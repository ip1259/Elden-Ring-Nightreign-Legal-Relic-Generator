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ame\er_nr\ERNR_Relic\"/>
    </mc:Choice>
  </mc:AlternateContent>
  <xr:revisionPtr revIDLastSave="0" documentId="8_{312E8AA8-3E17-4665-A881-D553A906D28C}" xr6:coauthVersionLast="47" xr6:coauthVersionMax="47" xr10:uidLastSave="{00000000-0000-0000-0000-000000000000}"/>
  <bookViews>
    <workbookView xWindow="-110" yWindow="-110" windowWidth="38620" windowHeight="21100" tabRatio="763" xr2:uid="{DAE634C7-E662-43BC-AF02-B0E0644EFC0F}"/>
  </bookViews>
  <sheets>
    <sheet name="UI" sheetId="7" r:id="rId1"/>
    <sheet name="UI Language" sheetId="16" r:id="rId2"/>
    <sheet name="Relic Cacul Temp" sheetId="6" r:id="rId3"/>
    <sheet name="Tbl_Equip" sheetId="2" r:id="rId4"/>
    <sheet name="Tbl_Pool" sheetId="5" r:id="rId5"/>
    <sheet name="Tbl_Effect" sheetId="3" r:id="rId6"/>
    <sheet name="AttachEffectName_dlc01 fmg" sheetId="14" r:id="rId7"/>
    <sheet name="Effects" sheetId="19" r:id="rId8"/>
    <sheet name="Items" sheetId="18" r:id="rId9"/>
    <sheet name="Variable" sheetId="17" r:id="rId10"/>
  </sheets>
  <definedNames>
    <definedName name="CursePool1">'Relic Cacul Temp'!$U:$U</definedName>
    <definedName name="CursePool2">'Relic Cacul Temp'!$X:$X</definedName>
    <definedName name="CursePool3">'Relic Cacul Temp'!$AA:$AA</definedName>
    <definedName name="EffectPool1">'Relic Cacul Temp'!$L:$L</definedName>
    <definedName name="EffectPool2">'Relic Cacul Temp'!$O:$O</definedName>
    <definedName name="EffectPool3">'Relic Cacul Temp'!$R:$R</definedName>
    <definedName name="EmptyID">Variable!$H$2</definedName>
    <definedName name="LanguageList">'UI Language'!$1:$1</definedName>
    <definedName name="外部資料_1" localSheetId="8" hidden="1">Items!$A$1:$C$2637</definedName>
    <definedName name="外部資料_1" localSheetId="5" hidden="1">Tbl_Effect!$A$1:$D$2080</definedName>
    <definedName name="外部資料_1" localSheetId="3" hidden="1">Tbl_Equip!$A$1:$I$1386</definedName>
    <definedName name="外部資料_2" localSheetId="7" hidden="1">Effects!$A$1:$C$1196</definedName>
    <definedName name="外部資料_2" localSheetId="4" hidden="1">Tbl_Pool!$A$1:$B$22089</definedName>
    <definedName name="外部資料_5" localSheetId="6" hidden="1">'AttachEffectName_dlc01 fmg'!$A$1:$B$55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7" l="1" a="1"/>
  <c r="E7" i="7" s="1"/>
  <c r="E8" i="7" a="1"/>
  <c r="E8" i="7"/>
  <c r="E6" i="7" a="1"/>
  <c r="E6" i="7" s="1"/>
  <c r="D6" i="7" a="1"/>
  <c r="D6" i="7" s="1"/>
  <c r="D7" i="7" a="1"/>
  <c r="D7" i="7" s="1"/>
  <c r="D8" i="7" a="1"/>
  <c r="D8" i="7"/>
  <c r="D4" i="7" a="1"/>
  <c r="D4" i="7" s="1"/>
  <c r="E4" i="7" s="1" a="1"/>
  <c r="E4" i="7" s="1"/>
  <c r="D5" i="7" a="1"/>
  <c r="D5" i="7" s="1"/>
  <c r="E5" i="7" s="1" a="1"/>
  <c r="E5" i="7" s="1"/>
  <c r="D3" i="7" a="1"/>
  <c r="D3" i="7" s="1"/>
  <c r="E3" i="7" s="1" a="1"/>
  <c r="E3" i="7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H814" i="6" s="1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H942" i="6" s="1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H1006" i="6" s="1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H1054" i="6" s="1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H1070" i="6" s="1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H1086" i="6" s="1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H1102" i="6" s="1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H1118" i="6" s="1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H1134" i="6" s="1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H1150" i="6" s="1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H1166" i="6" s="1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H1182" i="6" s="1"/>
  <c r="J1183" i="6"/>
  <c r="J1184" i="6"/>
  <c r="J1185" i="6"/>
  <c r="H1185" i="6" s="1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H1198" i="6" s="1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H1214" i="6" s="1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H1230" i="6" s="1"/>
  <c r="J1231" i="6"/>
  <c r="J1232" i="6"/>
  <c r="J1233" i="6"/>
  <c r="H1233" i="6" s="1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H1262" i="6" s="1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H1276" i="6" s="1"/>
  <c r="J1277" i="6"/>
  <c r="J1278" i="6"/>
  <c r="H1278" i="6" s="1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H1297" i="6" s="1"/>
  <c r="J1298" i="6"/>
  <c r="J1299" i="6"/>
  <c r="J1300" i="6"/>
  <c r="J1301" i="6"/>
  <c r="J1302" i="6"/>
  <c r="J1303" i="6"/>
  <c r="J1304" i="6"/>
  <c r="J1305" i="6"/>
  <c r="H1305" i="6" s="1"/>
  <c r="J1306" i="6"/>
  <c r="J1307" i="6"/>
  <c r="J1308" i="6"/>
  <c r="H1308" i="6" s="1"/>
  <c r="J1309" i="6"/>
  <c r="J1310" i="6"/>
  <c r="H1310" i="6" s="1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H1323" i="6" s="1"/>
  <c r="J1324" i="6"/>
  <c r="H1324" i="6" s="1"/>
  <c r="J1325" i="6"/>
  <c r="J1326" i="6"/>
  <c r="H1326" i="6" s="1"/>
  <c r="J1327" i="6"/>
  <c r="J1328" i="6"/>
  <c r="J1329" i="6"/>
  <c r="H1329" i="6" s="1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H1342" i="6" s="1"/>
  <c r="J1343" i="6"/>
  <c r="J1344" i="6"/>
  <c r="J1345" i="6"/>
  <c r="J1346" i="6"/>
  <c r="J1347" i="6"/>
  <c r="J1348" i="6"/>
  <c r="J1349" i="6"/>
  <c r="J1350" i="6"/>
  <c r="J1351" i="6"/>
  <c r="J1352" i="6"/>
  <c r="J1353" i="6"/>
  <c r="H1353" i="6" s="1"/>
  <c r="J1354" i="6"/>
  <c r="J1355" i="6"/>
  <c r="H1355" i="6" s="1"/>
  <c r="J1356" i="6"/>
  <c r="H1356" i="6" s="1"/>
  <c r="J1357" i="6"/>
  <c r="J1358" i="6"/>
  <c r="H1358" i="6" s="1"/>
  <c r="J1359" i="6"/>
  <c r="J1360" i="6"/>
  <c r="J1361" i="6"/>
  <c r="J1362" i="6"/>
  <c r="J1363" i="6"/>
  <c r="J1364" i="6"/>
  <c r="J1365" i="6"/>
  <c r="J1366" i="6"/>
  <c r="J1367" i="6"/>
  <c r="J1368" i="6"/>
  <c r="J1369" i="6"/>
  <c r="H1369" i="6" s="1"/>
  <c r="J1370" i="6"/>
  <c r="J1371" i="6"/>
  <c r="H1371" i="6" s="1"/>
  <c r="J1372" i="6"/>
  <c r="H1372" i="6" s="1"/>
  <c r="J1373" i="6"/>
  <c r="H1373" i="6" s="1"/>
  <c r="J1374" i="6"/>
  <c r="H1374" i="6" s="1"/>
  <c r="J1375" i="6"/>
  <c r="J1376" i="6"/>
  <c r="J1377" i="6"/>
  <c r="H1377" i="6" s="1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H15" i="6" s="1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H31" i="6" s="1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H47" i="6" s="1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H63" i="6" s="1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H79" i="6" s="1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H95" i="6" s="1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H111" i="6" s="1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H127" i="6" s="1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H143" i="6" s="1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H159" i="6" s="1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H175" i="6" s="1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H191" i="6" s="1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H207" i="6" s="1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H223" i="6" s="1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H239" i="6" s="1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H255" i="6" s="1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H271" i="6" s="1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H287" i="6" s="1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H303" i="6" s="1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H319" i="6" s="1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H335" i="6" s="1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H351" i="6" s="1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H367" i="6" s="1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H383" i="6" s="1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H399" i="6" s="1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H415" i="6" s="1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H431" i="6" s="1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H447" i="6" s="1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H463" i="6" s="1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H479" i="6" s="1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H495" i="6" s="1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H511" i="6" s="1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H527" i="6" s="1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H543" i="6" s="1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H559" i="6" s="1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H575" i="6" s="1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H591" i="6" s="1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H607" i="6" s="1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H623" i="6" s="1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H639" i="6" s="1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H655" i="6" s="1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H671" i="6" s="1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H687" i="6" s="1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H702" i="6" s="1"/>
  <c r="K703" i="6"/>
  <c r="H703" i="6" s="1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H718" i="6" s="1"/>
  <c r="K719" i="6"/>
  <c r="H719" i="6" s="1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H734" i="6" s="1"/>
  <c r="K735" i="6"/>
  <c r="H735" i="6" s="1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H750" i="6" s="1"/>
  <c r="K751" i="6"/>
  <c r="H751" i="6" s="1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H766" i="6" s="1"/>
  <c r="K767" i="6"/>
  <c r="H767" i="6" s="1"/>
  <c r="K768" i="6"/>
  <c r="K769" i="6"/>
  <c r="K770" i="6"/>
  <c r="K771" i="6"/>
  <c r="K772" i="6"/>
  <c r="K773" i="6"/>
  <c r="K774" i="6"/>
  <c r="K775" i="6"/>
  <c r="K776" i="6"/>
  <c r="K777" i="6"/>
  <c r="K778" i="6"/>
  <c r="H778" i="6" s="1"/>
  <c r="K779" i="6"/>
  <c r="K780" i="6"/>
  <c r="K781" i="6"/>
  <c r="K782" i="6"/>
  <c r="H782" i="6" s="1"/>
  <c r="K783" i="6"/>
  <c r="H783" i="6" s="1"/>
  <c r="K784" i="6"/>
  <c r="K785" i="6"/>
  <c r="K786" i="6"/>
  <c r="K787" i="6"/>
  <c r="K788" i="6"/>
  <c r="K789" i="6"/>
  <c r="K790" i="6"/>
  <c r="K791" i="6"/>
  <c r="K792" i="6"/>
  <c r="K793" i="6"/>
  <c r="K794" i="6"/>
  <c r="H794" i="6" s="1"/>
  <c r="K795" i="6"/>
  <c r="K796" i="6"/>
  <c r="K797" i="6"/>
  <c r="K798" i="6"/>
  <c r="H798" i="6" s="1"/>
  <c r="K799" i="6"/>
  <c r="H799" i="6" s="1"/>
  <c r="K800" i="6"/>
  <c r="K801" i="6"/>
  <c r="K802" i="6"/>
  <c r="K803" i="6"/>
  <c r="K804" i="6"/>
  <c r="K805" i="6"/>
  <c r="K806" i="6"/>
  <c r="K807" i="6"/>
  <c r="K808" i="6"/>
  <c r="K809" i="6"/>
  <c r="K810" i="6"/>
  <c r="H810" i="6" s="1"/>
  <c r="K811" i="6"/>
  <c r="K812" i="6"/>
  <c r="K813" i="6"/>
  <c r="K814" i="6"/>
  <c r="K815" i="6"/>
  <c r="H815" i="6" s="1"/>
  <c r="K816" i="6"/>
  <c r="K817" i="6"/>
  <c r="K818" i="6"/>
  <c r="K819" i="6"/>
  <c r="K820" i="6"/>
  <c r="K821" i="6"/>
  <c r="H821" i="6" s="1"/>
  <c r="K822" i="6"/>
  <c r="K823" i="6"/>
  <c r="K824" i="6"/>
  <c r="K825" i="6"/>
  <c r="K826" i="6"/>
  <c r="H826" i="6" s="1"/>
  <c r="K827" i="6"/>
  <c r="K828" i="6"/>
  <c r="K829" i="6"/>
  <c r="K830" i="6"/>
  <c r="K831" i="6"/>
  <c r="H831" i="6" s="1"/>
  <c r="K832" i="6"/>
  <c r="K833" i="6"/>
  <c r="K834" i="6"/>
  <c r="K835" i="6"/>
  <c r="K836" i="6"/>
  <c r="K837" i="6"/>
  <c r="H837" i="6" s="1"/>
  <c r="K838" i="6"/>
  <c r="K839" i="6"/>
  <c r="K840" i="6"/>
  <c r="K841" i="6"/>
  <c r="K842" i="6"/>
  <c r="H842" i="6" s="1"/>
  <c r="K843" i="6"/>
  <c r="K844" i="6"/>
  <c r="K845" i="6"/>
  <c r="K846" i="6"/>
  <c r="K847" i="6"/>
  <c r="H847" i="6" s="1"/>
  <c r="K848" i="6"/>
  <c r="H848" i="6" s="1"/>
  <c r="K849" i="6"/>
  <c r="K850" i="6"/>
  <c r="K851" i="6"/>
  <c r="K852" i="6"/>
  <c r="K853" i="6"/>
  <c r="H853" i="6" s="1"/>
  <c r="K854" i="6"/>
  <c r="K855" i="6"/>
  <c r="K856" i="6"/>
  <c r="K857" i="6"/>
  <c r="K858" i="6"/>
  <c r="H858" i="6" s="1"/>
  <c r="K859" i="6"/>
  <c r="K860" i="6"/>
  <c r="K861" i="6"/>
  <c r="K862" i="6"/>
  <c r="K863" i="6"/>
  <c r="H863" i="6" s="1"/>
  <c r="K864" i="6"/>
  <c r="H864" i="6" s="1"/>
  <c r="K865" i="6"/>
  <c r="K866" i="6"/>
  <c r="K867" i="6"/>
  <c r="K868" i="6"/>
  <c r="K869" i="6"/>
  <c r="H869" i="6" s="1"/>
  <c r="K870" i="6"/>
  <c r="K871" i="6"/>
  <c r="K872" i="6"/>
  <c r="K873" i="6"/>
  <c r="K874" i="6"/>
  <c r="H874" i="6" s="1"/>
  <c r="K875" i="6"/>
  <c r="K876" i="6"/>
  <c r="K877" i="6"/>
  <c r="K878" i="6"/>
  <c r="K879" i="6"/>
  <c r="H879" i="6" s="1"/>
  <c r="K880" i="6"/>
  <c r="H880" i="6" s="1"/>
  <c r="K881" i="6"/>
  <c r="K882" i="6"/>
  <c r="K883" i="6"/>
  <c r="K884" i="6"/>
  <c r="K885" i="6"/>
  <c r="H885" i="6" s="1"/>
  <c r="K886" i="6"/>
  <c r="K887" i="6"/>
  <c r="K888" i="6"/>
  <c r="K889" i="6"/>
  <c r="K890" i="6"/>
  <c r="H890" i="6" s="1"/>
  <c r="K891" i="6"/>
  <c r="K892" i="6"/>
  <c r="K893" i="6"/>
  <c r="K894" i="6"/>
  <c r="K895" i="6"/>
  <c r="H895" i="6" s="1"/>
  <c r="K896" i="6"/>
  <c r="H896" i="6" s="1"/>
  <c r="K897" i="6"/>
  <c r="K898" i="6"/>
  <c r="K899" i="6"/>
  <c r="K900" i="6"/>
  <c r="K901" i="6"/>
  <c r="H901" i="6" s="1"/>
  <c r="K902" i="6"/>
  <c r="K903" i="6"/>
  <c r="K904" i="6"/>
  <c r="K905" i="6"/>
  <c r="K906" i="6"/>
  <c r="H906" i="6" s="1"/>
  <c r="K907" i="6"/>
  <c r="K908" i="6"/>
  <c r="K909" i="6"/>
  <c r="K910" i="6"/>
  <c r="K911" i="6"/>
  <c r="H911" i="6" s="1"/>
  <c r="K912" i="6"/>
  <c r="H912" i="6" s="1"/>
  <c r="K913" i="6"/>
  <c r="K914" i="6"/>
  <c r="K915" i="6"/>
  <c r="K916" i="6"/>
  <c r="K917" i="6"/>
  <c r="H917" i="6" s="1"/>
  <c r="K918" i="6"/>
  <c r="K919" i="6"/>
  <c r="K920" i="6"/>
  <c r="K921" i="6"/>
  <c r="K922" i="6"/>
  <c r="H922" i="6" s="1"/>
  <c r="K923" i="6"/>
  <c r="K924" i="6"/>
  <c r="K925" i="6"/>
  <c r="K926" i="6"/>
  <c r="K927" i="6"/>
  <c r="H927" i="6" s="1"/>
  <c r="K928" i="6"/>
  <c r="H928" i="6" s="1"/>
  <c r="K929" i="6"/>
  <c r="K930" i="6"/>
  <c r="K931" i="6"/>
  <c r="K932" i="6"/>
  <c r="K933" i="6"/>
  <c r="H933" i="6" s="1"/>
  <c r="K934" i="6"/>
  <c r="K935" i="6"/>
  <c r="K936" i="6"/>
  <c r="K937" i="6"/>
  <c r="K938" i="6"/>
  <c r="H938" i="6" s="1"/>
  <c r="K939" i="6"/>
  <c r="K940" i="6"/>
  <c r="K941" i="6"/>
  <c r="K942" i="6"/>
  <c r="K943" i="6"/>
  <c r="H943" i="6" s="1"/>
  <c r="K944" i="6"/>
  <c r="H944" i="6" s="1"/>
  <c r="K945" i="6"/>
  <c r="K946" i="6"/>
  <c r="K947" i="6"/>
  <c r="K948" i="6"/>
  <c r="K949" i="6"/>
  <c r="H949" i="6" s="1"/>
  <c r="K950" i="6"/>
  <c r="K951" i="6"/>
  <c r="K952" i="6"/>
  <c r="K953" i="6"/>
  <c r="K954" i="6"/>
  <c r="H954" i="6" s="1"/>
  <c r="K955" i="6"/>
  <c r="K956" i="6"/>
  <c r="K957" i="6"/>
  <c r="K958" i="6"/>
  <c r="K959" i="6"/>
  <c r="H959" i="6" s="1"/>
  <c r="K960" i="6"/>
  <c r="H960" i="6" s="1"/>
  <c r="K961" i="6"/>
  <c r="K962" i="6"/>
  <c r="K963" i="6"/>
  <c r="K964" i="6"/>
  <c r="K965" i="6"/>
  <c r="H965" i="6" s="1"/>
  <c r="K966" i="6"/>
  <c r="K967" i="6"/>
  <c r="K968" i="6"/>
  <c r="K969" i="6"/>
  <c r="K970" i="6"/>
  <c r="H970" i="6" s="1"/>
  <c r="K971" i="6"/>
  <c r="K972" i="6"/>
  <c r="K973" i="6"/>
  <c r="K974" i="6"/>
  <c r="K975" i="6"/>
  <c r="H975" i="6" s="1"/>
  <c r="K976" i="6"/>
  <c r="H976" i="6" s="1"/>
  <c r="K977" i="6"/>
  <c r="K978" i="6"/>
  <c r="K979" i="6"/>
  <c r="K980" i="6"/>
  <c r="K981" i="6"/>
  <c r="H981" i="6" s="1"/>
  <c r="K982" i="6"/>
  <c r="K983" i="6"/>
  <c r="K984" i="6"/>
  <c r="K985" i="6"/>
  <c r="K986" i="6"/>
  <c r="H986" i="6" s="1"/>
  <c r="K987" i="6"/>
  <c r="K988" i="6"/>
  <c r="K989" i="6"/>
  <c r="K990" i="6"/>
  <c r="K991" i="6"/>
  <c r="H991" i="6" s="1"/>
  <c r="K992" i="6"/>
  <c r="H992" i="6" s="1"/>
  <c r="K993" i="6"/>
  <c r="K994" i="6"/>
  <c r="K995" i="6"/>
  <c r="K996" i="6"/>
  <c r="K997" i="6"/>
  <c r="H997" i="6" s="1"/>
  <c r="K998" i="6"/>
  <c r="K999" i="6"/>
  <c r="K1000" i="6"/>
  <c r="K1001" i="6"/>
  <c r="K1002" i="6"/>
  <c r="H1002" i="6" s="1"/>
  <c r="K1003" i="6"/>
  <c r="K1004" i="6"/>
  <c r="K1005" i="6"/>
  <c r="K1006" i="6"/>
  <c r="K1007" i="6"/>
  <c r="H1007" i="6" s="1"/>
  <c r="K1008" i="6"/>
  <c r="H1008" i="6" s="1"/>
  <c r="K1009" i="6"/>
  <c r="K1010" i="6"/>
  <c r="K1011" i="6"/>
  <c r="K1012" i="6"/>
  <c r="K1013" i="6"/>
  <c r="H1013" i="6" s="1"/>
  <c r="K1014" i="6"/>
  <c r="K1015" i="6"/>
  <c r="K1016" i="6"/>
  <c r="K1017" i="6"/>
  <c r="K1018" i="6"/>
  <c r="H1018" i="6" s="1"/>
  <c r="K1019" i="6"/>
  <c r="K1020" i="6"/>
  <c r="K1021" i="6"/>
  <c r="K1022" i="6"/>
  <c r="K1023" i="6"/>
  <c r="H1023" i="6" s="1"/>
  <c r="K1024" i="6"/>
  <c r="H1024" i="6" s="1"/>
  <c r="K1025" i="6"/>
  <c r="K1026" i="6"/>
  <c r="K1027" i="6"/>
  <c r="K1028" i="6"/>
  <c r="K1029" i="6"/>
  <c r="H1029" i="6" s="1"/>
  <c r="K1030" i="6"/>
  <c r="K1031" i="6"/>
  <c r="K1032" i="6"/>
  <c r="K1033" i="6"/>
  <c r="K1034" i="6"/>
  <c r="H1034" i="6" s="1"/>
  <c r="K1035" i="6"/>
  <c r="K1036" i="6"/>
  <c r="K1037" i="6"/>
  <c r="K1038" i="6"/>
  <c r="K1039" i="6"/>
  <c r="H1039" i="6" s="1"/>
  <c r="K1040" i="6"/>
  <c r="H1040" i="6" s="1"/>
  <c r="K1041" i="6"/>
  <c r="K1042" i="6"/>
  <c r="K1043" i="6"/>
  <c r="K1044" i="6"/>
  <c r="K1045" i="6"/>
  <c r="H1045" i="6" s="1"/>
  <c r="K1046" i="6"/>
  <c r="K1047" i="6"/>
  <c r="K1048" i="6"/>
  <c r="K1049" i="6"/>
  <c r="K1050" i="6"/>
  <c r="H1050" i="6" s="1"/>
  <c r="K1051" i="6"/>
  <c r="K1052" i="6"/>
  <c r="K1053" i="6"/>
  <c r="K1054" i="6"/>
  <c r="K1055" i="6"/>
  <c r="H1055" i="6" s="1"/>
  <c r="K1056" i="6"/>
  <c r="H1056" i="6" s="1"/>
  <c r="K1057" i="6"/>
  <c r="K1058" i="6"/>
  <c r="K1059" i="6"/>
  <c r="K1060" i="6"/>
  <c r="K1061" i="6"/>
  <c r="H1061" i="6" s="1"/>
  <c r="K1062" i="6"/>
  <c r="K1063" i="6"/>
  <c r="K1064" i="6"/>
  <c r="K1065" i="6"/>
  <c r="K1066" i="6"/>
  <c r="H1066" i="6" s="1"/>
  <c r="K1067" i="6"/>
  <c r="K1068" i="6"/>
  <c r="K1069" i="6"/>
  <c r="K1070" i="6"/>
  <c r="K1071" i="6"/>
  <c r="H1071" i="6" s="1"/>
  <c r="K1072" i="6"/>
  <c r="H1072" i="6" s="1"/>
  <c r="K1073" i="6"/>
  <c r="K1074" i="6"/>
  <c r="K1075" i="6"/>
  <c r="K1076" i="6"/>
  <c r="K1077" i="6"/>
  <c r="H1077" i="6" s="1"/>
  <c r="K1078" i="6"/>
  <c r="K1079" i="6"/>
  <c r="H1079" i="6" s="1"/>
  <c r="K1080" i="6"/>
  <c r="K1081" i="6"/>
  <c r="K1082" i="6"/>
  <c r="H1082" i="6" s="1"/>
  <c r="K1083" i="6"/>
  <c r="K1084" i="6"/>
  <c r="K1085" i="6"/>
  <c r="K1086" i="6"/>
  <c r="K1087" i="6"/>
  <c r="H1087" i="6" s="1"/>
  <c r="K1088" i="6"/>
  <c r="H1088" i="6" s="1"/>
  <c r="K1089" i="6"/>
  <c r="K1090" i="6"/>
  <c r="K1091" i="6"/>
  <c r="K1092" i="6"/>
  <c r="K1093" i="6"/>
  <c r="H1093" i="6" s="1"/>
  <c r="K1094" i="6"/>
  <c r="K1095" i="6"/>
  <c r="H1095" i="6" s="1"/>
  <c r="K1096" i="6"/>
  <c r="K1097" i="6"/>
  <c r="K1098" i="6"/>
  <c r="H1098" i="6" s="1"/>
  <c r="K1099" i="6"/>
  <c r="K1100" i="6"/>
  <c r="K1101" i="6"/>
  <c r="K1102" i="6"/>
  <c r="K1103" i="6"/>
  <c r="H1103" i="6" s="1"/>
  <c r="K1104" i="6"/>
  <c r="H1104" i="6" s="1"/>
  <c r="K1105" i="6"/>
  <c r="K1106" i="6"/>
  <c r="K1107" i="6"/>
  <c r="K1108" i="6"/>
  <c r="K1109" i="6"/>
  <c r="H1109" i="6" s="1"/>
  <c r="K1110" i="6"/>
  <c r="K1111" i="6"/>
  <c r="H1111" i="6" s="1"/>
  <c r="K1112" i="6"/>
  <c r="K1113" i="6"/>
  <c r="K1114" i="6"/>
  <c r="H1114" i="6" s="1"/>
  <c r="K1115" i="6"/>
  <c r="K1116" i="6"/>
  <c r="K1117" i="6"/>
  <c r="K1118" i="6"/>
  <c r="K1119" i="6"/>
  <c r="H1119" i="6" s="1"/>
  <c r="K1120" i="6"/>
  <c r="H1120" i="6" s="1"/>
  <c r="K1121" i="6"/>
  <c r="K1122" i="6"/>
  <c r="K1123" i="6"/>
  <c r="K1124" i="6"/>
  <c r="K1125" i="6"/>
  <c r="H1125" i="6" s="1"/>
  <c r="K1126" i="6"/>
  <c r="K1127" i="6"/>
  <c r="H1127" i="6" s="1"/>
  <c r="K1128" i="6"/>
  <c r="K1129" i="6"/>
  <c r="K1130" i="6"/>
  <c r="H1130" i="6" s="1"/>
  <c r="K1131" i="6"/>
  <c r="K1132" i="6"/>
  <c r="K1133" i="6"/>
  <c r="K1134" i="6"/>
  <c r="K1135" i="6"/>
  <c r="H1135" i="6" s="1"/>
  <c r="K1136" i="6"/>
  <c r="H1136" i="6" s="1"/>
  <c r="K1137" i="6"/>
  <c r="K1138" i="6"/>
  <c r="K1139" i="6"/>
  <c r="K1140" i="6"/>
  <c r="K1141" i="6"/>
  <c r="H1141" i="6" s="1"/>
  <c r="K1142" i="6"/>
  <c r="K1143" i="6"/>
  <c r="H1143" i="6" s="1"/>
  <c r="K1144" i="6"/>
  <c r="K1145" i="6"/>
  <c r="K1146" i="6"/>
  <c r="H1146" i="6" s="1"/>
  <c r="K1147" i="6"/>
  <c r="K1148" i="6"/>
  <c r="K1149" i="6"/>
  <c r="K1150" i="6"/>
  <c r="K1151" i="6"/>
  <c r="H1151" i="6" s="1"/>
  <c r="K1152" i="6"/>
  <c r="H1152" i="6" s="1"/>
  <c r="K1153" i="6"/>
  <c r="K1154" i="6"/>
  <c r="K1155" i="6"/>
  <c r="K1156" i="6"/>
  <c r="K1157" i="6"/>
  <c r="H1157" i="6" s="1"/>
  <c r="K1158" i="6"/>
  <c r="K1159" i="6"/>
  <c r="H1159" i="6" s="1"/>
  <c r="K1160" i="6"/>
  <c r="K1161" i="6"/>
  <c r="K1162" i="6"/>
  <c r="H1162" i="6" s="1"/>
  <c r="K1163" i="6"/>
  <c r="K1164" i="6"/>
  <c r="K1165" i="6"/>
  <c r="K1166" i="6"/>
  <c r="K1167" i="6"/>
  <c r="H1167" i="6" s="1"/>
  <c r="K1168" i="6"/>
  <c r="H1168" i="6" s="1"/>
  <c r="K1169" i="6"/>
  <c r="K1170" i="6"/>
  <c r="K1171" i="6"/>
  <c r="K1172" i="6"/>
  <c r="K1173" i="6"/>
  <c r="H1173" i="6" s="1"/>
  <c r="K1174" i="6"/>
  <c r="K1175" i="6"/>
  <c r="H1175" i="6" s="1"/>
  <c r="K1176" i="6"/>
  <c r="K1177" i="6"/>
  <c r="K1178" i="6"/>
  <c r="H1178" i="6" s="1"/>
  <c r="K1179" i="6"/>
  <c r="K1180" i="6"/>
  <c r="K1181" i="6"/>
  <c r="K1182" i="6"/>
  <c r="K1183" i="6"/>
  <c r="H1183" i="6" s="1"/>
  <c r="K1184" i="6"/>
  <c r="H1184" i="6" s="1"/>
  <c r="K1185" i="6"/>
  <c r="K1186" i="6"/>
  <c r="K1187" i="6"/>
  <c r="K1188" i="6"/>
  <c r="K1189" i="6"/>
  <c r="H1189" i="6" s="1"/>
  <c r="K1190" i="6"/>
  <c r="K1191" i="6"/>
  <c r="H1191" i="6" s="1"/>
  <c r="K1192" i="6"/>
  <c r="K1193" i="6"/>
  <c r="K1194" i="6"/>
  <c r="H1194" i="6" s="1"/>
  <c r="K1195" i="6"/>
  <c r="K1196" i="6"/>
  <c r="K1197" i="6"/>
  <c r="K1198" i="6"/>
  <c r="K1199" i="6"/>
  <c r="H1199" i="6" s="1"/>
  <c r="K1200" i="6"/>
  <c r="H1200" i="6" s="1"/>
  <c r="K1201" i="6"/>
  <c r="K1202" i="6"/>
  <c r="K1203" i="6"/>
  <c r="K1204" i="6"/>
  <c r="K1205" i="6"/>
  <c r="H1205" i="6" s="1"/>
  <c r="K1206" i="6"/>
  <c r="K1207" i="6"/>
  <c r="H1207" i="6" s="1"/>
  <c r="K1208" i="6"/>
  <c r="K1209" i="6"/>
  <c r="K1210" i="6"/>
  <c r="H1210" i="6" s="1"/>
  <c r="K1211" i="6"/>
  <c r="K1212" i="6"/>
  <c r="K1213" i="6"/>
  <c r="K1214" i="6"/>
  <c r="K1215" i="6"/>
  <c r="H1215" i="6" s="1"/>
  <c r="K1216" i="6"/>
  <c r="H1216" i="6" s="1"/>
  <c r="K1217" i="6"/>
  <c r="K1218" i="6"/>
  <c r="K1219" i="6"/>
  <c r="K1220" i="6"/>
  <c r="K1221" i="6"/>
  <c r="H1221" i="6" s="1"/>
  <c r="K1222" i="6"/>
  <c r="K1223" i="6"/>
  <c r="H1223" i="6" s="1"/>
  <c r="K1224" i="6"/>
  <c r="K1225" i="6"/>
  <c r="K1226" i="6"/>
  <c r="H1226" i="6" s="1"/>
  <c r="K1227" i="6"/>
  <c r="K1228" i="6"/>
  <c r="K1229" i="6"/>
  <c r="K1230" i="6"/>
  <c r="K1231" i="6"/>
  <c r="H1231" i="6" s="1"/>
  <c r="K1232" i="6"/>
  <c r="H1232" i="6" s="1"/>
  <c r="K1233" i="6"/>
  <c r="K1234" i="6"/>
  <c r="K1235" i="6"/>
  <c r="K1236" i="6"/>
  <c r="K1237" i="6"/>
  <c r="H1237" i="6" s="1"/>
  <c r="K1238" i="6"/>
  <c r="K1239" i="6"/>
  <c r="H1239" i="6" s="1"/>
  <c r="K1240" i="6"/>
  <c r="K1241" i="6"/>
  <c r="K1242" i="6"/>
  <c r="H1242" i="6" s="1"/>
  <c r="K1243" i="6"/>
  <c r="K1244" i="6"/>
  <c r="K1245" i="6"/>
  <c r="K1246" i="6"/>
  <c r="K1247" i="6"/>
  <c r="H1247" i="6" s="1"/>
  <c r="K1248" i="6"/>
  <c r="H1248" i="6" s="1"/>
  <c r="K1249" i="6"/>
  <c r="K1250" i="6"/>
  <c r="K1251" i="6"/>
  <c r="K1252" i="6"/>
  <c r="K1253" i="6"/>
  <c r="H1253" i="6" s="1"/>
  <c r="K1254" i="6"/>
  <c r="K1255" i="6"/>
  <c r="H1255" i="6" s="1"/>
  <c r="K1256" i="6"/>
  <c r="K1257" i="6"/>
  <c r="K1258" i="6"/>
  <c r="H1258" i="6" s="1"/>
  <c r="K1259" i="6"/>
  <c r="K1260" i="6"/>
  <c r="K1261" i="6"/>
  <c r="K1262" i="6"/>
  <c r="K1263" i="6"/>
  <c r="H1263" i="6" s="1"/>
  <c r="K1264" i="6"/>
  <c r="H1264" i="6" s="1"/>
  <c r="K1265" i="6"/>
  <c r="K1266" i="6"/>
  <c r="K1267" i="6"/>
  <c r="K1268" i="6"/>
  <c r="K1269" i="6"/>
  <c r="H1269" i="6" s="1"/>
  <c r="K1270" i="6"/>
  <c r="K1271" i="6"/>
  <c r="H1271" i="6" s="1"/>
  <c r="K1272" i="6"/>
  <c r="K1273" i="6"/>
  <c r="K1274" i="6"/>
  <c r="H1274" i="6" s="1"/>
  <c r="K1275" i="6"/>
  <c r="K1276" i="6"/>
  <c r="K1277" i="6"/>
  <c r="K1278" i="6"/>
  <c r="K1279" i="6"/>
  <c r="H1279" i="6" s="1"/>
  <c r="K1280" i="6"/>
  <c r="H1280" i="6" s="1"/>
  <c r="K1281" i="6"/>
  <c r="K1282" i="6"/>
  <c r="K1283" i="6"/>
  <c r="K1284" i="6"/>
  <c r="K1285" i="6"/>
  <c r="H1285" i="6" s="1"/>
  <c r="K1286" i="6"/>
  <c r="K1287" i="6"/>
  <c r="H1287" i="6" s="1"/>
  <c r="K1288" i="6"/>
  <c r="K1289" i="6"/>
  <c r="K1290" i="6"/>
  <c r="H1290" i="6" s="1"/>
  <c r="K1291" i="6"/>
  <c r="K1292" i="6"/>
  <c r="K1293" i="6"/>
  <c r="K1294" i="6"/>
  <c r="K1295" i="6"/>
  <c r="H1295" i="6" s="1"/>
  <c r="K1296" i="6"/>
  <c r="H1296" i="6" s="1"/>
  <c r="K1297" i="6"/>
  <c r="K1298" i="6"/>
  <c r="K1299" i="6"/>
  <c r="K1300" i="6"/>
  <c r="K1301" i="6"/>
  <c r="H1301" i="6" s="1"/>
  <c r="K1302" i="6"/>
  <c r="K1303" i="6"/>
  <c r="H1303" i="6" s="1"/>
  <c r="K1304" i="6"/>
  <c r="K1305" i="6"/>
  <c r="K1306" i="6"/>
  <c r="H1306" i="6" s="1"/>
  <c r="K1307" i="6"/>
  <c r="K1308" i="6"/>
  <c r="K1309" i="6"/>
  <c r="K1310" i="6"/>
  <c r="K1311" i="6"/>
  <c r="H1311" i="6" s="1"/>
  <c r="K1312" i="6"/>
  <c r="H1312" i="6" s="1"/>
  <c r="K1313" i="6"/>
  <c r="K1314" i="6"/>
  <c r="K1315" i="6"/>
  <c r="K1316" i="6"/>
  <c r="K1317" i="6"/>
  <c r="H1317" i="6" s="1"/>
  <c r="K1318" i="6"/>
  <c r="K1319" i="6"/>
  <c r="H1319" i="6" s="1"/>
  <c r="K1320" i="6"/>
  <c r="K1321" i="6"/>
  <c r="K1322" i="6"/>
  <c r="H1322" i="6" s="1"/>
  <c r="K1323" i="6"/>
  <c r="K1324" i="6"/>
  <c r="K1325" i="6"/>
  <c r="K1326" i="6"/>
  <c r="K1327" i="6"/>
  <c r="H1327" i="6" s="1"/>
  <c r="K1328" i="6"/>
  <c r="H1328" i="6" s="1"/>
  <c r="K1329" i="6"/>
  <c r="K1330" i="6"/>
  <c r="K1331" i="6"/>
  <c r="K1332" i="6"/>
  <c r="K1333" i="6"/>
  <c r="H1333" i="6" s="1"/>
  <c r="K1334" i="6"/>
  <c r="K1335" i="6"/>
  <c r="H1335" i="6" s="1"/>
  <c r="K1336" i="6"/>
  <c r="K1337" i="6"/>
  <c r="K1338" i="6"/>
  <c r="H1338" i="6" s="1"/>
  <c r="K1339" i="6"/>
  <c r="K1340" i="6"/>
  <c r="K1341" i="6"/>
  <c r="K1342" i="6"/>
  <c r="K1343" i="6"/>
  <c r="H1343" i="6" s="1"/>
  <c r="K1344" i="6"/>
  <c r="H1344" i="6" s="1"/>
  <c r="K1345" i="6"/>
  <c r="K1346" i="6"/>
  <c r="K1347" i="6"/>
  <c r="K1348" i="6"/>
  <c r="K1349" i="6"/>
  <c r="H1349" i="6" s="1"/>
  <c r="K1350" i="6"/>
  <c r="K1351" i="6"/>
  <c r="H1351" i="6" s="1"/>
  <c r="K1352" i="6"/>
  <c r="K1353" i="6"/>
  <c r="K1354" i="6"/>
  <c r="H1354" i="6" s="1"/>
  <c r="K1355" i="6"/>
  <c r="K1356" i="6"/>
  <c r="K1357" i="6"/>
  <c r="K1358" i="6"/>
  <c r="K1359" i="6"/>
  <c r="K1360" i="6"/>
  <c r="H1360" i="6" s="1"/>
  <c r="K1361" i="6"/>
  <c r="K1362" i="6"/>
  <c r="K1363" i="6"/>
  <c r="K1364" i="6"/>
  <c r="K1365" i="6"/>
  <c r="H1365" i="6" s="1"/>
  <c r="K1366" i="6"/>
  <c r="K1367" i="6"/>
  <c r="H1367" i="6" s="1"/>
  <c r="K1368" i="6"/>
  <c r="K1369" i="6"/>
  <c r="K1370" i="6"/>
  <c r="H1370" i="6" s="1"/>
  <c r="K1371" i="6"/>
  <c r="K1372" i="6"/>
  <c r="K1373" i="6"/>
  <c r="K1374" i="6"/>
  <c r="K1375" i="6"/>
  <c r="H1375" i="6" s="1"/>
  <c r="K1376" i="6"/>
  <c r="H1376" i="6" s="1"/>
  <c r="K1377" i="6"/>
  <c r="K1378" i="6"/>
  <c r="K1379" i="6"/>
  <c r="K1380" i="6"/>
  <c r="K1381" i="6"/>
  <c r="H1381" i="6" s="1"/>
  <c r="K1382" i="6"/>
  <c r="K1383" i="6"/>
  <c r="H1383" i="6" s="1"/>
  <c r="K1384" i="6"/>
  <c r="K1385" i="6"/>
  <c r="K1386" i="6"/>
  <c r="H1386" i="6" s="1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" i="6"/>
  <c r="H802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8" i="6"/>
  <c r="H769" i="6"/>
  <c r="H770" i="6"/>
  <c r="H771" i="6"/>
  <c r="H772" i="6"/>
  <c r="H773" i="6"/>
  <c r="H774" i="6"/>
  <c r="H775" i="6"/>
  <c r="H776" i="6"/>
  <c r="H777" i="6"/>
  <c r="H779" i="6"/>
  <c r="H780" i="6"/>
  <c r="H781" i="6"/>
  <c r="H784" i="6"/>
  <c r="H785" i="6"/>
  <c r="H786" i="6"/>
  <c r="H787" i="6"/>
  <c r="H788" i="6"/>
  <c r="H789" i="6"/>
  <c r="H790" i="6"/>
  <c r="H791" i="6"/>
  <c r="H792" i="6"/>
  <c r="H793" i="6"/>
  <c r="H795" i="6"/>
  <c r="H796" i="6"/>
  <c r="H797" i="6"/>
  <c r="H800" i="6"/>
  <c r="H801" i="6"/>
  <c r="H803" i="6"/>
  <c r="H804" i="6"/>
  <c r="H805" i="6"/>
  <c r="H806" i="6"/>
  <c r="H807" i="6"/>
  <c r="H808" i="6"/>
  <c r="H809" i="6"/>
  <c r="H811" i="6"/>
  <c r="H812" i="6"/>
  <c r="H813" i="6"/>
  <c r="H816" i="6"/>
  <c r="H817" i="6"/>
  <c r="H818" i="6"/>
  <c r="H819" i="6"/>
  <c r="H820" i="6"/>
  <c r="H822" i="6"/>
  <c r="H823" i="6"/>
  <c r="H824" i="6"/>
  <c r="H825" i="6"/>
  <c r="H827" i="6"/>
  <c r="H828" i="6"/>
  <c r="H829" i="6"/>
  <c r="H830" i="6"/>
  <c r="H832" i="6"/>
  <c r="H833" i="6"/>
  <c r="H834" i="6"/>
  <c r="H835" i="6"/>
  <c r="H836" i="6"/>
  <c r="H838" i="6"/>
  <c r="H839" i="6"/>
  <c r="H840" i="6"/>
  <c r="H841" i="6"/>
  <c r="H843" i="6"/>
  <c r="H844" i="6"/>
  <c r="H845" i="6"/>
  <c r="H846" i="6"/>
  <c r="H849" i="6"/>
  <c r="H850" i="6"/>
  <c r="H851" i="6"/>
  <c r="H852" i="6"/>
  <c r="H854" i="6"/>
  <c r="H855" i="6"/>
  <c r="H856" i="6"/>
  <c r="H857" i="6"/>
  <c r="H859" i="6"/>
  <c r="H860" i="6"/>
  <c r="H861" i="6"/>
  <c r="H862" i="6"/>
  <c r="H865" i="6"/>
  <c r="H866" i="6"/>
  <c r="H867" i="6"/>
  <c r="H868" i="6"/>
  <c r="H870" i="6"/>
  <c r="H871" i="6"/>
  <c r="H872" i="6"/>
  <c r="H873" i="6"/>
  <c r="H875" i="6"/>
  <c r="H876" i="6"/>
  <c r="H877" i="6"/>
  <c r="H878" i="6"/>
  <c r="H881" i="6"/>
  <c r="H882" i="6"/>
  <c r="H883" i="6"/>
  <c r="H884" i="6"/>
  <c r="H886" i="6"/>
  <c r="H887" i="6"/>
  <c r="H888" i="6"/>
  <c r="H889" i="6"/>
  <c r="H891" i="6"/>
  <c r="H892" i="6"/>
  <c r="H893" i="6"/>
  <c r="H894" i="6"/>
  <c r="H897" i="6"/>
  <c r="H898" i="6"/>
  <c r="H899" i="6"/>
  <c r="H900" i="6"/>
  <c r="H902" i="6"/>
  <c r="H903" i="6"/>
  <c r="H904" i="6"/>
  <c r="H905" i="6"/>
  <c r="H907" i="6"/>
  <c r="H908" i="6"/>
  <c r="H909" i="6"/>
  <c r="H910" i="6"/>
  <c r="H913" i="6"/>
  <c r="H914" i="6"/>
  <c r="H915" i="6"/>
  <c r="H916" i="6"/>
  <c r="H918" i="6"/>
  <c r="H919" i="6"/>
  <c r="H920" i="6"/>
  <c r="H921" i="6"/>
  <c r="H923" i="6"/>
  <c r="H924" i="6"/>
  <c r="H925" i="6"/>
  <c r="H926" i="6"/>
  <c r="H929" i="6"/>
  <c r="H930" i="6"/>
  <c r="H931" i="6"/>
  <c r="H932" i="6"/>
  <c r="H934" i="6"/>
  <c r="H935" i="6"/>
  <c r="H936" i="6"/>
  <c r="H937" i="6"/>
  <c r="H939" i="6"/>
  <c r="H940" i="6"/>
  <c r="H941" i="6"/>
  <c r="H945" i="6"/>
  <c r="H946" i="6"/>
  <c r="H947" i="6"/>
  <c r="H948" i="6"/>
  <c r="H950" i="6"/>
  <c r="H951" i="6"/>
  <c r="H952" i="6"/>
  <c r="H953" i="6"/>
  <c r="H955" i="6"/>
  <c r="H956" i="6"/>
  <c r="H957" i="6"/>
  <c r="H958" i="6"/>
  <c r="H961" i="6"/>
  <c r="H962" i="6"/>
  <c r="H963" i="6"/>
  <c r="H964" i="6"/>
  <c r="H966" i="6"/>
  <c r="H967" i="6"/>
  <c r="H968" i="6"/>
  <c r="H969" i="6"/>
  <c r="H971" i="6"/>
  <c r="H972" i="6"/>
  <c r="H973" i="6"/>
  <c r="H974" i="6"/>
  <c r="H977" i="6"/>
  <c r="H978" i="6"/>
  <c r="H979" i="6"/>
  <c r="H980" i="6"/>
  <c r="H982" i="6"/>
  <c r="H983" i="6"/>
  <c r="H984" i="6"/>
  <c r="H985" i="6"/>
  <c r="H987" i="6"/>
  <c r="H988" i="6"/>
  <c r="H989" i="6"/>
  <c r="H990" i="6"/>
  <c r="H993" i="6"/>
  <c r="H994" i="6"/>
  <c r="H995" i="6"/>
  <c r="H996" i="6"/>
  <c r="H998" i="6"/>
  <c r="H999" i="6"/>
  <c r="H1000" i="6"/>
  <c r="H1001" i="6"/>
  <c r="H1003" i="6"/>
  <c r="H1004" i="6"/>
  <c r="H1005" i="6"/>
  <c r="H1009" i="6"/>
  <c r="H1010" i="6"/>
  <c r="H1011" i="6"/>
  <c r="H1012" i="6"/>
  <c r="H1014" i="6"/>
  <c r="H1015" i="6"/>
  <c r="H1016" i="6"/>
  <c r="H1017" i="6"/>
  <c r="H1019" i="6"/>
  <c r="H1020" i="6"/>
  <c r="H1021" i="6"/>
  <c r="H1022" i="6"/>
  <c r="H1025" i="6"/>
  <c r="H1026" i="6"/>
  <c r="H1027" i="6"/>
  <c r="H1028" i="6"/>
  <c r="H1030" i="6"/>
  <c r="H1031" i="6"/>
  <c r="H1032" i="6"/>
  <c r="H1033" i="6"/>
  <c r="H1035" i="6"/>
  <c r="H1036" i="6"/>
  <c r="H1037" i="6"/>
  <c r="H1038" i="6"/>
  <c r="H1041" i="6"/>
  <c r="H1042" i="6"/>
  <c r="H1043" i="6"/>
  <c r="H1044" i="6"/>
  <c r="H1046" i="6"/>
  <c r="H1047" i="6"/>
  <c r="H1048" i="6"/>
  <c r="H1049" i="6"/>
  <c r="H1051" i="6"/>
  <c r="H1052" i="6"/>
  <c r="H1053" i="6"/>
  <c r="H1057" i="6"/>
  <c r="H1058" i="6"/>
  <c r="H1059" i="6"/>
  <c r="H1060" i="6"/>
  <c r="H1062" i="6"/>
  <c r="H1063" i="6"/>
  <c r="H1064" i="6"/>
  <c r="H1065" i="6"/>
  <c r="H1067" i="6"/>
  <c r="H1068" i="6"/>
  <c r="H1069" i="6"/>
  <c r="H1073" i="6"/>
  <c r="H1074" i="6"/>
  <c r="H1075" i="6"/>
  <c r="H1076" i="6"/>
  <c r="H1078" i="6"/>
  <c r="H1080" i="6"/>
  <c r="H1081" i="6"/>
  <c r="H1083" i="6"/>
  <c r="H1084" i="6"/>
  <c r="H1085" i="6"/>
  <c r="H1089" i="6"/>
  <c r="H1090" i="6"/>
  <c r="H1091" i="6"/>
  <c r="H1092" i="6"/>
  <c r="H1094" i="6"/>
  <c r="H1096" i="6"/>
  <c r="H1097" i="6"/>
  <c r="H1099" i="6"/>
  <c r="H1100" i="6"/>
  <c r="H1101" i="6"/>
  <c r="H1105" i="6"/>
  <c r="H1106" i="6"/>
  <c r="H1107" i="6"/>
  <c r="H1108" i="6"/>
  <c r="H1110" i="6"/>
  <c r="H1112" i="6"/>
  <c r="H1113" i="6"/>
  <c r="H1115" i="6"/>
  <c r="H1116" i="6"/>
  <c r="H1117" i="6"/>
  <c r="H1121" i="6"/>
  <c r="H1122" i="6"/>
  <c r="H1123" i="6"/>
  <c r="H1124" i="6"/>
  <c r="H1126" i="6"/>
  <c r="H1128" i="6"/>
  <c r="H1129" i="6"/>
  <c r="H1131" i="6"/>
  <c r="H1132" i="6"/>
  <c r="H1133" i="6"/>
  <c r="H1137" i="6"/>
  <c r="H1138" i="6"/>
  <c r="H1139" i="6"/>
  <c r="H1140" i="6"/>
  <c r="H1142" i="6"/>
  <c r="H1144" i="6"/>
  <c r="H1145" i="6"/>
  <c r="H1147" i="6"/>
  <c r="H1148" i="6"/>
  <c r="H1149" i="6"/>
  <c r="H1153" i="6"/>
  <c r="H1154" i="6"/>
  <c r="H1155" i="6"/>
  <c r="H1156" i="6"/>
  <c r="H1158" i="6"/>
  <c r="H1160" i="6"/>
  <c r="H1161" i="6"/>
  <c r="H1163" i="6"/>
  <c r="H1164" i="6"/>
  <c r="H1165" i="6"/>
  <c r="H1169" i="6"/>
  <c r="H1170" i="6"/>
  <c r="H1171" i="6"/>
  <c r="H1172" i="6"/>
  <c r="H1174" i="6"/>
  <c r="H1176" i="6"/>
  <c r="H1177" i="6"/>
  <c r="H1179" i="6"/>
  <c r="H1180" i="6"/>
  <c r="H1181" i="6"/>
  <c r="H1186" i="6"/>
  <c r="H1187" i="6"/>
  <c r="H1188" i="6"/>
  <c r="H1190" i="6"/>
  <c r="H1192" i="6"/>
  <c r="H1193" i="6"/>
  <c r="H1195" i="6"/>
  <c r="H1196" i="6"/>
  <c r="H1197" i="6"/>
  <c r="H1201" i="6"/>
  <c r="H1202" i="6"/>
  <c r="H1203" i="6"/>
  <c r="H1204" i="6"/>
  <c r="H1206" i="6"/>
  <c r="H1208" i="6"/>
  <c r="H1209" i="6"/>
  <c r="H1211" i="6"/>
  <c r="H1212" i="6"/>
  <c r="H1213" i="6"/>
  <c r="H1217" i="6"/>
  <c r="H1218" i="6"/>
  <c r="H1219" i="6"/>
  <c r="H1220" i="6"/>
  <c r="H1222" i="6"/>
  <c r="H1224" i="6"/>
  <c r="H1225" i="6"/>
  <c r="H1227" i="6"/>
  <c r="H1228" i="6"/>
  <c r="H1229" i="6"/>
  <c r="H1234" i="6"/>
  <c r="H1235" i="6"/>
  <c r="H1236" i="6"/>
  <c r="H1238" i="6"/>
  <c r="H1240" i="6"/>
  <c r="H1241" i="6"/>
  <c r="H1243" i="6"/>
  <c r="H1244" i="6"/>
  <c r="H1245" i="6"/>
  <c r="H1246" i="6"/>
  <c r="H1249" i="6"/>
  <c r="H1250" i="6"/>
  <c r="H1251" i="6"/>
  <c r="H1252" i="6"/>
  <c r="H1254" i="6"/>
  <c r="H1256" i="6"/>
  <c r="H1257" i="6"/>
  <c r="H1259" i="6"/>
  <c r="H1260" i="6"/>
  <c r="H1261" i="6"/>
  <c r="H1265" i="6"/>
  <c r="H1266" i="6"/>
  <c r="H1267" i="6"/>
  <c r="H1268" i="6"/>
  <c r="H1270" i="6"/>
  <c r="H1272" i="6"/>
  <c r="H1273" i="6"/>
  <c r="H1275" i="6"/>
  <c r="H1277" i="6"/>
  <c r="H1281" i="6"/>
  <c r="H1282" i="6"/>
  <c r="H1283" i="6"/>
  <c r="H1284" i="6"/>
  <c r="H1286" i="6"/>
  <c r="H1288" i="6"/>
  <c r="H1289" i="6"/>
  <c r="H1291" i="6"/>
  <c r="H1292" i="6"/>
  <c r="H1293" i="6"/>
  <c r="H1294" i="6"/>
  <c r="H1298" i="6"/>
  <c r="H1299" i="6"/>
  <c r="H1300" i="6"/>
  <c r="H1302" i="6"/>
  <c r="H1304" i="6"/>
  <c r="H1307" i="6"/>
  <c r="H1309" i="6"/>
  <c r="H1313" i="6"/>
  <c r="H1314" i="6"/>
  <c r="H1315" i="6"/>
  <c r="H1316" i="6"/>
  <c r="H1318" i="6"/>
  <c r="H1320" i="6"/>
  <c r="H1321" i="6"/>
  <c r="H1325" i="6"/>
  <c r="H1330" i="6"/>
  <c r="H1331" i="6"/>
  <c r="H1332" i="6"/>
  <c r="H1334" i="6"/>
  <c r="H1336" i="6"/>
  <c r="H1337" i="6"/>
  <c r="H1339" i="6"/>
  <c r="H1340" i="6"/>
  <c r="H1341" i="6"/>
  <c r="H1345" i="6"/>
  <c r="H1346" i="6"/>
  <c r="H1347" i="6"/>
  <c r="H1348" i="6"/>
  <c r="H1350" i="6"/>
  <c r="H1352" i="6"/>
  <c r="H1357" i="6"/>
  <c r="H1361" i="6"/>
  <c r="H1362" i="6"/>
  <c r="H1363" i="6"/>
  <c r="H1364" i="6"/>
  <c r="H1366" i="6"/>
  <c r="H1368" i="6"/>
  <c r="H1378" i="6"/>
  <c r="H1379" i="6"/>
  <c r="H1380" i="6"/>
  <c r="H1382" i="6"/>
  <c r="H1384" i="6"/>
  <c r="H1385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B12" i="7" a="1"/>
  <c r="B12" i="7" s="1"/>
  <c r="C12" i="7" s="1"/>
  <c r="I2" i="6" a="1"/>
  <c r="C11" i="7"/>
  <c r="A18" i="7"/>
  <c r="A17" i="7"/>
  <c r="A16" i="7"/>
  <c r="A15" i="7"/>
  <c r="A14" i="7"/>
  <c r="A13" i="7"/>
  <c r="A12" i="7"/>
  <c r="A11" i="7"/>
  <c r="A2" i="17" a="1"/>
  <c r="A2" i="17" s="1"/>
  <c r="A8" i="7"/>
  <c r="A7" i="7"/>
  <c r="A6" i="7"/>
  <c r="A5" i="7"/>
  <c r="A4" i="7"/>
  <c r="A3" i="7"/>
  <c r="A2" i="7"/>
  <c r="A1" i="7"/>
  <c r="H1359" i="6" l="1"/>
  <c r="I2" i="6"/>
  <c r="B16" i="7" a="1"/>
  <c r="B13" i="7" a="1"/>
  <c r="C14" i="7" l="1"/>
  <c r="C15" i="7"/>
  <c r="C17" i="7"/>
  <c r="C18" i="7"/>
  <c r="B13" i="7"/>
  <c r="C13" i="7" s="1"/>
  <c r="B16" i="7"/>
  <c r="C16" i="7" s="1"/>
  <c r="B1" i="6"/>
  <c r="D3" i="6" l="1"/>
  <c r="C3" i="6"/>
  <c r="G3" i="6"/>
  <c r="G4" i="6" s="1"/>
  <c r="F3" i="6"/>
  <c r="F4" i="6" s="1"/>
  <c r="E3" i="6"/>
  <c r="B3" i="6"/>
  <c r="E4" i="6" l="1"/>
  <c r="AI2" i="6" s="1" a="1"/>
  <c r="AI2" i="6" s="1"/>
  <c r="AH2" i="6" a="1"/>
  <c r="AH2" i="6" s="1"/>
  <c r="Y2" i="6" a="1"/>
  <c r="X158" i="6" s="1"/>
  <c r="AB2" i="6" a="1"/>
  <c r="AA691" i="6" s="1"/>
  <c r="AE2" i="6" a="1"/>
  <c r="AE2" i="6" s="1"/>
  <c r="M2" i="6" s="1" a="1"/>
  <c r="M2" i="6" s="1"/>
  <c r="V2" i="6" a="1"/>
  <c r="AA1004" i="6" l="1"/>
  <c r="AA291" i="6"/>
  <c r="AA64" i="6"/>
  <c r="AA154" i="6"/>
  <c r="AA145" i="6"/>
  <c r="AA440" i="6"/>
  <c r="X9" i="6"/>
  <c r="AA953" i="6"/>
  <c r="AA761" i="6"/>
  <c r="AA252" i="6"/>
  <c r="AA720" i="6"/>
  <c r="X29" i="6"/>
  <c r="AA220" i="6"/>
  <c r="AA849" i="6"/>
  <c r="AA73" i="6"/>
  <c r="AA1502" i="6"/>
  <c r="AA777" i="6"/>
  <c r="AA113" i="6"/>
  <c r="AA1125" i="6"/>
  <c r="AA949" i="6"/>
  <c r="AA1724" i="6"/>
  <c r="AA657" i="6"/>
  <c r="X60" i="6"/>
  <c r="AA426" i="6"/>
  <c r="AA444" i="6"/>
  <c r="AA630" i="6"/>
  <c r="AA1705" i="6"/>
  <c r="AA1005" i="6"/>
  <c r="AA637" i="6"/>
  <c r="AA112" i="6"/>
  <c r="X313" i="6"/>
  <c r="AA1031" i="6"/>
  <c r="AA1725" i="6"/>
  <c r="AA766" i="6"/>
  <c r="AA1690" i="6"/>
  <c r="AA937" i="6"/>
  <c r="AA1259" i="6"/>
  <c r="AA869" i="6"/>
  <c r="AA662" i="6"/>
  <c r="AA344" i="6"/>
  <c r="AA618" i="6"/>
  <c r="AA534" i="6"/>
  <c r="AA432" i="6"/>
  <c r="AA253" i="6"/>
  <c r="AA72" i="6"/>
  <c r="AA740" i="6"/>
  <c r="X448" i="6"/>
  <c r="X266" i="6"/>
  <c r="AA955" i="6"/>
  <c r="AA1710" i="6"/>
  <c r="AA696" i="6"/>
  <c r="AA881" i="6"/>
  <c r="AA227" i="6"/>
  <c r="AA1965" i="6"/>
  <c r="AA553" i="6"/>
  <c r="AA1719" i="6"/>
  <c r="AA711" i="6"/>
  <c r="AA699" i="6"/>
  <c r="X20" i="6"/>
  <c r="AA1088" i="6"/>
  <c r="AA528" i="6"/>
  <c r="AA1168" i="6"/>
  <c r="AA609" i="6"/>
  <c r="AA1304" i="6"/>
  <c r="AA413" i="6"/>
  <c r="AA582" i="6"/>
  <c r="AA987" i="6"/>
  <c r="AA1438" i="6"/>
  <c r="AA342" i="6"/>
  <c r="AA257" i="6"/>
  <c r="AA157" i="6"/>
  <c r="AA53" i="6"/>
  <c r="AA762" i="6"/>
  <c r="AA324" i="6"/>
  <c r="X246" i="6"/>
  <c r="X249" i="6"/>
  <c r="AA706" i="6"/>
  <c r="AA28" i="6"/>
  <c r="AA1564" i="6"/>
  <c r="AA1017" i="6"/>
  <c r="AA333" i="6"/>
  <c r="AA1847" i="6"/>
  <c r="AA134" i="6"/>
  <c r="AA360" i="6"/>
  <c r="X729" i="6"/>
  <c r="AA1157" i="6"/>
  <c r="AA873" i="6"/>
  <c r="AA1305" i="6"/>
  <c r="AA1030" i="6"/>
  <c r="AA34" i="6"/>
  <c r="AA61" i="6"/>
  <c r="AA368" i="6"/>
  <c r="AA90" i="6"/>
  <c r="AA769" i="6"/>
  <c r="AA672" i="6"/>
  <c r="AA402" i="6"/>
  <c r="X146" i="6"/>
  <c r="AA1078" i="6"/>
  <c r="AA1289" i="6"/>
  <c r="AA1230" i="6"/>
  <c r="AA619" i="6"/>
  <c r="AA416" i="6"/>
  <c r="AA347" i="6"/>
  <c r="AA1199" i="6"/>
  <c r="AA913" i="6"/>
  <c r="AA894" i="6"/>
  <c r="AA322" i="6"/>
  <c r="AA514" i="6"/>
  <c r="AA845" i="6"/>
  <c r="AA363" i="6"/>
  <c r="AA300" i="6"/>
  <c r="AA1309" i="6"/>
  <c r="AA321" i="6"/>
  <c r="AA238" i="6"/>
  <c r="AA118" i="6"/>
  <c r="AA31" i="6"/>
  <c r="AA683" i="6"/>
  <c r="AA228" i="6"/>
  <c r="X557" i="6"/>
  <c r="X221" i="6"/>
  <c r="AA561" i="6"/>
  <c r="AA823" i="6"/>
  <c r="AA768" i="6"/>
  <c r="AA281" i="6"/>
  <c r="AA6" i="6"/>
  <c r="AA346" i="6"/>
  <c r="AA3" i="6"/>
  <c r="AA1345" i="6"/>
  <c r="AA299" i="6"/>
  <c r="AA294" i="6"/>
  <c r="AA249" i="6"/>
  <c r="X100" i="6"/>
  <c r="AA622" i="6"/>
  <c r="X82" i="6"/>
  <c r="AA378" i="6"/>
  <c r="AA11" i="6"/>
  <c r="X12" i="6"/>
  <c r="X43" i="6"/>
  <c r="AA481" i="6"/>
  <c r="AA748" i="6"/>
  <c r="AA518" i="6"/>
  <c r="AA681" i="6"/>
  <c r="X442" i="6"/>
  <c r="AA365" i="6"/>
  <c r="AA277" i="6"/>
  <c r="AA1623" i="6"/>
  <c r="AA519" i="6"/>
  <c r="AA976" i="6"/>
  <c r="AA775" i="6"/>
  <c r="AA1097" i="6"/>
  <c r="X530" i="6"/>
  <c r="AA972" i="6"/>
  <c r="AA397" i="6"/>
  <c r="AA1383" i="6"/>
  <c r="X58" i="6"/>
  <c r="AA822" i="6"/>
  <c r="AA246" i="6"/>
  <c r="AA303" i="6"/>
  <c r="AA1053" i="6"/>
  <c r="AA700" i="6"/>
  <c r="AA125" i="6"/>
  <c r="AA200" i="6"/>
  <c r="AA56" i="6"/>
  <c r="AA625" i="6"/>
  <c r="AA544" i="6"/>
  <c r="AA4" i="6"/>
  <c r="X41" i="6"/>
  <c r="X1765" i="6"/>
  <c r="AA366" i="6"/>
  <c r="X555" i="6"/>
  <c r="AA572" i="6"/>
  <c r="AA104" i="6"/>
  <c r="X397" i="6"/>
  <c r="AA1150" i="6"/>
  <c r="AA207" i="6"/>
  <c r="AA282" i="6"/>
  <c r="AA954" i="6"/>
  <c r="AA215" i="6"/>
  <c r="AA680" i="6"/>
  <c r="AA1356" i="6"/>
  <c r="AA917" i="6"/>
  <c r="AA969" i="6"/>
  <c r="AA5" i="6"/>
  <c r="AA1047" i="6"/>
  <c r="AA80" i="6"/>
  <c r="AA780" i="6"/>
  <c r="AA405" i="6"/>
  <c r="AA144" i="6"/>
  <c r="AA20" i="6"/>
  <c r="AA461" i="6"/>
  <c r="AA65" i="6"/>
  <c r="AA1661" i="6"/>
  <c r="AA1609" i="6"/>
  <c r="AA109" i="6"/>
  <c r="AA1689" i="6"/>
  <c r="AA1585" i="6"/>
  <c r="AA1067" i="6"/>
  <c r="AA1445" i="6"/>
  <c r="AA1029" i="6"/>
  <c r="AA443" i="6"/>
  <c r="AA63" i="6"/>
  <c r="AA121" i="6"/>
  <c r="AA649" i="6"/>
  <c r="AA527" i="6"/>
  <c r="AA288" i="6"/>
  <c r="AA627" i="6"/>
  <c r="X398" i="6"/>
  <c r="X1156" i="6"/>
  <c r="AA1010" i="6"/>
  <c r="AA373" i="6"/>
  <c r="AA973" i="6"/>
  <c r="X517" i="6"/>
  <c r="AA364" i="6"/>
  <c r="AA717" i="6"/>
  <c r="AA314" i="6"/>
  <c r="AA1709" i="6"/>
  <c r="X314" i="6"/>
  <c r="AA1342" i="6"/>
  <c r="AA187" i="6"/>
  <c r="AA237" i="6"/>
  <c r="AA1248" i="6"/>
  <c r="AA409" i="6"/>
  <c r="AA998" i="6"/>
  <c r="AA199" i="6"/>
  <c r="AA1306" i="6"/>
  <c r="AA509" i="6"/>
  <c r="AA863" i="6"/>
  <c r="AA441" i="6"/>
  <c r="AA340" i="6"/>
  <c r="AA1016" i="6"/>
  <c r="AA206" i="6"/>
  <c r="AA161" i="6"/>
  <c r="AA738" i="6"/>
  <c r="AA219" i="6"/>
  <c r="AA77" i="6"/>
  <c r="AA642" i="6"/>
  <c r="AA225" i="6"/>
  <c r="AA44" i="6"/>
  <c r="AA1389" i="6"/>
  <c r="AA1535" i="6"/>
  <c r="AA221" i="6"/>
  <c r="AA1372" i="6"/>
  <c r="AA930" i="6"/>
  <c r="AA1035" i="6"/>
  <c r="AA1169" i="6"/>
  <c r="AA997" i="6"/>
  <c r="AA1950" i="6"/>
  <c r="AA43" i="6"/>
  <c r="AA1098" i="6"/>
  <c r="AA629" i="6"/>
  <c r="AA312" i="6"/>
  <c r="AA269" i="6"/>
  <c r="AA451" i="6"/>
  <c r="X285" i="6"/>
  <c r="X1108" i="6"/>
  <c r="AA399" i="6"/>
  <c r="AA1732" i="6"/>
  <c r="X185" i="6"/>
  <c r="AA45" i="6"/>
  <c r="AA549" i="6"/>
  <c r="AA248" i="6"/>
  <c r="AA656" i="6"/>
  <c r="AA1860" i="6"/>
  <c r="X59" i="6"/>
  <c r="AA1411" i="6"/>
  <c r="AA463" i="6"/>
  <c r="AA434" i="6"/>
  <c r="AA234" i="6"/>
  <c r="AA305" i="6"/>
  <c r="X346" i="6"/>
  <c r="AA747" i="6"/>
  <c r="AA38" i="6"/>
  <c r="AA379" i="6"/>
  <c r="AA1453" i="6"/>
  <c r="AA108" i="6"/>
  <c r="AA1278" i="6"/>
  <c r="AA858" i="6"/>
  <c r="AA1009" i="6"/>
  <c r="AA1032" i="6"/>
  <c r="AA968" i="6"/>
  <c r="AA1726" i="6"/>
  <c r="AA715" i="6"/>
  <c r="AA970" i="6"/>
  <c r="AA608" i="6"/>
  <c r="AA271" i="6"/>
  <c r="AA250" i="6"/>
  <c r="AA403" i="6"/>
  <c r="X234" i="6"/>
  <c r="X524" i="6"/>
  <c r="AA1355" i="6"/>
  <c r="AA1803" i="6"/>
  <c r="AA1281" i="6"/>
  <c r="AA1687" i="6"/>
  <c r="AA1210" i="6"/>
  <c r="AA318" i="6"/>
  <c r="AA304" i="6"/>
  <c r="AA240" i="6"/>
  <c r="AA737" i="6"/>
  <c r="AA380" i="6"/>
  <c r="AA256" i="6"/>
  <c r="AA216" i="6"/>
  <c r="AA909" i="6"/>
  <c r="AA535" i="6"/>
  <c r="X589" i="6"/>
  <c r="X788" i="6"/>
  <c r="X276" i="6"/>
  <c r="AA760" i="6"/>
  <c r="AA901" i="6"/>
  <c r="AA1232" i="6"/>
  <c r="AA1070" i="6"/>
  <c r="AA1227" i="6"/>
  <c r="AA1102" i="6"/>
  <c r="AA1297" i="6"/>
  <c r="AA1319" i="6"/>
  <c r="AA993" i="6"/>
  <c r="AA66" i="6"/>
  <c r="AA124" i="6"/>
  <c r="AA78" i="6"/>
  <c r="AA746" i="6"/>
  <c r="AA566" i="6"/>
  <c r="AA327" i="6"/>
  <c r="X1808" i="6"/>
  <c r="X381" i="6"/>
  <c r="AA752" i="6"/>
  <c r="AA267" i="6"/>
  <c r="AA1099" i="6"/>
  <c r="AA1014" i="6"/>
  <c r="AA719" i="6"/>
  <c r="AA776" i="6"/>
  <c r="AA1272" i="6"/>
  <c r="AA1269" i="6"/>
  <c r="AA815" i="6"/>
  <c r="AA793" i="6"/>
  <c r="AA62" i="6"/>
  <c r="AA58" i="6"/>
  <c r="AA569" i="6"/>
  <c r="AA545" i="6"/>
  <c r="AA311" i="6"/>
  <c r="X1066" i="6"/>
  <c r="X213" i="6"/>
  <c r="AA1801" i="6"/>
  <c r="AA1788" i="6"/>
  <c r="AA1769" i="6"/>
  <c r="AA1884" i="6"/>
  <c r="AA1657" i="6"/>
  <c r="AA1645" i="6"/>
  <c r="AA1454" i="6"/>
  <c r="AA1693" i="6"/>
  <c r="AA1179" i="6"/>
  <c r="AA1490" i="6"/>
  <c r="AA1820" i="6"/>
  <c r="AA1802" i="6"/>
  <c r="AA1625" i="6"/>
  <c r="AA1174" i="6"/>
  <c r="AA1436" i="6"/>
  <c r="AA940" i="6"/>
  <c r="X1756" i="6"/>
  <c r="AA1828" i="6"/>
  <c r="AA1255" i="6"/>
  <c r="AA1563" i="6"/>
  <c r="AA912" i="6"/>
  <c r="AA886" i="6"/>
  <c r="AA693" i="6"/>
  <c r="AA1607" i="6"/>
  <c r="AA1737" i="6"/>
  <c r="AA736" i="6"/>
  <c r="AA1593" i="6"/>
  <c r="AA1119" i="6"/>
  <c r="AA1260" i="6"/>
  <c r="AA422" i="6"/>
  <c r="AA831" i="6"/>
  <c r="AA904" i="6"/>
  <c r="AA616" i="6"/>
  <c r="AA401" i="6"/>
  <c r="AA286" i="6"/>
  <c r="AA813" i="6"/>
  <c r="AA185" i="6"/>
  <c r="AA82" i="6"/>
  <c r="AA79" i="6"/>
  <c r="AA14" i="6"/>
  <c r="AA352" i="6"/>
  <c r="AA214" i="6"/>
  <c r="AA10" i="6"/>
  <c r="AA623" i="6"/>
  <c r="AA247" i="6"/>
  <c r="AA371" i="6"/>
  <c r="X362" i="6"/>
  <c r="X959" i="6"/>
  <c r="X1718" i="6"/>
  <c r="X52" i="6"/>
  <c r="AA1959" i="6"/>
  <c r="X1723" i="6"/>
  <c r="AA1578" i="6"/>
  <c r="AA1735" i="6"/>
  <c r="AA1956" i="6"/>
  <c r="AA1596" i="6"/>
  <c r="AA1946" i="6"/>
  <c r="AA1410" i="6"/>
  <c r="AA1681" i="6"/>
  <c r="AA1134" i="6"/>
  <c r="X1657" i="6"/>
  <c r="AA1706" i="6"/>
  <c r="AA1897" i="6"/>
  <c r="AA1883" i="6"/>
  <c r="AA1550" i="6"/>
  <c r="AA1301" i="6"/>
  <c r="AA1799" i="6"/>
  <c r="AA1141" i="6"/>
  <c r="AA1819" i="6"/>
  <c r="AA1373" i="6"/>
  <c r="AA1972" i="6"/>
  <c r="AA1926" i="6"/>
  <c r="AA897" i="6"/>
  <c r="AA1295" i="6"/>
  <c r="AA1424" i="6"/>
  <c r="AA1194" i="6"/>
  <c r="AA1504" i="6"/>
  <c r="AA841" i="6"/>
  <c r="AA1151" i="6"/>
  <c r="AA1739" i="6"/>
  <c r="AA1633" i="6"/>
  <c r="AA733" i="6"/>
  <c r="AA1326" i="6"/>
  <c r="AA950" i="6"/>
  <c r="AA1844" i="6"/>
  <c r="AA1265" i="6"/>
  <c r="AA594" i="6"/>
  <c r="AA1503" i="6"/>
  <c r="AA1702" i="6"/>
  <c r="AA102" i="6"/>
  <c r="AA1859" i="6"/>
  <c r="AA1938" i="6"/>
  <c r="AA24" i="6"/>
  <c r="AA814" i="6"/>
  <c r="AA16" i="6"/>
  <c r="AA21" i="6"/>
  <c r="AA879" i="6"/>
  <c r="AA610" i="6"/>
  <c r="AA315" i="6"/>
  <c r="AA32" i="6"/>
  <c r="AA966" i="6"/>
  <c r="AA526" i="6"/>
  <c r="AA70" i="6"/>
  <c r="AA692" i="6"/>
  <c r="X447" i="6"/>
  <c r="X771" i="6"/>
  <c r="X232" i="6"/>
  <c r="X76" i="6"/>
  <c r="X257" i="6"/>
  <c r="AA1981" i="6"/>
  <c r="AA1916" i="6"/>
  <c r="AA1629" i="6"/>
  <c r="AA1688" i="6"/>
  <c r="AA1575" i="6"/>
  <c r="AA1787" i="6"/>
  <c r="AA1386" i="6"/>
  <c r="AA1514" i="6"/>
  <c r="AA1521" i="6"/>
  <c r="AA1263" i="6"/>
  <c r="AA984" i="6"/>
  <c r="X968" i="6"/>
  <c r="AA1852" i="6"/>
  <c r="AA1254" i="6"/>
  <c r="AA956" i="6"/>
  <c r="AA906" i="6"/>
  <c r="AA1700" i="6"/>
  <c r="AA584" i="6"/>
  <c r="AA1673" i="6"/>
  <c r="AA1601" i="6"/>
  <c r="AA1279" i="6"/>
  <c r="AA876" i="6"/>
  <c r="AA1812" i="6"/>
  <c r="AA994" i="6"/>
  <c r="AA1485" i="6"/>
  <c r="AA1686" i="6"/>
  <c r="AA1534" i="6"/>
  <c r="AA1551" i="6"/>
  <c r="AA1728" i="6"/>
  <c r="AA778" i="6"/>
  <c r="AA975" i="6"/>
  <c r="AA753" i="6"/>
  <c r="AA807" i="6"/>
  <c r="AA591" i="6"/>
  <c r="AA236" i="6"/>
  <c r="AA12" i="6"/>
  <c r="AA946" i="6"/>
  <c r="AA447" i="6"/>
  <c r="AA48" i="6"/>
  <c r="AA356" i="6"/>
  <c r="X186" i="6"/>
  <c r="X635" i="6"/>
  <c r="X102" i="6"/>
  <c r="X1325" i="6"/>
  <c r="X596" i="6"/>
  <c r="AA1899" i="6"/>
  <c r="AA1833" i="6"/>
  <c r="AA1898" i="6"/>
  <c r="AA1880" i="6"/>
  <c r="AA1610" i="6"/>
  <c r="AA1963" i="6"/>
  <c r="AA1863" i="6"/>
  <c r="AA1568" i="6"/>
  <c r="AA1652" i="6"/>
  <c r="AA1932" i="6"/>
  <c r="AA1449" i="6"/>
  <c r="AA1426" i="6"/>
  <c r="AA1909" i="6"/>
  <c r="AA1498" i="6"/>
  <c r="AA1533" i="6"/>
  <c r="AA1664" i="6"/>
  <c r="X1824" i="6"/>
  <c r="AA1071" i="6"/>
  <c r="AA1285" i="6"/>
  <c r="AA1915" i="6"/>
  <c r="AA1393" i="6"/>
  <c r="AA1628" i="6"/>
  <c r="AA1949" i="6"/>
  <c r="AA1995" i="6"/>
  <c r="AA1532" i="6"/>
  <c r="AA1488" i="6"/>
  <c r="AA1177" i="6"/>
  <c r="AA1975" i="6"/>
  <c r="AA1443" i="6"/>
  <c r="AA1900" i="6"/>
  <c r="AA1431" i="6"/>
  <c r="AA1407" i="6"/>
  <c r="AA1482" i="6"/>
  <c r="AA1480" i="6"/>
  <c r="AA1317" i="6"/>
  <c r="AA1513" i="6"/>
  <c r="X1726" i="6"/>
  <c r="X755" i="6"/>
  <c r="AA1961" i="6"/>
  <c r="AA1929" i="6"/>
  <c r="AA1789" i="6"/>
  <c r="AA1641" i="6"/>
  <c r="AA1303" i="6"/>
  <c r="AA1675" i="6"/>
  <c r="AA1867" i="6"/>
  <c r="AA1421" i="6"/>
  <c r="AA1327" i="6"/>
  <c r="AA951" i="6"/>
  <c r="AA1879" i="6"/>
  <c r="AA1405" i="6"/>
  <c r="AA784" i="6"/>
  <c r="AA1394" i="6"/>
  <c r="AA1250" i="6"/>
  <c r="AA1322" i="6"/>
  <c r="AA1464" i="6"/>
  <c r="AA1341" i="6"/>
  <c r="AA1084" i="6"/>
  <c r="AA1023" i="6"/>
  <c r="AA496" i="6"/>
  <c r="AA754" i="6"/>
  <c r="AA538" i="6"/>
  <c r="AA513" i="6"/>
  <c r="AA533" i="6"/>
  <c r="AA97" i="6"/>
  <c r="AA588" i="6"/>
  <c r="AA508" i="6"/>
  <c r="AA191" i="6"/>
  <c r="AA89" i="6"/>
  <c r="AA260" i="6"/>
  <c r="X437" i="6"/>
  <c r="X888" i="6"/>
  <c r="X162" i="6"/>
  <c r="X119" i="6"/>
  <c r="AA1206" i="6"/>
  <c r="AA1571" i="6"/>
  <c r="AA1660" i="6"/>
  <c r="AA1993" i="6"/>
  <c r="AA1865" i="6"/>
  <c r="AA1643" i="6"/>
  <c r="AA266" i="6"/>
  <c r="AA1528" i="6"/>
  <c r="AA1738" i="6"/>
  <c r="AA464" i="6"/>
  <c r="AA658" i="6"/>
  <c r="AA1452" i="6"/>
  <c r="AA1658" i="6"/>
  <c r="AA1913" i="6"/>
  <c r="AA802" i="6"/>
  <c r="AA1066" i="6"/>
  <c r="AA1115" i="6"/>
  <c r="AA1402" i="6"/>
  <c r="AA1613" i="6"/>
  <c r="AA1868" i="6"/>
  <c r="AA1784" i="6"/>
  <c r="AA977" i="6"/>
  <c r="AA1501" i="6"/>
  <c r="AA795" i="6"/>
  <c r="AA1247" i="6"/>
  <c r="AA202" i="6"/>
  <c r="AA790" i="6"/>
  <c r="AA1290" i="6"/>
  <c r="AA245" i="6"/>
  <c r="AA779" i="6"/>
  <c r="AA1159" i="6"/>
  <c r="AA1399" i="6"/>
  <c r="AA957" i="6"/>
  <c r="AA302" i="6"/>
  <c r="AA597" i="6"/>
  <c r="AA42" i="6"/>
  <c r="AA396" i="6"/>
  <c r="AA914" i="6"/>
  <c r="AA218" i="6"/>
  <c r="AA296" i="6"/>
  <c r="AA529" i="6"/>
  <c r="AA911" i="6"/>
  <c r="AA193" i="6"/>
  <c r="AA489" i="6"/>
  <c r="AA837" i="6"/>
  <c r="AA49" i="6"/>
  <c r="AA171" i="6"/>
  <c r="AA391" i="6"/>
  <c r="AA676" i="6"/>
  <c r="AA595" i="6"/>
  <c r="X490" i="6"/>
  <c r="X1565" i="6"/>
  <c r="X1690" i="6"/>
  <c r="X183" i="6"/>
  <c r="X330" i="6"/>
  <c r="X1001" i="6"/>
  <c r="X632" i="6"/>
  <c r="X472" i="6"/>
  <c r="AA682" i="6"/>
  <c r="AA1895" i="6"/>
  <c r="AA832" i="6"/>
  <c r="AA1729" i="6"/>
  <c r="AA1415" i="6"/>
  <c r="AA1849" i="6"/>
  <c r="AA319" i="6"/>
  <c r="AA870" i="6"/>
  <c r="AA1061" i="6"/>
  <c r="AA1581" i="6"/>
  <c r="AA1772" i="6"/>
  <c r="AA1768" i="6"/>
  <c r="AA943" i="6"/>
  <c r="AA1465" i="6"/>
  <c r="AA758" i="6"/>
  <c r="AA1224" i="6"/>
  <c r="AA146" i="6"/>
  <c r="AA751" i="6"/>
  <c r="AA1243" i="6"/>
  <c r="AA26" i="6"/>
  <c r="AA741" i="6"/>
  <c r="AA1050" i="6"/>
  <c r="AA1377" i="6"/>
  <c r="AA939" i="6"/>
  <c r="AA283" i="6"/>
  <c r="AA576" i="6"/>
  <c r="AA18" i="6"/>
  <c r="AA377" i="6"/>
  <c r="AA824" i="6"/>
  <c r="AA139" i="6"/>
  <c r="AA274" i="6"/>
  <c r="AA491" i="6"/>
  <c r="AA839" i="6"/>
  <c r="AA114" i="6"/>
  <c r="AA429" i="6"/>
  <c r="AA605" i="6"/>
  <c r="AA29" i="6"/>
  <c r="AA130" i="6"/>
  <c r="AA359" i="6"/>
  <c r="AA388" i="6"/>
  <c r="AA579" i="6"/>
  <c r="X1343" i="6"/>
  <c r="X1406" i="6"/>
  <c r="X1611" i="6"/>
  <c r="X106" i="6"/>
  <c r="X275" i="6"/>
  <c r="X783" i="6"/>
  <c r="X817" i="6"/>
  <c r="X179" i="6"/>
  <c r="AA1041" i="6"/>
  <c r="AA1692" i="6"/>
  <c r="AA1979" i="6"/>
  <c r="AA1417" i="6"/>
  <c r="AA1543" i="6"/>
  <c r="AA1538" i="6"/>
  <c r="AA1767" i="6"/>
  <c r="AA1577" i="6"/>
  <c r="AA1434" i="6"/>
  <c r="AA1671" i="6"/>
  <c r="AA345" i="6"/>
  <c r="AA1626" i="6"/>
  <c r="AA1361" i="6"/>
  <c r="AA1086" i="6"/>
  <c r="AA1046" i="6"/>
  <c r="AA1253" i="6"/>
  <c r="AA1391" i="6"/>
  <c r="AA1376" i="6"/>
  <c r="AA1771" i="6"/>
  <c r="AA1489" i="6"/>
  <c r="AA1416" i="6"/>
  <c r="AA575" i="6"/>
  <c r="AA1352" i="6"/>
  <c r="AA1597" i="6"/>
  <c r="AA1665" i="6"/>
  <c r="AA224" i="6"/>
  <c r="AA1374" i="6"/>
  <c r="AA1594" i="6"/>
  <c r="AA1785" i="6"/>
  <c r="AA201" i="6"/>
  <c r="AA796" i="6"/>
  <c r="AA999" i="6"/>
  <c r="AA1314" i="6"/>
  <c r="AA1546" i="6"/>
  <c r="AA1435" i="6"/>
  <c r="AA1704" i="6"/>
  <c r="AA797" i="6"/>
  <c r="AA1447" i="6"/>
  <c r="AA521" i="6"/>
  <c r="AA1195" i="6"/>
  <c r="AA40" i="6"/>
  <c r="AA713" i="6"/>
  <c r="AA1215" i="6"/>
  <c r="AA287" i="6"/>
  <c r="AA701" i="6"/>
  <c r="AA850" i="6"/>
  <c r="AA1049" i="6"/>
  <c r="AA811" i="6"/>
  <c r="AA264" i="6"/>
  <c r="AA557" i="6"/>
  <c r="AA989" i="6"/>
  <c r="AA278" i="6"/>
  <c r="AA786" i="6"/>
  <c r="AA98" i="6"/>
  <c r="AA255" i="6"/>
  <c r="AA472" i="6"/>
  <c r="AA765" i="6"/>
  <c r="AA75" i="6"/>
  <c r="AA390" i="6"/>
  <c r="AA586" i="6"/>
  <c r="AA8" i="6"/>
  <c r="AA111" i="6"/>
  <c r="AA343" i="6"/>
  <c r="AA372" i="6"/>
  <c r="AA483" i="6"/>
  <c r="X862" i="6"/>
  <c r="X1312" i="6"/>
  <c r="X1862" i="6"/>
  <c r="X1036" i="6"/>
  <c r="X215" i="6"/>
  <c r="X371" i="6"/>
  <c r="X526" i="6"/>
  <c r="X51" i="6"/>
  <c r="AA71" i="6"/>
  <c r="AA180" i="6"/>
  <c r="AA195" i="6"/>
  <c r="X985" i="6"/>
  <c r="X1501" i="6"/>
  <c r="X1069" i="6"/>
  <c r="AA1611" i="6"/>
  <c r="AA688" i="6"/>
  <c r="AA1040" i="6"/>
  <c r="AA1392" i="6"/>
  <c r="AA1541" i="6"/>
  <c r="AA1642" i="6"/>
  <c r="AA1639" i="6"/>
  <c r="AA1470" i="6"/>
  <c r="AA1834" i="6"/>
  <c r="AA827" i="6"/>
  <c r="AA1433" i="6"/>
  <c r="AA1668" i="6"/>
  <c r="AA1339" i="6"/>
  <c r="AA809" i="6"/>
  <c r="AA537" i="6"/>
  <c r="AA1013" i="6"/>
  <c r="AA1325" i="6"/>
  <c r="AA1655" i="6"/>
  <c r="AA1780" i="6"/>
  <c r="AA60" i="6"/>
  <c r="AA603" i="6"/>
  <c r="AA698" i="6"/>
  <c r="AA919" i="6"/>
  <c r="AA1277" i="6"/>
  <c r="AA265" i="6"/>
  <c r="AA1118" i="6"/>
  <c r="AA1973" i="6"/>
  <c r="AA757" i="6"/>
  <c r="AA1291" i="6"/>
  <c r="AA27" i="6"/>
  <c r="AA785" i="6"/>
  <c r="AA1495" i="6"/>
  <c r="AA22" i="6"/>
  <c r="AA385" i="6"/>
  <c r="AA495" i="6"/>
  <c r="AA598" i="6"/>
  <c r="AA938" i="6"/>
  <c r="AA262" i="6"/>
  <c r="AA750" i="6"/>
  <c r="AA59" i="6"/>
  <c r="AA454" i="6"/>
  <c r="AA590" i="6"/>
  <c r="AA33" i="6"/>
  <c r="AA175" i="6"/>
  <c r="AA430" i="6"/>
  <c r="AA910" i="6"/>
  <c r="AA94" i="6"/>
  <c r="AA270" i="6"/>
  <c r="AA506" i="6"/>
  <c r="AA57" i="6"/>
  <c r="AA55" i="6"/>
  <c r="AA84" i="6"/>
  <c r="AA147" i="6"/>
  <c r="X403" i="6"/>
  <c r="X1344" i="6"/>
  <c r="X1941" i="6"/>
  <c r="X1382" i="6"/>
  <c r="X977" i="6"/>
  <c r="X204" i="6"/>
  <c r="X1571" i="6"/>
  <c r="AA1475" i="6"/>
  <c r="AA338" i="6"/>
  <c r="AA442" i="6"/>
  <c r="AA577" i="6"/>
  <c r="AA920" i="6"/>
  <c r="AA592" i="6"/>
  <c r="AA37" i="6"/>
  <c r="AA414" i="6"/>
  <c r="AA571" i="6"/>
  <c r="AA13" i="6"/>
  <c r="AA156" i="6"/>
  <c r="AA392" i="6"/>
  <c r="AA818" i="6"/>
  <c r="AA74" i="6"/>
  <c r="AA486" i="6"/>
  <c r="AA41" i="6"/>
  <c r="AA39" i="6"/>
  <c r="AA68" i="6"/>
  <c r="AA51" i="6"/>
  <c r="X402" i="6"/>
  <c r="X1625" i="6"/>
  <c r="X1706" i="6"/>
  <c r="X1336" i="6"/>
  <c r="X1379" i="6"/>
  <c r="AA1469" i="6"/>
  <c r="AA1835" i="6"/>
  <c r="AA1579" i="6"/>
  <c r="AA1015" i="6"/>
  <c r="AA1180" i="6"/>
  <c r="AA1375" i="6"/>
  <c r="AA1333" i="6"/>
  <c r="AA1089" i="6"/>
  <c r="AA1544" i="6"/>
  <c r="AA150" i="6"/>
  <c r="AA1233" i="6"/>
  <c r="AA1505" i="6"/>
  <c r="AA1026" i="6"/>
  <c r="AA437" i="6"/>
  <c r="AA325" i="6"/>
  <c r="AA877" i="6"/>
  <c r="AA1229" i="6"/>
  <c r="AA1323" i="6"/>
  <c r="AA1517" i="6"/>
  <c r="AA1649" i="6"/>
  <c r="AA168" i="6"/>
  <c r="AA485" i="6"/>
  <c r="AA382" i="6"/>
  <c r="AA1228" i="6"/>
  <c r="AA46" i="6"/>
  <c r="AA1065" i="6"/>
  <c r="AA1536" i="6"/>
  <c r="AA673" i="6"/>
  <c r="AA1193" i="6"/>
  <c r="AA1906" i="6"/>
  <c r="AA709" i="6"/>
  <c r="AA1082" i="6"/>
  <c r="AA1839" i="6"/>
  <c r="AA69" i="6"/>
  <c r="AA384" i="6"/>
  <c r="AA498" i="6"/>
  <c r="AA864" i="6"/>
  <c r="AA222" i="6"/>
  <c r="AA573" i="6"/>
  <c r="AA15" i="6"/>
  <c r="AA395" i="6"/>
  <c r="AA552" i="6"/>
  <c r="AA687" i="6"/>
  <c r="AA76" i="6"/>
  <c r="AA370" i="6"/>
  <c r="AA685" i="6"/>
  <c r="AA50" i="6"/>
  <c r="AA232" i="6"/>
  <c r="AA329" i="6"/>
  <c r="AA25" i="6"/>
  <c r="AA23" i="6"/>
  <c r="AA52" i="6"/>
  <c r="AA35" i="6"/>
  <c r="X121" i="6"/>
  <c r="X1546" i="6"/>
  <c r="X829" i="6"/>
  <c r="X225" i="6"/>
  <c r="X19" i="6"/>
  <c r="X1345" i="6"/>
  <c r="X42" i="6"/>
  <c r="AA1871" i="6"/>
  <c r="AA241" i="6"/>
  <c r="AA251" i="6"/>
  <c r="X1392" i="6"/>
  <c r="AA1466" i="6"/>
  <c r="AA1707" i="6"/>
  <c r="AA1463" i="6"/>
  <c r="AA581" i="6"/>
  <c r="AA918" i="6"/>
  <c r="AA1153" i="6"/>
  <c r="AA1144" i="6"/>
  <c r="AA840" i="6"/>
  <c r="AA1468" i="6"/>
  <c r="AA1948" i="6"/>
  <c r="AA1100" i="6"/>
  <c r="AA1427" i="6"/>
  <c r="AA961" i="6"/>
  <c r="AA326" i="6"/>
  <c r="AA208" i="6"/>
  <c r="AA805" i="6"/>
  <c r="AA1176" i="6"/>
  <c r="AA1273" i="6"/>
  <c r="AA1481" i="6"/>
  <c r="AA1617" i="6"/>
  <c r="AA47" i="6"/>
  <c r="AA383" i="6"/>
  <c r="AA268" i="6"/>
  <c r="AA1198" i="6"/>
  <c r="AA1974" i="6"/>
  <c r="AA1033" i="6"/>
  <c r="AA1518" i="6"/>
  <c r="AA620" i="6"/>
  <c r="AA1058" i="6"/>
  <c r="AA1569" i="6"/>
  <c r="AA457" i="6"/>
  <c r="AA1051" i="6"/>
  <c r="AA1512" i="6"/>
  <c r="AA17" i="6"/>
  <c r="AA337" i="6"/>
  <c r="AA460" i="6"/>
  <c r="AA828" i="6"/>
  <c r="AA203" i="6"/>
  <c r="AA554" i="6"/>
  <c r="AA1208" i="6"/>
  <c r="AA297" i="6"/>
  <c r="AA473" i="6"/>
  <c r="AA668" i="6"/>
  <c r="AA54" i="6"/>
  <c r="AA272" i="6"/>
  <c r="AA646" i="6"/>
  <c r="AA30" i="6"/>
  <c r="AA210" i="6"/>
  <c r="AA309" i="6"/>
  <c r="AA9" i="6"/>
  <c r="AA7" i="6"/>
  <c r="AA36" i="6"/>
  <c r="AA19" i="6"/>
  <c r="X1945" i="6"/>
  <c r="X1009" i="6"/>
  <c r="X800" i="6"/>
  <c r="X169" i="6"/>
  <c r="X35" i="6"/>
  <c r="X754" i="6"/>
  <c r="X137" i="6"/>
  <c r="AA280" i="6"/>
  <c r="AA1209" i="6"/>
  <c r="AA1832" i="6"/>
  <c r="AA1409" i="6"/>
  <c r="AA907" i="6"/>
  <c r="AA160" i="6"/>
  <c r="AA1388" i="6"/>
  <c r="AA974" i="6"/>
  <c r="AA258" i="6"/>
  <c r="AA1368" i="6"/>
  <c r="AA866" i="6"/>
  <c r="AA91" i="6"/>
  <c r="AA1138" i="6"/>
  <c r="AA560" i="6"/>
  <c r="AA1479" i="6"/>
  <c r="AA933" i="6"/>
  <c r="AA188" i="6"/>
  <c r="AA1420" i="6"/>
  <c r="AA602" i="6"/>
  <c r="AA1400" i="6"/>
  <c r="AA654" i="6"/>
  <c r="AA1614" i="6"/>
  <c r="AA653" i="6"/>
  <c r="AA921" i="6"/>
  <c r="AA558" i="6"/>
  <c r="AA242" i="6"/>
  <c r="AA810" i="6"/>
  <c r="AA497" i="6"/>
  <c r="AA184" i="6"/>
  <c r="AA861" i="6"/>
  <c r="AA494" i="6"/>
  <c r="AA178" i="6"/>
  <c r="AA896" i="6"/>
  <c r="AA512" i="6"/>
  <c r="AA198" i="6"/>
  <c r="AA530" i="6"/>
  <c r="AA217" i="6"/>
  <c r="AA589" i="6"/>
  <c r="AA273" i="6"/>
  <c r="AA893" i="6"/>
  <c r="AA490" i="6"/>
  <c r="AA174" i="6"/>
  <c r="AA800" i="6"/>
  <c r="AA369" i="6"/>
  <c r="AA507" i="6"/>
  <c r="AA172" i="6"/>
  <c r="AA604" i="6"/>
  <c r="AA230" i="6"/>
  <c r="AA295" i="6"/>
  <c r="AA308" i="6"/>
  <c r="AA275" i="6"/>
  <c r="X863" i="6"/>
  <c r="X934" i="6"/>
  <c r="X908" i="6"/>
  <c r="X1549" i="6"/>
  <c r="X766" i="6"/>
  <c r="X688" i="6"/>
  <c r="X876" i="6"/>
  <c r="X1044" i="6"/>
  <c r="AA1988" i="6"/>
  <c r="AA1770" i="6"/>
  <c r="AA1885" i="6"/>
  <c r="AA1756" i="6"/>
  <c r="AA1604" i="6"/>
  <c r="AA1506" i="6"/>
  <c r="AA1334" i="6"/>
  <c r="AA1496" i="6"/>
  <c r="AA556" i="6"/>
  <c r="AA640" i="6"/>
  <c r="AA1231" i="6"/>
  <c r="AA1786" i="6"/>
  <c r="AA1122" i="6"/>
  <c r="AA1753" i="6"/>
  <c r="AA1121" i="6"/>
  <c r="AA1815" i="6"/>
  <c r="AA1008" i="6"/>
  <c r="AA1588" i="6"/>
  <c r="AA791" i="6"/>
  <c r="AA1477" i="6"/>
  <c r="AA502" i="6"/>
  <c r="AA1357" i="6"/>
  <c r="AA166" i="6"/>
  <c r="AA1154" i="6"/>
  <c r="AA1816" i="6"/>
  <c r="AA1390" i="6"/>
  <c r="AA871" i="6"/>
  <c r="AA107" i="6"/>
  <c r="AA1369" i="6"/>
  <c r="AA941" i="6"/>
  <c r="AA205" i="6"/>
  <c r="AA1296" i="6"/>
  <c r="AA830" i="6"/>
  <c r="AA1114" i="6"/>
  <c r="AA505" i="6"/>
  <c r="AA1459" i="6"/>
  <c r="AA895" i="6"/>
  <c r="AA141" i="6"/>
  <c r="AA1401" i="6"/>
  <c r="AA555" i="6"/>
  <c r="AA1378" i="6"/>
  <c r="AA601" i="6"/>
  <c r="AA1529" i="6"/>
  <c r="AA600" i="6"/>
  <c r="AA865" i="6"/>
  <c r="AA539" i="6"/>
  <c r="AA223" i="6"/>
  <c r="AA792" i="6"/>
  <c r="AA478" i="6"/>
  <c r="AA162" i="6"/>
  <c r="AA843" i="6"/>
  <c r="AA475" i="6"/>
  <c r="AA159" i="6"/>
  <c r="AA860" i="6"/>
  <c r="AA493" i="6"/>
  <c r="AA177" i="6"/>
  <c r="AA511" i="6"/>
  <c r="AA197" i="6"/>
  <c r="AA570" i="6"/>
  <c r="AA254" i="6"/>
  <c r="AA875" i="6"/>
  <c r="AA470" i="6"/>
  <c r="AA155" i="6"/>
  <c r="AA745" i="6"/>
  <c r="AA350" i="6"/>
  <c r="AA488" i="6"/>
  <c r="AA153" i="6"/>
  <c r="AA585" i="6"/>
  <c r="AA209" i="6"/>
  <c r="AA279" i="6"/>
  <c r="AA884" i="6"/>
  <c r="AA292" i="6"/>
  <c r="AA1107" i="6"/>
  <c r="AA259" i="6"/>
  <c r="X736" i="6"/>
  <c r="X705" i="6"/>
  <c r="X363" i="6"/>
  <c r="X655" i="6"/>
  <c r="X1489" i="6"/>
  <c r="X627" i="6"/>
  <c r="X343" i="6"/>
  <c r="X469" i="6"/>
  <c r="X209" i="6"/>
  <c r="X187" i="6"/>
  <c r="X1012" i="6"/>
  <c r="AA1636" i="6"/>
  <c r="AA1924" i="6"/>
  <c r="AA1703" i="6"/>
  <c r="AA1757" i="6"/>
  <c r="AA1674" i="6"/>
  <c r="AA1527" i="6"/>
  <c r="AA1432" i="6"/>
  <c r="AA1207" i="6"/>
  <c r="AA1458" i="6"/>
  <c r="AA445" i="6"/>
  <c r="AA540" i="6"/>
  <c r="AA1178" i="6"/>
  <c r="AA1722" i="6"/>
  <c r="AA1069" i="6"/>
  <c r="AA1721" i="6"/>
  <c r="AA1068" i="6"/>
  <c r="AA1783" i="6"/>
  <c r="AA942" i="6"/>
  <c r="AA1553" i="6"/>
  <c r="AA714" i="6"/>
  <c r="AA1440" i="6"/>
  <c r="AA398" i="6"/>
  <c r="AA1307" i="6"/>
  <c r="AA1101" i="6"/>
  <c r="AA1800" i="6"/>
  <c r="AA1324" i="6"/>
  <c r="AA833" i="6"/>
  <c r="AA1344" i="6"/>
  <c r="AA905" i="6"/>
  <c r="AA149" i="6"/>
  <c r="AA1271" i="6"/>
  <c r="AA794" i="6"/>
  <c r="AA1955" i="6"/>
  <c r="AA1085" i="6"/>
  <c r="AA458" i="6"/>
  <c r="AA1384" i="6"/>
  <c r="AA859" i="6"/>
  <c r="AA86" i="6"/>
  <c r="AA1135" i="6"/>
  <c r="AA501" i="6"/>
  <c r="AA1359" i="6"/>
  <c r="AA543" i="6"/>
  <c r="AA1491" i="6"/>
  <c r="AA542" i="6"/>
  <c r="AA829" i="6"/>
  <c r="AA520" i="6"/>
  <c r="AA204" i="6"/>
  <c r="AA774" i="6"/>
  <c r="AA459" i="6"/>
  <c r="AA143" i="6"/>
  <c r="AA825" i="6"/>
  <c r="AA456" i="6"/>
  <c r="AA140" i="6"/>
  <c r="AA842" i="6"/>
  <c r="AA474" i="6"/>
  <c r="AA158" i="6"/>
  <c r="AA492" i="6"/>
  <c r="AA176" i="6"/>
  <c r="AA550" i="6"/>
  <c r="AA235" i="6"/>
  <c r="AA857" i="6"/>
  <c r="AA449" i="6"/>
  <c r="AA136" i="6"/>
  <c r="AA704" i="6"/>
  <c r="AA331" i="6"/>
  <c r="AA466" i="6"/>
  <c r="AA133" i="6"/>
  <c r="AA565" i="6"/>
  <c r="AA190" i="6"/>
  <c r="AA727" i="6"/>
  <c r="AA263" i="6"/>
  <c r="AA804" i="6"/>
  <c r="AA276" i="6"/>
  <c r="AA1075" i="6"/>
  <c r="AA243" i="6"/>
  <c r="X595" i="6"/>
  <c r="X560" i="6"/>
  <c r="X305" i="6"/>
  <c r="X1470" i="6"/>
  <c r="X443" i="6"/>
  <c r="X284" i="6"/>
  <c r="X387" i="6"/>
  <c r="X150" i="6"/>
  <c r="X543" i="6"/>
  <c r="X333" i="6"/>
  <c r="X1265" i="6"/>
  <c r="AA479" i="6"/>
  <c r="AA165" i="6"/>
  <c r="AA734" i="6"/>
  <c r="AA418" i="6"/>
  <c r="AA105" i="6"/>
  <c r="AA789" i="6"/>
  <c r="AA415" i="6"/>
  <c r="AA101" i="6"/>
  <c r="AA806" i="6"/>
  <c r="AA433" i="6"/>
  <c r="AA120" i="6"/>
  <c r="AA453" i="6"/>
  <c r="AA138" i="6"/>
  <c r="AA510" i="6"/>
  <c r="AA194" i="6"/>
  <c r="AA801" i="6"/>
  <c r="AA411" i="6"/>
  <c r="AA95" i="6"/>
  <c r="AA666" i="6"/>
  <c r="AA290" i="6"/>
  <c r="AA891" i="6"/>
  <c r="AA428" i="6"/>
  <c r="AA93" i="6"/>
  <c r="AA525" i="6"/>
  <c r="AA152" i="6"/>
  <c r="AA647" i="6"/>
  <c r="AA231" i="6"/>
  <c r="AA708" i="6"/>
  <c r="AA244" i="6"/>
  <c r="AA611" i="6"/>
  <c r="AA211" i="6"/>
  <c r="X861" i="6"/>
  <c r="X1545" i="6"/>
  <c r="X1835" i="6"/>
  <c r="X1772" i="6"/>
  <c r="X907" i="6"/>
  <c r="AA358" i="6"/>
  <c r="AA261" i="6"/>
  <c r="AA1499" i="6"/>
  <c r="AA1282" i="6"/>
  <c r="AA1353" i="6"/>
  <c r="AA1246" i="6"/>
  <c r="AA978" i="6"/>
  <c r="AA767" i="6"/>
  <c r="AA110" i="6"/>
  <c r="AA1242" i="6"/>
  <c r="AA641" i="6"/>
  <c r="AA1659" i="6"/>
  <c r="AA880" i="6"/>
  <c r="AA1561" i="6"/>
  <c r="AA729" i="6"/>
  <c r="AA1560" i="6"/>
  <c r="AA728" i="6"/>
  <c r="AA1520" i="6"/>
  <c r="AA522" i="6"/>
  <c r="AA1367" i="6"/>
  <c r="AA169" i="6"/>
  <c r="AA1214" i="6"/>
  <c r="AA1901" i="6"/>
  <c r="AA1048" i="6"/>
  <c r="AA1612" i="6"/>
  <c r="AA773" i="6"/>
  <c r="AA1624" i="6"/>
  <c r="AA1175" i="6"/>
  <c r="AA634" i="6"/>
  <c r="AA1670" i="6"/>
  <c r="AA1225" i="6"/>
  <c r="AA718" i="6"/>
  <c r="AA1877" i="6"/>
  <c r="AA1142" i="6"/>
  <c r="AA562" i="6"/>
  <c r="AA1461" i="6"/>
  <c r="AA936" i="6"/>
  <c r="AA189" i="6"/>
  <c r="AA1192" i="6"/>
  <c r="AA661" i="6"/>
  <c r="AA129" i="6"/>
  <c r="AA960" i="6"/>
  <c r="AA239" i="6"/>
  <c r="AA992" i="6"/>
  <c r="AA285" i="6"/>
  <c r="AA991" i="6"/>
  <c r="AA284" i="6"/>
  <c r="AA735" i="6"/>
  <c r="AA421" i="6"/>
  <c r="AA106" i="6"/>
  <c r="AA674" i="6"/>
  <c r="AA361" i="6"/>
  <c r="AA690" i="6"/>
  <c r="AA357" i="6"/>
  <c r="AA749" i="6"/>
  <c r="AA376" i="6"/>
  <c r="AA394" i="6"/>
  <c r="AA450" i="6"/>
  <c r="AA137" i="6"/>
  <c r="AA726" i="6"/>
  <c r="AA351" i="6"/>
  <c r="AA606" i="6"/>
  <c r="AA233" i="6"/>
  <c r="AA781" i="6"/>
  <c r="AA349" i="6"/>
  <c r="AA465" i="6"/>
  <c r="AA92" i="6"/>
  <c r="AA487" i="6"/>
  <c r="AA183" i="6"/>
  <c r="AA596" i="6"/>
  <c r="AA148" i="6"/>
  <c r="AA563" i="6"/>
  <c r="AA115" i="6"/>
  <c r="X942" i="6"/>
  <c r="X1788" i="6"/>
  <c r="X493" i="6"/>
  <c r="X300" i="6"/>
  <c r="X1126" i="6"/>
  <c r="X1353" i="6"/>
  <c r="X747" i="6"/>
  <c r="X361" i="6"/>
  <c r="X274" i="6"/>
  <c r="AA1249" i="6"/>
  <c r="AA1126" i="6"/>
  <c r="AA770" i="6"/>
  <c r="AA477" i="6"/>
  <c r="AA1921" i="6"/>
  <c r="AA1191" i="6"/>
  <c r="AA541" i="6"/>
  <c r="AA1595" i="6"/>
  <c r="AA808" i="6"/>
  <c r="AA1523" i="6"/>
  <c r="AA638" i="6"/>
  <c r="AA1522" i="6"/>
  <c r="AA635" i="6"/>
  <c r="AA1448" i="6"/>
  <c r="AA417" i="6"/>
  <c r="AA1320" i="6"/>
  <c r="AA1161" i="6"/>
  <c r="AA1869" i="6"/>
  <c r="AA990" i="6"/>
  <c r="AA1545" i="6"/>
  <c r="AA694" i="6"/>
  <c r="AA1592" i="6"/>
  <c r="AA1145" i="6"/>
  <c r="AA578" i="6"/>
  <c r="AA1654" i="6"/>
  <c r="AA1196" i="6"/>
  <c r="AA678" i="6"/>
  <c r="AA1861" i="6"/>
  <c r="AA1117" i="6"/>
  <c r="AA517" i="6"/>
  <c r="AA1442" i="6"/>
  <c r="AA898" i="6"/>
  <c r="AA142" i="6"/>
  <c r="AA1162" i="6"/>
  <c r="AA614" i="6"/>
  <c r="AA81" i="6"/>
  <c r="AA925" i="6"/>
  <c r="AA186" i="6"/>
  <c r="AA959" i="6"/>
  <c r="AA229" i="6"/>
  <c r="AA958" i="6"/>
  <c r="AA226" i="6"/>
  <c r="AA716" i="6"/>
  <c r="AA400" i="6"/>
  <c r="AA85" i="6"/>
  <c r="AA655" i="6"/>
  <c r="AA341" i="6"/>
  <c r="AA652" i="6"/>
  <c r="AA336" i="6"/>
  <c r="AA730" i="6"/>
  <c r="AA354" i="6"/>
  <c r="AA374" i="6"/>
  <c r="AA431" i="6"/>
  <c r="AA117" i="6"/>
  <c r="AA705" i="6"/>
  <c r="AA332" i="6"/>
  <c r="AA587" i="6"/>
  <c r="AA213" i="6"/>
  <c r="AA744" i="6"/>
  <c r="AA330" i="6"/>
  <c r="AA446" i="6"/>
  <c r="AA471" i="6"/>
  <c r="AA135" i="6"/>
  <c r="AA580" i="6"/>
  <c r="AA132" i="6"/>
  <c r="AA547" i="6"/>
  <c r="AA99" i="6"/>
  <c r="X188" i="6"/>
  <c r="X569" i="6"/>
  <c r="X1202" i="6"/>
  <c r="X301" i="6"/>
  <c r="X243" i="6"/>
  <c r="X40" i="6"/>
  <c r="X1055" i="6"/>
  <c r="X23" i="6"/>
  <c r="X925" i="6"/>
  <c r="X571" i="6"/>
  <c r="X265" i="6"/>
  <c r="X261" i="6"/>
  <c r="X67" i="6"/>
  <c r="AA1034" i="6"/>
  <c r="AA1127" i="6"/>
  <c r="AA981" i="6"/>
  <c r="AA480" i="6"/>
  <c r="AA122" i="6"/>
  <c r="AA1889" i="6"/>
  <c r="AA1136" i="6"/>
  <c r="AA438" i="6"/>
  <c r="AA1562" i="6"/>
  <c r="AA732" i="6"/>
  <c r="AA1487" i="6"/>
  <c r="AA536" i="6"/>
  <c r="AA1486" i="6"/>
  <c r="AA524" i="6"/>
  <c r="AA1408" i="6"/>
  <c r="AA306" i="6"/>
  <c r="AA1270" i="6"/>
  <c r="AA1937" i="6"/>
  <c r="AA1106" i="6"/>
  <c r="AA1773" i="6"/>
  <c r="AA922" i="6"/>
  <c r="AA1507" i="6"/>
  <c r="AA593" i="6"/>
  <c r="AA1559" i="6"/>
  <c r="AA1120" i="6"/>
  <c r="AA523" i="6"/>
  <c r="AA1638" i="6"/>
  <c r="AA1173" i="6"/>
  <c r="AA621" i="6"/>
  <c r="AA1781" i="6"/>
  <c r="AA1087" i="6"/>
  <c r="AA462" i="6"/>
  <c r="AA1423" i="6"/>
  <c r="AA862" i="6"/>
  <c r="AA88" i="6"/>
  <c r="AA1137" i="6"/>
  <c r="AA559" i="6"/>
  <c r="AA889" i="6"/>
  <c r="AA128" i="6"/>
  <c r="AA924" i="6"/>
  <c r="AA182" i="6"/>
  <c r="AA923" i="6"/>
  <c r="AA181" i="6"/>
  <c r="AA697" i="6"/>
  <c r="AA381" i="6"/>
  <c r="AA636" i="6"/>
  <c r="AA320" i="6"/>
  <c r="AA1063" i="6"/>
  <c r="AA633" i="6"/>
  <c r="AA317" i="6"/>
  <c r="AA1354" i="6"/>
  <c r="AA710" i="6"/>
  <c r="AA335" i="6"/>
  <c r="AA353" i="6"/>
  <c r="AA412" i="6"/>
  <c r="AA96" i="6"/>
  <c r="AA648" i="6"/>
  <c r="AA313" i="6"/>
  <c r="AA1074" i="6"/>
  <c r="AA568" i="6"/>
  <c r="AA192" i="6"/>
  <c r="AA665" i="6"/>
  <c r="AA310" i="6"/>
  <c r="AA1238" i="6"/>
  <c r="AA427" i="6"/>
  <c r="AA455" i="6"/>
  <c r="AA103" i="6"/>
  <c r="AA564" i="6"/>
  <c r="AA116" i="6"/>
  <c r="AA515" i="6"/>
  <c r="AA83" i="6"/>
  <c r="X958" i="6"/>
  <c r="X130" i="6"/>
  <c r="X804" i="6"/>
  <c r="X247" i="6"/>
  <c r="X184" i="6"/>
  <c r="X1266" i="6"/>
  <c r="X1007" i="6"/>
  <c r="X547" i="6"/>
  <c r="X1736" i="6"/>
  <c r="X536" i="6"/>
  <c r="X98" i="6"/>
  <c r="X10" i="6"/>
  <c r="X6" i="6"/>
  <c r="AA1764" i="6"/>
  <c r="AA1197" i="6"/>
  <c r="AA844" i="6"/>
  <c r="AA986" i="6"/>
  <c r="AA812" i="6"/>
  <c r="AA123" i="6"/>
  <c r="AA1866" i="6"/>
  <c r="AA1857" i="6"/>
  <c r="AA1083" i="6"/>
  <c r="AA328" i="6"/>
  <c r="AA1525" i="6"/>
  <c r="AA639" i="6"/>
  <c r="AA1451" i="6"/>
  <c r="AA425" i="6"/>
  <c r="AA1450" i="6"/>
  <c r="AA424" i="6"/>
  <c r="AA1370" i="6"/>
  <c r="AA170" i="6"/>
  <c r="AA1217" i="6"/>
  <c r="AA1809" i="6"/>
  <c r="AA1052" i="6"/>
  <c r="AA1741" i="6"/>
  <c r="AA848" i="6"/>
  <c r="AA1471" i="6"/>
  <c r="AA482" i="6"/>
  <c r="AA1539" i="6"/>
  <c r="AA1096" i="6"/>
  <c r="AA476" i="6"/>
  <c r="AA1606" i="6"/>
  <c r="AA1143" i="6"/>
  <c r="AA574" i="6"/>
  <c r="AA1717" i="6"/>
  <c r="AA1064" i="6"/>
  <c r="AA406" i="6"/>
  <c r="AA1385" i="6"/>
  <c r="AA826" i="6"/>
  <c r="AA1109" i="6"/>
  <c r="AA504" i="6"/>
  <c r="AA1856" i="6"/>
  <c r="AA853" i="6"/>
  <c r="AA888" i="6"/>
  <c r="AA127" i="6"/>
  <c r="AA887" i="6"/>
  <c r="AA126" i="6"/>
  <c r="AA677" i="6"/>
  <c r="AA362" i="6"/>
  <c r="AA617" i="6"/>
  <c r="AA301" i="6"/>
  <c r="AA1045" i="6"/>
  <c r="AA613" i="6"/>
  <c r="AA298" i="6"/>
  <c r="AA1226" i="6"/>
  <c r="AA651" i="6"/>
  <c r="AA316" i="6"/>
  <c r="AA650" i="6"/>
  <c r="AA334" i="6"/>
  <c r="AA393" i="6"/>
  <c r="AA607" i="6"/>
  <c r="AA293" i="6"/>
  <c r="AA1020" i="6"/>
  <c r="AA546" i="6"/>
  <c r="AA173" i="6"/>
  <c r="AA624" i="6"/>
  <c r="AA289" i="6"/>
  <c r="AA1090" i="6"/>
  <c r="AA367" i="6"/>
  <c r="AA439" i="6"/>
  <c r="AA87" i="6"/>
  <c r="AA532" i="6"/>
  <c r="AA100" i="6"/>
  <c r="AA499" i="6"/>
  <c r="AA67" i="6"/>
  <c r="X857" i="6"/>
  <c r="X120" i="6"/>
  <c r="X669" i="6"/>
  <c r="X476" i="6"/>
  <c r="X107" i="6"/>
  <c r="X1245" i="6"/>
  <c r="X474" i="6"/>
  <c r="X511" i="6"/>
  <c r="X1676" i="6"/>
  <c r="X250" i="6"/>
  <c r="X57" i="6"/>
  <c r="X457" i="6"/>
  <c r="X5" i="6"/>
  <c r="AA1853" i="6"/>
  <c r="AA1917" i="6"/>
  <c r="AA1796" i="6"/>
  <c r="AA1914" i="6"/>
  <c r="AA1817" i="6"/>
  <c r="AA1943" i="6"/>
  <c r="AA1940" i="6"/>
  <c r="AA1745" i="6"/>
  <c r="AA1837" i="6"/>
  <c r="AA1740" i="6"/>
  <c r="AA1752" i="6"/>
  <c r="AA1590" i="6"/>
  <c r="AA1813" i="6"/>
  <c r="AA1321" i="6"/>
  <c r="AA1404" i="6"/>
  <c r="AA1340" i="6"/>
  <c r="AA1457" i="6"/>
  <c r="AA1287" i="6"/>
  <c r="AA1473" i="6"/>
  <c r="AA935" i="6"/>
  <c r="AA1190" i="6"/>
  <c r="AA821" i="6"/>
  <c r="AA856" i="6"/>
  <c r="AA722" i="6"/>
  <c r="AA628" i="6"/>
  <c r="AA1331" i="6"/>
  <c r="X1672" i="6"/>
  <c r="X1574" i="6"/>
  <c r="X691" i="6"/>
  <c r="X1018" i="6"/>
  <c r="X1912" i="6"/>
  <c r="X1247" i="6"/>
  <c r="X477" i="6"/>
  <c r="X789" i="6"/>
  <c r="X1463" i="6"/>
  <c r="X1696" i="6"/>
  <c r="X1131" i="6"/>
  <c r="X507" i="6"/>
  <c r="X172" i="6"/>
  <c r="AA1911" i="6"/>
  <c r="AA1908" i="6"/>
  <c r="AA1713" i="6"/>
  <c r="AA1805" i="6"/>
  <c r="AA1720" i="6"/>
  <c r="AA1990" i="6"/>
  <c r="AA1573" i="6"/>
  <c r="AA1797" i="6"/>
  <c r="AA1439" i="6"/>
  <c r="AA1935" i="6"/>
  <c r="AA1418" i="6"/>
  <c r="AA1152" i="6"/>
  <c r="AA1364" i="6"/>
  <c r="AA743" i="6"/>
  <c r="AA1155" i="6"/>
  <c r="X1826" i="6"/>
  <c r="X889" i="6"/>
  <c r="X1229" i="6"/>
  <c r="X554" i="6"/>
  <c r="X914" i="6"/>
  <c r="X1366" i="6"/>
  <c r="X1769" i="6"/>
  <c r="X1200" i="6"/>
  <c r="X1973" i="6"/>
  <c r="X756" i="6"/>
  <c r="X1422" i="6"/>
  <c r="X1677" i="6"/>
  <c r="X1099" i="6"/>
  <c r="X360" i="6"/>
  <c r="X1683" i="6"/>
  <c r="AA1910" i="6"/>
  <c r="AA1653" i="6"/>
  <c r="AA1795" i="6"/>
  <c r="AA1746" i="6"/>
  <c r="AA1360" i="6"/>
  <c r="AA1823" i="6"/>
  <c r="AA1261" i="6"/>
  <c r="AA1054" i="6"/>
  <c r="AA915" i="6"/>
  <c r="X734" i="6"/>
  <c r="X1807" i="6"/>
  <c r="X1789" i="6"/>
  <c r="X529" i="6"/>
  <c r="X1830" i="6"/>
  <c r="X1368" i="6"/>
  <c r="X830" i="6"/>
  <c r="X1665" i="6"/>
  <c r="X686" i="6"/>
  <c r="X715" i="6"/>
  <c r="X1324" i="6"/>
  <c r="X1399" i="6"/>
  <c r="X1413" i="6"/>
  <c r="X1299" i="6"/>
  <c r="X368" i="6"/>
  <c r="AA1894" i="6"/>
  <c r="AA1621" i="6"/>
  <c r="AA1747" i="6"/>
  <c r="AA1682" i="6"/>
  <c r="AA1338" i="6"/>
  <c r="AA1759" i="6"/>
  <c r="AA1234" i="6"/>
  <c r="AA1223" i="6"/>
  <c r="AA1329" i="6"/>
  <c r="AA1018" i="6"/>
  <c r="AA615" i="6"/>
  <c r="AA516" i="6"/>
  <c r="AA899" i="6"/>
  <c r="X594" i="6"/>
  <c r="X1649" i="6"/>
  <c r="X1569" i="6"/>
  <c r="X1710" i="6"/>
  <c r="X1514" i="6"/>
  <c r="X1181" i="6"/>
  <c r="X801" i="6"/>
  <c r="X1627" i="6"/>
  <c r="X1724" i="6"/>
  <c r="X1356" i="6"/>
  <c r="X466" i="6"/>
  <c r="X680" i="6"/>
  <c r="X1773" i="6"/>
  <c r="X1230" i="6"/>
  <c r="X1367" i="6"/>
  <c r="X1333" i="6"/>
  <c r="X1187" i="6"/>
  <c r="X28" i="6"/>
  <c r="X336" i="6"/>
  <c r="AA1985" i="6"/>
  <c r="AA1576" i="6"/>
  <c r="AA1830" i="6"/>
  <c r="AA1605" i="6"/>
  <c r="AA1699" i="6"/>
  <c r="AA1650" i="6"/>
  <c r="AA1313" i="6"/>
  <c r="AA1711" i="6"/>
  <c r="AA1211" i="6"/>
  <c r="AA1185" i="6"/>
  <c r="AA1542" i="6"/>
  <c r="AA1239" i="6"/>
  <c r="AA944" i="6"/>
  <c r="AA599" i="6"/>
  <c r="AA1108" i="6"/>
  <c r="AA500" i="6"/>
  <c r="AA883" i="6"/>
  <c r="AA355" i="6"/>
  <c r="X446" i="6"/>
  <c r="X1570" i="6"/>
  <c r="X1226" i="6"/>
  <c r="X1631" i="6"/>
  <c r="X668" i="6"/>
  <c r="X245" i="6"/>
  <c r="X634" i="6"/>
  <c r="X768" i="6"/>
  <c r="X1608" i="6"/>
  <c r="X1686" i="6"/>
  <c r="X171" i="6"/>
  <c r="X34" i="6"/>
  <c r="X1286" i="6"/>
  <c r="X328" i="6"/>
  <c r="X18" i="6"/>
  <c r="X1675" i="6"/>
  <c r="X994" i="6"/>
  <c r="X1319" i="6"/>
  <c r="X604" i="6"/>
  <c r="X478" i="6"/>
  <c r="X7" i="6"/>
  <c r="X128" i="6"/>
  <c r="AA1994" i="6"/>
  <c r="AA1766" i="6"/>
  <c r="AA1589" i="6"/>
  <c r="AA1683" i="6"/>
  <c r="AA1634" i="6"/>
  <c r="AA1631" i="6"/>
  <c r="AA1103" i="6"/>
  <c r="AA878" i="6"/>
  <c r="AA1167" i="6"/>
  <c r="AA1276" i="6"/>
  <c r="AA1073" i="6"/>
  <c r="AA926" i="6"/>
  <c r="AA583" i="6"/>
  <c r="AA1076" i="6"/>
  <c r="AA484" i="6"/>
  <c r="AA787" i="6"/>
  <c r="AA339" i="6"/>
  <c r="X1494" i="6"/>
  <c r="X1133" i="6"/>
  <c r="X1552" i="6"/>
  <c r="X528" i="6"/>
  <c r="X805" i="6"/>
  <c r="X492" i="6"/>
  <c r="X698" i="6"/>
  <c r="X1177" i="6"/>
  <c r="X1664" i="6"/>
  <c r="X105" i="6"/>
  <c r="X1921" i="6"/>
  <c r="X848" i="6"/>
  <c r="X268" i="6"/>
  <c r="X342" i="6"/>
  <c r="X251" i="6"/>
  <c r="X601" i="6"/>
  <c r="X1303" i="6"/>
  <c r="X124" i="6"/>
  <c r="X227" i="6"/>
  <c r="X790" i="6"/>
  <c r="X367" i="6"/>
  <c r="AA1734" i="6"/>
  <c r="AA1572" i="6"/>
  <c r="AA1667" i="6"/>
  <c r="AA1618" i="6"/>
  <c r="AA1968" i="6"/>
  <c r="AA1566" i="6"/>
  <c r="AA1057" i="6"/>
  <c r="AA1148" i="6"/>
  <c r="AA1019" i="6"/>
  <c r="AA854" i="6"/>
  <c r="AA567" i="6"/>
  <c r="AA964" i="6"/>
  <c r="AA436" i="6"/>
  <c r="AA675" i="6"/>
  <c r="AA323" i="6"/>
  <c r="X881" i="6"/>
  <c r="X1228" i="6"/>
  <c r="X559" i="6"/>
  <c r="X1391" i="6"/>
  <c r="X307" i="6"/>
  <c r="X1913" i="6"/>
  <c r="X282" i="6"/>
  <c r="X667" i="6"/>
  <c r="X886" i="6"/>
  <c r="X1626" i="6"/>
  <c r="X36" i="6"/>
  <c r="X1661" i="6"/>
  <c r="X687" i="6"/>
  <c r="X212" i="6"/>
  <c r="X104" i="6"/>
  <c r="X205" i="6"/>
  <c r="X570" i="6"/>
  <c r="X1191" i="6"/>
  <c r="X11" i="6"/>
  <c r="X122" i="6"/>
  <c r="X774" i="6"/>
  <c r="X271" i="6"/>
  <c r="AA1944" i="6"/>
  <c r="AA1718" i="6"/>
  <c r="AA1554" i="6"/>
  <c r="AA1603" i="6"/>
  <c r="AA1602" i="6"/>
  <c r="AA1872" i="6"/>
  <c r="AA1530" i="6"/>
  <c r="AA1021" i="6"/>
  <c r="AA1094" i="6"/>
  <c r="AA1001" i="6"/>
  <c r="AA798" i="6"/>
  <c r="AA551" i="6"/>
  <c r="AA948" i="6"/>
  <c r="AA404" i="6"/>
  <c r="AA643" i="6"/>
  <c r="AA307" i="6"/>
  <c r="X1160" i="6"/>
  <c r="X1040" i="6"/>
  <c r="X671" i="6"/>
  <c r="X1180" i="6"/>
  <c r="X892" i="6"/>
  <c r="X1878" i="6"/>
  <c r="X593" i="6"/>
  <c r="X860" i="6"/>
  <c r="X1528" i="6"/>
  <c r="X1722" i="6"/>
  <c r="X1446" i="6"/>
  <c r="X616" i="6"/>
  <c r="X148" i="6"/>
  <c r="X1965" i="6"/>
  <c r="X1867" i="6"/>
  <c r="X810" i="6"/>
  <c r="X935" i="6"/>
  <c r="X1620" i="6"/>
  <c r="X83" i="6"/>
  <c r="X374" i="6"/>
  <c r="X143" i="6"/>
  <c r="AA1904" i="6"/>
  <c r="AA1775" i="6"/>
  <c r="AA1316" i="6"/>
  <c r="X990" i="6"/>
  <c r="X1414" i="6"/>
  <c r="X1486" i="6"/>
  <c r="X918" i="6"/>
  <c r="X1783" i="6"/>
  <c r="X1532" i="6"/>
  <c r="X1511" i="6"/>
  <c r="X733" i="6"/>
  <c r="X1646" i="6"/>
  <c r="X1313" i="6"/>
  <c r="X1080" i="6"/>
  <c r="X1873" i="6"/>
  <c r="X578" i="6"/>
  <c r="X786" i="6"/>
  <c r="X1481" i="6"/>
  <c r="X1695" i="6"/>
  <c r="X1162" i="6"/>
  <c r="X636" i="6"/>
  <c r="X1387" i="6"/>
  <c r="X983" i="6"/>
  <c r="X1589" i="6"/>
  <c r="X1092" i="6"/>
  <c r="X640" i="6"/>
  <c r="X295" i="6"/>
  <c r="X320" i="6"/>
  <c r="AA1939" i="6"/>
  <c r="AA1760" i="6"/>
  <c r="AA1060" i="6"/>
  <c r="X1592" i="6"/>
  <c r="X865" i="6"/>
  <c r="X941" i="6"/>
  <c r="X1410" i="6"/>
  <c r="X1128" i="6"/>
  <c r="X633" i="6"/>
  <c r="X1290" i="6"/>
  <c r="X1182" i="6"/>
  <c r="X1087" i="6"/>
  <c r="X1432" i="6"/>
  <c r="X629" i="6"/>
  <c r="X1567" i="6"/>
  <c r="X344" i="6"/>
  <c r="X1198" i="6"/>
  <c r="X957" i="6"/>
  <c r="X1404" i="6"/>
  <c r="X467" i="6"/>
  <c r="X380" i="6"/>
  <c r="X784" i="6"/>
  <c r="X1616" i="6"/>
  <c r="X1634" i="6"/>
  <c r="X673" i="6"/>
  <c r="X189" i="6"/>
  <c r="X1051" i="6"/>
  <c r="X745" i="6"/>
  <c r="X1317" i="6"/>
  <c r="X701" i="6"/>
  <c r="X163" i="6"/>
  <c r="X72" i="6"/>
  <c r="X49" i="6"/>
  <c r="X335" i="6"/>
  <c r="AA1923" i="6"/>
  <c r="AA1744" i="6"/>
  <c r="X1434" i="6"/>
  <c r="X1742" i="6"/>
  <c r="X1881" i="6"/>
  <c r="X836" i="6"/>
  <c r="X1320" i="6"/>
  <c r="X1034" i="6"/>
  <c r="X1629" i="6"/>
  <c r="X1197" i="6"/>
  <c r="X993" i="6"/>
  <c r="X991" i="6"/>
  <c r="X1318" i="6"/>
  <c r="X1431" i="6"/>
  <c r="X1129" i="6"/>
  <c r="X856" i="6"/>
  <c r="X1378" i="6"/>
  <c r="X751" i="6"/>
  <c r="X1439" i="6"/>
  <c r="X1596" i="6"/>
  <c r="X607" i="6"/>
  <c r="X880" i="6"/>
  <c r="X1035" i="6"/>
  <c r="X482" i="6"/>
  <c r="X1285" i="6"/>
  <c r="X584" i="6"/>
  <c r="X724" i="6"/>
  <c r="X287" i="6"/>
  <c r="X1584" i="6"/>
  <c r="X1729" i="6"/>
  <c r="X1448" i="6"/>
  <c r="X1471" i="6"/>
  <c r="X1246" i="6"/>
  <c r="X1357" i="6"/>
  <c r="X1350" i="6"/>
  <c r="X1125" i="6"/>
  <c r="X1960" i="6"/>
  <c r="X1959" i="6"/>
  <c r="X1505" i="6"/>
  <c r="X1495" i="6"/>
  <c r="X1961" i="6"/>
  <c r="X1389" i="6"/>
  <c r="X1858" i="6"/>
  <c r="X1310" i="6"/>
  <c r="X1758" i="6"/>
  <c r="X1279" i="6"/>
  <c r="AA1763" i="6"/>
  <c r="AA1890" i="6"/>
  <c r="AA1600" i="6"/>
  <c r="AA1838" i="6"/>
  <c r="AA1526" i="6"/>
  <c r="AA1540" i="6"/>
  <c r="X1671" i="6"/>
  <c r="X1825" i="6"/>
  <c r="X1426" i="6"/>
  <c r="X1135" i="6"/>
  <c r="X1039" i="6"/>
  <c r="X1751" i="6"/>
  <c r="X1295" i="6"/>
  <c r="X793" i="6"/>
  <c r="X1178" i="6"/>
  <c r="X1130" i="6"/>
  <c r="X936" i="6"/>
  <c r="X1820" i="6"/>
  <c r="X552" i="6"/>
  <c r="X1263" i="6"/>
  <c r="X1679" i="6"/>
  <c r="X1836" i="6"/>
  <c r="X611" i="6"/>
  <c r="X574" i="6"/>
  <c r="X1232" i="6"/>
  <c r="X697" i="6"/>
  <c r="X591" i="6"/>
  <c r="X433" i="6"/>
  <c r="X432" i="6"/>
  <c r="X410" i="6"/>
  <c r="X535" i="6"/>
  <c r="X214" i="6"/>
  <c r="X334" i="6"/>
  <c r="AA1842" i="6"/>
  <c r="AA1806" i="6"/>
  <c r="AA1430" i="6"/>
  <c r="AA1508" i="6"/>
  <c r="X1513" i="6"/>
  <c r="X1248" i="6"/>
  <c r="X1337" i="6"/>
  <c r="X1041" i="6"/>
  <c r="X940" i="6"/>
  <c r="X1435" i="6"/>
  <c r="X1201" i="6"/>
  <c r="X1974" i="6"/>
  <c r="X1085" i="6"/>
  <c r="X1084" i="6"/>
  <c r="X909" i="6"/>
  <c r="X1801" i="6"/>
  <c r="X1006" i="6"/>
  <c r="X1660" i="6"/>
  <c r="X1776" i="6"/>
  <c r="X540" i="6"/>
  <c r="X498" i="6"/>
  <c r="X674" i="6"/>
  <c r="X656" i="6"/>
  <c r="X572" i="6"/>
  <c r="X412" i="6"/>
  <c r="X337" i="6"/>
  <c r="X254" i="6"/>
  <c r="AA1826" i="6"/>
  <c r="AA1790" i="6"/>
  <c r="AA1398" i="6"/>
  <c r="AA1429" i="6"/>
  <c r="AA1396" i="6"/>
  <c r="X1249" i="6"/>
  <c r="X1064" i="6"/>
  <c r="X1150" i="6"/>
  <c r="X837" i="6"/>
  <c r="X1086" i="6"/>
  <c r="X834" i="6"/>
  <c r="X913" i="6"/>
  <c r="X515" i="6"/>
  <c r="X1910" i="6"/>
  <c r="X1016" i="6"/>
  <c r="X1014" i="6"/>
  <c r="X1803" i="6"/>
  <c r="X882" i="6"/>
  <c r="X1782" i="6"/>
  <c r="X389" i="6"/>
  <c r="X956" i="6"/>
  <c r="X1641" i="6"/>
  <c r="X1561" i="6"/>
  <c r="X211" i="6"/>
  <c r="X463" i="6"/>
  <c r="X462" i="6"/>
  <c r="X1771" i="6"/>
  <c r="X577" i="6"/>
  <c r="X531" i="6"/>
  <c r="X665" i="6"/>
  <c r="X229" i="6"/>
  <c r="X1779" i="6"/>
  <c r="X138" i="6"/>
  <c r="X27" i="6"/>
  <c r="X108" i="6"/>
  <c r="X238" i="6"/>
  <c r="AA1848" i="6"/>
  <c r="AA1810" i="6"/>
  <c r="AA1742" i="6"/>
  <c r="AA1382" i="6"/>
  <c r="AA1365" i="6"/>
  <c r="AA1380" i="6"/>
  <c r="X1065" i="6"/>
  <c r="X966" i="6"/>
  <c r="X1056" i="6"/>
  <c r="X706" i="6"/>
  <c r="X737" i="6"/>
  <c r="X699" i="6"/>
  <c r="X1929" i="6"/>
  <c r="X1992" i="6"/>
  <c r="X802" i="6"/>
  <c r="X1894" i="6"/>
  <c r="X911" i="6"/>
  <c r="X937" i="6"/>
  <c r="X1762" i="6"/>
  <c r="X731" i="6"/>
  <c r="X1760" i="6"/>
  <c r="X281" i="6"/>
  <c r="X852" i="6"/>
  <c r="X1622" i="6"/>
  <c r="X1520" i="6"/>
  <c r="X81" i="6"/>
  <c r="X419" i="6"/>
  <c r="X310" i="6"/>
  <c r="X1632" i="6"/>
  <c r="X311" i="6"/>
  <c r="X465" i="6"/>
  <c r="X565" i="6"/>
  <c r="X166" i="6"/>
  <c r="X1699" i="6"/>
  <c r="X97" i="6"/>
  <c r="X806" i="6"/>
  <c r="X88" i="6"/>
  <c r="X222" i="6"/>
  <c r="AA1996" i="6"/>
  <c r="AA1958" i="6"/>
  <c r="AA1845" i="6"/>
  <c r="AA1987" i="6"/>
  <c r="AA1731" i="6"/>
  <c r="AA1874" i="6"/>
  <c r="AA1808" i="6"/>
  <c r="AA1807" i="6"/>
  <c r="AA1493" i="6"/>
  <c r="AA1774" i="6"/>
  <c r="AA1455" i="6"/>
  <c r="AA1336" i="6"/>
  <c r="AA1510" i="6"/>
  <c r="AA1056" i="6"/>
  <c r="AA983" i="6"/>
  <c r="AA1492" i="6"/>
  <c r="AA982" i="6"/>
  <c r="AA1028" i="6"/>
  <c r="AA963" i="6"/>
  <c r="AA1964" i="6"/>
  <c r="AA1942" i="6"/>
  <c r="AA1829" i="6"/>
  <c r="AA1971" i="6"/>
  <c r="AA1715" i="6"/>
  <c r="AA1858" i="6"/>
  <c r="AA1776" i="6"/>
  <c r="AA1791" i="6"/>
  <c r="AA1758" i="6"/>
  <c r="AA1437" i="6"/>
  <c r="AA1262" i="6"/>
  <c r="AA1494" i="6"/>
  <c r="AA945" i="6"/>
  <c r="AA1428" i="6"/>
  <c r="AA962" i="6"/>
  <c r="AA996" i="6"/>
  <c r="AA931" i="6"/>
  <c r="AA1962" i="6"/>
  <c r="AA1947" i="6"/>
  <c r="AA1931" i="6"/>
  <c r="AA1930" i="6"/>
  <c r="AA1953" i="6"/>
  <c r="AA1751" i="6"/>
  <c r="AA1876" i="6"/>
  <c r="AA1677" i="6"/>
  <c r="AA1836" i="6"/>
  <c r="AA1992" i="6"/>
  <c r="AA1736" i="6"/>
  <c r="AA1467" i="6"/>
  <c r="AA1878" i="6"/>
  <c r="AA1622" i="6"/>
  <c r="AA1765" i="6"/>
  <c r="AA1500" i="6"/>
  <c r="AA1907" i="6"/>
  <c r="AA1651" i="6"/>
  <c r="AA1363" i="6"/>
  <c r="AA1794" i="6"/>
  <c r="AA1515" i="6"/>
  <c r="AA1712" i="6"/>
  <c r="AA1379" i="6"/>
  <c r="AA1679" i="6"/>
  <c r="AA1337" i="6"/>
  <c r="AA1998" i="6"/>
  <c r="AA1694" i="6"/>
  <c r="AA1308" i="6"/>
  <c r="AA1170" i="6"/>
  <c r="AA1149" i="6"/>
  <c r="AA783" i="6"/>
  <c r="AA1366" i="6"/>
  <c r="AA928" i="6"/>
  <c r="AA1311" i="6"/>
  <c r="AA855" i="6"/>
  <c r="AA1346" i="6"/>
  <c r="AA816" i="6"/>
  <c r="AA759" i="6"/>
  <c r="AA503" i="6"/>
  <c r="AA852" i="6"/>
  <c r="AA548" i="6"/>
  <c r="AA851" i="6"/>
  <c r="AA531" i="6"/>
  <c r="AA1978" i="6"/>
  <c r="AA2001" i="6"/>
  <c r="AA1804" i="6"/>
  <c r="AA1976" i="6"/>
  <c r="AA1862" i="6"/>
  <c r="AA1749" i="6"/>
  <c r="AA1891" i="6"/>
  <c r="AA1635" i="6"/>
  <c r="AA1778" i="6"/>
  <c r="AA1497" i="6"/>
  <c r="AA2000" i="6"/>
  <c r="AA1696" i="6"/>
  <c r="AA1663" i="6"/>
  <c r="AA1982" i="6"/>
  <c r="AA1678" i="6"/>
  <c r="AA1131" i="6"/>
  <c r="AA1350" i="6"/>
  <c r="AA1293" i="6"/>
  <c r="AA1310" i="6"/>
  <c r="AA1348" i="6"/>
  <c r="AA836" i="6"/>
  <c r="AA819" i="6"/>
  <c r="AA1969" i="6"/>
  <c r="AA1960" i="6"/>
  <c r="AA1846" i="6"/>
  <c r="AA1989" i="6"/>
  <c r="AA1733" i="6"/>
  <c r="AA1875" i="6"/>
  <c r="AA1619" i="6"/>
  <c r="AA1762" i="6"/>
  <c r="AA1984" i="6"/>
  <c r="AA1680" i="6"/>
  <c r="AA1967" i="6"/>
  <c r="AA1647" i="6"/>
  <c r="AA1966" i="6"/>
  <c r="AA1662" i="6"/>
  <c r="AA1312" i="6"/>
  <c r="AA1275" i="6"/>
  <c r="AA1274" i="6"/>
  <c r="AA1332" i="6"/>
  <c r="AA820" i="6"/>
  <c r="AA803" i="6"/>
  <c r="AA1991" i="6"/>
  <c r="AA1821" i="6"/>
  <c r="AA1825" i="6"/>
  <c r="AA1755" i="6"/>
  <c r="AA1882" i="6"/>
  <c r="AA1748" i="6"/>
  <c r="AA1905" i="6"/>
  <c r="AA1708" i="6"/>
  <c r="AA1928" i="6"/>
  <c r="AA1672" i="6"/>
  <c r="AA1814" i="6"/>
  <c r="AA1555" i="6"/>
  <c r="AA1957" i="6"/>
  <c r="AA1701" i="6"/>
  <c r="AA1425" i="6"/>
  <c r="AA1843" i="6"/>
  <c r="AA1587" i="6"/>
  <c r="AA1986" i="6"/>
  <c r="AA1730" i="6"/>
  <c r="AA1441" i="6"/>
  <c r="AA1952" i="6"/>
  <c r="AA1648" i="6"/>
  <c r="AA1288" i="6"/>
  <c r="AA1919" i="6"/>
  <c r="AA1615" i="6"/>
  <c r="AA1237" i="6"/>
  <c r="AA1934" i="6"/>
  <c r="AA1582" i="6"/>
  <c r="AA1181" i="6"/>
  <c r="AA1080" i="6"/>
  <c r="AA1003" i="6"/>
  <c r="AA1258" i="6"/>
  <c r="AA1201" i="6"/>
  <c r="AA1218" i="6"/>
  <c r="AA742" i="6"/>
  <c r="AA695" i="6"/>
  <c r="AA1284" i="6"/>
  <c r="AA788" i="6"/>
  <c r="AA1219" i="6"/>
  <c r="AA771" i="6"/>
  <c r="AA1892" i="6"/>
  <c r="AA1793" i="6"/>
  <c r="AA1723" i="6"/>
  <c r="AA1850" i="6"/>
  <c r="AA1977" i="6"/>
  <c r="AA1591" i="6"/>
  <c r="AA1716" i="6"/>
  <c r="AA1873" i="6"/>
  <c r="AA1509" i="6"/>
  <c r="AA1676" i="6"/>
  <c r="AA1912" i="6"/>
  <c r="AA1656" i="6"/>
  <c r="AA1371" i="6"/>
  <c r="AA1798" i="6"/>
  <c r="AA1537" i="6"/>
  <c r="AA1941" i="6"/>
  <c r="AA1685" i="6"/>
  <c r="AA1406" i="6"/>
  <c r="AA1827" i="6"/>
  <c r="AA1570" i="6"/>
  <c r="AA1245" i="6"/>
  <c r="AA1970" i="6"/>
  <c r="AA1714" i="6"/>
  <c r="AA1422" i="6"/>
  <c r="AA1936" i="6"/>
  <c r="AA1632" i="6"/>
  <c r="AA1213" i="6"/>
  <c r="AA1903" i="6"/>
  <c r="AA1599" i="6"/>
  <c r="AA1212" i="6"/>
  <c r="AA1918" i="6"/>
  <c r="AA1565" i="6"/>
  <c r="AA1158" i="6"/>
  <c r="AA903" i="6"/>
  <c r="AA902" i="6"/>
  <c r="AA1025" i="6"/>
  <c r="AA731" i="6"/>
  <c r="AA1062" i="6"/>
  <c r="AA689" i="6"/>
  <c r="AA985" i="6"/>
  <c r="AA686" i="6"/>
  <c r="AA1240" i="6"/>
  <c r="AA782" i="6"/>
  <c r="AA469" i="6"/>
  <c r="AA1165" i="6"/>
  <c r="AA703" i="6"/>
  <c r="AA389" i="6"/>
  <c r="AA1146" i="6"/>
  <c r="AA721" i="6"/>
  <c r="AA408" i="6"/>
  <c r="AA679" i="6"/>
  <c r="AA423" i="6"/>
  <c r="AA167" i="6"/>
  <c r="AA1252" i="6"/>
  <c r="AA772" i="6"/>
  <c r="AA468" i="6"/>
  <c r="AA212" i="6"/>
  <c r="AA1187" i="6"/>
  <c r="AA755" i="6"/>
  <c r="AA435" i="6"/>
  <c r="AA179" i="6"/>
  <c r="AA1927" i="6"/>
  <c r="AA1761" i="6"/>
  <c r="AA1691" i="6"/>
  <c r="AA1818" i="6"/>
  <c r="AA1945" i="6"/>
  <c r="AA1557" i="6"/>
  <c r="AA1684" i="6"/>
  <c r="AA1841" i="6"/>
  <c r="AA1997" i="6"/>
  <c r="AA1472" i="6"/>
  <c r="AA1644" i="6"/>
  <c r="AA1896" i="6"/>
  <c r="AA1640" i="6"/>
  <c r="AA1351" i="6"/>
  <c r="AA1782" i="6"/>
  <c r="AA1519" i="6"/>
  <c r="AA1925" i="6"/>
  <c r="AA1669" i="6"/>
  <c r="AA1387" i="6"/>
  <c r="AA1811" i="6"/>
  <c r="AA1552" i="6"/>
  <c r="AA1216" i="6"/>
  <c r="AA1954" i="6"/>
  <c r="AA1698" i="6"/>
  <c r="AA1403" i="6"/>
  <c r="AA1920" i="6"/>
  <c r="AA1616" i="6"/>
  <c r="AA1160" i="6"/>
  <c r="AA1887" i="6"/>
  <c r="AA1583" i="6"/>
  <c r="AA1186" i="6"/>
  <c r="AA1870" i="6"/>
  <c r="AA1547" i="6"/>
  <c r="AA1132" i="6"/>
  <c r="AA885" i="6"/>
  <c r="AA882" i="6"/>
  <c r="AA1007" i="6"/>
  <c r="AA712" i="6"/>
  <c r="AA1042" i="6"/>
  <c r="AA670" i="6"/>
  <c r="AA967" i="6"/>
  <c r="AA667" i="6"/>
  <c r="AA1222" i="6"/>
  <c r="AA764" i="6"/>
  <c r="AA448" i="6"/>
  <c r="AA1147" i="6"/>
  <c r="AA684" i="6"/>
  <c r="AA1110" i="6"/>
  <c r="AA702" i="6"/>
  <c r="AA386" i="6"/>
  <c r="AA663" i="6"/>
  <c r="AA407" i="6"/>
  <c r="AA151" i="6"/>
  <c r="AA1140" i="6"/>
  <c r="AA756" i="6"/>
  <c r="AA452" i="6"/>
  <c r="AA196" i="6"/>
  <c r="AA1171" i="6"/>
  <c r="AA707" i="6"/>
  <c r="AA419" i="6"/>
  <c r="AA163" i="6"/>
  <c r="AA1851" i="6"/>
  <c r="AA1831" i="6"/>
  <c r="AA1980" i="6"/>
  <c r="AA1697" i="6"/>
  <c r="AA1627" i="6"/>
  <c r="AA1754" i="6"/>
  <c r="AA1881" i="6"/>
  <c r="AA1484" i="6"/>
  <c r="AA1620" i="6"/>
  <c r="AA1777" i="6"/>
  <c r="AA1933" i="6"/>
  <c r="AA1395" i="6"/>
  <c r="AA1580" i="6"/>
  <c r="AA1864" i="6"/>
  <c r="AA1608" i="6"/>
  <c r="AA1302" i="6"/>
  <c r="AA1750" i="6"/>
  <c r="AA1483" i="6"/>
  <c r="AA1893" i="6"/>
  <c r="AA1637" i="6"/>
  <c r="AA1343" i="6"/>
  <c r="AA1779" i="6"/>
  <c r="AA1516" i="6"/>
  <c r="AA1163" i="6"/>
  <c r="AA1922" i="6"/>
  <c r="AA1666" i="6"/>
  <c r="AA1362" i="6"/>
  <c r="AA1888" i="6"/>
  <c r="AA1549" i="6"/>
  <c r="AA1105" i="6"/>
  <c r="AA1855" i="6"/>
  <c r="AA1548" i="6"/>
  <c r="AA1133" i="6"/>
  <c r="AA1822" i="6"/>
  <c r="AA1511" i="6"/>
  <c r="AA1079" i="6"/>
  <c r="AA847" i="6"/>
  <c r="AA846" i="6"/>
  <c r="AA971" i="6"/>
  <c r="AA671" i="6"/>
  <c r="AA934" i="6"/>
  <c r="AA632" i="6"/>
  <c r="AA669" i="6"/>
  <c r="AA929" i="6"/>
  <c r="AA626" i="6"/>
  <c r="AA1574" i="6"/>
  <c r="AA1112" i="6"/>
  <c r="AA725" i="6"/>
  <c r="AA410" i="6"/>
  <c r="AA1037" i="6"/>
  <c r="AA645" i="6"/>
  <c r="AA1072" i="6"/>
  <c r="AA664" i="6"/>
  <c r="AA348" i="6"/>
  <c r="AA631" i="6"/>
  <c r="AA375" i="6"/>
  <c r="AA119" i="6"/>
  <c r="AA1092" i="6"/>
  <c r="AA724" i="6"/>
  <c r="AA420" i="6"/>
  <c r="AA164" i="6"/>
  <c r="AA1139" i="6"/>
  <c r="AA659" i="6"/>
  <c r="AA387" i="6"/>
  <c r="AA131" i="6"/>
  <c r="AA1330" i="6"/>
  <c r="AA1038" i="6"/>
  <c r="AA1257" i="6"/>
  <c r="AA965" i="6"/>
  <c r="AA1328" i="6"/>
  <c r="AA1036" i="6"/>
  <c r="AA1300" i="6"/>
  <c r="AA1044" i="6"/>
  <c r="AA1123" i="6"/>
  <c r="AA867" i="6"/>
  <c r="X1158" i="6"/>
  <c r="X1244" i="6"/>
  <c r="X1650" i="6"/>
  <c r="X1321" i="6"/>
  <c r="X1416" i="6"/>
  <c r="X1218" i="6"/>
  <c r="X1473" i="6"/>
  <c r="X1020" i="6"/>
  <c r="X1103" i="6"/>
  <c r="X1453" i="6"/>
  <c r="X1846" i="6"/>
  <c r="X1362" i="6"/>
  <c r="X1989" i="6"/>
  <c r="X1586" i="6"/>
  <c r="X961" i="6"/>
  <c r="X1645" i="6"/>
  <c r="X1082" i="6"/>
  <c r="X1741" i="6"/>
  <c r="X1033" i="6"/>
  <c r="X1334" i="6"/>
  <c r="X1521" i="6"/>
  <c r="X1482" i="6"/>
  <c r="X1639" i="6"/>
  <c r="X649" i="6"/>
  <c r="X1638" i="6"/>
  <c r="X1304" i="6"/>
  <c r="X1947" i="6"/>
  <c r="X638" i="6"/>
  <c r="X1298" i="6"/>
  <c r="X675" i="6"/>
  <c r="X1019" i="6"/>
  <c r="X1015" i="6"/>
  <c r="X586" i="6"/>
  <c r="X1301" i="6"/>
  <c r="X900" i="6"/>
  <c r="X1347" i="6"/>
  <c r="X646" i="6"/>
  <c r="X223" i="6"/>
  <c r="AA1116" i="6"/>
  <c r="AA1205" i="6"/>
  <c r="AA1558" i="6"/>
  <c r="AA1294" i="6"/>
  <c r="AA1002" i="6"/>
  <c r="AA1221" i="6"/>
  <c r="AA927" i="6"/>
  <c r="AA1556" i="6"/>
  <c r="AA1292" i="6"/>
  <c r="AA1000" i="6"/>
  <c r="AA1268" i="6"/>
  <c r="AA1012" i="6"/>
  <c r="AA1347" i="6"/>
  <c r="AA1091" i="6"/>
  <c r="AA835" i="6"/>
  <c r="X1895" i="6"/>
  <c r="X1322" i="6"/>
  <c r="X1134" i="6"/>
  <c r="X1297" i="6"/>
  <c r="X1864" i="6"/>
  <c r="X1531" i="6"/>
  <c r="X1977" i="6"/>
  <c r="X1689" i="6"/>
  <c r="X1274" i="6"/>
  <c r="X1786" i="6"/>
  <c r="X1272" i="6"/>
  <c r="X1957" i="6"/>
  <c r="X1488" i="6"/>
  <c r="X910" i="6"/>
  <c r="X1585" i="6"/>
  <c r="X986" i="6"/>
  <c r="X1662" i="6"/>
  <c r="X984" i="6"/>
  <c r="X1889" i="6"/>
  <c r="X1288" i="6"/>
  <c r="X1309" i="6"/>
  <c r="X1441" i="6"/>
  <c r="X1400" i="6"/>
  <c r="X1537" i="6"/>
  <c r="X1257" i="6"/>
  <c r="X1810" i="6"/>
  <c r="X1183" i="6"/>
  <c r="X709" i="6"/>
  <c r="X967" i="6"/>
  <c r="X545" i="6"/>
  <c r="X1269" i="6"/>
  <c r="X1812" i="6"/>
  <c r="X603" i="6"/>
  <c r="X1235" i="6"/>
  <c r="X366" i="6"/>
  <c r="AA1183" i="6"/>
  <c r="AA1524" i="6"/>
  <c r="AA1256" i="6"/>
  <c r="AA1236" i="6"/>
  <c r="AA980" i="6"/>
  <c r="AA1315" i="6"/>
  <c r="AA1059" i="6"/>
  <c r="X1746" i="6"/>
  <c r="X1709" i="6"/>
  <c r="X1606" i="6"/>
  <c r="X1849" i="6"/>
  <c r="X1907" i="6"/>
  <c r="X1707" i="6"/>
  <c r="X1225" i="6"/>
  <c r="X1925" i="6"/>
  <c r="X1386" i="6"/>
  <c r="X1972" i="6"/>
  <c r="X1487" i="6"/>
  <c r="X1504" i="6"/>
  <c r="X1857" i="6"/>
  <c r="X1241" i="6"/>
  <c r="X1262" i="6"/>
  <c r="X1401" i="6"/>
  <c r="X1328" i="6"/>
  <c r="X1305" i="6"/>
  <c r="X1210" i="6"/>
  <c r="X1753" i="6"/>
  <c r="X773" i="6"/>
  <c r="X853" i="6"/>
  <c r="X965" i="6"/>
  <c r="X1588" i="6"/>
  <c r="X562" i="6"/>
  <c r="X1171" i="6"/>
  <c r="X286" i="6"/>
  <c r="AA1220" i="6"/>
  <c r="AA1299" i="6"/>
  <c r="AA1043" i="6"/>
  <c r="X1768" i="6"/>
  <c r="X1670" i="6"/>
  <c r="X1943" i="6"/>
  <c r="X1630" i="6"/>
  <c r="X1991" i="6"/>
  <c r="X1770" i="6"/>
  <c r="X1359" i="6"/>
  <c r="X1688" i="6"/>
  <c r="X1909" i="6"/>
  <c r="X1361" i="6"/>
  <c r="X1956" i="6"/>
  <c r="X1468" i="6"/>
  <c r="X1485" i="6"/>
  <c r="X1778" i="6"/>
  <c r="X1240" i="6"/>
  <c r="X1951" i="6"/>
  <c r="X1354" i="6"/>
  <c r="X1306" i="6"/>
  <c r="X1258" i="6"/>
  <c r="X1164" i="6"/>
  <c r="X1734" i="6"/>
  <c r="X869" i="6"/>
  <c r="X1572" i="6"/>
  <c r="X1059" i="6"/>
  <c r="X855" i="6"/>
  <c r="AA1204" i="6"/>
  <c r="AA1283" i="6"/>
  <c r="AA1027" i="6"/>
  <c r="X1591" i="6"/>
  <c r="X1879" i="6"/>
  <c r="X1551" i="6"/>
  <c r="X1927" i="6"/>
  <c r="X1691" i="6"/>
  <c r="X1647" i="6"/>
  <c r="X1877" i="6"/>
  <c r="X1340" i="6"/>
  <c r="X1924" i="6"/>
  <c r="X1449" i="6"/>
  <c r="X1466" i="6"/>
  <c r="X1740" i="6"/>
  <c r="X1168" i="6"/>
  <c r="X1903" i="6"/>
  <c r="X1098" i="6"/>
  <c r="X1281" i="6"/>
  <c r="X1233" i="6"/>
  <c r="X973" i="6"/>
  <c r="X1655" i="6"/>
  <c r="X1962" i="6"/>
  <c r="X851" i="6"/>
  <c r="X1556" i="6"/>
  <c r="X849" i="6"/>
  <c r="AA1318" i="6"/>
  <c r="AA1024" i="6"/>
  <c r="AA1113" i="6"/>
  <c r="AA1478" i="6"/>
  <c r="AA1202" i="6"/>
  <c r="AA1413" i="6"/>
  <c r="AA1129" i="6"/>
  <c r="AA1476" i="6"/>
  <c r="AA1200" i="6"/>
  <c r="AA908" i="6"/>
  <c r="AA1188" i="6"/>
  <c r="AA932" i="6"/>
  <c r="AA1267" i="6"/>
  <c r="AA1011" i="6"/>
  <c r="AB2" i="6"/>
  <c r="AA2" i="6" s="1"/>
  <c r="X1682" i="6"/>
  <c r="X1512" i="6"/>
  <c r="X1955" i="6"/>
  <c r="X1806" i="6"/>
  <c r="X1939" i="6"/>
  <c r="X1472" i="6"/>
  <c r="X1863" i="6"/>
  <c r="X1987" i="6"/>
  <c r="X1975" i="6"/>
  <c r="X1612" i="6"/>
  <c r="X1897" i="6"/>
  <c r="X1609" i="6"/>
  <c r="X1153" i="6"/>
  <c r="X1785" i="6"/>
  <c r="X1314" i="6"/>
  <c r="X1876" i="6"/>
  <c r="X1407" i="6"/>
  <c r="X858" i="6"/>
  <c r="X1986" i="6"/>
  <c r="X1447" i="6"/>
  <c r="X1721" i="6"/>
  <c r="X929" i="6"/>
  <c r="X1968" i="6"/>
  <c r="X1121" i="6"/>
  <c r="X1887" i="6"/>
  <c r="X1052" i="6"/>
  <c r="X1260" i="6"/>
  <c r="X1212" i="6"/>
  <c r="X1852" i="6"/>
  <c r="X811" i="6"/>
  <c r="X1437" i="6"/>
  <c r="X1930" i="6"/>
  <c r="X1813" i="6"/>
  <c r="X833" i="6"/>
  <c r="X1492" i="6"/>
  <c r="X795" i="6"/>
  <c r="X503" i="6"/>
  <c r="AA1586" i="6"/>
  <c r="AA1266" i="6"/>
  <c r="AA1840" i="6"/>
  <c r="AA1584" i="6"/>
  <c r="AA1264" i="6"/>
  <c r="AA1999" i="6"/>
  <c r="AA1743" i="6"/>
  <c r="AA1474" i="6"/>
  <c r="AA1104" i="6"/>
  <c r="AA1902" i="6"/>
  <c r="AA1646" i="6"/>
  <c r="AA1358" i="6"/>
  <c r="AA1298" i="6"/>
  <c r="AA1006" i="6"/>
  <c r="AA1095" i="6"/>
  <c r="AA1462" i="6"/>
  <c r="AA1184" i="6"/>
  <c r="AA892" i="6"/>
  <c r="AA1397" i="6"/>
  <c r="AA1111" i="6"/>
  <c r="AA817" i="6"/>
  <c r="AA1460" i="6"/>
  <c r="AA1182" i="6"/>
  <c r="AA890" i="6"/>
  <c r="AA1172" i="6"/>
  <c r="AA916" i="6"/>
  <c r="AA660" i="6"/>
  <c r="AA1251" i="6"/>
  <c r="AA995" i="6"/>
  <c r="AA739" i="6"/>
  <c r="X1273" i="6"/>
  <c r="X1174" i="6"/>
  <c r="X1433" i="6"/>
  <c r="X1891" i="6"/>
  <c r="X1944" i="6"/>
  <c r="X1727" i="6"/>
  <c r="X1875" i="6"/>
  <c r="X969" i="6"/>
  <c r="X1847" i="6"/>
  <c r="X1390" i="6"/>
  <c r="X1787" i="6"/>
  <c r="X1923" i="6"/>
  <c r="X1610" i="6"/>
  <c r="X1533" i="6"/>
  <c r="X1113" i="6"/>
  <c r="X1590" i="6"/>
  <c r="X1132" i="6"/>
  <c r="X1744" i="6"/>
  <c r="X1293" i="6"/>
  <c r="X732" i="6"/>
  <c r="X1841" i="6"/>
  <c r="X1360" i="6"/>
  <c r="X827" i="6"/>
  <c r="X1938" i="6"/>
  <c r="X1425" i="6"/>
  <c r="X1702" i="6"/>
  <c r="X905" i="6"/>
  <c r="X1818" i="6"/>
  <c r="X1100" i="6"/>
  <c r="X1871" i="6"/>
  <c r="X1026" i="6"/>
  <c r="X1918" i="6"/>
  <c r="X1190" i="6"/>
  <c r="X1997" i="6"/>
  <c r="X1096" i="6"/>
  <c r="X1814" i="6"/>
  <c r="X748" i="6"/>
  <c r="X1372" i="6"/>
  <c r="X1914" i="6"/>
  <c r="X533" i="6"/>
  <c r="X365" i="6"/>
  <c r="X414" i="6"/>
  <c r="X1797" i="6"/>
  <c r="X815" i="6"/>
  <c r="X1444" i="6"/>
  <c r="X777" i="6"/>
  <c r="X441" i="6"/>
  <c r="X407" i="6"/>
  <c r="X68" i="6"/>
  <c r="X304" i="6"/>
  <c r="X94" i="6"/>
  <c r="AA1824" i="6"/>
  <c r="AA1567" i="6"/>
  <c r="AA1241" i="6"/>
  <c r="AA1983" i="6"/>
  <c r="AA1727" i="6"/>
  <c r="AA1456" i="6"/>
  <c r="AA1081" i="6"/>
  <c r="AA1886" i="6"/>
  <c r="AA1630" i="6"/>
  <c r="AA1335" i="6"/>
  <c r="AA1280" i="6"/>
  <c r="AA988" i="6"/>
  <c r="AA1077" i="6"/>
  <c r="AA1446" i="6"/>
  <c r="AA1166" i="6"/>
  <c r="AA874" i="6"/>
  <c r="AA1381" i="6"/>
  <c r="AA1093" i="6"/>
  <c r="AA799" i="6"/>
  <c r="AA1444" i="6"/>
  <c r="AA1164" i="6"/>
  <c r="AA872" i="6"/>
  <c r="AA1156" i="6"/>
  <c r="AA900" i="6"/>
  <c r="AA644" i="6"/>
  <c r="AA1235" i="6"/>
  <c r="AA979" i="6"/>
  <c r="AA723" i="6"/>
  <c r="AA467" i="6"/>
  <c r="X1250" i="6"/>
  <c r="X764" i="6"/>
  <c r="X1342" i="6"/>
  <c r="X1821" i="6"/>
  <c r="X1911" i="6"/>
  <c r="X1880" i="6"/>
  <c r="X1648" i="6"/>
  <c r="X1802" i="6"/>
  <c r="X1993" i="6"/>
  <c r="X1840" i="6"/>
  <c r="X1296" i="6"/>
  <c r="X1708" i="6"/>
  <c r="X1859" i="6"/>
  <c r="X1452" i="6"/>
  <c r="X1454" i="6"/>
  <c r="X1976" i="6"/>
  <c r="X1990" i="6"/>
  <c r="X1568" i="6"/>
  <c r="X1106" i="6"/>
  <c r="X485" i="6"/>
  <c r="X1725" i="6"/>
  <c r="X1270" i="6"/>
  <c r="X696" i="6"/>
  <c r="X1822" i="6"/>
  <c r="X1338" i="6"/>
  <c r="X794" i="6"/>
  <c r="X1874" i="6"/>
  <c r="X1405" i="6"/>
  <c r="X430" i="6"/>
  <c r="X1680" i="6"/>
  <c r="X878" i="6"/>
  <c r="X1777" i="6"/>
  <c r="X1005" i="6"/>
  <c r="X1855" i="6"/>
  <c r="X1004" i="6"/>
  <c r="X1854" i="6"/>
  <c r="X1144" i="6"/>
  <c r="X1981" i="6"/>
  <c r="X1049" i="6"/>
  <c r="X1792" i="6"/>
  <c r="X713" i="6"/>
  <c r="X1346" i="6"/>
  <c r="X1850" i="6"/>
  <c r="X494" i="6"/>
  <c r="X77" i="6"/>
  <c r="X61" i="6"/>
  <c r="X386" i="6"/>
  <c r="X1781" i="6"/>
  <c r="X797" i="6"/>
  <c r="X1348" i="6"/>
  <c r="X1827" i="6"/>
  <c r="X700" i="6"/>
  <c r="X425" i="6"/>
  <c r="X375" i="6"/>
  <c r="X25" i="6"/>
  <c r="X288" i="6"/>
  <c r="AA1792" i="6"/>
  <c r="AA1531" i="6"/>
  <c r="AA1189" i="6"/>
  <c r="AA1951" i="6"/>
  <c r="AA1695" i="6"/>
  <c r="AA1419" i="6"/>
  <c r="AA1022" i="6"/>
  <c r="AA1854" i="6"/>
  <c r="AA1598" i="6"/>
  <c r="AA1286" i="6"/>
  <c r="AA1244" i="6"/>
  <c r="AA952" i="6"/>
  <c r="AA1039" i="6"/>
  <c r="AA1414" i="6"/>
  <c r="AA1130" i="6"/>
  <c r="AA838" i="6"/>
  <c r="AA1349" i="6"/>
  <c r="AA1055" i="6"/>
  <c r="AA763" i="6"/>
  <c r="AA1412" i="6"/>
  <c r="AA1128" i="6"/>
  <c r="AA834" i="6"/>
  <c r="AA1124" i="6"/>
  <c r="AA868" i="6"/>
  <c r="AA612" i="6"/>
  <c r="AA1203" i="6"/>
  <c r="AA947" i="6"/>
  <c r="X1750" i="6"/>
  <c r="X1896" i="6"/>
  <c r="X1154" i="6"/>
  <c r="X1663" i="6"/>
  <c r="X1527" i="6"/>
  <c r="X1728" i="6"/>
  <c r="X1081" i="6"/>
  <c r="X1490" i="6"/>
  <c r="X1644" i="6"/>
  <c r="X1865" i="6"/>
  <c r="X620" i="6"/>
  <c r="X1112" i="6"/>
  <c r="X1550" i="6"/>
  <c r="X1704" i="6"/>
  <c r="X769" i="6"/>
  <c r="X1088" i="6"/>
  <c r="X1848" i="6"/>
  <c r="X1942" i="6"/>
  <c r="X1530" i="6"/>
  <c r="X1062" i="6"/>
  <c r="X1687" i="6"/>
  <c r="X1224" i="6"/>
  <c r="X521" i="6"/>
  <c r="X1784" i="6"/>
  <c r="X1292" i="6"/>
  <c r="X626" i="6"/>
  <c r="X1839" i="6"/>
  <c r="X1358" i="6"/>
  <c r="X341" i="6"/>
  <c r="X1544" i="6"/>
  <c r="X824" i="6"/>
  <c r="X1698" i="6"/>
  <c r="X787" i="6"/>
  <c r="X1817" i="6"/>
  <c r="X953" i="6"/>
  <c r="X1816" i="6"/>
  <c r="X874" i="6"/>
  <c r="X1933" i="6"/>
  <c r="X950" i="6"/>
  <c r="X1735" i="6"/>
  <c r="X639" i="6"/>
  <c r="X1278" i="6"/>
  <c r="X1752" i="6"/>
  <c r="X139" i="6"/>
  <c r="X1195" i="6"/>
  <c r="X1383" i="6"/>
  <c r="X327" i="6"/>
  <c r="X1669" i="6"/>
  <c r="X480" i="6"/>
  <c r="X1124" i="6"/>
  <c r="X1747" i="6"/>
  <c r="X621" i="6"/>
  <c r="X73" i="6"/>
  <c r="X258" i="6"/>
  <c r="X676" i="6"/>
  <c r="X32" i="6"/>
  <c r="X356" i="6"/>
  <c r="X726" i="6"/>
  <c r="X628" i="6"/>
  <c r="X1597" i="6"/>
  <c r="X1024" i="6"/>
  <c r="X1656" i="6"/>
  <c r="X1185" i="6"/>
  <c r="X370" i="6"/>
  <c r="X1712" i="6"/>
  <c r="X1137" i="6"/>
  <c r="X495" i="6"/>
  <c r="X1730" i="6"/>
  <c r="X1114" i="6"/>
  <c r="X364" i="6"/>
  <c r="X637" i="6"/>
  <c r="X971" i="6"/>
  <c r="X444" i="6"/>
  <c r="X1287" i="6"/>
  <c r="X799" i="6"/>
  <c r="X168" i="6"/>
  <c r="X481" i="6"/>
  <c r="X1637" i="6"/>
  <c r="X1173" i="6"/>
  <c r="X741" i="6"/>
  <c r="X86" i="6"/>
  <c r="X1428" i="6"/>
  <c r="X980" i="6"/>
  <c r="X501" i="6"/>
  <c r="X1667" i="6"/>
  <c r="X1155" i="6"/>
  <c r="X602" i="6"/>
  <c r="X378" i="6"/>
  <c r="X409" i="6"/>
  <c r="X440" i="6"/>
  <c r="X839" i="6"/>
  <c r="X315" i="6"/>
  <c r="X630" i="6"/>
  <c r="X235" i="6"/>
  <c r="X564" i="6"/>
  <c r="X44" i="6"/>
  <c r="X272" i="6"/>
  <c r="X191" i="6"/>
  <c r="X190" i="6"/>
  <c r="X1693" i="6"/>
  <c r="X1116" i="6"/>
  <c r="X369" i="6"/>
  <c r="X1711" i="6"/>
  <c r="X1089" i="6"/>
  <c r="X248" i="6"/>
  <c r="X618" i="6"/>
  <c r="X39" i="6"/>
  <c r="X939" i="6"/>
  <c r="X418" i="6"/>
  <c r="X1271" i="6"/>
  <c r="X781" i="6"/>
  <c r="X129" i="6"/>
  <c r="X460" i="6"/>
  <c r="X1621" i="6"/>
  <c r="X1157" i="6"/>
  <c r="X683" i="6"/>
  <c r="X55" i="6"/>
  <c r="X1412" i="6"/>
  <c r="X932" i="6"/>
  <c r="X479" i="6"/>
  <c r="X1619" i="6"/>
  <c r="X1139" i="6"/>
  <c r="X581" i="6"/>
  <c r="X340" i="6"/>
  <c r="X393" i="6"/>
  <c r="X392" i="6"/>
  <c r="X775" i="6"/>
  <c r="X296" i="6"/>
  <c r="X614" i="6"/>
  <c r="X113" i="6"/>
  <c r="X548" i="6"/>
  <c r="X24" i="6"/>
  <c r="X256" i="6"/>
  <c r="X175" i="6"/>
  <c r="X142" i="6"/>
  <c r="X1984" i="6"/>
  <c r="X1562" i="6"/>
  <c r="X1074" i="6"/>
  <c r="X427" i="6"/>
  <c r="X1798" i="6"/>
  <c r="X1376" i="6"/>
  <c r="X717" i="6"/>
  <c r="X395" i="6"/>
  <c r="X1658" i="6"/>
  <c r="X1166" i="6"/>
  <c r="X575" i="6"/>
  <c r="X1949" i="6"/>
  <c r="X1458" i="6"/>
  <c r="X974" i="6"/>
  <c r="X1615" i="6"/>
  <c r="X1094" i="6"/>
  <c r="X1674" i="6"/>
  <c r="X1090" i="6"/>
  <c r="X1692" i="6"/>
  <c r="X1068" i="6"/>
  <c r="X597" i="6"/>
  <c r="X1403" i="6"/>
  <c r="X923" i="6"/>
  <c r="X396" i="6"/>
  <c r="X1255" i="6"/>
  <c r="X763" i="6"/>
  <c r="X434" i="6"/>
  <c r="X1605" i="6"/>
  <c r="X1141" i="6"/>
  <c r="X623" i="6"/>
  <c r="X1396" i="6"/>
  <c r="X916" i="6"/>
  <c r="X458" i="6"/>
  <c r="X1587" i="6"/>
  <c r="X1075" i="6"/>
  <c r="X523" i="6"/>
  <c r="X280" i="6"/>
  <c r="X377" i="6"/>
  <c r="X376" i="6"/>
  <c r="X711" i="6"/>
  <c r="X277" i="6"/>
  <c r="X598" i="6"/>
  <c r="X70" i="6"/>
  <c r="X532" i="6"/>
  <c r="X8" i="6"/>
  <c r="X160" i="6"/>
  <c r="X159" i="6"/>
  <c r="X110" i="6"/>
  <c r="X358" i="6"/>
  <c r="X357" i="6"/>
  <c r="X663" i="6"/>
  <c r="X566" i="6"/>
  <c r="X516" i="6"/>
  <c r="X1703" i="6"/>
  <c r="X1264" i="6"/>
  <c r="X728" i="6"/>
  <c r="X2001" i="6"/>
  <c r="X1642" i="6"/>
  <c r="X1216" i="6"/>
  <c r="X653" i="6"/>
  <c r="X1952" i="6"/>
  <c r="X1502" i="6"/>
  <c r="X978" i="6"/>
  <c r="X329" i="6"/>
  <c r="X1757" i="6"/>
  <c r="X1238" i="6"/>
  <c r="X650" i="6"/>
  <c r="X1998" i="6"/>
  <c r="X1617" i="6"/>
  <c r="X1119" i="6"/>
  <c r="X509" i="6"/>
  <c r="X1885" i="6"/>
  <c r="X1420" i="6"/>
  <c r="X924" i="6"/>
  <c r="X1577" i="6"/>
  <c r="X946" i="6"/>
  <c r="X145" i="6"/>
  <c r="X1614" i="6"/>
  <c r="X998" i="6"/>
  <c r="X140" i="6"/>
  <c r="X1613" i="6"/>
  <c r="X943" i="6"/>
  <c r="X65" i="6"/>
  <c r="X558" i="6"/>
  <c r="X1355" i="6"/>
  <c r="X891" i="6"/>
  <c r="X332" i="6"/>
  <c r="X1127" i="6"/>
  <c r="X685" i="6"/>
  <c r="X13" i="6"/>
  <c r="X202" i="6"/>
  <c r="X1573" i="6"/>
  <c r="X1109" i="6"/>
  <c r="X585" i="6"/>
  <c r="X1796" i="6"/>
  <c r="X1316" i="6"/>
  <c r="X850" i="6"/>
  <c r="X411" i="6"/>
  <c r="X1555" i="6"/>
  <c r="X1043" i="6"/>
  <c r="X453" i="6"/>
  <c r="X242" i="6"/>
  <c r="X339" i="6"/>
  <c r="X297" i="6"/>
  <c r="X647" i="6"/>
  <c r="X236" i="6"/>
  <c r="X518" i="6"/>
  <c r="X26" i="6"/>
  <c r="X404" i="6"/>
  <c r="X181" i="6"/>
  <c r="X112" i="6"/>
  <c r="X127" i="6"/>
  <c r="X78" i="6"/>
  <c r="X1805" i="6"/>
  <c r="X1451" i="6"/>
  <c r="X1038" i="6"/>
  <c r="X522" i="6"/>
  <c r="X1893" i="6"/>
  <c r="X1529" i="6"/>
  <c r="X1105" i="6"/>
  <c r="X658" i="6"/>
  <c r="X1940" i="6"/>
  <c r="X1607" i="6"/>
  <c r="X1222" i="6"/>
  <c r="X765" i="6"/>
  <c r="X1681" i="6"/>
  <c r="X1217" i="6"/>
  <c r="X690" i="6"/>
  <c r="X1985" i="6"/>
  <c r="X1623" i="6"/>
  <c r="X1194" i="6"/>
  <c r="X617" i="6"/>
  <c r="X1904" i="6"/>
  <c r="X1483" i="6"/>
  <c r="X954" i="6"/>
  <c r="X273" i="6"/>
  <c r="X1738" i="6"/>
  <c r="X1192" i="6"/>
  <c r="X613" i="6"/>
  <c r="X1982" i="6"/>
  <c r="X1598" i="6"/>
  <c r="X1097" i="6"/>
  <c r="X464" i="6"/>
  <c r="X1853" i="6"/>
  <c r="X1398" i="6"/>
  <c r="X897" i="6"/>
  <c r="X1964" i="6"/>
  <c r="X1517" i="6"/>
  <c r="X922" i="6"/>
  <c r="X75" i="6"/>
  <c r="X1554" i="6"/>
  <c r="X945" i="6"/>
  <c r="X66" i="6"/>
  <c r="X1594" i="6"/>
  <c r="X920" i="6"/>
  <c r="X976" i="6"/>
  <c r="X539" i="6"/>
  <c r="X1275" i="6"/>
  <c r="X875" i="6"/>
  <c r="X306" i="6"/>
  <c r="X1111" i="6"/>
  <c r="X645" i="6"/>
  <c r="X816" i="6"/>
  <c r="X167" i="6"/>
  <c r="X1525" i="6"/>
  <c r="X1061" i="6"/>
  <c r="X563" i="6"/>
  <c r="X1780" i="6"/>
  <c r="X1300" i="6"/>
  <c r="X832" i="6"/>
  <c r="X349" i="6"/>
  <c r="X1539" i="6"/>
  <c r="X1027" i="6"/>
  <c r="X431" i="6"/>
  <c r="X220" i="6"/>
  <c r="X317" i="6"/>
  <c r="X259" i="6"/>
  <c r="X631" i="6"/>
  <c r="X217" i="6"/>
  <c r="X470" i="6"/>
  <c r="X153" i="6"/>
  <c r="X388" i="6"/>
  <c r="X165" i="6"/>
  <c r="X96" i="6"/>
  <c r="X111" i="6"/>
  <c r="X62" i="6"/>
  <c r="X1196" i="6"/>
  <c r="X654" i="6"/>
  <c r="X1969" i="6"/>
  <c r="X1601" i="6"/>
  <c r="X1169" i="6"/>
  <c r="X579" i="6"/>
  <c r="X1872" i="6"/>
  <c r="X1464" i="6"/>
  <c r="X927" i="6"/>
  <c r="X1719" i="6"/>
  <c r="X1167" i="6"/>
  <c r="X576" i="6"/>
  <c r="X1966" i="6"/>
  <c r="X1538" i="6"/>
  <c r="X1072" i="6"/>
  <c r="X373" i="6"/>
  <c r="X1793" i="6"/>
  <c r="X1374" i="6"/>
  <c r="X873" i="6"/>
  <c r="X1948" i="6"/>
  <c r="X1479" i="6"/>
  <c r="X895" i="6"/>
  <c r="X1995" i="6"/>
  <c r="X1535" i="6"/>
  <c r="X894" i="6"/>
  <c r="X226" i="6"/>
  <c r="X1575" i="6"/>
  <c r="X893" i="6"/>
  <c r="X928" i="6"/>
  <c r="X520" i="6"/>
  <c r="X1243" i="6"/>
  <c r="X767" i="6"/>
  <c r="X269" i="6"/>
  <c r="X1095" i="6"/>
  <c r="X587" i="6"/>
  <c r="X762" i="6"/>
  <c r="X125" i="6"/>
  <c r="X1509" i="6"/>
  <c r="X1029" i="6"/>
  <c r="X544" i="6"/>
  <c r="X1748" i="6"/>
  <c r="X1284" i="6"/>
  <c r="X814" i="6"/>
  <c r="X194" i="6"/>
  <c r="X1491" i="6"/>
  <c r="X979" i="6"/>
  <c r="X405" i="6"/>
  <c r="X201" i="6"/>
  <c r="X298" i="6"/>
  <c r="X237" i="6"/>
  <c r="X615" i="6"/>
  <c r="X198" i="6"/>
  <c r="X422" i="6"/>
  <c r="X132" i="6"/>
  <c r="X372" i="6"/>
  <c r="X117" i="6"/>
  <c r="X80" i="6"/>
  <c r="X79" i="6"/>
  <c r="X46" i="6"/>
  <c r="X400" i="6"/>
  <c r="X826" i="6"/>
  <c r="X1206" i="6"/>
  <c r="X1928" i="6"/>
  <c r="X347" i="6"/>
  <c r="X1110" i="6"/>
  <c r="X1467" i="6"/>
  <c r="X1971" i="6"/>
  <c r="X1369" i="6"/>
  <c r="X1593" i="6"/>
  <c r="X890" i="6"/>
  <c r="X1767" i="6"/>
  <c r="X1409" i="6"/>
  <c r="X989" i="6"/>
  <c r="X445" i="6"/>
  <c r="X1842" i="6"/>
  <c r="X1469" i="6"/>
  <c r="X1058" i="6"/>
  <c r="X592" i="6"/>
  <c r="X1908" i="6"/>
  <c r="X1566" i="6"/>
  <c r="X1176" i="6"/>
  <c r="X693" i="6"/>
  <c r="X1970" i="6"/>
  <c r="X1602" i="6"/>
  <c r="X1170" i="6"/>
  <c r="X619" i="6"/>
  <c r="X1953" i="6"/>
  <c r="X1582" i="6"/>
  <c r="X1122" i="6"/>
  <c r="X549" i="6"/>
  <c r="X1856" i="6"/>
  <c r="X1442" i="6"/>
  <c r="X904" i="6"/>
  <c r="X151" i="6"/>
  <c r="X1659" i="6"/>
  <c r="X1145" i="6"/>
  <c r="X541" i="6"/>
  <c r="X1950" i="6"/>
  <c r="X1519" i="6"/>
  <c r="X1050" i="6"/>
  <c r="X322" i="6"/>
  <c r="X1774" i="6"/>
  <c r="X1352" i="6"/>
  <c r="X844" i="6"/>
  <c r="X1932" i="6"/>
  <c r="X1457" i="6"/>
  <c r="X872" i="6"/>
  <c r="X1979" i="6"/>
  <c r="X1516" i="6"/>
  <c r="X809" i="6"/>
  <c r="X170" i="6"/>
  <c r="X1534" i="6"/>
  <c r="X866" i="6"/>
  <c r="X912" i="6"/>
  <c r="X496" i="6"/>
  <c r="X1227" i="6"/>
  <c r="X749" i="6"/>
  <c r="X244" i="6"/>
  <c r="X1079" i="6"/>
  <c r="X568" i="6"/>
  <c r="X722" i="6"/>
  <c r="X87" i="6"/>
  <c r="X1477" i="6"/>
  <c r="X1013" i="6"/>
  <c r="X525" i="6"/>
  <c r="X1700" i="6"/>
  <c r="X1268" i="6"/>
  <c r="X796" i="6"/>
  <c r="X123" i="6"/>
  <c r="X1411" i="6"/>
  <c r="X899" i="6"/>
  <c r="X348" i="6"/>
  <c r="X182" i="6"/>
  <c r="X279" i="6"/>
  <c r="X218" i="6"/>
  <c r="X567" i="6"/>
  <c r="X155" i="6"/>
  <c r="X406" i="6"/>
  <c r="X109" i="6"/>
  <c r="X353" i="6"/>
  <c r="X37" i="6"/>
  <c r="X64" i="6"/>
  <c r="X31" i="6"/>
  <c r="X30" i="6"/>
  <c r="X1017" i="6"/>
  <c r="X1384" i="6"/>
  <c r="X1761" i="6"/>
  <c r="X1276" i="6"/>
  <c r="X600" i="6"/>
  <c r="X770" i="6"/>
  <c r="X1745" i="6"/>
  <c r="X1388" i="6"/>
  <c r="X938" i="6"/>
  <c r="X399" i="6"/>
  <c r="X1804" i="6"/>
  <c r="X1450" i="6"/>
  <c r="X1037" i="6"/>
  <c r="X556" i="6"/>
  <c r="X1892" i="6"/>
  <c r="X1547" i="6"/>
  <c r="X1151" i="6"/>
  <c r="X657" i="6"/>
  <c r="X1954" i="6"/>
  <c r="X1564" i="6"/>
  <c r="X1149" i="6"/>
  <c r="X588" i="6"/>
  <c r="X1937" i="6"/>
  <c r="X1563" i="6"/>
  <c r="X1054" i="6"/>
  <c r="X513" i="6"/>
  <c r="X1837" i="6"/>
  <c r="X1377" i="6"/>
  <c r="X877" i="6"/>
  <c r="X99" i="6"/>
  <c r="X1580" i="6"/>
  <c r="X1120" i="6"/>
  <c r="X510" i="6"/>
  <c r="X1934" i="6"/>
  <c r="X1500" i="6"/>
  <c r="X975" i="6"/>
  <c r="X267" i="6"/>
  <c r="X1755" i="6"/>
  <c r="X1327" i="6"/>
  <c r="X812" i="6"/>
  <c r="X1884" i="6"/>
  <c r="X1419" i="6"/>
  <c r="X843" i="6"/>
  <c r="X1963" i="6"/>
  <c r="X1497" i="6"/>
  <c r="X776" i="6"/>
  <c r="X1978" i="6"/>
  <c r="X1436" i="6"/>
  <c r="X840" i="6"/>
  <c r="X896" i="6"/>
  <c r="X428" i="6"/>
  <c r="X1211" i="6"/>
  <c r="X730" i="6"/>
  <c r="X141" i="6"/>
  <c r="X1063" i="6"/>
  <c r="X546" i="6"/>
  <c r="X703" i="6"/>
  <c r="X56" i="6"/>
  <c r="X1429" i="6"/>
  <c r="X997" i="6"/>
  <c r="X506" i="6"/>
  <c r="X1652" i="6"/>
  <c r="X1236" i="6"/>
  <c r="X778" i="6"/>
  <c r="X84" i="6"/>
  <c r="X1395" i="6"/>
  <c r="X867" i="6"/>
  <c r="X253" i="6"/>
  <c r="X161" i="6"/>
  <c r="X241" i="6"/>
  <c r="X199" i="6"/>
  <c r="X551" i="6"/>
  <c r="X91" i="6"/>
  <c r="X390" i="6"/>
  <c r="X89" i="6"/>
  <c r="X331" i="6"/>
  <c r="X21" i="6"/>
  <c r="X48" i="6"/>
  <c r="X15" i="6"/>
  <c r="X1766" i="6"/>
  <c r="X1408" i="6"/>
  <c r="X988" i="6"/>
  <c r="X483" i="6"/>
  <c r="X1860" i="6"/>
  <c r="X1506" i="6"/>
  <c r="X1104" i="6"/>
  <c r="X590" i="6"/>
  <c r="X1906" i="6"/>
  <c r="X1526" i="6"/>
  <c r="X1102" i="6"/>
  <c r="X514" i="6"/>
  <c r="X1905" i="6"/>
  <c r="X1522" i="6"/>
  <c r="X982" i="6"/>
  <c r="X429" i="6"/>
  <c r="X1799" i="6"/>
  <c r="X1330" i="6"/>
  <c r="X820" i="6"/>
  <c r="X1983" i="6"/>
  <c r="X1542" i="6"/>
  <c r="X1073" i="6"/>
  <c r="X426" i="6"/>
  <c r="X1902" i="6"/>
  <c r="X1462" i="6"/>
  <c r="X898" i="6"/>
  <c r="X147" i="6"/>
  <c r="X1714" i="6"/>
  <c r="X1280" i="6"/>
  <c r="X677" i="6"/>
  <c r="X1833" i="6"/>
  <c r="X1326" i="6"/>
  <c r="X782" i="6"/>
  <c r="X1915" i="6"/>
  <c r="X1393" i="6"/>
  <c r="X712" i="6"/>
  <c r="X1946" i="6"/>
  <c r="X1370" i="6"/>
  <c r="X672" i="6"/>
  <c r="X864" i="6"/>
  <c r="X283" i="6"/>
  <c r="X1179" i="6"/>
  <c r="X689" i="6"/>
  <c r="X22" i="6"/>
  <c r="X999" i="6"/>
  <c r="X435" i="6"/>
  <c r="X605" i="6"/>
  <c r="X1829" i="6"/>
  <c r="X1365" i="6"/>
  <c r="X917" i="6"/>
  <c r="X459" i="6"/>
  <c r="X1604" i="6"/>
  <c r="X1140" i="6"/>
  <c r="X622" i="6"/>
  <c r="X1843" i="6"/>
  <c r="X1363" i="6"/>
  <c r="X813" i="6"/>
  <c r="X193" i="6"/>
  <c r="X118" i="6"/>
  <c r="X93" i="6"/>
  <c r="X136" i="6"/>
  <c r="X519" i="6"/>
  <c r="X822" i="6"/>
  <c r="X355" i="6"/>
  <c r="X45" i="6"/>
  <c r="X233" i="6"/>
  <c r="X3" i="6"/>
  <c r="X16" i="6"/>
  <c r="X350" i="6"/>
  <c r="X1209" i="6"/>
  <c r="X1673" i="6"/>
  <c r="X1277" i="6"/>
  <c r="X960" i="6"/>
  <c r="X1163" i="6"/>
  <c r="X841" i="6"/>
  <c r="X1351" i="6"/>
  <c r="X1047" i="6"/>
  <c r="X723" i="6"/>
  <c r="X1557" i="6"/>
  <c r="X1253" i="6"/>
  <c r="X901" i="6"/>
  <c r="X1844" i="6"/>
  <c r="X1540" i="6"/>
  <c r="X1188" i="6"/>
  <c r="X884" i="6"/>
  <c r="X1811" i="6"/>
  <c r="X1443" i="6"/>
  <c r="X1123" i="6"/>
  <c r="X757" i="6"/>
  <c r="X504" i="6"/>
  <c r="X599" i="6"/>
  <c r="X678" i="6"/>
  <c r="X468" i="6"/>
  <c r="X352" i="6"/>
  <c r="X126" i="6"/>
  <c r="X1184" i="6"/>
  <c r="X1994" i="6"/>
  <c r="X1654" i="6"/>
  <c r="X1254" i="6"/>
  <c r="X944" i="6"/>
  <c r="X1147" i="6"/>
  <c r="X785" i="6"/>
  <c r="X1335" i="6"/>
  <c r="X1031" i="6"/>
  <c r="X704" i="6"/>
  <c r="X1845" i="6"/>
  <c r="X1541" i="6"/>
  <c r="X1221" i="6"/>
  <c r="X885" i="6"/>
  <c r="X1828" i="6"/>
  <c r="X1524" i="6"/>
  <c r="X1172" i="6"/>
  <c r="X868" i="6"/>
  <c r="X1795" i="6"/>
  <c r="X1427" i="6"/>
  <c r="X1107" i="6"/>
  <c r="X738" i="6"/>
  <c r="X488" i="6"/>
  <c r="X583" i="6"/>
  <c r="X662" i="6"/>
  <c r="X420" i="6"/>
  <c r="X1643" i="6"/>
  <c r="X1311" i="6"/>
  <c r="X930" i="6"/>
  <c r="X1838" i="6"/>
  <c r="X1484" i="6"/>
  <c r="X1101" i="6"/>
  <c r="X1936" i="6"/>
  <c r="X1600" i="6"/>
  <c r="X1215" i="6"/>
  <c r="X753" i="6"/>
  <c r="X1697" i="6"/>
  <c r="X1329" i="6"/>
  <c r="X847" i="6"/>
  <c r="X1794" i="6"/>
  <c r="X1440" i="6"/>
  <c r="X1025" i="6"/>
  <c r="X1917" i="6"/>
  <c r="X1578" i="6"/>
  <c r="X1186" i="6"/>
  <c r="X648" i="6"/>
  <c r="X1916" i="6"/>
  <c r="X1558" i="6"/>
  <c r="X1138" i="6"/>
  <c r="X608" i="6"/>
  <c r="X1851" i="6"/>
  <c r="X1478" i="6"/>
  <c r="X1046" i="6"/>
  <c r="X451" i="6"/>
  <c r="X1898" i="6"/>
  <c r="X1474" i="6"/>
  <c r="X1042" i="6"/>
  <c r="X450" i="6"/>
  <c r="X846" i="6"/>
  <c r="X475" i="6"/>
  <c r="X1307" i="6"/>
  <c r="X1003" i="6"/>
  <c r="X670" i="6"/>
  <c r="X210" i="6"/>
  <c r="X1239" i="6"/>
  <c r="X887" i="6"/>
  <c r="X527" i="6"/>
  <c r="X798" i="6"/>
  <c r="X413" i="6"/>
  <c r="X1733" i="6"/>
  <c r="X1397" i="6"/>
  <c r="X1093" i="6"/>
  <c r="X779" i="6"/>
  <c r="X384" i="6"/>
  <c r="X1684" i="6"/>
  <c r="X1380" i="6"/>
  <c r="X1076" i="6"/>
  <c r="X760" i="6"/>
  <c r="X262" i="6"/>
  <c r="X1651" i="6"/>
  <c r="X1331" i="6"/>
  <c r="X931" i="6"/>
  <c r="X561" i="6"/>
  <c r="X38" i="6"/>
  <c r="X74" i="6"/>
  <c r="X180" i="6"/>
  <c r="X338" i="6"/>
  <c r="X807" i="6"/>
  <c r="X487" i="6"/>
  <c r="X71" i="6"/>
  <c r="X550" i="6"/>
  <c r="X216" i="6"/>
  <c r="X660" i="6"/>
  <c r="X312" i="6"/>
  <c r="X149" i="6"/>
  <c r="X224" i="6"/>
  <c r="X255" i="6"/>
  <c r="X318" i="6"/>
  <c r="X14" i="6"/>
  <c r="X1958" i="6"/>
  <c r="X1666" i="6"/>
  <c r="X1341" i="6"/>
  <c r="X962" i="6"/>
  <c r="X1861" i="6"/>
  <c r="X1548" i="6"/>
  <c r="X1199" i="6"/>
  <c r="X1743" i="6"/>
  <c r="X1430" i="6"/>
  <c r="X1057" i="6"/>
  <c r="X1922" i="6"/>
  <c r="X1624" i="6"/>
  <c r="X1289" i="6"/>
  <c r="X906" i="6"/>
  <c r="X1800" i="6"/>
  <c r="X1465" i="6"/>
  <c r="X1078" i="6"/>
  <c r="X1920" i="6"/>
  <c r="X1581" i="6"/>
  <c r="X1193" i="6"/>
  <c r="X718" i="6"/>
  <c r="X1999" i="6"/>
  <c r="X1678" i="6"/>
  <c r="X1261" i="6"/>
  <c r="X819" i="6"/>
  <c r="X1775" i="6"/>
  <c r="X1421" i="6"/>
  <c r="X1002" i="6"/>
  <c r="X421" i="6"/>
  <c r="X1901" i="6"/>
  <c r="X1559" i="6"/>
  <c r="X1118" i="6"/>
  <c r="X609" i="6"/>
  <c r="X1900" i="6"/>
  <c r="X1536" i="6"/>
  <c r="X1117" i="6"/>
  <c r="X573" i="6"/>
  <c r="X1832" i="6"/>
  <c r="X1456" i="6"/>
  <c r="X1022" i="6"/>
  <c r="X416" i="6"/>
  <c r="X1882" i="6"/>
  <c r="X1455" i="6"/>
  <c r="X1021" i="6"/>
  <c r="X415" i="6"/>
  <c r="X828" i="6"/>
  <c r="X449" i="6"/>
  <c r="X1291" i="6"/>
  <c r="X987" i="6"/>
  <c r="X651" i="6"/>
  <c r="X173" i="6"/>
  <c r="X1223" i="6"/>
  <c r="X871" i="6"/>
  <c r="X508" i="6"/>
  <c r="X780" i="6"/>
  <c r="X385" i="6"/>
  <c r="X1685" i="6"/>
  <c r="X1381" i="6"/>
  <c r="X1077" i="6"/>
  <c r="X761" i="6"/>
  <c r="X325" i="6"/>
  <c r="X1668" i="6"/>
  <c r="X1364" i="6"/>
  <c r="X1060" i="6"/>
  <c r="X739" i="6"/>
  <c r="X228" i="6"/>
  <c r="X1635" i="6"/>
  <c r="X1315" i="6"/>
  <c r="X915" i="6"/>
  <c r="X542" i="6"/>
  <c r="X17" i="6"/>
  <c r="X54" i="6"/>
  <c r="X157" i="6"/>
  <c r="X316" i="6"/>
  <c r="X791" i="6"/>
  <c r="X455" i="6"/>
  <c r="X50" i="6"/>
  <c r="X534" i="6"/>
  <c r="X177" i="6"/>
  <c r="X644" i="6"/>
  <c r="X293" i="6"/>
  <c r="X133" i="6"/>
  <c r="X176" i="6"/>
  <c r="X239" i="6"/>
  <c r="X302" i="6"/>
  <c r="X1926" i="6"/>
  <c r="X1628" i="6"/>
  <c r="X1294" i="6"/>
  <c r="X1823" i="6"/>
  <c r="X1510" i="6"/>
  <c r="X1152" i="6"/>
  <c r="X1988" i="6"/>
  <c r="X1705" i="6"/>
  <c r="X1385" i="6"/>
  <c r="X1010" i="6"/>
  <c r="X1890" i="6"/>
  <c r="X1583" i="6"/>
  <c r="X1242" i="6"/>
  <c r="X825" i="6"/>
  <c r="X1759" i="6"/>
  <c r="X1424" i="6"/>
  <c r="X1032" i="6"/>
  <c r="X1888" i="6"/>
  <c r="X1543" i="6"/>
  <c r="X1146" i="6"/>
  <c r="X652" i="6"/>
  <c r="X1967" i="6"/>
  <c r="X1599" i="6"/>
  <c r="X1214" i="6"/>
  <c r="X752" i="6"/>
  <c r="X1737" i="6"/>
  <c r="X1375" i="6"/>
  <c r="X952" i="6"/>
  <c r="X1869" i="6"/>
  <c r="X1480" i="6"/>
  <c r="X1071" i="6"/>
  <c r="X538" i="6"/>
  <c r="X1868" i="6"/>
  <c r="X1498" i="6"/>
  <c r="X1048" i="6"/>
  <c r="X417" i="6"/>
  <c r="X1791" i="6"/>
  <c r="X1418" i="6"/>
  <c r="X972" i="6"/>
  <c r="X309" i="6"/>
  <c r="X1790" i="6"/>
  <c r="X1417" i="6"/>
  <c r="X970" i="6"/>
  <c r="X308" i="6"/>
  <c r="X792" i="6"/>
  <c r="X345" i="6"/>
  <c r="X1259" i="6"/>
  <c r="X955" i="6"/>
  <c r="X610" i="6"/>
  <c r="X103" i="6"/>
  <c r="X1143" i="6"/>
  <c r="X835" i="6"/>
  <c r="X461" i="6"/>
  <c r="X744" i="6"/>
  <c r="X292" i="6"/>
  <c r="X1653" i="6"/>
  <c r="X1349" i="6"/>
  <c r="X1045" i="6"/>
  <c r="X721" i="6"/>
  <c r="X196" i="6"/>
  <c r="X1636" i="6"/>
  <c r="X1332" i="6"/>
  <c r="X1028" i="6"/>
  <c r="X641" i="6"/>
  <c r="X164" i="6"/>
  <c r="X1603" i="6"/>
  <c r="X1283" i="6"/>
  <c r="X883" i="6"/>
  <c r="X499" i="6"/>
  <c r="X394" i="6"/>
  <c r="X473" i="6"/>
  <c r="X116" i="6"/>
  <c r="X278" i="6"/>
  <c r="X759" i="6"/>
  <c r="X391" i="6"/>
  <c r="X4" i="6"/>
  <c r="X502" i="6"/>
  <c r="X90" i="6"/>
  <c r="X612" i="6"/>
  <c r="X252" i="6"/>
  <c r="X85" i="6"/>
  <c r="X144" i="6"/>
  <c r="X207" i="6"/>
  <c r="X270" i="6"/>
  <c r="X854" i="6"/>
  <c r="X1091" i="6"/>
  <c r="X831" i="6"/>
  <c r="X823" i="6"/>
  <c r="X838" i="6"/>
  <c r="X582" i="6"/>
  <c r="X580" i="6"/>
  <c r="Y2" i="6"/>
  <c r="X2" i="6" s="1"/>
  <c r="X1523" i="6"/>
  <c r="X1267" i="6"/>
  <c r="X1011" i="6"/>
  <c r="X743" i="6"/>
  <c r="X758" i="6"/>
  <c r="X500" i="6"/>
  <c r="X1754" i="6"/>
  <c r="X1438" i="6"/>
  <c r="X1070" i="6"/>
  <c r="X1931" i="6"/>
  <c r="X1633" i="6"/>
  <c r="X1302" i="6"/>
  <c r="X921" i="6"/>
  <c r="X1866" i="6"/>
  <c r="X1553" i="6"/>
  <c r="X1208" i="6"/>
  <c r="X808" i="6"/>
  <c r="X772" i="6"/>
  <c r="X1371" i="6"/>
  <c r="X1115" i="6"/>
  <c r="X859" i="6"/>
  <c r="X553" i="6"/>
  <c r="X1207" i="6"/>
  <c r="X951" i="6"/>
  <c r="X666" i="6"/>
  <c r="X294" i="6"/>
  <c r="X684" i="6"/>
  <c r="X326" i="6"/>
  <c r="X1749" i="6"/>
  <c r="X1493" i="6"/>
  <c r="X1237" i="6"/>
  <c r="X981" i="6"/>
  <c r="X702" i="6"/>
  <c r="X354" i="6"/>
  <c r="X1764" i="6"/>
  <c r="X1508" i="6"/>
  <c r="X1252" i="6"/>
  <c r="X996" i="6"/>
  <c r="X720" i="6"/>
  <c r="X383" i="6"/>
  <c r="X1763" i="6"/>
  <c r="X1507" i="6"/>
  <c r="X1251" i="6"/>
  <c r="X995" i="6"/>
  <c r="X719" i="6"/>
  <c r="X382" i="6"/>
  <c r="X359" i="6"/>
  <c r="X33" i="6"/>
  <c r="X260" i="6"/>
  <c r="X456" i="6"/>
  <c r="X156" i="6"/>
  <c r="X727" i="6"/>
  <c r="X471" i="6"/>
  <c r="X178" i="6"/>
  <c r="X742" i="6"/>
  <c r="X486" i="6"/>
  <c r="X197" i="6"/>
  <c r="X740" i="6"/>
  <c r="X484" i="6"/>
  <c r="X195" i="6"/>
  <c r="X101" i="6"/>
  <c r="X240" i="6"/>
  <c r="X351" i="6"/>
  <c r="X95" i="6"/>
  <c r="X206" i="6"/>
  <c r="X1739" i="6"/>
  <c r="X1423" i="6"/>
  <c r="X1053" i="6"/>
  <c r="X1935" i="6"/>
  <c r="X1640" i="6"/>
  <c r="X1308" i="6"/>
  <c r="X926" i="6"/>
  <c r="X1886" i="6"/>
  <c r="X1579" i="6"/>
  <c r="X1234" i="6"/>
  <c r="X845" i="6"/>
  <c r="X1834" i="6"/>
  <c r="X1518" i="6"/>
  <c r="X1165" i="6"/>
  <c r="X750" i="6"/>
  <c r="X1996" i="6"/>
  <c r="X1713" i="6"/>
  <c r="X1394" i="6"/>
  <c r="X1023" i="6"/>
  <c r="X537" i="6"/>
  <c r="X1899" i="6"/>
  <c r="X1595" i="6"/>
  <c r="X1256" i="6"/>
  <c r="X870" i="6"/>
  <c r="X1831" i="6"/>
  <c r="X1515" i="6"/>
  <c r="X1161" i="6"/>
  <c r="X746" i="6"/>
  <c r="X1008" i="6"/>
  <c r="X735" i="6"/>
  <c r="X401" i="6"/>
  <c r="X1339" i="6"/>
  <c r="X1083" i="6"/>
  <c r="X821" i="6"/>
  <c r="X512" i="6"/>
  <c r="X1175" i="6"/>
  <c r="X919" i="6"/>
  <c r="X625" i="6"/>
  <c r="X231" i="6"/>
  <c r="X643" i="6"/>
  <c r="X264" i="6"/>
  <c r="X1717" i="6"/>
  <c r="X1461" i="6"/>
  <c r="X1205" i="6"/>
  <c r="X949" i="6"/>
  <c r="X664" i="6"/>
  <c r="X291" i="6"/>
  <c r="X1732" i="6"/>
  <c r="X1476" i="6"/>
  <c r="X1220" i="6"/>
  <c r="X964" i="6"/>
  <c r="X682" i="6"/>
  <c r="X324" i="6"/>
  <c r="X1731" i="6"/>
  <c r="X1475" i="6"/>
  <c r="X1219" i="6"/>
  <c r="X963" i="6"/>
  <c r="X681" i="6"/>
  <c r="X323" i="6"/>
  <c r="X321" i="6"/>
  <c r="X505" i="6"/>
  <c r="X219" i="6"/>
  <c r="X424" i="6"/>
  <c r="X115" i="6"/>
  <c r="X695" i="6"/>
  <c r="X439" i="6"/>
  <c r="X135" i="6"/>
  <c r="X710" i="6"/>
  <c r="X454" i="6"/>
  <c r="X154" i="6"/>
  <c r="X708" i="6"/>
  <c r="X452" i="6"/>
  <c r="X152" i="6"/>
  <c r="X69" i="6"/>
  <c r="X208" i="6"/>
  <c r="X319" i="6"/>
  <c r="X63" i="6"/>
  <c r="X174" i="6"/>
  <c r="X879" i="6"/>
  <c r="X1819" i="6"/>
  <c r="X1503" i="6"/>
  <c r="X1148" i="6"/>
  <c r="X725" i="6"/>
  <c r="X2000" i="6"/>
  <c r="X1720" i="6"/>
  <c r="X1402" i="6"/>
  <c r="X1030" i="6"/>
  <c r="X1919" i="6"/>
  <c r="X1618" i="6"/>
  <c r="X1282" i="6"/>
  <c r="X902" i="6"/>
  <c r="X1870" i="6"/>
  <c r="X1560" i="6"/>
  <c r="X1213" i="6"/>
  <c r="X818" i="6"/>
  <c r="X1815" i="6"/>
  <c r="X1499" i="6"/>
  <c r="X1142" i="6"/>
  <c r="X714" i="6"/>
  <c r="X1980" i="6"/>
  <c r="X1694" i="6"/>
  <c r="X1373" i="6"/>
  <c r="X1000" i="6"/>
  <c r="X497" i="6"/>
  <c r="X1883" i="6"/>
  <c r="X1576" i="6"/>
  <c r="X1231" i="6"/>
  <c r="X842" i="6"/>
  <c r="X1809" i="6"/>
  <c r="X1496" i="6"/>
  <c r="X1136" i="6"/>
  <c r="X707" i="6"/>
  <c r="X992" i="6"/>
  <c r="X716" i="6"/>
  <c r="X379" i="6"/>
  <c r="X1323" i="6"/>
  <c r="X1067" i="6"/>
  <c r="X803" i="6"/>
  <c r="X491" i="6"/>
  <c r="X1415" i="6"/>
  <c r="X1159" i="6"/>
  <c r="X903" i="6"/>
  <c r="X606" i="6"/>
  <c r="X203" i="6"/>
  <c r="X624" i="6"/>
  <c r="X230" i="6"/>
  <c r="X1701" i="6"/>
  <c r="X1445" i="6"/>
  <c r="X1189" i="6"/>
  <c r="X933" i="6"/>
  <c r="X642" i="6"/>
  <c r="X263" i="6"/>
  <c r="X1716" i="6"/>
  <c r="X1460" i="6"/>
  <c r="X1204" i="6"/>
  <c r="X948" i="6"/>
  <c r="X661" i="6"/>
  <c r="X290" i="6"/>
  <c r="X1715" i="6"/>
  <c r="X1459" i="6"/>
  <c r="X1203" i="6"/>
  <c r="X947" i="6"/>
  <c r="X659" i="6"/>
  <c r="X289" i="6"/>
  <c r="X299" i="6"/>
  <c r="X489" i="6"/>
  <c r="X200" i="6"/>
  <c r="X408" i="6"/>
  <c r="X92" i="6"/>
  <c r="X679" i="6"/>
  <c r="X423" i="6"/>
  <c r="X114" i="6"/>
  <c r="X694" i="6"/>
  <c r="X438" i="6"/>
  <c r="X134" i="6"/>
  <c r="X692" i="6"/>
  <c r="X436" i="6"/>
  <c r="X131" i="6"/>
  <c r="X53" i="6"/>
  <c r="X192" i="6"/>
  <c r="X303" i="6"/>
  <c r="X47" i="6"/>
  <c r="V2" i="6"/>
  <c r="U2" i="6" s="1"/>
  <c r="U3" i="6"/>
  <c r="U19" i="6"/>
  <c r="U35" i="6"/>
  <c r="U51" i="6"/>
  <c r="U67" i="6"/>
  <c r="U83" i="6"/>
  <c r="U99" i="6"/>
  <c r="U115" i="6"/>
  <c r="U131" i="6"/>
  <c r="U147" i="6"/>
  <c r="U163" i="6"/>
  <c r="U179" i="6"/>
  <c r="U195" i="6"/>
  <c r="U211" i="6"/>
  <c r="U227" i="6"/>
  <c r="U243" i="6"/>
  <c r="U259" i="6"/>
  <c r="U275" i="6"/>
  <c r="U291" i="6"/>
  <c r="U307" i="6"/>
  <c r="U323" i="6"/>
  <c r="U339" i="6"/>
  <c r="U355" i="6"/>
  <c r="U371" i="6"/>
  <c r="U387" i="6"/>
  <c r="U403" i="6"/>
  <c r="U419" i="6"/>
  <c r="U435" i="6"/>
  <c r="U451" i="6"/>
  <c r="U467" i="6"/>
  <c r="U483" i="6"/>
  <c r="U499" i="6"/>
  <c r="U515" i="6"/>
  <c r="U531" i="6"/>
  <c r="U547" i="6"/>
  <c r="U563" i="6"/>
  <c r="U579" i="6"/>
  <c r="U595" i="6"/>
  <c r="U611" i="6"/>
  <c r="U627" i="6"/>
  <c r="U643" i="6"/>
  <c r="U659" i="6"/>
  <c r="U675" i="6"/>
  <c r="U691" i="6"/>
  <c r="U707" i="6"/>
  <c r="U723" i="6"/>
  <c r="U739" i="6"/>
  <c r="U755" i="6"/>
  <c r="U771" i="6"/>
  <c r="U787" i="6"/>
  <c r="U803" i="6"/>
  <c r="U819" i="6"/>
  <c r="U835" i="6"/>
  <c r="U851" i="6"/>
  <c r="U867" i="6"/>
  <c r="U883" i="6"/>
  <c r="U899" i="6"/>
  <c r="U915" i="6"/>
  <c r="U931" i="6"/>
  <c r="U947" i="6"/>
  <c r="U963" i="6"/>
  <c r="U979" i="6"/>
  <c r="U995" i="6"/>
  <c r="U1011" i="6"/>
  <c r="U1027" i="6"/>
  <c r="U1043" i="6"/>
  <c r="U1059" i="6"/>
  <c r="U1075" i="6"/>
  <c r="U1091" i="6"/>
  <c r="U1107" i="6"/>
  <c r="U1123" i="6"/>
  <c r="U1139" i="6"/>
  <c r="U1155" i="6"/>
  <c r="U1171" i="6"/>
  <c r="U1187" i="6"/>
  <c r="U1203" i="6"/>
  <c r="U1219" i="6"/>
  <c r="U1235" i="6"/>
  <c r="U1251" i="6"/>
  <c r="U1267" i="6"/>
  <c r="U1283" i="6"/>
  <c r="U1299" i="6"/>
  <c r="U1315" i="6"/>
  <c r="U1331" i="6"/>
  <c r="U1347" i="6"/>
  <c r="U4" i="6"/>
  <c r="U20" i="6"/>
  <c r="U36" i="6"/>
  <c r="U52" i="6"/>
  <c r="U68" i="6"/>
  <c r="U84" i="6"/>
  <c r="U100" i="6"/>
  <c r="U116" i="6"/>
  <c r="U132" i="6"/>
  <c r="U148" i="6"/>
  <c r="U164" i="6"/>
  <c r="U180" i="6"/>
  <c r="U196" i="6"/>
  <c r="U212" i="6"/>
  <c r="U228" i="6"/>
  <c r="U244" i="6"/>
  <c r="U260" i="6"/>
  <c r="U276" i="6"/>
  <c r="U292" i="6"/>
  <c r="U308" i="6"/>
  <c r="U324" i="6"/>
  <c r="U340" i="6"/>
  <c r="U356" i="6"/>
  <c r="U372" i="6"/>
  <c r="U388" i="6"/>
  <c r="U404" i="6"/>
  <c r="U420" i="6"/>
  <c r="U436" i="6"/>
  <c r="U452" i="6"/>
  <c r="U468" i="6"/>
  <c r="U484" i="6"/>
  <c r="U500" i="6"/>
  <c r="U516" i="6"/>
  <c r="U532" i="6"/>
  <c r="U548" i="6"/>
  <c r="U564" i="6"/>
  <c r="U580" i="6"/>
  <c r="U596" i="6"/>
  <c r="U612" i="6"/>
  <c r="U628" i="6"/>
  <c r="U644" i="6"/>
  <c r="U660" i="6"/>
  <c r="U676" i="6"/>
  <c r="U692" i="6"/>
  <c r="U708" i="6"/>
  <c r="U724" i="6"/>
  <c r="U740" i="6"/>
  <c r="U756" i="6"/>
  <c r="U772" i="6"/>
  <c r="U788" i="6"/>
  <c r="U804" i="6"/>
  <c r="U820" i="6"/>
  <c r="U836" i="6"/>
  <c r="U852" i="6"/>
  <c r="U868" i="6"/>
  <c r="U884" i="6"/>
  <c r="U900" i="6"/>
  <c r="U916" i="6"/>
  <c r="U932" i="6"/>
  <c r="U948" i="6"/>
  <c r="U964" i="6"/>
  <c r="U980" i="6"/>
  <c r="U996" i="6"/>
  <c r="U1012" i="6"/>
  <c r="U1028" i="6"/>
  <c r="U1044" i="6"/>
  <c r="U1060" i="6"/>
  <c r="U1076" i="6"/>
  <c r="U1092" i="6"/>
  <c r="U1108" i="6"/>
  <c r="U1124" i="6"/>
  <c r="U1140" i="6"/>
  <c r="U1156" i="6"/>
  <c r="U1172" i="6"/>
  <c r="U1188" i="6"/>
  <c r="U1204" i="6"/>
  <c r="U1220" i="6"/>
  <c r="U1236" i="6"/>
  <c r="U1252" i="6"/>
  <c r="U1268" i="6"/>
  <c r="U1284" i="6"/>
  <c r="U1300" i="6"/>
  <c r="U1316" i="6"/>
  <c r="U1332" i="6"/>
  <c r="U1348" i="6"/>
  <c r="U5" i="6"/>
  <c r="U21" i="6"/>
  <c r="U37" i="6"/>
  <c r="U53" i="6"/>
  <c r="U69" i="6"/>
  <c r="U85" i="6"/>
  <c r="U101" i="6"/>
  <c r="U117" i="6"/>
  <c r="U133" i="6"/>
  <c r="U149" i="6"/>
  <c r="U165" i="6"/>
  <c r="U181" i="6"/>
  <c r="U197" i="6"/>
  <c r="U213" i="6"/>
  <c r="U229" i="6"/>
  <c r="U245" i="6"/>
  <c r="U261" i="6"/>
  <c r="U277" i="6"/>
  <c r="U293" i="6"/>
  <c r="U309" i="6"/>
  <c r="U325" i="6"/>
  <c r="U341" i="6"/>
  <c r="U357" i="6"/>
  <c r="U373" i="6"/>
  <c r="U389" i="6"/>
  <c r="U405" i="6"/>
  <c r="U421" i="6"/>
  <c r="U437" i="6"/>
  <c r="U453" i="6"/>
  <c r="U469" i="6"/>
  <c r="U485" i="6"/>
  <c r="U501" i="6"/>
  <c r="U517" i="6"/>
  <c r="U533" i="6"/>
  <c r="U549" i="6"/>
  <c r="U565" i="6"/>
  <c r="U581" i="6"/>
  <c r="U597" i="6"/>
  <c r="U613" i="6"/>
  <c r="U629" i="6"/>
  <c r="U645" i="6"/>
  <c r="U661" i="6"/>
  <c r="U677" i="6"/>
  <c r="U693" i="6"/>
  <c r="U709" i="6"/>
  <c r="U725" i="6"/>
  <c r="U741" i="6"/>
  <c r="U757" i="6"/>
  <c r="U773" i="6"/>
  <c r="U789" i="6"/>
  <c r="U805" i="6"/>
  <c r="U821" i="6"/>
  <c r="U837" i="6"/>
  <c r="U853" i="6"/>
  <c r="U869" i="6"/>
  <c r="U885" i="6"/>
  <c r="U901" i="6"/>
  <c r="U917" i="6"/>
  <c r="U933" i="6"/>
  <c r="U949" i="6"/>
  <c r="U965" i="6"/>
  <c r="U981" i="6"/>
  <c r="U997" i="6"/>
  <c r="U1013" i="6"/>
  <c r="U1029" i="6"/>
  <c r="U1045" i="6"/>
  <c r="U1061" i="6"/>
  <c r="U1077" i="6"/>
  <c r="U1093" i="6"/>
  <c r="U1109" i="6"/>
  <c r="U1125" i="6"/>
  <c r="U1141" i="6"/>
  <c r="U1157" i="6"/>
  <c r="U1173" i="6"/>
  <c r="U1189" i="6"/>
  <c r="U1205" i="6"/>
  <c r="U1221" i="6"/>
  <c r="U1237" i="6"/>
  <c r="U1253" i="6"/>
  <c r="U1269" i="6"/>
  <c r="U1285" i="6"/>
  <c r="U1301" i="6"/>
  <c r="U1317" i="6"/>
  <c r="U1333" i="6"/>
  <c r="U1349" i="6"/>
  <c r="U6" i="6"/>
  <c r="U22" i="6"/>
  <c r="U38" i="6"/>
  <c r="U54" i="6"/>
  <c r="U70" i="6"/>
  <c r="U86" i="6"/>
  <c r="U102" i="6"/>
  <c r="U118" i="6"/>
  <c r="U134" i="6"/>
  <c r="U150" i="6"/>
  <c r="U166" i="6"/>
  <c r="U182" i="6"/>
  <c r="U198" i="6"/>
  <c r="U214" i="6"/>
  <c r="U230" i="6"/>
  <c r="U246" i="6"/>
  <c r="U262" i="6"/>
  <c r="U278" i="6"/>
  <c r="U294" i="6"/>
  <c r="U310" i="6"/>
  <c r="U326" i="6"/>
  <c r="U342" i="6"/>
  <c r="U358" i="6"/>
  <c r="U374" i="6"/>
  <c r="U390" i="6"/>
  <c r="U406" i="6"/>
  <c r="U422" i="6"/>
  <c r="U438" i="6"/>
  <c r="U454" i="6"/>
  <c r="U470" i="6"/>
  <c r="U486" i="6"/>
  <c r="U502" i="6"/>
  <c r="U518" i="6"/>
  <c r="U534" i="6"/>
  <c r="U550" i="6"/>
  <c r="U566" i="6"/>
  <c r="U582" i="6"/>
  <c r="U598" i="6"/>
  <c r="U614" i="6"/>
  <c r="U630" i="6"/>
  <c r="U646" i="6"/>
  <c r="U662" i="6"/>
  <c r="U678" i="6"/>
  <c r="U694" i="6"/>
  <c r="U710" i="6"/>
  <c r="U726" i="6"/>
  <c r="U742" i="6"/>
  <c r="U758" i="6"/>
  <c r="U774" i="6"/>
  <c r="U790" i="6"/>
  <c r="U806" i="6"/>
  <c r="U822" i="6"/>
  <c r="U838" i="6"/>
  <c r="U854" i="6"/>
  <c r="U870" i="6"/>
  <c r="U886" i="6"/>
  <c r="U902" i="6"/>
  <c r="U918" i="6"/>
  <c r="U934" i="6"/>
  <c r="U950" i="6"/>
  <c r="U966" i="6"/>
  <c r="U982" i="6"/>
  <c r="U998" i="6"/>
  <c r="U1014" i="6"/>
  <c r="U1030" i="6"/>
  <c r="U1046" i="6"/>
  <c r="U1062" i="6"/>
  <c r="U1078" i="6"/>
  <c r="U1094" i="6"/>
  <c r="U1110" i="6"/>
  <c r="U1126" i="6"/>
  <c r="U1142" i="6"/>
  <c r="U1158" i="6"/>
  <c r="U1174" i="6"/>
  <c r="U1190" i="6"/>
  <c r="U1206" i="6"/>
  <c r="U1222" i="6"/>
  <c r="U1238" i="6"/>
  <c r="U1254" i="6"/>
  <c r="U1270" i="6"/>
  <c r="U1286" i="6"/>
  <c r="U1302" i="6"/>
  <c r="U1318" i="6"/>
  <c r="U1334" i="6"/>
  <c r="U1350" i="6"/>
  <c r="U9" i="6"/>
  <c r="U10" i="6"/>
  <c r="U7" i="6"/>
  <c r="U29" i="6"/>
  <c r="U49" i="6"/>
  <c r="U73" i="6"/>
  <c r="U93" i="6"/>
  <c r="U113" i="6"/>
  <c r="U137" i="6"/>
  <c r="U157" i="6"/>
  <c r="U177" i="6"/>
  <c r="U201" i="6"/>
  <c r="U221" i="6"/>
  <c r="U241" i="6"/>
  <c r="U265" i="6"/>
  <c r="U285" i="6"/>
  <c r="U305" i="6"/>
  <c r="U329" i="6"/>
  <c r="U349" i="6"/>
  <c r="U369" i="6"/>
  <c r="U393" i="6"/>
  <c r="U413" i="6"/>
  <c r="U433" i="6"/>
  <c r="U457" i="6"/>
  <c r="U477" i="6"/>
  <c r="U497" i="6"/>
  <c r="U521" i="6"/>
  <c r="U541" i="6"/>
  <c r="U561" i="6"/>
  <c r="U585" i="6"/>
  <c r="U605" i="6"/>
  <c r="U625" i="6"/>
  <c r="U649" i="6"/>
  <c r="U669" i="6"/>
  <c r="U689" i="6"/>
  <c r="U713" i="6"/>
  <c r="U733" i="6"/>
  <c r="U753" i="6"/>
  <c r="U777" i="6"/>
  <c r="U797" i="6"/>
  <c r="U817" i="6"/>
  <c r="U841" i="6"/>
  <c r="U861" i="6"/>
  <c r="U881" i="6"/>
  <c r="U905" i="6"/>
  <c r="U925" i="6"/>
  <c r="U945" i="6"/>
  <c r="U969" i="6"/>
  <c r="U989" i="6"/>
  <c r="U1009" i="6"/>
  <c r="U1033" i="6"/>
  <c r="U1053" i="6"/>
  <c r="U1073" i="6"/>
  <c r="U1097" i="6"/>
  <c r="U1117" i="6"/>
  <c r="U1137" i="6"/>
  <c r="U1161" i="6"/>
  <c r="U1181" i="6"/>
  <c r="U1201" i="6"/>
  <c r="U1225" i="6"/>
  <c r="U1245" i="6"/>
  <c r="U1265" i="6"/>
  <c r="U1289" i="6"/>
  <c r="U1309" i="6"/>
  <c r="U1329" i="6"/>
  <c r="U1353" i="6"/>
  <c r="U1369" i="6"/>
  <c r="U1385" i="6"/>
  <c r="U1401" i="6"/>
  <c r="U1417" i="6"/>
  <c r="U1433" i="6"/>
  <c r="U1449" i="6"/>
  <c r="U1465" i="6"/>
  <c r="U1481" i="6"/>
  <c r="U1497" i="6"/>
  <c r="U1513" i="6"/>
  <c r="U1529" i="6"/>
  <c r="U1545" i="6"/>
  <c r="U1561" i="6"/>
  <c r="U1577" i="6"/>
  <c r="U1593" i="6"/>
  <c r="U1609" i="6"/>
  <c r="U1625" i="6"/>
  <c r="U1641" i="6"/>
  <c r="U1657" i="6"/>
  <c r="U1673" i="6"/>
  <c r="U1689" i="6"/>
  <c r="U1705" i="6"/>
  <c r="U1721" i="6"/>
  <c r="U1737" i="6"/>
  <c r="U1753" i="6"/>
  <c r="U1769" i="6"/>
  <c r="U1785" i="6"/>
  <c r="U1801" i="6"/>
  <c r="U1817" i="6"/>
  <c r="U1833" i="6"/>
  <c r="U1849" i="6"/>
  <c r="U1865" i="6"/>
  <c r="U1881" i="6"/>
  <c r="U1897" i="6"/>
  <c r="U1913" i="6"/>
  <c r="U1929" i="6"/>
  <c r="U8" i="6"/>
  <c r="U30" i="6"/>
  <c r="U50" i="6"/>
  <c r="U74" i="6"/>
  <c r="U94" i="6"/>
  <c r="U114" i="6"/>
  <c r="U138" i="6"/>
  <c r="U158" i="6"/>
  <c r="U178" i="6"/>
  <c r="U202" i="6"/>
  <c r="U222" i="6"/>
  <c r="U242" i="6"/>
  <c r="U266" i="6"/>
  <c r="U286" i="6"/>
  <c r="U306" i="6"/>
  <c r="U330" i="6"/>
  <c r="U350" i="6"/>
  <c r="U370" i="6"/>
  <c r="U394" i="6"/>
  <c r="U414" i="6"/>
  <c r="U434" i="6"/>
  <c r="U458" i="6"/>
  <c r="U478" i="6"/>
  <c r="U498" i="6"/>
  <c r="U522" i="6"/>
  <c r="U542" i="6"/>
  <c r="U562" i="6"/>
  <c r="U586" i="6"/>
  <c r="U606" i="6"/>
  <c r="U626" i="6"/>
  <c r="U650" i="6"/>
  <c r="U670" i="6"/>
  <c r="U690" i="6"/>
  <c r="U714" i="6"/>
  <c r="U734" i="6"/>
  <c r="U754" i="6"/>
  <c r="U778" i="6"/>
  <c r="U798" i="6"/>
  <c r="U818" i="6"/>
  <c r="U842" i="6"/>
  <c r="U862" i="6"/>
  <c r="U882" i="6"/>
  <c r="U906" i="6"/>
  <c r="U926" i="6"/>
  <c r="U946" i="6"/>
  <c r="U970" i="6"/>
  <c r="U990" i="6"/>
  <c r="U1010" i="6"/>
  <c r="U1034" i="6"/>
  <c r="U1054" i="6"/>
  <c r="U1074" i="6"/>
  <c r="U1098" i="6"/>
  <c r="U1118" i="6"/>
  <c r="U1138" i="6"/>
  <c r="U1162" i="6"/>
  <c r="U1182" i="6"/>
  <c r="U1202" i="6"/>
  <c r="U1226" i="6"/>
  <c r="U1246" i="6"/>
  <c r="U1266" i="6"/>
  <c r="U1290" i="6"/>
  <c r="U1310" i="6"/>
  <c r="U1330" i="6"/>
  <c r="U1354" i="6"/>
  <c r="U1370" i="6"/>
  <c r="U1386" i="6"/>
  <c r="U1402" i="6"/>
  <c r="U1418" i="6"/>
  <c r="U1434" i="6"/>
  <c r="U1450" i="6"/>
  <c r="U1466" i="6"/>
  <c r="U1482" i="6"/>
  <c r="U1498" i="6"/>
  <c r="U1514" i="6"/>
  <c r="U1530" i="6"/>
  <c r="U1546" i="6"/>
  <c r="U1562" i="6"/>
  <c r="U1578" i="6"/>
  <c r="U1594" i="6"/>
  <c r="U1610" i="6"/>
  <c r="U1626" i="6"/>
  <c r="U1642" i="6"/>
  <c r="U1658" i="6"/>
  <c r="U1674" i="6"/>
  <c r="U1690" i="6"/>
  <c r="U1706" i="6"/>
  <c r="U1722" i="6"/>
  <c r="U1738" i="6"/>
  <c r="U1754" i="6"/>
  <c r="U1770" i="6"/>
  <c r="U1786" i="6"/>
  <c r="U1802" i="6"/>
  <c r="U1818" i="6"/>
  <c r="U1834" i="6"/>
  <c r="U1850" i="6"/>
  <c r="U1866" i="6"/>
  <c r="U1882" i="6"/>
  <c r="U1898" i="6"/>
  <c r="U1914" i="6"/>
  <c r="U1930" i="6"/>
  <c r="U11" i="6"/>
  <c r="U31" i="6"/>
  <c r="U55" i="6"/>
  <c r="U75" i="6"/>
  <c r="U95" i="6"/>
  <c r="U119" i="6"/>
  <c r="U139" i="6"/>
  <c r="U159" i="6"/>
  <c r="U183" i="6"/>
  <c r="U203" i="6"/>
  <c r="U223" i="6"/>
  <c r="U247" i="6"/>
  <c r="U267" i="6"/>
  <c r="U287" i="6"/>
  <c r="U311" i="6"/>
  <c r="U331" i="6"/>
  <c r="U351" i="6"/>
  <c r="U375" i="6"/>
  <c r="U395" i="6"/>
  <c r="U415" i="6"/>
  <c r="U439" i="6"/>
  <c r="U459" i="6"/>
  <c r="U479" i="6"/>
  <c r="U503" i="6"/>
  <c r="U523" i="6"/>
  <c r="U543" i="6"/>
  <c r="U567" i="6"/>
  <c r="U587" i="6"/>
  <c r="U607" i="6"/>
  <c r="U631" i="6"/>
  <c r="U651" i="6"/>
  <c r="U671" i="6"/>
  <c r="U695" i="6"/>
  <c r="U715" i="6"/>
  <c r="U735" i="6"/>
  <c r="U759" i="6"/>
  <c r="U779" i="6"/>
  <c r="U799" i="6"/>
  <c r="U823" i="6"/>
  <c r="U843" i="6"/>
  <c r="U863" i="6"/>
  <c r="U887" i="6"/>
  <c r="U907" i="6"/>
  <c r="U927" i="6"/>
  <c r="U951" i="6"/>
  <c r="U971" i="6"/>
  <c r="U991" i="6"/>
  <c r="U1015" i="6"/>
  <c r="U1035" i="6"/>
  <c r="U1055" i="6"/>
  <c r="U1079" i="6"/>
  <c r="U1099" i="6"/>
  <c r="U1119" i="6"/>
  <c r="U1143" i="6"/>
  <c r="U1163" i="6"/>
  <c r="U1183" i="6"/>
  <c r="U1207" i="6"/>
  <c r="U1227" i="6"/>
  <c r="U1247" i="6"/>
  <c r="U1271" i="6"/>
  <c r="U1291" i="6"/>
  <c r="U1311" i="6"/>
  <c r="U1335" i="6"/>
  <c r="U1355" i="6"/>
  <c r="U1371" i="6"/>
  <c r="U1387" i="6"/>
  <c r="U1403" i="6"/>
  <c r="U1419" i="6"/>
  <c r="U1435" i="6"/>
  <c r="U1451" i="6"/>
  <c r="U1467" i="6"/>
  <c r="U1483" i="6"/>
  <c r="U1499" i="6"/>
  <c r="U1515" i="6"/>
  <c r="U1531" i="6"/>
  <c r="U1547" i="6"/>
  <c r="U1563" i="6"/>
  <c r="U1579" i="6"/>
  <c r="U1595" i="6"/>
  <c r="U1611" i="6"/>
  <c r="U1627" i="6"/>
  <c r="U1643" i="6"/>
  <c r="U1659" i="6"/>
  <c r="U1675" i="6"/>
  <c r="U1691" i="6"/>
  <c r="U1707" i="6"/>
  <c r="U1723" i="6"/>
  <c r="U1739" i="6"/>
  <c r="U1755" i="6"/>
  <c r="U1771" i="6"/>
  <c r="U1787" i="6"/>
  <c r="U1803" i="6"/>
  <c r="U1819" i="6"/>
  <c r="U1835" i="6"/>
  <c r="U1851" i="6"/>
  <c r="U1867" i="6"/>
  <c r="U1883" i="6"/>
  <c r="U1899" i="6"/>
  <c r="U1915" i="6"/>
  <c r="U1931" i="6"/>
  <c r="U1947" i="6"/>
  <c r="U1963" i="6"/>
  <c r="U1979" i="6"/>
  <c r="U1995" i="6"/>
  <c r="U12" i="6"/>
  <c r="U32" i="6"/>
  <c r="U56" i="6"/>
  <c r="U76" i="6"/>
  <c r="U96" i="6"/>
  <c r="U120" i="6"/>
  <c r="U140" i="6"/>
  <c r="U160" i="6"/>
  <c r="U184" i="6"/>
  <c r="U204" i="6"/>
  <c r="U224" i="6"/>
  <c r="U248" i="6"/>
  <c r="U268" i="6"/>
  <c r="U288" i="6"/>
  <c r="U312" i="6"/>
  <c r="U332" i="6"/>
  <c r="U352" i="6"/>
  <c r="U376" i="6"/>
  <c r="U396" i="6"/>
  <c r="U416" i="6"/>
  <c r="U440" i="6"/>
  <c r="U460" i="6"/>
  <c r="U480" i="6"/>
  <c r="U504" i="6"/>
  <c r="U524" i="6"/>
  <c r="U544" i="6"/>
  <c r="U568" i="6"/>
  <c r="U588" i="6"/>
  <c r="U608" i="6"/>
  <c r="U632" i="6"/>
  <c r="U652" i="6"/>
  <c r="U672" i="6"/>
  <c r="U696" i="6"/>
  <c r="U716" i="6"/>
  <c r="U736" i="6"/>
  <c r="U760" i="6"/>
  <c r="U780" i="6"/>
  <c r="U800" i="6"/>
  <c r="U824" i="6"/>
  <c r="U844" i="6"/>
  <c r="U864" i="6"/>
  <c r="U888" i="6"/>
  <c r="U908" i="6"/>
  <c r="U928" i="6"/>
  <c r="U952" i="6"/>
  <c r="U972" i="6"/>
  <c r="U992" i="6"/>
  <c r="U1016" i="6"/>
  <c r="U1036" i="6"/>
  <c r="U1056" i="6"/>
  <c r="U1080" i="6"/>
  <c r="U1100" i="6"/>
  <c r="U1120" i="6"/>
  <c r="U1144" i="6"/>
  <c r="U1164" i="6"/>
  <c r="U1184" i="6"/>
  <c r="U1208" i="6"/>
  <c r="U1228" i="6"/>
  <c r="U1248" i="6"/>
  <c r="U1272" i="6"/>
  <c r="U1292" i="6"/>
  <c r="U1312" i="6"/>
  <c r="U1336" i="6"/>
  <c r="U1356" i="6"/>
  <c r="U1372" i="6"/>
  <c r="U1388" i="6"/>
  <c r="U1404" i="6"/>
  <c r="U1420" i="6"/>
  <c r="U1436" i="6"/>
  <c r="U1452" i="6"/>
  <c r="U1468" i="6"/>
  <c r="U1484" i="6"/>
  <c r="U1500" i="6"/>
  <c r="U1516" i="6"/>
  <c r="U1532" i="6"/>
  <c r="U1548" i="6"/>
  <c r="U1564" i="6"/>
  <c r="U1580" i="6"/>
  <c r="U1596" i="6"/>
  <c r="U1612" i="6"/>
  <c r="U1628" i="6"/>
  <c r="U1644" i="6"/>
  <c r="U1660" i="6"/>
  <c r="U1676" i="6"/>
  <c r="U1692" i="6"/>
  <c r="U1708" i="6"/>
  <c r="U1724" i="6"/>
  <c r="U1740" i="6"/>
  <c r="U1756" i="6"/>
  <c r="U1772" i="6"/>
  <c r="U1788" i="6"/>
  <c r="U1804" i="6"/>
  <c r="U1820" i="6"/>
  <c r="U1836" i="6"/>
  <c r="U1852" i="6"/>
  <c r="U1868" i="6"/>
  <c r="U1884" i="6"/>
  <c r="U1900" i="6"/>
  <c r="U1916" i="6"/>
  <c r="U13" i="6"/>
  <c r="U33" i="6"/>
  <c r="U57" i="6"/>
  <c r="U77" i="6"/>
  <c r="U97" i="6"/>
  <c r="U121" i="6"/>
  <c r="U141" i="6"/>
  <c r="U161" i="6"/>
  <c r="U185" i="6"/>
  <c r="U205" i="6"/>
  <c r="U225" i="6"/>
  <c r="U249" i="6"/>
  <c r="U269" i="6"/>
  <c r="U289" i="6"/>
  <c r="U313" i="6"/>
  <c r="U333" i="6"/>
  <c r="U353" i="6"/>
  <c r="U377" i="6"/>
  <c r="U397" i="6"/>
  <c r="U417" i="6"/>
  <c r="U441" i="6"/>
  <c r="U461" i="6"/>
  <c r="U481" i="6"/>
  <c r="U505" i="6"/>
  <c r="U525" i="6"/>
  <c r="U545" i="6"/>
  <c r="U569" i="6"/>
  <c r="U589" i="6"/>
  <c r="U609" i="6"/>
  <c r="U633" i="6"/>
  <c r="U653" i="6"/>
  <c r="U673" i="6"/>
  <c r="U697" i="6"/>
  <c r="U717" i="6"/>
  <c r="U737" i="6"/>
  <c r="U761" i="6"/>
  <c r="U781" i="6"/>
  <c r="U801" i="6"/>
  <c r="U825" i="6"/>
  <c r="U845" i="6"/>
  <c r="U865" i="6"/>
  <c r="U889" i="6"/>
  <c r="U909" i="6"/>
  <c r="U929" i="6"/>
  <c r="U953" i="6"/>
  <c r="U973" i="6"/>
  <c r="U993" i="6"/>
  <c r="U1017" i="6"/>
  <c r="U1037" i="6"/>
  <c r="U1057" i="6"/>
  <c r="U1081" i="6"/>
  <c r="U1101" i="6"/>
  <c r="U1121" i="6"/>
  <c r="U1145" i="6"/>
  <c r="U1165" i="6"/>
  <c r="U1185" i="6"/>
  <c r="U1209" i="6"/>
  <c r="U1229" i="6"/>
  <c r="U1249" i="6"/>
  <c r="U1273" i="6"/>
  <c r="U1293" i="6"/>
  <c r="U1313" i="6"/>
  <c r="U1337" i="6"/>
  <c r="U1357" i="6"/>
  <c r="U1373" i="6"/>
  <c r="U1389" i="6"/>
  <c r="U1405" i="6"/>
  <c r="U1421" i="6"/>
  <c r="U1437" i="6"/>
  <c r="U1453" i="6"/>
  <c r="U1469" i="6"/>
  <c r="U1485" i="6"/>
  <c r="U1501" i="6"/>
  <c r="U1517" i="6"/>
  <c r="U1533" i="6"/>
  <c r="U1549" i="6"/>
  <c r="U1565" i="6"/>
  <c r="U1581" i="6"/>
  <c r="U1597" i="6"/>
  <c r="U1613" i="6"/>
  <c r="U1629" i="6"/>
  <c r="U1645" i="6"/>
  <c r="U1661" i="6"/>
  <c r="U1677" i="6"/>
  <c r="U1693" i="6"/>
  <c r="U14" i="6"/>
  <c r="U34" i="6"/>
  <c r="U58" i="6"/>
  <c r="U78" i="6"/>
  <c r="U15" i="6"/>
  <c r="U39" i="6"/>
  <c r="U59" i="6"/>
  <c r="U79" i="6"/>
  <c r="U103" i="6"/>
  <c r="U123" i="6"/>
  <c r="U143" i="6"/>
  <c r="U167" i="6"/>
  <c r="U187" i="6"/>
  <c r="U207" i="6"/>
  <c r="U231" i="6"/>
  <c r="U251" i="6"/>
  <c r="U271" i="6"/>
  <c r="U295" i="6"/>
  <c r="U315" i="6"/>
  <c r="U335" i="6"/>
  <c r="U359" i="6"/>
  <c r="U379" i="6"/>
  <c r="U399" i="6"/>
  <c r="U423" i="6"/>
  <c r="U443" i="6"/>
  <c r="U463" i="6"/>
  <c r="U487" i="6"/>
  <c r="U507" i="6"/>
  <c r="U527" i="6"/>
  <c r="U551" i="6"/>
  <c r="U571" i="6"/>
  <c r="U591" i="6"/>
  <c r="U16" i="6"/>
  <c r="U40" i="6"/>
  <c r="U60" i="6"/>
  <c r="U80" i="6"/>
  <c r="U104" i="6"/>
  <c r="U124" i="6"/>
  <c r="U144" i="6"/>
  <c r="U168" i="6"/>
  <c r="U188" i="6"/>
  <c r="U208" i="6"/>
  <c r="U232" i="6"/>
  <c r="U252" i="6"/>
  <c r="U272" i="6"/>
  <c r="U296" i="6"/>
  <c r="U316" i="6"/>
  <c r="U336" i="6"/>
  <c r="U360" i="6"/>
  <c r="U380" i="6"/>
  <c r="U400" i="6"/>
  <c r="U424" i="6"/>
  <c r="U444" i="6"/>
  <c r="U464" i="6"/>
  <c r="U488" i="6"/>
  <c r="U508" i="6"/>
  <c r="U528" i="6"/>
  <c r="U552" i="6"/>
  <c r="U572" i="6"/>
  <c r="U23" i="6"/>
  <c r="U26" i="6"/>
  <c r="U46" i="6"/>
  <c r="U66" i="6"/>
  <c r="U90" i="6"/>
  <c r="U110" i="6"/>
  <c r="U130" i="6"/>
  <c r="U154" i="6"/>
  <c r="U174" i="6"/>
  <c r="U17" i="6"/>
  <c r="U64" i="6"/>
  <c r="U109" i="6"/>
  <c r="U153" i="6"/>
  <c r="U193" i="6"/>
  <c r="U235" i="6"/>
  <c r="U273" i="6"/>
  <c r="U304" i="6"/>
  <c r="U346" i="6"/>
  <c r="U384" i="6"/>
  <c r="U426" i="6"/>
  <c r="U462" i="6"/>
  <c r="U495" i="6"/>
  <c r="U537" i="6"/>
  <c r="U575" i="6"/>
  <c r="U610" i="6"/>
  <c r="U639" i="6"/>
  <c r="U668" i="6"/>
  <c r="U702" i="6"/>
  <c r="U731" i="6"/>
  <c r="U765" i="6"/>
  <c r="U794" i="6"/>
  <c r="U828" i="6"/>
  <c r="U857" i="6"/>
  <c r="U891" i="6"/>
  <c r="U920" i="6"/>
  <c r="U954" i="6"/>
  <c r="U983" i="6"/>
  <c r="U1008" i="6"/>
  <c r="U1042" i="6"/>
  <c r="U1071" i="6"/>
  <c r="U1105" i="6"/>
  <c r="U1134" i="6"/>
  <c r="U1168" i="6"/>
  <c r="U1197" i="6"/>
  <c r="U1231" i="6"/>
  <c r="U1260" i="6"/>
  <c r="U1294" i="6"/>
  <c r="U1323" i="6"/>
  <c r="U1352" i="6"/>
  <c r="U1378" i="6"/>
  <c r="U1399" i="6"/>
  <c r="U1425" i="6"/>
  <c r="U1446" i="6"/>
  <c r="U1472" i="6"/>
  <c r="U1493" i="6"/>
  <c r="U1519" i="6"/>
  <c r="U1540" i="6"/>
  <c r="U1566" i="6"/>
  <c r="U1587" i="6"/>
  <c r="U1608" i="6"/>
  <c r="U1634" i="6"/>
  <c r="U1655" i="6"/>
  <c r="U1681" i="6"/>
  <c r="U1702" i="6"/>
  <c r="U1726" i="6"/>
  <c r="U1746" i="6"/>
  <c r="U1766" i="6"/>
  <c r="U1790" i="6"/>
  <c r="U1810" i="6"/>
  <c r="U1830" i="6"/>
  <c r="U1854" i="6"/>
  <c r="U1874" i="6"/>
  <c r="U1894" i="6"/>
  <c r="U1918" i="6"/>
  <c r="U1937" i="6"/>
  <c r="U1954" i="6"/>
  <c r="U1971" i="6"/>
  <c r="U1988" i="6"/>
  <c r="U748" i="6"/>
  <c r="U1668" i="6"/>
  <c r="U1862" i="6"/>
  <c r="U1980" i="6"/>
  <c r="U18" i="6"/>
  <c r="U65" i="6"/>
  <c r="U111" i="6"/>
  <c r="U155" i="6"/>
  <c r="U194" i="6"/>
  <c r="U236" i="6"/>
  <c r="U274" i="6"/>
  <c r="U314" i="6"/>
  <c r="U347" i="6"/>
  <c r="U385" i="6"/>
  <c r="U427" i="6"/>
  <c r="U465" i="6"/>
  <c r="U496" i="6"/>
  <c r="U538" i="6"/>
  <c r="U576" i="6"/>
  <c r="U615" i="6"/>
  <c r="U640" i="6"/>
  <c r="U674" i="6"/>
  <c r="U703" i="6"/>
  <c r="U732" i="6"/>
  <c r="U766" i="6"/>
  <c r="U795" i="6"/>
  <c r="U829" i="6"/>
  <c r="U858" i="6"/>
  <c r="U892" i="6"/>
  <c r="U921" i="6"/>
  <c r="U955" i="6"/>
  <c r="U984" i="6"/>
  <c r="U1018" i="6"/>
  <c r="U1047" i="6"/>
  <c r="U1072" i="6"/>
  <c r="U1106" i="6"/>
  <c r="U1135" i="6"/>
  <c r="U1169" i="6"/>
  <c r="U1198" i="6"/>
  <c r="U1232" i="6"/>
  <c r="U1261" i="6"/>
  <c r="U1295" i="6"/>
  <c r="U1324" i="6"/>
  <c r="U1358" i="6"/>
  <c r="U1379" i="6"/>
  <c r="U1400" i="6"/>
  <c r="U1426" i="6"/>
  <c r="U1447" i="6"/>
  <c r="U1473" i="6"/>
  <c r="U1494" i="6"/>
  <c r="U1520" i="6"/>
  <c r="U1541" i="6"/>
  <c r="U1567" i="6"/>
  <c r="U1588" i="6"/>
  <c r="U1614" i="6"/>
  <c r="U1635" i="6"/>
  <c r="U1656" i="6"/>
  <c r="U1682" i="6"/>
  <c r="U1703" i="6"/>
  <c r="U1727" i="6"/>
  <c r="U1747" i="6"/>
  <c r="U1767" i="6"/>
  <c r="U1791" i="6"/>
  <c r="U1811" i="6"/>
  <c r="U1831" i="6"/>
  <c r="U1855" i="6"/>
  <c r="U1875" i="6"/>
  <c r="U1895" i="6"/>
  <c r="U1919" i="6"/>
  <c r="U1938" i="6"/>
  <c r="U1955" i="6"/>
  <c r="U1972" i="6"/>
  <c r="U1989" i="6"/>
  <c r="U811" i="6"/>
  <c r="U1647" i="6"/>
  <c r="U1822" i="6"/>
  <c r="U1926" i="6"/>
  <c r="U24" i="6"/>
  <c r="U71" i="6"/>
  <c r="U112" i="6"/>
  <c r="U156" i="6"/>
  <c r="U199" i="6"/>
  <c r="U237" i="6"/>
  <c r="U279" i="6"/>
  <c r="U317" i="6"/>
  <c r="U348" i="6"/>
  <c r="U386" i="6"/>
  <c r="U428" i="6"/>
  <c r="U466" i="6"/>
  <c r="U506" i="6"/>
  <c r="U539" i="6"/>
  <c r="U577" i="6"/>
  <c r="U616" i="6"/>
  <c r="U641" i="6"/>
  <c r="U679" i="6"/>
  <c r="U704" i="6"/>
  <c r="U738" i="6"/>
  <c r="U767" i="6"/>
  <c r="U796" i="6"/>
  <c r="U830" i="6"/>
  <c r="U859" i="6"/>
  <c r="U893" i="6"/>
  <c r="U922" i="6"/>
  <c r="U956" i="6"/>
  <c r="U985" i="6"/>
  <c r="U1019" i="6"/>
  <c r="U1048" i="6"/>
  <c r="U1082" i="6"/>
  <c r="U1111" i="6"/>
  <c r="U1136" i="6"/>
  <c r="U1170" i="6"/>
  <c r="U1199" i="6"/>
  <c r="U1233" i="6"/>
  <c r="U1262" i="6"/>
  <c r="U1296" i="6"/>
  <c r="U1325" i="6"/>
  <c r="U1359" i="6"/>
  <c r="U1380" i="6"/>
  <c r="U1406" i="6"/>
  <c r="U1427" i="6"/>
  <c r="U1448" i="6"/>
  <c r="U1474" i="6"/>
  <c r="U1495" i="6"/>
  <c r="U1521" i="6"/>
  <c r="U1542" i="6"/>
  <c r="U1568" i="6"/>
  <c r="U1589" i="6"/>
  <c r="U1615" i="6"/>
  <c r="U1636" i="6"/>
  <c r="U1662" i="6"/>
  <c r="U1683" i="6"/>
  <c r="U1704" i="6"/>
  <c r="U1728" i="6"/>
  <c r="U1748" i="6"/>
  <c r="U1768" i="6"/>
  <c r="U1792" i="6"/>
  <c r="U1812" i="6"/>
  <c r="U1832" i="6"/>
  <c r="U1856" i="6"/>
  <c r="U1876" i="6"/>
  <c r="U1896" i="6"/>
  <c r="U1920" i="6"/>
  <c r="U1939" i="6"/>
  <c r="U1956" i="6"/>
  <c r="U1973" i="6"/>
  <c r="U1990" i="6"/>
  <c r="U719" i="6"/>
  <c r="U1714" i="6"/>
  <c r="U1906" i="6"/>
  <c r="U25" i="6"/>
  <c r="U72" i="6"/>
  <c r="U122" i="6"/>
  <c r="U162" i="6"/>
  <c r="U200" i="6"/>
  <c r="U238" i="6"/>
  <c r="U280" i="6"/>
  <c r="U318" i="6"/>
  <c r="U354" i="6"/>
  <c r="U391" i="6"/>
  <c r="U429" i="6"/>
  <c r="U471" i="6"/>
  <c r="U509" i="6"/>
  <c r="U540" i="6"/>
  <c r="U578" i="6"/>
  <c r="U617" i="6"/>
  <c r="U642" i="6"/>
  <c r="U680" i="6"/>
  <c r="U705" i="6"/>
  <c r="U743" i="6"/>
  <c r="U768" i="6"/>
  <c r="U802" i="6"/>
  <c r="U831" i="6"/>
  <c r="U860" i="6"/>
  <c r="U894" i="6"/>
  <c r="U923" i="6"/>
  <c r="U957" i="6"/>
  <c r="U986" i="6"/>
  <c r="U1020" i="6"/>
  <c r="U1049" i="6"/>
  <c r="U1083" i="6"/>
  <c r="U1112" i="6"/>
  <c r="U1146" i="6"/>
  <c r="U1175" i="6"/>
  <c r="U1200" i="6"/>
  <c r="U1234" i="6"/>
  <c r="U1263" i="6"/>
  <c r="U1297" i="6"/>
  <c r="U1326" i="6"/>
  <c r="U1360" i="6"/>
  <c r="U1381" i="6"/>
  <c r="U1407" i="6"/>
  <c r="U1428" i="6"/>
  <c r="U1454" i="6"/>
  <c r="U1475" i="6"/>
  <c r="U1496" i="6"/>
  <c r="U1522" i="6"/>
  <c r="U1543" i="6"/>
  <c r="U1569" i="6"/>
  <c r="U1590" i="6"/>
  <c r="U1616" i="6"/>
  <c r="U1637" i="6"/>
  <c r="U1663" i="6"/>
  <c r="U1684" i="6"/>
  <c r="U1709" i="6"/>
  <c r="U1729" i="6"/>
  <c r="U1749" i="6"/>
  <c r="U1773" i="6"/>
  <c r="U1793" i="6"/>
  <c r="U1813" i="6"/>
  <c r="U1837" i="6"/>
  <c r="U1857" i="6"/>
  <c r="U1877" i="6"/>
  <c r="U1901" i="6"/>
  <c r="U1921" i="6"/>
  <c r="U1940" i="6"/>
  <c r="U1957" i="6"/>
  <c r="U1974" i="6"/>
  <c r="U1991" i="6"/>
  <c r="U656" i="6"/>
  <c r="U1758" i="6"/>
  <c r="U27" i="6"/>
  <c r="U81" i="6"/>
  <c r="U125" i="6"/>
  <c r="U169" i="6"/>
  <c r="U206" i="6"/>
  <c r="U239" i="6"/>
  <c r="U281" i="6"/>
  <c r="U319" i="6"/>
  <c r="U361" i="6"/>
  <c r="U392" i="6"/>
  <c r="U430" i="6"/>
  <c r="U472" i="6"/>
  <c r="U510" i="6"/>
  <c r="U546" i="6"/>
  <c r="U583" i="6"/>
  <c r="U618" i="6"/>
  <c r="U647" i="6"/>
  <c r="U681" i="6"/>
  <c r="U706" i="6"/>
  <c r="U744" i="6"/>
  <c r="U769" i="6"/>
  <c r="U807" i="6"/>
  <c r="U832" i="6"/>
  <c r="U866" i="6"/>
  <c r="U895" i="6"/>
  <c r="U924" i="6"/>
  <c r="U958" i="6"/>
  <c r="U987" i="6"/>
  <c r="U1021" i="6"/>
  <c r="U1050" i="6"/>
  <c r="U1084" i="6"/>
  <c r="U1113" i="6"/>
  <c r="U1147" i="6"/>
  <c r="U1176" i="6"/>
  <c r="U1210" i="6"/>
  <c r="U1239" i="6"/>
  <c r="U1264" i="6"/>
  <c r="U1298" i="6"/>
  <c r="U1327" i="6"/>
  <c r="U1361" i="6"/>
  <c r="U1382" i="6"/>
  <c r="U1408" i="6"/>
  <c r="U1429" i="6"/>
  <c r="U1455" i="6"/>
  <c r="U1476" i="6"/>
  <c r="U1502" i="6"/>
  <c r="U1523" i="6"/>
  <c r="U1544" i="6"/>
  <c r="U1570" i="6"/>
  <c r="U1591" i="6"/>
  <c r="U1617" i="6"/>
  <c r="U1638" i="6"/>
  <c r="U1664" i="6"/>
  <c r="U1685" i="6"/>
  <c r="U1710" i="6"/>
  <c r="U1730" i="6"/>
  <c r="U1750" i="6"/>
  <c r="U1774" i="6"/>
  <c r="U1794" i="6"/>
  <c r="U1814" i="6"/>
  <c r="U1838" i="6"/>
  <c r="U1858" i="6"/>
  <c r="U1878" i="6"/>
  <c r="U1902" i="6"/>
  <c r="U1922" i="6"/>
  <c r="U1941" i="6"/>
  <c r="U1958" i="6"/>
  <c r="U1975" i="6"/>
  <c r="U1992" i="6"/>
  <c r="U1306" i="6"/>
  <c r="U28" i="6"/>
  <c r="U82" i="6"/>
  <c r="U126" i="6"/>
  <c r="U170" i="6"/>
  <c r="U209" i="6"/>
  <c r="U240" i="6"/>
  <c r="U282" i="6"/>
  <c r="U320" i="6"/>
  <c r="U362" i="6"/>
  <c r="U398" i="6"/>
  <c r="U431" i="6"/>
  <c r="U473" i="6"/>
  <c r="U511" i="6"/>
  <c r="U553" i="6"/>
  <c r="U584" i="6"/>
  <c r="U619" i="6"/>
  <c r="U648" i="6"/>
  <c r="U682" i="6"/>
  <c r="U711" i="6"/>
  <c r="U745" i="6"/>
  <c r="U770" i="6"/>
  <c r="U808" i="6"/>
  <c r="U833" i="6"/>
  <c r="U871" i="6"/>
  <c r="U896" i="6"/>
  <c r="U930" i="6"/>
  <c r="U959" i="6"/>
  <c r="U988" i="6"/>
  <c r="U1022" i="6"/>
  <c r="U1051" i="6"/>
  <c r="U1085" i="6"/>
  <c r="U1114" i="6"/>
  <c r="U1148" i="6"/>
  <c r="U1177" i="6"/>
  <c r="U1211" i="6"/>
  <c r="U1240" i="6"/>
  <c r="U1274" i="6"/>
  <c r="U1303" i="6"/>
  <c r="U1328" i="6"/>
  <c r="U1362" i="6"/>
  <c r="U1383" i="6"/>
  <c r="U1409" i="6"/>
  <c r="U1430" i="6"/>
  <c r="U1456" i="6"/>
  <c r="U1477" i="6"/>
  <c r="U1503" i="6"/>
  <c r="U1524" i="6"/>
  <c r="U1550" i="6"/>
  <c r="U1571" i="6"/>
  <c r="U1592" i="6"/>
  <c r="U1618" i="6"/>
  <c r="U1639" i="6"/>
  <c r="U1665" i="6"/>
  <c r="U1686" i="6"/>
  <c r="U1711" i="6"/>
  <c r="U1731" i="6"/>
  <c r="U1751" i="6"/>
  <c r="U1775" i="6"/>
  <c r="U1795" i="6"/>
  <c r="U1815" i="6"/>
  <c r="U1839" i="6"/>
  <c r="U1859" i="6"/>
  <c r="U1879" i="6"/>
  <c r="U1903" i="6"/>
  <c r="U1923" i="6"/>
  <c r="U1942" i="6"/>
  <c r="U1959" i="6"/>
  <c r="U1976" i="6"/>
  <c r="U1993" i="6"/>
  <c r="U1277" i="6"/>
  <c r="U41" i="6"/>
  <c r="U87" i="6"/>
  <c r="U127" i="6"/>
  <c r="U171" i="6"/>
  <c r="U210" i="6"/>
  <c r="U250" i="6"/>
  <c r="U283" i="6"/>
  <c r="U321" i="6"/>
  <c r="U363" i="6"/>
  <c r="U401" i="6"/>
  <c r="U432" i="6"/>
  <c r="U474" i="6"/>
  <c r="U512" i="6"/>
  <c r="U554" i="6"/>
  <c r="U590" i="6"/>
  <c r="U620" i="6"/>
  <c r="U654" i="6"/>
  <c r="U683" i="6"/>
  <c r="U712" i="6"/>
  <c r="U746" i="6"/>
  <c r="U775" i="6"/>
  <c r="U809" i="6"/>
  <c r="U834" i="6"/>
  <c r="U872" i="6"/>
  <c r="U897" i="6"/>
  <c r="U935" i="6"/>
  <c r="U960" i="6"/>
  <c r="U994" i="6"/>
  <c r="U1023" i="6"/>
  <c r="U1052" i="6"/>
  <c r="U1086" i="6"/>
  <c r="U1115" i="6"/>
  <c r="U1149" i="6"/>
  <c r="U1178" i="6"/>
  <c r="U1212" i="6"/>
  <c r="U1241" i="6"/>
  <c r="U1275" i="6"/>
  <c r="U1304" i="6"/>
  <c r="U1338" i="6"/>
  <c r="U1363" i="6"/>
  <c r="U1384" i="6"/>
  <c r="U1410" i="6"/>
  <c r="U1431" i="6"/>
  <c r="U1457" i="6"/>
  <c r="U1478" i="6"/>
  <c r="U1504" i="6"/>
  <c r="U1525" i="6"/>
  <c r="U1551" i="6"/>
  <c r="U1572" i="6"/>
  <c r="U1598" i="6"/>
  <c r="U1619" i="6"/>
  <c r="U1640" i="6"/>
  <c r="U1666" i="6"/>
  <c r="U1687" i="6"/>
  <c r="U1712" i="6"/>
  <c r="U1732" i="6"/>
  <c r="U1752" i="6"/>
  <c r="U1776" i="6"/>
  <c r="U1796" i="6"/>
  <c r="U1816" i="6"/>
  <c r="U1840" i="6"/>
  <c r="U1860" i="6"/>
  <c r="U1880" i="6"/>
  <c r="U1904" i="6"/>
  <c r="U1924" i="6"/>
  <c r="U1943" i="6"/>
  <c r="U1960" i="6"/>
  <c r="U1977" i="6"/>
  <c r="U1994" i="6"/>
  <c r="U840" i="6"/>
  <c r="U1621" i="6"/>
  <c r="U1798" i="6"/>
  <c r="U1945" i="6"/>
  <c r="U1997" i="6"/>
  <c r="U42" i="6"/>
  <c r="U88" i="6"/>
  <c r="U128" i="6"/>
  <c r="U172" i="6"/>
  <c r="U215" i="6"/>
  <c r="U253" i="6"/>
  <c r="U284" i="6"/>
  <c r="U322" i="6"/>
  <c r="U364" i="6"/>
  <c r="U402" i="6"/>
  <c r="U442" i="6"/>
  <c r="U475" i="6"/>
  <c r="U513" i="6"/>
  <c r="U555" i="6"/>
  <c r="U592" i="6"/>
  <c r="U621" i="6"/>
  <c r="U655" i="6"/>
  <c r="U684" i="6"/>
  <c r="U718" i="6"/>
  <c r="U747" i="6"/>
  <c r="U776" i="6"/>
  <c r="U810" i="6"/>
  <c r="U839" i="6"/>
  <c r="U873" i="6"/>
  <c r="U898" i="6"/>
  <c r="U936" i="6"/>
  <c r="U961" i="6"/>
  <c r="U999" i="6"/>
  <c r="U1024" i="6"/>
  <c r="U1058" i="6"/>
  <c r="U1087" i="6"/>
  <c r="U1116" i="6"/>
  <c r="U1150" i="6"/>
  <c r="U1179" i="6"/>
  <c r="U1213" i="6"/>
  <c r="U1242" i="6"/>
  <c r="U1276" i="6"/>
  <c r="U1305" i="6"/>
  <c r="U1339" i="6"/>
  <c r="U1364" i="6"/>
  <c r="U1390" i="6"/>
  <c r="U1411" i="6"/>
  <c r="U1432" i="6"/>
  <c r="U1458" i="6"/>
  <c r="U1479" i="6"/>
  <c r="U1505" i="6"/>
  <c r="U1526" i="6"/>
  <c r="U1552" i="6"/>
  <c r="U1573" i="6"/>
  <c r="U1599" i="6"/>
  <c r="U1620" i="6"/>
  <c r="U1646" i="6"/>
  <c r="U1667" i="6"/>
  <c r="U1688" i="6"/>
  <c r="U1713" i="6"/>
  <c r="U1733" i="6"/>
  <c r="U1757" i="6"/>
  <c r="U1777" i="6"/>
  <c r="U1797" i="6"/>
  <c r="U1821" i="6"/>
  <c r="U1841" i="6"/>
  <c r="U1861" i="6"/>
  <c r="U1885" i="6"/>
  <c r="U1905" i="6"/>
  <c r="U1925" i="6"/>
  <c r="U1944" i="6"/>
  <c r="U1961" i="6"/>
  <c r="U1978" i="6"/>
  <c r="U1996" i="6"/>
  <c r="U685" i="6"/>
  <c r="U1734" i="6"/>
  <c r="U43" i="6"/>
  <c r="U89" i="6"/>
  <c r="U129" i="6"/>
  <c r="U173" i="6"/>
  <c r="U216" i="6"/>
  <c r="U254" i="6"/>
  <c r="U290" i="6"/>
  <c r="U327" i="6"/>
  <c r="U365" i="6"/>
  <c r="U407" i="6"/>
  <c r="U445" i="6"/>
  <c r="U476" i="6"/>
  <c r="U514" i="6"/>
  <c r="U556" i="6"/>
  <c r="U593" i="6"/>
  <c r="U622" i="6"/>
  <c r="U782" i="6"/>
  <c r="U874" i="6"/>
  <c r="U903" i="6"/>
  <c r="U937" i="6"/>
  <c r="U962" i="6"/>
  <c r="U1000" i="6"/>
  <c r="U1025" i="6"/>
  <c r="U1063" i="6"/>
  <c r="U1088" i="6"/>
  <c r="U1122" i="6"/>
  <c r="U1151" i="6"/>
  <c r="U1180" i="6"/>
  <c r="U1214" i="6"/>
  <c r="U1243" i="6"/>
  <c r="U1340" i="6"/>
  <c r="U1365" i="6"/>
  <c r="U1391" i="6"/>
  <c r="U1412" i="6"/>
  <c r="U1438" i="6"/>
  <c r="U1459" i="6"/>
  <c r="U1480" i="6"/>
  <c r="U1506" i="6"/>
  <c r="U1527" i="6"/>
  <c r="U1553" i="6"/>
  <c r="U1574" i="6"/>
  <c r="U1600" i="6"/>
  <c r="U1694" i="6"/>
  <c r="U1778" i="6"/>
  <c r="U1842" i="6"/>
  <c r="U1886" i="6"/>
  <c r="U1962" i="6"/>
  <c r="U44" i="6"/>
  <c r="U91" i="6"/>
  <c r="U135" i="6"/>
  <c r="U175" i="6"/>
  <c r="U217" i="6"/>
  <c r="U255" i="6"/>
  <c r="U297" i="6"/>
  <c r="U328" i="6"/>
  <c r="U366" i="6"/>
  <c r="U408" i="6"/>
  <c r="U446" i="6"/>
  <c r="U482" i="6"/>
  <c r="U519" i="6"/>
  <c r="U557" i="6"/>
  <c r="U594" i="6"/>
  <c r="U623" i="6"/>
  <c r="U657" i="6"/>
  <c r="U686" i="6"/>
  <c r="U720" i="6"/>
  <c r="U749" i="6"/>
  <c r="U783" i="6"/>
  <c r="U812" i="6"/>
  <c r="U846" i="6"/>
  <c r="U875" i="6"/>
  <c r="U904" i="6"/>
  <c r="U938" i="6"/>
  <c r="U967" i="6"/>
  <c r="U1001" i="6"/>
  <c r="U1026" i="6"/>
  <c r="U1064" i="6"/>
  <c r="U1089" i="6"/>
  <c r="U1127" i="6"/>
  <c r="U1152" i="6"/>
  <c r="U1186" i="6"/>
  <c r="U1215" i="6"/>
  <c r="U1244" i="6"/>
  <c r="U1278" i="6"/>
  <c r="U1307" i="6"/>
  <c r="U1341" i="6"/>
  <c r="U1366" i="6"/>
  <c r="U1392" i="6"/>
  <c r="U1413" i="6"/>
  <c r="U1439" i="6"/>
  <c r="U1460" i="6"/>
  <c r="U1486" i="6"/>
  <c r="U1507" i="6"/>
  <c r="U1528" i="6"/>
  <c r="U1554" i="6"/>
  <c r="U1575" i="6"/>
  <c r="U1601" i="6"/>
  <c r="U1622" i="6"/>
  <c r="U1648" i="6"/>
  <c r="U1669" i="6"/>
  <c r="U1695" i="6"/>
  <c r="U1715" i="6"/>
  <c r="U1735" i="6"/>
  <c r="U1759" i="6"/>
  <c r="U1779" i="6"/>
  <c r="U1799" i="6"/>
  <c r="U1823" i="6"/>
  <c r="U1843" i="6"/>
  <c r="U1863" i="6"/>
  <c r="U1887" i="6"/>
  <c r="U1907" i="6"/>
  <c r="U1927" i="6"/>
  <c r="U1946" i="6"/>
  <c r="U1964" i="6"/>
  <c r="U1981" i="6"/>
  <c r="U1998" i="6"/>
  <c r="U45" i="6"/>
  <c r="U92" i="6"/>
  <c r="U136" i="6"/>
  <c r="U176" i="6"/>
  <c r="U218" i="6"/>
  <c r="U256" i="6"/>
  <c r="U298" i="6"/>
  <c r="U334" i="6"/>
  <c r="U367" i="6"/>
  <c r="U409" i="6"/>
  <c r="U447" i="6"/>
  <c r="U489" i="6"/>
  <c r="U520" i="6"/>
  <c r="U558" i="6"/>
  <c r="U599" i="6"/>
  <c r="U624" i="6"/>
  <c r="U658" i="6"/>
  <c r="U687" i="6"/>
  <c r="U721" i="6"/>
  <c r="U750" i="6"/>
  <c r="U784" i="6"/>
  <c r="U813" i="6"/>
  <c r="U847" i="6"/>
  <c r="U876" i="6"/>
  <c r="U910" i="6"/>
  <c r="U939" i="6"/>
  <c r="U968" i="6"/>
  <c r="U1002" i="6"/>
  <c r="U1031" i="6"/>
  <c r="U1065" i="6"/>
  <c r="U1090" i="6"/>
  <c r="U1128" i="6"/>
  <c r="U1153" i="6"/>
  <c r="U1191" i="6"/>
  <c r="U1216" i="6"/>
  <c r="U1250" i="6"/>
  <c r="U1279" i="6"/>
  <c r="U1308" i="6"/>
  <c r="U1342" i="6"/>
  <c r="U1367" i="6"/>
  <c r="U1393" i="6"/>
  <c r="U1414" i="6"/>
  <c r="U1440" i="6"/>
  <c r="U1461" i="6"/>
  <c r="U1487" i="6"/>
  <c r="U1508" i="6"/>
  <c r="U1534" i="6"/>
  <c r="U1555" i="6"/>
  <c r="U1576" i="6"/>
  <c r="U1602" i="6"/>
  <c r="U1623" i="6"/>
  <c r="U1649" i="6"/>
  <c r="U1670" i="6"/>
  <c r="U1696" i="6"/>
  <c r="U1716" i="6"/>
  <c r="U1736" i="6"/>
  <c r="U1760" i="6"/>
  <c r="U1780" i="6"/>
  <c r="U1800" i="6"/>
  <c r="U1824" i="6"/>
  <c r="U1844" i="6"/>
  <c r="U1864" i="6"/>
  <c r="U1888" i="6"/>
  <c r="U1908" i="6"/>
  <c r="U1928" i="6"/>
  <c r="U1948" i="6"/>
  <c r="U1965" i="6"/>
  <c r="U1982" i="6"/>
  <c r="U1999" i="6"/>
  <c r="U47" i="6"/>
  <c r="U368" i="6"/>
  <c r="U410" i="6"/>
  <c r="U448" i="6"/>
  <c r="U490" i="6"/>
  <c r="U526" i="6"/>
  <c r="U559" i="6"/>
  <c r="U663" i="6"/>
  <c r="U688" i="6"/>
  <c r="U722" i="6"/>
  <c r="U751" i="6"/>
  <c r="U785" i="6"/>
  <c r="U814" i="6"/>
  <c r="U848" i="6"/>
  <c r="U877" i="6"/>
  <c r="U911" i="6"/>
  <c r="U48" i="6"/>
  <c r="U190" i="6"/>
  <c r="U302" i="6"/>
  <c r="U450" i="6"/>
  <c r="U601" i="6"/>
  <c r="U701" i="6"/>
  <c r="U827" i="6"/>
  <c r="U943" i="6"/>
  <c r="U1041" i="6"/>
  <c r="U1154" i="6"/>
  <c r="U1256" i="6"/>
  <c r="U1345" i="6"/>
  <c r="U1423" i="6"/>
  <c r="U1492" i="6"/>
  <c r="U1582" i="6"/>
  <c r="U1651" i="6"/>
  <c r="U1719" i="6"/>
  <c r="U1784" i="6"/>
  <c r="U1853" i="6"/>
  <c r="U1932" i="6"/>
  <c r="U1984" i="6"/>
  <c r="U529" i="6"/>
  <c r="U1745" i="6"/>
  <c r="U815" i="6"/>
  <c r="U425" i="6"/>
  <c r="U1490" i="6"/>
  <c r="U1633" i="6"/>
  <c r="U1717" i="6"/>
  <c r="U1970" i="6"/>
  <c r="U449" i="6"/>
  <c r="U1491" i="6"/>
  <c r="U1983" i="6"/>
  <c r="U61" i="6"/>
  <c r="U191" i="6"/>
  <c r="U303" i="6"/>
  <c r="U455" i="6"/>
  <c r="U602" i="6"/>
  <c r="U727" i="6"/>
  <c r="U849" i="6"/>
  <c r="U944" i="6"/>
  <c r="U1066" i="6"/>
  <c r="U1159" i="6"/>
  <c r="U1257" i="6"/>
  <c r="U1346" i="6"/>
  <c r="U1424" i="6"/>
  <c r="U1509" i="6"/>
  <c r="U1583" i="6"/>
  <c r="U1652" i="6"/>
  <c r="U1720" i="6"/>
  <c r="U1789" i="6"/>
  <c r="U1869" i="6"/>
  <c r="U1933" i="6"/>
  <c r="U1985" i="6"/>
  <c r="U573" i="6"/>
  <c r="U699" i="6"/>
  <c r="U1782" i="6"/>
  <c r="U700" i="6"/>
  <c r="U1344" i="6"/>
  <c r="U1718" i="6"/>
  <c r="U1917" i="6"/>
  <c r="U62" i="6"/>
  <c r="U192" i="6"/>
  <c r="U337" i="6"/>
  <c r="U456" i="6"/>
  <c r="U603" i="6"/>
  <c r="U728" i="6"/>
  <c r="U850" i="6"/>
  <c r="U974" i="6"/>
  <c r="U1067" i="6"/>
  <c r="U1160" i="6"/>
  <c r="U1258" i="6"/>
  <c r="U1351" i="6"/>
  <c r="U1441" i="6"/>
  <c r="U1510" i="6"/>
  <c r="U1584" i="6"/>
  <c r="U1653" i="6"/>
  <c r="U1725" i="6"/>
  <c r="U1805" i="6"/>
  <c r="U1870" i="6"/>
  <c r="U1934" i="6"/>
  <c r="U1986" i="6"/>
  <c r="U234" i="6"/>
  <c r="U1679" i="6"/>
  <c r="U1038" i="6"/>
  <c r="U942" i="6"/>
  <c r="U63" i="6"/>
  <c r="U219" i="6"/>
  <c r="U338" i="6"/>
  <c r="U491" i="6"/>
  <c r="U604" i="6"/>
  <c r="U729" i="6"/>
  <c r="U855" i="6"/>
  <c r="U975" i="6"/>
  <c r="U1068" i="6"/>
  <c r="U1166" i="6"/>
  <c r="U1259" i="6"/>
  <c r="U1368" i="6"/>
  <c r="U1442" i="6"/>
  <c r="U1511" i="6"/>
  <c r="U1585" i="6"/>
  <c r="U1654" i="6"/>
  <c r="U1741" i="6"/>
  <c r="U1806" i="6"/>
  <c r="U1871" i="6"/>
  <c r="U1935" i="6"/>
  <c r="U1987" i="6"/>
  <c r="U378" i="6"/>
  <c r="U1605" i="6"/>
  <c r="U1890" i="6"/>
  <c r="U940" i="6"/>
  <c r="U300" i="6"/>
  <c r="U189" i="6"/>
  <c r="U1783" i="6"/>
  <c r="U98" i="6"/>
  <c r="U220" i="6"/>
  <c r="U343" i="6"/>
  <c r="U492" i="6"/>
  <c r="U634" i="6"/>
  <c r="U730" i="6"/>
  <c r="U856" i="6"/>
  <c r="U976" i="6"/>
  <c r="U1069" i="6"/>
  <c r="U1167" i="6"/>
  <c r="U1280" i="6"/>
  <c r="U1374" i="6"/>
  <c r="U1443" i="6"/>
  <c r="U1512" i="6"/>
  <c r="U1586" i="6"/>
  <c r="U1671" i="6"/>
  <c r="U1742" i="6"/>
  <c r="U1807" i="6"/>
  <c r="U1872" i="6"/>
  <c r="U1936" i="6"/>
  <c r="U2000" i="6"/>
  <c r="U299" i="6"/>
  <c r="U105" i="6"/>
  <c r="U226" i="6"/>
  <c r="U344" i="6"/>
  <c r="U493" i="6"/>
  <c r="U635" i="6"/>
  <c r="U752" i="6"/>
  <c r="U878" i="6"/>
  <c r="U977" i="6"/>
  <c r="U1070" i="6"/>
  <c r="U1192" i="6"/>
  <c r="U1281" i="6"/>
  <c r="U1375" i="6"/>
  <c r="U1444" i="6"/>
  <c r="U1518" i="6"/>
  <c r="U1603" i="6"/>
  <c r="U1672" i="6"/>
  <c r="U1743" i="6"/>
  <c r="U1808" i="6"/>
  <c r="U1873" i="6"/>
  <c r="U1949" i="6"/>
  <c r="U2001" i="6"/>
  <c r="U418" i="6"/>
  <c r="U106" i="6"/>
  <c r="U233" i="6"/>
  <c r="U345" i="6"/>
  <c r="U494" i="6"/>
  <c r="U636" i="6"/>
  <c r="U762" i="6"/>
  <c r="U879" i="6"/>
  <c r="U978" i="6"/>
  <c r="U1095" i="6"/>
  <c r="U1193" i="6"/>
  <c r="U1282" i="6"/>
  <c r="U1376" i="6"/>
  <c r="U1445" i="6"/>
  <c r="U1535" i="6"/>
  <c r="U1604" i="6"/>
  <c r="U1678" i="6"/>
  <c r="U1744" i="6"/>
  <c r="U1809" i="6"/>
  <c r="U1889" i="6"/>
  <c r="U1950" i="6"/>
  <c r="U107" i="6"/>
  <c r="U637" i="6"/>
  <c r="U763" i="6"/>
  <c r="U880" i="6"/>
  <c r="U1003" i="6"/>
  <c r="U1096" i="6"/>
  <c r="U1194" i="6"/>
  <c r="U1287" i="6"/>
  <c r="U1377" i="6"/>
  <c r="U1462" i="6"/>
  <c r="U1536" i="6"/>
  <c r="U1825" i="6"/>
  <c r="U1951" i="6"/>
  <c r="U698" i="6"/>
  <c r="U574" i="6"/>
  <c r="U1847" i="6"/>
  <c r="U600" i="6"/>
  <c r="U1255" i="6"/>
  <c r="U1650" i="6"/>
  <c r="U1848" i="6"/>
  <c r="U108" i="6"/>
  <c r="U257" i="6"/>
  <c r="U381" i="6"/>
  <c r="U530" i="6"/>
  <c r="U638" i="6"/>
  <c r="U764" i="6"/>
  <c r="U890" i="6"/>
  <c r="U1004" i="6"/>
  <c r="U1102" i="6"/>
  <c r="U1195" i="6"/>
  <c r="U1288" i="6"/>
  <c r="U1394" i="6"/>
  <c r="U1463" i="6"/>
  <c r="U1537" i="6"/>
  <c r="U1606" i="6"/>
  <c r="U1680" i="6"/>
  <c r="U1761" i="6"/>
  <c r="U1826" i="6"/>
  <c r="U1891" i="6"/>
  <c r="U1952" i="6"/>
  <c r="U1558" i="6"/>
  <c r="U826" i="6"/>
  <c r="U142" i="6"/>
  <c r="U258" i="6"/>
  <c r="U382" i="6"/>
  <c r="U535" i="6"/>
  <c r="U664" i="6"/>
  <c r="U786" i="6"/>
  <c r="U912" i="6"/>
  <c r="U1005" i="6"/>
  <c r="U1103" i="6"/>
  <c r="U1196" i="6"/>
  <c r="U1314" i="6"/>
  <c r="U1395" i="6"/>
  <c r="U1464" i="6"/>
  <c r="U1538" i="6"/>
  <c r="U1607" i="6"/>
  <c r="U1697" i="6"/>
  <c r="U1762" i="6"/>
  <c r="U1827" i="6"/>
  <c r="U1892" i="6"/>
  <c r="U1953" i="6"/>
  <c r="U1133" i="6"/>
  <c r="U145" i="6"/>
  <c r="U263" i="6"/>
  <c r="U383" i="6"/>
  <c r="U536" i="6"/>
  <c r="U665" i="6"/>
  <c r="U791" i="6"/>
  <c r="U913" i="6"/>
  <c r="U1006" i="6"/>
  <c r="U1104" i="6"/>
  <c r="U1217" i="6"/>
  <c r="U1319" i="6"/>
  <c r="U1396" i="6"/>
  <c r="U1470" i="6"/>
  <c r="U1539" i="6"/>
  <c r="U1624" i="6"/>
  <c r="U1698" i="6"/>
  <c r="U1763" i="6"/>
  <c r="U1828" i="6"/>
  <c r="U1893" i="6"/>
  <c r="U1966" i="6"/>
  <c r="U146" i="6"/>
  <c r="U264" i="6"/>
  <c r="U411" i="6"/>
  <c r="U560" i="6"/>
  <c r="U666" i="6"/>
  <c r="U792" i="6"/>
  <c r="U914" i="6"/>
  <c r="U1007" i="6"/>
  <c r="U1129" i="6"/>
  <c r="U1218" i="6"/>
  <c r="U1320" i="6"/>
  <c r="U1397" i="6"/>
  <c r="U1471" i="6"/>
  <c r="U1556" i="6"/>
  <c r="U1630" i="6"/>
  <c r="U1699" i="6"/>
  <c r="U1764" i="6"/>
  <c r="U1829" i="6"/>
  <c r="U1909" i="6"/>
  <c r="U1967" i="6"/>
  <c r="U151" i="6"/>
  <c r="U270" i="6"/>
  <c r="U412" i="6"/>
  <c r="U570" i="6"/>
  <c r="U667" i="6"/>
  <c r="U793" i="6"/>
  <c r="U919" i="6"/>
  <c r="U1032" i="6"/>
  <c r="U1130" i="6"/>
  <c r="U1223" i="6"/>
  <c r="U1321" i="6"/>
  <c r="U1398" i="6"/>
  <c r="U1488" i="6"/>
  <c r="U1557" i="6"/>
  <c r="U1631" i="6"/>
  <c r="U1700" i="6"/>
  <c r="U1765" i="6"/>
  <c r="U1845" i="6"/>
  <c r="U1910" i="6"/>
  <c r="U1968" i="6"/>
  <c r="U152" i="6"/>
  <c r="U1131" i="6"/>
  <c r="U1224" i="6"/>
  <c r="U1322" i="6"/>
  <c r="U1415" i="6"/>
  <c r="U1489" i="6"/>
  <c r="U1632" i="6"/>
  <c r="U1701" i="6"/>
  <c r="U1781" i="6"/>
  <c r="U1846" i="6"/>
  <c r="U1911" i="6"/>
  <c r="U1969" i="6"/>
  <c r="U186" i="6"/>
  <c r="U816" i="6"/>
  <c r="U941" i="6"/>
  <c r="U1039" i="6"/>
  <c r="U1132" i="6"/>
  <c r="U1230" i="6"/>
  <c r="U1343" i="6"/>
  <c r="U1416" i="6"/>
  <c r="U1559" i="6"/>
  <c r="U1912" i="6"/>
  <c r="U301" i="6"/>
  <c r="U1560" i="6"/>
  <c r="U1040" i="6"/>
  <c r="U1422" i="6"/>
  <c r="N17" i="6"/>
  <c r="L17" i="6" s="1"/>
  <c r="N33" i="6"/>
  <c r="L33" i="6" s="1"/>
  <c r="N49" i="6"/>
  <c r="N65" i="6"/>
  <c r="N81" i="6"/>
  <c r="L81" i="6" s="1"/>
  <c r="N97" i="6"/>
  <c r="L97" i="6" s="1"/>
  <c r="N113" i="6"/>
  <c r="N129" i="6"/>
  <c r="N145" i="6"/>
  <c r="L145" i="6" s="1"/>
  <c r="N161" i="6"/>
  <c r="N177" i="6"/>
  <c r="L177" i="6" s="1"/>
  <c r="N193" i="6"/>
  <c r="L193" i="6" s="1"/>
  <c r="N209" i="6"/>
  <c r="L209" i="6" s="1"/>
  <c r="N225" i="6"/>
  <c r="L225" i="6" s="1"/>
  <c r="N241" i="6"/>
  <c r="L241" i="6" s="1"/>
  <c r="N18" i="6"/>
  <c r="L18" i="6" s="1"/>
  <c r="N34" i="6"/>
  <c r="N50" i="6"/>
  <c r="N66" i="6"/>
  <c r="L66" i="6" s="1"/>
  <c r="N82" i="6"/>
  <c r="N98" i="6"/>
  <c r="L98" i="6" s="1"/>
  <c r="N114" i="6"/>
  <c r="L114" i="6" s="1"/>
  <c r="N130" i="6"/>
  <c r="N146" i="6"/>
  <c r="N162" i="6"/>
  <c r="L162" i="6" s="1"/>
  <c r="N178" i="6"/>
  <c r="N194" i="6"/>
  <c r="L194" i="6" s="1"/>
  <c r="N19" i="6"/>
  <c r="L19" i="6" s="1"/>
  <c r="N35" i="6"/>
  <c r="L35" i="6" s="1"/>
  <c r="N51" i="6"/>
  <c r="L51" i="6" s="1"/>
  <c r="N67" i="6"/>
  <c r="L67" i="6" s="1"/>
  <c r="N83" i="6"/>
  <c r="L83" i="6" s="1"/>
  <c r="N99" i="6"/>
  <c r="N115" i="6"/>
  <c r="N131" i="6"/>
  <c r="N147" i="6"/>
  <c r="N163" i="6"/>
  <c r="N179" i="6"/>
  <c r="L179" i="6" s="1"/>
  <c r="N195" i="6"/>
  <c r="L195" i="6" s="1"/>
  <c r="N4" i="6"/>
  <c r="L4" i="6" s="1"/>
  <c r="N20" i="6"/>
  <c r="L20" i="6" s="1"/>
  <c r="N36" i="6"/>
  <c r="L36" i="6" s="1"/>
  <c r="N52" i="6"/>
  <c r="L52" i="6" s="1"/>
  <c r="N68" i="6"/>
  <c r="L68" i="6" s="1"/>
  <c r="N84" i="6"/>
  <c r="L84" i="6" s="1"/>
  <c r="N100" i="6"/>
  <c r="L100" i="6" s="1"/>
  <c r="N116" i="6"/>
  <c r="L116" i="6" s="1"/>
  <c r="N132" i="6"/>
  <c r="L132" i="6" s="1"/>
  <c r="N148" i="6"/>
  <c r="N164" i="6"/>
  <c r="N180" i="6"/>
  <c r="L180" i="6" s="1"/>
  <c r="N6" i="6"/>
  <c r="L6" i="6" s="1"/>
  <c r="N22" i="6"/>
  <c r="N38" i="6"/>
  <c r="L38" i="6" s="1"/>
  <c r="N54" i="6"/>
  <c r="L54" i="6" s="1"/>
  <c r="N70" i="6"/>
  <c r="L70" i="6" s="1"/>
  <c r="N86" i="6"/>
  <c r="L86" i="6" s="1"/>
  <c r="N102" i="6"/>
  <c r="L102" i="6" s="1"/>
  <c r="N12" i="6"/>
  <c r="L12" i="6" s="1"/>
  <c r="N37" i="6"/>
  <c r="L37" i="6" s="1"/>
  <c r="N59" i="6"/>
  <c r="L59" i="6" s="1"/>
  <c r="N80" i="6"/>
  <c r="L80" i="6" s="1"/>
  <c r="N106" i="6"/>
  <c r="L106" i="6" s="1"/>
  <c r="N126" i="6"/>
  <c r="L126" i="6" s="1"/>
  <c r="N150" i="6"/>
  <c r="N170" i="6"/>
  <c r="N190" i="6"/>
  <c r="N210" i="6"/>
  <c r="N227" i="6"/>
  <c r="N244" i="6"/>
  <c r="L244" i="6" s="1"/>
  <c r="N260" i="6"/>
  <c r="L260" i="6" s="1"/>
  <c r="N276" i="6"/>
  <c r="L276" i="6" s="1"/>
  <c r="N292" i="6"/>
  <c r="N308" i="6"/>
  <c r="L308" i="6" s="1"/>
  <c r="N324" i="6"/>
  <c r="L324" i="6" s="1"/>
  <c r="N340" i="6"/>
  <c r="L340" i="6" s="1"/>
  <c r="N356" i="6"/>
  <c r="L356" i="6" s="1"/>
  <c r="N372" i="6"/>
  <c r="L372" i="6" s="1"/>
  <c r="N388" i="6"/>
  <c r="N404" i="6"/>
  <c r="L404" i="6" s="1"/>
  <c r="N420" i="6"/>
  <c r="N436" i="6"/>
  <c r="N452" i="6"/>
  <c r="N468" i="6"/>
  <c r="N484" i="6"/>
  <c r="N500" i="6"/>
  <c r="N516" i="6"/>
  <c r="N532" i="6"/>
  <c r="N548" i="6"/>
  <c r="N564" i="6"/>
  <c r="N580" i="6"/>
  <c r="N596" i="6"/>
  <c r="N612" i="6"/>
  <c r="N628" i="6"/>
  <c r="N644" i="6"/>
  <c r="N660" i="6"/>
  <c r="N676" i="6"/>
  <c r="N692" i="6"/>
  <c r="N708" i="6"/>
  <c r="N724" i="6"/>
  <c r="N740" i="6"/>
  <c r="N756" i="6"/>
  <c r="N772" i="6"/>
  <c r="N788" i="6"/>
  <c r="N804" i="6"/>
  <c r="N820" i="6"/>
  <c r="N836" i="6"/>
  <c r="N852" i="6"/>
  <c r="N868" i="6"/>
  <c r="N884" i="6"/>
  <c r="N900" i="6"/>
  <c r="N916" i="6"/>
  <c r="N932" i="6"/>
  <c r="N948" i="6"/>
  <c r="N964" i="6"/>
  <c r="N980" i="6"/>
  <c r="N996" i="6"/>
  <c r="N1012" i="6"/>
  <c r="N1028" i="6"/>
  <c r="N1044" i="6"/>
  <c r="N1060" i="6"/>
  <c r="N1076" i="6"/>
  <c r="N1092" i="6"/>
  <c r="N1108" i="6"/>
  <c r="N1124" i="6"/>
  <c r="N1140" i="6"/>
  <c r="N1156" i="6"/>
  <c r="N13" i="6"/>
  <c r="L13" i="6" s="1"/>
  <c r="N39" i="6"/>
  <c r="N60" i="6"/>
  <c r="N85" i="6"/>
  <c r="L85" i="6" s="1"/>
  <c r="N107" i="6"/>
  <c r="L107" i="6" s="1"/>
  <c r="N127" i="6"/>
  <c r="N151" i="6"/>
  <c r="L151" i="6" s="1"/>
  <c r="N171" i="6"/>
  <c r="L171" i="6" s="1"/>
  <c r="N191" i="6"/>
  <c r="L191" i="6" s="1"/>
  <c r="N211" i="6"/>
  <c r="L211" i="6" s="1"/>
  <c r="N228" i="6"/>
  <c r="L228" i="6" s="1"/>
  <c r="N245" i="6"/>
  <c r="L245" i="6" s="1"/>
  <c r="N261" i="6"/>
  <c r="L261" i="6" s="1"/>
  <c r="N277" i="6"/>
  <c r="L277" i="6" s="1"/>
  <c r="N293" i="6"/>
  <c r="L293" i="6" s="1"/>
  <c r="N309" i="6"/>
  <c r="L309" i="6" s="1"/>
  <c r="N325" i="6"/>
  <c r="L325" i="6" s="1"/>
  <c r="N341" i="6"/>
  <c r="N357" i="6"/>
  <c r="N373" i="6"/>
  <c r="N389" i="6"/>
  <c r="N405" i="6"/>
  <c r="N421" i="6"/>
  <c r="N437" i="6"/>
  <c r="N453" i="6"/>
  <c r="L453" i="6" s="1"/>
  <c r="N469" i="6"/>
  <c r="N485" i="6"/>
  <c r="N501" i="6"/>
  <c r="N517" i="6"/>
  <c r="N533" i="6"/>
  <c r="N549" i="6"/>
  <c r="N565" i="6"/>
  <c r="N581" i="6"/>
  <c r="N597" i="6"/>
  <c r="N613" i="6"/>
  <c r="N629" i="6"/>
  <c r="N645" i="6"/>
  <c r="N661" i="6"/>
  <c r="N677" i="6"/>
  <c r="N693" i="6"/>
  <c r="N709" i="6"/>
  <c r="N725" i="6"/>
  <c r="N741" i="6"/>
  <c r="N757" i="6"/>
  <c r="N773" i="6"/>
  <c r="N789" i="6"/>
  <c r="N805" i="6"/>
  <c r="N821" i="6"/>
  <c r="N837" i="6"/>
  <c r="N853" i="6"/>
  <c r="N869" i="6"/>
  <c r="N885" i="6"/>
  <c r="N901" i="6"/>
  <c r="N917" i="6"/>
  <c r="N933" i="6"/>
  <c r="N949" i="6"/>
  <c r="N965" i="6"/>
  <c r="N981" i="6"/>
  <c r="N997" i="6"/>
  <c r="N1013" i="6"/>
  <c r="N1029" i="6"/>
  <c r="N1045" i="6"/>
  <c r="N1061" i="6"/>
  <c r="N1077" i="6"/>
  <c r="N1093" i="6"/>
  <c r="N1109" i="6"/>
  <c r="N14" i="6"/>
  <c r="N40" i="6"/>
  <c r="N61" i="6"/>
  <c r="N87" i="6"/>
  <c r="N108" i="6"/>
  <c r="L108" i="6" s="1"/>
  <c r="N128" i="6"/>
  <c r="L128" i="6" s="1"/>
  <c r="N152" i="6"/>
  <c r="N172" i="6"/>
  <c r="L172" i="6" s="1"/>
  <c r="N192" i="6"/>
  <c r="L192" i="6" s="1"/>
  <c r="N212" i="6"/>
  <c r="L212" i="6" s="1"/>
  <c r="N229" i="6"/>
  <c r="L229" i="6" s="1"/>
  <c r="N246" i="6"/>
  <c r="L246" i="6" s="1"/>
  <c r="N262" i="6"/>
  <c r="L262" i="6" s="1"/>
  <c r="N278" i="6"/>
  <c r="L278" i="6" s="1"/>
  <c r="N294" i="6"/>
  <c r="L294" i="6" s="1"/>
  <c r="N310" i="6"/>
  <c r="N326" i="6"/>
  <c r="N342" i="6"/>
  <c r="L342" i="6" s="1"/>
  <c r="N358" i="6"/>
  <c r="N374" i="6"/>
  <c r="N390" i="6"/>
  <c r="N406" i="6"/>
  <c r="N422" i="6"/>
  <c r="L422" i="6" s="1"/>
  <c r="N438" i="6"/>
  <c r="L438" i="6" s="1"/>
  <c r="N454" i="6"/>
  <c r="N470" i="6"/>
  <c r="N486" i="6"/>
  <c r="N502" i="6"/>
  <c r="N518" i="6"/>
  <c r="N534" i="6"/>
  <c r="N550" i="6"/>
  <c r="N566" i="6"/>
  <c r="N582" i="6"/>
  <c r="N598" i="6"/>
  <c r="N614" i="6"/>
  <c r="N630" i="6"/>
  <c r="N646" i="6"/>
  <c r="N662" i="6"/>
  <c r="N678" i="6"/>
  <c r="N694" i="6"/>
  <c r="N710" i="6"/>
  <c r="N726" i="6"/>
  <c r="N742" i="6"/>
  <c r="N758" i="6"/>
  <c r="N774" i="6"/>
  <c r="N790" i="6"/>
  <c r="N806" i="6"/>
  <c r="N822" i="6"/>
  <c r="N838" i="6"/>
  <c r="N854" i="6"/>
  <c r="N870" i="6"/>
  <c r="N886" i="6"/>
  <c r="N902" i="6"/>
  <c r="N918" i="6"/>
  <c r="N934" i="6"/>
  <c r="N950" i="6"/>
  <c r="N966" i="6"/>
  <c r="N982" i="6"/>
  <c r="N998" i="6"/>
  <c r="N1014" i="6"/>
  <c r="N1030" i="6"/>
  <c r="N1046" i="6"/>
  <c r="N1062" i="6"/>
  <c r="N1078" i="6"/>
  <c r="N1094" i="6"/>
  <c r="N15" i="6"/>
  <c r="L15" i="6" s="1"/>
  <c r="N41" i="6"/>
  <c r="N62" i="6"/>
  <c r="L62" i="6" s="1"/>
  <c r="N88" i="6"/>
  <c r="L88" i="6" s="1"/>
  <c r="N109" i="6"/>
  <c r="N133" i="6"/>
  <c r="L133" i="6" s="1"/>
  <c r="N153" i="6"/>
  <c r="L153" i="6" s="1"/>
  <c r="N173" i="6"/>
  <c r="N196" i="6"/>
  <c r="L196" i="6" s="1"/>
  <c r="N213" i="6"/>
  <c r="L213" i="6" s="1"/>
  <c r="N230" i="6"/>
  <c r="L230" i="6" s="1"/>
  <c r="N247" i="6"/>
  <c r="L247" i="6" s="1"/>
  <c r="N263" i="6"/>
  <c r="L263" i="6" s="1"/>
  <c r="N279" i="6"/>
  <c r="L279" i="6" s="1"/>
  <c r="N295" i="6"/>
  <c r="N311" i="6"/>
  <c r="N327" i="6"/>
  <c r="N343" i="6"/>
  <c r="N359" i="6"/>
  <c r="N375" i="6"/>
  <c r="N391" i="6"/>
  <c r="N407" i="6"/>
  <c r="L407" i="6" s="1"/>
  <c r="N423" i="6"/>
  <c r="L423" i="6" s="1"/>
  <c r="N439" i="6"/>
  <c r="N455" i="6"/>
  <c r="N471" i="6"/>
  <c r="N487" i="6"/>
  <c r="N503" i="6"/>
  <c r="N519" i="6"/>
  <c r="N535" i="6"/>
  <c r="N551" i="6"/>
  <c r="N567" i="6"/>
  <c r="N583" i="6"/>
  <c r="N599" i="6"/>
  <c r="N615" i="6"/>
  <c r="N631" i="6"/>
  <c r="N647" i="6"/>
  <c r="N663" i="6"/>
  <c r="N679" i="6"/>
  <c r="N695" i="6"/>
  <c r="N711" i="6"/>
  <c r="N727" i="6"/>
  <c r="N743" i="6"/>
  <c r="N759" i="6"/>
  <c r="N775" i="6"/>
  <c r="N791" i="6"/>
  <c r="N807" i="6"/>
  <c r="N823" i="6"/>
  <c r="N839" i="6"/>
  <c r="N855" i="6"/>
  <c r="N871" i="6"/>
  <c r="N887" i="6"/>
  <c r="N903" i="6"/>
  <c r="N919" i="6"/>
  <c r="N935" i="6"/>
  <c r="N951" i="6"/>
  <c r="N967" i="6"/>
  <c r="N983" i="6"/>
  <c r="N999" i="6"/>
  <c r="N1015" i="6"/>
  <c r="N1031" i="6"/>
  <c r="N1047" i="6"/>
  <c r="N1063" i="6"/>
  <c r="N1079" i="6"/>
  <c r="N1095" i="6"/>
  <c r="N21" i="6"/>
  <c r="N43" i="6"/>
  <c r="N64" i="6"/>
  <c r="L64" i="6" s="1"/>
  <c r="N90" i="6"/>
  <c r="L90" i="6" s="1"/>
  <c r="N111" i="6"/>
  <c r="N135" i="6"/>
  <c r="L135" i="6" s="1"/>
  <c r="N155" i="6"/>
  <c r="L155" i="6" s="1"/>
  <c r="N175" i="6"/>
  <c r="L175" i="6" s="1"/>
  <c r="N198" i="6"/>
  <c r="L198" i="6" s="1"/>
  <c r="N215" i="6"/>
  <c r="L215" i="6" s="1"/>
  <c r="N232" i="6"/>
  <c r="L232" i="6" s="1"/>
  <c r="N249" i="6"/>
  <c r="L249" i="6" s="1"/>
  <c r="N265" i="6"/>
  <c r="L265" i="6" s="1"/>
  <c r="N281" i="6"/>
  <c r="N297" i="6"/>
  <c r="N313" i="6"/>
  <c r="L313" i="6" s="1"/>
  <c r="N329" i="6"/>
  <c r="N345" i="6"/>
  <c r="L345" i="6" s="1"/>
  <c r="N361" i="6"/>
  <c r="L361" i="6" s="1"/>
  <c r="N377" i="6"/>
  <c r="N393" i="6"/>
  <c r="L393" i="6" s="1"/>
  <c r="N409" i="6"/>
  <c r="L409" i="6" s="1"/>
  <c r="N425" i="6"/>
  <c r="N441" i="6"/>
  <c r="N457" i="6"/>
  <c r="N473" i="6"/>
  <c r="N489" i="6"/>
  <c r="N505" i="6"/>
  <c r="N521" i="6"/>
  <c r="N537" i="6"/>
  <c r="N553" i="6"/>
  <c r="N569" i="6"/>
  <c r="N585" i="6"/>
  <c r="N601" i="6"/>
  <c r="N617" i="6"/>
  <c r="N633" i="6"/>
  <c r="N649" i="6"/>
  <c r="N665" i="6"/>
  <c r="N681" i="6"/>
  <c r="N697" i="6"/>
  <c r="N713" i="6"/>
  <c r="N729" i="6"/>
  <c r="N745" i="6"/>
  <c r="N761" i="6"/>
  <c r="N777" i="6"/>
  <c r="N793" i="6"/>
  <c r="N809" i="6"/>
  <c r="N825" i="6"/>
  <c r="N841" i="6"/>
  <c r="N857" i="6"/>
  <c r="N873" i="6"/>
  <c r="N889" i="6"/>
  <c r="N905" i="6"/>
  <c r="N921" i="6"/>
  <c r="N937" i="6"/>
  <c r="N953" i="6"/>
  <c r="N969" i="6"/>
  <c r="N985" i="6"/>
  <c r="N1001" i="6"/>
  <c r="N1017" i="6"/>
  <c r="N1033" i="6"/>
  <c r="N23" i="6"/>
  <c r="N44" i="6"/>
  <c r="N69" i="6"/>
  <c r="N91" i="6"/>
  <c r="N112" i="6"/>
  <c r="N136" i="6"/>
  <c r="L136" i="6" s="1"/>
  <c r="N156" i="6"/>
  <c r="L156" i="6" s="1"/>
  <c r="N176" i="6"/>
  <c r="L176" i="6" s="1"/>
  <c r="N199" i="6"/>
  <c r="L199" i="6" s="1"/>
  <c r="N216" i="6"/>
  <c r="L216" i="6" s="1"/>
  <c r="N233" i="6"/>
  <c r="L233" i="6" s="1"/>
  <c r="N250" i="6"/>
  <c r="L250" i="6" s="1"/>
  <c r="N266" i="6"/>
  <c r="L266" i="6" s="1"/>
  <c r="N282" i="6"/>
  <c r="L282" i="6" s="1"/>
  <c r="N298" i="6"/>
  <c r="L298" i="6" s="1"/>
  <c r="N314" i="6"/>
  <c r="L314" i="6" s="1"/>
  <c r="N330" i="6"/>
  <c r="L330" i="6" s="1"/>
  <c r="N346" i="6"/>
  <c r="L346" i="6" s="1"/>
  <c r="N362" i="6"/>
  <c r="L362" i="6" s="1"/>
  <c r="N378" i="6"/>
  <c r="N394" i="6"/>
  <c r="N410" i="6"/>
  <c r="N426" i="6"/>
  <c r="N442" i="6"/>
  <c r="L442" i="6" s="1"/>
  <c r="N458" i="6"/>
  <c r="L458" i="6" s="1"/>
  <c r="N474" i="6"/>
  <c r="N490" i="6"/>
  <c r="N506" i="6"/>
  <c r="N522" i="6"/>
  <c r="N538" i="6"/>
  <c r="N554" i="6"/>
  <c r="N570" i="6"/>
  <c r="N586" i="6"/>
  <c r="N602" i="6"/>
  <c r="N618" i="6"/>
  <c r="N634" i="6"/>
  <c r="N650" i="6"/>
  <c r="N666" i="6"/>
  <c r="N24" i="6"/>
  <c r="L24" i="6" s="1"/>
  <c r="N45" i="6"/>
  <c r="L45" i="6" s="1"/>
  <c r="N71" i="6"/>
  <c r="L71" i="6" s="1"/>
  <c r="N92" i="6"/>
  <c r="N117" i="6"/>
  <c r="L117" i="6" s="1"/>
  <c r="N137" i="6"/>
  <c r="L137" i="6" s="1"/>
  <c r="N157" i="6"/>
  <c r="L157" i="6" s="1"/>
  <c r="N181" i="6"/>
  <c r="L181" i="6" s="1"/>
  <c r="N200" i="6"/>
  <c r="L200" i="6" s="1"/>
  <c r="N217" i="6"/>
  <c r="L217" i="6" s="1"/>
  <c r="N234" i="6"/>
  <c r="N251" i="6"/>
  <c r="N267" i="6"/>
  <c r="N283" i="6"/>
  <c r="N299" i="6"/>
  <c r="N315" i="6"/>
  <c r="L315" i="6" s="1"/>
  <c r="N331" i="6"/>
  <c r="L331" i="6" s="1"/>
  <c r="N347" i="6"/>
  <c r="L347" i="6" s="1"/>
  <c r="N363" i="6"/>
  <c r="L363" i="6" s="1"/>
  <c r="N379" i="6"/>
  <c r="N26" i="6"/>
  <c r="L26" i="6" s="1"/>
  <c r="N47" i="6"/>
  <c r="L47" i="6" s="1"/>
  <c r="N73" i="6"/>
  <c r="L73" i="6" s="1"/>
  <c r="N94" i="6"/>
  <c r="L94" i="6" s="1"/>
  <c r="N119" i="6"/>
  <c r="L119" i="6" s="1"/>
  <c r="N139" i="6"/>
  <c r="L139" i="6" s="1"/>
  <c r="N159" i="6"/>
  <c r="N183" i="6"/>
  <c r="N202" i="6"/>
  <c r="L202" i="6" s="1"/>
  <c r="N219" i="6"/>
  <c r="N236" i="6"/>
  <c r="N253" i="6"/>
  <c r="L253" i="6" s="1"/>
  <c r="N269" i="6"/>
  <c r="L269" i="6" s="1"/>
  <c r="N285" i="6"/>
  <c r="L285" i="6" s="1"/>
  <c r="N301" i="6"/>
  <c r="L301" i="6" s="1"/>
  <c r="N317" i="6"/>
  <c r="L317" i="6" s="1"/>
  <c r="N333" i="6"/>
  <c r="L333" i="6" s="1"/>
  <c r="N349" i="6"/>
  <c r="L349" i="6" s="1"/>
  <c r="N365" i="6"/>
  <c r="N381" i="6"/>
  <c r="L381" i="6" s="1"/>
  <c r="N397" i="6"/>
  <c r="L397" i="6" s="1"/>
  <c r="N413" i="6"/>
  <c r="L413" i="6" s="1"/>
  <c r="N429" i="6"/>
  <c r="N445" i="6"/>
  <c r="N461" i="6"/>
  <c r="N477" i="6"/>
  <c r="N493" i="6"/>
  <c r="N509" i="6"/>
  <c r="N525" i="6"/>
  <c r="N541" i="6"/>
  <c r="N557" i="6"/>
  <c r="N573" i="6"/>
  <c r="N589" i="6"/>
  <c r="N605" i="6"/>
  <c r="N621" i="6"/>
  <c r="N637" i="6"/>
  <c r="N653" i="6"/>
  <c r="N669" i="6"/>
  <c r="N685" i="6"/>
  <c r="N701" i="6"/>
  <c r="N717" i="6"/>
  <c r="N733" i="6"/>
  <c r="N749" i="6"/>
  <c r="N765" i="6"/>
  <c r="N781" i="6"/>
  <c r="N5" i="6"/>
  <c r="L5" i="6" s="1"/>
  <c r="N27" i="6"/>
  <c r="L27" i="6" s="1"/>
  <c r="N48" i="6"/>
  <c r="L48" i="6" s="1"/>
  <c r="N74" i="6"/>
  <c r="L74" i="6" s="1"/>
  <c r="N95" i="6"/>
  <c r="L95" i="6" s="1"/>
  <c r="N120" i="6"/>
  <c r="L120" i="6" s="1"/>
  <c r="N140" i="6"/>
  <c r="L140" i="6" s="1"/>
  <c r="N160" i="6"/>
  <c r="L160" i="6" s="1"/>
  <c r="N184" i="6"/>
  <c r="L184" i="6" s="1"/>
  <c r="N203" i="6"/>
  <c r="N220" i="6"/>
  <c r="N237" i="6"/>
  <c r="L237" i="6" s="1"/>
  <c r="N254" i="6"/>
  <c r="N270" i="6"/>
  <c r="L270" i="6" s="1"/>
  <c r="N286" i="6"/>
  <c r="L286" i="6" s="1"/>
  <c r="N302" i="6"/>
  <c r="N318" i="6"/>
  <c r="N334" i="6"/>
  <c r="L334" i="6" s="1"/>
  <c r="N350" i="6"/>
  <c r="L350" i="6" s="1"/>
  <c r="N366" i="6"/>
  <c r="N382" i="6"/>
  <c r="N398" i="6"/>
  <c r="N414" i="6"/>
  <c r="N430" i="6"/>
  <c r="N446" i="6"/>
  <c r="N462" i="6"/>
  <c r="N478" i="6"/>
  <c r="N494" i="6"/>
  <c r="N510" i="6"/>
  <c r="N526" i="6"/>
  <c r="N542" i="6"/>
  <c r="N558" i="6"/>
  <c r="N31" i="6"/>
  <c r="L31" i="6" s="1"/>
  <c r="N89" i="6"/>
  <c r="L89" i="6" s="1"/>
  <c r="N141" i="6"/>
  <c r="L141" i="6" s="1"/>
  <c r="N187" i="6"/>
  <c r="L187" i="6" s="1"/>
  <c r="N226" i="6"/>
  <c r="L226" i="6" s="1"/>
  <c r="N268" i="6"/>
  <c r="L268" i="6" s="1"/>
  <c r="N304" i="6"/>
  <c r="L304" i="6" s="1"/>
  <c r="N338" i="6"/>
  <c r="L338" i="6" s="1"/>
  <c r="N376" i="6"/>
  <c r="L376" i="6" s="1"/>
  <c r="N411" i="6"/>
  <c r="N443" i="6"/>
  <c r="N475" i="6"/>
  <c r="N507" i="6"/>
  <c r="N539" i="6"/>
  <c r="N571" i="6"/>
  <c r="N595" i="6"/>
  <c r="N625" i="6"/>
  <c r="N655" i="6"/>
  <c r="N683" i="6"/>
  <c r="N706" i="6"/>
  <c r="N734" i="6"/>
  <c r="N760" i="6"/>
  <c r="N784" i="6"/>
  <c r="N810" i="6"/>
  <c r="N831" i="6"/>
  <c r="N856" i="6"/>
  <c r="N878" i="6"/>
  <c r="N899" i="6"/>
  <c r="N925" i="6"/>
  <c r="N946" i="6"/>
  <c r="N972" i="6"/>
  <c r="N993" i="6"/>
  <c r="N1019" i="6"/>
  <c r="N1040" i="6"/>
  <c r="N1064" i="6"/>
  <c r="N1084" i="6"/>
  <c r="N1104" i="6"/>
  <c r="N1122" i="6"/>
  <c r="N1139" i="6"/>
  <c r="N1157" i="6"/>
  <c r="N1173" i="6"/>
  <c r="N1189" i="6"/>
  <c r="N1205" i="6"/>
  <c r="N1221" i="6"/>
  <c r="N1237" i="6"/>
  <c r="N1253" i="6"/>
  <c r="N1269" i="6"/>
  <c r="N1285" i="6"/>
  <c r="N1301" i="6"/>
  <c r="N1317" i="6"/>
  <c r="N1333" i="6"/>
  <c r="N1349" i="6"/>
  <c r="N1365" i="6"/>
  <c r="N1381" i="6"/>
  <c r="N169" i="6"/>
  <c r="L169" i="6" s="1"/>
  <c r="N619" i="6"/>
  <c r="N962" i="6"/>
  <c r="N32" i="6"/>
  <c r="N93" i="6"/>
  <c r="N142" i="6"/>
  <c r="L142" i="6" s="1"/>
  <c r="N188" i="6"/>
  <c r="L188" i="6" s="1"/>
  <c r="N231" i="6"/>
  <c r="L231" i="6" s="1"/>
  <c r="N271" i="6"/>
  <c r="L271" i="6" s="1"/>
  <c r="N305" i="6"/>
  <c r="L305" i="6" s="1"/>
  <c r="N339" i="6"/>
  <c r="L339" i="6" s="1"/>
  <c r="N380" i="6"/>
  <c r="L380" i="6" s="1"/>
  <c r="N412" i="6"/>
  <c r="N444" i="6"/>
  <c r="N476" i="6"/>
  <c r="N508" i="6"/>
  <c r="N540" i="6"/>
  <c r="N572" i="6"/>
  <c r="N600" i="6"/>
  <c r="N626" i="6"/>
  <c r="N656" i="6"/>
  <c r="N684" i="6"/>
  <c r="N707" i="6"/>
  <c r="N735" i="6"/>
  <c r="N762" i="6"/>
  <c r="N785" i="6"/>
  <c r="N811" i="6"/>
  <c r="N832" i="6"/>
  <c r="N858" i="6"/>
  <c r="N879" i="6"/>
  <c r="N904" i="6"/>
  <c r="N926" i="6"/>
  <c r="N947" i="6"/>
  <c r="N973" i="6"/>
  <c r="N994" i="6"/>
  <c r="N1020" i="6"/>
  <c r="N1041" i="6"/>
  <c r="N1065" i="6"/>
  <c r="N1085" i="6"/>
  <c r="N1105" i="6"/>
  <c r="N1123" i="6"/>
  <c r="N1141" i="6"/>
  <c r="N1158" i="6"/>
  <c r="N1174" i="6"/>
  <c r="N1190" i="6"/>
  <c r="N1206" i="6"/>
  <c r="N1222" i="6"/>
  <c r="N1238" i="6"/>
  <c r="N1254" i="6"/>
  <c r="N1270" i="6"/>
  <c r="N1286" i="6"/>
  <c r="N1302" i="6"/>
  <c r="N1318" i="6"/>
  <c r="N1334" i="6"/>
  <c r="N1350" i="6"/>
  <c r="N1366" i="6"/>
  <c r="N1382" i="6"/>
  <c r="N75" i="6"/>
  <c r="L75" i="6" s="1"/>
  <c r="N496" i="6"/>
  <c r="N847" i="6"/>
  <c r="N1055" i="6"/>
  <c r="N1184" i="6"/>
  <c r="N1296" i="6"/>
  <c r="N1360" i="6"/>
  <c r="N174" i="6"/>
  <c r="L174" i="6" s="1"/>
  <c r="N42" i="6"/>
  <c r="L42" i="6" s="1"/>
  <c r="N96" i="6"/>
  <c r="L96" i="6" s="1"/>
  <c r="N143" i="6"/>
  <c r="L143" i="6" s="1"/>
  <c r="N189" i="6"/>
  <c r="L189" i="6" s="1"/>
  <c r="N235" i="6"/>
  <c r="L235" i="6" s="1"/>
  <c r="N272" i="6"/>
  <c r="L272" i="6" s="1"/>
  <c r="N306" i="6"/>
  <c r="L306" i="6" s="1"/>
  <c r="N344" i="6"/>
  <c r="L344" i="6" s="1"/>
  <c r="N383" i="6"/>
  <c r="N415" i="6"/>
  <c r="L415" i="6" s="1"/>
  <c r="N447" i="6"/>
  <c r="L447" i="6" s="1"/>
  <c r="N479" i="6"/>
  <c r="N511" i="6"/>
  <c r="N543" i="6"/>
  <c r="N574" i="6"/>
  <c r="N603" i="6"/>
  <c r="N627" i="6"/>
  <c r="N657" i="6"/>
  <c r="N686" i="6"/>
  <c r="N712" i="6"/>
  <c r="N736" i="6"/>
  <c r="N763" i="6"/>
  <c r="N786" i="6"/>
  <c r="N812" i="6"/>
  <c r="N833" i="6"/>
  <c r="N859" i="6"/>
  <c r="N880" i="6"/>
  <c r="N906" i="6"/>
  <c r="N927" i="6"/>
  <c r="N952" i="6"/>
  <c r="N974" i="6"/>
  <c r="N995" i="6"/>
  <c r="N1021" i="6"/>
  <c r="N1042" i="6"/>
  <c r="N1066" i="6"/>
  <c r="N1086" i="6"/>
  <c r="N1106" i="6"/>
  <c r="N1125" i="6"/>
  <c r="N1142" i="6"/>
  <c r="N1159" i="6"/>
  <c r="N1175" i="6"/>
  <c r="N1191" i="6"/>
  <c r="N1207" i="6"/>
  <c r="N1223" i="6"/>
  <c r="N1239" i="6"/>
  <c r="N1255" i="6"/>
  <c r="N1271" i="6"/>
  <c r="N1287" i="6"/>
  <c r="N1303" i="6"/>
  <c r="N1319" i="6"/>
  <c r="N1335" i="6"/>
  <c r="N1351" i="6"/>
  <c r="N1367" i="6"/>
  <c r="N1383" i="6"/>
  <c r="N46" i="6"/>
  <c r="L46" i="6" s="1"/>
  <c r="N101" i="6"/>
  <c r="L101" i="6" s="1"/>
  <c r="N144" i="6"/>
  <c r="L144" i="6" s="1"/>
  <c r="N197" i="6"/>
  <c r="L197" i="6" s="1"/>
  <c r="N238" i="6"/>
  <c r="L238" i="6" s="1"/>
  <c r="N273" i="6"/>
  <c r="L273" i="6" s="1"/>
  <c r="N307" i="6"/>
  <c r="L307" i="6" s="1"/>
  <c r="N348" i="6"/>
  <c r="L348" i="6" s="1"/>
  <c r="N384" i="6"/>
  <c r="N416" i="6"/>
  <c r="L416" i="6" s="1"/>
  <c r="N448" i="6"/>
  <c r="L448" i="6" s="1"/>
  <c r="N480" i="6"/>
  <c r="N512" i="6"/>
  <c r="N544" i="6"/>
  <c r="N575" i="6"/>
  <c r="N604" i="6"/>
  <c r="N632" i="6"/>
  <c r="N658" i="6"/>
  <c r="N687" i="6"/>
  <c r="N714" i="6"/>
  <c r="N737" i="6"/>
  <c r="N764" i="6"/>
  <c r="N787" i="6"/>
  <c r="N813" i="6"/>
  <c r="N834" i="6"/>
  <c r="N860" i="6"/>
  <c r="N881" i="6"/>
  <c r="N907" i="6"/>
  <c r="N928" i="6"/>
  <c r="N954" i="6"/>
  <c r="N975" i="6"/>
  <c r="N1000" i="6"/>
  <c r="N1022" i="6"/>
  <c r="N1043" i="6"/>
  <c r="N1067" i="6"/>
  <c r="N1087" i="6"/>
  <c r="N1107" i="6"/>
  <c r="N1126" i="6"/>
  <c r="N1143" i="6"/>
  <c r="N1160" i="6"/>
  <c r="N1176" i="6"/>
  <c r="N1192" i="6"/>
  <c r="N1208" i="6"/>
  <c r="N1224" i="6"/>
  <c r="N1240" i="6"/>
  <c r="N1256" i="6"/>
  <c r="N1272" i="6"/>
  <c r="N1288" i="6"/>
  <c r="N1304" i="6"/>
  <c r="N1320" i="6"/>
  <c r="N1336" i="6"/>
  <c r="N1352" i="6"/>
  <c r="N1368" i="6"/>
  <c r="N1384" i="6"/>
  <c r="N464" i="6"/>
  <c r="N872" i="6"/>
  <c r="N1312" i="6"/>
  <c r="N76" i="6"/>
  <c r="L76" i="6" s="1"/>
  <c r="N124" i="6"/>
  <c r="L124" i="6" s="1"/>
  <c r="N53" i="6"/>
  <c r="L53" i="6" s="1"/>
  <c r="N103" i="6"/>
  <c r="N149" i="6"/>
  <c r="N201" i="6"/>
  <c r="L201" i="6" s="1"/>
  <c r="N239" i="6"/>
  <c r="L239" i="6" s="1"/>
  <c r="N274" i="6"/>
  <c r="N312" i="6"/>
  <c r="L312" i="6" s="1"/>
  <c r="N351" i="6"/>
  <c r="L351" i="6" s="1"/>
  <c r="N385" i="6"/>
  <c r="L385" i="6" s="1"/>
  <c r="N417" i="6"/>
  <c r="N449" i="6"/>
  <c r="N481" i="6"/>
  <c r="N513" i="6"/>
  <c r="N545" i="6"/>
  <c r="N576" i="6"/>
  <c r="N606" i="6"/>
  <c r="N635" i="6"/>
  <c r="N659" i="6"/>
  <c r="N688" i="6"/>
  <c r="N715" i="6"/>
  <c r="N738" i="6"/>
  <c r="N766" i="6"/>
  <c r="N792" i="6"/>
  <c r="N814" i="6"/>
  <c r="N835" i="6"/>
  <c r="N861" i="6"/>
  <c r="N882" i="6"/>
  <c r="N908" i="6"/>
  <c r="N929" i="6"/>
  <c r="N955" i="6"/>
  <c r="N976" i="6"/>
  <c r="N1002" i="6"/>
  <c r="N1023" i="6"/>
  <c r="N1048" i="6"/>
  <c r="N1068" i="6"/>
  <c r="N1088" i="6"/>
  <c r="N1110" i="6"/>
  <c r="N1127" i="6"/>
  <c r="N1144" i="6"/>
  <c r="N1161" i="6"/>
  <c r="N1177" i="6"/>
  <c r="N1193" i="6"/>
  <c r="N1209" i="6"/>
  <c r="N1225" i="6"/>
  <c r="N1241" i="6"/>
  <c r="N1257" i="6"/>
  <c r="N1273" i="6"/>
  <c r="N1289" i="6"/>
  <c r="N1305" i="6"/>
  <c r="N1321" i="6"/>
  <c r="N1337" i="6"/>
  <c r="N1353" i="6"/>
  <c r="N1369" i="6"/>
  <c r="N1385" i="6"/>
  <c r="N1232" i="6"/>
  <c r="N55" i="6"/>
  <c r="L55" i="6" s="1"/>
  <c r="N104" i="6"/>
  <c r="L104" i="6" s="1"/>
  <c r="N154" i="6"/>
  <c r="L154" i="6" s="1"/>
  <c r="N204" i="6"/>
  <c r="L204" i="6" s="1"/>
  <c r="N240" i="6"/>
  <c r="L240" i="6" s="1"/>
  <c r="N275" i="6"/>
  <c r="L275" i="6" s="1"/>
  <c r="N316" i="6"/>
  <c r="L316" i="6" s="1"/>
  <c r="N352" i="6"/>
  <c r="L352" i="6" s="1"/>
  <c r="N386" i="6"/>
  <c r="N418" i="6"/>
  <c r="L418" i="6" s="1"/>
  <c r="N450" i="6"/>
  <c r="N482" i="6"/>
  <c r="N514" i="6"/>
  <c r="N546" i="6"/>
  <c r="N577" i="6"/>
  <c r="N607" i="6"/>
  <c r="N636" i="6"/>
  <c r="N664" i="6"/>
  <c r="N689" i="6"/>
  <c r="N716" i="6"/>
  <c r="N739" i="6"/>
  <c r="N767" i="6"/>
  <c r="N794" i="6"/>
  <c r="N815" i="6"/>
  <c r="N840" i="6"/>
  <c r="N862" i="6"/>
  <c r="N883" i="6"/>
  <c r="N909" i="6"/>
  <c r="N930" i="6"/>
  <c r="N956" i="6"/>
  <c r="N977" i="6"/>
  <c r="N1003" i="6"/>
  <c r="N1024" i="6"/>
  <c r="N1049" i="6"/>
  <c r="N1069" i="6"/>
  <c r="N1089" i="6"/>
  <c r="N1111" i="6"/>
  <c r="N1128" i="6"/>
  <c r="N1145" i="6"/>
  <c r="N1162" i="6"/>
  <c r="N1178" i="6"/>
  <c r="N1194" i="6"/>
  <c r="N1210" i="6"/>
  <c r="N1226" i="6"/>
  <c r="N1242" i="6"/>
  <c r="N1258" i="6"/>
  <c r="N1274" i="6"/>
  <c r="N1290" i="6"/>
  <c r="N1306" i="6"/>
  <c r="N1322" i="6"/>
  <c r="N1338" i="6"/>
  <c r="N1354" i="6"/>
  <c r="N1370" i="6"/>
  <c r="N1386" i="6"/>
  <c r="N1200" i="6"/>
  <c r="N7" i="6"/>
  <c r="L7" i="6" s="1"/>
  <c r="N56" i="6"/>
  <c r="L56" i="6" s="1"/>
  <c r="N105" i="6"/>
  <c r="L105" i="6" s="1"/>
  <c r="N158" i="6"/>
  <c r="N205" i="6"/>
  <c r="N242" i="6"/>
  <c r="L242" i="6" s="1"/>
  <c r="N280" i="6"/>
  <c r="N319" i="6"/>
  <c r="L319" i="6" s="1"/>
  <c r="N353" i="6"/>
  <c r="L353" i="6" s="1"/>
  <c r="N387" i="6"/>
  <c r="N419" i="6"/>
  <c r="N451" i="6"/>
  <c r="L451" i="6" s="1"/>
  <c r="N483" i="6"/>
  <c r="N515" i="6"/>
  <c r="N547" i="6"/>
  <c r="N578" i="6"/>
  <c r="N608" i="6"/>
  <c r="N638" i="6"/>
  <c r="N667" i="6"/>
  <c r="N690" i="6"/>
  <c r="N718" i="6"/>
  <c r="N744" i="6"/>
  <c r="N768" i="6"/>
  <c r="N795" i="6"/>
  <c r="N816" i="6"/>
  <c r="N842" i="6"/>
  <c r="N863" i="6"/>
  <c r="N888" i="6"/>
  <c r="N910" i="6"/>
  <c r="N931" i="6"/>
  <c r="N957" i="6"/>
  <c r="N978" i="6"/>
  <c r="N1004" i="6"/>
  <c r="N1025" i="6"/>
  <c r="N1050" i="6"/>
  <c r="N1070" i="6"/>
  <c r="N1090" i="6"/>
  <c r="N1112" i="6"/>
  <c r="N1129" i="6"/>
  <c r="N1146" i="6"/>
  <c r="N1163" i="6"/>
  <c r="N1179" i="6"/>
  <c r="N1195" i="6"/>
  <c r="N1211" i="6"/>
  <c r="N1227" i="6"/>
  <c r="N1243" i="6"/>
  <c r="N1259" i="6"/>
  <c r="N1275" i="6"/>
  <c r="N1291" i="6"/>
  <c r="N1307" i="6"/>
  <c r="N1323" i="6"/>
  <c r="N1339" i="6"/>
  <c r="N1355" i="6"/>
  <c r="N1371" i="6"/>
  <c r="N8" i="6"/>
  <c r="L8" i="6" s="1"/>
  <c r="N57" i="6"/>
  <c r="L57" i="6" s="1"/>
  <c r="N110" i="6"/>
  <c r="L110" i="6" s="1"/>
  <c r="N165" i="6"/>
  <c r="L165" i="6" s="1"/>
  <c r="N206" i="6"/>
  <c r="L206" i="6" s="1"/>
  <c r="N243" i="6"/>
  <c r="L243" i="6" s="1"/>
  <c r="N284" i="6"/>
  <c r="L284" i="6" s="1"/>
  <c r="N320" i="6"/>
  <c r="L320" i="6" s="1"/>
  <c r="N354" i="6"/>
  <c r="L354" i="6" s="1"/>
  <c r="N392" i="6"/>
  <c r="N424" i="6"/>
  <c r="L424" i="6" s="1"/>
  <c r="N456" i="6"/>
  <c r="L456" i="6" s="1"/>
  <c r="N488" i="6"/>
  <c r="N520" i="6"/>
  <c r="N552" i="6"/>
  <c r="N579" i="6"/>
  <c r="N609" i="6"/>
  <c r="N639" i="6"/>
  <c r="N668" i="6"/>
  <c r="N691" i="6"/>
  <c r="N719" i="6"/>
  <c r="N746" i="6"/>
  <c r="N769" i="6"/>
  <c r="N796" i="6"/>
  <c r="N817" i="6"/>
  <c r="N843" i="6"/>
  <c r="N864" i="6"/>
  <c r="N890" i="6"/>
  <c r="N911" i="6"/>
  <c r="N936" i="6"/>
  <c r="N958" i="6"/>
  <c r="N979" i="6"/>
  <c r="N1005" i="6"/>
  <c r="N1026" i="6"/>
  <c r="N1051" i="6"/>
  <c r="N1071" i="6"/>
  <c r="N1091" i="6"/>
  <c r="N1113" i="6"/>
  <c r="N1130" i="6"/>
  <c r="N1147" i="6"/>
  <c r="N1164" i="6"/>
  <c r="N1180" i="6"/>
  <c r="N1196" i="6"/>
  <c r="N1212" i="6"/>
  <c r="N1228" i="6"/>
  <c r="N1244" i="6"/>
  <c r="N1260" i="6"/>
  <c r="N1276" i="6"/>
  <c r="N1292" i="6"/>
  <c r="N1308" i="6"/>
  <c r="N1324" i="6"/>
  <c r="N1340" i="6"/>
  <c r="N1356" i="6"/>
  <c r="N1372" i="6"/>
  <c r="N16" i="6"/>
  <c r="L16" i="6" s="1"/>
  <c r="N560" i="6"/>
  <c r="N894" i="6"/>
  <c r="N1099" i="6"/>
  <c r="N1216" i="6"/>
  <c r="N1328" i="6"/>
  <c r="N25" i="6"/>
  <c r="L25" i="6" s="1"/>
  <c r="N9" i="6"/>
  <c r="L9" i="6" s="1"/>
  <c r="N58" i="6"/>
  <c r="L58" i="6" s="1"/>
  <c r="N118" i="6"/>
  <c r="L118" i="6" s="1"/>
  <c r="N166" i="6"/>
  <c r="N207" i="6"/>
  <c r="L207" i="6" s="1"/>
  <c r="N248" i="6"/>
  <c r="L248" i="6" s="1"/>
  <c r="N287" i="6"/>
  <c r="L287" i="6" s="1"/>
  <c r="N321" i="6"/>
  <c r="L321" i="6" s="1"/>
  <c r="N355" i="6"/>
  <c r="L355" i="6" s="1"/>
  <c r="N395" i="6"/>
  <c r="N427" i="6"/>
  <c r="N459" i="6"/>
  <c r="N491" i="6"/>
  <c r="N523" i="6"/>
  <c r="N555" i="6"/>
  <c r="N584" i="6"/>
  <c r="N610" i="6"/>
  <c r="N640" i="6"/>
  <c r="N670" i="6"/>
  <c r="N696" i="6"/>
  <c r="N720" i="6"/>
  <c r="N747" i="6"/>
  <c r="N770" i="6"/>
  <c r="N797" i="6"/>
  <c r="N818" i="6"/>
  <c r="N844" i="6"/>
  <c r="N865" i="6"/>
  <c r="N891" i="6"/>
  <c r="N912" i="6"/>
  <c r="N938" i="6"/>
  <c r="N959" i="6"/>
  <c r="N984" i="6"/>
  <c r="N1006" i="6"/>
  <c r="N1027" i="6"/>
  <c r="N1052" i="6"/>
  <c r="N1072" i="6"/>
  <c r="N1096" i="6"/>
  <c r="N1114" i="6"/>
  <c r="N1131" i="6"/>
  <c r="N1148" i="6"/>
  <c r="N1165" i="6"/>
  <c r="N1181" i="6"/>
  <c r="N1197" i="6"/>
  <c r="N1213" i="6"/>
  <c r="N1229" i="6"/>
  <c r="N1245" i="6"/>
  <c r="N1261" i="6"/>
  <c r="N1277" i="6"/>
  <c r="N1293" i="6"/>
  <c r="N1309" i="6"/>
  <c r="N1325" i="6"/>
  <c r="N1341" i="6"/>
  <c r="N1357" i="6"/>
  <c r="N1373" i="6"/>
  <c r="N1264" i="6"/>
  <c r="N10" i="6"/>
  <c r="L10" i="6" s="1"/>
  <c r="N63" i="6"/>
  <c r="L63" i="6" s="1"/>
  <c r="N121" i="6"/>
  <c r="L121" i="6" s="1"/>
  <c r="N167" i="6"/>
  <c r="L167" i="6" s="1"/>
  <c r="N208" i="6"/>
  <c r="L208" i="6" s="1"/>
  <c r="N252" i="6"/>
  <c r="L252" i="6" s="1"/>
  <c r="N288" i="6"/>
  <c r="L288" i="6" s="1"/>
  <c r="N322" i="6"/>
  <c r="L322" i="6" s="1"/>
  <c r="N360" i="6"/>
  <c r="L360" i="6" s="1"/>
  <c r="N396" i="6"/>
  <c r="N428" i="6"/>
  <c r="N460" i="6"/>
  <c r="N492" i="6"/>
  <c r="N524" i="6"/>
  <c r="N556" i="6"/>
  <c r="N587" i="6"/>
  <c r="N611" i="6"/>
  <c r="N641" i="6"/>
  <c r="N671" i="6"/>
  <c r="N698" i="6"/>
  <c r="N721" i="6"/>
  <c r="N748" i="6"/>
  <c r="N771" i="6"/>
  <c r="N798" i="6"/>
  <c r="N819" i="6"/>
  <c r="N845" i="6"/>
  <c r="N866" i="6"/>
  <c r="N892" i="6"/>
  <c r="N913" i="6"/>
  <c r="N939" i="6"/>
  <c r="N960" i="6"/>
  <c r="N986" i="6"/>
  <c r="N1007" i="6"/>
  <c r="N1032" i="6"/>
  <c r="N1053" i="6"/>
  <c r="N1073" i="6"/>
  <c r="N1097" i="6"/>
  <c r="N1115" i="6"/>
  <c r="N1132" i="6"/>
  <c r="N1149" i="6"/>
  <c r="N1166" i="6"/>
  <c r="N1182" i="6"/>
  <c r="N1198" i="6"/>
  <c r="N1214" i="6"/>
  <c r="N1230" i="6"/>
  <c r="N1246" i="6"/>
  <c r="N1262" i="6"/>
  <c r="N1278" i="6"/>
  <c r="N1294" i="6"/>
  <c r="N1310" i="6"/>
  <c r="N1326" i="6"/>
  <c r="N1342" i="6"/>
  <c r="N1358" i="6"/>
  <c r="N1374" i="6"/>
  <c r="N218" i="6"/>
  <c r="L218" i="6" s="1"/>
  <c r="N400" i="6"/>
  <c r="L400" i="6" s="1"/>
  <c r="N643" i="6"/>
  <c r="N778" i="6"/>
  <c r="N941" i="6"/>
  <c r="N1035" i="6"/>
  <c r="N1117" i="6"/>
  <c r="N1280" i="6"/>
  <c r="N1376" i="6"/>
  <c r="N11" i="6"/>
  <c r="L11" i="6" s="1"/>
  <c r="N72" i="6"/>
  <c r="L72" i="6" s="1"/>
  <c r="N122" i="6"/>
  <c r="L122" i="6" s="1"/>
  <c r="N168" i="6"/>
  <c r="L168" i="6" s="1"/>
  <c r="N214" i="6"/>
  <c r="L214" i="6" s="1"/>
  <c r="N255" i="6"/>
  <c r="L255" i="6" s="1"/>
  <c r="N289" i="6"/>
  <c r="L289" i="6" s="1"/>
  <c r="N323" i="6"/>
  <c r="L323" i="6" s="1"/>
  <c r="N364" i="6"/>
  <c r="L364" i="6" s="1"/>
  <c r="N399" i="6"/>
  <c r="L399" i="6" s="1"/>
  <c r="N431" i="6"/>
  <c r="N463" i="6"/>
  <c r="N495" i="6"/>
  <c r="N527" i="6"/>
  <c r="N559" i="6"/>
  <c r="N588" i="6"/>
  <c r="N616" i="6"/>
  <c r="N642" i="6"/>
  <c r="N672" i="6"/>
  <c r="N699" i="6"/>
  <c r="N722" i="6"/>
  <c r="N750" i="6"/>
  <c r="N776" i="6"/>
  <c r="N799" i="6"/>
  <c r="N824" i="6"/>
  <c r="N846" i="6"/>
  <c r="N867" i="6"/>
  <c r="N893" i="6"/>
  <c r="N914" i="6"/>
  <c r="N940" i="6"/>
  <c r="N961" i="6"/>
  <c r="N987" i="6"/>
  <c r="N1008" i="6"/>
  <c r="N1034" i="6"/>
  <c r="N1054" i="6"/>
  <c r="N1074" i="6"/>
  <c r="N1098" i="6"/>
  <c r="N1116" i="6"/>
  <c r="N1133" i="6"/>
  <c r="N1150" i="6"/>
  <c r="N1167" i="6"/>
  <c r="N1183" i="6"/>
  <c r="N1199" i="6"/>
  <c r="N1215" i="6"/>
  <c r="N1231" i="6"/>
  <c r="N1247" i="6"/>
  <c r="N1263" i="6"/>
  <c r="N1279" i="6"/>
  <c r="N1295" i="6"/>
  <c r="N1311" i="6"/>
  <c r="N1327" i="6"/>
  <c r="N1343" i="6"/>
  <c r="N1359" i="6"/>
  <c r="N1375" i="6"/>
  <c r="N123" i="6"/>
  <c r="L123" i="6" s="1"/>
  <c r="N256" i="6"/>
  <c r="L256" i="6" s="1"/>
  <c r="N290" i="6"/>
  <c r="L290" i="6" s="1"/>
  <c r="N328" i="6"/>
  <c r="L328" i="6" s="1"/>
  <c r="N367" i="6"/>
  <c r="N432" i="6"/>
  <c r="N528" i="6"/>
  <c r="N590" i="6"/>
  <c r="N673" i="6"/>
  <c r="N700" i="6"/>
  <c r="N723" i="6"/>
  <c r="N751" i="6"/>
  <c r="N800" i="6"/>
  <c r="N826" i="6"/>
  <c r="N915" i="6"/>
  <c r="N988" i="6"/>
  <c r="N1009" i="6"/>
  <c r="N1075" i="6"/>
  <c r="N1134" i="6"/>
  <c r="N1151" i="6"/>
  <c r="N1168" i="6"/>
  <c r="N1248" i="6"/>
  <c r="N1344" i="6"/>
  <c r="N78" i="6"/>
  <c r="L78" i="6" s="1"/>
  <c r="N291" i="6"/>
  <c r="L291" i="6" s="1"/>
  <c r="N433" i="6"/>
  <c r="N561" i="6"/>
  <c r="N674" i="6"/>
  <c r="N779" i="6"/>
  <c r="N874" i="6"/>
  <c r="N963" i="6"/>
  <c r="N1056" i="6"/>
  <c r="N1135" i="6"/>
  <c r="N1201" i="6"/>
  <c r="N1265" i="6"/>
  <c r="N1329" i="6"/>
  <c r="N1314" i="6"/>
  <c r="N403" i="6"/>
  <c r="N264" i="6"/>
  <c r="L264" i="6" s="1"/>
  <c r="N1380" i="6"/>
  <c r="N79" i="6"/>
  <c r="L79" i="6" s="1"/>
  <c r="N296" i="6"/>
  <c r="L296" i="6" s="1"/>
  <c r="N434" i="6"/>
  <c r="N562" i="6"/>
  <c r="N675" i="6"/>
  <c r="N780" i="6"/>
  <c r="N875" i="6"/>
  <c r="N968" i="6"/>
  <c r="N1057" i="6"/>
  <c r="N1136" i="6"/>
  <c r="N1202" i="6"/>
  <c r="N1266" i="6"/>
  <c r="N1330" i="6"/>
  <c r="N1218" i="6"/>
  <c r="N651" i="6"/>
  <c r="N654" i="6"/>
  <c r="N1039" i="6"/>
  <c r="N125" i="6"/>
  <c r="L125" i="6" s="1"/>
  <c r="N300" i="6"/>
  <c r="L300" i="6" s="1"/>
  <c r="N435" i="6"/>
  <c r="L435" i="6" s="1"/>
  <c r="N563" i="6"/>
  <c r="N680" i="6"/>
  <c r="N782" i="6"/>
  <c r="N876" i="6"/>
  <c r="N970" i="6"/>
  <c r="N1058" i="6"/>
  <c r="N1137" i="6"/>
  <c r="N1203" i="6"/>
  <c r="N1267" i="6"/>
  <c r="N1331" i="6"/>
  <c r="N1346" i="6"/>
  <c r="N402" i="6"/>
  <c r="N1315" i="6"/>
  <c r="N134" i="6"/>
  <c r="L134" i="6" s="1"/>
  <c r="N303" i="6"/>
  <c r="L303" i="6" s="1"/>
  <c r="N440" i="6"/>
  <c r="L440" i="6" s="1"/>
  <c r="N568" i="6"/>
  <c r="N682" i="6"/>
  <c r="N783" i="6"/>
  <c r="N877" i="6"/>
  <c r="N971" i="6"/>
  <c r="N1059" i="6"/>
  <c r="N1138" i="6"/>
  <c r="N1204" i="6"/>
  <c r="N1268" i="6"/>
  <c r="N1332" i="6"/>
  <c r="N1282" i="6"/>
  <c r="N753" i="6"/>
  <c r="N851" i="6"/>
  <c r="N1188" i="6"/>
  <c r="N138" i="6"/>
  <c r="L138" i="6" s="1"/>
  <c r="N332" i="6"/>
  <c r="L332" i="6" s="1"/>
  <c r="N465" i="6"/>
  <c r="L465" i="6" s="1"/>
  <c r="N591" i="6"/>
  <c r="N702" i="6"/>
  <c r="N801" i="6"/>
  <c r="N895" i="6"/>
  <c r="N989" i="6"/>
  <c r="N1080" i="6"/>
  <c r="N1152" i="6"/>
  <c r="N1217" i="6"/>
  <c r="N1281" i="6"/>
  <c r="N1345" i="6"/>
  <c r="N754" i="6"/>
  <c r="N1379" i="6"/>
  <c r="N182" i="6"/>
  <c r="L182" i="6" s="1"/>
  <c r="N335" i="6"/>
  <c r="L335" i="6" s="1"/>
  <c r="N466" i="6"/>
  <c r="L466" i="6" s="1"/>
  <c r="N592" i="6"/>
  <c r="N703" i="6"/>
  <c r="N802" i="6"/>
  <c r="N896" i="6"/>
  <c r="N990" i="6"/>
  <c r="N1081" i="6"/>
  <c r="N1153" i="6"/>
  <c r="N1155" i="6"/>
  <c r="N29" i="6"/>
  <c r="L29" i="6" s="1"/>
  <c r="N850" i="6"/>
  <c r="N185" i="6"/>
  <c r="L185" i="6" s="1"/>
  <c r="N336" i="6"/>
  <c r="L336" i="6" s="1"/>
  <c r="N467" i="6"/>
  <c r="N593" i="6"/>
  <c r="N704" i="6"/>
  <c r="N803" i="6"/>
  <c r="N897" i="6"/>
  <c r="N991" i="6"/>
  <c r="N1082" i="6"/>
  <c r="N1154" i="6"/>
  <c r="N1219" i="6"/>
  <c r="N1283" i="6"/>
  <c r="N1347" i="6"/>
  <c r="N1220" i="6"/>
  <c r="N258" i="6"/>
  <c r="L258" i="6" s="1"/>
  <c r="N652" i="6"/>
  <c r="N1187" i="6"/>
  <c r="N1121" i="6"/>
  <c r="N186" i="6"/>
  <c r="L186" i="6" s="1"/>
  <c r="N337" i="6"/>
  <c r="L337" i="6" s="1"/>
  <c r="N472" i="6"/>
  <c r="N594" i="6"/>
  <c r="N705" i="6"/>
  <c r="N808" i="6"/>
  <c r="N898" i="6"/>
  <c r="N992" i="6"/>
  <c r="N1083" i="6"/>
  <c r="N1284" i="6"/>
  <c r="N1348" i="6"/>
  <c r="N530" i="6"/>
  <c r="N536" i="6"/>
  <c r="N945" i="6"/>
  <c r="N221" i="6"/>
  <c r="L221" i="6" s="1"/>
  <c r="N368" i="6"/>
  <c r="N497" i="6"/>
  <c r="N620" i="6"/>
  <c r="N728" i="6"/>
  <c r="N827" i="6"/>
  <c r="N920" i="6"/>
  <c r="N1010" i="6"/>
  <c r="N1100" i="6"/>
  <c r="N1169" i="6"/>
  <c r="N1233" i="6"/>
  <c r="N1297" i="6"/>
  <c r="N1361" i="6"/>
  <c r="N849" i="6"/>
  <c r="N755" i="6"/>
  <c r="N1252" i="6"/>
  <c r="N222" i="6"/>
  <c r="L222" i="6" s="1"/>
  <c r="N369" i="6"/>
  <c r="N498" i="6"/>
  <c r="N622" i="6"/>
  <c r="N730" i="6"/>
  <c r="N828" i="6"/>
  <c r="N922" i="6"/>
  <c r="N1011" i="6"/>
  <c r="N1101" i="6"/>
  <c r="N1170" i="6"/>
  <c r="N1234" i="6"/>
  <c r="N1298" i="6"/>
  <c r="N1362" i="6"/>
  <c r="N944" i="6"/>
  <c r="N223" i="6"/>
  <c r="L223" i="6" s="1"/>
  <c r="N370" i="6"/>
  <c r="N499" i="6"/>
  <c r="N623" i="6"/>
  <c r="N731" i="6"/>
  <c r="N829" i="6"/>
  <c r="N923" i="6"/>
  <c r="N1016" i="6"/>
  <c r="N1102" i="6"/>
  <c r="N1171" i="6"/>
  <c r="N1235" i="6"/>
  <c r="N1299" i="6"/>
  <c r="N1363" i="6"/>
  <c r="N224" i="6"/>
  <c r="L224" i="6" s="1"/>
  <c r="N371" i="6"/>
  <c r="L371" i="6" s="1"/>
  <c r="N624" i="6"/>
  <c r="N732" i="6"/>
  <c r="N830" i="6"/>
  <c r="N924" i="6"/>
  <c r="N1018" i="6"/>
  <c r="N1172" i="6"/>
  <c r="N1236" i="6"/>
  <c r="N1300" i="6"/>
  <c r="N1364" i="6"/>
  <c r="N1186" i="6"/>
  <c r="N259" i="6"/>
  <c r="L259" i="6" s="1"/>
  <c r="N1038" i="6"/>
  <c r="N77" i="6"/>
  <c r="L77" i="6" s="1"/>
  <c r="N504" i="6"/>
  <c r="N1103" i="6"/>
  <c r="N1250" i="6"/>
  <c r="N531" i="6"/>
  <c r="N1251" i="6"/>
  <c r="N408" i="6"/>
  <c r="N28" i="6"/>
  <c r="L28" i="6" s="1"/>
  <c r="N257" i="6"/>
  <c r="L257" i="6" s="1"/>
  <c r="N401" i="6"/>
  <c r="N529" i="6"/>
  <c r="N648" i="6"/>
  <c r="N752" i="6"/>
  <c r="N848" i="6"/>
  <c r="N942" i="6"/>
  <c r="N1036" i="6"/>
  <c r="N1118" i="6"/>
  <c r="N1185" i="6"/>
  <c r="N1249" i="6"/>
  <c r="N1313" i="6"/>
  <c r="N1377" i="6"/>
  <c r="N943" i="6"/>
  <c r="N1037" i="6"/>
  <c r="N1119" i="6"/>
  <c r="N1378" i="6"/>
  <c r="N30" i="6"/>
  <c r="L30" i="6" s="1"/>
  <c r="N1120" i="6"/>
  <c r="N1316" i="6"/>
  <c r="W4" i="6"/>
  <c r="W20" i="6"/>
  <c r="W36" i="6"/>
  <c r="W52" i="6"/>
  <c r="W68" i="6"/>
  <c r="W84" i="6"/>
  <c r="W100" i="6"/>
  <c r="W116" i="6"/>
  <c r="W132" i="6"/>
  <c r="W148" i="6"/>
  <c r="W164" i="6"/>
  <c r="W180" i="6"/>
  <c r="W196" i="6"/>
  <c r="W212" i="6"/>
  <c r="W228" i="6"/>
  <c r="W244" i="6"/>
  <c r="W260" i="6"/>
  <c r="W276" i="6"/>
  <c r="W292" i="6"/>
  <c r="W308" i="6"/>
  <c r="W324" i="6"/>
  <c r="W340" i="6"/>
  <c r="W356" i="6"/>
  <c r="W372" i="6"/>
  <c r="W388" i="6"/>
  <c r="W404" i="6"/>
  <c r="W420" i="6"/>
  <c r="W436" i="6"/>
  <c r="W452" i="6"/>
  <c r="W468" i="6"/>
  <c r="W484" i="6"/>
  <c r="W500" i="6"/>
  <c r="W516" i="6"/>
  <c r="W532" i="6"/>
  <c r="W548" i="6"/>
  <c r="W564" i="6"/>
  <c r="W580" i="6"/>
  <c r="W596" i="6"/>
  <c r="W612" i="6"/>
  <c r="W628" i="6"/>
  <c r="W644" i="6"/>
  <c r="W660" i="6"/>
  <c r="W676" i="6"/>
  <c r="W692" i="6"/>
  <c r="W708" i="6"/>
  <c r="W724" i="6"/>
  <c r="W740" i="6"/>
  <c r="W756" i="6"/>
  <c r="W772" i="6"/>
  <c r="W788" i="6"/>
  <c r="W804" i="6"/>
  <c r="W820" i="6"/>
  <c r="W836" i="6"/>
  <c r="W852" i="6"/>
  <c r="W868" i="6"/>
  <c r="W884" i="6"/>
  <c r="W900" i="6"/>
  <c r="W916" i="6"/>
  <c r="W932" i="6"/>
  <c r="W948" i="6"/>
  <c r="W964" i="6"/>
  <c r="W980" i="6"/>
  <c r="W996" i="6"/>
  <c r="W1012" i="6"/>
  <c r="W1028" i="6"/>
  <c r="W1044" i="6"/>
  <c r="W1060" i="6"/>
  <c r="W1076" i="6"/>
  <c r="W1092" i="6"/>
  <c r="W1108" i="6"/>
  <c r="W1124" i="6"/>
  <c r="W1140" i="6"/>
  <c r="W1156" i="6"/>
  <c r="W1172" i="6"/>
  <c r="W1188" i="6"/>
  <c r="W1204" i="6"/>
  <c r="W1220" i="6"/>
  <c r="W1236" i="6"/>
  <c r="W1252" i="6"/>
  <c r="W1268" i="6"/>
  <c r="W1284" i="6"/>
  <c r="W1300" i="6"/>
  <c r="W1316" i="6"/>
  <c r="W1332" i="6"/>
  <c r="W1348" i="6"/>
  <c r="W5" i="6"/>
  <c r="W21" i="6"/>
  <c r="W37" i="6"/>
  <c r="W53" i="6"/>
  <c r="W69" i="6"/>
  <c r="W85" i="6"/>
  <c r="W101" i="6"/>
  <c r="W117" i="6"/>
  <c r="W133" i="6"/>
  <c r="W149" i="6"/>
  <c r="W165" i="6"/>
  <c r="W181" i="6"/>
  <c r="W197" i="6"/>
  <c r="W213" i="6"/>
  <c r="W229" i="6"/>
  <c r="W245" i="6"/>
  <c r="W261" i="6"/>
  <c r="W277" i="6"/>
  <c r="W293" i="6"/>
  <c r="W309" i="6"/>
  <c r="W325" i="6"/>
  <c r="W341" i="6"/>
  <c r="W357" i="6"/>
  <c r="W373" i="6"/>
  <c r="W389" i="6"/>
  <c r="W405" i="6"/>
  <c r="W421" i="6"/>
  <c r="W437" i="6"/>
  <c r="W453" i="6"/>
  <c r="W469" i="6"/>
  <c r="W485" i="6"/>
  <c r="W501" i="6"/>
  <c r="W517" i="6"/>
  <c r="W533" i="6"/>
  <c r="W549" i="6"/>
  <c r="W565" i="6"/>
  <c r="W581" i="6"/>
  <c r="W597" i="6"/>
  <c r="W613" i="6"/>
  <c r="W629" i="6"/>
  <c r="W645" i="6"/>
  <c r="W661" i="6"/>
  <c r="W677" i="6"/>
  <c r="W693" i="6"/>
  <c r="W709" i="6"/>
  <c r="W725" i="6"/>
  <c r="W741" i="6"/>
  <c r="W757" i="6"/>
  <c r="W773" i="6"/>
  <c r="W789" i="6"/>
  <c r="W805" i="6"/>
  <c r="W821" i="6"/>
  <c r="W837" i="6"/>
  <c r="W853" i="6"/>
  <c r="W869" i="6"/>
  <c r="W885" i="6"/>
  <c r="W901" i="6"/>
  <c r="W917" i="6"/>
  <c r="W933" i="6"/>
  <c r="W949" i="6"/>
  <c r="W965" i="6"/>
  <c r="W981" i="6"/>
  <c r="W997" i="6"/>
  <c r="W1013" i="6"/>
  <c r="W1029" i="6"/>
  <c r="W1045" i="6"/>
  <c r="W1061" i="6"/>
  <c r="W1077" i="6"/>
  <c r="W1093" i="6"/>
  <c r="W1109" i="6"/>
  <c r="W1125" i="6"/>
  <c r="W1141" i="6"/>
  <c r="W1157" i="6"/>
  <c r="W1173" i="6"/>
  <c r="W1189" i="6"/>
  <c r="W1205" i="6"/>
  <c r="W1221" i="6"/>
  <c r="W1237" i="6"/>
  <c r="W1253" i="6"/>
  <c r="W1269" i="6"/>
  <c r="W1285" i="6"/>
  <c r="W1301" i="6"/>
  <c r="W1317" i="6"/>
  <c r="W1333" i="6"/>
  <c r="W1349" i="6"/>
  <c r="W6" i="6"/>
  <c r="W22" i="6"/>
  <c r="W38" i="6"/>
  <c r="W54" i="6"/>
  <c r="W70" i="6"/>
  <c r="W86" i="6"/>
  <c r="W102" i="6"/>
  <c r="W118" i="6"/>
  <c r="W134" i="6"/>
  <c r="W150" i="6"/>
  <c r="W166" i="6"/>
  <c r="W182" i="6"/>
  <c r="W198" i="6"/>
  <c r="W214" i="6"/>
  <c r="W230" i="6"/>
  <c r="W246" i="6"/>
  <c r="W262" i="6"/>
  <c r="W278" i="6"/>
  <c r="W294" i="6"/>
  <c r="W310" i="6"/>
  <c r="W326" i="6"/>
  <c r="W342" i="6"/>
  <c r="W358" i="6"/>
  <c r="W374" i="6"/>
  <c r="W390" i="6"/>
  <c r="W406" i="6"/>
  <c r="W422" i="6"/>
  <c r="W438" i="6"/>
  <c r="W454" i="6"/>
  <c r="W470" i="6"/>
  <c r="W486" i="6"/>
  <c r="W502" i="6"/>
  <c r="W518" i="6"/>
  <c r="W534" i="6"/>
  <c r="W550" i="6"/>
  <c r="W566" i="6"/>
  <c r="W582" i="6"/>
  <c r="W598" i="6"/>
  <c r="W614" i="6"/>
  <c r="W630" i="6"/>
  <c r="W646" i="6"/>
  <c r="W662" i="6"/>
  <c r="W678" i="6"/>
  <c r="W694" i="6"/>
  <c r="W710" i="6"/>
  <c r="W726" i="6"/>
  <c r="W742" i="6"/>
  <c r="W758" i="6"/>
  <c r="W774" i="6"/>
  <c r="W790" i="6"/>
  <c r="W806" i="6"/>
  <c r="W822" i="6"/>
  <c r="W838" i="6"/>
  <c r="W854" i="6"/>
  <c r="W870" i="6"/>
  <c r="W886" i="6"/>
  <c r="W902" i="6"/>
  <c r="W918" i="6"/>
  <c r="W934" i="6"/>
  <c r="W950" i="6"/>
  <c r="W966" i="6"/>
  <c r="W982" i="6"/>
  <c r="W998" i="6"/>
  <c r="W1014" i="6"/>
  <c r="W1030" i="6"/>
  <c r="W1046" i="6"/>
  <c r="W1062" i="6"/>
  <c r="W1078" i="6"/>
  <c r="W1094" i="6"/>
  <c r="W1110" i="6"/>
  <c r="W1126" i="6"/>
  <c r="W1142" i="6"/>
  <c r="W1158" i="6"/>
  <c r="W1174" i="6"/>
  <c r="W1190" i="6"/>
  <c r="W1206" i="6"/>
  <c r="W1222" i="6"/>
  <c r="W1238" i="6"/>
  <c r="W1254" i="6"/>
  <c r="W1270" i="6"/>
  <c r="W1286" i="6"/>
  <c r="W1302" i="6"/>
  <c r="W1318" i="6"/>
  <c r="W1334" i="6"/>
  <c r="W1350" i="6"/>
  <c r="W7" i="6"/>
  <c r="W23" i="6"/>
  <c r="W39" i="6"/>
  <c r="W55" i="6"/>
  <c r="W71" i="6"/>
  <c r="W87" i="6"/>
  <c r="W103" i="6"/>
  <c r="W119" i="6"/>
  <c r="W135" i="6"/>
  <c r="W151" i="6"/>
  <c r="W167" i="6"/>
  <c r="W183" i="6"/>
  <c r="W199" i="6"/>
  <c r="W215" i="6"/>
  <c r="W231" i="6"/>
  <c r="W247" i="6"/>
  <c r="W263" i="6"/>
  <c r="W279" i="6"/>
  <c r="W295" i="6"/>
  <c r="W311" i="6"/>
  <c r="W327" i="6"/>
  <c r="W343" i="6"/>
  <c r="W359" i="6"/>
  <c r="W375" i="6"/>
  <c r="W391" i="6"/>
  <c r="W407" i="6"/>
  <c r="W423" i="6"/>
  <c r="W439" i="6"/>
  <c r="W455" i="6"/>
  <c r="W471" i="6"/>
  <c r="W487" i="6"/>
  <c r="W503" i="6"/>
  <c r="W519" i="6"/>
  <c r="W535" i="6"/>
  <c r="W551" i="6"/>
  <c r="W567" i="6"/>
  <c r="W583" i="6"/>
  <c r="W599" i="6"/>
  <c r="W615" i="6"/>
  <c r="W631" i="6"/>
  <c r="W647" i="6"/>
  <c r="W663" i="6"/>
  <c r="W679" i="6"/>
  <c r="W695" i="6"/>
  <c r="W711" i="6"/>
  <c r="W727" i="6"/>
  <c r="W743" i="6"/>
  <c r="W759" i="6"/>
  <c r="W775" i="6"/>
  <c r="W791" i="6"/>
  <c r="W807" i="6"/>
  <c r="W823" i="6"/>
  <c r="W839" i="6"/>
  <c r="W855" i="6"/>
  <c r="W871" i="6"/>
  <c r="W887" i="6"/>
  <c r="W903" i="6"/>
  <c r="W919" i="6"/>
  <c r="W935" i="6"/>
  <c r="W951" i="6"/>
  <c r="W967" i="6"/>
  <c r="W983" i="6"/>
  <c r="W999" i="6"/>
  <c r="W1015" i="6"/>
  <c r="W1031" i="6"/>
  <c r="W1047" i="6"/>
  <c r="W1063" i="6"/>
  <c r="W1079" i="6"/>
  <c r="W1095" i="6"/>
  <c r="W1111" i="6"/>
  <c r="W1127" i="6"/>
  <c r="W1143" i="6"/>
  <c r="W1159" i="6"/>
  <c r="W1175" i="6"/>
  <c r="W1191" i="6"/>
  <c r="W1207" i="6"/>
  <c r="W1223" i="6"/>
  <c r="W1239" i="6"/>
  <c r="W1255" i="6"/>
  <c r="W1271" i="6"/>
  <c r="W1287" i="6"/>
  <c r="W1303" i="6"/>
  <c r="W1319" i="6"/>
  <c r="W1335" i="6"/>
  <c r="W1351" i="6"/>
  <c r="W8" i="6"/>
  <c r="W24" i="6"/>
  <c r="W40" i="6"/>
  <c r="W56" i="6"/>
  <c r="W72" i="6"/>
  <c r="W88" i="6"/>
  <c r="W104" i="6"/>
  <c r="W120" i="6"/>
  <c r="W136" i="6"/>
  <c r="W152" i="6"/>
  <c r="W168" i="6"/>
  <c r="W184" i="6"/>
  <c r="W200" i="6"/>
  <c r="W216" i="6"/>
  <c r="W232" i="6"/>
  <c r="W248" i="6"/>
  <c r="W264" i="6"/>
  <c r="W280" i="6"/>
  <c r="W296" i="6"/>
  <c r="W312" i="6"/>
  <c r="W328" i="6"/>
  <c r="W344" i="6"/>
  <c r="W360" i="6"/>
  <c r="W376" i="6"/>
  <c r="W392" i="6"/>
  <c r="W408" i="6"/>
  <c r="W424" i="6"/>
  <c r="W440" i="6"/>
  <c r="W456" i="6"/>
  <c r="W472" i="6"/>
  <c r="W488" i="6"/>
  <c r="W504" i="6"/>
  <c r="W520" i="6"/>
  <c r="W536" i="6"/>
  <c r="W552" i="6"/>
  <c r="W568" i="6"/>
  <c r="W584" i="6"/>
  <c r="W600" i="6"/>
  <c r="W616" i="6"/>
  <c r="W632" i="6"/>
  <c r="W648" i="6"/>
  <c r="W664" i="6"/>
  <c r="W680" i="6"/>
  <c r="W696" i="6"/>
  <c r="W712" i="6"/>
  <c r="W728" i="6"/>
  <c r="W744" i="6"/>
  <c r="W760" i="6"/>
  <c r="W776" i="6"/>
  <c r="W792" i="6"/>
  <c r="W808" i="6"/>
  <c r="W824" i="6"/>
  <c r="W840" i="6"/>
  <c r="W856" i="6"/>
  <c r="W872" i="6"/>
  <c r="W888" i="6"/>
  <c r="W904" i="6"/>
  <c r="W920" i="6"/>
  <c r="W936" i="6"/>
  <c r="W952" i="6"/>
  <c r="W968" i="6"/>
  <c r="W984" i="6"/>
  <c r="W1000" i="6"/>
  <c r="W1016" i="6"/>
  <c r="W1032" i="6"/>
  <c r="W1048" i="6"/>
  <c r="W1064" i="6"/>
  <c r="W1080" i="6"/>
  <c r="W1096" i="6"/>
  <c r="W1112" i="6"/>
  <c r="W1128" i="6"/>
  <c r="W1144" i="6"/>
  <c r="W1160" i="6"/>
  <c r="W1176" i="6"/>
  <c r="W1192" i="6"/>
  <c r="W1208" i="6"/>
  <c r="W1224" i="6"/>
  <c r="W1240" i="6"/>
  <c r="W1256" i="6"/>
  <c r="W1272" i="6"/>
  <c r="W1288" i="6"/>
  <c r="W1304" i="6"/>
  <c r="W1320" i="6"/>
  <c r="W1336" i="6"/>
  <c r="W1352" i="6"/>
  <c r="W9" i="6"/>
  <c r="W10" i="6"/>
  <c r="W26" i="6"/>
  <c r="W42" i="6"/>
  <c r="W58" i="6"/>
  <c r="W74" i="6"/>
  <c r="W90" i="6"/>
  <c r="W106" i="6"/>
  <c r="W122" i="6"/>
  <c r="W138" i="6"/>
  <c r="W154" i="6"/>
  <c r="W170" i="6"/>
  <c r="W186" i="6"/>
  <c r="W202" i="6"/>
  <c r="W218" i="6"/>
  <c r="W234" i="6"/>
  <c r="W250" i="6"/>
  <c r="W266" i="6"/>
  <c r="W282" i="6"/>
  <c r="W298" i="6"/>
  <c r="W314" i="6"/>
  <c r="W330" i="6"/>
  <c r="W346" i="6"/>
  <c r="W362" i="6"/>
  <c r="W378" i="6"/>
  <c r="W394" i="6"/>
  <c r="W410" i="6"/>
  <c r="W11" i="6"/>
  <c r="W33" i="6"/>
  <c r="W61" i="6"/>
  <c r="W83" i="6"/>
  <c r="W111" i="6"/>
  <c r="W139" i="6"/>
  <c r="W161" i="6"/>
  <c r="W189" i="6"/>
  <c r="W211" i="6"/>
  <c r="W239" i="6"/>
  <c r="W267" i="6"/>
  <c r="W289" i="6"/>
  <c r="W317" i="6"/>
  <c r="W339" i="6"/>
  <c r="W367" i="6"/>
  <c r="W395" i="6"/>
  <c r="W417" i="6"/>
  <c r="W443" i="6"/>
  <c r="W464" i="6"/>
  <c r="W490" i="6"/>
  <c r="W511" i="6"/>
  <c r="W537" i="6"/>
  <c r="W558" i="6"/>
  <c r="W579" i="6"/>
  <c r="W605" i="6"/>
  <c r="W626" i="6"/>
  <c r="W652" i="6"/>
  <c r="W673" i="6"/>
  <c r="W699" i="6"/>
  <c r="W720" i="6"/>
  <c r="W746" i="6"/>
  <c r="W767" i="6"/>
  <c r="W793" i="6"/>
  <c r="W814" i="6"/>
  <c r="W835" i="6"/>
  <c r="W861" i="6"/>
  <c r="W882" i="6"/>
  <c r="W908" i="6"/>
  <c r="W929" i="6"/>
  <c r="W955" i="6"/>
  <c r="W976" i="6"/>
  <c r="W1002" i="6"/>
  <c r="W1023" i="6"/>
  <c r="W1049" i="6"/>
  <c r="W1070" i="6"/>
  <c r="W1091" i="6"/>
  <c r="W1117" i="6"/>
  <c r="W1138" i="6"/>
  <c r="W1164" i="6"/>
  <c r="W1185" i="6"/>
  <c r="W1211" i="6"/>
  <c r="W1232" i="6"/>
  <c r="W1258" i="6"/>
  <c r="W1279" i="6"/>
  <c r="W1305" i="6"/>
  <c r="W1326" i="6"/>
  <c r="W1347" i="6"/>
  <c r="W1368" i="6"/>
  <c r="W1384" i="6"/>
  <c r="W1400" i="6"/>
  <c r="W1416" i="6"/>
  <c r="W1432" i="6"/>
  <c r="W1448" i="6"/>
  <c r="W1464" i="6"/>
  <c r="W1480" i="6"/>
  <c r="W1496" i="6"/>
  <c r="W1512" i="6"/>
  <c r="W1528" i="6"/>
  <c r="W1544" i="6"/>
  <c r="W1560" i="6"/>
  <c r="W1576" i="6"/>
  <c r="W1592" i="6"/>
  <c r="W1608" i="6"/>
  <c r="W1624" i="6"/>
  <c r="W1640" i="6"/>
  <c r="W1656" i="6"/>
  <c r="W1672" i="6"/>
  <c r="W1688" i="6"/>
  <c r="W1704" i="6"/>
  <c r="W1720" i="6"/>
  <c r="W1736" i="6"/>
  <c r="W1752" i="6"/>
  <c r="W1768" i="6"/>
  <c r="W1784" i="6"/>
  <c r="W1800" i="6"/>
  <c r="W1816" i="6"/>
  <c r="W1832" i="6"/>
  <c r="W1848" i="6"/>
  <c r="W1864" i="6"/>
  <c r="W1880" i="6"/>
  <c r="W1896" i="6"/>
  <c r="W1912" i="6"/>
  <c r="W1928" i="6"/>
  <c r="W1944" i="6"/>
  <c r="W1960" i="6"/>
  <c r="W1976" i="6"/>
  <c r="W1992" i="6"/>
  <c r="W12" i="6"/>
  <c r="W34" i="6"/>
  <c r="W62" i="6"/>
  <c r="W89" i="6"/>
  <c r="W112" i="6"/>
  <c r="W140" i="6"/>
  <c r="W162" i="6"/>
  <c r="W190" i="6"/>
  <c r="W217" i="6"/>
  <c r="W240" i="6"/>
  <c r="W268" i="6"/>
  <c r="W290" i="6"/>
  <c r="W318" i="6"/>
  <c r="W345" i="6"/>
  <c r="W368" i="6"/>
  <c r="W396" i="6"/>
  <c r="W418" i="6"/>
  <c r="W444" i="6"/>
  <c r="W465" i="6"/>
  <c r="W491" i="6"/>
  <c r="W512" i="6"/>
  <c r="W538" i="6"/>
  <c r="W559" i="6"/>
  <c r="W585" i="6"/>
  <c r="W606" i="6"/>
  <c r="W627" i="6"/>
  <c r="W653" i="6"/>
  <c r="W674" i="6"/>
  <c r="W700" i="6"/>
  <c r="W721" i="6"/>
  <c r="W747" i="6"/>
  <c r="W768" i="6"/>
  <c r="W794" i="6"/>
  <c r="W815" i="6"/>
  <c r="W841" i="6"/>
  <c r="W862" i="6"/>
  <c r="W883" i="6"/>
  <c r="W909" i="6"/>
  <c r="W930" i="6"/>
  <c r="W956" i="6"/>
  <c r="W977" i="6"/>
  <c r="W1003" i="6"/>
  <c r="W1024" i="6"/>
  <c r="W1050" i="6"/>
  <c r="W1071" i="6"/>
  <c r="W1097" i="6"/>
  <c r="W1118" i="6"/>
  <c r="W1139" i="6"/>
  <c r="W1165" i="6"/>
  <c r="W1186" i="6"/>
  <c r="W1212" i="6"/>
  <c r="W1233" i="6"/>
  <c r="W1259" i="6"/>
  <c r="W1280" i="6"/>
  <c r="W1306" i="6"/>
  <c r="W1327" i="6"/>
  <c r="W1353" i="6"/>
  <c r="W1369" i="6"/>
  <c r="W1385" i="6"/>
  <c r="W1401" i="6"/>
  <c r="W1417" i="6"/>
  <c r="W1433" i="6"/>
  <c r="W1449" i="6"/>
  <c r="W1465" i="6"/>
  <c r="W1481" i="6"/>
  <c r="W1497" i="6"/>
  <c r="W1513" i="6"/>
  <c r="W1529" i="6"/>
  <c r="W1545" i="6"/>
  <c r="W1561" i="6"/>
  <c r="W1577" i="6"/>
  <c r="W1593" i="6"/>
  <c r="W1609" i="6"/>
  <c r="W1625" i="6"/>
  <c r="W1641" i="6"/>
  <c r="W1657" i="6"/>
  <c r="W1673" i="6"/>
  <c r="W1689" i="6"/>
  <c r="W1705" i="6"/>
  <c r="W1721" i="6"/>
  <c r="W1737" i="6"/>
  <c r="W1753" i="6"/>
  <c r="W1769" i="6"/>
  <c r="W1785" i="6"/>
  <c r="W1801" i="6"/>
  <c r="W1817" i="6"/>
  <c r="W1833" i="6"/>
  <c r="W1849" i="6"/>
  <c r="W1865" i="6"/>
  <c r="W1881" i="6"/>
  <c r="W1897" i="6"/>
  <c r="W1913" i="6"/>
  <c r="W1929" i="6"/>
  <c r="W1945" i="6"/>
  <c r="W1961" i="6"/>
  <c r="W1977" i="6"/>
  <c r="W1993" i="6"/>
  <c r="W13" i="6"/>
  <c r="W35" i="6"/>
  <c r="W63" i="6"/>
  <c r="W91" i="6"/>
  <c r="W113" i="6"/>
  <c r="W141" i="6"/>
  <c r="W163" i="6"/>
  <c r="W191" i="6"/>
  <c r="W219" i="6"/>
  <c r="W241" i="6"/>
  <c r="W269" i="6"/>
  <c r="W291" i="6"/>
  <c r="W319" i="6"/>
  <c r="W347" i="6"/>
  <c r="W369" i="6"/>
  <c r="W397" i="6"/>
  <c r="W419" i="6"/>
  <c r="W445" i="6"/>
  <c r="W466" i="6"/>
  <c r="W492" i="6"/>
  <c r="W513" i="6"/>
  <c r="W539" i="6"/>
  <c r="W560" i="6"/>
  <c r="W586" i="6"/>
  <c r="W607" i="6"/>
  <c r="W633" i="6"/>
  <c r="W654" i="6"/>
  <c r="W675" i="6"/>
  <c r="W701" i="6"/>
  <c r="W722" i="6"/>
  <c r="W748" i="6"/>
  <c r="W769" i="6"/>
  <c r="W795" i="6"/>
  <c r="W816" i="6"/>
  <c r="W842" i="6"/>
  <c r="W863" i="6"/>
  <c r="W889" i="6"/>
  <c r="W910" i="6"/>
  <c r="W931" i="6"/>
  <c r="W957" i="6"/>
  <c r="W978" i="6"/>
  <c r="W1004" i="6"/>
  <c r="W1025" i="6"/>
  <c r="W1051" i="6"/>
  <c r="W1072" i="6"/>
  <c r="W1098" i="6"/>
  <c r="W1119" i="6"/>
  <c r="W1145" i="6"/>
  <c r="W1166" i="6"/>
  <c r="W1187" i="6"/>
  <c r="W1213" i="6"/>
  <c r="W1234" i="6"/>
  <c r="W1260" i="6"/>
  <c r="W1281" i="6"/>
  <c r="W1307" i="6"/>
  <c r="W1328" i="6"/>
  <c r="W1354" i="6"/>
  <c r="W1370" i="6"/>
  <c r="W1386" i="6"/>
  <c r="W1402" i="6"/>
  <c r="W1418" i="6"/>
  <c r="W1434" i="6"/>
  <c r="W1450" i="6"/>
  <c r="W1466" i="6"/>
  <c r="W1482" i="6"/>
  <c r="W1498" i="6"/>
  <c r="W1514" i="6"/>
  <c r="W1530" i="6"/>
  <c r="W1546" i="6"/>
  <c r="W1562" i="6"/>
  <c r="W1578" i="6"/>
  <c r="W1594" i="6"/>
  <c r="W1610" i="6"/>
  <c r="W1626" i="6"/>
  <c r="W1642" i="6"/>
  <c r="W1658" i="6"/>
  <c r="W1674" i="6"/>
  <c r="W1690" i="6"/>
  <c r="W1706" i="6"/>
  <c r="W1722" i="6"/>
  <c r="W1738" i="6"/>
  <c r="W1754" i="6"/>
  <c r="W1770" i="6"/>
  <c r="W1786" i="6"/>
  <c r="W1802" i="6"/>
  <c r="W1818" i="6"/>
  <c r="W1834" i="6"/>
  <c r="W1850" i="6"/>
  <c r="W1866" i="6"/>
  <c r="W1882" i="6"/>
  <c r="W1898" i="6"/>
  <c r="W1914" i="6"/>
  <c r="W1930" i="6"/>
  <c r="W1946" i="6"/>
  <c r="W1962" i="6"/>
  <c r="W1978" i="6"/>
  <c r="W1994" i="6"/>
  <c r="W14" i="6"/>
  <c r="W41" i="6"/>
  <c r="W64" i="6"/>
  <c r="W92" i="6"/>
  <c r="W114" i="6"/>
  <c r="W142" i="6"/>
  <c r="W169" i="6"/>
  <c r="W192" i="6"/>
  <c r="W220" i="6"/>
  <c r="W242" i="6"/>
  <c r="W270" i="6"/>
  <c r="W297" i="6"/>
  <c r="W320" i="6"/>
  <c r="W348" i="6"/>
  <c r="W370" i="6"/>
  <c r="W398" i="6"/>
  <c r="W425" i="6"/>
  <c r="W446" i="6"/>
  <c r="W467" i="6"/>
  <c r="W493" i="6"/>
  <c r="W514" i="6"/>
  <c r="W540" i="6"/>
  <c r="W561" i="6"/>
  <c r="W587" i="6"/>
  <c r="W608" i="6"/>
  <c r="W634" i="6"/>
  <c r="W655" i="6"/>
  <c r="W681" i="6"/>
  <c r="W702" i="6"/>
  <c r="W723" i="6"/>
  <c r="W749" i="6"/>
  <c r="W770" i="6"/>
  <c r="W796" i="6"/>
  <c r="W817" i="6"/>
  <c r="W843" i="6"/>
  <c r="W864" i="6"/>
  <c r="W890" i="6"/>
  <c r="W911" i="6"/>
  <c r="W937" i="6"/>
  <c r="W958" i="6"/>
  <c r="W979" i="6"/>
  <c r="W1005" i="6"/>
  <c r="W1026" i="6"/>
  <c r="W1052" i="6"/>
  <c r="W1073" i="6"/>
  <c r="W1099" i="6"/>
  <c r="W1120" i="6"/>
  <c r="W1146" i="6"/>
  <c r="W1167" i="6"/>
  <c r="W1193" i="6"/>
  <c r="W1214" i="6"/>
  <c r="W1235" i="6"/>
  <c r="W1261" i="6"/>
  <c r="W1282" i="6"/>
  <c r="W1308" i="6"/>
  <c r="W1329" i="6"/>
  <c r="W1355" i="6"/>
  <c r="W1371" i="6"/>
  <c r="W1387" i="6"/>
  <c r="W1403" i="6"/>
  <c r="W1419" i="6"/>
  <c r="W1435" i="6"/>
  <c r="W1451" i="6"/>
  <c r="W1467" i="6"/>
  <c r="W1483" i="6"/>
  <c r="W1499" i="6"/>
  <c r="W1515" i="6"/>
  <c r="W1531" i="6"/>
  <c r="W1547" i="6"/>
  <c r="W1563" i="6"/>
  <c r="W1579" i="6"/>
  <c r="W1595" i="6"/>
  <c r="W1611" i="6"/>
  <c r="W1627" i="6"/>
  <c r="W1643" i="6"/>
  <c r="W1659" i="6"/>
  <c r="W1675" i="6"/>
  <c r="W1691" i="6"/>
  <c r="W1707" i="6"/>
  <c r="W1723" i="6"/>
  <c r="W1739" i="6"/>
  <c r="W1755" i="6"/>
  <c r="W1771" i="6"/>
  <c r="W1787" i="6"/>
  <c r="W1803" i="6"/>
  <c r="W1819" i="6"/>
  <c r="W1835" i="6"/>
  <c r="W1851" i="6"/>
  <c r="W1867" i="6"/>
  <c r="W1883" i="6"/>
  <c r="W1899" i="6"/>
  <c r="W1915" i="6"/>
  <c r="W1931" i="6"/>
  <c r="W1947" i="6"/>
  <c r="W1963" i="6"/>
  <c r="W1979" i="6"/>
  <c r="W1995" i="6"/>
  <c r="W15" i="6"/>
  <c r="W43" i="6"/>
  <c r="W65" i="6"/>
  <c r="W93" i="6"/>
  <c r="W115" i="6"/>
  <c r="W143" i="6"/>
  <c r="W171" i="6"/>
  <c r="W193" i="6"/>
  <c r="W221" i="6"/>
  <c r="W243" i="6"/>
  <c r="W271" i="6"/>
  <c r="W299" i="6"/>
  <c r="W321" i="6"/>
  <c r="W349" i="6"/>
  <c r="W371" i="6"/>
  <c r="W399" i="6"/>
  <c r="W426" i="6"/>
  <c r="W447" i="6"/>
  <c r="W473" i="6"/>
  <c r="W494" i="6"/>
  <c r="W515" i="6"/>
  <c r="W541" i="6"/>
  <c r="W562" i="6"/>
  <c r="W588" i="6"/>
  <c r="W609" i="6"/>
  <c r="W635" i="6"/>
  <c r="W656" i="6"/>
  <c r="W682" i="6"/>
  <c r="W703" i="6"/>
  <c r="W729" i="6"/>
  <c r="W750" i="6"/>
  <c r="W771" i="6"/>
  <c r="W797" i="6"/>
  <c r="W818" i="6"/>
  <c r="W844" i="6"/>
  <c r="W865" i="6"/>
  <c r="W891" i="6"/>
  <c r="W912" i="6"/>
  <c r="W938" i="6"/>
  <c r="W959" i="6"/>
  <c r="W985" i="6"/>
  <c r="W1006" i="6"/>
  <c r="W1027" i="6"/>
  <c r="W1053" i="6"/>
  <c r="W1074" i="6"/>
  <c r="W1100" i="6"/>
  <c r="W1121" i="6"/>
  <c r="W1147" i="6"/>
  <c r="W1168" i="6"/>
  <c r="W1194" i="6"/>
  <c r="W1215" i="6"/>
  <c r="W1241" i="6"/>
  <c r="W1262" i="6"/>
  <c r="W1283" i="6"/>
  <c r="W1309" i="6"/>
  <c r="W1330" i="6"/>
  <c r="W1356" i="6"/>
  <c r="W1372" i="6"/>
  <c r="W1388" i="6"/>
  <c r="W1404" i="6"/>
  <c r="W1420" i="6"/>
  <c r="W1436" i="6"/>
  <c r="W1452" i="6"/>
  <c r="W1468" i="6"/>
  <c r="W1484" i="6"/>
  <c r="W1500" i="6"/>
  <c r="W1516" i="6"/>
  <c r="W1532" i="6"/>
  <c r="W1548" i="6"/>
  <c r="W1564" i="6"/>
  <c r="W1580" i="6"/>
  <c r="W1596" i="6"/>
  <c r="W1612" i="6"/>
  <c r="W1628" i="6"/>
  <c r="W1644" i="6"/>
  <c r="W1660" i="6"/>
  <c r="W1676" i="6"/>
  <c r="W1692" i="6"/>
  <c r="W1708" i="6"/>
  <c r="W1724" i="6"/>
  <c r="W1740" i="6"/>
  <c r="W1756" i="6"/>
  <c r="W1772" i="6"/>
  <c r="W1788" i="6"/>
  <c r="W1804" i="6"/>
  <c r="W1820" i="6"/>
  <c r="W1836" i="6"/>
  <c r="W1852" i="6"/>
  <c r="W1868" i="6"/>
  <c r="W1884" i="6"/>
  <c r="W1900" i="6"/>
  <c r="W1916" i="6"/>
  <c r="W1932" i="6"/>
  <c r="W1948" i="6"/>
  <c r="W1964" i="6"/>
  <c r="W1980" i="6"/>
  <c r="W1996" i="6"/>
  <c r="W16" i="6"/>
  <c r="W44" i="6"/>
  <c r="W66" i="6"/>
  <c r="W94" i="6"/>
  <c r="W121" i="6"/>
  <c r="W144" i="6"/>
  <c r="W172" i="6"/>
  <c r="W194" i="6"/>
  <c r="W222" i="6"/>
  <c r="W249" i="6"/>
  <c r="W272" i="6"/>
  <c r="W300" i="6"/>
  <c r="W322" i="6"/>
  <c r="W350" i="6"/>
  <c r="W377" i="6"/>
  <c r="W400" i="6"/>
  <c r="W427" i="6"/>
  <c r="W448" i="6"/>
  <c r="W474" i="6"/>
  <c r="W495" i="6"/>
  <c r="W521" i="6"/>
  <c r="W542" i="6"/>
  <c r="W563" i="6"/>
  <c r="W589" i="6"/>
  <c r="W610" i="6"/>
  <c r="W636" i="6"/>
  <c r="W657" i="6"/>
  <c r="W683" i="6"/>
  <c r="W704" i="6"/>
  <c r="W730" i="6"/>
  <c r="W751" i="6"/>
  <c r="W777" i="6"/>
  <c r="W798" i="6"/>
  <c r="W819" i="6"/>
  <c r="W845" i="6"/>
  <c r="W866" i="6"/>
  <c r="W892" i="6"/>
  <c r="W913" i="6"/>
  <c r="W939" i="6"/>
  <c r="W960" i="6"/>
  <c r="W986" i="6"/>
  <c r="W1007" i="6"/>
  <c r="W1033" i="6"/>
  <c r="W1054" i="6"/>
  <c r="W1075" i="6"/>
  <c r="W1101" i="6"/>
  <c r="W1122" i="6"/>
  <c r="W1148" i="6"/>
  <c r="W1169" i="6"/>
  <c r="W1195" i="6"/>
  <c r="W1216" i="6"/>
  <c r="W1242" i="6"/>
  <c r="W1263" i="6"/>
  <c r="W1289" i="6"/>
  <c r="W1310" i="6"/>
  <c r="W1331" i="6"/>
  <c r="W1357" i="6"/>
  <c r="W1373" i="6"/>
  <c r="W1389" i="6"/>
  <c r="W1405" i="6"/>
  <c r="W1421" i="6"/>
  <c r="W1437" i="6"/>
  <c r="W1453" i="6"/>
  <c r="W1469" i="6"/>
  <c r="W1485" i="6"/>
  <c r="W1501" i="6"/>
  <c r="W1517" i="6"/>
  <c r="W1533" i="6"/>
  <c r="W1549" i="6"/>
  <c r="W1565" i="6"/>
  <c r="W1581" i="6"/>
  <c r="W1597" i="6"/>
  <c r="W1613" i="6"/>
  <c r="W1629" i="6"/>
  <c r="W1645" i="6"/>
  <c r="W1661" i="6"/>
  <c r="W1677" i="6"/>
  <c r="W1693" i="6"/>
  <c r="W1709" i="6"/>
  <c r="W1725" i="6"/>
  <c r="W1741" i="6"/>
  <c r="W1757" i="6"/>
  <c r="W1773" i="6"/>
  <c r="W1789" i="6"/>
  <c r="W1805" i="6"/>
  <c r="W17" i="6"/>
  <c r="W45" i="6"/>
  <c r="W67" i="6"/>
  <c r="W95" i="6"/>
  <c r="W123" i="6"/>
  <c r="W145" i="6"/>
  <c r="W173" i="6"/>
  <c r="W195" i="6"/>
  <c r="W223" i="6"/>
  <c r="W251" i="6"/>
  <c r="W273" i="6"/>
  <c r="W301" i="6"/>
  <c r="W323" i="6"/>
  <c r="W351" i="6"/>
  <c r="W379" i="6"/>
  <c r="W401" i="6"/>
  <c r="W428" i="6"/>
  <c r="W449" i="6"/>
  <c r="W475" i="6"/>
  <c r="W496" i="6"/>
  <c r="W522" i="6"/>
  <c r="W543" i="6"/>
  <c r="W569" i="6"/>
  <c r="W590" i="6"/>
  <c r="W611" i="6"/>
  <c r="W637" i="6"/>
  <c r="W658" i="6"/>
  <c r="W684" i="6"/>
  <c r="W705" i="6"/>
  <c r="W731" i="6"/>
  <c r="W752" i="6"/>
  <c r="W778" i="6"/>
  <c r="W799" i="6"/>
  <c r="W825" i="6"/>
  <c r="W846" i="6"/>
  <c r="W867" i="6"/>
  <c r="W893" i="6"/>
  <c r="W914" i="6"/>
  <c r="W940" i="6"/>
  <c r="W961" i="6"/>
  <c r="W987" i="6"/>
  <c r="W1008" i="6"/>
  <c r="W1034" i="6"/>
  <c r="W1055" i="6"/>
  <c r="W1081" i="6"/>
  <c r="W1102" i="6"/>
  <c r="W1123" i="6"/>
  <c r="W1149" i="6"/>
  <c r="W18" i="6"/>
  <c r="W46" i="6"/>
  <c r="W73" i="6"/>
  <c r="W96" i="6"/>
  <c r="W124" i="6"/>
  <c r="W146" i="6"/>
  <c r="W174" i="6"/>
  <c r="W201" i="6"/>
  <c r="W224" i="6"/>
  <c r="W252" i="6"/>
  <c r="W274" i="6"/>
  <c r="W302" i="6"/>
  <c r="W329" i="6"/>
  <c r="W352" i="6"/>
  <c r="W380" i="6"/>
  <c r="W402" i="6"/>
  <c r="W429" i="6"/>
  <c r="W450" i="6"/>
  <c r="W476" i="6"/>
  <c r="W497" i="6"/>
  <c r="W523" i="6"/>
  <c r="W544" i="6"/>
  <c r="W570" i="6"/>
  <c r="W591" i="6"/>
  <c r="W617" i="6"/>
  <c r="W638" i="6"/>
  <c r="W659" i="6"/>
  <c r="W685" i="6"/>
  <c r="W706" i="6"/>
  <c r="W732" i="6"/>
  <c r="W753" i="6"/>
  <c r="W779" i="6"/>
  <c r="W800" i="6"/>
  <c r="W826" i="6"/>
  <c r="W847" i="6"/>
  <c r="W873" i="6"/>
  <c r="W894" i="6"/>
  <c r="W915" i="6"/>
  <c r="W941" i="6"/>
  <c r="W962" i="6"/>
  <c r="W988" i="6"/>
  <c r="W1009" i="6"/>
  <c r="W1035" i="6"/>
  <c r="W1056" i="6"/>
  <c r="W1082" i="6"/>
  <c r="W1103" i="6"/>
  <c r="W1129" i="6"/>
  <c r="W1150" i="6"/>
  <c r="W1171" i="6"/>
  <c r="W1197" i="6"/>
  <c r="W25" i="6"/>
  <c r="W48" i="6"/>
  <c r="W76" i="6"/>
  <c r="W98" i="6"/>
  <c r="W126" i="6"/>
  <c r="W153" i="6"/>
  <c r="W176" i="6"/>
  <c r="W204" i="6"/>
  <c r="W226" i="6"/>
  <c r="W254" i="6"/>
  <c r="W281" i="6"/>
  <c r="W304" i="6"/>
  <c r="W27" i="6"/>
  <c r="W49" i="6"/>
  <c r="W77" i="6"/>
  <c r="W99" i="6"/>
  <c r="W127" i="6"/>
  <c r="W30" i="6"/>
  <c r="W57" i="6"/>
  <c r="W80" i="6"/>
  <c r="W108" i="6"/>
  <c r="W130" i="6"/>
  <c r="W32" i="6"/>
  <c r="W125" i="6"/>
  <c r="W185" i="6"/>
  <c r="W238" i="6"/>
  <c r="W305" i="6"/>
  <c r="W355" i="6"/>
  <c r="W411" i="6"/>
  <c r="W458" i="6"/>
  <c r="W505" i="6"/>
  <c r="W547" i="6"/>
  <c r="W594" i="6"/>
  <c r="W641" i="6"/>
  <c r="W688" i="6"/>
  <c r="W735" i="6"/>
  <c r="W782" i="6"/>
  <c r="W829" i="6"/>
  <c r="W876" i="6"/>
  <c r="W923" i="6"/>
  <c r="W970" i="6"/>
  <c r="W1017" i="6"/>
  <c r="W1059" i="6"/>
  <c r="W1106" i="6"/>
  <c r="W1153" i="6"/>
  <c r="W1198" i="6"/>
  <c r="W1230" i="6"/>
  <c r="W1273" i="6"/>
  <c r="W1311" i="6"/>
  <c r="W1343" i="6"/>
  <c r="W1376" i="6"/>
  <c r="W1398" i="6"/>
  <c r="W1426" i="6"/>
  <c r="W1454" i="6"/>
  <c r="W1476" i="6"/>
  <c r="W1504" i="6"/>
  <c r="W1526" i="6"/>
  <c r="W1554" i="6"/>
  <c r="W1582" i="6"/>
  <c r="W1604" i="6"/>
  <c r="W1632" i="6"/>
  <c r="W1654" i="6"/>
  <c r="W1682" i="6"/>
  <c r="W1710" i="6"/>
  <c r="W1732" i="6"/>
  <c r="W1760" i="6"/>
  <c r="W1782" i="6"/>
  <c r="W1810" i="6"/>
  <c r="W1831" i="6"/>
  <c r="W1857" i="6"/>
  <c r="W1878" i="6"/>
  <c r="W1904" i="6"/>
  <c r="W1925" i="6"/>
  <c r="W1951" i="6"/>
  <c r="W1972" i="6"/>
  <c r="W1998" i="6"/>
  <c r="W47" i="6"/>
  <c r="W128" i="6"/>
  <c r="W187" i="6"/>
  <c r="W253" i="6"/>
  <c r="W306" i="6"/>
  <c r="W361" i="6"/>
  <c r="W412" i="6"/>
  <c r="W459" i="6"/>
  <c r="W506" i="6"/>
  <c r="W553" i="6"/>
  <c r="W595" i="6"/>
  <c r="W642" i="6"/>
  <c r="W689" i="6"/>
  <c r="W736" i="6"/>
  <c r="W783" i="6"/>
  <c r="W830" i="6"/>
  <c r="W877" i="6"/>
  <c r="W924" i="6"/>
  <c r="W971" i="6"/>
  <c r="W1018" i="6"/>
  <c r="W1065" i="6"/>
  <c r="W1107" i="6"/>
  <c r="W1154" i="6"/>
  <c r="W1199" i="6"/>
  <c r="W1231" i="6"/>
  <c r="W1274" i="6"/>
  <c r="W1312" i="6"/>
  <c r="W1344" i="6"/>
  <c r="W1377" i="6"/>
  <c r="W1399" i="6"/>
  <c r="W1427" i="6"/>
  <c r="W1455" i="6"/>
  <c r="W1477" i="6"/>
  <c r="W1505" i="6"/>
  <c r="W1527" i="6"/>
  <c r="W1555" i="6"/>
  <c r="W1583" i="6"/>
  <c r="W1605" i="6"/>
  <c r="W1633" i="6"/>
  <c r="W1655" i="6"/>
  <c r="W1683" i="6"/>
  <c r="W1711" i="6"/>
  <c r="W1733" i="6"/>
  <c r="W1761" i="6"/>
  <c r="W1783" i="6"/>
  <c r="W1811" i="6"/>
  <c r="W1837" i="6"/>
  <c r="W1858" i="6"/>
  <c r="W1879" i="6"/>
  <c r="W1905" i="6"/>
  <c r="W1926" i="6"/>
  <c r="W1952" i="6"/>
  <c r="W1973" i="6"/>
  <c r="W1999" i="6"/>
  <c r="W50" i="6"/>
  <c r="W129" i="6"/>
  <c r="W188" i="6"/>
  <c r="W255" i="6"/>
  <c r="W307" i="6"/>
  <c r="W363" i="6"/>
  <c r="W413" i="6"/>
  <c r="W460" i="6"/>
  <c r="W507" i="6"/>
  <c r="W554" i="6"/>
  <c r="W601" i="6"/>
  <c r="W643" i="6"/>
  <c r="W690" i="6"/>
  <c r="W737" i="6"/>
  <c r="W784" i="6"/>
  <c r="W831" i="6"/>
  <c r="W878" i="6"/>
  <c r="W925" i="6"/>
  <c r="W972" i="6"/>
  <c r="W1019" i="6"/>
  <c r="W1066" i="6"/>
  <c r="W1113" i="6"/>
  <c r="W1155" i="6"/>
  <c r="W1200" i="6"/>
  <c r="W1243" i="6"/>
  <c r="W1275" i="6"/>
  <c r="W1313" i="6"/>
  <c r="W1345" i="6"/>
  <c r="W1378" i="6"/>
  <c r="W1406" i="6"/>
  <c r="W1428" i="6"/>
  <c r="W1456" i="6"/>
  <c r="W1478" i="6"/>
  <c r="W1506" i="6"/>
  <c r="W1534" i="6"/>
  <c r="W1556" i="6"/>
  <c r="W1584" i="6"/>
  <c r="W1606" i="6"/>
  <c r="W1634" i="6"/>
  <c r="W1662" i="6"/>
  <c r="W1684" i="6"/>
  <c r="W1712" i="6"/>
  <c r="W1734" i="6"/>
  <c r="W1762" i="6"/>
  <c r="W1790" i="6"/>
  <c r="W1812" i="6"/>
  <c r="W1838" i="6"/>
  <c r="W1859" i="6"/>
  <c r="W1885" i="6"/>
  <c r="W1906" i="6"/>
  <c r="W1927" i="6"/>
  <c r="W1953" i="6"/>
  <c r="W1974" i="6"/>
  <c r="W2000" i="6"/>
  <c r="W51" i="6"/>
  <c r="W131" i="6"/>
  <c r="W203" i="6"/>
  <c r="W256" i="6"/>
  <c r="W313" i="6"/>
  <c r="W364" i="6"/>
  <c r="W414" i="6"/>
  <c r="W461" i="6"/>
  <c r="W508" i="6"/>
  <c r="W555" i="6"/>
  <c r="W602" i="6"/>
  <c r="W649" i="6"/>
  <c r="W691" i="6"/>
  <c r="W738" i="6"/>
  <c r="W785" i="6"/>
  <c r="W832" i="6"/>
  <c r="W879" i="6"/>
  <c r="W926" i="6"/>
  <c r="W973" i="6"/>
  <c r="W1020" i="6"/>
  <c r="W1067" i="6"/>
  <c r="W1114" i="6"/>
  <c r="W1161" i="6"/>
  <c r="W1201" i="6"/>
  <c r="W1244" i="6"/>
  <c r="W1276" i="6"/>
  <c r="W1314" i="6"/>
  <c r="W1346" i="6"/>
  <c r="W1379" i="6"/>
  <c r="W1407" i="6"/>
  <c r="W1429" i="6"/>
  <c r="W1457" i="6"/>
  <c r="W1479" i="6"/>
  <c r="W1507" i="6"/>
  <c r="W1535" i="6"/>
  <c r="W1557" i="6"/>
  <c r="W1585" i="6"/>
  <c r="W1607" i="6"/>
  <c r="W1635" i="6"/>
  <c r="W1663" i="6"/>
  <c r="W1685" i="6"/>
  <c r="W1713" i="6"/>
  <c r="W1735" i="6"/>
  <c r="W1763" i="6"/>
  <c r="W1791" i="6"/>
  <c r="W1813" i="6"/>
  <c r="W1839" i="6"/>
  <c r="W1860" i="6"/>
  <c r="W1886" i="6"/>
  <c r="W1907" i="6"/>
  <c r="W1933" i="6"/>
  <c r="W1954" i="6"/>
  <c r="W1975" i="6"/>
  <c r="W2001" i="6"/>
  <c r="W59" i="6"/>
  <c r="W137" i="6"/>
  <c r="W205" i="6"/>
  <c r="W257" i="6"/>
  <c r="W315" i="6"/>
  <c r="W365" i="6"/>
  <c r="W415" i="6"/>
  <c r="W462" i="6"/>
  <c r="W509" i="6"/>
  <c r="W556" i="6"/>
  <c r="W603" i="6"/>
  <c r="W650" i="6"/>
  <c r="W697" i="6"/>
  <c r="W739" i="6"/>
  <c r="W786" i="6"/>
  <c r="W833" i="6"/>
  <c r="W880" i="6"/>
  <c r="W927" i="6"/>
  <c r="W974" i="6"/>
  <c r="W1021" i="6"/>
  <c r="W1068" i="6"/>
  <c r="W1115" i="6"/>
  <c r="W1162" i="6"/>
  <c r="W1202" i="6"/>
  <c r="W1245" i="6"/>
  <c r="W1277" i="6"/>
  <c r="W1315" i="6"/>
  <c r="W1358" i="6"/>
  <c r="W1380" i="6"/>
  <c r="W1408" i="6"/>
  <c r="W1430" i="6"/>
  <c r="W1458" i="6"/>
  <c r="W1486" i="6"/>
  <c r="W1508" i="6"/>
  <c r="W1536" i="6"/>
  <c r="W1558" i="6"/>
  <c r="W1586" i="6"/>
  <c r="W1614" i="6"/>
  <c r="W1636" i="6"/>
  <c r="W1664" i="6"/>
  <c r="W1686" i="6"/>
  <c r="W1714" i="6"/>
  <c r="W1742" i="6"/>
  <c r="W1764" i="6"/>
  <c r="W1792" i="6"/>
  <c r="W1814" i="6"/>
  <c r="W1840" i="6"/>
  <c r="W1861" i="6"/>
  <c r="W1887" i="6"/>
  <c r="W1908" i="6"/>
  <c r="W1934" i="6"/>
  <c r="W1955" i="6"/>
  <c r="W1981" i="6"/>
  <c r="W60" i="6"/>
  <c r="W147" i="6"/>
  <c r="W206" i="6"/>
  <c r="W258" i="6"/>
  <c r="W316" i="6"/>
  <c r="W366" i="6"/>
  <c r="W416" i="6"/>
  <c r="W463" i="6"/>
  <c r="W510" i="6"/>
  <c r="W557" i="6"/>
  <c r="W604" i="6"/>
  <c r="W651" i="6"/>
  <c r="W698" i="6"/>
  <c r="W745" i="6"/>
  <c r="W787" i="6"/>
  <c r="W834" i="6"/>
  <c r="W881" i="6"/>
  <c r="W928" i="6"/>
  <c r="W975" i="6"/>
  <c r="W1022" i="6"/>
  <c r="W1069" i="6"/>
  <c r="W1116" i="6"/>
  <c r="W1163" i="6"/>
  <c r="W1203" i="6"/>
  <c r="W1246" i="6"/>
  <c r="W1278" i="6"/>
  <c r="W1321" i="6"/>
  <c r="W1359" i="6"/>
  <c r="W1381" i="6"/>
  <c r="W1409" i="6"/>
  <c r="W1431" i="6"/>
  <c r="W1459" i="6"/>
  <c r="W1487" i="6"/>
  <c r="W1509" i="6"/>
  <c r="W1537" i="6"/>
  <c r="W1559" i="6"/>
  <c r="W1587" i="6"/>
  <c r="W1615" i="6"/>
  <c r="W1637" i="6"/>
  <c r="W1665" i="6"/>
  <c r="W1687" i="6"/>
  <c r="W1715" i="6"/>
  <c r="W1743" i="6"/>
  <c r="W1765" i="6"/>
  <c r="W1793" i="6"/>
  <c r="W1815" i="6"/>
  <c r="W1841" i="6"/>
  <c r="W1862" i="6"/>
  <c r="W1888" i="6"/>
  <c r="W1909" i="6"/>
  <c r="W1935" i="6"/>
  <c r="W1956" i="6"/>
  <c r="W1982" i="6"/>
  <c r="W75" i="6"/>
  <c r="W155" i="6"/>
  <c r="W207" i="6"/>
  <c r="W259" i="6"/>
  <c r="W331" i="6"/>
  <c r="W381" i="6"/>
  <c r="W430" i="6"/>
  <c r="W477" i="6"/>
  <c r="W524" i="6"/>
  <c r="W571" i="6"/>
  <c r="W618" i="6"/>
  <c r="W665" i="6"/>
  <c r="W707" i="6"/>
  <c r="W754" i="6"/>
  <c r="W801" i="6"/>
  <c r="W848" i="6"/>
  <c r="W895" i="6"/>
  <c r="W942" i="6"/>
  <c r="W989" i="6"/>
  <c r="W1036" i="6"/>
  <c r="W1083" i="6"/>
  <c r="W1130" i="6"/>
  <c r="W1170" i="6"/>
  <c r="W1209" i="6"/>
  <c r="W1247" i="6"/>
  <c r="W1290" i="6"/>
  <c r="W1322" i="6"/>
  <c r="W1360" i="6"/>
  <c r="W1382" i="6"/>
  <c r="W1410" i="6"/>
  <c r="W1438" i="6"/>
  <c r="W1460" i="6"/>
  <c r="W1488" i="6"/>
  <c r="W1510" i="6"/>
  <c r="W1538" i="6"/>
  <c r="W1566" i="6"/>
  <c r="W1588" i="6"/>
  <c r="W1616" i="6"/>
  <c r="W1638" i="6"/>
  <c r="W1666" i="6"/>
  <c r="W1694" i="6"/>
  <c r="W1716" i="6"/>
  <c r="W1744" i="6"/>
  <c r="W1766" i="6"/>
  <c r="W1794" i="6"/>
  <c r="W1821" i="6"/>
  <c r="W1842" i="6"/>
  <c r="W1863" i="6"/>
  <c r="W1889" i="6"/>
  <c r="W1910" i="6"/>
  <c r="W1936" i="6"/>
  <c r="W1957" i="6"/>
  <c r="W1983" i="6"/>
  <c r="W78" i="6"/>
  <c r="W156" i="6"/>
  <c r="W208" i="6"/>
  <c r="W265" i="6"/>
  <c r="W332" i="6"/>
  <c r="W382" i="6"/>
  <c r="W431" i="6"/>
  <c r="W478" i="6"/>
  <c r="W525" i="6"/>
  <c r="W572" i="6"/>
  <c r="W619" i="6"/>
  <c r="W666" i="6"/>
  <c r="W713" i="6"/>
  <c r="W755" i="6"/>
  <c r="W802" i="6"/>
  <c r="W849" i="6"/>
  <c r="W896" i="6"/>
  <c r="W943" i="6"/>
  <c r="W990" i="6"/>
  <c r="W1037" i="6"/>
  <c r="W1084" i="6"/>
  <c r="W1131" i="6"/>
  <c r="W1177" i="6"/>
  <c r="W1210" i="6"/>
  <c r="W1248" i="6"/>
  <c r="W1291" i="6"/>
  <c r="W1323" i="6"/>
  <c r="W1361" i="6"/>
  <c r="W1383" i="6"/>
  <c r="W1411" i="6"/>
  <c r="W1439" i="6"/>
  <c r="W1461" i="6"/>
  <c r="W1489" i="6"/>
  <c r="W1511" i="6"/>
  <c r="W1539" i="6"/>
  <c r="W1567" i="6"/>
  <c r="W1589" i="6"/>
  <c r="W79" i="6"/>
  <c r="W157" i="6"/>
  <c r="W209" i="6"/>
  <c r="W275" i="6"/>
  <c r="W81" i="6"/>
  <c r="W158" i="6"/>
  <c r="W210" i="6"/>
  <c r="W283" i="6"/>
  <c r="W334" i="6"/>
  <c r="W384" i="6"/>
  <c r="W433" i="6"/>
  <c r="W480" i="6"/>
  <c r="W527" i="6"/>
  <c r="W574" i="6"/>
  <c r="W621" i="6"/>
  <c r="W668" i="6"/>
  <c r="W715" i="6"/>
  <c r="W762" i="6"/>
  <c r="W809" i="6"/>
  <c r="W851" i="6"/>
  <c r="W898" i="6"/>
  <c r="W945" i="6"/>
  <c r="W992" i="6"/>
  <c r="W1039" i="6"/>
  <c r="W1086" i="6"/>
  <c r="W1133" i="6"/>
  <c r="W1179" i="6"/>
  <c r="W1218" i="6"/>
  <c r="W1250" i="6"/>
  <c r="W1293" i="6"/>
  <c r="W1325" i="6"/>
  <c r="W1363" i="6"/>
  <c r="W1391" i="6"/>
  <c r="W1413" i="6"/>
  <c r="W1441" i="6"/>
  <c r="W1463" i="6"/>
  <c r="W1491" i="6"/>
  <c r="W1519" i="6"/>
  <c r="W1541" i="6"/>
  <c r="W1569" i="6"/>
  <c r="W1591" i="6"/>
  <c r="W1619" i="6"/>
  <c r="W1647" i="6"/>
  <c r="W1669" i="6"/>
  <c r="W1697" i="6"/>
  <c r="W1719" i="6"/>
  <c r="W1747" i="6"/>
  <c r="W1775" i="6"/>
  <c r="W1797" i="6"/>
  <c r="W1824" i="6"/>
  <c r="W1845" i="6"/>
  <c r="W1871" i="6"/>
  <c r="W1892" i="6"/>
  <c r="W1918" i="6"/>
  <c r="W1939" i="6"/>
  <c r="W1965" i="6"/>
  <c r="W1986" i="6"/>
  <c r="W82" i="6"/>
  <c r="W159" i="6"/>
  <c r="W225" i="6"/>
  <c r="W284" i="6"/>
  <c r="W335" i="6"/>
  <c r="W385" i="6"/>
  <c r="W434" i="6"/>
  <c r="W481" i="6"/>
  <c r="W528" i="6"/>
  <c r="W575" i="6"/>
  <c r="W622" i="6"/>
  <c r="W669" i="6"/>
  <c r="W716" i="6"/>
  <c r="W763" i="6"/>
  <c r="W810" i="6"/>
  <c r="W857" i="6"/>
  <c r="W899" i="6"/>
  <c r="W946" i="6"/>
  <c r="W993" i="6"/>
  <c r="W1040" i="6"/>
  <c r="W1087" i="6"/>
  <c r="W1134" i="6"/>
  <c r="W1180" i="6"/>
  <c r="W1219" i="6"/>
  <c r="W1251" i="6"/>
  <c r="W1294" i="6"/>
  <c r="W1337" i="6"/>
  <c r="W1364" i="6"/>
  <c r="W1392" i="6"/>
  <c r="W1414" i="6"/>
  <c r="W1442" i="6"/>
  <c r="W1470" i="6"/>
  <c r="W1492" i="6"/>
  <c r="W1520" i="6"/>
  <c r="W1542" i="6"/>
  <c r="W1570" i="6"/>
  <c r="W1598" i="6"/>
  <c r="W1620" i="6"/>
  <c r="W28" i="6"/>
  <c r="W107" i="6"/>
  <c r="W177" i="6"/>
  <c r="W235" i="6"/>
  <c r="W287" i="6"/>
  <c r="W338" i="6"/>
  <c r="W393" i="6"/>
  <c r="W442" i="6"/>
  <c r="W489" i="6"/>
  <c r="W531" i="6"/>
  <c r="W578" i="6"/>
  <c r="W625" i="6"/>
  <c r="W672" i="6"/>
  <c r="W719" i="6"/>
  <c r="W766" i="6"/>
  <c r="W813" i="6"/>
  <c r="W860" i="6"/>
  <c r="W907" i="6"/>
  <c r="W954" i="6"/>
  <c r="W1001" i="6"/>
  <c r="W1043" i="6"/>
  <c r="W1090" i="6"/>
  <c r="W1137" i="6"/>
  <c r="W1183" i="6"/>
  <c r="W1227" i="6"/>
  <c r="W1265" i="6"/>
  <c r="W1297" i="6"/>
  <c r="W1340" i="6"/>
  <c r="W1367" i="6"/>
  <c r="W1395" i="6"/>
  <c r="W1423" i="6"/>
  <c r="W1445" i="6"/>
  <c r="W1473" i="6"/>
  <c r="W1495" i="6"/>
  <c r="W1523" i="6"/>
  <c r="W1551" i="6"/>
  <c r="W1573" i="6"/>
  <c r="W1601" i="6"/>
  <c r="W1623" i="6"/>
  <c r="W160" i="6"/>
  <c r="W354" i="6"/>
  <c r="W526" i="6"/>
  <c r="W670" i="6"/>
  <c r="W812" i="6"/>
  <c r="W963" i="6"/>
  <c r="W1105" i="6"/>
  <c r="W1249" i="6"/>
  <c r="W1365" i="6"/>
  <c r="W1444" i="6"/>
  <c r="W1524" i="6"/>
  <c r="W1603" i="6"/>
  <c r="W1668" i="6"/>
  <c r="W1718" i="6"/>
  <c r="W1774" i="6"/>
  <c r="W1823" i="6"/>
  <c r="W1870" i="6"/>
  <c r="W1917" i="6"/>
  <c r="W1959" i="6"/>
  <c r="W175" i="6"/>
  <c r="W383" i="6"/>
  <c r="W529" i="6"/>
  <c r="W671" i="6"/>
  <c r="W827" i="6"/>
  <c r="W969" i="6"/>
  <c r="W1132" i="6"/>
  <c r="W1257" i="6"/>
  <c r="W1366" i="6"/>
  <c r="W1446" i="6"/>
  <c r="W1525" i="6"/>
  <c r="W1617" i="6"/>
  <c r="W1670" i="6"/>
  <c r="W1726" i="6"/>
  <c r="W1776" i="6"/>
  <c r="W1825" i="6"/>
  <c r="W1872" i="6"/>
  <c r="W1919" i="6"/>
  <c r="W1966" i="6"/>
  <c r="W178" i="6"/>
  <c r="W386" i="6"/>
  <c r="W530" i="6"/>
  <c r="W686" i="6"/>
  <c r="W828" i="6"/>
  <c r="W991" i="6"/>
  <c r="W1135" i="6"/>
  <c r="W1264" i="6"/>
  <c r="W1374" i="6"/>
  <c r="W1447" i="6"/>
  <c r="W1540" i="6"/>
  <c r="W1618" i="6"/>
  <c r="W1671" i="6"/>
  <c r="W1727" i="6"/>
  <c r="W1777" i="6"/>
  <c r="W1826" i="6"/>
  <c r="W1873" i="6"/>
  <c r="W1920" i="6"/>
  <c r="W1967" i="6"/>
  <c r="W179" i="6"/>
  <c r="W387" i="6"/>
  <c r="W545" i="6"/>
  <c r="W687" i="6"/>
  <c r="W850" i="6"/>
  <c r="W994" i="6"/>
  <c r="W1136" i="6"/>
  <c r="W1266" i="6"/>
  <c r="W1375" i="6"/>
  <c r="W1462" i="6"/>
  <c r="W1543" i="6"/>
  <c r="W1621" i="6"/>
  <c r="W1678" i="6"/>
  <c r="W1728" i="6"/>
  <c r="W1778" i="6"/>
  <c r="W1827" i="6"/>
  <c r="W1874" i="6"/>
  <c r="W1921" i="6"/>
  <c r="W1968" i="6"/>
  <c r="W233" i="6"/>
  <c r="W409" i="6"/>
  <c r="W573" i="6"/>
  <c r="W717" i="6"/>
  <c r="W859" i="6"/>
  <c r="W1010" i="6"/>
  <c r="W1152" i="6"/>
  <c r="W1292" i="6"/>
  <c r="W1393" i="6"/>
  <c r="W1472" i="6"/>
  <c r="W1552" i="6"/>
  <c r="W1630" i="6"/>
  <c r="W1680" i="6"/>
  <c r="W1730" i="6"/>
  <c r="W1780" i="6"/>
  <c r="W1829" i="6"/>
  <c r="W1876" i="6"/>
  <c r="W1923" i="6"/>
  <c r="W1970" i="6"/>
  <c r="W236" i="6"/>
  <c r="W432" i="6"/>
  <c r="W576" i="6"/>
  <c r="W718" i="6"/>
  <c r="W874" i="6"/>
  <c r="W1011" i="6"/>
  <c r="W1178" i="6"/>
  <c r="W1295" i="6"/>
  <c r="W1394" i="6"/>
  <c r="W1474" i="6"/>
  <c r="W1553" i="6"/>
  <c r="W1631" i="6"/>
  <c r="W1681" i="6"/>
  <c r="W1731" i="6"/>
  <c r="W1781" i="6"/>
  <c r="W1830" i="6"/>
  <c r="W1877" i="6"/>
  <c r="W1924" i="6"/>
  <c r="W1971" i="6"/>
  <c r="W237" i="6"/>
  <c r="W435" i="6"/>
  <c r="W577" i="6"/>
  <c r="W733" i="6"/>
  <c r="W875" i="6"/>
  <c r="W1038" i="6"/>
  <c r="W1181" i="6"/>
  <c r="W1296" i="6"/>
  <c r="W1396" i="6"/>
  <c r="W1475" i="6"/>
  <c r="W1568" i="6"/>
  <c r="W1639" i="6"/>
  <c r="W1695" i="6"/>
  <c r="W1745" i="6"/>
  <c r="W1795" i="6"/>
  <c r="W1843" i="6"/>
  <c r="W1890" i="6"/>
  <c r="W1937" i="6"/>
  <c r="W1984" i="6"/>
  <c r="W19" i="6"/>
  <c r="W286" i="6"/>
  <c r="W451" i="6"/>
  <c r="W593" i="6"/>
  <c r="W761" i="6"/>
  <c r="W905" i="6"/>
  <c r="W1042" i="6"/>
  <c r="W1184" i="6"/>
  <c r="W1299" i="6"/>
  <c r="W1412" i="6"/>
  <c r="W1493" i="6"/>
  <c r="W1572" i="6"/>
  <c r="W1648" i="6"/>
  <c r="W1698" i="6"/>
  <c r="W1748" i="6"/>
  <c r="W1798" i="6"/>
  <c r="W1846" i="6"/>
  <c r="W1893" i="6"/>
  <c r="W1940" i="6"/>
  <c r="W1987" i="6"/>
  <c r="W29" i="6"/>
  <c r="W288" i="6"/>
  <c r="W457" i="6"/>
  <c r="W620" i="6"/>
  <c r="W764" i="6"/>
  <c r="W906" i="6"/>
  <c r="W1057" i="6"/>
  <c r="W1196" i="6"/>
  <c r="W1324" i="6"/>
  <c r="W1415" i="6"/>
  <c r="W1494" i="6"/>
  <c r="W1574" i="6"/>
  <c r="W1649" i="6"/>
  <c r="W1699" i="6"/>
  <c r="W1749" i="6"/>
  <c r="W1799" i="6"/>
  <c r="W1847" i="6"/>
  <c r="W1894" i="6"/>
  <c r="W1941" i="6"/>
  <c r="W1988" i="6"/>
  <c r="W105" i="6"/>
  <c r="W336" i="6"/>
  <c r="W483" i="6"/>
  <c r="W639" i="6"/>
  <c r="W781" i="6"/>
  <c r="W944" i="6"/>
  <c r="W1088" i="6"/>
  <c r="W1226" i="6"/>
  <c r="W1341" i="6"/>
  <c r="W1425" i="6"/>
  <c r="W1518" i="6"/>
  <c r="W1599" i="6"/>
  <c r="W1652" i="6"/>
  <c r="W1702" i="6"/>
  <c r="W1758" i="6"/>
  <c r="W1808" i="6"/>
  <c r="W1855" i="6"/>
  <c r="W1902" i="6"/>
  <c r="W1949" i="6"/>
  <c r="W1991" i="6"/>
  <c r="W333" i="6"/>
  <c r="W734" i="6"/>
  <c r="W1104" i="6"/>
  <c r="W1424" i="6"/>
  <c r="W1646" i="6"/>
  <c r="W1767" i="6"/>
  <c r="W1901" i="6"/>
  <c r="W337" i="6"/>
  <c r="W765" i="6"/>
  <c r="W1151" i="6"/>
  <c r="W1440" i="6"/>
  <c r="W1650" i="6"/>
  <c r="W1779" i="6"/>
  <c r="W1903" i="6"/>
  <c r="W353" i="6"/>
  <c r="W780" i="6"/>
  <c r="W1182" i="6"/>
  <c r="W1443" i="6"/>
  <c r="W1651" i="6"/>
  <c r="W1796" i="6"/>
  <c r="W1911" i="6"/>
  <c r="W403" i="6"/>
  <c r="W803" i="6"/>
  <c r="W1217" i="6"/>
  <c r="W1471" i="6"/>
  <c r="W1653" i="6"/>
  <c r="W1806" i="6"/>
  <c r="W1922" i="6"/>
  <c r="W441" i="6"/>
  <c r="W811" i="6"/>
  <c r="W1225" i="6"/>
  <c r="W1490" i="6"/>
  <c r="W1667" i="6"/>
  <c r="W1807" i="6"/>
  <c r="W1938" i="6"/>
  <c r="W479" i="6"/>
  <c r="W858" i="6"/>
  <c r="W1228" i="6"/>
  <c r="W1502" i="6"/>
  <c r="W1679" i="6"/>
  <c r="W1809" i="6"/>
  <c r="W1942" i="6"/>
  <c r="W482" i="6"/>
  <c r="W897" i="6"/>
  <c r="W1229" i="6"/>
  <c r="W1503" i="6"/>
  <c r="W1696" i="6"/>
  <c r="W1822" i="6"/>
  <c r="W1943" i="6"/>
  <c r="W498" i="6"/>
  <c r="W921" i="6"/>
  <c r="W1267" i="6"/>
  <c r="W1521" i="6"/>
  <c r="W1700" i="6"/>
  <c r="W1828" i="6"/>
  <c r="W1950" i="6"/>
  <c r="W31" i="6"/>
  <c r="W546" i="6"/>
  <c r="W947" i="6"/>
  <c r="W1338" i="6"/>
  <c r="W1550" i="6"/>
  <c r="W1703" i="6"/>
  <c r="W1853" i="6"/>
  <c r="W1969" i="6"/>
  <c r="W97" i="6"/>
  <c r="W592" i="6"/>
  <c r="W953" i="6"/>
  <c r="W1339" i="6"/>
  <c r="W1571" i="6"/>
  <c r="W1717" i="6"/>
  <c r="W1854" i="6"/>
  <c r="W1985" i="6"/>
  <c r="W624" i="6"/>
  <c r="W1522" i="6"/>
  <c r="W1891" i="6"/>
  <c r="W640" i="6"/>
  <c r="W1575" i="6"/>
  <c r="W1895" i="6"/>
  <c r="W1342" i="6"/>
  <c r="W1362" i="6"/>
  <c r="W667" i="6"/>
  <c r="W1590" i="6"/>
  <c r="W1958" i="6"/>
  <c r="W714" i="6"/>
  <c r="W1600" i="6"/>
  <c r="W1989" i="6"/>
  <c r="W922" i="6"/>
  <c r="W1602" i="6"/>
  <c r="W1990" i="6"/>
  <c r="W995" i="6"/>
  <c r="W1622" i="6"/>
  <c r="W1997" i="6"/>
  <c r="W1041" i="6"/>
  <c r="W1701" i="6"/>
  <c r="W1058" i="6"/>
  <c r="W1729" i="6"/>
  <c r="W1759" i="6"/>
  <c r="W285" i="6"/>
  <c r="W3" i="6"/>
  <c r="W1085" i="6"/>
  <c r="W1746" i="6"/>
  <c r="W109" i="6"/>
  <c r="W1089" i="6"/>
  <c r="W1750" i="6"/>
  <c r="W227" i="6"/>
  <c r="W1844" i="6"/>
  <c r="W110" i="6"/>
  <c r="W1298" i="6"/>
  <c r="W1751" i="6"/>
  <c r="W1875" i="6"/>
  <c r="W1869" i="6"/>
  <c r="W303" i="6"/>
  <c r="W1856" i="6"/>
  <c r="W499" i="6"/>
  <c r="W623" i="6"/>
  <c r="W1422" i="6"/>
  <c r="W1390" i="6"/>
  <c r="W1397" i="6"/>
  <c r="Z26" i="6"/>
  <c r="Z1103" i="6"/>
  <c r="Z866" i="6"/>
  <c r="Z1405" i="6"/>
  <c r="Z1908" i="6"/>
  <c r="Z1004" i="6"/>
  <c r="Z772" i="6"/>
  <c r="Z1904" i="6"/>
  <c r="Z1282" i="6"/>
  <c r="Z635" i="6"/>
  <c r="Z1797" i="6"/>
  <c r="Z1228" i="6"/>
  <c r="Z580" i="6"/>
  <c r="Z659" i="6"/>
  <c r="Z1327" i="6"/>
  <c r="Z1329" i="6"/>
  <c r="Z1330" i="6"/>
  <c r="Z1349" i="6"/>
  <c r="Z1364" i="6"/>
  <c r="Z1375" i="6"/>
  <c r="Z1596" i="6"/>
  <c r="Z1697" i="6"/>
  <c r="Z341" i="6"/>
  <c r="Z116" i="6"/>
  <c r="Z1925" i="6"/>
  <c r="Z1229" i="6"/>
  <c r="Z1764" i="6"/>
  <c r="Z820" i="6"/>
  <c r="Z41" i="6"/>
  <c r="Z837" i="6"/>
  <c r="Z1952" i="6"/>
  <c r="Z69" i="6"/>
  <c r="Z1357" i="6"/>
  <c r="Z708" i="6"/>
  <c r="Z1852" i="6"/>
  <c r="Z1284" i="6"/>
  <c r="Z658" i="6"/>
  <c r="Z737" i="6"/>
  <c r="Z1411" i="6"/>
  <c r="Z1441" i="6"/>
  <c r="Z1442" i="6"/>
  <c r="Z1453" i="6"/>
  <c r="Z1469" i="6"/>
  <c r="Z1476" i="6"/>
  <c r="Z1684" i="6"/>
  <c r="Z1556" i="6"/>
  <c r="Z8" i="6"/>
  <c r="Z877" i="6"/>
  <c r="Z1897" i="6"/>
  <c r="Z1042" i="6"/>
  <c r="Z612" i="6"/>
  <c r="Z45" i="6"/>
  <c r="Z915" i="6"/>
  <c r="Z178" i="6"/>
  <c r="Z1435" i="6"/>
  <c r="Z779" i="6"/>
  <c r="Z1906" i="6"/>
  <c r="Z72" i="6"/>
  <c r="Z1362" i="6"/>
  <c r="Z717" i="6"/>
  <c r="Z797" i="6"/>
  <c r="Z1532" i="6"/>
  <c r="Z1533" i="6"/>
  <c r="Z1534" i="6"/>
  <c r="Z1535" i="6"/>
  <c r="Z1557" i="6"/>
  <c r="Z1563" i="6"/>
  <c r="Z1773" i="6"/>
  <c r="Z1390" i="6"/>
  <c r="Z1988" i="6"/>
  <c r="Z1604" i="6"/>
  <c r="Z1077" i="6"/>
  <c r="Z1612" i="6"/>
  <c r="Z1597" i="6"/>
  <c r="Z829" i="6"/>
  <c r="Z347" i="6"/>
  <c r="Z134" i="6"/>
  <c r="Z991" i="6"/>
  <c r="Z281" i="6"/>
  <c r="Z1491" i="6"/>
  <c r="Z852" i="6"/>
  <c r="Z1962" i="6"/>
  <c r="Z181" i="6"/>
  <c r="Z1438" i="6"/>
  <c r="Z795" i="6"/>
  <c r="Z875" i="6"/>
  <c r="Z1615" i="6"/>
  <c r="Z1617" i="6"/>
  <c r="Z1635" i="6"/>
  <c r="Z1636" i="6"/>
  <c r="Z1661" i="6"/>
  <c r="Z1675" i="6"/>
  <c r="Z7" i="6"/>
  <c r="Z1869" i="6"/>
  <c r="Z1199" i="6"/>
  <c r="Z1872" i="6"/>
  <c r="Z651" i="6"/>
  <c r="Z667" i="6"/>
  <c r="Z1406" i="6"/>
  <c r="Z620" i="6"/>
  <c r="Z46" i="6"/>
  <c r="Z1069" i="6"/>
  <c r="Z381" i="6"/>
  <c r="Z1569" i="6"/>
  <c r="Z917" i="6"/>
  <c r="Z283" i="6"/>
  <c r="Z1516" i="6"/>
  <c r="Z868" i="6"/>
  <c r="Z946" i="6"/>
  <c r="Z1716" i="6"/>
  <c r="Z1733" i="6"/>
  <c r="Z1739" i="6"/>
  <c r="Z1740" i="6"/>
  <c r="Z1762" i="6"/>
  <c r="Z1763" i="6"/>
  <c r="Z213" i="6"/>
  <c r="Z1931" i="6"/>
  <c r="Z1003" i="6"/>
  <c r="Z1695" i="6"/>
  <c r="Z1277" i="6"/>
  <c r="Z1231" i="6"/>
  <c r="Z373" i="6"/>
  <c r="Z151" i="6"/>
  <c r="Z1124" i="6"/>
  <c r="Z487" i="6"/>
  <c r="Z1646" i="6"/>
  <c r="Z995" i="6"/>
  <c r="Z389" i="6"/>
  <c r="Z1581" i="6"/>
  <c r="Z945" i="6"/>
  <c r="Z1023" i="6"/>
  <c r="Z1817" i="6"/>
  <c r="Z1820" i="6"/>
  <c r="Z1821" i="6"/>
  <c r="Z1835" i="6"/>
  <c r="Z1839" i="6"/>
  <c r="Z1841" i="6"/>
  <c r="Z343" i="6"/>
  <c r="Z1996" i="6"/>
  <c r="Z818" i="6"/>
  <c r="Z1555" i="6"/>
  <c r="Z171" i="6"/>
  <c r="Z1250" i="6"/>
  <c r="Z1043" i="6"/>
  <c r="Z43" i="6"/>
  <c r="Z66" i="6"/>
  <c r="Z1202" i="6"/>
  <c r="Z546" i="6"/>
  <c r="Z1723" i="6"/>
  <c r="Z1071" i="6"/>
  <c r="Z489" i="6"/>
  <c r="Z1659" i="6"/>
  <c r="Z1022" i="6"/>
  <c r="Z73" i="6"/>
  <c r="Z1877" i="6"/>
  <c r="Z104" i="6"/>
  <c r="Z1892" i="6"/>
  <c r="Z109" i="6"/>
  <c r="Z1893" i="6"/>
  <c r="Z114" i="6"/>
  <c r="Z1895" i="6"/>
  <c r="Z133" i="6"/>
  <c r="Z1923" i="6"/>
  <c r="Z167" i="6"/>
  <c r="Z1924" i="6"/>
  <c r="Z510" i="6"/>
  <c r="Z611" i="6"/>
  <c r="Z1389" i="6"/>
  <c r="Z1410" i="6"/>
  <c r="Z1611" i="6"/>
  <c r="Z130" i="6"/>
  <c r="Z836" i="6"/>
  <c r="Z168" i="6"/>
  <c r="Z1279" i="6"/>
  <c r="Z623" i="6"/>
  <c r="Z1796" i="6"/>
  <c r="Z1149" i="6"/>
  <c r="Z571" i="6"/>
  <c r="Z1732" i="6"/>
  <c r="Z1083" i="6"/>
  <c r="Z238" i="6"/>
  <c r="Z1951" i="6"/>
  <c r="Z265" i="6"/>
  <c r="Z1964" i="6"/>
  <c r="Z274" i="6"/>
  <c r="Z1966" i="6"/>
  <c r="Z276" i="6"/>
  <c r="Z1967" i="6"/>
  <c r="Z322" i="6"/>
  <c r="Z1984" i="6"/>
  <c r="Z338" i="6"/>
  <c r="Z1985" i="6"/>
  <c r="Z619" i="6"/>
  <c r="Z346" i="6"/>
  <c r="Z1197" i="6"/>
  <c r="Z1987" i="6"/>
  <c r="Z445" i="6"/>
  <c r="Z1775" i="6"/>
  <c r="Z637" i="6"/>
  <c r="Z61" i="6"/>
  <c r="Z1356" i="6"/>
  <c r="Z700" i="6"/>
  <c r="Z1851" i="6"/>
  <c r="Z1205" i="6"/>
  <c r="Z636" i="6"/>
  <c r="Z1803" i="6"/>
  <c r="Z1156" i="6"/>
  <c r="Z425" i="6"/>
  <c r="Z436" i="6"/>
  <c r="Z437" i="6"/>
  <c r="Z443" i="6"/>
  <c r="Z453" i="6"/>
  <c r="Z454" i="6"/>
  <c r="Z740" i="6"/>
  <c r="Z18" i="6"/>
  <c r="Z980" i="6"/>
  <c r="Z1870" i="6"/>
  <c r="Z405" i="6"/>
  <c r="Z1927" i="6"/>
  <c r="Z876" i="6"/>
  <c r="Z1772" i="6"/>
  <c r="Z390" i="6"/>
  <c r="Z174" i="6"/>
  <c r="Z1429" i="6"/>
  <c r="Z773" i="6"/>
  <c r="Z1905" i="6"/>
  <c r="Z1283" i="6"/>
  <c r="Z709" i="6"/>
  <c r="Z1860" i="6"/>
  <c r="Z1233" i="6"/>
  <c r="Z542" i="6"/>
  <c r="Z543" i="6"/>
  <c r="Z572" i="6"/>
  <c r="Z573" i="6"/>
  <c r="Z591" i="6"/>
  <c r="Z593" i="6"/>
  <c r="Z865" i="6"/>
  <c r="Z763" i="6"/>
  <c r="Z1694" i="6"/>
  <c r="Z1076" i="6"/>
  <c r="Z750" i="6"/>
  <c r="Z1998" i="6"/>
  <c r="Z277" i="6"/>
  <c r="Z1490" i="6"/>
  <c r="Z843" i="6"/>
  <c r="Z1959" i="6"/>
  <c r="Z70" i="6"/>
  <c r="Z1361" i="6"/>
  <c r="Z786" i="6"/>
  <c r="Z1907" i="6"/>
  <c r="Z107" i="6"/>
  <c r="Z669" i="6"/>
  <c r="Z670" i="6"/>
  <c r="Z671" i="6"/>
  <c r="Z673" i="6"/>
  <c r="Z715" i="6"/>
  <c r="Z716" i="6"/>
  <c r="Z964" i="6"/>
  <c r="Z589" i="6"/>
  <c r="Z1531" i="6"/>
  <c r="Z1875" i="6"/>
  <c r="Z379" i="6"/>
  <c r="Z1567" i="6"/>
  <c r="Z916" i="6"/>
  <c r="Z180" i="6"/>
  <c r="Z1437" i="6"/>
  <c r="Z863" i="6"/>
  <c r="Z1963" i="6"/>
  <c r="Z105" i="6"/>
  <c r="Z217" i="6"/>
  <c r="Z788" i="6"/>
  <c r="Z789" i="6"/>
  <c r="Z798" i="6"/>
  <c r="Z817" i="6"/>
  <c r="Z821" i="6"/>
  <c r="Z828" i="6"/>
  <c r="Z1084" i="6"/>
  <c r="Z342" i="6"/>
  <c r="Z1363" i="6"/>
  <c r="Z1741" i="6"/>
  <c r="Z455" i="6"/>
  <c r="Z1644" i="6"/>
  <c r="Z994" i="6"/>
  <c r="Z282" i="6"/>
  <c r="Z1515" i="6"/>
  <c r="Z923" i="6"/>
  <c r="Z215" i="6"/>
  <c r="Z318" i="6"/>
  <c r="Z899" i="6"/>
  <c r="Z900" i="6"/>
  <c r="Z901" i="6"/>
  <c r="Z914" i="6"/>
  <c r="Z949" i="6"/>
  <c r="Z955" i="6"/>
  <c r="Z1186" i="6"/>
  <c r="Z9" i="6"/>
  <c r="Z1185" i="6"/>
  <c r="Z660" i="6"/>
  <c r="Z1454" i="6"/>
  <c r="Z1263" i="6"/>
  <c r="Z1876" i="6"/>
  <c r="Z1566" i="6"/>
  <c r="Z545" i="6"/>
  <c r="Z1717" i="6"/>
  <c r="Z1070" i="6"/>
  <c r="Z382" i="6"/>
  <c r="Z1570" i="6"/>
  <c r="Z996" i="6"/>
  <c r="Z317" i="6"/>
  <c r="Z407" i="6"/>
  <c r="Z1026" i="6"/>
  <c r="Z1027" i="6"/>
  <c r="Z1029" i="6"/>
  <c r="Z1035" i="6"/>
  <c r="Z1044" i="6"/>
  <c r="Z1058" i="6"/>
  <c r="Z1309" i="6"/>
  <c r="Z488" i="6"/>
  <c r="Z957" i="6"/>
  <c r="Z1683" i="6"/>
  <c r="Z234" i="6"/>
  <c r="Z233" i="6"/>
  <c r="Z1518" i="6"/>
  <c r="Z1810" i="6"/>
  <c r="Z1771" i="6"/>
  <c r="Z1108" i="6"/>
  <c r="Z444" i="6"/>
  <c r="Z1949" i="6"/>
  <c r="Z1348" i="6"/>
  <c r="Z690" i="6"/>
  <c r="Z1467" i="6"/>
  <c r="Z814" i="6"/>
  <c r="Z15" i="6"/>
  <c r="Z271" i="6"/>
  <c r="Z32" i="6"/>
  <c r="Z288" i="6"/>
  <c r="Z49" i="6"/>
  <c r="Z305" i="6"/>
  <c r="Z51" i="6"/>
  <c r="Z307" i="6"/>
  <c r="Z74" i="6"/>
  <c r="Z414" i="6"/>
  <c r="Z694" i="6"/>
  <c r="Z950" i="6"/>
  <c r="Z1206" i="6"/>
  <c r="Z1462" i="6"/>
  <c r="Z1718" i="6"/>
  <c r="Z1974" i="6"/>
  <c r="Z203" i="6"/>
  <c r="Z535" i="6"/>
  <c r="Z791" i="6"/>
  <c r="Z1047" i="6"/>
  <c r="Z1303" i="6"/>
  <c r="Z1559" i="6"/>
  <c r="Z1815" i="6"/>
  <c r="Z332" i="6"/>
  <c r="Z632" i="6"/>
  <c r="Z888" i="6"/>
  <c r="Z1144" i="6"/>
  <c r="Z1400" i="6"/>
  <c r="Z1656" i="6"/>
  <c r="Z557" i="6"/>
  <c r="Z450" i="6"/>
  <c r="Z1403" i="6"/>
  <c r="Z1647" i="6"/>
  <c r="Z533" i="6"/>
  <c r="Z1325" i="6"/>
  <c r="Z539" i="6"/>
  <c r="Z1455" i="6"/>
  <c r="Z1201" i="6"/>
  <c r="Z1724" i="6"/>
  <c r="Z284" i="6"/>
  <c r="Z1155" i="6"/>
  <c r="Z1285" i="6"/>
  <c r="Z1645" i="6"/>
  <c r="Z993" i="6"/>
  <c r="Z279" i="6"/>
  <c r="Z1859" i="6"/>
  <c r="Z1227" i="6"/>
  <c r="Z565" i="6"/>
  <c r="Z1948" i="6"/>
  <c r="Z1341" i="6"/>
  <c r="Z689" i="6"/>
  <c r="Z63" i="6"/>
  <c r="Z319" i="6"/>
  <c r="Z80" i="6"/>
  <c r="Z336" i="6"/>
  <c r="Z97" i="6"/>
  <c r="Z353" i="6"/>
  <c r="Z99" i="6"/>
  <c r="Z355" i="6"/>
  <c r="Z138" i="6"/>
  <c r="Z478" i="6"/>
  <c r="Z742" i="6"/>
  <c r="Z998" i="6"/>
  <c r="Z1254" i="6"/>
  <c r="Z1510" i="6"/>
  <c r="Z1766" i="6"/>
  <c r="Z267" i="6"/>
  <c r="Z583" i="6"/>
  <c r="Z839" i="6"/>
  <c r="Z1095" i="6"/>
  <c r="Z1351" i="6"/>
  <c r="Z1607" i="6"/>
  <c r="Z56" i="6"/>
  <c r="Z396" i="6"/>
  <c r="Z169" i="6"/>
  <c r="Z1170" i="6"/>
  <c r="Z1997" i="6"/>
  <c r="Z956" i="6"/>
  <c r="Z1940" i="6"/>
  <c r="Z1105" i="6"/>
  <c r="Z1605" i="6"/>
  <c r="Z948" i="6"/>
  <c r="Z218" i="6"/>
  <c r="Z1834" i="6"/>
  <c r="Z1182" i="6"/>
  <c r="Z530" i="6"/>
  <c r="Z1916" i="6"/>
  <c r="Z1301" i="6"/>
  <c r="Z644" i="6"/>
  <c r="Z79" i="6"/>
  <c r="Z335" i="6"/>
  <c r="Z96" i="6"/>
  <c r="Z352" i="6"/>
  <c r="Z113" i="6"/>
  <c r="Z369" i="6"/>
  <c r="Z115" i="6"/>
  <c r="Z371" i="6"/>
  <c r="Z158" i="6"/>
  <c r="Z502" i="6"/>
  <c r="Z758" i="6"/>
  <c r="Z1014" i="6"/>
  <c r="Z1270" i="6"/>
  <c r="Z1526" i="6"/>
  <c r="Z1782" i="6"/>
  <c r="Z290" i="6"/>
  <c r="Z599" i="6"/>
  <c r="Z855" i="6"/>
  <c r="Z1111" i="6"/>
  <c r="Z1367" i="6"/>
  <c r="Z1623" i="6"/>
  <c r="Z76" i="6"/>
  <c r="Z420" i="6"/>
  <c r="Z696" i="6"/>
  <c r="Z952" i="6"/>
  <c r="Z1208" i="6"/>
  <c r="Z1407" i="6"/>
  <c r="Z1276" i="6"/>
  <c r="Z1874" i="6"/>
  <c r="Z748" i="6"/>
  <c r="Z1836" i="6"/>
  <c r="Z878" i="6"/>
  <c r="Z1565" i="6"/>
  <c r="Z907" i="6"/>
  <c r="Z170" i="6"/>
  <c r="Z1795" i="6"/>
  <c r="Z1147" i="6"/>
  <c r="Z476" i="6"/>
  <c r="Z1889" i="6"/>
  <c r="Z1261" i="6"/>
  <c r="Z609" i="6"/>
  <c r="Z95" i="6"/>
  <c r="Z351" i="6"/>
  <c r="Z112" i="6"/>
  <c r="Z368" i="6"/>
  <c r="Z129" i="6"/>
  <c r="Z385" i="6"/>
  <c r="Z131" i="6"/>
  <c r="Z387" i="6"/>
  <c r="Z182" i="6"/>
  <c r="Z518" i="6"/>
  <c r="Z774" i="6"/>
  <c r="Z1030" i="6"/>
  <c r="Z1286" i="6"/>
  <c r="Z1542" i="6"/>
  <c r="Z1798" i="6"/>
  <c r="Z311" i="6"/>
  <c r="Z615" i="6"/>
  <c r="Z871" i="6"/>
  <c r="Z1127" i="6"/>
  <c r="Z1383" i="6"/>
  <c r="Z1639" i="6"/>
  <c r="Z100" i="6"/>
  <c r="Z440" i="6"/>
  <c r="Z712" i="6"/>
  <c r="Z968" i="6"/>
  <c r="Z1224" i="6"/>
  <c r="Z1480" i="6"/>
  <c r="Z1736" i="6"/>
  <c r="Z1992" i="6"/>
  <c r="Z229" i="6"/>
  <c r="Z622" i="6"/>
  <c r="Z1074" i="6"/>
  <c r="Z1122" i="6"/>
  <c r="Z1151" i="6"/>
  <c r="Z979" i="6"/>
  <c r="Z532" i="6"/>
  <c r="Z1682" i="6"/>
  <c r="Z692" i="6"/>
  <c r="Z1519" i="6"/>
  <c r="Z867" i="6"/>
  <c r="Z110" i="6"/>
  <c r="Z1759" i="6"/>
  <c r="Z1101" i="6"/>
  <c r="Z424" i="6"/>
  <c r="Z1858" i="6"/>
  <c r="Z1221" i="6"/>
  <c r="Z564" i="6"/>
  <c r="Z111" i="6"/>
  <c r="Z367" i="6"/>
  <c r="Z128" i="6"/>
  <c r="Z384" i="6"/>
  <c r="Z145" i="6"/>
  <c r="Z401" i="6"/>
  <c r="Z147" i="6"/>
  <c r="Z403" i="6"/>
  <c r="Z202" i="6"/>
  <c r="Z534" i="6"/>
  <c r="Z699" i="6"/>
  <c r="Z1150" i="6"/>
  <c r="Z1236" i="6"/>
  <c r="Z1249" i="6"/>
  <c r="Z751" i="6"/>
  <c r="Z237" i="6"/>
  <c r="Z1183" i="6"/>
  <c r="Z1487" i="6"/>
  <c r="Z1934" i="6"/>
  <c r="Z1933" i="6"/>
  <c r="Z490" i="6"/>
  <c r="Z1484" i="6"/>
  <c r="Z827" i="6"/>
  <c r="Z62" i="6"/>
  <c r="Z1714" i="6"/>
  <c r="Z1057" i="6"/>
  <c r="Z372" i="6"/>
  <c r="Z1787" i="6"/>
  <c r="Z588" i="6"/>
  <c r="Z1313" i="6"/>
  <c r="Z1813" i="6"/>
  <c r="Z1812" i="6"/>
  <c r="Z214" i="6"/>
  <c r="Z1439" i="6"/>
  <c r="Z787" i="6"/>
  <c r="Z6" i="6"/>
  <c r="Z1669" i="6"/>
  <c r="Z1021" i="6"/>
  <c r="Z316" i="6"/>
  <c r="Z1794" i="6"/>
  <c r="Z1135" i="6"/>
  <c r="Z475" i="6"/>
  <c r="Z143" i="6"/>
  <c r="Z399" i="6"/>
  <c r="Z160" i="6"/>
  <c r="Z416" i="6"/>
  <c r="Z177" i="6"/>
  <c r="Z433" i="6"/>
  <c r="Z179" i="6"/>
  <c r="Z435" i="6"/>
  <c r="Z246" i="6"/>
  <c r="Z566" i="6"/>
  <c r="Z822" i="6"/>
  <c r="Z1078" i="6"/>
  <c r="Z1334" i="6"/>
  <c r="Z1590" i="6"/>
  <c r="Z1846" i="6"/>
  <c r="Z34" i="6"/>
  <c r="Z375" i="6"/>
  <c r="Z663" i="6"/>
  <c r="Z919" i="6"/>
  <c r="Z1175" i="6"/>
  <c r="Z1431" i="6"/>
  <c r="Z1687" i="6"/>
  <c r="Z164" i="6"/>
  <c r="Z504" i="6"/>
  <c r="Z760" i="6"/>
  <c r="Z1016" i="6"/>
  <c r="Z1272" i="6"/>
  <c r="Z1528" i="6"/>
  <c r="Z1784" i="6"/>
  <c r="Z1761" i="6"/>
  <c r="Z406" i="6"/>
  <c r="Z1981" i="6"/>
  <c r="Z943" i="6"/>
  <c r="Z1483" i="6"/>
  <c r="Z299" i="6"/>
  <c r="Z1477" i="6"/>
  <c r="Z1961" i="6"/>
  <c r="Z1359" i="6"/>
  <c r="Z701" i="6"/>
  <c r="Z1589" i="6"/>
  <c r="Z941" i="6"/>
  <c r="Z210" i="6"/>
  <c r="Z1713" i="6"/>
  <c r="Z1055" i="6"/>
  <c r="Z370" i="6"/>
  <c r="Z175" i="6"/>
  <c r="Z431" i="6"/>
  <c r="Z192" i="6"/>
  <c r="Z448" i="6"/>
  <c r="Z209" i="6"/>
  <c r="Z465" i="6"/>
  <c r="Z211" i="6"/>
  <c r="Z467" i="6"/>
  <c r="Z286" i="6"/>
  <c r="Z598" i="6"/>
  <c r="Z854" i="6"/>
  <c r="Z1110" i="6"/>
  <c r="Z1366" i="6"/>
  <c r="Z1622" i="6"/>
  <c r="Z1878" i="6"/>
  <c r="Z75" i="6"/>
  <c r="Z1774" i="6"/>
  <c r="Z1595" i="6"/>
  <c r="Z508" i="6"/>
  <c r="Z1842" i="6"/>
  <c r="Z739" i="6"/>
  <c r="Z1311" i="6"/>
  <c r="Z1310" i="6"/>
  <c r="Z1930" i="6"/>
  <c r="Z1314" i="6"/>
  <c r="Z661" i="6"/>
  <c r="Z1554" i="6"/>
  <c r="Z895" i="6"/>
  <c r="Z150" i="6"/>
  <c r="Z1148" i="6"/>
  <c r="Z509" i="6"/>
  <c r="Z1391" i="6"/>
  <c r="Z1691" i="6"/>
  <c r="Z531" i="6"/>
  <c r="Z1107" i="6"/>
  <c r="Z1106" i="6"/>
  <c r="Z1898" i="6"/>
  <c r="Z1278" i="6"/>
  <c r="Z621" i="6"/>
  <c r="Z1508" i="6"/>
  <c r="Z851" i="6"/>
  <c r="Z103" i="6"/>
  <c r="Z1633" i="6"/>
  <c r="Z975" i="6"/>
  <c r="Z253" i="6"/>
  <c r="Z207" i="6"/>
  <c r="Z463" i="6"/>
  <c r="Z224" i="6"/>
  <c r="Z480" i="6"/>
  <c r="Z241" i="6"/>
  <c r="Z497" i="6"/>
  <c r="Z243" i="6"/>
  <c r="Z499" i="6"/>
  <c r="Z330" i="6"/>
  <c r="Z630" i="6"/>
  <c r="Z886" i="6"/>
  <c r="Z1142" i="6"/>
  <c r="Z1398" i="6"/>
  <c r="Z1654" i="6"/>
  <c r="Z1910" i="6"/>
  <c r="Z1204" i="6"/>
  <c r="Z587" i="6"/>
  <c r="Z1485" i="6"/>
  <c r="Z1517" i="6"/>
  <c r="Z235" i="6"/>
  <c r="Z942" i="6"/>
  <c r="Z898" i="6"/>
  <c r="Z1982" i="6"/>
  <c r="Z1121" i="6"/>
  <c r="Z1123" i="6"/>
  <c r="Z1163" i="6"/>
  <c r="Z1326" i="6"/>
  <c r="Z1613" i="6"/>
  <c r="Z541" i="6"/>
  <c r="Z645" i="6"/>
  <c r="Z1588" i="6"/>
  <c r="Z201" i="6"/>
  <c r="Z479" i="6"/>
  <c r="Z496" i="6"/>
  <c r="Z3" i="6"/>
  <c r="Z10" i="6"/>
  <c r="Z646" i="6"/>
  <c r="Z1094" i="6"/>
  <c r="Z1558" i="6"/>
  <c r="Z1990" i="6"/>
  <c r="Z98" i="6"/>
  <c r="Z551" i="6"/>
  <c r="Z951" i="6"/>
  <c r="Z1287" i="6"/>
  <c r="Z1703" i="6"/>
  <c r="Z292" i="6"/>
  <c r="Z728" i="6"/>
  <c r="Z1064" i="6"/>
  <c r="Z1384" i="6"/>
  <c r="Z1704" i="6"/>
  <c r="Z57" i="6"/>
  <c r="Z421" i="6"/>
  <c r="Z697" i="6"/>
  <c r="Z953" i="6"/>
  <c r="Z1209" i="6"/>
  <c r="Z1465" i="6"/>
  <c r="Z1721" i="6"/>
  <c r="Z230" i="6"/>
  <c r="Z554" i="6"/>
  <c r="Z810" i="6"/>
  <c r="Z1066" i="6"/>
  <c r="Z1322" i="6"/>
  <c r="Z1578" i="6"/>
  <c r="Z4" i="6"/>
  <c r="Z344" i="6"/>
  <c r="Z640" i="6"/>
  <c r="Z896" i="6"/>
  <c r="Z1152" i="6"/>
  <c r="Z1408" i="6"/>
  <c r="Z1664" i="6"/>
  <c r="Z219" i="6"/>
  <c r="Z702" i="6"/>
  <c r="Z1109" i="6"/>
  <c r="Z1521" i="6"/>
  <c r="Z1899" i="6"/>
  <c r="Z427" i="6"/>
  <c r="Z859" i="6"/>
  <c r="Z1266" i="6"/>
  <c r="Z1677" i="6"/>
  <c r="Z89" i="6"/>
  <c r="Z604" i="6"/>
  <c r="Z1011" i="6"/>
  <c r="Z1422" i="6"/>
  <c r="Z1827" i="6"/>
  <c r="Z297" i="6"/>
  <c r="Z756" i="6"/>
  <c r="Z1167" i="6"/>
  <c r="Z1579" i="6"/>
  <c r="Z1938" i="6"/>
  <c r="Z529" i="6"/>
  <c r="Z940" i="6"/>
  <c r="Z1347" i="6"/>
  <c r="Z1758" i="6"/>
  <c r="Z173" i="6"/>
  <c r="Z668" i="6"/>
  <c r="Z1075" i="6"/>
  <c r="Z1486" i="6"/>
  <c r="Z1873" i="6"/>
  <c r="Z1747" i="6"/>
  <c r="Z1099" i="6"/>
  <c r="Z413" i="6"/>
  <c r="Z1856" i="6"/>
  <c r="Z1213" i="6"/>
  <c r="Z561" i="6"/>
  <c r="Z1943" i="6"/>
  <c r="Z1333" i="6"/>
  <c r="Z685" i="6"/>
  <c r="Z1457" i="6"/>
  <c r="Z799" i="6"/>
  <c r="Z27" i="6"/>
  <c r="Z1119" i="6"/>
  <c r="Z491" i="6"/>
  <c r="Z610" i="6"/>
  <c r="Z1547" i="6"/>
  <c r="Z149" i="6"/>
  <c r="Z495" i="6"/>
  <c r="Z17" i="6"/>
  <c r="Z19" i="6"/>
  <c r="Z30" i="6"/>
  <c r="Z662" i="6"/>
  <c r="Z1126" i="6"/>
  <c r="Z1574" i="6"/>
  <c r="Z119" i="6"/>
  <c r="Z567" i="6"/>
  <c r="Z967" i="6"/>
  <c r="Z1319" i="6"/>
  <c r="Z1719" i="6"/>
  <c r="Z312" i="6"/>
  <c r="Z744" i="6"/>
  <c r="Z1080" i="6"/>
  <c r="Z1416" i="6"/>
  <c r="Z1720" i="6"/>
  <c r="Z77" i="6"/>
  <c r="Z441" i="6"/>
  <c r="Z713" i="6"/>
  <c r="Z969" i="6"/>
  <c r="Z1225" i="6"/>
  <c r="Z1481" i="6"/>
  <c r="Z1737" i="6"/>
  <c r="Z250" i="6"/>
  <c r="Z570" i="6"/>
  <c r="Z826" i="6"/>
  <c r="Z1082" i="6"/>
  <c r="Z1338" i="6"/>
  <c r="Z1594" i="6"/>
  <c r="Z24" i="6"/>
  <c r="Z364" i="6"/>
  <c r="Z656" i="6"/>
  <c r="Z912" i="6"/>
  <c r="Z1168" i="6"/>
  <c r="Z1424" i="6"/>
  <c r="Z1680" i="6"/>
  <c r="Z254" i="6"/>
  <c r="Z725" i="6"/>
  <c r="Z1137" i="6"/>
  <c r="Z1548" i="6"/>
  <c r="Z1917" i="6"/>
  <c r="Z466" i="6"/>
  <c r="Z882" i="6"/>
  <c r="Z1293" i="6"/>
  <c r="Z1700" i="6"/>
  <c r="Z124" i="6"/>
  <c r="Z627" i="6"/>
  <c r="Z1038" i="6"/>
  <c r="Z1445" i="6"/>
  <c r="Z1845" i="6"/>
  <c r="Z328" i="6"/>
  <c r="Z783" i="6"/>
  <c r="Z1195" i="6"/>
  <c r="Z1602" i="6"/>
  <c r="Z1956" i="6"/>
  <c r="Z25" i="6"/>
  <c r="Z556" i="6"/>
  <c r="Z963" i="6"/>
  <c r="Z1374" i="6"/>
  <c r="Z1781" i="6"/>
  <c r="Z212" i="6"/>
  <c r="Z691" i="6"/>
  <c r="Z1102" i="6"/>
  <c r="Z1509" i="6"/>
  <c r="Z1891" i="6"/>
  <c r="Z1711" i="6"/>
  <c r="Z1054" i="6"/>
  <c r="Z366" i="6"/>
  <c r="Z1824" i="6"/>
  <c r="Z1173" i="6"/>
  <c r="Z516" i="6"/>
  <c r="Z1913" i="6"/>
  <c r="Z1298" i="6"/>
  <c r="Z639" i="6"/>
  <c r="Z1999" i="6"/>
  <c r="Z1412" i="6"/>
  <c r="Z764" i="6"/>
  <c r="Z1950" i="6"/>
  <c r="Z1986" i="6"/>
  <c r="Z386" i="6"/>
  <c r="Z264" i="6"/>
  <c r="Z1507" i="6"/>
  <c r="Z93" i="6"/>
  <c r="Z16" i="6"/>
  <c r="Z33" i="6"/>
  <c r="Z35" i="6"/>
  <c r="Z54" i="6"/>
  <c r="Z678" i="6"/>
  <c r="Z1158" i="6"/>
  <c r="Z1606" i="6"/>
  <c r="Z139" i="6"/>
  <c r="Z631" i="6"/>
  <c r="Z983" i="6"/>
  <c r="Z1335" i="6"/>
  <c r="Z1735" i="6"/>
  <c r="Z356" i="6"/>
  <c r="Z776" i="6"/>
  <c r="Z1096" i="6"/>
  <c r="Z1432" i="6"/>
  <c r="Z1752" i="6"/>
  <c r="Z101" i="6"/>
  <c r="Z461" i="6"/>
  <c r="Z729" i="6"/>
  <c r="Z985" i="6"/>
  <c r="Z1241" i="6"/>
  <c r="Z1497" i="6"/>
  <c r="Z1753" i="6"/>
  <c r="Z270" i="6"/>
  <c r="Z586" i="6"/>
  <c r="Z842" i="6"/>
  <c r="Z1098" i="6"/>
  <c r="Z1354" i="6"/>
  <c r="Z1610" i="6"/>
  <c r="Z44" i="6"/>
  <c r="Z388" i="6"/>
  <c r="Z672" i="6"/>
  <c r="Z928" i="6"/>
  <c r="Z1184" i="6"/>
  <c r="Z1440" i="6"/>
  <c r="Z1696" i="6"/>
  <c r="Z285" i="6"/>
  <c r="Z753" i="6"/>
  <c r="Z1164" i="6"/>
  <c r="Z1571" i="6"/>
  <c r="Z1935" i="6"/>
  <c r="Z494" i="6"/>
  <c r="Z909" i="6"/>
  <c r="Z1316" i="6"/>
  <c r="Z1727" i="6"/>
  <c r="Z155" i="6"/>
  <c r="Z654" i="6"/>
  <c r="Z1061" i="6"/>
  <c r="Z1473" i="6"/>
  <c r="Z1865" i="6"/>
  <c r="Z363" i="6"/>
  <c r="Z811" i="6"/>
  <c r="Z1218" i="6"/>
  <c r="Z1629" i="6"/>
  <c r="Z1975" i="6"/>
  <c r="Z60" i="6"/>
  <c r="Z579" i="6"/>
  <c r="Z990" i="6"/>
  <c r="Z1397" i="6"/>
  <c r="Z1809" i="6"/>
  <c r="Z242" i="6"/>
  <c r="Z718" i="6"/>
  <c r="Z1125" i="6"/>
  <c r="Z1537" i="6"/>
  <c r="Z1909" i="6"/>
  <c r="Z1667" i="6"/>
  <c r="Z1019" i="6"/>
  <c r="Z308" i="6"/>
  <c r="Z1790" i="6"/>
  <c r="Z1133" i="6"/>
  <c r="Z473" i="6"/>
  <c r="Z1886" i="6"/>
  <c r="Z1252" i="6"/>
  <c r="Z595" i="6"/>
  <c r="Z1968" i="6"/>
  <c r="Z1377" i="6"/>
  <c r="Z719" i="6"/>
  <c r="Z1838" i="6"/>
  <c r="Z1871" i="6"/>
  <c r="Z340" i="6"/>
  <c r="Z1980" i="6"/>
  <c r="Z42" i="6"/>
  <c r="Z1427" i="6"/>
  <c r="Z31" i="6"/>
  <c r="Z48" i="6"/>
  <c r="Z65" i="6"/>
  <c r="Z67" i="6"/>
  <c r="Z94" i="6"/>
  <c r="Z710" i="6"/>
  <c r="Z1174" i="6"/>
  <c r="Z1638" i="6"/>
  <c r="Z162" i="6"/>
  <c r="Z647" i="6"/>
  <c r="Z999" i="6"/>
  <c r="Z1399" i="6"/>
  <c r="Z1751" i="6"/>
  <c r="Z376" i="6"/>
  <c r="Z792" i="6"/>
  <c r="Z1112" i="6"/>
  <c r="Z1448" i="6"/>
  <c r="Z1768" i="6"/>
  <c r="Z121" i="6"/>
  <c r="Z485" i="6"/>
  <c r="Z745" i="6"/>
  <c r="Z1001" i="6"/>
  <c r="Z1257" i="6"/>
  <c r="Z1513" i="6"/>
  <c r="Z1769" i="6"/>
  <c r="Z294" i="6"/>
  <c r="Z602" i="6"/>
  <c r="Z858" i="6"/>
  <c r="Z1114" i="6"/>
  <c r="Z1370" i="6"/>
  <c r="Z1626" i="6"/>
  <c r="Z68" i="6"/>
  <c r="Z408" i="6"/>
  <c r="Z688" i="6"/>
  <c r="Z944" i="6"/>
  <c r="Z1200" i="6"/>
  <c r="Z1456" i="6"/>
  <c r="Z1712" i="6"/>
  <c r="Z325" i="6"/>
  <c r="Z780" i="6"/>
  <c r="Z1187" i="6"/>
  <c r="Z1598" i="6"/>
  <c r="Z1953" i="6"/>
  <c r="Z525" i="6"/>
  <c r="Z932" i="6"/>
  <c r="Z1343" i="6"/>
  <c r="Z1755" i="6"/>
  <c r="Z190" i="6"/>
  <c r="Z677" i="6"/>
  <c r="Z1089" i="6"/>
  <c r="Z1500" i="6"/>
  <c r="Z1883" i="6"/>
  <c r="Z402" i="6"/>
  <c r="Z834" i="6"/>
  <c r="Z1245" i="6"/>
  <c r="Z1652" i="6"/>
  <c r="Z1994" i="6"/>
  <c r="Z91" i="6"/>
  <c r="Z606" i="6"/>
  <c r="Z1013" i="6"/>
  <c r="Z1425" i="6"/>
  <c r="Z1829" i="6"/>
  <c r="Z278" i="6"/>
  <c r="Z741" i="6"/>
  <c r="Z1153" i="6"/>
  <c r="Z1564" i="6"/>
  <c r="Z1929" i="6"/>
  <c r="Z1631" i="6"/>
  <c r="Z973" i="6"/>
  <c r="Z252" i="6"/>
  <c r="Z1746" i="6"/>
  <c r="Z1093" i="6"/>
  <c r="Z412" i="6"/>
  <c r="Z1850" i="6"/>
  <c r="Z1489" i="6"/>
  <c r="Z1840" i="6"/>
  <c r="Z1922" i="6"/>
  <c r="Z1387" i="6"/>
  <c r="Z47" i="6"/>
  <c r="Z64" i="6"/>
  <c r="Z81" i="6"/>
  <c r="Z83" i="6"/>
  <c r="Z118" i="6"/>
  <c r="Z726" i="6"/>
  <c r="Z1190" i="6"/>
  <c r="Z1670" i="6"/>
  <c r="Z183" i="6"/>
  <c r="Z679" i="6"/>
  <c r="Z1015" i="6"/>
  <c r="Z1415" i="6"/>
  <c r="Z1767" i="6"/>
  <c r="Z460" i="6"/>
  <c r="Z808" i="6"/>
  <c r="Z1128" i="6"/>
  <c r="Z1464" i="6"/>
  <c r="Z1800" i="6"/>
  <c r="Z141" i="6"/>
  <c r="Z505" i="6"/>
  <c r="Z761" i="6"/>
  <c r="Z1017" i="6"/>
  <c r="Z1273" i="6"/>
  <c r="Z1529" i="6"/>
  <c r="Z1785" i="6"/>
  <c r="Z314" i="6"/>
  <c r="Z618" i="6"/>
  <c r="Z874" i="6"/>
  <c r="Z1130" i="6"/>
  <c r="Z1386" i="6"/>
  <c r="Z1642" i="6"/>
  <c r="Z88" i="6"/>
  <c r="Z428" i="6"/>
  <c r="Z704" i="6"/>
  <c r="Z960" i="6"/>
  <c r="Z1216" i="6"/>
  <c r="Z1472" i="6"/>
  <c r="Z1728" i="6"/>
  <c r="Z360" i="6"/>
  <c r="Z803" i="6"/>
  <c r="Z1214" i="6"/>
  <c r="Z1621" i="6"/>
  <c r="Z1971" i="6"/>
  <c r="Z21" i="6"/>
  <c r="Z548" i="6"/>
  <c r="Z959" i="6"/>
  <c r="Z1371" i="6"/>
  <c r="Z1778" i="6"/>
  <c r="Z221" i="6"/>
  <c r="Z705" i="6"/>
  <c r="Z1116" i="6"/>
  <c r="Z1523" i="6"/>
  <c r="Z1901" i="6"/>
  <c r="Z430" i="6"/>
  <c r="Z861" i="6"/>
  <c r="Z1268" i="6"/>
  <c r="Z1679" i="6"/>
  <c r="Z126" i="6"/>
  <c r="Z629" i="6"/>
  <c r="Z1041" i="6"/>
  <c r="Z1452" i="6"/>
  <c r="Z1849" i="6"/>
  <c r="Z309" i="6"/>
  <c r="Z769" i="6"/>
  <c r="Z1180" i="6"/>
  <c r="Z1587" i="6"/>
  <c r="Z1947" i="6"/>
  <c r="Z1586" i="6"/>
  <c r="Z929" i="6"/>
  <c r="Z200" i="6"/>
  <c r="Z1710" i="6"/>
  <c r="Z1053" i="6"/>
  <c r="Z359" i="6"/>
  <c r="Z1823" i="6"/>
  <c r="Z1172" i="6"/>
  <c r="Z515" i="6"/>
  <c r="Z1911" i="6"/>
  <c r="Z1291" i="6"/>
  <c r="Z638" i="6"/>
  <c r="Z1811" i="6"/>
  <c r="Z1890" i="6"/>
  <c r="Z1181" i="6"/>
  <c r="Z127" i="6"/>
  <c r="Z144" i="6"/>
  <c r="Z161" i="6"/>
  <c r="Z163" i="6"/>
  <c r="Z222" i="6"/>
  <c r="Z790" i="6"/>
  <c r="Z1222" i="6"/>
  <c r="Z1686" i="6"/>
  <c r="Z226" i="6"/>
  <c r="Z695" i="6"/>
  <c r="Z1031" i="6"/>
  <c r="Z1447" i="6"/>
  <c r="Z1783" i="6"/>
  <c r="Z484" i="6"/>
  <c r="Z824" i="6"/>
  <c r="Z1160" i="6"/>
  <c r="Z1496" i="6"/>
  <c r="Z1816" i="6"/>
  <c r="Z165" i="6"/>
  <c r="Z521" i="6"/>
  <c r="Z777" i="6"/>
  <c r="Z1033" i="6"/>
  <c r="Z1289" i="6"/>
  <c r="Z1545" i="6"/>
  <c r="Z1801" i="6"/>
  <c r="Z334" i="6"/>
  <c r="Z634" i="6"/>
  <c r="Z890" i="6"/>
  <c r="Z1146" i="6"/>
  <c r="Z1402" i="6"/>
  <c r="Z1658" i="6"/>
  <c r="Z108" i="6"/>
  <c r="Z452" i="6"/>
  <c r="Z720" i="6"/>
  <c r="Z976" i="6"/>
  <c r="Z1232" i="6"/>
  <c r="Z1488" i="6"/>
  <c r="Z1744" i="6"/>
  <c r="Z391" i="6"/>
  <c r="Z830" i="6"/>
  <c r="Z1237" i="6"/>
  <c r="Z1649" i="6"/>
  <c r="Z1989" i="6"/>
  <c r="Z52" i="6"/>
  <c r="Z575" i="6"/>
  <c r="Z987" i="6"/>
  <c r="Z1394" i="6"/>
  <c r="Z1805" i="6"/>
  <c r="Z261" i="6"/>
  <c r="Z732" i="6"/>
  <c r="Z1139" i="6"/>
  <c r="Z1550" i="6"/>
  <c r="Z1919" i="6"/>
  <c r="Z469" i="6"/>
  <c r="Z884" i="6"/>
  <c r="Z1295" i="6"/>
  <c r="Z1707" i="6"/>
  <c r="Z157" i="6"/>
  <c r="Z657" i="6"/>
  <c r="Z1068" i="6"/>
  <c r="Z1475" i="6"/>
  <c r="Z1867" i="6"/>
  <c r="Z345" i="6"/>
  <c r="Z796" i="6"/>
  <c r="Z1203" i="6"/>
  <c r="Z1614" i="6"/>
  <c r="Z1965" i="6"/>
  <c r="Z1541" i="6"/>
  <c r="Z893" i="6"/>
  <c r="Z148" i="6"/>
  <c r="Z1666" i="6"/>
  <c r="Z1007" i="6"/>
  <c r="Z306" i="6"/>
  <c r="Z1789" i="6"/>
  <c r="Z1132" i="6"/>
  <c r="Z471" i="6"/>
  <c r="Z1879" i="6"/>
  <c r="Z1251" i="6"/>
  <c r="Z594" i="6"/>
  <c r="Z1868" i="6"/>
  <c r="Z1725" i="6"/>
  <c r="Z1634" i="6"/>
  <c r="Z1100" i="6"/>
  <c r="Z159" i="6"/>
  <c r="Z176" i="6"/>
  <c r="Z193" i="6"/>
  <c r="Z195" i="6"/>
  <c r="Z266" i="6"/>
  <c r="Z806" i="6"/>
  <c r="Z1238" i="6"/>
  <c r="Z1702" i="6"/>
  <c r="Z247" i="6"/>
  <c r="Z711" i="6"/>
  <c r="Z1063" i="6"/>
  <c r="Z1463" i="6"/>
  <c r="Z1799" i="6"/>
  <c r="Z520" i="6"/>
  <c r="Z840" i="6"/>
  <c r="Z1176" i="6"/>
  <c r="Z1512" i="6"/>
  <c r="Z1832" i="6"/>
  <c r="Z185" i="6"/>
  <c r="Z537" i="6"/>
  <c r="Z793" i="6"/>
  <c r="Z1049" i="6"/>
  <c r="Z1305" i="6"/>
  <c r="Z1561" i="6"/>
  <c r="Z14" i="6"/>
  <c r="Z358" i="6"/>
  <c r="Z650" i="6"/>
  <c r="Z906" i="6"/>
  <c r="Z1162" i="6"/>
  <c r="Z1418" i="6"/>
  <c r="Z1674" i="6"/>
  <c r="Z132" i="6"/>
  <c r="Z472" i="6"/>
  <c r="Z736" i="6"/>
  <c r="Z992" i="6"/>
  <c r="Z1248" i="6"/>
  <c r="Z1504" i="6"/>
  <c r="Z1760" i="6"/>
  <c r="Z426" i="6"/>
  <c r="Z853" i="6"/>
  <c r="Z1265" i="6"/>
  <c r="Z1676" i="6"/>
  <c r="Z87" i="6"/>
  <c r="Z603" i="6"/>
  <c r="Z1010" i="6"/>
  <c r="Z1421" i="6"/>
  <c r="Z1826" i="6"/>
  <c r="Z296" i="6"/>
  <c r="Z755" i="6"/>
  <c r="Z1166" i="6"/>
  <c r="Z1573" i="6"/>
  <c r="Z1937" i="6"/>
  <c r="Z500" i="6"/>
  <c r="Z911" i="6"/>
  <c r="Z1323" i="6"/>
  <c r="Z1730" i="6"/>
  <c r="Z197" i="6"/>
  <c r="Z684" i="6"/>
  <c r="Z1091" i="6"/>
  <c r="Z1502" i="6"/>
  <c r="Z1885" i="6"/>
  <c r="Z380" i="6"/>
  <c r="Z819" i="6"/>
  <c r="Z1230" i="6"/>
  <c r="Z1637" i="6"/>
  <c r="Z1983" i="6"/>
  <c r="Z1235" i="6"/>
  <c r="Z1693" i="6"/>
  <c r="Z1685" i="6"/>
  <c r="Z1468" i="6"/>
  <c r="Z1020" i="6"/>
  <c r="Z191" i="6"/>
  <c r="Z208" i="6"/>
  <c r="Z225" i="6"/>
  <c r="Z227" i="6"/>
  <c r="Z310" i="6"/>
  <c r="Z838" i="6"/>
  <c r="Z1302" i="6"/>
  <c r="Z1734" i="6"/>
  <c r="Z331" i="6"/>
  <c r="Z727" i="6"/>
  <c r="Z1079" i="6"/>
  <c r="Z1479" i="6"/>
  <c r="Z12" i="6"/>
  <c r="Z536" i="6"/>
  <c r="Z856" i="6"/>
  <c r="Z1192" i="6"/>
  <c r="Z1544" i="6"/>
  <c r="Z1848" i="6"/>
  <c r="Z205" i="6"/>
  <c r="Z553" i="6"/>
  <c r="Z809" i="6"/>
  <c r="Z1065" i="6"/>
  <c r="Z1321" i="6"/>
  <c r="Z1577" i="6"/>
  <c r="Z38" i="6"/>
  <c r="Z378" i="6"/>
  <c r="Z666" i="6"/>
  <c r="Z922" i="6"/>
  <c r="Z1178" i="6"/>
  <c r="Z1434" i="6"/>
  <c r="Z1690" i="6"/>
  <c r="Z152" i="6"/>
  <c r="Z492" i="6"/>
  <c r="Z752" i="6"/>
  <c r="Z1008" i="6"/>
  <c r="Z1264" i="6"/>
  <c r="Z1520" i="6"/>
  <c r="Z1776" i="6"/>
  <c r="Z457" i="6"/>
  <c r="Z881" i="6"/>
  <c r="Z1292" i="6"/>
  <c r="Z1699" i="6"/>
  <c r="Z123" i="6"/>
  <c r="Z626" i="6"/>
  <c r="Z1037" i="6"/>
  <c r="Z1444" i="6"/>
  <c r="Z1844" i="6"/>
  <c r="Z327" i="6"/>
  <c r="Z782" i="6"/>
  <c r="Z1189" i="6"/>
  <c r="Z1601" i="6"/>
  <c r="Z1955" i="6"/>
  <c r="Z527" i="6"/>
  <c r="Z939" i="6"/>
  <c r="Z1346" i="6"/>
  <c r="Z1757" i="6"/>
  <c r="Z1355" i="6"/>
  <c r="Z1404" i="6"/>
  <c r="Z1428" i="6"/>
  <c r="Z930" i="6"/>
  <c r="Z223" i="6"/>
  <c r="Z240" i="6"/>
  <c r="Z257" i="6"/>
  <c r="Z259" i="6"/>
  <c r="Z350" i="6"/>
  <c r="Z870" i="6"/>
  <c r="Z1318" i="6"/>
  <c r="Z1750" i="6"/>
  <c r="Z354" i="6"/>
  <c r="Z743" i="6"/>
  <c r="Z1143" i="6"/>
  <c r="Z1495" i="6"/>
  <c r="Z36" i="6"/>
  <c r="Z552" i="6"/>
  <c r="Z872" i="6"/>
  <c r="Z1240" i="6"/>
  <c r="Z1560" i="6"/>
  <c r="Z1864" i="6"/>
  <c r="Z249" i="6"/>
  <c r="Z569" i="6"/>
  <c r="Z825" i="6"/>
  <c r="Z1081" i="6"/>
  <c r="Z1337" i="6"/>
  <c r="Z1593" i="6"/>
  <c r="Z58" i="6"/>
  <c r="Z398" i="6"/>
  <c r="Z682" i="6"/>
  <c r="Z938" i="6"/>
  <c r="Z1194" i="6"/>
  <c r="Z1450" i="6"/>
  <c r="Z1706" i="6"/>
  <c r="Z172" i="6"/>
  <c r="Z512" i="6"/>
  <c r="Z768" i="6"/>
  <c r="Z1024" i="6"/>
  <c r="Z1280" i="6"/>
  <c r="Z1536" i="6"/>
  <c r="Z1792" i="6"/>
  <c r="Z493" i="6"/>
  <c r="Z908" i="6"/>
  <c r="Z1315" i="6"/>
  <c r="Z1726" i="6"/>
  <c r="Z154" i="6"/>
  <c r="Z653" i="6"/>
  <c r="Z1060" i="6"/>
  <c r="Z1471" i="6"/>
  <c r="Z1863" i="6"/>
  <c r="Z362" i="6"/>
  <c r="Z805" i="6"/>
  <c r="Z1217" i="6"/>
  <c r="Z1628" i="6"/>
  <c r="Z1973" i="6"/>
  <c r="Z23" i="6"/>
  <c r="Z555" i="6"/>
  <c r="Z962" i="6"/>
  <c r="Z1373" i="6"/>
  <c r="Z1780" i="6"/>
  <c r="Z263" i="6"/>
  <c r="Z734" i="6"/>
  <c r="Z1141" i="6"/>
  <c r="Z1553" i="6"/>
  <c r="Z1921" i="6"/>
  <c r="Z446" i="6"/>
  <c r="Z869" i="6"/>
  <c r="Z1281" i="6"/>
  <c r="Z1692" i="6"/>
  <c r="Z1426" i="6"/>
  <c r="Z767" i="6"/>
  <c r="Z1540" i="6"/>
  <c r="Z892" i="6"/>
  <c r="Z146" i="6"/>
  <c r="Z1247" i="6"/>
  <c r="Z1157" i="6"/>
  <c r="Z1234" i="6"/>
  <c r="Z1388" i="6"/>
  <c r="Z894" i="6"/>
  <c r="Z239" i="6"/>
  <c r="Z256" i="6"/>
  <c r="Z273" i="6"/>
  <c r="Z275" i="6"/>
  <c r="Z374" i="6"/>
  <c r="Z902" i="6"/>
  <c r="Z1350" i="6"/>
  <c r="Z1814" i="6"/>
  <c r="Z395" i="6"/>
  <c r="Z759" i="6"/>
  <c r="Z1159" i="6"/>
  <c r="Z1511" i="6"/>
  <c r="Z120" i="6"/>
  <c r="Z568" i="6"/>
  <c r="Z904" i="6"/>
  <c r="Z1256" i="6"/>
  <c r="Z1576" i="6"/>
  <c r="Z1880" i="6"/>
  <c r="Z269" i="6"/>
  <c r="Z585" i="6"/>
  <c r="Z841" i="6"/>
  <c r="Z1097" i="6"/>
  <c r="Z1353" i="6"/>
  <c r="Z1609" i="6"/>
  <c r="Z78" i="6"/>
  <c r="Z422" i="6"/>
  <c r="Z698" i="6"/>
  <c r="Z954" i="6"/>
  <c r="Z1210" i="6"/>
  <c r="Z1466" i="6"/>
  <c r="Z1722" i="6"/>
  <c r="Z196" i="6"/>
  <c r="Z528" i="6"/>
  <c r="Z784" i="6"/>
  <c r="Z1040" i="6"/>
  <c r="Z1296" i="6"/>
  <c r="Z1552" i="6"/>
  <c r="Z1808" i="6"/>
  <c r="Z524" i="6"/>
  <c r="Z931" i="6"/>
  <c r="Z1342" i="6"/>
  <c r="Z1749" i="6"/>
  <c r="Z189" i="6"/>
  <c r="Z676" i="6"/>
  <c r="Z1087" i="6"/>
  <c r="Z1499" i="6"/>
  <c r="Z1882" i="6"/>
  <c r="Z393" i="6"/>
  <c r="Z833" i="6"/>
  <c r="Z1244" i="6"/>
  <c r="Z1651" i="6"/>
  <c r="Z1993" i="6"/>
  <c r="Z59" i="6"/>
  <c r="Z578" i="6"/>
  <c r="Z989" i="6"/>
  <c r="Z1396" i="6"/>
  <c r="Z1807" i="6"/>
  <c r="Z749" i="6"/>
  <c r="Z1198" i="6"/>
  <c r="Z1307" i="6"/>
  <c r="Z850" i="6"/>
  <c r="Z255" i="6"/>
  <c r="Z272" i="6"/>
  <c r="Z289" i="6"/>
  <c r="Z291" i="6"/>
  <c r="Z394" i="6"/>
  <c r="Z918" i="6"/>
  <c r="Z1382" i="6"/>
  <c r="Z1830" i="6"/>
  <c r="Z418" i="6"/>
  <c r="Z775" i="6"/>
  <c r="Z1191" i="6"/>
  <c r="Z1527" i="6"/>
  <c r="Z140" i="6"/>
  <c r="Z584" i="6"/>
  <c r="Z920" i="6"/>
  <c r="Z1288" i="6"/>
  <c r="Z1592" i="6"/>
  <c r="Z1896" i="6"/>
  <c r="Z293" i="6"/>
  <c r="Z601" i="6"/>
  <c r="Z857" i="6"/>
  <c r="Z1113" i="6"/>
  <c r="Z1369" i="6"/>
  <c r="Z1625" i="6"/>
  <c r="Z102" i="6"/>
  <c r="Z442" i="6"/>
  <c r="Z714" i="6"/>
  <c r="Z970" i="6"/>
  <c r="Z1226" i="6"/>
  <c r="Z1482" i="6"/>
  <c r="Z1738" i="6"/>
  <c r="Z216" i="6"/>
  <c r="Z544" i="6"/>
  <c r="Z800" i="6"/>
  <c r="Z1056" i="6"/>
  <c r="Z1312" i="6"/>
  <c r="Z1568" i="6"/>
  <c r="Z20" i="6"/>
  <c r="Z547" i="6"/>
  <c r="Z958" i="6"/>
  <c r="Z1365" i="6"/>
  <c r="Z1777" i="6"/>
  <c r="Z220" i="6"/>
  <c r="Z703" i="6"/>
  <c r="Z1115" i="6"/>
  <c r="Z1522" i="6"/>
  <c r="Z1900" i="6"/>
  <c r="Z429" i="6"/>
  <c r="Z860" i="6"/>
  <c r="Z1267" i="6"/>
  <c r="Z1678" i="6"/>
  <c r="Z90" i="6"/>
  <c r="Z605" i="6"/>
  <c r="Z1012" i="6"/>
  <c r="Z1423" i="6"/>
  <c r="Z1828" i="6"/>
  <c r="Z329" i="6"/>
  <c r="Z785" i="6"/>
  <c r="Z1196" i="6"/>
  <c r="Z1603" i="6"/>
  <c r="Z1957" i="6"/>
  <c r="Z1275" i="6"/>
  <c r="Z1154" i="6"/>
  <c r="Z1262" i="6"/>
  <c r="Z770" i="6"/>
  <c r="Z287" i="6"/>
  <c r="Z304" i="6"/>
  <c r="Z321" i="6"/>
  <c r="Z323" i="6"/>
  <c r="Z438" i="6"/>
  <c r="Z934" i="6"/>
  <c r="Z1414" i="6"/>
  <c r="Z1862" i="6"/>
  <c r="Z439" i="6"/>
  <c r="Z807" i="6"/>
  <c r="Z1207" i="6"/>
  <c r="Z1543" i="6"/>
  <c r="Z184" i="6"/>
  <c r="Z600" i="6"/>
  <c r="Z936" i="6"/>
  <c r="Z1304" i="6"/>
  <c r="Z1608" i="6"/>
  <c r="Z1912" i="6"/>
  <c r="Z313" i="6"/>
  <c r="Z617" i="6"/>
  <c r="Z873" i="6"/>
  <c r="Z1129" i="6"/>
  <c r="Z1385" i="6"/>
  <c r="Z1641" i="6"/>
  <c r="Z122" i="6"/>
  <c r="Z462" i="6"/>
  <c r="Z730" i="6"/>
  <c r="Z986" i="6"/>
  <c r="Z1242" i="6"/>
  <c r="Z1498" i="6"/>
  <c r="Z1754" i="6"/>
  <c r="Z236" i="6"/>
  <c r="Z560" i="6"/>
  <c r="Z816" i="6"/>
  <c r="Z1072" i="6"/>
  <c r="Z1328" i="6"/>
  <c r="Z1584" i="6"/>
  <c r="Z50" i="6"/>
  <c r="Z574" i="6"/>
  <c r="Z981" i="6"/>
  <c r="Z1393" i="6"/>
  <c r="Z1804" i="6"/>
  <c r="Z258" i="6"/>
  <c r="Z731" i="6"/>
  <c r="Z1138" i="6"/>
  <c r="Z1549" i="6"/>
  <c r="Z1918" i="6"/>
  <c r="Z468" i="6"/>
  <c r="Z883" i="6"/>
  <c r="Z1294" i="6"/>
  <c r="Z1701" i="6"/>
  <c r="Z125" i="6"/>
  <c r="Z628" i="6"/>
  <c r="Z1039" i="6"/>
  <c r="Z1451" i="6"/>
  <c r="Z1847" i="6"/>
  <c r="Z365" i="6"/>
  <c r="Z812" i="6"/>
  <c r="Z1219" i="6"/>
  <c r="Z1630" i="6"/>
  <c r="Z1977" i="6"/>
  <c r="Z5" i="6"/>
  <c r="Z540" i="6"/>
  <c r="Z947" i="6"/>
  <c r="Z1358" i="6"/>
  <c r="Z1765" i="6"/>
  <c r="Z1073" i="6"/>
  <c r="Z977" i="6"/>
  <c r="Z1979" i="6"/>
  <c r="Z724" i="6"/>
  <c r="Z303" i="6"/>
  <c r="Z320" i="6"/>
  <c r="Z337" i="6"/>
  <c r="Z339" i="6"/>
  <c r="Z458" i="6"/>
  <c r="Z966" i="6"/>
  <c r="Z1430" i="6"/>
  <c r="Z1894" i="6"/>
  <c r="Z459" i="6"/>
  <c r="Z823" i="6"/>
  <c r="Z1223" i="6"/>
  <c r="Z1575" i="6"/>
  <c r="Z204" i="6"/>
  <c r="Z616" i="6"/>
  <c r="Z984" i="6"/>
  <c r="Z1320" i="6"/>
  <c r="Z1624" i="6"/>
  <c r="Z1928" i="6"/>
  <c r="Z333" i="6"/>
  <c r="Z633" i="6"/>
  <c r="Z889" i="6"/>
  <c r="Z1145" i="6"/>
  <c r="Z1401" i="6"/>
  <c r="Z1657" i="6"/>
  <c r="Z142" i="6"/>
  <c r="Z486" i="6"/>
  <c r="Z746" i="6"/>
  <c r="Z1002" i="6"/>
  <c r="Z1258" i="6"/>
  <c r="Z1514" i="6"/>
  <c r="Z1770" i="6"/>
  <c r="Z260" i="6"/>
  <c r="Z576" i="6"/>
  <c r="Z832" i="6"/>
  <c r="Z1088" i="6"/>
  <c r="Z1344" i="6"/>
  <c r="Z1600" i="6"/>
  <c r="Z86" i="6"/>
  <c r="Z597" i="6"/>
  <c r="Z1009" i="6"/>
  <c r="Z1420" i="6"/>
  <c r="Z1825" i="6"/>
  <c r="Z295" i="6"/>
  <c r="Z754" i="6"/>
  <c r="Z1165" i="6"/>
  <c r="Z1572" i="6"/>
  <c r="Z1936" i="6"/>
  <c r="Z498" i="6"/>
  <c r="Z910" i="6"/>
  <c r="Z1317" i="6"/>
  <c r="Z1729" i="6"/>
  <c r="Z156" i="6"/>
  <c r="Z655" i="6"/>
  <c r="Z1067" i="6"/>
  <c r="Z1474" i="6"/>
  <c r="Z1866" i="6"/>
  <c r="Z404" i="6"/>
  <c r="Z835" i="6"/>
  <c r="Z1246" i="6"/>
  <c r="Z1653" i="6"/>
  <c r="Z1995" i="6"/>
  <c r="Z978" i="6"/>
  <c r="Z1932" i="6"/>
  <c r="Z432" i="6"/>
  <c r="Z1494" i="6"/>
  <c r="Z1239" i="6"/>
  <c r="Z1352" i="6"/>
  <c r="Z37" i="6"/>
  <c r="Z1673" i="6"/>
  <c r="Z1290" i="6"/>
  <c r="Z880" i="6"/>
  <c r="Z1036" i="6"/>
  <c r="Z831" i="6"/>
  <c r="Z961" i="6"/>
  <c r="Z1090" i="6"/>
  <c r="Z501" i="6"/>
  <c r="Z1903" i="6"/>
  <c r="Z997" i="6"/>
  <c r="Z1855" i="6"/>
  <c r="Z1831" i="6"/>
  <c r="Z607" i="6"/>
  <c r="Z1339" i="6"/>
  <c r="Z1503" i="6"/>
  <c r="Z410" i="6"/>
  <c r="Z1085" i="6"/>
  <c r="Z135" i="6"/>
  <c r="Z464" i="6"/>
  <c r="Z1926" i="6"/>
  <c r="Z1255" i="6"/>
  <c r="Z1368" i="6"/>
  <c r="Z357" i="6"/>
  <c r="Z1689" i="6"/>
  <c r="Z1306" i="6"/>
  <c r="Z1104" i="6"/>
  <c r="Z1059" i="6"/>
  <c r="Z1188" i="6"/>
  <c r="Z988" i="6"/>
  <c r="Z1117" i="6"/>
  <c r="Z707" i="6"/>
  <c r="Z1939" i="6"/>
  <c r="Z40" i="6"/>
  <c r="Z1025" i="6"/>
  <c r="Z2001" i="6"/>
  <c r="Z1791" i="6"/>
  <c r="Z562" i="6"/>
  <c r="Z1299" i="6"/>
  <c r="Z1458" i="6"/>
  <c r="Z349" i="6"/>
  <c r="Z1941" i="6"/>
  <c r="Z1045" i="6"/>
  <c r="Z82" i="6"/>
  <c r="Z417" i="6"/>
  <c r="Z1942" i="6"/>
  <c r="Z1271" i="6"/>
  <c r="Z1640" i="6"/>
  <c r="Z377" i="6"/>
  <c r="Z1705" i="6"/>
  <c r="Z1530" i="6"/>
  <c r="Z1120" i="6"/>
  <c r="Z1086" i="6"/>
  <c r="Z1215" i="6"/>
  <c r="Z1345" i="6"/>
  <c r="Z1140" i="6"/>
  <c r="Z757" i="6"/>
  <c r="Z71" i="6"/>
  <c r="Z1052" i="6"/>
  <c r="Z1506" i="6"/>
  <c r="Z517" i="6"/>
  <c r="Z1259" i="6"/>
  <c r="Z1413" i="6"/>
  <c r="Z302" i="6"/>
  <c r="Z1853" i="6"/>
  <c r="Z1005" i="6"/>
  <c r="Z449" i="6"/>
  <c r="Z1958" i="6"/>
  <c r="Z1591" i="6"/>
  <c r="Z1672" i="6"/>
  <c r="Z397" i="6"/>
  <c r="Z166" i="6"/>
  <c r="Z1546" i="6"/>
  <c r="Z1136" i="6"/>
  <c r="Z1443" i="6"/>
  <c r="Z1243" i="6"/>
  <c r="Z1372" i="6"/>
  <c r="Z1501" i="6"/>
  <c r="Z862" i="6"/>
  <c r="Z106" i="6"/>
  <c r="Z1253" i="6"/>
  <c r="Z1461" i="6"/>
  <c r="Z474" i="6"/>
  <c r="Z972" i="6"/>
  <c r="Z1378" i="6"/>
  <c r="Z245" i="6"/>
  <c r="Z1822" i="6"/>
  <c r="Z965" i="6"/>
  <c r="Z481" i="6"/>
  <c r="Z1655" i="6"/>
  <c r="Z1688" i="6"/>
  <c r="Z649" i="6"/>
  <c r="Z186" i="6"/>
  <c r="Z1562" i="6"/>
  <c r="Z1360" i="6"/>
  <c r="Z1470" i="6"/>
  <c r="Z1599" i="6"/>
  <c r="Z1395" i="6"/>
  <c r="Z1524" i="6"/>
  <c r="Z885" i="6"/>
  <c r="Z137" i="6"/>
  <c r="Z1308" i="6"/>
  <c r="Z1380" i="6"/>
  <c r="Z92" i="6"/>
  <c r="Z927" i="6"/>
  <c r="Z1212" i="6"/>
  <c r="Z198" i="6"/>
  <c r="Z1788" i="6"/>
  <c r="Z925" i="6"/>
  <c r="Z419" i="6"/>
  <c r="Z1671" i="6"/>
  <c r="Z1944" i="6"/>
  <c r="Z665" i="6"/>
  <c r="Z206" i="6"/>
  <c r="Z1786" i="6"/>
  <c r="Z1376" i="6"/>
  <c r="Z1493" i="6"/>
  <c r="Z1627" i="6"/>
  <c r="Z1756" i="6"/>
  <c r="Z1551" i="6"/>
  <c r="Z913" i="6"/>
  <c r="Z411" i="6"/>
  <c r="Z1331" i="6"/>
  <c r="Z1340" i="6"/>
  <c r="Z39" i="6"/>
  <c r="Z847" i="6"/>
  <c r="Z1092" i="6"/>
  <c r="Z136" i="6"/>
  <c r="Z1743" i="6"/>
  <c r="Z879" i="6"/>
  <c r="Z1833" i="6"/>
  <c r="Z451" i="6"/>
  <c r="Z228" i="6"/>
  <c r="Z1960" i="6"/>
  <c r="Z681" i="6"/>
  <c r="Z506" i="6"/>
  <c r="Z1802" i="6"/>
  <c r="Z1392" i="6"/>
  <c r="Z1843" i="6"/>
  <c r="Z1650" i="6"/>
  <c r="Z1779" i="6"/>
  <c r="Z1884" i="6"/>
  <c r="Z1118" i="6"/>
  <c r="Z477" i="6"/>
  <c r="Z1381" i="6"/>
  <c r="Z1028" i="6"/>
  <c r="Z1748" i="6"/>
  <c r="Z483" i="6"/>
  <c r="Z248" i="6"/>
  <c r="Z1976" i="6"/>
  <c r="Z905" i="6"/>
  <c r="Z522" i="6"/>
  <c r="Z1818" i="6"/>
  <c r="Z1616" i="6"/>
  <c r="Z1861" i="6"/>
  <c r="Z1954" i="6"/>
  <c r="Z1806" i="6"/>
  <c r="Z1902" i="6"/>
  <c r="Z1169" i="6"/>
  <c r="Z513" i="6"/>
  <c r="Z1409" i="6"/>
  <c r="Z1260" i="6"/>
  <c r="Z1945" i="6"/>
  <c r="Z766" i="6"/>
  <c r="Z2000" i="6"/>
  <c r="Z1006" i="6"/>
  <c r="Z28" i="6"/>
  <c r="Z1662" i="6"/>
  <c r="Z674" i="6"/>
  <c r="Z1660" i="6"/>
  <c r="Z747" i="6"/>
  <c r="Z1668" i="6"/>
  <c r="Z550" i="6"/>
  <c r="Z11" i="6"/>
  <c r="Z268" i="6"/>
  <c r="Z921" i="6"/>
  <c r="Z538" i="6"/>
  <c r="Z280" i="6"/>
  <c r="Z1632" i="6"/>
  <c r="Z1881" i="6"/>
  <c r="Z1972" i="6"/>
  <c r="Z1920" i="6"/>
  <c r="Z1269" i="6"/>
  <c r="Z563" i="6"/>
  <c r="Z1436" i="6"/>
  <c r="Z1220" i="6"/>
  <c r="Z1914" i="6"/>
  <c r="Z722" i="6"/>
  <c r="Z1969" i="6"/>
  <c r="Z971" i="6"/>
  <c r="Z1618" i="6"/>
  <c r="Z558" i="6"/>
  <c r="Z511" i="6"/>
  <c r="Z423" i="6"/>
  <c r="Z614" i="6"/>
  <c r="Z482" i="6"/>
  <c r="Z664" i="6"/>
  <c r="Z1161" i="6"/>
  <c r="Z778" i="6"/>
  <c r="Z324" i="6"/>
  <c r="Z117" i="6"/>
  <c r="Z22" i="6"/>
  <c r="Z194" i="6"/>
  <c r="Z1324" i="6"/>
  <c r="Z613" i="6"/>
  <c r="Z1665" i="6"/>
  <c r="Z1134" i="6"/>
  <c r="Z1620" i="6"/>
  <c r="Z642" i="6"/>
  <c r="Z1745" i="6"/>
  <c r="Z891" i="6"/>
  <c r="Z1538" i="6"/>
  <c r="Z456" i="6"/>
  <c r="Z1643" i="6"/>
  <c r="Z315" i="6"/>
  <c r="Z982" i="6"/>
  <c r="Z503" i="6"/>
  <c r="Z680" i="6"/>
  <c r="Z1177" i="6"/>
  <c r="Z794" i="6"/>
  <c r="Z592" i="6"/>
  <c r="Z153" i="6"/>
  <c r="Z326" i="6"/>
  <c r="Z53" i="6"/>
  <c r="Z231" i="6"/>
  <c r="Z1525" i="6"/>
  <c r="Z641" i="6"/>
  <c r="Z1715" i="6"/>
  <c r="Z1978" i="6"/>
  <c r="Z849" i="6"/>
  <c r="Z1585" i="6"/>
  <c r="Z596" i="6"/>
  <c r="Z1709" i="6"/>
  <c r="Z845" i="6"/>
  <c r="Z1492" i="6"/>
  <c r="Z409" i="6"/>
  <c r="Z693" i="6"/>
  <c r="Z383" i="6"/>
  <c r="Z1046" i="6"/>
  <c r="Z519" i="6"/>
  <c r="Z1000" i="6"/>
  <c r="Z1193" i="6"/>
  <c r="Z1018" i="6"/>
  <c r="Z608" i="6"/>
  <c r="Z188" i="6"/>
  <c r="Z361" i="6"/>
  <c r="Z526" i="6"/>
  <c r="Z262" i="6"/>
  <c r="Z232" i="6"/>
  <c r="Z1580" i="6"/>
  <c r="Z846" i="6"/>
  <c r="Z1742" i="6"/>
  <c r="Z1946" i="6"/>
  <c r="Z813" i="6"/>
  <c r="Z1505" i="6"/>
  <c r="Z251" i="6"/>
  <c r="Z1663" i="6"/>
  <c r="Z801" i="6"/>
  <c r="Z1332" i="6"/>
  <c r="Z348" i="6"/>
  <c r="Z507" i="6"/>
  <c r="Z815" i="6"/>
  <c r="Z415" i="6"/>
  <c r="Z1062" i="6"/>
  <c r="Z887" i="6"/>
  <c r="Z1032" i="6"/>
  <c r="Z1417" i="6"/>
  <c r="Z1034" i="6"/>
  <c r="Z624" i="6"/>
  <c r="Z625" i="6"/>
  <c r="Z392" i="6"/>
  <c r="Z549" i="6"/>
  <c r="Z683" i="6"/>
  <c r="Z298" i="6"/>
  <c r="Z1681" i="6"/>
  <c r="Z897" i="6"/>
  <c r="Z1793" i="6"/>
  <c r="Z1915" i="6"/>
  <c r="Z723" i="6"/>
  <c r="Z1460" i="6"/>
  <c r="Z199" i="6"/>
  <c r="Z1619" i="6"/>
  <c r="Z765" i="6"/>
  <c r="Z1211" i="6"/>
  <c r="Z301" i="6"/>
  <c r="Z903" i="6"/>
  <c r="Z864" i="6"/>
  <c r="Z643" i="6"/>
  <c r="Z1379" i="6"/>
  <c r="Z187" i="6"/>
  <c r="Z1887" i="6"/>
  <c r="Z935" i="6"/>
  <c r="Z1648" i="6"/>
  <c r="Z802" i="6"/>
  <c r="Z1297" i="6"/>
  <c r="Z1446" i="6"/>
  <c r="Z300" i="6"/>
  <c r="Z648" i="6"/>
  <c r="Z652" i="6"/>
  <c r="Z686" i="6"/>
  <c r="Z1854" i="6"/>
  <c r="Z577" i="6"/>
  <c r="Z738" i="6"/>
  <c r="Z1048" i="6"/>
  <c r="Z675" i="6"/>
  <c r="Z85" i="6"/>
  <c r="Z1583" i="6"/>
  <c r="Z1050" i="6"/>
  <c r="Z514" i="6"/>
  <c r="Z1336" i="6"/>
  <c r="Z706" i="6"/>
  <c r="Z29" i="6"/>
  <c r="Z1539" i="6"/>
  <c r="Z1857" i="6"/>
  <c r="Z1708" i="6"/>
  <c r="Z1731" i="6"/>
  <c r="Z733" i="6"/>
  <c r="Z590" i="6"/>
  <c r="Z1051" i="6"/>
  <c r="Z1970" i="6"/>
  <c r="Z581" i="6"/>
  <c r="Z924" i="6"/>
  <c r="Z926" i="6"/>
  <c r="Z1300" i="6"/>
  <c r="Z1179" i="6"/>
  <c r="Z771" i="6"/>
  <c r="Z13" i="6"/>
  <c r="Z974" i="6"/>
  <c r="Z721" i="6"/>
  <c r="Z844" i="6"/>
  <c r="Z735" i="6"/>
  <c r="Z937" i="6"/>
  <c r="Z781" i="6"/>
  <c r="Z1459" i="6"/>
  <c r="Z559" i="6"/>
  <c r="Z1131" i="6"/>
  <c r="Z1274" i="6"/>
  <c r="Z1478" i="6"/>
  <c r="Z523" i="6"/>
  <c r="Z1433" i="6"/>
  <c r="Z804" i="6"/>
  <c r="Z1819" i="6"/>
  <c r="Z84" i="6"/>
  <c r="Z1698" i="6"/>
  <c r="Z447" i="6"/>
  <c r="Z1449" i="6"/>
  <c r="Z1991" i="6"/>
  <c r="Z434" i="6"/>
  <c r="Z1837" i="6"/>
  <c r="Z1582" i="6"/>
  <c r="Z400" i="6"/>
  <c r="Z762" i="6"/>
  <c r="Z470" i="6"/>
  <c r="Z1888" i="6"/>
  <c r="Z1171" i="6"/>
  <c r="Z582" i="6"/>
  <c r="Z55" i="6"/>
  <c r="Z687" i="6"/>
  <c r="Z848" i="6"/>
  <c r="Z1419" i="6"/>
  <c r="Z933" i="6"/>
  <c r="Z244" i="6"/>
  <c r="AC345" i="6"/>
  <c r="AC690" i="6"/>
  <c r="AC395" i="6"/>
  <c r="AC1826" i="6"/>
  <c r="AC1593" i="6"/>
  <c r="AC1829" i="6"/>
  <c r="AC1601" i="6"/>
  <c r="AC558" i="6"/>
  <c r="AC1891" i="6"/>
  <c r="AC1660" i="6"/>
  <c r="AC1894" i="6"/>
  <c r="AC1685" i="6"/>
  <c r="AC711" i="6"/>
  <c r="AC168" i="6"/>
  <c r="AC1944" i="6"/>
  <c r="AC1748" i="6"/>
  <c r="AC190" i="6"/>
  <c r="AC1962" i="6"/>
  <c r="AC1750" i="6"/>
  <c r="AC834" i="6"/>
  <c r="AC835" i="6"/>
  <c r="AC398" i="6"/>
  <c r="AC1827" i="6"/>
  <c r="AC420" i="6"/>
  <c r="AC1830" i="6"/>
  <c r="AC964" i="6"/>
  <c r="AC561" i="6"/>
  <c r="AC1892" i="6"/>
  <c r="AC588" i="6"/>
  <c r="AC682" i="6"/>
  <c r="AC1067" i="6"/>
  <c r="AC712" i="6"/>
  <c r="AC177" i="6"/>
  <c r="AC1951" i="6"/>
  <c r="AC715" i="6"/>
  <c r="AC196" i="6"/>
  <c r="AC1963" i="6"/>
  <c r="AC1194" i="6"/>
  <c r="AC852" i="6"/>
  <c r="AC417" i="6"/>
  <c r="AC859" i="6"/>
  <c r="AC443" i="6"/>
  <c r="AC1398" i="6"/>
  <c r="AC817" i="6"/>
  <c r="AC1314" i="6"/>
  <c r="AC970" i="6"/>
  <c r="AC584" i="6"/>
  <c r="AC996" i="6"/>
  <c r="AC614" i="6"/>
  <c r="AC1407" i="6"/>
  <c r="AC1096" i="6"/>
  <c r="AC714" i="6"/>
  <c r="AC1105" i="6"/>
  <c r="AC739" i="6"/>
  <c r="AC522" i="6"/>
  <c r="AC1501" i="6"/>
  <c r="AC1198" i="6"/>
  <c r="AC853" i="6"/>
  <c r="AC1230" i="6"/>
  <c r="AC866" i="6"/>
  <c r="AC1571" i="6"/>
  <c r="AC1319" i="6"/>
  <c r="AC971" i="6"/>
  <c r="AC1324" i="6"/>
  <c r="AC997" i="6"/>
  <c r="AC1193" i="6"/>
  <c r="AC1658" i="6"/>
  <c r="AC1417" i="6"/>
  <c r="AC1100" i="6"/>
  <c r="AC1421" i="6"/>
  <c r="AC1106" i="6"/>
  <c r="AC1745" i="6"/>
  <c r="AC1502" i="6"/>
  <c r="AC1201" i="6"/>
  <c r="AC1505" i="6"/>
  <c r="AC1236" i="6"/>
  <c r="AC1594" i="6"/>
  <c r="AC1602" i="6"/>
  <c r="AC900" i="6"/>
  <c r="AC1455" i="6"/>
  <c r="AC1700" i="6"/>
  <c r="AC40" i="6"/>
  <c r="AC1912" i="6"/>
  <c r="AC51" i="6"/>
  <c r="AC1929" i="6"/>
  <c r="AC1555" i="6"/>
  <c r="AC1474" i="6"/>
  <c r="AC88" i="6"/>
  <c r="AC1386" i="6"/>
  <c r="AC1657" i="6"/>
  <c r="AC1192" i="6"/>
  <c r="AC1665" i="6"/>
  <c r="AC1325" i="6"/>
  <c r="AC1686" i="6"/>
  <c r="AC1002" i="6"/>
  <c r="AC1525" i="6"/>
  <c r="AC1781" i="6"/>
  <c r="AC305" i="6"/>
  <c r="AC1982" i="6"/>
  <c r="AC306" i="6"/>
  <c r="AC1983" i="6"/>
  <c r="AC1637" i="6"/>
  <c r="AC1749" i="6"/>
  <c r="AC1431" i="6"/>
  <c r="AC1751" i="6"/>
  <c r="AC1129" i="6"/>
  <c r="AC1619" i="6"/>
  <c r="AC1858" i="6"/>
  <c r="AC513" i="6"/>
  <c r="AC516" i="6"/>
  <c r="AC1708" i="6"/>
  <c r="AC84" i="6"/>
  <c r="AC1290" i="6"/>
  <c r="AC2001" i="6"/>
  <c r="AC156" i="6"/>
  <c r="AC1522" i="6"/>
  <c r="AC1836" i="6"/>
  <c r="AC1244" i="6"/>
  <c r="AC1698" i="6"/>
  <c r="AC26" i="6"/>
  <c r="AC1911" i="6"/>
  <c r="AC636" i="6"/>
  <c r="AC638" i="6"/>
  <c r="AC1785" i="6"/>
  <c r="AC780" i="6"/>
  <c r="AC1654" i="6"/>
  <c r="AC1057" i="6"/>
  <c r="AC1312" i="6"/>
  <c r="AC1900" i="6"/>
  <c r="AC1908" i="6"/>
  <c r="AC1363" i="6"/>
  <c r="AC1779" i="6"/>
  <c r="AC268" i="6"/>
  <c r="AC1980" i="6"/>
  <c r="AC777" i="6"/>
  <c r="AC778" i="6"/>
  <c r="AC1862" i="6"/>
  <c r="AC1286" i="6"/>
  <c r="AC1934" i="6"/>
  <c r="AC1800" i="6"/>
  <c r="AC1942" i="6"/>
  <c r="AC1655" i="6"/>
  <c r="AC200" i="6"/>
  <c r="AC1966" i="6"/>
  <c r="AC1433" i="6"/>
  <c r="AC1841" i="6"/>
  <c r="AC462" i="6"/>
  <c r="AC907" i="6"/>
  <c r="AC910" i="6"/>
  <c r="AC81" i="6"/>
  <c r="AC1930" i="6"/>
  <c r="AC681" i="6"/>
  <c r="AC1643" i="6"/>
  <c r="AC958" i="6"/>
  <c r="AC1399" i="6"/>
  <c r="AC453" i="6"/>
  <c r="AC1524" i="6"/>
  <c r="AC19" i="6"/>
  <c r="AC1910" i="6"/>
  <c r="AC620" i="6"/>
  <c r="AC1033" i="6"/>
  <c r="AC1045" i="6"/>
  <c r="AC324" i="6"/>
  <c r="AC1984" i="6"/>
  <c r="AC1190" i="6"/>
  <c r="AC1932" i="6"/>
  <c r="AC327" i="6"/>
  <c r="AC1744" i="6"/>
  <c r="AC615" i="6"/>
  <c r="AC1618" i="6"/>
  <c r="AC267" i="6"/>
  <c r="AC1979" i="6"/>
  <c r="AC776" i="6"/>
  <c r="AC1142" i="6"/>
  <c r="AC1163" i="6"/>
  <c r="AC518" i="6"/>
  <c r="AC1568" i="6"/>
  <c r="AC930" i="6"/>
  <c r="AC755" i="6"/>
  <c r="AC1688" i="6"/>
  <c r="AC460" i="6"/>
  <c r="AC906" i="6"/>
  <c r="AC1262" i="6"/>
  <c r="AC1265" i="6"/>
  <c r="AC678" i="6"/>
  <c r="AC679" i="6"/>
  <c r="AC1865" i="6"/>
  <c r="AC1387" i="6"/>
  <c r="AC118" i="6"/>
  <c r="AC1320" i="6"/>
  <c r="AC998" i="6"/>
  <c r="AC1840" i="6"/>
  <c r="AC770" i="6"/>
  <c r="AC1141" i="6"/>
  <c r="AC1458" i="6"/>
  <c r="AC1459" i="6"/>
  <c r="AC913" i="6"/>
  <c r="AC1556" i="6"/>
  <c r="AC122" i="6"/>
  <c r="AC520" i="6"/>
  <c r="AC1570" i="6"/>
  <c r="AC166" i="6"/>
  <c r="AC1572" i="6"/>
  <c r="AC1419" i="6"/>
  <c r="AC1108" i="6"/>
  <c r="AC6" i="6"/>
  <c r="AC1909" i="6"/>
  <c r="AC904" i="6"/>
  <c r="AC1256" i="6"/>
  <c r="AC1552" i="6"/>
  <c r="AC1553" i="6"/>
  <c r="AC1046" i="6"/>
  <c r="AC539" i="6"/>
  <c r="AC1864" i="6"/>
  <c r="AC1310" i="6"/>
  <c r="AC1466" i="6"/>
  <c r="AC1811" i="6"/>
  <c r="AC1659" i="6"/>
  <c r="AC1504" i="6"/>
  <c r="AC1238" i="6"/>
  <c r="AC227" i="6"/>
  <c r="AC1967" i="6"/>
  <c r="AC1003" i="6"/>
  <c r="AC1366" i="6"/>
  <c r="AC1621" i="6"/>
  <c r="AC1622" i="6"/>
  <c r="AC1164" i="6"/>
  <c r="AC1066" i="6"/>
  <c r="AC1054" i="6"/>
  <c r="AC1941" i="6"/>
  <c r="AC1866" i="6"/>
  <c r="AC1879" i="6"/>
  <c r="AC1747" i="6"/>
  <c r="AC1350" i="6"/>
  <c r="AC459" i="6"/>
  <c r="AC1130" i="6"/>
  <c r="AC1456" i="6"/>
  <c r="AC1706" i="6"/>
  <c r="AC1707" i="6"/>
  <c r="AC1278" i="6"/>
  <c r="AC1485" i="6"/>
  <c r="AC1799" i="6"/>
  <c r="AC344" i="6"/>
  <c r="AC1569" i="6"/>
  <c r="AC1467" i="6"/>
  <c r="AC1943" i="6"/>
  <c r="AC1432" i="6"/>
  <c r="AC618" i="6"/>
  <c r="AC1246" i="6"/>
  <c r="AC1526" i="6"/>
  <c r="AC1782" i="6"/>
  <c r="AC1784" i="6"/>
  <c r="AC1370" i="6"/>
  <c r="AC523" i="6"/>
  <c r="AC1810" i="6"/>
  <c r="AC325" i="6"/>
  <c r="AC931" i="6"/>
  <c r="AC1878" i="6"/>
  <c r="AC1368" i="6"/>
  <c r="AC1058" i="6"/>
  <c r="AC1603" i="6"/>
  <c r="AC1859" i="6"/>
  <c r="AC1801" i="6"/>
  <c r="AC1189" i="6"/>
  <c r="AC1557" i="6"/>
  <c r="AC1729" i="6"/>
  <c r="AC1521" i="6"/>
  <c r="AC914" i="6"/>
  <c r="AC619" i="6"/>
  <c r="AC1369" i="6"/>
  <c r="AC1718" i="6"/>
  <c r="AC1418" i="6"/>
  <c r="AC169" i="6"/>
  <c r="AC1365" i="6"/>
  <c r="AC1861" i="6"/>
  <c r="AC1367" i="6"/>
  <c r="AC39" i="6"/>
  <c r="AC779" i="6"/>
  <c r="AC1465" i="6"/>
  <c r="AC867" i="6"/>
  <c r="AC1523" i="6"/>
  <c r="AC814" i="6"/>
  <c r="AC1724" i="6"/>
  <c r="AC1027" i="6"/>
  <c r="AC769" i="6"/>
  <c r="AC1620" i="6"/>
  <c r="AC1245" i="6"/>
  <c r="AC1780" i="6"/>
  <c r="AC905" i="6"/>
  <c r="AC1397" i="6"/>
  <c r="AC253" i="6"/>
  <c r="AC509" i="6"/>
  <c r="AC765" i="6"/>
  <c r="AC1021" i="6"/>
  <c r="AC95" i="6"/>
  <c r="AC351" i="6"/>
  <c r="AC607" i="6"/>
  <c r="AC863" i="6"/>
  <c r="AC1119" i="6"/>
  <c r="AC16" i="6"/>
  <c r="AC272" i="6"/>
  <c r="AC528" i="6"/>
  <c r="AC784" i="6"/>
  <c r="AC1040" i="6"/>
  <c r="AC14" i="6"/>
  <c r="AC329" i="6"/>
  <c r="AC645" i="6"/>
  <c r="AC961" i="6"/>
  <c r="AC1269" i="6"/>
  <c r="AC1532" i="6"/>
  <c r="AC232" i="6"/>
  <c r="AC548" i="6"/>
  <c r="AC862" i="6"/>
  <c r="AC1177" i="6"/>
  <c r="AC135" i="6"/>
  <c r="AC451" i="6"/>
  <c r="AC764" i="6"/>
  <c r="AC1080" i="6"/>
  <c r="AC3" i="6"/>
  <c r="AC316" i="6"/>
  <c r="AC405" i="6"/>
  <c r="AC793" i="6"/>
  <c r="AC1182" i="6"/>
  <c r="AC1494" i="6"/>
  <c r="AC1757" i="6"/>
  <c r="AC406" i="6"/>
  <c r="AC794" i="6"/>
  <c r="AC1185" i="6"/>
  <c r="AC1495" i="6"/>
  <c r="AC1758" i="6"/>
  <c r="AC283" i="6"/>
  <c r="AC676" i="6"/>
  <c r="AC1064" i="6"/>
  <c r="AC1411" i="6"/>
  <c r="AC1679" i="6"/>
  <c r="AC155" i="6"/>
  <c r="AC555" i="6"/>
  <c r="AC946" i="6"/>
  <c r="AC1318" i="6"/>
  <c r="AC1600" i="6"/>
  <c r="AC185" i="6"/>
  <c r="AC296" i="6"/>
  <c r="AC825" i="6"/>
  <c r="AC1326" i="6"/>
  <c r="AC1689" i="6"/>
  <c r="AC1987" i="6"/>
  <c r="AC67" i="6"/>
  <c r="AC632" i="6"/>
  <c r="AC1146" i="6"/>
  <c r="AC1559" i="6"/>
  <c r="AC1886" i="6"/>
  <c r="AC439" i="6"/>
  <c r="AC953" i="6"/>
  <c r="AC1424" i="6"/>
  <c r="AC1776" i="6"/>
  <c r="AC440" i="6"/>
  <c r="AC954" i="6"/>
  <c r="AC1425" i="6"/>
  <c r="AC1777" i="6"/>
  <c r="AC473" i="6"/>
  <c r="AC994" i="6"/>
  <c r="AC1451" i="6"/>
  <c r="AC1797" i="6"/>
  <c r="AC275" i="6"/>
  <c r="AC164" i="6"/>
  <c r="AC280" i="6"/>
  <c r="AC540" i="6"/>
  <c r="AC1292" i="6"/>
  <c r="AC1818" i="6"/>
  <c r="AC1191" i="6"/>
  <c r="AC1740" i="6"/>
  <c r="AC833" i="6"/>
  <c r="AC1349" i="6"/>
  <c r="AC13" i="6"/>
  <c r="AC269" i="6"/>
  <c r="AC525" i="6"/>
  <c r="AC781" i="6"/>
  <c r="AC1037" i="6"/>
  <c r="AC111" i="6"/>
  <c r="AC367" i="6"/>
  <c r="AC623" i="6"/>
  <c r="AC879" i="6"/>
  <c r="AC1135" i="6"/>
  <c r="AC32" i="6"/>
  <c r="AC288" i="6"/>
  <c r="AC544" i="6"/>
  <c r="AC800" i="6"/>
  <c r="AC1056" i="6"/>
  <c r="AC35" i="6"/>
  <c r="AC348" i="6"/>
  <c r="AC664" i="6"/>
  <c r="AC980" i="6"/>
  <c r="AC1287" i="6"/>
  <c r="AC1548" i="6"/>
  <c r="AC251" i="6"/>
  <c r="AC567" i="6"/>
  <c r="AC883" i="6"/>
  <c r="AC1196" i="6"/>
  <c r="AC154" i="6"/>
  <c r="AC470" i="6"/>
  <c r="AC786" i="6"/>
  <c r="AC1099" i="6"/>
  <c r="AC22" i="6"/>
  <c r="AC20" i="6"/>
  <c r="AC433" i="6"/>
  <c r="AC818" i="6"/>
  <c r="AC1205" i="6"/>
  <c r="AC1511" i="6"/>
  <c r="AC1773" i="6"/>
  <c r="AC21" i="6"/>
  <c r="AC434" i="6"/>
  <c r="AC819" i="6"/>
  <c r="AC1206" i="6"/>
  <c r="AC1512" i="6"/>
  <c r="AC1774" i="6"/>
  <c r="AC309" i="6"/>
  <c r="AC698" i="6"/>
  <c r="AC1089" i="6"/>
  <c r="AC1428" i="6"/>
  <c r="AC1695" i="6"/>
  <c r="AC182" i="6"/>
  <c r="AC580" i="6"/>
  <c r="AC968" i="6"/>
  <c r="AC1341" i="6"/>
  <c r="AC1616" i="6"/>
  <c r="AC211" i="6"/>
  <c r="AC328" i="6"/>
  <c r="AC854" i="6"/>
  <c r="AC1351" i="6"/>
  <c r="AC1713" i="6"/>
  <c r="AC107" i="6"/>
  <c r="AC661" i="6"/>
  <c r="AC1175" i="6"/>
  <c r="AC1585" i="6"/>
  <c r="AC1903" i="6"/>
  <c r="AC471" i="6"/>
  <c r="AC985" i="6"/>
  <c r="AC1449" i="6"/>
  <c r="AC1795" i="6"/>
  <c r="AC472" i="6"/>
  <c r="AC986" i="6"/>
  <c r="AC1450" i="6"/>
  <c r="AC1796" i="6"/>
  <c r="AC510" i="6"/>
  <c r="AC1026" i="6"/>
  <c r="AC1473" i="6"/>
  <c r="AC1816" i="6"/>
  <c r="AC314" i="6"/>
  <c r="AC198" i="6"/>
  <c r="AC323" i="6"/>
  <c r="AC593" i="6"/>
  <c r="AC1342" i="6"/>
  <c r="AC1845" i="6"/>
  <c r="AC210" i="6"/>
  <c r="AC1073" i="6"/>
  <c r="AC1668" i="6"/>
  <c r="AC289" i="6"/>
  <c r="AC1126" i="6"/>
  <c r="AC1703" i="6"/>
  <c r="AC839" i="6"/>
  <c r="AC1509" i="6"/>
  <c r="AC1770" i="6"/>
  <c r="AC1107" i="6"/>
  <c r="AC1687" i="6"/>
  <c r="AC756" i="6"/>
  <c r="AC1994" i="6"/>
  <c r="AC1285" i="6"/>
  <c r="AC29" i="6"/>
  <c r="AC285" i="6"/>
  <c r="AC541" i="6"/>
  <c r="AC797" i="6"/>
  <c r="AC1053" i="6"/>
  <c r="AC127" i="6"/>
  <c r="AC383" i="6"/>
  <c r="AC639" i="6"/>
  <c r="AC895" i="6"/>
  <c r="AC1151" i="6"/>
  <c r="AC48" i="6"/>
  <c r="AC304" i="6"/>
  <c r="AC560" i="6"/>
  <c r="AC816" i="6"/>
  <c r="AC1072" i="6"/>
  <c r="AC54" i="6"/>
  <c r="AC370" i="6"/>
  <c r="AC683" i="6"/>
  <c r="AC999" i="6"/>
  <c r="AC1304" i="6"/>
  <c r="AC1564" i="6"/>
  <c r="AC273" i="6"/>
  <c r="AC586" i="6"/>
  <c r="AC902" i="6"/>
  <c r="AC1214" i="6"/>
  <c r="AC174" i="6"/>
  <c r="AC489" i="6"/>
  <c r="AC805" i="6"/>
  <c r="AC1121" i="6"/>
  <c r="AC41" i="6"/>
  <c r="AC44" i="6"/>
  <c r="AC455" i="6"/>
  <c r="AC840" i="6"/>
  <c r="AC1226" i="6"/>
  <c r="AC1528" i="6"/>
  <c r="AC1789" i="6"/>
  <c r="AC46" i="6"/>
  <c r="AC456" i="6"/>
  <c r="AC844" i="6"/>
  <c r="AC1227" i="6"/>
  <c r="AC1529" i="6"/>
  <c r="AC1790" i="6"/>
  <c r="AC338" i="6"/>
  <c r="AC723" i="6"/>
  <c r="AC1111" i="6"/>
  <c r="AC1445" i="6"/>
  <c r="AC1711" i="6"/>
  <c r="AC206" i="6"/>
  <c r="AC602" i="6"/>
  <c r="AC993" i="6"/>
  <c r="AC1361" i="6"/>
  <c r="AC1632" i="6"/>
  <c r="AC241" i="6"/>
  <c r="AC369" i="6"/>
  <c r="AC886" i="6"/>
  <c r="AC1379" i="6"/>
  <c r="AC1733" i="6"/>
  <c r="AC145" i="6"/>
  <c r="AC693" i="6"/>
  <c r="AC1210" i="6"/>
  <c r="AC1606" i="6"/>
  <c r="AC1920" i="6"/>
  <c r="AC500" i="6"/>
  <c r="AC1022" i="6"/>
  <c r="AC1471" i="6"/>
  <c r="AC1814" i="6"/>
  <c r="AC501" i="6"/>
  <c r="AC1025" i="6"/>
  <c r="AC1472" i="6"/>
  <c r="AC1815" i="6"/>
  <c r="AC538" i="6"/>
  <c r="AC1052" i="6"/>
  <c r="AC1498" i="6"/>
  <c r="AC1835" i="6"/>
  <c r="AC346" i="6"/>
  <c r="AC242" i="6"/>
  <c r="AC356" i="6"/>
  <c r="AC644" i="6"/>
  <c r="AC1371" i="6"/>
  <c r="AC1873" i="6"/>
  <c r="AC1047" i="6"/>
  <c r="AC1644" i="6"/>
  <c r="AC680" i="6"/>
  <c r="AC1961" i="6"/>
  <c r="AC1225" i="6"/>
  <c r="AC45" i="6"/>
  <c r="AC301" i="6"/>
  <c r="AC557" i="6"/>
  <c r="AC813" i="6"/>
  <c r="AC1069" i="6"/>
  <c r="AC143" i="6"/>
  <c r="AC399" i="6"/>
  <c r="AC655" i="6"/>
  <c r="AC911" i="6"/>
  <c r="AC1167" i="6"/>
  <c r="AC64" i="6"/>
  <c r="AC320" i="6"/>
  <c r="AC576" i="6"/>
  <c r="AC832" i="6"/>
  <c r="AC1088" i="6"/>
  <c r="AC73" i="6"/>
  <c r="AC389" i="6"/>
  <c r="AC705" i="6"/>
  <c r="AC1018" i="6"/>
  <c r="AC1321" i="6"/>
  <c r="AC1580" i="6"/>
  <c r="AC292" i="6"/>
  <c r="AC606" i="6"/>
  <c r="AC921" i="6"/>
  <c r="AC1234" i="6"/>
  <c r="AC195" i="6"/>
  <c r="AC508" i="6"/>
  <c r="AC824" i="6"/>
  <c r="AC1140" i="6"/>
  <c r="AC60" i="6"/>
  <c r="AC70" i="6"/>
  <c r="AC478" i="6"/>
  <c r="AC868" i="6"/>
  <c r="AC1249" i="6"/>
  <c r="AC1545" i="6"/>
  <c r="AC1805" i="6"/>
  <c r="AC71" i="6"/>
  <c r="AC481" i="6"/>
  <c r="AC869" i="6"/>
  <c r="AC1250" i="6"/>
  <c r="AC1546" i="6"/>
  <c r="AC1806" i="6"/>
  <c r="AC360" i="6"/>
  <c r="AC748" i="6"/>
  <c r="AC1134" i="6"/>
  <c r="AC1462" i="6"/>
  <c r="AC1727" i="6"/>
  <c r="AC234" i="6"/>
  <c r="AC630" i="6"/>
  <c r="AC1015" i="6"/>
  <c r="AC1378" i="6"/>
  <c r="AC1648" i="6"/>
  <c r="AC264" i="6"/>
  <c r="AC401" i="6"/>
  <c r="AC919" i="6"/>
  <c r="AC1400" i="6"/>
  <c r="AC1752" i="6"/>
  <c r="AC184" i="6"/>
  <c r="AC729" i="6"/>
  <c r="AC1240" i="6"/>
  <c r="AC1626" i="6"/>
  <c r="AC1937" i="6"/>
  <c r="AC536" i="6"/>
  <c r="AC1050" i="6"/>
  <c r="AC1492" i="6"/>
  <c r="AC1833" i="6"/>
  <c r="AC537" i="6"/>
  <c r="AC1051" i="6"/>
  <c r="AC1493" i="6"/>
  <c r="AC1834" i="6"/>
  <c r="AC570" i="6"/>
  <c r="AC1091" i="6"/>
  <c r="AC1520" i="6"/>
  <c r="AC1855" i="6"/>
  <c r="AC379" i="6"/>
  <c r="AC276" i="6"/>
  <c r="AC393" i="6"/>
  <c r="AC691" i="6"/>
  <c r="AC1408" i="6"/>
  <c r="AC1895" i="6"/>
  <c r="AC357" i="6"/>
  <c r="AC1169" i="6"/>
  <c r="AC1731" i="6"/>
  <c r="AC972" i="6"/>
  <c r="AC1595" i="6"/>
  <c r="AC590" i="6"/>
  <c r="AC1928" i="6"/>
  <c r="AC1155" i="6"/>
  <c r="AC61" i="6"/>
  <c r="AC317" i="6"/>
  <c r="AC573" i="6"/>
  <c r="AC829" i="6"/>
  <c r="AC1085" i="6"/>
  <c r="AC159" i="6"/>
  <c r="AC415" i="6"/>
  <c r="AC671" i="6"/>
  <c r="AC927" i="6"/>
  <c r="AC1183" i="6"/>
  <c r="AC80" i="6"/>
  <c r="AC336" i="6"/>
  <c r="AC592" i="6"/>
  <c r="AC848" i="6"/>
  <c r="AC1104" i="6"/>
  <c r="AC92" i="6"/>
  <c r="AC408" i="6"/>
  <c r="AC724" i="6"/>
  <c r="AC1038" i="6"/>
  <c r="AC1338" i="6"/>
  <c r="AC1596" i="6"/>
  <c r="AC311" i="6"/>
  <c r="AC627" i="6"/>
  <c r="AC940" i="6"/>
  <c r="AC1252" i="6"/>
  <c r="AC214" i="6"/>
  <c r="AC530" i="6"/>
  <c r="AC843" i="6"/>
  <c r="AC1159" i="6"/>
  <c r="AC82" i="6"/>
  <c r="AC99" i="6"/>
  <c r="AC502" i="6"/>
  <c r="AC890" i="6"/>
  <c r="AC1273" i="6"/>
  <c r="AC1562" i="6"/>
  <c r="AC1821" i="6"/>
  <c r="AC100" i="6"/>
  <c r="AC503" i="6"/>
  <c r="AC891" i="6"/>
  <c r="AC1274" i="6"/>
  <c r="AC1563" i="6"/>
  <c r="AC1822" i="6"/>
  <c r="AC385" i="6"/>
  <c r="AC773" i="6"/>
  <c r="AC1161" i="6"/>
  <c r="AC1479" i="6"/>
  <c r="AC1743" i="6"/>
  <c r="AC261" i="6"/>
  <c r="AC652" i="6"/>
  <c r="AC1043" i="6"/>
  <c r="AC1395" i="6"/>
  <c r="AC1664" i="6"/>
  <c r="AC290" i="6"/>
  <c r="AC437" i="6"/>
  <c r="AC951" i="6"/>
  <c r="AC1422" i="6"/>
  <c r="AC1771" i="6"/>
  <c r="AC220" i="6"/>
  <c r="AC758" i="6"/>
  <c r="AC1267" i="6"/>
  <c r="AC1650" i="6"/>
  <c r="AC1954" i="6"/>
  <c r="AC565" i="6"/>
  <c r="AC1978" i="6"/>
  <c r="AC908" i="6"/>
  <c r="AC1554" i="6"/>
  <c r="AC517" i="6"/>
  <c r="AC1890" i="6"/>
  <c r="AC1095" i="6"/>
  <c r="AC77" i="6"/>
  <c r="AC333" i="6"/>
  <c r="AC589" i="6"/>
  <c r="AC845" i="6"/>
  <c r="AC1101" i="6"/>
  <c r="AC175" i="6"/>
  <c r="AC431" i="6"/>
  <c r="AC687" i="6"/>
  <c r="AC943" i="6"/>
  <c r="AC1199" i="6"/>
  <c r="AC96" i="6"/>
  <c r="AC352" i="6"/>
  <c r="AC608" i="6"/>
  <c r="AC864" i="6"/>
  <c r="AC1120" i="6"/>
  <c r="AC114" i="6"/>
  <c r="AC427" i="6"/>
  <c r="AC743" i="6"/>
  <c r="AC1059" i="6"/>
  <c r="AC1355" i="6"/>
  <c r="AC17" i="6"/>
  <c r="AC330" i="6"/>
  <c r="AC646" i="6"/>
  <c r="AC962" i="6"/>
  <c r="AC1270" i="6"/>
  <c r="AC233" i="6"/>
  <c r="AC549" i="6"/>
  <c r="AC865" i="6"/>
  <c r="AC1178" i="6"/>
  <c r="AC101" i="6"/>
  <c r="AC123" i="6"/>
  <c r="AC524" i="6"/>
  <c r="AC915" i="6"/>
  <c r="AC1294" i="6"/>
  <c r="AC1579" i="6"/>
  <c r="AC1837" i="6"/>
  <c r="AC124" i="6"/>
  <c r="AC531" i="6"/>
  <c r="AC916" i="6"/>
  <c r="AC1296" i="6"/>
  <c r="AC1581" i="6"/>
  <c r="AC1838" i="6"/>
  <c r="AC407" i="6"/>
  <c r="AC795" i="6"/>
  <c r="AC1186" i="6"/>
  <c r="AC1496" i="6"/>
  <c r="AC1759" i="6"/>
  <c r="AC284" i="6"/>
  <c r="AC677" i="6"/>
  <c r="AC1065" i="6"/>
  <c r="AC1412" i="6"/>
  <c r="AC1680" i="6"/>
  <c r="AC318" i="6"/>
  <c r="AC466" i="6"/>
  <c r="AC983" i="6"/>
  <c r="AC1447" i="6"/>
  <c r="AC1793" i="6"/>
  <c r="AC262" i="6"/>
  <c r="AC790" i="6"/>
  <c r="AC1300" i="6"/>
  <c r="AC1670" i="6"/>
  <c r="AC1971" i="6"/>
  <c r="AC33" i="6"/>
  <c r="AC597" i="6"/>
  <c r="AC1115" i="6"/>
  <c r="AC1539" i="6"/>
  <c r="AC1870" i="6"/>
  <c r="AC34" i="6"/>
  <c r="AC598" i="6"/>
  <c r="AC1122" i="6"/>
  <c r="AC1540" i="6"/>
  <c r="AC1871" i="6"/>
  <c r="AC78" i="6"/>
  <c r="AC635" i="6"/>
  <c r="AC1150" i="6"/>
  <c r="AC1567" i="6"/>
  <c r="AC1889" i="6"/>
  <c r="AC444" i="6"/>
  <c r="AC347" i="6"/>
  <c r="AC454" i="6"/>
  <c r="AC787" i="6"/>
  <c r="AC1475" i="6"/>
  <c r="AC1945" i="6"/>
  <c r="AC486" i="6"/>
  <c r="AC1258" i="6"/>
  <c r="AC1787" i="6"/>
  <c r="AC546" i="6"/>
  <c r="AC1307" i="6"/>
  <c r="AC1820" i="6"/>
  <c r="AC138" i="6"/>
  <c r="AC1031" i="6"/>
  <c r="AC1641" i="6"/>
  <c r="AC1907" i="6"/>
  <c r="AC775" i="6"/>
  <c r="AC1457" i="6"/>
  <c r="AC277" i="6"/>
  <c r="AC1809" i="6"/>
  <c r="AC956" i="6"/>
  <c r="AC109" i="6"/>
  <c r="AC365" i="6"/>
  <c r="AC621" i="6"/>
  <c r="AC877" i="6"/>
  <c r="AC1133" i="6"/>
  <c r="AC207" i="6"/>
  <c r="AC463" i="6"/>
  <c r="AC719" i="6"/>
  <c r="AC975" i="6"/>
  <c r="AC1231" i="6"/>
  <c r="AC128" i="6"/>
  <c r="AC384" i="6"/>
  <c r="AC640" i="6"/>
  <c r="AC896" i="6"/>
  <c r="AC1152" i="6"/>
  <c r="AC152" i="6"/>
  <c r="AC468" i="6"/>
  <c r="AC782" i="6"/>
  <c r="AC1097" i="6"/>
  <c r="AC1388" i="6"/>
  <c r="AC55" i="6"/>
  <c r="AC371" i="6"/>
  <c r="AC684" i="6"/>
  <c r="AC1000" i="6"/>
  <c r="AC1305" i="6"/>
  <c r="AC274" i="6"/>
  <c r="AC587" i="6"/>
  <c r="AC903" i="6"/>
  <c r="AC1217" i="6"/>
  <c r="AC139" i="6"/>
  <c r="AC178" i="6"/>
  <c r="AC577" i="6"/>
  <c r="AC965" i="6"/>
  <c r="AC1335" i="6"/>
  <c r="AC1613" i="6"/>
  <c r="AC1869" i="6"/>
  <c r="AC179" i="6"/>
  <c r="AC578" i="6"/>
  <c r="AC966" i="6"/>
  <c r="AC1336" i="6"/>
  <c r="AC1614" i="6"/>
  <c r="AC49" i="6"/>
  <c r="AC457" i="6"/>
  <c r="AC846" i="6"/>
  <c r="AC1228" i="6"/>
  <c r="AC1530" i="6"/>
  <c r="AC1791" i="6"/>
  <c r="AC339" i="6"/>
  <c r="AC1863" i="6"/>
  <c r="AC689" i="6"/>
  <c r="AC1406" i="6"/>
  <c r="AC158" i="6"/>
  <c r="AC1769" i="6"/>
  <c r="AC876" i="6"/>
  <c r="AC125" i="6"/>
  <c r="AC381" i="6"/>
  <c r="AC637" i="6"/>
  <c r="AC893" i="6"/>
  <c r="AC1149" i="6"/>
  <c r="AC223" i="6"/>
  <c r="AC479" i="6"/>
  <c r="AC735" i="6"/>
  <c r="AC991" i="6"/>
  <c r="AC1247" i="6"/>
  <c r="AC144" i="6"/>
  <c r="AC400" i="6"/>
  <c r="AC656" i="6"/>
  <c r="AC912" i="6"/>
  <c r="AC1168" i="6"/>
  <c r="AC171" i="6"/>
  <c r="AC487" i="6"/>
  <c r="AC803" i="6"/>
  <c r="AC1116" i="6"/>
  <c r="AC1404" i="6"/>
  <c r="AC74" i="6"/>
  <c r="AC390" i="6"/>
  <c r="AC706" i="6"/>
  <c r="AC1019" i="6"/>
  <c r="AC1322" i="6"/>
  <c r="AC293" i="6"/>
  <c r="AC609" i="6"/>
  <c r="AC922" i="6"/>
  <c r="AC1235" i="6"/>
  <c r="AC161" i="6"/>
  <c r="AC202" i="6"/>
  <c r="AC599" i="6"/>
  <c r="AC987" i="6"/>
  <c r="AC1356" i="6"/>
  <c r="AC1629" i="6"/>
  <c r="AC1885" i="6"/>
  <c r="AC203" i="6"/>
  <c r="AC600" i="6"/>
  <c r="AC988" i="6"/>
  <c r="AC1358" i="6"/>
  <c r="AC1630" i="6"/>
  <c r="AC72" i="6"/>
  <c r="AC482" i="6"/>
  <c r="AC870" i="6"/>
  <c r="AC1254" i="6"/>
  <c r="AC1547" i="6"/>
  <c r="AC1807" i="6"/>
  <c r="AC361" i="6"/>
  <c r="AC750" i="6"/>
  <c r="AC1137" i="6"/>
  <c r="AC1463" i="6"/>
  <c r="AC1728" i="6"/>
  <c r="AC1783" i="6"/>
  <c r="AC521" i="6"/>
  <c r="AC1291" i="6"/>
  <c r="AC1684" i="6"/>
  <c r="AC738" i="6"/>
  <c r="AC157" i="6"/>
  <c r="AC413" i="6"/>
  <c r="AC669" i="6"/>
  <c r="AC925" i="6"/>
  <c r="AC1181" i="6"/>
  <c r="AC255" i="6"/>
  <c r="AC511" i="6"/>
  <c r="AC767" i="6"/>
  <c r="AC1023" i="6"/>
  <c r="AC1279" i="6"/>
  <c r="AC176" i="6"/>
  <c r="AC432" i="6"/>
  <c r="AC688" i="6"/>
  <c r="AC944" i="6"/>
  <c r="AC1200" i="6"/>
  <c r="AC212" i="6"/>
  <c r="AC526" i="6"/>
  <c r="AC841" i="6"/>
  <c r="AC1157" i="6"/>
  <c r="AC1436" i="6"/>
  <c r="AC115" i="6"/>
  <c r="AC428" i="6"/>
  <c r="AC744" i="6"/>
  <c r="AC1060" i="6"/>
  <c r="AC18" i="6"/>
  <c r="AC331" i="6"/>
  <c r="AC647" i="6"/>
  <c r="AC963" i="6"/>
  <c r="AC1271" i="6"/>
  <c r="AC199" i="6"/>
  <c r="AC257" i="6"/>
  <c r="AC1746" i="6"/>
  <c r="AC442" i="6"/>
  <c r="AC1964" i="6"/>
  <c r="AC1237" i="6"/>
  <c r="AC1636" i="6"/>
  <c r="AC673" i="6"/>
  <c r="AC173" i="6"/>
  <c r="AC429" i="6"/>
  <c r="AC685" i="6"/>
  <c r="AC941" i="6"/>
  <c r="AC15" i="6"/>
  <c r="AC271" i="6"/>
  <c r="AC527" i="6"/>
  <c r="AC1699" i="6"/>
  <c r="AC322" i="6"/>
  <c r="AC1931" i="6"/>
  <c r="AC1173" i="6"/>
  <c r="AC1592" i="6"/>
  <c r="AC583" i="6"/>
  <c r="AC189" i="6"/>
  <c r="AC445" i="6"/>
  <c r="AC701" i="6"/>
  <c r="AC957" i="6"/>
  <c r="AC31" i="6"/>
  <c r="AC287" i="6"/>
  <c r="AC543" i="6"/>
  <c r="AC799" i="6"/>
  <c r="AC1055" i="6"/>
  <c r="AC1311" i="6"/>
  <c r="AC208" i="6"/>
  <c r="AC464" i="6"/>
  <c r="AC720" i="6"/>
  <c r="AC976" i="6"/>
  <c r="AC1232" i="6"/>
  <c r="AC250" i="6"/>
  <c r="AC566" i="6"/>
  <c r="AC882" i="6"/>
  <c r="AC1195" i="6"/>
  <c r="AC1468" i="6"/>
  <c r="AC153" i="6"/>
  <c r="AC469" i="6"/>
  <c r="AC785" i="6"/>
  <c r="AC1098" i="6"/>
  <c r="AC56" i="6"/>
  <c r="AC372" i="6"/>
  <c r="AC686" i="6"/>
  <c r="AC1001" i="6"/>
  <c r="AC1306" i="6"/>
  <c r="AC1656" i="6"/>
  <c r="AC1893" i="6"/>
  <c r="AC1102" i="6"/>
  <c r="AC1536" i="6"/>
  <c r="AC497" i="6"/>
  <c r="AC205" i="6"/>
  <c r="AC461" i="6"/>
  <c r="AC717" i="6"/>
  <c r="AC973" i="6"/>
  <c r="AC47" i="6"/>
  <c r="AC303" i="6"/>
  <c r="AC559" i="6"/>
  <c r="AC815" i="6"/>
  <c r="AC1071" i="6"/>
  <c r="AC1327" i="6"/>
  <c r="AC224" i="6"/>
  <c r="AC480" i="6"/>
  <c r="AC736" i="6"/>
  <c r="AC992" i="6"/>
  <c r="AC1248" i="6"/>
  <c r="AC270" i="6"/>
  <c r="AC585" i="6"/>
  <c r="AC901" i="6"/>
  <c r="AC1213" i="6"/>
  <c r="AC1484" i="6"/>
  <c r="AC969" i="6"/>
  <c r="AC1454" i="6"/>
  <c r="AC749" i="6"/>
  <c r="AC591" i="6"/>
  <c r="AC112" i="6"/>
  <c r="AC928" i="6"/>
  <c r="AC547" i="6"/>
  <c r="AC1500" i="6"/>
  <c r="AC763" i="6"/>
  <c r="AC252" i="6"/>
  <c r="AC1042" i="6"/>
  <c r="AC228" i="6"/>
  <c r="AC1034" i="6"/>
  <c r="AC1661" i="6"/>
  <c r="AC258" i="6"/>
  <c r="AC1035" i="6"/>
  <c r="AC1662" i="6"/>
  <c r="AC532" i="6"/>
  <c r="AC1297" i="6"/>
  <c r="AC1839" i="6"/>
  <c r="AC774" i="6"/>
  <c r="AC1429" i="6"/>
  <c r="AC132" i="6"/>
  <c r="AC631" i="6"/>
  <c r="AC1469" i="6"/>
  <c r="AC1919" i="6"/>
  <c r="AC952" i="6"/>
  <c r="AC1690" i="6"/>
  <c r="AC374" i="6"/>
  <c r="AC1241" i="6"/>
  <c r="AC1735" i="6"/>
  <c r="AC147" i="6"/>
  <c r="AC857" i="6"/>
  <c r="AC1587" i="6"/>
  <c r="AC1990" i="6"/>
  <c r="AC667" i="6"/>
  <c r="AC1331" i="6"/>
  <c r="AC1872" i="6"/>
  <c r="AC42" i="6"/>
  <c r="AC121" i="6"/>
  <c r="AC52" i="6"/>
  <c r="AC1204" i="6"/>
  <c r="AC423" i="6"/>
  <c r="AC1373" i="6"/>
  <c r="AC1946" i="6"/>
  <c r="AC424" i="6"/>
  <c r="AC1345" i="6"/>
  <c r="AC1897" i="6"/>
  <c r="AC709" i="6"/>
  <c r="AC1482" i="6"/>
  <c r="AC1999" i="6"/>
  <c r="AC710" i="6"/>
  <c r="AC1416" i="6"/>
  <c r="AC1899" i="6"/>
  <c r="AC321" i="6"/>
  <c r="AC396" i="6"/>
  <c r="AC1722" i="6"/>
  <c r="AC811" i="6"/>
  <c r="AC1992" i="6"/>
  <c r="AC1283" i="6"/>
  <c r="AC1624" i="6"/>
  <c r="AC643" i="6"/>
  <c r="AC1952" i="6"/>
  <c r="AC1202" i="6"/>
  <c r="AC1143" i="6"/>
  <c r="AC616" i="6"/>
  <c r="AC872" i="6"/>
  <c r="AC1251" i="6"/>
  <c r="AC230" i="6"/>
  <c r="AC1209" i="6"/>
  <c r="AC826" i="6"/>
  <c r="AC1922" i="6"/>
  <c r="AC492" i="6"/>
  <c r="AC9" i="6"/>
  <c r="AC235" i="6"/>
  <c r="AC851" i="6"/>
  <c r="AC1503" i="6"/>
  <c r="AC447" i="6"/>
  <c r="AC75" i="6"/>
  <c r="AC1477" i="6"/>
  <c r="AC1255" i="6"/>
  <c r="AC855" i="6"/>
  <c r="AC412" i="6"/>
  <c r="AC1070" i="6"/>
  <c r="AC87" i="6"/>
  <c r="AC1389" i="6"/>
  <c r="AC653" i="6"/>
  <c r="AC982" i="6"/>
  <c r="AC1775" i="6"/>
  <c r="AC1519" i="6"/>
  <c r="AC136" i="6"/>
  <c r="AC1347" i="6"/>
  <c r="AC414" i="6"/>
  <c r="AC1011" i="6"/>
  <c r="AC861" i="6"/>
  <c r="AC703" i="6"/>
  <c r="AC160" i="6"/>
  <c r="AC960" i="6"/>
  <c r="AC604" i="6"/>
  <c r="AC1516" i="6"/>
  <c r="AC804" i="6"/>
  <c r="AC312" i="6"/>
  <c r="AC1061" i="6"/>
  <c r="AC281" i="6"/>
  <c r="AC1062" i="6"/>
  <c r="AC1677" i="6"/>
  <c r="AC282" i="6"/>
  <c r="AC1063" i="6"/>
  <c r="AC1678" i="6"/>
  <c r="AC554" i="6"/>
  <c r="AC1317" i="6"/>
  <c r="AC24" i="6"/>
  <c r="AC796" i="6"/>
  <c r="AC1446" i="6"/>
  <c r="AC162" i="6"/>
  <c r="AC660" i="6"/>
  <c r="AC1490" i="6"/>
  <c r="AC1936" i="6"/>
  <c r="AC30" i="6"/>
  <c r="AC984" i="6"/>
  <c r="AC1714" i="6"/>
  <c r="AC403" i="6"/>
  <c r="AC1268" i="6"/>
  <c r="AC1754" i="6"/>
  <c r="AC187" i="6"/>
  <c r="AC889" i="6"/>
  <c r="AC1608" i="6"/>
  <c r="AC700" i="6"/>
  <c r="AC1362" i="6"/>
  <c r="AC1906" i="6"/>
  <c r="AC85" i="6"/>
  <c r="AC315" i="6"/>
  <c r="AC130" i="6"/>
  <c r="AC1257" i="6"/>
  <c r="AC545" i="6"/>
  <c r="AC1413" i="6"/>
  <c r="AC1969" i="6"/>
  <c r="AC491" i="6"/>
  <c r="AC1374" i="6"/>
  <c r="AC1925" i="6"/>
  <c r="AC753" i="6"/>
  <c r="AC1550" i="6"/>
  <c r="AC754" i="6"/>
  <c r="AC1453" i="6"/>
  <c r="AC1927" i="6"/>
  <c r="AC388" i="6"/>
  <c r="AC1683" i="6"/>
  <c r="AC737" i="6"/>
  <c r="AC1959" i="6"/>
  <c r="AC1223" i="6"/>
  <c r="AC1589" i="6"/>
  <c r="AC572" i="6"/>
  <c r="AC1913" i="6"/>
  <c r="AC1508" i="6"/>
  <c r="AC1804" i="6"/>
  <c r="AC1390" i="6"/>
  <c r="AC1461" i="6"/>
  <c r="AC1651" i="6"/>
  <c r="AC1898" i="6"/>
  <c r="AC1478" i="6"/>
  <c r="AC8" i="6"/>
  <c r="AC1788" i="6"/>
  <c r="AC1010" i="6"/>
  <c r="AC937" i="6"/>
  <c r="AC887" i="6"/>
  <c r="AC1220" i="6"/>
  <c r="AC1849" i="6"/>
  <c r="AC1391" i="6"/>
  <c r="AC12" i="6"/>
  <c r="AC812" i="6"/>
  <c r="AC909" i="6"/>
  <c r="AC751" i="6"/>
  <c r="AC192" i="6"/>
  <c r="AC1008" i="6"/>
  <c r="AC626" i="6"/>
  <c r="AC36" i="6"/>
  <c r="AC823" i="6"/>
  <c r="AC353" i="6"/>
  <c r="AC1197" i="6"/>
  <c r="AC307" i="6"/>
  <c r="AC1084" i="6"/>
  <c r="AC1693" i="6"/>
  <c r="AC308" i="6"/>
  <c r="AC1086" i="6"/>
  <c r="AC1694" i="6"/>
  <c r="AC579" i="6"/>
  <c r="AC1337" i="6"/>
  <c r="AC50" i="6"/>
  <c r="AC821" i="6"/>
  <c r="AC1480" i="6"/>
  <c r="AC342" i="6"/>
  <c r="AC692" i="6"/>
  <c r="AC1515" i="6"/>
  <c r="AC1953" i="6"/>
  <c r="AC298" i="6"/>
  <c r="AC1017" i="6"/>
  <c r="AC1734" i="6"/>
  <c r="AC633" i="6"/>
  <c r="AC1301" i="6"/>
  <c r="AC1852" i="6"/>
  <c r="AC225" i="6"/>
  <c r="AC926" i="6"/>
  <c r="AC1628" i="6"/>
  <c r="AC732" i="6"/>
  <c r="AC1383" i="6"/>
  <c r="AC1923" i="6"/>
  <c r="AC119" i="6"/>
  <c r="AC387" i="6"/>
  <c r="AC201" i="6"/>
  <c r="AC1439" i="6"/>
  <c r="AC594" i="6"/>
  <c r="AC1440" i="6"/>
  <c r="AC1996" i="6"/>
  <c r="AC610" i="6"/>
  <c r="AC1414" i="6"/>
  <c r="AC1947" i="6"/>
  <c r="AC802" i="6"/>
  <c r="AC1576" i="6"/>
  <c r="AC806" i="6"/>
  <c r="AC1483" i="6"/>
  <c r="AC1950" i="6"/>
  <c r="AC452" i="6"/>
  <c r="AC1635" i="6"/>
  <c r="AC668" i="6"/>
  <c r="AC1915" i="6"/>
  <c r="AC1153" i="6"/>
  <c r="AC1533" i="6"/>
  <c r="AC474" i="6"/>
  <c r="AC1880" i="6"/>
  <c r="AC1068" i="6"/>
  <c r="AC377" i="6"/>
  <c r="AC1004" i="6"/>
  <c r="AC742" i="6"/>
  <c r="AC936" i="6"/>
  <c r="AC949" i="6"/>
  <c r="AC1760" i="6"/>
  <c r="AC1721" i="6"/>
  <c r="AC1986" i="6"/>
  <c r="AC716" i="6"/>
  <c r="AC1981" i="6"/>
  <c r="AC1028" i="6"/>
  <c r="AC1372" i="6"/>
  <c r="AC53" i="6"/>
  <c r="AC1671" i="6"/>
  <c r="AC550" i="6"/>
  <c r="AC170" i="6"/>
  <c r="AC768" i="6"/>
  <c r="AC1598" i="6"/>
  <c r="AC1884" i="6"/>
  <c r="AC792" i="6"/>
  <c r="AC1968" i="6"/>
  <c r="AC611" i="6"/>
  <c r="AC165" i="6"/>
  <c r="AC394" i="6"/>
  <c r="AC989" i="6"/>
  <c r="AC783" i="6"/>
  <c r="AC240" i="6"/>
  <c r="AC1024" i="6"/>
  <c r="AC762" i="6"/>
  <c r="AC94" i="6"/>
  <c r="AC842" i="6"/>
  <c r="AC391" i="6"/>
  <c r="AC1253" i="6"/>
  <c r="AC334" i="6"/>
  <c r="AC1109" i="6"/>
  <c r="AC1709" i="6"/>
  <c r="AC337" i="6"/>
  <c r="AC1110" i="6"/>
  <c r="AC1710" i="6"/>
  <c r="AC601" i="6"/>
  <c r="AC1360" i="6"/>
  <c r="AC76" i="6"/>
  <c r="AC849" i="6"/>
  <c r="AC1497" i="6"/>
  <c r="AC364" i="6"/>
  <c r="AC728" i="6"/>
  <c r="AC1537" i="6"/>
  <c r="AC1970" i="6"/>
  <c r="AC332" i="6"/>
  <c r="AC1049" i="6"/>
  <c r="AC1753" i="6"/>
  <c r="AC662" i="6"/>
  <c r="AC1329" i="6"/>
  <c r="AC1887" i="6"/>
  <c r="AC265" i="6"/>
  <c r="AC1083" i="6"/>
  <c r="AC1652" i="6"/>
  <c r="AC761" i="6"/>
  <c r="AC1405" i="6"/>
  <c r="AC1940" i="6"/>
  <c r="AC163" i="6"/>
  <c r="AC419" i="6"/>
  <c r="AC279" i="6"/>
  <c r="AC1506" i="6"/>
  <c r="AC648" i="6"/>
  <c r="AC1476" i="6"/>
  <c r="AC654" i="6"/>
  <c r="AC1441" i="6"/>
  <c r="AC1975" i="6"/>
  <c r="AC898" i="6"/>
  <c r="AC1612" i="6"/>
  <c r="AC850" i="6"/>
  <c r="AC1510" i="6"/>
  <c r="AC1977" i="6"/>
  <c r="AC514" i="6"/>
  <c r="AC1591" i="6"/>
  <c r="AC582" i="6"/>
  <c r="AC1882" i="6"/>
  <c r="AC1093" i="6"/>
  <c r="AC1487" i="6"/>
  <c r="AC1842" i="6"/>
  <c r="AC1489" i="6"/>
  <c r="AC247" i="6"/>
  <c r="AC1767" i="6"/>
  <c r="AC1333" i="6"/>
  <c r="AC1666" i="6"/>
  <c r="AC747" i="6"/>
  <c r="AC222" i="6"/>
  <c r="AC641" i="6"/>
  <c r="AC59" i="6"/>
  <c r="AC494" i="6"/>
  <c r="AC1883" i="6"/>
  <c r="AC378" i="6"/>
  <c r="AC529" i="6"/>
  <c r="AC1997" i="6"/>
  <c r="AC534" i="6"/>
  <c r="AC263" i="6"/>
  <c r="AC1243" i="6"/>
  <c r="AC1874" i="6"/>
  <c r="AC1856" i="6"/>
  <c r="AC246" i="6"/>
  <c r="AC1364" i="6"/>
  <c r="AC495" i="6"/>
  <c r="AC97" i="6"/>
  <c r="AC150" i="6"/>
  <c r="AC563" i="6"/>
  <c r="AC441" i="6"/>
  <c r="AC1896" i="6"/>
  <c r="AC613" i="6"/>
  <c r="AC249" i="6"/>
  <c r="AC1005" i="6"/>
  <c r="AC831" i="6"/>
  <c r="AC256" i="6"/>
  <c r="AC1136" i="6"/>
  <c r="AC822" i="6"/>
  <c r="AC134" i="6"/>
  <c r="AC981" i="6"/>
  <c r="AC410" i="6"/>
  <c r="AC1289" i="6"/>
  <c r="AC358" i="6"/>
  <c r="AC1131" i="6"/>
  <c r="AC1725" i="6"/>
  <c r="AC359" i="6"/>
  <c r="AC1132" i="6"/>
  <c r="AC1726" i="6"/>
  <c r="AC629" i="6"/>
  <c r="AC1377" i="6"/>
  <c r="AC103" i="6"/>
  <c r="AC871" i="6"/>
  <c r="AC1514" i="6"/>
  <c r="AC5" i="6"/>
  <c r="AC757" i="6"/>
  <c r="AC1558" i="6"/>
  <c r="AC373" i="6"/>
  <c r="AC1081" i="6"/>
  <c r="AC1772" i="6"/>
  <c r="AC694" i="6"/>
  <c r="AC1353" i="6"/>
  <c r="AC1904" i="6"/>
  <c r="AC300" i="6"/>
  <c r="AC1148" i="6"/>
  <c r="AC1672" i="6"/>
  <c r="AC38" i="6"/>
  <c r="AC798" i="6"/>
  <c r="AC1430" i="6"/>
  <c r="AC1957" i="6"/>
  <c r="AC197" i="6"/>
  <c r="AC446" i="6"/>
  <c r="AC355" i="6"/>
  <c r="AC1542" i="6"/>
  <c r="AC702" i="6"/>
  <c r="AC1507" i="6"/>
  <c r="AC708" i="6"/>
  <c r="AC1481" i="6"/>
  <c r="AC1998" i="6"/>
  <c r="AC935" i="6"/>
  <c r="AC1675" i="6"/>
  <c r="AC899" i="6"/>
  <c r="AC1551" i="6"/>
  <c r="AC2000" i="6"/>
  <c r="AC562" i="6"/>
  <c r="AC1535" i="6"/>
  <c r="AC484" i="6"/>
  <c r="AC1844" i="6"/>
  <c r="AC1009" i="6"/>
  <c r="AC1435" i="6"/>
  <c r="AC244" i="6"/>
  <c r="AC1802" i="6"/>
  <c r="AC947" i="6"/>
  <c r="AC1573" i="6"/>
  <c r="AC91" i="6"/>
  <c r="AC117" i="6"/>
  <c r="AC810" i="6"/>
  <c r="AC884" i="6"/>
  <c r="AC498" i="6"/>
  <c r="AC1717" i="6"/>
  <c r="AC1074" i="6"/>
  <c r="AC1261" i="6"/>
  <c r="AC1488" i="6"/>
  <c r="AC752" i="6"/>
  <c r="AC1663" i="6"/>
  <c r="AC1170" i="6"/>
  <c r="AC1825" i="6"/>
  <c r="AC1437" i="6"/>
  <c r="AC1343" i="6"/>
  <c r="AC435" i="6"/>
  <c r="AC69" i="6"/>
  <c r="AC1808" i="6"/>
  <c r="AC104" i="6"/>
  <c r="AC93" i="6"/>
  <c r="AC1117" i="6"/>
  <c r="AC847" i="6"/>
  <c r="AC368" i="6"/>
  <c r="AC1184" i="6"/>
  <c r="AC860" i="6"/>
  <c r="AC172" i="6"/>
  <c r="AC1041" i="6"/>
  <c r="AC430" i="6"/>
  <c r="AC1323" i="6"/>
  <c r="AC380" i="6"/>
  <c r="AC1156" i="6"/>
  <c r="AC1741" i="6"/>
  <c r="AC382" i="6"/>
  <c r="AC1160" i="6"/>
  <c r="AC1742" i="6"/>
  <c r="AC651" i="6"/>
  <c r="AC1394" i="6"/>
  <c r="AC129" i="6"/>
  <c r="AC894" i="6"/>
  <c r="AC1531" i="6"/>
  <c r="AC28" i="6"/>
  <c r="AC789" i="6"/>
  <c r="AC1584" i="6"/>
  <c r="AC402" i="6"/>
  <c r="AC1114" i="6"/>
  <c r="AC1794" i="6"/>
  <c r="AC730" i="6"/>
  <c r="AC1381" i="6"/>
  <c r="AC1921" i="6"/>
  <c r="AC341" i="6"/>
  <c r="AC1180" i="6"/>
  <c r="AC1692" i="6"/>
  <c r="AC113" i="6"/>
  <c r="AC830" i="6"/>
  <c r="AC1541" i="6"/>
  <c r="AC1974" i="6"/>
  <c r="AC236" i="6"/>
  <c r="AC11" i="6"/>
  <c r="AC421" i="6"/>
  <c r="AC741" i="6"/>
  <c r="AC1543" i="6"/>
  <c r="AC979" i="6"/>
  <c r="AC1704" i="6"/>
  <c r="AC1577" i="6"/>
  <c r="AC392" i="6"/>
  <c r="AC1438" i="6"/>
  <c r="AC874" i="6"/>
  <c r="AC807" i="6"/>
  <c r="AC1263" i="6"/>
  <c r="AC1460" i="6"/>
  <c r="AC27" i="6"/>
  <c r="AC1125" i="6"/>
  <c r="AC1346" i="6"/>
  <c r="AC98" i="6"/>
  <c r="AC1803" i="6"/>
  <c r="AC605" i="6"/>
  <c r="AC278" i="6"/>
  <c r="AC533" i="6"/>
  <c r="AC760" i="6"/>
  <c r="AC1219" i="6"/>
  <c r="AC1761" i="6"/>
  <c r="AC90" i="6"/>
  <c r="AC1723" i="6"/>
  <c r="AC297" i="6"/>
  <c r="AC1207" i="6"/>
  <c r="AC1266" i="6"/>
  <c r="AC1691" i="6"/>
  <c r="AC1124" i="6"/>
  <c r="AC215" i="6"/>
  <c r="AC141" i="6"/>
  <c r="AC1165" i="6"/>
  <c r="AC959" i="6"/>
  <c r="AC416" i="6"/>
  <c r="AC1216" i="6"/>
  <c r="AC920" i="6"/>
  <c r="AC194" i="6"/>
  <c r="AC1079" i="6"/>
  <c r="AC568" i="6"/>
  <c r="AC1340" i="6"/>
  <c r="AC552" i="6"/>
  <c r="AC1315" i="6"/>
  <c r="AC1853" i="6"/>
  <c r="AC553" i="6"/>
  <c r="AC1316" i="6"/>
  <c r="AC23" i="6"/>
  <c r="AC820" i="6"/>
  <c r="AC1513" i="6"/>
  <c r="AC313" i="6"/>
  <c r="AC918" i="6"/>
  <c r="AC1549" i="6"/>
  <c r="AC66" i="6"/>
  <c r="AC1016" i="6"/>
  <c r="AC1605" i="6"/>
  <c r="AC438" i="6"/>
  <c r="AC1328" i="6"/>
  <c r="AC1813" i="6"/>
  <c r="AC759" i="6"/>
  <c r="AC1402" i="6"/>
  <c r="AC1938" i="6"/>
  <c r="AC375" i="6"/>
  <c r="AC1212" i="6"/>
  <c r="AC1716" i="6"/>
  <c r="AC148" i="6"/>
  <c r="AC858" i="6"/>
  <c r="AC1588" i="6"/>
  <c r="AC1991" i="6"/>
  <c r="AC418" i="6"/>
  <c r="AC57" i="6"/>
  <c r="AC485" i="6"/>
  <c r="AC1604" i="6"/>
  <c r="AC788" i="6"/>
  <c r="AC1574" i="6"/>
  <c r="AC801" i="6"/>
  <c r="AC1544" i="6"/>
  <c r="AC1075" i="6"/>
  <c r="AC1738" i="6"/>
  <c r="AC65" i="6"/>
  <c r="AC995" i="6"/>
  <c r="AC1617" i="6"/>
  <c r="AC670" i="6"/>
  <c r="AC1719" i="6"/>
  <c r="AC1396" i="6"/>
  <c r="AC1282" i="6"/>
  <c r="AC291" i="6"/>
  <c r="AC37" i="6"/>
  <c r="AC746" i="6"/>
  <c r="AC1647" i="6"/>
  <c r="AC1850" i="6"/>
  <c r="AC1082" i="6"/>
  <c r="AC376" i="6"/>
  <c r="AC422" i="6"/>
  <c r="AC1295" i="6"/>
  <c r="AC772" i="6"/>
  <c r="AC1867" i="6"/>
  <c r="AC1939" i="6"/>
  <c r="AC490" i="6"/>
  <c r="AC556" i="6"/>
  <c r="AC1420" i="6"/>
  <c r="AC1276" i="6"/>
  <c r="AC299" i="6"/>
  <c r="AC1756" i="6"/>
  <c r="AC1948" i="6"/>
  <c r="AC221" i="6"/>
  <c r="AC63" i="6"/>
  <c r="AC1007" i="6"/>
  <c r="AC448" i="6"/>
  <c r="AC1264" i="6"/>
  <c r="AC939" i="6"/>
  <c r="AC213" i="6"/>
  <c r="AC1118" i="6"/>
  <c r="AC628" i="6"/>
  <c r="AC1357" i="6"/>
  <c r="AC622" i="6"/>
  <c r="AC1375" i="6"/>
  <c r="AC1901" i="6"/>
  <c r="AC625" i="6"/>
  <c r="AC1376" i="6"/>
  <c r="AC102" i="6"/>
  <c r="AC892" i="6"/>
  <c r="AC1565" i="6"/>
  <c r="AC386" i="6"/>
  <c r="AC1090" i="6"/>
  <c r="AC1566" i="6"/>
  <c r="AC105" i="6"/>
  <c r="AC1048" i="6"/>
  <c r="AC1625" i="6"/>
  <c r="AC467" i="6"/>
  <c r="AC1352" i="6"/>
  <c r="AC1832" i="6"/>
  <c r="AC791" i="6"/>
  <c r="AC1518" i="6"/>
  <c r="AC1955" i="6"/>
  <c r="AC404" i="6"/>
  <c r="AC1242" i="6"/>
  <c r="AC1736" i="6"/>
  <c r="AC188" i="6"/>
  <c r="AC897" i="6"/>
  <c r="AC1609" i="6"/>
  <c r="AC476" i="6"/>
  <c r="AC89" i="6"/>
  <c r="AC740" i="6"/>
  <c r="AC1638" i="6"/>
  <c r="AC837" i="6"/>
  <c r="AC1610" i="6"/>
  <c r="AC838" i="6"/>
  <c r="AC1575" i="6"/>
  <c r="AC62" i="6"/>
  <c r="AC1127" i="6"/>
  <c r="AC1765" i="6"/>
  <c r="AC140" i="6"/>
  <c r="AC1032" i="6"/>
  <c r="AC1642" i="6"/>
  <c r="AC713" i="6"/>
  <c r="AC1434" i="6"/>
  <c r="AC1384" i="6"/>
  <c r="AC237" i="6"/>
  <c r="AC79" i="6"/>
  <c r="AC1039" i="6"/>
  <c r="AC496" i="6"/>
  <c r="AC1280" i="6"/>
  <c r="AC1078" i="6"/>
  <c r="AC350" i="6"/>
  <c r="AC1139" i="6"/>
  <c r="AC666" i="6"/>
  <c r="AC120" i="6"/>
  <c r="AC649" i="6"/>
  <c r="AC1392" i="6"/>
  <c r="AC1917" i="6"/>
  <c r="AC650" i="6"/>
  <c r="AC1393" i="6"/>
  <c r="AC126" i="6"/>
  <c r="AC917" i="6"/>
  <c r="AC1582" i="6"/>
  <c r="AC411" i="6"/>
  <c r="AC1112" i="6"/>
  <c r="AC1583" i="6"/>
  <c r="AC142" i="6"/>
  <c r="AC1077" i="6"/>
  <c r="AC1649" i="6"/>
  <c r="AC499" i="6"/>
  <c r="AC1380" i="6"/>
  <c r="AC1851" i="6"/>
  <c r="AC68" i="6"/>
  <c r="AC827" i="6"/>
  <c r="AC1560" i="6"/>
  <c r="AC1972" i="6"/>
  <c r="AC569" i="6"/>
  <c r="AC1272" i="6"/>
  <c r="AC1755" i="6"/>
  <c r="AC226" i="6"/>
  <c r="AC929" i="6"/>
  <c r="AC1633" i="6"/>
  <c r="AC515" i="6"/>
  <c r="AC131" i="6"/>
  <c r="AC836" i="6"/>
  <c r="AC1667" i="6"/>
  <c r="AC881" i="6"/>
  <c r="AC1639" i="6"/>
  <c r="AC885" i="6"/>
  <c r="AC1611" i="6"/>
  <c r="AC216" i="6"/>
  <c r="AC1171" i="6"/>
  <c r="AC1792" i="6"/>
  <c r="AC217" i="6"/>
  <c r="AC1076" i="6"/>
  <c r="AC1676" i="6"/>
  <c r="AC766" i="6"/>
  <c r="AC1348" i="6"/>
  <c r="AC1682" i="6"/>
  <c r="AC734" i="6"/>
  <c r="AC1958" i="6"/>
  <c r="AC1203" i="6"/>
  <c r="AC1623" i="6"/>
  <c r="AC642" i="6"/>
  <c r="AC1284" i="6"/>
  <c r="AC1634" i="6"/>
  <c r="AC1144" i="6"/>
  <c r="AC571" i="6"/>
  <c r="AC1527" i="6"/>
  <c r="AC493" i="6"/>
  <c r="AC507" i="6"/>
  <c r="AC1014" i="6"/>
  <c r="AC1470" i="6"/>
  <c r="AC1218" i="6"/>
  <c r="AC948" i="6"/>
  <c r="AC771" i="6"/>
  <c r="AC1491" i="6"/>
  <c r="AC58" i="6"/>
  <c r="AC1597" i="6"/>
  <c r="AC1517" i="6"/>
  <c r="AC43" i="6"/>
  <c r="AC1847" i="6"/>
  <c r="AC950" i="6"/>
  <c r="AC1935" i="6"/>
  <c r="AC349" i="6"/>
  <c r="AC191" i="6"/>
  <c r="AC1087" i="6"/>
  <c r="AC512" i="6"/>
  <c r="AC133" i="6"/>
  <c r="AC1138" i="6"/>
  <c r="AC409" i="6"/>
  <c r="AC1158" i="6"/>
  <c r="AC707" i="6"/>
  <c r="AC180" i="6"/>
  <c r="AC674" i="6"/>
  <c r="AC1409" i="6"/>
  <c r="AC1933" i="6"/>
  <c r="AC675" i="6"/>
  <c r="AC1410" i="6"/>
  <c r="AC151" i="6"/>
  <c r="AC945" i="6"/>
  <c r="AC1599" i="6"/>
  <c r="AC436" i="6"/>
  <c r="AC1162" i="6"/>
  <c r="AC1696" i="6"/>
  <c r="AC183" i="6"/>
  <c r="AC1113" i="6"/>
  <c r="AC1669" i="6"/>
  <c r="AC535" i="6"/>
  <c r="AC1401" i="6"/>
  <c r="AC1868" i="6"/>
  <c r="AC108" i="6"/>
  <c r="AC856" i="6"/>
  <c r="AC1586" i="6"/>
  <c r="AC1989" i="6"/>
  <c r="AC634" i="6"/>
  <c r="AC1302" i="6"/>
  <c r="AC1854" i="6"/>
  <c r="AC266" i="6"/>
  <c r="AC955" i="6"/>
  <c r="AC1653" i="6"/>
  <c r="AC542" i="6"/>
  <c r="AC167" i="6"/>
  <c r="AC878" i="6"/>
  <c r="AC1701" i="6"/>
  <c r="AC933" i="6"/>
  <c r="AC1702" i="6"/>
  <c r="AC934" i="6"/>
  <c r="AC1640" i="6"/>
  <c r="AC294" i="6"/>
  <c r="AC1221" i="6"/>
  <c r="AC1824" i="6"/>
  <c r="AC295" i="6"/>
  <c r="AC1128" i="6"/>
  <c r="AC1705" i="6"/>
  <c r="AC809" i="6"/>
  <c r="AC1993" i="6"/>
  <c r="AC659" i="6"/>
  <c r="AC1914" i="6"/>
  <c r="AC1578" i="6"/>
  <c r="AC519" i="6"/>
  <c r="AC1828" i="6"/>
  <c r="AC397" i="6"/>
  <c r="AC239" i="6"/>
  <c r="AC1103" i="6"/>
  <c r="AC624" i="6"/>
  <c r="AC193" i="6"/>
  <c r="AC1176" i="6"/>
  <c r="AC450" i="6"/>
  <c r="AC1288" i="6"/>
  <c r="AC726" i="6"/>
  <c r="AC218" i="6"/>
  <c r="AC696" i="6"/>
  <c r="AC1426" i="6"/>
  <c r="AC1949" i="6"/>
  <c r="AC697" i="6"/>
  <c r="AC1427" i="6"/>
  <c r="AC181" i="6"/>
  <c r="AC967" i="6"/>
  <c r="AC1615" i="6"/>
  <c r="AC458" i="6"/>
  <c r="AC1187" i="6"/>
  <c r="AC1712" i="6"/>
  <c r="AC219" i="6"/>
  <c r="AC1145" i="6"/>
  <c r="AC1812" i="6"/>
  <c r="AC564" i="6"/>
  <c r="AC1423" i="6"/>
  <c r="AC1988" i="6"/>
  <c r="AC146" i="6"/>
  <c r="AC888" i="6"/>
  <c r="AC1607" i="6"/>
  <c r="AC663" i="6"/>
  <c r="AC1330" i="6"/>
  <c r="AC1888" i="6"/>
  <c r="AC302" i="6"/>
  <c r="AC1123" i="6"/>
  <c r="AC1673" i="6"/>
  <c r="AC574" i="6"/>
  <c r="AC209" i="6"/>
  <c r="AC932" i="6"/>
  <c r="AC1730" i="6"/>
  <c r="AC977" i="6"/>
  <c r="AC1763" i="6"/>
  <c r="AC978" i="6"/>
  <c r="AC1674" i="6"/>
  <c r="AC363" i="6"/>
  <c r="AC1260" i="6"/>
  <c r="AC1848" i="6"/>
  <c r="AC366" i="6"/>
  <c r="AC1172" i="6"/>
  <c r="AC1739" i="6"/>
  <c r="AC10" i="6"/>
  <c r="AC1960" i="6"/>
  <c r="AC1224" i="6"/>
  <c r="AC1590" i="6"/>
  <c r="AC581" i="6"/>
  <c r="AC1881" i="6"/>
  <c r="AC1092" i="6"/>
  <c r="AC465" i="6"/>
  <c r="AC1313" i="6"/>
  <c r="AC1817" i="6"/>
  <c r="AC335" i="6"/>
  <c r="AC704" i="6"/>
  <c r="AC259" i="6"/>
  <c r="AC1229" i="6"/>
  <c r="AC1382" i="6"/>
  <c r="AC1846" i="6"/>
  <c r="AC310" i="6"/>
  <c r="AC1036" i="6"/>
  <c r="AC1403" i="6"/>
  <c r="AC137" i="6"/>
  <c r="AC1309" i="6"/>
  <c r="AC873" i="6"/>
  <c r="AC449" i="6"/>
  <c r="AC699" i="6"/>
  <c r="AC1956" i="6"/>
  <c r="AC1293" i="6"/>
  <c r="AC1415" i="6"/>
  <c r="AC248" i="6"/>
  <c r="AC1464" i="6"/>
  <c r="AC1860" i="6"/>
  <c r="AC477" i="6"/>
  <c r="AC319" i="6"/>
  <c r="AC1215" i="6"/>
  <c r="AC672" i="6"/>
  <c r="AC231" i="6"/>
  <c r="AC1233" i="6"/>
  <c r="AC488" i="6"/>
  <c r="AC1339" i="6"/>
  <c r="AC745" i="6"/>
  <c r="AC238" i="6"/>
  <c r="AC721" i="6"/>
  <c r="AC1443" i="6"/>
  <c r="AC1965" i="6"/>
  <c r="AC722" i="6"/>
  <c r="AC1444" i="6"/>
  <c r="AC204" i="6"/>
  <c r="AC990" i="6"/>
  <c r="AC1631" i="6"/>
  <c r="AC483" i="6"/>
  <c r="AC1208" i="6"/>
  <c r="AC4" i="6"/>
  <c r="AC254" i="6"/>
  <c r="AC1174" i="6"/>
  <c r="AC1831" i="6"/>
  <c r="AC596" i="6"/>
  <c r="AC1448" i="6"/>
  <c r="AC186" i="6"/>
  <c r="AC924" i="6"/>
  <c r="AC1627" i="6"/>
  <c r="AC695" i="6"/>
  <c r="AC1354" i="6"/>
  <c r="AC1905" i="6"/>
  <c r="AC343" i="6"/>
  <c r="AC1188" i="6"/>
  <c r="AC1697" i="6"/>
  <c r="AC612" i="6"/>
  <c r="AC245" i="6"/>
  <c r="AC974" i="6"/>
  <c r="AC1762" i="6"/>
  <c r="AC1029" i="6"/>
  <c r="AC1819" i="6"/>
  <c r="AC1030" i="6"/>
  <c r="AC1732" i="6"/>
  <c r="AC425" i="6"/>
  <c r="AC1308" i="6"/>
  <c r="AC1876" i="6"/>
  <c r="AC426" i="6"/>
  <c r="AC1222" i="6"/>
  <c r="AC1766" i="6"/>
  <c r="AC25" i="6"/>
  <c r="AC1916" i="6"/>
  <c r="AC1154" i="6"/>
  <c r="AC1534" i="6"/>
  <c r="AC475" i="6"/>
  <c r="AC1843" i="6"/>
  <c r="AC1006" i="6"/>
  <c r="AC1486" i="6"/>
  <c r="AC354" i="6"/>
  <c r="AC505" i="6"/>
  <c r="AC731" i="6"/>
  <c r="AC1786" i="6"/>
  <c r="AC1764" i="6"/>
  <c r="AC1798" i="6"/>
  <c r="AC1094" i="6"/>
  <c r="AC1857" i="6"/>
  <c r="AC942" i="6"/>
  <c r="AC260" i="6"/>
  <c r="AC1239" i="6"/>
  <c r="AC1147" i="6"/>
  <c r="AC1737" i="6"/>
  <c r="AC1918" i="6"/>
  <c r="AC1926" i="6"/>
  <c r="AC665" i="6"/>
  <c r="AC938" i="6"/>
  <c r="AC83" i="6"/>
  <c r="AC1179" i="6"/>
  <c r="AC1277" i="6"/>
  <c r="AC1720" i="6"/>
  <c r="AC575" i="6"/>
  <c r="AC1823" i="6"/>
  <c r="AC110" i="6"/>
  <c r="AC1259" i="6"/>
  <c r="AC603" i="6"/>
  <c r="AC116" i="6"/>
  <c r="AC1778" i="6"/>
  <c r="AC657" i="6"/>
  <c r="AC551" i="6"/>
  <c r="AC617" i="6"/>
  <c r="AC1995" i="6"/>
  <c r="AC1044" i="6"/>
  <c r="AC1332" i="6"/>
  <c r="AC1499" i="6"/>
  <c r="AC1359" i="6"/>
  <c r="AC727" i="6"/>
  <c r="AC828" i="6"/>
  <c r="AC243" i="6"/>
  <c r="AC506" i="6"/>
  <c r="AC1875" i="6"/>
  <c r="AC725" i="6"/>
  <c r="AC1303" i="6"/>
  <c r="AC1020" i="6"/>
  <c r="AC149" i="6"/>
  <c r="AC923" i="6"/>
  <c r="AC1976" i="6"/>
  <c r="AC1538" i="6"/>
  <c r="AC1985" i="6"/>
  <c r="AC1646" i="6"/>
  <c r="AC1877" i="6"/>
  <c r="AC733" i="6"/>
  <c r="AC880" i="6"/>
  <c r="AC1298" i="6"/>
  <c r="AC1561" i="6"/>
  <c r="AC362" i="6"/>
  <c r="AC326" i="6"/>
  <c r="AC1334" i="6"/>
  <c r="AC106" i="6"/>
  <c r="AC1973" i="6"/>
  <c r="AC1452" i="6"/>
  <c r="AC1299" i="6"/>
  <c r="AC1902" i="6"/>
  <c r="AC7" i="6"/>
  <c r="AC1442" i="6"/>
  <c r="AC1012" i="6"/>
  <c r="AC875" i="6"/>
  <c r="AC229" i="6"/>
  <c r="AC658" i="6"/>
  <c r="AC1281" i="6"/>
  <c r="AC1275" i="6"/>
  <c r="AC1645" i="6"/>
  <c r="AC286" i="6"/>
  <c r="AC1344" i="6"/>
  <c r="AC1924" i="6"/>
  <c r="AC595" i="6"/>
  <c r="AC86" i="6"/>
  <c r="AC1768" i="6"/>
  <c r="AC1166" i="6"/>
  <c r="AC1681" i="6"/>
  <c r="AC340" i="6"/>
  <c r="AC718" i="6"/>
  <c r="AC504" i="6"/>
  <c r="AC1013" i="6"/>
  <c r="AC808" i="6"/>
  <c r="AC1385" i="6"/>
  <c r="AC1211" i="6"/>
  <c r="AC1715" i="6"/>
  <c r="L21" i="6"/>
  <c r="L69" i="6"/>
  <c r="L149" i="6"/>
  <c r="L93" i="6"/>
  <c r="L127" i="6"/>
  <c r="L161" i="6"/>
  <c r="L178" i="6"/>
  <c r="L281" i="6"/>
  <c r="L378" i="6"/>
  <c r="L394" i="6"/>
  <c r="L410" i="6"/>
  <c r="L426" i="6"/>
  <c r="L474" i="6"/>
  <c r="L490" i="6"/>
  <c r="L506" i="6"/>
  <c r="L522" i="6"/>
  <c r="L538" i="6"/>
  <c r="L554" i="6"/>
  <c r="L570" i="6"/>
  <c r="L586" i="6"/>
  <c r="L602" i="6"/>
  <c r="L618" i="6"/>
  <c r="L634" i="6"/>
  <c r="L650" i="6"/>
  <c r="L666" i="6"/>
  <c r="L682" i="6"/>
  <c r="L698" i="6"/>
  <c r="L714" i="6"/>
  <c r="L730" i="6"/>
  <c r="L746" i="6"/>
  <c r="L762" i="6"/>
  <c r="L778" i="6"/>
  <c r="L794" i="6"/>
  <c r="L810" i="6"/>
  <c r="L826" i="6"/>
  <c r="L842" i="6"/>
  <c r="L858" i="6"/>
  <c r="L874" i="6"/>
  <c r="L890" i="6"/>
  <c r="L906" i="6"/>
  <c r="L922" i="6"/>
  <c r="L938" i="6"/>
  <c r="L954" i="6"/>
  <c r="L970" i="6"/>
  <c r="L986" i="6"/>
  <c r="L1002" i="6"/>
  <c r="L1018" i="6"/>
  <c r="L1034" i="6"/>
  <c r="L1050" i="6"/>
  <c r="L1066" i="6"/>
  <c r="L1082" i="6"/>
  <c r="L1098" i="6"/>
  <c r="L1114" i="6"/>
  <c r="L131" i="6"/>
  <c r="L148" i="6"/>
  <c r="L166" i="6"/>
  <c r="L183" i="6"/>
  <c r="L234" i="6"/>
  <c r="L251" i="6"/>
  <c r="L302" i="6"/>
  <c r="L318" i="6"/>
  <c r="L366" i="6"/>
  <c r="L382" i="6"/>
  <c r="L398" i="6"/>
  <c r="L414" i="6"/>
  <c r="L430" i="6"/>
  <c r="L446" i="6"/>
  <c r="L113" i="6"/>
  <c r="L210" i="6"/>
  <c r="L326" i="6"/>
  <c r="L436" i="6"/>
  <c r="L454" i="6"/>
  <c r="L471" i="6"/>
  <c r="L488" i="6"/>
  <c r="L505" i="6"/>
  <c r="L523" i="6"/>
  <c r="L540" i="6"/>
  <c r="L557" i="6"/>
  <c r="L574" i="6"/>
  <c r="L591" i="6"/>
  <c r="L608" i="6"/>
  <c r="L625" i="6"/>
  <c r="L642" i="6"/>
  <c r="L659" i="6"/>
  <c r="L676" i="6"/>
  <c r="L693" i="6"/>
  <c r="L710" i="6"/>
  <c r="L727" i="6"/>
  <c r="L115" i="6"/>
  <c r="L173" i="6"/>
  <c r="L327" i="6"/>
  <c r="L383" i="6"/>
  <c r="L401" i="6"/>
  <c r="L419" i="6"/>
  <c r="L437" i="6"/>
  <c r="L455" i="6"/>
  <c r="L472" i="6"/>
  <c r="L489" i="6"/>
  <c r="L507" i="6"/>
  <c r="L524" i="6"/>
  <c r="L541" i="6"/>
  <c r="L558" i="6"/>
  <c r="L575" i="6"/>
  <c r="L592" i="6"/>
  <c r="L609" i="6"/>
  <c r="L626" i="6"/>
  <c r="L643" i="6"/>
  <c r="L660" i="6"/>
  <c r="L677" i="6"/>
  <c r="L694" i="6"/>
  <c r="L711" i="6"/>
  <c r="L728" i="6"/>
  <c r="L39" i="6"/>
  <c r="L254" i="6"/>
  <c r="L292" i="6"/>
  <c r="L311" i="6"/>
  <c r="L329" i="6"/>
  <c r="L367" i="6"/>
  <c r="L403" i="6"/>
  <c r="L60" i="6"/>
  <c r="L129" i="6"/>
  <c r="L203" i="6"/>
  <c r="L299" i="6"/>
  <c r="L368" i="6"/>
  <c r="L389" i="6"/>
  <c r="L411" i="6"/>
  <c r="L432" i="6"/>
  <c r="L452" i="6"/>
  <c r="L473" i="6"/>
  <c r="L493" i="6"/>
  <c r="L512" i="6"/>
  <c r="L531" i="6"/>
  <c r="L550" i="6"/>
  <c r="L569" i="6"/>
  <c r="L589" i="6"/>
  <c r="L610" i="6"/>
  <c r="L629" i="6"/>
  <c r="L648" i="6"/>
  <c r="L34" i="6"/>
  <c r="L61" i="6"/>
  <c r="L130" i="6"/>
  <c r="L343" i="6"/>
  <c r="L369" i="6"/>
  <c r="L390" i="6"/>
  <c r="L412" i="6"/>
  <c r="L433" i="6"/>
  <c r="L475" i="6"/>
  <c r="L494" i="6"/>
  <c r="L513" i="6"/>
  <c r="L532" i="6"/>
  <c r="L551" i="6"/>
  <c r="L571" i="6"/>
  <c r="L590" i="6"/>
  <c r="L611" i="6"/>
  <c r="L630" i="6"/>
  <c r="L649" i="6"/>
  <c r="L669" i="6"/>
  <c r="L688" i="6"/>
  <c r="L707" i="6"/>
  <c r="L726" i="6"/>
  <c r="L745" i="6"/>
  <c r="L763" i="6"/>
  <c r="L780" i="6"/>
  <c r="L797" i="6"/>
  <c r="L814" i="6"/>
  <c r="L831" i="6"/>
  <c r="L848" i="6"/>
  <c r="L865" i="6"/>
  <c r="L882" i="6"/>
  <c r="L899" i="6"/>
  <c r="L916" i="6"/>
  <c r="L933" i="6"/>
  <c r="L950" i="6"/>
  <c r="L967" i="6"/>
  <c r="L984" i="6"/>
  <c r="L1001" i="6"/>
  <c r="L1019" i="6"/>
  <c r="L1036" i="6"/>
  <c r="L1053" i="6"/>
  <c r="L1070" i="6"/>
  <c r="L1087" i="6"/>
  <c r="L1104" i="6"/>
  <c r="L1121" i="6"/>
  <c r="L1137" i="6"/>
  <c r="L1153" i="6"/>
  <c r="L1169" i="6"/>
  <c r="L40" i="6"/>
  <c r="L87" i="6"/>
  <c r="L109" i="6"/>
  <c r="L159" i="6"/>
  <c r="L392" i="6"/>
  <c r="L457" i="6"/>
  <c r="L477" i="6"/>
  <c r="L496" i="6"/>
  <c r="L515" i="6"/>
  <c r="L534" i="6"/>
  <c r="L553" i="6"/>
  <c r="L573" i="6"/>
  <c r="L594" i="6"/>
  <c r="L613" i="6"/>
  <c r="L632" i="6"/>
  <c r="L652" i="6"/>
  <c r="L671" i="6"/>
  <c r="L690" i="6"/>
  <c r="L709" i="6"/>
  <c r="L731" i="6"/>
  <c r="L748" i="6"/>
  <c r="L765" i="6"/>
  <c r="L782" i="6"/>
  <c r="L799" i="6"/>
  <c r="L816" i="6"/>
  <c r="L833" i="6"/>
  <c r="L850" i="6"/>
  <c r="L867" i="6"/>
  <c r="L884" i="6"/>
  <c r="L901" i="6"/>
  <c r="L918" i="6"/>
  <c r="L935" i="6"/>
  <c r="L952" i="6"/>
  <c r="L969" i="6"/>
  <c r="L987" i="6"/>
  <c r="L1004" i="6"/>
  <c r="L1021" i="6"/>
  <c r="L1038" i="6"/>
  <c r="L1055" i="6"/>
  <c r="L14" i="6"/>
  <c r="L41" i="6"/>
  <c r="L65" i="6"/>
  <c r="L111" i="6"/>
  <c r="L280" i="6"/>
  <c r="L22" i="6"/>
  <c r="L147" i="6"/>
  <c r="L310" i="6"/>
  <c r="L370" i="6"/>
  <c r="L427" i="6"/>
  <c r="L479" i="6"/>
  <c r="L501" i="6"/>
  <c r="L526" i="6"/>
  <c r="L548" i="6"/>
  <c r="L576" i="6"/>
  <c r="L598" i="6"/>
  <c r="L621" i="6"/>
  <c r="L645" i="6"/>
  <c r="L668" i="6"/>
  <c r="L691" i="6"/>
  <c r="L715" i="6"/>
  <c r="L736" i="6"/>
  <c r="L755" i="6"/>
  <c r="L774" i="6"/>
  <c r="L793" i="6"/>
  <c r="L813" i="6"/>
  <c r="L834" i="6"/>
  <c r="L853" i="6"/>
  <c r="L872" i="6"/>
  <c r="L892" i="6"/>
  <c r="L911" i="6"/>
  <c r="L930" i="6"/>
  <c r="L949" i="6"/>
  <c r="L971" i="6"/>
  <c r="L990" i="6"/>
  <c r="L1009" i="6"/>
  <c r="L1028" i="6"/>
  <c r="L1047" i="6"/>
  <c r="L1067" i="6"/>
  <c r="L1085" i="6"/>
  <c r="L1103" i="6"/>
  <c r="L1122" i="6"/>
  <c r="L1139" i="6"/>
  <c r="L1156" i="6"/>
  <c r="L1173" i="6"/>
  <c r="L1189" i="6"/>
  <c r="L1205" i="6"/>
  <c r="L1221" i="6"/>
  <c r="L1237" i="6"/>
  <c r="L1253" i="6"/>
  <c r="L1269" i="6"/>
  <c r="L1285" i="6"/>
  <c r="L1301" i="6"/>
  <c r="L1317" i="6"/>
  <c r="L1333" i="6"/>
  <c r="L1349" i="6"/>
  <c r="L1365" i="6"/>
  <c r="L1381" i="6"/>
  <c r="L23" i="6"/>
  <c r="L150" i="6"/>
  <c r="L373" i="6"/>
  <c r="L402" i="6"/>
  <c r="L428" i="6"/>
  <c r="L480" i="6"/>
  <c r="L502" i="6"/>
  <c r="L527" i="6"/>
  <c r="L549" i="6"/>
  <c r="L577" i="6"/>
  <c r="L599" i="6"/>
  <c r="L622" i="6"/>
  <c r="L646" i="6"/>
  <c r="L670" i="6"/>
  <c r="L692" i="6"/>
  <c r="L716" i="6"/>
  <c r="L737" i="6"/>
  <c r="L756" i="6"/>
  <c r="L775" i="6"/>
  <c r="L795" i="6"/>
  <c r="L815" i="6"/>
  <c r="L835" i="6"/>
  <c r="L854" i="6"/>
  <c r="L873" i="6"/>
  <c r="L893" i="6"/>
  <c r="L912" i="6"/>
  <c r="L931" i="6"/>
  <c r="L951" i="6"/>
  <c r="L972" i="6"/>
  <c r="L991" i="6"/>
  <c r="L1010" i="6"/>
  <c r="L1029" i="6"/>
  <c r="L1048" i="6"/>
  <c r="L1068" i="6"/>
  <c r="L1086" i="6"/>
  <c r="L1105" i="6"/>
  <c r="L1123" i="6"/>
  <c r="L1140" i="6"/>
  <c r="L1157" i="6"/>
  <c r="L1174" i="6"/>
  <c r="L1190" i="6"/>
  <c r="L1206" i="6"/>
  <c r="L1222" i="6"/>
  <c r="L1238" i="6"/>
  <c r="L1254" i="6"/>
  <c r="L1270" i="6"/>
  <c r="L1286" i="6"/>
  <c r="L1302" i="6"/>
  <c r="L1318" i="6"/>
  <c r="L1334" i="6"/>
  <c r="L1350" i="6"/>
  <c r="L1366" i="6"/>
  <c r="L1382" i="6"/>
  <c r="L219" i="6"/>
  <c r="L283" i="6"/>
  <c r="L374" i="6"/>
  <c r="L429" i="6"/>
  <c r="L459" i="6"/>
  <c r="L481" i="6"/>
  <c r="L503" i="6"/>
  <c r="L528" i="6"/>
  <c r="L552" i="6"/>
  <c r="L578" i="6"/>
  <c r="L600" i="6"/>
  <c r="L623" i="6"/>
  <c r="L647" i="6"/>
  <c r="L672" i="6"/>
  <c r="L695" i="6"/>
  <c r="L717" i="6"/>
  <c r="L738" i="6"/>
  <c r="L757" i="6"/>
  <c r="L776" i="6"/>
  <c r="L796" i="6"/>
  <c r="L817" i="6"/>
  <c r="L836" i="6"/>
  <c r="L855" i="6"/>
  <c r="L875" i="6"/>
  <c r="L894" i="6"/>
  <c r="L913" i="6"/>
  <c r="L932" i="6"/>
  <c r="L953" i="6"/>
  <c r="L973" i="6"/>
  <c r="L992" i="6"/>
  <c r="L1011" i="6"/>
  <c r="L1030" i="6"/>
  <c r="L1049" i="6"/>
  <c r="L1069" i="6"/>
  <c r="L1088" i="6"/>
  <c r="L1106" i="6"/>
  <c r="L1124" i="6"/>
  <c r="L1141" i="6"/>
  <c r="L1158" i="6"/>
  <c r="L1175" i="6"/>
  <c r="L1191" i="6"/>
  <c r="L1207" i="6"/>
  <c r="L1223" i="6"/>
  <c r="L1239" i="6"/>
  <c r="L1255" i="6"/>
  <c r="L1271" i="6"/>
  <c r="L1287" i="6"/>
  <c r="L1303" i="6"/>
  <c r="L1319" i="6"/>
  <c r="L1335" i="6"/>
  <c r="L1351" i="6"/>
  <c r="L1367" i="6"/>
  <c r="L1383" i="6"/>
  <c r="L91" i="6"/>
  <c r="L152" i="6"/>
  <c r="L220" i="6"/>
  <c r="L341" i="6"/>
  <c r="L375" i="6"/>
  <c r="L405" i="6"/>
  <c r="L431" i="6"/>
  <c r="L460" i="6"/>
  <c r="L482" i="6"/>
  <c r="L504" i="6"/>
  <c r="L529" i="6"/>
  <c r="L555" i="6"/>
  <c r="L579" i="6"/>
  <c r="L601" i="6"/>
  <c r="L624" i="6"/>
  <c r="L651" i="6"/>
  <c r="L673" i="6"/>
  <c r="L696" i="6"/>
  <c r="L718" i="6"/>
  <c r="L739" i="6"/>
  <c r="L758" i="6"/>
  <c r="L777" i="6"/>
  <c r="L798" i="6"/>
  <c r="L818" i="6"/>
  <c r="L837" i="6"/>
  <c r="L856" i="6"/>
  <c r="L876" i="6"/>
  <c r="L895" i="6"/>
  <c r="L914" i="6"/>
  <c r="L934" i="6"/>
  <c r="L955" i="6"/>
  <c r="L974" i="6"/>
  <c r="L993" i="6"/>
  <c r="L1012" i="6"/>
  <c r="L1031" i="6"/>
  <c r="L1051" i="6"/>
  <c r="L1071" i="6"/>
  <c r="L1089" i="6"/>
  <c r="L1107" i="6"/>
  <c r="L1125" i="6"/>
  <c r="L1142" i="6"/>
  <c r="L1159" i="6"/>
  <c r="L1176" i="6"/>
  <c r="L1192" i="6"/>
  <c r="L1208" i="6"/>
  <c r="L1224" i="6"/>
  <c r="L1240" i="6"/>
  <c r="L1256" i="6"/>
  <c r="L1272" i="6"/>
  <c r="L1288" i="6"/>
  <c r="L1304" i="6"/>
  <c r="L1320" i="6"/>
  <c r="L1336" i="6"/>
  <c r="L1352" i="6"/>
  <c r="L1368" i="6"/>
  <c r="L1384" i="6"/>
  <c r="L92" i="6"/>
  <c r="L158" i="6"/>
  <c r="L406" i="6"/>
  <c r="L434" i="6"/>
  <c r="L461" i="6"/>
  <c r="L483" i="6"/>
  <c r="L508" i="6"/>
  <c r="L530" i="6"/>
  <c r="L556" i="6"/>
  <c r="L580" i="6"/>
  <c r="L603" i="6"/>
  <c r="L627" i="6"/>
  <c r="L653" i="6"/>
  <c r="L674" i="6"/>
  <c r="L697" i="6"/>
  <c r="L719" i="6"/>
  <c r="L740" i="6"/>
  <c r="L759" i="6"/>
  <c r="L779" i="6"/>
  <c r="L800" i="6"/>
  <c r="L819" i="6"/>
  <c r="L838" i="6"/>
  <c r="L857" i="6"/>
  <c r="L877" i="6"/>
  <c r="L896" i="6"/>
  <c r="L915" i="6"/>
  <c r="L936" i="6"/>
  <c r="L956" i="6"/>
  <c r="L975" i="6"/>
  <c r="L994" i="6"/>
  <c r="L1013" i="6"/>
  <c r="L1032" i="6"/>
  <c r="L1052" i="6"/>
  <c r="L1072" i="6"/>
  <c r="L1090" i="6"/>
  <c r="L1108" i="6"/>
  <c r="L1126" i="6"/>
  <c r="L1143" i="6"/>
  <c r="L1160" i="6"/>
  <c r="L1177" i="6"/>
  <c r="L1193" i="6"/>
  <c r="L1209" i="6"/>
  <c r="L1225" i="6"/>
  <c r="L1241" i="6"/>
  <c r="L1257" i="6"/>
  <c r="L1273" i="6"/>
  <c r="L1289" i="6"/>
  <c r="L1305" i="6"/>
  <c r="L1321" i="6"/>
  <c r="L1337" i="6"/>
  <c r="L1353" i="6"/>
  <c r="L1369" i="6"/>
  <c r="L1385" i="6"/>
  <c r="L190" i="6"/>
  <c r="L377" i="6"/>
  <c r="L462" i="6"/>
  <c r="L484" i="6"/>
  <c r="L509" i="6"/>
  <c r="L533" i="6"/>
  <c r="L559" i="6"/>
  <c r="L581" i="6"/>
  <c r="L604" i="6"/>
  <c r="L628" i="6"/>
  <c r="L654" i="6"/>
  <c r="L675" i="6"/>
  <c r="L699" i="6"/>
  <c r="L720" i="6"/>
  <c r="L741" i="6"/>
  <c r="L760" i="6"/>
  <c r="L781" i="6"/>
  <c r="L801" i="6"/>
  <c r="L820" i="6"/>
  <c r="L839" i="6"/>
  <c r="L859" i="6"/>
  <c r="L878" i="6"/>
  <c r="L897" i="6"/>
  <c r="L917" i="6"/>
  <c r="L937" i="6"/>
  <c r="L957" i="6"/>
  <c r="L976" i="6"/>
  <c r="L995" i="6"/>
  <c r="L1014" i="6"/>
  <c r="L1033" i="6"/>
  <c r="L1054" i="6"/>
  <c r="L1073" i="6"/>
  <c r="L1091" i="6"/>
  <c r="L1109" i="6"/>
  <c r="L1127" i="6"/>
  <c r="L1144" i="6"/>
  <c r="L1161" i="6"/>
  <c r="L1178" i="6"/>
  <c r="L1194" i="6"/>
  <c r="L1210" i="6"/>
  <c r="L1226" i="6"/>
  <c r="L1242" i="6"/>
  <c r="L1258" i="6"/>
  <c r="L1274" i="6"/>
  <c r="L1290" i="6"/>
  <c r="L1306" i="6"/>
  <c r="L1322" i="6"/>
  <c r="L1338" i="6"/>
  <c r="L1354" i="6"/>
  <c r="L1370" i="6"/>
  <c r="L1386" i="6"/>
  <c r="L99" i="6"/>
  <c r="L163" i="6"/>
  <c r="L379" i="6"/>
  <c r="L408" i="6"/>
  <c r="L439" i="6"/>
  <c r="L463" i="6"/>
  <c r="L485" i="6"/>
  <c r="L510" i="6"/>
  <c r="L535" i="6"/>
  <c r="L560" i="6"/>
  <c r="L582" i="6"/>
  <c r="L605" i="6"/>
  <c r="L631" i="6"/>
  <c r="L655" i="6"/>
  <c r="L678" i="6"/>
  <c r="L700" i="6"/>
  <c r="L721" i="6"/>
  <c r="L742" i="6"/>
  <c r="L761" i="6"/>
  <c r="L783" i="6"/>
  <c r="L802" i="6"/>
  <c r="L821" i="6"/>
  <c r="L840" i="6"/>
  <c r="L860" i="6"/>
  <c r="L879" i="6"/>
  <c r="L898" i="6"/>
  <c r="L919" i="6"/>
  <c r="L939" i="6"/>
  <c r="L958" i="6"/>
  <c r="L977" i="6"/>
  <c r="L996" i="6"/>
  <c r="L1015" i="6"/>
  <c r="L1035" i="6"/>
  <c r="L1056" i="6"/>
  <c r="L1074" i="6"/>
  <c r="L1092" i="6"/>
  <c r="L1110" i="6"/>
  <c r="L1128" i="6"/>
  <c r="L1145" i="6"/>
  <c r="L1162" i="6"/>
  <c r="L1179" i="6"/>
  <c r="L1195" i="6"/>
  <c r="L1211" i="6"/>
  <c r="L1227" i="6"/>
  <c r="L1243" i="6"/>
  <c r="L1259" i="6"/>
  <c r="L1275" i="6"/>
  <c r="L1291" i="6"/>
  <c r="L1307" i="6"/>
  <c r="L1323" i="6"/>
  <c r="L1339" i="6"/>
  <c r="L1355" i="6"/>
  <c r="L1371" i="6"/>
  <c r="L32" i="6"/>
  <c r="L164" i="6"/>
  <c r="L464" i="6"/>
  <c r="L486" i="6"/>
  <c r="L511" i="6"/>
  <c r="L536" i="6"/>
  <c r="L561" i="6"/>
  <c r="L583" i="6"/>
  <c r="L606" i="6"/>
  <c r="L633" i="6"/>
  <c r="L656" i="6"/>
  <c r="L679" i="6"/>
  <c r="L701" i="6"/>
  <c r="L722" i="6"/>
  <c r="L743" i="6"/>
  <c r="L764" i="6"/>
  <c r="L784" i="6"/>
  <c r="L803" i="6"/>
  <c r="L822" i="6"/>
  <c r="L841" i="6"/>
  <c r="L861" i="6"/>
  <c r="L880" i="6"/>
  <c r="L900" i="6"/>
  <c r="L920" i="6"/>
  <c r="L940" i="6"/>
  <c r="L959" i="6"/>
  <c r="L978" i="6"/>
  <c r="L997" i="6"/>
  <c r="L1016" i="6"/>
  <c r="L1037" i="6"/>
  <c r="L1057" i="6"/>
  <c r="L1075" i="6"/>
  <c r="L1093" i="6"/>
  <c r="L1111" i="6"/>
  <c r="L1129" i="6"/>
  <c r="L1146" i="6"/>
  <c r="L1163" i="6"/>
  <c r="L1180" i="6"/>
  <c r="L1196" i="6"/>
  <c r="L1212" i="6"/>
  <c r="L1228" i="6"/>
  <c r="L1244" i="6"/>
  <c r="L1260" i="6"/>
  <c r="L1276" i="6"/>
  <c r="L1292" i="6"/>
  <c r="L1308" i="6"/>
  <c r="L1324" i="6"/>
  <c r="L1340" i="6"/>
  <c r="L1356" i="6"/>
  <c r="L1372" i="6"/>
  <c r="L227" i="6"/>
  <c r="L384" i="6"/>
  <c r="L441" i="6"/>
  <c r="L487" i="6"/>
  <c r="L514" i="6"/>
  <c r="L537" i="6"/>
  <c r="L562" i="6"/>
  <c r="L584" i="6"/>
  <c r="L607" i="6"/>
  <c r="L635" i="6"/>
  <c r="L657" i="6"/>
  <c r="L680" i="6"/>
  <c r="L702" i="6"/>
  <c r="L723" i="6"/>
  <c r="L744" i="6"/>
  <c r="L766" i="6"/>
  <c r="L785" i="6"/>
  <c r="L804" i="6"/>
  <c r="L823" i="6"/>
  <c r="L843" i="6"/>
  <c r="L862" i="6"/>
  <c r="L881" i="6"/>
  <c r="L902" i="6"/>
  <c r="L921" i="6"/>
  <c r="L941" i="6"/>
  <c r="L960" i="6"/>
  <c r="L979" i="6"/>
  <c r="L998" i="6"/>
  <c r="L1017" i="6"/>
  <c r="L1039" i="6"/>
  <c r="L1058" i="6"/>
  <c r="L1076" i="6"/>
  <c r="L1094" i="6"/>
  <c r="L1112" i="6"/>
  <c r="L1130" i="6"/>
  <c r="L1147" i="6"/>
  <c r="L1164" i="6"/>
  <c r="L1181" i="6"/>
  <c r="L1197" i="6"/>
  <c r="L1213" i="6"/>
  <c r="L1229" i="6"/>
  <c r="L1245" i="6"/>
  <c r="L1261" i="6"/>
  <c r="L1277" i="6"/>
  <c r="L1293" i="6"/>
  <c r="L1309" i="6"/>
  <c r="L1325" i="6"/>
  <c r="L1341" i="6"/>
  <c r="L1357" i="6"/>
  <c r="L1373" i="6"/>
  <c r="L43" i="6"/>
  <c r="L103" i="6"/>
  <c r="L236" i="6"/>
  <c r="L295" i="6"/>
  <c r="L386" i="6"/>
  <c r="L417" i="6"/>
  <c r="L443" i="6"/>
  <c r="L491" i="6"/>
  <c r="L516" i="6"/>
  <c r="L539" i="6"/>
  <c r="L563" i="6"/>
  <c r="L585" i="6"/>
  <c r="L612" i="6"/>
  <c r="L636" i="6"/>
  <c r="L658" i="6"/>
  <c r="L681" i="6"/>
  <c r="L703" i="6"/>
  <c r="L724" i="6"/>
  <c r="L747" i="6"/>
  <c r="L767" i="6"/>
  <c r="L786" i="6"/>
  <c r="L805" i="6"/>
  <c r="L824" i="6"/>
  <c r="L844" i="6"/>
  <c r="L863" i="6"/>
  <c r="L883" i="6"/>
  <c r="L903" i="6"/>
  <c r="L923" i="6"/>
  <c r="L942" i="6"/>
  <c r="L961" i="6"/>
  <c r="L980" i="6"/>
  <c r="L999" i="6"/>
  <c r="L1020" i="6"/>
  <c r="L1040" i="6"/>
  <c r="L1059" i="6"/>
  <c r="L1077" i="6"/>
  <c r="L1095" i="6"/>
  <c r="L1113" i="6"/>
  <c r="L1131" i="6"/>
  <c r="L1148" i="6"/>
  <c r="L1165" i="6"/>
  <c r="L1182" i="6"/>
  <c r="L1198" i="6"/>
  <c r="L1214" i="6"/>
  <c r="L1230" i="6"/>
  <c r="L1246" i="6"/>
  <c r="L1262" i="6"/>
  <c r="L1278" i="6"/>
  <c r="L1294" i="6"/>
  <c r="L1310" i="6"/>
  <c r="L1326" i="6"/>
  <c r="L1342" i="6"/>
  <c r="L1358" i="6"/>
  <c r="L1374" i="6"/>
  <c r="L44" i="6"/>
  <c r="L357" i="6"/>
  <c r="L387" i="6"/>
  <c r="L420" i="6"/>
  <c r="L444" i="6"/>
  <c r="L467" i="6"/>
  <c r="L492" i="6"/>
  <c r="L517" i="6"/>
  <c r="L542" i="6"/>
  <c r="L564" i="6"/>
  <c r="L587" i="6"/>
  <c r="L614" i="6"/>
  <c r="L637" i="6"/>
  <c r="L661" i="6"/>
  <c r="L683" i="6"/>
  <c r="L704" i="6"/>
  <c r="L725" i="6"/>
  <c r="L749" i="6"/>
  <c r="L768" i="6"/>
  <c r="L787" i="6"/>
  <c r="L806" i="6"/>
  <c r="L825" i="6"/>
  <c r="L845" i="6"/>
  <c r="L864" i="6"/>
  <c r="L885" i="6"/>
  <c r="L904" i="6"/>
  <c r="L924" i="6"/>
  <c r="L943" i="6"/>
  <c r="L962" i="6"/>
  <c r="L981" i="6"/>
  <c r="L1000" i="6"/>
  <c r="L1022" i="6"/>
  <c r="L1041" i="6"/>
  <c r="L1060" i="6"/>
  <c r="L1078" i="6"/>
  <c r="L1096" i="6"/>
  <c r="L1115" i="6"/>
  <c r="L1132" i="6"/>
  <c r="L1149" i="6"/>
  <c r="L1166" i="6"/>
  <c r="L1183" i="6"/>
  <c r="L1199" i="6"/>
  <c r="L1215" i="6"/>
  <c r="L1231" i="6"/>
  <c r="L1247" i="6"/>
  <c r="L1263" i="6"/>
  <c r="L1279" i="6"/>
  <c r="L1295" i="6"/>
  <c r="L1311" i="6"/>
  <c r="L1327" i="6"/>
  <c r="L1343" i="6"/>
  <c r="L1359" i="6"/>
  <c r="L1375" i="6"/>
  <c r="L170" i="6"/>
  <c r="L297" i="6"/>
  <c r="L358" i="6"/>
  <c r="L388" i="6"/>
  <c r="L421" i="6"/>
  <c r="L445" i="6"/>
  <c r="L468" i="6"/>
  <c r="L495" i="6"/>
  <c r="L518" i="6"/>
  <c r="L543" i="6"/>
  <c r="L565" i="6"/>
  <c r="L588" i="6"/>
  <c r="L615" i="6"/>
  <c r="L638" i="6"/>
  <c r="L662" i="6"/>
  <c r="L684" i="6"/>
  <c r="L705" i="6"/>
  <c r="L729" i="6"/>
  <c r="L750" i="6"/>
  <c r="L769" i="6"/>
  <c r="L788" i="6"/>
  <c r="L807" i="6"/>
  <c r="L827" i="6"/>
  <c r="L846" i="6"/>
  <c r="L866" i="6"/>
  <c r="L886" i="6"/>
  <c r="L905" i="6"/>
  <c r="L925" i="6"/>
  <c r="L944" i="6"/>
  <c r="L963" i="6"/>
  <c r="L982" i="6"/>
  <c r="L1003" i="6"/>
  <c r="L1023" i="6"/>
  <c r="L1042" i="6"/>
  <c r="L1061" i="6"/>
  <c r="L1079" i="6"/>
  <c r="L1097" i="6"/>
  <c r="L1116" i="6"/>
  <c r="L1133" i="6"/>
  <c r="L1150" i="6"/>
  <c r="L1167" i="6"/>
  <c r="L1184" i="6"/>
  <c r="L1200" i="6"/>
  <c r="L1216" i="6"/>
  <c r="L1232" i="6"/>
  <c r="L1248" i="6"/>
  <c r="L1264" i="6"/>
  <c r="L1280" i="6"/>
  <c r="L1296" i="6"/>
  <c r="L1312" i="6"/>
  <c r="L1328" i="6"/>
  <c r="L1344" i="6"/>
  <c r="L1360" i="6"/>
  <c r="L1376" i="6"/>
  <c r="L205" i="6"/>
  <c r="L267" i="6"/>
  <c r="L359" i="6"/>
  <c r="L391" i="6"/>
  <c r="L469" i="6"/>
  <c r="L497" i="6"/>
  <c r="L519" i="6"/>
  <c r="L544" i="6"/>
  <c r="L566" i="6"/>
  <c r="L593" i="6"/>
  <c r="L616" i="6"/>
  <c r="L639" i="6"/>
  <c r="L663" i="6"/>
  <c r="L685" i="6"/>
  <c r="L706" i="6"/>
  <c r="L732" i="6"/>
  <c r="L751" i="6"/>
  <c r="L770" i="6"/>
  <c r="L789" i="6"/>
  <c r="L808" i="6"/>
  <c r="L828" i="6"/>
  <c r="L847" i="6"/>
  <c r="L868" i="6"/>
  <c r="L887" i="6"/>
  <c r="L907" i="6"/>
  <c r="L926" i="6"/>
  <c r="L945" i="6"/>
  <c r="L964" i="6"/>
  <c r="L983" i="6"/>
  <c r="L1005" i="6"/>
  <c r="L1024" i="6"/>
  <c r="L1043" i="6"/>
  <c r="L1062" i="6"/>
  <c r="L1080" i="6"/>
  <c r="L1099" i="6"/>
  <c r="L1117" i="6"/>
  <c r="L1134" i="6"/>
  <c r="L1151" i="6"/>
  <c r="L1168" i="6"/>
  <c r="L1185" i="6"/>
  <c r="L1201" i="6"/>
  <c r="L1217" i="6"/>
  <c r="L1233" i="6"/>
  <c r="L1249" i="6"/>
  <c r="L1265" i="6"/>
  <c r="L1281" i="6"/>
  <c r="L1297" i="6"/>
  <c r="L1313" i="6"/>
  <c r="L1329" i="6"/>
  <c r="L1345" i="6"/>
  <c r="L1361" i="6"/>
  <c r="L1377" i="6"/>
  <c r="L82" i="6"/>
  <c r="L547" i="6"/>
  <c r="L686" i="6"/>
  <c r="L791" i="6"/>
  <c r="L891" i="6"/>
  <c r="L1006" i="6"/>
  <c r="L1101" i="6"/>
  <c r="L1188" i="6"/>
  <c r="L1282" i="6"/>
  <c r="L1363" i="6"/>
  <c r="L734" i="6"/>
  <c r="L1138" i="6"/>
  <c r="L1234" i="6"/>
  <c r="L396" i="6"/>
  <c r="L888" i="6"/>
  <c r="L112" i="6"/>
  <c r="L425" i="6"/>
  <c r="L567" i="6"/>
  <c r="L687" i="6"/>
  <c r="L792" i="6"/>
  <c r="L908" i="6"/>
  <c r="L1007" i="6"/>
  <c r="L1102" i="6"/>
  <c r="L1202" i="6"/>
  <c r="L1283" i="6"/>
  <c r="L1364" i="6"/>
  <c r="L1045" i="6"/>
  <c r="L619" i="6"/>
  <c r="L1046" i="6"/>
  <c r="L1172" i="6"/>
  <c r="L1267" i="6"/>
  <c r="L1268" i="6"/>
  <c r="L274" i="6"/>
  <c r="L568" i="6"/>
  <c r="L689" i="6"/>
  <c r="L809" i="6"/>
  <c r="L909" i="6"/>
  <c r="L1008" i="6"/>
  <c r="L1118" i="6"/>
  <c r="L1203" i="6"/>
  <c r="L1284" i="6"/>
  <c r="L1378" i="6"/>
  <c r="L617" i="6"/>
  <c r="L1316" i="6"/>
  <c r="L545" i="6"/>
  <c r="L449" i="6"/>
  <c r="L572" i="6"/>
  <c r="L708" i="6"/>
  <c r="L811" i="6"/>
  <c r="L910" i="6"/>
  <c r="L1025" i="6"/>
  <c r="L1119" i="6"/>
  <c r="L1204" i="6"/>
  <c r="L1298" i="6"/>
  <c r="L1379" i="6"/>
  <c r="L946" i="6"/>
  <c r="L498" i="6"/>
  <c r="L849" i="6"/>
  <c r="L947" i="6"/>
  <c r="L1152" i="6"/>
  <c r="L664" i="6"/>
  <c r="L985" i="6"/>
  <c r="L773" i="6"/>
  <c r="L988" i="6"/>
  <c r="L1348" i="6"/>
  <c r="L667" i="6"/>
  <c r="L790" i="6"/>
  <c r="L889" i="6"/>
  <c r="L989" i="6"/>
  <c r="L1100" i="6"/>
  <c r="L1362" i="6"/>
  <c r="L450" i="6"/>
  <c r="L595" i="6"/>
  <c r="L712" i="6"/>
  <c r="L812" i="6"/>
  <c r="L927" i="6"/>
  <c r="L1026" i="6"/>
  <c r="L1120" i="6"/>
  <c r="L1218" i="6"/>
  <c r="L1299" i="6"/>
  <c r="L1380" i="6"/>
  <c r="L470" i="6"/>
  <c r="L596" i="6"/>
  <c r="L713" i="6"/>
  <c r="L829" i="6"/>
  <c r="L928" i="6"/>
  <c r="L1027" i="6"/>
  <c r="L1135" i="6"/>
  <c r="L1219" i="6"/>
  <c r="L1300" i="6"/>
  <c r="L478" i="6"/>
  <c r="L50" i="6"/>
  <c r="L665" i="6"/>
  <c r="L546" i="6"/>
  <c r="L146" i="6"/>
  <c r="L476" i="6"/>
  <c r="L597" i="6"/>
  <c r="L733" i="6"/>
  <c r="L830" i="6"/>
  <c r="L929" i="6"/>
  <c r="L1044" i="6"/>
  <c r="L1136" i="6"/>
  <c r="L1220" i="6"/>
  <c r="L1314" i="6"/>
  <c r="L832" i="6"/>
  <c r="L1315" i="6"/>
  <c r="L735" i="6"/>
  <c r="L1235" i="6"/>
  <c r="L1266" i="6"/>
  <c r="L1186" i="6"/>
  <c r="L1187" i="6"/>
  <c r="L499" i="6"/>
  <c r="L620" i="6"/>
  <c r="L752" i="6"/>
  <c r="L851" i="6"/>
  <c r="L948" i="6"/>
  <c r="L1063" i="6"/>
  <c r="L1154" i="6"/>
  <c r="L1236" i="6"/>
  <c r="L1330" i="6"/>
  <c r="L500" i="6"/>
  <c r="L640" i="6"/>
  <c r="L753" i="6"/>
  <c r="L852" i="6"/>
  <c r="L965" i="6"/>
  <c r="L1064" i="6"/>
  <c r="L1155" i="6"/>
  <c r="L1250" i="6"/>
  <c r="L1331" i="6"/>
  <c r="L365" i="6"/>
  <c r="L520" i="6"/>
  <c r="L641" i="6"/>
  <c r="L754" i="6"/>
  <c r="L869" i="6"/>
  <c r="L966" i="6"/>
  <c r="L1065" i="6"/>
  <c r="L1170" i="6"/>
  <c r="L1251" i="6"/>
  <c r="L1332" i="6"/>
  <c r="L49" i="6"/>
  <c r="L395" i="6"/>
  <c r="L521" i="6"/>
  <c r="L644" i="6"/>
  <c r="L771" i="6"/>
  <c r="L870" i="6"/>
  <c r="L968" i="6"/>
  <c r="L1081" i="6"/>
  <c r="L1171" i="6"/>
  <c r="L1252" i="6"/>
  <c r="L1346" i="6"/>
  <c r="L525" i="6"/>
  <c r="L772" i="6"/>
  <c r="L871" i="6"/>
  <c r="L1083" i="6"/>
  <c r="L1347" i="6"/>
  <c r="L1084" i="6"/>
  <c r="N2" i="6"/>
  <c r="L2" i="6" s="1"/>
  <c r="W2" i="6" l="1"/>
  <c r="Z2" i="6"/>
  <c r="AC2" i="6"/>
  <c r="N3" i="6" l="1"/>
  <c r="L3" i="6" s="1"/>
  <c r="B4" i="6" s="1"/>
  <c r="AF2" i="6" l="1" a="1"/>
  <c r="AF2" i="6" s="1"/>
  <c r="P2" i="6" s="1" a="1"/>
  <c r="O582" i="6" s="1"/>
  <c r="AJ2" i="6" a="1"/>
  <c r="AJ2" i="6" s="1"/>
  <c r="Q43" i="6" l="1"/>
  <c r="O43" i="6" s="1"/>
  <c r="Q76" i="6"/>
  <c r="O76" i="6" s="1"/>
  <c r="Q60" i="6"/>
  <c r="O60" i="6" s="1"/>
  <c r="Q9" i="6"/>
  <c r="O9" i="6" s="1"/>
  <c r="Q835" i="6"/>
  <c r="Q1279" i="6"/>
  <c r="Q543" i="6"/>
  <c r="Q480" i="6"/>
  <c r="Q68" i="6"/>
  <c r="O68" i="6" s="1"/>
  <c r="Q674" i="6"/>
  <c r="O1377" i="6"/>
  <c r="Q947" i="6"/>
  <c r="O720" i="6"/>
  <c r="Q973" i="6"/>
  <c r="Q675" i="6"/>
  <c r="Q846" i="6"/>
  <c r="Q1051" i="6"/>
  <c r="Q1385" i="6"/>
  <c r="Q1369" i="6"/>
  <c r="Q1183" i="6"/>
  <c r="Q158" i="6"/>
  <c r="O158" i="6" s="1"/>
  <c r="O1360" i="6"/>
  <c r="Q1040" i="6"/>
  <c r="Q894" i="6"/>
  <c r="O494" i="6"/>
  <c r="Q850" i="6"/>
  <c r="Q1377" i="6"/>
  <c r="Q1324" i="6"/>
  <c r="Q1361" i="6"/>
  <c r="Q1308" i="6"/>
  <c r="Q763" i="6"/>
  <c r="O835" i="6"/>
  <c r="Q770" i="6"/>
  <c r="Q336" i="6"/>
  <c r="O336" i="6" s="1"/>
  <c r="Q998" i="6"/>
  <c r="O465" i="6"/>
  <c r="O1144" i="6"/>
  <c r="Q1058" i="6"/>
  <c r="O1323" i="6"/>
  <c r="Q1352" i="6"/>
  <c r="Q1189" i="6"/>
  <c r="O1206" i="6"/>
  <c r="Q1091" i="6"/>
  <c r="Q1314" i="6"/>
  <c r="Q1075" i="6"/>
  <c r="Q1207" i="6"/>
  <c r="Q800" i="6"/>
  <c r="Q1067" i="6"/>
  <c r="Q814" i="6"/>
  <c r="Q1345" i="6"/>
  <c r="Q704" i="6"/>
  <c r="Q1313" i="6"/>
  <c r="Q747" i="6"/>
  <c r="Q431" i="6"/>
  <c r="Q481" i="6"/>
  <c r="Q4" i="6"/>
  <c r="O4" i="6" s="1"/>
  <c r="Q350" i="6"/>
  <c r="O350" i="6" s="1"/>
  <c r="Q1057" i="6"/>
  <c r="Q1320" i="6"/>
  <c r="Q1173" i="6"/>
  <c r="O1045" i="6"/>
  <c r="Q833" i="6"/>
  <c r="Q1371" i="6"/>
  <c r="Q801" i="6"/>
  <c r="O576" i="6"/>
  <c r="Q802" i="6"/>
  <c r="Q931" i="6"/>
  <c r="Q335" i="6"/>
  <c r="O335" i="6" s="1"/>
  <c r="Q609" i="6"/>
  <c r="O1088" i="6"/>
  <c r="Q1004" i="6"/>
  <c r="Q436" i="6"/>
  <c r="Q716" i="6"/>
  <c r="Q1137" i="6"/>
  <c r="Q1001" i="6"/>
  <c r="Q585" i="6"/>
  <c r="Q1316" i="6"/>
  <c r="Q1022" i="6"/>
  <c r="O1035" i="6"/>
  <c r="Q1082" i="6"/>
  <c r="O591" i="6"/>
  <c r="O928" i="6"/>
  <c r="Q1223" i="6"/>
  <c r="Q1355" i="6"/>
  <c r="Q641" i="6"/>
  <c r="Q839" i="6"/>
  <c r="O1168" i="6"/>
  <c r="Q595" i="6"/>
  <c r="Q1020" i="6"/>
  <c r="Q818" i="6"/>
  <c r="Q576" i="6"/>
  <c r="Q1033" i="6"/>
  <c r="Q722" i="6"/>
  <c r="Q164" i="6"/>
  <c r="O164" i="6" s="1"/>
  <c r="Q620" i="6"/>
  <c r="Q577" i="6"/>
  <c r="Q560" i="6"/>
  <c r="Q1312" i="6"/>
  <c r="Q994" i="6"/>
  <c r="Q1155" i="6"/>
  <c r="O435" i="6"/>
  <c r="Q897" i="6"/>
  <c r="Q607" i="6"/>
  <c r="Q1172" i="6"/>
  <c r="O491" i="6"/>
  <c r="Q883" i="6"/>
  <c r="Q84" i="6"/>
  <c r="O84" i="6" s="1"/>
  <c r="Q1134" i="6"/>
  <c r="Q1066" i="6"/>
  <c r="Q872" i="6"/>
  <c r="Q447" i="6"/>
  <c r="O448" i="6"/>
  <c r="Q960" i="6"/>
  <c r="Q1011" i="6"/>
  <c r="Q155" i="6"/>
  <c r="O155" i="6" s="1"/>
  <c r="Q784" i="6"/>
  <c r="Q122" i="6"/>
  <c r="O122" i="6" s="1"/>
  <c r="Q1263" i="6"/>
  <c r="Q1153" i="6"/>
  <c r="Q1014" i="6"/>
  <c r="Q1007" i="6"/>
  <c r="Q1121" i="6"/>
  <c r="Q1086" i="6"/>
  <c r="O1367" i="6"/>
  <c r="Q14" i="6"/>
  <c r="O14" i="6" s="1"/>
  <c r="Q1089" i="6"/>
  <c r="Q719" i="6"/>
  <c r="O918" i="6"/>
  <c r="Q701" i="6"/>
  <c r="Q946" i="6"/>
  <c r="Q1280" i="6"/>
  <c r="Q1214" i="6"/>
  <c r="Q888" i="6"/>
  <c r="Q1171" i="6"/>
  <c r="Q1216" i="6"/>
  <c r="Q20" i="6"/>
  <c r="O20" i="6" s="1"/>
  <c r="Q1181" i="6"/>
  <c r="Q746" i="6"/>
  <c r="O1384" i="6"/>
  <c r="O1366" i="6"/>
  <c r="O612" i="6"/>
  <c r="Q625" i="6"/>
  <c r="Q727" i="6"/>
  <c r="Q866" i="6"/>
  <c r="Q593" i="6"/>
  <c r="O1342" i="6"/>
  <c r="Q25" i="6"/>
  <c r="O25" i="6" s="1"/>
  <c r="Q700" i="6"/>
  <c r="O1248" i="6"/>
  <c r="Q991" i="6"/>
  <c r="Q1105" i="6"/>
  <c r="Q911" i="6"/>
  <c r="Q292" i="6"/>
  <c r="O292" i="6" s="1"/>
  <c r="Q708" i="6"/>
  <c r="Q781" i="6"/>
  <c r="Q1296" i="6"/>
  <c r="Q703" i="6"/>
  <c r="Q1348" i="6"/>
  <c r="O779" i="6"/>
  <c r="Q1107" i="6"/>
  <c r="Q545" i="6"/>
  <c r="Q882" i="6"/>
  <c r="Q881" i="6"/>
  <c r="Q1264" i="6"/>
  <c r="Q834" i="6"/>
  <c r="Q865" i="6"/>
  <c r="Q1123" i="6"/>
  <c r="Q228" i="6"/>
  <c r="O228" i="6" s="1"/>
  <c r="Q1139" i="6"/>
  <c r="Q738" i="6"/>
  <c r="Q849" i="6"/>
  <c r="Q1027" i="6"/>
  <c r="Q1056" i="6"/>
  <c r="Q100" i="6"/>
  <c r="O100" i="6" s="1"/>
  <c r="Q990" i="6"/>
  <c r="Q1085" i="6"/>
  <c r="Q730" i="6"/>
  <c r="O1297" i="6"/>
  <c r="O1345" i="6"/>
  <c r="O631" i="6"/>
  <c r="O472" i="6"/>
  <c r="O668" i="6"/>
  <c r="O1058" i="6"/>
  <c r="O694" i="6"/>
  <c r="O897" i="6"/>
  <c r="Q323" i="6"/>
  <c r="O323" i="6" s="1"/>
  <c r="O816" i="6"/>
  <c r="Q293" i="6"/>
  <c r="O293" i="6" s="1"/>
  <c r="O960" i="6"/>
  <c r="Q182" i="6"/>
  <c r="O182" i="6" s="1"/>
  <c r="Q566" i="6"/>
  <c r="O1376" i="6"/>
  <c r="Q375" i="6"/>
  <c r="O375" i="6" s="1"/>
  <c r="O849" i="6"/>
  <c r="Q56" i="6"/>
  <c r="O56" i="6" s="1"/>
  <c r="Q408" i="6"/>
  <c r="O408" i="6" s="1"/>
  <c r="O880" i="6"/>
  <c r="Q41" i="6"/>
  <c r="O41" i="6" s="1"/>
  <c r="Q409" i="6"/>
  <c r="O409" i="6" s="1"/>
  <c r="O798" i="6"/>
  <c r="O1363" i="6"/>
  <c r="Q346" i="6"/>
  <c r="O346" i="6" s="1"/>
  <c r="O571" i="6"/>
  <c r="O1291" i="6"/>
  <c r="Q267" i="6"/>
  <c r="O267" i="6" s="1"/>
  <c r="O459" i="6"/>
  <c r="O1056" i="6"/>
  <c r="Q204" i="6"/>
  <c r="O204" i="6" s="1"/>
  <c r="Q540" i="6"/>
  <c r="O885" i="6"/>
  <c r="Q61" i="6"/>
  <c r="O61" i="6" s="1"/>
  <c r="Q365" i="6"/>
  <c r="O365" i="6" s="1"/>
  <c r="O1171" i="6"/>
  <c r="Q677" i="6"/>
  <c r="Q965" i="6"/>
  <c r="Q1301" i="6"/>
  <c r="O833" i="6"/>
  <c r="Q581" i="6"/>
  <c r="Q838" i="6"/>
  <c r="Q1094" i="6"/>
  <c r="Q1382" i="6"/>
  <c r="Q302" i="6"/>
  <c r="O302" i="6" s="1"/>
  <c r="Q743" i="6"/>
  <c r="Q999" i="6"/>
  <c r="Q1255" i="6"/>
  <c r="Q996" i="6"/>
  <c r="Q254" i="6"/>
  <c r="O254" i="6" s="1"/>
  <c r="Q728" i="6"/>
  <c r="Q984" i="6"/>
  <c r="Q1240" i="6"/>
  <c r="O1198" i="6"/>
  <c r="Q633" i="6"/>
  <c r="Q889" i="6"/>
  <c r="Q1145" i="6"/>
  <c r="O1007" i="6"/>
  <c r="O463" i="6"/>
  <c r="Q1278" i="6"/>
  <c r="O982" i="6"/>
  <c r="Q618" i="6"/>
  <c r="Q874" i="6"/>
  <c r="Q1130" i="6"/>
  <c r="Q1386" i="6"/>
  <c r="O899" i="6"/>
  <c r="Q1374" i="6"/>
  <c r="O1320" i="6"/>
  <c r="Q651" i="6"/>
  <c r="Q907" i="6"/>
  <c r="Q1163" i="6"/>
  <c r="Q15" i="6"/>
  <c r="O15" i="6" s="1"/>
  <c r="Q1149" i="6"/>
  <c r="Q862" i="6"/>
  <c r="Q1220" i="6"/>
  <c r="Q416" i="6"/>
  <c r="Q780" i="6"/>
  <c r="Q1036" i="6"/>
  <c r="Q1292" i="6"/>
  <c r="Q1197" i="6"/>
  <c r="O773" i="6"/>
  <c r="Q574" i="6"/>
  <c r="Q831" i="6"/>
  <c r="Q1087" i="6"/>
  <c r="Q1343" i="6"/>
  <c r="Q962" i="6"/>
  <c r="Q494" i="6"/>
  <c r="Q1187" i="6"/>
  <c r="O488" i="6"/>
  <c r="O716" i="6"/>
  <c r="O1074" i="6"/>
  <c r="O783" i="6"/>
  <c r="O927" i="6"/>
  <c r="Q419" i="6"/>
  <c r="O846" i="6"/>
  <c r="Q325" i="6"/>
  <c r="O325" i="6" s="1"/>
  <c r="O990" i="6"/>
  <c r="Q198" i="6"/>
  <c r="O198" i="6" s="1"/>
  <c r="O622" i="6"/>
  <c r="Q7" i="6"/>
  <c r="O7" i="6" s="1"/>
  <c r="Q391" i="6"/>
  <c r="O391" i="6" s="1"/>
  <c r="O879" i="6"/>
  <c r="Q72" i="6"/>
  <c r="O72" i="6" s="1"/>
  <c r="Q424" i="6"/>
  <c r="O910" i="6"/>
  <c r="Q57" i="6"/>
  <c r="O57" i="6" s="1"/>
  <c r="Q425" i="6"/>
  <c r="O822" i="6"/>
  <c r="Q26" i="6"/>
  <c r="O26" i="6" s="1"/>
  <c r="Q362" i="6"/>
  <c r="O362" i="6" s="1"/>
  <c r="O597" i="6"/>
  <c r="O1316" i="6"/>
  <c r="Q283" i="6"/>
  <c r="O283" i="6" s="1"/>
  <c r="O485" i="6"/>
  <c r="O1086" i="6"/>
  <c r="Q220" i="6"/>
  <c r="O220" i="6" s="1"/>
  <c r="Q556" i="6"/>
  <c r="O915" i="6"/>
  <c r="Q77" i="6"/>
  <c r="O77" i="6" s="1"/>
  <c r="Q381" i="6"/>
  <c r="O381" i="6" s="1"/>
  <c r="O1272" i="6"/>
  <c r="Q693" i="6"/>
  <c r="Q981" i="6"/>
  <c r="Q1333" i="6"/>
  <c r="O958" i="6"/>
  <c r="Q598" i="6"/>
  <c r="Q854" i="6"/>
  <c r="Q1110" i="6"/>
  <c r="Q1293" i="6"/>
  <c r="Q351" i="6"/>
  <c r="O351" i="6" s="1"/>
  <c r="Q759" i="6"/>
  <c r="Q1015" i="6"/>
  <c r="Q1271" i="6"/>
  <c r="Q1140" i="6"/>
  <c r="Q303" i="6"/>
  <c r="O303" i="6" s="1"/>
  <c r="Q744" i="6"/>
  <c r="Q1000" i="6"/>
  <c r="Q1256" i="6"/>
  <c r="O1299" i="6"/>
  <c r="Q649" i="6"/>
  <c r="Q905" i="6"/>
  <c r="Q1161" i="6"/>
  <c r="O1326" i="6"/>
  <c r="O1012" i="6"/>
  <c r="Q1358" i="6"/>
  <c r="O1099" i="6"/>
  <c r="Q634" i="6"/>
  <c r="Q890" i="6"/>
  <c r="Q1146" i="6"/>
  <c r="O436" i="6"/>
  <c r="Q80" i="6"/>
  <c r="O80" i="6" s="1"/>
  <c r="O1270" i="6"/>
  <c r="O504" i="6"/>
  <c r="O972" i="6"/>
  <c r="O437" i="6"/>
  <c r="O811" i="6"/>
  <c r="O955" i="6"/>
  <c r="Q547" i="6"/>
  <c r="O1013" i="6"/>
  <c r="Q341" i="6"/>
  <c r="O341" i="6" s="1"/>
  <c r="O1014" i="6"/>
  <c r="Q214" i="6"/>
  <c r="O214" i="6" s="1"/>
  <c r="O646" i="6"/>
  <c r="Q23" i="6"/>
  <c r="O23" i="6" s="1"/>
  <c r="Q407" i="6"/>
  <c r="O407" i="6" s="1"/>
  <c r="O907" i="6"/>
  <c r="Q88" i="6"/>
  <c r="O88" i="6" s="1"/>
  <c r="Q504" i="6"/>
  <c r="O934" i="6"/>
  <c r="Q73" i="6"/>
  <c r="O73" i="6" s="1"/>
  <c r="Q441" i="6"/>
  <c r="O852" i="6"/>
  <c r="Q42" i="6"/>
  <c r="O42" i="6" s="1"/>
  <c r="Q378" i="6"/>
  <c r="O378" i="6" s="1"/>
  <c r="O627" i="6"/>
  <c r="O1343" i="6"/>
  <c r="Q299" i="6"/>
  <c r="O299" i="6" s="1"/>
  <c r="O515" i="6"/>
  <c r="O1110" i="6"/>
  <c r="Q236" i="6"/>
  <c r="O236" i="6" s="1"/>
  <c r="Q572" i="6"/>
  <c r="O944" i="6"/>
  <c r="Q93" i="6"/>
  <c r="O93" i="6" s="1"/>
  <c r="Q397" i="6"/>
  <c r="O397" i="6" s="1"/>
  <c r="Q47" i="6"/>
  <c r="O47" i="6" s="1"/>
  <c r="Q709" i="6"/>
  <c r="Q1029" i="6"/>
  <c r="Q1349" i="6"/>
  <c r="O1071" i="6"/>
  <c r="Q614" i="6"/>
  <c r="Q870" i="6"/>
  <c r="Q1126" i="6"/>
  <c r="Q622" i="6"/>
  <c r="Q400" i="6"/>
  <c r="O400" i="6" s="1"/>
  <c r="Q775" i="6"/>
  <c r="Q1031" i="6"/>
  <c r="Q1287" i="6"/>
  <c r="Q1236" i="6"/>
  <c r="Q352" i="6"/>
  <c r="O352" i="6" s="1"/>
  <c r="Q760" i="6"/>
  <c r="Q1016" i="6"/>
  <c r="Q1272" i="6"/>
  <c r="O1385" i="6"/>
  <c r="Q665" i="6"/>
  <c r="Q921" i="6"/>
  <c r="Q1177" i="6"/>
  <c r="Q143" i="6"/>
  <c r="O143" i="6" s="1"/>
  <c r="Q144" i="6"/>
  <c r="O144" i="6" s="1"/>
  <c r="O495" i="6"/>
  <c r="O1203" i="6"/>
  <c r="Q650" i="6"/>
  <c r="Q906" i="6"/>
  <c r="Q1162" i="6"/>
  <c r="O1120" i="6"/>
  <c r="Q271" i="6"/>
  <c r="O271" i="6" s="1"/>
  <c r="Q238" i="6"/>
  <c r="O238" i="6" s="1"/>
  <c r="O680" i="6"/>
  <c r="O988" i="6"/>
  <c r="O467" i="6"/>
  <c r="Q82" i="6"/>
  <c r="O82" i="6" s="1"/>
  <c r="O1040" i="6"/>
  <c r="Q563" i="6"/>
  <c r="O1043" i="6"/>
  <c r="Q533" i="6"/>
  <c r="O1044" i="6"/>
  <c r="Q230" i="6"/>
  <c r="O230" i="6" s="1"/>
  <c r="O676" i="6"/>
  <c r="Q39" i="6"/>
  <c r="O39" i="6" s="1"/>
  <c r="Q423" i="6"/>
  <c r="O933" i="6"/>
  <c r="Q104" i="6"/>
  <c r="O104" i="6" s="1"/>
  <c r="Q552" i="6"/>
  <c r="O964" i="6"/>
  <c r="Q89" i="6"/>
  <c r="O89" i="6" s="1"/>
  <c r="Q505" i="6"/>
  <c r="O881" i="6"/>
  <c r="Q58" i="6"/>
  <c r="O58" i="6" s="1"/>
  <c r="Q394" i="6"/>
  <c r="O394" i="6" s="1"/>
  <c r="O799" i="6"/>
  <c r="O1364" i="6"/>
  <c r="Q315" i="6"/>
  <c r="O315" i="6" s="1"/>
  <c r="O544" i="6"/>
  <c r="O1216" i="6"/>
  <c r="Q252" i="6"/>
  <c r="O252" i="6" s="1"/>
  <c r="O373" i="6"/>
  <c r="O974" i="6"/>
  <c r="Q109" i="6"/>
  <c r="O109" i="6" s="1"/>
  <c r="Q413" i="6"/>
  <c r="O413" i="6" s="1"/>
  <c r="Q111" i="6"/>
  <c r="O111" i="6" s="1"/>
  <c r="Q725" i="6"/>
  <c r="Q1061" i="6"/>
  <c r="Q1365" i="6"/>
  <c r="O1176" i="6"/>
  <c r="Q630" i="6"/>
  <c r="Q886" i="6"/>
  <c r="Q1142" i="6"/>
  <c r="Q1043" i="6"/>
  <c r="Q449" i="6"/>
  <c r="Q791" i="6"/>
  <c r="Q1047" i="6"/>
  <c r="Q1303" i="6"/>
  <c r="Q1380" i="6"/>
  <c r="Q401" i="6"/>
  <c r="O401" i="6" s="1"/>
  <c r="Q776" i="6"/>
  <c r="Q1032" i="6"/>
  <c r="Q1288" i="6"/>
  <c r="Q63" i="6"/>
  <c r="O63" i="6" s="1"/>
  <c r="Q681" i="6"/>
  <c r="Q937" i="6"/>
  <c r="Q1193" i="6"/>
  <c r="Q417" i="6"/>
  <c r="Q369" i="6"/>
  <c r="O369" i="6" s="1"/>
  <c r="O1169" i="6"/>
  <c r="O1304" i="6"/>
  <c r="Q666" i="6"/>
  <c r="Q922" i="6"/>
  <c r="Q1178" i="6"/>
  <c r="Q79" i="6"/>
  <c r="O79" i="6" s="1"/>
  <c r="Q573" i="6"/>
  <c r="Q612" i="6"/>
  <c r="Q132" i="6"/>
  <c r="O132" i="6" s="1"/>
  <c r="Q699" i="6"/>
  <c r="Q955" i="6"/>
  <c r="Q1211" i="6"/>
  <c r="Q468" i="6"/>
  <c r="Q1373" i="6"/>
  <c r="Q1006" i="6"/>
  <c r="O747" i="6"/>
  <c r="Q569" i="6"/>
  <c r="Q828" i="6"/>
  <c r="Q1084" i="6"/>
  <c r="Q1340" i="6"/>
  <c r="Q527" i="6"/>
  <c r="O1141" i="6"/>
  <c r="Q623" i="6"/>
  <c r="Q879" i="6"/>
  <c r="O489" i="6"/>
  <c r="O1004" i="6"/>
  <c r="O496" i="6"/>
  <c r="Q98" i="6"/>
  <c r="O98" i="6" s="1"/>
  <c r="O1070" i="6"/>
  <c r="O416" i="6"/>
  <c r="O1102" i="6"/>
  <c r="Q549" i="6"/>
  <c r="O1073" i="6"/>
  <c r="Q246" i="6"/>
  <c r="O246" i="6" s="1"/>
  <c r="O705" i="6"/>
  <c r="Q55" i="6"/>
  <c r="O55" i="6" s="1"/>
  <c r="Q551" i="6"/>
  <c r="O963" i="6"/>
  <c r="Q120" i="6"/>
  <c r="O120" i="6" s="1"/>
  <c r="Q568" i="6"/>
  <c r="O993" i="6"/>
  <c r="Q105" i="6"/>
  <c r="O105" i="6" s="1"/>
  <c r="Q521" i="6"/>
  <c r="O911" i="6"/>
  <c r="Q74" i="6"/>
  <c r="O74" i="6" s="1"/>
  <c r="Q410" i="6"/>
  <c r="O410" i="6" s="1"/>
  <c r="O827" i="6"/>
  <c r="O1380" i="6"/>
  <c r="Q331" i="6"/>
  <c r="O331" i="6" s="1"/>
  <c r="O574" i="6"/>
  <c r="O1240" i="6"/>
  <c r="Q268" i="6"/>
  <c r="O268" i="6" s="1"/>
  <c r="O403" i="6"/>
  <c r="O1057" i="6"/>
  <c r="Q125" i="6"/>
  <c r="O125" i="6" s="1"/>
  <c r="Q429" i="6"/>
  <c r="Q175" i="6"/>
  <c r="O175" i="6" s="1"/>
  <c r="Q773" i="6"/>
  <c r="Q1077" i="6"/>
  <c r="Q1381" i="6"/>
  <c r="O1280" i="6"/>
  <c r="Q646" i="6"/>
  <c r="Q902" i="6"/>
  <c r="Q1158" i="6"/>
  <c r="Q1076" i="6"/>
  <c r="Q500" i="6"/>
  <c r="Q807" i="6"/>
  <c r="Q1063" i="6"/>
  <c r="Q1319" i="6"/>
  <c r="O404" i="6"/>
  <c r="Q452" i="6"/>
  <c r="Q792" i="6"/>
  <c r="Q1048" i="6"/>
  <c r="Q1304" i="6"/>
  <c r="Q127" i="6"/>
  <c r="O127" i="6" s="1"/>
  <c r="Q697" i="6"/>
  <c r="Q953" i="6"/>
  <c r="Q1209" i="6"/>
  <c r="Q605" i="6"/>
  <c r="Q590" i="6"/>
  <c r="Q337" i="6"/>
  <c r="O337" i="6" s="1"/>
  <c r="Q64" i="6"/>
  <c r="O64" i="6" s="1"/>
  <c r="Q682" i="6"/>
  <c r="Q938" i="6"/>
  <c r="Q1194" i="6"/>
  <c r="Q368" i="6"/>
  <c r="O368" i="6" s="1"/>
  <c r="Q638" i="6"/>
  <c r="Q788" i="6"/>
  <c r="Q196" i="6"/>
  <c r="O196" i="6" s="1"/>
  <c r="Q715" i="6"/>
  <c r="Q971" i="6"/>
  <c r="Q1227" i="6"/>
  <c r="Q570" i="6"/>
  <c r="O607" i="6"/>
  <c r="Q1070" i="6"/>
  <c r="O891" i="6"/>
  <c r="Q588" i="6"/>
  <c r="Q844" i="6"/>
  <c r="O537" i="6"/>
  <c r="O1180" i="6"/>
  <c r="O895" i="6"/>
  <c r="Q114" i="6"/>
  <c r="O114" i="6" s="1"/>
  <c r="O1094" i="6"/>
  <c r="O587" i="6"/>
  <c r="O1126" i="6"/>
  <c r="Q565" i="6"/>
  <c r="O1205" i="6"/>
  <c r="Q390" i="6"/>
  <c r="O390" i="6" s="1"/>
  <c r="O735" i="6"/>
  <c r="Q71" i="6"/>
  <c r="O71" i="6" s="1"/>
  <c r="Q567" i="6"/>
  <c r="O1046" i="6"/>
  <c r="Q136" i="6"/>
  <c r="O136" i="6" s="1"/>
  <c r="Q584" i="6"/>
  <c r="O1023" i="6"/>
  <c r="Q153" i="6"/>
  <c r="O153" i="6" s="1"/>
  <c r="Q537" i="6"/>
  <c r="O939" i="6"/>
  <c r="Q90" i="6"/>
  <c r="O90" i="6" s="1"/>
  <c r="Q426" i="6"/>
  <c r="O853" i="6"/>
  <c r="Q11" i="6"/>
  <c r="O11" i="6" s="1"/>
  <c r="Q379" i="6"/>
  <c r="O379" i="6" s="1"/>
  <c r="O598" i="6"/>
  <c r="O1317" i="6"/>
  <c r="Q284" i="6"/>
  <c r="O284" i="6" s="1"/>
  <c r="O432" i="6"/>
  <c r="O1087" i="6"/>
  <c r="Q141" i="6"/>
  <c r="O141" i="6" s="1"/>
  <c r="Q461" i="6"/>
  <c r="Q239" i="6"/>
  <c r="O239" i="6" s="1"/>
  <c r="Q789" i="6"/>
  <c r="Q1093" i="6"/>
  <c r="Q1325" i="6"/>
  <c r="O1373" i="6"/>
  <c r="Q662" i="6"/>
  <c r="Q918" i="6"/>
  <c r="Q1174" i="6"/>
  <c r="O547" i="6"/>
  <c r="Q558" i="6"/>
  <c r="Q823" i="6"/>
  <c r="Q1079" i="6"/>
  <c r="Q1335" i="6"/>
  <c r="O548" i="6"/>
  <c r="Q510" i="6"/>
  <c r="Q808" i="6"/>
  <c r="Q1064" i="6"/>
  <c r="O793" i="6"/>
  <c r="O749" i="6"/>
  <c r="O923" i="6"/>
  <c r="Q162" i="6"/>
  <c r="O162" i="6" s="1"/>
  <c r="O1252" i="6"/>
  <c r="O613" i="6"/>
  <c r="O1153" i="6"/>
  <c r="O419" i="6"/>
  <c r="O1232" i="6"/>
  <c r="Q406" i="6"/>
  <c r="O763" i="6"/>
  <c r="Q87" i="6"/>
  <c r="O87" i="6" s="1"/>
  <c r="O1076" i="6"/>
  <c r="Q216" i="6"/>
  <c r="O216" i="6" s="1"/>
  <c r="O422" i="6"/>
  <c r="O1051" i="6"/>
  <c r="Q217" i="6"/>
  <c r="O217" i="6" s="1"/>
  <c r="Q553" i="6"/>
  <c r="O1024" i="6"/>
  <c r="Q106" i="6"/>
  <c r="O106" i="6" s="1"/>
  <c r="Q442" i="6"/>
  <c r="O883" i="6"/>
  <c r="Q27" i="6"/>
  <c r="O27" i="6" s="1"/>
  <c r="Q395" i="6"/>
  <c r="O395" i="6" s="1"/>
  <c r="O715" i="6"/>
  <c r="O1344" i="6"/>
  <c r="Q300" i="6"/>
  <c r="O300" i="6" s="1"/>
  <c r="O462" i="6"/>
  <c r="O1115" i="6"/>
  <c r="Q173" i="6"/>
  <c r="O173" i="6" s="1"/>
  <c r="Q477" i="6"/>
  <c r="Q398" i="6"/>
  <c r="O398" i="6" s="1"/>
  <c r="Q805" i="6"/>
  <c r="Q1109" i="6"/>
  <c r="Q320" i="6"/>
  <c r="O320" i="6" s="1"/>
  <c r="Q48" i="6"/>
  <c r="O48" i="6" s="1"/>
  <c r="Q678" i="6"/>
  <c r="Q934" i="6"/>
  <c r="O809" i="6"/>
  <c r="O797" i="6"/>
  <c r="O949" i="6"/>
  <c r="Q178" i="6"/>
  <c r="O178" i="6" s="1"/>
  <c r="Q67" i="6"/>
  <c r="O67" i="6" s="1"/>
  <c r="O672" i="6"/>
  <c r="O825" i="6"/>
  <c r="O1053" i="6"/>
  <c r="O1199" i="6"/>
  <c r="Q194" i="6"/>
  <c r="O194" i="6" s="1"/>
  <c r="Q163" i="6"/>
  <c r="O163" i="6" s="1"/>
  <c r="O702" i="6"/>
  <c r="Q69" i="6"/>
  <c r="O69" i="6" s="1"/>
  <c r="O478" i="6"/>
  <c r="O1283" i="6"/>
  <c r="Q438" i="6"/>
  <c r="O819" i="6"/>
  <c r="Q247" i="6"/>
  <c r="O247" i="6" s="1"/>
  <c r="O451" i="6"/>
  <c r="O1134" i="6"/>
  <c r="Q248" i="6"/>
  <c r="O248" i="6" s="1"/>
  <c r="O481" i="6"/>
  <c r="O1107" i="6"/>
  <c r="Q249" i="6"/>
  <c r="O249" i="6" s="1"/>
  <c r="O427" i="6"/>
  <c r="O1078" i="6"/>
  <c r="Q138" i="6"/>
  <c r="O138" i="6" s="1"/>
  <c r="Q554" i="6"/>
  <c r="O942" i="6"/>
  <c r="Q59" i="6"/>
  <c r="O59" i="6" s="1"/>
  <c r="Q427" i="6"/>
  <c r="O771" i="6"/>
  <c r="O1381" i="6"/>
  <c r="Q332" i="6"/>
  <c r="O332" i="6" s="1"/>
  <c r="O516" i="6"/>
  <c r="O1243" i="6"/>
  <c r="Q205" i="6"/>
  <c r="O205" i="6" s="1"/>
  <c r="Q509" i="6"/>
  <c r="Q496" i="6"/>
  <c r="Q837" i="6"/>
  <c r="Q1141" i="6"/>
  <c r="O947" i="6"/>
  <c r="Q176" i="6"/>
  <c r="O176" i="6" s="1"/>
  <c r="Q710" i="6"/>
  <c r="Q966" i="6"/>
  <c r="Q1222" i="6"/>
  <c r="O975" i="6"/>
  <c r="Q615" i="6"/>
  <c r="Q871" i="6"/>
  <c r="Q1127" i="6"/>
  <c r="Q1383" i="6"/>
  <c r="O976" i="6"/>
  <c r="Q600" i="6"/>
  <c r="Q856" i="6"/>
  <c r="Q1112" i="6"/>
  <c r="Q1384" i="6"/>
  <c r="Q353" i="6"/>
  <c r="O353" i="6" s="1"/>
  <c r="Q761" i="6"/>
  <c r="Q1017" i="6"/>
  <c r="Q1273" i="6"/>
  <c r="O1001" i="6"/>
  <c r="O1069" i="6"/>
  <c r="Q129" i="6"/>
  <c r="O129" i="6" s="1"/>
  <c r="Q338" i="6"/>
  <c r="O338" i="6" s="1"/>
  <c r="Q179" i="6"/>
  <c r="O179" i="6" s="1"/>
  <c r="O726" i="6"/>
  <c r="Q85" i="6"/>
  <c r="O85" i="6" s="1"/>
  <c r="O502" i="6"/>
  <c r="Q6" i="6"/>
  <c r="O6" i="6" s="1"/>
  <c r="Q454" i="6"/>
  <c r="O961" i="6"/>
  <c r="Q263" i="6"/>
  <c r="O263" i="6" s="1"/>
  <c r="O480" i="6"/>
  <c r="O1157" i="6"/>
  <c r="Q296" i="6"/>
  <c r="O296" i="6" s="1"/>
  <c r="O511" i="6"/>
  <c r="O1135" i="6"/>
  <c r="Q265" i="6"/>
  <c r="O265" i="6" s="1"/>
  <c r="O453" i="6"/>
  <c r="O1108" i="6"/>
  <c r="Q154" i="6"/>
  <c r="O154" i="6" s="1"/>
  <c r="O966" i="6"/>
  <c r="Q75" i="6"/>
  <c r="O75" i="6" s="1"/>
  <c r="Q443" i="6"/>
  <c r="O800" i="6"/>
  <c r="Q12" i="6"/>
  <c r="O12" i="6" s="1"/>
  <c r="Q348" i="6"/>
  <c r="O348" i="6" s="1"/>
  <c r="O603" i="6"/>
  <c r="O570" i="6"/>
  <c r="O1085" i="6"/>
  <c r="Q145" i="6"/>
  <c r="O145" i="6" s="1"/>
  <c r="Q354" i="6"/>
  <c r="O354" i="6" s="1"/>
  <c r="Q211" i="6"/>
  <c r="O211" i="6" s="1"/>
  <c r="O756" i="6"/>
  <c r="Q101" i="6"/>
  <c r="O101" i="6" s="1"/>
  <c r="O532" i="6"/>
  <c r="Q22" i="6"/>
  <c r="O22" i="6" s="1"/>
  <c r="Q470" i="6"/>
  <c r="O991" i="6"/>
  <c r="Q279" i="6"/>
  <c r="O279" i="6" s="1"/>
  <c r="O510" i="6"/>
  <c r="O1285" i="6"/>
  <c r="Q312" i="6"/>
  <c r="O312" i="6" s="1"/>
  <c r="O539" i="6"/>
  <c r="O1313" i="6"/>
  <c r="Q281" i="6"/>
  <c r="O281" i="6" s="1"/>
  <c r="O483" i="6"/>
  <c r="O1136" i="6"/>
  <c r="Q218" i="6"/>
  <c r="O218" i="6" s="1"/>
  <c r="O371" i="6"/>
  <c r="O996" i="6"/>
  <c r="Q123" i="6"/>
  <c r="O123" i="6" s="1"/>
  <c r="Q507" i="6"/>
  <c r="O884" i="6"/>
  <c r="Q28" i="6"/>
  <c r="O28" i="6" s="1"/>
  <c r="Q364" i="6"/>
  <c r="O364" i="6" s="1"/>
  <c r="O718" i="6"/>
  <c r="O1295" i="6"/>
  <c r="Q237" i="6"/>
  <c r="O237" i="6" s="1"/>
  <c r="O374" i="6"/>
  <c r="Q580" i="6"/>
  <c r="O618" i="6"/>
  <c r="O1261" i="6"/>
  <c r="Q161" i="6"/>
  <c r="O161" i="6" s="1"/>
  <c r="Q370" i="6"/>
  <c r="O370" i="6" s="1"/>
  <c r="Q227" i="6"/>
  <c r="O227" i="6" s="1"/>
  <c r="O815" i="6"/>
  <c r="Q117" i="6"/>
  <c r="O117" i="6" s="1"/>
  <c r="O561" i="6"/>
  <c r="Q38" i="6"/>
  <c r="O38" i="6" s="1"/>
  <c r="Q486" i="6"/>
  <c r="O1019" i="6"/>
  <c r="Q295" i="6"/>
  <c r="O295" i="6" s="1"/>
  <c r="O593" i="6"/>
  <c r="O1312" i="6"/>
  <c r="Q328" i="6"/>
  <c r="O328" i="6" s="1"/>
  <c r="O565" i="6"/>
  <c r="O1339" i="6"/>
  <c r="Q297" i="6"/>
  <c r="O297" i="6" s="1"/>
  <c r="O566" i="6"/>
  <c r="O1160" i="6"/>
  <c r="Q234" i="6"/>
  <c r="O234" i="6" s="1"/>
  <c r="O430" i="6"/>
  <c r="O1025" i="6"/>
  <c r="Q139" i="6"/>
  <c r="O139" i="6" s="1"/>
  <c r="Q523" i="6"/>
  <c r="O913" i="6"/>
  <c r="Q44" i="6"/>
  <c r="O44" i="6" s="1"/>
  <c r="Q380" i="6"/>
  <c r="O380" i="6" s="1"/>
  <c r="O742" i="6"/>
  <c r="O1318" i="6"/>
  <c r="Q253" i="6"/>
  <c r="O253" i="6" s="1"/>
  <c r="O518" i="6"/>
  <c r="Q597" i="6"/>
  <c r="Q1024" i="6"/>
  <c r="Q768" i="6"/>
  <c r="Q382" i="6"/>
  <c r="O382" i="6" s="1"/>
  <c r="Q1188" i="6"/>
  <c r="Q1059" i="6"/>
  <c r="O1269" i="6"/>
  <c r="Q754" i="6"/>
  <c r="Q1247" i="6"/>
  <c r="Q975" i="6"/>
  <c r="Q687" i="6"/>
  <c r="O1347" i="6"/>
  <c r="O1125" i="6"/>
  <c r="Q1276" i="6"/>
  <c r="Q988" i="6"/>
  <c r="Q684" i="6"/>
  <c r="O1220" i="6"/>
  <c r="Q974" i="6"/>
  <c r="Q1021" i="6"/>
  <c r="Q1339" i="6"/>
  <c r="Q1035" i="6"/>
  <c r="Q731" i="6"/>
  <c r="O1219" i="6"/>
  <c r="Q942" i="6"/>
  <c r="Q589" i="6"/>
  <c r="Q1050" i="6"/>
  <c r="Q714" i="6"/>
  <c r="O406" i="6"/>
  <c r="Q766" i="6"/>
  <c r="Q1353" i="6"/>
  <c r="Q985" i="6"/>
  <c r="Q511" i="6"/>
  <c r="Q1224" i="6"/>
  <c r="Q840" i="6"/>
  <c r="O1195" i="6"/>
  <c r="Q1191" i="6"/>
  <c r="Q711" i="6"/>
  <c r="O691" i="6"/>
  <c r="Q982" i="6"/>
  <c r="Q240" i="6"/>
  <c r="O240" i="6" s="1"/>
  <c r="Q1157" i="6"/>
  <c r="O1061" i="6"/>
  <c r="O1268" i="6"/>
  <c r="O1365" i="6"/>
  <c r="O1188" i="6"/>
  <c r="O1315" i="6"/>
  <c r="O1378" i="6"/>
  <c r="O1336" i="6"/>
  <c r="O789" i="6"/>
  <c r="Q277" i="6"/>
  <c r="O277" i="6" s="1"/>
  <c r="O499" i="6"/>
  <c r="Q1008" i="6"/>
  <c r="Q752" i="6"/>
  <c r="Q324" i="6"/>
  <c r="O324" i="6" s="1"/>
  <c r="Q1092" i="6"/>
  <c r="Q995" i="6"/>
  <c r="O945" i="6"/>
  <c r="Q706" i="6"/>
  <c r="Q1231" i="6"/>
  <c r="Q959" i="6"/>
  <c r="Q671" i="6"/>
  <c r="O1246" i="6"/>
  <c r="Q1309" i="6"/>
  <c r="Q1260" i="6"/>
  <c r="Q972" i="6"/>
  <c r="Q668" i="6"/>
  <c r="O1119" i="6"/>
  <c r="Q926" i="6"/>
  <c r="Q957" i="6"/>
  <c r="Q1323" i="6"/>
  <c r="Q1019" i="6"/>
  <c r="Q683" i="6"/>
  <c r="O1118" i="6"/>
  <c r="Q878" i="6"/>
  <c r="Q1370" i="6"/>
  <c r="Q1034" i="6"/>
  <c r="Q698" i="6"/>
  <c r="Q1284" i="6"/>
  <c r="Q718" i="6"/>
  <c r="Q1337" i="6"/>
  <c r="Q969" i="6"/>
  <c r="Q462" i="6"/>
  <c r="Q1208" i="6"/>
  <c r="Q824" i="6"/>
  <c r="O1089" i="6"/>
  <c r="Q1175" i="6"/>
  <c r="Q695" i="6"/>
  <c r="Q1366" i="6"/>
  <c r="Q950" i="6"/>
  <c r="Q112" i="6"/>
  <c r="O112" i="6" s="1"/>
  <c r="Q1125" i="6"/>
  <c r="O948" i="6"/>
  <c r="O1217" i="6"/>
  <c r="O1027" i="6"/>
  <c r="O1109" i="6"/>
  <c r="O1288" i="6"/>
  <c r="O1361" i="6"/>
  <c r="O1105" i="6"/>
  <c r="Q550" i="6"/>
  <c r="Q181" i="6"/>
  <c r="O181" i="6" s="1"/>
  <c r="O670" i="6"/>
  <c r="Q1248" i="6"/>
  <c r="Q736" i="6"/>
  <c r="Q964" i="6"/>
  <c r="O804" i="6"/>
  <c r="Q594" i="6"/>
  <c r="Q943" i="6"/>
  <c r="Q655" i="6"/>
  <c r="Q1133" i="6"/>
  <c r="Q1244" i="6"/>
  <c r="Q956" i="6"/>
  <c r="Q652" i="6"/>
  <c r="O1006" i="6"/>
  <c r="Q798" i="6"/>
  <c r="Q893" i="6"/>
  <c r="Q1307" i="6"/>
  <c r="Q667" i="6"/>
  <c r="O1003" i="6"/>
  <c r="Q830" i="6"/>
  <c r="Q1354" i="6"/>
  <c r="Q1018" i="6"/>
  <c r="Q602" i="6"/>
  <c r="Q1156" i="6"/>
  <c r="Q670" i="6"/>
  <c r="Q1321" i="6"/>
  <c r="Q873" i="6"/>
  <c r="Q404" i="6"/>
  <c r="Q1192" i="6"/>
  <c r="Q712" i="6"/>
  <c r="O862" i="6"/>
  <c r="Q1159" i="6"/>
  <c r="Q679" i="6"/>
  <c r="Q1350" i="6"/>
  <c r="Q822" i="6"/>
  <c r="O689" i="6"/>
  <c r="Q949" i="6"/>
  <c r="O832" i="6"/>
  <c r="O859" i="6"/>
  <c r="O997" i="6"/>
  <c r="O1083" i="6"/>
  <c r="O1187" i="6"/>
  <c r="O1077" i="6"/>
  <c r="O820" i="6"/>
  <c r="Q534" i="6"/>
  <c r="Q165" i="6"/>
  <c r="O165" i="6" s="1"/>
  <c r="Q241" i="6"/>
  <c r="O241" i="6" s="1"/>
  <c r="Q992" i="6"/>
  <c r="Q273" i="6"/>
  <c r="O273" i="6" s="1"/>
  <c r="Q963" i="6"/>
  <c r="Q1215" i="6"/>
  <c r="O1029" i="6"/>
  <c r="Q1003" i="6"/>
  <c r="Q1300" i="6"/>
  <c r="Q979" i="6"/>
  <c r="Q36" i="6"/>
  <c r="O36" i="6" s="1"/>
  <c r="Q786" i="6"/>
  <c r="Q1329" i="6"/>
  <c r="Q1073" i="6"/>
  <c r="Q817" i="6"/>
  <c r="Q532" i="6"/>
  <c r="O635" i="6"/>
  <c r="Q287" i="6"/>
  <c r="O287" i="6" s="1"/>
  <c r="Q642" i="6"/>
  <c r="Q1232" i="6"/>
  <c r="Q976" i="6"/>
  <c r="Q720" i="6"/>
  <c r="Q222" i="6"/>
  <c r="O222" i="6" s="1"/>
  <c r="Q836" i="6"/>
  <c r="Q915" i="6"/>
  <c r="Q1362" i="6"/>
  <c r="Q484" i="6"/>
  <c r="Q1199" i="6"/>
  <c r="Q927" i="6"/>
  <c r="Q639" i="6"/>
  <c r="O916" i="6"/>
  <c r="Q1069" i="6"/>
  <c r="Q1228" i="6"/>
  <c r="Q940" i="6"/>
  <c r="Q636" i="6"/>
  <c r="O579" i="6"/>
  <c r="Q750" i="6"/>
  <c r="Q845" i="6"/>
  <c r="Q1291" i="6"/>
  <c r="Q987" i="6"/>
  <c r="Q635" i="6"/>
  <c r="O886" i="6"/>
  <c r="Q782" i="6"/>
  <c r="Q1338" i="6"/>
  <c r="Q1002" i="6"/>
  <c r="Q586" i="6"/>
  <c r="Q1028" i="6"/>
  <c r="Q1341" i="6"/>
  <c r="Q1305" i="6"/>
  <c r="Q857" i="6"/>
  <c r="Q304" i="6"/>
  <c r="O304" i="6" s="1"/>
  <c r="Q1176" i="6"/>
  <c r="Q696" i="6"/>
  <c r="O692" i="6"/>
  <c r="Q1143" i="6"/>
  <c r="Q663" i="6"/>
  <c r="Q1318" i="6"/>
  <c r="Q806" i="6"/>
  <c r="O523" i="6"/>
  <c r="Q933" i="6"/>
  <c r="O662" i="6"/>
  <c r="O831" i="6"/>
  <c r="O971" i="6"/>
  <c r="O1055" i="6"/>
  <c r="O1054" i="6"/>
  <c r="O851" i="6"/>
  <c r="O790" i="6"/>
  <c r="Q518" i="6"/>
  <c r="Q149" i="6"/>
  <c r="O149" i="6" s="1"/>
  <c r="Q225" i="6"/>
  <c r="O225" i="6" s="1"/>
  <c r="Q561" i="6"/>
  <c r="Q255" i="6"/>
  <c r="O255" i="6" s="1"/>
  <c r="Q1160" i="6"/>
  <c r="Q680" i="6"/>
  <c r="Q1111" i="6"/>
  <c r="O943" i="6"/>
  <c r="O683" i="6"/>
  <c r="O821" i="6"/>
  <c r="O651" i="6"/>
  <c r="Q502" i="6"/>
  <c r="O1179" i="6"/>
  <c r="Q209" i="6"/>
  <c r="O209" i="6" s="1"/>
  <c r="Q924" i="6"/>
  <c r="Q619" i="6"/>
  <c r="Q900" i="6"/>
  <c r="Q790" i="6"/>
  <c r="Q432" i="6"/>
  <c r="Q688" i="6"/>
  <c r="Q94" i="6"/>
  <c r="O94" i="6" s="1"/>
  <c r="Q628" i="6"/>
  <c r="Q851" i="6"/>
  <c r="Q1266" i="6"/>
  <c r="Q160" i="6"/>
  <c r="O160" i="6" s="1"/>
  <c r="Q1167" i="6"/>
  <c r="Q895" i="6"/>
  <c r="Q591" i="6"/>
  <c r="O464" i="6"/>
  <c r="Q909" i="6"/>
  <c r="Q1196" i="6"/>
  <c r="Q908" i="6"/>
  <c r="Q604" i="6"/>
  <c r="Q1060" i="6"/>
  <c r="Q654" i="6"/>
  <c r="Q765" i="6"/>
  <c r="Q1259" i="6"/>
  <c r="Q923" i="6"/>
  <c r="Q603" i="6"/>
  <c r="O577" i="6"/>
  <c r="Q686" i="6"/>
  <c r="Q1306" i="6"/>
  <c r="Q970" i="6"/>
  <c r="Q512" i="6"/>
  <c r="Q740" i="6"/>
  <c r="Q1213" i="6"/>
  <c r="Q1257" i="6"/>
  <c r="Q825" i="6"/>
  <c r="Q191" i="6"/>
  <c r="O191" i="6" s="1"/>
  <c r="Q1144" i="6"/>
  <c r="Q664" i="6"/>
  <c r="Q644" i="6"/>
  <c r="Q1095" i="6"/>
  <c r="Q631" i="6"/>
  <c r="Q1270" i="6"/>
  <c r="Q774" i="6"/>
  <c r="Q980" i="6"/>
  <c r="Q901" i="6"/>
  <c r="Q493" i="6"/>
  <c r="O772" i="6"/>
  <c r="O741" i="6"/>
  <c r="O543" i="6"/>
  <c r="O655" i="6"/>
  <c r="O624" i="6"/>
  <c r="O623" i="6"/>
  <c r="Q422" i="6"/>
  <c r="O787" i="6"/>
  <c r="O1042" i="6"/>
  <c r="Q797" i="6"/>
  <c r="Q986" i="6"/>
  <c r="Q1124" i="6"/>
  <c r="O1059" i="6"/>
  <c r="Q433" i="6"/>
  <c r="Q1025" i="6"/>
  <c r="Q1184" i="6"/>
  <c r="Q803" i="6"/>
  <c r="Q863" i="6"/>
  <c r="Q1332" i="6"/>
  <c r="Q1180" i="6"/>
  <c r="Q892" i="6"/>
  <c r="Q516" i="6"/>
  <c r="Q916" i="6"/>
  <c r="Q606" i="6"/>
  <c r="Q717" i="6"/>
  <c r="Q587" i="6"/>
  <c r="Q1290" i="6"/>
  <c r="Q954" i="6"/>
  <c r="Q463" i="6"/>
  <c r="Q676" i="6"/>
  <c r="Q1117" i="6"/>
  <c r="Q1241" i="6"/>
  <c r="Q809" i="6"/>
  <c r="O1091" i="6"/>
  <c r="Q1128" i="6"/>
  <c r="Q648" i="6"/>
  <c r="Q174" i="6"/>
  <c r="O174" i="6" s="1"/>
  <c r="Q983" i="6"/>
  <c r="Q599" i="6"/>
  <c r="Q1254" i="6"/>
  <c r="Q758" i="6"/>
  <c r="Q724" i="6"/>
  <c r="Q885" i="6"/>
  <c r="Q349" i="6"/>
  <c r="O349" i="6" s="1"/>
  <c r="O486" i="6"/>
  <c r="O431" i="6"/>
  <c r="O513" i="6"/>
  <c r="O625" i="6"/>
  <c r="O595" i="6"/>
  <c r="O421" i="6"/>
  <c r="Q166" i="6"/>
  <c r="O166" i="6" s="1"/>
  <c r="O731" i="6"/>
  <c r="O898" i="6"/>
  <c r="O912" i="6"/>
  <c r="Q383" i="6"/>
  <c r="O383" i="6" s="1"/>
  <c r="O1354" i="6"/>
  <c r="Q1243" i="6"/>
  <c r="Q660" i="6"/>
  <c r="Q1265" i="6"/>
  <c r="Q932" i="6"/>
  <c r="Q96" i="6"/>
  <c r="O96" i="6" s="1"/>
  <c r="Q1168" i="6"/>
  <c r="Q912" i="6"/>
  <c r="Q656" i="6"/>
  <c r="O1348" i="6"/>
  <c r="O1060" i="6"/>
  <c r="Q771" i="6"/>
  <c r="Q1154" i="6"/>
  <c r="O1041" i="6"/>
  <c r="Q1135" i="6"/>
  <c r="Q847" i="6"/>
  <c r="Q479" i="6"/>
  <c r="Q820" i="6"/>
  <c r="Q749" i="6"/>
  <c r="Q1164" i="6"/>
  <c r="Q876" i="6"/>
  <c r="Q465" i="6"/>
  <c r="Q852" i="6"/>
  <c r="Q420" i="6"/>
  <c r="Q653" i="6"/>
  <c r="Q1195" i="6"/>
  <c r="Q875" i="6"/>
  <c r="Q564" i="6"/>
  <c r="Q1364" i="6"/>
  <c r="Q1229" i="6"/>
  <c r="Q1274" i="6"/>
  <c r="Q858" i="6"/>
  <c r="Q414" i="6"/>
  <c r="Q495" i="6"/>
  <c r="Q1053" i="6"/>
  <c r="Q1225" i="6"/>
  <c r="Q793" i="6"/>
  <c r="O977" i="6"/>
  <c r="Q1096" i="6"/>
  <c r="Q632" i="6"/>
  <c r="O517" i="6"/>
  <c r="Q967" i="6"/>
  <c r="Q582" i="6"/>
  <c r="Q1238" i="6"/>
  <c r="Q742" i="6"/>
  <c r="Q544" i="6"/>
  <c r="Q869" i="6"/>
  <c r="Q333" i="6"/>
  <c r="O333" i="6" s="1"/>
  <c r="Q524" i="6"/>
  <c r="Q571" i="6"/>
  <c r="O484" i="6"/>
  <c r="O596" i="6"/>
  <c r="O452" i="6"/>
  <c r="Q359" i="6"/>
  <c r="O359" i="6" s="1"/>
  <c r="Q150" i="6"/>
  <c r="O150" i="6" s="1"/>
  <c r="O703" i="6"/>
  <c r="O802" i="6"/>
  <c r="Q1212" i="6"/>
  <c r="Q734" i="6"/>
  <c r="Q557" i="6"/>
  <c r="Q1041" i="6"/>
  <c r="Q1346" i="6"/>
  <c r="Q867" i="6"/>
  <c r="Q1282" i="6"/>
  <c r="Q446" i="6"/>
  <c r="Q528" i="6"/>
  <c r="Q1277" i="6"/>
  <c r="Q819" i="6"/>
  <c r="Q1378" i="6"/>
  <c r="Q626" i="6"/>
  <c r="Q1009" i="6"/>
  <c r="Q753" i="6"/>
  <c r="Q334" i="6"/>
  <c r="O334" i="6" s="1"/>
  <c r="Q1234" i="6"/>
  <c r="Q388" i="6"/>
  <c r="O388" i="6" s="1"/>
  <c r="Q787" i="6"/>
  <c r="Q1330" i="6"/>
  <c r="Q610" i="6"/>
  <c r="Q1249" i="6"/>
  <c r="Q993" i="6"/>
  <c r="Q737" i="6"/>
  <c r="Q276" i="6"/>
  <c r="O276" i="6" s="1"/>
  <c r="Q772" i="6"/>
  <c r="Q1186" i="6"/>
  <c r="O1152" i="6"/>
  <c r="Q1152" i="6"/>
  <c r="Q896" i="6"/>
  <c r="Q640" i="6"/>
  <c r="O1247" i="6"/>
  <c r="Q1379" i="6"/>
  <c r="Q723" i="6"/>
  <c r="Q1122" i="6"/>
  <c r="O638" i="6"/>
  <c r="Q1119" i="6"/>
  <c r="Q815" i="6"/>
  <c r="Q430" i="6"/>
  <c r="Q1342" i="6"/>
  <c r="Q669" i="6"/>
  <c r="Q1148" i="6"/>
  <c r="Q860" i="6"/>
  <c r="Q367" i="6"/>
  <c r="O367" i="6" s="1"/>
  <c r="Q756" i="6"/>
  <c r="Q208" i="6"/>
  <c r="O208" i="6" s="1"/>
  <c r="Q637" i="6"/>
  <c r="Q1179" i="6"/>
  <c r="Q859" i="6"/>
  <c r="Q513" i="6"/>
  <c r="Q1268" i="6"/>
  <c r="Q1165" i="6"/>
  <c r="Q1258" i="6"/>
  <c r="Q842" i="6"/>
  <c r="Q356" i="6"/>
  <c r="O356" i="6" s="1"/>
  <c r="Q1230" i="6"/>
  <c r="Q1005" i="6"/>
  <c r="Q1129" i="6"/>
  <c r="Q777" i="6"/>
  <c r="O863" i="6"/>
  <c r="Q1080" i="6"/>
  <c r="Q616" i="6"/>
  <c r="Q478" i="6"/>
  <c r="Q951" i="6"/>
  <c r="Q244" i="6"/>
  <c r="O244" i="6" s="1"/>
  <c r="Q1206" i="6"/>
  <c r="Q726" i="6"/>
  <c r="Q110" i="6"/>
  <c r="O110" i="6" s="1"/>
  <c r="Q853" i="6"/>
  <c r="Q317" i="6"/>
  <c r="O317" i="6" s="1"/>
  <c r="Q508" i="6"/>
  <c r="Q555" i="6"/>
  <c r="O454" i="6"/>
  <c r="Q392" i="6"/>
  <c r="O392" i="6" s="1"/>
  <c r="Q343" i="6"/>
  <c r="O343" i="6" s="1"/>
  <c r="Q134" i="6"/>
  <c r="O134" i="6" s="1"/>
  <c r="O843" i="6"/>
  <c r="O786" i="6"/>
  <c r="O801" i="6"/>
  <c r="Q1012" i="6"/>
  <c r="Q658" i="6"/>
  <c r="Q30" i="6"/>
  <c r="O30" i="6" s="1"/>
  <c r="Q891" i="6"/>
  <c r="Q1298" i="6"/>
  <c r="Q223" i="6"/>
  <c r="O223" i="6" s="1"/>
  <c r="O803" i="6"/>
  <c r="Q880" i="6"/>
  <c r="Q624" i="6"/>
  <c r="O1142" i="6"/>
  <c r="Q691" i="6"/>
  <c r="Q1074" i="6"/>
  <c r="Q1375" i="6"/>
  <c r="Q1103" i="6"/>
  <c r="Q799" i="6"/>
  <c r="Q372" i="6"/>
  <c r="O372" i="6" s="1"/>
  <c r="Q1294" i="6"/>
  <c r="Q526" i="6"/>
  <c r="Q1132" i="6"/>
  <c r="Q812" i="6"/>
  <c r="Q318" i="6"/>
  <c r="O318" i="6" s="1"/>
  <c r="Q692" i="6"/>
  <c r="Q16" i="6"/>
  <c r="O16" i="6" s="1"/>
  <c r="Q621" i="6"/>
  <c r="Q1147" i="6"/>
  <c r="Q843" i="6"/>
  <c r="Q464" i="6"/>
  <c r="Q1108" i="6"/>
  <c r="Q1101" i="6"/>
  <c r="Q1242" i="6"/>
  <c r="Q826" i="6"/>
  <c r="Q305" i="6"/>
  <c r="O305" i="6" s="1"/>
  <c r="Q1150" i="6"/>
  <c r="Q925" i="6"/>
  <c r="Q1113" i="6"/>
  <c r="Q745" i="6"/>
  <c r="O719" i="6"/>
  <c r="Q968" i="6"/>
  <c r="Q583" i="6"/>
  <c r="Q1357" i="6"/>
  <c r="Q935" i="6"/>
  <c r="Q180" i="6"/>
  <c r="O180" i="6" s="1"/>
  <c r="Q1190" i="6"/>
  <c r="Q694" i="6"/>
  <c r="Q1198" i="6"/>
  <c r="Q821" i="6"/>
  <c r="Q301" i="6"/>
  <c r="O301" i="6" s="1"/>
  <c r="Q492" i="6"/>
  <c r="Q539" i="6"/>
  <c r="Q538" i="6"/>
  <c r="Q361" i="6"/>
  <c r="O361" i="6" s="1"/>
  <c r="Q376" i="6"/>
  <c r="O376" i="6" s="1"/>
  <c r="Q327" i="6"/>
  <c r="O327" i="6" s="1"/>
  <c r="Q54" i="6"/>
  <c r="O54" i="6" s="1"/>
  <c r="Q307" i="6"/>
  <c r="O307" i="6" s="1"/>
  <c r="O1082" i="6"/>
  <c r="Q702" i="6"/>
  <c r="O721" i="6"/>
  <c r="Q1289" i="6"/>
  <c r="Q1286" i="6"/>
  <c r="Q899" i="6"/>
  <c r="Q1252" i="6"/>
  <c r="Q1281" i="6"/>
  <c r="Q1044" i="6"/>
  <c r="Q672" i="6"/>
  <c r="Q1218" i="6"/>
  <c r="Q1151" i="6"/>
  <c r="Q829" i="6"/>
  <c r="O433" i="6"/>
  <c r="O661" i="6"/>
  <c r="Q755" i="6"/>
  <c r="Q542" i="6"/>
  <c r="Q1233" i="6"/>
  <c r="Q977" i="6"/>
  <c r="Q721" i="6"/>
  <c r="Q579" i="6"/>
  <c r="Q1138" i="6"/>
  <c r="Q1136" i="6"/>
  <c r="Q1363" i="6"/>
  <c r="Q1347" i="6"/>
  <c r="Q739" i="6"/>
  <c r="Q1250" i="6"/>
  <c r="Q384" i="6"/>
  <c r="O384" i="6" s="1"/>
  <c r="Q1217" i="6"/>
  <c r="Q961" i="6"/>
  <c r="Q705" i="6"/>
  <c r="Q159" i="6"/>
  <c r="O159" i="6" s="1"/>
  <c r="Q46" i="6"/>
  <c r="O46" i="6" s="1"/>
  <c r="Q1090" i="6"/>
  <c r="Q1376" i="6"/>
  <c r="Q1120" i="6"/>
  <c r="Q864" i="6"/>
  <c r="Q608" i="6"/>
  <c r="O1030" i="6"/>
  <c r="Q1315" i="6"/>
  <c r="Q643" i="6"/>
  <c r="Q1042" i="6"/>
  <c r="Q1359" i="6"/>
  <c r="Q1071" i="6"/>
  <c r="Q783" i="6"/>
  <c r="Q321" i="6"/>
  <c r="O321" i="6" s="1"/>
  <c r="Q1246" i="6"/>
  <c r="Q270" i="6"/>
  <c r="O270" i="6" s="1"/>
  <c r="Q1116" i="6"/>
  <c r="Q796" i="6"/>
  <c r="Q260" i="6"/>
  <c r="O260" i="6" s="1"/>
  <c r="Q596" i="6"/>
  <c r="O1331" i="6"/>
  <c r="Q319" i="6"/>
  <c r="O319" i="6" s="1"/>
  <c r="Q1131" i="6"/>
  <c r="Q827" i="6"/>
  <c r="Q415" i="6"/>
  <c r="Q948" i="6"/>
  <c r="Q1037" i="6"/>
  <c r="Q1226" i="6"/>
  <c r="Q810" i="6"/>
  <c r="Q256" i="6"/>
  <c r="O256" i="6" s="1"/>
  <c r="Q1102" i="6"/>
  <c r="Q877" i="6"/>
  <c r="Q1097" i="6"/>
  <c r="Q729" i="6"/>
  <c r="O549" i="6"/>
  <c r="Q952" i="6"/>
  <c r="Q559" i="6"/>
  <c r="Q1336" i="6"/>
  <c r="Q919" i="6"/>
  <c r="Q116" i="6"/>
  <c r="O116" i="6" s="1"/>
  <c r="Q1078" i="6"/>
  <c r="Q548" i="6"/>
  <c r="Q1269" i="6"/>
  <c r="Q661" i="6"/>
  <c r="Q221" i="6"/>
  <c r="O221" i="6" s="1"/>
  <c r="Q396" i="6"/>
  <c r="O396" i="6" s="1"/>
  <c r="Q411" i="6"/>
  <c r="O411" i="6" s="1"/>
  <c r="Q330" i="6"/>
  <c r="O330" i="6" s="1"/>
  <c r="Q345" i="6"/>
  <c r="O345" i="6" s="1"/>
  <c r="Q360" i="6"/>
  <c r="O360" i="6" s="1"/>
  <c r="Q311" i="6"/>
  <c r="O311" i="6" s="1"/>
  <c r="O1256" i="6"/>
  <c r="Q291" i="6"/>
  <c r="O291" i="6" s="1"/>
  <c r="O906" i="6"/>
  <c r="Q868" i="6"/>
  <c r="Q944" i="6"/>
  <c r="O1368" i="6"/>
  <c r="Q1283" i="6"/>
  <c r="Q767" i="6"/>
  <c r="O606" i="6"/>
  <c r="Q206" i="6"/>
  <c r="O206" i="6" s="1"/>
  <c r="Q207" i="6"/>
  <c r="O207" i="6" s="1"/>
  <c r="Q1115" i="6"/>
  <c r="Q811" i="6"/>
  <c r="Q366" i="6"/>
  <c r="O366" i="6" s="1"/>
  <c r="Q1310" i="6"/>
  <c r="Q989" i="6"/>
  <c r="Q1210" i="6"/>
  <c r="Q794" i="6"/>
  <c r="Q1038" i="6"/>
  <c r="Q813" i="6"/>
  <c r="Q1081" i="6"/>
  <c r="Q713" i="6"/>
  <c r="O405" i="6"/>
  <c r="Q936" i="6"/>
  <c r="Q190" i="6"/>
  <c r="O190" i="6" s="1"/>
  <c r="Q1367" i="6"/>
  <c r="Q903" i="6"/>
  <c r="Q52" i="6"/>
  <c r="O52" i="6" s="1"/>
  <c r="Q1062" i="6"/>
  <c r="Q497" i="6"/>
  <c r="Q1237" i="6"/>
  <c r="Q645" i="6"/>
  <c r="Q189" i="6"/>
  <c r="O189" i="6" s="1"/>
  <c r="Q316" i="6"/>
  <c r="O316" i="6" s="1"/>
  <c r="Q251" i="6"/>
  <c r="O251" i="6" s="1"/>
  <c r="Q314" i="6"/>
  <c r="O314" i="6" s="1"/>
  <c r="Q329" i="6"/>
  <c r="O329" i="6" s="1"/>
  <c r="Q344" i="6"/>
  <c r="O344" i="6" s="1"/>
  <c r="Q103" i="6"/>
  <c r="O103" i="6" s="1"/>
  <c r="O931" i="6"/>
  <c r="Q259" i="6"/>
  <c r="O259" i="6" s="1"/>
  <c r="O890" i="6"/>
  <c r="O608" i="6"/>
  <c r="Q1275" i="6"/>
  <c r="Q1322" i="6"/>
  <c r="Q841" i="6"/>
  <c r="Q647" i="6"/>
  <c r="Q690" i="6"/>
  <c r="Q1200" i="6"/>
  <c r="Q804" i="6"/>
  <c r="Q769" i="6"/>
  <c r="Q286" i="6"/>
  <c r="O286" i="6" s="1"/>
  <c r="Q1299" i="6"/>
  <c r="Q1202" i="6"/>
  <c r="Q1201" i="6"/>
  <c r="Q689" i="6"/>
  <c r="Q1026" i="6"/>
  <c r="Q1360" i="6"/>
  <c r="Q848" i="6"/>
  <c r="Q592" i="6"/>
  <c r="O917" i="6"/>
  <c r="Q1010" i="6"/>
  <c r="Q1327" i="6"/>
  <c r="Q1055" i="6"/>
  <c r="Q272" i="6"/>
  <c r="O272" i="6" s="1"/>
  <c r="Q1166" i="6"/>
  <c r="Q1100" i="6"/>
  <c r="Q764" i="6"/>
  <c r="Q288" i="6"/>
  <c r="O288" i="6" s="1"/>
  <c r="Q192" i="6"/>
  <c r="O192" i="6" s="1"/>
  <c r="Q1267" i="6"/>
  <c r="Q659" i="6"/>
  <c r="Q1170" i="6"/>
  <c r="Q32" i="6"/>
  <c r="O32" i="6" s="1"/>
  <c r="Q1185" i="6"/>
  <c r="Q929" i="6"/>
  <c r="Q673" i="6"/>
  <c r="Q31" i="6"/>
  <c r="O31" i="6" s="1"/>
  <c r="Q1331" i="6"/>
  <c r="Q978" i="6"/>
  <c r="Q1344" i="6"/>
  <c r="Q1088" i="6"/>
  <c r="Q832" i="6"/>
  <c r="Q575" i="6"/>
  <c r="O774" i="6"/>
  <c r="Q1251" i="6"/>
  <c r="Q578" i="6"/>
  <c r="Q930" i="6"/>
  <c r="Q1311" i="6"/>
  <c r="Q1039" i="6"/>
  <c r="Q751" i="6"/>
  <c r="Q212" i="6"/>
  <c r="O212" i="6" s="1"/>
  <c r="Q1118" i="6"/>
  <c r="Q1372" i="6"/>
  <c r="Q1068" i="6"/>
  <c r="Q748" i="6"/>
  <c r="Q142" i="6"/>
  <c r="O142" i="6" s="1"/>
  <c r="O805" i="6"/>
  <c r="O751" i="6"/>
  <c r="O1221" i="6"/>
  <c r="Q1099" i="6"/>
  <c r="Q795" i="6"/>
  <c r="Q308" i="6"/>
  <c r="O308" i="6" s="1"/>
  <c r="Q1262" i="6"/>
  <c r="Q941" i="6"/>
  <c r="Q1114" i="6"/>
  <c r="Q778" i="6"/>
  <c r="Q128" i="6"/>
  <c r="O128" i="6" s="1"/>
  <c r="Q958" i="6"/>
  <c r="Q733" i="6"/>
  <c r="Q1065" i="6"/>
  <c r="Q617" i="6"/>
  <c r="O894" i="6"/>
  <c r="Q920" i="6"/>
  <c r="Q126" i="6"/>
  <c r="O126" i="6" s="1"/>
  <c r="Q1351" i="6"/>
  <c r="Q887" i="6"/>
  <c r="O1383" i="6"/>
  <c r="Q1046" i="6"/>
  <c r="Q448" i="6"/>
  <c r="Q1221" i="6"/>
  <c r="Q629" i="6"/>
  <c r="Q45" i="6"/>
  <c r="O45" i="6" s="1"/>
  <c r="Q108" i="6"/>
  <c r="O108" i="6" s="1"/>
  <c r="Q235" i="6"/>
  <c r="O235" i="6" s="1"/>
  <c r="Q298" i="6"/>
  <c r="O298" i="6" s="1"/>
  <c r="Q313" i="6"/>
  <c r="O313" i="6" s="1"/>
  <c r="Q232" i="6"/>
  <c r="O232" i="6" s="1"/>
  <c r="O1259" i="6"/>
  <c r="O901" i="6"/>
  <c r="Q243" i="6"/>
  <c r="O243" i="6" s="1"/>
  <c r="O874" i="6"/>
  <c r="Q939" i="6"/>
  <c r="Q1261" i="6"/>
  <c r="Q917" i="6"/>
  <c r="Q1297" i="6"/>
  <c r="Q785" i="6"/>
  <c r="O660" i="6"/>
  <c r="Q928" i="6"/>
  <c r="Q707" i="6"/>
  <c r="Q224" i="6"/>
  <c r="O224" i="6" s="1"/>
  <c r="Q945" i="6"/>
  <c r="Q95" i="6"/>
  <c r="O95" i="6" s="1"/>
  <c r="Q1104" i="6"/>
  <c r="Q611" i="6"/>
  <c r="O1230" i="6"/>
  <c r="Q1203" i="6"/>
  <c r="Q627" i="6"/>
  <c r="Q1106" i="6"/>
  <c r="O1253" i="6"/>
  <c r="Q1169" i="6"/>
  <c r="Q913" i="6"/>
  <c r="Q657" i="6"/>
  <c r="O1349" i="6"/>
  <c r="Q1235" i="6"/>
  <c r="Q914" i="6"/>
  <c r="Q1328" i="6"/>
  <c r="Q1072" i="6"/>
  <c r="Q816" i="6"/>
  <c r="Q529" i="6"/>
  <c r="O630" i="6"/>
  <c r="Q1219" i="6"/>
  <c r="Q385" i="6"/>
  <c r="O385" i="6" s="1"/>
  <c r="Q898" i="6"/>
  <c r="Q1295" i="6"/>
  <c r="Q1023" i="6"/>
  <c r="Q735" i="6"/>
  <c r="Q148" i="6"/>
  <c r="O148" i="6" s="1"/>
  <c r="Q1054" i="6"/>
  <c r="Q1356" i="6"/>
  <c r="Q1052" i="6"/>
  <c r="Q732" i="6"/>
  <c r="Q78" i="6"/>
  <c r="O78" i="6" s="1"/>
  <c r="Q1326" i="6"/>
  <c r="Q1245" i="6"/>
  <c r="O750" i="6"/>
  <c r="Q1083" i="6"/>
  <c r="Q779" i="6"/>
  <c r="Q257" i="6"/>
  <c r="O257" i="6" s="1"/>
  <c r="Q1182" i="6"/>
  <c r="Q861" i="6"/>
  <c r="Q1098" i="6"/>
  <c r="Q762" i="6"/>
  <c r="O864" i="6"/>
  <c r="Q910" i="6"/>
  <c r="Q685" i="6"/>
  <c r="Q1049" i="6"/>
  <c r="Q601" i="6"/>
  <c r="Q1368" i="6"/>
  <c r="Q904" i="6"/>
  <c r="Q62" i="6"/>
  <c r="O62" i="6" s="1"/>
  <c r="Q1239" i="6"/>
  <c r="Q855" i="6"/>
  <c r="O1192" i="6"/>
  <c r="Q1030" i="6"/>
  <c r="Q399" i="6"/>
  <c r="O399" i="6" s="1"/>
  <c r="Q1205" i="6"/>
  <c r="Q613" i="6"/>
  <c r="O1382" i="6"/>
  <c r="Q92" i="6"/>
  <c r="O92" i="6" s="1"/>
  <c r="Q219" i="6"/>
  <c r="O219" i="6" s="1"/>
  <c r="Q282" i="6"/>
  <c r="O282" i="6" s="1"/>
  <c r="Q233" i="6"/>
  <c r="O233" i="6" s="1"/>
  <c r="Q40" i="6"/>
  <c r="O40" i="6" s="1"/>
  <c r="O1233" i="6"/>
  <c r="O619" i="6"/>
  <c r="O641" i="6"/>
  <c r="O640" i="6"/>
  <c r="O806" i="6"/>
  <c r="O882" i="6"/>
  <c r="O1005" i="6"/>
  <c r="O924" i="6"/>
  <c r="O826" i="6"/>
  <c r="O745" i="6"/>
  <c r="O424" i="6"/>
  <c r="O782" i="6"/>
  <c r="O866" i="6"/>
  <c r="O829" i="6"/>
  <c r="O748" i="6"/>
  <c r="O650" i="6"/>
  <c r="O569" i="6"/>
  <c r="O1175" i="6"/>
  <c r="O752" i="6"/>
  <c r="O818" i="6"/>
  <c r="O813" i="6"/>
  <c r="O732" i="6"/>
  <c r="O634" i="6"/>
  <c r="O553" i="6"/>
  <c r="O1159" i="6"/>
  <c r="O1143" i="6"/>
  <c r="O1095" i="6"/>
  <c r="O1278" i="6"/>
  <c r="O642" i="6"/>
  <c r="O573" i="6"/>
  <c r="O492" i="6"/>
  <c r="O1337" i="6"/>
  <c r="O1016" i="6"/>
  <c r="O919" i="6"/>
  <c r="O1251" i="6"/>
  <c r="O1330" i="6"/>
  <c r="O626" i="6"/>
  <c r="O557" i="6"/>
  <c r="O476" i="6"/>
  <c r="O1321" i="6"/>
  <c r="O1000" i="6"/>
  <c r="O903" i="6"/>
  <c r="O1183" i="6"/>
  <c r="O875" i="6"/>
  <c r="Q437" i="6"/>
  <c r="Q37" i="6"/>
  <c r="O37" i="6" s="1"/>
  <c r="O673" i="6"/>
  <c r="Q515" i="6"/>
  <c r="Q51" i="6"/>
  <c r="O51" i="6" s="1"/>
  <c r="O469" i="6"/>
  <c r="O1224" i="6"/>
  <c r="O1370" i="6"/>
  <c r="O1314" i="6"/>
  <c r="O610" i="6"/>
  <c r="O541" i="6"/>
  <c r="O460" i="6"/>
  <c r="O1305" i="6"/>
  <c r="O984" i="6"/>
  <c r="O887" i="6"/>
  <c r="O1286" i="6"/>
  <c r="O795" i="6"/>
  <c r="Q488" i="6"/>
  <c r="Q200" i="6"/>
  <c r="O200" i="6" s="1"/>
  <c r="O1262" i="6"/>
  <c r="O766" i="6"/>
  <c r="Q535" i="6"/>
  <c r="Q167" i="6"/>
  <c r="O167" i="6" s="1"/>
  <c r="O1156" i="6"/>
  <c r="O592" i="6"/>
  <c r="Q310" i="6"/>
  <c r="O310" i="6" s="1"/>
  <c r="O1375" i="6"/>
  <c r="O847" i="6"/>
  <c r="Q421" i="6"/>
  <c r="Q21" i="6"/>
  <c r="O21" i="6" s="1"/>
  <c r="O644" i="6"/>
  <c r="Q499" i="6"/>
  <c r="Q35" i="6"/>
  <c r="O35" i="6" s="1"/>
  <c r="O443" i="6"/>
  <c r="O1150" i="6"/>
  <c r="O1350" i="6"/>
  <c r="O1298" i="6"/>
  <c r="O562" i="6"/>
  <c r="O493" i="6"/>
  <c r="O1338" i="6"/>
  <c r="O1257" i="6"/>
  <c r="O936" i="6"/>
  <c r="O839" i="6"/>
  <c r="Q1334" i="6"/>
  <c r="Q1317" i="6"/>
  <c r="Q1045" i="6"/>
  <c r="Q445" i="6"/>
  <c r="Q157" i="6"/>
  <c r="O157" i="6" s="1"/>
  <c r="O1190" i="6"/>
  <c r="O688" i="6"/>
  <c r="Q476" i="6"/>
  <c r="Q156" i="6"/>
  <c r="O156" i="6" s="1"/>
  <c r="O1189" i="6"/>
  <c r="O687" i="6"/>
  <c r="Q491" i="6"/>
  <c r="Q203" i="6"/>
  <c r="O203" i="6" s="1"/>
  <c r="O1265" i="6"/>
  <c r="O769" i="6"/>
  <c r="Q490" i="6"/>
  <c r="Q202" i="6"/>
  <c r="O202" i="6" s="1"/>
  <c r="O1264" i="6"/>
  <c r="O768" i="6"/>
  <c r="Q489" i="6"/>
  <c r="Q201" i="6"/>
  <c r="O201" i="6" s="1"/>
  <c r="O1263" i="6"/>
  <c r="O708" i="6"/>
  <c r="Q472" i="6"/>
  <c r="Q184" i="6"/>
  <c r="O184" i="6" s="1"/>
  <c r="O1235" i="6"/>
  <c r="O736" i="6"/>
  <c r="Q519" i="6"/>
  <c r="Q151" i="6"/>
  <c r="O151" i="6" s="1"/>
  <c r="O1131" i="6"/>
  <c r="O563" i="6"/>
  <c r="Q294" i="6"/>
  <c r="O294" i="6" s="1"/>
  <c r="O1358" i="6"/>
  <c r="O817" i="6"/>
  <c r="Q405" i="6"/>
  <c r="O1281" i="6"/>
  <c r="O590" i="6"/>
  <c r="Q483" i="6"/>
  <c r="O1372" i="6"/>
  <c r="Q450" i="6"/>
  <c r="O1123" i="6"/>
  <c r="O1327" i="6"/>
  <c r="O1154" i="6"/>
  <c r="O1341" i="6"/>
  <c r="O1260" i="6"/>
  <c r="O1162" i="6"/>
  <c r="O1081" i="6"/>
  <c r="O760" i="6"/>
  <c r="O663" i="6"/>
  <c r="O1167" i="6"/>
  <c r="O659" i="6"/>
  <c r="Q460" i="6"/>
  <c r="Q140" i="6"/>
  <c r="O140" i="6" s="1"/>
  <c r="O1166" i="6"/>
  <c r="O657" i="6"/>
  <c r="Q475" i="6"/>
  <c r="Q187" i="6"/>
  <c r="O187" i="6" s="1"/>
  <c r="O1238" i="6"/>
  <c r="O740" i="6"/>
  <c r="Q474" i="6"/>
  <c r="Q186" i="6"/>
  <c r="O186" i="6" s="1"/>
  <c r="O1237" i="6"/>
  <c r="O739" i="6"/>
  <c r="Q473" i="6"/>
  <c r="Q185" i="6"/>
  <c r="O185" i="6" s="1"/>
  <c r="O1236" i="6"/>
  <c r="O678" i="6"/>
  <c r="Q456" i="6"/>
  <c r="Q168" i="6"/>
  <c r="O168" i="6" s="1"/>
  <c r="O1208" i="6"/>
  <c r="O707" i="6"/>
  <c r="Q503" i="6"/>
  <c r="Q135" i="6"/>
  <c r="O135" i="6" s="1"/>
  <c r="O1104" i="6"/>
  <c r="O533" i="6"/>
  <c r="Q278" i="6"/>
  <c r="O278" i="6" s="1"/>
  <c r="O1333" i="6"/>
  <c r="O788" i="6"/>
  <c r="Q373" i="6"/>
  <c r="O1254" i="6"/>
  <c r="O560" i="6"/>
  <c r="Q467" i="6"/>
  <c r="O1352" i="6"/>
  <c r="Q434" i="6"/>
  <c r="O1093" i="6"/>
  <c r="O1249" i="6"/>
  <c r="O1138" i="6"/>
  <c r="O1325" i="6"/>
  <c r="O1244" i="6"/>
  <c r="O1146" i="6"/>
  <c r="O1065" i="6"/>
  <c r="O744" i="6"/>
  <c r="O647" i="6"/>
  <c r="O1296" i="6"/>
  <c r="Q1302" i="6"/>
  <c r="Q1204" i="6"/>
  <c r="Q1285" i="6"/>
  <c r="O1369" i="6"/>
  <c r="O1140" i="6"/>
  <c r="O629" i="6"/>
  <c r="Q412" i="6"/>
  <c r="O412" i="6" s="1"/>
  <c r="Q124" i="6"/>
  <c r="O124" i="6" s="1"/>
  <c r="O1139" i="6"/>
  <c r="O628" i="6"/>
  <c r="Q459" i="6"/>
  <c r="Q171" i="6"/>
  <c r="O171" i="6" s="1"/>
  <c r="O1215" i="6"/>
  <c r="O656" i="6"/>
  <c r="Q458" i="6"/>
  <c r="Q170" i="6"/>
  <c r="O170" i="6" s="1"/>
  <c r="O1214" i="6"/>
  <c r="O709" i="6"/>
  <c r="Q457" i="6"/>
  <c r="Q169" i="6"/>
  <c r="O169" i="6" s="1"/>
  <c r="O1158" i="6"/>
  <c r="O654" i="6"/>
  <c r="Q440" i="6"/>
  <c r="Q152" i="6"/>
  <c r="O152" i="6" s="1"/>
  <c r="O1184" i="6"/>
  <c r="O677" i="6"/>
  <c r="Q487" i="6"/>
  <c r="Q119" i="6"/>
  <c r="O119" i="6" s="1"/>
  <c r="O1075" i="6"/>
  <c r="O507" i="6"/>
  <c r="Q262" i="6"/>
  <c r="O262" i="6" s="1"/>
  <c r="O1310" i="6"/>
  <c r="O758" i="6"/>
  <c r="Q357" i="6"/>
  <c r="O357" i="6" s="1"/>
  <c r="O1231" i="6"/>
  <c r="O869" i="6"/>
  <c r="Q435" i="6"/>
  <c r="O1329" i="6"/>
  <c r="Q418" i="6"/>
  <c r="O837" i="6"/>
  <c r="O1222" i="6"/>
  <c r="O1122" i="6"/>
  <c r="O1309" i="6"/>
  <c r="O1228" i="6"/>
  <c r="O1130" i="6"/>
  <c r="O1049" i="6"/>
  <c r="O728" i="6"/>
  <c r="P2" i="6"/>
  <c r="Q2" i="6" s="1"/>
  <c r="O2" i="6" s="1"/>
  <c r="O423" i="6"/>
  <c r="O679" i="6"/>
  <c r="O935" i="6"/>
  <c r="O1191" i="6"/>
  <c r="O520" i="6"/>
  <c r="O776" i="6"/>
  <c r="O1032" i="6"/>
  <c r="O585" i="6"/>
  <c r="O841" i="6"/>
  <c r="O1097" i="6"/>
  <c r="O1353" i="6"/>
  <c r="O666" i="6"/>
  <c r="O922" i="6"/>
  <c r="O1178" i="6"/>
  <c r="O508" i="6"/>
  <c r="O764" i="6"/>
  <c r="O1020" i="6"/>
  <c r="O1276" i="6"/>
  <c r="O589" i="6"/>
  <c r="O845" i="6"/>
  <c r="O1101" i="6"/>
  <c r="O1357" i="6"/>
  <c r="O658" i="6"/>
  <c r="O914" i="6"/>
  <c r="O1170" i="6"/>
  <c r="O526" i="6"/>
  <c r="O979" i="6"/>
  <c r="O1386" i="6"/>
  <c r="O414" i="6"/>
  <c r="O867" i="6"/>
  <c r="O1301" i="6"/>
  <c r="Q210" i="6"/>
  <c r="O210" i="6" s="1"/>
  <c r="Q466" i="6"/>
  <c r="O671" i="6"/>
  <c r="O1124" i="6"/>
  <c r="Q83" i="6"/>
  <c r="O83" i="6" s="1"/>
  <c r="Q339" i="6"/>
  <c r="O339" i="6" s="1"/>
  <c r="O446" i="6"/>
  <c r="O417" i="6"/>
  <c r="O870" i="6"/>
  <c r="O1307" i="6"/>
  <c r="Q197" i="6"/>
  <c r="O197" i="6" s="1"/>
  <c r="Q453" i="6"/>
  <c r="O645" i="6"/>
  <c r="O1103" i="6"/>
  <c r="Q70" i="6"/>
  <c r="O70" i="6" s="1"/>
  <c r="Q326" i="6"/>
  <c r="O326" i="6" s="1"/>
  <c r="O848" i="6"/>
  <c r="O1284" i="6"/>
  <c r="Q183" i="6"/>
  <c r="O183" i="6" s="1"/>
  <c r="Q439" i="6"/>
  <c r="O534" i="6"/>
  <c r="O992" i="6"/>
  <c r="Q8" i="6"/>
  <c r="O8" i="6" s="1"/>
  <c r="Q264" i="6"/>
  <c r="O264" i="6" s="1"/>
  <c r="Q520" i="6"/>
  <c r="O737" i="6"/>
  <c r="O1185" i="6"/>
  <c r="Q121" i="6"/>
  <c r="O121" i="6" s="1"/>
  <c r="Q377" i="6"/>
  <c r="O377" i="6" s="1"/>
  <c r="O512" i="6"/>
  <c r="O965" i="6"/>
  <c r="O1379" i="6"/>
  <c r="Q250" i="6"/>
  <c r="O250" i="6" s="1"/>
  <c r="Q506" i="6"/>
  <c r="O686" i="6"/>
  <c r="O1137" i="6"/>
  <c r="Q91" i="6"/>
  <c r="O91" i="6" s="1"/>
  <c r="Q347" i="6"/>
  <c r="O347" i="6" s="1"/>
  <c r="O830" i="6"/>
  <c r="O1267" i="6"/>
  <c r="Q172" i="6"/>
  <c r="O172" i="6" s="1"/>
  <c r="Q428" i="6"/>
  <c r="O545" i="6"/>
  <c r="O998" i="6"/>
  <c r="Q13" i="6"/>
  <c r="O13" i="6" s="1"/>
  <c r="Q269" i="6"/>
  <c r="O269" i="6" s="1"/>
  <c r="Q525" i="6"/>
  <c r="Q289" i="6"/>
  <c r="O289" i="6" s="1"/>
  <c r="Q741" i="6"/>
  <c r="Q997" i="6"/>
  <c r="Q1253" i="6"/>
  <c r="Q884" i="6"/>
  <c r="O439" i="6"/>
  <c r="O695" i="6"/>
  <c r="O951" i="6"/>
  <c r="O1207" i="6"/>
  <c r="O536" i="6"/>
  <c r="O792" i="6"/>
  <c r="O1048" i="6"/>
  <c r="O601" i="6"/>
  <c r="O857" i="6"/>
  <c r="O1113" i="6"/>
  <c r="O426" i="6"/>
  <c r="O682" i="6"/>
  <c r="O938" i="6"/>
  <c r="O1194" i="6"/>
  <c r="O524" i="6"/>
  <c r="O780" i="6"/>
  <c r="O1036" i="6"/>
  <c r="O1292" i="6"/>
  <c r="O605" i="6"/>
  <c r="O861" i="6"/>
  <c r="O1117" i="6"/>
  <c r="O418" i="6"/>
  <c r="O674" i="6"/>
  <c r="O930" i="6"/>
  <c r="O1186" i="6"/>
  <c r="O550" i="6"/>
  <c r="O1008" i="6"/>
  <c r="Q17" i="6"/>
  <c r="O17" i="6" s="1"/>
  <c r="O438" i="6"/>
  <c r="O896" i="6"/>
  <c r="O1328" i="6"/>
  <c r="Q226" i="6"/>
  <c r="O226" i="6" s="1"/>
  <c r="Q482" i="6"/>
  <c r="O699" i="6"/>
  <c r="O1151" i="6"/>
  <c r="Q99" i="6"/>
  <c r="O99" i="6" s="1"/>
  <c r="Q355" i="6"/>
  <c r="O355" i="6" s="1"/>
  <c r="O470" i="6"/>
  <c r="O447" i="6"/>
  <c r="O900" i="6"/>
  <c r="O1332" i="6"/>
  <c r="Q213" i="6"/>
  <c r="O213" i="6" s="1"/>
  <c r="Q469" i="6"/>
  <c r="O675" i="6"/>
  <c r="O1128" i="6"/>
  <c r="Q86" i="6"/>
  <c r="O86" i="6" s="1"/>
  <c r="Q342" i="6"/>
  <c r="O342" i="6" s="1"/>
  <c r="O420" i="6"/>
  <c r="O878" i="6"/>
  <c r="O1311" i="6"/>
  <c r="Q199" i="6"/>
  <c r="O199" i="6" s="1"/>
  <c r="Q455" i="6"/>
  <c r="O564" i="6"/>
  <c r="O1022" i="6"/>
  <c r="Q24" i="6"/>
  <c r="O24" i="6" s="1"/>
  <c r="Q280" i="6"/>
  <c r="O280" i="6" s="1"/>
  <c r="Q536" i="6"/>
  <c r="O767" i="6"/>
  <c r="O1211" i="6"/>
  <c r="Q137" i="6"/>
  <c r="O137" i="6" s="1"/>
  <c r="Q393" i="6"/>
  <c r="O393" i="6" s="1"/>
  <c r="O542" i="6"/>
  <c r="O995" i="6"/>
  <c r="Q10" i="6"/>
  <c r="O10" i="6" s="1"/>
  <c r="Q266" i="6"/>
  <c r="O266" i="6" s="1"/>
  <c r="Q522" i="6"/>
  <c r="O710" i="6"/>
  <c r="O1163" i="6"/>
  <c r="Q107" i="6"/>
  <c r="O107" i="6" s="1"/>
  <c r="Q363" i="6"/>
  <c r="O363" i="6" s="1"/>
  <c r="O854" i="6"/>
  <c r="O1294" i="6"/>
  <c r="Q188" i="6"/>
  <c r="O188" i="6" s="1"/>
  <c r="Q444" i="6"/>
  <c r="O575" i="6"/>
  <c r="O1028" i="6"/>
  <c r="Q29" i="6"/>
  <c r="O29" i="6" s="1"/>
  <c r="Q285" i="6"/>
  <c r="O285" i="6" s="1"/>
  <c r="Q541" i="6"/>
  <c r="Q340" i="6"/>
  <c r="O340" i="6" s="1"/>
  <c r="Q757" i="6"/>
  <c r="Q1013" i="6"/>
  <c r="O455" i="6"/>
  <c r="O711" i="6"/>
  <c r="O967" i="6"/>
  <c r="O1223" i="6"/>
  <c r="O552" i="6"/>
  <c r="O808" i="6"/>
  <c r="O1064" i="6"/>
  <c r="O617" i="6"/>
  <c r="O873" i="6"/>
  <c r="O1129" i="6"/>
  <c r="O442" i="6"/>
  <c r="O698" i="6"/>
  <c r="O954" i="6"/>
  <c r="O1210" i="6"/>
  <c r="O540" i="6"/>
  <c r="O796" i="6"/>
  <c r="O1052" i="6"/>
  <c r="O1308" i="6"/>
  <c r="O621" i="6"/>
  <c r="O877" i="6"/>
  <c r="O1133" i="6"/>
  <c r="O434" i="6"/>
  <c r="O690" i="6"/>
  <c r="O946" i="6"/>
  <c r="O1202" i="6"/>
  <c r="O580" i="6"/>
  <c r="O1038" i="6"/>
  <c r="Q33" i="6"/>
  <c r="O33" i="6" s="1"/>
  <c r="O468" i="6"/>
  <c r="O926" i="6"/>
  <c r="O1351" i="6"/>
  <c r="Q242" i="6"/>
  <c r="O242" i="6" s="1"/>
  <c r="Q498" i="6"/>
  <c r="O725" i="6"/>
  <c r="O1174" i="6"/>
  <c r="Q115" i="6"/>
  <c r="O115" i="6" s="1"/>
  <c r="Q371" i="6"/>
  <c r="O500" i="6"/>
  <c r="O475" i="6"/>
  <c r="O929" i="6"/>
  <c r="O1355" i="6"/>
  <c r="Q229" i="6"/>
  <c r="O229" i="6" s="1"/>
  <c r="Q485" i="6"/>
  <c r="O704" i="6"/>
  <c r="O1155" i="6"/>
  <c r="Q102" i="6"/>
  <c r="O102" i="6" s="1"/>
  <c r="Q358" i="6"/>
  <c r="O358" i="6" s="1"/>
  <c r="O449" i="6"/>
  <c r="O902" i="6"/>
  <c r="O1334" i="6"/>
  <c r="Q215" i="6"/>
  <c r="O215" i="6" s="1"/>
  <c r="Q471" i="6"/>
  <c r="O471" i="6"/>
  <c r="O727" i="6"/>
  <c r="O983" i="6"/>
  <c r="O1239" i="6"/>
  <c r="O568" i="6"/>
  <c r="O824" i="6"/>
  <c r="O1080" i="6"/>
  <c r="O633" i="6"/>
  <c r="O889" i="6"/>
  <c r="O1145" i="6"/>
  <c r="O458" i="6"/>
  <c r="O714" i="6"/>
  <c r="O970" i="6"/>
  <c r="O1226" i="6"/>
  <c r="O556" i="6"/>
  <c r="O812" i="6"/>
  <c r="O1068" i="6"/>
  <c r="O1324" i="6"/>
  <c r="O637" i="6"/>
  <c r="O893" i="6"/>
  <c r="O1149" i="6"/>
  <c r="O450" i="6"/>
  <c r="O706" i="6"/>
  <c r="O962" i="6"/>
  <c r="O1218" i="6"/>
  <c r="O609" i="6"/>
  <c r="O1062" i="6"/>
  <c r="Q49" i="6"/>
  <c r="O49" i="6" s="1"/>
  <c r="O497" i="6"/>
  <c r="O950" i="6"/>
  <c r="O1371" i="6"/>
  <c r="Q258" i="6"/>
  <c r="O258" i="6" s="1"/>
  <c r="Q514" i="6"/>
  <c r="O755" i="6"/>
  <c r="O1201" i="6"/>
  <c r="Q131" i="6"/>
  <c r="O131" i="6" s="1"/>
  <c r="Q387" i="6"/>
  <c r="O387" i="6" s="1"/>
  <c r="O529" i="6"/>
  <c r="O501" i="6"/>
  <c r="O959" i="6"/>
  <c r="O1374" i="6"/>
  <c r="Q245" i="6"/>
  <c r="O245" i="6" s="1"/>
  <c r="Q501" i="6"/>
  <c r="O734" i="6"/>
  <c r="O1182" i="6"/>
  <c r="Q118" i="6"/>
  <c r="O118" i="6" s="1"/>
  <c r="Q374" i="6"/>
  <c r="O479" i="6"/>
  <c r="O932" i="6"/>
  <c r="O1359" i="6"/>
  <c r="Q231" i="6"/>
  <c r="O231" i="6" s="1"/>
  <c r="O487" i="6"/>
  <c r="O743" i="6"/>
  <c r="O999" i="6"/>
  <c r="O1255" i="6"/>
  <c r="O584" i="6"/>
  <c r="O840" i="6"/>
  <c r="O1096" i="6"/>
  <c r="O649" i="6"/>
  <c r="O905" i="6"/>
  <c r="O1161" i="6"/>
  <c r="O474" i="6"/>
  <c r="O730" i="6"/>
  <c r="O986" i="6"/>
  <c r="O1242" i="6"/>
  <c r="O572" i="6"/>
  <c r="O828" i="6"/>
  <c r="O1084" i="6"/>
  <c r="O1340" i="6"/>
  <c r="O653" i="6"/>
  <c r="O909" i="6"/>
  <c r="O1165" i="6"/>
  <c r="O466" i="6"/>
  <c r="O722" i="6"/>
  <c r="O978" i="6"/>
  <c r="O1234" i="6"/>
  <c r="O639" i="6"/>
  <c r="O1092" i="6"/>
  <c r="Q65" i="6"/>
  <c r="O65" i="6" s="1"/>
  <c r="O527" i="6"/>
  <c r="O980" i="6"/>
  <c r="Q18" i="6"/>
  <c r="O18" i="6" s="1"/>
  <c r="Q274" i="6"/>
  <c r="O274" i="6" s="1"/>
  <c r="Q530" i="6"/>
  <c r="O784" i="6"/>
  <c r="O1227" i="6"/>
  <c r="Q147" i="6"/>
  <c r="O147" i="6" s="1"/>
  <c r="Q403" i="6"/>
  <c r="O559" i="6"/>
  <c r="O531" i="6"/>
  <c r="O987" i="6"/>
  <c r="Q5" i="6"/>
  <c r="O5" i="6" s="1"/>
  <c r="Q261" i="6"/>
  <c r="O261" i="6" s="1"/>
  <c r="Q517" i="6"/>
  <c r="O503" i="6"/>
  <c r="O759" i="6"/>
  <c r="O1015" i="6"/>
  <c r="O1271" i="6"/>
  <c r="O600" i="6"/>
  <c r="O856" i="6"/>
  <c r="O1112" i="6"/>
  <c r="O665" i="6"/>
  <c r="O921" i="6"/>
  <c r="O1177" i="6"/>
  <c r="O490" i="6"/>
  <c r="O746" i="6"/>
  <c r="O1002" i="6"/>
  <c r="O1258" i="6"/>
  <c r="O588" i="6"/>
  <c r="O844" i="6"/>
  <c r="O1100" i="6"/>
  <c r="O1356" i="6"/>
  <c r="O669" i="6"/>
  <c r="O925" i="6"/>
  <c r="O1181" i="6"/>
  <c r="O482" i="6"/>
  <c r="O738" i="6"/>
  <c r="O994" i="6"/>
  <c r="O1250" i="6"/>
  <c r="O667" i="6"/>
  <c r="O1121" i="6"/>
  <c r="Q81" i="6"/>
  <c r="O81" i="6" s="1"/>
  <c r="O555" i="6"/>
  <c r="O1009" i="6"/>
  <c r="Q34" i="6"/>
  <c r="O34" i="6" s="1"/>
  <c r="Q290" i="6"/>
  <c r="O290" i="6" s="1"/>
  <c r="Q546" i="6"/>
  <c r="O814" i="6"/>
  <c r="O519" i="6"/>
  <c r="O775" i="6"/>
  <c r="O1031" i="6"/>
  <c r="O1287" i="6"/>
  <c r="O616" i="6"/>
  <c r="O872" i="6"/>
  <c r="O425" i="6"/>
  <c r="O681" i="6"/>
  <c r="O937" i="6"/>
  <c r="O1193" i="6"/>
  <c r="O506" i="6"/>
  <c r="O762" i="6"/>
  <c r="O1018" i="6"/>
  <c r="O1274" i="6"/>
  <c r="O604" i="6"/>
  <c r="O860" i="6"/>
  <c r="O1116" i="6"/>
  <c r="O429" i="6"/>
  <c r="O685" i="6"/>
  <c r="O941" i="6"/>
  <c r="O1197" i="6"/>
  <c r="O498" i="6"/>
  <c r="O754" i="6"/>
  <c r="O1010" i="6"/>
  <c r="O1266" i="6"/>
  <c r="O693" i="6"/>
  <c r="O1147" i="6"/>
  <c r="Q97" i="6"/>
  <c r="O97" i="6" s="1"/>
  <c r="O581" i="6"/>
  <c r="O1039" i="6"/>
  <c r="Q50" i="6"/>
  <c r="O50" i="6" s="1"/>
  <c r="Q306" i="6"/>
  <c r="O306" i="6" s="1"/>
  <c r="Q562" i="6"/>
  <c r="O838" i="6"/>
  <c r="O1279" i="6"/>
  <c r="O535" i="6"/>
  <c r="O791" i="6"/>
  <c r="O1047" i="6"/>
  <c r="O1303" i="6"/>
  <c r="O632" i="6"/>
  <c r="O888" i="6"/>
  <c r="O441" i="6"/>
  <c r="O697" i="6"/>
  <c r="O953" i="6"/>
  <c r="O1209" i="6"/>
  <c r="O522" i="6"/>
  <c r="O778" i="6"/>
  <c r="O1034" i="6"/>
  <c r="O1290" i="6"/>
  <c r="O620" i="6"/>
  <c r="O876" i="6"/>
  <c r="O1132" i="6"/>
  <c r="O445" i="6"/>
  <c r="O701" i="6"/>
  <c r="O957" i="6"/>
  <c r="O1213" i="6"/>
  <c r="O514" i="6"/>
  <c r="O770" i="6"/>
  <c r="O1026" i="6"/>
  <c r="O1282" i="6"/>
  <c r="O723" i="6"/>
  <c r="O1172" i="6"/>
  <c r="Q113" i="6"/>
  <c r="O113" i="6" s="1"/>
  <c r="O611" i="6"/>
  <c r="O1067" i="6"/>
  <c r="Q66" i="6"/>
  <c r="O66" i="6" s="1"/>
  <c r="Q322" i="6"/>
  <c r="O322" i="6" s="1"/>
  <c r="O415" i="6"/>
  <c r="O868" i="6"/>
  <c r="O1302" i="6"/>
  <c r="Q195" i="6"/>
  <c r="O195" i="6" s="1"/>
  <c r="Q451" i="6"/>
  <c r="O643" i="6"/>
  <c r="O614" i="6"/>
  <c r="O1072" i="6"/>
  <c r="Q53" i="6"/>
  <c r="O53" i="6" s="1"/>
  <c r="Q309" i="6"/>
  <c r="O309" i="6" s="1"/>
  <c r="O551" i="6"/>
  <c r="O807" i="6"/>
  <c r="O1063" i="6"/>
  <c r="O1319" i="6"/>
  <c r="O648" i="6"/>
  <c r="O904" i="6"/>
  <c r="O457" i="6"/>
  <c r="O713" i="6"/>
  <c r="O969" i="6"/>
  <c r="O1225" i="6"/>
  <c r="O538" i="6"/>
  <c r="O794" i="6"/>
  <c r="O1050" i="6"/>
  <c r="O1306" i="6"/>
  <c r="O636" i="6"/>
  <c r="O892" i="6"/>
  <c r="O1148" i="6"/>
  <c r="O461" i="6"/>
  <c r="O717" i="6"/>
  <c r="O973" i="6"/>
  <c r="O1229" i="6"/>
  <c r="O530" i="6"/>
  <c r="O567" i="6"/>
  <c r="O823" i="6"/>
  <c r="O1079" i="6"/>
  <c r="O1335" i="6"/>
  <c r="O664" i="6"/>
  <c r="O920" i="6"/>
  <c r="O473" i="6"/>
  <c r="O729" i="6"/>
  <c r="O985" i="6"/>
  <c r="O1241" i="6"/>
  <c r="O554" i="6"/>
  <c r="O810" i="6"/>
  <c r="O1066" i="6"/>
  <c r="O1322" i="6"/>
  <c r="O652" i="6"/>
  <c r="O908" i="6"/>
  <c r="O1164" i="6"/>
  <c r="O477" i="6"/>
  <c r="O733" i="6"/>
  <c r="O989" i="6"/>
  <c r="O1245" i="6"/>
  <c r="O546" i="6"/>
  <c r="O583" i="6"/>
  <c r="O599" i="6"/>
  <c r="O855" i="6"/>
  <c r="O1111" i="6"/>
  <c r="O440" i="6"/>
  <c r="O696" i="6"/>
  <c r="O952" i="6"/>
  <c r="O505" i="6"/>
  <c r="O761" i="6"/>
  <c r="O1017" i="6"/>
  <c r="O1273" i="6"/>
  <c r="O586" i="6"/>
  <c r="O842" i="6"/>
  <c r="O1098" i="6"/>
  <c r="O428" i="6"/>
  <c r="O684" i="6"/>
  <c r="O940" i="6"/>
  <c r="O1196" i="6"/>
  <c r="O509" i="6"/>
  <c r="O765" i="6"/>
  <c r="O1021" i="6"/>
  <c r="O1277" i="6"/>
  <c r="O578" i="6"/>
  <c r="O834" i="6"/>
  <c r="O1090" i="6"/>
  <c r="O1346" i="6"/>
  <c r="O836" i="6"/>
  <c r="O1275" i="6"/>
  <c r="Q177" i="6"/>
  <c r="O177" i="6" s="1"/>
  <c r="O724" i="6"/>
  <c r="O1173" i="6"/>
  <c r="Q130" i="6"/>
  <c r="O130" i="6" s="1"/>
  <c r="Q386" i="6"/>
  <c r="O386" i="6" s="1"/>
  <c r="O528" i="6"/>
  <c r="O981" i="6"/>
  <c r="Q3" i="6"/>
  <c r="O3" i="6" s="1"/>
  <c r="O615" i="6"/>
  <c r="O871" i="6"/>
  <c r="O1127" i="6"/>
  <c r="O456" i="6"/>
  <c r="O712" i="6"/>
  <c r="O968" i="6"/>
  <c r="O521" i="6"/>
  <c r="O777" i="6"/>
  <c r="O1033" i="6"/>
  <c r="O1289" i="6"/>
  <c r="O602" i="6"/>
  <c r="O858" i="6"/>
  <c r="O1114" i="6"/>
  <c r="O444" i="6"/>
  <c r="O700" i="6"/>
  <c r="O956" i="6"/>
  <c r="O1212" i="6"/>
  <c r="O525" i="6"/>
  <c r="O781" i="6"/>
  <c r="O1037" i="6"/>
  <c r="O1293" i="6"/>
  <c r="O594" i="6"/>
  <c r="O850" i="6"/>
  <c r="O1106" i="6"/>
  <c r="O1362" i="6"/>
  <c r="O865" i="6"/>
  <c r="O1300" i="6"/>
  <c r="Q193" i="6"/>
  <c r="O193" i="6" s="1"/>
  <c r="O753" i="6"/>
  <c r="O1200" i="6"/>
  <c r="Q146" i="6"/>
  <c r="O146" i="6" s="1"/>
  <c r="Q402" i="6"/>
  <c r="O402" i="6" s="1"/>
  <c r="O558" i="6"/>
  <c r="O1011" i="6"/>
  <c r="Q19" i="6"/>
  <c r="O19" i="6" s="1"/>
  <c r="Q275" i="6"/>
  <c r="O275" i="6" s="1"/>
  <c r="Q531" i="6"/>
  <c r="O785" i="6"/>
  <c r="O757" i="6"/>
  <c r="O1204" i="6"/>
  <c r="Q133" i="6"/>
  <c r="O133" i="6" s="1"/>
  <c r="Q389" i="6"/>
  <c r="O389" i="6" s="1"/>
  <c r="C4" i="6" l="1"/>
  <c r="AG2" i="6" l="1" a="1"/>
  <c r="AG2" i="6" s="1"/>
  <c r="S2" i="6" s="1" a="1"/>
  <c r="R1112" i="6" l="1"/>
  <c r="T39" i="6"/>
  <c r="R39" i="6" s="1"/>
  <c r="T201" i="6"/>
  <c r="R201" i="6" s="1"/>
  <c r="T158" i="6"/>
  <c r="R158" i="6" s="1"/>
  <c r="T61" i="6"/>
  <c r="R61" i="6" s="1"/>
  <c r="T43" i="6"/>
  <c r="R43" i="6" s="1"/>
  <c r="T392" i="6"/>
  <c r="T72" i="6"/>
  <c r="R72" i="6" s="1"/>
  <c r="T15" i="6"/>
  <c r="R15" i="6" s="1"/>
  <c r="T79" i="6"/>
  <c r="R79" i="6" s="1"/>
  <c r="T40" i="6"/>
  <c r="R40" i="6" s="1"/>
  <c r="T1051" i="6"/>
  <c r="T1636" i="6"/>
  <c r="T1823" i="6"/>
  <c r="R949" i="6"/>
  <c r="T1816" i="6"/>
  <c r="T1453" i="6"/>
  <c r="T1965" i="6"/>
  <c r="T1315" i="6"/>
  <c r="T1700" i="6"/>
  <c r="T1624" i="6"/>
  <c r="T1301" i="6"/>
  <c r="T560" i="6"/>
  <c r="T482" i="6"/>
  <c r="T319" i="6"/>
  <c r="R319" i="6" s="1"/>
  <c r="T437" i="6"/>
  <c r="T1252" i="6"/>
  <c r="R1349" i="6"/>
  <c r="T1212" i="6"/>
  <c r="T1030" i="6"/>
  <c r="T410" i="6"/>
  <c r="T712" i="6"/>
  <c r="T1199" i="6"/>
  <c r="T998" i="6"/>
  <c r="R771" i="6"/>
  <c r="T1825" i="6"/>
  <c r="T286" i="6"/>
  <c r="R286" i="6" s="1"/>
  <c r="T303" i="6"/>
  <c r="R303" i="6" s="1"/>
  <c r="T1056" i="6"/>
  <c r="T244" i="6"/>
  <c r="R244" i="6" s="1"/>
  <c r="T269" i="6"/>
  <c r="R269" i="6" s="1"/>
  <c r="R1318" i="6"/>
  <c r="R755" i="6"/>
  <c r="T1843" i="6"/>
  <c r="T87" i="6"/>
  <c r="R87" i="6" s="1"/>
  <c r="T1196" i="6"/>
  <c r="T762" i="6"/>
  <c r="R959" i="6"/>
  <c r="T653" i="6"/>
  <c r="T1777" i="6"/>
  <c r="R551" i="6"/>
  <c r="T1246" i="6"/>
  <c r="R1028" i="6"/>
  <c r="T1534" i="6"/>
  <c r="T1146" i="6"/>
  <c r="T1187" i="6"/>
  <c r="T1357" i="6"/>
  <c r="R837" i="6"/>
  <c r="R1006" i="6"/>
  <c r="R913" i="6"/>
  <c r="T1290" i="6"/>
  <c r="R563" i="6"/>
  <c r="T1701" i="6"/>
  <c r="T1417" i="6"/>
  <c r="T643" i="6"/>
  <c r="T575" i="6"/>
  <c r="T1880" i="6"/>
  <c r="T1864" i="6"/>
  <c r="T984" i="6"/>
  <c r="T1687" i="6"/>
  <c r="T1545" i="6"/>
  <c r="R1386" i="6"/>
  <c r="T758" i="6"/>
  <c r="T1806" i="6"/>
  <c r="R523" i="6"/>
  <c r="T611" i="6"/>
  <c r="T20" i="6"/>
  <c r="R20" i="6" s="1"/>
  <c r="T747" i="6"/>
  <c r="R1261" i="6"/>
  <c r="T363" i="6"/>
  <c r="T1627" i="6"/>
  <c r="T645" i="6"/>
  <c r="R713" i="6"/>
  <c r="T1201" i="6"/>
  <c r="R708" i="6"/>
  <c r="T1960" i="6"/>
  <c r="R1315" i="6"/>
  <c r="T990" i="6"/>
  <c r="T1258" i="6"/>
  <c r="T1633" i="6"/>
  <c r="T1598" i="6"/>
  <c r="T847" i="6"/>
  <c r="R1291" i="6"/>
  <c r="T1620" i="6"/>
  <c r="T572" i="6"/>
  <c r="T634" i="6"/>
  <c r="T1676" i="6"/>
  <c r="T1605" i="6"/>
  <c r="T778" i="6"/>
  <c r="T497" i="6"/>
  <c r="T1899" i="6"/>
  <c r="T344" i="6"/>
  <c r="R344" i="6" s="1"/>
  <c r="T801" i="6"/>
  <c r="T297" i="6"/>
  <c r="R297" i="6" s="1"/>
  <c r="T170" i="6"/>
  <c r="R170" i="6" s="1"/>
  <c r="R645" i="6"/>
  <c r="R1051" i="6"/>
  <c r="R1351" i="6"/>
  <c r="T679" i="6"/>
  <c r="T1704" i="6"/>
  <c r="R905" i="6"/>
  <c r="T483" i="6"/>
  <c r="R1031" i="6"/>
  <c r="T1971" i="6"/>
  <c r="T1072" i="6"/>
  <c r="T1670" i="6"/>
  <c r="T1652" i="6"/>
  <c r="T534" i="6"/>
  <c r="T181" i="6"/>
  <c r="R181" i="6" s="1"/>
  <c r="T114" i="6"/>
  <c r="R114" i="6" s="1"/>
  <c r="T1817" i="6"/>
  <c r="T1737" i="6"/>
  <c r="T1992" i="6"/>
  <c r="R641" i="6"/>
  <c r="T1724" i="6"/>
  <c r="T236" i="6"/>
  <c r="R236" i="6" s="1"/>
  <c r="T1105" i="6"/>
  <c r="T958" i="6"/>
  <c r="T981" i="6"/>
  <c r="T1164" i="6"/>
  <c r="T1586" i="6"/>
  <c r="T1660" i="6"/>
  <c r="T462" i="6"/>
  <c r="T889" i="6"/>
  <c r="T1269" i="6"/>
  <c r="T668" i="6"/>
  <c r="T1061" i="6"/>
  <c r="R798" i="6"/>
  <c r="T162" i="6"/>
  <c r="R162" i="6" s="1"/>
  <c r="R989" i="6"/>
  <c r="T1958" i="6"/>
  <c r="T795" i="6"/>
  <c r="T405" i="6"/>
  <c r="R1277" i="6"/>
  <c r="T1788" i="6"/>
  <c r="T1046" i="6"/>
  <c r="T706" i="6"/>
  <c r="T1324" i="6"/>
  <c r="T794" i="6"/>
  <c r="T1695" i="6"/>
  <c r="T321" i="6"/>
  <c r="R321" i="6" s="1"/>
  <c r="R442" i="6"/>
  <c r="T1970" i="6"/>
  <c r="T1532" i="6"/>
  <c r="T1503" i="6"/>
  <c r="T424" i="6"/>
  <c r="R663" i="6"/>
  <c r="T1066" i="6"/>
  <c r="T1623" i="6"/>
  <c r="T1696" i="6"/>
  <c r="T1244" i="6"/>
  <c r="T1354" i="6"/>
  <c r="T1890" i="6"/>
  <c r="T418" i="6"/>
  <c r="T1021" i="6"/>
  <c r="T687" i="6"/>
  <c r="T1689" i="6"/>
  <c r="R415" i="6"/>
  <c r="T169" i="6"/>
  <c r="R169" i="6" s="1"/>
  <c r="R908" i="6"/>
  <c r="T970" i="6"/>
  <c r="T1227" i="6"/>
  <c r="T591" i="6"/>
  <c r="T1585" i="6"/>
  <c r="T677" i="6"/>
  <c r="T331" i="6"/>
  <c r="R331" i="6" s="1"/>
  <c r="T276" i="6"/>
  <c r="R276" i="6" s="1"/>
  <c r="T56" i="6"/>
  <c r="R56" i="6" s="1"/>
  <c r="T1601" i="6"/>
  <c r="T1557" i="6"/>
  <c r="T850" i="6"/>
  <c r="T1578" i="6"/>
  <c r="R826" i="6"/>
  <c r="T1661" i="6"/>
  <c r="T406" i="6"/>
  <c r="R406" i="6" s="1"/>
  <c r="T1104" i="6"/>
  <c r="T1398" i="6"/>
  <c r="T779" i="6"/>
  <c r="T1917" i="6"/>
  <c r="T1922" i="6"/>
  <c r="T950" i="6"/>
  <c r="T1679" i="6"/>
  <c r="T578" i="6"/>
  <c r="R1017" i="6"/>
  <c r="T603" i="6"/>
  <c r="T855" i="6"/>
  <c r="T1327" i="6"/>
  <c r="T1438" i="6"/>
  <c r="T953" i="6"/>
  <c r="R728" i="6"/>
  <c r="T359" i="6"/>
  <c r="R359" i="6" s="1"/>
  <c r="T1566" i="6"/>
  <c r="T1538" i="6"/>
  <c r="T1267" i="6"/>
  <c r="T996" i="6"/>
  <c r="T1628" i="6"/>
  <c r="R1038" i="6"/>
  <c r="T621" i="6"/>
  <c r="T1167" i="6"/>
  <c r="T858" i="6"/>
  <c r="T529" i="6"/>
  <c r="T1182" i="6"/>
  <c r="T1678" i="6"/>
  <c r="T1015" i="6"/>
  <c r="R1353" i="6"/>
  <c r="T1064" i="6"/>
  <c r="R630" i="6"/>
  <c r="T1570" i="6"/>
  <c r="T1569" i="6"/>
  <c r="T1148" i="6"/>
  <c r="T615" i="6"/>
  <c r="T2000" i="6"/>
  <c r="T1190" i="6"/>
  <c r="R1254" i="6"/>
  <c r="R425" i="6"/>
  <c r="T1800" i="6"/>
  <c r="T1469" i="6"/>
  <c r="T1345" i="6"/>
  <c r="T1966" i="6"/>
  <c r="T1861" i="6"/>
  <c r="T1582" i="6"/>
  <c r="T989" i="6"/>
  <c r="T1808" i="6"/>
  <c r="T1149" i="6"/>
  <c r="T316" i="6"/>
  <c r="R316" i="6" s="1"/>
  <c r="T826" i="6"/>
  <c r="T673" i="6"/>
  <c r="T811" i="6"/>
  <c r="T800" i="6"/>
  <c r="T369" i="6"/>
  <c r="R369" i="6" s="1"/>
  <c r="T1924" i="6"/>
  <c r="T689" i="6"/>
  <c r="T1073" i="6"/>
  <c r="R507" i="6"/>
  <c r="T598" i="6"/>
  <c r="T638" i="6"/>
  <c r="T918" i="6"/>
  <c r="T873" i="6"/>
  <c r="T1923" i="6"/>
  <c r="T1235" i="6"/>
  <c r="T1773" i="6"/>
  <c r="T1020" i="6"/>
  <c r="T884" i="6"/>
  <c r="T1951" i="6"/>
  <c r="R1293" i="6"/>
  <c r="R749" i="6"/>
  <c r="T239" i="6"/>
  <c r="R239" i="6" s="1"/>
  <c r="T1136" i="6"/>
  <c r="R1150" i="6"/>
  <c r="T1802" i="6"/>
  <c r="T1935" i="6"/>
  <c r="R1001" i="6"/>
  <c r="T1409" i="6"/>
  <c r="T636" i="6"/>
  <c r="T936" i="6"/>
  <c r="T472" i="6"/>
  <c r="T997" i="6"/>
  <c r="T1621" i="6"/>
  <c r="T1748" i="6"/>
  <c r="T1442" i="6"/>
  <c r="R935" i="6"/>
  <c r="T1546" i="6"/>
  <c r="T441" i="6"/>
  <c r="T1849" i="6"/>
  <c r="T526" i="6"/>
  <c r="T1717" i="6"/>
  <c r="R891" i="6"/>
  <c r="T1396" i="6"/>
  <c r="T1590" i="6"/>
  <c r="T490" i="6"/>
  <c r="T1713" i="6"/>
  <c r="T160" i="6"/>
  <c r="R160" i="6" s="1"/>
  <c r="T1857" i="6"/>
  <c r="T654" i="6"/>
  <c r="T1293" i="6"/>
  <c r="T618" i="6"/>
  <c r="T579" i="6"/>
  <c r="T33" i="6"/>
  <c r="R33" i="6" s="1"/>
  <c r="T1118" i="6"/>
  <c r="T1507" i="6"/>
  <c r="T558" i="6"/>
  <c r="R1111" i="6"/>
  <c r="T1690" i="6"/>
  <c r="T1666" i="6"/>
  <c r="T1866" i="6"/>
  <c r="T1088" i="6"/>
  <c r="R638" i="6"/>
  <c r="T294" i="6"/>
  <c r="R294" i="6" s="1"/>
  <c r="R482" i="6"/>
  <c r="T1259" i="6"/>
  <c r="T1655" i="6"/>
  <c r="R944" i="6"/>
  <c r="T1455" i="6"/>
  <c r="T1250" i="6"/>
  <c r="T1725" i="6"/>
  <c r="T1796" i="6"/>
  <c r="T360" i="6"/>
  <c r="R360" i="6" s="1"/>
  <c r="T393" i="6"/>
  <c r="R393" i="6" s="1"/>
  <c r="T1449" i="6"/>
  <c r="T596" i="6"/>
  <c r="R476" i="6"/>
  <c r="T75" i="6"/>
  <c r="R75" i="6" s="1"/>
  <c r="R1174" i="6"/>
  <c r="T1296" i="6"/>
  <c r="T1434" i="6"/>
  <c r="T674" i="6"/>
  <c r="T1048" i="6"/>
  <c r="R810" i="6"/>
  <c r="T1087" i="6"/>
  <c r="T1897" i="6"/>
  <c r="T816" i="6"/>
  <c r="T1751" i="6"/>
  <c r="T496" i="6"/>
  <c r="T1997" i="6"/>
  <c r="T1337" i="6"/>
  <c r="T1589" i="6"/>
  <c r="T1708" i="6"/>
  <c r="R1267" i="6"/>
  <c r="R660" i="6"/>
  <c r="T1568" i="6"/>
  <c r="T1555" i="6"/>
  <c r="T1260" i="6"/>
  <c r="T420" i="6"/>
  <c r="R1024" i="6"/>
  <c r="S2" i="6"/>
  <c r="T2" i="6" s="1"/>
  <c r="R2" i="6" s="1"/>
  <c r="R718" i="6"/>
  <c r="T1505" i="6"/>
  <c r="T335" i="6"/>
  <c r="R335" i="6" s="1"/>
  <c r="T696" i="6"/>
  <c r="T1906" i="6"/>
  <c r="T312" i="6"/>
  <c r="R312" i="6" s="1"/>
  <c r="T716" i="6"/>
  <c r="R1091" i="6"/>
  <c r="T1069" i="6"/>
  <c r="T1125" i="6"/>
  <c r="R1107" i="6"/>
  <c r="R727" i="6"/>
  <c r="R453" i="6"/>
  <c r="R1140" i="6"/>
  <c r="R1124" i="6"/>
  <c r="R1094" i="6"/>
  <c r="R871" i="6"/>
  <c r="T1247" i="6"/>
  <c r="T1197" i="6"/>
  <c r="T713" i="6"/>
  <c r="T1801" i="6"/>
  <c r="T1852" i="6"/>
  <c r="T1486" i="6"/>
  <c r="T732" i="6"/>
  <c r="T879" i="6"/>
  <c r="T1276" i="6"/>
  <c r="T197" i="6"/>
  <c r="R197" i="6" s="1"/>
  <c r="T1738" i="6"/>
  <c r="T107" i="6"/>
  <c r="R107" i="6" s="1"/>
  <c r="R1239" i="6"/>
  <c r="R694" i="6"/>
  <c r="T1410" i="6"/>
  <c r="T90" i="6"/>
  <c r="R90" i="6" s="1"/>
  <c r="T1754" i="6"/>
  <c r="T1126" i="6"/>
  <c r="T399" i="6"/>
  <c r="R399" i="6" s="1"/>
  <c r="R1022" i="6"/>
  <c r="R1215" i="6"/>
  <c r="T328" i="6"/>
  <c r="R328" i="6" s="1"/>
  <c r="T332" i="6"/>
  <c r="R332" i="6" s="1"/>
  <c r="T1040" i="6"/>
  <c r="T1053" i="6"/>
  <c r="T1709" i="6"/>
  <c r="T388" i="6"/>
  <c r="T1471" i="6"/>
  <c r="T1763" i="6"/>
  <c r="T662" i="6"/>
  <c r="T100" i="6"/>
  <c r="R100" i="6" s="1"/>
  <c r="R431" i="6"/>
  <c r="T544" i="6"/>
  <c r="T1786" i="6"/>
  <c r="R1354" i="6"/>
  <c r="R1218" i="6"/>
  <c r="T887" i="6"/>
  <c r="T1617" i="6"/>
  <c r="T564" i="6"/>
  <c r="T1833" i="6"/>
  <c r="R392" i="6"/>
  <c r="T1280" i="6"/>
  <c r="T607" i="6"/>
  <c r="T1034" i="6"/>
  <c r="T1328" i="6"/>
  <c r="T364" i="6"/>
  <c r="T224" i="6"/>
  <c r="R224" i="6" s="1"/>
  <c r="R606" i="6"/>
  <c r="R426" i="6"/>
  <c r="R570" i="6"/>
  <c r="T985" i="6"/>
  <c r="T137" i="6"/>
  <c r="R137" i="6" s="1"/>
  <c r="R862" i="6"/>
  <c r="T1446" i="6"/>
  <c r="R1000" i="6"/>
  <c r="T1525" i="6"/>
  <c r="R811" i="6"/>
  <c r="T772" i="6"/>
  <c r="T1308" i="6"/>
  <c r="T781" i="6"/>
  <c r="T1761" i="6"/>
  <c r="T597" i="6"/>
  <c r="R690" i="6"/>
  <c r="R571" i="6"/>
  <c r="R947" i="6"/>
  <c r="T1498" i="6"/>
  <c r="T895" i="6"/>
  <c r="T1896" i="6"/>
  <c r="T1723" i="6"/>
  <c r="T1795" i="6"/>
  <c r="T1985" i="6"/>
  <c r="T1353" i="6"/>
  <c r="R983" i="6"/>
  <c r="T1000" i="6"/>
  <c r="T174" i="6"/>
  <c r="R174" i="6" s="1"/>
  <c r="T1946" i="6"/>
  <c r="T402" i="6"/>
  <c r="T1939" i="6"/>
  <c r="R664" i="6"/>
  <c r="T175" i="6"/>
  <c r="R175" i="6" s="1"/>
  <c r="T1228" i="6"/>
  <c r="T1083" i="6"/>
  <c r="T793" i="6"/>
  <c r="T899" i="6"/>
  <c r="T569" i="6"/>
  <c r="R929" i="6"/>
  <c r="T422" i="6"/>
  <c r="T940" i="6"/>
  <c r="T1074" i="6"/>
  <c r="R1370" i="6"/>
  <c r="T1744" i="6"/>
  <c r="T487" i="6"/>
  <c r="T1554" i="6"/>
  <c r="T1862" i="6"/>
  <c r="T474" i="6"/>
  <c r="T703" i="6"/>
  <c r="T512" i="6"/>
  <c r="T627" i="6"/>
  <c r="T1274" i="6"/>
  <c r="R834" i="6"/>
  <c r="T206" i="6"/>
  <c r="R206" i="6" s="1"/>
  <c r="T1408" i="6"/>
  <c r="T1684" i="6"/>
  <c r="T47" i="6"/>
  <c r="R47" i="6" s="1"/>
  <c r="R1003" i="6"/>
  <c r="T446" i="6"/>
  <c r="T398" i="6"/>
  <c r="T642" i="6"/>
  <c r="T831" i="6"/>
  <c r="T1090" i="6"/>
  <c r="T1169" i="6"/>
  <c r="T307" i="6"/>
  <c r="R307" i="6" s="1"/>
  <c r="T709" i="6"/>
  <c r="T554" i="6"/>
  <c r="R684" i="6"/>
  <c r="R542" i="6"/>
  <c r="T1400" i="6"/>
  <c r="T641" i="6"/>
  <c r="R754" i="6"/>
  <c r="T1729" i="6"/>
  <c r="T1750" i="6"/>
  <c r="T1945" i="6"/>
  <c r="T13" i="6"/>
  <c r="R13" i="6" s="1"/>
  <c r="T738" i="6"/>
  <c r="T1177" i="6"/>
  <c r="T228" i="6"/>
  <c r="R228" i="6" s="1"/>
  <c r="T407" i="6"/>
  <c r="T299" i="6"/>
  <c r="R299" i="6" s="1"/>
  <c r="T599" i="6"/>
  <c r="R1151" i="6"/>
  <c r="T973" i="6"/>
  <c r="T445" i="6"/>
  <c r="R1352" i="6"/>
  <c r="R422" i="6"/>
  <c r="R1034" i="6"/>
  <c r="T1377" i="6"/>
  <c r="R450" i="6"/>
  <c r="T976" i="6"/>
  <c r="R654" i="6"/>
  <c r="R474" i="6"/>
  <c r="T110" i="6"/>
  <c r="R110" i="6" s="1"/>
  <c r="R1220" i="6"/>
  <c r="T1157" i="6"/>
  <c r="T915" i="6"/>
  <c r="R1176" i="6"/>
  <c r="T202" i="6"/>
  <c r="R202" i="6" s="1"/>
  <c r="R872" i="6"/>
  <c r="T1224" i="6"/>
  <c r="T1716" i="6"/>
  <c r="T1193" i="6"/>
  <c r="T1607" i="6"/>
  <c r="T1694" i="6"/>
  <c r="T1374" i="6"/>
  <c r="T1672" i="6"/>
  <c r="T1681" i="6"/>
  <c r="T925" i="6"/>
  <c r="T1540" i="6"/>
  <c r="R485" i="6"/>
  <c r="R1250" i="6"/>
  <c r="T698" i="6"/>
  <c r="T1093" i="6"/>
  <c r="T1594" i="6"/>
  <c r="R1105" i="6"/>
  <c r="T535" i="6"/>
  <c r="T1360" i="6"/>
  <c r="T315" i="6"/>
  <c r="R315" i="6" s="1"/>
  <c r="R707" i="6"/>
  <c r="T1634" i="6"/>
  <c r="T260" i="6"/>
  <c r="R260" i="6" s="1"/>
  <c r="T868" i="6"/>
  <c r="R854" i="6"/>
  <c r="T1811" i="6"/>
  <c r="T525" i="6"/>
  <c r="T1573" i="6"/>
  <c r="T1129" i="6"/>
  <c r="T1771" i="6"/>
  <c r="T126" i="6"/>
  <c r="R126" i="6" s="1"/>
  <c r="T595" i="6"/>
  <c r="T646" i="6"/>
  <c r="T1071" i="6"/>
  <c r="T686" i="6"/>
  <c r="T241" i="6"/>
  <c r="R241" i="6" s="1"/>
  <c r="T1475" i="6"/>
  <c r="T1834" i="6"/>
  <c r="T82" i="6"/>
  <c r="R82" i="6" s="1"/>
  <c r="T414" i="6"/>
  <c r="T481" i="6"/>
  <c r="T433" i="6"/>
  <c r="T1496" i="6"/>
  <c r="T326" i="6"/>
  <c r="R326" i="6" s="1"/>
  <c r="T309" i="6"/>
  <c r="R309" i="6" s="1"/>
  <c r="R421" i="6"/>
  <c r="R528" i="6"/>
  <c r="T1029" i="6"/>
  <c r="T1004" i="6"/>
  <c r="T1839" i="6"/>
  <c r="T1120" i="6"/>
  <c r="T1940" i="6"/>
  <c r="T411" i="6"/>
  <c r="T1124" i="6"/>
  <c r="T1638" i="6"/>
  <c r="T1154" i="6"/>
  <c r="T1602" i="6"/>
  <c r="T1719" i="6"/>
  <c r="T317" i="6"/>
  <c r="R317" i="6" s="1"/>
  <c r="T1428" i="6"/>
  <c r="T1119" i="6"/>
  <c r="T647" i="6"/>
  <c r="T131" i="6"/>
  <c r="R131" i="6" s="1"/>
  <c r="T876" i="6"/>
  <c r="T165" i="6"/>
  <c r="R165" i="6" s="1"/>
  <c r="T959" i="6"/>
  <c r="R773" i="6"/>
  <c r="R1343" i="6"/>
  <c r="T212" i="6"/>
  <c r="R212" i="6" s="1"/>
  <c r="T1117" i="6"/>
  <c r="R1317" i="6"/>
  <c r="R943" i="6"/>
  <c r="T1514" i="6"/>
  <c r="R942" i="6"/>
  <c r="R408" i="6"/>
  <c r="R974" i="6"/>
  <c r="T573" i="6"/>
  <c r="T11" i="6"/>
  <c r="R11" i="6" s="1"/>
  <c r="R518" i="6"/>
  <c r="R1074" i="6"/>
  <c r="T1791" i="6"/>
  <c r="T1535" i="6"/>
  <c r="T1414" i="6"/>
  <c r="T1854" i="6"/>
  <c r="T1682" i="6"/>
  <c r="T1521" i="6"/>
  <c r="T1838" i="6"/>
  <c r="T494" i="6"/>
  <c r="T138" i="6"/>
  <c r="R138" i="6" s="1"/>
  <c r="T1969" i="6"/>
  <c r="T1300" i="6"/>
  <c r="T975" i="6"/>
  <c r="T1561" i="6"/>
  <c r="T764" i="6"/>
  <c r="T146" i="6"/>
  <c r="R146" i="6" s="1"/>
  <c r="R1204" i="6"/>
  <c r="T1856" i="6"/>
  <c r="T73" i="6"/>
  <c r="R73" i="6" s="1"/>
  <c r="T1727" i="6"/>
  <c r="T978" i="6"/>
  <c r="T143" i="6"/>
  <c r="R143" i="6" s="1"/>
  <c r="R621" i="6"/>
  <c r="R510" i="6"/>
  <c r="T1519" i="6"/>
  <c r="T1910" i="6"/>
  <c r="T432" i="6"/>
  <c r="T473" i="6"/>
  <c r="T910" i="6"/>
  <c r="T1317" i="6"/>
  <c r="T161" i="6"/>
  <c r="R161" i="6" s="1"/>
  <c r="T614" i="6"/>
  <c r="T425" i="6"/>
  <c r="T314" i="6"/>
  <c r="R314" i="6" s="1"/>
  <c r="T721" i="6"/>
  <c r="T308" i="6"/>
  <c r="R308" i="6" s="1"/>
  <c r="T1574" i="6"/>
  <c r="T1322" i="6"/>
  <c r="T149" i="6"/>
  <c r="R149" i="6" s="1"/>
  <c r="T449" i="6"/>
  <c r="T548" i="6"/>
  <c r="T500" i="6"/>
  <c r="T1753" i="6"/>
  <c r="T1528" i="6"/>
  <c r="T1822" i="6"/>
  <c r="R1272" i="6"/>
  <c r="T834" i="6"/>
  <c r="T1824" i="6"/>
  <c r="R424" i="6"/>
  <c r="R1373" i="6"/>
  <c r="T938" i="6"/>
  <c r="R665" i="6"/>
  <c r="R552" i="6"/>
  <c r="R910" i="6"/>
  <c r="R778" i="6"/>
  <c r="T1316" i="6"/>
  <c r="T1375" i="6"/>
  <c r="R586" i="6"/>
  <c r="T1422" i="6"/>
  <c r="T1651" i="6"/>
  <c r="T1565" i="6"/>
  <c r="T1272" i="6"/>
  <c r="T1487" i="6"/>
  <c r="T515" i="6"/>
  <c r="T1480" i="6"/>
  <c r="T1721" i="6"/>
  <c r="T841" i="6"/>
  <c r="T516" i="6"/>
  <c r="R460" i="6"/>
  <c r="T1108" i="6"/>
  <c r="T358" i="6"/>
  <c r="R358" i="6" s="1"/>
  <c r="T1332" i="6"/>
  <c r="T173" i="6"/>
  <c r="R173" i="6" s="1"/>
  <c r="R1090" i="6"/>
  <c r="T164" i="6"/>
  <c r="R164" i="6" s="1"/>
  <c r="T1137" i="6"/>
  <c r="R1128" i="6"/>
  <c r="R560" i="6"/>
  <c r="T735" i="6"/>
  <c r="T302" i="6"/>
  <c r="R302" i="6" s="1"/>
  <c r="R1287" i="6"/>
  <c r="R623" i="6"/>
  <c r="R592" i="6"/>
  <c r="T891" i="6"/>
  <c r="R470" i="6"/>
  <c r="T1195" i="6"/>
  <c r="T755" i="6"/>
  <c r="T917" i="6"/>
  <c r="T1863" i="6"/>
  <c r="R526" i="6"/>
  <c r="T1397" i="6"/>
  <c r="T1382" i="6"/>
  <c r="R668" i="6"/>
  <c r="R977" i="6"/>
  <c r="T692" i="6"/>
  <c r="T1271" i="6"/>
  <c r="R484" i="6"/>
  <c r="T1268" i="6"/>
  <c r="T1497" i="6"/>
  <c r="T456" i="6"/>
  <c r="T1009" i="6"/>
  <c r="R960" i="6"/>
  <c r="R767" i="6"/>
  <c r="R1132" i="6"/>
  <c r="T1172" i="6"/>
  <c r="T120" i="6"/>
  <c r="R120" i="6" s="1"/>
  <c r="T1982" i="6"/>
  <c r="R1065" i="6"/>
  <c r="T1739" i="6"/>
  <c r="T1956" i="6"/>
  <c r="T942" i="6"/>
  <c r="T1993" i="6"/>
  <c r="T1646" i="6"/>
  <c r="T1426" i="6"/>
  <c r="T846" i="6"/>
  <c r="T178" i="6"/>
  <c r="R178" i="6" s="1"/>
  <c r="T753" i="6"/>
  <c r="R1208" i="6"/>
  <c r="R746" i="6"/>
  <c r="R435" i="6"/>
  <c r="R1146" i="6"/>
  <c r="R1042" i="6"/>
  <c r="T361" i="6"/>
  <c r="R361" i="6" s="1"/>
  <c r="T1944" i="6"/>
  <c r="R631" i="6"/>
  <c r="R588" i="6"/>
  <c r="R845" i="6"/>
  <c r="T1688" i="6"/>
  <c r="T187" i="6"/>
  <c r="R187" i="6" s="1"/>
  <c r="T12" i="6"/>
  <c r="R12" i="6" s="1"/>
  <c r="R1265" i="6"/>
  <c r="R895" i="6"/>
  <c r="T1369" i="6"/>
  <c r="R858" i="6"/>
  <c r="T678" i="6"/>
  <c r="T971" i="6"/>
  <c r="T722" i="6"/>
  <c r="T1934" i="6"/>
  <c r="T1097" i="6"/>
  <c r="T659" i="6"/>
  <c r="T1160" i="6"/>
  <c r="T744" i="6"/>
  <c r="T1467" i="6"/>
  <c r="T1060" i="6"/>
  <c r="R674" i="6"/>
  <c r="T1981" i="6"/>
  <c r="R594" i="6"/>
  <c r="R1133" i="6"/>
  <c r="T1517" i="6"/>
  <c r="R795" i="6"/>
  <c r="R1191" i="6"/>
  <c r="T1600" i="6"/>
  <c r="T150" i="6"/>
  <c r="R150" i="6" s="1"/>
  <c r="T825" i="6"/>
  <c r="T522" i="6"/>
  <c r="T1867" i="6"/>
  <c r="T415" i="6"/>
  <c r="T198" i="6"/>
  <c r="R198" i="6" s="1"/>
  <c r="T233" i="6"/>
  <c r="R233" i="6" s="1"/>
  <c r="R1197" i="6"/>
  <c r="T68" i="6"/>
  <c r="R68" i="6" s="1"/>
  <c r="T740" i="6"/>
  <c r="T1251" i="6"/>
  <c r="R1130" i="6"/>
  <c r="T268" i="6"/>
  <c r="R268" i="6" s="1"/>
  <c r="T863" i="6"/>
  <c r="T1254" i="6"/>
  <c r="T947" i="6"/>
  <c r="R716" i="6"/>
  <c r="T559" i="6"/>
  <c r="T285" i="6"/>
  <c r="R285" i="6" s="1"/>
  <c r="T1063" i="6"/>
  <c r="T967" i="6"/>
  <c r="T977" i="6"/>
  <c r="T1668" i="6"/>
  <c r="T1850" i="6"/>
  <c r="T1915" i="6"/>
  <c r="T1841" i="6"/>
  <c r="R782" i="6"/>
  <c r="T351" i="6"/>
  <c r="R351" i="6" s="1"/>
  <c r="R464" i="6"/>
  <c r="R737" i="6"/>
  <c r="T675" i="6"/>
  <c r="T1474" i="6"/>
  <c r="R1195" i="6"/>
  <c r="R611" i="6"/>
  <c r="T350" i="6"/>
  <c r="R350" i="6" s="1"/>
  <c r="T1710" i="6"/>
  <c r="T171" i="6"/>
  <c r="R171" i="6" s="1"/>
  <c r="T257" i="6"/>
  <c r="R257" i="6" s="1"/>
  <c r="R513" i="6"/>
  <c r="T928" i="6"/>
  <c r="R398" i="6"/>
  <c r="R836" i="6"/>
  <c r="R725" i="6"/>
  <c r="T745" i="6"/>
  <c r="T804" i="6"/>
  <c r="T957" i="6"/>
  <c r="T1483" i="6"/>
  <c r="T1383" i="6"/>
  <c r="T773" i="6"/>
  <c r="T1460" i="6"/>
  <c r="T1703" i="6"/>
  <c r="T1614" i="6"/>
  <c r="T1583" i="6"/>
  <c r="T333" i="6"/>
  <c r="R333" i="6" s="1"/>
  <c r="T1807" i="6"/>
  <c r="T1515" i="6"/>
  <c r="T864" i="6"/>
  <c r="T102" i="6"/>
  <c r="R102" i="6" s="1"/>
  <c r="T1543" i="6"/>
  <c r="R642" i="6"/>
  <c r="T345" i="6"/>
  <c r="R345" i="6" s="1"/>
  <c r="T1277" i="6"/>
  <c r="R979" i="6"/>
  <c r="T1457" i="6"/>
  <c r="T983" i="6"/>
  <c r="R1302" i="6"/>
  <c r="T922" i="6"/>
  <c r="T1649" i="6"/>
  <c r="T1613" i="6"/>
  <c r="T1768" i="6"/>
  <c r="T1344" i="6"/>
  <c r="T450" i="6"/>
  <c r="T1326" i="6"/>
  <c r="R766" i="6"/>
  <c r="T1775" i="6"/>
  <c r="T167" i="6"/>
  <c r="R167" i="6" s="1"/>
  <c r="T1530" i="6"/>
  <c r="R1098" i="6"/>
  <c r="R877" i="6"/>
  <c r="T1564" i="6"/>
  <c r="T1595" i="6"/>
  <c r="T489" i="6"/>
  <c r="R1338" i="6"/>
  <c r="T1677" i="6"/>
  <c r="T594" i="6"/>
  <c r="T999" i="6"/>
  <c r="T153" i="6"/>
  <c r="R153" i="6" s="1"/>
  <c r="T1314" i="6"/>
  <c r="R653" i="6"/>
  <c r="T1818" i="6"/>
  <c r="T1967" i="6"/>
  <c r="T1359" i="6"/>
  <c r="T1908" i="6"/>
  <c r="T1306" i="6"/>
  <c r="T919" i="6"/>
  <c r="T59" i="6"/>
  <c r="R59" i="6" s="1"/>
  <c r="T934" i="6"/>
  <c r="T1882" i="6"/>
  <c r="T1501" i="6"/>
  <c r="T871" i="6"/>
  <c r="T656" i="6"/>
  <c r="T844" i="6"/>
  <c r="T404" i="6"/>
  <c r="R404" i="6" s="1"/>
  <c r="R1172" i="6"/>
  <c r="R1345" i="6"/>
  <c r="R376" i="6"/>
  <c r="R1222" i="6"/>
  <c r="R705" i="6"/>
  <c r="T853" i="6"/>
  <c r="R964" i="6"/>
  <c r="T1313" i="6"/>
  <c r="R1056" i="6"/>
  <c r="T458" i="6"/>
  <c r="R702" i="6"/>
  <c r="T902" i="6"/>
  <c r="R1382" i="6"/>
  <c r="T1174" i="6"/>
  <c r="T1952" i="6"/>
  <c r="T639" i="6"/>
  <c r="T1539" i="6"/>
  <c r="R1244" i="6"/>
  <c r="T1879" i="6"/>
  <c r="T338" i="6"/>
  <c r="R338" i="6" s="1"/>
  <c r="T1373" i="6"/>
  <c r="T417" i="6"/>
  <c r="T423" i="6"/>
  <c r="T1901" i="6"/>
  <c r="T1789" i="6"/>
  <c r="T1335" i="6"/>
  <c r="T1114" i="6"/>
  <c r="T1150" i="6"/>
  <c r="R1286" i="6"/>
  <c r="T466" i="6"/>
  <c r="T972" i="6"/>
  <c r="T1671" i="6"/>
  <c r="T1875" i="6"/>
  <c r="R1221" i="6"/>
  <c r="T1648" i="6"/>
  <c r="T1312" i="6"/>
  <c r="T1139" i="6"/>
  <c r="T517" i="6"/>
  <c r="T743" i="6"/>
  <c r="T1743" i="6"/>
  <c r="T1858" i="6"/>
  <c r="T1500" i="6"/>
  <c r="T1018" i="6"/>
  <c r="R456" i="6"/>
  <c r="T1949" i="6"/>
  <c r="T1253" i="6"/>
  <c r="T1836" i="6"/>
  <c r="T1630" i="6"/>
  <c r="T1645" i="6"/>
  <c r="T1712" i="6"/>
  <c r="T661" i="6"/>
  <c r="T1363" i="6"/>
  <c r="R1307" i="6"/>
  <c r="R1259" i="6"/>
  <c r="T702" i="6"/>
  <c r="T51" i="6"/>
  <c r="R51" i="6" s="1"/>
  <c r="R1134" i="6"/>
  <c r="T1846" i="6"/>
  <c r="T1813" i="6"/>
  <c r="R799" i="6"/>
  <c r="R567" i="6"/>
  <c r="T1175" i="6"/>
  <c r="R1120" i="6"/>
  <c r="T1303" i="6"/>
  <c r="R394" i="6"/>
  <c r="T1828" i="6"/>
  <c r="R921" i="6"/>
  <c r="T1840" i="6"/>
  <c r="R589" i="6"/>
  <c r="R1023" i="6"/>
  <c r="R556" i="6"/>
  <c r="T1643" i="6"/>
  <c r="R923" i="6"/>
  <c r="R1348" i="6"/>
  <c r="T215" i="6"/>
  <c r="R215" i="6" s="1"/>
  <c r="T1279" i="6"/>
  <c r="T1558" i="6"/>
  <c r="T1499" i="6"/>
  <c r="T832" i="6"/>
  <c r="T1419" i="6"/>
  <c r="T1135" i="6"/>
  <c r="T1256" i="6"/>
  <c r="T1767" i="6"/>
  <c r="T1948" i="6"/>
  <c r="T1772" i="6"/>
  <c r="T403" i="6"/>
  <c r="T1580" i="6"/>
  <c r="R1175" i="6"/>
  <c r="T1756" i="6"/>
  <c r="T1654" i="6"/>
  <c r="T693" i="6"/>
  <c r="R1135" i="6"/>
  <c r="T1918" i="6"/>
  <c r="T391" i="6"/>
  <c r="R391" i="6" s="1"/>
  <c r="T1675" i="6"/>
  <c r="T1552" i="6"/>
  <c r="R874" i="6"/>
  <c r="T1715" i="6"/>
  <c r="T1041" i="6"/>
  <c r="T701" i="6"/>
  <c r="T667" i="6"/>
  <c r="R1339" i="6"/>
  <c r="T1826" i="6"/>
  <c r="T1877" i="6"/>
  <c r="T1214" i="6"/>
  <c r="T815" i="6"/>
  <c r="T430" i="6"/>
  <c r="T1984" i="6"/>
  <c r="T1202" i="6"/>
  <c r="R459" i="6"/>
  <c r="T1665" i="6"/>
  <c r="T1680" i="6"/>
  <c r="T1779" i="6"/>
  <c r="T1596" i="6"/>
  <c r="R1275" i="6"/>
  <c r="R772" i="6"/>
  <c r="T670" i="6"/>
  <c r="T1711" i="6"/>
  <c r="T1103" i="6"/>
  <c r="T70" i="6"/>
  <c r="R70" i="6" s="1"/>
  <c r="T348" i="6"/>
  <c r="R348" i="6" s="1"/>
  <c r="T1865" i="6"/>
  <c r="R1299" i="6"/>
  <c r="T705" i="6"/>
  <c r="T413" i="6"/>
  <c r="R956" i="6"/>
  <c r="T1632" i="6"/>
  <c r="R732" i="6"/>
  <c r="T1664" i="6"/>
  <c r="T1482" i="6"/>
  <c r="T155" i="6"/>
  <c r="R155" i="6" s="1"/>
  <c r="T1275" i="6"/>
  <c r="R1321" i="6"/>
  <c r="R803" i="6"/>
  <c r="T684" i="6"/>
  <c r="T532" i="6"/>
  <c r="T1389" i="6"/>
  <c r="T1145" i="6"/>
  <c r="T1905" i="6"/>
  <c r="T1218" i="6"/>
  <c r="T903" i="6"/>
  <c r="R678" i="6"/>
  <c r="R1115" i="6"/>
  <c r="R909" i="6"/>
  <c r="T511" i="6"/>
  <c r="T1531" i="6"/>
  <c r="T379" i="6"/>
  <c r="R379" i="6" s="1"/>
  <c r="R719" i="6"/>
  <c r="T199" i="6"/>
  <c r="R199" i="6" s="1"/>
  <c r="R1122" i="6"/>
  <c r="R561" i="6"/>
  <c r="R899" i="6"/>
  <c r="T1876" i="6"/>
  <c r="T1080" i="6"/>
  <c r="R1300" i="6"/>
  <c r="R796" i="6"/>
  <c r="T859" i="6"/>
  <c r="T1615" i="6"/>
  <c r="T1549" i="6"/>
  <c r="T1987" i="6"/>
  <c r="T1401" i="6"/>
  <c r="T1208" i="6"/>
  <c r="T1803" i="6"/>
  <c r="T1669" i="6"/>
  <c r="R1366" i="6"/>
  <c r="T1610" i="6"/>
  <c r="T1341" i="6"/>
  <c r="T1551" i="6"/>
  <c r="T904" i="6"/>
  <c r="T1928" i="6"/>
  <c r="T1887" i="6"/>
  <c r="T147" i="6"/>
  <c r="R147" i="6" s="1"/>
  <c r="R628" i="6"/>
  <c r="R986" i="6"/>
  <c r="T837" i="6"/>
  <c r="T1889" i="6"/>
  <c r="T1913" i="6"/>
  <c r="T1524" i="6"/>
  <c r="T521" i="6"/>
  <c r="T1814" i="6"/>
  <c r="T396" i="6"/>
  <c r="R814" i="6"/>
  <c r="T1067" i="6"/>
  <c r="R436" i="6"/>
  <c r="T1845" i="6"/>
  <c r="T952" i="6"/>
  <c r="T1014" i="6"/>
  <c r="T1447" i="6"/>
  <c r="T465" i="6"/>
  <c r="T52" i="6"/>
  <c r="R52" i="6" s="1"/>
  <c r="R1082" i="6"/>
  <c r="T1421" i="6"/>
  <c r="T1732" i="6"/>
  <c r="T1747" i="6"/>
  <c r="T1878" i="6"/>
  <c r="T1211" i="6"/>
  <c r="T1870" i="6"/>
  <c r="T1794" i="6"/>
  <c r="T1144" i="6"/>
  <c r="T1343" i="6"/>
  <c r="T1692" i="6"/>
  <c r="T1416" i="6"/>
  <c r="T805" i="6"/>
  <c r="R1110" i="6"/>
  <c r="T655" i="6"/>
  <c r="R1054" i="6"/>
  <c r="T561" i="6"/>
  <c r="T1081" i="6"/>
  <c r="T880" i="6"/>
  <c r="T920" i="6"/>
  <c r="T671" i="6"/>
  <c r="T151" i="6"/>
  <c r="R151" i="6" s="1"/>
  <c r="T1456" i="6"/>
  <c r="T1024" i="6"/>
  <c r="T1412" i="6"/>
  <c r="T908" i="6"/>
  <c r="T1183" i="6"/>
  <c r="T434" i="6"/>
  <c r="R677" i="6"/>
  <c r="R1169" i="6"/>
  <c r="R919" i="6"/>
  <c r="T767" i="6"/>
  <c r="R962" i="6"/>
  <c r="R488" i="6"/>
  <c r="T454" i="6"/>
  <c r="T1612" i="6"/>
  <c r="R483" i="6"/>
  <c r="T992" i="6"/>
  <c r="T1463" i="6"/>
  <c r="T1016" i="6"/>
  <c r="T552" i="6"/>
  <c r="T94" i="6"/>
  <c r="R94" i="6" s="1"/>
  <c r="T1603" i="6"/>
  <c r="T1444" i="6"/>
  <c r="T1999" i="6"/>
  <c r="T1933" i="6"/>
  <c r="T1937" i="6"/>
  <c r="T1388" i="6"/>
  <c r="T882" i="6"/>
  <c r="T240" i="6"/>
  <c r="R240" i="6" s="1"/>
  <c r="R867" i="6"/>
  <c r="T993" i="6"/>
  <c r="T1059" i="6"/>
  <c r="R1362" i="6"/>
  <c r="T394" i="6"/>
  <c r="R699" i="6"/>
  <c r="R838" i="6"/>
  <c r="T1321" i="6"/>
  <c r="T1309" i="6"/>
  <c r="T750" i="6"/>
  <c r="R1232" i="6"/>
  <c r="R680" i="6"/>
  <c r="T38" i="6"/>
  <c r="R38" i="6" s="1"/>
  <c r="R1190" i="6"/>
  <c r="R868" i="6"/>
  <c r="R587" i="6"/>
  <c r="T872" i="6"/>
  <c r="T1508" i="6"/>
  <c r="R1340" i="6"/>
  <c r="T582" i="6"/>
  <c r="R602" i="6"/>
  <c r="R1361" i="6"/>
  <c r="T506" i="6"/>
  <c r="T1390" i="6"/>
  <c r="R1347" i="6"/>
  <c r="T1432" i="6"/>
  <c r="T1625" i="6"/>
  <c r="T1035" i="6"/>
  <c r="T955" i="6"/>
  <c r="T1076" i="6"/>
  <c r="T436" i="6"/>
  <c r="T504" i="6"/>
  <c r="T571" i="6"/>
  <c r="T923" i="6"/>
  <c r="T1492" i="6"/>
  <c r="T835" i="6"/>
  <c r="T1221" i="6"/>
  <c r="T1662" i="6"/>
  <c r="T135" i="6"/>
  <c r="R135" i="6" s="1"/>
  <c r="T862" i="6"/>
  <c r="T1405" i="6"/>
  <c r="T304" i="6"/>
  <c r="R304" i="6" s="1"/>
  <c r="T1741" i="6"/>
  <c r="T1869" i="6"/>
  <c r="T586" i="6"/>
  <c r="T105" i="6"/>
  <c r="R105" i="6" s="1"/>
  <c r="T1394" i="6"/>
  <c r="T323" i="6"/>
  <c r="R323" i="6" s="1"/>
  <c r="T631" i="6"/>
  <c r="T1451" i="6"/>
  <c r="T1424" i="6"/>
  <c r="T1523" i="6"/>
  <c r="T1370" i="6"/>
  <c r="T1113" i="6"/>
  <c r="T926" i="6"/>
  <c r="T142" i="6"/>
  <c r="R142" i="6" s="1"/>
  <c r="T386" i="6"/>
  <c r="T1972" i="6"/>
  <c r="T1562" i="6"/>
  <c r="T888" i="6"/>
  <c r="R700" i="6"/>
  <c r="T710" i="6"/>
  <c r="T1759" i="6"/>
  <c r="T189" i="6"/>
  <c r="R189" i="6" s="1"/>
  <c r="T1236" i="6"/>
  <c r="T1096" i="6"/>
  <c r="T763" i="6"/>
  <c r="T783" i="6"/>
  <c r="T1036" i="6"/>
  <c r="R1255" i="6"/>
  <c r="R1068" i="6"/>
  <c r="R477" i="6"/>
  <c r="R1229" i="6"/>
  <c r="T1032" i="6"/>
  <c r="R835" i="6"/>
  <c r="R524" i="6"/>
  <c r="T1990" i="6"/>
  <c r="T1511" i="6"/>
  <c r="T69" i="6"/>
  <c r="R69" i="6" s="1"/>
  <c r="R1378" i="6"/>
  <c r="R1126" i="6"/>
  <c r="T6" i="6"/>
  <c r="R6" i="6" s="1"/>
  <c r="T1340" i="6"/>
  <c r="T1079" i="6"/>
  <c r="T1477" i="6"/>
  <c r="T1674" i="6"/>
  <c r="T375" i="6"/>
  <c r="R375" i="6" s="1"/>
  <c r="T1342" i="6"/>
  <c r="T1166" i="6"/>
  <c r="T1376" i="6"/>
  <c r="T1659" i="6"/>
  <c r="T1575" i="6"/>
  <c r="R1029" i="6"/>
  <c r="T663" i="6"/>
  <c r="T1392" i="6"/>
  <c r="T1158" i="6"/>
  <c r="T1821" i="6"/>
  <c r="T154" i="6"/>
  <c r="R154" i="6" s="1"/>
  <c r="T1983" i="6"/>
  <c r="T1986" i="6"/>
  <c r="T273" i="6"/>
  <c r="R273" i="6" s="1"/>
  <c r="T1964" i="6"/>
  <c r="T1320" i="6"/>
  <c r="T253" i="6"/>
  <c r="R253" i="6" s="1"/>
  <c r="T737" i="6"/>
  <c r="T520" i="6"/>
  <c r="T1440" i="6"/>
  <c r="T387" i="6"/>
  <c r="R387" i="6" s="1"/>
  <c r="T1776" i="6"/>
  <c r="T1904" i="6"/>
  <c r="T1996" i="6"/>
  <c r="T538" i="6"/>
  <c r="T1413" i="6"/>
  <c r="T342" i="6"/>
  <c r="R342" i="6" s="1"/>
  <c r="T810" i="6"/>
  <c r="T1198" i="6"/>
  <c r="T1491" i="6"/>
  <c r="T1622" i="6"/>
  <c r="T1790" i="6"/>
  <c r="T894" i="6"/>
  <c r="T711" i="6"/>
  <c r="T177" i="6"/>
  <c r="R177" i="6" s="1"/>
  <c r="T453" i="6"/>
  <c r="T123" i="6"/>
  <c r="R123" i="6" s="1"/>
  <c r="T1050" i="6"/>
  <c r="T488" i="6"/>
  <c r="R1072" i="6"/>
  <c r="T1550" i="6"/>
  <c r="T1842" i="6"/>
  <c r="R940" i="6"/>
  <c r="R634" i="6"/>
  <c r="R1141" i="6"/>
  <c r="T1926" i="6"/>
  <c r="T528" i="6"/>
  <c r="R1376" i="6"/>
  <c r="T374" i="6"/>
  <c r="R374" i="6" s="1"/>
  <c r="T221" i="6"/>
  <c r="R221" i="6" s="1"/>
  <c r="T845" i="6"/>
  <c r="R802" i="6"/>
  <c r="R1298" i="6"/>
  <c r="T1547" i="6"/>
  <c r="T1819" i="6"/>
  <c r="R457" i="6"/>
  <c r="T933" i="6"/>
  <c r="T604" i="6"/>
  <c r="R1316" i="6"/>
  <c r="T1191" i="6"/>
  <c r="T1386" i="6"/>
  <c r="R495" i="6"/>
  <c r="R817" i="6"/>
  <c r="R525" i="6"/>
  <c r="T536" i="6"/>
  <c r="R1039" i="6"/>
  <c r="T246" i="6"/>
  <c r="R246" i="6" s="1"/>
  <c r="T97" i="6"/>
  <c r="R97" i="6" s="1"/>
  <c r="R1332" i="6"/>
  <c r="R722" i="6"/>
  <c r="R709" i="6"/>
  <c r="R958" i="6"/>
  <c r="R537" i="6"/>
  <c r="R612" i="6"/>
  <c r="T791" i="6"/>
  <c r="R1284" i="6"/>
  <c r="T1820" i="6"/>
  <c r="T1765" i="6"/>
  <c r="T1509" i="6"/>
  <c r="R1212" i="6"/>
  <c r="R1342" i="6"/>
  <c r="R842" i="6"/>
  <c r="T1626" i="6"/>
  <c r="T1473" i="6"/>
  <c r="T658" i="6"/>
  <c r="R1014" i="6"/>
  <c r="T1437" i="6"/>
  <c r="T1881" i="6"/>
  <c r="T1616" i="6"/>
  <c r="T644" i="6"/>
  <c r="T1894" i="6"/>
  <c r="T480" i="6"/>
  <c r="T1722" i="6"/>
  <c r="T1527" i="6"/>
  <c r="R1177" i="6"/>
  <c r="R1213" i="6"/>
  <c r="T1898" i="6"/>
  <c r="T1927" i="6"/>
  <c r="T610" i="6"/>
  <c r="T1606" i="6"/>
  <c r="T1656" i="6"/>
  <c r="T447" i="6"/>
  <c r="T71" i="6"/>
  <c r="R71" i="6" s="1"/>
  <c r="T1420" i="6"/>
  <c r="R1070" i="6"/>
  <c r="T1323" i="6"/>
  <c r="T1180" i="6"/>
  <c r="T1031" i="6"/>
  <c r="T852" i="6"/>
  <c r="T857" i="6"/>
  <c r="T540" i="6"/>
  <c r="T1892" i="6"/>
  <c r="T749" i="6"/>
  <c r="R539" i="6"/>
  <c r="T343" i="6"/>
  <c r="R343" i="6" s="1"/>
  <c r="T1003" i="6"/>
  <c r="T49" i="6"/>
  <c r="R49" i="6" s="1"/>
  <c r="T478" i="6"/>
  <c r="T214" i="6"/>
  <c r="R214" i="6" s="1"/>
  <c r="R1064" i="6"/>
  <c r="R743" i="6"/>
  <c r="T734" i="6"/>
  <c r="T412" i="6"/>
  <c r="R1021" i="6"/>
  <c r="R647" i="6"/>
  <c r="T1886" i="6"/>
  <c r="T263" i="6"/>
  <c r="R263" i="6" s="1"/>
  <c r="R789" i="6"/>
  <c r="R627" i="6"/>
  <c r="T64" i="6"/>
  <c r="R64" i="6" s="1"/>
  <c r="T283" i="6"/>
  <c r="R283" i="6" s="1"/>
  <c r="T1805" i="6"/>
  <c r="R1104" i="6"/>
  <c r="R558" i="6"/>
  <c r="R480" i="6"/>
  <c r="T1204" i="6"/>
  <c r="R416" i="6"/>
  <c r="R850" i="6"/>
  <c r="T1012" i="6"/>
  <c r="T935" i="6"/>
  <c r="T459" i="6"/>
  <c r="R1236" i="6"/>
  <c r="R816" i="6"/>
  <c r="T419" i="6"/>
  <c r="R840" i="6"/>
  <c r="R1099" i="6"/>
  <c r="T556" i="6"/>
  <c r="T620" i="6"/>
  <c r="R734" i="6"/>
  <c r="R780" i="6"/>
  <c r="T1013" i="6"/>
  <c r="T278" i="6"/>
  <c r="R278" i="6" s="1"/>
  <c r="T622" i="6"/>
  <c r="T669" i="6"/>
  <c r="T1379" i="6"/>
  <c r="T1766" i="6"/>
  <c r="T118" i="6"/>
  <c r="R118" i="6" s="1"/>
  <c r="T117" i="6"/>
  <c r="R117" i="6" s="1"/>
  <c r="R853" i="6"/>
  <c r="T1799" i="6"/>
  <c r="R937" i="6"/>
  <c r="T1297" i="6"/>
  <c r="T443" i="6"/>
  <c r="R1206" i="6"/>
  <c r="T460" i="6"/>
  <c r="R671" i="6"/>
  <c r="T471" i="6"/>
  <c r="R915" i="6"/>
  <c r="T727" i="6"/>
  <c r="R1271" i="6"/>
  <c r="R455" i="6"/>
  <c r="R1377" i="6"/>
  <c r="R1364" i="6"/>
  <c r="R692" i="6"/>
  <c r="T1038" i="6"/>
  <c r="T994" i="6"/>
  <c r="T1642" i="6"/>
  <c r="T730" i="6"/>
  <c r="R687" i="6"/>
  <c r="R512" i="6"/>
  <c r="R1113" i="6"/>
  <c r="R945" i="6"/>
  <c r="R1320" i="6"/>
  <c r="R1142" i="6"/>
  <c r="R930" i="6"/>
  <c r="T731" i="6"/>
  <c r="T1431" i="6"/>
  <c r="R639" i="6"/>
  <c r="R572" i="6"/>
  <c r="T1494" i="6"/>
  <c r="R577" i="6"/>
  <c r="R1263" i="6"/>
  <c r="R939" i="6"/>
  <c r="T191" i="6"/>
  <c r="R191" i="6" s="1"/>
  <c r="T1415" i="6"/>
  <c r="T1102" i="6"/>
  <c r="R865" i="6"/>
  <c r="R624" i="6"/>
  <c r="T1957" i="6"/>
  <c r="T382" i="6"/>
  <c r="T565" i="6"/>
  <c r="T648" i="6"/>
  <c r="T1284" i="6"/>
  <c r="T885" i="6"/>
  <c r="T185" i="6"/>
  <c r="R185" i="6" s="1"/>
  <c r="T1673" i="6"/>
  <c r="R593" i="6"/>
  <c r="T1387" i="6"/>
  <c r="T1070" i="6"/>
  <c r="T492" i="6"/>
  <c r="R651" i="6"/>
  <c r="T822" i="6"/>
  <c r="T29" i="6"/>
  <c r="R29" i="6" s="1"/>
  <c r="T911" i="6"/>
  <c r="R971" i="6"/>
  <c r="T1334" i="6"/>
  <c r="T1023" i="6"/>
  <c r="T742" i="6"/>
  <c r="R656" i="6"/>
  <c r="R1139" i="6"/>
  <c r="T570" i="6"/>
  <c r="R1125" i="6"/>
  <c r="R546" i="6"/>
  <c r="T987" i="6"/>
  <c r="T357" i="6"/>
  <c r="R357" i="6" s="1"/>
  <c r="R785" i="6"/>
  <c r="R1313" i="6"/>
  <c r="T774" i="6"/>
  <c r="T733" i="6"/>
  <c r="R911" i="6"/>
  <c r="T416" i="6"/>
  <c r="T874" i="6"/>
  <c r="R1296" i="6"/>
  <c r="R696" i="6"/>
  <c r="T951" i="6"/>
  <c r="T1189" i="6"/>
  <c r="T1368" i="6"/>
  <c r="T624" i="6"/>
  <c r="T1769" i="6"/>
  <c r="R779" i="6"/>
  <c r="T823" i="6"/>
  <c r="T725" i="6"/>
  <c r="R1020" i="6"/>
  <c r="T1264" i="6"/>
  <c r="R1359" i="6"/>
  <c r="R1086" i="6"/>
  <c r="T1257" i="6"/>
  <c r="R904" i="6"/>
  <c r="T337" i="6"/>
  <c r="R337" i="6" s="1"/>
  <c r="R632" i="6"/>
  <c r="R922" i="6"/>
  <c r="R825" i="6"/>
  <c r="T1452" i="6"/>
  <c r="R607" i="6"/>
  <c r="T1265" i="6"/>
  <c r="R807" i="6"/>
  <c r="R1312" i="6"/>
  <c r="R1144" i="6"/>
  <c r="R776" i="6"/>
  <c r="R597" i="6"/>
  <c r="R536" i="6"/>
  <c r="T574" i="6"/>
  <c r="R1097" i="6"/>
  <c r="R385" i="6"/>
  <c r="R1337" i="6"/>
  <c r="T1226" i="6"/>
  <c r="R497" i="6"/>
  <c r="R818" i="6"/>
  <c r="T281" i="6"/>
  <c r="R281" i="6" s="1"/>
  <c r="T1173" i="6"/>
  <c r="R907" i="6"/>
  <c r="T421" i="6"/>
  <c r="T1707" i="6"/>
  <c r="T336" i="6"/>
  <c r="R336" i="6" s="1"/>
  <c r="R1048" i="6"/>
  <c r="T1282" i="6"/>
  <c r="T1153" i="6"/>
  <c r="T592" i="6"/>
  <c r="R952" i="6"/>
  <c r="T1234" i="6"/>
  <c r="T1481" i="6"/>
  <c r="T1504" i="6"/>
  <c r="R985" i="6"/>
  <c r="R770" i="6"/>
  <c r="T1058" i="6"/>
  <c r="T1760" i="6"/>
  <c r="R465" i="6"/>
  <c r="R439" i="6"/>
  <c r="T851" i="6"/>
  <c r="T320" i="6"/>
  <c r="R320" i="6" s="1"/>
  <c r="T217" i="6"/>
  <c r="R217" i="6" s="1"/>
  <c r="R805" i="6"/>
  <c r="T576" i="6"/>
  <c r="T1288" i="6"/>
  <c r="R1145" i="6"/>
  <c r="T272" i="6"/>
  <c r="R272" i="6" s="1"/>
  <c r="T1533" i="6"/>
  <c r="T455" i="6"/>
  <c r="R916" i="6"/>
  <c r="T1953" i="6"/>
  <c r="R738" i="6"/>
  <c r="R610" i="6"/>
  <c r="T681" i="6"/>
  <c r="T1286" i="6"/>
  <c r="T898" i="6"/>
  <c r="R1173" i="6"/>
  <c r="T292" i="6"/>
  <c r="R292" i="6" s="1"/>
  <c r="R635" i="6"/>
  <c r="T1318" i="6"/>
  <c r="T1950" i="6"/>
  <c r="R987" i="6"/>
  <c r="T469" i="6"/>
  <c r="R636" i="6"/>
  <c r="T301" i="6"/>
  <c r="R301" i="6" s="1"/>
  <c r="R418" i="6"/>
  <c r="T1702" i="6"/>
  <c r="R866" i="6"/>
  <c r="R531" i="6"/>
  <c r="R1216" i="6"/>
  <c r="T310" i="6"/>
  <c r="R310" i="6" s="1"/>
  <c r="T890" i="6"/>
  <c r="R1274" i="6"/>
  <c r="T961" i="6"/>
  <c r="T378" i="6"/>
  <c r="T759" i="6"/>
  <c r="T820" i="6"/>
  <c r="R640" i="6"/>
  <c r="T519" i="6"/>
  <c r="R1041" i="6"/>
  <c r="T1784" i="6"/>
  <c r="T700" i="6"/>
  <c r="R1374" i="6"/>
  <c r="R469" i="6"/>
  <c r="R1295" i="6"/>
  <c r="T699" i="6"/>
  <c r="T839" i="6"/>
  <c r="T1435" i="6"/>
  <c r="T248" i="6"/>
  <c r="R248" i="6" s="1"/>
  <c r="T1299" i="6"/>
  <c r="R620" i="6"/>
  <c r="T1329" i="6"/>
  <c r="R984" i="6"/>
  <c r="R1360" i="6"/>
  <c r="T370" i="6"/>
  <c r="R370" i="6" s="1"/>
  <c r="T290" i="6"/>
  <c r="R290" i="6" s="1"/>
  <c r="T261" i="6"/>
  <c r="R261" i="6" s="1"/>
  <c r="R601" i="6"/>
  <c r="R467" i="6"/>
  <c r="R827" i="6"/>
  <c r="T182" i="6"/>
  <c r="R182" i="6" s="1"/>
  <c r="T1597" i="6"/>
  <c r="R928" i="6"/>
  <c r="R1147" i="6"/>
  <c r="T438" i="6"/>
  <c r="R1289" i="6"/>
  <c r="R1266" i="6"/>
  <c r="R508" i="6"/>
  <c r="T183" i="6"/>
  <c r="R183" i="6" s="1"/>
  <c r="T311" i="6"/>
  <c r="R311" i="6" s="1"/>
  <c r="R1238" i="6"/>
  <c r="R828" i="6"/>
  <c r="T1909" i="6"/>
  <c r="T104" i="6"/>
  <c r="R104" i="6" s="1"/>
  <c r="T1470" i="6"/>
  <c r="T166" i="6"/>
  <c r="R166" i="6" s="1"/>
  <c r="T440" i="6"/>
  <c r="T495" i="6"/>
  <c r="T1285" i="6"/>
  <c r="T697" i="6"/>
  <c r="T869" i="6"/>
  <c r="T1749" i="6"/>
  <c r="T1855" i="6"/>
  <c r="T295" i="6"/>
  <c r="R295" i="6" s="1"/>
  <c r="T1604" i="6"/>
  <c r="T216" i="6"/>
  <c r="R216" i="6" s="1"/>
  <c r="T210" i="6"/>
  <c r="R210" i="6" s="1"/>
  <c r="R499" i="6"/>
  <c r="T373" i="6"/>
  <c r="R373" i="6" s="1"/>
  <c r="T1644" i="6"/>
  <c r="R820" i="6"/>
  <c r="R388" i="6"/>
  <c r="T132" i="6"/>
  <c r="R132" i="6" s="1"/>
  <c r="R902" i="6"/>
  <c r="T803" i="6"/>
  <c r="R575" i="6"/>
  <c r="T1472" i="6"/>
  <c r="T322" i="6"/>
  <c r="R322" i="6" s="1"/>
  <c r="T1162" i="6"/>
  <c r="R1108" i="6"/>
  <c r="R1179" i="6"/>
  <c r="R603" i="6"/>
  <c r="R1100" i="6"/>
  <c r="T1207" i="6"/>
  <c r="T31" i="6"/>
  <c r="R31" i="6" s="1"/>
  <c r="T728" i="6"/>
  <c r="T1283" i="6"/>
  <c r="R1201" i="6"/>
  <c r="T680" i="6"/>
  <c r="T1043" i="6"/>
  <c r="R1367" i="6"/>
  <c r="R649" i="6"/>
  <c r="T1445" i="6"/>
  <c r="T1930" i="6"/>
  <c r="R765" i="6"/>
  <c r="R688" i="6"/>
  <c r="T1319" i="6"/>
  <c r="T1404" i="6"/>
  <c r="T1289" i="6"/>
  <c r="R516" i="6"/>
  <c r="R833" i="6"/>
  <c r="R1331" i="6"/>
  <c r="R1381" i="6"/>
  <c r="T429" i="6"/>
  <c r="T1184" i="6"/>
  <c r="T1787" i="6"/>
  <c r="T279" i="6"/>
  <c r="R279" i="6" s="1"/>
  <c r="T974" i="6"/>
  <c r="R454" i="6"/>
  <c r="R569" i="6"/>
  <c r="R434" i="6"/>
  <c r="T1230" i="6"/>
  <c r="R830" i="6"/>
  <c r="R957" i="6"/>
  <c r="R856" i="6"/>
  <c r="T541" i="6"/>
  <c r="T293" i="6"/>
  <c r="R293" i="6" s="1"/>
  <c r="R1294" i="6"/>
  <c r="R1240" i="6"/>
  <c r="T927" i="6"/>
  <c r="R1136" i="6"/>
  <c r="R693" i="6"/>
  <c r="R753" i="6"/>
  <c r="T204" i="6"/>
  <c r="R204" i="6" s="1"/>
  <c r="R1355" i="6"/>
  <c r="T1017" i="6"/>
  <c r="T821" i="6"/>
  <c r="R652" i="6"/>
  <c r="T426" i="6"/>
  <c r="T115" i="6"/>
  <c r="R115" i="6" s="1"/>
  <c r="R691" i="6"/>
  <c r="T1185" i="6"/>
  <c r="T1054" i="6"/>
  <c r="T628" i="6"/>
  <c r="T461" i="6"/>
  <c r="T1084" i="6"/>
  <c r="T829" i="6"/>
  <c r="T112" i="6"/>
  <c r="R112" i="6" s="1"/>
  <c r="T1706" i="6"/>
  <c r="T77" i="6"/>
  <c r="R77" i="6" s="1"/>
  <c r="T127" i="6"/>
  <c r="R127" i="6" s="1"/>
  <c r="R1278" i="6"/>
  <c r="T98" i="6"/>
  <c r="R98" i="6" s="1"/>
  <c r="T714" i="6"/>
  <c r="R629" i="6"/>
  <c r="T48" i="6"/>
  <c r="R48" i="6" s="1"/>
  <c r="T657" i="6"/>
  <c r="T589" i="6"/>
  <c r="R1067" i="6"/>
  <c r="T769" i="6"/>
  <c r="R1143" i="6"/>
  <c r="T1871" i="6"/>
  <c r="R1372" i="6"/>
  <c r="T1641" i="6"/>
  <c r="T1639" i="6"/>
  <c r="T128" i="6"/>
  <c r="R128" i="6" s="1"/>
  <c r="R427" i="6"/>
  <c r="T1121" i="6"/>
  <c r="T1640" i="6"/>
  <c r="T384" i="6"/>
  <c r="T979" i="6"/>
  <c r="T866" i="6"/>
  <c r="T1513" i="6"/>
  <c r="T640" i="6"/>
  <c r="R706" i="6"/>
  <c r="T838" i="6"/>
  <c r="T1728" i="6"/>
  <c r="T35" i="6"/>
  <c r="R35" i="6" s="1"/>
  <c r="T1461" i="6"/>
  <c r="R496" i="6"/>
  <c r="T865" i="6"/>
  <c r="T484" i="6"/>
  <c r="T230" i="6"/>
  <c r="R230" i="6" s="1"/>
  <c r="R864" i="6"/>
  <c r="R494" i="6"/>
  <c r="T327" i="6"/>
  <c r="T486" i="6"/>
  <c r="R750" i="6"/>
  <c r="R878" i="6"/>
  <c r="T583" i="6"/>
  <c r="T1462" i="6"/>
  <c r="R625" i="6"/>
  <c r="T1331" i="6"/>
  <c r="R1164" i="6"/>
  <c r="T1757" i="6"/>
  <c r="T708" i="6"/>
  <c r="R659" i="6"/>
  <c r="T14" i="6"/>
  <c r="R14" i="6" s="1"/>
  <c r="T277" i="6"/>
  <c r="R277" i="6" s="1"/>
  <c r="R1235" i="6"/>
  <c r="T513" i="6"/>
  <c r="T1057" i="6"/>
  <c r="T1115" i="6"/>
  <c r="T209" i="6"/>
  <c r="R209" i="6" s="1"/>
  <c r="T223" i="6"/>
  <c r="R223" i="6" s="1"/>
  <c r="R683" i="6"/>
  <c r="R1192" i="6"/>
  <c r="T757" i="6"/>
  <c r="T22" i="6"/>
  <c r="R22" i="6" s="1"/>
  <c r="R914" i="6"/>
  <c r="R1223" i="6"/>
  <c r="T1047" i="6"/>
  <c r="R1118" i="6"/>
  <c r="T213" i="6"/>
  <c r="R213" i="6" s="1"/>
  <c r="R955" i="6"/>
  <c r="T1900" i="6"/>
  <c r="T1902" i="6"/>
  <c r="R685" i="6"/>
  <c r="T340" i="6"/>
  <c r="R340" i="6" s="1"/>
  <c r="R823" i="6"/>
  <c r="T442" i="6"/>
  <c r="T1829" i="6"/>
  <c r="T78" i="6"/>
  <c r="R78" i="6" s="1"/>
  <c r="R761" i="6"/>
  <c r="R437" i="6"/>
  <c r="T86" i="6"/>
  <c r="R86" i="6" s="1"/>
  <c r="T334" i="6"/>
  <c r="R334" i="6" s="1"/>
  <c r="R530" i="6"/>
  <c r="R839" i="6"/>
  <c r="T1830" i="6"/>
  <c r="T590" i="6"/>
  <c r="R893" i="6"/>
  <c r="R1183" i="6"/>
  <c r="T682" i="6"/>
  <c r="T1742" i="6"/>
  <c r="R1234" i="6"/>
  <c r="R1198" i="6"/>
  <c r="R710" i="6"/>
  <c r="T451" i="6"/>
  <c r="T799" i="6"/>
  <c r="T192" i="6"/>
  <c r="R192" i="6" s="1"/>
  <c r="T707" i="6"/>
  <c r="T1311" i="6"/>
  <c r="T1872" i="6"/>
  <c r="T651" i="6"/>
  <c r="R468" i="6"/>
  <c r="T893" i="6"/>
  <c r="T966" i="6"/>
  <c r="T1232" i="6"/>
  <c r="R553" i="6"/>
  <c r="T470" i="6"/>
  <c r="T1873" i="6"/>
  <c r="T593" i="6"/>
  <c r="T760" i="6"/>
  <c r="T1798" i="6"/>
  <c r="T1571" i="6"/>
  <c r="R598" i="6"/>
  <c r="T125" i="6"/>
  <c r="R125" i="6" s="1"/>
  <c r="R1160" i="6"/>
  <c r="R714" i="6"/>
  <c r="T84" i="6"/>
  <c r="R84" i="6" s="1"/>
  <c r="R447" i="6"/>
  <c r="T25" i="6"/>
  <c r="R25" i="6" s="1"/>
  <c r="R698" i="6"/>
  <c r="R978" i="6"/>
  <c r="T1647" i="6"/>
  <c r="R875" i="6"/>
  <c r="R686" i="6"/>
  <c r="T1464" i="6"/>
  <c r="R896" i="6"/>
  <c r="T401" i="6"/>
  <c r="R401" i="6" s="1"/>
  <c r="T188" i="6"/>
  <c r="R188" i="6" s="1"/>
  <c r="T551" i="6"/>
  <c r="R1089" i="6"/>
  <c r="R924" i="6"/>
  <c r="R503" i="6"/>
  <c r="T886" i="6"/>
  <c r="R1249" i="6"/>
  <c r="R1357" i="6"/>
  <c r="R1253" i="6"/>
  <c r="R757" i="6"/>
  <c r="R900" i="6"/>
  <c r="T222" i="6"/>
  <c r="R222" i="6" s="1"/>
  <c r="T626" i="6"/>
  <c r="T546" i="6"/>
  <c r="T1365" i="6"/>
  <c r="R1269" i="6"/>
  <c r="T83" i="6"/>
  <c r="R83" i="6" s="1"/>
  <c r="T3" i="6"/>
  <c r="R3" i="6" s="1"/>
  <c r="T1851" i="6"/>
  <c r="R720" i="6"/>
  <c r="T339" i="6"/>
  <c r="R339" i="6" s="1"/>
  <c r="T259" i="6"/>
  <c r="R259" i="6" s="1"/>
  <c r="T1932" i="6"/>
  <c r="R1060" i="6"/>
  <c r="T4" i="6"/>
  <c r="R4" i="6" s="1"/>
  <c r="T1411" i="6"/>
  <c r="T897" i="6"/>
  <c r="R479" i="6"/>
  <c r="R1329" i="6"/>
  <c r="T65" i="6"/>
  <c r="R65" i="6" s="1"/>
  <c r="T962" i="6"/>
  <c r="T476" i="6"/>
  <c r="T577" i="6"/>
  <c r="T914" i="6"/>
  <c r="T1194" i="6"/>
  <c r="T1127" i="6"/>
  <c r="R769" i="6"/>
  <c r="R715" i="6"/>
  <c r="T371" i="6"/>
  <c r="R371" i="6" s="1"/>
  <c r="R650" i="6"/>
  <c r="T475" i="6"/>
  <c r="T1979" i="6"/>
  <c r="T1222" i="6"/>
  <c r="T568" i="6"/>
  <c r="T806" i="6"/>
  <c r="T1007" i="6"/>
  <c r="T1130" i="6"/>
  <c r="R961" i="6"/>
  <c r="T383" i="6"/>
  <c r="T287" i="6"/>
  <c r="R287" i="6" s="1"/>
  <c r="R752" i="6"/>
  <c r="T172" i="6"/>
  <c r="R172" i="6" s="1"/>
  <c r="R1375" i="6"/>
  <c r="T254" i="6"/>
  <c r="R254" i="6" s="1"/>
  <c r="T1581" i="6"/>
  <c r="T291" i="6"/>
  <c r="R291" i="6" s="1"/>
  <c r="R829" i="6"/>
  <c r="T452" i="6"/>
  <c r="R1282" i="6"/>
  <c r="R493" i="6"/>
  <c r="T1476" i="6"/>
  <c r="R763" i="6"/>
  <c r="T251" i="6"/>
  <c r="R251" i="6" s="1"/>
  <c r="R884" i="6"/>
  <c r="R729" i="6"/>
  <c r="R1019" i="6"/>
  <c r="T507" i="6"/>
  <c r="R648" i="6"/>
  <c r="R951" i="6"/>
  <c r="R382" i="6"/>
  <c r="T1448" i="6"/>
  <c r="R1327" i="6"/>
  <c r="R740" i="6"/>
  <c r="R644" i="6"/>
  <c r="T266" i="6"/>
  <c r="R266" i="6" s="1"/>
  <c r="R1078" i="6"/>
  <c r="R869" i="6"/>
  <c r="T555" i="6"/>
  <c r="T1718" i="6"/>
  <c r="R751" i="6"/>
  <c r="T218" i="6"/>
  <c r="R218" i="6" s="1"/>
  <c r="T1974" i="6"/>
  <c r="R1155" i="6"/>
  <c r="T186" i="6"/>
  <c r="R186" i="6" s="1"/>
  <c r="T163" i="6"/>
  <c r="R163" i="6" s="1"/>
  <c r="T1111" i="6"/>
  <c r="R689" i="6"/>
  <c r="T982" i="6"/>
  <c r="R1055" i="6"/>
  <c r="T1381" i="6"/>
  <c r="T1361" i="6"/>
  <c r="T36" i="6"/>
  <c r="R36" i="6" s="1"/>
  <c r="R1290" i="6"/>
  <c r="R423" i="6"/>
  <c r="T1362" i="6"/>
  <c r="T748" i="6"/>
  <c r="T119" i="6"/>
  <c r="R119" i="6" s="1"/>
  <c r="T1658" i="6"/>
  <c r="T514" i="6"/>
  <c r="T543" i="6"/>
  <c r="T91" i="6"/>
  <c r="R91" i="6" s="1"/>
  <c r="T267" i="6"/>
  <c r="R267" i="6" s="1"/>
  <c r="T227" i="6"/>
  <c r="R227" i="6" s="1"/>
  <c r="T208" i="6"/>
  <c r="R208" i="6" s="1"/>
  <c r="T347" i="6"/>
  <c r="R347" i="6" s="1"/>
  <c r="T168" i="6"/>
  <c r="R168" i="6" s="1"/>
  <c r="T1891" i="6"/>
  <c r="T1888" i="6"/>
  <c r="T1192" i="6"/>
  <c r="T907" i="6"/>
  <c r="T1556" i="6"/>
  <c r="T1553" i="6"/>
  <c r="T1134" i="6"/>
  <c r="T1998" i="6"/>
  <c r="R969" i="6"/>
  <c r="T89" i="6"/>
  <c r="R89" i="6" s="1"/>
  <c r="T255" i="6"/>
  <c r="R255" i="6" s="1"/>
  <c r="R1305" i="6"/>
  <c r="T784" i="6"/>
  <c r="T937" i="6"/>
  <c r="R993" i="6"/>
  <c r="R550" i="6"/>
  <c r="R515" i="6"/>
  <c r="R703" i="6"/>
  <c r="R791" i="6"/>
  <c r="R492" i="6"/>
  <c r="T1238" i="6"/>
  <c r="R438" i="6"/>
  <c r="R1199" i="6"/>
  <c r="R812" i="6"/>
  <c r="T179" i="6"/>
  <c r="R179" i="6" s="1"/>
  <c r="R1330" i="6"/>
  <c r="T756" i="6"/>
  <c r="T274" i="6"/>
  <c r="R274" i="6" s="1"/>
  <c r="R511" i="6"/>
  <c r="T691" i="6"/>
  <c r="T1002" i="6"/>
  <c r="T1792" i="6"/>
  <c r="T602" i="6"/>
  <c r="T80" i="6"/>
  <c r="R80" i="6" s="1"/>
  <c r="R1228" i="6"/>
  <c r="T736" i="6"/>
  <c r="T1099" i="6"/>
  <c r="T1065" i="6"/>
  <c r="T190" i="6"/>
  <c r="R190" i="6" s="1"/>
  <c r="T1005" i="6"/>
  <c r="T124" i="6"/>
  <c r="R124" i="6" s="1"/>
  <c r="T584" i="6"/>
  <c r="T111" i="6"/>
  <c r="R111" i="6" s="1"/>
  <c r="T818" i="6"/>
  <c r="T1052" i="6"/>
  <c r="T1210" i="6"/>
  <c r="T367" i="6"/>
  <c r="T754" i="6"/>
  <c r="T1977" i="6"/>
  <c r="T428" i="6"/>
  <c r="T103" i="6"/>
  <c r="R103" i="6" s="1"/>
  <c r="T1667" i="6"/>
  <c r="R1088" i="6"/>
  <c r="T587" i="6"/>
  <c r="T180" i="6"/>
  <c r="R180" i="6" s="1"/>
  <c r="R481" i="6"/>
  <c r="T121" i="6"/>
  <c r="T57" i="6"/>
  <c r="R57" i="6" s="1"/>
  <c r="T1686" i="6"/>
  <c r="R1087" i="6"/>
  <c r="T905" i="6"/>
  <c r="T1302" i="6"/>
  <c r="R1013" i="6"/>
  <c r="R669" i="6"/>
  <c r="R881" i="6"/>
  <c r="R1273" i="6"/>
  <c r="R1346" i="6"/>
  <c r="R1030" i="6"/>
  <c r="T368" i="6"/>
  <c r="R368" i="6" s="1"/>
  <c r="T5" i="6"/>
  <c r="R5" i="6" s="1"/>
  <c r="T390" i="6"/>
  <c r="R390" i="6" s="1"/>
  <c r="R1102" i="6"/>
  <c r="T787" i="6"/>
  <c r="T854" i="6"/>
  <c r="T619" i="6"/>
  <c r="R932" i="6"/>
  <c r="T1042" i="6"/>
  <c r="T1366" i="6"/>
  <c r="T220" i="6"/>
  <c r="R220" i="6" s="1"/>
  <c r="R662" i="6"/>
  <c r="T946" i="6"/>
  <c r="T58" i="6"/>
  <c r="R58" i="6" s="1"/>
  <c r="T1338" i="6"/>
  <c r="R1069" i="6"/>
  <c r="T1203" i="6"/>
  <c r="T1255" i="6"/>
  <c r="R614" i="6"/>
  <c r="T840" i="6"/>
  <c r="T1155" i="6"/>
  <c r="R963" i="6"/>
  <c r="T694" i="6"/>
  <c r="T85" i="6"/>
  <c r="R85" i="6" s="1"/>
  <c r="T581" i="6"/>
  <c r="R1152" i="6"/>
  <c r="T1239" i="6"/>
  <c r="T1112" i="6"/>
  <c r="R863" i="6"/>
  <c r="R981" i="6"/>
  <c r="R1268" i="6"/>
  <c r="T9" i="6"/>
  <c r="R9" i="6" s="1"/>
  <c r="T600" i="6"/>
  <c r="T284" i="6"/>
  <c r="R284" i="6" s="1"/>
  <c r="T1347" i="6"/>
  <c r="T10" i="6"/>
  <c r="R10" i="6" s="1"/>
  <c r="T265" i="6"/>
  <c r="R265" i="6" s="1"/>
  <c r="R1116" i="6"/>
  <c r="T751" i="6"/>
  <c r="R583" i="6"/>
  <c r="T1019" i="6"/>
  <c r="R1163" i="6"/>
  <c r="T225" i="6"/>
  <c r="R225" i="6" s="1"/>
  <c r="T883" i="6"/>
  <c r="R995" i="6"/>
  <c r="T1650" i="6"/>
  <c r="T1427" i="6"/>
  <c r="R883" i="6"/>
  <c r="R1325" i="6"/>
  <c r="R622" i="6"/>
  <c r="T870" i="6"/>
  <c r="R1085" i="6"/>
  <c r="R414" i="6"/>
  <c r="T503" i="6"/>
  <c r="T463" i="6"/>
  <c r="T53" i="6"/>
  <c r="R53" i="6" s="1"/>
  <c r="T685" i="6"/>
  <c r="R1196" i="6"/>
  <c r="T184" i="6"/>
  <c r="R184" i="6" s="1"/>
  <c r="R1184" i="6"/>
  <c r="T1209" i="6"/>
  <c r="T1903" i="6"/>
  <c r="R934" i="6"/>
  <c r="T1045" i="6"/>
  <c r="R965" i="6"/>
  <c r="R643" i="6"/>
  <c r="T1942" i="6"/>
  <c r="T352" i="6"/>
  <c r="R352" i="6" s="1"/>
  <c r="T306" i="6"/>
  <c r="R306" i="6" s="1"/>
  <c r="T901" i="6"/>
  <c r="T1026" i="6"/>
  <c r="T1699" i="6"/>
  <c r="R857" i="6"/>
  <c r="R413" i="6"/>
  <c r="T300" i="6"/>
  <c r="R300" i="6" s="1"/>
  <c r="R994" i="6"/>
  <c r="T1242" i="6"/>
  <c r="T385" i="6"/>
  <c r="R533" i="6"/>
  <c r="T944" i="6"/>
  <c r="T798" i="6"/>
  <c r="R784" i="6"/>
  <c r="R704" i="6"/>
  <c r="T157" i="6"/>
  <c r="R157" i="6" s="1"/>
  <c r="R912" i="6"/>
  <c r="T867" i="6"/>
  <c r="R1262" i="6"/>
  <c r="T1968" i="6"/>
  <c r="T601" i="6"/>
  <c r="R441" i="6"/>
  <c r="T1310" i="6"/>
  <c r="R1008" i="6"/>
  <c r="T1780" i="6"/>
  <c r="T129" i="6"/>
  <c r="R129" i="6" s="1"/>
  <c r="T1418" i="6"/>
  <c r="R1368" i="6"/>
  <c r="T1587" i="6"/>
  <c r="T207" i="6"/>
  <c r="R207" i="6" s="1"/>
  <c r="R808" i="6"/>
  <c r="R444" i="6"/>
  <c r="T842" i="6"/>
  <c r="T909" i="6"/>
  <c r="T400" i="6"/>
  <c r="R400" i="6" s="1"/>
  <c r="T613" i="6"/>
  <c r="R673" i="6"/>
  <c r="T637" i="6"/>
  <c r="T26" i="6"/>
  <c r="R26" i="6" s="1"/>
  <c r="T1336" i="6"/>
  <c r="R1077" i="6"/>
  <c r="T1653" i="6"/>
  <c r="R433" i="6"/>
  <c r="T808" i="6"/>
  <c r="T1086" i="6"/>
  <c r="R578" i="6"/>
  <c r="R733" i="6"/>
  <c r="R386" i="6"/>
  <c r="T1489" i="6"/>
  <c r="R1358" i="6"/>
  <c r="T720" i="6"/>
  <c r="T136" i="6"/>
  <c r="R136" i="6" s="1"/>
  <c r="R504" i="6"/>
  <c r="T1165" i="6"/>
  <c r="T250" i="6"/>
  <c r="R250" i="6" s="1"/>
  <c r="T1356" i="6"/>
  <c r="R742" i="6"/>
  <c r="R999" i="6"/>
  <c r="R954" i="6"/>
  <c r="R576" i="6"/>
  <c r="R975" i="6"/>
  <c r="T93" i="6"/>
  <c r="R93" i="6" s="1"/>
  <c r="R1157" i="6"/>
  <c r="T1848" i="6"/>
  <c r="T1978" i="6"/>
  <c r="T27" i="6"/>
  <c r="R27" i="6" s="1"/>
  <c r="R804" i="6"/>
  <c r="R843" i="6"/>
  <c r="R1379" i="6"/>
  <c r="T1364" i="6"/>
  <c r="T108" i="6"/>
  <c r="R108" i="6" s="1"/>
  <c r="R451" i="6"/>
  <c r="T1847" i="6"/>
  <c r="T1955" i="6"/>
  <c r="R786" i="6"/>
  <c r="R584" i="6"/>
  <c r="T341" i="6"/>
  <c r="R341" i="6" s="1"/>
  <c r="T159" i="6"/>
  <c r="R159" i="6" s="1"/>
  <c r="T1536" i="6"/>
  <c r="R1037" i="6"/>
  <c r="R1187" i="6"/>
  <c r="T130" i="6"/>
  <c r="R130" i="6" s="1"/>
  <c r="T830" i="6"/>
  <c r="R1288" i="6"/>
  <c r="T176" i="6"/>
  <c r="R176" i="6" s="1"/>
  <c r="R1154" i="6"/>
  <c r="T16" i="6"/>
  <c r="R16" i="6" s="1"/>
  <c r="T1372" i="6"/>
  <c r="R741" i="6"/>
  <c r="R1279" i="6"/>
  <c r="T848" i="6"/>
  <c r="T1142" i="6"/>
  <c r="T1837" i="6"/>
  <c r="T549" i="6"/>
  <c r="T305" i="6"/>
  <c r="R305" i="6" s="1"/>
  <c r="T817" i="6"/>
  <c r="R777" i="6"/>
  <c r="R367" i="6"/>
  <c r="T1094" i="6"/>
  <c r="R378" i="6"/>
  <c r="R1311" i="6"/>
  <c r="T1200" i="6"/>
  <c r="R809" i="6"/>
  <c r="R889" i="6"/>
  <c r="R860" i="6"/>
  <c r="T1215" i="6"/>
  <c r="R1109" i="6"/>
  <c r="T1294" i="6"/>
  <c r="R545" i="6"/>
  <c r="R898" i="6"/>
  <c r="T264" i="6"/>
  <c r="R264" i="6" s="1"/>
  <c r="R1319" i="6"/>
  <c r="R966" i="6"/>
  <c r="R973" i="6"/>
  <c r="R590" i="6"/>
  <c r="R1123" i="6"/>
  <c r="R509" i="6"/>
  <c r="T457" i="6"/>
  <c r="T1529" i="6"/>
  <c r="T1812" i="6"/>
  <c r="T1367" i="6"/>
  <c r="R1079" i="6"/>
  <c r="R600" i="6"/>
  <c r="T1231" i="6"/>
  <c r="R888" i="6"/>
  <c r="R1334" i="6"/>
  <c r="R599" i="6"/>
  <c r="T1186" i="6"/>
  <c r="R1049" i="6"/>
  <c r="T1975" i="6"/>
  <c r="T1485" i="6"/>
  <c r="T813" i="6"/>
  <c r="R489" i="6"/>
  <c r="R747" i="6"/>
  <c r="T1584" i="6"/>
  <c r="R1384" i="6"/>
  <c r="T715" i="6"/>
  <c r="R1018" i="6"/>
  <c r="T717" i="6"/>
  <c r="T777" i="6"/>
  <c r="R882" i="6"/>
  <c r="R440" i="6"/>
  <c r="T485" i="6"/>
  <c r="R775" i="6"/>
  <c r="T491" i="6"/>
  <c r="R1310" i="6"/>
  <c r="T612" i="6"/>
  <c r="R1241" i="6"/>
  <c r="T1339" i="6"/>
  <c r="T1171" i="6"/>
  <c r="R564" i="6"/>
  <c r="R1211" i="6"/>
  <c r="T1592" i="6"/>
  <c r="T397" i="6"/>
  <c r="R397" i="6" s="1"/>
  <c r="T856" i="6"/>
  <c r="R783" i="6"/>
  <c r="T1785" i="6"/>
  <c r="R885" i="6"/>
  <c r="T55" i="6"/>
  <c r="R55" i="6" s="1"/>
  <c r="R1148" i="6"/>
  <c r="T1884" i="6"/>
  <c r="T1263" i="6"/>
  <c r="R574" i="6"/>
  <c r="T1860" i="6"/>
  <c r="T965" i="6"/>
  <c r="R617" i="6"/>
  <c r="T1478" i="6"/>
  <c r="R1303" i="6"/>
  <c r="R711" i="6"/>
  <c r="T580" i="6"/>
  <c r="T122" i="6"/>
  <c r="R122" i="6" s="1"/>
  <c r="T1295" i="6"/>
  <c r="R667" i="6"/>
  <c r="T63" i="6"/>
  <c r="R63" i="6" s="1"/>
  <c r="T980" i="6"/>
  <c r="R1200" i="6"/>
  <c r="T467" i="6"/>
  <c r="R1385" i="6"/>
  <c r="T1947" i="6"/>
  <c r="T289" i="6"/>
  <c r="R289" i="6" s="1"/>
  <c r="T969" i="6"/>
  <c r="T1049" i="6"/>
  <c r="R409" i="6"/>
  <c r="T262" i="6"/>
  <c r="R262" i="6" s="1"/>
  <c r="R676" i="6"/>
  <c r="T533" i="6"/>
  <c r="T1406" i="6"/>
  <c r="R938" i="6"/>
  <c r="R1383" i="6"/>
  <c r="T509" i="6"/>
  <c r="T704" i="6"/>
  <c r="T929" i="6"/>
  <c r="T282" i="6"/>
  <c r="R282" i="6" s="1"/>
  <c r="T1961" i="6"/>
  <c r="R1043" i="6"/>
  <c r="T7" i="6"/>
  <c r="R7" i="6" s="1"/>
  <c r="R1121" i="6"/>
  <c r="R1156" i="6"/>
  <c r="T1735" i="6"/>
  <c r="R1036" i="6"/>
  <c r="R121" i="6"/>
  <c r="T380" i="6"/>
  <c r="R380" i="6" s="1"/>
  <c r="T1027" i="6"/>
  <c r="T37" i="6"/>
  <c r="R37" i="6" s="1"/>
  <c r="R892" i="6"/>
  <c r="T1223" i="6"/>
  <c r="R514" i="6"/>
  <c r="T196" i="6"/>
  <c r="R196" i="6" s="1"/>
  <c r="T144" i="6"/>
  <c r="R144" i="6" s="1"/>
  <c r="T313" i="6"/>
  <c r="R313" i="6" s="1"/>
  <c r="R615" i="6"/>
  <c r="T477" i="6"/>
  <c r="T1402" i="6"/>
  <c r="T140" i="6"/>
  <c r="R140" i="6" s="1"/>
  <c r="R581" i="6"/>
  <c r="R1025" i="6"/>
  <c r="R998" i="6"/>
  <c r="R445" i="6"/>
  <c r="T683" i="6"/>
  <c r="R1363" i="6"/>
  <c r="R787" i="6"/>
  <c r="T1287" i="6"/>
  <c r="R1333" i="6"/>
  <c r="R797" i="6"/>
  <c r="T588" i="6"/>
  <c r="T775" i="6"/>
  <c r="R646" i="6"/>
  <c r="T916" i="6"/>
  <c r="R554" i="6"/>
  <c r="R580" i="6"/>
  <c r="T498" i="6"/>
  <c r="T1075" i="6"/>
  <c r="T324" i="6"/>
  <c r="R324" i="6" s="1"/>
  <c r="T963" i="6"/>
  <c r="T931" i="6"/>
  <c r="T81" i="6"/>
  <c r="R81" i="6" s="1"/>
  <c r="T688" i="6"/>
  <c r="R731" i="6"/>
  <c r="T377" i="6"/>
  <c r="R377" i="6" s="1"/>
  <c r="R616" i="6"/>
  <c r="T768" i="6"/>
  <c r="T1576" i="6"/>
  <c r="R566" i="6"/>
  <c r="T527" i="6"/>
  <c r="T1039" i="6"/>
  <c r="R721" i="6"/>
  <c r="R946" i="6"/>
  <c r="R968" i="6"/>
  <c r="T245" i="6"/>
  <c r="R245" i="6" s="1"/>
  <c r="R953" i="6"/>
  <c r="T1423" i="6"/>
  <c r="T1078" i="6"/>
  <c r="R933" i="6"/>
  <c r="T1963" i="6"/>
  <c r="R1185" i="6"/>
  <c r="T1895" i="6"/>
  <c r="T101" i="6"/>
  <c r="R101" i="6" s="1"/>
  <c r="T1092" i="6"/>
  <c r="T1399" i="6"/>
  <c r="T629" i="6"/>
  <c r="T785" i="6"/>
  <c r="T1292" i="6"/>
  <c r="T1730" i="6"/>
  <c r="R462" i="6"/>
  <c r="T1734" i="6"/>
  <c r="T1132" i="6"/>
  <c r="R861" i="6"/>
  <c r="R428" i="6"/>
  <c r="T1726" i="6"/>
  <c r="T770" i="6"/>
  <c r="R824" i="6"/>
  <c r="T1107" i="6"/>
  <c r="T1537" i="6"/>
  <c r="T1608" i="6"/>
  <c r="R672" i="6"/>
  <c r="R1058" i="6"/>
  <c r="R490" i="6"/>
  <c r="T1762" i="6"/>
  <c r="R1297" i="6"/>
  <c r="T1273" i="6"/>
  <c r="T1262" i="6"/>
  <c r="T1233" i="6"/>
  <c r="R1260" i="6"/>
  <c r="R855" i="6"/>
  <c r="T836" i="6"/>
  <c r="R1209" i="6"/>
  <c r="T1439" i="6"/>
  <c r="R980" i="6"/>
  <c r="T1962" i="6"/>
  <c r="T547" i="6"/>
  <c r="T389" i="6"/>
  <c r="R389" i="6" s="1"/>
  <c r="R821" i="6"/>
  <c r="T1941" i="6"/>
  <c r="T1914" i="6"/>
  <c r="T1152" i="6"/>
  <c r="T45" i="6"/>
  <c r="R45" i="6" s="1"/>
  <c r="T395" i="6"/>
  <c r="R1035" i="6"/>
  <c r="T1220" i="6"/>
  <c r="T362" i="6"/>
  <c r="R362" i="6" s="1"/>
  <c r="T427" i="6"/>
  <c r="R1080" i="6"/>
  <c r="T109" i="6"/>
  <c r="R109" i="6" s="1"/>
  <c r="T945" i="6"/>
  <c r="T1752" i="6"/>
  <c r="R1002" i="6"/>
  <c r="R1365" i="6"/>
  <c r="T695" i="6"/>
  <c r="T861" i="6"/>
  <c r="R851" i="6"/>
  <c r="T518" i="6"/>
  <c r="T1938" i="6"/>
  <c r="R1084" i="6"/>
  <c r="R1214" i="6"/>
  <c r="T1151" i="6"/>
  <c r="T1512" i="6"/>
  <c r="T1579" i="6"/>
  <c r="T1995" i="6"/>
  <c r="R1270" i="6"/>
  <c r="T968" i="6"/>
  <c r="T878" i="6"/>
  <c r="T1270" i="6"/>
  <c r="T1348" i="6"/>
  <c r="R873" i="6"/>
  <c r="R487" i="6"/>
  <c r="T44" i="6"/>
  <c r="R44" i="6" s="1"/>
  <c r="T205" i="6"/>
  <c r="R205" i="6" s="1"/>
  <c r="T991" i="6"/>
  <c r="R1328" i="6"/>
  <c r="R1170" i="6"/>
  <c r="T765" i="6"/>
  <c r="T66" i="6"/>
  <c r="R66" i="6" s="1"/>
  <c r="R547" i="6"/>
  <c r="R1188" i="6"/>
  <c r="T632" i="6"/>
  <c r="T752" i="6"/>
  <c r="R1243" i="6"/>
  <c r="T1577" i="6"/>
  <c r="T1611" i="6"/>
  <c r="T1391" i="6"/>
  <c r="T1859" i="6"/>
  <c r="T1325" i="6"/>
  <c r="R879" i="6"/>
  <c r="T1591" i="6"/>
  <c r="T875" i="6"/>
  <c r="T493" i="6"/>
  <c r="R819" i="6"/>
  <c r="R1225" i="6"/>
  <c r="R926" i="6"/>
  <c r="R1224" i="6"/>
  <c r="T54" i="6"/>
  <c r="R54" i="6" s="1"/>
  <c r="R1323" i="6"/>
  <c r="R534" i="6"/>
  <c r="R990" i="6"/>
  <c r="T1989" i="6"/>
  <c r="R996" i="6"/>
  <c r="T746" i="6"/>
  <c r="T802" i="6"/>
  <c r="T1371" i="6"/>
  <c r="R403" i="6"/>
  <c r="R1251" i="6"/>
  <c r="T1479" i="6"/>
  <c r="R502" i="6"/>
  <c r="T106" i="6"/>
  <c r="R106" i="6" s="1"/>
  <c r="R475" i="6"/>
  <c r="R559" i="6"/>
  <c r="R1044" i="6"/>
  <c r="R1292" i="6"/>
  <c r="R449" i="6"/>
  <c r="R1301" i="6"/>
  <c r="T1062" i="6"/>
  <c r="T95" i="6"/>
  <c r="R95" i="6" s="1"/>
  <c r="T786" i="6"/>
  <c r="T988" i="6"/>
  <c r="T1635" i="6"/>
  <c r="T1217" i="6"/>
  <c r="R768" i="6"/>
  <c r="T723" i="6"/>
  <c r="R1073" i="6"/>
  <c r="T1240" i="6"/>
  <c r="T666" i="6"/>
  <c r="R1219" i="6"/>
  <c r="T194" i="6"/>
  <c r="R194" i="6" s="1"/>
  <c r="T860" i="6"/>
  <c r="T1384" i="6"/>
  <c r="R529" i="6"/>
  <c r="T21" i="6"/>
  <c r="R21" i="6" s="1"/>
  <c r="T1106" i="6"/>
  <c r="T1380" i="6"/>
  <c r="T1393" i="6"/>
  <c r="R941" i="6"/>
  <c r="R745" i="6"/>
  <c r="R792" i="6"/>
  <c r="R633" i="6"/>
  <c r="T234" i="6"/>
  <c r="R234" i="6" s="1"/>
  <c r="R1356" i="6"/>
  <c r="R1280" i="6"/>
  <c r="T1488" i="6"/>
  <c r="T906" i="6"/>
  <c r="T1116" i="6"/>
  <c r="T1403" i="6"/>
  <c r="R486" i="6"/>
  <c r="T1450" i="6"/>
  <c r="T652" i="6"/>
  <c r="R605" i="6"/>
  <c r="T1835" i="6"/>
  <c r="T788" i="6"/>
  <c r="R670" i="6"/>
  <c r="R1309" i="6"/>
  <c r="T1350" i="6"/>
  <c r="T1522" i="6"/>
  <c r="T1506" i="6"/>
  <c r="R1095" i="6"/>
  <c r="R1071" i="6"/>
  <c r="T539" i="6"/>
  <c r="R897" i="6"/>
  <c r="T1249" i="6"/>
  <c r="R695" i="6"/>
  <c r="T782" i="6"/>
  <c r="R894" i="6"/>
  <c r="R1032" i="6"/>
  <c r="T1156" i="6"/>
  <c r="R1010" i="6"/>
  <c r="T1109" i="6"/>
  <c r="T1868" i="6"/>
  <c r="T280" i="6"/>
  <c r="R280" i="6" s="1"/>
  <c r="T1433" i="6"/>
  <c r="T1305" i="6"/>
  <c r="R735" i="6"/>
  <c r="T256" i="6"/>
  <c r="R256" i="6" s="1"/>
  <c r="T355" i="6"/>
  <c r="R355" i="6" s="1"/>
  <c r="T1510" i="6"/>
  <c r="T913" i="6"/>
  <c r="R417" i="6"/>
  <c r="T30" i="6"/>
  <c r="R30" i="6" s="1"/>
  <c r="T1091" i="6"/>
  <c r="T1921" i="6"/>
  <c r="T986" i="6"/>
  <c r="R730" i="6"/>
  <c r="T1637" i="6"/>
  <c r="T608" i="6"/>
  <c r="R420" i="6"/>
  <c r="T502" i="6"/>
  <c r="T96" i="6"/>
  <c r="R96" i="6" s="1"/>
  <c r="T1465" i="6"/>
  <c r="T523" i="6"/>
  <c r="T1122" i="6"/>
  <c r="R1137" i="6"/>
  <c r="T116" i="6"/>
  <c r="R116" i="6" s="1"/>
  <c r="T1745" i="6"/>
  <c r="T1774" i="6"/>
  <c r="T1466" i="6"/>
  <c r="R1203" i="6"/>
  <c r="T219" i="6"/>
  <c r="R219" i="6" s="1"/>
  <c r="R412" i="6"/>
  <c r="R701" i="6"/>
  <c r="R1083" i="6"/>
  <c r="R591" i="6"/>
  <c r="R452" i="6"/>
  <c r="T1441" i="6"/>
  <c r="R739" i="6"/>
  <c r="R712" i="6"/>
  <c r="T1089" i="6"/>
  <c r="R383" i="6"/>
  <c r="R903" i="6"/>
  <c r="T1815" i="6"/>
  <c r="R1168" i="6"/>
  <c r="R948" i="6"/>
  <c r="R997" i="6"/>
  <c r="R681" i="6"/>
  <c r="T1008" i="6"/>
  <c r="T464" i="6"/>
  <c r="T1131" i="6"/>
  <c r="T448" i="6"/>
  <c r="T353" i="6"/>
  <c r="R353" i="6" s="1"/>
  <c r="R1247" i="6"/>
  <c r="R1341" i="6"/>
  <c r="T672" i="6"/>
  <c r="R1075" i="6"/>
  <c r="R1350" i="6"/>
  <c r="R794" i="6"/>
  <c r="T939" i="6"/>
  <c r="R1371" i="6"/>
  <c r="T67" i="6"/>
  <c r="R67" i="6" s="1"/>
  <c r="T435" i="6"/>
  <c r="T609" i="6"/>
  <c r="T1140" i="6"/>
  <c r="T1705" i="6"/>
  <c r="T530" i="6"/>
  <c r="T1243" i="6"/>
  <c r="T1484" i="6"/>
  <c r="R1166" i="6"/>
  <c r="T288" i="6"/>
  <c r="R288" i="6" s="1"/>
  <c r="T439" i="6"/>
  <c r="R461" i="6"/>
  <c r="R813" i="6"/>
  <c r="T296" i="6"/>
  <c r="R296" i="6" s="1"/>
  <c r="R666" i="6"/>
  <c r="R608" i="6"/>
  <c r="T252" i="6"/>
  <c r="R252" i="6" s="1"/>
  <c r="T1831" i="6"/>
  <c r="T376" i="6"/>
  <c r="T17" i="6"/>
  <c r="R17" i="6" s="1"/>
  <c r="T1010" i="6"/>
  <c r="R471" i="6"/>
  <c r="T229" i="6"/>
  <c r="R229" i="6" s="1"/>
  <c r="T1542" i="6"/>
  <c r="T1770" i="6"/>
  <c r="T247" i="6"/>
  <c r="R247" i="6" s="1"/>
  <c r="T1740" i="6"/>
  <c r="R1308" i="6"/>
  <c r="T960" i="6"/>
  <c r="T1609" i="6"/>
  <c r="R723" i="6"/>
  <c r="T1832" i="6"/>
  <c r="T145" i="6"/>
  <c r="R145" i="6" s="1"/>
  <c r="T877" i="6"/>
  <c r="R532" i="6"/>
  <c r="R976" i="6"/>
  <c r="R538" i="6"/>
  <c r="T1219" i="6"/>
  <c r="R1281" i="6"/>
  <c r="R327" i="6"/>
  <c r="R411" i="6"/>
  <c r="R396" i="6"/>
  <c r="R1015" i="6"/>
  <c r="T1330" i="6"/>
  <c r="T1245" i="6"/>
  <c r="R756" i="6"/>
  <c r="T1929" i="6"/>
  <c r="R520" i="6"/>
  <c r="T329" i="6"/>
  <c r="R329" i="6" s="1"/>
  <c r="R604" i="6"/>
  <c r="R806" i="6"/>
  <c r="R478" i="6"/>
  <c r="T1793" i="6"/>
  <c r="R736" i="6"/>
  <c r="T896" i="6"/>
  <c r="R543" i="6"/>
  <c r="R562" i="6"/>
  <c r="T231" i="6"/>
  <c r="R231" i="6" s="1"/>
  <c r="R1005" i="6"/>
  <c r="R1053" i="6"/>
  <c r="T819" i="6"/>
  <c r="R1193" i="6"/>
  <c r="T1022" i="6"/>
  <c r="T1827" i="6"/>
  <c r="T258" i="6"/>
  <c r="R258" i="6" s="1"/>
  <c r="T995" i="6"/>
  <c r="T941" i="6"/>
  <c r="R917" i="6"/>
  <c r="T1629" i="6"/>
  <c r="T1919" i="6"/>
  <c r="T1685" i="6"/>
  <c r="R1033" i="6"/>
  <c r="T741" i="6"/>
  <c r="T1358" i="6"/>
  <c r="T1436" i="6"/>
  <c r="R618" i="6"/>
  <c r="R925" i="6"/>
  <c r="R1231" i="6"/>
  <c r="T719" i="6"/>
  <c r="R988" i="6"/>
  <c r="T1844" i="6"/>
  <c r="T1095" i="6"/>
  <c r="T1683" i="6"/>
  <c r="T1237" i="6"/>
  <c r="T771" i="6"/>
  <c r="T924" i="6"/>
  <c r="T1559" i="6"/>
  <c r="R1114" i="6"/>
  <c r="T1954" i="6"/>
  <c r="R501" i="6"/>
  <c r="R506" i="6"/>
  <c r="R1011" i="6"/>
  <c r="T139" i="6"/>
  <c r="R139" i="6" s="1"/>
  <c r="R887" i="6"/>
  <c r="R613" i="6"/>
  <c r="R844" i="6"/>
  <c r="R876" i="6"/>
  <c r="T1493" i="6"/>
  <c r="T1980" i="6"/>
  <c r="T650" i="6"/>
  <c r="T76" i="6"/>
  <c r="R76" i="6" s="1"/>
  <c r="R402" i="6"/>
  <c r="R1202" i="6"/>
  <c r="T1395" i="6"/>
  <c r="T1458" i="6"/>
  <c r="R429" i="6"/>
  <c r="T1853" i="6"/>
  <c r="R548" i="6"/>
  <c r="R936" i="6"/>
  <c r="R679" i="6"/>
  <c r="R619" i="6"/>
  <c r="T60" i="6"/>
  <c r="R60" i="6" s="1"/>
  <c r="T1378" i="6"/>
  <c r="T606" i="6"/>
  <c r="R901" i="6"/>
  <c r="T1163" i="6"/>
  <c r="T585" i="6"/>
  <c r="R419" i="6"/>
  <c r="T141" i="6"/>
  <c r="R141" i="6" s="1"/>
  <c r="R717" i="6"/>
  <c r="R661" i="6"/>
  <c r="T1225" i="6"/>
  <c r="R1248" i="6"/>
  <c r="R1106" i="6"/>
  <c r="R1256" i="6"/>
  <c r="R991" i="6"/>
  <c r="R1101" i="6"/>
  <c r="T1560" i="6"/>
  <c r="T1976" i="6"/>
  <c r="T1178" i="6"/>
  <c r="T366" i="6"/>
  <c r="R982" i="6"/>
  <c r="T508" i="6"/>
  <c r="R1194" i="6"/>
  <c r="T1028" i="6"/>
  <c r="T1077" i="6"/>
  <c r="T948" i="6"/>
  <c r="R1162" i="6"/>
  <c r="T1248" i="6"/>
  <c r="T349" i="6"/>
  <c r="R349" i="6" s="1"/>
  <c r="T1572" i="6"/>
  <c r="T238" i="6"/>
  <c r="R238" i="6" s="1"/>
  <c r="T113" i="6"/>
  <c r="R113" i="6" s="1"/>
  <c r="T1068" i="6"/>
  <c r="T1161" i="6"/>
  <c r="R472" i="6"/>
  <c r="T1101" i="6"/>
  <c r="T211" i="6"/>
  <c r="R211" i="6" s="1"/>
  <c r="R1207" i="6"/>
  <c r="R815" i="6"/>
  <c r="T24" i="6"/>
  <c r="R24" i="6" s="1"/>
  <c r="T19" i="6"/>
  <c r="R19" i="6" s="1"/>
  <c r="T1804" i="6"/>
  <c r="T88" i="6"/>
  <c r="R88" i="6" s="1"/>
  <c r="T1541" i="6"/>
  <c r="R544" i="6"/>
  <c r="T356" i="6"/>
  <c r="R356" i="6" s="1"/>
  <c r="T1425" i="6"/>
  <c r="T1454" i="6"/>
  <c r="T1693" i="6"/>
  <c r="T1588" i="6"/>
  <c r="T718" i="6"/>
  <c r="T1720" i="6"/>
  <c r="T1025" i="6"/>
  <c r="T1459" i="6"/>
  <c r="T1731" i="6"/>
  <c r="T1988" i="6"/>
  <c r="T964" i="6"/>
  <c r="T1520" i="6"/>
  <c r="T623" i="6"/>
  <c r="T1912" i="6"/>
  <c r="R852" i="6"/>
  <c r="T235" i="6"/>
  <c r="R235" i="6" s="1"/>
  <c r="R1158" i="6"/>
  <c r="R1119" i="6"/>
  <c r="T726" i="6"/>
  <c r="R535" i="6"/>
  <c r="T566" i="6"/>
  <c r="R1369" i="6"/>
  <c r="T1216" i="6"/>
  <c r="T827" i="6"/>
  <c r="T807" i="6"/>
  <c r="R1149" i="6"/>
  <c r="T298" i="6"/>
  <c r="R298" i="6" s="1"/>
  <c r="T1298" i="6"/>
  <c r="R555" i="6"/>
  <c r="R446" i="6"/>
  <c r="R832" i="6"/>
  <c r="R849" i="6"/>
  <c r="T1758" i="6"/>
  <c r="R1059" i="6"/>
  <c r="R931" i="6"/>
  <c r="R1237" i="6"/>
  <c r="R585" i="6"/>
  <c r="T1179" i="6"/>
  <c r="T797" i="6"/>
  <c r="T1141" i="6"/>
  <c r="T46" i="6"/>
  <c r="R46" i="6" s="1"/>
  <c r="T1657" i="6"/>
  <c r="T1736" i="6"/>
  <c r="T649" i="6"/>
  <c r="T617" i="6"/>
  <c r="R744" i="6"/>
  <c r="R1186" i="6"/>
  <c r="R1153" i="6"/>
  <c r="R841" i="6"/>
  <c r="R1182" i="6"/>
  <c r="R906" i="6"/>
  <c r="T1159" i="6"/>
  <c r="R1336" i="6"/>
  <c r="R1076" i="6"/>
  <c r="R363" i="6"/>
  <c r="R675" i="6"/>
  <c r="T2001" i="6"/>
  <c r="R1167" i="6"/>
  <c r="R448" i="6"/>
  <c r="R788" i="6"/>
  <c r="T1385" i="6"/>
  <c r="R759" i="6"/>
  <c r="T1544" i="6"/>
  <c r="T133" i="6"/>
  <c r="R133" i="6" s="1"/>
  <c r="T729" i="6"/>
  <c r="R758" i="6"/>
  <c r="T921" i="6"/>
  <c r="T792" i="6"/>
  <c r="T243" i="6"/>
  <c r="R243" i="6" s="1"/>
  <c r="R491" i="6"/>
  <c r="R1009" i="6"/>
  <c r="R1057" i="6"/>
  <c r="T372" i="6"/>
  <c r="R372" i="6" s="1"/>
  <c r="T1011" i="6"/>
  <c r="R405" i="6"/>
  <c r="T32" i="6"/>
  <c r="R32" i="6" s="1"/>
  <c r="T1351" i="6"/>
  <c r="T1502" i="6"/>
  <c r="T1797" i="6"/>
  <c r="T226" i="6"/>
  <c r="R226" i="6" s="1"/>
  <c r="R764" i="6"/>
  <c r="T510" i="6"/>
  <c r="T1618" i="6"/>
  <c r="T1994" i="6"/>
  <c r="T1874" i="6"/>
  <c r="T563" i="6"/>
  <c r="T1307" i="6"/>
  <c r="T1810" i="6"/>
  <c r="T537" i="6"/>
  <c r="T1911" i="6"/>
  <c r="T193" i="6"/>
  <c r="R193" i="6" s="1"/>
  <c r="T1698" i="6"/>
  <c r="T1082" i="6"/>
  <c r="T1407" i="6"/>
  <c r="T1346" i="6"/>
  <c r="T1128" i="6"/>
  <c r="R1026" i="6"/>
  <c r="T1782" i="6"/>
  <c r="T1631" i="6"/>
  <c r="R1205" i="6"/>
  <c r="R859" i="6"/>
  <c r="R822" i="6"/>
  <c r="R1004" i="6"/>
  <c r="R1092" i="6"/>
  <c r="T468" i="6"/>
  <c r="T616" i="6"/>
  <c r="T790" i="6"/>
  <c r="T41" i="6"/>
  <c r="R41" i="6" s="1"/>
  <c r="R1335" i="6"/>
  <c r="R1131" i="6"/>
  <c r="R473" i="6"/>
  <c r="R1257" i="6"/>
  <c r="R568" i="6"/>
  <c r="R774" i="6"/>
  <c r="R790" i="6"/>
  <c r="R1242" i="6"/>
  <c r="R1171" i="6"/>
  <c r="T62" i="6"/>
  <c r="R62" i="6" s="1"/>
  <c r="T200" i="6"/>
  <c r="R200" i="6" s="1"/>
  <c r="R927" i="6"/>
  <c r="R466" i="6"/>
  <c r="R540" i="6"/>
  <c r="R1103" i="6"/>
  <c r="T1430" i="6"/>
  <c r="T814" i="6"/>
  <c r="T766" i="6"/>
  <c r="R1233" i="6"/>
  <c r="R1324" i="6"/>
  <c r="R1027" i="6"/>
  <c r="T28" i="6"/>
  <c r="R28" i="6" s="1"/>
  <c r="T1355" i="6"/>
  <c r="R407" i="6"/>
  <c r="R724" i="6"/>
  <c r="R522" i="6"/>
  <c r="T912" i="6"/>
  <c r="R541" i="6"/>
  <c r="R655" i="6"/>
  <c r="T943" i="6"/>
  <c r="R1344" i="6"/>
  <c r="R463" i="6"/>
  <c r="R801" i="6"/>
  <c r="T50" i="6"/>
  <c r="R50" i="6" s="1"/>
  <c r="T148" i="6"/>
  <c r="R148" i="6" s="1"/>
  <c r="T833" i="6"/>
  <c r="T676" i="6"/>
  <c r="T1001" i="6"/>
  <c r="T690" i="6"/>
  <c r="T1619" i="6"/>
  <c r="R1314" i="6"/>
  <c r="T1885" i="6"/>
  <c r="R1322" i="6"/>
  <c r="R1066" i="6"/>
  <c r="T1599" i="6"/>
  <c r="R517" i="6"/>
  <c r="T1959" i="6"/>
  <c r="T1548" i="6"/>
  <c r="R519" i="6"/>
  <c r="T776" i="6"/>
  <c r="R760" i="6"/>
  <c r="T1764" i="6"/>
  <c r="T849" i="6"/>
  <c r="T134" i="6"/>
  <c r="R134" i="6" s="1"/>
  <c r="T1973" i="6"/>
  <c r="T789" i="6"/>
  <c r="T1746" i="6"/>
  <c r="T761" i="6"/>
  <c r="T237" i="6"/>
  <c r="R237" i="6" s="1"/>
  <c r="R364" i="6"/>
  <c r="T1281" i="6"/>
  <c r="T1778" i="6"/>
  <c r="R1217" i="6"/>
  <c r="T242" i="6"/>
  <c r="R242" i="6" s="1"/>
  <c r="R967" i="6"/>
  <c r="T156" i="6"/>
  <c r="R156" i="6" s="1"/>
  <c r="T809" i="6"/>
  <c r="R565" i="6"/>
  <c r="R657" i="6"/>
  <c r="R1050" i="6"/>
  <c r="R1264" i="6"/>
  <c r="T318" i="6"/>
  <c r="R318" i="6" s="1"/>
  <c r="T1691" i="6"/>
  <c r="R1138" i="6"/>
  <c r="T1044" i="6"/>
  <c r="T18" i="6"/>
  <c r="R18" i="6" s="1"/>
  <c r="R1276" i="6"/>
  <c r="T1138" i="6"/>
  <c r="R1117" i="6"/>
  <c r="T930" i="6"/>
  <c r="R432" i="6"/>
  <c r="T270" i="6"/>
  <c r="R270" i="6" s="1"/>
  <c r="T954" i="6"/>
  <c r="R762" i="6"/>
  <c r="R582" i="6"/>
  <c r="R557" i="6"/>
  <c r="T531" i="6"/>
  <c r="T545" i="6"/>
  <c r="R793" i="6"/>
  <c r="T1170" i="6"/>
  <c r="T1991" i="6"/>
  <c r="R1226" i="6"/>
  <c r="R527" i="6"/>
  <c r="T739" i="6"/>
  <c r="R1052" i="6"/>
  <c r="T1266" i="6"/>
  <c r="T408" i="6"/>
  <c r="T1181" i="6"/>
  <c r="T780" i="6"/>
  <c r="R880" i="6"/>
  <c r="T203" i="6"/>
  <c r="R203" i="6" s="1"/>
  <c r="R890" i="6"/>
  <c r="R1178" i="6"/>
  <c r="R549" i="6"/>
  <c r="T1110" i="6"/>
  <c r="R1165" i="6"/>
  <c r="T23" i="6"/>
  <c r="R23" i="6" s="1"/>
  <c r="T1133" i="6"/>
  <c r="T479" i="6"/>
  <c r="T1098" i="6"/>
  <c r="T542" i="6"/>
  <c r="R609" i="6"/>
  <c r="R1012" i="6"/>
  <c r="R1127" i="6"/>
  <c r="T409" i="6"/>
  <c r="T1697" i="6"/>
  <c r="T74" i="6"/>
  <c r="R74" i="6" s="1"/>
  <c r="R846" i="6"/>
  <c r="T900" i="6"/>
  <c r="T365" i="6"/>
  <c r="R365" i="6" s="1"/>
  <c r="R1016" i="6"/>
  <c r="T1781" i="6"/>
  <c r="T431" i="6"/>
  <c r="T892" i="6"/>
  <c r="R972" i="6"/>
  <c r="R1306" i="6"/>
  <c r="T1261" i="6"/>
  <c r="T956" i="6"/>
  <c r="T1349" i="6"/>
  <c r="T1920" i="6"/>
  <c r="T1291" i="6"/>
  <c r="R970" i="6"/>
  <c r="T1916" i="6"/>
  <c r="T354" i="6"/>
  <c r="R354" i="6" s="1"/>
  <c r="T1925" i="6"/>
  <c r="T1516" i="6"/>
  <c r="T1936" i="6"/>
  <c r="T1333" i="6"/>
  <c r="T1206" i="6"/>
  <c r="T1304" i="6"/>
  <c r="T665" i="6"/>
  <c r="T1352" i="6"/>
  <c r="R521" i="6"/>
  <c r="R1283" i="6"/>
  <c r="R1230" i="6"/>
  <c r="R920" i="6"/>
  <c r="R1045" i="6"/>
  <c r="T92" i="6"/>
  <c r="R92" i="6" s="1"/>
  <c r="T605" i="6"/>
  <c r="R579" i="6"/>
  <c r="T1907" i="6"/>
  <c r="R1063" i="6"/>
  <c r="R1227" i="6"/>
  <c r="R658" i="6"/>
  <c r="R1040" i="6"/>
  <c r="R848" i="6"/>
  <c r="T1518" i="6"/>
  <c r="R573" i="6"/>
  <c r="T1733" i="6"/>
  <c r="R1258" i="6"/>
  <c r="T505" i="6"/>
  <c r="T562" i="6"/>
  <c r="T346" i="6"/>
  <c r="R346" i="6" s="1"/>
  <c r="T1085" i="6"/>
  <c r="T1563" i="6"/>
  <c r="T249" i="6"/>
  <c r="R249" i="6" s="1"/>
  <c r="R1047" i="6"/>
  <c r="T1100" i="6"/>
  <c r="R596" i="6"/>
  <c r="R831" i="6"/>
  <c r="R1252" i="6"/>
  <c r="T1893" i="6"/>
  <c r="T1429" i="6"/>
  <c r="T1147" i="6"/>
  <c r="R1096" i="6"/>
  <c r="T932" i="6"/>
  <c r="T1037" i="6"/>
  <c r="R430" i="6"/>
  <c r="R870" i="6"/>
  <c r="R1062" i="6"/>
  <c r="T843" i="6"/>
  <c r="R682" i="6"/>
  <c r="T557" i="6"/>
  <c r="R458" i="6"/>
  <c r="T8" i="6"/>
  <c r="R8" i="6" s="1"/>
  <c r="T1943" i="6"/>
  <c r="T949" i="6"/>
  <c r="R1181" i="6"/>
  <c r="T881" i="6"/>
  <c r="T1495" i="6"/>
  <c r="T34" i="6"/>
  <c r="R34" i="6" s="1"/>
  <c r="T660" i="6"/>
  <c r="R726" i="6"/>
  <c r="T152" i="6"/>
  <c r="R152" i="6" s="1"/>
  <c r="T1143" i="6"/>
  <c r="R847" i="6"/>
  <c r="R918" i="6"/>
  <c r="R410" i="6"/>
  <c r="T232" i="6"/>
  <c r="R232" i="6" s="1"/>
  <c r="T1188" i="6"/>
  <c r="R1081" i="6"/>
  <c r="T1006" i="6"/>
  <c r="T1931" i="6"/>
  <c r="R1061" i="6"/>
  <c r="R384" i="6"/>
  <c r="R1304" i="6"/>
  <c r="T501" i="6"/>
  <c r="T271" i="6"/>
  <c r="R271" i="6" s="1"/>
  <c r="T630" i="6"/>
  <c r="T1755" i="6"/>
  <c r="T1883" i="6"/>
  <c r="T1176" i="6"/>
  <c r="T1567" i="6"/>
  <c r="R637" i="6"/>
  <c r="T1490" i="6"/>
  <c r="R1007" i="6"/>
  <c r="T1526" i="6"/>
  <c r="R800" i="6"/>
  <c r="R992" i="6"/>
  <c r="T42" i="6"/>
  <c r="R42" i="6" s="1"/>
  <c r="R498" i="6"/>
  <c r="R1210" i="6"/>
  <c r="T550" i="6"/>
  <c r="T1783" i="6"/>
  <c r="R886" i="6"/>
  <c r="T1033" i="6"/>
  <c r="R1285" i="6"/>
  <c r="T1213" i="6"/>
  <c r="T1443" i="6"/>
  <c r="T633" i="6"/>
  <c r="T824" i="6"/>
  <c r="R595" i="6"/>
  <c r="R1189" i="6"/>
  <c r="T1123" i="6"/>
  <c r="R781" i="6"/>
  <c r="R1129" i="6"/>
  <c r="T1168" i="6"/>
  <c r="R1159" i="6"/>
  <c r="R626" i="6"/>
  <c r="T444" i="6"/>
  <c r="T330" i="6"/>
  <c r="R330" i="6" s="1"/>
  <c r="T812" i="6"/>
  <c r="T1278" i="6"/>
  <c r="R366" i="6"/>
  <c r="T381" i="6"/>
  <c r="R381" i="6" s="1"/>
  <c r="T1055" i="6"/>
  <c r="R1246" i="6"/>
  <c r="R1046" i="6"/>
  <c r="R1180" i="6"/>
  <c r="R505" i="6"/>
  <c r="T1809" i="6"/>
  <c r="T796" i="6"/>
  <c r="R395" i="6"/>
  <c r="T1663" i="6"/>
  <c r="T553" i="6"/>
  <c r="T1714" i="6"/>
  <c r="R748" i="6"/>
  <c r="R1161" i="6"/>
  <c r="T1593" i="6"/>
  <c r="T828" i="6"/>
  <c r="R950" i="6"/>
  <c r="T499" i="6"/>
  <c r="T664" i="6"/>
  <c r="R697" i="6"/>
  <c r="R1093" i="6"/>
  <c r="T1241" i="6"/>
  <c r="T625" i="6"/>
  <c r="T724" i="6"/>
  <c r="T99" i="6"/>
  <c r="R99" i="6" s="1"/>
  <c r="T524" i="6"/>
  <c r="R1380" i="6"/>
  <c r="R1326" i="6"/>
  <c r="T1229" i="6"/>
  <c r="T275" i="6"/>
  <c r="R275" i="6" s="1"/>
  <c r="T635" i="6"/>
  <c r="R1245" i="6"/>
  <c r="T325" i="6"/>
  <c r="R325" i="6" s="1"/>
  <c r="T567" i="6"/>
  <c r="T195" i="6"/>
  <c r="R195" i="6" s="1"/>
  <c r="R443" i="6"/>
  <c r="R500" i="6"/>
  <c r="T1468" i="6"/>
  <c r="T1205" i="6"/>
  <c r="D4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4D1B2F-92C7-4828-A7EA-04AC4B890125}" keepAlive="1" name="查詢 - AttachEffectParam" description="與活頁簿中 'AttachEffectParam' 查詢的連接。" type="5" refreshedVersion="8" background="1" saveData="1">
    <dbPr connection="Provider=Microsoft.Mashup.OleDb.1;Data Source=$Workbook$;Location=AttachEffectParam;Extended Properties=&quot;&quot;" command="SELECT * FROM [AttachEffectParam]"/>
  </connection>
  <connection id="2" xr16:uid="{99CC0038-BD79-4613-AAAF-B90034A893FD}" keepAlive="1" name="查詢 - AttachEffectTableParam" description="與活頁簿中 'AttachEffectTableParam' 查詢的連接。" type="5" refreshedVersion="8" background="1" saveData="1">
    <dbPr connection="Provider=Microsoft.Mashup.OleDb.1;Data Source=$Workbook$;Location=AttachEffectTableParam;Extended Properties=&quot;&quot;" command="SELECT * FROM [AttachEffectTableParam]"/>
  </connection>
  <connection id="3" xr16:uid="{1E0F8844-25EE-470C-AAB5-8C558D3F4FAE}" keepAlive="1" name="查詢 - CurrentDir" description="與活頁簿中 'CurrentDir' 查詢的連接。" type="5" refreshedVersion="0" background="1">
    <dbPr connection="Provider=Microsoft.Mashup.OleDb.1;Data Source=$Workbook$;Location=CurrentDir;Extended Properties=&quot;&quot;" command="SELECT * FROM [CurrentDir]"/>
  </connection>
  <connection id="4" xr16:uid="{913D20CF-4D97-4050-9646-24FE009D22D2}" keepAlive="1" name="查詢 - EffectName(1)" description="與活頁簿中 'EffectName' 查詢的連接。" type="5" refreshedVersion="8" background="1" saveData="1">
    <dbPr connection="Provider=Microsoft.Mashup.OleDb.1;Data Source=$Workbook$;Location=EffectName;Extended Properties=&quot;&quot;" command="SELECT * FROM [EffectName]"/>
  </connection>
  <connection id="5" xr16:uid="{0F9D36CC-D4F0-447A-860B-010DA800555D}" keepAlive="1" name="查詢 - eng_EffectName" description="與活頁簿中 'eng_EffectName' 查詢的連接。" type="5" refreshedVersion="0" background="1">
    <dbPr connection="Provider=Microsoft.Mashup.OleDb.1;Data Source=$Workbook$;Location=eng_EffectName;Extended Properties=&quot;&quot;" command="SELECT * FROM [eng_EffectName]"/>
  </connection>
  <connection id="6" xr16:uid="{6E0E8B73-81FC-4801-8F36-21416DB0BC26}" keepAlive="1" name="查詢 - eng_EffectName_DLC01" description="與活頁簿中 'eng_EffectName_DLC01' 查詢的連接。" type="5" refreshedVersion="0" background="1">
    <dbPr connection="Provider=Microsoft.Mashup.OleDb.1;Data Source=$Workbook$;Location=eng_EffectName_DLC01;Extended Properties=&quot;&quot;" command="SELECT * FROM [eng_EffectName_DLC01]"/>
  </connection>
  <connection id="7" xr16:uid="{23EA7055-C5EB-4EDA-8832-9FAF74648B1E}" keepAlive="1" name="查詢 - eng_ItemName" description="與活頁簿中 'eng_ItemName' 查詢的連接。" type="5" refreshedVersion="0" background="1">
    <dbPr connection="Provider=Microsoft.Mashup.OleDb.1;Data Source=$Workbook$;Location=eng_ItemName;Extended Properties=&quot;&quot;" command="SELECT * FROM [eng_ItemName]"/>
  </connection>
  <connection id="8" xr16:uid="{FC8549BD-055D-4C3D-ADF7-DA6D22E1E9DC}" keepAlive="1" name="查詢 - eng_ItemName_DLC01" description="與活頁簿中 'eng_ItemName_DLC01' 查詢的連接。" type="5" refreshedVersion="0" background="1">
    <dbPr connection="Provider=Microsoft.Mashup.OleDb.1;Data Source=$Workbook$;Location=eng_ItemName_DLC01;Extended Properties=&quot;&quot;" command="SELECT * FROM [eng_ItemName_DLC01]"/>
  </connection>
  <connection id="9" xr16:uid="{535377E5-2EF5-4749-8D00-6A8744564998}" keepAlive="1" name="查詢 - EquipParamAntique" description="與活頁簿中 'EquipParamAntique' 查詢的連接。" type="5" refreshedVersion="8" background="1" saveData="1">
    <dbPr connection="Provider=Microsoft.Mashup.OleDb.1;Data Source=$Workbook$;Location=EquipParamAntique;Extended Properties=&quot;&quot;" command="SELECT * FROM [EquipParamAntique]"/>
  </connection>
  <connection id="10" xr16:uid="{65B7AB38-CDCB-4ED2-A750-2F3CFEE67851}" keepAlive="1" name="查詢 - ItemName" description="與活頁簿中 'ItemName' 查詢的連接。" type="5" refreshedVersion="8" background="1" saveData="1">
    <dbPr connection="Provider=Microsoft.Mashup.OleDb.1;Data Source=$Workbook$;Location=ItemName;Extended Properties=&quot;&quot;" command="SELECT * FROM [ItemName]"/>
  </connection>
  <connection id="11" xr16:uid="{02205FB3-04E4-4220-9EB5-9AE63A6664F4}" keepAlive="1" name="查詢 - tcht_EffectName" description="與活頁簿中 'tcht_EffectName' 查詢的連接。" type="5" refreshedVersion="0" background="1">
    <dbPr connection="Provider=Microsoft.Mashup.OleDb.1;Data Source=$Workbook$;Location=tcht_EffectName;Extended Properties=&quot;&quot;" command="SELECT * FROM [tcht_EffectName]"/>
  </connection>
  <connection id="12" xr16:uid="{5DB87CB0-FB22-4CF7-823B-0CA6E3CE4E88}" keepAlive="1" name="查詢 - tcht_EffectName_DLC01" description="與活頁簿中 'tcht_EffectName_DLC01' 查詢的連接。" type="5" refreshedVersion="8" background="1" saveData="1">
    <dbPr connection="Provider=Microsoft.Mashup.OleDb.1;Data Source=$Workbook$;Location=tcht_EffectName_DLC01;Extended Properties=&quot;&quot;" command="SELECT * FROM [tcht_EffectName_DLC01]"/>
  </connection>
  <connection id="13" xr16:uid="{BD64A806-3370-45A1-9244-24D13E4C2DE2}" keepAlive="1" name="查詢 - tcht_ItemName" description="與活頁簿中 'tcht_ItemName' 查詢的連接。" type="5" refreshedVersion="0" background="1">
    <dbPr connection="Provider=Microsoft.Mashup.OleDb.1;Data Source=$Workbook$;Location=tcht_ItemName;Extended Properties=&quot;&quot;" command="SELECT * FROM [tcht_ItemName]"/>
  </connection>
  <connection id="14" xr16:uid="{DD5C0571-7E1C-4DDF-B47A-826B26CEDEC8}" keepAlive="1" name="查詢 - tcht_ItemName_DLC01" description="與活頁簿中 'tcht_ItemName_DLC01' 查詢的連接。" type="5" refreshedVersion="0" background="1">
    <dbPr connection="Provider=Microsoft.Mashup.OleDb.1;Data Source=$Workbook$;Location=tcht_ItemName_DLC01;Extended Properties=&quot;&quot;" command="SELECT * FROM [tcht_ItemName_DLC0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<sst xmlns="http://schemas.openxmlformats.org/spreadsheetml/2006/main" count="7836" uniqueCount="2022">
  <si>
    <t>ID</t>
  </si>
  <si>
    <t>relicColor</t>
  </si>
  <si>
    <t>attachEffectTableId_1</t>
  </si>
  <si>
    <t>attachEffectTableId_2</t>
  </si>
  <si>
    <t>attachEffectTableId_3</t>
  </si>
  <si>
    <t>iconId</t>
  </si>
  <si>
    <t>attachEffectTableId_curse1</t>
  </si>
  <si>
    <t>attachEffectTableId_curse2</t>
  </si>
  <si>
    <t>attachEffectTableId_curse3</t>
  </si>
  <si>
    <t>compatibilityId</t>
  </si>
  <si>
    <t>attachTextId</t>
  </si>
  <si>
    <t>overrideEffectId</t>
  </si>
  <si>
    <t>attachEffectId</t>
  </si>
  <si>
    <t>Relic ID</t>
    <phoneticPr fontId="1" type="noConversion"/>
  </si>
  <si>
    <t>效果池</t>
    <phoneticPr fontId="1" type="noConversion"/>
  </si>
  <si>
    <t>效果</t>
    <phoneticPr fontId="1" type="noConversion"/>
  </si>
  <si>
    <t>正面效果1</t>
    <phoneticPr fontId="1" type="noConversion"/>
  </si>
  <si>
    <t>正面效果2</t>
  </si>
  <si>
    <t>正面效果3</t>
  </si>
  <si>
    <t>負面效果1</t>
    <phoneticPr fontId="1" type="noConversion"/>
  </si>
  <si>
    <t>負面效果2</t>
  </si>
  <si>
    <t>負面效果3</t>
  </si>
  <si>
    <t>效果池1</t>
    <phoneticPr fontId="1" type="noConversion"/>
  </si>
  <si>
    <t>負面池1</t>
    <phoneticPr fontId="1" type="noConversion"/>
  </si>
  <si>
    <t>負面池2</t>
  </si>
  <si>
    <t>負面池3</t>
  </si>
  <si>
    <t>效果池2 ID</t>
    <phoneticPr fontId="1" type="noConversion"/>
  </si>
  <si>
    <t>效果池1 ID</t>
    <phoneticPr fontId="1" type="noConversion"/>
  </si>
  <si>
    <t>效果池3 ID</t>
    <phoneticPr fontId="1" type="noConversion"/>
  </si>
  <si>
    <t>負面池1 ID</t>
    <phoneticPr fontId="1" type="noConversion"/>
  </si>
  <si>
    <t>負面池2 ID</t>
    <phoneticPr fontId="1" type="noConversion"/>
  </si>
  <si>
    <t>負面池3 ID</t>
    <phoneticPr fontId="1" type="noConversion"/>
  </si>
  <si>
    <t>效果池1 敘述</t>
    <phoneticPr fontId="1" type="noConversion"/>
  </si>
  <si>
    <t>效果池2 敘述</t>
  </si>
  <si>
    <t>效果池3 敘述</t>
  </si>
  <si>
    <t>負面池1 敘述</t>
    <phoneticPr fontId="1" type="noConversion"/>
  </si>
  <si>
    <t>負面池2 敘述</t>
  </si>
  <si>
    <t>負面池3 敘述</t>
  </si>
  <si>
    <t>Relic Name</t>
    <phoneticPr fontId="1" type="noConversion"/>
  </si>
  <si>
    <t>Relic</t>
    <phoneticPr fontId="1" type="noConversion"/>
  </si>
  <si>
    <t>%null%</t>
  </si>
  <si>
    <t>暗痕</t>
  </si>
  <si>
    <t>為王之證</t>
  </si>
  <si>
    <t>情景原石</t>
  </si>
  <si>
    <t>大顆情景原石</t>
  </si>
  <si>
    <t>暗淡情景原石</t>
  </si>
  <si>
    <t>細膩的火燃情景</t>
  </si>
  <si>
    <t>端正的火燃情景</t>
  </si>
  <si>
    <t>遼闊的火燃情景</t>
  </si>
  <si>
    <t>細膩的水滴情景</t>
  </si>
  <si>
    <t>端正的水滴情景</t>
  </si>
  <si>
    <t>遼闊的水滴情景</t>
  </si>
  <si>
    <t>細膩的光耀情景</t>
  </si>
  <si>
    <t>端正的光耀情景</t>
  </si>
  <si>
    <t>遼闊的光耀情景</t>
  </si>
  <si>
    <t>細膩的幽靜情景</t>
  </si>
  <si>
    <t>端正的幽靜情景</t>
  </si>
  <si>
    <t>遼闊的幽靜情景</t>
  </si>
  <si>
    <t>野獸的黑夜</t>
  </si>
  <si>
    <t>野獸的暗夜</t>
  </si>
  <si>
    <t>爵的黑夜</t>
  </si>
  <si>
    <t>爵的暗夜</t>
  </si>
  <si>
    <t>智的黑夜</t>
  </si>
  <si>
    <t>智的暗夜</t>
  </si>
  <si>
    <t>深海的黑夜</t>
  </si>
  <si>
    <t>深海的暗夜</t>
  </si>
  <si>
    <t>魔的黑夜</t>
  </si>
  <si>
    <t>魔的暗夜</t>
  </si>
  <si>
    <t>獵人的黑夜</t>
  </si>
  <si>
    <t>獵人的暗夜</t>
  </si>
  <si>
    <t>霧霾的黑夜</t>
  </si>
  <si>
    <t>霧霾的暗夜</t>
  </si>
  <si>
    <t>王的黑夜</t>
  </si>
  <si>
    <t>老舊懷錶</t>
  </si>
  <si>
    <t>骯髒相框</t>
  </si>
  <si>
    <t>惡兆妖鬼的詛咒物</t>
  </si>
  <si>
    <t>深灰色砥石</t>
  </si>
  <si>
    <t>追蹤者的耳環</t>
  </si>
  <si>
    <t>銀色淚滴</t>
  </si>
  <si>
    <t>套書的第三冊</t>
  </si>
  <si>
    <t>石樁</t>
  </si>
  <si>
    <t>魔女胸針</t>
  </si>
  <si>
    <t>碎裂的魔女胸針</t>
  </si>
  <si>
    <t>作工精細的箭頭</t>
  </si>
  <si>
    <t>裂開的封蠟</t>
  </si>
  <si>
    <t>聖律刀</t>
  </si>
  <si>
    <t>金色露珠</t>
  </si>
  <si>
    <t>頭冠的徽章</t>
  </si>
  <si>
    <t>祝福鐵幣</t>
  </si>
  <si>
    <t>斷裂編繩</t>
  </si>
  <si>
    <t>黑爪項鍊</t>
  </si>
  <si>
    <t>黑夜刀片</t>
  </si>
  <si>
    <t>小型化妝工具</t>
  </si>
  <si>
    <t>老舊袖珍畫</t>
  </si>
  <si>
    <t>黑夜碎片</t>
  </si>
  <si>
    <t>黑夜痕跡</t>
  </si>
  <si>
    <t>似骨石</t>
  </si>
  <si>
    <t>受賜福的花</t>
  </si>
  <si>
    <t>黃金種子殼</t>
  </si>
  <si>
    <t>黃金嫩芽</t>
  </si>
  <si>
    <t>細膩的火燃暗淡情景</t>
  </si>
  <si>
    <t>端正的火燃暗淡情景</t>
  </si>
  <si>
    <t>遼闊的火燃暗淡情景</t>
  </si>
  <si>
    <t>細膩的水滴暗淡情景</t>
  </si>
  <si>
    <t>端正的水滴暗淡情景</t>
  </si>
  <si>
    <t>遼闊的水滴暗淡情景</t>
  </si>
  <si>
    <t>細膩的光耀暗淡情景</t>
  </si>
  <si>
    <t>端正的光耀暗淡情景</t>
  </si>
  <si>
    <t>遼闊的光耀暗淡情景</t>
  </si>
  <si>
    <t>細膩的幽靜暗淡情景</t>
  </si>
  <si>
    <t>端正的幽靜暗淡情景</t>
  </si>
  <si>
    <t>遼闊的幽靜暗淡情景</t>
  </si>
  <si>
    <t>大顆暗淡情景原石</t>
  </si>
  <si>
    <t>安定者的遺志</t>
  </si>
  <si>
    <t>安定的遺志</t>
  </si>
  <si>
    <t>廢棄物之夜</t>
  </si>
  <si>
    <t>清淨淚滴</t>
  </si>
  <si>
    <t>記錄「致繼承人」</t>
  </si>
  <si>
    <t>單眼鏡的皮革袋</t>
  </si>
  <si>
    <t>玻璃項鍊</t>
  </si>
  <si>
    <t>遺物</t>
    <phoneticPr fontId="1" type="noConversion"/>
  </si>
  <si>
    <t>效果1</t>
    <phoneticPr fontId="1" type="noConversion"/>
  </si>
  <si>
    <t>效果2</t>
    <phoneticPr fontId="1" type="noConversion"/>
  </si>
  <si>
    <t>效果3</t>
    <phoneticPr fontId="1" type="noConversion"/>
  </si>
  <si>
    <t>負面1</t>
    <phoneticPr fontId="1" type="noConversion"/>
  </si>
  <si>
    <t>負面2</t>
    <phoneticPr fontId="1" type="noConversion"/>
  </si>
  <si>
    <t>負面3</t>
    <phoneticPr fontId="1" type="noConversion"/>
  </si>
  <si>
    <t>效果池2</t>
    <phoneticPr fontId="1" type="noConversion"/>
  </si>
  <si>
    <t>效果池3</t>
    <phoneticPr fontId="1" type="noConversion"/>
  </si>
  <si>
    <t>提升ＨＰ上限</t>
  </si>
  <si>
    <t>提升ＦＰ上限</t>
  </si>
  <si>
    <t>提升精力上限</t>
  </si>
  <si>
    <t>提升觀察力</t>
  </si>
  <si>
    <t>打倒敵人時，增加獲得的盧恩</t>
  </si>
  <si>
    <t>提升精力恢復速度</t>
  </si>
  <si>
    <t>提升對出血的抵抗力</t>
  </si>
  <si>
    <t>提升對凍傷的抵抗力</t>
  </si>
  <si>
    <t>提升對中毒的抵抗力</t>
  </si>
  <si>
    <t>提升對腐敗的抵抗力</t>
  </si>
  <si>
    <t>提升對催眠的抵抗力</t>
  </si>
  <si>
    <t>提升對發狂的抵抗力</t>
  </si>
  <si>
    <t>提升對驟死的抵抗力</t>
  </si>
  <si>
    <t>提升對中毒、腐敗的抵抗力</t>
  </si>
  <si>
    <t>提升對出血、凍傷的抵抗力</t>
  </si>
  <si>
    <t>提升對催眠、發狂的抵抗力</t>
  </si>
  <si>
    <t>提升強韌度</t>
  </si>
  <si>
    <t>提升戰技攻擊力</t>
  </si>
  <si>
    <t>提升靈巧</t>
  </si>
  <si>
    <t>連續攻擊時，提升攻擊力</t>
  </si>
  <si>
    <t>提升魔力屬性攻擊力</t>
  </si>
  <si>
    <t>降低物理減傷率</t>
  </si>
  <si>
    <t>提升雷屬性攻擊力</t>
  </si>
  <si>
    <t>提升火屬性攻擊力</t>
  </si>
  <si>
    <t>提升聖屬性攻擊力</t>
  </si>
  <si>
    <t>ＨＰ偏低時，提升攻擊力</t>
  </si>
  <si>
    <t>ＨＰ全滿時，提升攻擊力</t>
  </si>
  <si>
    <t>強化突刺反擊</t>
  </si>
  <si>
    <t>提升瓦解防禦的能力</t>
  </si>
  <si>
    <t>強化致命一擊</t>
  </si>
  <si>
    <t>降低射擊時，傷害隨距離遞減的影響</t>
  </si>
  <si>
    <t>強化連續攻擊的最後攻擊</t>
  </si>
  <si>
    <t>強化蓄力攻擊</t>
  </si>
  <si>
    <t>強化射擊</t>
  </si>
  <si>
    <t>周圍陷入出血時，提升攻擊力</t>
  </si>
  <si>
    <t>周圍陷入中毒、腐敗時，提升攻擊力</t>
  </si>
  <si>
    <t>強化跳躍攻擊</t>
  </si>
  <si>
    <t>強化咆哮與吐息</t>
  </si>
  <si>
    <t>強化防禦反擊</t>
  </si>
  <si>
    <t>強化投擲壺</t>
  </si>
  <si>
    <t>強化調香術</t>
  </si>
  <si>
    <t>強化魔法</t>
  </si>
  <si>
    <t>強化禱告</t>
  </si>
  <si>
    <t>延長魔法、禱告的有效時間</t>
  </si>
  <si>
    <t>縮短魔法、禱告的詠唱時間</t>
  </si>
  <si>
    <t>減少魔法、禱告ＦＰ消耗</t>
  </si>
  <si>
    <t>降低ＨＰ上限</t>
  </si>
  <si>
    <t>強化魔法、禱告、戰技的蓄力使用</t>
  </si>
  <si>
    <t>提升物理減傷率</t>
  </si>
  <si>
    <t>提升魔力屬性減傷率</t>
  </si>
  <si>
    <t>提升火屬性減傷率</t>
  </si>
  <si>
    <t>提升雷屬性減傷率</t>
  </si>
  <si>
    <t>提升聖屬性減傷率</t>
  </si>
  <si>
    <t>提升屬性減傷率</t>
  </si>
  <si>
    <t>強化閃避</t>
  </si>
  <si>
    <t>降低減傷率</t>
  </si>
  <si>
    <t>ＨＰ偏低時，提升減傷率</t>
  </si>
  <si>
    <t>ＨＰ全滿時，提升減傷率</t>
  </si>
  <si>
    <t>提升防禦強度</t>
  </si>
  <si>
    <t>提升聖杯瓶恢復量</t>
  </si>
  <si>
    <t>持續恢復ＨＰ</t>
  </si>
  <si>
    <t>打倒敵人時，恢復ＨＰ</t>
  </si>
  <si>
    <t>連續攻擊時，恢復ＨＰ</t>
  </si>
  <si>
    <t>致命一擊時，恢復ＨＰ</t>
  </si>
  <si>
    <t>致命一擊時，恢復ＦＰ</t>
  </si>
  <si>
    <t>減少戰技ＦＰ消耗</t>
  </si>
  <si>
    <t>死亡時，不會掉落盧恩與降低等級</t>
  </si>
  <si>
    <t>打倒敵人時，恢復ＦＰ</t>
  </si>
  <si>
    <t>持續減少ＨＰ</t>
  </si>
  <si>
    <t>縮短技藝的冷卻時間＋４</t>
  </si>
  <si>
    <t>縮短技藝的冷卻時間＋５</t>
  </si>
  <si>
    <t>自然累積絕活量表＋４</t>
  </si>
  <si>
    <t>自然累積絕活量表＋５</t>
  </si>
  <si>
    <t>強韌度＋４</t>
  </si>
  <si>
    <t>強韌度＋５</t>
  </si>
  <si>
    <t>提升物理攻擊力＋４</t>
  </si>
  <si>
    <t>提升魔力屬性攻擊力＋３</t>
  </si>
  <si>
    <t>提升魔力屬性攻擊力＋４</t>
  </si>
  <si>
    <t>提升火屬性攻擊力＋３</t>
  </si>
  <si>
    <t>提升火屬性攻擊力＋４</t>
  </si>
  <si>
    <t>提升雷屬性攻擊力＋３</t>
  </si>
  <si>
    <t>提升雷屬性攻擊力＋４</t>
  </si>
  <si>
    <t>提升聖屬性攻擊力＋３</t>
  </si>
  <si>
    <t>提升聖屬性攻擊力＋４</t>
  </si>
  <si>
    <t>提升魔力屬性減傷率＋１</t>
  </si>
  <si>
    <t>提升魔力屬性減傷率＋２</t>
  </si>
  <si>
    <t>提升火屬性減傷率＋１</t>
  </si>
  <si>
    <t>提升火屬性減傷率＋２</t>
  </si>
  <si>
    <t>提升雷屬性減傷率＋１</t>
  </si>
  <si>
    <t>提升雷屬性減傷率＋２</t>
  </si>
  <si>
    <t>提升聖屬性減傷率＋１</t>
  </si>
  <si>
    <t>提升聖屬性減傷率＋２</t>
  </si>
  <si>
    <t>提升對中毒的抵抗力＋１</t>
  </si>
  <si>
    <t>提升對中毒的抵抗力＋２</t>
  </si>
  <si>
    <t>提升對出血的抵抗力＋１</t>
  </si>
  <si>
    <t>提升對出血的抵抗力＋２</t>
  </si>
  <si>
    <t>提升對催眠的抵抗力＋１</t>
  </si>
  <si>
    <t>提升對催眠的抵抗力＋２</t>
  </si>
  <si>
    <t>提升對驟死的抵抗力＋１</t>
  </si>
  <si>
    <t>提升對驟死的抵抗力＋２</t>
  </si>
  <si>
    <t>提升對腐敗的抵抗力＋１</t>
  </si>
  <si>
    <t>提升對腐敗的抵抗力＋２</t>
  </si>
  <si>
    <t>提升對凍傷的抵抗力＋１</t>
  </si>
  <si>
    <t>提升對凍傷的抵抗力＋２</t>
  </si>
  <si>
    <t>提升對發狂的抵抗力＋１</t>
  </si>
  <si>
    <t>提升對發狂的抵抗力＋２</t>
  </si>
  <si>
    <t>受到損傷的當下，能透過攻擊恢復部分ＨＰ＋１</t>
  </si>
  <si>
    <t>受到損傷的當下，能透過攻擊恢復部分ＨＰ＋２</t>
  </si>
  <si>
    <t>提升雙手共持時，造成失去平衡的能力＋１</t>
  </si>
  <si>
    <t>提升雙手共持時，造成失去平衡的能力＋２</t>
  </si>
  <si>
    <t>提升雙手各持時，造成失去平衡的能力＋１</t>
  </si>
  <si>
    <t>提升雙手各持時，造成失去平衡的能力＋２</t>
  </si>
  <si>
    <t>ＨＰ偏低時，提升減傷率＋１</t>
  </si>
  <si>
    <t>ＨＰ偏低時，提升減傷率＋２</t>
  </si>
  <si>
    <t>食用苔藥等等道具時，能恢復ＨＰ＋１</t>
  </si>
  <si>
    <t>食用苔藥等等道具時，能恢復ＨＰ＋２</t>
  </si>
  <si>
    <t>防禦成功時，能累積絕活量表＋１</t>
  </si>
  <si>
    <t>防禦成功時，能累積絕活量表＋２</t>
  </si>
  <si>
    <t>使出致命一擊時，能累積絕活量表＋１</t>
  </si>
  <si>
    <t>使出致命一擊時，能累積絕活量表＋２</t>
  </si>
  <si>
    <t>塗抹油脂類道具時，能額外提升物理攻擊力＋１</t>
  </si>
  <si>
    <t>塗抹油脂類道具時，能額外提升物理攻擊力＋２</t>
  </si>
  <si>
    <t>使出致命一擊時，能獲得盧恩＋１</t>
  </si>
  <si>
    <t>使出致命一擊時，能獲得盧恩＋２</t>
  </si>
  <si>
    <t>受到攻擊時，能提升攻擊力＋１</t>
  </si>
  <si>
    <t>受到攻擊時，能提升攻擊力＋２</t>
  </si>
  <si>
    <t>使出致命一擊時，能提升精力的恢復速度＋１</t>
  </si>
  <si>
    <t>使出致命一擊時，能提升精力的恢復速度＋２</t>
  </si>
  <si>
    <t>強化輕攻擊的第一記攻擊＋１</t>
  </si>
  <si>
    <t>強化輕攻擊的第一記攻擊＋２</t>
  </si>
  <si>
    <t>強化防禦反擊＋１</t>
  </si>
  <si>
    <t>強化防禦反擊＋２</t>
  </si>
  <si>
    <t>提升投擲壺的攻擊力＋１</t>
  </si>
  <si>
    <t>提升投擲壺的攻擊力＋２</t>
  </si>
  <si>
    <t>提升投擲小刀的攻擊力＋１</t>
  </si>
  <si>
    <t>提升投擲小刀的攻擊力＋２</t>
  </si>
  <si>
    <t>提升使用輝石、重力石道具的攻擊力＋１</t>
  </si>
  <si>
    <t>提升使用輝石、重力石道具的攻擊力＋２</t>
  </si>
  <si>
    <t>強化咆哮與吐息＋１</t>
  </si>
  <si>
    <t>強化咆哮與吐息＋２</t>
  </si>
  <si>
    <t>強化調香術＋１</t>
  </si>
  <si>
    <t>強化調香術＋２</t>
  </si>
  <si>
    <t>每次打倒大教堂的強敵，能提升ＨＰ上限</t>
  </si>
  <si>
    <t>每次打倒小型要塞的強敵，能增加獲得的盧恩、提升觀察力</t>
  </si>
  <si>
    <t>每次打倒遺跡的強敵，能提升感應</t>
  </si>
  <si>
    <t>每次打倒大型營地的強敵，能提升精力上限</t>
  </si>
  <si>
    <t>打倒敵人時，能累積絕活量表＋１</t>
  </si>
  <si>
    <t>打倒敵人時，能累積絕活量表＋２</t>
  </si>
  <si>
    <t>突刺反擊成功時，能恢復ＨＰ＋１</t>
  </si>
  <si>
    <t>突刺反擊成功時，能恢復ＨＰ＋２</t>
  </si>
  <si>
    <t>對陷入中毒的敵人，能強化攻擊＋１</t>
  </si>
  <si>
    <t>對陷入中毒的敵人，能強化攻擊＋２</t>
  </si>
  <si>
    <t>對陷入猩紅腐敗的敵人，能強化攻擊＋１</t>
  </si>
  <si>
    <t>對陷入猩紅腐敗的敵人，能強化攻擊＋２</t>
  </si>
  <si>
    <t>對陷入凍傷的敵人，能強化攻擊＋１</t>
  </si>
  <si>
    <t>對陷入凍傷的敵人，能強化攻擊＋２</t>
  </si>
  <si>
    <t>【追蹤者】技藝會附加引發異常狀態出血的效果</t>
  </si>
  <si>
    <t>【守護者】發動技藝時，能提升周圍我方人物的減傷率</t>
  </si>
  <si>
    <t>【鐵之眼】技藝會附加引發異常狀態中毒的效果
　對上陷入中毒的敵人，能給予大傷害</t>
  </si>
  <si>
    <t>【女爵】發動技藝時，能進入短暫無敵狀態</t>
  </si>
  <si>
    <t>【無賴】技藝命中敵人時，能降低對方的攻擊力</t>
  </si>
  <si>
    <t>【復仇者】發動能力時，能提升ＦＰ上限</t>
  </si>
  <si>
    <t>【隱士】收集屬性痕時，能提升該屬性的減傷率</t>
  </si>
  <si>
    <t>【執行者】發動能力時，能緩慢恢復ＨＰ</t>
  </si>
  <si>
    <t>周圍陷入催眠時，提升攻擊力</t>
  </si>
  <si>
    <t>周圍陷入催眠時，提升攻擊力＋１</t>
  </si>
  <si>
    <t>周圍陷入催眠時，提升攻擊力＋２</t>
  </si>
  <si>
    <t>周圍陷入發狂時，提升攻擊力</t>
  </si>
  <si>
    <t>周圍陷入發狂時，提升攻擊力＋１</t>
  </si>
  <si>
    <t>周圍陷入發狂時，提升攻擊力＋２</t>
  </si>
  <si>
    <t>減少ＦＰ消耗</t>
  </si>
  <si>
    <t>減少ＦＰ消耗＋１</t>
  </si>
  <si>
    <t>減少ＦＰ消耗＋２</t>
  </si>
  <si>
    <t>提升屬性攻擊力</t>
  </si>
  <si>
    <t>提升屬性攻擊力＋１</t>
  </si>
  <si>
    <t>提升屬性攻擊力＋２</t>
  </si>
  <si>
    <t>提升物理減傷率＋１</t>
  </si>
  <si>
    <t>提升物理減傷率＋２</t>
  </si>
  <si>
    <t>提升屬性減傷率＋１</t>
  </si>
  <si>
    <t>提升屬性減傷率＋２</t>
  </si>
  <si>
    <t>強化魔法＋１</t>
  </si>
  <si>
    <t>強化魔法＋２</t>
  </si>
  <si>
    <t>強化禱告＋１</t>
  </si>
  <si>
    <t>強化禱告＋２</t>
  </si>
  <si>
    <t>出擊時，會持有「漫紅結晶露滴」</t>
  </si>
  <si>
    <t>出擊時，會持有「紅結晶露滴」</t>
  </si>
  <si>
    <t>出擊時，會持有「藍結晶露滴」</t>
  </si>
  <si>
    <t>出擊時，會持有「斑斕硬露滴」</t>
  </si>
  <si>
    <t>出擊時，會持有「紅泡狀露滴」</t>
  </si>
  <si>
    <t>出擊時，會持有「珍珠泡狀露滴」</t>
  </si>
  <si>
    <t>出擊時，會持有「湧紅結晶露滴」</t>
  </si>
  <si>
    <t>出擊時，會持有「湧綠結晶露滴」</t>
  </si>
  <si>
    <t>出擊時，會持有「珍珠硬露滴」</t>
  </si>
  <si>
    <t>出擊時，會持有「連刺破露滴」</t>
  </si>
  <si>
    <t>出擊時，會持有「大刺破露滴」</t>
  </si>
  <si>
    <t>出擊時，會持有「風結晶露滴」</t>
  </si>
  <si>
    <t>出擊時，會持有「爆裂結晶露滴」</t>
  </si>
  <si>
    <t>出擊時，會持有「鉛化硬露滴」</t>
  </si>
  <si>
    <t>出擊時，會持有「細枝破露滴」</t>
  </si>
  <si>
    <t>出擊時，會持有「紅漩泡狀露滴」</t>
  </si>
  <si>
    <t>出擊時，會持有「藍祕密露滴」</t>
  </si>
  <si>
    <t>出擊時，會持有「岩刺破露滴」</t>
  </si>
  <si>
    <t>出擊時，會持有「帶火破露滴」</t>
  </si>
  <si>
    <t>出擊時，會持有「帶魔力破露滴」</t>
  </si>
  <si>
    <t>出擊時，會持有「帶雷破露滴」</t>
  </si>
  <si>
    <t>出擊時，會持有「帶聖破露滴」</t>
  </si>
  <si>
    <t>出擊時，會持有「振奮香」</t>
  </si>
  <si>
    <t>出擊時，會持有「火花香」</t>
  </si>
  <si>
    <t>出擊時，會持有「鐵壺香藥」</t>
  </si>
  <si>
    <t>出擊時，會持有「狂熱香藥」</t>
  </si>
  <si>
    <t>出擊時，會持有「毒發噴霧」</t>
  </si>
  <si>
    <t>出擊時，會持有「酸蝕噴霧」</t>
  </si>
  <si>
    <t>透過潛在能力，能比較容易找到短劍</t>
  </si>
  <si>
    <t>透過潛在能力，能比較容易找到直劍</t>
  </si>
  <si>
    <t>透過潛在能力，能比較容易找到大劍</t>
  </si>
  <si>
    <t>透過潛在能力，能比較容易找到特大劍</t>
  </si>
  <si>
    <t>透過潛在能力，能比較容易找到曲劍</t>
  </si>
  <si>
    <t>透過潛在能力，能比較容易找到大曲劍</t>
  </si>
  <si>
    <t>透過潛在能力，能比較容易找到刀</t>
  </si>
  <si>
    <t>透過潛在能力，能比較容易找到雙頭劍</t>
  </si>
  <si>
    <t>透過潛在能力，能比較容易找到刺劍</t>
  </si>
  <si>
    <t>透過潛在能力，能比較容易找到重刺劍</t>
  </si>
  <si>
    <t>透過潛在能力，能比較容易找到斧</t>
  </si>
  <si>
    <t>透過潛在能力，能比較容易找到大斧</t>
  </si>
  <si>
    <t>透過潛在能力，能比較容易找到槌</t>
  </si>
  <si>
    <t>透過潛在能力，能比較容易找到大槌</t>
  </si>
  <si>
    <t>透過潛在能力，能比較容易找到連枷</t>
  </si>
  <si>
    <t>透過潛在能力，能比較容易找到矛</t>
  </si>
  <si>
    <t>透過潛在能力，能比較容易找到大矛</t>
  </si>
  <si>
    <t>透過潛在能力，能比較容易找到戟</t>
  </si>
  <si>
    <t>透過潛在能力，能比較容易找到鐮刀</t>
  </si>
  <si>
    <t>透過潛在能力，能比較容易找到拳頭</t>
  </si>
  <si>
    <t>透過潛在能力，能比較容易找到鉤爪</t>
  </si>
  <si>
    <t>透過潛在能力，能比較容易找到軟鞭</t>
  </si>
  <si>
    <t>透過潛在能力，能比較容易找到特大武器</t>
  </si>
  <si>
    <t>透過潛在能力，能比較容易找到弓</t>
  </si>
  <si>
    <t>透過潛在能力，能比較容易找到大弓</t>
  </si>
  <si>
    <t>透過潛在能力，能比較容易找到弩</t>
  </si>
  <si>
    <t>透過潛在能力，能比較容易找到弩砲</t>
  </si>
  <si>
    <t>透過潛在能力，能比較容易找到小盾</t>
  </si>
  <si>
    <t>透過潛在能力，能比較容易找到中盾</t>
  </si>
  <si>
    <t>透過潛在能力，能比較容易找到大盾</t>
  </si>
  <si>
    <t>透過潛在能力，能比較容易找到手杖</t>
  </si>
  <si>
    <t>透過潛在能力，能比較容易找到聖印記</t>
  </si>
  <si>
    <t>透過潛在能力，能比較容易找到火把</t>
  </si>
  <si>
    <t>【追蹤者】提升集中力，但降低生命力</t>
  </si>
  <si>
    <t>【追蹤者】提升智力、信仰，但降低力氣、靈巧</t>
  </si>
  <si>
    <t>【守護者】提升力氣、靈巧，但降低生命力</t>
  </si>
  <si>
    <t>【守護者】提升集中力、信仰，但降低生命力</t>
  </si>
  <si>
    <t>【鐵之眼】提升感應，但降低靈巧</t>
  </si>
  <si>
    <t>【鐵之眼】提升生命力、力氣，但降低靈巧</t>
  </si>
  <si>
    <t>【女爵】提升生命力、力氣，但降低集中力</t>
  </si>
  <si>
    <t>【女爵】提升集中力、信仰，但降低智力</t>
  </si>
  <si>
    <t>【無賴】提升集中力、智力，但降低生命力、耐力</t>
  </si>
  <si>
    <t>【無賴】提升感應，但降低生命力</t>
  </si>
  <si>
    <t>【復仇者】提升生命力、耐力，但降低集中力</t>
  </si>
  <si>
    <t>【復仇者】提升力氣，但降低信仰</t>
  </si>
  <si>
    <t>【隱士】提升生命力、耐力、靈巧，但降低智力、信仰</t>
  </si>
  <si>
    <t>【隱士】提升智力、信仰，但降低集中力</t>
  </si>
  <si>
    <t>【執行者】提升生命力、耐力，但降低感應</t>
  </si>
  <si>
    <t>【執行者】提升靈巧、感應，但降低生命力</t>
  </si>
  <si>
    <t>降低生命力</t>
  </si>
  <si>
    <t>降低耐力</t>
  </si>
  <si>
    <t>受到損傷時，會累積中毒量表</t>
  </si>
  <si>
    <t>受到損傷時，會累積猩紅腐敗量表</t>
  </si>
  <si>
    <t>受到損傷時，會累積凍傷量表</t>
  </si>
  <si>
    <t>受到損傷時，會累積出血量表</t>
  </si>
  <si>
    <t>受到損傷時，會累積發狂量表</t>
  </si>
  <si>
    <t>受到損傷時，會累積催眠量表</t>
  </si>
  <si>
    <t>受到損傷時，會累積死亡量表</t>
  </si>
  <si>
    <t>降低力氣、智力</t>
  </si>
  <si>
    <t>降低靈巧、信仰</t>
  </si>
  <si>
    <t>降低智力、靈巧</t>
  </si>
  <si>
    <t>降低信仰、力氣</t>
  </si>
  <si>
    <t>降低生命力、感應</t>
  </si>
  <si>
    <t>減少獲得的盧恩</t>
  </si>
  <si>
    <t>降低聖杯瓶恢復量</t>
  </si>
  <si>
    <t>降低絕活量表累積</t>
  </si>
  <si>
    <t>降低屬性減傷率</t>
  </si>
  <si>
    <t>降低對所有異常狀態的抵抗力</t>
  </si>
  <si>
    <t>增加急速衝刺的精力消耗</t>
  </si>
  <si>
    <t>增加閃避時的精力消耗</t>
  </si>
  <si>
    <t>閃避後的當下，降低減傷率</t>
  </si>
  <si>
    <t>連續閃避時，降低減傷率</t>
  </si>
  <si>
    <t>使用聖杯瓶時，降低減傷率</t>
  </si>
  <si>
    <t>使用聖杯瓶時，累積催眠量表</t>
  </si>
  <si>
    <t>使用聖杯瓶時，累積發狂量表</t>
  </si>
  <si>
    <t>ＨＰ沒有全滿時，降低攻擊力</t>
  </si>
  <si>
    <t>ＨＰ沒有全滿時，累積中毒量表</t>
  </si>
  <si>
    <t>ＨＰ沒有全滿時，累積猩紅腐敗量表</t>
  </si>
  <si>
    <t>ＨＰ全滿時，降低攻擊力</t>
  </si>
  <si>
    <t>瀕死時，翻倒聖杯瓶</t>
  </si>
  <si>
    <t>瀕死時，降低ＨＰ上限</t>
  </si>
  <si>
    <t>生命力＋１</t>
  </si>
  <si>
    <t>生命力＋２</t>
  </si>
  <si>
    <t>生命力＋３</t>
  </si>
  <si>
    <t>集中力＋１</t>
  </si>
  <si>
    <t>集中力＋２</t>
  </si>
  <si>
    <t>集中力＋３</t>
  </si>
  <si>
    <t>耐力＋１</t>
  </si>
  <si>
    <t>耐力＋２</t>
  </si>
  <si>
    <t>耐力＋３</t>
  </si>
  <si>
    <t>力氣＋１</t>
  </si>
  <si>
    <t>力氣＋２</t>
  </si>
  <si>
    <t>力氣＋３</t>
  </si>
  <si>
    <t>靈巧＋１</t>
  </si>
  <si>
    <t>靈巧＋２</t>
  </si>
  <si>
    <t>靈巧＋３</t>
  </si>
  <si>
    <t>智力＋１</t>
  </si>
  <si>
    <t>智力＋２</t>
  </si>
  <si>
    <t>智力＋３</t>
  </si>
  <si>
    <t>信仰＋１</t>
  </si>
  <si>
    <t>信仰＋２</t>
  </si>
  <si>
    <t>信仰＋３</t>
  </si>
  <si>
    <t>感應＋１</t>
  </si>
  <si>
    <t>感應＋２</t>
  </si>
  <si>
    <t>感應＋３</t>
  </si>
  <si>
    <t>縮短技藝的冷卻時間＋１</t>
  </si>
  <si>
    <t>縮短技藝的冷卻時間＋２</t>
  </si>
  <si>
    <t>縮短技藝的冷卻時間＋３</t>
  </si>
  <si>
    <t>自然累積絕活量表＋１</t>
  </si>
  <si>
    <t>自然累積絕活量表＋２</t>
  </si>
  <si>
    <t>自然累積絕活量表＋３</t>
  </si>
  <si>
    <t>強韌度＋１</t>
  </si>
  <si>
    <t>強韌度＋２</t>
  </si>
  <si>
    <t>強韌度＋３</t>
  </si>
  <si>
    <t>提升物理攻擊力</t>
  </si>
  <si>
    <t>提升物理攻擊力＋１</t>
  </si>
  <si>
    <t>提升物理攻擊力＋２</t>
  </si>
  <si>
    <t>提升物理攻擊力＋３</t>
  </si>
  <si>
    <t>提升魔力屬性攻擊力＋１</t>
  </si>
  <si>
    <t>提升魔力屬性攻擊力＋２</t>
  </si>
  <si>
    <t>提升火屬性攻擊力＋１</t>
  </si>
  <si>
    <t>提升火屬性攻擊力＋２</t>
  </si>
  <si>
    <t>提升雷屬性攻擊力＋１</t>
  </si>
  <si>
    <t>提升雷屬性攻擊力＋２</t>
  </si>
  <si>
    <t>提升聖屬性攻擊力＋１</t>
  </si>
  <si>
    <t>提升聖屬性攻擊力＋２</t>
  </si>
  <si>
    <t>附加異常狀態中毒的效果</t>
  </si>
  <si>
    <t>附加異常狀態中毒的效果＋１</t>
  </si>
  <si>
    <t>附加異常狀態中毒的效果＋２</t>
  </si>
  <si>
    <t>附加異常狀態出血的效果</t>
  </si>
  <si>
    <t>附加異常狀態出血的效果＋１</t>
  </si>
  <si>
    <t>附加異常狀態出血的效果＋２</t>
  </si>
  <si>
    <t>附加異常狀態催眠的效果</t>
  </si>
  <si>
    <t>附加異常狀態催眠的效果＋１</t>
  </si>
  <si>
    <t>附加異常狀態催眠的效果＋２</t>
  </si>
  <si>
    <t>附加異常狀態催眠的效果＋３</t>
  </si>
  <si>
    <t>附加異常狀態死亡的效果</t>
  </si>
  <si>
    <t>附加異常狀態猩紅腐敗的效果</t>
  </si>
  <si>
    <t>附加異常狀態猩紅腐敗的效果＋１</t>
  </si>
  <si>
    <t>附加異常狀態猩紅腐敗的效果＋２</t>
  </si>
  <si>
    <t>附加異常狀態凍傷的效果</t>
  </si>
  <si>
    <t>附加異常狀態凍傷的效果＋１</t>
  </si>
  <si>
    <t>附加異常狀態凍傷的效果＋２</t>
  </si>
  <si>
    <t>附加異常狀態凍傷的效果＋３</t>
  </si>
  <si>
    <t>附加異常狀態發狂的效果</t>
  </si>
  <si>
    <t>提升對猩紅腐敗的抵抗力</t>
  </si>
  <si>
    <t>受到損傷的當下，能透過攻擊恢復部分ＨＰ</t>
  </si>
  <si>
    <t>【守護者】提升技藝的有效距離</t>
  </si>
  <si>
    <t>使用聖杯瓶時，連同恢復周圍我方人物</t>
  </si>
  <si>
    <t>【追蹤者】發動絕活時，能燃起火焰、蔓延周圍</t>
  </si>
  <si>
    <t>【女爵】以短劍使出連續攻擊時
　能對著周圍的敵人，再次上演最近做過的行動</t>
  </si>
  <si>
    <t>【無賴】提升技藝傷害，但降低技藝發動期間的減傷率</t>
  </si>
  <si>
    <t>【復仇者】發動絕活時，能以自己的ＨＰ為代價
　完全恢復周圍我方人物的ＨＰ</t>
  </si>
  <si>
    <t>【守護者】延長技藝的有效時間</t>
  </si>
  <si>
    <t>【守護者】發動絕活時，能提升周圍我方人物的減傷率</t>
  </si>
  <si>
    <t>【復仇者】發動絕活時，能引發靈火爆炸</t>
  </si>
  <si>
    <t>【守護者】發動技藝時，能恢復周圍我方人物的ＨＰ</t>
  </si>
  <si>
    <t>【守護者】以戟蓄力攻擊時，能引發旋風</t>
  </si>
  <si>
    <t>【執行者】在絕活發動期間，能以咆哮恢復ＨＰ</t>
  </si>
  <si>
    <t>【守護者】技藝會附加聖屬性攻擊力</t>
  </si>
  <si>
    <t>【守護者】發動絕活時，能緩慢恢復周圍我方人物的ＨＰ</t>
  </si>
  <si>
    <t>ＨＰ偏低時，包含周圍我方人物緩慢恢復ＨＰ</t>
  </si>
  <si>
    <t>ＨＰ偏低時，能提升減傷率</t>
  </si>
  <si>
    <t>重攻擊時，能朝周圍引發熱浪</t>
  </si>
  <si>
    <t>跳躍時，能觸發多顆魔法球</t>
  </si>
  <si>
    <t>周圍有我方人物時，能提升攻擊力</t>
  </si>
  <si>
    <t>防禦反擊時，能形成光柱</t>
  </si>
  <si>
    <t>【追蹤者】發動技藝時，輕攻擊能使出
　纏繞火焰的追加攻擊（僅限大劍）</t>
  </si>
  <si>
    <t>身在圖騰碑石周圍時，能提升強韌度</t>
  </si>
  <si>
    <t>食用苔藥等等道具時，能恢復ＨＰ</t>
  </si>
  <si>
    <t>【追蹤者】發動絕活後
　能提升攻擊力與精力上限，但降低減傷率</t>
  </si>
  <si>
    <t>防禦成功時，能累積絕活量表</t>
  </si>
  <si>
    <t>防禦時，變得容易被敵人攻擊</t>
  </si>
  <si>
    <t>使出致命一擊時，能累積絕活量表</t>
  </si>
  <si>
    <t>塗抹油脂類道具時，能額外提升物理攻擊力</t>
  </si>
  <si>
    <t>【復仇者】發動絕活時，能強化家人與我方人物</t>
  </si>
  <si>
    <t>【無賴】在技藝發動期間，受到攻擊時
　能提升攻擊力與精力上限</t>
  </si>
  <si>
    <t>【追蹤者】縮短技藝的冷卻時間</t>
  </si>
  <si>
    <t>連續防禦成功時，能提升防禦強度、彈開強力攻擊</t>
  </si>
  <si>
    <t>防禦成功時，能釋放衝擊波</t>
  </si>
  <si>
    <t>【女爵】從背後使出致命一擊後
　自己的身影會變得難以辨識，並消除腳步聲</t>
  </si>
  <si>
    <t>使出致命一擊時，能獲得盧恩</t>
  </si>
  <si>
    <t>受到攻擊時，能提升攻擊力</t>
  </si>
  <si>
    <t>【追蹤者】發動技藝時，能提升攻擊力</t>
  </si>
  <si>
    <t>【追蹤者】發動能力時，能累積絕活量表</t>
  </si>
  <si>
    <t>【女爵】在絕活發動期間，打倒敵人時能提升攻擊力</t>
  </si>
  <si>
    <t>【隱士】收集屬性痕時，能觸發「魔法之境」</t>
  </si>
  <si>
    <t>【隱士】發動絕活時
　自己陷入異常狀態出血，提升攻擊力</t>
  </si>
  <si>
    <t>【追蹤者】發動能力時，能提升攻擊力</t>
  </si>
  <si>
    <t>【追蹤者】技藝的使用次數＋１</t>
  </si>
  <si>
    <t>【守護者】在能力發動期間，會變得容易受敵人攻擊</t>
  </si>
  <si>
    <t>【守護者】在能力發動期間，防禦成功時能形成衝擊波</t>
  </si>
  <si>
    <t>【女爵】延長絕活的有效時間</t>
  </si>
  <si>
    <t>以特大武器蓄力攻擊時，岩石會攀附在武器上</t>
  </si>
  <si>
    <t>【無賴】在發動技藝的最後攻擊時，能永久性提升攻擊力</t>
  </si>
  <si>
    <t>【隱士】延長鮮血烙印的有效時間</t>
  </si>
  <si>
    <t>【隱士】收集四種屬性痕時，能提升屬性攻擊力</t>
  </si>
  <si>
    <t>【隱士】發動絕活時，能提升ＨＰ上限</t>
  </si>
  <si>
    <t>【執行者】在絕活發動期間，能提升攻擊力</t>
  </si>
  <si>
    <t>【執行者】強化能力的效果，但降低對異常狀態的抵抗力</t>
  </si>
  <si>
    <t>【執行者】提升技藝發動期間的攻擊力
　但攻擊時會減少ＨＰ</t>
  </si>
  <si>
    <t>【執行者】在技藝發動期間
　妖刀進入解放狀態時，能恢復ＨＰ</t>
  </si>
  <si>
    <t>【鐵之眼】蓄力發動絕活時，附加異常狀態中毒</t>
  </si>
  <si>
    <t>【鐵之眼】發動絕活後，強化突刺反擊</t>
  </si>
  <si>
    <t>使出火屬性的致命一擊時，能提升精力上限</t>
  </si>
  <si>
    <t>使出致命一擊時，能恢復ＨＰ</t>
  </si>
  <si>
    <t>使出致命一擊時，能附加雷屬性攻擊力</t>
  </si>
  <si>
    <t>使出致命一擊時，能提升精力的恢復速度</t>
  </si>
  <si>
    <t>連續防禦成功時，能硬化自身</t>
  </si>
  <si>
    <t>使出致命一擊時，能形成催眠煙霧</t>
  </si>
  <si>
    <t>透過肢體動作「盤腿坐」，能累積發狂量表</t>
  </si>
  <si>
    <t>引發異常狀態發狂後，能持續恢復ＦＰ</t>
  </si>
  <si>
    <t>急速衝刺期間落地時，能造成地面裂開</t>
  </si>
  <si>
    <t>切換武器時，能附加隨機的屬性攻擊力</t>
  </si>
  <si>
    <t>附加屬性攻擊力時，能提升屬性攻擊力</t>
  </si>
  <si>
    <t>切換武器時，能提升物理攻擊力</t>
  </si>
  <si>
    <t>強化輕攻擊的第一記攻擊</t>
  </si>
  <si>
    <t>強化致命一擊＋１</t>
  </si>
  <si>
    <t>提升投擲壺的攻擊力</t>
  </si>
  <si>
    <t>提升投擲小刀的攻擊力</t>
  </si>
  <si>
    <t>提升使用輝石、重力石道具的攻擊力</t>
  </si>
  <si>
    <t>強化挖石的魔法</t>
  </si>
  <si>
    <t>強化卡利亞劍的魔法</t>
  </si>
  <si>
    <t>強化輝劍的魔法</t>
  </si>
  <si>
    <t>強化隱形的魔法</t>
  </si>
  <si>
    <t>強化結晶人的魔法</t>
  </si>
  <si>
    <t>強化重力的魔法</t>
  </si>
  <si>
    <t>強化荊棘的魔法</t>
  </si>
  <si>
    <t>強化黑夜的魔法</t>
  </si>
  <si>
    <t>強化黃金律法基本主義的禱告</t>
  </si>
  <si>
    <t>強化王城古龍信仰的禱告</t>
  </si>
  <si>
    <t>強化巨人火焰的禱告</t>
  </si>
  <si>
    <t>強化狩獵神祇的禱告</t>
  </si>
  <si>
    <t>強化野獸的禱告</t>
  </si>
  <si>
    <t>強化癲火的禱告</t>
  </si>
  <si>
    <t>強化龍饗的禱告</t>
  </si>
  <si>
    <t>不包含自己，提升周圍我方人物的精力恢復速度</t>
  </si>
  <si>
    <t>道具效用能擴及我方人物</t>
  </si>
  <si>
    <t>每次打倒封印監牢裡的囚犯，能提升攻擊力</t>
  </si>
  <si>
    <t>每次解開魔法師塔的機關，能提升ＦＰ上限</t>
  </si>
  <si>
    <t>每次打倒黑夜入侵者，能提升攻擊力</t>
  </si>
  <si>
    <t>能顯示地圖上隱藏寶藏的位置</t>
  </si>
  <si>
    <t>裝備三把以上類別為短劍的武器，能提升攻擊力</t>
  </si>
  <si>
    <t>裝備三把以上類別為直劍的武器，能提升攻擊力</t>
  </si>
  <si>
    <t>裝備三把以上類別為大劍的武器，能提升攻擊力</t>
  </si>
  <si>
    <t>裝備三把以上類別為特大劍的武器，能提升攻擊力</t>
  </si>
  <si>
    <t>裝備三把以上類別為曲劍的武器，能提升攻擊力</t>
  </si>
  <si>
    <t>裝備三把以上類別為大曲劍的武器，能提升攻擊力</t>
  </si>
  <si>
    <t>裝備三把以上類別為刀的武器，能提升攻擊力</t>
  </si>
  <si>
    <t>裝備三把以上類別為雙頭劍的武器，能提升攻擊力</t>
  </si>
  <si>
    <t>裝備三把以上類別為刺劍的武器，能提升攻擊力</t>
  </si>
  <si>
    <t>裝備三把以上類別為重刺劍的武器，能提升攻擊力</t>
  </si>
  <si>
    <t>裝備三把以上類別為斧的武器，能提升攻擊力</t>
  </si>
  <si>
    <t>裝備三把以上類別為大斧的武器，能提升攻擊力</t>
  </si>
  <si>
    <t>裝備三把以上類別為槌的武器，能提升攻擊力</t>
  </si>
  <si>
    <t>裝備三把以上類別為大槌的武器，能提升攻擊力</t>
  </si>
  <si>
    <t>裝備三把以上類別為連枷的武器，能提升攻擊力</t>
  </si>
  <si>
    <t>裝備三把以上類別為矛的武器，能提升攻擊力</t>
  </si>
  <si>
    <t>裝備三把以上類別為大矛的武器，能提升攻擊力</t>
  </si>
  <si>
    <t>裝備三把以上類別為戟的武器，能提升攻擊力</t>
  </si>
  <si>
    <t>裝備三把以上類別為鐮刀的武器，能提升攻擊力</t>
  </si>
  <si>
    <t>裝備三把以上類別為拳頭的武器，能提升攻擊力</t>
  </si>
  <si>
    <t>裝備三把以上類別為鉤爪的武器，能提升攻擊力</t>
  </si>
  <si>
    <t>裝備三把以上類別為軟鞭的武器，能提升攻擊力</t>
  </si>
  <si>
    <t>裝備三把以上類別為特大武器的武器，能提升攻擊力</t>
  </si>
  <si>
    <t>裝備三把以上類別為弓的武器，能提升攻擊力</t>
  </si>
  <si>
    <t>裝備三把以上類別為手杖的武器，能提升ＦＰ上限</t>
  </si>
  <si>
    <t>裝備三把以上類別為聖印記的武器，能提升ＦＰ上限</t>
  </si>
  <si>
    <t>裝備三把以上類別為小盾的武器，能提升ＨＰ上限</t>
  </si>
  <si>
    <t>裝備三把以上類別為中盾的武器，能提升ＨＰ上限</t>
  </si>
  <si>
    <t>裝備三把以上類別為大盾的武器，能提升ＨＰ上限</t>
  </si>
  <si>
    <t>打倒敵人時，能累積絕活量表</t>
  </si>
  <si>
    <t>打倒敵人時，除了自己恢復周圍我方人物的ＨＰ</t>
  </si>
  <si>
    <t>在圖騰碑石周圍打倒敵人時，能恢復ＨＰ</t>
  </si>
  <si>
    <t>對陷入中毒的敵人
使出致命一擊時，能給予大傷害</t>
  </si>
  <si>
    <t>攻擊命中時，能恢復精力</t>
  </si>
  <si>
    <t>攻擊命中時，能恢復精力＋１</t>
  </si>
  <si>
    <t>增加自己與我方人物獲得的盧恩</t>
  </si>
  <si>
    <t>出擊時的武器，附加魔力屬性攻擊力</t>
  </si>
  <si>
    <t>出擊時的武器，附加火屬性攻擊力</t>
  </si>
  <si>
    <t>出擊時的武器，附加火屬性攻擊力＋１</t>
  </si>
  <si>
    <t>出擊時的武器，附加雷屬性攻擊力</t>
  </si>
  <si>
    <t>出擊時的武器，附加聖屬性攻擊力</t>
  </si>
  <si>
    <t>出擊時的武器，附加異常狀態凍傷</t>
  </si>
  <si>
    <t>出擊時的武器，附加異常狀態中毒</t>
  </si>
  <si>
    <t>出擊時的武器，附加異常狀態出血</t>
  </si>
  <si>
    <t>出擊時的武器，附加異常狀態猩紅腐敗</t>
  </si>
  <si>
    <t>出擊時，會持有「石劍鑰匙」</t>
  </si>
  <si>
    <t>出擊時，會持有「小型隨身包包」</t>
  </si>
  <si>
    <t>出擊時，會持有「火焰壺」</t>
  </si>
  <si>
    <t>出擊時，會持有「魔力壺」</t>
  </si>
  <si>
    <t>出擊時，會持有「雷電壺」</t>
  </si>
  <si>
    <t>出擊時，會持有「聖水壺」</t>
  </si>
  <si>
    <t>出擊時，會持有「獸骨毒飛刀」</t>
  </si>
  <si>
    <t>出擊時，會持有「結晶飛刀」</t>
  </si>
  <si>
    <t>出擊時，會持有「投擲匕首」</t>
  </si>
  <si>
    <t>出擊時，會持有「崩裂輝石」</t>
  </si>
  <si>
    <t>出擊時，會持有「塊狀重力石」</t>
  </si>
  <si>
    <t>出擊時，會持有「魅惑樹枝」</t>
  </si>
  <si>
    <t>出擊時，會持有「召咒魂鈴」</t>
  </si>
  <si>
    <t>出擊時，會持有「火油脂」</t>
  </si>
  <si>
    <t>出擊時，會持有「魔力油脂」</t>
  </si>
  <si>
    <t>出擊時，會持有「雷油脂」</t>
  </si>
  <si>
    <t>出擊時，會持有「聖油脂」</t>
  </si>
  <si>
    <t>出擊時，會持有「堅盾油脂」</t>
  </si>
  <si>
    <t>出擊時，武器戰技改為「輝劍圓陣」
※僅限能使用的武器類別</t>
  </si>
  <si>
    <t>出擊時，武器戰技改為「重力」
※僅限能使用的武器類別</t>
  </si>
  <si>
    <t>出擊時，武器戰技改為「炎擊」
※僅限能使用的武器類別</t>
  </si>
  <si>
    <t>出擊時，武器戰技改為「熔岩火漿」
※僅限能使用的武器類別</t>
  </si>
  <si>
    <t>出擊時，武器戰技改為「落雷」
※僅限能使用的武器類別</t>
  </si>
  <si>
    <t>出擊時，武器戰技改為「雷擊斬」
※僅限能使用的武器類別</t>
  </si>
  <si>
    <t>出擊時，武器戰技改為「神聖刀刃」
※僅限能使用的武器類別</t>
  </si>
  <si>
    <t>出擊時，武器戰技改為「祈禱一擊」
※僅限能使用的武器類別</t>
  </si>
  <si>
    <t>出擊時，武器戰技改為「毒霧」
※僅限能使用的武器類別</t>
  </si>
  <si>
    <t>出擊時，武器戰技改為「雙吻毒蛾」
※僅限能使用的武器類別</t>
  </si>
  <si>
    <t>出擊時，武器戰技改為「血刃」
※僅限能使用的武器類別</t>
  </si>
  <si>
    <t>出擊時，武器戰技改為「切腹」
※僅限能使用的武器類別</t>
  </si>
  <si>
    <t>出擊時，武器戰技改為「寒氣凍霧」
※僅限能使用的武器類別</t>
  </si>
  <si>
    <t>出擊時，武器戰技改為「凍霜踏地」
※僅限能使用的武器類別</t>
  </si>
  <si>
    <t>出擊時，武器戰技改為「白影誘惑」
※僅限能使用的武器類別</t>
  </si>
  <si>
    <t>出擊時，武器戰技改為「忍耐」
※僅限能使用的武器類別</t>
  </si>
  <si>
    <t>出擊時，武器戰技改為「碎步」
※僅限能使用的武器類別</t>
  </si>
  <si>
    <t>出擊時，武器戰技改為「風暴足」
※僅限能使用的武器類別</t>
  </si>
  <si>
    <t>出擊時，武器戰技改為「決心」
※僅限能使用的武器類別</t>
  </si>
  <si>
    <t>出擊時，武器戰技改為「箭雨」
※僅限能使用的武器類別</t>
  </si>
  <si>
    <t>出擊時，會持有「星光碎片」</t>
  </si>
  <si>
    <t>防禦反擊成功時，能依照自己目前的ＨＰ提升傷害</t>
  </si>
  <si>
    <t>突刺反擊成功時，能恢復ＨＰ</t>
  </si>
  <si>
    <t>頭部射擊時，能恢復ＨＰ</t>
  </si>
  <si>
    <t>頭部射擊時，能提升讓敵人失去平衡的能力</t>
  </si>
  <si>
    <t>【復仇者】與家人並肩戰鬥期間，能強化自身</t>
  </si>
  <si>
    <t>在出擊期間，減少於商店購物時所需的盧恩</t>
  </si>
  <si>
    <t>在出擊期間，大幅減少於商店購物時所需的盧恩</t>
  </si>
  <si>
    <t>受到損傷並被彈飛時，能提升強韌度與減傷率</t>
  </si>
  <si>
    <t>對陷入中毒的敵人，能強化攻擊</t>
  </si>
  <si>
    <t>對陷入催眠的敵人，能強化攻擊</t>
  </si>
  <si>
    <t>對陷入猩紅腐敗的敵人，能強化攻擊</t>
  </si>
  <si>
    <t>對陷入凍傷的敵人，能強化攻擊</t>
  </si>
  <si>
    <t>對陷入催眠的敵人，能透過攻擊引發魔力爆炸</t>
  </si>
  <si>
    <t>周圍人物陷入異常狀態凍傷時，能隱藏自己的身影</t>
  </si>
  <si>
    <t>周圍人物陷入中毒、腐敗時，能提升攻擊力</t>
  </si>
  <si>
    <t>【鐵之眼】技藝的使用次數＋１</t>
  </si>
  <si>
    <t>【鐵之眼】延長弱點顯露的時間</t>
  </si>
  <si>
    <t>【女爵】提升技藝造成的傷害</t>
  </si>
  <si>
    <t>【女爵】發動技藝時，能催眠敵人</t>
  </si>
  <si>
    <t>【無賴】延長絕活的有效時間</t>
  </si>
  <si>
    <t>【復仇者】提升能力的發動機率</t>
  </si>
  <si>
    <t>提升短劍的攻擊力</t>
  </si>
  <si>
    <t>提升直劍的攻擊力</t>
  </si>
  <si>
    <t>提升大劍的攻擊力</t>
  </si>
  <si>
    <t>提升特大劍的攻擊力</t>
  </si>
  <si>
    <t>提升曲劍的攻擊力</t>
  </si>
  <si>
    <t>提升大曲劍的攻擊力</t>
  </si>
  <si>
    <t>提升刀的攻擊力</t>
  </si>
  <si>
    <t>提升雙頭劍的攻擊力</t>
  </si>
  <si>
    <t>提升刺劍的攻擊力</t>
  </si>
  <si>
    <t>提升重刺劍的攻擊力</t>
  </si>
  <si>
    <t>提升斧的攻擊力</t>
  </si>
  <si>
    <t>提升大斧的攻擊力</t>
  </si>
  <si>
    <t>提升槌的攻擊力</t>
  </si>
  <si>
    <t>提升大槌的攻擊力</t>
  </si>
  <si>
    <t>提升連枷的攻擊力</t>
  </si>
  <si>
    <t>提升矛的攻擊力</t>
  </si>
  <si>
    <t>提升長矛的攻擊力</t>
  </si>
  <si>
    <t>提升大矛的攻擊力</t>
  </si>
  <si>
    <t>提升戟的攻擊力</t>
  </si>
  <si>
    <t>提升鐮刀的攻擊力</t>
  </si>
  <si>
    <t>提升拳頭的攻擊力</t>
  </si>
  <si>
    <t>提升鉤爪的攻擊力</t>
  </si>
  <si>
    <t>提升軟鞭的攻擊力</t>
  </si>
  <si>
    <t>提升特大武器的攻擊力</t>
  </si>
  <si>
    <t>提升弓的攻擊力</t>
  </si>
  <si>
    <t>提升大弓的攻擊力</t>
  </si>
  <si>
    <t>提升弩的攻擊力</t>
  </si>
  <si>
    <t>提升弩砲的攻擊力</t>
  </si>
  <si>
    <t>以短劍攻擊時，恢復ＨＰ</t>
  </si>
  <si>
    <t>以直劍攻擊時，恢復ＨＰ</t>
  </si>
  <si>
    <t>以大劍攻擊時，恢復ＨＰ</t>
  </si>
  <si>
    <t>以特大劍攻擊時，恢復ＨＰ</t>
  </si>
  <si>
    <t>以曲劍攻擊時，恢復ＨＰ</t>
  </si>
  <si>
    <t>以大曲劍攻擊時，恢復ＨＰ</t>
  </si>
  <si>
    <t>以刀攻擊時，恢復ＨＰ</t>
  </si>
  <si>
    <t>以雙頭劍攻擊時，恢復ＨＰ</t>
  </si>
  <si>
    <t>以刺劍攻擊時，恢復ＨＰ</t>
  </si>
  <si>
    <t>以重刺劍攻擊時，恢復ＨＰ</t>
  </si>
  <si>
    <t>以斧攻擊時，恢復ＨＰ</t>
  </si>
  <si>
    <t>以大斧攻擊時，恢復ＨＰ</t>
  </si>
  <si>
    <t>以槌攻擊時，恢復ＨＰ</t>
  </si>
  <si>
    <t>以大槌攻擊時，恢復ＨＰ</t>
  </si>
  <si>
    <t>以連枷攻擊時，恢復ＨＰ</t>
  </si>
  <si>
    <t>以矛攻擊時，恢復ＨＰ</t>
  </si>
  <si>
    <t>以長矛攻擊時，恢復ＨＰ</t>
  </si>
  <si>
    <t>以大矛攻擊時，恢復ＨＰ</t>
  </si>
  <si>
    <t>以戟攻擊時，恢復ＨＰ</t>
  </si>
  <si>
    <t>以鐮刀攻擊時，恢復ＨＰ</t>
  </si>
  <si>
    <t>以拳頭攻擊時，恢復ＨＰ</t>
  </si>
  <si>
    <t>以鉤爪攻擊時，恢復ＨＰ</t>
  </si>
  <si>
    <t>以軟鞭攻擊時，恢復ＨＰ</t>
  </si>
  <si>
    <t>以特大武器攻擊時，恢復ＨＰ</t>
  </si>
  <si>
    <t>以弓攻擊時，恢復ＨＰ</t>
  </si>
  <si>
    <t>以大弓攻擊時，恢復ＨＰ</t>
  </si>
  <si>
    <t>以弩攻擊時，恢復ＨＰ</t>
  </si>
  <si>
    <t>以弩砲攻擊時，恢復ＨＰ</t>
  </si>
  <si>
    <t>以短劍攻擊時，恢復ＦＰ</t>
  </si>
  <si>
    <t>以直劍攻擊時，恢復ＦＰ</t>
  </si>
  <si>
    <t>以大劍攻擊時，恢復ＦＰ</t>
  </si>
  <si>
    <t>以特大劍攻擊時，恢復ＦＰ</t>
  </si>
  <si>
    <t>以曲劍攻擊時，恢復ＦＰ</t>
  </si>
  <si>
    <t>以大曲劍攻擊時，恢復ＦＰ</t>
  </si>
  <si>
    <t>以刀攻擊時，恢復ＦＰ</t>
  </si>
  <si>
    <t>以雙頭劍攻擊時，恢復ＦＰ</t>
  </si>
  <si>
    <t>以刺劍攻擊時，恢復ＦＰ</t>
  </si>
  <si>
    <t>以重刺劍攻擊時，恢復ＦＰ</t>
  </si>
  <si>
    <t>以斧攻擊時，恢復ＦＰ</t>
  </si>
  <si>
    <t>以大斧攻擊時，恢復ＦＰ</t>
  </si>
  <si>
    <t>以槌攻擊時，恢復ＦＰ</t>
  </si>
  <si>
    <t>以大槌攻擊時，恢復ＦＰ</t>
  </si>
  <si>
    <t>以連枷攻擊時，恢復ＦＰ</t>
  </si>
  <si>
    <t>以矛攻擊時，恢復ＦＰ</t>
  </si>
  <si>
    <t>以長矛攻擊時，恢復ＦＰ</t>
  </si>
  <si>
    <t>以大矛攻擊時，恢復ＦＰ</t>
  </si>
  <si>
    <t>以戟攻擊時，恢復ＦＰ</t>
  </si>
  <si>
    <t>以鐮刀攻擊時，恢復ＦＰ</t>
  </si>
  <si>
    <t>以拳頭攻擊時，恢復ＦＰ</t>
  </si>
  <si>
    <t>以鉤爪攻擊時，恢復ＦＰ</t>
  </si>
  <si>
    <t>以軟鞭攻擊時，恢復ＦＰ</t>
  </si>
  <si>
    <t>以特大武器攻擊時，恢復ＦＰ</t>
  </si>
  <si>
    <t>以弓攻擊時，恢復ＦＰ</t>
  </si>
  <si>
    <t>以大弓攻擊時，恢復ＦＰ</t>
  </si>
  <si>
    <t>以弩攻擊時，恢復ＦＰ</t>
  </si>
  <si>
    <t>以弩砲攻擊時，恢復ＦＰ</t>
  </si>
  <si>
    <t>減少精力消耗</t>
  </si>
  <si>
    <t>附加異常狀態中毒</t>
  </si>
  <si>
    <t>附加異常狀態出血</t>
  </si>
  <si>
    <t>附加異常狀態催眠</t>
  </si>
  <si>
    <t>附加異常狀態死亡</t>
  </si>
  <si>
    <t>附加異常狀態腐敗</t>
  </si>
  <si>
    <t>附加異常狀態凍傷</t>
  </si>
  <si>
    <t>附加異常狀態發狂</t>
  </si>
  <si>
    <t>武器變為火屬性</t>
  </si>
  <si>
    <t>武器變為魔力屬性</t>
  </si>
  <si>
    <t>武器變為雷屬性</t>
  </si>
  <si>
    <t>武器變為聖屬性</t>
  </si>
  <si>
    <t>提升讓敵人失去平衡的能力</t>
  </si>
  <si>
    <t>特殊效果【從隕石誕生的生命】</t>
  </si>
  <si>
    <t>特殊效果【死誕者】</t>
  </si>
  <si>
    <t>特殊效果【龍】</t>
  </si>
  <si>
    <t>提升防禦強度＋１</t>
  </si>
  <si>
    <t>提升防禦強度＋２</t>
  </si>
  <si>
    <t>提升雙手共持時的攻擊力</t>
  </si>
  <si>
    <t>提升雙手共持時，造成失去平衡的能力</t>
  </si>
  <si>
    <t>提升雙手各持時的攻擊力</t>
  </si>
  <si>
    <t>提升雙手各持時，造成失去平衡的能力</t>
  </si>
  <si>
    <t>重攻擊時，提升強韌度</t>
  </si>
  <si>
    <t>蓄力攻擊命中時，提升減傷率</t>
  </si>
  <si>
    <t>強化魔法的蓄力施展</t>
  </si>
  <si>
    <t>強化禱告的蓄力執行</t>
  </si>
  <si>
    <t>執行龍饗禱告後，武器附加對龍特效</t>
  </si>
  <si>
    <t>詠唱魔法、禱告時，提升減傷率</t>
  </si>
  <si>
    <t>提升戰技蓄力攻擊力</t>
  </si>
  <si>
    <t>發動戰技時，提升強韌度</t>
  </si>
  <si>
    <t>格擋時，發動黃金式奉還</t>
  </si>
  <si>
    <t>強化自然累積絕活量表</t>
  </si>
  <si>
    <t>縮短技藝的冷卻時間</t>
  </si>
  <si>
    <t>強化閃避能力</t>
  </si>
  <si>
    <t>閃避時，在周圍降下落雷</t>
  </si>
  <si>
    <t>防禦反擊時，觸發聖屬性攻擊</t>
  </si>
  <si>
    <t>防禦反擊時，觸發召喚攻擊</t>
  </si>
  <si>
    <t>使用聖杯瓶時，改為緩慢恢復</t>
  </si>
  <si>
    <t>急速衝刺時，噴出熔岩</t>
  </si>
  <si>
    <t>急速衝刺時，颳起冰風暴</t>
  </si>
  <si>
    <t>慢步移動時，形成黑暗消除自身存在</t>
  </si>
  <si>
    <t>慢步移動時，燃起接連形成的火焰柱</t>
  </si>
  <si>
    <t>慢步移動時，迸發劇烈癲火</t>
  </si>
  <si>
    <t>慢步移動時，釋放咒魂</t>
  </si>
  <si>
    <t>慢步移動時，降下磅礡的星雨</t>
  </si>
  <si>
    <t>慢步移動時，召喚紅落雷</t>
  </si>
  <si>
    <t>敵人比較不會攻擊自己</t>
  </si>
  <si>
    <t>一定時間間隔內，形成多支輝劍</t>
  </si>
  <si>
    <t>一定時間間隔內，形成大量輝劍</t>
  </si>
  <si>
    <t>一定時間間隔內，形成巨大輝劍</t>
  </si>
  <si>
    <t>攻擊命中時，恢復ＨＰ</t>
  </si>
  <si>
    <t>攻擊命中時，恢復ＦＰ</t>
  </si>
  <si>
    <t>攻擊命中時，敵人偶爾會驟死</t>
  </si>
  <si>
    <t>連續攻擊時，恢復ＦＰ</t>
  </si>
  <si>
    <t>蓄力攻擊命中時，追加魔力屬性攻擊</t>
  </si>
  <si>
    <t>蓄力攻擊命中時，追加火屬性攻擊</t>
  </si>
  <si>
    <t>蓄力攻擊命中時，追加雷屬性攻擊</t>
  </si>
  <si>
    <t>蓄力攻擊命中時，追加聖屬性攻擊</t>
  </si>
  <si>
    <t>連續攻擊時，僅限一次提升減傷率</t>
  </si>
  <si>
    <t>受到損傷時，恢復ＦＰ</t>
  </si>
  <si>
    <t>受到損傷時，提升減傷率</t>
  </si>
  <si>
    <t>打倒多名敵人時，釋放咒魂</t>
  </si>
  <si>
    <t>打倒多名敵人時，形成魅惑煙霧</t>
  </si>
  <si>
    <t>打倒多名敵人時，召喚怨魂</t>
  </si>
  <si>
    <t>打倒多名敵人時，形成熔岩</t>
  </si>
  <si>
    <t>打倒多名敵人時，形成寒氣凍霧</t>
  </si>
  <si>
    <t>打倒多名敵人時，降下落雷</t>
  </si>
  <si>
    <t>打倒多名敵人時，形成黃金衝擊波</t>
  </si>
  <si>
    <t>致命一擊時，能增加敵人受到的傷害</t>
  </si>
  <si>
    <t>聖屬性的致命一擊，觸發聖律</t>
  </si>
  <si>
    <t>火屬性的致命一擊，形成熔岩</t>
  </si>
  <si>
    <t>雷屬性的致命一擊，發動雷擊斬</t>
  </si>
  <si>
    <t>魔力屬性的致命一擊，釋放結晶碎片</t>
  </si>
  <si>
    <t>中毒效果的致命一擊，形成毒性煙霧</t>
  </si>
  <si>
    <t>出血效果的致命一擊，形成責罰荊棘</t>
  </si>
  <si>
    <t>腐敗效果的致命一擊，釋放蟲絲</t>
  </si>
  <si>
    <t>凍傷效果的致命一擊，颳起冰風暴</t>
  </si>
  <si>
    <t>發狂效果的致命一擊，釋放癲火</t>
  </si>
  <si>
    <t>死亡效果的致命一擊，降下死亡落雷</t>
  </si>
  <si>
    <t>防禦成功時，恢復ＨＰ</t>
  </si>
  <si>
    <t>防禦成功時，恢復ＦＰ</t>
  </si>
  <si>
    <t>防禦成功時，提升強韌度</t>
  </si>
  <si>
    <t>防禦成功時，提升減傷率</t>
  </si>
  <si>
    <t>致命一擊時，附加異常狀態出血</t>
  </si>
  <si>
    <t>ＨＰ偏低時，展開聖域</t>
  </si>
  <si>
    <t>ＨＰ偏低時，致命一擊全恢復ＨＰ</t>
  </si>
  <si>
    <t>陷入中毒時，形成毒性煙霧</t>
  </si>
  <si>
    <t>陷入發狂時，釋放劃空癲火</t>
  </si>
  <si>
    <t>陷入猩紅腐敗時，形成腐敗煙霧</t>
  </si>
  <si>
    <t>陷入凍傷時，形成寒氣凍霧</t>
  </si>
  <si>
    <t>陷入催眠時，形成催眠煙霧</t>
  </si>
  <si>
    <t>陷入中毒時，提升攻擊力</t>
  </si>
  <si>
    <t>陷入出血時，提升攻擊力</t>
  </si>
  <si>
    <t>陷入催眠時，提升攻擊力</t>
  </si>
  <si>
    <t>陷入凍傷時，提升攻擊力</t>
  </si>
  <si>
    <t>陷入發狂時，提升攻擊力</t>
  </si>
  <si>
    <t>降低ＦＰ上限</t>
  </si>
  <si>
    <t>降低精力上限</t>
  </si>
  <si>
    <t>被黑夜雨淋到的損傷加劇</t>
  </si>
  <si>
    <t>時間越接近夜晚，受到的損傷加劇</t>
  </si>
  <si>
    <t>ＨＰ沒有全滿時，降低絕活量表累積</t>
  </si>
  <si>
    <t>ＨＰ全滿時，降低絕活量表累積</t>
  </si>
  <si>
    <t>精力偏少時，降低減傷率</t>
  </si>
  <si>
    <t>攻擊時，攻擊偶爾會掠過目標</t>
  </si>
  <si>
    <t>攻擊命中時，自己會累積凍傷量表</t>
  </si>
  <si>
    <t>攻擊命中時，自己會累積出血量表</t>
  </si>
  <si>
    <t>增加因異常狀態受到的損傷</t>
  </si>
  <si>
    <t>瀕死時，減少絕活量表</t>
  </si>
  <si>
    <t>蓄力攻擊時，颳起冰風暴</t>
  </si>
  <si>
    <t>蓄力斬擊時，釋放光環</t>
  </si>
  <si>
    <t>蓄力攻擊時，噴灑黑焰</t>
  </si>
  <si>
    <t>蓄力攻擊時，形成幻影進行攻擊</t>
  </si>
  <si>
    <t>蓄力斬擊時，引起劇烈火焰</t>
  </si>
  <si>
    <t>蓄力攻擊時，釋放聖屬性衝擊波</t>
  </si>
  <si>
    <t>蓄力打擊時，釋放魔法球</t>
  </si>
  <si>
    <t>蓄力攻擊時，將敵人拉近自己</t>
  </si>
  <si>
    <t>蓄力打擊時，釋放衝擊波</t>
  </si>
  <si>
    <t>蓄力打擊時，形成幻影進行攻擊</t>
  </si>
  <si>
    <t>蓄力攻擊時，形成熔岩</t>
  </si>
  <si>
    <t>蓄力打擊時，釋放泡泡</t>
  </si>
  <si>
    <t>蓄力突刺時，形成幻影進行攻擊</t>
  </si>
  <si>
    <t>蓄力攻擊時，釋放雷電</t>
  </si>
  <si>
    <t>蓄力突刺時，噴灑強酸</t>
  </si>
  <si>
    <t>蓄力突刺時，釋放蟲絲</t>
  </si>
  <si>
    <t>蓄力突刺時，形成毒性煙霧</t>
  </si>
  <si>
    <t>蓄力攻擊時，形成催眠煙霧</t>
  </si>
  <si>
    <t>蓄力攻擊時，形成追擊魔力球</t>
  </si>
  <si>
    <t>精密射擊時，在命中點降下落雷</t>
  </si>
  <si>
    <t>精密射擊時，在命中點形成毒性煙霧</t>
  </si>
  <si>
    <t>精密射擊時，在命中點形成腐敗煙霧</t>
  </si>
  <si>
    <t>精密射擊時，在命中點招來血蠅</t>
  </si>
  <si>
    <t>持盾維持防禦時，提升部分的減傷率</t>
  </si>
  <si>
    <t>持盾維持防禦時，發動無敵</t>
  </si>
  <si>
    <t>持盾維持防禦時，發動聖域</t>
  </si>
  <si>
    <t>失去平衡時，發動忍耐</t>
  </si>
  <si>
    <t>使用聖杯瓶時，也恢復ＦＰ</t>
  </si>
  <si>
    <t>ＦＰ不夠時，施展魔法、祈禱恢復ＦＰ</t>
  </si>
  <si>
    <t>維持防禦時，強化魔法、禱告</t>
  </si>
  <si>
    <t>致命一擊時，提升攻擊力</t>
  </si>
  <si>
    <t>重攻擊動作變化</t>
  </si>
  <si>
    <t>跳躍重攻擊時，能形成衝擊波</t>
  </si>
  <si>
    <t>夜與火的庇佑</t>
  </si>
  <si>
    <t>暗月的庇佑</t>
  </si>
  <si>
    <t>無上庇佑</t>
  </si>
  <si>
    <t>褻瀆的庇佑</t>
  </si>
  <si>
    <t>瑪雷家的庇佑</t>
  </si>
  <si>
    <t>黃金律法的庇佑</t>
  </si>
  <si>
    <t>命定之死的庇佑</t>
  </si>
  <si>
    <t>碎星的庇佑</t>
  </si>
  <si>
    <t>毀滅的庇佑</t>
  </si>
  <si>
    <t>復仇的庇佑</t>
  </si>
  <si>
    <t>龍王的庇佑</t>
  </si>
  <si>
    <t>絕望的庇佑</t>
  </si>
  <si>
    <t>惡兆王的庇佑</t>
  </si>
  <si>
    <t>戰無不勝的庇佑</t>
  </si>
  <si>
    <t>女王的庇佑</t>
  </si>
  <si>
    <t>黑暗的庇佑</t>
  </si>
  <si>
    <t>黃金一族的庇佑</t>
  </si>
  <si>
    <t>祖靈的庇佑</t>
  </si>
  <si>
    <t>大古龍的庇佑</t>
  </si>
  <si>
    <t>鮮血君王的庇佑</t>
  </si>
  <si>
    <t>巨人的庇佑</t>
  </si>
  <si>
    <t>飛龍的庇佑</t>
  </si>
  <si>
    <t>初始之王的庇佑</t>
  </si>
  <si>
    <t>滿月的庇佑</t>
  </si>
  <si>
    <t>將軍的庇佑</t>
  </si>
  <si>
    <t>追蹤者的不甘</t>
  </si>
  <si>
    <t>守護者的不甘</t>
  </si>
  <si>
    <t>鐵之眼的不甘</t>
  </si>
  <si>
    <t>女爵的不甘</t>
  </si>
  <si>
    <t>無賴的不甘</t>
  </si>
  <si>
    <t>復仇者的不甘</t>
  </si>
  <si>
    <t>隱士的不甘</t>
  </si>
  <si>
    <t>執行者的不甘</t>
  </si>
  <si>
    <t>提升對所有異常狀態的抵抗力</t>
  </si>
  <si>
    <t>強化魔法、禱告</t>
  </si>
  <si>
    <t>格擋成功時，發動黃金式奉還</t>
  </si>
  <si>
    <t>陷入中毒、腐敗時，持續恢復ＨＰ</t>
  </si>
  <si>
    <t>生命力</t>
  </si>
  <si>
    <t>集中力</t>
  </si>
  <si>
    <t>耐力</t>
  </si>
  <si>
    <t>力氣</t>
  </si>
  <si>
    <t>靈巧</t>
  </si>
  <si>
    <t>智力</t>
  </si>
  <si>
    <t>信仰</t>
  </si>
  <si>
    <t>感應</t>
  </si>
  <si>
    <t>自然累積絕活量表</t>
  </si>
  <si>
    <t>強韌度</t>
  </si>
  <si>
    <t>全選</t>
  </si>
  <si>
    <t>【學者】對自己使用技藝時，能減少消耗的FP</t>
  </si>
  <si>
    <t>【送葬者】發動絕活後，能再次使用技藝</t>
  </si>
  <si>
    <t>【學者】提升集中力，但降低生命力</t>
  </si>
  <si>
    <t>【學者】提升耐力、靈巧，但降低智力、感應</t>
  </si>
  <si>
    <t>【送葬者】提升靈巧，但降低生命力、信仰</t>
  </si>
  <si>
    <t>【送葬者】提升集中力、信仰，但降低力氣</t>
  </si>
  <si>
    <t>持續恢復ＦＰ</t>
  </si>
  <si>
    <t>提升近戰攻擊力</t>
  </si>
  <si>
    <t>【學者】減緩技藝進行率的下降幅度</t>
  </si>
  <si>
    <t>【學者】使用技藝時，提升目標我方人物的攻擊力</t>
  </si>
  <si>
    <t>【學者】對上已用絕活連結的敵人，持續給予傷害</t>
  </si>
  <si>
    <t>【學者】每次使用技藝增加樣本，能獲得盧恩</t>
  </si>
  <si>
    <t>【送葬者】發動絕活時，提升攻擊力</t>
  </si>
  <si>
    <t>【送葬者】連擊的最後攻擊命中時，提升攻擊力</t>
  </si>
  <si>
    <t>【送葬者】使用禱告將輔助效果附加在自己身上時
提升物理攻擊力</t>
  </si>
  <si>
    <t>【送葬者】發動絕活時，恢復觸碰到的我方人物的ＨＰ</t>
  </si>
  <si>
    <t>出現異常狀態量表時，能緩慢提升攻擊力</t>
  </si>
  <si>
    <t>減傷率降低時，偶爾會讓敵人攻擊失效</t>
  </si>
  <si>
    <t>受到損傷時，附加異常狀態腐敗</t>
  </si>
  <si>
    <t>周圍陷入腐敗時，持續恢復ＨＰ</t>
  </si>
  <si>
    <t>出擊時，武器魔法改為「魔法輝劍」
※僅限能使用的武器類別</t>
  </si>
  <si>
    <t>出擊時，武器魔法改為「卡利亞大劍」
※僅限能使用的武器類別</t>
  </si>
  <si>
    <t>出擊時，武器魔法改為「黑夜魔礫」
※僅限能使用的武器類別</t>
  </si>
  <si>
    <t>出擊時，武器魔法改為「熔岩球」
※僅限能使用的武器類別</t>
  </si>
  <si>
    <t>出擊時，武器魔法改為「輝石冰塊」
※僅限能使用的武器類別</t>
  </si>
  <si>
    <t>出擊時，武器魔法改為「重力球」
※僅限能使用的武器類別</t>
  </si>
  <si>
    <t>出擊時，武器魔法改為「責罰荊棘」
※僅限能使用的武器類別</t>
  </si>
  <si>
    <t>出擊時，武器禱告改為「恩惠賜福」
※僅限能使用的武器類別</t>
  </si>
  <si>
    <t>出擊時，武器禱告改為「熔爐百相之角」
※僅限能使用的武器類別</t>
  </si>
  <si>
    <t>出擊時，武器禱告改為「黃金之怒」
※僅限能使用的武器類別</t>
  </si>
  <si>
    <t>出擊時，武器禱告改為「雷電槍」
※僅限能使用的武器類別</t>
  </si>
  <si>
    <t>出擊時，武器禱告改為「雷擊」
※僅限能使用的武器類別</t>
  </si>
  <si>
    <t>出擊時，武器禱告改為「火焰啊！」
※僅限能使用的武器類別</t>
  </si>
  <si>
    <t>出擊時，武器禱告改為「黑焰」
※僅限能使用的武器類別</t>
  </si>
  <si>
    <t>出擊時，武器禱告改為「獸爪」
※僅限能使用的武器類別</t>
  </si>
  <si>
    <t>出擊時，武器禱告改為「蠅群」
※僅限能使用的武器類別</t>
  </si>
  <si>
    <t>出擊時，武器禱告改為「龍焰」
※僅限能使用的武器類別</t>
  </si>
  <si>
    <t>強化衝刺攻擊</t>
  </si>
  <si>
    <t>強化翻滾攻擊</t>
  </si>
  <si>
    <t>維持防禦時，強化魔法、禱告與縮短詠唱時間</t>
  </si>
  <si>
    <t>學者的不甘</t>
  </si>
  <si>
    <t>送葬者的不甘</t>
  </si>
  <si>
    <t>English</t>
    <phoneticPr fontId="1" type="noConversion"/>
  </si>
  <si>
    <t>繁體中文</t>
  </si>
  <si>
    <t>繁體中文</t>
    <phoneticPr fontId="1" type="noConversion"/>
  </si>
  <si>
    <t>AttachEffect 1</t>
    <phoneticPr fontId="1" type="noConversion"/>
  </si>
  <si>
    <t>AttachEffect 2</t>
  </si>
  <si>
    <t>AttachEffect 3</t>
  </si>
  <si>
    <t>CurseEffect 1</t>
    <phoneticPr fontId="1" type="noConversion"/>
  </si>
  <si>
    <t>CurseEffect 2</t>
  </si>
  <si>
    <t>CurseEffect 3</t>
  </si>
  <si>
    <t>遗物</t>
    <phoneticPr fontId="1" type="noConversion"/>
  </si>
  <si>
    <t>负面1</t>
    <phoneticPr fontId="1" type="noConversion"/>
  </si>
  <si>
    <t>负面2</t>
    <phoneticPr fontId="1" type="noConversion"/>
  </si>
  <si>
    <t>负面3</t>
    <phoneticPr fontId="1" type="noConversion"/>
  </si>
  <si>
    <t>語言</t>
    <phoneticPr fontId="1" type="noConversion"/>
  </si>
  <si>
    <t>Language</t>
    <phoneticPr fontId="1" type="noConversion"/>
  </si>
  <si>
    <t>语言</t>
    <phoneticPr fontId="1" type="noConversion"/>
  </si>
  <si>
    <t>欄1</t>
  </si>
  <si>
    <t>English</t>
  </si>
  <si>
    <t>Antique</t>
  </si>
  <si>
    <t>Murk</t>
  </si>
  <si>
    <t>Sovereign Sigil</t>
  </si>
  <si>
    <t>Scenic Flatstone</t>
  </si>
  <si>
    <t>Large Scenic Flatstone</t>
  </si>
  <si>
    <t>Deep Scenic Flatstone</t>
  </si>
  <si>
    <t>Deep Large Scenic Flatstone</t>
  </si>
  <si>
    <t>Delicate Burning Scene</t>
  </si>
  <si>
    <t>Polished Burning Scene</t>
  </si>
  <si>
    <t>Grand Burning Scene</t>
  </si>
  <si>
    <t>Delicate Drizzly Scene</t>
  </si>
  <si>
    <t>Polished Drizzly Scene</t>
  </si>
  <si>
    <t>Grand Drizzly Scene</t>
  </si>
  <si>
    <t>Delicate Luminous Scene</t>
  </si>
  <si>
    <t>Polished Luminous Scene</t>
  </si>
  <si>
    <t>Grand Luminous Scene</t>
  </si>
  <si>
    <t>Delicate Tranquil Scene</t>
  </si>
  <si>
    <t>Polished Tranquil Scene</t>
  </si>
  <si>
    <t>Grand Tranquil Scene</t>
  </si>
  <si>
    <t>Night of the Beast</t>
  </si>
  <si>
    <t>Dark Night of the Beast</t>
  </si>
  <si>
    <t>Night of the Baron</t>
  </si>
  <si>
    <t>Dark Night of the Baron</t>
  </si>
  <si>
    <t>Night of the Wise</t>
  </si>
  <si>
    <t>Dark Night of the Wise</t>
  </si>
  <si>
    <t>Night of the Fathom</t>
  </si>
  <si>
    <t>Dark Night of the Fathom</t>
  </si>
  <si>
    <t>Night of the Demon</t>
  </si>
  <si>
    <t>Dark Night of the Demon</t>
  </si>
  <si>
    <t>Night of the Champion</t>
  </si>
  <si>
    <t>Dark Night of the Champion</t>
  </si>
  <si>
    <t>Night of the Miasma</t>
  </si>
  <si>
    <t>Dark Night of the Miasma</t>
  </si>
  <si>
    <t>The Will of the Balancers</t>
  </si>
  <si>
    <t>The Will of Balance</t>
  </si>
  <si>
    <t>The Night of Dregs</t>
  </si>
  <si>
    <t>Night of the Lord</t>
  </si>
  <si>
    <t>Old Pocketwatch</t>
  </si>
  <si>
    <t>Besmirched Frame</t>
  </si>
  <si>
    <t>Fell Omen Fetish</t>
  </si>
  <si>
    <t>Slate Whetstone</t>
  </si>
  <si>
    <t>The Wylder's Earring</t>
  </si>
  <si>
    <t>Silver Tear</t>
  </si>
  <si>
    <t>Third Volume</t>
  </si>
  <si>
    <t>Stone Stake</t>
  </si>
  <si>
    <t>Witch's Brooch</t>
  </si>
  <si>
    <t>Cracked Witch's Brooch</t>
  </si>
  <si>
    <t>Fine Arrowhead</t>
  </si>
  <si>
    <t>Cracked Sealing Wax</t>
  </si>
  <si>
    <t>Edge of Order</t>
  </si>
  <si>
    <t>Golden Dew</t>
  </si>
  <si>
    <t>Crown Medal</t>
  </si>
  <si>
    <t>Blessed Iron Coin</t>
  </si>
  <si>
    <t>Torn Braided Cord</t>
  </si>
  <si>
    <t>Black Claw Necklace</t>
  </si>
  <si>
    <t>Blade of Night Fragment</t>
  </si>
  <si>
    <t>Small Makeup Brush</t>
  </si>
  <si>
    <t>Old Portrait</t>
  </si>
  <si>
    <t>Night Shard</t>
  </si>
  <si>
    <t>Vestige of Night</t>
  </si>
  <si>
    <t>Bone-Like Stone</t>
  </si>
  <si>
    <t>Blessed Flowers</t>
  </si>
  <si>
    <t>Golden Shell</t>
  </si>
  <si>
    <t>Golden Sprout</t>
  </si>
  <si>
    <t>Cleansing Tear</t>
  </si>
  <si>
    <t>Note "My Dear Successor"</t>
  </si>
  <si>
    <t>Leather Monocle Case</t>
  </si>
  <si>
    <t>Glass Necklace</t>
  </si>
  <si>
    <t>Deep Delicate Burning Scene</t>
  </si>
  <si>
    <t xml:space="preserve">Deep Polished Burning Scene </t>
  </si>
  <si>
    <t xml:space="preserve">Deep Grand Burning Scene </t>
  </si>
  <si>
    <t xml:space="preserve">Deep Delicate Drizzly Scene </t>
  </si>
  <si>
    <t xml:space="preserve">Deep Polished Drizzly Scene </t>
  </si>
  <si>
    <t xml:space="preserve">Deep Grand Drizzly Scene </t>
  </si>
  <si>
    <t xml:space="preserve">Deep Delicate Luminous Scene </t>
  </si>
  <si>
    <t>Deep Polished Luminous Scene</t>
  </si>
  <si>
    <t>Deep Grand Luminous Scene</t>
  </si>
  <si>
    <t xml:space="preserve">Deep Delicate Tranquil Scene </t>
  </si>
  <si>
    <t xml:space="preserve">Deep Polished Tranquil Scene </t>
  </si>
  <si>
    <t xml:space="preserve">Deep Grand Tranquil Scene </t>
  </si>
  <si>
    <t xml:space="preserve">Deep Delicate Burning Scene </t>
  </si>
  <si>
    <t>Deep Delicate Luminous Scene</t>
  </si>
  <si>
    <t xml:space="preserve">Deep Polished Luminous Scene </t>
  </si>
  <si>
    <t xml:space="preserve">Deep Grand Luminous Scene </t>
  </si>
  <si>
    <t>Increased Maximum HP</t>
  </si>
  <si>
    <t>Increased Maximum FP</t>
  </si>
  <si>
    <t>Increased Maximum Stamina</t>
  </si>
  <si>
    <t>Improved Item Discovery</t>
  </si>
  <si>
    <t>More Runes From Defeated Enemies</t>
  </si>
  <si>
    <t>Improved Stamina Recovery</t>
  </si>
  <si>
    <t>Improved Blood Loss Resistance</t>
  </si>
  <si>
    <t>Improved Frost Resistance</t>
  </si>
  <si>
    <t>Improved Poison Resistance</t>
  </si>
  <si>
    <t>Improved Rot Resistance</t>
  </si>
  <si>
    <t>Improved Sleep Resistance</t>
  </si>
  <si>
    <t>Improved Madness Resistance</t>
  </si>
  <si>
    <t>Improved Death Blight Resistance</t>
  </si>
  <si>
    <t>Improved Poison &amp; Rot Resistance</t>
  </si>
  <si>
    <t>Improved Blood Loss &amp; Frost Resistance</t>
  </si>
  <si>
    <t>Improved Sleep &amp; Madness Resistance</t>
  </si>
  <si>
    <t>Improved Poise</t>
  </si>
  <si>
    <t>Improved Skill Attack Power</t>
  </si>
  <si>
    <t>Improved Dexterity</t>
  </si>
  <si>
    <t>Successive Attacks Boost Attack Power</t>
  </si>
  <si>
    <t>Improved Magic Attack Power</t>
  </si>
  <si>
    <t>Impaired Physical Damage Negation</t>
  </si>
  <si>
    <t>Improved Lightning Attack Power</t>
  </si>
  <si>
    <t>Improved Fire Attack Power</t>
  </si>
  <si>
    <t>Improved Holy Attack Power</t>
  </si>
  <si>
    <t>Improved Attack Power at Low HP</t>
  </si>
  <si>
    <t>Improved Attack Power at Full HP</t>
  </si>
  <si>
    <t>Improved Thrusting Counterattack</t>
  </si>
  <si>
    <t>Improved Guard Breaking</t>
  </si>
  <si>
    <t>Improved Critical Hits</t>
  </si>
  <si>
    <t>Projectile Damage Drop-Off Reduced</t>
  </si>
  <si>
    <t>Improved Chain Attack Finishers</t>
  </si>
  <si>
    <t>Improved Charge Attacks</t>
  </si>
  <si>
    <t>Improved Ranged Weapon Attacks</t>
  </si>
  <si>
    <t>Blood Loss in Vicinity Increases Attack Power</t>
  </si>
  <si>
    <t>Poison &amp; Rot in Vicinity Increases Attack Power</t>
  </si>
  <si>
    <t>Improved Jump Attacks</t>
  </si>
  <si>
    <t>Improved Roar &amp; Breath Attacks</t>
  </si>
  <si>
    <t>Improved Guard Counters</t>
  </si>
  <si>
    <t>Improved Throwing Pots</t>
  </si>
  <si>
    <t>Improved Perfuming Arts</t>
  </si>
  <si>
    <t>Improved Sorceries</t>
  </si>
  <si>
    <t>Improved Incantations</t>
  </si>
  <si>
    <t>Extended Spell Duration</t>
  </si>
  <si>
    <t>Improved Spell Casting Speed</t>
  </si>
  <si>
    <t>Reduced Spell FP Cost</t>
  </si>
  <si>
    <t>Reduced Maximum HP</t>
  </si>
  <si>
    <t>Improved Charged Spells &amp; Skills</t>
  </si>
  <si>
    <t>Improved Physical Damage Negation</t>
  </si>
  <si>
    <t>Improved Magic Damage Negation</t>
  </si>
  <si>
    <t>Improved Fire Damage Negation</t>
  </si>
  <si>
    <t>Improved Lightning Damage Negation</t>
  </si>
  <si>
    <t>Improved Holy Damage Negation</t>
  </si>
  <si>
    <t>Improved Affinity Damage Negation</t>
  </si>
  <si>
    <t>Improved Dodging</t>
  </si>
  <si>
    <t>Impaired Damage Negation</t>
  </si>
  <si>
    <t>Improved Damage Negation at Low HP</t>
  </si>
  <si>
    <t>Improved Damage Negation at Full HP</t>
  </si>
  <si>
    <t>Improved Guarding Ability</t>
  </si>
  <si>
    <t>Improved Flask HP Restoration</t>
  </si>
  <si>
    <t>Continuous HP Recovery</t>
  </si>
  <si>
    <t>Defeating Enemies Restores HP</t>
  </si>
  <si>
    <t>Successive Attack HP Restoration</t>
  </si>
  <si>
    <t>Critical Hit HP Restoration</t>
  </si>
  <si>
    <t>Critical Hit FP Restoration</t>
  </si>
  <si>
    <t>Reduced Skill FP Cost</t>
  </si>
  <si>
    <t>No Rune Loss or Level Down Upon Death</t>
  </si>
  <si>
    <t>Defeating Enemies Restores FP</t>
  </si>
  <si>
    <t>Continuous HP Loss</t>
  </si>
  <si>
    <t>Character Skill Cooldown Reduction +4</t>
  </si>
  <si>
    <t>Character Skill Cooldown Reduction +5</t>
  </si>
  <si>
    <t>Ultimate Art Auto Charge +4</t>
  </si>
  <si>
    <t>Ultimate Art Auto Charge +5</t>
  </si>
  <si>
    <t>Poise +4</t>
  </si>
  <si>
    <t>Poise +5</t>
  </si>
  <si>
    <t xml:space="preserve">Physical Attack Up +4
</t>
  </si>
  <si>
    <t xml:space="preserve">Magic Attack Power Up +3
</t>
  </si>
  <si>
    <t xml:space="preserve">Magic Attack Power Up +4
</t>
  </si>
  <si>
    <t xml:space="preserve">Fire Attack Power Up +3
</t>
  </si>
  <si>
    <t xml:space="preserve">Fire Attack Power Up +4
</t>
  </si>
  <si>
    <t xml:space="preserve">Lightning Attack Power Up +3
</t>
  </si>
  <si>
    <t xml:space="preserve">Lightning Attack Power Up +4
</t>
  </si>
  <si>
    <t xml:space="preserve">Holy Attack Power Up +3
</t>
  </si>
  <si>
    <t xml:space="preserve">Holy Attack Power Up +4
</t>
  </si>
  <si>
    <t xml:space="preserve">Improved Magic Damage Negation +1
</t>
  </si>
  <si>
    <t xml:space="preserve">Improved Magic Damage Negation +2
</t>
  </si>
  <si>
    <t xml:space="preserve">Improved Fire Damage Negation +1
</t>
  </si>
  <si>
    <t xml:space="preserve">Improved Fire Damage Negation +2
</t>
  </si>
  <si>
    <t xml:space="preserve">Improved Lightning Damage Negation +1
</t>
  </si>
  <si>
    <t xml:space="preserve">Improved Lightning Damage Negation +2
</t>
  </si>
  <si>
    <t xml:space="preserve">Improved Holy Damage Negation +1
</t>
  </si>
  <si>
    <t xml:space="preserve">Improved Holy Damage Negation +2
</t>
  </si>
  <si>
    <t xml:space="preserve">Improved Poison Resistance +1
</t>
  </si>
  <si>
    <t xml:space="preserve">Improved Poison Resistance +2
</t>
  </si>
  <si>
    <t xml:space="preserve">Improved Blood Loss Resistance +1
</t>
  </si>
  <si>
    <t xml:space="preserve">Improved Blood Loss Resistance +2
</t>
  </si>
  <si>
    <t xml:space="preserve">Improved Sleep Resistance +1
</t>
  </si>
  <si>
    <t xml:space="preserve">Improved Sleep Resistance +2
</t>
  </si>
  <si>
    <t xml:space="preserve">Improved Death Blight Resistance +1
</t>
  </si>
  <si>
    <t xml:space="preserve">Improved Death Blight Resistance +2
</t>
  </si>
  <si>
    <t xml:space="preserve">Improved Rot Resistance +1
</t>
  </si>
  <si>
    <t xml:space="preserve">Improved Rot Resistance +2
</t>
  </si>
  <si>
    <t xml:space="preserve">Improved Frost Resistance +1
</t>
  </si>
  <si>
    <t xml:space="preserve">Improved Frost Resistance +2
</t>
  </si>
  <si>
    <t xml:space="preserve">Improved Madness Resistance +1
</t>
  </si>
  <si>
    <t xml:space="preserve">Improved Madness Resistance +2
</t>
  </si>
  <si>
    <t xml:space="preserve">Partial HP Restoration upon Post-Damage Attacks +1
</t>
  </si>
  <si>
    <t xml:space="preserve">Partial HP Restoration upon Post-Damage Attacks +2
</t>
  </si>
  <si>
    <t>Improved Stance-Breaking when Two-Handing +1</t>
  </si>
  <si>
    <t>Improved Stance-Breaking when Two-Handing +2</t>
  </si>
  <si>
    <t>Improved Stance-Breaking when Wielding Two Armaments +1</t>
  </si>
  <si>
    <t>Improved Stance-Breaking when Wielding Two Armaments +2</t>
  </si>
  <si>
    <t>Improved Damage Negation at Low HP +1</t>
  </si>
  <si>
    <t>Improved Damage Negation at Low HP +2</t>
  </si>
  <si>
    <t xml:space="preserve">HP restored when using medicinal boluses, etc. +1
</t>
  </si>
  <si>
    <t xml:space="preserve">HP restored when using medicinal boluses, etc. +2
</t>
  </si>
  <si>
    <t xml:space="preserve">Successful guarding fills more of the Art gauge +1
</t>
  </si>
  <si>
    <t xml:space="preserve">Successful guarding fills more of the Art gauge +2
</t>
  </si>
  <si>
    <t xml:space="preserve">Critical hits fill more of the Art gauge +1
</t>
  </si>
  <si>
    <t xml:space="preserve">Critical hits fill more of the Art gauge +2
</t>
  </si>
  <si>
    <t xml:space="preserve">Physical attack power increases after using grease items +1
</t>
  </si>
  <si>
    <t xml:space="preserve">Physical attack power increases after using grease items +2
</t>
  </si>
  <si>
    <t>Critical Hits Earn Runes +1</t>
  </si>
  <si>
    <t>Critical Hits Earn Runes +2</t>
  </si>
  <si>
    <t>Taking attacks improves attack power +1</t>
  </si>
  <si>
    <t>Taking attacks improves attack power +2</t>
  </si>
  <si>
    <t>Critical Hit Boosts Stamina Recovery Speed +1</t>
  </si>
  <si>
    <t>Critical Hit Boosts Stamina Recovery Speed +2</t>
  </si>
  <si>
    <t>Improved Initial Standard Attack +1</t>
  </si>
  <si>
    <t>Improved Initial Standard Attack +2</t>
  </si>
  <si>
    <t xml:space="preserve">Improved Guard Counters +1
</t>
  </si>
  <si>
    <t xml:space="preserve">Improved Guard Counters +2
</t>
  </si>
  <si>
    <t>Improved Throwing Pot Damage +1</t>
  </si>
  <si>
    <t>Improved Throwing Pot Damage +2</t>
  </si>
  <si>
    <t>Improved Throwing Knife Damage +1</t>
  </si>
  <si>
    <t>Improved Throwing Knife Damage +2</t>
  </si>
  <si>
    <t>Improved Glintstone and Gravity Stone Damage +1</t>
  </si>
  <si>
    <t>Improved Glintstone and Gravity Stone Damage +2</t>
  </si>
  <si>
    <t>Improved Roar &amp; Breath Attacks +1</t>
  </si>
  <si>
    <t>Improved Roar &amp; Breath Attacks +2</t>
  </si>
  <si>
    <t>Improved Perfuming Arts +1</t>
  </si>
  <si>
    <t>Improved Perfuming Arts +2</t>
  </si>
  <si>
    <t>Max HP increased for each great enemy defeated at a Great Church.</t>
  </si>
  <si>
    <t>Runes and Item Discovery increased for each great enemy defeated at a Fort</t>
  </si>
  <si>
    <t>Arcane increased for each great enemy defeated at a Ruin</t>
  </si>
  <si>
    <t>Max stamina increased for each great enemy defeated at a Great Encampment</t>
  </si>
  <si>
    <t xml:space="preserve">Defeating enemies fills more of the Art gauge +1
</t>
  </si>
  <si>
    <t xml:space="preserve">Defeating enemies fills more of the Art gauge +2
</t>
  </si>
  <si>
    <t xml:space="preserve">HP Restoration upon Thrusting Counterattack +1
</t>
  </si>
  <si>
    <t xml:space="preserve">HP Restoration upon Thrusting Counterattack +2
</t>
  </si>
  <si>
    <t xml:space="preserve">Attack power up when facing poison-afflicted enemy +1
</t>
  </si>
  <si>
    <t xml:space="preserve">Attack power up when facing poison-afflicted enemy +2
</t>
  </si>
  <si>
    <t xml:space="preserve">Attack power up when facing scarlet rot-afflicted enemy +1
</t>
  </si>
  <si>
    <t xml:space="preserve">Attack power up when facing scarlet rot-afflicted enemy +2
</t>
  </si>
  <si>
    <t xml:space="preserve">Attack power up when facing frostbite-afflicted enemy +1
</t>
  </si>
  <si>
    <t xml:space="preserve">Attack power up when facing frostbite-afflicted enemy +2
</t>
  </si>
  <si>
    <t>[Wylder] Character Skill inflicts Blood Loss</t>
  </si>
  <si>
    <t>[Guardian] Character Skill Boosts Damage Negation of Nearby Allies</t>
  </si>
  <si>
    <t>[Ironeye] Character Skill Inflicts Heavy Poison Damage on Poisoned Enemies</t>
  </si>
  <si>
    <t>[Duchess] Use Character Skill for Brief Invulnerability</t>
  </si>
  <si>
    <t>[Raider] Hit With Character Skill to Reduce Enemy Attack Power</t>
  </si>
  <si>
    <t>[Revenant] Increased Max FP upon Ability Activation</t>
  </si>
  <si>
    <t>[Recluse] Collect Affinity Residues to Negate Affinity</t>
  </si>
  <si>
    <t>[Executor] Slowly Restore HP upon Ability Activation</t>
  </si>
  <si>
    <t>[Scholar] Reduced FP consumption when using Character Skill on self</t>
  </si>
  <si>
    <t>[Undertaker] Executing Art readies Character Skill</t>
  </si>
  <si>
    <t xml:space="preserve">Sleep in Vicinity Improves Attack Power
</t>
  </si>
  <si>
    <t xml:space="preserve">Sleep in Vicinity Improves Attack Power +1
</t>
  </si>
  <si>
    <t xml:space="preserve">Sleep in Vicinity Improves Attack Power +2
</t>
  </si>
  <si>
    <t xml:space="preserve">Madness in Vicinity Improves Attack Power
</t>
  </si>
  <si>
    <t xml:space="preserve">Madness in Vicinity Improves Attack Power +1
</t>
  </si>
  <si>
    <t xml:space="preserve">Madness in Vicinity Improves Attack Power +2
</t>
  </si>
  <si>
    <t xml:space="preserve">Increased Maximum HP
</t>
  </si>
  <si>
    <t xml:space="preserve">Increased Maximum FP
</t>
  </si>
  <si>
    <t xml:space="preserve">Increased Maximum Stamina
</t>
  </si>
  <si>
    <t>Reduced FP Consumption</t>
  </si>
  <si>
    <t>Reduced FP Consumption +1</t>
  </si>
  <si>
    <t>Reduced FP Consumption +2</t>
  </si>
  <si>
    <t>Improved Affinity Attack Power</t>
  </si>
  <si>
    <t xml:space="preserve">Improved Affinity Attack Power +1
</t>
  </si>
  <si>
    <t xml:space="preserve">Improved Affinity Attack Power +2
</t>
  </si>
  <si>
    <t xml:space="preserve">Improved Physical Damage Negation +1
</t>
  </si>
  <si>
    <t xml:space="preserve">Improved Physical Damage Negation +2
</t>
  </si>
  <si>
    <t xml:space="preserve">Improved Affinity Damage Negation +1
</t>
  </si>
  <si>
    <t xml:space="preserve">Improved Affinity Damage Negation +2
</t>
  </si>
  <si>
    <t xml:space="preserve">Improved Sorceries +1
</t>
  </si>
  <si>
    <t xml:space="preserve">Improved Sorceries +2
</t>
  </si>
  <si>
    <t xml:space="preserve">Improved Incantations +1
</t>
  </si>
  <si>
    <t xml:space="preserve">Improved Incantations +2
</t>
  </si>
  <si>
    <t>Crimsonspill Crystal Tear in possession at start of expedition</t>
  </si>
  <si>
    <t>Crimson Crystal Tear in possession at start of expedition</t>
  </si>
  <si>
    <t>Cerulean Crystal Tear in possession at start of expedition</t>
  </si>
  <si>
    <t>Speckled Hardtear in possession at start of expedition</t>
  </si>
  <si>
    <t>Crimson Bubbletear in possession at start of expedition</t>
  </si>
  <si>
    <t>Opaline Bubbletear in possession at start of expedition</t>
  </si>
  <si>
    <t>Crimsonburst Crystal Tear in possession at start of expedition</t>
  </si>
  <si>
    <t>Greenburst Crystal Tear in possession at start of expedition</t>
  </si>
  <si>
    <t>Opaline Hardtear in possession at start of expedition</t>
  </si>
  <si>
    <t>Thorny Cracked Tear in possession at start of expedition</t>
  </si>
  <si>
    <t>Spiked Cracked Tear in possession at start of expedition</t>
  </si>
  <si>
    <t>Windy Crystal Tear in possession at start of expedition</t>
  </si>
  <si>
    <t>Ruptured Crystal Tear in possession at start of expedition</t>
  </si>
  <si>
    <t>Leaden Hardtear in possession at start of expedition</t>
  </si>
  <si>
    <t>Twiggy Cracked Tear in possession at start of expedition</t>
  </si>
  <si>
    <t>Crimsonwhorl Bubbletear in possession at start of expedition</t>
  </si>
  <si>
    <t>Cerulean Hidden Tear in possession at start of expedition</t>
  </si>
  <si>
    <t>Stonebarb Cracked Tear in possession at start of expedition</t>
  </si>
  <si>
    <t>Flame-Shrouding Cracked Tear in possession at start of expedition</t>
  </si>
  <si>
    <t>Magic-Shrouding Cracked Tear in possession at start of expedition</t>
  </si>
  <si>
    <t>Lightning-Shrouding Cracked Tear in possession at start of expedition</t>
  </si>
  <si>
    <t>Holy-Shrouding Cracked Tear in possession at start of expedition</t>
  </si>
  <si>
    <t>Greenspill Crystal Tear in possession at start of expedition</t>
  </si>
  <si>
    <t>Uplifting Aromatic in possession at start of expedition</t>
  </si>
  <si>
    <t>Spark Aromatic in possession at start of expedition</t>
  </si>
  <si>
    <t>Ironjar Aromatic in possession at start of expedition</t>
  </si>
  <si>
    <t>Bloodboil Aromatic in possession at start of expedition</t>
  </si>
  <si>
    <t>Poison Spraymist in possession at start of expedition</t>
  </si>
  <si>
    <t>Acid Spraymist in possession at start of expedition</t>
  </si>
  <si>
    <t>Dormant Power Helps Discover Daggers</t>
  </si>
  <si>
    <t>Dormant Power Helps Discover Straight Swords</t>
  </si>
  <si>
    <t>Dormant Power Helps Discover Greatswords</t>
  </si>
  <si>
    <t>Dormant Power Helps Discover Colossal Swords</t>
  </si>
  <si>
    <t>Dormant Power Helps Discover Curved Swords</t>
  </si>
  <si>
    <t>Dormant Power Helps Discover Curved Greatswords</t>
  </si>
  <si>
    <t>Dormant Power Helps Discover Katana</t>
  </si>
  <si>
    <t>Dormant Power Helps Discover Twinblades</t>
  </si>
  <si>
    <t>Dormant Power Helps Discover Thrusting Swords</t>
  </si>
  <si>
    <t>Dormant Power Helps Discover Heavy Thrusting Swords</t>
  </si>
  <si>
    <t>Dormant Power Helps Discover Axes</t>
  </si>
  <si>
    <t>Dormant Power Helps Discover Greataxes</t>
  </si>
  <si>
    <t>Dormant Power Helps Discover Hammers</t>
  </si>
  <si>
    <t>Dormant Power Helps Discover Great Hammers</t>
  </si>
  <si>
    <t>Dormant Power Helps Discover Flails</t>
  </si>
  <si>
    <t>Dormant Power Helps Discover Spears</t>
  </si>
  <si>
    <t>Dormant Power Helps Discover Great Spears</t>
  </si>
  <si>
    <t>Dormant Power Helps Discover Halberds</t>
  </si>
  <si>
    <t>Dormant Power Helps Discover Reapers</t>
  </si>
  <si>
    <t>Dormant Power Helps Discover Fists</t>
  </si>
  <si>
    <t>Dormant Power Helps Discover Claws</t>
  </si>
  <si>
    <t>Dormant Power Helps Discover Whips</t>
  </si>
  <si>
    <t>Dormant Power Helps Discover Colossal Weapons</t>
  </si>
  <si>
    <t>Dormant Power Helps Discover Bows</t>
  </si>
  <si>
    <t>Dormant Power Helps Discover Greatbows</t>
  </si>
  <si>
    <t>Dormant Power Helps Discover Crossbows</t>
  </si>
  <si>
    <t>Dormant Power Helps Discover Ballistas</t>
  </si>
  <si>
    <t>Dormant Power Helps Discover Small Shields</t>
  </si>
  <si>
    <t>Dormant Power Helps Discover Medium Shields</t>
  </si>
  <si>
    <t>Dormant Power Helps Discover Greatshields</t>
  </si>
  <si>
    <t>Dormant Power Helps Discover Staves</t>
  </si>
  <si>
    <t>Dormant Power Helps Discover Sacred Seals</t>
  </si>
  <si>
    <t>Dormant Power Helps Discover Torches</t>
  </si>
  <si>
    <t>[Wylder] Improved Mind, Reduced Vigor</t>
  </si>
  <si>
    <t>[Wylder] Improved Intelligence and Faith, Reduced Strength and Dexterity</t>
  </si>
  <si>
    <t>[Guardian] Improved Strength and Dexterity, Reduced Vigor</t>
  </si>
  <si>
    <t>[Guardian] Improved Mind and Faith, Reduced Vigor</t>
  </si>
  <si>
    <t>[Ironeye] Improved Arcane, Reduced Dexterity</t>
  </si>
  <si>
    <t>[Ironeye] Improved Vigor and Strength, Reduced Dexterity</t>
  </si>
  <si>
    <t>[Duchess] Improved Vigor and Strength, Reduced Mind</t>
  </si>
  <si>
    <t>[Duchess] Improved Mind and Faith, Reduced Intelligence</t>
  </si>
  <si>
    <t>[Raider] Improved Mind and Intelligence, Reduced Vigor and Endurance</t>
  </si>
  <si>
    <t>[Raider] Improved Arcane, Reduced Vigor</t>
  </si>
  <si>
    <t>[Revenant] Improved Vigor and Endurance, Reduced Mind</t>
  </si>
  <si>
    <t>[Revenant] Improved Strength, Reduced Faith</t>
  </si>
  <si>
    <t>[Recluse] Improved Vigor, Endurance, and Dexterity, Reduced Intelligence and Faith</t>
  </si>
  <si>
    <t>[Recluse] Improved Intelligence and Faith, Reduced Mind</t>
  </si>
  <si>
    <t>[Executor] Improved Vigor and Endurance, Reduced Arcane</t>
  </si>
  <si>
    <t>[Executor] Improved Dexterity and Arcane, Reduced Vigor</t>
  </si>
  <si>
    <t>[Scholar] Improved Mind, Reduced Vigor</t>
  </si>
  <si>
    <t>[Scholar] Improved Endurance and Dexterity, Reduced Intelligence and Arcane</t>
  </si>
  <si>
    <t>[Undertaker] Improved Dexterity, Reduced Vigor and Faith</t>
  </si>
  <si>
    <t>[Undertaker] Improved Mind and Faith, Reduced Strength</t>
  </si>
  <si>
    <t>Reduced Vigor</t>
  </si>
  <si>
    <t>Reduced Endurance</t>
  </si>
  <si>
    <t>Taking Damage Causes Poison Buildup</t>
  </si>
  <si>
    <t>Taking Damage Causes Rot Buildup</t>
  </si>
  <si>
    <t>Taking Damage Causes Frost Buildup</t>
  </si>
  <si>
    <t>Taking Damage Causes Blood Loss Buildup</t>
  </si>
  <si>
    <t>Taking Damage Causes Madness Buildup</t>
  </si>
  <si>
    <t>Taking Damage Causes Sleep Buildup</t>
  </si>
  <si>
    <t>Taking Damage Causes Death Buildup</t>
  </si>
  <si>
    <t>Reduced Strength and Intelligence</t>
  </si>
  <si>
    <t>Reduced Dexterity and Faith</t>
  </si>
  <si>
    <t>Reduced Intelligence and Dexterity</t>
  </si>
  <si>
    <t>Reduced Faith and Strength</t>
  </si>
  <si>
    <t>Reduced Vigor and Arcane</t>
  </si>
  <si>
    <t>Reduced Rune Acquisition</t>
  </si>
  <si>
    <t>Reduced Flask HP Restoration</t>
  </si>
  <si>
    <t>Ultimate Art Charging Impaired</t>
  </si>
  <si>
    <t>Impaired Affinity Damage Negation</t>
  </si>
  <si>
    <t>All Resistances Down</t>
  </si>
  <si>
    <t>Surge Sprinting Drains More Stamina</t>
  </si>
  <si>
    <t>Increased Drain on Stamina for Evasion</t>
  </si>
  <si>
    <t>Reduced Damage Negation After Evading</t>
  </si>
  <si>
    <t>Repeated Evasions Lower Damage Negation</t>
  </si>
  <si>
    <t>Reduced Damage Negation for Flask Usages</t>
  </si>
  <si>
    <t>Sleep Buildup for Flask Usages</t>
  </si>
  <si>
    <t>Madness Buildup for Flask Usages</t>
  </si>
  <si>
    <t>Lower Attack When Below Max HP</t>
  </si>
  <si>
    <t>Poison Buildup When Below Max HP</t>
  </si>
  <si>
    <t>Rot Buildup When Below Max HP</t>
  </si>
  <si>
    <t>Max HP Reduces Attack Power</t>
  </si>
  <si>
    <t>Near Death Spills Flask</t>
  </si>
  <si>
    <t>Near Death Reduces Max HP</t>
  </si>
  <si>
    <t>Vigor +1</t>
  </si>
  <si>
    <t>Vigor +2</t>
  </si>
  <si>
    <t>Vigor +3</t>
  </si>
  <si>
    <t>Mind +1</t>
  </si>
  <si>
    <t>Mind +2</t>
  </si>
  <si>
    <t>Mind +3</t>
  </si>
  <si>
    <t>Endurance +1</t>
  </si>
  <si>
    <t>Endurance +2</t>
  </si>
  <si>
    <t>Endurance +3</t>
  </si>
  <si>
    <t>Strength +1</t>
  </si>
  <si>
    <t>Strength +2</t>
  </si>
  <si>
    <t>Strength +3</t>
  </si>
  <si>
    <t>Dexterity +1</t>
  </si>
  <si>
    <t>Dexterity +2</t>
  </si>
  <si>
    <t>Dexterity +3</t>
  </si>
  <si>
    <t>Intelligence +1</t>
  </si>
  <si>
    <t>Intelligence +2</t>
  </si>
  <si>
    <t>Intelligence +3</t>
  </si>
  <si>
    <t>Faith +1</t>
  </si>
  <si>
    <t>Faith +2</t>
  </si>
  <si>
    <t>Faith +3</t>
  </si>
  <si>
    <t>Arcane +1</t>
  </si>
  <si>
    <t>Arcane +2</t>
  </si>
  <si>
    <t>Arcane +3</t>
  </si>
  <si>
    <t>Character Skill Cooldown Reduction +1</t>
  </si>
  <si>
    <t>Character Skill Cooldown Reduction +2</t>
  </si>
  <si>
    <t>Character Skill Cooldown Reduction +3</t>
  </si>
  <si>
    <t>Ultimate Art Auto Charge +1</t>
  </si>
  <si>
    <t>Ultimate Art Auto Charge +2</t>
  </si>
  <si>
    <t>Ultimate Art Auto Charge +3</t>
  </si>
  <si>
    <t>Poise +1</t>
  </si>
  <si>
    <t>Poise +2</t>
  </si>
  <si>
    <t>Poise +3</t>
  </si>
  <si>
    <t>Physical Attack Up</t>
  </si>
  <si>
    <t>Physical Attack Up +1</t>
  </si>
  <si>
    <t>Physical Attack Up +2</t>
  </si>
  <si>
    <t>Physical Attack Up +3</t>
  </si>
  <si>
    <t>Magic Attack Power Up</t>
  </si>
  <si>
    <t>Magic Attack Power Up +1</t>
  </si>
  <si>
    <t>Magic Attack Power Up +2</t>
  </si>
  <si>
    <t>Fire Attack Power Up</t>
  </si>
  <si>
    <t>Fire Attack Power Up +1</t>
  </si>
  <si>
    <t>Fire Attack Power Up +2</t>
  </si>
  <si>
    <t>Lightning Attack Power Up</t>
  </si>
  <si>
    <t>Lightning Attack Power Up +1</t>
  </si>
  <si>
    <t>Lightning Attack Power Up +2</t>
  </si>
  <si>
    <t>Holy Attack Power Up</t>
  </si>
  <si>
    <t>Holy Attack Power Up +1</t>
  </si>
  <si>
    <t>Holy Attack Power Up +2</t>
  </si>
  <si>
    <t>Attacks Inflict Poison</t>
  </si>
  <si>
    <t>Attacks Inflict Poison +1</t>
  </si>
  <si>
    <t>Attacks Inflict Poison +2</t>
  </si>
  <si>
    <t>Attacks Inflict Blood Loss</t>
  </si>
  <si>
    <t>Attacks Inflict Blood Loss +1</t>
  </si>
  <si>
    <t>Attacks Inflict Blood Loss +2</t>
  </si>
  <si>
    <t>Attacks Inflict Sleep</t>
  </si>
  <si>
    <t>Attacks Inflict Sleep +1</t>
  </si>
  <si>
    <t>Attacks Inflict Sleep +2</t>
  </si>
  <si>
    <t>Attacks Inflict Sleep +3</t>
  </si>
  <si>
    <t>Attacks Inflict Death Blight</t>
  </si>
  <si>
    <t>Attacks Inflict Scarlet Rot</t>
  </si>
  <si>
    <t>Attacks Inflict Scarlet Rot +1</t>
  </si>
  <si>
    <t>Attacks Inflict Scarlet Rot +2</t>
  </si>
  <si>
    <t>Attacks Inflict Frost</t>
  </si>
  <si>
    <t>Attacks Inflict Frost +1</t>
  </si>
  <si>
    <t>Attacks Inflict Frost +2</t>
  </si>
  <si>
    <t>Attacks Inflict Frost +3</t>
  </si>
  <si>
    <t>Attacks Inflict Madness</t>
  </si>
  <si>
    <t>Magic Damage Negation Up</t>
  </si>
  <si>
    <t>Fire Damage Negation Up</t>
  </si>
  <si>
    <t>Lightning Damage Negation Up</t>
  </si>
  <si>
    <t>Holy Damage Negation Up</t>
  </si>
  <si>
    <t>Partial HP Restoration upon Post-Damage Attacks</t>
  </si>
  <si>
    <t>Continuous FP Recovery</t>
  </si>
  <si>
    <t>Improved Melee Attack Power</t>
  </si>
  <si>
    <t>[Guardian] Improved Character Skill range</t>
  </si>
  <si>
    <t>Flask Also Heals Allies</t>
  </si>
  <si>
    <t>[Wylder] Art activation spreads fire in area</t>
  </si>
  <si>
    <t>[Duchess] Successive dagger attack reprises event upon
nearby enemies</t>
  </si>
  <si>
    <t>[Raider] Character Skill damage up, damage negation
impaired during use</t>
  </si>
  <si>
    <t>[Revenant] Expend own HP to fully heal nearby allies
when activating Art</t>
  </si>
  <si>
    <t>[Guardian] Increased duration for Character Skill</t>
  </si>
  <si>
    <t>[Guardian] Damage negation for allies improved when
using Ultimate Art</t>
  </si>
  <si>
    <t>[Revenant] Trigger ghostflame explosion during
Ultimate Art activation</t>
  </si>
  <si>
    <t>[Guardian] Restores allies' HP when Character Skill
is used</t>
  </si>
  <si>
    <t>[Guardian] Creates whirlwind when charging halberd
attacks</t>
  </si>
  <si>
    <t>[Executor] Roaring restores HP while Art is active</t>
  </si>
  <si>
    <t>[Guardian] Character Skill inflicts Holy damage</t>
  </si>
  <si>
    <t>[Guardian] Slowly restores nearby allies' HP
while Art is active</t>
  </si>
  <si>
    <t>Slowly restore HP for self and nearby allies when HP
is low</t>
  </si>
  <si>
    <t>Strong Attack Creates Wide Wave of Heat</t>
  </si>
  <si>
    <t>Jumping Conjures Magic Projectiles</t>
  </si>
  <si>
    <t>Attack Boost from Nearby Allies</t>
  </si>
  <si>
    <t>Guard Counters Cast Light Pillar</t>
  </si>
  <si>
    <t>[Wylder] Standard attacks enhanced with fiery
follow-ups when using Character Skill (greatsword only)</t>
  </si>
  <si>
    <t>Improved Poise Near Totem Stela</t>
  </si>
  <si>
    <t>HP restored when using medicinal boluses, etc.</t>
  </si>
  <si>
    <t>[Wylder] Impaired damage negation, improved attack
power &amp; stamina after Art activation</t>
  </si>
  <si>
    <t>Successful guarding fills more of the Art gauge</t>
  </si>
  <si>
    <t>Draw enemy attention while guarding</t>
  </si>
  <si>
    <t>Critical hits fill more of the Art gauge</t>
  </si>
  <si>
    <t>Physical attack power increases after using grease items</t>
  </si>
  <si>
    <t>[Revenant] Strengthens family and allies when Ultimate Art is activated</t>
  </si>
  <si>
    <t>[Raider] Damage taken while using Character Skill
improves attack power and stamina</t>
  </si>
  <si>
    <t>[Wylder] Reduced cooldown time for Character Skill</t>
  </si>
  <si>
    <t>Performing consecutive successful guards
improves guard ability and deflects big attacks</t>
  </si>
  <si>
    <t>Shockwave Produced From Successful Guarding</t>
  </si>
  <si>
    <t>[Duchess] Become difficult to spot and silence
footsteps after landing critical from behind</t>
  </si>
  <si>
    <t>Critical Hits Earn Runes</t>
  </si>
  <si>
    <t>Taking attacks improves attack power</t>
  </si>
  <si>
    <t>[Wylder] Improved attack power
when Character Skill is activated</t>
  </si>
  <si>
    <t>[Wylder] Art gauge greatly filled when ability is
activated</t>
  </si>
  <si>
    <t>[Duchess] Defeating enemies while Art is active ups
attack power</t>
  </si>
  <si>
    <t>[Recluse] Collecting affinity residue activates
Terra Magica</t>
  </si>
  <si>
    <t>[Recluse] Suffer blood loss and increase attack
power upon Art activation</t>
  </si>
  <si>
    <t>[Wylder] Improved attack power when ability is
activated</t>
  </si>
  <si>
    <t>[Wylder] +1 additional Character Skill use</t>
  </si>
  <si>
    <t>[Guardian] Become the target of enemy aggression
when ability is activated</t>
  </si>
  <si>
    <t>[Guardian] Successful guards send out shockwaves while
ability is active</t>
  </si>
  <si>
    <t>[Duchess] Duration of Ultimate Art extended</t>
  </si>
  <si>
    <t>Colossal armaments are coated in rock
when performing charged attacks</t>
  </si>
  <si>
    <t>[Raider] Permanently increase attack power when
performing Character Skill's final attack</t>
  </si>
  <si>
    <t>[Recluse] Extends duration of blood sigils</t>
  </si>
  <si>
    <t>[Recluse] Collecting 4 Affinity Residues Improves
Affinity Attack Power</t>
  </si>
  <si>
    <t>[Recluse] Activating Ultimate Art raises Max HP</t>
  </si>
  <si>
    <t>[Executor] Attack power up while Ultimate Art is
active</t>
  </si>
  <si>
    <t>[Executor] Improves effect of ability but lowers
resistance to status ailments</t>
  </si>
  <si>
    <t>[Executor] Character Skill Boosts Attack but Attacking Drains HP</t>
  </si>
  <si>
    <t>[Executor] While Character Skill is active,
unlocking use of cursed sword restores HP</t>
  </si>
  <si>
    <t>[Ironeye] Art Charge Activation Adds Poison Effect</t>
  </si>
  <si>
    <t>[Ironeye] Boosts thrusting counterattacks after executing Art</t>
  </si>
  <si>
    <t>Fire Critical Hit Grants Max Stamina Boost</t>
  </si>
  <si>
    <t>Critical Hit Adds Lightning Effect</t>
  </si>
  <si>
    <t>Critical Hit Boosts Stamina Recovery Speed</t>
  </si>
  <si>
    <t>Consecutive Guards Harden Skin</t>
  </si>
  <si>
    <t>Critical Hit Creates Sleep Mist</t>
  </si>
  <si>
    <t>Gesture "Crossed Legs" Builds Up Madness</t>
  </si>
  <si>
    <t>Madness Continually Recovers FP</t>
  </si>
  <si>
    <t>Surge Sprint Landings Split Earth</t>
  </si>
  <si>
    <t>Switching Weapons Adds an Affinity Attack</t>
  </si>
  <si>
    <t>Boosts Attack Power of Added Affinity Attacks</t>
  </si>
  <si>
    <t>Switching Weapons Boosts Attack Power</t>
  </si>
  <si>
    <t>[Scholar] Prevent slowing of Character Skill progress</t>
  </si>
  <si>
    <t>[Scholar] Allies targeted by Character Skill gain boosted attack</t>
  </si>
  <si>
    <t>[Scholar] Continuous damage inflicted on targets threaded by Ultimate Art</t>
  </si>
  <si>
    <t>[Scholar] Earn runes for each additional specimen acquired with Character Skill</t>
  </si>
  <si>
    <t>[Undertaker] Activating Ultimate Art increases attack power</t>
  </si>
  <si>
    <t>[Undertaker] Attack power increased by landing the final blow of a chain attack</t>
  </si>
  <si>
    <t>[Undertaker] Physical attacks boosted while assist effect from incantation is active for self</t>
  </si>
  <si>
    <t>[Undertaker] Contact with allies restores their HP while Ultimate Art is activated</t>
  </si>
  <si>
    <t>Status Ailment Gauges Slowly Increase Attack Power</t>
  </si>
  <si>
    <t>Occasionally Nullify Attacks When Damage Negation is Lowered</t>
  </si>
  <si>
    <t>Improved Initial Standard Attack</t>
  </si>
  <si>
    <t>Improved Critical Hits +1</t>
  </si>
  <si>
    <t>Improved Throwing Pot Damage</t>
  </si>
  <si>
    <t>Improved Throwing Knife Damage</t>
  </si>
  <si>
    <t>Improved Glintstone and Gravity Stone Damage</t>
  </si>
  <si>
    <t>Improved Stonedigger Sorcery</t>
  </si>
  <si>
    <t>Improved Carian Sword Sorcery</t>
  </si>
  <si>
    <t>Improved Glintblade Sorcery</t>
  </si>
  <si>
    <t>Improved Invisibility Sorcery</t>
  </si>
  <si>
    <t>Improved Crystalian sorcery</t>
  </si>
  <si>
    <t>Improved Gravity Sorcery</t>
  </si>
  <si>
    <t>Improved Thorn Sorcery</t>
  </si>
  <si>
    <t>Improved Night Sorcery</t>
  </si>
  <si>
    <t>Improved Fundamentalist Incantations</t>
  </si>
  <si>
    <t>Improved Dragon Cult Incantations</t>
  </si>
  <si>
    <t>Improved Giants' Flame Incantations</t>
  </si>
  <si>
    <t>Improved Godslayer Incantations</t>
  </si>
  <si>
    <t>Improved Bestial Incantations</t>
  </si>
  <si>
    <t>Improved Frenzied Flame Incantations</t>
  </si>
  <si>
    <t>Improved Dragon Communion Incantations</t>
  </si>
  <si>
    <t>Raised stamina recovery for nearby allies, but not
for self</t>
  </si>
  <si>
    <t>Items confer effect to all nearby allies</t>
  </si>
  <si>
    <t>Attack power increased for each evergaol prisoner defeated</t>
  </si>
  <si>
    <t>Max FP increased for each Sorcerer's Rise unlocked</t>
  </si>
  <si>
    <t>Attack power increased for each Night Invader defeated</t>
  </si>
  <si>
    <t>Treasure marked upon map</t>
  </si>
  <si>
    <t>Improved Attack Power with 3+ Daggers Equipped</t>
  </si>
  <si>
    <t>Improved Attack Power with 3+ Straight Swords Equipped</t>
  </si>
  <si>
    <t>Improved Attack Power with 3+ Greatswords Equipped</t>
  </si>
  <si>
    <t>Improved Attack Power with 3+ Colossal Swords Equipped</t>
  </si>
  <si>
    <t>Improved Attack Power with 3+ Curved Swords Equipped</t>
  </si>
  <si>
    <t>Improved Attack Power with 3+ Curved Greatswords Equipped</t>
  </si>
  <si>
    <t>Improved Attack Power with 3+ Katana Equipped</t>
  </si>
  <si>
    <t>Improved Attack Power with 3+ Twinblades Equipped</t>
  </si>
  <si>
    <t>Improved Attack Power with 3+ Thrusting Swords Equipped</t>
  </si>
  <si>
    <t>Improved Attack Power with 3+ Heavy Thrusting Swords Equipped</t>
  </si>
  <si>
    <t>Improved Attack Power with 3+ Axes Equipped</t>
  </si>
  <si>
    <t>Improved Attack Power with 3+ Greataxes Equipped</t>
  </si>
  <si>
    <t>Improved Attack Power with 3+ Hammers Equipped</t>
  </si>
  <si>
    <t>Improved Attack Power with 3+ Great Hammers Equipped</t>
  </si>
  <si>
    <t>Improved Attack Power with 3+ Flails Equipped</t>
  </si>
  <si>
    <t>Improved Attack Power with 3+ Spears Equipped</t>
  </si>
  <si>
    <t>Improved Attack Power with 3+ Great Spears Equipped</t>
  </si>
  <si>
    <t>Improved Attack Power with 3+ Halberds Equipped</t>
  </si>
  <si>
    <t>Improved Attack Power with 3+ Reapers Equipped</t>
  </si>
  <si>
    <t>Improved Attack Power with 3+ Fists Equipped</t>
  </si>
  <si>
    <t>Improved Attack Power with 3+ Claws Equipped</t>
  </si>
  <si>
    <t>Improved Attack Power with 3+ Whips Equipped</t>
  </si>
  <si>
    <t>Improved Attack Power with 3+ Colossal Weapons Equipped</t>
  </si>
  <si>
    <t>Improved Attack Power with 3+ Bows Equipped</t>
  </si>
  <si>
    <t>Max FP Up with 3+ Staves Equipped</t>
  </si>
  <si>
    <t>Max FP Up with 3+ Sacred Seals Equipped</t>
  </si>
  <si>
    <t>Max HP Up with 3+ Small Shields Equipped</t>
  </si>
  <si>
    <t>Max HP Up with 3+ Medium Shields Equipped</t>
  </si>
  <si>
    <t>Max HP Up with 3+ Greatshields Equipped</t>
  </si>
  <si>
    <t>Defeating enemies fills more of the Art gauge</t>
  </si>
  <si>
    <t>Defeating enemies restores HP for allies but not for
self</t>
  </si>
  <si>
    <t>Defeating enemies near Totem Stela restores HP</t>
  </si>
  <si>
    <t>Critical hits deal huge damage on poisoned enemies</t>
  </si>
  <si>
    <t>Stamina Recovery upon Landing Attacks</t>
  </si>
  <si>
    <t>Stamina Recovery upon Landing Attacks +1</t>
  </si>
  <si>
    <t>Increased rune acquisition for self and allies</t>
  </si>
  <si>
    <t>Starting armament deals magic damage</t>
  </si>
  <si>
    <t>Starting armament deals fire damage</t>
  </si>
  <si>
    <t>Armament deals fire damage +1 at start of expedition</t>
  </si>
  <si>
    <t>Starting armament deals lightning damage</t>
  </si>
  <si>
    <t>Starting armament deals holy damage</t>
  </si>
  <si>
    <t>Starting armament inflicts frost</t>
  </si>
  <si>
    <t>Starting armament inflicts poison</t>
  </si>
  <si>
    <t>Starting armament inflicts blood loss</t>
  </si>
  <si>
    <t>Starting armament inflicts scarlet rot</t>
  </si>
  <si>
    <t>Stonesword Key in possession at start of expedition</t>
  </si>
  <si>
    <t>Small Pouch in possession at start of expedition</t>
  </si>
  <si>
    <t>Fire Pots in possession at start of expedition</t>
  </si>
  <si>
    <t>Magic Pots in possession at start of expedition</t>
  </si>
  <si>
    <t>Lightning Pots in possession at start of expedition</t>
  </si>
  <si>
    <t>Holy Water Pots in possession at start of expedition</t>
  </si>
  <si>
    <t>Poisonbone Darts in possession at start of
expedition</t>
  </si>
  <si>
    <t>Crystal Darts in possession at start of expedition</t>
  </si>
  <si>
    <t>Throwing Daggers in possession at start of
expedition</t>
  </si>
  <si>
    <t>Glintstone Scraps in possession at start of
expedition</t>
  </si>
  <si>
    <t>Gravity Stone Chunks in possession at start of
expedition</t>
  </si>
  <si>
    <t>Bewitching Branches in possession at start of
expedition</t>
  </si>
  <si>
    <t>Wraith Calling Bell in possession at start of
expedition</t>
  </si>
  <si>
    <t>Fire Grease in possession at start of expedition</t>
  </si>
  <si>
    <t>Magic Grease in possession at start of expedition</t>
  </si>
  <si>
    <t>Lightning Grease in possession at start of
expedition</t>
  </si>
  <si>
    <t>Holy Grease in possession at start of expedition</t>
  </si>
  <si>
    <t>Shield Grease in possession at start of expedition</t>
  </si>
  <si>
    <t>Changes compatible armament's skill to Glintblade
Phalanx at start of expedition</t>
  </si>
  <si>
    <t>Changes compatible armament's skill to Gravitas at
start of expedition</t>
  </si>
  <si>
    <t>Changes compatible armament's skill to Flaming
Strike at start of expedition</t>
  </si>
  <si>
    <t>Changes compatible armament's skill to
Eruption at start of expedition</t>
  </si>
  <si>
    <t>Changes compatible armament's skill to Thunderbolt
at start of expedition</t>
  </si>
  <si>
    <t>Changes compatible armament's skill to Lightning
Slash at start of expedition</t>
  </si>
  <si>
    <t>Changes compatible armament's skill to Sacred Blade
at start of expedition</t>
  </si>
  <si>
    <t>Changes compatible armament's skill to Prayerful
Strike at start of expedition</t>
  </si>
  <si>
    <t>Changes compatible armament's skill to Poisonous
Mist at start of expedition</t>
  </si>
  <si>
    <t>Changes compatible armament's skill to Poison Moth
Flight at start of expedition</t>
  </si>
  <si>
    <t>Changes compatible armament's skill to Blood Blade
at start of expedition</t>
  </si>
  <si>
    <t>Changes compatible armament's skill to Seppuku at
start of expedition</t>
  </si>
  <si>
    <t>Changes compatible armament's skill to Chilling Mist
at start of expedition</t>
  </si>
  <si>
    <t>Changes compatible armament's skill to Hoarfrost
Stomp at start of expedition</t>
  </si>
  <si>
    <t>Changes compatible armament's skill to White
Shadow's Lure at start of expedition</t>
  </si>
  <si>
    <t>Changes compatible armament's skill to Endure at
start of expedition</t>
  </si>
  <si>
    <t>Changes compatible armament's skill to Quickstep at
start of expedition</t>
  </si>
  <si>
    <t>Changes compatible armament's skill to Storm Stomp
at start of expedition</t>
  </si>
  <si>
    <t>Changes compatible armament's skill to Determination
at start of expedition</t>
  </si>
  <si>
    <t>Changes compatible armament's skill to Rain of
Arrows at start of expedition</t>
  </si>
  <si>
    <t>Starlight Shards in possession at start of expedition</t>
  </si>
  <si>
    <t>Guard counter is given a boost based on current HP</t>
  </si>
  <si>
    <t>HP Restoration upon Thrusting Counterattack</t>
  </si>
  <si>
    <t>Attacks Inflict Rot when Damage is Taken</t>
  </si>
  <si>
    <t>HP Restoration with Head Shots</t>
  </si>
  <si>
    <t>Improved Stance-Breaking with Head Shots</t>
  </si>
  <si>
    <t>[Revenant] Power up while fighting alongside family</t>
  </si>
  <si>
    <t>Rune discount for shop purchases while on expedition</t>
  </si>
  <si>
    <t>Huge rune discount for shop purchases while on
expedition</t>
  </si>
  <si>
    <t>Improved Poise &amp; Damage Negation When Knocked Back
by Damage</t>
  </si>
  <si>
    <t>Attack power up when facing poison-afflicted enemy</t>
  </si>
  <si>
    <t>Attack power up when facing sleep-afflicted enemy</t>
  </si>
  <si>
    <t>Attack power up when facing scarlet rot-afflicted
enemy</t>
  </si>
  <si>
    <t>Attack power up when facing frostbite-afflicted
enemy</t>
  </si>
  <si>
    <t>Attacks Create Magic Bursts Versus Sleeping Enemies</t>
  </si>
  <si>
    <t>Frostbite in Vicinity Conceals Self</t>
  </si>
  <si>
    <t>Rot in Vicinity Causes Continuous HP Recovery</t>
  </si>
  <si>
    <t>[Ironeye] +1 additional Character Skill use</t>
  </si>
  <si>
    <t>[Ironeye] Extends duration of weak point</t>
  </si>
  <si>
    <t>[Duchess] Improved Character Skill Attack Power</t>
  </si>
  <si>
    <t>[Duchess] Character Skill inflicts sleep upon
enemies</t>
  </si>
  <si>
    <t>[Raider] Duration of Ultimate Art extended</t>
  </si>
  <si>
    <t>[Revenant] Ability activation chance increased</t>
  </si>
  <si>
    <t>Improved Dagger Attack Power</t>
  </si>
  <si>
    <t>Improved Straight Sword Attack Power</t>
  </si>
  <si>
    <t>Improved Greatsword Attack Power</t>
  </si>
  <si>
    <t>Improved Colossal Sword Attack Power</t>
  </si>
  <si>
    <t>Improved Curved Sword Attack Power</t>
  </si>
  <si>
    <t>Improved Curved Greatsword Attack Power</t>
  </si>
  <si>
    <t>Improved Katana Attack Power</t>
  </si>
  <si>
    <t>Improved Twinblade Attack Power</t>
  </si>
  <si>
    <t>Improved Thrusting Sword Attack Power</t>
  </si>
  <si>
    <t>Improved Heavy Thrusting Sword Attack Power</t>
  </si>
  <si>
    <t>Improved Axe Attack Power</t>
  </si>
  <si>
    <t>Improved Greataxe Attack Power</t>
  </si>
  <si>
    <t>Improved Hammer Attack Power</t>
  </si>
  <si>
    <t>Improved Great Hammer Attack Power</t>
  </si>
  <si>
    <t>Improved Flail Attack Power</t>
  </si>
  <si>
    <t>Improved Spear Attack Power</t>
  </si>
  <si>
    <t>Improved Pike Attack Power</t>
  </si>
  <si>
    <t>Improved Great Spear Attack Power</t>
  </si>
  <si>
    <t>Improved Halberd Attack Power</t>
  </si>
  <si>
    <t>Improved Reaper Attack Power</t>
  </si>
  <si>
    <t>Improved Fist Attack Power</t>
  </si>
  <si>
    <t>Improved Claw Attack Power</t>
  </si>
  <si>
    <t>Improved Whip Attack Power</t>
  </si>
  <si>
    <t>Improved Colossal Weapon Attack Power</t>
  </si>
  <si>
    <t>Improved Bow Attack Power</t>
  </si>
  <si>
    <t>Improved Greatbow Attack Power</t>
  </si>
  <si>
    <t>Improved Crossbow Attack Power</t>
  </si>
  <si>
    <t>Improved Ballista Attack Power</t>
  </si>
  <si>
    <t>HP Restoration upon Dagger Attacks</t>
  </si>
  <si>
    <t>HP Restoration upon Straight Sword Attacks</t>
  </si>
  <si>
    <t>HP Restoration upon Greatsword Attacks</t>
  </si>
  <si>
    <t>HP Restoration upon Colossal Sword Attacks</t>
  </si>
  <si>
    <t>HP Restoration upon Curved Sword Attacks</t>
  </si>
  <si>
    <t>HP Restoration upon Curved Greatsword Attacks</t>
  </si>
  <si>
    <t>HP Restoration upon Katana Attacks</t>
  </si>
  <si>
    <t>HP Restoration upon Twinblade Attacks</t>
  </si>
  <si>
    <t>HP Restoration upon Thrusting Sword Attacks</t>
  </si>
  <si>
    <t>HP Restoration upon Heavy Thrusting Sword Attacks</t>
  </si>
  <si>
    <t>HP Restoration upon Axe Attacks</t>
  </si>
  <si>
    <t>HP Restoration upon Greataxe Attacks</t>
  </si>
  <si>
    <t>HP Restoration upon Hammer Attacks</t>
  </si>
  <si>
    <t>HP Restoration upon Great Hammer Attacks</t>
  </si>
  <si>
    <t>HP Restoration upon Flail Attacks</t>
  </si>
  <si>
    <t>HP Restoration upon Spear Attacks</t>
  </si>
  <si>
    <t>HP Restoration upon Pike Attacks</t>
  </si>
  <si>
    <t>HP Restoration upon Great Spear Attacks</t>
  </si>
  <si>
    <t>HP Restoration upon Halberd Attacks</t>
  </si>
  <si>
    <t>HP Restoration upon Reaper Attacks</t>
  </si>
  <si>
    <t>HP Restoration upon Fist Attacks</t>
  </si>
  <si>
    <t>HP Restoration upon Claw Attacks</t>
  </si>
  <si>
    <t>HP Restoration upon Whip Attacks</t>
  </si>
  <si>
    <t>HP Restoration upon Colossal Weapon Attacks</t>
  </si>
  <si>
    <t>HP Restoration upon Bow Attacks</t>
  </si>
  <si>
    <t>HP Restoration upon Greatbow Attacks</t>
  </si>
  <si>
    <t>HP Restoration upon Crossbow Attacks</t>
  </si>
  <si>
    <t>HP Restoration upon Ballista Attacks</t>
  </si>
  <si>
    <t>FP Restoration upon Dagger Attacks</t>
  </si>
  <si>
    <t>FP Restoration upon Straight Sword Attacks</t>
  </si>
  <si>
    <t>FP Restoration upon Greatsword Attacks</t>
  </si>
  <si>
    <t>FP Restoration upon Colossal Sword Attacks</t>
  </si>
  <si>
    <t>FP Restoration upon Curved Sword Attacks</t>
  </si>
  <si>
    <t>FP Restoration upon Curved Greatsword Attacks</t>
  </si>
  <si>
    <t>FP Restoration upon Katana Attacks</t>
  </si>
  <si>
    <t>FP Restoration upon Twinblade Attacks</t>
  </si>
  <si>
    <t>FP Restoration upon Thrusting Sword Attacks</t>
  </si>
  <si>
    <t>FP Restoration upon Heavy Thrusting Sword Attacks</t>
  </si>
  <si>
    <t>FP Restoration upon Axe Attacks</t>
  </si>
  <si>
    <t>FP Restoration upon Greataxe Attacks</t>
  </si>
  <si>
    <t>FP Restoration upon Hammer Attacks</t>
  </si>
  <si>
    <t>FP Restoration upon Great Hammer Attacks</t>
  </si>
  <si>
    <t>FP Restoration upon Flail Attacks</t>
  </si>
  <si>
    <t>FP Restoration upon Spear Attacks</t>
  </si>
  <si>
    <t>FP Restoration upon Pike Attacks</t>
  </si>
  <si>
    <t>FP Restoration upon Great Spear Attacks</t>
  </si>
  <si>
    <t>FP Restoration upon Halberd Attacks</t>
  </si>
  <si>
    <t>FP Restoration upon Reaper Attacks</t>
  </si>
  <si>
    <t>FP Restoration upon Fist Attacks</t>
  </si>
  <si>
    <t>FP Restoration upon Claw Attacks</t>
  </si>
  <si>
    <t>FP Restoration upon Whip Attacks</t>
  </si>
  <si>
    <t>FP Restoration upon Colossal Weapon Attacks</t>
  </si>
  <si>
    <t>FP Restoration upon Bow Attacks</t>
  </si>
  <si>
    <t>FP Restoration upon Greatbow Attacks</t>
  </si>
  <si>
    <t>FP Restoration upon Crossbow Attacks</t>
  </si>
  <si>
    <t>FP Restoration upon Ballista Attacks</t>
  </si>
  <si>
    <t>Changes compatible armament's sorcery to Magic
Glintblade at start of expedition</t>
  </si>
  <si>
    <t>Changes compatible armament's sorcery to Carian
Greatsword at start of expedition</t>
  </si>
  <si>
    <t>Changes compatible armament's sorcery to Night
Shard at start of expedition</t>
  </si>
  <si>
    <t>Changes compatible armament's sorcery to Magma
Shot at start of expedition</t>
  </si>
  <si>
    <t>Changes compatible armament's sorcery to Glintstone
Icecrag at start of expedition</t>
  </si>
  <si>
    <t>Changes compatible armament's sorcery to Gravity
Well at start of expedition</t>
  </si>
  <si>
    <t>Changes compatible armament's sorcery to Briars of
Punishment at start of expedition</t>
  </si>
  <si>
    <t>Changes compatible armament's incantation to
Blessing's Boon at start of expedition</t>
  </si>
  <si>
    <t>Changes compatible armament's incantation to
Aspects of the Crucible: Horns at start of expedition</t>
  </si>
  <si>
    <t>Changes compatible armament's incantation to
Wrath of Gold at start of expedition</t>
  </si>
  <si>
    <t>Changes compatible armament's incantation to
Lightning Spear at start of expedition</t>
  </si>
  <si>
    <t>Changes compatible armament's incantation to
Lightning Strike at start of expedition</t>
  </si>
  <si>
    <t>Changes compatible armament's incantation to
O, Flame! at start of expedition</t>
  </si>
  <si>
    <t>Changes compatible armament's incantation to
Black Flame at start of expedition</t>
  </si>
  <si>
    <t>Changes compatible armament's incantation to
Beast Claw at start of expedition</t>
  </si>
  <si>
    <t>Changes compatible armament's incantation to
Swarm of Flies at start of expedition</t>
  </si>
  <si>
    <t>Changes compatible armament's incantation to
Dragonfire at start of expedition</t>
  </si>
  <si>
    <t>Reduced Stamina Consumption</t>
  </si>
  <si>
    <t>Improved Physical Attack Power</t>
  </si>
  <si>
    <t>Attacks Inflict Rot</t>
  </si>
  <si>
    <t>Add Fire to Weapon</t>
  </si>
  <si>
    <t>Add Magic to Weapon</t>
  </si>
  <si>
    <t>Add Lightning to Weapon</t>
  </si>
  <si>
    <t>Add Holy to Weapon</t>
  </si>
  <si>
    <t>Improved Stance-Breaking</t>
  </si>
  <si>
    <t>Attack Boost [Lifeforms Born of Falling Stars]</t>
  </si>
  <si>
    <t>Attack Boost [Those Who Live in Death]</t>
  </si>
  <si>
    <t>Attack Boost [Dragons]</t>
  </si>
  <si>
    <t>Improved Guarding Ability +1</t>
  </si>
  <si>
    <t>Improved Guarding Ability +2</t>
  </si>
  <si>
    <t>Improved Attack Power when Two-Handing</t>
  </si>
  <si>
    <t>Improved Stance-Breaking when Two-Handing</t>
  </si>
  <si>
    <t>Attack Up when Wielding Two Armaments</t>
  </si>
  <si>
    <t>Improved Stance-Breaking when Wielding Two Armaments</t>
  </si>
  <si>
    <t>Strong Attacks Improve Poise</t>
  </si>
  <si>
    <t>Dmg Negation Up upon Landing Charge Attacks</t>
  </si>
  <si>
    <t>Improved Dash Attacks</t>
  </si>
  <si>
    <t>Improved Rolling Attacks</t>
  </si>
  <si>
    <t>Improved Charged Sorceries</t>
  </si>
  <si>
    <t>Improved Charged Incantation</t>
  </si>
  <si>
    <t>Communion Grants Anti-Dragon Effect</t>
  </si>
  <si>
    <t>Dmg Negation Up While Casting Spells</t>
  </si>
  <si>
    <t>Improved Charged Skill Attack Power</t>
  </si>
  <si>
    <t>Skill Activation Improves Poise</t>
  </si>
  <si>
    <t>Parries Activate Golden Retaliation</t>
  </si>
  <si>
    <t>Faster Art Gauge Buildup</t>
  </si>
  <si>
    <t>Character Skill Cooldown Reduction</t>
  </si>
  <si>
    <t>Lightning upon Dodging</t>
  </si>
  <si>
    <t>Guard Counters Activate Holy Attacks</t>
  </si>
  <si>
    <t>Guard Counters Launch Summoning Attack</t>
  </si>
  <si>
    <t>Gradual Restoration by Flask</t>
  </si>
  <si>
    <t>Magma Surge Sprint</t>
  </si>
  <si>
    <t>Ice Storm Surge Sprint</t>
  </si>
  <si>
    <t>Darkness Conceals Caster While Walking</t>
  </si>
  <si>
    <t>Savage Pillars of Flame Rise While Walking</t>
  </si>
  <si>
    <t>Flame of Frenzy While Walking</t>
  </si>
  <si>
    <t>Wraiths While Walking</t>
  </si>
  <si>
    <t>Vicious Star Rain Pours While Walking</t>
  </si>
  <si>
    <t>Storm of Red Lightning While Walking</t>
  </si>
  <si>
    <t>Less Likely to Be Targeted</t>
  </si>
  <si>
    <t>Multiple Periodical Glintblades</t>
  </si>
  <si>
    <t>Many Periodical Glintblades</t>
  </si>
  <si>
    <t>Periodical Giant Glintblades</t>
  </si>
  <si>
    <t>HP Restoration upon Landing Attacks</t>
  </si>
  <si>
    <t>FP Restoration upon Landing Attacks</t>
  </si>
  <si>
    <t>Sudden Enemy Death upon Landing Attacks</t>
  </si>
  <si>
    <t>HP Restoration upon Successive Attacks</t>
  </si>
  <si>
    <t>FP Restoration upon Successive Attacks</t>
  </si>
  <si>
    <t>Magic Attack Follows Charge Attacks that Land</t>
  </si>
  <si>
    <t>Fire Attack Follows Charge Attacks that Land</t>
  </si>
  <si>
    <t>Lightning Follows Charge Attacks that Land</t>
  </si>
  <si>
    <t>Holy Attack Follows Charge Attacks that Land</t>
  </si>
  <si>
    <t>Successive Attacks Negate Damage</t>
  </si>
  <si>
    <t>Taking Damage Restores FP</t>
  </si>
  <si>
    <t>Taking Damage Boosts Damage Negation</t>
  </si>
  <si>
    <t>Attacks Summon Wraiths</t>
  </si>
  <si>
    <t>Attacks Release Mist of Charm</t>
  </si>
  <si>
    <t>Attacks Call Vengeful Spirits</t>
  </si>
  <si>
    <t>Attacks Generate Lava</t>
  </si>
  <si>
    <t>Attacks Release Mist of Frost</t>
  </si>
  <si>
    <t>Attacks Unleash Lightning</t>
  </si>
  <si>
    <t>Attacks Generate Golden Shockwave</t>
  </si>
  <si>
    <t>Increased Damage After Critical Hit</t>
  </si>
  <si>
    <t>Sacred Order upon Holy Critical Hit</t>
  </si>
  <si>
    <t>Magma upon Fire Critical Hit</t>
  </si>
  <si>
    <t>Lightning Critical Hit Imbues Armament</t>
  </si>
  <si>
    <t>Crystal Shards upon Magic Critical Hit</t>
  </si>
  <si>
    <t>Poison Mist upon Poison Critical Hit</t>
  </si>
  <si>
    <t>Blood Loss Crit: Thorns of Punishment</t>
  </si>
  <si>
    <t>Rot Critical Hit Fires Pest Threads</t>
  </si>
  <si>
    <t>Ice Storm upon Critical Hit with Frost</t>
  </si>
  <si>
    <t>Madness Crit. Hit Fires Frenzied Flame</t>
  </si>
  <si>
    <t>Death Crit. Hit Calls Death Lightning</t>
  </si>
  <si>
    <t>HP Recovery From Successful Guarding</t>
  </si>
  <si>
    <t>FP Recovery From Successful Guarding</t>
  </si>
  <si>
    <t>Successful Guarding Ups Poise</t>
  </si>
  <si>
    <t>Successful Guarding Ups Dmg Negation</t>
  </si>
  <si>
    <t>Critical Hits Inflict Blood Loss</t>
  </si>
  <si>
    <t>Creates Holy Ground at Low HP</t>
  </si>
  <si>
    <t>Low HP Crit. Hit Fully Restores HP</t>
  </si>
  <si>
    <t>Poison Produces a Mist of Poison</t>
  </si>
  <si>
    <t>Madness Produces a Frenzied Burst</t>
  </si>
  <si>
    <t>Rot Produces a Mist of Scarlet Rot</t>
  </si>
  <si>
    <t>Frostbite Produces a Mist of Frost</t>
  </si>
  <si>
    <t>Sleep Produces a Mist of Sleep</t>
  </si>
  <si>
    <t>Poison Increases Attack Power</t>
  </si>
  <si>
    <t>Blood Loss Increases Attack Power</t>
  </si>
  <si>
    <t>Sleep Increases Attack Power</t>
  </si>
  <si>
    <t>Frostbite Increases Attack Power</t>
  </si>
  <si>
    <t>Madness Increases Attack Power</t>
  </si>
  <si>
    <t>Reduced Maximum FP</t>
  </si>
  <si>
    <t>Reduced Maximum Stamina</t>
  </si>
  <si>
    <t>Night's Tide Damage Increased</t>
  </si>
  <si>
    <t>Damage Increased by Night's Encroachment</t>
  </si>
  <si>
    <t>Slower Art Gauge When Below Max HP</t>
  </si>
  <si>
    <t>Max HP Slows Ultimate Art Gauge</t>
  </si>
  <si>
    <t>Lower Stamina Impairs Dmg Negation</t>
  </si>
  <si>
    <t>Attacks Impaired on Occasion</t>
  </si>
  <si>
    <t>Landed Attacks Build Up Frost</t>
  </si>
  <si>
    <t>Landed Attacks Build Up Blood Loss</t>
  </si>
  <si>
    <t>Ailments Cause Increased Damage</t>
  </si>
  <si>
    <t>Near Death Reduces Art Gauge</t>
  </si>
  <si>
    <t>Ice Storm upon Charge Attacks</t>
  </si>
  <si>
    <t>Ring of Light upon Charged Slash</t>
  </si>
  <si>
    <t>Black Flames upon Charge Attacks</t>
  </si>
  <si>
    <t>Phantom Attack upon Charge Attacks</t>
  </si>
  <si>
    <t>Roaring Flames upon Charged Slash</t>
  </si>
  <si>
    <t>Holy Shockwave upon Charge Attacks</t>
  </si>
  <si>
    <t>Projectiles upon Charged Strike</t>
  </si>
  <si>
    <t>Luring Enemies upon Charge Attacks</t>
  </si>
  <si>
    <t>Shockwave upon Charged Strike</t>
  </si>
  <si>
    <t>Phantom Attack upon Charged Strike</t>
  </si>
  <si>
    <t>Magma upon Charge Attacks</t>
  </si>
  <si>
    <t>Magic Bubbles upon Charged Strike</t>
  </si>
  <si>
    <t>Phantom Attack upon Charged Thrust</t>
  </si>
  <si>
    <t>Lightning upon Charge Attacks</t>
  </si>
  <si>
    <t>Acid Mist upon Charged Thrust</t>
  </si>
  <si>
    <t>Pest Threads upon Charged Thrust</t>
  </si>
  <si>
    <t>Poison Mist upon Charged Thrust</t>
  </si>
  <si>
    <t>Charge Attacks Invoke Sleep Mist</t>
  </si>
  <si>
    <t>Projectiles Launched upon Charge Attacks</t>
  </si>
  <si>
    <t>Lightning upon Precision Aiming</t>
  </si>
  <si>
    <t>Poison Mist upon Precision Aiming</t>
  </si>
  <si>
    <t>Rot Mist upon Precision Aiming</t>
  </si>
  <si>
    <t>Bloodflies upon Precision Aiming</t>
  </si>
  <si>
    <t>Shielding Improves Damage Negation</t>
  </si>
  <si>
    <t>Shielding Invokes Indomitable Vow</t>
  </si>
  <si>
    <t>Shielding Creates Holy Ground</t>
  </si>
  <si>
    <t>Broken Stance Activates Endure</t>
  </si>
  <si>
    <t>Flask Healing Also Restores FP</t>
  </si>
  <si>
    <t>Failing to Cast Spell Restores FP</t>
  </si>
  <si>
    <t>Continued Guarding Grants Increased Potency of Sorceries/Incantations and Faster Casting</t>
  </si>
  <si>
    <t>Guarding Ups Sorceries &amp; Incantations</t>
  </si>
  <si>
    <t>Critical Hits Boost Attack Power</t>
  </si>
  <si>
    <t>Changed Strong Attacks</t>
  </si>
  <si>
    <t>Strong Jump Attacks Create Shockwave</t>
  </si>
  <si>
    <t>Power of Night and Flame</t>
  </si>
  <si>
    <t>Power of Dark Moon</t>
  </si>
  <si>
    <t>Power of the Greater Will</t>
  </si>
  <si>
    <t>Power of the Blasphemous</t>
  </si>
  <si>
    <t>Power of House Marais</t>
  </si>
  <si>
    <t>Power of the Golden Order</t>
  </si>
  <si>
    <t>Power of Destined Death</t>
  </si>
  <si>
    <t>Power of the Starscourge</t>
  </si>
  <si>
    <t>Power of Destruction</t>
  </si>
  <si>
    <t>Power of Vengeance</t>
  </si>
  <si>
    <t>Power of the Dragonlord</t>
  </si>
  <si>
    <t>Power of Despair</t>
  </si>
  <si>
    <t>Power of the Omen King</t>
  </si>
  <si>
    <t>Power of the Undefeated</t>
  </si>
  <si>
    <t>Power of the Queen</t>
  </si>
  <si>
    <t>Power of the Lightless Void</t>
  </si>
  <si>
    <t>Power of the Golden Lineage</t>
  </si>
  <si>
    <t>Power of the Ancestral Spirit</t>
  </si>
  <si>
    <t>Power of the Great Ancient Dragon</t>
  </si>
  <si>
    <t>Power of the Blood Lord</t>
  </si>
  <si>
    <t>Power of the Giant</t>
  </si>
  <si>
    <t>Power of the Flying Dragon</t>
  </si>
  <si>
    <t>Power of the First Lord</t>
  </si>
  <si>
    <t>Power of Full Moon</t>
  </si>
  <si>
    <t>Power of the General</t>
  </si>
  <si>
    <t>The Wylder's Grief</t>
  </si>
  <si>
    <t>The Guardian's Grief</t>
  </si>
  <si>
    <t>The Ironeye's Grief</t>
  </si>
  <si>
    <t>The Duchess' Grief</t>
  </si>
  <si>
    <t>The Raider's Grief</t>
  </si>
  <si>
    <t>The Revenant's Grief</t>
  </si>
  <si>
    <t>The Recluse's Grief</t>
  </si>
  <si>
    <t>The Executor's Grief</t>
  </si>
  <si>
    <t>The Scholar's Grief</t>
  </si>
  <si>
    <t>The Undertaker's Grief</t>
  </si>
  <si>
    <t>All Resistances Up</t>
  </si>
  <si>
    <t>Improved Sorceries &amp; Incantations</t>
  </si>
  <si>
    <t>Increased Sorcery &amp; Incantation Duration</t>
  </si>
  <si>
    <t>Successful Parries Activate Golden Retaliation</t>
  </si>
  <si>
    <t>Poison &amp; Rot Trigger Continuous HP Recovery</t>
  </si>
  <si>
    <t>Vigor</t>
  </si>
  <si>
    <t>Mind</t>
  </si>
  <si>
    <t>Endurance</t>
  </si>
  <si>
    <t>Strength</t>
  </si>
  <si>
    <t>Dexterity</t>
  </si>
  <si>
    <t>Intelligence</t>
  </si>
  <si>
    <t>Faith</t>
  </si>
  <si>
    <t>Arcane</t>
  </si>
  <si>
    <t>Ultimate Art Auto Charge</t>
  </si>
  <si>
    <t>Poise</t>
  </si>
  <si>
    <t>All Options</t>
  </si>
  <si>
    <t>Final Result</t>
    <phoneticPr fontId="1" type="noConversion"/>
  </si>
  <si>
    <t>最終遺物結果</t>
    <phoneticPr fontId="1" type="noConversion"/>
  </si>
  <si>
    <t>最终遗物结果</t>
    <phoneticPr fontId="1" type="noConversion"/>
  </si>
  <si>
    <t>簡體中文</t>
    <phoneticPr fontId="1" type="noConversion"/>
  </si>
  <si>
    <t>Name And Description</t>
    <phoneticPr fontId="1" type="noConversion"/>
  </si>
  <si>
    <t>名稱/敘述</t>
    <phoneticPr fontId="1" type="noConversion"/>
  </si>
  <si>
    <t>名称/叙述</t>
    <phoneticPr fontId="1" type="noConversion"/>
  </si>
  <si>
    <t>ID</t>
    <phoneticPr fontId="1" type="noConversion"/>
  </si>
  <si>
    <t>Sort ID(Override ID)</t>
    <phoneticPr fontId="1" type="noConversion"/>
  </si>
  <si>
    <t>AttachEffect 1 Temp</t>
    <phoneticPr fontId="1" type="noConversion"/>
  </si>
  <si>
    <t>AttachEffect 2 Temp</t>
  </si>
  <si>
    <t>AttachEffect 3 Temp</t>
  </si>
  <si>
    <t>Curse1 Temp</t>
    <phoneticPr fontId="1" type="noConversion"/>
  </si>
  <si>
    <t>Curse2 Temp</t>
  </si>
  <si>
    <t>Curse3 Temp</t>
  </si>
  <si>
    <t>ID</t>
    <phoneticPr fontId="1" type="noConversion"/>
  </si>
  <si>
    <t>English</t>
    <phoneticPr fontId="1" type="noConversion"/>
  </si>
  <si>
    <t>繁體中文</t>
    <phoneticPr fontId="1" type="noConversion"/>
  </si>
  <si>
    <t>Red</t>
    <phoneticPr fontId="1" type="noConversion"/>
  </si>
  <si>
    <t>Blue</t>
    <phoneticPr fontId="1" type="noConversion"/>
  </si>
  <si>
    <t>Yellow</t>
    <phoneticPr fontId="1" type="noConversion"/>
  </si>
  <si>
    <t>Green</t>
    <phoneticPr fontId="1" type="noConversion"/>
  </si>
  <si>
    <t>紅</t>
    <phoneticPr fontId="1" type="noConversion"/>
  </si>
  <si>
    <t>藍</t>
    <phoneticPr fontId="1" type="noConversion"/>
  </si>
  <si>
    <t>黃</t>
    <phoneticPr fontId="1" type="noConversion"/>
  </si>
  <si>
    <t>綠</t>
    <phoneticPr fontId="1" type="noConversion"/>
  </si>
  <si>
    <t>简体中文</t>
    <phoneticPr fontId="1" type="noConversion"/>
  </si>
  <si>
    <t>红</t>
    <phoneticPr fontId="1" type="noConversion"/>
  </si>
  <si>
    <t>蓝</t>
    <phoneticPr fontId="1" type="noConversion"/>
  </si>
  <si>
    <t>黄</t>
    <phoneticPr fontId="1" type="noConversion"/>
  </si>
  <si>
    <t>绿</t>
    <phoneticPr fontId="1" type="noConversion"/>
  </si>
  <si>
    <t>Relic Color</t>
    <phoneticPr fontId="1" type="noConversion"/>
  </si>
  <si>
    <t/>
  </si>
  <si>
    <t>EmptyID</t>
    <phoneticPr fontId="1" type="noConversion"/>
  </si>
  <si>
    <t>欄1</t>
    <phoneticPr fontId="1" type="noConversion"/>
  </si>
  <si>
    <t>7000802-縮短技藝的冷卻時間＋３</t>
  </si>
  <si>
    <t>229-遼闊的幽靜情景 (綠)</t>
  </si>
  <si>
    <t>7000202-耐力＋３</t>
  </si>
  <si>
    <t>7342400-以弓攻擊時，恢復ＨＰ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</si>
</sst>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1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0_ "/>
    </dxf>
    <dxf>
      <numFmt numFmtId="177" formatCode="0_);[Red]\(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9" xr16:uid="{61FF9A56-35F6-41E3-93C9-0B4363D36B2F}" autoFormatId="16" applyNumberFormats="0" applyBorderFormats="0" applyFontFormats="0" applyPatternFormats="0" applyAlignmentFormats="0" applyWidthHeightFormats="0">
  <queryTableRefresh nextId="24">
    <queryTableFields count="9">
      <queryTableField id="1" name="ID" tableColumnId="1"/>
      <queryTableField id="6" name="relicColor" tableColumnId="6"/>
      <queryTableField id="15" name="attachEffectTableId_1" tableColumnId="15"/>
      <queryTableField id="16" name="attachEffectTableId_2" tableColumnId="16"/>
      <queryTableField id="17" name="attachEffectTableId_3" tableColumnId="17"/>
      <queryTableField id="18" name="iconId" tableColumnId="18"/>
      <queryTableField id="19" name="attachEffectTableId_curse1" tableColumnId="19"/>
      <queryTableField id="20" name="attachEffectTableId_curse2" tableColumnId="20"/>
      <queryTableField id="21" name="attachEffectTableId_curse3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2A5EDD8D-ED8D-4C7D-A141-2C4A23DA7755}" autoFormatId="16" applyNumberFormats="0" applyBorderFormats="0" applyFontFormats="0" applyPatternFormats="0" applyAlignmentFormats="0" applyWidthHeightFormats="0">
  <queryTableRefresh nextId="8">
    <queryTableFields count="2">
      <queryTableField id="1" name="ID" tableColumnId="1"/>
      <queryTableField id="7" name="attachEffectI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D3571D18-25F2-466F-867E-B99A1FA46B05}" autoFormatId="16" applyNumberFormats="0" applyBorderFormats="0" applyFontFormats="0" applyPatternFormats="0" applyAlignmentFormats="0" applyWidthHeightFormats="0">
  <queryTableRefresh nextId="39">
    <queryTableFields count="4">
      <queryTableField id="1" name="ID" tableColumnId="1"/>
      <queryTableField id="9" name="compatibilityId" tableColumnId="9"/>
      <queryTableField id="10" name="attachTextId" tableColumnId="10"/>
      <queryTableField id="34" name="overrideEffectId" tableColumnId="3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5" connectionId="12" xr16:uid="{92EF6E05-AA6B-4C21-8225-2B613BF0FF7C}" autoFormatId="16" applyNumberFormats="0" applyBorderFormats="0" applyFontFormats="0" applyPatternFormats="0" applyAlignmentFormats="0" applyWidthHeightFormats="0">
  <queryTableRefresh nextId="5">
    <queryTableFields count="2">
      <queryTableField id="3" name="ID" tableColumnId="1"/>
      <queryTableField id="4" name="繁體中文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4" xr16:uid="{357D12A1-CEC4-4895-9272-D7E288DD3FD3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English" tableColumnId="2"/>
      <queryTableField id="3" name="繁體中文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0" xr16:uid="{25439B14-802C-4559-A067-3C0F98C0B870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English" tableColumnId="2"/>
      <queryTableField id="3" name="繁體中文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B83D0E-03D3-42F3-9361-4589E1763A95}" name="Tbl_Language" displayName="Tbl_Language" ref="A1:C11" totalsRowShown="0">
  <autoFilter ref="A1:C11" xr:uid="{DAB83D0E-03D3-42F3-9361-4589E1763A95}"/>
  <tableColumns count="3">
    <tableColumn id="1" xr3:uid="{1DB2782B-DCB5-4905-8DB4-3342A7D2876A}" name="English"/>
    <tableColumn id="2" xr3:uid="{BE18A08D-7B4B-4851-94C6-2C95C88039D8}" name="繁體中文"/>
    <tableColumn id="3" xr3:uid="{46FF9BB8-78AF-4682-B03F-23B9BD7C4C57}" name="簡體中文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91FED-C19F-4358-A053-7A828911D620}" name="Tbl_Equip" displayName="Tbl_Equip" ref="A1:I1386" tableType="queryTable" totalsRowShown="0">
  <autoFilter ref="A1:I1386" xr:uid="{AE091FED-C19F-4358-A053-7A828911D620}"/>
  <tableColumns count="9">
    <tableColumn id="1" xr3:uid="{DEE9B919-99AE-47B1-A9BD-A7450CA8D5A6}" uniqueName="1" name="ID" queryTableFieldId="1"/>
    <tableColumn id="6" xr3:uid="{CA1297F7-2528-4EDB-A4AE-9F29A0A8AA4D}" uniqueName="6" name="relicColor" queryTableFieldId="6"/>
    <tableColumn id="15" xr3:uid="{BD9AD528-BB91-41D3-A51E-62500B3002F9}" uniqueName="15" name="attachEffectTableId_1" queryTableFieldId="15"/>
    <tableColumn id="16" xr3:uid="{623D08C2-CF5F-4013-BCF0-D1F62F25F8EF}" uniqueName="16" name="attachEffectTableId_2" queryTableFieldId="16"/>
    <tableColumn id="17" xr3:uid="{D6E23A2F-53FE-44D4-824E-C2F548B67DF5}" uniqueName="17" name="attachEffectTableId_3" queryTableFieldId="17"/>
    <tableColumn id="18" xr3:uid="{923F98F3-271A-4E57-9BA5-30A9D94E4EB1}" uniqueName="18" name="iconId" queryTableFieldId="18"/>
    <tableColumn id="19" xr3:uid="{9F580FC9-EC6F-40EF-8CEA-803742E6191B}" uniqueName="19" name="attachEffectTableId_curse1" queryTableFieldId="19"/>
    <tableColumn id="20" xr3:uid="{51D778D1-CE70-428E-9585-73BFD0AA7179}" uniqueName="20" name="attachEffectTableId_curse2" queryTableFieldId="20"/>
    <tableColumn id="21" xr3:uid="{29E50B0A-B0CD-4FA9-A8E7-B7470B50D0CF}" uniqueName="21" name="attachEffectTableId_curse3" queryTableField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9E05D6-0F9D-4910-9779-E9649668A0DA}" name="Tbl_Pool" displayName="Tbl_Pool" ref="A1:B22089" tableType="queryTable" totalsRowShown="0">
  <autoFilter ref="A1:B22089" xr:uid="{DD9E05D6-0F9D-4910-9779-E9649668A0DA}"/>
  <tableColumns count="2">
    <tableColumn id="1" xr3:uid="{EF84961C-3264-418B-ACDC-1A77AD8AAF6A}" uniqueName="1" name="ID" queryTableFieldId="1" dataDxfId="13"/>
    <tableColumn id="7" xr3:uid="{598FB3BD-D6B0-41E7-8F55-4EEE5B30D97E}" uniqueName="7" name="attachEffectId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F25D67-6B84-4D3C-A0E5-30255BEB623C}" name="Tbl_Effect" displayName="Tbl_Effect" ref="A1:D2080" tableType="queryTable" totalsRowShown="0">
  <autoFilter ref="A1:D2080" xr:uid="{54F25D67-6B84-4D3C-A0E5-30255BEB623C}"/>
  <tableColumns count="4">
    <tableColumn id="1" xr3:uid="{F7FFD25F-F0A7-486B-9698-22ABF5B79BF2}" uniqueName="1" name="欄1" queryTableFieldId="1" dataDxfId="12"/>
    <tableColumn id="9" xr3:uid="{87F14FD3-988E-4A24-A117-DF7A460C4CBD}" uniqueName="9" name="compatibilityId" queryTableFieldId="9"/>
    <tableColumn id="10" xr3:uid="{94A61573-C057-408E-90D2-086063E06C6C}" uniqueName="10" name="attachTextId" queryTableFieldId="10"/>
    <tableColumn id="34" xr3:uid="{9F222953-7350-4D28-8195-638448B390A5}" uniqueName="34" name="overrideEffectId" queryTableFieldId="3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3BA426-C16B-4689-A295-29A4C587B05C}" name="tcht_EffectName_DLC01" displayName="tcht_EffectName_DLC01" ref="A1:B55" tableType="queryTable" totalsRowShown="0">
  <autoFilter ref="A1:B55" xr:uid="{8D3BA426-C16B-4689-A295-29A4C587B05C}"/>
  <tableColumns count="2">
    <tableColumn id="1" xr3:uid="{2E8D3166-83E4-400D-B03B-DA33E52A0099}" uniqueName="1" name="ID" queryTableFieldId="3"/>
    <tableColumn id="2" xr3:uid="{A7334CBC-3555-40FA-BC95-F5AFA0D8B8E7}" uniqueName="2" name="繁體中文" queryTableFieldId="4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6ECA07-73CF-4B28-9651-97D5B76119AF}" name="EffectName" displayName="EffectName" ref="A1:C1196" tableType="queryTable" totalsRowShown="0">
  <autoFilter ref="A1:C1196" xr:uid="{5E6ECA07-73CF-4B28-9651-97D5B76119AF}"/>
  <tableColumns count="3">
    <tableColumn id="1" xr3:uid="{C01A269D-C426-46CD-8D78-52A528855AB0}" uniqueName="1" name="ID" queryTableFieldId="1"/>
    <tableColumn id="2" xr3:uid="{B2BEA078-5E46-42E4-A6AF-007BCEEC7E8D}" uniqueName="2" name="English" queryTableFieldId="2" dataDxfId="10"/>
    <tableColumn id="3" xr3:uid="{1296AE6C-E7BC-4042-BED7-6C0B5239CE0B}" uniqueName="3" name="繁體中文" queryTableFieldId="3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86F305-2B72-4E83-8203-EFB9E7F2D4E8}" name="ItemText" displayName="ItemText" ref="A1:C2637" tableType="queryTable" totalsRowShown="0">
  <autoFilter ref="A1:C2637" xr:uid="{2F86F305-2B72-4E83-8203-EFB9E7F2D4E8}"/>
  <tableColumns count="3">
    <tableColumn id="1" xr3:uid="{C98EDC3B-BAFE-49D8-B74A-50952C02EDB0}" uniqueName="1" name="ID" queryTableFieldId="1"/>
    <tableColumn id="2" xr3:uid="{07FB583A-B76B-4CBB-BB7F-12695CBAA0CD}" uniqueName="2" name="English" queryTableFieldId="2" dataDxfId="8"/>
    <tableColumn id="3" xr3:uid="{6FA334FE-9878-4F57-B955-C62202A36DBF}" uniqueName="3" name="繁體中文" queryTableFieldId="3" dataDxf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ABE944-3B1B-4E9E-94CB-B6B28F0C5C48}" name="Tbl_FilePath" displayName="Tbl_FilePath" ref="A1:A2" totalsRowShown="0">
  <autoFilter ref="A1:A2" xr:uid="{D9ABE944-3B1B-4E9E-94CB-B6B28F0C5C48}"/>
  <tableColumns count="1">
    <tableColumn id="1" xr3:uid="{5826EDD9-AEFC-421E-8FE8-702037D97CF2}" name="欄1">
      <calculatedColumnFormula array="1">LEFT(CELL("filename",A2), FIND("[",CELL("filename",A2))-1)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08D32C-8042-4675-9161-2B54D1AB47B7}" name="Tbl_Color" displayName="Tbl_Color" ref="C1:F5" totalsRowShown="0">
  <autoFilter ref="C1:F5" xr:uid="{9D08D32C-8042-4675-9161-2B54D1AB47B7}"/>
  <tableColumns count="4">
    <tableColumn id="1" xr3:uid="{D03B62A7-F882-43EE-8FF9-51385B060C7C}" name="ID" dataDxfId="6"/>
    <tableColumn id="2" xr3:uid="{9049DDB1-611C-44D5-91D1-644E8313A8F1}" name="English"/>
    <tableColumn id="3" xr3:uid="{8EBED1B7-FA53-4129-A57E-3DA917449084}" name="繁體中文"/>
    <tableColumn id="4" xr3:uid="{2AC0514A-D400-4800-85B9-E0ECCD72AE9E}" name="简体中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B41F-802B-4BE0-8A30-A93F31E23054}">
  <dimension ref="A1:E18"/>
  <sheetViews>
    <sheetView tabSelected="1" zoomScale="175" zoomScaleNormal="175" workbookViewId="0">
      <selection activeCell="B5" sqref="B5"/>
    </sheetView>
  </sheetViews>
  <sheetFormatPr defaultRowHeight="17" x14ac:dyDescent="0.4"/>
  <cols>
    <col min="1" max="1" width="20.90625" customWidth="1"/>
    <col min="2" max="2" width="26.1796875" bestFit="1" customWidth="1"/>
    <col min="3" max="3" width="64.54296875" customWidth="1"/>
    <col min="4" max="4" width="21.453125" customWidth="1"/>
    <col min="5" max="5" width="10.81640625" customWidth="1"/>
  </cols>
  <sheetData>
    <row r="1" spans="1:5" x14ac:dyDescent="0.4">
      <c r="A1" t="str">
        <f>HLOOKUP($B$1,Tbl_Language[#All],MATCH("Language",Tbl_Language[English],0)+1,FALSE)</f>
        <v>語言</v>
      </c>
      <c r="B1" t="s">
        <v>1004</v>
      </c>
    </row>
    <row r="2" spans="1:5" x14ac:dyDescent="0.4">
      <c r="A2" t="str">
        <f>HLOOKUP($B$1,Tbl_Language[#All],MATCH("Relic",Tbl_Language[English],0)+1,FALSE)</f>
        <v>遺物</v>
      </c>
      <c r="B2" t="s">
        <v>2019</v>
      </c>
      <c r="D2" t="s">
        <v>1990</v>
      </c>
      <c r="E2" t="s">
        <v>1991</v>
      </c>
    </row>
    <row r="3" spans="1:5" x14ac:dyDescent="0.4">
      <c r="A3" t="str">
        <f>HLOOKUP($B$1,Tbl_Language[#All],MATCH("AttachEffect 1",Tbl_Language[English],0)+1,FALSE)</f>
        <v>效果1</v>
      </c>
      <c r="B3" t="s">
        <v>2020</v>
      </c>
      <c r="D3" t="str" cm="1">
        <f t="array" ref="D3">IF(B3&lt;&gt;"",_xlfn.CHOOSECOLS(_xlfn.TEXTSPLIT(B3,"-"),1),EmptyID)</f>
        <v>7000202</v>
      </c>
      <c r="E3" s="2" cm="1">
        <f t="array" ref="E3">IF(D3&lt;&gt;EmptyID,VLOOKUP(VALUE(_xlfn.CHOOSECOLS(_xlfn.TEXTSPLIT(B3,"-"),1)),Tbl_Effect[],MATCH("overrideEffectId",Tbl_Effect[#Headers],0),FALSE),9999999999999)</f>
        <v>1000</v>
      </c>
    </row>
    <row r="4" spans="1:5" x14ac:dyDescent="0.4">
      <c r="A4" t="str">
        <f>HLOOKUP($B$1,Tbl_Language[#All],MATCH("AttachEffect 2",Tbl_Language[English],0)+1,FALSE)</f>
        <v>效果2</v>
      </c>
      <c r="B4" t="s">
        <v>2021</v>
      </c>
      <c r="D4" t="str" cm="1">
        <f t="array" ref="D4">IF(B4&lt;&gt;"",_xlfn.CHOOSECOLS(_xlfn.TEXTSPLIT(B4,"-"),1),EmptyID)</f>
        <v>7342400</v>
      </c>
      <c r="E4" s="2" cm="1">
        <f t="array" ref="E4">IF(D4&lt;&gt;EmptyID,VLOOKUP(VALUE(_xlfn.CHOOSECOLS(_xlfn.TEXTSPLIT(B4,"-"),1)),Tbl_Effect[],MATCH("overrideEffectId",Tbl_Effect[#Headers],0),FALSE),9999999999999)</f>
        <v>10</v>
      </c>
    </row>
    <row r="5" spans="1:5" x14ac:dyDescent="0.4">
      <c r="A5" t="str">
        <f>HLOOKUP($B$1,Tbl_Language[#All],MATCH("AttachEffect 3",Tbl_Language[English],0)+1,FALSE)</f>
        <v>效果3</v>
      </c>
      <c r="B5" t="s">
        <v>2018</v>
      </c>
      <c r="D5" t="str" cm="1">
        <f t="array" ref="D5">IF(B5&lt;&gt;"",_xlfn.CHOOSECOLS(_xlfn.TEXTSPLIT(B5,"-"),1),EmptyID)</f>
        <v>7000802</v>
      </c>
      <c r="E5" s="2" cm="1">
        <f t="array" ref="E5">IF(D5&lt;&gt;EmptyID,VLOOKUP(VALUE(_xlfn.CHOOSECOLS(_xlfn.TEXTSPLIT(B5,"-"),1)),Tbl_Effect[],MATCH("overrideEffectId",Tbl_Effect[#Headers],0),FALSE),9999999999999)</f>
        <v>1000</v>
      </c>
    </row>
    <row r="6" spans="1:5" x14ac:dyDescent="0.4">
      <c r="A6" t="str">
        <f>HLOOKUP($B$1,Tbl_Language[#All],MATCH("CurseEffect 1",Tbl_Language[English],0)+1,FALSE)</f>
        <v>負面1</v>
      </c>
      <c r="B6" t="s">
        <v>2015</v>
      </c>
      <c r="D6" cm="1">
        <f t="array" ref="D6">IF(B6&lt;&gt;"",_xlfn.CHOOSECOLS(_xlfn.TEXTSPLIT(B6,"-"),1),EmptyID)</f>
        <v>4294967295</v>
      </c>
      <c r="E6" s="2" cm="1">
        <f t="array" ref="E6">IF(D6&lt;&gt;EmptyID,VLOOKUP(VALUE(_xlfn.CHOOSECOLS(_xlfn.TEXTSPLIT(B6,"-"),1)),Tbl_Effect[],MATCH("overrideEffectId",Tbl_Effect[#Headers],0),FALSE),9999999999999)</f>
        <v>9999999999999</v>
      </c>
    </row>
    <row r="7" spans="1:5" x14ac:dyDescent="0.4">
      <c r="A7" t="str">
        <f>HLOOKUP($B$1,Tbl_Language[#All],MATCH("CurseEffect 2",Tbl_Language[English],0)+1,FALSE)</f>
        <v>負面2</v>
      </c>
      <c r="D7" cm="1">
        <f t="array" ref="D7">IF(B7&lt;&gt;"",_xlfn.CHOOSECOLS(_xlfn.TEXTSPLIT(B7,"-"),1),EmptyID)</f>
        <v>4294967295</v>
      </c>
      <c r="E7" s="2" cm="1">
        <f t="array" ref="E7">IF(D7&lt;&gt;EmptyID,VLOOKUP(VALUE(_xlfn.CHOOSECOLS(_xlfn.TEXTSPLIT(B7,"-"),1)),Tbl_Effect[],MATCH("overrideEffectId",Tbl_Effect[#Headers],0),FALSE),9999999999999)</f>
        <v>9999999999999</v>
      </c>
    </row>
    <row r="8" spans="1:5" x14ac:dyDescent="0.4">
      <c r="A8" t="str">
        <f>HLOOKUP($B$1,Tbl_Language[#All],MATCH("CurseEffect 3",Tbl_Language[English],0)+1,FALSE)</f>
        <v>負面3</v>
      </c>
      <c r="D8" cm="1">
        <f t="array" ref="D8">IF(B8&lt;&gt;"",_xlfn.CHOOSECOLS(_xlfn.TEXTSPLIT(B8,"-"),1),EmptyID)</f>
        <v>4294967295</v>
      </c>
      <c r="E8" s="2" cm="1">
        <f t="array" ref="E8">IF(D8&lt;&gt;EmptyID,VLOOKUP(VALUE(_xlfn.CHOOSECOLS(_xlfn.TEXTSPLIT(B8,"-"),1)),Tbl_Effect[],MATCH("overrideEffectId",Tbl_Effect[#Headers],0),FALSE),9999999999999)</f>
        <v>9999999999999</v>
      </c>
    </row>
    <row r="11" spans="1:5" x14ac:dyDescent="0.4">
      <c r="A11" t="str">
        <f>HLOOKUP($B$1,Tbl_Language[#All],MATCH("Final Result",Tbl_Language[English],0)+1,FALSE)</f>
        <v>最終遺物結果</v>
      </c>
      <c r="B11" t="s">
        <v>1990</v>
      </c>
      <c r="C11" t="str">
        <f>HLOOKUP($B$1,Tbl_Language[#All],MATCH("Name And Description",Tbl_Language[English],0)+1,FALSE)</f>
        <v>名稱/敘述</v>
      </c>
    </row>
    <row r="12" spans="1:5" x14ac:dyDescent="0.4">
      <c r="A12" t="str">
        <f>HLOOKUP($B$1,Tbl_Language[#All],MATCH("Relic",Tbl_Language[English],0)+1,FALSE)</f>
        <v>遺物</v>
      </c>
      <c r="B12" t="str" cm="1">
        <f t="array" ref="B12">IF(B2&lt;&gt;"",_xlfn.CHOOSECOLS(_xlfn.TEXTSPLIT(B2,"-"),1),"")</f>
        <v>229</v>
      </c>
      <c r="C12" t="str">
        <f>IF(B12&lt;&gt;"",VLOOKUP(B12+0,ItemText[],IFERROR(MATCH($B$1,ItemText[#Headers],0),2),FALSE),"")</f>
        <v>遼闊的幽靜情景</v>
      </c>
    </row>
    <row r="13" spans="1:5" x14ac:dyDescent="0.4">
      <c r="A13" t="str">
        <f>HLOOKUP($B$1,Tbl_Language[#All],MATCH("AttachEffect 1",Tbl_Language[English],0)+1,FALSE)</f>
        <v>效果1</v>
      </c>
      <c r="B13" t="str" cm="1">
        <f t="array" ref="B13:B15">_xlfn.SORTBY(D3:D5,E3:E5,1,D3:D5,1)</f>
        <v>7342400</v>
      </c>
      <c r="C13" t="str">
        <f>IF(B13&lt;&gt;EmptyID,VLOOKUP(VLOOKUP(B13+0,Tbl_Effect[],3,FALSE),EffectName[],IFERROR(MATCH($B$1,EffectName[#Headers],0),2),FALSE),"")</f>
        <v>以弓攻擊時，恢復ＨＰ</v>
      </c>
    </row>
    <row r="14" spans="1:5" x14ac:dyDescent="0.4">
      <c r="A14" t="str">
        <f>HLOOKUP($B$1,Tbl_Language[#All],MATCH("AttachEffect 2",Tbl_Language[English],0)+1,FALSE)</f>
        <v>效果2</v>
      </c>
      <c r="B14" t="str">
        <v>7000202</v>
      </c>
      <c r="C14" t="str">
        <f>IF(B14&lt;&gt;EmptyID,VLOOKUP(VLOOKUP(B14+0,Tbl_Effect[],3,FALSE),EffectName[],IFERROR(MATCH($B$1,EffectName[#Headers],0),2),FALSE),"")</f>
        <v>耐力＋３</v>
      </c>
    </row>
    <row r="15" spans="1:5" x14ac:dyDescent="0.4">
      <c r="A15" t="str">
        <f>HLOOKUP($B$1,Tbl_Language[#All],MATCH("AttachEffect 3",Tbl_Language[English],0)+1,FALSE)</f>
        <v>效果3</v>
      </c>
      <c r="B15" t="str">
        <v>7000802</v>
      </c>
      <c r="C15" t="str">
        <f>IF(B15&lt;&gt;EmptyID,VLOOKUP(VLOOKUP(B15+0,Tbl_Effect[],3,FALSE),EffectName[],IFERROR(MATCH($B$1,EffectName[#Headers],0),2),FALSE),"")</f>
        <v>縮短技藝的冷卻時間＋３</v>
      </c>
    </row>
    <row r="16" spans="1:5" x14ac:dyDescent="0.4">
      <c r="A16" t="str">
        <f>HLOOKUP($B$1,Tbl_Language[#All],MATCH("CurseEffect 1",Tbl_Language[English],0)+1,FALSE)</f>
        <v>負面1</v>
      </c>
      <c r="B16" cm="1">
        <f t="array" ref="B16:B18">_xlfn.SORTBY(D6:D8,E3:E5,1,D3:D5,1)</f>
        <v>4294967295</v>
      </c>
      <c r="C16" t="str">
        <f>IF(B16&lt;&gt;EmptyID,VLOOKUP(VLOOKUP(B16+0,Tbl_Effect[],3,FALSE),EffectName[],IFERROR(MATCH($B$1,EffectName[#Headers],0),2),FALSE),"")</f>
        <v/>
      </c>
    </row>
    <row r="17" spans="1:3" x14ac:dyDescent="0.4">
      <c r="A17" t="str">
        <f>HLOOKUP($B$1,Tbl_Language[#All],MATCH("CurseEffect 2",Tbl_Language[English],0)+1,FALSE)</f>
        <v>負面2</v>
      </c>
      <c r="B17">
        <v>4294967295</v>
      </c>
      <c r="C17" t="str">
        <f>IF(B17&lt;&gt;EmptyID,VLOOKUP(VLOOKUP(B17+0,Tbl_Effect[],3,FALSE),EffectName[],IFERROR(MATCH($B$1,EffectName[#Headers],0),2),FALSE),"")</f>
        <v/>
      </c>
    </row>
    <row r="18" spans="1:3" x14ac:dyDescent="0.4">
      <c r="A18" t="str">
        <f>HLOOKUP($B$1,Tbl_Language[#All],MATCH("CurseEffect 3",Tbl_Language[English],0)+1,FALSE)</f>
        <v>負面3</v>
      </c>
      <c r="B18">
        <v>4294967295</v>
      </c>
      <c r="C18" t="str">
        <f>IF(B18&lt;&gt;EmptyID,VLOOKUP(VLOOKUP(B18+0,Tbl_Effect[],3,FALSE),EffectName[],IFERROR(MATCH($B$1,EffectName[#Headers],0),2),FALSE),"")</f>
        <v/>
      </c>
    </row>
  </sheetData>
  <protectedRanges>
    <protectedRange sqref="B1:B8" name="範圍1"/>
  </protectedRanges>
  <phoneticPr fontId="1" type="noConversion"/>
  <conditionalFormatting sqref="B3">
    <cfRule type="expression" dxfId="5" priority="6">
      <formula>COUNTIF(EffectPool1, B3)=0</formula>
    </cfRule>
  </conditionalFormatting>
  <conditionalFormatting sqref="B4">
    <cfRule type="expression" dxfId="4" priority="5">
      <formula>COUNTIF(EffectPool2, B4)=0</formula>
    </cfRule>
  </conditionalFormatting>
  <conditionalFormatting sqref="B5">
    <cfRule type="expression" dxfId="3" priority="4">
      <formula>COUNTIF(EffectPool3, B5)=0</formula>
    </cfRule>
  </conditionalFormatting>
  <conditionalFormatting sqref="B6">
    <cfRule type="expression" dxfId="2" priority="3">
      <formula>COUNTIF(CursePool1, B6)=0</formula>
    </cfRule>
  </conditionalFormatting>
  <conditionalFormatting sqref="B7">
    <cfRule type="expression" dxfId="1" priority="2">
      <formula>COUNTIF(CursePool2, B7)=0</formula>
    </cfRule>
  </conditionalFormatting>
  <conditionalFormatting sqref="B8">
    <cfRule type="expression" dxfId="0" priority="1">
      <formula>COUNTIF(CursePool3, B8)=0</formula>
    </cfRule>
  </conditionalFormatting>
  <dataValidations count="5">
    <dataValidation type="list" allowBlank="1" showInputMessage="1" showErrorMessage="1" sqref="B1:C1 D2" xr:uid="{45EF5012-57E5-4659-B5DE-A63127760856}">
      <formula1>LanguageList</formula1>
    </dataValidation>
    <dataValidation type="list" allowBlank="1" showInputMessage="1" showErrorMessage="1" sqref="B3" xr:uid="{E844936E-1139-4EA3-81CB-CE2ADB4D3575}">
      <formula1>EffectPool1</formula1>
    </dataValidation>
    <dataValidation type="list" allowBlank="1" showInputMessage="1" showErrorMessage="1" sqref="B4" xr:uid="{CEA66551-8054-4D22-B5DA-55CD45B3CC6A}">
      <formula1>EffectPool2</formula1>
    </dataValidation>
    <dataValidation type="list" allowBlank="1" showInputMessage="1" showErrorMessage="1" sqref="B5" xr:uid="{FA430031-6657-460C-BAAE-8582CCD303B4}">
      <formula1>EffectPool3</formula1>
    </dataValidation>
    <dataValidation type="list" allowBlank="1" showInputMessage="1" showErrorMessage="1" sqref="B6" xr:uid="{214039B5-3558-47D9-A686-977050C90CF7}">
      <formula1>CursePool1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5050CF-3177-4C62-A27A-4248991CCAD0}">
          <x14:formula1>
            <xm:f>'Relic Cacul Temp'!$H:$H</xm:f>
          </x14:formula1>
          <xm:sqref>B2 D2</xm:sqref>
        </x14:dataValidation>
        <x14:dataValidation type="list" allowBlank="1" showInputMessage="1" showErrorMessage="1" xr:uid="{BD851A7A-02FF-4A42-8FBB-2C5964DCF13D}">
          <x14:formula1>
            <xm:f>'Relic Cacul Temp'!$X:$X</xm:f>
          </x14:formula1>
          <xm:sqref>B7</xm:sqref>
        </x14:dataValidation>
        <x14:dataValidation type="list" allowBlank="1" showInputMessage="1" showErrorMessage="1" xr:uid="{C7EFCA08-F7DC-4933-AE78-433C24205A75}">
          <x14:formula1>
            <xm:f>'Relic Cacul Temp'!$AA:$AA</xm:f>
          </x14:formula1>
          <xm:sqref>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37D1-BE00-47EE-BD5B-A13E74CD867F}">
  <dimension ref="A1:C11"/>
  <sheetViews>
    <sheetView workbookViewId="0">
      <selection activeCell="C2" sqref="C2:C11"/>
    </sheetView>
  </sheetViews>
  <sheetFormatPr defaultRowHeight="17" x14ac:dyDescent="0.4"/>
  <cols>
    <col min="1" max="1" width="21.6328125" bestFit="1" customWidth="1"/>
    <col min="2" max="2" width="16.81640625" customWidth="1"/>
    <col min="3" max="3" width="18" customWidth="1"/>
  </cols>
  <sheetData>
    <row r="1" spans="1:3" x14ac:dyDescent="0.4">
      <c r="A1" t="s">
        <v>1003</v>
      </c>
      <c r="B1" t="s">
        <v>1005</v>
      </c>
      <c r="C1" t="s">
        <v>1986</v>
      </c>
    </row>
    <row r="2" spans="1:3" x14ac:dyDescent="0.4">
      <c r="A2" t="s">
        <v>39</v>
      </c>
      <c r="B2" t="s">
        <v>120</v>
      </c>
      <c r="C2" t="s">
        <v>1012</v>
      </c>
    </row>
    <row r="3" spans="1:3" x14ac:dyDescent="0.4">
      <c r="A3" t="s">
        <v>1006</v>
      </c>
      <c r="B3" t="s">
        <v>121</v>
      </c>
      <c r="C3" t="s">
        <v>121</v>
      </c>
    </row>
    <row r="4" spans="1:3" x14ac:dyDescent="0.4">
      <c r="A4" t="s">
        <v>1007</v>
      </c>
      <c r="B4" t="s">
        <v>122</v>
      </c>
      <c r="C4" t="s">
        <v>122</v>
      </c>
    </row>
    <row r="5" spans="1:3" x14ac:dyDescent="0.4">
      <c r="A5" t="s">
        <v>1008</v>
      </c>
      <c r="B5" t="s">
        <v>123</v>
      </c>
      <c r="C5" t="s">
        <v>123</v>
      </c>
    </row>
    <row r="6" spans="1:3" x14ac:dyDescent="0.4">
      <c r="A6" t="s">
        <v>1009</v>
      </c>
      <c r="B6" t="s">
        <v>124</v>
      </c>
      <c r="C6" t="s">
        <v>1013</v>
      </c>
    </row>
    <row r="7" spans="1:3" x14ac:dyDescent="0.4">
      <c r="A7" t="s">
        <v>1010</v>
      </c>
      <c r="B7" t="s">
        <v>125</v>
      </c>
      <c r="C7" t="s">
        <v>1014</v>
      </c>
    </row>
    <row r="8" spans="1:3" x14ac:dyDescent="0.4">
      <c r="A8" t="s">
        <v>1011</v>
      </c>
      <c r="B8" t="s">
        <v>126</v>
      </c>
      <c r="C8" t="s">
        <v>1015</v>
      </c>
    </row>
    <row r="9" spans="1:3" x14ac:dyDescent="0.4">
      <c r="A9" t="s">
        <v>1017</v>
      </c>
      <c r="B9" t="s">
        <v>1016</v>
      </c>
      <c r="C9" t="s">
        <v>1018</v>
      </c>
    </row>
    <row r="10" spans="1:3" x14ac:dyDescent="0.4">
      <c r="A10" t="s">
        <v>1983</v>
      </c>
      <c r="B10" t="s">
        <v>1984</v>
      </c>
      <c r="C10" t="s">
        <v>1985</v>
      </c>
    </row>
    <row r="11" spans="1:3" x14ac:dyDescent="0.4">
      <c r="A11" t="s">
        <v>1987</v>
      </c>
      <c r="B11" t="s">
        <v>1988</v>
      </c>
      <c r="C11" t="s">
        <v>1989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C049-60E4-43B7-8DB5-E7AB0B2FC765}">
  <dimension ref="A1:AJ2001"/>
  <sheetViews>
    <sheetView topLeftCell="M1" workbookViewId="0">
      <selection activeCell="AE2" sqref="AE2"/>
    </sheetView>
  </sheetViews>
  <sheetFormatPr defaultRowHeight="17" x14ac:dyDescent="0.4"/>
  <cols>
    <col min="2" max="2" width="12.36328125" customWidth="1"/>
    <col min="3" max="3" width="14.54296875" customWidth="1"/>
    <col min="4" max="4" width="13.1796875" customWidth="1"/>
    <col min="8" max="8" width="31.08984375" bestFit="1" customWidth="1"/>
    <col min="9" max="11" width="8.90625" customWidth="1"/>
    <col min="12" max="12" width="31.54296875" customWidth="1"/>
    <col min="13" max="13" width="13.81640625" customWidth="1"/>
    <col min="14" max="14" width="14.6328125" customWidth="1"/>
    <col min="15" max="15" width="22.08984375" customWidth="1"/>
    <col min="16" max="16" width="8.90625" customWidth="1"/>
    <col min="17" max="17" width="22.90625" customWidth="1"/>
    <col min="18" max="18" width="25.1796875" customWidth="1"/>
    <col min="19" max="20" width="8.90625" customWidth="1"/>
    <col min="21" max="21" width="23.81640625" customWidth="1"/>
    <col min="22" max="22" width="8.90625" customWidth="1"/>
    <col min="23" max="23" width="14.36328125" customWidth="1"/>
    <col min="24" max="24" width="23.90625" customWidth="1"/>
    <col min="25" max="26" width="8.90625" customWidth="1"/>
    <col min="27" max="27" width="22.1796875" customWidth="1"/>
    <col min="28" max="29" width="8.90625" customWidth="1"/>
    <col min="32" max="32" width="9.453125" customWidth="1"/>
    <col min="34" max="34" width="9.1796875" bestFit="1" customWidth="1"/>
    <col min="42" max="42" width="8.54296875" bestFit="1" customWidth="1"/>
  </cols>
  <sheetData>
    <row r="1" spans="1:36" x14ac:dyDescent="0.4">
      <c r="A1" t="s">
        <v>13</v>
      </c>
      <c r="B1">
        <f>VLOOKUP(UI!B2,$H2:$K2000,2,FALSE)</f>
        <v>229</v>
      </c>
      <c r="H1" t="s">
        <v>39</v>
      </c>
      <c r="I1" t="s">
        <v>13</v>
      </c>
      <c r="J1" t="s">
        <v>2014</v>
      </c>
      <c r="K1" t="s">
        <v>38</v>
      </c>
      <c r="L1" t="s">
        <v>22</v>
      </c>
      <c r="M1" t="s">
        <v>27</v>
      </c>
      <c r="N1" t="s">
        <v>32</v>
      </c>
      <c r="O1" t="s">
        <v>127</v>
      </c>
      <c r="P1" t="s">
        <v>26</v>
      </c>
      <c r="Q1" t="s">
        <v>33</v>
      </c>
      <c r="R1" t="s">
        <v>128</v>
      </c>
      <c r="S1" t="s">
        <v>28</v>
      </c>
      <c r="T1" t="s">
        <v>34</v>
      </c>
      <c r="U1" t="s">
        <v>23</v>
      </c>
      <c r="V1" t="s">
        <v>29</v>
      </c>
      <c r="W1" t="s">
        <v>35</v>
      </c>
      <c r="X1" t="s">
        <v>24</v>
      </c>
      <c r="Y1" t="s">
        <v>30</v>
      </c>
      <c r="Z1" t="s">
        <v>36</v>
      </c>
      <c r="AA1" t="s">
        <v>25</v>
      </c>
      <c r="AB1" t="s">
        <v>31</v>
      </c>
      <c r="AC1" t="s">
        <v>37</v>
      </c>
      <c r="AE1" t="s">
        <v>1992</v>
      </c>
      <c r="AF1" t="s">
        <v>1993</v>
      </c>
      <c r="AG1" t="s">
        <v>1994</v>
      </c>
      <c r="AH1" t="s">
        <v>1995</v>
      </c>
      <c r="AI1" t="s">
        <v>1996</v>
      </c>
      <c r="AJ1" t="s">
        <v>1997</v>
      </c>
    </row>
    <row r="2" spans="1:36" ht="15.5" customHeight="1" x14ac:dyDescent="0.4"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tr">
        <f>IF(VALUE(I2)&lt;&gt;0,I2&amp;"-"&amp;K2&amp;" ("&amp;J2&amp;")","")</f>
        <v>1-%null% (紅)</v>
      </c>
      <c r="I2" cm="1">
        <f t="array" ref="I2:I2001">_xlfn.EXPAND(Tbl_Equip[ID],2000,,0)</f>
        <v>1</v>
      </c>
      <c r="J2" t="str">
        <f>_xlfn.IFNA(IF(I2&lt;&gt;0,VLOOKUP(VLOOKUP(I2,Tbl_Equip[],2,FALSE),Tbl_Color[],IFERROR(MATCH(UI!$B$1,Tbl_Color[#Headers],0),2),FALSE),""),"Unset")</f>
        <v>紅</v>
      </c>
      <c r="K2" t="str">
        <f>_xlfn.IFNA(IF(I2&lt;&gt;0,VLOOKUP(I2,ItemText[],IFERROR(MATCH(UI!$B$1,ItemText[#Headers],0),2),FALSE),""),"Unset")</f>
        <v>%null%</v>
      </c>
      <c r="L2" t="str">
        <f>IF(VALUE(M2)=0,"",M2&amp;"-"&amp;N2)</f>
        <v>7000000-生命力＋１</v>
      </c>
      <c r="M2" cm="1">
        <f t="array" ref="M2:M2001">_xlfn.EXPAND(IF(B3=-1,0,_xlfn.ANCHORARRAY(AE2)),2000,,0)</f>
        <v>7000000</v>
      </c>
      <c r="N2" t="str">
        <f>IF(VALUE(M2)=0,"",VLOOKUP(VLOOKUP(M2,Tbl_Effect[],3,FALSE),EffectName[],IFERROR(MATCH(UI!$B$1,EffectName[#Headers],0),2),FALSE))</f>
        <v>生命力＋１</v>
      </c>
      <c r="O2" t="str">
        <f>IF(VALUE(P2)=0,"",P2&amp;"-"&amp;Q2)</f>
        <v>7000000-生命力＋１</v>
      </c>
      <c r="P2" cm="1">
        <f t="array" ref="P2:P2001">_xlfn.EXPAND(IF(C3=-1,0,_xlfn.ANCHORARRAY(AF2)),2000,,0)</f>
        <v>7000000</v>
      </c>
      <c r="Q2" t="str">
        <f>IF(VALUE(P2)=0,"",VLOOKUP(VLOOKUP(P2,Tbl_Effect[],3,FALSE),EffectName[],IFERROR(MATCH(UI!$B$1,EffectName[#Headers],0),2),FALSE))</f>
        <v>生命力＋１</v>
      </c>
      <c r="R2" t="str">
        <f>IF(VALUE(S2)=0,"",S2&amp;"-"&amp;T2)</f>
        <v>7000000-生命力＋１</v>
      </c>
      <c r="S2" cm="1">
        <f t="array" ref="S2:S2001">_xlfn.EXPAND(IF(D3=-1,0,_xlfn.ANCHORARRAY(AG2)),2000,,0)</f>
        <v>7000000</v>
      </c>
      <c r="T2" t="str">
        <f>IF(VALUE(S2)=0,"",VLOOKUP(VLOOKUP(S2,Tbl_Effect[],3,FALSE),EffectName[],IFERROR(MATCH(UI!$B$1,EffectName[#Headers],0),2),FALSE))</f>
        <v>生命力＋１</v>
      </c>
      <c r="U2" t="str">
        <f>IF(VALUE(V2)=0,"",V2&amp;"-"&amp;W2)</f>
        <v/>
      </c>
      <c r="V2" cm="1">
        <f t="array" ref="V2:V2001">_xlfn.EXPAND(IF(E3=-1,0,_xlfn.ANCHORARRAY(AH2)),2000,,0)</f>
        <v>0</v>
      </c>
      <c r="W2" t="str">
        <f>IF(V2&lt;&gt;0,VLOOKUP(VLOOKUP(V2,Tbl_Effect[],3,FALSE),EffectName[],IFERROR(MATCH(UI!$B$1,EffectName[#Headers],0),2),FALSE),"")</f>
        <v/>
      </c>
      <c r="X2" t="str">
        <f>IF(VALUE(Y2)=0,"",Y2&amp;"-"&amp;Z2)</f>
        <v/>
      </c>
      <c r="Y2" cm="1">
        <f t="array" ref="Y2:Y2001">_xlfn.EXPAND(IF(F3=-1,0,_xlfn.ANCHORARRAY(AI2)),2000,,0)</f>
        <v>0</v>
      </c>
      <c r="Z2" t="str">
        <f>IF(Y2&lt;&gt;0,VLOOKUP(VLOOKUP(Y2,Tbl_Effect[],3,FALSE),EffectName[],IFERROR(MATCH(UI!$B$1,EffectName[#Headers],0),2),FALSE),"")</f>
        <v/>
      </c>
      <c r="AA2" t="str">
        <f>IF(VALUE(AB2)=0,"",AB2&amp;"-"&amp;AC2)</f>
        <v/>
      </c>
      <c r="AB2" cm="1">
        <f t="array" ref="AB2:AB2001">_xlfn.EXPAND(IF(G3=-1,0,_xlfn.ANCHORARRAY(AJ2)),2000,,0)</f>
        <v>0</v>
      </c>
      <c r="AC2" t="str">
        <f>IF(AB2&lt;&gt;0,VLOOKUP(VLOOKUP(AB2,Tbl_Effect[],3,FALSE),EffectName[],IFERROR(MATCH(UI!$B$1,EffectName[#Headers],0),2),FALSE),"")</f>
        <v/>
      </c>
      <c r="AE2" cm="1">
        <f t="array" ref="AE2:AE362">_xlfn._xlws.FILTER(Tbl_Pool[attachEffectId], Tbl_Pool[ID] = B3)</f>
        <v>7000000</v>
      </c>
      <c r="AF2" cm="1">
        <f t="array" ref="AF2:AF362">_xlfn.LET(
    _xlpm.CurrentPool, C3,
    _xlpm.Selected1, B4,
    _xlpm.Conflict1, IF(_xlpm.Selected1="", "###", _xlfn.XLOOKUP(_xlpm.Selected1, Tbl_Effect[欄1], Tbl_Effect[compatibilityId], "###")),
    _xlpm.PoolEffects, _xlfn._xlws.FILTER(Tbl_Pool[attachEffectId], Tbl_Pool[ID] = _xlpm.CurrentPool, "無符合效果"),
    IF(ISERROR(_xlpm.PoolEffects), "請先完成前置選擇",
        _xlfn._xlws.FILTER(_xlpm.PoolEffects,
            (_xlpm.PoolEffects &lt;&gt; _xlpm.Selected1) * (
                (_xlpm.Conflict1 = -1) +
                (_xlfn.XLOOKUP(_xlpm.PoolEffects, Tbl_Effect[欄1], Tbl_Effect[compatibilityId], "") &lt;&gt; _xlpm.Conflict1)
            )
        )
    )
)</f>
        <v>7000000</v>
      </c>
      <c r="AG2" cm="1">
        <f t="array" ref="AG2:AG362">_xlfn.LET(
    _xlpm.CurrentPool, D3,
    _xlpm.Selected1, B4,
    _xlpm.Selected2, C4,
    _xlpm.Conflict1, IF(_xlpm.Selected1="", "###", _xlfn.XLOOKUP(_xlpm.Selected1, Tbl_Effect[欄1], Tbl_Effect[compatibilityId], "###")),
    _xlpm.Conflict2, IF(_xlpm.Selected2="", "###", _xlfn.XLOOKUP(_xlpm.Selected2, Tbl_Effect[欄1], Tbl_Effect[compatibilityId], "###")),
    _xlpm.PoolEffects, _xlfn._xlws.FILTER(Tbl_Pool[attachEffectId], Tbl_Pool[ID] = _xlpm.CurrentPool, "無符合效果"),
    IF(ISERROR(_xlpm.PoolEffects), "請先完成前置選擇",
        _xlfn._xlws.FILTER(_xlpm.PoolEffects,
            (_xlpm.PoolEffects &lt;&gt; _xlpm.Selected1) * (_xlpm.PoolEffects &lt;&gt; _xlpm.Selected2) * ((_xlpm.Conflict1 = -1) + (_xlfn.XLOOKUP(_xlpm.PoolEffects, Tbl_Effect[欄1], Tbl_Effect[compatibilityId], "") &lt;&gt; _xlpm.Conflict1)) * ((_xlpm.Conflict2 = -1) + (_xlfn.XLOOKUP(_xlpm.PoolEffects, Tbl_Effect[欄1], Tbl_Effect[compatibilityId], "") &lt;&gt; _xlpm.Conflict2))
        )
    )
)</f>
        <v>7000000</v>
      </c>
      <c r="AH2" t="str" cm="1">
        <f t="array" ref="AH2">IF(E3&lt;&gt;-1,_xlfn._xlws.FILTER(Tbl_Pool[attachEffectId], Tbl_Pool[ID] = E3),"無符合效果")</f>
        <v>無符合效果</v>
      </c>
      <c r="AI2" s="5" t="str" cm="1">
        <f t="array" ref="AI2">_xlfn.LET(
    _xlpm.CurrentPool, F3,
    _xlpm.CurseSelected1, E4,
    _xlpm.CurseConflict1, IF(_xlpm.CurseSelected1="", "###", _xlfn.XLOOKUP(_xlpm.CurseSelected1, Tbl_Effect[欄1], Tbl_Effect[compatibilityId], "###")),
    _xlpm.PoolEffects, _xlfn._xlws.FILTER(Tbl_Pool[attachEffectId], Tbl_Pool[ID] = _xlpm.CurrentPool, "無符合效果"),
    IF(ISERROR(_xlpm.PoolEffects), "請先完成前置選擇",
        _xlfn._xlws.FILTER(_xlpm.PoolEffects,
            (_xlpm.PoolEffects &lt;&gt; _xlpm.CurseSelected1) * ((_xlpm.CurseConflict1 = -1) + (_xlfn.XLOOKUP(_xlpm.PoolEffects, Tbl_Effect[欄1], Tbl_Effect[compatibilityId], "") &lt;&gt; _xlpm.CurseConflict1))
        )
    )
)</f>
        <v>無符合效果</v>
      </c>
      <c r="AJ2" t="str" cm="1">
        <f t="array" ref="AJ2">_xlfn.LET( _xlpm.CurrentPool, G3, _xlpm.CurseSelected1, E4, _xlpm.CurseSelected2, F4, _xlpm.CurseConflict1, IF(_xlpm.CurseSelected1="", "###", _xlfn.XLOOKUP(_xlpm.CurseSelected1, Tbl_Effect[欄1], Tbl_Effect[compatibilityId], "###")), _xlpm.CurseConflict2, IF(_xlpm.CurseSelected2="", "###", _xlfn.XLOOKUP(_xlpm.CurseSelected2, Tbl_Effect[欄1], Tbl_Effect[compatibilityId], "###")), _xlpm.PoolEffects, _xlfn._xlws.FILTER(Tbl_Pool[attachEffectId], Tbl_Pool[ID] = _xlpm.CurrentPool, "無符合效果"), IF(ISERROR(_xlpm.PoolEffects), "請先完成前置選擇", _xlfn._xlws.FILTER(_xlpm.PoolEffects, (_xlpm.PoolEffects &lt;&gt; _xlpm.CurseSelected1) * (_xlpm.PoolEffects &lt;&gt; _xlpm.CurseSelected2) * (_xlfn.XLOOKUP(_xlpm.PoolEffects, Tbl_Effect[欄1], Tbl_Effect[compatibilityId], "") &lt;&gt; _xlpm.CurseConflict1) * (_xlfn.XLOOKUP(_xlpm.PoolEffects, Tbl_Effect[欄1], Tbl_Effect[compatibilityId], "") &lt;&gt; _xlpm.CurseConflict2) ) ) )</f>
        <v>無符合效果</v>
      </c>
    </row>
    <row r="3" spans="1:36" x14ac:dyDescent="0.4">
      <c r="A3" t="s">
        <v>14</v>
      </c>
      <c r="B3">
        <f>_xlfn.XLOOKUP($B$1, Tbl_Equip[ID], Tbl_Equip[attachEffectTableId_1])</f>
        <v>310</v>
      </c>
      <c r="C3">
        <f>_xlfn.XLOOKUP($B$1, Tbl_Equip[ID], Tbl_Equip[attachEffectTableId_2])</f>
        <v>210</v>
      </c>
      <c r="D3">
        <f>_xlfn.XLOOKUP($B$1, Tbl_Equip[ID], Tbl_Equip[attachEffectTableId_3])</f>
        <v>110</v>
      </c>
      <c r="E3">
        <f>_xlfn.XLOOKUP($B$1, Tbl_Equip[ID], Tbl_Equip[attachEffectTableId_curse1])</f>
        <v>-1</v>
      </c>
      <c r="F3">
        <f>_xlfn.XLOOKUP($B$1, Tbl_Equip[ID], Tbl_Equip[attachEffectTableId_curse2])</f>
        <v>-1</v>
      </c>
      <c r="G3">
        <f>_xlfn.XLOOKUP($B$1, Tbl_Equip[ID], Tbl_Equip[attachEffectTableId_curse3])</f>
        <v>-1</v>
      </c>
      <c r="H3" t="str">
        <f t="shared" ref="H3:H66" si="0">IF(VALUE(I3)&lt;&gt;0,I3&amp;"-"&amp;K3&amp;" ("&amp;J3&amp;")","")</f>
        <v>2-%null% (紅)</v>
      </c>
      <c r="I3">
        <v>2</v>
      </c>
      <c r="J3" t="str">
        <f>_xlfn.IFNA(IF(I3&lt;&gt;0,VLOOKUP(VLOOKUP(I3,Tbl_Equip[],2,FALSE),Tbl_Color[],IFERROR(MATCH(UI!$B$1,Tbl_Color[#Headers],0),2),FALSE),""),"Unset")</f>
        <v>紅</v>
      </c>
      <c r="K3" t="str">
        <f>_xlfn.IFNA(IF(I3&lt;&gt;0,VLOOKUP(I3,ItemText[],IFERROR(MATCH(UI!$B$1,ItemText[#Headers],0),2),FALSE),""),"Unset")</f>
        <v>%null%</v>
      </c>
      <c r="L3" t="str">
        <f t="shared" ref="L3:L66" si="1">IF(VALUE(M3)=0,"",M3&amp;"-"&amp;N3)</f>
        <v>7000001-生命力＋２</v>
      </c>
      <c r="M3">
        <v>7000001</v>
      </c>
      <c r="N3" t="str">
        <f>IF(VALUE(M3)=0,"",VLOOKUP(VLOOKUP(M3,Tbl_Effect[],3,FALSE),EffectName[],IFERROR(MATCH(UI!$B$1,EffectName[#Headers],0),2),FALSE))</f>
        <v>生命力＋２</v>
      </c>
      <c r="O3" t="str">
        <f t="shared" ref="O3:O66" si="2">IF(VALUE(P3)=0,"",P3&amp;"-"&amp;Q3)</f>
        <v>7000001-生命力＋２</v>
      </c>
      <c r="P3">
        <v>7000001</v>
      </c>
      <c r="Q3" t="str">
        <f>IF(VALUE(P3)=0,"",VLOOKUP(VLOOKUP(P3,Tbl_Effect[],3,FALSE),EffectName[],IFERROR(MATCH(UI!$B$1,EffectName[#Headers],0),2),FALSE))</f>
        <v>生命力＋２</v>
      </c>
      <c r="R3" t="str">
        <f t="shared" ref="R3:R66" si="3">IF(VALUE(S3)=0,"",S3&amp;"-"&amp;T3)</f>
        <v>7000001-生命力＋２</v>
      </c>
      <c r="S3">
        <v>7000001</v>
      </c>
      <c r="T3" t="str">
        <f>IF(VALUE(S3)=0,"",VLOOKUP(VLOOKUP(S3,Tbl_Effect[],3,FALSE),EffectName[],IFERROR(MATCH(UI!$B$1,EffectName[#Headers],0),2),FALSE))</f>
        <v>生命力＋２</v>
      </c>
      <c r="U3" t="str">
        <f t="shared" ref="U3:U66" si="4">IF(VALUE(V3)=0,"",V3&amp;"-"&amp;W3)</f>
        <v/>
      </c>
      <c r="V3">
        <v>0</v>
      </c>
      <c r="W3" t="str">
        <f>IF(V3&lt;&gt;0,VLOOKUP(VLOOKUP(V3,Tbl_Effect[],3,FALSE),EffectName[],IFERROR(MATCH(UI!$B$1,EffectName[#Headers],0),2),FALSE),"")</f>
        <v/>
      </c>
      <c r="X3" t="str">
        <f t="shared" ref="X3:X66" si="5">IF(VALUE(Y3)=0,"",Y3&amp;"-"&amp;Z3)</f>
        <v/>
      </c>
      <c r="Y3">
        <v>0</v>
      </c>
      <c r="Z3" t="str">
        <f>IF(Y3&lt;&gt;0,VLOOKUP(VLOOKUP(Y3,Tbl_Effect[],3,FALSE),EffectName[],IFERROR(MATCH(UI!$B$1,EffectName[#Headers],0),2),FALSE),"")</f>
        <v/>
      </c>
      <c r="AA3" t="str">
        <f t="shared" ref="AA3:AA66" si="6">IF(VALUE(AB3)=0,"",AB3&amp;"-"&amp;AC3)</f>
        <v/>
      </c>
      <c r="AB3">
        <v>0</v>
      </c>
      <c r="AC3" t="str">
        <f>IF(AB3&lt;&gt;0,VLOOKUP(VLOOKUP(AB3,Tbl_Effect[],3,FALSE),EffectName[],IFERROR(MATCH(UI!$B$1,EffectName[#Headers],0),2),FALSE),"")</f>
        <v/>
      </c>
      <c r="AE3">
        <v>7000001</v>
      </c>
      <c r="AF3">
        <v>7000001</v>
      </c>
      <c r="AG3">
        <v>7000001</v>
      </c>
    </row>
    <row r="4" spans="1:36" x14ac:dyDescent="0.4">
      <c r="A4" t="s">
        <v>15</v>
      </c>
      <c r="B4">
        <f>IF(B3&lt;&gt;-1,VLOOKUP(UI!B3,L2:N2000,2,FALSE),"")</f>
        <v>7000202</v>
      </c>
      <c r="C4">
        <f>IF(C3&lt;&gt;-1,VLOOKUP(UI!B4,O2:Q2000,2,FALSE),"")</f>
        <v>7342400</v>
      </c>
      <c r="D4">
        <f>IF(D3&lt;&gt;-1,VLOOKUP(UI!B5,R2:T2000,2,FALSE),"")</f>
        <v>7000802</v>
      </c>
      <c r="E4" t="str">
        <f>IF(E3&lt;&gt;-1,VLOOKUP(UI!B6,U2:W2000,2,FALSE),"")</f>
        <v/>
      </c>
      <c r="F4" t="str">
        <f>IF(F3&lt;&gt;-1,VLOOKUP(UI!B7,X2:Z2000,2,FALSE),"")</f>
        <v/>
      </c>
      <c r="G4" t="str">
        <f>IF(G3&lt;&gt;-1,VLOOKUP(UI!B8,AA2:AC2000,2,FALSE),"")</f>
        <v/>
      </c>
      <c r="H4" t="str">
        <f t="shared" si="0"/>
        <v>3-%null% (紅)</v>
      </c>
      <c r="I4">
        <v>3</v>
      </c>
      <c r="J4" t="str">
        <f>_xlfn.IFNA(IF(I4&lt;&gt;0,VLOOKUP(VLOOKUP(I4,Tbl_Equip[],2,FALSE),Tbl_Color[],IFERROR(MATCH(UI!$B$1,Tbl_Color[#Headers],0),2),FALSE),""),"Unset")</f>
        <v>紅</v>
      </c>
      <c r="K4" t="str">
        <f>_xlfn.IFNA(IF(I4&lt;&gt;0,VLOOKUP(I4,ItemText[],IFERROR(MATCH(UI!$B$1,ItemText[#Headers],0),2),FALSE),""),"Unset")</f>
        <v>%null%</v>
      </c>
      <c r="L4" t="str">
        <f t="shared" si="1"/>
        <v>7000002-生命力＋３</v>
      </c>
      <c r="M4">
        <v>7000002</v>
      </c>
      <c r="N4" t="str">
        <f>IF(VALUE(M4)=0,"",VLOOKUP(VLOOKUP(M4,Tbl_Effect[],3,FALSE),EffectName[],IFERROR(MATCH(UI!$B$1,EffectName[#Headers],0),2),FALSE))</f>
        <v>生命力＋３</v>
      </c>
      <c r="O4" t="str">
        <f t="shared" si="2"/>
        <v>7000002-生命力＋３</v>
      </c>
      <c r="P4">
        <v>7000002</v>
      </c>
      <c r="Q4" t="str">
        <f>IF(VALUE(P4)=0,"",VLOOKUP(VLOOKUP(P4,Tbl_Effect[],3,FALSE),EffectName[],IFERROR(MATCH(UI!$B$1,EffectName[#Headers],0),2),FALSE))</f>
        <v>生命力＋３</v>
      </c>
      <c r="R4" t="str">
        <f t="shared" si="3"/>
        <v>7000002-生命力＋３</v>
      </c>
      <c r="S4">
        <v>7000002</v>
      </c>
      <c r="T4" t="str">
        <f>IF(VALUE(S4)=0,"",VLOOKUP(VLOOKUP(S4,Tbl_Effect[],3,FALSE),EffectName[],IFERROR(MATCH(UI!$B$1,EffectName[#Headers],0),2),FALSE))</f>
        <v>生命力＋３</v>
      </c>
      <c r="U4" t="str">
        <f t="shared" si="4"/>
        <v/>
      </c>
      <c r="V4">
        <v>0</v>
      </c>
      <c r="W4" t="str">
        <f>IF(V4&lt;&gt;0,VLOOKUP(VLOOKUP(V4,Tbl_Effect[],3,FALSE),EffectName[],IFERROR(MATCH(UI!$B$1,EffectName[#Headers],0),2),FALSE),"")</f>
        <v/>
      </c>
      <c r="X4" t="str">
        <f t="shared" si="5"/>
        <v/>
      </c>
      <c r="Y4">
        <v>0</v>
      </c>
      <c r="Z4" t="str">
        <f>IF(Y4&lt;&gt;0,VLOOKUP(VLOOKUP(Y4,Tbl_Effect[],3,FALSE),EffectName[],IFERROR(MATCH(UI!$B$1,EffectName[#Headers],0),2),FALSE),"")</f>
        <v/>
      </c>
      <c r="AA4" t="str">
        <f t="shared" si="6"/>
        <v/>
      </c>
      <c r="AB4">
        <v>0</v>
      </c>
      <c r="AC4" t="str">
        <f>IF(AB4&lt;&gt;0,VLOOKUP(VLOOKUP(AB4,Tbl_Effect[],3,FALSE),EffectName[],IFERROR(MATCH(UI!$B$1,EffectName[#Headers],0),2),FALSE),"")</f>
        <v/>
      </c>
      <c r="AE4">
        <v>7000002</v>
      </c>
      <c r="AF4">
        <v>7000002</v>
      </c>
      <c r="AG4">
        <v>7000002</v>
      </c>
    </row>
    <row r="5" spans="1:36" x14ac:dyDescent="0.4">
      <c r="H5" t="str">
        <f t="shared" si="0"/>
        <v>4-%null% (紅)</v>
      </c>
      <c r="I5">
        <v>4</v>
      </c>
      <c r="J5" t="str">
        <f>_xlfn.IFNA(IF(I5&lt;&gt;0,VLOOKUP(VLOOKUP(I5,Tbl_Equip[],2,FALSE),Tbl_Color[],IFERROR(MATCH(UI!$B$1,Tbl_Color[#Headers],0),2),FALSE),""),"Unset")</f>
        <v>紅</v>
      </c>
      <c r="K5" t="str">
        <f>_xlfn.IFNA(IF(I5&lt;&gt;0,VLOOKUP(I5,ItemText[],IFERROR(MATCH(UI!$B$1,ItemText[#Headers],0),2),FALSE),""),"Unset")</f>
        <v>%null%</v>
      </c>
      <c r="L5" t="str">
        <f t="shared" si="1"/>
        <v>7000100-集中力＋１</v>
      </c>
      <c r="M5">
        <v>7000100</v>
      </c>
      <c r="N5" t="str">
        <f>IF(VALUE(M5)=0,"",VLOOKUP(VLOOKUP(M5,Tbl_Effect[],3,FALSE),EffectName[],IFERROR(MATCH(UI!$B$1,EffectName[#Headers],0),2),FALSE))</f>
        <v>集中力＋１</v>
      </c>
      <c r="O5" t="str">
        <f t="shared" si="2"/>
        <v>7000100-集中力＋１</v>
      </c>
      <c r="P5">
        <v>7000100</v>
      </c>
      <c r="Q5" t="str">
        <f>IF(VALUE(P5)=0,"",VLOOKUP(VLOOKUP(P5,Tbl_Effect[],3,FALSE),EffectName[],IFERROR(MATCH(UI!$B$1,EffectName[#Headers],0),2),FALSE))</f>
        <v>集中力＋１</v>
      </c>
      <c r="R5" t="str">
        <f t="shared" si="3"/>
        <v>7000100-集中力＋１</v>
      </c>
      <c r="S5">
        <v>7000100</v>
      </c>
      <c r="T5" t="str">
        <f>IF(VALUE(S5)=0,"",VLOOKUP(VLOOKUP(S5,Tbl_Effect[],3,FALSE),EffectName[],IFERROR(MATCH(UI!$B$1,EffectName[#Headers],0),2),FALSE))</f>
        <v>集中力＋１</v>
      </c>
      <c r="U5" t="str">
        <f t="shared" si="4"/>
        <v/>
      </c>
      <c r="V5">
        <v>0</v>
      </c>
      <c r="W5" t="str">
        <f>IF(V5&lt;&gt;0,VLOOKUP(VLOOKUP(V5,Tbl_Effect[],3,FALSE),EffectName[],IFERROR(MATCH(UI!$B$1,EffectName[#Headers],0),2),FALSE),"")</f>
        <v/>
      </c>
      <c r="X5" t="str">
        <f t="shared" si="5"/>
        <v/>
      </c>
      <c r="Y5">
        <v>0</v>
      </c>
      <c r="Z5" t="str">
        <f>IF(Y5&lt;&gt;0,VLOOKUP(VLOOKUP(Y5,Tbl_Effect[],3,FALSE),EffectName[],IFERROR(MATCH(UI!$B$1,EffectName[#Headers],0),2),FALSE),"")</f>
        <v/>
      </c>
      <c r="AA5" t="str">
        <f t="shared" si="6"/>
        <v/>
      </c>
      <c r="AB5">
        <v>0</v>
      </c>
      <c r="AC5" t="str">
        <f>IF(AB5&lt;&gt;0,VLOOKUP(VLOOKUP(AB5,Tbl_Effect[],3,FALSE),EffectName[],IFERROR(MATCH(UI!$B$1,EffectName[#Headers],0),2),FALSE),"")</f>
        <v/>
      </c>
      <c r="AE5">
        <v>7000100</v>
      </c>
      <c r="AF5">
        <v>7000100</v>
      </c>
      <c r="AG5">
        <v>7000100</v>
      </c>
    </row>
    <row r="6" spans="1:36" x14ac:dyDescent="0.4">
      <c r="H6" t="str">
        <f t="shared" si="0"/>
        <v>5-%null% (紅)</v>
      </c>
      <c r="I6">
        <v>5</v>
      </c>
      <c r="J6" t="str">
        <f>_xlfn.IFNA(IF(I6&lt;&gt;0,VLOOKUP(VLOOKUP(I6,Tbl_Equip[],2,FALSE),Tbl_Color[],IFERROR(MATCH(UI!$B$1,Tbl_Color[#Headers],0),2),FALSE),""),"Unset")</f>
        <v>紅</v>
      </c>
      <c r="K6" t="str">
        <f>_xlfn.IFNA(IF(I6&lt;&gt;0,VLOOKUP(I6,ItemText[],IFERROR(MATCH(UI!$B$1,ItemText[#Headers],0),2),FALSE),""),"Unset")</f>
        <v>%null%</v>
      </c>
      <c r="L6" t="str">
        <f t="shared" si="1"/>
        <v>7000101-集中力＋２</v>
      </c>
      <c r="M6">
        <v>7000101</v>
      </c>
      <c r="N6" t="str">
        <f>IF(VALUE(M6)=0,"",VLOOKUP(VLOOKUP(M6,Tbl_Effect[],3,FALSE),EffectName[],IFERROR(MATCH(UI!$B$1,EffectName[#Headers],0),2),FALSE))</f>
        <v>集中力＋２</v>
      </c>
      <c r="O6" t="str">
        <f t="shared" si="2"/>
        <v>7000101-集中力＋２</v>
      </c>
      <c r="P6">
        <v>7000101</v>
      </c>
      <c r="Q6" t="str">
        <f>IF(VALUE(P6)=0,"",VLOOKUP(VLOOKUP(P6,Tbl_Effect[],3,FALSE),EffectName[],IFERROR(MATCH(UI!$B$1,EffectName[#Headers],0),2),FALSE))</f>
        <v>集中力＋２</v>
      </c>
      <c r="R6" t="str">
        <f t="shared" si="3"/>
        <v>7000101-集中力＋２</v>
      </c>
      <c r="S6">
        <v>7000101</v>
      </c>
      <c r="T6" t="str">
        <f>IF(VALUE(S6)=0,"",VLOOKUP(VLOOKUP(S6,Tbl_Effect[],3,FALSE),EffectName[],IFERROR(MATCH(UI!$B$1,EffectName[#Headers],0),2),FALSE))</f>
        <v>集中力＋２</v>
      </c>
      <c r="U6" t="str">
        <f t="shared" si="4"/>
        <v/>
      </c>
      <c r="V6">
        <v>0</v>
      </c>
      <c r="W6" t="str">
        <f>IF(V6&lt;&gt;0,VLOOKUP(VLOOKUP(V6,Tbl_Effect[],3,FALSE),EffectName[],IFERROR(MATCH(UI!$B$1,EffectName[#Headers],0),2),FALSE),"")</f>
        <v/>
      </c>
      <c r="X6" t="str">
        <f t="shared" si="5"/>
        <v/>
      </c>
      <c r="Y6">
        <v>0</v>
      </c>
      <c r="Z6" t="str">
        <f>IF(Y6&lt;&gt;0,VLOOKUP(VLOOKUP(Y6,Tbl_Effect[],3,FALSE),EffectName[],IFERROR(MATCH(UI!$B$1,EffectName[#Headers],0),2),FALSE),"")</f>
        <v/>
      </c>
      <c r="AA6" t="str">
        <f t="shared" si="6"/>
        <v/>
      </c>
      <c r="AB6">
        <v>0</v>
      </c>
      <c r="AC6" t="str">
        <f>IF(AB6&lt;&gt;0,VLOOKUP(VLOOKUP(AB6,Tbl_Effect[],3,FALSE),EffectName[],IFERROR(MATCH(UI!$B$1,EffectName[#Headers],0),2),FALSE),"")</f>
        <v/>
      </c>
      <c r="AE6">
        <v>7000101</v>
      </c>
      <c r="AF6">
        <v>7000101</v>
      </c>
      <c r="AG6">
        <v>7000101</v>
      </c>
    </row>
    <row r="7" spans="1:36" x14ac:dyDescent="0.4">
      <c r="H7" t="str">
        <f t="shared" si="0"/>
        <v>6-%null% (紅)</v>
      </c>
      <c r="I7">
        <v>6</v>
      </c>
      <c r="J7" t="str">
        <f>_xlfn.IFNA(IF(I7&lt;&gt;0,VLOOKUP(VLOOKUP(I7,Tbl_Equip[],2,FALSE),Tbl_Color[],IFERROR(MATCH(UI!$B$1,Tbl_Color[#Headers],0),2),FALSE),""),"Unset")</f>
        <v>紅</v>
      </c>
      <c r="K7" t="str">
        <f>_xlfn.IFNA(IF(I7&lt;&gt;0,VLOOKUP(I7,ItemText[],IFERROR(MATCH(UI!$B$1,ItemText[#Headers],0),2),FALSE),""),"Unset")</f>
        <v>%null%</v>
      </c>
      <c r="L7" t="str">
        <f t="shared" si="1"/>
        <v>7000102-集中力＋３</v>
      </c>
      <c r="M7">
        <v>7000102</v>
      </c>
      <c r="N7" t="str">
        <f>IF(VALUE(M7)=0,"",VLOOKUP(VLOOKUP(M7,Tbl_Effect[],3,FALSE),EffectName[],IFERROR(MATCH(UI!$B$1,EffectName[#Headers],0),2),FALSE))</f>
        <v>集中力＋３</v>
      </c>
      <c r="O7" t="str">
        <f t="shared" si="2"/>
        <v>7000102-集中力＋３</v>
      </c>
      <c r="P7">
        <v>7000102</v>
      </c>
      <c r="Q7" t="str">
        <f>IF(VALUE(P7)=0,"",VLOOKUP(VLOOKUP(P7,Tbl_Effect[],3,FALSE),EffectName[],IFERROR(MATCH(UI!$B$1,EffectName[#Headers],0),2),FALSE))</f>
        <v>集中力＋３</v>
      </c>
      <c r="R7" t="str">
        <f t="shared" si="3"/>
        <v>7000102-集中力＋３</v>
      </c>
      <c r="S7">
        <v>7000102</v>
      </c>
      <c r="T7" t="str">
        <f>IF(VALUE(S7)=0,"",VLOOKUP(VLOOKUP(S7,Tbl_Effect[],3,FALSE),EffectName[],IFERROR(MATCH(UI!$B$1,EffectName[#Headers],0),2),FALSE))</f>
        <v>集中力＋３</v>
      </c>
      <c r="U7" t="str">
        <f t="shared" si="4"/>
        <v/>
      </c>
      <c r="V7">
        <v>0</v>
      </c>
      <c r="W7" t="str">
        <f>IF(V7&lt;&gt;0,VLOOKUP(VLOOKUP(V7,Tbl_Effect[],3,FALSE),EffectName[],IFERROR(MATCH(UI!$B$1,EffectName[#Headers],0),2),FALSE),"")</f>
        <v/>
      </c>
      <c r="X7" t="str">
        <f t="shared" si="5"/>
        <v/>
      </c>
      <c r="Y7">
        <v>0</v>
      </c>
      <c r="Z7" t="str">
        <f>IF(Y7&lt;&gt;0,VLOOKUP(VLOOKUP(Y7,Tbl_Effect[],3,FALSE),EffectName[],IFERROR(MATCH(UI!$B$1,EffectName[#Headers],0),2),FALSE),"")</f>
        <v/>
      </c>
      <c r="AA7" t="str">
        <f t="shared" si="6"/>
        <v/>
      </c>
      <c r="AB7">
        <v>0</v>
      </c>
      <c r="AC7" t="str">
        <f>IF(AB7&lt;&gt;0,VLOOKUP(VLOOKUP(AB7,Tbl_Effect[],3,FALSE),EffectName[],IFERROR(MATCH(UI!$B$1,EffectName[#Headers],0),2),FALSE),"")</f>
        <v/>
      </c>
      <c r="AE7">
        <v>7000102</v>
      </c>
      <c r="AF7">
        <v>7000102</v>
      </c>
      <c r="AG7">
        <v>7000102</v>
      </c>
    </row>
    <row r="8" spans="1:36" x14ac:dyDescent="0.4">
      <c r="H8" t="str">
        <f t="shared" si="0"/>
        <v>10-暗痕 (紅)</v>
      </c>
      <c r="I8">
        <v>10</v>
      </c>
      <c r="J8" t="str">
        <f>_xlfn.IFNA(IF(I8&lt;&gt;0,VLOOKUP(VLOOKUP(I8,Tbl_Equip[],2,FALSE),Tbl_Color[],IFERROR(MATCH(UI!$B$1,Tbl_Color[#Headers],0),2),FALSE),""),"Unset")</f>
        <v>紅</v>
      </c>
      <c r="K8" t="str">
        <f>_xlfn.IFNA(IF(I8&lt;&gt;0,VLOOKUP(I8,ItemText[],IFERROR(MATCH(UI!$B$1,ItemText[#Headers],0),2),FALSE),""),"Unset")</f>
        <v>暗痕</v>
      </c>
      <c r="L8" t="str">
        <f t="shared" si="1"/>
        <v>7000200-耐力＋１</v>
      </c>
      <c r="M8">
        <v>7000200</v>
      </c>
      <c r="N8" t="str">
        <f>IF(VALUE(M8)=0,"",VLOOKUP(VLOOKUP(M8,Tbl_Effect[],3,FALSE),EffectName[],IFERROR(MATCH(UI!$B$1,EffectName[#Headers],0),2),FALSE))</f>
        <v>耐力＋１</v>
      </c>
      <c r="O8" t="str">
        <f t="shared" si="2"/>
        <v>7000300-力氣＋１</v>
      </c>
      <c r="P8">
        <v>7000300</v>
      </c>
      <c r="Q8" t="str">
        <f>IF(VALUE(P8)=0,"",VLOOKUP(VLOOKUP(P8,Tbl_Effect[],3,FALSE),EffectName[],IFERROR(MATCH(UI!$B$1,EffectName[#Headers],0),2),FALSE))</f>
        <v>力氣＋１</v>
      </c>
      <c r="R8" t="str">
        <f t="shared" si="3"/>
        <v>7000300-力氣＋１</v>
      </c>
      <c r="S8">
        <v>7000300</v>
      </c>
      <c r="T8" t="str">
        <f>IF(VALUE(S8)=0,"",VLOOKUP(VLOOKUP(S8,Tbl_Effect[],3,FALSE),EffectName[],IFERROR(MATCH(UI!$B$1,EffectName[#Headers],0),2),FALSE))</f>
        <v>力氣＋１</v>
      </c>
      <c r="U8" t="str">
        <f t="shared" si="4"/>
        <v/>
      </c>
      <c r="V8">
        <v>0</v>
      </c>
      <c r="W8" t="str">
        <f>IF(V8&lt;&gt;0,VLOOKUP(VLOOKUP(V8,Tbl_Effect[],3,FALSE),EffectName[],IFERROR(MATCH(UI!$B$1,EffectName[#Headers],0),2),FALSE),"")</f>
        <v/>
      </c>
      <c r="X8" t="str">
        <f t="shared" si="5"/>
        <v/>
      </c>
      <c r="Y8">
        <v>0</v>
      </c>
      <c r="Z8" t="str">
        <f>IF(Y8&lt;&gt;0,VLOOKUP(VLOOKUP(Y8,Tbl_Effect[],3,FALSE),EffectName[],IFERROR(MATCH(UI!$B$1,EffectName[#Headers],0),2),FALSE),"")</f>
        <v/>
      </c>
      <c r="AA8" t="str">
        <f t="shared" si="6"/>
        <v/>
      </c>
      <c r="AB8">
        <v>0</v>
      </c>
      <c r="AC8" t="str">
        <f>IF(AB8&lt;&gt;0,VLOOKUP(VLOOKUP(AB8,Tbl_Effect[],3,FALSE),EffectName[],IFERROR(MATCH(UI!$B$1,EffectName[#Headers],0),2),FALSE),"")</f>
        <v/>
      </c>
      <c r="AE8">
        <v>7000200</v>
      </c>
      <c r="AF8">
        <v>7000300</v>
      </c>
      <c r="AG8">
        <v>7000300</v>
      </c>
    </row>
    <row r="9" spans="1:36" x14ac:dyDescent="0.4">
      <c r="H9" t="str">
        <f t="shared" si="0"/>
        <v>11-為王之證 (紅)</v>
      </c>
      <c r="I9">
        <v>11</v>
      </c>
      <c r="J9" t="str">
        <f>_xlfn.IFNA(IF(I9&lt;&gt;0,VLOOKUP(VLOOKUP(I9,Tbl_Equip[],2,FALSE),Tbl_Color[],IFERROR(MATCH(UI!$B$1,Tbl_Color[#Headers],0),2),FALSE),""),"Unset")</f>
        <v>紅</v>
      </c>
      <c r="K9" t="str">
        <f>_xlfn.IFNA(IF(I9&lt;&gt;0,VLOOKUP(I9,ItemText[],IFERROR(MATCH(UI!$B$1,ItemText[#Headers],0),2),FALSE),""),"Unset")</f>
        <v>為王之證</v>
      </c>
      <c r="L9" t="str">
        <f t="shared" si="1"/>
        <v>7000201-耐力＋２</v>
      </c>
      <c r="M9">
        <v>7000201</v>
      </c>
      <c r="N9" t="str">
        <f>IF(VALUE(M9)=0,"",VLOOKUP(VLOOKUP(M9,Tbl_Effect[],3,FALSE),EffectName[],IFERROR(MATCH(UI!$B$1,EffectName[#Headers],0),2),FALSE))</f>
        <v>耐力＋２</v>
      </c>
      <c r="O9" t="str">
        <f t="shared" si="2"/>
        <v>7000301-力氣＋２</v>
      </c>
      <c r="P9">
        <v>7000301</v>
      </c>
      <c r="Q9" t="str">
        <f>IF(VALUE(P9)=0,"",VLOOKUP(VLOOKUP(P9,Tbl_Effect[],3,FALSE),EffectName[],IFERROR(MATCH(UI!$B$1,EffectName[#Headers],0),2),FALSE))</f>
        <v>力氣＋２</v>
      </c>
      <c r="R9" t="str">
        <f t="shared" si="3"/>
        <v>7000301-力氣＋２</v>
      </c>
      <c r="S9">
        <v>7000301</v>
      </c>
      <c r="T9" t="str">
        <f>IF(VALUE(S9)=0,"",VLOOKUP(VLOOKUP(S9,Tbl_Effect[],3,FALSE),EffectName[],IFERROR(MATCH(UI!$B$1,EffectName[#Headers],0),2),FALSE))</f>
        <v>力氣＋２</v>
      </c>
      <c r="U9" t="str">
        <f t="shared" si="4"/>
        <v/>
      </c>
      <c r="V9">
        <v>0</v>
      </c>
      <c r="W9" t="str">
        <f>IF(V9&lt;&gt;0,VLOOKUP(VLOOKUP(V9,Tbl_Effect[],3,FALSE),EffectName[],IFERROR(MATCH(UI!$B$1,EffectName[#Headers],0),2),FALSE),"")</f>
        <v/>
      </c>
      <c r="X9" t="str">
        <f t="shared" si="5"/>
        <v/>
      </c>
      <c r="Y9">
        <v>0</v>
      </c>
      <c r="Z9" t="str">
        <f>IF(Y9&lt;&gt;0,VLOOKUP(VLOOKUP(Y9,Tbl_Effect[],3,FALSE),EffectName[],IFERROR(MATCH(UI!$B$1,EffectName[#Headers],0),2),FALSE),"")</f>
        <v/>
      </c>
      <c r="AA9" t="str">
        <f t="shared" si="6"/>
        <v/>
      </c>
      <c r="AB9">
        <v>0</v>
      </c>
      <c r="AC9" t="str">
        <f>IF(AB9&lt;&gt;0,VLOOKUP(VLOOKUP(AB9,Tbl_Effect[],3,FALSE),EffectName[],IFERROR(MATCH(UI!$B$1,EffectName[#Headers],0),2),FALSE),"")</f>
        <v/>
      </c>
      <c r="AE9">
        <v>7000201</v>
      </c>
      <c r="AF9">
        <v>7000301</v>
      </c>
      <c r="AG9">
        <v>7000301</v>
      </c>
    </row>
    <row r="10" spans="1:36" x14ac:dyDescent="0.4">
      <c r="H10" t="str">
        <f t="shared" si="0"/>
        <v>20-情景原石 (紅)</v>
      </c>
      <c r="I10">
        <v>20</v>
      </c>
      <c r="J10" t="str">
        <f>_xlfn.IFNA(IF(I10&lt;&gt;0,VLOOKUP(VLOOKUP(I10,Tbl_Equip[],2,FALSE),Tbl_Color[],IFERROR(MATCH(UI!$B$1,Tbl_Color[#Headers],0),2),FALSE),""),"Unset")</f>
        <v>紅</v>
      </c>
      <c r="K10" t="str">
        <f>_xlfn.IFNA(IF(I10&lt;&gt;0,VLOOKUP(I10,ItemText[],IFERROR(MATCH(UI!$B$1,ItemText[#Headers],0),2),FALSE),""),"Unset")</f>
        <v>情景原石</v>
      </c>
      <c r="L10" t="str">
        <f t="shared" si="1"/>
        <v>7000202-耐力＋３</v>
      </c>
      <c r="M10">
        <v>7000202</v>
      </c>
      <c r="N10" t="str">
        <f>IF(VALUE(M10)=0,"",VLOOKUP(VLOOKUP(M10,Tbl_Effect[],3,FALSE),EffectName[],IFERROR(MATCH(UI!$B$1,EffectName[#Headers],0),2),FALSE))</f>
        <v>耐力＋３</v>
      </c>
      <c r="O10" t="str">
        <f t="shared" si="2"/>
        <v>7000302-力氣＋３</v>
      </c>
      <c r="P10">
        <v>7000302</v>
      </c>
      <c r="Q10" t="str">
        <f>IF(VALUE(P10)=0,"",VLOOKUP(VLOOKUP(P10,Tbl_Effect[],3,FALSE),EffectName[],IFERROR(MATCH(UI!$B$1,EffectName[#Headers],0),2),FALSE))</f>
        <v>力氣＋３</v>
      </c>
      <c r="R10" t="str">
        <f t="shared" si="3"/>
        <v>7000302-力氣＋３</v>
      </c>
      <c r="S10">
        <v>7000302</v>
      </c>
      <c r="T10" t="str">
        <f>IF(VALUE(S10)=0,"",VLOOKUP(VLOOKUP(S10,Tbl_Effect[],3,FALSE),EffectName[],IFERROR(MATCH(UI!$B$1,EffectName[#Headers],0),2),FALSE))</f>
        <v>力氣＋３</v>
      </c>
      <c r="U10" t="str">
        <f t="shared" si="4"/>
        <v/>
      </c>
      <c r="V10">
        <v>0</v>
      </c>
      <c r="W10" t="str">
        <f>IF(V10&lt;&gt;0,VLOOKUP(VLOOKUP(V10,Tbl_Effect[],3,FALSE),EffectName[],IFERROR(MATCH(UI!$B$1,EffectName[#Headers],0),2),FALSE),"")</f>
        <v/>
      </c>
      <c r="X10" t="str">
        <f t="shared" si="5"/>
        <v/>
      </c>
      <c r="Y10">
        <v>0</v>
      </c>
      <c r="Z10" t="str">
        <f>IF(Y10&lt;&gt;0,VLOOKUP(VLOOKUP(Y10,Tbl_Effect[],3,FALSE),EffectName[],IFERROR(MATCH(UI!$B$1,EffectName[#Headers],0),2),FALSE),"")</f>
        <v/>
      </c>
      <c r="AA10" t="str">
        <f t="shared" si="6"/>
        <v/>
      </c>
      <c r="AB10">
        <v>0</v>
      </c>
      <c r="AC10" t="str">
        <f>IF(AB10&lt;&gt;0,VLOOKUP(VLOOKUP(AB10,Tbl_Effect[],3,FALSE),EffectName[],IFERROR(MATCH(UI!$B$1,EffectName[#Headers],0),2),FALSE),"")</f>
        <v/>
      </c>
      <c r="AE10">
        <v>7000202</v>
      </c>
      <c r="AF10">
        <v>7000302</v>
      </c>
      <c r="AG10">
        <v>7000302</v>
      </c>
    </row>
    <row r="11" spans="1:36" x14ac:dyDescent="0.4">
      <c r="H11" t="str">
        <f t="shared" si="0"/>
        <v>100-細膩的火燃情景 (紅)</v>
      </c>
      <c r="I11">
        <v>100</v>
      </c>
      <c r="J11" t="str">
        <f>_xlfn.IFNA(IF(I11&lt;&gt;0,VLOOKUP(VLOOKUP(I11,Tbl_Equip[],2,FALSE),Tbl_Color[],IFERROR(MATCH(UI!$B$1,Tbl_Color[#Headers],0),2),FALSE),""),"Unset")</f>
        <v>紅</v>
      </c>
      <c r="K11" t="str">
        <f>_xlfn.IFNA(IF(I11&lt;&gt;0,VLOOKUP(I11,ItemText[],IFERROR(MATCH(UI!$B$1,ItemText[#Headers],0),2),FALSE),""),"Unset")</f>
        <v>細膩的火燃情景</v>
      </c>
      <c r="L11" t="str">
        <f t="shared" si="1"/>
        <v>7000300-力氣＋１</v>
      </c>
      <c r="M11">
        <v>7000300</v>
      </c>
      <c r="N11" t="str">
        <f>IF(VALUE(M11)=0,"",VLOOKUP(VLOOKUP(M11,Tbl_Effect[],3,FALSE),EffectName[],IFERROR(MATCH(UI!$B$1,EffectName[#Headers],0),2),FALSE))</f>
        <v>力氣＋１</v>
      </c>
      <c r="O11" t="str">
        <f t="shared" si="2"/>
        <v>7000400-靈巧＋１</v>
      </c>
      <c r="P11">
        <v>7000400</v>
      </c>
      <c r="Q11" t="str">
        <f>IF(VALUE(P11)=0,"",VLOOKUP(VLOOKUP(P11,Tbl_Effect[],3,FALSE),EffectName[],IFERROR(MATCH(UI!$B$1,EffectName[#Headers],0),2),FALSE))</f>
        <v>靈巧＋１</v>
      </c>
      <c r="R11" t="str">
        <f t="shared" si="3"/>
        <v>7000400-靈巧＋１</v>
      </c>
      <c r="S11">
        <v>7000400</v>
      </c>
      <c r="T11" t="str">
        <f>IF(VALUE(S11)=0,"",VLOOKUP(VLOOKUP(S11,Tbl_Effect[],3,FALSE),EffectName[],IFERROR(MATCH(UI!$B$1,EffectName[#Headers],0),2),FALSE))</f>
        <v>靈巧＋１</v>
      </c>
      <c r="U11" t="str">
        <f t="shared" si="4"/>
        <v/>
      </c>
      <c r="V11">
        <v>0</v>
      </c>
      <c r="W11" t="str">
        <f>IF(V11&lt;&gt;0,VLOOKUP(VLOOKUP(V11,Tbl_Effect[],3,FALSE),EffectName[],IFERROR(MATCH(UI!$B$1,EffectName[#Headers],0),2),FALSE),"")</f>
        <v/>
      </c>
      <c r="X11" t="str">
        <f t="shared" si="5"/>
        <v/>
      </c>
      <c r="Y11">
        <v>0</v>
      </c>
      <c r="Z11" t="str">
        <f>IF(Y11&lt;&gt;0,VLOOKUP(VLOOKUP(Y11,Tbl_Effect[],3,FALSE),EffectName[],IFERROR(MATCH(UI!$B$1,EffectName[#Headers],0),2),FALSE),"")</f>
        <v/>
      </c>
      <c r="AA11" t="str">
        <f t="shared" si="6"/>
        <v/>
      </c>
      <c r="AB11">
        <v>0</v>
      </c>
      <c r="AC11" t="str">
        <f>IF(AB11&lt;&gt;0,VLOOKUP(VLOOKUP(AB11,Tbl_Effect[],3,FALSE),EffectName[],IFERROR(MATCH(UI!$B$1,EffectName[#Headers],0),2),FALSE),"")</f>
        <v/>
      </c>
      <c r="AE11">
        <v>7000300</v>
      </c>
      <c r="AF11">
        <v>7000400</v>
      </c>
      <c r="AG11">
        <v>7000400</v>
      </c>
    </row>
    <row r="12" spans="1:36" x14ac:dyDescent="0.4">
      <c r="H12" t="str">
        <f t="shared" si="0"/>
        <v>101-端正的火燃情景 (紅)</v>
      </c>
      <c r="I12">
        <v>101</v>
      </c>
      <c r="J12" t="str">
        <f>_xlfn.IFNA(IF(I12&lt;&gt;0,VLOOKUP(VLOOKUP(I12,Tbl_Equip[],2,FALSE),Tbl_Color[],IFERROR(MATCH(UI!$B$1,Tbl_Color[#Headers],0),2),FALSE),""),"Unset")</f>
        <v>紅</v>
      </c>
      <c r="K12" t="str">
        <f>_xlfn.IFNA(IF(I12&lt;&gt;0,VLOOKUP(I12,ItemText[],IFERROR(MATCH(UI!$B$1,ItemText[#Headers],0),2),FALSE),""),"Unset")</f>
        <v>端正的火燃情景</v>
      </c>
      <c r="L12" t="str">
        <f t="shared" si="1"/>
        <v>7000301-力氣＋２</v>
      </c>
      <c r="M12">
        <v>7000301</v>
      </c>
      <c r="N12" t="str">
        <f>IF(VALUE(M12)=0,"",VLOOKUP(VLOOKUP(M12,Tbl_Effect[],3,FALSE),EffectName[],IFERROR(MATCH(UI!$B$1,EffectName[#Headers],0),2),FALSE))</f>
        <v>力氣＋２</v>
      </c>
      <c r="O12" t="str">
        <f t="shared" si="2"/>
        <v>7000401-靈巧＋２</v>
      </c>
      <c r="P12">
        <v>7000401</v>
      </c>
      <c r="Q12" t="str">
        <f>IF(VALUE(P12)=0,"",VLOOKUP(VLOOKUP(P12,Tbl_Effect[],3,FALSE),EffectName[],IFERROR(MATCH(UI!$B$1,EffectName[#Headers],0),2),FALSE))</f>
        <v>靈巧＋２</v>
      </c>
      <c r="R12" t="str">
        <f t="shared" si="3"/>
        <v>7000401-靈巧＋２</v>
      </c>
      <c r="S12">
        <v>7000401</v>
      </c>
      <c r="T12" t="str">
        <f>IF(VALUE(S12)=0,"",VLOOKUP(VLOOKUP(S12,Tbl_Effect[],3,FALSE),EffectName[],IFERROR(MATCH(UI!$B$1,EffectName[#Headers],0),2),FALSE))</f>
        <v>靈巧＋２</v>
      </c>
      <c r="U12" t="str">
        <f t="shared" si="4"/>
        <v/>
      </c>
      <c r="V12">
        <v>0</v>
      </c>
      <c r="W12" t="str">
        <f>IF(V12&lt;&gt;0,VLOOKUP(VLOOKUP(V12,Tbl_Effect[],3,FALSE),EffectName[],IFERROR(MATCH(UI!$B$1,EffectName[#Headers],0),2),FALSE),"")</f>
        <v/>
      </c>
      <c r="X12" t="str">
        <f t="shared" si="5"/>
        <v/>
      </c>
      <c r="Y12">
        <v>0</v>
      </c>
      <c r="Z12" t="str">
        <f>IF(Y12&lt;&gt;0,VLOOKUP(VLOOKUP(Y12,Tbl_Effect[],3,FALSE),EffectName[],IFERROR(MATCH(UI!$B$1,EffectName[#Headers],0),2),FALSE),"")</f>
        <v/>
      </c>
      <c r="AA12" t="str">
        <f t="shared" si="6"/>
        <v/>
      </c>
      <c r="AB12">
        <v>0</v>
      </c>
      <c r="AC12" t="str">
        <f>IF(AB12&lt;&gt;0,VLOOKUP(VLOOKUP(AB12,Tbl_Effect[],3,FALSE),EffectName[],IFERROR(MATCH(UI!$B$1,EffectName[#Headers],0),2),FALSE),"")</f>
        <v/>
      </c>
      <c r="AE12">
        <v>7000301</v>
      </c>
      <c r="AF12">
        <v>7000401</v>
      </c>
      <c r="AG12">
        <v>7000401</v>
      </c>
    </row>
    <row r="13" spans="1:36" x14ac:dyDescent="0.4">
      <c r="H13" t="str">
        <f t="shared" si="0"/>
        <v>102-遼闊的火燃情景 (紅)</v>
      </c>
      <c r="I13">
        <v>102</v>
      </c>
      <c r="J13" t="str">
        <f>_xlfn.IFNA(IF(I13&lt;&gt;0,VLOOKUP(VLOOKUP(I13,Tbl_Equip[],2,FALSE),Tbl_Color[],IFERROR(MATCH(UI!$B$1,Tbl_Color[#Headers],0),2),FALSE),""),"Unset")</f>
        <v>紅</v>
      </c>
      <c r="K13" t="str">
        <f>_xlfn.IFNA(IF(I13&lt;&gt;0,VLOOKUP(I13,ItemText[],IFERROR(MATCH(UI!$B$1,ItemText[#Headers],0),2),FALSE),""),"Unset")</f>
        <v>遼闊的火燃情景</v>
      </c>
      <c r="L13" t="str">
        <f t="shared" si="1"/>
        <v>7000302-力氣＋３</v>
      </c>
      <c r="M13">
        <v>7000302</v>
      </c>
      <c r="N13" t="str">
        <f>IF(VALUE(M13)=0,"",VLOOKUP(VLOOKUP(M13,Tbl_Effect[],3,FALSE),EffectName[],IFERROR(MATCH(UI!$B$1,EffectName[#Headers],0),2),FALSE))</f>
        <v>力氣＋３</v>
      </c>
      <c r="O13" t="str">
        <f t="shared" si="2"/>
        <v>7000402-靈巧＋３</v>
      </c>
      <c r="P13">
        <v>7000402</v>
      </c>
      <c r="Q13" t="str">
        <f>IF(VALUE(P13)=0,"",VLOOKUP(VLOOKUP(P13,Tbl_Effect[],3,FALSE),EffectName[],IFERROR(MATCH(UI!$B$1,EffectName[#Headers],0),2),FALSE))</f>
        <v>靈巧＋３</v>
      </c>
      <c r="R13" t="str">
        <f t="shared" si="3"/>
        <v>7000402-靈巧＋３</v>
      </c>
      <c r="S13">
        <v>7000402</v>
      </c>
      <c r="T13" t="str">
        <f>IF(VALUE(S13)=0,"",VLOOKUP(VLOOKUP(S13,Tbl_Effect[],3,FALSE),EffectName[],IFERROR(MATCH(UI!$B$1,EffectName[#Headers],0),2),FALSE))</f>
        <v>靈巧＋３</v>
      </c>
      <c r="U13" t="str">
        <f t="shared" si="4"/>
        <v/>
      </c>
      <c r="V13">
        <v>0</v>
      </c>
      <c r="W13" t="str">
        <f>IF(V13&lt;&gt;0,VLOOKUP(VLOOKUP(V13,Tbl_Effect[],3,FALSE),EffectName[],IFERROR(MATCH(UI!$B$1,EffectName[#Headers],0),2),FALSE),"")</f>
        <v/>
      </c>
      <c r="X13" t="str">
        <f t="shared" si="5"/>
        <v/>
      </c>
      <c r="Y13">
        <v>0</v>
      </c>
      <c r="Z13" t="str">
        <f>IF(Y13&lt;&gt;0,VLOOKUP(VLOOKUP(Y13,Tbl_Effect[],3,FALSE),EffectName[],IFERROR(MATCH(UI!$B$1,EffectName[#Headers],0),2),FALSE),"")</f>
        <v/>
      </c>
      <c r="AA13" t="str">
        <f t="shared" si="6"/>
        <v/>
      </c>
      <c r="AB13">
        <v>0</v>
      </c>
      <c r="AC13" t="str">
        <f>IF(AB13&lt;&gt;0,VLOOKUP(VLOOKUP(AB13,Tbl_Effect[],3,FALSE),EffectName[],IFERROR(MATCH(UI!$B$1,EffectName[#Headers],0),2),FALSE),"")</f>
        <v/>
      </c>
      <c r="AE13">
        <v>7000302</v>
      </c>
      <c r="AF13">
        <v>7000402</v>
      </c>
      <c r="AG13">
        <v>7000402</v>
      </c>
    </row>
    <row r="14" spans="1:36" x14ac:dyDescent="0.4">
      <c r="H14" t="str">
        <f t="shared" si="0"/>
        <v>103-細膩的火燃情景 (紅)</v>
      </c>
      <c r="I14">
        <v>103</v>
      </c>
      <c r="J14" t="str">
        <f>_xlfn.IFNA(IF(I14&lt;&gt;0,VLOOKUP(VLOOKUP(I14,Tbl_Equip[],2,FALSE),Tbl_Color[],IFERROR(MATCH(UI!$B$1,Tbl_Color[#Headers],0),2),FALSE),""),"Unset")</f>
        <v>紅</v>
      </c>
      <c r="K14" t="str">
        <f>_xlfn.IFNA(IF(I14&lt;&gt;0,VLOOKUP(I14,ItemText[],IFERROR(MATCH(UI!$B$1,ItemText[#Headers],0),2),FALSE),""),"Unset")</f>
        <v>細膩的火燃情景</v>
      </c>
      <c r="L14" t="str">
        <f t="shared" si="1"/>
        <v>7000400-靈巧＋１</v>
      </c>
      <c r="M14">
        <v>7000400</v>
      </c>
      <c r="N14" t="str">
        <f>IF(VALUE(M14)=0,"",VLOOKUP(VLOOKUP(M14,Tbl_Effect[],3,FALSE),EffectName[],IFERROR(MATCH(UI!$B$1,EffectName[#Headers],0),2),FALSE))</f>
        <v>靈巧＋１</v>
      </c>
      <c r="O14" t="str">
        <f t="shared" si="2"/>
        <v>7000500-智力＋１</v>
      </c>
      <c r="P14">
        <v>7000500</v>
      </c>
      <c r="Q14" t="str">
        <f>IF(VALUE(P14)=0,"",VLOOKUP(VLOOKUP(P14,Tbl_Effect[],3,FALSE),EffectName[],IFERROR(MATCH(UI!$B$1,EffectName[#Headers],0),2),FALSE))</f>
        <v>智力＋１</v>
      </c>
      <c r="R14" t="str">
        <f t="shared" si="3"/>
        <v>7000500-智力＋１</v>
      </c>
      <c r="S14">
        <v>7000500</v>
      </c>
      <c r="T14" t="str">
        <f>IF(VALUE(S14)=0,"",VLOOKUP(VLOOKUP(S14,Tbl_Effect[],3,FALSE),EffectName[],IFERROR(MATCH(UI!$B$1,EffectName[#Headers],0),2),FALSE))</f>
        <v>智力＋１</v>
      </c>
      <c r="U14" t="str">
        <f t="shared" si="4"/>
        <v/>
      </c>
      <c r="V14">
        <v>0</v>
      </c>
      <c r="W14" t="str">
        <f>IF(V14&lt;&gt;0,VLOOKUP(VLOOKUP(V14,Tbl_Effect[],3,FALSE),EffectName[],IFERROR(MATCH(UI!$B$1,EffectName[#Headers],0),2),FALSE),"")</f>
        <v/>
      </c>
      <c r="X14" t="str">
        <f t="shared" si="5"/>
        <v/>
      </c>
      <c r="Y14">
        <v>0</v>
      </c>
      <c r="Z14" t="str">
        <f>IF(Y14&lt;&gt;0,VLOOKUP(VLOOKUP(Y14,Tbl_Effect[],3,FALSE),EffectName[],IFERROR(MATCH(UI!$B$1,EffectName[#Headers],0),2),FALSE),"")</f>
        <v/>
      </c>
      <c r="AA14" t="str">
        <f t="shared" si="6"/>
        <v/>
      </c>
      <c r="AB14">
        <v>0</v>
      </c>
      <c r="AC14" t="str">
        <f>IF(AB14&lt;&gt;0,VLOOKUP(VLOOKUP(AB14,Tbl_Effect[],3,FALSE),EffectName[],IFERROR(MATCH(UI!$B$1,EffectName[#Headers],0),2),FALSE),"")</f>
        <v/>
      </c>
      <c r="AE14">
        <v>7000400</v>
      </c>
      <c r="AF14">
        <v>7000500</v>
      </c>
      <c r="AG14">
        <v>7000500</v>
      </c>
    </row>
    <row r="15" spans="1:36" x14ac:dyDescent="0.4">
      <c r="H15" t="str">
        <f t="shared" si="0"/>
        <v>104-端正的火燃情景 (紅)</v>
      </c>
      <c r="I15">
        <v>104</v>
      </c>
      <c r="J15" t="str">
        <f>_xlfn.IFNA(IF(I15&lt;&gt;0,VLOOKUP(VLOOKUP(I15,Tbl_Equip[],2,FALSE),Tbl_Color[],IFERROR(MATCH(UI!$B$1,Tbl_Color[#Headers],0),2),FALSE),""),"Unset")</f>
        <v>紅</v>
      </c>
      <c r="K15" t="str">
        <f>_xlfn.IFNA(IF(I15&lt;&gt;0,VLOOKUP(I15,ItemText[],IFERROR(MATCH(UI!$B$1,ItemText[#Headers],0),2),FALSE),""),"Unset")</f>
        <v>端正的火燃情景</v>
      </c>
      <c r="L15" t="str">
        <f t="shared" si="1"/>
        <v>7000401-靈巧＋２</v>
      </c>
      <c r="M15">
        <v>7000401</v>
      </c>
      <c r="N15" t="str">
        <f>IF(VALUE(M15)=0,"",VLOOKUP(VLOOKUP(M15,Tbl_Effect[],3,FALSE),EffectName[],IFERROR(MATCH(UI!$B$1,EffectName[#Headers],0),2),FALSE))</f>
        <v>靈巧＋２</v>
      </c>
      <c r="O15" t="str">
        <f t="shared" si="2"/>
        <v>7000501-智力＋２</v>
      </c>
      <c r="P15">
        <v>7000501</v>
      </c>
      <c r="Q15" t="str">
        <f>IF(VALUE(P15)=0,"",VLOOKUP(VLOOKUP(P15,Tbl_Effect[],3,FALSE),EffectName[],IFERROR(MATCH(UI!$B$1,EffectName[#Headers],0),2),FALSE))</f>
        <v>智力＋２</v>
      </c>
      <c r="R15" t="str">
        <f t="shared" si="3"/>
        <v>7000501-智力＋２</v>
      </c>
      <c r="S15">
        <v>7000501</v>
      </c>
      <c r="T15" t="str">
        <f>IF(VALUE(S15)=0,"",VLOOKUP(VLOOKUP(S15,Tbl_Effect[],3,FALSE),EffectName[],IFERROR(MATCH(UI!$B$1,EffectName[#Headers],0),2),FALSE))</f>
        <v>智力＋２</v>
      </c>
      <c r="U15" t="str">
        <f t="shared" si="4"/>
        <v/>
      </c>
      <c r="V15">
        <v>0</v>
      </c>
      <c r="W15" t="str">
        <f>IF(V15&lt;&gt;0,VLOOKUP(VLOOKUP(V15,Tbl_Effect[],3,FALSE),EffectName[],IFERROR(MATCH(UI!$B$1,EffectName[#Headers],0),2),FALSE),"")</f>
        <v/>
      </c>
      <c r="X15" t="str">
        <f t="shared" si="5"/>
        <v/>
      </c>
      <c r="Y15">
        <v>0</v>
      </c>
      <c r="Z15" t="str">
        <f>IF(Y15&lt;&gt;0,VLOOKUP(VLOOKUP(Y15,Tbl_Effect[],3,FALSE),EffectName[],IFERROR(MATCH(UI!$B$1,EffectName[#Headers],0),2),FALSE),"")</f>
        <v/>
      </c>
      <c r="AA15" t="str">
        <f t="shared" si="6"/>
        <v/>
      </c>
      <c r="AB15">
        <v>0</v>
      </c>
      <c r="AC15" t="str">
        <f>IF(AB15&lt;&gt;0,VLOOKUP(VLOOKUP(AB15,Tbl_Effect[],3,FALSE),EffectName[],IFERROR(MATCH(UI!$B$1,EffectName[#Headers],0),2),FALSE),"")</f>
        <v/>
      </c>
      <c r="AE15">
        <v>7000401</v>
      </c>
      <c r="AF15">
        <v>7000501</v>
      </c>
      <c r="AG15">
        <v>7000501</v>
      </c>
    </row>
    <row r="16" spans="1:36" x14ac:dyDescent="0.4">
      <c r="H16" t="str">
        <f t="shared" si="0"/>
        <v>105-遼闊的火燃情景 (紅)</v>
      </c>
      <c r="I16">
        <v>105</v>
      </c>
      <c r="J16" t="str">
        <f>_xlfn.IFNA(IF(I16&lt;&gt;0,VLOOKUP(VLOOKUP(I16,Tbl_Equip[],2,FALSE),Tbl_Color[],IFERROR(MATCH(UI!$B$1,Tbl_Color[#Headers],0),2),FALSE),""),"Unset")</f>
        <v>紅</v>
      </c>
      <c r="K16" t="str">
        <f>_xlfn.IFNA(IF(I16&lt;&gt;0,VLOOKUP(I16,ItemText[],IFERROR(MATCH(UI!$B$1,ItemText[#Headers],0),2),FALSE),""),"Unset")</f>
        <v>遼闊的火燃情景</v>
      </c>
      <c r="L16" t="str">
        <f t="shared" si="1"/>
        <v>7000402-靈巧＋３</v>
      </c>
      <c r="M16">
        <v>7000402</v>
      </c>
      <c r="N16" t="str">
        <f>IF(VALUE(M16)=0,"",VLOOKUP(VLOOKUP(M16,Tbl_Effect[],3,FALSE),EffectName[],IFERROR(MATCH(UI!$B$1,EffectName[#Headers],0),2),FALSE))</f>
        <v>靈巧＋３</v>
      </c>
      <c r="O16" t="str">
        <f t="shared" si="2"/>
        <v>7000502-智力＋３</v>
      </c>
      <c r="P16">
        <v>7000502</v>
      </c>
      <c r="Q16" t="str">
        <f>IF(VALUE(P16)=0,"",VLOOKUP(VLOOKUP(P16,Tbl_Effect[],3,FALSE),EffectName[],IFERROR(MATCH(UI!$B$1,EffectName[#Headers],0),2),FALSE))</f>
        <v>智力＋３</v>
      </c>
      <c r="R16" t="str">
        <f t="shared" si="3"/>
        <v>7000502-智力＋３</v>
      </c>
      <c r="S16">
        <v>7000502</v>
      </c>
      <c r="T16" t="str">
        <f>IF(VALUE(S16)=0,"",VLOOKUP(VLOOKUP(S16,Tbl_Effect[],3,FALSE),EffectName[],IFERROR(MATCH(UI!$B$1,EffectName[#Headers],0),2),FALSE))</f>
        <v>智力＋３</v>
      </c>
      <c r="U16" t="str">
        <f t="shared" si="4"/>
        <v/>
      </c>
      <c r="V16">
        <v>0</v>
      </c>
      <c r="W16" t="str">
        <f>IF(V16&lt;&gt;0,VLOOKUP(VLOOKUP(V16,Tbl_Effect[],3,FALSE),EffectName[],IFERROR(MATCH(UI!$B$1,EffectName[#Headers],0),2),FALSE),"")</f>
        <v/>
      </c>
      <c r="X16" t="str">
        <f t="shared" si="5"/>
        <v/>
      </c>
      <c r="Y16">
        <v>0</v>
      </c>
      <c r="Z16" t="str">
        <f>IF(Y16&lt;&gt;0,VLOOKUP(VLOOKUP(Y16,Tbl_Effect[],3,FALSE),EffectName[],IFERROR(MATCH(UI!$B$1,EffectName[#Headers],0),2),FALSE),"")</f>
        <v/>
      </c>
      <c r="AA16" t="str">
        <f t="shared" si="6"/>
        <v/>
      </c>
      <c r="AB16">
        <v>0</v>
      </c>
      <c r="AC16" t="str">
        <f>IF(AB16&lt;&gt;0,VLOOKUP(VLOOKUP(AB16,Tbl_Effect[],3,FALSE),EffectName[],IFERROR(MATCH(UI!$B$1,EffectName[#Headers],0),2),FALSE),"")</f>
        <v/>
      </c>
      <c r="AE16">
        <v>7000402</v>
      </c>
      <c r="AF16">
        <v>7000502</v>
      </c>
      <c r="AG16">
        <v>7000502</v>
      </c>
    </row>
    <row r="17" spans="8:33" x14ac:dyDescent="0.4">
      <c r="H17" t="str">
        <f t="shared" si="0"/>
        <v>106-細膩的火燃情景 (紅)</v>
      </c>
      <c r="I17">
        <v>106</v>
      </c>
      <c r="J17" t="str">
        <f>_xlfn.IFNA(IF(I17&lt;&gt;0,VLOOKUP(VLOOKUP(I17,Tbl_Equip[],2,FALSE),Tbl_Color[],IFERROR(MATCH(UI!$B$1,Tbl_Color[#Headers],0),2),FALSE),""),"Unset")</f>
        <v>紅</v>
      </c>
      <c r="K17" t="str">
        <f>_xlfn.IFNA(IF(I17&lt;&gt;0,VLOOKUP(I17,ItemText[],IFERROR(MATCH(UI!$B$1,ItemText[#Headers],0),2),FALSE),""),"Unset")</f>
        <v>細膩的火燃情景</v>
      </c>
      <c r="L17" t="str">
        <f t="shared" si="1"/>
        <v>7000500-智力＋１</v>
      </c>
      <c r="M17">
        <v>7000500</v>
      </c>
      <c r="N17" t="str">
        <f>IF(VALUE(M17)=0,"",VLOOKUP(VLOOKUP(M17,Tbl_Effect[],3,FALSE),EffectName[],IFERROR(MATCH(UI!$B$1,EffectName[#Headers],0),2),FALSE))</f>
        <v>智力＋１</v>
      </c>
      <c r="O17" t="str">
        <f t="shared" si="2"/>
        <v>7000600-信仰＋１</v>
      </c>
      <c r="P17">
        <v>7000600</v>
      </c>
      <c r="Q17" t="str">
        <f>IF(VALUE(P17)=0,"",VLOOKUP(VLOOKUP(P17,Tbl_Effect[],3,FALSE),EffectName[],IFERROR(MATCH(UI!$B$1,EffectName[#Headers],0),2),FALSE))</f>
        <v>信仰＋１</v>
      </c>
      <c r="R17" t="str">
        <f t="shared" si="3"/>
        <v>7000600-信仰＋１</v>
      </c>
      <c r="S17">
        <v>7000600</v>
      </c>
      <c r="T17" t="str">
        <f>IF(VALUE(S17)=0,"",VLOOKUP(VLOOKUP(S17,Tbl_Effect[],3,FALSE),EffectName[],IFERROR(MATCH(UI!$B$1,EffectName[#Headers],0),2),FALSE))</f>
        <v>信仰＋１</v>
      </c>
      <c r="U17" t="str">
        <f t="shared" si="4"/>
        <v/>
      </c>
      <c r="V17">
        <v>0</v>
      </c>
      <c r="W17" t="str">
        <f>IF(V17&lt;&gt;0,VLOOKUP(VLOOKUP(V17,Tbl_Effect[],3,FALSE),EffectName[],IFERROR(MATCH(UI!$B$1,EffectName[#Headers],0),2),FALSE),"")</f>
        <v/>
      </c>
      <c r="X17" t="str">
        <f t="shared" si="5"/>
        <v/>
      </c>
      <c r="Y17">
        <v>0</v>
      </c>
      <c r="Z17" t="str">
        <f>IF(Y17&lt;&gt;0,VLOOKUP(VLOOKUP(Y17,Tbl_Effect[],3,FALSE),EffectName[],IFERROR(MATCH(UI!$B$1,EffectName[#Headers],0),2),FALSE),"")</f>
        <v/>
      </c>
      <c r="AA17" t="str">
        <f t="shared" si="6"/>
        <v/>
      </c>
      <c r="AB17">
        <v>0</v>
      </c>
      <c r="AC17" t="str">
        <f>IF(AB17&lt;&gt;0,VLOOKUP(VLOOKUP(AB17,Tbl_Effect[],3,FALSE),EffectName[],IFERROR(MATCH(UI!$B$1,EffectName[#Headers],0),2),FALSE),"")</f>
        <v/>
      </c>
      <c r="AE17">
        <v>7000500</v>
      </c>
      <c r="AF17">
        <v>7000600</v>
      </c>
      <c r="AG17">
        <v>7000600</v>
      </c>
    </row>
    <row r="18" spans="8:33" x14ac:dyDescent="0.4">
      <c r="H18" t="str">
        <f t="shared" si="0"/>
        <v>107-端正的火燃情景 (紅)</v>
      </c>
      <c r="I18">
        <v>107</v>
      </c>
      <c r="J18" t="str">
        <f>_xlfn.IFNA(IF(I18&lt;&gt;0,VLOOKUP(VLOOKUP(I18,Tbl_Equip[],2,FALSE),Tbl_Color[],IFERROR(MATCH(UI!$B$1,Tbl_Color[#Headers],0),2),FALSE),""),"Unset")</f>
        <v>紅</v>
      </c>
      <c r="K18" t="str">
        <f>_xlfn.IFNA(IF(I18&lt;&gt;0,VLOOKUP(I18,ItemText[],IFERROR(MATCH(UI!$B$1,ItemText[#Headers],0),2),FALSE),""),"Unset")</f>
        <v>端正的火燃情景</v>
      </c>
      <c r="L18" t="str">
        <f t="shared" si="1"/>
        <v>7000501-智力＋２</v>
      </c>
      <c r="M18">
        <v>7000501</v>
      </c>
      <c r="N18" t="str">
        <f>IF(VALUE(M18)=0,"",VLOOKUP(VLOOKUP(M18,Tbl_Effect[],3,FALSE),EffectName[],IFERROR(MATCH(UI!$B$1,EffectName[#Headers],0),2),FALSE))</f>
        <v>智力＋２</v>
      </c>
      <c r="O18" t="str">
        <f t="shared" si="2"/>
        <v>7000601-信仰＋２</v>
      </c>
      <c r="P18">
        <v>7000601</v>
      </c>
      <c r="Q18" t="str">
        <f>IF(VALUE(P18)=0,"",VLOOKUP(VLOOKUP(P18,Tbl_Effect[],3,FALSE),EffectName[],IFERROR(MATCH(UI!$B$1,EffectName[#Headers],0),2),FALSE))</f>
        <v>信仰＋２</v>
      </c>
      <c r="R18" t="str">
        <f t="shared" si="3"/>
        <v>7000601-信仰＋２</v>
      </c>
      <c r="S18">
        <v>7000601</v>
      </c>
      <c r="T18" t="str">
        <f>IF(VALUE(S18)=0,"",VLOOKUP(VLOOKUP(S18,Tbl_Effect[],3,FALSE),EffectName[],IFERROR(MATCH(UI!$B$1,EffectName[#Headers],0),2),FALSE))</f>
        <v>信仰＋２</v>
      </c>
      <c r="U18" t="str">
        <f t="shared" si="4"/>
        <v/>
      </c>
      <c r="V18">
        <v>0</v>
      </c>
      <c r="W18" t="str">
        <f>IF(V18&lt;&gt;0,VLOOKUP(VLOOKUP(V18,Tbl_Effect[],3,FALSE),EffectName[],IFERROR(MATCH(UI!$B$1,EffectName[#Headers],0),2),FALSE),"")</f>
        <v/>
      </c>
      <c r="X18" t="str">
        <f t="shared" si="5"/>
        <v/>
      </c>
      <c r="Y18">
        <v>0</v>
      </c>
      <c r="Z18" t="str">
        <f>IF(Y18&lt;&gt;0,VLOOKUP(VLOOKUP(Y18,Tbl_Effect[],3,FALSE),EffectName[],IFERROR(MATCH(UI!$B$1,EffectName[#Headers],0),2),FALSE),"")</f>
        <v/>
      </c>
      <c r="AA18" t="str">
        <f t="shared" si="6"/>
        <v/>
      </c>
      <c r="AB18">
        <v>0</v>
      </c>
      <c r="AC18" t="str">
        <f>IF(AB18&lt;&gt;0,VLOOKUP(VLOOKUP(AB18,Tbl_Effect[],3,FALSE),EffectName[],IFERROR(MATCH(UI!$B$1,EffectName[#Headers],0),2),FALSE),"")</f>
        <v/>
      </c>
      <c r="AE18">
        <v>7000501</v>
      </c>
      <c r="AF18">
        <v>7000601</v>
      </c>
      <c r="AG18">
        <v>7000601</v>
      </c>
    </row>
    <row r="19" spans="8:33" x14ac:dyDescent="0.4">
      <c r="H19" t="str">
        <f t="shared" si="0"/>
        <v>108-遼闊的火燃情景 (紅)</v>
      </c>
      <c r="I19">
        <v>108</v>
      </c>
      <c r="J19" t="str">
        <f>_xlfn.IFNA(IF(I19&lt;&gt;0,VLOOKUP(VLOOKUP(I19,Tbl_Equip[],2,FALSE),Tbl_Color[],IFERROR(MATCH(UI!$B$1,Tbl_Color[#Headers],0),2),FALSE),""),"Unset")</f>
        <v>紅</v>
      </c>
      <c r="K19" t="str">
        <f>_xlfn.IFNA(IF(I19&lt;&gt;0,VLOOKUP(I19,ItemText[],IFERROR(MATCH(UI!$B$1,ItemText[#Headers],0),2),FALSE),""),"Unset")</f>
        <v>遼闊的火燃情景</v>
      </c>
      <c r="L19" t="str">
        <f t="shared" si="1"/>
        <v>7000502-智力＋３</v>
      </c>
      <c r="M19">
        <v>7000502</v>
      </c>
      <c r="N19" t="str">
        <f>IF(VALUE(M19)=0,"",VLOOKUP(VLOOKUP(M19,Tbl_Effect[],3,FALSE),EffectName[],IFERROR(MATCH(UI!$B$1,EffectName[#Headers],0),2),FALSE))</f>
        <v>智力＋３</v>
      </c>
      <c r="O19" t="str">
        <f t="shared" si="2"/>
        <v>7000602-信仰＋３</v>
      </c>
      <c r="P19">
        <v>7000602</v>
      </c>
      <c r="Q19" t="str">
        <f>IF(VALUE(P19)=0,"",VLOOKUP(VLOOKUP(P19,Tbl_Effect[],3,FALSE),EffectName[],IFERROR(MATCH(UI!$B$1,EffectName[#Headers],0),2),FALSE))</f>
        <v>信仰＋３</v>
      </c>
      <c r="R19" t="str">
        <f t="shared" si="3"/>
        <v>7000602-信仰＋３</v>
      </c>
      <c r="S19">
        <v>7000602</v>
      </c>
      <c r="T19" t="str">
        <f>IF(VALUE(S19)=0,"",VLOOKUP(VLOOKUP(S19,Tbl_Effect[],3,FALSE),EffectName[],IFERROR(MATCH(UI!$B$1,EffectName[#Headers],0),2),FALSE))</f>
        <v>信仰＋３</v>
      </c>
      <c r="U19" t="str">
        <f t="shared" si="4"/>
        <v/>
      </c>
      <c r="V19">
        <v>0</v>
      </c>
      <c r="W19" t="str">
        <f>IF(V19&lt;&gt;0,VLOOKUP(VLOOKUP(V19,Tbl_Effect[],3,FALSE),EffectName[],IFERROR(MATCH(UI!$B$1,EffectName[#Headers],0),2),FALSE),"")</f>
        <v/>
      </c>
      <c r="X19" t="str">
        <f t="shared" si="5"/>
        <v/>
      </c>
      <c r="Y19">
        <v>0</v>
      </c>
      <c r="Z19" t="str">
        <f>IF(Y19&lt;&gt;0,VLOOKUP(VLOOKUP(Y19,Tbl_Effect[],3,FALSE),EffectName[],IFERROR(MATCH(UI!$B$1,EffectName[#Headers],0),2),FALSE),"")</f>
        <v/>
      </c>
      <c r="AA19" t="str">
        <f t="shared" si="6"/>
        <v/>
      </c>
      <c r="AB19">
        <v>0</v>
      </c>
      <c r="AC19" t="str">
        <f>IF(AB19&lt;&gt;0,VLOOKUP(VLOOKUP(AB19,Tbl_Effect[],3,FALSE),EffectName[],IFERROR(MATCH(UI!$B$1,EffectName[#Headers],0),2),FALSE),"")</f>
        <v/>
      </c>
      <c r="AE19">
        <v>7000502</v>
      </c>
      <c r="AF19">
        <v>7000602</v>
      </c>
      <c r="AG19">
        <v>7000602</v>
      </c>
    </row>
    <row r="20" spans="8:33" x14ac:dyDescent="0.4">
      <c r="H20" t="str">
        <f t="shared" si="0"/>
        <v>109-細膩的水滴情景 (藍)</v>
      </c>
      <c r="I20">
        <v>109</v>
      </c>
      <c r="J20" t="str">
        <f>_xlfn.IFNA(IF(I20&lt;&gt;0,VLOOKUP(VLOOKUP(I20,Tbl_Equip[],2,FALSE),Tbl_Color[],IFERROR(MATCH(UI!$B$1,Tbl_Color[#Headers],0),2),FALSE),""),"Unset")</f>
        <v>藍</v>
      </c>
      <c r="K20" t="str">
        <f>_xlfn.IFNA(IF(I20&lt;&gt;0,VLOOKUP(I20,ItemText[],IFERROR(MATCH(UI!$B$1,ItemText[#Headers],0),2),FALSE),""),"Unset")</f>
        <v>細膩的水滴情景</v>
      </c>
      <c r="L20" t="str">
        <f t="shared" si="1"/>
        <v>7000600-信仰＋１</v>
      </c>
      <c r="M20">
        <v>7000600</v>
      </c>
      <c r="N20" t="str">
        <f>IF(VALUE(M20)=0,"",VLOOKUP(VLOOKUP(M20,Tbl_Effect[],3,FALSE),EffectName[],IFERROR(MATCH(UI!$B$1,EffectName[#Headers],0),2),FALSE))</f>
        <v>信仰＋１</v>
      </c>
      <c r="O20" t="str">
        <f t="shared" si="2"/>
        <v>7000700-感應＋１</v>
      </c>
      <c r="P20">
        <v>7000700</v>
      </c>
      <c r="Q20" t="str">
        <f>IF(VALUE(P20)=0,"",VLOOKUP(VLOOKUP(P20,Tbl_Effect[],3,FALSE),EffectName[],IFERROR(MATCH(UI!$B$1,EffectName[#Headers],0),2),FALSE))</f>
        <v>感應＋１</v>
      </c>
      <c r="R20" t="str">
        <f t="shared" si="3"/>
        <v>7000700-感應＋１</v>
      </c>
      <c r="S20">
        <v>7000700</v>
      </c>
      <c r="T20" t="str">
        <f>IF(VALUE(S20)=0,"",VLOOKUP(VLOOKUP(S20,Tbl_Effect[],3,FALSE),EffectName[],IFERROR(MATCH(UI!$B$1,EffectName[#Headers],0),2),FALSE))</f>
        <v>感應＋１</v>
      </c>
      <c r="U20" t="str">
        <f t="shared" si="4"/>
        <v/>
      </c>
      <c r="V20">
        <v>0</v>
      </c>
      <c r="W20" t="str">
        <f>IF(V20&lt;&gt;0,VLOOKUP(VLOOKUP(V20,Tbl_Effect[],3,FALSE),EffectName[],IFERROR(MATCH(UI!$B$1,EffectName[#Headers],0),2),FALSE),"")</f>
        <v/>
      </c>
      <c r="X20" t="str">
        <f t="shared" si="5"/>
        <v/>
      </c>
      <c r="Y20">
        <v>0</v>
      </c>
      <c r="Z20" t="str">
        <f>IF(Y20&lt;&gt;0,VLOOKUP(VLOOKUP(Y20,Tbl_Effect[],3,FALSE),EffectName[],IFERROR(MATCH(UI!$B$1,EffectName[#Headers],0),2),FALSE),"")</f>
        <v/>
      </c>
      <c r="AA20" t="str">
        <f t="shared" si="6"/>
        <v/>
      </c>
      <c r="AB20">
        <v>0</v>
      </c>
      <c r="AC20" t="str">
        <f>IF(AB20&lt;&gt;0,VLOOKUP(VLOOKUP(AB20,Tbl_Effect[],3,FALSE),EffectName[],IFERROR(MATCH(UI!$B$1,EffectName[#Headers],0),2),FALSE),"")</f>
        <v/>
      </c>
      <c r="AE20">
        <v>7000600</v>
      </c>
      <c r="AF20">
        <v>7000700</v>
      </c>
      <c r="AG20">
        <v>7000700</v>
      </c>
    </row>
    <row r="21" spans="8:33" x14ac:dyDescent="0.4">
      <c r="H21" t="str">
        <f t="shared" si="0"/>
        <v>110-端正的水滴情景 (藍)</v>
      </c>
      <c r="I21">
        <v>110</v>
      </c>
      <c r="J21" t="str">
        <f>_xlfn.IFNA(IF(I21&lt;&gt;0,VLOOKUP(VLOOKUP(I21,Tbl_Equip[],2,FALSE),Tbl_Color[],IFERROR(MATCH(UI!$B$1,Tbl_Color[#Headers],0),2),FALSE),""),"Unset")</f>
        <v>藍</v>
      </c>
      <c r="K21" t="str">
        <f>_xlfn.IFNA(IF(I21&lt;&gt;0,VLOOKUP(I21,ItemText[],IFERROR(MATCH(UI!$B$1,ItemText[#Headers],0),2),FALSE),""),"Unset")</f>
        <v>端正的水滴情景</v>
      </c>
      <c r="L21" t="str">
        <f t="shared" si="1"/>
        <v>7000601-信仰＋２</v>
      </c>
      <c r="M21">
        <v>7000601</v>
      </c>
      <c r="N21" t="str">
        <f>IF(VALUE(M21)=0,"",VLOOKUP(VLOOKUP(M21,Tbl_Effect[],3,FALSE),EffectName[],IFERROR(MATCH(UI!$B$1,EffectName[#Headers],0),2),FALSE))</f>
        <v>信仰＋２</v>
      </c>
      <c r="O21" t="str">
        <f t="shared" si="2"/>
        <v>7000701-感應＋２</v>
      </c>
      <c r="P21">
        <v>7000701</v>
      </c>
      <c r="Q21" t="str">
        <f>IF(VALUE(P21)=0,"",VLOOKUP(VLOOKUP(P21,Tbl_Effect[],3,FALSE),EffectName[],IFERROR(MATCH(UI!$B$1,EffectName[#Headers],0),2),FALSE))</f>
        <v>感應＋２</v>
      </c>
      <c r="R21" t="str">
        <f t="shared" si="3"/>
        <v>7000701-感應＋２</v>
      </c>
      <c r="S21">
        <v>7000701</v>
      </c>
      <c r="T21" t="str">
        <f>IF(VALUE(S21)=0,"",VLOOKUP(VLOOKUP(S21,Tbl_Effect[],3,FALSE),EffectName[],IFERROR(MATCH(UI!$B$1,EffectName[#Headers],0),2),FALSE))</f>
        <v>感應＋２</v>
      </c>
      <c r="U21" t="str">
        <f t="shared" si="4"/>
        <v/>
      </c>
      <c r="V21">
        <v>0</v>
      </c>
      <c r="W21" t="str">
        <f>IF(V21&lt;&gt;0,VLOOKUP(VLOOKUP(V21,Tbl_Effect[],3,FALSE),EffectName[],IFERROR(MATCH(UI!$B$1,EffectName[#Headers],0),2),FALSE),"")</f>
        <v/>
      </c>
      <c r="X21" t="str">
        <f t="shared" si="5"/>
        <v/>
      </c>
      <c r="Y21">
        <v>0</v>
      </c>
      <c r="Z21" t="str">
        <f>IF(Y21&lt;&gt;0,VLOOKUP(VLOOKUP(Y21,Tbl_Effect[],3,FALSE),EffectName[],IFERROR(MATCH(UI!$B$1,EffectName[#Headers],0),2),FALSE),"")</f>
        <v/>
      </c>
      <c r="AA21" t="str">
        <f t="shared" si="6"/>
        <v/>
      </c>
      <c r="AB21">
        <v>0</v>
      </c>
      <c r="AC21" t="str">
        <f>IF(AB21&lt;&gt;0,VLOOKUP(VLOOKUP(AB21,Tbl_Effect[],3,FALSE),EffectName[],IFERROR(MATCH(UI!$B$1,EffectName[#Headers],0),2),FALSE),"")</f>
        <v/>
      </c>
      <c r="AE21">
        <v>7000601</v>
      </c>
      <c r="AF21">
        <v>7000701</v>
      </c>
      <c r="AG21">
        <v>7000701</v>
      </c>
    </row>
    <row r="22" spans="8:33" x14ac:dyDescent="0.4">
      <c r="H22" t="str">
        <f t="shared" si="0"/>
        <v>111-遼闊的水滴情景 (藍)</v>
      </c>
      <c r="I22">
        <v>111</v>
      </c>
      <c r="J22" t="str">
        <f>_xlfn.IFNA(IF(I22&lt;&gt;0,VLOOKUP(VLOOKUP(I22,Tbl_Equip[],2,FALSE),Tbl_Color[],IFERROR(MATCH(UI!$B$1,Tbl_Color[#Headers],0),2),FALSE),""),"Unset")</f>
        <v>藍</v>
      </c>
      <c r="K22" t="str">
        <f>_xlfn.IFNA(IF(I22&lt;&gt;0,VLOOKUP(I22,ItemText[],IFERROR(MATCH(UI!$B$1,ItemText[#Headers],0),2),FALSE),""),"Unset")</f>
        <v>遼闊的水滴情景</v>
      </c>
      <c r="L22" t="str">
        <f t="shared" si="1"/>
        <v>7000602-信仰＋３</v>
      </c>
      <c r="M22">
        <v>7000602</v>
      </c>
      <c r="N22" t="str">
        <f>IF(VALUE(M22)=0,"",VLOOKUP(VLOOKUP(M22,Tbl_Effect[],3,FALSE),EffectName[],IFERROR(MATCH(UI!$B$1,EffectName[#Headers],0),2),FALSE))</f>
        <v>信仰＋３</v>
      </c>
      <c r="O22" t="str">
        <f t="shared" si="2"/>
        <v>7000702-感應＋３</v>
      </c>
      <c r="P22">
        <v>7000702</v>
      </c>
      <c r="Q22" t="str">
        <f>IF(VALUE(P22)=0,"",VLOOKUP(VLOOKUP(P22,Tbl_Effect[],3,FALSE),EffectName[],IFERROR(MATCH(UI!$B$1,EffectName[#Headers],0),2),FALSE))</f>
        <v>感應＋３</v>
      </c>
      <c r="R22" t="str">
        <f t="shared" si="3"/>
        <v>7000702-感應＋３</v>
      </c>
      <c r="S22">
        <v>7000702</v>
      </c>
      <c r="T22" t="str">
        <f>IF(VALUE(S22)=0,"",VLOOKUP(VLOOKUP(S22,Tbl_Effect[],3,FALSE),EffectName[],IFERROR(MATCH(UI!$B$1,EffectName[#Headers],0),2),FALSE))</f>
        <v>感應＋３</v>
      </c>
      <c r="U22" t="str">
        <f t="shared" si="4"/>
        <v/>
      </c>
      <c r="V22">
        <v>0</v>
      </c>
      <c r="W22" t="str">
        <f>IF(V22&lt;&gt;0,VLOOKUP(VLOOKUP(V22,Tbl_Effect[],3,FALSE),EffectName[],IFERROR(MATCH(UI!$B$1,EffectName[#Headers],0),2),FALSE),"")</f>
        <v/>
      </c>
      <c r="X22" t="str">
        <f t="shared" si="5"/>
        <v/>
      </c>
      <c r="Y22">
        <v>0</v>
      </c>
      <c r="Z22" t="str">
        <f>IF(Y22&lt;&gt;0,VLOOKUP(VLOOKUP(Y22,Tbl_Effect[],3,FALSE),EffectName[],IFERROR(MATCH(UI!$B$1,EffectName[#Headers],0),2),FALSE),"")</f>
        <v/>
      </c>
      <c r="AA22" t="str">
        <f t="shared" si="6"/>
        <v/>
      </c>
      <c r="AB22">
        <v>0</v>
      </c>
      <c r="AC22" t="str">
        <f>IF(AB22&lt;&gt;0,VLOOKUP(VLOOKUP(AB22,Tbl_Effect[],3,FALSE),EffectName[],IFERROR(MATCH(UI!$B$1,EffectName[#Headers],0),2),FALSE),"")</f>
        <v/>
      </c>
      <c r="AE22">
        <v>7000602</v>
      </c>
      <c r="AF22">
        <v>7000702</v>
      </c>
      <c r="AG22">
        <v>7000702</v>
      </c>
    </row>
    <row r="23" spans="8:33" x14ac:dyDescent="0.4">
      <c r="H23" t="str">
        <f t="shared" si="0"/>
        <v>112-細膩的水滴情景 (藍)</v>
      </c>
      <c r="I23">
        <v>112</v>
      </c>
      <c r="J23" t="str">
        <f>_xlfn.IFNA(IF(I23&lt;&gt;0,VLOOKUP(VLOOKUP(I23,Tbl_Equip[],2,FALSE),Tbl_Color[],IFERROR(MATCH(UI!$B$1,Tbl_Color[#Headers],0),2),FALSE),""),"Unset")</f>
        <v>藍</v>
      </c>
      <c r="K23" t="str">
        <f>_xlfn.IFNA(IF(I23&lt;&gt;0,VLOOKUP(I23,ItemText[],IFERROR(MATCH(UI!$B$1,ItemText[#Headers],0),2),FALSE),""),"Unset")</f>
        <v>細膩的水滴情景</v>
      </c>
      <c r="L23" t="str">
        <f t="shared" si="1"/>
        <v>7000700-感應＋１</v>
      </c>
      <c r="M23">
        <v>7000700</v>
      </c>
      <c r="N23" t="str">
        <f>IF(VALUE(M23)=0,"",VLOOKUP(VLOOKUP(M23,Tbl_Effect[],3,FALSE),EffectName[],IFERROR(MATCH(UI!$B$1,EffectName[#Headers],0),2),FALSE))</f>
        <v>感應＋１</v>
      </c>
      <c r="O23" t="str">
        <f t="shared" si="2"/>
        <v>7000800-縮短技藝的冷卻時間＋１</v>
      </c>
      <c r="P23">
        <v>7000800</v>
      </c>
      <c r="Q23" t="str">
        <f>IF(VALUE(P23)=0,"",VLOOKUP(VLOOKUP(P23,Tbl_Effect[],3,FALSE),EffectName[],IFERROR(MATCH(UI!$B$1,EffectName[#Headers],0),2),FALSE))</f>
        <v>縮短技藝的冷卻時間＋１</v>
      </c>
      <c r="R23" t="str">
        <f t="shared" si="3"/>
        <v>7000800-縮短技藝的冷卻時間＋１</v>
      </c>
      <c r="S23">
        <v>7000800</v>
      </c>
      <c r="T23" t="str">
        <f>IF(VALUE(S23)=0,"",VLOOKUP(VLOOKUP(S23,Tbl_Effect[],3,FALSE),EffectName[],IFERROR(MATCH(UI!$B$1,EffectName[#Headers],0),2),FALSE))</f>
        <v>縮短技藝的冷卻時間＋１</v>
      </c>
      <c r="U23" t="str">
        <f t="shared" si="4"/>
        <v/>
      </c>
      <c r="V23">
        <v>0</v>
      </c>
      <c r="W23" t="str">
        <f>IF(V23&lt;&gt;0,VLOOKUP(VLOOKUP(V23,Tbl_Effect[],3,FALSE),EffectName[],IFERROR(MATCH(UI!$B$1,EffectName[#Headers],0),2),FALSE),"")</f>
        <v/>
      </c>
      <c r="X23" t="str">
        <f t="shared" si="5"/>
        <v/>
      </c>
      <c r="Y23">
        <v>0</v>
      </c>
      <c r="Z23" t="str">
        <f>IF(Y23&lt;&gt;0,VLOOKUP(VLOOKUP(Y23,Tbl_Effect[],3,FALSE),EffectName[],IFERROR(MATCH(UI!$B$1,EffectName[#Headers],0),2),FALSE),"")</f>
        <v/>
      </c>
      <c r="AA23" t="str">
        <f t="shared" si="6"/>
        <v/>
      </c>
      <c r="AB23">
        <v>0</v>
      </c>
      <c r="AC23" t="str">
        <f>IF(AB23&lt;&gt;0,VLOOKUP(VLOOKUP(AB23,Tbl_Effect[],3,FALSE),EffectName[],IFERROR(MATCH(UI!$B$1,EffectName[#Headers],0),2),FALSE),"")</f>
        <v/>
      </c>
      <c r="AE23">
        <v>7000700</v>
      </c>
      <c r="AF23">
        <v>7000800</v>
      </c>
      <c r="AG23">
        <v>7000800</v>
      </c>
    </row>
    <row r="24" spans="8:33" x14ac:dyDescent="0.4">
      <c r="H24" t="str">
        <f t="shared" si="0"/>
        <v>113-端正的水滴情景 (藍)</v>
      </c>
      <c r="I24">
        <v>113</v>
      </c>
      <c r="J24" t="str">
        <f>_xlfn.IFNA(IF(I24&lt;&gt;0,VLOOKUP(VLOOKUP(I24,Tbl_Equip[],2,FALSE),Tbl_Color[],IFERROR(MATCH(UI!$B$1,Tbl_Color[#Headers],0),2),FALSE),""),"Unset")</f>
        <v>藍</v>
      </c>
      <c r="K24" t="str">
        <f>_xlfn.IFNA(IF(I24&lt;&gt;0,VLOOKUP(I24,ItemText[],IFERROR(MATCH(UI!$B$1,ItemText[#Headers],0),2),FALSE),""),"Unset")</f>
        <v>端正的水滴情景</v>
      </c>
      <c r="L24" t="str">
        <f t="shared" si="1"/>
        <v>7000701-感應＋２</v>
      </c>
      <c r="M24">
        <v>7000701</v>
      </c>
      <c r="N24" t="str">
        <f>IF(VALUE(M24)=0,"",VLOOKUP(VLOOKUP(M24,Tbl_Effect[],3,FALSE),EffectName[],IFERROR(MATCH(UI!$B$1,EffectName[#Headers],0),2),FALSE))</f>
        <v>感應＋２</v>
      </c>
      <c r="O24" t="str">
        <f t="shared" si="2"/>
        <v>7000801-縮短技藝的冷卻時間＋２</v>
      </c>
      <c r="P24">
        <v>7000801</v>
      </c>
      <c r="Q24" t="str">
        <f>IF(VALUE(P24)=0,"",VLOOKUP(VLOOKUP(P24,Tbl_Effect[],3,FALSE),EffectName[],IFERROR(MATCH(UI!$B$1,EffectName[#Headers],0),2),FALSE))</f>
        <v>縮短技藝的冷卻時間＋２</v>
      </c>
      <c r="R24" t="str">
        <f t="shared" si="3"/>
        <v>7000801-縮短技藝的冷卻時間＋２</v>
      </c>
      <c r="S24">
        <v>7000801</v>
      </c>
      <c r="T24" t="str">
        <f>IF(VALUE(S24)=0,"",VLOOKUP(VLOOKUP(S24,Tbl_Effect[],3,FALSE),EffectName[],IFERROR(MATCH(UI!$B$1,EffectName[#Headers],0),2),FALSE))</f>
        <v>縮短技藝的冷卻時間＋２</v>
      </c>
      <c r="U24" t="str">
        <f t="shared" si="4"/>
        <v/>
      </c>
      <c r="V24">
        <v>0</v>
      </c>
      <c r="W24" t="str">
        <f>IF(V24&lt;&gt;0,VLOOKUP(VLOOKUP(V24,Tbl_Effect[],3,FALSE),EffectName[],IFERROR(MATCH(UI!$B$1,EffectName[#Headers],0),2),FALSE),"")</f>
        <v/>
      </c>
      <c r="X24" t="str">
        <f t="shared" si="5"/>
        <v/>
      </c>
      <c r="Y24">
        <v>0</v>
      </c>
      <c r="Z24" t="str">
        <f>IF(Y24&lt;&gt;0,VLOOKUP(VLOOKUP(Y24,Tbl_Effect[],3,FALSE),EffectName[],IFERROR(MATCH(UI!$B$1,EffectName[#Headers],0),2),FALSE),"")</f>
        <v/>
      </c>
      <c r="AA24" t="str">
        <f t="shared" si="6"/>
        <v/>
      </c>
      <c r="AB24">
        <v>0</v>
      </c>
      <c r="AC24" t="str">
        <f>IF(AB24&lt;&gt;0,VLOOKUP(VLOOKUP(AB24,Tbl_Effect[],3,FALSE),EffectName[],IFERROR(MATCH(UI!$B$1,EffectName[#Headers],0),2),FALSE),"")</f>
        <v/>
      </c>
      <c r="AE24">
        <v>7000701</v>
      </c>
      <c r="AF24">
        <v>7000801</v>
      </c>
      <c r="AG24">
        <v>7000801</v>
      </c>
    </row>
    <row r="25" spans="8:33" x14ac:dyDescent="0.4">
      <c r="H25" t="str">
        <f t="shared" si="0"/>
        <v>114-遼闊的水滴情景 (藍)</v>
      </c>
      <c r="I25">
        <v>114</v>
      </c>
      <c r="J25" t="str">
        <f>_xlfn.IFNA(IF(I25&lt;&gt;0,VLOOKUP(VLOOKUP(I25,Tbl_Equip[],2,FALSE),Tbl_Color[],IFERROR(MATCH(UI!$B$1,Tbl_Color[#Headers],0),2),FALSE),""),"Unset")</f>
        <v>藍</v>
      </c>
      <c r="K25" t="str">
        <f>_xlfn.IFNA(IF(I25&lt;&gt;0,VLOOKUP(I25,ItemText[],IFERROR(MATCH(UI!$B$1,ItemText[#Headers],0),2),FALSE),""),"Unset")</f>
        <v>遼闊的水滴情景</v>
      </c>
      <c r="L25" t="str">
        <f t="shared" si="1"/>
        <v>7000702-感應＋３</v>
      </c>
      <c r="M25">
        <v>7000702</v>
      </c>
      <c r="N25" t="str">
        <f>IF(VALUE(M25)=0,"",VLOOKUP(VLOOKUP(M25,Tbl_Effect[],3,FALSE),EffectName[],IFERROR(MATCH(UI!$B$1,EffectName[#Headers],0),2),FALSE))</f>
        <v>感應＋３</v>
      </c>
      <c r="O25" t="str">
        <f t="shared" si="2"/>
        <v>7000802-縮短技藝的冷卻時間＋３</v>
      </c>
      <c r="P25">
        <v>7000802</v>
      </c>
      <c r="Q25" t="str">
        <f>IF(VALUE(P25)=0,"",VLOOKUP(VLOOKUP(P25,Tbl_Effect[],3,FALSE),EffectName[],IFERROR(MATCH(UI!$B$1,EffectName[#Headers],0),2),FALSE))</f>
        <v>縮短技藝的冷卻時間＋３</v>
      </c>
      <c r="R25" t="str">
        <f t="shared" si="3"/>
        <v>7000802-縮短技藝的冷卻時間＋３</v>
      </c>
      <c r="S25">
        <v>7000802</v>
      </c>
      <c r="T25" t="str">
        <f>IF(VALUE(S25)=0,"",VLOOKUP(VLOOKUP(S25,Tbl_Effect[],3,FALSE),EffectName[],IFERROR(MATCH(UI!$B$1,EffectName[#Headers],0),2),FALSE))</f>
        <v>縮短技藝的冷卻時間＋３</v>
      </c>
      <c r="U25" t="str">
        <f t="shared" si="4"/>
        <v/>
      </c>
      <c r="V25">
        <v>0</v>
      </c>
      <c r="W25" t="str">
        <f>IF(V25&lt;&gt;0,VLOOKUP(VLOOKUP(V25,Tbl_Effect[],3,FALSE),EffectName[],IFERROR(MATCH(UI!$B$1,EffectName[#Headers],0),2),FALSE),"")</f>
        <v/>
      </c>
      <c r="X25" t="str">
        <f t="shared" si="5"/>
        <v/>
      </c>
      <c r="Y25">
        <v>0</v>
      </c>
      <c r="Z25" t="str">
        <f>IF(Y25&lt;&gt;0,VLOOKUP(VLOOKUP(Y25,Tbl_Effect[],3,FALSE),EffectName[],IFERROR(MATCH(UI!$B$1,EffectName[#Headers],0),2),FALSE),"")</f>
        <v/>
      </c>
      <c r="AA25" t="str">
        <f t="shared" si="6"/>
        <v/>
      </c>
      <c r="AB25">
        <v>0</v>
      </c>
      <c r="AC25" t="str">
        <f>IF(AB25&lt;&gt;0,VLOOKUP(VLOOKUP(AB25,Tbl_Effect[],3,FALSE),EffectName[],IFERROR(MATCH(UI!$B$1,EffectName[#Headers],0),2),FALSE),"")</f>
        <v/>
      </c>
      <c r="AE25">
        <v>7000702</v>
      </c>
      <c r="AF25">
        <v>7000802</v>
      </c>
      <c r="AG25">
        <v>7000802</v>
      </c>
    </row>
    <row r="26" spans="8:33" x14ac:dyDescent="0.4">
      <c r="H26" t="str">
        <f t="shared" si="0"/>
        <v>115-細膩的水滴情景 (藍)</v>
      </c>
      <c r="I26">
        <v>115</v>
      </c>
      <c r="J26" t="str">
        <f>_xlfn.IFNA(IF(I26&lt;&gt;0,VLOOKUP(VLOOKUP(I26,Tbl_Equip[],2,FALSE),Tbl_Color[],IFERROR(MATCH(UI!$B$1,Tbl_Color[#Headers],0),2),FALSE),""),"Unset")</f>
        <v>藍</v>
      </c>
      <c r="K26" t="str">
        <f>_xlfn.IFNA(IF(I26&lt;&gt;0,VLOOKUP(I26,ItemText[],IFERROR(MATCH(UI!$B$1,ItemText[#Headers],0),2),FALSE),""),"Unset")</f>
        <v>細膩的水滴情景</v>
      </c>
      <c r="L26" t="str">
        <f t="shared" si="1"/>
        <v>7000800-縮短技藝的冷卻時間＋１</v>
      </c>
      <c r="M26">
        <v>7000800</v>
      </c>
      <c r="N26" t="str">
        <f>IF(VALUE(M26)=0,"",VLOOKUP(VLOOKUP(M26,Tbl_Effect[],3,FALSE),EffectName[],IFERROR(MATCH(UI!$B$1,EffectName[#Headers],0),2),FALSE))</f>
        <v>縮短技藝的冷卻時間＋１</v>
      </c>
      <c r="O26" t="str">
        <f t="shared" si="2"/>
        <v>7000900-自然累積絕活量表＋１</v>
      </c>
      <c r="P26">
        <v>7000900</v>
      </c>
      <c r="Q26" t="str">
        <f>IF(VALUE(P26)=0,"",VLOOKUP(VLOOKUP(P26,Tbl_Effect[],3,FALSE),EffectName[],IFERROR(MATCH(UI!$B$1,EffectName[#Headers],0),2),FALSE))</f>
        <v>自然累積絕活量表＋１</v>
      </c>
      <c r="R26" t="str">
        <f t="shared" si="3"/>
        <v>7000900-自然累積絕活量表＋１</v>
      </c>
      <c r="S26">
        <v>7000900</v>
      </c>
      <c r="T26" t="str">
        <f>IF(VALUE(S26)=0,"",VLOOKUP(VLOOKUP(S26,Tbl_Effect[],3,FALSE),EffectName[],IFERROR(MATCH(UI!$B$1,EffectName[#Headers],0),2),FALSE))</f>
        <v>自然累積絕活量表＋１</v>
      </c>
      <c r="U26" t="str">
        <f t="shared" si="4"/>
        <v/>
      </c>
      <c r="V26">
        <v>0</v>
      </c>
      <c r="W26" t="str">
        <f>IF(V26&lt;&gt;0,VLOOKUP(VLOOKUP(V26,Tbl_Effect[],3,FALSE),EffectName[],IFERROR(MATCH(UI!$B$1,EffectName[#Headers],0),2),FALSE),"")</f>
        <v/>
      </c>
      <c r="X26" t="str">
        <f t="shared" si="5"/>
        <v/>
      </c>
      <c r="Y26">
        <v>0</v>
      </c>
      <c r="Z26" t="str">
        <f>IF(Y26&lt;&gt;0,VLOOKUP(VLOOKUP(Y26,Tbl_Effect[],3,FALSE),EffectName[],IFERROR(MATCH(UI!$B$1,EffectName[#Headers],0),2),FALSE),"")</f>
        <v/>
      </c>
      <c r="AA26" t="str">
        <f t="shared" si="6"/>
        <v/>
      </c>
      <c r="AB26">
        <v>0</v>
      </c>
      <c r="AC26" t="str">
        <f>IF(AB26&lt;&gt;0,VLOOKUP(VLOOKUP(AB26,Tbl_Effect[],3,FALSE),EffectName[],IFERROR(MATCH(UI!$B$1,EffectName[#Headers],0),2),FALSE),"")</f>
        <v/>
      </c>
      <c r="AE26">
        <v>7000800</v>
      </c>
      <c r="AF26">
        <v>7000900</v>
      </c>
      <c r="AG26">
        <v>7000900</v>
      </c>
    </row>
    <row r="27" spans="8:33" x14ac:dyDescent="0.4">
      <c r="H27" t="str">
        <f t="shared" si="0"/>
        <v>116-端正的水滴情景 (藍)</v>
      </c>
      <c r="I27">
        <v>116</v>
      </c>
      <c r="J27" t="str">
        <f>_xlfn.IFNA(IF(I27&lt;&gt;0,VLOOKUP(VLOOKUP(I27,Tbl_Equip[],2,FALSE),Tbl_Color[],IFERROR(MATCH(UI!$B$1,Tbl_Color[#Headers],0),2),FALSE),""),"Unset")</f>
        <v>藍</v>
      </c>
      <c r="K27" t="str">
        <f>_xlfn.IFNA(IF(I27&lt;&gt;0,VLOOKUP(I27,ItemText[],IFERROR(MATCH(UI!$B$1,ItemText[#Headers],0),2),FALSE),""),"Unset")</f>
        <v>端正的水滴情景</v>
      </c>
      <c r="L27" t="str">
        <f t="shared" si="1"/>
        <v>7000801-縮短技藝的冷卻時間＋２</v>
      </c>
      <c r="M27">
        <v>7000801</v>
      </c>
      <c r="N27" t="str">
        <f>IF(VALUE(M27)=0,"",VLOOKUP(VLOOKUP(M27,Tbl_Effect[],3,FALSE),EffectName[],IFERROR(MATCH(UI!$B$1,EffectName[#Headers],0),2),FALSE))</f>
        <v>縮短技藝的冷卻時間＋２</v>
      </c>
      <c r="O27" t="str">
        <f t="shared" si="2"/>
        <v>7000901-自然累積絕活量表＋２</v>
      </c>
      <c r="P27">
        <v>7000901</v>
      </c>
      <c r="Q27" t="str">
        <f>IF(VALUE(P27)=0,"",VLOOKUP(VLOOKUP(P27,Tbl_Effect[],3,FALSE),EffectName[],IFERROR(MATCH(UI!$B$1,EffectName[#Headers],0),2),FALSE))</f>
        <v>自然累積絕活量表＋２</v>
      </c>
      <c r="R27" t="str">
        <f t="shared" si="3"/>
        <v>7000901-自然累積絕活量表＋２</v>
      </c>
      <c r="S27">
        <v>7000901</v>
      </c>
      <c r="T27" t="str">
        <f>IF(VALUE(S27)=0,"",VLOOKUP(VLOOKUP(S27,Tbl_Effect[],3,FALSE),EffectName[],IFERROR(MATCH(UI!$B$1,EffectName[#Headers],0),2),FALSE))</f>
        <v>自然累積絕活量表＋２</v>
      </c>
      <c r="U27" t="str">
        <f t="shared" si="4"/>
        <v/>
      </c>
      <c r="V27">
        <v>0</v>
      </c>
      <c r="W27" t="str">
        <f>IF(V27&lt;&gt;0,VLOOKUP(VLOOKUP(V27,Tbl_Effect[],3,FALSE),EffectName[],IFERROR(MATCH(UI!$B$1,EffectName[#Headers],0),2),FALSE),"")</f>
        <v/>
      </c>
      <c r="X27" t="str">
        <f t="shared" si="5"/>
        <v/>
      </c>
      <c r="Y27">
        <v>0</v>
      </c>
      <c r="Z27" t="str">
        <f>IF(Y27&lt;&gt;0,VLOOKUP(VLOOKUP(Y27,Tbl_Effect[],3,FALSE),EffectName[],IFERROR(MATCH(UI!$B$1,EffectName[#Headers],0),2),FALSE),"")</f>
        <v/>
      </c>
      <c r="AA27" t="str">
        <f t="shared" si="6"/>
        <v/>
      </c>
      <c r="AB27">
        <v>0</v>
      </c>
      <c r="AC27" t="str">
        <f>IF(AB27&lt;&gt;0,VLOOKUP(VLOOKUP(AB27,Tbl_Effect[],3,FALSE),EffectName[],IFERROR(MATCH(UI!$B$1,EffectName[#Headers],0),2),FALSE),"")</f>
        <v/>
      </c>
      <c r="AE27">
        <v>7000801</v>
      </c>
      <c r="AF27">
        <v>7000901</v>
      </c>
      <c r="AG27">
        <v>7000901</v>
      </c>
    </row>
    <row r="28" spans="8:33" x14ac:dyDescent="0.4">
      <c r="H28" t="str">
        <f t="shared" si="0"/>
        <v>117-遼闊的水滴情景 (藍)</v>
      </c>
      <c r="I28">
        <v>117</v>
      </c>
      <c r="J28" t="str">
        <f>_xlfn.IFNA(IF(I28&lt;&gt;0,VLOOKUP(VLOOKUP(I28,Tbl_Equip[],2,FALSE),Tbl_Color[],IFERROR(MATCH(UI!$B$1,Tbl_Color[#Headers],0),2),FALSE),""),"Unset")</f>
        <v>藍</v>
      </c>
      <c r="K28" t="str">
        <f>_xlfn.IFNA(IF(I28&lt;&gt;0,VLOOKUP(I28,ItemText[],IFERROR(MATCH(UI!$B$1,ItemText[#Headers],0),2),FALSE),""),"Unset")</f>
        <v>遼闊的水滴情景</v>
      </c>
      <c r="L28" t="str">
        <f t="shared" si="1"/>
        <v>7000802-縮短技藝的冷卻時間＋３</v>
      </c>
      <c r="M28">
        <v>7000802</v>
      </c>
      <c r="N28" t="str">
        <f>IF(VALUE(M28)=0,"",VLOOKUP(VLOOKUP(M28,Tbl_Effect[],3,FALSE),EffectName[],IFERROR(MATCH(UI!$B$1,EffectName[#Headers],0),2),FALSE))</f>
        <v>縮短技藝的冷卻時間＋３</v>
      </c>
      <c r="O28" t="str">
        <f t="shared" si="2"/>
        <v>7000902-自然累積絕活量表＋３</v>
      </c>
      <c r="P28">
        <v>7000902</v>
      </c>
      <c r="Q28" t="str">
        <f>IF(VALUE(P28)=0,"",VLOOKUP(VLOOKUP(P28,Tbl_Effect[],3,FALSE),EffectName[],IFERROR(MATCH(UI!$B$1,EffectName[#Headers],0),2),FALSE))</f>
        <v>自然累積絕活量表＋３</v>
      </c>
      <c r="R28" t="str">
        <f t="shared" si="3"/>
        <v>7000902-自然累積絕活量表＋３</v>
      </c>
      <c r="S28">
        <v>7000902</v>
      </c>
      <c r="T28" t="str">
        <f>IF(VALUE(S28)=0,"",VLOOKUP(VLOOKUP(S28,Tbl_Effect[],3,FALSE),EffectName[],IFERROR(MATCH(UI!$B$1,EffectName[#Headers],0),2),FALSE))</f>
        <v>自然累積絕活量表＋３</v>
      </c>
      <c r="U28" t="str">
        <f t="shared" si="4"/>
        <v/>
      </c>
      <c r="V28">
        <v>0</v>
      </c>
      <c r="W28" t="str">
        <f>IF(V28&lt;&gt;0,VLOOKUP(VLOOKUP(V28,Tbl_Effect[],3,FALSE),EffectName[],IFERROR(MATCH(UI!$B$1,EffectName[#Headers],0),2),FALSE),"")</f>
        <v/>
      </c>
      <c r="X28" t="str">
        <f t="shared" si="5"/>
        <v/>
      </c>
      <c r="Y28">
        <v>0</v>
      </c>
      <c r="Z28" t="str">
        <f>IF(Y28&lt;&gt;0,VLOOKUP(VLOOKUP(Y28,Tbl_Effect[],3,FALSE),EffectName[],IFERROR(MATCH(UI!$B$1,EffectName[#Headers],0),2),FALSE),"")</f>
        <v/>
      </c>
      <c r="AA28" t="str">
        <f t="shared" si="6"/>
        <v/>
      </c>
      <c r="AB28">
        <v>0</v>
      </c>
      <c r="AC28" t="str">
        <f>IF(AB28&lt;&gt;0,VLOOKUP(VLOOKUP(AB28,Tbl_Effect[],3,FALSE),EffectName[],IFERROR(MATCH(UI!$B$1,EffectName[#Headers],0),2),FALSE),"")</f>
        <v/>
      </c>
      <c r="AE28">
        <v>7000802</v>
      </c>
      <c r="AF28">
        <v>7000902</v>
      </c>
      <c r="AG28">
        <v>7000902</v>
      </c>
    </row>
    <row r="29" spans="8:33" x14ac:dyDescent="0.4">
      <c r="H29" t="str">
        <f t="shared" si="0"/>
        <v>118-細膩的光耀情景 (黃)</v>
      </c>
      <c r="I29">
        <v>118</v>
      </c>
      <c r="J29" t="str">
        <f>_xlfn.IFNA(IF(I29&lt;&gt;0,VLOOKUP(VLOOKUP(I29,Tbl_Equip[],2,FALSE),Tbl_Color[],IFERROR(MATCH(UI!$B$1,Tbl_Color[#Headers],0),2),FALSE),""),"Unset")</f>
        <v>黃</v>
      </c>
      <c r="K29" t="str">
        <f>_xlfn.IFNA(IF(I29&lt;&gt;0,VLOOKUP(I29,ItemText[],IFERROR(MATCH(UI!$B$1,ItemText[#Headers],0),2),FALSE),""),"Unset")</f>
        <v>細膩的光耀情景</v>
      </c>
      <c r="L29" t="str">
        <f t="shared" si="1"/>
        <v>7000900-自然累積絕活量表＋１</v>
      </c>
      <c r="M29">
        <v>7000900</v>
      </c>
      <c r="N29" t="str">
        <f>IF(VALUE(M29)=0,"",VLOOKUP(VLOOKUP(M29,Tbl_Effect[],3,FALSE),EffectName[],IFERROR(MATCH(UI!$B$1,EffectName[#Headers],0),2),FALSE))</f>
        <v>自然累積絕活量表＋１</v>
      </c>
      <c r="O29" t="str">
        <f t="shared" si="2"/>
        <v>7001000-強韌度＋１</v>
      </c>
      <c r="P29">
        <v>7001000</v>
      </c>
      <c r="Q29" t="str">
        <f>IF(VALUE(P29)=0,"",VLOOKUP(VLOOKUP(P29,Tbl_Effect[],3,FALSE),EffectName[],IFERROR(MATCH(UI!$B$1,EffectName[#Headers],0),2),FALSE))</f>
        <v>強韌度＋１</v>
      </c>
      <c r="R29" t="str">
        <f t="shared" si="3"/>
        <v>7001000-強韌度＋１</v>
      </c>
      <c r="S29">
        <v>7001000</v>
      </c>
      <c r="T29" t="str">
        <f>IF(VALUE(S29)=0,"",VLOOKUP(VLOOKUP(S29,Tbl_Effect[],3,FALSE),EffectName[],IFERROR(MATCH(UI!$B$1,EffectName[#Headers],0),2),FALSE))</f>
        <v>強韌度＋１</v>
      </c>
      <c r="U29" t="str">
        <f t="shared" si="4"/>
        <v/>
      </c>
      <c r="V29">
        <v>0</v>
      </c>
      <c r="W29" t="str">
        <f>IF(V29&lt;&gt;0,VLOOKUP(VLOOKUP(V29,Tbl_Effect[],3,FALSE),EffectName[],IFERROR(MATCH(UI!$B$1,EffectName[#Headers],0),2),FALSE),"")</f>
        <v/>
      </c>
      <c r="X29" t="str">
        <f t="shared" si="5"/>
        <v/>
      </c>
      <c r="Y29">
        <v>0</v>
      </c>
      <c r="Z29" t="str">
        <f>IF(Y29&lt;&gt;0,VLOOKUP(VLOOKUP(Y29,Tbl_Effect[],3,FALSE),EffectName[],IFERROR(MATCH(UI!$B$1,EffectName[#Headers],0),2),FALSE),"")</f>
        <v/>
      </c>
      <c r="AA29" t="str">
        <f t="shared" si="6"/>
        <v/>
      </c>
      <c r="AB29">
        <v>0</v>
      </c>
      <c r="AC29" t="str">
        <f>IF(AB29&lt;&gt;0,VLOOKUP(VLOOKUP(AB29,Tbl_Effect[],3,FALSE),EffectName[],IFERROR(MATCH(UI!$B$1,EffectName[#Headers],0),2),FALSE),"")</f>
        <v/>
      </c>
      <c r="AE29">
        <v>7000900</v>
      </c>
      <c r="AF29">
        <v>7001000</v>
      </c>
      <c r="AG29">
        <v>7001000</v>
      </c>
    </row>
    <row r="30" spans="8:33" x14ac:dyDescent="0.4">
      <c r="H30" t="str">
        <f t="shared" si="0"/>
        <v>119-端正的光耀情景 (黃)</v>
      </c>
      <c r="I30">
        <v>119</v>
      </c>
      <c r="J30" t="str">
        <f>_xlfn.IFNA(IF(I30&lt;&gt;0,VLOOKUP(VLOOKUP(I30,Tbl_Equip[],2,FALSE),Tbl_Color[],IFERROR(MATCH(UI!$B$1,Tbl_Color[#Headers],0),2),FALSE),""),"Unset")</f>
        <v>黃</v>
      </c>
      <c r="K30" t="str">
        <f>_xlfn.IFNA(IF(I30&lt;&gt;0,VLOOKUP(I30,ItemText[],IFERROR(MATCH(UI!$B$1,ItemText[#Headers],0),2),FALSE),""),"Unset")</f>
        <v>端正的光耀情景</v>
      </c>
      <c r="L30" t="str">
        <f t="shared" si="1"/>
        <v>7000901-自然累積絕活量表＋２</v>
      </c>
      <c r="M30">
        <v>7000901</v>
      </c>
      <c r="N30" t="str">
        <f>IF(VALUE(M30)=0,"",VLOOKUP(VLOOKUP(M30,Tbl_Effect[],3,FALSE),EffectName[],IFERROR(MATCH(UI!$B$1,EffectName[#Headers],0),2),FALSE))</f>
        <v>自然累積絕活量表＋２</v>
      </c>
      <c r="O30" t="str">
        <f t="shared" si="2"/>
        <v>7001001-強韌度＋２</v>
      </c>
      <c r="P30">
        <v>7001001</v>
      </c>
      <c r="Q30" t="str">
        <f>IF(VALUE(P30)=0,"",VLOOKUP(VLOOKUP(P30,Tbl_Effect[],3,FALSE),EffectName[],IFERROR(MATCH(UI!$B$1,EffectName[#Headers],0),2),FALSE))</f>
        <v>強韌度＋２</v>
      </c>
      <c r="R30" t="str">
        <f t="shared" si="3"/>
        <v>7001001-強韌度＋２</v>
      </c>
      <c r="S30">
        <v>7001001</v>
      </c>
      <c r="T30" t="str">
        <f>IF(VALUE(S30)=0,"",VLOOKUP(VLOOKUP(S30,Tbl_Effect[],3,FALSE),EffectName[],IFERROR(MATCH(UI!$B$1,EffectName[#Headers],0),2),FALSE))</f>
        <v>強韌度＋２</v>
      </c>
      <c r="U30" t="str">
        <f t="shared" si="4"/>
        <v/>
      </c>
      <c r="V30">
        <v>0</v>
      </c>
      <c r="W30" t="str">
        <f>IF(V30&lt;&gt;0,VLOOKUP(VLOOKUP(V30,Tbl_Effect[],3,FALSE),EffectName[],IFERROR(MATCH(UI!$B$1,EffectName[#Headers],0),2),FALSE),"")</f>
        <v/>
      </c>
      <c r="X30" t="str">
        <f t="shared" si="5"/>
        <v/>
      </c>
      <c r="Y30">
        <v>0</v>
      </c>
      <c r="Z30" t="str">
        <f>IF(Y30&lt;&gt;0,VLOOKUP(VLOOKUP(Y30,Tbl_Effect[],3,FALSE),EffectName[],IFERROR(MATCH(UI!$B$1,EffectName[#Headers],0),2),FALSE),"")</f>
        <v/>
      </c>
      <c r="AA30" t="str">
        <f t="shared" si="6"/>
        <v/>
      </c>
      <c r="AB30">
        <v>0</v>
      </c>
      <c r="AC30" t="str">
        <f>IF(AB30&lt;&gt;0,VLOOKUP(VLOOKUP(AB30,Tbl_Effect[],3,FALSE),EffectName[],IFERROR(MATCH(UI!$B$1,EffectName[#Headers],0),2),FALSE),"")</f>
        <v/>
      </c>
      <c r="AE30">
        <v>7000901</v>
      </c>
      <c r="AF30">
        <v>7001001</v>
      </c>
      <c r="AG30">
        <v>7001001</v>
      </c>
    </row>
    <row r="31" spans="8:33" x14ac:dyDescent="0.4">
      <c r="H31" t="str">
        <f t="shared" si="0"/>
        <v>120-遼闊的光耀情景 (黃)</v>
      </c>
      <c r="I31">
        <v>120</v>
      </c>
      <c r="J31" t="str">
        <f>_xlfn.IFNA(IF(I31&lt;&gt;0,VLOOKUP(VLOOKUP(I31,Tbl_Equip[],2,FALSE),Tbl_Color[],IFERROR(MATCH(UI!$B$1,Tbl_Color[#Headers],0),2),FALSE),""),"Unset")</f>
        <v>黃</v>
      </c>
      <c r="K31" t="str">
        <f>_xlfn.IFNA(IF(I31&lt;&gt;0,VLOOKUP(I31,ItemText[],IFERROR(MATCH(UI!$B$1,ItemText[#Headers],0),2),FALSE),""),"Unset")</f>
        <v>遼闊的光耀情景</v>
      </c>
      <c r="L31" t="str">
        <f t="shared" si="1"/>
        <v>7000902-自然累積絕活量表＋３</v>
      </c>
      <c r="M31">
        <v>7000902</v>
      </c>
      <c r="N31" t="str">
        <f>IF(VALUE(M31)=0,"",VLOOKUP(VLOOKUP(M31,Tbl_Effect[],3,FALSE),EffectName[],IFERROR(MATCH(UI!$B$1,EffectName[#Headers],0),2),FALSE))</f>
        <v>自然累積絕活量表＋３</v>
      </c>
      <c r="O31" t="str">
        <f t="shared" si="2"/>
        <v>7001002-強韌度＋３</v>
      </c>
      <c r="P31">
        <v>7001002</v>
      </c>
      <c r="Q31" t="str">
        <f>IF(VALUE(P31)=0,"",VLOOKUP(VLOOKUP(P31,Tbl_Effect[],3,FALSE),EffectName[],IFERROR(MATCH(UI!$B$1,EffectName[#Headers],0),2),FALSE))</f>
        <v>強韌度＋３</v>
      </c>
      <c r="R31" t="str">
        <f t="shared" si="3"/>
        <v>7001002-強韌度＋３</v>
      </c>
      <c r="S31">
        <v>7001002</v>
      </c>
      <c r="T31" t="str">
        <f>IF(VALUE(S31)=0,"",VLOOKUP(VLOOKUP(S31,Tbl_Effect[],3,FALSE),EffectName[],IFERROR(MATCH(UI!$B$1,EffectName[#Headers],0),2),FALSE))</f>
        <v>強韌度＋３</v>
      </c>
      <c r="U31" t="str">
        <f t="shared" si="4"/>
        <v/>
      </c>
      <c r="V31">
        <v>0</v>
      </c>
      <c r="W31" t="str">
        <f>IF(V31&lt;&gt;0,VLOOKUP(VLOOKUP(V31,Tbl_Effect[],3,FALSE),EffectName[],IFERROR(MATCH(UI!$B$1,EffectName[#Headers],0),2),FALSE),"")</f>
        <v/>
      </c>
      <c r="X31" t="str">
        <f t="shared" si="5"/>
        <v/>
      </c>
      <c r="Y31">
        <v>0</v>
      </c>
      <c r="Z31" t="str">
        <f>IF(Y31&lt;&gt;0,VLOOKUP(VLOOKUP(Y31,Tbl_Effect[],3,FALSE),EffectName[],IFERROR(MATCH(UI!$B$1,EffectName[#Headers],0),2),FALSE),"")</f>
        <v/>
      </c>
      <c r="AA31" t="str">
        <f t="shared" si="6"/>
        <v/>
      </c>
      <c r="AB31">
        <v>0</v>
      </c>
      <c r="AC31" t="str">
        <f>IF(AB31&lt;&gt;0,VLOOKUP(VLOOKUP(AB31,Tbl_Effect[],3,FALSE),EffectName[],IFERROR(MATCH(UI!$B$1,EffectName[#Headers],0),2),FALSE),"")</f>
        <v/>
      </c>
      <c r="AE31">
        <v>7000902</v>
      </c>
      <c r="AF31">
        <v>7001002</v>
      </c>
      <c r="AG31">
        <v>7001002</v>
      </c>
    </row>
    <row r="32" spans="8:33" x14ac:dyDescent="0.4">
      <c r="H32" t="str">
        <f t="shared" si="0"/>
        <v>121-細膩的光耀情景 (黃)</v>
      </c>
      <c r="I32">
        <v>121</v>
      </c>
      <c r="J32" t="str">
        <f>_xlfn.IFNA(IF(I32&lt;&gt;0,VLOOKUP(VLOOKUP(I32,Tbl_Equip[],2,FALSE),Tbl_Color[],IFERROR(MATCH(UI!$B$1,Tbl_Color[#Headers],0),2),FALSE),""),"Unset")</f>
        <v>黃</v>
      </c>
      <c r="K32" t="str">
        <f>_xlfn.IFNA(IF(I32&lt;&gt;0,VLOOKUP(I32,ItemText[],IFERROR(MATCH(UI!$B$1,ItemText[#Headers],0),2),FALSE),""),"Unset")</f>
        <v>細膩的光耀情景</v>
      </c>
      <c r="L32" t="str">
        <f t="shared" si="1"/>
        <v>7001000-強韌度＋１</v>
      </c>
      <c r="M32">
        <v>7001000</v>
      </c>
      <c r="N32" t="str">
        <f>IF(VALUE(M32)=0,"",VLOOKUP(VLOOKUP(M32,Tbl_Effect[],3,FALSE),EffectName[],IFERROR(MATCH(UI!$B$1,EffectName[#Headers],0),2),FALSE))</f>
        <v>強韌度＋１</v>
      </c>
      <c r="O32" t="str">
        <f t="shared" si="2"/>
        <v>7001400-提升物理攻擊力</v>
      </c>
      <c r="P32">
        <v>7001400</v>
      </c>
      <c r="Q32" t="str">
        <f>IF(VALUE(P32)=0,"",VLOOKUP(VLOOKUP(P32,Tbl_Effect[],3,FALSE),EffectName[],IFERROR(MATCH(UI!$B$1,EffectName[#Headers],0),2),FALSE))</f>
        <v>提升物理攻擊力</v>
      </c>
      <c r="R32" t="str">
        <f t="shared" si="3"/>
        <v>7001400-提升物理攻擊力</v>
      </c>
      <c r="S32">
        <v>7001400</v>
      </c>
      <c r="T32" t="str">
        <f>IF(VALUE(S32)=0,"",VLOOKUP(VLOOKUP(S32,Tbl_Effect[],3,FALSE),EffectName[],IFERROR(MATCH(UI!$B$1,EffectName[#Headers],0),2),FALSE))</f>
        <v>提升物理攻擊力</v>
      </c>
      <c r="U32" t="str">
        <f t="shared" si="4"/>
        <v/>
      </c>
      <c r="V32">
        <v>0</v>
      </c>
      <c r="W32" t="str">
        <f>IF(V32&lt;&gt;0,VLOOKUP(VLOOKUP(V32,Tbl_Effect[],3,FALSE),EffectName[],IFERROR(MATCH(UI!$B$1,EffectName[#Headers],0),2),FALSE),"")</f>
        <v/>
      </c>
      <c r="X32" t="str">
        <f t="shared" si="5"/>
        <v/>
      </c>
      <c r="Y32">
        <v>0</v>
      </c>
      <c r="Z32" t="str">
        <f>IF(Y32&lt;&gt;0,VLOOKUP(VLOOKUP(Y32,Tbl_Effect[],3,FALSE),EffectName[],IFERROR(MATCH(UI!$B$1,EffectName[#Headers],0),2),FALSE),"")</f>
        <v/>
      </c>
      <c r="AA32" t="str">
        <f t="shared" si="6"/>
        <v/>
      </c>
      <c r="AB32">
        <v>0</v>
      </c>
      <c r="AC32" t="str">
        <f>IF(AB32&lt;&gt;0,VLOOKUP(VLOOKUP(AB32,Tbl_Effect[],3,FALSE),EffectName[],IFERROR(MATCH(UI!$B$1,EffectName[#Headers],0),2),FALSE),"")</f>
        <v/>
      </c>
      <c r="AE32">
        <v>7001000</v>
      </c>
      <c r="AF32">
        <v>7001400</v>
      </c>
      <c r="AG32">
        <v>7001400</v>
      </c>
    </row>
    <row r="33" spans="8:33" x14ac:dyDescent="0.4">
      <c r="H33" t="str">
        <f t="shared" si="0"/>
        <v>122-端正的光耀情景 (黃)</v>
      </c>
      <c r="I33">
        <v>122</v>
      </c>
      <c r="J33" t="str">
        <f>_xlfn.IFNA(IF(I33&lt;&gt;0,VLOOKUP(VLOOKUP(I33,Tbl_Equip[],2,FALSE),Tbl_Color[],IFERROR(MATCH(UI!$B$1,Tbl_Color[#Headers],0),2),FALSE),""),"Unset")</f>
        <v>黃</v>
      </c>
      <c r="K33" t="str">
        <f>_xlfn.IFNA(IF(I33&lt;&gt;0,VLOOKUP(I33,ItemText[],IFERROR(MATCH(UI!$B$1,ItemText[#Headers],0),2),FALSE),""),"Unset")</f>
        <v>端正的光耀情景</v>
      </c>
      <c r="L33" t="str">
        <f t="shared" si="1"/>
        <v>7001001-強韌度＋２</v>
      </c>
      <c r="M33">
        <v>7001001</v>
      </c>
      <c r="N33" t="str">
        <f>IF(VALUE(M33)=0,"",VLOOKUP(VLOOKUP(M33,Tbl_Effect[],3,FALSE),EffectName[],IFERROR(MATCH(UI!$B$1,EffectName[#Headers],0),2),FALSE))</f>
        <v>強韌度＋２</v>
      </c>
      <c r="O33" t="str">
        <f t="shared" si="2"/>
        <v>7001401-提升物理攻擊力＋１</v>
      </c>
      <c r="P33">
        <v>7001401</v>
      </c>
      <c r="Q33" t="str">
        <f>IF(VALUE(P33)=0,"",VLOOKUP(VLOOKUP(P33,Tbl_Effect[],3,FALSE),EffectName[],IFERROR(MATCH(UI!$B$1,EffectName[#Headers],0),2),FALSE))</f>
        <v>提升物理攻擊力＋１</v>
      </c>
      <c r="R33" t="str">
        <f t="shared" si="3"/>
        <v>7001401-提升物理攻擊力＋１</v>
      </c>
      <c r="S33">
        <v>7001401</v>
      </c>
      <c r="T33" t="str">
        <f>IF(VALUE(S33)=0,"",VLOOKUP(VLOOKUP(S33,Tbl_Effect[],3,FALSE),EffectName[],IFERROR(MATCH(UI!$B$1,EffectName[#Headers],0),2),FALSE))</f>
        <v>提升物理攻擊力＋１</v>
      </c>
      <c r="U33" t="str">
        <f t="shared" si="4"/>
        <v/>
      </c>
      <c r="V33">
        <v>0</v>
      </c>
      <c r="W33" t="str">
        <f>IF(V33&lt;&gt;0,VLOOKUP(VLOOKUP(V33,Tbl_Effect[],3,FALSE),EffectName[],IFERROR(MATCH(UI!$B$1,EffectName[#Headers],0),2),FALSE),"")</f>
        <v/>
      </c>
      <c r="X33" t="str">
        <f t="shared" si="5"/>
        <v/>
      </c>
      <c r="Y33">
        <v>0</v>
      </c>
      <c r="Z33" t="str">
        <f>IF(Y33&lt;&gt;0,VLOOKUP(VLOOKUP(Y33,Tbl_Effect[],3,FALSE),EffectName[],IFERROR(MATCH(UI!$B$1,EffectName[#Headers],0),2),FALSE),"")</f>
        <v/>
      </c>
      <c r="AA33" t="str">
        <f t="shared" si="6"/>
        <v/>
      </c>
      <c r="AB33">
        <v>0</v>
      </c>
      <c r="AC33" t="str">
        <f>IF(AB33&lt;&gt;0,VLOOKUP(VLOOKUP(AB33,Tbl_Effect[],3,FALSE),EffectName[],IFERROR(MATCH(UI!$B$1,EffectName[#Headers],0),2),FALSE),"")</f>
        <v/>
      </c>
      <c r="AE33">
        <v>7001001</v>
      </c>
      <c r="AF33">
        <v>7001401</v>
      </c>
      <c r="AG33">
        <v>7001401</v>
      </c>
    </row>
    <row r="34" spans="8:33" x14ac:dyDescent="0.4">
      <c r="H34" t="str">
        <f t="shared" si="0"/>
        <v>123-遼闊的光耀情景 (黃)</v>
      </c>
      <c r="I34">
        <v>123</v>
      </c>
      <c r="J34" t="str">
        <f>_xlfn.IFNA(IF(I34&lt;&gt;0,VLOOKUP(VLOOKUP(I34,Tbl_Equip[],2,FALSE),Tbl_Color[],IFERROR(MATCH(UI!$B$1,Tbl_Color[#Headers],0),2),FALSE),""),"Unset")</f>
        <v>黃</v>
      </c>
      <c r="K34" t="str">
        <f>_xlfn.IFNA(IF(I34&lt;&gt;0,VLOOKUP(I34,ItemText[],IFERROR(MATCH(UI!$B$1,ItemText[#Headers],0),2),FALSE),""),"Unset")</f>
        <v>遼闊的光耀情景</v>
      </c>
      <c r="L34" t="str">
        <f t="shared" si="1"/>
        <v>7001002-強韌度＋３</v>
      </c>
      <c r="M34">
        <v>7001002</v>
      </c>
      <c r="N34" t="str">
        <f>IF(VALUE(M34)=0,"",VLOOKUP(VLOOKUP(M34,Tbl_Effect[],3,FALSE),EffectName[],IFERROR(MATCH(UI!$B$1,EffectName[#Headers],0),2),FALSE))</f>
        <v>強韌度＋３</v>
      </c>
      <c r="O34" t="str">
        <f t="shared" si="2"/>
        <v>7001402-提升物理攻擊力＋２</v>
      </c>
      <c r="P34">
        <v>7001402</v>
      </c>
      <c r="Q34" t="str">
        <f>IF(VALUE(P34)=0,"",VLOOKUP(VLOOKUP(P34,Tbl_Effect[],3,FALSE),EffectName[],IFERROR(MATCH(UI!$B$1,EffectName[#Headers],0),2),FALSE))</f>
        <v>提升物理攻擊力＋２</v>
      </c>
      <c r="R34" t="str">
        <f t="shared" si="3"/>
        <v>7001402-提升物理攻擊力＋２</v>
      </c>
      <c r="S34">
        <v>7001402</v>
      </c>
      <c r="T34" t="str">
        <f>IF(VALUE(S34)=0,"",VLOOKUP(VLOOKUP(S34,Tbl_Effect[],3,FALSE),EffectName[],IFERROR(MATCH(UI!$B$1,EffectName[#Headers],0),2),FALSE))</f>
        <v>提升物理攻擊力＋２</v>
      </c>
      <c r="U34" t="str">
        <f t="shared" si="4"/>
        <v/>
      </c>
      <c r="V34">
        <v>0</v>
      </c>
      <c r="W34" t="str">
        <f>IF(V34&lt;&gt;0,VLOOKUP(VLOOKUP(V34,Tbl_Effect[],3,FALSE),EffectName[],IFERROR(MATCH(UI!$B$1,EffectName[#Headers],0),2),FALSE),"")</f>
        <v/>
      </c>
      <c r="X34" t="str">
        <f t="shared" si="5"/>
        <v/>
      </c>
      <c r="Y34">
        <v>0</v>
      </c>
      <c r="Z34" t="str">
        <f>IF(Y34&lt;&gt;0,VLOOKUP(VLOOKUP(Y34,Tbl_Effect[],3,FALSE),EffectName[],IFERROR(MATCH(UI!$B$1,EffectName[#Headers],0),2),FALSE),"")</f>
        <v/>
      </c>
      <c r="AA34" t="str">
        <f t="shared" si="6"/>
        <v/>
      </c>
      <c r="AB34">
        <v>0</v>
      </c>
      <c r="AC34" t="str">
        <f>IF(AB34&lt;&gt;0,VLOOKUP(VLOOKUP(AB34,Tbl_Effect[],3,FALSE),EffectName[],IFERROR(MATCH(UI!$B$1,EffectName[#Headers],0),2),FALSE),"")</f>
        <v/>
      </c>
      <c r="AE34">
        <v>7001002</v>
      </c>
      <c r="AF34">
        <v>7001402</v>
      </c>
      <c r="AG34">
        <v>7001402</v>
      </c>
    </row>
    <row r="35" spans="8:33" x14ac:dyDescent="0.4">
      <c r="H35" t="str">
        <f t="shared" si="0"/>
        <v>124-細膩的光耀情景 (黃)</v>
      </c>
      <c r="I35">
        <v>124</v>
      </c>
      <c r="J35" t="str">
        <f>_xlfn.IFNA(IF(I35&lt;&gt;0,VLOOKUP(VLOOKUP(I35,Tbl_Equip[],2,FALSE),Tbl_Color[],IFERROR(MATCH(UI!$B$1,Tbl_Color[#Headers],0),2),FALSE),""),"Unset")</f>
        <v>黃</v>
      </c>
      <c r="K35" t="str">
        <f>_xlfn.IFNA(IF(I35&lt;&gt;0,VLOOKUP(I35,ItemText[],IFERROR(MATCH(UI!$B$1,ItemText[#Headers],0),2),FALSE),""),"Unset")</f>
        <v>細膩的光耀情景</v>
      </c>
      <c r="L35" t="str">
        <f t="shared" si="1"/>
        <v>7001400-提升物理攻擊力</v>
      </c>
      <c r="M35">
        <v>7001400</v>
      </c>
      <c r="N35" t="str">
        <f>IF(VALUE(M35)=0,"",VLOOKUP(VLOOKUP(M35,Tbl_Effect[],3,FALSE),EffectName[],IFERROR(MATCH(UI!$B$1,EffectName[#Headers],0),2),FALSE))</f>
        <v>提升物理攻擊力</v>
      </c>
      <c r="O35" t="str">
        <f t="shared" si="2"/>
        <v>7001500-提升魔力屬性攻擊力</v>
      </c>
      <c r="P35">
        <v>7001500</v>
      </c>
      <c r="Q35" t="str">
        <f>IF(VALUE(P35)=0,"",VLOOKUP(VLOOKUP(P35,Tbl_Effect[],3,FALSE),EffectName[],IFERROR(MATCH(UI!$B$1,EffectName[#Headers],0),2),FALSE))</f>
        <v>提升魔力屬性攻擊力</v>
      </c>
      <c r="R35" t="str">
        <f t="shared" si="3"/>
        <v>7001500-提升魔力屬性攻擊力</v>
      </c>
      <c r="S35">
        <v>7001500</v>
      </c>
      <c r="T35" t="str">
        <f>IF(VALUE(S35)=0,"",VLOOKUP(VLOOKUP(S35,Tbl_Effect[],3,FALSE),EffectName[],IFERROR(MATCH(UI!$B$1,EffectName[#Headers],0),2),FALSE))</f>
        <v>提升魔力屬性攻擊力</v>
      </c>
      <c r="U35" t="str">
        <f t="shared" si="4"/>
        <v/>
      </c>
      <c r="V35">
        <v>0</v>
      </c>
      <c r="W35" t="str">
        <f>IF(V35&lt;&gt;0,VLOOKUP(VLOOKUP(V35,Tbl_Effect[],3,FALSE),EffectName[],IFERROR(MATCH(UI!$B$1,EffectName[#Headers],0),2),FALSE),"")</f>
        <v/>
      </c>
      <c r="X35" t="str">
        <f t="shared" si="5"/>
        <v/>
      </c>
      <c r="Y35">
        <v>0</v>
      </c>
      <c r="Z35" t="str">
        <f>IF(Y35&lt;&gt;0,VLOOKUP(VLOOKUP(Y35,Tbl_Effect[],3,FALSE),EffectName[],IFERROR(MATCH(UI!$B$1,EffectName[#Headers],0),2),FALSE),"")</f>
        <v/>
      </c>
      <c r="AA35" t="str">
        <f t="shared" si="6"/>
        <v/>
      </c>
      <c r="AB35">
        <v>0</v>
      </c>
      <c r="AC35" t="str">
        <f>IF(AB35&lt;&gt;0,VLOOKUP(VLOOKUP(AB35,Tbl_Effect[],3,FALSE),EffectName[],IFERROR(MATCH(UI!$B$1,EffectName[#Headers],0),2),FALSE),"")</f>
        <v/>
      </c>
      <c r="AE35">
        <v>7001400</v>
      </c>
      <c r="AF35">
        <v>7001500</v>
      </c>
      <c r="AG35">
        <v>7001500</v>
      </c>
    </row>
    <row r="36" spans="8:33" x14ac:dyDescent="0.4">
      <c r="H36" t="str">
        <f t="shared" si="0"/>
        <v>125-端正的光耀情景 (黃)</v>
      </c>
      <c r="I36">
        <v>125</v>
      </c>
      <c r="J36" t="str">
        <f>_xlfn.IFNA(IF(I36&lt;&gt;0,VLOOKUP(VLOOKUP(I36,Tbl_Equip[],2,FALSE),Tbl_Color[],IFERROR(MATCH(UI!$B$1,Tbl_Color[#Headers],0),2),FALSE),""),"Unset")</f>
        <v>黃</v>
      </c>
      <c r="K36" t="str">
        <f>_xlfn.IFNA(IF(I36&lt;&gt;0,VLOOKUP(I36,ItemText[],IFERROR(MATCH(UI!$B$1,ItemText[#Headers],0),2),FALSE),""),"Unset")</f>
        <v>端正的光耀情景</v>
      </c>
      <c r="L36" t="str">
        <f t="shared" si="1"/>
        <v>7001401-提升物理攻擊力＋１</v>
      </c>
      <c r="M36">
        <v>7001401</v>
      </c>
      <c r="N36" t="str">
        <f>IF(VALUE(M36)=0,"",VLOOKUP(VLOOKUP(M36,Tbl_Effect[],3,FALSE),EffectName[],IFERROR(MATCH(UI!$B$1,EffectName[#Headers],0),2),FALSE))</f>
        <v>提升物理攻擊力＋１</v>
      </c>
      <c r="O36" t="str">
        <f t="shared" si="2"/>
        <v>7001501-提升魔力屬性攻擊力＋１</v>
      </c>
      <c r="P36">
        <v>7001501</v>
      </c>
      <c r="Q36" t="str">
        <f>IF(VALUE(P36)=0,"",VLOOKUP(VLOOKUP(P36,Tbl_Effect[],3,FALSE),EffectName[],IFERROR(MATCH(UI!$B$1,EffectName[#Headers],0),2),FALSE))</f>
        <v>提升魔力屬性攻擊力＋１</v>
      </c>
      <c r="R36" t="str">
        <f t="shared" si="3"/>
        <v>7001501-提升魔力屬性攻擊力＋１</v>
      </c>
      <c r="S36">
        <v>7001501</v>
      </c>
      <c r="T36" t="str">
        <f>IF(VALUE(S36)=0,"",VLOOKUP(VLOOKUP(S36,Tbl_Effect[],3,FALSE),EffectName[],IFERROR(MATCH(UI!$B$1,EffectName[#Headers],0),2),FALSE))</f>
        <v>提升魔力屬性攻擊力＋１</v>
      </c>
      <c r="U36" t="str">
        <f t="shared" si="4"/>
        <v/>
      </c>
      <c r="V36">
        <v>0</v>
      </c>
      <c r="W36" t="str">
        <f>IF(V36&lt;&gt;0,VLOOKUP(VLOOKUP(V36,Tbl_Effect[],3,FALSE),EffectName[],IFERROR(MATCH(UI!$B$1,EffectName[#Headers],0),2),FALSE),"")</f>
        <v/>
      </c>
      <c r="X36" t="str">
        <f t="shared" si="5"/>
        <v/>
      </c>
      <c r="Y36">
        <v>0</v>
      </c>
      <c r="Z36" t="str">
        <f>IF(Y36&lt;&gt;0,VLOOKUP(VLOOKUP(Y36,Tbl_Effect[],3,FALSE),EffectName[],IFERROR(MATCH(UI!$B$1,EffectName[#Headers],0),2),FALSE),"")</f>
        <v/>
      </c>
      <c r="AA36" t="str">
        <f t="shared" si="6"/>
        <v/>
      </c>
      <c r="AB36">
        <v>0</v>
      </c>
      <c r="AC36" t="str">
        <f>IF(AB36&lt;&gt;0,VLOOKUP(VLOOKUP(AB36,Tbl_Effect[],3,FALSE),EffectName[],IFERROR(MATCH(UI!$B$1,EffectName[#Headers],0),2),FALSE),"")</f>
        <v/>
      </c>
      <c r="AE36">
        <v>7001401</v>
      </c>
      <c r="AF36">
        <v>7001501</v>
      </c>
      <c r="AG36">
        <v>7001501</v>
      </c>
    </row>
    <row r="37" spans="8:33" x14ac:dyDescent="0.4">
      <c r="H37" t="str">
        <f t="shared" si="0"/>
        <v>126-遼闊的光耀情景 (黃)</v>
      </c>
      <c r="I37">
        <v>126</v>
      </c>
      <c r="J37" t="str">
        <f>_xlfn.IFNA(IF(I37&lt;&gt;0,VLOOKUP(VLOOKUP(I37,Tbl_Equip[],2,FALSE),Tbl_Color[],IFERROR(MATCH(UI!$B$1,Tbl_Color[#Headers],0),2),FALSE),""),"Unset")</f>
        <v>黃</v>
      </c>
      <c r="K37" t="str">
        <f>_xlfn.IFNA(IF(I37&lt;&gt;0,VLOOKUP(I37,ItemText[],IFERROR(MATCH(UI!$B$1,ItemText[#Headers],0),2),FALSE),""),"Unset")</f>
        <v>遼闊的光耀情景</v>
      </c>
      <c r="L37" t="str">
        <f t="shared" si="1"/>
        <v>7001402-提升物理攻擊力＋２</v>
      </c>
      <c r="M37">
        <v>7001402</v>
      </c>
      <c r="N37" t="str">
        <f>IF(VALUE(M37)=0,"",VLOOKUP(VLOOKUP(M37,Tbl_Effect[],3,FALSE),EffectName[],IFERROR(MATCH(UI!$B$1,EffectName[#Headers],0),2),FALSE))</f>
        <v>提升物理攻擊力＋２</v>
      </c>
      <c r="O37" t="str">
        <f t="shared" si="2"/>
        <v>7001502-提升魔力屬性攻擊力＋２</v>
      </c>
      <c r="P37">
        <v>7001502</v>
      </c>
      <c r="Q37" t="str">
        <f>IF(VALUE(P37)=0,"",VLOOKUP(VLOOKUP(P37,Tbl_Effect[],3,FALSE),EffectName[],IFERROR(MATCH(UI!$B$1,EffectName[#Headers],0),2),FALSE))</f>
        <v>提升魔力屬性攻擊力＋２</v>
      </c>
      <c r="R37" t="str">
        <f t="shared" si="3"/>
        <v>7001502-提升魔力屬性攻擊力＋２</v>
      </c>
      <c r="S37">
        <v>7001502</v>
      </c>
      <c r="T37" t="str">
        <f>IF(VALUE(S37)=0,"",VLOOKUP(VLOOKUP(S37,Tbl_Effect[],3,FALSE),EffectName[],IFERROR(MATCH(UI!$B$1,EffectName[#Headers],0),2),FALSE))</f>
        <v>提升魔力屬性攻擊力＋２</v>
      </c>
      <c r="U37" t="str">
        <f t="shared" si="4"/>
        <v/>
      </c>
      <c r="V37">
        <v>0</v>
      </c>
      <c r="W37" t="str">
        <f>IF(V37&lt;&gt;0,VLOOKUP(VLOOKUP(V37,Tbl_Effect[],3,FALSE),EffectName[],IFERROR(MATCH(UI!$B$1,EffectName[#Headers],0),2),FALSE),"")</f>
        <v/>
      </c>
      <c r="X37" t="str">
        <f t="shared" si="5"/>
        <v/>
      </c>
      <c r="Y37">
        <v>0</v>
      </c>
      <c r="Z37" t="str">
        <f>IF(Y37&lt;&gt;0,VLOOKUP(VLOOKUP(Y37,Tbl_Effect[],3,FALSE),EffectName[],IFERROR(MATCH(UI!$B$1,EffectName[#Headers],0),2),FALSE),"")</f>
        <v/>
      </c>
      <c r="AA37" t="str">
        <f t="shared" si="6"/>
        <v/>
      </c>
      <c r="AB37">
        <v>0</v>
      </c>
      <c r="AC37" t="str">
        <f>IF(AB37&lt;&gt;0,VLOOKUP(VLOOKUP(AB37,Tbl_Effect[],3,FALSE),EffectName[],IFERROR(MATCH(UI!$B$1,EffectName[#Headers],0),2),FALSE),"")</f>
        <v/>
      </c>
      <c r="AE37">
        <v>7001402</v>
      </c>
      <c r="AF37">
        <v>7001502</v>
      </c>
      <c r="AG37">
        <v>7001502</v>
      </c>
    </row>
    <row r="38" spans="8:33" x14ac:dyDescent="0.4">
      <c r="H38" t="str">
        <f t="shared" si="0"/>
        <v>127-細膩的幽靜情景 (綠)</v>
      </c>
      <c r="I38">
        <v>127</v>
      </c>
      <c r="J38" t="str">
        <f>_xlfn.IFNA(IF(I38&lt;&gt;0,VLOOKUP(VLOOKUP(I38,Tbl_Equip[],2,FALSE),Tbl_Color[],IFERROR(MATCH(UI!$B$1,Tbl_Color[#Headers],0),2),FALSE),""),"Unset")</f>
        <v>綠</v>
      </c>
      <c r="K38" t="str">
        <f>_xlfn.IFNA(IF(I38&lt;&gt;0,VLOOKUP(I38,ItemText[],IFERROR(MATCH(UI!$B$1,ItemText[#Headers],0),2),FALSE),""),"Unset")</f>
        <v>細膩的幽靜情景</v>
      </c>
      <c r="L38" t="str">
        <f t="shared" si="1"/>
        <v>7001500-提升魔力屬性攻擊力</v>
      </c>
      <c r="M38">
        <v>7001500</v>
      </c>
      <c r="N38" t="str">
        <f>IF(VALUE(M38)=0,"",VLOOKUP(VLOOKUP(M38,Tbl_Effect[],3,FALSE),EffectName[],IFERROR(MATCH(UI!$B$1,EffectName[#Headers],0),2),FALSE))</f>
        <v>提升魔力屬性攻擊力</v>
      </c>
      <c r="O38" t="str">
        <f t="shared" si="2"/>
        <v>7001600-提升火屬性攻擊力</v>
      </c>
      <c r="P38">
        <v>7001600</v>
      </c>
      <c r="Q38" t="str">
        <f>IF(VALUE(P38)=0,"",VLOOKUP(VLOOKUP(P38,Tbl_Effect[],3,FALSE),EffectName[],IFERROR(MATCH(UI!$B$1,EffectName[#Headers],0),2),FALSE))</f>
        <v>提升火屬性攻擊力</v>
      </c>
      <c r="R38" t="str">
        <f t="shared" si="3"/>
        <v>7001600-提升火屬性攻擊力</v>
      </c>
      <c r="S38">
        <v>7001600</v>
      </c>
      <c r="T38" t="str">
        <f>IF(VALUE(S38)=0,"",VLOOKUP(VLOOKUP(S38,Tbl_Effect[],3,FALSE),EffectName[],IFERROR(MATCH(UI!$B$1,EffectName[#Headers],0),2),FALSE))</f>
        <v>提升火屬性攻擊力</v>
      </c>
      <c r="U38" t="str">
        <f t="shared" si="4"/>
        <v/>
      </c>
      <c r="V38">
        <v>0</v>
      </c>
      <c r="W38" t="str">
        <f>IF(V38&lt;&gt;0,VLOOKUP(VLOOKUP(V38,Tbl_Effect[],3,FALSE),EffectName[],IFERROR(MATCH(UI!$B$1,EffectName[#Headers],0),2),FALSE),"")</f>
        <v/>
      </c>
      <c r="X38" t="str">
        <f t="shared" si="5"/>
        <v/>
      </c>
      <c r="Y38">
        <v>0</v>
      </c>
      <c r="Z38" t="str">
        <f>IF(Y38&lt;&gt;0,VLOOKUP(VLOOKUP(Y38,Tbl_Effect[],3,FALSE),EffectName[],IFERROR(MATCH(UI!$B$1,EffectName[#Headers],0),2),FALSE),"")</f>
        <v/>
      </c>
      <c r="AA38" t="str">
        <f t="shared" si="6"/>
        <v/>
      </c>
      <c r="AB38">
        <v>0</v>
      </c>
      <c r="AC38" t="str">
        <f>IF(AB38&lt;&gt;0,VLOOKUP(VLOOKUP(AB38,Tbl_Effect[],3,FALSE),EffectName[],IFERROR(MATCH(UI!$B$1,EffectName[#Headers],0),2),FALSE),"")</f>
        <v/>
      </c>
      <c r="AE38">
        <v>7001500</v>
      </c>
      <c r="AF38">
        <v>7001600</v>
      </c>
      <c r="AG38">
        <v>7001600</v>
      </c>
    </row>
    <row r="39" spans="8:33" x14ac:dyDescent="0.4">
      <c r="H39" t="str">
        <f t="shared" si="0"/>
        <v>128-端正的幽靜情景 (綠)</v>
      </c>
      <c r="I39">
        <v>128</v>
      </c>
      <c r="J39" t="str">
        <f>_xlfn.IFNA(IF(I39&lt;&gt;0,VLOOKUP(VLOOKUP(I39,Tbl_Equip[],2,FALSE),Tbl_Color[],IFERROR(MATCH(UI!$B$1,Tbl_Color[#Headers],0),2),FALSE),""),"Unset")</f>
        <v>綠</v>
      </c>
      <c r="K39" t="str">
        <f>_xlfn.IFNA(IF(I39&lt;&gt;0,VLOOKUP(I39,ItemText[],IFERROR(MATCH(UI!$B$1,ItemText[#Headers],0),2),FALSE),""),"Unset")</f>
        <v>端正的幽靜情景</v>
      </c>
      <c r="L39" t="str">
        <f t="shared" si="1"/>
        <v>7001501-提升魔力屬性攻擊力＋１</v>
      </c>
      <c r="M39">
        <v>7001501</v>
      </c>
      <c r="N39" t="str">
        <f>IF(VALUE(M39)=0,"",VLOOKUP(VLOOKUP(M39,Tbl_Effect[],3,FALSE),EffectName[],IFERROR(MATCH(UI!$B$1,EffectName[#Headers],0),2),FALSE))</f>
        <v>提升魔力屬性攻擊力＋１</v>
      </c>
      <c r="O39" t="str">
        <f t="shared" si="2"/>
        <v>7001601-提升火屬性攻擊力＋１</v>
      </c>
      <c r="P39">
        <v>7001601</v>
      </c>
      <c r="Q39" t="str">
        <f>IF(VALUE(P39)=0,"",VLOOKUP(VLOOKUP(P39,Tbl_Effect[],3,FALSE),EffectName[],IFERROR(MATCH(UI!$B$1,EffectName[#Headers],0),2),FALSE))</f>
        <v>提升火屬性攻擊力＋１</v>
      </c>
      <c r="R39" t="str">
        <f t="shared" si="3"/>
        <v>7001601-提升火屬性攻擊力＋１</v>
      </c>
      <c r="S39">
        <v>7001601</v>
      </c>
      <c r="T39" t="str">
        <f>IF(VALUE(S39)=0,"",VLOOKUP(VLOOKUP(S39,Tbl_Effect[],3,FALSE),EffectName[],IFERROR(MATCH(UI!$B$1,EffectName[#Headers],0),2),FALSE))</f>
        <v>提升火屬性攻擊力＋１</v>
      </c>
      <c r="U39" t="str">
        <f t="shared" si="4"/>
        <v/>
      </c>
      <c r="V39">
        <v>0</v>
      </c>
      <c r="W39" t="str">
        <f>IF(V39&lt;&gt;0,VLOOKUP(VLOOKUP(V39,Tbl_Effect[],3,FALSE),EffectName[],IFERROR(MATCH(UI!$B$1,EffectName[#Headers],0),2),FALSE),"")</f>
        <v/>
      </c>
      <c r="X39" t="str">
        <f t="shared" si="5"/>
        <v/>
      </c>
      <c r="Y39">
        <v>0</v>
      </c>
      <c r="Z39" t="str">
        <f>IF(Y39&lt;&gt;0,VLOOKUP(VLOOKUP(Y39,Tbl_Effect[],3,FALSE),EffectName[],IFERROR(MATCH(UI!$B$1,EffectName[#Headers],0),2),FALSE),"")</f>
        <v/>
      </c>
      <c r="AA39" t="str">
        <f t="shared" si="6"/>
        <v/>
      </c>
      <c r="AB39">
        <v>0</v>
      </c>
      <c r="AC39" t="str">
        <f>IF(AB39&lt;&gt;0,VLOOKUP(VLOOKUP(AB39,Tbl_Effect[],3,FALSE),EffectName[],IFERROR(MATCH(UI!$B$1,EffectName[#Headers],0),2),FALSE),"")</f>
        <v/>
      </c>
      <c r="AE39">
        <v>7001501</v>
      </c>
      <c r="AF39">
        <v>7001601</v>
      </c>
      <c r="AG39">
        <v>7001601</v>
      </c>
    </row>
    <row r="40" spans="8:33" x14ac:dyDescent="0.4">
      <c r="H40" t="str">
        <f t="shared" si="0"/>
        <v>129-遼闊的幽靜情景 (綠)</v>
      </c>
      <c r="I40">
        <v>129</v>
      </c>
      <c r="J40" t="str">
        <f>_xlfn.IFNA(IF(I40&lt;&gt;0,VLOOKUP(VLOOKUP(I40,Tbl_Equip[],2,FALSE),Tbl_Color[],IFERROR(MATCH(UI!$B$1,Tbl_Color[#Headers],0),2),FALSE),""),"Unset")</f>
        <v>綠</v>
      </c>
      <c r="K40" t="str">
        <f>_xlfn.IFNA(IF(I40&lt;&gt;0,VLOOKUP(I40,ItemText[],IFERROR(MATCH(UI!$B$1,ItemText[#Headers],0),2),FALSE),""),"Unset")</f>
        <v>遼闊的幽靜情景</v>
      </c>
      <c r="L40" t="str">
        <f t="shared" si="1"/>
        <v>7001502-提升魔力屬性攻擊力＋２</v>
      </c>
      <c r="M40">
        <v>7001502</v>
      </c>
      <c r="N40" t="str">
        <f>IF(VALUE(M40)=0,"",VLOOKUP(VLOOKUP(M40,Tbl_Effect[],3,FALSE),EffectName[],IFERROR(MATCH(UI!$B$1,EffectName[#Headers],0),2),FALSE))</f>
        <v>提升魔力屬性攻擊力＋２</v>
      </c>
      <c r="O40" t="str">
        <f t="shared" si="2"/>
        <v>7001602-提升火屬性攻擊力＋２</v>
      </c>
      <c r="P40">
        <v>7001602</v>
      </c>
      <c r="Q40" t="str">
        <f>IF(VALUE(P40)=0,"",VLOOKUP(VLOOKUP(P40,Tbl_Effect[],3,FALSE),EffectName[],IFERROR(MATCH(UI!$B$1,EffectName[#Headers],0),2),FALSE))</f>
        <v>提升火屬性攻擊力＋２</v>
      </c>
      <c r="R40" t="str">
        <f t="shared" si="3"/>
        <v>7001602-提升火屬性攻擊力＋２</v>
      </c>
      <c r="S40">
        <v>7001602</v>
      </c>
      <c r="T40" t="str">
        <f>IF(VALUE(S40)=0,"",VLOOKUP(VLOOKUP(S40,Tbl_Effect[],3,FALSE),EffectName[],IFERROR(MATCH(UI!$B$1,EffectName[#Headers],0),2),FALSE))</f>
        <v>提升火屬性攻擊力＋２</v>
      </c>
      <c r="U40" t="str">
        <f t="shared" si="4"/>
        <v/>
      </c>
      <c r="V40">
        <v>0</v>
      </c>
      <c r="W40" t="str">
        <f>IF(V40&lt;&gt;0,VLOOKUP(VLOOKUP(V40,Tbl_Effect[],3,FALSE),EffectName[],IFERROR(MATCH(UI!$B$1,EffectName[#Headers],0),2),FALSE),"")</f>
        <v/>
      </c>
      <c r="X40" t="str">
        <f t="shared" si="5"/>
        <v/>
      </c>
      <c r="Y40">
        <v>0</v>
      </c>
      <c r="Z40" t="str">
        <f>IF(Y40&lt;&gt;0,VLOOKUP(VLOOKUP(Y40,Tbl_Effect[],3,FALSE),EffectName[],IFERROR(MATCH(UI!$B$1,EffectName[#Headers],0),2),FALSE),"")</f>
        <v/>
      </c>
      <c r="AA40" t="str">
        <f t="shared" si="6"/>
        <v/>
      </c>
      <c r="AB40">
        <v>0</v>
      </c>
      <c r="AC40" t="str">
        <f>IF(AB40&lt;&gt;0,VLOOKUP(VLOOKUP(AB40,Tbl_Effect[],3,FALSE),EffectName[],IFERROR(MATCH(UI!$B$1,EffectName[#Headers],0),2),FALSE),"")</f>
        <v/>
      </c>
      <c r="AE40">
        <v>7001502</v>
      </c>
      <c r="AF40">
        <v>7001602</v>
      </c>
      <c r="AG40">
        <v>7001602</v>
      </c>
    </row>
    <row r="41" spans="8:33" x14ac:dyDescent="0.4">
      <c r="H41" t="str">
        <f t="shared" si="0"/>
        <v>130-細膩的幽靜情景 (綠)</v>
      </c>
      <c r="I41">
        <v>130</v>
      </c>
      <c r="J41" t="str">
        <f>_xlfn.IFNA(IF(I41&lt;&gt;0,VLOOKUP(VLOOKUP(I41,Tbl_Equip[],2,FALSE),Tbl_Color[],IFERROR(MATCH(UI!$B$1,Tbl_Color[#Headers],0),2),FALSE),""),"Unset")</f>
        <v>綠</v>
      </c>
      <c r="K41" t="str">
        <f>_xlfn.IFNA(IF(I41&lt;&gt;0,VLOOKUP(I41,ItemText[],IFERROR(MATCH(UI!$B$1,ItemText[#Headers],0),2),FALSE),""),"Unset")</f>
        <v>細膩的幽靜情景</v>
      </c>
      <c r="L41" t="str">
        <f t="shared" si="1"/>
        <v>7001600-提升火屬性攻擊力</v>
      </c>
      <c r="M41">
        <v>7001600</v>
      </c>
      <c r="N41" t="str">
        <f>IF(VALUE(M41)=0,"",VLOOKUP(VLOOKUP(M41,Tbl_Effect[],3,FALSE),EffectName[],IFERROR(MATCH(UI!$B$1,EffectName[#Headers],0),2),FALSE))</f>
        <v>提升火屬性攻擊力</v>
      </c>
      <c r="O41" t="str">
        <f t="shared" si="2"/>
        <v>7001700-提升雷屬性攻擊力</v>
      </c>
      <c r="P41">
        <v>7001700</v>
      </c>
      <c r="Q41" t="str">
        <f>IF(VALUE(P41)=0,"",VLOOKUP(VLOOKUP(P41,Tbl_Effect[],3,FALSE),EffectName[],IFERROR(MATCH(UI!$B$1,EffectName[#Headers],0),2),FALSE))</f>
        <v>提升雷屬性攻擊力</v>
      </c>
      <c r="R41" t="str">
        <f t="shared" si="3"/>
        <v>7001700-提升雷屬性攻擊力</v>
      </c>
      <c r="S41">
        <v>7001700</v>
      </c>
      <c r="T41" t="str">
        <f>IF(VALUE(S41)=0,"",VLOOKUP(VLOOKUP(S41,Tbl_Effect[],3,FALSE),EffectName[],IFERROR(MATCH(UI!$B$1,EffectName[#Headers],0),2),FALSE))</f>
        <v>提升雷屬性攻擊力</v>
      </c>
      <c r="U41" t="str">
        <f t="shared" si="4"/>
        <v/>
      </c>
      <c r="V41">
        <v>0</v>
      </c>
      <c r="W41" t="str">
        <f>IF(V41&lt;&gt;0,VLOOKUP(VLOOKUP(V41,Tbl_Effect[],3,FALSE),EffectName[],IFERROR(MATCH(UI!$B$1,EffectName[#Headers],0),2),FALSE),"")</f>
        <v/>
      </c>
      <c r="X41" t="str">
        <f t="shared" si="5"/>
        <v/>
      </c>
      <c r="Y41">
        <v>0</v>
      </c>
      <c r="Z41" t="str">
        <f>IF(Y41&lt;&gt;0,VLOOKUP(VLOOKUP(Y41,Tbl_Effect[],3,FALSE),EffectName[],IFERROR(MATCH(UI!$B$1,EffectName[#Headers],0),2),FALSE),"")</f>
        <v/>
      </c>
      <c r="AA41" t="str">
        <f t="shared" si="6"/>
        <v/>
      </c>
      <c r="AB41">
        <v>0</v>
      </c>
      <c r="AC41" t="str">
        <f>IF(AB41&lt;&gt;0,VLOOKUP(VLOOKUP(AB41,Tbl_Effect[],3,FALSE),EffectName[],IFERROR(MATCH(UI!$B$1,EffectName[#Headers],0),2),FALSE),"")</f>
        <v/>
      </c>
      <c r="AE41">
        <v>7001600</v>
      </c>
      <c r="AF41">
        <v>7001700</v>
      </c>
      <c r="AG41">
        <v>7001700</v>
      </c>
    </row>
    <row r="42" spans="8:33" x14ac:dyDescent="0.4">
      <c r="H42" t="str">
        <f t="shared" si="0"/>
        <v>131-端正的幽靜情景 (綠)</v>
      </c>
      <c r="I42">
        <v>131</v>
      </c>
      <c r="J42" t="str">
        <f>_xlfn.IFNA(IF(I42&lt;&gt;0,VLOOKUP(VLOOKUP(I42,Tbl_Equip[],2,FALSE),Tbl_Color[],IFERROR(MATCH(UI!$B$1,Tbl_Color[#Headers],0),2),FALSE),""),"Unset")</f>
        <v>綠</v>
      </c>
      <c r="K42" t="str">
        <f>_xlfn.IFNA(IF(I42&lt;&gt;0,VLOOKUP(I42,ItemText[],IFERROR(MATCH(UI!$B$1,ItemText[#Headers],0),2),FALSE),""),"Unset")</f>
        <v>端正的幽靜情景</v>
      </c>
      <c r="L42" t="str">
        <f t="shared" si="1"/>
        <v>7001601-提升火屬性攻擊力＋１</v>
      </c>
      <c r="M42">
        <v>7001601</v>
      </c>
      <c r="N42" t="str">
        <f>IF(VALUE(M42)=0,"",VLOOKUP(VLOOKUP(M42,Tbl_Effect[],3,FALSE),EffectName[],IFERROR(MATCH(UI!$B$1,EffectName[#Headers],0),2),FALSE))</f>
        <v>提升火屬性攻擊力＋１</v>
      </c>
      <c r="O42" t="str">
        <f t="shared" si="2"/>
        <v>7001701-提升雷屬性攻擊力＋１</v>
      </c>
      <c r="P42">
        <v>7001701</v>
      </c>
      <c r="Q42" t="str">
        <f>IF(VALUE(P42)=0,"",VLOOKUP(VLOOKUP(P42,Tbl_Effect[],3,FALSE),EffectName[],IFERROR(MATCH(UI!$B$1,EffectName[#Headers],0),2),FALSE))</f>
        <v>提升雷屬性攻擊力＋１</v>
      </c>
      <c r="R42" t="str">
        <f t="shared" si="3"/>
        <v>7001701-提升雷屬性攻擊力＋１</v>
      </c>
      <c r="S42">
        <v>7001701</v>
      </c>
      <c r="T42" t="str">
        <f>IF(VALUE(S42)=0,"",VLOOKUP(VLOOKUP(S42,Tbl_Effect[],3,FALSE),EffectName[],IFERROR(MATCH(UI!$B$1,EffectName[#Headers],0),2),FALSE))</f>
        <v>提升雷屬性攻擊力＋１</v>
      </c>
      <c r="U42" t="str">
        <f t="shared" si="4"/>
        <v/>
      </c>
      <c r="V42">
        <v>0</v>
      </c>
      <c r="W42" t="str">
        <f>IF(V42&lt;&gt;0,VLOOKUP(VLOOKUP(V42,Tbl_Effect[],3,FALSE),EffectName[],IFERROR(MATCH(UI!$B$1,EffectName[#Headers],0),2),FALSE),"")</f>
        <v/>
      </c>
      <c r="X42" t="str">
        <f t="shared" si="5"/>
        <v/>
      </c>
      <c r="Y42">
        <v>0</v>
      </c>
      <c r="Z42" t="str">
        <f>IF(Y42&lt;&gt;0,VLOOKUP(VLOOKUP(Y42,Tbl_Effect[],3,FALSE),EffectName[],IFERROR(MATCH(UI!$B$1,EffectName[#Headers],0),2),FALSE),"")</f>
        <v/>
      </c>
      <c r="AA42" t="str">
        <f t="shared" si="6"/>
        <v/>
      </c>
      <c r="AB42">
        <v>0</v>
      </c>
      <c r="AC42" t="str">
        <f>IF(AB42&lt;&gt;0,VLOOKUP(VLOOKUP(AB42,Tbl_Effect[],3,FALSE),EffectName[],IFERROR(MATCH(UI!$B$1,EffectName[#Headers],0),2),FALSE),"")</f>
        <v/>
      </c>
      <c r="AE42">
        <v>7001601</v>
      </c>
      <c r="AF42">
        <v>7001701</v>
      </c>
      <c r="AG42">
        <v>7001701</v>
      </c>
    </row>
    <row r="43" spans="8:33" x14ac:dyDescent="0.4">
      <c r="H43" t="str">
        <f t="shared" si="0"/>
        <v>132-遼闊的幽靜情景 (綠)</v>
      </c>
      <c r="I43">
        <v>132</v>
      </c>
      <c r="J43" t="str">
        <f>_xlfn.IFNA(IF(I43&lt;&gt;0,VLOOKUP(VLOOKUP(I43,Tbl_Equip[],2,FALSE),Tbl_Color[],IFERROR(MATCH(UI!$B$1,Tbl_Color[#Headers],0),2),FALSE),""),"Unset")</f>
        <v>綠</v>
      </c>
      <c r="K43" t="str">
        <f>_xlfn.IFNA(IF(I43&lt;&gt;0,VLOOKUP(I43,ItemText[],IFERROR(MATCH(UI!$B$1,ItemText[#Headers],0),2),FALSE),""),"Unset")</f>
        <v>遼闊的幽靜情景</v>
      </c>
      <c r="L43" t="str">
        <f t="shared" si="1"/>
        <v>7001602-提升火屬性攻擊力＋２</v>
      </c>
      <c r="M43">
        <v>7001602</v>
      </c>
      <c r="N43" t="str">
        <f>IF(VALUE(M43)=0,"",VLOOKUP(VLOOKUP(M43,Tbl_Effect[],3,FALSE),EffectName[],IFERROR(MATCH(UI!$B$1,EffectName[#Headers],0),2),FALSE))</f>
        <v>提升火屬性攻擊力＋２</v>
      </c>
      <c r="O43" t="str">
        <f t="shared" si="2"/>
        <v>7001702-提升雷屬性攻擊力＋２</v>
      </c>
      <c r="P43">
        <v>7001702</v>
      </c>
      <c r="Q43" t="str">
        <f>IF(VALUE(P43)=0,"",VLOOKUP(VLOOKUP(P43,Tbl_Effect[],3,FALSE),EffectName[],IFERROR(MATCH(UI!$B$1,EffectName[#Headers],0),2),FALSE))</f>
        <v>提升雷屬性攻擊力＋２</v>
      </c>
      <c r="R43" t="str">
        <f t="shared" si="3"/>
        <v>7001702-提升雷屬性攻擊力＋２</v>
      </c>
      <c r="S43">
        <v>7001702</v>
      </c>
      <c r="T43" t="str">
        <f>IF(VALUE(S43)=0,"",VLOOKUP(VLOOKUP(S43,Tbl_Effect[],3,FALSE),EffectName[],IFERROR(MATCH(UI!$B$1,EffectName[#Headers],0),2),FALSE))</f>
        <v>提升雷屬性攻擊力＋２</v>
      </c>
      <c r="U43" t="str">
        <f t="shared" si="4"/>
        <v/>
      </c>
      <c r="V43">
        <v>0</v>
      </c>
      <c r="W43" t="str">
        <f>IF(V43&lt;&gt;0,VLOOKUP(VLOOKUP(V43,Tbl_Effect[],3,FALSE),EffectName[],IFERROR(MATCH(UI!$B$1,EffectName[#Headers],0),2),FALSE),"")</f>
        <v/>
      </c>
      <c r="X43" t="str">
        <f t="shared" si="5"/>
        <v/>
      </c>
      <c r="Y43">
        <v>0</v>
      </c>
      <c r="Z43" t="str">
        <f>IF(Y43&lt;&gt;0,VLOOKUP(VLOOKUP(Y43,Tbl_Effect[],3,FALSE),EffectName[],IFERROR(MATCH(UI!$B$1,EffectName[#Headers],0),2),FALSE),"")</f>
        <v/>
      </c>
      <c r="AA43" t="str">
        <f t="shared" si="6"/>
        <v/>
      </c>
      <c r="AB43">
        <v>0</v>
      </c>
      <c r="AC43" t="str">
        <f>IF(AB43&lt;&gt;0,VLOOKUP(VLOOKUP(AB43,Tbl_Effect[],3,FALSE),EffectName[],IFERROR(MATCH(UI!$B$1,EffectName[#Headers],0),2),FALSE),"")</f>
        <v/>
      </c>
      <c r="AE43">
        <v>7001602</v>
      </c>
      <c r="AF43">
        <v>7001702</v>
      </c>
      <c r="AG43">
        <v>7001702</v>
      </c>
    </row>
    <row r="44" spans="8:33" x14ac:dyDescent="0.4">
      <c r="H44" t="str">
        <f t="shared" si="0"/>
        <v>133-細膩的幽靜情景 (綠)</v>
      </c>
      <c r="I44">
        <v>133</v>
      </c>
      <c r="J44" t="str">
        <f>_xlfn.IFNA(IF(I44&lt;&gt;0,VLOOKUP(VLOOKUP(I44,Tbl_Equip[],2,FALSE),Tbl_Color[],IFERROR(MATCH(UI!$B$1,Tbl_Color[#Headers],0),2),FALSE),""),"Unset")</f>
        <v>綠</v>
      </c>
      <c r="K44" t="str">
        <f>_xlfn.IFNA(IF(I44&lt;&gt;0,VLOOKUP(I44,ItemText[],IFERROR(MATCH(UI!$B$1,ItemText[#Headers],0),2),FALSE),""),"Unset")</f>
        <v>細膩的幽靜情景</v>
      </c>
      <c r="L44" t="str">
        <f t="shared" si="1"/>
        <v>7001700-提升雷屬性攻擊力</v>
      </c>
      <c r="M44">
        <v>7001700</v>
      </c>
      <c r="N44" t="str">
        <f>IF(VALUE(M44)=0,"",VLOOKUP(VLOOKUP(M44,Tbl_Effect[],3,FALSE),EffectName[],IFERROR(MATCH(UI!$B$1,EffectName[#Headers],0),2),FALSE))</f>
        <v>提升雷屬性攻擊力</v>
      </c>
      <c r="O44" t="str">
        <f t="shared" si="2"/>
        <v>7001800-提升聖屬性攻擊力</v>
      </c>
      <c r="P44">
        <v>7001800</v>
      </c>
      <c r="Q44" t="str">
        <f>IF(VALUE(P44)=0,"",VLOOKUP(VLOOKUP(P44,Tbl_Effect[],3,FALSE),EffectName[],IFERROR(MATCH(UI!$B$1,EffectName[#Headers],0),2),FALSE))</f>
        <v>提升聖屬性攻擊力</v>
      </c>
      <c r="R44" t="str">
        <f t="shared" si="3"/>
        <v>7001800-提升聖屬性攻擊力</v>
      </c>
      <c r="S44">
        <v>7001800</v>
      </c>
      <c r="T44" t="str">
        <f>IF(VALUE(S44)=0,"",VLOOKUP(VLOOKUP(S44,Tbl_Effect[],3,FALSE),EffectName[],IFERROR(MATCH(UI!$B$1,EffectName[#Headers],0),2),FALSE))</f>
        <v>提升聖屬性攻擊力</v>
      </c>
      <c r="U44" t="str">
        <f t="shared" si="4"/>
        <v/>
      </c>
      <c r="V44">
        <v>0</v>
      </c>
      <c r="W44" t="str">
        <f>IF(V44&lt;&gt;0,VLOOKUP(VLOOKUP(V44,Tbl_Effect[],3,FALSE),EffectName[],IFERROR(MATCH(UI!$B$1,EffectName[#Headers],0),2),FALSE),"")</f>
        <v/>
      </c>
      <c r="X44" t="str">
        <f t="shared" si="5"/>
        <v/>
      </c>
      <c r="Y44">
        <v>0</v>
      </c>
      <c r="Z44" t="str">
        <f>IF(Y44&lt;&gt;0,VLOOKUP(VLOOKUP(Y44,Tbl_Effect[],3,FALSE),EffectName[],IFERROR(MATCH(UI!$B$1,EffectName[#Headers],0),2),FALSE),"")</f>
        <v/>
      </c>
      <c r="AA44" t="str">
        <f t="shared" si="6"/>
        <v/>
      </c>
      <c r="AB44">
        <v>0</v>
      </c>
      <c r="AC44" t="str">
        <f>IF(AB44&lt;&gt;0,VLOOKUP(VLOOKUP(AB44,Tbl_Effect[],3,FALSE),EffectName[],IFERROR(MATCH(UI!$B$1,EffectName[#Headers],0),2),FALSE),"")</f>
        <v/>
      </c>
      <c r="AE44">
        <v>7001700</v>
      </c>
      <c r="AF44">
        <v>7001800</v>
      </c>
      <c r="AG44">
        <v>7001800</v>
      </c>
    </row>
    <row r="45" spans="8:33" x14ac:dyDescent="0.4">
      <c r="H45" t="str">
        <f t="shared" si="0"/>
        <v>134-端正的幽靜情景 (綠)</v>
      </c>
      <c r="I45">
        <v>134</v>
      </c>
      <c r="J45" t="str">
        <f>_xlfn.IFNA(IF(I45&lt;&gt;0,VLOOKUP(VLOOKUP(I45,Tbl_Equip[],2,FALSE),Tbl_Color[],IFERROR(MATCH(UI!$B$1,Tbl_Color[#Headers],0),2),FALSE),""),"Unset")</f>
        <v>綠</v>
      </c>
      <c r="K45" t="str">
        <f>_xlfn.IFNA(IF(I45&lt;&gt;0,VLOOKUP(I45,ItemText[],IFERROR(MATCH(UI!$B$1,ItemText[#Headers],0),2),FALSE),""),"Unset")</f>
        <v>端正的幽靜情景</v>
      </c>
      <c r="L45" t="str">
        <f t="shared" si="1"/>
        <v>7001701-提升雷屬性攻擊力＋１</v>
      </c>
      <c r="M45">
        <v>7001701</v>
      </c>
      <c r="N45" t="str">
        <f>IF(VALUE(M45)=0,"",VLOOKUP(VLOOKUP(M45,Tbl_Effect[],3,FALSE),EffectName[],IFERROR(MATCH(UI!$B$1,EffectName[#Headers],0),2),FALSE))</f>
        <v>提升雷屬性攻擊力＋１</v>
      </c>
      <c r="O45" t="str">
        <f t="shared" si="2"/>
        <v>7001801-提升聖屬性攻擊力＋１</v>
      </c>
      <c r="P45">
        <v>7001801</v>
      </c>
      <c r="Q45" t="str">
        <f>IF(VALUE(P45)=0,"",VLOOKUP(VLOOKUP(P45,Tbl_Effect[],3,FALSE),EffectName[],IFERROR(MATCH(UI!$B$1,EffectName[#Headers],0),2),FALSE))</f>
        <v>提升聖屬性攻擊力＋１</v>
      </c>
      <c r="R45" t="str">
        <f t="shared" si="3"/>
        <v>7001801-提升聖屬性攻擊力＋１</v>
      </c>
      <c r="S45">
        <v>7001801</v>
      </c>
      <c r="T45" t="str">
        <f>IF(VALUE(S45)=0,"",VLOOKUP(VLOOKUP(S45,Tbl_Effect[],3,FALSE),EffectName[],IFERROR(MATCH(UI!$B$1,EffectName[#Headers],0),2),FALSE))</f>
        <v>提升聖屬性攻擊力＋１</v>
      </c>
      <c r="U45" t="str">
        <f t="shared" si="4"/>
        <v/>
      </c>
      <c r="V45">
        <v>0</v>
      </c>
      <c r="W45" t="str">
        <f>IF(V45&lt;&gt;0,VLOOKUP(VLOOKUP(V45,Tbl_Effect[],3,FALSE),EffectName[],IFERROR(MATCH(UI!$B$1,EffectName[#Headers],0),2),FALSE),"")</f>
        <v/>
      </c>
      <c r="X45" t="str">
        <f t="shared" si="5"/>
        <v/>
      </c>
      <c r="Y45">
        <v>0</v>
      </c>
      <c r="Z45" t="str">
        <f>IF(Y45&lt;&gt;0,VLOOKUP(VLOOKUP(Y45,Tbl_Effect[],3,FALSE),EffectName[],IFERROR(MATCH(UI!$B$1,EffectName[#Headers],0),2),FALSE),"")</f>
        <v/>
      </c>
      <c r="AA45" t="str">
        <f t="shared" si="6"/>
        <v/>
      </c>
      <c r="AB45">
        <v>0</v>
      </c>
      <c r="AC45" t="str">
        <f>IF(AB45&lt;&gt;0,VLOOKUP(VLOOKUP(AB45,Tbl_Effect[],3,FALSE),EffectName[],IFERROR(MATCH(UI!$B$1,EffectName[#Headers],0),2),FALSE),"")</f>
        <v/>
      </c>
      <c r="AE45">
        <v>7001701</v>
      </c>
      <c r="AF45">
        <v>7001801</v>
      </c>
      <c r="AG45">
        <v>7001801</v>
      </c>
    </row>
    <row r="46" spans="8:33" x14ac:dyDescent="0.4">
      <c r="H46" t="str">
        <f t="shared" si="0"/>
        <v>135-遼闊的幽靜情景 (綠)</v>
      </c>
      <c r="I46">
        <v>135</v>
      </c>
      <c r="J46" t="str">
        <f>_xlfn.IFNA(IF(I46&lt;&gt;0,VLOOKUP(VLOOKUP(I46,Tbl_Equip[],2,FALSE),Tbl_Color[],IFERROR(MATCH(UI!$B$1,Tbl_Color[#Headers],0),2),FALSE),""),"Unset")</f>
        <v>綠</v>
      </c>
      <c r="K46" t="str">
        <f>_xlfn.IFNA(IF(I46&lt;&gt;0,VLOOKUP(I46,ItemText[],IFERROR(MATCH(UI!$B$1,ItemText[#Headers],0),2),FALSE),""),"Unset")</f>
        <v>遼闊的幽靜情景</v>
      </c>
      <c r="L46" t="str">
        <f t="shared" si="1"/>
        <v>7001702-提升雷屬性攻擊力＋２</v>
      </c>
      <c r="M46">
        <v>7001702</v>
      </c>
      <c r="N46" t="str">
        <f>IF(VALUE(M46)=0,"",VLOOKUP(VLOOKUP(M46,Tbl_Effect[],3,FALSE),EffectName[],IFERROR(MATCH(UI!$B$1,EffectName[#Headers],0),2),FALSE))</f>
        <v>提升雷屬性攻擊力＋２</v>
      </c>
      <c r="O46" t="str">
        <f t="shared" si="2"/>
        <v>7001802-提升聖屬性攻擊力＋２</v>
      </c>
      <c r="P46">
        <v>7001802</v>
      </c>
      <c r="Q46" t="str">
        <f>IF(VALUE(P46)=0,"",VLOOKUP(VLOOKUP(P46,Tbl_Effect[],3,FALSE),EffectName[],IFERROR(MATCH(UI!$B$1,EffectName[#Headers],0),2),FALSE))</f>
        <v>提升聖屬性攻擊力＋２</v>
      </c>
      <c r="R46" t="str">
        <f t="shared" si="3"/>
        <v>7001802-提升聖屬性攻擊力＋２</v>
      </c>
      <c r="S46">
        <v>7001802</v>
      </c>
      <c r="T46" t="str">
        <f>IF(VALUE(S46)=0,"",VLOOKUP(VLOOKUP(S46,Tbl_Effect[],3,FALSE),EffectName[],IFERROR(MATCH(UI!$B$1,EffectName[#Headers],0),2),FALSE))</f>
        <v>提升聖屬性攻擊力＋２</v>
      </c>
      <c r="U46" t="str">
        <f t="shared" si="4"/>
        <v/>
      </c>
      <c r="V46">
        <v>0</v>
      </c>
      <c r="W46" t="str">
        <f>IF(V46&lt;&gt;0,VLOOKUP(VLOOKUP(V46,Tbl_Effect[],3,FALSE),EffectName[],IFERROR(MATCH(UI!$B$1,EffectName[#Headers],0),2),FALSE),"")</f>
        <v/>
      </c>
      <c r="X46" t="str">
        <f t="shared" si="5"/>
        <v/>
      </c>
      <c r="Y46">
        <v>0</v>
      </c>
      <c r="Z46" t="str">
        <f>IF(Y46&lt;&gt;0,VLOOKUP(VLOOKUP(Y46,Tbl_Effect[],3,FALSE),EffectName[],IFERROR(MATCH(UI!$B$1,EffectName[#Headers],0),2),FALSE),"")</f>
        <v/>
      </c>
      <c r="AA46" t="str">
        <f t="shared" si="6"/>
        <v/>
      </c>
      <c r="AB46">
        <v>0</v>
      </c>
      <c r="AC46" t="str">
        <f>IF(AB46&lt;&gt;0,VLOOKUP(VLOOKUP(AB46,Tbl_Effect[],3,FALSE),EffectName[],IFERROR(MATCH(UI!$B$1,EffectName[#Headers],0),2),FALSE),"")</f>
        <v/>
      </c>
      <c r="AE46">
        <v>7001702</v>
      </c>
      <c r="AF46">
        <v>7001802</v>
      </c>
      <c r="AG46">
        <v>7001802</v>
      </c>
    </row>
    <row r="47" spans="8:33" x14ac:dyDescent="0.4">
      <c r="H47" t="str">
        <f t="shared" si="0"/>
        <v>200-細膩的火燃情景 (紅)</v>
      </c>
      <c r="I47">
        <v>200</v>
      </c>
      <c r="J47" t="str">
        <f>_xlfn.IFNA(IF(I47&lt;&gt;0,VLOOKUP(VLOOKUP(I47,Tbl_Equip[],2,FALSE),Tbl_Color[],IFERROR(MATCH(UI!$B$1,Tbl_Color[#Headers],0),2),FALSE),""),"Unset")</f>
        <v>紅</v>
      </c>
      <c r="K47" t="str">
        <f>_xlfn.IFNA(IF(I47&lt;&gt;0,VLOOKUP(I47,ItemText[],IFERROR(MATCH(UI!$B$1,ItemText[#Headers],0),2),FALSE),""),"Unset")</f>
        <v>細膩的火燃情景</v>
      </c>
      <c r="L47" t="str">
        <f t="shared" si="1"/>
        <v>7001800-提升聖屬性攻擊力</v>
      </c>
      <c r="M47">
        <v>7001800</v>
      </c>
      <c r="N47" t="str">
        <f>IF(VALUE(M47)=0,"",VLOOKUP(VLOOKUP(M47,Tbl_Effect[],3,FALSE),EffectName[],IFERROR(MATCH(UI!$B$1,EffectName[#Headers],0),2),FALSE))</f>
        <v>提升聖屬性攻擊力</v>
      </c>
      <c r="O47" t="str">
        <f t="shared" si="2"/>
        <v>7002600-提升魔力屬性減傷率</v>
      </c>
      <c r="P47">
        <v>7002600</v>
      </c>
      <c r="Q47" t="str">
        <f>IF(VALUE(P47)=0,"",VLOOKUP(VLOOKUP(P47,Tbl_Effect[],3,FALSE),EffectName[],IFERROR(MATCH(UI!$B$1,EffectName[#Headers],0),2),FALSE))</f>
        <v>提升魔力屬性減傷率</v>
      </c>
      <c r="R47" t="str">
        <f t="shared" si="3"/>
        <v>7002600-提升魔力屬性減傷率</v>
      </c>
      <c r="S47">
        <v>7002600</v>
      </c>
      <c r="T47" t="str">
        <f>IF(VALUE(S47)=0,"",VLOOKUP(VLOOKUP(S47,Tbl_Effect[],3,FALSE),EffectName[],IFERROR(MATCH(UI!$B$1,EffectName[#Headers],0),2),FALSE))</f>
        <v>提升魔力屬性減傷率</v>
      </c>
      <c r="U47" t="str">
        <f t="shared" si="4"/>
        <v/>
      </c>
      <c r="V47">
        <v>0</v>
      </c>
      <c r="W47" t="str">
        <f>IF(V47&lt;&gt;0,VLOOKUP(VLOOKUP(V47,Tbl_Effect[],3,FALSE),EffectName[],IFERROR(MATCH(UI!$B$1,EffectName[#Headers],0),2),FALSE),"")</f>
        <v/>
      </c>
      <c r="X47" t="str">
        <f t="shared" si="5"/>
        <v/>
      </c>
      <c r="Y47">
        <v>0</v>
      </c>
      <c r="Z47" t="str">
        <f>IF(Y47&lt;&gt;0,VLOOKUP(VLOOKUP(Y47,Tbl_Effect[],3,FALSE),EffectName[],IFERROR(MATCH(UI!$B$1,EffectName[#Headers],0),2),FALSE),"")</f>
        <v/>
      </c>
      <c r="AA47" t="str">
        <f t="shared" si="6"/>
        <v/>
      </c>
      <c r="AB47">
        <v>0</v>
      </c>
      <c r="AC47" t="str">
        <f>IF(AB47&lt;&gt;0,VLOOKUP(VLOOKUP(AB47,Tbl_Effect[],3,FALSE),EffectName[],IFERROR(MATCH(UI!$B$1,EffectName[#Headers],0),2),FALSE),"")</f>
        <v/>
      </c>
      <c r="AE47">
        <v>7001800</v>
      </c>
      <c r="AF47">
        <v>7002600</v>
      </c>
      <c r="AG47">
        <v>7002600</v>
      </c>
    </row>
    <row r="48" spans="8:33" x14ac:dyDescent="0.4">
      <c r="H48" t="str">
        <f t="shared" si="0"/>
        <v>201-端正的火燃情景 (紅)</v>
      </c>
      <c r="I48">
        <v>201</v>
      </c>
      <c r="J48" t="str">
        <f>_xlfn.IFNA(IF(I48&lt;&gt;0,VLOOKUP(VLOOKUP(I48,Tbl_Equip[],2,FALSE),Tbl_Color[],IFERROR(MATCH(UI!$B$1,Tbl_Color[#Headers],0),2),FALSE),""),"Unset")</f>
        <v>紅</v>
      </c>
      <c r="K48" t="str">
        <f>_xlfn.IFNA(IF(I48&lt;&gt;0,VLOOKUP(I48,ItemText[],IFERROR(MATCH(UI!$B$1,ItemText[#Headers],0),2),FALSE),""),"Unset")</f>
        <v>端正的火燃情景</v>
      </c>
      <c r="L48" t="str">
        <f t="shared" si="1"/>
        <v>7001801-提升聖屬性攻擊力＋１</v>
      </c>
      <c r="M48">
        <v>7001801</v>
      </c>
      <c r="N48" t="str">
        <f>IF(VALUE(M48)=0,"",VLOOKUP(VLOOKUP(M48,Tbl_Effect[],3,FALSE),EffectName[],IFERROR(MATCH(UI!$B$1,EffectName[#Headers],0),2),FALSE))</f>
        <v>提升聖屬性攻擊力＋１</v>
      </c>
      <c r="O48" t="str">
        <f t="shared" si="2"/>
        <v>7002700-提升火屬性減傷率</v>
      </c>
      <c r="P48">
        <v>7002700</v>
      </c>
      <c r="Q48" t="str">
        <f>IF(VALUE(P48)=0,"",VLOOKUP(VLOOKUP(P48,Tbl_Effect[],3,FALSE),EffectName[],IFERROR(MATCH(UI!$B$1,EffectName[#Headers],0),2),FALSE))</f>
        <v>提升火屬性減傷率</v>
      </c>
      <c r="R48" t="str">
        <f t="shared" si="3"/>
        <v>7002700-提升火屬性減傷率</v>
      </c>
      <c r="S48">
        <v>7002700</v>
      </c>
      <c r="T48" t="str">
        <f>IF(VALUE(S48)=0,"",VLOOKUP(VLOOKUP(S48,Tbl_Effect[],3,FALSE),EffectName[],IFERROR(MATCH(UI!$B$1,EffectName[#Headers],0),2),FALSE))</f>
        <v>提升火屬性減傷率</v>
      </c>
      <c r="U48" t="str">
        <f t="shared" si="4"/>
        <v/>
      </c>
      <c r="V48">
        <v>0</v>
      </c>
      <c r="W48" t="str">
        <f>IF(V48&lt;&gt;0,VLOOKUP(VLOOKUP(V48,Tbl_Effect[],3,FALSE),EffectName[],IFERROR(MATCH(UI!$B$1,EffectName[#Headers],0),2),FALSE),"")</f>
        <v/>
      </c>
      <c r="X48" t="str">
        <f t="shared" si="5"/>
        <v/>
      </c>
      <c r="Y48">
        <v>0</v>
      </c>
      <c r="Z48" t="str">
        <f>IF(Y48&lt;&gt;0,VLOOKUP(VLOOKUP(Y48,Tbl_Effect[],3,FALSE),EffectName[],IFERROR(MATCH(UI!$B$1,EffectName[#Headers],0),2),FALSE),"")</f>
        <v/>
      </c>
      <c r="AA48" t="str">
        <f t="shared" si="6"/>
        <v/>
      </c>
      <c r="AB48">
        <v>0</v>
      </c>
      <c r="AC48" t="str">
        <f>IF(AB48&lt;&gt;0,VLOOKUP(VLOOKUP(AB48,Tbl_Effect[],3,FALSE),EffectName[],IFERROR(MATCH(UI!$B$1,EffectName[#Headers],0),2),FALSE),"")</f>
        <v/>
      </c>
      <c r="AE48">
        <v>7001801</v>
      </c>
      <c r="AF48">
        <v>7002700</v>
      </c>
      <c r="AG48">
        <v>7002700</v>
      </c>
    </row>
    <row r="49" spans="8:33" x14ac:dyDescent="0.4">
      <c r="H49" t="str">
        <f t="shared" si="0"/>
        <v>202-遼闊的火燃情景 (紅)</v>
      </c>
      <c r="I49">
        <v>202</v>
      </c>
      <c r="J49" t="str">
        <f>_xlfn.IFNA(IF(I49&lt;&gt;0,VLOOKUP(VLOOKUP(I49,Tbl_Equip[],2,FALSE),Tbl_Color[],IFERROR(MATCH(UI!$B$1,Tbl_Color[#Headers],0),2),FALSE),""),"Unset")</f>
        <v>紅</v>
      </c>
      <c r="K49" t="str">
        <f>_xlfn.IFNA(IF(I49&lt;&gt;0,VLOOKUP(I49,ItemText[],IFERROR(MATCH(UI!$B$1,ItemText[#Headers],0),2),FALSE),""),"Unset")</f>
        <v>遼闊的火燃情景</v>
      </c>
      <c r="L49" t="str">
        <f t="shared" si="1"/>
        <v>7001802-提升聖屬性攻擊力＋２</v>
      </c>
      <c r="M49">
        <v>7001802</v>
      </c>
      <c r="N49" t="str">
        <f>IF(VALUE(M49)=0,"",VLOOKUP(VLOOKUP(M49,Tbl_Effect[],3,FALSE),EffectName[],IFERROR(MATCH(UI!$B$1,EffectName[#Headers],0),2),FALSE))</f>
        <v>提升聖屬性攻擊力＋２</v>
      </c>
      <c r="O49" t="str">
        <f t="shared" si="2"/>
        <v>7002800-提升雷屬性減傷率</v>
      </c>
      <c r="P49">
        <v>7002800</v>
      </c>
      <c r="Q49" t="str">
        <f>IF(VALUE(P49)=0,"",VLOOKUP(VLOOKUP(P49,Tbl_Effect[],3,FALSE),EffectName[],IFERROR(MATCH(UI!$B$1,EffectName[#Headers],0),2),FALSE))</f>
        <v>提升雷屬性減傷率</v>
      </c>
      <c r="R49" t="str">
        <f t="shared" si="3"/>
        <v>7002800-提升雷屬性減傷率</v>
      </c>
      <c r="S49">
        <v>7002800</v>
      </c>
      <c r="T49" t="str">
        <f>IF(VALUE(S49)=0,"",VLOOKUP(VLOOKUP(S49,Tbl_Effect[],3,FALSE),EffectName[],IFERROR(MATCH(UI!$B$1,EffectName[#Headers],0),2),FALSE))</f>
        <v>提升雷屬性減傷率</v>
      </c>
      <c r="U49" t="str">
        <f t="shared" si="4"/>
        <v/>
      </c>
      <c r="V49">
        <v>0</v>
      </c>
      <c r="W49" t="str">
        <f>IF(V49&lt;&gt;0,VLOOKUP(VLOOKUP(V49,Tbl_Effect[],3,FALSE),EffectName[],IFERROR(MATCH(UI!$B$1,EffectName[#Headers],0),2),FALSE),"")</f>
        <v/>
      </c>
      <c r="X49" t="str">
        <f t="shared" si="5"/>
        <v/>
      </c>
      <c r="Y49">
        <v>0</v>
      </c>
      <c r="Z49" t="str">
        <f>IF(Y49&lt;&gt;0,VLOOKUP(VLOOKUP(Y49,Tbl_Effect[],3,FALSE),EffectName[],IFERROR(MATCH(UI!$B$1,EffectName[#Headers],0),2),FALSE),"")</f>
        <v/>
      </c>
      <c r="AA49" t="str">
        <f t="shared" si="6"/>
        <v/>
      </c>
      <c r="AB49">
        <v>0</v>
      </c>
      <c r="AC49" t="str">
        <f>IF(AB49&lt;&gt;0,VLOOKUP(VLOOKUP(AB49,Tbl_Effect[],3,FALSE),EffectName[],IFERROR(MATCH(UI!$B$1,EffectName[#Headers],0),2),FALSE),"")</f>
        <v/>
      </c>
      <c r="AE49">
        <v>7001802</v>
      </c>
      <c r="AF49">
        <v>7002800</v>
      </c>
      <c r="AG49">
        <v>7002800</v>
      </c>
    </row>
    <row r="50" spans="8:33" x14ac:dyDescent="0.4">
      <c r="H50" t="str">
        <f t="shared" si="0"/>
        <v>203-細膩的火燃情景 (紅)</v>
      </c>
      <c r="I50">
        <v>203</v>
      </c>
      <c r="J50" t="str">
        <f>_xlfn.IFNA(IF(I50&lt;&gt;0,VLOOKUP(VLOOKUP(I50,Tbl_Equip[],2,FALSE),Tbl_Color[],IFERROR(MATCH(UI!$B$1,Tbl_Color[#Headers],0),2),FALSE),""),"Unset")</f>
        <v>紅</v>
      </c>
      <c r="K50" t="str">
        <f>_xlfn.IFNA(IF(I50&lt;&gt;0,VLOOKUP(I50,ItemText[],IFERROR(MATCH(UI!$B$1,ItemText[#Headers],0),2),FALSE),""),"Unset")</f>
        <v>細膩的火燃情景</v>
      </c>
      <c r="L50" t="str">
        <f t="shared" si="1"/>
        <v>7002600-提升魔力屬性減傷率</v>
      </c>
      <c r="M50">
        <v>7002600</v>
      </c>
      <c r="N50" t="str">
        <f>IF(VALUE(M50)=0,"",VLOOKUP(VLOOKUP(M50,Tbl_Effect[],3,FALSE),EffectName[],IFERROR(MATCH(UI!$B$1,EffectName[#Headers],0),2),FALSE))</f>
        <v>提升魔力屬性減傷率</v>
      </c>
      <c r="O50" t="str">
        <f t="shared" si="2"/>
        <v>7002900-提升聖屬性減傷率</v>
      </c>
      <c r="P50">
        <v>7002900</v>
      </c>
      <c r="Q50" t="str">
        <f>IF(VALUE(P50)=0,"",VLOOKUP(VLOOKUP(P50,Tbl_Effect[],3,FALSE),EffectName[],IFERROR(MATCH(UI!$B$1,EffectName[#Headers],0),2),FALSE))</f>
        <v>提升聖屬性減傷率</v>
      </c>
      <c r="R50" t="str">
        <f t="shared" si="3"/>
        <v>7002900-提升聖屬性減傷率</v>
      </c>
      <c r="S50">
        <v>7002900</v>
      </c>
      <c r="T50" t="str">
        <f>IF(VALUE(S50)=0,"",VLOOKUP(VLOOKUP(S50,Tbl_Effect[],3,FALSE),EffectName[],IFERROR(MATCH(UI!$B$1,EffectName[#Headers],0),2),FALSE))</f>
        <v>提升聖屬性減傷率</v>
      </c>
      <c r="U50" t="str">
        <f t="shared" si="4"/>
        <v/>
      </c>
      <c r="V50">
        <v>0</v>
      </c>
      <c r="W50" t="str">
        <f>IF(V50&lt;&gt;0,VLOOKUP(VLOOKUP(V50,Tbl_Effect[],3,FALSE),EffectName[],IFERROR(MATCH(UI!$B$1,EffectName[#Headers],0),2),FALSE),"")</f>
        <v/>
      </c>
      <c r="X50" t="str">
        <f t="shared" si="5"/>
        <v/>
      </c>
      <c r="Y50">
        <v>0</v>
      </c>
      <c r="Z50" t="str">
        <f>IF(Y50&lt;&gt;0,VLOOKUP(VLOOKUP(Y50,Tbl_Effect[],3,FALSE),EffectName[],IFERROR(MATCH(UI!$B$1,EffectName[#Headers],0),2),FALSE),"")</f>
        <v/>
      </c>
      <c r="AA50" t="str">
        <f t="shared" si="6"/>
        <v/>
      </c>
      <c r="AB50">
        <v>0</v>
      </c>
      <c r="AC50" t="str">
        <f>IF(AB50&lt;&gt;0,VLOOKUP(VLOOKUP(AB50,Tbl_Effect[],3,FALSE),EffectName[],IFERROR(MATCH(UI!$B$1,EffectName[#Headers],0),2),FALSE),"")</f>
        <v/>
      </c>
      <c r="AE50">
        <v>7002600</v>
      </c>
      <c r="AF50">
        <v>7002900</v>
      </c>
      <c r="AG50">
        <v>7002900</v>
      </c>
    </row>
    <row r="51" spans="8:33" x14ac:dyDescent="0.4">
      <c r="H51" t="str">
        <f t="shared" si="0"/>
        <v>204-端正的火燃情景 (紅)</v>
      </c>
      <c r="I51">
        <v>204</v>
      </c>
      <c r="J51" t="str">
        <f>_xlfn.IFNA(IF(I51&lt;&gt;0,VLOOKUP(VLOOKUP(I51,Tbl_Equip[],2,FALSE),Tbl_Color[],IFERROR(MATCH(UI!$B$1,Tbl_Color[#Headers],0),2),FALSE),""),"Unset")</f>
        <v>紅</v>
      </c>
      <c r="K51" t="str">
        <f>_xlfn.IFNA(IF(I51&lt;&gt;0,VLOOKUP(I51,ItemText[],IFERROR(MATCH(UI!$B$1,ItemText[#Headers],0),2),FALSE),""),"Unset")</f>
        <v>端正的火燃情景</v>
      </c>
      <c r="L51" t="str">
        <f t="shared" si="1"/>
        <v>7002700-提升火屬性減傷率</v>
      </c>
      <c r="M51">
        <v>7002700</v>
      </c>
      <c r="N51" t="str">
        <f>IF(VALUE(M51)=0,"",VLOOKUP(VLOOKUP(M51,Tbl_Effect[],3,FALSE),EffectName[],IFERROR(MATCH(UI!$B$1,EffectName[#Headers],0),2),FALSE))</f>
        <v>提升火屬性減傷率</v>
      </c>
      <c r="O51" t="str">
        <f t="shared" si="2"/>
        <v>7003000-提升對中毒的抵抗力</v>
      </c>
      <c r="P51">
        <v>7003000</v>
      </c>
      <c r="Q51" t="str">
        <f>IF(VALUE(P51)=0,"",VLOOKUP(VLOOKUP(P51,Tbl_Effect[],3,FALSE),EffectName[],IFERROR(MATCH(UI!$B$1,EffectName[#Headers],0),2),FALSE))</f>
        <v>提升對中毒的抵抗力</v>
      </c>
      <c r="R51" t="str">
        <f t="shared" si="3"/>
        <v>7003000-提升對中毒的抵抗力</v>
      </c>
      <c r="S51">
        <v>7003000</v>
      </c>
      <c r="T51" t="str">
        <f>IF(VALUE(S51)=0,"",VLOOKUP(VLOOKUP(S51,Tbl_Effect[],3,FALSE),EffectName[],IFERROR(MATCH(UI!$B$1,EffectName[#Headers],0),2),FALSE))</f>
        <v>提升對中毒的抵抗力</v>
      </c>
      <c r="U51" t="str">
        <f t="shared" si="4"/>
        <v/>
      </c>
      <c r="V51">
        <v>0</v>
      </c>
      <c r="W51" t="str">
        <f>IF(V51&lt;&gt;0,VLOOKUP(VLOOKUP(V51,Tbl_Effect[],3,FALSE),EffectName[],IFERROR(MATCH(UI!$B$1,EffectName[#Headers],0),2),FALSE),"")</f>
        <v/>
      </c>
      <c r="X51" t="str">
        <f t="shared" si="5"/>
        <v/>
      </c>
      <c r="Y51">
        <v>0</v>
      </c>
      <c r="Z51" t="str">
        <f>IF(Y51&lt;&gt;0,VLOOKUP(VLOOKUP(Y51,Tbl_Effect[],3,FALSE),EffectName[],IFERROR(MATCH(UI!$B$1,EffectName[#Headers],0),2),FALSE),"")</f>
        <v/>
      </c>
      <c r="AA51" t="str">
        <f t="shared" si="6"/>
        <v/>
      </c>
      <c r="AB51">
        <v>0</v>
      </c>
      <c r="AC51" t="str">
        <f>IF(AB51&lt;&gt;0,VLOOKUP(VLOOKUP(AB51,Tbl_Effect[],3,FALSE),EffectName[],IFERROR(MATCH(UI!$B$1,EffectName[#Headers],0),2),FALSE),"")</f>
        <v/>
      </c>
      <c r="AE51">
        <v>7002700</v>
      </c>
      <c r="AF51">
        <v>7003000</v>
      </c>
      <c r="AG51">
        <v>7003000</v>
      </c>
    </row>
    <row r="52" spans="8:33" x14ac:dyDescent="0.4">
      <c r="H52" t="str">
        <f t="shared" si="0"/>
        <v>205-遼闊的火燃情景 (紅)</v>
      </c>
      <c r="I52">
        <v>205</v>
      </c>
      <c r="J52" t="str">
        <f>_xlfn.IFNA(IF(I52&lt;&gt;0,VLOOKUP(VLOOKUP(I52,Tbl_Equip[],2,FALSE),Tbl_Color[],IFERROR(MATCH(UI!$B$1,Tbl_Color[#Headers],0),2),FALSE),""),"Unset")</f>
        <v>紅</v>
      </c>
      <c r="K52" t="str">
        <f>_xlfn.IFNA(IF(I52&lt;&gt;0,VLOOKUP(I52,ItemText[],IFERROR(MATCH(UI!$B$1,ItemText[#Headers],0),2),FALSE),""),"Unset")</f>
        <v>遼闊的火燃情景</v>
      </c>
      <c r="L52" t="str">
        <f t="shared" si="1"/>
        <v>7002800-提升雷屬性減傷率</v>
      </c>
      <c r="M52">
        <v>7002800</v>
      </c>
      <c r="N52" t="str">
        <f>IF(VALUE(M52)=0,"",VLOOKUP(VLOOKUP(M52,Tbl_Effect[],3,FALSE),EffectName[],IFERROR(MATCH(UI!$B$1,EffectName[#Headers],0),2),FALSE))</f>
        <v>提升雷屬性減傷率</v>
      </c>
      <c r="O52" t="str">
        <f t="shared" si="2"/>
        <v>7003100-提升對出血的抵抗力</v>
      </c>
      <c r="P52">
        <v>7003100</v>
      </c>
      <c r="Q52" t="str">
        <f>IF(VALUE(P52)=0,"",VLOOKUP(VLOOKUP(P52,Tbl_Effect[],3,FALSE),EffectName[],IFERROR(MATCH(UI!$B$1,EffectName[#Headers],0),2),FALSE))</f>
        <v>提升對出血的抵抗力</v>
      </c>
      <c r="R52" t="str">
        <f t="shared" si="3"/>
        <v>7003100-提升對出血的抵抗力</v>
      </c>
      <c r="S52">
        <v>7003100</v>
      </c>
      <c r="T52" t="str">
        <f>IF(VALUE(S52)=0,"",VLOOKUP(VLOOKUP(S52,Tbl_Effect[],3,FALSE),EffectName[],IFERROR(MATCH(UI!$B$1,EffectName[#Headers],0),2),FALSE))</f>
        <v>提升對出血的抵抗力</v>
      </c>
      <c r="U52" t="str">
        <f t="shared" si="4"/>
        <v/>
      </c>
      <c r="V52">
        <v>0</v>
      </c>
      <c r="W52" t="str">
        <f>IF(V52&lt;&gt;0,VLOOKUP(VLOOKUP(V52,Tbl_Effect[],3,FALSE),EffectName[],IFERROR(MATCH(UI!$B$1,EffectName[#Headers],0),2),FALSE),"")</f>
        <v/>
      </c>
      <c r="X52" t="str">
        <f t="shared" si="5"/>
        <v/>
      </c>
      <c r="Y52">
        <v>0</v>
      </c>
      <c r="Z52" t="str">
        <f>IF(Y52&lt;&gt;0,VLOOKUP(VLOOKUP(Y52,Tbl_Effect[],3,FALSE),EffectName[],IFERROR(MATCH(UI!$B$1,EffectName[#Headers],0),2),FALSE),"")</f>
        <v/>
      </c>
      <c r="AA52" t="str">
        <f t="shared" si="6"/>
        <v/>
      </c>
      <c r="AB52">
        <v>0</v>
      </c>
      <c r="AC52" t="str">
        <f>IF(AB52&lt;&gt;0,VLOOKUP(VLOOKUP(AB52,Tbl_Effect[],3,FALSE),EffectName[],IFERROR(MATCH(UI!$B$1,EffectName[#Headers],0),2),FALSE),"")</f>
        <v/>
      </c>
      <c r="AE52">
        <v>7002800</v>
      </c>
      <c r="AF52">
        <v>7003100</v>
      </c>
      <c r="AG52">
        <v>7003100</v>
      </c>
    </row>
    <row r="53" spans="8:33" x14ac:dyDescent="0.4">
      <c r="H53" t="str">
        <f t="shared" si="0"/>
        <v>206-細膩的火燃情景 (紅)</v>
      </c>
      <c r="I53">
        <v>206</v>
      </c>
      <c r="J53" t="str">
        <f>_xlfn.IFNA(IF(I53&lt;&gt;0,VLOOKUP(VLOOKUP(I53,Tbl_Equip[],2,FALSE),Tbl_Color[],IFERROR(MATCH(UI!$B$1,Tbl_Color[#Headers],0),2),FALSE),""),"Unset")</f>
        <v>紅</v>
      </c>
      <c r="K53" t="str">
        <f>_xlfn.IFNA(IF(I53&lt;&gt;0,VLOOKUP(I53,ItemText[],IFERROR(MATCH(UI!$B$1,ItemText[#Headers],0),2),FALSE),""),"Unset")</f>
        <v>細膩的火燃情景</v>
      </c>
      <c r="L53" t="str">
        <f t="shared" si="1"/>
        <v>7002900-提升聖屬性減傷率</v>
      </c>
      <c r="M53">
        <v>7002900</v>
      </c>
      <c r="N53" t="str">
        <f>IF(VALUE(M53)=0,"",VLOOKUP(VLOOKUP(M53,Tbl_Effect[],3,FALSE),EffectName[],IFERROR(MATCH(UI!$B$1,EffectName[#Headers],0),2),FALSE))</f>
        <v>提升聖屬性減傷率</v>
      </c>
      <c r="O53" t="str">
        <f t="shared" si="2"/>
        <v>7003200-提升對催眠的抵抗力</v>
      </c>
      <c r="P53">
        <v>7003200</v>
      </c>
      <c r="Q53" t="str">
        <f>IF(VALUE(P53)=0,"",VLOOKUP(VLOOKUP(P53,Tbl_Effect[],3,FALSE),EffectName[],IFERROR(MATCH(UI!$B$1,EffectName[#Headers],0),2),FALSE))</f>
        <v>提升對催眠的抵抗力</v>
      </c>
      <c r="R53" t="str">
        <f t="shared" si="3"/>
        <v>7003200-提升對催眠的抵抗力</v>
      </c>
      <c r="S53">
        <v>7003200</v>
      </c>
      <c r="T53" t="str">
        <f>IF(VALUE(S53)=0,"",VLOOKUP(VLOOKUP(S53,Tbl_Effect[],3,FALSE),EffectName[],IFERROR(MATCH(UI!$B$1,EffectName[#Headers],0),2),FALSE))</f>
        <v>提升對催眠的抵抗力</v>
      </c>
      <c r="U53" t="str">
        <f t="shared" si="4"/>
        <v/>
      </c>
      <c r="V53">
        <v>0</v>
      </c>
      <c r="W53" t="str">
        <f>IF(V53&lt;&gt;0,VLOOKUP(VLOOKUP(V53,Tbl_Effect[],3,FALSE),EffectName[],IFERROR(MATCH(UI!$B$1,EffectName[#Headers],0),2),FALSE),"")</f>
        <v/>
      </c>
      <c r="X53" t="str">
        <f t="shared" si="5"/>
        <v/>
      </c>
      <c r="Y53">
        <v>0</v>
      </c>
      <c r="Z53" t="str">
        <f>IF(Y53&lt;&gt;0,VLOOKUP(VLOOKUP(Y53,Tbl_Effect[],3,FALSE),EffectName[],IFERROR(MATCH(UI!$B$1,EffectName[#Headers],0),2),FALSE),"")</f>
        <v/>
      </c>
      <c r="AA53" t="str">
        <f t="shared" si="6"/>
        <v/>
      </c>
      <c r="AB53">
        <v>0</v>
      </c>
      <c r="AC53" t="str">
        <f>IF(AB53&lt;&gt;0,VLOOKUP(VLOOKUP(AB53,Tbl_Effect[],3,FALSE),EffectName[],IFERROR(MATCH(UI!$B$1,EffectName[#Headers],0),2),FALSE),"")</f>
        <v/>
      </c>
      <c r="AE53">
        <v>7002900</v>
      </c>
      <c r="AF53">
        <v>7003200</v>
      </c>
      <c r="AG53">
        <v>7003200</v>
      </c>
    </row>
    <row r="54" spans="8:33" x14ac:dyDescent="0.4">
      <c r="H54" t="str">
        <f t="shared" si="0"/>
        <v>207-端正的火燃情景 (紅)</v>
      </c>
      <c r="I54">
        <v>207</v>
      </c>
      <c r="J54" t="str">
        <f>_xlfn.IFNA(IF(I54&lt;&gt;0,VLOOKUP(VLOOKUP(I54,Tbl_Equip[],2,FALSE),Tbl_Color[],IFERROR(MATCH(UI!$B$1,Tbl_Color[#Headers],0),2),FALSE),""),"Unset")</f>
        <v>紅</v>
      </c>
      <c r="K54" t="str">
        <f>_xlfn.IFNA(IF(I54&lt;&gt;0,VLOOKUP(I54,ItemText[],IFERROR(MATCH(UI!$B$1,ItemText[#Headers],0),2),FALSE),""),"Unset")</f>
        <v>端正的火燃情景</v>
      </c>
      <c r="L54" t="str">
        <f t="shared" si="1"/>
        <v>7003000-提升對中毒的抵抗力</v>
      </c>
      <c r="M54">
        <v>7003000</v>
      </c>
      <c r="N54" t="str">
        <f>IF(VALUE(M54)=0,"",VLOOKUP(VLOOKUP(M54,Tbl_Effect[],3,FALSE),EffectName[],IFERROR(MATCH(UI!$B$1,EffectName[#Headers],0),2),FALSE))</f>
        <v>提升對中毒的抵抗力</v>
      </c>
      <c r="O54" t="str">
        <f t="shared" si="2"/>
        <v>7003300-提升對驟死的抵抗力</v>
      </c>
      <c r="P54">
        <v>7003300</v>
      </c>
      <c r="Q54" t="str">
        <f>IF(VALUE(P54)=0,"",VLOOKUP(VLOOKUP(P54,Tbl_Effect[],3,FALSE),EffectName[],IFERROR(MATCH(UI!$B$1,EffectName[#Headers],0),2),FALSE))</f>
        <v>提升對驟死的抵抗力</v>
      </c>
      <c r="R54" t="str">
        <f t="shared" si="3"/>
        <v>7003300-提升對驟死的抵抗力</v>
      </c>
      <c r="S54">
        <v>7003300</v>
      </c>
      <c r="T54" t="str">
        <f>IF(VALUE(S54)=0,"",VLOOKUP(VLOOKUP(S54,Tbl_Effect[],3,FALSE),EffectName[],IFERROR(MATCH(UI!$B$1,EffectName[#Headers],0),2),FALSE))</f>
        <v>提升對驟死的抵抗力</v>
      </c>
      <c r="U54" t="str">
        <f t="shared" si="4"/>
        <v/>
      </c>
      <c r="V54">
        <v>0</v>
      </c>
      <c r="W54" t="str">
        <f>IF(V54&lt;&gt;0,VLOOKUP(VLOOKUP(V54,Tbl_Effect[],3,FALSE),EffectName[],IFERROR(MATCH(UI!$B$1,EffectName[#Headers],0),2),FALSE),"")</f>
        <v/>
      </c>
      <c r="X54" t="str">
        <f t="shared" si="5"/>
        <v/>
      </c>
      <c r="Y54">
        <v>0</v>
      </c>
      <c r="Z54" t="str">
        <f>IF(Y54&lt;&gt;0,VLOOKUP(VLOOKUP(Y54,Tbl_Effect[],3,FALSE),EffectName[],IFERROR(MATCH(UI!$B$1,EffectName[#Headers],0),2),FALSE),"")</f>
        <v/>
      </c>
      <c r="AA54" t="str">
        <f t="shared" si="6"/>
        <v/>
      </c>
      <c r="AB54">
        <v>0</v>
      </c>
      <c r="AC54" t="str">
        <f>IF(AB54&lt;&gt;0,VLOOKUP(VLOOKUP(AB54,Tbl_Effect[],3,FALSE),EffectName[],IFERROR(MATCH(UI!$B$1,EffectName[#Headers],0),2),FALSE),"")</f>
        <v/>
      </c>
      <c r="AE54">
        <v>7003000</v>
      </c>
      <c r="AF54">
        <v>7003300</v>
      </c>
      <c r="AG54">
        <v>7003300</v>
      </c>
    </row>
    <row r="55" spans="8:33" x14ac:dyDescent="0.4">
      <c r="H55" t="str">
        <f t="shared" si="0"/>
        <v>208-遼闊的火燃情景 (紅)</v>
      </c>
      <c r="I55">
        <v>208</v>
      </c>
      <c r="J55" t="str">
        <f>_xlfn.IFNA(IF(I55&lt;&gt;0,VLOOKUP(VLOOKUP(I55,Tbl_Equip[],2,FALSE),Tbl_Color[],IFERROR(MATCH(UI!$B$1,Tbl_Color[#Headers],0),2),FALSE),""),"Unset")</f>
        <v>紅</v>
      </c>
      <c r="K55" t="str">
        <f>_xlfn.IFNA(IF(I55&lt;&gt;0,VLOOKUP(I55,ItemText[],IFERROR(MATCH(UI!$B$1,ItemText[#Headers],0),2),FALSE),""),"Unset")</f>
        <v>遼闊的火燃情景</v>
      </c>
      <c r="L55" t="str">
        <f t="shared" si="1"/>
        <v>7003100-提升對出血的抵抗力</v>
      </c>
      <c r="M55">
        <v>7003100</v>
      </c>
      <c r="N55" t="str">
        <f>IF(VALUE(M55)=0,"",VLOOKUP(VLOOKUP(M55,Tbl_Effect[],3,FALSE),EffectName[],IFERROR(MATCH(UI!$B$1,EffectName[#Headers],0),2),FALSE))</f>
        <v>提升對出血的抵抗力</v>
      </c>
      <c r="O55" t="str">
        <f t="shared" si="2"/>
        <v>7003400-提升對猩紅腐敗的抵抗力</v>
      </c>
      <c r="P55">
        <v>7003400</v>
      </c>
      <c r="Q55" t="str">
        <f>IF(VALUE(P55)=0,"",VLOOKUP(VLOOKUP(P55,Tbl_Effect[],3,FALSE),EffectName[],IFERROR(MATCH(UI!$B$1,EffectName[#Headers],0),2),FALSE))</f>
        <v>提升對猩紅腐敗的抵抗力</v>
      </c>
      <c r="R55" t="str">
        <f t="shared" si="3"/>
        <v>7003400-提升對猩紅腐敗的抵抗力</v>
      </c>
      <c r="S55">
        <v>7003400</v>
      </c>
      <c r="T55" t="str">
        <f>IF(VALUE(S55)=0,"",VLOOKUP(VLOOKUP(S55,Tbl_Effect[],3,FALSE),EffectName[],IFERROR(MATCH(UI!$B$1,EffectName[#Headers],0),2),FALSE))</f>
        <v>提升對猩紅腐敗的抵抗力</v>
      </c>
      <c r="U55" t="str">
        <f t="shared" si="4"/>
        <v/>
      </c>
      <c r="V55">
        <v>0</v>
      </c>
      <c r="W55" t="str">
        <f>IF(V55&lt;&gt;0,VLOOKUP(VLOOKUP(V55,Tbl_Effect[],3,FALSE),EffectName[],IFERROR(MATCH(UI!$B$1,EffectName[#Headers],0),2),FALSE),"")</f>
        <v/>
      </c>
      <c r="X55" t="str">
        <f t="shared" si="5"/>
        <v/>
      </c>
      <c r="Y55">
        <v>0</v>
      </c>
      <c r="Z55" t="str">
        <f>IF(Y55&lt;&gt;0,VLOOKUP(VLOOKUP(Y55,Tbl_Effect[],3,FALSE),EffectName[],IFERROR(MATCH(UI!$B$1,EffectName[#Headers],0),2),FALSE),"")</f>
        <v/>
      </c>
      <c r="AA55" t="str">
        <f t="shared" si="6"/>
        <v/>
      </c>
      <c r="AB55">
        <v>0</v>
      </c>
      <c r="AC55" t="str">
        <f>IF(AB55&lt;&gt;0,VLOOKUP(VLOOKUP(AB55,Tbl_Effect[],3,FALSE),EffectName[],IFERROR(MATCH(UI!$B$1,EffectName[#Headers],0),2),FALSE),"")</f>
        <v/>
      </c>
      <c r="AE55">
        <v>7003100</v>
      </c>
      <c r="AF55">
        <v>7003400</v>
      </c>
      <c r="AG55">
        <v>7003400</v>
      </c>
    </row>
    <row r="56" spans="8:33" x14ac:dyDescent="0.4">
      <c r="H56" t="str">
        <f t="shared" si="0"/>
        <v>209-細膩的水滴情景 (藍)</v>
      </c>
      <c r="I56">
        <v>209</v>
      </c>
      <c r="J56" t="str">
        <f>_xlfn.IFNA(IF(I56&lt;&gt;0,VLOOKUP(VLOOKUP(I56,Tbl_Equip[],2,FALSE),Tbl_Color[],IFERROR(MATCH(UI!$B$1,Tbl_Color[#Headers],0),2),FALSE),""),"Unset")</f>
        <v>藍</v>
      </c>
      <c r="K56" t="str">
        <f>_xlfn.IFNA(IF(I56&lt;&gt;0,VLOOKUP(I56,ItemText[],IFERROR(MATCH(UI!$B$1,ItemText[#Headers],0),2),FALSE),""),"Unset")</f>
        <v>細膩的水滴情景</v>
      </c>
      <c r="L56" t="str">
        <f t="shared" si="1"/>
        <v>7003200-提升對催眠的抵抗力</v>
      </c>
      <c r="M56">
        <v>7003200</v>
      </c>
      <c r="N56" t="str">
        <f>IF(VALUE(M56)=0,"",VLOOKUP(VLOOKUP(M56,Tbl_Effect[],3,FALSE),EffectName[],IFERROR(MATCH(UI!$B$1,EffectName[#Headers],0),2),FALSE))</f>
        <v>提升對催眠的抵抗力</v>
      </c>
      <c r="O56" t="str">
        <f t="shared" si="2"/>
        <v>7003500-提升對凍傷的抵抗力</v>
      </c>
      <c r="P56">
        <v>7003500</v>
      </c>
      <c r="Q56" t="str">
        <f>IF(VALUE(P56)=0,"",VLOOKUP(VLOOKUP(P56,Tbl_Effect[],3,FALSE),EffectName[],IFERROR(MATCH(UI!$B$1,EffectName[#Headers],0),2),FALSE))</f>
        <v>提升對凍傷的抵抗力</v>
      </c>
      <c r="R56" t="str">
        <f t="shared" si="3"/>
        <v>7003500-提升對凍傷的抵抗力</v>
      </c>
      <c r="S56">
        <v>7003500</v>
      </c>
      <c r="T56" t="str">
        <f>IF(VALUE(S56)=0,"",VLOOKUP(VLOOKUP(S56,Tbl_Effect[],3,FALSE),EffectName[],IFERROR(MATCH(UI!$B$1,EffectName[#Headers],0),2),FALSE))</f>
        <v>提升對凍傷的抵抗力</v>
      </c>
      <c r="U56" t="str">
        <f t="shared" si="4"/>
        <v/>
      </c>
      <c r="V56">
        <v>0</v>
      </c>
      <c r="W56" t="str">
        <f>IF(V56&lt;&gt;0,VLOOKUP(VLOOKUP(V56,Tbl_Effect[],3,FALSE),EffectName[],IFERROR(MATCH(UI!$B$1,EffectName[#Headers],0),2),FALSE),"")</f>
        <v/>
      </c>
      <c r="X56" t="str">
        <f t="shared" si="5"/>
        <v/>
      </c>
      <c r="Y56">
        <v>0</v>
      </c>
      <c r="Z56" t="str">
        <f>IF(Y56&lt;&gt;0,VLOOKUP(VLOOKUP(Y56,Tbl_Effect[],3,FALSE),EffectName[],IFERROR(MATCH(UI!$B$1,EffectName[#Headers],0),2),FALSE),"")</f>
        <v/>
      </c>
      <c r="AA56" t="str">
        <f t="shared" si="6"/>
        <v/>
      </c>
      <c r="AB56">
        <v>0</v>
      </c>
      <c r="AC56" t="str">
        <f>IF(AB56&lt;&gt;0,VLOOKUP(VLOOKUP(AB56,Tbl_Effect[],3,FALSE),EffectName[],IFERROR(MATCH(UI!$B$1,EffectName[#Headers],0),2),FALSE),"")</f>
        <v/>
      </c>
      <c r="AE56">
        <v>7003200</v>
      </c>
      <c r="AF56">
        <v>7003500</v>
      </c>
      <c r="AG56">
        <v>7003500</v>
      </c>
    </row>
    <row r="57" spans="8:33" x14ac:dyDescent="0.4">
      <c r="H57" t="str">
        <f t="shared" si="0"/>
        <v>210-端正的水滴情景 (藍)</v>
      </c>
      <c r="I57">
        <v>210</v>
      </c>
      <c r="J57" t="str">
        <f>_xlfn.IFNA(IF(I57&lt;&gt;0,VLOOKUP(VLOOKUP(I57,Tbl_Equip[],2,FALSE),Tbl_Color[],IFERROR(MATCH(UI!$B$1,Tbl_Color[#Headers],0),2),FALSE),""),"Unset")</f>
        <v>藍</v>
      </c>
      <c r="K57" t="str">
        <f>_xlfn.IFNA(IF(I57&lt;&gt;0,VLOOKUP(I57,ItemText[],IFERROR(MATCH(UI!$B$1,ItemText[#Headers],0),2),FALSE),""),"Unset")</f>
        <v>端正的水滴情景</v>
      </c>
      <c r="L57" t="str">
        <f t="shared" si="1"/>
        <v>7003300-提升對驟死的抵抗力</v>
      </c>
      <c r="M57">
        <v>7003300</v>
      </c>
      <c r="N57" t="str">
        <f>IF(VALUE(M57)=0,"",VLOOKUP(VLOOKUP(M57,Tbl_Effect[],3,FALSE),EffectName[],IFERROR(MATCH(UI!$B$1,EffectName[#Headers],0),2),FALSE))</f>
        <v>提升對驟死的抵抗力</v>
      </c>
      <c r="O57" t="str">
        <f t="shared" si="2"/>
        <v>7003600-提升對發狂的抵抗力</v>
      </c>
      <c r="P57">
        <v>7003600</v>
      </c>
      <c r="Q57" t="str">
        <f>IF(VALUE(P57)=0,"",VLOOKUP(VLOOKUP(P57,Tbl_Effect[],3,FALSE),EffectName[],IFERROR(MATCH(UI!$B$1,EffectName[#Headers],0),2),FALSE))</f>
        <v>提升對發狂的抵抗力</v>
      </c>
      <c r="R57" t="str">
        <f t="shared" si="3"/>
        <v>7003600-提升對發狂的抵抗力</v>
      </c>
      <c r="S57">
        <v>7003600</v>
      </c>
      <c r="T57" t="str">
        <f>IF(VALUE(S57)=0,"",VLOOKUP(VLOOKUP(S57,Tbl_Effect[],3,FALSE),EffectName[],IFERROR(MATCH(UI!$B$1,EffectName[#Headers],0),2),FALSE))</f>
        <v>提升對發狂的抵抗力</v>
      </c>
      <c r="U57" t="str">
        <f t="shared" si="4"/>
        <v/>
      </c>
      <c r="V57">
        <v>0</v>
      </c>
      <c r="W57" t="str">
        <f>IF(V57&lt;&gt;0,VLOOKUP(VLOOKUP(V57,Tbl_Effect[],3,FALSE),EffectName[],IFERROR(MATCH(UI!$B$1,EffectName[#Headers],0),2),FALSE),"")</f>
        <v/>
      </c>
      <c r="X57" t="str">
        <f t="shared" si="5"/>
        <v/>
      </c>
      <c r="Y57">
        <v>0</v>
      </c>
      <c r="Z57" t="str">
        <f>IF(Y57&lt;&gt;0,VLOOKUP(VLOOKUP(Y57,Tbl_Effect[],3,FALSE),EffectName[],IFERROR(MATCH(UI!$B$1,EffectName[#Headers],0),2),FALSE),"")</f>
        <v/>
      </c>
      <c r="AA57" t="str">
        <f t="shared" si="6"/>
        <v/>
      </c>
      <c r="AB57">
        <v>0</v>
      </c>
      <c r="AC57" t="str">
        <f>IF(AB57&lt;&gt;0,VLOOKUP(VLOOKUP(AB57,Tbl_Effect[],3,FALSE),EffectName[],IFERROR(MATCH(UI!$B$1,EffectName[#Headers],0),2),FALSE),"")</f>
        <v/>
      </c>
      <c r="AE57">
        <v>7003300</v>
      </c>
      <c r="AF57">
        <v>7003600</v>
      </c>
      <c r="AG57">
        <v>7003600</v>
      </c>
    </row>
    <row r="58" spans="8:33" x14ac:dyDescent="0.4">
      <c r="H58" t="str">
        <f t="shared" si="0"/>
        <v>211-遼闊的水滴情景 (藍)</v>
      </c>
      <c r="I58">
        <v>211</v>
      </c>
      <c r="J58" t="str">
        <f>_xlfn.IFNA(IF(I58&lt;&gt;0,VLOOKUP(VLOOKUP(I58,Tbl_Equip[],2,FALSE),Tbl_Color[],IFERROR(MATCH(UI!$B$1,Tbl_Color[#Headers],0),2),FALSE),""),"Unset")</f>
        <v>藍</v>
      </c>
      <c r="K58" t="str">
        <f>_xlfn.IFNA(IF(I58&lt;&gt;0,VLOOKUP(I58,ItemText[],IFERROR(MATCH(UI!$B$1,ItemText[#Headers],0),2),FALSE),""),"Unset")</f>
        <v>遼闊的水滴情景</v>
      </c>
      <c r="L58" t="str">
        <f t="shared" si="1"/>
        <v>7003400-提升對猩紅腐敗的抵抗力</v>
      </c>
      <c r="M58">
        <v>7003400</v>
      </c>
      <c r="N58" t="str">
        <f>IF(VALUE(M58)=0,"",VLOOKUP(VLOOKUP(M58,Tbl_Effect[],3,FALSE),EffectName[],IFERROR(MATCH(UI!$B$1,EffectName[#Headers],0),2),FALSE))</f>
        <v>提升對猩紅腐敗的抵抗力</v>
      </c>
      <c r="O58" t="str">
        <f t="shared" si="2"/>
        <v>7005600-受到損傷的當下，能透過攻擊恢復部分ＨＰ</v>
      </c>
      <c r="P58">
        <v>7005600</v>
      </c>
      <c r="Q58" t="str">
        <f>IF(VALUE(P58)=0,"",VLOOKUP(VLOOKUP(P58,Tbl_Effect[],3,FALSE),EffectName[],IFERROR(MATCH(UI!$B$1,EffectName[#Headers],0),2),FALSE))</f>
        <v>受到損傷的當下，能透過攻擊恢復部分ＨＰ</v>
      </c>
      <c r="R58" t="str">
        <f t="shared" si="3"/>
        <v>7005600-受到損傷的當下，能透過攻擊恢復部分ＨＰ</v>
      </c>
      <c r="S58">
        <v>7005600</v>
      </c>
      <c r="T58" t="str">
        <f>IF(VALUE(S58)=0,"",VLOOKUP(VLOOKUP(S58,Tbl_Effect[],3,FALSE),EffectName[],IFERROR(MATCH(UI!$B$1,EffectName[#Headers],0),2),FALSE))</f>
        <v>受到損傷的當下，能透過攻擊恢復部分ＨＰ</v>
      </c>
      <c r="U58" t="str">
        <f t="shared" si="4"/>
        <v/>
      </c>
      <c r="V58">
        <v>0</v>
      </c>
      <c r="W58" t="str">
        <f>IF(V58&lt;&gt;0,VLOOKUP(VLOOKUP(V58,Tbl_Effect[],3,FALSE),EffectName[],IFERROR(MATCH(UI!$B$1,EffectName[#Headers],0),2),FALSE),"")</f>
        <v/>
      </c>
      <c r="X58" t="str">
        <f t="shared" si="5"/>
        <v/>
      </c>
      <c r="Y58">
        <v>0</v>
      </c>
      <c r="Z58" t="str">
        <f>IF(Y58&lt;&gt;0,VLOOKUP(VLOOKUP(Y58,Tbl_Effect[],3,FALSE),EffectName[],IFERROR(MATCH(UI!$B$1,EffectName[#Headers],0),2),FALSE),"")</f>
        <v/>
      </c>
      <c r="AA58" t="str">
        <f t="shared" si="6"/>
        <v/>
      </c>
      <c r="AB58">
        <v>0</v>
      </c>
      <c r="AC58" t="str">
        <f>IF(AB58&lt;&gt;0,VLOOKUP(VLOOKUP(AB58,Tbl_Effect[],3,FALSE),EffectName[],IFERROR(MATCH(UI!$B$1,EffectName[#Headers],0),2),FALSE),"")</f>
        <v/>
      </c>
      <c r="AE58">
        <v>7003400</v>
      </c>
      <c r="AF58">
        <v>7005600</v>
      </c>
      <c r="AG58">
        <v>7005600</v>
      </c>
    </row>
    <row r="59" spans="8:33" x14ac:dyDescent="0.4">
      <c r="H59" t="str">
        <f t="shared" si="0"/>
        <v>212-細膩的水滴情景 (藍)</v>
      </c>
      <c r="I59">
        <v>212</v>
      </c>
      <c r="J59" t="str">
        <f>_xlfn.IFNA(IF(I59&lt;&gt;0,VLOOKUP(VLOOKUP(I59,Tbl_Equip[],2,FALSE),Tbl_Color[],IFERROR(MATCH(UI!$B$1,Tbl_Color[#Headers],0),2),FALSE),""),"Unset")</f>
        <v>藍</v>
      </c>
      <c r="K59" t="str">
        <f>_xlfn.IFNA(IF(I59&lt;&gt;0,VLOOKUP(I59,ItemText[],IFERROR(MATCH(UI!$B$1,ItemText[#Headers],0),2),FALSE),""),"Unset")</f>
        <v>細膩的水滴情景</v>
      </c>
      <c r="L59" t="str">
        <f t="shared" si="1"/>
        <v>7003500-提升對凍傷的抵抗力</v>
      </c>
      <c r="M59">
        <v>7003500</v>
      </c>
      <c r="N59" t="str">
        <f>IF(VALUE(M59)=0,"",VLOOKUP(VLOOKUP(M59,Tbl_Effect[],3,FALSE),EffectName[],IFERROR(MATCH(UI!$B$1,EffectName[#Headers],0),2),FALSE))</f>
        <v>提升對凍傷的抵抗力</v>
      </c>
      <c r="O59" t="str">
        <f t="shared" si="2"/>
        <v>7006000-提升雙手共持時，造成失去平衡的能力</v>
      </c>
      <c r="P59">
        <v>7006000</v>
      </c>
      <c r="Q59" t="str">
        <f>IF(VALUE(P59)=0,"",VLOOKUP(VLOOKUP(P59,Tbl_Effect[],3,FALSE),EffectName[],IFERROR(MATCH(UI!$B$1,EffectName[#Headers],0),2),FALSE))</f>
        <v>提升雙手共持時，造成失去平衡的能力</v>
      </c>
      <c r="R59" t="str">
        <f t="shared" si="3"/>
        <v>7006000-提升雙手共持時，造成失去平衡的能力</v>
      </c>
      <c r="S59">
        <v>7006000</v>
      </c>
      <c r="T59" t="str">
        <f>IF(VALUE(S59)=0,"",VLOOKUP(VLOOKUP(S59,Tbl_Effect[],3,FALSE),EffectName[],IFERROR(MATCH(UI!$B$1,EffectName[#Headers],0),2),FALSE))</f>
        <v>提升雙手共持時，造成失去平衡的能力</v>
      </c>
      <c r="U59" t="str">
        <f t="shared" si="4"/>
        <v/>
      </c>
      <c r="V59">
        <v>0</v>
      </c>
      <c r="W59" t="str">
        <f>IF(V59&lt;&gt;0,VLOOKUP(VLOOKUP(V59,Tbl_Effect[],3,FALSE),EffectName[],IFERROR(MATCH(UI!$B$1,EffectName[#Headers],0),2),FALSE),"")</f>
        <v/>
      </c>
      <c r="X59" t="str">
        <f t="shared" si="5"/>
        <v/>
      </c>
      <c r="Y59">
        <v>0</v>
      </c>
      <c r="Z59" t="str">
        <f>IF(Y59&lt;&gt;0,VLOOKUP(VLOOKUP(Y59,Tbl_Effect[],3,FALSE),EffectName[],IFERROR(MATCH(UI!$B$1,EffectName[#Headers],0),2),FALSE),"")</f>
        <v/>
      </c>
      <c r="AA59" t="str">
        <f t="shared" si="6"/>
        <v/>
      </c>
      <c r="AB59">
        <v>0</v>
      </c>
      <c r="AC59" t="str">
        <f>IF(AB59&lt;&gt;0,VLOOKUP(VLOOKUP(AB59,Tbl_Effect[],3,FALSE),EffectName[],IFERROR(MATCH(UI!$B$1,EffectName[#Headers],0),2),FALSE),"")</f>
        <v/>
      </c>
      <c r="AE59">
        <v>7003500</v>
      </c>
      <c r="AF59">
        <v>7006000</v>
      </c>
      <c r="AG59">
        <v>7006000</v>
      </c>
    </row>
    <row r="60" spans="8:33" x14ac:dyDescent="0.4">
      <c r="H60" t="str">
        <f t="shared" si="0"/>
        <v>213-端正的水滴情景 (藍)</v>
      </c>
      <c r="I60">
        <v>213</v>
      </c>
      <c r="J60" t="str">
        <f>_xlfn.IFNA(IF(I60&lt;&gt;0,VLOOKUP(VLOOKUP(I60,Tbl_Equip[],2,FALSE),Tbl_Color[],IFERROR(MATCH(UI!$B$1,Tbl_Color[#Headers],0),2),FALSE),""),"Unset")</f>
        <v>藍</v>
      </c>
      <c r="K60" t="str">
        <f>_xlfn.IFNA(IF(I60&lt;&gt;0,VLOOKUP(I60,ItemText[],IFERROR(MATCH(UI!$B$1,ItemText[#Headers],0),2),FALSE),""),"Unset")</f>
        <v>端正的水滴情景</v>
      </c>
      <c r="L60" t="str">
        <f t="shared" si="1"/>
        <v>7003600-提升對發狂的抵抗力</v>
      </c>
      <c r="M60">
        <v>7003600</v>
      </c>
      <c r="N60" t="str">
        <f>IF(VALUE(M60)=0,"",VLOOKUP(VLOOKUP(M60,Tbl_Effect[],3,FALSE),EffectName[],IFERROR(MATCH(UI!$B$1,EffectName[#Headers],0),2),FALSE))</f>
        <v>提升對發狂的抵抗力</v>
      </c>
      <c r="O60" t="str">
        <f t="shared" si="2"/>
        <v>7006100-提升雙手各持時，造成失去平衡的能力</v>
      </c>
      <c r="P60">
        <v>7006100</v>
      </c>
      <c r="Q60" t="str">
        <f>IF(VALUE(P60)=0,"",VLOOKUP(VLOOKUP(P60,Tbl_Effect[],3,FALSE),EffectName[],IFERROR(MATCH(UI!$B$1,EffectName[#Headers],0),2),FALSE))</f>
        <v>提升雙手各持時，造成失去平衡的能力</v>
      </c>
      <c r="R60" t="str">
        <f t="shared" si="3"/>
        <v>7006100-提升雙手各持時，造成失去平衡的能力</v>
      </c>
      <c r="S60">
        <v>7006100</v>
      </c>
      <c r="T60" t="str">
        <f>IF(VALUE(S60)=0,"",VLOOKUP(VLOOKUP(S60,Tbl_Effect[],3,FALSE),EffectName[],IFERROR(MATCH(UI!$B$1,EffectName[#Headers],0),2),FALSE))</f>
        <v>提升雙手各持時，造成失去平衡的能力</v>
      </c>
      <c r="U60" t="str">
        <f t="shared" si="4"/>
        <v/>
      </c>
      <c r="V60">
        <v>0</v>
      </c>
      <c r="W60" t="str">
        <f>IF(V60&lt;&gt;0,VLOOKUP(VLOOKUP(V60,Tbl_Effect[],3,FALSE),EffectName[],IFERROR(MATCH(UI!$B$1,EffectName[#Headers],0),2),FALSE),"")</f>
        <v/>
      </c>
      <c r="X60" t="str">
        <f t="shared" si="5"/>
        <v/>
      </c>
      <c r="Y60">
        <v>0</v>
      </c>
      <c r="Z60" t="str">
        <f>IF(Y60&lt;&gt;0,VLOOKUP(VLOOKUP(Y60,Tbl_Effect[],3,FALSE),EffectName[],IFERROR(MATCH(UI!$B$1,EffectName[#Headers],0),2),FALSE),"")</f>
        <v/>
      </c>
      <c r="AA60" t="str">
        <f t="shared" si="6"/>
        <v/>
      </c>
      <c r="AB60">
        <v>0</v>
      </c>
      <c r="AC60" t="str">
        <f>IF(AB60&lt;&gt;0,VLOOKUP(VLOOKUP(AB60,Tbl_Effect[],3,FALSE),EffectName[],IFERROR(MATCH(UI!$B$1,EffectName[#Headers],0),2),FALSE),"")</f>
        <v/>
      </c>
      <c r="AE60">
        <v>7003600</v>
      </c>
      <c r="AF60">
        <v>7006100</v>
      </c>
      <c r="AG60">
        <v>7006100</v>
      </c>
    </row>
    <row r="61" spans="8:33" x14ac:dyDescent="0.4">
      <c r="H61" t="str">
        <f t="shared" si="0"/>
        <v>214-遼闊的水滴情景 (藍)</v>
      </c>
      <c r="I61">
        <v>214</v>
      </c>
      <c r="J61" t="str">
        <f>_xlfn.IFNA(IF(I61&lt;&gt;0,VLOOKUP(VLOOKUP(I61,Tbl_Equip[],2,FALSE),Tbl_Color[],IFERROR(MATCH(UI!$B$1,Tbl_Color[#Headers],0),2),FALSE),""),"Unset")</f>
        <v>藍</v>
      </c>
      <c r="K61" t="str">
        <f>_xlfn.IFNA(IF(I61&lt;&gt;0,VLOOKUP(I61,ItemText[],IFERROR(MATCH(UI!$B$1,ItemText[#Headers],0),2),FALSE),""),"Unset")</f>
        <v>遼闊的水滴情景</v>
      </c>
      <c r="L61" t="str">
        <f t="shared" si="1"/>
        <v>7005600-受到損傷的當下，能透過攻擊恢復部分ＨＰ</v>
      </c>
      <c r="M61">
        <v>7005600</v>
      </c>
      <c r="N61" t="str">
        <f>IF(VALUE(M61)=0,"",VLOOKUP(VLOOKUP(M61,Tbl_Effect[],3,FALSE),EffectName[],IFERROR(MATCH(UI!$B$1,EffectName[#Headers],0),2),FALSE))</f>
        <v>受到損傷的當下，能透過攻擊恢復部分ＨＰ</v>
      </c>
      <c r="O61" t="str">
        <f t="shared" si="2"/>
        <v>7010200-使用聖杯瓶時，連同恢復周圍我方人物</v>
      </c>
      <c r="P61">
        <v>7010200</v>
      </c>
      <c r="Q61" t="str">
        <f>IF(VALUE(P61)=0,"",VLOOKUP(VLOOKUP(P61,Tbl_Effect[],3,FALSE),EffectName[],IFERROR(MATCH(UI!$B$1,EffectName[#Headers],0),2),FALSE))</f>
        <v>使用聖杯瓶時，連同恢復周圍我方人物</v>
      </c>
      <c r="R61" t="str">
        <f t="shared" si="3"/>
        <v>7010200-使用聖杯瓶時，連同恢復周圍我方人物</v>
      </c>
      <c r="S61">
        <v>7010200</v>
      </c>
      <c r="T61" t="str">
        <f>IF(VALUE(S61)=0,"",VLOOKUP(VLOOKUP(S61,Tbl_Effect[],3,FALSE),EffectName[],IFERROR(MATCH(UI!$B$1,EffectName[#Headers],0),2),FALSE))</f>
        <v>使用聖杯瓶時，連同恢復周圍我方人物</v>
      </c>
      <c r="U61" t="str">
        <f t="shared" si="4"/>
        <v/>
      </c>
      <c r="V61">
        <v>0</v>
      </c>
      <c r="W61" t="str">
        <f>IF(V61&lt;&gt;0,VLOOKUP(VLOOKUP(V61,Tbl_Effect[],3,FALSE),EffectName[],IFERROR(MATCH(UI!$B$1,EffectName[#Headers],0),2),FALSE),"")</f>
        <v/>
      </c>
      <c r="X61" t="str">
        <f t="shared" si="5"/>
        <v/>
      </c>
      <c r="Y61">
        <v>0</v>
      </c>
      <c r="Z61" t="str">
        <f>IF(Y61&lt;&gt;0,VLOOKUP(VLOOKUP(Y61,Tbl_Effect[],3,FALSE),EffectName[],IFERROR(MATCH(UI!$B$1,EffectName[#Headers],0),2),FALSE),"")</f>
        <v/>
      </c>
      <c r="AA61" t="str">
        <f t="shared" si="6"/>
        <v/>
      </c>
      <c r="AB61">
        <v>0</v>
      </c>
      <c r="AC61" t="str">
        <f>IF(AB61&lt;&gt;0,VLOOKUP(VLOOKUP(AB61,Tbl_Effect[],3,FALSE),EffectName[],IFERROR(MATCH(UI!$B$1,EffectName[#Headers],0),2),FALSE),"")</f>
        <v/>
      </c>
      <c r="AE61">
        <v>7005600</v>
      </c>
      <c r="AF61">
        <v>7010200</v>
      </c>
      <c r="AG61">
        <v>7010200</v>
      </c>
    </row>
    <row r="62" spans="8:33" x14ac:dyDescent="0.4">
      <c r="H62" t="str">
        <f t="shared" si="0"/>
        <v>215-細膩的水滴情景 (藍)</v>
      </c>
      <c r="I62">
        <v>215</v>
      </c>
      <c r="J62" t="str">
        <f>_xlfn.IFNA(IF(I62&lt;&gt;0,VLOOKUP(VLOOKUP(I62,Tbl_Equip[],2,FALSE),Tbl_Color[],IFERROR(MATCH(UI!$B$1,Tbl_Color[#Headers],0),2),FALSE),""),"Unset")</f>
        <v>藍</v>
      </c>
      <c r="K62" t="str">
        <f>_xlfn.IFNA(IF(I62&lt;&gt;0,VLOOKUP(I62,ItemText[],IFERROR(MATCH(UI!$B$1,ItemText[#Headers],0),2),FALSE),""),"Unset")</f>
        <v>細膩的水滴情景</v>
      </c>
      <c r="L62" t="str">
        <f t="shared" si="1"/>
        <v>7006000-提升雙手共持時，造成失去平衡的能力</v>
      </c>
      <c r="M62">
        <v>7006000</v>
      </c>
      <c r="N62" t="str">
        <f>IF(VALUE(M62)=0,"",VLOOKUP(VLOOKUP(M62,Tbl_Effect[],3,FALSE),EffectName[],IFERROR(MATCH(UI!$B$1,EffectName[#Headers],0),2),FALSE))</f>
        <v>提升雙手共持時，造成失去平衡的能力</v>
      </c>
      <c r="O62" t="str">
        <f t="shared" si="2"/>
        <v>7010500-【追蹤者】發動絕活時，能燃起火焰、蔓延周圍</v>
      </c>
      <c r="P62">
        <v>7010500</v>
      </c>
      <c r="Q62" t="str">
        <f>IF(VALUE(P62)=0,"",VLOOKUP(VLOOKUP(P62,Tbl_Effect[],3,FALSE),EffectName[],IFERROR(MATCH(UI!$B$1,EffectName[#Headers],0),2),FALSE))</f>
        <v>【追蹤者】發動絕活時，能燃起火焰、蔓延周圍</v>
      </c>
      <c r="R62" t="str">
        <f t="shared" si="3"/>
        <v>7010500-【追蹤者】發動絕活時，能燃起火焰、蔓延周圍</v>
      </c>
      <c r="S62">
        <v>7010500</v>
      </c>
      <c r="T62" t="str">
        <f>IF(VALUE(S62)=0,"",VLOOKUP(VLOOKUP(S62,Tbl_Effect[],3,FALSE),EffectName[],IFERROR(MATCH(UI!$B$1,EffectName[#Headers],0),2),FALSE))</f>
        <v>【追蹤者】發動絕活時，能燃起火焰、蔓延周圍</v>
      </c>
      <c r="U62" t="str">
        <f t="shared" si="4"/>
        <v/>
      </c>
      <c r="V62">
        <v>0</v>
      </c>
      <c r="W62" t="str">
        <f>IF(V62&lt;&gt;0,VLOOKUP(VLOOKUP(V62,Tbl_Effect[],3,FALSE),EffectName[],IFERROR(MATCH(UI!$B$1,EffectName[#Headers],0),2),FALSE),"")</f>
        <v/>
      </c>
      <c r="X62" t="str">
        <f t="shared" si="5"/>
        <v/>
      </c>
      <c r="Y62">
        <v>0</v>
      </c>
      <c r="Z62" t="str">
        <f>IF(Y62&lt;&gt;0,VLOOKUP(VLOOKUP(Y62,Tbl_Effect[],3,FALSE),EffectName[],IFERROR(MATCH(UI!$B$1,EffectName[#Headers],0),2),FALSE),"")</f>
        <v/>
      </c>
      <c r="AA62" t="str">
        <f t="shared" si="6"/>
        <v/>
      </c>
      <c r="AB62">
        <v>0</v>
      </c>
      <c r="AC62" t="str">
        <f>IF(AB62&lt;&gt;0,VLOOKUP(VLOOKUP(AB62,Tbl_Effect[],3,FALSE),EffectName[],IFERROR(MATCH(UI!$B$1,EffectName[#Headers],0),2),FALSE),"")</f>
        <v/>
      </c>
      <c r="AE62">
        <v>7006000</v>
      </c>
      <c r="AF62">
        <v>7010500</v>
      </c>
      <c r="AG62">
        <v>7010500</v>
      </c>
    </row>
    <row r="63" spans="8:33" x14ac:dyDescent="0.4">
      <c r="H63" t="str">
        <f t="shared" si="0"/>
        <v>216-端正的水滴情景 (藍)</v>
      </c>
      <c r="I63">
        <v>216</v>
      </c>
      <c r="J63" t="str">
        <f>_xlfn.IFNA(IF(I63&lt;&gt;0,VLOOKUP(VLOOKUP(I63,Tbl_Equip[],2,FALSE),Tbl_Color[],IFERROR(MATCH(UI!$B$1,Tbl_Color[#Headers],0),2),FALSE),""),"Unset")</f>
        <v>藍</v>
      </c>
      <c r="K63" t="str">
        <f>_xlfn.IFNA(IF(I63&lt;&gt;0,VLOOKUP(I63,ItemText[],IFERROR(MATCH(UI!$B$1,ItemText[#Headers],0),2),FALSE),""),"Unset")</f>
        <v>端正的水滴情景</v>
      </c>
      <c r="L63" t="str">
        <f t="shared" si="1"/>
        <v>7006100-提升雙手各持時，造成失去平衡的能力</v>
      </c>
      <c r="M63">
        <v>7006100</v>
      </c>
      <c r="N63" t="str">
        <f>IF(VALUE(M63)=0,"",VLOOKUP(VLOOKUP(M63,Tbl_Effect[],3,FALSE),EffectName[],IFERROR(MATCH(UI!$B$1,EffectName[#Headers],0),2),FALSE))</f>
        <v>提升雙手各持時，造成失去平衡的能力</v>
      </c>
      <c r="O63" t="str">
        <f t="shared" si="2"/>
        <v>7010700-【女爵】以短劍使出連續攻擊時
　能對著周圍的敵人，再次上演最近做過的行動</v>
      </c>
      <c r="P63">
        <v>7010700</v>
      </c>
      <c r="Q63" t="str">
        <f>IF(VALUE(P63)=0,"",VLOOKUP(VLOOKUP(P63,Tbl_Effect[],3,FALSE),EffectName[],IFERROR(MATCH(UI!$B$1,EffectName[#Headers],0),2),FALSE))</f>
        <v>【女爵】以短劍使出連續攻擊時
　能對著周圍的敵人，再次上演最近做過的行動</v>
      </c>
      <c r="R63" t="str">
        <f t="shared" si="3"/>
        <v>7010700-【女爵】以短劍使出連續攻擊時
　能對著周圍的敵人，再次上演最近做過的行動</v>
      </c>
      <c r="S63">
        <v>7010700</v>
      </c>
      <c r="T63" t="str">
        <f>IF(VALUE(S63)=0,"",VLOOKUP(VLOOKUP(S63,Tbl_Effect[],3,FALSE),EffectName[],IFERROR(MATCH(UI!$B$1,EffectName[#Headers],0),2),FALSE))</f>
        <v>【女爵】以短劍使出連續攻擊時
　能對著周圍的敵人，再次上演最近做過的行動</v>
      </c>
      <c r="U63" t="str">
        <f t="shared" si="4"/>
        <v/>
      </c>
      <c r="V63">
        <v>0</v>
      </c>
      <c r="W63" t="str">
        <f>IF(V63&lt;&gt;0,VLOOKUP(VLOOKUP(V63,Tbl_Effect[],3,FALSE),EffectName[],IFERROR(MATCH(UI!$B$1,EffectName[#Headers],0),2),FALSE),"")</f>
        <v/>
      </c>
      <c r="X63" t="str">
        <f t="shared" si="5"/>
        <v/>
      </c>
      <c r="Y63">
        <v>0</v>
      </c>
      <c r="Z63" t="str">
        <f>IF(Y63&lt;&gt;0,VLOOKUP(VLOOKUP(Y63,Tbl_Effect[],3,FALSE),EffectName[],IFERROR(MATCH(UI!$B$1,EffectName[#Headers],0),2),FALSE),"")</f>
        <v/>
      </c>
      <c r="AA63" t="str">
        <f t="shared" si="6"/>
        <v/>
      </c>
      <c r="AB63">
        <v>0</v>
      </c>
      <c r="AC63" t="str">
        <f>IF(AB63&lt;&gt;0,VLOOKUP(VLOOKUP(AB63,Tbl_Effect[],3,FALSE),EffectName[],IFERROR(MATCH(UI!$B$1,EffectName[#Headers],0),2),FALSE),"")</f>
        <v/>
      </c>
      <c r="AE63">
        <v>7006100</v>
      </c>
      <c r="AF63">
        <v>7010700</v>
      </c>
      <c r="AG63">
        <v>7010700</v>
      </c>
    </row>
    <row r="64" spans="8:33" x14ac:dyDescent="0.4">
      <c r="H64" t="str">
        <f t="shared" si="0"/>
        <v>217-遼闊的水滴情景 (藍)</v>
      </c>
      <c r="I64">
        <v>217</v>
      </c>
      <c r="J64" t="str">
        <f>_xlfn.IFNA(IF(I64&lt;&gt;0,VLOOKUP(VLOOKUP(I64,Tbl_Equip[],2,FALSE),Tbl_Color[],IFERROR(MATCH(UI!$B$1,Tbl_Color[#Headers],0),2),FALSE),""),"Unset")</f>
        <v>藍</v>
      </c>
      <c r="K64" t="str">
        <f>_xlfn.IFNA(IF(I64&lt;&gt;0,VLOOKUP(I64,ItemText[],IFERROR(MATCH(UI!$B$1,ItemText[#Headers],0),2),FALSE),""),"Unset")</f>
        <v>遼闊的水滴情景</v>
      </c>
      <c r="L64" t="str">
        <f t="shared" si="1"/>
        <v>7010200-使用聖杯瓶時，連同恢復周圍我方人物</v>
      </c>
      <c r="M64">
        <v>7010200</v>
      </c>
      <c r="N64" t="str">
        <f>IF(VALUE(M64)=0,"",VLOOKUP(VLOOKUP(M64,Tbl_Effect[],3,FALSE),EffectName[],IFERROR(MATCH(UI!$B$1,EffectName[#Headers],0),2),FALSE))</f>
        <v>使用聖杯瓶時，連同恢復周圍我方人物</v>
      </c>
      <c r="O64" t="str">
        <f t="shared" si="2"/>
        <v>7010900-【復仇者】發動絕活時，能以自己的ＨＰ為代價
　完全恢復周圍我方人物的ＨＰ</v>
      </c>
      <c r="P64">
        <v>7010900</v>
      </c>
      <c r="Q64" t="str">
        <f>IF(VALUE(P64)=0,"",VLOOKUP(VLOOKUP(P64,Tbl_Effect[],3,FALSE),EffectName[],IFERROR(MATCH(UI!$B$1,EffectName[#Headers],0),2),FALSE))</f>
        <v>【復仇者】發動絕活時，能以自己的ＨＰ為代價
　完全恢復周圍我方人物的ＨＰ</v>
      </c>
      <c r="R64" t="str">
        <f t="shared" si="3"/>
        <v>7010900-【復仇者】發動絕活時，能以自己的ＨＰ為代價
　完全恢復周圍我方人物的ＨＰ</v>
      </c>
      <c r="S64">
        <v>7010900</v>
      </c>
      <c r="T64" t="str">
        <f>IF(VALUE(S64)=0,"",VLOOKUP(VLOOKUP(S64,Tbl_Effect[],3,FALSE),EffectName[],IFERROR(MATCH(UI!$B$1,EffectName[#Headers],0),2),FALSE))</f>
        <v>【復仇者】發動絕活時，能以自己的ＨＰ為代價
　完全恢復周圍我方人物的ＨＰ</v>
      </c>
      <c r="U64" t="str">
        <f t="shared" si="4"/>
        <v/>
      </c>
      <c r="V64">
        <v>0</v>
      </c>
      <c r="W64" t="str">
        <f>IF(V64&lt;&gt;0,VLOOKUP(VLOOKUP(V64,Tbl_Effect[],3,FALSE),EffectName[],IFERROR(MATCH(UI!$B$1,EffectName[#Headers],0),2),FALSE),"")</f>
        <v/>
      </c>
      <c r="X64" t="str">
        <f t="shared" si="5"/>
        <v/>
      </c>
      <c r="Y64">
        <v>0</v>
      </c>
      <c r="Z64" t="str">
        <f>IF(Y64&lt;&gt;0,VLOOKUP(VLOOKUP(Y64,Tbl_Effect[],3,FALSE),EffectName[],IFERROR(MATCH(UI!$B$1,EffectName[#Headers],0),2),FALSE),"")</f>
        <v/>
      </c>
      <c r="AA64" t="str">
        <f t="shared" si="6"/>
        <v/>
      </c>
      <c r="AB64">
        <v>0</v>
      </c>
      <c r="AC64" t="str">
        <f>IF(AB64&lt;&gt;0,VLOOKUP(VLOOKUP(AB64,Tbl_Effect[],3,FALSE),EffectName[],IFERROR(MATCH(UI!$B$1,EffectName[#Headers],0),2),FALSE),"")</f>
        <v/>
      </c>
      <c r="AE64">
        <v>7010200</v>
      </c>
      <c r="AF64">
        <v>7010900</v>
      </c>
      <c r="AG64">
        <v>7010900</v>
      </c>
    </row>
    <row r="65" spans="8:33" x14ac:dyDescent="0.4">
      <c r="H65" t="str">
        <f t="shared" si="0"/>
        <v>218-細膩的光耀情景 (黃)</v>
      </c>
      <c r="I65">
        <v>218</v>
      </c>
      <c r="J65" t="str">
        <f>_xlfn.IFNA(IF(I65&lt;&gt;0,VLOOKUP(VLOOKUP(I65,Tbl_Equip[],2,FALSE),Tbl_Color[],IFERROR(MATCH(UI!$B$1,Tbl_Color[#Headers],0),2),FALSE),""),"Unset")</f>
        <v>黃</v>
      </c>
      <c r="K65" t="str">
        <f>_xlfn.IFNA(IF(I65&lt;&gt;0,VLOOKUP(I65,ItemText[],IFERROR(MATCH(UI!$B$1,ItemText[#Headers],0),2),FALSE),""),"Unset")</f>
        <v>細膩的光耀情景</v>
      </c>
      <c r="L65" t="str">
        <f t="shared" si="1"/>
        <v>7010500-【追蹤者】發動絕活時，能燃起火焰、蔓延周圍</v>
      </c>
      <c r="M65">
        <v>7010500</v>
      </c>
      <c r="N65" t="str">
        <f>IF(VALUE(M65)=0,"",VLOOKUP(VLOOKUP(M65,Tbl_Effect[],3,FALSE),EffectName[],IFERROR(MATCH(UI!$B$1,EffectName[#Headers],0),2),FALSE))</f>
        <v>【追蹤者】發動絕活時，能燃起火焰、蔓延周圍</v>
      </c>
      <c r="O65" t="str">
        <f t="shared" si="2"/>
        <v>7011000-【守護者】延長技藝的有效時間</v>
      </c>
      <c r="P65">
        <v>7011000</v>
      </c>
      <c r="Q65" t="str">
        <f>IF(VALUE(P65)=0,"",VLOOKUP(VLOOKUP(P65,Tbl_Effect[],3,FALSE),EffectName[],IFERROR(MATCH(UI!$B$1,EffectName[#Headers],0),2),FALSE))</f>
        <v>【守護者】延長技藝的有效時間</v>
      </c>
      <c r="R65" t="str">
        <f t="shared" si="3"/>
        <v>7011000-【守護者】延長技藝的有效時間</v>
      </c>
      <c r="S65">
        <v>7011000</v>
      </c>
      <c r="T65" t="str">
        <f>IF(VALUE(S65)=0,"",VLOOKUP(VLOOKUP(S65,Tbl_Effect[],3,FALSE),EffectName[],IFERROR(MATCH(UI!$B$1,EffectName[#Headers],0),2),FALSE))</f>
        <v>【守護者】延長技藝的有效時間</v>
      </c>
      <c r="U65" t="str">
        <f t="shared" si="4"/>
        <v/>
      </c>
      <c r="V65">
        <v>0</v>
      </c>
      <c r="W65" t="str">
        <f>IF(V65&lt;&gt;0,VLOOKUP(VLOOKUP(V65,Tbl_Effect[],3,FALSE),EffectName[],IFERROR(MATCH(UI!$B$1,EffectName[#Headers],0),2),FALSE),"")</f>
        <v/>
      </c>
      <c r="X65" t="str">
        <f t="shared" si="5"/>
        <v/>
      </c>
      <c r="Y65">
        <v>0</v>
      </c>
      <c r="Z65" t="str">
        <f>IF(Y65&lt;&gt;0,VLOOKUP(VLOOKUP(Y65,Tbl_Effect[],3,FALSE),EffectName[],IFERROR(MATCH(UI!$B$1,EffectName[#Headers],0),2),FALSE),"")</f>
        <v/>
      </c>
      <c r="AA65" t="str">
        <f t="shared" si="6"/>
        <v/>
      </c>
      <c r="AB65">
        <v>0</v>
      </c>
      <c r="AC65" t="str">
        <f>IF(AB65&lt;&gt;0,VLOOKUP(VLOOKUP(AB65,Tbl_Effect[],3,FALSE),EffectName[],IFERROR(MATCH(UI!$B$1,EffectName[#Headers],0),2),FALSE),"")</f>
        <v/>
      </c>
      <c r="AE65">
        <v>7010500</v>
      </c>
      <c r="AF65">
        <v>7011000</v>
      </c>
      <c r="AG65">
        <v>7011000</v>
      </c>
    </row>
    <row r="66" spans="8:33" x14ac:dyDescent="0.4">
      <c r="H66" t="str">
        <f t="shared" si="0"/>
        <v>219-端正的光耀情景 (黃)</v>
      </c>
      <c r="I66">
        <v>219</v>
      </c>
      <c r="J66" t="str">
        <f>_xlfn.IFNA(IF(I66&lt;&gt;0,VLOOKUP(VLOOKUP(I66,Tbl_Equip[],2,FALSE),Tbl_Color[],IFERROR(MATCH(UI!$B$1,Tbl_Color[#Headers],0),2),FALSE),""),"Unset")</f>
        <v>黃</v>
      </c>
      <c r="K66" t="str">
        <f>_xlfn.IFNA(IF(I66&lt;&gt;0,VLOOKUP(I66,ItemText[],IFERROR(MATCH(UI!$B$1,ItemText[#Headers],0),2),FALSE),""),"Unset")</f>
        <v>端正的光耀情景</v>
      </c>
      <c r="L66" t="str">
        <f t="shared" si="1"/>
        <v>7010700-【女爵】以短劍使出連續攻擊時
　能對著周圍的敵人，再次上演最近做過的行動</v>
      </c>
      <c r="M66">
        <v>7010700</v>
      </c>
      <c r="N66" t="str">
        <f>IF(VALUE(M66)=0,"",VLOOKUP(VLOOKUP(M66,Tbl_Effect[],3,FALSE),EffectName[],IFERROR(MATCH(UI!$B$1,EffectName[#Headers],0),2),FALSE))</f>
        <v>【女爵】以短劍使出連續攻擊時
　能對著周圍的敵人，再次上演最近做過的行動</v>
      </c>
      <c r="O66" t="str">
        <f t="shared" si="2"/>
        <v>7011200-【復仇者】發動絕活時，能引發靈火爆炸</v>
      </c>
      <c r="P66">
        <v>7011200</v>
      </c>
      <c r="Q66" t="str">
        <f>IF(VALUE(P66)=0,"",VLOOKUP(VLOOKUP(P66,Tbl_Effect[],3,FALSE),EffectName[],IFERROR(MATCH(UI!$B$1,EffectName[#Headers],0),2),FALSE))</f>
        <v>【復仇者】發動絕活時，能引發靈火爆炸</v>
      </c>
      <c r="R66" t="str">
        <f t="shared" si="3"/>
        <v>7011200-【復仇者】發動絕活時，能引發靈火爆炸</v>
      </c>
      <c r="S66">
        <v>7011200</v>
      </c>
      <c r="T66" t="str">
        <f>IF(VALUE(S66)=0,"",VLOOKUP(VLOOKUP(S66,Tbl_Effect[],3,FALSE),EffectName[],IFERROR(MATCH(UI!$B$1,EffectName[#Headers],0),2),FALSE))</f>
        <v>【復仇者】發動絕活時，能引發靈火爆炸</v>
      </c>
      <c r="U66" t="str">
        <f t="shared" si="4"/>
        <v/>
      </c>
      <c r="V66">
        <v>0</v>
      </c>
      <c r="W66" t="str">
        <f>IF(V66&lt;&gt;0,VLOOKUP(VLOOKUP(V66,Tbl_Effect[],3,FALSE),EffectName[],IFERROR(MATCH(UI!$B$1,EffectName[#Headers],0),2),FALSE),"")</f>
        <v/>
      </c>
      <c r="X66" t="str">
        <f t="shared" si="5"/>
        <v/>
      </c>
      <c r="Y66">
        <v>0</v>
      </c>
      <c r="Z66" t="str">
        <f>IF(Y66&lt;&gt;0,VLOOKUP(VLOOKUP(Y66,Tbl_Effect[],3,FALSE),EffectName[],IFERROR(MATCH(UI!$B$1,EffectName[#Headers],0),2),FALSE),"")</f>
        <v/>
      </c>
      <c r="AA66" t="str">
        <f t="shared" si="6"/>
        <v/>
      </c>
      <c r="AB66">
        <v>0</v>
      </c>
      <c r="AC66" t="str">
        <f>IF(AB66&lt;&gt;0,VLOOKUP(VLOOKUP(AB66,Tbl_Effect[],3,FALSE),EffectName[],IFERROR(MATCH(UI!$B$1,EffectName[#Headers],0),2),FALSE),"")</f>
        <v/>
      </c>
      <c r="AE66">
        <v>7010700</v>
      </c>
      <c r="AF66">
        <v>7011200</v>
      </c>
      <c r="AG66">
        <v>7011200</v>
      </c>
    </row>
    <row r="67" spans="8:33" x14ac:dyDescent="0.4">
      <c r="H67" t="str">
        <f t="shared" ref="H67:H130" si="7">IF(VALUE(I67)&lt;&gt;0,I67&amp;"-"&amp;K67&amp;" ("&amp;J67&amp;")","")</f>
        <v>220-遼闊的光耀情景 (黃)</v>
      </c>
      <c r="I67">
        <v>220</v>
      </c>
      <c r="J67" t="str">
        <f>_xlfn.IFNA(IF(I67&lt;&gt;0,VLOOKUP(VLOOKUP(I67,Tbl_Equip[],2,FALSE),Tbl_Color[],IFERROR(MATCH(UI!$B$1,Tbl_Color[#Headers],0),2),FALSE),""),"Unset")</f>
        <v>黃</v>
      </c>
      <c r="K67" t="str">
        <f>_xlfn.IFNA(IF(I67&lt;&gt;0,VLOOKUP(I67,ItemText[],IFERROR(MATCH(UI!$B$1,ItemText[#Headers],0),2),FALSE),""),"Unset")</f>
        <v>遼闊的光耀情景</v>
      </c>
      <c r="L67" t="str">
        <f t="shared" ref="L67:L130" si="8">IF(VALUE(M67)=0,"",M67&amp;"-"&amp;N67)</f>
        <v>7010900-【復仇者】發動絕活時，能以自己的ＨＰ為代價
　完全恢復周圍我方人物的ＨＰ</v>
      </c>
      <c r="M67">
        <v>7010900</v>
      </c>
      <c r="N67" t="str">
        <f>IF(VALUE(M67)=0,"",VLOOKUP(VLOOKUP(M67,Tbl_Effect[],3,FALSE),EffectName[],IFERROR(MATCH(UI!$B$1,EffectName[#Headers],0),2),FALSE))</f>
        <v>【復仇者】發動絕活時，能以自己的ＨＰ為代價
　完全恢復周圍我方人物的ＨＰ</v>
      </c>
      <c r="O67" t="str">
        <f t="shared" ref="O67:O130" si="9">IF(VALUE(P67)=0,"",P67&amp;"-"&amp;Q67)</f>
        <v>7011600-【守護者】以戟蓄力攻擊時，能引發旋風</v>
      </c>
      <c r="P67">
        <v>7011600</v>
      </c>
      <c r="Q67" t="str">
        <f>IF(VALUE(P67)=0,"",VLOOKUP(VLOOKUP(P67,Tbl_Effect[],3,FALSE),EffectName[],IFERROR(MATCH(UI!$B$1,EffectName[#Headers],0),2),FALSE))</f>
        <v>【守護者】以戟蓄力攻擊時，能引發旋風</v>
      </c>
      <c r="R67" t="str">
        <f t="shared" ref="R67:R130" si="10">IF(VALUE(S67)=0,"",S67&amp;"-"&amp;T67)</f>
        <v>7011600-【守護者】以戟蓄力攻擊時，能引發旋風</v>
      </c>
      <c r="S67">
        <v>7011600</v>
      </c>
      <c r="T67" t="str">
        <f>IF(VALUE(S67)=0,"",VLOOKUP(VLOOKUP(S67,Tbl_Effect[],3,FALSE),EffectName[],IFERROR(MATCH(UI!$B$1,EffectName[#Headers],0),2),FALSE))</f>
        <v>【守護者】以戟蓄力攻擊時，能引發旋風</v>
      </c>
      <c r="U67" t="str">
        <f t="shared" ref="U67:U130" si="11">IF(VALUE(V67)=0,"",V67&amp;"-"&amp;W67)</f>
        <v/>
      </c>
      <c r="V67">
        <v>0</v>
      </c>
      <c r="W67" t="str">
        <f>IF(V67&lt;&gt;0,VLOOKUP(VLOOKUP(V67,Tbl_Effect[],3,FALSE),EffectName[],IFERROR(MATCH(UI!$B$1,EffectName[#Headers],0),2),FALSE),"")</f>
        <v/>
      </c>
      <c r="X67" t="str">
        <f t="shared" ref="X67:X130" si="12">IF(VALUE(Y67)=0,"",Y67&amp;"-"&amp;Z67)</f>
        <v/>
      </c>
      <c r="Y67">
        <v>0</v>
      </c>
      <c r="Z67" t="str">
        <f>IF(Y67&lt;&gt;0,VLOOKUP(VLOOKUP(Y67,Tbl_Effect[],3,FALSE),EffectName[],IFERROR(MATCH(UI!$B$1,EffectName[#Headers],0),2),FALSE),"")</f>
        <v/>
      </c>
      <c r="AA67" t="str">
        <f t="shared" ref="AA67:AA130" si="13">IF(VALUE(AB67)=0,"",AB67&amp;"-"&amp;AC67)</f>
        <v/>
      </c>
      <c r="AB67">
        <v>0</v>
      </c>
      <c r="AC67" t="str">
        <f>IF(AB67&lt;&gt;0,VLOOKUP(VLOOKUP(AB67,Tbl_Effect[],3,FALSE),EffectName[],IFERROR(MATCH(UI!$B$1,EffectName[#Headers],0),2),FALSE),"")</f>
        <v/>
      </c>
      <c r="AE67">
        <v>7010900</v>
      </c>
      <c r="AF67">
        <v>7011600</v>
      </c>
      <c r="AG67">
        <v>7011600</v>
      </c>
    </row>
    <row r="68" spans="8:33" x14ac:dyDescent="0.4">
      <c r="H68" t="str">
        <f t="shared" si="7"/>
        <v>221-細膩的光耀情景 (黃)</v>
      </c>
      <c r="I68">
        <v>221</v>
      </c>
      <c r="J68" t="str">
        <f>_xlfn.IFNA(IF(I68&lt;&gt;0,VLOOKUP(VLOOKUP(I68,Tbl_Equip[],2,FALSE),Tbl_Color[],IFERROR(MATCH(UI!$B$1,Tbl_Color[#Headers],0),2),FALSE),""),"Unset")</f>
        <v>黃</v>
      </c>
      <c r="K68" t="str">
        <f>_xlfn.IFNA(IF(I68&lt;&gt;0,VLOOKUP(I68,ItemText[],IFERROR(MATCH(UI!$B$1,ItemText[#Headers],0),2),FALSE),""),"Unset")</f>
        <v>細膩的光耀情景</v>
      </c>
      <c r="L68" t="str">
        <f t="shared" si="8"/>
        <v>7011000-【守護者】延長技藝的有效時間</v>
      </c>
      <c r="M68">
        <v>7011000</v>
      </c>
      <c r="N68" t="str">
        <f>IF(VALUE(M68)=0,"",VLOOKUP(VLOOKUP(M68,Tbl_Effect[],3,FALSE),EffectName[],IFERROR(MATCH(UI!$B$1,EffectName[#Headers],0),2),FALSE))</f>
        <v>【守護者】延長技藝的有效時間</v>
      </c>
      <c r="O68" t="str">
        <f t="shared" si="9"/>
        <v>7011700-【執行者】在絕活發動期間，能以咆哮恢復ＨＰ</v>
      </c>
      <c r="P68">
        <v>7011700</v>
      </c>
      <c r="Q68" t="str">
        <f>IF(VALUE(P68)=0,"",VLOOKUP(VLOOKUP(P68,Tbl_Effect[],3,FALSE),EffectName[],IFERROR(MATCH(UI!$B$1,EffectName[#Headers],0),2),FALSE))</f>
        <v>【執行者】在絕活發動期間，能以咆哮恢復ＨＰ</v>
      </c>
      <c r="R68" t="str">
        <f t="shared" si="10"/>
        <v>7011700-【執行者】在絕活發動期間，能以咆哮恢復ＨＰ</v>
      </c>
      <c r="S68">
        <v>7011700</v>
      </c>
      <c r="T68" t="str">
        <f>IF(VALUE(S68)=0,"",VLOOKUP(VLOOKUP(S68,Tbl_Effect[],3,FALSE),EffectName[],IFERROR(MATCH(UI!$B$1,EffectName[#Headers],0),2),FALSE))</f>
        <v>【執行者】在絕活發動期間，能以咆哮恢復ＨＰ</v>
      </c>
      <c r="U68" t="str">
        <f t="shared" si="11"/>
        <v/>
      </c>
      <c r="V68">
        <v>0</v>
      </c>
      <c r="W68" t="str">
        <f>IF(V68&lt;&gt;0,VLOOKUP(VLOOKUP(V68,Tbl_Effect[],3,FALSE),EffectName[],IFERROR(MATCH(UI!$B$1,EffectName[#Headers],0),2),FALSE),"")</f>
        <v/>
      </c>
      <c r="X68" t="str">
        <f t="shared" si="12"/>
        <v/>
      </c>
      <c r="Y68">
        <v>0</v>
      </c>
      <c r="Z68" t="str">
        <f>IF(Y68&lt;&gt;0,VLOOKUP(VLOOKUP(Y68,Tbl_Effect[],3,FALSE),EffectName[],IFERROR(MATCH(UI!$B$1,EffectName[#Headers],0),2),FALSE),"")</f>
        <v/>
      </c>
      <c r="AA68" t="str">
        <f t="shared" si="13"/>
        <v/>
      </c>
      <c r="AB68">
        <v>0</v>
      </c>
      <c r="AC68" t="str">
        <f>IF(AB68&lt;&gt;0,VLOOKUP(VLOOKUP(AB68,Tbl_Effect[],3,FALSE),EffectName[],IFERROR(MATCH(UI!$B$1,EffectName[#Headers],0),2),FALSE),"")</f>
        <v/>
      </c>
      <c r="AE68">
        <v>7011000</v>
      </c>
      <c r="AF68">
        <v>7011700</v>
      </c>
      <c r="AG68">
        <v>7011700</v>
      </c>
    </row>
    <row r="69" spans="8:33" x14ac:dyDescent="0.4">
      <c r="H69" t="str">
        <f t="shared" si="7"/>
        <v>222-端正的光耀情景 (黃)</v>
      </c>
      <c r="I69">
        <v>222</v>
      </c>
      <c r="J69" t="str">
        <f>_xlfn.IFNA(IF(I69&lt;&gt;0,VLOOKUP(VLOOKUP(I69,Tbl_Equip[],2,FALSE),Tbl_Color[],IFERROR(MATCH(UI!$B$1,Tbl_Color[#Headers],0),2),FALSE),""),"Unset")</f>
        <v>黃</v>
      </c>
      <c r="K69" t="str">
        <f>_xlfn.IFNA(IF(I69&lt;&gt;0,VLOOKUP(I69,ItemText[],IFERROR(MATCH(UI!$B$1,ItemText[#Headers],0),2),FALSE),""),"Unset")</f>
        <v>端正的光耀情景</v>
      </c>
      <c r="L69" t="str">
        <f t="shared" si="8"/>
        <v>7011200-【復仇者】發動絕活時，能引發靈火爆炸</v>
      </c>
      <c r="M69">
        <v>7011200</v>
      </c>
      <c r="N69" t="str">
        <f>IF(VALUE(M69)=0,"",VLOOKUP(VLOOKUP(M69,Tbl_Effect[],3,FALSE),EffectName[],IFERROR(MATCH(UI!$B$1,EffectName[#Headers],0),2),FALSE))</f>
        <v>【復仇者】發動絕活時，能引發靈火爆炸</v>
      </c>
      <c r="O69" t="str">
        <f t="shared" si="9"/>
        <v>7012000-【守護者】發動絕活時，能緩慢恢復周圍我方人物的ＨＰ</v>
      </c>
      <c r="P69">
        <v>7012000</v>
      </c>
      <c r="Q69" t="str">
        <f>IF(VALUE(P69)=0,"",VLOOKUP(VLOOKUP(P69,Tbl_Effect[],3,FALSE),EffectName[],IFERROR(MATCH(UI!$B$1,EffectName[#Headers],0),2),FALSE))</f>
        <v>【守護者】發動絕活時，能緩慢恢復周圍我方人物的ＨＰ</v>
      </c>
      <c r="R69" t="str">
        <f t="shared" si="10"/>
        <v>7012000-【守護者】發動絕活時，能緩慢恢復周圍我方人物的ＨＰ</v>
      </c>
      <c r="S69">
        <v>7012000</v>
      </c>
      <c r="T69" t="str">
        <f>IF(VALUE(S69)=0,"",VLOOKUP(VLOOKUP(S69,Tbl_Effect[],3,FALSE),EffectName[],IFERROR(MATCH(UI!$B$1,EffectName[#Headers],0),2),FALSE))</f>
        <v>【守護者】發動絕活時，能緩慢恢復周圍我方人物的ＨＰ</v>
      </c>
      <c r="U69" t="str">
        <f t="shared" si="11"/>
        <v/>
      </c>
      <c r="V69">
        <v>0</v>
      </c>
      <c r="W69" t="str">
        <f>IF(V69&lt;&gt;0,VLOOKUP(VLOOKUP(V69,Tbl_Effect[],3,FALSE),EffectName[],IFERROR(MATCH(UI!$B$1,EffectName[#Headers],0),2),FALSE),"")</f>
        <v/>
      </c>
      <c r="X69" t="str">
        <f t="shared" si="12"/>
        <v/>
      </c>
      <c r="Y69">
        <v>0</v>
      </c>
      <c r="Z69" t="str">
        <f>IF(Y69&lt;&gt;0,VLOOKUP(VLOOKUP(Y69,Tbl_Effect[],3,FALSE),EffectName[],IFERROR(MATCH(UI!$B$1,EffectName[#Headers],0),2),FALSE),"")</f>
        <v/>
      </c>
      <c r="AA69" t="str">
        <f t="shared" si="13"/>
        <v/>
      </c>
      <c r="AB69">
        <v>0</v>
      </c>
      <c r="AC69" t="str">
        <f>IF(AB69&lt;&gt;0,VLOOKUP(VLOOKUP(AB69,Tbl_Effect[],3,FALSE),EffectName[],IFERROR(MATCH(UI!$B$1,EffectName[#Headers],0),2),FALSE),"")</f>
        <v/>
      </c>
      <c r="AE69">
        <v>7011200</v>
      </c>
      <c r="AF69">
        <v>7012000</v>
      </c>
      <c r="AG69">
        <v>7012000</v>
      </c>
    </row>
    <row r="70" spans="8:33" x14ac:dyDescent="0.4">
      <c r="H70" t="str">
        <f t="shared" si="7"/>
        <v>223-遼闊的光耀情景 (黃)</v>
      </c>
      <c r="I70">
        <v>223</v>
      </c>
      <c r="J70" t="str">
        <f>_xlfn.IFNA(IF(I70&lt;&gt;0,VLOOKUP(VLOOKUP(I70,Tbl_Equip[],2,FALSE),Tbl_Color[],IFERROR(MATCH(UI!$B$1,Tbl_Color[#Headers],0),2),FALSE),""),"Unset")</f>
        <v>黃</v>
      </c>
      <c r="K70" t="str">
        <f>_xlfn.IFNA(IF(I70&lt;&gt;0,VLOOKUP(I70,ItemText[],IFERROR(MATCH(UI!$B$1,ItemText[#Headers],0),2),FALSE),""),"Unset")</f>
        <v>遼闊的光耀情景</v>
      </c>
      <c r="L70" t="str">
        <f t="shared" si="8"/>
        <v>7011600-【守護者】以戟蓄力攻擊時，能引發旋風</v>
      </c>
      <c r="M70">
        <v>7011600</v>
      </c>
      <c r="N70" t="str">
        <f>IF(VALUE(M70)=0,"",VLOOKUP(VLOOKUP(M70,Tbl_Effect[],3,FALSE),EffectName[],IFERROR(MATCH(UI!$B$1,EffectName[#Headers],0),2),FALSE))</f>
        <v>【守護者】以戟蓄力攻擊時，能引發旋風</v>
      </c>
      <c r="O70" t="str">
        <f t="shared" si="9"/>
        <v>7012200-ＨＰ偏低時，包含周圍我方人物緩慢恢復ＨＰ</v>
      </c>
      <c r="P70">
        <v>7012200</v>
      </c>
      <c r="Q70" t="str">
        <f>IF(VALUE(P70)=0,"",VLOOKUP(VLOOKUP(P70,Tbl_Effect[],3,FALSE),EffectName[],IFERROR(MATCH(UI!$B$1,EffectName[#Headers],0),2),FALSE))</f>
        <v>ＨＰ偏低時，包含周圍我方人物緩慢恢復ＨＰ</v>
      </c>
      <c r="R70" t="str">
        <f t="shared" si="10"/>
        <v>7012200-ＨＰ偏低時，包含周圍我方人物緩慢恢復ＨＰ</v>
      </c>
      <c r="S70">
        <v>7012200</v>
      </c>
      <c r="T70" t="str">
        <f>IF(VALUE(S70)=0,"",VLOOKUP(VLOOKUP(S70,Tbl_Effect[],3,FALSE),EffectName[],IFERROR(MATCH(UI!$B$1,EffectName[#Headers],0),2),FALSE))</f>
        <v>ＨＰ偏低時，包含周圍我方人物緩慢恢復ＨＰ</v>
      </c>
      <c r="U70" t="str">
        <f t="shared" si="11"/>
        <v/>
      </c>
      <c r="V70">
        <v>0</v>
      </c>
      <c r="W70" t="str">
        <f>IF(V70&lt;&gt;0,VLOOKUP(VLOOKUP(V70,Tbl_Effect[],3,FALSE),EffectName[],IFERROR(MATCH(UI!$B$1,EffectName[#Headers],0),2),FALSE),"")</f>
        <v/>
      </c>
      <c r="X70" t="str">
        <f t="shared" si="12"/>
        <v/>
      </c>
      <c r="Y70">
        <v>0</v>
      </c>
      <c r="Z70" t="str">
        <f>IF(Y70&lt;&gt;0,VLOOKUP(VLOOKUP(Y70,Tbl_Effect[],3,FALSE),EffectName[],IFERROR(MATCH(UI!$B$1,EffectName[#Headers],0),2),FALSE),"")</f>
        <v/>
      </c>
      <c r="AA70" t="str">
        <f t="shared" si="13"/>
        <v/>
      </c>
      <c r="AB70">
        <v>0</v>
      </c>
      <c r="AC70" t="str">
        <f>IF(AB70&lt;&gt;0,VLOOKUP(VLOOKUP(AB70,Tbl_Effect[],3,FALSE),EffectName[],IFERROR(MATCH(UI!$B$1,EffectName[#Headers],0),2),FALSE),"")</f>
        <v/>
      </c>
      <c r="AE70">
        <v>7011600</v>
      </c>
      <c r="AF70">
        <v>7012200</v>
      </c>
      <c r="AG70">
        <v>7012200</v>
      </c>
    </row>
    <row r="71" spans="8:33" x14ac:dyDescent="0.4">
      <c r="H71" t="str">
        <f t="shared" si="7"/>
        <v>224-細膩的光耀情景 (黃)</v>
      </c>
      <c r="I71">
        <v>224</v>
      </c>
      <c r="J71" t="str">
        <f>_xlfn.IFNA(IF(I71&lt;&gt;0,VLOOKUP(VLOOKUP(I71,Tbl_Equip[],2,FALSE),Tbl_Color[],IFERROR(MATCH(UI!$B$1,Tbl_Color[#Headers],0),2),FALSE),""),"Unset")</f>
        <v>黃</v>
      </c>
      <c r="K71" t="str">
        <f>_xlfn.IFNA(IF(I71&lt;&gt;0,VLOOKUP(I71,ItemText[],IFERROR(MATCH(UI!$B$1,ItemText[#Headers],0),2),FALSE),""),"Unset")</f>
        <v>細膩的光耀情景</v>
      </c>
      <c r="L71" t="str">
        <f t="shared" si="8"/>
        <v>7011700-【執行者】在絕活發動期間，能以咆哮恢復ＨＰ</v>
      </c>
      <c r="M71">
        <v>7011700</v>
      </c>
      <c r="N71" t="str">
        <f>IF(VALUE(M71)=0,"",VLOOKUP(VLOOKUP(M71,Tbl_Effect[],3,FALSE),EffectName[],IFERROR(MATCH(UI!$B$1,EffectName[#Headers],0),2),FALSE))</f>
        <v>【執行者】在絕活發動期間，能以咆哮恢復ＨＰ</v>
      </c>
      <c r="O71" t="str">
        <f t="shared" si="9"/>
        <v>7012300-ＨＰ偏低時，能提升減傷率</v>
      </c>
      <c r="P71">
        <v>7012300</v>
      </c>
      <c r="Q71" t="str">
        <f>IF(VALUE(P71)=0,"",VLOOKUP(VLOOKUP(P71,Tbl_Effect[],3,FALSE),EffectName[],IFERROR(MATCH(UI!$B$1,EffectName[#Headers],0),2),FALSE))</f>
        <v>ＨＰ偏低時，能提升減傷率</v>
      </c>
      <c r="R71" t="str">
        <f t="shared" si="10"/>
        <v>7012300-ＨＰ偏低時，能提升減傷率</v>
      </c>
      <c r="S71">
        <v>7012300</v>
      </c>
      <c r="T71" t="str">
        <f>IF(VALUE(S71)=0,"",VLOOKUP(VLOOKUP(S71,Tbl_Effect[],3,FALSE),EffectName[],IFERROR(MATCH(UI!$B$1,EffectName[#Headers],0),2),FALSE))</f>
        <v>ＨＰ偏低時，能提升減傷率</v>
      </c>
      <c r="U71" t="str">
        <f t="shared" si="11"/>
        <v/>
      </c>
      <c r="V71">
        <v>0</v>
      </c>
      <c r="W71" t="str">
        <f>IF(V71&lt;&gt;0,VLOOKUP(VLOOKUP(V71,Tbl_Effect[],3,FALSE),EffectName[],IFERROR(MATCH(UI!$B$1,EffectName[#Headers],0),2),FALSE),"")</f>
        <v/>
      </c>
      <c r="X71" t="str">
        <f t="shared" si="12"/>
        <v/>
      </c>
      <c r="Y71">
        <v>0</v>
      </c>
      <c r="Z71" t="str">
        <f>IF(Y71&lt;&gt;0,VLOOKUP(VLOOKUP(Y71,Tbl_Effect[],3,FALSE),EffectName[],IFERROR(MATCH(UI!$B$1,EffectName[#Headers],0),2),FALSE),"")</f>
        <v/>
      </c>
      <c r="AA71" t="str">
        <f t="shared" si="13"/>
        <v/>
      </c>
      <c r="AB71">
        <v>0</v>
      </c>
      <c r="AC71" t="str">
        <f>IF(AB71&lt;&gt;0,VLOOKUP(VLOOKUP(AB71,Tbl_Effect[],3,FALSE),EffectName[],IFERROR(MATCH(UI!$B$1,EffectName[#Headers],0),2),FALSE),"")</f>
        <v/>
      </c>
      <c r="AE71">
        <v>7011700</v>
      </c>
      <c r="AF71">
        <v>7012300</v>
      </c>
      <c r="AG71">
        <v>7012300</v>
      </c>
    </row>
    <row r="72" spans="8:33" x14ac:dyDescent="0.4">
      <c r="H72" t="str">
        <f t="shared" si="7"/>
        <v>225-端正的光耀情景 (黃)</v>
      </c>
      <c r="I72">
        <v>225</v>
      </c>
      <c r="J72" t="str">
        <f>_xlfn.IFNA(IF(I72&lt;&gt;0,VLOOKUP(VLOOKUP(I72,Tbl_Equip[],2,FALSE),Tbl_Color[],IFERROR(MATCH(UI!$B$1,Tbl_Color[#Headers],0),2),FALSE),""),"Unset")</f>
        <v>黃</v>
      </c>
      <c r="K72" t="str">
        <f>_xlfn.IFNA(IF(I72&lt;&gt;0,VLOOKUP(I72,ItemText[],IFERROR(MATCH(UI!$B$1,ItemText[#Headers],0),2),FALSE),""),"Unset")</f>
        <v>端正的光耀情景</v>
      </c>
      <c r="L72" t="str">
        <f t="shared" si="8"/>
        <v>7012000-【守護者】發動絕活時，能緩慢恢復周圍我方人物的ＨＰ</v>
      </c>
      <c r="M72">
        <v>7012000</v>
      </c>
      <c r="N72" t="str">
        <f>IF(VALUE(M72)=0,"",VLOOKUP(VLOOKUP(M72,Tbl_Effect[],3,FALSE),EffectName[],IFERROR(MATCH(UI!$B$1,EffectName[#Headers],0),2),FALSE))</f>
        <v>【守護者】發動絕活時，能緩慢恢復周圍我方人物的ＨＰ</v>
      </c>
      <c r="O72" t="str">
        <f t="shared" si="9"/>
        <v>7020000-【追蹤者】發動技藝時，輕攻擊能使出
　纏繞火焰的追加攻擊（僅限大劍）</v>
      </c>
      <c r="P72">
        <v>7020000</v>
      </c>
      <c r="Q72" t="str">
        <f>IF(VALUE(P72)=0,"",VLOOKUP(VLOOKUP(P72,Tbl_Effect[],3,FALSE),EffectName[],IFERROR(MATCH(UI!$B$1,EffectName[#Headers],0),2),FALSE))</f>
        <v>【追蹤者】發動技藝時，輕攻擊能使出
　纏繞火焰的追加攻擊（僅限大劍）</v>
      </c>
      <c r="R72" t="str">
        <f t="shared" si="10"/>
        <v>7020000-【追蹤者】發動技藝時，輕攻擊能使出
　纏繞火焰的追加攻擊（僅限大劍）</v>
      </c>
      <c r="S72">
        <v>7020000</v>
      </c>
      <c r="T72" t="str">
        <f>IF(VALUE(S72)=0,"",VLOOKUP(VLOOKUP(S72,Tbl_Effect[],3,FALSE),EffectName[],IFERROR(MATCH(UI!$B$1,EffectName[#Headers],0),2),FALSE))</f>
        <v>【追蹤者】發動技藝時，輕攻擊能使出
　纏繞火焰的追加攻擊（僅限大劍）</v>
      </c>
      <c r="U72" t="str">
        <f t="shared" si="11"/>
        <v/>
      </c>
      <c r="V72">
        <v>0</v>
      </c>
      <c r="W72" t="str">
        <f>IF(V72&lt;&gt;0,VLOOKUP(VLOOKUP(V72,Tbl_Effect[],3,FALSE),EffectName[],IFERROR(MATCH(UI!$B$1,EffectName[#Headers],0),2),FALSE),"")</f>
        <v/>
      </c>
      <c r="X72" t="str">
        <f t="shared" si="12"/>
        <v/>
      </c>
      <c r="Y72">
        <v>0</v>
      </c>
      <c r="Z72" t="str">
        <f>IF(Y72&lt;&gt;0,VLOOKUP(VLOOKUP(Y72,Tbl_Effect[],3,FALSE),EffectName[],IFERROR(MATCH(UI!$B$1,EffectName[#Headers],0),2),FALSE),"")</f>
        <v/>
      </c>
      <c r="AA72" t="str">
        <f t="shared" si="13"/>
        <v/>
      </c>
      <c r="AB72">
        <v>0</v>
      </c>
      <c r="AC72" t="str">
        <f>IF(AB72&lt;&gt;0,VLOOKUP(VLOOKUP(AB72,Tbl_Effect[],3,FALSE),EffectName[],IFERROR(MATCH(UI!$B$1,EffectName[#Headers],0),2),FALSE),"")</f>
        <v/>
      </c>
      <c r="AE72">
        <v>7012000</v>
      </c>
      <c r="AF72">
        <v>7020000</v>
      </c>
      <c r="AG72">
        <v>7020000</v>
      </c>
    </row>
    <row r="73" spans="8:33" x14ac:dyDescent="0.4">
      <c r="H73" t="str">
        <f t="shared" si="7"/>
        <v>226-遼闊的光耀情景 (黃)</v>
      </c>
      <c r="I73">
        <v>226</v>
      </c>
      <c r="J73" t="str">
        <f>_xlfn.IFNA(IF(I73&lt;&gt;0,VLOOKUP(VLOOKUP(I73,Tbl_Equip[],2,FALSE),Tbl_Color[],IFERROR(MATCH(UI!$B$1,Tbl_Color[#Headers],0),2),FALSE),""),"Unset")</f>
        <v>黃</v>
      </c>
      <c r="K73" t="str">
        <f>_xlfn.IFNA(IF(I73&lt;&gt;0,VLOOKUP(I73,ItemText[],IFERROR(MATCH(UI!$B$1,ItemText[#Headers],0),2),FALSE),""),"Unset")</f>
        <v>遼闊的光耀情景</v>
      </c>
      <c r="L73" t="str">
        <f t="shared" si="8"/>
        <v>7012200-ＨＰ偏低時，包含周圍我方人物緩慢恢復ＨＰ</v>
      </c>
      <c r="M73">
        <v>7012200</v>
      </c>
      <c r="N73" t="str">
        <f>IF(VALUE(M73)=0,"",VLOOKUP(VLOOKUP(M73,Tbl_Effect[],3,FALSE),EffectName[],IFERROR(MATCH(UI!$B$1,EffectName[#Headers],0),2),FALSE))</f>
        <v>ＨＰ偏低時，包含周圍我方人物緩慢恢復ＨＰ</v>
      </c>
      <c r="O73" t="str">
        <f t="shared" si="9"/>
        <v>7030000-身在圖騰碑石周圍時，能提升強韌度</v>
      </c>
      <c r="P73">
        <v>7030000</v>
      </c>
      <c r="Q73" t="str">
        <f>IF(VALUE(P73)=0,"",VLOOKUP(VLOOKUP(P73,Tbl_Effect[],3,FALSE),EffectName[],IFERROR(MATCH(UI!$B$1,EffectName[#Headers],0),2),FALSE))</f>
        <v>身在圖騰碑石周圍時，能提升強韌度</v>
      </c>
      <c r="R73" t="str">
        <f t="shared" si="10"/>
        <v>7030000-身在圖騰碑石周圍時，能提升強韌度</v>
      </c>
      <c r="S73">
        <v>7030000</v>
      </c>
      <c r="T73" t="str">
        <f>IF(VALUE(S73)=0,"",VLOOKUP(VLOOKUP(S73,Tbl_Effect[],3,FALSE),EffectName[],IFERROR(MATCH(UI!$B$1,EffectName[#Headers],0),2),FALSE))</f>
        <v>身在圖騰碑石周圍時，能提升強韌度</v>
      </c>
      <c r="U73" t="str">
        <f t="shared" si="11"/>
        <v/>
      </c>
      <c r="V73">
        <v>0</v>
      </c>
      <c r="W73" t="str">
        <f>IF(V73&lt;&gt;0,VLOOKUP(VLOOKUP(V73,Tbl_Effect[],3,FALSE),EffectName[],IFERROR(MATCH(UI!$B$1,EffectName[#Headers],0),2),FALSE),"")</f>
        <v/>
      </c>
      <c r="X73" t="str">
        <f t="shared" si="12"/>
        <v/>
      </c>
      <c r="Y73">
        <v>0</v>
      </c>
      <c r="Z73" t="str">
        <f>IF(Y73&lt;&gt;0,VLOOKUP(VLOOKUP(Y73,Tbl_Effect[],3,FALSE),EffectName[],IFERROR(MATCH(UI!$B$1,EffectName[#Headers],0),2),FALSE),"")</f>
        <v/>
      </c>
      <c r="AA73" t="str">
        <f t="shared" si="13"/>
        <v/>
      </c>
      <c r="AB73">
        <v>0</v>
      </c>
      <c r="AC73" t="str">
        <f>IF(AB73&lt;&gt;0,VLOOKUP(VLOOKUP(AB73,Tbl_Effect[],3,FALSE),EffectName[],IFERROR(MATCH(UI!$B$1,EffectName[#Headers],0),2),FALSE),"")</f>
        <v/>
      </c>
      <c r="AE73">
        <v>7012200</v>
      </c>
      <c r="AF73">
        <v>7030000</v>
      </c>
      <c r="AG73">
        <v>7030000</v>
      </c>
    </row>
    <row r="74" spans="8:33" x14ac:dyDescent="0.4">
      <c r="H74" t="str">
        <f t="shared" si="7"/>
        <v>227-細膩的幽靜情景 (綠)</v>
      </c>
      <c r="I74">
        <v>227</v>
      </c>
      <c r="J74" t="str">
        <f>_xlfn.IFNA(IF(I74&lt;&gt;0,VLOOKUP(VLOOKUP(I74,Tbl_Equip[],2,FALSE),Tbl_Color[],IFERROR(MATCH(UI!$B$1,Tbl_Color[#Headers],0),2),FALSE),""),"Unset")</f>
        <v>綠</v>
      </c>
      <c r="K74" t="str">
        <f>_xlfn.IFNA(IF(I74&lt;&gt;0,VLOOKUP(I74,ItemText[],IFERROR(MATCH(UI!$B$1,ItemText[#Headers],0),2),FALSE),""),"Unset")</f>
        <v>細膩的幽靜情景</v>
      </c>
      <c r="L74" t="str">
        <f t="shared" si="8"/>
        <v>7012300-ＨＰ偏低時，能提升減傷率</v>
      </c>
      <c r="M74">
        <v>7012300</v>
      </c>
      <c r="N74" t="str">
        <f>IF(VALUE(M74)=0,"",VLOOKUP(VLOOKUP(M74,Tbl_Effect[],3,FALSE),EffectName[],IFERROR(MATCH(UI!$B$1,EffectName[#Headers],0),2),FALSE))</f>
        <v>ＨＰ偏低時，能提升減傷率</v>
      </c>
      <c r="O74" t="str">
        <f t="shared" si="9"/>
        <v>7030200-食用苔藥等等道具時，能恢復ＨＰ</v>
      </c>
      <c r="P74">
        <v>7030200</v>
      </c>
      <c r="Q74" t="str">
        <f>IF(VALUE(P74)=0,"",VLOOKUP(VLOOKUP(P74,Tbl_Effect[],3,FALSE),EffectName[],IFERROR(MATCH(UI!$B$1,EffectName[#Headers],0),2),FALSE))</f>
        <v>食用苔藥等等道具時，能恢復ＨＰ</v>
      </c>
      <c r="R74" t="str">
        <f t="shared" si="10"/>
        <v>7030200-食用苔藥等等道具時，能恢復ＨＰ</v>
      </c>
      <c r="S74">
        <v>7030200</v>
      </c>
      <c r="T74" t="str">
        <f>IF(VALUE(S74)=0,"",VLOOKUP(VLOOKUP(S74,Tbl_Effect[],3,FALSE),EffectName[],IFERROR(MATCH(UI!$B$1,EffectName[#Headers],0),2),FALSE))</f>
        <v>食用苔藥等等道具時，能恢復ＨＰ</v>
      </c>
      <c r="U74" t="str">
        <f t="shared" si="11"/>
        <v/>
      </c>
      <c r="V74">
        <v>0</v>
      </c>
      <c r="W74" t="str">
        <f>IF(V74&lt;&gt;0,VLOOKUP(VLOOKUP(V74,Tbl_Effect[],3,FALSE),EffectName[],IFERROR(MATCH(UI!$B$1,EffectName[#Headers],0),2),FALSE),"")</f>
        <v/>
      </c>
      <c r="X74" t="str">
        <f t="shared" si="12"/>
        <v/>
      </c>
      <c r="Y74">
        <v>0</v>
      </c>
      <c r="Z74" t="str">
        <f>IF(Y74&lt;&gt;0,VLOOKUP(VLOOKUP(Y74,Tbl_Effect[],3,FALSE),EffectName[],IFERROR(MATCH(UI!$B$1,EffectName[#Headers],0),2),FALSE),"")</f>
        <v/>
      </c>
      <c r="AA74" t="str">
        <f t="shared" si="13"/>
        <v/>
      </c>
      <c r="AB74">
        <v>0</v>
      </c>
      <c r="AC74" t="str">
        <f>IF(AB74&lt;&gt;0,VLOOKUP(VLOOKUP(AB74,Tbl_Effect[],3,FALSE),EffectName[],IFERROR(MATCH(UI!$B$1,EffectName[#Headers],0),2),FALSE),"")</f>
        <v/>
      </c>
      <c r="AE74">
        <v>7012300</v>
      </c>
      <c r="AF74">
        <v>7030200</v>
      </c>
      <c r="AG74">
        <v>7030200</v>
      </c>
    </row>
    <row r="75" spans="8:33" x14ac:dyDescent="0.4">
      <c r="H75" t="str">
        <f t="shared" si="7"/>
        <v>228-端正的幽靜情景 (綠)</v>
      </c>
      <c r="I75">
        <v>228</v>
      </c>
      <c r="J75" t="str">
        <f>_xlfn.IFNA(IF(I75&lt;&gt;0,VLOOKUP(VLOOKUP(I75,Tbl_Equip[],2,FALSE),Tbl_Color[],IFERROR(MATCH(UI!$B$1,Tbl_Color[#Headers],0),2),FALSE),""),"Unset")</f>
        <v>綠</v>
      </c>
      <c r="K75" t="str">
        <f>_xlfn.IFNA(IF(I75&lt;&gt;0,VLOOKUP(I75,ItemText[],IFERROR(MATCH(UI!$B$1,ItemText[#Headers],0),2),FALSE),""),"Unset")</f>
        <v>端正的幽靜情景</v>
      </c>
      <c r="L75" t="str">
        <f t="shared" si="8"/>
        <v>7020000-【追蹤者】發動技藝時，輕攻擊能使出
　纏繞火焰的追加攻擊（僅限大劍）</v>
      </c>
      <c r="M75">
        <v>7020000</v>
      </c>
      <c r="N75" t="str">
        <f>IF(VALUE(M75)=0,"",VLOOKUP(VLOOKUP(M75,Tbl_Effect[],3,FALSE),EffectName[],IFERROR(MATCH(UI!$B$1,EffectName[#Headers],0),2),FALSE))</f>
        <v>【追蹤者】發動技藝時，輕攻擊能使出
　纏繞火焰的追加攻擊（僅限大劍）</v>
      </c>
      <c r="O75" t="str">
        <f t="shared" si="9"/>
        <v>7030600-防禦成功時，能累積絕活量表</v>
      </c>
      <c r="P75">
        <v>7030600</v>
      </c>
      <c r="Q75" t="str">
        <f>IF(VALUE(P75)=0,"",VLOOKUP(VLOOKUP(P75,Tbl_Effect[],3,FALSE),EffectName[],IFERROR(MATCH(UI!$B$1,EffectName[#Headers],0),2),FALSE))</f>
        <v>防禦成功時，能累積絕活量表</v>
      </c>
      <c r="R75" t="str">
        <f t="shared" si="10"/>
        <v>7030600-防禦成功時，能累積絕活量表</v>
      </c>
      <c r="S75">
        <v>7030600</v>
      </c>
      <c r="T75" t="str">
        <f>IF(VALUE(S75)=0,"",VLOOKUP(VLOOKUP(S75,Tbl_Effect[],3,FALSE),EffectName[],IFERROR(MATCH(UI!$B$1,EffectName[#Headers],0),2),FALSE))</f>
        <v>防禦成功時，能累積絕活量表</v>
      </c>
      <c r="U75" t="str">
        <f t="shared" si="11"/>
        <v/>
      </c>
      <c r="V75">
        <v>0</v>
      </c>
      <c r="W75" t="str">
        <f>IF(V75&lt;&gt;0,VLOOKUP(VLOOKUP(V75,Tbl_Effect[],3,FALSE),EffectName[],IFERROR(MATCH(UI!$B$1,EffectName[#Headers],0),2),FALSE),"")</f>
        <v/>
      </c>
      <c r="X75" t="str">
        <f t="shared" si="12"/>
        <v/>
      </c>
      <c r="Y75">
        <v>0</v>
      </c>
      <c r="Z75" t="str">
        <f>IF(Y75&lt;&gt;0,VLOOKUP(VLOOKUP(Y75,Tbl_Effect[],3,FALSE),EffectName[],IFERROR(MATCH(UI!$B$1,EffectName[#Headers],0),2),FALSE),"")</f>
        <v/>
      </c>
      <c r="AA75" t="str">
        <f t="shared" si="13"/>
        <v/>
      </c>
      <c r="AB75">
        <v>0</v>
      </c>
      <c r="AC75" t="str">
        <f>IF(AB75&lt;&gt;0,VLOOKUP(VLOOKUP(AB75,Tbl_Effect[],3,FALSE),EffectName[],IFERROR(MATCH(UI!$B$1,EffectName[#Headers],0),2),FALSE),"")</f>
        <v/>
      </c>
      <c r="AE75">
        <v>7020000</v>
      </c>
      <c r="AF75">
        <v>7030600</v>
      </c>
      <c r="AG75">
        <v>7030600</v>
      </c>
    </row>
    <row r="76" spans="8:33" x14ac:dyDescent="0.4">
      <c r="H76" t="str">
        <f t="shared" si="7"/>
        <v>229-遼闊的幽靜情景 (綠)</v>
      </c>
      <c r="I76">
        <v>229</v>
      </c>
      <c r="J76" t="str">
        <f>_xlfn.IFNA(IF(I76&lt;&gt;0,VLOOKUP(VLOOKUP(I76,Tbl_Equip[],2,FALSE),Tbl_Color[],IFERROR(MATCH(UI!$B$1,Tbl_Color[#Headers],0),2),FALSE),""),"Unset")</f>
        <v>綠</v>
      </c>
      <c r="K76" t="str">
        <f>_xlfn.IFNA(IF(I76&lt;&gt;0,VLOOKUP(I76,ItemText[],IFERROR(MATCH(UI!$B$1,ItemText[#Headers],0),2),FALSE),""),"Unset")</f>
        <v>遼闊的幽靜情景</v>
      </c>
      <c r="L76" t="str">
        <f t="shared" si="8"/>
        <v>7030000-身在圖騰碑石周圍時，能提升強韌度</v>
      </c>
      <c r="M76">
        <v>7030000</v>
      </c>
      <c r="N76" t="str">
        <f>IF(VALUE(M76)=0,"",VLOOKUP(VLOOKUP(M76,Tbl_Effect[],3,FALSE),EffectName[],IFERROR(MATCH(UI!$B$1,EffectName[#Headers],0),2),FALSE))</f>
        <v>身在圖騰碑石周圍時，能提升強韌度</v>
      </c>
      <c r="O76" t="str">
        <f t="shared" si="9"/>
        <v>7030700-防禦時，變得容易被敵人攻擊</v>
      </c>
      <c r="P76">
        <v>7030700</v>
      </c>
      <c r="Q76" t="str">
        <f>IF(VALUE(P76)=0,"",VLOOKUP(VLOOKUP(P76,Tbl_Effect[],3,FALSE),EffectName[],IFERROR(MATCH(UI!$B$1,EffectName[#Headers],0),2),FALSE))</f>
        <v>防禦時，變得容易被敵人攻擊</v>
      </c>
      <c r="R76" t="str">
        <f t="shared" si="10"/>
        <v>7030700-防禦時，變得容易被敵人攻擊</v>
      </c>
      <c r="S76">
        <v>7030700</v>
      </c>
      <c r="T76" t="str">
        <f>IF(VALUE(S76)=0,"",VLOOKUP(VLOOKUP(S76,Tbl_Effect[],3,FALSE),EffectName[],IFERROR(MATCH(UI!$B$1,EffectName[#Headers],0),2),FALSE))</f>
        <v>防禦時，變得容易被敵人攻擊</v>
      </c>
      <c r="U76" t="str">
        <f t="shared" si="11"/>
        <v/>
      </c>
      <c r="V76">
        <v>0</v>
      </c>
      <c r="W76" t="str">
        <f>IF(V76&lt;&gt;0,VLOOKUP(VLOOKUP(V76,Tbl_Effect[],3,FALSE),EffectName[],IFERROR(MATCH(UI!$B$1,EffectName[#Headers],0),2),FALSE),"")</f>
        <v/>
      </c>
      <c r="X76" t="str">
        <f t="shared" si="12"/>
        <v/>
      </c>
      <c r="Y76">
        <v>0</v>
      </c>
      <c r="Z76" t="str">
        <f>IF(Y76&lt;&gt;0,VLOOKUP(VLOOKUP(Y76,Tbl_Effect[],3,FALSE),EffectName[],IFERROR(MATCH(UI!$B$1,EffectName[#Headers],0),2),FALSE),"")</f>
        <v/>
      </c>
      <c r="AA76" t="str">
        <f t="shared" si="13"/>
        <v/>
      </c>
      <c r="AB76">
        <v>0</v>
      </c>
      <c r="AC76" t="str">
        <f>IF(AB76&lt;&gt;0,VLOOKUP(VLOOKUP(AB76,Tbl_Effect[],3,FALSE),EffectName[],IFERROR(MATCH(UI!$B$1,EffectName[#Headers],0),2),FALSE),"")</f>
        <v/>
      </c>
      <c r="AE76">
        <v>7030000</v>
      </c>
      <c r="AF76">
        <v>7030700</v>
      </c>
      <c r="AG76">
        <v>7030700</v>
      </c>
    </row>
    <row r="77" spans="8:33" x14ac:dyDescent="0.4">
      <c r="H77" t="str">
        <f t="shared" si="7"/>
        <v>230-細膩的幽靜情景 (綠)</v>
      </c>
      <c r="I77">
        <v>230</v>
      </c>
      <c r="J77" t="str">
        <f>_xlfn.IFNA(IF(I77&lt;&gt;0,VLOOKUP(VLOOKUP(I77,Tbl_Equip[],2,FALSE),Tbl_Color[],IFERROR(MATCH(UI!$B$1,Tbl_Color[#Headers],0),2),FALSE),""),"Unset")</f>
        <v>綠</v>
      </c>
      <c r="K77" t="str">
        <f>_xlfn.IFNA(IF(I77&lt;&gt;0,VLOOKUP(I77,ItemText[],IFERROR(MATCH(UI!$B$1,ItemText[#Headers],0),2),FALSE),""),"Unset")</f>
        <v>細膩的幽靜情景</v>
      </c>
      <c r="L77" t="str">
        <f t="shared" si="8"/>
        <v>7030200-食用苔藥等等道具時，能恢復ＨＰ</v>
      </c>
      <c r="M77">
        <v>7030200</v>
      </c>
      <c r="N77" t="str">
        <f>IF(VALUE(M77)=0,"",VLOOKUP(VLOOKUP(M77,Tbl_Effect[],3,FALSE),EffectName[],IFERROR(MATCH(UI!$B$1,EffectName[#Headers],0),2),FALSE))</f>
        <v>食用苔藥等等道具時，能恢復ＨＰ</v>
      </c>
      <c r="O77" t="str">
        <f t="shared" si="9"/>
        <v>7030800-使出致命一擊時，能累積絕活量表</v>
      </c>
      <c r="P77">
        <v>7030800</v>
      </c>
      <c r="Q77" t="str">
        <f>IF(VALUE(P77)=0,"",VLOOKUP(VLOOKUP(P77,Tbl_Effect[],3,FALSE),EffectName[],IFERROR(MATCH(UI!$B$1,EffectName[#Headers],0),2),FALSE))</f>
        <v>使出致命一擊時，能累積絕活量表</v>
      </c>
      <c r="R77" t="str">
        <f t="shared" si="10"/>
        <v>7030800-使出致命一擊時，能累積絕活量表</v>
      </c>
      <c r="S77">
        <v>7030800</v>
      </c>
      <c r="T77" t="str">
        <f>IF(VALUE(S77)=0,"",VLOOKUP(VLOOKUP(S77,Tbl_Effect[],3,FALSE),EffectName[],IFERROR(MATCH(UI!$B$1,EffectName[#Headers],0),2),FALSE))</f>
        <v>使出致命一擊時，能累積絕活量表</v>
      </c>
      <c r="U77" t="str">
        <f t="shared" si="11"/>
        <v/>
      </c>
      <c r="V77">
        <v>0</v>
      </c>
      <c r="W77" t="str">
        <f>IF(V77&lt;&gt;0,VLOOKUP(VLOOKUP(V77,Tbl_Effect[],3,FALSE),EffectName[],IFERROR(MATCH(UI!$B$1,EffectName[#Headers],0),2),FALSE),"")</f>
        <v/>
      </c>
      <c r="X77" t="str">
        <f t="shared" si="12"/>
        <v/>
      </c>
      <c r="Y77">
        <v>0</v>
      </c>
      <c r="Z77" t="str">
        <f>IF(Y77&lt;&gt;0,VLOOKUP(VLOOKUP(Y77,Tbl_Effect[],3,FALSE),EffectName[],IFERROR(MATCH(UI!$B$1,EffectName[#Headers],0),2),FALSE),"")</f>
        <v/>
      </c>
      <c r="AA77" t="str">
        <f t="shared" si="13"/>
        <v/>
      </c>
      <c r="AB77">
        <v>0</v>
      </c>
      <c r="AC77" t="str">
        <f>IF(AB77&lt;&gt;0,VLOOKUP(VLOOKUP(AB77,Tbl_Effect[],3,FALSE),EffectName[],IFERROR(MATCH(UI!$B$1,EffectName[#Headers],0),2),FALSE),"")</f>
        <v/>
      </c>
      <c r="AE77">
        <v>7030200</v>
      </c>
      <c r="AF77">
        <v>7030800</v>
      </c>
      <c r="AG77">
        <v>7030800</v>
      </c>
    </row>
    <row r="78" spans="8:33" x14ac:dyDescent="0.4">
      <c r="H78" t="str">
        <f t="shared" si="7"/>
        <v>231-端正的幽靜情景 (綠)</v>
      </c>
      <c r="I78">
        <v>231</v>
      </c>
      <c r="J78" t="str">
        <f>_xlfn.IFNA(IF(I78&lt;&gt;0,VLOOKUP(VLOOKUP(I78,Tbl_Equip[],2,FALSE),Tbl_Color[],IFERROR(MATCH(UI!$B$1,Tbl_Color[#Headers],0),2),FALSE),""),"Unset")</f>
        <v>綠</v>
      </c>
      <c r="K78" t="str">
        <f>_xlfn.IFNA(IF(I78&lt;&gt;0,VLOOKUP(I78,ItemText[],IFERROR(MATCH(UI!$B$1,ItemText[#Headers],0),2),FALSE),""),"Unset")</f>
        <v>端正的幽靜情景</v>
      </c>
      <c r="L78" t="str">
        <f t="shared" si="8"/>
        <v>7030600-防禦成功時，能累積絕活量表</v>
      </c>
      <c r="M78">
        <v>7030600</v>
      </c>
      <c r="N78" t="str">
        <f>IF(VALUE(M78)=0,"",VLOOKUP(VLOOKUP(M78,Tbl_Effect[],3,FALSE),EffectName[],IFERROR(MATCH(UI!$B$1,EffectName[#Headers],0),2),FALSE))</f>
        <v>防禦成功時，能累積絕活量表</v>
      </c>
      <c r="O78" t="str">
        <f t="shared" si="9"/>
        <v>7030900-塗抹油脂類道具時，能額外提升物理攻擊力</v>
      </c>
      <c r="P78">
        <v>7030900</v>
      </c>
      <c r="Q78" t="str">
        <f>IF(VALUE(P78)=0,"",VLOOKUP(VLOOKUP(P78,Tbl_Effect[],3,FALSE),EffectName[],IFERROR(MATCH(UI!$B$1,EffectName[#Headers],0),2),FALSE))</f>
        <v>塗抹油脂類道具時，能額外提升物理攻擊力</v>
      </c>
      <c r="R78" t="str">
        <f t="shared" si="10"/>
        <v>7030900-塗抹油脂類道具時，能額外提升物理攻擊力</v>
      </c>
      <c r="S78">
        <v>7030900</v>
      </c>
      <c r="T78" t="str">
        <f>IF(VALUE(S78)=0,"",VLOOKUP(VLOOKUP(S78,Tbl_Effect[],3,FALSE),EffectName[],IFERROR(MATCH(UI!$B$1,EffectName[#Headers],0),2),FALSE))</f>
        <v>塗抹油脂類道具時，能額外提升物理攻擊力</v>
      </c>
      <c r="U78" t="str">
        <f t="shared" si="11"/>
        <v/>
      </c>
      <c r="V78">
        <v>0</v>
      </c>
      <c r="W78" t="str">
        <f>IF(V78&lt;&gt;0,VLOOKUP(VLOOKUP(V78,Tbl_Effect[],3,FALSE),EffectName[],IFERROR(MATCH(UI!$B$1,EffectName[#Headers],0),2),FALSE),"")</f>
        <v/>
      </c>
      <c r="X78" t="str">
        <f t="shared" si="12"/>
        <v/>
      </c>
      <c r="Y78">
        <v>0</v>
      </c>
      <c r="Z78" t="str">
        <f>IF(Y78&lt;&gt;0,VLOOKUP(VLOOKUP(Y78,Tbl_Effect[],3,FALSE),EffectName[],IFERROR(MATCH(UI!$B$1,EffectName[#Headers],0),2),FALSE),"")</f>
        <v/>
      </c>
      <c r="AA78" t="str">
        <f t="shared" si="13"/>
        <v/>
      </c>
      <c r="AB78">
        <v>0</v>
      </c>
      <c r="AC78" t="str">
        <f>IF(AB78&lt;&gt;0,VLOOKUP(VLOOKUP(AB78,Tbl_Effect[],3,FALSE),EffectName[],IFERROR(MATCH(UI!$B$1,EffectName[#Headers],0),2),FALSE),"")</f>
        <v/>
      </c>
      <c r="AE78">
        <v>7030600</v>
      </c>
      <c r="AF78">
        <v>7030900</v>
      </c>
      <c r="AG78">
        <v>7030900</v>
      </c>
    </row>
    <row r="79" spans="8:33" x14ac:dyDescent="0.4">
      <c r="H79" t="str">
        <f t="shared" si="7"/>
        <v>232-遼闊的幽靜情景 (綠)</v>
      </c>
      <c r="I79">
        <v>232</v>
      </c>
      <c r="J79" t="str">
        <f>_xlfn.IFNA(IF(I79&lt;&gt;0,VLOOKUP(VLOOKUP(I79,Tbl_Equip[],2,FALSE),Tbl_Color[],IFERROR(MATCH(UI!$B$1,Tbl_Color[#Headers],0),2),FALSE),""),"Unset")</f>
        <v>綠</v>
      </c>
      <c r="K79" t="str">
        <f>_xlfn.IFNA(IF(I79&lt;&gt;0,VLOOKUP(I79,ItemText[],IFERROR(MATCH(UI!$B$1,ItemText[#Headers],0),2),FALSE),""),"Unset")</f>
        <v>遼闊的幽靜情景</v>
      </c>
      <c r="L79" t="str">
        <f t="shared" si="8"/>
        <v>7030700-防禦時，變得容易被敵人攻擊</v>
      </c>
      <c r="M79">
        <v>7030700</v>
      </c>
      <c r="N79" t="str">
        <f>IF(VALUE(M79)=0,"",VLOOKUP(VLOOKUP(M79,Tbl_Effect[],3,FALSE),EffectName[],IFERROR(MATCH(UI!$B$1,EffectName[#Headers],0),2),FALSE))</f>
        <v>防禦時，變得容易被敵人攻擊</v>
      </c>
      <c r="O79" t="str">
        <f t="shared" si="9"/>
        <v>7031200-【復仇者】發動絕活時，能強化家人與我方人物</v>
      </c>
      <c r="P79">
        <v>7031200</v>
      </c>
      <c r="Q79" t="str">
        <f>IF(VALUE(P79)=0,"",VLOOKUP(VLOOKUP(P79,Tbl_Effect[],3,FALSE),EffectName[],IFERROR(MATCH(UI!$B$1,EffectName[#Headers],0),2),FALSE))</f>
        <v>【復仇者】發動絕活時，能強化家人與我方人物</v>
      </c>
      <c r="R79" t="str">
        <f t="shared" si="10"/>
        <v>7031200-【復仇者】發動絕活時，能強化家人與我方人物</v>
      </c>
      <c r="S79">
        <v>7031200</v>
      </c>
      <c r="T79" t="str">
        <f>IF(VALUE(S79)=0,"",VLOOKUP(VLOOKUP(S79,Tbl_Effect[],3,FALSE),EffectName[],IFERROR(MATCH(UI!$B$1,EffectName[#Headers],0),2),FALSE))</f>
        <v>【復仇者】發動絕活時，能強化家人與我方人物</v>
      </c>
      <c r="U79" t="str">
        <f t="shared" si="11"/>
        <v/>
      </c>
      <c r="V79">
        <v>0</v>
      </c>
      <c r="W79" t="str">
        <f>IF(V79&lt;&gt;0,VLOOKUP(VLOOKUP(V79,Tbl_Effect[],3,FALSE),EffectName[],IFERROR(MATCH(UI!$B$1,EffectName[#Headers],0),2),FALSE),"")</f>
        <v/>
      </c>
      <c r="X79" t="str">
        <f t="shared" si="12"/>
        <v/>
      </c>
      <c r="Y79">
        <v>0</v>
      </c>
      <c r="Z79" t="str">
        <f>IF(Y79&lt;&gt;0,VLOOKUP(VLOOKUP(Y79,Tbl_Effect[],3,FALSE),EffectName[],IFERROR(MATCH(UI!$B$1,EffectName[#Headers],0),2),FALSE),"")</f>
        <v/>
      </c>
      <c r="AA79" t="str">
        <f t="shared" si="13"/>
        <v/>
      </c>
      <c r="AB79">
        <v>0</v>
      </c>
      <c r="AC79" t="str">
        <f>IF(AB79&lt;&gt;0,VLOOKUP(VLOOKUP(AB79,Tbl_Effect[],3,FALSE),EffectName[],IFERROR(MATCH(UI!$B$1,EffectName[#Headers],0),2),FALSE),"")</f>
        <v/>
      </c>
      <c r="AE79">
        <v>7030700</v>
      </c>
      <c r="AF79">
        <v>7031200</v>
      </c>
      <c r="AG79">
        <v>7031200</v>
      </c>
    </row>
    <row r="80" spans="8:33" x14ac:dyDescent="0.4">
      <c r="H80" t="str">
        <f t="shared" si="7"/>
        <v>233-細膩的幽靜情景 (綠)</v>
      </c>
      <c r="I80">
        <v>233</v>
      </c>
      <c r="J80" t="str">
        <f>_xlfn.IFNA(IF(I80&lt;&gt;0,VLOOKUP(VLOOKUP(I80,Tbl_Equip[],2,FALSE),Tbl_Color[],IFERROR(MATCH(UI!$B$1,Tbl_Color[#Headers],0),2),FALSE),""),"Unset")</f>
        <v>綠</v>
      </c>
      <c r="K80" t="str">
        <f>_xlfn.IFNA(IF(I80&lt;&gt;0,VLOOKUP(I80,ItemText[],IFERROR(MATCH(UI!$B$1,ItemText[#Headers],0),2),FALSE),""),"Unset")</f>
        <v>細膩的幽靜情景</v>
      </c>
      <c r="L80" t="str">
        <f t="shared" si="8"/>
        <v>7030800-使出致命一擊時，能累積絕活量表</v>
      </c>
      <c r="M80">
        <v>7030800</v>
      </c>
      <c r="N80" t="str">
        <f>IF(VALUE(M80)=0,"",VLOOKUP(VLOOKUP(M80,Tbl_Effect[],3,FALSE),EffectName[],IFERROR(MATCH(UI!$B$1,EffectName[#Headers],0),2),FALSE))</f>
        <v>使出致命一擊時，能累積絕活量表</v>
      </c>
      <c r="O80" t="str">
        <f t="shared" si="9"/>
        <v>7031300-【無賴】在技藝發動期間，受到攻擊時
　能提升攻擊力與精力上限</v>
      </c>
      <c r="P80">
        <v>7031300</v>
      </c>
      <c r="Q80" t="str">
        <f>IF(VALUE(P80)=0,"",VLOOKUP(VLOOKUP(P80,Tbl_Effect[],3,FALSE),EffectName[],IFERROR(MATCH(UI!$B$1,EffectName[#Headers],0),2),FALSE))</f>
        <v>【無賴】在技藝發動期間，受到攻擊時
　能提升攻擊力與精力上限</v>
      </c>
      <c r="R80" t="str">
        <f t="shared" si="10"/>
        <v>7031300-【無賴】在技藝發動期間，受到攻擊時
　能提升攻擊力與精力上限</v>
      </c>
      <c r="S80">
        <v>7031300</v>
      </c>
      <c r="T80" t="str">
        <f>IF(VALUE(S80)=0,"",VLOOKUP(VLOOKUP(S80,Tbl_Effect[],3,FALSE),EffectName[],IFERROR(MATCH(UI!$B$1,EffectName[#Headers],0),2),FALSE))</f>
        <v>【無賴】在技藝發動期間，受到攻擊時
　能提升攻擊力與精力上限</v>
      </c>
      <c r="U80" t="str">
        <f t="shared" si="11"/>
        <v/>
      </c>
      <c r="V80">
        <v>0</v>
      </c>
      <c r="W80" t="str">
        <f>IF(V80&lt;&gt;0,VLOOKUP(VLOOKUP(V80,Tbl_Effect[],3,FALSE),EffectName[],IFERROR(MATCH(UI!$B$1,EffectName[#Headers],0),2),FALSE),"")</f>
        <v/>
      </c>
      <c r="X80" t="str">
        <f t="shared" si="12"/>
        <v/>
      </c>
      <c r="Y80">
        <v>0</v>
      </c>
      <c r="Z80" t="str">
        <f>IF(Y80&lt;&gt;0,VLOOKUP(VLOOKUP(Y80,Tbl_Effect[],3,FALSE),EffectName[],IFERROR(MATCH(UI!$B$1,EffectName[#Headers],0),2),FALSE),"")</f>
        <v/>
      </c>
      <c r="AA80" t="str">
        <f t="shared" si="13"/>
        <v/>
      </c>
      <c r="AB80">
        <v>0</v>
      </c>
      <c r="AC80" t="str">
        <f>IF(AB80&lt;&gt;0,VLOOKUP(VLOOKUP(AB80,Tbl_Effect[],3,FALSE),EffectName[],IFERROR(MATCH(UI!$B$1,EffectName[#Headers],0),2),FALSE),"")</f>
        <v/>
      </c>
      <c r="AE80">
        <v>7030800</v>
      </c>
      <c r="AF80">
        <v>7031300</v>
      </c>
      <c r="AG80">
        <v>7031300</v>
      </c>
    </row>
    <row r="81" spans="8:33" x14ac:dyDescent="0.4">
      <c r="H81" t="str">
        <f t="shared" si="7"/>
        <v>234-端正的幽靜情景 (綠)</v>
      </c>
      <c r="I81">
        <v>234</v>
      </c>
      <c r="J81" t="str">
        <f>_xlfn.IFNA(IF(I81&lt;&gt;0,VLOOKUP(VLOOKUP(I81,Tbl_Equip[],2,FALSE),Tbl_Color[],IFERROR(MATCH(UI!$B$1,Tbl_Color[#Headers],0),2),FALSE),""),"Unset")</f>
        <v>綠</v>
      </c>
      <c r="K81" t="str">
        <f>_xlfn.IFNA(IF(I81&lt;&gt;0,VLOOKUP(I81,ItemText[],IFERROR(MATCH(UI!$B$1,ItemText[#Headers],0),2),FALSE),""),"Unset")</f>
        <v>端正的幽靜情景</v>
      </c>
      <c r="L81" t="str">
        <f t="shared" si="8"/>
        <v>7030900-塗抹油脂類道具時，能額外提升物理攻擊力</v>
      </c>
      <c r="M81">
        <v>7030900</v>
      </c>
      <c r="N81" t="str">
        <f>IF(VALUE(M81)=0,"",VLOOKUP(VLOOKUP(M81,Tbl_Effect[],3,FALSE),EffectName[],IFERROR(MATCH(UI!$B$1,EffectName[#Headers],0),2),FALSE))</f>
        <v>塗抹油脂類道具時，能額外提升物理攻擊力</v>
      </c>
      <c r="O81" t="str">
        <f t="shared" si="9"/>
        <v>7031800-【女爵】從背後使出致命一擊後
　自己的身影會變得難以辨識，並消除腳步聲</v>
      </c>
      <c r="P81">
        <v>7031800</v>
      </c>
      <c r="Q81" t="str">
        <f>IF(VALUE(P81)=0,"",VLOOKUP(VLOOKUP(P81,Tbl_Effect[],3,FALSE),EffectName[],IFERROR(MATCH(UI!$B$1,EffectName[#Headers],0),2),FALSE))</f>
        <v>【女爵】從背後使出致命一擊後
　自己的身影會變得難以辨識，並消除腳步聲</v>
      </c>
      <c r="R81" t="str">
        <f t="shared" si="10"/>
        <v>7031800-【女爵】從背後使出致命一擊後
　自己的身影會變得難以辨識，並消除腳步聲</v>
      </c>
      <c r="S81">
        <v>7031800</v>
      </c>
      <c r="T81" t="str">
        <f>IF(VALUE(S81)=0,"",VLOOKUP(VLOOKUP(S81,Tbl_Effect[],3,FALSE),EffectName[],IFERROR(MATCH(UI!$B$1,EffectName[#Headers],0),2),FALSE))</f>
        <v>【女爵】從背後使出致命一擊後
　自己的身影會變得難以辨識，並消除腳步聲</v>
      </c>
      <c r="U81" t="str">
        <f t="shared" si="11"/>
        <v/>
      </c>
      <c r="V81">
        <v>0</v>
      </c>
      <c r="W81" t="str">
        <f>IF(V81&lt;&gt;0,VLOOKUP(VLOOKUP(V81,Tbl_Effect[],3,FALSE),EffectName[],IFERROR(MATCH(UI!$B$1,EffectName[#Headers],0),2),FALSE),"")</f>
        <v/>
      </c>
      <c r="X81" t="str">
        <f t="shared" si="12"/>
        <v/>
      </c>
      <c r="Y81">
        <v>0</v>
      </c>
      <c r="Z81" t="str">
        <f>IF(Y81&lt;&gt;0,VLOOKUP(VLOOKUP(Y81,Tbl_Effect[],3,FALSE),EffectName[],IFERROR(MATCH(UI!$B$1,EffectName[#Headers],0),2),FALSE),"")</f>
        <v/>
      </c>
      <c r="AA81" t="str">
        <f t="shared" si="13"/>
        <v/>
      </c>
      <c r="AB81">
        <v>0</v>
      </c>
      <c r="AC81" t="str">
        <f>IF(AB81&lt;&gt;0,VLOOKUP(VLOOKUP(AB81,Tbl_Effect[],3,FALSE),EffectName[],IFERROR(MATCH(UI!$B$1,EffectName[#Headers],0),2),FALSE),"")</f>
        <v/>
      </c>
      <c r="AE81">
        <v>7030900</v>
      </c>
      <c r="AF81">
        <v>7031800</v>
      </c>
      <c r="AG81">
        <v>7031800</v>
      </c>
    </row>
    <row r="82" spans="8:33" x14ac:dyDescent="0.4">
      <c r="H82" t="str">
        <f t="shared" si="7"/>
        <v>235-遼闊的幽靜情景 (綠)</v>
      </c>
      <c r="I82">
        <v>235</v>
      </c>
      <c r="J82" t="str">
        <f>_xlfn.IFNA(IF(I82&lt;&gt;0,VLOOKUP(VLOOKUP(I82,Tbl_Equip[],2,FALSE),Tbl_Color[],IFERROR(MATCH(UI!$B$1,Tbl_Color[#Headers],0),2),FALSE),""),"Unset")</f>
        <v>綠</v>
      </c>
      <c r="K82" t="str">
        <f>_xlfn.IFNA(IF(I82&lt;&gt;0,VLOOKUP(I82,ItemText[],IFERROR(MATCH(UI!$B$1,ItemText[#Headers],0),2),FALSE),""),"Unset")</f>
        <v>遼闊的幽靜情景</v>
      </c>
      <c r="L82" t="str">
        <f t="shared" si="8"/>
        <v>7031200-【復仇者】發動絕活時，能強化家人與我方人物</v>
      </c>
      <c r="M82">
        <v>7031200</v>
      </c>
      <c r="N82" t="str">
        <f>IF(VALUE(M82)=0,"",VLOOKUP(VLOOKUP(M82,Tbl_Effect[],3,FALSE),EffectName[],IFERROR(MATCH(UI!$B$1,EffectName[#Headers],0),2),FALSE))</f>
        <v>【復仇者】發動絕活時，能強化家人與我方人物</v>
      </c>
      <c r="O82" t="str">
        <f t="shared" si="9"/>
        <v>7031900-使出致命一擊時，能獲得盧恩</v>
      </c>
      <c r="P82">
        <v>7031900</v>
      </c>
      <c r="Q82" t="str">
        <f>IF(VALUE(P82)=0,"",VLOOKUP(VLOOKUP(P82,Tbl_Effect[],3,FALSE),EffectName[],IFERROR(MATCH(UI!$B$1,EffectName[#Headers],0),2),FALSE))</f>
        <v>使出致命一擊時，能獲得盧恩</v>
      </c>
      <c r="R82" t="str">
        <f t="shared" si="10"/>
        <v>7031900-使出致命一擊時，能獲得盧恩</v>
      </c>
      <c r="S82">
        <v>7031900</v>
      </c>
      <c r="T82" t="str">
        <f>IF(VALUE(S82)=0,"",VLOOKUP(VLOOKUP(S82,Tbl_Effect[],3,FALSE),EffectName[],IFERROR(MATCH(UI!$B$1,EffectName[#Headers],0),2),FALSE))</f>
        <v>使出致命一擊時，能獲得盧恩</v>
      </c>
      <c r="U82" t="str">
        <f t="shared" si="11"/>
        <v/>
      </c>
      <c r="V82">
        <v>0</v>
      </c>
      <c r="W82" t="str">
        <f>IF(V82&lt;&gt;0,VLOOKUP(VLOOKUP(V82,Tbl_Effect[],3,FALSE),EffectName[],IFERROR(MATCH(UI!$B$1,EffectName[#Headers],0),2),FALSE),"")</f>
        <v/>
      </c>
      <c r="X82" t="str">
        <f t="shared" si="12"/>
        <v/>
      </c>
      <c r="Y82">
        <v>0</v>
      </c>
      <c r="Z82" t="str">
        <f>IF(Y82&lt;&gt;0,VLOOKUP(VLOOKUP(Y82,Tbl_Effect[],3,FALSE),EffectName[],IFERROR(MATCH(UI!$B$1,EffectName[#Headers],0),2),FALSE),"")</f>
        <v/>
      </c>
      <c r="AA82" t="str">
        <f t="shared" si="13"/>
        <v/>
      </c>
      <c r="AB82">
        <v>0</v>
      </c>
      <c r="AC82" t="str">
        <f>IF(AB82&lt;&gt;0,VLOOKUP(VLOOKUP(AB82,Tbl_Effect[],3,FALSE),EffectName[],IFERROR(MATCH(UI!$B$1,EffectName[#Headers],0),2),FALSE),"")</f>
        <v/>
      </c>
      <c r="AE82">
        <v>7031200</v>
      </c>
      <c r="AF82">
        <v>7031900</v>
      </c>
      <c r="AG82">
        <v>7031900</v>
      </c>
    </row>
    <row r="83" spans="8:33" x14ac:dyDescent="0.4">
      <c r="H83" t="str">
        <f t="shared" si="7"/>
        <v>1000-細膩的火燃情景 (紅)</v>
      </c>
      <c r="I83">
        <v>1000</v>
      </c>
      <c r="J83" t="str">
        <f>_xlfn.IFNA(IF(I83&lt;&gt;0,VLOOKUP(VLOOKUP(I83,Tbl_Equip[],2,FALSE),Tbl_Color[],IFERROR(MATCH(UI!$B$1,Tbl_Color[#Headers],0),2),FALSE),""),"Unset")</f>
        <v>紅</v>
      </c>
      <c r="K83" t="str">
        <f>_xlfn.IFNA(IF(I83&lt;&gt;0,VLOOKUP(I83,ItemText[],IFERROR(MATCH(UI!$B$1,ItemText[#Headers],0),2),FALSE),""),"Unset")</f>
        <v>細膩的火燃情景</v>
      </c>
      <c r="L83" t="str">
        <f t="shared" si="8"/>
        <v>7031300-【無賴】在技藝發動期間，受到攻擊時
　能提升攻擊力與精力上限</v>
      </c>
      <c r="M83">
        <v>7031300</v>
      </c>
      <c r="N83" t="str">
        <f>IF(VALUE(M83)=0,"",VLOOKUP(VLOOKUP(M83,Tbl_Effect[],3,FALSE),EffectName[],IFERROR(MATCH(UI!$B$1,EffectName[#Headers],0),2),FALSE))</f>
        <v>【無賴】在技藝發動期間，受到攻擊時
　能提升攻擊力與精力上限</v>
      </c>
      <c r="O83" t="str">
        <f t="shared" si="9"/>
        <v>7032200-受到攻擊時，能提升攻擊力</v>
      </c>
      <c r="P83">
        <v>7032200</v>
      </c>
      <c r="Q83" t="str">
        <f>IF(VALUE(P83)=0,"",VLOOKUP(VLOOKUP(P83,Tbl_Effect[],3,FALSE),EffectName[],IFERROR(MATCH(UI!$B$1,EffectName[#Headers],0),2),FALSE))</f>
        <v>受到攻擊時，能提升攻擊力</v>
      </c>
      <c r="R83" t="str">
        <f t="shared" si="10"/>
        <v>7032200-受到攻擊時，能提升攻擊力</v>
      </c>
      <c r="S83">
        <v>7032200</v>
      </c>
      <c r="T83" t="str">
        <f>IF(VALUE(S83)=0,"",VLOOKUP(VLOOKUP(S83,Tbl_Effect[],3,FALSE),EffectName[],IFERROR(MATCH(UI!$B$1,EffectName[#Headers],0),2),FALSE))</f>
        <v>受到攻擊時，能提升攻擊力</v>
      </c>
      <c r="U83" t="str">
        <f t="shared" si="11"/>
        <v/>
      </c>
      <c r="V83">
        <v>0</v>
      </c>
      <c r="W83" t="str">
        <f>IF(V83&lt;&gt;0,VLOOKUP(VLOOKUP(V83,Tbl_Effect[],3,FALSE),EffectName[],IFERROR(MATCH(UI!$B$1,EffectName[#Headers],0),2),FALSE),"")</f>
        <v/>
      </c>
      <c r="X83" t="str">
        <f t="shared" si="12"/>
        <v/>
      </c>
      <c r="Y83">
        <v>0</v>
      </c>
      <c r="Z83" t="str">
        <f>IF(Y83&lt;&gt;0,VLOOKUP(VLOOKUP(Y83,Tbl_Effect[],3,FALSE),EffectName[],IFERROR(MATCH(UI!$B$1,EffectName[#Headers],0),2),FALSE),"")</f>
        <v/>
      </c>
      <c r="AA83" t="str">
        <f t="shared" si="13"/>
        <v/>
      </c>
      <c r="AB83">
        <v>0</v>
      </c>
      <c r="AC83" t="str">
        <f>IF(AB83&lt;&gt;0,VLOOKUP(VLOOKUP(AB83,Tbl_Effect[],3,FALSE),EffectName[],IFERROR(MATCH(UI!$B$1,EffectName[#Headers],0),2),FALSE),"")</f>
        <v/>
      </c>
      <c r="AE83">
        <v>7031300</v>
      </c>
      <c r="AF83">
        <v>7032200</v>
      </c>
      <c r="AG83">
        <v>7032200</v>
      </c>
    </row>
    <row r="84" spans="8:33" x14ac:dyDescent="0.4">
      <c r="H84" t="str">
        <f t="shared" si="7"/>
        <v>1010-細膩的水滴情景 (藍)</v>
      </c>
      <c r="I84">
        <v>1010</v>
      </c>
      <c r="J84" t="str">
        <f>_xlfn.IFNA(IF(I84&lt;&gt;0,VLOOKUP(VLOOKUP(I84,Tbl_Equip[],2,FALSE),Tbl_Color[],IFERROR(MATCH(UI!$B$1,Tbl_Color[#Headers],0),2),FALSE),""),"Unset")</f>
        <v>藍</v>
      </c>
      <c r="K84" t="str">
        <f>_xlfn.IFNA(IF(I84&lt;&gt;0,VLOOKUP(I84,ItemText[],IFERROR(MATCH(UI!$B$1,ItemText[#Headers],0),2),FALSE),""),"Unset")</f>
        <v>細膩的水滴情景</v>
      </c>
      <c r="L84" t="str">
        <f t="shared" si="8"/>
        <v>7031800-【女爵】從背後使出致命一擊後
　自己的身影會變得難以辨識，並消除腳步聲</v>
      </c>
      <c r="M84">
        <v>7031800</v>
      </c>
      <c r="N84" t="str">
        <f>IF(VALUE(M84)=0,"",VLOOKUP(VLOOKUP(M84,Tbl_Effect[],3,FALSE),EffectName[],IFERROR(MATCH(UI!$B$1,EffectName[#Headers],0),2),FALSE))</f>
        <v>【女爵】從背後使出致命一擊後
　自己的身影會變得難以辨識，並消除腳步聲</v>
      </c>
      <c r="O84" t="str">
        <f t="shared" si="9"/>
        <v>7032400-【追蹤者】發動能力時，能累積絕活量表</v>
      </c>
      <c r="P84">
        <v>7032400</v>
      </c>
      <c r="Q84" t="str">
        <f>IF(VALUE(P84)=0,"",VLOOKUP(VLOOKUP(P84,Tbl_Effect[],3,FALSE),EffectName[],IFERROR(MATCH(UI!$B$1,EffectName[#Headers],0),2),FALSE))</f>
        <v>【追蹤者】發動能力時，能累積絕活量表</v>
      </c>
      <c r="R84" t="str">
        <f t="shared" si="10"/>
        <v>7032400-【追蹤者】發動能力時，能累積絕活量表</v>
      </c>
      <c r="S84">
        <v>7032400</v>
      </c>
      <c r="T84" t="str">
        <f>IF(VALUE(S84)=0,"",VLOOKUP(VLOOKUP(S84,Tbl_Effect[],3,FALSE),EffectName[],IFERROR(MATCH(UI!$B$1,EffectName[#Headers],0),2),FALSE))</f>
        <v>【追蹤者】發動能力時，能累積絕活量表</v>
      </c>
      <c r="U84" t="str">
        <f t="shared" si="11"/>
        <v/>
      </c>
      <c r="V84">
        <v>0</v>
      </c>
      <c r="W84" t="str">
        <f>IF(V84&lt;&gt;0,VLOOKUP(VLOOKUP(V84,Tbl_Effect[],3,FALSE),EffectName[],IFERROR(MATCH(UI!$B$1,EffectName[#Headers],0),2),FALSE),"")</f>
        <v/>
      </c>
      <c r="X84" t="str">
        <f t="shared" si="12"/>
        <v/>
      </c>
      <c r="Y84">
        <v>0</v>
      </c>
      <c r="Z84" t="str">
        <f>IF(Y84&lt;&gt;0,VLOOKUP(VLOOKUP(Y84,Tbl_Effect[],3,FALSE),EffectName[],IFERROR(MATCH(UI!$B$1,EffectName[#Headers],0),2),FALSE),"")</f>
        <v/>
      </c>
      <c r="AA84" t="str">
        <f t="shared" si="13"/>
        <v/>
      </c>
      <c r="AB84">
        <v>0</v>
      </c>
      <c r="AC84" t="str">
        <f>IF(AB84&lt;&gt;0,VLOOKUP(VLOOKUP(AB84,Tbl_Effect[],3,FALSE),EffectName[],IFERROR(MATCH(UI!$B$1,EffectName[#Headers],0),2),FALSE),"")</f>
        <v/>
      </c>
      <c r="AE84">
        <v>7031800</v>
      </c>
      <c r="AF84">
        <v>7032400</v>
      </c>
      <c r="AG84">
        <v>7032400</v>
      </c>
    </row>
    <row r="85" spans="8:33" x14ac:dyDescent="0.4">
      <c r="H85" t="str">
        <f t="shared" si="7"/>
        <v>1020-細膩的光耀情景 (黃)</v>
      </c>
      <c r="I85">
        <v>1020</v>
      </c>
      <c r="J85" t="str">
        <f>_xlfn.IFNA(IF(I85&lt;&gt;0,VLOOKUP(VLOOKUP(I85,Tbl_Equip[],2,FALSE),Tbl_Color[],IFERROR(MATCH(UI!$B$1,Tbl_Color[#Headers],0),2),FALSE),""),"Unset")</f>
        <v>黃</v>
      </c>
      <c r="K85" t="str">
        <f>_xlfn.IFNA(IF(I85&lt;&gt;0,VLOOKUP(I85,ItemText[],IFERROR(MATCH(UI!$B$1,ItemText[#Headers],0),2),FALSE),""),"Unset")</f>
        <v>細膩的光耀情景</v>
      </c>
      <c r="L85" t="str">
        <f t="shared" si="8"/>
        <v>7031900-使出致命一擊時，能獲得盧恩</v>
      </c>
      <c r="M85">
        <v>7031900</v>
      </c>
      <c r="N85" t="str">
        <f>IF(VALUE(M85)=0,"",VLOOKUP(VLOOKUP(M85,Tbl_Effect[],3,FALSE),EffectName[],IFERROR(MATCH(UI!$B$1,EffectName[#Headers],0),2),FALSE))</f>
        <v>使出致命一擊時，能獲得盧恩</v>
      </c>
      <c r="O85" t="str">
        <f t="shared" si="9"/>
        <v>7032700-【女爵】在絕活發動期間，打倒敵人時能提升攻擊力</v>
      </c>
      <c r="P85">
        <v>7032700</v>
      </c>
      <c r="Q85" t="str">
        <f>IF(VALUE(P85)=0,"",VLOOKUP(VLOOKUP(P85,Tbl_Effect[],3,FALSE),EffectName[],IFERROR(MATCH(UI!$B$1,EffectName[#Headers],0),2),FALSE))</f>
        <v>【女爵】在絕活發動期間，打倒敵人時能提升攻擊力</v>
      </c>
      <c r="R85" t="str">
        <f t="shared" si="10"/>
        <v>7032700-【女爵】在絕活發動期間，打倒敵人時能提升攻擊力</v>
      </c>
      <c r="S85">
        <v>7032700</v>
      </c>
      <c r="T85" t="str">
        <f>IF(VALUE(S85)=0,"",VLOOKUP(VLOOKUP(S85,Tbl_Effect[],3,FALSE),EffectName[],IFERROR(MATCH(UI!$B$1,EffectName[#Headers],0),2),FALSE))</f>
        <v>【女爵】在絕活發動期間，打倒敵人時能提升攻擊力</v>
      </c>
      <c r="U85" t="str">
        <f t="shared" si="11"/>
        <v/>
      </c>
      <c r="V85">
        <v>0</v>
      </c>
      <c r="W85" t="str">
        <f>IF(V85&lt;&gt;0,VLOOKUP(VLOOKUP(V85,Tbl_Effect[],3,FALSE),EffectName[],IFERROR(MATCH(UI!$B$1,EffectName[#Headers],0),2),FALSE),"")</f>
        <v/>
      </c>
      <c r="X85" t="str">
        <f t="shared" si="12"/>
        <v/>
      </c>
      <c r="Y85">
        <v>0</v>
      </c>
      <c r="Z85" t="str">
        <f>IF(Y85&lt;&gt;0,VLOOKUP(VLOOKUP(Y85,Tbl_Effect[],3,FALSE),EffectName[],IFERROR(MATCH(UI!$B$1,EffectName[#Headers],0),2),FALSE),"")</f>
        <v/>
      </c>
      <c r="AA85" t="str">
        <f t="shared" si="13"/>
        <v/>
      </c>
      <c r="AB85">
        <v>0</v>
      </c>
      <c r="AC85" t="str">
        <f>IF(AB85&lt;&gt;0,VLOOKUP(VLOOKUP(AB85,Tbl_Effect[],3,FALSE),EffectName[],IFERROR(MATCH(UI!$B$1,EffectName[#Headers],0),2),FALSE),"")</f>
        <v/>
      </c>
      <c r="AE85">
        <v>7031900</v>
      </c>
      <c r="AF85">
        <v>7032700</v>
      </c>
      <c r="AG85">
        <v>7032700</v>
      </c>
    </row>
    <row r="86" spans="8:33" x14ac:dyDescent="0.4">
      <c r="H86" t="str">
        <f t="shared" si="7"/>
        <v>1030-細膩的幽靜情景 (綠)</v>
      </c>
      <c r="I86">
        <v>1030</v>
      </c>
      <c r="J86" t="str">
        <f>_xlfn.IFNA(IF(I86&lt;&gt;0,VLOOKUP(VLOOKUP(I86,Tbl_Equip[],2,FALSE),Tbl_Color[],IFERROR(MATCH(UI!$B$1,Tbl_Color[#Headers],0),2),FALSE),""),"Unset")</f>
        <v>綠</v>
      </c>
      <c r="K86" t="str">
        <f>_xlfn.IFNA(IF(I86&lt;&gt;0,VLOOKUP(I86,ItemText[],IFERROR(MATCH(UI!$B$1,ItemText[#Headers],0),2),FALSE),""),"Unset")</f>
        <v>細膩的幽靜情景</v>
      </c>
      <c r="L86" t="str">
        <f t="shared" si="8"/>
        <v>7032200-受到攻擊時，能提升攻擊力</v>
      </c>
      <c r="M86">
        <v>7032200</v>
      </c>
      <c r="N86" t="str">
        <f>IF(VALUE(M86)=0,"",VLOOKUP(VLOOKUP(M86,Tbl_Effect[],3,FALSE),EffectName[],IFERROR(MATCH(UI!$B$1,EffectName[#Headers],0),2),FALSE))</f>
        <v>受到攻擊時，能提升攻擊力</v>
      </c>
      <c r="O86" t="str">
        <f t="shared" si="9"/>
        <v>7032800-【隱士】收集屬性痕時，能觸發「魔法之境」</v>
      </c>
      <c r="P86">
        <v>7032800</v>
      </c>
      <c r="Q86" t="str">
        <f>IF(VALUE(P86)=0,"",VLOOKUP(VLOOKUP(P86,Tbl_Effect[],3,FALSE),EffectName[],IFERROR(MATCH(UI!$B$1,EffectName[#Headers],0),2),FALSE))</f>
        <v>【隱士】收集屬性痕時，能觸發「魔法之境」</v>
      </c>
      <c r="R86" t="str">
        <f t="shared" si="10"/>
        <v>7032800-【隱士】收集屬性痕時，能觸發「魔法之境」</v>
      </c>
      <c r="S86">
        <v>7032800</v>
      </c>
      <c r="T86" t="str">
        <f>IF(VALUE(S86)=0,"",VLOOKUP(VLOOKUP(S86,Tbl_Effect[],3,FALSE),EffectName[],IFERROR(MATCH(UI!$B$1,EffectName[#Headers],0),2),FALSE))</f>
        <v>【隱士】收集屬性痕時，能觸發「魔法之境」</v>
      </c>
      <c r="U86" t="str">
        <f t="shared" si="11"/>
        <v/>
      </c>
      <c r="V86">
        <v>0</v>
      </c>
      <c r="W86" t="str">
        <f>IF(V86&lt;&gt;0,VLOOKUP(VLOOKUP(V86,Tbl_Effect[],3,FALSE),EffectName[],IFERROR(MATCH(UI!$B$1,EffectName[#Headers],0),2),FALSE),"")</f>
        <v/>
      </c>
      <c r="X86" t="str">
        <f t="shared" si="12"/>
        <v/>
      </c>
      <c r="Y86">
        <v>0</v>
      </c>
      <c r="Z86" t="str">
        <f>IF(Y86&lt;&gt;0,VLOOKUP(VLOOKUP(Y86,Tbl_Effect[],3,FALSE),EffectName[],IFERROR(MATCH(UI!$B$1,EffectName[#Headers],0),2),FALSE),"")</f>
        <v/>
      </c>
      <c r="AA86" t="str">
        <f t="shared" si="13"/>
        <v/>
      </c>
      <c r="AB86">
        <v>0</v>
      </c>
      <c r="AC86" t="str">
        <f>IF(AB86&lt;&gt;0,VLOOKUP(VLOOKUP(AB86,Tbl_Effect[],3,FALSE),EffectName[],IFERROR(MATCH(UI!$B$1,EffectName[#Headers],0),2),FALSE),"")</f>
        <v/>
      </c>
      <c r="AE86">
        <v>7032200</v>
      </c>
      <c r="AF86">
        <v>7032800</v>
      </c>
      <c r="AG86">
        <v>7032800</v>
      </c>
    </row>
    <row r="87" spans="8:33" x14ac:dyDescent="0.4">
      <c r="H87" t="str">
        <f t="shared" si="7"/>
        <v>1040-端正的火燃情景 (紅)</v>
      </c>
      <c r="I87">
        <v>1040</v>
      </c>
      <c r="J87" t="str">
        <f>_xlfn.IFNA(IF(I87&lt;&gt;0,VLOOKUP(VLOOKUP(I87,Tbl_Equip[],2,FALSE),Tbl_Color[],IFERROR(MATCH(UI!$B$1,Tbl_Color[#Headers],0),2),FALSE),""),"Unset")</f>
        <v>紅</v>
      </c>
      <c r="K87" t="str">
        <f>_xlfn.IFNA(IF(I87&lt;&gt;0,VLOOKUP(I87,ItemText[],IFERROR(MATCH(UI!$B$1,ItemText[#Headers],0),2),FALSE),""),"Unset")</f>
        <v>端正的火燃情景</v>
      </c>
      <c r="L87" t="str">
        <f t="shared" si="8"/>
        <v>7032400-【追蹤者】發動能力時，能累積絕活量表</v>
      </c>
      <c r="M87">
        <v>7032400</v>
      </c>
      <c r="N87" t="str">
        <f>IF(VALUE(M87)=0,"",VLOOKUP(VLOOKUP(M87,Tbl_Effect[],3,FALSE),EffectName[],IFERROR(MATCH(UI!$B$1,EffectName[#Headers],0),2),FALSE))</f>
        <v>【追蹤者】發動能力時，能累積絕活量表</v>
      </c>
      <c r="O87" t="str">
        <f t="shared" si="9"/>
        <v>7032900-【隱士】發動絕活時
　自己陷入異常狀態出血，提升攻擊力</v>
      </c>
      <c r="P87">
        <v>7032900</v>
      </c>
      <c r="Q87" t="str">
        <f>IF(VALUE(P87)=0,"",VLOOKUP(VLOOKUP(P87,Tbl_Effect[],3,FALSE),EffectName[],IFERROR(MATCH(UI!$B$1,EffectName[#Headers],0),2),FALSE))</f>
        <v>【隱士】發動絕活時
　自己陷入異常狀態出血，提升攻擊力</v>
      </c>
      <c r="R87" t="str">
        <f t="shared" si="10"/>
        <v>7032900-【隱士】發動絕活時
　自己陷入異常狀態出血，提升攻擊力</v>
      </c>
      <c r="S87">
        <v>7032900</v>
      </c>
      <c r="T87" t="str">
        <f>IF(VALUE(S87)=0,"",VLOOKUP(VLOOKUP(S87,Tbl_Effect[],3,FALSE),EffectName[],IFERROR(MATCH(UI!$B$1,EffectName[#Headers],0),2),FALSE))</f>
        <v>【隱士】發動絕活時
　自己陷入異常狀態出血，提升攻擊力</v>
      </c>
      <c r="U87" t="str">
        <f t="shared" si="11"/>
        <v/>
      </c>
      <c r="V87">
        <v>0</v>
      </c>
      <c r="W87" t="str">
        <f>IF(V87&lt;&gt;0,VLOOKUP(VLOOKUP(V87,Tbl_Effect[],3,FALSE),EffectName[],IFERROR(MATCH(UI!$B$1,EffectName[#Headers],0),2),FALSE),"")</f>
        <v/>
      </c>
      <c r="X87" t="str">
        <f t="shared" si="12"/>
        <v/>
      </c>
      <c r="Y87">
        <v>0</v>
      </c>
      <c r="Z87" t="str">
        <f>IF(Y87&lt;&gt;0,VLOOKUP(VLOOKUP(Y87,Tbl_Effect[],3,FALSE),EffectName[],IFERROR(MATCH(UI!$B$1,EffectName[#Headers],0),2),FALSE),"")</f>
        <v/>
      </c>
      <c r="AA87" t="str">
        <f t="shared" si="13"/>
        <v/>
      </c>
      <c r="AB87">
        <v>0</v>
      </c>
      <c r="AC87" t="str">
        <f>IF(AB87&lt;&gt;0,VLOOKUP(VLOOKUP(AB87,Tbl_Effect[],3,FALSE),EffectName[],IFERROR(MATCH(UI!$B$1,EffectName[#Headers],0),2),FALSE),"")</f>
        <v/>
      </c>
      <c r="AE87">
        <v>7032400</v>
      </c>
      <c r="AF87">
        <v>7032900</v>
      </c>
      <c r="AG87">
        <v>7032900</v>
      </c>
    </row>
    <row r="88" spans="8:33" x14ac:dyDescent="0.4">
      <c r="H88" t="str">
        <f t="shared" si="7"/>
        <v>1050-細膩的光耀情景 (黃)</v>
      </c>
      <c r="I88">
        <v>1050</v>
      </c>
      <c r="J88" t="str">
        <f>_xlfn.IFNA(IF(I88&lt;&gt;0,VLOOKUP(VLOOKUP(I88,Tbl_Equip[],2,FALSE),Tbl_Color[],IFERROR(MATCH(UI!$B$1,Tbl_Color[#Headers],0),2),FALSE),""),"Unset")</f>
        <v>黃</v>
      </c>
      <c r="K88" t="str">
        <f>_xlfn.IFNA(IF(I88&lt;&gt;0,VLOOKUP(I88,ItemText[],IFERROR(MATCH(UI!$B$1,ItemText[#Headers],0),2),FALSE),""),"Unset")</f>
        <v>細膩的光耀情景</v>
      </c>
      <c r="L88" t="str">
        <f t="shared" si="8"/>
        <v>7032700-【女爵】在絕活發動期間，打倒敵人時能提升攻擊力</v>
      </c>
      <c r="M88">
        <v>7032700</v>
      </c>
      <c r="N88" t="str">
        <f>IF(VALUE(M88)=0,"",VLOOKUP(VLOOKUP(M88,Tbl_Effect[],3,FALSE),EffectName[],IFERROR(MATCH(UI!$B$1,EffectName[#Headers],0),2),FALSE))</f>
        <v>【女爵】在絕活發動期間，打倒敵人時能提升攻擊力</v>
      </c>
      <c r="O88" t="str">
        <f t="shared" si="9"/>
        <v>7033200-【追蹤者】技藝的使用次數＋１</v>
      </c>
      <c r="P88">
        <v>7033200</v>
      </c>
      <c r="Q88" t="str">
        <f>IF(VALUE(P88)=0,"",VLOOKUP(VLOOKUP(P88,Tbl_Effect[],3,FALSE),EffectName[],IFERROR(MATCH(UI!$B$1,EffectName[#Headers],0),2),FALSE))</f>
        <v>【追蹤者】技藝的使用次數＋１</v>
      </c>
      <c r="R88" t="str">
        <f t="shared" si="10"/>
        <v>7033200-【追蹤者】技藝的使用次數＋１</v>
      </c>
      <c r="S88">
        <v>7033200</v>
      </c>
      <c r="T88" t="str">
        <f>IF(VALUE(S88)=0,"",VLOOKUP(VLOOKUP(S88,Tbl_Effect[],3,FALSE),EffectName[],IFERROR(MATCH(UI!$B$1,EffectName[#Headers],0),2),FALSE))</f>
        <v>【追蹤者】技藝的使用次數＋１</v>
      </c>
      <c r="U88" t="str">
        <f t="shared" si="11"/>
        <v/>
      </c>
      <c r="V88">
        <v>0</v>
      </c>
      <c r="W88" t="str">
        <f>IF(V88&lt;&gt;0,VLOOKUP(VLOOKUP(V88,Tbl_Effect[],3,FALSE),EffectName[],IFERROR(MATCH(UI!$B$1,EffectName[#Headers],0),2),FALSE),"")</f>
        <v/>
      </c>
      <c r="X88" t="str">
        <f t="shared" si="12"/>
        <v/>
      </c>
      <c r="Y88">
        <v>0</v>
      </c>
      <c r="Z88" t="str">
        <f>IF(Y88&lt;&gt;0,VLOOKUP(VLOOKUP(Y88,Tbl_Effect[],3,FALSE),EffectName[],IFERROR(MATCH(UI!$B$1,EffectName[#Headers],0),2),FALSE),"")</f>
        <v/>
      </c>
      <c r="AA88" t="str">
        <f t="shared" si="13"/>
        <v/>
      </c>
      <c r="AB88">
        <v>0</v>
      </c>
      <c r="AC88" t="str">
        <f>IF(AB88&lt;&gt;0,VLOOKUP(VLOOKUP(AB88,Tbl_Effect[],3,FALSE),EffectName[],IFERROR(MATCH(UI!$B$1,EffectName[#Headers],0),2),FALSE),"")</f>
        <v/>
      </c>
      <c r="AE88">
        <v>7032700</v>
      </c>
      <c r="AF88">
        <v>7033200</v>
      </c>
      <c r="AG88">
        <v>7033200</v>
      </c>
    </row>
    <row r="89" spans="8:33" x14ac:dyDescent="0.4">
      <c r="H89" t="str">
        <f t="shared" si="7"/>
        <v>1060-端正的幽靜情景 (綠)</v>
      </c>
      <c r="I89">
        <v>1060</v>
      </c>
      <c r="J89" t="str">
        <f>_xlfn.IFNA(IF(I89&lt;&gt;0,VLOOKUP(VLOOKUP(I89,Tbl_Equip[],2,FALSE),Tbl_Color[],IFERROR(MATCH(UI!$B$1,Tbl_Color[#Headers],0),2),FALSE),""),"Unset")</f>
        <v>綠</v>
      </c>
      <c r="K89" t="str">
        <f>_xlfn.IFNA(IF(I89&lt;&gt;0,VLOOKUP(I89,ItemText[],IFERROR(MATCH(UI!$B$1,ItemText[#Headers],0),2),FALSE),""),"Unset")</f>
        <v>端正的幽靜情景</v>
      </c>
      <c r="L89" t="str">
        <f t="shared" si="8"/>
        <v>7032800-【隱士】收集屬性痕時，能觸發「魔法之境」</v>
      </c>
      <c r="M89">
        <v>7032800</v>
      </c>
      <c r="N89" t="str">
        <f>IF(VALUE(M89)=0,"",VLOOKUP(VLOOKUP(M89,Tbl_Effect[],3,FALSE),EffectName[],IFERROR(MATCH(UI!$B$1,EffectName[#Headers],0),2),FALSE))</f>
        <v>【隱士】收集屬性痕時，能觸發「魔法之境」</v>
      </c>
      <c r="O89" t="str">
        <f t="shared" si="9"/>
        <v>7033400-【守護者】在能力發動期間，防禦成功時能形成衝擊波</v>
      </c>
      <c r="P89">
        <v>7033400</v>
      </c>
      <c r="Q89" t="str">
        <f>IF(VALUE(P89)=0,"",VLOOKUP(VLOOKUP(P89,Tbl_Effect[],3,FALSE),EffectName[],IFERROR(MATCH(UI!$B$1,EffectName[#Headers],0),2),FALSE))</f>
        <v>【守護者】在能力發動期間，防禦成功時能形成衝擊波</v>
      </c>
      <c r="R89" t="str">
        <f t="shared" si="10"/>
        <v>7033400-【守護者】在能力發動期間，防禦成功時能形成衝擊波</v>
      </c>
      <c r="S89">
        <v>7033400</v>
      </c>
      <c r="T89" t="str">
        <f>IF(VALUE(S89)=0,"",VLOOKUP(VLOOKUP(S89,Tbl_Effect[],3,FALSE),EffectName[],IFERROR(MATCH(UI!$B$1,EffectName[#Headers],0),2),FALSE))</f>
        <v>【守護者】在能力發動期間，防禦成功時能形成衝擊波</v>
      </c>
      <c r="U89" t="str">
        <f t="shared" si="11"/>
        <v/>
      </c>
      <c r="V89">
        <v>0</v>
      </c>
      <c r="W89" t="str">
        <f>IF(V89&lt;&gt;0,VLOOKUP(VLOOKUP(V89,Tbl_Effect[],3,FALSE),EffectName[],IFERROR(MATCH(UI!$B$1,EffectName[#Headers],0),2),FALSE),"")</f>
        <v/>
      </c>
      <c r="X89" t="str">
        <f t="shared" si="12"/>
        <v/>
      </c>
      <c r="Y89">
        <v>0</v>
      </c>
      <c r="Z89" t="str">
        <f>IF(Y89&lt;&gt;0,VLOOKUP(VLOOKUP(Y89,Tbl_Effect[],3,FALSE),EffectName[],IFERROR(MATCH(UI!$B$1,EffectName[#Headers],0),2),FALSE),"")</f>
        <v/>
      </c>
      <c r="AA89" t="str">
        <f t="shared" si="13"/>
        <v/>
      </c>
      <c r="AB89">
        <v>0</v>
      </c>
      <c r="AC89" t="str">
        <f>IF(AB89&lt;&gt;0,VLOOKUP(VLOOKUP(AB89,Tbl_Effect[],3,FALSE),EffectName[],IFERROR(MATCH(UI!$B$1,EffectName[#Headers],0),2),FALSE),"")</f>
        <v/>
      </c>
      <c r="AE89">
        <v>7032800</v>
      </c>
      <c r="AF89">
        <v>7033400</v>
      </c>
      <c r="AG89">
        <v>7033400</v>
      </c>
    </row>
    <row r="90" spans="8:33" x14ac:dyDescent="0.4">
      <c r="H90" t="str">
        <f t="shared" si="7"/>
        <v>1070-端正的水滴情景 (藍)</v>
      </c>
      <c r="I90">
        <v>1070</v>
      </c>
      <c r="J90" t="str">
        <f>_xlfn.IFNA(IF(I90&lt;&gt;0,VLOOKUP(VLOOKUP(I90,Tbl_Equip[],2,FALSE),Tbl_Color[],IFERROR(MATCH(UI!$B$1,Tbl_Color[#Headers],0),2),FALSE),""),"Unset")</f>
        <v>藍</v>
      </c>
      <c r="K90" t="str">
        <f>_xlfn.IFNA(IF(I90&lt;&gt;0,VLOOKUP(I90,ItemText[],IFERROR(MATCH(UI!$B$1,ItemText[#Headers],0),2),FALSE),""),"Unset")</f>
        <v>端正的水滴情景</v>
      </c>
      <c r="L90" t="str">
        <f t="shared" si="8"/>
        <v>7032900-【隱士】發動絕活時
　自己陷入異常狀態出血，提升攻擊力</v>
      </c>
      <c r="M90">
        <v>7032900</v>
      </c>
      <c r="N90" t="str">
        <f>IF(VALUE(M90)=0,"",VLOOKUP(VLOOKUP(M90,Tbl_Effect[],3,FALSE),EffectName[],IFERROR(MATCH(UI!$B$1,EffectName[#Headers],0),2),FALSE))</f>
        <v>【隱士】發動絕活時
　自己陷入異常狀態出血，提升攻擊力</v>
      </c>
      <c r="O90" t="str">
        <f t="shared" si="9"/>
        <v>7034100-【隱士】發動絕活時，能提升ＨＰ上限</v>
      </c>
      <c r="P90">
        <v>7034100</v>
      </c>
      <c r="Q90" t="str">
        <f>IF(VALUE(P90)=0,"",VLOOKUP(VLOOKUP(P90,Tbl_Effect[],3,FALSE),EffectName[],IFERROR(MATCH(UI!$B$1,EffectName[#Headers],0),2),FALSE))</f>
        <v>【隱士】發動絕活時，能提升ＨＰ上限</v>
      </c>
      <c r="R90" t="str">
        <f t="shared" si="10"/>
        <v>7034100-【隱士】發動絕活時，能提升ＨＰ上限</v>
      </c>
      <c r="S90">
        <v>7034100</v>
      </c>
      <c r="T90" t="str">
        <f>IF(VALUE(S90)=0,"",VLOOKUP(VLOOKUP(S90,Tbl_Effect[],3,FALSE),EffectName[],IFERROR(MATCH(UI!$B$1,EffectName[#Headers],0),2),FALSE))</f>
        <v>【隱士】發動絕活時，能提升ＨＰ上限</v>
      </c>
      <c r="U90" t="str">
        <f t="shared" si="11"/>
        <v/>
      </c>
      <c r="V90">
        <v>0</v>
      </c>
      <c r="W90" t="str">
        <f>IF(V90&lt;&gt;0,VLOOKUP(VLOOKUP(V90,Tbl_Effect[],3,FALSE),EffectName[],IFERROR(MATCH(UI!$B$1,EffectName[#Headers],0),2),FALSE),"")</f>
        <v/>
      </c>
      <c r="X90" t="str">
        <f t="shared" si="12"/>
        <v/>
      </c>
      <c r="Y90">
        <v>0</v>
      </c>
      <c r="Z90" t="str">
        <f>IF(Y90&lt;&gt;0,VLOOKUP(VLOOKUP(Y90,Tbl_Effect[],3,FALSE),EffectName[],IFERROR(MATCH(UI!$B$1,EffectName[#Headers],0),2),FALSE),"")</f>
        <v/>
      </c>
      <c r="AA90" t="str">
        <f t="shared" si="13"/>
        <v/>
      </c>
      <c r="AB90">
        <v>0</v>
      </c>
      <c r="AC90" t="str">
        <f>IF(AB90&lt;&gt;0,VLOOKUP(VLOOKUP(AB90,Tbl_Effect[],3,FALSE),EffectName[],IFERROR(MATCH(UI!$B$1,EffectName[#Headers],0),2),FALSE),"")</f>
        <v/>
      </c>
      <c r="AE90">
        <v>7032900</v>
      </c>
      <c r="AF90">
        <v>7034100</v>
      </c>
      <c r="AG90">
        <v>7034100</v>
      </c>
    </row>
    <row r="91" spans="8:33" x14ac:dyDescent="0.4">
      <c r="H91" t="str">
        <f t="shared" si="7"/>
        <v>1080-端正的火燃情景 (紅)</v>
      </c>
      <c r="I91">
        <v>1080</v>
      </c>
      <c r="J91" t="str">
        <f>_xlfn.IFNA(IF(I91&lt;&gt;0,VLOOKUP(VLOOKUP(I91,Tbl_Equip[],2,FALSE),Tbl_Color[],IFERROR(MATCH(UI!$B$1,Tbl_Color[#Headers],0),2),FALSE),""),"Unset")</f>
        <v>紅</v>
      </c>
      <c r="K91" t="str">
        <f>_xlfn.IFNA(IF(I91&lt;&gt;0,VLOOKUP(I91,ItemText[],IFERROR(MATCH(UI!$B$1,ItemText[#Headers],0),2),FALSE),""),"Unset")</f>
        <v>端正的火燃情景</v>
      </c>
      <c r="L91" t="str">
        <f t="shared" si="8"/>
        <v>7033200-【追蹤者】技藝的使用次數＋１</v>
      </c>
      <c r="M91">
        <v>7033200</v>
      </c>
      <c r="N91" t="str">
        <f>IF(VALUE(M91)=0,"",VLOOKUP(VLOOKUP(M91,Tbl_Effect[],3,FALSE),EffectName[],IFERROR(MATCH(UI!$B$1,EffectName[#Headers],0),2),FALSE))</f>
        <v>【追蹤者】技藝的使用次數＋１</v>
      </c>
      <c r="O91" t="str">
        <f t="shared" si="9"/>
        <v>7034400-【執行者】提升技藝發動期間的攻擊力
　但攻擊時會減少ＨＰ</v>
      </c>
      <c r="P91">
        <v>7034400</v>
      </c>
      <c r="Q91" t="str">
        <f>IF(VALUE(P91)=0,"",VLOOKUP(VLOOKUP(P91,Tbl_Effect[],3,FALSE),EffectName[],IFERROR(MATCH(UI!$B$1,EffectName[#Headers],0),2),FALSE))</f>
        <v>【執行者】提升技藝發動期間的攻擊力
　但攻擊時會減少ＨＰ</v>
      </c>
      <c r="R91" t="str">
        <f t="shared" si="10"/>
        <v>7034400-【執行者】提升技藝發動期間的攻擊力
　但攻擊時會減少ＨＰ</v>
      </c>
      <c r="S91">
        <v>7034400</v>
      </c>
      <c r="T91" t="str">
        <f>IF(VALUE(S91)=0,"",VLOOKUP(VLOOKUP(S91,Tbl_Effect[],3,FALSE),EffectName[],IFERROR(MATCH(UI!$B$1,EffectName[#Headers],0),2),FALSE))</f>
        <v>【執行者】提升技藝發動期間的攻擊力
　但攻擊時會減少ＨＰ</v>
      </c>
      <c r="U91" t="str">
        <f t="shared" si="11"/>
        <v/>
      </c>
      <c r="V91">
        <v>0</v>
      </c>
      <c r="W91" t="str">
        <f>IF(V91&lt;&gt;0,VLOOKUP(VLOOKUP(V91,Tbl_Effect[],3,FALSE),EffectName[],IFERROR(MATCH(UI!$B$1,EffectName[#Headers],0),2),FALSE),"")</f>
        <v/>
      </c>
      <c r="X91" t="str">
        <f t="shared" si="12"/>
        <v/>
      </c>
      <c r="Y91">
        <v>0</v>
      </c>
      <c r="Z91" t="str">
        <f>IF(Y91&lt;&gt;0,VLOOKUP(VLOOKUP(Y91,Tbl_Effect[],3,FALSE),EffectName[],IFERROR(MATCH(UI!$B$1,EffectName[#Headers],0),2),FALSE),"")</f>
        <v/>
      </c>
      <c r="AA91" t="str">
        <f t="shared" si="13"/>
        <v/>
      </c>
      <c r="AB91">
        <v>0</v>
      </c>
      <c r="AC91" t="str">
        <f>IF(AB91&lt;&gt;0,VLOOKUP(VLOOKUP(AB91,Tbl_Effect[],3,FALSE),EffectName[],IFERROR(MATCH(UI!$B$1,EffectName[#Headers],0),2),FALSE),"")</f>
        <v/>
      </c>
      <c r="AE91">
        <v>7033200</v>
      </c>
      <c r="AF91">
        <v>7034400</v>
      </c>
      <c r="AG91">
        <v>7034400</v>
      </c>
    </row>
    <row r="92" spans="8:33" x14ac:dyDescent="0.4">
      <c r="H92" t="str">
        <f t="shared" si="7"/>
        <v>1090-端正的幽靜情景 (綠)</v>
      </c>
      <c r="I92">
        <v>1090</v>
      </c>
      <c r="J92" t="str">
        <f>_xlfn.IFNA(IF(I92&lt;&gt;0,VLOOKUP(VLOOKUP(I92,Tbl_Equip[],2,FALSE),Tbl_Color[],IFERROR(MATCH(UI!$B$1,Tbl_Color[#Headers],0),2),FALSE),""),"Unset")</f>
        <v>綠</v>
      </c>
      <c r="K92" t="str">
        <f>_xlfn.IFNA(IF(I92&lt;&gt;0,VLOOKUP(I92,ItemText[],IFERROR(MATCH(UI!$B$1,ItemText[#Headers],0),2),FALSE),""),"Unset")</f>
        <v>端正的幽靜情景</v>
      </c>
      <c r="L92" t="str">
        <f t="shared" si="8"/>
        <v>7033400-【守護者】在能力發動期間，防禦成功時能形成衝擊波</v>
      </c>
      <c r="M92">
        <v>7033400</v>
      </c>
      <c r="N92" t="str">
        <f>IF(VALUE(M92)=0,"",VLOOKUP(VLOOKUP(M92,Tbl_Effect[],3,FALSE),EffectName[],IFERROR(MATCH(UI!$B$1,EffectName[#Headers],0),2),FALSE))</f>
        <v>【守護者】在能力發動期間，防禦成功時能形成衝擊波</v>
      </c>
      <c r="O92" t="str">
        <f t="shared" si="9"/>
        <v>7034500-【執行者】在技藝發動期間
　妖刀進入解放狀態時，能恢復ＨＰ</v>
      </c>
      <c r="P92">
        <v>7034500</v>
      </c>
      <c r="Q92" t="str">
        <f>IF(VALUE(P92)=0,"",VLOOKUP(VLOOKUP(P92,Tbl_Effect[],3,FALSE),EffectName[],IFERROR(MATCH(UI!$B$1,EffectName[#Headers],0),2),FALSE))</f>
        <v>【執行者】在技藝發動期間
　妖刀進入解放狀態時，能恢復ＨＰ</v>
      </c>
      <c r="R92" t="str">
        <f t="shared" si="10"/>
        <v>7034500-【執行者】在技藝發動期間
　妖刀進入解放狀態時，能恢復ＨＰ</v>
      </c>
      <c r="S92">
        <v>7034500</v>
      </c>
      <c r="T92" t="str">
        <f>IF(VALUE(S92)=0,"",VLOOKUP(VLOOKUP(S92,Tbl_Effect[],3,FALSE),EffectName[],IFERROR(MATCH(UI!$B$1,EffectName[#Headers],0),2),FALSE))</f>
        <v>【執行者】在技藝發動期間
　妖刀進入解放狀態時，能恢復ＨＰ</v>
      </c>
      <c r="U92" t="str">
        <f t="shared" si="11"/>
        <v/>
      </c>
      <c r="V92">
        <v>0</v>
      </c>
      <c r="W92" t="str">
        <f>IF(V92&lt;&gt;0,VLOOKUP(VLOOKUP(V92,Tbl_Effect[],3,FALSE),EffectName[],IFERROR(MATCH(UI!$B$1,EffectName[#Headers],0),2),FALSE),"")</f>
        <v/>
      </c>
      <c r="X92" t="str">
        <f t="shared" si="12"/>
        <v/>
      </c>
      <c r="Y92">
        <v>0</v>
      </c>
      <c r="Z92" t="str">
        <f>IF(Y92&lt;&gt;0,VLOOKUP(VLOOKUP(Y92,Tbl_Effect[],3,FALSE),EffectName[],IFERROR(MATCH(UI!$B$1,EffectName[#Headers],0),2),FALSE),"")</f>
        <v/>
      </c>
      <c r="AA92" t="str">
        <f t="shared" si="13"/>
        <v/>
      </c>
      <c r="AB92">
        <v>0</v>
      </c>
      <c r="AC92" t="str">
        <f>IF(AB92&lt;&gt;0,VLOOKUP(VLOOKUP(AB92,Tbl_Effect[],3,FALSE),EffectName[],IFERROR(MATCH(UI!$B$1,EffectName[#Headers],0),2),FALSE),"")</f>
        <v/>
      </c>
      <c r="AE92">
        <v>7033400</v>
      </c>
      <c r="AF92">
        <v>7034500</v>
      </c>
      <c r="AG92">
        <v>7034500</v>
      </c>
    </row>
    <row r="93" spans="8:33" x14ac:dyDescent="0.4">
      <c r="H93" t="str">
        <f t="shared" si="7"/>
        <v>1100-端正的幽靜情景 (綠)</v>
      </c>
      <c r="I93">
        <v>1100</v>
      </c>
      <c r="J93" t="str">
        <f>_xlfn.IFNA(IF(I93&lt;&gt;0,VLOOKUP(VLOOKUP(I93,Tbl_Equip[],2,FALSE),Tbl_Color[],IFERROR(MATCH(UI!$B$1,Tbl_Color[#Headers],0),2),FALSE),""),"Unset")</f>
        <v>綠</v>
      </c>
      <c r="K93" t="str">
        <f>_xlfn.IFNA(IF(I93&lt;&gt;0,VLOOKUP(I93,ItemText[],IFERROR(MATCH(UI!$B$1,ItemText[#Headers],0),2),FALSE),""),"Unset")</f>
        <v>端正的幽靜情景</v>
      </c>
      <c r="L93" t="str">
        <f t="shared" si="8"/>
        <v>7034100-【隱士】發動絕活時，能提升ＨＰ上限</v>
      </c>
      <c r="M93">
        <v>7034100</v>
      </c>
      <c r="N93" t="str">
        <f>IF(VALUE(M93)=0,"",VLOOKUP(VLOOKUP(M93,Tbl_Effect[],3,FALSE),EffectName[],IFERROR(MATCH(UI!$B$1,EffectName[#Headers],0),2),FALSE))</f>
        <v>【隱士】發動絕活時，能提升ＨＰ上限</v>
      </c>
      <c r="O93" t="str">
        <f t="shared" si="9"/>
        <v>7034600-【鐵之眼】蓄力發動絕活時，附加異常狀態中毒</v>
      </c>
      <c r="P93">
        <v>7034600</v>
      </c>
      <c r="Q93" t="str">
        <f>IF(VALUE(P93)=0,"",VLOOKUP(VLOOKUP(P93,Tbl_Effect[],3,FALSE),EffectName[],IFERROR(MATCH(UI!$B$1,EffectName[#Headers],0),2),FALSE))</f>
        <v>【鐵之眼】蓄力發動絕活時，附加異常狀態中毒</v>
      </c>
      <c r="R93" t="str">
        <f t="shared" si="10"/>
        <v>7034600-【鐵之眼】蓄力發動絕活時，附加異常狀態中毒</v>
      </c>
      <c r="S93">
        <v>7034600</v>
      </c>
      <c r="T93" t="str">
        <f>IF(VALUE(S93)=0,"",VLOOKUP(VLOOKUP(S93,Tbl_Effect[],3,FALSE),EffectName[],IFERROR(MATCH(UI!$B$1,EffectName[#Headers],0),2),FALSE))</f>
        <v>【鐵之眼】蓄力發動絕活時，附加異常狀態中毒</v>
      </c>
      <c r="U93" t="str">
        <f t="shared" si="11"/>
        <v/>
      </c>
      <c r="V93">
        <v>0</v>
      </c>
      <c r="W93" t="str">
        <f>IF(V93&lt;&gt;0,VLOOKUP(VLOOKUP(V93,Tbl_Effect[],3,FALSE),EffectName[],IFERROR(MATCH(UI!$B$1,EffectName[#Headers],0),2),FALSE),"")</f>
        <v/>
      </c>
      <c r="X93" t="str">
        <f t="shared" si="12"/>
        <v/>
      </c>
      <c r="Y93">
        <v>0</v>
      </c>
      <c r="Z93" t="str">
        <f>IF(Y93&lt;&gt;0,VLOOKUP(VLOOKUP(Y93,Tbl_Effect[],3,FALSE),EffectName[],IFERROR(MATCH(UI!$B$1,EffectName[#Headers],0),2),FALSE),"")</f>
        <v/>
      </c>
      <c r="AA93" t="str">
        <f t="shared" si="13"/>
        <v/>
      </c>
      <c r="AB93">
        <v>0</v>
      </c>
      <c r="AC93" t="str">
        <f>IF(AB93&lt;&gt;0,VLOOKUP(VLOOKUP(AB93,Tbl_Effect[],3,FALSE),EffectName[],IFERROR(MATCH(UI!$B$1,EffectName[#Headers],0),2),FALSE),"")</f>
        <v/>
      </c>
      <c r="AE93">
        <v>7034100</v>
      </c>
      <c r="AF93">
        <v>7034600</v>
      </c>
      <c r="AG93">
        <v>7034600</v>
      </c>
    </row>
    <row r="94" spans="8:33" x14ac:dyDescent="0.4">
      <c r="H94" t="str">
        <f t="shared" si="7"/>
        <v>1110-端正的火燃情景 (紅)</v>
      </c>
      <c r="I94">
        <v>1110</v>
      </c>
      <c r="J94" t="str">
        <f>_xlfn.IFNA(IF(I94&lt;&gt;0,VLOOKUP(VLOOKUP(I94,Tbl_Equip[],2,FALSE),Tbl_Color[],IFERROR(MATCH(UI!$B$1,Tbl_Color[#Headers],0),2),FALSE),""),"Unset")</f>
        <v>紅</v>
      </c>
      <c r="K94" t="str">
        <f>_xlfn.IFNA(IF(I94&lt;&gt;0,VLOOKUP(I94,ItemText[],IFERROR(MATCH(UI!$B$1,ItemText[#Headers],0),2),FALSE),""),"Unset")</f>
        <v>端正的火燃情景</v>
      </c>
      <c r="L94" t="str">
        <f t="shared" si="8"/>
        <v>7034400-【執行者】提升技藝發動期間的攻擊力
　但攻擊時會減少ＨＰ</v>
      </c>
      <c r="M94">
        <v>7034400</v>
      </c>
      <c r="N94" t="str">
        <f>IF(VALUE(M94)=0,"",VLOOKUP(VLOOKUP(M94,Tbl_Effect[],3,FALSE),EffectName[],IFERROR(MATCH(UI!$B$1,EffectName[#Headers],0),2),FALSE))</f>
        <v>【執行者】提升技藝發動期間的攻擊力
　但攻擊時會減少ＨＰ</v>
      </c>
      <c r="O94" t="str">
        <f t="shared" si="9"/>
        <v>7034700-【鐵之眼】發動絕活後，強化突刺反擊</v>
      </c>
      <c r="P94">
        <v>7034700</v>
      </c>
      <c r="Q94" t="str">
        <f>IF(VALUE(P94)=0,"",VLOOKUP(VLOOKUP(P94,Tbl_Effect[],3,FALSE),EffectName[],IFERROR(MATCH(UI!$B$1,EffectName[#Headers],0),2),FALSE))</f>
        <v>【鐵之眼】發動絕活後，強化突刺反擊</v>
      </c>
      <c r="R94" t="str">
        <f t="shared" si="10"/>
        <v>7034700-【鐵之眼】發動絕活後，強化突刺反擊</v>
      </c>
      <c r="S94">
        <v>7034700</v>
      </c>
      <c r="T94" t="str">
        <f>IF(VALUE(S94)=0,"",VLOOKUP(VLOOKUP(S94,Tbl_Effect[],3,FALSE),EffectName[],IFERROR(MATCH(UI!$B$1,EffectName[#Headers],0),2),FALSE))</f>
        <v>【鐵之眼】發動絕活後，強化突刺反擊</v>
      </c>
      <c r="U94" t="str">
        <f t="shared" si="11"/>
        <v/>
      </c>
      <c r="V94">
        <v>0</v>
      </c>
      <c r="W94" t="str">
        <f>IF(V94&lt;&gt;0,VLOOKUP(VLOOKUP(V94,Tbl_Effect[],3,FALSE),EffectName[],IFERROR(MATCH(UI!$B$1,EffectName[#Headers],0),2),FALSE),"")</f>
        <v/>
      </c>
      <c r="X94" t="str">
        <f t="shared" si="12"/>
        <v/>
      </c>
      <c r="Y94">
        <v>0</v>
      </c>
      <c r="Z94" t="str">
        <f>IF(Y94&lt;&gt;0,VLOOKUP(VLOOKUP(Y94,Tbl_Effect[],3,FALSE),EffectName[],IFERROR(MATCH(UI!$B$1,EffectName[#Headers],0),2),FALSE),"")</f>
        <v/>
      </c>
      <c r="AA94" t="str">
        <f t="shared" si="13"/>
        <v/>
      </c>
      <c r="AB94">
        <v>0</v>
      </c>
      <c r="AC94" t="str">
        <f>IF(AB94&lt;&gt;0,VLOOKUP(VLOOKUP(AB94,Tbl_Effect[],3,FALSE),EffectName[],IFERROR(MATCH(UI!$B$1,EffectName[#Headers],0),2),FALSE),"")</f>
        <v/>
      </c>
      <c r="AE94">
        <v>7034400</v>
      </c>
      <c r="AF94">
        <v>7034700</v>
      </c>
      <c r="AG94">
        <v>7034700</v>
      </c>
    </row>
    <row r="95" spans="8:33" x14ac:dyDescent="0.4">
      <c r="H95" t="str">
        <f t="shared" si="7"/>
        <v>1120-端正的火燃情景 (紅)</v>
      </c>
      <c r="I95">
        <v>1120</v>
      </c>
      <c r="J95" t="str">
        <f>_xlfn.IFNA(IF(I95&lt;&gt;0,VLOOKUP(VLOOKUP(I95,Tbl_Equip[],2,FALSE),Tbl_Color[],IFERROR(MATCH(UI!$B$1,Tbl_Color[#Headers],0),2),FALSE),""),"Unset")</f>
        <v>紅</v>
      </c>
      <c r="K95" t="str">
        <f>_xlfn.IFNA(IF(I95&lt;&gt;0,VLOOKUP(I95,ItemText[],IFERROR(MATCH(UI!$B$1,ItemText[#Headers],0),2),FALSE),""),"Unset")</f>
        <v>端正的火燃情景</v>
      </c>
      <c r="L95" t="str">
        <f t="shared" si="8"/>
        <v>7034500-【執行者】在技藝發動期間
　妖刀進入解放狀態時，能恢復ＨＰ</v>
      </c>
      <c r="M95">
        <v>7034500</v>
      </c>
      <c r="N95" t="str">
        <f>IF(VALUE(M95)=0,"",VLOOKUP(VLOOKUP(M95,Tbl_Effect[],3,FALSE),EffectName[],IFERROR(MATCH(UI!$B$1,EffectName[#Headers],0),2),FALSE))</f>
        <v>【執行者】在技藝發動期間
　妖刀進入解放狀態時，能恢復ＨＰ</v>
      </c>
      <c r="O95" t="str">
        <f t="shared" si="9"/>
        <v>7035100-使出致命一擊時，能提升精力的恢復速度</v>
      </c>
      <c r="P95">
        <v>7035100</v>
      </c>
      <c r="Q95" t="str">
        <f>IF(VALUE(P95)=0,"",VLOOKUP(VLOOKUP(P95,Tbl_Effect[],3,FALSE),EffectName[],IFERROR(MATCH(UI!$B$1,EffectName[#Headers],0),2),FALSE))</f>
        <v>使出致命一擊時，能提升精力的恢復速度</v>
      </c>
      <c r="R95" t="str">
        <f t="shared" si="10"/>
        <v>7035100-使出致命一擊時，能提升精力的恢復速度</v>
      </c>
      <c r="S95">
        <v>7035100</v>
      </c>
      <c r="T95" t="str">
        <f>IF(VALUE(S95)=0,"",VLOOKUP(VLOOKUP(S95,Tbl_Effect[],3,FALSE),EffectName[],IFERROR(MATCH(UI!$B$1,EffectName[#Headers],0),2),FALSE))</f>
        <v>使出致命一擊時，能提升精力的恢復速度</v>
      </c>
      <c r="U95" t="str">
        <f t="shared" si="11"/>
        <v/>
      </c>
      <c r="V95">
        <v>0</v>
      </c>
      <c r="W95" t="str">
        <f>IF(V95&lt;&gt;0,VLOOKUP(VLOOKUP(V95,Tbl_Effect[],3,FALSE),EffectName[],IFERROR(MATCH(UI!$B$1,EffectName[#Headers],0),2),FALSE),"")</f>
        <v/>
      </c>
      <c r="X95" t="str">
        <f t="shared" si="12"/>
        <v/>
      </c>
      <c r="Y95">
        <v>0</v>
      </c>
      <c r="Z95" t="str">
        <f>IF(Y95&lt;&gt;0,VLOOKUP(VLOOKUP(Y95,Tbl_Effect[],3,FALSE),EffectName[],IFERROR(MATCH(UI!$B$1,EffectName[#Headers],0),2),FALSE),"")</f>
        <v/>
      </c>
      <c r="AA95" t="str">
        <f t="shared" si="13"/>
        <v/>
      </c>
      <c r="AB95">
        <v>0</v>
      </c>
      <c r="AC95" t="str">
        <f>IF(AB95&lt;&gt;0,VLOOKUP(VLOOKUP(AB95,Tbl_Effect[],3,FALSE),EffectName[],IFERROR(MATCH(UI!$B$1,EffectName[#Headers],0),2),FALSE),"")</f>
        <v/>
      </c>
      <c r="AE95">
        <v>7034500</v>
      </c>
      <c r="AF95">
        <v>7035100</v>
      </c>
      <c r="AG95">
        <v>7035100</v>
      </c>
    </row>
    <row r="96" spans="8:33" x14ac:dyDescent="0.4">
      <c r="H96" t="str">
        <f t="shared" si="7"/>
        <v>1130-端正的幽靜情景 (綠)</v>
      </c>
      <c r="I96">
        <v>1130</v>
      </c>
      <c r="J96" t="str">
        <f>_xlfn.IFNA(IF(I96&lt;&gt;0,VLOOKUP(VLOOKUP(I96,Tbl_Equip[],2,FALSE),Tbl_Color[],IFERROR(MATCH(UI!$B$1,Tbl_Color[#Headers],0),2),FALSE),""),"Unset")</f>
        <v>綠</v>
      </c>
      <c r="K96" t="str">
        <f>_xlfn.IFNA(IF(I96&lt;&gt;0,VLOOKUP(I96,ItemText[],IFERROR(MATCH(UI!$B$1,ItemText[#Headers],0),2),FALSE),""),"Unset")</f>
        <v>端正的幽靜情景</v>
      </c>
      <c r="L96" t="str">
        <f t="shared" si="8"/>
        <v>7034600-【鐵之眼】蓄力發動絕活時，附加異常狀態中毒</v>
      </c>
      <c r="M96">
        <v>7034600</v>
      </c>
      <c r="N96" t="str">
        <f>IF(VALUE(M96)=0,"",VLOOKUP(VLOOKUP(M96,Tbl_Effect[],3,FALSE),EffectName[],IFERROR(MATCH(UI!$B$1,EffectName[#Headers],0),2),FALSE))</f>
        <v>【鐵之眼】蓄力發動絕活時，附加異常狀態中毒</v>
      </c>
      <c r="O96" t="str">
        <f t="shared" si="9"/>
        <v>7036100-防禦成功時，恢復ＨＰ</v>
      </c>
      <c r="P96">
        <v>7036100</v>
      </c>
      <c r="Q96" t="str">
        <f>IF(VALUE(P96)=0,"",VLOOKUP(VLOOKUP(P96,Tbl_Effect[],3,FALSE),EffectName[],IFERROR(MATCH(UI!$B$1,EffectName[#Headers],0),2),FALSE))</f>
        <v>防禦成功時，恢復ＨＰ</v>
      </c>
      <c r="R96" t="str">
        <f t="shared" si="10"/>
        <v>7036100-防禦成功時，恢復ＨＰ</v>
      </c>
      <c r="S96">
        <v>7036100</v>
      </c>
      <c r="T96" t="str">
        <f>IF(VALUE(S96)=0,"",VLOOKUP(VLOOKUP(S96,Tbl_Effect[],3,FALSE),EffectName[],IFERROR(MATCH(UI!$B$1,EffectName[#Headers],0),2),FALSE))</f>
        <v>防禦成功時，恢復ＨＰ</v>
      </c>
      <c r="U96" t="str">
        <f t="shared" si="11"/>
        <v/>
      </c>
      <c r="V96">
        <v>0</v>
      </c>
      <c r="W96" t="str">
        <f>IF(V96&lt;&gt;0,VLOOKUP(VLOOKUP(V96,Tbl_Effect[],3,FALSE),EffectName[],IFERROR(MATCH(UI!$B$1,EffectName[#Headers],0),2),FALSE),"")</f>
        <v/>
      </c>
      <c r="X96" t="str">
        <f t="shared" si="12"/>
        <v/>
      </c>
      <c r="Y96">
        <v>0</v>
      </c>
      <c r="Z96" t="str">
        <f>IF(Y96&lt;&gt;0,VLOOKUP(VLOOKUP(Y96,Tbl_Effect[],3,FALSE),EffectName[],IFERROR(MATCH(UI!$B$1,EffectName[#Headers],0),2),FALSE),"")</f>
        <v/>
      </c>
      <c r="AA96" t="str">
        <f t="shared" si="13"/>
        <v/>
      </c>
      <c r="AB96">
        <v>0</v>
      </c>
      <c r="AC96" t="str">
        <f>IF(AB96&lt;&gt;0,VLOOKUP(VLOOKUP(AB96,Tbl_Effect[],3,FALSE),EffectName[],IFERROR(MATCH(UI!$B$1,EffectName[#Headers],0),2),FALSE),"")</f>
        <v/>
      </c>
      <c r="AE96">
        <v>7034600</v>
      </c>
      <c r="AF96">
        <v>7036100</v>
      </c>
      <c r="AG96">
        <v>7036100</v>
      </c>
    </row>
    <row r="97" spans="8:33" x14ac:dyDescent="0.4">
      <c r="H97" t="str">
        <f t="shared" si="7"/>
        <v>1140-端正的光耀情景 (黃)</v>
      </c>
      <c r="I97">
        <v>1140</v>
      </c>
      <c r="J97" t="str">
        <f>_xlfn.IFNA(IF(I97&lt;&gt;0,VLOOKUP(VLOOKUP(I97,Tbl_Equip[],2,FALSE),Tbl_Color[],IFERROR(MATCH(UI!$B$1,Tbl_Color[#Headers],0),2),FALSE),""),"Unset")</f>
        <v>黃</v>
      </c>
      <c r="K97" t="str">
        <f>_xlfn.IFNA(IF(I97&lt;&gt;0,VLOOKUP(I97,ItemText[],IFERROR(MATCH(UI!$B$1,ItemText[#Headers],0),2),FALSE),""),"Unset")</f>
        <v>端正的光耀情景</v>
      </c>
      <c r="L97" t="str">
        <f t="shared" si="8"/>
        <v>7034700-【鐵之眼】發動絕活後，強化突刺反擊</v>
      </c>
      <c r="M97">
        <v>7034700</v>
      </c>
      <c r="N97" t="str">
        <f>IF(VALUE(M97)=0,"",VLOOKUP(VLOOKUP(M97,Tbl_Effect[],3,FALSE),EffectName[],IFERROR(MATCH(UI!$B$1,EffectName[#Headers],0),2),FALSE))</f>
        <v>【鐵之眼】發動絕活後，強化突刺反擊</v>
      </c>
      <c r="O97" t="str">
        <f t="shared" si="9"/>
        <v>7040000-強化輕攻擊的第一記攻擊</v>
      </c>
      <c r="P97">
        <v>7040000</v>
      </c>
      <c r="Q97" t="str">
        <f>IF(VALUE(P97)=0,"",VLOOKUP(VLOOKUP(P97,Tbl_Effect[],3,FALSE),EffectName[],IFERROR(MATCH(UI!$B$1,EffectName[#Headers],0),2),FALSE))</f>
        <v>強化輕攻擊的第一記攻擊</v>
      </c>
      <c r="R97" t="str">
        <f t="shared" si="10"/>
        <v>7040000-強化輕攻擊的第一記攻擊</v>
      </c>
      <c r="S97">
        <v>7040000</v>
      </c>
      <c r="T97" t="str">
        <f>IF(VALUE(S97)=0,"",VLOOKUP(VLOOKUP(S97,Tbl_Effect[],3,FALSE),EffectName[],IFERROR(MATCH(UI!$B$1,EffectName[#Headers],0),2),FALSE))</f>
        <v>強化輕攻擊的第一記攻擊</v>
      </c>
      <c r="U97" t="str">
        <f t="shared" si="11"/>
        <v/>
      </c>
      <c r="V97">
        <v>0</v>
      </c>
      <c r="W97" t="str">
        <f>IF(V97&lt;&gt;0,VLOOKUP(VLOOKUP(V97,Tbl_Effect[],3,FALSE),EffectName[],IFERROR(MATCH(UI!$B$1,EffectName[#Headers],0),2),FALSE),"")</f>
        <v/>
      </c>
      <c r="X97" t="str">
        <f t="shared" si="12"/>
        <v/>
      </c>
      <c r="Y97">
        <v>0</v>
      </c>
      <c r="Z97" t="str">
        <f>IF(Y97&lt;&gt;0,VLOOKUP(VLOOKUP(Y97,Tbl_Effect[],3,FALSE),EffectName[],IFERROR(MATCH(UI!$B$1,EffectName[#Headers],0),2),FALSE),"")</f>
        <v/>
      </c>
      <c r="AA97" t="str">
        <f t="shared" si="13"/>
        <v/>
      </c>
      <c r="AB97">
        <v>0</v>
      </c>
      <c r="AC97" t="str">
        <f>IF(AB97&lt;&gt;0,VLOOKUP(VLOOKUP(AB97,Tbl_Effect[],3,FALSE),EffectName[],IFERROR(MATCH(UI!$B$1,EffectName[#Headers],0),2),FALSE),"")</f>
        <v/>
      </c>
      <c r="AE97">
        <v>7034700</v>
      </c>
      <c r="AF97">
        <v>7040000</v>
      </c>
      <c r="AG97">
        <v>7040000</v>
      </c>
    </row>
    <row r="98" spans="8:33" x14ac:dyDescent="0.4">
      <c r="H98" t="str">
        <f t="shared" si="7"/>
        <v>1150-端正的光耀情景 (黃)</v>
      </c>
      <c r="I98">
        <v>1150</v>
      </c>
      <c r="J98" t="str">
        <f>_xlfn.IFNA(IF(I98&lt;&gt;0,VLOOKUP(VLOOKUP(I98,Tbl_Equip[],2,FALSE),Tbl_Color[],IFERROR(MATCH(UI!$B$1,Tbl_Color[#Headers],0),2),FALSE),""),"Unset")</f>
        <v>黃</v>
      </c>
      <c r="K98" t="str">
        <f>_xlfn.IFNA(IF(I98&lt;&gt;0,VLOOKUP(I98,ItemText[],IFERROR(MATCH(UI!$B$1,ItemText[#Headers],0),2),FALSE),""),"Unset")</f>
        <v>端正的光耀情景</v>
      </c>
      <c r="L98" t="str">
        <f t="shared" si="8"/>
        <v>7035100-使出致命一擊時，能提升精力的恢復速度</v>
      </c>
      <c r="M98">
        <v>7035100</v>
      </c>
      <c r="N98" t="str">
        <f>IF(VALUE(M98)=0,"",VLOOKUP(VLOOKUP(M98,Tbl_Effect[],3,FALSE),EffectName[],IFERROR(MATCH(UI!$B$1,EffectName[#Headers],0),2),FALSE))</f>
        <v>使出致命一擊時，能提升精力的恢復速度</v>
      </c>
      <c r="O98" t="str">
        <f t="shared" si="9"/>
        <v>7040100-強化防禦反擊</v>
      </c>
      <c r="P98">
        <v>7040100</v>
      </c>
      <c r="Q98" t="str">
        <f>IF(VALUE(P98)=0,"",VLOOKUP(VLOOKUP(P98,Tbl_Effect[],3,FALSE),EffectName[],IFERROR(MATCH(UI!$B$1,EffectName[#Headers],0),2),FALSE))</f>
        <v>強化防禦反擊</v>
      </c>
      <c r="R98" t="str">
        <f t="shared" si="10"/>
        <v>7040100-強化防禦反擊</v>
      </c>
      <c r="S98">
        <v>7040100</v>
      </c>
      <c r="T98" t="str">
        <f>IF(VALUE(S98)=0,"",VLOOKUP(VLOOKUP(S98,Tbl_Effect[],3,FALSE),EffectName[],IFERROR(MATCH(UI!$B$1,EffectName[#Headers],0),2),FALSE))</f>
        <v>強化防禦反擊</v>
      </c>
      <c r="U98" t="str">
        <f t="shared" si="11"/>
        <v/>
      </c>
      <c r="V98">
        <v>0</v>
      </c>
      <c r="W98" t="str">
        <f>IF(V98&lt;&gt;0,VLOOKUP(VLOOKUP(V98,Tbl_Effect[],3,FALSE),EffectName[],IFERROR(MATCH(UI!$B$1,EffectName[#Headers],0),2),FALSE),"")</f>
        <v/>
      </c>
      <c r="X98" t="str">
        <f t="shared" si="12"/>
        <v/>
      </c>
      <c r="Y98">
        <v>0</v>
      </c>
      <c r="Z98" t="str">
        <f>IF(Y98&lt;&gt;0,VLOOKUP(VLOOKUP(Y98,Tbl_Effect[],3,FALSE),EffectName[],IFERROR(MATCH(UI!$B$1,EffectName[#Headers],0),2),FALSE),"")</f>
        <v/>
      </c>
      <c r="AA98" t="str">
        <f t="shared" si="13"/>
        <v/>
      </c>
      <c r="AB98">
        <v>0</v>
      </c>
      <c r="AC98" t="str">
        <f>IF(AB98&lt;&gt;0,VLOOKUP(VLOOKUP(AB98,Tbl_Effect[],3,FALSE),EffectName[],IFERROR(MATCH(UI!$B$1,EffectName[#Headers],0),2),FALSE),"")</f>
        <v/>
      </c>
      <c r="AE98">
        <v>7035100</v>
      </c>
      <c r="AF98">
        <v>7040100</v>
      </c>
      <c r="AG98">
        <v>7040100</v>
      </c>
    </row>
    <row r="99" spans="8:33" x14ac:dyDescent="0.4">
      <c r="H99" t="str">
        <f t="shared" si="7"/>
        <v>1160-端正的水滴情景 (藍)</v>
      </c>
      <c r="I99">
        <v>1160</v>
      </c>
      <c r="J99" t="str">
        <f>_xlfn.IFNA(IF(I99&lt;&gt;0,VLOOKUP(VLOOKUP(I99,Tbl_Equip[],2,FALSE),Tbl_Color[],IFERROR(MATCH(UI!$B$1,Tbl_Color[#Headers],0),2),FALSE),""),"Unset")</f>
        <v>藍</v>
      </c>
      <c r="K99" t="str">
        <f>_xlfn.IFNA(IF(I99&lt;&gt;0,VLOOKUP(I99,ItemText[],IFERROR(MATCH(UI!$B$1,ItemText[#Headers],0),2),FALSE),""),"Unset")</f>
        <v>端正的水滴情景</v>
      </c>
      <c r="L99" t="str">
        <f t="shared" si="8"/>
        <v>7036100-防禦成功時，恢復ＨＰ</v>
      </c>
      <c r="M99">
        <v>7036100</v>
      </c>
      <c r="N99" t="str">
        <f>IF(VALUE(M99)=0,"",VLOOKUP(VLOOKUP(M99,Tbl_Effect[],3,FALSE),EffectName[],IFERROR(MATCH(UI!$B$1,EffectName[#Headers],0),2),FALSE))</f>
        <v>防禦成功時，恢復ＨＰ</v>
      </c>
      <c r="O99" t="str">
        <f t="shared" si="9"/>
        <v>7040200-強化致命一擊</v>
      </c>
      <c r="P99">
        <v>7040200</v>
      </c>
      <c r="Q99" t="str">
        <f>IF(VALUE(P99)=0,"",VLOOKUP(VLOOKUP(P99,Tbl_Effect[],3,FALSE),EffectName[],IFERROR(MATCH(UI!$B$1,EffectName[#Headers],0),2),FALSE))</f>
        <v>強化致命一擊</v>
      </c>
      <c r="R99" t="str">
        <f t="shared" si="10"/>
        <v>7040200-強化致命一擊</v>
      </c>
      <c r="S99">
        <v>7040200</v>
      </c>
      <c r="T99" t="str">
        <f>IF(VALUE(S99)=0,"",VLOOKUP(VLOOKUP(S99,Tbl_Effect[],3,FALSE),EffectName[],IFERROR(MATCH(UI!$B$1,EffectName[#Headers],0),2),FALSE))</f>
        <v>強化致命一擊</v>
      </c>
      <c r="U99" t="str">
        <f t="shared" si="11"/>
        <v/>
      </c>
      <c r="V99">
        <v>0</v>
      </c>
      <c r="W99" t="str">
        <f>IF(V99&lt;&gt;0,VLOOKUP(VLOOKUP(V99,Tbl_Effect[],3,FALSE),EffectName[],IFERROR(MATCH(UI!$B$1,EffectName[#Headers],0),2),FALSE),"")</f>
        <v/>
      </c>
      <c r="X99" t="str">
        <f t="shared" si="12"/>
        <v/>
      </c>
      <c r="Y99">
        <v>0</v>
      </c>
      <c r="Z99" t="str">
        <f>IF(Y99&lt;&gt;0,VLOOKUP(VLOOKUP(Y99,Tbl_Effect[],3,FALSE),EffectName[],IFERROR(MATCH(UI!$B$1,EffectName[#Headers],0),2),FALSE),"")</f>
        <v/>
      </c>
      <c r="AA99" t="str">
        <f t="shared" si="13"/>
        <v/>
      </c>
      <c r="AB99">
        <v>0</v>
      </c>
      <c r="AC99" t="str">
        <f>IF(AB99&lt;&gt;0,VLOOKUP(VLOOKUP(AB99,Tbl_Effect[],3,FALSE),EffectName[],IFERROR(MATCH(UI!$B$1,EffectName[#Headers],0),2),FALSE),"")</f>
        <v/>
      </c>
      <c r="AE99">
        <v>7036100</v>
      </c>
      <c r="AF99">
        <v>7040200</v>
      </c>
      <c r="AG99">
        <v>7040200</v>
      </c>
    </row>
    <row r="100" spans="8:33" x14ac:dyDescent="0.4">
      <c r="H100" t="str">
        <f t="shared" si="7"/>
        <v>1170-端正的水滴情景 (藍)</v>
      </c>
      <c r="I100">
        <v>1170</v>
      </c>
      <c r="J100" t="str">
        <f>_xlfn.IFNA(IF(I100&lt;&gt;0,VLOOKUP(VLOOKUP(I100,Tbl_Equip[],2,FALSE),Tbl_Color[],IFERROR(MATCH(UI!$B$1,Tbl_Color[#Headers],0),2),FALSE),""),"Unset")</f>
        <v>藍</v>
      </c>
      <c r="K100" t="str">
        <f>_xlfn.IFNA(IF(I100&lt;&gt;0,VLOOKUP(I100,ItemText[],IFERROR(MATCH(UI!$B$1,ItemText[#Headers],0),2),FALSE),""),"Unset")</f>
        <v>端正的水滴情景</v>
      </c>
      <c r="L100" t="str">
        <f t="shared" si="8"/>
        <v>7040000-強化輕攻擊的第一記攻擊</v>
      </c>
      <c r="M100">
        <v>7040000</v>
      </c>
      <c r="N100" t="str">
        <f>IF(VALUE(M100)=0,"",VLOOKUP(VLOOKUP(M100,Tbl_Effect[],3,FALSE),EffectName[],IFERROR(MATCH(UI!$B$1,EffectName[#Headers],0),2),FALSE))</f>
        <v>強化輕攻擊的第一記攻擊</v>
      </c>
      <c r="O100" t="str">
        <f t="shared" si="9"/>
        <v>7040300-提升投擲壺的攻擊力</v>
      </c>
      <c r="P100">
        <v>7040300</v>
      </c>
      <c r="Q100" t="str">
        <f>IF(VALUE(P100)=0,"",VLOOKUP(VLOOKUP(P100,Tbl_Effect[],3,FALSE),EffectName[],IFERROR(MATCH(UI!$B$1,EffectName[#Headers],0),2),FALSE))</f>
        <v>提升投擲壺的攻擊力</v>
      </c>
      <c r="R100" t="str">
        <f t="shared" si="10"/>
        <v>7040300-提升投擲壺的攻擊力</v>
      </c>
      <c r="S100">
        <v>7040300</v>
      </c>
      <c r="T100" t="str">
        <f>IF(VALUE(S100)=0,"",VLOOKUP(VLOOKUP(S100,Tbl_Effect[],3,FALSE),EffectName[],IFERROR(MATCH(UI!$B$1,EffectName[#Headers],0),2),FALSE))</f>
        <v>提升投擲壺的攻擊力</v>
      </c>
      <c r="U100" t="str">
        <f t="shared" si="11"/>
        <v/>
      </c>
      <c r="V100">
        <v>0</v>
      </c>
      <c r="W100" t="str">
        <f>IF(V100&lt;&gt;0,VLOOKUP(VLOOKUP(V100,Tbl_Effect[],3,FALSE),EffectName[],IFERROR(MATCH(UI!$B$1,EffectName[#Headers],0),2),FALSE),"")</f>
        <v/>
      </c>
      <c r="X100" t="str">
        <f t="shared" si="12"/>
        <v/>
      </c>
      <c r="Y100">
        <v>0</v>
      </c>
      <c r="Z100" t="str">
        <f>IF(Y100&lt;&gt;0,VLOOKUP(VLOOKUP(Y100,Tbl_Effect[],3,FALSE),EffectName[],IFERROR(MATCH(UI!$B$1,EffectName[#Headers],0),2),FALSE),"")</f>
        <v/>
      </c>
      <c r="AA100" t="str">
        <f t="shared" si="13"/>
        <v/>
      </c>
      <c r="AB100">
        <v>0</v>
      </c>
      <c r="AC100" t="str">
        <f>IF(AB100&lt;&gt;0,VLOOKUP(VLOOKUP(AB100,Tbl_Effect[],3,FALSE),EffectName[],IFERROR(MATCH(UI!$B$1,EffectName[#Headers],0),2),FALSE),"")</f>
        <v/>
      </c>
      <c r="AE100">
        <v>7040000</v>
      </c>
      <c r="AF100">
        <v>7040300</v>
      </c>
      <c r="AG100">
        <v>7040300</v>
      </c>
    </row>
    <row r="101" spans="8:33" x14ac:dyDescent="0.4">
      <c r="H101" t="str">
        <f t="shared" si="7"/>
        <v>1180-遼闊的火燃情景 (紅)</v>
      </c>
      <c r="I101">
        <v>1180</v>
      </c>
      <c r="J101" t="str">
        <f>_xlfn.IFNA(IF(I101&lt;&gt;0,VLOOKUP(VLOOKUP(I101,Tbl_Equip[],2,FALSE),Tbl_Color[],IFERROR(MATCH(UI!$B$1,Tbl_Color[#Headers],0),2),FALSE),""),"Unset")</f>
        <v>紅</v>
      </c>
      <c r="K101" t="str">
        <f>_xlfn.IFNA(IF(I101&lt;&gt;0,VLOOKUP(I101,ItemText[],IFERROR(MATCH(UI!$B$1,ItemText[#Headers],0),2),FALSE),""),"Unset")</f>
        <v>遼闊的火燃情景</v>
      </c>
      <c r="L101" t="str">
        <f t="shared" si="8"/>
        <v>7040100-強化防禦反擊</v>
      </c>
      <c r="M101">
        <v>7040100</v>
      </c>
      <c r="N101" t="str">
        <f>IF(VALUE(M101)=0,"",VLOOKUP(VLOOKUP(M101,Tbl_Effect[],3,FALSE),EffectName[],IFERROR(MATCH(UI!$B$1,EffectName[#Headers],0),2),FALSE))</f>
        <v>強化防禦反擊</v>
      </c>
      <c r="O101" t="str">
        <f t="shared" si="9"/>
        <v>7040400-提升投擲小刀的攻擊力</v>
      </c>
      <c r="P101">
        <v>7040400</v>
      </c>
      <c r="Q101" t="str">
        <f>IF(VALUE(P101)=0,"",VLOOKUP(VLOOKUP(P101,Tbl_Effect[],3,FALSE),EffectName[],IFERROR(MATCH(UI!$B$1,EffectName[#Headers],0),2),FALSE))</f>
        <v>提升投擲小刀的攻擊力</v>
      </c>
      <c r="R101" t="str">
        <f t="shared" si="10"/>
        <v>7040400-提升投擲小刀的攻擊力</v>
      </c>
      <c r="S101">
        <v>7040400</v>
      </c>
      <c r="T101" t="str">
        <f>IF(VALUE(S101)=0,"",VLOOKUP(VLOOKUP(S101,Tbl_Effect[],3,FALSE),EffectName[],IFERROR(MATCH(UI!$B$1,EffectName[#Headers],0),2),FALSE))</f>
        <v>提升投擲小刀的攻擊力</v>
      </c>
      <c r="U101" t="str">
        <f t="shared" si="11"/>
        <v/>
      </c>
      <c r="V101">
        <v>0</v>
      </c>
      <c r="W101" t="str">
        <f>IF(V101&lt;&gt;0,VLOOKUP(VLOOKUP(V101,Tbl_Effect[],3,FALSE),EffectName[],IFERROR(MATCH(UI!$B$1,EffectName[#Headers],0),2),FALSE),"")</f>
        <v/>
      </c>
      <c r="X101" t="str">
        <f t="shared" si="12"/>
        <v/>
      </c>
      <c r="Y101">
        <v>0</v>
      </c>
      <c r="Z101" t="str">
        <f>IF(Y101&lt;&gt;0,VLOOKUP(VLOOKUP(Y101,Tbl_Effect[],3,FALSE),EffectName[],IFERROR(MATCH(UI!$B$1,EffectName[#Headers],0),2),FALSE),"")</f>
        <v/>
      </c>
      <c r="AA101" t="str">
        <f t="shared" si="13"/>
        <v/>
      </c>
      <c r="AB101">
        <v>0</v>
      </c>
      <c r="AC101" t="str">
        <f>IF(AB101&lt;&gt;0,VLOOKUP(VLOOKUP(AB101,Tbl_Effect[],3,FALSE),EffectName[],IFERROR(MATCH(UI!$B$1,EffectName[#Headers],0),2),FALSE),"")</f>
        <v/>
      </c>
      <c r="AE101">
        <v>7040100</v>
      </c>
      <c r="AF101">
        <v>7040400</v>
      </c>
      <c r="AG101">
        <v>7040400</v>
      </c>
    </row>
    <row r="102" spans="8:33" x14ac:dyDescent="0.4">
      <c r="H102" t="str">
        <f t="shared" si="7"/>
        <v>1190-遼闊的水滴情景 (藍)</v>
      </c>
      <c r="I102">
        <v>1190</v>
      </c>
      <c r="J102" t="str">
        <f>_xlfn.IFNA(IF(I102&lt;&gt;0,VLOOKUP(VLOOKUP(I102,Tbl_Equip[],2,FALSE),Tbl_Color[],IFERROR(MATCH(UI!$B$1,Tbl_Color[#Headers],0),2),FALSE),""),"Unset")</f>
        <v>藍</v>
      </c>
      <c r="K102" t="str">
        <f>_xlfn.IFNA(IF(I102&lt;&gt;0,VLOOKUP(I102,ItemText[],IFERROR(MATCH(UI!$B$1,ItemText[#Headers],0),2),FALSE),""),"Unset")</f>
        <v>遼闊的水滴情景</v>
      </c>
      <c r="L102" t="str">
        <f t="shared" si="8"/>
        <v>7040200-強化致命一擊</v>
      </c>
      <c r="M102">
        <v>7040200</v>
      </c>
      <c r="N102" t="str">
        <f>IF(VALUE(M102)=0,"",VLOOKUP(VLOOKUP(M102,Tbl_Effect[],3,FALSE),EffectName[],IFERROR(MATCH(UI!$B$1,EffectName[#Headers],0),2),FALSE))</f>
        <v>強化致命一擊</v>
      </c>
      <c r="O102" t="str">
        <f t="shared" si="9"/>
        <v>7040500-提升使用輝石、重力石道具的攻擊力</v>
      </c>
      <c r="P102">
        <v>7040500</v>
      </c>
      <c r="Q102" t="str">
        <f>IF(VALUE(P102)=0,"",VLOOKUP(VLOOKUP(P102,Tbl_Effect[],3,FALSE),EffectName[],IFERROR(MATCH(UI!$B$1,EffectName[#Headers],0),2),FALSE))</f>
        <v>提升使用輝石、重力石道具的攻擊力</v>
      </c>
      <c r="R102" t="str">
        <f t="shared" si="10"/>
        <v>7040500-提升使用輝石、重力石道具的攻擊力</v>
      </c>
      <c r="S102">
        <v>7040500</v>
      </c>
      <c r="T102" t="str">
        <f>IF(VALUE(S102)=0,"",VLOOKUP(VLOOKUP(S102,Tbl_Effect[],3,FALSE),EffectName[],IFERROR(MATCH(UI!$B$1,EffectName[#Headers],0),2),FALSE))</f>
        <v>提升使用輝石、重力石道具的攻擊力</v>
      </c>
      <c r="U102" t="str">
        <f t="shared" si="11"/>
        <v/>
      </c>
      <c r="V102">
        <v>0</v>
      </c>
      <c r="W102" t="str">
        <f>IF(V102&lt;&gt;0,VLOOKUP(VLOOKUP(V102,Tbl_Effect[],3,FALSE),EffectName[],IFERROR(MATCH(UI!$B$1,EffectName[#Headers],0),2),FALSE),"")</f>
        <v/>
      </c>
      <c r="X102" t="str">
        <f t="shared" si="12"/>
        <v/>
      </c>
      <c r="Y102">
        <v>0</v>
      </c>
      <c r="Z102" t="str">
        <f>IF(Y102&lt;&gt;0,VLOOKUP(VLOOKUP(Y102,Tbl_Effect[],3,FALSE),EffectName[],IFERROR(MATCH(UI!$B$1,EffectName[#Headers],0),2),FALSE),"")</f>
        <v/>
      </c>
      <c r="AA102" t="str">
        <f t="shared" si="13"/>
        <v/>
      </c>
      <c r="AB102">
        <v>0</v>
      </c>
      <c r="AC102" t="str">
        <f>IF(AB102&lt;&gt;0,VLOOKUP(VLOOKUP(AB102,Tbl_Effect[],3,FALSE),EffectName[],IFERROR(MATCH(UI!$B$1,EffectName[#Headers],0),2),FALSE),"")</f>
        <v/>
      </c>
      <c r="AE102">
        <v>7040200</v>
      </c>
      <c r="AF102">
        <v>7040500</v>
      </c>
      <c r="AG102">
        <v>7040500</v>
      </c>
    </row>
    <row r="103" spans="8:33" x14ac:dyDescent="0.4">
      <c r="H103" t="str">
        <f t="shared" si="7"/>
        <v>1200-遼闊的幽靜情景 (綠)</v>
      </c>
      <c r="I103">
        <v>1200</v>
      </c>
      <c r="J103" t="str">
        <f>_xlfn.IFNA(IF(I103&lt;&gt;0,VLOOKUP(VLOOKUP(I103,Tbl_Equip[],2,FALSE),Tbl_Color[],IFERROR(MATCH(UI!$B$1,Tbl_Color[#Headers],0),2),FALSE),""),"Unset")</f>
        <v>綠</v>
      </c>
      <c r="K103" t="str">
        <f>_xlfn.IFNA(IF(I103&lt;&gt;0,VLOOKUP(I103,ItemText[],IFERROR(MATCH(UI!$B$1,ItemText[#Headers],0),2),FALSE),""),"Unset")</f>
        <v>遼闊的幽靜情景</v>
      </c>
      <c r="L103" t="str">
        <f t="shared" si="8"/>
        <v>7040300-提升投擲壺的攻擊力</v>
      </c>
      <c r="M103">
        <v>7040300</v>
      </c>
      <c r="N103" t="str">
        <f>IF(VALUE(M103)=0,"",VLOOKUP(VLOOKUP(M103,Tbl_Effect[],3,FALSE),EffectName[],IFERROR(MATCH(UI!$B$1,EffectName[#Headers],0),2),FALSE))</f>
        <v>提升投擲壺的攻擊力</v>
      </c>
      <c r="O103" t="str">
        <f t="shared" si="9"/>
        <v>7043000-強化咆哮與吐息</v>
      </c>
      <c r="P103">
        <v>7043000</v>
      </c>
      <c r="Q103" t="str">
        <f>IF(VALUE(P103)=0,"",VLOOKUP(VLOOKUP(P103,Tbl_Effect[],3,FALSE),EffectName[],IFERROR(MATCH(UI!$B$1,EffectName[#Headers],0),2),FALSE))</f>
        <v>強化咆哮與吐息</v>
      </c>
      <c r="R103" t="str">
        <f t="shared" si="10"/>
        <v>7043000-強化咆哮與吐息</v>
      </c>
      <c r="S103">
        <v>7043000</v>
      </c>
      <c r="T103" t="str">
        <f>IF(VALUE(S103)=0,"",VLOOKUP(VLOOKUP(S103,Tbl_Effect[],3,FALSE),EffectName[],IFERROR(MATCH(UI!$B$1,EffectName[#Headers],0),2),FALSE))</f>
        <v>強化咆哮與吐息</v>
      </c>
      <c r="U103" t="str">
        <f t="shared" si="11"/>
        <v/>
      </c>
      <c r="V103">
        <v>0</v>
      </c>
      <c r="W103" t="str">
        <f>IF(V103&lt;&gt;0,VLOOKUP(VLOOKUP(V103,Tbl_Effect[],3,FALSE),EffectName[],IFERROR(MATCH(UI!$B$1,EffectName[#Headers],0),2),FALSE),"")</f>
        <v/>
      </c>
      <c r="X103" t="str">
        <f t="shared" si="12"/>
        <v/>
      </c>
      <c r="Y103">
        <v>0</v>
      </c>
      <c r="Z103" t="str">
        <f>IF(Y103&lt;&gt;0,VLOOKUP(VLOOKUP(Y103,Tbl_Effect[],3,FALSE),EffectName[],IFERROR(MATCH(UI!$B$1,EffectName[#Headers],0),2),FALSE),"")</f>
        <v/>
      </c>
      <c r="AA103" t="str">
        <f t="shared" si="13"/>
        <v/>
      </c>
      <c r="AB103">
        <v>0</v>
      </c>
      <c r="AC103" t="str">
        <f>IF(AB103&lt;&gt;0,VLOOKUP(VLOOKUP(AB103,Tbl_Effect[],3,FALSE),EffectName[],IFERROR(MATCH(UI!$B$1,EffectName[#Headers],0),2),FALSE),"")</f>
        <v/>
      </c>
      <c r="AE103">
        <v>7040300</v>
      </c>
      <c r="AF103">
        <v>7043000</v>
      </c>
      <c r="AG103">
        <v>7043000</v>
      </c>
    </row>
    <row r="104" spans="8:33" x14ac:dyDescent="0.4">
      <c r="H104" t="str">
        <f t="shared" si="7"/>
        <v>1210-遼闊的幽靜情景 (黃)</v>
      </c>
      <c r="I104">
        <v>1210</v>
      </c>
      <c r="J104" t="str">
        <f>_xlfn.IFNA(IF(I104&lt;&gt;0,VLOOKUP(VLOOKUP(I104,Tbl_Equip[],2,FALSE),Tbl_Color[],IFERROR(MATCH(UI!$B$1,Tbl_Color[#Headers],0),2),FALSE),""),"Unset")</f>
        <v>黃</v>
      </c>
      <c r="K104" t="str">
        <f>_xlfn.IFNA(IF(I104&lt;&gt;0,VLOOKUP(I104,ItemText[],IFERROR(MATCH(UI!$B$1,ItemText[#Headers],0),2),FALSE),""),"Unset")</f>
        <v>遼闊的幽靜情景</v>
      </c>
      <c r="L104" t="str">
        <f t="shared" si="8"/>
        <v>7040400-提升投擲小刀的攻擊力</v>
      </c>
      <c r="M104">
        <v>7040400</v>
      </c>
      <c r="N104" t="str">
        <f>IF(VALUE(M104)=0,"",VLOOKUP(VLOOKUP(M104,Tbl_Effect[],3,FALSE),EffectName[],IFERROR(MATCH(UI!$B$1,EffectName[#Headers],0),2),FALSE))</f>
        <v>提升投擲小刀的攻擊力</v>
      </c>
      <c r="O104" t="str">
        <f t="shared" si="9"/>
        <v>7043100-強化調香術</v>
      </c>
      <c r="P104">
        <v>7043100</v>
      </c>
      <c r="Q104" t="str">
        <f>IF(VALUE(P104)=0,"",VLOOKUP(VLOOKUP(P104,Tbl_Effect[],3,FALSE),EffectName[],IFERROR(MATCH(UI!$B$1,EffectName[#Headers],0),2),FALSE))</f>
        <v>強化調香術</v>
      </c>
      <c r="R104" t="str">
        <f t="shared" si="10"/>
        <v>7043100-強化調香術</v>
      </c>
      <c r="S104">
        <v>7043100</v>
      </c>
      <c r="T104" t="str">
        <f>IF(VALUE(S104)=0,"",VLOOKUP(VLOOKUP(S104,Tbl_Effect[],3,FALSE),EffectName[],IFERROR(MATCH(UI!$B$1,EffectName[#Headers],0),2),FALSE))</f>
        <v>強化調香術</v>
      </c>
      <c r="U104" t="str">
        <f t="shared" si="11"/>
        <v/>
      </c>
      <c r="V104">
        <v>0</v>
      </c>
      <c r="W104" t="str">
        <f>IF(V104&lt;&gt;0,VLOOKUP(VLOOKUP(V104,Tbl_Effect[],3,FALSE),EffectName[],IFERROR(MATCH(UI!$B$1,EffectName[#Headers],0),2),FALSE),"")</f>
        <v/>
      </c>
      <c r="X104" t="str">
        <f t="shared" si="12"/>
        <v/>
      </c>
      <c r="Y104">
        <v>0</v>
      </c>
      <c r="Z104" t="str">
        <f>IF(Y104&lt;&gt;0,VLOOKUP(VLOOKUP(Y104,Tbl_Effect[],3,FALSE),EffectName[],IFERROR(MATCH(UI!$B$1,EffectName[#Headers],0),2),FALSE),"")</f>
        <v/>
      </c>
      <c r="AA104" t="str">
        <f t="shared" si="13"/>
        <v/>
      </c>
      <c r="AB104">
        <v>0</v>
      </c>
      <c r="AC104" t="str">
        <f>IF(AB104&lt;&gt;0,VLOOKUP(VLOOKUP(AB104,Tbl_Effect[],3,FALSE),EffectName[],IFERROR(MATCH(UI!$B$1,EffectName[#Headers],0),2),FALSE),"")</f>
        <v/>
      </c>
      <c r="AE104">
        <v>7040400</v>
      </c>
      <c r="AF104">
        <v>7043100</v>
      </c>
      <c r="AG104">
        <v>7043100</v>
      </c>
    </row>
    <row r="105" spans="8:33" x14ac:dyDescent="0.4">
      <c r="H105" t="str">
        <f t="shared" si="7"/>
        <v>1220-遼闊的光耀情景 (黃)</v>
      </c>
      <c r="I105">
        <v>1220</v>
      </c>
      <c r="J105" t="str">
        <f>_xlfn.IFNA(IF(I105&lt;&gt;0,VLOOKUP(VLOOKUP(I105,Tbl_Equip[],2,FALSE),Tbl_Color[],IFERROR(MATCH(UI!$B$1,Tbl_Color[#Headers],0),2),FALSE),""),"Unset")</f>
        <v>黃</v>
      </c>
      <c r="K105" t="str">
        <f>_xlfn.IFNA(IF(I105&lt;&gt;0,VLOOKUP(I105,ItemText[],IFERROR(MATCH(UI!$B$1,ItemText[#Headers],0),2),FALSE),""),"Unset")</f>
        <v>遼闊的光耀情景</v>
      </c>
      <c r="L105" t="str">
        <f t="shared" si="8"/>
        <v>7040500-提升使用輝石、重力石道具的攻擊力</v>
      </c>
      <c r="M105">
        <v>7040500</v>
      </c>
      <c r="N105" t="str">
        <f>IF(VALUE(M105)=0,"",VLOOKUP(VLOOKUP(M105,Tbl_Effect[],3,FALSE),EffectName[],IFERROR(MATCH(UI!$B$1,EffectName[#Headers],0),2),FALSE))</f>
        <v>提升使用輝石、重力石道具的攻擊力</v>
      </c>
      <c r="O105" t="str">
        <f t="shared" si="9"/>
        <v>7043200-強化挖石的魔法</v>
      </c>
      <c r="P105">
        <v>7043200</v>
      </c>
      <c r="Q105" t="str">
        <f>IF(VALUE(P105)=0,"",VLOOKUP(VLOOKUP(P105,Tbl_Effect[],3,FALSE),EffectName[],IFERROR(MATCH(UI!$B$1,EffectName[#Headers],0),2),FALSE))</f>
        <v>強化挖石的魔法</v>
      </c>
      <c r="R105" t="str">
        <f t="shared" si="10"/>
        <v>7043200-強化挖石的魔法</v>
      </c>
      <c r="S105">
        <v>7043200</v>
      </c>
      <c r="T105" t="str">
        <f>IF(VALUE(S105)=0,"",VLOOKUP(VLOOKUP(S105,Tbl_Effect[],3,FALSE),EffectName[],IFERROR(MATCH(UI!$B$1,EffectName[#Headers],0),2),FALSE))</f>
        <v>強化挖石的魔法</v>
      </c>
      <c r="U105" t="str">
        <f t="shared" si="11"/>
        <v/>
      </c>
      <c r="V105">
        <v>0</v>
      </c>
      <c r="W105" t="str">
        <f>IF(V105&lt;&gt;0,VLOOKUP(VLOOKUP(V105,Tbl_Effect[],3,FALSE),EffectName[],IFERROR(MATCH(UI!$B$1,EffectName[#Headers],0),2),FALSE),"")</f>
        <v/>
      </c>
      <c r="X105" t="str">
        <f t="shared" si="12"/>
        <v/>
      </c>
      <c r="Y105">
        <v>0</v>
      </c>
      <c r="Z105" t="str">
        <f>IF(Y105&lt;&gt;0,VLOOKUP(VLOOKUP(Y105,Tbl_Effect[],3,FALSE),EffectName[],IFERROR(MATCH(UI!$B$1,EffectName[#Headers],0),2),FALSE),"")</f>
        <v/>
      </c>
      <c r="AA105" t="str">
        <f t="shared" si="13"/>
        <v/>
      </c>
      <c r="AB105">
        <v>0</v>
      </c>
      <c r="AC105" t="str">
        <f>IF(AB105&lt;&gt;0,VLOOKUP(VLOOKUP(AB105,Tbl_Effect[],3,FALSE),EffectName[],IFERROR(MATCH(UI!$B$1,EffectName[#Headers],0),2),FALSE),"")</f>
        <v/>
      </c>
      <c r="AE105">
        <v>7040500</v>
      </c>
      <c r="AF105">
        <v>7043200</v>
      </c>
      <c r="AG105">
        <v>7043200</v>
      </c>
    </row>
    <row r="106" spans="8:33" x14ac:dyDescent="0.4">
      <c r="H106" t="str">
        <f t="shared" si="7"/>
        <v>1230-遼闊的水滴情景 (藍)</v>
      </c>
      <c r="I106">
        <v>1230</v>
      </c>
      <c r="J106" t="str">
        <f>_xlfn.IFNA(IF(I106&lt;&gt;0,VLOOKUP(VLOOKUP(I106,Tbl_Equip[],2,FALSE),Tbl_Color[],IFERROR(MATCH(UI!$B$1,Tbl_Color[#Headers],0),2),FALSE),""),"Unset")</f>
        <v>藍</v>
      </c>
      <c r="K106" t="str">
        <f>_xlfn.IFNA(IF(I106&lt;&gt;0,VLOOKUP(I106,ItemText[],IFERROR(MATCH(UI!$B$1,ItemText[#Headers],0),2),FALSE),""),"Unset")</f>
        <v>遼闊的水滴情景</v>
      </c>
      <c r="L106" t="str">
        <f t="shared" si="8"/>
        <v>7043000-強化咆哮與吐息</v>
      </c>
      <c r="M106">
        <v>7043000</v>
      </c>
      <c r="N106" t="str">
        <f>IF(VALUE(M106)=0,"",VLOOKUP(VLOOKUP(M106,Tbl_Effect[],3,FALSE),EffectName[],IFERROR(MATCH(UI!$B$1,EffectName[#Headers],0),2),FALSE))</f>
        <v>強化咆哮與吐息</v>
      </c>
      <c r="O106" t="str">
        <f t="shared" si="9"/>
        <v>7043300-強化卡利亞劍的魔法</v>
      </c>
      <c r="P106">
        <v>7043300</v>
      </c>
      <c r="Q106" t="str">
        <f>IF(VALUE(P106)=0,"",VLOOKUP(VLOOKUP(P106,Tbl_Effect[],3,FALSE),EffectName[],IFERROR(MATCH(UI!$B$1,EffectName[#Headers],0),2),FALSE))</f>
        <v>強化卡利亞劍的魔法</v>
      </c>
      <c r="R106" t="str">
        <f t="shared" si="10"/>
        <v>7043300-強化卡利亞劍的魔法</v>
      </c>
      <c r="S106">
        <v>7043300</v>
      </c>
      <c r="T106" t="str">
        <f>IF(VALUE(S106)=0,"",VLOOKUP(VLOOKUP(S106,Tbl_Effect[],3,FALSE),EffectName[],IFERROR(MATCH(UI!$B$1,EffectName[#Headers],0),2),FALSE))</f>
        <v>強化卡利亞劍的魔法</v>
      </c>
      <c r="U106" t="str">
        <f t="shared" si="11"/>
        <v/>
      </c>
      <c r="V106">
        <v>0</v>
      </c>
      <c r="W106" t="str">
        <f>IF(V106&lt;&gt;0,VLOOKUP(VLOOKUP(V106,Tbl_Effect[],3,FALSE),EffectName[],IFERROR(MATCH(UI!$B$1,EffectName[#Headers],0),2),FALSE),"")</f>
        <v/>
      </c>
      <c r="X106" t="str">
        <f t="shared" si="12"/>
        <v/>
      </c>
      <c r="Y106">
        <v>0</v>
      </c>
      <c r="Z106" t="str">
        <f>IF(Y106&lt;&gt;0,VLOOKUP(VLOOKUP(Y106,Tbl_Effect[],3,FALSE),EffectName[],IFERROR(MATCH(UI!$B$1,EffectName[#Headers],0),2),FALSE),"")</f>
        <v/>
      </c>
      <c r="AA106" t="str">
        <f t="shared" si="13"/>
        <v/>
      </c>
      <c r="AB106">
        <v>0</v>
      </c>
      <c r="AC106" t="str">
        <f>IF(AB106&lt;&gt;0,VLOOKUP(VLOOKUP(AB106,Tbl_Effect[],3,FALSE),EffectName[],IFERROR(MATCH(UI!$B$1,EffectName[#Headers],0),2),FALSE),"")</f>
        <v/>
      </c>
      <c r="AE106">
        <v>7043000</v>
      </c>
      <c r="AF106">
        <v>7043300</v>
      </c>
      <c r="AG106">
        <v>7043300</v>
      </c>
    </row>
    <row r="107" spans="8:33" x14ac:dyDescent="0.4">
      <c r="H107" t="str">
        <f t="shared" si="7"/>
        <v>1240-遼闊的水滴情景 (藍)</v>
      </c>
      <c r="I107">
        <v>1240</v>
      </c>
      <c r="J107" t="str">
        <f>_xlfn.IFNA(IF(I107&lt;&gt;0,VLOOKUP(VLOOKUP(I107,Tbl_Equip[],2,FALSE),Tbl_Color[],IFERROR(MATCH(UI!$B$1,Tbl_Color[#Headers],0),2),FALSE),""),"Unset")</f>
        <v>藍</v>
      </c>
      <c r="K107" t="str">
        <f>_xlfn.IFNA(IF(I107&lt;&gt;0,VLOOKUP(I107,ItemText[],IFERROR(MATCH(UI!$B$1,ItemText[#Headers],0),2),FALSE),""),"Unset")</f>
        <v>遼闊的水滴情景</v>
      </c>
      <c r="L107" t="str">
        <f t="shared" si="8"/>
        <v>7043100-強化調香術</v>
      </c>
      <c r="M107">
        <v>7043100</v>
      </c>
      <c r="N107" t="str">
        <f>IF(VALUE(M107)=0,"",VLOOKUP(VLOOKUP(M107,Tbl_Effect[],3,FALSE),EffectName[],IFERROR(MATCH(UI!$B$1,EffectName[#Headers],0),2),FALSE))</f>
        <v>強化調香術</v>
      </c>
      <c r="O107" t="str">
        <f t="shared" si="9"/>
        <v>7043400-強化輝劍的魔法</v>
      </c>
      <c r="P107">
        <v>7043400</v>
      </c>
      <c r="Q107" t="str">
        <f>IF(VALUE(P107)=0,"",VLOOKUP(VLOOKUP(P107,Tbl_Effect[],3,FALSE),EffectName[],IFERROR(MATCH(UI!$B$1,EffectName[#Headers],0),2),FALSE))</f>
        <v>強化輝劍的魔法</v>
      </c>
      <c r="R107" t="str">
        <f t="shared" si="10"/>
        <v>7043400-強化輝劍的魔法</v>
      </c>
      <c r="S107">
        <v>7043400</v>
      </c>
      <c r="T107" t="str">
        <f>IF(VALUE(S107)=0,"",VLOOKUP(VLOOKUP(S107,Tbl_Effect[],3,FALSE),EffectName[],IFERROR(MATCH(UI!$B$1,EffectName[#Headers],0),2),FALSE))</f>
        <v>強化輝劍的魔法</v>
      </c>
      <c r="U107" t="str">
        <f t="shared" si="11"/>
        <v/>
      </c>
      <c r="V107">
        <v>0</v>
      </c>
      <c r="W107" t="str">
        <f>IF(V107&lt;&gt;0,VLOOKUP(VLOOKUP(V107,Tbl_Effect[],3,FALSE),EffectName[],IFERROR(MATCH(UI!$B$1,EffectName[#Headers],0),2),FALSE),"")</f>
        <v/>
      </c>
      <c r="X107" t="str">
        <f t="shared" si="12"/>
        <v/>
      </c>
      <c r="Y107">
        <v>0</v>
      </c>
      <c r="Z107" t="str">
        <f>IF(Y107&lt;&gt;0,VLOOKUP(VLOOKUP(Y107,Tbl_Effect[],3,FALSE),EffectName[],IFERROR(MATCH(UI!$B$1,EffectName[#Headers],0),2),FALSE),"")</f>
        <v/>
      </c>
      <c r="AA107" t="str">
        <f t="shared" si="13"/>
        <v/>
      </c>
      <c r="AB107">
        <v>0</v>
      </c>
      <c r="AC107" t="str">
        <f>IF(AB107&lt;&gt;0,VLOOKUP(VLOOKUP(AB107,Tbl_Effect[],3,FALSE),EffectName[],IFERROR(MATCH(UI!$B$1,EffectName[#Headers],0),2),FALSE),"")</f>
        <v/>
      </c>
      <c r="AE107">
        <v>7043100</v>
      </c>
      <c r="AF107">
        <v>7043400</v>
      </c>
      <c r="AG107">
        <v>7043400</v>
      </c>
    </row>
    <row r="108" spans="8:33" x14ac:dyDescent="0.4">
      <c r="H108" t="str">
        <f t="shared" si="7"/>
        <v>1250-遼闊的火燃情景 (紅)</v>
      </c>
      <c r="I108">
        <v>1250</v>
      </c>
      <c r="J108" t="str">
        <f>_xlfn.IFNA(IF(I108&lt;&gt;0,VLOOKUP(VLOOKUP(I108,Tbl_Equip[],2,FALSE),Tbl_Color[],IFERROR(MATCH(UI!$B$1,Tbl_Color[#Headers],0),2),FALSE),""),"Unset")</f>
        <v>紅</v>
      </c>
      <c r="K108" t="str">
        <f>_xlfn.IFNA(IF(I108&lt;&gt;0,VLOOKUP(I108,ItemText[],IFERROR(MATCH(UI!$B$1,ItemText[#Headers],0),2),FALSE),""),"Unset")</f>
        <v>遼闊的火燃情景</v>
      </c>
      <c r="L108" t="str">
        <f t="shared" si="8"/>
        <v>7043200-強化挖石的魔法</v>
      </c>
      <c r="M108">
        <v>7043200</v>
      </c>
      <c r="N108" t="str">
        <f>IF(VALUE(M108)=0,"",VLOOKUP(VLOOKUP(M108,Tbl_Effect[],3,FALSE),EffectName[],IFERROR(MATCH(UI!$B$1,EffectName[#Headers],0),2),FALSE))</f>
        <v>強化挖石的魔法</v>
      </c>
      <c r="O108" t="str">
        <f t="shared" si="9"/>
        <v>7043500-強化隱形的魔法</v>
      </c>
      <c r="P108">
        <v>7043500</v>
      </c>
      <c r="Q108" t="str">
        <f>IF(VALUE(P108)=0,"",VLOOKUP(VLOOKUP(P108,Tbl_Effect[],3,FALSE),EffectName[],IFERROR(MATCH(UI!$B$1,EffectName[#Headers],0),2),FALSE))</f>
        <v>強化隱形的魔法</v>
      </c>
      <c r="R108" t="str">
        <f t="shared" si="10"/>
        <v>7043500-強化隱形的魔法</v>
      </c>
      <c r="S108">
        <v>7043500</v>
      </c>
      <c r="T108" t="str">
        <f>IF(VALUE(S108)=0,"",VLOOKUP(VLOOKUP(S108,Tbl_Effect[],3,FALSE),EffectName[],IFERROR(MATCH(UI!$B$1,EffectName[#Headers],0),2),FALSE))</f>
        <v>強化隱形的魔法</v>
      </c>
      <c r="U108" t="str">
        <f t="shared" si="11"/>
        <v/>
      </c>
      <c r="V108">
        <v>0</v>
      </c>
      <c r="W108" t="str">
        <f>IF(V108&lt;&gt;0,VLOOKUP(VLOOKUP(V108,Tbl_Effect[],3,FALSE),EffectName[],IFERROR(MATCH(UI!$B$1,EffectName[#Headers],0),2),FALSE),"")</f>
        <v/>
      </c>
      <c r="X108" t="str">
        <f t="shared" si="12"/>
        <v/>
      </c>
      <c r="Y108">
        <v>0</v>
      </c>
      <c r="Z108" t="str">
        <f>IF(Y108&lt;&gt;0,VLOOKUP(VLOOKUP(Y108,Tbl_Effect[],3,FALSE),EffectName[],IFERROR(MATCH(UI!$B$1,EffectName[#Headers],0),2),FALSE),"")</f>
        <v/>
      </c>
      <c r="AA108" t="str">
        <f t="shared" si="13"/>
        <v/>
      </c>
      <c r="AB108">
        <v>0</v>
      </c>
      <c r="AC108" t="str">
        <f>IF(AB108&lt;&gt;0,VLOOKUP(VLOOKUP(AB108,Tbl_Effect[],3,FALSE),EffectName[],IFERROR(MATCH(UI!$B$1,EffectName[#Headers],0),2),FALSE),"")</f>
        <v/>
      </c>
      <c r="AE108">
        <v>7043200</v>
      </c>
      <c r="AF108">
        <v>7043500</v>
      </c>
      <c r="AG108">
        <v>7043500</v>
      </c>
    </row>
    <row r="109" spans="8:33" x14ac:dyDescent="0.4">
      <c r="H109" t="str">
        <f t="shared" si="7"/>
        <v>1260-遼闊的火燃情景 (紅)</v>
      </c>
      <c r="I109">
        <v>1260</v>
      </c>
      <c r="J109" t="str">
        <f>_xlfn.IFNA(IF(I109&lt;&gt;0,VLOOKUP(VLOOKUP(I109,Tbl_Equip[],2,FALSE),Tbl_Color[],IFERROR(MATCH(UI!$B$1,Tbl_Color[#Headers],0),2),FALSE),""),"Unset")</f>
        <v>紅</v>
      </c>
      <c r="K109" t="str">
        <f>_xlfn.IFNA(IF(I109&lt;&gt;0,VLOOKUP(I109,ItemText[],IFERROR(MATCH(UI!$B$1,ItemText[#Headers],0),2),FALSE),""),"Unset")</f>
        <v>遼闊的火燃情景</v>
      </c>
      <c r="L109" t="str">
        <f t="shared" si="8"/>
        <v>7043300-強化卡利亞劍的魔法</v>
      </c>
      <c r="M109">
        <v>7043300</v>
      </c>
      <c r="N109" t="str">
        <f>IF(VALUE(M109)=0,"",VLOOKUP(VLOOKUP(M109,Tbl_Effect[],3,FALSE),EffectName[],IFERROR(MATCH(UI!$B$1,EffectName[#Headers],0),2),FALSE))</f>
        <v>強化卡利亞劍的魔法</v>
      </c>
      <c r="O109" t="str">
        <f t="shared" si="9"/>
        <v>7043600-強化結晶人的魔法</v>
      </c>
      <c r="P109">
        <v>7043600</v>
      </c>
      <c r="Q109" t="str">
        <f>IF(VALUE(P109)=0,"",VLOOKUP(VLOOKUP(P109,Tbl_Effect[],3,FALSE),EffectName[],IFERROR(MATCH(UI!$B$1,EffectName[#Headers],0),2),FALSE))</f>
        <v>強化結晶人的魔法</v>
      </c>
      <c r="R109" t="str">
        <f t="shared" si="10"/>
        <v>7043600-強化結晶人的魔法</v>
      </c>
      <c r="S109">
        <v>7043600</v>
      </c>
      <c r="T109" t="str">
        <f>IF(VALUE(S109)=0,"",VLOOKUP(VLOOKUP(S109,Tbl_Effect[],3,FALSE),EffectName[],IFERROR(MATCH(UI!$B$1,EffectName[#Headers],0),2),FALSE))</f>
        <v>強化結晶人的魔法</v>
      </c>
      <c r="U109" t="str">
        <f t="shared" si="11"/>
        <v/>
      </c>
      <c r="V109">
        <v>0</v>
      </c>
      <c r="W109" t="str">
        <f>IF(V109&lt;&gt;0,VLOOKUP(VLOOKUP(V109,Tbl_Effect[],3,FALSE),EffectName[],IFERROR(MATCH(UI!$B$1,EffectName[#Headers],0),2),FALSE),"")</f>
        <v/>
      </c>
      <c r="X109" t="str">
        <f t="shared" si="12"/>
        <v/>
      </c>
      <c r="Y109">
        <v>0</v>
      </c>
      <c r="Z109" t="str">
        <f>IF(Y109&lt;&gt;0,VLOOKUP(VLOOKUP(Y109,Tbl_Effect[],3,FALSE),EffectName[],IFERROR(MATCH(UI!$B$1,EffectName[#Headers],0),2),FALSE),"")</f>
        <v/>
      </c>
      <c r="AA109" t="str">
        <f t="shared" si="13"/>
        <v/>
      </c>
      <c r="AB109">
        <v>0</v>
      </c>
      <c r="AC109" t="str">
        <f>IF(AB109&lt;&gt;0,VLOOKUP(VLOOKUP(AB109,Tbl_Effect[],3,FALSE),EffectName[],IFERROR(MATCH(UI!$B$1,EffectName[#Headers],0),2),FALSE),"")</f>
        <v/>
      </c>
      <c r="AE109">
        <v>7043300</v>
      </c>
      <c r="AF109">
        <v>7043600</v>
      </c>
      <c r="AG109">
        <v>7043600</v>
      </c>
    </row>
    <row r="110" spans="8:33" x14ac:dyDescent="0.4">
      <c r="H110" t="str">
        <f t="shared" si="7"/>
        <v>1270-遼闊的幽靜情景 (綠)</v>
      </c>
      <c r="I110">
        <v>1270</v>
      </c>
      <c r="J110" t="str">
        <f>_xlfn.IFNA(IF(I110&lt;&gt;0,VLOOKUP(VLOOKUP(I110,Tbl_Equip[],2,FALSE),Tbl_Color[],IFERROR(MATCH(UI!$B$1,Tbl_Color[#Headers],0),2),FALSE),""),"Unset")</f>
        <v>綠</v>
      </c>
      <c r="K110" t="str">
        <f>_xlfn.IFNA(IF(I110&lt;&gt;0,VLOOKUP(I110,ItemText[],IFERROR(MATCH(UI!$B$1,ItemText[#Headers],0),2),FALSE),""),"Unset")</f>
        <v>遼闊的幽靜情景</v>
      </c>
      <c r="L110" t="str">
        <f t="shared" si="8"/>
        <v>7043400-強化輝劍的魔法</v>
      </c>
      <c r="M110">
        <v>7043400</v>
      </c>
      <c r="N110" t="str">
        <f>IF(VALUE(M110)=0,"",VLOOKUP(VLOOKUP(M110,Tbl_Effect[],3,FALSE),EffectName[],IFERROR(MATCH(UI!$B$1,EffectName[#Headers],0),2),FALSE))</f>
        <v>強化輝劍的魔法</v>
      </c>
      <c r="O110" t="str">
        <f t="shared" si="9"/>
        <v>7043700-強化重力的魔法</v>
      </c>
      <c r="P110">
        <v>7043700</v>
      </c>
      <c r="Q110" t="str">
        <f>IF(VALUE(P110)=0,"",VLOOKUP(VLOOKUP(P110,Tbl_Effect[],3,FALSE),EffectName[],IFERROR(MATCH(UI!$B$1,EffectName[#Headers],0),2),FALSE))</f>
        <v>強化重力的魔法</v>
      </c>
      <c r="R110" t="str">
        <f t="shared" si="10"/>
        <v>7043700-強化重力的魔法</v>
      </c>
      <c r="S110">
        <v>7043700</v>
      </c>
      <c r="T110" t="str">
        <f>IF(VALUE(S110)=0,"",VLOOKUP(VLOOKUP(S110,Tbl_Effect[],3,FALSE),EffectName[],IFERROR(MATCH(UI!$B$1,EffectName[#Headers],0),2),FALSE))</f>
        <v>強化重力的魔法</v>
      </c>
      <c r="U110" t="str">
        <f t="shared" si="11"/>
        <v/>
      </c>
      <c r="V110">
        <v>0</v>
      </c>
      <c r="W110" t="str">
        <f>IF(V110&lt;&gt;0,VLOOKUP(VLOOKUP(V110,Tbl_Effect[],3,FALSE),EffectName[],IFERROR(MATCH(UI!$B$1,EffectName[#Headers],0),2),FALSE),"")</f>
        <v/>
      </c>
      <c r="X110" t="str">
        <f t="shared" si="12"/>
        <v/>
      </c>
      <c r="Y110">
        <v>0</v>
      </c>
      <c r="Z110" t="str">
        <f>IF(Y110&lt;&gt;0,VLOOKUP(VLOOKUP(Y110,Tbl_Effect[],3,FALSE),EffectName[],IFERROR(MATCH(UI!$B$1,EffectName[#Headers],0),2),FALSE),"")</f>
        <v/>
      </c>
      <c r="AA110" t="str">
        <f t="shared" si="13"/>
        <v/>
      </c>
      <c r="AB110">
        <v>0</v>
      </c>
      <c r="AC110" t="str">
        <f>IF(AB110&lt;&gt;0,VLOOKUP(VLOOKUP(AB110,Tbl_Effect[],3,FALSE),EffectName[],IFERROR(MATCH(UI!$B$1,EffectName[#Headers],0),2),FALSE),"")</f>
        <v/>
      </c>
      <c r="AE110">
        <v>7043400</v>
      </c>
      <c r="AF110">
        <v>7043700</v>
      </c>
      <c r="AG110">
        <v>7043700</v>
      </c>
    </row>
    <row r="111" spans="8:33" x14ac:dyDescent="0.4">
      <c r="H111" t="str">
        <f t="shared" si="7"/>
        <v>1300-遼闊的火燃情景 (紅)</v>
      </c>
      <c r="I111">
        <v>1300</v>
      </c>
      <c r="J111" t="str">
        <f>_xlfn.IFNA(IF(I111&lt;&gt;0,VLOOKUP(VLOOKUP(I111,Tbl_Equip[],2,FALSE),Tbl_Color[],IFERROR(MATCH(UI!$B$1,Tbl_Color[#Headers],0),2),FALSE),""),"Unset")</f>
        <v>紅</v>
      </c>
      <c r="K111" t="str">
        <f>_xlfn.IFNA(IF(I111&lt;&gt;0,VLOOKUP(I111,ItemText[],IFERROR(MATCH(UI!$B$1,ItemText[#Headers],0),2),FALSE),""),"Unset")</f>
        <v>遼闊的火燃情景</v>
      </c>
      <c r="L111" t="str">
        <f t="shared" si="8"/>
        <v>7043500-強化隱形的魔法</v>
      </c>
      <c r="M111">
        <v>7043500</v>
      </c>
      <c r="N111" t="str">
        <f>IF(VALUE(M111)=0,"",VLOOKUP(VLOOKUP(M111,Tbl_Effect[],3,FALSE),EffectName[],IFERROR(MATCH(UI!$B$1,EffectName[#Headers],0),2),FALSE))</f>
        <v>強化隱形的魔法</v>
      </c>
      <c r="O111" t="str">
        <f t="shared" si="9"/>
        <v>7043800-強化荊棘的魔法</v>
      </c>
      <c r="P111">
        <v>7043800</v>
      </c>
      <c r="Q111" t="str">
        <f>IF(VALUE(P111)=0,"",VLOOKUP(VLOOKUP(P111,Tbl_Effect[],3,FALSE),EffectName[],IFERROR(MATCH(UI!$B$1,EffectName[#Headers],0),2),FALSE))</f>
        <v>強化荊棘的魔法</v>
      </c>
      <c r="R111" t="str">
        <f t="shared" si="10"/>
        <v>7043800-強化荊棘的魔法</v>
      </c>
      <c r="S111">
        <v>7043800</v>
      </c>
      <c r="T111" t="str">
        <f>IF(VALUE(S111)=0,"",VLOOKUP(VLOOKUP(S111,Tbl_Effect[],3,FALSE),EffectName[],IFERROR(MATCH(UI!$B$1,EffectName[#Headers],0),2),FALSE))</f>
        <v>強化荊棘的魔法</v>
      </c>
      <c r="U111" t="str">
        <f t="shared" si="11"/>
        <v/>
      </c>
      <c r="V111">
        <v>0</v>
      </c>
      <c r="W111" t="str">
        <f>IF(V111&lt;&gt;0,VLOOKUP(VLOOKUP(V111,Tbl_Effect[],3,FALSE),EffectName[],IFERROR(MATCH(UI!$B$1,EffectName[#Headers],0),2),FALSE),"")</f>
        <v/>
      </c>
      <c r="X111" t="str">
        <f t="shared" si="12"/>
        <v/>
      </c>
      <c r="Y111">
        <v>0</v>
      </c>
      <c r="Z111" t="str">
        <f>IF(Y111&lt;&gt;0,VLOOKUP(VLOOKUP(Y111,Tbl_Effect[],3,FALSE),EffectName[],IFERROR(MATCH(UI!$B$1,EffectName[#Headers],0),2),FALSE),"")</f>
        <v/>
      </c>
      <c r="AA111" t="str">
        <f t="shared" si="13"/>
        <v/>
      </c>
      <c r="AB111">
        <v>0</v>
      </c>
      <c r="AC111" t="str">
        <f>IF(AB111&lt;&gt;0,VLOOKUP(VLOOKUP(AB111,Tbl_Effect[],3,FALSE),EffectName[],IFERROR(MATCH(UI!$B$1,EffectName[#Headers],0),2),FALSE),"")</f>
        <v/>
      </c>
      <c r="AE111">
        <v>7043500</v>
      </c>
      <c r="AF111">
        <v>7043800</v>
      </c>
      <c r="AG111">
        <v>7043800</v>
      </c>
    </row>
    <row r="112" spans="8:33" x14ac:dyDescent="0.4">
      <c r="H112" t="str">
        <f t="shared" si="7"/>
        <v>1310-遼闊的幽靜情景 (綠)</v>
      </c>
      <c r="I112">
        <v>1310</v>
      </c>
      <c r="J112" t="str">
        <f>_xlfn.IFNA(IF(I112&lt;&gt;0,VLOOKUP(VLOOKUP(I112,Tbl_Equip[],2,FALSE),Tbl_Color[],IFERROR(MATCH(UI!$B$1,Tbl_Color[#Headers],0),2),FALSE),""),"Unset")</f>
        <v>綠</v>
      </c>
      <c r="K112" t="str">
        <f>_xlfn.IFNA(IF(I112&lt;&gt;0,VLOOKUP(I112,ItemText[],IFERROR(MATCH(UI!$B$1,ItemText[#Headers],0),2),FALSE),""),"Unset")</f>
        <v>遼闊的幽靜情景</v>
      </c>
      <c r="L112" t="str">
        <f t="shared" si="8"/>
        <v>7043600-強化結晶人的魔法</v>
      </c>
      <c r="M112">
        <v>7043600</v>
      </c>
      <c r="N112" t="str">
        <f>IF(VALUE(M112)=0,"",VLOOKUP(VLOOKUP(M112,Tbl_Effect[],3,FALSE),EffectName[],IFERROR(MATCH(UI!$B$1,EffectName[#Headers],0),2),FALSE))</f>
        <v>強化結晶人的魔法</v>
      </c>
      <c r="O112" t="str">
        <f t="shared" si="9"/>
        <v>7044000-強化黃金律法基本主義的禱告</v>
      </c>
      <c r="P112">
        <v>7044000</v>
      </c>
      <c r="Q112" t="str">
        <f>IF(VALUE(P112)=0,"",VLOOKUP(VLOOKUP(P112,Tbl_Effect[],3,FALSE),EffectName[],IFERROR(MATCH(UI!$B$1,EffectName[#Headers],0),2),FALSE))</f>
        <v>強化黃金律法基本主義的禱告</v>
      </c>
      <c r="R112" t="str">
        <f t="shared" si="10"/>
        <v>7044000-強化黃金律法基本主義的禱告</v>
      </c>
      <c r="S112">
        <v>7044000</v>
      </c>
      <c r="T112" t="str">
        <f>IF(VALUE(S112)=0,"",VLOOKUP(VLOOKUP(S112,Tbl_Effect[],3,FALSE),EffectName[],IFERROR(MATCH(UI!$B$1,EffectName[#Headers],0),2),FALSE))</f>
        <v>強化黃金律法基本主義的禱告</v>
      </c>
      <c r="U112" t="str">
        <f t="shared" si="11"/>
        <v/>
      </c>
      <c r="V112">
        <v>0</v>
      </c>
      <c r="W112" t="str">
        <f>IF(V112&lt;&gt;0,VLOOKUP(VLOOKUP(V112,Tbl_Effect[],3,FALSE),EffectName[],IFERROR(MATCH(UI!$B$1,EffectName[#Headers],0),2),FALSE),"")</f>
        <v/>
      </c>
      <c r="X112" t="str">
        <f t="shared" si="12"/>
        <v/>
      </c>
      <c r="Y112">
        <v>0</v>
      </c>
      <c r="Z112" t="str">
        <f>IF(Y112&lt;&gt;0,VLOOKUP(VLOOKUP(Y112,Tbl_Effect[],3,FALSE),EffectName[],IFERROR(MATCH(UI!$B$1,EffectName[#Headers],0),2),FALSE),"")</f>
        <v/>
      </c>
      <c r="AA112" t="str">
        <f t="shared" si="13"/>
        <v/>
      </c>
      <c r="AB112">
        <v>0</v>
      </c>
      <c r="AC112" t="str">
        <f>IF(AB112&lt;&gt;0,VLOOKUP(VLOOKUP(AB112,Tbl_Effect[],3,FALSE),EffectName[],IFERROR(MATCH(UI!$B$1,EffectName[#Headers],0),2),FALSE),"")</f>
        <v/>
      </c>
      <c r="AE112">
        <v>7043600</v>
      </c>
      <c r="AF112">
        <v>7044000</v>
      </c>
      <c r="AG112">
        <v>7044000</v>
      </c>
    </row>
    <row r="113" spans="8:33" x14ac:dyDescent="0.4">
      <c r="H113" t="str">
        <f t="shared" si="7"/>
        <v>1400-遼闊的水滴情景 (藍)</v>
      </c>
      <c r="I113">
        <v>1400</v>
      </c>
      <c r="J113" t="str">
        <f>_xlfn.IFNA(IF(I113&lt;&gt;0,VLOOKUP(VLOOKUP(I113,Tbl_Equip[],2,FALSE),Tbl_Color[],IFERROR(MATCH(UI!$B$1,Tbl_Color[#Headers],0),2),FALSE),""),"Unset")</f>
        <v>藍</v>
      </c>
      <c r="K113" t="str">
        <f>_xlfn.IFNA(IF(I113&lt;&gt;0,VLOOKUP(I113,ItemText[],IFERROR(MATCH(UI!$B$1,ItemText[#Headers],0),2),FALSE),""),"Unset")</f>
        <v>遼闊的水滴情景</v>
      </c>
      <c r="L113" t="str">
        <f t="shared" si="8"/>
        <v>7043700-強化重力的魔法</v>
      </c>
      <c r="M113">
        <v>7043700</v>
      </c>
      <c r="N113" t="str">
        <f>IF(VALUE(M113)=0,"",VLOOKUP(VLOOKUP(M113,Tbl_Effect[],3,FALSE),EffectName[],IFERROR(MATCH(UI!$B$1,EffectName[#Headers],0),2),FALSE))</f>
        <v>強化重力的魔法</v>
      </c>
      <c r="O113" t="str">
        <f t="shared" si="9"/>
        <v>7044100-強化王城古龍信仰的禱告</v>
      </c>
      <c r="P113">
        <v>7044100</v>
      </c>
      <c r="Q113" t="str">
        <f>IF(VALUE(P113)=0,"",VLOOKUP(VLOOKUP(P113,Tbl_Effect[],3,FALSE),EffectName[],IFERROR(MATCH(UI!$B$1,EffectName[#Headers],0),2),FALSE))</f>
        <v>強化王城古龍信仰的禱告</v>
      </c>
      <c r="R113" t="str">
        <f t="shared" si="10"/>
        <v>7044100-強化王城古龍信仰的禱告</v>
      </c>
      <c r="S113">
        <v>7044100</v>
      </c>
      <c r="T113" t="str">
        <f>IF(VALUE(S113)=0,"",VLOOKUP(VLOOKUP(S113,Tbl_Effect[],3,FALSE),EffectName[],IFERROR(MATCH(UI!$B$1,EffectName[#Headers],0),2),FALSE))</f>
        <v>強化王城古龍信仰的禱告</v>
      </c>
      <c r="U113" t="str">
        <f t="shared" si="11"/>
        <v/>
      </c>
      <c r="V113">
        <v>0</v>
      </c>
      <c r="W113" t="str">
        <f>IF(V113&lt;&gt;0,VLOOKUP(VLOOKUP(V113,Tbl_Effect[],3,FALSE),EffectName[],IFERROR(MATCH(UI!$B$1,EffectName[#Headers],0),2),FALSE),"")</f>
        <v/>
      </c>
      <c r="X113" t="str">
        <f t="shared" si="12"/>
        <v/>
      </c>
      <c r="Y113">
        <v>0</v>
      </c>
      <c r="Z113" t="str">
        <f>IF(Y113&lt;&gt;0,VLOOKUP(VLOOKUP(Y113,Tbl_Effect[],3,FALSE),EffectName[],IFERROR(MATCH(UI!$B$1,EffectName[#Headers],0),2),FALSE),"")</f>
        <v/>
      </c>
      <c r="AA113" t="str">
        <f t="shared" si="13"/>
        <v/>
      </c>
      <c r="AB113">
        <v>0</v>
      </c>
      <c r="AC113" t="str">
        <f>IF(AB113&lt;&gt;0,VLOOKUP(VLOOKUP(AB113,Tbl_Effect[],3,FALSE),EffectName[],IFERROR(MATCH(UI!$B$1,EffectName[#Headers],0),2),FALSE),"")</f>
        <v/>
      </c>
      <c r="AE113">
        <v>7043700</v>
      </c>
      <c r="AF113">
        <v>7044100</v>
      </c>
      <c r="AG113">
        <v>7044100</v>
      </c>
    </row>
    <row r="114" spans="8:33" x14ac:dyDescent="0.4">
      <c r="H114" t="str">
        <f t="shared" si="7"/>
        <v>1410-遼闊的火燃情景 (紅)</v>
      </c>
      <c r="I114">
        <v>1410</v>
      </c>
      <c r="J114" t="str">
        <f>_xlfn.IFNA(IF(I114&lt;&gt;0,VLOOKUP(VLOOKUP(I114,Tbl_Equip[],2,FALSE),Tbl_Color[],IFERROR(MATCH(UI!$B$1,Tbl_Color[#Headers],0),2),FALSE),""),"Unset")</f>
        <v>紅</v>
      </c>
      <c r="K114" t="str">
        <f>_xlfn.IFNA(IF(I114&lt;&gt;0,VLOOKUP(I114,ItemText[],IFERROR(MATCH(UI!$B$1,ItemText[#Headers],0),2),FALSE),""),"Unset")</f>
        <v>遼闊的火燃情景</v>
      </c>
      <c r="L114" t="str">
        <f t="shared" si="8"/>
        <v>7043800-強化荊棘的魔法</v>
      </c>
      <c r="M114">
        <v>7043800</v>
      </c>
      <c r="N114" t="str">
        <f>IF(VALUE(M114)=0,"",VLOOKUP(VLOOKUP(M114,Tbl_Effect[],3,FALSE),EffectName[],IFERROR(MATCH(UI!$B$1,EffectName[#Headers],0),2),FALSE))</f>
        <v>強化荊棘的魔法</v>
      </c>
      <c r="O114" t="str">
        <f t="shared" si="9"/>
        <v>7044200-強化巨人火焰的禱告</v>
      </c>
      <c r="P114">
        <v>7044200</v>
      </c>
      <c r="Q114" t="str">
        <f>IF(VALUE(P114)=0,"",VLOOKUP(VLOOKUP(P114,Tbl_Effect[],3,FALSE),EffectName[],IFERROR(MATCH(UI!$B$1,EffectName[#Headers],0),2),FALSE))</f>
        <v>強化巨人火焰的禱告</v>
      </c>
      <c r="R114" t="str">
        <f t="shared" si="10"/>
        <v>7044200-強化巨人火焰的禱告</v>
      </c>
      <c r="S114">
        <v>7044200</v>
      </c>
      <c r="T114" t="str">
        <f>IF(VALUE(S114)=0,"",VLOOKUP(VLOOKUP(S114,Tbl_Effect[],3,FALSE),EffectName[],IFERROR(MATCH(UI!$B$1,EffectName[#Headers],0),2),FALSE))</f>
        <v>強化巨人火焰的禱告</v>
      </c>
      <c r="U114" t="str">
        <f t="shared" si="11"/>
        <v/>
      </c>
      <c r="V114">
        <v>0</v>
      </c>
      <c r="W114" t="str">
        <f>IF(V114&lt;&gt;0,VLOOKUP(VLOOKUP(V114,Tbl_Effect[],3,FALSE),EffectName[],IFERROR(MATCH(UI!$B$1,EffectName[#Headers],0),2),FALSE),"")</f>
        <v/>
      </c>
      <c r="X114" t="str">
        <f t="shared" si="12"/>
        <v/>
      </c>
      <c r="Y114">
        <v>0</v>
      </c>
      <c r="Z114" t="str">
        <f>IF(Y114&lt;&gt;0,VLOOKUP(VLOOKUP(Y114,Tbl_Effect[],3,FALSE),EffectName[],IFERROR(MATCH(UI!$B$1,EffectName[#Headers],0),2),FALSE),"")</f>
        <v/>
      </c>
      <c r="AA114" t="str">
        <f t="shared" si="13"/>
        <v/>
      </c>
      <c r="AB114">
        <v>0</v>
      </c>
      <c r="AC114" t="str">
        <f>IF(AB114&lt;&gt;0,VLOOKUP(VLOOKUP(AB114,Tbl_Effect[],3,FALSE),EffectName[],IFERROR(MATCH(UI!$B$1,EffectName[#Headers],0),2),FALSE),"")</f>
        <v/>
      </c>
      <c r="AE114">
        <v>7043800</v>
      </c>
      <c r="AF114">
        <v>7044200</v>
      </c>
      <c r="AG114">
        <v>7044200</v>
      </c>
    </row>
    <row r="115" spans="8:33" x14ac:dyDescent="0.4">
      <c r="H115" t="str">
        <f t="shared" si="7"/>
        <v>1420-遼闊的幽靜情景 (綠)</v>
      </c>
      <c r="I115">
        <v>1420</v>
      </c>
      <c r="J115" t="str">
        <f>_xlfn.IFNA(IF(I115&lt;&gt;0,VLOOKUP(VLOOKUP(I115,Tbl_Equip[],2,FALSE),Tbl_Color[],IFERROR(MATCH(UI!$B$1,Tbl_Color[#Headers],0),2),FALSE),""),"Unset")</f>
        <v>綠</v>
      </c>
      <c r="K115" t="str">
        <f>_xlfn.IFNA(IF(I115&lt;&gt;0,VLOOKUP(I115,ItemText[],IFERROR(MATCH(UI!$B$1,ItemText[#Headers],0),2),FALSE),""),"Unset")</f>
        <v>遼闊的幽靜情景</v>
      </c>
      <c r="L115" t="str">
        <f t="shared" si="8"/>
        <v>7044000-強化黃金律法基本主義的禱告</v>
      </c>
      <c r="M115">
        <v>7044000</v>
      </c>
      <c r="N115" t="str">
        <f>IF(VALUE(M115)=0,"",VLOOKUP(VLOOKUP(M115,Tbl_Effect[],3,FALSE),EffectName[],IFERROR(MATCH(UI!$B$1,EffectName[#Headers],0),2),FALSE))</f>
        <v>強化黃金律法基本主義的禱告</v>
      </c>
      <c r="O115" t="str">
        <f t="shared" si="9"/>
        <v>7044300-強化狩獵神祇的禱告</v>
      </c>
      <c r="P115">
        <v>7044300</v>
      </c>
      <c r="Q115" t="str">
        <f>IF(VALUE(P115)=0,"",VLOOKUP(VLOOKUP(P115,Tbl_Effect[],3,FALSE),EffectName[],IFERROR(MATCH(UI!$B$1,EffectName[#Headers],0),2),FALSE))</f>
        <v>強化狩獵神祇的禱告</v>
      </c>
      <c r="R115" t="str">
        <f t="shared" si="10"/>
        <v>7044300-強化狩獵神祇的禱告</v>
      </c>
      <c r="S115">
        <v>7044300</v>
      </c>
      <c r="T115" t="str">
        <f>IF(VALUE(S115)=0,"",VLOOKUP(VLOOKUP(S115,Tbl_Effect[],3,FALSE),EffectName[],IFERROR(MATCH(UI!$B$1,EffectName[#Headers],0),2),FALSE))</f>
        <v>強化狩獵神祇的禱告</v>
      </c>
      <c r="U115" t="str">
        <f t="shared" si="11"/>
        <v/>
      </c>
      <c r="V115">
        <v>0</v>
      </c>
      <c r="W115" t="str">
        <f>IF(V115&lt;&gt;0,VLOOKUP(VLOOKUP(V115,Tbl_Effect[],3,FALSE),EffectName[],IFERROR(MATCH(UI!$B$1,EffectName[#Headers],0),2),FALSE),"")</f>
        <v/>
      </c>
      <c r="X115" t="str">
        <f t="shared" si="12"/>
        <v/>
      </c>
      <c r="Y115">
        <v>0</v>
      </c>
      <c r="Z115" t="str">
        <f>IF(Y115&lt;&gt;0,VLOOKUP(VLOOKUP(Y115,Tbl_Effect[],3,FALSE),EffectName[],IFERROR(MATCH(UI!$B$1,EffectName[#Headers],0),2),FALSE),"")</f>
        <v/>
      </c>
      <c r="AA115" t="str">
        <f t="shared" si="13"/>
        <v/>
      </c>
      <c r="AB115">
        <v>0</v>
      </c>
      <c r="AC115" t="str">
        <f>IF(AB115&lt;&gt;0,VLOOKUP(VLOOKUP(AB115,Tbl_Effect[],3,FALSE),EffectName[],IFERROR(MATCH(UI!$B$1,EffectName[#Headers],0),2),FALSE),"")</f>
        <v/>
      </c>
      <c r="AE115">
        <v>7044000</v>
      </c>
      <c r="AF115">
        <v>7044300</v>
      </c>
      <c r="AG115">
        <v>7044300</v>
      </c>
    </row>
    <row r="116" spans="8:33" x14ac:dyDescent="0.4">
      <c r="H116" t="str">
        <f t="shared" si="7"/>
        <v>1430-遼闊的幽靜情景 (綠)</v>
      </c>
      <c r="I116">
        <v>1430</v>
      </c>
      <c r="J116" t="str">
        <f>_xlfn.IFNA(IF(I116&lt;&gt;0,VLOOKUP(VLOOKUP(I116,Tbl_Equip[],2,FALSE),Tbl_Color[],IFERROR(MATCH(UI!$B$1,Tbl_Color[#Headers],0),2),FALSE),""),"Unset")</f>
        <v>綠</v>
      </c>
      <c r="K116" t="str">
        <f>_xlfn.IFNA(IF(I116&lt;&gt;0,VLOOKUP(I116,ItemText[],IFERROR(MATCH(UI!$B$1,ItemText[#Headers],0),2),FALSE),""),"Unset")</f>
        <v>遼闊的幽靜情景</v>
      </c>
      <c r="L116" t="str">
        <f t="shared" si="8"/>
        <v>7044100-強化王城古龍信仰的禱告</v>
      </c>
      <c r="M116">
        <v>7044100</v>
      </c>
      <c r="N116" t="str">
        <f>IF(VALUE(M116)=0,"",VLOOKUP(VLOOKUP(M116,Tbl_Effect[],3,FALSE),EffectName[],IFERROR(MATCH(UI!$B$1,EffectName[#Headers],0),2),FALSE))</f>
        <v>強化王城古龍信仰的禱告</v>
      </c>
      <c r="O116" t="str">
        <f t="shared" si="9"/>
        <v>7044400-強化野獸的禱告</v>
      </c>
      <c r="P116">
        <v>7044400</v>
      </c>
      <c r="Q116" t="str">
        <f>IF(VALUE(P116)=0,"",VLOOKUP(VLOOKUP(P116,Tbl_Effect[],3,FALSE),EffectName[],IFERROR(MATCH(UI!$B$1,EffectName[#Headers],0),2),FALSE))</f>
        <v>強化野獸的禱告</v>
      </c>
      <c r="R116" t="str">
        <f t="shared" si="10"/>
        <v>7044400-強化野獸的禱告</v>
      </c>
      <c r="S116">
        <v>7044400</v>
      </c>
      <c r="T116" t="str">
        <f>IF(VALUE(S116)=0,"",VLOOKUP(VLOOKUP(S116,Tbl_Effect[],3,FALSE),EffectName[],IFERROR(MATCH(UI!$B$1,EffectName[#Headers],0),2),FALSE))</f>
        <v>強化野獸的禱告</v>
      </c>
      <c r="U116" t="str">
        <f t="shared" si="11"/>
        <v/>
      </c>
      <c r="V116">
        <v>0</v>
      </c>
      <c r="W116" t="str">
        <f>IF(V116&lt;&gt;0,VLOOKUP(VLOOKUP(V116,Tbl_Effect[],3,FALSE),EffectName[],IFERROR(MATCH(UI!$B$1,EffectName[#Headers],0),2),FALSE),"")</f>
        <v/>
      </c>
      <c r="X116" t="str">
        <f t="shared" si="12"/>
        <v/>
      </c>
      <c r="Y116">
        <v>0</v>
      </c>
      <c r="Z116" t="str">
        <f>IF(Y116&lt;&gt;0,VLOOKUP(VLOOKUP(Y116,Tbl_Effect[],3,FALSE),EffectName[],IFERROR(MATCH(UI!$B$1,EffectName[#Headers],0),2),FALSE),"")</f>
        <v/>
      </c>
      <c r="AA116" t="str">
        <f t="shared" si="13"/>
        <v/>
      </c>
      <c r="AB116">
        <v>0</v>
      </c>
      <c r="AC116" t="str">
        <f>IF(AB116&lt;&gt;0,VLOOKUP(VLOOKUP(AB116,Tbl_Effect[],3,FALSE),EffectName[],IFERROR(MATCH(UI!$B$1,EffectName[#Headers],0),2),FALSE),"")</f>
        <v/>
      </c>
      <c r="AE116">
        <v>7044100</v>
      </c>
      <c r="AF116">
        <v>7044400</v>
      </c>
      <c r="AG116">
        <v>7044400</v>
      </c>
    </row>
    <row r="117" spans="8:33" x14ac:dyDescent="0.4">
      <c r="H117" t="str">
        <f t="shared" si="7"/>
        <v>1440-遼闊的火燃情景 (紅)</v>
      </c>
      <c r="I117">
        <v>1440</v>
      </c>
      <c r="J117" t="str">
        <f>_xlfn.IFNA(IF(I117&lt;&gt;0,VLOOKUP(VLOOKUP(I117,Tbl_Equip[],2,FALSE),Tbl_Color[],IFERROR(MATCH(UI!$B$1,Tbl_Color[#Headers],0),2),FALSE),""),"Unset")</f>
        <v>紅</v>
      </c>
      <c r="K117" t="str">
        <f>_xlfn.IFNA(IF(I117&lt;&gt;0,VLOOKUP(I117,ItemText[],IFERROR(MATCH(UI!$B$1,ItemText[#Headers],0),2),FALSE),""),"Unset")</f>
        <v>遼闊的火燃情景</v>
      </c>
      <c r="L117" t="str">
        <f t="shared" si="8"/>
        <v>7044200-強化巨人火焰的禱告</v>
      </c>
      <c r="M117">
        <v>7044200</v>
      </c>
      <c r="N117" t="str">
        <f>IF(VALUE(M117)=0,"",VLOOKUP(VLOOKUP(M117,Tbl_Effect[],3,FALSE),EffectName[],IFERROR(MATCH(UI!$B$1,EffectName[#Headers],0),2),FALSE))</f>
        <v>強化巨人火焰的禱告</v>
      </c>
      <c r="O117" t="str">
        <f t="shared" si="9"/>
        <v>7044500-強化癲火的禱告</v>
      </c>
      <c r="P117">
        <v>7044500</v>
      </c>
      <c r="Q117" t="str">
        <f>IF(VALUE(P117)=0,"",VLOOKUP(VLOOKUP(P117,Tbl_Effect[],3,FALSE),EffectName[],IFERROR(MATCH(UI!$B$1,EffectName[#Headers],0),2),FALSE))</f>
        <v>強化癲火的禱告</v>
      </c>
      <c r="R117" t="str">
        <f t="shared" si="10"/>
        <v>7044500-強化癲火的禱告</v>
      </c>
      <c r="S117">
        <v>7044500</v>
      </c>
      <c r="T117" t="str">
        <f>IF(VALUE(S117)=0,"",VLOOKUP(VLOOKUP(S117,Tbl_Effect[],3,FALSE),EffectName[],IFERROR(MATCH(UI!$B$1,EffectName[#Headers],0),2),FALSE))</f>
        <v>強化癲火的禱告</v>
      </c>
      <c r="U117" t="str">
        <f t="shared" si="11"/>
        <v/>
      </c>
      <c r="V117">
        <v>0</v>
      </c>
      <c r="W117" t="str">
        <f>IF(V117&lt;&gt;0,VLOOKUP(VLOOKUP(V117,Tbl_Effect[],3,FALSE),EffectName[],IFERROR(MATCH(UI!$B$1,EffectName[#Headers],0),2),FALSE),"")</f>
        <v/>
      </c>
      <c r="X117" t="str">
        <f t="shared" si="12"/>
        <v/>
      </c>
      <c r="Y117">
        <v>0</v>
      </c>
      <c r="Z117" t="str">
        <f>IF(Y117&lt;&gt;0,VLOOKUP(VLOOKUP(Y117,Tbl_Effect[],3,FALSE),EffectName[],IFERROR(MATCH(UI!$B$1,EffectName[#Headers],0),2),FALSE),"")</f>
        <v/>
      </c>
      <c r="AA117" t="str">
        <f t="shared" si="13"/>
        <v/>
      </c>
      <c r="AB117">
        <v>0</v>
      </c>
      <c r="AC117" t="str">
        <f>IF(AB117&lt;&gt;0,VLOOKUP(VLOOKUP(AB117,Tbl_Effect[],3,FALSE),EffectName[],IFERROR(MATCH(UI!$B$1,EffectName[#Headers],0),2),FALSE),"")</f>
        <v/>
      </c>
      <c r="AE117">
        <v>7044200</v>
      </c>
      <c r="AF117">
        <v>7044500</v>
      </c>
      <c r="AG117">
        <v>7044500</v>
      </c>
    </row>
    <row r="118" spans="8:33" x14ac:dyDescent="0.4">
      <c r="H118" t="str">
        <f t="shared" si="7"/>
        <v>1450-遼闊的光耀情景 (黃)</v>
      </c>
      <c r="I118">
        <v>1450</v>
      </c>
      <c r="J118" t="str">
        <f>_xlfn.IFNA(IF(I118&lt;&gt;0,VLOOKUP(VLOOKUP(I118,Tbl_Equip[],2,FALSE),Tbl_Color[],IFERROR(MATCH(UI!$B$1,Tbl_Color[#Headers],0),2),FALSE),""),"Unset")</f>
        <v>黃</v>
      </c>
      <c r="K118" t="str">
        <f>_xlfn.IFNA(IF(I118&lt;&gt;0,VLOOKUP(I118,ItemText[],IFERROR(MATCH(UI!$B$1,ItemText[#Headers],0),2),FALSE),""),"Unset")</f>
        <v>遼闊的光耀情景</v>
      </c>
      <c r="L118" t="str">
        <f t="shared" si="8"/>
        <v>7044300-強化狩獵神祇的禱告</v>
      </c>
      <c r="M118">
        <v>7044300</v>
      </c>
      <c r="N118" t="str">
        <f>IF(VALUE(M118)=0,"",VLOOKUP(VLOOKUP(M118,Tbl_Effect[],3,FALSE),EffectName[],IFERROR(MATCH(UI!$B$1,EffectName[#Headers],0),2),FALSE))</f>
        <v>強化狩獵神祇的禱告</v>
      </c>
      <c r="O118" t="str">
        <f t="shared" si="9"/>
        <v>7044600-強化龍饗的禱告</v>
      </c>
      <c r="P118">
        <v>7044600</v>
      </c>
      <c r="Q118" t="str">
        <f>IF(VALUE(P118)=0,"",VLOOKUP(VLOOKUP(P118,Tbl_Effect[],3,FALSE),EffectName[],IFERROR(MATCH(UI!$B$1,EffectName[#Headers],0),2),FALSE))</f>
        <v>強化龍饗的禱告</v>
      </c>
      <c r="R118" t="str">
        <f t="shared" si="10"/>
        <v>7044600-強化龍饗的禱告</v>
      </c>
      <c r="S118">
        <v>7044600</v>
      </c>
      <c r="T118" t="str">
        <f>IF(VALUE(S118)=0,"",VLOOKUP(VLOOKUP(S118,Tbl_Effect[],3,FALSE),EffectName[],IFERROR(MATCH(UI!$B$1,EffectName[#Headers],0),2),FALSE))</f>
        <v>強化龍饗的禱告</v>
      </c>
      <c r="U118" t="str">
        <f t="shared" si="11"/>
        <v/>
      </c>
      <c r="V118">
        <v>0</v>
      </c>
      <c r="W118" t="str">
        <f>IF(V118&lt;&gt;0,VLOOKUP(VLOOKUP(V118,Tbl_Effect[],3,FALSE),EffectName[],IFERROR(MATCH(UI!$B$1,EffectName[#Headers],0),2),FALSE),"")</f>
        <v/>
      </c>
      <c r="X118" t="str">
        <f t="shared" si="12"/>
        <v/>
      </c>
      <c r="Y118">
        <v>0</v>
      </c>
      <c r="Z118" t="str">
        <f>IF(Y118&lt;&gt;0,VLOOKUP(VLOOKUP(Y118,Tbl_Effect[],3,FALSE),EffectName[],IFERROR(MATCH(UI!$B$1,EffectName[#Headers],0),2),FALSE),"")</f>
        <v/>
      </c>
      <c r="AA118" t="str">
        <f t="shared" si="13"/>
        <v/>
      </c>
      <c r="AB118">
        <v>0</v>
      </c>
      <c r="AC118" t="str">
        <f>IF(AB118&lt;&gt;0,VLOOKUP(VLOOKUP(AB118,Tbl_Effect[],3,FALSE),EffectName[],IFERROR(MATCH(UI!$B$1,EffectName[#Headers],0),2),FALSE),"")</f>
        <v/>
      </c>
      <c r="AE118">
        <v>7044300</v>
      </c>
      <c r="AF118">
        <v>7044600</v>
      </c>
      <c r="AG118">
        <v>7044600</v>
      </c>
    </row>
    <row r="119" spans="8:33" x14ac:dyDescent="0.4">
      <c r="H119" t="str">
        <f t="shared" si="7"/>
        <v>1460-遼闊的水滴情景 (藍)</v>
      </c>
      <c r="I119">
        <v>1460</v>
      </c>
      <c r="J119" t="str">
        <f>_xlfn.IFNA(IF(I119&lt;&gt;0,VLOOKUP(VLOOKUP(I119,Tbl_Equip[],2,FALSE),Tbl_Color[],IFERROR(MATCH(UI!$B$1,Tbl_Color[#Headers],0),2),FALSE),""),"Unset")</f>
        <v>藍</v>
      </c>
      <c r="K119" t="str">
        <f>_xlfn.IFNA(IF(I119&lt;&gt;0,VLOOKUP(I119,ItemText[],IFERROR(MATCH(UI!$B$1,ItemText[#Headers],0),2),FALSE),""),"Unset")</f>
        <v>遼闊的水滴情景</v>
      </c>
      <c r="L119" t="str">
        <f t="shared" si="8"/>
        <v>7044400-強化野獸的禱告</v>
      </c>
      <c r="M119">
        <v>7044400</v>
      </c>
      <c r="N119" t="str">
        <f>IF(VALUE(M119)=0,"",VLOOKUP(VLOOKUP(M119,Tbl_Effect[],3,FALSE),EffectName[],IFERROR(MATCH(UI!$B$1,EffectName[#Headers],0),2),FALSE))</f>
        <v>強化野獸的禱告</v>
      </c>
      <c r="O119" t="str">
        <f t="shared" si="9"/>
        <v>7050000-不包含自己，提升周圍我方人物的精力恢復速度</v>
      </c>
      <c r="P119">
        <v>7050000</v>
      </c>
      <c r="Q119" t="str">
        <f>IF(VALUE(P119)=0,"",VLOOKUP(VLOOKUP(P119,Tbl_Effect[],3,FALSE),EffectName[],IFERROR(MATCH(UI!$B$1,EffectName[#Headers],0),2),FALSE))</f>
        <v>不包含自己，提升周圍我方人物的精力恢復速度</v>
      </c>
      <c r="R119" t="str">
        <f t="shared" si="10"/>
        <v>7050000-不包含自己，提升周圍我方人物的精力恢復速度</v>
      </c>
      <c r="S119">
        <v>7050000</v>
      </c>
      <c r="T119" t="str">
        <f>IF(VALUE(S119)=0,"",VLOOKUP(VLOOKUP(S119,Tbl_Effect[],3,FALSE),EffectName[],IFERROR(MATCH(UI!$B$1,EffectName[#Headers],0),2),FALSE))</f>
        <v>不包含自己，提升周圍我方人物的精力恢復速度</v>
      </c>
      <c r="U119" t="str">
        <f t="shared" si="11"/>
        <v/>
      </c>
      <c r="V119">
        <v>0</v>
      </c>
      <c r="W119" t="str">
        <f>IF(V119&lt;&gt;0,VLOOKUP(VLOOKUP(V119,Tbl_Effect[],3,FALSE),EffectName[],IFERROR(MATCH(UI!$B$1,EffectName[#Headers],0),2),FALSE),"")</f>
        <v/>
      </c>
      <c r="X119" t="str">
        <f t="shared" si="12"/>
        <v/>
      </c>
      <c r="Y119">
        <v>0</v>
      </c>
      <c r="Z119" t="str">
        <f>IF(Y119&lt;&gt;0,VLOOKUP(VLOOKUP(Y119,Tbl_Effect[],3,FALSE),EffectName[],IFERROR(MATCH(UI!$B$1,EffectName[#Headers],0),2),FALSE),"")</f>
        <v/>
      </c>
      <c r="AA119" t="str">
        <f t="shared" si="13"/>
        <v/>
      </c>
      <c r="AB119">
        <v>0</v>
      </c>
      <c r="AC119" t="str">
        <f>IF(AB119&lt;&gt;0,VLOOKUP(VLOOKUP(AB119,Tbl_Effect[],3,FALSE),EffectName[],IFERROR(MATCH(UI!$B$1,EffectName[#Headers],0),2),FALSE),"")</f>
        <v/>
      </c>
      <c r="AE119">
        <v>7044400</v>
      </c>
      <c r="AF119">
        <v>7050000</v>
      </c>
      <c r="AG119">
        <v>7050000</v>
      </c>
    </row>
    <row r="120" spans="8:33" x14ac:dyDescent="0.4">
      <c r="H120" t="str">
        <f t="shared" si="7"/>
        <v>1470-遼闊的光耀情景 (黃)</v>
      </c>
      <c r="I120">
        <v>1470</v>
      </c>
      <c r="J120" t="str">
        <f>_xlfn.IFNA(IF(I120&lt;&gt;0,VLOOKUP(VLOOKUP(I120,Tbl_Equip[],2,FALSE),Tbl_Color[],IFERROR(MATCH(UI!$B$1,Tbl_Color[#Headers],0),2),FALSE),""),"Unset")</f>
        <v>黃</v>
      </c>
      <c r="K120" t="str">
        <f>_xlfn.IFNA(IF(I120&lt;&gt;0,VLOOKUP(I120,ItemText[],IFERROR(MATCH(UI!$B$1,ItemText[#Headers],0),2),FALSE),""),"Unset")</f>
        <v>遼闊的光耀情景</v>
      </c>
      <c r="L120" t="str">
        <f t="shared" si="8"/>
        <v>7044500-強化癲火的禱告</v>
      </c>
      <c r="M120">
        <v>7044500</v>
      </c>
      <c r="N120" t="str">
        <f>IF(VALUE(M120)=0,"",VLOOKUP(VLOOKUP(M120,Tbl_Effect[],3,FALSE),EffectName[],IFERROR(MATCH(UI!$B$1,EffectName[#Headers],0),2),FALSE))</f>
        <v>強化癲火的禱告</v>
      </c>
      <c r="O120" t="str">
        <f t="shared" si="9"/>
        <v>7050100-道具效用能擴及我方人物</v>
      </c>
      <c r="P120">
        <v>7050100</v>
      </c>
      <c r="Q120" t="str">
        <f>IF(VALUE(P120)=0,"",VLOOKUP(VLOOKUP(P120,Tbl_Effect[],3,FALSE),EffectName[],IFERROR(MATCH(UI!$B$1,EffectName[#Headers],0),2),FALSE))</f>
        <v>道具效用能擴及我方人物</v>
      </c>
      <c r="R120" t="str">
        <f t="shared" si="10"/>
        <v>7050100-道具效用能擴及我方人物</v>
      </c>
      <c r="S120">
        <v>7050100</v>
      </c>
      <c r="T120" t="str">
        <f>IF(VALUE(S120)=0,"",VLOOKUP(VLOOKUP(S120,Tbl_Effect[],3,FALSE),EffectName[],IFERROR(MATCH(UI!$B$1,EffectName[#Headers],0),2),FALSE))</f>
        <v>道具效用能擴及我方人物</v>
      </c>
      <c r="U120" t="str">
        <f t="shared" si="11"/>
        <v/>
      </c>
      <c r="V120">
        <v>0</v>
      </c>
      <c r="W120" t="str">
        <f>IF(V120&lt;&gt;0,VLOOKUP(VLOOKUP(V120,Tbl_Effect[],3,FALSE),EffectName[],IFERROR(MATCH(UI!$B$1,EffectName[#Headers],0),2),FALSE),"")</f>
        <v/>
      </c>
      <c r="X120" t="str">
        <f t="shared" si="12"/>
        <v/>
      </c>
      <c r="Y120">
        <v>0</v>
      </c>
      <c r="Z120" t="str">
        <f>IF(Y120&lt;&gt;0,VLOOKUP(VLOOKUP(Y120,Tbl_Effect[],3,FALSE),EffectName[],IFERROR(MATCH(UI!$B$1,EffectName[#Headers],0),2),FALSE),"")</f>
        <v/>
      </c>
      <c r="AA120" t="str">
        <f t="shared" si="13"/>
        <v/>
      </c>
      <c r="AB120">
        <v>0</v>
      </c>
      <c r="AC120" t="str">
        <f>IF(AB120&lt;&gt;0,VLOOKUP(VLOOKUP(AB120,Tbl_Effect[],3,FALSE),EffectName[],IFERROR(MATCH(UI!$B$1,EffectName[#Headers],0),2),FALSE),"")</f>
        <v/>
      </c>
      <c r="AE120">
        <v>7044500</v>
      </c>
      <c r="AF120">
        <v>7050100</v>
      </c>
      <c r="AG120">
        <v>7050100</v>
      </c>
    </row>
    <row r="121" spans="8:33" x14ac:dyDescent="0.4">
      <c r="H121" t="str">
        <f t="shared" si="7"/>
        <v>1480-遼闊的火燃情景 (紅)</v>
      </c>
      <c r="I121">
        <v>1480</v>
      </c>
      <c r="J121" t="str">
        <f>_xlfn.IFNA(IF(I121&lt;&gt;0,VLOOKUP(VLOOKUP(I121,Tbl_Equip[],2,FALSE),Tbl_Color[],IFERROR(MATCH(UI!$B$1,Tbl_Color[#Headers],0),2),FALSE),""),"Unset")</f>
        <v>紅</v>
      </c>
      <c r="K121" t="str">
        <f>_xlfn.IFNA(IF(I121&lt;&gt;0,VLOOKUP(I121,ItemText[],IFERROR(MATCH(UI!$B$1,ItemText[#Headers],0),2),FALSE),""),"Unset")</f>
        <v>遼闊的火燃情景</v>
      </c>
      <c r="L121" t="str">
        <f t="shared" si="8"/>
        <v>7044600-強化龍饗的禱告</v>
      </c>
      <c r="M121">
        <v>7044600</v>
      </c>
      <c r="N121" t="str">
        <f>IF(VALUE(M121)=0,"",VLOOKUP(VLOOKUP(M121,Tbl_Effect[],3,FALSE),EffectName[],IFERROR(MATCH(UI!$B$1,EffectName[#Headers],0),2),FALSE))</f>
        <v>強化龍饗的禱告</v>
      </c>
      <c r="O121" t="str">
        <f t="shared" si="9"/>
        <v>7060000-每次打倒封印監牢裡的囚犯，能提升攻擊力</v>
      </c>
      <c r="P121">
        <v>7060000</v>
      </c>
      <c r="Q121" t="str">
        <f>IF(VALUE(P121)=0,"",VLOOKUP(VLOOKUP(P121,Tbl_Effect[],3,FALSE),EffectName[],IFERROR(MATCH(UI!$B$1,EffectName[#Headers],0),2),FALSE))</f>
        <v>每次打倒封印監牢裡的囚犯，能提升攻擊力</v>
      </c>
      <c r="R121" t="str">
        <f t="shared" si="10"/>
        <v>7060000-每次打倒封印監牢裡的囚犯，能提升攻擊力</v>
      </c>
      <c r="S121">
        <v>7060000</v>
      </c>
      <c r="T121" t="str">
        <f>IF(VALUE(S121)=0,"",VLOOKUP(VLOOKUP(S121,Tbl_Effect[],3,FALSE),EffectName[],IFERROR(MATCH(UI!$B$1,EffectName[#Headers],0),2),FALSE))</f>
        <v>每次打倒封印監牢裡的囚犯，能提升攻擊力</v>
      </c>
      <c r="U121" t="str">
        <f t="shared" si="11"/>
        <v/>
      </c>
      <c r="V121">
        <v>0</v>
      </c>
      <c r="W121" t="str">
        <f>IF(V121&lt;&gt;0,VLOOKUP(VLOOKUP(V121,Tbl_Effect[],3,FALSE),EffectName[],IFERROR(MATCH(UI!$B$1,EffectName[#Headers],0),2),FALSE),"")</f>
        <v/>
      </c>
      <c r="X121" t="str">
        <f t="shared" si="12"/>
        <v/>
      </c>
      <c r="Y121">
        <v>0</v>
      </c>
      <c r="Z121" t="str">
        <f>IF(Y121&lt;&gt;0,VLOOKUP(VLOOKUP(Y121,Tbl_Effect[],3,FALSE),EffectName[],IFERROR(MATCH(UI!$B$1,EffectName[#Headers],0),2),FALSE),"")</f>
        <v/>
      </c>
      <c r="AA121" t="str">
        <f t="shared" si="13"/>
        <v/>
      </c>
      <c r="AB121">
        <v>0</v>
      </c>
      <c r="AC121" t="str">
        <f>IF(AB121&lt;&gt;0,VLOOKUP(VLOOKUP(AB121,Tbl_Effect[],3,FALSE),EffectName[],IFERROR(MATCH(UI!$B$1,EffectName[#Headers],0),2),FALSE),"")</f>
        <v/>
      </c>
      <c r="AE121">
        <v>7044600</v>
      </c>
      <c r="AF121">
        <v>7060000</v>
      </c>
      <c r="AG121">
        <v>7060000</v>
      </c>
    </row>
    <row r="122" spans="8:33" x14ac:dyDescent="0.4">
      <c r="H122" t="str">
        <f t="shared" si="7"/>
        <v>1490-遼闊的幽靜情景 (綠)</v>
      </c>
      <c r="I122">
        <v>1490</v>
      </c>
      <c r="J122" t="str">
        <f>_xlfn.IFNA(IF(I122&lt;&gt;0,VLOOKUP(VLOOKUP(I122,Tbl_Equip[],2,FALSE),Tbl_Color[],IFERROR(MATCH(UI!$B$1,Tbl_Color[#Headers],0),2),FALSE),""),"Unset")</f>
        <v>綠</v>
      </c>
      <c r="K122" t="str">
        <f>_xlfn.IFNA(IF(I122&lt;&gt;0,VLOOKUP(I122,ItemText[],IFERROR(MATCH(UI!$B$1,ItemText[#Headers],0),2),FALSE),""),"Unset")</f>
        <v>遼闊的幽靜情景</v>
      </c>
      <c r="L122" t="str">
        <f t="shared" si="8"/>
        <v>7050000-不包含自己，提升周圍我方人物的精力恢復速度</v>
      </c>
      <c r="M122">
        <v>7050000</v>
      </c>
      <c r="N122" t="str">
        <f>IF(VALUE(M122)=0,"",VLOOKUP(VLOOKUP(M122,Tbl_Effect[],3,FALSE),EffectName[],IFERROR(MATCH(UI!$B$1,EffectName[#Headers],0),2),FALSE))</f>
        <v>不包含自己，提升周圍我方人物的精力恢復速度</v>
      </c>
      <c r="O122" t="str">
        <f t="shared" si="9"/>
        <v>7060100-每次解開魔法師塔的機關，能提升ＦＰ上限</v>
      </c>
      <c r="P122">
        <v>7060100</v>
      </c>
      <c r="Q122" t="str">
        <f>IF(VALUE(P122)=0,"",VLOOKUP(VLOOKUP(P122,Tbl_Effect[],3,FALSE),EffectName[],IFERROR(MATCH(UI!$B$1,EffectName[#Headers],0),2),FALSE))</f>
        <v>每次解開魔法師塔的機關，能提升ＦＰ上限</v>
      </c>
      <c r="R122" t="str">
        <f t="shared" si="10"/>
        <v>7060100-每次解開魔法師塔的機關，能提升ＦＰ上限</v>
      </c>
      <c r="S122">
        <v>7060100</v>
      </c>
      <c r="T122" t="str">
        <f>IF(VALUE(S122)=0,"",VLOOKUP(VLOOKUP(S122,Tbl_Effect[],3,FALSE),EffectName[],IFERROR(MATCH(UI!$B$1,EffectName[#Headers],0),2),FALSE))</f>
        <v>每次解開魔法師塔的機關，能提升ＦＰ上限</v>
      </c>
      <c r="U122" t="str">
        <f t="shared" si="11"/>
        <v/>
      </c>
      <c r="V122">
        <v>0</v>
      </c>
      <c r="W122" t="str">
        <f>IF(V122&lt;&gt;0,VLOOKUP(VLOOKUP(V122,Tbl_Effect[],3,FALSE),EffectName[],IFERROR(MATCH(UI!$B$1,EffectName[#Headers],0),2),FALSE),"")</f>
        <v/>
      </c>
      <c r="X122" t="str">
        <f t="shared" si="12"/>
        <v/>
      </c>
      <c r="Y122">
        <v>0</v>
      </c>
      <c r="Z122" t="str">
        <f>IF(Y122&lt;&gt;0,VLOOKUP(VLOOKUP(Y122,Tbl_Effect[],3,FALSE),EffectName[],IFERROR(MATCH(UI!$B$1,EffectName[#Headers],0),2),FALSE),"")</f>
        <v/>
      </c>
      <c r="AA122" t="str">
        <f t="shared" si="13"/>
        <v/>
      </c>
      <c r="AB122">
        <v>0</v>
      </c>
      <c r="AC122" t="str">
        <f>IF(AB122&lt;&gt;0,VLOOKUP(VLOOKUP(AB122,Tbl_Effect[],3,FALSE),EffectName[],IFERROR(MATCH(UI!$B$1,EffectName[#Headers],0),2),FALSE),"")</f>
        <v/>
      </c>
      <c r="AE122">
        <v>7050000</v>
      </c>
      <c r="AF122">
        <v>7060100</v>
      </c>
      <c r="AG122">
        <v>7060100</v>
      </c>
    </row>
    <row r="123" spans="8:33" x14ac:dyDescent="0.4">
      <c r="H123" t="str">
        <f t="shared" si="7"/>
        <v>1500-遼闊的火燃情景 (紅)</v>
      </c>
      <c r="I123">
        <v>1500</v>
      </c>
      <c r="J123" t="str">
        <f>_xlfn.IFNA(IF(I123&lt;&gt;0,VLOOKUP(VLOOKUP(I123,Tbl_Equip[],2,FALSE),Tbl_Color[],IFERROR(MATCH(UI!$B$1,Tbl_Color[#Headers],0),2),FALSE),""),"Unset")</f>
        <v>紅</v>
      </c>
      <c r="K123" t="str">
        <f>_xlfn.IFNA(IF(I123&lt;&gt;0,VLOOKUP(I123,ItemText[],IFERROR(MATCH(UI!$B$1,ItemText[#Headers],0),2),FALSE),""),"Unset")</f>
        <v>遼闊的火燃情景</v>
      </c>
      <c r="L123" t="str">
        <f t="shared" si="8"/>
        <v>7050100-道具效用能擴及我方人物</v>
      </c>
      <c r="M123">
        <v>7050100</v>
      </c>
      <c r="N123" t="str">
        <f>IF(VALUE(M123)=0,"",VLOOKUP(VLOOKUP(M123,Tbl_Effect[],3,FALSE),EffectName[],IFERROR(MATCH(UI!$B$1,EffectName[#Headers],0),2),FALSE))</f>
        <v>道具效用能擴及我方人物</v>
      </c>
      <c r="O123" t="str">
        <f t="shared" si="9"/>
        <v>7060200-每次打倒黑夜入侵者，能提升攻擊力</v>
      </c>
      <c r="P123">
        <v>7060200</v>
      </c>
      <c r="Q123" t="str">
        <f>IF(VALUE(P123)=0,"",VLOOKUP(VLOOKUP(P123,Tbl_Effect[],3,FALSE),EffectName[],IFERROR(MATCH(UI!$B$1,EffectName[#Headers],0),2),FALSE))</f>
        <v>每次打倒黑夜入侵者，能提升攻擊力</v>
      </c>
      <c r="R123" t="str">
        <f t="shared" si="10"/>
        <v>7060200-每次打倒黑夜入侵者，能提升攻擊力</v>
      </c>
      <c r="S123">
        <v>7060200</v>
      </c>
      <c r="T123" t="str">
        <f>IF(VALUE(S123)=0,"",VLOOKUP(VLOOKUP(S123,Tbl_Effect[],3,FALSE),EffectName[],IFERROR(MATCH(UI!$B$1,EffectName[#Headers],0),2),FALSE))</f>
        <v>每次打倒黑夜入侵者，能提升攻擊力</v>
      </c>
      <c r="U123" t="str">
        <f t="shared" si="11"/>
        <v/>
      </c>
      <c r="V123">
        <v>0</v>
      </c>
      <c r="W123" t="str">
        <f>IF(V123&lt;&gt;0,VLOOKUP(VLOOKUP(V123,Tbl_Effect[],3,FALSE),EffectName[],IFERROR(MATCH(UI!$B$1,EffectName[#Headers],0),2),FALSE),"")</f>
        <v/>
      </c>
      <c r="X123" t="str">
        <f t="shared" si="12"/>
        <v/>
      </c>
      <c r="Y123">
        <v>0</v>
      </c>
      <c r="Z123" t="str">
        <f>IF(Y123&lt;&gt;0,VLOOKUP(VLOOKUP(Y123,Tbl_Effect[],3,FALSE),EffectName[],IFERROR(MATCH(UI!$B$1,EffectName[#Headers],0),2),FALSE),"")</f>
        <v/>
      </c>
      <c r="AA123" t="str">
        <f t="shared" si="13"/>
        <v/>
      </c>
      <c r="AB123">
        <v>0</v>
      </c>
      <c r="AC123" t="str">
        <f>IF(AB123&lt;&gt;0,VLOOKUP(VLOOKUP(AB123,Tbl_Effect[],3,FALSE),EffectName[],IFERROR(MATCH(UI!$B$1,EffectName[#Headers],0),2),FALSE),"")</f>
        <v/>
      </c>
      <c r="AE123">
        <v>7050100</v>
      </c>
      <c r="AF123">
        <v>7060200</v>
      </c>
      <c r="AG123">
        <v>7060200</v>
      </c>
    </row>
    <row r="124" spans="8:33" x14ac:dyDescent="0.4">
      <c r="H124" t="str">
        <f t="shared" si="7"/>
        <v>1510-遼闊的光耀情景 (黃)</v>
      </c>
      <c r="I124">
        <v>1510</v>
      </c>
      <c r="J124" t="str">
        <f>_xlfn.IFNA(IF(I124&lt;&gt;0,VLOOKUP(VLOOKUP(I124,Tbl_Equip[],2,FALSE),Tbl_Color[],IFERROR(MATCH(UI!$B$1,Tbl_Color[#Headers],0),2),FALSE),""),"Unset")</f>
        <v>黃</v>
      </c>
      <c r="K124" t="str">
        <f>_xlfn.IFNA(IF(I124&lt;&gt;0,VLOOKUP(I124,ItemText[],IFERROR(MATCH(UI!$B$1,ItemText[#Headers],0),2),FALSE),""),"Unset")</f>
        <v>遼闊的光耀情景</v>
      </c>
      <c r="L124" t="str">
        <f t="shared" si="8"/>
        <v>7060000-每次打倒封印監牢裡的囚犯，能提升攻擊力</v>
      </c>
      <c r="M124">
        <v>7060000</v>
      </c>
      <c r="N124" t="str">
        <f>IF(VALUE(M124)=0,"",VLOOKUP(VLOOKUP(M124,Tbl_Effect[],3,FALSE),EffectName[],IFERROR(MATCH(UI!$B$1,EffectName[#Headers],0),2),FALSE))</f>
        <v>每次打倒封印監牢裡的囚犯，能提升攻擊力</v>
      </c>
      <c r="O124" t="str">
        <f t="shared" si="9"/>
        <v>7070000-能顯示地圖上隱藏寶藏的位置</v>
      </c>
      <c r="P124">
        <v>7070000</v>
      </c>
      <c r="Q124" t="str">
        <f>IF(VALUE(P124)=0,"",VLOOKUP(VLOOKUP(P124,Tbl_Effect[],3,FALSE),EffectName[],IFERROR(MATCH(UI!$B$1,EffectName[#Headers],0),2),FALSE))</f>
        <v>能顯示地圖上隱藏寶藏的位置</v>
      </c>
      <c r="R124" t="str">
        <f t="shared" si="10"/>
        <v>7070000-能顯示地圖上隱藏寶藏的位置</v>
      </c>
      <c r="S124">
        <v>7070000</v>
      </c>
      <c r="T124" t="str">
        <f>IF(VALUE(S124)=0,"",VLOOKUP(VLOOKUP(S124,Tbl_Effect[],3,FALSE),EffectName[],IFERROR(MATCH(UI!$B$1,EffectName[#Headers],0),2),FALSE))</f>
        <v>能顯示地圖上隱藏寶藏的位置</v>
      </c>
      <c r="U124" t="str">
        <f t="shared" si="11"/>
        <v/>
      </c>
      <c r="V124">
        <v>0</v>
      </c>
      <c r="W124" t="str">
        <f>IF(V124&lt;&gt;0,VLOOKUP(VLOOKUP(V124,Tbl_Effect[],3,FALSE),EffectName[],IFERROR(MATCH(UI!$B$1,EffectName[#Headers],0),2),FALSE),"")</f>
        <v/>
      </c>
      <c r="X124" t="str">
        <f t="shared" si="12"/>
        <v/>
      </c>
      <c r="Y124">
        <v>0</v>
      </c>
      <c r="Z124" t="str">
        <f>IF(Y124&lt;&gt;0,VLOOKUP(VLOOKUP(Y124,Tbl_Effect[],3,FALSE),EffectName[],IFERROR(MATCH(UI!$B$1,EffectName[#Headers],0),2),FALSE),"")</f>
        <v/>
      </c>
      <c r="AA124" t="str">
        <f t="shared" si="13"/>
        <v/>
      </c>
      <c r="AB124">
        <v>0</v>
      </c>
      <c r="AC124" t="str">
        <f>IF(AB124&lt;&gt;0,VLOOKUP(VLOOKUP(AB124,Tbl_Effect[],3,FALSE),EffectName[],IFERROR(MATCH(UI!$B$1,EffectName[#Headers],0),2),FALSE),"")</f>
        <v/>
      </c>
      <c r="AE124">
        <v>7060000</v>
      </c>
      <c r="AF124">
        <v>7070000</v>
      </c>
      <c r="AG124">
        <v>7070000</v>
      </c>
    </row>
    <row r="125" spans="8:33" x14ac:dyDescent="0.4">
      <c r="H125" t="str">
        <f t="shared" si="7"/>
        <v>1520-遼闊的水滴情景 (藍)</v>
      </c>
      <c r="I125">
        <v>1520</v>
      </c>
      <c r="J125" t="str">
        <f>_xlfn.IFNA(IF(I125&lt;&gt;0,VLOOKUP(VLOOKUP(I125,Tbl_Equip[],2,FALSE),Tbl_Color[],IFERROR(MATCH(UI!$B$1,Tbl_Color[#Headers],0),2),FALSE),""),"Unset")</f>
        <v>藍</v>
      </c>
      <c r="K125" t="str">
        <f>_xlfn.IFNA(IF(I125&lt;&gt;0,VLOOKUP(I125,ItemText[],IFERROR(MATCH(UI!$B$1,ItemText[#Headers],0),2),FALSE),""),"Unset")</f>
        <v>遼闊的水滴情景</v>
      </c>
      <c r="L125" t="str">
        <f t="shared" si="8"/>
        <v>7060100-每次解開魔法師塔的機關，能提升ＦＰ上限</v>
      </c>
      <c r="M125">
        <v>7060100</v>
      </c>
      <c r="N125" t="str">
        <f>IF(VALUE(M125)=0,"",VLOOKUP(VLOOKUP(M125,Tbl_Effect[],3,FALSE),EffectName[],IFERROR(MATCH(UI!$B$1,EffectName[#Headers],0),2),FALSE))</f>
        <v>每次解開魔法師塔的機關，能提升ＦＰ上限</v>
      </c>
      <c r="O125" t="str">
        <f t="shared" si="9"/>
        <v>7080000-裝備三把以上類別為短劍的武器，能提升攻擊力</v>
      </c>
      <c r="P125">
        <v>7080000</v>
      </c>
      <c r="Q125" t="str">
        <f>IF(VALUE(P125)=0,"",VLOOKUP(VLOOKUP(P125,Tbl_Effect[],3,FALSE),EffectName[],IFERROR(MATCH(UI!$B$1,EffectName[#Headers],0),2),FALSE))</f>
        <v>裝備三把以上類別為短劍的武器，能提升攻擊力</v>
      </c>
      <c r="R125" t="str">
        <f t="shared" si="10"/>
        <v>7080000-裝備三把以上類別為短劍的武器，能提升攻擊力</v>
      </c>
      <c r="S125">
        <v>7080000</v>
      </c>
      <c r="T125" t="str">
        <f>IF(VALUE(S125)=0,"",VLOOKUP(VLOOKUP(S125,Tbl_Effect[],3,FALSE),EffectName[],IFERROR(MATCH(UI!$B$1,EffectName[#Headers],0),2),FALSE))</f>
        <v>裝備三把以上類別為短劍的武器，能提升攻擊力</v>
      </c>
      <c r="U125" t="str">
        <f t="shared" si="11"/>
        <v/>
      </c>
      <c r="V125">
        <v>0</v>
      </c>
      <c r="W125" t="str">
        <f>IF(V125&lt;&gt;0,VLOOKUP(VLOOKUP(V125,Tbl_Effect[],3,FALSE),EffectName[],IFERROR(MATCH(UI!$B$1,EffectName[#Headers],0),2),FALSE),"")</f>
        <v/>
      </c>
      <c r="X125" t="str">
        <f t="shared" si="12"/>
        <v/>
      </c>
      <c r="Y125">
        <v>0</v>
      </c>
      <c r="Z125" t="str">
        <f>IF(Y125&lt;&gt;0,VLOOKUP(VLOOKUP(Y125,Tbl_Effect[],3,FALSE),EffectName[],IFERROR(MATCH(UI!$B$1,EffectName[#Headers],0),2),FALSE),"")</f>
        <v/>
      </c>
      <c r="AA125" t="str">
        <f t="shared" si="13"/>
        <v/>
      </c>
      <c r="AB125">
        <v>0</v>
      </c>
      <c r="AC125" t="str">
        <f>IF(AB125&lt;&gt;0,VLOOKUP(VLOOKUP(AB125,Tbl_Effect[],3,FALSE),EffectName[],IFERROR(MATCH(UI!$B$1,EffectName[#Headers],0),2),FALSE),"")</f>
        <v/>
      </c>
      <c r="AE125">
        <v>7060100</v>
      </c>
      <c r="AF125">
        <v>7080000</v>
      </c>
      <c r="AG125">
        <v>7080000</v>
      </c>
    </row>
    <row r="126" spans="8:33" x14ac:dyDescent="0.4">
      <c r="H126" t="str">
        <f t="shared" si="7"/>
        <v>1600-遼闊的光耀情景 (黃)</v>
      </c>
      <c r="I126">
        <v>1600</v>
      </c>
      <c r="J126" t="str">
        <f>_xlfn.IFNA(IF(I126&lt;&gt;0,VLOOKUP(VLOOKUP(I126,Tbl_Equip[],2,FALSE),Tbl_Color[],IFERROR(MATCH(UI!$B$1,Tbl_Color[#Headers],0),2),FALSE),""),"Unset")</f>
        <v>黃</v>
      </c>
      <c r="K126" t="str">
        <f>_xlfn.IFNA(IF(I126&lt;&gt;0,VLOOKUP(I126,ItemText[],IFERROR(MATCH(UI!$B$1,ItemText[#Headers],0),2),FALSE),""),"Unset")</f>
        <v>遼闊的光耀情景</v>
      </c>
      <c r="L126" t="str">
        <f t="shared" si="8"/>
        <v>7060200-每次打倒黑夜入侵者，能提升攻擊力</v>
      </c>
      <c r="M126">
        <v>7060200</v>
      </c>
      <c r="N126" t="str">
        <f>IF(VALUE(M126)=0,"",VLOOKUP(VLOOKUP(M126,Tbl_Effect[],3,FALSE),EffectName[],IFERROR(MATCH(UI!$B$1,EffectName[#Headers],0),2),FALSE))</f>
        <v>每次打倒黑夜入侵者，能提升攻擊力</v>
      </c>
      <c r="O126" t="str">
        <f t="shared" si="9"/>
        <v>7080100-裝備三把以上類別為直劍的武器，能提升攻擊力</v>
      </c>
      <c r="P126">
        <v>7080100</v>
      </c>
      <c r="Q126" t="str">
        <f>IF(VALUE(P126)=0,"",VLOOKUP(VLOOKUP(P126,Tbl_Effect[],3,FALSE),EffectName[],IFERROR(MATCH(UI!$B$1,EffectName[#Headers],0),2),FALSE))</f>
        <v>裝備三把以上類別為直劍的武器，能提升攻擊力</v>
      </c>
      <c r="R126" t="str">
        <f t="shared" si="10"/>
        <v>7080100-裝備三把以上類別為直劍的武器，能提升攻擊力</v>
      </c>
      <c r="S126">
        <v>7080100</v>
      </c>
      <c r="T126" t="str">
        <f>IF(VALUE(S126)=0,"",VLOOKUP(VLOOKUP(S126,Tbl_Effect[],3,FALSE),EffectName[],IFERROR(MATCH(UI!$B$1,EffectName[#Headers],0),2),FALSE))</f>
        <v>裝備三把以上類別為直劍的武器，能提升攻擊力</v>
      </c>
      <c r="U126" t="str">
        <f t="shared" si="11"/>
        <v/>
      </c>
      <c r="V126">
        <v>0</v>
      </c>
      <c r="W126" t="str">
        <f>IF(V126&lt;&gt;0,VLOOKUP(VLOOKUP(V126,Tbl_Effect[],3,FALSE),EffectName[],IFERROR(MATCH(UI!$B$1,EffectName[#Headers],0),2),FALSE),"")</f>
        <v/>
      </c>
      <c r="X126" t="str">
        <f t="shared" si="12"/>
        <v/>
      </c>
      <c r="Y126">
        <v>0</v>
      </c>
      <c r="Z126" t="str">
        <f>IF(Y126&lt;&gt;0,VLOOKUP(VLOOKUP(Y126,Tbl_Effect[],3,FALSE),EffectName[],IFERROR(MATCH(UI!$B$1,EffectName[#Headers],0),2),FALSE),"")</f>
        <v/>
      </c>
      <c r="AA126" t="str">
        <f t="shared" si="13"/>
        <v/>
      </c>
      <c r="AB126">
        <v>0</v>
      </c>
      <c r="AC126" t="str">
        <f>IF(AB126&lt;&gt;0,VLOOKUP(VLOOKUP(AB126,Tbl_Effect[],3,FALSE),EffectName[],IFERROR(MATCH(UI!$B$1,EffectName[#Headers],0),2),FALSE),"")</f>
        <v/>
      </c>
      <c r="AE126">
        <v>7060200</v>
      </c>
      <c r="AF126">
        <v>7080100</v>
      </c>
      <c r="AG126">
        <v>7080100</v>
      </c>
    </row>
    <row r="127" spans="8:33" x14ac:dyDescent="0.4">
      <c r="H127" t="str">
        <f t="shared" si="7"/>
        <v>1610-遼闊的水滴情景 (藍)</v>
      </c>
      <c r="I127">
        <v>1610</v>
      </c>
      <c r="J127" t="str">
        <f>_xlfn.IFNA(IF(I127&lt;&gt;0,VLOOKUP(VLOOKUP(I127,Tbl_Equip[],2,FALSE),Tbl_Color[],IFERROR(MATCH(UI!$B$1,Tbl_Color[#Headers],0),2),FALSE),""),"Unset")</f>
        <v>藍</v>
      </c>
      <c r="K127" t="str">
        <f>_xlfn.IFNA(IF(I127&lt;&gt;0,VLOOKUP(I127,ItemText[],IFERROR(MATCH(UI!$B$1,ItemText[#Headers],0),2),FALSE),""),"Unset")</f>
        <v>遼闊的水滴情景</v>
      </c>
      <c r="L127" t="str">
        <f t="shared" si="8"/>
        <v>7070000-能顯示地圖上隱藏寶藏的位置</v>
      </c>
      <c r="M127">
        <v>7070000</v>
      </c>
      <c r="N127" t="str">
        <f>IF(VALUE(M127)=0,"",VLOOKUP(VLOOKUP(M127,Tbl_Effect[],3,FALSE),EffectName[],IFERROR(MATCH(UI!$B$1,EffectName[#Headers],0),2),FALSE))</f>
        <v>能顯示地圖上隱藏寶藏的位置</v>
      </c>
      <c r="O127" t="str">
        <f t="shared" si="9"/>
        <v>7080200-裝備三把以上類別為大劍的武器，能提升攻擊力</v>
      </c>
      <c r="P127">
        <v>7080200</v>
      </c>
      <c r="Q127" t="str">
        <f>IF(VALUE(P127)=0,"",VLOOKUP(VLOOKUP(P127,Tbl_Effect[],3,FALSE),EffectName[],IFERROR(MATCH(UI!$B$1,EffectName[#Headers],0),2),FALSE))</f>
        <v>裝備三把以上類別為大劍的武器，能提升攻擊力</v>
      </c>
      <c r="R127" t="str">
        <f t="shared" si="10"/>
        <v>7080200-裝備三把以上類別為大劍的武器，能提升攻擊力</v>
      </c>
      <c r="S127">
        <v>7080200</v>
      </c>
      <c r="T127" t="str">
        <f>IF(VALUE(S127)=0,"",VLOOKUP(VLOOKUP(S127,Tbl_Effect[],3,FALSE),EffectName[],IFERROR(MATCH(UI!$B$1,EffectName[#Headers],0),2),FALSE))</f>
        <v>裝備三把以上類別為大劍的武器，能提升攻擊力</v>
      </c>
      <c r="U127" t="str">
        <f t="shared" si="11"/>
        <v/>
      </c>
      <c r="V127">
        <v>0</v>
      </c>
      <c r="W127" t="str">
        <f>IF(V127&lt;&gt;0,VLOOKUP(VLOOKUP(V127,Tbl_Effect[],3,FALSE),EffectName[],IFERROR(MATCH(UI!$B$1,EffectName[#Headers],0),2),FALSE),"")</f>
        <v/>
      </c>
      <c r="X127" t="str">
        <f t="shared" si="12"/>
        <v/>
      </c>
      <c r="Y127">
        <v>0</v>
      </c>
      <c r="Z127" t="str">
        <f>IF(Y127&lt;&gt;0,VLOOKUP(VLOOKUP(Y127,Tbl_Effect[],3,FALSE),EffectName[],IFERROR(MATCH(UI!$B$1,EffectName[#Headers],0),2),FALSE),"")</f>
        <v/>
      </c>
      <c r="AA127" t="str">
        <f t="shared" si="13"/>
        <v/>
      </c>
      <c r="AB127">
        <v>0</v>
      </c>
      <c r="AC127" t="str">
        <f>IF(AB127&lt;&gt;0,VLOOKUP(VLOOKUP(AB127,Tbl_Effect[],3,FALSE),EffectName[],IFERROR(MATCH(UI!$B$1,EffectName[#Headers],0),2),FALSE),"")</f>
        <v/>
      </c>
      <c r="AE127">
        <v>7070000</v>
      </c>
      <c r="AF127">
        <v>7080200</v>
      </c>
      <c r="AG127">
        <v>7080200</v>
      </c>
    </row>
    <row r="128" spans="8:33" x14ac:dyDescent="0.4">
      <c r="H128" t="str">
        <f t="shared" si="7"/>
        <v>1620-遼闊的幽靜情景 (綠)</v>
      </c>
      <c r="I128">
        <v>1620</v>
      </c>
      <c r="J128" t="str">
        <f>_xlfn.IFNA(IF(I128&lt;&gt;0,VLOOKUP(VLOOKUP(I128,Tbl_Equip[],2,FALSE),Tbl_Color[],IFERROR(MATCH(UI!$B$1,Tbl_Color[#Headers],0),2),FALSE),""),"Unset")</f>
        <v>綠</v>
      </c>
      <c r="K128" t="str">
        <f>_xlfn.IFNA(IF(I128&lt;&gt;0,VLOOKUP(I128,ItemText[],IFERROR(MATCH(UI!$B$1,ItemText[#Headers],0),2),FALSE),""),"Unset")</f>
        <v>遼闊的幽靜情景</v>
      </c>
      <c r="L128" t="str">
        <f t="shared" si="8"/>
        <v>7080000-裝備三把以上類別為短劍的武器，能提升攻擊力</v>
      </c>
      <c r="M128">
        <v>7080000</v>
      </c>
      <c r="N128" t="str">
        <f>IF(VALUE(M128)=0,"",VLOOKUP(VLOOKUP(M128,Tbl_Effect[],3,FALSE),EffectName[],IFERROR(MATCH(UI!$B$1,EffectName[#Headers],0),2),FALSE))</f>
        <v>裝備三把以上類別為短劍的武器，能提升攻擊力</v>
      </c>
      <c r="O128" t="str">
        <f t="shared" si="9"/>
        <v>7080300-裝備三把以上類別為特大劍的武器，能提升攻擊力</v>
      </c>
      <c r="P128">
        <v>7080300</v>
      </c>
      <c r="Q128" t="str">
        <f>IF(VALUE(P128)=0,"",VLOOKUP(VLOOKUP(P128,Tbl_Effect[],3,FALSE),EffectName[],IFERROR(MATCH(UI!$B$1,EffectName[#Headers],0),2),FALSE))</f>
        <v>裝備三把以上類別為特大劍的武器，能提升攻擊力</v>
      </c>
      <c r="R128" t="str">
        <f t="shared" si="10"/>
        <v>7080300-裝備三把以上類別為特大劍的武器，能提升攻擊力</v>
      </c>
      <c r="S128">
        <v>7080300</v>
      </c>
      <c r="T128" t="str">
        <f>IF(VALUE(S128)=0,"",VLOOKUP(VLOOKUP(S128,Tbl_Effect[],3,FALSE),EffectName[],IFERROR(MATCH(UI!$B$1,EffectName[#Headers],0),2),FALSE))</f>
        <v>裝備三把以上類別為特大劍的武器，能提升攻擊力</v>
      </c>
      <c r="U128" t="str">
        <f t="shared" si="11"/>
        <v/>
      </c>
      <c r="V128">
        <v>0</v>
      </c>
      <c r="W128" t="str">
        <f>IF(V128&lt;&gt;0,VLOOKUP(VLOOKUP(V128,Tbl_Effect[],3,FALSE),EffectName[],IFERROR(MATCH(UI!$B$1,EffectName[#Headers],0),2),FALSE),"")</f>
        <v/>
      </c>
      <c r="X128" t="str">
        <f t="shared" si="12"/>
        <v/>
      </c>
      <c r="Y128">
        <v>0</v>
      </c>
      <c r="Z128" t="str">
        <f>IF(Y128&lt;&gt;0,VLOOKUP(VLOOKUP(Y128,Tbl_Effect[],3,FALSE),EffectName[],IFERROR(MATCH(UI!$B$1,EffectName[#Headers],0),2),FALSE),"")</f>
        <v/>
      </c>
      <c r="AA128" t="str">
        <f t="shared" si="13"/>
        <v/>
      </c>
      <c r="AB128">
        <v>0</v>
      </c>
      <c r="AC128" t="str">
        <f>IF(AB128&lt;&gt;0,VLOOKUP(VLOOKUP(AB128,Tbl_Effect[],3,FALSE),EffectName[],IFERROR(MATCH(UI!$B$1,EffectName[#Headers],0),2),FALSE),"")</f>
        <v/>
      </c>
      <c r="AE128">
        <v>7080000</v>
      </c>
      <c r="AF128">
        <v>7080300</v>
      </c>
      <c r="AG128">
        <v>7080300</v>
      </c>
    </row>
    <row r="129" spans="8:33" x14ac:dyDescent="0.4">
      <c r="H129" t="str">
        <f t="shared" si="7"/>
        <v>1630-遼闊的光耀情景 (黃)</v>
      </c>
      <c r="I129">
        <v>1630</v>
      </c>
      <c r="J129" t="str">
        <f>_xlfn.IFNA(IF(I129&lt;&gt;0,VLOOKUP(VLOOKUP(I129,Tbl_Equip[],2,FALSE),Tbl_Color[],IFERROR(MATCH(UI!$B$1,Tbl_Color[#Headers],0),2),FALSE),""),"Unset")</f>
        <v>黃</v>
      </c>
      <c r="K129" t="str">
        <f>_xlfn.IFNA(IF(I129&lt;&gt;0,VLOOKUP(I129,ItemText[],IFERROR(MATCH(UI!$B$1,ItemText[#Headers],0),2),FALSE),""),"Unset")</f>
        <v>遼闊的光耀情景</v>
      </c>
      <c r="L129" t="str">
        <f t="shared" si="8"/>
        <v>7080100-裝備三把以上類別為直劍的武器，能提升攻擊力</v>
      </c>
      <c r="M129">
        <v>7080100</v>
      </c>
      <c r="N129" t="str">
        <f>IF(VALUE(M129)=0,"",VLOOKUP(VLOOKUP(M129,Tbl_Effect[],3,FALSE),EffectName[],IFERROR(MATCH(UI!$B$1,EffectName[#Headers],0),2),FALSE))</f>
        <v>裝備三把以上類別為直劍的武器，能提升攻擊力</v>
      </c>
      <c r="O129" t="str">
        <f t="shared" si="9"/>
        <v>7080400-裝備三把以上類別為曲劍的武器，能提升攻擊力</v>
      </c>
      <c r="P129">
        <v>7080400</v>
      </c>
      <c r="Q129" t="str">
        <f>IF(VALUE(P129)=0,"",VLOOKUP(VLOOKUP(P129,Tbl_Effect[],3,FALSE),EffectName[],IFERROR(MATCH(UI!$B$1,EffectName[#Headers],0),2),FALSE))</f>
        <v>裝備三把以上類別為曲劍的武器，能提升攻擊力</v>
      </c>
      <c r="R129" t="str">
        <f t="shared" si="10"/>
        <v>7080400-裝備三把以上類別為曲劍的武器，能提升攻擊力</v>
      </c>
      <c r="S129">
        <v>7080400</v>
      </c>
      <c r="T129" t="str">
        <f>IF(VALUE(S129)=0,"",VLOOKUP(VLOOKUP(S129,Tbl_Effect[],3,FALSE),EffectName[],IFERROR(MATCH(UI!$B$1,EffectName[#Headers],0),2),FALSE))</f>
        <v>裝備三把以上類別為曲劍的武器，能提升攻擊力</v>
      </c>
      <c r="U129" t="str">
        <f t="shared" si="11"/>
        <v/>
      </c>
      <c r="V129">
        <v>0</v>
      </c>
      <c r="W129" t="str">
        <f>IF(V129&lt;&gt;0,VLOOKUP(VLOOKUP(V129,Tbl_Effect[],3,FALSE),EffectName[],IFERROR(MATCH(UI!$B$1,EffectName[#Headers],0),2),FALSE),"")</f>
        <v/>
      </c>
      <c r="X129" t="str">
        <f t="shared" si="12"/>
        <v/>
      </c>
      <c r="Y129">
        <v>0</v>
      </c>
      <c r="Z129" t="str">
        <f>IF(Y129&lt;&gt;0,VLOOKUP(VLOOKUP(Y129,Tbl_Effect[],3,FALSE),EffectName[],IFERROR(MATCH(UI!$B$1,EffectName[#Headers],0),2),FALSE),"")</f>
        <v/>
      </c>
      <c r="AA129" t="str">
        <f t="shared" si="13"/>
        <v/>
      </c>
      <c r="AB129">
        <v>0</v>
      </c>
      <c r="AC129" t="str">
        <f>IF(AB129&lt;&gt;0,VLOOKUP(VLOOKUP(AB129,Tbl_Effect[],3,FALSE),EffectName[],IFERROR(MATCH(UI!$B$1,EffectName[#Headers],0),2),FALSE),"")</f>
        <v/>
      </c>
      <c r="AE129">
        <v>7080100</v>
      </c>
      <c r="AF129">
        <v>7080400</v>
      </c>
      <c r="AG129">
        <v>7080400</v>
      </c>
    </row>
    <row r="130" spans="8:33" x14ac:dyDescent="0.4">
      <c r="H130" t="str">
        <f t="shared" si="7"/>
        <v>1640-遼闊的幽靜情景 (綠)</v>
      </c>
      <c r="I130">
        <v>1640</v>
      </c>
      <c r="J130" t="str">
        <f>_xlfn.IFNA(IF(I130&lt;&gt;0,VLOOKUP(VLOOKUP(I130,Tbl_Equip[],2,FALSE),Tbl_Color[],IFERROR(MATCH(UI!$B$1,Tbl_Color[#Headers],0),2),FALSE),""),"Unset")</f>
        <v>綠</v>
      </c>
      <c r="K130" t="str">
        <f>_xlfn.IFNA(IF(I130&lt;&gt;0,VLOOKUP(I130,ItemText[],IFERROR(MATCH(UI!$B$1,ItemText[#Headers],0),2),FALSE),""),"Unset")</f>
        <v>遼闊的幽靜情景</v>
      </c>
      <c r="L130" t="str">
        <f t="shared" si="8"/>
        <v>7080200-裝備三把以上類別為大劍的武器，能提升攻擊力</v>
      </c>
      <c r="M130">
        <v>7080200</v>
      </c>
      <c r="N130" t="str">
        <f>IF(VALUE(M130)=0,"",VLOOKUP(VLOOKUP(M130,Tbl_Effect[],3,FALSE),EffectName[],IFERROR(MATCH(UI!$B$1,EffectName[#Headers],0),2),FALSE))</f>
        <v>裝備三把以上類別為大劍的武器，能提升攻擊力</v>
      </c>
      <c r="O130" t="str">
        <f t="shared" si="9"/>
        <v>7080500-裝備三把以上類別為大曲劍的武器，能提升攻擊力</v>
      </c>
      <c r="P130">
        <v>7080500</v>
      </c>
      <c r="Q130" t="str">
        <f>IF(VALUE(P130)=0,"",VLOOKUP(VLOOKUP(P130,Tbl_Effect[],3,FALSE),EffectName[],IFERROR(MATCH(UI!$B$1,EffectName[#Headers],0),2),FALSE))</f>
        <v>裝備三把以上類別為大曲劍的武器，能提升攻擊力</v>
      </c>
      <c r="R130" t="str">
        <f t="shared" si="10"/>
        <v>7080500-裝備三把以上類別為大曲劍的武器，能提升攻擊力</v>
      </c>
      <c r="S130">
        <v>7080500</v>
      </c>
      <c r="T130" t="str">
        <f>IF(VALUE(S130)=0,"",VLOOKUP(VLOOKUP(S130,Tbl_Effect[],3,FALSE),EffectName[],IFERROR(MATCH(UI!$B$1,EffectName[#Headers],0),2),FALSE))</f>
        <v>裝備三把以上類別為大曲劍的武器，能提升攻擊力</v>
      </c>
      <c r="U130" t="str">
        <f t="shared" si="11"/>
        <v/>
      </c>
      <c r="V130">
        <v>0</v>
      </c>
      <c r="W130" t="str">
        <f>IF(V130&lt;&gt;0,VLOOKUP(VLOOKUP(V130,Tbl_Effect[],3,FALSE),EffectName[],IFERROR(MATCH(UI!$B$1,EffectName[#Headers],0),2),FALSE),"")</f>
        <v/>
      </c>
      <c r="X130" t="str">
        <f t="shared" si="12"/>
        <v/>
      </c>
      <c r="Y130">
        <v>0</v>
      </c>
      <c r="Z130" t="str">
        <f>IF(Y130&lt;&gt;0,VLOOKUP(VLOOKUP(Y130,Tbl_Effect[],3,FALSE),EffectName[],IFERROR(MATCH(UI!$B$1,EffectName[#Headers],0),2),FALSE),"")</f>
        <v/>
      </c>
      <c r="AA130" t="str">
        <f t="shared" si="13"/>
        <v/>
      </c>
      <c r="AB130">
        <v>0</v>
      </c>
      <c r="AC130" t="str">
        <f>IF(AB130&lt;&gt;0,VLOOKUP(VLOOKUP(AB130,Tbl_Effect[],3,FALSE),EffectName[],IFERROR(MATCH(UI!$B$1,EffectName[#Headers],0),2),FALSE),"")</f>
        <v/>
      </c>
      <c r="AE130">
        <v>7080200</v>
      </c>
      <c r="AF130">
        <v>7080500</v>
      </c>
      <c r="AG130">
        <v>7080500</v>
      </c>
    </row>
    <row r="131" spans="8:33" x14ac:dyDescent="0.4">
      <c r="H131" t="str">
        <f t="shared" ref="H131:H194" si="14">IF(VALUE(I131)&lt;&gt;0,I131&amp;"-"&amp;K131&amp;" ("&amp;J131&amp;")","")</f>
        <v>1650-遼闊的火燃情景 (紅)</v>
      </c>
      <c r="I131">
        <v>1650</v>
      </c>
      <c r="J131" t="str">
        <f>_xlfn.IFNA(IF(I131&lt;&gt;0,VLOOKUP(VLOOKUP(I131,Tbl_Equip[],2,FALSE),Tbl_Color[],IFERROR(MATCH(UI!$B$1,Tbl_Color[#Headers],0),2),FALSE),""),"Unset")</f>
        <v>紅</v>
      </c>
      <c r="K131" t="str">
        <f>_xlfn.IFNA(IF(I131&lt;&gt;0,VLOOKUP(I131,ItemText[],IFERROR(MATCH(UI!$B$1,ItemText[#Headers],0),2),FALSE),""),"Unset")</f>
        <v>遼闊的火燃情景</v>
      </c>
      <c r="L131" t="str">
        <f t="shared" ref="L131:L194" si="15">IF(VALUE(M131)=0,"",M131&amp;"-"&amp;N131)</f>
        <v>7080300-裝備三把以上類別為特大劍的武器，能提升攻擊力</v>
      </c>
      <c r="M131">
        <v>7080300</v>
      </c>
      <c r="N131" t="str">
        <f>IF(VALUE(M131)=0,"",VLOOKUP(VLOOKUP(M131,Tbl_Effect[],3,FALSE),EffectName[],IFERROR(MATCH(UI!$B$1,EffectName[#Headers],0),2),FALSE))</f>
        <v>裝備三把以上類別為特大劍的武器，能提升攻擊力</v>
      </c>
      <c r="O131" t="str">
        <f t="shared" ref="O131:O194" si="16">IF(VALUE(P131)=0,"",P131&amp;"-"&amp;Q131)</f>
        <v>7080600-裝備三把以上類別為刀的武器，能提升攻擊力</v>
      </c>
      <c r="P131">
        <v>7080600</v>
      </c>
      <c r="Q131" t="str">
        <f>IF(VALUE(P131)=0,"",VLOOKUP(VLOOKUP(P131,Tbl_Effect[],3,FALSE),EffectName[],IFERROR(MATCH(UI!$B$1,EffectName[#Headers],0),2),FALSE))</f>
        <v>裝備三把以上類別為刀的武器，能提升攻擊力</v>
      </c>
      <c r="R131" t="str">
        <f t="shared" ref="R131:R194" si="17">IF(VALUE(S131)=0,"",S131&amp;"-"&amp;T131)</f>
        <v>7080600-裝備三把以上類別為刀的武器，能提升攻擊力</v>
      </c>
      <c r="S131">
        <v>7080600</v>
      </c>
      <c r="T131" t="str">
        <f>IF(VALUE(S131)=0,"",VLOOKUP(VLOOKUP(S131,Tbl_Effect[],3,FALSE),EffectName[],IFERROR(MATCH(UI!$B$1,EffectName[#Headers],0),2),FALSE))</f>
        <v>裝備三把以上類別為刀的武器，能提升攻擊力</v>
      </c>
      <c r="U131" t="str">
        <f t="shared" ref="U131:U194" si="18">IF(VALUE(V131)=0,"",V131&amp;"-"&amp;W131)</f>
        <v/>
      </c>
      <c r="V131">
        <v>0</v>
      </c>
      <c r="W131" t="str">
        <f>IF(V131&lt;&gt;0,VLOOKUP(VLOOKUP(V131,Tbl_Effect[],3,FALSE),EffectName[],IFERROR(MATCH(UI!$B$1,EffectName[#Headers],0),2),FALSE),"")</f>
        <v/>
      </c>
      <c r="X131" t="str">
        <f t="shared" ref="X131:X194" si="19">IF(VALUE(Y131)=0,"",Y131&amp;"-"&amp;Z131)</f>
        <v/>
      </c>
      <c r="Y131">
        <v>0</v>
      </c>
      <c r="Z131" t="str">
        <f>IF(Y131&lt;&gt;0,VLOOKUP(VLOOKUP(Y131,Tbl_Effect[],3,FALSE),EffectName[],IFERROR(MATCH(UI!$B$1,EffectName[#Headers],0),2),FALSE),"")</f>
        <v/>
      </c>
      <c r="AA131" t="str">
        <f t="shared" ref="AA131:AA194" si="20">IF(VALUE(AB131)=0,"",AB131&amp;"-"&amp;AC131)</f>
        <v/>
      </c>
      <c r="AB131">
        <v>0</v>
      </c>
      <c r="AC131" t="str">
        <f>IF(AB131&lt;&gt;0,VLOOKUP(VLOOKUP(AB131,Tbl_Effect[],3,FALSE),EffectName[],IFERROR(MATCH(UI!$B$1,EffectName[#Headers],0),2),FALSE),"")</f>
        <v/>
      </c>
      <c r="AE131">
        <v>7080300</v>
      </c>
      <c r="AF131">
        <v>7080600</v>
      </c>
      <c r="AG131">
        <v>7080600</v>
      </c>
    </row>
    <row r="132" spans="8:33" x14ac:dyDescent="0.4">
      <c r="H132" t="str">
        <f t="shared" si="14"/>
        <v>1660-遼闊的火燃情景 (紅)</v>
      </c>
      <c r="I132">
        <v>1660</v>
      </c>
      <c r="J132" t="str">
        <f>_xlfn.IFNA(IF(I132&lt;&gt;0,VLOOKUP(VLOOKUP(I132,Tbl_Equip[],2,FALSE),Tbl_Color[],IFERROR(MATCH(UI!$B$1,Tbl_Color[#Headers],0),2),FALSE),""),"Unset")</f>
        <v>紅</v>
      </c>
      <c r="K132" t="str">
        <f>_xlfn.IFNA(IF(I132&lt;&gt;0,VLOOKUP(I132,ItemText[],IFERROR(MATCH(UI!$B$1,ItemText[#Headers],0),2),FALSE),""),"Unset")</f>
        <v>遼闊的火燃情景</v>
      </c>
      <c r="L132" t="str">
        <f t="shared" si="15"/>
        <v>7080400-裝備三把以上類別為曲劍的武器，能提升攻擊力</v>
      </c>
      <c r="M132">
        <v>7080400</v>
      </c>
      <c r="N132" t="str">
        <f>IF(VALUE(M132)=0,"",VLOOKUP(VLOOKUP(M132,Tbl_Effect[],3,FALSE),EffectName[],IFERROR(MATCH(UI!$B$1,EffectName[#Headers],0),2),FALSE))</f>
        <v>裝備三把以上類別為曲劍的武器，能提升攻擊力</v>
      </c>
      <c r="O132" t="str">
        <f t="shared" si="16"/>
        <v>7080700-裝備三把以上類別為雙頭劍的武器，能提升攻擊力</v>
      </c>
      <c r="P132">
        <v>7080700</v>
      </c>
      <c r="Q132" t="str">
        <f>IF(VALUE(P132)=0,"",VLOOKUP(VLOOKUP(P132,Tbl_Effect[],3,FALSE),EffectName[],IFERROR(MATCH(UI!$B$1,EffectName[#Headers],0),2),FALSE))</f>
        <v>裝備三把以上類別為雙頭劍的武器，能提升攻擊力</v>
      </c>
      <c r="R132" t="str">
        <f t="shared" si="17"/>
        <v>7080700-裝備三把以上類別為雙頭劍的武器，能提升攻擊力</v>
      </c>
      <c r="S132">
        <v>7080700</v>
      </c>
      <c r="T132" t="str">
        <f>IF(VALUE(S132)=0,"",VLOOKUP(VLOOKUP(S132,Tbl_Effect[],3,FALSE),EffectName[],IFERROR(MATCH(UI!$B$1,EffectName[#Headers],0),2),FALSE))</f>
        <v>裝備三把以上類別為雙頭劍的武器，能提升攻擊力</v>
      </c>
      <c r="U132" t="str">
        <f t="shared" si="18"/>
        <v/>
      </c>
      <c r="V132">
        <v>0</v>
      </c>
      <c r="W132" t="str">
        <f>IF(V132&lt;&gt;0,VLOOKUP(VLOOKUP(V132,Tbl_Effect[],3,FALSE),EffectName[],IFERROR(MATCH(UI!$B$1,EffectName[#Headers],0),2),FALSE),"")</f>
        <v/>
      </c>
      <c r="X132" t="str">
        <f t="shared" si="19"/>
        <v/>
      </c>
      <c r="Y132">
        <v>0</v>
      </c>
      <c r="Z132" t="str">
        <f>IF(Y132&lt;&gt;0,VLOOKUP(VLOOKUP(Y132,Tbl_Effect[],3,FALSE),EffectName[],IFERROR(MATCH(UI!$B$1,EffectName[#Headers],0),2),FALSE),"")</f>
        <v/>
      </c>
      <c r="AA132" t="str">
        <f t="shared" si="20"/>
        <v/>
      </c>
      <c r="AB132">
        <v>0</v>
      </c>
      <c r="AC132" t="str">
        <f>IF(AB132&lt;&gt;0,VLOOKUP(VLOOKUP(AB132,Tbl_Effect[],3,FALSE),EffectName[],IFERROR(MATCH(UI!$B$1,EffectName[#Headers],0),2),FALSE),"")</f>
        <v/>
      </c>
      <c r="AE132">
        <v>7080400</v>
      </c>
      <c r="AF132">
        <v>7080700</v>
      </c>
      <c r="AG132">
        <v>7080700</v>
      </c>
    </row>
    <row r="133" spans="8:33" x14ac:dyDescent="0.4">
      <c r="H133" t="str">
        <f t="shared" si="14"/>
        <v>1670-遼闊的光耀情景 (黃)</v>
      </c>
      <c r="I133">
        <v>1670</v>
      </c>
      <c r="J133" t="str">
        <f>_xlfn.IFNA(IF(I133&lt;&gt;0,VLOOKUP(VLOOKUP(I133,Tbl_Equip[],2,FALSE),Tbl_Color[],IFERROR(MATCH(UI!$B$1,Tbl_Color[#Headers],0),2),FALSE),""),"Unset")</f>
        <v>黃</v>
      </c>
      <c r="K133" t="str">
        <f>_xlfn.IFNA(IF(I133&lt;&gt;0,VLOOKUP(I133,ItemText[],IFERROR(MATCH(UI!$B$1,ItemText[#Headers],0),2),FALSE),""),"Unset")</f>
        <v>遼闊的光耀情景</v>
      </c>
      <c r="L133" t="str">
        <f t="shared" si="15"/>
        <v>7080500-裝備三把以上類別為大曲劍的武器，能提升攻擊力</v>
      </c>
      <c r="M133">
        <v>7080500</v>
      </c>
      <c r="N133" t="str">
        <f>IF(VALUE(M133)=0,"",VLOOKUP(VLOOKUP(M133,Tbl_Effect[],3,FALSE),EffectName[],IFERROR(MATCH(UI!$B$1,EffectName[#Headers],0),2),FALSE))</f>
        <v>裝備三把以上類別為大曲劍的武器，能提升攻擊力</v>
      </c>
      <c r="O133" t="str">
        <f t="shared" si="16"/>
        <v>7080800-裝備三把以上類別為刺劍的武器，能提升攻擊力</v>
      </c>
      <c r="P133">
        <v>7080800</v>
      </c>
      <c r="Q133" t="str">
        <f>IF(VALUE(P133)=0,"",VLOOKUP(VLOOKUP(P133,Tbl_Effect[],3,FALSE),EffectName[],IFERROR(MATCH(UI!$B$1,EffectName[#Headers],0),2),FALSE))</f>
        <v>裝備三把以上類別為刺劍的武器，能提升攻擊力</v>
      </c>
      <c r="R133" t="str">
        <f t="shared" si="17"/>
        <v>7080800-裝備三把以上類別為刺劍的武器，能提升攻擊力</v>
      </c>
      <c r="S133">
        <v>7080800</v>
      </c>
      <c r="T133" t="str">
        <f>IF(VALUE(S133)=0,"",VLOOKUP(VLOOKUP(S133,Tbl_Effect[],3,FALSE),EffectName[],IFERROR(MATCH(UI!$B$1,EffectName[#Headers],0),2),FALSE))</f>
        <v>裝備三把以上類別為刺劍的武器，能提升攻擊力</v>
      </c>
      <c r="U133" t="str">
        <f t="shared" si="18"/>
        <v/>
      </c>
      <c r="V133">
        <v>0</v>
      </c>
      <c r="W133" t="str">
        <f>IF(V133&lt;&gt;0,VLOOKUP(VLOOKUP(V133,Tbl_Effect[],3,FALSE),EffectName[],IFERROR(MATCH(UI!$B$1,EffectName[#Headers],0),2),FALSE),"")</f>
        <v/>
      </c>
      <c r="X133" t="str">
        <f t="shared" si="19"/>
        <v/>
      </c>
      <c r="Y133">
        <v>0</v>
      </c>
      <c r="Z133" t="str">
        <f>IF(Y133&lt;&gt;0,VLOOKUP(VLOOKUP(Y133,Tbl_Effect[],3,FALSE),EffectName[],IFERROR(MATCH(UI!$B$1,EffectName[#Headers],0),2),FALSE),"")</f>
        <v/>
      </c>
      <c r="AA133" t="str">
        <f t="shared" si="20"/>
        <v/>
      </c>
      <c r="AB133">
        <v>0</v>
      </c>
      <c r="AC133" t="str">
        <f>IF(AB133&lt;&gt;0,VLOOKUP(VLOOKUP(AB133,Tbl_Effect[],3,FALSE),EffectName[],IFERROR(MATCH(UI!$B$1,EffectName[#Headers],0),2),FALSE),"")</f>
        <v/>
      </c>
      <c r="AE133">
        <v>7080500</v>
      </c>
      <c r="AF133">
        <v>7080800</v>
      </c>
      <c r="AG133">
        <v>7080800</v>
      </c>
    </row>
    <row r="134" spans="8:33" x14ac:dyDescent="0.4">
      <c r="H134" t="str">
        <f t="shared" si="14"/>
        <v>1680-遼闊的水滴情景 (藍)</v>
      </c>
      <c r="I134">
        <v>1680</v>
      </c>
      <c r="J134" t="str">
        <f>_xlfn.IFNA(IF(I134&lt;&gt;0,VLOOKUP(VLOOKUP(I134,Tbl_Equip[],2,FALSE),Tbl_Color[],IFERROR(MATCH(UI!$B$1,Tbl_Color[#Headers],0),2),FALSE),""),"Unset")</f>
        <v>藍</v>
      </c>
      <c r="K134" t="str">
        <f>_xlfn.IFNA(IF(I134&lt;&gt;0,VLOOKUP(I134,ItemText[],IFERROR(MATCH(UI!$B$1,ItemText[#Headers],0),2),FALSE),""),"Unset")</f>
        <v>遼闊的水滴情景</v>
      </c>
      <c r="L134" t="str">
        <f t="shared" si="15"/>
        <v>7080600-裝備三把以上類別為刀的武器，能提升攻擊力</v>
      </c>
      <c r="M134">
        <v>7080600</v>
      </c>
      <c r="N134" t="str">
        <f>IF(VALUE(M134)=0,"",VLOOKUP(VLOOKUP(M134,Tbl_Effect[],3,FALSE),EffectName[],IFERROR(MATCH(UI!$B$1,EffectName[#Headers],0),2),FALSE))</f>
        <v>裝備三把以上類別為刀的武器，能提升攻擊力</v>
      </c>
      <c r="O134" t="str">
        <f t="shared" si="16"/>
        <v>7080900-裝備三把以上類別為重刺劍的武器，能提升攻擊力</v>
      </c>
      <c r="P134">
        <v>7080900</v>
      </c>
      <c r="Q134" t="str">
        <f>IF(VALUE(P134)=0,"",VLOOKUP(VLOOKUP(P134,Tbl_Effect[],3,FALSE),EffectName[],IFERROR(MATCH(UI!$B$1,EffectName[#Headers],0),2),FALSE))</f>
        <v>裝備三把以上類別為重刺劍的武器，能提升攻擊力</v>
      </c>
      <c r="R134" t="str">
        <f t="shared" si="17"/>
        <v>7080900-裝備三把以上類別為重刺劍的武器，能提升攻擊力</v>
      </c>
      <c r="S134">
        <v>7080900</v>
      </c>
      <c r="T134" t="str">
        <f>IF(VALUE(S134)=0,"",VLOOKUP(VLOOKUP(S134,Tbl_Effect[],3,FALSE),EffectName[],IFERROR(MATCH(UI!$B$1,EffectName[#Headers],0),2),FALSE))</f>
        <v>裝備三把以上類別為重刺劍的武器，能提升攻擊力</v>
      </c>
      <c r="U134" t="str">
        <f t="shared" si="18"/>
        <v/>
      </c>
      <c r="V134">
        <v>0</v>
      </c>
      <c r="W134" t="str">
        <f>IF(V134&lt;&gt;0,VLOOKUP(VLOOKUP(V134,Tbl_Effect[],3,FALSE),EffectName[],IFERROR(MATCH(UI!$B$1,EffectName[#Headers],0),2),FALSE),"")</f>
        <v/>
      </c>
      <c r="X134" t="str">
        <f t="shared" si="19"/>
        <v/>
      </c>
      <c r="Y134">
        <v>0</v>
      </c>
      <c r="Z134" t="str">
        <f>IF(Y134&lt;&gt;0,VLOOKUP(VLOOKUP(Y134,Tbl_Effect[],3,FALSE),EffectName[],IFERROR(MATCH(UI!$B$1,EffectName[#Headers],0),2),FALSE),"")</f>
        <v/>
      </c>
      <c r="AA134" t="str">
        <f t="shared" si="20"/>
        <v/>
      </c>
      <c r="AB134">
        <v>0</v>
      </c>
      <c r="AC134" t="str">
        <f>IF(AB134&lt;&gt;0,VLOOKUP(VLOOKUP(AB134,Tbl_Effect[],3,FALSE),EffectName[],IFERROR(MATCH(UI!$B$1,EffectName[#Headers],0),2),FALSE),"")</f>
        <v/>
      </c>
      <c r="AE134">
        <v>7080600</v>
      </c>
      <c r="AF134">
        <v>7080900</v>
      </c>
      <c r="AG134">
        <v>7080900</v>
      </c>
    </row>
    <row r="135" spans="8:33" x14ac:dyDescent="0.4">
      <c r="H135" t="str">
        <f t="shared" si="14"/>
        <v>1690-遼闊的幽靜情景 (綠)</v>
      </c>
      <c r="I135">
        <v>1690</v>
      </c>
      <c r="J135" t="str">
        <f>_xlfn.IFNA(IF(I135&lt;&gt;0,VLOOKUP(VLOOKUP(I135,Tbl_Equip[],2,FALSE),Tbl_Color[],IFERROR(MATCH(UI!$B$1,Tbl_Color[#Headers],0),2),FALSE),""),"Unset")</f>
        <v>綠</v>
      </c>
      <c r="K135" t="str">
        <f>_xlfn.IFNA(IF(I135&lt;&gt;0,VLOOKUP(I135,ItemText[],IFERROR(MATCH(UI!$B$1,ItemText[#Headers],0),2),FALSE),""),"Unset")</f>
        <v>遼闊的幽靜情景</v>
      </c>
      <c r="L135" t="str">
        <f t="shared" si="15"/>
        <v>7080700-裝備三把以上類別為雙頭劍的武器，能提升攻擊力</v>
      </c>
      <c r="M135">
        <v>7080700</v>
      </c>
      <c r="N135" t="str">
        <f>IF(VALUE(M135)=0,"",VLOOKUP(VLOOKUP(M135,Tbl_Effect[],3,FALSE),EffectName[],IFERROR(MATCH(UI!$B$1,EffectName[#Headers],0),2),FALSE))</f>
        <v>裝備三把以上類別為雙頭劍的武器，能提升攻擊力</v>
      </c>
      <c r="O135" t="str">
        <f t="shared" si="16"/>
        <v>7081000-裝備三把以上類別為斧的武器，能提升攻擊力</v>
      </c>
      <c r="P135">
        <v>7081000</v>
      </c>
      <c r="Q135" t="str">
        <f>IF(VALUE(P135)=0,"",VLOOKUP(VLOOKUP(P135,Tbl_Effect[],3,FALSE),EffectName[],IFERROR(MATCH(UI!$B$1,EffectName[#Headers],0),2),FALSE))</f>
        <v>裝備三把以上類別為斧的武器，能提升攻擊力</v>
      </c>
      <c r="R135" t="str">
        <f t="shared" si="17"/>
        <v>7081000-裝備三把以上類別為斧的武器，能提升攻擊力</v>
      </c>
      <c r="S135">
        <v>7081000</v>
      </c>
      <c r="T135" t="str">
        <f>IF(VALUE(S135)=0,"",VLOOKUP(VLOOKUP(S135,Tbl_Effect[],3,FALSE),EffectName[],IFERROR(MATCH(UI!$B$1,EffectName[#Headers],0),2),FALSE))</f>
        <v>裝備三把以上類別為斧的武器，能提升攻擊力</v>
      </c>
      <c r="U135" t="str">
        <f t="shared" si="18"/>
        <v/>
      </c>
      <c r="V135">
        <v>0</v>
      </c>
      <c r="W135" t="str">
        <f>IF(V135&lt;&gt;0,VLOOKUP(VLOOKUP(V135,Tbl_Effect[],3,FALSE),EffectName[],IFERROR(MATCH(UI!$B$1,EffectName[#Headers],0),2),FALSE),"")</f>
        <v/>
      </c>
      <c r="X135" t="str">
        <f t="shared" si="19"/>
        <v/>
      </c>
      <c r="Y135">
        <v>0</v>
      </c>
      <c r="Z135" t="str">
        <f>IF(Y135&lt;&gt;0,VLOOKUP(VLOOKUP(Y135,Tbl_Effect[],3,FALSE),EffectName[],IFERROR(MATCH(UI!$B$1,EffectName[#Headers],0),2),FALSE),"")</f>
        <v/>
      </c>
      <c r="AA135" t="str">
        <f t="shared" si="20"/>
        <v/>
      </c>
      <c r="AB135">
        <v>0</v>
      </c>
      <c r="AC135" t="str">
        <f>IF(AB135&lt;&gt;0,VLOOKUP(VLOOKUP(AB135,Tbl_Effect[],3,FALSE),EffectName[],IFERROR(MATCH(UI!$B$1,EffectName[#Headers],0),2),FALSE),"")</f>
        <v/>
      </c>
      <c r="AE135">
        <v>7080700</v>
      </c>
      <c r="AF135">
        <v>7081000</v>
      </c>
      <c r="AG135">
        <v>7081000</v>
      </c>
    </row>
    <row r="136" spans="8:33" x14ac:dyDescent="0.4">
      <c r="H136" t="str">
        <f t="shared" si="14"/>
        <v>1700-遼闊的水滴情景 (藍)</v>
      </c>
      <c r="I136">
        <v>1700</v>
      </c>
      <c r="J136" t="str">
        <f>_xlfn.IFNA(IF(I136&lt;&gt;0,VLOOKUP(VLOOKUP(I136,Tbl_Equip[],2,FALSE),Tbl_Color[],IFERROR(MATCH(UI!$B$1,Tbl_Color[#Headers],0),2),FALSE),""),"Unset")</f>
        <v>藍</v>
      </c>
      <c r="K136" t="str">
        <f>_xlfn.IFNA(IF(I136&lt;&gt;0,VLOOKUP(I136,ItemText[],IFERROR(MATCH(UI!$B$1,ItemText[#Headers],0),2),FALSE),""),"Unset")</f>
        <v>遼闊的水滴情景</v>
      </c>
      <c r="L136" t="str">
        <f t="shared" si="15"/>
        <v>7080800-裝備三把以上類別為刺劍的武器，能提升攻擊力</v>
      </c>
      <c r="M136">
        <v>7080800</v>
      </c>
      <c r="N136" t="str">
        <f>IF(VALUE(M136)=0,"",VLOOKUP(VLOOKUP(M136,Tbl_Effect[],3,FALSE),EffectName[],IFERROR(MATCH(UI!$B$1,EffectName[#Headers],0),2),FALSE))</f>
        <v>裝備三把以上類別為刺劍的武器，能提升攻擊力</v>
      </c>
      <c r="O136" t="str">
        <f t="shared" si="16"/>
        <v>7081100-裝備三把以上類別為大斧的武器，能提升攻擊力</v>
      </c>
      <c r="P136">
        <v>7081100</v>
      </c>
      <c r="Q136" t="str">
        <f>IF(VALUE(P136)=0,"",VLOOKUP(VLOOKUP(P136,Tbl_Effect[],3,FALSE),EffectName[],IFERROR(MATCH(UI!$B$1,EffectName[#Headers],0),2),FALSE))</f>
        <v>裝備三把以上類別為大斧的武器，能提升攻擊力</v>
      </c>
      <c r="R136" t="str">
        <f t="shared" si="17"/>
        <v>7081100-裝備三把以上類別為大斧的武器，能提升攻擊力</v>
      </c>
      <c r="S136">
        <v>7081100</v>
      </c>
      <c r="T136" t="str">
        <f>IF(VALUE(S136)=0,"",VLOOKUP(VLOOKUP(S136,Tbl_Effect[],3,FALSE),EffectName[],IFERROR(MATCH(UI!$B$1,EffectName[#Headers],0),2),FALSE))</f>
        <v>裝備三把以上類別為大斧的武器，能提升攻擊力</v>
      </c>
      <c r="U136" t="str">
        <f t="shared" si="18"/>
        <v/>
      </c>
      <c r="V136">
        <v>0</v>
      </c>
      <c r="W136" t="str">
        <f>IF(V136&lt;&gt;0,VLOOKUP(VLOOKUP(V136,Tbl_Effect[],3,FALSE),EffectName[],IFERROR(MATCH(UI!$B$1,EffectName[#Headers],0),2),FALSE),"")</f>
        <v/>
      </c>
      <c r="X136" t="str">
        <f t="shared" si="19"/>
        <v/>
      </c>
      <c r="Y136">
        <v>0</v>
      </c>
      <c r="Z136" t="str">
        <f>IF(Y136&lt;&gt;0,VLOOKUP(VLOOKUP(Y136,Tbl_Effect[],3,FALSE),EffectName[],IFERROR(MATCH(UI!$B$1,EffectName[#Headers],0),2),FALSE),"")</f>
        <v/>
      </c>
      <c r="AA136" t="str">
        <f t="shared" si="20"/>
        <v/>
      </c>
      <c r="AB136">
        <v>0</v>
      </c>
      <c r="AC136" t="str">
        <f>IF(AB136&lt;&gt;0,VLOOKUP(VLOOKUP(AB136,Tbl_Effect[],3,FALSE),EffectName[],IFERROR(MATCH(UI!$B$1,EffectName[#Headers],0),2),FALSE),"")</f>
        <v/>
      </c>
      <c r="AE136">
        <v>7080800</v>
      </c>
      <c r="AF136">
        <v>7081100</v>
      </c>
      <c r="AG136">
        <v>7081100</v>
      </c>
    </row>
    <row r="137" spans="8:33" x14ac:dyDescent="0.4">
      <c r="H137" t="str">
        <f t="shared" si="14"/>
        <v>1710-遼闊的火燃情景 (紅)</v>
      </c>
      <c r="I137">
        <v>1710</v>
      </c>
      <c r="J137" t="str">
        <f>_xlfn.IFNA(IF(I137&lt;&gt;0,VLOOKUP(VLOOKUP(I137,Tbl_Equip[],2,FALSE),Tbl_Color[],IFERROR(MATCH(UI!$B$1,Tbl_Color[#Headers],0),2),FALSE),""),"Unset")</f>
        <v>紅</v>
      </c>
      <c r="K137" t="str">
        <f>_xlfn.IFNA(IF(I137&lt;&gt;0,VLOOKUP(I137,ItemText[],IFERROR(MATCH(UI!$B$1,ItemText[#Headers],0),2),FALSE),""),"Unset")</f>
        <v>遼闊的火燃情景</v>
      </c>
      <c r="L137" t="str">
        <f t="shared" si="15"/>
        <v>7080900-裝備三把以上類別為重刺劍的武器，能提升攻擊力</v>
      </c>
      <c r="M137">
        <v>7080900</v>
      </c>
      <c r="N137" t="str">
        <f>IF(VALUE(M137)=0,"",VLOOKUP(VLOOKUP(M137,Tbl_Effect[],3,FALSE),EffectName[],IFERROR(MATCH(UI!$B$1,EffectName[#Headers],0),2),FALSE))</f>
        <v>裝備三把以上類別為重刺劍的武器，能提升攻擊力</v>
      </c>
      <c r="O137" t="str">
        <f t="shared" si="16"/>
        <v>7081200-裝備三把以上類別為槌的武器，能提升攻擊力</v>
      </c>
      <c r="P137">
        <v>7081200</v>
      </c>
      <c r="Q137" t="str">
        <f>IF(VALUE(P137)=0,"",VLOOKUP(VLOOKUP(P137,Tbl_Effect[],3,FALSE),EffectName[],IFERROR(MATCH(UI!$B$1,EffectName[#Headers],0),2),FALSE))</f>
        <v>裝備三把以上類別為槌的武器，能提升攻擊力</v>
      </c>
      <c r="R137" t="str">
        <f t="shared" si="17"/>
        <v>7081200-裝備三把以上類別為槌的武器，能提升攻擊力</v>
      </c>
      <c r="S137">
        <v>7081200</v>
      </c>
      <c r="T137" t="str">
        <f>IF(VALUE(S137)=0,"",VLOOKUP(VLOOKUP(S137,Tbl_Effect[],3,FALSE),EffectName[],IFERROR(MATCH(UI!$B$1,EffectName[#Headers],0),2),FALSE))</f>
        <v>裝備三把以上類別為槌的武器，能提升攻擊力</v>
      </c>
      <c r="U137" t="str">
        <f t="shared" si="18"/>
        <v/>
      </c>
      <c r="V137">
        <v>0</v>
      </c>
      <c r="W137" t="str">
        <f>IF(V137&lt;&gt;0,VLOOKUP(VLOOKUP(V137,Tbl_Effect[],3,FALSE),EffectName[],IFERROR(MATCH(UI!$B$1,EffectName[#Headers],0),2),FALSE),"")</f>
        <v/>
      </c>
      <c r="X137" t="str">
        <f t="shared" si="19"/>
        <v/>
      </c>
      <c r="Y137">
        <v>0</v>
      </c>
      <c r="Z137" t="str">
        <f>IF(Y137&lt;&gt;0,VLOOKUP(VLOOKUP(Y137,Tbl_Effect[],3,FALSE),EffectName[],IFERROR(MATCH(UI!$B$1,EffectName[#Headers],0),2),FALSE),"")</f>
        <v/>
      </c>
      <c r="AA137" t="str">
        <f t="shared" si="20"/>
        <v/>
      </c>
      <c r="AB137">
        <v>0</v>
      </c>
      <c r="AC137" t="str">
        <f>IF(AB137&lt;&gt;0,VLOOKUP(VLOOKUP(AB137,Tbl_Effect[],3,FALSE),EffectName[],IFERROR(MATCH(UI!$B$1,EffectName[#Headers],0),2),FALSE),"")</f>
        <v/>
      </c>
      <c r="AE137">
        <v>7080900</v>
      </c>
      <c r="AF137">
        <v>7081200</v>
      </c>
      <c r="AG137">
        <v>7081200</v>
      </c>
    </row>
    <row r="138" spans="8:33" x14ac:dyDescent="0.4">
      <c r="H138" t="str">
        <f t="shared" si="14"/>
        <v>1720-遼闊的火燃情景 (紅)</v>
      </c>
      <c r="I138">
        <v>1720</v>
      </c>
      <c r="J138" t="str">
        <f>_xlfn.IFNA(IF(I138&lt;&gt;0,VLOOKUP(VLOOKUP(I138,Tbl_Equip[],2,FALSE),Tbl_Color[],IFERROR(MATCH(UI!$B$1,Tbl_Color[#Headers],0),2),FALSE),""),"Unset")</f>
        <v>紅</v>
      </c>
      <c r="K138" t="str">
        <f>_xlfn.IFNA(IF(I138&lt;&gt;0,VLOOKUP(I138,ItemText[],IFERROR(MATCH(UI!$B$1,ItemText[#Headers],0),2),FALSE),""),"Unset")</f>
        <v>遼闊的火燃情景</v>
      </c>
      <c r="L138" t="str">
        <f t="shared" si="15"/>
        <v>7081000-裝備三把以上類別為斧的武器，能提升攻擊力</v>
      </c>
      <c r="M138">
        <v>7081000</v>
      </c>
      <c r="N138" t="str">
        <f>IF(VALUE(M138)=0,"",VLOOKUP(VLOOKUP(M138,Tbl_Effect[],3,FALSE),EffectName[],IFERROR(MATCH(UI!$B$1,EffectName[#Headers],0),2),FALSE))</f>
        <v>裝備三把以上類別為斧的武器，能提升攻擊力</v>
      </c>
      <c r="O138" t="str">
        <f t="shared" si="16"/>
        <v>7081300-裝備三把以上類別為大槌的武器，能提升攻擊力</v>
      </c>
      <c r="P138">
        <v>7081300</v>
      </c>
      <c r="Q138" t="str">
        <f>IF(VALUE(P138)=0,"",VLOOKUP(VLOOKUP(P138,Tbl_Effect[],3,FALSE),EffectName[],IFERROR(MATCH(UI!$B$1,EffectName[#Headers],0),2),FALSE))</f>
        <v>裝備三把以上類別為大槌的武器，能提升攻擊力</v>
      </c>
      <c r="R138" t="str">
        <f t="shared" si="17"/>
        <v>7081300-裝備三把以上類別為大槌的武器，能提升攻擊力</v>
      </c>
      <c r="S138">
        <v>7081300</v>
      </c>
      <c r="T138" t="str">
        <f>IF(VALUE(S138)=0,"",VLOOKUP(VLOOKUP(S138,Tbl_Effect[],3,FALSE),EffectName[],IFERROR(MATCH(UI!$B$1,EffectName[#Headers],0),2),FALSE))</f>
        <v>裝備三把以上類別為大槌的武器，能提升攻擊力</v>
      </c>
      <c r="U138" t="str">
        <f t="shared" si="18"/>
        <v/>
      </c>
      <c r="V138">
        <v>0</v>
      </c>
      <c r="W138" t="str">
        <f>IF(V138&lt;&gt;0,VLOOKUP(VLOOKUP(V138,Tbl_Effect[],3,FALSE),EffectName[],IFERROR(MATCH(UI!$B$1,EffectName[#Headers],0),2),FALSE),"")</f>
        <v/>
      </c>
      <c r="X138" t="str">
        <f t="shared" si="19"/>
        <v/>
      </c>
      <c r="Y138">
        <v>0</v>
      </c>
      <c r="Z138" t="str">
        <f>IF(Y138&lt;&gt;0,VLOOKUP(VLOOKUP(Y138,Tbl_Effect[],3,FALSE),EffectName[],IFERROR(MATCH(UI!$B$1,EffectName[#Headers],0),2),FALSE),"")</f>
        <v/>
      </c>
      <c r="AA138" t="str">
        <f t="shared" si="20"/>
        <v/>
      </c>
      <c r="AB138">
        <v>0</v>
      </c>
      <c r="AC138" t="str">
        <f>IF(AB138&lt;&gt;0,VLOOKUP(VLOOKUP(AB138,Tbl_Effect[],3,FALSE),EffectName[],IFERROR(MATCH(UI!$B$1,EffectName[#Headers],0),2),FALSE),"")</f>
        <v/>
      </c>
      <c r="AE138">
        <v>7081000</v>
      </c>
      <c r="AF138">
        <v>7081300</v>
      </c>
      <c r="AG138">
        <v>7081300</v>
      </c>
    </row>
    <row r="139" spans="8:33" x14ac:dyDescent="0.4">
      <c r="H139" t="str">
        <f t="shared" si="14"/>
        <v>1730-遼闊的水滴情景 (藍)</v>
      </c>
      <c r="I139">
        <v>1730</v>
      </c>
      <c r="J139" t="str">
        <f>_xlfn.IFNA(IF(I139&lt;&gt;0,VLOOKUP(VLOOKUP(I139,Tbl_Equip[],2,FALSE),Tbl_Color[],IFERROR(MATCH(UI!$B$1,Tbl_Color[#Headers],0),2),FALSE),""),"Unset")</f>
        <v>藍</v>
      </c>
      <c r="K139" t="str">
        <f>_xlfn.IFNA(IF(I139&lt;&gt;0,VLOOKUP(I139,ItemText[],IFERROR(MATCH(UI!$B$1,ItemText[#Headers],0),2),FALSE),""),"Unset")</f>
        <v>遼闊的水滴情景</v>
      </c>
      <c r="L139" t="str">
        <f t="shared" si="15"/>
        <v>7081100-裝備三把以上類別為大斧的武器，能提升攻擊力</v>
      </c>
      <c r="M139">
        <v>7081100</v>
      </c>
      <c r="N139" t="str">
        <f>IF(VALUE(M139)=0,"",VLOOKUP(VLOOKUP(M139,Tbl_Effect[],3,FALSE),EffectName[],IFERROR(MATCH(UI!$B$1,EffectName[#Headers],0),2),FALSE))</f>
        <v>裝備三把以上類別為大斧的武器，能提升攻擊力</v>
      </c>
      <c r="O139" t="str">
        <f t="shared" si="16"/>
        <v>7081400-裝備三把以上類別為連枷的武器，能提升攻擊力</v>
      </c>
      <c r="P139">
        <v>7081400</v>
      </c>
      <c r="Q139" t="str">
        <f>IF(VALUE(P139)=0,"",VLOOKUP(VLOOKUP(P139,Tbl_Effect[],3,FALSE),EffectName[],IFERROR(MATCH(UI!$B$1,EffectName[#Headers],0),2),FALSE))</f>
        <v>裝備三把以上類別為連枷的武器，能提升攻擊力</v>
      </c>
      <c r="R139" t="str">
        <f t="shared" si="17"/>
        <v>7081400-裝備三把以上類別為連枷的武器，能提升攻擊力</v>
      </c>
      <c r="S139">
        <v>7081400</v>
      </c>
      <c r="T139" t="str">
        <f>IF(VALUE(S139)=0,"",VLOOKUP(VLOOKUP(S139,Tbl_Effect[],3,FALSE),EffectName[],IFERROR(MATCH(UI!$B$1,EffectName[#Headers],0),2),FALSE))</f>
        <v>裝備三把以上類別為連枷的武器，能提升攻擊力</v>
      </c>
      <c r="U139" t="str">
        <f t="shared" si="18"/>
        <v/>
      </c>
      <c r="V139">
        <v>0</v>
      </c>
      <c r="W139" t="str">
        <f>IF(V139&lt;&gt;0,VLOOKUP(VLOOKUP(V139,Tbl_Effect[],3,FALSE),EffectName[],IFERROR(MATCH(UI!$B$1,EffectName[#Headers],0),2),FALSE),"")</f>
        <v/>
      </c>
      <c r="X139" t="str">
        <f t="shared" si="19"/>
        <v/>
      </c>
      <c r="Y139">
        <v>0</v>
      </c>
      <c r="Z139" t="str">
        <f>IF(Y139&lt;&gt;0,VLOOKUP(VLOOKUP(Y139,Tbl_Effect[],3,FALSE),EffectName[],IFERROR(MATCH(UI!$B$1,EffectName[#Headers],0),2),FALSE),"")</f>
        <v/>
      </c>
      <c r="AA139" t="str">
        <f t="shared" si="20"/>
        <v/>
      </c>
      <c r="AB139">
        <v>0</v>
      </c>
      <c r="AC139" t="str">
        <f>IF(AB139&lt;&gt;0,VLOOKUP(VLOOKUP(AB139,Tbl_Effect[],3,FALSE),EffectName[],IFERROR(MATCH(UI!$B$1,EffectName[#Headers],0),2),FALSE),"")</f>
        <v/>
      </c>
      <c r="AE139">
        <v>7081100</v>
      </c>
      <c r="AF139">
        <v>7081400</v>
      </c>
      <c r="AG139">
        <v>7081400</v>
      </c>
    </row>
    <row r="140" spans="8:33" x14ac:dyDescent="0.4">
      <c r="H140" t="str">
        <f t="shared" si="14"/>
        <v>1740-遼闊的光耀情景 (黃)</v>
      </c>
      <c r="I140">
        <v>1740</v>
      </c>
      <c r="J140" t="str">
        <f>_xlfn.IFNA(IF(I140&lt;&gt;0,VLOOKUP(VLOOKUP(I140,Tbl_Equip[],2,FALSE),Tbl_Color[],IFERROR(MATCH(UI!$B$1,Tbl_Color[#Headers],0),2),FALSE),""),"Unset")</f>
        <v>黃</v>
      </c>
      <c r="K140" t="str">
        <f>_xlfn.IFNA(IF(I140&lt;&gt;0,VLOOKUP(I140,ItemText[],IFERROR(MATCH(UI!$B$1,ItemText[#Headers],0),2),FALSE),""),"Unset")</f>
        <v>遼闊的光耀情景</v>
      </c>
      <c r="L140" t="str">
        <f t="shared" si="15"/>
        <v>7081200-裝備三把以上類別為槌的武器，能提升攻擊力</v>
      </c>
      <c r="M140">
        <v>7081200</v>
      </c>
      <c r="N140" t="str">
        <f>IF(VALUE(M140)=0,"",VLOOKUP(VLOOKUP(M140,Tbl_Effect[],3,FALSE),EffectName[],IFERROR(MATCH(UI!$B$1,EffectName[#Headers],0),2),FALSE))</f>
        <v>裝備三把以上類別為槌的武器，能提升攻擊力</v>
      </c>
      <c r="O140" t="str">
        <f t="shared" si="16"/>
        <v>7081500-裝備三把以上類別為矛的武器，能提升攻擊力</v>
      </c>
      <c r="P140">
        <v>7081500</v>
      </c>
      <c r="Q140" t="str">
        <f>IF(VALUE(P140)=0,"",VLOOKUP(VLOOKUP(P140,Tbl_Effect[],3,FALSE),EffectName[],IFERROR(MATCH(UI!$B$1,EffectName[#Headers],0),2),FALSE))</f>
        <v>裝備三把以上類別為矛的武器，能提升攻擊力</v>
      </c>
      <c r="R140" t="str">
        <f t="shared" si="17"/>
        <v>7081500-裝備三把以上類別為矛的武器，能提升攻擊力</v>
      </c>
      <c r="S140">
        <v>7081500</v>
      </c>
      <c r="T140" t="str">
        <f>IF(VALUE(S140)=0,"",VLOOKUP(VLOOKUP(S140,Tbl_Effect[],3,FALSE),EffectName[],IFERROR(MATCH(UI!$B$1,EffectName[#Headers],0),2),FALSE))</f>
        <v>裝備三把以上類別為矛的武器，能提升攻擊力</v>
      </c>
      <c r="U140" t="str">
        <f t="shared" si="18"/>
        <v/>
      </c>
      <c r="V140">
        <v>0</v>
      </c>
      <c r="W140" t="str">
        <f>IF(V140&lt;&gt;0,VLOOKUP(VLOOKUP(V140,Tbl_Effect[],3,FALSE),EffectName[],IFERROR(MATCH(UI!$B$1,EffectName[#Headers],0),2),FALSE),"")</f>
        <v/>
      </c>
      <c r="X140" t="str">
        <f t="shared" si="19"/>
        <v/>
      </c>
      <c r="Y140">
        <v>0</v>
      </c>
      <c r="Z140" t="str">
        <f>IF(Y140&lt;&gt;0,VLOOKUP(VLOOKUP(Y140,Tbl_Effect[],3,FALSE),EffectName[],IFERROR(MATCH(UI!$B$1,EffectName[#Headers],0),2),FALSE),"")</f>
        <v/>
      </c>
      <c r="AA140" t="str">
        <f t="shared" si="20"/>
        <v/>
      </c>
      <c r="AB140">
        <v>0</v>
      </c>
      <c r="AC140" t="str">
        <f>IF(AB140&lt;&gt;0,VLOOKUP(VLOOKUP(AB140,Tbl_Effect[],3,FALSE),EffectName[],IFERROR(MATCH(UI!$B$1,EffectName[#Headers],0),2),FALSE),"")</f>
        <v/>
      </c>
      <c r="AE140">
        <v>7081200</v>
      </c>
      <c r="AF140">
        <v>7081500</v>
      </c>
      <c r="AG140">
        <v>7081500</v>
      </c>
    </row>
    <row r="141" spans="8:33" x14ac:dyDescent="0.4">
      <c r="H141" t="str">
        <f t="shared" si="14"/>
        <v>1750-遼闊的幽靜情景 (綠)</v>
      </c>
      <c r="I141">
        <v>1750</v>
      </c>
      <c r="J141" t="str">
        <f>_xlfn.IFNA(IF(I141&lt;&gt;0,VLOOKUP(VLOOKUP(I141,Tbl_Equip[],2,FALSE),Tbl_Color[],IFERROR(MATCH(UI!$B$1,Tbl_Color[#Headers],0),2),FALSE),""),"Unset")</f>
        <v>綠</v>
      </c>
      <c r="K141" t="str">
        <f>_xlfn.IFNA(IF(I141&lt;&gt;0,VLOOKUP(I141,ItemText[],IFERROR(MATCH(UI!$B$1,ItemText[#Headers],0),2),FALSE),""),"Unset")</f>
        <v>遼闊的幽靜情景</v>
      </c>
      <c r="L141" t="str">
        <f t="shared" si="15"/>
        <v>7081300-裝備三把以上類別為大槌的武器，能提升攻擊力</v>
      </c>
      <c r="M141">
        <v>7081300</v>
      </c>
      <c r="N141" t="str">
        <f>IF(VALUE(M141)=0,"",VLOOKUP(VLOOKUP(M141,Tbl_Effect[],3,FALSE),EffectName[],IFERROR(MATCH(UI!$B$1,EffectName[#Headers],0),2),FALSE))</f>
        <v>裝備三把以上類別為大槌的武器，能提升攻擊力</v>
      </c>
      <c r="O141" t="str">
        <f t="shared" si="16"/>
        <v>7081700-裝備三把以上類別為大矛的武器，能提升攻擊力</v>
      </c>
      <c r="P141">
        <v>7081700</v>
      </c>
      <c r="Q141" t="str">
        <f>IF(VALUE(P141)=0,"",VLOOKUP(VLOOKUP(P141,Tbl_Effect[],3,FALSE),EffectName[],IFERROR(MATCH(UI!$B$1,EffectName[#Headers],0),2),FALSE))</f>
        <v>裝備三把以上類別為大矛的武器，能提升攻擊力</v>
      </c>
      <c r="R141" t="str">
        <f t="shared" si="17"/>
        <v>7081700-裝備三把以上類別為大矛的武器，能提升攻擊力</v>
      </c>
      <c r="S141">
        <v>7081700</v>
      </c>
      <c r="T141" t="str">
        <f>IF(VALUE(S141)=0,"",VLOOKUP(VLOOKUP(S141,Tbl_Effect[],3,FALSE),EffectName[],IFERROR(MATCH(UI!$B$1,EffectName[#Headers],0),2),FALSE))</f>
        <v>裝備三把以上類別為大矛的武器，能提升攻擊力</v>
      </c>
      <c r="U141" t="str">
        <f t="shared" si="18"/>
        <v/>
      </c>
      <c r="V141">
        <v>0</v>
      </c>
      <c r="W141" t="str">
        <f>IF(V141&lt;&gt;0,VLOOKUP(VLOOKUP(V141,Tbl_Effect[],3,FALSE),EffectName[],IFERROR(MATCH(UI!$B$1,EffectName[#Headers],0),2),FALSE),"")</f>
        <v/>
      </c>
      <c r="X141" t="str">
        <f t="shared" si="19"/>
        <v/>
      </c>
      <c r="Y141">
        <v>0</v>
      </c>
      <c r="Z141" t="str">
        <f>IF(Y141&lt;&gt;0,VLOOKUP(VLOOKUP(Y141,Tbl_Effect[],3,FALSE),EffectName[],IFERROR(MATCH(UI!$B$1,EffectName[#Headers],0),2),FALSE),"")</f>
        <v/>
      </c>
      <c r="AA141" t="str">
        <f t="shared" si="20"/>
        <v/>
      </c>
      <c r="AB141">
        <v>0</v>
      </c>
      <c r="AC141" t="str">
        <f>IF(AB141&lt;&gt;0,VLOOKUP(VLOOKUP(AB141,Tbl_Effect[],3,FALSE),EffectName[],IFERROR(MATCH(UI!$B$1,EffectName[#Headers],0),2),FALSE),"")</f>
        <v/>
      </c>
      <c r="AE141">
        <v>7081300</v>
      </c>
      <c r="AF141">
        <v>7081700</v>
      </c>
      <c r="AG141">
        <v>7081700</v>
      </c>
    </row>
    <row r="142" spans="8:33" x14ac:dyDescent="0.4">
      <c r="H142" t="str">
        <f t="shared" si="14"/>
        <v>1800-遼闊的光耀情景 (黃)</v>
      </c>
      <c r="I142">
        <v>1800</v>
      </c>
      <c r="J142" t="str">
        <f>_xlfn.IFNA(IF(I142&lt;&gt;0,VLOOKUP(VLOOKUP(I142,Tbl_Equip[],2,FALSE),Tbl_Color[],IFERROR(MATCH(UI!$B$1,Tbl_Color[#Headers],0),2),FALSE),""),"Unset")</f>
        <v>黃</v>
      </c>
      <c r="K142" t="str">
        <f>_xlfn.IFNA(IF(I142&lt;&gt;0,VLOOKUP(I142,ItemText[],IFERROR(MATCH(UI!$B$1,ItemText[#Headers],0),2),FALSE),""),"Unset")</f>
        <v>遼闊的光耀情景</v>
      </c>
      <c r="L142" t="str">
        <f t="shared" si="15"/>
        <v>7081400-裝備三把以上類別為連枷的武器，能提升攻擊力</v>
      </c>
      <c r="M142">
        <v>7081400</v>
      </c>
      <c r="N142" t="str">
        <f>IF(VALUE(M142)=0,"",VLOOKUP(VLOOKUP(M142,Tbl_Effect[],3,FALSE),EffectName[],IFERROR(MATCH(UI!$B$1,EffectName[#Headers],0),2),FALSE))</f>
        <v>裝備三把以上類別為連枷的武器，能提升攻擊力</v>
      </c>
      <c r="O142" t="str">
        <f t="shared" si="16"/>
        <v>7081800-裝備三把以上類別為戟的武器，能提升攻擊力</v>
      </c>
      <c r="P142">
        <v>7081800</v>
      </c>
      <c r="Q142" t="str">
        <f>IF(VALUE(P142)=0,"",VLOOKUP(VLOOKUP(P142,Tbl_Effect[],3,FALSE),EffectName[],IFERROR(MATCH(UI!$B$1,EffectName[#Headers],0),2),FALSE))</f>
        <v>裝備三把以上類別為戟的武器，能提升攻擊力</v>
      </c>
      <c r="R142" t="str">
        <f t="shared" si="17"/>
        <v>7081800-裝備三把以上類別為戟的武器，能提升攻擊力</v>
      </c>
      <c r="S142">
        <v>7081800</v>
      </c>
      <c r="T142" t="str">
        <f>IF(VALUE(S142)=0,"",VLOOKUP(VLOOKUP(S142,Tbl_Effect[],3,FALSE),EffectName[],IFERROR(MATCH(UI!$B$1,EffectName[#Headers],0),2),FALSE))</f>
        <v>裝備三把以上類別為戟的武器，能提升攻擊力</v>
      </c>
      <c r="U142" t="str">
        <f t="shared" si="18"/>
        <v/>
      </c>
      <c r="V142">
        <v>0</v>
      </c>
      <c r="W142" t="str">
        <f>IF(V142&lt;&gt;0,VLOOKUP(VLOOKUP(V142,Tbl_Effect[],3,FALSE),EffectName[],IFERROR(MATCH(UI!$B$1,EffectName[#Headers],0),2),FALSE),"")</f>
        <v/>
      </c>
      <c r="X142" t="str">
        <f t="shared" si="19"/>
        <v/>
      </c>
      <c r="Y142">
        <v>0</v>
      </c>
      <c r="Z142" t="str">
        <f>IF(Y142&lt;&gt;0,VLOOKUP(VLOOKUP(Y142,Tbl_Effect[],3,FALSE),EffectName[],IFERROR(MATCH(UI!$B$1,EffectName[#Headers],0),2),FALSE),"")</f>
        <v/>
      </c>
      <c r="AA142" t="str">
        <f t="shared" si="20"/>
        <v/>
      </c>
      <c r="AB142">
        <v>0</v>
      </c>
      <c r="AC142" t="str">
        <f>IF(AB142&lt;&gt;0,VLOOKUP(VLOOKUP(AB142,Tbl_Effect[],3,FALSE),EffectName[],IFERROR(MATCH(UI!$B$1,EffectName[#Headers],0),2),FALSE),"")</f>
        <v/>
      </c>
      <c r="AE142">
        <v>7081400</v>
      </c>
      <c r="AF142">
        <v>7081800</v>
      </c>
      <c r="AG142">
        <v>7081800</v>
      </c>
    </row>
    <row r="143" spans="8:33" x14ac:dyDescent="0.4">
      <c r="H143" t="str">
        <f t="shared" si="14"/>
        <v>1820-遼闊的水滴情景 (藍)</v>
      </c>
      <c r="I143">
        <v>1820</v>
      </c>
      <c r="J143" t="str">
        <f>_xlfn.IFNA(IF(I143&lt;&gt;0,VLOOKUP(VLOOKUP(I143,Tbl_Equip[],2,FALSE),Tbl_Color[],IFERROR(MATCH(UI!$B$1,Tbl_Color[#Headers],0),2),FALSE),""),"Unset")</f>
        <v>藍</v>
      </c>
      <c r="K143" t="str">
        <f>_xlfn.IFNA(IF(I143&lt;&gt;0,VLOOKUP(I143,ItemText[],IFERROR(MATCH(UI!$B$1,ItemText[#Headers],0),2),FALSE),""),"Unset")</f>
        <v>遼闊的水滴情景</v>
      </c>
      <c r="L143" t="str">
        <f t="shared" si="15"/>
        <v>7081500-裝備三把以上類別為矛的武器，能提升攻擊力</v>
      </c>
      <c r="M143">
        <v>7081500</v>
      </c>
      <c r="N143" t="str">
        <f>IF(VALUE(M143)=0,"",VLOOKUP(VLOOKUP(M143,Tbl_Effect[],3,FALSE),EffectName[],IFERROR(MATCH(UI!$B$1,EffectName[#Headers],0),2),FALSE))</f>
        <v>裝備三把以上類別為矛的武器，能提升攻擊力</v>
      </c>
      <c r="O143" t="str">
        <f t="shared" si="16"/>
        <v>7081900-裝備三把以上類別為鐮刀的武器，能提升攻擊力</v>
      </c>
      <c r="P143">
        <v>7081900</v>
      </c>
      <c r="Q143" t="str">
        <f>IF(VALUE(P143)=0,"",VLOOKUP(VLOOKUP(P143,Tbl_Effect[],3,FALSE),EffectName[],IFERROR(MATCH(UI!$B$1,EffectName[#Headers],0),2),FALSE))</f>
        <v>裝備三把以上類別為鐮刀的武器，能提升攻擊力</v>
      </c>
      <c r="R143" t="str">
        <f t="shared" si="17"/>
        <v>7081900-裝備三把以上類別為鐮刀的武器，能提升攻擊力</v>
      </c>
      <c r="S143">
        <v>7081900</v>
      </c>
      <c r="T143" t="str">
        <f>IF(VALUE(S143)=0,"",VLOOKUP(VLOOKUP(S143,Tbl_Effect[],3,FALSE),EffectName[],IFERROR(MATCH(UI!$B$1,EffectName[#Headers],0),2),FALSE))</f>
        <v>裝備三把以上類別為鐮刀的武器，能提升攻擊力</v>
      </c>
      <c r="U143" t="str">
        <f t="shared" si="18"/>
        <v/>
      </c>
      <c r="V143">
        <v>0</v>
      </c>
      <c r="W143" t="str">
        <f>IF(V143&lt;&gt;0,VLOOKUP(VLOOKUP(V143,Tbl_Effect[],3,FALSE),EffectName[],IFERROR(MATCH(UI!$B$1,EffectName[#Headers],0),2),FALSE),"")</f>
        <v/>
      </c>
      <c r="X143" t="str">
        <f t="shared" si="19"/>
        <v/>
      </c>
      <c r="Y143">
        <v>0</v>
      </c>
      <c r="Z143" t="str">
        <f>IF(Y143&lt;&gt;0,VLOOKUP(VLOOKUP(Y143,Tbl_Effect[],3,FALSE),EffectName[],IFERROR(MATCH(UI!$B$1,EffectName[#Headers],0),2),FALSE),"")</f>
        <v/>
      </c>
      <c r="AA143" t="str">
        <f t="shared" si="20"/>
        <v/>
      </c>
      <c r="AB143">
        <v>0</v>
      </c>
      <c r="AC143" t="str">
        <f>IF(AB143&lt;&gt;0,VLOOKUP(VLOOKUP(AB143,Tbl_Effect[],3,FALSE),EffectName[],IFERROR(MATCH(UI!$B$1,EffectName[#Headers],0),2),FALSE),"")</f>
        <v/>
      </c>
      <c r="AE143">
        <v>7081500</v>
      </c>
      <c r="AF143">
        <v>7081900</v>
      </c>
      <c r="AG143">
        <v>7081900</v>
      </c>
    </row>
    <row r="144" spans="8:33" x14ac:dyDescent="0.4">
      <c r="H144" t="str">
        <f t="shared" si="14"/>
        <v>1830-遼闊的水滴情景 (藍)</v>
      </c>
      <c r="I144">
        <v>1830</v>
      </c>
      <c r="J144" t="str">
        <f>_xlfn.IFNA(IF(I144&lt;&gt;0,VLOOKUP(VLOOKUP(I144,Tbl_Equip[],2,FALSE),Tbl_Color[],IFERROR(MATCH(UI!$B$1,Tbl_Color[#Headers],0),2),FALSE),""),"Unset")</f>
        <v>藍</v>
      </c>
      <c r="K144" t="str">
        <f>_xlfn.IFNA(IF(I144&lt;&gt;0,VLOOKUP(I144,ItemText[],IFERROR(MATCH(UI!$B$1,ItemText[#Headers],0),2),FALSE),""),"Unset")</f>
        <v>遼闊的水滴情景</v>
      </c>
      <c r="L144" t="str">
        <f t="shared" si="15"/>
        <v>7081700-裝備三把以上類別為大矛的武器，能提升攻擊力</v>
      </c>
      <c r="M144">
        <v>7081700</v>
      </c>
      <c r="N144" t="str">
        <f>IF(VALUE(M144)=0,"",VLOOKUP(VLOOKUP(M144,Tbl_Effect[],3,FALSE),EffectName[],IFERROR(MATCH(UI!$B$1,EffectName[#Headers],0),2),FALSE))</f>
        <v>裝備三把以上類別為大矛的武器，能提升攻擊力</v>
      </c>
      <c r="O144" t="str">
        <f t="shared" si="16"/>
        <v>7082000-裝備三把以上類別為拳頭的武器，能提升攻擊力</v>
      </c>
      <c r="P144">
        <v>7082000</v>
      </c>
      <c r="Q144" t="str">
        <f>IF(VALUE(P144)=0,"",VLOOKUP(VLOOKUP(P144,Tbl_Effect[],3,FALSE),EffectName[],IFERROR(MATCH(UI!$B$1,EffectName[#Headers],0),2),FALSE))</f>
        <v>裝備三把以上類別為拳頭的武器，能提升攻擊力</v>
      </c>
      <c r="R144" t="str">
        <f t="shared" si="17"/>
        <v>7082000-裝備三把以上類別為拳頭的武器，能提升攻擊力</v>
      </c>
      <c r="S144">
        <v>7082000</v>
      </c>
      <c r="T144" t="str">
        <f>IF(VALUE(S144)=0,"",VLOOKUP(VLOOKUP(S144,Tbl_Effect[],3,FALSE),EffectName[],IFERROR(MATCH(UI!$B$1,EffectName[#Headers],0),2),FALSE))</f>
        <v>裝備三把以上類別為拳頭的武器，能提升攻擊力</v>
      </c>
      <c r="U144" t="str">
        <f t="shared" si="18"/>
        <v/>
      </c>
      <c r="V144">
        <v>0</v>
      </c>
      <c r="W144" t="str">
        <f>IF(V144&lt;&gt;0,VLOOKUP(VLOOKUP(V144,Tbl_Effect[],3,FALSE),EffectName[],IFERROR(MATCH(UI!$B$1,EffectName[#Headers],0),2),FALSE),"")</f>
        <v/>
      </c>
      <c r="X144" t="str">
        <f t="shared" si="19"/>
        <v/>
      </c>
      <c r="Y144">
        <v>0</v>
      </c>
      <c r="Z144" t="str">
        <f>IF(Y144&lt;&gt;0,VLOOKUP(VLOOKUP(Y144,Tbl_Effect[],3,FALSE),EffectName[],IFERROR(MATCH(UI!$B$1,EffectName[#Headers],0),2),FALSE),"")</f>
        <v/>
      </c>
      <c r="AA144" t="str">
        <f t="shared" si="20"/>
        <v/>
      </c>
      <c r="AB144">
        <v>0</v>
      </c>
      <c r="AC144" t="str">
        <f>IF(AB144&lt;&gt;0,VLOOKUP(VLOOKUP(AB144,Tbl_Effect[],3,FALSE),EffectName[],IFERROR(MATCH(UI!$B$1,EffectName[#Headers],0),2),FALSE),"")</f>
        <v/>
      </c>
      <c r="AE144">
        <v>7081700</v>
      </c>
      <c r="AF144">
        <v>7082000</v>
      </c>
      <c r="AG144">
        <v>7082000</v>
      </c>
    </row>
    <row r="145" spans="8:33" x14ac:dyDescent="0.4">
      <c r="H145" t="str">
        <f t="shared" si="14"/>
        <v>1850-遼闊的火燃情景 (紅)</v>
      </c>
      <c r="I145">
        <v>1850</v>
      </c>
      <c r="J145" t="str">
        <f>_xlfn.IFNA(IF(I145&lt;&gt;0,VLOOKUP(VLOOKUP(I145,Tbl_Equip[],2,FALSE),Tbl_Color[],IFERROR(MATCH(UI!$B$1,Tbl_Color[#Headers],0),2),FALSE),""),"Unset")</f>
        <v>紅</v>
      </c>
      <c r="K145" t="str">
        <f>_xlfn.IFNA(IF(I145&lt;&gt;0,VLOOKUP(I145,ItemText[],IFERROR(MATCH(UI!$B$1,ItemText[#Headers],0),2),FALSE),""),"Unset")</f>
        <v>遼闊的火燃情景</v>
      </c>
      <c r="L145" t="str">
        <f t="shared" si="15"/>
        <v>7081800-裝備三把以上類別為戟的武器，能提升攻擊力</v>
      </c>
      <c r="M145">
        <v>7081800</v>
      </c>
      <c r="N145" t="str">
        <f>IF(VALUE(M145)=0,"",VLOOKUP(VLOOKUP(M145,Tbl_Effect[],3,FALSE),EffectName[],IFERROR(MATCH(UI!$B$1,EffectName[#Headers],0),2),FALSE))</f>
        <v>裝備三把以上類別為戟的武器，能提升攻擊力</v>
      </c>
      <c r="O145" t="str">
        <f t="shared" si="16"/>
        <v>7082100-裝備三把以上類別為鉤爪的武器，能提升攻擊力</v>
      </c>
      <c r="P145">
        <v>7082100</v>
      </c>
      <c r="Q145" t="str">
        <f>IF(VALUE(P145)=0,"",VLOOKUP(VLOOKUP(P145,Tbl_Effect[],3,FALSE),EffectName[],IFERROR(MATCH(UI!$B$1,EffectName[#Headers],0),2),FALSE))</f>
        <v>裝備三把以上類別為鉤爪的武器，能提升攻擊力</v>
      </c>
      <c r="R145" t="str">
        <f t="shared" si="17"/>
        <v>7082100-裝備三把以上類別為鉤爪的武器，能提升攻擊力</v>
      </c>
      <c r="S145">
        <v>7082100</v>
      </c>
      <c r="T145" t="str">
        <f>IF(VALUE(S145)=0,"",VLOOKUP(VLOOKUP(S145,Tbl_Effect[],3,FALSE),EffectName[],IFERROR(MATCH(UI!$B$1,EffectName[#Headers],0),2),FALSE))</f>
        <v>裝備三把以上類別為鉤爪的武器，能提升攻擊力</v>
      </c>
      <c r="U145" t="str">
        <f t="shared" si="18"/>
        <v/>
      </c>
      <c r="V145">
        <v>0</v>
      </c>
      <c r="W145" t="str">
        <f>IF(V145&lt;&gt;0,VLOOKUP(VLOOKUP(V145,Tbl_Effect[],3,FALSE),EffectName[],IFERROR(MATCH(UI!$B$1,EffectName[#Headers],0),2),FALSE),"")</f>
        <v/>
      </c>
      <c r="X145" t="str">
        <f t="shared" si="19"/>
        <v/>
      </c>
      <c r="Y145">
        <v>0</v>
      </c>
      <c r="Z145" t="str">
        <f>IF(Y145&lt;&gt;0,VLOOKUP(VLOOKUP(Y145,Tbl_Effect[],3,FALSE),EffectName[],IFERROR(MATCH(UI!$B$1,EffectName[#Headers],0),2),FALSE),"")</f>
        <v/>
      </c>
      <c r="AA145" t="str">
        <f t="shared" si="20"/>
        <v/>
      </c>
      <c r="AB145">
        <v>0</v>
      </c>
      <c r="AC145" t="str">
        <f>IF(AB145&lt;&gt;0,VLOOKUP(VLOOKUP(AB145,Tbl_Effect[],3,FALSE),EffectName[],IFERROR(MATCH(UI!$B$1,EffectName[#Headers],0),2),FALSE),"")</f>
        <v/>
      </c>
      <c r="AE145">
        <v>7081800</v>
      </c>
      <c r="AF145">
        <v>7082100</v>
      </c>
      <c r="AG145">
        <v>7082100</v>
      </c>
    </row>
    <row r="146" spans="8:33" x14ac:dyDescent="0.4">
      <c r="H146" t="str">
        <f t="shared" si="14"/>
        <v>1860-遼闊的火燃情景 (紅)</v>
      </c>
      <c r="I146">
        <v>1860</v>
      </c>
      <c r="J146" t="str">
        <f>_xlfn.IFNA(IF(I146&lt;&gt;0,VLOOKUP(VLOOKUP(I146,Tbl_Equip[],2,FALSE),Tbl_Color[],IFERROR(MATCH(UI!$B$1,Tbl_Color[#Headers],0),2),FALSE),""),"Unset")</f>
        <v>紅</v>
      </c>
      <c r="K146" t="str">
        <f>_xlfn.IFNA(IF(I146&lt;&gt;0,VLOOKUP(I146,ItemText[],IFERROR(MATCH(UI!$B$1,ItemText[#Headers],0),2),FALSE),""),"Unset")</f>
        <v>遼闊的火燃情景</v>
      </c>
      <c r="L146" t="str">
        <f t="shared" si="15"/>
        <v>7081900-裝備三把以上類別為鐮刀的武器，能提升攻擊力</v>
      </c>
      <c r="M146">
        <v>7081900</v>
      </c>
      <c r="N146" t="str">
        <f>IF(VALUE(M146)=0,"",VLOOKUP(VLOOKUP(M146,Tbl_Effect[],3,FALSE),EffectName[],IFERROR(MATCH(UI!$B$1,EffectName[#Headers],0),2),FALSE))</f>
        <v>裝備三把以上類別為鐮刀的武器，能提升攻擊力</v>
      </c>
      <c r="O146" t="str">
        <f t="shared" si="16"/>
        <v>7082200-裝備三把以上類別為軟鞭的武器，能提升攻擊力</v>
      </c>
      <c r="P146">
        <v>7082200</v>
      </c>
      <c r="Q146" t="str">
        <f>IF(VALUE(P146)=0,"",VLOOKUP(VLOOKUP(P146,Tbl_Effect[],3,FALSE),EffectName[],IFERROR(MATCH(UI!$B$1,EffectName[#Headers],0),2),FALSE))</f>
        <v>裝備三把以上類別為軟鞭的武器，能提升攻擊力</v>
      </c>
      <c r="R146" t="str">
        <f t="shared" si="17"/>
        <v>7082200-裝備三把以上類別為軟鞭的武器，能提升攻擊力</v>
      </c>
      <c r="S146">
        <v>7082200</v>
      </c>
      <c r="T146" t="str">
        <f>IF(VALUE(S146)=0,"",VLOOKUP(VLOOKUP(S146,Tbl_Effect[],3,FALSE),EffectName[],IFERROR(MATCH(UI!$B$1,EffectName[#Headers],0),2),FALSE))</f>
        <v>裝備三把以上類別為軟鞭的武器，能提升攻擊力</v>
      </c>
      <c r="U146" t="str">
        <f t="shared" si="18"/>
        <v/>
      </c>
      <c r="V146">
        <v>0</v>
      </c>
      <c r="W146" t="str">
        <f>IF(V146&lt;&gt;0,VLOOKUP(VLOOKUP(V146,Tbl_Effect[],3,FALSE),EffectName[],IFERROR(MATCH(UI!$B$1,EffectName[#Headers],0),2),FALSE),"")</f>
        <v/>
      </c>
      <c r="X146" t="str">
        <f t="shared" si="19"/>
        <v/>
      </c>
      <c r="Y146">
        <v>0</v>
      </c>
      <c r="Z146" t="str">
        <f>IF(Y146&lt;&gt;0,VLOOKUP(VLOOKUP(Y146,Tbl_Effect[],3,FALSE),EffectName[],IFERROR(MATCH(UI!$B$1,EffectName[#Headers],0),2),FALSE),"")</f>
        <v/>
      </c>
      <c r="AA146" t="str">
        <f t="shared" si="20"/>
        <v/>
      </c>
      <c r="AB146">
        <v>0</v>
      </c>
      <c r="AC146" t="str">
        <f>IF(AB146&lt;&gt;0,VLOOKUP(VLOOKUP(AB146,Tbl_Effect[],3,FALSE),EffectName[],IFERROR(MATCH(UI!$B$1,EffectName[#Headers],0),2),FALSE),"")</f>
        <v/>
      </c>
      <c r="AE146">
        <v>7081900</v>
      </c>
      <c r="AF146">
        <v>7082200</v>
      </c>
      <c r="AG146">
        <v>7082200</v>
      </c>
    </row>
    <row r="147" spans="8:33" x14ac:dyDescent="0.4">
      <c r="H147" t="str">
        <f t="shared" si="14"/>
        <v>1870-遼闊的水滴情景 (藍)</v>
      </c>
      <c r="I147">
        <v>1870</v>
      </c>
      <c r="J147" t="str">
        <f>_xlfn.IFNA(IF(I147&lt;&gt;0,VLOOKUP(VLOOKUP(I147,Tbl_Equip[],2,FALSE),Tbl_Color[],IFERROR(MATCH(UI!$B$1,Tbl_Color[#Headers],0),2),FALSE),""),"Unset")</f>
        <v>藍</v>
      </c>
      <c r="K147" t="str">
        <f>_xlfn.IFNA(IF(I147&lt;&gt;0,VLOOKUP(I147,ItemText[],IFERROR(MATCH(UI!$B$1,ItemText[#Headers],0),2),FALSE),""),"Unset")</f>
        <v>遼闊的水滴情景</v>
      </c>
      <c r="L147" t="str">
        <f t="shared" si="15"/>
        <v>7082000-裝備三把以上類別為拳頭的武器，能提升攻擊力</v>
      </c>
      <c r="M147">
        <v>7082000</v>
      </c>
      <c r="N147" t="str">
        <f>IF(VALUE(M147)=0,"",VLOOKUP(VLOOKUP(M147,Tbl_Effect[],3,FALSE),EffectName[],IFERROR(MATCH(UI!$B$1,EffectName[#Headers],0),2),FALSE))</f>
        <v>裝備三把以上類別為拳頭的武器，能提升攻擊力</v>
      </c>
      <c r="O147" t="str">
        <f t="shared" si="16"/>
        <v>7082300-裝備三把以上類別為特大武器的武器，能提升攻擊力</v>
      </c>
      <c r="P147">
        <v>7082300</v>
      </c>
      <c r="Q147" t="str">
        <f>IF(VALUE(P147)=0,"",VLOOKUP(VLOOKUP(P147,Tbl_Effect[],3,FALSE),EffectName[],IFERROR(MATCH(UI!$B$1,EffectName[#Headers],0),2),FALSE))</f>
        <v>裝備三把以上類別為特大武器的武器，能提升攻擊力</v>
      </c>
      <c r="R147" t="str">
        <f t="shared" si="17"/>
        <v>7082300-裝備三把以上類別為特大武器的武器，能提升攻擊力</v>
      </c>
      <c r="S147">
        <v>7082300</v>
      </c>
      <c r="T147" t="str">
        <f>IF(VALUE(S147)=0,"",VLOOKUP(VLOOKUP(S147,Tbl_Effect[],3,FALSE),EffectName[],IFERROR(MATCH(UI!$B$1,EffectName[#Headers],0),2),FALSE))</f>
        <v>裝備三把以上類別為特大武器的武器，能提升攻擊力</v>
      </c>
      <c r="U147" t="str">
        <f t="shared" si="18"/>
        <v/>
      </c>
      <c r="V147">
        <v>0</v>
      </c>
      <c r="W147" t="str">
        <f>IF(V147&lt;&gt;0,VLOOKUP(VLOOKUP(V147,Tbl_Effect[],3,FALSE),EffectName[],IFERROR(MATCH(UI!$B$1,EffectName[#Headers],0),2),FALSE),"")</f>
        <v/>
      </c>
      <c r="X147" t="str">
        <f t="shared" si="19"/>
        <v/>
      </c>
      <c r="Y147">
        <v>0</v>
      </c>
      <c r="Z147" t="str">
        <f>IF(Y147&lt;&gt;0,VLOOKUP(VLOOKUP(Y147,Tbl_Effect[],3,FALSE),EffectName[],IFERROR(MATCH(UI!$B$1,EffectName[#Headers],0),2),FALSE),"")</f>
        <v/>
      </c>
      <c r="AA147" t="str">
        <f t="shared" si="20"/>
        <v/>
      </c>
      <c r="AB147">
        <v>0</v>
      </c>
      <c r="AC147" t="str">
        <f>IF(AB147&lt;&gt;0,VLOOKUP(VLOOKUP(AB147,Tbl_Effect[],3,FALSE),EffectName[],IFERROR(MATCH(UI!$B$1,EffectName[#Headers],0),2),FALSE),"")</f>
        <v/>
      </c>
      <c r="AE147">
        <v>7082000</v>
      </c>
      <c r="AF147">
        <v>7082300</v>
      </c>
      <c r="AG147">
        <v>7082300</v>
      </c>
    </row>
    <row r="148" spans="8:33" x14ac:dyDescent="0.4">
      <c r="H148" t="str">
        <f t="shared" si="14"/>
        <v>1880-遼闊的幽靜情景 (綠)</v>
      </c>
      <c r="I148">
        <v>1880</v>
      </c>
      <c r="J148" t="str">
        <f>_xlfn.IFNA(IF(I148&lt;&gt;0,VLOOKUP(VLOOKUP(I148,Tbl_Equip[],2,FALSE),Tbl_Color[],IFERROR(MATCH(UI!$B$1,Tbl_Color[#Headers],0),2),FALSE),""),"Unset")</f>
        <v>綠</v>
      </c>
      <c r="K148" t="str">
        <f>_xlfn.IFNA(IF(I148&lt;&gt;0,VLOOKUP(I148,ItemText[],IFERROR(MATCH(UI!$B$1,ItemText[#Headers],0),2),FALSE),""),"Unset")</f>
        <v>遼闊的幽靜情景</v>
      </c>
      <c r="L148" t="str">
        <f t="shared" si="15"/>
        <v>7082100-裝備三把以上類別為鉤爪的武器，能提升攻擊力</v>
      </c>
      <c r="M148">
        <v>7082100</v>
      </c>
      <c r="N148" t="str">
        <f>IF(VALUE(M148)=0,"",VLOOKUP(VLOOKUP(M148,Tbl_Effect[],3,FALSE),EffectName[],IFERROR(MATCH(UI!$B$1,EffectName[#Headers],0),2),FALSE))</f>
        <v>裝備三把以上類別為鉤爪的武器，能提升攻擊力</v>
      </c>
      <c r="O148" t="str">
        <f t="shared" si="16"/>
        <v>7082400-裝備三把以上類別為弓的武器，能提升攻擊力</v>
      </c>
      <c r="P148">
        <v>7082400</v>
      </c>
      <c r="Q148" t="str">
        <f>IF(VALUE(P148)=0,"",VLOOKUP(VLOOKUP(P148,Tbl_Effect[],3,FALSE),EffectName[],IFERROR(MATCH(UI!$B$1,EffectName[#Headers],0),2),FALSE))</f>
        <v>裝備三把以上類別為弓的武器，能提升攻擊力</v>
      </c>
      <c r="R148" t="str">
        <f t="shared" si="17"/>
        <v>7082400-裝備三把以上類別為弓的武器，能提升攻擊力</v>
      </c>
      <c r="S148">
        <v>7082400</v>
      </c>
      <c r="T148" t="str">
        <f>IF(VALUE(S148)=0,"",VLOOKUP(VLOOKUP(S148,Tbl_Effect[],3,FALSE),EffectName[],IFERROR(MATCH(UI!$B$1,EffectName[#Headers],0),2),FALSE))</f>
        <v>裝備三把以上類別為弓的武器，能提升攻擊力</v>
      </c>
      <c r="U148" t="str">
        <f t="shared" si="18"/>
        <v/>
      </c>
      <c r="V148">
        <v>0</v>
      </c>
      <c r="W148" t="str">
        <f>IF(V148&lt;&gt;0,VLOOKUP(VLOOKUP(V148,Tbl_Effect[],3,FALSE),EffectName[],IFERROR(MATCH(UI!$B$1,EffectName[#Headers],0),2),FALSE),"")</f>
        <v/>
      </c>
      <c r="X148" t="str">
        <f t="shared" si="19"/>
        <v/>
      </c>
      <c r="Y148">
        <v>0</v>
      </c>
      <c r="Z148" t="str">
        <f>IF(Y148&lt;&gt;0,VLOOKUP(VLOOKUP(Y148,Tbl_Effect[],3,FALSE),EffectName[],IFERROR(MATCH(UI!$B$1,EffectName[#Headers],0),2),FALSE),"")</f>
        <v/>
      </c>
      <c r="AA148" t="str">
        <f t="shared" si="20"/>
        <v/>
      </c>
      <c r="AB148">
        <v>0</v>
      </c>
      <c r="AC148" t="str">
        <f>IF(AB148&lt;&gt;0,VLOOKUP(VLOOKUP(AB148,Tbl_Effect[],3,FALSE),EffectName[],IFERROR(MATCH(UI!$B$1,EffectName[#Headers],0),2),FALSE),"")</f>
        <v/>
      </c>
      <c r="AE148">
        <v>7082100</v>
      </c>
      <c r="AF148">
        <v>7082400</v>
      </c>
      <c r="AG148">
        <v>7082400</v>
      </c>
    </row>
    <row r="149" spans="8:33" x14ac:dyDescent="0.4">
      <c r="H149" t="str">
        <f t="shared" si="14"/>
        <v>1890-遼闊的光耀情景 (黃)</v>
      </c>
      <c r="I149">
        <v>1890</v>
      </c>
      <c r="J149" t="str">
        <f>_xlfn.IFNA(IF(I149&lt;&gt;0,VLOOKUP(VLOOKUP(I149,Tbl_Equip[],2,FALSE),Tbl_Color[],IFERROR(MATCH(UI!$B$1,Tbl_Color[#Headers],0),2),FALSE),""),"Unset")</f>
        <v>黃</v>
      </c>
      <c r="K149" t="str">
        <f>_xlfn.IFNA(IF(I149&lt;&gt;0,VLOOKUP(I149,ItemText[],IFERROR(MATCH(UI!$B$1,ItemText[#Headers],0),2),FALSE),""),"Unset")</f>
        <v>遼闊的光耀情景</v>
      </c>
      <c r="L149" t="str">
        <f t="shared" si="15"/>
        <v>7082200-裝備三把以上類別為軟鞭的武器，能提升攻擊力</v>
      </c>
      <c r="M149">
        <v>7082200</v>
      </c>
      <c r="N149" t="str">
        <f>IF(VALUE(M149)=0,"",VLOOKUP(VLOOKUP(M149,Tbl_Effect[],3,FALSE),EffectName[],IFERROR(MATCH(UI!$B$1,EffectName[#Headers],0),2),FALSE))</f>
        <v>裝備三把以上類別為軟鞭的武器，能提升攻擊力</v>
      </c>
      <c r="O149" t="str">
        <f t="shared" si="16"/>
        <v>7082500-裝備三把以上類別為手杖的武器，能提升ＦＰ上限</v>
      </c>
      <c r="P149">
        <v>7082500</v>
      </c>
      <c r="Q149" t="str">
        <f>IF(VALUE(P149)=0,"",VLOOKUP(VLOOKUP(P149,Tbl_Effect[],3,FALSE),EffectName[],IFERROR(MATCH(UI!$B$1,EffectName[#Headers],0),2),FALSE))</f>
        <v>裝備三把以上類別為手杖的武器，能提升ＦＰ上限</v>
      </c>
      <c r="R149" t="str">
        <f t="shared" si="17"/>
        <v>7082500-裝備三把以上類別為手杖的武器，能提升ＦＰ上限</v>
      </c>
      <c r="S149">
        <v>7082500</v>
      </c>
      <c r="T149" t="str">
        <f>IF(VALUE(S149)=0,"",VLOOKUP(VLOOKUP(S149,Tbl_Effect[],3,FALSE),EffectName[],IFERROR(MATCH(UI!$B$1,EffectName[#Headers],0),2),FALSE))</f>
        <v>裝備三把以上類別為手杖的武器，能提升ＦＰ上限</v>
      </c>
      <c r="U149" t="str">
        <f t="shared" si="18"/>
        <v/>
      </c>
      <c r="V149">
        <v>0</v>
      </c>
      <c r="W149" t="str">
        <f>IF(V149&lt;&gt;0,VLOOKUP(VLOOKUP(V149,Tbl_Effect[],3,FALSE),EffectName[],IFERROR(MATCH(UI!$B$1,EffectName[#Headers],0),2),FALSE),"")</f>
        <v/>
      </c>
      <c r="X149" t="str">
        <f t="shared" si="19"/>
        <v/>
      </c>
      <c r="Y149">
        <v>0</v>
      </c>
      <c r="Z149" t="str">
        <f>IF(Y149&lt;&gt;0,VLOOKUP(VLOOKUP(Y149,Tbl_Effect[],3,FALSE),EffectName[],IFERROR(MATCH(UI!$B$1,EffectName[#Headers],0),2),FALSE),"")</f>
        <v/>
      </c>
      <c r="AA149" t="str">
        <f t="shared" si="20"/>
        <v/>
      </c>
      <c r="AB149">
        <v>0</v>
      </c>
      <c r="AC149" t="str">
        <f>IF(AB149&lt;&gt;0,VLOOKUP(VLOOKUP(AB149,Tbl_Effect[],3,FALSE),EffectName[],IFERROR(MATCH(UI!$B$1,EffectName[#Headers],0),2),FALSE),"")</f>
        <v/>
      </c>
      <c r="AE149">
        <v>7082200</v>
      </c>
      <c r="AF149">
        <v>7082500</v>
      </c>
      <c r="AG149">
        <v>7082500</v>
      </c>
    </row>
    <row r="150" spans="8:33" x14ac:dyDescent="0.4">
      <c r="H150" t="str">
        <f t="shared" si="14"/>
        <v>1900-遼闊的火燃情景 (紅)</v>
      </c>
      <c r="I150">
        <v>1900</v>
      </c>
      <c r="J150" t="str">
        <f>_xlfn.IFNA(IF(I150&lt;&gt;0,VLOOKUP(VLOOKUP(I150,Tbl_Equip[],2,FALSE),Tbl_Color[],IFERROR(MATCH(UI!$B$1,Tbl_Color[#Headers],0),2),FALSE),""),"Unset")</f>
        <v>紅</v>
      </c>
      <c r="K150" t="str">
        <f>_xlfn.IFNA(IF(I150&lt;&gt;0,VLOOKUP(I150,ItemText[],IFERROR(MATCH(UI!$B$1,ItemText[#Headers],0),2),FALSE),""),"Unset")</f>
        <v>遼闊的火燃情景</v>
      </c>
      <c r="L150" t="str">
        <f t="shared" si="15"/>
        <v>7082300-裝備三把以上類別為特大武器的武器，能提升攻擊力</v>
      </c>
      <c r="M150">
        <v>7082300</v>
      </c>
      <c r="N150" t="str">
        <f>IF(VALUE(M150)=0,"",VLOOKUP(VLOOKUP(M150,Tbl_Effect[],3,FALSE),EffectName[],IFERROR(MATCH(UI!$B$1,EffectName[#Headers],0),2),FALSE))</f>
        <v>裝備三把以上類別為特大武器的武器，能提升攻擊力</v>
      </c>
      <c r="O150" t="str">
        <f t="shared" si="16"/>
        <v>7082600-裝備三把以上類別為聖印記的武器，能提升ＦＰ上限</v>
      </c>
      <c r="P150">
        <v>7082600</v>
      </c>
      <c r="Q150" t="str">
        <f>IF(VALUE(P150)=0,"",VLOOKUP(VLOOKUP(P150,Tbl_Effect[],3,FALSE),EffectName[],IFERROR(MATCH(UI!$B$1,EffectName[#Headers],0),2),FALSE))</f>
        <v>裝備三把以上類別為聖印記的武器，能提升ＦＰ上限</v>
      </c>
      <c r="R150" t="str">
        <f t="shared" si="17"/>
        <v>7082600-裝備三把以上類別為聖印記的武器，能提升ＦＰ上限</v>
      </c>
      <c r="S150">
        <v>7082600</v>
      </c>
      <c r="T150" t="str">
        <f>IF(VALUE(S150)=0,"",VLOOKUP(VLOOKUP(S150,Tbl_Effect[],3,FALSE),EffectName[],IFERROR(MATCH(UI!$B$1,EffectName[#Headers],0),2),FALSE))</f>
        <v>裝備三把以上類別為聖印記的武器，能提升ＦＰ上限</v>
      </c>
      <c r="U150" t="str">
        <f t="shared" si="18"/>
        <v/>
      </c>
      <c r="V150">
        <v>0</v>
      </c>
      <c r="W150" t="str">
        <f>IF(V150&lt;&gt;0,VLOOKUP(VLOOKUP(V150,Tbl_Effect[],3,FALSE),EffectName[],IFERROR(MATCH(UI!$B$1,EffectName[#Headers],0),2),FALSE),"")</f>
        <v/>
      </c>
      <c r="X150" t="str">
        <f t="shared" si="19"/>
        <v/>
      </c>
      <c r="Y150">
        <v>0</v>
      </c>
      <c r="Z150" t="str">
        <f>IF(Y150&lt;&gt;0,VLOOKUP(VLOOKUP(Y150,Tbl_Effect[],3,FALSE),EffectName[],IFERROR(MATCH(UI!$B$1,EffectName[#Headers],0),2),FALSE),"")</f>
        <v/>
      </c>
      <c r="AA150" t="str">
        <f t="shared" si="20"/>
        <v/>
      </c>
      <c r="AB150">
        <v>0</v>
      </c>
      <c r="AC150" t="str">
        <f>IF(AB150&lt;&gt;0,VLOOKUP(VLOOKUP(AB150,Tbl_Effect[],3,FALSE),EffectName[],IFERROR(MATCH(UI!$B$1,EffectName[#Headers],0),2),FALSE),"")</f>
        <v/>
      </c>
      <c r="AE150">
        <v>7082300</v>
      </c>
      <c r="AF150">
        <v>7082600</v>
      </c>
      <c r="AG150">
        <v>7082600</v>
      </c>
    </row>
    <row r="151" spans="8:33" x14ac:dyDescent="0.4">
      <c r="H151" t="str">
        <f t="shared" si="14"/>
        <v>1920-遼闊的光耀情景 (黃)</v>
      </c>
      <c r="I151">
        <v>1920</v>
      </c>
      <c r="J151" t="str">
        <f>_xlfn.IFNA(IF(I151&lt;&gt;0,VLOOKUP(VLOOKUP(I151,Tbl_Equip[],2,FALSE),Tbl_Color[],IFERROR(MATCH(UI!$B$1,Tbl_Color[#Headers],0),2),FALSE),""),"Unset")</f>
        <v>黃</v>
      </c>
      <c r="K151" t="str">
        <f>_xlfn.IFNA(IF(I151&lt;&gt;0,VLOOKUP(I151,ItemText[],IFERROR(MATCH(UI!$B$1,ItemText[#Headers],0),2),FALSE),""),"Unset")</f>
        <v>遼闊的光耀情景</v>
      </c>
      <c r="L151" t="str">
        <f t="shared" si="15"/>
        <v>7082400-裝備三把以上類別為弓的武器，能提升攻擊力</v>
      </c>
      <c r="M151">
        <v>7082400</v>
      </c>
      <c r="N151" t="str">
        <f>IF(VALUE(M151)=0,"",VLOOKUP(VLOOKUP(M151,Tbl_Effect[],3,FALSE),EffectName[],IFERROR(MATCH(UI!$B$1,EffectName[#Headers],0),2),FALSE))</f>
        <v>裝備三把以上類別為弓的武器，能提升攻擊力</v>
      </c>
      <c r="O151" t="str">
        <f t="shared" si="16"/>
        <v>7082700-裝備三把以上類別為小盾的武器，能提升ＨＰ上限</v>
      </c>
      <c r="P151">
        <v>7082700</v>
      </c>
      <c r="Q151" t="str">
        <f>IF(VALUE(P151)=0,"",VLOOKUP(VLOOKUP(P151,Tbl_Effect[],3,FALSE),EffectName[],IFERROR(MATCH(UI!$B$1,EffectName[#Headers],0),2),FALSE))</f>
        <v>裝備三把以上類別為小盾的武器，能提升ＨＰ上限</v>
      </c>
      <c r="R151" t="str">
        <f t="shared" si="17"/>
        <v>7082700-裝備三把以上類別為小盾的武器，能提升ＨＰ上限</v>
      </c>
      <c r="S151">
        <v>7082700</v>
      </c>
      <c r="T151" t="str">
        <f>IF(VALUE(S151)=0,"",VLOOKUP(VLOOKUP(S151,Tbl_Effect[],3,FALSE),EffectName[],IFERROR(MATCH(UI!$B$1,EffectName[#Headers],0),2),FALSE))</f>
        <v>裝備三把以上類別為小盾的武器，能提升ＨＰ上限</v>
      </c>
      <c r="U151" t="str">
        <f t="shared" si="18"/>
        <v/>
      </c>
      <c r="V151">
        <v>0</v>
      </c>
      <c r="W151" t="str">
        <f>IF(V151&lt;&gt;0,VLOOKUP(VLOOKUP(V151,Tbl_Effect[],3,FALSE),EffectName[],IFERROR(MATCH(UI!$B$1,EffectName[#Headers],0),2),FALSE),"")</f>
        <v/>
      </c>
      <c r="X151" t="str">
        <f t="shared" si="19"/>
        <v/>
      </c>
      <c r="Y151">
        <v>0</v>
      </c>
      <c r="Z151" t="str">
        <f>IF(Y151&lt;&gt;0,VLOOKUP(VLOOKUP(Y151,Tbl_Effect[],3,FALSE),EffectName[],IFERROR(MATCH(UI!$B$1,EffectName[#Headers],0),2),FALSE),"")</f>
        <v/>
      </c>
      <c r="AA151" t="str">
        <f t="shared" si="20"/>
        <v/>
      </c>
      <c r="AB151">
        <v>0</v>
      </c>
      <c r="AC151" t="str">
        <f>IF(AB151&lt;&gt;0,VLOOKUP(VLOOKUP(AB151,Tbl_Effect[],3,FALSE),EffectName[],IFERROR(MATCH(UI!$B$1,EffectName[#Headers],0),2),FALSE),"")</f>
        <v/>
      </c>
      <c r="AE151">
        <v>7082400</v>
      </c>
      <c r="AF151">
        <v>7082700</v>
      </c>
      <c r="AG151">
        <v>7082700</v>
      </c>
    </row>
    <row r="152" spans="8:33" x14ac:dyDescent="0.4">
      <c r="H152" t="str">
        <f t="shared" si="14"/>
        <v>2000-野獸的黑夜 (綠)</v>
      </c>
      <c r="I152">
        <v>2000</v>
      </c>
      <c r="J152" t="str">
        <f>_xlfn.IFNA(IF(I152&lt;&gt;0,VLOOKUP(VLOOKUP(I152,Tbl_Equip[],2,FALSE),Tbl_Color[],IFERROR(MATCH(UI!$B$1,Tbl_Color[#Headers],0),2),FALSE),""),"Unset")</f>
        <v>綠</v>
      </c>
      <c r="K152" t="str">
        <f>_xlfn.IFNA(IF(I152&lt;&gt;0,VLOOKUP(I152,ItemText[],IFERROR(MATCH(UI!$B$1,ItemText[#Headers],0),2),FALSE),""),"Unset")</f>
        <v>野獸的黑夜</v>
      </c>
      <c r="L152" t="str">
        <f t="shared" si="15"/>
        <v>7082500-裝備三把以上類別為手杖的武器，能提升ＦＰ上限</v>
      </c>
      <c r="M152">
        <v>7082500</v>
      </c>
      <c r="N152" t="str">
        <f>IF(VALUE(M152)=0,"",VLOOKUP(VLOOKUP(M152,Tbl_Effect[],3,FALSE),EffectName[],IFERROR(MATCH(UI!$B$1,EffectName[#Headers],0),2),FALSE))</f>
        <v>裝備三把以上類別為手杖的武器，能提升ＦＰ上限</v>
      </c>
      <c r="O152" t="str">
        <f t="shared" si="16"/>
        <v>7082800-裝備三把以上類別為中盾的武器，能提升ＨＰ上限</v>
      </c>
      <c r="P152">
        <v>7082800</v>
      </c>
      <c r="Q152" t="str">
        <f>IF(VALUE(P152)=0,"",VLOOKUP(VLOOKUP(P152,Tbl_Effect[],3,FALSE),EffectName[],IFERROR(MATCH(UI!$B$1,EffectName[#Headers],0),2),FALSE))</f>
        <v>裝備三把以上類別為中盾的武器，能提升ＨＰ上限</v>
      </c>
      <c r="R152" t="str">
        <f t="shared" si="17"/>
        <v>7082800-裝備三把以上類別為中盾的武器，能提升ＨＰ上限</v>
      </c>
      <c r="S152">
        <v>7082800</v>
      </c>
      <c r="T152" t="str">
        <f>IF(VALUE(S152)=0,"",VLOOKUP(VLOOKUP(S152,Tbl_Effect[],3,FALSE),EffectName[],IFERROR(MATCH(UI!$B$1,EffectName[#Headers],0),2),FALSE))</f>
        <v>裝備三把以上類別為中盾的武器，能提升ＨＰ上限</v>
      </c>
      <c r="U152" t="str">
        <f t="shared" si="18"/>
        <v/>
      </c>
      <c r="V152">
        <v>0</v>
      </c>
      <c r="W152" t="str">
        <f>IF(V152&lt;&gt;0,VLOOKUP(VLOOKUP(V152,Tbl_Effect[],3,FALSE),EffectName[],IFERROR(MATCH(UI!$B$1,EffectName[#Headers],0),2),FALSE),"")</f>
        <v/>
      </c>
      <c r="X152" t="str">
        <f t="shared" si="19"/>
        <v/>
      </c>
      <c r="Y152">
        <v>0</v>
      </c>
      <c r="Z152" t="str">
        <f>IF(Y152&lt;&gt;0,VLOOKUP(VLOOKUP(Y152,Tbl_Effect[],3,FALSE),EffectName[],IFERROR(MATCH(UI!$B$1,EffectName[#Headers],0),2),FALSE),"")</f>
        <v/>
      </c>
      <c r="AA152" t="str">
        <f t="shared" si="20"/>
        <v/>
      </c>
      <c r="AB152">
        <v>0</v>
      </c>
      <c r="AC152" t="str">
        <f>IF(AB152&lt;&gt;0,VLOOKUP(VLOOKUP(AB152,Tbl_Effect[],3,FALSE),EffectName[],IFERROR(MATCH(UI!$B$1,EffectName[#Headers],0),2),FALSE),"")</f>
        <v/>
      </c>
      <c r="AE152">
        <v>7082500</v>
      </c>
      <c r="AF152">
        <v>7082800</v>
      </c>
      <c r="AG152">
        <v>7082800</v>
      </c>
    </row>
    <row r="153" spans="8:33" x14ac:dyDescent="0.4">
      <c r="H153" t="str">
        <f t="shared" si="14"/>
        <v>2001-野獸的暗夜 (黃)</v>
      </c>
      <c r="I153">
        <v>2001</v>
      </c>
      <c r="J153" t="str">
        <f>_xlfn.IFNA(IF(I153&lt;&gt;0,VLOOKUP(VLOOKUP(I153,Tbl_Equip[],2,FALSE),Tbl_Color[],IFERROR(MATCH(UI!$B$1,Tbl_Color[#Headers],0),2),FALSE),""),"Unset")</f>
        <v>黃</v>
      </c>
      <c r="K153" t="str">
        <f>_xlfn.IFNA(IF(I153&lt;&gt;0,VLOOKUP(I153,ItemText[],IFERROR(MATCH(UI!$B$1,ItemText[#Headers],0),2),FALSE),""),"Unset")</f>
        <v>野獸的暗夜</v>
      </c>
      <c r="L153" t="str">
        <f t="shared" si="15"/>
        <v>7082600-裝備三把以上類別為聖印記的武器，能提升ＦＰ上限</v>
      </c>
      <c r="M153">
        <v>7082600</v>
      </c>
      <c r="N153" t="str">
        <f>IF(VALUE(M153)=0,"",VLOOKUP(VLOOKUP(M153,Tbl_Effect[],3,FALSE),EffectName[],IFERROR(MATCH(UI!$B$1,EffectName[#Headers],0),2),FALSE))</f>
        <v>裝備三把以上類別為聖印記的武器，能提升ＦＰ上限</v>
      </c>
      <c r="O153" t="str">
        <f t="shared" si="16"/>
        <v>7082900-裝備三把以上類別為大盾的武器，能提升ＨＰ上限</v>
      </c>
      <c r="P153">
        <v>7082900</v>
      </c>
      <c r="Q153" t="str">
        <f>IF(VALUE(P153)=0,"",VLOOKUP(VLOOKUP(P153,Tbl_Effect[],3,FALSE),EffectName[],IFERROR(MATCH(UI!$B$1,EffectName[#Headers],0),2),FALSE))</f>
        <v>裝備三把以上類別為大盾的武器，能提升ＨＰ上限</v>
      </c>
      <c r="R153" t="str">
        <f t="shared" si="17"/>
        <v>7082900-裝備三把以上類別為大盾的武器，能提升ＨＰ上限</v>
      </c>
      <c r="S153">
        <v>7082900</v>
      </c>
      <c r="T153" t="str">
        <f>IF(VALUE(S153)=0,"",VLOOKUP(VLOOKUP(S153,Tbl_Effect[],3,FALSE),EffectName[],IFERROR(MATCH(UI!$B$1,EffectName[#Headers],0),2),FALSE))</f>
        <v>裝備三把以上類別為大盾的武器，能提升ＨＰ上限</v>
      </c>
      <c r="U153" t="str">
        <f t="shared" si="18"/>
        <v/>
      </c>
      <c r="V153">
        <v>0</v>
      </c>
      <c r="W153" t="str">
        <f>IF(V153&lt;&gt;0,VLOOKUP(VLOOKUP(V153,Tbl_Effect[],3,FALSE),EffectName[],IFERROR(MATCH(UI!$B$1,EffectName[#Headers],0),2),FALSE),"")</f>
        <v/>
      </c>
      <c r="X153" t="str">
        <f t="shared" si="19"/>
        <v/>
      </c>
      <c r="Y153">
        <v>0</v>
      </c>
      <c r="Z153" t="str">
        <f>IF(Y153&lt;&gt;0,VLOOKUP(VLOOKUP(Y153,Tbl_Effect[],3,FALSE),EffectName[],IFERROR(MATCH(UI!$B$1,EffectName[#Headers],0),2),FALSE),"")</f>
        <v/>
      </c>
      <c r="AA153" t="str">
        <f t="shared" si="20"/>
        <v/>
      </c>
      <c r="AB153">
        <v>0</v>
      </c>
      <c r="AC153" t="str">
        <f>IF(AB153&lt;&gt;0,VLOOKUP(VLOOKUP(AB153,Tbl_Effect[],3,FALSE),EffectName[],IFERROR(MATCH(UI!$B$1,EffectName[#Headers],0),2),FALSE),"")</f>
        <v/>
      </c>
      <c r="AE153">
        <v>7082600</v>
      </c>
      <c r="AF153">
        <v>7082900</v>
      </c>
      <c r="AG153">
        <v>7082900</v>
      </c>
    </row>
    <row r="154" spans="8:33" x14ac:dyDescent="0.4">
      <c r="H154" t="str">
        <f t="shared" si="14"/>
        <v>2010-爵的黑夜 (藍)</v>
      </c>
      <c r="I154">
        <v>2010</v>
      </c>
      <c r="J154" t="str">
        <f>_xlfn.IFNA(IF(I154&lt;&gt;0,VLOOKUP(VLOOKUP(I154,Tbl_Equip[],2,FALSE),Tbl_Color[],IFERROR(MATCH(UI!$B$1,Tbl_Color[#Headers],0),2),FALSE),""),"Unset")</f>
        <v>藍</v>
      </c>
      <c r="K154" t="str">
        <f>_xlfn.IFNA(IF(I154&lt;&gt;0,VLOOKUP(I154,ItemText[],IFERROR(MATCH(UI!$B$1,ItemText[#Headers],0),2),FALSE),""),"Unset")</f>
        <v>爵的黑夜</v>
      </c>
      <c r="L154" t="str">
        <f t="shared" si="15"/>
        <v>7082700-裝備三把以上類別為小盾的武器，能提升ＨＰ上限</v>
      </c>
      <c r="M154">
        <v>7082700</v>
      </c>
      <c r="N154" t="str">
        <f>IF(VALUE(M154)=0,"",VLOOKUP(VLOOKUP(M154,Tbl_Effect[],3,FALSE),EffectName[],IFERROR(MATCH(UI!$B$1,EffectName[#Headers],0),2),FALSE))</f>
        <v>裝備三把以上類別為小盾的武器，能提升ＨＰ上限</v>
      </c>
      <c r="O154" t="str">
        <f t="shared" si="16"/>
        <v>7090000-打倒敵人時，能累積絕活量表</v>
      </c>
      <c r="P154">
        <v>7090000</v>
      </c>
      <c r="Q154" t="str">
        <f>IF(VALUE(P154)=0,"",VLOOKUP(VLOOKUP(P154,Tbl_Effect[],3,FALSE),EffectName[],IFERROR(MATCH(UI!$B$1,EffectName[#Headers],0),2),FALSE))</f>
        <v>打倒敵人時，能累積絕活量表</v>
      </c>
      <c r="R154" t="str">
        <f t="shared" si="17"/>
        <v>7090000-打倒敵人時，能累積絕活量表</v>
      </c>
      <c r="S154">
        <v>7090000</v>
      </c>
      <c r="T154" t="str">
        <f>IF(VALUE(S154)=0,"",VLOOKUP(VLOOKUP(S154,Tbl_Effect[],3,FALSE),EffectName[],IFERROR(MATCH(UI!$B$1,EffectName[#Headers],0),2),FALSE))</f>
        <v>打倒敵人時，能累積絕活量表</v>
      </c>
      <c r="U154" t="str">
        <f t="shared" si="18"/>
        <v/>
      </c>
      <c r="V154">
        <v>0</v>
      </c>
      <c r="W154" t="str">
        <f>IF(V154&lt;&gt;0,VLOOKUP(VLOOKUP(V154,Tbl_Effect[],3,FALSE),EffectName[],IFERROR(MATCH(UI!$B$1,EffectName[#Headers],0),2),FALSE),"")</f>
        <v/>
      </c>
      <c r="X154" t="str">
        <f t="shared" si="19"/>
        <v/>
      </c>
      <c r="Y154">
        <v>0</v>
      </c>
      <c r="Z154" t="str">
        <f>IF(Y154&lt;&gt;0,VLOOKUP(VLOOKUP(Y154,Tbl_Effect[],3,FALSE),EffectName[],IFERROR(MATCH(UI!$B$1,EffectName[#Headers],0),2),FALSE),"")</f>
        <v/>
      </c>
      <c r="AA154" t="str">
        <f t="shared" si="20"/>
        <v/>
      </c>
      <c r="AB154">
        <v>0</v>
      </c>
      <c r="AC154" t="str">
        <f>IF(AB154&lt;&gt;0,VLOOKUP(VLOOKUP(AB154,Tbl_Effect[],3,FALSE),EffectName[],IFERROR(MATCH(UI!$B$1,EffectName[#Headers],0),2),FALSE),"")</f>
        <v/>
      </c>
      <c r="AE154">
        <v>7082700</v>
      </c>
      <c r="AF154">
        <v>7090000</v>
      </c>
      <c r="AG154">
        <v>7090000</v>
      </c>
    </row>
    <row r="155" spans="8:33" x14ac:dyDescent="0.4">
      <c r="H155" t="str">
        <f t="shared" si="14"/>
        <v>2011-爵的暗夜 (紅)</v>
      </c>
      <c r="I155">
        <v>2011</v>
      </c>
      <c r="J155" t="str">
        <f>_xlfn.IFNA(IF(I155&lt;&gt;0,VLOOKUP(VLOOKUP(I155,Tbl_Equip[],2,FALSE),Tbl_Color[],IFERROR(MATCH(UI!$B$1,Tbl_Color[#Headers],0),2),FALSE),""),"Unset")</f>
        <v>紅</v>
      </c>
      <c r="K155" t="str">
        <f>_xlfn.IFNA(IF(I155&lt;&gt;0,VLOOKUP(I155,ItemText[],IFERROR(MATCH(UI!$B$1,ItemText[#Headers],0),2),FALSE),""),"Unset")</f>
        <v>爵的暗夜</v>
      </c>
      <c r="L155" t="str">
        <f t="shared" si="15"/>
        <v>7082800-裝備三把以上類別為中盾的武器，能提升ＨＰ上限</v>
      </c>
      <c r="M155">
        <v>7082800</v>
      </c>
      <c r="N155" t="str">
        <f>IF(VALUE(M155)=0,"",VLOOKUP(VLOOKUP(M155,Tbl_Effect[],3,FALSE),EffectName[],IFERROR(MATCH(UI!$B$1,EffectName[#Headers],0),2),FALSE))</f>
        <v>裝備三把以上類別為中盾的武器，能提升ＨＰ上限</v>
      </c>
      <c r="O155" t="str">
        <f t="shared" si="16"/>
        <v>7090100-打倒敵人時，除了自己恢復周圍我方人物的ＨＰ</v>
      </c>
      <c r="P155">
        <v>7090100</v>
      </c>
      <c r="Q155" t="str">
        <f>IF(VALUE(P155)=0,"",VLOOKUP(VLOOKUP(P155,Tbl_Effect[],3,FALSE),EffectName[],IFERROR(MATCH(UI!$B$1,EffectName[#Headers],0),2),FALSE))</f>
        <v>打倒敵人時，除了自己恢復周圍我方人物的ＨＰ</v>
      </c>
      <c r="R155" t="str">
        <f t="shared" si="17"/>
        <v>7090100-打倒敵人時，除了自己恢復周圍我方人物的ＨＰ</v>
      </c>
      <c r="S155">
        <v>7090100</v>
      </c>
      <c r="T155" t="str">
        <f>IF(VALUE(S155)=0,"",VLOOKUP(VLOOKUP(S155,Tbl_Effect[],3,FALSE),EffectName[],IFERROR(MATCH(UI!$B$1,EffectName[#Headers],0),2),FALSE))</f>
        <v>打倒敵人時，除了自己恢復周圍我方人物的ＨＰ</v>
      </c>
      <c r="U155" t="str">
        <f t="shared" si="18"/>
        <v/>
      </c>
      <c r="V155">
        <v>0</v>
      </c>
      <c r="W155" t="str">
        <f>IF(V155&lt;&gt;0,VLOOKUP(VLOOKUP(V155,Tbl_Effect[],3,FALSE),EffectName[],IFERROR(MATCH(UI!$B$1,EffectName[#Headers],0),2),FALSE),"")</f>
        <v/>
      </c>
      <c r="X155" t="str">
        <f t="shared" si="19"/>
        <v/>
      </c>
      <c r="Y155">
        <v>0</v>
      </c>
      <c r="Z155" t="str">
        <f>IF(Y155&lt;&gt;0,VLOOKUP(VLOOKUP(Y155,Tbl_Effect[],3,FALSE),EffectName[],IFERROR(MATCH(UI!$B$1,EffectName[#Headers],0),2),FALSE),"")</f>
        <v/>
      </c>
      <c r="AA155" t="str">
        <f t="shared" si="20"/>
        <v/>
      </c>
      <c r="AB155">
        <v>0</v>
      </c>
      <c r="AC155" t="str">
        <f>IF(AB155&lt;&gt;0,VLOOKUP(VLOOKUP(AB155,Tbl_Effect[],3,FALSE),EffectName[],IFERROR(MATCH(UI!$B$1,EffectName[#Headers],0),2),FALSE),"")</f>
        <v/>
      </c>
      <c r="AE155">
        <v>7082800</v>
      </c>
      <c r="AF155">
        <v>7090100</v>
      </c>
      <c r="AG155">
        <v>7090100</v>
      </c>
    </row>
    <row r="156" spans="8:33" x14ac:dyDescent="0.4">
      <c r="H156" t="str">
        <f t="shared" si="14"/>
        <v>2020-智的黑夜 (黃)</v>
      </c>
      <c r="I156">
        <v>2020</v>
      </c>
      <c r="J156" t="str">
        <f>_xlfn.IFNA(IF(I156&lt;&gt;0,VLOOKUP(VLOOKUP(I156,Tbl_Equip[],2,FALSE),Tbl_Color[],IFERROR(MATCH(UI!$B$1,Tbl_Color[#Headers],0),2),FALSE),""),"Unset")</f>
        <v>黃</v>
      </c>
      <c r="K156" t="str">
        <f>_xlfn.IFNA(IF(I156&lt;&gt;0,VLOOKUP(I156,ItemText[],IFERROR(MATCH(UI!$B$1,ItemText[#Headers],0),2),FALSE),""),"Unset")</f>
        <v>智的黑夜</v>
      </c>
      <c r="L156" t="str">
        <f t="shared" si="15"/>
        <v>7082900-裝備三把以上類別為大盾的武器，能提升ＨＰ上限</v>
      </c>
      <c r="M156">
        <v>7082900</v>
      </c>
      <c r="N156" t="str">
        <f>IF(VALUE(M156)=0,"",VLOOKUP(VLOOKUP(M156,Tbl_Effect[],3,FALSE),EffectName[],IFERROR(MATCH(UI!$B$1,EffectName[#Headers],0),2),FALSE))</f>
        <v>裝備三把以上類別為大盾的武器，能提升ＨＰ上限</v>
      </c>
      <c r="O156" t="str">
        <f t="shared" si="16"/>
        <v>7090300-在圖騰碑石周圍打倒敵人時，能恢復ＨＰ</v>
      </c>
      <c r="P156">
        <v>7090300</v>
      </c>
      <c r="Q156" t="str">
        <f>IF(VALUE(P156)=0,"",VLOOKUP(VLOOKUP(P156,Tbl_Effect[],3,FALSE),EffectName[],IFERROR(MATCH(UI!$B$1,EffectName[#Headers],0),2),FALSE))</f>
        <v>在圖騰碑石周圍打倒敵人時，能恢復ＨＰ</v>
      </c>
      <c r="R156" t="str">
        <f t="shared" si="17"/>
        <v>7090300-在圖騰碑石周圍打倒敵人時，能恢復ＨＰ</v>
      </c>
      <c r="S156">
        <v>7090300</v>
      </c>
      <c r="T156" t="str">
        <f>IF(VALUE(S156)=0,"",VLOOKUP(VLOOKUP(S156,Tbl_Effect[],3,FALSE),EffectName[],IFERROR(MATCH(UI!$B$1,EffectName[#Headers],0),2),FALSE))</f>
        <v>在圖騰碑石周圍打倒敵人時，能恢復ＨＰ</v>
      </c>
      <c r="U156" t="str">
        <f t="shared" si="18"/>
        <v/>
      </c>
      <c r="V156">
        <v>0</v>
      </c>
      <c r="W156" t="str">
        <f>IF(V156&lt;&gt;0,VLOOKUP(VLOOKUP(V156,Tbl_Effect[],3,FALSE),EffectName[],IFERROR(MATCH(UI!$B$1,EffectName[#Headers],0),2),FALSE),"")</f>
        <v/>
      </c>
      <c r="X156" t="str">
        <f t="shared" si="19"/>
        <v/>
      </c>
      <c r="Y156">
        <v>0</v>
      </c>
      <c r="Z156" t="str">
        <f>IF(Y156&lt;&gt;0,VLOOKUP(VLOOKUP(Y156,Tbl_Effect[],3,FALSE),EffectName[],IFERROR(MATCH(UI!$B$1,EffectName[#Headers],0),2),FALSE),"")</f>
        <v/>
      </c>
      <c r="AA156" t="str">
        <f t="shared" si="20"/>
        <v/>
      </c>
      <c r="AB156">
        <v>0</v>
      </c>
      <c r="AC156" t="str">
        <f>IF(AB156&lt;&gt;0,VLOOKUP(VLOOKUP(AB156,Tbl_Effect[],3,FALSE),EffectName[],IFERROR(MATCH(UI!$B$1,EffectName[#Headers],0),2),FALSE),"")</f>
        <v/>
      </c>
      <c r="AE156">
        <v>7082900</v>
      </c>
      <c r="AF156">
        <v>7090300</v>
      </c>
      <c r="AG156">
        <v>7090300</v>
      </c>
    </row>
    <row r="157" spans="8:33" x14ac:dyDescent="0.4">
      <c r="H157" t="str">
        <f t="shared" si="14"/>
        <v>2021-智的暗夜 (綠)</v>
      </c>
      <c r="I157">
        <v>2021</v>
      </c>
      <c r="J157" t="str">
        <f>_xlfn.IFNA(IF(I157&lt;&gt;0,VLOOKUP(VLOOKUP(I157,Tbl_Equip[],2,FALSE),Tbl_Color[],IFERROR(MATCH(UI!$B$1,Tbl_Color[#Headers],0),2),FALSE),""),"Unset")</f>
        <v>綠</v>
      </c>
      <c r="K157" t="str">
        <f>_xlfn.IFNA(IF(I157&lt;&gt;0,VLOOKUP(I157,ItemText[],IFERROR(MATCH(UI!$B$1,ItemText[#Headers],0),2),FALSE),""),"Unset")</f>
        <v>智的暗夜</v>
      </c>
      <c r="L157" t="str">
        <f t="shared" si="15"/>
        <v>7090000-打倒敵人時，能累積絕活量表</v>
      </c>
      <c r="M157">
        <v>7090000</v>
      </c>
      <c r="N157" t="str">
        <f>IF(VALUE(M157)=0,"",VLOOKUP(VLOOKUP(M157,Tbl_Effect[],3,FALSE),EffectName[],IFERROR(MATCH(UI!$B$1,EffectName[#Headers],0),2),FALSE))</f>
        <v>打倒敵人時，能累積絕活量表</v>
      </c>
      <c r="O157" t="str">
        <f t="shared" si="16"/>
        <v>7100100-攻擊命中時，能恢復精力</v>
      </c>
      <c r="P157">
        <v>7100100</v>
      </c>
      <c r="Q157" t="str">
        <f>IF(VALUE(P157)=0,"",VLOOKUP(VLOOKUP(P157,Tbl_Effect[],3,FALSE),EffectName[],IFERROR(MATCH(UI!$B$1,EffectName[#Headers],0),2),FALSE))</f>
        <v>攻擊命中時，能恢復精力</v>
      </c>
      <c r="R157" t="str">
        <f t="shared" si="17"/>
        <v>7100100-攻擊命中時，能恢復精力</v>
      </c>
      <c r="S157">
        <v>7100100</v>
      </c>
      <c r="T157" t="str">
        <f>IF(VALUE(S157)=0,"",VLOOKUP(VLOOKUP(S157,Tbl_Effect[],3,FALSE),EffectName[],IFERROR(MATCH(UI!$B$1,EffectName[#Headers],0),2),FALSE))</f>
        <v>攻擊命中時，能恢復精力</v>
      </c>
      <c r="U157" t="str">
        <f t="shared" si="18"/>
        <v/>
      </c>
      <c r="V157">
        <v>0</v>
      </c>
      <c r="W157" t="str">
        <f>IF(V157&lt;&gt;0,VLOOKUP(VLOOKUP(V157,Tbl_Effect[],3,FALSE),EffectName[],IFERROR(MATCH(UI!$B$1,EffectName[#Headers],0),2),FALSE),"")</f>
        <v/>
      </c>
      <c r="X157" t="str">
        <f t="shared" si="19"/>
        <v/>
      </c>
      <c r="Y157">
        <v>0</v>
      </c>
      <c r="Z157" t="str">
        <f>IF(Y157&lt;&gt;0,VLOOKUP(VLOOKUP(Y157,Tbl_Effect[],3,FALSE),EffectName[],IFERROR(MATCH(UI!$B$1,EffectName[#Headers],0),2),FALSE),"")</f>
        <v/>
      </c>
      <c r="AA157" t="str">
        <f t="shared" si="20"/>
        <v/>
      </c>
      <c r="AB157">
        <v>0</v>
      </c>
      <c r="AC157" t="str">
        <f>IF(AB157&lt;&gt;0,VLOOKUP(VLOOKUP(AB157,Tbl_Effect[],3,FALSE),EffectName[],IFERROR(MATCH(UI!$B$1,EffectName[#Headers],0),2),FALSE),"")</f>
        <v/>
      </c>
      <c r="AE157">
        <v>7090000</v>
      </c>
      <c r="AF157">
        <v>7100100</v>
      </c>
      <c r="AG157">
        <v>7100100</v>
      </c>
    </row>
    <row r="158" spans="8:33" x14ac:dyDescent="0.4">
      <c r="H158" t="str">
        <f t="shared" si="14"/>
        <v>2030-深海的黑夜 (紅)</v>
      </c>
      <c r="I158">
        <v>2030</v>
      </c>
      <c r="J158" t="str">
        <f>_xlfn.IFNA(IF(I158&lt;&gt;0,VLOOKUP(VLOOKUP(I158,Tbl_Equip[],2,FALSE),Tbl_Color[],IFERROR(MATCH(UI!$B$1,Tbl_Color[#Headers],0),2),FALSE),""),"Unset")</f>
        <v>紅</v>
      </c>
      <c r="K158" t="str">
        <f>_xlfn.IFNA(IF(I158&lt;&gt;0,VLOOKUP(I158,ItemText[],IFERROR(MATCH(UI!$B$1,ItemText[#Headers],0),2),FALSE),""),"Unset")</f>
        <v>深海的黑夜</v>
      </c>
      <c r="L158" t="str">
        <f t="shared" si="15"/>
        <v>7090100-打倒敵人時，除了自己恢復周圍我方人物的ＨＰ</v>
      </c>
      <c r="M158">
        <v>7090100</v>
      </c>
      <c r="N158" t="str">
        <f>IF(VALUE(M158)=0,"",VLOOKUP(VLOOKUP(M158,Tbl_Effect[],3,FALSE),EffectName[],IFERROR(MATCH(UI!$B$1,EffectName[#Headers],0),2),FALSE))</f>
        <v>打倒敵人時，除了自己恢復周圍我方人物的ＨＰ</v>
      </c>
      <c r="O158" t="str">
        <f t="shared" si="16"/>
        <v>7110000-增加自己與我方人物獲得的盧恩</v>
      </c>
      <c r="P158">
        <v>7110000</v>
      </c>
      <c r="Q158" t="str">
        <f>IF(VALUE(P158)=0,"",VLOOKUP(VLOOKUP(P158,Tbl_Effect[],3,FALSE),EffectName[],IFERROR(MATCH(UI!$B$1,EffectName[#Headers],0),2),FALSE))</f>
        <v>增加自己與我方人物獲得的盧恩</v>
      </c>
      <c r="R158" t="str">
        <f t="shared" si="17"/>
        <v>7110000-增加自己與我方人物獲得的盧恩</v>
      </c>
      <c r="S158">
        <v>7110000</v>
      </c>
      <c r="T158" t="str">
        <f>IF(VALUE(S158)=0,"",VLOOKUP(VLOOKUP(S158,Tbl_Effect[],3,FALSE),EffectName[],IFERROR(MATCH(UI!$B$1,EffectName[#Headers],0),2),FALSE))</f>
        <v>增加自己與我方人物獲得的盧恩</v>
      </c>
      <c r="U158" t="str">
        <f t="shared" si="18"/>
        <v/>
      </c>
      <c r="V158">
        <v>0</v>
      </c>
      <c r="W158" t="str">
        <f>IF(V158&lt;&gt;0,VLOOKUP(VLOOKUP(V158,Tbl_Effect[],3,FALSE),EffectName[],IFERROR(MATCH(UI!$B$1,EffectName[#Headers],0),2),FALSE),"")</f>
        <v/>
      </c>
      <c r="X158" t="str">
        <f t="shared" si="19"/>
        <v/>
      </c>
      <c r="Y158">
        <v>0</v>
      </c>
      <c r="Z158" t="str">
        <f>IF(Y158&lt;&gt;0,VLOOKUP(VLOOKUP(Y158,Tbl_Effect[],3,FALSE),EffectName[],IFERROR(MATCH(UI!$B$1,EffectName[#Headers],0),2),FALSE),"")</f>
        <v/>
      </c>
      <c r="AA158" t="str">
        <f t="shared" si="20"/>
        <v/>
      </c>
      <c r="AB158">
        <v>0</v>
      </c>
      <c r="AC158" t="str">
        <f>IF(AB158&lt;&gt;0,VLOOKUP(VLOOKUP(AB158,Tbl_Effect[],3,FALSE),EffectName[],IFERROR(MATCH(UI!$B$1,EffectName[#Headers],0),2),FALSE),"")</f>
        <v/>
      </c>
      <c r="AE158">
        <v>7090100</v>
      </c>
      <c r="AF158">
        <v>7110000</v>
      </c>
      <c r="AG158">
        <v>7110000</v>
      </c>
    </row>
    <row r="159" spans="8:33" x14ac:dyDescent="0.4">
      <c r="H159" t="str">
        <f t="shared" si="14"/>
        <v>2031-深海的暗夜 (藍)</v>
      </c>
      <c r="I159">
        <v>2031</v>
      </c>
      <c r="J159" t="str">
        <f>_xlfn.IFNA(IF(I159&lt;&gt;0,VLOOKUP(VLOOKUP(I159,Tbl_Equip[],2,FALSE),Tbl_Color[],IFERROR(MATCH(UI!$B$1,Tbl_Color[#Headers],0),2),FALSE),""),"Unset")</f>
        <v>藍</v>
      </c>
      <c r="K159" t="str">
        <f>_xlfn.IFNA(IF(I159&lt;&gt;0,VLOOKUP(I159,ItemText[],IFERROR(MATCH(UI!$B$1,ItemText[#Headers],0),2),FALSE),""),"Unset")</f>
        <v>深海的暗夜</v>
      </c>
      <c r="L159" t="str">
        <f t="shared" si="15"/>
        <v>7090300-在圖騰碑石周圍打倒敵人時，能恢復ＨＰ</v>
      </c>
      <c r="M159">
        <v>7090300</v>
      </c>
      <c r="N159" t="str">
        <f>IF(VALUE(M159)=0,"",VLOOKUP(VLOOKUP(M159,Tbl_Effect[],3,FALSE),EffectName[],IFERROR(MATCH(UI!$B$1,EffectName[#Headers],0),2),FALSE))</f>
        <v>在圖騰碑石周圍打倒敵人時，能恢復ＨＰ</v>
      </c>
      <c r="O159" t="str">
        <f t="shared" si="16"/>
        <v>7120000-出擊時的武器，附加魔力屬性攻擊力</v>
      </c>
      <c r="P159">
        <v>7120000</v>
      </c>
      <c r="Q159" t="str">
        <f>IF(VALUE(P159)=0,"",VLOOKUP(VLOOKUP(P159,Tbl_Effect[],3,FALSE),EffectName[],IFERROR(MATCH(UI!$B$1,EffectName[#Headers],0),2),FALSE))</f>
        <v>出擊時的武器，附加魔力屬性攻擊力</v>
      </c>
      <c r="R159" t="str">
        <f t="shared" si="17"/>
        <v>7120000-出擊時的武器，附加魔力屬性攻擊力</v>
      </c>
      <c r="S159">
        <v>7120000</v>
      </c>
      <c r="T159" t="str">
        <f>IF(VALUE(S159)=0,"",VLOOKUP(VLOOKUP(S159,Tbl_Effect[],3,FALSE),EffectName[],IFERROR(MATCH(UI!$B$1,EffectName[#Headers],0),2),FALSE))</f>
        <v>出擊時的武器，附加魔力屬性攻擊力</v>
      </c>
      <c r="U159" t="str">
        <f t="shared" si="18"/>
        <v/>
      </c>
      <c r="V159">
        <v>0</v>
      </c>
      <c r="W159" t="str">
        <f>IF(V159&lt;&gt;0,VLOOKUP(VLOOKUP(V159,Tbl_Effect[],3,FALSE),EffectName[],IFERROR(MATCH(UI!$B$1,EffectName[#Headers],0),2),FALSE),"")</f>
        <v/>
      </c>
      <c r="X159" t="str">
        <f t="shared" si="19"/>
        <v/>
      </c>
      <c r="Y159">
        <v>0</v>
      </c>
      <c r="Z159" t="str">
        <f>IF(Y159&lt;&gt;0,VLOOKUP(VLOOKUP(Y159,Tbl_Effect[],3,FALSE),EffectName[],IFERROR(MATCH(UI!$B$1,EffectName[#Headers],0),2),FALSE),"")</f>
        <v/>
      </c>
      <c r="AA159" t="str">
        <f t="shared" si="20"/>
        <v/>
      </c>
      <c r="AB159">
        <v>0</v>
      </c>
      <c r="AC159" t="str">
        <f>IF(AB159&lt;&gt;0,VLOOKUP(VLOOKUP(AB159,Tbl_Effect[],3,FALSE),EffectName[],IFERROR(MATCH(UI!$B$1,EffectName[#Headers],0),2),FALSE),"")</f>
        <v/>
      </c>
      <c r="AE159">
        <v>7090300</v>
      </c>
      <c r="AF159">
        <v>7120000</v>
      </c>
      <c r="AG159">
        <v>7120000</v>
      </c>
    </row>
    <row r="160" spans="8:33" x14ac:dyDescent="0.4">
      <c r="H160" t="str">
        <f t="shared" si="14"/>
        <v>2040-魔的黑夜 (紅)</v>
      </c>
      <c r="I160">
        <v>2040</v>
      </c>
      <c r="J160" t="str">
        <f>_xlfn.IFNA(IF(I160&lt;&gt;0,VLOOKUP(VLOOKUP(I160,Tbl_Equip[],2,FALSE),Tbl_Color[],IFERROR(MATCH(UI!$B$1,Tbl_Color[#Headers],0),2),FALSE),""),"Unset")</f>
        <v>紅</v>
      </c>
      <c r="K160" t="str">
        <f>_xlfn.IFNA(IF(I160&lt;&gt;0,VLOOKUP(I160,ItemText[],IFERROR(MATCH(UI!$B$1,ItemText[#Headers],0),2),FALSE),""),"Unset")</f>
        <v>魔的黑夜</v>
      </c>
      <c r="L160" t="str">
        <f t="shared" si="15"/>
        <v>7100100-攻擊命中時，能恢復精力</v>
      </c>
      <c r="M160">
        <v>7100100</v>
      </c>
      <c r="N160" t="str">
        <f>IF(VALUE(M160)=0,"",VLOOKUP(VLOOKUP(M160,Tbl_Effect[],3,FALSE),EffectName[],IFERROR(MATCH(UI!$B$1,EffectName[#Headers],0),2),FALSE))</f>
        <v>攻擊命中時，能恢復精力</v>
      </c>
      <c r="O160" t="str">
        <f t="shared" si="16"/>
        <v>7120100-出擊時的武器，附加火屬性攻擊力</v>
      </c>
      <c r="P160">
        <v>7120100</v>
      </c>
      <c r="Q160" t="str">
        <f>IF(VALUE(P160)=0,"",VLOOKUP(VLOOKUP(P160,Tbl_Effect[],3,FALSE),EffectName[],IFERROR(MATCH(UI!$B$1,EffectName[#Headers],0),2),FALSE))</f>
        <v>出擊時的武器，附加火屬性攻擊力</v>
      </c>
      <c r="R160" t="str">
        <f t="shared" si="17"/>
        <v>7120100-出擊時的武器，附加火屬性攻擊力</v>
      </c>
      <c r="S160">
        <v>7120100</v>
      </c>
      <c r="T160" t="str">
        <f>IF(VALUE(S160)=0,"",VLOOKUP(VLOOKUP(S160,Tbl_Effect[],3,FALSE),EffectName[],IFERROR(MATCH(UI!$B$1,EffectName[#Headers],0),2),FALSE))</f>
        <v>出擊時的武器，附加火屬性攻擊力</v>
      </c>
      <c r="U160" t="str">
        <f t="shared" si="18"/>
        <v/>
      </c>
      <c r="V160">
        <v>0</v>
      </c>
      <c r="W160" t="str">
        <f>IF(V160&lt;&gt;0,VLOOKUP(VLOOKUP(V160,Tbl_Effect[],3,FALSE),EffectName[],IFERROR(MATCH(UI!$B$1,EffectName[#Headers],0),2),FALSE),"")</f>
        <v/>
      </c>
      <c r="X160" t="str">
        <f t="shared" si="19"/>
        <v/>
      </c>
      <c r="Y160">
        <v>0</v>
      </c>
      <c r="Z160" t="str">
        <f>IF(Y160&lt;&gt;0,VLOOKUP(VLOOKUP(Y160,Tbl_Effect[],3,FALSE),EffectName[],IFERROR(MATCH(UI!$B$1,EffectName[#Headers],0),2),FALSE),"")</f>
        <v/>
      </c>
      <c r="AA160" t="str">
        <f t="shared" si="20"/>
        <v/>
      </c>
      <c r="AB160">
        <v>0</v>
      </c>
      <c r="AC160" t="str">
        <f>IF(AB160&lt;&gt;0,VLOOKUP(VLOOKUP(AB160,Tbl_Effect[],3,FALSE),EffectName[],IFERROR(MATCH(UI!$B$1,EffectName[#Headers],0),2),FALSE),"")</f>
        <v/>
      </c>
      <c r="AE160">
        <v>7100100</v>
      </c>
      <c r="AF160">
        <v>7120100</v>
      </c>
      <c r="AG160">
        <v>7120100</v>
      </c>
    </row>
    <row r="161" spans="8:33" x14ac:dyDescent="0.4">
      <c r="H161" t="str">
        <f t="shared" si="14"/>
        <v>2041-魔的暗夜 (藍)</v>
      </c>
      <c r="I161">
        <v>2041</v>
      </c>
      <c r="J161" t="str">
        <f>_xlfn.IFNA(IF(I161&lt;&gt;0,VLOOKUP(VLOOKUP(I161,Tbl_Equip[],2,FALSE),Tbl_Color[],IFERROR(MATCH(UI!$B$1,Tbl_Color[#Headers],0),2),FALSE),""),"Unset")</f>
        <v>藍</v>
      </c>
      <c r="K161" t="str">
        <f>_xlfn.IFNA(IF(I161&lt;&gt;0,VLOOKUP(I161,ItemText[],IFERROR(MATCH(UI!$B$1,ItemText[#Headers],0),2),FALSE),""),"Unset")</f>
        <v>魔的暗夜</v>
      </c>
      <c r="L161" t="str">
        <f t="shared" si="15"/>
        <v>7110000-增加自己與我方人物獲得的盧恩</v>
      </c>
      <c r="M161">
        <v>7110000</v>
      </c>
      <c r="N161" t="str">
        <f>IF(VALUE(M161)=0,"",VLOOKUP(VLOOKUP(M161,Tbl_Effect[],3,FALSE),EffectName[],IFERROR(MATCH(UI!$B$1,EffectName[#Headers],0),2),FALSE))</f>
        <v>增加自己與我方人物獲得的盧恩</v>
      </c>
      <c r="O161" t="str">
        <f t="shared" si="16"/>
        <v>7120200-出擊時的武器，附加雷屬性攻擊力</v>
      </c>
      <c r="P161">
        <v>7120200</v>
      </c>
      <c r="Q161" t="str">
        <f>IF(VALUE(P161)=0,"",VLOOKUP(VLOOKUP(P161,Tbl_Effect[],3,FALSE),EffectName[],IFERROR(MATCH(UI!$B$1,EffectName[#Headers],0),2),FALSE))</f>
        <v>出擊時的武器，附加雷屬性攻擊力</v>
      </c>
      <c r="R161" t="str">
        <f t="shared" si="17"/>
        <v>7120200-出擊時的武器，附加雷屬性攻擊力</v>
      </c>
      <c r="S161">
        <v>7120200</v>
      </c>
      <c r="T161" t="str">
        <f>IF(VALUE(S161)=0,"",VLOOKUP(VLOOKUP(S161,Tbl_Effect[],3,FALSE),EffectName[],IFERROR(MATCH(UI!$B$1,EffectName[#Headers],0),2),FALSE))</f>
        <v>出擊時的武器，附加雷屬性攻擊力</v>
      </c>
      <c r="U161" t="str">
        <f t="shared" si="18"/>
        <v/>
      </c>
      <c r="V161">
        <v>0</v>
      </c>
      <c r="W161" t="str">
        <f>IF(V161&lt;&gt;0,VLOOKUP(VLOOKUP(V161,Tbl_Effect[],3,FALSE),EffectName[],IFERROR(MATCH(UI!$B$1,EffectName[#Headers],0),2),FALSE),"")</f>
        <v/>
      </c>
      <c r="X161" t="str">
        <f t="shared" si="19"/>
        <v/>
      </c>
      <c r="Y161">
        <v>0</v>
      </c>
      <c r="Z161" t="str">
        <f>IF(Y161&lt;&gt;0,VLOOKUP(VLOOKUP(Y161,Tbl_Effect[],3,FALSE),EffectName[],IFERROR(MATCH(UI!$B$1,EffectName[#Headers],0),2),FALSE),"")</f>
        <v/>
      </c>
      <c r="AA161" t="str">
        <f t="shared" si="20"/>
        <v/>
      </c>
      <c r="AB161">
        <v>0</v>
      </c>
      <c r="AC161" t="str">
        <f>IF(AB161&lt;&gt;0,VLOOKUP(VLOOKUP(AB161,Tbl_Effect[],3,FALSE),EffectName[],IFERROR(MATCH(UI!$B$1,EffectName[#Headers],0),2),FALSE),"")</f>
        <v/>
      </c>
      <c r="AE161">
        <v>7110000</v>
      </c>
      <c r="AF161">
        <v>7120200</v>
      </c>
      <c r="AG161">
        <v>7120200</v>
      </c>
    </row>
    <row r="162" spans="8:33" x14ac:dyDescent="0.4">
      <c r="H162" t="str">
        <f t="shared" si="14"/>
        <v>2050-獵人的黑夜 (綠)</v>
      </c>
      <c r="I162">
        <v>2050</v>
      </c>
      <c r="J162" t="str">
        <f>_xlfn.IFNA(IF(I162&lt;&gt;0,VLOOKUP(VLOOKUP(I162,Tbl_Equip[],2,FALSE),Tbl_Color[],IFERROR(MATCH(UI!$B$1,Tbl_Color[#Headers],0),2),FALSE),""),"Unset")</f>
        <v>綠</v>
      </c>
      <c r="K162" t="str">
        <f>_xlfn.IFNA(IF(I162&lt;&gt;0,VLOOKUP(I162,ItemText[],IFERROR(MATCH(UI!$B$1,ItemText[#Headers],0),2),FALSE),""),"Unset")</f>
        <v>獵人的黑夜</v>
      </c>
      <c r="L162" t="str">
        <f t="shared" si="15"/>
        <v>7120000-出擊時的武器，附加魔力屬性攻擊力</v>
      </c>
      <c r="M162">
        <v>7120000</v>
      </c>
      <c r="N162" t="str">
        <f>IF(VALUE(M162)=0,"",VLOOKUP(VLOOKUP(M162,Tbl_Effect[],3,FALSE),EffectName[],IFERROR(MATCH(UI!$B$1,EffectName[#Headers],0),2),FALSE))</f>
        <v>出擊時的武器，附加魔力屬性攻擊力</v>
      </c>
      <c r="O162" t="str">
        <f t="shared" si="16"/>
        <v>7120300-出擊時的武器，附加聖屬性攻擊力</v>
      </c>
      <c r="P162">
        <v>7120300</v>
      </c>
      <c r="Q162" t="str">
        <f>IF(VALUE(P162)=0,"",VLOOKUP(VLOOKUP(P162,Tbl_Effect[],3,FALSE),EffectName[],IFERROR(MATCH(UI!$B$1,EffectName[#Headers],0),2),FALSE))</f>
        <v>出擊時的武器，附加聖屬性攻擊力</v>
      </c>
      <c r="R162" t="str">
        <f t="shared" si="17"/>
        <v>7120300-出擊時的武器，附加聖屬性攻擊力</v>
      </c>
      <c r="S162">
        <v>7120300</v>
      </c>
      <c r="T162" t="str">
        <f>IF(VALUE(S162)=0,"",VLOOKUP(VLOOKUP(S162,Tbl_Effect[],3,FALSE),EffectName[],IFERROR(MATCH(UI!$B$1,EffectName[#Headers],0),2),FALSE))</f>
        <v>出擊時的武器，附加聖屬性攻擊力</v>
      </c>
      <c r="U162" t="str">
        <f t="shared" si="18"/>
        <v/>
      </c>
      <c r="V162">
        <v>0</v>
      </c>
      <c r="W162" t="str">
        <f>IF(V162&lt;&gt;0,VLOOKUP(VLOOKUP(V162,Tbl_Effect[],3,FALSE),EffectName[],IFERROR(MATCH(UI!$B$1,EffectName[#Headers],0),2),FALSE),"")</f>
        <v/>
      </c>
      <c r="X162" t="str">
        <f t="shared" si="19"/>
        <v/>
      </c>
      <c r="Y162">
        <v>0</v>
      </c>
      <c r="Z162" t="str">
        <f>IF(Y162&lt;&gt;0,VLOOKUP(VLOOKUP(Y162,Tbl_Effect[],3,FALSE),EffectName[],IFERROR(MATCH(UI!$B$1,EffectName[#Headers],0),2),FALSE),"")</f>
        <v/>
      </c>
      <c r="AA162" t="str">
        <f t="shared" si="20"/>
        <v/>
      </c>
      <c r="AB162">
        <v>0</v>
      </c>
      <c r="AC162" t="str">
        <f>IF(AB162&lt;&gt;0,VLOOKUP(VLOOKUP(AB162,Tbl_Effect[],3,FALSE),EffectName[],IFERROR(MATCH(UI!$B$1,EffectName[#Headers],0),2),FALSE),"")</f>
        <v/>
      </c>
      <c r="AE162">
        <v>7120000</v>
      </c>
      <c r="AF162">
        <v>7120300</v>
      </c>
      <c r="AG162">
        <v>7120300</v>
      </c>
    </row>
    <row r="163" spans="8:33" x14ac:dyDescent="0.4">
      <c r="H163" t="str">
        <f t="shared" si="14"/>
        <v>2051-獵人的暗夜 (黃)</v>
      </c>
      <c r="I163">
        <v>2051</v>
      </c>
      <c r="J163" t="str">
        <f>_xlfn.IFNA(IF(I163&lt;&gt;0,VLOOKUP(VLOOKUP(I163,Tbl_Equip[],2,FALSE),Tbl_Color[],IFERROR(MATCH(UI!$B$1,Tbl_Color[#Headers],0),2),FALSE),""),"Unset")</f>
        <v>黃</v>
      </c>
      <c r="K163" t="str">
        <f>_xlfn.IFNA(IF(I163&lt;&gt;0,VLOOKUP(I163,ItemText[],IFERROR(MATCH(UI!$B$1,ItemText[#Headers],0),2),FALSE),""),"Unset")</f>
        <v>獵人的暗夜</v>
      </c>
      <c r="L163" t="str">
        <f t="shared" si="15"/>
        <v>7120100-出擊時的武器，附加火屬性攻擊力</v>
      </c>
      <c r="M163">
        <v>7120100</v>
      </c>
      <c r="N163" t="str">
        <f>IF(VALUE(M163)=0,"",VLOOKUP(VLOOKUP(M163,Tbl_Effect[],3,FALSE),EffectName[],IFERROR(MATCH(UI!$B$1,EffectName[#Headers],0),2),FALSE))</f>
        <v>出擊時的武器，附加火屬性攻擊力</v>
      </c>
      <c r="O163" t="str">
        <f t="shared" si="16"/>
        <v>7120400-出擊時的武器，附加異常狀態凍傷</v>
      </c>
      <c r="P163">
        <v>7120400</v>
      </c>
      <c r="Q163" t="str">
        <f>IF(VALUE(P163)=0,"",VLOOKUP(VLOOKUP(P163,Tbl_Effect[],3,FALSE),EffectName[],IFERROR(MATCH(UI!$B$1,EffectName[#Headers],0),2),FALSE))</f>
        <v>出擊時的武器，附加異常狀態凍傷</v>
      </c>
      <c r="R163" t="str">
        <f t="shared" si="17"/>
        <v>7120400-出擊時的武器，附加異常狀態凍傷</v>
      </c>
      <c r="S163">
        <v>7120400</v>
      </c>
      <c r="T163" t="str">
        <f>IF(VALUE(S163)=0,"",VLOOKUP(VLOOKUP(S163,Tbl_Effect[],3,FALSE),EffectName[],IFERROR(MATCH(UI!$B$1,EffectName[#Headers],0),2),FALSE))</f>
        <v>出擊時的武器，附加異常狀態凍傷</v>
      </c>
      <c r="U163" t="str">
        <f t="shared" si="18"/>
        <v/>
      </c>
      <c r="V163">
        <v>0</v>
      </c>
      <c r="W163" t="str">
        <f>IF(V163&lt;&gt;0,VLOOKUP(VLOOKUP(V163,Tbl_Effect[],3,FALSE),EffectName[],IFERROR(MATCH(UI!$B$1,EffectName[#Headers],0),2),FALSE),"")</f>
        <v/>
      </c>
      <c r="X163" t="str">
        <f t="shared" si="19"/>
        <v/>
      </c>
      <c r="Y163">
        <v>0</v>
      </c>
      <c r="Z163" t="str">
        <f>IF(Y163&lt;&gt;0,VLOOKUP(VLOOKUP(Y163,Tbl_Effect[],3,FALSE),EffectName[],IFERROR(MATCH(UI!$B$1,EffectName[#Headers],0),2),FALSE),"")</f>
        <v/>
      </c>
      <c r="AA163" t="str">
        <f t="shared" si="20"/>
        <v/>
      </c>
      <c r="AB163">
        <v>0</v>
      </c>
      <c r="AC163" t="str">
        <f>IF(AB163&lt;&gt;0,VLOOKUP(VLOOKUP(AB163,Tbl_Effect[],3,FALSE),EffectName[],IFERROR(MATCH(UI!$B$1,EffectName[#Headers],0),2),FALSE),"")</f>
        <v/>
      </c>
      <c r="AE163">
        <v>7120100</v>
      </c>
      <c r="AF163">
        <v>7120400</v>
      </c>
      <c r="AG163">
        <v>7120400</v>
      </c>
    </row>
    <row r="164" spans="8:33" x14ac:dyDescent="0.4">
      <c r="H164" t="str">
        <f t="shared" si="14"/>
        <v>2060-霧霾的黑夜 (黃)</v>
      </c>
      <c r="I164">
        <v>2060</v>
      </c>
      <c r="J164" t="str">
        <f>_xlfn.IFNA(IF(I164&lt;&gt;0,VLOOKUP(VLOOKUP(I164,Tbl_Equip[],2,FALSE),Tbl_Color[],IFERROR(MATCH(UI!$B$1,Tbl_Color[#Headers],0),2),FALSE),""),"Unset")</f>
        <v>黃</v>
      </c>
      <c r="K164" t="str">
        <f>_xlfn.IFNA(IF(I164&lt;&gt;0,VLOOKUP(I164,ItemText[],IFERROR(MATCH(UI!$B$1,ItemText[#Headers],0),2),FALSE),""),"Unset")</f>
        <v>霧霾的黑夜</v>
      </c>
      <c r="L164" t="str">
        <f t="shared" si="15"/>
        <v>7120200-出擊時的武器，附加雷屬性攻擊力</v>
      </c>
      <c r="M164">
        <v>7120200</v>
      </c>
      <c r="N164" t="str">
        <f>IF(VALUE(M164)=0,"",VLOOKUP(VLOOKUP(M164,Tbl_Effect[],3,FALSE),EffectName[],IFERROR(MATCH(UI!$B$1,EffectName[#Headers],0),2),FALSE))</f>
        <v>出擊時的武器，附加雷屬性攻擊力</v>
      </c>
      <c r="O164" t="str">
        <f t="shared" si="16"/>
        <v>7120500-出擊時的武器，附加異常狀態中毒</v>
      </c>
      <c r="P164">
        <v>7120500</v>
      </c>
      <c r="Q164" t="str">
        <f>IF(VALUE(P164)=0,"",VLOOKUP(VLOOKUP(P164,Tbl_Effect[],3,FALSE),EffectName[],IFERROR(MATCH(UI!$B$1,EffectName[#Headers],0),2),FALSE))</f>
        <v>出擊時的武器，附加異常狀態中毒</v>
      </c>
      <c r="R164" t="str">
        <f t="shared" si="17"/>
        <v>7120500-出擊時的武器，附加異常狀態中毒</v>
      </c>
      <c r="S164">
        <v>7120500</v>
      </c>
      <c r="T164" t="str">
        <f>IF(VALUE(S164)=0,"",VLOOKUP(VLOOKUP(S164,Tbl_Effect[],3,FALSE),EffectName[],IFERROR(MATCH(UI!$B$1,EffectName[#Headers],0),2),FALSE))</f>
        <v>出擊時的武器，附加異常狀態中毒</v>
      </c>
      <c r="U164" t="str">
        <f t="shared" si="18"/>
        <v/>
      </c>
      <c r="V164">
        <v>0</v>
      </c>
      <c r="W164" t="str">
        <f>IF(V164&lt;&gt;0,VLOOKUP(VLOOKUP(V164,Tbl_Effect[],3,FALSE),EffectName[],IFERROR(MATCH(UI!$B$1,EffectName[#Headers],0),2),FALSE),"")</f>
        <v/>
      </c>
      <c r="X164" t="str">
        <f t="shared" si="19"/>
        <v/>
      </c>
      <c r="Y164">
        <v>0</v>
      </c>
      <c r="Z164" t="str">
        <f>IF(Y164&lt;&gt;0,VLOOKUP(VLOOKUP(Y164,Tbl_Effect[],3,FALSE),EffectName[],IFERROR(MATCH(UI!$B$1,EffectName[#Headers],0),2),FALSE),"")</f>
        <v/>
      </c>
      <c r="AA164" t="str">
        <f t="shared" si="20"/>
        <v/>
      </c>
      <c r="AB164">
        <v>0</v>
      </c>
      <c r="AC164" t="str">
        <f>IF(AB164&lt;&gt;0,VLOOKUP(VLOOKUP(AB164,Tbl_Effect[],3,FALSE),EffectName[],IFERROR(MATCH(UI!$B$1,EffectName[#Headers],0),2),FALSE),"")</f>
        <v/>
      </c>
      <c r="AE164">
        <v>7120200</v>
      </c>
      <c r="AF164">
        <v>7120500</v>
      </c>
      <c r="AG164">
        <v>7120500</v>
      </c>
    </row>
    <row r="165" spans="8:33" x14ac:dyDescent="0.4">
      <c r="H165" t="str">
        <f t="shared" si="14"/>
        <v>2061-霧霾的暗夜 (綠)</v>
      </c>
      <c r="I165">
        <v>2061</v>
      </c>
      <c r="J165" t="str">
        <f>_xlfn.IFNA(IF(I165&lt;&gt;0,VLOOKUP(VLOOKUP(I165,Tbl_Equip[],2,FALSE),Tbl_Color[],IFERROR(MATCH(UI!$B$1,Tbl_Color[#Headers],0),2),FALSE),""),"Unset")</f>
        <v>綠</v>
      </c>
      <c r="K165" t="str">
        <f>_xlfn.IFNA(IF(I165&lt;&gt;0,VLOOKUP(I165,ItemText[],IFERROR(MATCH(UI!$B$1,ItemText[#Headers],0),2),FALSE),""),"Unset")</f>
        <v>霧霾的暗夜</v>
      </c>
      <c r="L165" t="str">
        <f t="shared" si="15"/>
        <v>7120300-出擊時的武器，附加聖屬性攻擊力</v>
      </c>
      <c r="M165">
        <v>7120300</v>
      </c>
      <c r="N165" t="str">
        <f>IF(VALUE(M165)=0,"",VLOOKUP(VLOOKUP(M165,Tbl_Effect[],3,FALSE),EffectName[],IFERROR(MATCH(UI!$B$1,EffectName[#Headers],0),2),FALSE))</f>
        <v>出擊時的武器，附加聖屬性攻擊力</v>
      </c>
      <c r="O165" t="str">
        <f t="shared" si="16"/>
        <v>7120600-出擊時的武器，附加異常狀態出血</v>
      </c>
      <c r="P165">
        <v>7120600</v>
      </c>
      <c r="Q165" t="str">
        <f>IF(VALUE(P165)=0,"",VLOOKUP(VLOOKUP(P165,Tbl_Effect[],3,FALSE),EffectName[],IFERROR(MATCH(UI!$B$1,EffectName[#Headers],0),2),FALSE))</f>
        <v>出擊時的武器，附加異常狀態出血</v>
      </c>
      <c r="R165" t="str">
        <f t="shared" si="17"/>
        <v>7120600-出擊時的武器，附加異常狀態出血</v>
      </c>
      <c r="S165">
        <v>7120600</v>
      </c>
      <c r="T165" t="str">
        <f>IF(VALUE(S165)=0,"",VLOOKUP(VLOOKUP(S165,Tbl_Effect[],3,FALSE),EffectName[],IFERROR(MATCH(UI!$B$1,EffectName[#Headers],0),2),FALSE))</f>
        <v>出擊時的武器，附加異常狀態出血</v>
      </c>
      <c r="U165" t="str">
        <f t="shared" si="18"/>
        <v/>
      </c>
      <c r="V165">
        <v>0</v>
      </c>
      <c r="W165" t="str">
        <f>IF(V165&lt;&gt;0,VLOOKUP(VLOOKUP(V165,Tbl_Effect[],3,FALSE),EffectName[],IFERROR(MATCH(UI!$B$1,EffectName[#Headers],0),2),FALSE),"")</f>
        <v/>
      </c>
      <c r="X165" t="str">
        <f t="shared" si="19"/>
        <v/>
      </c>
      <c r="Y165">
        <v>0</v>
      </c>
      <c r="Z165" t="str">
        <f>IF(Y165&lt;&gt;0,VLOOKUP(VLOOKUP(Y165,Tbl_Effect[],3,FALSE),EffectName[],IFERROR(MATCH(UI!$B$1,EffectName[#Headers],0),2),FALSE),"")</f>
        <v/>
      </c>
      <c r="AA165" t="str">
        <f t="shared" si="20"/>
        <v/>
      </c>
      <c r="AB165">
        <v>0</v>
      </c>
      <c r="AC165" t="str">
        <f>IF(AB165&lt;&gt;0,VLOOKUP(VLOOKUP(AB165,Tbl_Effect[],3,FALSE),EffectName[],IFERROR(MATCH(UI!$B$1,EffectName[#Headers],0),2),FALSE),"")</f>
        <v/>
      </c>
      <c r="AE165">
        <v>7120300</v>
      </c>
      <c r="AF165">
        <v>7120600</v>
      </c>
      <c r="AG165">
        <v>7120600</v>
      </c>
    </row>
    <row r="166" spans="8:33" x14ac:dyDescent="0.4">
      <c r="H166" t="str">
        <f t="shared" si="14"/>
        <v>2070-安定者的遺志 (藍)</v>
      </c>
      <c r="I166">
        <v>2070</v>
      </c>
      <c r="J166" t="str">
        <f>_xlfn.IFNA(IF(I166&lt;&gt;0,VLOOKUP(VLOOKUP(I166,Tbl_Equip[],2,FALSE),Tbl_Color[],IFERROR(MATCH(UI!$B$1,Tbl_Color[#Headers],0),2),FALSE),""),"Unset")</f>
        <v>藍</v>
      </c>
      <c r="K166" t="str">
        <f>_xlfn.IFNA(IF(I166&lt;&gt;0,VLOOKUP(I166,ItemText[],IFERROR(MATCH(UI!$B$1,ItemText[#Headers],0),2),FALSE),""),"Unset")</f>
        <v>安定者的遺志</v>
      </c>
      <c r="L166" t="str">
        <f t="shared" si="15"/>
        <v>7120400-出擊時的武器，附加異常狀態凍傷</v>
      </c>
      <c r="M166">
        <v>7120400</v>
      </c>
      <c r="N166" t="str">
        <f>IF(VALUE(M166)=0,"",VLOOKUP(VLOOKUP(M166,Tbl_Effect[],3,FALSE),EffectName[],IFERROR(MATCH(UI!$B$1,EffectName[#Headers],0),2),FALSE))</f>
        <v>出擊時的武器，附加異常狀態凍傷</v>
      </c>
      <c r="O166" t="str">
        <f t="shared" si="16"/>
        <v>7120900-出擊時，會持有「石劍鑰匙」</v>
      </c>
      <c r="P166">
        <v>7120900</v>
      </c>
      <c r="Q166" t="str">
        <f>IF(VALUE(P166)=0,"",VLOOKUP(VLOOKUP(P166,Tbl_Effect[],3,FALSE),EffectName[],IFERROR(MATCH(UI!$B$1,EffectName[#Headers],0),2),FALSE))</f>
        <v>出擊時，會持有「石劍鑰匙」</v>
      </c>
      <c r="R166" t="str">
        <f t="shared" si="17"/>
        <v>7120900-出擊時，會持有「石劍鑰匙」</v>
      </c>
      <c r="S166">
        <v>7120900</v>
      </c>
      <c r="T166" t="str">
        <f>IF(VALUE(S166)=0,"",VLOOKUP(VLOOKUP(S166,Tbl_Effect[],3,FALSE),EffectName[],IFERROR(MATCH(UI!$B$1,EffectName[#Headers],0),2),FALSE))</f>
        <v>出擊時，會持有「石劍鑰匙」</v>
      </c>
      <c r="U166" t="str">
        <f t="shared" si="18"/>
        <v/>
      </c>
      <c r="V166">
        <v>0</v>
      </c>
      <c r="W166" t="str">
        <f>IF(V166&lt;&gt;0,VLOOKUP(VLOOKUP(V166,Tbl_Effect[],3,FALSE),EffectName[],IFERROR(MATCH(UI!$B$1,EffectName[#Headers],0),2),FALSE),"")</f>
        <v/>
      </c>
      <c r="X166" t="str">
        <f t="shared" si="19"/>
        <v/>
      </c>
      <c r="Y166">
        <v>0</v>
      </c>
      <c r="Z166" t="str">
        <f>IF(Y166&lt;&gt;0,VLOOKUP(VLOOKUP(Y166,Tbl_Effect[],3,FALSE),EffectName[],IFERROR(MATCH(UI!$B$1,EffectName[#Headers],0),2),FALSE),"")</f>
        <v/>
      </c>
      <c r="AA166" t="str">
        <f t="shared" si="20"/>
        <v/>
      </c>
      <c r="AB166">
        <v>0</v>
      </c>
      <c r="AC166" t="str">
        <f>IF(AB166&lt;&gt;0,VLOOKUP(VLOOKUP(AB166,Tbl_Effect[],3,FALSE),EffectName[],IFERROR(MATCH(UI!$B$1,EffectName[#Headers],0),2),FALSE),"")</f>
        <v/>
      </c>
      <c r="AE166">
        <v>7120400</v>
      </c>
      <c r="AF166">
        <v>7120900</v>
      </c>
      <c r="AG166">
        <v>7120900</v>
      </c>
    </row>
    <row r="167" spans="8:33" x14ac:dyDescent="0.4">
      <c r="H167" t="str">
        <f t="shared" si="14"/>
        <v>2071-安定的遺志 (紅)</v>
      </c>
      <c r="I167">
        <v>2071</v>
      </c>
      <c r="J167" t="str">
        <f>_xlfn.IFNA(IF(I167&lt;&gt;0,VLOOKUP(VLOOKUP(I167,Tbl_Equip[],2,FALSE),Tbl_Color[],IFERROR(MATCH(UI!$B$1,Tbl_Color[#Headers],0),2),FALSE),""),"Unset")</f>
        <v>紅</v>
      </c>
      <c r="K167" t="str">
        <f>_xlfn.IFNA(IF(I167&lt;&gt;0,VLOOKUP(I167,ItemText[],IFERROR(MATCH(UI!$B$1,ItemText[#Headers],0),2),FALSE),""),"Unset")</f>
        <v>安定的遺志</v>
      </c>
      <c r="L167" t="str">
        <f t="shared" si="15"/>
        <v>7120500-出擊時的武器，附加異常狀態中毒</v>
      </c>
      <c r="M167">
        <v>7120500</v>
      </c>
      <c r="N167" t="str">
        <f>IF(VALUE(M167)=0,"",VLOOKUP(VLOOKUP(M167,Tbl_Effect[],3,FALSE),EffectName[],IFERROR(MATCH(UI!$B$1,EffectName[#Headers],0),2),FALSE))</f>
        <v>出擊時的武器，附加異常狀態中毒</v>
      </c>
      <c r="O167" t="str">
        <f t="shared" si="16"/>
        <v>7121000-出擊時，會持有「小型隨身包包」</v>
      </c>
      <c r="P167">
        <v>7121000</v>
      </c>
      <c r="Q167" t="str">
        <f>IF(VALUE(P167)=0,"",VLOOKUP(VLOOKUP(P167,Tbl_Effect[],3,FALSE),EffectName[],IFERROR(MATCH(UI!$B$1,EffectName[#Headers],0),2),FALSE))</f>
        <v>出擊時，會持有「小型隨身包包」</v>
      </c>
      <c r="R167" t="str">
        <f t="shared" si="17"/>
        <v>7121000-出擊時，會持有「小型隨身包包」</v>
      </c>
      <c r="S167">
        <v>7121000</v>
      </c>
      <c r="T167" t="str">
        <f>IF(VALUE(S167)=0,"",VLOOKUP(VLOOKUP(S167,Tbl_Effect[],3,FALSE),EffectName[],IFERROR(MATCH(UI!$B$1,EffectName[#Headers],0),2),FALSE))</f>
        <v>出擊時，會持有「小型隨身包包」</v>
      </c>
      <c r="U167" t="str">
        <f t="shared" si="18"/>
        <v/>
      </c>
      <c r="V167">
        <v>0</v>
      </c>
      <c r="W167" t="str">
        <f>IF(V167&lt;&gt;0,VLOOKUP(VLOOKUP(V167,Tbl_Effect[],3,FALSE),EffectName[],IFERROR(MATCH(UI!$B$1,EffectName[#Headers],0),2),FALSE),"")</f>
        <v/>
      </c>
      <c r="X167" t="str">
        <f t="shared" si="19"/>
        <v/>
      </c>
      <c r="Y167">
        <v>0</v>
      </c>
      <c r="Z167" t="str">
        <f>IF(Y167&lt;&gt;0,VLOOKUP(VLOOKUP(Y167,Tbl_Effect[],3,FALSE),EffectName[],IFERROR(MATCH(UI!$B$1,EffectName[#Headers],0),2),FALSE),"")</f>
        <v/>
      </c>
      <c r="AA167" t="str">
        <f t="shared" si="20"/>
        <v/>
      </c>
      <c r="AB167">
        <v>0</v>
      </c>
      <c r="AC167" t="str">
        <f>IF(AB167&lt;&gt;0,VLOOKUP(VLOOKUP(AB167,Tbl_Effect[],3,FALSE),EffectName[],IFERROR(MATCH(UI!$B$1,EffectName[#Headers],0),2),FALSE),"")</f>
        <v/>
      </c>
      <c r="AE167">
        <v>7120500</v>
      </c>
      <c r="AF167">
        <v>7121000</v>
      </c>
      <c r="AG167">
        <v>7121000</v>
      </c>
    </row>
    <row r="168" spans="8:33" x14ac:dyDescent="0.4">
      <c r="H168" t="str">
        <f t="shared" si="14"/>
        <v>2080-廢棄物之夜 (紅)</v>
      </c>
      <c r="I168">
        <v>2080</v>
      </c>
      <c r="J168" t="str">
        <f>_xlfn.IFNA(IF(I168&lt;&gt;0,VLOOKUP(VLOOKUP(I168,Tbl_Equip[],2,FALSE),Tbl_Color[],IFERROR(MATCH(UI!$B$1,Tbl_Color[#Headers],0),2),FALSE),""),"Unset")</f>
        <v>紅</v>
      </c>
      <c r="K168" t="str">
        <f>_xlfn.IFNA(IF(I168&lt;&gt;0,VLOOKUP(I168,ItemText[],IFERROR(MATCH(UI!$B$1,ItemText[#Headers],0),2),FALSE),""),"Unset")</f>
        <v>廢棄物之夜</v>
      </c>
      <c r="L168" t="str">
        <f t="shared" si="15"/>
        <v>7120600-出擊時的武器，附加異常狀態出血</v>
      </c>
      <c r="M168">
        <v>7120600</v>
      </c>
      <c r="N168" t="str">
        <f>IF(VALUE(M168)=0,"",VLOOKUP(VLOOKUP(M168,Tbl_Effect[],3,FALSE),EffectName[],IFERROR(MATCH(UI!$B$1,EffectName[#Headers],0),2),FALSE))</f>
        <v>出擊時的武器，附加異常狀態出血</v>
      </c>
      <c r="O168" t="str">
        <f t="shared" si="16"/>
        <v>7121100-出擊時，會持有「火焰壺」</v>
      </c>
      <c r="P168">
        <v>7121100</v>
      </c>
      <c r="Q168" t="str">
        <f>IF(VALUE(P168)=0,"",VLOOKUP(VLOOKUP(P168,Tbl_Effect[],3,FALSE),EffectName[],IFERROR(MATCH(UI!$B$1,EffectName[#Headers],0),2),FALSE))</f>
        <v>出擊時，會持有「火焰壺」</v>
      </c>
      <c r="R168" t="str">
        <f t="shared" si="17"/>
        <v>7121100-出擊時，會持有「火焰壺」</v>
      </c>
      <c r="S168">
        <v>7121100</v>
      </c>
      <c r="T168" t="str">
        <f>IF(VALUE(S168)=0,"",VLOOKUP(VLOOKUP(S168,Tbl_Effect[],3,FALSE),EffectName[],IFERROR(MATCH(UI!$B$1,EffectName[#Headers],0),2),FALSE))</f>
        <v>出擊時，會持有「火焰壺」</v>
      </c>
      <c r="U168" t="str">
        <f t="shared" si="18"/>
        <v/>
      </c>
      <c r="V168">
        <v>0</v>
      </c>
      <c r="W168" t="str">
        <f>IF(V168&lt;&gt;0,VLOOKUP(VLOOKUP(V168,Tbl_Effect[],3,FALSE),EffectName[],IFERROR(MATCH(UI!$B$1,EffectName[#Headers],0),2),FALSE),"")</f>
        <v/>
      </c>
      <c r="X168" t="str">
        <f t="shared" si="19"/>
        <v/>
      </c>
      <c r="Y168">
        <v>0</v>
      </c>
      <c r="Z168" t="str">
        <f>IF(Y168&lt;&gt;0,VLOOKUP(VLOOKUP(Y168,Tbl_Effect[],3,FALSE),EffectName[],IFERROR(MATCH(UI!$B$1,EffectName[#Headers],0),2),FALSE),"")</f>
        <v/>
      </c>
      <c r="AA168" t="str">
        <f t="shared" si="20"/>
        <v/>
      </c>
      <c r="AB168">
        <v>0</v>
      </c>
      <c r="AC168" t="str">
        <f>IF(AB168&lt;&gt;0,VLOOKUP(VLOOKUP(AB168,Tbl_Effect[],3,FALSE),EffectName[],IFERROR(MATCH(UI!$B$1,EffectName[#Headers],0),2),FALSE),"")</f>
        <v/>
      </c>
      <c r="AE168">
        <v>7120600</v>
      </c>
      <c r="AF168">
        <v>7121100</v>
      </c>
      <c r="AG168">
        <v>7121100</v>
      </c>
    </row>
    <row r="169" spans="8:33" x14ac:dyDescent="0.4">
      <c r="H169" t="str">
        <f t="shared" si="14"/>
        <v>2100-王的黑夜 (藍)</v>
      </c>
      <c r="I169">
        <v>2100</v>
      </c>
      <c r="J169" t="str">
        <f>_xlfn.IFNA(IF(I169&lt;&gt;0,VLOOKUP(VLOOKUP(I169,Tbl_Equip[],2,FALSE),Tbl_Color[],IFERROR(MATCH(UI!$B$1,Tbl_Color[#Headers],0),2),FALSE),""),"Unset")</f>
        <v>藍</v>
      </c>
      <c r="K169" t="str">
        <f>_xlfn.IFNA(IF(I169&lt;&gt;0,VLOOKUP(I169,ItemText[],IFERROR(MATCH(UI!$B$1,ItemText[#Headers],0),2),FALSE),""),"Unset")</f>
        <v>王的黑夜</v>
      </c>
      <c r="L169" t="str">
        <f t="shared" si="15"/>
        <v>7120900-出擊時，會持有「石劍鑰匙」</v>
      </c>
      <c r="M169">
        <v>7120900</v>
      </c>
      <c r="N169" t="str">
        <f>IF(VALUE(M169)=0,"",VLOOKUP(VLOOKUP(M169,Tbl_Effect[],3,FALSE),EffectName[],IFERROR(MATCH(UI!$B$1,EffectName[#Headers],0),2),FALSE))</f>
        <v>出擊時，會持有「石劍鑰匙」</v>
      </c>
      <c r="O169" t="str">
        <f t="shared" si="16"/>
        <v>7121200-出擊時，會持有「魔力壺」</v>
      </c>
      <c r="P169">
        <v>7121200</v>
      </c>
      <c r="Q169" t="str">
        <f>IF(VALUE(P169)=0,"",VLOOKUP(VLOOKUP(P169,Tbl_Effect[],3,FALSE),EffectName[],IFERROR(MATCH(UI!$B$1,EffectName[#Headers],0),2),FALSE))</f>
        <v>出擊時，會持有「魔力壺」</v>
      </c>
      <c r="R169" t="str">
        <f t="shared" si="17"/>
        <v>7121200-出擊時，會持有「魔力壺」</v>
      </c>
      <c r="S169">
        <v>7121200</v>
      </c>
      <c r="T169" t="str">
        <f>IF(VALUE(S169)=0,"",VLOOKUP(VLOOKUP(S169,Tbl_Effect[],3,FALSE),EffectName[],IFERROR(MATCH(UI!$B$1,EffectName[#Headers],0),2),FALSE))</f>
        <v>出擊時，會持有「魔力壺」</v>
      </c>
      <c r="U169" t="str">
        <f t="shared" si="18"/>
        <v/>
      </c>
      <c r="V169">
        <v>0</v>
      </c>
      <c r="W169" t="str">
        <f>IF(V169&lt;&gt;0,VLOOKUP(VLOOKUP(V169,Tbl_Effect[],3,FALSE),EffectName[],IFERROR(MATCH(UI!$B$1,EffectName[#Headers],0),2),FALSE),"")</f>
        <v/>
      </c>
      <c r="X169" t="str">
        <f t="shared" si="19"/>
        <v/>
      </c>
      <c r="Y169">
        <v>0</v>
      </c>
      <c r="Z169" t="str">
        <f>IF(Y169&lt;&gt;0,VLOOKUP(VLOOKUP(Y169,Tbl_Effect[],3,FALSE),EffectName[],IFERROR(MATCH(UI!$B$1,EffectName[#Headers],0),2),FALSE),"")</f>
        <v/>
      </c>
      <c r="AA169" t="str">
        <f t="shared" si="20"/>
        <v/>
      </c>
      <c r="AB169">
        <v>0</v>
      </c>
      <c r="AC169" t="str">
        <f>IF(AB169&lt;&gt;0,VLOOKUP(VLOOKUP(AB169,Tbl_Effect[],3,FALSE),EffectName[],IFERROR(MATCH(UI!$B$1,EffectName[#Headers],0),2),FALSE),"")</f>
        <v/>
      </c>
      <c r="AE169">
        <v>7120900</v>
      </c>
      <c r="AF169">
        <v>7121200</v>
      </c>
      <c r="AG169">
        <v>7121200</v>
      </c>
    </row>
    <row r="170" spans="8:33" x14ac:dyDescent="0.4">
      <c r="H170" t="str">
        <f t="shared" si="14"/>
        <v>10000-老舊懷錶 (綠)</v>
      </c>
      <c r="I170">
        <v>10000</v>
      </c>
      <c r="J170" t="str">
        <f>_xlfn.IFNA(IF(I170&lt;&gt;0,VLOOKUP(VLOOKUP(I170,Tbl_Equip[],2,FALSE),Tbl_Color[],IFERROR(MATCH(UI!$B$1,Tbl_Color[#Headers],0),2),FALSE),""),"Unset")</f>
        <v>綠</v>
      </c>
      <c r="K170" t="str">
        <f>_xlfn.IFNA(IF(I170&lt;&gt;0,VLOOKUP(I170,ItemText[],IFERROR(MATCH(UI!$B$1,ItemText[#Headers],0),2),FALSE),""),"Unset")</f>
        <v>老舊懷錶</v>
      </c>
      <c r="L170" t="str">
        <f t="shared" si="15"/>
        <v>7121000-出擊時，會持有「小型隨身包包」</v>
      </c>
      <c r="M170">
        <v>7121000</v>
      </c>
      <c r="N170" t="str">
        <f>IF(VALUE(M170)=0,"",VLOOKUP(VLOOKUP(M170,Tbl_Effect[],3,FALSE),EffectName[],IFERROR(MATCH(UI!$B$1,EffectName[#Headers],0),2),FALSE))</f>
        <v>出擊時，會持有「小型隨身包包」</v>
      </c>
      <c r="O170" t="str">
        <f t="shared" si="16"/>
        <v>7121300-出擊時，會持有「雷電壺」</v>
      </c>
      <c r="P170">
        <v>7121300</v>
      </c>
      <c r="Q170" t="str">
        <f>IF(VALUE(P170)=0,"",VLOOKUP(VLOOKUP(P170,Tbl_Effect[],3,FALSE),EffectName[],IFERROR(MATCH(UI!$B$1,EffectName[#Headers],0),2),FALSE))</f>
        <v>出擊時，會持有「雷電壺」</v>
      </c>
      <c r="R170" t="str">
        <f t="shared" si="17"/>
        <v>7121300-出擊時，會持有「雷電壺」</v>
      </c>
      <c r="S170">
        <v>7121300</v>
      </c>
      <c r="T170" t="str">
        <f>IF(VALUE(S170)=0,"",VLOOKUP(VLOOKUP(S170,Tbl_Effect[],3,FALSE),EffectName[],IFERROR(MATCH(UI!$B$1,EffectName[#Headers],0),2),FALSE))</f>
        <v>出擊時，會持有「雷電壺」</v>
      </c>
      <c r="U170" t="str">
        <f t="shared" si="18"/>
        <v/>
      </c>
      <c r="V170">
        <v>0</v>
      </c>
      <c r="W170" t="str">
        <f>IF(V170&lt;&gt;0,VLOOKUP(VLOOKUP(V170,Tbl_Effect[],3,FALSE),EffectName[],IFERROR(MATCH(UI!$B$1,EffectName[#Headers],0),2),FALSE),"")</f>
        <v/>
      </c>
      <c r="X170" t="str">
        <f t="shared" si="19"/>
        <v/>
      </c>
      <c r="Y170">
        <v>0</v>
      </c>
      <c r="Z170" t="str">
        <f>IF(Y170&lt;&gt;0,VLOOKUP(VLOOKUP(Y170,Tbl_Effect[],3,FALSE),EffectName[],IFERROR(MATCH(UI!$B$1,EffectName[#Headers],0),2),FALSE),"")</f>
        <v/>
      </c>
      <c r="AA170" t="str">
        <f t="shared" si="20"/>
        <v/>
      </c>
      <c r="AB170">
        <v>0</v>
      </c>
      <c r="AC170" t="str">
        <f>IF(AB170&lt;&gt;0,VLOOKUP(VLOOKUP(AB170,Tbl_Effect[],3,FALSE),EffectName[],IFERROR(MATCH(UI!$B$1,EffectName[#Headers],0),2),FALSE),"")</f>
        <v/>
      </c>
      <c r="AE170">
        <v>7121000</v>
      </c>
      <c r="AF170">
        <v>7121300</v>
      </c>
      <c r="AG170">
        <v>7121300</v>
      </c>
    </row>
    <row r="171" spans="8:33" x14ac:dyDescent="0.4">
      <c r="H171" t="str">
        <f t="shared" si="14"/>
        <v>10001-骯髒相框 (藍)</v>
      </c>
      <c r="I171">
        <v>10001</v>
      </c>
      <c r="J171" t="str">
        <f>_xlfn.IFNA(IF(I171&lt;&gt;0,VLOOKUP(VLOOKUP(I171,Tbl_Equip[],2,FALSE),Tbl_Color[],IFERROR(MATCH(UI!$B$1,Tbl_Color[#Headers],0),2),FALSE),""),"Unset")</f>
        <v>藍</v>
      </c>
      <c r="K171" t="str">
        <f>_xlfn.IFNA(IF(I171&lt;&gt;0,VLOOKUP(I171,ItemText[],IFERROR(MATCH(UI!$B$1,ItemText[#Headers],0),2),FALSE),""),"Unset")</f>
        <v>骯髒相框</v>
      </c>
      <c r="L171" t="str">
        <f t="shared" si="15"/>
        <v>7121100-出擊時，會持有「火焰壺」</v>
      </c>
      <c r="M171">
        <v>7121100</v>
      </c>
      <c r="N171" t="str">
        <f>IF(VALUE(M171)=0,"",VLOOKUP(VLOOKUP(M171,Tbl_Effect[],3,FALSE),EffectName[],IFERROR(MATCH(UI!$B$1,EffectName[#Headers],0),2),FALSE))</f>
        <v>出擊時，會持有「火焰壺」</v>
      </c>
      <c r="O171" t="str">
        <f t="shared" si="16"/>
        <v>7121400-出擊時，會持有「聖水壺」</v>
      </c>
      <c r="P171">
        <v>7121400</v>
      </c>
      <c r="Q171" t="str">
        <f>IF(VALUE(P171)=0,"",VLOOKUP(VLOOKUP(P171,Tbl_Effect[],3,FALSE),EffectName[],IFERROR(MATCH(UI!$B$1,EffectName[#Headers],0),2),FALSE))</f>
        <v>出擊時，會持有「聖水壺」</v>
      </c>
      <c r="R171" t="str">
        <f t="shared" si="17"/>
        <v>7121400-出擊時，會持有「聖水壺」</v>
      </c>
      <c r="S171">
        <v>7121400</v>
      </c>
      <c r="T171" t="str">
        <f>IF(VALUE(S171)=0,"",VLOOKUP(VLOOKUP(S171,Tbl_Effect[],3,FALSE),EffectName[],IFERROR(MATCH(UI!$B$1,EffectName[#Headers],0),2),FALSE))</f>
        <v>出擊時，會持有「聖水壺」</v>
      </c>
      <c r="U171" t="str">
        <f t="shared" si="18"/>
        <v/>
      </c>
      <c r="V171">
        <v>0</v>
      </c>
      <c r="W171" t="str">
        <f>IF(V171&lt;&gt;0,VLOOKUP(VLOOKUP(V171,Tbl_Effect[],3,FALSE),EffectName[],IFERROR(MATCH(UI!$B$1,EffectName[#Headers],0),2),FALSE),"")</f>
        <v/>
      </c>
      <c r="X171" t="str">
        <f t="shared" si="19"/>
        <v/>
      </c>
      <c r="Y171">
        <v>0</v>
      </c>
      <c r="Z171" t="str">
        <f>IF(Y171&lt;&gt;0,VLOOKUP(VLOOKUP(Y171,Tbl_Effect[],3,FALSE),EffectName[],IFERROR(MATCH(UI!$B$1,EffectName[#Headers],0),2),FALSE),"")</f>
        <v/>
      </c>
      <c r="AA171" t="str">
        <f t="shared" si="20"/>
        <v/>
      </c>
      <c r="AB171">
        <v>0</v>
      </c>
      <c r="AC171" t="str">
        <f>IF(AB171&lt;&gt;0,VLOOKUP(VLOOKUP(AB171,Tbl_Effect[],3,FALSE),EffectName[],IFERROR(MATCH(UI!$B$1,EffectName[#Headers],0),2),FALSE),"")</f>
        <v/>
      </c>
      <c r="AE171">
        <v>7121100</v>
      </c>
      <c r="AF171">
        <v>7121400</v>
      </c>
      <c r="AG171">
        <v>7121400</v>
      </c>
    </row>
    <row r="172" spans="8:33" x14ac:dyDescent="0.4">
      <c r="H172" t="str">
        <f t="shared" si="14"/>
        <v>10002-惡兆妖鬼的詛咒物 (藍)</v>
      </c>
      <c r="I172">
        <v>10002</v>
      </c>
      <c r="J172" t="str">
        <f>_xlfn.IFNA(IF(I172&lt;&gt;0,VLOOKUP(VLOOKUP(I172,Tbl_Equip[],2,FALSE),Tbl_Color[],IFERROR(MATCH(UI!$B$1,Tbl_Color[#Headers],0),2),FALSE),""),"Unset")</f>
        <v>藍</v>
      </c>
      <c r="K172" t="str">
        <f>_xlfn.IFNA(IF(I172&lt;&gt;0,VLOOKUP(I172,ItemText[],IFERROR(MATCH(UI!$B$1,ItemText[#Headers],0),2),FALSE),""),"Unset")</f>
        <v>惡兆妖鬼的詛咒物</v>
      </c>
      <c r="L172" t="str">
        <f t="shared" si="15"/>
        <v>7121200-出擊時，會持有「魔力壺」</v>
      </c>
      <c r="M172">
        <v>7121200</v>
      </c>
      <c r="N172" t="str">
        <f>IF(VALUE(M172)=0,"",VLOOKUP(VLOOKUP(M172,Tbl_Effect[],3,FALSE),EffectName[],IFERROR(MATCH(UI!$B$1,EffectName[#Headers],0),2),FALSE))</f>
        <v>出擊時，會持有「魔力壺」</v>
      </c>
      <c r="O172" t="str">
        <f t="shared" si="16"/>
        <v>7121500-出擊時，會持有「獸骨毒飛刀」</v>
      </c>
      <c r="P172">
        <v>7121500</v>
      </c>
      <c r="Q172" t="str">
        <f>IF(VALUE(P172)=0,"",VLOOKUP(VLOOKUP(P172,Tbl_Effect[],3,FALSE),EffectName[],IFERROR(MATCH(UI!$B$1,EffectName[#Headers],0),2),FALSE))</f>
        <v>出擊時，會持有「獸骨毒飛刀」</v>
      </c>
      <c r="R172" t="str">
        <f t="shared" si="17"/>
        <v>7121500-出擊時，會持有「獸骨毒飛刀」</v>
      </c>
      <c r="S172">
        <v>7121500</v>
      </c>
      <c r="T172" t="str">
        <f>IF(VALUE(S172)=0,"",VLOOKUP(VLOOKUP(S172,Tbl_Effect[],3,FALSE),EffectName[],IFERROR(MATCH(UI!$B$1,EffectName[#Headers],0),2),FALSE))</f>
        <v>出擊時，會持有「獸骨毒飛刀」</v>
      </c>
      <c r="U172" t="str">
        <f t="shared" si="18"/>
        <v/>
      </c>
      <c r="V172">
        <v>0</v>
      </c>
      <c r="W172" t="str">
        <f>IF(V172&lt;&gt;0,VLOOKUP(VLOOKUP(V172,Tbl_Effect[],3,FALSE),EffectName[],IFERROR(MATCH(UI!$B$1,EffectName[#Headers],0),2),FALSE),"")</f>
        <v/>
      </c>
      <c r="X172" t="str">
        <f t="shared" si="19"/>
        <v/>
      </c>
      <c r="Y172">
        <v>0</v>
      </c>
      <c r="Z172" t="str">
        <f>IF(Y172&lt;&gt;0,VLOOKUP(VLOOKUP(Y172,Tbl_Effect[],3,FALSE),EffectName[],IFERROR(MATCH(UI!$B$1,EffectName[#Headers],0),2),FALSE),"")</f>
        <v/>
      </c>
      <c r="AA172" t="str">
        <f t="shared" si="20"/>
        <v/>
      </c>
      <c r="AB172">
        <v>0</v>
      </c>
      <c r="AC172" t="str">
        <f>IF(AB172&lt;&gt;0,VLOOKUP(VLOOKUP(AB172,Tbl_Effect[],3,FALSE),EffectName[],IFERROR(MATCH(UI!$B$1,EffectName[#Headers],0),2),FALSE),"")</f>
        <v/>
      </c>
      <c r="AE172">
        <v>7121200</v>
      </c>
      <c r="AF172">
        <v>7121500</v>
      </c>
      <c r="AG172">
        <v>7121500</v>
      </c>
    </row>
    <row r="173" spans="8:33" x14ac:dyDescent="0.4">
      <c r="H173" t="str">
        <f t="shared" si="14"/>
        <v>11000-深灰色砥石 (紅)</v>
      </c>
      <c r="I173">
        <v>11000</v>
      </c>
      <c r="J173" t="str">
        <f>_xlfn.IFNA(IF(I173&lt;&gt;0,VLOOKUP(VLOOKUP(I173,Tbl_Equip[],2,FALSE),Tbl_Color[],IFERROR(MATCH(UI!$B$1,Tbl_Color[#Headers],0),2),FALSE),""),"Unset")</f>
        <v>紅</v>
      </c>
      <c r="K173" t="str">
        <f>_xlfn.IFNA(IF(I173&lt;&gt;0,VLOOKUP(I173,ItemText[],IFERROR(MATCH(UI!$B$1,ItemText[#Headers],0),2),FALSE),""),"Unset")</f>
        <v>深灰色砥石</v>
      </c>
      <c r="L173" t="str">
        <f t="shared" si="15"/>
        <v>7121300-出擊時，會持有「雷電壺」</v>
      </c>
      <c r="M173">
        <v>7121300</v>
      </c>
      <c r="N173" t="str">
        <f>IF(VALUE(M173)=0,"",VLOOKUP(VLOOKUP(M173,Tbl_Effect[],3,FALSE),EffectName[],IFERROR(MATCH(UI!$B$1,EffectName[#Headers],0),2),FALSE))</f>
        <v>出擊時，會持有「雷電壺」</v>
      </c>
      <c r="O173" t="str">
        <f t="shared" si="16"/>
        <v>7121600-出擊時，會持有「結晶飛刀」</v>
      </c>
      <c r="P173">
        <v>7121600</v>
      </c>
      <c r="Q173" t="str">
        <f>IF(VALUE(P173)=0,"",VLOOKUP(VLOOKUP(P173,Tbl_Effect[],3,FALSE),EffectName[],IFERROR(MATCH(UI!$B$1,EffectName[#Headers],0),2),FALSE))</f>
        <v>出擊時，會持有「結晶飛刀」</v>
      </c>
      <c r="R173" t="str">
        <f t="shared" si="17"/>
        <v>7121600-出擊時，會持有「結晶飛刀」</v>
      </c>
      <c r="S173">
        <v>7121600</v>
      </c>
      <c r="T173" t="str">
        <f>IF(VALUE(S173)=0,"",VLOOKUP(VLOOKUP(S173,Tbl_Effect[],3,FALSE),EffectName[],IFERROR(MATCH(UI!$B$1,EffectName[#Headers],0),2),FALSE))</f>
        <v>出擊時，會持有「結晶飛刀」</v>
      </c>
      <c r="U173" t="str">
        <f t="shared" si="18"/>
        <v/>
      </c>
      <c r="V173">
        <v>0</v>
      </c>
      <c r="W173" t="str">
        <f>IF(V173&lt;&gt;0,VLOOKUP(VLOOKUP(V173,Tbl_Effect[],3,FALSE),EffectName[],IFERROR(MATCH(UI!$B$1,EffectName[#Headers],0),2),FALSE),"")</f>
        <v/>
      </c>
      <c r="X173" t="str">
        <f t="shared" si="19"/>
        <v/>
      </c>
      <c r="Y173">
        <v>0</v>
      </c>
      <c r="Z173" t="str">
        <f>IF(Y173&lt;&gt;0,VLOOKUP(VLOOKUP(Y173,Tbl_Effect[],3,FALSE),EffectName[],IFERROR(MATCH(UI!$B$1,EffectName[#Headers],0),2),FALSE),"")</f>
        <v/>
      </c>
      <c r="AA173" t="str">
        <f t="shared" si="20"/>
        <v/>
      </c>
      <c r="AB173">
        <v>0</v>
      </c>
      <c r="AC173" t="str">
        <f>IF(AB173&lt;&gt;0,VLOOKUP(VLOOKUP(AB173,Tbl_Effect[],3,FALSE),EffectName[],IFERROR(MATCH(UI!$B$1,EffectName[#Headers],0),2),FALSE),"")</f>
        <v/>
      </c>
      <c r="AE173">
        <v>7121300</v>
      </c>
      <c r="AF173">
        <v>7121600</v>
      </c>
      <c r="AG173">
        <v>7121600</v>
      </c>
    </row>
    <row r="174" spans="8:33" x14ac:dyDescent="0.4">
      <c r="H174" t="str">
        <f t="shared" si="14"/>
        <v>11001-追蹤者的耳環 (紅)</v>
      </c>
      <c r="I174">
        <v>11001</v>
      </c>
      <c r="J174" t="str">
        <f>_xlfn.IFNA(IF(I174&lt;&gt;0,VLOOKUP(VLOOKUP(I174,Tbl_Equip[],2,FALSE),Tbl_Color[],IFERROR(MATCH(UI!$B$1,Tbl_Color[#Headers],0),2),FALSE),""),"Unset")</f>
        <v>紅</v>
      </c>
      <c r="K174" t="str">
        <f>_xlfn.IFNA(IF(I174&lt;&gt;0,VLOOKUP(I174,ItemText[],IFERROR(MATCH(UI!$B$1,ItemText[#Headers],0),2),FALSE),""),"Unset")</f>
        <v>追蹤者的耳環</v>
      </c>
      <c r="L174" t="str">
        <f t="shared" si="15"/>
        <v>7121400-出擊時，會持有「聖水壺」</v>
      </c>
      <c r="M174">
        <v>7121400</v>
      </c>
      <c r="N174" t="str">
        <f>IF(VALUE(M174)=0,"",VLOOKUP(VLOOKUP(M174,Tbl_Effect[],3,FALSE),EffectName[],IFERROR(MATCH(UI!$B$1,EffectName[#Headers],0),2),FALSE))</f>
        <v>出擊時，會持有「聖水壺」</v>
      </c>
      <c r="O174" t="str">
        <f t="shared" si="16"/>
        <v>7121700-出擊時，會持有「投擲匕首」</v>
      </c>
      <c r="P174">
        <v>7121700</v>
      </c>
      <c r="Q174" t="str">
        <f>IF(VALUE(P174)=0,"",VLOOKUP(VLOOKUP(P174,Tbl_Effect[],3,FALSE),EffectName[],IFERROR(MATCH(UI!$B$1,EffectName[#Headers],0),2),FALSE))</f>
        <v>出擊時，會持有「投擲匕首」</v>
      </c>
      <c r="R174" t="str">
        <f t="shared" si="17"/>
        <v>7121700-出擊時，會持有「投擲匕首」</v>
      </c>
      <c r="S174">
        <v>7121700</v>
      </c>
      <c r="T174" t="str">
        <f>IF(VALUE(S174)=0,"",VLOOKUP(VLOOKUP(S174,Tbl_Effect[],3,FALSE),EffectName[],IFERROR(MATCH(UI!$B$1,EffectName[#Headers],0),2),FALSE))</f>
        <v>出擊時，會持有「投擲匕首」</v>
      </c>
      <c r="U174" t="str">
        <f t="shared" si="18"/>
        <v/>
      </c>
      <c r="V174">
        <v>0</v>
      </c>
      <c r="W174" t="str">
        <f>IF(V174&lt;&gt;0,VLOOKUP(VLOOKUP(V174,Tbl_Effect[],3,FALSE),EffectName[],IFERROR(MATCH(UI!$B$1,EffectName[#Headers],0),2),FALSE),"")</f>
        <v/>
      </c>
      <c r="X174" t="str">
        <f t="shared" si="19"/>
        <v/>
      </c>
      <c r="Y174">
        <v>0</v>
      </c>
      <c r="Z174" t="str">
        <f>IF(Y174&lt;&gt;0,VLOOKUP(VLOOKUP(Y174,Tbl_Effect[],3,FALSE),EffectName[],IFERROR(MATCH(UI!$B$1,EffectName[#Headers],0),2),FALSE),"")</f>
        <v/>
      </c>
      <c r="AA174" t="str">
        <f t="shared" si="20"/>
        <v/>
      </c>
      <c r="AB174">
        <v>0</v>
      </c>
      <c r="AC174" t="str">
        <f>IF(AB174&lt;&gt;0,VLOOKUP(VLOOKUP(AB174,Tbl_Effect[],3,FALSE),EffectName[],IFERROR(MATCH(UI!$B$1,EffectName[#Headers],0),2),FALSE),"")</f>
        <v/>
      </c>
      <c r="AE174">
        <v>7121400</v>
      </c>
      <c r="AF174">
        <v>7121700</v>
      </c>
      <c r="AG174">
        <v>7121700</v>
      </c>
    </row>
    <row r="175" spans="8:33" x14ac:dyDescent="0.4">
      <c r="H175" t="str">
        <f t="shared" si="14"/>
        <v>11002-銀色淚滴 (紅)</v>
      </c>
      <c r="I175">
        <v>11002</v>
      </c>
      <c r="J175" t="str">
        <f>_xlfn.IFNA(IF(I175&lt;&gt;0,VLOOKUP(VLOOKUP(I175,Tbl_Equip[],2,FALSE),Tbl_Color[],IFERROR(MATCH(UI!$B$1,Tbl_Color[#Headers],0),2),FALSE),""),"Unset")</f>
        <v>紅</v>
      </c>
      <c r="K175" t="str">
        <f>_xlfn.IFNA(IF(I175&lt;&gt;0,VLOOKUP(I175,ItemText[],IFERROR(MATCH(UI!$B$1,ItemText[#Headers],0),2),FALSE),""),"Unset")</f>
        <v>銀色淚滴</v>
      </c>
      <c r="L175" t="str">
        <f t="shared" si="15"/>
        <v>7121500-出擊時，會持有「獸骨毒飛刀」</v>
      </c>
      <c r="M175">
        <v>7121500</v>
      </c>
      <c r="N175" t="str">
        <f>IF(VALUE(M175)=0,"",VLOOKUP(VLOOKUP(M175,Tbl_Effect[],3,FALSE),EffectName[],IFERROR(MATCH(UI!$B$1,EffectName[#Headers],0),2),FALSE))</f>
        <v>出擊時，會持有「獸骨毒飛刀」</v>
      </c>
      <c r="O175" t="str">
        <f t="shared" si="16"/>
        <v>7121800-出擊時，會持有「崩裂輝石」</v>
      </c>
      <c r="P175">
        <v>7121800</v>
      </c>
      <c r="Q175" t="str">
        <f>IF(VALUE(P175)=0,"",VLOOKUP(VLOOKUP(P175,Tbl_Effect[],3,FALSE),EffectName[],IFERROR(MATCH(UI!$B$1,EffectName[#Headers],0),2),FALSE))</f>
        <v>出擊時，會持有「崩裂輝石」</v>
      </c>
      <c r="R175" t="str">
        <f t="shared" si="17"/>
        <v>7121800-出擊時，會持有「崩裂輝石」</v>
      </c>
      <c r="S175">
        <v>7121800</v>
      </c>
      <c r="T175" t="str">
        <f>IF(VALUE(S175)=0,"",VLOOKUP(VLOOKUP(S175,Tbl_Effect[],3,FALSE),EffectName[],IFERROR(MATCH(UI!$B$1,EffectName[#Headers],0),2),FALSE))</f>
        <v>出擊時，會持有「崩裂輝石」</v>
      </c>
      <c r="U175" t="str">
        <f t="shared" si="18"/>
        <v/>
      </c>
      <c r="V175">
        <v>0</v>
      </c>
      <c r="W175" t="str">
        <f>IF(V175&lt;&gt;0,VLOOKUP(VLOOKUP(V175,Tbl_Effect[],3,FALSE),EffectName[],IFERROR(MATCH(UI!$B$1,EffectName[#Headers],0),2),FALSE),"")</f>
        <v/>
      </c>
      <c r="X175" t="str">
        <f t="shared" si="19"/>
        <v/>
      </c>
      <c r="Y175">
        <v>0</v>
      </c>
      <c r="Z175" t="str">
        <f>IF(Y175&lt;&gt;0,VLOOKUP(VLOOKUP(Y175,Tbl_Effect[],3,FALSE),EffectName[],IFERROR(MATCH(UI!$B$1,EffectName[#Headers],0),2),FALSE),"")</f>
        <v/>
      </c>
      <c r="AA175" t="str">
        <f t="shared" si="20"/>
        <v/>
      </c>
      <c r="AB175">
        <v>0</v>
      </c>
      <c r="AC175" t="str">
        <f>IF(AB175&lt;&gt;0,VLOOKUP(VLOOKUP(AB175,Tbl_Effect[],3,FALSE),EffectName[],IFERROR(MATCH(UI!$B$1,EffectName[#Headers],0),2),FALSE),"")</f>
        <v/>
      </c>
      <c r="AE175">
        <v>7121500</v>
      </c>
      <c r="AF175">
        <v>7121800</v>
      </c>
      <c r="AG175">
        <v>7121800</v>
      </c>
    </row>
    <row r="176" spans="8:33" x14ac:dyDescent="0.4">
      <c r="H176" t="str">
        <f t="shared" si="14"/>
        <v>11003-細膩的火燃情景 (紅)</v>
      </c>
      <c r="I176">
        <v>11003</v>
      </c>
      <c r="J176" t="str">
        <f>_xlfn.IFNA(IF(I176&lt;&gt;0,VLOOKUP(VLOOKUP(I176,Tbl_Equip[],2,FALSE),Tbl_Color[],IFERROR(MATCH(UI!$B$1,Tbl_Color[#Headers],0),2),FALSE),""),"Unset")</f>
        <v>紅</v>
      </c>
      <c r="K176" t="str">
        <f>_xlfn.IFNA(IF(I176&lt;&gt;0,VLOOKUP(I176,ItemText[],IFERROR(MATCH(UI!$B$1,ItemText[#Headers],0),2),FALSE),""),"Unset")</f>
        <v>細膩的火燃情景</v>
      </c>
      <c r="L176" t="str">
        <f t="shared" si="15"/>
        <v>7121600-出擊時，會持有「結晶飛刀」</v>
      </c>
      <c r="M176">
        <v>7121600</v>
      </c>
      <c r="N176" t="str">
        <f>IF(VALUE(M176)=0,"",VLOOKUP(VLOOKUP(M176,Tbl_Effect[],3,FALSE),EffectName[],IFERROR(MATCH(UI!$B$1,EffectName[#Headers],0),2),FALSE))</f>
        <v>出擊時，會持有「結晶飛刀」</v>
      </c>
      <c r="O176" t="str">
        <f t="shared" si="16"/>
        <v>7121900-出擊時，會持有「塊狀重力石」</v>
      </c>
      <c r="P176">
        <v>7121900</v>
      </c>
      <c r="Q176" t="str">
        <f>IF(VALUE(P176)=0,"",VLOOKUP(VLOOKUP(P176,Tbl_Effect[],3,FALSE),EffectName[],IFERROR(MATCH(UI!$B$1,EffectName[#Headers],0),2),FALSE))</f>
        <v>出擊時，會持有「塊狀重力石」</v>
      </c>
      <c r="R176" t="str">
        <f t="shared" si="17"/>
        <v>7121900-出擊時，會持有「塊狀重力石」</v>
      </c>
      <c r="S176">
        <v>7121900</v>
      </c>
      <c r="T176" t="str">
        <f>IF(VALUE(S176)=0,"",VLOOKUP(VLOOKUP(S176,Tbl_Effect[],3,FALSE),EffectName[],IFERROR(MATCH(UI!$B$1,EffectName[#Headers],0),2),FALSE))</f>
        <v>出擊時，會持有「塊狀重力石」</v>
      </c>
      <c r="U176" t="str">
        <f t="shared" si="18"/>
        <v/>
      </c>
      <c r="V176">
        <v>0</v>
      </c>
      <c r="W176" t="str">
        <f>IF(V176&lt;&gt;0,VLOOKUP(VLOOKUP(V176,Tbl_Effect[],3,FALSE),EffectName[],IFERROR(MATCH(UI!$B$1,EffectName[#Headers],0),2),FALSE),"")</f>
        <v/>
      </c>
      <c r="X176" t="str">
        <f t="shared" si="19"/>
        <v/>
      </c>
      <c r="Y176">
        <v>0</v>
      </c>
      <c r="Z176" t="str">
        <f>IF(Y176&lt;&gt;0,VLOOKUP(VLOOKUP(Y176,Tbl_Effect[],3,FALSE),EffectName[],IFERROR(MATCH(UI!$B$1,EffectName[#Headers],0),2),FALSE),"")</f>
        <v/>
      </c>
      <c r="AA176" t="str">
        <f t="shared" si="20"/>
        <v/>
      </c>
      <c r="AB176">
        <v>0</v>
      </c>
      <c r="AC176" t="str">
        <f>IF(AB176&lt;&gt;0,VLOOKUP(VLOOKUP(AB176,Tbl_Effect[],3,FALSE),EffectName[],IFERROR(MATCH(UI!$B$1,EffectName[#Headers],0),2),FALSE),"")</f>
        <v/>
      </c>
      <c r="AE176">
        <v>7121600</v>
      </c>
      <c r="AF176">
        <v>7121900</v>
      </c>
      <c r="AG176">
        <v>7121900</v>
      </c>
    </row>
    <row r="177" spans="8:33" x14ac:dyDescent="0.4">
      <c r="H177" t="str">
        <f t="shared" si="14"/>
        <v>11004-細膩的火燃情景 (紅)</v>
      </c>
      <c r="I177">
        <v>11004</v>
      </c>
      <c r="J177" t="str">
        <f>_xlfn.IFNA(IF(I177&lt;&gt;0,VLOOKUP(VLOOKUP(I177,Tbl_Equip[],2,FALSE),Tbl_Color[],IFERROR(MATCH(UI!$B$1,Tbl_Color[#Headers],0),2),FALSE),""),"Unset")</f>
        <v>紅</v>
      </c>
      <c r="K177" t="str">
        <f>_xlfn.IFNA(IF(I177&lt;&gt;0,VLOOKUP(I177,ItemText[],IFERROR(MATCH(UI!$B$1,ItemText[#Headers],0),2),FALSE),""),"Unset")</f>
        <v>細膩的火燃情景</v>
      </c>
      <c r="L177" t="str">
        <f t="shared" si="15"/>
        <v>7121700-出擊時，會持有「投擲匕首」</v>
      </c>
      <c r="M177">
        <v>7121700</v>
      </c>
      <c r="N177" t="str">
        <f>IF(VALUE(M177)=0,"",VLOOKUP(VLOOKUP(M177,Tbl_Effect[],3,FALSE),EffectName[],IFERROR(MATCH(UI!$B$1,EffectName[#Headers],0),2),FALSE))</f>
        <v>出擊時，會持有「投擲匕首」</v>
      </c>
      <c r="O177" t="str">
        <f t="shared" si="16"/>
        <v>7122000-出擊時，會持有「魅惑樹枝」</v>
      </c>
      <c r="P177">
        <v>7122000</v>
      </c>
      <c r="Q177" t="str">
        <f>IF(VALUE(P177)=0,"",VLOOKUP(VLOOKUP(P177,Tbl_Effect[],3,FALSE),EffectName[],IFERROR(MATCH(UI!$B$1,EffectName[#Headers],0),2),FALSE))</f>
        <v>出擊時，會持有「魅惑樹枝」</v>
      </c>
      <c r="R177" t="str">
        <f t="shared" si="17"/>
        <v>7122000-出擊時，會持有「魅惑樹枝」</v>
      </c>
      <c r="S177">
        <v>7122000</v>
      </c>
      <c r="T177" t="str">
        <f>IF(VALUE(S177)=0,"",VLOOKUP(VLOOKUP(S177,Tbl_Effect[],3,FALSE),EffectName[],IFERROR(MATCH(UI!$B$1,EffectName[#Headers],0),2),FALSE))</f>
        <v>出擊時，會持有「魅惑樹枝」</v>
      </c>
      <c r="U177" t="str">
        <f t="shared" si="18"/>
        <v/>
      </c>
      <c r="V177">
        <v>0</v>
      </c>
      <c r="W177" t="str">
        <f>IF(V177&lt;&gt;0,VLOOKUP(VLOOKUP(V177,Tbl_Effect[],3,FALSE),EffectName[],IFERROR(MATCH(UI!$B$1,EffectName[#Headers],0),2),FALSE),"")</f>
        <v/>
      </c>
      <c r="X177" t="str">
        <f t="shared" si="19"/>
        <v/>
      </c>
      <c r="Y177">
        <v>0</v>
      </c>
      <c r="Z177" t="str">
        <f>IF(Y177&lt;&gt;0,VLOOKUP(VLOOKUP(Y177,Tbl_Effect[],3,FALSE),EffectName[],IFERROR(MATCH(UI!$B$1,EffectName[#Headers],0),2),FALSE),"")</f>
        <v/>
      </c>
      <c r="AA177" t="str">
        <f t="shared" si="20"/>
        <v/>
      </c>
      <c r="AB177">
        <v>0</v>
      </c>
      <c r="AC177" t="str">
        <f>IF(AB177&lt;&gt;0,VLOOKUP(VLOOKUP(AB177,Tbl_Effect[],3,FALSE),EffectName[],IFERROR(MATCH(UI!$B$1,EffectName[#Headers],0),2),FALSE),"")</f>
        <v/>
      </c>
      <c r="AE177">
        <v>7121700</v>
      </c>
      <c r="AF177">
        <v>7122000</v>
      </c>
      <c r="AG177">
        <v>7122000</v>
      </c>
    </row>
    <row r="178" spans="8:33" x14ac:dyDescent="0.4">
      <c r="H178" t="str">
        <f t="shared" si="14"/>
        <v>12000-套書的第三冊 (紅)</v>
      </c>
      <c r="I178">
        <v>12000</v>
      </c>
      <c r="J178" t="str">
        <f>_xlfn.IFNA(IF(I178&lt;&gt;0,VLOOKUP(VLOOKUP(I178,Tbl_Equip[],2,FALSE),Tbl_Color[],IFERROR(MATCH(UI!$B$1,Tbl_Color[#Headers],0),2),FALSE),""),"Unset")</f>
        <v>紅</v>
      </c>
      <c r="K178" t="str">
        <f>_xlfn.IFNA(IF(I178&lt;&gt;0,VLOOKUP(I178,ItemText[],IFERROR(MATCH(UI!$B$1,ItemText[#Headers],0),2),FALSE),""),"Unset")</f>
        <v>套書的第三冊</v>
      </c>
      <c r="L178" t="str">
        <f t="shared" si="15"/>
        <v>7121800-出擊時，會持有「崩裂輝石」</v>
      </c>
      <c r="M178">
        <v>7121800</v>
      </c>
      <c r="N178" t="str">
        <f>IF(VALUE(M178)=0,"",VLOOKUP(VLOOKUP(M178,Tbl_Effect[],3,FALSE),EffectName[],IFERROR(MATCH(UI!$B$1,EffectName[#Headers],0),2),FALSE))</f>
        <v>出擊時，會持有「崩裂輝石」</v>
      </c>
      <c r="O178" t="str">
        <f t="shared" si="16"/>
        <v>7122100-出擊時，會持有「召咒魂鈴」</v>
      </c>
      <c r="P178">
        <v>7122100</v>
      </c>
      <c r="Q178" t="str">
        <f>IF(VALUE(P178)=0,"",VLOOKUP(VLOOKUP(P178,Tbl_Effect[],3,FALSE),EffectName[],IFERROR(MATCH(UI!$B$1,EffectName[#Headers],0),2),FALSE))</f>
        <v>出擊時，會持有「召咒魂鈴」</v>
      </c>
      <c r="R178" t="str">
        <f t="shared" si="17"/>
        <v>7122100-出擊時，會持有「召咒魂鈴」</v>
      </c>
      <c r="S178">
        <v>7122100</v>
      </c>
      <c r="T178" t="str">
        <f>IF(VALUE(S178)=0,"",VLOOKUP(VLOOKUP(S178,Tbl_Effect[],3,FALSE),EffectName[],IFERROR(MATCH(UI!$B$1,EffectName[#Headers],0),2),FALSE))</f>
        <v>出擊時，會持有「召咒魂鈴」</v>
      </c>
      <c r="U178" t="str">
        <f t="shared" si="18"/>
        <v/>
      </c>
      <c r="V178">
        <v>0</v>
      </c>
      <c r="W178" t="str">
        <f>IF(V178&lt;&gt;0,VLOOKUP(VLOOKUP(V178,Tbl_Effect[],3,FALSE),EffectName[],IFERROR(MATCH(UI!$B$1,EffectName[#Headers],0),2),FALSE),"")</f>
        <v/>
      </c>
      <c r="X178" t="str">
        <f t="shared" si="19"/>
        <v/>
      </c>
      <c r="Y178">
        <v>0</v>
      </c>
      <c r="Z178" t="str">
        <f>IF(Y178&lt;&gt;0,VLOOKUP(VLOOKUP(Y178,Tbl_Effect[],3,FALSE),EffectName[],IFERROR(MATCH(UI!$B$1,EffectName[#Headers],0),2),FALSE),"")</f>
        <v/>
      </c>
      <c r="AA178" t="str">
        <f t="shared" si="20"/>
        <v/>
      </c>
      <c r="AB178">
        <v>0</v>
      </c>
      <c r="AC178" t="str">
        <f>IF(AB178&lt;&gt;0,VLOOKUP(VLOOKUP(AB178,Tbl_Effect[],3,FALSE),EffectName[],IFERROR(MATCH(UI!$B$1,EffectName[#Headers],0),2),FALSE),"")</f>
        <v/>
      </c>
      <c r="AE178">
        <v>7121800</v>
      </c>
      <c r="AF178">
        <v>7122100</v>
      </c>
      <c r="AG178">
        <v>7122100</v>
      </c>
    </row>
    <row r="179" spans="8:33" x14ac:dyDescent="0.4">
      <c r="H179" t="str">
        <f t="shared" si="14"/>
        <v>12001-石樁 (紅)</v>
      </c>
      <c r="I179">
        <v>12001</v>
      </c>
      <c r="J179" t="str">
        <f>_xlfn.IFNA(IF(I179&lt;&gt;0,VLOOKUP(VLOOKUP(I179,Tbl_Equip[],2,FALSE),Tbl_Color[],IFERROR(MATCH(UI!$B$1,Tbl_Color[#Headers],0),2),FALSE),""),"Unset")</f>
        <v>紅</v>
      </c>
      <c r="K179" t="str">
        <f>_xlfn.IFNA(IF(I179&lt;&gt;0,VLOOKUP(I179,ItemText[],IFERROR(MATCH(UI!$B$1,ItemText[#Headers],0),2),FALSE),""),"Unset")</f>
        <v>石樁</v>
      </c>
      <c r="L179" t="str">
        <f t="shared" si="15"/>
        <v>7121900-出擊時，會持有「塊狀重力石」</v>
      </c>
      <c r="M179">
        <v>7121900</v>
      </c>
      <c r="N179" t="str">
        <f>IF(VALUE(M179)=0,"",VLOOKUP(VLOOKUP(M179,Tbl_Effect[],3,FALSE),EffectName[],IFERROR(MATCH(UI!$B$1,EffectName[#Headers],0),2),FALSE))</f>
        <v>出擊時，會持有「塊狀重力石」</v>
      </c>
      <c r="O179" t="str">
        <f t="shared" si="16"/>
        <v>7122200-出擊時，會持有「火油脂」</v>
      </c>
      <c r="P179">
        <v>7122200</v>
      </c>
      <c r="Q179" t="str">
        <f>IF(VALUE(P179)=0,"",VLOOKUP(VLOOKUP(P179,Tbl_Effect[],3,FALSE),EffectName[],IFERROR(MATCH(UI!$B$1,EffectName[#Headers],0),2),FALSE))</f>
        <v>出擊時，會持有「火油脂」</v>
      </c>
      <c r="R179" t="str">
        <f t="shared" si="17"/>
        <v>7122200-出擊時，會持有「火油脂」</v>
      </c>
      <c r="S179">
        <v>7122200</v>
      </c>
      <c r="T179" t="str">
        <f>IF(VALUE(S179)=0,"",VLOOKUP(VLOOKUP(S179,Tbl_Effect[],3,FALSE),EffectName[],IFERROR(MATCH(UI!$B$1,EffectName[#Headers],0),2),FALSE))</f>
        <v>出擊時，會持有「火油脂」</v>
      </c>
      <c r="U179" t="str">
        <f t="shared" si="18"/>
        <v/>
      </c>
      <c r="V179">
        <v>0</v>
      </c>
      <c r="W179" t="str">
        <f>IF(V179&lt;&gt;0,VLOOKUP(VLOOKUP(V179,Tbl_Effect[],3,FALSE),EffectName[],IFERROR(MATCH(UI!$B$1,EffectName[#Headers],0),2),FALSE),"")</f>
        <v/>
      </c>
      <c r="X179" t="str">
        <f t="shared" si="19"/>
        <v/>
      </c>
      <c r="Y179">
        <v>0</v>
      </c>
      <c r="Z179" t="str">
        <f>IF(Y179&lt;&gt;0,VLOOKUP(VLOOKUP(Y179,Tbl_Effect[],3,FALSE),EffectName[],IFERROR(MATCH(UI!$B$1,EffectName[#Headers],0),2),FALSE),"")</f>
        <v/>
      </c>
      <c r="AA179" t="str">
        <f t="shared" si="20"/>
        <v/>
      </c>
      <c r="AB179">
        <v>0</v>
      </c>
      <c r="AC179" t="str">
        <f>IF(AB179&lt;&gt;0,VLOOKUP(VLOOKUP(AB179,Tbl_Effect[],3,FALSE),EffectName[],IFERROR(MATCH(UI!$B$1,EffectName[#Headers],0),2),FALSE),"")</f>
        <v/>
      </c>
      <c r="AE179">
        <v>7121900</v>
      </c>
      <c r="AF179">
        <v>7122200</v>
      </c>
      <c r="AG179">
        <v>7122200</v>
      </c>
    </row>
    <row r="180" spans="8:33" x14ac:dyDescent="0.4">
      <c r="H180" t="str">
        <f t="shared" si="14"/>
        <v>12002-魔女胸針 (藍)</v>
      </c>
      <c r="I180">
        <v>12002</v>
      </c>
      <c r="J180" t="str">
        <f>_xlfn.IFNA(IF(I180&lt;&gt;0,VLOOKUP(VLOOKUP(I180,Tbl_Equip[],2,FALSE),Tbl_Color[],IFERROR(MATCH(UI!$B$1,Tbl_Color[#Headers],0),2),FALSE),""),"Unset")</f>
        <v>藍</v>
      </c>
      <c r="K180" t="str">
        <f>_xlfn.IFNA(IF(I180&lt;&gt;0,VLOOKUP(I180,ItemText[],IFERROR(MATCH(UI!$B$1,ItemText[#Headers],0),2),FALSE),""),"Unset")</f>
        <v>魔女胸針</v>
      </c>
      <c r="L180" t="str">
        <f t="shared" si="15"/>
        <v>7122000-出擊時，會持有「魅惑樹枝」</v>
      </c>
      <c r="M180">
        <v>7122000</v>
      </c>
      <c r="N180" t="str">
        <f>IF(VALUE(M180)=0,"",VLOOKUP(VLOOKUP(M180,Tbl_Effect[],3,FALSE),EffectName[],IFERROR(MATCH(UI!$B$1,EffectName[#Headers],0),2),FALSE))</f>
        <v>出擊時，會持有「魅惑樹枝」</v>
      </c>
      <c r="O180" t="str">
        <f t="shared" si="16"/>
        <v>7122300-出擊時，會持有「魔力油脂」</v>
      </c>
      <c r="P180">
        <v>7122300</v>
      </c>
      <c r="Q180" t="str">
        <f>IF(VALUE(P180)=0,"",VLOOKUP(VLOOKUP(P180,Tbl_Effect[],3,FALSE),EffectName[],IFERROR(MATCH(UI!$B$1,EffectName[#Headers],0),2),FALSE))</f>
        <v>出擊時，會持有「魔力油脂」</v>
      </c>
      <c r="R180" t="str">
        <f t="shared" si="17"/>
        <v>7122300-出擊時，會持有「魔力油脂」</v>
      </c>
      <c r="S180">
        <v>7122300</v>
      </c>
      <c r="T180" t="str">
        <f>IF(VALUE(S180)=0,"",VLOOKUP(VLOOKUP(S180,Tbl_Effect[],3,FALSE),EffectName[],IFERROR(MATCH(UI!$B$1,EffectName[#Headers],0),2),FALSE))</f>
        <v>出擊時，會持有「魔力油脂」</v>
      </c>
      <c r="U180" t="str">
        <f t="shared" si="18"/>
        <v/>
      </c>
      <c r="V180">
        <v>0</v>
      </c>
      <c r="W180" t="str">
        <f>IF(V180&lt;&gt;0,VLOOKUP(VLOOKUP(V180,Tbl_Effect[],3,FALSE),EffectName[],IFERROR(MATCH(UI!$B$1,EffectName[#Headers],0),2),FALSE),"")</f>
        <v/>
      </c>
      <c r="X180" t="str">
        <f t="shared" si="19"/>
        <v/>
      </c>
      <c r="Y180">
        <v>0</v>
      </c>
      <c r="Z180" t="str">
        <f>IF(Y180&lt;&gt;0,VLOOKUP(VLOOKUP(Y180,Tbl_Effect[],3,FALSE),EffectName[],IFERROR(MATCH(UI!$B$1,EffectName[#Headers],0),2),FALSE),"")</f>
        <v/>
      </c>
      <c r="AA180" t="str">
        <f t="shared" si="20"/>
        <v/>
      </c>
      <c r="AB180">
        <v>0</v>
      </c>
      <c r="AC180" t="str">
        <f>IF(AB180&lt;&gt;0,VLOOKUP(VLOOKUP(AB180,Tbl_Effect[],3,FALSE),EffectName[],IFERROR(MATCH(UI!$B$1,EffectName[#Headers],0),2),FALSE),"")</f>
        <v/>
      </c>
      <c r="AE180">
        <v>7122000</v>
      </c>
      <c r="AF180">
        <v>7122300</v>
      </c>
      <c r="AG180">
        <v>7122300</v>
      </c>
    </row>
    <row r="181" spans="8:33" x14ac:dyDescent="0.4">
      <c r="H181" t="str">
        <f t="shared" si="14"/>
        <v>12003-碎裂的魔女胸針 (藍)</v>
      </c>
      <c r="I181">
        <v>12003</v>
      </c>
      <c r="J181" t="str">
        <f>_xlfn.IFNA(IF(I181&lt;&gt;0,VLOOKUP(VLOOKUP(I181,Tbl_Equip[],2,FALSE),Tbl_Color[],IFERROR(MATCH(UI!$B$1,Tbl_Color[#Headers],0),2),FALSE),""),"Unset")</f>
        <v>藍</v>
      </c>
      <c r="K181" t="str">
        <f>_xlfn.IFNA(IF(I181&lt;&gt;0,VLOOKUP(I181,ItemText[],IFERROR(MATCH(UI!$B$1,ItemText[#Headers],0),2),FALSE),""),"Unset")</f>
        <v>碎裂的魔女胸針</v>
      </c>
      <c r="L181" t="str">
        <f t="shared" si="15"/>
        <v>7122100-出擊時，會持有「召咒魂鈴」</v>
      </c>
      <c r="M181">
        <v>7122100</v>
      </c>
      <c r="N181" t="str">
        <f>IF(VALUE(M181)=0,"",VLOOKUP(VLOOKUP(M181,Tbl_Effect[],3,FALSE),EffectName[],IFERROR(MATCH(UI!$B$1,EffectName[#Headers],0),2),FALSE))</f>
        <v>出擊時，會持有「召咒魂鈴」</v>
      </c>
      <c r="O181" t="str">
        <f t="shared" si="16"/>
        <v>7122400-出擊時，會持有「雷油脂」</v>
      </c>
      <c r="P181">
        <v>7122400</v>
      </c>
      <c r="Q181" t="str">
        <f>IF(VALUE(P181)=0,"",VLOOKUP(VLOOKUP(P181,Tbl_Effect[],3,FALSE),EffectName[],IFERROR(MATCH(UI!$B$1,EffectName[#Headers],0),2),FALSE))</f>
        <v>出擊時，會持有「雷油脂」</v>
      </c>
      <c r="R181" t="str">
        <f t="shared" si="17"/>
        <v>7122400-出擊時，會持有「雷油脂」</v>
      </c>
      <c r="S181">
        <v>7122400</v>
      </c>
      <c r="T181" t="str">
        <f>IF(VALUE(S181)=0,"",VLOOKUP(VLOOKUP(S181,Tbl_Effect[],3,FALSE),EffectName[],IFERROR(MATCH(UI!$B$1,EffectName[#Headers],0),2),FALSE))</f>
        <v>出擊時，會持有「雷油脂」</v>
      </c>
      <c r="U181" t="str">
        <f t="shared" si="18"/>
        <v/>
      </c>
      <c r="V181">
        <v>0</v>
      </c>
      <c r="W181" t="str">
        <f>IF(V181&lt;&gt;0,VLOOKUP(VLOOKUP(V181,Tbl_Effect[],3,FALSE),EffectName[],IFERROR(MATCH(UI!$B$1,EffectName[#Headers],0),2),FALSE),"")</f>
        <v/>
      </c>
      <c r="X181" t="str">
        <f t="shared" si="19"/>
        <v/>
      </c>
      <c r="Y181">
        <v>0</v>
      </c>
      <c r="Z181" t="str">
        <f>IF(Y181&lt;&gt;0,VLOOKUP(VLOOKUP(Y181,Tbl_Effect[],3,FALSE),EffectName[],IFERROR(MATCH(UI!$B$1,EffectName[#Headers],0),2),FALSE),"")</f>
        <v/>
      </c>
      <c r="AA181" t="str">
        <f t="shared" si="20"/>
        <v/>
      </c>
      <c r="AB181">
        <v>0</v>
      </c>
      <c r="AC181" t="str">
        <f>IF(AB181&lt;&gt;0,VLOOKUP(VLOOKUP(AB181,Tbl_Effect[],3,FALSE),EffectName[],IFERROR(MATCH(UI!$B$1,EffectName[#Headers],0),2),FALSE),"")</f>
        <v/>
      </c>
      <c r="AE181">
        <v>7122100</v>
      </c>
      <c r="AF181">
        <v>7122400</v>
      </c>
      <c r="AG181">
        <v>7122400</v>
      </c>
    </row>
    <row r="182" spans="8:33" x14ac:dyDescent="0.4">
      <c r="H182" t="str">
        <f t="shared" si="14"/>
        <v>12004-細膩的光耀情景 (黃)</v>
      </c>
      <c r="I182">
        <v>12004</v>
      </c>
      <c r="J182" t="str">
        <f>_xlfn.IFNA(IF(I182&lt;&gt;0,VLOOKUP(VLOOKUP(I182,Tbl_Equip[],2,FALSE),Tbl_Color[],IFERROR(MATCH(UI!$B$1,Tbl_Color[#Headers],0),2),FALSE),""),"Unset")</f>
        <v>黃</v>
      </c>
      <c r="K182" t="str">
        <f>_xlfn.IFNA(IF(I182&lt;&gt;0,VLOOKUP(I182,ItemText[],IFERROR(MATCH(UI!$B$1,ItemText[#Headers],0),2),FALSE),""),"Unset")</f>
        <v>細膩的光耀情景</v>
      </c>
      <c r="L182" t="str">
        <f t="shared" si="15"/>
        <v>7122200-出擊時，會持有「火油脂」</v>
      </c>
      <c r="M182">
        <v>7122200</v>
      </c>
      <c r="N182" t="str">
        <f>IF(VALUE(M182)=0,"",VLOOKUP(VLOOKUP(M182,Tbl_Effect[],3,FALSE),EffectName[],IFERROR(MATCH(UI!$B$1,EffectName[#Headers],0),2),FALSE))</f>
        <v>出擊時，會持有「火油脂」</v>
      </c>
      <c r="O182" t="str">
        <f t="shared" si="16"/>
        <v>7122500-出擊時，會持有「聖油脂」</v>
      </c>
      <c r="P182">
        <v>7122500</v>
      </c>
      <c r="Q182" t="str">
        <f>IF(VALUE(P182)=0,"",VLOOKUP(VLOOKUP(P182,Tbl_Effect[],3,FALSE),EffectName[],IFERROR(MATCH(UI!$B$1,EffectName[#Headers],0),2),FALSE))</f>
        <v>出擊時，會持有「聖油脂」</v>
      </c>
      <c r="R182" t="str">
        <f t="shared" si="17"/>
        <v>7122500-出擊時，會持有「聖油脂」</v>
      </c>
      <c r="S182">
        <v>7122500</v>
      </c>
      <c r="T182" t="str">
        <f>IF(VALUE(S182)=0,"",VLOOKUP(VLOOKUP(S182,Tbl_Effect[],3,FALSE),EffectName[],IFERROR(MATCH(UI!$B$1,EffectName[#Headers],0),2),FALSE))</f>
        <v>出擊時，會持有「聖油脂」</v>
      </c>
      <c r="U182" t="str">
        <f t="shared" si="18"/>
        <v/>
      </c>
      <c r="V182">
        <v>0</v>
      </c>
      <c r="W182" t="str">
        <f>IF(V182&lt;&gt;0,VLOOKUP(VLOOKUP(V182,Tbl_Effect[],3,FALSE),EffectName[],IFERROR(MATCH(UI!$B$1,EffectName[#Headers],0),2),FALSE),"")</f>
        <v/>
      </c>
      <c r="X182" t="str">
        <f t="shared" si="19"/>
        <v/>
      </c>
      <c r="Y182">
        <v>0</v>
      </c>
      <c r="Z182" t="str">
        <f>IF(Y182&lt;&gt;0,VLOOKUP(VLOOKUP(Y182,Tbl_Effect[],3,FALSE),EffectName[],IFERROR(MATCH(UI!$B$1,EffectName[#Headers],0),2),FALSE),"")</f>
        <v/>
      </c>
      <c r="AA182" t="str">
        <f t="shared" si="20"/>
        <v/>
      </c>
      <c r="AB182">
        <v>0</v>
      </c>
      <c r="AC182" t="str">
        <f>IF(AB182&lt;&gt;0,VLOOKUP(VLOOKUP(AB182,Tbl_Effect[],3,FALSE),EffectName[],IFERROR(MATCH(UI!$B$1,EffectName[#Headers],0),2),FALSE),"")</f>
        <v/>
      </c>
      <c r="AE182">
        <v>7122200</v>
      </c>
      <c r="AF182">
        <v>7122500</v>
      </c>
      <c r="AG182">
        <v>7122500</v>
      </c>
    </row>
    <row r="183" spans="8:33" x14ac:dyDescent="0.4">
      <c r="H183" t="str">
        <f t="shared" si="14"/>
        <v>12005-細膩的水滴情景 (藍)</v>
      </c>
      <c r="I183">
        <v>12005</v>
      </c>
      <c r="J183" t="str">
        <f>_xlfn.IFNA(IF(I183&lt;&gt;0,VLOOKUP(VLOOKUP(I183,Tbl_Equip[],2,FALSE),Tbl_Color[],IFERROR(MATCH(UI!$B$1,Tbl_Color[#Headers],0),2),FALSE),""),"Unset")</f>
        <v>藍</v>
      </c>
      <c r="K183" t="str">
        <f>_xlfn.IFNA(IF(I183&lt;&gt;0,VLOOKUP(I183,ItemText[],IFERROR(MATCH(UI!$B$1,ItemText[#Headers],0),2),FALSE),""),"Unset")</f>
        <v>細膩的水滴情景</v>
      </c>
      <c r="L183" t="str">
        <f t="shared" si="15"/>
        <v>7122300-出擊時，會持有「魔力油脂」</v>
      </c>
      <c r="M183">
        <v>7122300</v>
      </c>
      <c r="N183" t="str">
        <f>IF(VALUE(M183)=0,"",VLOOKUP(VLOOKUP(M183,Tbl_Effect[],3,FALSE),EffectName[],IFERROR(MATCH(UI!$B$1,EffectName[#Headers],0),2),FALSE))</f>
        <v>出擊時，會持有「魔力油脂」</v>
      </c>
      <c r="O183" t="str">
        <f t="shared" si="16"/>
        <v>7122600-出擊時，會持有「堅盾油脂」</v>
      </c>
      <c r="P183">
        <v>7122600</v>
      </c>
      <c r="Q183" t="str">
        <f>IF(VALUE(P183)=0,"",VLOOKUP(VLOOKUP(P183,Tbl_Effect[],3,FALSE),EffectName[],IFERROR(MATCH(UI!$B$1,EffectName[#Headers],0),2),FALSE))</f>
        <v>出擊時，會持有「堅盾油脂」</v>
      </c>
      <c r="R183" t="str">
        <f t="shared" si="17"/>
        <v>7122600-出擊時，會持有「堅盾油脂」</v>
      </c>
      <c r="S183">
        <v>7122600</v>
      </c>
      <c r="T183" t="str">
        <f>IF(VALUE(S183)=0,"",VLOOKUP(VLOOKUP(S183,Tbl_Effect[],3,FALSE),EffectName[],IFERROR(MATCH(UI!$B$1,EffectName[#Headers],0),2),FALSE))</f>
        <v>出擊時，會持有「堅盾油脂」</v>
      </c>
      <c r="U183" t="str">
        <f t="shared" si="18"/>
        <v/>
      </c>
      <c r="V183">
        <v>0</v>
      </c>
      <c r="W183" t="str">
        <f>IF(V183&lt;&gt;0,VLOOKUP(VLOOKUP(V183,Tbl_Effect[],3,FALSE),EffectName[],IFERROR(MATCH(UI!$B$1,EffectName[#Headers],0),2),FALSE),"")</f>
        <v/>
      </c>
      <c r="X183" t="str">
        <f t="shared" si="19"/>
        <v/>
      </c>
      <c r="Y183">
        <v>0</v>
      </c>
      <c r="Z183" t="str">
        <f>IF(Y183&lt;&gt;0,VLOOKUP(VLOOKUP(Y183,Tbl_Effect[],3,FALSE),EffectName[],IFERROR(MATCH(UI!$B$1,EffectName[#Headers],0),2),FALSE),"")</f>
        <v/>
      </c>
      <c r="AA183" t="str">
        <f t="shared" si="20"/>
        <v/>
      </c>
      <c r="AB183">
        <v>0</v>
      </c>
      <c r="AC183" t="str">
        <f>IF(AB183&lt;&gt;0,VLOOKUP(VLOOKUP(AB183,Tbl_Effect[],3,FALSE),EffectName[],IFERROR(MATCH(UI!$B$1,EffectName[#Headers],0),2),FALSE),"")</f>
        <v/>
      </c>
      <c r="AE183">
        <v>7122300</v>
      </c>
      <c r="AF183">
        <v>7122600</v>
      </c>
      <c r="AG183">
        <v>7122600</v>
      </c>
    </row>
    <row r="184" spans="8:33" x14ac:dyDescent="0.4">
      <c r="H184" t="str">
        <f t="shared" si="14"/>
        <v>12006-細膩的水滴情景 (藍)</v>
      </c>
      <c r="I184">
        <v>12006</v>
      </c>
      <c r="J184" t="str">
        <f>_xlfn.IFNA(IF(I184&lt;&gt;0,VLOOKUP(VLOOKUP(I184,Tbl_Equip[],2,FALSE),Tbl_Color[],IFERROR(MATCH(UI!$B$1,Tbl_Color[#Headers],0),2),FALSE),""),"Unset")</f>
        <v>藍</v>
      </c>
      <c r="K184" t="str">
        <f>_xlfn.IFNA(IF(I184&lt;&gt;0,VLOOKUP(I184,ItemText[],IFERROR(MATCH(UI!$B$1,ItemText[#Headers],0),2),FALSE),""),"Unset")</f>
        <v>細膩的水滴情景</v>
      </c>
      <c r="L184" t="str">
        <f t="shared" si="15"/>
        <v>7122400-出擊時，會持有「雷油脂」</v>
      </c>
      <c r="M184">
        <v>7122400</v>
      </c>
      <c r="N184" t="str">
        <f>IF(VALUE(M184)=0,"",VLOOKUP(VLOOKUP(M184,Tbl_Effect[],3,FALSE),EffectName[],IFERROR(MATCH(UI!$B$1,EffectName[#Headers],0),2),FALSE))</f>
        <v>出擊時，會持有「雷油脂」</v>
      </c>
      <c r="O184" t="str">
        <f t="shared" si="16"/>
        <v>7122700-出擊時，武器戰技改為「輝劍圓陣」
※僅限能使用的武器類別</v>
      </c>
      <c r="P184">
        <v>7122700</v>
      </c>
      <c r="Q184" t="str">
        <f>IF(VALUE(P184)=0,"",VLOOKUP(VLOOKUP(P184,Tbl_Effect[],3,FALSE),EffectName[],IFERROR(MATCH(UI!$B$1,EffectName[#Headers],0),2),FALSE))</f>
        <v>出擊時，武器戰技改為「輝劍圓陣」
※僅限能使用的武器類別</v>
      </c>
      <c r="R184" t="str">
        <f t="shared" si="17"/>
        <v>7122700-出擊時，武器戰技改為「輝劍圓陣」
※僅限能使用的武器類別</v>
      </c>
      <c r="S184">
        <v>7122700</v>
      </c>
      <c r="T184" t="str">
        <f>IF(VALUE(S184)=0,"",VLOOKUP(VLOOKUP(S184,Tbl_Effect[],3,FALSE),EffectName[],IFERROR(MATCH(UI!$B$1,EffectName[#Headers],0),2),FALSE))</f>
        <v>出擊時，武器戰技改為「輝劍圓陣」
※僅限能使用的武器類別</v>
      </c>
      <c r="U184" t="str">
        <f t="shared" si="18"/>
        <v/>
      </c>
      <c r="V184">
        <v>0</v>
      </c>
      <c r="W184" t="str">
        <f>IF(V184&lt;&gt;0,VLOOKUP(VLOOKUP(V184,Tbl_Effect[],3,FALSE),EffectName[],IFERROR(MATCH(UI!$B$1,EffectName[#Headers],0),2),FALSE),"")</f>
        <v/>
      </c>
      <c r="X184" t="str">
        <f t="shared" si="19"/>
        <v/>
      </c>
      <c r="Y184">
        <v>0</v>
      </c>
      <c r="Z184" t="str">
        <f>IF(Y184&lt;&gt;0,VLOOKUP(VLOOKUP(Y184,Tbl_Effect[],3,FALSE),EffectName[],IFERROR(MATCH(UI!$B$1,EffectName[#Headers],0),2),FALSE),"")</f>
        <v/>
      </c>
      <c r="AA184" t="str">
        <f t="shared" si="20"/>
        <v/>
      </c>
      <c r="AB184">
        <v>0</v>
      </c>
      <c r="AC184" t="str">
        <f>IF(AB184&lt;&gt;0,VLOOKUP(VLOOKUP(AB184,Tbl_Effect[],3,FALSE),EffectName[],IFERROR(MATCH(UI!$B$1,EffectName[#Headers],0),2),FALSE),"")</f>
        <v/>
      </c>
      <c r="AE184">
        <v>7122400</v>
      </c>
      <c r="AF184">
        <v>7122700</v>
      </c>
      <c r="AG184">
        <v>7122700</v>
      </c>
    </row>
    <row r="185" spans="8:33" x14ac:dyDescent="0.4">
      <c r="H185" t="str">
        <f t="shared" si="14"/>
        <v>12007-細膩的幽靜情景 (綠)</v>
      </c>
      <c r="I185">
        <v>12007</v>
      </c>
      <c r="J185" t="str">
        <f>_xlfn.IFNA(IF(I185&lt;&gt;0,VLOOKUP(VLOOKUP(I185,Tbl_Equip[],2,FALSE),Tbl_Color[],IFERROR(MATCH(UI!$B$1,Tbl_Color[#Headers],0),2),FALSE),""),"Unset")</f>
        <v>綠</v>
      </c>
      <c r="K185" t="str">
        <f>_xlfn.IFNA(IF(I185&lt;&gt;0,VLOOKUP(I185,ItemText[],IFERROR(MATCH(UI!$B$1,ItemText[#Headers],0),2),FALSE),""),"Unset")</f>
        <v>細膩的幽靜情景</v>
      </c>
      <c r="L185" t="str">
        <f t="shared" si="15"/>
        <v>7122500-出擊時，會持有「聖油脂」</v>
      </c>
      <c r="M185">
        <v>7122500</v>
      </c>
      <c r="N185" t="str">
        <f>IF(VALUE(M185)=0,"",VLOOKUP(VLOOKUP(M185,Tbl_Effect[],3,FALSE),EffectName[],IFERROR(MATCH(UI!$B$1,EffectName[#Headers],0),2),FALSE))</f>
        <v>出擊時，會持有「聖油脂」</v>
      </c>
      <c r="O185" t="str">
        <f t="shared" si="16"/>
        <v>7122800-出擊時，武器戰技改為「重力」
※僅限能使用的武器類別</v>
      </c>
      <c r="P185">
        <v>7122800</v>
      </c>
      <c r="Q185" t="str">
        <f>IF(VALUE(P185)=0,"",VLOOKUP(VLOOKUP(P185,Tbl_Effect[],3,FALSE),EffectName[],IFERROR(MATCH(UI!$B$1,EffectName[#Headers],0),2),FALSE))</f>
        <v>出擊時，武器戰技改為「重力」
※僅限能使用的武器類別</v>
      </c>
      <c r="R185" t="str">
        <f t="shared" si="17"/>
        <v>7122800-出擊時，武器戰技改為「重力」
※僅限能使用的武器類別</v>
      </c>
      <c r="S185">
        <v>7122800</v>
      </c>
      <c r="T185" t="str">
        <f>IF(VALUE(S185)=0,"",VLOOKUP(VLOOKUP(S185,Tbl_Effect[],3,FALSE),EffectName[],IFERROR(MATCH(UI!$B$1,EffectName[#Headers],0),2),FALSE))</f>
        <v>出擊時，武器戰技改為「重力」
※僅限能使用的武器類別</v>
      </c>
      <c r="U185" t="str">
        <f t="shared" si="18"/>
        <v/>
      </c>
      <c r="V185">
        <v>0</v>
      </c>
      <c r="W185" t="str">
        <f>IF(V185&lt;&gt;0,VLOOKUP(VLOOKUP(V185,Tbl_Effect[],3,FALSE),EffectName[],IFERROR(MATCH(UI!$B$1,EffectName[#Headers],0),2),FALSE),"")</f>
        <v/>
      </c>
      <c r="X185" t="str">
        <f t="shared" si="19"/>
        <v/>
      </c>
      <c r="Y185">
        <v>0</v>
      </c>
      <c r="Z185" t="str">
        <f>IF(Y185&lt;&gt;0,VLOOKUP(VLOOKUP(Y185,Tbl_Effect[],3,FALSE),EffectName[],IFERROR(MATCH(UI!$B$1,EffectName[#Headers],0),2),FALSE),"")</f>
        <v/>
      </c>
      <c r="AA185" t="str">
        <f t="shared" si="20"/>
        <v/>
      </c>
      <c r="AB185">
        <v>0</v>
      </c>
      <c r="AC185" t="str">
        <f>IF(AB185&lt;&gt;0,VLOOKUP(VLOOKUP(AB185,Tbl_Effect[],3,FALSE),EffectName[],IFERROR(MATCH(UI!$B$1,EffectName[#Headers],0),2),FALSE),"")</f>
        <v/>
      </c>
      <c r="AE185">
        <v>7122500</v>
      </c>
      <c r="AF185">
        <v>7122800</v>
      </c>
      <c r="AG185">
        <v>7122800</v>
      </c>
    </row>
    <row r="186" spans="8:33" x14ac:dyDescent="0.4">
      <c r="H186" t="str">
        <f t="shared" si="14"/>
        <v>13001-裂開的封蠟 (黃)</v>
      </c>
      <c r="I186">
        <v>13001</v>
      </c>
      <c r="J186" t="str">
        <f>_xlfn.IFNA(IF(I186&lt;&gt;0,VLOOKUP(VLOOKUP(I186,Tbl_Equip[],2,FALSE),Tbl_Color[],IFERROR(MATCH(UI!$B$1,Tbl_Color[#Headers],0),2),FALSE),""),"Unset")</f>
        <v>黃</v>
      </c>
      <c r="K186" t="str">
        <f>_xlfn.IFNA(IF(I186&lt;&gt;0,VLOOKUP(I186,ItemText[],IFERROR(MATCH(UI!$B$1,ItemText[#Headers],0),2),FALSE),""),"Unset")</f>
        <v>裂開的封蠟</v>
      </c>
      <c r="L186" t="str">
        <f t="shared" si="15"/>
        <v>7122600-出擊時，會持有「堅盾油脂」</v>
      </c>
      <c r="M186">
        <v>7122600</v>
      </c>
      <c r="N186" t="str">
        <f>IF(VALUE(M186)=0,"",VLOOKUP(VLOOKUP(M186,Tbl_Effect[],3,FALSE),EffectName[],IFERROR(MATCH(UI!$B$1,EffectName[#Headers],0),2),FALSE))</f>
        <v>出擊時，會持有「堅盾油脂」</v>
      </c>
      <c r="O186" t="str">
        <f t="shared" si="16"/>
        <v>7122900-出擊時，武器戰技改為「炎擊」
※僅限能使用的武器類別</v>
      </c>
      <c r="P186">
        <v>7122900</v>
      </c>
      <c r="Q186" t="str">
        <f>IF(VALUE(P186)=0,"",VLOOKUP(VLOOKUP(P186,Tbl_Effect[],3,FALSE),EffectName[],IFERROR(MATCH(UI!$B$1,EffectName[#Headers],0),2),FALSE))</f>
        <v>出擊時，武器戰技改為「炎擊」
※僅限能使用的武器類別</v>
      </c>
      <c r="R186" t="str">
        <f t="shared" si="17"/>
        <v>7122900-出擊時，武器戰技改為「炎擊」
※僅限能使用的武器類別</v>
      </c>
      <c r="S186">
        <v>7122900</v>
      </c>
      <c r="T186" t="str">
        <f>IF(VALUE(S186)=0,"",VLOOKUP(VLOOKUP(S186,Tbl_Effect[],3,FALSE),EffectName[],IFERROR(MATCH(UI!$B$1,EffectName[#Headers],0),2),FALSE))</f>
        <v>出擊時，武器戰技改為「炎擊」
※僅限能使用的武器類別</v>
      </c>
      <c r="U186" t="str">
        <f t="shared" si="18"/>
        <v/>
      </c>
      <c r="V186">
        <v>0</v>
      </c>
      <c r="W186" t="str">
        <f>IF(V186&lt;&gt;0,VLOOKUP(VLOOKUP(V186,Tbl_Effect[],3,FALSE),EffectName[],IFERROR(MATCH(UI!$B$1,EffectName[#Headers],0),2),FALSE),"")</f>
        <v/>
      </c>
      <c r="X186" t="str">
        <f t="shared" si="19"/>
        <v/>
      </c>
      <c r="Y186">
        <v>0</v>
      </c>
      <c r="Z186" t="str">
        <f>IF(Y186&lt;&gt;0,VLOOKUP(VLOOKUP(Y186,Tbl_Effect[],3,FALSE),EffectName[],IFERROR(MATCH(UI!$B$1,EffectName[#Headers],0),2),FALSE),"")</f>
        <v/>
      </c>
      <c r="AA186" t="str">
        <f t="shared" si="20"/>
        <v/>
      </c>
      <c r="AB186">
        <v>0</v>
      </c>
      <c r="AC186" t="str">
        <f>IF(AB186&lt;&gt;0,VLOOKUP(VLOOKUP(AB186,Tbl_Effect[],3,FALSE),EffectName[],IFERROR(MATCH(UI!$B$1,EffectName[#Headers],0),2),FALSE),"")</f>
        <v/>
      </c>
      <c r="AE186">
        <v>7122600</v>
      </c>
      <c r="AF186">
        <v>7122900</v>
      </c>
      <c r="AG186">
        <v>7122900</v>
      </c>
    </row>
    <row r="187" spans="8:33" x14ac:dyDescent="0.4">
      <c r="H187" t="str">
        <f t="shared" si="14"/>
        <v>13002-聖律刀 (黃)</v>
      </c>
      <c r="I187">
        <v>13002</v>
      </c>
      <c r="J187" t="str">
        <f>_xlfn.IFNA(IF(I187&lt;&gt;0,VLOOKUP(VLOOKUP(I187,Tbl_Equip[],2,FALSE),Tbl_Color[],IFERROR(MATCH(UI!$B$1,Tbl_Color[#Headers],0),2),FALSE),""),"Unset")</f>
        <v>黃</v>
      </c>
      <c r="K187" t="str">
        <f>_xlfn.IFNA(IF(I187&lt;&gt;0,VLOOKUP(I187,ItemText[],IFERROR(MATCH(UI!$B$1,ItemText[#Headers],0),2),FALSE),""),"Unset")</f>
        <v>聖律刀</v>
      </c>
      <c r="L187" t="str">
        <f t="shared" si="15"/>
        <v>7122700-出擊時，武器戰技改為「輝劍圓陣」
※僅限能使用的武器類別</v>
      </c>
      <c r="M187">
        <v>7122700</v>
      </c>
      <c r="N187" t="str">
        <f>IF(VALUE(M187)=0,"",VLOOKUP(VLOOKUP(M187,Tbl_Effect[],3,FALSE),EffectName[],IFERROR(MATCH(UI!$B$1,EffectName[#Headers],0),2),FALSE))</f>
        <v>出擊時，武器戰技改為「輝劍圓陣」
※僅限能使用的武器類別</v>
      </c>
      <c r="O187" t="str">
        <f t="shared" si="16"/>
        <v>7123000-出擊時，武器戰技改為「熔岩火漿」
※僅限能使用的武器類別</v>
      </c>
      <c r="P187">
        <v>7123000</v>
      </c>
      <c r="Q187" t="str">
        <f>IF(VALUE(P187)=0,"",VLOOKUP(VLOOKUP(P187,Tbl_Effect[],3,FALSE),EffectName[],IFERROR(MATCH(UI!$B$1,EffectName[#Headers],0),2),FALSE))</f>
        <v>出擊時，武器戰技改為「熔岩火漿」
※僅限能使用的武器類別</v>
      </c>
      <c r="R187" t="str">
        <f t="shared" si="17"/>
        <v>7123000-出擊時，武器戰技改為「熔岩火漿」
※僅限能使用的武器類別</v>
      </c>
      <c r="S187">
        <v>7123000</v>
      </c>
      <c r="T187" t="str">
        <f>IF(VALUE(S187)=0,"",VLOOKUP(VLOOKUP(S187,Tbl_Effect[],3,FALSE),EffectName[],IFERROR(MATCH(UI!$B$1,EffectName[#Headers],0),2),FALSE))</f>
        <v>出擊時，武器戰技改為「熔岩火漿」
※僅限能使用的武器類別</v>
      </c>
      <c r="U187" t="str">
        <f t="shared" si="18"/>
        <v/>
      </c>
      <c r="V187">
        <v>0</v>
      </c>
      <c r="W187" t="str">
        <f>IF(V187&lt;&gt;0,VLOOKUP(VLOOKUP(V187,Tbl_Effect[],3,FALSE),EffectName[],IFERROR(MATCH(UI!$B$1,EffectName[#Headers],0),2),FALSE),"")</f>
        <v/>
      </c>
      <c r="X187" t="str">
        <f t="shared" si="19"/>
        <v/>
      </c>
      <c r="Y187">
        <v>0</v>
      </c>
      <c r="Z187" t="str">
        <f>IF(Y187&lt;&gt;0,VLOOKUP(VLOOKUP(Y187,Tbl_Effect[],3,FALSE),EffectName[],IFERROR(MATCH(UI!$B$1,EffectName[#Headers],0),2),FALSE),"")</f>
        <v/>
      </c>
      <c r="AA187" t="str">
        <f t="shared" si="20"/>
        <v/>
      </c>
      <c r="AB187">
        <v>0</v>
      </c>
      <c r="AC187" t="str">
        <f>IF(AB187&lt;&gt;0,VLOOKUP(VLOOKUP(AB187,Tbl_Effect[],3,FALSE),EffectName[],IFERROR(MATCH(UI!$B$1,EffectName[#Headers],0),2),FALSE),"")</f>
        <v/>
      </c>
      <c r="AE187">
        <v>7122700</v>
      </c>
      <c r="AF187">
        <v>7123000</v>
      </c>
      <c r="AG187">
        <v>7123000</v>
      </c>
    </row>
    <row r="188" spans="8:33" x14ac:dyDescent="0.4">
      <c r="H188" t="str">
        <f t="shared" si="14"/>
        <v>14000-金色露珠 (黃)</v>
      </c>
      <c r="I188">
        <v>14000</v>
      </c>
      <c r="J188" t="str">
        <f>_xlfn.IFNA(IF(I188&lt;&gt;0,VLOOKUP(VLOOKUP(I188,Tbl_Equip[],2,FALSE),Tbl_Color[],IFERROR(MATCH(UI!$B$1,Tbl_Color[#Headers],0),2),FALSE),""),"Unset")</f>
        <v>黃</v>
      </c>
      <c r="K188" t="str">
        <f>_xlfn.IFNA(IF(I188&lt;&gt;0,VLOOKUP(I188,ItemText[],IFERROR(MATCH(UI!$B$1,ItemText[#Headers],0),2),FALSE),""),"Unset")</f>
        <v>金色露珠</v>
      </c>
      <c r="L188" t="str">
        <f t="shared" si="15"/>
        <v>7122800-出擊時，武器戰技改為「重力」
※僅限能使用的武器類別</v>
      </c>
      <c r="M188">
        <v>7122800</v>
      </c>
      <c r="N188" t="str">
        <f>IF(VALUE(M188)=0,"",VLOOKUP(VLOOKUP(M188,Tbl_Effect[],3,FALSE),EffectName[],IFERROR(MATCH(UI!$B$1,EffectName[#Headers],0),2),FALSE))</f>
        <v>出擊時，武器戰技改為「重力」
※僅限能使用的武器類別</v>
      </c>
      <c r="O188" t="str">
        <f t="shared" si="16"/>
        <v>7123100-出擊時，武器戰技改為「落雷」
※僅限能使用的武器類別</v>
      </c>
      <c r="P188">
        <v>7123100</v>
      </c>
      <c r="Q188" t="str">
        <f>IF(VALUE(P188)=0,"",VLOOKUP(VLOOKUP(P188,Tbl_Effect[],3,FALSE),EffectName[],IFERROR(MATCH(UI!$B$1,EffectName[#Headers],0),2),FALSE))</f>
        <v>出擊時，武器戰技改為「落雷」
※僅限能使用的武器類別</v>
      </c>
      <c r="R188" t="str">
        <f t="shared" si="17"/>
        <v>7123100-出擊時，武器戰技改為「落雷」
※僅限能使用的武器類別</v>
      </c>
      <c r="S188">
        <v>7123100</v>
      </c>
      <c r="T188" t="str">
        <f>IF(VALUE(S188)=0,"",VLOOKUP(VLOOKUP(S188,Tbl_Effect[],3,FALSE),EffectName[],IFERROR(MATCH(UI!$B$1,EffectName[#Headers],0),2),FALSE))</f>
        <v>出擊時，武器戰技改為「落雷」
※僅限能使用的武器類別</v>
      </c>
      <c r="U188" t="str">
        <f t="shared" si="18"/>
        <v/>
      </c>
      <c r="V188">
        <v>0</v>
      </c>
      <c r="W188" t="str">
        <f>IF(V188&lt;&gt;0,VLOOKUP(VLOOKUP(V188,Tbl_Effect[],3,FALSE),EffectName[],IFERROR(MATCH(UI!$B$1,EffectName[#Headers],0),2),FALSE),"")</f>
        <v/>
      </c>
      <c r="X188" t="str">
        <f t="shared" si="19"/>
        <v/>
      </c>
      <c r="Y188">
        <v>0</v>
      </c>
      <c r="Z188" t="str">
        <f>IF(Y188&lt;&gt;0,VLOOKUP(VLOOKUP(Y188,Tbl_Effect[],3,FALSE),EffectName[],IFERROR(MATCH(UI!$B$1,EffectName[#Headers],0),2),FALSE),"")</f>
        <v/>
      </c>
      <c r="AA188" t="str">
        <f t="shared" si="20"/>
        <v/>
      </c>
      <c r="AB188">
        <v>0</v>
      </c>
      <c r="AC188" t="str">
        <f>IF(AB188&lt;&gt;0,VLOOKUP(VLOOKUP(AB188,Tbl_Effect[],3,FALSE),EffectName[],IFERROR(MATCH(UI!$B$1,EffectName[#Headers],0),2),FALSE),"")</f>
        <v/>
      </c>
      <c r="AE188">
        <v>7122800</v>
      </c>
      <c r="AF188">
        <v>7123100</v>
      </c>
      <c r="AG188">
        <v>7123100</v>
      </c>
    </row>
    <row r="189" spans="8:33" x14ac:dyDescent="0.4">
      <c r="H189" t="str">
        <f t="shared" si="14"/>
        <v>14001-頭冠的徽章 (綠)</v>
      </c>
      <c r="I189">
        <v>14001</v>
      </c>
      <c r="J189" t="str">
        <f>_xlfn.IFNA(IF(I189&lt;&gt;0,VLOOKUP(VLOOKUP(I189,Tbl_Equip[],2,FALSE),Tbl_Color[],IFERROR(MATCH(UI!$B$1,Tbl_Color[#Headers],0),2),FALSE),""),"Unset")</f>
        <v>綠</v>
      </c>
      <c r="K189" t="str">
        <f>_xlfn.IFNA(IF(I189&lt;&gt;0,VLOOKUP(I189,ItemText[],IFERROR(MATCH(UI!$B$1,ItemText[#Headers],0),2),FALSE),""),"Unset")</f>
        <v>頭冠的徽章</v>
      </c>
      <c r="L189" t="str">
        <f t="shared" si="15"/>
        <v>7122900-出擊時，武器戰技改為「炎擊」
※僅限能使用的武器類別</v>
      </c>
      <c r="M189">
        <v>7122900</v>
      </c>
      <c r="N189" t="str">
        <f>IF(VALUE(M189)=0,"",VLOOKUP(VLOOKUP(M189,Tbl_Effect[],3,FALSE),EffectName[],IFERROR(MATCH(UI!$B$1,EffectName[#Headers],0),2),FALSE))</f>
        <v>出擊時，武器戰技改為「炎擊」
※僅限能使用的武器類別</v>
      </c>
      <c r="O189" t="str">
        <f t="shared" si="16"/>
        <v>7123200-出擊時，武器戰技改為「雷擊斬」
※僅限能使用的武器類別</v>
      </c>
      <c r="P189">
        <v>7123200</v>
      </c>
      <c r="Q189" t="str">
        <f>IF(VALUE(P189)=0,"",VLOOKUP(VLOOKUP(P189,Tbl_Effect[],3,FALSE),EffectName[],IFERROR(MATCH(UI!$B$1,EffectName[#Headers],0),2),FALSE))</f>
        <v>出擊時，武器戰技改為「雷擊斬」
※僅限能使用的武器類別</v>
      </c>
      <c r="R189" t="str">
        <f t="shared" si="17"/>
        <v>7123200-出擊時，武器戰技改為「雷擊斬」
※僅限能使用的武器類別</v>
      </c>
      <c r="S189">
        <v>7123200</v>
      </c>
      <c r="T189" t="str">
        <f>IF(VALUE(S189)=0,"",VLOOKUP(VLOOKUP(S189,Tbl_Effect[],3,FALSE),EffectName[],IFERROR(MATCH(UI!$B$1,EffectName[#Headers],0),2),FALSE))</f>
        <v>出擊時，武器戰技改為「雷擊斬」
※僅限能使用的武器類別</v>
      </c>
      <c r="U189" t="str">
        <f t="shared" si="18"/>
        <v/>
      </c>
      <c r="V189">
        <v>0</v>
      </c>
      <c r="W189" t="str">
        <f>IF(V189&lt;&gt;0,VLOOKUP(VLOOKUP(V189,Tbl_Effect[],3,FALSE),EffectName[],IFERROR(MATCH(UI!$B$1,EffectName[#Headers],0),2),FALSE),"")</f>
        <v/>
      </c>
      <c r="X189" t="str">
        <f t="shared" si="19"/>
        <v/>
      </c>
      <c r="Y189">
        <v>0</v>
      </c>
      <c r="Z189" t="str">
        <f>IF(Y189&lt;&gt;0,VLOOKUP(VLOOKUP(Y189,Tbl_Effect[],3,FALSE),EffectName[],IFERROR(MATCH(UI!$B$1,EffectName[#Headers],0),2),FALSE),"")</f>
        <v/>
      </c>
      <c r="AA189" t="str">
        <f t="shared" si="20"/>
        <v/>
      </c>
      <c r="AB189">
        <v>0</v>
      </c>
      <c r="AC189" t="str">
        <f>IF(AB189&lt;&gt;0,VLOOKUP(VLOOKUP(AB189,Tbl_Effect[],3,FALSE),EffectName[],IFERROR(MATCH(UI!$B$1,EffectName[#Headers],0),2),FALSE),"")</f>
        <v/>
      </c>
      <c r="AE189">
        <v>7122900</v>
      </c>
      <c r="AF189">
        <v>7123200</v>
      </c>
      <c r="AG189">
        <v>7123200</v>
      </c>
    </row>
    <row r="190" spans="8:33" x14ac:dyDescent="0.4">
      <c r="H190" t="str">
        <f t="shared" si="14"/>
        <v>14002-祝福鐵幣 (綠)</v>
      </c>
      <c r="I190">
        <v>14002</v>
      </c>
      <c r="J190" t="str">
        <f>_xlfn.IFNA(IF(I190&lt;&gt;0,VLOOKUP(VLOOKUP(I190,Tbl_Equip[],2,FALSE),Tbl_Color[],IFERROR(MATCH(UI!$B$1,Tbl_Color[#Headers],0),2),FALSE),""),"Unset")</f>
        <v>綠</v>
      </c>
      <c r="K190" t="str">
        <f>_xlfn.IFNA(IF(I190&lt;&gt;0,VLOOKUP(I190,ItemText[],IFERROR(MATCH(UI!$B$1,ItemText[#Headers],0),2),FALSE),""),"Unset")</f>
        <v>祝福鐵幣</v>
      </c>
      <c r="L190" t="str">
        <f t="shared" si="15"/>
        <v>7123000-出擊時，武器戰技改為「熔岩火漿」
※僅限能使用的武器類別</v>
      </c>
      <c r="M190">
        <v>7123000</v>
      </c>
      <c r="N190" t="str">
        <f>IF(VALUE(M190)=0,"",VLOOKUP(VLOOKUP(M190,Tbl_Effect[],3,FALSE),EffectName[],IFERROR(MATCH(UI!$B$1,EffectName[#Headers],0),2),FALSE))</f>
        <v>出擊時，武器戰技改為「熔岩火漿」
※僅限能使用的武器類別</v>
      </c>
      <c r="O190" t="str">
        <f t="shared" si="16"/>
        <v>7123300-出擊時，武器戰技改為「神聖刀刃」
※僅限能使用的武器類別</v>
      </c>
      <c r="P190">
        <v>7123300</v>
      </c>
      <c r="Q190" t="str">
        <f>IF(VALUE(P190)=0,"",VLOOKUP(VLOOKUP(P190,Tbl_Effect[],3,FALSE),EffectName[],IFERROR(MATCH(UI!$B$1,EffectName[#Headers],0),2),FALSE))</f>
        <v>出擊時，武器戰技改為「神聖刀刃」
※僅限能使用的武器類別</v>
      </c>
      <c r="R190" t="str">
        <f t="shared" si="17"/>
        <v>7123300-出擊時，武器戰技改為「神聖刀刃」
※僅限能使用的武器類別</v>
      </c>
      <c r="S190">
        <v>7123300</v>
      </c>
      <c r="T190" t="str">
        <f>IF(VALUE(S190)=0,"",VLOOKUP(VLOOKUP(S190,Tbl_Effect[],3,FALSE),EffectName[],IFERROR(MATCH(UI!$B$1,EffectName[#Headers],0),2),FALSE))</f>
        <v>出擊時，武器戰技改為「神聖刀刃」
※僅限能使用的武器類別</v>
      </c>
      <c r="U190" t="str">
        <f t="shared" si="18"/>
        <v/>
      </c>
      <c r="V190">
        <v>0</v>
      </c>
      <c r="W190" t="str">
        <f>IF(V190&lt;&gt;0,VLOOKUP(VLOOKUP(V190,Tbl_Effect[],3,FALSE),EffectName[],IFERROR(MATCH(UI!$B$1,EffectName[#Headers],0),2),FALSE),"")</f>
        <v/>
      </c>
      <c r="X190" t="str">
        <f t="shared" si="19"/>
        <v/>
      </c>
      <c r="Y190">
        <v>0</v>
      </c>
      <c r="Z190" t="str">
        <f>IF(Y190&lt;&gt;0,VLOOKUP(VLOOKUP(Y190,Tbl_Effect[],3,FALSE),EffectName[],IFERROR(MATCH(UI!$B$1,EffectName[#Headers],0),2),FALSE),"")</f>
        <v/>
      </c>
      <c r="AA190" t="str">
        <f t="shared" si="20"/>
        <v/>
      </c>
      <c r="AB190">
        <v>0</v>
      </c>
      <c r="AC190" t="str">
        <f>IF(AB190&lt;&gt;0,VLOOKUP(VLOOKUP(AB190,Tbl_Effect[],3,FALSE),EffectName[],IFERROR(MATCH(UI!$B$1,EffectName[#Headers],0),2),FALSE),"")</f>
        <v/>
      </c>
      <c r="AE190">
        <v>7123000</v>
      </c>
      <c r="AF190">
        <v>7123300</v>
      </c>
      <c r="AG190">
        <v>7123300</v>
      </c>
    </row>
    <row r="191" spans="8:33" x14ac:dyDescent="0.4">
      <c r="H191" t="str">
        <f t="shared" si="14"/>
        <v>15000-斷裂編繩 (藍)</v>
      </c>
      <c r="I191">
        <v>15000</v>
      </c>
      <c r="J191" t="str">
        <f>_xlfn.IFNA(IF(I191&lt;&gt;0,VLOOKUP(VLOOKUP(I191,Tbl_Equip[],2,FALSE),Tbl_Color[],IFERROR(MATCH(UI!$B$1,Tbl_Color[#Headers],0),2),FALSE),""),"Unset")</f>
        <v>藍</v>
      </c>
      <c r="K191" t="str">
        <f>_xlfn.IFNA(IF(I191&lt;&gt;0,VLOOKUP(I191,ItemText[],IFERROR(MATCH(UI!$B$1,ItemText[#Headers],0),2),FALSE),""),"Unset")</f>
        <v>斷裂編繩</v>
      </c>
      <c r="L191" t="str">
        <f t="shared" si="15"/>
        <v>7123100-出擊時，武器戰技改為「落雷」
※僅限能使用的武器類別</v>
      </c>
      <c r="M191">
        <v>7123100</v>
      </c>
      <c r="N191" t="str">
        <f>IF(VALUE(M191)=0,"",VLOOKUP(VLOOKUP(M191,Tbl_Effect[],3,FALSE),EffectName[],IFERROR(MATCH(UI!$B$1,EffectName[#Headers],0),2),FALSE))</f>
        <v>出擊時，武器戰技改為「落雷」
※僅限能使用的武器類別</v>
      </c>
      <c r="O191" t="str">
        <f t="shared" si="16"/>
        <v>7123400-出擊時，武器戰技改為「祈禱一擊」
※僅限能使用的武器類別</v>
      </c>
      <c r="P191">
        <v>7123400</v>
      </c>
      <c r="Q191" t="str">
        <f>IF(VALUE(P191)=0,"",VLOOKUP(VLOOKUP(P191,Tbl_Effect[],3,FALSE),EffectName[],IFERROR(MATCH(UI!$B$1,EffectName[#Headers],0),2),FALSE))</f>
        <v>出擊時，武器戰技改為「祈禱一擊」
※僅限能使用的武器類別</v>
      </c>
      <c r="R191" t="str">
        <f t="shared" si="17"/>
        <v>7123400-出擊時，武器戰技改為「祈禱一擊」
※僅限能使用的武器類別</v>
      </c>
      <c r="S191">
        <v>7123400</v>
      </c>
      <c r="T191" t="str">
        <f>IF(VALUE(S191)=0,"",VLOOKUP(VLOOKUP(S191,Tbl_Effect[],3,FALSE),EffectName[],IFERROR(MATCH(UI!$B$1,EffectName[#Headers],0),2),FALSE))</f>
        <v>出擊時，武器戰技改為「祈禱一擊」
※僅限能使用的武器類別</v>
      </c>
      <c r="U191" t="str">
        <f t="shared" si="18"/>
        <v/>
      </c>
      <c r="V191">
        <v>0</v>
      </c>
      <c r="W191" t="str">
        <f>IF(V191&lt;&gt;0,VLOOKUP(VLOOKUP(V191,Tbl_Effect[],3,FALSE),EffectName[],IFERROR(MATCH(UI!$B$1,EffectName[#Headers],0),2),FALSE),"")</f>
        <v/>
      </c>
      <c r="X191" t="str">
        <f t="shared" si="19"/>
        <v/>
      </c>
      <c r="Y191">
        <v>0</v>
      </c>
      <c r="Z191" t="str">
        <f>IF(Y191&lt;&gt;0,VLOOKUP(VLOOKUP(Y191,Tbl_Effect[],3,FALSE),EffectName[],IFERROR(MATCH(UI!$B$1,EffectName[#Headers],0),2),FALSE),"")</f>
        <v/>
      </c>
      <c r="AA191" t="str">
        <f t="shared" si="20"/>
        <v/>
      </c>
      <c r="AB191">
        <v>0</v>
      </c>
      <c r="AC191" t="str">
        <f>IF(AB191&lt;&gt;0,VLOOKUP(VLOOKUP(AB191,Tbl_Effect[],3,FALSE),EffectName[],IFERROR(MATCH(UI!$B$1,EffectName[#Headers],0),2),FALSE),"")</f>
        <v/>
      </c>
      <c r="AE191">
        <v>7123100</v>
      </c>
      <c r="AF191">
        <v>7123400</v>
      </c>
      <c r="AG191">
        <v>7123400</v>
      </c>
    </row>
    <row r="192" spans="8:33" x14ac:dyDescent="0.4">
      <c r="H192" t="str">
        <f t="shared" si="14"/>
        <v>15002-黑爪項鍊 (黃)</v>
      </c>
      <c r="I192">
        <v>15002</v>
      </c>
      <c r="J192" t="str">
        <f>_xlfn.IFNA(IF(I192&lt;&gt;0,VLOOKUP(VLOOKUP(I192,Tbl_Equip[],2,FALSE),Tbl_Color[],IFERROR(MATCH(UI!$B$1,Tbl_Color[#Headers],0),2),FALSE),""),"Unset")</f>
        <v>黃</v>
      </c>
      <c r="K192" t="str">
        <f>_xlfn.IFNA(IF(I192&lt;&gt;0,VLOOKUP(I192,ItemText[],IFERROR(MATCH(UI!$B$1,ItemText[#Headers],0),2),FALSE),""),"Unset")</f>
        <v>黑爪項鍊</v>
      </c>
      <c r="L192" t="str">
        <f t="shared" si="15"/>
        <v>7123200-出擊時，武器戰技改為「雷擊斬」
※僅限能使用的武器類別</v>
      </c>
      <c r="M192">
        <v>7123200</v>
      </c>
      <c r="N192" t="str">
        <f>IF(VALUE(M192)=0,"",VLOOKUP(VLOOKUP(M192,Tbl_Effect[],3,FALSE),EffectName[],IFERROR(MATCH(UI!$B$1,EffectName[#Headers],0),2),FALSE))</f>
        <v>出擊時，武器戰技改為「雷擊斬」
※僅限能使用的武器類別</v>
      </c>
      <c r="O192" t="str">
        <f t="shared" si="16"/>
        <v>7123500-出擊時，武器戰技改為「毒霧」
※僅限能使用的武器類別</v>
      </c>
      <c r="P192">
        <v>7123500</v>
      </c>
      <c r="Q192" t="str">
        <f>IF(VALUE(P192)=0,"",VLOOKUP(VLOOKUP(P192,Tbl_Effect[],3,FALSE),EffectName[],IFERROR(MATCH(UI!$B$1,EffectName[#Headers],0),2),FALSE))</f>
        <v>出擊時，武器戰技改為「毒霧」
※僅限能使用的武器類別</v>
      </c>
      <c r="R192" t="str">
        <f t="shared" si="17"/>
        <v>7123500-出擊時，武器戰技改為「毒霧」
※僅限能使用的武器類別</v>
      </c>
      <c r="S192">
        <v>7123500</v>
      </c>
      <c r="T192" t="str">
        <f>IF(VALUE(S192)=0,"",VLOOKUP(VLOOKUP(S192,Tbl_Effect[],3,FALSE),EffectName[],IFERROR(MATCH(UI!$B$1,EffectName[#Headers],0),2),FALSE))</f>
        <v>出擊時，武器戰技改為「毒霧」
※僅限能使用的武器類別</v>
      </c>
      <c r="U192" t="str">
        <f t="shared" si="18"/>
        <v/>
      </c>
      <c r="V192">
        <v>0</v>
      </c>
      <c r="W192" t="str">
        <f>IF(V192&lt;&gt;0,VLOOKUP(VLOOKUP(V192,Tbl_Effect[],3,FALSE),EffectName[],IFERROR(MATCH(UI!$B$1,EffectName[#Headers],0),2),FALSE),"")</f>
        <v/>
      </c>
      <c r="X192" t="str">
        <f t="shared" si="19"/>
        <v/>
      </c>
      <c r="Y192">
        <v>0</v>
      </c>
      <c r="Z192" t="str">
        <f>IF(Y192&lt;&gt;0,VLOOKUP(VLOOKUP(Y192,Tbl_Effect[],3,FALSE),EffectName[],IFERROR(MATCH(UI!$B$1,EffectName[#Headers],0),2),FALSE),"")</f>
        <v/>
      </c>
      <c r="AA192" t="str">
        <f t="shared" si="20"/>
        <v/>
      </c>
      <c r="AB192">
        <v>0</v>
      </c>
      <c r="AC192" t="str">
        <f>IF(AB192&lt;&gt;0,VLOOKUP(VLOOKUP(AB192,Tbl_Effect[],3,FALSE),EffectName[],IFERROR(MATCH(UI!$B$1,EffectName[#Headers],0),2),FALSE),"")</f>
        <v/>
      </c>
      <c r="AE192">
        <v>7123200</v>
      </c>
      <c r="AF192">
        <v>7123500</v>
      </c>
      <c r="AG192">
        <v>7123500</v>
      </c>
    </row>
    <row r="193" spans="8:33" x14ac:dyDescent="0.4">
      <c r="H193" t="str">
        <f t="shared" si="14"/>
        <v>16001-小型化妝工具 (藍)</v>
      </c>
      <c r="I193">
        <v>16001</v>
      </c>
      <c r="J193" t="str">
        <f>_xlfn.IFNA(IF(I193&lt;&gt;0,VLOOKUP(VLOOKUP(I193,Tbl_Equip[],2,FALSE),Tbl_Color[],IFERROR(MATCH(UI!$B$1,Tbl_Color[#Headers],0),2),FALSE),""),"Unset")</f>
        <v>藍</v>
      </c>
      <c r="K193" t="str">
        <f>_xlfn.IFNA(IF(I193&lt;&gt;0,VLOOKUP(I193,ItemText[],IFERROR(MATCH(UI!$B$1,ItemText[#Headers],0),2),FALSE),""),"Unset")</f>
        <v>小型化妝工具</v>
      </c>
      <c r="L193" t="str">
        <f t="shared" si="15"/>
        <v>7123300-出擊時，武器戰技改為「神聖刀刃」
※僅限能使用的武器類別</v>
      </c>
      <c r="M193">
        <v>7123300</v>
      </c>
      <c r="N193" t="str">
        <f>IF(VALUE(M193)=0,"",VLOOKUP(VLOOKUP(M193,Tbl_Effect[],3,FALSE),EffectName[],IFERROR(MATCH(UI!$B$1,EffectName[#Headers],0),2),FALSE))</f>
        <v>出擊時，武器戰技改為「神聖刀刃」
※僅限能使用的武器類別</v>
      </c>
      <c r="O193" t="str">
        <f t="shared" si="16"/>
        <v>7123600-出擊時，武器戰技改為「雙吻毒蛾」
※僅限能使用的武器類別</v>
      </c>
      <c r="P193">
        <v>7123600</v>
      </c>
      <c r="Q193" t="str">
        <f>IF(VALUE(P193)=0,"",VLOOKUP(VLOOKUP(P193,Tbl_Effect[],3,FALSE),EffectName[],IFERROR(MATCH(UI!$B$1,EffectName[#Headers],0),2),FALSE))</f>
        <v>出擊時，武器戰技改為「雙吻毒蛾」
※僅限能使用的武器類別</v>
      </c>
      <c r="R193" t="str">
        <f t="shared" si="17"/>
        <v>7123600-出擊時，武器戰技改為「雙吻毒蛾」
※僅限能使用的武器類別</v>
      </c>
      <c r="S193">
        <v>7123600</v>
      </c>
      <c r="T193" t="str">
        <f>IF(VALUE(S193)=0,"",VLOOKUP(VLOOKUP(S193,Tbl_Effect[],3,FALSE),EffectName[],IFERROR(MATCH(UI!$B$1,EffectName[#Headers],0),2),FALSE))</f>
        <v>出擊時，武器戰技改為「雙吻毒蛾」
※僅限能使用的武器類別</v>
      </c>
      <c r="U193" t="str">
        <f t="shared" si="18"/>
        <v/>
      </c>
      <c r="V193">
        <v>0</v>
      </c>
      <c r="W193" t="str">
        <f>IF(V193&lt;&gt;0,VLOOKUP(VLOOKUP(V193,Tbl_Effect[],3,FALSE),EffectName[],IFERROR(MATCH(UI!$B$1,EffectName[#Headers],0),2),FALSE),"")</f>
        <v/>
      </c>
      <c r="X193" t="str">
        <f t="shared" si="19"/>
        <v/>
      </c>
      <c r="Y193">
        <v>0</v>
      </c>
      <c r="Z193" t="str">
        <f>IF(Y193&lt;&gt;0,VLOOKUP(VLOOKUP(Y193,Tbl_Effect[],3,FALSE),EffectName[],IFERROR(MATCH(UI!$B$1,EffectName[#Headers],0),2),FALSE),"")</f>
        <v/>
      </c>
      <c r="AA193" t="str">
        <f t="shared" si="20"/>
        <v/>
      </c>
      <c r="AB193">
        <v>0</v>
      </c>
      <c r="AC193" t="str">
        <f>IF(AB193&lt;&gt;0,VLOOKUP(VLOOKUP(AB193,Tbl_Effect[],3,FALSE),EffectName[],IFERROR(MATCH(UI!$B$1,EffectName[#Headers],0),2),FALSE),"")</f>
        <v/>
      </c>
      <c r="AE193">
        <v>7123300</v>
      </c>
      <c r="AF193">
        <v>7123600</v>
      </c>
      <c r="AG193">
        <v>7123600</v>
      </c>
    </row>
    <row r="194" spans="8:33" x14ac:dyDescent="0.4">
      <c r="H194" t="str">
        <f t="shared" si="14"/>
        <v>16002-老舊袖珍畫 (藍)</v>
      </c>
      <c r="I194">
        <v>16002</v>
      </c>
      <c r="J194" t="str">
        <f>_xlfn.IFNA(IF(I194&lt;&gt;0,VLOOKUP(VLOOKUP(I194,Tbl_Equip[],2,FALSE),Tbl_Color[],IFERROR(MATCH(UI!$B$1,Tbl_Color[#Headers],0),2),FALSE),""),"Unset")</f>
        <v>藍</v>
      </c>
      <c r="K194" t="str">
        <f>_xlfn.IFNA(IF(I194&lt;&gt;0,VLOOKUP(I194,ItemText[],IFERROR(MATCH(UI!$B$1,ItemText[#Headers],0),2),FALSE),""),"Unset")</f>
        <v>老舊袖珍畫</v>
      </c>
      <c r="L194" t="str">
        <f t="shared" si="15"/>
        <v>7123400-出擊時，武器戰技改為「祈禱一擊」
※僅限能使用的武器類別</v>
      </c>
      <c r="M194">
        <v>7123400</v>
      </c>
      <c r="N194" t="str">
        <f>IF(VALUE(M194)=0,"",VLOOKUP(VLOOKUP(M194,Tbl_Effect[],3,FALSE),EffectName[],IFERROR(MATCH(UI!$B$1,EffectName[#Headers],0),2),FALSE))</f>
        <v>出擊時，武器戰技改為「祈禱一擊」
※僅限能使用的武器類別</v>
      </c>
      <c r="O194" t="str">
        <f t="shared" si="16"/>
        <v>7123700-出擊時，武器戰技改為「血刃」
※僅限能使用的武器類別</v>
      </c>
      <c r="P194">
        <v>7123700</v>
      </c>
      <c r="Q194" t="str">
        <f>IF(VALUE(P194)=0,"",VLOOKUP(VLOOKUP(P194,Tbl_Effect[],3,FALSE),EffectName[],IFERROR(MATCH(UI!$B$1,EffectName[#Headers],0),2),FALSE))</f>
        <v>出擊時，武器戰技改為「血刃」
※僅限能使用的武器類別</v>
      </c>
      <c r="R194" t="str">
        <f t="shared" si="17"/>
        <v>7123700-出擊時，武器戰技改為「血刃」
※僅限能使用的武器類別</v>
      </c>
      <c r="S194">
        <v>7123700</v>
      </c>
      <c r="T194" t="str">
        <f>IF(VALUE(S194)=0,"",VLOOKUP(VLOOKUP(S194,Tbl_Effect[],3,FALSE),EffectName[],IFERROR(MATCH(UI!$B$1,EffectName[#Headers],0),2),FALSE))</f>
        <v>出擊時，武器戰技改為「血刃」
※僅限能使用的武器類別</v>
      </c>
      <c r="U194" t="str">
        <f t="shared" si="18"/>
        <v/>
      </c>
      <c r="V194">
        <v>0</v>
      </c>
      <c r="W194" t="str">
        <f>IF(V194&lt;&gt;0,VLOOKUP(VLOOKUP(V194,Tbl_Effect[],3,FALSE),EffectName[],IFERROR(MATCH(UI!$B$1,EffectName[#Headers],0),2),FALSE),"")</f>
        <v/>
      </c>
      <c r="X194" t="str">
        <f t="shared" si="19"/>
        <v/>
      </c>
      <c r="Y194">
        <v>0</v>
      </c>
      <c r="Z194" t="str">
        <f>IF(Y194&lt;&gt;0,VLOOKUP(VLOOKUP(Y194,Tbl_Effect[],3,FALSE),EffectName[],IFERROR(MATCH(UI!$B$1,EffectName[#Headers],0),2),FALSE),"")</f>
        <v/>
      </c>
      <c r="AA194" t="str">
        <f t="shared" si="20"/>
        <v/>
      </c>
      <c r="AB194">
        <v>0</v>
      </c>
      <c r="AC194" t="str">
        <f>IF(AB194&lt;&gt;0,VLOOKUP(VLOOKUP(AB194,Tbl_Effect[],3,FALSE),EffectName[],IFERROR(MATCH(UI!$B$1,EffectName[#Headers],0),2),FALSE),"")</f>
        <v/>
      </c>
      <c r="AE194">
        <v>7123400</v>
      </c>
      <c r="AF194">
        <v>7123700</v>
      </c>
      <c r="AG194">
        <v>7123700</v>
      </c>
    </row>
    <row r="195" spans="8:33" x14ac:dyDescent="0.4">
      <c r="H195" t="str">
        <f t="shared" ref="H195:H258" si="21">IF(VALUE(I195)&lt;&gt;0,I195&amp;"-"&amp;K195&amp;" ("&amp;J195&amp;")","")</f>
        <v>17001-黑夜痕跡 (綠)</v>
      </c>
      <c r="I195">
        <v>17001</v>
      </c>
      <c r="J195" t="str">
        <f>_xlfn.IFNA(IF(I195&lt;&gt;0,VLOOKUP(VLOOKUP(I195,Tbl_Equip[],2,FALSE),Tbl_Color[],IFERROR(MATCH(UI!$B$1,Tbl_Color[#Headers],0),2),FALSE),""),"Unset")</f>
        <v>綠</v>
      </c>
      <c r="K195" t="str">
        <f>_xlfn.IFNA(IF(I195&lt;&gt;0,VLOOKUP(I195,ItemText[],IFERROR(MATCH(UI!$B$1,ItemText[#Headers],0),2),FALSE),""),"Unset")</f>
        <v>黑夜痕跡</v>
      </c>
      <c r="L195" t="str">
        <f t="shared" ref="L195:L258" si="22">IF(VALUE(M195)=0,"",M195&amp;"-"&amp;N195)</f>
        <v>7123500-出擊時，武器戰技改為「毒霧」
※僅限能使用的武器類別</v>
      </c>
      <c r="M195">
        <v>7123500</v>
      </c>
      <c r="N195" t="str">
        <f>IF(VALUE(M195)=0,"",VLOOKUP(VLOOKUP(M195,Tbl_Effect[],3,FALSE),EffectName[],IFERROR(MATCH(UI!$B$1,EffectName[#Headers],0),2),FALSE))</f>
        <v>出擊時，武器戰技改為「毒霧」
※僅限能使用的武器類別</v>
      </c>
      <c r="O195" t="str">
        <f t="shared" ref="O195:O258" si="23">IF(VALUE(P195)=0,"",P195&amp;"-"&amp;Q195)</f>
        <v>7123800-出擊時，武器戰技改為「切腹」
※僅限能使用的武器類別</v>
      </c>
      <c r="P195">
        <v>7123800</v>
      </c>
      <c r="Q195" t="str">
        <f>IF(VALUE(P195)=0,"",VLOOKUP(VLOOKUP(P195,Tbl_Effect[],3,FALSE),EffectName[],IFERROR(MATCH(UI!$B$1,EffectName[#Headers],0),2),FALSE))</f>
        <v>出擊時，武器戰技改為「切腹」
※僅限能使用的武器類別</v>
      </c>
      <c r="R195" t="str">
        <f t="shared" ref="R195:R258" si="24">IF(VALUE(S195)=0,"",S195&amp;"-"&amp;T195)</f>
        <v>7123800-出擊時，武器戰技改為「切腹」
※僅限能使用的武器類別</v>
      </c>
      <c r="S195">
        <v>7123800</v>
      </c>
      <c r="T195" t="str">
        <f>IF(VALUE(S195)=0,"",VLOOKUP(VLOOKUP(S195,Tbl_Effect[],3,FALSE),EffectName[],IFERROR(MATCH(UI!$B$1,EffectName[#Headers],0),2),FALSE))</f>
        <v>出擊時，武器戰技改為「切腹」
※僅限能使用的武器類別</v>
      </c>
      <c r="U195" t="str">
        <f t="shared" ref="U195:U258" si="25">IF(VALUE(V195)=0,"",V195&amp;"-"&amp;W195)</f>
        <v/>
      </c>
      <c r="V195">
        <v>0</v>
      </c>
      <c r="W195" t="str">
        <f>IF(V195&lt;&gt;0,VLOOKUP(VLOOKUP(V195,Tbl_Effect[],3,FALSE),EffectName[],IFERROR(MATCH(UI!$B$1,EffectName[#Headers],0),2),FALSE),"")</f>
        <v/>
      </c>
      <c r="X195" t="str">
        <f t="shared" ref="X195:X258" si="26">IF(VALUE(Y195)=0,"",Y195&amp;"-"&amp;Z195)</f>
        <v/>
      </c>
      <c r="Y195">
        <v>0</v>
      </c>
      <c r="Z195" t="str">
        <f>IF(Y195&lt;&gt;0,VLOOKUP(VLOOKUP(Y195,Tbl_Effect[],3,FALSE),EffectName[],IFERROR(MATCH(UI!$B$1,EffectName[#Headers],0),2),FALSE),"")</f>
        <v/>
      </c>
      <c r="AA195" t="str">
        <f t="shared" ref="AA195:AA258" si="27">IF(VALUE(AB195)=0,"",AB195&amp;"-"&amp;AC195)</f>
        <v/>
      </c>
      <c r="AB195">
        <v>0</v>
      </c>
      <c r="AC195" t="str">
        <f>IF(AB195&lt;&gt;0,VLOOKUP(VLOOKUP(AB195,Tbl_Effect[],3,FALSE),EffectName[],IFERROR(MATCH(UI!$B$1,EffectName[#Headers],0),2),FALSE),"")</f>
        <v/>
      </c>
      <c r="AE195">
        <v>7123500</v>
      </c>
      <c r="AF195">
        <v>7123800</v>
      </c>
      <c r="AG195">
        <v>7123800</v>
      </c>
    </row>
    <row r="196" spans="8:33" x14ac:dyDescent="0.4">
      <c r="H196" t="str">
        <f t="shared" si="21"/>
        <v>17002-似骨石 (綠)</v>
      </c>
      <c r="I196">
        <v>17002</v>
      </c>
      <c r="J196" t="str">
        <f>_xlfn.IFNA(IF(I196&lt;&gt;0,VLOOKUP(VLOOKUP(I196,Tbl_Equip[],2,FALSE),Tbl_Color[],IFERROR(MATCH(UI!$B$1,Tbl_Color[#Headers],0),2),FALSE),""),"Unset")</f>
        <v>綠</v>
      </c>
      <c r="K196" t="str">
        <f>_xlfn.IFNA(IF(I196&lt;&gt;0,VLOOKUP(I196,ItemText[],IFERROR(MATCH(UI!$B$1,ItemText[#Headers],0),2),FALSE),""),"Unset")</f>
        <v>似骨石</v>
      </c>
      <c r="L196" t="str">
        <f t="shared" si="22"/>
        <v>7123600-出擊時，武器戰技改為「雙吻毒蛾」
※僅限能使用的武器類別</v>
      </c>
      <c r="M196">
        <v>7123600</v>
      </c>
      <c r="N196" t="str">
        <f>IF(VALUE(M196)=0,"",VLOOKUP(VLOOKUP(M196,Tbl_Effect[],3,FALSE),EffectName[],IFERROR(MATCH(UI!$B$1,EffectName[#Headers],0),2),FALSE))</f>
        <v>出擊時，武器戰技改為「雙吻毒蛾」
※僅限能使用的武器類別</v>
      </c>
      <c r="O196" t="str">
        <f t="shared" si="23"/>
        <v>7123900-出擊時，武器戰技改為「寒氣凍霧」
※僅限能使用的武器類別</v>
      </c>
      <c r="P196">
        <v>7123900</v>
      </c>
      <c r="Q196" t="str">
        <f>IF(VALUE(P196)=0,"",VLOOKUP(VLOOKUP(P196,Tbl_Effect[],3,FALSE),EffectName[],IFERROR(MATCH(UI!$B$1,EffectName[#Headers],0),2),FALSE))</f>
        <v>出擊時，武器戰技改為「寒氣凍霧」
※僅限能使用的武器類別</v>
      </c>
      <c r="R196" t="str">
        <f t="shared" si="24"/>
        <v>7123900-出擊時，武器戰技改為「寒氣凍霧」
※僅限能使用的武器類別</v>
      </c>
      <c r="S196">
        <v>7123900</v>
      </c>
      <c r="T196" t="str">
        <f>IF(VALUE(S196)=0,"",VLOOKUP(VLOOKUP(S196,Tbl_Effect[],3,FALSE),EffectName[],IFERROR(MATCH(UI!$B$1,EffectName[#Headers],0),2),FALSE))</f>
        <v>出擊時，武器戰技改為「寒氣凍霧」
※僅限能使用的武器類別</v>
      </c>
      <c r="U196" t="str">
        <f t="shared" si="25"/>
        <v/>
      </c>
      <c r="V196">
        <v>0</v>
      </c>
      <c r="W196" t="str">
        <f>IF(V196&lt;&gt;0,VLOOKUP(VLOOKUP(V196,Tbl_Effect[],3,FALSE),EffectName[],IFERROR(MATCH(UI!$B$1,EffectName[#Headers],0),2),FALSE),"")</f>
        <v/>
      </c>
      <c r="X196" t="str">
        <f t="shared" si="26"/>
        <v/>
      </c>
      <c r="Y196">
        <v>0</v>
      </c>
      <c r="Z196" t="str">
        <f>IF(Y196&lt;&gt;0,VLOOKUP(VLOOKUP(Y196,Tbl_Effect[],3,FALSE),EffectName[],IFERROR(MATCH(UI!$B$1,EffectName[#Headers],0),2),FALSE),"")</f>
        <v/>
      </c>
      <c r="AA196" t="str">
        <f t="shared" si="27"/>
        <v/>
      </c>
      <c r="AB196">
        <v>0</v>
      </c>
      <c r="AC196" t="str">
        <f>IF(AB196&lt;&gt;0,VLOOKUP(VLOOKUP(AB196,Tbl_Effect[],3,FALSE),EffectName[],IFERROR(MATCH(UI!$B$1,EffectName[#Headers],0),2),FALSE),"")</f>
        <v/>
      </c>
      <c r="AE196">
        <v>7123600</v>
      </c>
      <c r="AF196">
        <v>7123900</v>
      </c>
      <c r="AG196">
        <v>7123900</v>
      </c>
    </row>
    <row r="197" spans="8:33" x14ac:dyDescent="0.4">
      <c r="H197" t="str">
        <f t="shared" si="21"/>
        <v>18000-受賜福的花 (綠)</v>
      </c>
      <c r="I197">
        <v>18000</v>
      </c>
      <c r="J197" t="str">
        <f>_xlfn.IFNA(IF(I197&lt;&gt;0,VLOOKUP(VLOOKUP(I197,Tbl_Equip[],2,FALSE),Tbl_Color[],IFERROR(MATCH(UI!$B$1,Tbl_Color[#Headers],0),2),FALSE),""),"Unset")</f>
        <v>綠</v>
      </c>
      <c r="K197" t="str">
        <f>_xlfn.IFNA(IF(I197&lt;&gt;0,VLOOKUP(I197,ItemText[],IFERROR(MATCH(UI!$B$1,ItemText[#Headers],0),2),FALSE),""),"Unset")</f>
        <v>受賜福的花</v>
      </c>
      <c r="L197" t="str">
        <f t="shared" si="22"/>
        <v>7123700-出擊時，武器戰技改為「血刃」
※僅限能使用的武器類別</v>
      </c>
      <c r="M197">
        <v>7123700</v>
      </c>
      <c r="N197" t="str">
        <f>IF(VALUE(M197)=0,"",VLOOKUP(VLOOKUP(M197,Tbl_Effect[],3,FALSE),EffectName[],IFERROR(MATCH(UI!$B$1,EffectName[#Headers],0),2),FALSE))</f>
        <v>出擊時，武器戰技改為「血刃」
※僅限能使用的武器類別</v>
      </c>
      <c r="O197" t="str">
        <f t="shared" si="23"/>
        <v>7124000-出擊時，武器戰技改為「凍霜踏地」
※僅限能使用的武器類別</v>
      </c>
      <c r="P197">
        <v>7124000</v>
      </c>
      <c r="Q197" t="str">
        <f>IF(VALUE(P197)=0,"",VLOOKUP(VLOOKUP(P197,Tbl_Effect[],3,FALSE),EffectName[],IFERROR(MATCH(UI!$B$1,EffectName[#Headers],0),2),FALSE))</f>
        <v>出擊時，武器戰技改為「凍霜踏地」
※僅限能使用的武器類別</v>
      </c>
      <c r="R197" t="str">
        <f t="shared" si="24"/>
        <v>7124000-出擊時，武器戰技改為「凍霜踏地」
※僅限能使用的武器類別</v>
      </c>
      <c r="S197">
        <v>7124000</v>
      </c>
      <c r="T197" t="str">
        <f>IF(VALUE(S197)=0,"",VLOOKUP(VLOOKUP(S197,Tbl_Effect[],3,FALSE),EffectName[],IFERROR(MATCH(UI!$B$1,EffectName[#Headers],0),2),FALSE))</f>
        <v>出擊時，武器戰技改為「凍霜踏地」
※僅限能使用的武器類別</v>
      </c>
      <c r="U197" t="str">
        <f t="shared" si="25"/>
        <v/>
      </c>
      <c r="V197">
        <v>0</v>
      </c>
      <c r="W197" t="str">
        <f>IF(V197&lt;&gt;0,VLOOKUP(VLOOKUP(V197,Tbl_Effect[],3,FALSE),EffectName[],IFERROR(MATCH(UI!$B$1,EffectName[#Headers],0),2),FALSE),"")</f>
        <v/>
      </c>
      <c r="X197" t="str">
        <f t="shared" si="26"/>
        <v/>
      </c>
      <c r="Y197">
        <v>0</v>
      </c>
      <c r="Z197" t="str">
        <f>IF(Y197&lt;&gt;0,VLOOKUP(VLOOKUP(Y197,Tbl_Effect[],3,FALSE),EffectName[],IFERROR(MATCH(UI!$B$1,EffectName[#Headers],0),2),FALSE),"")</f>
        <v/>
      </c>
      <c r="AA197" t="str">
        <f t="shared" si="27"/>
        <v/>
      </c>
      <c r="AB197">
        <v>0</v>
      </c>
      <c r="AC197" t="str">
        <f>IF(AB197&lt;&gt;0,VLOOKUP(VLOOKUP(AB197,Tbl_Effect[],3,FALSE),EffectName[],IFERROR(MATCH(UI!$B$1,EffectName[#Headers],0),2),FALSE),"")</f>
        <v/>
      </c>
      <c r="AE197">
        <v>7123700</v>
      </c>
      <c r="AF197">
        <v>7124000</v>
      </c>
      <c r="AG197">
        <v>7124000</v>
      </c>
    </row>
    <row r="198" spans="8:33" x14ac:dyDescent="0.4">
      <c r="H198" t="str">
        <f t="shared" si="21"/>
        <v>18002-黃金嫩芽 (紅)</v>
      </c>
      <c r="I198">
        <v>18002</v>
      </c>
      <c r="J198" t="str">
        <f>_xlfn.IFNA(IF(I198&lt;&gt;0,VLOOKUP(VLOOKUP(I198,Tbl_Equip[],2,FALSE),Tbl_Color[],IFERROR(MATCH(UI!$B$1,Tbl_Color[#Headers],0),2),FALSE),""),"Unset")</f>
        <v>紅</v>
      </c>
      <c r="K198" t="str">
        <f>_xlfn.IFNA(IF(I198&lt;&gt;0,VLOOKUP(I198,ItemText[],IFERROR(MATCH(UI!$B$1,ItemText[#Headers],0),2),FALSE),""),"Unset")</f>
        <v>黃金嫩芽</v>
      </c>
      <c r="L198" t="str">
        <f t="shared" si="22"/>
        <v>7123800-出擊時，武器戰技改為「切腹」
※僅限能使用的武器類別</v>
      </c>
      <c r="M198">
        <v>7123800</v>
      </c>
      <c r="N198" t="str">
        <f>IF(VALUE(M198)=0,"",VLOOKUP(VLOOKUP(M198,Tbl_Effect[],3,FALSE),EffectName[],IFERROR(MATCH(UI!$B$1,EffectName[#Headers],0),2),FALSE))</f>
        <v>出擊時，武器戰技改為「切腹」
※僅限能使用的武器類別</v>
      </c>
      <c r="O198" t="str">
        <f t="shared" si="23"/>
        <v>7124100-出擊時，武器戰技改為「白影誘惑」
※僅限能使用的武器類別</v>
      </c>
      <c r="P198">
        <v>7124100</v>
      </c>
      <c r="Q198" t="str">
        <f>IF(VALUE(P198)=0,"",VLOOKUP(VLOOKUP(P198,Tbl_Effect[],3,FALSE),EffectName[],IFERROR(MATCH(UI!$B$1,EffectName[#Headers],0),2),FALSE))</f>
        <v>出擊時，武器戰技改為「白影誘惑」
※僅限能使用的武器類別</v>
      </c>
      <c r="R198" t="str">
        <f t="shared" si="24"/>
        <v>7124100-出擊時，武器戰技改為「白影誘惑」
※僅限能使用的武器類別</v>
      </c>
      <c r="S198">
        <v>7124100</v>
      </c>
      <c r="T198" t="str">
        <f>IF(VALUE(S198)=0,"",VLOOKUP(VLOOKUP(S198,Tbl_Effect[],3,FALSE),EffectName[],IFERROR(MATCH(UI!$B$1,EffectName[#Headers],0),2),FALSE))</f>
        <v>出擊時，武器戰技改為「白影誘惑」
※僅限能使用的武器類別</v>
      </c>
      <c r="U198" t="str">
        <f t="shared" si="25"/>
        <v/>
      </c>
      <c r="V198">
        <v>0</v>
      </c>
      <c r="W198" t="str">
        <f>IF(V198&lt;&gt;0,VLOOKUP(VLOOKUP(V198,Tbl_Effect[],3,FALSE),EffectName[],IFERROR(MATCH(UI!$B$1,EffectName[#Headers],0),2),FALSE),"")</f>
        <v/>
      </c>
      <c r="X198" t="str">
        <f t="shared" si="26"/>
        <v/>
      </c>
      <c r="Y198">
        <v>0</v>
      </c>
      <c r="Z198" t="str">
        <f>IF(Y198&lt;&gt;0,VLOOKUP(VLOOKUP(Y198,Tbl_Effect[],3,FALSE),EffectName[],IFERROR(MATCH(UI!$B$1,EffectName[#Headers],0),2),FALSE),"")</f>
        <v/>
      </c>
      <c r="AA198" t="str">
        <f t="shared" si="27"/>
        <v/>
      </c>
      <c r="AB198">
        <v>0</v>
      </c>
      <c r="AC198" t="str">
        <f>IF(AB198&lt;&gt;0,VLOOKUP(VLOOKUP(AB198,Tbl_Effect[],3,FALSE),EffectName[],IFERROR(MATCH(UI!$B$1,EffectName[#Headers],0),2),FALSE),"")</f>
        <v/>
      </c>
      <c r="AE198">
        <v>7123800</v>
      </c>
      <c r="AF198">
        <v>7124100</v>
      </c>
      <c r="AG198">
        <v>7124100</v>
      </c>
    </row>
    <row r="199" spans="8:33" x14ac:dyDescent="0.4">
      <c r="H199" t="str">
        <f t="shared" si="21"/>
        <v>19000-清淨淚滴 (紅)</v>
      </c>
      <c r="I199">
        <v>19000</v>
      </c>
      <c r="J199" t="str">
        <f>_xlfn.IFNA(IF(I199&lt;&gt;0,VLOOKUP(VLOOKUP(I199,Tbl_Equip[],2,FALSE),Tbl_Color[],IFERROR(MATCH(UI!$B$1,Tbl_Color[#Headers],0),2),FALSE),""),"Unset")</f>
        <v>紅</v>
      </c>
      <c r="K199" t="str">
        <f>_xlfn.IFNA(IF(I199&lt;&gt;0,VLOOKUP(I199,ItemText[],IFERROR(MATCH(UI!$B$1,ItemText[#Headers],0),2),FALSE),""),"Unset")</f>
        <v>清淨淚滴</v>
      </c>
      <c r="L199" t="str">
        <f t="shared" si="22"/>
        <v>7123900-出擊時，武器戰技改為「寒氣凍霧」
※僅限能使用的武器類別</v>
      </c>
      <c r="M199">
        <v>7123900</v>
      </c>
      <c r="N199" t="str">
        <f>IF(VALUE(M199)=0,"",VLOOKUP(VLOOKUP(M199,Tbl_Effect[],3,FALSE),EffectName[],IFERROR(MATCH(UI!$B$1,EffectName[#Headers],0),2),FALSE))</f>
        <v>出擊時，武器戰技改為「寒氣凍霧」
※僅限能使用的武器類別</v>
      </c>
      <c r="O199" t="str">
        <f t="shared" si="23"/>
        <v>7124300-出擊時，武器戰技改為「忍耐」
※僅限能使用的武器類別</v>
      </c>
      <c r="P199">
        <v>7124300</v>
      </c>
      <c r="Q199" t="str">
        <f>IF(VALUE(P199)=0,"",VLOOKUP(VLOOKUP(P199,Tbl_Effect[],3,FALSE),EffectName[],IFERROR(MATCH(UI!$B$1,EffectName[#Headers],0),2),FALSE))</f>
        <v>出擊時，武器戰技改為「忍耐」
※僅限能使用的武器類別</v>
      </c>
      <c r="R199" t="str">
        <f t="shared" si="24"/>
        <v>7124300-出擊時，武器戰技改為「忍耐」
※僅限能使用的武器類別</v>
      </c>
      <c r="S199">
        <v>7124300</v>
      </c>
      <c r="T199" t="str">
        <f>IF(VALUE(S199)=0,"",VLOOKUP(VLOOKUP(S199,Tbl_Effect[],3,FALSE),EffectName[],IFERROR(MATCH(UI!$B$1,EffectName[#Headers],0),2),FALSE))</f>
        <v>出擊時，武器戰技改為「忍耐」
※僅限能使用的武器類別</v>
      </c>
      <c r="U199" t="str">
        <f t="shared" si="25"/>
        <v/>
      </c>
      <c r="V199">
        <v>0</v>
      </c>
      <c r="W199" t="str">
        <f>IF(V199&lt;&gt;0,VLOOKUP(VLOOKUP(V199,Tbl_Effect[],3,FALSE),EffectName[],IFERROR(MATCH(UI!$B$1,EffectName[#Headers],0),2),FALSE),"")</f>
        <v/>
      </c>
      <c r="X199" t="str">
        <f t="shared" si="26"/>
        <v/>
      </c>
      <c r="Y199">
        <v>0</v>
      </c>
      <c r="Z199" t="str">
        <f>IF(Y199&lt;&gt;0,VLOOKUP(VLOOKUP(Y199,Tbl_Effect[],3,FALSE),EffectName[],IFERROR(MATCH(UI!$B$1,EffectName[#Headers],0),2),FALSE),"")</f>
        <v/>
      </c>
      <c r="AA199" t="str">
        <f t="shared" si="27"/>
        <v/>
      </c>
      <c r="AB199">
        <v>0</v>
      </c>
      <c r="AC199" t="str">
        <f>IF(AB199&lt;&gt;0,VLOOKUP(VLOOKUP(AB199,Tbl_Effect[],3,FALSE),EffectName[],IFERROR(MATCH(UI!$B$1,EffectName[#Headers],0),2),FALSE),"")</f>
        <v/>
      </c>
      <c r="AE199">
        <v>7123900</v>
      </c>
      <c r="AF199">
        <v>7124300</v>
      </c>
      <c r="AG199">
        <v>7124300</v>
      </c>
    </row>
    <row r="200" spans="8:33" x14ac:dyDescent="0.4">
      <c r="H200" t="str">
        <f t="shared" si="21"/>
        <v>19001-記錄「致繼承人」 (黃)</v>
      </c>
      <c r="I200">
        <v>19001</v>
      </c>
      <c r="J200" t="str">
        <f>_xlfn.IFNA(IF(I200&lt;&gt;0,VLOOKUP(VLOOKUP(I200,Tbl_Equip[],2,FALSE),Tbl_Color[],IFERROR(MATCH(UI!$B$1,Tbl_Color[#Headers],0),2),FALSE),""),"Unset")</f>
        <v>黃</v>
      </c>
      <c r="K200" t="str">
        <f>_xlfn.IFNA(IF(I200&lt;&gt;0,VLOOKUP(I200,ItemText[],IFERROR(MATCH(UI!$B$1,ItemText[#Headers],0),2),FALSE),""),"Unset")</f>
        <v>記錄「致繼承人」</v>
      </c>
      <c r="L200" t="str">
        <f t="shared" si="22"/>
        <v>7124000-出擊時，武器戰技改為「凍霜踏地」
※僅限能使用的武器類別</v>
      </c>
      <c r="M200">
        <v>7124000</v>
      </c>
      <c r="N200" t="str">
        <f>IF(VALUE(M200)=0,"",VLOOKUP(VLOOKUP(M200,Tbl_Effect[],3,FALSE),EffectName[],IFERROR(MATCH(UI!$B$1,EffectName[#Headers],0),2),FALSE))</f>
        <v>出擊時，武器戰技改為「凍霜踏地」
※僅限能使用的武器類別</v>
      </c>
      <c r="O200" t="str">
        <f t="shared" si="23"/>
        <v>7124400-出擊時，武器戰技改為「碎步」
※僅限能使用的武器類別</v>
      </c>
      <c r="P200">
        <v>7124400</v>
      </c>
      <c r="Q200" t="str">
        <f>IF(VALUE(P200)=0,"",VLOOKUP(VLOOKUP(P200,Tbl_Effect[],3,FALSE),EffectName[],IFERROR(MATCH(UI!$B$1,EffectName[#Headers],0),2),FALSE))</f>
        <v>出擊時，武器戰技改為「碎步」
※僅限能使用的武器類別</v>
      </c>
      <c r="R200" t="str">
        <f t="shared" si="24"/>
        <v>7124400-出擊時，武器戰技改為「碎步」
※僅限能使用的武器類別</v>
      </c>
      <c r="S200">
        <v>7124400</v>
      </c>
      <c r="T200" t="str">
        <f>IF(VALUE(S200)=0,"",VLOOKUP(VLOOKUP(S200,Tbl_Effect[],3,FALSE),EffectName[],IFERROR(MATCH(UI!$B$1,EffectName[#Headers],0),2),FALSE))</f>
        <v>出擊時，武器戰技改為「碎步」
※僅限能使用的武器類別</v>
      </c>
      <c r="U200" t="str">
        <f t="shared" si="25"/>
        <v/>
      </c>
      <c r="V200">
        <v>0</v>
      </c>
      <c r="W200" t="str">
        <f>IF(V200&lt;&gt;0,VLOOKUP(VLOOKUP(V200,Tbl_Effect[],3,FALSE),EffectName[],IFERROR(MATCH(UI!$B$1,EffectName[#Headers],0),2),FALSE),"")</f>
        <v/>
      </c>
      <c r="X200" t="str">
        <f t="shared" si="26"/>
        <v/>
      </c>
      <c r="Y200">
        <v>0</v>
      </c>
      <c r="Z200" t="str">
        <f>IF(Y200&lt;&gt;0,VLOOKUP(VLOOKUP(Y200,Tbl_Effect[],3,FALSE),EffectName[],IFERROR(MATCH(UI!$B$1,EffectName[#Headers],0),2),FALSE),"")</f>
        <v/>
      </c>
      <c r="AA200" t="str">
        <f t="shared" si="27"/>
        <v/>
      </c>
      <c r="AB200">
        <v>0</v>
      </c>
      <c r="AC200" t="str">
        <f>IF(AB200&lt;&gt;0,VLOOKUP(VLOOKUP(AB200,Tbl_Effect[],3,FALSE),EffectName[],IFERROR(MATCH(UI!$B$1,EffectName[#Headers],0),2),FALSE),"")</f>
        <v/>
      </c>
      <c r="AE200">
        <v>7124000</v>
      </c>
      <c r="AF200">
        <v>7124400</v>
      </c>
      <c r="AG200">
        <v>7124400</v>
      </c>
    </row>
    <row r="201" spans="8:33" x14ac:dyDescent="0.4">
      <c r="H201" t="str">
        <f t="shared" si="21"/>
        <v>19050-單眼鏡的皮革袋 (藍)</v>
      </c>
      <c r="I201">
        <v>19050</v>
      </c>
      <c r="J201" t="str">
        <f>_xlfn.IFNA(IF(I201&lt;&gt;0,VLOOKUP(VLOOKUP(I201,Tbl_Equip[],2,FALSE),Tbl_Color[],IFERROR(MATCH(UI!$B$1,Tbl_Color[#Headers],0),2),FALSE),""),"Unset")</f>
        <v>藍</v>
      </c>
      <c r="K201" t="str">
        <f>_xlfn.IFNA(IF(I201&lt;&gt;0,VLOOKUP(I201,ItemText[],IFERROR(MATCH(UI!$B$1,ItemText[#Headers],0),2),FALSE),""),"Unset")</f>
        <v>單眼鏡的皮革袋</v>
      </c>
      <c r="L201" t="str">
        <f t="shared" si="22"/>
        <v>7124100-出擊時，武器戰技改為「白影誘惑」
※僅限能使用的武器類別</v>
      </c>
      <c r="M201">
        <v>7124100</v>
      </c>
      <c r="N201" t="str">
        <f>IF(VALUE(M201)=0,"",VLOOKUP(VLOOKUP(M201,Tbl_Effect[],3,FALSE),EffectName[],IFERROR(MATCH(UI!$B$1,EffectName[#Headers],0),2),FALSE))</f>
        <v>出擊時，武器戰技改為「白影誘惑」
※僅限能使用的武器類別</v>
      </c>
      <c r="O201" t="str">
        <f t="shared" si="23"/>
        <v>7124500-出擊時，武器戰技改為「風暴足」
※僅限能使用的武器類別</v>
      </c>
      <c r="P201">
        <v>7124500</v>
      </c>
      <c r="Q201" t="str">
        <f>IF(VALUE(P201)=0,"",VLOOKUP(VLOOKUP(P201,Tbl_Effect[],3,FALSE),EffectName[],IFERROR(MATCH(UI!$B$1,EffectName[#Headers],0),2),FALSE))</f>
        <v>出擊時，武器戰技改為「風暴足」
※僅限能使用的武器類別</v>
      </c>
      <c r="R201" t="str">
        <f t="shared" si="24"/>
        <v>7124500-出擊時，武器戰技改為「風暴足」
※僅限能使用的武器類別</v>
      </c>
      <c r="S201">
        <v>7124500</v>
      </c>
      <c r="T201" t="str">
        <f>IF(VALUE(S201)=0,"",VLOOKUP(VLOOKUP(S201,Tbl_Effect[],3,FALSE),EffectName[],IFERROR(MATCH(UI!$B$1,EffectName[#Headers],0),2),FALSE))</f>
        <v>出擊時，武器戰技改為「風暴足」
※僅限能使用的武器類別</v>
      </c>
      <c r="U201" t="str">
        <f t="shared" si="25"/>
        <v/>
      </c>
      <c r="V201">
        <v>0</v>
      </c>
      <c r="W201" t="str">
        <f>IF(V201&lt;&gt;0,VLOOKUP(VLOOKUP(V201,Tbl_Effect[],3,FALSE),EffectName[],IFERROR(MATCH(UI!$B$1,EffectName[#Headers],0),2),FALSE),"")</f>
        <v/>
      </c>
      <c r="X201" t="str">
        <f t="shared" si="26"/>
        <v/>
      </c>
      <c r="Y201">
        <v>0</v>
      </c>
      <c r="Z201" t="str">
        <f>IF(Y201&lt;&gt;0,VLOOKUP(VLOOKUP(Y201,Tbl_Effect[],3,FALSE),EffectName[],IFERROR(MATCH(UI!$B$1,EffectName[#Headers],0),2),FALSE),"")</f>
        <v/>
      </c>
      <c r="AA201" t="str">
        <f t="shared" si="27"/>
        <v/>
      </c>
      <c r="AB201">
        <v>0</v>
      </c>
      <c r="AC201" t="str">
        <f>IF(AB201&lt;&gt;0,VLOOKUP(VLOOKUP(AB201,Tbl_Effect[],3,FALSE),EffectName[],IFERROR(MATCH(UI!$B$1,EffectName[#Headers],0),2),FALSE),"")</f>
        <v/>
      </c>
      <c r="AE201">
        <v>7124100</v>
      </c>
      <c r="AF201">
        <v>7124500</v>
      </c>
      <c r="AG201">
        <v>7124500</v>
      </c>
    </row>
    <row r="202" spans="8:33" x14ac:dyDescent="0.4">
      <c r="H202" t="str">
        <f t="shared" si="21"/>
        <v>19051-玻璃項鍊 (綠)</v>
      </c>
      <c r="I202">
        <v>19051</v>
      </c>
      <c r="J202" t="str">
        <f>_xlfn.IFNA(IF(I202&lt;&gt;0,VLOOKUP(VLOOKUP(I202,Tbl_Equip[],2,FALSE),Tbl_Color[],IFERROR(MATCH(UI!$B$1,Tbl_Color[#Headers],0),2),FALSE),""),"Unset")</f>
        <v>綠</v>
      </c>
      <c r="K202" t="str">
        <f>_xlfn.IFNA(IF(I202&lt;&gt;0,VLOOKUP(I202,ItemText[],IFERROR(MATCH(UI!$B$1,ItemText[#Headers],0),2),FALSE),""),"Unset")</f>
        <v>玻璃項鍊</v>
      </c>
      <c r="L202" t="str">
        <f t="shared" si="22"/>
        <v>7124300-出擊時，武器戰技改為「忍耐」
※僅限能使用的武器類別</v>
      </c>
      <c r="M202">
        <v>7124300</v>
      </c>
      <c r="N202" t="str">
        <f>IF(VALUE(M202)=0,"",VLOOKUP(VLOOKUP(M202,Tbl_Effect[],3,FALSE),EffectName[],IFERROR(MATCH(UI!$B$1,EffectName[#Headers],0),2),FALSE))</f>
        <v>出擊時，武器戰技改為「忍耐」
※僅限能使用的武器類別</v>
      </c>
      <c r="O202" t="str">
        <f t="shared" si="23"/>
        <v>7124600-出擊時，武器戰技改為「決心」
※僅限能使用的武器類別</v>
      </c>
      <c r="P202">
        <v>7124600</v>
      </c>
      <c r="Q202" t="str">
        <f>IF(VALUE(P202)=0,"",VLOOKUP(VLOOKUP(P202,Tbl_Effect[],3,FALSE),EffectName[],IFERROR(MATCH(UI!$B$1,EffectName[#Headers],0),2),FALSE))</f>
        <v>出擊時，武器戰技改為「決心」
※僅限能使用的武器類別</v>
      </c>
      <c r="R202" t="str">
        <f t="shared" si="24"/>
        <v>7124600-出擊時，武器戰技改為「決心」
※僅限能使用的武器類別</v>
      </c>
      <c r="S202">
        <v>7124600</v>
      </c>
      <c r="T202" t="str">
        <f>IF(VALUE(S202)=0,"",VLOOKUP(VLOOKUP(S202,Tbl_Effect[],3,FALSE),EffectName[],IFERROR(MATCH(UI!$B$1,EffectName[#Headers],0),2),FALSE))</f>
        <v>出擊時，武器戰技改為「決心」
※僅限能使用的武器類別</v>
      </c>
      <c r="U202" t="str">
        <f t="shared" si="25"/>
        <v/>
      </c>
      <c r="V202">
        <v>0</v>
      </c>
      <c r="W202" t="str">
        <f>IF(V202&lt;&gt;0,VLOOKUP(VLOOKUP(V202,Tbl_Effect[],3,FALSE),EffectName[],IFERROR(MATCH(UI!$B$1,EffectName[#Headers],0),2),FALSE),"")</f>
        <v/>
      </c>
      <c r="X202" t="str">
        <f t="shared" si="26"/>
        <v/>
      </c>
      <c r="Y202">
        <v>0</v>
      </c>
      <c r="Z202" t="str">
        <f>IF(Y202&lt;&gt;0,VLOOKUP(VLOOKUP(Y202,Tbl_Effect[],3,FALSE),EffectName[],IFERROR(MATCH(UI!$B$1,EffectName[#Headers],0),2),FALSE),"")</f>
        <v/>
      </c>
      <c r="AA202" t="str">
        <f t="shared" si="27"/>
        <v/>
      </c>
      <c r="AB202">
        <v>0</v>
      </c>
      <c r="AC202" t="str">
        <f>IF(AB202&lt;&gt;0,VLOOKUP(VLOOKUP(AB202,Tbl_Effect[],3,FALSE),EffectName[],IFERROR(MATCH(UI!$B$1,EffectName[#Headers],0),2),FALSE),"")</f>
        <v/>
      </c>
      <c r="AE202">
        <v>7124300</v>
      </c>
      <c r="AF202">
        <v>7124600</v>
      </c>
      <c r="AG202">
        <v>7124600</v>
      </c>
    </row>
    <row r="203" spans="8:33" x14ac:dyDescent="0.4">
      <c r="H203" t="str">
        <f t="shared" si="21"/>
        <v>20000-細膩的火燃情景 (紅)</v>
      </c>
      <c r="I203">
        <v>20000</v>
      </c>
      <c r="J203" t="str">
        <f>_xlfn.IFNA(IF(I203&lt;&gt;0,VLOOKUP(VLOOKUP(I203,Tbl_Equip[],2,FALSE),Tbl_Color[],IFERROR(MATCH(UI!$B$1,Tbl_Color[#Headers],0),2),FALSE),""),"Unset")</f>
        <v>紅</v>
      </c>
      <c r="K203" t="str">
        <f>_xlfn.IFNA(IF(I203&lt;&gt;0,VLOOKUP(I203,ItemText[],IFERROR(MATCH(UI!$B$1,ItemText[#Headers],0),2),FALSE),""),"Unset")</f>
        <v>細膩的火燃情景</v>
      </c>
      <c r="L203" t="str">
        <f t="shared" si="22"/>
        <v>7124400-出擊時，武器戰技改為「碎步」
※僅限能使用的武器類別</v>
      </c>
      <c r="M203">
        <v>7124400</v>
      </c>
      <c r="N203" t="str">
        <f>IF(VALUE(M203)=0,"",VLOOKUP(VLOOKUP(M203,Tbl_Effect[],3,FALSE),EffectName[],IFERROR(MATCH(UI!$B$1,EffectName[#Headers],0),2),FALSE))</f>
        <v>出擊時，武器戰技改為「碎步」
※僅限能使用的武器類別</v>
      </c>
      <c r="O203" t="str">
        <f t="shared" si="23"/>
        <v>7124700-出擊時，武器戰技改為「箭雨」
※僅限能使用的武器類別</v>
      </c>
      <c r="P203">
        <v>7124700</v>
      </c>
      <c r="Q203" t="str">
        <f>IF(VALUE(P203)=0,"",VLOOKUP(VLOOKUP(P203,Tbl_Effect[],3,FALSE),EffectName[],IFERROR(MATCH(UI!$B$1,EffectName[#Headers],0),2),FALSE))</f>
        <v>出擊時，武器戰技改為「箭雨」
※僅限能使用的武器類別</v>
      </c>
      <c r="R203" t="str">
        <f t="shared" si="24"/>
        <v>7124700-出擊時，武器戰技改為「箭雨」
※僅限能使用的武器類別</v>
      </c>
      <c r="S203">
        <v>7124700</v>
      </c>
      <c r="T203" t="str">
        <f>IF(VALUE(S203)=0,"",VLOOKUP(VLOOKUP(S203,Tbl_Effect[],3,FALSE),EffectName[],IFERROR(MATCH(UI!$B$1,EffectName[#Headers],0),2),FALSE))</f>
        <v>出擊時，武器戰技改為「箭雨」
※僅限能使用的武器類別</v>
      </c>
      <c r="U203" t="str">
        <f t="shared" si="25"/>
        <v/>
      </c>
      <c r="V203">
        <v>0</v>
      </c>
      <c r="W203" t="str">
        <f>IF(V203&lt;&gt;0,VLOOKUP(VLOOKUP(V203,Tbl_Effect[],3,FALSE),EffectName[],IFERROR(MATCH(UI!$B$1,EffectName[#Headers],0),2),FALSE),"")</f>
        <v/>
      </c>
      <c r="X203" t="str">
        <f t="shared" si="26"/>
        <v/>
      </c>
      <c r="Y203">
        <v>0</v>
      </c>
      <c r="Z203" t="str">
        <f>IF(Y203&lt;&gt;0,VLOOKUP(VLOOKUP(Y203,Tbl_Effect[],3,FALSE),EffectName[],IFERROR(MATCH(UI!$B$1,EffectName[#Headers],0),2),FALSE),"")</f>
        <v/>
      </c>
      <c r="AA203" t="str">
        <f t="shared" si="27"/>
        <v/>
      </c>
      <c r="AB203">
        <v>0</v>
      </c>
      <c r="AC203" t="str">
        <f>IF(AB203&lt;&gt;0,VLOOKUP(VLOOKUP(AB203,Tbl_Effect[],3,FALSE),EffectName[],IFERROR(MATCH(UI!$B$1,EffectName[#Headers],0),2),FALSE),"")</f>
        <v/>
      </c>
      <c r="AE203">
        <v>7124400</v>
      </c>
      <c r="AF203">
        <v>7124700</v>
      </c>
      <c r="AG203">
        <v>7124700</v>
      </c>
    </row>
    <row r="204" spans="8:33" x14ac:dyDescent="0.4">
      <c r="H204" t="str">
        <f t="shared" si="21"/>
        <v>20001-端正的火燃情景 (紅)</v>
      </c>
      <c r="I204">
        <v>20001</v>
      </c>
      <c r="J204" t="str">
        <f>_xlfn.IFNA(IF(I204&lt;&gt;0,VLOOKUP(VLOOKUP(I204,Tbl_Equip[],2,FALSE),Tbl_Color[],IFERROR(MATCH(UI!$B$1,Tbl_Color[#Headers],0),2),FALSE),""),"Unset")</f>
        <v>紅</v>
      </c>
      <c r="K204" t="str">
        <f>_xlfn.IFNA(IF(I204&lt;&gt;0,VLOOKUP(I204,ItemText[],IFERROR(MATCH(UI!$B$1,ItemText[#Headers],0),2),FALSE),""),"Unset")</f>
        <v>端正的火燃情景</v>
      </c>
      <c r="L204" t="str">
        <f t="shared" si="22"/>
        <v>7124500-出擊時，武器戰技改為「風暴足」
※僅限能使用的武器類別</v>
      </c>
      <c r="M204">
        <v>7124500</v>
      </c>
      <c r="N204" t="str">
        <f>IF(VALUE(M204)=0,"",VLOOKUP(VLOOKUP(M204,Tbl_Effect[],3,FALSE),EffectName[],IFERROR(MATCH(UI!$B$1,EffectName[#Headers],0),2),FALSE))</f>
        <v>出擊時，武器戰技改為「風暴足」
※僅限能使用的武器類別</v>
      </c>
      <c r="O204" t="str">
        <f t="shared" si="23"/>
        <v>7126000-出擊時，會持有「星光碎片」</v>
      </c>
      <c r="P204">
        <v>7126000</v>
      </c>
      <c r="Q204" t="str">
        <f>IF(VALUE(P204)=0,"",VLOOKUP(VLOOKUP(P204,Tbl_Effect[],3,FALSE),EffectName[],IFERROR(MATCH(UI!$B$1,EffectName[#Headers],0),2),FALSE))</f>
        <v>出擊時，會持有「星光碎片」</v>
      </c>
      <c r="R204" t="str">
        <f t="shared" si="24"/>
        <v>7126000-出擊時，會持有「星光碎片」</v>
      </c>
      <c r="S204">
        <v>7126000</v>
      </c>
      <c r="T204" t="str">
        <f>IF(VALUE(S204)=0,"",VLOOKUP(VLOOKUP(S204,Tbl_Effect[],3,FALSE),EffectName[],IFERROR(MATCH(UI!$B$1,EffectName[#Headers],0),2),FALSE))</f>
        <v>出擊時，會持有「星光碎片」</v>
      </c>
      <c r="U204" t="str">
        <f t="shared" si="25"/>
        <v/>
      </c>
      <c r="V204">
        <v>0</v>
      </c>
      <c r="W204" t="str">
        <f>IF(V204&lt;&gt;0,VLOOKUP(VLOOKUP(V204,Tbl_Effect[],3,FALSE),EffectName[],IFERROR(MATCH(UI!$B$1,EffectName[#Headers],0),2),FALSE),"")</f>
        <v/>
      </c>
      <c r="X204" t="str">
        <f t="shared" si="26"/>
        <v/>
      </c>
      <c r="Y204">
        <v>0</v>
      </c>
      <c r="Z204" t="str">
        <f>IF(Y204&lt;&gt;0,VLOOKUP(VLOOKUP(Y204,Tbl_Effect[],3,FALSE),EffectName[],IFERROR(MATCH(UI!$B$1,EffectName[#Headers],0),2),FALSE),"")</f>
        <v/>
      </c>
      <c r="AA204" t="str">
        <f t="shared" si="27"/>
        <v/>
      </c>
      <c r="AB204">
        <v>0</v>
      </c>
      <c r="AC204" t="str">
        <f>IF(AB204&lt;&gt;0,VLOOKUP(VLOOKUP(AB204,Tbl_Effect[],3,FALSE),EffectName[],IFERROR(MATCH(UI!$B$1,EffectName[#Headers],0),2),FALSE),"")</f>
        <v/>
      </c>
      <c r="AE204">
        <v>7124500</v>
      </c>
      <c r="AF204">
        <v>7126000</v>
      </c>
      <c r="AG204">
        <v>7126000</v>
      </c>
    </row>
    <row r="205" spans="8:33" x14ac:dyDescent="0.4">
      <c r="H205" t="str">
        <f t="shared" si="21"/>
        <v>20002-遼闊的火燃情景 (紅)</v>
      </c>
      <c r="I205">
        <v>20002</v>
      </c>
      <c r="J205" t="str">
        <f>_xlfn.IFNA(IF(I205&lt;&gt;0,VLOOKUP(VLOOKUP(I205,Tbl_Equip[],2,FALSE),Tbl_Color[],IFERROR(MATCH(UI!$B$1,Tbl_Color[#Headers],0),2),FALSE),""),"Unset")</f>
        <v>紅</v>
      </c>
      <c r="K205" t="str">
        <f>_xlfn.IFNA(IF(I205&lt;&gt;0,VLOOKUP(I205,ItemText[],IFERROR(MATCH(UI!$B$1,ItemText[#Headers],0),2),FALSE),""),"Unset")</f>
        <v>遼闊的火燃情景</v>
      </c>
      <c r="L205" t="str">
        <f t="shared" si="22"/>
        <v>7124600-出擊時，武器戰技改為「決心」
※僅限能使用的武器類別</v>
      </c>
      <c r="M205">
        <v>7124600</v>
      </c>
      <c r="N205" t="str">
        <f>IF(VALUE(M205)=0,"",VLOOKUP(VLOOKUP(M205,Tbl_Effect[],3,FALSE),EffectName[],IFERROR(MATCH(UI!$B$1,EffectName[#Headers],0),2),FALSE))</f>
        <v>出擊時，武器戰技改為「決心」
※僅限能使用的武器類別</v>
      </c>
      <c r="O205" t="str">
        <f t="shared" si="23"/>
        <v>7150000-防禦反擊成功時，能依照自己目前的ＨＰ提升傷害</v>
      </c>
      <c r="P205">
        <v>7150000</v>
      </c>
      <c r="Q205" t="str">
        <f>IF(VALUE(P205)=0,"",VLOOKUP(VLOOKUP(P205,Tbl_Effect[],3,FALSE),EffectName[],IFERROR(MATCH(UI!$B$1,EffectName[#Headers],0),2),FALSE))</f>
        <v>防禦反擊成功時，能依照自己目前的ＨＰ提升傷害</v>
      </c>
      <c r="R205" t="str">
        <f t="shared" si="24"/>
        <v>7150000-防禦反擊成功時，能依照自己目前的ＨＰ提升傷害</v>
      </c>
      <c r="S205">
        <v>7150000</v>
      </c>
      <c r="T205" t="str">
        <f>IF(VALUE(S205)=0,"",VLOOKUP(VLOOKUP(S205,Tbl_Effect[],3,FALSE),EffectName[],IFERROR(MATCH(UI!$B$1,EffectName[#Headers],0),2),FALSE))</f>
        <v>防禦反擊成功時，能依照自己目前的ＨＰ提升傷害</v>
      </c>
      <c r="U205" t="str">
        <f t="shared" si="25"/>
        <v/>
      </c>
      <c r="V205">
        <v>0</v>
      </c>
      <c r="W205" t="str">
        <f>IF(V205&lt;&gt;0,VLOOKUP(VLOOKUP(V205,Tbl_Effect[],3,FALSE),EffectName[],IFERROR(MATCH(UI!$B$1,EffectName[#Headers],0),2),FALSE),"")</f>
        <v/>
      </c>
      <c r="X205" t="str">
        <f t="shared" si="26"/>
        <v/>
      </c>
      <c r="Y205">
        <v>0</v>
      </c>
      <c r="Z205" t="str">
        <f>IF(Y205&lt;&gt;0,VLOOKUP(VLOOKUP(Y205,Tbl_Effect[],3,FALSE),EffectName[],IFERROR(MATCH(UI!$B$1,EffectName[#Headers],0),2),FALSE),"")</f>
        <v/>
      </c>
      <c r="AA205" t="str">
        <f t="shared" si="27"/>
        <v/>
      </c>
      <c r="AB205">
        <v>0</v>
      </c>
      <c r="AC205" t="str">
        <f>IF(AB205&lt;&gt;0,VLOOKUP(VLOOKUP(AB205,Tbl_Effect[],3,FALSE),EffectName[],IFERROR(MATCH(UI!$B$1,EffectName[#Headers],0),2),FALSE),"")</f>
        <v/>
      </c>
      <c r="AE205">
        <v>7124600</v>
      </c>
      <c r="AF205">
        <v>7150000</v>
      </c>
      <c r="AG205">
        <v>7150000</v>
      </c>
    </row>
    <row r="206" spans="8:33" x14ac:dyDescent="0.4">
      <c r="H206" t="str">
        <f t="shared" si="21"/>
        <v>20003-細膩的火燃情景 (紅)</v>
      </c>
      <c r="I206">
        <v>20003</v>
      </c>
      <c r="J206" t="str">
        <f>_xlfn.IFNA(IF(I206&lt;&gt;0,VLOOKUP(VLOOKUP(I206,Tbl_Equip[],2,FALSE),Tbl_Color[],IFERROR(MATCH(UI!$B$1,Tbl_Color[#Headers],0),2),FALSE),""),"Unset")</f>
        <v>紅</v>
      </c>
      <c r="K206" t="str">
        <f>_xlfn.IFNA(IF(I206&lt;&gt;0,VLOOKUP(I206,ItemText[],IFERROR(MATCH(UI!$B$1,ItemText[#Headers],0),2),FALSE),""),"Unset")</f>
        <v>細膩的火燃情景</v>
      </c>
      <c r="L206" t="str">
        <f t="shared" si="22"/>
        <v>7124700-出擊時，武器戰技改為「箭雨」
※僅限能使用的武器類別</v>
      </c>
      <c r="M206">
        <v>7124700</v>
      </c>
      <c r="N206" t="str">
        <f>IF(VALUE(M206)=0,"",VLOOKUP(VLOOKUP(M206,Tbl_Effect[],3,FALSE),EffectName[],IFERROR(MATCH(UI!$B$1,EffectName[#Headers],0),2),FALSE))</f>
        <v>出擊時，武器戰技改為「箭雨」
※僅限能使用的武器類別</v>
      </c>
      <c r="O206" t="str">
        <f t="shared" si="23"/>
        <v>7160000-突刺反擊成功時，能恢復ＨＰ</v>
      </c>
      <c r="P206">
        <v>7160000</v>
      </c>
      <c r="Q206" t="str">
        <f>IF(VALUE(P206)=0,"",VLOOKUP(VLOOKUP(P206,Tbl_Effect[],3,FALSE),EffectName[],IFERROR(MATCH(UI!$B$1,EffectName[#Headers],0),2),FALSE))</f>
        <v>突刺反擊成功時，能恢復ＨＰ</v>
      </c>
      <c r="R206" t="str">
        <f t="shared" si="24"/>
        <v>7160000-突刺反擊成功時，能恢復ＨＰ</v>
      </c>
      <c r="S206">
        <v>7160000</v>
      </c>
      <c r="T206" t="str">
        <f>IF(VALUE(S206)=0,"",VLOOKUP(VLOOKUP(S206,Tbl_Effect[],3,FALSE),EffectName[],IFERROR(MATCH(UI!$B$1,EffectName[#Headers],0),2),FALSE))</f>
        <v>突刺反擊成功時，能恢復ＨＰ</v>
      </c>
      <c r="U206" t="str">
        <f t="shared" si="25"/>
        <v/>
      </c>
      <c r="V206">
        <v>0</v>
      </c>
      <c r="W206" t="str">
        <f>IF(V206&lt;&gt;0,VLOOKUP(VLOOKUP(V206,Tbl_Effect[],3,FALSE),EffectName[],IFERROR(MATCH(UI!$B$1,EffectName[#Headers],0),2),FALSE),"")</f>
        <v/>
      </c>
      <c r="X206" t="str">
        <f t="shared" si="26"/>
        <v/>
      </c>
      <c r="Y206">
        <v>0</v>
      </c>
      <c r="Z206" t="str">
        <f>IF(Y206&lt;&gt;0,VLOOKUP(VLOOKUP(Y206,Tbl_Effect[],3,FALSE),EffectName[],IFERROR(MATCH(UI!$B$1,EffectName[#Headers],0),2),FALSE),"")</f>
        <v/>
      </c>
      <c r="AA206" t="str">
        <f t="shared" si="27"/>
        <v/>
      </c>
      <c r="AB206">
        <v>0</v>
      </c>
      <c r="AC206" t="str">
        <f>IF(AB206&lt;&gt;0,VLOOKUP(VLOOKUP(AB206,Tbl_Effect[],3,FALSE),EffectName[],IFERROR(MATCH(UI!$B$1,EffectName[#Headers],0),2),FALSE),"")</f>
        <v/>
      </c>
      <c r="AE206">
        <v>7124700</v>
      </c>
      <c r="AF206">
        <v>7160000</v>
      </c>
      <c r="AG206">
        <v>7160000</v>
      </c>
    </row>
    <row r="207" spans="8:33" x14ac:dyDescent="0.4">
      <c r="H207" t="str">
        <f t="shared" si="21"/>
        <v>20004-端正的火燃情景 (紅)</v>
      </c>
      <c r="I207">
        <v>20004</v>
      </c>
      <c r="J207" t="str">
        <f>_xlfn.IFNA(IF(I207&lt;&gt;0,VLOOKUP(VLOOKUP(I207,Tbl_Equip[],2,FALSE),Tbl_Color[],IFERROR(MATCH(UI!$B$1,Tbl_Color[#Headers],0),2),FALSE),""),"Unset")</f>
        <v>紅</v>
      </c>
      <c r="K207" t="str">
        <f>_xlfn.IFNA(IF(I207&lt;&gt;0,VLOOKUP(I207,ItemText[],IFERROR(MATCH(UI!$B$1,ItemText[#Headers],0),2),FALSE),""),"Unset")</f>
        <v>端正的火燃情景</v>
      </c>
      <c r="L207" t="str">
        <f t="shared" si="22"/>
        <v>7126000-出擊時，會持有「星光碎片」</v>
      </c>
      <c r="M207">
        <v>7126000</v>
      </c>
      <c r="N207" t="str">
        <f>IF(VALUE(M207)=0,"",VLOOKUP(VLOOKUP(M207,Tbl_Effect[],3,FALSE),EffectName[],IFERROR(MATCH(UI!$B$1,EffectName[#Headers],0),2),FALSE))</f>
        <v>出擊時，會持有「星光碎片」</v>
      </c>
      <c r="O207" t="str">
        <f t="shared" si="23"/>
        <v>7220000-【復仇者】與家人並肩戰鬥期間，能強化自身</v>
      </c>
      <c r="P207">
        <v>7220000</v>
      </c>
      <c r="Q207" t="str">
        <f>IF(VALUE(P207)=0,"",VLOOKUP(VLOOKUP(P207,Tbl_Effect[],3,FALSE),EffectName[],IFERROR(MATCH(UI!$B$1,EffectName[#Headers],0),2),FALSE))</f>
        <v>【復仇者】與家人並肩戰鬥期間，能強化自身</v>
      </c>
      <c r="R207" t="str">
        <f t="shared" si="24"/>
        <v>7220000-【復仇者】與家人並肩戰鬥期間，能強化自身</v>
      </c>
      <c r="S207">
        <v>7220000</v>
      </c>
      <c r="T207" t="str">
        <f>IF(VALUE(S207)=0,"",VLOOKUP(VLOOKUP(S207,Tbl_Effect[],3,FALSE),EffectName[],IFERROR(MATCH(UI!$B$1,EffectName[#Headers],0),2),FALSE))</f>
        <v>【復仇者】與家人並肩戰鬥期間，能強化自身</v>
      </c>
      <c r="U207" t="str">
        <f t="shared" si="25"/>
        <v/>
      </c>
      <c r="V207">
        <v>0</v>
      </c>
      <c r="W207" t="str">
        <f>IF(V207&lt;&gt;0,VLOOKUP(VLOOKUP(V207,Tbl_Effect[],3,FALSE),EffectName[],IFERROR(MATCH(UI!$B$1,EffectName[#Headers],0),2),FALSE),"")</f>
        <v/>
      </c>
      <c r="X207" t="str">
        <f t="shared" si="26"/>
        <v/>
      </c>
      <c r="Y207">
        <v>0</v>
      </c>
      <c r="Z207" t="str">
        <f>IF(Y207&lt;&gt;0,VLOOKUP(VLOOKUP(Y207,Tbl_Effect[],3,FALSE),EffectName[],IFERROR(MATCH(UI!$B$1,EffectName[#Headers],0),2),FALSE),"")</f>
        <v/>
      </c>
      <c r="AA207" t="str">
        <f t="shared" si="27"/>
        <v/>
      </c>
      <c r="AB207">
        <v>0</v>
      </c>
      <c r="AC207" t="str">
        <f>IF(AB207&lt;&gt;0,VLOOKUP(VLOOKUP(AB207,Tbl_Effect[],3,FALSE),EffectName[],IFERROR(MATCH(UI!$B$1,EffectName[#Headers],0),2),FALSE),"")</f>
        <v/>
      </c>
      <c r="AE207">
        <v>7126000</v>
      </c>
      <c r="AF207">
        <v>7220000</v>
      </c>
      <c r="AG207">
        <v>7220000</v>
      </c>
    </row>
    <row r="208" spans="8:33" x14ac:dyDescent="0.4">
      <c r="H208" t="str">
        <f t="shared" si="21"/>
        <v>20005-遼闊的火燃情景 (紅)</v>
      </c>
      <c r="I208">
        <v>20005</v>
      </c>
      <c r="J208" t="str">
        <f>_xlfn.IFNA(IF(I208&lt;&gt;0,VLOOKUP(VLOOKUP(I208,Tbl_Equip[],2,FALSE),Tbl_Color[],IFERROR(MATCH(UI!$B$1,Tbl_Color[#Headers],0),2),FALSE),""),"Unset")</f>
        <v>紅</v>
      </c>
      <c r="K208" t="str">
        <f>_xlfn.IFNA(IF(I208&lt;&gt;0,VLOOKUP(I208,ItemText[],IFERROR(MATCH(UI!$B$1,ItemText[#Headers],0),2),FALSE),""),"Unset")</f>
        <v>遼闊的火燃情景</v>
      </c>
      <c r="L208" t="str">
        <f t="shared" si="22"/>
        <v>7150000-防禦反擊成功時，能依照自己目前的ＨＰ提升傷害</v>
      </c>
      <c r="M208">
        <v>7150000</v>
      </c>
      <c r="N208" t="str">
        <f>IF(VALUE(M208)=0,"",VLOOKUP(VLOOKUP(M208,Tbl_Effect[],3,FALSE),EffectName[],IFERROR(MATCH(UI!$B$1,EffectName[#Headers],0),2),FALSE))</f>
        <v>防禦反擊成功時，能依照自己目前的ＨＰ提升傷害</v>
      </c>
      <c r="O208" t="str">
        <f t="shared" si="23"/>
        <v>7230000-在出擊期間，減少於商店購物時所需的盧恩</v>
      </c>
      <c r="P208">
        <v>7230000</v>
      </c>
      <c r="Q208" t="str">
        <f>IF(VALUE(P208)=0,"",VLOOKUP(VLOOKUP(P208,Tbl_Effect[],3,FALSE),EffectName[],IFERROR(MATCH(UI!$B$1,EffectName[#Headers],0),2),FALSE))</f>
        <v>在出擊期間，減少於商店購物時所需的盧恩</v>
      </c>
      <c r="R208" t="str">
        <f t="shared" si="24"/>
        <v>7230000-在出擊期間，減少於商店購物時所需的盧恩</v>
      </c>
      <c r="S208">
        <v>7230000</v>
      </c>
      <c r="T208" t="str">
        <f>IF(VALUE(S208)=0,"",VLOOKUP(VLOOKUP(S208,Tbl_Effect[],3,FALSE),EffectName[],IFERROR(MATCH(UI!$B$1,EffectName[#Headers],0),2),FALSE))</f>
        <v>在出擊期間，減少於商店購物時所需的盧恩</v>
      </c>
      <c r="U208" t="str">
        <f t="shared" si="25"/>
        <v/>
      </c>
      <c r="V208">
        <v>0</v>
      </c>
      <c r="W208" t="str">
        <f>IF(V208&lt;&gt;0,VLOOKUP(VLOOKUP(V208,Tbl_Effect[],3,FALSE),EffectName[],IFERROR(MATCH(UI!$B$1,EffectName[#Headers],0),2),FALSE),"")</f>
        <v/>
      </c>
      <c r="X208" t="str">
        <f t="shared" si="26"/>
        <v/>
      </c>
      <c r="Y208">
        <v>0</v>
      </c>
      <c r="Z208" t="str">
        <f>IF(Y208&lt;&gt;0,VLOOKUP(VLOOKUP(Y208,Tbl_Effect[],3,FALSE),EffectName[],IFERROR(MATCH(UI!$B$1,EffectName[#Headers],0),2),FALSE),"")</f>
        <v/>
      </c>
      <c r="AA208" t="str">
        <f t="shared" si="27"/>
        <v/>
      </c>
      <c r="AB208">
        <v>0</v>
      </c>
      <c r="AC208" t="str">
        <f>IF(AB208&lt;&gt;0,VLOOKUP(VLOOKUP(AB208,Tbl_Effect[],3,FALSE),EffectName[],IFERROR(MATCH(UI!$B$1,EffectName[#Headers],0),2),FALSE),"")</f>
        <v/>
      </c>
      <c r="AE208">
        <v>7150000</v>
      </c>
      <c r="AF208">
        <v>7230000</v>
      </c>
      <c r="AG208">
        <v>7230000</v>
      </c>
    </row>
    <row r="209" spans="8:33" x14ac:dyDescent="0.4">
      <c r="H209" t="str">
        <f t="shared" si="21"/>
        <v>20006-細膩的火燃情景 (紅)</v>
      </c>
      <c r="I209">
        <v>20006</v>
      </c>
      <c r="J209" t="str">
        <f>_xlfn.IFNA(IF(I209&lt;&gt;0,VLOOKUP(VLOOKUP(I209,Tbl_Equip[],2,FALSE),Tbl_Color[],IFERROR(MATCH(UI!$B$1,Tbl_Color[#Headers],0),2),FALSE),""),"Unset")</f>
        <v>紅</v>
      </c>
      <c r="K209" t="str">
        <f>_xlfn.IFNA(IF(I209&lt;&gt;0,VLOOKUP(I209,ItemText[],IFERROR(MATCH(UI!$B$1,ItemText[#Headers],0),2),FALSE),""),"Unset")</f>
        <v>細膩的火燃情景</v>
      </c>
      <c r="L209" t="str">
        <f t="shared" si="22"/>
        <v>7160000-突刺反擊成功時，能恢復ＨＰ</v>
      </c>
      <c r="M209">
        <v>7160000</v>
      </c>
      <c r="N209" t="str">
        <f>IF(VALUE(M209)=0,"",VLOOKUP(VLOOKUP(M209,Tbl_Effect[],3,FALSE),EffectName[],IFERROR(MATCH(UI!$B$1,EffectName[#Headers],0),2),FALSE))</f>
        <v>突刺反擊成功時，能恢復ＨＰ</v>
      </c>
      <c r="O209" t="str">
        <f t="shared" si="23"/>
        <v>7240000-受到損傷並被彈飛時，能提升強韌度與減傷率</v>
      </c>
      <c r="P209">
        <v>7240000</v>
      </c>
      <c r="Q209" t="str">
        <f>IF(VALUE(P209)=0,"",VLOOKUP(VLOOKUP(P209,Tbl_Effect[],3,FALSE),EffectName[],IFERROR(MATCH(UI!$B$1,EffectName[#Headers],0),2),FALSE))</f>
        <v>受到損傷並被彈飛時，能提升強韌度與減傷率</v>
      </c>
      <c r="R209" t="str">
        <f t="shared" si="24"/>
        <v>7240000-受到損傷並被彈飛時，能提升強韌度與減傷率</v>
      </c>
      <c r="S209">
        <v>7240000</v>
      </c>
      <c r="T209" t="str">
        <f>IF(VALUE(S209)=0,"",VLOOKUP(VLOOKUP(S209,Tbl_Effect[],3,FALSE),EffectName[],IFERROR(MATCH(UI!$B$1,EffectName[#Headers],0),2),FALSE))</f>
        <v>受到損傷並被彈飛時，能提升強韌度與減傷率</v>
      </c>
      <c r="U209" t="str">
        <f t="shared" si="25"/>
        <v/>
      </c>
      <c r="V209">
        <v>0</v>
      </c>
      <c r="W209" t="str">
        <f>IF(V209&lt;&gt;0,VLOOKUP(VLOOKUP(V209,Tbl_Effect[],3,FALSE),EffectName[],IFERROR(MATCH(UI!$B$1,EffectName[#Headers],0),2),FALSE),"")</f>
        <v/>
      </c>
      <c r="X209" t="str">
        <f t="shared" si="26"/>
        <v/>
      </c>
      <c r="Y209">
        <v>0</v>
      </c>
      <c r="Z209" t="str">
        <f>IF(Y209&lt;&gt;0,VLOOKUP(VLOOKUP(Y209,Tbl_Effect[],3,FALSE),EffectName[],IFERROR(MATCH(UI!$B$1,EffectName[#Headers],0),2),FALSE),"")</f>
        <v/>
      </c>
      <c r="AA209" t="str">
        <f t="shared" si="27"/>
        <v/>
      </c>
      <c r="AB209">
        <v>0</v>
      </c>
      <c r="AC209" t="str">
        <f>IF(AB209&lt;&gt;0,VLOOKUP(VLOOKUP(AB209,Tbl_Effect[],3,FALSE),EffectName[],IFERROR(MATCH(UI!$B$1,EffectName[#Headers],0),2),FALSE),"")</f>
        <v/>
      </c>
      <c r="AE209">
        <v>7160000</v>
      </c>
      <c r="AF209">
        <v>7240000</v>
      </c>
      <c r="AG209">
        <v>7240000</v>
      </c>
    </row>
    <row r="210" spans="8:33" x14ac:dyDescent="0.4">
      <c r="H210" t="str">
        <f t="shared" si="21"/>
        <v>20007-端正的火燃情景 (紅)</v>
      </c>
      <c r="I210">
        <v>20007</v>
      </c>
      <c r="J210" t="str">
        <f>_xlfn.IFNA(IF(I210&lt;&gt;0,VLOOKUP(VLOOKUP(I210,Tbl_Equip[],2,FALSE),Tbl_Color[],IFERROR(MATCH(UI!$B$1,Tbl_Color[#Headers],0),2),FALSE),""),"Unset")</f>
        <v>紅</v>
      </c>
      <c r="K210" t="str">
        <f>_xlfn.IFNA(IF(I210&lt;&gt;0,VLOOKUP(I210,ItemText[],IFERROR(MATCH(UI!$B$1,ItemText[#Headers],0),2),FALSE),""),"Unset")</f>
        <v>端正的火燃情景</v>
      </c>
      <c r="L210" t="str">
        <f t="shared" si="22"/>
        <v>7220000-【復仇者】與家人並肩戰鬥期間，能強化自身</v>
      </c>
      <c r="M210">
        <v>7220000</v>
      </c>
      <c r="N210" t="str">
        <f>IF(VALUE(M210)=0,"",VLOOKUP(VLOOKUP(M210,Tbl_Effect[],3,FALSE),EffectName[],IFERROR(MATCH(UI!$B$1,EffectName[#Headers],0),2),FALSE))</f>
        <v>【復仇者】與家人並肩戰鬥期間，能強化自身</v>
      </c>
      <c r="O210" t="str">
        <f t="shared" si="23"/>
        <v>7260000-對陷入中毒的敵人，能強化攻擊</v>
      </c>
      <c r="P210">
        <v>7260000</v>
      </c>
      <c r="Q210" t="str">
        <f>IF(VALUE(P210)=0,"",VLOOKUP(VLOOKUP(P210,Tbl_Effect[],3,FALSE),EffectName[],IFERROR(MATCH(UI!$B$1,EffectName[#Headers],0),2),FALSE))</f>
        <v>對陷入中毒的敵人，能強化攻擊</v>
      </c>
      <c r="R210" t="str">
        <f t="shared" si="24"/>
        <v>7260000-對陷入中毒的敵人，能強化攻擊</v>
      </c>
      <c r="S210">
        <v>7260000</v>
      </c>
      <c r="T210" t="str">
        <f>IF(VALUE(S210)=0,"",VLOOKUP(VLOOKUP(S210,Tbl_Effect[],3,FALSE),EffectName[],IFERROR(MATCH(UI!$B$1,EffectName[#Headers],0),2),FALSE))</f>
        <v>對陷入中毒的敵人，能強化攻擊</v>
      </c>
      <c r="U210" t="str">
        <f t="shared" si="25"/>
        <v/>
      </c>
      <c r="V210">
        <v>0</v>
      </c>
      <c r="W210" t="str">
        <f>IF(V210&lt;&gt;0,VLOOKUP(VLOOKUP(V210,Tbl_Effect[],3,FALSE),EffectName[],IFERROR(MATCH(UI!$B$1,EffectName[#Headers],0),2),FALSE),"")</f>
        <v/>
      </c>
      <c r="X210" t="str">
        <f t="shared" si="26"/>
        <v/>
      </c>
      <c r="Y210">
        <v>0</v>
      </c>
      <c r="Z210" t="str">
        <f>IF(Y210&lt;&gt;0,VLOOKUP(VLOOKUP(Y210,Tbl_Effect[],3,FALSE),EffectName[],IFERROR(MATCH(UI!$B$1,EffectName[#Headers],0),2),FALSE),"")</f>
        <v/>
      </c>
      <c r="AA210" t="str">
        <f t="shared" si="27"/>
        <v/>
      </c>
      <c r="AB210">
        <v>0</v>
      </c>
      <c r="AC210" t="str">
        <f>IF(AB210&lt;&gt;0,VLOOKUP(VLOOKUP(AB210,Tbl_Effect[],3,FALSE),EffectName[],IFERROR(MATCH(UI!$B$1,EffectName[#Headers],0),2),FALSE),"")</f>
        <v/>
      </c>
      <c r="AE210">
        <v>7220000</v>
      </c>
      <c r="AF210">
        <v>7260000</v>
      </c>
      <c r="AG210">
        <v>7260000</v>
      </c>
    </row>
    <row r="211" spans="8:33" x14ac:dyDescent="0.4">
      <c r="H211" t="str">
        <f t="shared" si="21"/>
        <v>20008-遼闊的火燃情景 (紅)</v>
      </c>
      <c r="I211">
        <v>20008</v>
      </c>
      <c r="J211" t="str">
        <f>_xlfn.IFNA(IF(I211&lt;&gt;0,VLOOKUP(VLOOKUP(I211,Tbl_Equip[],2,FALSE),Tbl_Color[],IFERROR(MATCH(UI!$B$1,Tbl_Color[#Headers],0),2),FALSE),""),"Unset")</f>
        <v>紅</v>
      </c>
      <c r="K211" t="str">
        <f>_xlfn.IFNA(IF(I211&lt;&gt;0,VLOOKUP(I211,ItemText[],IFERROR(MATCH(UI!$B$1,ItemText[#Headers],0),2),FALSE),""),"Unset")</f>
        <v>遼闊的火燃情景</v>
      </c>
      <c r="L211" t="str">
        <f t="shared" si="22"/>
        <v>7230000-在出擊期間，減少於商店購物時所需的盧恩</v>
      </c>
      <c r="M211">
        <v>7230000</v>
      </c>
      <c r="N211" t="str">
        <f>IF(VALUE(M211)=0,"",VLOOKUP(VLOOKUP(M211,Tbl_Effect[],3,FALSE),EffectName[],IFERROR(MATCH(UI!$B$1,EffectName[#Headers],0),2),FALSE))</f>
        <v>在出擊期間，減少於商店購物時所需的盧恩</v>
      </c>
      <c r="O211" t="str">
        <f t="shared" si="23"/>
        <v>7260300-對陷入猩紅腐敗的敵人，能強化攻擊</v>
      </c>
      <c r="P211">
        <v>7260300</v>
      </c>
      <c r="Q211" t="str">
        <f>IF(VALUE(P211)=0,"",VLOOKUP(VLOOKUP(P211,Tbl_Effect[],3,FALSE),EffectName[],IFERROR(MATCH(UI!$B$1,EffectName[#Headers],0),2),FALSE))</f>
        <v>對陷入猩紅腐敗的敵人，能強化攻擊</v>
      </c>
      <c r="R211" t="str">
        <f t="shared" si="24"/>
        <v>7260300-對陷入猩紅腐敗的敵人，能強化攻擊</v>
      </c>
      <c r="S211">
        <v>7260300</v>
      </c>
      <c r="T211" t="str">
        <f>IF(VALUE(S211)=0,"",VLOOKUP(VLOOKUP(S211,Tbl_Effect[],3,FALSE),EffectName[],IFERROR(MATCH(UI!$B$1,EffectName[#Headers],0),2),FALSE))</f>
        <v>對陷入猩紅腐敗的敵人，能強化攻擊</v>
      </c>
      <c r="U211" t="str">
        <f t="shared" si="25"/>
        <v/>
      </c>
      <c r="V211">
        <v>0</v>
      </c>
      <c r="W211" t="str">
        <f>IF(V211&lt;&gt;0,VLOOKUP(VLOOKUP(V211,Tbl_Effect[],3,FALSE),EffectName[],IFERROR(MATCH(UI!$B$1,EffectName[#Headers],0),2),FALSE),"")</f>
        <v/>
      </c>
      <c r="X211" t="str">
        <f t="shared" si="26"/>
        <v/>
      </c>
      <c r="Y211">
        <v>0</v>
      </c>
      <c r="Z211" t="str">
        <f>IF(Y211&lt;&gt;0,VLOOKUP(VLOOKUP(Y211,Tbl_Effect[],3,FALSE),EffectName[],IFERROR(MATCH(UI!$B$1,EffectName[#Headers],0),2),FALSE),"")</f>
        <v/>
      </c>
      <c r="AA211" t="str">
        <f t="shared" si="27"/>
        <v/>
      </c>
      <c r="AB211">
        <v>0</v>
      </c>
      <c r="AC211" t="str">
        <f>IF(AB211&lt;&gt;0,VLOOKUP(VLOOKUP(AB211,Tbl_Effect[],3,FALSE),EffectName[],IFERROR(MATCH(UI!$B$1,EffectName[#Headers],0),2),FALSE),"")</f>
        <v/>
      </c>
      <c r="AE211">
        <v>7230000</v>
      </c>
      <c r="AF211">
        <v>7260300</v>
      </c>
      <c r="AG211">
        <v>7260300</v>
      </c>
    </row>
    <row r="212" spans="8:33" x14ac:dyDescent="0.4">
      <c r="H212" t="str">
        <f t="shared" si="21"/>
        <v>20009-細膩的水滴情景 (藍)</v>
      </c>
      <c r="I212">
        <v>20009</v>
      </c>
      <c r="J212" t="str">
        <f>_xlfn.IFNA(IF(I212&lt;&gt;0,VLOOKUP(VLOOKUP(I212,Tbl_Equip[],2,FALSE),Tbl_Color[],IFERROR(MATCH(UI!$B$1,Tbl_Color[#Headers],0),2),FALSE),""),"Unset")</f>
        <v>藍</v>
      </c>
      <c r="K212" t="str">
        <f>_xlfn.IFNA(IF(I212&lt;&gt;0,VLOOKUP(I212,ItemText[],IFERROR(MATCH(UI!$B$1,ItemText[#Headers],0),2),FALSE),""),"Unset")</f>
        <v>細膩的水滴情景</v>
      </c>
      <c r="L212" t="str">
        <f t="shared" si="22"/>
        <v>7240000-受到損傷並被彈飛時，能提升強韌度與減傷率</v>
      </c>
      <c r="M212">
        <v>7240000</v>
      </c>
      <c r="N212" t="str">
        <f>IF(VALUE(M212)=0,"",VLOOKUP(VLOOKUP(M212,Tbl_Effect[],3,FALSE),EffectName[],IFERROR(MATCH(UI!$B$1,EffectName[#Headers],0),2),FALSE))</f>
        <v>受到損傷並被彈飛時，能提升強韌度與減傷率</v>
      </c>
      <c r="O212" t="str">
        <f t="shared" si="23"/>
        <v>7260400-對陷入凍傷的敵人，能強化攻擊</v>
      </c>
      <c r="P212">
        <v>7260400</v>
      </c>
      <c r="Q212" t="str">
        <f>IF(VALUE(P212)=0,"",VLOOKUP(VLOOKUP(P212,Tbl_Effect[],3,FALSE),EffectName[],IFERROR(MATCH(UI!$B$1,EffectName[#Headers],0),2),FALSE))</f>
        <v>對陷入凍傷的敵人，能強化攻擊</v>
      </c>
      <c r="R212" t="str">
        <f t="shared" si="24"/>
        <v>7260400-對陷入凍傷的敵人，能強化攻擊</v>
      </c>
      <c r="S212">
        <v>7260400</v>
      </c>
      <c r="T212" t="str">
        <f>IF(VALUE(S212)=0,"",VLOOKUP(VLOOKUP(S212,Tbl_Effect[],3,FALSE),EffectName[],IFERROR(MATCH(UI!$B$1,EffectName[#Headers],0),2),FALSE))</f>
        <v>對陷入凍傷的敵人，能強化攻擊</v>
      </c>
      <c r="U212" t="str">
        <f t="shared" si="25"/>
        <v/>
      </c>
      <c r="V212">
        <v>0</v>
      </c>
      <c r="W212" t="str">
        <f>IF(V212&lt;&gt;0,VLOOKUP(VLOOKUP(V212,Tbl_Effect[],3,FALSE),EffectName[],IFERROR(MATCH(UI!$B$1,EffectName[#Headers],0),2),FALSE),"")</f>
        <v/>
      </c>
      <c r="X212" t="str">
        <f t="shared" si="26"/>
        <v/>
      </c>
      <c r="Y212">
        <v>0</v>
      </c>
      <c r="Z212" t="str">
        <f>IF(Y212&lt;&gt;0,VLOOKUP(VLOOKUP(Y212,Tbl_Effect[],3,FALSE),EffectName[],IFERROR(MATCH(UI!$B$1,EffectName[#Headers],0),2),FALSE),"")</f>
        <v/>
      </c>
      <c r="AA212" t="str">
        <f t="shared" si="27"/>
        <v/>
      </c>
      <c r="AB212">
        <v>0</v>
      </c>
      <c r="AC212" t="str">
        <f>IF(AB212&lt;&gt;0,VLOOKUP(VLOOKUP(AB212,Tbl_Effect[],3,FALSE),EffectName[],IFERROR(MATCH(UI!$B$1,EffectName[#Headers],0),2),FALSE),"")</f>
        <v/>
      </c>
      <c r="AE212">
        <v>7240000</v>
      </c>
      <c r="AF212">
        <v>7260400</v>
      </c>
      <c r="AG212">
        <v>7260400</v>
      </c>
    </row>
    <row r="213" spans="8:33" x14ac:dyDescent="0.4">
      <c r="H213" t="str">
        <f t="shared" si="21"/>
        <v>20010-端正的水滴情景 (藍)</v>
      </c>
      <c r="I213">
        <v>20010</v>
      </c>
      <c r="J213" t="str">
        <f>_xlfn.IFNA(IF(I213&lt;&gt;0,VLOOKUP(VLOOKUP(I213,Tbl_Equip[],2,FALSE),Tbl_Color[],IFERROR(MATCH(UI!$B$1,Tbl_Color[#Headers],0),2),FALSE),""),"Unset")</f>
        <v>藍</v>
      </c>
      <c r="K213" t="str">
        <f>_xlfn.IFNA(IF(I213&lt;&gt;0,VLOOKUP(I213,ItemText[],IFERROR(MATCH(UI!$B$1,ItemText[#Headers],0),2),FALSE),""),"Unset")</f>
        <v>端正的水滴情景</v>
      </c>
      <c r="L213" t="str">
        <f t="shared" si="22"/>
        <v>7260000-對陷入中毒的敵人，能強化攻擊</v>
      </c>
      <c r="M213">
        <v>7260000</v>
      </c>
      <c r="N213" t="str">
        <f>IF(VALUE(M213)=0,"",VLOOKUP(VLOOKUP(M213,Tbl_Effect[],3,FALSE),EffectName[],IFERROR(MATCH(UI!$B$1,EffectName[#Headers],0),2),FALSE))</f>
        <v>對陷入中毒的敵人，能強化攻擊</v>
      </c>
      <c r="O213" t="str">
        <f t="shared" si="23"/>
        <v>7270100-【鐵之眼】技藝的使用次數＋１</v>
      </c>
      <c r="P213">
        <v>7270100</v>
      </c>
      <c r="Q213" t="str">
        <f>IF(VALUE(P213)=0,"",VLOOKUP(VLOOKUP(P213,Tbl_Effect[],3,FALSE),EffectName[],IFERROR(MATCH(UI!$B$1,EffectName[#Headers],0),2),FALSE))</f>
        <v>【鐵之眼】技藝的使用次數＋１</v>
      </c>
      <c r="R213" t="str">
        <f t="shared" si="24"/>
        <v>7270100-【鐵之眼】技藝的使用次數＋１</v>
      </c>
      <c r="S213">
        <v>7270100</v>
      </c>
      <c r="T213" t="str">
        <f>IF(VALUE(S213)=0,"",VLOOKUP(VLOOKUP(S213,Tbl_Effect[],3,FALSE),EffectName[],IFERROR(MATCH(UI!$B$1,EffectName[#Headers],0),2),FALSE))</f>
        <v>【鐵之眼】技藝的使用次數＋１</v>
      </c>
      <c r="U213" t="str">
        <f t="shared" si="25"/>
        <v/>
      </c>
      <c r="V213">
        <v>0</v>
      </c>
      <c r="W213" t="str">
        <f>IF(V213&lt;&gt;0,VLOOKUP(VLOOKUP(V213,Tbl_Effect[],3,FALSE),EffectName[],IFERROR(MATCH(UI!$B$1,EffectName[#Headers],0),2),FALSE),"")</f>
        <v/>
      </c>
      <c r="X213" t="str">
        <f t="shared" si="26"/>
        <v/>
      </c>
      <c r="Y213">
        <v>0</v>
      </c>
      <c r="Z213" t="str">
        <f>IF(Y213&lt;&gt;0,VLOOKUP(VLOOKUP(Y213,Tbl_Effect[],3,FALSE),EffectName[],IFERROR(MATCH(UI!$B$1,EffectName[#Headers],0),2),FALSE),"")</f>
        <v/>
      </c>
      <c r="AA213" t="str">
        <f t="shared" si="27"/>
        <v/>
      </c>
      <c r="AB213">
        <v>0</v>
      </c>
      <c r="AC213" t="str">
        <f>IF(AB213&lt;&gt;0,VLOOKUP(VLOOKUP(AB213,Tbl_Effect[],3,FALSE),EffectName[],IFERROR(MATCH(UI!$B$1,EffectName[#Headers],0),2),FALSE),"")</f>
        <v/>
      </c>
      <c r="AE213">
        <v>7260000</v>
      </c>
      <c r="AF213">
        <v>7270100</v>
      </c>
      <c r="AG213">
        <v>7270100</v>
      </c>
    </row>
    <row r="214" spans="8:33" x14ac:dyDescent="0.4">
      <c r="H214" t="str">
        <f t="shared" si="21"/>
        <v>20011-遼闊的水滴情景 (藍)</v>
      </c>
      <c r="I214">
        <v>20011</v>
      </c>
      <c r="J214" t="str">
        <f>_xlfn.IFNA(IF(I214&lt;&gt;0,VLOOKUP(VLOOKUP(I214,Tbl_Equip[],2,FALSE),Tbl_Color[],IFERROR(MATCH(UI!$B$1,Tbl_Color[#Headers],0),2),FALSE),""),"Unset")</f>
        <v>藍</v>
      </c>
      <c r="K214" t="str">
        <f>_xlfn.IFNA(IF(I214&lt;&gt;0,VLOOKUP(I214,ItemText[],IFERROR(MATCH(UI!$B$1,ItemText[#Headers],0),2),FALSE),""),"Unset")</f>
        <v>遼闊的水滴情景</v>
      </c>
      <c r="L214" t="str">
        <f t="shared" si="22"/>
        <v>7260300-對陷入猩紅腐敗的敵人，能強化攻擊</v>
      </c>
      <c r="M214">
        <v>7260300</v>
      </c>
      <c r="N214" t="str">
        <f>IF(VALUE(M214)=0,"",VLOOKUP(VLOOKUP(M214,Tbl_Effect[],3,FALSE),EffectName[],IFERROR(MATCH(UI!$B$1,EffectName[#Headers],0),2),FALSE))</f>
        <v>對陷入猩紅腐敗的敵人，能強化攻擊</v>
      </c>
      <c r="O214" t="str">
        <f t="shared" si="23"/>
        <v>7280000-【鐵之眼】延長弱點顯露的時間</v>
      </c>
      <c r="P214">
        <v>7280000</v>
      </c>
      <c r="Q214" t="str">
        <f>IF(VALUE(P214)=0,"",VLOOKUP(VLOOKUP(P214,Tbl_Effect[],3,FALSE),EffectName[],IFERROR(MATCH(UI!$B$1,EffectName[#Headers],0),2),FALSE))</f>
        <v>【鐵之眼】延長弱點顯露的時間</v>
      </c>
      <c r="R214" t="str">
        <f t="shared" si="24"/>
        <v>7280000-【鐵之眼】延長弱點顯露的時間</v>
      </c>
      <c r="S214">
        <v>7280000</v>
      </c>
      <c r="T214" t="str">
        <f>IF(VALUE(S214)=0,"",VLOOKUP(VLOOKUP(S214,Tbl_Effect[],3,FALSE),EffectName[],IFERROR(MATCH(UI!$B$1,EffectName[#Headers],0),2),FALSE))</f>
        <v>【鐵之眼】延長弱點顯露的時間</v>
      </c>
      <c r="U214" t="str">
        <f t="shared" si="25"/>
        <v/>
      </c>
      <c r="V214">
        <v>0</v>
      </c>
      <c r="W214" t="str">
        <f>IF(V214&lt;&gt;0,VLOOKUP(VLOOKUP(V214,Tbl_Effect[],3,FALSE),EffectName[],IFERROR(MATCH(UI!$B$1,EffectName[#Headers],0),2),FALSE),"")</f>
        <v/>
      </c>
      <c r="X214" t="str">
        <f t="shared" si="26"/>
        <v/>
      </c>
      <c r="Y214">
        <v>0</v>
      </c>
      <c r="Z214" t="str">
        <f>IF(Y214&lt;&gt;0,VLOOKUP(VLOOKUP(Y214,Tbl_Effect[],3,FALSE),EffectName[],IFERROR(MATCH(UI!$B$1,EffectName[#Headers],0),2),FALSE),"")</f>
        <v/>
      </c>
      <c r="AA214" t="str">
        <f t="shared" si="27"/>
        <v/>
      </c>
      <c r="AB214">
        <v>0</v>
      </c>
      <c r="AC214" t="str">
        <f>IF(AB214&lt;&gt;0,VLOOKUP(VLOOKUP(AB214,Tbl_Effect[],3,FALSE),EffectName[],IFERROR(MATCH(UI!$B$1,EffectName[#Headers],0),2),FALSE),"")</f>
        <v/>
      </c>
      <c r="AE214">
        <v>7260300</v>
      </c>
      <c r="AF214">
        <v>7280000</v>
      </c>
      <c r="AG214">
        <v>7280000</v>
      </c>
    </row>
    <row r="215" spans="8:33" x14ac:dyDescent="0.4">
      <c r="H215" t="str">
        <f t="shared" si="21"/>
        <v>20012-細膩的水滴情景 (藍)</v>
      </c>
      <c r="I215">
        <v>20012</v>
      </c>
      <c r="J215" t="str">
        <f>_xlfn.IFNA(IF(I215&lt;&gt;0,VLOOKUP(VLOOKUP(I215,Tbl_Equip[],2,FALSE),Tbl_Color[],IFERROR(MATCH(UI!$B$1,Tbl_Color[#Headers],0),2),FALSE),""),"Unset")</f>
        <v>藍</v>
      </c>
      <c r="K215" t="str">
        <f>_xlfn.IFNA(IF(I215&lt;&gt;0,VLOOKUP(I215,ItemText[],IFERROR(MATCH(UI!$B$1,ItemText[#Headers],0),2),FALSE),""),"Unset")</f>
        <v>細膩的水滴情景</v>
      </c>
      <c r="L215" t="str">
        <f t="shared" si="22"/>
        <v>7260400-對陷入凍傷的敵人，能強化攻擊</v>
      </c>
      <c r="M215">
        <v>7260400</v>
      </c>
      <c r="N215" t="str">
        <f>IF(VALUE(M215)=0,"",VLOOKUP(VLOOKUP(M215,Tbl_Effect[],3,FALSE),EffectName[],IFERROR(MATCH(UI!$B$1,EffectName[#Headers],0),2),FALSE))</f>
        <v>對陷入凍傷的敵人，能強化攻擊</v>
      </c>
      <c r="O215" t="str">
        <f t="shared" si="23"/>
        <v>7290000-【女爵】提升技藝造成的傷害</v>
      </c>
      <c r="P215">
        <v>7290000</v>
      </c>
      <c r="Q215" t="str">
        <f>IF(VALUE(P215)=0,"",VLOOKUP(VLOOKUP(P215,Tbl_Effect[],3,FALSE),EffectName[],IFERROR(MATCH(UI!$B$1,EffectName[#Headers],0),2),FALSE))</f>
        <v>【女爵】提升技藝造成的傷害</v>
      </c>
      <c r="R215" t="str">
        <f t="shared" si="24"/>
        <v>7290000-【女爵】提升技藝造成的傷害</v>
      </c>
      <c r="S215">
        <v>7290000</v>
      </c>
      <c r="T215" t="str">
        <f>IF(VALUE(S215)=0,"",VLOOKUP(VLOOKUP(S215,Tbl_Effect[],3,FALSE),EffectName[],IFERROR(MATCH(UI!$B$1,EffectName[#Headers],0),2),FALSE))</f>
        <v>【女爵】提升技藝造成的傷害</v>
      </c>
      <c r="U215" t="str">
        <f t="shared" si="25"/>
        <v/>
      </c>
      <c r="V215">
        <v>0</v>
      </c>
      <c r="W215" t="str">
        <f>IF(V215&lt;&gt;0,VLOOKUP(VLOOKUP(V215,Tbl_Effect[],3,FALSE),EffectName[],IFERROR(MATCH(UI!$B$1,EffectName[#Headers],0),2),FALSE),"")</f>
        <v/>
      </c>
      <c r="X215" t="str">
        <f t="shared" si="26"/>
        <v/>
      </c>
      <c r="Y215">
        <v>0</v>
      </c>
      <c r="Z215" t="str">
        <f>IF(Y215&lt;&gt;0,VLOOKUP(VLOOKUP(Y215,Tbl_Effect[],3,FALSE),EffectName[],IFERROR(MATCH(UI!$B$1,EffectName[#Headers],0),2),FALSE),"")</f>
        <v/>
      </c>
      <c r="AA215" t="str">
        <f t="shared" si="27"/>
        <v/>
      </c>
      <c r="AB215">
        <v>0</v>
      </c>
      <c r="AC215" t="str">
        <f>IF(AB215&lt;&gt;0,VLOOKUP(VLOOKUP(AB215,Tbl_Effect[],3,FALSE),EffectName[],IFERROR(MATCH(UI!$B$1,EffectName[#Headers],0),2),FALSE),"")</f>
        <v/>
      </c>
      <c r="AE215">
        <v>7260400</v>
      </c>
      <c r="AF215">
        <v>7290000</v>
      </c>
      <c r="AG215">
        <v>7290000</v>
      </c>
    </row>
    <row r="216" spans="8:33" x14ac:dyDescent="0.4">
      <c r="H216" t="str">
        <f t="shared" si="21"/>
        <v>20013-端正的水滴情景 (藍)</v>
      </c>
      <c r="I216">
        <v>20013</v>
      </c>
      <c r="J216" t="str">
        <f>_xlfn.IFNA(IF(I216&lt;&gt;0,VLOOKUP(VLOOKUP(I216,Tbl_Equip[],2,FALSE),Tbl_Color[],IFERROR(MATCH(UI!$B$1,Tbl_Color[#Headers],0),2),FALSE),""),"Unset")</f>
        <v>藍</v>
      </c>
      <c r="K216" t="str">
        <f>_xlfn.IFNA(IF(I216&lt;&gt;0,VLOOKUP(I216,ItemText[],IFERROR(MATCH(UI!$B$1,ItemText[#Headers],0),2),FALSE),""),"Unset")</f>
        <v>端正的水滴情景</v>
      </c>
      <c r="L216" t="str">
        <f t="shared" si="22"/>
        <v>7270100-【鐵之眼】技藝的使用次數＋１</v>
      </c>
      <c r="M216">
        <v>7270100</v>
      </c>
      <c r="N216" t="str">
        <f>IF(VALUE(M216)=0,"",VLOOKUP(VLOOKUP(M216,Tbl_Effect[],3,FALSE),EffectName[],IFERROR(MATCH(UI!$B$1,EffectName[#Headers],0),2),FALSE))</f>
        <v>【鐵之眼】技藝的使用次數＋１</v>
      </c>
      <c r="O216" t="str">
        <f t="shared" si="23"/>
        <v>7310000-【無賴】延長絕活的有效時間</v>
      </c>
      <c r="P216">
        <v>7310000</v>
      </c>
      <c r="Q216" t="str">
        <f>IF(VALUE(P216)=0,"",VLOOKUP(VLOOKUP(P216,Tbl_Effect[],3,FALSE),EffectName[],IFERROR(MATCH(UI!$B$1,EffectName[#Headers],0),2),FALSE))</f>
        <v>【無賴】延長絕活的有效時間</v>
      </c>
      <c r="R216" t="str">
        <f t="shared" si="24"/>
        <v>7310000-【無賴】延長絕活的有效時間</v>
      </c>
      <c r="S216">
        <v>7310000</v>
      </c>
      <c r="T216" t="str">
        <f>IF(VALUE(S216)=0,"",VLOOKUP(VLOOKUP(S216,Tbl_Effect[],3,FALSE),EffectName[],IFERROR(MATCH(UI!$B$1,EffectName[#Headers],0),2),FALSE))</f>
        <v>【無賴】延長絕活的有效時間</v>
      </c>
      <c r="U216" t="str">
        <f t="shared" si="25"/>
        <v/>
      </c>
      <c r="V216">
        <v>0</v>
      </c>
      <c r="W216" t="str">
        <f>IF(V216&lt;&gt;0,VLOOKUP(VLOOKUP(V216,Tbl_Effect[],3,FALSE),EffectName[],IFERROR(MATCH(UI!$B$1,EffectName[#Headers],0),2),FALSE),"")</f>
        <v/>
      </c>
      <c r="X216" t="str">
        <f t="shared" si="26"/>
        <v/>
      </c>
      <c r="Y216">
        <v>0</v>
      </c>
      <c r="Z216" t="str">
        <f>IF(Y216&lt;&gt;0,VLOOKUP(VLOOKUP(Y216,Tbl_Effect[],3,FALSE),EffectName[],IFERROR(MATCH(UI!$B$1,EffectName[#Headers],0),2),FALSE),"")</f>
        <v/>
      </c>
      <c r="AA216" t="str">
        <f t="shared" si="27"/>
        <v/>
      </c>
      <c r="AB216">
        <v>0</v>
      </c>
      <c r="AC216" t="str">
        <f>IF(AB216&lt;&gt;0,VLOOKUP(VLOOKUP(AB216,Tbl_Effect[],3,FALSE),EffectName[],IFERROR(MATCH(UI!$B$1,EffectName[#Headers],0),2),FALSE),"")</f>
        <v/>
      </c>
      <c r="AE216">
        <v>7270100</v>
      </c>
      <c r="AF216">
        <v>7310000</v>
      </c>
      <c r="AG216">
        <v>7310000</v>
      </c>
    </row>
    <row r="217" spans="8:33" x14ac:dyDescent="0.4">
      <c r="H217" t="str">
        <f t="shared" si="21"/>
        <v>20014-遼闊的水滴情景 (藍)</v>
      </c>
      <c r="I217">
        <v>20014</v>
      </c>
      <c r="J217" t="str">
        <f>_xlfn.IFNA(IF(I217&lt;&gt;0,VLOOKUP(VLOOKUP(I217,Tbl_Equip[],2,FALSE),Tbl_Color[],IFERROR(MATCH(UI!$B$1,Tbl_Color[#Headers],0),2),FALSE),""),"Unset")</f>
        <v>藍</v>
      </c>
      <c r="K217" t="str">
        <f>_xlfn.IFNA(IF(I217&lt;&gt;0,VLOOKUP(I217,ItemText[],IFERROR(MATCH(UI!$B$1,ItemText[#Headers],0),2),FALSE),""),"Unset")</f>
        <v>遼闊的水滴情景</v>
      </c>
      <c r="L217" t="str">
        <f t="shared" si="22"/>
        <v>7280000-【鐵之眼】延長弱點顯露的時間</v>
      </c>
      <c r="M217">
        <v>7280000</v>
      </c>
      <c r="N217" t="str">
        <f>IF(VALUE(M217)=0,"",VLOOKUP(VLOOKUP(M217,Tbl_Effect[],3,FALSE),EffectName[],IFERROR(MATCH(UI!$B$1,EffectName[#Headers],0),2),FALSE))</f>
        <v>【鐵之眼】延長弱點顯露的時間</v>
      </c>
      <c r="O217" t="str">
        <f t="shared" si="23"/>
        <v>7330000-提升短劍的攻擊力</v>
      </c>
      <c r="P217">
        <v>7330000</v>
      </c>
      <c r="Q217" t="str">
        <f>IF(VALUE(P217)=0,"",VLOOKUP(VLOOKUP(P217,Tbl_Effect[],3,FALSE),EffectName[],IFERROR(MATCH(UI!$B$1,EffectName[#Headers],0),2),FALSE))</f>
        <v>提升短劍的攻擊力</v>
      </c>
      <c r="R217" t="str">
        <f t="shared" si="24"/>
        <v>7330000-提升短劍的攻擊力</v>
      </c>
      <c r="S217">
        <v>7330000</v>
      </c>
      <c r="T217" t="str">
        <f>IF(VALUE(S217)=0,"",VLOOKUP(VLOOKUP(S217,Tbl_Effect[],3,FALSE),EffectName[],IFERROR(MATCH(UI!$B$1,EffectName[#Headers],0),2),FALSE))</f>
        <v>提升短劍的攻擊力</v>
      </c>
      <c r="U217" t="str">
        <f t="shared" si="25"/>
        <v/>
      </c>
      <c r="V217">
        <v>0</v>
      </c>
      <c r="W217" t="str">
        <f>IF(V217&lt;&gt;0,VLOOKUP(VLOOKUP(V217,Tbl_Effect[],3,FALSE),EffectName[],IFERROR(MATCH(UI!$B$1,EffectName[#Headers],0),2),FALSE),"")</f>
        <v/>
      </c>
      <c r="X217" t="str">
        <f t="shared" si="26"/>
        <v/>
      </c>
      <c r="Y217">
        <v>0</v>
      </c>
      <c r="Z217" t="str">
        <f>IF(Y217&lt;&gt;0,VLOOKUP(VLOOKUP(Y217,Tbl_Effect[],3,FALSE),EffectName[],IFERROR(MATCH(UI!$B$1,EffectName[#Headers],0),2),FALSE),"")</f>
        <v/>
      </c>
      <c r="AA217" t="str">
        <f t="shared" si="27"/>
        <v/>
      </c>
      <c r="AB217">
        <v>0</v>
      </c>
      <c r="AC217" t="str">
        <f>IF(AB217&lt;&gt;0,VLOOKUP(VLOOKUP(AB217,Tbl_Effect[],3,FALSE),EffectName[],IFERROR(MATCH(UI!$B$1,EffectName[#Headers],0),2),FALSE),"")</f>
        <v/>
      </c>
      <c r="AE217">
        <v>7280000</v>
      </c>
      <c r="AF217">
        <v>7330000</v>
      </c>
      <c r="AG217">
        <v>7330000</v>
      </c>
    </row>
    <row r="218" spans="8:33" x14ac:dyDescent="0.4">
      <c r="H218" t="str">
        <f t="shared" si="21"/>
        <v>20015-細膩的水滴情景 (藍)</v>
      </c>
      <c r="I218">
        <v>20015</v>
      </c>
      <c r="J218" t="str">
        <f>_xlfn.IFNA(IF(I218&lt;&gt;0,VLOOKUP(VLOOKUP(I218,Tbl_Equip[],2,FALSE),Tbl_Color[],IFERROR(MATCH(UI!$B$1,Tbl_Color[#Headers],0),2),FALSE),""),"Unset")</f>
        <v>藍</v>
      </c>
      <c r="K218" t="str">
        <f>_xlfn.IFNA(IF(I218&lt;&gt;0,VLOOKUP(I218,ItemText[],IFERROR(MATCH(UI!$B$1,ItemText[#Headers],0),2),FALSE),""),"Unset")</f>
        <v>細膩的水滴情景</v>
      </c>
      <c r="L218" t="str">
        <f t="shared" si="22"/>
        <v>7290000-【女爵】提升技藝造成的傷害</v>
      </c>
      <c r="M218">
        <v>7290000</v>
      </c>
      <c r="N218" t="str">
        <f>IF(VALUE(M218)=0,"",VLOOKUP(VLOOKUP(M218,Tbl_Effect[],3,FALSE),EffectName[],IFERROR(MATCH(UI!$B$1,EffectName[#Headers],0),2),FALSE))</f>
        <v>【女爵】提升技藝造成的傷害</v>
      </c>
      <c r="O218" t="str">
        <f t="shared" si="23"/>
        <v>7330100-提升直劍的攻擊力</v>
      </c>
      <c r="P218">
        <v>7330100</v>
      </c>
      <c r="Q218" t="str">
        <f>IF(VALUE(P218)=0,"",VLOOKUP(VLOOKUP(P218,Tbl_Effect[],3,FALSE),EffectName[],IFERROR(MATCH(UI!$B$1,EffectName[#Headers],0),2),FALSE))</f>
        <v>提升直劍的攻擊力</v>
      </c>
      <c r="R218" t="str">
        <f t="shared" si="24"/>
        <v>7330100-提升直劍的攻擊力</v>
      </c>
      <c r="S218">
        <v>7330100</v>
      </c>
      <c r="T218" t="str">
        <f>IF(VALUE(S218)=0,"",VLOOKUP(VLOOKUP(S218,Tbl_Effect[],3,FALSE),EffectName[],IFERROR(MATCH(UI!$B$1,EffectName[#Headers],0),2),FALSE))</f>
        <v>提升直劍的攻擊力</v>
      </c>
      <c r="U218" t="str">
        <f t="shared" si="25"/>
        <v/>
      </c>
      <c r="V218">
        <v>0</v>
      </c>
      <c r="W218" t="str">
        <f>IF(V218&lt;&gt;0,VLOOKUP(VLOOKUP(V218,Tbl_Effect[],3,FALSE),EffectName[],IFERROR(MATCH(UI!$B$1,EffectName[#Headers],0),2),FALSE),"")</f>
        <v/>
      </c>
      <c r="X218" t="str">
        <f t="shared" si="26"/>
        <v/>
      </c>
      <c r="Y218">
        <v>0</v>
      </c>
      <c r="Z218" t="str">
        <f>IF(Y218&lt;&gt;0,VLOOKUP(VLOOKUP(Y218,Tbl_Effect[],3,FALSE),EffectName[],IFERROR(MATCH(UI!$B$1,EffectName[#Headers],0),2),FALSE),"")</f>
        <v/>
      </c>
      <c r="AA218" t="str">
        <f t="shared" si="27"/>
        <v/>
      </c>
      <c r="AB218">
        <v>0</v>
      </c>
      <c r="AC218" t="str">
        <f>IF(AB218&lt;&gt;0,VLOOKUP(VLOOKUP(AB218,Tbl_Effect[],3,FALSE),EffectName[],IFERROR(MATCH(UI!$B$1,EffectName[#Headers],0),2),FALSE),"")</f>
        <v/>
      </c>
      <c r="AE218">
        <v>7290000</v>
      </c>
      <c r="AF218">
        <v>7330100</v>
      </c>
      <c r="AG218">
        <v>7330100</v>
      </c>
    </row>
    <row r="219" spans="8:33" x14ac:dyDescent="0.4">
      <c r="H219" t="str">
        <f t="shared" si="21"/>
        <v>20016-端正的水滴情景 (藍)</v>
      </c>
      <c r="I219">
        <v>20016</v>
      </c>
      <c r="J219" t="str">
        <f>_xlfn.IFNA(IF(I219&lt;&gt;0,VLOOKUP(VLOOKUP(I219,Tbl_Equip[],2,FALSE),Tbl_Color[],IFERROR(MATCH(UI!$B$1,Tbl_Color[#Headers],0),2),FALSE),""),"Unset")</f>
        <v>藍</v>
      </c>
      <c r="K219" t="str">
        <f>_xlfn.IFNA(IF(I219&lt;&gt;0,VLOOKUP(I219,ItemText[],IFERROR(MATCH(UI!$B$1,ItemText[#Headers],0),2),FALSE),""),"Unset")</f>
        <v>端正的水滴情景</v>
      </c>
      <c r="L219" t="str">
        <f t="shared" si="22"/>
        <v>7310000-【無賴】延長絕活的有效時間</v>
      </c>
      <c r="M219">
        <v>7310000</v>
      </c>
      <c r="N219" t="str">
        <f>IF(VALUE(M219)=0,"",VLOOKUP(VLOOKUP(M219,Tbl_Effect[],3,FALSE),EffectName[],IFERROR(MATCH(UI!$B$1,EffectName[#Headers],0),2),FALSE))</f>
        <v>【無賴】延長絕活的有效時間</v>
      </c>
      <c r="O219" t="str">
        <f t="shared" si="23"/>
        <v>7330200-提升大劍的攻擊力</v>
      </c>
      <c r="P219">
        <v>7330200</v>
      </c>
      <c r="Q219" t="str">
        <f>IF(VALUE(P219)=0,"",VLOOKUP(VLOOKUP(P219,Tbl_Effect[],3,FALSE),EffectName[],IFERROR(MATCH(UI!$B$1,EffectName[#Headers],0),2),FALSE))</f>
        <v>提升大劍的攻擊力</v>
      </c>
      <c r="R219" t="str">
        <f t="shared" si="24"/>
        <v>7330200-提升大劍的攻擊力</v>
      </c>
      <c r="S219">
        <v>7330200</v>
      </c>
      <c r="T219" t="str">
        <f>IF(VALUE(S219)=0,"",VLOOKUP(VLOOKUP(S219,Tbl_Effect[],3,FALSE),EffectName[],IFERROR(MATCH(UI!$B$1,EffectName[#Headers],0),2),FALSE))</f>
        <v>提升大劍的攻擊力</v>
      </c>
      <c r="U219" t="str">
        <f t="shared" si="25"/>
        <v/>
      </c>
      <c r="V219">
        <v>0</v>
      </c>
      <c r="W219" t="str">
        <f>IF(V219&lt;&gt;0,VLOOKUP(VLOOKUP(V219,Tbl_Effect[],3,FALSE),EffectName[],IFERROR(MATCH(UI!$B$1,EffectName[#Headers],0),2),FALSE),"")</f>
        <v/>
      </c>
      <c r="X219" t="str">
        <f t="shared" si="26"/>
        <v/>
      </c>
      <c r="Y219">
        <v>0</v>
      </c>
      <c r="Z219" t="str">
        <f>IF(Y219&lt;&gt;0,VLOOKUP(VLOOKUP(Y219,Tbl_Effect[],3,FALSE),EffectName[],IFERROR(MATCH(UI!$B$1,EffectName[#Headers],0),2),FALSE),"")</f>
        <v/>
      </c>
      <c r="AA219" t="str">
        <f t="shared" si="27"/>
        <v/>
      </c>
      <c r="AB219">
        <v>0</v>
      </c>
      <c r="AC219" t="str">
        <f>IF(AB219&lt;&gt;0,VLOOKUP(VLOOKUP(AB219,Tbl_Effect[],3,FALSE),EffectName[],IFERROR(MATCH(UI!$B$1,EffectName[#Headers],0),2),FALSE),"")</f>
        <v/>
      </c>
      <c r="AE219">
        <v>7310000</v>
      </c>
      <c r="AF219">
        <v>7330200</v>
      </c>
      <c r="AG219">
        <v>7330200</v>
      </c>
    </row>
    <row r="220" spans="8:33" x14ac:dyDescent="0.4">
      <c r="H220" t="str">
        <f t="shared" si="21"/>
        <v>20017-遼闊的水滴情景 (藍)</v>
      </c>
      <c r="I220">
        <v>20017</v>
      </c>
      <c r="J220" t="str">
        <f>_xlfn.IFNA(IF(I220&lt;&gt;0,VLOOKUP(VLOOKUP(I220,Tbl_Equip[],2,FALSE),Tbl_Color[],IFERROR(MATCH(UI!$B$1,Tbl_Color[#Headers],0),2),FALSE),""),"Unset")</f>
        <v>藍</v>
      </c>
      <c r="K220" t="str">
        <f>_xlfn.IFNA(IF(I220&lt;&gt;0,VLOOKUP(I220,ItemText[],IFERROR(MATCH(UI!$B$1,ItemText[#Headers],0),2),FALSE),""),"Unset")</f>
        <v>遼闊的水滴情景</v>
      </c>
      <c r="L220" t="str">
        <f t="shared" si="22"/>
        <v>7330000-提升短劍的攻擊力</v>
      </c>
      <c r="M220">
        <v>7330000</v>
      </c>
      <c r="N220" t="str">
        <f>IF(VALUE(M220)=0,"",VLOOKUP(VLOOKUP(M220,Tbl_Effect[],3,FALSE),EffectName[],IFERROR(MATCH(UI!$B$1,EffectName[#Headers],0),2),FALSE))</f>
        <v>提升短劍的攻擊力</v>
      </c>
      <c r="O220" t="str">
        <f t="shared" si="23"/>
        <v>7330300-提升特大劍的攻擊力</v>
      </c>
      <c r="P220">
        <v>7330300</v>
      </c>
      <c r="Q220" t="str">
        <f>IF(VALUE(P220)=0,"",VLOOKUP(VLOOKUP(P220,Tbl_Effect[],3,FALSE),EffectName[],IFERROR(MATCH(UI!$B$1,EffectName[#Headers],0),2),FALSE))</f>
        <v>提升特大劍的攻擊力</v>
      </c>
      <c r="R220" t="str">
        <f t="shared" si="24"/>
        <v>7330300-提升特大劍的攻擊力</v>
      </c>
      <c r="S220">
        <v>7330300</v>
      </c>
      <c r="T220" t="str">
        <f>IF(VALUE(S220)=0,"",VLOOKUP(VLOOKUP(S220,Tbl_Effect[],3,FALSE),EffectName[],IFERROR(MATCH(UI!$B$1,EffectName[#Headers],0),2),FALSE))</f>
        <v>提升特大劍的攻擊力</v>
      </c>
      <c r="U220" t="str">
        <f t="shared" si="25"/>
        <v/>
      </c>
      <c r="V220">
        <v>0</v>
      </c>
      <c r="W220" t="str">
        <f>IF(V220&lt;&gt;0,VLOOKUP(VLOOKUP(V220,Tbl_Effect[],3,FALSE),EffectName[],IFERROR(MATCH(UI!$B$1,EffectName[#Headers],0),2),FALSE),"")</f>
        <v/>
      </c>
      <c r="X220" t="str">
        <f t="shared" si="26"/>
        <v/>
      </c>
      <c r="Y220">
        <v>0</v>
      </c>
      <c r="Z220" t="str">
        <f>IF(Y220&lt;&gt;0,VLOOKUP(VLOOKUP(Y220,Tbl_Effect[],3,FALSE),EffectName[],IFERROR(MATCH(UI!$B$1,EffectName[#Headers],0),2),FALSE),"")</f>
        <v/>
      </c>
      <c r="AA220" t="str">
        <f t="shared" si="27"/>
        <v/>
      </c>
      <c r="AB220">
        <v>0</v>
      </c>
      <c r="AC220" t="str">
        <f>IF(AB220&lt;&gt;0,VLOOKUP(VLOOKUP(AB220,Tbl_Effect[],3,FALSE),EffectName[],IFERROR(MATCH(UI!$B$1,EffectName[#Headers],0),2),FALSE),"")</f>
        <v/>
      </c>
      <c r="AE220">
        <v>7330000</v>
      </c>
      <c r="AF220">
        <v>7330300</v>
      </c>
      <c r="AG220">
        <v>7330300</v>
      </c>
    </row>
    <row r="221" spans="8:33" x14ac:dyDescent="0.4">
      <c r="H221" t="str">
        <f t="shared" si="21"/>
        <v>20018-細膩的光耀情景 (黃)</v>
      </c>
      <c r="I221">
        <v>20018</v>
      </c>
      <c r="J221" t="str">
        <f>_xlfn.IFNA(IF(I221&lt;&gt;0,VLOOKUP(VLOOKUP(I221,Tbl_Equip[],2,FALSE),Tbl_Color[],IFERROR(MATCH(UI!$B$1,Tbl_Color[#Headers],0),2),FALSE),""),"Unset")</f>
        <v>黃</v>
      </c>
      <c r="K221" t="str">
        <f>_xlfn.IFNA(IF(I221&lt;&gt;0,VLOOKUP(I221,ItemText[],IFERROR(MATCH(UI!$B$1,ItemText[#Headers],0),2),FALSE),""),"Unset")</f>
        <v>細膩的光耀情景</v>
      </c>
      <c r="L221" t="str">
        <f t="shared" si="22"/>
        <v>7330100-提升直劍的攻擊力</v>
      </c>
      <c r="M221">
        <v>7330100</v>
      </c>
      <c r="N221" t="str">
        <f>IF(VALUE(M221)=0,"",VLOOKUP(VLOOKUP(M221,Tbl_Effect[],3,FALSE),EffectName[],IFERROR(MATCH(UI!$B$1,EffectName[#Headers],0),2),FALSE))</f>
        <v>提升直劍的攻擊力</v>
      </c>
      <c r="O221" t="str">
        <f t="shared" si="23"/>
        <v>7330400-提升曲劍的攻擊力</v>
      </c>
      <c r="P221">
        <v>7330400</v>
      </c>
      <c r="Q221" t="str">
        <f>IF(VALUE(P221)=0,"",VLOOKUP(VLOOKUP(P221,Tbl_Effect[],3,FALSE),EffectName[],IFERROR(MATCH(UI!$B$1,EffectName[#Headers],0),2),FALSE))</f>
        <v>提升曲劍的攻擊力</v>
      </c>
      <c r="R221" t="str">
        <f t="shared" si="24"/>
        <v>7330400-提升曲劍的攻擊力</v>
      </c>
      <c r="S221">
        <v>7330400</v>
      </c>
      <c r="T221" t="str">
        <f>IF(VALUE(S221)=0,"",VLOOKUP(VLOOKUP(S221,Tbl_Effect[],3,FALSE),EffectName[],IFERROR(MATCH(UI!$B$1,EffectName[#Headers],0),2),FALSE))</f>
        <v>提升曲劍的攻擊力</v>
      </c>
      <c r="U221" t="str">
        <f t="shared" si="25"/>
        <v/>
      </c>
      <c r="V221">
        <v>0</v>
      </c>
      <c r="W221" t="str">
        <f>IF(V221&lt;&gt;0,VLOOKUP(VLOOKUP(V221,Tbl_Effect[],3,FALSE),EffectName[],IFERROR(MATCH(UI!$B$1,EffectName[#Headers],0),2),FALSE),"")</f>
        <v/>
      </c>
      <c r="X221" t="str">
        <f t="shared" si="26"/>
        <v/>
      </c>
      <c r="Y221">
        <v>0</v>
      </c>
      <c r="Z221" t="str">
        <f>IF(Y221&lt;&gt;0,VLOOKUP(VLOOKUP(Y221,Tbl_Effect[],3,FALSE),EffectName[],IFERROR(MATCH(UI!$B$1,EffectName[#Headers],0),2),FALSE),"")</f>
        <v/>
      </c>
      <c r="AA221" t="str">
        <f t="shared" si="27"/>
        <v/>
      </c>
      <c r="AB221">
        <v>0</v>
      </c>
      <c r="AC221" t="str">
        <f>IF(AB221&lt;&gt;0,VLOOKUP(VLOOKUP(AB221,Tbl_Effect[],3,FALSE),EffectName[],IFERROR(MATCH(UI!$B$1,EffectName[#Headers],0),2),FALSE),"")</f>
        <v/>
      </c>
      <c r="AE221">
        <v>7330100</v>
      </c>
      <c r="AF221">
        <v>7330400</v>
      </c>
      <c r="AG221">
        <v>7330400</v>
      </c>
    </row>
    <row r="222" spans="8:33" x14ac:dyDescent="0.4">
      <c r="H222" t="str">
        <f t="shared" si="21"/>
        <v>20019-端正的光耀情景 (黃)</v>
      </c>
      <c r="I222">
        <v>20019</v>
      </c>
      <c r="J222" t="str">
        <f>_xlfn.IFNA(IF(I222&lt;&gt;0,VLOOKUP(VLOOKUP(I222,Tbl_Equip[],2,FALSE),Tbl_Color[],IFERROR(MATCH(UI!$B$1,Tbl_Color[#Headers],0),2),FALSE),""),"Unset")</f>
        <v>黃</v>
      </c>
      <c r="K222" t="str">
        <f>_xlfn.IFNA(IF(I222&lt;&gt;0,VLOOKUP(I222,ItemText[],IFERROR(MATCH(UI!$B$1,ItemText[#Headers],0),2),FALSE),""),"Unset")</f>
        <v>端正的光耀情景</v>
      </c>
      <c r="L222" t="str">
        <f t="shared" si="22"/>
        <v>7330200-提升大劍的攻擊力</v>
      </c>
      <c r="M222">
        <v>7330200</v>
      </c>
      <c r="N222" t="str">
        <f>IF(VALUE(M222)=0,"",VLOOKUP(VLOOKUP(M222,Tbl_Effect[],3,FALSE),EffectName[],IFERROR(MATCH(UI!$B$1,EffectName[#Headers],0),2),FALSE))</f>
        <v>提升大劍的攻擊力</v>
      </c>
      <c r="O222" t="str">
        <f t="shared" si="23"/>
        <v>7330500-提升大曲劍的攻擊力</v>
      </c>
      <c r="P222">
        <v>7330500</v>
      </c>
      <c r="Q222" t="str">
        <f>IF(VALUE(P222)=0,"",VLOOKUP(VLOOKUP(P222,Tbl_Effect[],3,FALSE),EffectName[],IFERROR(MATCH(UI!$B$1,EffectName[#Headers],0),2),FALSE))</f>
        <v>提升大曲劍的攻擊力</v>
      </c>
      <c r="R222" t="str">
        <f t="shared" si="24"/>
        <v>7330500-提升大曲劍的攻擊力</v>
      </c>
      <c r="S222">
        <v>7330500</v>
      </c>
      <c r="T222" t="str">
        <f>IF(VALUE(S222)=0,"",VLOOKUP(VLOOKUP(S222,Tbl_Effect[],3,FALSE),EffectName[],IFERROR(MATCH(UI!$B$1,EffectName[#Headers],0),2),FALSE))</f>
        <v>提升大曲劍的攻擊力</v>
      </c>
      <c r="U222" t="str">
        <f t="shared" si="25"/>
        <v/>
      </c>
      <c r="V222">
        <v>0</v>
      </c>
      <c r="W222" t="str">
        <f>IF(V222&lt;&gt;0,VLOOKUP(VLOOKUP(V222,Tbl_Effect[],3,FALSE),EffectName[],IFERROR(MATCH(UI!$B$1,EffectName[#Headers],0),2),FALSE),"")</f>
        <v/>
      </c>
      <c r="X222" t="str">
        <f t="shared" si="26"/>
        <v/>
      </c>
      <c r="Y222">
        <v>0</v>
      </c>
      <c r="Z222" t="str">
        <f>IF(Y222&lt;&gt;0,VLOOKUP(VLOOKUP(Y222,Tbl_Effect[],3,FALSE),EffectName[],IFERROR(MATCH(UI!$B$1,EffectName[#Headers],0),2),FALSE),"")</f>
        <v/>
      </c>
      <c r="AA222" t="str">
        <f t="shared" si="27"/>
        <v/>
      </c>
      <c r="AB222">
        <v>0</v>
      </c>
      <c r="AC222" t="str">
        <f>IF(AB222&lt;&gt;0,VLOOKUP(VLOOKUP(AB222,Tbl_Effect[],3,FALSE),EffectName[],IFERROR(MATCH(UI!$B$1,EffectName[#Headers],0),2),FALSE),"")</f>
        <v/>
      </c>
      <c r="AE222">
        <v>7330200</v>
      </c>
      <c r="AF222">
        <v>7330500</v>
      </c>
      <c r="AG222">
        <v>7330500</v>
      </c>
    </row>
    <row r="223" spans="8:33" x14ac:dyDescent="0.4">
      <c r="H223" t="str">
        <f t="shared" si="21"/>
        <v>20020-遼闊的光耀情景 (黃)</v>
      </c>
      <c r="I223">
        <v>20020</v>
      </c>
      <c r="J223" t="str">
        <f>_xlfn.IFNA(IF(I223&lt;&gt;0,VLOOKUP(VLOOKUP(I223,Tbl_Equip[],2,FALSE),Tbl_Color[],IFERROR(MATCH(UI!$B$1,Tbl_Color[#Headers],0),2),FALSE),""),"Unset")</f>
        <v>黃</v>
      </c>
      <c r="K223" t="str">
        <f>_xlfn.IFNA(IF(I223&lt;&gt;0,VLOOKUP(I223,ItemText[],IFERROR(MATCH(UI!$B$1,ItemText[#Headers],0),2),FALSE),""),"Unset")</f>
        <v>遼闊的光耀情景</v>
      </c>
      <c r="L223" t="str">
        <f t="shared" si="22"/>
        <v>7330300-提升特大劍的攻擊力</v>
      </c>
      <c r="M223">
        <v>7330300</v>
      </c>
      <c r="N223" t="str">
        <f>IF(VALUE(M223)=0,"",VLOOKUP(VLOOKUP(M223,Tbl_Effect[],3,FALSE),EffectName[],IFERROR(MATCH(UI!$B$1,EffectName[#Headers],0),2),FALSE))</f>
        <v>提升特大劍的攻擊力</v>
      </c>
      <c r="O223" t="str">
        <f t="shared" si="23"/>
        <v>7330600-提升刀的攻擊力</v>
      </c>
      <c r="P223">
        <v>7330600</v>
      </c>
      <c r="Q223" t="str">
        <f>IF(VALUE(P223)=0,"",VLOOKUP(VLOOKUP(P223,Tbl_Effect[],3,FALSE),EffectName[],IFERROR(MATCH(UI!$B$1,EffectName[#Headers],0),2),FALSE))</f>
        <v>提升刀的攻擊力</v>
      </c>
      <c r="R223" t="str">
        <f t="shared" si="24"/>
        <v>7330600-提升刀的攻擊力</v>
      </c>
      <c r="S223">
        <v>7330600</v>
      </c>
      <c r="T223" t="str">
        <f>IF(VALUE(S223)=0,"",VLOOKUP(VLOOKUP(S223,Tbl_Effect[],3,FALSE),EffectName[],IFERROR(MATCH(UI!$B$1,EffectName[#Headers],0),2),FALSE))</f>
        <v>提升刀的攻擊力</v>
      </c>
      <c r="U223" t="str">
        <f t="shared" si="25"/>
        <v/>
      </c>
      <c r="V223">
        <v>0</v>
      </c>
      <c r="W223" t="str">
        <f>IF(V223&lt;&gt;0,VLOOKUP(VLOOKUP(V223,Tbl_Effect[],3,FALSE),EffectName[],IFERROR(MATCH(UI!$B$1,EffectName[#Headers],0),2),FALSE),"")</f>
        <v/>
      </c>
      <c r="X223" t="str">
        <f t="shared" si="26"/>
        <v/>
      </c>
      <c r="Y223">
        <v>0</v>
      </c>
      <c r="Z223" t="str">
        <f>IF(Y223&lt;&gt;0,VLOOKUP(VLOOKUP(Y223,Tbl_Effect[],3,FALSE),EffectName[],IFERROR(MATCH(UI!$B$1,EffectName[#Headers],0),2),FALSE),"")</f>
        <v/>
      </c>
      <c r="AA223" t="str">
        <f t="shared" si="27"/>
        <v/>
      </c>
      <c r="AB223">
        <v>0</v>
      </c>
      <c r="AC223" t="str">
        <f>IF(AB223&lt;&gt;0,VLOOKUP(VLOOKUP(AB223,Tbl_Effect[],3,FALSE),EffectName[],IFERROR(MATCH(UI!$B$1,EffectName[#Headers],0),2),FALSE),"")</f>
        <v/>
      </c>
      <c r="AE223">
        <v>7330300</v>
      </c>
      <c r="AF223">
        <v>7330600</v>
      </c>
      <c r="AG223">
        <v>7330600</v>
      </c>
    </row>
    <row r="224" spans="8:33" x14ac:dyDescent="0.4">
      <c r="H224" t="str">
        <f t="shared" si="21"/>
        <v>20021-細膩的光耀情景 (黃)</v>
      </c>
      <c r="I224">
        <v>20021</v>
      </c>
      <c r="J224" t="str">
        <f>_xlfn.IFNA(IF(I224&lt;&gt;0,VLOOKUP(VLOOKUP(I224,Tbl_Equip[],2,FALSE),Tbl_Color[],IFERROR(MATCH(UI!$B$1,Tbl_Color[#Headers],0),2),FALSE),""),"Unset")</f>
        <v>黃</v>
      </c>
      <c r="K224" t="str">
        <f>_xlfn.IFNA(IF(I224&lt;&gt;0,VLOOKUP(I224,ItemText[],IFERROR(MATCH(UI!$B$1,ItemText[#Headers],0),2),FALSE),""),"Unset")</f>
        <v>細膩的光耀情景</v>
      </c>
      <c r="L224" t="str">
        <f t="shared" si="22"/>
        <v>7330400-提升曲劍的攻擊力</v>
      </c>
      <c r="M224">
        <v>7330400</v>
      </c>
      <c r="N224" t="str">
        <f>IF(VALUE(M224)=0,"",VLOOKUP(VLOOKUP(M224,Tbl_Effect[],3,FALSE),EffectName[],IFERROR(MATCH(UI!$B$1,EffectName[#Headers],0),2),FALSE))</f>
        <v>提升曲劍的攻擊力</v>
      </c>
      <c r="O224" t="str">
        <f t="shared" si="23"/>
        <v>7330700-提升雙頭劍的攻擊力</v>
      </c>
      <c r="P224">
        <v>7330700</v>
      </c>
      <c r="Q224" t="str">
        <f>IF(VALUE(P224)=0,"",VLOOKUP(VLOOKUP(P224,Tbl_Effect[],3,FALSE),EffectName[],IFERROR(MATCH(UI!$B$1,EffectName[#Headers],0),2),FALSE))</f>
        <v>提升雙頭劍的攻擊力</v>
      </c>
      <c r="R224" t="str">
        <f t="shared" si="24"/>
        <v>7330700-提升雙頭劍的攻擊力</v>
      </c>
      <c r="S224">
        <v>7330700</v>
      </c>
      <c r="T224" t="str">
        <f>IF(VALUE(S224)=0,"",VLOOKUP(VLOOKUP(S224,Tbl_Effect[],3,FALSE),EffectName[],IFERROR(MATCH(UI!$B$1,EffectName[#Headers],0),2),FALSE))</f>
        <v>提升雙頭劍的攻擊力</v>
      </c>
      <c r="U224" t="str">
        <f t="shared" si="25"/>
        <v/>
      </c>
      <c r="V224">
        <v>0</v>
      </c>
      <c r="W224" t="str">
        <f>IF(V224&lt;&gt;0,VLOOKUP(VLOOKUP(V224,Tbl_Effect[],3,FALSE),EffectName[],IFERROR(MATCH(UI!$B$1,EffectName[#Headers],0),2),FALSE),"")</f>
        <v/>
      </c>
      <c r="X224" t="str">
        <f t="shared" si="26"/>
        <v/>
      </c>
      <c r="Y224">
        <v>0</v>
      </c>
      <c r="Z224" t="str">
        <f>IF(Y224&lt;&gt;0,VLOOKUP(VLOOKUP(Y224,Tbl_Effect[],3,FALSE),EffectName[],IFERROR(MATCH(UI!$B$1,EffectName[#Headers],0),2),FALSE),"")</f>
        <v/>
      </c>
      <c r="AA224" t="str">
        <f t="shared" si="27"/>
        <v/>
      </c>
      <c r="AB224">
        <v>0</v>
      </c>
      <c r="AC224" t="str">
        <f>IF(AB224&lt;&gt;0,VLOOKUP(VLOOKUP(AB224,Tbl_Effect[],3,FALSE),EffectName[],IFERROR(MATCH(UI!$B$1,EffectName[#Headers],0),2),FALSE),"")</f>
        <v/>
      </c>
      <c r="AE224">
        <v>7330400</v>
      </c>
      <c r="AF224">
        <v>7330700</v>
      </c>
      <c r="AG224">
        <v>7330700</v>
      </c>
    </row>
    <row r="225" spans="8:33" x14ac:dyDescent="0.4">
      <c r="H225" t="str">
        <f t="shared" si="21"/>
        <v>20022-端正的光耀情景 (黃)</v>
      </c>
      <c r="I225">
        <v>20022</v>
      </c>
      <c r="J225" t="str">
        <f>_xlfn.IFNA(IF(I225&lt;&gt;0,VLOOKUP(VLOOKUP(I225,Tbl_Equip[],2,FALSE),Tbl_Color[],IFERROR(MATCH(UI!$B$1,Tbl_Color[#Headers],0),2),FALSE),""),"Unset")</f>
        <v>黃</v>
      </c>
      <c r="K225" t="str">
        <f>_xlfn.IFNA(IF(I225&lt;&gt;0,VLOOKUP(I225,ItemText[],IFERROR(MATCH(UI!$B$1,ItemText[#Headers],0),2),FALSE),""),"Unset")</f>
        <v>端正的光耀情景</v>
      </c>
      <c r="L225" t="str">
        <f t="shared" si="22"/>
        <v>7330500-提升大曲劍的攻擊力</v>
      </c>
      <c r="M225">
        <v>7330500</v>
      </c>
      <c r="N225" t="str">
        <f>IF(VALUE(M225)=0,"",VLOOKUP(VLOOKUP(M225,Tbl_Effect[],3,FALSE),EffectName[],IFERROR(MATCH(UI!$B$1,EffectName[#Headers],0),2),FALSE))</f>
        <v>提升大曲劍的攻擊力</v>
      </c>
      <c r="O225" t="str">
        <f t="shared" si="23"/>
        <v>7330800-提升刺劍的攻擊力</v>
      </c>
      <c r="P225">
        <v>7330800</v>
      </c>
      <c r="Q225" t="str">
        <f>IF(VALUE(P225)=0,"",VLOOKUP(VLOOKUP(P225,Tbl_Effect[],3,FALSE),EffectName[],IFERROR(MATCH(UI!$B$1,EffectName[#Headers],0),2),FALSE))</f>
        <v>提升刺劍的攻擊力</v>
      </c>
      <c r="R225" t="str">
        <f t="shared" si="24"/>
        <v>7330800-提升刺劍的攻擊力</v>
      </c>
      <c r="S225">
        <v>7330800</v>
      </c>
      <c r="T225" t="str">
        <f>IF(VALUE(S225)=0,"",VLOOKUP(VLOOKUP(S225,Tbl_Effect[],3,FALSE),EffectName[],IFERROR(MATCH(UI!$B$1,EffectName[#Headers],0),2),FALSE))</f>
        <v>提升刺劍的攻擊力</v>
      </c>
      <c r="U225" t="str">
        <f t="shared" si="25"/>
        <v/>
      </c>
      <c r="V225">
        <v>0</v>
      </c>
      <c r="W225" t="str">
        <f>IF(V225&lt;&gt;0,VLOOKUP(VLOOKUP(V225,Tbl_Effect[],3,FALSE),EffectName[],IFERROR(MATCH(UI!$B$1,EffectName[#Headers],0),2),FALSE),"")</f>
        <v/>
      </c>
      <c r="X225" t="str">
        <f t="shared" si="26"/>
        <v/>
      </c>
      <c r="Y225">
        <v>0</v>
      </c>
      <c r="Z225" t="str">
        <f>IF(Y225&lt;&gt;0,VLOOKUP(VLOOKUP(Y225,Tbl_Effect[],3,FALSE),EffectName[],IFERROR(MATCH(UI!$B$1,EffectName[#Headers],0),2),FALSE),"")</f>
        <v/>
      </c>
      <c r="AA225" t="str">
        <f t="shared" si="27"/>
        <v/>
      </c>
      <c r="AB225">
        <v>0</v>
      </c>
      <c r="AC225" t="str">
        <f>IF(AB225&lt;&gt;0,VLOOKUP(VLOOKUP(AB225,Tbl_Effect[],3,FALSE),EffectName[],IFERROR(MATCH(UI!$B$1,EffectName[#Headers],0),2),FALSE),"")</f>
        <v/>
      </c>
      <c r="AE225">
        <v>7330500</v>
      </c>
      <c r="AF225">
        <v>7330800</v>
      </c>
      <c r="AG225">
        <v>7330800</v>
      </c>
    </row>
    <row r="226" spans="8:33" x14ac:dyDescent="0.4">
      <c r="H226" t="str">
        <f t="shared" si="21"/>
        <v>20023-遼闊的光耀情景 (黃)</v>
      </c>
      <c r="I226">
        <v>20023</v>
      </c>
      <c r="J226" t="str">
        <f>_xlfn.IFNA(IF(I226&lt;&gt;0,VLOOKUP(VLOOKUP(I226,Tbl_Equip[],2,FALSE),Tbl_Color[],IFERROR(MATCH(UI!$B$1,Tbl_Color[#Headers],0),2),FALSE),""),"Unset")</f>
        <v>黃</v>
      </c>
      <c r="K226" t="str">
        <f>_xlfn.IFNA(IF(I226&lt;&gt;0,VLOOKUP(I226,ItemText[],IFERROR(MATCH(UI!$B$1,ItemText[#Headers],0),2),FALSE),""),"Unset")</f>
        <v>遼闊的光耀情景</v>
      </c>
      <c r="L226" t="str">
        <f t="shared" si="22"/>
        <v>7330600-提升刀的攻擊力</v>
      </c>
      <c r="M226">
        <v>7330600</v>
      </c>
      <c r="N226" t="str">
        <f>IF(VALUE(M226)=0,"",VLOOKUP(VLOOKUP(M226,Tbl_Effect[],3,FALSE),EffectName[],IFERROR(MATCH(UI!$B$1,EffectName[#Headers],0),2),FALSE))</f>
        <v>提升刀的攻擊力</v>
      </c>
      <c r="O226" t="str">
        <f t="shared" si="23"/>
        <v>7330900-提升重刺劍的攻擊力</v>
      </c>
      <c r="P226">
        <v>7330900</v>
      </c>
      <c r="Q226" t="str">
        <f>IF(VALUE(P226)=0,"",VLOOKUP(VLOOKUP(P226,Tbl_Effect[],3,FALSE),EffectName[],IFERROR(MATCH(UI!$B$1,EffectName[#Headers],0),2),FALSE))</f>
        <v>提升重刺劍的攻擊力</v>
      </c>
      <c r="R226" t="str">
        <f t="shared" si="24"/>
        <v>7330900-提升重刺劍的攻擊力</v>
      </c>
      <c r="S226">
        <v>7330900</v>
      </c>
      <c r="T226" t="str">
        <f>IF(VALUE(S226)=0,"",VLOOKUP(VLOOKUP(S226,Tbl_Effect[],3,FALSE),EffectName[],IFERROR(MATCH(UI!$B$1,EffectName[#Headers],0),2),FALSE))</f>
        <v>提升重刺劍的攻擊力</v>
      </c>
      <c r="U226" t="str">
        <f t="shared" si="25"/>
        <v/>
      </c>
      <c r="V226">
        <v>0</v>
      </c>
      <c r="W226" t="str">
        <f>IF(V226&lt;&gt;0,VLOOKUP(VLOOKUP(V226,Tbl_Effect[],3,FALSE),EffectName[],IFERROR(MATCH(UI!$B$1,EffectName[#Headers],0),2),FALSE),"")</f>
        <v/>
      </c>
      <c r="X226" t="str">
        <f t="shared" si="26"/>
        <v/>
      </c>
      <c r="Y226">
        <v>0</v>
      </c>
      <c r="Z226" t="str">
        <f>IF(Y226&lt;&gt;0,VLOOKUP(VLOOKUP(Y226,Tbl_Effect[],3,FALSE),EffectName[],IFERROR(MATCH(UI!$B$1,EffectName[#Headers],0),2),FALSE),"")</f>
        <v/>
      </c>
      <c r="AA226" t="str">
        <f t="shared" si="27"/>
        <v/>
      </c>
      <c r="AB226">
        <v>0</v>
      </c>
      <c r="AC226" t="str">
        <f>IF(AB226&lt;&gt;0,VLOOKUP(VLOOKUP(AB226,Tbl_Effect[],3,FALSE),EffectName[],IFERROR(MATCH(UI!$B$1,EffectName[#Headers],0),2),FALSE),"")</f>
        <v/>
      </c>
      <c r="AE226">
        <v>7330600</v>
      </c>
      <c r="AF226">
        <v>7330900</v>
      </c>
      <c r="AG226">
        <v>7330900</v>
      </c>
    </row>
    <row r="227" spans="8:33" x14ac:dyDescent="0.4">
      <c r="H227" t="str">
        <f t="shared" si="21"/>
        <v>20024-細膩的光耀情景 (黃)</v>
      </c>
      <c r="I227">
        <v>20024</v>
      </c>
      <c r="J227" t="str">
        <f>_xlfn.IFNA(IF(I227&lt;&gt;0,VLOOKUP(VLOOKUP(I227,Tbl_Equip[],2,FALSE),Tbl_Color[],IFERROR(MATCH(UI!$B$1,Tbl_Color[#Headers],0),2),FALSE),""),"Unset")</f>
        <v>黃</v>
      </c>
      <c r="K227" t="str">
        <f>_xlfn.IFNA(IF(I227&lt;&gt;0,VLOOKUP(I227,ItemText[],IFERROR(MATCH(UI!$B$1,ItemText[#Headers],0),2),FALSE),""),"Unset")</f>
        <v>細膩的光耀情景</v>
      </c>
      <c r="L227" t="str">
        <f t="shared" si="22"/>
        <v>7330700-提升雙頭劍的攻擊力</v>
      </c>
      <c r="M227">
        <v>7330700</v>
      </c>
      <c r="N227" t="str">
        <f>IF(VALUE(M227)=0,"",VLOOKUP(VLOOKUP(M227,Tbl_Effect[],3,FALSE),EffectName[],IFERROR(MATCH(UI!$B$1,EffectName[#Headers],0),2),FALSE))</f>
        <v>提升雙頭劍的攻擊力</v>
      </c>
      <c r="O227" t="str">
        <f t="shared" si="23"/>
        <v>7331000-提升斧的攻擊力</v>
      </c>
      <c r="P227">
        <v>7331000</v>
      </c>
      <c r="Q227" t="str">
        <f>IF(VALUE(P227)=0,"",VLOOKUP(VLOOKUP(P227,Tbl_Effect[],3,FALSE),EffectName[],IFERROR(MATCH(UI!$B$1,EffectName[#Headers],0),2),FALSE))</f>
        <v>提升斧的攻擊力</v>
      </c>
      <c r="R227" t="str">
        <f t="shared" si="24"/>
        <v>7331000-提升斧的攻擊力</v>
      </c>
      <c r="S227">
        <v>7331000</v>
      </c>
      <c r="T227" t="str">
        <f>IF(VALUE(S227)=0,"",VLOOKUP(VLOOKUP(S227,Tbl_Effect[],3,FALSE),EffectName[],IFERROR(MATCH(UI!$B$1,EffectName[#Headers],0),2),FALSE))</f>
        <v>提升斧的攻擊力</v>
      </c>
      <c r="U227" t="str">
        <f t="shared" si="25"/>
        <v/>
      </c>
      <c r="V227">
        <v>0</v>
      </c>
      <c r="W227" t="str">
        <f>IF(V227&lt;&gt;0,VLOOKUP(VLOOKUP(V227,Tbl_Effect[],3,FALSE),EffectName[],IFERROR(MATCH(UI!$B$1,EffectName[#Headers],0),2),FALSE),"")</f>
        <v/>
      </c>
      <c r="X227" t="str">
        <f t="shared" si="26"/>
        <v/>
      </c>
      <c r="Y227">
        <v>0</v>
      </c>
      <c r="Z227" t="str">
        <f>IF(Y227&lt;&gt;0,VLOOKUP(VLOOKUP(Y227,Tbl_Effect[],3,FALSE),EffectName[],IFERROR(MATCH(UI!$B$1,EffectName[#Headers],0),2),FALSE),"")</f>
        <v/>
      </c>
      <c r="AA227" t="str">
        <f t="shared" si="27"/>
        <v/>
      </c>
      <c r="AB227">
        <v>0</v>
      </c>
      <c r="AC227" t="str">
        <f>IF(AB227&lt;&gt;0,VLOOKUP(VLOOKUP(AB227,Tbl_Effect[],3,FALSE),EffectName[],IFERROR(MATCH(UI!$B$1,EffectName[#Headers],0),2),FALSE),"")</f>
        <v/>
      </c>
      <c r="AE227">
        <v>7330700</v>
      </c>
      <c r="AF227">
        <v>7331000</v>
      </c>
      <c r="AG227">
        <v>7331000</v>
      </c>
    </row>
    <row r="228" spans="8:33" x14ac:dyDescent="0.4">
      <c r="H228" t="str">
        <f t="shared" si="21"/>
        <v>20025-端正的光耀情景 (黃)</v>
      </c>
      <c r="I228">
        <v>20025</v>
      </c>
      <c r="J228" t="str">
        <f>_xlfn.IFNA(IF(I228&lt;&gt;0,VLOOKUP(VLOOKUP(I228,Tbl_Equip[],2,FALSE),Tbl_Color[],IFERROR(MATCH(UI!$B$1,Tbl_Color[#Headers],0),2),FALSE),""),"Unset")</f>
        <v>黃</v>
      </c>
      <c r="K228" t="str">
        <f>_xlfn.IFNA(IF(I228&lt;&gt;0,VLOOKUP(I228,ItemText[],IFERROR(MATCH(UI!$B$1,ItemText[#Headers],0),2),FALSE),""),"Unset")</f>
        <v>端正的光耀情景</v>
      </c>
      <c r="L228" t="str">
        <f t="shared" si="22"/>
        <v>7330800-提升刺劍的攻擊力</v>
      </c>
      <c r="M228">
        <v>7330800</v>
      </c>
      <c r="N228" t="str">
        <f>IF(VALUE(M228)=0,"",VLOOKUP(VLOOKUP(M228,Tbl_Effect[],3,FALSE),EffectName[],IFERROR(MATCH(UI!$B$1,EffectName[#Headers],0),2),FALSE))</f>
        <v>提升刺劍的攻擊力</v>
      </c>
      <c r="O228" t="str">
        <f t="shared" si="23"/>
        <v>7331100-提升大斧的攻擊力</v>
      </c>
      <c r="P228">
        <v>7331100</v>
      </c>
      <c r="Q228" t="str">
        <f>IF(VALUE(P228)=0,"",VLOOKUP(VLOOKUP(P228,Tbl_Effect[],3,FALSE),EffectName[],IFERROR(MATCH(UI!$B$1,EffectName[#Headers],0),2),FALSE))</f>
        <v>提升大斧的攻擊力</v>
      </c>
      <c r="R228" t="str">
        <f t="shared" si="24"/>
        <v>7331100-提升大斧的攻擊力</v>
      </c>
      <c r="S228">
        <v>7331100</v>
      </c>
      <c r="T228" t="str">
        <f>IF(VALUE(S228)=0,"",VLOOKUP(VLOOKUP(S228,Tbl_Effect[],3,FALSE),EffectName[],IFERROR(MATCH(UI!$B$1,EffectName[#Headers],0),2),FALSE))</f>
        <v>提升大斧的攻擊力</v>
      </c>
      <c r="U228" t="str">
        <f t="shared" si="25"/>
        <v/>
      </c>
      <c r="V228">
        <v>0</v>
      </c>
      <c r="W228" t="str">
        <f>IF(V228&lt;&gt;0,VLOOKUP(VLOOKUP(V228,Tbl_Effect[],3,FALSE),EffectName[],IFERROR(MATCH(UI!$B$1,EffectName[#Headers],0),2),FALSE),"")</f>
        <v/>
      </c>
      <c r="X228" t="str">
        <f t="shared" si="26"/>
        <v/>
      </c>
      <c r="Y228">
        <v>0</v>
      </c>
      <c r="Z228" t="str">
        <f>IF(Y228&lt;&gt;0,VLOOKUP(VLOOKUP(Y228,Tbl_Effect[],3,FALSE),EffectName[],IFERROR(MATCH(UI!$B$1,EffectName[#Headers],0),2),FALSE),"")</f>
        <v/>
      </c>
      <c r="AA228" t="str">
        <f t="shared" si="27"/>
        <v/>
      </c>
      <c r="AB228">
        <v>0</v>
      </c>
      <c r="AC228" t="str">
        <f>IF(AB228&lt;&gt;0,VLOOKUP(VLOOKUP(AB228,Tbl_Effect[],3,FALSE),EffectName[],IFERROR(MATCH(UI!$B$1,EffectName[#Headers],0),2),FALSE),"")</f>
        <v/>
      </c>
      <c r="AE228">
        <v>7330800</v>
      </c>
      <c r="AF228">
        <v>7331100</v>
      </c>
      <c r="AG228">
        <v>7331100</v>
      </c>
    </row>
    <row r="229" spans="8:33" x14ac:dyDescent="0.4">
      <c r="H229" t="str">
        <f t="shared" si="21"/>
        <v>20026-遼闊的光耀情景 (黃)</v>
      </c>
      <c r="I229">
        <v>20026</v>
      </c>
      <c r="J229" t="str">
        <f>_xlfn.IFNA(IF(I229&lt;&gt;0,VLOOKUP(VLOOKUP(I229,Tbl_Equip[],2,FALSE),Tbl_Color[],IFERROR(MATCH(UI!$B$1,Tbl_Color[#Headers],0),2),FALSE),""),"Unset")</f>
        <v>黃</v>
      </c>
      <c r="K229" t="str">
        <f>_xlfn.IFNA(IF(I229&lt;&gt;0,VLOOKUP(I229,ItemText[],IFERROR(MATCH(UI!$B$1,ItemText[#Headers],0),2),FALSE),""),"Unset")</f>
        <v>遼闊的光耀情景</v>
      </c>
      <c r="L229" t="str">
        <f t="shared" si="22"/>
        <v>7330900-提升重刺劍的攻擊力</v>
      </c>
      <c r="M229">
        <v>7330900</v>
      </c>
      <c r="N229" t="str">
        <f>IF(VALUE(M229)=0,"",VLOOKUP(VLOOKUP(M229,Tbl_Effect[],3,FALSE),EffectName[],IFERROR(MATCH(UI!$B$1,EffectName[#Headers],0),2),FALSE))</f>
        <v>提升重刺劍的攻擊力</v>
      </c>
      <c r="O229" t="str">
        <f t="shared" si="23"/>
        <v>7331200-提升槌的攻擊力</v>
      </c>
      <c r="P229">
        <v>7331200</v>
      </c>
      <c r="Q229" t="str">
        <f>IF(VALUE(P229)=0,"",VLOOKUP(VLOOKUP(P229,Tbl_Effect[],3,FALSE),EffectName[],IFERROR(MATCH(UI!$B$1,EffectName[#Headers],0),2),FALSE))</f>
        <v>提升槌的攻擊力</v>
      </c>
      <c r="R229" t="str">
        <f t="shared" si="24"/>
        <v>7331200-提升槌的攻擊力</v>
      </c>
      <c r="S229">
        <v>7331200</v>
      </c>
      <c r="T229" t="str">
        <f>IF(VALUE(S229)=0,"",VLOOKUP(VLOOKUP(S229,Tbl_Effect[],3,FALSE),EffectName[],IFERROR(MATCH(UI!$B$1,EffectName[#Headers],0),2),FALSE))</f>
        <v>提升槌的攻擊力</v>
      </c>
      <c r="U229" t="str">
        <f t="shared" si="25"/>
        <v/>
      </c>
      <c r="V229">
        <v>0</v>
      </c>
      <c r="W229" t="str">
        <f>IF(V229&lt;&gt;0,VLOOKUP(VLOOKUP(V229,Tbl_Effect[],3,FALSE),EffectName[],IFERROR(MATCH(UI!$B$1,EffectName[#Headers],0),2),FALSE),"")</f>
        <v/>
      </c>
      <c r="X229" t="str">
        <f t="shared" si="26"/>
        <v/>
      </c>
      <c r="Y229">
        <v>0</v>
      </c>
      <c r="Z229" t="str">
        <f>IF(Y229&lt;&gt;0,VLOOKUP(VLOOKUP(Y229,Tbl_Effect[],3,FALSE),EffectName[],IFERROR(MATCH(UI!$B$1,EffectName[#Headers],0),2),FALSE),"")</f>
        <v/>
      </c>
      <c r="AA229" t="str">
        <f t="shared" si="27"/>
        <v/>
      </c>
      <c r="AB229">
        <v>0</v>
      </c>
      <c r="AC229" t="str">
        <f>IF(AB229&lt;&gt;0,VLOOKUP(VLOOKUP(AB229,Tbl_Effect[],3,FALSE),EffectName[],IFERROR(MATCH(UI!$B$1,EffectName[#Headers],0),2),FALSE),"")</f>
        <v/>
      </c>
      <c r="AE229">
        <v>7330900</v>
      </c>
      <c r="AF229">
        <v>7331200</v>
      </c>
      <c r="AG229">
        <v>7331200</v>
      </c>
    </row>
    <row r="230" spans="8:33" x14ac:dyDescent="0.4">
      <c r="H230" t="str">
        <f t="shared" si="21"/>
        <v>20027-細膩的幽靜情景 (綠)</v>
      </c>
      <c r="I230">
        <v>20027</v>
      </c>
      <c r="J230" t="str">
        <f>_xlfn.IFNA(IF(I230&lt;&gt;0,VLOOKUP(VLOOKUP(I230,Tbl_Equip[],2,FALSE),Tbl_Color[],IFERROR(MATCH(UI!$B$1,Tbl_Color[#Headers],0),2),FALSE),""),"Unset")</f>
        <v>綠</v>
      </c>
      <c r="K230" t="str">
        <f>_xlfn.IFNA(IF(I230&lt;&gt;0,VLOOKUP(I230,ItemText[],IFERROR(MATCH(UI!$B$1,ItemText[#Headers],0),2),FALSE),""),"Unset")</f>
        <v>細膩的幽靜情景</v>
      </c>
      <c r="L230" t="str">
        <f t="shared" si="22"/>
        <v>7331000-提升斧的攻擊力</v>
      </c>
      <c r="M230">
        <v>7331000</v>
      </c>
      <c r="N230" t="str">
        <f>IF(VALUE(M230)=0,"",VLOOKUP(VLOOKUP(M230,Tbl_Effect[],3,FALSE),EffectName[],IFERROR(MATCH(UI!$B$1,EffectName[#Headers],0),2),FALSE))</f>
        <v>提升斧的攻擊力</v>
      </c>
      <c r="O230" t="str">
        <f t="shared" si="23"/>
        <v>7331300-提升大槌的攻擊力</v>
      </c>
      <c r="P230">
        <v>7331300</v>
      </c>
      <c r="Q230" t="str">
        <f>IF(VALUE(P230)=0,"",VLOOKUP(VLOOKUP(P230,Tbl_Effect[],3,FALSE),EffectName[],IFERROR(MATCH(UI!$B$1,EffectName[#Headers],0),2),FALSE))</f>
        <v>提升大槌的攻擊力</v>
      </c>
      <c r="R230" t="str">
        <f t="shared" si="24"/>
        <v>7331300-提升大槌的攻擊力</v>
      </c>
      <c r="S230">
        <v>7331300</v>
      </c>
      <c r="T230" t="str">
        <f>IF(VALUE(S230)=0,"",VLOOKUP(VLOOKUP(S230,Tbl_Effect[],3,FALSE),EffectName[],IFERROR(MATCH(UI!$B$1,EffectName[#Headers],0),2),FALSE))</f>
        <v>提升大槌的攻擊力</v>
      </c>
      <c r="U230" t="str">
        <f t="shared" si="25"/>
        <v/>
      </c>
      <c r="V230">
        <v>0</v>
      </c>
      <c r="W230" t="str">
        <f>IF(V230&lt;&gt;0,VLOOKUP(VLOOKUP(V230,Tbl_Effect[],3,FALSE),EffectName[],IFERROR(MATCH(UI!$B$1,EffectName[#Headers],0),2),FALSE),"")</f>
        <v/>
      </c>
      <c r="X230" t="str">
        <f t="shared" si="26"/>
        <v/>
      </c>
      <c r="Y230">
        <v>0</v>
      </c>
      <c r="Z230" t="str">
        <f>IF(Y230&lt;&gt;0,VLOOKUP(VLOOKUP(Y230,Tbl_Effect[],3,FALSE),EffectName[],IFERROR(MATCH(UI!$B$1,EffectName[#Headers],0),2),FALSE),"")</f>
        <v/>
      </c>
      <c r="AA230" t="str">
        <f t="shared" si="27"/>
        <v/>
      </c>
      <c r="AB230">
        <v>0</v>
      </c>
      <c r="AC230" t="str">
        <f>IF(AB230&lt;&gt;0,VLOOKUP(VLOOKUP(AB230,Tbl_Effect[],3,FALSE),EffectName[],IFERROR(MATCH(UI!$B$1,EffectName[#Headers],0),2),FALSE),"")</f>
        <v/>
      </c>
      <c r="AE230">
        <v>7331000</v>
      </c>
      <c r="AF230">
        <v>7331300</v>
      </c>
      <c r="AG230">
        <v>7331300</v>
      </c>
    </row>
    <row r="231" spans="8:33" x14ac:dyDescent="0.4">
      <c r="H231" t="str">
        <f t="shared" si="21"/>
        <v>20028-端正的幽靜情景 (綠)</v>
      </c>
      <c r="I231">
        <v>20028</v>
      </c>
      <c r="J231" t="str">
        <f>_xlfn.IFNA(IF(I231&lt;&gt;0,VLOOKUP(VLOOKUP(I231,Tbl_Equip[],2,FALSE),Tbl_Color[],IFERROR(MATCH(UI!$B$1,Tbl_Color[#Headers],0),2),FALSE),""),"Unset")</f>
        <v>綠</v>
      </c>
      <c r="K231" t="str">
        <f>_xlfn.IFNA(IF(I231&lt;&gt;0,VLOOKUP(I231,ItemText[],IFERROR(MATCH(UI!$B$1,ItemText[#Headers],0),2),FALSE),""),"Unset")</f>
        <v>端正的幽靜情景</v>
      </c>
      <c r="L231" t="str">
        <f t="shared" si="22"/>
        <v>7331100-提升大斧的攻擊力</v>
      </c>
      <c r="M231">
        <v>7331100</v>
      </c>
      <c r="N231" t="str">
        <f>IF(VALUE(M231)=0,"",VLOOKUP(VLOOKUP(M231,Tbl_Effect[],3,FALSE),EffectName[],IFERROR(MATCH(UI!$B$1,EffectName[#Headers],0),2),FALSE))</f>
        <v>提升大斧的攻擊力</v>
      </c>
      <c r="O231" t="str">
        <f t="shared" si="23"/>
        <v>7331400-提升連枷的攻擊力</v>
      </c>
      <c r="P231">
        <v>7331400</v>
      </c>
      <c r="Q231" t="str">
        <f>IF(VALUE(P231)=0,"",VLOOKUP(VLOOKUP(P231,Tbl_Effect[],3,FALSE),EffectName[],IFERROR(MATCH(UI!$B$1,EffectName[#Headers],0),2),FALSE))</f>
        <v>提升連枷的攻擊力</v>
      </c>
      <c r="R231" t="str">
        <f t="shared" si="24"/>
        <v>7331400-提升連枷的攻擊力</v>
      </c>
      <c r="S231">
        <v>7331400</v>
      </c>
      <c r="T231" t="str">
        <f>IF(VALUE(S231)=0,"",VLOOKUP(VLOOKUP(S231,Tbl_Effect[],3,FALSE),EffectName[],IFERROR(MATCH(UI!$B$1,EffectName[#Headers],0),2),FALSE))</f>
        <v>提升連枷的攻擊力</v>
      </c>
      <c r="U231" t="str">
        <f t="shared" si="25"/>
        <v/>
      </c>
      <c r="V231">
        <v>0</v>
      </c>
      <c r="W231" t="str">
        <f>IF(V231&lt;&gt;0,VLOOKUP(VLOOKUP(V231,Tbl_Effect[],3,FALSE),EffectName[],IFERROR(MATCH(UI!$B$1,EffectName[#Headers],0),2),FALSE),"")</f>
        <v/>
      </c>
      <c r="X231" t="str">
        <f t="shared" si="26"/>
        <v/>
      </c>
      <c r="Y231">
        <v>0</v>
      </c>
      <c r="Z231" t="str">
        <f>IF(Y231&lt;&gt;0,VLOOKUP(VLOOKUP(Y231,Tbl_Effect[],3,FALSE),EffectName[],IFERROR(MATCH(UI!$B$1,EffectName[#Headers],0),2),FALSE),"")</f>
        <v/>
      </c>
      <c r="AA231" t="str">
        <f t="shared" si="27"/>
        <v/>
      </c>
      <c r="AB231">
        <v>0</v>
      </c>
      <c r="AC231" t="str">
        <f>IF(AB231&lt;&gt;0,VLOOKUP(VLOOKUP(AB231,Tbl_Effect[],3,FALSE),EffectName[],IFERROR(MATCH(UI!$B$1,EffectName[#Headers],0),2),FALSE),"")</f>
        <v/>
      </c>
      <c r="AE231">
        <v>7331100</v>
      </c>
      <c r="AF231">
        <v>7331400</v>
      </c>
      <c r="AG231">
        <v>7331400</v>
      </c>
    </row>
    <row r="232" spans="8:33" x14ac:dyDescent="0.4">
      <c r="H232" t="str">
        <f t="shared" si="21"/>
        <v>20029-遼闊的幽靜情景 (綠)</v>
      </c>
      <c r="I232">
        <v>20029</v>
      </c>
      <c r="J232" t="str">
        <f>_xlfn.IFNA(IF(I232&lt;&gt;0,VLOOKUP(VLOOKUP(I232,Tbl_Equip[],2,FALSE),Tbl_Color[],IFERROR(MATCH(UI!$B$1,Tbl_Color[#Headers],0),2),FALSE),""),"Unset")</f>
        <v>綠</v>
      </c>
      <c r="K232" t="str">
        <f>_xlfn.IFNA(IF(I232&lt;&gt;0,VLOOKUP(I232,ItemText[],IFERROR(MATCH(UI!$B$1,ItemText[#Headers],0),2),FALSE),""),"Unset")</f>
        <v>遼闊的幽靜情景</v>
      </c>
      <c r="L232" t="str">
        <f t="shared" si="22"/>
        <v>7331200-提升槌的攻擊力</v>
      </c>
      <c r="M232">
        <v>7331200</v>
      </c>
      <c r="N232" t="str">
        <f>IF(VALUE(M232)=0,"",VLOOKUP(VLOOKUP(M232,Tbl_Effect[],3,FALSE),EffectName[],IFERROR(MATCH(UI!$B$1,EffectName[#Headers],0),2),FALSE))</f>
        <v>提升槌的攻擊力</v>
      </c>
      <c r="O232" t="str">
        <f t="shared" si="23"/>
        <v>7331500-提升矛的攻擊力</v>
      </c>
      <c r="P232">
        <v>7331500</v>
      </c>
      <c r="Q232" t="str">
        <f>IF(VALUE(P232)=0,"",VLOOKUP(VLOOKUP(P232,Tbl_Effect[],3,FALSE),EffectName[],IFERROR(MATCH(UI!$B$1,EffectName[#Headers],0),2),FALSE))</f>
        <v>提升矛的攻擊力</v>
      </c>
      <c r="R232" t="str">
        <f t="shared" si="24"/>
        <v>7331500-提升矛的攻擊力</v>
      </c>
      <c r="S232">
        <v>7331500</v>
      </c>
      <c r="T232" t="str">
        <f>IF(VALUE(S232)=0,"",VLOOKUP(VLOOKUP(S232,Tbl_Effect[],3,FALSE),EffectName[],IFERROR(MATCH(UI!$B$1,EffectName[#Headers],0),2),FALSE))</f>
        <v>提升矛的攻擊力</v>
      </c>
      <c r="U232" t="str">
        <f t="shared" si="25"/>
        <v/>
      </c>
      <c r="V232">
        <v>0</v>
      </c>
      <c r="W232" t="str">
        <f>IF(V232&lt;&gt;0,VLOOKUP(VLOOKUP(V232,Tbl_Effect[],3,FALSE),EffectName[],IFERROR(MATCH(UI!$B$1,EffectName[#Headers],0),2),FALSE),"")</f>
        <v/>
      </c>
      <c r="X232" t="str">
        <f t="shared" si="26"/>
        <v/>
      </c>
      <c r="Y232">
        <v>0</v>
      </c>
      <c r="Z232" t="str">
        <f>IF(Y232&lt;&gt;0,VLOOKUP(VLOOKUP(Y232,Tbl_Effect[],3,FALSE),EffectName[],IFERROR(MATCH(UI!$B$1,EffectName[#Headers],0),2),FALSE),"")</f>
        <v/>
      </c>
      <c r="AA232" t="str">
        <f t="shared" si="27"/>
        <v/>
      </c>
      <c r="AB232">
        <v>0</v>
      </c>
      <c r="AC232" t="str">
        <f>IF(AB232&lt;&gt;0,VLOOKUP(VLOOKUP(AB232,Tbl_Effect[],3,FALSE),EffectName[],IFERROR(MATCH(UI!$B$1,EffectName[#Headers],0),2),FALSE),"")</f>
        <v/>
      </c>
      <c r="AE232">
        <v>7331200</v>
      </c>
      <c r="AF232">
        <v>7331500</v>
      </c>
      <c r="AG232">
        <v>7331500</v>
      </c>
    </row>
    <row r="233" spans="8:33" x14ac:dyDescent="0.4">
      <c r="H233" t="str">
        <f t="shared" si="21"/>
        <v>20030-細膩的幽靜情景 (綠)</v>
      </c>
      <c r="I233">
        <v>20030</v>
      </c>
      <c r="J233" t="str">
        <f>_xlfn.IFNA(IF(I233&lt;&gt;0,VLOOKUP(VLOOKUP(I233,Tbl_Equip[],2,FALSE),Tbl_Color[],IFERROR(MATCH(UI!$B$1,Tbl_Color[#Headers],0),2),FALSE),""),"Unset")</f>
        <v>綠</v>
      </c>
      <c r="K233" t="str">
        <f>_xlfn.IFNA(IF(I233&lt;&gt;0,VLOOKUP(I233,ItemText[],IFERROR(MATCH(UI!$B$1,ItemText[#Headers],0),2),FALSE),""),"Unset")</f>
        <v>細膩的幽靜情景</v>
      </c>
      <c r="L233" t="str">
        <f t="shared" si="22"/>
        <v>7331300-提升大槌的攻擊力</v>
      </c>
      <c r="M233">
        <v>7331300</v>
      </c>
      <c r="N233" t="str">
        <f>IF(VALUE(M233)=0,"",VLOOKUP(VLOOKUP(M233,Tbl_Effect[],3,FALSE),EffectName[],IFERROR(MATCH(UI!$B$1,EffectName[#Headers],0),2),FALSE))</f>
        <v>提升大槌的攻擊力</v>
      </c>
      <c r="O233" t="str">
        <f t="shared" si="23"/>
        <v>7331700-提升大矛的攻擊力</v>
      </c>
      <c r="P233">
        <v>7331700</v>
      </c>
      <c r="Q233" t="str">
        <f>IF(VALUE(P233)=0,"",VLOOKUP(VLOOKUP(P233,Tbl_Effect[],3,FALSE),EffectName[],IFERROR(MATCH(UI!$B$1,EffectName[#Headers],0),2),FALSE))</f>
        <v>提升大矛的攻擊力</v>
      </c>
      <c r="R233" t="str">
        <f t="shared" si="24"/>
        <v>7331700-提升大矛的攻擊力</v>
      </c>
      <c r="S233">
        <v>7331700</v>
      </c>
      <c r="T233" t="str">
        <f>IF(VALUE(S233)=0,"",VLOOKUP(VLOOKUP(S233,Tbl_Effect[],3,FALSE),EffectName[],IFERROR(MATCH(UI!$B$1,EffectName[#Headers],0),2),FALSE))</f>
        <v>提升大矛的攻擊力</v>
      </c>
      <c r="U233" t="str">
        <f t="shared" si="25"/>
        <v/>
      </c>
      <c r="V233">
        <v>0</v>
      </c>
      <c r="W233" t="str">
        <f>IF(V233&lt;&gt;0,VLOOKUP(VLOOKUP(V233,Tbl_Effect[],3,FALSE),EffectName[],IFERROR(MATCH(UI!$B$1,EffectName[#Headers],0),2),FALSE),"")</f>
        <v/>
      </c>
      <c r="X233" t="str">
        <f t="shared" si="26"/>
        <v/>
      </c>
      <c r="Y233">
        <v>0</v>
      </c>
      <c r="Z233" t="str">
        <f>IF(Y233&lt;&gt;0,VLOOKUP(VLOOKUP(Y233,Tbl_Effect[],3,FALSE),EffectName[],IFERROR(MATCH(UI!$B$1,EffectName[#Headers],0),2),FALSE),"")</f>
        <v/>
      </c>
      <c r="AA233" t="str">
        <f t="shared" si="27"/>
        <v/>
      </c>
      <c r="AB233">
        <v>0</v>
      </c>
      <c r="AC233" t="str">
        <f>IF(AB233&lt;&gt;0,VLOOKUP(VLOOKUP(AB233,Tbl_Effect[],3,FALSE),EffectName[],IFERROR(MATCH(UI!$B$1,EffectName[#Headers],0),2),FALSE),"")</f>
        <v/>
      </c>
      <c r="AE233">
        <v>7331300</v>
      </c>
      <c r="AF233">
        <v>7331700</v>
      </c>
      <c r="AG233">
        <v>7331700</v>
      </c>
    </row>
    <row r="234" spans="8:33" x14ac:dyDescent="0.4">
      <c r="H234" t="str">
        <f t="shared" si="21"/>
        <v>20031-端正的幽靜情景 (綠)</v>
      </c>
      <c r="I234">
        <v>20031</v>
      </c>
      <c r="J234" t="str">
        <f>_xlfn.IFNA(IF(I234&lt;&gt;0,VLOOKUP(VLOOKUP(I234,Tbl_Equip[],2,FALSE),Tbl_Color[],IFERROR(MATCH(UI!$B$1,Tbl_Color[#Headers],0),2),FALSE),""),"Unset")</f>
        <v>綠</v>
      </c>
      <c r="K234" t="str">
        <f>_xlfn.IFNA(IF(I234&lt;&gt;0,VLOOKUP(I234,ItemText[],IFERROR(MATCH(UI!$B$1,ItemText[#Headers],0),2),FALSE),""),"Unset")</f>
        <v>端正的幽靜情景</v>
      </c>
      <c r="L234" t="str">
        <f t="shared" si="22"/>
        <v>7331400-提升連枷的攻擊力</v>
      </c>
      <c r="M234">
        <v>7331400</v>
      </c>
      <c r="N234" t="str">
        <f>IF(VALUE(M234)=0,"",VLOOKUP(VLOOKUP(M234,Tbl_Effect[],3,FALSE),EffectName[],IFERROR(MATCH(UI!$B$1,EffectName[#Headers],0),2),FALSE))</f>
        <v>提升連枷的攻擊力</v>
      </c>
      <c r="O234" t="str">
        <f t="shared" si="23"/>
        <v>7331800-提升戟的攻擊力</v>
      </c>
      <c r="P234">
        <v>7331800</v>
      </c>
      <c r="Q234" t="str">
        <f>IF(VALUE(P234)=0,"",VLOOKUP(VLOOKUP(P234,Tbl_Effect[],3,FALSE),EffectName[],IFERROR(MATCH(UI!$B$1,EffectName[#Headers],0),2),FALSE))</f>
        <v>提升戟的攻擊力</v>
      </c>
      <c r="R234" t="str">
        <f t="shared" si="24"/>
        <v>7331800-提升戟的攻擊力</v>
      </c>
      <c r="S234">
        <v>7331800</v>
      </c>
      <c r="T234" t="str">
        <f>IF(VALUE(S234)=0,"",VLOOKUP(VLOOKUP(S234,Tbl_Effect[],3,FALSE),EffectName[],IFERROR(MATCH(UI!$B$1,EffectName[#Headers],0),2),FALSE))</f>
        <v>提升戟的攻擊力</v>
      </c>
      <c r="U234" t="str">
        <f t="shared" si="25"/>
        <v/>
      </c>
      <c r="V234">
        <v>0</v>
      </c>
      <c r="W234" t="str">
        <f>IF(V234&lt;&gt;0,VLOOKUP(VLOOKUP(V234,Tbl_Effect[],3,FALSE),EffectName[],IFERROR(MATCH(UI!$B$1,EffectName[#Headers],0),2),FALSE),"")</f>
        <v/>
      </c>
      <c r="X234" t="str">
        <f t="shared" si="26"/>
        <v/>
      </c>
      <c r="Y234">
        <v>0</v>
      </c>
      <c r="Z234" t="str">
        <f>IF(Y234&lt;&gt;0,VLOOKUP(VLOOKUP(Y234,Tbl_Effect[],3,FALSE),EffectName[],IFERROR(MATCH(UI!$B$1,EffectName[#Headers],0),2),FALSE),"")</f>
        <v/>
      </c>
      <c r="AA234" t="str">
        <f t="shared" si="27"/>
        <v/>
      </c>
      <c r="AB234">
        <v>0</v>
      </c>
      <c r="AC234" t="str">
        <f>IF(AB234&lt;&gt;0,VLOOKUP(VLOOKUP(AB234,Tbl_Effect[],3,FALSE),EffectName[],IFERROR(MATCH(UI!$B$1,EffectName[#Headers],0),2),FALSE),"")</f>
        <v/>
      </c>
      <c r="AE234">
        <v>7331400</v>
      </c>
      <c r="AF234">
        <v>7331800</v>
      </c>
      <c r="AG234">
        <v>7331800</v>
      </c>
    </row>
    <row r="235" spans="8:33" x14ac:dyDescent="0.4">
      <c r="H235" t="str">
        <f t="shared" si="21"/>
        <v>20032-遼闊的幽靜情景 (綠)</v>
      </c>
      <c r="I235">
        <v>20032</v>
      </c>
      <c r="J235" t="str">
        <f>_xlfn.IFNA(IF(I235&lt;&gt;0,VLOOKUP(VLOOKUP(I235,Tbl_Equip[],2,FALSE),Tbl_Color[],IFERROR(MATCH(UI!$B$1,Tbl_Color[#Headers],0),2),FALSE),""),"Unset")</f>
        <v>綠</v>
      </c>
      <c r="K235" t="str">
        <f>_xlfn.IFNA(IF(I235&lt;&gt;0,VLOOKUP(I235,ItemText[],IFERROR(MATCH(UI!$B$1,ItemText[#Headers],0),2),FALSE),""),"Unset")</f>
        <v>遼闊的幽靜情景</v>
      </c>
      <c r="L235" t="str">
        <f t="shared" si="22"/>
        <v>7331500-提升矛的攻擊力</v>
      </c>
      <c r="M235">
        <v>7331500</v>
      </c>
      <c r="N235" t="str">
        <f>IF(VALUE(M235)=0,"",VLOOKUP(VLOOKUP(M235,Tbl_Effect[],3,FALSE),EffectName[],IFERROR(MATCH(UI!$B$1,EffectName[#Headers],0),2),FALSE))</f>
        <v>提升矛的攻擊力</v>
      </c>
      <c r="O235" t="str">
        <f t="shared" si="23"/>
        <v>7331900-提升鐮刀的攻擊力</v>
      </c>
      <c r="P235">
        <v>7331900</v>
      </c>
      <c r="Q235" t="str">
        <f>IF(VALUE(P235)=0,"",VLOOKUP(VLOOKUP(P235,Tbl_Effect[],3,FALSE),EffectName[],IFERROR(MATCH(UI!$B$1,EffectName[#Headers],0),2),FALSE))</f>
        <v>提升鐮刀的攻擊力</v>
      </c>
      <c r="R235" t="str">
        <f t="shared" si="24"/>
        <v>7331900-提升鐮刀的攻擊力</v>
      </c>
      <c r="S235">
        <v>7331900</v>
      </c>
      <c r="T235" t="str">
        <f>IF(VALUE(S235)=0,"",VLOOKUP(VLOOKUP(S235,Tbl_Effect[],3,FALSE),EffectName[],IFERROR(MATCH(UI!$B$1,EffectName[#Headers],0),2),FALSE))</f>
        <v>提升鐮刀的攻擊力</v>
      </c>
      <c r="U235" t="str">
        <f t="shared" si="25"/>
        <v/>
      </c>
      <c r="V235">
        <v>0</v>
      </c>
      <c r="W235" t="str">
        <f>IF(V235&lt;&gt;0,VLOOKUP(VLOOKUP(V235,Tbl_Effect[],3,FALSE),EffectName[],IFERROR(MATCH(UI!$B$1,EffectName[#Headers],0),2),FALSE),"")</f>
        <v/>
      </c>
      <c r="X235" t="str">
        <f t="shared" si="26"/>
        <v/>
      </c>
      <c r="Y235">
        <v>0</v>
      </c>
      <c r="Z235" t="str">
        <f>IF(Y235&lt;&gt;0,VLOOKUP(VLOOKUP(Y235,Tbl_Effect[],3,FALSE),EffectName[],IFERROR(MATCH(UI!$B$1,EffectName[#Headers],0),2),FALSE),"")</f>
        <v/>
      </c>
      <c r="AA235" t="str">
        <f t="shared" si="27"/>
        <v/>
      </c>
      <c r="AB235">
        <v>0</v>
      </c>
      <c r="AC235" t="str">
        <f>IF(AB235&lt;&gt;0,VLOOKUP(VLOOKUP(AB235,Tbl_Effect[],3,FALSE),EffectName[],IFERROR(MATCH(UI!$B$1,EffectName[#Headers],0),2),FALSE),"")</f>
        <v/>
      </c>
      <c r="AE235">
        <v>7331500</v>
      </c>
      <c r="AF235">
        <v>7331900</v>
      </c>
      <c r="AG235">
        <v>7331900</v>
      </c>
    </row>
    <row r="236" spans="8:33" x14ac:dyDescent="0.4">
      <c r="H236" t="str">
        <f t="shared" si="21"/>
        <v>20033-細膩的幽靜情景 (綠)</v>
      </c>
      <c r="I236">
        <v>20033</v>
      </c>
      <c r="J236" t="str">
        <f>_xlfn.IFNA(IF(I236&lt;&gt;0,VLOOKUP(VLOOKUP(I236,Tbl_Equip[],2,FALSE),Tbl_Color[],IFERROR(MATCH(UI!$B$1,Tbl_Color[#Headers],0),2),FALSE),""),"Unset")</f>
        <v>綠</v>
      </c>
      <c r="K236" t="str">
        <f>_xlfn.IFNA(IF(I236&lt;&gt;0,VLOOKUP(I236,ItemText[],IFERROR(MATCH(UI!$B$1,ItemText[#Headers],0),2),FALSE),""),"Unset")</f>
        <v>細膩的幽靜情景</v>
      </c>
      <c r="L236" t="str">
        <f t="shared" si="22"/>
        <v>7331700-提升大矛的攻擊力</v>
      </c>
      <c r="M236">
        <v>7331700</v>
      </c>
      <c r="N236" t="str">
        <f>IF(VALUE(M236)=0,"",VLOOKUP(VLOOKUP(M236,Tbl_Effect[],3,FALSE),EffectName[],IFERROR(MATCH(UI!$B$1,EffectName[#Headers],0),2),FALSE))</f>
        <v>提升大矛的攻擊力</v>
      </c>
      <c r="O236" t="str">
        <f t="shared" si="23"/>
        <v>7332000-提升拳頭的攻擊力</v>
      </c>
      <c r="P236">
        <v>7332000</v>
      </c>
      <c r="Q236" t="str">
        <f>IF(VALUE(P236)=0,"",VLOOKUP(VLOOKUP(P236,Tbl_Effect[],3,FALSE),EffectName[],IFERROR(MATCH(UI!$B$1,EffectName[#Headers],0),2),FALSE))</f>
        <v>提升拳頭的攻擊力</v>
      </c>
      <c r="R236" t="str">
        <f t="shared" si="24"/>
        <v>7332000-提升拳頭的攻擊力</v>
      </c>
      <c r="S236">
        <v>7332000</v>
      </c>
      <c r="T236" t="str">
        <f>IF(VALUE(S236)=0,"",VLOOKUP(VLOOKUP(S236,Tbl_Effect[],3,FALSE),EffectName[],IFERROR(MATCH(UI!$B$1,EffectName[#Headers],0),2),FALSE))</f>
        <v>提升拳頭的攻擊力</v>
      </c>
      <c r="U236" t="str">
        <f t="shared" si="25"/>
        <v/>
      </c>
      <c r="V236">
        <v>0</v>
      </c>
      <c r="W236" t="str">
        <f>IF(V236&lt;&gt;0,VLOOKUP(VLOOKUP(V236,Tbl_Effect[],3,FALSE),EffectName[],IFERROR(MATCH(UI!$B$1,EffectName[#Headers],0),2),FALSE),"")</f>
        <v/>
      </c>
      <c r="X236" t="str">
        <f t="shared" si="26"/>
        <v/>
      </c>
      <c r="Y236">
        <v>0</v>
      </c>
      <c r="Z236" t="str">
        <f>IF(Y236&lt;&gt;0,VLOOKUP(VLOOKUP(Y236,Tbl_Effect[],3,FALSE),EffectName[],IFERROR(MATCH(UI!$B$1,EffectName[#Headers],0),2),FALSE),"")</f>
        <v/>
      </c>
      <c r="AA236" t="str">
        <f t="shared" si="27"/>
        <v/>
      </c>
      <c r="AB236">
        <v>0</v>
      </c>
      <c r="AC236" t="str">
        <f>IF(AB236&lt;&gt;0,VLOOKUP(VLOOKUP(AB236,Tbl_Effect[],3,FALSE),EffectName[],IFERROR(MATCH(UI!$B$1,EffectName[#Headers],0),2),FALSE),"")</f>
        <v/>
      </c>
      <c r="AE236">
        <v>7331700</v>
      </c>
      <c r="AF236">
        <v>7332000</v>
      </c>
      <c r="AG236">
        <v>7332000</v>
      </c>
    </row>
    <row r="237" spans="8:33" x14ac:dyDescent="0.4">
      <c r="H237" t="str">
        <f t="shared" si="21"/>
        <v>20034-端正的幽靜情景 (綠)</v>
      </c>
      <c r="I237">
        <v>20034</v>
      </c>
      <c r="J237" t="str">
        <f>_xlfn.IFNA(IF(I237&lt;&gt;0,VLOOKUP(VLOOKUP(I237,Tbl_Equip[],2,FALSE),Tbl_Color[],IFERROR(MATCH(UI!$B$1,Tbl_Color[#Headers],0),2),FALSE),""),"Unset")</f>
        <v>綠</v>
      </c>
      <c r="K237" t="str">
        <f>_xlfn.IFNA(IF(I237&lt;&gt;0,VLOOKUP(I237,ItemText[],IFERROR(MATCH(UI!$B$1,ItemText[#Headers],0),2),FALSE),""),"Unset")</f>
        <v>端正的幽靜情景</v>
      </c>
      <c r="L237" t="str">
        <f t="shared" si="22"/>
        <v>7331800-提升戟的攻擊力</v>
      </c>
      <c r="M237">
        <v>7331800</v>
      </c>
      <c r="N237" t="str">
        <f>IF(VALUE(M237)=0,"",VLOOKUP(VLOOKUP(M237,Tbl_Effect[],3,FALSE),EffectName[],IFERROR(MATCH(UI!$B$1,EffectName[#Headers],0),2),FALSE))</f>
        <v>提升戟的攻擊力</v>
      </c>
      <c r="O237" t="str">
        <f t="shared" si="23"/>
        <v>7332100-提升鉤爪的攻擊力</v>
      </c>
      <c r="P237">
        <v>7332100</v>
      </c>
      <c r="Q237" t="str">
        <f>IF(VALUE(P237)=0,"",VLOOKUP(VLOOKUP(P237,Tbl_Effect[],3,FALSE),EffectName[],IFERROR(MATCH(UI!$B$1,EffectName[#Headers],0),2),FALSE))</f>
        <v>提升鉤爪的攻擊力</v>
      </c>
      <c r="R237" t="str">
        <f t="shared" si="24"/>
        <v>7332100-提升鉤爪的攻擊力</v>
      </c>
      <c r="S237">
        <v>7332100</v>
      </c>
      <c r="T237" t="str">
        <f>IF(VALUE(S237)=0,"",VLOOKUP(VLOOKUP(S237,Tbl_Effect[],3,FALSE),EffectName[],IFERROR(MATCH(UI!$B$1,EffectName[#Headers],0),2),FALSE))</f>
        <v>提升鉤爪的攻擊力</v>
      </c>
      <c r="U237" t="str">
        <f t="shared" si="25"/>
        <v/>
      </c>
      <c r="V237">
        <v>0</v>
      </c>
      <c r="W237" t="str">
        <f>IF(V237&lt;&gt;0,VLOOKUP(VLOOKUP(V237,Tbl_Effect[],3,FALSE),EffectName[],IFERROR(MATCH(UI!$B$1,EffectName[#Headers],0),2),FALSE),"")</f>
        <v/>
      </c>
      <c r="X237" t="str">
        <f t="shared" si="26"/>
        <v/>
      </c>
      <c r="Y237">
        <v>0</v>
      </c>
      <c r="Z237" t="str">
        <f>IF(Y237&lt;&gt;0,VLOOKUP(VLOOKUP(Y237,Tbl_Effect[],3,FALSE),EffectName[],IFERROR(MATCH(UI!$B$1,EffectName[#Headers],0),2),FALSE),"")</f>
        <v/>
      </c>
      <c r="AA237" t="str">
        <f t="shared" si="27"/>
        <v/>
      </c>
      <c r="AB237">
        <v>0</v>
      </c>
      <c r="AC237" t="str">
        <f>IF(AB237&lt;&gt;0,VLOOKUP(VLOOKUP(AB237,Tbl_Effect[],3,FALSE),EffectName[],IFERROR(MATCH(UI!$B$1,EffectName[#Headers],0),2),FALSE),"")</f>
        <v/>
      </c>
      <c r="AE237">
        <v>7331800</v>
      </c>
      <c r="AF237">
        <v>7332100</v>
      </c>
      <c r="AG237">
        <v>7332100</v>
      </c>
    </row>
    <row r="238" spans="8:33" x14ac:dyDescent="0.4">
      <c r="H238" t="str">
        <f t="shared" si="21"/>
        <v>20035-遼闊的幽靜情景 (綠)</v>
      </c>
      <c r="I238">
        <v>20035</v>
      </c>
      <c r="J238" t="str">
        <f>_xlfn.IFNA(IF(I238&lt;&gt;0,VLOOKUP(VLOOKUP(I238,Tbl_Equip[],2,FALSE),Tbl_Color[],IFERROR(MATCH(UI!$B$1,Tbl_Color[#Headers],0),2),FALSE),""),"Unset")</f>
        <v>綠</v>
      </c>
      <c r="K238" t="str">
        <f>_xlfn.IFNA(IF(I238&lt;&gt;0,VLOOKUP(I238,ItemText[],IFERROR(MATCH(UI!$B$1,ItemText[#Headers],0),2),FALSE),""),"Unset")</f>
        <v>遼闊的幽靜情景</v>
      </c>
      <c r="L238" t="str">
        <f t="shared" si="22"/>
        <v>7331900-提升鐮刀的攻擊力</v>
      </c>
      <c r="M238">
        <v>7331900</v>
      </c>
      <c r="N238" t="str">
        <f>IF(VALUE(M238)=0,"",VLOOKUP(VLOOKUP(M238,Tbl_Effect[],3,FALSE),EffectName[],IFERROR(MATCH(UI!$B$1,EffectName[#Headers],0),2),FALSE))</f>
        <v>提升鐮刀的攻擊力</v>
      </c>
      <c r="O238" t="str">
        <f t="shared" si="23"/>
        <v>7332200-提升軟鞭的攻擊力</v>
      </c>
      <c r="P238">
        <v>7332200</v>
      </c>
      <c r="Q238" t="str">
        <f>IF(VALUE(P238)=0,"",VLOOKUP(VLOOKUP(P238,Tbl_Effect[],3,FALSE),EffectName[],IFERROR(MATCH(UI!$B$1,EffectName[#Headers],0),2),FALSE))</f>
        <v>提升軟鞭的攻擊力</v>
      </c>
      <c r="R238" t="str">
        <f t="shared" si="24"/>
        <v>7332200-提升軟鞭的攻擊力</v>
      </c>
      <c r="S238">
        <v>7332200</v>
      </c>
      <c r="T238" t="str">
        <f>IF(VALUE(S238)=0,"",VLOOKUP(VLOOKUP(S238,Tbl_Effect[],3,FALSE),EffectName[],IFERROR(MATCH(UI!$B$1,EffectName[#Headers],0),2),FALSE))</f>
        <v>提升軟鞭的攻擊力</v>
      </c>
      <c r="U238" t="str">
        <f t="shared" si="25"/>
        <v/>
      </c>
      <c r="V238">
        <v>0</v>
      </c>
      <c r="W238" t="str">
        <f>IF(V238&lt;&gt;0,VLOOKUP(VLOOKUP(V238,Tbl_Effect[],3,FALSE),EffectName[],IFERROR(MATCH(UI!$B$1,EffectName[#Headers],0),2),FALSE),"")</f>
        <v/>
      </c>
      <c r="X238" t="str">
        <f t="shared" si="26"/>
        <v/>
      </c>
      <c r="Y238">
        <v>0</v>
      </c>
      <c r="Z238" t="str">
        <f>IF(Y238&lt;&gt;0,VLOOKUP(VLOOKUP(Y238,Tbl_Effect[],3,FALSE),EffectName[],IFERROR(MATCH(UI!$B$1,EffectName[#Headers],0),2),FALSE),"")</f>
        <v/>
      </c>
      <c r="AA238" t="str">
        <f t="shared" si="27"/>
        <v/>
      </c>
      <c r="AB238">
        <v>0</v>
      </c>
      <c r="AC238" t="str">
        <f>IF(AB238&lt;&gt;0,VLOOKUP(VLOOKUP(AB238,Tbl_Effect[],3,FALSE),EffectName[],IFERROR(MATCH(UI!$B$1,EffectName[#Headers],0),2),FALSE),"")</f>
        <v/>
      </c>
      <c r="AE238">
        <v>7331900</v>
      </c>
      <c r="AF238">
        <v>7332200</v>
      </c>
      <c r="AG238">
        <v>7332200</v>
      </c>
    </row>
    <row r="239" spans="8:33" x14ac:dyDescent="0.4">
      <c r="H239" t="str">
        <f t="shared" si="21"/>
        <v>30000-細膩的火燃暗淡情景 (紅)</v>
      </c>
      <c r="I239">
        <v>30000</v>
      </c>
      <c r="J239" t="str">
        <f>_xlfn.IFNA(IF(I239&lt;&gt;0,VLOOKUP(VLOOKUP(I239,Tbl_Equip[],2,FALSE),Tbl_Color[],IFERROR(MATCH(UI!$B$1,Tbl_Color[#Headers],0),2),FALSE),""),"Unset")</f>
        <v>紅</v>
      </c>
      <c r="K239" t="str">
        <f>_xlfn.IFNA(IF(I239&lt;&gt;0,VLOOKUP(I239,ItemText[],IFERROR(MATCH(UI!$B$1,ItemText[#Headers],0),2),FALSE),""),"Unset")</f>
        <v>細膩的火燃暗淡情景</v>
      </c>
      <c r="L239" t="str">
        <f t="shared" si="22"/>
        <v>7332000-提升拳頭的攻擊力</v>
      </c>
      <c r="M239">
        <v>7332000</v>
      </c>
      <c r="N239" t="str">
        <f>IF(VALUE(M239)=0,"",VLOOKUP(VLOOKUP(M239,Tbl_Effect[],3,FALSE),EffectName[],IFERROR(MATCH(UI!$B$1,EffectName[#Headers],0),2),FALSE))</f>
        <v>提升拳頭的攻擊力</v>
      </c>
      <c r="O239" t="str">
        <f t="shared" si="23"/>
        <v>7332300-提升特大武器的攻擊力</v>
      </c>
      <c r="P239">
        <v>7332300</v>
      </c>
      <c r="Q239" t="str">
        <f>IF(VALUE(P239)=0,"",VLOOKUP(VLOOKUP(P239,Tbl_Effect[],3,FALSE),EffectName[],IFERROR(MATCH(UI!$B$1,EffectName[#Headers],0),2),FALSE))</f>
        <v>提升特大武器的攻擊力</v>
      </c>
      <c r="R239" t="str">
        <f t="shared" si="24"/>
        <v>7332300-提升特大武器的攻擊力</v>
      </c>
      <c r="S239">
        <v>7332300</v>
      </c>
      <c r="T239" t="str">
        <f>IF(VALUE(S239)=0,"",VLOOKUP(VLOOKUP(S239,Tbl_Effect[],3,FALSE),EffectName[],IFERROR(MATCH(UI!$B$1,EffectName[#Headers],0),2),FALSE))</f>
        <v>提升特大武器的攻擊力</v>
      </c>
      <c r="U239" t="str">
        <f t="shared" si="25"/>
        <v/>
      </c>
      <c r="V239">
        <v>0</v>
      </c>
      <c r="W239" t="str">
        <f>IF(V239&lt;&gt;0,VLOOKUP(VLOOKUP(V239,Tbl_Effect[],3,FALSE),EffectName[],IFERROR(MATCH(UI!$B$1,EffectName[#Headers],0),2),FALSE),"")</f>
        <v/>
      </c>
      <c r="X239" t="str">
        <f t="shared" si="26"/>
        <v/>
      </c>
      <c r="Y239">
        <v>0</v>
      </c>
      <c r="Z239" t="str">
        <f>IF(Y239&lt;&gt;0,VLOOKUP(VLOOKUP(Y239,Tbl_Effect[],3,FALSE),EffectName[],IFERROR(MATCH(UI!$B$1,EffectName[#Headers],0),2),FALSE),"")</f>
        <v/>
      </c>
      <c r="AA239" t="str">
        <f t="shared" si="27"/>
        <v/>
      </c>
      <c r="AB239">
        <v>0</v>
      </c>
      <c r="AC239" t="str">
        <f>IF(AB239&lt;&gt;0,VLOOKUP(VLOOKUP(AB239,Tbl_Effect[],3,FALSE),EffectName[],IFERROR(MATCH(UI!$B$1,EffectName[#Headers],0),2),FALSE),"")</f>
        <v/>
      </c>
      <c r="AE239">
        <v>7332000</v>
      </c>
      <c r="AF239">
        <v>7332300</v>
      </c>
      <c r="AG239">
        <v>7332300</v>
      </c>
    </row>
    <row r="240" spans="8:33" x14ac:dyDescent="0.4">
      <c r="H240" t="str">
        <f t="shared" si="21"/>
        <v>30001-端正的火燃暗淡情景 (紅)</v>
      </c>
      <c r="I240">
        <v>30001</v>
      </c>
      <c r="J240" t="str">
        <f>_xlfn.IFNA(IF(I240&lt;&gt;0,VLOOKUP(VLOOKUP(I240,Tbl_Equip[],2,FALSE),Tbl_Color[],IFERROR(MATCH(UI!$B$1,Tbl_Color[#Headers],0),2),FALSE),""),"Unset")</f>
        <v>紅</v>
      </c>
      <c r="K240" t="str">
        <f>_xlfn.IFNA(IF(I240&lt;&gt;0,VLOOKUP(I240,ItemText[],IFERROR(MATCH(UI!$B$1,ItemText[#Headers],0),2),FALSE),""),"Unset")</f>
        <v>端正的火燃暗淡情景</v>
      </c>
      <c r="L240" t="str">
        <f t="shared" si="22"/>
        <v>7332100-提升鉤爪的攻擊力</v>
      </c>
      <c r="M240">
        <v>7332100</v>
      </c>
      <c r="N240" t="str">
        <f>IF(VALUE(M240)=0,"",VLOOKUP(VLOOKUP(M240,Tbl_Effect[],3,FALSE),EffectName[],IFERROR(MATCH(UI!$B$1,EffectName[#Headers],0),2),FALSE))</f>
        <v>提升鉤爪的攻擊力</v>
      </c>
      <c r="O240" t="str">
        <f t="shared" si="23"/>
        <v>7332400-提升弓的攻擊力</v>
      </c>
      <c r="P240">
        <v>7332400</v>
      </c>
      <c r="Q240" t="str">
        <f>IF(VALUE(P240)=0,"",VLOOKUP(VLOOKUP(P240,Tbl_Effect[],3,FALSE),EffectName[],IFERROR(MATCH(UI!$B$1,EffectName[#Headers],0),2),FALSE))</f>
        <v>提升弓的攻擊力</v>
      </c>
      <c r="R240" t="str">
        <f t="shared" si="24"/>
        <v>7332400-提升弓的攻擊力</v>
      </c>
      <c r="S240">
        <v>7332400</v>
      </c>
      <c r="T240" t="str">
        <f>IF(VALUE(S240)=0,"",VLOOKUP(VLOOKUP(S240,Tbl_Effect[],3,FALSE),EffectName[],IFERROR(MATCH(UI!$B$1,EffectName[#Headers],0),2),FALSE))</f>
        <v>提升弓的攻擊力</v>
      </c>
      <c r="U240" t="str">
        <f t="shared" si="25"/>
        <v/>
      </c>
      <c r="V240">
        <v>0</v>
      </c>
      <c r="W240" t="str">
        <f>IF(V240&lt;&gt;0,VLOOKUP(VLOOKUP(V240,Tbl_Effect[],3,FALSE),EffectName[],IFERROR(MATCH(UI!$B$1,EffectName[#Headers],0),2),FALSE),"")</f>
        <v/>
      </c>
      <c r="X240" t="str">
        <f t="shared" si="26"/>
        <v/>
      </c>
      <c r="Y240">
        <v>0</v>
      </c>
      <c r="Z240" t="str">
        <f>IF(Y240&lt;&gt;0,VLOOKUP(VLOOKUP(Y240,Tbl_Effect[],3,FALSE),EffectName[],IFERROR(MATCH(UI!$B$1,EffectName[#Headers],0),2),FALSE),"")</f>
        <v/>
      </c>
      <c r="AA240" t="str">
        <f t="shared" si="27"/>
        <v/>
      </c>
      <c r="AB240">
        <v>0</v>
      </c>
      <c r="AC240" t="str">
        <f>IF(AB240&lt;&gt;0,VLOOKUP(VLOOKUP(AB240,Tbl_Effect[],3,FALSE),EffectName[],IFERROR(MATCH(UI!$B$1,EffectName[#Headers],0),2),FALSE),"")</f>
        <v/>
      </c>
      <c r="AE240">
        <v>7332100</v>
      </c>
      <c r="AF240">
        <v>7332400</v>
      </c>
      <c r="AG240">
        <v>7332400</v>
      </c>
    </row>
    <row r="241" spans="8:33" x14ac:dyDescent="0.4">
      <c r="H241" t="str">
        <f t="shared" si="21"/>
        <v>30002-遼闊的火燃暗淡情景 (紅)</v>
      </c>
      <c r="I241">
        <v>30002</v>
      </c>
      <c r="J241" t="str">
        <f>_xlfn.IFNA(IF(I241&lt;&gt;0,VLOOKUP(VLOOKUP(I241,Tbl_Equip[],2,FALSE),Tbl_Color[],IFERROR(MATCH(UI!$B$1,Tbl_Color[#Headers],0),2),FALSE),""),"Unset")</f>
        <v>紅</v>
      </c>
      <c r="K241" t="str">
        <f>_xlfn.IFNA(IF(I241&lt;&gt;0,VLOOKUP(I241,ItemText[],IFERROR(MATCH(UI!$B$1,ItemText[#Headers],0),2),FALSE),""),"Unset")</f>
        <v>遼闊的火燃暗淡情景</v>
      </c>
      <c r="L241" t="str">
        <f t="shared" si="22"/>
        <v>7332200-提升軟鞭的攻擊力</v>
      </c>
      <c r="M241">
        <v>7332200</v>
      </c>
      <c r="N241" t="str">
        <f>IF(VALUE(M241)=0,"",VLOOKUP(VLOOKUP(M241,Tbl_Effect[],3,FALSE),EffectName[],IFERROR(MATCH(UI!$B$1,EffectName[#Headers],0),2),FALSE))</f>
        <v>提升軟鞭的攻擊力</v>
      </c>
      <c r="O241" t="str">
        <f t="shared" si="23"/>
        <v>7340000-以短劍攻擊時，恢復ＨＰ</v>
      </c>
      <c r="P241">
        <v>7340000</v>
      </c>
      <c r="Q241" t="str">
        <f>IF(VALUE(P241)=0,"",VLOOKUP(VLOOKUP(P241,Tbl_Effect[],3,FALSE),EffectName[],IFERROR(MATCH(UI!$B$1,EffectName[#Headers],0),2),FALSE))</f>
        <v>以短劍攻擊時，恢復ＨＰ</v>
      </c>
      <c r="R241" t="str">
        <f t="shared" si="24"/>
        <v>7350000-以短劍攻擊時，恢復ＦＰ</v>
      </c>
      <c r="S241">
        <v>7350000</v>
      </c>
      <c r="T241" t="str">
        <f>IF(VALUE(S241)=0,"",VLOOKUP(VLOOKUP(S241,Tbl_Effect[],3,FALSE),EffectName[],IFERROR(MATCH(UI!$B$1,EffectName[#Headers],0),2),FALSE))</f>
        <v>以短劍攻擊時，恢復ＦＰ</v>
      </c>
      <c r="U241" t="str">
        <f t="shared" si="25"/>
        <v/>
      </c>
      <c r="V241">
        <v>0</v>
      </c>
      <c r="W241" t="str">
        <f>IF(V241&lt;&gt;0,VLOOKUP(VLOOKUP(V241,Tbl_Effect[],3,FALSE),EffectName[],IFERROR(MATCH(UI!$B$1,EffectName[#Headers],0),2),FALSE),"")</f>
        <v/>
      </c>
      <c r="X241" t="str">
        <f t="shared" si="26"/>
        <v/>
      </c>
      <c r="Y241">
        <v>0</v>
      </c>
      <c r="Z241" t="str">
        <f>IF(Y241&lt;&gt;0,VLOOKUP(VLOOKUP(Y241,Tbl_Effect[],3,FALSE),EffectName[],IFERROR(MATCH(UI!$B$1,EffectName[#Headers],0),2),FALSE),"")</f>
        <v/>
      </c>
      <c r="AA241" t="str">
        <f t="shared" si="27"/>
        <v/>
      </c>
      <c r="AB241">
        <v>0</v>
      </c>
      <c r="AC241" t="str">
        <f>IF(AB241&lt;&gt;0,VLOOKUP(VLOOKUP(AB241,Tbl_Effect[],3,FALSE),EffectName[],IFERROR(MATCH(UI!$B$1,EffectName[#Headers],0),2),FALSE),"")</f>
        <v/>
      </c>
      <c r="AE241">
        <v>7332200</v>
      </c>
      <c r="AF241">
        <v>7340000</v>
      </c>
      <c r="AG241">
        <v>7350000</v>
      </c>
    </row>
    <row r="242" spans="8:33" x14ac:dyDescent="0.4">
      <c r="H242" t="str">
        <f t="shared" si="21"/>
        <v>30003-細膩的火燃暗淡情景 (紅)</v>
      </c>
      <c r="I242">
        <v>30003</v>
      </c>
      <c r="J242" t="str">
        <f>_xlfn.IFNA(IF(I242&lt;&gt;0,VLOOKUP(VLOOKUP(I242,Tbl_Equip[],2,FALSE),Tbl_Color[],IFERROR(MATCH(UI!$B$1,Tbl_Color[#Headers],0),2),FALSE),""),"Unset")</f>
        <v>紅</v>
      </c>
      <c r="K242" t="str">
        <f>_xlfn.IFNA(IF(I242&lt;&gt;0,VLOOKUP(I242,ItemText[],IFERROR(MATCH(UI!$B$1,ItemText[#Headers],0),2),FALSE),""),"Unset")</f>
        <v>細膩的火燃暗淡情景</v>
      </c>
      <c r="L242" t="str">
        <f t="shared" si="22"/>
        <v>7332300-提升特大武器的攻擊力</v>
      </c>
      <c r="M242">
        <v>7332300</v>
      </c>
      <c r="N242" t="str">
        <f>IF(VALUE(M242)=0,"",VLOOKUP(VLOOKUP(M242,Tbl_Effect[],3,FALSE),EffectName[],IFERROR(MATCH(UI!$B$1,EffectName[#Headers],0),2),FALSE))</f>
        <v>提升特大武器的攻擊力</v>
      </c>
      <c r="O242" t="str">
        <f t="shared" si="23"/>
        <v>7340100-以直劍攻擊時，恢復ＨＰ</v>
      </c>
      <c r="P242">
        <v>7340100</v>
      </c>
      <c r="Q242" t="str">
        <f>IF(VALUE(P242)=0,"",VLOOKUP(VLOOKUP(P242,Tbl_Effect[],3,FALSE),EffectName[],IFERROR(MATCH(UI!$B$1,EffectName[#Headers],0),2),FALSE))</f>
        <v>以直劍攻擊時，恢復ＨＰ</v>
      </c>
      <c r="R242" t="str">
        <f t="shared" si="24"/>
        <v>7350100-以直劍攻擊時，恢復ＦＰ</v>
      </c>
      <c r="S242">
        <v>7350100</v>
      </c>
      <c r="T242" t="str">
        <f>IF(VALUE(S242)=0,"",VLOOKUP(VLOOKUP(S242,Tbl_Effect[],3,FALSE),EffectName[],IFERROR(MATCH(UI!$B$1,EffectName[#Headers],0),2),FALSE))</f>
        <v>以直劍攻擊時，恢復ＦＰ</v>
      </c>
      <c r="U242" t="str">
        <f t="shared" si="25"/>
        <v/>
      </c>
      <c r="V242">
        <v>0</v>
      </c>
      <c r="W242" t="str">
        <f>IF(V242&lt;&gt;0,VLOOKUP(VLOOKUP(V242,Tbl_Effect[],3,FALSE),EffectName[],IFERROR(MATCH(UI!$B$1,EffectName[#Headers],0),2),FALSE),"")</f>
        <v/>
      </c>
      <c r="X242" t="str">
        <f t="shared" si="26"/>
        <v/>
      </c>
      <c r="Y242">
        <v>0</v>
      </c>
      <c r="Z242" t="str">
        <f>IF(Y242&lt;&gt;0,VLOOKUP(VLOOKUP(Y242,Tbl_Effect[],3,FALSE),EffectName[],IFERROR(MATCH(UI!$B$1,EffectName[#Headers],0),2),FALSE),"")</f>
        <v/>
      </c>
      <c r="AA242" t="str">
        <f t="shared" si="27"/>
        <v/>
      </c>
      <c r="AB242">
        <v>0</v>
      </c>
      <c r="AC242" t="str">
        <f>IF(AB242&lt;&gt;0,VLOOKUP(VLOOKUP(AB242,Tbl_Effect[],3,FALSE),EffectName[],IFERROR(MATCH(UI!$B$1,EffectName[#Headers],0),2),FALSE),"")</f>
        <v/>
      </c>
      <c r="AE242">
        <v>7332300</v>
      </c>
      <c r="AF242">
        <v>7340100</v>
      </c>
      <c r="AG242">
        <v>7350100</v>
      </c>
    </row>
    <row r="243" spans="8:33" x14ac:dyDescent="0.4">
      <c r="H243" t="str">
        <f t="shared" si="21"/>
        <v>30004-端正的火燃暗淡情景 (紅)</v>
      </c>
      <c r="I243">
        <v>30004</v>
      </c>
      <c r="J243" t="str">
        <f>_xlfn.IFNA(IF(I243&lt;&gt;0,VLOOKUP(VLOOKUP(I243,Tbl_Equip[],2,FALSE),Tbl_Color[],IFERROR(MATCH(UI!$B$1,Tbl_Color[#Headers],0),2),FALSE),""),"Unset")</f>
        <v>紅</v>
      </c>
      <c r="K243" t="str">
        <f>_xlfn.IFNA(IF(I243&lt;&gt;0,VLOOKUP(I243,ItemText[],IFERROR(MATCH(UI!$B$1,ItemText[#Headers],0),2),FALSE),""),"Unset")</f>
        <v>端正的火燃暗淡情景</v>
      </c>
      <c r="L243" t="str">
        <f t="shared" si="22"/>
        <v>7332400-提升弓的攻擊力</v>
      </c>
      <c r="M243">
        <v>7332400</v>
      </c>
      <c r="N243" t="str">
        <f>IF(VALUE(M243)=0,"",VLOOKUP(VLOOKUP(M243,Tbl_Effect[],3,FALSE),EffectName[],IFERROR(MATCH(UI!$B$1,EffectName[#Headers],0),2),FALSE))</f>
        <v>提升弓的攻擊力</v>
      </c>
      <c r="O243" t="str">
        <f t="shared" si="23"/>
        <v>7340200-以大劍攻擊時，恢復ＨＰ</v>
      </c>
      <c r="P243">
        <v>7340200</v>
      </c>
      <c r="Q243" t="str">
        <f>IF(VALUE(P243)=0,"",VLOOKUP(VLOOKUP(P243,Tbl_Effect[],3,FALSE),EffectName[],IFERROR(MATCH(UI!$B$1,EffectName[#Headers],0),2),FALSE))</f>
        <v>以大劍攻擊時，恢復ＨＰ</v>
      </c>
      <c r="R243" t="str">
        <f t="shared" si="24"/>
        <v>7350200-以大劍攻擊時，恢復ＦＰ</v>
      </c>
      <c r="S243">
        <v>7350200</v>
      </c>
      <c r="T243" t="str">
        <f>IF(VALUE(S243)=0,"",VLOOKUP(VLOOKUP(S243,Tbl_Effect[],3,FALSE),EffectName[],IFERROR(MATCH(UI!$B$1,EffectName[#Headers],0),2),FALSE))</f>
        <v>以大劍攻擊時，恢復ＦＰ</v>
      </c>
      <c r="U243" t="str">
        <f t="shared" si="25"/>
        <v/>
      </c>
      <c r="V243">
        <v>0</v>
      </c>
      <c r="W243" t="str">
        <f>IF(V243&lt;&gt;0,VLOOKUP(VLOOKUP(V243,Tbl_Effect[],3,FALSE),EffectName[],IFERROR(MATCH(UI!$B$1,EffectName[#Headers],0),2),FALSE),"")</f>
        <v/>
      </c>
      <c r="X243" t="str">
        <f t="shared" si="26"/>
        <v/>
      </c>
      <c r="Y243">
        <v>0</v>
      </c>
      <c r="Z243" t="str">
        <f>IF(Y243&lt;&gt;0,VLOOKUP(VLOOKUP(Y243,Tbl_Effect[],3,FALSE),EffectName[],IFERROR(MATCH(UI!$B$1,EffectName[#Headers],0),2),FALSE),"")</f>
        <v/>
      </c>
      <c r="AA243" t="str">
        <f t="shared" si="27"/>
        <v/>
      </c>
      <c r="AB243">
        <v>0</v>
      </c>
      <c r="AC243" t="str">
        <f>IF(AB243&lt;&gt;0,VLOOKUP(VLOOKUP(AB243,Tbl_Effect[],3,FALSE),EffectName[],IFERROR(MATCH(UI!$B$1,EffectName[#Headers],0),2),FALSE),"")</f>
        <v/>
      </c>
      <c r="AE243">
        <v>7332400</v>
      </c>
      <c r="AF243">
        <v>7340200</v>
      </c>
      <c r="AG243">
        <v>7350200</v>
      </c>
    </row>
    <row r="244" spans="8:33" x14ac:dyDescent="0.4">
      <c r="H244" t="str">
        <f t="shared" si="21"/>
        <v>30005-遼闊的火燃暗淡情景 (紅)</v>
      </c>
      <c r="I244">
        <v>30005</v>
      </c>
      <c r="J244" t="str">
        <f>_xlfn.IFNA(IF(I244&lt;&gt;0,VLOOKUP(VLOOKUP(I244,Tbl_Equip[],2,FALSE),Tbl_Color[],IFERROR(MATCH(UI!$B$1,Tbl_Color[#Headers],0),2),FALSE),""),"Unset")</f>
        <v>紅</v>
      </c>
      <c r="K244" t="str">
        <f>_xlfn.IFNA(IF(I244&lt;&gt;0,VLOOKUP(I244,ItemText[],IFERROR(MATCH(UI!$B$1,ItemText[#Headers],0),2),FALSE),""),"Unset")</f>
        <v>遼闊的火燃暗淡情景</v>
      </c>
      <c r="L244" t="str">
        <f t="shared" si="22"/>
        <v>7340000-以短劍攻擊時，恢復ＨＰ</v>
      </c>
      <c r="M244">
        <v>7340000</v>
      </c>
      <c r="N244" t="str">
        <f>IF(VALUE(M244)=0,"",VLOOKUP(VLOOKUP(M244,Tbl_Effect[],3,FALSE),EffectName[],IFERROR(MATCH(UI!$B$1,EffectName[#Headers],0),2),FALSE))</f>
        <v>以短劍攻擊時，恢復ＨＰ</v>
      </c>
      <c r="O244" t="str">
        <f t="shared" si="23"/>
        <v>7340300-以特大劍攻擊時，恢復ＨＰ</v>
      </c>
      <c r="P244">
        <v>7340300</v>
      </c>
      <c r="Q244" t="str">
        <f>IF(VALUE(P244)=0,"",VLOOKUP(VLOOKUP(P244,Tbl_Effect[],3,FALSE),EffectName[],IFERROR(MATCH(UI!$B$1,EffectName[#Headers],0),2),FALSE))</f>
        <v>以特大劍攻擊時，恢復ＨＰ</v>
      </c>
      <c r="R244" t="str">
        <f t="shared" si="24"/>
        <v>7350300-以特大劍攻擊時，恢復ＦＰ</v>
      </c>
      <c r="S244">
        <v>7350300</v>
      </c>
      <c r="T244" t="str">
        <f>IF(VALUE(S244)=0,"",VLOOKUP(VLOOKUP(S244,Tbl_Effect[],3,FALSE),EffectName[],IFERROR(MATCH(UI!$B$1,EffectName[#Headers],0),2),FALSE))</f>
        <v>以特大劍攻擊時，恢復ＦＰ</v>
      </c>
      <c r="U244" t="str">
        <f t="shared" si="25"/>
        <v/>
      </c>
      <c r="V244">
        <v>0</v>
      </c>
      <c r="W244" t="str">
        <f>IF(V244&lt;&gt;0,VLOOKUP(VLOOKUP(V244,Tbl_Effect[],3,FALSE),EffectName[],IFERROR(MATCH(UI!$B$1,EffectName[#Headers],0),2),FALSE),"")</f>
        <v/>
      </c>
      <c r="X244" t="str">
        <f t="shared" si="26"/>
        <v/>
      </c>
      <c r="Y244">
        <v>0</v>
      </c>
      <c r="Z244" t="str">
        <f>IF(Y244&lt;&gt;0,VLOOKUP(VLOOKUP(Y244,Tbl_Effect[],3,FALSE),EffectName[],IFERROR(MATCH(UI!$B$1,EffectName[#Headers],0),2),FALSE),"")</f>
        <v/>
      </c>
      <c r="AA244" t="str">
        <f t="shared" si="27"/>
        <v/>
      </c>
      <c r="AB244">
        <v>0</v>
      </c>
      <c r="AC244" t="str">
        <f>IF(AB244&lt;&gt;0,VLOOKUP(VLOOKUP(AB244,Tbl_Effect[],3,FALSE),EffectName[],IFERROR(MATCH(UI!$B$1,EffectName[#Headers],0),2),FALSE),"")</f>
        <v/>
      </c>
      <c r="AE244">
        <v>7340000</v>
      </c>
      <c r="AF244">
        <v>7340300</v>
      </c>
      <c r="AG244">
        <v>7350300</v>
      </c>
    </row>
    <row r="245" spans="8:33" x14ac:dyDescent="0.4">
      <c r="H245" t="str">
        <f t="shared" si="21"/>
        <v>30006-細膩的火燃暗淡情景 (紅)</v>
      </c>
      <c r="I245">
        <v>30006</v>
      </c>
      <c r="J245" t="str">
        <f>_xlfn.IFNA(IF(I245&lt;&gt;0,VLOOKUP(VLOOKUP(I245,Tbl_Equip[],2,FALSE),Tbl_Color[],IFERROR(MATCH(UI!$B$1,Tbl_Color[#Headers],0),2),FALSE),""),"Unset")</f>
        <v>紅</v>
      </c>
      <c r="K245" t="str">
        <f>_xlfn.IFNA(IF(I245&lt;&gt;0,VLOOKUP(I245,ItemText[],IFERROR(MATCH(UI!$B$1,ItemText[#Headers],0),2),FALSE),""),"Unset")</f>
        <v>細膩的火燃暗淡情景</v>
      </c>
      <c r="L245" t="str">
        <f t="shared" si="22"/>
        <v>7340100-以直劍攻擊時，恢復ＨＰ</v>
      </c>
      <c r="M245">
        <v>7340100</v>
      </c>
      <c r="N245" t="str">
        <f>IF(VALUE(M245)=0,"",VLOOKUP(VLOOKUP(M245,Tbl_Effect[],3,FALSE),EffectName[],IFERROR(MATCH(UI!$B$1,EffectName[#Headers],0),2),FALSE))</f>
        <v>以直劍攻擊時，恢復ＨＰ</v>
      </c>
      <c r="O245" t="str">
        <f t="shared" si="23"/>
        <v>7340400-以曲劍攻擊時，恢復ＨＰ</v>
      </c>
      <c r="P245">
        <v>7340400</v>
      </c>
      <c r="Q245" t="str">
        <f>IF(VALUE(P245)=0,"",VLOOKUP(VLOOKUP(P245,Tbl_Effect[],3,FALSE),EffectName[],IFERROR(MATCH(UI!$B$1,EffectName[#Headers],0),2),FALSE))</f>
        <v>以曲劍攻擊時，恢復ＨＰ</v>
      </c>
      <c r="R245" t="str">
        <f t="shared" si="24"/>
        <v>7350400-以曲劍攻擊時，恢復ＦＰ</v>
      </c>
      <c r="S245">
        <v>7350400</v>
      </c>
      <c r="T245" t="str">
        <f>IF(VALUE(S245)=0,"",VLOOKUP(VLOOKUP(S245,Tbl_Effect[],3,FALSE),EffectName[],IFERROR(MATCH(UI!$B$1,EffectName[#Headers],0),2),FALSE))</f>
        <v>以曲劍攻擊時，恢復ＦＰ</v>
      </c>
      <c r="U245" t="str">
        <f t="shared" si="25"/>
        <v/>
      </c>
      <c r="V245">
        <v>0</v>
      </c>
      <c r="W245" t="str">
        <f>IF(V245&lt;&gt;0,VLOOKUP(VLOOKUP(V245,Tbl_Effect[],3,FALSE),EffectName[],IFERROR(MATCH(UI!$B$1,EffectName[#Headers],0),2),FALSE),"")</f>
        <v/>
      </c>
      <c r="X245" t="str">
        <f t="shared" si="26"/>
        <v/>
      </c>
      <c r="Y245">
        <v>0</v>
      </c>
      <c r="Z245" t="str">
        <f>IF(Y245&lt;&gt;0,VLOOKUP(VLOOKUP(Y245,Tbl_Effect[],3,FALSE),EffectName[],IFERROR(MATCH(UI!$B$1,EffectName[#Headers],0),2),FALSE),"")</f>
        <v/>
      </c>
      <c r="AA245" t="str">
        <f t="shared" si="27"/>
        <v/>
      </c>
      <c r="AB245">
        <v>0</v>
      </c>
      <c r="AC245" t="str">
        <f>IF(AB245&lt;&gt;0,VLOOKUP(VLOOKUP(AB245,Tbl_Effect[],3,FALSE),EffectName[],IFERROR(MATCH(UI!$B$1,EffectName[#Headers],0),2),FALSE),"")</f>
        <v/>
      </c>
      <c r="AE245">
        <v>7340100</v>
      </c>
      <c r="AF245">
        <v>7340400</v>
      </c>
      <c r="AG245">
        <v>7350400</v>
      </c>
    </row>
    <row r="246" spans="8:33" x14ac:dyDescent="0.4">
      <c r="H246" t="str">
        <f t="shared" si="21"/>
        <v>30007-端正的火燃暗淡情景 (紅)</v>
      </c>
      <c r="I246">
        <v>30007</v>
      </c>
      <c r="J246" t="str">
        <f>_xlfn.IFNA(IF(I246&lt;&gt;0,VLOOKUP(VLOOKUP(I246,Tbl_Equip[],2,FALSE),Tbl_Color[],IFERROR(MATCH(UI!$B$1,Tbl_Color[#Headers],0),2),FALSE),""),"Unset")</f>
        <v>紅</v>
      </c>
      <c r="K246" t="str">
        <f>_xlfn.IFNA(IF(I246&lt;&gt;0,VLOOKUP(I246,ItemText[],IFERROR(MATCH(UI!$B$1,ItemText[#Headers],0),2),FALSE),""),"Unset")</f>
        <v>端正的火燃暗淡情景</v>
      </c>
      <c r="L246" t="str">
        <f t="shared" si="22"/>
        <v>7340200-以大劍攻擊時，恢復ＨＰ</v>
      </c>
      <c r="M246">
        <v>7340200</v>
      </c>
      <c r="N246" t="str">
        <f>IF(VALUE(M246)=0,"",VLOOKUP(VLOOKUP(M246,Tbl_Effect[],3,FALSE),EffectName[],IFERROR(MATCH(UI!$B$1,EffectName[#Headers],0),2),FALSE))</f>
        <v>以大劍攻擊時，恢復ＨＰ</v>
      </c>
      <c r="O246" t="str">
        <f t="shared" si="23"/>
        <v>7340500-以大曲劍攻擊時，恢復ＨＰ</v>
      </c>
      <c r="P246">
        <v>7340500</v>
      </c>
      <c r="Q246" t="str">
        <f>IF(VALUE(P246)=0,"",VLOOKUP(VLOOKUP(P246,Tbl_Effect[],3,FALSE),EffectName[],IFERROR(MATCH(UI!$B$1,EffectName[#Headers],0),2),FALSE))</f>
        <v>以大曲劍攻擊時，恢復ＨＰ</v>
      </c>
      <c r="R246" t="str">
        <f t="shared" si="24"/>
        <v>7350500-以大曲劍攻擊時，恢復ＦＰ</v>
      </c>
      <c r="S246">
        <v>7350500</v>
      </c>
      <c r="T246" t="str">
        <f>IF(VALUE(S246)=0,"",VLOOKUP(VLOOKUP(S246,Tbl_Effect[],3,FALSE),EffectName[],IFERROR(MATCH(UI!$B$1,EffectName[#Headers],0),2),FALSE))</f>
        <v>以大曲劍攻擊時，恢復ＦＰ</v>
      </c>
      <c r="U246" t="str">
        <f t="shared" si="25"/>
        <v/>
      </c>
      <c r="V246">
        <v>0</v>
      </c>
      <c r="W246" t="str">
        <f>IF(V246&lt;&gt;0,VLOOKUP(VLOOKUP(V246,Tbl_Effect[],3,FALSE),EffectName[],IFERROR(MATCH(UI!$B$1,EffectName[#Headers],0),2),FALSE),"")</f>
        <v/>
      </c>
      <c r="X246" t="str">
        <f t="shared" si="26"/>
        <v/>
      </c>
      <c r="Y246">
        <v>0</v>
      </c>
      <c r="Z246" t="str">
        <f>IF(Y246&lt;&gt;0,VLOOKUP(VLOOKUP(Y246,Tbl_Effect[],3,FALSE),EffectName[],IFERROR(MATCH(UI!$B$1,EffectName[#Headers],0),2),FALSE),"")</f>
        <v/>
      </c>
      <c r="AA246" t="str">
        <f t="shared" si="27"/>
        <v/>
      </c>
      <c r="AB246">
        <v>0</v>
      </c>
      <c r="AC246" t="str">
        <f>IF(AB246&lt;&gt;0,VLOOKUP(VLOOKUP(AB246,Tbl_Effect[],3,FALSE),EffectName[],IFERROR(MATCH(UI!$B$1,EffectName[#Headers],0),2),FALSE),"")</f>
        <v/>
      </c>
      <c r="AE246">
        <v>7340200</v>
      </c>
      <c r="AF246">
        <v>7340500</v>
      </c>
      <c r="AG246">
        <v>7350500</v>
      </c>
    </row>
    <row r="247" spans="8:33" x14ac:dyDescent="0.4">
      <c r="H247" t="str">
        <f t="shared" si="21"/>
        <v>30008-遼闊的火燃暗淡情景 (紅)</v>
      </c>
      <c r="I247">
        <v>30008</v>
      </c>
      <c r="J247" t="str">
        <f>_xlfn.IFNA(IF(I247&lt;&gt;0,VLOOKUP(VLOOKUP(I247,Tbl_Equip[],2,FALSE),Tbl_Color[],IFERROR(MATCH(UI!$B$1,Tbl_Color[#Headers],0),2),FALSE),""),"Unset")</f>
        <v>紅</v>
      </c>
      <c r="K247" t="str">
        <f>_xlfn.IFNA(IF(I247&lt;&gt;0,VLOOKUP(I247,ItemText[],IFERROR(MATCH(UI!$B$1,ItemText[#Headers],0),2),FALSE),""),"Unset")</f>
        <v>遼闊的火燃暗淡情景</v>
      </c>
      <c r="L247" t="str">
        <f t="shared" si="22"/>
        <v>7340300-以特大劍攻擊時，恢復ＨＰ</v>
      </c>
      <c r="M247">
        <v>7340300</v>
      </c>
      <c r="N247" t="str">
        <f>IF(VALUE(M247)=0,"",VLOOKUP(VLOOKUP(M247,Tbl_Effect[],3,FALSE),EffectName[],IFERROR(MATCH(UI!$B$1,EffectName[#Headers],0),2),FALSE))</f>
        <v>以特大劍攻擊時，恢復ＨＰ</v>
      </c>
      <c r="O247" t="str">
        <f t="shared" si="23"/>
        <v>7340600-以刀攻擊時，恢復ＨＰ</v>
      </c>
      <c r="P247">
        <v>7340600</v>
      </c>
      <c r="Q247" t="str">
        <f>IF(VALUE(P247)=0,"",VLOOKUP(VLOOKUP(P247,Tbl_Effect[],3,FALSE),EffectName[],IFERROR(MATCH(UI!$B$1,EffectName[#Headers],0),2),FALSE))</f>
        <v>以刀攻擊時，恢復ＨＰ</v>
      </c>
      <c r="R247" t="str">
        <f t="shared" si="24"/>
        <v>7350600-以刀攻擊時，恢復ＦＰ</v>
      </c>
      <c r="S247">
        <v>7350600</v>
      </c>
      <c r="T247" t="str">
        <f>IF(VALUE(S247)=0,"",VLOOKUP(VLOOKUP(S247,Tbl_Effect[],3,FALSE),EffectName[],IFERROR(MATCH(UI!$B$1,EffectName[#Headers],0),2),FALSE))</f>
        <v>以刀攻擊時，恢復ＦＰ</v>
      </c>
      <c r="U247" t="str">
        <f t="shared" si="25"/>
        <v/>
      </c>
      <c r="V247">
        <v>0</v>
      </c>
      <c r="W247" t="str">
        <f>IF(V247&lt;&gt;0,VLOOKUP(VLOOKUP(V247,Tbl_Effect[],3,FALSE),EffectName[],IFERROR(MATCH(UI!$B$1,EffectName[#Headers],0),2),FALSE),"")</f>
        <v/>
      </c>
      <c r="X247" t="str">
        <f t="shared" si="26"/>
        <v/>
      </c>
      <c r="Y247">
        <v>0</v>
      </c>
      <c r="Z247" t="str">
        <f>IF(Y247&lt;&gt;0,VLOOKUP(VLOOKUP(Y247,Tbl_Effect[],3,FALSE),EffectName[],IFERROR(MATCH(UI!$B$1,EffectName[#Headers],0),2),FALSE),"")</f>
        <v/>
      </c>
      <c r="AA247" t="str">
        <f t="shared" si="27"/>
        <v/>
      </c>
      <c r="AB247">
        <v>0</v>
      </c>
      <c r="AC247" t="str">
        <f>IF(AB247&lt;&gt;0,VLOOKUP(VLOOKUP(AB247,Tbl_Effect[],3,FALSE),EffectName[],IFERROR(MATCH(UI!$B$1,EffectName[#Headers],0),2),FALSE),"")</f>
        <v/>
      </c>
      <c r="AE247">
        <v>7340300</v>
      </c>
      <c r="AF247">
        <v>7340600</v>
      </c>
      <c r="AG247">
        <v>7350600</v>
      </c>
    </row>
    <row r="248" spans="8:33" x14ac:dyDescent="0.4">
      <c r="H248" t="str">
        <f t="shared" si="21"/>
        <v>30009-細膩的水滴暗淡情景 (藍)</v>
      </c>
      <c r="I248">
        <v>30009</v>
      </c>
      <c r="J248" t="str">
        <f>_xlfn.IFNA(IF(I248&lt;&gt;0,VLOOKUP(VLOOKUP(I248,Tbl_Equip[],2,FALSE),Tbl_Color[],IFERROR(MATCH(UI!$B$1,Tbl_Color[#Headers],0),2),FALSE),""),"Unset")</f>
        <v>藍</v>
      </c>
      <c r="K248" t="str">
        <f>_xlfn.IFNA(IF(I248&lt;&gt;0,VLOOKUP(I248,ItemText[],IFERROR(MATCH(UI!$B$1,ItemText[#Headers],0),2),FALSE),""),"Unset")</f>
        <v>細膩的水滴暗淡情景</v>
      </c>
      <c r="L248" t="str">
        <f t="shared" si="22"/>
        <v>7340400-以曲劍攻擊時，恢復ＨＰ</v>
      </c>
      <c r="M248">
        <v>7340400</v>
      </c>
      <c r="N248" t="str">
        <f>IF(VALUE(M248)=0,"",VLOOKUP(VLOOKUP(M248,Tbl_Effect[],3,FALSE),EffectName[],IFERROR(MATCH(UI!$B$1,EffectName[#Headers],0),2),FALSE))</f>
        <v>以曲劍攻擊時，恢復ＨＰ</v>
      </c>
      <c r="O248" t="str">
        <f t="shared" si="23"/>
        <v>7340700-以雙頭劍攻擊時，恢復ＨＰ</v>
      </c>
      <c r="P248">
        <v>7340700</v>
      </c>
      <c r="Q248" t="str">
        <f>IF(VALUE(P248)=0,"",VLOOKUP(VLOOKUP(P248,Tbl_Effect[],3,FALSE),EffectName[],IFERROR(MATCH(UI!$B$1,EffectName[#Headers],0),2),FALSE))</f>
        <v>以雙頭劍攻擊時，恢復ＨＰ</v>
      </c>
      <c r="R248" t="str">
        <f t="shared" si="24"/>
        <v>7350700-以雙頭劍攻擊時，恢復ＦＰ</v>
      </c>
      <c r="S248">
        <v>7350700</v>
      </c>
      <c r="T248" t="str">
        <f>IF(VALUE(S248)=0,"",VLOOKUP(VLOOKUP(S248,Tbl_Effect[],3,FALSE),EffectName[],IFERROR(MATCH(UI!$B$1,EffectName[#Headers],0),2),FALSE))</f>
        <v>以雙頭劍攻擊時，恢復ＦＰ</v>
      </c>
      <c r="U248" t="str">
        <f t="shared" si="25"/>
        <v/>
      </c>
      <c r="V248">
        <v>0</v>
      </c>
      <c r="W248" t="str">
        <f>IF(V248&lt;&gt;0,VLOOKUP(VLOOKUP(V248,Tbl_Effect[],3,FALSE),EffectName[],IFERROR(MATCH(UI!$B$1,EffectName[#Headers],0),2),FALSE),"")</f>
        <v/>
      </c>
      <c r="X248" t="str">
        <f t="shared" si="26"/>
        <v/>
      </c>
      <c r="Y248">
        <v>0</v>
      </c>
      <c r="Z248" t="str">
        <f>IF(Y248&lt;&gt;0,VLOOKUP(VLOOKUP(Y248,Tbl_Effect[],3,FALSE),EffectName[],IFERROR(MATCH(UI!$B$1,EffectName[#Headers],0),2),FALSE),"")</f>
        <v/>
      </c>
      <c r="AA248" t="str">
        <f t="shared" si="27"/>
        <v/>
      </c>
      <c r="AB248">
        <v>0</v>
      </c>
      <c r="AC248" t="str">
        <f>IF(AB248&lt;&gt;0,VLOOKUP(VLOOKUP(AB248,Tbl_Effect[],3,FALSE),EffectName[],IFERROR(MATCH(UI!$B$1,EffectName[#Headers],0),2),FALSE),"")</f>
        <v/>
      </c>
      <c r="AE248">
        <v>7340400</v>
      </c>
      <c r="AF248">
        <v>7340700</v>
      </c>
      <c r="AG248">
        <v>7350700</v>
      </c>
    </row>
    <row r="249" spans="8:33" x14ac:dyDescent="0.4">
      <c r="H249" t="str">
        <f t="shared" si="21"/>
        <v>30010-端正的水滴暗淡情景 (藍)</v>
      </c>
      <c r="I249">
        <v>30010</v>
      </c>
      <c r="J249" t="str">
        <f>_xlfn.IFNA(IF(I249&lt;&gt;0,VLOOKUP(VLOOKUP(I249,Tbl_Equip[],2,FALSE),Tbl_Color[],IFERROR(MATCH(UI!$B$1,Tbl_Color[#Headers],0),2),FALSE),""),"Unset")</f>
        <v>藍</v>
      </c>
      <c r="K249" t="str">
        <f>_xlfn.IFNA(IF(I249&lt;&gt;0,VLOOKUP(I249,ItemText[],IFERROR(MATCH(UI!$B$1,ItemText[#Headers],0),2),FALSE),""),"Unset")</f>
        <v>端正的水滴暗淡情景</v>
      </c>
      <c r="L249" t="str">
        <f t="shared" si="22"/>
        <v>7340500-以大曲劍攻擊時，恢復ＨＰ</v>
      </c>
      <c r="M249">
        <v>7340500</v>
      </c>
      <c r="N249" t="str">
        <f>IF(VALUE(M249)=0,"",VLOOKUP(VLOOKUP(M249,Tbl_Effect[],3,FALSE),EffectName[],IFERROR(MATCH(UI!$B$1,EffectName[#Headers],0),2),FALSE))</f>
        <v>以大曲劍攻擊時，恢復ＨＰ</v>
      </c>
      <c r="O249" t="str">
        <f t="shared" si="23"/>
        <v>7340800-以刺劍攻擊時，恢復ＨＰ</v>
      </c>
      <c r="P249">
        <v>7340800</v>
      </c>
      <c r="Q249" t="str">
        <f>IF(VALUE(P249)=0,"",VLOOKUP(VLOOKUP(P249,Tbl_Effect[],3,FALSE),EffectName[],IFERROR(MATCH(UI!$B$1,EffectName[#Headers],0),2),FALSE))</f>
        <v>以刺劍攻擊時，恢復ＨＰ</v>
      </c>
      <c r="R249" t="str">
        <f t="shared" si="24"/>
        <v>7350800-以刺劍攻擊時，恢復ＦＰ</v>
      </c>
      <c r="S249">
        <v>7350800</v>
      </c>
      <c r="T249" t="str">
        <f>IF(VALUE(S249)=0,"",VLOOKUP(VLOOKUP(S249,Tbl_Effect[],3,FALSE),EffectName[],IFERROR(MATCH(UI!$B$1,EffectName[#Headers],0),2),FALSE))</f>
        <v>以刺劍攻擊時，恢復ＦＰ</v>
      </c>
      <c r="U249" t="str">
        <f t="shared" si="25"/>
        <v/>
      </c>
      <c r="V249">
        <v>0</v>
      </c>
      <c r="W249" t="str">
        <f>IF(V249&lt;&gt;0,VLOOKUP(VLOOKUP(V249,Tbl_Effect[],3,FALSE),EffectName[],IFERROR(MATCH(UI!$B$1,EffectName[#Headers],0),2),FALSE),"")</f>
        <v/>
      </c>
      <c r="X249" t="str">
        <f t="shared" si="26"/>
        <v/>
      </c>
      <c r="Y249">
        <v>0</v>
      </c>
      <c r="Z249" t="str">
        <f>IF(Y249&lt;&gt;0,VLOOKUP(VLOOKUP(Y249,Tbl_Effect[],3,FALSE),EffectName[],IFERROR(MATCH(UI!$B$1,EffectName[#Headers],0),2),FALSE),"")</f>
        <v/>
      </c>
      <c r="AA249" t="str">
        <f t="shared" si="27"/>
        <v/>
      </c>
      <c r="AB249">
        <v>0</v>
      </c>
      <c r="AC249" t="str">
        <f>IF(AB249&lt;&gt;0,VLOOKUP(VLOOKUP(AB249,Tbl_Effect[],3,FALSE),EffectName[],IFERROR(MATCH(UI!$B$1,EffectName[#Headers],0),2),FALSE),"")</f>
        <v/>
      </c>
      <c r="AE249">
        <v>7340500</v>
      </c>
      <c r="AF249">
        <v>7340800</v>
      </c>
      <c r="AG249">
        <v>7350800</v>
      </c>
    </row>
    <row r="250" spans="8:33" x14ac:dyDescent="0.4">
      <c r="H250" t="str">
        <f t="shared" si="21"/>
        <v>30011-遼闊的水滴暗淡情景 (藍)</v>
      </c>
      <c r="I250">
        <v>30011</v>
      </c>
      <c r="J250" t="str">
        <f>_xlfn.IFNA(IF(I250&lt;&gt;0,VLOOKUP(VLOOKUP(I250,Tbl_Equip[],2,FALSE),Tbl_Color[],IFERROR(MATCH(UI!$B$1,Tbl_Color[#Headers],0),2),FALSE),""),"Unset")</f>
        <v>藍</v>
      </c>
      <c r="K250" t="str">
        <f>_xlfn.IFNA(IF(I250&lt;&gt;0,VLOOKUP(I250,ItemText[],IFERROR(MATCH(UI!$B$1,ItemText[#Headers],0),2),FALSE),""),"Unset")</f>
        <v>遼闊的水滴暗淡情景</v>
      </c>
      <c r="L250" t="str">
        <f t="shared" si="22"/>
        <v>7340600-以刀攻擊時，恢復ＨＰ</v>
      </c>
      <c r="M250">
        <v>7340600</v>
      </c>
      <c r="N250" t="str">
        <f>IF(VALUE(M250)=0,"",VLOOKUP(VLOOKUP(M250,Tbl_Effect[],3,FALSE),EffectName[],IFERROR(MATCH(UI!$B$1,EffectName[#Headers],0),2),FALSE))</f>
        <v>以刀攻擊時，恢復ＨＰ</v>
      </c>
      <c r="O250" t="str">
        <f t="shared" si="23"/>
        <v>7340900-以重刺劍攻擊時，恢復ＨＰ</v>
      </c>
      <c r="P250">
        <v>7340900</v>
      </c>
      <c r="Q250" t="str">
        <f>IF(VALUE(P250)=0,"",VLOOKUP(VLOOKUP(P250,Tbl_Effect[],3,FALSE),EffectName[],IFERROR(MATCH(UI!$B$1,EffectName[#Headers],0),2),FALSE))</f>
        <v>以重刺劍攻擊時，恢復ＨＰ</v>
      </c>
      <c r="R250" t="str">
        <f t="shared" si="24"/>
        <v>7350900-以重刺劍攻擊時，恢復ＦＰ</v>
      </c>
      <c r="S250">
        <v>7350900</v>
      </c>
      <c r="T250" t="str">
        <f>IF(VALUE(S250)=0,"",VLOOKUP(VLOOKUP(S250,Tbl_Effect[],3,FALSE),EffectName[],IFERROR(MATCH(UI!$B$1,EffectName[#Headers],0),2),FALSE))</f>
        <v>以重刺劍攻擊時，恢復ＦＰ</v>
      </c>
      <c r="U250" t="str">
        <f t="shared" si="25"/>
        <v/>
      </c>
      <c r="V250">
        <v>0</v>
      </c>
      <c r="W250" t="str">
        <f>IF(V250&lt;&gt;0,VLOOKUP(VLOOKUP(V250,Tbl_Effect[],3,FALSE),EffectName[],IFERROR(MATCH(UI!$B$1,EffectName[#Headers],0),2),FALSE),"")</f>
        <v/>
      </c>
      <c r="X250" t="str">
        <f t="shared" si="26"/>
        <v/>
      </c>
      <c r="Y250">
        <v>0</v>
      </c>
      <c r="Z250" t="str">
        <f>IF(Y250&lt;&gt;0,VLOOKUP(VLOOKUP(Y250,Tbl_Effect[],3,FALSE),EffectName[],IFERROR(MATCH(UI!$B$1,EffectName[#Headers],0),2),FALSE),"")</f>
        <v/>
      </c>
      <c r="AA250" t="str">
        <f t="shared" si="27"/>
        <v/>
      </c>
      <c r="AB250">
        <v>0</v>
      </c>
      <c r="AC250" t="str">
        <f>IF(AB250&lt;&gt;0,VLOOKUP(VLOOKUP(AB250,Tbl_Effect[],3,FALSE),EffectName[],IFERROR(MATCH(UI!$B$1,EffectName[#Headers],0),2),FALSE),"")</f>
        <v/>
      </c>
      <c r="AE250">
        <v>7340600</v>
      </c>
      <c r="AF250">
        <v>7340900</v>
      </c>
      <c r="AG250">
        <v>7350900</v>
      </c>
    </row>
    <row r="251" spans="8:33" x14ac:dyDescent="0.4">
      <c r="H251" t="str">
        <f t="shared" si="21"/>
        <v>30012-細膩的水滴暗淡情景 (藍)</v>
      </c>
      <c r="I251">
        <v>30012</v>
      </c>
      <c r="J251" t="str">
        <f>_xlfn.IFNA(IF(I251&lt;&gt;0,VLOOKUP(VLOOKUP(I251,Tbl_Equip[],2,FALSE),Tbl_Color[],IFERROR(MATCH(UI!$B$1,Tbl_Color[#Headers],0),2),FALSE),""),"Unset")</f>
        <v>藍</v>
      </c>
      <c r="K251" t="str">
        <f>_xlfn.IFNA(IF(I251&lt;&gt;0,VLOOKUP(I251,ItemText[],IFERROR(MATCH(UI!$B$1,ItemText[#Headers],0),2),FALSE),""),"Unset")</f>
        <v>細膩的水滴暗淡情景</v>
      </c>
      <c r="L251" t="str">
        <f t="shared" si="22"/>
        <v>7340700-以雙頭劍攻擊時，恢復ＨＰ</v>
      </c>
      <c r="M251">
        <v>7340700</v>
      </c>
      <c r="N251" t="str">
        <f>IF(VALUE(M251)=0,"",VLOOKUP(VLOOKUP(M251,Tbl_Effect[],3,FALSE),EffectName[],IFERROR(MATCH(UI!$B$1,EffectName[#Headers],0),2),FALSE))</f>
        <v>以雙頭劍攻擊時，恢復ＨＰ</v>
      </c>
      <c r="O251" t="str">
        <f t="shared" si="23"/>
        <v>7341000-以斧攻擊時，恢復ＨＰ</v>
      </c>
      <c r="P251">
        <v>7341000</v>
      </c>
      <c r="Q251" t="str">
        <f>IF(VALUE(P251)=0,"",VLOOKUP(VLOOKUP(P251,Tbl_Effect[],3,FALSE),EffectName[],IFERROR(MATCH(UI!$B$1,EffectName[#Headers],0),2),FALSE))</f>
        <v>以斧攻擊時，恢復ＨＰ</v>
      </c>
      <c r="R251" t="str">
        <f t="shared" si="24"/>
        <v>7351000-以斧攻擊時，恢復ＦＰ</v>
      </c>
      <c r="S251">
        <v>7351000</v>
      </c>
      <c r="T251" t="str">
        <f>IF(VALUE(S251)=0,"",VLOOKUP(VLOOKUP(S251,Tbl_Effect[],3,FALSE),EffectName[],IFERROR(MATCH(UI!$B$1,EffectName[#Headers],0),2),FALSE))</f>
        <v>以斧攻擊時，恢復ＦＰ</v>
      </c>
      <c r="U251" t="str">
        <f t="shared" si="25"/>
        <v/>
      </c>
      <c r="V251">
        <v>0</v>
      </c>
      <c r="W251" t="str">
        <f>IF(V251&lt;&gt;0,VLOOKUP(VLOOKUP(V251,Tbl_Effect[],3,FALSE),EffectName[],IFERROR(MATCH(UI!$B$1,EffectName[#Headers],0),2),FALSE),"")</f>
        <v/>
      </c>
      <c r="X251" t="str">
        <f t="shared" si="26"/>
        <v/>
      </c>
      <c r="Y251">
        <v>0</v>
      </c>
      <c r="Z251" t="str">
        <f>IF(Y251&lt;&gt;0,VLOOKUP(VLOOKUP(Y251,Tbl_Effect[],3,FALSE),EffectName[],IFERROR(MATCH(UI!$B$1,EffectName[#Headers],0),2),FALSE),"")</f>
        <v/>
      </c>
      <c r="AA251" t="str">
        <f t="shared" si="27"/>
        <v/>
      </c>
      <c r="AB251">
        <v>0</v>
      </c>
      <c r="AC251" t="str">
        <f>IF(AB251&lt;&gt;0,VLOOKUP(VLOOKUP(AB251,Tbl_Effect[],3,FALSE),EffectName[],IFERROR(MATCH(UI!$B$1,EffectName[#Headers],0),2),FALSE),"")</f>
        <v/>
      </c>
      <c r="AE251">
        <v>7340700</v>
      </c>
      <c r="AF251">
        <v>7341000</v>
      </c>
      <c r="AG251">
        <v>7351000</v>
      </c>
    </row>
    <row r="252" spans="8:33" x14ac:dyDescent="0.4">
      <c r="H252" t="str">
        <f t="shared" si="21"/>
        <v>30013-端正的水滴暗淡情景 (藍)</v>
      </c>
      <c r="I252">
        <v>30013</v>
      </c>
      <c r="J252" t="str">
        <f>_xlfn.IFNA(IF(I252&lt;&gt;0,VLOOKUP(VLOOKUP(I252,Tbl_Equip[],2,FALSE),Tbl_Color[],IFERROR(MATCH(UI!$B$1,Tbl_Color[#Headers],0),2),FALSE),""),"Unset")</f>
        <v>藍</v>
      </c>
      <c r="K252" t="str">
        <f>_xlfn.IFNA(IF(I252&lt;&gt;0,VLOOKUP(I252,ItemText[],IFERROR(MATCH(UI!$B$1,ItemText[#Headers],0),2),FALSE),""),"Unset")</f>
        <v>端正的水滴暗淡情景</v>
      </c>
      <c r="L252" t="str">
        <f t="shared" si="22"/>
        <v>7340800-以刺劍攻擊時，恢復ＨＰ</v>
      </c>
      <c r="M252">
        <v>7340800</v>
      </c>
      <c r="N252" t="str">
        <f>IF(VALUE(M252)=0,"",VLOOKUP(VLOOKUP(M252,Tbl_Effect[],3,FALSE),EffectName[],IFERROR(MATCH(UI!$B$1,EffectName[#Headers],0),2),FALSE))</f>
        <v>以刺劍攻擊時，恢復ＨＰ</v>
      </c>
      <c r="O252" t="str">
        <f t="shared" si="23"/>
        <v>7341100-以大斧攻擊時，恢復ＨＰ</v>
      </c>
      <c r="P252">
        <v>7341100</v>
      </c>
      <c r="Q252" t="str">
        <f>IF(VALUE(P252)=0,"",VLOOKUP(VLOOKUP(P252,Tbl_Effect[],3,FALSE),EffectName[],IFERROR(MATCH(UI!$B$1,EffectName[#Headers],0),2),FALSE))</f>
        <v>以大斧攻擊時，恢復ＨＰ</v>
      </c>
      <c r="R252" t="str">
        <f t="shared" si="24"/>
        <v>7351100-以大斧攻擊時，恢復ＦＰ</v>
      </c>
      <c r="S252">
        <v>7351100</v>
      </c>
      <c r="T252" t="str">
        <f>IF(VALUE(S252)=0,"",VLOOKUP(VLOOKUP(S252,Tbl_Effect[],3,FALSE),EffectName[],IFERROR(MATCH(UI!$B$1,EffectName[#Headers],0),2),FALSE))</f>
        <v>以大斧攻擊時，恢復ＦＰ</v>
      </c>
      <c r="U252" t="str">
        <f t="shared" si="25"/>
        <v/>
      </c>
      <c r="V252">
        <v>0</v>
      </c>
      <c r="W252" t="str">
        <f>IF(V252&lt;&gt;0,VLOOKUP(VLOOKUP(V252,Tbl_Effect[],3,FALSE),EffectName[],IFERROR(MATCH(UI!$B$1,EffectName[#Headers],0),2),FALSE),"")</f>
        <v/>
      </c>
      <c r="X252" t="str">
        <f t="shared" si="26"/>
        <v/>
      </c>
      <c r="Y252">
        <v>0</v>
      </c>
      <c r="Z252" t="str">
        <f>IF(Y252&lt;&gt;0,VLOOKUP(VLOOKUP(Y252,Tbl_Effect[],3,FALSE),EffectName[],IFERROR(MATCH(UI!$B$1,EffectName[#Headers],0),2),FALSE),"")</f>
        <v/>
      </c>
      <c r="AA252" t="str">
        <f t="shared" si="27"/>
        <v/>
      </c>
      <c r="AB252">
        <v>0</v>
      </c>
      <c r="AC252" t="str">
        <f>IF(AB252&lt;&gt;0,VLOOKUP(VLOOKUP(AB252,Tbl_Effect[],3,FALSE),EffectName[],IFERROR(MATCH(UI!$B$1,EffectName[#Headers],0),2),FALSE),"")</f>
        <v/>
      </c>
      <c r="AE252">
        <v>7340800</v>
      </c>
      <c r="AF252">
        <v>7341100</v>
      </c>
      <c r="AG252">
        <v>7351100</v>
      </c>
    </row>
    <row r="253" spans="8:33" x14ac:dyDescent="0.4">
      <c r="H253" t="str">
        <f t="shared" si="21"/>
        <v>30014-遼闊的水滴暗淡情景 (藍)</v>
      </c>
      <c r="I253">
        <v>30014</v>
      </c>
      <c r="J253" t="str">
        <f>_xlfn.IFNA(IF(I253&lt;&gt;0,VLOOKUP(VLOOKUP(I253,Tbl_Equip[],2,FALSE),Tbl_Color[],IFERROR(MATCH(UI!$B$1,Tbl_Color[#Headers],0),2),FALSE),""),"Unset")</f>
        <v>藍</v>
      </c>
      <c r="K253" t="str">
        <f>_xlfn.IFNA(IF(I253&lt;&gt;0,VLOOKUP(I253,ItemText[],IFERROR(MATCH(UI!$B$1,ItemText[#Headers],0),2),FALSE),""),"Unset")</f>
        <v>遼闊的水滴暗淡情景</v>
      </c>
      <c r="L253" t="str">
        <f t="shared" si="22"/>
        <v>7340900-以重刺劍攻擊時，恢復ＨＰ</v>
      </c>
      <c r="M253">
        <v>7340900</v>
      </c>
      <c r="N253" t="str">
        <f>IF(VALUE(M253)=0,"",VLOOKUP(VLOOKUP(M253,Tbl_Effect[],3,FALSE),EffectName[],IFERROR(MATCH(UI!$B$1,EffectName[#Headers],0),2),FALSE))</f>
        <v>以重刺劍攻擊時，恢復ＨＰ</v>
      </c>
      <c r="O253" t="str">
        <f t="shared" si="23"/>
        <v>7341200-以槌攻擊時，恢復ＨＰ</v>
      </c>
      <c r="P253">
        <v>7341200</v>
      </c>
      <c r="Q253" t="str">
        <f>IF(VALUE(P253)=0,"",VLOOKUP(VLOOKUP(P253,Tbl_Effect[],3,FALSE),EffectName[],IFERROR(MATCH(UI!$B$1,EffectName[#Headers],0),2),FALSE))</f>
        <v>以槌攻擊時，恢復ＨＰ</v>
      </c>
      <c r="R253" t="str">
        <f t="shared" si="24"/>
        <v>7351200-以槌攻擊時，恢復ＦＰ</v>
      </c>
      <c r="S253">
        <v>7351200</v>
      </c>
      <c r="T253" t="str">
        <f>IF(VALUE(S253)=0,"",VLOOKUP(VLOOKUP(S253,Tbl_Effect[],3,FALSE),EffectName[],IFERROR(MATCH(UI!$B$1,EffectName[#Headers],0),2),FALSE))</f>
        <v>以槌攻擊時，恢復ＦＰ</v>
      </c>
      <c r="U253" t="str">
        <f t="shared" si="25"/>
        <v/>
      </c>
      <c r="V253">
        <v>0</v>
      </c>
      <c r="W253" t="str">
        <f>IF(V253&lt;&gt;0,VLOOKUP(VLOOKUP(V253,Tbl_Effect[],3,FALSE),EffectName[],IFERROR(MATCH(UI!$B$1,EffectName[#Headers],0),2),FALSE),"")</f>
        <v/>
      </c>
      <c r="X253" t="str">
        <f t="shared" si="26"/>
        <v/>
      </c>
      <c r="Y253">
        <v>0</v>
      </c>
      <c r="Z253" t="str">
        <f>IF(Y253&lt;&gt;0,VLOOKUP(VLOOKUP(Y253,Tbl_Effect[],3,FALSE),EffectName[],IFERROR(MATCH(UI!$B$1,EffectName[#Headers],0),2),FALSE),"")</f>
        <v/>
      </c>
      <c r="AA253" t="str">
        <f t="shared" si="27"/>
        <v/>
      </c>
      <c r="AB253">
        <v>0</v>
      </c>
      <c r="AC253" t="str">
        <f>IF(AB253&lt;&gt;0,VLOOKUP(VLOOKUP(AB253,Tbl_Effect[],3,FALSE),EffectName[],IFERROR(MATCH(UI!$B$1,EffectName[#Headers],0),2),FALSE),"")</f>
        <v/>
      </c>
      <c r="AE253">
        <v>7340900</v>
      </c>
      <c r="AF253">
        <v>7341200</v>
      </c>
      <c r="AG253">
        <v>7351200</v>
      </c>
    </row>
    <row r="254" spans="8:33" x14ac:dyDescent="0.4">
      <c r="H254" t="str">
        <f t="shared" si="21"/>
        <v>30015-細膩的水滴暗淡情景 (藍)</v>
      </c>
      <c r="I254">
        <v>30015</v>
      </c>
      <c r="J254" t="str">
        <f>_xlfn.IFNA(IF(I254&lt;&gt;0,VLOOKUP(VLOOKUP(I254,Tbl_Equip[],2,FALSE),Tbl_Color[],IFERROR(MATCH(UI!$B$1,Tbl_Color[#Headers],0),2),FALSE),""),"Unset")</f>
        <v>藍</v>
      </c>
      <c r="K254" t="str">
        <f>_xlfn.IFNA(IF(I254&lt;&gt;0,VLOOKUP(I254,ItemText[],IFERROR(MATCH(UI!$B$1,ItemText[#Headers],0),2),FALSE),""),"Unset")</f>
        <v>細膩的水滴暗淡情景</v>
      </c>
      <c r="L254" t="str">
        <f t="shared" si="22"/>
        <v>7341000-以斧攻擊時，恢復ＨＰ</v>
      </c>
      <c r="M254">
        <v>7341000</v>
      </c>
      <c r="N254" t="str">
        <f>IF(VALUE(M254)=0,"",VLOOKUP(VLOOKUP(M254,Tbl_Effect[],3,FALSE),EffectName[],IFERROR(MATCH(UI!$B$1,EffectName[#Headers],0),2),FALSE))</f>
        <v>以斧攻擊時，恢復ＨＰ</v>
      </c>
      <c r="O254" t="str">
        <f t="shared" si="23"/>
        <v>7341300-以大槌攻擊時，恢復ＨＰ</v>
      </c>
      <c r="P254">
        <v>7341300</v>
      </c>
      <c r="Q254" t="str">
        <f>IF(VALUE(P254)=0,"",VLOOKUP(VLOOKUP(P254,Tbl_Effect[],3,FALSE),EffectName[],IFERROR(MATCH(UI!$B$1,EffectName[#Headers],0),2),FALSE))</f>
        <v>以大槌攻擊時，恢復ＨＰ</v>
      </c>
      <c r="R254" t="str">
        <f t="shared" si="24"/>
        <v>7351300-以大槌攻擊時，恢復ＦＰ</v>
      </c>
      <c r="S254">
        <v>7351300</v>
      </c>
      <c r="T254" t="str">
        <f>IF(VALUE(S254)=0,"",VLOOKUP(VLOOKUP(S254,Tbl_Effect[],3,FALSE),EffectName[],IFERROR(MATCH(UI!$B$1,EffectName[#Headers],0),2),FALSE))</f>
        <v>以大槌攻擊時，恢復ＦＰ</v>
      </c>
      <c r="U254" t="str">
        <f t="shared" si="25"/>
        <v/>
      </c>
      <c r="V254">
        <v>0</v>
      </c>
      <c r="W254" t="str">
        <f>IF(V254&lt;&gt;0,VLOOKUP(VLOOKUP(V254,Tbl_Effect[],3,FALSE),EffectName[],IFERROR(MATCH(UI!$B$1,EffectName[#Headers],0),2),FALSE),"")</f>
        <v/>
      </c>
      <c r="X254" t="str">
        <f t="shared" si="26"/>
        <v/>
      </c>
      <c r="Y254">
        <v>0</v>
      </c>
      <c r="Z254" t="str">
        <f>IF(Y254&lt;&gt;0,VLOOKUP(VLOOKUP(Y254,Tbl_Effect[],3,FALSE),EffectName[],IFERROR(MATCH(UI!$B$1,EffectName[#Headers],0),2),FALSE),"")</f>
        <v/>
      </c>
      <c r="AA254" t="str">
        <f t="shared" si="27"/>
        <v/>
      </c>
      <c r="AB254">
        <v>0</v>
      </c>
      <c r="AC254" t="str">
        <f>IF(AB254&lt;&gt;0,VLOOKUP(VLOOKUP(AB254,Tbl_Effect[],3,FALSE),EffectName[],IFERROR(MATCH(UI!$B$1,EffectName[#Headers],0),2),FALSE),"")</f>
        <v/>
      </c>
      <c r="AE254">
        <v>7341000</v>
      </c>
      <c r="AF254">
        <v>7341300</v>
      </c>
      <c r="AG254">
        <v>7351300</v>
      </c>
    </row>
    <row r="255" spans="8:33" x14ac:dyDescent="0.4">
      <c r="H255" t="str">
        <f t="shared" si="21"/>
        <v>30016-端正的水滴暗淡情景 (藍)</v>
      </c>
      <c r="I255">
        <v>30016</v>
      </c>
      <c r="J255" t="str">
        <f>_xlfn.IFNA(IF(I255&lt;&gt;0,VLOOKUP(VLOOKUP(I255,Tbl_Equip[],2,FALSE),Tbl_Color[],IFERROR(MATCH(UI!$B$1,Tbl_Color[#Headers],0),2),FALSE),""),"Unset")</f>
        <v>藍</v>
      </c>
      <c r="K255" t="str">
        <f>_xlfn.IFNA(IF(I255&lt;&gt;0,VLOOKUP(I255,ItemText[],IFERROR(MATCH(UI!$B$1,ItemText[#Headers],0),2),FALSE),""),"Unset")</f>
        <v>端正的水滴暗淡情景</v>
      </c>
      <c r="L255" t="str">
        <f t="shared" si="22"/>
        <v>7341100-以大斧攻擊時，恢復ＨＰ</v>
      </c>
      <c r="M255">
        <v>7341100</v>
      </c>
      <c r="N255" t="str">
        <f>IF(VALUE(M255)=0,"",VLOOKUP(VLOOKUP(M255,Tbl_Effect[],3,FALSE),EffectName[],IFERROR(MATCH(UI!$B$1,EffectName[#Headers],0),2),FALSE))</f>
        <v>以大斧攻擊時，恢復ＨＰ</v>
      </c>
      <c r="O255" t="str">
        <f t="shared" si="23"/>
        <v>7341400-以連枷攻擊時，恢復ＨＰ</v>
      </c>
      <c r="P255">
        <v>7341400</v>
      </c>
      <c r="Q255" t="str">
        <f>IF(VALUE(P255)=0,"",VLOOKUP(VLOOKUP(P255,Tbl_Effect[],3,FALSE),EffectName[],IFERROR(MATCH(UI!$B$1,EffectName[#Headers],0),2),FALSE))</f>
        <v>以連枷攻擊時，恢復ＨＰ</v>
      </c>
      <c r="R255" t="str">
        <f t="shared" si="24"/>
        <v>7351400-以連枷攻擊時，恢復ＦＰ</v>
      </c>
      <c r="S255">
        <v>7351400</v>
      </c>
      <c r="T255" t="str">
        <f>IF(VALUE(S255)=0,"",VLOOKUP(VLOOKUP(S255,Tbl_Effect[],3,FALSE),EffectName[],IFERROR(MATCH(UI!$B$1,EffectName[#Headers],0),2),FALSE))</f>
        <v>以連枷攻擊時，恢復ＦＰ</v>
      </c>
      <c r="U255" t="str">
        <f t="shared" si="25"/>
        <v/>
      </c>
      <c r="V255">
        <v>0</v>
      </c>
      <c r="W255" t="str">
        <f>IF(V255&lt;&gt;0,VLOOKUP(VLOOKUP(V255,Tbl_Effect[],3,FALSE),EffectName[],IFERROR(MATCH(UI!$B$1,EffectName[#Headers],0),2),FALSE),"")</f>
        <v/>
      </c>
      <c r="X255" t="str">
        <f t="shared" si="26"/>
        <v/>
      </c>
      <c r="Y255">
        <v>0</v>
      </c>
      <c r="Z255" t="str">
        <f>IF(Y255&lt;&gt;0,VLOOKUP(VLOOKUP(Y255,Tbl_Effect[],3,FALSE),EffectName[],IFERROR(MATCH(UI!$B$1,EffectName[#Headers],0),2),FALSE),"")</f>
        <v/>
      </c>
      <c r="AA255" t="str">
        <f t="shared" si="27"/>
        <v/>
      </c>
      <c r="AB255">
        <v>0</v>
      </c>
      <c r="AC255" t="str">
        <f>IF(AB255&lt;&gt;0,VLOOKUP(VLOOKUP(AB255,Tbl_Effect[],3,FALSE),EffectName[],IFERROR(MATCH(UI!$B$1,EffectName[#Headers],0),2),FALSE),"")</f>
        <v/>
      </c>
      <c r="AE255">
        <v>7341100</v>
      </c>
      <c r="AF255">
        <v>7341400</v>
      </c>
      <c r="AG255">
        <v>7351400</v>
      </c>
    </row>
    <row r="256" spans="8:33" x14ac:dyDescent="0.4">
      <c r="H256" t="str">
        <f t="shared" si="21"/>
        <v>30017-遼闊的水滴暗淡情景 (藍)</v>
      </c>
      <c r="I256">
        <v>30017</v>
      </c>
      <c r="J256" t="str">
        <f>_xlfn.IFNA(IF(I256&lt;&gt;0,VLOOKUP(VLOOKUP(I256,Tbl_Equip[],2,FALSE),Tbl_Color[],IFERROR(MATCH(UI!$B$1,Tbl_Color[#Headers],0),2),FALSE),""),"Unset")</f>
        <v>藍</v>
      </c>
      <c r="K256" t="str">
        <f>_xlfn.IFNA(IF(I256&lt;&gt;0,VLOOKUP(I256,ItemText[],IFERROR(MATCH(UI!$B$1,ItemText[#Headers],0),2),FALSE),""),"Unset")</f>
        <v>遼闊的水滴暗淡情景</v>
      </c>
      <c r="L256" t="str">
        <f t="shared" si="22"/>
        <v>7341200-以槌攻擊時，恢復ＨＰ</v>
      </c>
      <c r="M256">
        <v>7341200</v>
      </c>
      <c r="N256" t="str">
        <f>IF(VALUE(M256)=0,"",VLOOKUP(VLOOKUP(M256,Tbl_Effect[],3,FALSE),EffectName[],IFERROR(MATCH(UI!$B$1,EffectName[#Headers],0),2),FALSE))</f>
        <v>以槌攻擊時，恢復ＨＰ</v>
      </c>
      <c r="O256" t="str">
        <f t="shared" si="23"/>
        <v>7341500-以矛攻擊時，恢復ＨＰ</v>
      </c>
      <c r="P256">
        <v>7341500</v>
      </c>
      <c r="Q256" t="str">
        <f>IF(VALUE(P256)=0,"",VLOOKUP(VLOOKUP(P256,Tbl_Effect[],3,FALSE),EffectName[],IFERROR(MATCH(UI!$B$1,EffectName[#Headers],0),2),FALSE))</f>
        <v>以矛攻擊時，恢復ＨＰ</v>
      </c>
      <c r="R256" t="str">
        <f t="shared" si="24"/>
        <v>7351500-以矛攻擊時，恢復ＦＰ</v>
      </c>
      <c r="S256">
        <v>7351500</v>
      </c>
      <c r="T256" t="str">
        <f>IF(VALUE(S256)=0,"",VLOOKUP(VLOOKUP(S256,Tbl_Effect[],3,FALSE),EffectName[],IFERROR(MATCH(UI!$B$1,EffectName[#Headers],0),2),FALSE))</f>
        <v>以矛攻擊時，恢復ＦＰ</v>
      </c>
      <c r="U256" t="str">
        <f t="shared" si="25"/>
        <v/>
      </c>
      <c r="V256">
        <v>0</v>
      </c>
      <c r="W256" t="str">
        <f>IF(V256&lt;&gt;0,VLOOKUP(VLOOKUP(V256,Tbl_Effect[],3,FALSE),EffectName[],IFERROR(MATCH(UI!$B$1,EffectName[#Headers],0),2),FALSE),"")</f>
        <v/>
      </c>
      <c r="X256" t="str">
        <f t="shared" si="26"/>
        <v/>
      </c>
      <c r="Y256">
        <v>0</v>
      </c>
      <c r="Z256" t="str">
        <f>IF(Y256&lt;&gt;0,VLOOKUP(VLOOKUP(Y256,Tbl_Effect[],3,FALSE),EffectName[],IFERROR(MATCH(UI!$B$1,EffectName[#Headers],0),2),FALSE),"")</f>
        <v/>
      </c>
      <c r="AA256" t="str">
        <f t="shared" si="27"/>
        <v/>
      </c>
      <c r="AB256">
        <v>0</v>
      </c>
      <c r="AC256" t="str">
        <f>IF(AB256&lt;&gt;0,VLOOKUP(VLOOKUP(AB256,Tbl_Effect[],3,FALSE),EffectName[],IFERROR(MATCH(UI!$B$1,EffectName[#Headers],0),2),FALSE),"")</f>
        <v/>
      </c>
      <c r="AE256">
        <v>7341200</v>
      </c>
      <c r="AF256">
        <v>7341500</v>
      </c>
      <c r="AG256">
        <v>7351500</v>
      </c>
    </row>
    <row r="257" spans="8:33" x14ac:dyDescent="0.4">
      <c r="H257" t="str">
        <f t="shared" si="21"/>
        <v>30018-細膩的光耀暗淡情景 (黃)</v>
      </c>
      <c r="I257">
        <v>30018</v>
      </c>
      <c r="J257" t="str">
        <f>_xlfn.IFNA(IF(I257&lt;&gt;0,VLOOKUP(VLOOKUP(I257,Tbl_Equip[],2,FALSE),Tbl_Color[],IFERROR(MATCH(UI!$B$1,Tbl_Color[#Headers],0),2),FALSE),""),"Unset")</f>
        <v>黃</v>
      </c>
      <c r="K257" t="str">
        <f>_xlfn.IFNA(IF(I257&lt;&gt;0,VLOOKUP(I257,ItemText[],IFERROR(MATCH(UI!$B$1,ItemText[#Headers],0),2),FALSE),""),"Unset")</f>
        <v>細膩的光耀暗淡情景</v>
      </c>
      <c r="L257" t="str">
        <f t="shared" si="22"/>
        <v>7341300-以大槌攻擊時，恢復ＨＰ</v>
      </c>
      <c r="M257">
        <v>7341300</v>
      </c>
      <c r="N257" t="str">
        <f>IF(VALUE(M257)=0,"",VLOOKUP(VLOOKUP(M257,Tbl_Effect[],3,FALSE),EffectName[],IFERROR(MATCH(UI!$B$1,EffectName[#Headers],0),2),FALSE))</f>
        <v>以大槌攻擊時，恢復ＨＰ</v>
      </c>
      <c r="O257" t="str">
        <f t="shared" si="23"/>
        <v>7341700-以大矛攻擊時，恢復ＨＰ</v>
      </c>
      <c r="P257">
        <v>7341700</v>
      </c>
      <c r="Q257" t="str">
        <f>IF(VALUE(P257)=0,"",VLOOKUP(VLOOKUP(P257,Tbl_Effect[],3,FALSE),EffectName[],IFERROR(MATCH(UI!$B$1,EffectName[#Headers],0),2),FALSE))</f>
        <v>以大矛攻擊時，恢復ＨＰ</v>
      </c>
      <c r="R257" t="str">
        <f t="shared" si="24"/>
        <v>7351700-以大矛攻擊時，恢復ＦＰ</v>
      </c>
      <c r="S257">
        <v>7351700</v>
      </c>
      <c r="T257" t="str">
        <f>IF(VALUE(S257)=0,"",VLOOKUP(VLOOKUP(S257,Tbl_Effect[],3,FALSE),EffectName[],IFERROR(MATCH(UI!$B$1,EffectName[#Headers],0),2),FALSE))</f>
        <v>以大矛攻擊時，恢復ＦＰ</v>
      </c>
      <c r="U257" t="str">
        <f t="shared" si="25"/>
        <v/>
      </c>
      <c r="V257">
        <v>0</v>
      </c>
      <c r="W257" t="str">
        <f>IF(V257&lt;&gt;0,VLOOKUP(VLOOKUP(V257,Tbl_Effect[],3,FALSE),EffectName[],IFERROR(MATCH(UI!$B$1,EffectName[#Headers],0),2),FALSE),"")</f>
        <v/>
      </c>
      <c r="X257" t="str">
        <f t="shared" si="26"/>
        <v/>
      </c>
      <c r="Y257">
        <v>0</v>
      </c>
      <c r="Z257" t="str">
        <f>IF(Y257&lt;&gt;0,VLOOKUP(VLOOKUP(Y257,Tbl_Effect[],3,FALSE),EffectName[],IFERROR(MATCH(UI!$B$1,EffectName[#Headers],0),2),FALSE),"")</f>
        <v/>
      </c>
      <c r="AA257" t="str">
        <f t="shared" si="27"/>
        <v/>
      </c>
      <c r="AB257">
        <v>0</v>
      </c>
      <c r="AC257" t="str">
        <f>IF(AB257&lt;&gt;0,VLOOKUP(VLOOKUP(AB257,Tbl_Effect[],3,FALSE),EffectName[],IFERROR(MATCH(UI!$B$1,EffectName[#Headers],0),2),FALSE),"")</f>
        <v/>
      </c>
      <c r="AE257">
        <v>7341300</v>
      </c>
      <c r="AF257">
        <v>7341700</v>
      </c>
      <c r="AG257">
        <v>7351700</v>
      </c>
    </row>
    <row r="258" spans="8:33" x14ac:dyDescent="0.4">
      <c r="H258" t="str">
        <f t="shared" si="21"/>
        <v>30019-端正的光耀暗淡情景 (黃)</v>
      </c>
      <c r="I258">
        <v>30019</v>
      </c>
      <c r="J258" t="str">
        <f>_xlfn.IFNA(IF(I258&lt;&gt;0,VLOOKUP(VLOOKUP(I258,Tbl_Equip[],2,FALSE),Tbl_Color[],IFERROR(MATCH(UI!$B$1,Tbl_Color[#Headers],0),2),FALSE),""),"Unset")</f>
        <v>黃</v>
      </c>
      <c r="K258" t="str">
        <f>_xlfn.IFNA(IF(I258&lt;&gt;0,VLOOKUP(I258,ItemText[],IFERROR(MATCH(UI!$B$1,ItemText[#Headers],0),2),FALSE),""),"Unset")</f>
        <v>端正的光耀暗淡情景</v>
      </c>
      <c r="L258" t="str">
        <f t="shared" si="22"/>
        <v>7341400-以連枷攻擊時，恢復ＨＰ</v>
      </c>
      <c r="M258">
        <v>7341400</v>
      </c>
      <c r="N258" t="str">
        <f>IF(VALUE(M258)=0,"",VLOOKUP(VLOOKUP(M258,Tbl_Effect[],3,FALSE),EffectName[],IFERROR(MATCH(UI!$B$1,EffectName[#Headers],0),2),FALSE))</f>
        <v>以連枷攻擊時，恢復ＨＰ</v>
      </c>
      <c r="O258" t="str">
        <f t="shared" si="23"/>
        <v>7341800-以戟攻擊時，恢復ＨＰ</v>
      </c>
      <c r="P258">
        <v>7341800</v>
      </c>
      <c r="Q258" t="str">
        <f>IF(VALUE(P258)=0,"",VLOOKUP(VLOOKUP(P258,Tbl_Effect[],3,FALSE),EffectName[],IFERROR(MATCH(UI!$B$1,EffectName[#Headers],0),2),FALSE))</f>
        <v>以戟攻擊時，恢復ＨＰ</v>
      </c>
      <c r="R258" t="str">
        <f t="shared" si="24"/>
        <v>7351800-以戟攻擊時，恢復ＦＰ</v>
      </c>
      <c r="S258">
        <v>7351800</v>
      </c>
      <c r="T258" t="str">
        <f>IF(VALUE(S258)=0,"",VLOOKUP(VLOOKUP(S258,Tbl_Effect[],3,FALSE),EffectName[],IFERROR(MATCH(UI!$B$1,EffectName[#Headers],0),2),FALSE))</f>
        <v>以戟攻擊時，恢復ＦＰ</v>
      </c>
      <c r="U258" t="str">
        <f t="shared" si="25"/>
        <v/>
      </c>
      <c r="V258">
        <v>0</v>
      </c>
      <c r="W258" t="str">
        <f>IF(V258&lt;&gt;0,VLOOKUP(VLOOKUP(V258,Tbl_Effect[],3,FALSE),EffectName[],IFERROR(MATCH(UI!$B$1,EffectName[#Headers],0),2),FALSE),"")</f>
        <v/>
      </c>
      <c r="X258" t="str">
        <f t="shared" si="26"/>
        <v/>
      </c>
      <c r="Y258">
        <v>0</v>
      </c>
      <c r="Z258" t="str">
        <f>IF(Y258&lt;&gt;0,VLOOKUP(VLOOKUP(Y258,Tbl_Effect[],3,FALSE),EffectName[],IFERROR(MATCH(UI!$B$1,EffectName[#Headers],0),2),FALSE),"")</f>
        <v/>
      </c>
      <c r="AA258" t="str">
        <f t="shared" si="27"/>
        <v/>
      </c>
      <c r="AB258">
        <v>0</v>
      </c>
      <c r="AC258" t="str">
        <f>IF(AB258&lt;&gt;0,VLOOKUP(VLOOKUP(AB258,Tbl_Effect[],3,FALSE),EffectName[],IFERROR(MATCH(UI!$B$1,EffectName[#Headers],0),2),FALSE),"")</f>
        <v/>
      </c>
      <c r="AE258">
        <v>7341400</v>
      </c>
      <c r="AF258">
        <v>7341800</v>
      </c>
      <c r="AG258">
        <v>7351800</v>
      </c>
    </row>
    <row r="259" spans="8:33" x14ac:dyDescent="0.4">
      <c r="H259" t="str">
        <f t="shared" ref="H259:H322" si="28">IF(VALUE(I259)&lt;&gt;0,I259&amp;"-"&amp;K259&amp;" ("&amp;J259&amp;")","")</f>
        <v>30020-遼闊的光耀暗淡情景 (黃)</v>
      </c>
      <c r="I259">
        <v>30020</v>
      </c>
      <c r="J259" t="str">
        <f>_xlfn.IFNA(IF(I259&lt;&gt;0,VLOOKUP(VLOOKUP(I259,Tbl_Equip[],2,FALSE),Tbl_Color[],IFERROR(MATCH(UI!$B$1,Tbl_Color[#Headers],0),2),FALSE),""),"Unset")</f>
        <v>黃</v>
      </c>
      <c r="K259" t="str">
        <f>_xlfn.IFNA(IF(I259&lt;&gt;0,VLOOKUP(I259,ItemText[],IFERROR(MATCH(UI!$B$1,ItemText[#Headers],0),2),FALSE),""),"Unset")</f>
        <v>遼闊的光耀暗淡情景</v>
      </c>
      <c r="L259" t="str">
        <f t="shared" ref="L259:L322" si="29">IF(VALUE(M259)=0,"",M259&amp;"-"&amp;N259)</f>
        <v>7341500-以矛攻擊時，恢復ＨＰ</v>
      </c>
      <c r="M259">
        <v>7341500</v>
      </c>
      <c r="N259" t="str">
        <f>IF(VALUE(M259)=0,"",VLOOKUP(VLOOKUP(M259,Tbl_Effect[],3,FALSE),EffectName[],IFERROR(MATCH(UI!$B$1,EffectName[#Headers],0),2),FALSE))</f>
        <v>以矛攻擊時，恢復ＨＰ</v>
      </c>
      <c r="O259" t="str">
        <f t="shared" ref="O259:O322" si="30">IF(VALUE(P259)=0,"",P259&amp;"-"&amp;Q259)</f>
        <v>7341900-以鐮刀攻擊時，恢復ＨＰ</v>
      </c>
      <c r="P259">
        <v>7341900</v>
      </c>
      <c r="Q259" t="str">
        <f>IF(VALUE(P259)=0,"",VLOOKUP(VLOOKUP(P259,Tbl_Effect[],3,FALSE),EffectName[],IFERROR(MATCH(UI!$B$1,EffectName[#Headers],0),2),FALSE))</f>
        <v>以鐮刀攻擊時，恢復ＨＰ</v>
      </c>
      <c r="R259" t="str">
        <f t="shared" ref="R259:R322" si="31">IF(VALUE(S259)=0,"",S259&amp;"-"&amp;T259)</f>
        <v>7351900-以鐮刀攻擊時，恢復ＦＰ</v>
      </c>
      <c r="S259">
        <v>7351900</v>
      </c>
      <c r="T259" t="str">
        <f>IF(VALUE(S259)=0,"",VLOOKUP(VLOOKUP(S259,Tbl_Effect[],3,FALSE),EffectName[],IFERROR(MATCH(UI!$B$1,EffectName[#Headers],0),2),FALSE))</f>
        <v>以鐮刀攻擊時，恢復ＦＰ</v>
      </c>
      <c r="U259" t="str">
        <f t="shared" ref="U259:U322" si="32">IF(VALUE(V259)=0,"",V259&amp;"-"&amp;W259)</f>
        <v/>
      </c>
      <c r="V259">
        <v>0</v>
      </c>
      <c r="W259" t="str">
        <f>IF(V259&lt;&gt;0,VLOOKUP(VLOOKUP(V259,Tbl_Effect[],3,FALSE),EffectName[],IFERROR(MATCH(UI!$B$1,EffectName[#Headers],0),2),FALSE),"")</f>
        <v/>
      </c>
      <c r="X259" t="str">
        <f t="shared" ref="X259:X322" si="33">IF(VALUE(Y259)=0,"",Y259&amp;"-"&amp;Z259)</f>
        <v/>
      </c>
      <c r="Y259">
        <v>0</v>
      </c>
      <c r="Z259" t="str">
        <f>IF(Y259&lt;&gt;0,VLOOKUP(VLOOKUP(Y259,Tbl_Effect[],3,FALSE),EffectName[],IFERROR(MATCH(UI!$B$1,EffectName[#Headers],0),2),FALSE),"")</f>
        <v/>
      </c>
      <c r="AA259" t="str">
        <f t="shared" ref="AA259:AA322" si="34">IF(VALUE(AB259)=0,"",AB259&amp;"-"&amp;AC259)</f>
        <v/>
      </c>
      <c r="AB259">
        <v>0</v>
      </c>
      <c r="AC259" t="str">
        <f>IF(AB259&lt;&gt;0,VLOOKUP(VLOOKUP(AB259,Tbl_Effect[],3,FALSE),EffectName[],IFERROR(MATCH(UI!$B$1,EffectName[#Headers],0),2),FALSE),"")</f>
        <v/>
      </c>
      <c r="AE259">
        <v>7341500</v>
      </c>
      <c r="AF259">
        <v>7341900</v>
      </c>
      <c r="AG259">
        <v>7351900</v>
      </c>
    </row>
    <row r="260" spans="8:33" x14ac:dyDescent="0.4">
      <c r="H260" t="str">
        <f t="shared" si="28"/>
        <v>30021-細膩的光耀暗淡情景 (黃)</v>
      </c>
      <c r="I260">
        <v>30021</v>
      </c>
      <c r="J260" t="str">
        <f>_xlfn.IFNA(IF(I260&lt;&gt;0,VLOOKUP(VLOOKUP(I260,Tbl_Equip[],2,FALSE),Tbl_Color[],IFERROR(MATCH(UI!$B$1,Tbl_Color[#Headers],0),2),FALSE),""),"Unset")</f>
        <v>黃</v>
      </c>
      <c r="K260" t="str">
        <f>_xlfn.IFNA(IF(I260&lt;&gt;0,VLOOKUP(I260,ItemText[],IFERROR(MATCH(UI!$B$1,ItemText[#Headers],0),2),FALSE),""),"Unset")</f>
        <v>細膩的光耀暗淡情景</v>
      </c>
      <c r="L260" t="str">
        <f t="shared" si="29"/>
        <v>7341700-以大矛攻擊時，恢復ＨＰ</v>
      </c>
      <c r="M260">
        <v>7341700</v>
      </c>
      <c r="N260" t="str">
        <f>IF(VALUE(M260)=0,"",VLOOKUP(VLOOKUP(M260,Tbl_Effect[],3,FALSE),EffectName[],IFERROR(MATCH(UI!$B$1,EffectName[#Headers],0),2),FALSE))</f>
        <v>以大矛攻擊時，恢復ＨＰ</v>
      </c>
      <c r="O260" t="str">
        <f t="shared" si="30"/>
        <v>7342000-以拳頭攻擊時，恢復ＨＰ</v>
      </c>
      <c r="P260">
        <v>7342000</v>
      </c>
      <c r="Q260" t="str">
        <f>IF(VALUE(P260)=0,"",VLOOKUP(VLOOKUP(P260,Tbl_Effect[],3,FALSE),EffectName[],IFERROR(MATCH(UI!$B$1,EffectName[#Headers],0),2),FALSE))</f>
        <v>以拳頭攻擊時，恢復ＨＰ</v>
      </c>
      <c r="R260" t="str">
        <f t="shared" si="31"/>
        <v>7352000-以拳頭攻擊時，恢復ＦＰ</v>
      </c>
      <c r="S260">
        <v>7352000</v>
      </c>
      <c r="T260" t="str">
        <f>IF(VALUE(S260)=0,"",VLOOKUP(VLOOKUP(S260,Tbl_Effect[],3,FALSE),EffectName[],IFERROR(MATCH(UI!$B$1,EffectName[#Headers],0),2),FALSE))</f>
        <v>以拳頭攻擊時，恢復ＦＰ</v>
      </c>
      <c r="U260" t="str">
        <f t="shared" si="32"/>
        <v/>
      </c>
      <c r="V260">
        <v>0</v>
      </c>
      <c r="W260" t="str">
        <f>IF(V260&lt;&gt;0,VLOOKUP(VLOOKUP(V260,Tbl_Effect[],3,FALSE),EffectName[],IFERROR(MATCH(UI!$B$1,EffectName[#Headers],0),2),FALSE),"")</f>
        <v/>
      </c>
      <c r="X260" t="str">
        <f t="shared" si="33"/>
        <v/>
      </c>
      <c r="Y260">
        <v>0</v>
      </c>
      <c r="Z260" t="str">
        <f>IF(Y260&lt;&gt;0,VLOOKUP(VLOOKUP(Y260,Tbl_Effect[],3,FALSE),EffectName[],IFERROR(MATCH(UI!$B$1,EffectName[#Headers],0),2),FALSE),"")</f>
        <v/>
      </c>
      <c r="AA260" t="str">
        <f t="shared" si="34"/>
        <v/>
      </c>
      <c r="AB260">
        <v>0</v>
      </c>
      <c r="AC260" t="str">
        <f>IF(AB260&lt;&gt;0,VLOOKUP(VLOOKUP(AB260,Tbl_Effect[],3,FALSE),EffectName[],IFERROR(MATCH(UI!$B$1,EffectName[#Headers],0),2),FALSE),"")</f>
        <v/>
      </c>
      <c r="AE260">
        <v>7341700</v>
      </c>
      <c r="AF260">
        <v>7342000</v>
      </c>
      <c r="AG260">
        <v>7352000</v>
      </c>
    </row>
    <row r="261" spans="8:33" x14ac:dyDescent="0.4">
      <c r="H261" t="str">
        <f t="shared" si="28"/>
        <v>30022-端正的光耀暗淡情景 (黃)</v>
      </c>
      <c r="I261">
        <v>30022</v>
      </c>
      <c r="J261" t="str">
        <f>_xlfn.IFNA(IF(I261&lt;&gt;0,VLOOKUP(VLOOKUP(I261,Tbl_Equip[],2,FALSE),Tbl_Color[],IFERROR(MATCH(UI!$B$1,Tbl_Color[#Headers],0),2),FALSE),""),"Unset")</f>
        <v>黃</v>
      </c>
      <c r="K261" t="str">
        <f>_xlfn.IFNA(IF(I261&lt;&gt;0,VLOOKUP(I261,ItemText[],IFERROR(MATCH(UI!$B$1,ItemText[#Headers],0),2),FALSE),""),"Unset")</f>
        <v>端正的光耀暗淡情景</v>
      </c>
      <c r="L261" t="str">
        <f t="shared" si="29"/>
        <v>7341800-以戟攻擊時，恢復ＨＰ</v>
      </c>
      <c r="M261">
        <v>7341800</v>
      </c>
      <c r="N261" t="str">
        <f>IF(VALUE(M261)=0,"",VLOOKUP(VLOOKUP(M261,Tbl_Effect[],3,FALSE),EffectName[],IFERROR(MATCH(UI!$B$1,EffectName[#Headers],0),2),FALSE))</f>
        <v>以戟攻擊時，恢復ＨＰ</v>
      </c>
      <c r="O261" t="str">
        <f t="shared" si="30"/>
        <v>7342100-以鉤爪攻擊時，恢復ＨＰ</v>
      </c>
      <c r="P261">
        <v>7342100</v>
      </c>
      <c r="Q261" t="str">
        <f>IF(VALUE(P261)=0,"",VLOOKUP(VLOOKUP(P261,Tbl_Effect[],3,FALSE),EffectName[],IFERROR(MATCH(UI!$B$1,EffectName[#Headers],0),2),FALSE))</f>
        <v>以鉤爪攻擊時，恢復ＨＰ</v>
      </c>
      <c r="R261" t="str">
        <f t="shared" si="31"/>
        <v>7352100-以鉤爪攻擊時，恢復ＦＰ</v>
      </c>
      <c r="S261">
        <v>7352100</v>
      </c>
      <c r="T261" t="str">
        <f>IF(VALUE(S261)=0,"",VLOOKUP(VLOOKUP(S261,Tbl_Effect[],3,FALSE),EffectName[],IFERROR(MATCH(UI!$B$1,EffectName[#Headers],0),2),FALSE))</f>
        <v>以鉤爪攻擊時，恢復ＦＰ</v>
      </c>
      <c r="U261" t="str">
        <f t="shared" si="32"/>
        <v/>
      </c>
      <c r="V261">
        <v>0</v>
      </c>
      <c r="W261" t="str">
        <f>IF(V261&lt;&gt;0,VLOOKUP(VLOOKUP(V261,Tbl_Effect[],3,FALSE),EffectName[],IFERROR(MATCH(UI!$B$1,EffectName[#Headers],0),2),FALSE),"")</f>
        <v/>
      </c>
      <c r="X261" t="str">
        <f t="shared" si="33"/>
        <v/>
      </c>
      <c r="Y261">
        <v>0</v>
      </c>
      <c r="Z261" t="str">
        <f>IF(Y261&lt;&gt;0,VLOOKUP(VLOOKUP(Y261,Tbl_Effect[],3,FALSE),EffectName[],IFERROR(MATCH(UI!$B$1,EffectName[#Headers],0),2),FALSE),"")</f>
        <v/>
      </c>
      <c r="AA261" t="str">
        <f t="shared" si="34"/>
        <v/>
      </c>
      <c r="AB261">
        <v>0</v>
      </c>
      <c r="AC261" t="str">
        <f>IF(AB261&lt;&gt;0,VLOOKUP(VLOOKUP(AB261,Tbl_Effect[],3,FALSE),EffectName[],IFERROR(MATCH(UI!$B$1,EffectName[#Headers],0),2),FALSE),"")</f>
        <v/>
      </c>
      <c r="AE261">
        <v>7341800</v>
      </c>
      <c r="AF261">
        <v>7342100</v>
      </c>
      <c r="AG261">
        <v>7352100</v>
      </c>
    </row>
    <row r="262" spans="8:33" x14ac:dyDescent="0.4">
      <c r="H262" t="str">
        <f t="shared" si="28"/>
        <v>30023-遼闊的光耀暗淡情景 (黃)</v>
      </c>
      <c r="I262">
        <v>30023</v>
      </c>
      <c r="J262" t="str">
        <f>_xlfn.IFNA(IF(I262&lt;&gt;0,VLOOKUP(VLOOKUP(I262,Tbl_Equip[],2,FALSE),Tbl_Color[],IFERROR(MATCH(UI!$B$1,Tbl_Color[#Headers],0),2),FALSE),""),"Unset")</f>
        <v>黃</v>
      </c>
      <c r="K262" t="str">
        <f>_xlfn.IFNA(IF(I262&lt;&gt;0,VLOOKUP(I262,ItemText[],IFERROR(MATCH(UI!$B$1,ItemText[#Headers],0),2),FALSE),""),"Unset")</f>
        <v>遼闊的光耀暗淡情景</v>
      </c>
      <c r="L262" t="str">
        <f t="shared" si="29"/>
        <v>7341900-以鐮刀攻擊時，恢復ＨＰ</v>
      </c>
      <c r="M262">
        <v>7341900</v>
      </c>
      <c r="N262" t="str">
        <f>IF(VALUE(M262)=0,"",VLOOKUP(VLOOKUP(M262,Tbl_Effect[],3,FALSE),EffectName[],IFERROR(MATCH(UI!$B$1,EffectName[#Headers],0),2),FALSE))</f>
        <v>以鐮刀攻擊時，恢復ＨＰ</v>
      </c>
      <c r="O262" t="str">
        <f t="shared" si="30"/>
        <v>7342200-以軟鞭攻擊時，恢復ＨＰ</v>
      </c>
      <c r="P262">
        <v>7342200</v>
      </c>
      <c r="Q262" t="str">
        <f>IF(VALUE(P262)=0,"",VLOOKUP(VLOOKUP(P262,Tbl_Effect[],3,FALSE),EffectName[],IFERROR(MATCH(UI!$B$1,EffectName[#Headers],0),2),FALSE))</f>
        <v>以軟鞭攻擊時，恢復ＨＰ</v>
      </c>
      <c r="R262" t="str">
        <f t="shared" si="31"/>
        <v>7352200-以軟鞭攻擊時，恢復ＦＰ</v>
      </c>
      <c r="S262">
        <v>7352200</v>
      </c>
      <c r="T262" t="str">
        <f>IF(VALUE(S262)=0,"",VLOOKUP(VLOOKUP(S262,Tbl_Effect[],3,FALSE),EffectName[],IFERROR(MATCH(UI!$B$1,EffectName[#Headers],0),2),FALSE))</f>
        <v>以軟鞭攻擊時，恢復ＦＰ</v>
      </c>
      <c r="U262" t="str">
        <f t="shared" si="32"/>
        <v/>
      </c>
      <c r="V262">
        <v>0</v>
      </c>
      <c r="W262" t="str">
        <f>IF(V262&lt;&gt;0,VLOOKUP(VLOOKUP(V262,Tbl_Effect[],3,FALSE),EffectName[],IFERROR(MATCH(UI!$B$1,EffectName[#Headers],0),2),FALSE),"")</f>
        <v/>
      </c>
      <c r="X262" t="str">
        <f t="shared" si="33"/>
        <v/>
      </c>
      <c r="Y262">
        <v>0</v>
      </c>
      <c r="Z262" t="str">
        <f>IF(Y262&lt;&gt;0,VLOOKUP(VLOOKUP(Y262,Tbl_Effect[],3,FALSE),EffectName[],IFERROR(MATCH(UI!$B$1,EffectName[#Headers],0),2),FALSE),"")</f>
        <v/>
      </c>
      <c r="AA262" t="str">
        <f t="shared" si="34"/>
        <v/>
      </c>
      <c r="AB262">
        <v>0</v>
      </c>
      <c r="AC262" t="str">
        <f>IF(AB262&lt;&gt;0,VLOOKUP(VLOOKUP(AB262,Tbl_Effect[],3,FALSE),EffectName[],IFERROR(MATCH(UI!$B$1,EffectName[#Headers],0),2),FALSE),"")</f>
        <v/>
      </c>
      <c r="AE262">
        <v>7341900</v>
      </c>
      <c r="AF262">
        <v>7342200</v>
      </c>
      <c r="AG262">
        <v>7352200</v>
      </c>
    </row>
    <row r="263" spans="8:33" x14ac:dyDescent="0.4">
      <c r="H263" t="str">
        <f t="shared" si="28"/>
        <v>30024-細膩的光耀暗淡情景 (黃)</v>
      </c>
      <c r="I263">
        <v>30024</v>
      </c>
      <c r="J263" t="str">
        <f>_xlfn.IFNA(IF(I263&lt;&gt;0,VLOOKUP(VLOOKUP(I263,Tbl_Equip[],2,FALSE),Tbl_Color[],IFERROR(MATCH(UI!$B$1,Tbl_Color[#Headers],0),2),FALSE),""),"Unset")</f>
        <v>黃</v>
      </c>
      <c r="K263" t="str">
        <f>_xlfn.IFNA(IF(I263&lt;&gt;0,VLOOKUP(I263,ItemText[],IFERROR(MATCH(UI!$B$1,ItemText[#Headers],0),2),FALSE),""),"Unset")</f>
        <v>細膩的光耀暗淡情景</v>
      </c>
      <c r="L263" t="str">
        <f t="shared" si="29"/>
        <v>7342000-以拳頭攻擊時，恢復ＨＰ</v>
      </c>
      <c r="M263">
        <v>7342000</v>
      </c>
      <c r="N263" t="str">
        <f>IF(VALUE(M263)=0,"",VLOOKUP(VLOOKUP(M263,Tbl_Effect[],3,FALSE),EffectName[],IFERROR(MATCH(UI!$B$1,EffectName[#Headers],0),2),FALSE))</f>
        <v>以拳頭攻擊時，恢復ＨＰ</v>
      </c>
      <c r="O263" t="str">
        <f t="shared" si="30"/>
        <v>7342300-以特大武器攻擊時，恢復ＨＰ</v>
      </c>
      <c r="P263">
        <v>7342300</v>
      </c>
      <c r="Q263" t="str">
        <f>IF(VALUE(P263)=0,"",VLOOKUP(VLOOKUP(P263,Tbl_Effect[],3,FALSE),EffectName[],IFERROR(MATCH(UI!$B$1,EffectName[#Headers],0),2),FALSE))</f>
        <v>以特大武器攻擊時，恢復ＨＰ</v>
      </c>
      <c r="R263" t="str">
        <f t="shared" si="31"/>
        <v>7352300-以特大武器攻擊時，恢復ＦＰ</v>
      </c>
      <c r="S263">
        <v>7352300</v>
      </c>
      <c r="T263" t="str">
        <f>IF(VALUE(S263)=0,"",VLOOKUP(VLOOKUP(S263,Tbl_Effect[],3,FALSE),EffectName[],IFERROR(MATCH(UI!$B$1,EffectName[#Headers],0),2),FALSE))</f>
        <v>以特大武器攻擊時，恢復ＦＰ</v>
      </c>
      <c r="U263" t="str">
        <f t="shared" si="32"/>
        <v/>
      </c>
      <c r="V263">
        <v>0</v>
      </c>
      <c r="W263" t="str">
        <f>IF(V263&lt;&gt;0,VLOOKUP(VLOOKUP(V263,Tbl_Effect[],3,FALSE),EffectName[],IFERROR(MATCH(UI!$B$1,EffectName[#Headers],0),2),FALSE),"")</f>
        <v/>
      </c>
      <c r="X263" t="str">
        <f t="shared" si="33"/>
        <v/>
      </c>
      <c r="Y263">
        <v>0</v>
      </c>
      <c r="Z263" t="str">
        <f>IF(Y263&lt;&gt;0,VLOOKUP(VLOOKUP(Y263,Tbl_Effect[],3,FALSE),EffectName[],IFERROR(MATCH(UI!$B$1,EffectName[#Headers],0),2),FALSE),"")</f>
        <v/>
      </c>
      <c r="AA263" t="str">
        <f t="shared" si="34"/>
        <v/>
      </c>
      <c r="AB263">
        <v>0</v>
      </c>
      <c r="AC263" t="str">
        <f>IF(AB263&lt;&gt;0,VLOOKUP(VLOOKUP(AB263,Tbl_Effect[],3,FALSE),EffectName[],IFERROR(MATCH(UI!$B$1,EffectName[#Headers],0),2),FALSE),"")</f>
        <v/>
      </c>
      <c r="AE263">
        <v>7342000</v>
      </c>
      <c r="AF263">
        <v>7342300</v>
      </c>
      <c r="AG263">
        <v>7352300</v>
      </c>
    </row>
    <row r="264" spans="8:33" x14ac:dyDescent="0.4">
      <c r="H264" t="str">
        <f t="shared" si="28"/>
        <v>30025-端正的光耀暗淡情景 (黃)</v>
      </c>
      <c r="I264">
        <v>30025</v>
      </c>
      <c r="J264" t="str">
        <f>_xlfn.IFNA(IF(I264&lt;&gt;0,VLOOKUP(VLOOKUP(I264,Tbl_Equip[],2,FALSE),Tbl_Color[],IFERROR(MATCH(UI!$B$1,Tbl_Color[#Headers],0),2),FALSE),""),"Unset")</f>
        <v>黃</v>
      </c>
      <c r="K264" t="str">
        <f>_xlfn.IFNA(IF(I264&lt;&gt;0,VLOOKUP(I264,ItemText[],IFERROR(MATCH(UI!$B$1,ItemText[#Headers],0),2),FALSE),""),"Unset")</f>
        <v>端正的光耀暗淡情景</v>
      </c>
      <c r="L264" t="str">
        <f t="shared" si="29"/>
        <v>7342100-以鉤爪攻擊時，恢復ＨＰ</v>
      </c>
      <c r="M264">
        <v>7342100</v>
      </c>
      <c r="N264" t="str">
        <f>IF(VALUE(M264)=0,"",VLOOKUP(VLOOKUP(M264,Tbl_Effect[],3,FALSE),EffectName[],IFERROR(MATCH(UI!$B$1,EffectName[#Headers],0),2),FALSE))</f>
        <v>以鉤爪攻擊時，恢復ＨＰ</v>
      </c>
      <c r="O264" t="str">
        <f t="shared" si="30"/>
        <v>7342400-以弓攻擊時，恢復ＨＰ</v>
      </c>
      <c r="P264">
        <v>7342400</v>
      </c>
      <c r="Q264" t="str">
        <f>IF(VALUE(P264)=0,"",VLOOKUP(VLOOKUP(P264,Tbl_Effect[],3,FALSE),EffectName[],IFERROR(MATCH(UI!$B$1,EffectName[#Headers],0),2),FALSE))</f>
        <v>以弓攻擊時，恢復ＨＰ</v>
      </c>
      <c r="R264" t="str">
        <f t="shared" si="31"/>
        <v>7352400-以弓攻擊時，恢復ＦＰ</v>
      </c>
      <c r="S264">
        <v>7352400</v>
      </c>
      <c r="T264" t="str">
        <f>IF(VALUE(S264)=0,"",VLOOKUP(VLOOKUP(S264,Tbl_Effect[],3,FALSE),EffectName[],IFERROR(MATCH(UI!$B$1,EffectName[#Headers],0),2),FALSE))</f>
        <v>以弓攻擊時，恢復ＦＰ</v>
      </c>
      <c r="U264" t="str">
        <f t="shared" si="32"/>
        <v/>
      </c>
      <c r="V264">
        <v>0</v>
      </c>
      <c r="W264" t="str">
        <f>IF(V264&lt;&gt;0,VLOOKUP(VLOOKUP(V264,Tbl_Effect[],3,FALSE),EffectName[],IFERROR(MATCH(UI!$B$1,EffectName[#Headers],0),2),FALSE),"")</f>
        <v/>
      </c>
      <c r="X264" t="str">
        <f t="shared" si="33"/>
        <v/>
      </c>
      <c r="Y264">
        <v>0</v>
      </c>
      <c r="Z264" t="str">
        <f>IF(Y264&lt;&gt;0,VLOOKUP(VLOOKUP(Y264,Tbl_Effect[],3,FALSE),EffectName[],IFERROR(MATCH(UI!$B$1,EffectName[#Headers],0),2),FALSE),"")</f>
        <v/>
      </c>
      <c r="AA264" t="str">
        <f t="shared" si="34"/>
        <v/>
      </c>
      <c r="AB264">
        <v>0</v>
      </c>
      <c r="AC264" t="str">
        <f>IF(AB264&lt;&gt;0,VLOOKUP(VLOOKUP(AB264,Tbl_Effect[],3,FALSE),EffectName[],IFERROR(MATCH(UI!$B$1,EffectName[#Headers],0),2),FALSE),"")</f>
        <v/>
      </c>
      <c r="AE264">
        <v>7342100</v>
      </c>
      <c r="AF264">
        <v>7342400</v>
      </c>
      <c r="AG264">
        <v>7352400</v>
      </c>
    </row>
    <row r="265" spans="8:33" x14ac:dyDescent="0.4">
      <c r="H265" t="str">
        <f t="shared" si="28"/>
        <v>30026-遼闊的光耀暗淡情景 (黃)</v>
      </c>
      <c r="I265">
        <v>30026</v>
      </c>
      <c r="J265" t="str">
        <f>_xlfn.IFNA(IF(I265&lt;&gt;0,VLOOKUP(VLOOKUP(I265,Tbl_Equip[],2,FALSE),Tbl_Color[],IFERROR(MATCH(UI!$B$1,Tbl_Color[#Headers],0),2),FALSE),""),"Unset")</f>
        <v>黃</v>
      </c>
      <c r="K265" t="str">
        <f>_xlfn.IFNA(IF(I265&lt;&gt;0,VLOOKUP(I265,ItemText[],IFERROR(MATCH(UI!$B$1,ItemText[#Headers],0),2),FALSE),""),"Unset")</f>
        <v>遼闊的光耀暗淡情景</v>
      </c>
      <c r="L265" t="str">
        <f t="shared" si="29"/>
        <v>7342200-以軟鞭攻擊時，恢復ＨＰ</v>
      </c>
      <c r="M265">
        <v>7342200</v>
      </c>
      <c r="N265" t="str">
        <f>IF(VALUE(M265)=0,"",VLOOKUP(VLOOKUP(M265,Tbl_Effect[],3,FALSE),EffectName[],IFERROR(MATCH(UI!$B$1,EffectName[#Headers],0),2),FALSE))</f>
        <v>以軟鞭攻擊時，恢復ＨＰ</v>
      </c>
      <c r="O265" t="str">
        <f t="shared" si="30"/>
        <v>7350000-以短劍攻擊時，恢復ＦＰ</v>
      </c>
      <c r="P265">
        <v>7350000</v>
      </c>
      <c r="Q265" t="str">
        <f>IF(VALUE(P265)=0,"",VLOOKUP(VLOOKUP(P265,Tbl_Effect[],3,FALSE),EffectName[],IFERROR(MATCH(UI!$B$1,EffectName[#Headers],0),2),FALSE))</f>
        <v>以短劍攻擊時，恢復ＦＰ</v>
      </c>
      <c r="R265" t="str">
        <f t="shared" si="31"/>
        <v>7360600-出擊時，武器魔法改為「魔法輝劍」
※僅限能使用的武器類別</v>
      </c>
      <c r="S265">
        <v>7360600</v>
      </c>
      <c r="T265" t="str">
        <f>IF(VALUE(S265)=0,"",VLOOKUP(VLOOKUP(S265,Tbl_Effect[],3,FALSE),EffectName[],IFERROR(MATCH(UI!$B$1,EffectName[#Headers],0),2),FALSE))</f>
        <v>出擊時，武器魔法改為「魔法輝劍」
※僅限能使用的武器類別</v>
      </c>
      <c r="U265" t="str">
        <f t="shared" si="32"/>
        <v/>
      </c>
      <c r="V265">
        <v>0</v>
      </c>
      <c r="W265" t="str">
        <f>IF(V265&lt;&gt;0,VLOOKUP(VLOOKUP(V265,Tbl_Effect[],3,FALSE),EffectName[],IFERROR(MATCH(UI!$B$1,EffectName[#Headers],0),2),FALSE),"")</f>
        <v/>
      </c>
      <c r="X265" t="str">
        <f t="shared" si="33"/>
        <v/>
      </c>
      <c r="Y265">
        <v>0</v>
      </c>
      <c r="Z265" t="str">
        <f>IF(Y265&lt;&gt;0,VLOOKUP(VLOOKUP(Y265,Tbl_Effect[],3,FALSE),EffectName[],IFERROR(MATCH(UI!$B$1,EffectName[#Headers],0),2),FALSE),"")</f>
        <v/>
      </c>
      <c r="AA265" t="str">
        <f t="shared" si="34"/>
        <v/>
      </c>
      <c r="AB265">
        <v>0</v>
      </c>
      <c r="AC265" t="str">
        <f>IF(AB265&lt;&gt;0,VLOOKUP(VLOOKUP(AB265,Tbl_Effect[],3,FALSE),EffectName[],IFERROR(MATCH(UI!$B$1,EffectName[#Headers],0),2),FALSE),"")</f>
        <v/>
      </c>
      <c r="AE265">
        <v>7342200</v>
      </c>
      <c r="AF265">
        <v>7350000</v>
      </c>
      <c r="AG265">
        <v>7360600</v>
      </c>
    </row>
    <row r="266" spans="8:33" x14ac:dyDescent="0.4">
      <c r="H266" t="str">
        <f t="shared" si="28"/>
        <v>30027-細膩的幽靜暗淡情景 (綠)</v>
      </c>
      <c r="I266">
        <v>30027</v>
      </c>
      <c r="J266" t="str">
        <f>_xlfn.IFNA(IF(I266&lt;&gt;0,VLOOKUP(VLOOKUP(I266,Tbl_Equip[],2,FALSE),Tbl_Color[],IFERROR(MATCH(UI!$B$1,Tbl_Color[#Headers],0),2),FALSE),""),"Unset")</f>
        <v>綠</v>
      </c>
      <c r="K266" t="str">
        <f>_xlfn.IFNA(IF(I266&lt;&gt;0,VLOOKUP(I266,ItemText[],IFERROR(MATCH(UI!$B$1,ItemText[#Headers],0),2),FALSE),""),"Unset")</f>
        <v>細膩的幽靜暗淡情景</v>
      </c>
      <c r="L266" t="str">
        <f t="shared" si="29"/>
        <v>7342300-以特大武器攻擊時，恢復ＨＰ</v>
      </c>
      <c r="M266">
        <v>7342300</v>
      </c>
      <c r="N266" t="str">
        <f>IF(VALUE(M266)=0,"",VLOOKUP(VLOOKUP(M266,Tbl_Effect[],3,FALSE),EffectName[],IFERROR(MATCH(UI!$B$1,EffectName[#Headers],0),2),FALSE))</f>
        <v>以特大武器攻擊時，恢復ＨＰ</v>
      </c>
      <c r="O266" t="str">
        <f t="shared" si="30"/>
        <v>7350100-以直劍攻擊時，恢復ＦＰ</v>
      </c>
      <c r="P266">
        <v>7350100</v>
      </c>
      <c r="Q266" t="str">
        <f>IF(VALUE(P266)=0,"",VLOOKUP(VLOOKUP(P266,Tbl_Effect[],3,FALSE),EffectName[],IFERROR(MATCH(UI!$B$1,EffectName[#Headers],0),2),FALSE))</f>
        <v>以直劍攻擊時，恢復ＦＰ</v>
      </c>
      <c r="R266" t="str">
        <f t="shared" si="31"/>
        <v>7360900-出擊時，武器魔法改為「卡利亞大劍」
※僅限能使用的武器類別</v>
      </c>
      <c r="S266">
        <v>7360900</v>
      </c>
      <c r="T266" t="str">
        <f>IF(VALUE(S266)=0,"",VLOOKUP(VLOOKUP(S266,Tbl_Effect[],3,FALSE),EffectName[],IFERROR(MATCH(UI!$B$1,EffectName[#Headers],0),2),FALSE))</f>
        <v>出擊時，武器魔法改為「卡利亞大劍」
※僅限能使用的武器類別</v>
      </c>
      <c r="U266" t="str">
        <f t="shared" si="32"/>
        <v/>
      </c>
      <c r="V266">
        <v>0</v>
      </c>
      <c r="W266" t="str">
        <f>IF(V266&lt;&gt;0,VLOOKUP(VLOOKUP(V266,Tbl_Effect[],3,FALSE),EffectName[],IFERROR(MATCH(UI!$B$1,EffectName[#Headers],0),2),FALSE),"")</f>
        <v/>
      </c>
      <c r="X266" t="str">
        <f t="shared" si="33"/>
        <v/>
      </c>
      <c r="Y266">
        <v>0</v>
      </c>
      <c r="Z266" t="str">
        <f>IF(Y266&lt;&gt;0,VLOOKUP(VLOOKUP(Y266,Tbl_Effect[],3,FALSE),EffectName[],IFERROR(MATCH(UI!$B$1,EffectName[#Headers],0),2),FALSE),"")</f>
        <v/>
      </c>
      <c r="AA266" t="str">
        <f t="shared" si="34"/>
        <v/>
      </c>
      <c r="AB266">
        <v>0</v>
      </c>
      <c r="AC266" t="str">
        <f>IF(AB266&lt;&gt;0,VLOOKUP(VLOOKUP(AB266,Tbl_Effect[],3,FALSE),EffectName[],IFERROR(MATCH(UI!$B$1,EffectName[#Headers],0),2),FALSE),"")</f>
        <v/>
      </c>
      <c r="AE266">
        <v>7342300</v>
      </c>
      <c r="AF266">
        <v>7350100</v>
      </c>
      <c r="AG266">
        <v>7360900</v>
      </c>
    </row>
    <row r="267" spans="8:33" x14ac:dyDescent="0.4">
      <c r="H267" t="str">
        <f t="shared" si="28"/>
        <v>30028-端正的幽靜暗淡情景 (綠)</v>
      </c>
      <c r="I267">
        <v>30028</v>
      </c>
      <c r="J267" t="str">
        <f>_xlfn.IFNA(IF(I267&lt;&gt;0,VLOOKUP(VLOOKUP(I267,Tbl_Equip[],2,FALSE),Tbl_Color[],IFERROR(MATCH(UI!$B$1,Tbl_Color[#Headers],0),2),FALSE),""),"Unset")</f>
        <v>綠</v>
      </c>
      <c r="K267" t="str">
        <f>_xlfn.IFNA(IF(I267&lt;&gt;0,VLOOKUP(I267,ItemText[],IFERROR(MATCH(UI!$B$1,ItemText[#Headers],0),2),FALSE),""),"Unset")</f>
        <v>端正的幽靜暗淡情景</v>
      </c>
      <c r="L267" t="str">
        <f t="shared" si="29"/>
        <v>7342400-以弓攻擊時，恢復ＨＰ</v>
      </c>
      <c r="M267">
        <v>7342400</v>
      </c>
      <c r="N267" t="str">
        <f>IF(VALUE(M267)=0,"",VLOOKUP(VLOOKUP(M267,Tbl_Effect[],3,FALSE),EffectName[],IFERROR(MATCH(UI!$B$1,EffectName[#Headers],0),2),FALSE))</f>
        <v>以弓攻擊時，恢復ＨＰ</v>
      </c>
      <c r="O267" t="str">
        <f t="shared" si="30"/>
        <v>7350200-以大劍攻擊時，恢復ＦＰ</v>
      </c>
      <c r="P267">
        <v>7350200</v>
      </c>
      <c r="Q267" t="str">
        <f>IF(VALUE(P267)=0,"",VLOOKUP(VLOOKUP(P267,Tbl_Effect[],3,FALSE),EffectName[],IFERROR(MATCH(UI!$B$1,EffectName[#Headers],0),2),FALSE))</f>
        <v>以大劍攻擊時，恢復ＦＰ</v>
      </c>
      <c r="R267" t="str">
        <f t="shared" si="31"/>
        <v>7361200-出擊時，武器魔法改為「黑夜魔礫」
※僅限能使用的武器類別</v>
      </c>
      <c r="S267">
        <v>7361200</v>
      </c>
      <c r="T267" t="str">
        <f>IF(VALUE(S267)=0,"",VLOOKUP(VLOOKUP(S267,Tbl_Effect[],3,FALSE),EffectName[],IFERROR(MATCH(UI!$B$1,EffectName[#Headers],0),2),FALSE))</f>
        <v>出擊時，武器魔法改為「黑夜魔礫」
※僅限能使用的武器類別</v>
      </c>
      <c r="U267" t="str">
        <f t="shared" si="32"/>
        <v/>
      </c>
      <c r="V267">
        <v>0</v>
      </c>
      <c r="W267" t="str">
        <f>IF(V267&lt;&gt;0,VLOOKUP(VLOOKUP(V267,Tbl_Effect[],3,FALSE),EffectName[],IFERROR(MATCH(UI!$B$1,EffectName[#Headers],0),2),FALSE),"")</f>
        <v/>
      </c>
      <c r="X267" t="str">
        <f t="shared" si="33"/>
        <v/>
      </c>
      <c r="Y267">
        <v>0</v>
      </c>
      <c r="Z267" t="str">
        <f>IF(Y267&lt;&gt;0,VLOOKUP(VLOOKUP(Y267,Tbl_Effect[],3,FALSE),EffectName[],IFERROR(MATCH(UI!$B$1,EffectName[#Headers],0),2),FALSE),"")</f>
        <v/>
      </c>
      <c r="AA267" t="str">
        <f t="shared" si="34"/>
        <v/>
      </c>
      <c r="AB267">
        <v>0</v>
      </c>
      <c r="AC267" t="str">
        <f>IF(AB267&lt;&gt;0,VLOOKUP(VLOOKUP(AB267,Tbl_Effect[],3,FALSE),EffectName[],IFERROR(MATCH(UI!$B$1,EffectName[#Headers],0),2),FALSE),"")</f>
        <v/>
      </c>
      <c r="AE267">
        <v>7342400</v>
      </c>
      <c r="AF267">
        <v>7350200</v>
      </c>
      <c r="AG267">
        <v>7361200</v>
      </c>
    </row>
    <row r="268" spans="8:33" x14ac:dyDescent="0.4">
      <c r="H268" t="str">
        <f t="shared" si="28"/>
        <v>30029-遼闊的幽靜暗淡情景 (綠)</v>
      </c>
      <c r="I268">
        <v>30029</v>
      </c>
      <c r="J268" t="str">
        <f>_xlfn.IFNA(IF(I268&lt;&gt;0,VLOOKUP(VLOOKUP(I268,Tbl_Equip[],2,FALSE),Tbl_Color[],IFERROR(MATCH(UI!$B$1,Tbl_Color[#Headers],0),2),FALSE),""),"Unset")</f>
        <v>綠</v>
      </c>
      <c r="K268" t="str">
        <f>_xlfn.IFNA(IF(I268&lt;&gt;0,VLOOKUP(I268,ItemText[],IFERROR(MATCH(UI!$B$1,ItemText[#Headers],0),2),FALSE),""),"Unset")</f>
        <v>遼闊的幽靜暗淡情景</v>
      </c>
      <c r="L268" t="str">
        <f t="shared" si="29"/>
        <v>7350000-以短劍攻擊時，恢復ＦＰ</v>
      </c>
      <c r="M268">
        <v>7350000</v>
      </c>
      <c r="N268" t="str">
        <f>IF(VALUE(M268)=0,"",VLOOKUP(VLOOKUP(M268,Tbl_Effect[],3,FALSE),EffectName[],IFERROR(MATCH(UI!$B$1,EffectName[#Headers],0),2),FALSE))</f>
        <v>以短劍攻擊時，恢復ＦＰ</v>
      </c>
      <c r="O268" t="str">
        <f t="shared" si="30"/>
        <v>7350300-以特大劍攻擊時，恢復ＦＰ</v>
      </c>
      <c r="P268">
        <v>7350300</v>
      </c>
      <c r="Q268" t="str">
        <f>IF(VALUE(P268)=0,"",VLOOKUP(VLOOKUP(P268,Tbl_Effect[],3,FALSE),EffectName[],IFERROR(MATCH(UI!$B$1,EffectName[#Headers],0),2),FALSE))</f>
        <v>以特大劍攻擊時，恢復ＦＰ</v>
      </c>
      <c r="R268" t="str">
        <f t="shared" si="31"/>
        <v>7361300-出擊時，武器魔法改為「熔岩球」
※僅限能使用的武器類別</v>
      </c>
      <c r="S268">
        <v>7361300</v>
      </c>
      <c r="T268" t="str">
        <f>IF(VALUE(S268)=0,"",VLOOKUP(VLOOKUP(S268,Tbl_Effect[],3,FALSE),EffectName[],IFERROR(MATCH(UI!$B$1,EffectName[#Headers],0),2),FALSE))</f>
        <v>出擊時，武器魔法改為「熔岩球」
※僅限能使用的武器類別</v>
      </c>
      <c r="U268" t="str">
        <f t="shared" si="32"/>
        <v/>
      </c>
      <c r="V268">
        <v>0</v>
      </c>
      <c r="W268" t="str">
        <f>IF(V268&lt;&gt;0,VLOOKUP(VLOOKUP(V268,Tbl_Effect[],3,FALSE),EffectName[],IFERROR(MATCH(UI!$B$1,EffectName[#Headers],0),2),FALSE),"")</f>
        <v/>
      </c>
      <c r="X268" t="str">
        <f t="shared" si="33"/>
        <v/>
      </c>
      <c r="Y268">
        <v>0</v>
      </c>
      <c r="Z268" t="str">
        <f>IF(Y268&lt;&gt;0,VLOOKUP(VLOOKUP(Y268,Tbl_Effect[],3,FALSE),EffectName[],IFERROR(MATCH(UI!$B$1,EffectName[#Headers],0),2),FALSE),"")</f>
        <v/>
      </c>
      <c r="AA268" t="str">
        <f t="shared" si="34"/>
        <v/>
      </c>
      <c r="AB268">
        <v>0</v>
      </c>
      <c r="AC268" t="str">
        <f>IF(AB268&lt;&gt;0,VLOOKUP(VLOOKUP(AB268,Tbl_Effect[],3,FALSE),EffectName[],IFERROR(MATCH(UI!$B$1,EffectName[#Headers],0),2),FALSE),"")</f>
        <v/>
      </c>
      <c r="AE268">
        <v>7350000</v>
      </c>
      <c r="AF268">
        <v>7350300</v>
      </c>
      <c r="AG268">
        <v>7361300</v>
      </c>
    </row>
    <row r="269" spans="8:33" x14ac:dyDescent="0.4">
      <c r="H269" t="str">
        <f t="shared" si="28"/>
        <v>30030-細膩的幽靜暗淡情景 (綠)</v>
      </c>
      <c r="I269">
        <v>30030</v>
      </c>
      <c r="J269" t="str">
        <f>_xlfn.IFNA(IF(I269&lt;&gt;0,VLOOKUP(VLOOKUP(I269,Tbl_Equip[],2,FALSE),Tbl_Color[],IFERROR(MATCH(UI!$B$1,Tbl_Color[#Headers],0),2),FALSE),""),"Unset")</f>
        <v>綠</v>
      </c>
      <c r="K269" t="str">
        <f>_xlfn.IFNA(IF(I269&lt;&gt;0,VLOOKUP(I269,ItemText[],IFERROR(MATCH(UI!$B$1,ItemText[#Headers],0),2),FALSE),""),"Unset")</f>
        <v>細膩的幽靜暗淡情景</v>
      </c>
      <c r="L269" t="str">
        <f t="shared" si="29"/>
        <v>7350100-以直劍攻擊時，恢復ＦＰ</v>
      </c>
      <c r="M269">
        <v>7350100</v>
      </c>
      <c r="N269" t="str">
        <f>IF(VALUE(M269)=0,"",VLOOKUP(VLOOKUP(M269,Tbl_Effect[],3,FALSE),EffectName[],IFERROR(MATCH(UI!$B$1,EffectName[#Headers],0),2),FALSE))</f>
        <v>以直劍攻擊時，恢復ＦＰ</v>
      </c>
      <c r="O269" t="str">
        <f t="shared" si="30"/>
        <v>7350400-以曲劍攻擊時，恢復ＦＰ</v>
      </c>
      <c r="P269">
        <v>7350400</v>
      </c>
      <c r="Q269" t="str">
        <f>IF(VALUE(P269)=0,"",VLOOKUP(VLOOKUP(P269,Tbl_Effect[],3,FALSE),EffectName[],IFERROR(MATCH(UI!$B$1,EffectName[#Headers],0),2),FALSE))</f>
        <v>以曲劍攻擊時，恢復ＦＰ</v>
      </c>
      <c r="R269" t="str">
        <f t="shared" si="31"/>
        <v>7362100-出擊時，武器魔法改為「責罰荊棘」
※僅限能使用的武器類別</v>
      </c>
      <c r="S269">
        <v>7362100</v>
      </c>
      <c r="T269" t="str">
        <f>IF(VALUE(S269)=0,"",VLOOKUP(VLOOKUP(S269,Tbl_Effect[],3,FALSE),EffectName[],IFERROR(MATCH(UI!$B$1,EffectName[#Headers],0),2),FALSE))</f>
        <v>出擊時，武器魔法改為「責罰荊棘」
※僅限能使用的武器類別</v>
      </c>
      <c r="U269" t="str">
        <f t="shared" si="32"/>
        <v/>
      </c>
      <c r="V269">
        <v>0</v>
      </c>
      <c r="W269" t="str">
        <f>IF(V269&lt;&gt;0,VLOOKUP(VLOOKUP(V269,Tbl_Effect[],3,FALSE),EffectName[],IFERROR(MATCH(UI!$B$1,EffectName[#Headers],0),2),FALSE),"")</f>
        <v/>
      </c>
      <c r="X269" t="str">
        <f t="shared" si="33"/>
        <v/>
      </c>
      <c r="Y269">
        <v>0</v>
      </c>
      <c r="Z269" t="str">
        <f>IF(Y269&lt;&gt;0,VLOOKUP(VLOOKUP(Y269,Tbl_Effect[],3,FALSE),EffectName[],IFERROR(MATCH(UI!$B$1,EffectName[#Headers],0),2),FALSE),"")</f>
        <v/>
      </c>
      <c r="AA269" t="str">
        <f t="shared" si="34"/>
        <v/>
      </c>
      <c r="AB269">
        <v>0</v>
      </c>
      <c r="AC269" t="str">
        <f>IF(AB269&lt;&gt;0,VLOOKUP(VLOOKUP(AB269,Tbl_Effect[],3,FALSE),EffectName[],IFERROR(MATCH(UI!$B$1,EffectName[#Headers],0),2),FALSE),"")</f>
        <v/>
      </c>
      <c r="AE269">
        <v>7350100</v>
      </c>
      <c r="AF269">
        <v>7350400</v>
      </c>
      <c r="AG269">
        <v>7362100</v>
      </c>
    </row>
    <row r="270" spans="8:33" x14ac:dyDescent="0.4">
      <c r="H270" t="str">
        <f t="shared" si="28"/>
        <v>30031-端正的幽靜暗淡情景 (綠)</v>
      </c>
      <c r="I270">
        <v>30031</v>
      </c>
      <c r="J270" t="str">
        <f>_xlfn.IFNA(IF(I270&lt;&gt;0,VLOOKUP(VLOOKUP(I270,Tbl_Equip[],2,FALSE),Tbl_Color[],IFERROR(MATCH(UI!$B$1,Tbl_Color[#Headers],0),2),FALSE),""),"Unset")</f>
        <v>綠</v>
      </c>
      <c r="K270" t="str">
        <f>_xlfn.IFNA(IF(I270&lt;&gt;0,VLOOKUP(I270,ItemText[],IFERROR(MATCH(UI!$B$1,ItemText[#Headers],0),2),FALSE),""),"Unset")</f>
        <v>端正的幽靜暗淡情景</v>
      </c>
      <c r="L270" t="str">
        <f t="shared" si="29"/>
        <v>7350200-以大劍攻擊時，恢復ＦＰ</v>
      </c>
      <c r="M270">
        <v>7350200</v>
      </c>
      <c r="N270" t="str">
        <f>IF(VALUE(M270)=0,"",VLOOKUP(VLOOKUP(M270,Tbl_Effect[],3,FALSE),EffectName[],IFERROR(MATCH(UI!$B$1,EffectName[#Headers],0),2),FALSE))</f>
        <v>以大劍攻擊時，恢復ＦＰ</v>
      </c>
      <c r="O270" t="str">
        <f t="shared" si="30"/>
        <v>7350500-以大曲劍攻擊時，恢復ＦＰ</v>
      </c>
      <c r="P270">
        <v>7350500</v>
      </c>
      <c r="Q270" t="str">
        <f>IF(VALUE(P270)=0,"",VLOOKUP(VLOOKUP(P270,Tbl_Effect[],3,FALSE),EffectName[],IFERROR(MATCH(UI!$B$1,EffectName[#Headers],0),2),FALSE))</f>
        <v>以大曲劍攻擊時，恢復ＦＰ</v>
      </c>
      <c r="R270" t="str">
        <f t="shared" si="31"/>
        <v>7370300-出擊時，武器禱告改為「黃金之怒」
※僅限能使用的武器類別</v>
      </c>
      <c r="S270">
        <v>7370300</v>
      </c>
      <c r="T270" t="str">
        <f>IF(VALUE(S270)=0,"",VLOOKUP(VLOOKUP(S270,Tbl_Effect[],3,FALSE),EffectName[],IFERROR(MATCH(UI!$B$1,EffectName[#Headers],0),2),FALSE))</f>
        <v>出擊時，武器禱告改為「黃金之怒」
※僅限能使用的武器類別</v>
      </c>
      <c r="U270" t="str">
        <f t="shared" si="32"/>
        <v/>
      </c>
      <c r="V270">
        <v>0</v>
      </c>
      <c r="W270" t="str">
        <f>IF(V270&lt;&gt;0,VLOOKUP(VLOOKUP(V270,Tbl_Effect[],3,FALSE),EffectName[],IFERROR(MATCH(UI!$B$1,EffectName[#Headers],0),2),FALSE),"")</f>
        <v/>
      </c>
      <c r="X270" t="str">
        <f t="shared" si="33"/>
        <v/>
      </c>
      <c r="Y270">
        <v>0</v>
      </c>
      <c r="Z270" t="str">
        <f>IF(Y270&lt;&gt;0,VLOOKUP(VLOOKUP(Y270,Tbl_Effect[],3,FALSE),EffectName[],IFERROR(MATCH(UI!$B$1,EffectName[#Headers],0),2),FALSE),"")</f>
        <v/>
      </c>
      <c r="AA270" t="str">
        <f t="shared" si="34"/>
        <v/>
      </c>
      <c r="AB270">
        <v>0</v>
      </c>
      <c r="AC270" t="str">
        <f>IF(AB270&lt;&gt;0,VLOOKUP(VLOOKUP(AB270,Tbl_Effect[],3,FALSE),EffectName[],IFERROR(MATCH(UI!$B$1,EffectName[#Headers],0),2),FALSE),"")</f>
        <v/>
      </c>
      <c r="AE270">
        <v>7350200</v>
      </c>
      <c r="AF270">
        <v>7350500</v>
      </c>
      <c r="AG270">
        <v>7370300</v>
      </c>
    </row>
    <row r="271" spans="8:33" x14ac:dyDescent="0.4">
      <c r="H271" t="str">
        <f t="shared" si="28"/>
        <v>30032-遼闊的幽靜暗淡情景 (綠)</v>
      </c>
      <c r="I271">
        <v>30032</v>
      </c>
      <c r="J271" t="str">
        <f>_xlfn.IFNA(IF(I271&lt;&gt;0,VLOOKUP(VLOOKUP(I271,Tbl_Equip[],2,FALSE),Tbl_Color[],IFERROR(MATCH(UI!$B$1,Tbl_Color[#Headers],0),2),FALSE),""),"Unset")</f>
        <v>綠</v>
      </c>
      <c r="K271" t="str">
        <f>_xlfn.IFNA(IF(I271&lt;&gt;0,VLOOKUP(I271,ItemText[],IFERROR(MATCH(UI!$B$1,ItemText[#Headers],0),2),FALSE),""),"Unset")</f>
        <v>遼闊的幽靜暗淡情景</v>
      </c>
      <c r="L271" t="str">
        <f t="shared" si="29"/>
        <v>7350300-以特大劍攻擊時，恢復ＦＰ</v>
      </c>
      <c r="M271">
        <v>7350300</v>
      </c>
      <c r="N271" t="str">
        <f>IF(VALUE(M271)=0,"",VLOOKUP(VLOOKUP(M271,Tbl_Effect[],3,FALSE),EffectName[],IFERROR(MATCH(UI!$B$1,EffectName[#Headers],0),2),FALSE))</f>
        <v>以特大劍攻擊時，恢復ＦＰ</v>
      </c>
      <c r="O271" t="str">
        <f t="shared" si="30"/>
        <v>7350600-以刀攻擊時，恢復ＦＰ</v>
      </c>
      <c r="P271">
        <v>7350600</v>
      </c>
      <c r="Q271" t="str">
        <f>IF(VALUE(P271)=0,"",VLOOKUP(VLOOKUP(P271,Tbl_Effect[],3,FALSE),EffectName[],IFERROR(MATCH(UI!$B$1,EffectName[#Headers],0),2),FALSE))</f>
        <v>以刀攻擊時，恢復ＦＰ</v>
      </c>
      <c r="R271" t="str">
        <f t="shared" si="31"/>
        <v>7370400-出擊時，武器禱告改為「雷電槍」
※僅限能使用的武器類別</v>
      </c>
      <c r="S271">
        <v>7370400</v>
      </c>
      <c r="T271" t="str">
        <f>IF(VALUE(S271)=0,"",VLOOKUP(VLOOKUP(S271,Tbl_Effect[],3,FALSE),EffectName[],IFERROR(MATCH(UI!$B$1,EffectName[#Headers],0),2),FALSE))</f>
        <v>出擊時，武器禱告改為「雷電槍」
※僅限能使用的武器類別</v>
      </c>
      <c r="U271" t="str">
        <f t="shared" si="32"/>
        <v/>
      </c>
      <c r="V271">
        <v>0</v>
      </c>
      <c r="W271" t="str">
        <f>IF(V271&lt;&gt;0,VLOOKUP(VLOOKUP(V271,Tbl_Effect[],3,FALSE),EffectName[],IFERROR(MATCH(UI!$B$1,EffectName[#Headers],0),2),FALSE),"")</f>
        <v/>
      </c>
      <c r="X271" t="str">
        <f t="shared" si="33"/>
        <v/>
      </c>
      <c r="Y271">
        <v>0</v>
      </c>
      <c r="Z271" t="str">
        <f>IF(Y271&lt;&gt;0,VLOOKUP(VLOOKUP(Y271,Tbl_Effect[],3,FALSE),EffectName[],IFERROR(MATCH(UI!$B$1,EffectName[#Headers],0),2),FALSE),"")</f>
        <v/>
      </c>
      <c r="AA271" t="str">
        <f t="shared" si="34"/>
        <v/>
      </c>
      <c r="AB271">
        <v>0</v>
      </c>
      <c r="AC271" t="str">
        <f>IF(AB271&lt;&gt;0,VLOOKUP(VLOOKUP(AB271,Tbl_Effect[],3,FALSE),EffectName[],IFERROR(MATCH(UI!$B$1,EffectName[#Headers],0),2),FALSE),"")</f>
        <v/>
      </c>
      <c r="AE271">
        <v>7350300</v>
      </c>
      <c r="AF271">
        <v>7350600</v>
      </c>
      <c r="AG271">
        <v>7370400</v>
      </c>
    </row>
    <row r="272" spans="8:33" x14ac:dyDescent="0.4">
      <c r="H272" t="str">
        <f t="shared" si="28"/>
        <v>30033-細膩的幽靜暗淡情景 (綠)</v>
      </c>
      <c r="I272">
        <v>30033</v>
      </c>
      <c r="J272" t="str">
        <f>_xlfn.IFNA(IF(I272&lt;&gt;0,VLOOKUP(VLOOKUP(I272,Tbl_Equip[],2,FALSE),Tbl_Color[],IFERROR(MATCH(UI!$B$1,Tbl_Color[#Headers],0),2),FALSE),""),"Unset")</f>
        <v>綠</v>
      </c>
      <c r="K272" t="str">
        <f>_xlfn.IFNA(IF(I272&lt;&gt;0,VLOOKUP(I272,ItemText[],IFERROR(MATCH(UI!$B$1,ItemText[#Headers],0),2),FALSE),""),"Unset")</f>
        <v>細膩的幽靜暗淡情景</v>
      </c>
      <c r="L272" t="str">
        <f t="shared" si="29"/>
        <v>7350400-以曲劍攻擊時，恢復ＦＰ</v>
      </c>
      <c r="M272">
        <v>7350400</v>
      </c>
      <c r="N272" t="str">
        <f>IF(VALUE(M272)=0,"",VLOOKUP(VLOOKUP(M272,Tbl_Effect[],3,FALSE),EffectName[],IFERROR(MATCH(UI!$B$1,EffectName[#Headers],0),2),FALSE))</f>
        <v>以曲劍攻擊時，恢復ＦＰ</v>
      </c>
      <c r="O272" t="str">
        <f t="shared" si="30"/>
        <v>7350700-以雙頭劍攻擊時，恢復ＦＰ</v>
      </c>
      <c r="P272">
        <v>7350700</v>
      </c>
      <c r="Q272" t="str">
        <f>IF(VALUE(P272)=0,"",VLOOKUP(VLOOKUP(P272,Tbl_Effect[],3,FALSE),EffectName[],IFERROR(MATCH(UI!$B$1,EffectName[#Headers],0),2),FALSE))</f>
        <v>以雙頭劍攻擊時，恢復ＦＰ</v>
      </c>
      <c r="R272" t="str">
        <f t="shared" si="31"/>
        <v>7370600-出擊時，武器禱告改為「火焰啊！」
※僅限能使用的武器類別</v>
      </c>
      <c r="S272">
        <v>7370600</v>
      </c>
      <c r="T272" t="str">
        <f>IF(VALUE(S272)=0,"",VLOOKUP(VLOOKUP(S272,Tbl_Effect[],3,FALSE),EffectName[],IFERROR(MATCH(UI!$B$1,EffectName[#Headers],0),2),FALSE))</f>
        <v>出擊時，武器禱告改為「火焰啊！」
※僅限能使用的武器類別</v>
      </c>
      <c r="U272" t="str">
        <f t="shared" si="32"/>
        <v/>
      </c>
      <c r="V272">
        <v>0</v>
      </c>
      <c r="W272" t="str">
        <f>IF(V272&lt;&gt;0,VLOOKUP(VLOOKUP(V272,Tbl_Effect[],3,FALSE),EffectName[],IFERROR(MATCH(UI!$B$1,EffectName[#Headers],0),2),FALSE),"")</f>
        <v/>
      </c>
      <c r="X272" t="str">
        <f t="shared" si="33"/>
        <v/>
      </c>
      <c r="Y272">
        <v>0</v>
      </c>
      <c r="Z272" t="str">
        <f>IF(Y272&lt;&gt;0,VLOOKUP(VLOOKUP(Y272,Tbl_Effect[],3,FALSE),EffectName[],IFERROR(MATCH(UI!$B$1,EffectName[#Headers],0),2),FALSE),"")</f>
        <v/>
      </c>
      <c r="AA272" t="str">
        <f t="shared" si="34"/>
        <v/>
      </c>
      <c r="AB272">
        <v>0</v>
      </c>
      <c r="AC272" t="str">
        <f>IF(AB272&lt;&gt;0,VLOOKUP(VLOOKUP(AB272,Tbl_Effect[],3,FALSE),EffectName[],IFERROR(MATCH(UI!$B$1,EffectName[#Headers],0),2),FALSE),"")</f>
        <v/>
      </c>
      <c r="AE272">
        <v>7350400</v>
      </c>
      <c r="AF272">
        <v>7350700</v>
      </c>
      <c r="AG272">
        <v>7370600</v>
      </c>
    </row>
    <row r="273" spans="8:33" x14ac:dyDescent="0.4">
      <c r="H273" t="str">
        <f t="shared" si="28"/>
        <v>30034-端正的幽靜暗淡情景 (綠)</v>
      </c>
      <c r="I273">
        <v>30034</v>
      </c>
      <c r="J273" t="str">
        <f>_xlfn.IFNA(IF(I273&lt;&gt;0,VLOOKUP(VLOOKUP(I273,Tbl_Equip[],2,FALSE),Tbl_Color[],IFERROR(MATCH(UI!$B$1,Tbl_Color[#Headers],0),2),FALSE),""),"Unset")</f>
        <v>綠</v>
      </c>
      <c r="K273" t="str">
        <f>_xlfn.IFNA(IF(I273&lt;&gt;0,VLOOKUP(I273,ItemText[],IFERROR(MATCH(UI!$B$1,ItemText[#Headers],0),2),FALSE),""),"Unset")</f>
        <v>端正的幽靜暗淡情景</v>
      </c>
      <c r="L273" t="str">
        <f t="shared" si="29"/>
        <v>7350500-以大曲劍攻擊時，恢復ＦＰ</v>
      </c>
      <c r="M273">
        <v>7350500</v>
      </c>
      <c r="N273" t="str">
        <f>IF(VALUE(M273)=0,"",VLOOKUP(VLOOKUP(M273,Tbl_Effect[],3,FALSE),EffectName[],IFERROR(MATCH(UI!$B$1,EffectName[#Headers],0),2),FALSE))</f>
        <v>以大曲劍攻擊時，恢復ＦＰ</v>
      </c>
      <c r="O273" t="str">
        <f t="shared" si="30"/>
        <v>7350800-以刺劍攻擊時，恢復ＦＰ</v>
      </c>
      <c r="P273">
        <v>7350800</v>
      </c>
      <c r="Q273" t="str">
        <f>IF(VALUE(P273)=0,"",VLOOKUP(VLOOKUP(P273,Tbl_Effect[],3,FALSE),EffectName[],IFERROR(MATCH(UI!$B$1,EffectName[#Headers],0),2),FALSE))</f>
        <v>以刺劍攻擊時，恢復ＦＰ</v>
      </c>
      <c r="R273" t="str">
        <f t="shared" si="31"/>
        <v>7370900-出擊時，武器禱告改為「獸爪」
※僅限能使用的武器類別</v>
      </c>
      <c r="S273">
        <v>7370900</v>
      </c>
      <c r="T273" t="str">
        <f>IF(VALUE(S273)=0,"",VLOOKUP(VLOOKUP(S273,Tbl_Effect[],3,FALSE),EffectName[],IFERROR(MATCH(UI!$B$1,EffectName[#Headers],0),2),FALSE))</f>
        <v>出擊時，武器禱告改為「獸爪」
※僅限能使用的武器類別</v>
      </c>
      <c r="U273" t="str">
        <f t="shared" si="32"/>
        <v/>
      </c>
      <c r="V273">
        <v>0</v>
      </c>
      <c r="W273" t="str">
        <f>IF(V273&lt;&gt;0,VLOOKUP(VLOOKUP(V273,Tbl_Effect[],3,FALSE),EffectName[],IFERROR(MATCH(UI!$B$1,EffectName[#Headers],0),2),FALSE),"")</f>
        <v/>
      </c>
      <c r="X273" t="str">
        <f t="shared" si="33"/>
        <v/>
      </c>
      <c r="Y273">
        <v>0</v>
      </c>
      <c r="Z273" t="str">
        <f>IF(Y273&lt;&gt;0,VLOOKUP(VLOOKUP(Y273,Tbl_Effect[],3,FALSE),EffectName[],IFERROR(MATCH(UI!$B$1,EffectName[#Headers],0),2),FALSE),"")</f>
        <v/>
      </c>
      <c r="AA273" t="str">
        <f t="shared" si="34"/>
        <v/>
      </c>
      <c r="AB273">
        <v>0</v>
      </c>
      <c r="AC273" t="str">
        <f>IF(AB273&lt;&gt;0,VLOOKUP(VLOOKUP(AB273,Tbl_Effect[],3,FALSE),EffectName[],IFERROR(MATCH(UI!$B$1,EffectName[#Headers],0),2),FALSE),"")</f>
        <v/>
      </c>
      <c r="AE273">
        <v>7350500</v>
      </c>
      <c r="AF273">
        <v>7350800</v>
      </c>
      <c r="AG273">
        <v>7370900</v>
      </c>
    </row>
    <row r="274" spans="8:33" x14ac:dyDescent="0.4">
      <c r="H274" t="str">
        <f t="shared" si="28"/>
        <v>30035-遼闊的幽靜暗淡情景 (綠)</v>
      </c>
      <c r="I274">
        <v>30035</v>
      </c>
      <c r="J274" t="str">
        <f>_xlfn.IFNA(IF(I274&lt;&gt;0,VLOOKUP(VLOOKUP(I274,Tbl_Equip[],2,FALSE),Tbl_Color[],IFERROR(MATCH(UI!$B$1,Tbl_Color[#Headers],0),2),FALSE),""),"Unset")</f>
        <v>綠</v>
      </c>
      <c r="K274" t="str">
        <f>_xlfn.IFNA(IF(I274&lt;&gt;0,VLOOKUP(I274,ItemText[],IFERROR(MATCH(UI!$B$1,ItemText[#Headers],0),2),FALSE),""),"Unset")</f>
        <v>遼闊的幽靜暗淡情景</v>
      </c>
      <c r="L274" t="str">
        <f t="shared" si="29"/>
        <v>7350600-以刀攻擊時，恢復ＦＰ</v>
      </c>
      <c r="M274">
        <v>7350600</v>
      </c>
      <c r="N274" t="str">
        <f>IF(VALUE(M274)=0,"",VLOOKUP(VLOOKUP(M274,Tbl_Effect[],3,FALSE),EffectName[],IFERROR(MATCH(UI!$B$1,EffectName[#Headers],0),2),FALSE))</f>
        <v>以刀攻擊時，恢復ＦＰ</v>
      </c>
      <c r="O274" t="str">
        <f t="shared" si="30"/>
        <v>7350900-以重刺劍攻擊時，恢復ＦＰ</v>
      </c>
      <c r="P274">
        <v>7350900</v>
      </c>
      <c r="Q274" t="str">
        <f>IF(VALUE(P274)=0,"",VLOOKUP(VLOOKUP(P274,Tbl_Effect[],3,FALSE),EffectName[],IFERROR(MATCH(UI!$B$1,EffectName[#Headers],0),2),FALSE))</f>
        <v>以重刺劍攻擊時，恢復ＦＰ</v>
      </c>
      <c r="R274" t="str">
        <f t="shared" si="31"/>
        <v>7371500-出擊時，武器禱告改為「龍焰」
※僅限能使用的武器類別</v>
      </c>
      <c r="S274">
        <v>7371500</v>
      </c>
      <c r="T274" t="str">
        <f>IF(VALUE(S274)=0,"",VLOOKUP(VLOOKUP(S274,Tbl_Effect[],3,FALSE),EffectName[],IFERROR(MATCH(UI!$B$1,EffectName[#Headers],0),2),FALSE))</f>
        <v>出擊時，武器禱告改為「龍焰」
※僅限能使用的武器類別</v>
      </c>
      <c r="U274" t="str">
        <f t="shared" si="32"/>
        <v/>
      </c>
      <c r="V274">
        <v>0</v>
      </c>
      <c r="W274" t="str">
        <f>IF(V274&lt;&gt;0,VLOOKUP(VLOOKUP(V274,Tbl_Effect[],3,FALSE),EffectName[],IFERROR(MATCH(UI!$B$1,EffectName[#Headers],0),2),FALSE),"")</f>
        <v/>
      </c>
      <c r="X274" t="str">
        <f t="shared" si="33"/>
        <v/>
      </c>
      <c r="Y274">
        <v>0</v>
      </c>
      <c r="Z274" t="str">
        <f>IF(Y274&lt;&gt;0,VLOOKUP(VLOOKUP(Y274,Tbl_Effect[],3,FALSE),EffectName[],IFERROR(MATCH(UI!$B$1,EffectName[#Headers],0),2),FALSE),"")</f>
        <v/>
      </c>
      <c r="AA274" t="str">
        <f t="shared" si="34"/>
        <v/>
      </c>
      <c r="AB274">
        <v>0</v>
      </c>
      <c r="AC274" t="str">
        <f>IF(AB274&lt;&gt;0,VLOOKUP(VLOOKUP(AB274,Tbl_Effect[],3,FALSE),EffectName[],IFERROR(MATCH(UI!$B$1,EffectName[#Headers],0),2),FALSE),"")</f>
        <v/>
      </c>
      <c r="AE274">
        <v>7350600</v>
      </c>
      <c r="AF274">
        <v>7350900</v>
      </c>
      <c r="AG274">
        <v>7371500</v>
      </c>
    </row>
    <row r="275" spans="8:33" x14ac:dyDescent="0.4">
      <c r="H275" t="str">
        <f t="shared" si="28"/>
        <v>1000000-細膩的火燃情景 (紅)</v>
      </c>
      <c r="I275">
        <v>1000000</v>
      </c>
      <c r="J275" t="str">
        <f>_xlfn.IFNA(IF(I275&lt;&gt;0,VLOOKUP(VLOOKUP(I275,Tbl_Equip[],2,FALSE),Tbl_Color[],IFERROR(MATCH(UI!$B$1,Tbl_Color[#Headers],0),2),FALSE),""),"Unset")</f>
        <v>紅</v>
      </c>
      <c r="K275" t="str">
        <f>_xlfn.IFNA(IF(I275&lt;&gt;0,VLOOKUP(I275,ItemText[],IFERROR(MATCH(UI!$B$1,ItemText[#Headers],0),2),FALSE),""),"Unset")</f>
        <v>細膩的火燃情景</v>
      </c>
      <c r="L275" t="str">
        <f t="shared" si="29"/>
        <v>7350700-以雙頭劍攻擊時，恢復ＦＰ</v>
      </c>
      <c r="M275">
        <v>7350700</v>
      </c>
      <c r="N275" t="str">
        <f>IF(VALUE(M275)=0,"",VLOOKUP(VLOOKUP(M275,Tbl_Effect[],3,FALSE),EffectName[],IFERROR(MATCH(UI!$B$1,EffectName[#Headers],0),2),FALSE))</f>
        <v>以雙頭劍攻擊時，恢復ＦＰ</v>
      </c>
      <c r="O275" t="str">
        <f t="shared" si="30"/>
        <v>7351000-以斧攻擊時，恢復ＦＰ</v>
      </c>
      <c r="P275">
        <v>7351000</v>
      </c>
      <c r="Q275" t="str">
        <f>IF(VALUE(P275)=0,"",VLOOKUP(VLOOKUP(P275,Tbl_Effect[],3,FALSE),EffectName[],IFERROR(MATCH(UI!$B$1,EffectName[#Headers],0),2),FALSE))</f>
        <v>以斧攻擊時，恢復ＦＰ</v>
      </c>
      <c r="R275" t="str">
        <f t="shared" si="31"/>
        <v>7036200-【學者】減緩技藝進行率的下降幅度</v>
      </c>
      <c r="S275">
        <v>7036200</v>
      </c>
      <c r="T275" t="str">
        <f>IF(VALUE(S275)=0,"",VLOOKUP(VLOOKUP(S275,Tbl_Effect[],3,FALSE),EffectName[],IFERROR(MATCH(UI!$B$1,EffectName[#Headers],0),2),FALSE))</f>
        <v>【學者】減緩技藝進行率的下降幅度</v>
      </c>
      <c r="U275" t="str">
        <f t="shared" si="32"/>
        <v/>
      </c>
      <c r="V275">
        <v>0</v>
      </c>
      <c r="W275" t="str">
        <f>IF(V275&lt;&gt;0,VLOOKUP(VLOOKUP(V275,Tbl_Effect[],3,FALSE),EffectName[],IFERROR(MATCH(UI!$B$1,EffectName[#Headers],0),2),FALSE),"")</f>
        <v/>
      </c>
      <c r="X275" t="str">
        <f t="shared" si="33"/>
        <v/>
      </c>
      <c r="Y275">
        <v>0</v>
      </c>
      <c r="Z275" t="str">
        <f>IF(Y275&lt;&gt;0,VLOOKUP(VLOOKUP(Y275,Tbl_Effect[],3,FALSE),EffectName[],IFERROR(MATCH(UI!$B$1,EffectName[#Headers],0),2),FALSE),"")</f>
        <v/>
      </c>
      <c r="AA275" t="str">
        <f t="shared" si="34"/>
        <v/>
      </c>
      <c r="AB275">
        <v>0</v>
      </c>
      <c r="AC275" t="str">
        <f>IF(AB275&lt;&gt;0,VLOOKUP(VLOOKUP(AB275,Tbl_Effect[],3,FALSE),EffectName[],IFERROR(MATCH(UI!$B$1,EffectName[#Headers],0),2),FALSE),"")</f>
        <v/>
      </c>
      <c r="AE275">
        <v>7350700</v>
      </c>
      <c r="AF275">
        <v>7351000</v>
      </c>
      <c r="AG275">
        <v>7036200</v>
      </c>
    </row>
    <row r="276" spans="8:33" x14ac:dyDescent="0.4">
      <c r="H276" t="str">
        <f t="shared" si="28"/>
        <v>1000001-端正的火燃情景 (紅)</v>
      </c>
      <c r="I276">
        <v>1000001</v>
      </c>
      <c r="J276" t="str">
        <f>_xlfn.IFNA(IF(I276&lt;&gt;0,VLOOKUP(VLOOKUP(I276,Tbl_Equip[],2,FALSE),Tbl_Color[],IFERROR(MATCH(UI!$B$1,Tbl_Color[#Headers],0),2),FALSE),""),"Unset")</f>
        <v>紅</v>
      </c>
      <c r="K276" t="str">
        <f>_xlfn.IFNA(IF(I276&lt;&gt;0,VLOOKUP(I276,ItemText[],IFERROR(MATCH(UI!$B$1,ItemText[#Headers],0),2),FALSE),""),"Unset")</f>
        <v>端正的火燃情景</v>
      </c>
      <c r="L276" t="str">
        <f t="shared" si="29"/>
        <v>7350800-以刺劍攻擊時，恢復ＦＰ</v>
      </c>
      <c r="M276">
        <v>7350800</v>
      </c>
      <c r="N276" t="str">
        <f>IF(VALUE(M276)=0,"",VLOOKUP(VLOOKUP(M276,Tbl_Effect[],3,FALSE),EffectName[],IFERROR(MATCH(UI!$B$1,EffectName[#Headers],0),2),FALSE))</f>
        <v>以刺劍攻擊時，恢復ＦＰ</v>
      </c>
      <c r="O276" t="str">
        <f t="shared" si="30"/>
        <v>7351100-以大斧攻擊時，恢復ＦＰ</v>
      </c>
      <c r="P276">
        <v>7351100</v>
      </c>
      <c r="Q276" t="str">
        <f>IF(VALUE(P276)=0,"",VLOOKUP(VLOOKUP(P276,Tbl_Effect[],3,FALSE),EffectName[],IFERROR(MATCH(UI!$B$1,EffectName[#Headers],0),2),FALSE))</f>
        <v>以大斧攻擊時，恢復ＦＰ</v>
      </c>
      <c r="R276" t="str">
        <f t="shared" si="31"/>
        <v>7036300-【學者】使用技藝時，提升目標我方人物的攻擊力</v>
      </c>
      <c r="S276">
        <v>7036300</v>
      </c>
      <c r="T276" t="str">
        <f>IF(VALUE(S276)=0,"",VLOOKUP(VLOOKUP(S276,Tbl_Effect[],3,FALSE),EffectName[],IFERROR(MATCH(UI!$B$1,EffectName[#Headers],0),2),FALSE))</f>
        <v>【學者】使用技藝時，提升目標我方人物的攻擊力</v>
      </c>
      <c r="U276" t="str">
        <f t="shared" si="32"/>
        <v/>
      </c>
      <c r="V276">
        <v>0</v>
      </c>
      <c r="W276" t="str">
        <f>IF(V276&lt;&gt;0,VLOOKUP(VLOOKUP(V276,Tbl_Effect[],3,FALSE),EffectName[],IFERROR(MATCH(UI!$B$1,EffectName[#Headers],0),2),FALSE),"")</f>
        <v/>
      </c>
      <c r="X276" t="str">
        <f t="shared" si="33"/>
        <v/>
      </c>
      <c r="Y276">
        <v>0</v>
      </c>
      <c r="Z276" t="str">
        <f>IF(Y276&lt;&gt;0,VLOOKUP(VLOOKUP(Y276,Tbl_Effect[],3,FALSE),EffectName[],IFERROR(MATCH(UI!$B$1,EffectName[#Headers],0),2),FALSE),"")</f>
        <v/>
      </c>
      <c r="AA276" t="str">
        <f t="shared" si="34"/>
        <v/>
      </c>
      <c r="AB276">
        <v>0</v>
      </c>
      <c r="AC276" t="str">
        <f>IF(AB276&lt;&gt;0,VLOOKUP(VLOOKUP(AB276,Tbl_Effect[],3,FALSE),EffectName[],IFERROR(MATCH(UI!$B$1,EffectName[#Headers],0),2),FALSE),"")</f>
        <v/>
      </c>
      <c r="AE276">
        <v>7350800</v>
      </c>
      <c r="AF276">
        <v>7351100</v>
      </c>
      <c r="AG276">
        <v>7036300</v>
      </c>
    </row>
    <row r="277" spans="8:33" x14ac:dyDescent="0.4">
      <c r="H277" t="str">
        <f t="shared" si="28"/>
        <v>1000002-遼闊的火燃情景 (紅)</v>
      </c>
      <c r="I277">
        <v>1000002</v>
      </c>
      <c r="J277" t="str">
        <f>_xlfn.IFNA(IF(I277&lt;&gt;0,VLOOKUP(VLOOKUP(I277,Tbl_Equip[],2,FALSE),Tbl_Color[],IFERROR(MATCH(UI!$B$1,Tbl_Color[#Headers],0),2),FALSE),""),"Unset")</f>
        <v>紅</v>
      </c>
      <c r="K277" t="str">
        <f>_xlfn.IFNA(IF(I277&lt;&gt;0,VLOOKUP(I277,ItemText[],IFERROR(MATCH(UI!$B$1,ItemText[#Headers],0),2),FALSE),""),"Unset")</f>
        <v>遼闊的火燃情景</v>
      </c>
      <c r="L277" t="str">
        <f t="shared" si="29"/>
        <v>7350900-以重刺劍攻擊時，恢復ＦＰ</v>
      </c>
      <c r="M277">
        <v>7350900</v>
      </c>
      <c r="N277" t="str">
        <f>IF(VALUE(M277)=0,"",VLOOKUP(VLOOKUP(M277,Tbl_Effect[],3,FALSE),EffectName[],IFERROR(MATCH(UI!$B$1,EffectName[#Headers],0),2),FALSE))</f>
        <v>以重刺劍攻擊時，恢復ＦＰ</v>
      </c>
      <c r="O277" t="str">
        <f t="shared" si="30"/>
        <v>7351200-以槌攻擊時，恢復ＦＰ</v>
      </c>
      <c r="P277">
        <v>7351200</v>
      </c>
      <c r="Q277" t="str">
        <f>IF(VALUE(P277)=0,"",VLOOKUP(VLOOKUP(P277,Tbl_Effect[],3,FALSE),EffectName[],IFERROR(MATCH(UI!$B$1,EffectName[#Headers],0),2),FALSE))</f>
        <v>以槌攻擊時，恢復ＦＰ</v>
      </c>
      <c r="R277" t="str">
        <f t="shared" si="31"/>
        <v>7036400-【學者】對上已用絕活連結的敵人，持續給予傷害</v>
      </c>
      <c r="S277">
        <v>7036400</v>
      </c>
      <c r="T277" t="str">
        <f>IF(VALUE(S277)=0,"",VLOOKUP(VLOOKUP(S277,Tbl_Effect[],3,FALSE),EffectName[],IFERROR(MATCH(UI!$B$1,EffectName[#Headers],0),2),FALSE))</f>
        <v>【學者】對上已用絕活連結的敵人，持續給予傷害</v>
      </c>
      <c r="U277" t="str">
        <f t="shared" si="32"/>
        <v/>
      </c>
      <c r="V277">
        <v>0</v>
      </c>
      <c r="W277" t="str">
        <f>IF(V277&lt;&gt;0,VLOOKUP(VLOOKUP(V277,Tbl_Effect[],3,FALSE),EffectName[],IFERROR(MATCH(UI!$B$1,EffectName[#Headers],0),2),FALSE),"")</f>
        <v/>
      </c>
      <c r="X277" t="str">
        <f t="shared" si="33"/>
        <v/>
      </c>
      <c r="Y277">
        <v>0</v>
      </c>
      <c r="Z277" t="str">
        <f>IF(Y277&lt;&gt;0,VLOOKUP(VLOOKUP(Y277,Tbl_Effect[],3,FALSE),EffectName[],IFERROR(MATCH(UI!$B$1,EffectName[#Headers],0),2),FALSE),"")</f>
        <v/>
      </c>
      <c r="AA277" t="str">
        <f t="shared" si="34"/>
        <v/>
      </c>
      <c r="AB277">
        <v>0</v>
      </c>
      <c r="AC277" t="str">
        <f>IF(AB277&lt;&gt;0,VLOOKUP(VLOOKUP(AB277,Tbl_Effect[],3,FALSE),EffectName[],IFERROR(MATCH(UI!$B$1,EffectName[#Headers],0),2),FALSE),"")</f>
        <v/>
      </c>
      <c r="AE277">
        <v>7350900</v>
      </c>
      <c r="AF277">
        <v>7351200</v>
      </c>
      <c r="AG277">
        <v>7036400</v>
      </c>
    </row>
    <row r="278" spans="8:33" x14ac:dyDescent="0.4">
      <c r="H278" t="str">
        <f t="shared" si="28"/>
        <v>1000010-細膩的火燃情景 (紅)</v>
      </c>
      <c r="I278">
        <v>1000010</v>
      </c>
      <c r="J278" t="str">
        <f>_xlfn.IFNA(IF(I278&lt;&gt;0,VLOOKUP(VLOOKUP(I278,Tbl_Equip[],2,FALSE),Tbl_Color[],IFERROR(MATCH(UI!$B$1,Tbl_Color[#Headers],0),2),FALSE),""),"Unset")</f>
        <v>紅</v>
      </c>
      <c r="K278" t="str">
        <f>_xlfn.IFNA(IF(I278&lt;&gt;0,VLOOKUP(I278,ItemText[],IFERROR(MATCH(UI!$B$1,ItemText[#Headers],0),2),FALSE),""),"Unset")</f>
        <v>細膩的火燃情景</v>
      </c>
      <c r="L278" t="str">
        <f t="shared" si="29"/>
        <v>7351000-以斧攻擊時，恢復ＦＰ</v>
      </c>
      <c r="M278">
        <v>7351000</v>
      </c>
      <c r="N278" t="str">
        <f>IF(VALUE(M278)=0,"",VLOOKUP(VLOOKUP(M278,Tbl_Effect[],3,FALSE),EffectName[],IFERROR(MATCH(UI!$B$1,EffectName[#Headers],0),2),FALSE))</f>
        <v>以斧攻擊時，恢復ＦＰ</v>
      </c>
      <c r="O278" t="str">
        <f t="shared" si="30"/>
        <v>7351300-以大槌攻擊時，恢復ＦＰ</v>
      </c>
      <c r="P278">
        <v>7351300</v>
      </c>
      <c r="Q278" t="str">
        <f>IF(VALUE(P278)=0,"",VLOOKUP(VLOOKUP(P278,Tbl_Effect[],3,FALSE),EffectName[],IFERROR(MATCH(UI!$B$1,EffectName[#Headers],0),2),FALSE))</f>
        <v>以大槌攻擊時，恢復ＦＰ</v>
      </c>
      <c r="R278" t="str">
        <f t="shared" si="31"/>
        <v>7036500-【學者】每次使用技藝增加樣本，能獲得盧恩</v>
      </c>
      <c r="S278">
        <v>7036500</v>
      </c>
      <c r="T278" t="str">
        <f>IF(VALUE(S278)=0,"",VLOOKUP(VLOOKUP(S278,Tbl_Effect[],3,FALSE),EffectName[],IFERROR(MATCH(UI!$B$1,EffectName[#Headers],0),2),FALSE))</f>
        <v>【學者】每次使用技藝增加樣本，能獲得盧恩</v>
      </c>
      <c r="U278" t="str">
        <f t="shared" si="32"/>
        <v/>
      </c>
      <c r="V278">
        <v>0</v>
      </c>
      <c r="W278" t="str">
        <f>IF(V278&lt;&gt;0,VLOOKUP(VLOOKUP(V278,Tbl_Effect[],3,FALSE),EffectName[],IFERROR(MATCH(UI!$B$1,EffectName[#Headers],0),2),FALSE),"")</f>
        <v/>
      </c>
      <c r="X278" t="str">
        <f t="shared" si="33"/>
        <v/>
      </c>
      <c r="Y278">
        <v>0</v>
      </c>
      <c r="Z278" t="str">
        <f>IF(Y278&lt;&gt;0,VLOOKUP(VLOOKUP(Y278,Tbl_Effect[],3,FALSE),EffectName[],IFERROR(MATCH(UI!$B$1,EffectName[#Headers],0),2),FALSE),"")</f>
        <v/>
      </c>
      <c r="AA278" t="str">
        <f t="shared" si="34"/>
        <v/>
      </c>
      <c r="AB278">
        <v>0</v>
      </c>
      <c r="AC278" t="str">
        <f>IF(AB278&lt;&gt;0,VLOOKUP(VLOOKUP(AB278,Tbl_Effect[],3,FALSE),EffectName[],IFERROR(MATCH(UI!$B$1,EffectName[#Headers],0),2),FALSE),"")</f>
        <v/>
      </c>
      <c r="AE278">
        <v>7351000</v>
      </c>
      <c r="AF278">
        <v>7351300</v>
      </c>
      <c r="AG278">
        <v>7036500</v>
      </c>
    </row>
    <row r="279" spans="8:33" x14ac:dyDescent="0.4">
      <c r="H279" t="str">
        <f t="shared" si="28"/>
        <v>1000011-端正的火燃情景 (紅)</v>
      </c>
      <c r="I279">
        <v>1000011</v>
      </c>
      <c r="J279" t="str">
        <f>_xlfn.IFNA(IF(I279&lt;&gt;0,VLOOKUP(VLOOKUP(I279,Tbl_Equip[],2,FALSE),Tbl_Color[],IFERROR(MATCH(UI!$B$1,Tbl_Color[#Headers],0),2),FALSE),""),"Unset")</f>
        <v>紅</v>
      </c>
      <c r="K279" t="str">
        <f>_xlfn.IFNA(IF(I279&lt;&gt;0,VLOOKUP(I279,ItemText[],IFERROR(MATCH(UI!$B$1,ItemText[#Headers],0),2),FALSE),""),"Unset")</f>
        <v>端正的火燃情景</v>
      </c>
      <c r="L279" t="str">
        <f t="shared" si="29"/>
        <v>7351100-以大斧攻擊時，恢復ＦＰ</v>
      </c>
      <c r="M279">
        <v>7351100</v>
      </c>
      <c r="N279" t="str">
        <f>IF(VALUE(M279)=0,"",VLOOKUP(VLOOKUP(M279,Tbl_Effect[],3,FALSE),EffectName[],IFERROR(MATCH(UI!$B$1,EffectName[#Headers],0),2),FALSE))</f>
        <v>以大斧攻擊時，恢復ＦＰ</v>
      </c>
      <c r="O279" t="str">
        <f t="shared" si="30"/>
        <v>7351400-以連枷攻擊時，恢復ＦＰ</v>
      </c>
      <c r="P279">
        <v>7351400</v>
      </c>
      <c r="Q279" t="str">
        <f>IF(VALUE(P279)=0,"",VLOOKUP(VLOOKUP(P279,Tbl_Effect[],3,FALSE),EffectName[],IFERROR(MATCH(UI!$B$1,EffectName[#Headers],0),2),FALSE))</f>
        <v>以連枷攻擊時，恢復ＦＰ</v>
      </c>
      <c r="R279" t="str">
        <f t="shared" si="31"/>
        <v>7036800-【送葬者】發動絕活時，提升攻擊力</v>
      </c>
      <c r="S279">
        <v>7036800</v>
      </c>
      <c r="T279" t="str">
        <f>IF(VALUE(S279)=0,"",VLOOKUP(VLOOKUP(S279,Tbl_Effect[],3,FALSE),EffectName[],IFERROR(MATCH(UI!$B$1,EffectName[#Headers],0),2),FALSE))</f>
        <v>【送葬者】發動絕活時，提升攻擊力</v>
      </c>
      <c r="U279" t="str">
        <f t="shared" si="32"/>
        <v/>
      </c>
      <c r="V279">
        <v>0</v>
      </c>
      <c r="W279" t="str">
        <f>IF(V279&lt;&gt;0,VLOOKUP(VLOOKUP(V279,Tbl_Effect[],3,FALSE),EffectName[],IFERROR(MATCH(UI!$B$1,EffectName[#Headers],0),2),FALSE),"")</f>
        <v/>
      </c>
      <c r="X279" t="str">
        <f t="shared" si="33"/>
        <v/>
      </c>
      <c r="Y279">
        <v>0</v>
      </c>
      <c r="Z279" t="str">
        <f>IF(Y279&lt;&gt;0,VLOOKUP(VLOOKUP(Y279,Tbl_Effect[],3,FALSE),EffectName[],IFERROR(MATCH(UI!$B$1,EffectName[#Headers],0),2),FALSE),"")</f>
        <v/>
      </c>
      <c r="AA279" t="str">
        <f t="shared" si="34"/>
        <v/>
      </c>
      <c r="AB279">
        <v>0</v>
      </c>
      <c r="AC279" t="str">
        <f>IF(AB279&lt;&gt;0,VLOOKUP(VLOOKUP(AB279,Tbl_Effect[],3,FALSE),EffectName[],IFERROR(MATCH(UI!$B$1,EffectName[#Headers],0),2),FALSE),"")</f>
        <v/>
      </c>
      <c r="AE279">
        <v>7351100</v>
      </c>
      <c r="AF279">
        <v>7351400</v>
      </c>
      <c r="AG279">
        <v>7036800</v>
      </c>
    </row>
    <row r="280" spans="8:33" x14ac:dyDescent="0.4">
      <c r="H280" t="str">
        <f t="shared" si="28"/>
        <v>1000012-遼闊的火燃情景 (紅)</v>
      </c>
      <c r="I280">
        <v>1000012</v>
      </c>
      <c r="J280" t="str">
        <f>_xlfn.IFNA(IF(I280&lt;&gt;0,VLOOKUP(VLOOKUP(I280,Tbl_Equip[],2,FALSE),Tbl_Color[],IFERROR(MATCH(UI!$B$1,Tbl_Color[#Headers],0),2),FALSE),""),"Unset")</f>
        <v>紅</v>
      </c>
      <c r="K280" t="str">
        <f>_xlfn.IFNA(IF(I280&lt;&gt;0,VLOOKUP(I280,ItemText[],IFERROR(MATCH(UI!$B$1,ItemText[#Headers],0),2),FALSE),""),"Unset")</f>
        <v>遼闊的火燃情景</v>
      </c>
      <c r="L280" t="str">
        <f t="shared" si="29"/>
        <v>7351200-以槌攻擊時，恢復ＦＰ</v>
      </c>
      <c r="M280">
        <v>7351200</v>
      </c>
      <c r="N280" t="str">
        <f>IF(VALUE(M280)=0,"",VLOOKUP(VLOOKUP(M280,Tbl_Effect[],3,FALSE),EffectName[],IFERROR(MATCH(UI!$B$1,EffectName[#Headers],0),2),FALSE))</f>
        <v>以槌攻擊時，恢復ＦＰ</v>
      </c>
      <c r="O280" t="str">
        <f t="shared" si="30"/>
        <v>7351500-以矛攻擊時，恢復ＦＰ</v>
      </c>
      <c r="P280">
        <v>7351500</v>
      </c>
      <c r="Q280" t="str">
        <f>IF(VALUE(P280)=0,"",VLOOKUP(VLOOKUP(P280,Tbl_Effect[],3,FALSE),EffectName[],IFERROR(MATCH(UI!$B$1,EffectName[#Headers],0),2),FALSE))</f>
        <v>以矛攻擊時，恢復ＦＰ</v>
      </c>
      <c r="R280" t="str">
        <f t="shared" si="31"/>
        <v>7036900-【送葬者】連擊的最後攻擊命中時，提升攻擊力</v>
      </c>
      <c r="S280">
        <v>7036900</v>
      </c>
      <c r="T280" t="str">
        <f>IF(VALUE(S280)=0,"",VLOOKUP(VLOOKUP(S280,Tbl_Effect[],3,FALSE),EffectName[],IFERROR(MATCH(UI!$B$1,EffectName[#Headers],0),2),FALSE))</f>
        <v>【送葬者】連擊的最後攻擊命中時，提升攻擊力</v>
      </c>
      <c r="U280" t="str">
        <f t="shared" si="32"/>
        <v/>
      </c>
      <c r="V280">
        <v>0</v>
      </c>
      <c r="W280" t="str">
        <f>IF(V280&lt;&gt;0,VLOOKUP(VLOOKUP(V280,Tbl_Effect[],3,FALSE),EffectName[],IFERROR(MATCH(UI!$B$1,EffectName[#Headers],0),2),FALSE),"")</f>
        <v/>
      </c>
      <c r="X280" t="str">
        <f t="shared" si="33"/>
        <v/>
      </c>
      <c r="Y280">
        <v>0</v>
      </c>
      <c r="Z280" t="str">
        <f>IF(Y280&lt;&gt;0,VLOOKUP(VLOOKUP(Y280,Tbl_Effect[],3,FALSE),EffectName[],IFERROR(MATCH(UI!$B$1,EffectName[#Headers],0),2),FALSE),"")</f>
        <v/>
      </c>
      <c r="AA280" t="str">
        <f t="shared" si="34"/>
        <v/>
      </c>
      <c r="AB280">
        <v>0</v>
      </c>
      <c r="AC280" t="str">
        <f>IF(AB280&lt;&gt;0,VLOOKUP(VLOOKUP(AB280,Tbl_Effect[],3,FALSE),EffectName[],IFERROR(MATCH(UI!$B$1,EffectName[#Headers],0),2),FALSE),"")</f>
        <v/>
      </c>
      <c r="AE280">
        <v>7351200</v>
      </c>
      <c r="AF280">
        <v>7351500</v>
      </c>
      <c r="AG280">
        <v>7036900</v>
      </c>
    </row>
    <row r="281" spans="8:33" x14ac:dyDescent="0.4">
      <c r="H281" t="str">
        <f t="shared" si="28"/>
        <v>1000020-細膩的火燃情景 (紅)</v>
      </c>
      <c r="I281">
        <v>1000020</v>
      </c>
      <c r="J281" t="str">
        <f>_xlfn.IFNA(IF(I281&lt;&gt;0,VLOOKUP(VLOOKUP(I281,Tbl_Equip[],2,FALSE),Tbl_Color[],IFERROR(MATCH(UI!$B$1,Tbl_Color[#Headers],0),2),FALSE),""),"Unset")</f>
        <v>紅</v>
      </c>
      <c r="K281" t="str">
        <f>_xlfn.IFNA(IF(I281&lt;&gt;0,VLOOKUP(I281,ItemText[],IFERROR(MATCH(UI!$B$1,ItemText[#Headers],0),2),FALSE),""),"Unset")</f>
        <v>細膩的火燃情景</v>
      </c>
      <c r="L281" t="str">
        <f t="shared" si="29"/>
        <v>7351300-以大槌攻擊時，恢復ＦＰ</v>
      </c>
      <c r="M281">
        <v>7351300</v>
      </c>
      <c r="N281" t="str">
        <f>IF(VALUE(M281)=0,"",VLOOKUP(VLOOKUP(M281,Tbl_Effect[],3,FALSE),EffectName[],IFERROR(MATCH(UI!$B$1,EffectName[#Headers],0),2),FALSE))</f>
        <v>以大槌攻擊時，恢復ＦＰ</v>
      </c>
      <c r="O281" t="str">
        <f t="shared" si="30"/>
        <v>7351700-以大矛攻擊時，恢復ＦＰ</v>
      </c>
      <c r="P281">
        <v>7351700</v>
      </c>
      <c r="Q281" t="str">
        <f>IF(VALUE(P281)=0,"",VLOOKUP(VLOOKUP(P281,Tbl_Effect[],3,FALSE),EffectName[],IFERROR(MATCH(UI!$B$1,EffectName[#Headers],0),2),FALSE))</f>
        <v>以大矛攻擊時，恢復ＦＰ</v>
      </c>
      <c r="R281" t="str">
        <f t="shared" si="31"/>
        <v>7037000-【送葬者】使用禱告將輔助效果附加在自己身上時
提升物理攻擊力</v>
      </c>
      <c r="S281">
        <v>7037000</v>
      </c>
      <c r="T281" t="str">
        <f>IF(VALUE(S281)=0,"",VLOOKUP(VLOOKUP(S281,Tbl_Effect[],3,FALSE),EffectName[],IFERROR(MATCH(UI!$B$1,EffectName[#Headers],0),2),FALSE))</f>
        <v>【送葬者】使用禱告將輔助效果附加在自己身上時
提升物理攻擊力</v>
      </c>
      <c r="U281" t="str">
        <f t="shared" si="32"/>
        <v/>
      </c>
      <c r="V281">
        <v>0</v>
      </c>
      <c r="W281" t="str">
        <f>IF(V281&lt;&gt;0,VLOOKUP(VLOOKUP(V281,Tbl_Effect[],3,FALSE),EffectName[],IFERROR(MATCH(UI!$B$1,EffectName[#Headers],0),2),FALSE),"")</f>
        <v/>
      </c>
      <c r="X281" t="str">
        <f t="shared" si="33"/>
        <v/>
      </c>
      <c r="Y281">
        <v>0</v>
      </c>
      <c r="Z281" t="str">
        <f>IF(Y281&lt;&gt;0,VLOOKUP(VLOOKUP(Y281,Tbl_Effect[],3,FALSE),EffectName[],IFERROR(MATCH(UI!$B$1,EffectName[#Headers],0),2),FALSE),"")</f>
        <v/>
      </c>
      <c r="AA281" t="str">
        <f t="shared" si="34"/>
        <v/>
      </c>
      <c r="AB281">
        <v>0</v>
      </c>
      <c r="AC281" t="str">
        <f>IF(AB281&lt;&gt;0,VLOOKUP(VLOOKUP(AB281,Tbl_Effect[],3,FALSE),EffectName[],IFERROR(MATCH(UI!$B$1,EffectName[#Headers],0),2),FALSE),"")</f>
        <v/>
      </c>
      <c r="AE281">
        <v>7351300</v>
      </c>
      <c r="AF281">
        <v>7351700</v>
      </c>
      <c r="AG281">
        <v>7037000</v>
      </c>
    </row>
    <row r="282" spans="8:33" x14ac:dyDescent="0.4">
      <c r="H282" t="str">
        <f t="shared" si="28"/>
        <v>1000021-端正的火燃情景 (紅)</v>
      </c>
      <c r="I282">
        <v>1000021</v>
      </c>
      <c r="J282" t="str">
        <f>_xlfn.IFNA(IF(I282&lt;&gt;0,VLOOKUP(VLOOKUP(I282,Tbl_Equip[],2,FALSE),Tbl_Color[],IFERROR(MATCH(UI!$B$1,Tbl_Color[#Headers],0),2),FALSE),""),"Unset")</f>
        <v>紅</v>
      </c>
      <c r="K282" t="str">
        <f>_xlfn.IFNA(IF(I282&lt;&gt;0,VLOOKUP(I282,ItemText[],IFERROR(MATCH(UI!$B$1,ItemText[#Headers],0),2),FALSE),""),"Unset")</f>
        <v>端正的火燃情景</v>
      </c>
      <c r="L282" t="str">
        <f t="shared" si="29"/>
        <v>7351400-以連枷攻擊時，恢復ＦＰ</v>
      </c>
      <c r="M282">
        <v>7351400</v>
      </c>
      <c r="N282" t="str">
        <f>IF(VALUE(M282)=0,"",VLOOKUP(VLOOKUP(M282,Tbl_Effect[],3,FALSE),EffectName[],IFERROR(MATCH(UI!$B$1,EffectName[#Headers],0),2),FALSE))</f>
        <v>以連枷攻擊時，恢復ＦＰ</v>
      </c>
      <c r="O282" t="str">
        <f t="shared" si="30"/>
        <v>7351800-以戟攻擊時，恢復ＦＰ</v>
      </c>
      <c r="P282">
        <v>7351800</v>
      </c>
      <c r="Q282" t="str">
        <f>IF(VALUE(P282)=0,"",VLOOKUP(VLOOKUP(P282,Tbl_Effect[],3,FALSE),EffectName[],IFERROR(MATCH(UI!$B$1,EffectName[#Headers],0),2),FALSE))</f>
        <v>以戟攻擊時，恢復ＦＰ</v>
      </c>
      <c r="R282" t="str">
        <f t="shared" si="31"/>
        <v>7037300-【送葬者】發動絕活時，恢復觸碰到的我方人物的ＨＰ</v>
      </c>
      <c r="S282">
        <v>7037300</v>
      </c>
      <c r="T282" t="str">
        <f>IF(VALUE(S282)=0,"",VLOOKUP(VLOOKUP(S282,Tbl_Effect[],3,FALSE),EffectName[],IFERROR(MATCH(UI!$B$1,EffectName[#Headers],0),2),FALSE))</f>
        <v>【送葬者】發動絕活時，恢復觸碰到的我方人物的ＨＰ</v>
      </c>
      <c r="U282" t="str">
        <f t="shared" si="32"/>
        <v/>
      </c>
      <c r="V282">
        <v>0</v>
      </c>
      <c r="W282" t="str">
        <f>IF(V282&lt;&gt;0,VLOOKUP(VLOOKUP(V282,Tbl_Effect[],3,FALSE),EffectName[],IFERROR(MATCH(UI!$B$1,EffectName[#Headers],0),2),FALSE),"")</f>
        <v/>
      </c>
      <c r="X282" t="str">
        <f t="shared" si="33"/>
        <v/>
      </c>
      <c r="Y282">
        <v>0</v>
      </c>
      <c r="Z282" t="str">
        <f>IF(Y282&lt;&gt;0,VLOOKUP(VLOOKUP(Y282,Tbl_Effect[],3,FALSE),EffectName[],IFERROR(MATCH(UI!$B$1,EffectName[#Headers],0),2),FALSE),"")</f>
        <v/>
      </c>
      <c r="AA282" t="str">
        <f t="shared" si="34"/>
        <v/>
      </c>
      <c r="AB282">
        <v>0</v>
      </c>
      <c r="AC282" t="str">
        <f>IF(AB282&lt;&gt;0,VLOOKUP(VLOOKUP(AB282,Tbl_Effect[],3,FALSE),EffectName[],IFERROR(MATCH(UI!$B$1,EffectName[#Headers],0),2),FALSE),"")</f>
        <v/>
      </c>
      <c r="AE282">
        <v>7351400</v>
      </c>
      <c r="AF282">
        <v>7351800</v>
      </c>
      <c r="AG282">
        <v>7037300</v>
      </c>
    </row>
    <row r="283" spans="8:33" x14ac:dyDescent="0.4">
      <c r="H283" t="str">
        <f t="shared" si="28"/>
        <v>1000022-遼闊的火燃情景 (紅)</v>
      </c>
      <c r="I283">
        <v>1000022</v>
      </c>
      <c r="J283" t="str">
        <f>_xlfn.IFNA(IF(I283&lt;&gt;0,VLOOKUP(VLOOKUP(I283,Tbl_Equip[],2,FALSE),Tbl_Color[],IFERROR(MATCH(UI!$B$1,Tbl_Color[#Headers],0),2),FALSE),""),"Unset")</f>
        <v>紅</v>
      </c>
      <c r="K283" t="str">
        <f>_xlfn.IFNA(IF(I283&lt;&gt;0,VLOOKUP(I283,ItemText[],IFERROR(MATCH(UI!$B$1,ItemText[#Headers],0),2),FALSE),""),"Unset")</f>
        <v>遼闊的火燃情景</v>
      </c>
      <c r="L283" t="str">
        <f t="shared" si="29"/>
        <v>7351500-以矛攻擊時，恢復ＦＰ</v>
      </c>
      <c r="M283">
        <v>7351500</v>
      </c>
      <c r="N283" t="str">
        <f>IF(VALUE(M283)=0,"",VLOOKUP(VLOOKUP(M283,Tbl_Effect[],3,FALSE),EffectName[],IFERROR(MATCH(UI!$B$1,EffectName[#Headers],0),2),FALSE))</f>
        <v>以矛攻擊時，恢復ＦＰ</v>
      </c>
      <c r="O283" t="str">
        <f t="shared" si="30"/>
        <v>7351900-以鐮刀攻擊時，恢復ＦＰ</v>
      </c>
      <c r="P283">
        <v>7351900</v>
      </c>
      <c r="Q283" t="str">
        <f>IF(VALUE(P283)=0,"",VLOOKUP(VLOOKUP(P283,Tbl_Effect[],3,FALSE),EffectName[],IFERROR(MATCH(UI!$B$1,EffectName[#Headers],0),2),FALSE))</f>
        <v>以鐮刀攻擊時，恢復ＦＰ</v>
      </c>
      <c r="R283" t="str">
        <f t="shared" si="31"/>
        <v>6630000-透過潛在能力，能比較容易找到短劍</v>
      </c>
      <c r="S283">
        <v>6630000</v>
      </c>
      <c r="T283" t="str">
        <f>IF(VALUE(S283)=0,"",VLOOKUP(VLOOKUP(S283,Tbl_Effect[],3,FALSE),EffectName[],IFERROR(MATCH(UI!$B$1,EffectName[#Headers],0),2),FALSE))</f>
        <v>透過潛在能力，能比較容易找到短劍</v>
      </c>
      <c r="U283" t="str">
        <f t="shared" si="32"/>
        <v/>
      </c>
      <c r="V283">
        <v>0</v>
      </c>
      <c r="W283" t="str">
        <f>IF(V283&lt;&gt;0,VLOOKUP(VLOOKUP(V283,Tbl_Effect[],3,FALSE),EffectName[],IFERROR(MATCH(UI!$B$1,EffectName[#Headers],0),2),FALSE),"")</f>
        <v/>
      </c>
      <c r="X283" t="str">
        <f t="shared" si="33"/>
        <v/>
      </c>
      <c r="Y283">
        <v>0</v>
      </c>
      <c r="Z283" t="str">
        <f>IF(Y283&lt;&gt;0,VLOOKUP(VLOOKUP(Y283,Tbl_Effect[],3,FALSE),EffectName[],IFERROR(MATCH(UI!$B$1,EffectName[#Headers],0),2),FALSE),"")</f>
        <v/>
      </c>
      <c r="AA283" t="str">
        <f t="shared" si="34"/>
        <v/>
      </c>
      <c r="AB283">
        <v>0</v>
      </c>
      <c r="AC283" t="str">
        <f>IF(AB283&lt;&gt;0,VLOOKUP(VLOOKUP(AB283,Tbl_Effect[],3,FALSE),EffectName[],IFERROR(MATCH(UI!$B$1,EffectName[#Headers],0),2),FALSE),"")</f>
        <v/>
      </c>
      <c r="AE283">
        <v>7351500</v>
      </c>
      <c r="AF283">
        <v>7351900</v>
      </c>
      <c r="AG283">
        <v>6630000</v>
      </c>
    </row>
    <row r="284" spans="8:33" x14ac:dyDescent="0.4">
      <c r="H284" t="str">
        <f t="shared" si="28"/>
        <v>1000100-細膩的水滴情景 (藍)</v>
      </c>
      <c r="I284">
        <v>1000100</v>
      </c>
      <c r="J284" t="str">
        <f>_xlfn.IFNA(IF(I284&lt;&gt;0,VLOOKUP(VLOOKUP(I284,Tbl_Equip[],2,FALSE),Tbl_Color[],IFERROR(MATCH(UI!$B$1,Tbl_Color[#Headers],0),2),FALSE),""),"Unset")</f>
        <v>藍</v>
      </c>
      <c r="K284" t="str">
        <f>_xlfn.IFNA(IF(I284&lt;&gt;0,VLOOKUP(I284,ItemText[],IFERROR(MATCH(UI!$B$1,ItemText[#Headers],0),2),FALSE),""),"Unset")</f>
        <v>細膩的水滴情景</v>
      </c>
      <c r="L284" t="str">
        <f t="shared" si="29"/>
        <v>7351700-以大矛攻擊時，恢復ＦＰ</v>
      </c>
      <c r="M284">
        <v>7351700</v>
      </c>
      <c r="N284" t="str">
        <f>IF(VALUE(M284)=0,"",VLOOKUP(VLOOKUP(M284,Tbl_Effect[],3,FALSE),EffectName[],IFERROR(MATCH(UI!$B$1,EffectName[#Headers],0),2),FALSE))</f>
        <v>以大矛攻擊時，恢復ＦＰ</v>
      </c>
      <c r="O284" t="str">
        <f t="shared" si="30"/>
        <v>7352000-以拳頭攻擊時，恢復ＦＰ</v>
      </c>
      <c r="P284">
        <v>7352000</v>
      </c>
      <c r="Q284" t="str">
        <f>IF(VALUE(P284)=0,"",VLOOKUP(VLOOKUP(P284,Tbl_Effect[],3,FALSE),EffectName[],IFERROR(MATCH(UI!$B$1,EffectName[#Headers],0),2),FALSE))</f>
        <v>以拳頭攻擊時，恢復ＦＰ</v>
      </c>
      <c r="R284" t="str">
        <f t="shared" si="31"/>
        <v>6630100-透過潛在能力，能比較容易找到直劍</v>
      </c>
      <c r="S284">
        <v>6630100</v>
      </c>
      <c r="T284" t="str">
        <f>IF(VALUE(S284)=0,"",VLOOKUP(VLOOKUP(S284,Tbl_Effect[],3,FALSE),EffectName[],IFERROR(MATCH(UI!$B$1,EffectName[#Headers],0),2),FALSE))</f>
        <v>透過潛在能力，能比較容易找到直劍</v>
      </c>
      <c r="U284" t="str">
        <f t="shared" si="32"/>
        <v/>
      </c>
      <c r="V284">
        <v>0</v>
      </c>
      <c r="W284" t="str">
        <f>IF(V284&lt;&gt;0,VLOOKUP(VLOOKUP(V284,Tbl_Effect[],3,FALSE),EffectName[],IFERROR(MATCH(UI!$B$1,EffectName[#Headers],0),2),FALSE),"")</f>
        <v/>
      </c>
      <c r="X284" t="str">
        <f t="shared" si="33"/>
        <v/>
      </c>
      <c r="Y284">
        <v>0</v>
      </c>
      <c r="Z284" t="str">
        <f>IF(Y284&lt;&gt;0,VLOOKUP(VLOOKUP(Y284,Tbl_Effect[],3,FALSE),EffectName[],IFERROR(MATCH(UI!$B$1,EffectName[#Headers],0),2),FALSE),"")</f>
        <v/>
      </c>
      <c r="AA284" t="str">
        <f t="shared" si="34"/>
        <v/>
      </c>
      <c r="AB284">
        <v>0</v>
      </c>
      <c r="AC284" t="str">
        <f>IF(AB284&lt;&gt;0,VLOOKUP(VLOOKUP(AB284,Tbl_Effect[],3,FALSE),EffectName[],IFERROR(MATCH(UI!$B$1,EffectName[#Headers],0),2),FALSE),"")</f>
        <v/>
      </c>
      <c r="AE284">
        <v>7351700</v>
      </c>
      <c r="AF284">
        <v>7352000</v>
      </c>
      <c r="AG284">
        <v>6630100</v>
      </c>
    </row>
    <row r="285" spans="8:33" x14ac:dyDescent="0.4">
      <c r="H285" t="str">
        <f t="shared" si="28"/>
        <v>1000101-端正的水滴情景 (藍)</v>
      </c>
      <c r="I285">
        <v>1000101</v>
      </c>
      <c r="J285" t="str">
        <f>_xlfn.IFNA(IF(I285&lt;&gt;0,VLOOKUP(VLOOKUP(I285,Tbl_Equip[],2,FALSE),Tbl_Color[],IFERROR(MATCH(UI!$B$1,Tbl_Color[#Headers],0),2),FALSE),""),"Unset")</f>
        <v>藍</v>
      </c>
      <c r="K285" t="str">
        <f>_xlfn.IFNA(IF(I285&lt;&gt;0,VLOOKUP(I285,ItemText[],IFERROR(MATCH(UI!$B$1,ItemText[#Headers],0),2),FALSE),""),"Unset")</f>
        <v>端正的水滴情景</v>
      </c>
      <c r="L285" t="str">
        <f t="shared" si="29"/>
        <v>7351800-以戟攻擊時，恢復ＦＰ</v>
      </c>
      <c r="M285">
        <v>7351800</v>
      </c>
      <c r="N285" t="str">
        <f>IF(VALUE(M285)=0,"",VLOOKUP(VLOOKUP(M285,Tbl_Effect[],3,FALSE),EffectName[],IFERROR(MATCH(UI!$B$1,EffectName[#Headers],0),2),FALSE))</f>
        <v>以戟攻擊時，恢復ＦＰ</v>
      </c>
      <c r="O285" t="str">
        <f t="shared" si="30"/>
        <v>7352100-以鉤爪攻擊時，恢復ＦＰ</v>
      </c>
      <c r="P285">
        <v>7352100</v>
      </c>
      <c r="Q285" t="str">
        <f>IF(VALUE(P285)=0,"",VLOOKUP(VLOOKUP(P285,Tbl_Effect[],3,FALSE),EffectName[],IFERROR(MATCH(UI!$B$1,EffectName[#Headers],0),2),FALSE))</f>
        <v>以鉤爪攻擊時，恢復ＦＰ</v>
      </c>
      <c r="R285" t="str">
        <f t="shared" si="31"/>
        <v>6630200-透過潛在能力，能比較容易找到大劍</v>
      </c>
      <c r="S285">
        <v>6630200</v>
      </c>
      <c r="T285" t="str">
        <f>IF(VALUE(S285)=0,"",VLOOKUP(VLOOKUP(S285,Tbl_Effect[],3,FALSE),EffectName[],IFERROR(MATCH(UI!$B$1,EffectName[#Headers],0),2),FALSE))</f>
        <v>透過潛在能力，能比較容易找到大劍</v>
      </c>
      <c r="U285" t="str">
        <f t="shared" si="32"/>
        <v/>
      </c>
      <c r="V285">
        <v>0</v>
      </c>
      <c r="W285" t="str">
        <f>IF(V285&lt;&gt;0,VLOOKUP(VLOOKUP(V285,Tbl_Effect[],3,FALSE),EffectName[],IFERROR(MATCH(UI!$B$1,EffectName[#Headers],0),2),FALSE),"")</f>
        <v/>
      </c>
      <c r="X285" t="str">
        <f t="shared" si="33"/>
        <v/>
      </c>
      <c r="Y285">
        <v>0</v>
      </c>
      <c r="Z285" t="str">
        <f>IF(Y285&lt;&gt;0,VLOOKUP(VLOOKUP(Y285,Tbl_Effect[],3,FALSE),EffectName[],IFERROR(MATCH(UI!$B$1,EffectName[#Headers],0),2),FALSE),"")</f>
        <v/>
      </c>
      <c r="AA285" t="str">
        <f t="shared" si="34"/>
        <v/>
      </c>
      <c r="AB285">
        <v>0</v>
      </c>
      <c r="AC285" t="str">
        <f>IF(AB285&lt;&gt;0,VLOOKUP(VLOOKUP(AB285,Tbl_Effect[],3,FALSE),EffectName[],IFERROR(MATCH(UI!$B$1,EffectName[#Headers],0),2),FALSE),"")</f>
        <v/>
      </c>
      <c r="AE285">
        <v>7351800</v>
      </c>
      <c r="AF285">
        <v>7352100</v>
      </c>
      <c r="AG285">
        <v>6630200</v>
      </c>
    </row>
    <row r="286" spans="8:33" x14ac:dyDescent="0.4">
      <c r="H286" t="str">
        <f t="shared" si="28"/>
        <v>1000102-遼闊的水滴情景 (藍)</v>
      </c>
      <c r="I286">
        <v>1000102</v>
      </c>
      <c r="J286" t="str">
        <f>_xlfn.IFNA(IF(I286&lt;&gt;0,VLOOKUP(VLOOKUP(I286,Tbl_Equip[],2,FALSE),Tbl_Color[],IFERROR(MATCH(UI!$B$1,Tbl_Color[#Headers],0),2),FALSE),""),"Unset")</f>
        <v>藍</v>
      </c>
      <c r="K286" t="str">
        <f>_xlfn.IFNA(IF(I286&lt;&gt;0,VLOOKUP(I286,ItemText[],IFERROR(MATCH(UI!$B$1,ItemText[#Headers],0),2),FALSE),""),"Unset")</f>
        <v>遼闊的水滴情景</v>
      </c>
      <c r="L286" t="str">
        <f t="shared" si="29"/>
        <v>7351900-以鐮刀攻擊時，恢復ＦＰ</v>
      </c>
      <c r="M286">
        <v>7351900</v>
      </c>
      <c r="N286" t="str">
        <f>IF(VALUE(M286)=0,"",VLOOKUP(VLOOKUP(M286,Tbl_Effect[],3,FALSE),EffectName[],IFERROR(MATCH(UI!$B$1,EffectName[#Headers],0),2),FALSE))</f>
        <v>以鐮刀攻擊時，恢復ＦＰ</v>
      </c>
      <c r="O286" t="str">
        <f t="shared" si="30"/>
        <v>7352200-以軟鞭攻擊時，恢復ＦＰ</v>
      </c>
      <c r="P286">
        <v>7352200</v>
      </c>
      <c r="Q286" t="str">
        <f>IF(VALUE(P286)=0,"",VLOOKUP(VLOOKUP(P286,Tbl_Effect[],3,FALSE),EffectName[],IFERROR(MATCH(UI!$B$1,EffectName[#Headers],0),2),FALSE))</f>
        <v>以軟鞭攻擊時，恢復ＦＰ</v>
      </c>
      <c r="R286" t="str">
        <f t="shared" si="31"/>
        <v>6630300-透過潛在能力，能比較容易找到特大劍</v>
      </c>
      <c r="S286">
        <v>6630300</v>
      </c>
      <c r="T286" t="str">
        <f>IF(VALUE(S286)=0,"",VLOOKUP(VLOOKUP(S286,Tbl_Effect[],3,FALSE),EffectName[],IFERROR(MATCH(UI!$B$1,EffectName[#Headers],0),2),FALSE))</f>
        <v>透過潛在能力，能比較容易找到特大劍</v>
      </c>
      <c r="U286" t="str">
        <f t="shared" si="32"/>
        <v/>
      </c>
      <c r="V286">
        <v>0</v>
      </c>
      <c r="W286" t="str">
        <f>IF(V286&lt;&gt;0,VLOOKUP(VLOOKUP(V286,Tbl_Effect[],3,FALSE),EffectName[],IFERROR(MATCH(UI!$B$1,EffectName[#Headers],0),2),FALSE),"")</f>
        <v/>
      </c>
      <c r="X286" t="str">
        <f t="shared" si="33"/>
        <v/>
      </c>
      <c r="Y286">
        <v>0</v>
      </c>
      <c r="Z286" t="str">
        <f>IF(Y286&lt;&gt;0,VLOOKUP(VLOOKUP(Y286,Tbl_Effect[],3,FALSE),EffectName[],IFERROR(MATCH(UI!$B$1,EffectName[#Headers],0),2),FALSE),"")</f>
        <v/>
      </c>
      <c r="AA286" t="str">
        <f t="shared" si="34"/>
        <v/>
      </c>
      <c r="AB286">
        <v>0</v>
      </c>
      <c r="AC286" t="str">
        <f>IF(AB286&lt;&gt;0,VLOOKUP(VLOOKUP(AB286,Tbl_Effect[],3,FALSE),EffectName[],IFERROR(MATCH(UI!$B$1,EffectName[#Headers],0),2),FALSE),"")</f>
        <v/>
      </c>
      <c r="AE286">
        <v>7351900</v>
      </c>
      <c r="AF286">
        <v>7352200</v>
      </c>
      <c r="AG286">
        <v>6630300</v>
      </c>
    </row>
    <row r="287" spans="8:33" x14ac:dyDescent="0.4">
      <c r="H287" t="str">
        <f t="shared" si="28"/>
        <v>1000110-細膩的水滴情景 (藍)</v>
      </c>
      <c r="I287">
        <v>1000110</v>
      </c>
      <c r="J287" t="str">
        <f>_xlfn.IFNA(IF(I287&lt;&gt;0,VLOOKUP(VLOOKUP(I287,Tbl_Equip[],2,FALSE),Tbl_Color[],IFERROR(MATCH(UI!$B$1,Tbl_Color[#Headers],0),2),FALSE),""),"Unset")</f>
        <v>藍</v>
      </c>
      <c r="K287" t="str">
        <f>_xlfn.IFNA(IF(I287&lt;&gt;0,VLOOKUP(I287,ItemText[],IFERROR(MATCH(UI!$B$1,ItemText[#Headers],0),2),FALSE),""),"Unset")</f>
        <v>細膩的水滴情景</v>
      </c>
      <c r="L287" t="str">
        <f t="shared" si="29"/>
        <v>7352000-以拳頭攻擊時，恢復ＦＰ</v>
      </c>
      <c r="M287">
        <v>7352000</v>
      </c>
      <c r="N287" t="str">
        <f>IF(VALUE(M287)=0,"",VLOOKUP(VLOOKUP(M287,Tbl_Effect[],3,FALSE),EffectName[],IFERROR(MATCH(UI!$B$1,EffectName[#Headers],0),2),FALSE))</f>
        <v>以拳頭攻擊時，恢復ＦＰ</v>
      </c>
      <c r="O287" t="str">
        <f t="shared" si="30"/>
        <v>7352300-以特大武器攻擊時，恢復ＦＰ</v>
      </c>
      <c r="P287">
        <v>7352300</v>
      </c>
      <c r="Q287" t="str">
        <f>IF(VALUE(P287)=0,"",VLOOKUP(VLOOKUP(P287,Tbl_Effect[],3,FALSE),EffectName[],IFERROR(MATCH(UI!$B$1,EffectName[#Headers],0),2),FALSE))</f>
        <v>以特大武器攻擊時，恢復ＦＰ</v>
      </c>
      <c r="R287" t="str">
        <f t="shared" si="31"/>
        <v>6630400-透過潛在能力，能比較容易找到曲劍</v>
      </c>
      <c r="S287">
        <v>6630400</v>
      </c>
      <c r="T287" t="str">
        <f>IF(VALUE(S287)=0,"",VLOOKUP(VLOOKUP(S287,Tbl_Effect[],3,FALSE),EffectName[],IFERROR(MATCH(UI!$B$1,EffectName[#Headers],0),2),FALSE))</f>
        <v>透過潛在能力，能比較容易找到曲劍</v>
      </c>
      <c r="U287" t="str">
        <f t="shared" si="32"/>
        <v/>
      </c>
      <c r="V287">
        <v>0</v>
      </c>
      <c r="W287" t="str">
        <f>IF(V287&lt;&gt;0,VLOOKUP(VLOOKUP(V287,Tbl_Effect[],3,FALSE),EffectName[],IFERROR(MATCH(UI!$B$1,EffectName[#Headers],0),2),FALSE),"")</f>
        <v/>
      </c>
      <c r="X287" t="str">
        <f t="shared" si="33"/>
        <v/>
      </c>
      <c r="Y287">
        <v>0</v>
      </c>
      <c r="Z287" t="str">
        <f>IF(Y287&lt;&gt;0,VLOOKUP(VLOOKUP(Y287,Tbl_Effect[],3,FALSE),EffectName[],IFERROR(MATCH(UI!$B$1,EffectName[#Headers],0),2),FALSE),"")</f>
        <v/>
      </c>
      <c r="AA287" t="str">
        <f t="shared" si="34"/>
        <v/>
      </c>
      <c r="AB287">
        <v>0</v>
      </c>
      <c r="AC287" t="str">
        <f>IF(AB287&lt;&gt;0,VLOOKUP(VLOOKUP(AB287,Tbl_Effect[],3,FALSE),EffectName[],IFERROR(MATCH(UI!$B$1,EffectName[#Headers],0),2),FALSE),"")</f>
        <v/>
      </c>
      <c r="AE287">
        <v>7352000</v>
      </c>
      <c r="AF287">
        <v>7352300</v>
      </c>
      <c r="AG287">
        <v>6630400</v>
      </c>
    </row>
    <row r="288" spans="8:33" x14ac:dyDescent="0.4">
      <c r="H288" t="str">
        <f t="shared" si="28"/>
        <v>1000111-端正的水滴情景 (藍)</v>
      </c>
      <c r="I288">
        <v>1000111</v>
      </c>
      <c r="J288" t="str">
        <f>_xlfn.IFNA(IF(I288&lt;&gt;0,VLOOKUP(VLOOKUP(I288,Tbl_Equip[],2,FALSE),Tbl_Color[],IFERROR(MATCH(UI!$B$1,Tbl_Color[#Headers],0),2),FALSE),""),"Unset")</f>
        <v>藍</v>
      </c>
      <c r="K288" t="str">
        <f>_xlfn.IFNA(IF(I288&lt;&gt;0,VLOOKUP(I288,ItemText[],IFERROR(MATCH(UI!$B$1,ItemText[#Headers],0),2),FALSE),""),"Unset")</f>
        <v>端正的水滴情景</v>
      </c>
      <c r="L288" t="str">
        <f t="shared" si="29"/>
        <v>7352100-以鉤爪攻擊時，恢復ＦＰ</v>
      </c>
      <c r="M288">
        <v>7352100</v>
      </c>
      <c r="N288" t="str">
        <f>IF(VALUE(M288)=0,"",VLOOKUP(VLOOKUP(M288,Tbl_Effect[],3,FALSE),EffectName[],IFERROR(MATCH(UI!$B$1,EffectName[#Headers],0),2),FALSE))</f>
        <v>以鉤爪攻擊時，恢復ＦＰ</v>
      </c>
      <c r="O288" t="str">
        <f t="shared" si="30"/>
        <v>7352400-以弓攻擊時，恢復ＦＰ</v>
      </c>
      <c r="P288">
        <v>7352400</v>
      </c>
      <c r="Q288" t="str">
        <f>IF(VALUE(P288)=0,"",VLOOKUP(VLOOKUP(P288,Tbl_Effect[],3,FALSE),EffectName[],IFERROR(MATCH(UI!$B$1,EffectName[#Headers],0),2),FALSE))</f>
        <v>以弓攻擊時，恢復ＦＰ</v>
      </c>
      <c r="R288" t="str">
        <f t="shared" si="31"/>
        <v>6630500-透過潛在能力，能比較容易找到大曲劍</v>
      </c>
      <c r="S288">
        <v>6630500</v>
      </c>
      <c r="T288" t="str">
        <f>IF(VALUE(S288)=0,"",VLOOKUP(VLOOKUP(S288,Tbl_Effect[],3,FALSE),EffectName[],IFERROR(MATCH(UI!$B$1,EffectName[#Headers],0),2),FALSE))</f>
        <v>透過潛在能力，能比較容易找到大曲劍</v>
      </c>
      <c r="U288" t="str">
        <f t="shared" si="32"/>
        <v/>
      </c>
      <c r="V288">
        <v>0</v>
      </c>
      <c r="W288" t="str">
        <f>IF(V288&lt;&gt;0,VLOOKUP(VLOOKUP(V288,Tbl_Effect[],3,FALSE),EffectName[],IFERROR(MATCH(UI!$B$1,EffectName[#Headers],0),2),FALSE),"")</f>
        <v/>
      </c>
      <c r="X288" t="str">
        <f t="shared" si="33"/>
        <v/>
      </c>
      <c r="Y288">
        <v>0</v>
      </c>
      <c r="Z288" t="str">
        <f>IF(Y288&lt;&gt;0,VLOOKUP(VLOOKUP(Y288,Tbl_Effect[],3,FALSE),EffectName[],IFERROR(MATCH(UI!$B$1,EffectName[#Headers],0),2),FALSE),"")</f>
        <v/>
      </c>
      <c r="AA288" t="str">
        <f t="shared" si="34"/>
        <v/>
      </c>
      <c r="AB288">
        <v>0</v>
      </c>
      <c r="AC288" t="str">
        <f>IF(AB288&lt;&gt;0,VLOOKUP(VLOOKUP(AB288,Tbl_Effect[],3,FALSE),EffectName[],IFERROR(MATCH(UI!$B$1,EffectName[#Headers],0),2),FALSE),"")</f>
        <v/>
      </c>
      <c r="AE288">
        <v>7352100</v>
      </c>
      <c r="AF288">
        <v>7352400</v>
      </c>
      <c r="AG288">
        <v>6630500</v>
      </c>
    </row>
    <row r="289" spans="8:33" x14ac:dyDescent="0.4">
      <c r="H289" t="str">
        <f t="shared" si="28"/>
        <v>1000112-遼闊的水滴情景 (藍)</v>
      </c>
      <c r="I289">
        <v>1000112</v>
      </c>
      <c r="J289" t="str">
        <f>_xlfn.IFNA(IF(I289&lt;&gt;0,VLOOKUP(VLOOKUP(I289,Tbl_Equip[],2,FALSE),Tbl_Color[],IFERROR(MATCH(UI!$B$1,Tbl_Color[#Headers],0),2),FALSE),""),"Unset")</f>
        <v>藍</v>
      </c>
      <c r="K289" t="str">
        <f>_xlfn.IFNA(IF(I289&lt;&gt;0,VLOOKUP(I289,ItemText[],IFERROR(MATCH(UI!$B$1,ItemText[#Headers],0),2),FALSE),""),"Unset")</f>
        <v>遼闊的水滴情景</v>
      </c>
      <c r="L289" t="str">
        <f t="shared" si="29"/>
        <v>7352200-以軟鞭攻擊時，恢復ＦＰ</v>
      </c>
      <c r="M289">
        <v>7352200</v>
      </c>
      <c r="N289" t="str">
        <f>IF(VALUE(M289)=0,"",VLOOKUP(VLOOKUP(M289,Tbl_Effect[],3,FALSE),EffectName[],IFERROR(MATCH(UI!$B$1,EffectName[#Headers],0),2),FALSE))</f>
        <v>以軟鞭攻擊時，恢復ＦＰ</v>
      </c>
      <c r="O289" t="str">
        <f t="shared" si="30"/>
        <v>7360600-出擊時，武器魔法改為「魔法輝劍」
※僅限能使用的武器類別</v>
      </c>
      <c r="P289">
        <v>7360600</v>
      </c>
      <c r="Q289" t="str">
        <f>IF(VALUE(P289)=0,"",VLOOKUP(VLOOKUP(P289,Tbl_Effect[],3,FALSE),EffectName[],IFERROR(MATCH(UI!$B$1,EffectName[#Headers],0),2),FALSE))</f>
        <v>出擊時，武器魔法改為「魔法輝劍」
※僅限能使用的武器類別</v>
      </c>
      <c r="R289" t="str">
        <f t="shared" si="31"/>
        <v>6630600-透過潛在能力，能比較容易找到刀</v>
      </c>
      <c r="S289">
        <v>6630600</v>
      </c>
      <c r="T289" t="str">
        <f>IF(VALUE(S289)=0,"",VLOOKUP(VLOOKUP(S289,Tbl_Effect[],3,FALSE),EffectName[],IFERROR(MATCH(UI!$B$1,EffectName[#Headers],0),2),FALSE))</f>
        <v>透過潛在能力，能比較容易找到刀</v>
      </c>
      <c r="U289" t="str">
        <f t="shared" si="32"/>
        <v/>
      </c>
      <c r="V289">
        <v>0</v>
      </c>
      <c r="W289" t="str">
        <f>IF(V289&lt;&gt;0,VLOOKUP(VLOOKUP(V289,Tbl_Effect[],3,FALSE),EffectName[],IFERROR(MATCH(UI!$B$1,EffectName[#Headers],0),2),FALSE),"")</f>
        <v/>
      </c>
      <c r="X289" t="str">
        <f t="shared" si="33"/>
        <v/>
      </c>
      <c r="Y289">
        <v>0</v>
      </c>
      <c r="Z289" t="str">
        <f>IF(Y289&lt;&gt;0,VLOOKUP(VLOOKUP(Y289,Tbl_Effect[],3,FALSE),EffectName[],IFERROR(MATCH(UI!$B$1,EffectName[#Headers],0),2),FALSE),"")</f>
        <v/>
      </c>
      <c r="AA289" t="str">
        <f t="shared" si="34"/>
        <v/>
      </c>
      <c r="AB289">
        <v>0</v>
      </c>
      <c r="AC289" t="str">
        <f>IF(AB289&lt;&gt;0,VLOOKUP(VLOOKUP(AB289,Tbl_Effect[],3,FALSE),EffectName[],IFERROR(MATCH(UI!$B$1,EffectName[#Headers],0),2),FALSE),"")</f>
        <v/>
      </c>
      <c r="AE289">
        <v>7352200</v>
      </c>
      <c r="AF289">
        <v>7360600</v>
      </c>
      <c r="AG289">
        <v>6630600</v>
      </c>
    </row>
    <row r="290" spans="8:33" x14ac:dyDescent="0.4">
      <c r="H290" t="str">
        <f t="shared" si="28"/>
        <v>1000120-細膩的水滴情景 (藍)</v>
      </c>
      <c r="I290">
        <v>1000120</v>
      </c>
      <c r="J290" t="str">
        <f>_xlfn.IFNA(IF(I290&lt;&gt;0,VLOOKUP(VLOOKUP(I290,Tbl_Equip[],2,FALSE),Tbl_Color[],IFERROR(MATCH(UI!$B$1,Tbl_Color[#Headers],0),2),FALSE),""),"Unset")</f>
        <v>藍</v>
      </c>
      <c r="K290" t="str">
        <f>_xlfn.IFNA(IF(I290&lt;&gt;0,VLOOKUP(I290,ItemText[],IFERROR(MATCH(UI!$B$1,ItemText[#Headers],0),2),FALSE),""),"Unset")</f>
        <v>細膩的水滴情景</v>
      </c>
      <c r="L290" t="str">
        <f t="shared" si="29"/>
        <v>7352300-以特大武器攻擊時，恢復ＦＰ</v>
      </c>
      <c r="M290">
        <v>7352300</v>
      </c>
      <c r="N290" t="str">
        <f>IF(VALUE(M290)=0,"",VLOOKUP(VLOOKUP(M290,Tbl_Effect[],3,FALSE),EffectName[],IFERROR(MATCH(UI!$B$1,EffectName[#Headers],0),2),FALSE))</f>
        <v>以特大武器攻擊時，恢復ＦＰ</v>
      </c>
      <c r="O290" t="str">
        <f t="shared" si="30"/>
        <v>7360900-出擊時，武器魔法改為「卡利亞大劍」
※僅限能使用的武器類別</v>
      </c>
      <c r="P290">
        <v>7360900</v>
      </c>
      <c r="Q290" t="str">
        <f>IF(VALUE(P290)=0,"",VLOOKUP(VLOOKUP(P290,Tbl_Effect[],3,FALSE),EffectName[],IFERROR(MATCH(UI!$B$1,EffectName[#Headers],0),2),FALSE))</f>
        <v>出擊時，武器魔法改為「卡利亞大劍」
※僅限能使用的武器類別</v>
      </c>
      <c r="R290" t="str">
        <f t="shared" si="31"/>
        <v>6630700-透過潛在能力，能比較容易找到雙頭劍</v>
      </c>
      <c r="S290">
        <v>6630700</v>
      </c>
      <c r="T290" t="str">
        <f>IF(VALUE(S290)=0,"",VLOOKUP(VLOOKUP(S290,Tbl_Effect[],3,FALSE),EffectName[],IFERROR(MATCH(UI!$B$1,EffectName[#Headers],0),2),FALSE))</f>
        <v>透過潛在能力，能比較容易找到雙頭劍</v>
      </c>
      <c r="U290" t="str">
        <f t="shared" si="32"/>
        <v/>
      </c>
      <c r="V290">
        <v>0</v>
      </c>
      <c r="W290" t="str">
        <f>IF(V290&lt;&gt;0,VLOOKUP(VLOOKUP(V290,Tbl_Effect[],3,FALSE),EffectName[],IFERROR(MATCH(UI!$B$1,EffectName[#Headers],0),2),FALSE),"")</f>
        <v/>
      </c>
      <c r="X290" t="str">
        <f t="shared" si="33"/>
        <v/>
      </c>
      <c r="Y290">
        <v>0</v>
      </c>
      <c r="Z290" t="str">
        <f>IF(Y290&lt;&gt;0,VLOOKUP(VLOOKUP(Y290,Tbl_Effect[],3,FALSE),EffectName[],IFERROR(MATCH(UI!$B$1,EffectName[#Headers],0),2),FALSE),"")</f>
        <v/>
      </c>
      <c r="AA290" t="str">
        <f t="shared" si="34"/>
        <v/>
      </c>
      <c r="AB290">
        <v>0</v>
      </c>
      <c r="AC290" t="str">
        <f>IF(AB290&lt;&gt;0,VLOOKUP(VLOOKUP(AB290,Tbl_Effect[],3,FALSE),EffectName[],IFERROR(MATCH(UI!$B$1,EffectName[#Headers],0),2),FALSE),"")</f>
        <v/>
      </c>
      <c r="AE290">
        <v>7352300</v>
      </c>
      <c r="AF290">
        <v>7360900</v>
      </c>
      <c r="AG290">
        <v>6630700</v>
      </c>
    </row>
    <row r="291" spans="8:33" x14ac:dyDescent="0.4">
      <c r="H291" t="str">
        <f t="shared" si="28"/>
        <v>1000121-端正的水滴情景 (藍)</v>
      </c>
      <c r="I291">
        <v>1000121</v>
      </c>
      <c r="J291" t="str">
        <f>_xlfn.IFNA(IF(I291&lt;&gt;0,VLOOKUP(VLOOKUP(I291,Tbl_Equip[],2,FALSE),Tbl_Color[],IFERROR(MATCH(UI!$B$1,Tbl_Color[#Headers],0),2),FALSE),""),"Unset")</f>
        <v>藍</v>
      </c>
      <c r="K291" t="str">
        <f>_xlfn.IFNA(IF(I291&lt;&gt;0,VLOOKUP(I291,ItemText[],IFERROR(MATCH(UI!$B$1,ItemText[#Headers],0),2),FALSE),""),"Unset")</f>
        <v>端正的水滴情景</v>
      </c>
      <c r="L291" t="str">
        <f t="shared" si="29"/>
        <v>7352400-以弓攻擊時，恢復ＦＰ</v>
      </c>
      <c r="M291">
        <v>7352400</v>
      </c>
      <c r="N291" t="str">
        <f>IF(VALUE(M291)=0,"",VLOOKUP(VLOOKUP(M291,Tbl_Effect[],3,FALSE),EffectName[],IFERROR(MATCH(UI!$B$1,EffectName[#Headers],0),2),FALSE))</f>
        <v>以弓攻擊時，恢復ＦＰ</v>
      </c>
      <c r="O291" t="str">
        <f t="shared" si="30"/>
        <v>7361200-出擊時，武器魔法改為「黑夜魔礫」
※僅限能使用的武器類別</v>
      </c>
      <c r="P291">
        <v>7361200</v>
      </c>
      <c r="Q291" t="str">
        <f>IF(VALUE(P291)=0,"",VLOOKUP(VLOOKUP(P291,Tbl_Effect[],3,FALSE),EffectName[],IFERROR(MATCH(UI!$B$1,EffectName[#Headers],0),2),FALSE))</f>
        <v>出擊時，武器魔法改為「黑夜魔礫」
※僅限能使用的武器類別</v>
      </c>
      <c r="R291" t="str">
        <f t="shared" si="31"/>
        <v>6630800-透過潛在能力，能比較容易找到刺劍</v>
      </c>
      <c r="S291">
        <v>6630800</v>
      </c>
      <c r="T291" t="str">
        <f>IF(VALUE(S291)=0,"",VLOOKUP(VLOOKUP(S291,Tbl_Effect[],3,FALSE),EffectName[],IFERROR(MATCH(UI!$B$1,EffectName[#Headers],0),2),FALSE))</f>
        <v>透過潛在能力，能比較容易找到刺劍</v>
      </c>
      <c r="U291" t="str">
        <f t="shared" si="32"/>
        <v/>
      </c>
      <c r="V291">
        <v>0</v>
      </c>
      <c r="W291" t="str">
        <f>IF(V291&lt;&gt;0,VLOOKUP(VLOOKUP(V291,Tbl_Effect[],3,FALSE),EffectName[],IFERROR(MATCH(UI!$B$1,EffectName[#Headers],0),2),FALSE),"")</f>
        <v/>
      </c>
      <c r="X291" t="str">
        <f t="shared" si="33"/>
        <v/>
      </c>
      <c r="Y291">
        <v>0</v>
      </c>
      <c r="Z291" t="str">
        <f>IF(Y291&lt;&gt;0,VLOOKUP(VLOOKUP(Y291,Tbl_Effect[],3,FALSE),EffectName[],IFERROR(MATCH(UI!$B$1,EffectName[#Headers],0),2),FALSE),"")</f>
        <v/>
      </c>
      <c r="AA291" t="str">
        <f t="shared" si="34"/>
        <v/>
      </c>
      <c r="AB291">
        <v>0</v>
      </c>
      <c r="AC291" t="str">
        <f>IF(AB291&lt;&gt;0,VLOOKUP(VLOOKUP(AB291,Tbl_Effect[],3,FALSE),EffectName[],IFERROR(MATCH(UI!$B$1,EffectName[#Headers],0),2),FALSE),"")</f>
        <v/>
      </c>
      <c r="AE291">
        <v>7352400</v>
      </c>
      <c r="AF291">
        <v>7361200</v>
      </c>
      <c r="AG291">
        <v>6630800</v>
      </c>
    </row>
    <row r="292" spans="8:33" x14ac:dyDescent="0.4">
      <c r="H292" t="str">
        <f t="shared" si="28"/>
        <v>1000122-遼闊的水滴情景 (藍)</v>
      </c>
      <c r="I292">
        <v>1000122</v>
      </c>
      <c r="J292" t="str">
        <f>_xlfn.IFNA(IF(I292&lt;&gt;0,VLOOKUP(VLOOKUP(I292,Tbl_Equip[],2,FALSE),Tbl_Color[],IFERROR(MATCH(UI!$B$1,Tbl_Color[#Headers],0),2),FALSE),""),"Unset")</f>
        <v>藍</v>
      </c>
      <c r="K292" t="str">
        <f>_xlfn.IFNA(IF(I292&lt;&gt;0,VLOOKUP(I292,ItemText[],IFERROR(MATCH(UI!$B$1,ItemText[#Headers],0),2),FALSE),""),"Unset")</f>
        <v>遼闊的水滴情景</v>
      </c>
      <c r="L292" t="str">
        <f t="shared" si="29"/>
        <v>7360600-出擊時，武器魔法改為「魔法輝劍」
※僅限能使用的武器類別</v>
      </c>
      <c r="M292">
        <v>7360600</v>
      </c>
      <c r="N292" t="str">
        <f>IF(VALUE(M292)=0,"",VLOOKUP(VLOOKUP(M292,Tbl_Effect[],3,FALSE),EffectName[],IFERROR(MATCH(UI!$B$1,EffectName[#Headers],0),2),FALSE))</f>
        <v>出擊時，武器魔法改為「魔法輝劍」
※僅限能使用的武器類別</v>
      </c>
      <c r="O292" t="str">
        <f t="shared" si="30"/>
        <v>7361300-出擊時，武器魔法改為「熔岩球」
※僅限能使用的武器類別</v>
      </c>
      <c r="P292">
        <v>7361300</v>
      </c>
      <c r="Q292" t="str">
        <f>IF(VALUE(P292)=0,"",VLOOKUP(VLOOKUP(P292,Tbl_Effect[],3,FALSE),EffectName[],IFERROR(MATCH(UI!$B$1,EffectName[#Headers],0),2),FALSE))</f>
        <v>出擊時，武器魔法改為「熔岩球」
※僅限能使用的武器類別</v>
      </c>
      <c r="R292" t="str">
        <f t="shared" si="31"/>
        <v>6630900-透過潛在能力，能比較容易找到重刺劍</v>
      </c>
      <c r="S292">
        <v>6630900</v>
      </c>
      <c r="T292" t="str">
        <f>IF(VALUE(S292)=0,"",VLOOKUP(VLOOKUP(S292,Tbl_Effect[],3,FALSE),EffectName[],IFERROR(MATCH(UI!$B$1,EffectName[#Headers],0),2),FALSE))</f>
        <v>透過潛在能力，能比較容易找到重刺劍</v>
      </c>
      <c r="U292" t="str">
        <f t="shared" si="32"/>
        <v/>
      </c>
      <c r="V292">
        <v>0</v>
      </c>
      <c r="W292" t="str">
        <f>IF(V292&lt;&gt;0,VLOOKUP(VLOOKUP(V292,Tbl_Effect[],3,FALSE),EffectName[],IFERROR(MATCH(UI!$B$1,EffectName[#Headers],0),2),FALSE),"")</f>
        <v/>
      </c>
      <c r="X292" t="str">
        <f t="shared" si="33"/>
        <v/>
      </c>
      <c r="Y292">
        <v>0</v>
      </c>
      <c r="Z292" t="str">
        <f>IF(Y292&lt;&gt;0,VLOOKUP(VLOOKUP(Y292,Tbl_Effect[],3,FALSE),EffectName[],IFERROR(MATCH(UI!$B$1,EffectName[#Headers],0),2),FALSE),"")</f>
        <v/>
      </c>
      <c r="AA292" t="str">
        <f t="shared" si="34"/>
        <v/>
      </c>
      <c r="AB292">
        <v>0</v>
      </c>
      <c r="AC292" t="str">
        <f>IF(AB292&lt;&gt;0,VLOOKUP(VLOOKUP(AB292,Tbl_Effect[],3,FALSE),EffectName[],IFERROR(MATCH(UI!$B$1,EffectName[#Headers],0),2),FALSE),"")</f>
        <v/>
      </c>
      <c r="AE292">
        <v>7360600</v>
      </c>
      <c r="AF292">
        <v>7361300</v>
      </c>
      <c r="AG292">
        <v>6630900</v>
      </c>
    </row>
    <row r="293" spans="8:33" x14ac:dyDescent="0.4">
      <c r="H293" t="str">
        <f t="shared" si="28"/>
        <v>1000200-細膩的光耀情景 (黃)</v>
      </c>
      <c r="I293">
        <v>1000200</v>
      </c>
      <c r="J293" t="str">
        <f>_xlfn.IFNA(IF(I293&lt;&gt;0,VLOOKUP(VLOOKUP(I293,Tbl_Equip[],2,FALSE),Tbl_Color[],IFERROR(MATCH(UI!$B$1,Tbl_Color[#Headers],0),2),FALSE),""),"Unset")</f>
        <v>黃</v>
      </c>
      <c r="K293" t="str">
        <f>_xlfn.IFNA(IF(I293&lt;&gt;0,VLOOKUP(I293,ItemText[],IFERROR(MATCH(UI!$B$1,ItemText[#Headers],0),2),FALSE),""),"Unset")</f>
        <v>細膩的光耀情景</v>
      </c>
      <c r="L293" t="str">
        <f t="shared" si="29"/>
        <v>7360900-出擊時，武器魔法改為「卡利亞大劍」
※僅限能使用的武器類別</v>
      </c>
      <c r="M293">
        <v>7360900</v>
      </c>
      <c r="N293" t="str">
        <f>IF(VALUE(M293)=0,"",VLOOKUP(VLOOKUP(M293,Tbl_Effect[],3,FALSE),EffectName[],IFERROR(MATCH(UI!$B$1,EffectName[#Headers],0),2),FALSE))</f>
        <v>出擊時，武器魔法改為「卡利亞大劍」
※僅限能使用的武器類別</v>
      </c>
      <c r="O293" t="str">
        <f t="shared" si="30"/>
        <v>7362100-出擊時，武器魔法改為「責罰荊棘」
※僅限能使用的武器類別</v>
      </c>
      <c r="P293">
        <v>7362100</v>
      </c>
      <c r="Q293" t="str">
        <f>IF(VALUE(P293)=0,"",VLOOKUP(VLOOKUP(P293,Tbl_Effect[],3,FALSE),EffectName[],IFERROR(MATCH(UI!$B$1,EffectName[#Headers],0),2),FALSE))</f>
        <v>出擊時，武器魔法改為「責罰荊棘」
※僅限能使用的武器類別</v>
      </c>
      <c r="R293" t="str">
        <f t="shared" si="31"/>
        <v>6631000-透過潛在能力，能比較容易找到斧</v>
      </c>
      <c r="S293">
        <v>6631000</v>
      </c>
      <c r="T293" t="str">
        <f>IF(VALUE(S293)=0,"",VLOOKUP(VLOOKUP(S293,Tbl_Effect[],3,FALSE),EffectName[],IFERROR(MATCH(UI!$B$1,EffectName[#Headers],0),2),FALSE))</f>
        <v>透過潛在能力，能比較容易找到斧</v>
      </c>
      <c r="U293" t="str">
        <f t="shared" si="32"/>
        <v/>
      </c>
      <c r="V293">
        <v>0</v>
      </c>
      <c r="W293" t="str">
        <f>IF(V293&lt;&gt;0,VLOOKUP(VLOOKUP(V293,Tbl_Effect[],3,FALSE),EffectName[],IFERROR(MATCH(UI!$B$1,EffectName[#Headers],0),2),FALSE),"")</f>
        <v/>
      </c>
      <c r="X293" t="str">
        <f t="shared" si="33"/>
        <v/>
      </c>
      <c r="Y293">
        <v>0</v>
      </c>
      <c r="Z293" t="str">
        <f>IF(Y293&lt;&gt;0,VLOOKUP(VLOOKUP(Y293,Tbl_Effect[],3,FALSE),EffectName[],IFERROR(MATCH(UI!$B$1,EffectName[#Headers],0),2),FALSE),"")</f>
        <v/>
      </c>
      <c r="AA293" t="str">
        <f t="shared" si="34"/>
        <v/>
      </c>
      <c r="AB293">
        <v>0</v>
      </c>
      <c r="AC293" t="str">
        <f>IF(AB293&lt;&gt;0,VLOOKUP(VLOOKUP(AB293,Tbl_Effect[],3,FALSE),EffectName[],IFERROR(MATCH(UI!$B$1,EffectName[#Headers],0),2),FALSE),"")</f>
        <v/>
      </c>
      <c r="AE293">
        <v>7360900</v>
      </c>
      <c r="AF293">
        <v>7362100</v>
      </c>
      <c r="AG293">
        <v>6631000</v>
      </c>
    </row>
    <row r="294" spans="8:33" x14ac:dyDescent="0.4">
      <c r="H294" t="str">
        <f t="shared" si="28"/>
        <v>1000201-端正的光耀情景 (黃)</v>
      </c>
      <c r="I294">
        <v>1000201</v>
      </c>
      <c r="J294" t="str">
        <f>_xlfn.IFNA(IF(I294&lt;&gt;0,VLOOKUP(VLOOKUP(I294,Tbl_Equip[],2,FALSE),Tbl_Color[],IFERROR(MATCH(UI!$B$1,Tbl_Color[#Headers],0),2),FALSE),""),"Unset")</f>
        <v>黃</v>
      </c>
      <c r="K294" t="str">
        <f>_xlfn.IFNA(IF(I294&lt;&gt;0,VLOOKUP(I294,ItemText[],IFERROR(MATCH(UI!$B$1,ItemText[#Headers],0),2),FALSE),""),"Unset")</f>
        <v>端正的光耀情景</v>
      </c>
      <c r="L294" t="str">
        <f t="shared" si="29"/>
        <v>7361200-出擊時，武器魔法改為「黑夜魔礫」
※僅限能使用的武器類別</v>
      </c>
      <c r="M294">
        <v>7361200</v>
      </c>
      <c r="N294" t="str">
        <f>IF(VALUE(M294)=0,"",VLOOKUP(VLOOKUP(M294,Tbl_Effect[],3,FALSE),EffectName[],IFERROR(MATCH(UI!$B$1,EffectName[#Headers],0),2),FALSE))</f>
        <v>出擊時，武器魔法改為「黑夜魔礫」
※僅限能使用的武器類別</v>
      </c>
      <c r="O294" t="str">
        <f t="shared" si="30"/>
        <v>7370300-出擊時，武器禱告改為「黃金之怒」
※僅限能使用的武器類別</v>
      </c>
      <c r="P294">
        <v>7370300</v>
      </c>
      <c r="Q294" t="str">
        <f>IF(VALUE(P294)=0,"",VLOOKUP(VLOOKUP(P294,Tbl_Effect[],3,FALSE),EffectName[],IFERROR(MATCH(UI!$B$1,EffectName[#Headers],0),2),FALSE))</f>
        <v>出擊時，武器禱告改為「黃金之怒」
※僅限能使用的武器類別</v>
      </c>
      <c r="R294" t="str">
        <f t="shared" si="31"/>
        <v>6631100-透過潛在能力，能比較容易找到大斧</v>
      </c>
      <c r="S294">
        <v>6631100</v>
      </c>
      <c r="T294" t="str">
        <f>IF(VALUE(S294)=0,"",VLOOKUP(VLOOKUP(S294,Tbl_Effect[],3,FALSE),EffectName[],IFERROR(MATCH(UI!$B$1,EffectName[#Headers],0),2),FALSE))</f>
        <v>透過潛在能力，能比較容易找到大斧</v>
      </c>
      <c r="U294" t="str">
        <f t="shared" si="32"/>
        <v/>
      </c>
      <c r="V294">
        <v>0</v>
      </c>
      <c r="W294" t="str">
        <f>IF(V294&lt;&gt;0,VLOOKUP(VLOOKUP(V294,Tbl_Effect[],3,FALSE),EffectName[],IFERROR(MATCH(UI!$B$1,EffectName[#Headers],0),2),FALSE),"")</f>
        <v/>
      </c>
      <c r="X294" t="str">
        <f t="shared" si="33"/>
        <v/>
      </c>
      <c r="Y294">
        <v>0</v>
      </c>
      <c r="Z294" t="str">
        <f>IF(Y294&lt;&gt;0,VLOOKUP(VLOOKUP(Y294,Tbl_Effect[],3,FALSE),EffectName[],IFERROR(MATCH(UI!$B$1,EffectName[#Headers],0),2),FALSE),"")</f>
        <v/>
      </c>
      <c r="AA294" t="str">
        <f t="shared" si="34"/>
        <v/>
      </c>
      <c r="AB294">
        <v>0</v>
      </c>
      <c r="AC294" t="str">
        <f>IF(AB294&lt;&gt;0,VLOOKUP(VLOOKUP(AB294,Tbl_Effect[],3,FALSE),EffectName[],IFERROR(MATCH(UI!$B$1,EffectName[#Headers],0),2),FALSE),"")</f>
        <v/>
      </c>
      <c r="AE294">
        <v>7361200</v>
      </c>
      <c r="AF294">
        <v>7370300</v>
      </c>
      <c r="AG294">
        <v>6631100</v>
      </c>
    </row>
    <row r="295" spans="8:33" x14ac:dyDescent="0.4">
      <c r="H295" t="str">
        <f t="shared" si="28"/>
        <v>1000202-遼闊的光耀情景 (黃)</v>
      </c>
      <c r="I295">
        <v>1000202</v>
      </c>
      <c r="J295" t="str">
        <f>_xlfn.IFNA(IF(I295&lt;&gt;0,VLOOKUP(VLOOKUP(I295,Tbl_Equip[],2,FALSE),Tbl_Color[],IFERROR(MATCH(UI!$B$1,Tbl_Color[#Headers],0),2),FALSE),""),"Unset")</f>
        <v>黃</v>
      </c>
      <c r="K295" t="str">
        <f>_xlfn.IFNA(IF(I295&lt;&gt;0,VLOOKUP(I295,ItemText[],IFERROR(MATCH(UI!$B$1,ItemText[#Headers],0),2),FALSE),""),"Unset")</f>
        <v>遼闊的光耀情景</v>
      </c>
      <c r="L295" t="str">
        <f t="shared" si="29"/>
        <v>7361300-出擊時，武器魔法改為「熔岩球」
※僅限能使用的武器類別</v>
      </c>
      <c r="M295">
        <v>7361300</v>
      </c>
      <c r="N295" t="str">
        <f>IF(VALUE(M295)=0,"",VLOOKUP(VLOOKUP(M295,Tbl_Effect[],3,FALSE),EffectName[],IFERROR(MATCH(UI!$B$1,EffectName[#Headers],0),2),FALSE))</f>
        <v>出擊時，武器魔法改為「熔岩球」
※僅限能使用的武器類別</v>
      </c>
      <c r="O295" t="str">
        <f t="shared" si="30"/>
        <v>7370400-出擊時，武器禱告改為「雷電槍」
※僅限能使用的武器類別</v>
      </c>
      <c r="P295">
        <v>7370400</v>
      </c>
      <c r="Q295" t="str">
        <f>IF(VALUE(P295)=0,"",VLOOKUP(VLOOKUP(P295,Tbl_Effect[],3,FALSE),EffectName[],IFERROR(MATCH(UI!$B$1,EffectName[#Headers],0),2),FALSE))</f>
        <v>出擊時，武器禱告改為「雷電槍」
※僅限能使用的武器類別</v>
      </c>
      <c r="R295" t="str">
        <f t="shared" si="31"/>
        <v>6631200-透過潛在能力，能比較容易找到槌</v>
      </c>
      <c r="S295">
        <v>6631200</v>
      </c>
      <c r="T295" t="str">
        <f>IF(VALUE(S295)=0,"",VLOOKUP(VLOOKUP(S295,Tbl_Effect[],3,FALSE),EffectName[],IFERROR(MATCH(UI!$B$1,EffectName[#Headers],0),2),FALSE))</f>
        <v>透過潛在能力，能比較容易找到槌</v>
      </c>
      <c r="U295" t="str">
        <f t="shared" si="32"/>
        <v/>
      </c>
      <c r="V295">
        <v>0</v>
      </c>
      <c r="W295" t="str">
        <f>IF(V295&lt;&gt;0,VLOOKUP(VLOOKUP(V295,Tbl_Effect[],3,FALSE),EffectName[],IFERROR(MATCH(UI!$B$1,EffectName[#Headers],0),2),FALSE),"")</f>
        <v/>
      </c>
      <c r="X295" t="str">
        <f t="shared" si="33"/>
        <v/>
      </c>
      <c r="Y295">
        <v>0</v>
      </c>
      <c r="Z295" t="str">
        <f>IF(Y295&lt;&gt;0,VLOOKUP(VLOOKUP(Y295,Tbl_Effect[],3,FALSE),EffectName[],IFERROR(MATCH(UI!$B$1,EffectName[#Headers],0),2),FALSE),"")</f>
        <v/>
      </c>
      <c r="AA295" t="str">
        <f t="shared" si="34"/>
        <v/>
      </c>
      <c r="AB295">
        <v>0</v>
      </c>
      <c r="AC295" t="str">
        <f>IF(AB295&lt;&gt;0,VLOOKUP(VLOOKUP(AB295,Tbl_Effect[],3,FALSE),EffectName[],IFERROR(MATCH(UI!$B$1,EffectName[#Headers],0),2),FALSE),"")</f>
        <v/>
      </c>
      <c r="AE295">
        <v>7361300</v>
      </c>
      <c r="AF295">
        <v>7370400</v>
      </c>
      <c r="AG295">
        <v>6631200</v>
      </c>
    </row>
    <row r="296" spans="8:33" x14ac:dyDescent="0.4">
      <c r="H296" t="str">
        <f t="shared" si="28"/>
        <v>1000210-細膩的光耀情景 (黃)</v>
      </c>
      <c r="I296">
        <v>1000210</v>
      </c>
      <c r="J296" t="str">
        <f>_xlfn.IFNA(IF(I296&lt;&gt;0,VLOOKUP(VLOOKUP(I296,Tbl_Equip[],2,FALSE),Tbl_Color[],IFERROR(MATCH(UI!$B$1,Tbl_Color[#Headers],0),2),FALSE),""),"Unset")</f>
        <v>黃</v>
      </c>
      <c r="K296" t="str">
        <f>_xlfn.IFNA(IF(I296&lt;&gt;0,VLOOKUP(I296,ItemText[],IFERROR(MATCH(UI!$B$1,ItemText[#Headers],0),2),FALSE),""),"Unset")</f>
        <v>細膩的光耀情景</v>
      </c>
      <c r="L296" t="str">
        <f t="shared" si="29"/>
        <v>7362100-出擊時，武器魔法改為「責罰荊棘」
※僅限能使用的武器類別</v>
      </c>
      <c r="M296">
        <v>7362100</v>
      </c>
      <c r="N296" t="str">
        <f>IF(VALUE(M296)=0,"",VLOOKUP(VLOOKUP(M296,Tbl_Effect[],3,FALSE),EffectName[],IFERROR(MATCH(UI!$B$1,EffectName[#Headers],0),2),FALSE))</f>
        <v>出擊時，武器魔法改為「責罰荊棘」
※僅限能使用的武器類別</v>
      </c>
      <c r="O296" t="str">
        <f t="shared" si="30"/>
        <v>7370600-出擊時，武器禱告改為「火焰啊！」
※僅限能使用的武器類別</v>
      </c>
      <c r="P296">
        <v>7370600</v>
      </c>
      <c r="Q296" t="str">
        <f>IF(VALUE(P296)=0,"",VLOOKUP(VLOOKUP(P296,Tbl_Effect[],3,FALSE),EffectName[],IFERROR(MATCH(UI!$B$1,EffectName[#Headers],0),2),FALSE))</f>
        <v>出擊時，武器禱告改為「火焰啊！」
※僅限能使用的武器類別</v>
      </c>
      <c r="R296" t="str">
        <f t="shared" si="31"/>
        <v>6631300-透過潛在能力，能比較容易找到大槌</v>
      </c>
      <c r="S296">
        <v>6631300</v>
      </c>
      <c r="T296" t="str">
        <f>IF(VALUE(S296)=0,"",VLOOKUP(VLOOKUP(S296,Tbl_Effect[],3,FALSE),EffectName[],IFERROR(MATCH(UI!$B$1,EffectName[#Headers],0),2),FALSE))</f>
        <v>透過潛在能力，能比較容易找到大槌</v>
      </c>
      <c r="U296" t="str">
        <f t="shared" si="32"/>
        <v/>
      </c>
      <c r="V296">
        <v>0</v>
      </c>
      <c r="W296" t="str">
        <f>IF(V296&lt;&gt;0,VLOOKUP(VLOOKUP(V296,Tbl_Effect[],3,FALSE),EffectName[],IFERROR(MATCH(UI!$B$1,EffectName[#Headers],0),2),FALSE),"")</f>
        <v/>
      </c>
      <c r="X296" t="str">
        <f t="shared" si="33"/>
        <v/>
      </c>
      <c r="Y296">
        <v>0</v>
      </c>
      <c r="Z296" t="str">
        <f>IF(Y296&lt;&gt;0,VLOOKUP(VLOOKUP(Y296,Tbl_Effect[],3,FALSE),EffectName[],IFERROR(MATCH(UI!$B$1,EffectName[#Headers],0),2),FALSE),"")</f>
        <v/>
      </c>
      <c r="AA296" t="str">
        <f t="shared" si="34"/>
        <v/>
      </c>
      <c r="AB296">
        <v>0</v>
      </c>
      <c r="AC296" t="str">
        <f>IF(AB296&lt;&gt;0,VLOOKUP(VLOOKUP(AB296,Tbl_Effect[],3,FALSE),EffectName[],IFERROR(MATCH(UI!$B$1,EffectName[#Headers],0),2),FALSE),"")</f>
        <v/>
      </c>
      <c r="AE296">
        <v>7362100</v>
      </c>
      <c r="AF296">
        <v>7370600</v>
      </c>
      <c r="AG296">
        <v>6631300</v>
      </c>
    </row>
    <row r="297" spans="8:33" x14ac:dyDescent="0.4">
      <c r="H297" t="str">
        <f t="shared" si="28"/>
        <v>1000211-端正的光耀情景 (黃)</v>
      </c>
      <c r="I297">
        <v>1000211</v>
      </c>
      <c r="J297" t="str">
        <f>_xlfn.IFNA(IF(I297&lt;&gt;0,VLOOKUP(VLOOKUP(I297,Tbl_Equip[],2,FALSE),Tbl_Color[],IFERROR(MATCH(UI!$B$1,Tbl_Color[#Headers],0),2),FALSE),""),"Unset")</f>
        <v>黃</v>
      </c>
      <c r="K297" t="str">
        <f>_xlfn.IFNA(IF(I297&lt;&gt;0,VLOOKUP(I297,ItemText[],IFERROR(MATCH(UI!$B$1,ItemText[#Headers],0),2),FALSE),""),"Unset")</f>
        <v>端正的光耀情景</v>
      </c>
      <c r="L297" t="str">
        <f t="shared" si="29"/>
        <v>7370300-出擊時，武器禱告改為「黃金之怒」
※僅限能使用的武器類別</v>
      </c>
      <c r="M297">
        <v>7370300</v>
      </c>
      <c r="N297" t="str">
        <f>IF(VALUE(M297)=0,"",VLOOKUP(VLOOKUP(M297,Tbl_Effect[],3,FALSE),EffectName[],IFERROR(MATCH(UI!$B$1,EffectName[#Headers],0),2),FALSE))</f>
        <v>出擊時，武器禱告改為「黃金之怒」
※僅限能使用的武器類別</v>
      </c>
      <c r="O297" t="str">
        <f t="shared" si="30"/>
        <v>7370900-出擊時，武器禱告改為「獸爪」
※僅限能使用的武器類別</v>
      </c>
      <c r="P297">
        <v>7370900</v>
      </c>
      <c r="Q297" t="str">
        <f>IF(VALUE(P297)=0,"",VLOOKUP(VLOOKUP(P297,Tbl_Effect[],3,FALSE),EffectName[],IFERROR(MATCH(UI!$B$1,EffectName[#Headers],0),2),FALSE))</f>
        <v>出擊時，武器禱告改為「獸爪」
※僅限能使用的武器類別</v>
      </c>
      <c r="R297" t="str">
        <f t="shared" si="31"/>
        <v>6631400-透過潛在能力，能比較容易找到連枷</v>
      </c>
      <c r="S297">
        <v>6631400</v>
      </c>
      <c r="T297" t="str">
        <f>IF(VALUE(S297)=0,"",VLOOKUP(VLOOKUP(S297,Tbl_Effect[],3,FALSE),EffectName[],IFERROR(MATCH(UI!$B$1,EffectName[#Headers],0),2),FALSE))</f>
        <v>透過潛在能力，能比較容易找到連枷</v>
      </c>
      <c r="U297" t="str">
        <f t="shared" si="32"/>
        <v/>
      </c>
      <c r="V297">
        <v>0</v>
      </c>
      <c r="W297" t="str">
        <f>IF(V297&lt;&gt;0,VLOOKUP(VLOOKUP(V297,Tbl_Effect[],3,FALSE),EffectName[],IFERROR(MATCH(UI!$B$1,EffectName[#Headers],0),2),FALSE),"")</f>
        <v/>
      </c>
      <c r="X297" t="str">
        <f t="shared" si="33"/>
        <v/>
      </c>
      <c r="Y297">
        <v>0</v>
      </c>
      <c r="Z297" t="str">
        <f>IF(Y297&lt;&gt;0,VLOOKUP(VLOOKUP(Y297,Tbl_Effect[],3,FALSE),EffectName[],IFERROR(MATCH(UI!$B$1,EffectName[#Headers],0),2),FALSE),"")</f>
        <v/>
      </c>
      <c r="AA297" t="str">
        <f t="shared" si="34"/>
        <v/>
      </c>
      <c r="AB297">
        <v>0</v>
      </c>
      <c r="AC297" t="str">
        <f>IF(AB297&lt;&gt;0,VLOOKUP(VLOOKUP(AB297,Tbl_Effect[],3,FALSE),EffectName[],IFERROR(MATCH(UI!$B$1,EffectName[#Headers],0),2),FALSE),"")</f>
        <v/>
      </c>
      <c r="AE297">
        <v>7370300</v>
      </c>
      <c r="AF297">
        <v>7370900</v>
      </c>
      <c r="AG297">
        <v>6631400</v>
      </c>
    </row>
    <row r="298" spans="8:33" x14ac:dyDescent="0.4">
      <c r="H298" t="str">
        <f t="shared" si="28"/>
        <v>1000212-遼闊的光耀情景 (黃)</v>
      </c>
      <c r="I298">
        <v>1000212</v>
      </c>
      <c r="J298" t="str">
        <f>_xlfn.IFNA(IF(I298&lt;&gt;0,VLOOKUP(VLOOKUP(I298,Tbl_Equip[],2,FALSE),Tbl_Color[],IFERROR(MATCH(UI!$B$1,Tbl_Color[#Headers],0),2),FALSE),""),"Unset")</f>
        <v>黃</v>
      </c>
      <c r="K298" t="str">
        <f>_xlfn.IFNA(IF(I298&lt;&gt;0,VLOOKUP(I298,ItemText[],IFERROR(MATCH(UI!$B$1,ItemText[#Headers],0),2),FALSE),""),"Unset")</f>
        <v>遼闊的光耀情景</v>
      </c>
      <c r="L298" t="str">
        <f t="shared" si="29"/>
        <v>7370400-出擊時，武器禱告改為「雷電槍」
※僅限能使用的武器類別</v>
      </c>
      <c r="M298">
        <v>7370400</v>
      </c>
      <c r="N298" t="str">
        <f>IF(VALUE(M298)=0,"",VLOOKUP(VLOOKUP(M298,Tbl_Effect[],3,FALSE),EffectName[],IFERROR(MATCH(UI!$B$1,EffectName[#Headers],0),2),FALSE))</f>
        <v>出擊時，武器禱告改為「雷電槍」
※僅限能使用的武器類別</v>
      </c>
      <c r="O298" t="str">
        <f t="shared" si="30"/>
        <v>7371500-出擊時，武器禱告改為「龍焰」
※僅限能使用的武器類別</v>
      </c>
      <c r="P298">
        <v>7371500</v>
      </c>
      <c r="Q298" t="str">
        <f>IF(VALUE(P298)=0,"",VLOOKUP(VLOOKUP(P298,Tbl_Effect[],3,FALSE),EffectName[],IFERROR(MATCH(UI!$B$1,EffectName[#Headers],0),2),FALSE))</f>
        <v>出擊時，武器禱告改為「龍焰」
※僅限能使用的武器類別</v>
      </c>
      <c r="R298" t="str">
        <f t="shared" si="31"/>
        <v>6631500-透過潛在能力，能比較容易找到矛</v>
      </c>
      <c r="S298">
        <v>6631500</v>
      </c>
      <c r="T298" t="str">
        <f>IF(VALUE(S298)=0,"",VLOOKUP(VLOOKUP(S298,Tbl_Effect[],3,FALSE),EffectName[],IFERROR(MATCH(UI!$B$1,EffectName[#Headers],0),2),FALSE))</f>
        <v>透過潛在能力，能比較容易找到矛</v>
      </c>
      <c r="U298" t="str">
        <f t="shared" si="32"/>
        <v/>
      </c>
      <c r="V298">
        <v>0</v>
      </c>
      <c r="W298" t="str">
        <f>IF(V298&lt;&gt;0,VLOOKUP(VLOOKUP(V298,Tbl_Effect[],3,FALSE),EffectName[],IFERROR(MATCH(UI!$B$1,EffectName[#Headers],0),2),FALSE),"")</f>
        <v/>
      </c>
      <c r="X298" t="str">
        <f t="shared" si="33"/>
        <v/>
      </c>
      <c r="Y298">
        <v>0</v>
      </c>
      <c r="Z298" t="str">
        <f>IF(Y298&lt;&gt;0,VLOOKUP(VLOOKUP(Y298,Tbl_Effect[],3,FALSE),EffectName[],IFERROR(MATCH(UI!$B$1,EffectName[#Headers],0),2),FALSE),"")</f>
        <v/>
      </c>
      <c r="AA298" t="str">
        <f t="shared" si="34"/>
        <v/>
      </c>
      <c r="AB298">
        <v>0</v>
      </c>
      <c r="AC298" t="str">
        <f>IF(AB298&lt;&gt;0,VLOOKUP(VLOOKUP(AB298,Tbl_Effect[],3,FALSE),EffectName[],IFERROR(MATCH(UI!$B$1,EffectName[#Headers],0),2),FALSE),"")</f>
        <v/>
      </c>
      <c r="AE298">
        <v>7370400</v>
      </c>
      <c r="AF298">
        <v>7371500</v>
      </c>
      <c r="AG298">
        <v>6631500</v>
      </c>
    </row>
    <row r="299" spans="8:33" x14ac:dyDescent="0.4">
      <c r="H299" t="str">
        <f t="shared" si="28"/>
        <v>1000220-細膩的光耀情景 (黃)</v>
      </c>
      <c r="I299">
        <v>1000220</v>
      </c>
      <c r="J299" t="str">
        <f>_xlfn.IFNA(IF(I299&lt;&gt;0,VLOOKUP(VLOOKUP(I299,Tbl_Equip[],2,FALSE),Tbl_Color[],IFERROR(MATCH(UI!$B$1,Tbl_Color[#Headers],0),2),FALSE),""),"Unset")</f>
        <v>黃</v>
      </c>
      <c r="K299" t="str">
        <f>_xlfn.IFNA(IF(I299&lt;&gt;0,VLOOKUP(I299,ItemText[],IFERROR(MATCH(UI!$B$1,ItemText[#Headers],0),2),FALSE),""),"Unset")</f>
        <v>細膩的光耀情景</v>
      </c>
      <c r="L299" t="str">
        <f t="shared" si="29"/>
        <v>7370600-出擊時，武器禱告改為「火焰啊！」
※僅限能使用的武器類別</v>
      </c>
      <c r="M299">
        <v>7370600</v>
      </c>
      <c r="N299" t="str">
        <f>IF(VALUE(M299)=0,"",VLOOKUP(VLOOKUP(M299,Tbl_Effect[],3,FALSE),EffectName[],IFERROR(MATCH(UI!$B$1,EffectName[#Headers],0),2),FALSE))</f>
        <v>出擊時，武器禱告改為「火焰啊！」
※僅限能使用的武器類別</v>
      </c>
      <c r="O299" t="str">
        <f t="shared" si="30"/>
        <v>7036200-【學者】減緩技藝進行率的下降幅度</v>
      </c>
      <c r="P299">
        <v>7036200</v>
      </c>
      <c r="Q299" t="str">
        <f>IF(VALUE(P299)=0,"",VLOOKUP(VLOOKUP(P299,Tbl_Effect[],3,FALSE),EffectName[],IFERROR(MATCH(UI!$B$1,EffectName[#Headers],0),2),FALSE))</f>
        <v>【學者】減緩技藝進行率的下降幅度</v>
      </c>
      <c r="R299" t="str">
        <f t="shared" si="31"/>
        <v>6631600-透過潛在能力，能比較容易找到大矛</v>
      </c>
      <c r="S299">
        <v>6631600</v>
      </c>
      <c r="T299" t="str">
        <f>IF(VALUE(S299)=0,"",VLOOKUP(VLOOKUP(S299,Tbl_Effect[],3,FALSE),EffectName[],IFERROR(MATCH(UI!$B$1,EffectName[#Headers],0),2),FALSE))</f>
        <v>透過潛在能力，能比較容易找到大矛</v>
      </c>
      <c r="U299" t="str">
        <f t="shared" si="32"/>
        <v/>
      </c>
      <c r="V299">
        <v>0</v>
      </c>
      <c r="W299" t="str">
        <f>IF(V299&lt;&gt;0,VLOOKUP(VLOOKUP(V299,Tbl_Effect[],3,FALSE),EffectName[],IFERROR(MATCH(UI!$B$1,EffectName[#Headers],0),2),FALSE),"")</f>
        <v/>
      </c>
      <c r="X299" t="str">
        <f t="shared" si="33"/>
        <v/>
      </c>
      <c r="Y299">
        <v>0</v>
      </c>
      <c r="Z299" t="str">
        <f>IF(Y299&lt;&gt;0,VLOOKUP(VLOOKUP(Y299,Tbl_Effect[],3,FALSE),EffectName[],IFERROR(MATCH(UI!$B$1,EffectName[#Headers],0),2),FALSE),"")</f>
        <v/>
      </c>
      <c r="AA299" t="str">
        <f t="shared" si="34"/>
        <v/>
      </c>
      <c r="AB299">
        <v>0</v>
      </c>
      <c r="AC299" t="str">
        <f>IF(AB299&lt;&gt;0,VLOOKUP(VLOOKUP(AB299,Tbl_Effect[],3,FALSE),EffectName[],IFERROR(MATCH(UI!$B$1,EffectName[#Headers],0),2),FALSE),"")</f>
        <v/>
      </c>
      <c r="AE299">
        <v>7370600</v>
      </c>
      <c r="AF299">
        <v>7036200</v>
      </c>
      <c r="AG299">
        <v>6631600</v>
      </c>
    </row>
    <row r="300" spans="8:33" x14ac:dyDescent="0.4">
      <c r="H300" t="str">
        <f t="shared" si="28"/>
        <v>1000221-端正的光耀情景 (黃)</v>
      </c>
      <c r="I300">
        <v>1000221</v>
      </c>
      <c r="J300" t="str">
        <f>_xlfn.IFNA(IF(I300&lt;&gt;0,VLOOKUP(VLOOKUP(I300,Tbl_Equip[],2,FALSE),Tbl_Color[],IFERROR(MATCH(UI!$B$1,Tbl_Color[#Headers],0),2),FALSE),""),"Unset")</f>
        <v>黃</v>
      </c>
      <c r="K300" t="str">
        <f>_xlfn.IFNA(IF(I300&lt;&gt;0,VLOOKUP(I300,ItemText[],IFERROR(MATCH(UI!$B$1,ItemText[#Headers],0),2),FALSE),""),"Unset")</f>
        <v>端正的光耀情景</v>
      </c>
      <c r="L300" t="str">
        <f t="shared" si="29"/>
        <v>7370900-出擊時，武器禱告改為「獸爪」
※僅限能使用的武器類別</v>
      </c>
      <c r="M300">
        <v>7370900</v>
      </c>
      <c r="N300" t="str">
        <f>IF(VALUE(M300)=0,"",VLOOKUP(VLOOKUP(M300,Tbl_Effect[],3,FALSE),EffectName[],IFERROR(MATCH(UI!$B$1,EffectName[#Headers],0),2),FALSE))</f>
        <v>出擊時，武器禱告改為「獸爪」
※僅限能使用的武器類別</v>
      </c>
      <c r="O300" t="str">
        <f t="shared" si="30"/>
        <v>7036300-【學者】使用技藝時，提升目標我方人物的攻擊力</v>
      </c>
      <c r="P300">
        <v>7036300</v>
      </c>
      <c r="Q300" t="str">
        <f>IF(VALUE(P300)=0,"",VLOOKUP(VLOOKUP(P300,Tbl_Effect[],3,FALSE),EffectName[],IFERROR(MATCH(UI!$B$1,EffectName[#Headers],0),2),FALSE))</f>
        <v>【學者】使用技藝時，提升目標我方人物的攻擊力</v>
      </c>
      <c r="R300" t="str">
        <f t="shared" si="31"/>
        <v>6631700-透過潛在能力，能比較容易找到戟</v>
      </c>
      <c r="S300">
        <v>6631700</v>
      </c>
      <c r="T300" t="str">
        <f>IF(VALUE(S300)=0,"",VLOOKUP(VLOOKUP(S300,Tbl_Effect[],3,FALSE),EffectName[],IFERROR(MATCH(UI!$B$1,EffectName[#Headers],0),2),FALSE))</f>
        <v>透過潛在能力，能比較容易找到戟</v>
      </c>
      <c r="U300" t="str">
        <f t="shared" si="32"/>
        <v/>
      </c>
      <c r="V300">
        <v>0</v>
      </c>
      <c r="W300" t="str">
        <f>IF(V300&lt;&gt;0,VLOOKUP(VLOOKUP(V300,Tbl_Effect[],3,FALSE),EffectName[],IFERROR(MATCH(UI!$B$1,EffectName[#Headers],0),2),FALSE),"")</f>
        <v/>
      </c>
      <c r="X300" t="str">
        <f t="shared" si="33"/>
        <v/>
      </c>
      <c r="Y300">
        <v>0</v>
      </c>
      <c r="Z300" t="str">
        <f>IF(Y300&lt;&gt;0,VLOOKUP(VLOOKUP(Y300,Tbl_Effect[],3,FALSE),EffectName[],IFERROR(MATCH(UI!$B$1,EffectName[#Headers],0),2),FALSE),"")</f>
        <v/>
      </c>
      <c r="AA300" t="str">
        <f t="shared" si="34"/>
        <v/>
      </c>
      <c r="AB300">
        <v>0</v>
      </c>
      <c r="AC300" t="str">
        <f>IF(AB300&lt;&gt;0,VLOOKUP(VLOOKUP(AB300,Tbl_Effect[],3,FALSE),EffectName[],IFERROR(MATCH(UI!$B$1,EffectName[#Headers],0),2),FALSE),"")</f>
        <v/>
      </c>
      <c r="AE300">
        <v>7370900</v>
      </c>
      <c r="AF300">
        <v>7036300</v>
      </c>
      <c r="AG300">
        <v>6631700</v>
      </c>
    </row>
    <row r="301" spans="8:33" x14ac:dyDescent="0.4">
      <c r="H301" t="str">
        <f t="shared" si="28"/>
        <v>1000222-遼闊的光耀情景 (黃)</v>
      </c>
      <c r="I301">
        <v>1000222</v>
      </c>
      <c r="J301" t="str">
        <f>_xlfn.IFNA(IF(I301&lt;&gt;0,VLOOKUP(VLOOKUP(I301,Tbl_Equip[],2,FALSE),Tbl_Color[],IFERROR(MATCH(UI!$B$1,Tbl_Color[#Headers],0),2),FALSE),""),"Unset")</f>
        <v>黃</v>
      </c>
      <c r="K301" t="str">
        <f>_xlfn.IFNA(IF(I301&lt;&gt;0,VLOOKUP(I301,ItemText[],IFERROR(MATCH(UI!$B$1,ItemText[#Headers],0),2),FALSE),""),"Unset")</f>
        <v>遼闊的光耀情景</v>
      </c>
      <c r="L301" t="str">
        <f t="shared" si="29"/>
        <v>7371500-出擊時，武器禱告改為「龍焰」
※僅限能使用的武器類別</v>
      </c>
      <c r="M301">
        <v>7371500</v>
      </c>
      <c r="N301" t="str">
        <f>IF(VALUE(M301)=0,"",VLOOKUP(VLOOKUP(M301,Tbl_Effect[],3,FALSE),EffectName[],IFERROR(MATCH(UI!$B$1,EffectName[#Headers],0),2),FALSE))</f>
        <v>出擊時，武器禱告改為「龍焰」
※僅限能使用的武器類別</v>
      </c>
      <c r="O301" t="str">
        <f t="shared" si="30"/>
        <v>7036400-【學者】對上已用絕活連結的敵人，持續給予傷害</v>
      </c>
      <c r="P301">
        <v>7036400</v>
      </c>
      <c r="Q301" t="str">
        <f>IF(VALUE(P301)=0,"",VLOOKUP(VLOOKUP(P301,Tbl_Effect[],3,FALSE),EffectName[],IFERROR(MATCH(UI!$B$1,EffectName[#Headers],0),2),FALSE))</f>
        <v>【學者】對上已用絕活連結的敵人，持續給予傷害</v>
      </c>
      <c r="R301" t="str">
        <f t="shared" si="31"/>
        <v>6631800-透過潛在能力，能比較容易找到鐮刀</v>
      </c>
      <c r="S301">
        <v>6631800</v>
      </c>
      <c r="T301" t="str">
        <f>IF(VALUE(S301)=0,"",VLOOKUP(VLOOKUP(S301,Tbl_Effect[],3,FALSE),EffectName[],IFERROR(MATCH(UI!$B$1,EffectName[#Headers],0),2),FALSE))</f>
        <v>透過潛在能力，能比較容易找到鐮刀</v>
      </c>
      <c r="U301" t="str">
        <f t="shared" si="32"/>
        <v/>
      </c>
      <c r="V301">
        <v>0</v>
      </c>
      <c r="W301" t="str">
        <f>IF(V301&lt;&gt;0,VLOOKUP(VLOOKUP(V301,Tbl_Effect[],3,FALSE),EffectName[],IFERROR(MATCH(UI!$B$1,EffectName[#Headers],0),2),FALSE),"")</f>
        <v/>
      </c>
      <c r="X301" t="str">
        <f t="shared" si="33"/>
        <v/>
      </c>
      <c r="Y301">
        <v>0</v>
      </c>
      <c r="Z301" t="str">
        <f>IF(Y301&lt;&gt;0,VLOOKUP(VLOOKUP(Y301,Tbl_Effect[],3,FALSE),EffectName[],IFERROR(MATCH(UI!$B$1,EffectName[#Headers],0),2),FALSE),"")</f>
        <v/>
      </c>
      <c r="AA301" t="str">
        <f t="shared" si="34"/>
        <v/>
      </c>
      <c r="AB301">
        <v>0</v>
      </c>
      <c r="AC301" t="str">
        <f>IF(AB301&lt;&gt;0,VLOOKUP(VLOOKUP(AB301,Tbl_Effect[],3,FALSE),EffectName[],IFERROR(MATCH(UI!$B$1,EffectName[#Headers],0),2),FALSE),"")</f>
        <v/>
      </c>
      <c r="AE301">
        <v>7371500</v>
      </c>
      <c r="AF301">
        <v>7036400</v>
      </c>
      <c r="AG301">
        <v>6631800</v>
      </c>
    </row>
    <row r="302" spans="8:33" x14ac:dyDescent="0.4">
      <c r="H302" t="str">
        <f t="shared" si="28"/>
        <v>1000300-細膩的幽靜情景 (綠)</v>
      </c>
      <c r="I302">
        <v>1000300</v>
      </c>
      <c r="J302" t="str">
        <f>_xlfn.IFNA(IF(I302&lt;&gt;0,VLOOKUP(VLOOKUP(I302,Tbl_Equip[],2,FALSE),Tbl_Color[],IFERROR(MATCH(UI!$B$1,Tbl_Color[#Headers],0),2),FALSE),""),"Unset")</f>
        <v>綠</v>
      </c>
      <c r="K302" t="str">
        <f>_xlfn.IFNA(IF(I302&lt;&gt;0,VLOOKUP(I302,ItemText[],IFERROR(MATCH(UI!$B$1,ItemText[#Headers],0),2),FALSE),""),"Unset")</f>
        <v>細膩的幽靜情景</v>
      </c>
      <c r="L302" t="str">
        <f t="shared" si="29"/>
        <v>7036200-【學者】減緩技藝進行率的下降幅度</v>
      </c>
      <c r="M302">
        <v>7036200</v>
      </c>
      <c r="N302" t="str">
        <f>IF(VALUE(M302)=0,"",VLOOKUP(VLOOKUP(M302,Tbl_Effect[],3,FALSE),EffectName[],IFERROR(MATCH(UI!$B$1,EffectName[#Headers],0),2),FALSE))</f>
        <v>【學者】減緩技藝進行率的下降幅度</v>
      </c>
      <c r="O302" t="str">
        <f t="shared" si="30"/>
        <v>7036500-【學者】每次使用技藝增加樣本，能獲得盧恩</v>
      </c>
      <c r="P302">
        <v>7036500</v>
      </c>
      <c r="Q302" t="str">
        <f>IF(VALUE(P302)=0,"",VLOOKUP(VLOOKUP(P302,Tbl_Effect[],3,FALSE),EffectName[],IFERROR(MATCH(UI!$B$1,EffectName[#Headers],0),2),FALSE))</f>
        <v>【學者】每次使用技藝增加樣本，能獲得盧恩</v>
      </c>
      <c r="R302" t="str">
        <f t="shared" si="31"/>
        <v>6631900-透過潛在能力，能比較容易找到拳頭</v>
      </c>
      <c r="S302">
        <v>6631900</v>
      </c>
      <c r="T302" t="str">
        <f>IF(VALUE(S302)=0,"",VLOOKUP(VLOOKUP(S302,Tbl_Effect[],3,FALSE),EffectName[],IFERROR(MATCH(UI!$B$1,EffectName[#Headers],0),2),FALSE))</f>
        <v>透過潛在能力，能比較容易找到拳頭</v>
      </c>
      <c r="U302" t="str">
        <f t="shared" si="32"/>
        <v/>
      </c>
      <c r="V302">
        <v>0</v>
      </c>
      <c r="W302" t="str">
        <f>IF(V302&lt;&gt;0,VLOOKUP(VLOOKUP(V302,Tbl_Effect[],3,FALSE),EffectName[],IFERROR(MATCH(UI!$B$1,EffectName[#Headers],0),2),FALSE),"")</f>
        <v/>
      </c>
      <c r="X302" t="str">
        <f t="shared" si="33"/>
        <v/>
      </c>
      <c r="Y302">
        <v>0</v>
      </c>
      <c r="Z302" t="str">
        <f>IF(Y302&lt;&gt;0,VLOOKUP(VLOOKUP(Y302,Tbl_Effect[],3,FALSE),EffectName[],IFERROR(MATCH(UI!$B$1,EffectName[#Headers],0),2),FALSE),"")</f>
        <v/>
      </c>
      <c r="AA302" t="str">
        <f t="shared" si="34"/>
        <v/>
      </c>
      <c r="AB302">
        <v>0</v>
      </c>
      <c r="AC302" t="str">
        <f>IF(AB302&lt;&gt;0,VLOOKUP(VLOOKUP(AB302,Tbl_Effect[],3,FALSE),EffectName[],IFERROR(MATCH(UI!$B$1,EffectName[#Headers],0),2),FALSE),"")</f>
        <v/>
      </c>
      <c r="AE302">
        <v>7036200</v>
      </c>
      <c r="AF302">
        <v>7036500</v>
      </c>
      <c r="AG302">
        <v>6631900</v>
      </c>
    </row>
    <row r="303" spans="8:33" x14ac:dyDescent="0.4">
      <c r="H303" t="str">
        <f t="shared" si="28"/>
        <v>1000301-端正的幽靜情景 (綠)</v>
      </c>
      <c r="I303">
        <v>1000301</v>
      </c>
      <c r="J303" t="str">
        <f>_xlfn.IFNA(IF(I303&lt;&gt;0,VLOOKUP(VLOOKUP(I303,Tbl_Equip[],2,FALSE),Tbl_Color[],IFERROR(MATCH(UI!$B$1,Tbl_Color[#Headers],0),2),FALSE),""),"Unset")</f>
        <v>綠</v>
      </c>
      <c r="K303" t="str">
        <f>_xlfn.IFNA(IF(I303&lt;&gt;0,VLOOKUP(I303,ItemText[],IFERROR(MATCH(UI!$B$1,ItemText[#Headers],0),2),FALSE),""),"Unset")</f>
        <v>端正的幽靜情景</v>
      </c>
      <c r="L303" t="str">
        <f t="shared" si="29"/>
        <v>7036300-【學者】使用技藝時，提升目標我方人物的攻擊力</v>
      </c>
      <c r="M303">
        <v>7036300</v>
      </c>
      <c r="N303" t="str">
        <f>IF(VALUE(M303)=0,"",VLOOKUP(VLOOKUP(M303,Tbl_Effect[],3,FALSE),EffectName[],IFERROR(MATCH(UI!$B$1,EffectName[#Headers],0),2),FALSE))</f>
        <v>【學者】使用技藝時，提升目標我方人物的攻擊力</v>
      </c>
      <c r="O303" t="str">
        <f t="shared" si="30"/>
        <v>7036800-【送葬者】發動絕活時，提升攻擊力</v>
      </c>
      <c r="P303">
        <v>7036800</v>
      </c>
      <c r="Q303" t="str">
        <f>IF(VALUE(P303)=0,"",VLOOKUP(VLOOKUP(P303,Tbl_Effect[],3,FALSE),EffectName[],IFERROR(MATCH(UI!$B$1,EffectName[#Headers],0),2),FALSE))</f>
        <v>【送葬者】發動絕活時，提升攻擊力</v>
      </c>
      <c r="R303" t="str">
        <f t="shared" si="31"/>
        <v>6632000-透過潛在能力，能比較容易找到鉤爪</v>
      </c>
      <c r="S303">
        <v>6632000</v>
      </c>
      <c r="T303" t="str">
        <f>IF(VALUE(S303)=0,"",VLOOKUP(VLOOKUP(S303,Tbl_Effect[],3,FALSE),EffectName[],IFERROR(MATCH(UI!$B$1,EffectName[#Headers],0),2),FALSE))</f>
        <v>透過潛在能力，能比較容易找到鉤爪</v>
      </c>
      <c r="U303" t="str">
        <f t="shared" si="32"/>
        <v/>
      </c>
      <c r="V303">
        <v>0</v>
      </c>
      <c r="W303" t="str">
        <f>IF(V303&lt;&gt;0,VLOOKUP(VLOOKUP(V303,Tbl_Effect[],3,FALSE),EffectName[],IFERROR(MATCH(UI!$B$1,EffectName[#Headers],0),2),FALSE),"")</f>
        <v/>
      </c>
      <c r="X303" t="str">
        <f t="shared" si="33"/>
        <v/>
      </c>
      <c r="Y303">
        <v>0</v>
      </c>
      <c r="Z303" t="str">
        <f>IF(Y303&lt;&gt;0,VLOOKUP(VLOOKUP(Y303,Tbl_Effect[],3,FALSE),EffectName[],IFERROR(MATCH(UI!$B$1,EffectName[#Headers],0),2),FALSE),"")</f>
        <v/>
      </c>
      <c r="AA303" t="str">
        <f t="shared" si="34"/>
        <v/>
      </c>
      <c r="AB303">
        <v>0</v>
      </c>
      <c r="AC303" t="str">
        <f>IF(AB303&lt;&gt;0,VLOOKUP(VLOOKUP(AB303,Tbl_Effect[],3,FALSE),EffectName[],IFERROR(MATCH(UI!$B$1,EffectName[#Headers],0),2),FALSE),"")</f>
        <v/>
      </c>
      <c r="AE303">
        <v>7036300</v>
      </c>
      <c r="AF303">
        <v>7036800</v>
      </c>
      <c r="AG303">
        <v>6632000</v>
      </c>
    </row>
    <row r="304" spans="8:33" x14ac:dyDescent="0.4">
      <c r="H304" t="str">
        <f t="shared" si="28"/>
        <v>1000302-遼闊的幽靜情景 (綠)</v>
      </c>
      <c r="I304">
        <v>1000302</v>
      </c>
      <c r="J304" t="str">
        <f>_xlfn.IFNA(IF(I304&lt;&gt;0,VLOOKUP(VLOOKUP(I304,Tbl_Equip[],2,FALSE),Tbl_Color[],IFERROR(MATCH(UI!$B$1,Tbl_Color[#Headers],0),2),FALSE),""),"Unset")</f>
        <v>綠</v>
      </c>
      <c r="K304" t="str">
        <f>_xlfn.IFNA(IF(I304&lt;&gt;0,VLOOKUP(I304,ItemText[],IFERROR(MATCH(UI!$B$1,ItemText[#Headers],0),2),FALSE),""),"Unset")</f>
        <v>遼闊的幽靜情景</v>
      </c>
      <c r="L304" t="str">
        <f t="shared" si="29"/>
        <v>7036400-【學者】對上已用絕活連結的敵人，持續給予傷害</v>
      </c>
      <c r="M304">
        <v>7036400</v>
      </c>
      <c r="N304" t="str">
        <f>IF(VALUE(M304)=0,"",VLOOKUP(VLOOKUP(M304,Tbl_Effect[],3,FALSE),EffectName[],IFERROR(MATCH(UI!$B$1,EffectName[#Headers],0),2),FALSE))</f>
        <v>【學者】對上已用絕活連結的敵人，持續給予傷害</v>
      </c>
      <c r="O304" t="str">
        <f t="shared" si="30"/>
        <v>7036900-【送葬者】連擊的最後攻擊命中時，提升攻擊力</v>
      </c>
      <c r="P304">
        <v>7036900</v>
      </c>
      <c r="Q304" t="str">
        <f>IF(VALUE(P304)=0,"",VLOOKUP(VLOOKUP(P304,Tbl_Effect[],3,FALSE),EffectName[],IFERROR(MATCH(UI!$B$1,EffectName[#Headers],0),2),FALSE))</f>
        <v>【送葬者】連擊的最後攻擊命中時，提升攻擊力</v>
      </c>
      <c r="R304" t="str">
        <f t="shared" si="31"/>
        <v>6632100-透過潛在能力，能比較容易找到軟鞭</v>
      </c>
      <c r="S304">
        <v>6632100</v>
      </c>
      <c r="T304" t="str">
        <f>IF(VALUE(S304)=0,"",VLOOKUP(VLOOKUP(S304,Tbl_Effect[],3,FALSE),EffectName[],IFERROR(MATCH(UI!$B$1,EffectName[#Headers],0),2),FALSE))</f>
        <v>透過潛在能力，能比較容易找到軟鞭</v>
      </c>
      <c r="U304" t="str">
        <f t="shared" si="32"/>
        <v/>
      </c>
      <c r="V304">
        <v>0</v>
      </c>
      <c r="W304" t="str">
        <f>IF(V304&lt;&gt;0,VLOOKUP(VLOOKUP(V304,Tbl_Effect[],3,FALSE),EffectName[],IFERROR(MATCH(UI!$B$1,EffectName[#Headers],0),2),FALSE),"")</f>
        <v/>
      </c>
      <c r="X304" t="str">
        <f t="shared" si="33"/>
        <v/>
      </c>
      <c r="Y304">
        <v>0</v>
      </c>
      <c r="Z304" t="str">
        <f>IF(Y304&lt;&gt;0,VLOOKUP(VLOOKUP(Y304,Tbl_Effect[],3,FALSE),EffectName[],IFERROR(MATCH(UI!$B$1,EffectName[#Headers],0),2),FALSE),"")</f>
        <v/>
      </c>
      <c r="AA304" t="str">
        <f t="shared" si="34"/>
        <v/>
      </c>
      <c r="AB304">
        <v>0</v>
      </c>
      <c r="AC304" t="str">
        <f>IF(AB304&lt;&gt;0,VLOOKUP(VLOOKUP(AB304,Tbl_Effect[],3,FALSE),EffectName[],IFERROR(MATCH(UI!$B$1,EffectName[#Headers],0),2),FALSE),"")</f>
        <v/>
      </c>
      <c r="AE304">
        <v>7036400</v>
      </c>
      <c r="AF304">
        <v>7036900</v>
      </c>
      <c r="AG304">
        <v>6632100</v>
      </c>
    </row>
    <row r="305" spans="8:33" x14ac:dyDescent="0.4">
      <c r="H305" t="str">
        <f t="shared" si="28"/>
        <v>1000310-細膩的幽靜情景 (綠)</v>
      </c>
      <c r="I305">
        <v>1000310</v>
      </c>
      <c r="J305" t="str">
        <f>_xlfn.IFNA(IF(I305&lt;&gt;0,VLOOKUP(VLOOKUP(I305,Tbl_Equip[],2,FALSE),Tbl_Color[],IFERROR(MATCH(UI!$B$1,Tbl_Color[#Headers],0),2),FALSE),""),"Unset")</f>
        <v>綠</v>
      </c>
      <c r="K305" t="str">
        <f>_xlfn.IFNA(IF(I305&lt;&gt;0,VLOOKUP(I305,ItemText[],IFERROR(MATCH(UI!$B$1,ItemText[#Headers],0),2),FALSE),""),"Unset")</f>
        <v>細膩的幽靜情景</v>
      </c>
      <c r="L305" t="str">
        <f t="shared" si="29"/>
        <v>7036500-【學者】每次使用技藝增加樣本，能獲得盧恩</v>
      </c>
      <c r="M305">
        <v>7036500</v>
      </c>
      <c r="N305" t="str">
        <f>IF(VALUE(M305)=0,"",VLOOKUP(VLOOKUP(M305,Tbl_Effect[],3,FALSE),EffectName[],IFERROR(MATCH(UI!$B$1,EffectName[#Headers],0),2),FALSE))</f>
        <v>【學者】每次使用技藝增加樣本，能獲得盧恩</v>
      </c>
      <c r="O305" t="str">
        <f t="shared" si="30"/>
        <v>7037000-【送葬者】使用禱告將輔助效果附加在自己身上時
提升物理攻擊力</v>
      </c>
      <c r="P305">
        <v>7037000</v>
      </c>
      <c r="Q305" t="str">
        <f>IF(VALUE(P305)=0,"",VLOOKUP(VLOOKUP(P305,Tbl_Effect[],3,FALSE),EffectName[],IFERROR(MATCH(UI!$B$1,EffectName[#Headers],0),2),FALSE))</f>
        <v>【送葬者】使用禱告將輔助效果附加在自己身上時
提升物理攻擊力</v>
      </c>
      <c r="R305" t="str">
        <f t="shared" si="31"/>
        <v>6632200-透過潛在能力，能比較容易找到特大武器</v>
      </c>
      <c r="S305">
        <v>6632200</v>
      </c>
      <c r="T305" t="str">
        <f>IF(VALUE(S305)=0,"",VLOOKUP(VLOOKUP(S305,Tbl_Effect[],3,FALSE),EffectName[],IFERROR(MATCH(UI!$B$1,EffectName[#Headers],0),2),FALSE))</f>
        <v>透過潛在能力，能比較容易找到特大武器</v>
      </c>
      <c r="U305" t="str">
        <f t="shared" si="32"/>
        <v/>
      </c>
      <c r="V305">
        <v>0</v>
      </c>
      <c r="W305" t="str">
        <f>IF(V305&lt;&gt;0,VLOOKUP(VLOOKUP(V305,Tbl_Effect[],3,FALSE),EffectName[],IFERROR(MATCH(UI!$B$1,EffectName[#Headers],0),2),FALSE),"")</f>
        <v/>
      </c>
      <c r="X305" t="str">
        <f t="shared" si="33"/>
        <v/>
      </c>
      <c r="Y305">
        <v>0</v>
      </c>
      <c r="Z305" t="str">
        <f>IF(Y305&lt;&gt;0,VLOOKUP(VLOOKUP(Y305,Tbl_Effect[],3,FALSE),EffectName[],IFERROR(MATCH(UI!$B$1,EffectName[#Headers],0),2),FALSE),"")</f>
        <v/>
      </c>
      <c r="AA305" t="str">
        <f t="shared" si="34"/>
        <v/>
      </c>
      <c r="AB305">
        <v>0</v>
      </c>
      <c r="AC305" t="str">
        <f>IF(AB305&lt;&gt;0,VLOOKUP(VLOOKUP(AB305,Tbl_Effect[],3,FALSE),EffectName[],IFERROR(MATCH(UI!$B$1,EffectName[#Headers],0),2),FALSE),"")</f>
        <v/>
      </c>
      <c r="AE305">
        <v>7036500</v>
      </c>
      <c r="AF305">
        <v>7037000</v>
      </c>
      <c r="AG305">
        <v>6632200</v>
      </c>
    </row>
    <row r="306" spans="8:33" x14ac:dyDescent="0.4">
      <c r="H306" t="str">
        <f t="shared" si="28"/>
        <v>1000311-端正的幽靜情景 (綠)</v>
      </c>
      <c r="I306">
        <v>1000311</v>
      </c>
      <c r="J306" t="str">
        <f>_xlfn.IFNA(IF(I306&lt;&gt;0,VLOOKUP(VLOOKUP(I306,Tbl_Equip[],2,FALSE),Tbl_Color[],IFERROR(MATCH(UI!$B$1,Tbl_Color[#Headers],0),2),FALSE),""),"Unset")</f>
        <v>綠</v>
      </c>
      <c r="K306" t="str">
        <f>_xlfn.IFNA(IF(I306&lt;&gt;0,VLOOKUP(I306,ItemText[],IFERROR(MATCH(UI!$B$1,ItemText[#Headers],0),2),FALSE),""),"Unset")</f>
        <v>端正的幽靜情景</v>
      </c>
      <c r="L306" t="str">
        <f t="shared" si="29"/>
        <v>7036800-【送葬者】發動絕活時，提升攻擊力</v>
      </c>
      <c r="M306">
        <v>7036800</v>
      </c>
      <c r="N306" t="str">
        <f>IF(VALUE(M306)=0,"",VLOOKUP(VLOOKUP(M306,Tbl_Effect[],3,FALSE),EffectName[],IFERROR(MATCH(UI!$B$1,EffectName[#Headers],0),2),FALSE))</f>
        <v>【送葬者】發動絕活時，提升攻擊力</v>
      </c>
      <c r="O306" t="str">
        <f t="shared" si="30"/>
        <v>7037300-【送葬者】發動絕活時，恢復觸碰到的我方人物的ＨＰ</v>
      </c>
      <c r="P306">
        <v>7037300</v>
      </c>
      <c r="Q306" t="str">
        <f>IF(VALUE(P306)=0,"",VLOOKUP(VLOOKUP(P306,Tbl_Effect[],3,FALSE),EffectName[],IFERROR(MATCH(UI!$B$1,EffectName[#Headers],0),2),FALSE))</f>
        <v>【送葬者】發動絕活時，恢復觸碰到的我方人物的ＨＰ</v>
      </c>
      <c r="R306" t="str">
        <f t="shared" si="31"/>
        <v>6632300-透過潛在能力，能比較容易找到弓</v>
      </c>
      <c r="S306">
        <v>6632300</v>
      </c>
      <c r="T306" t="str">
        <f>IF(VALUE(S306)=0,"",VLOOKUP(VLOOKUP(S306,Tbl_Effect[],3,FALSE),EffectName[],IFERROR(MATCH(UI!$B$1,EffectName[#Headers],0),2),FALSE))</f>
        <v>透過潛在能力，能比較容易找到弓</v>
      </c>
      <c r="U306" t="str">
        <f t="shared" si="32"/>
        <v/>
      </c>
      <c r="V306">
        <v>0</v>
      </c>
      <c r="W306" t="str">
        <f>IF(V306&lt;&gt;0,VLOOKUP(VLOOKUP(V306,Tbl_Effect[],3,FALSE),EffectName[],IFERROR(MATCH(UI!$B$1,EffectName[#Headers],0),2),FALSE),"")</f>
        <v/>
      </c>
      <c r="X306" t="str">
        <f t="shared" si="33"/>
        <v/>
      </c>
      <c r="Y306">
        <v>0</v>
      </c>
      <c r="Z306" t="str">
        <f>IF(Y306&lt;&gt;0,VLOOKUP(VLOOKUP(Y306,Tbl_Effect[],3,FALSE),EffectName[],IFERROR(MATCH(UI!$B$1,EffectName[#Headers],0),2),FALSE),"")</f>
        <v/>
      </c>
      <c r="AA306" t="str">
        <f t="shared" si="34"/>
        <v/>
      </c>
      <c r="AB306">
        <v>0</v>
      </c>
      <c r="AC306" t="str">
        <f>IF(AB306&lt;&gt;0,VLOOKUP(VLOOKUP(AB306,Tbl_Effect[],3,FALSE),EffectName[],IFERROR(MATCH(UI!$B$1,EffectName[#Headers],0),2),FALSE),"")</f>
        <v/>
      </c>
      <c r="AE306">
        <v>7036800</v>
      </c>
      <c r="AF306">
        <v>7037300</v>
      </c>
      <c r="AG306">
        <v>6632300</v>
      </c>
    </row>
    <row r="307" spans="8:33" x14ac:dyDescent="0.4">
      <c r="H307" t="str">
        <f t="shared" si="28"/>
        <v>1000312-遼闊的幽靜情景 (綠)</v>
      </c>
      <c r="I307">
        <v>1000312</v>
      </c>
      <c r="J307" t="str">
        <f>_xlfn.IFNA(IF(I307&lt;&gt;0,VLOOKUP(VLOOKUP(I307,Tbl_Equip[],2,FALSE),Tbl_Color[],IFERROR(MATCH(UI!$B$1,Tbl_Color[#Headers],0),2),FALSE),""),"Unset")</f>
        <v>綠</v>
      </c>
      <c r="K307" t="str">
        <f>_xlfn.IFNA(IF(I307&lt;&gt;0,VLOOKUP(I307,ItemText[],IFERROR(MATCH(UI!$B$1,ItemText[#Headers],0),2),FALSE),""),"Unset")</f>
        <v>遼闊的幽靜情景</v>
      </c>
      <c r="L307" t="str">
        <f t="shared" si="29"/>
        <v>7036900-【送葬者】連擊的最後攻擊命中時，提升攻擊力</v>
      </c>
      <c r="M307">
        <v>7036900</v>
      </c>
      <c r="N307" t="str">
        <f>IF(VALUE(M307)=0,"",VLOOKUP(VLOOKUP(M307,Tbl_Effect[],3,FALSE),EffectName[],IFERROR(MATCH(UI!$B$1,EffectName[#Headers],0),2),FALSE))</f>
        <v>【送葬者】連擊的最後攻擊命中時，提升攻擊力</v>
      </c>
      <c r="O307" t="str">
        <f t="shared" si="30"/>
        <v>6630000-透過潛在能力，能比較容易找到短劍</v>
      </c>
      <c r="P307">
        <v>6630000</v>
      </c>
      <c r="Q307" t="str">
        <f>IF(VALUE(P307)=0,"",VLOOKUP(VLOOKUP(P307,Tbl_Effect[],3,FALSE),EffectName[],IFERROR(MATCH(UI!$B$1,EffectName[#Headers],0),2),FALSE))</f>
        <v>透過潛在能力，能比較容易找到短劍</v>
      </c>
      <c r="R307" t="str">
        <f t="shared" si="31"/>
        <v>6632400-透過潛在能力，能比較容易找到大弓</v>
      </c>
      <c r="S307">
        <v>6632400</v>
      </c>
      <c r="T307" t="str">
        <f>IF(VALUE(S307)=0,"",VLOOKUP(VLOOKUP(S307,Tbl_Effect[],3,FALSE),EffectName[],IFERROR(MATCH(UI!$B$1,EffectName[#Headers],0),2),FALSE))</f>
        <v>透過潛在能力，能比較容易找到大弓</v>
      </c>
      <c r="U307" t="str">
        <f t="shared" si="32"/>
        <v/>
      </c>
      <c r="V307">
        <v>0</v>
      </c>
      <c r="W307" t="str">
        <f>IF(V307&lt;&gt;0,VLOOKUP(VLOOKUP(V307,Tbl_Effect[],3,FALSE),EffectName[],IFERROR(MATCH(UI!$B$1,EffectName[#Headers],0),2),FALSE),"")</f>
        <v/>
      </c>
      <c r="X307" t="str">
        <f t="shared" si="33"/>
        <v/>
      </c>
      <c r="Y307">
        <v>0</v>
      </c>
      <c r="Z307" t="str">
        <f>IF(Y307&lt;&gt;0,VLOOKUP(VLOOKUP(Y307,Tbl_Effect[],3,FALSE),EffectName[],IFERROR(MATCH(UI!$B$1,EffectName[#Headers],0),2),FALSE),"")</f>
        <v/>
      </c>
      <c r="AA307" t="str">
        <f t="shared" si="34"/>
        <v/>
      </c>
      <c r="AB307">
        <v>0</v>
      </c>
      <c r="AC307" t="str">
        <f>IF(AB307&lt;&gt;0,VLOOKUP(VLOOKUP(AB307,Tbl_Effect[],3,FALSE),EffectName[],IFERROR(MATCH(UI!$B$1,EffectName[#Headers],0),2),FALSE),"")</f>
        <v/>
      </c>
      <c r="AE307">
        <v>7036900</v>
      </c>
      <c r="AF307">
        <v>6630000</v>
      </c>
      <c r="AG307">
        <v>6632400</v>
      </c>
    </row>
    <row r="308" spans="8:33" x14ac:dyDescent="0.4">
      <c r="H308" t="str">
        <f t="shared" si="28"/>
        <v>1000320-細膩的幽靜情景 (綠)</v>
      </c>
      <c r="I308">
        <v>1000320</v>
      </c>
      <c r="J308" t="str">
        <f>_xlfn.IFNA(IF(I308&lt;&gt;0,VLOOKUP(VLOOKUP(I308,Tbl_Equip[],2,FALSE),Tbl_Color[],IFERROR(MATCH(UI!$B$1,Tbl_Color[#Headers],0),2),FALSE),""),"Unset")</f>
        <v>綠</v>
      </c>
      <c r="K308" t="str">
        <f>_xlfn.IFNA(IF(I308&lt;&gt;0,VLOOKUP(I308,ItemText[],IFERROR(MATCH(UI!$B$1,ItemText[#Headers],0),2),FALSE),""),"Unset")</f>
        <v>細膩的幽靜情景</v>
      </c>
      <c r="L308" t="str">
        <f t="shared" si="29"/>
        <v>7037000-【送葬者】使用禱告將輔助效果附加在自己身上時
提升物理攻擊力</v>
      </c>
      <c r="M308">
        <v>7037000</v>
      </c>
      <c r="N308" t="str">
        <f>IF(VALUE(M308)=0,"",VLOOKUP(VLOOKUP(M308,Tbl_Effect[],3,FALSE),EffectName[],IFERROR(MATCH(UI!$B$1,EffectName[#Headers],0),2),FALSE))</f>
        <v>【送葬者】使用禱告將輔助效果附加在自己身上時
提升物理攻擊力</v>
      </c>
      <c r="O308" t="str">
        <f t="shared" si="30"/>
        <v>6630100-透過潛在能力，能比較容易找到直劍</v>
      </c>
      <c r="P308">
        <v>6630100</v>
      </c>
      <c r="Q308" t="str">
        <f>IF(VALUE(P308)=0,"",VLOOKUP(VLOOKUP(P308,Tbl_Effect[],3,FALSE),EffectName[],IFERROR(MATCH(UI!$B$1,EffectName[#Headers],0),2),FALSE))</f>
        <v>透過潛在能力，能比較容易找到直劍</v>
      </c>
      <c r="R308" t="str">
        <f t="shared" si="31"/>
        <v>6632500-透過潛在能力，能比較容易找到弩</v>
      </c>
      <c r="S308">
        <v>6632500</v>
      </c>
      <c r="T308" t="str">
        <f>IF(VALUE(S308)=0,"",VLOOKUP(VLOOKUP(S308,Tbl_Effect[],3,FALSE),EffectName[],IFERROR(MATCH(UI!$B$1,EffectName[#Headers],0),2),FALSE))</f>
        <v>透過潛在能力，能比較容易找到弩</v>
      </c>
      <c r="U308" t="str">
        <f t="shared" si="32"/>
        <v/>
      </c>
      <c r="V308">
        <v>0</v>
      </c>
      <c r="W308" t="str">
        <f>IF(V308&lt;&gt;0,VLOOKUP(VLOOKUP(V308,Tbl_Effect[],3,FALSE),EffectName[],IFERROR(MATCH(UI!$B$1,EffectName[#Headers],0),2),FALSE),"")</f>
        <v/>
      </c>
      <c r="X308" t="str">
        <f t="shared" si="33"/>
        <v/>
      </c>
      <c r="Y308">
        <v>0</v>
      </c>
      <c r="Z308" t="str">
        <f>IF(Y308&lt;&gt;0,VLOOKUP(VLOOKUP(Y308,Tbl_Effect[],3,FALSE),EffectName[],IFERROR(MATCH(UI!$B$1,EffectName[#Headers],0),2),FALSE),"")</f>
        <v/>
      </c>
      <c r="AA308" t="str">
        <f t="shared" si="34"/>
        <v/>
      </c>
      <c r="AB308">
        <v>0</v>
      </c>
      <c r="AC308" t="str">
        <f>IF(AB308&lt;&gt;0,VLOOKUP(VLOOKUP(AB308,Tbl_Effect[],3,FALSE),EffectName[],IFERROR(MATCH(UI!$B$1,EffectName[#Headers],0),2),FALSE),"")</f>
        <v/>
      </c>
      <c r="AE308">
        <v>7037000</v>
      </c>
      <c r="AF308">
        <v>6630100</v>
      </c>
      <c r="AG308">
        <v>6632500</v>
      </c>
    </row>
    <row r="309" spans="8:33" x14ac:dyDescent="0.4">
      <c r="H309" t="str">
        <f t="shared" si="28"/>
        <v>1000321-端正的幽靜情景 (綠)</v>
      </c>
      <c r="I309">
        <v>1000321</v>
      </c>
      <c r="J309" t="str">
        <f>_xlfn.IFNA(IF(I309&lt;&gt;0,VLOOKUP(VLOOKUP(I309,Tbl_Equip[],2,FALSE),Tbl_Color[],IFERROR(MATCH(UI!$B$1,Tbl_Color[#Headers],0),2),FALSE),""),"Unset")</f>
        <v>綠</v>
      </c>
      <c r="K309" t="str">
        <f>_xlfn.IFNA(IF(I309&lt;&gt;0,VLOOKUP(I309,ItemText[],IFERROR(MATCH(UI!$B$1,ItemText[#Headers],0),2),FALSE),""),"Unset")</f>
        <v>端正的幽靜情景</v>
      </c>
      <c r="L309" t="str">
        <f t="shared" si="29"/>
        <v>7037300-【送葬者】發動絕活時，恢復觸碰到的我方人物的ＨＰ</v>
      </c>
      <c r="M309">
        <v>7037300</v>
      </c>
      <c r="N309" t="str">
        <f>IF(VALUE(M309)=0,"",VLOOKUP(VLOOKUP(M309,Tbl_Effect[],3,FALSE),EffectName[],IFERROR(MATCH(UI!$B$1,EffectName[#Headers],0),2),FALSE))</f>
        <v>【送葬者】發動絕活時，恢復觸碰到的我方人物的ＨＰ</v>
      </c>
      <c r="O309" t="str">
        <f t="shared" si="30"/>
        <v>6630200-透過潛在能力，能比較容易找到大劍</v>
      </c>
      <c r="P309">
        <v>6630200</v>
      </c>
      <c r="Q309" t="str">
        <f>IF(VALUE(P309)=0,"",VLOOKUP(VLOOKUP(P309,Tbl_Effect[],3,FALSE),EffectName[],IFERROR(MATCH(UI!$B$1,EffectName[#Headers],0),2),FALSE))</f>
        <v>透過潛在能力，能比較容易找到大劍</v>
      </c>
      <c r="R309" t="str">
        <f t="shared" si="31"/>
        <v>6632600-透過潛在能力，能比較容易找到弩砲</v>
      </c>
      <c r="S309">
        <v>6632600</v>
      </c>
      <c r="T309" t="str">
        <f>IF(VALUE(S309)=0,"",VLOOKUP(VLOOKUP(S309,Tbl_Effect[],3,FALSE),EffectName[],IFERROR(MATCH(UI!$B$1,EffectName[#Headers],0),2),FALSE))</f>
        <v>透過潛在能力，能比較容易找到弩砲</v>
      </c>
      <c r="U309" t="str">
        <f t="shared" si="32"/>
        <v/>
      </c>
      <c r="V309">
        <v>0</v>
      </c>
      <c r="W309" t="str">
        <f>IF(V309&lt;&gt;0,VLOOKUP(VLOOKUP(V309,Tbl_Effect[],3,FALSE),EffectName[],IFERROR(MATCH(UI!$B$1,EffectName[#Headers],0),2),FALSE),"")</f>
        <v/>
      </c>
      <c r="X309" t="str">
        <f t="shared" si="33"/>
        <v/>
      </c>
      <c r="Y309">
        <v>0</v>
      </c>
      <c r="Z309" t="str">
        <f>IF(Y309&lt;&gt;0,VLOOKUP(VLOOKUP(Y309,Tbl_Effect[],3,FALSE),EffectName[],IFERROR(MATCH(UI!$B$1,EffectName[#Headers],0),2),FALSE),"")</f>
        <v/>
      </c>
      <c r="AA309" t="str">
        <f t="shared" si="34"/>
        <v/>
      </c>
      <c r="AB309">
        <v>0</v>
      </c>
      <c r="AC309" t="str">
        <f>IF(AB309&lt;&gt;0,VLOOKUP(VLOOKUP(AB309,Tbl_Effect[],3,FALSE),EffectName[],IFERROR(MATCH(UI!$B$1,EffectName[#Headers],0),2),FALSE),"")</f>
        <v/>
      </c>
      <c r="AE309">
        <v>7037300</v>
      </c>
      <c r="AF309">
        <v>6630200</v>
      </c>
      <c r="AG309">
        <v>6632600</v>
      </c>
    </row>
    <row r="310" spans="8:33" x14ac:dyDescent="0.4">
      <c r="H310" t="str">
        <f t="shared" si="28"/>
        <v>1000322-遼闊的幽靜情景 (綠)</v>
      </c>
      <c r="I310">
        <v>1000322</v>
      </c>
      <c r="J310" t="str">
        <f>_xlfn.IFNA(IF(I310&lt;&gt;0,VLOOKUP(VLOOKUP(I310,Tbl_Equip[],2,FALSE),Tbl_Color[],IFERROR(MATCH(UI!$B$1,Tbl_Color[#Headers],0),2),FALSE),""),"Unset")</f>
        <v>綠</v>
      </c>
      <c r="K310" t="str">
        <f>_xlfn.IFNA(IF(I310&lt;&gt;0,VLOOKUP(I310,ItemText[],IFERROR(MATCH(UI!$B$1,ItemText[#Headers],0),2),FALSE),""),"Unset")</f>
        <v>遼闊的幽靜情景</v>
      </c>
      <c r="L310" t="str">
        <f t="shared" si="29"/>
        <v>6630000-透過潛在能力，能比較容易找到短劍</v>
      </c>
      <c r="M310">
        <v>6630000</v>
      </c>
      <c r="N310" t="str">
        <f>IF(VALUE(M310)=0,"",VLOOKUP(VLOOKUP(M310,Tbl_Effect[],3,FALSE),EffectName[],IFERROR(MATCH(UI!$B$1,EffectName[#Headers],0),2),FALSE))</f>
        <v>透過潛在能力，能比較容易找到短劍</v>
      </c>
      <c r="O310" t="str">
        <f t="shared" si="30"/>
        <v>6630300-透過潛在能力，能比較容易找到特大劍</v>
      </c>
      <c r="P310">
        <v>6630300</v>
      </c>
      <c r="Q310" t="str">
        <f>IF(VALUE(P310)=0,"",VLOOKUP(VLOOKUP(P310,Tbl_Effect[],3,FALSE),EffectName[],IFERROR(MATCH(UI!$B$1,EffectName[#Headers],0),2),FALSE))</f>
        <v>透過潛在能力，能比較容易找到特大劍</v>
      </c>
      <c r="R310" t="str">
        <f t="shared" si="31"/>
        <v>6632700-透過潛在能力，能比較容易找到小盾</v>
      </c>
      <c r="S310">
        <v>6632700</v>
      </c>
      <c r="T310" t="str">
        <f>IF(VALUE(S310)=0,"",VLOOKUP(VLOOKUP(S310,Tbl_Effect[],3,FALSE),EffectName[],IFERROR(MATCH(UI!$B$1,EffectName[#Headers],0),2),FALSE))</f>
        <v>透過潛在能力，能比較容易找到小盾</v>
      </c>
      <c r="U310" t="str">
        <f t="shared" si="32"/>
        <v/>
      </c>
      <c r="V310">
        <v>0</v>
      </c>
      <c r="W310" t="str">
        <f>IF(V310&lt;&gt;0,VLOOKUP(VLOOKUP(V310,Tbl_Effect[],3,FALSE),EffectName[],IFERROR(MATCH(UI!$B$1,EffectName[#Headers],0),2),FALSE),"")</f>
        <v/>
      </c>
      <c r="X310" t="str">
        <f t="shared" si="33"/>
        <v/>
      </c>
      <c r="Y310">
        <v>0</v>
      </c>
      <c r="Z310" t="str">
        <f>IF(Y310&lt;&gt;0,VLOOKUP(VLOOKUP(Y310,Tbl_Effect[],3,FALSE),EffectName[],IFERROR(MATCH(UI!$B$1,EffectName[#Headers],0),2),FALSE),"")</f>
        <v/>
      </c>
      <c r="AA310" t="str">
        <f t="shared" si="34"/>
        <v/>
      </c>
      <c r="AB310">
        <v>0</v>
      </c>
      <c r="AC310" t="str">
        <f>IF(AB310&lt;&gt;0,VLOOKUP(VLOOKUP(AB310,Tbl_Effect[],3,FALSE),EffectName[],IFERROR(MATCH(UI!$B$1,EffectName[#Headers],0),2),FALSE),"")</f>
        <v/>
      </c>
      <c r="AE310">
        <v>6630000</v>
      </c>
      <c r="AF310">
        <v>6630300</v>
      </c>
      <c r="AG310">
        <v>6632700</v>
      </c>
    </row>
    <row r="311" spans="8:33" x14ac:dyDescent="0.4">
      <c r="H311" t="str">
        <f t="shared" si="28"/>
        <v>1001000-細膩的火燃情景 (紅)</v>
      </c>
      <c r="I311">
        <v>1001000</v>
      </c>
      <c r="J311" t="str">
        <f>_xlfn.IFNA(IF(I311&lt;&gt;0,VLOOKUP(VLOOKUP(I311,Tbl_Equip[],2,FALSE),Tbl_Color[],IFERROR(MATCH(UI!$B$1,Tbl_Color[#Headers],0),2),FALSE),""),"Unset")</f>
        <v>紅</v>
      </c>
      <c r="K311" t="str">
        <f>_xlfn.IFNA(IF(I311&lt;&gt;0,VLOOKUP(I311,ItemText[],IFERROR(MATCH(UI!$B$1,ItemText[#Headers],0),2),FALSE),""),"Unset")</f>
        <v>細膩的火燃情景</v>
      </c>
      <c r="L311" t="str">
        <f t="shared" si="29"/>
        <v>6630100-透過潛在能力，能比較容易找到直劍</v>
      </c>
      <c r="M311">
        <v>6630100</v>
      </c>
      <c r="N311" t="str">
        <f>IF(VALUE(M311)=0,"",VLOOKUP(VLOOKUP(M311,Tbl_Effect[],3,FALSE),EffectName[],IFERROR(MATCH(UI!$B$1,EffectName[#Headers],0),2),FALSE))</f>
        <v>透過潛在能力，能比較容易找到直劍</v>
      </c>
      <c r="O311" t="str">
        <f t="shared" si="30"/>
        <v>6630400-透過潛在能力，能比較容易找到曲劍</v>
      </c>
      <c r="P311">
        <v>6630400</v>
      </c>
      <c r="Q311" t="str">
        <f>IF(VALUE(P311)=0,"",VLOOKUP(VLOOKUP(P311,Tbl_Effect[],3,FALSE),EffectName[],IFERROR(MATCH(UI!$B$1,EffectName[#Headers],0),2),FALSE))</f>
        <v>透過潛在能力，能比較容易找到曲劍</v>
      </c>
      <c r="R311" t="str">
        <f t="shared" si="31"/>
        <v>6632800-透過潛在能力，能比較容易找到中盾</v>
      </c>
      <c r="S311">
        <v>6632800</v>
      </c>
      <c r="T311" t="str">
        <f>IF(VALUE(S311)=0,"",VLOOKUP(VLOOKUP(S311,Tbl_Effect[],3,FALSE),EffectName[],IFERROR(MATCH(UI!$B$1,EffectName[#Headers],0),2),FALSE))</f>
        <v>透過潛在能力，能比較容易找到中盾</v>
      </c>
      <c r="U311" t="str">
        <f t="shared" si="32"/>
        <v/>
      </c>
      <c r="V311">
        <v>0</v>
      </c>
      <c r="W311" t="str">
        <f>IF(V311&lt;&gt;0,VLOOKUP(VLOOKUP(V311,Tbl_Effect[],3,FALSE),EffectName[],IFERROR(MATCH(UI!$B$1,EffectName[#Headers],0),2),FALSE),"")</f>
        <v/>
      </c>
      <c r="X311" t="str">
        <f t="shared" si="33"/>
        <v/>
      </c>
      <c r="Y311">
        <v>0</v>
      </c>
      <c r="Z311" t="str">
        <f>IF(Y311&lt;&gt;0,VLOOKUP(VLOOKUP(Y311,Tbl_Effect[],3,FALSE),EffectName[],IFERROR(MATCH(UI!$B$1,EffectName[#Headers],0),2),FALSE),"")</f>
        <v/>
      </c>
      <c r="AA311" t="str">
        <f t="shared" si="34"/>
        <v/>
      </c>
      <c r="AB311">
        <v>0</v>
      </c>
      <c r="AC311" t="str">
        <f>IF(AB311&lt;&gt;0,VLOOKUP(VLOOKUP(AB311,Tbl_Effect[],3,FALSE),EffectName[],IFERROR(MATCH(UI!$B$1,EffectName[#Headers],0),2),FALSE),"")</f>
        <v/>
      </c>
      <c r="AE311">
        <v>6630100</v>
      </c>
      <c r="AF311">
        <v>6630400</v>
      </c>
      <c r="AG311">
        <v>6632800</v>
      </c>
    </row>
    <row r="312" spans="8:33" x14ac:dyDescent="0.4">
      <c r="H312" t="str">
        <f t="shared" si="28"/>
        <v>1001001-端正的火燃情景 (紅)</v>
      </c>
      <c r="I312">
        <v>1001001</v>
      </c>
      <c r="J312" t="str">
        <f>_xlfn.IFNA(IF(I312&lt;&gt;0,VLOOKUP(VLOOKUP(I312,Tbl_Equip[],2,FALSE),Tbl_Color[],IFERROR(MATCH(UI!$B$1,Tbl_Color[#Headers],0),2),FALSE),""),"Unset")</f>
        <v>紅</v>
      </c>
      <c r="K312" t="str">
        <f>_xlfn.IFNA(IF(I312&lt;&gt;0,VLOOKUP(I312,ItemText[],IFERROR(MATCH(UI!$B$1,ItemText[#Headers],0),2),FALSE),""),"Unset")</f>
        <v>端正的火燃情景</v>
      </c>
      <c r="L312" t="str">
        <f t="shared" si="29"/>
        <v>6630200-透過潛在能力，能比較容易找到大劍</v>
      </c>
      <c r="M312">
        <v>6630200</v>
      </c>
      <c r="N312" t="str">
        <f>IF(VALUE(M312)=0,"",VLOOKUP(VLOOKUP(M312,Tbl_Effect[],3,FALSE),EffectName[],IFERROR(MATCH(UI!$B$1,EffectName[#Headers],0),2),FALSE))</f>
        <v>透過潛在能力，能比較容易找到大劍</v>
      </c>
      <c r="O312" t="str">
        <f t="shared" si="30"/>
        <v>6630500-透過潛在能力，能比較容易找到大曲劍</v>
      </c>
      <c r="P312">
        <v>6630500</v>
      </c>
      <c r="Q312" t="str">
        <f>IF(VALUE(P312)=0,"",VLOOKUP(VLOOKUP(P312,Tbl_Effect[],3,FALSE),EffectName[],IFERROR(MATCH(UI!$B$1,EffectName[#Headers],0),2),FALSE))</f>
        <v>透過潛在能力，能比較容易找到大曲劍</v>
      </c>
      <c r="R312" t="str">
        <f t="shared" si="31"/>
        <v>6632900-透過潛在能力，能比較容易找到大盾</v>
      </c>
      <c r="S312">
        <v>6632900</v>
      </c>
      <c r="T312" t="str">
        <f>IF(VALUE(S312)=0,"",VLOOKUP(VLOOKUP(S312,Tbl_Effect[],3,FALSE),EffectName[],IFERROR(MATCH(UI!$B$1,EffectName[#Headers],0),2),FALSE))</f>
        <v>透過潛在能力，能比較容易找到大盾</v>
      </c>
      <c r="U312" t="str">
        <f t="shared" si="32"/>
        <v/>
      </c>
      <c r="V312">
        <v>0</v>
      </c>
      <c r="W312" t="str">
        <f>IF(V312&lt;&gt;0,VLOOKUP(VLOOKUP(V312,Tbl_Effect[],3,FALSE),EffectName[],IFERROR(MATCH(UI!$B$1,EffectName[#Headers],0),2),FALSE),"")</f>
        <v/>
      </c>
      <c r="X312" t="str">
        <f t="shared" si="33"/>
        <v/>
      </c>
      <c r="Y312">
        <v>0</v>
      </c>
      <c r="Z312" t="str">
        <f>IF(Y312&lt;&gt;0,VLOOKUP(VLOOKUP(Y312,Tbl_Effect[],3,FALSE),EffectName[],IFERROR(MATCH(UI!$B$1,EffectName[#Headers],0),2),FALSE),"")</f>
        <v/>
      </c>
      <c r="AA312" t="str">
        <f t="shared" si="34"/>
        <v/>
      </c>
      <c r="AB312">
        <v>0</v>
      </c>
      <c r="AC312" t="str">
        <f>IF(AB312&lt;&gt;0,VLOOKUP(VLOOKUP(AB312,Tbl_Effect[],3,FALSE),EffectName[],IFERROR(MATCH(UI!$B$1,EffectName[#Headers],0),2),FALSE),"")</f>
        <v/>
      </c>
      <c r="AE312">
        <v>6630200</v>
      </c>
      <c r="AF312">
        <v>6630500</v>
      </c>
      <c r="AG312">
        <v>6632900</v>
      </c>
    </row>
    <row r="313" spans="8:33" x14ac:dyDescent="0.4">
      <c r="H313" t="str">
        <f t="shared" si="28"/>
        <v>1001002-遼闊的火燃情景 (紅)</v>
      </c>
      <c r="I313">
        <v>1001002</v>
      </c>
      <c r="J313" t="str">
        <f>_xlfn.IFNA(IF(I313&lt;&gt;0,VLOOKUP(VLOOKUP(I313,Tbl_Equip[],2,FALSE),Tbl_Color[],IFERROR(MATCH(UI!$B$1,Tbl_Color[#Headers],0),2),FALSE),""),"Unset")</f>
        <v>紅</v>
      </c>
      <c r="K313" t="str">
        <f>_xlfn.IFNA(IF(I313&lt;&gt;0,VLOOKUP(I313,ItemText[],IFERROR(MATCH(UI!$B$1,ItemText[#Headers],0),2),FALSE),""),"Unset")</f>
        <v>遼闊的火燃情景</v>
      </c>
      <c r="L313" t="str">
        <f t="shared" si="29"/>
        <v>6630300-透過潛在能力，能比較容易找到特大劍</v>
      </c>
      <c r="M313">
        <v>6630300</v>
      </c>
      <c r="N313" t="str">
        <f>IF(VALUE(M313)=0,"",VLOOKUP(VLOOKUP(M313,Tbl_Effect[],3,FALSE),EffectName[],IFERROR(MATCH(UI!$B$1,EffectName[#Headers],0),2),FALSE))</f>
        <v>透過潛在能力，能比較容易找到特大劍</v>
      </c>
      <c r="O313" t="str">
        <f t="shared" si="30"/>
        <v>6630600-透過潛在能力，能比較容易找到刀</v>
      </c>
      <c r="P313">
        <v>6630600</v>
      </c>
      <c r="Q313" t="str">
        <f>IF(VALUE(P313)=0,"",VLOOKUP(VLOOKUP(P313,Tbl_Effect[],3,FALSE),EffectName[],IFERROR(MATCH(UI!$B$1,EffectName[#Headers],0),2),FALSE))</f>
        <v>透過潛在能力，能比較容易找到刀</v>
      </c>
      <c r="R313" t="str">
        <f t="shared" si="31"/>
        <v>6633000-透過潛在能力，能比較容易找到手杖</v>
      </c>
      <c r="S313">
        <v>6633000</v>
      </c>
      <c r="T313" t="str">
        <f>IF(VALUE(S313)=0,"",VLOOKUP(VLOOKUP(S313,Tbl_Effect[],3,FALSE),EffectName[],IFERROR(MATCH(UI!$B$1,EffectName[#Headers],0),2),FALSE))</f>
        <v>透過潛在能力，能比較容易找到手杖</v>
      </c>
      <c r="U313" t="str">
        <f t="shared" si="32"/>
        <v/>
      </c>
      <c r="V313">
        <v>0</v>
      </c>
      <c r="W313" t="str">
        <f>IF(V313&lt;&gt;0,VLOOKUP(VLOOKUP(V313,Tbl_Effect[],3,FALSE),EffectName[],IFERROR(MATCH(UI!$B$1,EffectName[#Headers],0),2),FALSE),"")</f>
        <v/>
      </c>
      <c r="X313" t="str">
        <f t="shared" si="33"/>
        <v/>
      </c>
      <c r="Y313">
        <v>0</v>
      </c>
      <c r="Z313" t="str">
        <f>IF(Y313&lt;&gt;0,VLOOKUP(VLOOKUP(Y313,Tbl_Effect[],3,FALSE),EffectName[],IFERROR(MATCH(UI!$B$1,EffectName[#Headers],0),2),FALSE),"")</f>
        <v/>
      </c>
      <c r="AA313" t="str">
        <f t="shared" si="34"/>
        <v/>
      </c>
      <c r="AB313">
        <v>0</v>
      </c>
      <c r="AC313" t="str">
        <f>IF(AB313&lt;&gt;0,VLOOKUP(VLOOKUP(AB313,Tbl_Effect[],3,FALSE),EffectName[],IFERROR(MATCH(UI!$B$1,EffectName[#Headers],0),2),FALSE),"")</f>
        <v/>
      </c>
      <c r="AE313">
        <v>6630300</v>
      </c>
      <c r="AF313">
        <v>6630600</v>
      </c>
      <c r="AG313">
        <v>6633000</v>
      </c>
    </row>
    <row r="314" spans="8:33" x14ac:dyDescent="0.4">
      <c r="H314" t="str">
        <f t="shared" si="28"/>
        <v>1001010-細膩的火燃情景 (紅)</v>
      </c>
      <c r="I314">
        <v>1001010</v>
      </c>
      <c r="J314" t="str">
        <f>_xlfn.IFNA(IF(I314&lt;&gt;0,VLOOKUP(VLOOKUP(I314,Tbl_Equip[],2,FALSE),Tbl_Color[],IFERROR(MATCH(UI!$B$1,Tbl_Color[#Headers],0),2),FALSE),""),"Unset")</f>
        <v>紅</v>
      </c>
      <c r="K314" t="str">
        <f>_xlfn.IFNA(IF(I314&lt;&gt;0,VLOOKUP(I314,ItemText[],IFERROR(MATCH(UI!$B$1,ItemText[#Headers],0),2),FALSE),""),"Unset")</f>
        <v>細膩的火燃情景</v>
      </c>
      <c r="L314" t="str">
        <f t="shared" si="29"/>
        <v>6630400-透過潛在能力，能比較容易找到曲劍</v>
      </c>
      <c r="M314">
        <v>6630400</v>
      </c>
      <c r="N314" t="str">
        <f>IF(VALUE(M314)=0,"",VLOOKUP(VLOOKUP(M314,Tbl_Effect[],3,FALSE),EffectName[],IFERROR(MATCH(UI!$B$1,EffectName[#Headers],0),2),FALSE))</f>
        <v>透過潛在能力，能比較容易找到曲劍</v>
      </c>
      <c r="O314" t="str">
        <f t="shared" si="30"/>
        <v>6630700-透過潛在能力，能比較容易找到雙頭劍</v>
      </c>
      <c r="P314">
        <v>6630700</v>
      </c>
      <c r="Q314" t="str">
        <f>IF(VALUE(P314)=0,"",VLOOKUP(VLOOKUP(P314,Tbl_Effect[],3,FALSE),EffectName[],IFERROR(MATCH(UI!$B$1,EffectName[#Headers],0),2),FALSE))</f>
        <v>透過潛在能力，能比較容易找到雙頭劍</v>
      </c>
      <c r="R314" t="str">
        <f t="shared" si="31"/>
        <v>6633100-透過潛在能力，能比較容易找到聖印記</v>
      </c>
      <c r="S314">
        <v>6633100</v>
      </c>
      <c r="T314" t="str">
        <f>IF(VALUE(S314)=0,"",VLOOKUP(VLOOKUP(S314,Tbl_Effect[],3,FALSE),EffectName[],IFERROR(MATCH(UI!$B$1,EffectName[#Headers],0),2),FALSE))</f>
        <v>透過潛在能力，能比較容易找到聖印記</v>
      </c>
      <c r="U314" t="str">
        <f t="shared" si="32"/>
        <v/>
      </c>
      <c r="V314">
        <v>0</v>
      </c>
      <c r="W314" t="str">
        <f>IF(V314&lt;&gt;0,VLOOKUP(VLOOKUP(V314,Tbl_Effect[],3,FALSE),EffectName[],IFERROR(MATCH(UI!$B$1,EffectName[#Headers],0),2),FALSE),"")</f>
        <v/>
      </c>
      <c r="X314" t="str">
        <f t="shared" si="33"/>
        <v/>
      </c>
      <c r="Y314">
        <v>0</v>
      </c>
      <c r="Z314" t="str">
        <f>IF(Y314&lt;&gt;0,VLOOKUP(VLOOKUP(Y314,Tbl_Effect[],3,FALSE),EffectName[],IFERROR(MATCH(UI!$B$1,EffectName[#Headers],0),2),FALSE),"")</f>
        <v/>
      </c>
      <c r="AA314" t="str">
        <f t="shared" si="34"/>
        <v/>
      </c>
      <c r="AB314">
        <v>0</v>
      </c>
      <c r="AC314" t="str">
        <f>IF(AB314&lt;&gt;0,VLOOKUP(VLOOKUP(AB314,Tbl_Effect[],3,FALSE),EffectName[],IFERROR(MATCH(UI!$B$1,EffectName[#Headers],0),2),FALSE),"")</f>
        <v/>
      </c>
      <c r="AE314">
        <v>6630400</v>
      </c>
      <c r="AF314">
        <v>6630700</v>
      </c>
      <c r="AG314">
        <v>6633100</v>
      </c>
    </row>
    <row r="315" spans="8:33" x14ac:dyDescent="0.4">
      <c r="H315" t="str">
        <f t="shared" si="28"/>
        <v>1001011-端正的火燃情景 (紅)</v>
      </c>
      <c r="I315">
        <v>1001011</v>
      </c>
      <c r="J315" t="str">
        <f>_xlfn.IFNA(IF(I315&lt;&gt;0,VLOOKUP(VLOOKUP(I315,Tbl_Equip[],2,FALSE),Tbl_Color[],IFERROR(MATCH(UI!$B$1,Tbl_Color[#Headers],0),2),FALSE),""),"Unset")</f>
        <v>紅</v>
      </c>
      <c r="K315" t="str">
        <f>_xlfn.IFNA(IF(I315&lt;&gt;0,VLOOKUP(I315,ItemText[],IFERROR(MATCH(UI!$B$1,ItemText[#Headers],0),2),FALSE),""),"Unset")</f>
        <v>端正的火燃情景</v>
      </c>
      <c r="L315" t="str">
        <f t="shared" si="29"/>
        <v>6630500-透過潛在能力，能比較容易找到大曲劍</v>
      </c>
      <c r="M315">
        <v>6630500</v>
      </c>
      <c r="N315" t="str">
        <f>IF(VALUE(M315)=0,"",VLOOKUP(VLOOKUP(M315,Tbl_Effect[],3,FALSE),EffectName[],IFERROR(MATCH(UI!$B$1,EffectName[#Headers],0),2),FALSE))</f>
        <v>透過潛在能力，能比較容易找到大曲劍</v>
      </c>
      <c r="O315" t="str">
        <f t="shared" si="30"/>
        <v>6630800-透過潛在能力，能比較容易找到刺劍</v>
      </c>
      <c r="P315">
        <v>6630800</v>
      </c>
      <c r="Q315" t="str">
        <f>IF(VALUE(P315)=0,"",VLOOKUP(VLOOKUP(P315,Tbl_Effect[],3,FALSE),EffectName[],IFERROR(MATCH(UI!$B$1,EffectName[#Headers],0),2),FALSE))</f>
        <v>透過潛在能力，能比較容易找到刺劍</v>
      </c>
      <c r="R315" t="str">
        <f t="shared" si="31"/>
        <v>6633200-透過潛在能力，能比較容易找到火把</v>
      </c>
      <c r="S315">
        <v>6633200</v>
      </c>
      <c r="T315" t="str">
        <f>IF(VALUE(S315)=0,"",VLOOKUP(VLOOKUP(S315,Tbl_Effect[],3,FALSE),EffectName[],IFERROR(MATCH(UI!$B$1,EffectName[#Headers],0),2),FALSE))</f>
        <v>透過潛在能力，能比較容易找到火把</v>
      </c>
      <c r="U315" t="str">
        <f t="shared" si="32"/>
        <v/>
      </c>
      <c r="V315">
        <v>0</v>
      </c>
      <c r="W315" t="str">
        <f>IF(V315&lt;&gt;0,VLOOKUP(VLOOKUP(V315,Tbl_Effect[],3,FALSE),EffectName[],IFERROR(MATCH(UI!$B$1,EffectName[#Headers],0),2),FALSE),"")</f>
        <v/>
      </c>
      <c r="X315" t="str">
        <f t="shared" si="33"/>
        <v/>
      </c>
      <c r="Y315">
        <v>0</v>
      </c>
      <c r="Z315" t="str">
        <f>IF(Y315&lt;&gt;0,VLOOKUP(VLOOKUP(Y315,Tbl_Effect[],3,FALSE),EffectName[],IFERROR(MATCH(UI!$B$1,EffectName[#Headers],0),2),FALSE),"")</f>
        <v/>
      </c>
      <c r="AA315" t="str">
        <f t="shared" si="34"/>
        <v/>
      </c>
      <c r="AB315">
        <v>0</v>
      </c>
      <c r="AC315" t="str">
        <f>IF(AB315&lt;&gt;0,VLOOKUP(VLOOKUP(AB315,Tbl_Effect[],3,FALSE),EffectName[],IFERROR(MATCH(UI!$B$1,EffectName[#Headers],0),2),FALSE),"")</f>
        <v/>
      </c>
      <c r="AE315">
        <v>6630500</v>
      </c>
      <c r="AF315">
        <v>6630800</v>
      </c>
      <c r="AG315">
        <v>6633200</v>
      </c>
    </row>
    <row r="316" spans="8:33" x14ac:dyDescent="0.4">
      <c r="H316" t="str">
        <f t="shared" si="28"/>
        <v>1001012-遼闊的火燃情景 (紅)</v>
      </c>
      <c r="I316">
        <v>1001012</v>
      </c>
      <c r="J316" t="str">
        <f>_xlfn.IFNA(IF(I316&lt;&gt;0,VLOOKUP(VLOOKUP(I316,Tbl_Equip[],2,FALSE),Tbl_Color[],IFERROR(MATCH(UI!$B$1,Tbl_Color[#Headers],0),2),FALSE),""),"Unset")</f>
        <v>紅</v>
      </c>
      <c r="K316" t="str">
        <f>_xlfn.IFNA(IF(I316&lt;&gt;0,VLOOKUP(I316,ItemText[],IFERROR(MATCH(UI!$B$1,ItemText[#Headers],0),2),FALSE),""),"Unset")</f>
        <v>遼闊的火燃情景</v>
      </c>
      <c r="L316" t="str">
        <f t="shared" si="29"/>
        <v>6630600-透過潛在能力，能比較容易找到刀</v>
      </c>
      <c r="M316">
        <v>6630600</v>
      </c>
      <c r="N316" t="str">
        <f>IF(VALUE(M316)=0,"",VLOOKUP(VLOOKUP(M316,Tbl_Effect[],3,FALSE),EffectName[],IFERROR(MATCH(UI!$B$1,EffectName[#Headers],0),2),FALSE))</f>
        <v>透過潛在能力，能比較容易找到刀</v>
      </c>
      <c r="O316" t="str">
        <f t="shared" si="30"/>
        <v>6630900-透過潛在能力，能比較容易找到重刺劍</v>
      </c>
      <c r="P316">
        <v>6630900</v>
      </c>
      <c r="Q316" t="str">
        <f>IF(VALUE(P316)=0,"",VLOOKUP(VLOOKUP(P316,Tbl_Effect[],3,FALSE),EffectName[],IFERROR(MATCH(UI!$B$1,EffectName[#Headers],0),2),FALSE))</f>
        <v>透過潛在能力，能比較容易找到重刺劍</v>
      </c>
      <c r="R316" t="str">
        <f t="shared" si="31"/>
        <v>6647200-【學者】提升集中力，但降低生命力</v>
      </c>
      <c r="S316">
        <v>6647200</v>
      </c>
      <c r="T316" t="str">
        <f>IF(VALUE(S316)=0,"",VLOOKUP(VLOOKUP(S316,Tbl_Effect[],3,FALSE),EffectName[],IFERROR(MATCH(UI!$B$1,EffectName[#Headers],0),2),FALSE))</f>
        <v>【學者】提升集中力，但降低生命力</v>
      </c>
      <c r="U316" t="str">
        <f t="shared" si="32"/>
        <v/>
      </c>
      <c r="V316">
        <v>0</v>
      </c>
      <c r="W316" t="str">
        <f>IF(V316&lt;&gt;0,VLOOKUP(VLOOKUP(V316,Tbl_Effect[],3,FALSE),EffectName[],IFERROR(MATCH(UI!$B$1,EffectName[#Headers],0),2),FALSE),"")</f>
        <v/>
      </c>
      <c r="X316" t="str">
        <f t="shared" si="33"/>
        <v/>
      </c>
      <c r="Y316">
        <v>0</v>
      </c>
      <c r="Z316" t="str">
        <f>IF(Y316&lt;&gt;0,VLOOKUP(VLOOKUP(Y316,Tbl_Effect[],3,FALSE),EffectName[],IFERROR(MATCH(UI!$B$1,EffectName[#Headers],0),2),FALSE),"")</f>
        <v/>
      </c>
      <c r="AA316" t="str">
        <f t="shared" si="34"/>
        <v/>
      </c>
      <c r="AB316">
        <v>0</v>
      </c>
      <c r="AC316" t="str">
        <f>IF(AB316&lt;&gt;0,VLOOKUP(VLOOKUP(AB316,Tbl_Effect[],3,FALSE),EffectName[],IFERROR(MATCH(UI!$B$1,EffectName[#Headers],0),2),FALSE),"")</f>
        <v/>
      </c>
      <c r="AE316">
        <v>6630600</v>
      </c>
      <c r="AF316">
        <v>6630900</v>
      </c>
      <c r="AG316">
        <v>6647200</v>
      </c>
    </row>
    <row r="317" spans="8:33" x14ac:dyDescent="0.4">
      <c r="H317" t="str">
        <f t="shared" si="28"/>
        <v>1001020-細膩的火燃情景 (紅)</v>
      </c>
      <c r="I317">
        <v>1001020</v>
      </c>
      <c r="J317" t="str">
        <f>_xlfn.IFNA(IF(I317&lt;&gt;0,VLOOKUP(VLOOKUP(I317,Tbl_Equip[],2,FALSE),Tbl_Color[],IFERROR(MATCH(UI!$B$1,Tbl_Color[#Headers],0),2),FALSE),""),"Unset")</f>
        <v>紅</v>
      </c>
      <c r="K317" t="str">
        <f>_xlfn.IFNA(IF(I317&lt;&gt;0,VLOOKUP(I317,ItemText[],IFERROR(MATCH(UI!$B$1,ItemText[#Headers],0),2),FALSE),""),"Unset")</f>
        <v>細膩的火燃情景</v>
      </c>
      <c r="L317" t="str">
        <f t="shared" si="29"/>
        <v>6630700-透過潛在能力，能比較容易找到雙頭劍</v>
      </c>
      <c r="M317">
        <v>6630700</v>
      </c>
      <c r="N317" t="str">
        <f>IF(VALUE(M317)=0,"",VLOOKUP(VLOOKUP(M317,Tbl_Effect[],3,FALSE),EffectName[],IFERROR(MATCH(UI!$B$1,EffectName[#Headers],0),2),FALSE))</f>
        <v>透過潛在能力，能比較容易找到雙頭劍</v>
      </c>
      <c r="O317" t="str">
        <f t="shared" si="30"/>
        <v>6631000-透過潛在能力，能比較容易找到斧</v>
      </c>
      <c r="P317">
        <v>6631000</v>
      </c>
      <c r="Q317" t="str">
        <f>IF(VALUE(P317)=0,"",VLOOKUP(VLOOKUP(P317,Tbl_Effect[],3,FALSE),EffectName[],IFERROR(MATCH(UI!$B$1,EffectName[#Headers],0),2),FALSE))</f>
        <v>透過潛在能力，能比較容易找到斧</v>
      </c>
      <c r="R317" t="str">
        <f t="shared" si="31"/>
        <v>6647300-【學者】提升耐力、靈巧，但降低智力、感應</v>
      </c>
      <c r="S317">
        <v>6647300</v>
      </c>
      <c r="T317" t="str">
        <f>IF(VALUE(S317)=0,"",VLOOKUP(VLOOKUP(S317,Tbl_Effect[],3,FALSE),EffectName[],IFERROR(MATCH(UI!$B$1,EffectName[#Headers],0),2),FALSE))</f>
        <v>【學者】提升耐力、靈巧，但降低智力、感應</v>
      </c>
      <c r="U317" t="str">
        <f t="shared" si="32"/>
        <v/>
      </c>
      <c r="V317">
        <v>0</v>
      </c>
      <c r="W317" t="str">
        <f>IF(V317&lt;&gt;0,VLOOKUP(VLOOKUP(V317,Tbl_Effect[],3,FALSE),EffectName[],IFERROR(MATCH(UI!$B$1,EffectName[#Headers],0),2),FALSE),"")</f>
        <v/>
      </c>
      <c r="X317" t="str">
        <f t="shared" si="33"/>
        <v/>
      </c>
      <c r="Y317">
        <v>0</v>
      </c>
      <c r="Z317" t="str">
        <f>IF(Y317&lt;&gt;0,VLOOKUP(VLOOKUP(Y317,Tbl_Effect[],3,FALSE),EffectName[],IFERROR(MATCH(UI!$B$1,EffectName[#Headers],0),2),FALSE),"")</f>
        <v/>
      </c>
      <c r="AA317" t="str">
        <f t="shared" si="34"/>
        <v/>
      </c>
      <c r="AB317">
        <v>0</v>
      </c>
      <c r="AC317" t="str">
        <f>IF(AB317&lt;&gt;0,VLOOKUP(VLOOKUP(AB317,Tbl_Effect[],3,FALSE),EffectName[],IFERROR(MATCH(UI!$B$1,EffectName[#Headers],0),2),FALSE),"")</f>
        <v/>
      </c>
      <c r="AE317">
        <v>6630700</v>
      </c>
      <c r="AF317">
        <v>6631000</v>
      </c>
      <c r="AG317">
        <v>6647300</v>
      </c>
    </row>
    <row r="318" spans="8:33" x14ac:dyDescent="0.4">
      <c r="H318" t="str">
        <f t="shared" si="28"/>
        <v>1001021-端正的火燃情景 (紅)</v>
      </c>
      <c r="I318">
        <v>1001021</v>
      </c>
      <c r="J318" t="str">
        <f>_xlfn.IFNA(IF(I318&lt;&gt;0,VLOOKUP(VLOOKUP(I318,Tbl_Equip[],2,FALSE),Tbl_Color[],IFERROR(MATCH(UI!$B$1,Tbl_Color[#Headers],0),2),FALSE),""),"Unset")</f>
        <v>紅</v>
      </c>
      <c r="K318" t="str">
        <f>_xlfn.IFNA(IF(I318&lt;&gt;0,VLOOKUP(I318,ItemText[],IFERROR(MATCH(UI!$B$1,ItemText[#Headers],0),2),FALSE),""),"Unset")</f>
        <v>端正的火燃情景</v>
      </c>
      <c r="L318" t="str">
        <f t="shared" si="29"/>
        <v>6630800-透過潛在能力，能比較容易找到刺劍</v>
      </c>
      <c r="M318">
        <v>6630800</v>
      </c>
      <c r="N318" t="str">
        <f>IF(VALUE(M318)=0,"",VLOOKUP(VLOOKUP(M318,Tbl_Effect[],3,FALSE),EffectName[],IFERROR(MATCH(UI!$B$1,EffectName[#Headers],0),2),FALSE))</f>
        <v>透過潛在能力，能比較容易找到刺劍</v>
      </c>
      <c r="O318" t="str">
        <f t="shared" si="30"/>
        <v>6631100-透過潛在能力，能比較容易找到大斧</v>
      </c>
      <c r="P318">
        <v>6631100</v>
      </c>
      <c r="Q318" t="str">
        <f>IF(VALUE(P318)=0,"",VLOOKUP(VLOOKUP(P318,Tbl_Effect[],3,FALSE),EffectName[],IFERROR(MATCH(UI!$B$1,EffectName[#Headers],0),2),FALSE))</f>
        <v>透過潛在能力，能比較容易找到大斧</v>
      </c>
      <c r="R318" t="str">
        <f t="shared" si="31"/>
        <v>6647400-【送葬者】提升靈巧，但降低生命力、信仰</v>
      </c>
      <c r="S318">
        <v>6647400</v>
      </c>
      <c r="T318" t="str">
        <f>IF(VALUE(S318)=0,"",VLOOKUP(VLOOKUP(S318,Tbl_Effect[],3,FALSE),EffectName[],IFERROR(MATCH(UI!$B$1,EffectName[#Headers],0),2),FALSE))</f>
        <v>【送葬者】提升靈巧，但降低生命力、信仰</v>
      </c>
      <c r="U318" t="str">
        <f t="shared" si="32"/>
        <v/>
      </c>
      <c r="V318">
        <v>0</v>
      </c>
      <c r="W318" t="str">
        <f>IF(V318&lt;&gt;0,VLOOKUP(VLOOKUP(V318,Tbl_Effect[],3,FALSE),EffectName[],IFERROR(MATCH(UI!$B$1,EffectName[#Headers],0),2),FALSE),"")</f>
        <v/>
      </c>
      <c r="X318" t="str">
        <f t="shared" si="33"/>
        <v/>
      </c>
      <c r="Y318">
        <v>0</v>
      </c>
      <c r="Z318" t="str">
        <f>IF(Y318&lt;&gt;0,VLOOKUP(VLOOKUP(Y318,Tbl_Effect[],3,FALSE),EffectName[],IFERROR(MATCH(UI!$B$1,EffectName[#Headers],0),2),FALSE),"")</f>
        <v/>
      </c>
      <c r="AA318" t="str">
        <f t="shared" si="34"/>
        <v/>
      </c>
      <c r="AB318">
        <v>0</v>
      </c>
      <c r="AC318" t="str">
        <f>IF(AB318&lt;&gt;0,VLOOKUP(VLOOKUP(AB318,Tbl_Effect[],3,FALSE),EffectName[],IFERROR(MATCH(UI!$B$1,EffectName[#Headers],0),2),FALSE),"")</f>
        <v/>
      </c>
      <c r="AE318">
        <v>6630800</v>
      </c>
      <c r="AF318">
        <v>6631100</v>
      </c>
      <c r="AG318">
        <v>6647400</v>
      </c>
    </row>
    <row r="319" spans="8:33" x14ac:dyDescent="0.4">
      <c r="H319" t="str">
        <f t="shared" si="28"/>
        <v>1001022-遼闊的火燃情景 (紅)</v>
      </c>
      <c r="I319">
        <v>1001022</v>
      </c>
      <c r="J319" t="str">
        <f>_xlfn.IFNA(IF(I319&lt;&gt;0,VLOOKUP(VLOOKUP(I319,Tbl_Equip[],2,FALSE),Tbl_Color[],IFERROR(MATCH(UI!$B$1,Tbl_Color[#Headers],0),2),FALSE),""),"Unset")</f>
        <v>紅</v>
      </c>
      <c r="K319" t="str">
        <f>_xlfn.IFNA(IF(I319&lt;&gt;0,VLOOKUP(I319,ItemText[],IFERROR(MATCH(UI!$B$1,ItemText[#Headers],0),2),FALSE),""),"Unset")</f>
        <v>遼闊的火燃情景</v>
      </c>
      <c r="L319" t="str">
        <f t="shared" si="29"/>
        <v>6630900-透過潛在能力，能比較容易找到重刺劍</v>
      </c>
      <c r="M319">
        <v>6630900</v>
      </c>
      <c r="N319" t="str">
        <f>IF(VALUE(M319)=0,"",VLOOKUP(VLOOKUP(M319,Tbl_Effect[],3,FALSE),EffectName[],IFERROR(MATCH(UI!$B$1,EffectName[#Headers],0),2),FALSE))</f>
        <v>透過潛在能力，能比較容易找到重刺劍</v>
      </c>
      <c r="O319" t="str">
        <f t="shared" si="30"/>
        <v>6631200-透過潛在能力，能比較容易找到槌</v>
      </c>
      <c r="P319">
        <v>6631200</v>
      </c>
      <c r="Q319" t="str">
        <f>IF(VALUE(P319)=0,"",VLOOKUP(VLOOKUP(P319,Tbl_Effect[],3,FALSE),EffectName[],IFERROR(MATCH(UI!$B$1,EffectName[#Headers],0),2),FALSE))</f>
        <v>透過潛在能力，能比較容易找到槌</v>
      </c>
      <c r="R319" t="str">
        <f t="shared" si="31"/>
        <v>6647500-【送葬者】提升集中力、信仰，但降低力氣</v>
      </c>
      <c r="S319">
        <v>6647500</v>
      </c>
      <c r="T319" t="str">
        <f>IF(VALUE(S319)=0,"",VLOOKUP(VLOOKUP(S319,Tbl_Effect[],3,FALSE),EffectName[],IFERROR(MATCH(UI!$B$1,EffectName[#Headers],0),2),FALSE))</f>
        <v>【送葬者】提升集中力、信仰，但降低力氣</v>
      </c>
      <c r="U319" t="str">
        <f t="shared" si="32"/>
        <v/>
      </c>
      <c r="V319">
        <v>0</v>
      </c>
      <c r="W319" t="str">
        <f>IF(V319&lt;&gt;0,VLOOKUP(VLOOKUP(V319,Tbl_Effect[],3,FALSE),EffectName[],IFERROR(MATCH(UI!$B$1,EffectName[#Headers],0),2),FALSE),"")</f>
        <v/>
      </c>
      <c r="X319" t="str">
        <f t="shared" si="33"/>
        <v/>
      </c>
      <c r="Y319">
        <v>0</v>
      </c>
      <c r="Z319" t="str">
        <f>IF(Y319&lt;&gt;0,VLOOKUP(VLOOKUP(Y319,Tbl_Effect[],3,FALSE),EffectName[],IFERROR(MATCH(UI!$B$1,EffectName[#Headers],0),2),FALSE),"")</f>
        <v/>
      </c>
      <c r="AA319" t="str">
        <f t="shared" si="34"/>
        <v/>
      </c>
      <c r="AB319">
        <v>0</v>
      </c>
      <c r="AC319" t="str">
        <f>IF(AB319&lt;&gt;0,VLOOKUP(VLOOKUP(AB319,Tbl_Effect[],3,FALSE),EffectName[],IFERROR(MATCH(UI!$B$1,EffectName[#Headers],0),2),FALSE),"")</f>
        <v/>
      </c>
      <c r="AE319">
        <v>6630900</v>
      </c>
      <c r="AF319">
        <v>6631200</v>
      </c>
      <c r="AG319">
        <v>6647500</v>
      </c>
    </row>
    <row r="320" spans="8:33" x14ac:dyDescent="0.4">
      <c r="H320" t="str">
        <f t="shared" si="28"/>
        <v>1001100-細膩的水滴情景 (藍)</v>
      </c>
      <c r="I320">
        <v>1001100</v>
      </c>
      <c r="J320" t="str">
        <f>_xlfn.IFNA(IF(I320&lt;&gt;0,VLOOKUP(VLOOKUP(I320,Tbl_Equip[],2,FALSE),Tbl_Color[],IFERROR(MATCH(UI!$B$1,Tbl_Color[#Headers],0),2),FALSE),""),"Unset")</f>
        <v>藍</v>
      </c>
      <c r="K320" t="str">
        <f>_xlfn.IFNA(IF(I320&lt;&gt;0,VLOOKUP(I320,ItemText[],IFERROR(MATCH(UI!$B$1,ItemText[#Headers],0),2),FALSE),""),"Unset")</f>
        <v>細膩的水滴情景</v>
      </c>
      <c r="L320" t="str">
        <f t="shared" si="29"/>
        <v>6631000-透過潛在能力，能比較容易找到斧</v>
      </c>
      <c r="M320">
        <v>6631000</v>
      </c>
      <c r="N320" t="str">
        <f>IF(VALUE(M320)=0,"",VLOOKUP(VLOOKUP(M320,Tbl_Effect[],3,FALSE),EffectName[],IFERROR(MATCH(UI!$B$1,EffectName[#Headers],0),2),FALSE))</f>
        <v>透過潛在能力，能比較容易找到斧</v>
      </c>
      <c r="O320" t="str">
        <f t="shared" si="30"/>
        <v>6631300-透過潛在能力，能比較容易找到大槌</v>
      </c>
      <c r="P320">
        <v>6631300</v>
      </c>
      <c r="Q320" t="str">
        <f>IF(VALUE(P320)=0,"",VLOOKUP(VLOOKUP(P320,Tbl_Effect[],3,FALSE),EffectName[],IFERROR(MATCH(UI!$B$1,EffectName[#Headers],0),2),FALSE))</f>
        <v>透過潛在能力，能比較容易找到大槌</v>
      </c>
      <c r="R320" t="str">
        <f t="shared" si="31"/>
        <v>6640000-【追蹤者】提升集中力，但降低生命力</v>
      </c>
      <c r="S320">
        <v>6640000</v>
      </c>
      <c r="T320" t="str">
        <f>IF(VALUE(S320)=0,"",VLOOKUP(VLOOKUP(S320,Tbl_Effect[],3,FALSE),EffectName[],IFERROR(MATCH(UI!$B$1,EffectName[#Headers],0),2),FALSE))</f>
        <v>【追蹤者】提升集中力，但降低生命力</v>
      </c>
      <c r="U320" t="str">
        <f t="shared" si="32"/>
        <v/>
      </c>
      <c r="V320">
        <v>0</v>
      </c>
      <c r="W320" t="str">
        <f>IF(V320&lt;&gt;0,VLOOKUP(VLOOKUP(V320,Tbl_Effect[],3,FALSE),EffectName[],IFERROR(MATCH(UI!$B$1,EffectName[#Headers],0),2),FALSE),"")</f>
        <v/>
      </c>
      <c r="X320" t="str">
        <f t="shared" si="33"/>
        <v/>
      </c>
      <c r="Y320">
        <v>0</v>
      </c>
      <c r="Z320" t="str">
        <f>IF(Y320&lt;&gt;0,VLOOKUP(VLOOKUP(Y320,Tbl_Effect[],3,FALSE),EffectName[],IFERROR(MATCH(UI!$B$1,EffectName[#Headers],0),2),FALSE),"")</f>
        <v/>
      </c>
      <c r="AA320" t="str">
        <f t="shared" si="34"/>
        <v/>
      </c>
      <c r="AB320">
        <v>0</v>
      </c>
      <c r="AC320" t="str">
        <f>IF(AB320&lt;&gt;0,VLOOKUP(VLOOKUP(AB320,Tbl_Effect[],3,FALSE),EffectName[],IFERROR(MATCH(UI!$B$1,EffectName[#Headers],0),2),FALSE),"")</f>
        <v/>
      </c>
      <c r="AE320">
        <v>6631000</v>
      </c>
      <c r="AF320">
        <v>6631300</v>
      </c>
      <c r="AG320">
        <v>6640000</v>
      </c>
    </row>
    <row r="321" spans="8:33" x14ac:dyDescent="0.4">
      <c r="H321" t="str">
        <f t="shared" si="28"/>
        <v>1001101-端正的水滴情景 (藍)</v>
      </c>
      <c r="I321">
        <v>1001101</v>
      </c>
      <c r="J321" t="str">
        <f>_xlfn.IFNA(IF(I321&lt;&gt;0,VLOOKUP(VLOOKUP(I321,Tbl_Equip[],2,FALSE),Tbl_Color[],IFERROR(MATCH(UI!$B$1,Tbl_Color[#Headers],0),2),FALSE),""),"Unset")</f>
        <v>藍</v>
      </c>
      <c r="K321" t="str">
        <f>_xlfn.IFNA(IF(I321&lt;&gt;0,VLOOKUP(I321,ItemText[],IFERROR(MATCH(UI!$B$1,ItemText[#Headers],0),2),FALSE),""),"Unset")</f>
        <v>端正的水滴情景</v>
      </c>
      <c r="L321" t="str">
        <f t="shared" si="29"/>
        <v>6631100-透過潛在能力，能比較容易找到大斧</v>
      </c>
      <c r="M321">
        <v>6631100</v>
      </c>
      <c r="N321" t="str">
        <f>IF(VALUE(M321)=0,"",VLOOKUP(VLOOKUP(M321,Tbl_Effect[],3,FALSE),EffectName[],IFERROR(MATCH(UI!$B$1,EffectName[#Headers],0),2),FALSE))</f>
        <v>透過潛在能力，能比較容易找到大斧</v>
      </c>
      <c r="O321" t="str">
        <f t="shared" si="30"/>
        <v>6631400-透過潛在能力，能比較容易找到連枷</v>
      </c>
      <c r="P321">
        <v>6631400</v>
      </c>
      <c r="Q321" t="str">
        <f>IF(VALUE(P321)=0,"",VLOOKUP(VLOOKUP(P321,Tbl_Effect[],3,FALSE),EffectName[],IFERROR(MATCH(UI!$B$1,EffectName[#Headers],0),2),FALSE))</f>
        <v>透過潛在能力，能比較容易找到連枷</v>
      </c>
      <c r="R321" t="str">
        <f t="shared" si="31"/>
        <v>6640100-【追蹤者】提升智力、信仰，但降低力氣、靈巧</v>
      </c>
      <c r="S321">
        <v>6640100</v>
      </c>
      <c r="T321" t="str">
        <f>IF(VALUE(S321)=0,"",VLOOKUP(VLOOKUP(S321,Tbl_Effect[],3,FALSE),EffectName[],IFERROR(MATCH(UI!$B$1,EffectName[#Headers],0),2),FALSE))</f>
        <v>【追蹤者】提升智力、信仰，但降低力氣、靈巧</v>
      </c>
      <c r="U321" t="str">
        <f t="shared" si="32"/>
        <v/>
      </c>
      <c r="V321">
        <v>0</v>
      </c>
      <c r="W321" t="str">
        <f>IF(V321&lt;&gt;0,VLOOKUP(VLOOKUP(V321,Tbl_Effect[],3,FALSE),EffectName[],IFERROR(MATCH(UI!$B$1,EffectName[#Headers],0),2),FALSE),"")</f>
        <v/>
      </c>
      <c r="X321" t="str">
        <f t="shared" si="33"/>
        <v/>
      </c>
      <c r="Y321">
        <v>0</v>
      </c>
      <c r="Z321" t="str">
        <f>IF(Y321&lt;&gt;0,VLOOKUP(VLOOKUP(Y321,Tbl_Effect[],3,FALSE),EffectName[],IFERROR(MATCH(UI!$B$1,EffectName[#Headers],0),2),FALSE),"")</f>
        <v/>
      </c>
      <c r="AA321" t="str">
        <f t="shared" si="34"/>
        <v/>
      </c>
      <c r="AB321">
        <v>0</v>
      </c>
      <c r="AC321" t="str">
        <f>IF(AB321&lt;&gt;0,VLOOKUP(VLOOKUP(AB321,Tbl_Effect[],3,FALSE),EffectName[],IFERROR(MATCH(UI!$B$1,EffectName[#Headers],0),2),FALSE),"")</f>
        <v/>
      </c>
      <c r="AE321">
        <v>6631100</v>
      </c>
      <c r="AF321">
        <v>6631400</v>
      </c>
      <c r="AG321">
        <v>6640100</v>
      </c>
    </row>
    <row r="322" spans="8:33" x14ac:dyDescent="0.4">
      <c r="H322" t="str">
        <f t="shared" si="28"/>
        <v>1001102-遼闊的水滴情景 (藍)</v>
      </c>
      <c r="I322">
        <v>1001102</v>
      </c>
      <c r="J322" t="str">
        <f>_xlfn.IFNA(IF(I322&lt;&gt;0,VLOOKUP(VLOOKUP(I322,Tbl_Equip[],2,FALSE),Tbl_Color[],IFERROR(MATCH(UI!$B$1,Tbl_Color[#Headers],0),2),FALSE),""),"Unset")</f>
        <v>藍</v>
      </c>
      <c r="K322" t="str">
        <f>_xlfn.IFNA(IF(I322&lt;&gt;0,VLOOKUP(I322,ItemText[],IFERROR(MATCH(UI!$B$1,ItemText[#Headers],0),2),FALSE),""),"Unset")</f>
        <v>遼闊的水滴情景</v>
      </c>
      <c r="L322" t="str">
        <f t="shared" si="29"/>
        <v>6631200-透過潛在能力，能比較容易找到槌</v>
      </c>
      <c r="M322">
        <v>6631200</v>
      </c>
      <c r="N322" t="str">
        <f>IF(VALUE(M322)=0,"",VLOOKUP(VLOOKUP(M322,Tbl_Effect[],3,FALSE),EffectName[],IFERROR(MATCH(UI!$B$1,EffectName[#Headers],0),2),FALSE))</f>
        <v>透過潛在能力，能比較容易找到槌</v>
      </c>
      <c r="O322" t="str">
        <f t="shared" si="30"/>
        <v>6631500-透過潛在能力，能比較容易找到矛</v>
      </c>
      <c r="P322">
        <v>6631500</v>
      </c>
      <c r="Q322" t="str">
        <f>IF(VALUE(P322)=0,"",VLOOKUP(VLOOKUP(P322,Tbl_Effect[],3,FALSE),EffectName[],IFERROR(MATCH(UI!$B$1,EffectName[#Headers],0),2),FALSE))</f>
        <v>透過潛在能力，能比較容易找到矛</v>
      </c>
      <c r="R322" t="str">
        <f t="shared" si="31"/>
        <v>6641000-【守護者】提升力氣、靈巧，但降低生命力</v>
      </c>
      <c r="S322">
        <v>6641000</v>
      </c>
      <c r="T322" t="str">
        <f>IF(VALUE(S322)=0,"",VLOOKUP(VLOOKUP(S322,Tbl_Effect[],3,FALSE),EffectName[],IFERROR(MATCH(UI!$B$1,EffectName[#Headers],0),2),FALSE))</f>
        <v>【守護者】提升力氣、靈巧，但降低生命力</v>
      </c>
      <c r="U322" t="str">
        <f t="shared" si="32"/>
        <v/>
      </c>
      <c r="V322">
        <v>0</v>
      </c>
      <c r="W322" t="str">
        <f>IF(V322&lt;&gt;0,VLOOKUP(VLOOKUP(V322,Tbl_Effect[],3,FALSE),EffectName[],IFERROR(MATCH(UI!$B$1,EffectName[#Headers],0),2),FALSE),"")</f>
        <v/>
      </c>
      <c r="X322" t="str">
        <f t="shared" si="33"/>
        <v/>
      </c>
      <c r="Y322">
        <v>0</v>
      </c>
      <c r="Z322" t="str">
        <f>IF(Y322&lt;&gt;0,VLOOKUP(VLOOKUP(Y322,Tbl_Effect[],3,FALSE),EffectName[],IFERROR(MATCH(UI!$B$1,EffectName[#Headers],0),2),FALSE),"")</f>
        <v/>
      </c>
      <c r="AA322" t="str">
        <f t="shared" si="34"/>
        <v/>
      </c>
      <c r="AB322">
        <v>0</v>
      </c>
      <c r="AC322" t="str">
        <f>IF(AB322&lt;&gt;0,VLOOKUP(VLOOKUP(AB322,Tbl_Effect[],3,FALSE),EffectName[],IFERROR(MATCH(UI!$B$1,EffectName[#Headers],0),2),FALSE),"")</f>
        <v/>
      </c>
      <c r="AE322">
        <v>6631200</v>
      </c>
      <c r="AF322">
        <v>6631500</v>
      </c>
      <c r="AG322">
        <v>6641000</v>
      </c>
    </row>
    <row r="323" spans="8:33" x14ac:dyDescent="0.4">
      <c r="H323" t="str">
        <f t="shared" ref="H323:H386" si="35">IF(VALUE(I323)&lt;&gt;0,I323&amp;"-"&amp;K323&amp;" ("&amp;J323&amp;")","")</f>
        <v>1001110-細膩的水滴情景 (藍)</v>
      </c>
      <c r="I323">
        <v>1001110</v>
      </c>
      <c r="J323" t="str">
        <f>_xlfn.IFNA(IF(I323&lt;&gt;0,VLOOKUP(VLOOKUP(I323,Tbl_Equip[],2,FALSE),Tbl_Color[],IFERROR(MATCH(UI!$B$1,Tbl_Color[#Headers],0),2),FALSE),""),"Unset")</f>
        <v>藍</v>
      </c>
      <c r="K323" t="str">
        <f>_xlfn.IFNA(IF(I323&lt;&gt;0,VLOOKUP(I323,ItemText[],IFERROR(MATCH(UI!$B$1,ItemText[#Headers],0),2),FALSE),""),"Unset")</f>
        <v>細膩的水滴情景</v>
      </c>
      <c r="L323" t="str">
        <f t="shared" ref="L323:L386" si="36">IF(VALUE(M323)=0,"",M323&amp;"-"&amp;N323)</f>
        <v>6631300-透過潛在能力，能比較容易找到大槌</v>
      </c>
      <c r="M323">
        <v>6631300</v>
      </c>
      <c r="N323" t="str">
        <f>IF(VALUE(M323)=0,"",VLOOKUP(VLOOKUP(M323,Tbl_Effect[],3,FALSE),EffectName[],IFERROR(MATCH(UI!$B$1,EffectName[#Headers],0),2),FALSE))</f>
        <v>透過潛在能力，能比較容易找到大槌</v>
      </c>
      <c r="O323" t="str">
        <f t="shared" ref="O323:O386" si="37">IF(VALUE(P323)=0,"",P323&amp;"-"&amp;Q323)</f>
        <v>6631600-透過潛在能力，能比較容易找到大矛</v>
      </c>
      <c r="P323">
        <v>6631600</v>
      </c>
      <c r="Q323" t="str">
        <f>IF(VALUE(P323)=0,"",VLOOKUP(VLOOKUP(P323,Tbl_Effect[],3,FALSE),EffectName[],IFERROR(MATCH(UI!$B$1,EffectName[#Headers],0),2),FALSE))</f>
        <v>透過潛在能力，能比較容易找到大矛</v>
      </c>
      <c r="R323" t="str">
        <f t="shared" ref="R323:R386" si="38">IF(VALUE(S323)=0,"",S323&amp;"-"&amp;T323)</f>
        <v>6641100-【守護者】提升集中力、信仰，但降低生命力</v>
      </c>
      <c r="S323">
        <v>6641100</v>
      </c>
      <c r="T323" t="str">
        <f>IF(VALUE(S323)=0,"",VLOOKUP(VLOOKUP(S323,Tbl_Effect[],3,FALSE),EffectName[],IFERROR(MATCH(UI!$B$1,EffectName[#Headers],0),2),FALSE))</f>
        <v>【守護者】提升集中力、信仰，但降低生命力</v>
      </c>
      <c r="U323" t="str">
        <f t="shared" ref="U323:U386" si="39">IF(VALUE(V323)=0,"",V323&amp;"-"&amp;W323)</f>
        <v/>
      </c>
      <c r="V323">
        <v>0</v>
      </c>
      <c r="W323" t="str">
        <f>IF(V323&lt;&gt;0,VLOOKUP(VLOOKUP(V323,Tbl_Effect[],3,FALSE),EffectName[],IFERROR(MATCH(UI!$B$1,EffectName[#Headers],0),2),FALSE),"")</f>
        <v/>
      </c>
      <c r="X323" t="str">
        <f t="shared" ref="X323:X386" si="40">IF(VALUE(Y323)=0,"",Y323&amp;"-"&amp;Z323)</f>
        <v/>
      </c>
      <c r="Y323">
        <v>0</v>
      </c>
      <c r="Z323" t="str">
        <f>IF(Y323&lt;&gt;0,VLOOKUP(VLOOKUP(Y323,Tbl_Effect[],3,FALSE),EffectName[],IFERROR(MATCH(UI!$B$1,EffectName[#Headers],0),2),FALSE),"")</f>
        <v/>
      </c>
      <c r="AA323" t="str">
        <f t="shared" ref="AA323:AA386" si="41">IF(VALUE(AB323)=0,"",AB323&amp;"-"&amp;AC323)</f>
        <v/>
      </c>
      <c r="AB323">
        <v>0</v>
      </c>
      <c r="AC323" t="str">
        <f>IF(AB323&lt;&gt;0,VLOOKUP(VLOOKUP(AB323,Tbl_Effect[],3,FALSE),EffectName[],IFERROR(MATCH(UI!$B$1,EffectName[#Headers],0),2),FALSE),"")</f>
        <v/>
      </c>
      <c r="AE323">
        <v>6631300</v>
      </c>
      <c r="AF323">
        <v>6631600</v>
      </c>
      <c r="AG323">
        <v>6641100</v>
      </c>
    </row>
    <row r="324" spans="8:33" x14ac:dyDescent="0.4">
      <c r="H324" t="str">
        <f t="shared" si="35"/>
        <v>1001111-端正的水滴情景 (藍)</v>
      </c>
      <c r="I324">
        <v>1001111</v>
      </c>
      <c r="J324" t="str">
        <f>_xlfn.IFNA(IF(I324&lt;&gt;0,VLOOKUP(VLOOKUP(I324,Tbl_Equip[],2,FALSE),Tbl_Color[],IFERROR(MATCH(UI!$B$1,Tbl_Color[#Headers],0),2),FALSE),""),"Unset")</f>
        <v>藍</v>
      </c>
      <c r="K324" t="str">
        <f>_xlfn.IFNA(IF(I324&lt;&gt;0,VLOOKUP(I324,ItemText[],IFERROR(MATCH(UI!$B$1,ItemText[#Headers],0),2),FALSE),""),"Unset")</f>
        <v>端正的水滴情景</v>
      </c>
      <c r="L324" t="str">
        <f t="shared" si="36"/>
        <v>6631400-透過潛在能力，能比較容易找到連枷</v>
      </c>
      <c r="M324">
        <v>6631400</v>
      </c>
      <c r="N324" t="str">
        <f>IF(VALUE(M324)=0,"",VLOOKUP(VLOOKUP(M324,Tbl_Effect[],3,FALSE),EffectName[],IFERROR(MATCH(UI!$B$1,EffectName[#Headers],0),2),FALSE))</f>
        <v>透過潛在能力，能比較容易找到連枷</v>
      </c>
      <c r="O324" t="str">
        <f t="shared" si="37"/>
        <v>6631700-透過潛在能力，能比較容易找到戟</v>
      </c>
      <c r="P324">
        <v>6631700</v>
      </c>
      <c r="Q324" t="str">
        <f>IF(VALUE(P324)=0,"",VLOOKUP(VLOOKUP(P324,Tbl_Effect[],3,FALSE),EffectName[],IFERROR(MATCH(UI!$B$1,EffectName[#Headers],0),2),FALSE))</f>
        <v>透過潛在能力，能比較容易找到戟</v>
      </c>
      <c r="R324" t="str">
        <f t="shared" si="38"/>
        <v>6642000-【鐵之眼】提升感應，但降低靈巧</v>
      </c>
      <c r="S324">
        <v>6642000</v>
      </c>
      <c r="T324" t="str">
        <f>IF(VALUE(S324)=0,"",VLOOKUP(VLOOKUP(S324,Tbl_Effect[],3,FALSE),EffectName[],IFERROR(MATCH(UI!$B$1,EffectName[#Headers],0),2),FALSE))</f>
        <v>【鐵之眼】提升感應，但降低靈巧</v>
      </c>
      <c r="U324" t="str">
        <f t="shared" si="39"/>
        <v/>
      </c>
      <c r="V324">
        <v>0</v>
      </c>
      <c r="W324" t="str">
        <f>IF(V324&lt;&gt;0,VLOOKUP(VLOOKUP(V324,Tbl_Effect[],3,FALSE),EffectName[],IFERROR(MATCH(UI!$B$1,EffectName[#Headers],0),2),FALSE),"")</f>
        <v/>
      </c>
      <c r="X324" t="str">
        <f t="shared" si="40"/>
        <v/>
      </c>
      <c r="Y324">
        <v>0</v>
      </c>
      <c r="Z324" t="str">
        <f>IF(Y324&lt;&gt;0,VLOOKUP(VLOOKUP(Y324,Tbl_Effect[],3,FALSE),EffectName[],IFERROR(MATCH(UI!$B$1,EffectName[#Headers],0),2),FALSE),"")</f>
        <v/>
      </c>
      <c r="AA324" t="str">
        <f t="shared" si="41"/>
        <v/>
      </c>
      <c r="AB324">
        <v>0</v>
      </c>
      <c r="AC324" t="str">
        <f>IF(AB324&lt;&gt;0,VLOOKUP(VLOOKUP(AB324,Tbl_Effect[],3,FALSE),EffectName[],IFERROR(MATCH(UI!$B$1,EffectName[#Headers],0),2),FALSE),"")</f>
        <v/>
      </c>
      <c r="AE324">
        <v>6631400</v>
      </c>
      <c r="AF324">
        <v>6631700</v>
      </c>
      <c r="AG324">
        <v>6642000</v>
      </c>
    </row>
    <row r="325" spans="8:33" x14ac:dyDescent="0.4">
      <c r="H325" t="str">
        <f t="shared" si="35"/>
        <v>1001112-遼闊的水滴情景 (藍)</v>
      </c>
      <c r="I325">
        <v>1001112</v>
      </c>
      <c r="J325" t="str">
        <f>_xlfn.IFNA(IF(I325&lt;&gt;0,VLOOKUP(VLOOKUP(I325,Tbl_Equip[],2,FALSE),Tbl_Color[],IFERROR(MATCH(UI!$B$1,Tbl_Color[#Headers],0),2),FALSE),""),"Unset")</f>
        <v>藍</v>
      </c>
      <c r="K325" t="str">
        <f>_xlfn.IFNA(IF(I325&lt;&gt;0,VLOOKUP(I325,ItemText[],IFERROR(MATCH(UI!$B$1,ItemText[#Headers],0),2),FALSE),""),"Unset")</f>
        <v>遼闊的水滴情景</v>
      </c>
      <c r="L325" t="str">
        <f t="shared" si="36"/>
        <v>6631500-透過潛在能力，能比較容易找到矛</v>
      </c>
      <c r="M325">
        <v>6631500</v>
      </c>
      <c r="N325" t="str">
        <f>IF(VALUE(M325)=0,"",VLOOKUP(VLOOKUP(M325,Tbl_Effect[],3,FALSE),EffectName[],IFERROR(MATCH(UI!$B$1,EffectName[#Headers],0),2),FALSE))</f>
        <v>透過潛在能力，能比較容易找到矛</v>
      </c>
      <c r="O325" t="str">
        <f t="shared" si="37"/>
        <v>6631800-透過潛在能力，能比較容易找到鐮刀</v>
      </c>
      <c r="P325">
        <v>6631800</v>
      </c>
      <c r="Q325" t="str">
        <f>IF(VALUE(P325)=0,"",VLOOKUP(VLOOKUP(P325,Tbl_Effect[],3,FALSE),EffectName[],IFERROR(MATCH(UI!$B$1,EffectName[#Headers],0),2),FALSE))</f>
        <v>透過潛在能力，能比較容易找到鐮刀</v>
      </c>
      <c r="R325" t="str">
        <f t="shared" si="38"/>
        <v>6642100-【鐵之眼】提升生命力、力氣，但降低靈巧</v>
      </c>
      <c r="S325">
        <v>6642100</v>
      </c>
      <c r="T325" t="str">
        <f>IF(VALUE(S325)=0,"",VLOOKUP(VLOOKUP(S325,Tbl_Effect[],3,FALSE),EffectName[],IFERROR(MATCH(UI!$B$1,EffectName[#Headers],0),2),FALSE))</f>
        <v>【鐵之眼】提升生命力、力氣，但降低靈巧</v>
      </c>
      <c r="U325" t="str">
        <f t="shared" si="39"/>
        <v/>
      </c>
      <c r="V325">
        <v>0</v>
      </c>
      <c r="W325" t="str">
        <f>IF(V325&lt;&gt;0,VLOOKUP(VLOOKUP(V325,Tbl_Effect[],3,FALSE),EffectName[],IFERROR(MATCH(UI!$B$1,EffectName[#Headers],0),2),FALSE),"")</f>
        <v/>
      </c>
      <c r="X325" t="str">
        <f t="shared" si="40"/>
        <v/>
      </c>
      <c r="Y325">
        <v>0</v>
      </c>
      <c r="Z325" t="str">
        <f>IF(Y325&lt;&gt;0,VLOOKUP(VLOOKUP(Y325,Tbl_Effect[],3,FALSE),EffectName[],IFERROR(MATCH(UI!$B$1,EffectName[#Headers],0),2),FALSE),"")</f>
        <v/>
      </c>
      <c r="AA325" t="str">
        <f t="shared" si="41"/>
        <v/>
      </c>
      <c r="AB325">
        <v>0</v>
      </c>
      <c r="AC325" t="str">
        <f>IF(AB325&lt;&gt;0,VLOOKUP(VLOOKUP(AB325,Tbl_Effect[],3,FALSE),EffectName[],IFERROR(MATCH(UI!$B$1,EffectName[#Headers],0),2),FALSE),"")</f>
        <v/>
      </c>
      <c r="AE325">
        <v>6631500</v>
      </c>
      <c r="AF325">
        <v>6631800</v>
      </c>
      <c r="AG325">
        <v>6642100</v>
      </c>
    </row>
    <row r="326" spans="8:33" x14ac:dyDescent="0.4">
      <c r="H326" t="str">
        <f t="shared" si="35"/>
        <v>1001120-細膩的水滴情景 (藍)</v>
      </c>
      <c r="I326">
        <v>1001120</v>
      </c>
      <c r="J326" t="str">
        <f>_xlfn.IFNA(IF(I326&lt;&gt;0,VLOOKUP(VLOOKUP(I326,Tbl_Equip[],2,FALSE),Tbl_Color[],IFERROR(MATCH(UI!$B$1,Tbl_Color[#Headers],0),2),FALSE),""),"Unset")</f>
        <v>藍</v>
      </c>
      <c r="K326" t="str">
        <f>_xlfn.IFNA(IF(I326&lt;&gt;0,VLOOKUP(I326,ItemText[],IFERROR(MATCH(UI!$B$1,ItemText[#Headers],0),2),FALSE),""),"Unset")</f>
        <v>細膩的水滴情景</v>
      </c>
      <c r="L326" t="str">
        <f t="shared" si="36"/>
        <v>6631600-透過潛在能力，能比較容易找到大矛</v>
      </c>
      <c r="M326">
        <v>6631600</v>
      </c>
      <c r="N326" t="str">
        <f>IF(VALUE(M326)=0,"",VLOOKUP(VLOOKUP(M326,Tbl_Effect[],3,FALSE),EffectName[],IFERROR(MATCH(UI!$B$1,EffectName[#Headers],0),2),FALSE))</f>
        <v>透過潛在能力，能比較容易找到大矛</v>
      </c>
      <c r="O326" t="str">
        <f t="shared" si="37"/>
        <v>6631900-透過潛在能力，能比較容易找到拳頭</v>
      </c>
      <c r="P326">
        <v>6631900</v>
      </c>
      <c r="Q326" t="str">
        <f>IF(VALUE(P326)=0,"",VLOOKUP(VLOOKUP(P326,Tbl_Effect[],3,FALSE),EffectName[],IFERROR(MATCH(UI!$B$1,EffectName[#Headers],0),2),FALSE))</f>
        <v>透過潛在能力，能比較容易找到拳頭</v>
      </c>
      <c r="R326" t="str">
        <f t="shared" si="38"/>
        <v>6643000-【女爵】提升生命力、力氣，但降低集中力</v>
      </c>
      <c r="S326">
        <v>6643000</v>
      </c>
      <c r="T326" t="str">
        <f>IF(VALUE(S326)=0,"",VLOOKUP(VLOOKUP(S326,Tbl_Effect[],3,FALSE),EffectName[],IFERROR(MATCH(UI!$B$1,EffectName[#Headers],0),2),FALSE))</f>
        <v>【女爵】提升生命力、力氣，但降低集中力</v>
      </c>
      <c r="U326" t="str">
        <f t="shared" si="39"/>
        <v/>
      </c>
      <c r="V326">
        <v>0</v>
      </c>
      <c r="W326" t="str">
        <f>IF(V326&lt;&gt;0,VLOOKUP(VLOOKUP(V326,Tbl_Effect[],3,FALSE),EffectName[],IFERROR(MATCH(UI!$B$1,EffectName[#Headers],0),2),FALSE),"")</f>
        <v/>
      </c>
      <c r="X326" t="str">
        <f t="shared" si="40"/>
        <v/>
      </c>
      <c r="Y326">
        <v>0</v>
      </c>
      <c r="Z326" t="str">
        <f>IF(Y326&lt;&gt;0,VLOOKUP(VLOOKUP(Y326,Tbl_Effect[],3,FALSE),EffectName[],IFERROR(MATCH(UI!$B$1,EffectName[#Headers],0),2),FALSE),"")</f>
        <v/>
      </c>
      <c r="AA326" t="str">
        <f t="shared" si="41"/>
        <v/>
      </c>
      <c r="AB326">
        <v>0</v>
      </c>
      <c r="AC326" t="str">
        <f>IF(AB326&lt;&gt;0,VLOOKUP(VLOOKUP(AB326,Tbl_Effect[],3,FALSE),EffectName[],IFERROR(MATCH(UI!$B$1,EffectName[#Headers],0),2),FALSE),"")</f>
        <v/>
      </c>
      <c r="AE326">
        <v>6631600</v>
      </c>
      <c r="AF326">
        <v>6631900</v>
      </c>
      <c r="AG326">
        <v>6643000</v>
      </c>
    </row>
    <row r="327" spans="8:33" x14ac:dyDescent="0.4">
      <c r="H327" t="str">
        <f t="shared" si="35"/>
        <v>1001121-端正的水滴情景 (藍)</v>
      </c>
      <c r="I327">
        <v>1001121</v>
      </c>
      <c r="J327" t="str">
        <f>_xlfn.IFNA(IF(I327&lt;&gt;0,VLOOKUP(VLOOKUP(I327,Tbl_Equip[],2,FALSE),Tbl_Color[],IFERROR(MATCH(UI!$B$1,Tbl_Color[#Headers],0),2),FALSE),""),"Unset")</f>
        <v>藍</v>
      </c>
      <c r="K327" t="str">
        <f>_xlfn.IFNA(IF(I327&lt;&gt;0,VLOOKUP(I327,ItemText[],IFERROR(MATCH(UI!$B$1,ItemText[#Headers],0),2),FALSE),""),"Unset")</f>
        <v>端正的水滴情景</v>
      </c>
      <c r="L327" t="str">
        <f t="shared" si="36"/>
        <v>6631700-透過潛在能力，能比較容易找到戟</v>
      </c>
      <c r="M327">
        <v>6631700</v>
      </c>
      <c r="N327" t="str">
        <f>IF(VALUE(M327)=0,"",VLOOKUP(VLOOKUP(M327,Tbl_Effect[],3,FALSE),EffectName[],IFERROR(MATCH(UI!$B$1,EffectName[#Headers],0),2),FALSE))</f>
        <v>透過潛在能力，能比較容易找到戟</v>
      </c>
      <c r="O327" t="str">
        <f t="shared" si="37"/>
        <v>6632000-透過潛在能力，能比較容易找到鉤爪</v>
      </c>
      <c r="P327">
        <v>6632000</v>
      </c>
      <c r="Q327" t="str">
        <f>IF(VALUE(P327)=0,"",VLOOKUP(VLOOKUP(P327,Tbl_Effect[],3,FALSE),EffectName[],IFERROR(MATCH(UI!$B$1,EffectName[#Headers],0),2),FALSE))</f>
        <v>透過潛在能力，能比較容易找到鉤爪</v>
      </c>
      <c r="R327" t="str">
        <f t="shared" si="38"/>
        <v>6643100-【女爵】提升集中力、信仰，但降低智力</v>
      </c>
      <c r="S327">
        <v>6643100</v>
      </c>
      <c r="T327" t="str">
        <f>IF(VALUE(S327)=0,"",VLOOKUP(VLOOKUP(S327,Tbl_Effect[],3,FALSE),EffectName[],IFERROR(MATCH(UI!$B$1,EffectName[#Headers],0),2),FALSE))</f>
        <v>【女爵】提升集中力、信仰，但降低智力</v>
      </c>
      <c r="U327" t="str">
        <f t="shared" si="39"/>
        <v/>
      </c>
      <c r="V327">
        <v>0</v>
      </c>
      <c r="W327" t="str">
        <f>IF(V327&lt;&gt;0,VLOOKUP(VLOOKUP(V327,Tbl_Effect[],3,FALSE),EffectName[],IFERROR(MATCH(UI!$B$1,EffectName[#Headers],0),2),FALSE),"")</f>
        <v/>
      </c>
      <c r="X327" t="str">
        <f t="shared" si="40"/>
        <v/>
      </c>
      <c r="Y327">
        <v>0</v>
      </c>
      <c r="Z327" t="str">
        <f>IF(Y327&lt;&gt;0,VLOOKUP(VLOOKUP(Y327,Tbl_Effect[],3,FALSE),EffectName[],IFERROR(MATCH(UI!$B$1,EffectName[#Headers],0),2),FALSE),"")</f>
        <v/>
      </c>
      <c r="AA327" t="str">
        <f t="shared" si="41"/>
        <v/>
      </c>
      <c r="AB327">
        <v>0</v>
      </c>
      <c r="AC327" t="str">
        <f>IF(AB327&lt;&gt;0,VLOOKUP(VLOOKUP(AB327,Tbl_Effect[],3,FALSE),EffectName[],IFERROR(MATCH(UI!$B$1,EffectName[#Headers],0),2),FALSE),"")</f>
        <v/>
      </c>
      <c r="AE327">
        <v>6631700</v>
      </c>
      <c r="AF327">
        <v>6632000</v>
      </c>
      <c r="AG327">
        <v>6643100</v>
      </c>
    </row>
    <row r="328" spans="8:33" x14ac:dyDescent="0.4">
      <c r="H328" t="str">
        <f t="shared" si="35"/>
        <v>1001122-遼闊的水滴情景 (藍)</v>
      </c>
      <c r="I328">
        <v>1001122</v>
      </c>
      <c r="J328" t="str">
        <f>_xlfn.IFNA(IF(I328&lt;&gt;0,VLOOKUP(VLOOKUP(I328,Tbl_Equip[],2,FALSE),Tbl_Color[],IFERROR(MATCH(UI!$B$1,Tbl_Color[#Headers],0),2),FALSE),""),"Unset")</f>
        <v>藍</v>
      </c>
      <c r="K328" t="str">
        <f>_xlfn.IFNA(IF(I328&lt;&gt;0,VLOOKUP(I328,ItemText[],IFERROR(MATCH(UI!$B$1,ItemText[#Headers],0),2),FALSE),""),"Unset")</f>
        <v>遼闊的水滴情景</v>
      </c>
      <c r="L328" t="str">
        <f t="shared" si="36"/>
        <v>6631800-透過潛在能力，能比較容易找到鐮刀</v>
      </c>
      <c r="M328">
        <v>6631800</v>
      </c>
      <c r="N328" t="str">
        <f>IF(VALUE(M328)=0,"",VLOOKUP(VLOOKUP(M328,Tbl_Effect[],3,FALSE),EffectName[],IFERROR(MATCH(UI!$B$1,EffectName[#Headers],0),2),FALSE))</f>
        <v>透過潛在能力，能比較容易找到鐮刀</v>
      </c>
      <c r="O328" t="str">
        <f t="shared" si="37"/>
        <v>6632100-透過潛在能力，能比較容易找到軟鞭</v>
      </c>
      <c r="P328">
        <v>6632100</v>
      </c>
      <c r="Q328" t="str">
        <f>IF(VALUE(P328)=0,"",VLOOKUP(VLOOKUP(P328,Tbl_Effect[],3,FALSE),EffectName[],IFERROR(MATCH(UI!$B$1,EffectName[#Headers],0),2),FALSE))</f>
        <v>透過潛在能力，能比較容易找到軟鞭</v>
      </c>
      <c r="R328" t="str">
        <f t="shared" si="38"/>
        <v>6644000-【無賴】提升集中力、智力，但降低生命力、耐力</v>
      </c>
      <c r="S328">
        <v>6644000</v>
      </c>
      <c r="T328" t="str">
        <f>IF(VALUE(S328)=0,"",VLOOKUP(VLOOKUP(S328,Tbl_Effect[],3,FALSE),EffectName[],IFERROR(MATCH(UI!$B$1,EffectName[#Headers],0),2),FALSE))</f>
        <v>【無賴】提升集中力、智力，但降低生命力、耐力</v>
      </c>
      <c r="U328" t="str">
        <f t="shared" si="39"/>
        <v/>
      </c>
      <c r="V328">
        <v>0</v>
      </c>
      <c r="W328" t="str">
        <f>IF(V328&lt;&gt;0,VLOOKUP(VLOOKUP(V328,Tbl_Effect[],3,FALSE),EffectName[],IFERROR(MATCH(UI!$B$1,EffectName[#Headers],0),2),FALSE),"")</f>
        <v/>
      </c>
      <c r="X328" t="str">
        <f t="shared" si="40"/>
        <v/>
      </c>
      <c r="Y328">
        <v>0</v>
      </c>
      <c r="Z328" t="str">
        <f>IF(Y328&lt;&gt;0,VLOOKUP(VLOOKUP(Y328,Tbl_Effect[],3,FALSE),EffectName[],IFERROR(MATCH(UI!$B$1,EffectName[#Headers],0),2),FALSE),"")</f>
        <v/>
      </c>
      <c r="AA328" t="str">
        <f t="shared" si="41"/>
        <v/>
      </c>
      <c r="AB328">
        <v>0</v>
      </c>
      <c r="AC328" t="str">
        <f>IF(AB328&lt;&gt;0,VLOOKUP(VLOOKUP(AB328,Tbl_Effect[],3,FALSE),EffectName[],IFERROR(MATCH(UI!$B$1,EffectName[#Headers],0),2),FALSE),"")</f>
        <v/>
      </c>
      <c r="AE328">
        <v>6631800</v>
      </c>
      <c r="AF328">
        <v>6632100</v>
      </c>
      <c r="AG328">
        <v>6644000</v>
      </c>
    </row>
    <row r="329" spans="8:33" x14ac:dyDescent="0.4">
      <c r="H329" t="str">
        <f t="shared" si="35"/>
        <v>1001200-細膩的光耀情景 (黃)</v>
      </c>
      <c r="I329">
        <v>1001200</v>
      </c>
      <c r="J329" t="str">
        <f>_xlfn.IFNA(IF(I329&lt;&gt;0,VLOOKUP(VLOOKUP(I329,Tbl_Equip[],2,FALSE),Tbl_Color[],IFERROR(MATCH(UI!$B$1,Tbl_Color[#Headers],0),2),FALSE),""),"Unset")</f>
        <v>黃</v>
      </c>
      <c r="K329" t="str">
        <f>_xlfn.IFNA(IF(I329&lt;&gt;0,VLOOKUP(I329,ItemText[],IFERROR(MATCH(UI!$B$1,ItemText[#Headers],0),2),FALSE),""),"Unset")</f>
        <v>細膩的光耀情景</v>
      </c>
      <c r="L329" t="str">
        <f t="shared" si="36"/>
        <v>6631900-透過潛在能力，能比較容易找到拳頭</v>
      </c>
      <c r="M329">
        <v>6631900</v>
      </c>
      <c r="N329" t="str">
        <f>IF(VALUE(M329)=0,"",VLOOKUP(VLOOKUP(M329,Tbl_Effect[],3,FALSE),EffectName[],IFERROR(MATCH(UI!$B$1,EffectName[#Headers],0),2),FALSE))</f>
        <v>透過潛在能力，能比較容易找到拳頭</v>
      </c>
      <c r="O329" t="str">
        <f t="shared" si="37"/>
        <v>6632200-透過潛在能力，能比較容易找到特大武器</v>
      </c>
      <c r="P329">
        <v>6632200</v>
      </c>
      <c r="Q329" t="str">
        <f>IF(VALUE(P329)=0,"",VLOOKUP(VLOOKUP(P329,Tbl_Effect[],3,FALSE),EffectName[],IFERROR(MATCH(UI!$B$1,EffectName[#Headers],0),2),FALSE))</f>
        <v>透過潛在能力，能比較容易找到特大武器</v>
      </c>
      <c r="R329" t="str">
        <f t="shared" si="38"/>
        <v>6644100-【無賴】提升感應，但降低生命力</v>
      </c>
      <c r="S329">
        <v>6644100</v>
      </c>
      <c r="T329" t="str">
        <f>IF(VALUE(S329)=0,"",VLOOKUP(VLOOKUP(S329,Tbl_Effect[],3,FALSE),EffectName[],IFERROR(MATCH(UI!$B$1,EffectName[#Headers],0),2),FALSE))</f>
        <v>【無賴】提升感應，但降低生命力</v>
      </c>
      <c r="U329" t="str">
        <f t="shared" si="39"/>
        <v/>
      </c>
      <c r="V329">
        <v>0</v>
      </c>
      <c r="W329" t="str">
        <f>IF(V329&lt;&gt;0,VLOOKUP(VLOOKUP(V329,Tbl_Effect[],3,FALSE),EffectName[],IFERROR(MATCH(UI!$B$1,EffectName[#Headers],0),2),FALSE),"")</f>
        <v/>
      </c>
      <c r="X329" t="str">
        <f t="shared" si="40"/>
        <v/>
      </c>
      <c r="Y329">
        <v>0</v>
      </c>
      <c r="Z329" t="str">
        <f>IF(Y329&lt;&gt;0,VLOOKUP(VLOOKUP(Y329,Tbl_Effect[],3,FALSE),EffectName[],IFERROR(MATCH(UI!$B$1,EffectName[#Headers],0),2),FALSE),"")</f>
        <v/>
      </c>
      <c r="AA329" t="str">
        <f t="shared" si="41"/>
        <v/>
      </c>
      <c r="AB329">
        <v>0</v>
      </c>
      <c r="AC329" t="str">
        <f>IF(AB329&lt;&gt;0,VLOOKUP(VLOOKUP(AB329,Tbl_Effect[],3,FALSE),EffectName[],IFERROR(MATCH(UI!$B$1,EffectName[#Headers],0),2),FALSE),"")</f>
        <v/>
      </c>
      <c r="AE329">
        <v>6631900</v>
      </c>
      <c r="AF329">
        <v>6632200</v>
      </c>
      <c r="AG329">
        <v>6644100</v>
      </c>
    </row>
    <row r="330" spans="8:33" x14ac:dyDescent="0.4">
      <c r="H330" t="str">
        <f t="shared" si="35"/>
        <v>1001201-端正的光耀情景 (黃)</v>
      </c>
      <c r="I330">
        <v>1001201</v>
      </c>
      <c r="J330" t="str">
        <f>_xlfn.IFNA(IF(I330&lt;&gt;0,VLOOKUP(VLOOKUP(I330,Tbl_Equip[],2,FALSE),Tbl_Color[],IFERROR(MATCH(UI!$B$1,Tbl_Color[#Headers],0),2),FALSE),""),"Unset")</f>
        <v>黃</v>
      </c>
      <c r="K330" t="str">
        <f>_xlfn.IFNA(IF(I330&lt;&gt;0,VLOOKUP(I330,ItemText[],IFERROR(MATCH(UI!$B$1,ItemText[#Headers],0),2),FALSE),""),"Unset")</f>
        <v>端正的光耀情景</v>
      </c>
      <c r="L330" t="str">
        <f t="shared" si="36"/>
        <v>6632000-透過潛在能力，能比較容易找到鉤爪</v>
      </c>
      <c r="M330">
        <v>6632000</v>
      </c>
      <c r="N330" t="str">
        <f>IF(VALUE(M330)=0,"",VLOOKUP(VLOOKUP(M330,Tbl_Effect[],3,FALSE),EffectName[],IFERROR(MATCH(UI!$B$1,EffectName[#Headers],0),2),FALSE))</f>
        <v>透過潛在能力，能比較容易找到鉤爪</v>
      </c>
      <c r="O330" t="str">
        <f t="shared" si="37"/>
        <v>6632300-透過潛在能力，能比較容易找到弓</v>
      </c>
      <c r="P330">
        <v>6632300</v>
      </c>
      <c r="Q330" t="str">
        <f>IF(VALUE(P330)=0,"",VLOOKUP(VLOOKUP(P330,Tbl_Effect[],3,FALSE),EffectName[],IFERROR(MATCH(UI!$B$1,EffectName[#Headers],0),2),FALSE))</f>
        <v>透過潛在能力，能比較容易找到弓</v>
      </c>
      <c r="R330" t="str">
        <f t="shared" si="38"/>
        <v>6645000-【復仇者】提升生命力、耐力，但降低集中力</v>
      </c>
      <c r="S330">
        <v>6645000</v>
      </c>
      <c r="T330" t="str">
        <f>IF(VALUE(S330)=0,"",VLOOKUP(VLOOKUP(S330,Tbl_Effect[],3,FALSE),EffectName[],IFERROR(MATCH(UI!$B$1,EffectName[#Headers],0),2),FALSE))</f>
        <v>【復仇者】提升生命力、耐力，但降低集中力</v>
      </c>
      <c r="U330" t="str">
        <f t="shared" si="39"/>
        <v/>
      </c>
      <c r="V330">
        <v>0</v>
      </c>
      <c r="W330" t="str">
        <f>IF(V330&lt;&gt;0,VLOOKUP(VLOOKUP(V330,Tbl_Effect[],3,FALSE),EffectName[],IFERROR(MATCH(UI!$B$1,EffectName[#Headers],0),2),FALSE),"")</f>
        <v/>
      </c>
      <c r="X330" t="str">
        <f t="shared" si="40"/>
        <v/>
      </c>
      <c r="Y330">
        <v>0</v>
      </c>
      <c r="Z330" t="str">
        <f>IF(Y330&lt;&gt;0,VLOOKUP(VLOOKUP(Y330,Tbl_Effect[],3,FALSE),EffectName[],IFERROR(MATCH(UI!$B$1,EffectName[#Headers],0),2),FALSE),"")</f>
        <v/>
      </c>
      <c r="AA330" t="str">
        <f t="shared" si="41"/>
        <v/>
      </c>
      <c r="AB330">
        <v>0</v>
      </c>
      <c r="AC330" t="str">
        <f>IF(AB330&lt;&gt;0,VLOOKUP(VLOOKUP(AB330,Tbl_Effect[],3,FALSE),EffectName[],IFERROR(MATCH(UI!$B$1,EffectName[#Headers],0),2),FALSE),"")</f>
        <v/>
      </c>
      <c r="AE330">
        <v>6632000</v>
      </c>
      <c r="AF330">
        <v>6632300</v>
      </c>
      <c r="AG330">
        <v>6645000</v>
      </c>
    </row>
    <row r="331" spans="8:33" x14ac:dyDescent="0.4">
      <c r="H331" t="str">
        <f t="shared" si="35"/>
        <v>1001202-遼闊的光耀情景 (黃)</v>
      </c>
      <c r="I331">
        <v>1001202</v>
      </c>
      <c r="J331" t="str">
        <f>_xlfn.IFNA(IF(I331&lt;&gt;0,VLOOKUP(VLOOKUP(I331,Tbl_Equip[],2,FALSE),Tbl_Color[],IFERROR(MATCH(UI!$B$1,Tbl_Color[#Headers],0),2),FALSE),""),"Unset")</f>
        <v>黃</v>
      </c>
      <c r="K331" t="str">
        <f>_xlfn.IFNA(IF(I331&lt;&gt;0,VLOOKUP(I331,ItemText[],IFERROR(MATCH(UI!$B$1,ItemText[#Headers],0),2),FALSE),""),"Unset")</f>
        <v>遼闊的光耀情景</v>
      </c>
      <c r="L331" t="str">
        <f t="shared" si="36"/>
        <v>6632100-透過潛在能力，能比較容易找到軟鞭</v>
      </c>
      <c r="M331">
        <v>6632100</v>
      </c>
      <c r="N331" t="str">
        <f>IF(VALUE(M331)=0,"",VLOOKUP(VLOOKUP(M331,Tbl_Effect[],3,FALSE),EffectName[],IFERROR(MATCH(UI!$B$1,EffectName[#Headers],0),2),FALSE))</f>
        <v>透過潛在能力，能比較容易找到軟鞭</v>
      </c>
      <c r="O331" t="str">
        <f t="shared" si="37"/>
        <v>6632400-透過潛在能力，能比較容易找到大弓</v>
      </c>
      <c r="P331">
        <v>6632400</v>
      </c>
      <c r="Q331" t="str">
        <f>IF(VALUE(P331)=0,"",VLOOKUP(VLOOKUP(P331,Tbl_Effect[],3,FALSE),EffectName[],IFERROR(MATCH(UI!$B$1,EffectName[#Headers],0),2),FALSE))</f>
        <v>透過潛在能力，能比較容易找到大弓</v>
      </c>
      <c r="R331" t="str">
        <f t="shared" si="38"/>
        <v>6645100-【復仇者】提升力氣，但降低信仰</v>
      </c>
      <c r="S331">
        <v>6645100</v>
      </c>
      <c r="T331" t="str">
        <f>IF(VALUE(S331)=0,"",VLOOKUP(VLOOKUP(S331,Tbl_Effect[],3,FALSE),EffectName[],IFERROR(MATCH(UI!$B$1,EffectName[#Headers],0),2),FALSE))</f>
        <v>【復仇者】提升力氣，但降低信仰</v>
      </c>
      <c r="U331" t="str">
        <f t="shared" si="39"/>
        <v/>
      </c>
      <c r="V331">
        <v>0</v>
      </c>
      <c r="W331" t="str">
        <f>IF(V331&lt;&gt;0,VLOOKUP(VLOOKUP(V331,Tbl_Effect[],3,FALSE),EffectName[],IFERROR(MATCH(UI!$B$1,EffectName[#Headers],0),2),FALSE),"")</f>
        <v/>
      </c>
      <c r="X331" t="str">
        <f t="shared" si="40"/>
        <v/>
      </c>
      <c r="Y331">
        <v>0</v>
      </c>
      <c r="Z331" t="str">
        <f>IF(Y331&lt;&gt;0,VLOOKUP(VLOOKUP(Y331,Tbl_Effect[],3,FALSE),EffectName[],IFERROR(MATCH(UI!$B$1,EffectName[#Headers],0),2),FALSE),"")</f>
        <v/>
      </c>
      <c r="AA331" t="str">
        <f t="shared" si="41"/>
        <v/>
      </c>
      <c r="AB331">
        <v>0</v>
      </c>
      <c r="AC331" t="str">
        <f>IF(AB331&lt;&gt;0,VLOOKUP(VLOOKUP(AB331,Tbl_Effect[],3,FALSE),EffectName[],IFERROR(MATCH(UI!$B$1,EffectName[#Headers],0),2),FALSE),"")</f>
        <v/>
      </c>
      <c r="AE331">
        <v>6632100</v>
      </c>
      <c r="AF331">
        <v>6632400</v>
      </c>
      <c r="AG331">
        <v>6645100</v>
      </c>
    </row>
    <row r="332" spans="8:33" x14ac:dyDescent="0.4">
      <c r="H332" t="str">
        <f t="shared" si="35"/>
        <v>1001210-細膩的光耀情景 (黃)</v>
      </c>
      <c r="I332">
        <v>1001210</v>
      </c>
      <c r="J332" t="str">
        <f>_xlfn.IFNA(IF(I332&lt;&gt;0,VLOOKUP(VLOOKUP(I332,Tbl_Equip[],2,FALSE),Tbl_Color[],IFERROR(MATCH(UI!$B$1,Tbl_Color[#Headers],0),2),FALSE),""),"Unset")</f>
        <v>黃</v>
      </c>
      <c r="K332" t="str">
        <f>_xlfn.IFNA(IF(I332&lt;&gt;0,VLOOKUP(I332,ItemText[],IFERROR(MATCH(UI!$B$1,ItemText[#Headers],0),2),FALSE),""),"Unset")</f>
        <v>細膩的光耀情景</v>
      </c>
      <c r="L332" t="str">
        <f t="shared" si="36"/>
        <v>6632200-透過潛在能力，能比較容易找到特大武器</v>
      </c>
      <c r="M332">
        <v>6632200</v>
      </c>
      <c r="N332" t="str">
        <f>IF(VALUE(M332)=0,"",VLOOKUP(VLOOKUP(M332,Tbl_Effect[],3,FALSE),EffectName[],IFERROR(MATCH(UI!$B$1,EffectName[#Headers],0),2),FALSE))</f>
        <v>透過潛在能力，能比較容易找到特大武器</v>
      </c>
      <c r="O332" t="str">
        <f t="shared" si="37"/>
        <v>6632500-透過潛在能力，能比較容易找到弩</v>
      </c>
      <c r="P332">
        <v>6632500</v>
      </c>
      <c r="Q332" t="str">
        <f>IF(VALUE(P332)=0,"",VLOOKUP(VLOOKUP(P332,Tbl_Effect[],3,FALSE),EffectName[],IFERROR(MATCH(UI!$B$1,EffectName[#Headers],0),2),FALSE))</f>
        <v>透過潛在能力，能比較容易找到弩</v>
      </c>
      <c r="R332" t="str">
        <f t="shared" si="38"/>
        <v>6646000-【隱士】提升生命力、耐力、靈巧，但降低智力、信仰</v>
      </c>
      <c r="S332">
        <v>6646000</v>
      </c>
      <c r="T332" t="str">
        <f>IF(VALUE(S332)=0,"",VLOOKUP(VLOOKUP(S332,Tbl_Effect[],3,FALSE),EffectName[],IFERROR(MATCH(UI!$B$1,EffectName[#Headers],0),2),FALSE))</f>
        <v>【隱士】提升生命力、耐力、靈巧，但降低智力、信仰</v>
      </c>
      <c r="U332" t="str">
        <f t="shared" si="39"/>
        <v/>
      </c>
      <c r="V332">
        <v>0</v>
      </c>
      <c r="W332" t="str">
        <f>IF(V332&lt;&gt;0,VLOOKUP(VLOOKUP(V332,Tbl_Effect[],3,FALSE),EffectName[],IFERROR(MATCH(UI!$B$1,EffectName[#Headers],0),2),FALSE),"")</f>
        <v/>
      </c>
      <c r="X332" t="str">
        <f t="shared" si="40"/>
        <v/>
      </c>
      <c r="Y332">
        <v>0</v>
      </c>
      <c r="Z332" t="str">
        <f>IF(Y332&lt;&gt;0,VLOOKUP(VLOOKUP(Y332,Tbl_Effect[],3,FALSE),EffectName[],IFERROR(MATCH(UI!$B$1,EffectName[#Headers],0),2),FALSE),"")</f>
        <v/>
      </c>
      <c r="AA332" t="str">
        <f t="shared" si="41"/>
        <v/>
      </c>
      <c r="AB332">
        <v>0</v>
      </c>
      <c r="AC332" t="str">
        <f>IF(AB332&lt;&gt;0,VLOOKUP(VLOOKUP(AB332,Tbl_Effect[],3,FALSE),EffectName[],IFERROR(MATCH(UI!$B$1,EffectName[#Headers],0),2),FALSE),"")</f>
        <v/>
      </c>
      <c r="AE332">
        <v>6632200</v>
      </c>
      <c r="AF332">
        <v>6632500</v>
      </c>
      <c r="AG332">
        <v>6646000</v>
      </c>
    </row>
    <row r="333" spans="8:33" x14ac:dyDescent="0.4">
      <c r="H333" t="str">
        <f t="shared" si="35"/>
        <v>1001211-端正的光耀情景 (黃)</v>
      </c>
      <c r="I333">
        <v>1001211</v>
      </c>
      <c r="J333" t="str">
        <f>_xlfn.IFNA(IF(I333&lt;&gt;0,VLOOKUP(VLOOKUP(I333,Tbl_Equip[],2,FALSE),Tbl_Color[],IFERROR(MATCH(UI!$B$1,Tbl_Color[#Headers],0),2),FALSE),""),"Unset")</f>
        <v>黃</v>
      </c>
      <c r="K333" t="str">
        <f>_xlfn.IFNA(IF(I333&lt;&gt;0,VLOOKUP(I333,ItemText[],IFERROR(MATCH(UI!$B$1,ItemText[#Headers],0),2),FALSE),""),"Unset")</f>
        <v>端正的光耀情景</v>
      </c>
      <c r="L333" t="str">
        <f t="shared" si="36"/>
        <v>6632300-透過潛在能力，能比較容易找到弓</v>
      </c>
      <c r="M333">
        <v>6632300</v>
      </c>
      <c r="N333" t="str">
        <f>IF(VALUE(M333)=0,"",VLOOKUP(VLOOKUP(M333,Tbl_Effect[],3,FALSE),EffectName[],IFERROR(MATCH(UI!$B$1,EffectName[#Headers],0),2),FALSE))</f>
        <v>透過潛在能力，能比較容易找到弓</v>
      </c>
      <c r="O333" t="str">
        <f t="shared" si="37"/>
        <v>6632600-透過潛在能力，能比較容易找到弩砲</v>
      </c>
      <c r="P333">
        <v>6632600</v>
      </c>
      <c r="Q333" t="str">
        <f>IF(VALUE(P333)=0,"",VLOOKUP(VLOOKUP(P333,Tbl_Effect[],3,FALSE),EffectName[],IFERROR(MATCH(UI!$B$1,EffectName[#Headers],0),2),FALSE))</f>
        <v>透過潛在能力，能比較容易找到弩砲</v>
      </c>
      <c r="R333" t="str">
        <f t="shared" si="38"/>
        <v>6646100-【隱士】提升智力、信仰，但降低集中力</v>
      </c>
      <c r="S333">
        <v>6646100</v>
      </c>
      <c r="T333" t="str">
        <f>IF(VALUE(S333)=0,"",VLOOKUP(VLOOKUP(S333,Tbl_Effect[],3,FALSE),EffectName[],IFERROR(MATCH(UI!$B$1,EffectName[#Headers],0),2),FALSE))</f>
        <v>【隱士】提升智力、信仰，但降低集中力</v>
      </c>
      <c r="U333" t="str">
        <f t="shared" si="39"/>
        <v/>
      </c>
      <c r="V333">
        <v>0</v>
      </c>
      <c r="W333" t="str">
        <f>IF(V333&lt;&gt;0,VLOOKUP(VLOOKUP(V333,Tbl_Effect[],3,FALSE),EffectName[],IFERROR(MATCH(UI!$B$1,EffectName[#Headers],0),2),FALSE),"")</f>
        <v/>
      </c>
      <c r="X333" t="str">
        <f t="shared" si="40"/>
        <v/>
      </c>
      <c r="Y333">
        <v>0</v>
      </c>
      <c r="Z333" t="str">
        <f>IF(Y333&lt;&gt;0,VLOOKUP(VLOOKUP(Y333,Tbl_Effect[],3,FALSE),EffectName[],IFERROR(MATCH(UI!$B$1,EffectName[#Headers],0),2),FALSE),"")</f>
        <v/>
      </c>
      <c r="AA333" t="str">
        <f t="shared" si="41"/>
        <v/>
      </c>
      <c r="AB333">
        <v>0</v>
      </c>
      <c r="AC333" t="str">
        <f>IF(AB333&lt;&gt;0,VLOOKUP(VLOOKUP(AB333,Tbl_Effect[],3,FALSE),EffectName[],IFERROR(MATCH(UI!$B$1,EffectName[#Headers],0),2),FALSE),"")</f>
        <v/>
      </c>
      <c r="AE333">
        <v>6632300</v>
      </c>
      <c r="AF333">
        <v>6632600</v>
      </c>
      <c r="AG333">
        <v>6646100</v>
      </c>
    </row>
    <row r="334" spans="8:33" x14ac:dyDescent="0.4">
      <c r="H334" t="str">
        <f t="shared" si="35"/>
        <v>1001212-遼闊的光耀情景 (黃)</v>
      </c>
      <c r="I334">
        <v>1001212</v>
      </c>
      <c r="J334" t="str">
        <f>_xlfn.IFNA(IF(I334&lt;&gt;0,VLOOKUP(VLOOKUP(I334,Tbl_Equip[],2,FALSE),Tbl_Color[],IFERROR(MATCH(UI!$B$1,Tbl_Color[#Headers],0),2),FALSE),""),"Unset")</f>
        <v>黃</v>
      </c>
      <c r="K334" t="str">
        <f>_xlfn.IFNA(IF(I334&lt;&gt;0,VLOOKUP(I334,ItemText[],IFERROR(MATCH(UI!$B$1,ItemText[#Headers],0),2),FALSE),""),"Unset")</f>
        <v>遼闊的光耀情景</v>
      </c>
      <c r="L334" t="str">
        <f t="shared" si="36"/>
        <v>6632400-透過潛在能力，能比較容易找到大弓</v>
      </c>
      <c r="M334">
        <v>6632400</v>
      </c>
      <c r="N334" t="str">
        <f>IF(VALUE(M334)=0,"",VLOOKUP(VLOOKUP(M334,Tbl_Effect[],3,FALSE),EffectName[],IFERROR(MATCH(UI!$B$1,EffectName[#Headers],0),2),FALSE))</f>
        <v>透過潛在能力，能比較容易找到大弓</v>
      </c>
      <c r="O334" t="str">
        <f t="shared" si="37"/>
        <v>6632700-透過潛在能力，能比較容易找到小盾</v>
      </c>
      <c r="P334">
        <v>6632700</v>
      </c>
      <c r="Q334" t="str">
        <f>IF(VALUE(P334)=0,"",VLOOKUP(VLOOKUP(P334,Tbl_Effect[],3,FALSE),EffectName[],IFERROR(MATCH(UI!$B$1,EffectName[#Headers],0),2),FALSE))</f>
        <v>透過潛在能力，能比較容易找到小盾</v>
      </c>
      <c r="R334" t="str">
        <f t="shared" si="38"/>
        <v>6647000-【執行者】提升生命力、耐力，但降低感應</v>
      </c>
      <c r="S334">
        <v>6647000</v>
      </c>
      <c r="T334" t="str">
        <f>IF(VALUE(S334)=0,"",VLOOKUP(VLOOKUP(S334,Tbl_Effect[],3,FALSE),EffectName[],IFERROR(MATCH(UI!$B$1,EffectName[#Headers],0),2),FALSE))</f>
        <v>【執行者】提升生命力、耐力，但降低感應</v>
      </c>
      <c r="U334" t="str">
        <f t="shared" si="39"/>
        <v/>
      </c>
      <c r="V334">
        <v>0</v>
      </c>
      <c r="W334" t="str">
        <f>IF(V334&lt;&gt;0,VLOOKUP(VLOOKUP(V334,Tbl_Effect[],3,FALSE),EffectName[],IFERROR(MATCH(UI!$B$1,EffectName[#Headers],0),2),FALSE),"")</f>
        <v/>
      </c>
      <c r="X334" t="str">
        <f t="shared" si="40"/>
        <v/>
      </c>
      <c r="Y334">
        <v>0</v>
      </c>
      <c r="Z334" t="str">
        <f>IF(Y334&lt;&gt;0,VLOOKUP(VLOOKUP(Y334,Tbl_Effect[],3,FALSE),EffectName[],IFERROR(MATCH(UI!$B$1,EffectName[#Headers],0),2),FALSE),"")</f>
        <v/>
      </c>
      <c r="AA334" t="str">
        <f t="shared" si="41"/>
        <v/>
      </c>
      <c r="AB334">
        <v>0</v>
      </c>
      <c r="AC334" t="str">
        <f>IF(AB334&lt;&gt;0,VLOOKUP(VLOOKUP(AB334,Tbl_Effect[],3,FALSE),EffectName[],IFERROR(MATCH(UI!$B$1,EffectName[#Headers],0),2),FALSE),"")</f>
        <v/>
      </c>
      <c r="AE334">
        <v>6632400</v>
      </c>
      <c r="AF334">
        <v>6632700</v>
      </c>
      <c r="AG334">
        <v>6647000</v>
      </c>
    </row>
    <row r="335" spans="8:33" x14ac:dyDescent="0.4">
      <c r="H335" t="str">
        <f t="shared" si="35"/>
        <v>1001220-細膩的光耀情景 (黃)</v>
      </c>
      <c r="I335">
        <v>1001220</v>
      </c>
      <c r="J335" t="str">
        <f>_xlfn.IFNA(IF(I335&lt;&gt;0,VLOOKUP(VLOOKUP(I335,Tbl_Equip[],2,FALSE),Tbl_Color[],IFERROR(MATCH(UI!$B$1,Tbl_Color[#Headers],0),2),FALSE),""),"Unset")</f>
        <v>黃</v>
      </c>
      <c r="K335" t="str">
        <f>_xlfn.IFNA(IF(I335&lt;&gt;0,VLOOKUP(I335,ItemText[],IFERROR(MATCH(UI!$B$1,ItemText[#Headers],0),2),FALSE),""),"Unset")</f>
        <v>細膩的光耀情景</v>
      </c>
      <c r="L335" t="str">
        <f t="shared" si="36"/>
        <v>6632500-透過潛在能力，能比較容易找到弩</v>
      </c>
      <c r="M335">
        <v>6632500</v>
      </c>
      <c r="N335" t="str">
        <f>IF(VALUE(M335)=0,"",VLOOKUP(VLOOKUP(M335,Tbl_Effect[],3,FALSE),EffectName[],IFERROR(MATCH(UI!$B$1,EffectName[#Headers],0),2),FALSE))</f>
        <v>透過潛在能力，能比較容易找到弩</v>
      </c>
      <c r="O335" t="str">
        <f t="shared" si="37"/>
        <v>6632800-透過潛在能力，能比較容易找到中盾</v>
      </c>
      <c r="P335">
        <v>6632800</v>
      </c>
      <c r="Q335" t="str">
        <f>IF(VALUE(P335)=0,"",VLOOKUP(VLOOKUP(P335,Tbl_Effect[],3,FALSE),EffectName[],IFERROR(MATCH(UI!$B$1,EffectName[#Headers],0),2),FALSE))</f>
        <v>透過潛在能力，能比較容易找到中盾</v>
      </c>
      <c r="R335" t="str">
        <f t="shared" si="38"/>
        <v>6647100-【執行者】提升靈巧、感應，但降低生命力</v>
      </c>
      <c r="S335">
        <v>6647100</v>
      </c>
      <c r="T335" t="str">
        <f>IF(VALUE(S335)=0,"",VLOOKUP(VLOOKUP(S335,Tbl_Effect[],3,FALSE),EffectName[],IFERROR(MATCH(UI!$B$1,EffectName[#Headers],0),2),FALSE))</f>
        <v>【執行者】提升靈巧、感應，但降低生命力</v>
      </c>
      <c r="U335" t="str">
        <f t="shared" si="39"/>
        <v/>
      </c>
      <c r="V335">
        <v>0</v>
      </c>
      <c r="W335" t="str">
        <f>IF(V335&lt;&gt;0,VLOOKUP(VLOOKUP(V335,Tbl_Effect[],3,FALSE),EffectName[],IFERROR(MATCH(UI!$B$1,EffectName[#Headers],0),2),FALSE),"")</f>
        <v/>
      </c>
      <c r="X335" t="str">
        <f t="shared" si="40"/>
        <v/>
      </c>
      <c r="Y335">
        <v>0</v>
      </c>
      <c r="Z335" t="str">
        <f>IF(Y335&lt;&gt;0,VLOOKUP(VLOOKUP(Y335,Tbl_Effect[],3,FALSE),EffectName[],IFERROR(MATCH(UI!$B$1,EffectName[#Headers],0),2),FALSE),"")</f>
        <v/>
      </c>
      <c r="AA335" t="str">
        <f t="shared" si="41"/>
        <v/>
      </c>
      <c r="AB335">
        <v>0</v>
      </c>
      <c r="AC335" t="str">
        <f>IF(AB335&lt;&gt;0,VLOOKUP(VLOOKUP(AB335,Tbl_Effect[],3,FALSE),EffectName[],IFERROR(MATCH(UI!$B$1,EffectName[#Headers],0),2),FALSE),"")</f>
        <v/>
      </c>
      <c r="AE335">
        <v>6632500</v>
      </c>
      <c r="AF335">
        <v>6632800</v>
      </c>
      <c r="AG335">
        <v>6647100</v>
      </c>
    </row>
    <row r="336" spans="8:33" x14ac:dyDescent="0.4">
      <c r="H336" t="str">
        <f t="shared" si="35"/>
        <v>1001221-端正的光耀情景 (黃)</v>
      </c>
      <c r="I336">
        <v>1001221</v>
      </c>
      <c r="J336" t="str">
        <f>_xlfn.IFNA(IF(I336&lt;&gt;0,VLOOKUP(VLOOKUP(I336,Tbl_Equip[],2,FALSE),Tbl_Color[],IFERROR(MATCH(UI!$B$1,Tbl_Color[#Headers],0),2),FALSE),""),"Unset")</f>
        <v>黃</v>
      </c>
      <c r="K336" t="str">
        <f>_xlfn.IFNA(IF(I336&lt;&gt;0,VLOOKUP(I336,ItemText[],IFERROR(MATCH(UI!$B$1,ItemText[#Headers],0),2),FALSE),""),"Unset")</f>
        <v>端正的光耀情景</v>
      </c>
      <c r="L336" t="str">
        <f t="shared" si="36"/>
        <v>6632600-透過潛在能力，能比較容易找到弩砲</v>
      </c>
      <c r="M336">
        <v>6632600</v>
      </c>
      <c r="N336" t="str">
        <f>IF(VALUE(M336)=0,"",VLOOKUP(VLOOKUP(M336,Tbl_Effect[],3,FALSE),EffectName[],IFERROR(MATCH(UI!$B$1,EffectName[#Headers],0),2),FALSE))</f>
        <v>透過潛在能力，能比較容易找到弩砲</v>
      </c>
      <c r="O336" t="str">
        <f t="shared" si="37"/>
        <v>6632900-透過潛在能力，能比較容易找到大盾</v>
      </c>
      <c r="P336">
        <v>6632900</v>
      </c>
      <c r="Q336" t="str">
        <f>IF(VALUE(P336)=0,"",VLOOKUP(VLOOKUP(P336,Tbl_Effect[],3,FALSE),EffectName[],IFERROR(MATCH(UI!$B$1,EffectName[#Headers],0),2),FALSE))</f>
        <v>透過潛在能力，能比較容易找到大盾</v>
      </c>
      <c r="R336" t="e">
        <f t="shared" si="38"/>
        <v>#N/A</v>
      </c>
      <c r="S336" t="e">
        <v>#N/A</v>
      </c>
      <c r="T336" t="e">
        <f>IF(VALUE(S336)=0,"",VLOOKUP(VLOOKUP(S336,Tbl_Effect[],3,FALSE),EffectName[],IFERROR(MATCH(UI!$B$1,EffectName[#Headers],0),2),FALSE))</f>
        <v>#N/A</v>
      </c>
      <c r="U336" t="str">
        <f t="shared" si="39"/>
        <v/>
      </c>
      <c r="V336">
        <v>0</v>
      </c>
      <c r="W336" t="str">
        <f>IF(V336&lt;&gt;0,VLOOKUP(VLOOKUP(V336,Tbl_Effect[],3,FALSE),EffectName[],IFERROR(MATCH(UI!$B$1,EffectName[#Headers],0),2),FALSE),"")</f>
        <v/>
      </c>
      <c r="X336" t="str">
        <f t="shared" si="40"/>
        <v/>
      </c>
      <c r="Y336">
        <v>0</v>
      </c>
      <c r="Z336" t="str">
        <f>IF(Y336&lt;&gt;0,VLOOKUP(VLOOKUP(Y336,Tbl_Effect[],3,FALSE),EffectName[],IFERROR(MATCH(UI!$B$1,EffectName[#Headers],0),2),FALSE),"")</f>
        <v/>
      </c>
      <c r="AA336" t="str">
        <f t="shared" si="41"/>
        <v/>
      </c>
      <c r="AB336">
        <v>0</v>
      </c>
      <c r="AC336" t="str">
        <f>IF(AB336&lt;&gt;0,VLOOKUP(VLOOKUP(AB336,Tbl_Effect[],3,FALSE),EffectName[],IFERROR(MATCH(UI!$B$1,EffectName[#Headers],0),2),FALSE),"")</f>
        <v/>
      </c>
      <c r="AE336">
        <v>6632600</v>
      </c>
      <c r="AF336">
        <v>6632900</v>
      </c>
      <c r="AG336" t="e">
        <v>#N/A</v>
      </c>
    </row>
    <row r="337" spans="8:33" x14ac:dyDescent="0.4">
      <c r="H337" t="str">
        <f t="shared" si="35"/>
        <v>1001222-遼闊的光耀情景 (黃)</v>
      </c>
      <c r="I337">
        <v>1001222</v>
      </c>
      <c r="J337" t="str">
        <f>_xlfn.IFNA(IF(I337&lt;&gt;0,VLOOKUP(VLOOKUP(I337,Tbl_Equip[],2,FALSE),Tbl_Color[],IFERROR(MATCH(UI!$B$1,Tbl_Color[#Headers],0),2),FALSE),""),"Unset")</f>
        <v>黃</v>
      </c>
      <c r="K337" t="str">
        <f>_xlfn.IFNA(IF(I337&lt;&gt;0,VLOOKUP(I337,ItemText[],IFERROR(MATCH(UI!$B$1,ItemText[#Headers],0),2),FALSE),""),"Unset")</f>
        <v>遼闊的光耀情景</v>
      </c>
      <c r="L337" t="str">
        <f t="shared" si="36"/>
        <v>6632700-透過潛在能力，能比較容易找到小盾</v>
      </c>
      <c r="M337">
        <v>6632700</v>
      </c>
      <c r="N337" t="str">
        <f>IF(VALUE(M337)=0,"",VLOOKUP(VLOOKUP(M337,Tbl_Effect[],3,FALSE),EffectName[],IFERROR(MATCH(UI!$B$1,EffectName[#Headers],0),2),FALSE))</f>
        <v>透過潛在能力，能比較容易找到小盾</v>
      </c>
      <c r="O337" t="str">
        <f t="shared" si="37"/>
        <v>6633000-透過潛在能力，能比較容易找到手杖</v>
      </c>
      <c r="P337">
        <v>6633000</v>
      </c>
      <c r="Q337" t="str">
        <f>IF(VALUE(P337)=0,"",VLOOKUP(VLOOKUP(P337,Tbl_Effect[],3,FALSE),EffectName[],IFERROR(MATCH(UI!$B$1,EffectName[#Headers],0),2),FALSE))</f>
        <v>透過潛在能力，能比較容易找到手杖</v>
      </c>
      <c r="R337" t="e">
        <f t="shared" si="38"/>
        <v>#N/A</v>
      </c>
      <c r="S337" t="e">
        <v>#N/A</v>
      </c>
      <c r="T337" t="e">
        <f>IF(VALUE(S337)=0,"",VLOOKUP(VLOOKUP(S337,Tbl_Effect[],3,FALSE),EffectName[],IFERROR(MATCH(UI!$B$1,EffectName[#Headers],0),2),FALSE))</f>
        <v>#N/A</v>
      </c>
      <c r="U337" t="str">
        <f t="shared" si="39"/>
        <v/>
      </c>
      <c r="V337">
        <v>0</v>
      </c>
      <c r="W337" t="str">
        <f>IF(V337&lt;&gt;0,VLOOKUP(VLOOKUP(V337,Tbl_Effect[],3,FALSE),EffectName[],IFERROR(MATCH(UI!$B$1,EffectName[#Headers],0),2),FALSE),"")</f>
        <v/>
      </c>
      <c r="X337" t="str">
        <f t="shared" si="40"/>
        <v/>
      </c>
      <c r="Y337">
        <v>0</v>
      </c>
      <c r="Z337" t="str">
        <f>IF(Y337&lt;&gt;0,VLOOKUP(VLOOKUP(Y337,Tbl_Effect[],3,FALSE),EffectName[],IFERROR(MATCH(UI!$B$1,EffectName[#Headers],0),2),FALSE),"")</f>
        <v/>
      </c>
      <c r="AA337" t="str">
        <f t="shared" si="41"/>
        <v/>
      </c>
      <c r="AB337">
        <v>0</v>
      </c>
      <c r="AC337" t="str">
        <f>IF(AB337&lt;&gt;0,VLOOKUP(VLOOKUP(AB337,Tbl_Effect[],3,FALSE),EffectName[],IFERROR(MATCH(UI!$B$1,EffectName[#Headers],0),2),FALSE),"")</f>
        <v/>
      </c>
      <c r="AE337">
        <v>6632700</v>
      </c>
      <c r="AF337">
        <v>6633000</v>
      </c>
      <c r="AG337" t="e">
        <v>#N/A</v>
      </c>
    </row>
    <row r="338" spans="8:33" x14ac:dyDescent="0.4">
      <c r="H338" t="str">
        <f t="shared" si="35"/>
        <v>1001300-細膩的幽靜情景 (綠)</v>
      </c>
      <c r="I338">
        <v>1001300</v>
      </c>
      <c r="J338" t="str">
        <f>_xlfn.IFNA(IF(I338&lt;&gt;0,VLOOKUP(VLOOKUP(I338,Tbl_Equip[],2,FALSE),Tbl_Color[],IFERROR(MATCH(UI!$B$1,Tbl_Color[#Headers],0),2),FALSE),""),"Unset")</f>
        <v>綠</v>
      </c>
      <c r="K338" t="str">
        <f>_xlfn.IFNA(IF(I338&lt;&gt;0,VLOOKUP(I338,ItemText[],IFERROR(MATCH(UI!$B$1,ItemText[#Headers],0),2),FALSE),""),"Unset")</f>
        <v>細膩的幽靜情景</v>
      </c>
      <c r="L338" t="str">
        <f t="shared" si="36"/>
        <v>6632800-透過潛在能力，能比較容易找到中盾</v>
      </c>
      <c r="M338">
        <v>6632800</v>
      </c>
      <c r="N338" t="str">
        <f>IF(VALUE(M338)=0,"",VLOOKUP(VLOOKUP(M338,Tbl_Effect[],3,FALSE),EffectName[],IFERROR(MATCH(UI!$B$1,EffectName[#Headers],0),2),FALSE))</f>
        <v>透過潛在能力，能比較容易找到中盾</v>
      </c>
      <c r="O338" t="str">
        <f t="shared" si="37"/>
        <v>6633100-透過潛在能力，能比較容易找到聖印記</v>
      </c>
      <c r="P338">
        <v>6633100</v>
      </c>
      <c r="Q338" t="str">
        <f>IF(VALUE(P338)=0,"",VLOOKUP(VLOOKUP(P338,Tbl_Effect[],3,FALSE),EffectName[],IFERROR(MATCH(UI!$B$1,EffectName[#Headers],0),2),FALSE))</f>
        <v>透過潛在能力，能比較容易找到聖印記</v>
      </c>
      <c r="R338" t="e">
        <f t="shared" si="38"/>
        <v>#N/A</v>
      </c>
      <c r="S338" t="e">
        <v>#N/A</v>
      </c>
      <c r="T338" t="e">
        <f>IF(VALUE(S338)=0,"",VLOOKUP(VLOOKUP(S338,Tbl_Effect[],3,FALSE),EffectName[],IFERROR(MATCH(UI!$B$1,EffectName[#Headers],0),2),FALSE))</f>
        <v>#N/A</v>
      </c>
      <c r="U338" t="str">
        <f t="shared" si="39"/>
        <v/>
      </c>
      <c r="V338">
        <v>0</v>
      </c>
      <c r="W338" t="str">
        <f>IF(V338&lt;&gt;0,VLOOKUP(VLOOKUP(V338,Tbl_Effect[],3,FALSE),EffectName[],IFERROR(MATCH(UI!$B$1,EffectName[#Headers],0),2),FALSE),"")</f>
        <v/>
      </c>
      <c r="X338" t="str">
        <f t="shared" si="40"/>
        <v/>
      </c>
      <c r="Y338">
        <v>0</v>
      </c>
      <c r="Z338" t="str">
        <f>IF(Y338&lt;&gt;0,VLOOKUP(VLOOKUP(Y338,Tbl_Effect[],3,FALSE),EffectName[],IFERROR(MATCH(UI!$B$1,EffectName[#Headers],0),2),FALSE),"")</f>
        <v/>
      </c>
      <c r="AA338" t="str">
        <f t="shared" si="41"/>
        <v/>
      </c>
      <c r="AB338">
        <v>0</v>
      </c>
      <c r="AC338" t="str">
        <f>IF(AB338&lt;&gt;0,VLOOKUP(VLOOKUP(AB338,Tbl_Effect[],3,FALSE),EffectName[],IFERROR(MATCH(UI!$B$1,EffectName[#Headers],0),2),FALSE),"")</f>
        <v/>
      </c>
      <c r="AE338">
        <v>6632800</v>
      </c>
      <c r="AF338">
        <v>6633100</v>
      </c>
      <c r="AG338" t="e">
        <v>#N/A</v>
      </c>
    </row>
    <row r="339" spans="8:33" x14ac:dyDescent="0.4">
      <c r="H339" t="str">
        <f t="shared" si="35"/>
        <v>1001301-端正的幽靜情景 (綠)</v>
      </c>
      <c r="I339">
        <v>1001301</v>
      </c>
      <c r="J339" t="str">
        <f>_xlfn.IFNA(IF(I339&lt;&gt;0,VLOOKUP(VLOOKUP(I339,Tbl_Equip[],2,FALSE),Tbl_Color[],IFERROR(MATCH(UI!$B$1,Tbl_Color[#Headers],0),2),FALSE),""),"Unset")</f>
        <v>綠</v>
      </c>
      <c r="K339" t="str">
        <f>_xlfn.IFNA(IF(I339&lt;&gt;0,VLOOKUP(I339,ItemText[],IFERROR(MATCH(UI!$B$1,ItemText[#Headers],0),2),FALSE),""),"Unset")</f>
        <v>端正的幽靜情景</v>
      </c>
      <c r="L339" t="str">
        <f t="shared" si="36"/>
        <v>6632900-透過潛在能力，能比較容易找到大盾</v>
      </c>
      <c r="M339">
        <v>6632900</v>
      </c>
      <c r="N339" t="str">
        <f>IF(VALUE(M339)=0,"",VLOOKUP(VLOOKUP(M339,Tbl_Effect[],3,FALSE),EffectName[],IFERROR(MATCH(UI!$B$1,EffectName[#Headers],0),2),FALSE))</f>
        <v>透過潛在能力，能比較容易找到大盾</v>
      </c>
      <c r="O339" t="str">
        <f t="shared" si="37"/>
        <v>6633200-透過潛在能力，能比較容易找到火把</v>
      </c>
      <c r="P339">
        <v>6633200</v>
      </c>
      <c r="Q339" t="str">
        <f>IF(VALUE(P339)=0,"",VLOOKUP(VLOOKUP(P339,Tbl_Effect[],3,FALSE),EffectName[],IFERROR(MATCH(UI!$B$1,EffectName[#Headers],0),2),FALSE))</f>
        <v>透過潛在能力，能比較容易找到火把</v>
      </c>
      <c r="R339" t="e">
        <f t="shared" si="38"/>
        <v>#N/A</v>
      </c>
      <c r="S339" t="e">
        <v>#N/A</v>
      </c>
      <c r="T339" t="e">
        <f>IF(VALUE(S339)=0,"",VLOOKUP(VLOOKUP(S339,Tbl_Effect[],3,FALSE),EffectName[],IFERROR(MATCH(UI!$B$1,EffectName[#Headers],0),2),FALSE))</f>
        <v>#N/A</v>
      </c>
      <c r="U339" t="str">
        <f t="shared" si="39"/>
        <v/>
      </c>
      <c r="V339">
        <v>0</v>
      </c>
      <c r="W339" t="str">
        <f>IF(V339&lt;&gt;0,VLOOKUP(VLOOKUP(V339,Tbl_Effect[],3,FALSE),EffectName[],IFERROR(MATCH(UI!$B$1,EffectName[#Headers],0),2),FALSE),"")</f>
        <v/>
      </c>
      <c r="X339" t="str">
        <f t="shared" si="40"/>
        <v/>
      </c>
      <c r="Y339">
        <v>0</v>
      </c>
      <c r="Z339" t="str">
        <f>IF(Y339&lt;&gt;0,VLOOKUP(VLOOKUP(Y339,Tbl_Effect[],3,FALSE),EffectName[],IFERROR(MATCH(UI!$B$1,EffectName[#Headers],0),2),FALSE),"")</f>
        <v/>
      </c>
      <c r="AA339" t="str">
        <f t="shared" si="41"/>
        <v/>
      </c>
      <c r="AB339">
        <v>0</v>
      </c>
      <c r="AC339" t="str">
        <f>IF(AB339&lt;&gt;0,VLOOKUP(VLOOKUP(AB339,Tbl_Effect[],3,FALSE),EffectName[],IFERROR(MATCH(UI!$B$1,EffectName[#Headers],0),2),FALSE),"")</f>
        <v/>
      </c>
      <c r="AE339">
        <v>6632900</v>
      </c>
      <c r="AF339">
        <v>6633200</v>
      </c>
      <c r="AG339" t="e">
        <v>#N/A</v>
      </c>
    </row>
    <row r="340" spans="8:33" x14ac:dyDescent="0.4">
      <c r="H340" t="str">
        <f t="shared" si="35"/>
        <v>1001302-遼闊的幽靜情景 (綠)</v>
      </c>
      <c r="I340">
        <v>1001302</v>
      </c>
      <c r="J340" t="str">
        <f>_xlfn.IFNA(IF(I340&lt;&gt;0,VLOOKUP(VLOOKUP(I340,Tbl_Equip[],2,FALSE),Tbl_Color[],IFERROR(MATCH(UI!$B$1,Tbl_Color[#Headers],0),2),FALSE),""),"Unset")</f>
        <v>綠</v>
      </c>
      <c r="K340" t="str">
        <f>_xlfn.IFNA(IF(I340&lt;&gt;0,VLOOKUP(I340,ItemText[],IFERROR(MATCH(UI!$B$1,ItemText[#Headers],0),2),FALSE),""),"Unset")</f>
        <v>遼闊的幽靜情景</v>
      </c>
      <c r="L340" t="str">
        <f t="shared" si="36"/>
        <v>6633000-透過潛在能力，能比較容易找到手杖</v>
      </c>
      <c r="M340">
        <v>6633000</v>
      </c>
      <c r="N340" t="str">
        <f>IF(VALUE(M340)=0,"",VLOOKUP(VLOOKUP(M340,Tbl_Effect[],3,FALSE),EffectName[],IFERROR(MATCH(UI!$B$1,EffectName[#Headers],0),2),FALSE))</f>
        <v>透過潛在能力，能比較容易找到手杖</v>
      </c>
      <c r="O340" t="str">
        <f t="shared" si="37"/>
        <v>6647200-【學者】提升集中力，但降低生命力</v>
      </c>
      <c r="P340">
        <v>6647200</v>
      </c>
      <c r="Q340" t="str">
        <f>IF(VALUE(P340)=0,"",VLOOKUP(VLOOKUP(P340,Tbl_Effect[],3,FALSE),EffectName[],IFERROR(MATCH(UI!$B$1,EffectName[#Headers],0),2),FALSE))</f>
        <v>【學者】提升集中力，但降低生命力</v>
      </c>
      <c r="R340" t="e">
        <f t="shared" si="38"/>
        <v>#N/A</v>
      </c>
      <c r="S340" t="e">
        <v>#N/A</v>
      </c>
      <c r="T340" t="e">
        <f>IF(VALUE(S340)=0,"",VLOOKUP(VLOOKUP(S340,Tbl_Effect[],3,FALSE),EffectName[],IFERROR(MATCH(UI!$B$1,EffectName[#Headers],0),2),FALSE))</f>
        <v>#N/A</v>
      </c>
      <c r="U340" t="str">
        <f t="shared" si="39"/>
        <v/>
      </c>
      <c r="V340">
        <v>0</v>
      </c>
      <c r="W340" t="str">
        <f>IF(V340&lt;&gt;0,VLOOKUP(VLOOKUP(V340,Tbl_Effect[],3,FALSE),EffectName[],IFERROR(MATCH(UI!$B$1,EffectName[#Headers],0),2),FALSE),"")</f>
        <v/>
      </c>
      <c r="X340" t="str">
        <f t="shared" si="40"/>
        <v/>
      </c>
      <c r="Y340">
        <v>0</v>
      </c>
      <c r="Z340" t="str">
        <f>IF(Y340&lt;&gt;0,VLOOKUP(VLOOKUP(Y340,Tbl_Effect[],3,FALSE),EffectName[],IFERROR(MATCH(UI!$B$1,EffectName[#Headers],0),2),FALSE),"")</f>
        <v/>
      </c>
      <c r="AA340" t="str">
        <f t="shared" si="41"/>
        <v/>
      </c>
      <c r="AB340">
        <v>0</v>
      </c>
      <c r="AC340" t="str">
        <f>IF(AB340&lt;&gt;0,VLOOKUP(VLOOKUP(AB340,Tbl_Effect[],3,FALSE),EffectName[],IFERROR(MATCH(UI!$B$1,EffectName[#Headers],0),2),FALSE),"")</f>
        <v/>
      </c>
      <c r="AE340">
        <v>6633000</v>
      </c>
      <c r="AF340">
        <v>6647200</v>
      </c>
      <c r="AG340" t="e">
        <v>#N/A</v>
      </c>
    </row>
    <row r="341" spans="8:33" x14ac:dyDescent="0.4">
      <c r="H341" t="str">
        <f t="shared" si="35"/>
        <v>1001310-細膩的幽靜情景 (綠)</v>
      </c>
      <c r="I341">
        <v>1001310</v>
      </c>
      <c r="J341" t="str">
        <f>_xlfn.IFNA(IF(I341&lt;&gt;0,VLOOKUP(VLOOKUP(I341,Tbl_Equip[],2,FALSE),Tbl_Color[],IFERROR(MATCH(UI!$B$1,Tbl_Color[#Headers],0),2),FALSE),""),"Unset")</f>
        <v>綠</v>
      </c>
      <c r="K341" t="str">
        <f>_xlfn.IFNA(IF(I341&lt;&gt;0,VLOOKUP(I341,ItemText[],IFERROR(MATCH(UI!$B$1,ItemText[#Headers],0),2),FALSE),""),"Unset")</f>
        <v>細膩的幽靜情景</v>
      </c>
      <c r="L341" t="str">
        <f t="shared" si="36"/>
        <v>6633100-透過潛在能力，能比較容易找到聖印記</v>
      </c>
      <c r="M341">
        <v>6633100</v>
      </c>
      <c r="N341" t="str">
        <f>IF(VALUE(M341)=0,"",VLOOKUP(VLOOKUP(M341,Tbl_Effect[],3,FALSE),EffectName[],IFERROR(MATCH(UI!$B$1,EffectName[#Headers],0),2),FALSE))</f>
        <v>透過潛在能力，能比較容易找到聖印記</v>
      </c>
      <c r="O341" t="str">
        <f t="shared" si="37"/>
        <v>6647300-【學者】提升耐力、靈巧，但降低智力、感應</v>
      </c>
      <c r="P341">
        <v>6647300</v>
      </c>
      <c r="Q341" t="str">
        <f>IF(VALUE(P341)=0,"",VLOOKUP(VLOOKUP(P341,Tbl_Effect[],3,FALSE),EffectName[],IFERROR(MATCH(UI!$B$1,EffectName[#Headers],0),2),FALSE))</f>
        <v>【學者】提升耐力、靈巧，但降低智力、感應</v>
      </c>
      <c r="R341" t="e">
        <f t="shared" si="38"/>
        <v>#N/A</v>
      </c>
      <c r="S341" t="e">
        <v>#N/A</v>
      </c>
      <c r="T341" t="e">
        <f>IF(VALUE(S341)=0,"",VLOOKUP(VLOOKUP(S341,Tbl_Effect[],3,FALSE),EffectName[],IFERROR(MATCH(UI!$B$1,EffectName[#Headers],0),2),FALSE))</f>
        <v>#N/A</v>
      </c>
      <c r="U341" t="str">
        <f t="shared" si="39"/>
        <v/>
      </c>
      <c r="V341">
        <v>0</v>
      </c>
      <c r="W341" t="str">
        <f>IF(V341&lt;&gt;0,VLOOKUP(VLOOKUP(V341,Tbl_Effect[],3,FALSE),EffectName[],IFERROR(MATCH(UI!$B$1,EffectName[#Headers],0),2),FALSE),"")</f>
        <v/>
      </c>
      <c r="X341" t="str">
        <f t="shared" si="40"/>
        <v/>
      </c>
      <c r="Y341">
        <v>0</v>
      </c>
      <c r="Z341" t="str">
        <f>IF(Y341&lt;&gt;0,VLOOKUP(VLOOKUP(Y341,Tbl_Effect[],3,FALSE),EffectName[],IFERROR(MATCH(UI!$B$1,EffectName[#Headers],0),2),FALSE),"")</f>
        <v/>
      </c>
      <c r="AA341" t="str">
        <f t="shared" si="41"/>
        <v/>
      </c>
      <c r="AB341">
        <v>0</v>
      </c>
      <c r="AC341" t="str">
        <f>IF(AB341&lt;&gt;0,VLOOKUP(VLOOKUP(AB341,Tbl_Effect[],3,FALSE),EffectName[],IFERROR(MATCH(UI!$B$1,EffectName[#Headers],0),2),FALSE),"")</f>
        <v/>
      </c>
      <c r="AE341">
        <v>6633100</v>
      </c>
      <c r="AF341">
        <v>6647300</v>
      </c>
      <c r="AG341" t="e">
        <v>#N/A</v>
      </c>
    </row>
    <row r="342" spans="8:33" x14ac:dyDescent="0.4">
      <c r="H342" t="str">
        <f t="shared" si="35"/>
        <v>1001311-端正的幽靜情景 (綠)</v>
      </c>
      <c r="I342">
        <v>1001311</v>
      </c>
      <c r="J342" t="str">
        <f>_xlfn.IFNA(IF(I342&lt;&gt;0,VLOOKUP(VLOOKUP(I342,Tbl_Equip[],2,FALSE),Tbl_Color[],IFERROR(MATCH(UI!$B$1,Tbl_Color[#Headers],0),2),FALSE),""),"Unset")</f>
        <v>綠</v>
      </c>
      <c r="K342" t="str">
        <f>_xlfn.IFNA(IF(I342&lt;&gt;0,VLOOKUP(I342,ItemText[],IFERROR(MATCH(UI!$B$1,ItemText[#Headers],0),2),FALSE),""),"Unset")</f>
        <v>端正的幽靜情景</v>
      </c>
      <c r="L342" t="str">
        <f t="shared" si="36"/>
        <v>6633200-透過潛在能力，能比較容易找到火把</v>
      </c>
      <c r="M342">
        <v>6633200</v>
      </c>
      <c r="N342" t="str">
        <f>IF(VALUE(M342)=0,"",VLOOKUP(VLOOKUP(M342,Tbl_Effect[],3,FALSE),EffectName[],IFERROR(MATCH(UI!$B$1,EffectName[#Headers],0),2),FALSE))</f>
        <v>透過潛在能力，能比較容易找到火把</v>
      </c>
      <c r="O342" t="str">
        <f t="shared" si="37"/>
        <v>6647400-【送葬者】提升靈巧，但降低生命力、信仰</v>
      </c>
      <c r="P342">
        <v>6647400</v>
      </c>
      <c r="Q342" t="str">
        <f>IF(VALUE(P342)=0,"",VLOOKUP(VLOOKUP(P342,Tbl_Effect[],3,FALSE),EffectName[],IFERROR(MATCH(UI!$B$1,EffectName[#Headers],0),2),FALSE))</f>
        <v>【送葬者】提升靈巧，但降低生命力、信仰</v>
      </c>
      <c r="R342" t="e">
        <f t="shared" si="38"/>
        <v>#N/A</v>
      </c>
      <c r="S342" t="e">
        <v>#N/A</v>
      </c>
      <c r="T342" t="e">
        <f>IF(VALUE(S342)=0,"",VLOOKUP(VLOOKUP(S342,Tbl_Effect[],3,FALSE),EffectName[],IFERROR(MATCH(UI!$B$1,EffectName[#Headers],0),2),FALSE))</f>
        <v>#N/A</v>
      </c>
      <c r="U342" t="str">
        <f t="shared" si="39"/>
        <v/>
      </c>
      <c r="V342">
        <v>0</v>
      </c>
      <c r="W342" t="str">
        <f>IF(V342&lt;&gt;0,VLOOKUP(VLOOKUP(V342,Tbl_Effect[],3,FALSE),EffectName[],IFERROR(MATCH(UI!$B$1,EffectName[#Headers],0),2),FALSE),"")</f>
        <v/>
      </c>
      <c r="X342" t="str">
        <f t="shared" si="40"/>
        <v/>
      </c>
      <c r="Y342">
        <v>0</v>
      </c>
      <c r="Z342" t="str">
        <f>IF(Y342&lt;&gt;0,VLOOKUP(VLOOKUP(Y342,Tbl_Effect[],3,FALSE),EffectName[],IFERROR(MATCH(UI!$B$1,EffectName[#Headers],0),2),FALSE),"")</f>
        <v/>
      </c>
      <c r="AA342" t="str">
        <f t="shared" si="41"/>
        <v/>
      </c>
      <c r="AB342">
        <v>0</v>
      </c>
      <c r="AC342" t="str">
        <f>IF(AB342&lt;&gt;0,VLOOKUP(VLOOKUP(AB342,Tbl_Effect[],3,FALSE),EffectName[],IFERROR(MATCH(UI!$B$1,EffectName[#Headers],0),2),FALSE),"")</f>
        <v/>
      </c>
      <c r="AE342">
        <v>6633200</v>
      </c>
      <c r="AF342">
        <v>6647400</v>
      </c>
      <c r="AG342" t="e">
        <v>#N/A</v>
      </c>
    </row>
    <row r="343" spans="8:33" x14ac:dyDescent="0.4">
      <c r="H343" t="str">
        <f t="shared" si="35"/>
        <v>1001312-遼闊的幽靜情景 (綠)</v>
      </c>
      <c r="I343">
        <v>1001312</v>
      </c>
      <c r="J343" t="str">
        <f>_xlfn.IFNA(IF(I343&lt;&gt;0,VLOOKUP(VLOOKUP(I343,Tbl_Equip[],2,FALSE),Tbl_Color[],IFERROR(MATCH(UI!$B$1,Tbl_Color[#Headers],0),2),FALSE),""),"Unset")</f>
        <v>綠</v>
      </c>
      <c r="K343" t="str">
        <f>_xlfn.IFNA(IF(I343&lt;&gt;0,VLOOKUP(I343,ItemText[],IFERROR(MATCH(UI!$B$1,ItemText[#Headers],0),2),FALSE),""),"Unset")</f>
        <v>遼闊的幽靜情景</v>
      </c>
      <c r="L343" t="str">
        <f t="shared" si="36"/>
        <v>6647200-【學者】提升集中力，但降低生命力</v>
      </c>
      <c r="M343">
        <v>6647200</v>
      </c>
      <c r="N343" t="str">
        <f>IF(VALUE(M343)=0,"",VLOOKUP(VLOOKUP(M343,Tbl_Effect[],3,FALSE),EffectName[],IFERROR(MATCH(UI!$B$1,EffectName[#Headers],0),2),FALSE))</f>
        <v>【學者】提升集中力，但降低生命力</v>
      </c>
      <c r="O343" t="str">
        <f t="shared" si="37"/>
        <v>6647500-【送葬者】提升集中力、信仰，但降低力氣</v>
      </c>
      <c r="P343">
        <v>6647500</v>
      </c>
      <c r="Q343" t="str">
        <f>IF(VALUE(P343)=0,"",VLOOKUP(VLOOKUP(P343,Tbl_Effect[],3,FALSE),EffectName[],IFERROR(MATCH(UI!$B$1,EffectName[#Headers],0),2),FALSE))</f>
        <v>【送葬者】提升集中力、信仰，但降低力氣</v>
      </c>
      <c r="R343" t="e">
        <f t="shared" si="38"/>
        <v>#N/A</v>
      </c>
      <c r="S343" t="e">
        <v>#N/A</v>
      </c>
      <c r="T343" t="e">
        <f>IF(VALUE(S343)=0,"",VLOOKUP(VLOOKUP(S343,Tbl_Effect[],3,FALSE),EffectName[],IFERROR(MATCH(UI!$B$1,EffectName[#Headers],0),2),FALSE))</f>
        <v>#N/A</v>
      </c>
      <c r="U343" t="str">
        <f t="shared" si="39"/>
        <v/>
      </c>
      <c r="V343">
        <v>0</v>
      </c>
      <c r="W343" t="str">
        <f>IF(V343&lt;&gt;0,VLOOKUP(VLOOKUP(V343,Tbl_Effect[],3,FALSE),EffectName[],IFERROR(MATCH(UI!$B$1,EffectName[#Headers],0),2),FALSE),"")</f>
        <v/>
      </c>
      <c r="X343" t="str">
        <f t="shared" si="40"/>
        <v/>
      </c>
      <c r="Y343">
        <v>0</v>
      </c>
      <c r="Z343" t="str">
        <f>IF(Y343&lt;&gt;0,VLOOKUP(VLOOKUP(Y343,Tbl_Effect[],3,FALSE),EffectName[],IFERROR(MATCH(UI!$B$1,EffectName[#Headers],0),2),FALSE),"")</f>
        <v/>
      </c>
      <c r="AA343" t="str">
        <f t="shared" si="41"/>
        <v/>
      </c>
      <c r="AB343">
        <v>0</v>
      </c>
      <c r="AC343" t="str">
        <f>IF(AB343&lt;&gt;0,VLOOKUP(VLOOKUP(AB343,Tbl_Effect[],3,FALSE),EffectName[],IFERROR(MATCH(UI!$B$1,EffectName[#Headers],0),2),FALSE),"")</f>
        <v/>
      </c>
      <c r="AE343">
        <v>6647200</v>
      </c>
      <c r="AF343">
        <v>6647500</v>
      </c>
      <c r="AG343" t="e">
        <v>#N/A</v>
      </c>
    </row>
    <row r="344" spans="8:33" x14ac:dyDescent="0.4">
      <c r="H344" t="str">
        <f t="shared" si="35"/>
        <v>1001320-細膩的幽靜情景 (綠)</v>
      </c>
      <c r="I344">
        <v>1001320</v>
      </c>
      <c r="J344" t="str">
        <f>_xlfn.IFNA(IF(I344&lt;&gt;0,VLOOKUP(VLOOKUP(I344,Tbl_Equip[],2,FALSE),Tbl_Color[],IFERROR(MATCH(UI!$B$1,Tbl_Color[#Headers],0),2),FALSE),""),"Unset")</f>
        <v>綠</v>
      </c>
      <c r="K344" t="str">
        <f>_xlfn.IFNA(IF(I344&lt;&gt;0,VLOOKUP(I344,ItemText[],IFERROR(MATCH(UI!$B$1,ItemText[#Headers],0),2),FALSE),""),"Unset")</f>
        <v>細膩的幽靜情景</v>
      </c>
      <c r="L344" t="str">
        <f t="shared" si="36"/>
        <v>6647300-【學者】提升耐力、靈巧，但降低智力、感應</v>
      </c>
      <c r="M344">
        <v>6647300</v>
      </c>
      <c r="N344" t="str">
        <f>IF(VALUE(M344)=0,"",VLOOKUP(VLOOKUP(M344,Tbl_Effect[],3,FALSE),EffectName[],IFERROR(MATCH(UI!$B$1,EffectName[#Headers],0),2),FALSE))</f>
        <v>【學者】提升耐力、靈巧，但降低智力、感應</v>
      </c>
      <c r="O344" t="str">
        <f t="shared" si="37"/>
        <v>6640000-【追蹤者】提升集中力，但降低生命力</v>
      </c>
      <c r="P344">
        <v>6640000</v>
      </c>
      <c r="Q344" t="str">
        <f>IF(VALUE(P344)=0,"",VLOOKUP(VLOOKUP(P344,Tbl_Effect[],3,FALSE),EffectName[],IFERROR(MATCH(UI!$B$1,EffectName[#Headers],0),2),FALSE))</f>
        <v>【追蹤者】提升集中力，但降低生命力</v>
      </c>
      <c r="R344" t="e">
        <f t="shared" si="38"/>
        <v>#N/A</v>
      </c>
      <c r="S344" t="e">
        <v>#N/A</v>
      </c>
      <c r="T344" t="e">
        <f>IF(VALUE(S344)=0,"",VLOOKUP(VLOOKUP(S344,Tbl_Effect[],3,FALSE),EffectName[],IFERROR(MATCH(UI!$B$1,EffectName[#Headers],0),2),FALSE))</f>
        <v>#N/A</v>
      </c>
      <c r="U344" t="str">
        <f t="shared" si="39"/>
        <v/>
      </c>
      <c r="V344">
        <v>0</v>
      </c>
      <c r="W344" t="str">
        <f>IF(V344&lt;&gt;0,VLOOKUP(VLOOKUP(V344,Tbl_Effect[],3,FALSE),EffectName[],IFERROR(MATCH(UI!$B$1,EffectName[#Headers],0),2),FALSE),"")</f>
        <v/>
      </c>
      <c r="X344" t="str">
        <f t="shared" si="40"/>
        <v/>
      </c>
      <c r="Y344">
        <v>0</v>
      </c>
      <c r="Z344" t="str">
        <f>IF(Y344&lt;&gt;0,VLOOKUP(VLOOKUP(Y344,Tbl_Effect[],3,FALSE),EffectName[],IFERROR(MATCH(UI!$B$1,EffectName[#Headers],0),2),FALSE),"")</f>
        <v/>
      </c>
      <c r="AA344" t="str">
        <f t="shared" si="41"/>
        <v/>
      </c>
      <c r="AB344">
        <v>0</v>
      </c>
      <c r="AC344" t="str">
        <f>IF(AB344&lt;&gt;0,VLOOKUP(VLOOKUP(AB344,Tbl_Effect[],3,FALSE),EffectName[],IFERROR(MATCH(UI!$B$1,EffectName[#Headers],0),2),FALSE),"")</f>
        <v/>
      </c>
      <c r="AE344">
        <v>6647300</v>
      </c>
      <c r="AF344">
        <v>6640000</v>
      </c>
      <c r="AG344" t="e">
        <v>#N/A</v>
      </c>
    </row>
    <row r="345" spans="8:33" x14ac:dyDescent="0.4">
      <c r="H345" t="str">
        <f t="shared" si="35"/>
        <v>1001321-端正的幽靜情景 (綠)</v>
      </c>
      <c r="I345">
        <v>1001321</v>
      </c>
      <c r="J345" t="str">
        <f>_xlfn.IFNA(IF(I345&lt;&gt;0,VLOOKUP(VLOOKUP(I345,Tbl_Equip[],2,FALSE),Tbl_Color[],IFERROR(MATCH(UI!$B$1,Tbl_Color[#Headers],0),2),FALSE),""),"Unset")</f>
        <v>綠</v>
      </c>
      <c r="K345" t="str">
        <f>_xlfn.IFNA(IF(I345&lt;&gt;0,VLOOKUP(I345,ItemText[],IFERROR(MATCH(UI!$B$1,ItemText[#Headers],0),2),FALSE),""),"Unset")</f>
        <v>端正的幽靜情景</v>
      </c>
      <c r="L345" t="str">
        <f t="shared" si="36"/>
        <v>6647400-【送葬者】提升靈巧，但降低生命力、信仰</v>
      </c>
      <c r="M345">
        <v>6647400</v>
      </c>
      <c r="N345" t="str">
        <f>IF(VALUE(M345)=0,"",VLOOKUP(VLOOKUP(M345,Tbl_Effect[],3,FALSE),EffectName[],IFERROR(MATCH(UI!$B$1,EffectName[#Headers],0),2),FALSE))</f>
        <v>【送葬者】提升靈巧，但降低生命力、信仰</v>
      </c>
      <c r="O345" t="str">
        <f t="shared" si="37"/>
        <v>6640100-【追蹤者】提升智力、信仰，但降低力氣、靈巧</v>
      </c>
      <c r="P345">
        <v>6640100</v>
      </c>
      <c r="Q345" t="str">
        <f>IF(VALUE(P345)=0,"",VLOOKUP(VLOOKUP(P345,Tbl_Effect[],3,FALSE),EffectName[],IFERROR(MATCH(UI!$B$1,EffectName[#Headers],0),2),FALSE))</f>
        <v>【追蹤者】提升智力、信仰，但降低力氣、靈巧</v>
      </c>
      <c r="R345" t="e">
        <f t="shared" si="38"/>
        <v>#N/A</v>
      </c>
      <c r="S345" t="e">
        <v>#N/A</v>
      </c>
      <c r="T345" t="e">
        <f>IF(VALUE(S345)=0,"",VLOOKUP(VLOOKUP(S345,Tbl_Effect[],3,FALSE),EffectName[],IFERROR(MATCH(UI!$B$1,EffectName[#Headers],0),2),FALSE))</f>
        <v>#N/A</v>
      </c>
      <c r="U345" t="str">
        <f t="shared" si="39"/>
        <v/>
      </c>
      <c r="V345">
        <v>0</v>
      </c>
      <c r="W345" t="str">
        <f>IF(V345&lt;&gt;0,VLOOKUP(VLOOKUP(V345,Tbl_Effect[],3,FALSE),EffectName[],IFERROR(MATCH(UI!$B$1,EffectName[#Headers],0),2),FALSE),"")</f>
        <v/>
      </c>
      <c r="X345" t="str">
        <f t="shared" si="40"/>
        <v/>
      </c>
      <c r="Y345">
        <v>0</v>
      </c>
      <c r="Z345" t="str">
        <f>IF(Y345&lt;&gt;0,VLOOKUP(VLOOKUP(Y345,Tbl_Effect[],3,FALSE),EffectName[],IFERROR(MATCH(UI!$B$1,EffectName[#Headers],0),2),FALSE),"")</f>
        <v/>
      </c>
      <c r="AA345" t="str">
        <f t="shared" si="41"/>
        <v/>
      </c>
      <c r="AB345">
        <v>0</v>
      </c>
      <c r="AC345" t="str">
        <f>IF(AB345&lt;&gt;0,VLOOKUP(VLOOKUP(AB345,Tbl_Effect[],3,FALSE),EffectName[],IFERROR(MATCH(UI!$B$1,EffectName[#Headers],0),2),FALSE),"")</f>
        <v/>
      </c>
      <c r="AE345">
        <v>6647400</v>
      </c>
      <c r="AF345">
        <v>6640100</v>
      </c>
      <c r="AG345" t="e">
        <v>#N/A</v>
      </c>
    </row>
    <row r="346" spans="8:33" x14ac:dyDescent="0.4">
      <c r="H346" t="str">
        <f t="shared" si="35"/>
        <v>1001322-遼闊的幽靜情景 (綠)</v>
      </c>
      <c r="I346">
        <v>1001322</v>
      </c>
      <c r="J346" t="str">
        <f>_xlfn.IFNA(IF(I346&lt;&gt;0,VLOOKUP(VLOOKUP(I346,Tbl_Equip[],2,FALSE),Tbl_Color[],IFERROR(MATCH(UI!$B$1,Tbl_Color[#Headers],0),2),FALSE),""),"Unset")</f>
        <v>綠</v>
      </c>
      <c r="K346" t="str">
        <f>_xlfn.IFNA(IF(I346&lt;&gt;0,VLOOKUP(I346,ItemText[],IFERROR(MATCH(UI!$B$1,ItemText[#Headers],0),2),FALSE),""),"Unset")</f>
        <v>遼闊的幽靜情景</v>
      </c>
      <c r="L346" t="str">
        <f t="shared" si="36"/>
        <v>6647500-【送葬者】提升集中力、信仰，但降低力氣</v>
      </c>
      <c r="M346">
        <v>6647500</v>
      </c>
      <c r="N346" t="str">
        <f>IF(VALUE(M346)=0,"",VLOOKUP(VLOOKUP(M346,Tbl_Effect[],3,FALSE),EffectName[],IFERROR(MATCH(UI!$B$1,EffectName[#Headers],0),2),FALSE))</f>
        <v>【送葬者】提升集中力、信仰，但降低力氣</v>
      </c>
      <c r="O346" t="str">
        <f t="shared" si="37"/>
        <v>6641000-【守護者】提升力氣、靈巧，但降低生命力</v>
      </c>
      <c r="P346">
        <v>6641000</v>
      </c>
      <c r="Q346" t="str">
        <f>IF(VALUE(P346)=0,"",VLOOKUP(VLOOKUP(P346,Tbl_Effect[],3,FALSE),EffectName[],IFERROR(MATCH(UI!$B$1,EffectName[#Headers],0),2),FALSE))</f>
        <v>【守護者】提升力氣、靈巧，但降低生命力</v>
      </c>
      <c r="R346" t="e">
        <f t="shared" si="38"/>
        <v>#N/A</v>
      </c>
      <c r="S346" t="e">
        <v>#N/A</v>
      </c>
      <c r="T346" t="e">
        <f>IF(VALUE(S346)=0,"",VLOOKUP(VLOOKUP(S346,Tbl_Effect[],3,FALSE),EffectName[],IFERROR(MATCH(UI!$B$1,EffectName[#Headers],0),2),FALSE))</f>
        <v>#N/A</v>
      </c>
      <c r="U346" t="str">
        <f t="shared" si="39"/>
        <v/>
      </c>
      <c r="V346">
        <v>0</v>
      </c>
      <c r="W346" t="str">
        <f>IF(V346&lt;&gt;0,VLOOKUP(VLOOKUP(V346,Tbl_Effect[],3,FALSE),EffectName[],IFERROR(MATCH(UI!$B$1,EffectName[#Headers],0),2),FALSE),"")</f>
        <v/>
      </c>
      <c r="X346" t="str">
        <f t="shared" si="40"/>
        <v/>
      </c>
      <c r="Y346">
        <v>0</v>
      </c>
      <c r="Z346" t="str">
        <f>IF(Y346&lt;&gt;0,VLOOKUP(VLOOKUP(Y346,Tbl_Effect[],3,FALSE),EffectName[],IFERROR(MATCH(UI!$B$1,EffectName[#Headers],0),2),FALSE),"")</f>
        <v/>
      </c>
      <c r="AA346" t="str">
        <f t="shared" si="41"/>
        <v/>
      </c>
      <c r="AB346">
        <v>0</v>
      </c>
      <c r="AC346" t="str">
        <f>IF(AB346&lt;&gt;0,VLOOKUP(VLOOKUP(AB346,Tbl_Effect[],3,FALSE),EffectName[],IFERROR(MATCH(UI!$B$1,EffectName[#Headers],0),2),FALSE),"")</f>
        <v/>
      </c>
      <c r="AE346">
        <v>6647500</v>
      </c>
      <c r="AF346">
        <v>6641000</v>
      </c>
      <c r="AG346" t="e">
        <v>#N/A</v>
      </c>
    </row>
    <row r="347" spans="8:33" x14ac:dyDescent="0.4">
      <c r="H347" t="str">
        <f t="shared" si="35"/>
        <v>1002000-細膩的火燃情景 (紅)</v>
      </c>
      <c r="I347">
        <v>1002000</v>
      </c>
      <c r="J347" t="str">
        <f>_xlfn.IFNA(IF(I347&lt;&gt;0,VLOOKUP(VLOOKUP(I347,Tbl_Equip[],2,FALSE),Tbl_Color[],IFERROR(MATCH(UI!$B$1,Tbl_Color[#Headers],0),2),FALSE),""),"Unset")</f>
        <v>紅</v>
      </c>
      <c r="K347" t="str">
        <f>_xlfn.IFNA(IF(I347&lt;&gt;0,VLOOKUP(I347,ItemText[],IFERROR(MATCH(UI!$B$1,ItemText[#Headers],0),2),FALSE),""),"Unset")</f>
        <v>細膩的火燃情景</v>
      </c>
      <c r="L347" t="str">
        <f t="shared" si="36"/>
        <v>6640000-【追蹤者】提升集中力，但降低生命力</v>
      </c>
      <c r="M347">
        <v>6640000</v>
      </c>
      <c r="N347" t="str">
        <f>IF(VALUE(M347)=0,"",VLOOKUP(VLOOKUP(M347,Tbl_Effect[],3,FALSE),EffectName[],IFERROR(MATCH(UI!$B$1,EffectName[#Headers],0),2),FALSE))</f>
        <v>【追蹤者】提升集中力，但降低生命力</v>
      </c>
      <c r="O347" t="str">
        <f t="shared" si="37"/>
        <v>6641100-【守護者】提升集中力、信仰，但降低生命力</v>
      </c>
      <c r="P347">
        <v>6641100</v>
      </c>
      <c r="Q347" t="str">
        <f>IF(VALUE(P347)=0,"",VLOOKUP(VLOOKUP(P347,Tbl_Effect[],3,FALSE),EffectName[],IFERROR(MATCH(UI!$B$1,EffectName[#Headers],0),2),FALSE))</f>
        <v>【守護者】提升集中力、信仰，但降低生命力</v>
      </c>
      <c r="R347" t="e">
        <f t="shared" si="38"/>
        <v>#N/A</v>
      </c>
      <c r="S347" t="e">
        <v>#N/A</v>
      </c>
      <c r="T347" t="e">
        <f>IF(VALUE(S347)=0,"",VLOOKUP(VLOOKUP(S347,Tbl_Effect[],3,FALSE),EffectName[],IFERROR(MATCH(UI!$B$1,EffectName[#Headers],0),2),FALSE))</f>
        <v>#N/A</v>
      </c>
      <c r="U347" t="str">
        <f t="shared" si="39"/>
        <v/>
      </c>
      <c r="V347">
        <v>0</v>
      </c>
      <c r="W347" t="str">
        <f>IF(V347&lt;&gt;0,VLOOKUP(VLOOKUP(V347,Tbl_Effect[],3,FALSE),EffectName[],IFERROR(MATCH(UI!$B$1,EffectName[#Headers],0),2),FALSE),"")</f>
        <v/>
      </c>
      <c r="X347" t="str">
        <f t="shared" si="40"/>
        <v/>
      </c>
      <c r="Y347">
        <v>0</v>
      </c>
      <c r="Z347" t="str">
        <f>IF(Y347&lt;&gt;0,VLOOKUP(VLOOKUP(Y347,Tbl_Effect[],3,FALSE),EffectName[],IFERROR(MATCH(UI!$B$1,EffectName[#Headers],0),2),FALSE),"")</f>
        <v/>
      </c>
      <c r="AA347" t="str">
        <f t="shared" si="41"/>
        <v/>
      </c>
      <c r="AB347">
        <v>0</v>
      </c>
      <c r="AC347" t="str">
        <f>IF(AB347&lt;&gt;0,VLOOKUP(VLOOKUP(AB347,Tbl_Effect[],3,FALSE),EffectName[],IFERROR(MATCH(UI!$B$1,EffectName[#Headers],0),2),FALSE),"")</f>
        <v/>
      </c>
      <c r="AE347">
        <v>6640000</v>
      </c>
      <c r="AF347">
        <v>6641100</v>
      </c>
      <c r="AG347" t="e">
        <v>#N/A</v>
      </c>
    </row>
    <row r="348" spans="8:33" x14ac:dyDescent="0.4">
      <c r="H348" t="str">
        <f t="shared" si="35"/>
        <v>1002001-端正的火燃情景 (紅)</v>
      </c>
      <c r="I348">
        <v>1002001</v>
      </c>
      <c r="J348" t="str">
        <f>_xlfn.IFNA(IF(I348&lt;&gt;0,VLOOKUP(VLOOKUP(I348,Tbl_Equip[],2,FALSE),Tbl_Color[],IFERROR(MATCH(UI!$B$1,Tbl_Color[#Headers],0),2),FALSE),""),"Unset")</f>
        <v>紅</v>
      </c>
      <c r="K348" t="str">
        <f>_xlfn.IFNA(IF(I348&lt;&gt;0,VLOOKUP(I348,ItemText[],IFERROR(MATCH(UI!$B$1,ItemText[#Headers],0),2),FALSE),""),"Unset")</f>
        <v>端正的火燃情景</v>
      </c>
      <c r="L348" t="str">
        <f t="shared" si="36"/>
        <v>6640100-【追蹤者】提升智力、信仰，但降低力氣、靈巧</v>
      </c>
      <c r="M348">
        <v>6640100</v>
      </c>
      <c r="N348" t="str">
        <f>IF(VALUE(M348)=0,"",VLOOKUP(VLOOKUP(M348,Tbl_Effect[],3,FALSE),EffectName[],IFERROR(MATCH(UI!$B$1,EffectName[#Headers],0),2),FALSE))</f>
        <v>【追蹤者】提升智力、信仰，但降低力氣、靈巧</v>
      </c>
      <c r="O348" t="str">
        <f t="shared" si="37"/>
        <v>6642000-【鐵之眼】提升感應，但降低靈巧</v>
      </c>
      <c r="P348">
        <v>6642000</v>
      </c>
      <c r="Q348" t="str">
        <f>IF(VALUE(P348)=0,"",VLOOKUP(VLOOKUP(P348,Tbl_Effect[],3,FALSE),EffectName[],IFERROR(MATCH(UI!$B$1,EffectName[#Headers],0),2),FALSE))</f>
        <v>【鐵之眼】提升感應，但降低靈巧</v>
      </c>
      <c r="R348" t="e">
        <f t="shared" si="38"/>
        <v>#N/A</v>
      </c>
      <c r="S348" t="e">
        <v>#N/A</v>
      </c>
      <c r="T348" t="e">
        <f>IF(VALUE(S348)=0,"",VLOOKUP(VLOOKUP(S348,Tbl_Effect[],3,FALSE),EffectName[],IFERROR(MATCH(UI!$B$1,EffectName[#Headers],0),2),FALSE))</f>
        <v>#N/A</v>
      </c>
      <c r="U348" t="str">
        <f t="shared" si="39"/>
        <v/>
      </c>
      <c r="V348">
        <v>0</v>
      </c>
      <c r="W348" t="str">
        <f>IF(V348&lt;&gt;0,VLOOKUP(VLOOKUP(V348,Tbl_Effect[],3,FALSE),EffectName[],IFERROR(MATCH(UI!$B$1,EffectName[#Headers],0),2),FALSE),"")</f>
        <v/>
      </c>
      <c r="X348" t="str">
        <f t="shared" si="40"/>
        <v/>
      </c>
      <c r="Y348">
        <v>0</v>
      </c>
      <c r="Z348" t="str">
        <f>IF(Y348&lt;&gt;0,VLOOKUP(VLOOKUP(Y348,Tbl_Effect[],3,FALSE),EffectName[],IFERROR(MATCH(UI!$B$1,EffectName[#Headers],0),2),FALSE),"")</f>
        <v/>
      </c>
      <c r="AA348" t="str">
        <f t="shared" si="41"/>
        <v/>
      </c>
      <c r="AB348">
        <v>0</v>
      </c>
      <c r="AC348" t="str">
        <f>IF(AB348&lt;&gt;0,VLOOKUP(VLOOKUP(AB348,Tbl_Effect[],3,FALSE),EffectName[],IFERROR(MATCH(UI!$B$1,EffectName[#Headers],0),2),FALSE),"")</f>
        <v/>
      </c>
      <c r="AE348">
        <v>6640100</v>
      </c>
      <c r="AF348">
        <v>6642000</v>
      </c>
      <c r="AG348" t="e">
        <v>#N/A</v>
      </c>
    </row>
    <row r="349" spans="8:33" x14ac:dyDescent="0.4">
      <c r="H349" t="str">
        <f t="shared" si="35"/>
        <v>1002002-遼闊的火燃情景 (紅)</v>
      </c>
      <c r="I349">
        <v>1002002</v>
      </c>
      <c r="J349" t="str">
        <f>_xlfn.IFNA(IF(I349&lt;&gt;0,VLOOKUP(VLOOKUP(I349,Tbl_Equip[],2,FALSE),Tbl_Color[],IFERROR(MATCH(UI!$B$1,Tbl_Color[#Headers],0),2),FALSE),""),"Unset")</f>
        <v>紅</v>
      </c>
      <c r="K349" t="str">
        <f>_xlfn.IFNA(IF(I349&lt;&gt;0,VLOOKUP(I349,ItemText[],IFERROR(MATCH(UI!$B$1,ItemText[#Headers],0),2),FALSE),""),"Unset")</f>
        <v>遼闊的火燃情景</v>
      </c>
      <c r="L349" t="str">
        <f t="shared" si="36"/>
        <v>6641000-【守護者】提升力氣、靈巧，但降低生命力</v>
      </c>
      <c r="M349">
        <v>6641000</v>
      </c>
      <c r="N349" t="str">
        <f>IF(VALUE(M349)=0,"",VLOOKUP(VLOOKUP(M349,Tbl_Effect[],3,FALSE),EffectName[],IFERROR(MATCH(UI!$B$1,EffectName[#Headers],0),2),FALSE))</f>
        <v>【守護者】提升力氣、靈巧，但降低生命力</v>
      </c>
      <c r="O349" t="str">
        <f t="shared" si="37"/>
        <v>6642100-【鐵之眼】提升生命力、力氣，但降低靈巧</v>
      </c>
      <c r="P349">
        <v>6642100</v>
      </c>
      <c r="Q349" t="str">
        <f>IF(VALUE(P349)=0,"",VLOOKUP(VLOOKUP(P349,Tbl_Effect[],3,FALSE),EffectName[],IFERROR(MATCH(UI!$B$1,EffectName[#Headers],0),2),FALSE))</f>
        <v>【鐵之眼】提升生命力、力氣，但降低靈巧</v>
      </c>
      <c r="R349" t="e">
        <f t="shared" si="38"/>
        <v>#N/A</v>
      </c>
      <c r="S349" t="e">
        <v>#N/A</v>
      </c>
      <c r="T349" t="e">
        <f>IF(VALUE(S349)=0,"",VLOOKUP(VLOOKUP(S349,Tbl_Effect[],3,FALSE),EffectName[],IFERROR(MATCH(UI!$B$1,EffectName[#Headers],0),2),FALSE))</f>
        <v>#N/A</v>
      </c>
      <c r="U349" t="str">
        <f t="shared" si="39"/>
        <v/>
      </c>
      <c r="V349">
        <v>0</v>
      </c>
      <c r="W349" t="str">
        <f>IF(V349&lt;&gt;0,VLOOKUP(VLOOKUP(V349,Tbl_Effect[],3,FALSE),EffectName[],IFERROR(MATCH(UI!$B$1,EffectName[#Headers],0),2),FALSE),"")</f>
        <v/>
      </c>
      <c r="X349" t="str">
        <f t="shared" si="40"/>
        <v/>
      </c>
      <c r="Y349">
        <v>0</v>
      </c>
      <c r="Z349" t="str">
        <f>IF(Y349&lt;&gt;0,VLOOKUP(VLOOKUP(Y349,Tbl_Effect[],3,FALSE),EffectName[],IFERROR(MATCH(UI!$B$1,EffectName[#Headers],0),2),FALSE),"")</f>
        <v/>
      </c>
      <c r="AA349" t="str">
        <f t="shared" si="41"/>
        <v/>
      </c>
      <c r="AB349">
        <v>0</v>
      </c>
      <c r="AC349" t="str">
        <f>IF(AB349&lt;&gt;0,VLOOKUP(VLOOKUP(AB349,Tbl_Effect[],3,FALSE),EffectName[],IFERROR(MATCH(UI!$B$1,EffectName[#Headers],0),2),FALSE),"")</f>
        <v/>
      </c>
      <c r="AE349">
        <v>6641000</v>
      </c>
      <c r="AF349">
        <v>6642100</v>
      </c>
      <c r="AG349" t="e">
        <v>#N/A</v>
      </c>
    </row>
    <row r="350" spans="8:33" x14ac:dyDescent="0.4">
      <c r="H350" t="str">
        <f t="shared" si="35"/>
        <v>1002010-細膩的火燃情景 (紅)</v>
      </c>
      <c r="I350">
        <v>1002010</v>
      </c>
      <c r="J350" t="str">
        <f>_xlfn.IFNA(IF(I350&lt;&gt;0,VLOOKUP(VLOOKUP(I350,Tbl_Equip[],2,FALSE),Tbl_Color[],IFERROR(MATCH(UI!$B$1,Tbl_Color[#Headers],0),2),FALSE),""),"Unset")</f>
        <v>紅</v>
      </c>
      <c r="K350" t="str">
        <f>_xlfn.IFNA(IF(I350&lt;&gt;0,VLOOKUP(I350,ItemText[],IFERROR(MATCH(UI!$B$1,ItemText[#Headers],0),2),FALSE),""),"Unset")</f>
        <v>細膩的火燃情景</v>
      </c>
      <c r="L350" t="str">
        <f t="shared" si="36"/>
        <v>6641100-【守護者】提升集中力、信仰，但降低生命力</v>
      </c>
      <c r="M350">
        <v>6641100</v>
      </c>
      <c r="N350" t="str">
        <f>IF(VALUE(M350)=0,"",VLOOKUP(VLOOKUP(M350,Tbl_Effect[],3,FALSE),EffectName[],IFERROR(MATCH(UI!$B$1,EffectName[#Headers],0),2),FALSE))</f>
        <v>【守護者】提升集中力、信仰，但降低生命力</v>
      </c>
      <c r="O350" t="str">
        <f t="shared" si="37"/>
        <v>6643000-【女爵】提升生命力、力氣，但降低集中力</v>
      </c>
      <c r="P350">
        <v>6643000</v>
      </c>
      <c r="Q350" t="str">
        <f>IF(VALUE(P350)=0,"",VLOOKUP(VLOOKUP(P350,Tbl_Effect[],3,FALSE),EffectName[],IFERROR(MATCH(UI!$B$1,EffectName[#Headers],0),2),FALSE))</f>
        <v>【女爵】提升生命力、力氣，但降低集中力</v>
      </c>
      <c r="R350" t="e">
        <f t="shared" si="38"/>
        <v>#N/A</v>
      </c>
      <c r="S350" t="e">
        <v>#N/A</v>
      </c>
      <c r="T350" t="e">
        <f>IF(VALUE(S350)=0,"",VLOOKUP(VLOOKUP(S350,Tbl_Effect[],3,FALSE),EffectName[],IFERROR(MATCH(UI!$B$1,EffectName[#Headers],0),2),FALSE))</f>
        <v>#N/A</v>
      </c>
      <c r="U350" t="str">
        <f t="shared" si="39"/>
        <v/>
      </c>
      <c r="V350">
        <v>0</v>
      </c>
      <c r="W350" t="str">
        <f>IF(V350&lt;&gt;0,VLOOKUP(VLOOKUP(V350,Tbl_Effect[],3,FALSE),EffectName[],IFERROR(MATCH(UI!$B$1,EffectName[#Headers],0),2),FALSE),"")</f>
        <v/>
      </c>
      <c r="X350" t="str">
        <f t="shared" si="40"/>
        <v/>
      </c>
      <c r="Y350">
        <v>0</v>
      </c>
      <c r="Z350" t="str">
        <f>IF(Y350&lt;&gt;0,VLOOKUP(VLOOKUP(Y350,Tbl_Effect[],3,FALSE),EffectName[],IFERROR(MATCH(UI!$B$1,EffectName[#Headers],0),2),FALSE),"")</f>
        <v/>
      </c>
      <c r="AA350" t="str">
        <f t="shared" si="41"/>
        <v/>
      </c>
      <c r="AB350">
        <v>0</v>
      </c>
      <c r="AC350" t="str">
        <f>IF(AB350&lt;&gt;0,VLOOKUP(VLOOKUP(AB350,Tbl_Effect[],3,FALSE),EffectName[],IFERROR(MATCH(UI!$B$1,EffectName[#Headers],0),2),FALSE),"")</f>
        <v/>
      </c>
      <c r="AE350">
        <v>6641100</v>
      </c>
      <c r="AF350">
        <v>6643000</v>
      </c>
      <c r="AG350" t="e">
        <v>#N/A</v>
      </c>
    </row>
    <row r="351" spans="8:33" x14ac:dyDescent="0.4">
      <c r="H351" t="str">
        <f t="shared" si="35"/>
        <v>1002011-端正的火燃情景 (紅)</v>
      </c>
      <c r="I351">
        <v>1002011</v>
      </c>
      <c r="J351" t="str">
        <f>_xlfn.IFNA(IF(I351&lt;&gt;0,VLOOKUP(VLOOKUP(I351,Tbl_Equip[],2,FALSE),Tbl_Color[],IFERROR(MATCH(UI!$B$1,Tbl_Color[#Headers],0),2),FALSE),""),"Unset")</f>
        <v>紅</v>
      </c>
      <c r="K351" t="str">
        <f>_xlfn.IFNA(IF(I351&lt;&gt;0,VLOOKUP(I351,ItemText[],IFERROR(MATCH(UI!$B$1,ItemText[#Headers],0),2),FALSE),""),"Unset")</f>
        <v>端正的火燃情景</v>
      </c>
      <c r="L351" t="str">
        <f t="shared" si="36"/>
        <v>6642000-【鐵之眼】提升感應，但降低靈巧</v>
      </c>
      <c r="M351">
        <v>6642000</v>
      </c>
      <c r="N351" t="str">
        <f>IF(VALUE(M351)=0,"",VLOOKUP(VLOOKUP(M351,Tbl_Effect[],3,FALSE),EffectName[],IFERROR(MATCH(UI!$B$1,EffectName[#Headers],0),2),FALSE))</f>
        <v>【鐵之眼】提升感應，但降低靈巧</v>
      </c>
      <c r="O351" t="str">
        <f t="shared" si="37"/>
        <v>6643100-【女爵】提升集中力、信仰，但降低智力</v>
      </c>
      <c r="P351">
        <v>6643100</v>
      </c>
      <c r="Q351" t="str">
        <f>IF(VALUE(P351)=0,"",VLOOKUP(VLOOKUP(P351,Tbl_Effect[],3,FALSE),EffectName[],IFERROR(MATCH(UI!$B$1,EffectName[#Headers],0),2),FALSE))</f>
        <v>【女爵】提升集中力、信仰，但降低智力</v>
      </c>
      <c r="R351" t="e">
        <f t="shared" si="38"/>
        <v>#N/A</v>
      </c>
      <c r="S351" t="e">
        <v>#N/A</v>
      </c>
      <c r="T351" t="e">
        <f>IF(VALUE(S351)=0,"",VLOOKUP(VLOOKUP(S351,Tbl_Effect[],3,FALSE),EffectName[],IFERROR(MATCH(UI!$B$1,EffectName[#Headers],0),2),FALSE))</f>
        <v>#N/A</v>
      </c>
      <c r="U351" t="str">
        <f t="shared" si="39"/>
        <v/>
      </c>
      <c r="V351">
        <v>0</v>
      </c>
      <c r="W351" t="str">
        <f>IF(V351&lt;&gt;0,VLOOKUP(VLOOKUP(V351,Tbl_Effect[],3,FALSE),EffectName[],IFERROR(MATCH(UI!$B$1,EffectName[#Headers],0),2),FALSE),"")</f>
        <v/>
      </c>
      <c r="X351" t="str">
        <f t="shared" si="40"/>
        <v/>
      </c>
      <c r="Y351">
        <v>0</v>
      </c>
      <c r="Z351" t="str">
        <f>IF(Y351&lt;&gt;0,VLOOKUP(VLOOKUP(Y351,Tbl_Effect[],3,FALSE),EffectName[],IFERROR(MATCH(UI!$B$1,EffectName[#Headers],0),2),FALSE),"")</f>
        <v/>
      </c>
      <c r="AA351" t="str">
        <f t="shared" si="41"/>
        <v/>
      </c>
      <c r="AB351">
        <v>0</v>
      </c>
      <c r="AC351" t="str">
        <f>IF(AB351&lt;&gt;0,VLOOKUP(VLOOKUP(AB351,Tbl_Effect[],3,FALSE),EffectName[],IFERROR(MATCH(UI!$B$1,EffectName[#Headers],0),2),FALSE),"")</f>
        <v/>
      </c>
      <c r="AE351">
        <v>6642000</v>
      </c>
      <c r="AF351">
        <v>6643100</v>
      </c>
      <c r="AG351" t="e">
        <v>#N/A</v>
      </c>
    </row>
    <row r="352" spans="8:33" x14ac:dyDescent="0.4">
      <c r="H352" t="str">
        <f t="shared" si="35"/>
        <v>1002012-遼闊的火燃情景 (紅)</v>
      </c>
      <c r="I352">
        <v>1002012</v>
      </c>
      <c r="J352" t="str">
        <f>_xlfn.IFNA(IF(I352&lt;&gt;0,VLOOKUP(VLOOKUP(I352,Tbl_Equip[],2,FALSE),Tbl_Color[],IFERROR(MATCH(UI!$B$1,Tbl_Color[#Headers],0),2),FALSE),""),"Unset")</f>
        <v>紅</v>
      </c>
      <c r="K352" t="str">
        <f>_xlfn.IFNA(IF(I352&lt;&gt;0,VLOOKUP(I352,ItemText[],IFERROR(MATCH(UI!$B$1,ItemText[#Headers],0),2),FALSE),""),"Unset")</f>
        <v>遼闊的火燃情景</v>
      </c>
      <c r="L352" t="str">
        <f t="shared" si="36"/>
        <v>6642100-【鐵之眼】提升生命力、力氣，但降低靈巧</v>
      </c>
      <c r="M352">
        <v>6642100</v>
      </c>
      <c r="N352" t="str">
        <f>IF(VALUE(M352)=0,"",VLOOKUP(VLOOKUP(M352,Tbl_Effect[],3,FALSE),EffectName[],IFERROR(MATCH(UI!$B$1,EffectName[#Headers],0),2),FALSE))</f>
        <v>【鐵之眼】提升生命力、力氣，但降低靈巧</v>
      </c>
      <c r="O352" t="str">
        <f t="shared" si="37"/>
        <v>6644000-【無賴】提升集中力、智力，但降低生命力、耐力</v>
      </c>
      <c r="P352">
        <v>6644000</v>
      </c>
      <c r="Q352" t="str">
        <f>IF(VALUE(P352)=0,"",VLOOKUP(VLOOKUP(P352,Tbl_Effect[],3,FALSE),EffectName[],IFERROR(MATCH(UI!$B$1,EffectName[#Headers],0),2),FALSE))</f>
        <v>【無賴】提升集中力、智力，但降低生命力、耐力</v>
      </c>
      <c r="R352" t="e">
        <f t="shared" si="38"/>
        <v>#N/A</v>
      </c>
      <c r="S352" t="e">
        <v>#N/A</v>
      </c>
      <c r="T352" t="e">
        <f>IF(VALUE(S352)=0,"",VLOOKUP(VLOOKUP(S352,Tbl_Effect[],3,FALSE),EffectName[],IFERROR(MATCH(UI!$B$1,EffectName[#Headers],0),2),FALSE))</f>
        <v>#N/A</v>
      </c>
      <c r="U352" t="str">
        <f t="shared" si="39"/>
        <v/>
      </c>
      <c r="V352">
        <v>0</v>
      </c>
      <c r="W352" t="str">
        <f>IF(V352&lt;&gt;0,VLOOKUP(VLOOKUP(V352,Tbl_Effect[],3,FALSE),EffectName[],IFERROR(MATCH(UI!$B$1,EffectName[#Headers],0),2),FALSE),"")</f>
        <v/>
      </c>
      <c r="X352" t="str">
        <f t="shared" si="40"/>
        <v/>
      </c>
      <c r="Y352">
        <v>0</v>
      </c>
      <c r="Z352" t="str">
        <f>IF(Y352&lt;&gt;0,VLOOKUP(VLOOKUP(Y352,Tbl_Effect[],3,FALSE),EffectName[],IFERROR(MATCH(UI!$B$1,EffectName[#Headers],0),2),FALSE),"")</f>
        <v/>
      </c>
      <c r="AA352" t="str">
        <f t="shared" si="41"/>
        <v/>
      </c>
      <c r="AB352">
        <v>0</v>
      </c>
      <c r="AC352" t="str">
        <f>IF(AB352&lt;&gt;0,VLOOKUP(VLOOKUP(AB352,Tbl_Effect[],3,FALSE),EffectName[],IFERROR(MATCH(UI!$B$1,EffectName[#Headers],0),2),FALSE),"")</f>
        <v/>
      </c>
      <c r="AE352">
        <v>6642100</v>
      </c>
      <c r="AF352">
        <v>6644000</v>
      </c>
      <c r="AG352" t="e">
        <v>#N/A</v>
      </c>
    </row>
    <row r="353" spans="8:33" x14ac:dyDescent="0.4">
      <c r="H353" t="str">
        <f t="shared" si="35"/>
        <v>1002020-細膩的火燃情景 (紅)</v>
      </c>
      <c r="I353">
        <v>1002020</v>
      </c>
      <c r="J353" t="str">
        <f>_xlfn.IFNA(IF(I353&lt;&gt;0,VLOOKUP(VLOOKUP(I353,Tbl_Equip[],2,FALSE),Tbl_Color[],IFERROR(MATCH(UI!$B$1,Tbl_Color[#Headers],0),2),FALSE),""),"Unset")</f>
        <v>紅</v>
      </c>
      <c r="K353" t="str">
        <f>_xlfn.IFNA(IF(I353&lt;&gt;0,VLOOKUP(I353,ItemText[],IFERROR(MATCH(UI!$B$1,ItemText[#Headers],0),2),FALSE),""),"Unset")</f>
        <v>細膩的火燃情景</v>
      </c>
      <c r="L353" t="str">
        <f t="shared" si="36"/>
        <v>6643000-【女爵】提升生命力、力氣，但降低集中力</v>
      </c>
      <c r="M353">
        <v>6643000</v>
      </c>
      <c r="N353" t="str">
        <f>IF(VALUE(M353)=0,"",VLOOKUP(VLOOKUP(M353,Tbl_Effect[],3,FALSE),EffectName[],IFERROR(MATCH(UI!$B$1,EffectName[#Headers],0),2),FALSE))</f>
        <v>【女爵】提升生命力、力氣，但降低集中力</v>
      </c>
      <c r="O353" t="str">
        <f t="shared" si="37"/>
        <v>6644100-【無賴】提升感應，但降低生命力</v>
      </c>
      <c r="P353">
        <v>6644100</v>
      </c>
      <c r="Q353" t="str">
        <f>IF(VALUE(P353)=0,"",VLOOKUP(VLOOKUP(P353,Tbl_Effect[],3,FALSE),EffectName[],IFERROR(MATCH(UI!$B$1,EffectName[#Headers],0),2),FALSE))</f>
        <v>【無賴】提升感應，但降低生命力</v>
      </c>
      <c r="R353" t="e">
        <f t="shared" si="38"/>
        <v>#N/A</v>
      </c>
      <c r="S353" t="e">
        <v>#N/A</v>
      </c>
      <c r="T353" t="e">
        <f>IF(VALUE(S353)=0,"",VLOOKUP(VLOOKUP(S353,Tbl_Effect[],3,FALSE),EffectName[],IFERROR(MATCH(UI!$B$1,EffectName[#Headers],0),2),FALSE))</f>
        <v>#N/A</v>
      </c>
      <c r="U353" t="str">
        <f t="shared" si="39"/>
        <v/>
      </c>
      <c r="V353">
        <v>0</v>
      </c>
      <c r="W353" t="str">
        <f>IF(V353&lt;&gt;0,VLOOKUP(VLOOKUP(V353,Tbl_Effect[],3,FALSE),EffectName[],IFERROR(MATCH(UI!$B$1,EffectName[#Headers],0),2),FALSE),"")</f>
        <v/>
      </c>
      <c r="X353" t="str">
        <f t="shared" si="40"/>
        <v/>
      </c>
      <c r="Y353">
        <v>0</v>
      </c>
      <c r="Z353" t="str">
        <f>IF(Y353&lt;&gt;0,VLOOKUP(VLOOKUP(Y353,Tbl_Effect[],3,FALSE),EffectName[],IFERROR(MATCH(UI!$B$1,EffectName[#Headers],0),2),FALSE),"")</f>
        <v/>
      </c>
      <c r="AA353" t="str">
        <f t="shared" si="41"/>
        <v/>
      </c>
      <c r="AB353">
        <v>0</v>
      </c>
      <c r="AC353" t="str">
        <f>IF(AB353&lt;&gt;0,VLOOKUP(VLOOKUP(AB353,Tbl_Effect[],3,FALSE),EffectName[],IFERROR(MATCH(UI!$B$1,EffectName[#Headers],0),2),FALSE),"")</f>
        <v/>
      </c>
      <c r="AE353">
        <v>6643000</v>
      </c>
      <c r="AF353">
        <v>6644100</v>
      </c>
      <c r="AG353" t="e">
        <v>#N/A</v>
      </c>
    </row>
    <row r="354" spans="8:33" x14ac:dyDescent="0.4">
      <c r="H354" t="str">
        <f t="shared" si="35"/>
        <v>1002021-端正的火燃情景 (紅)</v>
      </c>
      <c r="I354">
        <v>1002021</v>
      </c>
      <c r="J354" t="str">
        <f>_xlfn.IFNA(IF(I354&lt;&gt;0,VLOOKUP(VLOOKUP(I354,Tbl_Equip[],2,FALSE),Tbl_Color[],IFERROR(MATCH(UI!$B$1,Tbl_Color[#Headers],0),2),FALSE),""),"Unset")</f>
        <v>紅</v>
      </c>
      <c r="K354" t="str">
        <f>_xlfn.IFNA(IF(I354&lt;&gt;0,VLOOKUP(I354,ItemText[],IFERROR(MATCH(UI!$B$1,ItemText[#Headers],0),2),FALSE),""),"Unset")</f>
        <v>端正的火燃情景</v>
      </c>
      <c r="L354" t="str">
        <f t="shared" si="36"/>
        <v>6643100-【女爵】提升集中力、信仰，但降低智力</v>
      </c>
      <c r="M354">
        <v>6643100</v>
      </c>
      <c r="N354" t="str">
        <f>IF(VALUE(M354)=0,"",VLOOKUP(VLOOKUP(M354,Tbl_Effect[],3,FALSE),EffectName[],IFERROR(MATCH(UI!$B$1,EffectName[#Headers],0),2),FALSE))</f>
        <v>【女爵】提升集中力、信仰，但降低智力</v>
      </c>
      <c r="O354" t="str">
        <f t="shared" si="37"/>
        <v>6645000-【復仇者】提升生命力、耐力，但降低集中力</v>
      </c>
      <c r="P354">
        <v>6645000</v>
      </c>
      <c r="Q354" t="str">
        <f>IF(VALUE(P354)=0,"",VLOOKUP(VLOOKUP(P354,Tbl_Effect[],3,FALSE),EffectName[],IFERROR(MATCH(UI!$B$1,EffectName[#Headers],0),2),FALSE))</f>
        <v>【復仇者】提升生命力、耐力，但降低集中力</v>
      </c>
      <c r="R354" t="e">
        <f t="shared" si="38"/>
        <v>#N/A</v>
      </c>
      <c r="S354" t="e">
        <v>#N/A</v>
      </c>
      <c r="T354" t="e">
        <f>IF(VALUE(S354)=0,"",VLOOKUP(VLOOKUP(S354,Tbl_Effect[],3,FALSE),EffectName[],IFERROR(MATCH(UI!$B$1,EffectName[#Headers],0),2),FALSE))</f>
        <v>#N/A</v>
      </c>
      <c r="U354" t="str">
        <f t="shared" si="39"/>
        <v/>
      </c>
      <c r="V354">
        <v>0</v>
      </c>
      <c r="W354" t="str">
        <f>IF(V354&lt;&gt;0,VLOOKUP(VLOOKUP(V354,Tbl_Effect[],3,FALSE),EffectName[],IFERROR(MATCH(UI!$B$1,EffectName[#Headers],0),2),FALSE),"")</f>
        <v/>
      </c>
      <c r="X354" t="str">
        <f t="shared" si="40"/>
        <v/>
      </c>
      <c r="Y354">
        <v>0</v>
      </c>
      <c r="Z354" t="str">
        <f>IF(Y354&lt;&gt;0,VLOOKUP(VLOOKUP(Y354,Tbl_Effect[],3,FALSE),EffectName[],IFERROR(MATCH(UI!$B$1,EffectName[#Headers],0),2),FALSE),"")</f>
        <v/>
      </c>
      <c r="AA354" t="str">
        <f t="shared" si="41"/>
        <v/>
      </c>
      <c r="AB354">
        <v>0</v>
      </c>
      <c r="AC354" t="str">
        <f>IF(AB354&lt;&gt;0,VLOOKUP(VLOOKUP(AB354,Tbl_Effect[],3,FALSE),EffectName[],IFERROR(MATCH(UI!$B$1,EffectName[#Headers],0),2),FALSE),"")</f>
        <v/>
      </c>
      <c r="AE354">
        <v>6643100</v>
      </c>
      <c r="AF354">
        <v>6645000</v>
      </c>
      <c r="AG354" t="e">
        <v>#N/A</v>
      </c>
    </row>
    <row r="355" spans="8:33" x14ac:dyDescent="0.4">
      <c r="H355" t="str">
        <f t="shared" si="35"/>
        <v>1002022-遼闊的火燃情景 (紅)</v>
      </c>
      <c r="I355">
        <v>1002022</v>
      </c>
      <c r="J355" t="str">
        <f>_xlfn.IFNA(IF(I355&lt;&gt;0,VLOOKUP(VLOOKUP(I355,Tbl_Equip[],2,FALSE),Tbl_Color[],IFERROR(MATCH(UI!$B$1,Tbl_Color[#Headers],0),2),FALSE),""),"Unset")</f>
        <v>紅</v>
      </c>
      <c r="K355" t="str">
        <f>_xlfn.IFNA(IF(I355&lt;&gt;0,VLOOKUP(I355,ItemText[],IFERROR(MATCH(UI!$B$1,ItemText[#Headers],0),2),FALSE),""),"Unset")</f>
        <v>遼闊的火燃情景</v>
      </c>
      <c r="L355" t="str">
        <f t="shared" si="36"/>
        <v>6644000-【無賴】提升集中力、智力，但降低生命力、耐力</v>
      </c>
      <c r="M355">
        <v>6644000</v>
      </c>
      <c r="N355" t="str">
        <f>IF(VALUE(M355)=0,"",VLOOKUP(VLOOKUP(M355,Tbl_Effect[],3,FALSE),EffectName[],IFERROR(MATCH(UI!$B$1,EffectName[#Headers],0),2),FALSE))</f>
        <v>【無賴】提升集中力、智力，但降低生命力、耐力</v>
      </c>
      <c r="O355" t="str">
        <f t="shared" si="37"/>
        <v>6645100-【復仇者】提升力氣，但降低信仰</v>
      </c>
      <c r="P355">
        <v>6645100</v>
      </c>
      <c r="Q355" t="str">
        <f>IF(VALUE(P355)=0,"",VLOOKUP(VLOOKUP(P355,Tbl_Effect[],3,FALSE),EffectName[],IFERROR(MATCH(UI!$B$1,EffectName[#Headers],0),2),FALSE))</f>
        <v>【復仇者】提升力氣，但降低信仰</v>
      </c>
      <c r="R355" t="e">
        <f t="shared" si="38"/>
        <v>#N/A</v>
      </c>
      <c r="S355" t="e">
        <v>#N/A</v>
      </c>
      <c r="T355" t="e">
        <f>IF(VALUE(S355)=0,"",VLOOKUP(VLOOKUP(S355,Tbl_Effect[],3,FALSE),EffectName[],IFERROR(MATCH(UI!$B$1,EffectName[#Headers],0),2),FALSE))</f>
        <v>#N/A</v>
      </c>
      <c r="U355" t="str">
        <f t="shared" si="39"/>
        <v/>
      </c>
      <c r="V355">
        <v>0</v>
      </c>
      <c r="W355" t="str">
        <f>IF(V355&lt;&gt;0,VLOOKUP(VLOOKUP(V355,Tbl_Effect[],3,FALSE),EffectName[],IFERROR(MATCH(UI!$B$1,EffectName[#Headers],0),2),FALSE),"")</f>
        <v/>
      </c>
      <c r="X355" t="str">
        <f t="shared" si="40"/>
        <v/>
      </c>
      <c r="Y355">
        <v>0</v>
      </c>
      <c r="Z355" t="str">
        <f>IF(Y355&lt;&gt;0,VLOOKUP(VLOOKUP(Y355,Tbl_Effect[],3,FALSE),EffectName[],IFERROR(MATCH(UI!$B$1,EffectName[#Headers],0),2),FALSE),"")</f>
        <v/>
      </c>
      <c r="AA355" t="str">
        <f t="shared" si="41"/>
        <v/>
      </c>
      <c r="AB355">
        <v>0</v>
      </c>
      <c r="AC355" t="str">
        <f>IF(AB355&lt;&gt;0,VLOOKUP(VLOOKUP(AB355,Tbl_Effect[],3,FALSE),EffectName[],IFERROR(MATCH(UI!$B$1,EffectName[#Headers],0),2),FALSE),"")</f>
        <v/>
      </c>
      <c r="AE355">
        <v>6644000</v>
      </c>
      <c r="AF355">
        <v>6645100</v>
      </c>
      <c r="AG355" t="e">
        <v>#N/A</v>
      </c>
    </row>
    <row r="356" spans="8:33" x14ac:dyDescent="0.4">
      <c r="H356" t="str">
        <f t="shared" si="35"/>
        <v>1002100-細膩的水滴情景 (藍)</v>
      </c>
      <c r="I356">
        <v>1002100</v>
      </c>
      <c r="J356" t="str">
        <f>_xlfn.IFNA(IF(I356&lt;&gt;0,VLOOKUP(VLOOKUP(I356,Tbl_Equip[],2,FALSE),Tbl_Color[],IFERROR(MATCH(UI!$B$1,Tbl_Color[#Headers],0),2),FALSE),""),"Unset")</f>
        <v>藍</v>
      </c>
      <c r="K356" t="str">
        <f>_xlfn.IFNA(IF(I356&lt;&gt;0,VLOOKUP(I356,ItemText[],IFERROR(MATCH(UI!$B$1,ItemText[#Headers],0),2),FALSE),""),"Unset")</f>
        <v>細膩的水滴情景</v>
      </c>
      <c r="L356" t="str">
        <f t="shared" si="36"/>
        <v>6644100-【無賴】提升感應，但降低生命力</v>
      </c>
      <c r="M356">
        <v>6644100</v>
      </c>
      <c r="N356" t="str">
        <f>IF(VALUE(M356)=0,"",VLOOKUP(VLOOKUP(M356,Tbl_Effect[],3,FALSE),EffectName[],IFERROR(MATCH(UI!$B$1,EffectName[#Headers],0),2),FALSE))</f>
        <v>【無賴】提升感應，但降低生命力</v>
      </c>
      <c r="O356" t="str">
        <f t="shared" si="37"/>
        <v>6646000-【隱士】提升生命力、耐力、靈巧，但降低智力、信仰</v>
      </c>
      <c r="P356">
        <v>6646000</v>
      </c>
      <c r="Q356" t="str">
        <f>IF(VALUE(P356)=0,"",VLOOKUP(VLOOKUP(P356,Tbl_Effect[],3,FALSE),EffectName[],IFERROR(MATCH(UI!$B$1,EffectName[#Headers],0),2),FALSE))</f>
        <v>【隱士】提升生命力、耐力、靈巧，但降低智力、信仰</v>
      </c>
      <c r="R356" t="e">
        <f t="shared" si="38"/>
        <v>#N/A</v>
      </c>
      <c r="S356" t="e">
        <v>#N/A</v>
      </c>
      <c r="T356" t="e">
        <f>IF(VALUE(S356)=0,"",VLOOKUP(VLOOKUP(S356,Tbl_Effect[],3,FALSE),EffectName[],IFERROR(MATCH(UI!$B$1,EffectName[#Headers],0),2),FALSE))</f>
        <v>#N/A</v>
      </c>
      <c r="U356" t="str">
        <f t="shared" si="39"/>
        <v/>
      </c>
      <c r="V356">
        <v>0</v>
      </c>
      <c r="W356" t="str">
        <f>IF(V356&lt;&gt;0,VLOOKUP(VLOOKUP(V356,Tbl_Effect[],3,FALSE),EffectName[],IFERROR(MATCH(UI!$B$1,EffectName[#Headers],0),2),FALSE),"")</f>
        <v/>
      </c>
      <c r="X356" t="str">
        <f t="shared" si="40"/>
        <v/>
      </c>
      <c r="Y356">
        <v>0</v>
      </c>
      <c r="Z356" t="str">
        <f>IF(Y356&lt;&gt;0,VLOOKUP(VLOOKUP(Y356,Tbl_Effect[],3,FALSE),EffectName[],IFERROR(MATCH(UI!$B$1,EffectName[#Headers],0),2),FALSE),"")</f>
        <v/>
      </c>
      <c r="AA356" t="str">
        <f t="shared" si="41"/>
        <v/>
      </c>
      <c r="AB356">
        <v>0</v>
      </c>
      <c r="AC356" t="str">
        <f>IF(AB356&lt;&gt;0,VLOOKUP(VLOOKUP(AB356,Tbl_Effect[],3,FALSE),EffectName[],IFERROR(MATCH(UI!$B$1,EffectName[#Headers],0),2),FALSE),"")</f>
        <v/>
      </c>
      <c r="AE356">
        <v>6644100</v>
      </c>
      <c r="AF356">
        <v>6646000</v>
      </c>
      <c r="AG356" t="e">
        <v>#N/A</v>
      </c>
    </row>
    <row r="357" spans="8:33" x14ac:dyDescent="0.4">
      <c r="H357" t="str">
        <f t="shared" si="35"/>
        <v>1002101-端正的水滴情景 (藍)</v>
      </c>
      <c r="I357">
        <v>1002101</v>
      </c>
      <c r="J357" t="str">
        <f>_xlfn.IFNA(IF(I357&lt;&gt;0,VLOOKUP(VLOOKUP(I357,Tbl_Equip[],2,FALSE),Tbl_Color[],IFERROR(MATCH(UI!$B$1,Tbl_Color[#Headers],0),2),FALSE),""),"Unset")</f>
        <v>藍</v>
      </c>
      <c r="K357" t="str">
        <f>_xlfn.IFNA(IF(I357&lt;&gt;0,VLOOKUP(I357,ItemText[],IFERROR(MATCH(UI!$B$1,ItemText[#Headers],0),2),FALSE),""),"Unset")</f>
        <v>端正的水滴情景</v>
      </c>
      <c r="L357" t="str">
        <f t="shared" si="36"/>
        <v>6645000-【復仇者】提升生命力、耐力，但降低集中力</v>
      </c>
      <c r="M357">
        <v>6645000</v>
      </c>
      <c r="N357" t="str">
        <f>IF(VALUE(M357)=0,"",VLOOKUP(VLOOKUP(M357,Tbl_Effect[],3,FALSE),EffectName[],IFERROR(MATCH(UI!$B$1,EffectName[#Headers],0),2),FALSE))</f>
        <v>【復仇者】提升生命力、耐力，但降低集中力</v>
      </c>
      <c r="O357" t="str">
        <f t="shared" si="37"/>
        <v>6646100-【隱士】提升智力、信仰，但降低集中力</v>
      </c>
      <c r="P357">
        <v>6646100</v>
      </c>
      <c r="Q357" t="str">
        <f>IF(VALUE(P357)=0,"",VLOOKUP(VLOOKUP(P357,Tbl_Effect[],3,FALSE),EffectName[],IFERROR(MATCH(UI!$B$1,EffectName[#Headers],0),2),FALSE))</f>
        <v>【隱士】提升智力、信仰，但降低集中力</v>
      </c>
      <c r="R357" t="e">
        <f t="shared" si="38"/>
        <v>#N/A</v>
      </c>
      <c r="S357" t="e">
        <v>#N/A</v>
      </c>
      <c r="T357" t="e">
        <f>IF(VALUE(S357)=0,"",VLOOKUP(VLOOKUP(S357,Tbl_Effect[],3,FALSE),EffectName[],IFERROR(MATCH(UI!$B$1,EffectName[#Headers],0),2),FALSE))</f>
        <v>#N/A</v>
      </c>
      <c r="U357" t="str">
        <f t="shared" si="39"/>
        <v/>
      </c>
      <c r="V357">
        <v>0</v>
      </c>
      <c r="W357" t="str">
        <f>IF(V357&lt;&gt;0,VLOOKUP(VLOOKUP(V357,Tbl_Effect[],3,FALSE),EffectName[],IFERROR(MATCH(UI!$B$1,EffectName[#Headers],0),2),FALSE),"")</f>
        <v/>
      </c>
      <c r="X357" t="str">
        <f t="shared" si="40"/>
        <v/>
      </c>
      <c r="Y357">
        <v>0</v>
      </c>
      <c r="Z357" t="str">
        <f>IF(Y357&lt;&gt;0,VLOOKUP(VLOOKUP(Y357,Tbl_Effect[],3,FALSE),EffectName[],IFERROR(MATCH(UI!$B$1,EffectName[#Headers],0),2),FALSE),"")</f>
        <v/>
      </c>
      <c r="AA357" t="str">
        <f t="shared" si="41"/>
        <v/>
      </c>
      <c r="AB357">
        <v>0</v>
      </c>
      <c r="AC357" t="str">
        <f>IF(AB357&lt;&gt;0,VLOOKUP(VLOOKUP(AB357,Tbl_Effect[],3,FALSE),EffectName[],IFERROR(MATCH(UI!$B$1,EffectName[#Headers],0),2),FALSE),"")</f>
        <v/>
      </c>
      <c r="AE357">
        <v>6645000</v>
      </c>
      <c r="AF357">
        <v>6646100</v>
      </c>
      <c r="AG357" t="e">
        <v>#N/A</v>
      </c>
    </row>
    <row r="358" spans="8:33" x14ac:dyDescent="0.4">
      <c r="H358" t="str">
        <f t="shared" si="35"/>
        <v>1002102-遼闊的水滴情景 (藍)</v>
      </c>
      <c r="I358">
        <v>1002102</v>
      </c>
      <c r="J358" t="str">
        <f>_xlfn.IFNA(IF(I358&lt;&gt;0,VLOOKUP(VLOOKUP(I358,Tbl_Equip[],2,FALSE),Tbl_Color[],IFERROR(MATCH(UI!$B$1,Tbl_Color[#Headers],0),2),FALSE),""),"Unset")</f>
        <v>藍</v>
      </c>
      <c r="K358" t="str">
        <f>_xlfn.IFNA(IF(I358&lt;&gt;0,VLOOKUP(I358,ItemText[],IFERROR(MATCH(UI!$B$1,ItemText[#Headers],0),2),FALSE),""),"Unset")</f>
        <v>遼闊的水滴情景</v>
      </c>
      <c r="L358" t="str">
        <f t="shared" si="36"/>
        <v>6645100-【復仇者】提升力氣，但降低信仰</v>
      </c>
      <c r="M358">
        <v>6645100</v>
      </c>
      <c r="N358" t="str">
        <f>IF(VALUE(M358)=0,"",VLOOKUP(VLOOKUP(M358,Tbl_Effect[],3,FALSE),EffectName[],IFERROR(MATCH(UI!$B$1,EffectName[#Headers],0),2),FALSE))</f>
        <v>【復仇者】提升力氣，但降低信仰</v>
      </c>
      <c r="O358" t="str">
        <f t="shared" si="37"/>
        <v>6647000-【執行者】提升生命力、耐力，但降低感應</v>
      </c>
      <c r="P358">
        <v>6647000</v>
      </c>
      <c r="Q358" t="str">
        <f>IF(VALUE(P358)=0,"",VLOOKUP(VLOOKUP(P358,Tbl_Effect[],3,FALSE),EffectName[],IFERROR(MATCH(UI!$B$1,EffectName[#Headers],0),2),FALSE))</f>
        <v>【執行者】提升生命力、耐力，但降低感應</v>
      </c>
      <c r="R358" t="e">
        <f t="shared" si="38"/>
        <v>#N/A</v>
      </c>
      <c r="S358" t="e">
        <v>#N/A</v>
      </c>
      <c r="T358" t="e">
        <f>IF(VALUE(S358)=0,"",VLOOKUP(VLOOKUP(S358,Tbl_Effect[],3,FALSE),EffectName[],IFERROR(MATCH(UI!$B$1,EffectName[#Headers],0),2),FALSE))</f>
        <v>#N/A</v>
      </c>
      <c r="U358" t="str">
        <f t="shared" si="39"/>
        <v/>
      </c>
      <c r="V358">
        <v>0</v>
      </c>
      <c r="W358" t="str">
        <f>IF(V358&lt;&gt;0,VLOOKUP(VLOOKUP(V358,Tbl_Effect[],3,FALSE),EffectName[],IFERROR(MATCH(UI!$B$1,EffectName[#Headers],0),2),FALSE),"")</f>
        <v/>
      </c>
      <c r="X358" t="str">
        <f t="shared" si="40"/>
        <v/>
      </c>
      <c r="Y358">
        <v>0</v>
      </c>
      <c r="Z358" t="str">
        <f>IF(Y358&lt;&gt;0,VLOOKUP(VLOOKUP(Y358,Tbl_Effect[],3,FALSE),EffectName[],IFERROR(MATCH(UI!$B$1,EffectName[#Headers],0),2),FALSE),"")</f>
        <v/>
      </c>
      <c r="AA358" t="str">
        <f t="shared" si="41"/>
        <v/>
      </c>
      <c r="AB358">
        <v>0</v>
      </c>
      <c r="AC358" t="str">
        <f>IF(AB358&lt;&gt;0,VLOOKUP(VLOOKUP(AB358,Tbl_Effect[],3,FALSE),EffectName[],IFERROR(MATCH(UI!$B$1,EffectName[#Headers],0),2),FALSE),"")</f>
        <v/>
      </c>
      <c r="AE358">
        <v>6645100</v>
      </c>
      <c r="AF358">
        <v>6647000</v>
      </c>
      <c r="AG358" t="e">
        <v>#N/A</v>
      </c>
    </row>
    <row r="359" spans="8:33" x14ac:dyDescent="0.4">
      <c r="H359" t="str">
        <f t="shared" si="35"/>
        <v>1002110-細膩的水滴情景 (藍)</v>
      </c>
      <c r="I359">
        <v>1002110</v>
      </c>
      <c r="J359" t="str">
        <f>_xlfn.IFNA(IF(I359&lt;&gt;0,VLOOKUP(VLOOKUP(I359,Tbl_Equip[],2,FALSE),Tbl_Color[],IFERROR(MATCH(UI!$B$1,Tbl_Color[#Headers],0),2),FALSE),""),"Unset")</f>
        <v>藍</v>
      </c>
      <c r="K359" t="str">
        <f>_xlfn.IFNA(IF(I359&lt;&gt;0,VLOOKUP(I359,ItemText[],IFERROR(MATCH(UI!$B$1,ItemText[#Headers],0),2),FALSE),""),"Unset")</f>
        <v>細膩的水滴情景</v>
      </c>
      <c r="L359" t="str">
        <f t="shared" si="36"/>
        <v>6646000-【隱士】提升生命力、耐力、靈巧，但降低智力、信仰</v>
      </c>
      <c r="M359">
        <v>6646000</v>
      </c>
      <c r="N359" t="str">
        <f>IF(VALUE(M359)=0,"",VLOOKUP(VLOOKUP(M359,Tbl_Effect[],3,FALSE),EffectName[],IFERROR(MATCH(UI!$B$1,EffectName[#Headers],0),2),FALSE))</f>
        <v>【隱士】提升生命力、耐力、靈巧，但降低智力、信仰</v>
      </c>
      <c r="O359" t="str">
        <f t="shared" si="37"/>
        <v>6647100-【執行者】提升靈巧、感應，但降低生命力</v>
      </c>
      <c r="P359">
        <v>6647100</v>
      </c>
      <c r="Q359" t="str">
        <f>IF(VALUE(P359)=0,"",VLOOKUP(VLOOKUP(P359,Tbl_Effect[],3,FALSE),EffectName[],IFERROR(MATCH(UI!$B$1,EffectName[#Headers],0),2),FALSE))</f>
        <v>【執行者】提升靈巧、感應，但降低生命力</v>
      </c>
      <c r="R359" t="e">
        <f t="shared" si="38"/>
        <v>#N/A</v>
      </c>
      <c r="S359" t="e">
        <v>#N/A</v>
      </c>
      <c r="T359" t="e">
        <f>IF(VALUE(S359)=0,"",VLOOKUP(VLOOKUP(S359,Tbl_Effect[],3,FALSE),EffectName[],IFERROR(MATCH(UI!$B$1,EffectName[#Headers],0),2),FALSE))</f>
        <v>#N/A</v>
      </c>
      <c r="U359" t="str">
        <f t="shared" si="39"/>
        <v/>
      </c>
      <c r="V359">
        <v>0</v>
      </c>
      <c r="W359" t="str">
        <f>IF(V359&lt;&gt;0,VLOOKUP(VLOOKUP(V359,Tbl_Effect[],3,FALSE),EffectName[],IFERROR(MATCH(UI!$B$1,EffectName[#Headers],0),2),FALSE),"")</f>
        <v/>
      </c>
      <c r="X359" t="str">
        <f t="shared" si="40"/>
        <v/>
      </c>
      <c r="Y359">
        <v>0</v>
      </c>
      <c r="Z359" t="str">
        <f>IF(Y359&lt;&gt;0,VLOOKUP(VLOOKUP(Y359,Tbl_Effect[],3,FALSE),EffectName[],IFERROR(MATCH(UI!$B$1,EffectName[#Headers],0),2),FALSE),"")</f>
        <v/>
      </c>
      <c r="AA359" t="str">
        <f t="shared" si="41"/>
        <v/>
      </c>
      <c r="AB359">
        <v>0</v>
      </c>
      <c r="AC359" t="str">
        <f>IF(AB359&lt;&gt;0,VLOOKUP(VLOOKUP(AB359,Tbl_Effect[],3,FALSE),EffectName[],IFERROR(MATCH(UI!$B$1,EffectName[#Headers],0),2),FALSE),"")</f>
        <v/>
      </c>
      <c r="AE359">
        <v>6646000</v>
      </c>
      <c r="AF359">
        <v>6647100</v>
      </c>
      <c r="AG359" t="e">
        <v>#N/A</v>
      </c>
    </row>
    <row r="360" spans="8:33" x14ac:dyDescent="0.4">
      <c r="H360" t="str">
        <f t="shared" si="35"/>
        <v>1002111-端正的水滴情景 (藍)</v>
      </c>
      <c r="I360">
        <v>1002111</v>
      </c>
      <c r="J360" t="str">
        <f>_xlfn.IFNA(IF(I360&lt;&gt;0,VLOOKUP(VLOOKUP(I360,Tbl_Equip[],2,FALSE),Tbl_Color[],IFERROR(MATCH(UI!$B$1,Tbl_Color[#Headers],0),2),FALSE),""),"Unset")</f>
        <v>藍</v>
      </c>
      <c r="K360" t="str">
        <f>_xlfn.IFNA(IF(I360&lt;&gt;0,VLOOKUP(I360,ItemText[],IFERROR(MATCH(UI!$B$1,ItemText[#Headers],0),2),FALSE),""),"Unset")</f>
        <v>端正的水滴情景</v>
      </c>
      <c r="L360" t="str">
        <f t="shared" si="36"/>
        <v>6646100-【隱士】提升智力、信仰，但降低集中力</v>
      </c>
      <c r="M360">
        <v>6646100</v>
      </c>
      <c r="N360" t="str">
        <f>IF(VALUE(M360)=0,"",VLOOKUP(VLOOKUP(M360,Tbl_Effect[],3,FALSE),EffectName[],IFERROR(MATCH(UI!$B$1,EffectName[#Headers],0),2),FALSE))</f>
        <v>【隱士】提升智力、信仰，但降低集中力</v>
      </c>
      <c r="O360" t="e">
        <f t="shared" si="37"/>
        <v>#N/A</v>
      </c>
      <c r="P360" t="e">
        <v>#N/A</v>
      </c>
      <c r="Q360" t="e">
        <f>IF(VALUE(P360)=0,"",VLOOKUP(VLOOKUP(P360,Tbl_Effect[],3,FALSE),EffectName[],IFERROR(MATCH(UI!$B$1,EffectName[#Headers],0),2),FALSE))</f>
        <v>#N/A</v>
      </c>
      <c r="R360" t="e">
        <f t="shared" si="38"/>
        <v>#N/A</v>
      </c>
      <c r="S360" t="e">
        <v>#N/A</v>
      </c>
      <c r="T360" t="e">
        <f>IF(VALUE(S360)=0,"",VLOOKUP(VLOOKUP(S360,Tbl_Effect[],3,FALSE),EffectName[],IFERROR(MATCH(UI!$B$1,EffectName[#Headers],0),2),FALSE))</f>
        <v>#N/A</v>
      </c>
      <c r="U360" t="str">
        <f t="shared" si="39"/>
        <v/>
      </c>
      <c r="V360">
        <v>0</v>
      </c>
      <c r="W360" t="str">
        <f>IF(V360&lt;&gt;0,VLOOKUP(VLOOKUP(V360,Tbl_Effect[],3,FALSE),EffectName[],IFERROR(MATCH(UI!$B$1,EffectName[#Headers],0),2),FALSE),"")</f>
        <v/>
      </c>
      <c r="X360" t="str">
        <f t="shared" si="40"/>
        <v/>
      </c>
      <c r="Y360">
        <v>0</v>
      </c>
      <c r="Z360" t="str">
        <f>IF(Y360&lt;&gt;0,VLOOKUP(VLOOKUP(Y360,Tbl_Effect[],3,FALSE),EffectName[],IFERROR(MATCH(UI!$B$1,EffectName[#Headers],0),2),FALSE),"")</f>
        <v/>
      </c>
      <c r="AA360" t="str">
        <f t="shared" si="41"/>
        <v/>
      </c>
      <c r="AB360">
        <v>0</v>
      </c>
      <c r="AC360" t="str">
        <f>IF(AB360&lt;&gt;0,VLOOKUP(VLOOKUP(AB360,Tbl_Effect[],3,FALSE),EffectName[],IFERROR(MATCH(UI!$B$1,EffectName[#Headers],0),2),FALSE),"")</f>
        <v/>
      </c>
      <c r="AE360">
        <v>6646100</v>
      </c>
      <c r="AF360" t="e">
        <v>#N/A</v>
      </c>
      <c r="AG360" t="e">
        <v>#N/A</v>
      </c>
    </row>
    <row r="361" spans="8:33" x14ac:dyDescent="0.4">
      <c r="H361" t="str">
        <f t="shared" si="35"/>
        <v>1002112-遼闊的水滴情景 (藍)</v>
      </c>
      <c r="I361">
        <v>1002112</v>
      </c>
      <c r="J361" t="str">
        <f>_xlfn.IFNA(IF(I361&lt;&gt;0,VLOOKUP(VLOOKUP(I361,Tbl_Equip[],2,FALSE),Tbl_Color[],IFERROR(MATCH(UI!$B$1,Tbl_Color[#Headers],0),2),FALSE),""),"Unset")</f>
        <v>藍</v>
      </c>
      <c r="K361" t="str">
        <f>_xlfn.IFNA(IF(I361&lt;&gt;0,VLOOKUP(I361,ItemText[],IFERROR(MATCH(UI!$B$1,ItemText[#Headers],0),2),FALSE),""),"Unset")</f>
        <v>遼闊的水滴情景</v>
      </c>
      <c r="L361" t="str">
        <f t="shared" si="36"/>
        <v>6647000-【執行者】提升生命力、耐力，但降低感應</v>
      </c>
      <c r="M361">
        <v>6647000</v>
      </c>
      <c r="N361" t="str">
        <f>IF(VALUE(M361)=0,"",VLOOKUP(VLOOKUP(M361,Tbl_Effect[],3,FALSE),EffectName[],IFERROR(MATCH(UI!$B$1,EffectName[#Headers],0),2),FALSE))</f>
        <v>【執行者】提升生命力、耐力，但降低感應</v>
      </c>
      <c r="O361" t="e">
        <f t="shared" si="37"/>
        <v>#N/A</v>
      </c>
      <c r="P361" t="e">
        <v>#N/A</v>
      </c>
      <c r="Q361" t="e">
        <f>IF(VALUE(P361)=0,"",VLOOKUP(VLOOKUP(P361,Tbl_Effect[],3,FALSE),EffectName[],IFERROR(MATCH(UI!$B$1,EffectName[#Headers],0),2),FALSE))</f>
        <v>#N/A</v>
      </c>
      <c r="R361" t="e">
        <f t="shared" si="38"/>
        <v>#N/A</v>
      </c>
      <c r="S361" t="e">
        <v>#N/A</v>
      </c>
      <c r="T361" t="e">
        <f>IF(VALUE(S361)=0,"",VLOOKUP(VLOOKUP(S361,Tbl_Effect[],3,FALSE),EffectName[],IFERROR(MATCH(UI!$B$1,EffectName[#Headers],0),2),FALSE))</f>
        <v>#N/A</v>
      </c>
      <c r="U361" t="str">
        <f t="shared" si="39"/>
        <v/>
      </c>
      <c r="V361">
        <v>0</v>
      </c>
      <c r="W361" t="str">
        <f>IF(V361&lt;&gt;0,VLOOKUP(VLOOKUP(V361,Tbl_Effect[],3,FALSE),EffectName[],IFERROR(MATCH(UI!$B$1,EffectName[#Headers],0),2),FALSE),"")</f>
        <v/>
      </c>
      <c r="X361" t="str">
        <f t="shared" si="40"/>
        <v/>
      </c>
      <c r="Y361">
        <v>0</v>
      </c>
      <c r="Z361" t="str">
        <f>IF(Y361&lt;&gt;0,VLOOKUP(VLOOKUP(Y361,Tbl_Effect[],3,FALSE),EffectName[],IFERROR(MATCH(UI!$B$1,EffectName[#Headers],0),2),FALSE),"")</f>
        <v/>
      </c>
      <c r="AA361" t="str">
        <f t="shared" si="41"/>
        <v/>
      </c>
      <c r="AB361">
        <v>0</v>
      </c>
      <c r="AC361" t="str">
        <f>IF(AB361&lt;&gt;0,VLOOKUP(VLOOKUP(AB361,Tbl_Effect[],3,FALSE),EffectName[],IFERROR(MATCH(UI!$B$1,EffectName[#Headers],0),2),FALSE),"")</f>
        <v/>
      </c>
      <c r="AE361">
        <v>6647000</v>
      </c>
      <c r="AF361" t="e">
        <v>#N/A</v>
      </c>
      <c r="AG361" t="e">
        <v>#N/A</v>
      </c>
    </row>
    <row r="362" spans="8:33" x14ac:dyDescent="0.4">
      <c r="H362" t="str">
        <f t="shared" si="35"/>
        <v>1002120-細膩的水滴情景 (藍)</v>
      </c>
      <c r="I362">
        <v>1002120</v>
      </c>
      <c r="J362" t="str">
        <f>_xlfn.IFNA(IF(I362&lt;&gt;0,VLOOKUP(VLOOKUP(I362,Tbl_Equip[],2,FALSE),Tbl_Color[],IFERROR(MATCH(UI!$B$1,Tbl_Color[#Headers],0),2),FALSE),""),"Unset")</f>
        <v>藍</v>
      </c>
      <c r="K362" t="str">
        <f>_xlfn.IFNA(IF(I362&lt;&gt;0,VLOOKUP(I362,ItemText[],IFERROR(MATCH(UI!$B$1,ItemText[#Headers],0),2),FALSE),""),"Unset")</f>
        <v>細膩的水滴情景</v>
      </c>
      <c r="L362" t="str">
        <f t="shared" si="36"/>
        <v>6647100-【執行者】提升靈巧、感應，但降低生命力</v>
      </c>
      <c r="M362">
        <v>6647100</v>
      </c>
      <c r="N362" t="str">
        <f>IF(VALUE(M362)=0,"",VLOOKUP(VLOOKUP(M362,Tbl_Effect[],3,FALSE),EffectName[],IFERROR(MATCH(UI!$B$1,EffectName[#Headers],0),2),FALSE))</f>
        <v>【執行者】提升靈巧、感應，但降低生命力</v>
      </c>
      <c r="O362" t="e">
        <f t="shared" si="37"/>
        <v>#N/A</v>
      </c>
      <c r="P362" t="e">
        <v>#N/A</v>
      </c>
      <c r="Q362" t="e">
        <f>IF(VALUE(P362)=0,"",VLOOKUP(VLOOKUP(P362,Tbl_Effect[],3,FALSE),EffectName[],IFERROR(MATCH(UI!$B$1,EffectName[#Headers],0),2),FALSE))</f>
        <v>#N/A</v>
      </c>
      <c r="R362" t="e">
        <f t="shared" si="38"/>
        <v>#N/A</v>
      </c>
      <c r="S362" t="e">
        <v>#N/A</v>
      </c>
      <c r="T362" t="e">
        <f>IF(VALUE(S362)=0,"",VLOOKUP(VLOOKUP(S362,Tbl_Effect[],3,FALSE),EffectName[],IFERROR(MATCH(UI!$B$1,EffectName[#Headers],0),2),FALSE))</f>
        <v>#N/A</v>
      </c>
      <c r="U362" t="str">
        <f t="shared" si="39"/>
        <v/>
      </c>
      <c r="V362">
        <v>0</v>
      </c>
      <c r="W362" t="str">
        <f>IF(V362&lt;&gt;0,VLOOKUP(VLOOKUP(V362,Tbl_Effect[],3,FALSE),EffectName[],IFERROR(MATCH(UI!$B$1,EffectName[#Headers],0),2),FALSE),"")</f>
        <v/>
      </c>
      <c r="X362" t="str">
        <f t="shared" si="40"/>
        <v/>
      </c>
      <c r="Y362">
        <v>0</v>
      </c>
      <c r="Z362" t="str">
        <f>IF(Y362&lt;&gt;0,VLOOKUP(VLOOKUP(Y362,Tbl_Effect[],3,FALSE),EffectName[],IFERROR(MATCH(UI!$B$1,EffectName[#Headers],0),2),FALSE),"")</f>
        <v/>
      </c>
      <c r="AA362" t="str">
        <f t="shared" si="41"/>
        <v/>
      </c>
      <c r="AB362">
        <v>0</v>
      </c>
      <c r="AC362" t="str">
        <f>IF(AB362&lt;&gt;0,VLOOKUP(VLOOKUP(AB362,Tbl_Effect[],3,FALSE),EffectName[],IFERROR(MATCH(UI!$B$1,EffectName[#Headers],0),2),FALSE),"")</f>
        <v/>
      </c>
      <c r="AE362">
        <v>6647100</v>
      </c>
      <c r="AF362" t="e">
        <v>#N/A</v>
      </c>
      <c r="AG362" t="e">
        <v>#N/A</v>
      </c>
    </row>
    <row r="363" spans="8:33" x14ac:dyDescent="0.4">
      <c r="H363" t="str">
        <f t="shared" si="35"/>
        <v>1002121-端正的水滴情景 (藍)</v>
      </c>
      <c r="I363">
        <v>1002121</v>
      </c>
      <c r="J363" t="str">
        <f>_xlfn.IFNA(IF(I363&lt;&gt;0,VLOOKUP(VLOOKUP(I363,Tbl_Equip[],2,FALSE),Tbl_Color[],IFERROR(MATCH(UI!$B$1,Tbl_Color[#Headers],0),2),FALSE),""),"Unset")</f>
        <v>藍</v>
      </c>
      <c r="K363" t="str">
        <f>_xlfn.IFNA(IF(I363&lt;&gt;0,VLOOKUP(I363,ItemText[],IFERROR(MATCH(UI!$B$1,ItemText[#Headers],0),2),FALSE),""),"Unset")</f>
        <v>端正的水滴情景</v>
      </c>
      <c r="L363" t="str">
        <f t="shared" si="36"/>
        <v/>
      </c>
      <c r="M363">
        <v>0</v>
      </c>
      <c r="N363" t="str">
        <f>IF(VALUE(M363)=0,"",VLOOKUP(VLOOKUP(M363,Tbl_Effect[],3,FALSE),EffectName[],IFERROR(MATCH(UI!$B$1,EffectName[#Headers],0),2),FALSE))</f>
        <v/>
      </c>
      <c r="O363" t="str">
        <f t="shared" si="37"/>
        <v/>
      </c>
      <c r="P363">
        <v>0</v>
      </c>
      <c r="Q363" t="str">
        <f>IF(VALUE(P363)=0,"",VLOOKUP(VLOOKUP(P363,Tbl_Effect[],3,FALSE),EffectName[],IFERROR(MATCH(UI!$B$1,EffectName[#Headers],0),2),FALSE))</f>
        <v/>
      </c>
      <c r="R363" t="str">
        <f t="shared" si="38"/>
        <v/>
      </c>
      <c r="S363">
        <v>0</v>
      </c>
      <c r="T363" t="str">
        <f>IF(VALUE(S363)=0,"",VLOOKUP(VLOOKUP(S363,Tbl_Effect[],3,FALSE),EffectName[],IFERROR(MATCH(UI!$B$1,EffectName[#Headers],0),2),FALSE))</f>
        <v/>
      </c>
      <c r="U363" t="str">
        <f t="shared" si="39"/>
        <v/>
      </c>
      <c r="V363">
        <v>0</v>
      </c>
      <c r="W363" t="str">
        <f>IF(V363&lt;&gt;0,VLOOKUP(VLOOKUP(V363,Tbl_Effect[],3,FALSE),EffectName[],IFERROR(MATCH(UI!$B$1,EffectName[#Headers],0),2),FALSE),"")</f>
        <v/>
      </c>
      <c r="X363" t="str">
        <f t="shared" si="40"/>
        <v/>
      </c>
      <c r="Y363">
        <v>0</v>
      </c>
      <c r="Z363" t="str">
        <f>IF(Y363&lt;&gt;0,VLOOKUP(VLOOKUP(Y363,Tbl_Effect[],3,FALSE),EffectName[],IFERROR(MATCH(UI!$B$1,EffectName[#Headers],0),2),FALSE),"")</f>
        <v/>
      </c>
      <c r="AA363" t="str">
        <f t="shared" si="41"/>
        <v/>
      </c>
      <c r="AB363">
        <v>0</v>
      </c>
      <c r="AC363" t="str">
        <f>IF(AB363&lt;&gt;0,VLOOKUP(VLOOKUP(AB363,Tbl_Effect[],3,FALSE),EffectName[],IFERROR(MATCH(UI!$B$1,EffectName[#Headers],0),2),FALSE),"")</f>
        <v/>
      </c>
    </row>
    <row r="364" spans="8:33" x14ac:dyDescent="0.4">
      <c r="H364" t="str">
        <f t="shared" si="35"/>
        <v>1002122-遼闊的水滴情景 (藍)</v>
      </c>
      <c r="I364">
        <v>1002122</v>
      </c>
      <c r="J364" t="str">
        <f>_xlfn.IFNA(IF(I364&lt;&gt;0,VLOOKUP(VLOOKUP(I364,Tbl_Equip[],2,FALSE),Tbl_Color[],IFERROR(MATCH(UI!$B$1,Tbl_Color[#Headers],0),2),FALSE),""),"Unset")</f>
        <v>藍</v>
      </c>
      <c r="K364" t="str">
        <f>_xlfn.IFNA(IF(I364&lt;&gt;0,VLOOKUP(I364,ItemText[],IFERROR(MATCH(UI!$B$1,ItemText[#Headers],0),2),FALSE),""),"Unset")</f>
        <v>遼闊的水滴情景</v>
      </c>
      <c r="L364" t="str">
        <f t="shared" si="36"/>
        <v/>
      </c>
      <c r="M364">
        <v>0</v>
      </c>
      <c r="N364" t="str">
        <f>IF(VALUE(M364)=0,"",VLOOKUP(VLOOKUP(M364,Tbl_Effect[],3,FALSE),EffectName[],IFERROR(MATCH(UI!$B$1,EffectName[#Headers],0),2),FALSE))</f>
        <v/>
      </c>
      <c r="O364" t="str">
        <f t="shared" si="37"/>
        <v/>
      </c>
      <c r="P364">
        <v>0</v>
      </c>
      <c r="Q364" t="str">
        <f>IF(VALUE(P364)=0,"",VLOOKUP(VLOOKUP(P364,Tbl_Effect[],3,FALSE),EffectName[],IFERROR(MATCH(UI!$B$1,EffectName[#Headers],0),2),FALSE))</f>
        <v/>
      </c>
      <c r="R364" t="str">
        <f t="shared" si="38"/>
        <v/>
      </c>
      <c r="S364">
        <v>0</v>
      </c>
      <c r="T364" t="str">
        <f>IF(VALUE(S364)=0,"",VLOOKUP(VLOOKUP(S364,Tbl_Effect[],3,FALSE),EffectName[],IFERROR(MATCH(UI!$B$1,EffectName[#Headers],0),2),FALSE))</f>
        <v/>
      </c>
      <c r="U364" t="str">
        <f t="shared" si="39"/>
        <v/>
      </c>
      <c r="V364">
        <v>0</v>
      </c>
      <c r="W364" t="str">
        <f>IF(V364&lt;&gt;0,VLOOKUP(VLOOKUP(V364,Tbl_Effect[],3,FALSE),EffectName[],IFERROR(MATCH(UI!$B$1,EffectName[#Headers],0),2),FALSE),"")</f>
        <v/>
      </c>
      <c r="X364" t="str">
        <f t="shared" si="40"/>
        <v/>
      </c>
      <c r="Y364">
        <v>0</v>
      </c>
      <c r="Z364" t="str">
        <f>IF(Y364&lt;&gt;0,VLOOKUP(VLOOKUP(Y364,Tbl_Effect[],3,FALSE),EffectName[],IFERROR(MATCH(UI!$B$1,EffectName[#Headers],0),2),FALSE),"")</f>
        <v/>
      </c>
      <c r="AA364" t="str">
        <f t="shared" si="41"/>
        <v/>
      </c>
      <c r="AB364">
        <v>0</v>
      </c>
      <c r="AC364" t="str">
        <f>IF(AB364&lt;&gt;0,VLOOKUP(VLOOKUP(AB364,Tbl_Effect[],3,FALSE),EffectName[],IFERROR(MATCH(UI!$B$1,EffectName[#Headers],0),2),FALSE),"")</f>
        <v/>
      </c>
    </row>
    <row r="365" spans="8:33" x14ac:dyDescent="0.4">
      <c r="H365" t="str">
        <f t="shared" si="35"/>
        <v>1002200-細膩的光耀情景 (黃)</v>
      </c>
      <c r="I365">
        <v>1002200</v>
      </c>
      <c r="J365" t="str">
        <f>_xlfn.IFNA(IF(I365&lt;&gt;0,VLOOKUP(VLOOKUP(I365,Tbl_Equip[],2,FALSE),Tbl_Color[],IFERROR(MATCH(UI!$B$1,Tbl_Color[#Headers],0),2),FALSE),""),"Unset")</f>
        <v>黃</v>
      </c>
      <c r="K365" t="str">
        <f>_xlfn.IFNA(IF(I365&lt;&gt;0,VLOOKUP(I365,ItemText[],IFERROR(MATCH(UI!$B$1,ItemText[#Headers],0),2),FALSE),""),"Unset")</f>
        <v>細膩的光耀情景</v>
      </c>
      <c r="L365" t="str">
        <f t="shared" si="36"/>
        <v/>
      </c>
      <c r="M365">
        <v>0</v>
      </c>
      <c r="N365" t="str">
        <f>IF(VALUE(M365)=0,"",VLOOKUP(VLOOKUP(M365,Tbl_Effect[],3,FALSE),EffectName[],IFERROR(MATCH(UI!$B$1,EffectName[#Headers],0),2),FALSE))</f>
        <v/>
      </c>
      <c r="O365" t="str">
        <f t="shared" si="37"/>
        <v/>
      </c>
      <c r="P365">
        <v>0</v>
      </c>
      <c r="Q365" t="str">
        <f>IF(VALUE(P365)=0,"",VLOOKUP(VLOOKUP(P365,Tbl_Effect[],3,FALSE),EffectName[],IFERROR(MATCH(UI!$B$1,EffectName[#Headers],0),2),FALSE))</f>
        <v/>
      </c>
      <c r="R365" t="str">
        <f t="shared" si="38"/>
        <v/>
      </c>
      <c r="S365">
        <v>0</v>
      </c>
      <c r="T365" t="str">
        <f>IF(VALUE(S365)=0,"",VLOOKUP(VLOOKUP(S365,Tbl_Effect[],3,FALSE),EffectName[],IFERROR(MATCH(UI!$B$1,EffectName[#Headers],0),2),FALSE))</f>
        <v/>
      </c>
      <c r="U365" t="str">
        <f t="shared" si="39"/>
        <v/>
      </c>
      <c r="V365">
        <v>0</v>
      </c>
      <c r="W365" t="str">
        <f>IF(V365&lt;&gt;0,VLOOKUP(VLOOKUP(V365,Tbl_Effect[],3,FALSE),EffectName[],IFERROR(MATCH(UI!$B$1,EffectName[#Headers],0),2),FALSE),"")</f>
        <v/>
      </c>
      <c r="X365" t="str">
        <f t="shared" si="40"/>
        <v/>
      </c>
      <c r="Y365">
        <v>0</v>
      </c>
      <c r="Z365" t="str">
        <f>IF(Y365&lt;&gt;0,VLOOKUP(VLOOKUP(Y365,Tbl_Effect[],3,FALSE),EffectName[],IFERROR(MATCH(UI!$B$1,EffectName[#Headers],0),2),FALSE),"")</f>
        <v/>
      </c>
      <c r="AA365" t="str">
        <f t="shared" si="41"/>
        <v/>
      </c>
      <c r="AB365">
        <v>0</v>
      </c>
      <c r="AC365" t="str">
        <f>IF(AB365&lt;&gt;0,VLOOKUP(VLOOKUP(AB365,Tbl_Effect[],3,FALSE),EffectName[],IFERROR(MATCH(UI!$B$1,EffectName[#Headers],0),2),FALSE),"")</f>
        <v/>
      </c>
    </row>
    <row r="366" spans="8:33" x14ac:dyDescent="0.4">
      <c r="H366" t="str">
        <f t="shared" si="35"/>
        <v>1002201-端正的光耀情景 (黃)</v>
      </c>
      <c r="I366">
        <v>1002201</v>
      </c>
      <c r="J366" t="str">
        <f>_xlfn.IFNA(IF(I366&lt;&gt;0,VLOOKUP(VLOOKUP(I366,Tbl_Equip[],2,FALSE),Tbl_Color[],IFERROR(MATCH(UI!$B$1,Tbl_Color[#Headers],0),2),FALSE),""),"Unset")</f>
        <v>黃</v>
      </c>
      <c r="K366" t="str">
        <f>_xlfn.IFNA(IF(I366&lt;&gt;0,VLOOKUP(I366,ItemText[],IFERROR(MATCH(UI!$B$1,ItemText[#Headers],0),2),FALSE),""),"Unset")</f>
        <v>端正的光耀情景</v>
      </c>
      <c r="L366" t="str">
        <f t="shared" si="36"/>
        <v/>
      </c>
      <c r="M366">
        <v>0</v>
      </c>
      <c r="N366" t="str">
        <f>IF(VALUE(M366)=0,"",VLOOKUP(VLOOKUP(M366,Tbl_Effect[],3,FALSE),EffectName[],IFERROR(MATCH(UI!$B$1,EffectName[#Headers],0),2),FALSE))</f>
        <v/>
      </c>
      <c r="O366" t="str">
        <f t="shared" si="37"/>
        <v/>
      </c>
      <c r="P366">
        <v>0</v>
      </c>
      <c r="Q366" t="str">
        <f>IF(VALUE(P366)=0,"",VLOOKUP(VLOOKUP(P366,Tbl_Effect[],3,FALSE),EffectName[],IFERROR(MATCH(UI!$B$1,EffectName[#Headers],0),2),FALSE))</f>
        <v/>
      </c>
      <c r="R366" t="str">
        <f t="shared" si="38"/>
        <v/>
      </c>
      <c r="S366">
        <v>0</v>
      </c>
      <c r="T366" t="str">
        <f>IF(VALUE(S366)=0,"",VLOOKUP(VLOOKUP(S366,Tbl_Effect[],3,FALSE),EffectName[],IFERROR(MATCH(UI!$B$1,EffectName[#Headers],0),2),FALSE))</f>
        <v/>
      </c>
      <c r="U366" t="str">
        <f t="shared" si="39"/>
        <v/>
      </c>
      <c r="V366">
        <v>0</v>
      </c>
      <c r="W366" t="str">
        <f>IF(V366&lt;&gt;0,VLOOKUP(VLOOKUP(V366,Tbl_Effect[],3,FALSE),EffectName[],IFERROR(MATCH(UI!$B$1,EffectName[#Headers],0),2),FALSE),"")</f>
        <v/>
      </c>
      <c r="X366" t="str">
        <f t="shared" si="40"/>
        <v/>
      </c>
      <c r="Y366">
        <v>0</v>
      </c>
      <c r="Z366" t="str">
        <f>IF(Y366&lt;&gt;0,VLOOKUP(VLOOKUP(Y366,Tbl_Effect[],3,FALSE),EffectName[],IFERROR(MATCH(UI!$B$1,EffectName[#Headers],0),2),FALSE),"")</f>
        <v/>
      </c>
      <c r="AA366" t="str">
        <f t="shared" si="41"/>
        <v/>
      </c>
      <c r="AB366">
        <v>0</v>
      </c>
      <c r="AC366" t="str">
        <f>IF(AB366&lt;&gt;0,VLOOKUP(VLOOKUP(AB366,Tbl_Effect[],3,FALSE),EffectName[],IFERROR(MATCH(UI!$B$1,EffectName[#Headers],0),2),FALSE),"")</f>
        <v/>
      </c>
    </row>
    <row r="367" spans="8:33" x14ac:dyDescent="0.4">
      <c r="H367" t="str">
        <f t="shared" si="35"/>
        <v>1002202-遼闊的光耀情景 (黃)</v>
      </c>
      <c r="I367">
        <v>1002202</v>
      </c>
      <c r="J367" t="str">
        <f>_xlfn.IFNA(IF(I367&lt;&gt;0,VLOOKUP(VLOOKUP(I367,Tbl_Equip[],2,FALSE),Tbl_Color[],IFERROR(MATCH(UI!$B$1,Tbl_Color[#Headers],0),2),FALSE),""),"Unset")</f>
        <v>黃</v>
      </c>
      <c r="K367" t="str">
        <f>_xlfn.IFNA(IF(I367&lt;&gt;0,VLOOKUP(I367,ItemText[],IFERROR(MATCH(UI!$B$1,ItemText[#Headers],0),2),FALSE),""),"Unset")</f>
        <v>遼闊的光耀情景</v>
      </c>
      <c r="L367" t="str">
        <f t="shared" si="36"/>
        <v/>
      </c>
      <c r="M367">
        <v>0</v>
      </c>
      <c r="N367" t="str">
        <f>IF(VALUE(M367)=0,"",VLOOKUP(VLOOKUP(M367,Tbl_Effect[],3,FALSE),EffectName[],IFERROR(MATCH(UI!$B$1,EffectName[#Headers],0),2),FALSE))</f>
        <v/>
      </c>
      <c r="O367" t="str">
        <f t="shared" si="37"/>
        <v/>
      </c>
      <c r="P367">
        <v>0</v>
      </c>
      <c r="Q367" t="str">
        <f>IF(VALUE(P367)=0,"",VLOOKUP(VLOOKUP(P367,Tbl_Effect[],3,FALSE),EffectName[],IFERROR(MATCH(UI!$B$1,EffectName[#Headers],0),2),FALSE))</f>
        <v/>
      </c>
      <c r="R367" t="str">
        <f t="shared" si="38"/>
        <v/>
      </c>
      <c r="S367">
        <v>0</v>
      </c>
      <c r="T367" t="str">
        <f>IF(VALUE(S367)=0,"",VLOOKUP(VLOOKUP(S367,Tbl_Effect[],3,FALSE),EffectName[],IFERROR(MATCH(UI!$B$1,EffectName[#Headers],0),2),FALSE))</f>
        <v/>
      </c>
      <c r="U367" t="str">
        <f t="shared" si="39"/>
        <v/>
      </c>
      <c r="V367">
        <v>0</v>
      </c>
      <c r="W367" t="str">
        <f>IF(V367&lt;&gt;0,VLOOKUP(VLOOKUP(V367,Tbl_Effect[],3,FALSE),EffectName[],IFERROR(MATCH(UI!$B$1,EffectName[#Headers],0),2),FALSE),"")</f>
        <v/>
      </c>
      <c r="X367" t="str">
        <f t="shared" si="40"/>
        <v/>
      </c>
      <c r="Y367">
        <v>0</v>
      </c>
      <c r="Z367" t="str">
        <f>IF(Y367&lt;&gt;0,VLOOKUP(VLOOKUP(Y367,Tbl_Effect[],3,FALSE),EffectName[],IFERROR(MATCH(UI!$B$1,EffectName[#Headers],0),2),FALSE),"")</f>
        <v/>
      </c>
      <c r="AA367" t="str">
        <f t="shared" si="41"/>
        <v/>
      </c>
      <c r="AB367">
        <v>0</v>
      </c>
      <c r="AC367" t="str">
        <f>IF(AB367&lt;&gt;0,VLOOKUP(VLOOKUP(AB367,Tbl_Effect[],3,FALSE),EffectName[],IFERROR(MATCH(UI!$B$1,EffectName[#Headers],0),2),FALSE),"")</f>
        <v/>
      </c>
    </row>
    <row r="368" spans="8:33" x14ac:dyDescent="0.4">
      <c r="H368" t="str">
        <f t="shared" si="35"/>
        <v>1002210-細膩的光耀情景 (黃)</v>
      </c>
      <c r="I368">
        <v>1002210</v>
      </c>
      <c r="J368" t="str">
        <f>_xlfn.IFNA(IF(I368&lt;&gt;0,VLOOKUP(VLOOKUP(I368,Tbl_Equip[],2,FALSE),Tbl_Color[],IFERROR(MATCH(UI!$B$1,Tbl_Color[#Headers],0),2),FALSE),""),"Unset")</f>
        <v>黃</v>
      </c>
      <c r="K368" t="str">
        <f>_xlfn.IFNA(IF(I368&lt;&gt;0,VLOOKUP(I368,ItemText[],IFERROR(MATCH(UI!$B$1,ItemText[#Headers],0),2),FALSE),""),"Unset")</f>
        <v>細膩的光耀情景</v>
      </c>
      <c r="L368" t="str">
        <f t="shared" si="36"/>
        <v/>
      </c>
      <c r="M368">
        <v>0</v>
      </c>
      <c r="N368" t="str">
        <f>IF(VALUE(M368)=0,"",VLOOKUP(VLOOKUP(M368,Tbl_Effect[],3,FALSE),EffectName[],IFERROR(MATCH(UI!$B$1,EffectName[#Headers],0),2),FALSE))</f>
        <v/>
      </c>
      <c r="O368" t="str">
        <f t="shared" si="37"/>
        <v/>
      </c>
      <c r="P368">
        <v>0</v>
      </c>
      <c r="Q368" t="str">
        <f>IF(VALUE(P368)=0,"",VLOOKUP(VLOOKUP(P368,Tbl_Effect[],3,FALSE),EffectName[],IFERROR(MATCH(UI!$B$1,EffectName[#Headers],0),2),FALSE))</f>
        <v/>
      </c>
      <c r="R368" t="str">
        <f t="shared" si="38"/>
        <v/>
      </c>
      <c r="S368">
        <v>0</v>
      </c>
      <c r="T368" t="str">
        <f>IF(VALUE(S368)=0,"",VLOOKUP(VLOOKUP(S368,Tbl_Effect[],3,FALSE),EffectName[],IFERROR(MATCH(UI!$B$1,EffectName[#Headers],0),2),FALSE))</f>
        <v/>
      </c>
      <c r="U368" t="str">
        <f t="shared" si="39"/>
        <v/>
      </c>
      <c r="V368">
        <v>0</v>
      </c>
      <c r="W368" t="str">
        <f>IF(V368&lt;&gt;0,VLOOKUP(VLOOKUP(V368,Tbl_Effect[],3,FALSE),EffectName[],IFERROR(MATCH(UI!$B$1,EffectName[#Headers],0),2),FALSE),"")</f>
        <v/>
      </c>
      <c r="X368" t="str">
        <f t="shared" si="40"/>
        <v/>
      </c>
      <c r="Y368">
        <v>0</v>
      </c>
      <c r="Z368" t="str">
        <f>IF(Y368&lt;&gt;0,VLOOKUP(VLOOKUP(Y368,Tbl_Effect[],3,FALSE),EffectName[],IFERROR(MATCH(UI!$B$1,EffectName[#Headers],0),2),FALSE),"")</f>
        <v/>
      </c>
      <c r="AA368" t="str">
        <f t="shared" si="41"/>
        <v/>
      </c>
      <c r="AB368">
        <v>0</v>
      </c>
      <c r="AC368" t="str">
        <f>IF(AB368&lt;&gt;0,VLOOKUP(VLOOKUP(AB368,Tbl_Effect[],3,FALSE),EffectName[],IFERROR(MATCH(UI!$B$1,EffectName[#Headers],0),2),FALSE),"")</f>
        <v/>
      </c>
    </row>
    <row r="369" spans="8:29" x14ac:dyDescent="0.4">
      <c r="H369" t="str">
        <f t="shared" si="35"/>
        <v>1002211-端正的光耀情景 (黃)</v>
      </c>
      <c r="I369">
        <v>1002211</v>
      </c>
      <c r="J369" t="str">
        <f>_xlfn.IFNA(IF(I369&lt;&gt;0,VLOOKUP(VLOOKUP(I369,Tbl_Equip[],2,FALSE),Tbl_Color[],IFERROR(MATCH(UI!$B$1,Tbl_Color[#Headers],0),2),FALSE),""),"Unset")</f>
        <v>黃</v>
      </c>
      <c r="K369" t="str">
        <f>_xlfn.IFNA(IF(I369&lt;&gt;0,VLOOKUP(I369,ItemText[],IFERROR(MATCH(UI!$B$1,ItemText[#Headers],0),2),FALSE),""),"Unset")</f>
        <v>端正的光耀情景</v>
      </c>
      <c r="L369" t="str">
        <f t="shared" si="36"/>
        <v/>
      </c>
      <c r="M369">
        <v>0</v>
      </c>
      <c r="N369" t="str">
        <f>IF(VALUE(M369)=0,"",VLOOKUP(VLOOKUP(M369,Tbl_Effect[],3,FALSE),EffectName[],IFERROR(MATCH(UI!$B$1,EffectName[#Headers],0),2),FALSE))</f>
        <v/>
      </c>
      <c r="O369" t="str">
        <f t="shared" si="37"/>
        <v/>
      </c>
      <c r="P369">
        <v>0</v>
      </c>
      <c r="Q369" t="str">
        <f>IF(VALUE(P369)=0,"",VLOOKUP(VLOOKUP(P369,Tbl_Effect[],3,FALSE),EffectName[],IFERROR(MATCH(UI!$B$1,EffectName[#Headers],0),2),FALSE))</f>
        <v/>
      </c>
      <c r="R369" t="str">
        <f t="shared" si="38"/>
        <v/>
      </c>
      <c r="S369">
        <v>0</v>
      </c>
      <c r="T369" t="str">
        <f>IF(VALUE(S369)=0,"",VLOOKUP(VLOOKUP(S369,Tbl_Effect[],3,FALSE),EffectName[],IFERROR(MATCH(UI!$B$1,EffectName[#Headers],0),2),FALSE))</f>
        <v/>
      </c>
      <c r="U369" t="str">
        <f t="shared" si="39"/>
        <v/>
      </c>
      <c r="V369">
        <v>0</v>
      </c>
      <c r="W369" t="str">
        <f>IF(V369&lt;&gt;0,VLOOKUP(VLOOKUP(V369,Tbl_Effect[],3,FALSE),EffectName[],IFERROR(MATCH(UI!$B$1,EffectName[#Headers],0),2),FALSE),"")</f>
        <v/>
      </c>
      <c r="X369" t="str">
        <f t="shared" si="40"/>
        <v/>
      </c>
      <c r="Y369">
        <v>0</v>
      </c>
      <c r="Z369" t="str">
        <f>IF(Y369&lt;&gt;0,VLOOKUP(VLOOKUP(Y369,Tbl_Effect[],3,FALSE),EffectName[],IFERROR(MATCH(UI!$B$1,EffectName[#Headers],0),2),FALSE),"")</f>
        <v/>
      </c>
      <c r="AA369" t="str">
        <f t="shared" si="41"/>
        <v/>
      </c>
      <c r="AB369">
        <v>0</v>
      </c>
      <c r="AC369" t="str">
        <f>IF(AB369&lt;&gt;0,VLOOKUP(VLOOKUP(AB369,Tbl_Effect[],3,FALSE),EffectName[],IFERROR(MATCH(UI!$B$1,EffectName[#Headers],0),2),FALSE),"")</f>
        <v/>
      </c>
    </row>
    <row r="370" spans="8:29" x14ac:dyDescent="0.4">
      <c r="H370" t="str">
        <f t="shared" si="35"/>
        <v>1002212-遼闊的光耀情景 (黃)</v>
      </c>
      <c r="I370">
        <v>1002212</v>
      </c>
      <c r="J370" t="str">
        <f>_xlfn.IFNA(IF(I370&lt;&gt;0,VLOOKUP(VLOOKUP(I370,Tbl_Equip[],2,FALSE),Tbl_Color[],IFERROR(MATCH(UI!$B$1,Tbl_Color[#Headers],0),2),FALSE),""),"Unset")</f>
        <v>黃</v>
      </c>
      <c r="K370" t="str">
        <f>_xlfn.IFNA(IF(I370&lt;&gt;0,VLOOKUP(I370,ItemText[],IFERROR(MATCH(UI!$B$1,ItemText[#Headers],0),2),FALSE),""),"Unset")</f>
        <v>遼闊的光耀情景</v>
      </c>
      <c r="L370" t="str">
        <f t="shared" si="36"/>
        <v/>
      </c>
      <c r="M370">
        <v>0</v>
      </c>
      <c r="N370" t="str">
        <f>IF(VALUE(M370)=0,"",VLOOKUP(VLOOKUP(M370,Tbl_Effect[],3,FALSE),EffectName[],IFERROR(MATCH(UI!$B$1,EffectName[#Headers],0),2),FALSE))</f>
        <v/>
      </c>
      <c r="O370" t="str">
        <f t="shared" si="37"/>
        <v/>
      </c>
      <c r="P370">
        <v>0</v>
      </c>
      <c r="Q370" t="str">
        <f>IF(VALUE(P370)=0,"",VLOOKUP(VLOOKUP(P370,Tbl_Effect[],3,FALSE),EffectName[],IFERROR(MATCH(UI!$B$1,EffectName[#Headers],0),2),FALSE))</f>
        <v/>
      </c>
      <c r="R370" t="str">
        <f t="shared" si="38"/>
        <v/>
      </c>
      <c r="S370">
        <v>0</v>
      </c>
      <c r="T370" t="str">
        <f>IF(VALUE(S370)=0,"",VLOOKUP(VLOOKUP(S370,Tbl_Effect[],3,FALSE),EffectName[],IFERROR(MATCH(UI!$B$1,EffectName[#Headers],0),2),FALSE))</f>
        <v/>
      </c>
      <c r="U370" t="str">
        <f t="shared" si="39"/>
        <v/>
      </c>
      <c r="V370">
        <v>0</v>
      </c>
      <c r="W370" t="str">
        <f>IF(V370&lt;&gt;0,VLOOKUP(VLOOKUP(V370,Tbl_Effect[],3,FALSE),EffectName[],IFERROR(MATCH(UI!$B$1,EffectName[#Headers],0),2),FALSE),"")</f>
        <v/>
      </c>
      <c r="X370" t="str">
        <f t="shared" si="40"/>
        <v/>
      </c>
      <c r="Y370">
        <v>0</v>
      </c>
      <c r="Z370" t="str">
        <f>IF(Y370&lt;&gt;0,VLOOKUP(VLOOKUP(Y370,Tbl_Effect[],3,FALSE),EffectName[],IFERROR(MATCH(UI!$B$1,EffectName[#Headers],0),2),FALSE),"")</f>
        <v/>
      </c>
      <c r="AA370" t="str">
        <f t="shared" si="41"/>
        <v/>
      </c>
      <c r="AB370">
        <v>0</v>
      </c>
      <c r="AC370" t="str">
        <f>IF(AB370&lt;&gt;0,VLOOKUP(VLOOKUP(AB370,Tbl_Effect[],3,FALSE),EffectName[],IFERROR(MATCH(UI!$B$1,EffectName[#Headers],0),2),FALSE),"")</f>
        <v/>
      </c>
    </row>
    <row r="371" spans="8:29" x14ac:dyDescent="0.4">
      <c r="H371" t="str">
        <f t="shared" si="35"/>
        <v>1002220-細膩的光耀情景 (黃)</v>
      </c>
      <c r="I371">
        <v>1002220</v>
      </c>
      <c r="J371" t="str">
        <f>_xlfn.IFNA(IF(I371&lt;&gt;0,VLOOKUP(VLOOKUP(I371,Tbl_Equip[],2,FALSE),Tbl_Color[],IFERROR(MATCH(UI!$B$1,Tbl_Color[#Headers],0),2),FALSE),""),"Unset")</f>
        <v>黃</v>
      </c>
      <c r="K371" t="str">
        <f>_xlfn.IFNA(IF(I371&lt;&gt;0,VLOOKUP(I371,ItemText[],IFERROR(MATCH(UI!$B$1,ItemText[#Headers],0),2),FALSE),""),"Unset")</f>
        <v>細膩的光耀情景</v>
      </c>
      <c r="L371" t="str">
        <f t="shared" si="36"/>
        <v/>
      </c>
      <c r="M371">
        <v>0</v>
      </c>
      <c r="N371" t="str">
        <f>IF(VALUE(M371)=0,"",VLOOKUP(VLOOKUP(M371,Tbl_Effect[],3,FALSE),EffectName[],IFERROR(MATCH(UI!$B$1,EffectName[#Headers],0),2),FALSE))</f>
        <v/>
      </c>
      <c r="O371" t="str">
        <f t="shared" si="37"/>
        <v/>
      </c>
      <c r="P371">
        <v>0</v>
      </c>
      <c r="Q371" t="str">
        <f>IF(VALUE(P371)=0,"",VLOOKUP(VLOOKUP(P371,Tbl_Effect[],3,FALSE),EffectName[],IFERROR(MATCH(UI!$B$1,EffectName[#Headers],0),2),FALSE))</f>
        <v/>
      </c>
      <c r="R371" t="str">
        <f t="shared" si="38"/>
        <v/>
      </c>
      <c r="S371">
        <v>0</v>
      </c>
      <c r="T371" t="str">
        <f>IF(VALUE(S371)=0,"",VLOOKUP(VLOOKUP(S371,Tbl_Effect[],3,FALSE),EffectName[],IFERROR(MATCH(UI!$B$1,EffectName[#Headers],0),2),FALSE))</f>
        <v/>
      </c>
      <c r="U371" t="str">
        <f t="shared" si="39"/>
        <v/>
      </c>
      <c r="V371">
        <v>0</v>
      </c>
      <c r="W371" t="str">
        <f>IF(V371&lt;&gt;0,VLOOKUP(VLOOKUP(V371,Tbl_Effect[],3,FALSE),EffectName[],IFERROR(MATCH(UI!$B$1,EffectName[#Headers],0),2),FALSE),"")</f>
        <v/>
      </c>
      <c r="X371" t="str">
        <f t="shared" si="40"/>
        <v/>
      </c>
      <c r="Y371">
        <v>0</v>
      </c>
      <c r="Z371" t="str">
        <f>IF(Y371&lt;&gt;0,VLOOKUP(VLOOKUP(Y371,Tbl_Effect[],3,FALSE),EffectName[],IFERROR(MATCH(UI!$B$1,EffectName[#Headers],0),2),FALSE),"")</f>
        <v/>
      </c>
      <c r="AA371" t="str">
        <f t="shared" si="41"/>
        <v/>
      </c>
      <c r="AB371">
        <v>0</v>
      </c>
      <c r="AC371" t="str">
        <f>IF(AB371&lt;&gt;0,VLOOKUP(VLOOKUP(AB371,Tbl_Effect[],3,FALSE),EffectName[],IFERROR(MATCH(UI!$B$1,EffectName[#Headers],0),2),FALSE),"")</f>
        <v/>
      </c>
    </row>
    <row r="372" spans="8:29" x14ac:dyDescent="0.4">
      <c r="H372" t="str">
        <f t="shared" si="35"/>
        <v>1002221-端正的光耀情景 (黃)</v>
      </c>
      <c r="I372">
        <v>1002221</v>
      </c>
      <c r="J372" t="str">
        <f>_xlfn.IFNA(IF(I372&lt;&gt;0,VLOOKUP(VLOOKUP(I372,Tbl_Equip[],2,FALSE),Tbl_Color[],IFERROR(MATCH(UI!$B$1,Tbl_Color[#Headers],0),2),FALSE),""),"Unset")</f>
        <v>黃</v>
      </c>
      <c r="K372" t="str">
        <f>_xlfn.IFNA(IF(I372&lt;&gt;0,VLOOKUP(I372,ItemText[],IFERROR(MATCH(UI!$B$1,ItemText[#Headers],0),2),FALSE),""),"Unset")</f>
        <v>端正的光耀情景</v>
      </c>
      <c r="L372" t="str">
        <f t="shared" si="36"/>
        <v/>
      </c>
      <c r="M372">
        <v>0</v>
      </c>
      <c r="N372" t="str">
        <f>IF(VALUE(M372)=0,"",VLOOKUP(VLOOKUP(M372,Tbl_Effect[],3,FALSE),EffectName[],IFERROR(MATCH(UI!$B$1,EffectName[#Headers],0),2),FALSE))</f>
        <v/>
      </c>
      <c r="O372" t="str">
        <f t="shared" si="37"/>
        <v/>
      </c>
      <c r="P372">
        <v>0</v>
      </c>
      <c r="Q372" t="str">
        <f>IF(VALUE(P372)=0,"",VLOOKUP(VLOOKUP(P372,Tbl_Effect[],3,FALSE),EffectName[],IFERROR(MATCH(UI!$B$1,EffectName[#Headers],0),2),FALSE))</f>
        <v/>
      </c>
      <c r="R372" t="str">
        <f t="shared" si="38"/>
        <v/>
      </c>
      <c r="S372">
        <v>0</v>
      </c>
      <c r="T372" t="str">
        <f>IF(VALUE(S372)=0,"",VLOOKUP(VLOOKUP(S372,Tbl_Effect[],3,FALSE),EffectName[],IFERROR(MATCH(UI!$B$1,EffectName[#Headers],0),2),FALSE))</f>
        <v/>
      </c>
      <c r="U372" t="str">
        <f t="shared" si="39"/>
        <v/>
      </c>
      <c r="V372">
        <v>0</v>
      </c>
      <c r="W372" t="str">
        <f>IF(V372&lt;&gt;0,VLOOKUP(VLOOKUP(V372,Tbl_Effect[],3,FALSE),EffectName[],IFERROR(MATCH(UI!$B$1,EffectName[#Headers],0),2),FALSE),"")</f>
        <v/>
      </c>
      <c r="X372" t="str">
        <f t="shared" si="40"/>
        <v/>
      </c>
      <c r="Y372">
        <v>0</v>
      </c>
      <c r="Z372" t="str">
        <f>IF(Y372&lt;&gt;0,VLOOKUP(VLOOKUP(Y372,Tbl_Effect[],3,FALSE),EffectName[],IFERROR(MATCH(UI!$B$1,EffectName[#Headers],0),2),FALSE),"")</f>
        <v/>
      </c>
      <c r="AA372" t="str">
        <f t="shared" si="41"/>
        <v/>
      </c>
      <c r="AB372">
        <v>0</v>
      </c>
      <c r="AC372" t="str">
        <f>IF(AB372&lt;&gt;0,VLOOKUP(VLOOKUP(AB372,Tbl_Effect[],3,FALSE),EffectName[],IFERROR(MATCH(UI!$B$1,EffectName[#Headers],0),2),FALSE),"")</f>
        <v/>
      </c>
    </row>
    <row r="373" spans="8:29" x14ac:dyDescent="0.4">
      <c r="H373" t="str">
        <f t="shared" si="35"/>
        <v>1002222-遼闊的光耀情景 (黃)</v>
      </c>
      <c r="I373">
        <v>1002222</v>
      </c>
      <c r="J373" t="str">
        <f>_xlfn.IFNA(IF(I373&lt;&gt;0,VLOOKUP(VLOOKUP(I373,Tbl_Equip[],2,FALSE),Tbl_Color[],IFERROR(MATCH(UI!$B$1,Tbl_Color[#Headers],0),2),FALSE),""),"Unset")</f>
        <v>黃</v>
      </c>
      <c r="K373" t="str">
        <f>_xlfn.IFNA(IF(I373&lt;&gt;0,VLOOKUP(I373,ItemText[],IFERROR(MATCH(UI!$B$1,ItemText[#Headers],0),2),FALSE),""),"Unset")</f>
        <v>遼闊的光耀情景</v>
      </c>
      <c r="L373" t="str">
        <f t="shared" si="36"/>
        <v/>
      </c>
      <c r="M373">
        <v>0</v>
      </c>
      <c r="N373" t="str">
        <f>IF(VALUE(M373)=0,"",VLOOKUP(VLOOKUP(M373,Tbl_Effect[],3,FALSE),EffectName[],IFERROR(MATCH(UI!$B$1,EffectName[#Headers],0),2),FALSE))</f>
        <v/>
      </c>
      <c r="O373" t="str">
        <f t="shared" si="37"/>
        <v/>
      </c>
      <c r="P373">
        <v>0</v>
      </c>
      <c r="Q373" t="str">
        <f>IF(VALUE(P373)=0,"",VLOOKUP(VLOOKUP(P373,Tbl_Effect[],3,FALSE),EffectName[],IFERROR(MATCH(UI!$B$1,EffectName[#Headers],0),2),FALSE))</f>
        <v/>
      </c>
      <c r="R373" t="str">
        <f t="shared" si="38"/>
        <v/>
      </c>
      <c r="S373">
        <v>0</v>
      </c>
      <c r="T373" t="str">
        <f>IF(VALUE(S373)=0,"",VLOOKUP(VLOOKUP(S373,Tbl_Effect[],3,FALSE),EffectName[],IFERROR(MATCH(UI!$B$1,EffectName[#Headers],0),2),FALSE))</f>
        <v/>
      </c>
      <c r="U373" t="str">
        <f t="shared" si="39"/>
        <v/>
      </c>
      <c r="V373">
        <v>0</v>
      </c>
      <c r="W373" t="str">
        <f>IF(V373&lt;&gt;0,VLOOKUP(VLOOKUP(V373,Tbl_Effect[],3,FALSE),EffectName[],IFERROR(MATCH(UI!$B$1,EffectName[#Headers],0),2),FALSE),"")</f>
        <v/>
      </c>
      <c r="X373" t="str">
        <f t="shared" si="40"/>
        <v/>
      </c>
      <c r="Y373">
        <v>0</v>
      </c>
      <c r="Z373" t="str">
        <f>IF(Y373&lt;&gt;0,VLOOKUP(VLOOKUP(Y373,Tbl_Effect[],3,FALSE),EffectName[],IFERROR(MATCH(UI!$B$1,EffectName[#Headers],0),2),FALSE),"")</f>
        <v/>
      </c>
      <c r="AA373" t="str">
        <f t="shared" si="41"/>
        <v/>
      </c>
      <c r="AB373">
        <v>0</v>
      </c>
      <c r="AC373" t="str">
        <f>IF(AB373&lt;&gt;0,VLOOKUP(VLOOKUP(AB373,Tbl_Effect[],3,FALSE),EffectName[],IFERROR(MATCH(UI!$B$1,EffectName[#Headers],0),2),FALSE),"")</f>
        <v/>
      </c>
    </row>
    <row r="374" spans="8:29" x14ac:dyDescent="0.4">
      <c r="H374" t="str">
        <f t="shared" si="35"/>
        <v>1002300-細膩的幽靜情景 (綠)</v>
      </c>
      <c r="I374">
        <v>1002300</v>
      </c>
      <c r="J374" t="str">
        <f>_xlfn.IFNA(IF(I374&lt;&gt;0,VLOOKUP(VLOOKUP(I374,Tbl_Equip[],2,FALSE),Tbl_Color[],IFERROR(MATCH(UI!$B$1,Tbl_Color[#Headers],0),2),FALSE),""),"Unset")</f>
        <v>綠</v>
      </c>
      <c r="K374" t="str">
        <f>_xlfn.IFNA(IF(I374&lt;&gt;0,VLOOKUP(I374,ItemText[],IFERROR(MATCH(UI!$B$1,ItemText[#Headers],0),2),FALSE),""),"Unset")</f>
        <v>細膩的幽靜情景</v>
      </c>
      <c r="L374" t="str">
        <f t="shared" si="36"/>
        <v/>
      </c>
      <c r="M374">
        <v>0</v>
      </c>
      <c r="N374" t="str">
        <f>IF(VALUE(M374)=0,"",VLOOKUP(VLOOKUP(M374,Tbl_Effect[],3,FALSE),EffectName[],IFERROR(MATCH(UI!$B$1,EffectName[#Headers],0),2),FALSE))</f>
        <v/>
      </c>
      <c r="O374" t="str">
        <f t="shared" si="37"/>
        <v/>
      </c>
      <c r="P374">
        <v>0</v>
      </c>
      <c r="Q374" t="str">
        <f>IF(VALUE(P374)=0,"",VLOOKUP(VLOOKUP(P374,Tbl_Effect[],3,FALSE),EffectName[],IFERROR(MATCH(UI!$B$1,EffectName[#Headers],0),2),FALSE))</f>
        <v/>
      </c>
      <c r="R374" t="str">
        <f t="shared" si="38"/>
        <v/>
      </c>
      <c r="S374">
        <v>0</v>
      </c>
      <c r="T374" t="str">
        <f>IF(VALUE(S374)=0,"",VLOOKUP(VLOOKUP(S374,Tbl_Effect[],3,FALSE),EffectName[],IFERROR(MATCH(UI!$B$1,EffectName[#Headers],0),2),FALSE))</f>
        <v/>
      </c>
      <c r="U374" t="str">
        <f t="shared" si="39"/>
        <v/>
      </c>
      <c r="V374">
        <v>0</v>
      </c>
      <c r="W374" t="str">
        <f>IF(V374&lt;&gt;0,VLOOKUP(VLOOKUP(V374,Tbl_Effect[],3,FALSE),EffectName[],IFERROR(MATCH(UI!$B$1,EffectName[#Headers],0),2),FALSE),"")</f>
        <v/>
      </c>
      <c r="X374" t="str">
        <f t="shared" si="40"/>
        <v/>
      </c>
      <c r="Y374">
        <v>0</v>
      </c>
      <c r="Z374" t="str">
        <f>IF(Y374&lt;&gt;0,VLOOKUP(VLOOKUP(Y374,Tbl_Effect[],3,FALSE),EffectName[],IFERROR(MATCH(UI!$B$1,EffectName[#Headers],0),2),FALSE),"")</f>
        <v/>
      </c>
      <c r="AA374" t="str">
        <f t="shared" si="41"/>
        <v/>
      </c>
      <c r="AB374">
        <v>0</v>
      </c>
      <c r="AC374" t="str">
        <f>IF(AB374&lt;&gt;0,VLOOKUP(VLOOKUP(AB374,Tbl_Effect[],3,FALSE),EffectName[],IFERROR(MATCH(UI!$B$1,EffectName[#Headers],0),2),FALSE),"")</f>
        <v/>
      </c>
    </row>
    <row r="375" spans="8:29" x14ac:dyDescent="0.4">
      <c r="H375" t="str">
        <f t="shared" si="35"/>
        <v>1002301-端正的幽靜情景 (綠)</v>
      </c>
      <c r="I375">
        <v>1002301</v>
      </c>
      <c r="J375" t="str">
        <f>_xlfn.IFNA(IF(I375&lt;&gt;0,VLOOKUP(VLOOKUP(I375,Tbl_Equip[],2,FALSE),Tbl_Color[],IFERROR(MATCH(UI!$B$1,Tbl_Color[#Headers],0),2),FALSE),""),"Unset")</f>
        <v>綠</v>
      </c>
      <c r="K375" t="str">
        <f>_xlfn.IFNA(IF(I375&lt;&gt;0,VLOOKUP(I375,ItemText[],IFERROR(MATCH(UI!$B$1,ItemText[#Headers],0),2),FALSE),""),"Unset")</f>
        <v>端正的幽靜情景</v>
      </c>
      <c r="L375" t="str">
        <f t="shared" si="36"/>
        <v/>
      </c>
      <c r="M375">
        <v>0</v>
      </c>
      <c r="N375" t="str">
        <f>IF(VALUE(M375)=0,"",VLOOKUP(VLOOKUP(M375,Tbl_Effect[],3,FALSE),EffectName[],IFERROR(MATCH(UI!$B$1,EffectName[#Headers],0),2),FALSE))</f>
        <v/>
      </c>
      <c r="O375" t="str">
        <f t="shared" si="37"/>
        <v/>
      </c>
      <c r="P375">
        <v>0</v>
      </c>
      <c r="Q375" t="str">
        <f>IF(VALUE(P375)=0,"",VLOOKUP(VLOOKUP(P375,Tbl_Effect[],3,FALSE),EffectName[],IFERROR(MATCH(UI!$B$1,EffectName[#Headers],0),2),FALSE))</f>
        <v/>
      </c>
      <c r="R375" t="str">
        <f t="shared" si="38"/>
        <v/>
      </c>
      <c r="S375">
        <v>0</v>
      </c>
      <c r="T375" t="str">
        <f>IF(VALUE(S375)=0,"",VLOOKUP(VLOOKUP(S375,Tbl_Effect[],3,FALSE),EffectName[],IFERROR(MATCH(UI!$B$1,EffectName[#Headers],0),2),FALSE))</f>
        <v/>
      </c>
      <c r="U375" t="str">
        <f t="shared" si="39"/>
        <v/>
      </c>
      <c r="V375">
        <v>0</v>
      </c>
      <c r="W375" t="str">
        <f>IF(V375&lt;&gt;0,VLOOKUP(VLOOKUP(V375,Tbl_Effect[],3,FALSE),EffectName[],IFERROR(MATCH(UI!$B$1,EffectName[#Headers],0),2),FALSE),"")</f>
        <v/>
      </c>
      <c r="X375" t="str">
        <f t="shared" si="40"/>
        <v/>
      </c>
      <c r="Y375">
        <v>0</v>
      </c>
      <c r="Z375" t="str">
        <f>IF(Y375&lt;&gt;0,VLOOKUP(VLOOKUP(Y375,Tbl_Effect[],3,FALSE),EffectName[],IFERROR(MATCH(UI!$B$1,EffectName[#Headers],0),2),FALSE),"")</f>
        <v/>
      </c>
      <c r="AA375" t="str">
        <f t="shared" si="41"/>
        <v/>
      </c>
      <c r="AB375">
        <v>0</v>
      </c>
      <c r="AC375" t="str">
        <f>IF(AB375&lt;&gt;0,VLOOKUP(VLOOKUP(AB375,Tbl_Effect[],3,FALSE),EffectName[],IFERROR(MATCH(UI!$B$1,EffectName[#Headers],0),2),FALSE),"")</f>
        <v/>
      </c>
    </row>
    <row r="376" spans="8:29" x14ac:dyDescent="0.4">
      <c r="H376" t="str">
        <f t="shared" si="35"/>
        <v>1002302-遼闊的幽靜情景 (綠)</v>
      </c>
      <c r="I376">
        <v>1002302</v>
      </c>
      <c r="J376" t="str">
        <f>_xlfn.IFNA(IF(I376&lt;&gt;0,VLOOKUP(VLOOKUP(I376,Tbl_Equip[],2,FALSE),Tbl_Color[],IFERROR(MATCH(UI!$B$1,Tbl_Color[#Headers],0),2),FALSE),""),"Unset")</f>
        <v>綠</v>
      </c>
      <c r="K376" t="str">
        <f>_xlfn.IFNA(IF(I376&lt;&gt;0,VLOOKUP(I376,ItemText[],IFERROR(MATCH(UI!$B$1,ItemText[#Headers],0),2),FALSE),""),"Unset")</f>
        <v>遼闊的幽靜情景</v>
      </c>
      <c r="L376" t="str">
        <f t="shared" si="36"/>
        <v/>
      </c>
      <c r="M376">
        <v>0</v>
      </c>
      <c r="N376" t="str">
        <f>IF(VALUE(M376)=0,"",VLOOKUP(VLOOKUP(M376,Tbl_Effect[],3,FALSE),EffectName[],IFERROR(MATCH(UI!$B$1,EffectName[#Headers],0),2),FALSE))</f>
        <v/>
      </c>
      <c r="O376" t="str">
        <f t="shared" si="37"/>
        <v/>
      </c>
      <c r="P376">
        <v>0</v>
      </c>
      <c r="Q376" t="str">
        <f>IF(VALUE(P376)=0,"",VLOOKUP(VLOOKUP(P376,Tbl_Effect[],3,FALSE),EffectName[],IFERROR(MATCH(UI!$B$1,EffectName[#Headers],0),2),FALSE))</f>
        <v/>
      </c>
      <c r="R376" t="str">
        <f t="shared" si="38"/>
        <v/>
      </c>
      <c r="S376">
        <v>0</v>
      </c>
      <c r="T376" t="str">
        <f>IF(VALUE(S376)=0,"",VLOOKUP(VLOOKUP(S376,Tbl_Effect[],3,FALSE),EffectName[],IFERROR(MATCH(UI!$B$1,EffectName[#Headers],0),2),FALSE))</f>
        <v/>
      </c>
      <c r="U376" t="str">
        <f t="shared" si="39"/>
        <v/>
      </c>
      <c r="V376">
        <v>0</v>
      </c>
      <c r="W376" t="str">
        <f>IF(V376&lt;&gt;0,VLOOKUP(VLOOKUP(V376,Tbl_Effect[],3,FALSE),EffectName[],IFERROR(MATCH(UI!$B$1,EffectName[#Headers],0),2),FALSE),"")</f>
        <v/>
      </c>
      <c r="X376" t="str">
        <f t="shared" si="40"/>
        <v/>
      </c>
      <c r="Y376">
        <v>0</v>
      </c>
      <c r="Z376" t="str">
        <f>IF(Y376&lt;&gt;0,VLOOKUP(VLOOKUP(Y376,Tbl_Effect[],3,FALSE),EffectName[],IFERROR(MATCH(UI!$B$1,EffectName[#Headers],0),2),FALSE),"")</f>
        <v/>
      </c>
      <c r="AA376" t="str">
        <f t="shared" si="41"/>
        <v/>
      </c>
      <c r="AB376">
        <v>0</v>
      </c>
      <c r="AC376" t="str">
        <f>IF(AB376&lt;&gt;0,VLOOKUP(VLOOKUP(AB376,Tbl_Effect[],3,FALSE),EffectName[],IFERROR(MATCH(UI!$B$1,EffectName[#Headers],0),2),FALSE),"")</f>
        <v/>
      </c>
    </row>
    <row r="377" spans="8:29" x14ac:dyDescent="0.4">
      <c r="H377" t="str">
        <f t="shared" si="35"/>
        <v>1002310-細膩的幽靜情景 (綠)</v>
      </c>
      <c r="I377">
        <v>1002310</v>
      </c>
      <c r="J377" t="str">
        <f>_xlfn.IFNA(IF(I377&lt;&gt;0,VLOOKUP(VLOOKUP(I377,Tbl_Equip[],2,FALSE),Tbl_Color[],IFERROR(MATCH(UI!$B$1,Tbl_Color[#Headers],0),2),FALSE),""),"Unset")</f>
        <v>綠</v>
      </c>
      <c r="K377" t="str">
        <f>_xlfn.IFNA(IF(I377&lt;&gt;0,VLOOKUP(I377,ItemText[],IFERROR(MATCH(UI!$B$1,ItemText[#Headers],0),2),FALSE),""),"Unset")</f>
        <v>細膩的幽靜情景</v>
      </c>
      <c r="L377" t="str">
        <f t="shared" si="36"/>
        <v/>
      </c>
      <c r="M377">
        <v>0</v>
      </c>
      <c r="N377" t="str">
        <f>IF(VALUE(M377)=0,"",VLOOKUP(VLOOKUP(M377,Tbl_Effect[],3,FALSE),EffectName[],IFERROR(MATCH(UI!$B$1,EffectName[#Headers],0),2),FALSE))</f>
        <v/>
      </c>
      <c r="O377" t="str">
        <f t="shared" si="37"/>
        <v/>
      </c>
      <c r="P377">
        <v>0</v>
      </c>
      <c r="Q377" t="str">
        <f>IF(VALUE(P377)=0,"",VLOOKUP(VLOOKUP(P377,Tbl_Effect[],3,FALSE),EffectName[],IFERROR(MATCH(UI!$B$1,EffectName[#Headers],0),2),FALSE))</f>
        <v/>
      </c>
      <c r="R377" t="str">
        <f t="shared" si="38"/>
        <v/>
      </c>
      <c r="S377">
        <v>0</v>
      </c>
      <c r="T377" t="str">
        <f>IF(VALUE(S377)=0,"",VLOOKUP(VLOOKUP(S377,Tbl_Effect[],3,FALSE),EffectName[],IFERROR(MATCH(UI!$B$1,EffectName[#Headers],0),2),FALSE))</f>
        <v/>
      </c>
      <c r="U377" t="str">
        <f t="shared" si="39"/>
        <v/>
      </c>
      <c r="V377">
        <v>0</v>
      </c>
      <c r="W377" t="str">
        <f>IF(V377&lt;&gt;0,VLOOKUP(VLOOKUP(V377,Tbl_Effect[],3,FALSE),EffectName[],IFERROR(MATCH(UI!$B$1,EffectName[#Headers],0),2),FALSE),"")</f>
        <v/>
      </c>
      <c r="X377" t="str">
        <f t="shared" si="40"/>
        <v/>
      </c>
      <c r="Y377">
        <v>0</v>
      </c>
      <c r="Z377" t="str">
        <f>IF(Y377&lt;&gt;0,VLOOKUP(VLOOKUP(Y377,Tbl_Effect[],3,FALSE),EffectName[],IFERROR(MATCH(UI!$B$1,EffectName[#Headers],0),2),FALSE),"")</f>
        <v/>
      </c>
      <c r="AA377" t="str">
        <f t="shared" si="41"/>
        <v/>
      </c>
      <c r="AB377">
        <v>0</v>
      </c>
      <c r="AC377" t="str">
        <f>IF(AB377&lt;&gt;0,VLOOKUP(VLOOKUP(AB377,Tbl_Effect[],3,FALSE),EffectName[],IFERROR(MATCH(UI!$B$1,EffectName[#Headers],0),2),FALSE),"")</f>
        <v/>
      </c>
    </row>
    <row r="378" spans="8:29" x14ac:dyDescent="0.4">
      <c r="H378" t="str">
        <f t="shared" si="35"/>
        <v>1002311-端正的幽靜情景 (綠)</v>
      </c>
      <c r="I378">
        <v>1002311</v>
      </c>
      <c r="J378" t="str">
        <f>_xlfn.IFNA(IF(I378&lt;&gt;0,VLOOKUP(VLOOKUP(I378,Tbl_Equip[],2,FALSE),Tbl_Color[],IFERROR(MATCH(UI!$B$1,Tbl_Color[#Headers],0),2),FALSE),""),"Unset")</f>
        <v>綠</v>
      </c>
      <c r="K378" t="str">
        <f>_xlfn.IFNA(IF(I378&lt;&gt;0,VLOOKUP(I378,ItemText[],IFERROR(MATCH(UI!$B$1,ItemText[#Headers],0),2),FALSE),""),"Unset")</f>
        <v>端正的幽靜情景</v>
      </c>
      <c r="L378" t="str">
        <f t="shared" si="36"/>
        <v/>
      </c>
      <c r="M378">
        <v>0</v>
      </c>
      <c r="N378" t="str">
        <f>IF(VALUE(M378)=0,"",VLOOKUP(VLOOKUP(M378,Tbl_Effect[],3,FALSE),EffectName[],IFERROR(MATCH(UI!$B$1,EffectName[#Headers],0),2),FALSE))</f>
        <v/>
      </c>
      <c r="O378" t="str">
        <f t="shared" si="37"/>
        <v/>
      </c>
      <c r="P378">
        <v>0</v>
      </c>
      <c r="Q378" t="str">
        <f>IF(VALUE(P378)=0,"",VLOOKUP(VLOOKUP(P378,Tbl_Effect[],3,FALSE),EffectName[],IFERROR(MATCH(UI!$B$1,EffectName[#Headers],0),2),FALSE))</f>
        <v/>
      </c>
      <c r="R378" t="str">
        <f t="shared" si="38"/>
        <v/>
      </c>
      <c r="S378">
        <v>0</v>
      </c>
      <c r="T378" t="str">
        <f>IF(VALUE(S378)=0,"",VLOOKUP(VLOOKUP(S378,Tbl_Effect[],3,FALSE),EffectName[],IFERROR(MATCH(UI!$B$1,EffectName[#Headers],0),2),FALSE))</f>
        <v/>
      </c>
      <c r="U378" t="str">
        <f t="shared" si="39"/>
        <v/>
      </c>
      <c r="V378">
        <v>0</v>
      </c>
      <c r="W378" t="str">
        <f>IF(V378&lt;&gt;0,VLOOKUP(VLOOKUP(V378,Tbl_Effect[],3,FALSE),EffectName[],IFERROR(MATCH(UI!$B$1,EffectName[#Headers],0),2),FALSE),"")</f>
        <v/>
      </c>
      <c r="X378" t="str">
        <f t="shared" si="40"/>
        <v/>
      </c>
      <c r="Y378">
        <v>0</v>
      </c>
      <c r="Z378" t="str">
        <f>IF(Y378&lt;&gt;0,VLOOKUP(VLOOKUP(Y378,Tbl_Effect[],3,FALSE),EffectName[],IFERROR(MATCH(UI!$B$1,EffectName[#Headers],0),2),FALSE),"")</f>
        <v/>
      </c>
      <c r="AA378" t="str">
        <f t="shared" si="41"/>
        <v/>
      </c>
      <c r="AB378">
        <v>0</v>
      </c>
      <c r="AC378" t="str">
        <f>IF(AB378&lt;&gt;0,VLOOKUP(VLOOKUP(AB378,Tbl_Effect[],3,FALSE),EffectName[],IFERROR(MATCH(UI!$B$1,EffectName[#Headers],0),2),FALSE),"")</f>
        <v/>
      </c>
    </row>
    <row r="379" spans="8:29" x14ac:dyDescent="0.4">
      <c r="H379" t="str">
        <f t="shared" si="35"/>
        <v>1002312-遼闊的幽靜情景 (綠)</v>
      </c>
      <c r="I379">
        <v>1002312</v>
      </c>
      <c r="J379" t="str">
        <f>_xlfn.IFNA(IF(I379&lt;&gt;0,VLOOKUP(VLOOKUP(I379,Tbl_Equip[],2,FALSE),Tbl_Color[],IFERROR(MATCH(UI!$B$1,Tbl_Color[#Headers],0),2),FALSE),""),"Unset")</f>
        <v>綠</v>
      </c>
      <c r="K379" t="str">
        <f>_xlfn.IFNA(IF(I379&lt;&gt;0,VLOOKUP(I379,ItemText[],IFERROR(MATCH(UI!$B$1,ItemText[#Headers],0),2),FALSE),""),"Unset")</f>
        <v>遼闊的幽靜情景</v>
      </c>
      <c r="L379" t="str">
        <f t="shared" si="36"/>
        <v/>
      </c>
      <c r="M379">
        <v>0</v>
      </c>
      <c r="N379" t="str">
        <f>IF(VALUE(M379)=0,"",VLOOKUP(VLOOKUP(M379,Tbl_Effect[],3,FALSE),EffectName[],IFERROR(MATCH(UI!$B$1,EffectName[#Headers],0),2),FALSE))</f>
        <v/>
      </c>
      <c r="O379" t="str">
        <f t="shared" si="37"/>
        <v/>
      </c>
      <c r="P379">
        <v>0</v>
      </c>
      <c r="Q379" t="str">
        <f>IF(VALUE(P379)=0,"",VLOOKUP(VLOOKUP(P379,Tbl_Effect[],3,FALSE),EffectName[],IFERROR(MATCH(UI!$B$1,EffectName[#Headers],0),2),FALSE))</f>
        <v/>
      </c>
      <c r="R379" t="str">
        <f t="shared" si="38"/>
        <v/>
      </c>
      <c r="S379">
        <v>0</v>
      </c>
      <c r="T379" t="str">
        <f>IF(VALUE(S379)=0,"",VLOOKUP(VLOOKUP(S379,Tbl_Effect[],3,FALSE),EffectName[],IFERROR(MATCH(UI!$B$1,EffectName[#Headers],0),2),FALSE))</f>
        <v/>
      </c>
      <c r="U379" t="str">
        <f t="shared" si="39"/>
        <v/>
      </c>
      <c r="V379">
        <v>0</v>
      </c>
      <c r="W379" t="str">
        <f>IF(V379&lt;&gt;0,VLOOKUP(VLOOKUP(V379,Tbl_Effect[],3,FALSE),EffectName[],IFERROR(MATCH(UI!$B$1,EffectName[#Headers],0),2),FALSE),"")</f>
        <v/>
      </c>
      <c r="X379" t="str">
        <f t="shared" si="40"/>
        <v/>
      </c>
      <c r="Y379">
        <v>0</v>
      </c>
      <c r="Z379" t="str">
        <f>IF(Y379&lt;&gt;0,VLOOKUP(VLOOKUP(Y379,Tbl_Effect[],3,FALSE),EffectName[],IFERROR(MATCH(UI!$B$1,EffectName[#Headers],0),2),FALSE),"")</f>
        <v/>
      </c>
      <c r="AA379" t="str">
        <f t="shared" si="41"/>
        <v/>
      </c>
      <c r="AB379">
        <v>0</v>
      </c>
      <c r="AC379" t="str">
        <f>IF(AB379&lt;&gt;0,VLOOKUP(VLOOKUP(AB379,Tbl_Effect[],3,FALSE),EffectName[],IFERROR(MATCH(UI!$B$1,EffectName[#Headers],0),2),FALSE),"")</f>
        <v/>
      </c>
    </row>
    <row r="380" spans="8:29" x14ac:dyDescent="0.4">
      <c r="H380" t="str">
        <f t="shared" si="35"/>
        <v>1002320-細膩的幽靜情景 (綠)</v>
      </c>
      <c r="I380">
        <v>1002320</v>
      </c>
      <c r="J380" t="str">
        <f>_xlfn.IFNA(IF(I380&lt;&gt;0,VLOOKUP(VLOOKUP(I380,Tbl_Equip[],2,FALSE),Tbl_Color[],IFERROR(MATCH(UI!$B$1,Tbl_Color[#Headers],0),2),FALSE),""),"Unset")</f>
        <v>綠</v>
      </c>
      <c r="K380" t="str">
        <f>_xlfn.IFNA(IF(I380&lt;&gt;0,VLOOKUP(I380,ItemText[],IFERROR(MATCH(UI!$B$1,ItemText[#Headers],0),2),FALSE),""),"Unset")</f>
        <v>細膩的幽靜情景</v>
      </c>
      <c r="L380" t="str">
        <f t="shared" si="36"/>
        <v/>
      </c>
      <c r="M380">
        <v>0</v>
      </c>
      <c r="N380" t="str">
        <f>IF(VALUE(M380)=0,"",VLOOKUP(VLOOKUP(M380,Tbl_Effect[],3,FALSE),EffectName[],IFERROR(MATCH(UI!$B$1,EffectName[#Headers],0),2),FALSE))</f>
        <v/>
      </c>
      <c r="O380" t="str">
        <f t="shared" si="37"/>
        <v/>
      </c>
      <c r="P380">
        <v>0</v>
      </c>
      <c r="Q380" t="str">
        <f>IF(VALUE(P380)=0,"",VLOOKUP(VLOOKUP(P380,Tbl_Effect[],3,FALSE),EffectName[],IFERROR(MATCH(UI!$B$1,EffectName[#Headers],0),2),FALSE))</f>
        <v/>
      </c>
      <c r="R380" t="str">
        <f t="shared" si="38"/>
        <v/>
      </c>
      <c r="S380">
        <v>0</v>
      </c>
      <c r="T380" t="str">
        <f>IF(VALUE(S380)=0,"",VLOOKUP(VLOOKUP(S380,Tbl_Effect[],3,FALSE),EffectName[],IFERROR(MATCH(UI!$B$1,EffectName[#Headers],0),2),FALSE))</f>
        <v/>
      </c>
      <c r="U380" t="str">
        <f t="shared" si="39"/>
        <v/>
      </c>
      <c r="V380">
        <v>0</v>
      </c>
      <c r="W380" t="str">
        <f>IF(V380&lt;&gt;0,VLOOKUP(VLOOKUP(V380,Tbl_Effect[],3,FALSE),EffectName[],IFERROR(MATCH(UI!$B$1,EffectName[#Headers],0),2),FALSE),"")</f>
        <v/>
      </c>
      <c r="X380" t="str">
        <f t="shared" si="40"/>
        <v/>
      </c>
      <c r="Y380">
        <v>0</v>
      </c>
      <c r="Z380" t="str">
        <f>IF(Y380&lt;&gt;0,VLOOKUP(VLOOKUP(Y380,Tbl_Effect[],3,FALSE),EffectName[],IFERROR(MATCH(UI!$B$1,EffectName[#Headers],0),2),FALSE),"")</f>
        <v/>
      </c>
      <c r="AA380" t="str">
        <f t="shared" si="41"/>
        <v/>
      </c>
      <c r="AB380">
        <v>0</v>
      </c>
      <c r="AC380" t="str">
        <f>IF(AB380&lt;&gt;0,VLOOKUP(VLOOKUP(AB380,Tbl_Effect[],3,FALSE),EffectName[],IFERROR(MATCH(UI!$B$1,EffectName[#Headers],0),2),FALSE),"")</f>
        <v/>
      </c>
    </row>
    <row r="381" spans="8:29" x14ac:dyDescent="0.4">
      <c r="H381" t="str">
        <f t="shared" si="35"/>
        <v>1002321-端正的幽靜情景 (綠)</v>
      </c>
      <c r="I381">
        <v>1002321</v>
      </c>
      <c r="J381" t="str">
        <f>_xlfn.IFNA(IF(I381&lt;&gt;0,VLOOKUP(VLOOKUP(I381,Tbl_Equip[],2,FALSE),Tbl_Color[],IFERROR(MATCH(UI!$B$1,Tbl_Color[#Headers],0),2),FALSE),""),"Unset")</f>
        <v>綠</v>
      </c>
      <c r="K381" t="str">
        <f>_xlfn.IFNA(IF(I381&lt;&gt;0,VLOOKUP(I381,ItemText[],IFERROR(MATCH(UI!$B$1,ItemText[#Headers],0),2),FALSE),""),"Unset")</f>
        <v>端正的幽靜情景</v>
      </c>
      <c r="L381" t="str">
        <f t="shared" si="36"/>
        <v/>
      </c>
      <c r="M381">
        <v>0</v>
      </c>
      <c r="N381" t="str">
        <f>IF(VALUE(M381)=0,"",VLOOKUP(VLOOKUP(M381,Tbl_Effect[],3,FALSE),EffectName[],IFERROR(MATCH(UI!$B$1,EffectName[#Headers],0),2),FALSE))</f>
        <v/>
      </c>
      <c r="O381" t="str">
        <f t="shared" si="37"/>
        <v/>
      </c>
      <c r="P381">
        <v>0</v>
      </c>
      <c r="Q381" t="str">
        <f>IF(VALUE(P381)=0,"",VLOOKUP(VLOOKUP(P381,Tbl_Effect[],3,FALSE),EffectName[],IFERROR(MATCH(UI!$B$1,EffectName[#Headers],0),2),FALSE))</f>
        <v/>
      </c>
      <c r="R381" t="str">
        <f t="shared" si="38"/>
        <v/>
      </c>
      <c r="S381">
        <v>0</v>
      </c>
      <c r="T381" t="str">
        <f>IF(VALUE(S381)=0,"",VLOOKUP(VLOOKUP(S381,Tbl_Effect[],3,FALSE),EffectName[],IFERROR(MATCH(UI!$B$1,EffectName[#Headers],0),2),FALSE))</f>
        <v/>
      </c>
      <c r="U381" t="str">
        <f t="shared" si="39"/>
        <v/>
      </c>
      <c r="V381">
        <v>0</v>
      </c>
      <c r="W381" t="str">
        <f>IF(V381&lt;&gt;0,VLOOKUP(VLOOKUP(V381,Tbl_Effect[],3,FALSE),EffectName[],IFERROR(MATCH(UI!$B$1,EffectName[#Headers],0),2),FALSE),"")</f>
        <v/>
      </c>
      <c r="X381" t="str">
        <f t="shared" si="40"/>
        <v/>
      </c>
      <c r="Y381">
        <v>0</v>
      </c>
      <c r="Z381" t="str">
        <f>IF(Y381&lt;&gt;0,VLOOKUP(VLOOKUP(Y381,Tbl_Effect[],3,FALSE),EffectName[],IFERROR(MATCH(UI!$B$1,EffectName[#Headers],0),2),FALSE),"")</f>
        <v/>
      </c>
      <c r="AA381" t="str">
        <f t="shared" si="41"/>
        <v/>
      </c>
      <c r="AB381">
        <v>0</v>
      </c>
      <c r="AC381" t="str">
        <f>IF(AB381&lt;&gt;0,VLOOKUP(VLOOKUP(AB381,Tbl_Effect[],3,FALSE),EffectName[],IFERROR(MATCH(UI!$B$1,EffectName[#Headers],0),2),FALSE),"")</f>
        <v/>
      </c>
    </row>
    <row r="382" spans="8:29" x14ac:dyDescent="0.4">
      <c r="H382" t="str">
        <f t="shared" si="35"/>
        <v>1002322-遼闊的幽靜情景 (綠)</v>
      </c>
      <c r="I382">
        <v>1002322</v>
      </c>
      <c r="J382" t="str">
        <f>_xlfn.IFNA(IF(I382&lt;&gt;0,VLOOKUP(VLOOKUP(I382,Tbl_Equip[],2,FALSE),Tbl_Color[],IFERROR(MATCH(UI!$B$1,Tbl_Color[#Headers],0),2),FALSE),""),"Unset")</f>
        <v>綠</v>
      </c>
      <c r="K382" t="str">
        <f>_xlfn.IFNA(IF(I382&lt;&gt;0,VLOOKUP(I382,ItemText[],IFERROR(MATCH(UI!$B$1,ItemText[#Headers],0),2),FALSE),""),"Unset")</f>
        <v>遼闊的幽靜情景</v>
      </c>
      <c r="L382" t="str">
        <f t="shared" si="36"/>
        <v/>
      </c>
      <c r="M382">
        <v>0</v>
      </c>
      <c r="N382" t="str">
        <f>IF(VALUE(M382)=0,"",VLOOKUP(VLOOKUP(M382,Tbl_Effect[],3,FALSE),EffectName[],IFERROR(MATCH(UI!$B$1,EffectName[#Headers],0),2),FALSE))</f>
        <v/>
      </c>
      <c r="O382" t="str">
        <f t="shared" si="37"/>
        <v/>
      </c>
      <c r="P382">
        <v>0</v>
      </c>
      <c r="Q382" t="str">
        <f>IF(VALUE(P382)=0,"",VLOOKUP(VLOOKUP(P382,Tbl_Effect[],3,FALSE),EffectName[],IFERROR(MATCH(UI!$B$1,EffectName[#Headers],0),2),FALSE))</f>
        <v/>
      </c>
      <c r="R382" t="str">
        <f t="shared" si="38"/>
        <v/>
      </c>
      <c r="S382">
        <v>0</v>
      </c>
      <c r="T382" t="str">
        <f>IF(VALUE(S382)=0,"",VLOOKUP(VLOOKUP(S382,Tbl_Effect[],3,FALSE),EffectName[],IFERROR(MATCH(UI!$B$1,EffectName[#Headers],0),2),FALSE))</f>
        <v/>
      </c>
      <c r="U382" t="str">
        <f t="shared" si="39"/>
        <v/>
      </c>
      <c r="V382">
        <v>0</v>
      </c>
      <c r="W382" t="str">
        <f>IF(V382&lt;&gt;0,VLOOKUP(VLOOKUP(V382,Tbl_Effect[],3,FALSE),EffectName[],IFERROR(MATCH(UI!$B$1,EffectName[#Headers],0),2),FALSE),"")</f>
        <v/>
      </c>
      <c r="X382" t="str">
        <f t="shared" si="40"/>
        <v/>
      </c>
      <c r="Y382">
        <v>0</v>
      </c>
      <c r="Z382" t="str">
        <f>IF(Y382&lt;&gt;0,VLOOKUP(VLOOKUP(Y382,Tbl_Effect[],3,FALSE),EffectName[],IFERROR(MATCH(UI!$B$1,EffectName[#Headers],0),2),FALSE),"")</f>
        <v/>
      </c>
      <c r="AA382" t="str">
        <f t="shared" si="41"/>
        <v/>
      </c>
      <c r="AB382">
        <v>0</v>
      </c>
      <c r="AC382" t="str">
        <f>IF(AB382&lt;&gt;0,VLOOKUP(VLOOKUP(AB382,Tbl_Effect[],3,FALSE),EffectName[],IFERROR(MATCH(UI!$B$1,EffectName[#Headers],0),2),FALSE),"")</f>
        <v/>
      </c>
    </row>
    <row r="383" spans="8:29" x14ac:dyDescent="0.4">
      <c r="H383" t="str">
        <f t="shared" si="35"/>
        <v>1003000-細膩的火燃情景 (紅)</v>
      </c>
      <c r="I383">
        <v>1003000</v>
      </c>
      <c r="J383" t="str">
        <f>_xlfn.IFNA(IF(I383&lt;&gt;0,VLOOKUP(VLOOKUP(I383,Tbl_Equip[],2,FALSE),Tbl_Color[],IFERROR(MATCH(UI!$B$1,Tbl_Color[#Headers],0),2),FALSE),""),"Unset")</f>
        <v>紅</v>
      </c>
      <c r="K383" t="str">
        <f>_xlfn.IFNA(IF(I383&lt;&gt;0,VLOOKUP(I383,ItemText[],IFERROR(MATCH(UI!$B$1,ItemText[#Headers],0),2),FALSE),""),"Unset")</f>
        <v>細膩的火燃情景</v>
      </c>
      <c r="L383" t="str">
        <f t="shared" si="36"/>
        <v/>
      </c>
      <c r="M383">
        <v>0</v>
      </c>
      <c r="N383" t="str">
        <f>IF(VALUE(M383)=0,"",VLOOKUP(VLOOKUP(M383,Tbl_Effect[],3,FALSE),EffectName[],IFERROR(MATCH(UI!$B$1,EffectName[#Headers],0),2),FALSE))</f>
        <v/>
      </c>
      <c r="O383" t="str">
        <f t="shared" si="37"/>
        <v/>
      </c>
      <c r="P383">
        <v>0</v>
      </c>
      <c r="Q383" t="str">
        <f>IF(VALUE(P383)=0,"",VLOOKUP(VLOOKUP(P383,Tbl_Effect[],3,FALSE),EffectName[],IFERROR(MATCH(UI!$B$1,EffectName[#Headers],0),2),FALSE))</f>
        <v/>
      </c>
      <c r="R383" t="str">
        <f t="shared" si="38"/>
        <v/>
      </c>
      <c r="S383">
        <v>0</v>
      </c>
      <c r="T383" t="str">
        <f>IF(VALUE(S383)=0,"",VLOOKUP(VLOOKUP(S383,Tbl_Effect[],3,FALSE),EffectName[],IFERROR(MATCH(UI!$B$1,EffectName[#Headers],0),2),FALSE))</f>
        <v/>
      </c>
      <c r="U383" t="str">
        <f t="shared" si="39"/>
        <v/>
      </c>
      <c r="V383">
        <v>0</v>
      </c>
      <c r="W383" t="str">
        <f>IF(V383&lt;&gt;0,VLOOKUP(VLOOKUP(V383,Tbl_Effect[],3,FALSE),EffectName[],IFERROR(MATCH(UI!$B$1,EffectName[#Headers],0),2),FALSE),"")</f>
        <v/>
      </c>
      <c r="X383" t="str">
        <f t="shared" si="40"/>
        <v/>
      </c>
      <c r="Y383">
        <v>0</v>
      </c>
      <c r="Z383" t="str">
        <f>IF(Y383&lt;&gt;0,VLOOKUP(VLOOKUP(Y383,Tbl_Effect[],3,FALSE),EffectName[],IFERROR(MATCH(UI!$B$1,EffectName[#Headers],0),2),FALSE),"")</f>
        <v/>
      </c>
      <c r="AA383" t="str">
        <f t="shared" si="41"/>
        <v/>
      </c>
      <c r="AB383">
        <v>0</v>
      </c>
      <c r="AC383" t="str">
        <f>IF(AB383&lt;&gt;0,VLOOKUP(VLOOKUP(AB383,Tbl_Effect[],3,FALSE),EffectName[],IFERROR(MATCH(UI!$B$1,EffectName[#Headers],0),2),FALSE),"")</f>
        <v/>
      </c>
    </row>
    <row r="384" spans="8:29" x14ac:dyDescent="0.4">
      <c r="H384" t="str">
        <f t="shared" si="35"/>
        <v>1003001-端正的火燃情景 (紅)</v>
      </c>
      <c r="I384">
        <v>1003001</v>
      </c>
      <c r="J384" t="str">
        <f>_xlfn.IFNA(IF(I384&lt;&gt;0,VLOOKUP(VLOOKUP(I384,Tbl_Equip[],2,FALSE),Tbl_Color[],IFERROR(MATCH(UI!$B$1,Tbl_Color[#Headers],0),2),FALSE),""),"Unset")</f>
        <v>紅</v>
      </c>
      <c r="K384" t="str">
        <f>_xlfn.IFNA(IF(I384&lt;&gt;0,VLOOKUP(I384,ItemText[],IFERROR(MATCH(UI!$B$1,ItemText[#Headers],0),2),FALSE),""),"Unset")</f>
        <v>端正的火燃情景</v>
      </c>
      <c r="L384" t="str">
        <f t="shared" si="36"/>
        <v/>
      </c>
      <c r="M384">
        <v>0</v>
      </c>
      <c r="N384" t="str">
        <f>IF(VALUE(M384)=0,"",VLOOKUP(VLOOKUP(M384,Tbl_Effect[],3,FALSE),EffectName[],IFERROR(MATCH(UI!$B$1,EffectName[#Headers],0),2),FALSE))</f>
        <v/>
      </c>
      <c r="O384" t="str">
        <f t="shared" si="37"/>
        <v/>
      </c>
      <c r="P384">
        <v>0</v>
      </c>
      <c r="Q384" t="str">
        <f>IF(VALUE(P384)=0,"",VLOOKUP(VLOOKUP(P384,Tbl_Effect[],3,FALSE),EffectName[],IFERROR(MATCH(UI!$B$1,EffectName[#Headers],0),2),FALSE))</f>
        <v/>
      </c>
      <c r="R384" t="str">
        <f t="shared" si="38"/>
        <v/>
      </c>
      <c r="S384">
        <v>0</v>
      </c>
      <c r="T384" t="str">
        <f>IF(VALUE(S384)=0,"",VLOOKUP(VLOOKUP(S384,Tbl_Effect[],3,FALSE),EffectName[],IFERROR(MATCH(UI!$B$1,EffectName[#Headers],0),2),FALSE))</f>
        <v/>
      </c>
      <c r="U384" t="str">
        <f t="shared" si="39"/>
        <v/>
      </c>
      <c r="V384">
        <v>0</v>
      </c>
      <c r="W384" t="str">
        <f>IF(V384&lt;&gt;0,VLOOKUP(VLOOKUP(V384,Tbl_Effect[],3,FALSE),EffectName[],IFERROR(MATCH(UI!$B$1,EffectName[#Headers],0),2),FALSE),"")</f>
        <v/>
      </c>
      <c r="X384" t="str">
        <f t="shared" si="40"/>
        <v/>
      </c>
      <c r="Y384">
        <v>0</v>
      </c>
      <c r="Z384" t="str">
        <f>IF(Y384&lt;&gt;0,VLOOKUP(VLOOKUP(Y384,Tbl_Effect[],3,FALSE),EffectName[],IFERROR(MATCH(UI!$B$1,EffectName[#Headers],0),2),FALSE),"")</f>
        <v/>
      </c>
      <c r="AA384" t="str">
        <f t="shared" si="41"/>
        <v/>
      </c>
      <c r="AB384">
        <v>0</v>
      </c>
      <c r="AC384" t="str">
        <f>IF(AB384&lt;&gt;0,VLOOKUP(VLOOKUP(AB384,Tbl_Effect[],3,FALSE),EffectName[],IFERROR(MATCH(UI!$B$1,EffectName[#Headers],0),2),FALSE),"")</f>
        <v/>
      </c>
    </row>
    <row r="385" spans="8:29" x14ac:dyDescent="0.4">
      <c r="H385" t="str">
        <f t="shared" si="35"/>
        <v>1003002-遼闊的火燃情景 (紅)</v>
      </c>
      <c r="I385">
        <v>1003002</v>
      </c>
      <c r="J385" t="str">
        <f>_xlfn.IFNA(IF(I385&lt;&gt;0,VLOOKUP(VLOOKUP(I385,Tbl_Equip[],2,FALSE),Tbl_Color[],IFERROR(MATCH(UI!$B$1,Tbl_Color[#Headers],0),2),FALSE),""),"Unset")</f>
        <v>紅</v>
      </c>
      <c r="K385" t="str">
        <f>_xlfn.IFNA(IF(I385&lt;&gt;0,VLOOKUP(I385,ItemText[],IFERROR(MATCH(UI!$B$1,ItemText[#Headers],0),2),FALSE),""),"Unset")</f>
        <v>遼闊的火燃情景</v>
      </c>
      <c r="L385" t="str">
        <f t="shared" si="36"/>
        <v/>
      </c>
      <c r="M385">
        <v>0</v>
      </c>
      <c r="N385" t="str">
        <f>IF(VALUE(M385)=0,"",VLOOKUP(VLOOKUP(M385,Tbl_Effect[],3,FALSE),EffectName[],IFERROR(MATCH(UI!$B$1,EffectName[#Headers],0),2),FALSE))</f>
        <v/>
      </c>
      <c r="O385" t="str">
        <f t="shared" si="37"/>
        <v/>
      </c>
      <c r="P385">
        <v>0</v>
      </c>
      <c r="Q385" t="str">
        <f>IF(VALUE(P385)=0,"",VLOOKUP(VLOOKUP(P385,Tbl_Effect[],3,FALSE),EffectName[],IFERROR(MATCH(UI!$B$1,EffectName[#Headers],0),2),FALSE))</f>
        <v/>
      </c>
      <c r="R385" t="str">
        <f t="shared" si="38"/>
        <v/>
      </c>
      <c r="S385">
        <v>0</v>
      </c>
      <c r="T385" t="str">
        <f>IF(VALUE(S385)=0,"",VLOOKUP(VLOOKUP(S385,Tbl_Effect[],3,FALSE),EffectName[],IFERROR(MATCH(UI!$B$1,EffectName[#Headers],0),2),FALSE))</f>
        <v/>
      </c>
      <c r="U385" t="str">
        <f t="shared" si="39"/>
        <v/>
      </c>
      <c r="V385">
        <v>0</v>
      </c>
      <c r="W385" t="str">
        <f>IF(V385&lt;&gt;0,VLOOKUP(VLOOKUP(V385,Tbl_Effect[],3,FALSE),EffectName[],IFERROR(MATCH(UI!$B$1,EffectName[#Headers],0),2),FALSE),"")</f>
        <v/>
      </c>
      <c r="X385" t="str">
        <f t="shared" si="40"/>
        <v/>
      </c>
      <c r="Y385">
        <v>0</v>
      </c>
      <c r="Z385" t="str">
        <f>IF(Y385&lt;&gt;0,VLOOKUP(VLOOKUP(Y385,Tbl_Effect[],3,FALSE),EffectName[],IFERROR(MATCH(UI!$B$1,EffectName[#Headers],0),2),FALSE),"")</f>
        <v/>
      </c>
      <c r="AA385" t="str">
        <f t="shared" si="41"/>
        <v/>
      </c>
      <c r="AB385">
        <v>0</v>
      </c>
      <c r="AC385" t="str">
        <f>IF(AB385&lt;&gt;0,VLOOKUP(VLOOKUP(AB385,Tbl_Effect[],3,FALSE),EffectName[],IFERROR(MATCH(UI!$B$1,EffectName[#Headers],0),2),FALSE),"")</f>
        <v/>
      </c>
    </row>
    <row r="386" spans="8:29" x14ac:dyDescent="0.4">
      <c r="H386" t="str">
        <f t="shared" si="35"/>
        <v>1003010-細膩的火燃情景 (紅)</v>
      </c>
      <c r="I386">
        <v>1003010</v>
      </c>
      <c r="J386" t="str">
        <f>_xlfn.IFNA(IF(I386&lt;&gt;0,VLOOKUP(VLOOKUP(I386,Tbl_Equip[],2,FALSE),Tbl_Color[],IFERROR(MATCH(UI!$B$1,Tbl_Color[#Headers],0),2),FALSE),""),"Unset")</f>
        <v>紅</v>
      </c>
      <c r="K386" t="str">
        <f>_xlfn.IFNA(IF(I386&lt;&gt;0,VLOOKUP(I386,ItemText[],IFERROR(MATCH(UI!$B$1,ItemText[#Headers],0),2),FALSE),""),"Unset")</f>
        <v>細膩的火燃情景</v>
      </c>
      <c r="L386" t="str">
        <f t="shared" si="36"/>
        <v/>
      </c>
      <c r="M386">
        <v>0</v>
      </c>
      <c r="N386" t="str">
        <f>IF(VALUE(M386)=0,"",VLOOKUP(VLOOKUP(M386,Tbl_Effect[],3,FALSE),EffectName[],IFERROR(MATCH(UI!$B$1,EffectName[#Headers],0),2),FALSE))</f>
        <v/>
      </c>
      <c r="O386" t="str">
        <f t="shared" si="37"/>
        <v/>
      </c>
      <c r="P386">
        <v>0</v>
      </c>
      <c r="Q386" t="str">
        <f>IF(VALUE(P386)=0,"",VLOOKUP(VLOOKUP(P386,Tbl_Effect[],3,FALSE),EffectName[],IFERROR(MATCH(UI!$B$1,EffectName[#Headers],0),2),FALSE))</f>
        <v/>
      </c>
      <c r="R386" t="str">
        <f t="shared" si="38"/>
        <v/>
      </c>
      <c r="S386">
        <v>0</v>
      </c>
      <c r="T386" t="str">
        <f>IF(VALUE(S386)=0,"",VLOOKUP(VLOOKUP(S386,Tbl_Effect[],3,FALSE),EffectName[],IFERROR(MATCH(UI!$B$1,EffectName[#Headers],0),2),FALSE))</f>
        <v/>
      </c>
      <c r="U386" t="str">
        <f t="shared" si="39"/>
        <v/>
      </c>
      <c r="V386">
        <v>0</v>
      </c>
      <c r="W386" t="str">
        <f>IF(V386&lt;&gt;0,VLOOKUP(VLOOKUP(V386,Tbl_Effect[],3,FALSE),EffectName[],IFERROR(MATCH(UI!$B$1,EffectName[#Headers],0),2),FALSE),"")</f>
        <v/>
      </c>
      <c r="X386" t="str">
        <f t="shared" si="40"/>
        <v/>
      </c>
      <c r="Y386">
        <v>0</v>
      </c>
      <c r="Z386" t="str">
        <f>IF(Y386&lt;&gt;0,VLOOKUP(VLOOKUP(Y386,Tbl_Effect[],3,FALSE),EffectName[],IFERROR(MATCH(UI!$B$1,EffectName[#Headers],0),2),FALSE),"")</f>
        <v/>
      </c>
      <c r="AA386" t="str">
        <f t="shared" si="41"/>
        <v/>
      </c>
      <c r="AB386">
        <v>0</v>
      </c>
      <c r="AC386" t="str">
        <f>IF(AB386&lt;&gt;0,VLOOKUP(VLOOKUP(AB386,Tbl_Effect[],3,FALSE),EffectName[],IFERROR(MATCH(UI!$B$1,EffectName[#Headers],0),2),FALSE),"")</f>
        <v/>
      </c>
    </row>
    <row r="387" spans="8:29" x14ac:dyDescent="0.4">
      <c r="H387" t="str">
        <f t="shared" ref="H387:H450" si="42">IF(VALUE(I387)&lt;&gt;0,I387&amp;"-"&amp;K387&amp;" ("&amp;J387&amp;")","")</f>
        <v>1003011-端正的火燃情景 (紅)</v>
      </c>
      <c r="I387">
        <v>1003011</v>
      </c>
      <c r="J387" t="str">
        <f>_xlfn.IFNA(IF(I387&lt;&gt;0,VLOOKUP(VLOOKUP(I387,Tbl_Equip[],2,FALSE),Tbl_Color[],IFERROR(MATCH(UI!$B$1,Tbl_Color[#Headers],0),2),FALSE),""),"Unset")</f>
        <v>紅</v>
      </c>
      <c r="K387" t="str">
        <f>_xlfn.IFNA(IF(I387&lt;&gt;0,VLOOKUP(I387,ItemText[],IFERROR(MATCH(UI!$B$1,ItemText[#Headers],0),2),FALSE),""),"Unset")</f>
        <v>端正的火燃情景</v>
      </c>
      <c r="L387" t="str">
        <f t="shared" ref="L387:L450" si="43">IF(VALUE(M387)=0,"",M387&amp;"-"&amp;N387)</f>
        <v/>
      </c>
      <c r="M387">
        <v>0</v>
      </c>
      <c r="N387" t="str">
        <f>IF(VALUE(M387)=0,"",VLOOKUP(VLOOKUP(M387,Tbl_Effect[],3,FALSE),EffectName[],IFERROR(MATCH(UI!$B$1,EffectName[#Headers],0),2),FALSE))</f>
        <v/>
      </c>
      <c r="O387" t="str">
        <f t="shared" ref="O387:O450" si="44">IF(VALUE(P387)=0,"",P387&amp;"-"&amp;Q387)</f>
        <v/>
      </c>
      <c r="P387">
        <v>0</v>
      </c>
      <c r="Q387" t="str">
        <f>IF(VALUE(P387)=0,"",VLOOKUP(VLOOKUP(P387,Tbl_Effect[],3,FALSE),EffectName[],IFERROR(MATCH(UI!$B$1,EffectName[#Headers],0),2),FALSE))</f>
        <v/>
      </c>
      <c r="R387" t="str">
        <f t="shared" ref="R387:R450" si="45">IF(VALUE(S387)=0,"",S387&amp;"-"&amp;T387)</f>
        <v/>
      </c>
      <c r="S387">
        <v>0</v>
      </c>
      <c r="T387" t="str">
        <f>IF(VALUE(S387)=0,"",VLOOKUP(VLOOKUP(S387,Tbl_Effect[],3,FALSE),EffectName[],IFERROR(MATCH(UI!$B$1,EffectName[#Headers],0),2),FALSE))</f>
        <v/>
      </c>
      <c r="U387" t="str">
        <f t="shared" ref="U387:U450" si="46">IF(VALUE(V387)=0,"",V387&amp;"-"&amp;W387)</f>
        <v/>
      </c>
      <c r="V387">
        <v>0</v>
      </c>
      <c r="W387" t="str">
        <f>IF(V387&lt;&gt;0,VLOOKUP(VLOOKUP(V387,Tbl_Effect[],3,FALSE),EffectName[],IFERROR(MATCH(UI!$B$1,EffectName[#Headers],0),2),FALSE),"")</f>
        <v/>
      </c>
      <c r="X387" t="str">
        <f t="shared" ref="X387:X450" si="47">IF(VALUE(Y387)=0,"",Y387&amp;"-"&amp;Z387)</f>
        <v/>
      </c>
      <c r="Y387">
        <v>0</v>
      </c>
      <c r="Z387" t="str">
        <f>IF(Y387&lt;&gt;0,VLOOKUP(VLOOKUP(Y387,Tbl_Effect[],3,FALSE),EffectName[],IFERROR(MATCH(UI!$B$1,EffectName[#Headers],0),2),FALSE),"")</f>
        <v/>
      </c>
      <c r="AA387" t="str">
        <f t="shared" ref="AA387:AA450" si="48">IF(VALUE(AB387)=0,"",AB387&amp;"-"&amp;AC387)</f>
        <v/>
      </c>
      <c r="AB387">
        <v>0</v>
      </c>
      <c r="AC387" t="str">
        <f>IF(AB387&lt;&gt;0,VLOOKUP(VLOOKUP(AB387,Tbl_Effect[],3,FALSE),EffectName[],IFERROR(MATCH(UI!$B$1,EffectName[#Headers],0),2),FALSE),"")</f>
        <v/>
      </c>
    </row>
    <row r="388" spans="8:29" x14ac:dyDescent="0.4">
      <c r="H388" t="str">
        <f t="shared" si="42"/>
        <v>1003012-遼闊的火燃情景 (紅)</v>
      </c>
      <c r="I388">
        <v>1003012</v>
      </c>
      <c r="J388" t="str">
        <f>_xlfn.IFNA(IF(I388&lt;&gt;0,VLOOKUP(VLOOKUP(I388,Tbl_Equip[],2,FALSE),Tbl_Color[],IFERROR(MATCH(UI!$B$1,Tbl_Color[#Headers],0),2),FALSE),""),"Unset")</f>
        <v>紅</v>
      </c>
      <c r="K388" t="str">
        <f>_xlfn.IFNA(IF(I388&lt;&gt;0,VLOOKUP(I388,ItemText[],IFERROR(MATCH(UI!$B$1,ItemText[#Headers],0),2),FALSE),""),"Unset")</f>
        <v>遼闊的火燃情景</v>
      </c>
      <c r="L388" t="str">
        <f t="shared" si="43"/>
        <v/>
      </c>
      <c r="M388">
        <v>0</v>
      </c>
      <c r="N388" t="str">
        <f>IF(VALUE(M388)=0,"",VLOOKUP(VLOOKUP(M388,Tbl_Effect[],3,FALSE),EffectName[],IFERROR(MATCH(UI!$B$1,EffectName[#Headers],0),2),FALSE))</f>
        <v/>
      </c>
      <c r="O388" t="str">
        <f t="shared" si="44"/>
        <v/>
      </c>
      <c r="P388">
        <v>0</v>
      </c>
      <c r="Q388" t="str">
        <f>IF(VALUE(P388)=0,"",VLOOKUP(VLOOKUP(P388,Tbl_Effect[],3,FALSE),EffectName[],IFERROR(MATCH(UI!$B$1,EffectName[#Headers],0),2),FALSE))</f>
        <v/>
      </c>
      <c r="R388" t="str">
        <f t="shared" si="45"/>
        <v/>
      </c>
      <c r="S388">
        <v>0</v>
      </c>
      <c r="T388" t="str">
        <f>IF(VALUE(S388)=0,"",VLOOKUP(VLOOKUP(S388,Tbl_Effect[],3,FALSE),EffectName[],IFERROR(MATCH(UI!$B$1,EffectName[#Headers],0),2),FALSE))</f>
        <v/>
      </c>
      <c r="U388" t="str">
        <f t="shared" si="46"/>
        <v/>
      </c>
      <c r="V388">
        <v>0</v>
      </c>
      <c r="W388" t="str">
        <f>IF(V388&lt;&gt;0,VLOOKUP(VLOOKUP(V388,Tbl_Effect[],3,FALSE),EffectName[],IFERROR(MATCH(UI!$B$1,EffectName[#Headers],0),2),FALSE),"")</f>
        <v/>
      </c>
      <c r="X388" t="str">
        <f t="shared" si="47"/>
        <v/>
      </c>
      <c r="Y388">
        <v>0</v>
      </c>
      <c r="Z388" t="str">
        <f>IF(Y388&lt;&gt;0,VLOOKUP(VLOOKUP(Y388,Tbl_Effect[],3,FALSE),EffectName[],IFERROR(MATCH(UI!$B$1,EffectName[#Headers],0),2),FALSE),"")</f>
        <v/>
      </c>
      <c r="AA388" t="str">
        <f t="shared" si="48"/>
        <v/>
      </c>
      <c r="AB388">
        <v>0</v>
      </c>
      <c r="AC388" t="str">
        <f>IF(AB388&lt;&gt;0,VLOOKUP(VLOOKUP(AB388,Tbl_Effect[],3,FALSE),EffectName[],IFERROR(MATCH(UI!$B$1,EffectName[#Headers],0),2),FALSE),"")</f>
        <v/>
      </c>
    </row>
    <row r="389" spans="8:29" x14ac:dyDescent="0.4">
      <c r="H389" t="str">
        <f t="shared" si="42"/>
        <v>1003020-細膩的火燃情景 (紅)</v>
      </c>
      <c r="I389">
        <v>1003020</v>
      </c>
      <c r="J389" t="str">
        <f>_xlfn.IFNA(IF(I389&lt;&gt;0,VLOOKUP(VLOOKUP(I389,Tbl_Equip[],2,FALSE),Tbl_Color[],IFERROR(MATCH(UI!$B$1,Tbl_Color[#Headers],0),2),FALSE),""),"Unset")</f>
        <v>紅</v>
      </c>
      <c r="K389" t="str">
        <f>_xlfn.IFNA(IF(I389&lt;&gt;0,VLOOKUP(I389,ItemText[],IFERROR(MATCH(UI!$B$1,ItemText[#Headers],0),2),FALSE),""),"Unset")</f>
        <v>細膩的火燃情景</v>
      </c>
      <c r="L389" t="str">
        <f t="shared" si="43"/>
        <v/>
      </c>
      <c r="M389">
        <v>0</v>
      </c>
      <c r="N389" t="str">
        <f>IF(VALUE(M389)=0,"",VLOOKUP(VLOOKUP(M389,Tbl_Effect[],3,FALSE),EffectName[],IFERROR(MATCH(UI!$B$1,EffectName[#Headers],0),2),FALSE))</f>
        <v/>
      </c>
      <c r="O389" t="str">
        <f t="shared" si="44"/>
        <v/>
      </c>
      <c r="P389">
        <v>0</v>
      </c>
      <c r="Q389" t="str">
        <f>IF(VALUE(P389)=0,"",VLOOKUP(VLOOKUP(P389,Tbl_Effect[],3,FALSE),EffectName[],IFERROR(MATCH(UI!$B$1,EffectName[#Headers],0),2),FALSE))</f>
        <v/>
      </c>
      <c r="R389" t="str">
        <f t="shared" si="45"/>
        <v/>
      </c>
      <c r="S389">
        <v>0</v>
      </c>
      <c r="T389" t="str">
        <f>IF(VALUE(S389)=0,"",VLOOKUP(VLOOKUP(S389,Tbl_Effect[],3,FALSE),EffectName[],IFERROR(MATCH(UI!$B$1,EffectName[#Headers],0),2),FALSE))</f>
        <v/>
      </c>
      <c r="U389" t="str">
        <f t="shared" si="46"/>
        <v/>
      </c>
      <c r="V389">
        <v>0</v>
      </c>
      <c r="W389" t="str">
        <f>IF(V389&lt;&gt;0,VLOOKUP(VLOOKUP(V389,Tbl_Effect[],3,FALSE),EffectName[],IFERROR(MATCH(UI!$B$1,EffectName[#Headers],0),2),FALSE),"")</f>
        <v/>
      </c>
      <c r="X389" t="str">
        <f t="shared" si="47"/>
        <v/>
      </c>
      <c r="Y389">
        <v>0</v>
      </c>
      <c r="Z389" t="str">
        <f>IF(Y389&lt;&gt;0,VLOOKUP(VLOOKUP(Y389,Tbl_Effect[],3,FALSE),EffectName[],IFERROR(MATCH(UI!$B$1,EffectName[#Headers],0),2),FALSE),"")</f>
        <v/>
      </c>
      <c r="AA389" t="str">
        <f t="shared" si="48"/>
        <v/>
      </c>
      <c r="AB389">
        <v>0</v>
      </c>
      <c r="AC389" t="str">
        <f>IF(AB389&lt;&gt;0,VLOOKUP(VLOOKUP(AB389,Tbl_Effect[],3,FALSE),EffectName[],IFERROR(MATCH(UI!$B$1,EffectName[#Headers],0),2),FALSE),"")</f>
        <v/>
      </c>
    </row>
    <row r="390" spans="8:29" x14ac:dyDescent="0.4">
      <c r="H390" t="str">
        <f t="shared" si="42"/>
        <v>1003021-端正的火燃情景 (紅)</v>
      </c>
      <c r="I390">
        <v>1003021</v>
      </c>
      <c r="J390" t="str">
        <f>_xlfn.IFNA(IF(I390&lt;&gt;0,VLOOKUP(VLOOKUP(I390,Tbl_Equip[],2,FALSE),Tbl_Color[],IFERROR(MATCH(UI!$B$1,Tbl_Color[#Headers],0),2),FALSE),""),"Unset")</f>
        <v>紅</v>
      </c>
      <c r="K390" t="str">
        <f>_xlfn.IFNA(IF(I390&lt;&gt;0,VLOOKUP(I390,ItemText[],IFERROR(MATCH(UI!$B$1,ItemText[#Headers],0),2),FALSE),""),"Unset")</f>
        <v>端正的火燃情景</v>
      </c>
      <c r="L390" t="str">
        <f t="shared" si="43"/>
        <v/>
      </c>
      <c r="M390">
        <v>0</v>
      </c>
      <c r="N390" t="str">
        <f>IF(VALUE(M390)=0,"",VLOOKUP(VLOOKUP(M390,Tbl_Effect[],3,FALSE),EffectName[],IFERROR(MATCH(UI!$B$1,EffectName[#Headers],0),2),FALSE))</f>
        <v/>
      </c>
      <c r="O390" t="str">
        <f t="shared" si="44"/>
        <v/>
      </c>
      <c r="P390">
        <v>0</v>
      </c>
      <c r="Q390" t="str">
        <f>IF(VALUE(P390)=0,"",VLOOKUP(VLOOKUP(P390,Tbl_Effect[],3,FALSE),EffectName[],IFERROR(MATCH(UI!$B$1,EffectName[#Headers],0),2),FALSE))</f>
        <v/>
      </c>
      <c r="R390" t="str">
        <f t="shared" si="45"/>
        <v/>
      </c>
      <c r="S390">
        <v>0</v>
      </c>
      <c r="T390" t="str">
        <f>IF(VALUE(S390)=0,"",VLOOKUP(VLOOKUP(S390,Tbl_Effect[],3,FALSE),EffectName[],IFERROR(MATCH(UI!$B$1,EffectName[#Headers],0),2),FALSE))</f>
        <v/>
      </c>
      <c r="U390" t="str">
        <f t="shared" si="46"/>
        <v/>
      </c>
      <c r="V390">
        <v>0</v>
      </c>
      <c r="W390" t="str">
        <f>IF(V390&lt;&gt;0,VLOOKUP(VLOOKUP(V390,Tbl_Effect[],3,FALSE),EffectName[],IFERROR(MATCH(UI!$B$1,EffectName[#Headers],0),2),FALSE),"")</f>
        <v/>
      </c>
      <c r="X390" t="str">
        <f t="shared" si="47"/>
        <v/>
      </c>
      <c r="Y390">
        <v>0</v>
      </c>
      <c r="Z390" t="str">
        <f>IF(Y390&lt;&gt;0,VLOOKUP(VLOOKUP(Y390,Tbl_Effect[],3,FALSE),EffectName[],IFERROR(MATCH(UI!$B$1,EffectName[#Headers],0),2),FALSE),"")</f>
        <v/>
      </c>
      <c r="AA390" t="str">
        <f t="shared" si="48"/>
        <v/>
      </c>
      <c r="AB390">
        <v>0</v>
      </c>
      <c r="AC390" t="str">
        <f>IF(AB390&lt;&gt;0,VLOOKUP(VLOOKUP(AB390,Tbl_Effect[],3,FALSE),EffectName[],IFERROR(MATCH(UI!$B$1,EffectName[#Headers],0),2),FALSE),"")</f>
        <v/>
      </c>
    </row>
    <row r="391" spans="8:29" x14ac:dyDescent="0.4">
      <c r="H391" t="str">
        <f t="shared" si="42"/>
        <v>1003022-遼闊的火燃情景 (紅)</v>
      </c>
      <c r="I391">
        <v>1003022</v>
      </c>
      <c r="J391" t="str">
        <f>_xlfn.IFNA(IF(I391&lt;&gt;0,VLOOKUP(VLOOKUP(I391,Tbl_Equip[],2,FALSE),Tbl_Color[],IFERROR(MATCH(UI!$B$1,Tbl_Color[#Headers],0),2),FALSE),""),"Unset")</f>
        <v>紅</v>
      </c>
      <c r="K391" t="str">
        <f>_xlfn.IFNA(IF(I391&lt;&gt;0,VLOOKUP(I391,ItemText[],IFERROR(MATCH(UI!$B$1,ItemText[#Headers],0),2),FALSE),""),"Unset")</f>
        <v>遼闊的火燃情景</v>
      </c>
      <c r="L391" t="str">
        <f t="shared" si="43"/>
        <v/>
      </c>
      <c r="M391">
        <v>0</v>
      </c>
      <c r="N391" t="str">
        <f>IF(VALUE(M391)=0,"",VLOOKUP(VLOOKUP(M391,Tbl_Effect[],3,FALSE),EffectName[],IFERROR(MATCH(UI!$B$1,EffectName[#Headers],0),2),FALSE))</f>
        <v/>
      </c>
      <c r="O391" t="str">
        <f t="shared" si="44"/>
        <v/>
      </c>
      <c r="P391">
        <v>0</v>
      </c>
      <c r="Q391" t="str">
        <f>IF(VALUE(P391)=0,"",VLOOKUP(VLOOKUP(P391,Tbl_Effect[],3,FALSE),EffectName[],IFERROR(MATCH(UI!$B$1,EffectName[#Headers],0),2),FALSE))</f>
        <v/>
      </c>
      <c r="R391" t="str">
        <f t="shared" si="45"/>
        <v/>
      </c>
      <c r="S391">
        <v>0</v>
      </c>
      <c r="T391" t="str">
        <f>IF(VALUE(S391)=0,"",VLOOKUP(VLOOKUP(S391,Tbl_Effect[],3,FALSE),EffectName[],IFERROR(MATCH(UI!$B$1,EffectName[#Headers],0),2),FALSE))</f>
        <v/>
      </c>
      <c r="U391" t="str">
        <f t="shared" si="46"/>
        <v/>
      </c>
      <c r="V391">
        <v>0</v>
      </c>
      <c r="W391" t="str">
        <f>IF(V391&lt;&gt;0,VLOOKUP(VLOOKUP(V391,Tbl_Effect[],3,FALSE),EffectName[],IFERROR(MATCH(UI!$B$1,EffectName[#Headers],0),2),FALSE),"")</f>
        <v/>
      </c>
      <c r="X391" t="str">
        <f t="shared" si="47"/>
        <v/>
      </c>
      <c r="Y391">
        <v>0</v>
      </c>
      <c r="Z391" t="str">
        <f>IF(Y391&lt;&gt;0,VLOOKUP(VLOOKUP(Y391,Tbl_Effect[],3,FALSE),EffectName[],IFERROR(MATCH(UI!$B$1,EffectName[#Headers],0),2),FALSE),"")</f>
        <v/>
      </c>
      <c r="AA391" t="str">
        <f t="shared" si="48"/>
        <v/>
      </c>
      <c r="AB391">
        <v>0</v>
      </c>
      <c r="AC391" t="str">
        <f>IF(AB391&lt;&gt;0,VLOOKUP(VLOOKUP(AB391,Tbl_Effect[],3,FALSE),EffectName[],IFERROR(MATCH(UI!$B$1,EffectName[#Headers],0),2),FALSE),"")</f>
        <v/>
      </c>
    </row>
    <row r="392" spans="8:29" x14ac:dyDescent="0.4">
      <c r="H392" t="str">
        <f t="shared" si="42"/>
        <v>1003100-細膩的水滴情景 (藍)</v>
      </c>
      <c r="I392">
        <v>1003100</v>
      </c>
      <c r="J392" t="str">
        <f>_xlfn.IFNA(IF(I392&lt;&gt;0,VLOOKUP(VLOOKUP(I392,Tbl_Equip[],2,FALSE),Tbl_Color[],IFERROR(MATCH(UI!$B$1,Tbl_Color[#Headers],0),2),FALSE),""),"Unset")</f>
        <v>藍</v>
      </c>
      <c r="K392" t="str">
        <f>_xlfn.IFNA(IF(I392&lt;&gt;0,VLOOKUP(I392,ItemText[],IFERROR(MATCH(UI!$B$1,ItemText[#Headers],0),2),FALSE),""),"Unset")</f>
        <v>細膩的水滴情景</v>
      </c>
      <c r="L392" t="str">
        <f t="shared" si="43"/>
        <v/>
      </c>
      <c r="M392">
        <v>0</v>
      </c>
      <c r="N392" t="str">
        <f>IF(VALUE(M392)=0,"",VLOOKUP(VLOOKUP(M392,Tbl_Effect[],3,FALSE),EffectName[],IFERROR(MATCH(UI!$B$1,EffectName[#Headers],0),2),FALSE))</f>
        <v/>
      </c>
      <c r="O392" t="str">
        <f t="shared" si="44"/>
        <v/>
      </c>
      <c r="P392">
        <v>0</v>
      </c>
      <c r="Q392" t="str">
        <f>IF(VALUE(P392)=0,"",VLOOKUP(VLOOKUP(P392,Tbl_Effect[],3,FALSE),EffectName[],IFERROR(MATCH(UI!$B$1,EffectName[#Headers],0),2),FALSE))</f>
        <v/>
      </c>
      <c r="R392" t="str">
        <f t="shared" si="45"/>
        <v/>
      </c>
      <c r="S392">
        <v>0</v>
      </c>
      <c r="T392" t="str">
        <f>IF(VALUE(S392)=0,"",VLOOKUP(VLOOKUP(S392,Tbl_Effect[],3,FALSE),EffectName[],IFERROR(MATCH(UI!$B$1,EffectName[#Headers],0),2),FALSE))</f>
        <v/>
      </c>
      <c r="U392" t="str">
        <f t="shared" si="46"/>
        <v/>
      </c>
      <c r="V392">
        <v>0</v>
      </c>
      <c r="W392" t="str">
        <f>IF(V392&lt;&gt;0,VLOOKUP(VLOOKUP(V392,Tbl_Effect[],3,FALSE),EffectName[],IFERROR(MATCH(UI!$B$1,EffectName[#Headers],0),2),FALSE),"")</f>
        <v/>
      </c>
      <c r="X392" t="str">
        <f t="shared" si="47"/>
        <v/>
      </c>
      <c r="Y392">
        <v>0</v>
      </c>
      <c r="Z392" t="str">
        <f>IF(Y392&lt;&gt;0,VLOOKUP(VLOOKUP(Y392,Tbl_Effect[],3,FALSE),EffectName[],IFERROR(MATCH(UI!$B$1,EffectName[#Headers],0),2),FALSE),"")</f>
        <v/>
      </c>
      <c r="AA392" t="str">
        <f t="shared" si="48"/>
        <v/>
      </c>
      <c r="AB392">
        <v>0</v>
      </c>
      <c r="AC392" t="str">
        <f>IF(AB392&lt;&gt;0,VLOOKUP(VLOOKUP(AB392,Tbl_Effect[],3,FALSE),EffectName[],IFERROR(MATCH(UI!$B$1,EffectName[#Headers],0),2),FALSE),"")</f>
        <v/>
      </c>
    </row>
    <row r="393" spans="8:29" x14ac:dyDescent="0.4">
      <c r="H393" t="str">
        <f t="shared" si="42"/>
        <v>1003101-端正的水滴情景 (藍)</v>
      </c>
      <c r="I393">
        <v>1003101</v>
      </c>
      <c r="J393" t="str">
        <f>_xlfn.IFNA(IF(I393&lt;&gt;0,VLOOKUP(VLOOKUP(I393,Tbl_Equip[],2,FALSE),Tbl_Color[],IFERROR(MATCH(UI!$B$1,Tbl_Color[#Headers],0),2),FALSE),""),"Unset")</f>
        <v>藍</v>
      </c>
      <c r="K393" t="str">
        <f>_xlfn.IFNA(IF(I393&lt;&gt;0,VLOOKUP(I393,ItemText[],IFERROR(MATCH(UI!$B$1,ItemText[#Headers],0),2),FALSE),""),"Unset")</f>
        <v>端正的水滴情景</v>
      </c>
      <c r="L393" t="str">
        <f t="shared" si="43"/>
        <v/>
      </c>
      <c r="M393">
        <v>0</v>
      </c>
      <c r="N393" t="str">
        <f>IF(VALUE(M393)=0,"",VLOOKUP(VLOOKUP(M393,Tbl_Effect[],3,FALSE),EffectName[],IFERROR(MATCH(UI!$B$1,EffectName[#Headers],0),2),FALSE))</f>
        <v/>
      </c>
      <c r="O393" t="str">
        <f t="shared" si="44"/>
        <v/>
      </c>
      <c r="P393">
        <v>0</v>
      </c>
      <c r="Q393" t="str">
        <f>IF(VALUE(P393)=0,"",VLOOKUP(VLOOKUP(P393,Tbl_Effect[],3,FALSE),EffectName[],IFERROR(MATCH(UI!$B$1,EffectName[#Headers],0),2),FALSE))</f>
        <v/>
      </c>
      <c r="R393" t="str">
        <f t="shared" si="45"/>
        <v/>
      </c>
      <c r="S393">
        <v>0</v>
      </c>
      <c r="T393" t="str">
        <f>IF(VALUE(S393)=0,"",VLOOKUP(VLOOKUP(S393,Tbl_Effect[],3,FALSE),EffectName[],IFERROR(MATCH(UI!$B$1,EffectName[#Headers],0),2),FALSE))</f>
        <v/>
      </c>
      <c r="U393" t="str">
        <f t="shared" si="46"/>
        <v/>
      </c>
      <c r="V393">
        <v>0</v>
      </c>
      <c r="W393" t="str">
        <f>IF(V393&lt;&gt;0,VLOOKUP(VLOOKUP(V393,Tbl_Effect[],3,FALSE),EffectName[],IFERROR(MATCH(UI!$B$1,EffectName[#Headers],0),2),FALSE),"")</f>
        <v/>
      </c>
      <c r="X393" t="str">
        <f t="shared" si="47"/>
        <v/>
      </c>
      <c r="Y393">
        <v>0</v>
      </c>
      <c r="Z393" t="str">
        <f>IF(Y393&lt;&gt;0,VLOOKUP(VLOOKUP(Y393,Tbl_Effect[],3,FALSE),EffectName[],IFERROR(MATCH(UI!$B$1,EffectName[#Headers],0),2),FALSE),"")</f>
        <v/>
      </c>
      <c r="AA393" t="str">
        <f t="shared" si="48"/>
        <v/>
      </c>
      <c r="AB393">
        <v>0</v>
      </c>
      <c r="AC393" t="str">
        <f>IF(AB393&lt;&gt;0,VLOOKUP(VLOOKUP(AB393,Tbl_Effect[],3,FALSE),EffectName[],IFERROR(MATCH(UI!$B$1,EffectName[#Headers],0),2),FALSE),"")</f>
        <v/>
      </c>
    </row>
    <row r="394" spans="8:29" x14ac:dyDescent="0.4">
      <c r="H394" t="str">
        <f t="shared" si="42"/>
        <v>1003102-遼闊的水滴情景 (藍)</v>
      </c>
      <c r="I394">
        <v>1003102</v>
      </c>
      <c r="J394" t="str">
        <f>_xlfn.IFNA(IF(I394&lt;&gt;0,VLOOKUP(VLOOKUP(I394,Tbl_Equip[],2,FALSE),Tbl_Color[],IFERROR(MATCH(UI!$B$1,Tbl_Color[#Headers],0),2),FALSE),""),"Unset")</f>
        <v>藍</v>
      </c>
      <c r="K394" t="str">
        <f>_xlfn.IFNA(IF(I394&lt;&gt;0,VLOOKUP(I394,ItemText[],IFERROR(MATCH(UI!$B$1,ItemText[#Headers],0),2),FALSE),""),"Unset")</f>
        <v>遼闊的水滴情景</v>
      </c>
      <c r="L394" t="str">
        <f t="shared" si="43"/>
        <v/>
      </c>
      <c r="M394">
        <v>0</v>
      </c>
      <c r="N394" t="str">
        <f>IF(VALUE(M394)=0,"",VLOOKUP(VLOOKUP(M394,Tbl_Effect[],3,FALSE),EffectName[],IFERROR(MATCH(UI!$B$1,EffectName[#Headers],0),2),FALSE))</f>
        <v/>
      </c>
      <c r="O394" t="str">
        <f t="shared" si="44"/>
        <v/>
      </c>
      <c r="P394">
        <v>0</v>
      </c>
      <c r="Q394" t="str">
        <f>IF(VALUE(P394)=0,"",VLOOKUP(VLOOKUP(P394,Tbl_Effect[],3,FALSE),EffectName[],IFERROR(MATCH(UI!$B$1,EffectName[#Headers],0),2),FALSE))</f>
        <v/>
      </c>
      <c r="R394" t="str">
        <f t="shared" si="45"/>
        <v/>
      </c>
      <c r="S394">
        <v>0</v>
      </c>
      <c r="T394" t="str">
        <f>IF(VALUE(S394)=0,"",VLOOKUP(VLOOKUP(S394,Tbl_Effect[],3,FALSE),EffectName[],IFERROR(MATCH(UI!$B$1,EffectName[#Headers],0),2),FALSE))</f>
        <v/>
      </c>
      <c r="U394" t="str">
        <f t="shared" si="46"/>
        <v/>
      </c>
      <c r="V394">
        <v>0</v>
      </c>
      <c r="W394" t="str">
        <f>IF(V394&lt;&gt;0,VLOOKUP(VLOOKUP(V394,Tbl_Effect[],3,FALSE),EffectName[],IFERROR(MATCH(UI!$B$1,EffectName[#Headers],0),2),FALSE),"")</f>
        <v/>
      </c>
      <c r="X394" t="str">
        <f t="shared" si="47"/>
        <v/>
      </c>
      <c r="Y394">
        <v>0</v>
      </c>
      <c r="Z394" t="str">
        <f>IF(Y394&lt;&gt;0,VLOOKUP(VLOOKUP(Y394,Tbl_Effect[],3,FALSE),EffectName[],IFERROR(MATCH(UI!$B$1,EffectName[#Headers],0),2),FALSE),"")</f>
        <v/>
      </c>
      <c r="AA394" t="str">
        <f t="shared" si="48"/>
        <v/>
      </c>
      <c r="AB394">
        <v>0</v>
      </c>
      <c r="AC394" t="str">
        <f>IF(AB394&lt;&gt;0,VLOOKUP(VLOOKUP(AB394,Tbl_Effect[],3,FALSE),EffectName[],IFERROR(MATCH(UI!$B$1,EffectName[#Headers],0),2),FALSE),"")</f>
        <v/>
      </c>
    </row>
    <row r="395" spans="8:29" x14ac:dyDescent="0.4">
      <c r="H395" t="str">
        <f t="shared" si="42"/>
        <v>1003110-細膩的水滴情景 (藍)</v>
      </c>
      <c r="I395">
        <v>1003110</v>
      </c>
      <c r="J395" t="str">
        <f>_xlfn.IFNA(IF(I395&lt;&gt;0,VLOOKUP(VLOOKUP(I395,Tbl_Equip[],2,FALSE),Tbl_Color[],IFERROR(MATCH(UI!$B$1,Tbl_Color[#Headers],0),2),FALSE),""),"Unset")</f>
        <v>藍</v>
      </c>
      <c r="K395" t="str">
        <f>_xlfn.IFNA(IF(I395&lt;&gt;0,VLOOKUP(I395,ItemText[],IFERROR(MATCH(UI!$B$1,ItemText[#Headers],0),2),FALSE),""),"Unset")</f>
        <v>細膩的水滴情景</v>
      </c>
      <c r="L395" t="str">
        <f t="shared" si="43"/>
        <v/>
      </c>
      <c r="M395">
        <v>0</v>
      </c>
      <c r="N395" t="str">
        <f>IF(VALUE(M395)=0,"",VLOOKUP(VLOOKUP(M395,Tbl_Effect[],3,FALSE),EffectName[],IFERROR(MATCH(UI!$B$1,EffectName[#Headers],0),2),FALSE))</f>
        <v/>
      </c>
      <c r="O395" t="str">
        <f t="shared" si="44"/>
        <v/>
      </c>
      <c r="P395">
        <v>0</v>
      </c>
      <c r="Q395" t="str">
        <f>IF(VALUE(P395)=0,"",VLOOKUP(VLOOKUP(P395,Tbl_Effect[],3,FALSE),EffectName[],IFERROR(MATCH(UI!$B$1,EffectName[#Headers],0),2),FALSE))</f>
        <v/>
      </c>
      <c r="R395" t="str">
        <f t="shared" si="45"/>
        <v/>
      </c>
      <c r="S395">
        <v>0</v>
      </c>
      <c r="T395" t="str">
        <f>IF(VALUE(S395)=0,"",VLOOKUP(VLOOKUP(S395,Tbl_Effect[],3,FALSE),EffectName[],IFERROR(MATCH(UI!$B$1,EffectName[#Headers],0),2),FALSE))</f>
        <v/>
      </c>
      <c r="U395" t="str">
        <f t="shared" si="46"/>
        <v/>
      </c>
      <c r="V395">
        <v>0</v>
      </c>
      <c r="W395" t="str">
        <f>IF(V395&lt;&gt;0,VLOOKUP(VLOOKUP(V395,Tbl_Effect[],3,FALSE),EffectName[],IFERROR(MATCH(UI!$B$1,EffectName[#Headers],0),2),FALSE),"")</f>
        <v/>
      </c>
      <c r="X395" t="str">
        <f t="shared" si="47"/>
        <v/>
      </c>
      <c r="Y395">
        <v>0</v>
      </c>
      <c r="Z395" t="str">
        <f>IF(Y395&lt;&gt;0,VLOOKUP(VLOOKUP(Y395,Tbl_Effect[],3,FALSE),EffectName[],IFERROR(MATCH(UI!$B$1,EffectName[#Headers],0),2),FALSE),"")</f>
        <v/>
      </c>
      <c r="AA395" t="str">
        <f t="shared" si="48"/>
        <v/>
      </c>
      <c r="AB395">
        <v>0</v>
      </c>
      <c r="AC395" t="str">
        <f>IF(AB395&lt;&gt;0,VLOOKUP(VLOOKUP(AB395,Tbl_Effect[],3,FALSE),EffectName[],IFERROR(MATCH(UI!$B$1,EffectName[#Headers],0),2),FALSE),"")</f>
        <v/>
      </c>
    </row>
    <row r="396" spans="8:29" x14ac:dyDescent="0.4">
      <c r="H396" t="str">
        <f t="shared" si="42"/>
        <v>1003111-端正的水滴情景 (藍)</v>
      </c>
      <c r="I396">
        <v>1003111</v>
      </c>
      <c r="J396" t="str">
        <f>_xlfn.IFNA(IF(I396&lt;&gt;0,VLOOKUP(VLOOKUP(I396,Tbl_Equip[],2,FALSE),Tbl_Color[],IFERROR(MATCH(UI!$B$1,Tbl_Color[#Headers],0),2),FALSE),""),"Unset")</f>
        <v>藍</v>
      </c>
      <c r="K396" t="str">
        <f>_xlfn.IFNA(IF(I396&lt;&gt;0,VLOOKUP(I396,ItemText[],IFERROR(MATCH(UI!$B$1,ItemText[#Headers],0),2),FALSE),""),"Unset")</f>
        <v>端正的水滴情景</v>
      </c>
      <c r="L396" t="str">
        <f t="shared" si="43"/>
        <v/>
      </c>
      <c r="M396">
        <v>0</v>
      </c>
      <c r="N396" t="str">
        <f>IF(VALUE(M396)=0,"",VLOOKUP(VLOOKUP(M396,Tbl_Effect[],3,FALSE),EffectName[],IFERROR(MATCH(UI!$B$1,EffectName[#Headers],0),2),FALSE))</f>
        <v/>
      </c>
      <c r="O396" t="str">
        <f t="shared" si="44"/>
        <v/>
      </c>
      <c r="P396">
        <v>0</v>
      </c>
      <c r="Q396" t="str">
        <f>IF(VALUE(P396)=0,"",VLOOKUP(VLOOKUP(P396,Tbl_Effect[],3,FALSE),EffectName[],IFERROR(MATCH(UI!$B$1,EffectName[#Headers],0),2),FALSE))</f>
        <v/>
      </c>
      <c r="R396" t="str">
        <f t="shared" si="45"/>
        <v/>
      </c>
      <c r="S396">
        <v>0</v>
      </c>
      <c r="T396" t="str">
        <f>IF(VALUE(S396)=0,"",VLOOKUP(VLOOKUP(S396,Tbl_Effect[],3,FALSE),EffectName[],IFERROR(MATCH(UI!$B$1,EffectName[#Headers],0),2),FALSE))</f>
        <v/>
      </c>
      <c r="U396" t="str">
        <f t="shared" si="46"/>
        <v/>
      </c>
      <c r="V396">
        <v>0</v>
      </c>
      <c r="W396" t="str">
        <f>IF(V396&lt;&gt;0,VLOOKUP(VLOOKUP(V396,Tbl_Effect[],3,FALSE),EffectName[],IFERROR(MATCH(UI!$B$1,EffectName[#Headers],0),2),FALSE),"")</f>
        <v/>
      </c>
      <c r="X396" t="str">
        <f t="shared" si="47"/>
        <v/>
      </c>
      <c r="Y396">
        <v>0</v>
      </c>
      <c r="Z396" t="str">
        <f>IF(Y396&lt;&gt;0,VLOOKUP(VLOOKUP(Y396,Tbl_Effect[],3,FALSE),EffectName[],IFERROR(MATCH(UI!$B$1,EffectName[#Headers],0),2),FALSE),"")</f>
        <v/>
      </c>
      <c r="AA396" t="str">
        <f t="shared" si="48"/>
        <v/>
      </c>
      <c r="AB396">
        <v>0</v>
      </c>
      <c r="AC396" t="str">
        <f>IF(AB396&lt;&gt;0,VLOOKUP(VLOOKUP(AB396,Tbl_Effect[],3,FALSE),EffectName[],IFERROR(MATCH(UI!$B$1,EffectName[#Headers],0),2),FALSE),"")</f>
        <v/>
      </c>
    </row>
    <row r="397" spans="8:29" x14ac:dyDescent="0.4">
      <c r="H397" t="str">
        <f t="shared" si="42"/>
        <v>1003112-遼闊的水滴情景 (藍)</v>
      </c>
      <c r="I397">
        <v>1003112</v>
      </c>
      <c r="J397" t="str">
        <f>_xlfn.IFNA(IF(I397&lt;&gt;0,VLOOKUP(VLOOKUP(I397,Tbl_Equip[],2,FALSE),Tbl_Color[],IFERROR(MATCH(UI!$B$1,Tbl_Color[#Headers],0),2),FALSE),""),"Unset")</f>
        <v>藍</v>
      </c>
      <c r="K397" t="str">
        <f>_xlfn.IFNA(IF(I397&lt;&gt;0,VLOOKUP(I397,ItemText[],IFERROR(MATCH(UI!$B$1,ItemText[#Headers],0),2),FALSE),""),"Unset")</f>
        <v>遼闊的水滴情景</v>
      </c>
      <c r="L397" t="str">
        <f t="shared" si="43"/>
        <v/>
      </c>
      <c r="M397">
        <v>0</v>
      </c>
      <c r="N397" t="str">
        <f>IF(VALUE(M397)=0,"",VLOOKUP(VLOOKUP(M397,Tbl_Effect[],3,FALSE),EffectName[],IFERROR(MATCH(UI!$B$1,EffectName[#Headers],0),2),FALSE))</f>
        <v/>
      </c>
      <c r="O397" t="str">
        <f t="shared" si="44"/>
        <v/>
      </c>
      <c r="P397">
        <v>0</v>
      </c>
      <c r="Q397" t="str">
        <f>IF(VALUE(P397)=0,"",VLOOKUP(VLOOKUP(P397,Tbl_Effect[],3,FALSE),EffectName[],IFERROR(MATCH(UI!$B$1,EffectName[#Headers],0),2),FALSE))</f>
        <v/>
      </c>
      <c r="R397" t="str">
        <f t="shared" si="45"/>
        <v/>
      </c>
      <c r="S397">
        <v>0</v>
      </c>
      <c r="T397" t="str">
        <f>IF(VALUE(S397)=0,"",VLOOKUP(VLOOKUP(S397,Tbl_Effect[],3,FALSE),EffectName[],IFERROR(MATCH(UI!$B$1,EffectName[#Headers],0),2),FALSE))</f>
        <v/>
      </c>
      <c r="U397" t="str">
        <f t="shared" si="46"/>
        <v/>
      </c>
      <c r="V397">
        <v>0</v>
      </c>
      <c r="W397" t="str">
        <f>IF(V397&lt;&gt;0,VLOOKUP(VLOOKUP(V397,Tbl_Effect[],3,FALSE),EffectName[],IFERROR(MATCH(UI!$B$1,EffectName[#Headers],0),2),FALSE),"")</f>
        <v/>
      </c>
      <c r="X397" t="str">
        <f t="shared" si="47"/>
        <v/>
      </c>
      <c r="Y397">
        <v>0</v>
      </c>
      <c r="Z397" t="str">
        <f>IF(Y397&lt;&gt;0,VLOOKUP(VLOOKUP(Y397,Tbl_Effect[],3,FALSE),EffectName[],IFERROR(MATCH(UI!$B$1,EffectName[#Headers],0),2),FALSE),"")</f>
        <v/>
      </c>
      <c r="AA397" t="str">
        <f t="shared" si="48"/>
        <v/>
      </c>
      <c r="AB397">
        <v>0</v>
      </c>
      <c r="AC397" t="str">
        <f>IF(AB397&lt;&gt;0,VLOOKUP(VLOOKUP(AB397,Tbl_Effect[],3,FALSE),EffectName[],IFERROR(MATCH(UI!$B$1,EffectName[#Headers],0),2),FALSE),"")</f>
        <v/>
      </c>
    </row>
    <row r="398" spans="8:29" x14ac:dyDescent="0.4">
      <c r="H398" t="str">
        <f t="shared" si="42"/>
        <v>1003120-細膩的水滴情景 (藍)</v>
      </c>
      <c r="I398">
        <v>1003120</v>
      </c>
      <c r="J398" t="str">
        <f>_xlfn.IFNA(IF(I398&lt;&gt;0,VLOOKUP(VLOOKUP(I398,Tbl_Equip[],2,FALSE),Tbl_Color[],IFERROR(MATCH(UI!$B$1,Tbl_Color[#Headers],0),2),FALSE),""),"Unset")</f>
        <v>藍</v>
      </c>
      <c r="K398" t="str">
        <f>_xlfn.IFNA(IF(I398&lt;&gt;0,VLOOKUP(I398,ItemText[],IFERROR(MATCH(UI!$B$1,ItemText[#Headers],0),2),FALSE),""),"Unset")</f>
        <v>細膩的水滴情景</v>
      </c>
      <c r="L398" t="str">
        <f t="shared" si="43"/>
        <v/>
      </c>
      <c r="M398">
        <v>0</v>
      </c>
      <c r="N398" t="str">
        <f>IF(VALUE(M398)=0,"",VLOOKUP(VLOOKUP(M398,Tbl_Effect[],3,FALSE),EffectName[],IFERROR(MATCH(UI!$B$1,EffectName[#Headers],0),2),FALSE))</f>
        <v/>
      </c>
      <c r="O398" t="str">
        <f t="shared" si="44"/>
        <v/>
      </c>
      <c r="P398">
        <v>0</v>
      </c>
      <c r="Q398" t="str">
        <f>IF(VALUE(P398)=0,"",VLOOKUP(VLOOKUP(P398,Tbl_Effect[],3,FALSE),EffectName[],IFERROR(MATCH(UI!$B$1,EffectName[#Headers],0),2),FALSE))</f>
        <v/>
      </c>
      <c r="R398" t="str">
        <f t="shared" si="45"/>
        <v/>
      </c>
      <c r="S398">
        <v>0</v>
      </c>
      <c r="T398" t="str">
        <f>IF(VALUE(S398)=0,"",VLOOKUP(VLOOKUP(S398,Tbl_Effect[],3,FALSE),EffectName[],IFERROR(MATCH(UI!$B$1,EffectName[#Headers],0),2),FALSE))</f>
        <v/>
      </c>
      <c r="U398" t="str">
        <f t="shared" si="46"/>
        <v/>
      </c>
      <c r="V398">
        <v>0</v>
      </c>
      <c r="W398" t="str">
        <f>IF(V398&lt;&gt;0,VLOOKUP(VLOOKUP(V398,Tbl_Effect[],3,FALSE),EffectName[],IFERROR(MATCH(UI!$B$1,EffectName[#Headers],0),2),FALSE),"")</f>
        <v/>
      </c>
      <c r="X398" t="str">
        <f t="shared" si="47"/>
        <v/>
      </c>
      <c r="Y398">
        <v>0</v>
      </c>
      <c r="Z398" t="str">
        <f>IF(Y398&lt;&gt;0,VLOOKUP(VLOOKUP(Y398,Tbl_Effect[],3,FALSE),EffectName[],IFERROR(MATCH(UI!$B$1,EffectName[#Headers],0),2),FALSE),"")</f>
        <v/>
      </c>
      <c r="AA398" t="str">
        <f t="shared" si="48"/>
        <v/>
      </c>
      <c r="AB398">
        <v>0</v>
      </c>
      <c r="AC398" t="str">
        <f>IF(AB398&lt;&gt;0,VLOOKUP(VLOOKUP(AB398,Tbl_Effect[],3,FALSE),EffectName[],IFERROR(MATCH(UI!$B$1,EffectName[#Headers],0),2),FALSE),"")</f>
        <v/>
      </c>
    </row>
    <row r="399" spans="8:29" x14ac:dyDescent="0.4">
      <c r="H399" t="str">
        <f t="shared" si="42"/>
        <v>1003121-端正的水滴情景 (藍)</v>
      </c>
      <c r="I399">
        <v>1003121</v>
      </c>
      <c r="J399" t="str">
        <f>_xlfn.IFNA(IF(I399&lt;&gt;0,VLOOKUP(VLOOKUP(I399,Tbl_Equip[],2,FALSE),Tbl_Color[],IFERROR(MATCH(UI!$B$1,Tbl_Color[#Headers],0),2),FALSE),""),"Unset")</f>
        <v>藍</v>
      </c>
      <c r="K399" t="str">
        <f>_xlfn.IFNA(IF(I399&lt;&gt;0,VLOOKUP(I399,ItemText[],IFERROR(MATCH(UI!$B$1,ItemText[#Headers],0),2),FALSE),""),"Unset")</f>
        <v>端正的水滴情景</v>
      </c>
      <c r="L399" t="str">
        <f t="shared" si="43"/>
        <v/>
      </c>
      <c r="M399">
        <v>0</v>
      </c>
      <c r="N399" t="str">
        <f>IF(VALUE(M399)=0,"",VLOOKUP(VLOOKUP(M399,Tbl_Effect[],3,FALSE),EffectName[],IFERROR(MATCH(UI!$B$1,EffectName[#Headers],0),2),FALSE))</f>
        <v/>
      </c>
      <c r="O399" t="str">
        <f t="shared" si="44"/>
        <v/>
      </c>
      <c r="P399">
        <v>0</v>
      </c>
      <c r="Q399" t="str">
        <f>IF(VALUE(P399)=0,"",VLOOKUP(VLOOKUP(P399,Tbl_Effect[],3,FALSE),EffectName[],IFERROR(MATCH(UI!$B$1,EffectName[#Headers],0),2),FALSE))</f>
        <v/>
      </c>
      <c r="R399" t="str">
        <f t="shared" si="45"/>
        <v/>
      </c>
      <c r="S399">
        <v>0</v>
      </c>
      <c r="T399" t="str">
        <f>IF(VALUE(S399)=0,"",VLOOKUP(VLOOKUP(S399,Tbl_Effect[],3,FALSE),EffectName[],IFERROR(MATCH(UI!$B$1,EffectName[#Headers],0),2),FALSE))</f>
        <v/>
      </c>
      <c r="U399" t="str">
        <f t="shared" si="46"/>
        <v/>
      </c>
      <c r="V399">
        <v>0</v>
      </c>
      <c r="W399" t="str">
        <f>IF(V399&lt;&gt;0,VLOOKUP(VLOOKUP(V399,Tbl_Effect[],3,FALSE),EffectName[],IFERROR(MATCH(UI!$B$1,EffectName[#Headers],0),2),FALSE),"")</f>
        <v/>
      </c>
      <c r="X399" t="str">
        <f t="shared" si="47"/>
        <v/>
      </c>
      <c r="Y399">
        <v>0</v>
      </c>
      <c r="Z399" t="str">
        <f>IF(Y399&lt;&gt;0,VLOOKUP(VLOOKUP(Y399,Tbl_Effect[],3,FALSE),EffectName[],IFERROR(MATCH(UI!$B$1,EffectName[#Headers],0),2),FALSE),"")</f>
        <v/>
      </c>
      <c r="AA399" t="str">
        <f t="shared" si="48"/>
        <v/>
      </c>
      <c r="AB399">
        <v>0</v>
      </c>
      <c r="AC399" t="str">
        <f>IF(AB399&lt;&gt;0,VLOOKUP(VLOOKUP(AB399,Tbl_Effect[],3,FALSE),EffectName[],IFERROR(MATCH(UI!$B$1,EffectName[#Headers],0),2),FALSE),"")</f>
        <v/>
      </c>
    </row>
    <row r="400" spans="8:29" x14ac:dyDescent="0.4">
      <c r="H400" t="str">
        <f t="shared" si="42"/>
        <v>1003122-遼闊的水滴情景 (藍)</v>
      </c>
      <c r="I400">
        <v>1003122</v>
      </c>
      <c r="J400" t="str">
        <f>_xlfn.IFNA(IF(I400&lt;&gt;0,VLOOKUP(VLOOKUP(I400,Tbl_Equip[],2,FALSE),Tbl_Color[],IFERROR(MATCH(UI!$B$1,Tbl_Color[#Headers],0),2),FALSE),""),"Unset")</f>
        <v>藍</v>
      </c>
      <c r="K400" t="str">
        <f>_xlfn.IFNA(IF(I400&lt;&gt;0,VLOOKUP(I400,ItemText[],IFERROR(MATCH(UI!$B$1,ItemText[#Headers],0),2),FALSE),""),"Unset")</f>
        <v>遼闊的水滴情景</v>
      </c>
      <c r="L400" t="str">
        <f t="shared" si="43"/>
        <v/>
      </c>
      <c r="M400">
        <v>0</v>
      </c>
      <c r="N400" t="str">
        <f>IF(VALUE(M400)=0,"",VLOOKUP(VLOOKUP(M400,Tbl_Effect[],3,FALSE),EffectName[],IFERROR(MATCH(UI!$B$1,EffectName[#Headers],0),2),FALSE))</f>
        <v/>
      </c>
      <c r="O400" t="str">
        <f t="shared" si="44"/>
        <v/>
      </c>
      <c r="P400">
        <v>0</v>
      </c>
      <c r="Q400" t="str">
        <f>IF(VALUE(P400)=0,"",VLOOKUP(VLOOKUP(P400,Tbl_Effect[],3,FALSE),EffectName[],IFERROR(MATCH(UI!$B$1,EffectName[#Headers],0),2),FALSE))</f>
        <v/>
      </c>
      <c r="R400" t="str">
        <f t="shared" si="45"/>
        <v/>
      </c>
      <c r="S400">
        <v>0</v>
      </c>
      <c r="T400" t="str">
        <f>IF(VALUE(S400)=0,"",VLOOKUP(VLOOKUP(S400,Tbl_Effect[],3,FALSE),EffectName[],IFERROR(MATCH(UI!$B$1,EffectName[#Headers],0),2),FALSE))</f>
        <v/>
      </c>
      <c r="U400" t="str">
        <f t="shared" si="46"/>
        <v/>
      </c>
      <c r="V400">
        <v>0</v>
      </c>
      <c r="W400" t="str">
        <f>IF(V400&lt;&gt;0,VLOOKUP(VLOOKUP(V400,Tbl_Effect[],3,FALSE),EffectName[],IFERROR(MATCH(UI!$B$1,EffectName[#Headers],0),2),FALSE),"")</f>
        <v/>
      </c>
      <c r="X400" t="str">
        <f t="shared" si="47"/>
        <v/>
      </c>
      <c r="Y400">
        <v>0</v>
      </c>
      <c r="Z400" t="str">
        <f>IF(Y400&lt;&gt;0,VLOOKUP(VLOOKUP(Y400,Tbl_Effect[],3,FALSE),EffectName[],IFERROR(MATCH(UI!$B$1,EffectName[#Headers],0),2),FALSE),"")</f>
        <v/>
      </c>
      <c r="AA400" t="str">
        <f t="shared" si="48"/>
        <v/>
      </c>
      <c r="AB400">
        <v>0</v>
      </c>
      <c r="AC400" t="str">
        <f>IF(AB400&lt;&gt;0,VLOOKUP(VLOOKUP(AB400,Tbl_Effect[],3,FALSE),EffectName[],IFERROR(MATCH(UI!$B$1,EffectName[#Headers],0),2),FALSE),"")</f>
        <v/>
      </c>
    </row>
    <row r="401" spans="8:29" x14ac:dyDescent="0.4">
      <c r="H401" t="str">
        <f t="shared" si="42"/>
        <v>1003200-細膩的光耀情景 (黃)</v>
      </c>
      <c r="I401">
        <v>1003200</v>
      </c>
      <c r="J401" t="str">
        <f>_xlfn.IFNA(IF(I401&lt;&gt;0,VLOOKUP(VLOOKUP(I401,Tbl_Equip[],2,FALSE),Tbl_Color[],IFERROR(MATCH(UI!$B$1,Tbl_Color[#Headers],0),2),FALSE),""),"Unset")</f>
        <v>黃</v>
      </c>
      <c r="K401" t="str">
        <f>_xlfn.IFNA(IF(I401&lt;&gt;0,VLOOKUP(I401,ItemText[],IFERROR(MATCH(UI!$B$1,ItemText[#Headers],0),2),FALSE),""),"Unset")</f>
        <v>細膩的光耀情景</v>
      </c>
      <c r="L401" t="str">
        <f t="shared" si="43"/>
        <v/>
      </c>
      <c r="M401">
        <v>0</v>
      </c>
      <c r="N401" t="str">
        <f>IF(VALUE(M401)=0,"",VLOOKUP(VLOOKUP(M401,Tbl_Effect[],3,FALSE),EffectName[],IFERROR(MATCH(UI!$B$1,EffectName[#Headers],0),2),FALSE))</f>
        <v/>
      </c>
      <c r="O401" t="str">
        <f t="shared" si="44"/>
        <v/>
      </c>
      <c r="P401">
        <v>0</v>
      </c>
      <c r="Q401" t="str">
        <f>IF(VALUE(P401)=0,"",VLOOKUP(VLOOKUP(P401,Tbl_Effect[],3,FALSE),EffectName[],IFERROR(MATCH(UI!$B$1,EffectName[#Headers],0),2),FALSE))</f>
        <v/>
      </c>
      <c r="R401" t="str">
        <f t="shared" si="45"/>
        <v/>
      </c>
      <c r="S401">
        <v>0</v>
      </c>
      <c r="T401" t="str">
        <f>IF(VALUE(S401)=0,"",VLOOKUP(VLOOKUP(S401,Tbl_Effect[],3,FALSE),EffectName[],IFERROR(MATCH(UI!$B$1,EffectName[#Headers],0),2),FALSE))</f>
        <v/>
      </c>
      <c r="U401" t="str">
        <f t="shared" si="46"/>
        <v/>
      </c>
      <c r="V401">
        <v>0</v>
      </c>
      <c r="W401" t="str">
        <f>IF(V401&lt;&gt;0,VLOOKUP(VLOOKUP(V401,Tbl_Effect[],3,FALSE),EffectName[],IFERROR(MATCH(UI!$B$1,EffectName[#Headers],0),2),FALSE),"")</f>
        <v/>
      </c>
      <c r="X401" t="str">
        <f t="shared" si="47"/>
        <v/>
      </c>
      <c r="Y401">
        <v>0</v>
      </c>
      <c r="Z401" t="str">
        <f>IF(Y401&lt;&gt;0,VLOOKUP(VLOOKUP(Y401,Tbl_Effect[],3,FALSE),EffectName[],IFERROR(MATCH(UI!$B$1,EffectName[#Headers],0),2),FALSE),"")</f>
        <v/>
      </c>
      <c r="AA401" t="str">
        <f t="shared" si="48"/>
        <v/>
      </c>
      <c r="AB401">
        <v>0</v>
      </c>
      <c r="AC401" t="str">
        <f>IF(AB401&lt;&gt;0,VLOOKUP(VLOOKUP(AB401,Tbl_Effect[],3,FALSE),EffectName[],IFERROR(MATCH(UI!$B$1,EffectName[#Headers],0),2),FALSE),"")</f>
        <v/>
      </c>
    </row>
    <row r="402" spans="8:29" x14ac:dyDescent="0.4">
      <c r="H402" t="str">
        <f t="shared" si="42"/>
        <v>1003201-端正的光耀情景 (黃)</v>
      </c>
      <c r="I402">
        <v>1003201</v>
      </c>
      <c r="J402" t="str">
        <f>_xlfn.IFNA(IF(I402&lt;&gt;0,VLOOKUP(VLOOKUP(I402,Tbl_Equip[],2,FALSE),Tbl_Color[],IFERROR(MATCH(UI!$B$1,Tbl_Color[#Headers],0),2),FALSE),""),"Unset")</f>
        <v>黃</v>
      </c>
      <c r="K402" t="str">
        <f>_xlfn.IFNA(IF(I402&lt;&gt;0,VLOOKUP(I402,ItemText[],IFERROR(MATCH(UI!$B$1,ItemText[#Headers],0),2),FALSE),""),"Unset")</f>
        <v>端正的光耀情景</v>
      </c>
      <c r="L402" t="str">
        <f t="shared" si="43"/>
        <v/>
      </c>
      <c r="M402">
        <v>0</v>
      </c>
      <c r="N402" t="str">
        <f>IF(VALUE(M402)=0,"",VLOOKUP(VLOOKUP(M402,Tbl_Effect[],3,FALSE),EffectName[],IFERROR(MATCH(UI!$B$1,EffectName[#Headers],0),2),FALSE))</f>
        <v/>
      </c>
      <c r="O402" t="str">
        <f t="shared" si="44"/>
        <v/>
      </c>
      <c r="P402">
        <v>0</v>
      </c>
      <c r="Q402" t="str">
        <f>IF(VALUE(P402)=0,"",VLOOKUP(VLOOKUP(P402,Tbl_Effect[],3,FALSE),EffectName[],IFERROR(MATCH(UI!$B$1,EffectName[#Headers],0),2),FALSE))</f>
        <v/>
      </c>
      <c r="R402" t="str">
        <f t="shared" si="45"/>
        <v/>
      </c>
      <c r="S402">
        <v>0</v>
      </c>
      <c r="T402" t="str">
        <f>IF(VALUE(S402)=0,"",VLOOKUP(VLOOKUP(S402,Tbl_Effect[],3,FALSE),EffectName[],IFERROR(MATCH(UI!$B$1,EffectName[#Headers],0),2),FALSE))</f>
        <v/>
      </c>
      <c r="U402" t="str">
        <f t="shared" si="46"/>
        <v/>
      </c>
      <c r="V402">
        <v>0</v>
      </c>
      <c r="W402" t="str">
        <f>IF(V402&lt;&gt;0,VLOOKUP(VLOOKUP(V402,Tbl_Effect[],3,FALSE),EffectName[],IFERROR(MATCH(UI!$B$1,EffectName[#Headers],0),2),FALSE),"")</f>
        <v/>
      </c>
      <c r="X402" t="str">
        <f t="shared" si="47"/>
        <v/>
      </c>
      <c r="Y402">
        <v>0</v>
      </c>
      <c r="Z402" t="str">
        <f>IF(Y402&lt;&gt;0,VLOOKUP(VLOOKUP(Y402,Tbl_Effect[],3,FALSE),EffectName[],IFERROR(MATCH(UI!$B$1,EffectName[#Headers],0),2),FALSE),"")</f>
        <v/>
      </c>
      <c r="AA402" t="str">
        <f t="shared" si="48"/>
        <v/>
      </c>
      <c r="AB402">
        <v>0</v>
      </c>
      <c r="AC402" t="str">
        <f>IF(AB402&lt;&gt;0,VLOOKUP(VLOOKUP(AB402,Tbl_Effect[],3,FALSE),EffectName[],IFERROR(MATCH(UI!$B$1,EffectName[#Headers],0),2),FALSE),"")</f>
        <v/>
      </c>
    </row>
    <row r="403" spans="8:29" x14ac:dyDescent="0.4">
      <c r="H403" t="str">
        <f t="shared" si="42"/>
        <v>1003202-遼闊的光耀情景 (黃)</v>
      </c>
      <c r="I403">
        <v>1003202</v>
      </c>
      <c r="J403" t="str">
        <f>_xlfn.IFNA(IF(I403&lt;&gt;0,VLOOKUP(VLOOKUP(I403,Tbl_Equip[],2,FALSE),Tbl_Color[],IFERROR(MATCH(UI!$B$1,Tbl_Color[#Headers],0),2),FALSE),""),"Unset")</f>
        <v>黃</v>
      </c>
      <c r="K403" t="str">
        <f>_xlfn.IFNA(IF(I403&lt;&gt;0,VLOOKUP(I403,ItemText[],IFERROR(MATCH(UI!$B$1,ItemText[#Headers],0),2),FALSE),""),"Unset")</f>
        <v>遼闊的光耀情景</v>
      </c>
      <c r="L403" t="str">
        <f t="shared" si="43"/>
        <v/>
      </c>
      <c r="M403">
        <v>0</v>
      </c>
      <c r="N403" t="str">
        <f>IF(VALUE(M403)=0,"",VLOOKUP(VLOOKUP(M403,Tbl_Effect[],3,FALSE),EffectName[],IFERROR(MATCH(UI!$B$1,EffectName[#Headers],0),2),FALSE))</f>
        <v/>
      </c>
      <c r="O403" t="str">
        <f t="shared" si="44"/>
        <v/>
      </c>
      <c r="P403">
        <v>0</v>
      </c>
      <c r="Q403" t="str">
        <f>IF(VALUE(P403)=0,"",VLOOKUP(VLOOKUP(P403,Tbl_Effect[],3,FALSE),EffectName[],IFERROR(MATCH(UI!$B$1,EffectName[#Headers],0),2),FALSE))</f>
        <v/>
      </c>
      <c r="R403" t="str">
        <f t="shared" si="45"/>
        <v/>
      </c>
      <c r="S403">
        <v>0</v>
      </c>
      <c r="T403" t="str">
        <f>IF(VALUE(S403)=0,"",VLOOKUP(VLOOKUP(S403,Tbl_Effect[],3,FALSE),EffectName[],IFERROR(MATCH(UI!$B$1,EffectName[#Headers],0),2),FALSE))</f>
        <v/>
      </c>
      <c r="U403" t="str">
        <f t="shared" si="46"/>
        <v/>
      </c>
      <c r="V403">
        <v>0</v>
      </c>
      <c r="W403" t="str">
        <f>IF(V403&lt;&gt;0,VLOOKUP(VLOOKUP(V403,Tbl_Effect[],3,FALSE),EffectName[],IFERROR(MATCH(UI!$B$1,EffectName[#Headers],0),2),FALSE),"")</f>
        <v/>
      </c>
      <c r="X403" t="str">
        <f t="shared" si="47"/>
        <v/>
      </c>
      <c r="Y403">
        <v>0</v>
      </c>
      <c r="Z403" t="str">
        <f>IF(Y403&lt;&gt;0,VLOOKUP(VLOOKUP(Y403,Tbl_Effect[],3,FALSE),EffectName[],IFERROR(MATCH(UI!$B$1,EffectName[#Headers],0),2),FALSE),"")</f>
        <v/>
      </c>
      <c r="AA403" t="str">
        <f t="shared" si="48"/>
        <v/>
      </c>
      <c r="AB403">
        <v>0</v>
      </c>
      <c r="AC403" t="str">
        <f>IF(AB403&lt;&gt;0,VLOOKUP(VLOOKUP(AB403,Tbl_Effect[],3,FALSE),EffectName[],IFERROR(MATCH(UI!$B$1,EffectName[#Headers],0),2),FALSE),"")</f>
        <v/>
      </c>
    </row>
    <row r="404" spans="8:29" x14ac:dyDescent="0.4">
      <c r="H404" t="str">
        <f t="shared" si="42"/>
        <v>1003210-細膩的光耀情景 (黃)</v>
      </c>
      <c r="I404">
        <v>1003210</v>
      </c>
      <c r="J404" t="str">
        <f>_xlfn.IFNA(IF(I404&lt;&gt;0,VLOOKUP(VLOOKUP(I404,Tbl_Equip[],2,FALSE),Tbl_Color[],IFERROR(MATCH(UI!$B$1,Tbl_Color[#Headers],0),2),FALSE),""),"Unset")</f>
        <v>黃</v>
      </c>
      <c r="K404" t="str">
        <f>_xlfn.IFNA(IF(I404&lt;&gt;0,VLOOKUP(I404,ItemText[],IFERROR(MATCH(UI!$B$1,ItemText[#Headers],0),2),FALSE),""),"Unset")</f>
        <v>細膩的光耀情景</v>
      </c>
      <c r="L404" t="str">
        <f t="shared" si="43"/>
        <v/>
      </c>
      <c r="M404">
        <v>0</v>
      </c>
      <c r="N404" t="str">
        <f>IF(VALUE(M404)=0,"",VLOOKUP(VLOOKUP(M404,Tbl_Effect[],3,FALSE),EffectName[],IFERROR(MATCH(UI!$B$1,EffectName[#Headers],0),2),FALSE))</f>
        <v/>
      </c>
      <c r="O404" t="str">
        <f t="shared" si="44"/>
        <v/>
      </c>
      <c r="P404">
        <v>0</v>
      </c>
      <c r="Q404" t="str">
        <f>IF(VALUE(P404)=0,"",VLOOKUP(VLOOKUP(P404,Tbl_Effect[],3,FALSE),EffectName[],IFERROR(MATCH(UI!$B$1,EffectName[#Headers],0),2),FALSE))</f>
        <v/>
      </c>
      <c r="R404" t="str">
        <f t="shared" si="45"/>
        <v/>
      </c>
      <c r="S404">
        <v>0</v>
      </c>
      <c r="T404" t="str">
        <f>IF(VALUE(S404)=0,"",VLOOKUP(VLOOKUP(S404,Tbl_Effect[],3,FALSE),EffectName[],IFERROR(MATCH(UI!$B$1,EffectName[#Headers],0),2),FALSE))</f>
        <v/>
      </c>
      <c r="U404" t="str">
        <f t="shared" si="46"/>
        <v/>
      </c>
      <c r="V404">
        <v>0</v>
      </c>
      <c r="W404" t="str">
        <f>IF(V404&lt;&gt;0,VLOOKUP(VLOOKUP(V404,Tbl_Effect[],3,FALSE),EffectName[],IFERROR(MATCH(UI!$B$1,EffectName[#Headers],0),2),FALSE),"")</f>
        <v/>
      </c>
      <c r="X404" t="str">
        <f t="shared" si="47"/>
        <v/>
      </c>
      <c r="Y404">
        <v>0</v>
      </c>
      <c r="Z404" t="str">
        <f>IF(Y404&lt;&gt;0,VLOOKUP(VLOOKUP(Y404,Tbl_Effect[],3,FALSE),EffectName[],IFERROR(MATCH(UI!$B$1,EffectName[#Headers],0),2),FALSE),"")</f>
        <v/>
      </c>
      <c r="AA404" t="str">
        <f t="shared" si="48"/>
        <v/>
      </c>
      <c r="AB404">
        <v>0</v>
      </c>
      <c r="AC404" t="str">
        <f>IF(AB404&lt;&gt;0,VLOOKUP(VLOOKUP(AB404,Tbl_Effect[],3,FALSE),EffectName[],IFERROR(MATCH(UI!$B$1,EffectName[#Headers],0),2),FALSE),"")</f>
        <v/>
      </c>
    </row>
    <row r="405" spans="8:29" x14ac:dyDescent="0.4">
      <c r="H405" t="str">
        <f t="shared" si="42"/>
        <v>1003211-端正的光耀情景 (黃)</v>
      </c>
      <c r="I405">
        <v>1003211</v>
      </c>
      <c r="J405" t="str">
        <f>_xlfn.IFNA(IF(I405&lt;&gt;0,VLOOKUP(VLOOKUP(I405,Tbl_Equip[],2,FALSE),Tbl_Color[],IFERROR(MATCH(UI!$B$1,Tbl_Color[#Headers],0),2),FALSE),""),"Unset")</f>
        <v>黃</v>
      </c>
      <c r="K405" t="str">
        <f>_xlfn.IFNA(IF(I405&lt;&gt;0,VLOOKUP(I405,ItemText[],IFERROR(MATCH(UI!$B$1,ItemText[#Headers],0),2),FALSE),""),"Unset")</f>
        <v>端正的光耀情景</v>
      </c>
      <c r="L405" t="str">
        <f t="shared" si="43"/>
        <v/>
      </c>
      <c r="M405">
        <v>0</v>
      </c>
      <c r="N405" t="str">
        <f>IF(VALUE(M405)=0,"",VLOOKUP(VLOOKUP(M405,Tbl_Effect[],3,FALSE),EffectName[],IFERROR(MATCH(UI!$B$1,EffectName[#Headers],0),2),FALSE))</f>
        <v/>
      </c>
      <c r="O405" t="str">
        <f t="shared" si="44"/>
        <v/>
      </c>
      <c r="P405">
        <v>0</v>
      </c>
      <c r="Q405" t="str">
        <f>IF(VALUE(P405)=0,"",VLOOKUP(VLOOKUP(P405,Tbl_Effect[],3,FALSE),EffectName[],IFERROR(MATCH(UI!$B$1,EffectName[#Headers],0),2),FALSE))</f>
        <v/>
      </c>
      <c r="R405" t="str">
        <f t="shared" si="45"/>
        <v/>
      </c>
      <c r="S405">
        <v>0</v>
      </c>
      <c r="T405" t="str">
        <f>IF(VALUE(S405)=0,"",VLOOKUP(VLOOKUP(S405,Tbl_Effect[],3,FALSE),EffectName[],IFERROR(MATCH(UI!$B$1,EffectName[#Headers],0),2),FALSE))</f>
        <v/>
      </c>
      <c r="U405" t="str">
        <f t="shared" si="46"/>
        <v/>
      </c>
      <c r="V405">
        <v>0</v>
      </c>
      <c r="W405" t="str">
        <f>IF(V405&lt;&gt;0,VLOOKUP(VLOOKUP(V405,Tbl_Effect[],3,FALSE),EffectName[],IFERROR(MATCH(UI!$B$1,EffectName[#Headers],0),2),FALSE),"")</f>
        <v/>
      </c>
      <c r="X405" t="str">
        <f t="shared" si="47"/>
        <v/>
      </c>
      <c r="Y405">
        <v>0</v>
      </c>
      <c r="Z405" t="str">
        <f>IF(Y405&lt;&gt;0,VLOOKUP(VLOOKUP(Y405,Tbl_Effect[],3,FALSE),EffectName[],IFERROR(MATCH(UI!$B$1,EffectName[#Headers],0),2),FALSE),"")</f>
        <v/>
      </c>
      <c r="AA405" t="str">
        <f t="shared" si="48"/>
        <v/>
      </c>
      <c r="AB405">
        <v>0</v>
      </c>
      <c r="AC405" t="str">
        <f>IF(AB405&lt;&gt;0,VLOOKUP(VLOOKUP(AB405,Tbl_Effect[],3,FALSE),EffectName[],IFERROR(MATCH(UI!$B$1,EffectName[#Headers],0),2),FALSE),"")</f>
        <v/>
      </c>
    </row>
    <row r="406" spans="8:29" x14ac:dyDescent="0.4">
      <c r="H406" t="str">
        <f t="shared" si="42"/>
        <v>1003212-遼闊的光耀情景 (黃)</v>
      </c>
      <c r="I406">
        <v>1003212</v>
      </c>
      <c r="J406" t="str">
        <f>_xlfn.IFNA(IF(I406&lt;&gt;0,VLOOKUP(VLOOKUP(I406,Tbl_Equip[],2,FALSE),Tbl_Color[],IFERROR(MATCH(UI!$B$1,Tbl_Color[#Headers],0),2),FALSE),""),"Unset")</f>
        <v>黃</v>
      </c>
      <c r="K406" t="str">
        <f>_xlfn.IFNA(IF(I406&lt;&gt;0,VLOOKUP(I406,ItemText[],IFERROR(MATCH(UI!$B$1,ItemText[#Headers],0),2),FALSE),""),"Unset")</f>
        <v>遼闊的光耀情景</v>
      </c>
      <c r="L406" t="str">
        <f t="shared" si="43"/>
        <v/>
      </c>
      <c r="M406">
        <v>0</v>
      </c>
      <c r="N406" t="str">
        <f>IF(VALUE(M406)=0,"",VLOOKUP(VLOOKUP(M406,Tbl_Effect[],3,FALSE),EffectName[],IFERROR(MATCH(UI!$B$1,EffectName[#Headers],0),2),FALSE))</f>
        <v/>
      </c>
      <c r="O406" t="str">
        <f t="shared" si="44"/>
        <v/>
      </c>
      <c r="P406">
        <v>0</v>
      </c>
      <c r="Q406" t="str">
        <f>IF(VALUE(P406)=0,"",VLOOKUP(VLOOKUP(P406,Tbl_Effect[],3,FALSE),EffectName[],IFERROR(MATCH(UI!$B$1,EffectName[#Headers],0),2),FALSE))</f>
        <v/>
      </c>
      <c r="R406" t="str">
        <f t="shared" si="45"/>
        <v/>
      </c>
      <c r="S406">
        <v>0</v>
      </c>
      <c r="T406" t="str">
        <f>IF(VALUE(S406)=0,"",VLOOKUP(VLOOKUP(S406,Tbl_Effect[],3,FALSE),EffectName[],IFERROR(MATCH(UI!$B$1,EffectName[#Headers],0),2),FALSE))</f>
        <v/>
      </c>
      <c r="U406" t="str">
        <f t="shared" si="46"/>
        <v/>
      </c>
      <c r="V406">
        <v>0</v>
      </c>
      <c r="W406" t="str">
        <f>IF(V406&lt;&gt;0,VLOOKUP(VLOOKUP(V406,Tbl_Effect[],3,FALSE),EffectName[],IFERROR(MATCH(UI!$B$1,EffectName[#Headers],0),2),FALSE),"")</f>
        <v/>
      </c>
      <c r="X406" t="str">
        <f t="shared" si="47"/>
        <v/>
      </c>
      <c r="Y406">
        <v>0</v>
      </c>
      <c r="Z406" t="str">
        <f>IF(Y406&lt;&gt;0,VLOOKUP(VLOOKUP(Y406,Tbl_Effect[],3,FALSE),EffectName[],IFERROR(MATCH(UI!$B$1,EffectName[#Headers],0),2),FALSE),"")</f>
        <v/>
      </c>
      <c r="AA406" t="str">
        <f t="shared" si="48"/>
        <v/>
      </c>
      <c r="AB406">
        <v>0</v>
      </c>
      <c r="AC406" t="str">
        <f>IF(AB406&lt;&gt;0,VLOOKUP(VLOOKUP(AB406,Tbl_Effect[],3,FALSE),EffectName[],IFERROR(MATCH(UI!$B$1,EffectName[#Headers],0),2),FALSE),"")</f>
        <v/>
      </c>
    </row>
    <row r="407" spans="8:29" x14ac:dyDescent="0.4">
      <c r="H407" t="str">
        <f t="shared" si="42"/>
        <v>1003220-細膩的光耀情景 (黃)</v>
      </c>
      <c r="I407">
        <v>1003220</v>
      </c>
      <c r="J407" t="str">
        <f>_xlfn.IFNA(IF(I407&lt;&gt;0,VLOOKUP(VLOOKUP(I407,Tbl_Equip[],2,FALSE),Tbl_Color[],IFERROR(MATCH(UI!$B$1,Tbl_Color[#Headers],0),2),FALSE),""),"Unset")</f>
        <v>黃</v>
      </c>
      <c r="K407" t="str">
        <f>_xlfn.IFNA(IF(I407&lt;&gt;0,VLOOKUP(I407,ItemText[],IFERROR(MATCH(UI!$B$1,ItemText[#Headers],0),2),FALSE),""),"Unset")</f>
        <v>細膩的光耀情景</v>
      </c>
      <c r="L407" t="str">
        <f t="shared" si="43"/>
        <v/>
      </c>
      <c r="M407">
        <v>0</v>
      </c>
      <c r="N407" t="str">
        <f>IF(VALUE(M407)=0,"",VLOOKUP(VLOOKUP(M407,Tbl_Effect[],3,FALSE),EffectName[],IFERROR(MATCH(UI!$B$1,EffectName[#Headers],0),2),FALSE))</f>
        <v/>
      </c>
      <c r="O407" t="str">
        <f t="shared" si="44"/>
        <v/>
      </c>
      <c r="P407">
        <v>0</v>
      </c>
      <c r="Q407" t="str">
        <f>IF(VALUE(P407)=0,"",VLOOKUP(VLOOKUP(P407,Tbl_Effect[],3,FALSE),EffectName[],IFERROR(MATCH(UI!$B$1,EffectName[#Headers],0),2),FALSE))</f>
        <v/>
      </c>
      <c r="R407" t="str">
        <f t="shared" si="45"/>
        <v/>
      </c>
      <c r="S407">
        <v>0</v>
      </c>
      <c r="T407" t="str">
        <f>IF(VALUE(S407)=0,"",VLOOKUP(VLOOKUP(S407,Tbl_Effect[],3,FALSE),EffectName[],IFERROR(MATCH(UI!$B$1,EffectName[#Headers],0),2),FALSE))</f>
        <v/>
      </c>
      <c r="U407" t="str">
        <f t="shared" si="46"/>
        <v/>
      </c>
      <c r="V407">
        <v>0</v>
      </c>
      <c r="W407" t="str">
        <f>IF(V407&lt;&gt;0,VLOOKUP(VLOOKUP(V407,Tbl_Effect[],3,FALSE),EffectName[],IFERROR(MATCH(UI!$B$1,EffectName[#Headers],0),2),FALSE),"")</f>
        <v/>
      </c>
      <c r="X407" t="str">
        <f t="shared" si="47"/>
        <v/>
      </c>
      <c r="Y407">
        <v>0</v>
      </c>
      <c r="Z407" t="str">
        <f>IF(Y407&lt;&gt;0,VLOOKUP(VLOOKUP(Y407,Tbl_Effect[],3,FALSE),EffectName[],IFERROR(MATCH(UI!$B$1,EffectName[#Headers],0),2),FALSE),"")</f>
        <v/>
      </c>
      <c r="AA407" t="str">
        <f t="shared" si="48"/>
        <v/>
      </c>
      <c r="AB407">
        <v>0</v>
      </c>
      <c r="AC407" t="str">
        <f>IF(AB407&lt;&gt;0,VLOOKUP(VLOOKUP(AB407,Tbl_Effect[],3,FALSE),EffectName[],IFERROR(MATCH(UI!$B$1,EffectName[#Headers],0),2),FALSE),"")</f>
        <v/>
      </c>
    </row>
    <row r="408" spans="8:29" x14ac:dyDescent="0.4">
      <c r="H408" t="str">
        <f t="shared" si="42"/>
        <v>1003221-端正的光耀情景 (黃)</v>
      </c>
      <c r="I408">
        <v>1003221</v>
      </c>
      <c r="J408" t="str">
        <f>_xlfn.IFNA(IF(I408&lt;&gt;0,VLOOKUP(VLOOKUP(I408,Tbl_Equip[],2,FALSE),Tbl_Color[],IFERROR(MATCH(UI!$B$1,Tbl_Color[#Headers],0),2),FALSE),""),"Unset")</f>
        <v>黃</v>
      </c>
      <c r="K408" t="str">
        <f>_xlfn.IFNA(IF(I408&lt;&gt;0,VLOOKUP(I408,ItemText[],IFERROR(MATCH(UI!$B$1,ItemText[#Headers],0),2),FALSE),""),"Unset")</f>
        <v>端正的光耀情景</v>
      </c>
      <c r="L408" t="str">
        <f t="shared" si="43"/>
        <v/>
      </c>
      <c r="M408">
        <v>0</v>
      </c>
      <c r="N408" t="str">
        <f>IF(VALUE(M408)=0,"",VLOOKUP(VLOOKUP(M408,Tbl_Effect[],3,FALSE),EffectName[],IFERROR(MATCH(UI!$B$1,EffectName[#Headers],0),2),FALSE))</f>
        <v/>
      </c>
      <c r="O408" t="str">
        <f t="shared" si="44"/>
        <v/>
      </c>
      <c r="P408">
        <v>0</v>
      </c>
      <c r="Q408" t="str">
        <f>IF(VALUE(P408)=0,"",VLOOKUP(VLOOKUP(P408,Tbl_Effect[],3,FALSE),EffectName[],IFERROR(MATCH(UI!$B$1,EffectName[#Headers],0),2),FALSE))</f>
        <v/>
      </c>
      <c r="R408" t="str">
        <f t="shared" si="45"/>
        <v/>
      </c>
      <c r="S408">
        <v>0</v>
      </c>
      <c r="T408" t="str">
        <f>IF(VALUE(S408)=0,"",VLOOKUP(VLOOKUP(S408,Tbl_Effect[],3,FALSE),EffectName[],IFERROR(MATCH(UI!$B$1,EffectName[#Headers],0),2),FALSE))</f>
        <v/>
      </c>
      <c r="U408" t="str">
        <f t="shared" si="46"/>
        <v/>
      </c>
      <c r="V408">
        <v>0</v>
      </c>
      <c r="W408" t="str">
        <f>IF(V408&lt;&gt;0,VLOOKUP(VLOOKUP(V408,Tbl_Effect[],3,FALSE),EffectName[],IFERROR(MATCH(UI!$B$1,EffectName[#Headers],0),2),FALSE),"")</f>
        <v/>
      </c>
      <c r="X408" t="str">
        <f t="shared" si="47"/>
        <v/>
      </c>
      <c r="Y408">
        <v>0</v>
      </c>
      <c r="Z408" t="str">
        <f>IF(Y408&lt;&gt;0,VLOOKUP(VLOOKUP(Y408,Tbl_Effect[],3,FALSE),EffectName[],IFERROR(MATCH(UI!$B$1,EffectName[#Headers],0),2),FALSE),"")</f>
        <v/>
      </c>
      <c r="AA408" t="str">
        <f t="shared" si="48"/>
        <v/>
      </c>
      <c r="AB408">
        <v>0</v>
      </c>
      <c r="AC408" t="str">
        <f>IF(AB408&lt;&gt;0,VLOOKUP(VLOOKUP(AB408,Tbl_Effect[],3,FALSE),EffectName[],IFERROR(MATCH(UI!$B$1,EffectName[#Headers],0),2),FALSE),"")</f>
        <v/>
      </c>
    </row>
    <row r="409" spans="8:29" x14ac:dyDescent="0.4">
      <c r="H409" t="str">
        <f t="shared" si="42"/>
        <v>1003222-遼闊的光耀情景 (黃)</v>
      </c>
      <c r="I409">
        <v>1003222</v>
      </c>
      <c r="J409" t="str">
        <f>_xlfn.IFNA(IF(I409&lt;&gt;0,VLOOKUP(VLOOKUP(I409,Tbl_Equip[],2,FALSE),Tbl_Color[],IFERROR(MATCH(UI!$B$1,Tbl_Color[#Headers],0),2),FALSE),""),"Unset")</f>
        <v>黃</v>
      </c>
      <c r="K409" t="str">
        <f>_xlfn.IFNA(IF(I409&lt;&gt;0,VLOOKUP(I409,ItemText[],IFERROR(MATCH(UI!$B$1,ItemText[#Headers],0),2),FALSE),""),"Unset")</f>
        <v>遼闊的光耀情景</v>
      </c>
      <c r="L409" t="str">
        <f t="shared" si="43"/>
        <v/>
      </c>
      <c r="M409">
        <v>0</v>
      </c>
      <c r="N409" t="str">
        <f>IF(VALUE(M409)=0,"",VLOOKUP(VLOOKUP(M409,Tbl_Effect[],3,FALSE),EffectName[],IFERROR(MATCH(UI!$B$1,EffectName[#Headers],0),2),FALSE))</f>
        <v/>
      </c>
      <c r="O409" t="str">
        <f t="shared" si="44"/>
        <v/>
      </c>
      <c r="P409">
        <v>0</v>
      </c>
      <c r="Q409" t="str">
        <f>IF(VALUE(P409)=0,"",VLOOKUP(VLOOKUP(P409,Tbl_Effect[],3,FALSE),EffectName[],IFERROR(MATCH(UI!$B$1,EffectName[#Headers],0),2),FALSE))</f>
        <v/>
      </c>
      <c r="R409" t="str">
        <f t="shared" si="45"/>
        <v/>
      </c>
      <c r="S409">
        <v>0</v>
      </c>
      <c r="T409" t="str">
        <f>IF(VALUE(S409)=0,"",VLOOKUP(VLOOKUP(S409,Tbl_Effect[],3,FALSE),EffectName[],IFERROR(MATCH(UI!$B$1,EffectName[#Headers],0),2),FALSE))</f>
        <v/>
      </c>
      <c r="U409" t="str">
        <f t="shared" si="46"/>
        <v/>
      </c>
      <c r="V409">
        <v>0</v>
      </c>
      <c r="W409" t="str">
        <f>IF(V409&lt;&gt;0,VLOOKUP(VLOOKUP(V409,Tbl_Effect[],3,FALSE),EffectName[],IFERROR(MATCH(UI!$B$1,EffectName[#Headers],0),2),FALSE),"")</f>
        <v/>
      </c>
      <c r="X409" t="str">
        <f t="shared" si="47"/>
        <v/>
      </c>
      <c r="Y409">
        <v>0</v>
      </c>
      <c r="Z409" t="str">
        <f>IF(Y409&lt;&gt;0,VLOOKUP(VLOOKUP(Y409,Tbl_Effect[],3,FALSE),EffectName[],IFERROR(MATCH(UI!$B$1,EffectName[#Headers],0),2),FALSE),"")</f>
        <v/>
      </c>
      <c r="AA409" t="str">
        <f t="shared" si="48"/>
        <v/>
      </c>
      <c r="AB409">
        <v>0</v>
      </c>
      <c r="AC409" t="str">
        <f>IF(AB409&lt;&gt;0,VLOOKUP(VLOOKUP(AB409,Tbl_Effect[],3,FALSE),EffectName[],IFERROR(MATCH(UI!$B$1,EffectName[#Headers],0),2),FALSE),"")</f>
        <v/>
      </c>
    </row>
    <row r="410" spans="8:29" x14ac:dyDescent="0.4">
      <c r="H410" t="str">
        <f t="shared" si="42"/>
        <v>1003300-細膩的幽靜情景 (綠)</v>
      </c>
      <c r="I410">
        <v>1003300</v>
      </c>
      <c r="J410" t="str">
        <f>_xlfn.IFNA(IF(I410&lt;&gt;0,VLOOKUP(VLOOKUP(I410,Tbl_Equip[],2,FALSE),Tbl_Color[],IFERROR(MATCH(UI!$B$1,Tbl_Color[#Headers],0),2),FALSE),""),"Unset")</f>
        <v>綠</v>
      </c>
      <c r="K410" t="str">
        <f>_xlfn.IFNA(IF(I410&lt;&gt;0,VLOOKUP(I410,ItemText[],IFERROR(MATCH(UI!$B$1,ItemText[#Headers],0),2),FALSE),""),"Unset")</f>
        <v>細膩的幽靜情景</v>
      </c>
      <c r="L410" t="str">
        <f t="shared" si="43"/>
        <v/>
      </c>
      <c r="M410">
        <v>0</v>
      </c>
      <c r="N410" t="str">
        <f>IF(VALUE(M410)=0,"",VLOOKUP(VLOOKUP(M410,Tbl_Effect[],3,FALSE),EffectName[],IFERROR(MATCH(UI!$B$1,EffectName[#Headers],0),2),FALSE))</f>
        <v/>
      </c>
      <c r="O410" t="str">
        <f t="shared" si="44"/>
        <v/>
      </c>
      <c r="P410">
        <v>0</v>
      </c>
      <c r="Q410" t="str">
        <f>IF(VALUE(P410)=0,"",VLOOKUP(VLOOKUP(P410,Tbl_Effect[],3,FALSE),EffectName[],IFERROR(MATCH(UI!$B$1,EffectName[#Headers],0),2),FALSE))</f>
        <v/>
      </c>
      <c r="R410" t="str">
        <f t="shared" si="45"/>
        <v/>
      </c>
      <c r="S410">
        <v>0</v>
      </c>
      <c r="T410" t="str">
        <f>IF(VALUE(S410)=0,"",VLOOKUP(VLOOKUP(S410,Tbl_Effect[],3,FALSE),EffectName[],IFERROR(MATCH(UI!$B$1,EffectName[#Headers],0),2),FALSE))</f>
        <v/>
      </c>
      <c r="U410" t="str">
        <f t="shared" si="46"/>
        <v/>
      </c>
      <c r="V410">
        <v>0</v>
      </c>
      <c r="W410" t="str">
        <f>IF(V410&lt;&gt;0,VLOOKUP(VLOOKUP(V410,Tbl_Effect[],3,FALSE),EffectName[],IFERROR(MATCH(UI!$B$1,EffectName[#Headers],0),2),FALSE),"")</f>
        <v/>
      </c>
      <c r="X410" t="str">
        <f t="shared" si="47"/>
        <v/>
      </c>
      <c r="Y410">
        <v>0</v>
      </c>
      <c r="Z410" t="str">
        <f>IF(Y410&lt;&gt;0,VLOOKUP(VLOOKUP(Y410,Tbl_Effect[],3,FALSE),EffectName[],IFERROR(MATCH(UI!$B$1,EffectName[#Headers],0),2),FALSE),"")</f>
        <v/>
      </c>
      <c r="AA410" t="str">
        <f t="shared" si="48"/>
        <v/>
      </c>
      <c r="AB410">
        <v>0</v>
      </c>
      <c r="AC410" t="str">
        <f>IF(AB410&lt;&gt;0,VLOOKUP(VLOOKUP(AB410,Tbl_Effect[],3,FALSE),EffectName[],IFERROR(MATCH(UI!$B$1,EffectName[#Headers],0),2),FALSE),"")</f>
        <v/>
      </c>
    </row>
    <row r="411" spans="8:29" x14ac:dyDescent="0.4">
      <c r="H411" t="str">
        <f t="shared" si="42"/>
        <v>1003301-端正的幽靜情景 (綠)</v>
      </c>
      <c r="I411">
        <v>1003301</v>
      </c>
      <c r="J411" t="str">
        <f>_xlfn.IFNA(IF(I411&lt;&gt;0,VLOOKUP(VLOOKUP(I411,Tbl_Equip[],2,FALSE),Tbl_Color[],IFERROR(MATCH(UI!$B$1,Tbl_Color[#Headers],0),2),FALSE),""),"Unset")</f>
        <v>綠</v>
      </c>
      <c r="K411" t="str">
        <f>_xlfn.IFNA(IF(I411&lt;&gt;0,VLOOKUP(I411,ItemText[],IFERROR(MATCH(UI!$B$1,ItemText[#Headers],0),2),FALSE),""),"Unset")</f>
        <v>端正的幽靜情景</v>
      </c>
      <c r="L411" t="str">
        <f t="shared" si="43"/>
        <v/>
      </c>
      <c r="M411">
        <v>0</v>
      </c>
      <c r="N411" t="str">
        <f>IF(VALUE(M411)=0,"",VLOOKUP(VLOOKUP(M411,Tbl_Effect[],3,FALSE),EffectName[],IFERROR(MATCH(UI!$B$1,EffectName[#Headers],0),2),FALSE))</f>
        <v/>
      </c>
      <c r="O411" t="str">
        <f t="shared" si="44"/>
        <v/>
      </c>
      <c r="P411">
        <v>0</v>
      </c>
      <c r="Q411" t="str">
        <f>IF(VALUE(P411)=0,"",VLOOKUP(VLOOKUP(P411,Tbl_Effect[],3,FALSE),EffectName[],IFERROR(MATCH(UI!$B$1,EffectName[#Headers],0),2),FALSE))</f>
        <v/>
      </c>
      <c r="R411" t="str">
        <f t="shared" si="45"/>
        <v/>
      </c>
      <c r="S411">
        <v>0</v>
      </c>
      <c r="T411" t="str">
        <f>IF(VALUE(S411)=0,"",VLOOKUP(VLOOKUP(S411,Tbl_Effect[],3,FALSE),EffectName[],IFERROR(MATCH(UI!$B$1,EffectName[#Headers],0),2),FALSE))</f>
        <v/>
      </c>
      <c r="U411" t="str">
        <f t="shared" si="46"/>
        <v/>
      </c>
      <c r="V411">
        <v>0</v>
      </c>
      <c r="W411" t="str">
        <f>IF(V411&lt;&gt;0,VLOOKUP(VLOOKUP(V411,Tbl_Effect[],3,FALSE),EffectName[],IFERROR(MATCH(UI!$B$1,EffectName[#Headers],0),2),FALSE),"")</f>
        <v/>
      </c>
      <c r="X411" t="str">
        <f t="shared" si="47"/>
        <v/>
      </c>
      <c r="Y411">
        <v>0</v>
      </c>
      <c r="Z411" t="str">
        <f>IF(Y411&lt;&gt;0,VLOOKUP(VLOOKUP(Y411,Tbl_Effect[],3,FALSE),EffectName[],IFERROR(MATCH(UI!$B$1,EffectName[#Headers],0),2),FALSE),"")</f>
        <v/>
      </c>
      <c r="AA411" t="str">
        <f t="shared" si="48"/>
        <v/>
      </c>
      <c r="AB411">
        <v>0</v>
      </c>
      <c r="AC411" t="str">
        <f>IF(AB411&lt;&gt;0,VLOOKUP(VLOOKUP(AB411,Tbl_Effect[],3,FALSE),EffectName[],IFERROR(MATCH(UI!$B$1,EffectName[#Headers],0),2),FALSE),"")</f>
        <v/>
      </c>
    </row>
    <row r="412" spans="8:29" x14ac:dyDescent="0.4">
      <c r="H412" t="str">
        <f t="shared" si="42"/>
        <v>1003302-遼闊的幽靜情景 (綠)</v>
      </c>
      <c r="I412">
        <v>1003302</v>
      </c>
      <c r="J412" t="str">
        <f>_xlfn.IFNA(IF(I412&lt;&gt;0,VLOOKUP(VLOOKUP(I412,Tbl_Equip[],2,FALSE),Tbl_Color[],IFERROR(MATCH(UI!$B$1,Tbl_Color[#Headers],0),2),FALSE),""),"Unset")</f>
        <v>綠</v>
      </c>
      <c r="K412" t="str">
        <f>_xlfn.IFNA(IF(I412&lt;&gt;0,VLOOKUP(I412,ItemText[],IFERROR(MATCH(UI!$B$1,ItemText[#Headers],0),2),FALSE),""),"Unset")</f>
        <v>遼闊的幽靜情景</v>
      </c>
      <c r="L412" t="str">
        <f t="shared" si="43"/>
        <v/>
      </c>
      <c r="M412">
        <v>0</v>
      </c>
      <c r="N412" t="str">
        <f>IF(VALUE(M412)=0,"",VLOOKUP(VLOOKUP(M412,Tbl_Effect[],3,FALSE),EffectName[],IFERROR(MATCH(UI!$B$1,EffectName[#Headers],0),2),FALSE))</f>
        <v/>
      </c>
      <c r="O412" t="str">
        <f t="shared" si="44"/>
        <v/>
      </c>
      <c r="P412">
        <v>0</v>
      </c>
      <c r="Q412" t="str">
        <f>IF(VALUE(P412)=0,"",VLOOKUP(VLOOKUP(P412,Tbl_Effect[],3,FALSE),EffectName[],IFERROR(MATCH(UI!$B$1,EffectName[#Headers],0),2),FALSE))</f>
        <v/>
      </c>
      <c r="R412" t="str">
        <f t="shared" si="45"/>
        <v/>
      </c>
      <c r="S412">
        <v>0</v>
      </c>
      <c r="T412" t="str">
        <f>IF(VALUE(S412)=0,"",VLOOKUP(VLOOKUP(S412,Tbl_Effect[],3,FALSE),EffectName[],IFERROR(MATCH(UI!$B$1,EffectName[#Headers],0),2),FALSE))</f>
        <v/>
      </c>
      <c r="U412" t="str">
        <f t="shared" si="46"/>
        <v/>
      </c>
      <c r="V412">
        <v>0</v>
      </c>
      <c r="W412" t="str">
        <f>IF(V412&lt;&gt;0,VLOOKUP(VLOOKUP(V412,Tbl_Effect[],3,FALSE),EffectName[],IFERROR(MATCH(UI!$B$1,EffectName[#Headers],0),2),FALSE),"")</f>
        <v/>
      </c>
      <c r="X412" t="str">
        <f t="shared" si="47"/>
        <v/>
      </c>
      <c r="Y412">
        <v>0</v>
      </c>
      <c r="Z412" t="str">
        <f>IF(Y412&lt;&gt;0,VLOOKUP(VLOOKUP(Y412,Tbl_Effect[],3,FALSE),EffectName[],IFERROR(MATCH(UI!$B$1,EffectName[#Headers],0),2),FALSE),"")</f>
        <v/>
      </c>
      <c r="AA412" t="str">
        <f t="shared" si="48"/>
        <v/>
      </c>
      <c r="AB412">
        <v>0</v>
      </c>
      <c r="AC412" t="str">
        <f>IF(AB412&lt;&gt;0,VLOOKUP(VLOOKUP(AB412,Tbl_Effect[],3,FALSE),EffectName[],IFERROR(MATCH(UI!$B$1,EffectName[#Headers],0),2),FALSE),"")</f>
        <v/>
      </c>
    </row>
    <row r="413" spans="8:29" x14ac:dyDescent="0.4">
      <c r="H413" t="str">
        <f t="shared" si="42"/>
        <v>1003310-細膩的幽靜情景 (綠)</v>
      </c>
      <c r="I413">
        <v>1003310</v>
      </c>
      <c r="J413" t="str">
        <f>_xlfn.IFNA(IF(I413&lt;&gt;0,VLOOKUP(VLOOKUP(I413,Tbl_Equip[],2,FALSE),Tbl_Color[],IFERROR(MATCH(UI!$B$1,Tbl_Color[#Headers],0),2),FALSE),""),"Unset")</f>
        <v>綠</v>
      </c>
      <c r="K413" t="str">
        <f>_xlfn.IFNA(IF(I413&lt;&gt;0,VLOOKUP(I413,ItemText[],IFERROR(MATCH(UI!$B$1,ItemText[#Headers],0),2),FALSE),""),"Unset")</f>
        <v>細膩的幽靜情景</v>
      </c>
      <c r="L413" t="str">
        <f t="shared" si="43"/>
        <v/>
      </c>
      <c r="M413">
        <v>0</v>
      </c>
      <c r="N413" t="str">
        <f>IF(VALUE(M413)=0,"",VLOOKUP(VLOOKUP(M413,Tbl_Effect[],3,FALSE),EffectName[],IFERROR(MATCH(UI!$B$1,EffectName[#Headers],0),2),FALSE))</f>
        <v/>
      </c>
      <c r="O413" t="str">
        <f t="shared" si="44"/>
        <v/>
      </c>
      <c r="P413">
        <v>0</v>
      </c>
      <c r="Q413" t="str">
        <f>IF(VALUE(P413)=0,"",VLOOKUP(VLOOKUP(P413,Tbl_Effect[],3,FALSE),EffectName[],IFERROR(MATCH(UI!$B$1,EffectName[#Headers],0),2),FALSE))</f>
        <v/>
      </c>
      <c r="R413" t="str">
        <f t="shared" si="45"/>
        <v/>
      </c>
      <c r="S413">
        <v>0</v>
      </c>
      <c r="T413" t="str">
        <f>IF(VALUE(S413)=0,"",VLOOKUP(VLOOKUP(S413,Tbl_Effect[],3,FALSE),EffectName[],IFERROR(MATCH(UI!$B$1,EffectName[#Headers],0),2),FALSE))</f>
        <v/>
      </c>
      <c r="U413" t="str">
        <f t="shared" si="46"/>
        <v/>
      </c>
      <c r="V413">
        <v>0</v>
      </c>
      <c r="W413" t="str">
        <f>IF(V413&lt;&gt;0,VLOOKUP(VLOOKUP(V413,Tbl_Effect[],3,FALSE),EffectName[],IFERROR(MATCH(UI!$B$1,EffectName[#Headers],0),2),FALSE),"")</f>
        <v/>
      </c>
      <c r="X413" t="str">
        <f t="shared" si="47"/>
        <v/>
      </c>
      <c r="Y413">
        <v>0</v>
      </c>
      <c r="Z413" t="str">
        <f>IF(Y413&lt;&gt;0,VLOOKUP(VLOOKUP(Y413,Tbl_Effect[],3,FALSE),EffectName[],IFERROR(MATCH(UI!$B$1,EffectName[#Headers],0),2),FALSE),"")</f>
        <v/>
      </c>
      <c r="AA413" t="str">
        <f t="shared" si="48"/>
        <v/>
      </c>
      <c r="AB413">
        <v>0</v>
      </c>
      <c r="AC413" t="str">
        <f>IF(AB413&lt;&gt;0,VLOOKUP(VLOOKUP(AB413,Tbl_Effect[],3,FALSE),EffectName[],IFERROR(MATCH(UI!$B$1,EffectName[#Headers],0),2),FALSE),"")</f>
        <v/>
      </c>
    </row>
    <row r="414" spans="8:29" x14ac:dyDescent="0.4">
      <c r="H414" t="str">
        <f t="shared" si="42"/>
        <v>1003311-端正的幽靜情景 (綠)</v>
      </c>
      <c r="I414">
        <v>1003311</v>
      </c>
      <c r="J414" t="str">
        <f>_xlfn.IFNA(IF(I414&lt;&gt;0,VLOOKUP(VLOOKUP(I414,Tbl_Equip[],2,FALSE),Tbl_Color[],IFERROR(MATCH(UI!$B$1,Tbl_Color[#Headers],0),2),FALSE),""),"Unset")</f>
        <v>綠</v>
      </c>
      <c r="K414" t="str">
        <f>_xlfn.IFNA(IF(I414&lt;&gt;0,VLOOKUP(I414,ItemText[],IFERROR(MATCH(UI!$B$1,ItemText[#Headers],0),2),FALSE),""),"Unset")</f>
        <v>端正的幽靜情景</v>
      </c>
      <c r="L414" t="str">
        <f t="shared" si="43"/>
        <v/>
      </c>
      <c r="M414">
        <v>0</v>
      </c>
      <c r="N414" t="str">
        <f>IF(VALUE(M414)=0,"",VLOOKUP(VLOOKUP(M414,Tbl_Effect[],3,FALSE),EffectName[],IFERROR(MATCH(UI!$B$1,EffectName[#Headers],0),2),FALSE))</f>
        <v/>
      </c>
      <c r="O414" t="str">
        <f t="shared" si="44"/>
        <v/>
      </c>
      <c r="P414">
        <v>0</v>
      </c>
      <c r="Q414" t="str">
        <f>IF(VALUE(P414)=0,"",VLOOKUP(VLOOKUP(P414,Tbl_Effect[],3,FALSE),EffectName[],IFERROR(MATCH(UI!$B$1,EffectName[#Headers],0),2),FALSE))</f>
        <v/>
      </c>
      <c r="R414" t="str">
        <f t="shared" si="45"/>
        <v/>
      </c>
      <c r="S414">
        <v>0</v>
      </c>
      <c r="T414" t="str">
        <f>IF(VALUE(S414)=0,"",VLOOKUP(VLOOKUP(S414,Tbl_Effect[],3,FALSE),EffectName[],IFERROR(MATCH(UI!$B$1,EffectName[#Headers],0),2),FALSE))</f>
        <v/>
      </c>
      <c r="U414" t="str">
        <f t="shared" si="46"/>
        <v/>
      </c>
      <c r="V414">
        <v>0</v>
      </c>
      <c r="W414" t="str">
        <f>IF(V414&lt;&gt;0,VLOOKUP(VLOOKUP(V414,Tbl_Effect[],3,FALSE),EffectName[],IFERROR(MATCH(UI!$B$1,EffectName[#Headers],0),2),FALSE),"")</f>
        <v/>
      </c>
      <c r="X414" t="str">
        <f t="shared" si="47"/>
        <v/>
      </c>
      <c r="Y414">
        <v>0</v>
      </c>
      <c r="Z414" t="str">
        <f>IF(Y414&lt;&gt;0,VLOOKUP(VLOOKUP(Y414,Tbl_Effect[],3,FALSE),EffectName[],IFERROR(MATCH(UI!$B$1,EffectName[#Headers],0),2),FALSE),"")</f>
        <v/>
      </c>
      <c r="AA414" t="str">
        <f t="shared" si="48"/>
        <v/>
      </c>
      <c r="AB414">
        <v>0</v>
      </c>
      <c r="AC414" t="str">
        <f>IF(AB414&lt;&gt;0,VLOOKUP(VLOOKUP(AB414,Tbl_Effect[],3,FALSE),EffectName[],IFERROR(MATCH(UI!$B$1,EffectName[#Headers],0),2),FALSE),"")</f>
        <v/>
      </c>
    </row>
    <row r="415" spans="8:29" x14ac:dyDescent="0.4">
      <c r="H415" t="str">
        <f t="shared" si="42"/>
        <v>1003312-遼闊的幽靜情景 (綠)</v>
      </c>
      <c r="I415">
        <v>1003312</v>
      </c>
      <c r="J415" t="str">
        <f>_xlfn.IFNA(IF(I415&lt;&gt;0,VLOOKUP(VLOOKUP(I415,Tbl_Equip[],2,FALSE),Tbl_Color[],IFERROR(MATCH(UI!$B$1,Tbl_Color[#Headers],0),2),FALSE),""),"Unset")</f>
        <v>綠</v>
      </c>
      <c r="K415" t="str">
        <f>_xlfn.IFNA(IF(I415&lt;&gt;0,VLOOKUP(I415,ItemText[],IFERROR(MATCH(UI!$B$1,ItemText[#Headers],0),2),FALSE),""),"Unset")</f>
        <v>遼闊的幽靜情景</v>
      </c>
      <c r="L415" t="str">
        <f t="shared" si="43"/>
        <v/>
      </c>
      <c r="M415">
        <v>0</v>
      </c>
      <c r="N415" t="str">
        <f>IF(VALUE(M415)=0,"",VLOOKUP(VLOOKUP(M415,Tbl_Effect[],3,FALSE),EffectName[],IFERROR(MATCH(UI!$B$1,EffectName[#Headers],0),2),FALSE))</f>
        <v/>
      </c>
      <c r="O415" t="str">
        <f t="shared" si="44"/>
        <v/>
      </c>
      <c r="P415">
        <v>0</v>
      </c>
      <c r="Q415" t="str">
        <f>IF(VALUE(P415)=0,"",VLOOKUP(VLOOKUP(P415,Tbl_Effect[],3,FALSE),EffectName[],IFERROR(MATCH(UI!$B$1,EffectName[#Headers],0),2),FALSE))</f>
        <v/>
      </c>
      <c r="R415" t="str">
        <f t="shared" si="45"/>
        <v/>
      </c>
      <c r="S415">
        <v>0</v>
      </c>
      <c r="T415" t="str">
        <f>IF(VALUE(S415)=0,"",VLOOKUP(VLOOKUP(S415,Tbl_Effect[],3,FALSE),EffectName[],IFERROR(MATCH(UI!$B$1,EffectName[#Headers],0),2),FALSE))</f>
        <v/>
      </c>
      <c r="U415" t="str">
        <f t="shared" si="46"/>
        <v/>
      </c>
      <c r="V415">
        <v>0</v>
      </c>
      <c r="W415" t="str">
        <f>IF(V415&lt;&gt;0,VLOOKUP(VLOOKUP(V415,Tbl_Effect[],3,FALSE),EffectName[],IFERROR(MATCH(UI!$B$1,EffectName[#Headers],0),2),FALSE),"")</f>
        <v/>
      </c>
      <c r="X415" t="str">
        <f t="shared" si="47"/>
        <v/>
      </c>
      <c r="Y415">
        <v>0</v>
      </c>
      <c r="Z415" t="str">
        <f>IF(Y415&lt;&gt;0,VLOOKUP(VLOOKUP(Y415,Tbl_Effect[],3,FALSE),EffectName[],IFERROR(MATCH(UI!$B$1,EffectName[#Headers],0),2),FALSE),"")</f>
        <v/>
      </c>
      <c r="AA415" t="str">
        <f t="shared" si="48"/>
        <v/>
      </c>
      <c r="AB415">
        <v>0</v>
      </c>
      <c r="AC415" t="str">
        <f>IF(AB415&lt;&gt;0,VLOOKUP(VLOOKUP(AB415,Tbl_Effect[],3,FALSE),EffectName[],IFERROR(MATCH(UI!$B$1,EffectName[#Headers],0),2),FALSE),"")</f>
        <v/>
      </c>
    </row>
    <row r="416" spans="8:29" x14ac:dyDescent="0.4">
      <c r="H416" t="str">
        <f t="shared" si="42"/>
        <v>1003320-細膩的幽靜情景 (綠)</v>
      </c>
      <c r="I416">
        <v>1003320</v>
      </c>
      <c r="J416" t="str">
        <f>_xlfn.IFNA(IF(I416&lt;&gt;0,VLOOKUP(VLOOKUP(I416,Tbl_Equip[],2,FALSE),Tbl_Color[],IFERROR(MATCH(UI!$B$1,Tbl_Color[#Headers],0),2),FALSE),""),"Unset")</f>
        <v>綠</v>
      </c>
      <c r="K416" t="str">
        <f>_xlfn.IFNA(IF(I416&lt;&gt;0,VLOOKUP(I416,ItemText[],IFERROR(MATCH(UI!$B$1,ItemText[#Headers],0),2),FALSE),""),"Unset")</f>
        <v>細膩的幽靜情景</v>
      </c>
      <c r="L416" t="str">
        <f t="shared" si="43"/>
        <v/>
      </c>
      <c r="M416">
        <v>0</v>
      </c>
      <c r="N416" t="str">
        <f>IF(VALUE(M416)=0,"",VLOOKUP(VLOOKUP(M416,Tbl_Effect[],3,FALSE),EffectName[],IFERROR(MATCH(UI!$B$1,EffectName[#Headers],0),2),FALSE))</f>
        <v/>
      </c>
      <c r="O416" t="str">
        <f t="shared" si="44"/>
        <v/>
      </c>
      <c r="P416">
        <v>0</v>
      </c>
      <c r="Q416" t="str">
        <f>IF(VALUE(P416)=0,"",VLOOKUP(VLOOKUP(P416,Tbl_Effect[],3,FALSE),EffectName[],IFERROR(MATCH(UI!$B$1,EffectName[#Headers],0),2),FALSE))</f>
        <v/>
      </c>
      <c r="R416" t="str">
        <f t="shared" si="45"/>
        <v/>
      </c>
      <c r="S416">
        <v>0</v>
      </c>
      <c r="T416" t="str">
        <f>IF(VALUE(S416)=0,"",VLOOKUP(VLOOKUP(S416,Tbl_Effect[],3,FALSE),EffectName[],IFERROR(MATCH(UI!$B$1,EffectName[#Headers],0),2),FALSE))</f>
        <v/>
      </c>
      <c r="U416" t="str">
        <f t="shared" si="46"/>
        <v/>
      </c>
      <c r="V416">
        <v>0</v>
      </c>
      <c r="W416" t="str">
        <f>IF(V416&lt;&gt;0,VLOOKUP(VLOOKUP(V416,Tbl_Effect[],3,FALSE),EffectName[],IFERROR(MATCH(UI!$B$1,EffectName[#Headers],0),2),FALSE),"")</f>
        <v/>
      </c>
      <c r="X416" t="str">
        <f t="shared" si="47"/>
        <v/>
      </c>
      <c r="Y416">
        <v>0</v>
      </c>
      <c r="Z416" t="str">
        <f>IF(Y416&lt;&gt;0,VLOOKUP(VLOOKUP(Y416,Tbl_Effect[],3,FALSE),EffectName[],IFERROR(MATCH(UI!$B$1,EffectName[#Headers],0),2),FALSE),"")</f>
        <v/>
      </c>
      <c r="AA416" t="str">
        <f t="shared" si="48"/>
        <v/>
      </c>
      <c r="AB416">
        <v>0</v>
      </c>
      <c r="AC416" t="str">
        <f>IF(AB416&lt;&gt;0,VLOOKUP(VLOOKUP(AB416,Tbl_Effect[],3,FALSE),EffectName[],IFERROR(MATCH(UI!$B$1,EffectName[#Headers],0),2),FALSE),"")</f>
        <v/>
      </c>
    </row>
    <row r="417" spans="8:29" x14ac:dyDescent="0.4">
      <c r="H417" t="str">
        <f t="shared" si="42"/>
        <v>1003321-端正的幽靜情景 (綠)</v>
      </c>
      <c r="I417">
        <v>1003321</v>
      </c>
      <c r="J417" t="str">
        <f>_xlfn.IFNA(IF(I417&lt;&gt;0,VLOOKUP(VLOOKUP(I417,Tbl_Equip[],2,FALSE),Tbl_Color[],IFERROR(MATCH(UI!$B$1,Tbl_Color[#Headers],0),2),FALSE),""),"Unset")</f>
        <v>綠</v>
      </c>
      <c r="K417" t="str">
        <f>_xlfn.IFNA(IF(I417&lt;&gt;0,VLOOKUP(I417,ItemText[],IFERROR(MATCH(UI!$B$1,ItemText[#Headers],0),2),FALSE),""),"Unset")</f>
        <v>端正的幽靜情景</v>
      </c>
      <c r="L417" t="str">
        <f t="shared" si="43"/>
        <v/>
      </c>
      <c r="M417">
        <v>0</v>
      </c>
      <c r="N417" t="str">
        <f>IF(VALUE(M417)=0,"",VLOOKUP(VLOOKUP(M417,Tbl_Effect[],3,FALSE),EffectName[],IFERROR(MATCH(UI!$B$1,EffectName[#Headers],0),2),FALSE))</f>
        <v/>
      </c>
      <c r="O417" t="str">
        <f t="shared" si="44"/>
        <v/>
      </c>
      <c r="P417">
        <v>0</v>
      </c>
      <c r="Q417" t="str">
        <f>IF(VALUE(P417)=0,"",VLOOKUP(VLOOKUP(P417,Tbl_Effect[],3,FALSE),EffectName[],IFERROR(MATCH(UI!$B$1,EffectName[#Headers],0),2),FALSE))</f>
        <v/>
      </c>
      <c r="R417" t="str">
        <f t="shared" si="45"/>
        <v/>
      </c>
      <c r="S417">
        <v>0</v>
      </c>
      <c r="T417" t="str">
        <f>IF(VALUE(S417)=0,"",VLOOKUP(VLOOKUP(S417,Tbl_Effect[],3,FALSE),EffectName[],IFERROR(MATCH(UI!$B$1,EffectName[#Headers],0),2),FALSE))</f>
        <v/>
      </c>
      <c r="U417" t="str">
        <f t="shared" si="46"/>
        <v/>
      </c>
      <c r="V417">
        <v>0</v>
      </c>
      <c r="W417" t="str">
        <f>IF(V417&lt;&gt;0,VLOOKUP(VLOOKUP(V417,Tbl_Effect[],3,FALSE),EffectName[],IFERROR(MATCH(UI!$B$1,EffectName[#Headers],0),2),FALSE),"")</f>
        <v/>
      </c>
      <c r="X417" t="str">
        <f t="shared" si="47"/>
        <v/>
      </c>
      <c r="Y417">
        <v>0</v>
      </c>
      <c r="Z417" t="str">
        <f>IF(Y417&lt;&gt;0,VLOOKUP(VLOOKUP(Y417,Tbl_Effect[],3,FALSE),EffectName[],IFERROR(MATCH(UI!$B$1,EffectName[#Headers],0),2),FALSE),"")</f>
        <v/>
      </c>
      <c r="AA417" t="str">
        <f t="shared" si="48"/>
        <v/>
      </c>
      <c r="AB417">
        <v>0</v>
      </c>
      <c r="AC417" t="str">
        <f>IF(AB417&lt;&gt;0,VLOOKUP(VLOOKUP(AB417,Tbl_Effect[],3,FALSE),EffectName[],IFERROR(MATCH(UI!$B$1,EffectName[#Headers],0),2),FALSE),"")</f>
        <v/>
      </c>
    </row>
    <row r="418" spans="8:29" x14ac:dyDescent="0.4">
      <c r="H418" t="str">
        <f t="shared" si="42"/>
        <v>1003322-遼闊的幽靜情景 (綠)</v>
      </c>
      <c r="I418">
        <v>1003322</v>
      </c>
      <c r="J418" t="str">
        <f>_xlfn.IFNA(IF(I418&lt;&gt;0,VLOOKUP(VLOOKUP(I418,Tbl_Equip[],2,FALSE),Tbl_Color[],IFERROR(MATCH(UI!$B$1,Tbl_Color[#Headers],0),2),FALSE),""),"Unset")</f>
        <v>綠</v>
      </c>
      <c r="K418" t="str">
        <f>_xlfn.IFNA(IF(I418&lt;&gt;0,VLOOKUP(I418,ItemText[],IFERROR(MATCH(UI!$B$1,ItemText[#Headers],0),2),FALSE),""),"Unset")</f>
        <v>遼闊的幽靜情景</v>
      </c>
      <c r="L418" t="str">
        <f t="shared" si="43"/>
        <v/>
      </c>
      <c r="M418">
        <v>0</v>
      </c>
      <c r="N418" t="str">
        <f>IF(VALUE(M418)=0,"",VLOOKUP(VLOOKUP(M418,Tbl_Effect[],3,FALSE),EffectName[],IFERROR(MATCH(UI!$B$1,EffectName[#Headers],0),2),FALSE))</f>
        <v/>
      </c>
      <c r="O418" t="str">
        <f t="shared" si="44"/>
        <v/>
      </c>
      <c r="P418">
        <v>0</v>
      </c>
      <c r="Q418" t="str">
        <f>IF(VALUE(P418)=0,"",VLOOKUP(VLOOKUP(P418,Tbl_Effect[],3,FALSE),EffectName[],IFERROR(MATCH(UI!$B$1,EffectName[#Headers],0),2),FALSE))</f>
        <v/>
      </c>
      <c r="R418" t="str">
        <f t="shared" si="45"/>
        <v/>
      </c>
      <c r="S418">
        <v>0</v>
      </c>
      <c r="T418" t="str">
        <f>IF(VALUE(S418)=0,"",VLOOKUP(VLOOKUP(S418,Tbl_Effect[],3,FALSE),EffectName[],IFERROR(MATCH(UI!$B$1,EffectName[#Headers],0),2),FALSE))</f>
        <v/>
      </c>
      <c r="U418" t="str">
        <f t="shared" si="46"/>
        <v/>
      </c>
      <c r="V418">
        <v>0</v>
      </c>
      <c r="W418" t="str">
        <f>IF(V418&lt;&gt;0,VLOOKUP(VLOOKUP(V418,Tbl_Effect[],3,FALSE),EffectName[],IFERROR(MATCH(UI!$B$1,EffectName[#Headers],0),2),FALSE),"")</f>
        <v/>
      </c>
      <c r="X418" t="str">
        <f t="shared" si="47"/>
        <v/>
      </c>
      <c r="Y418">
        <v>0</v>
      </c>
      <c r="Z418" t="str">
        <f>IF(Y418&lt;&gt;0,VLOOKUP(VLOOKUP(Y418,Tbl_Effect[],3,FALSE),EffectName[],IFERROR(MATCH(UI!$B$1,EffectName[#Headers],0),2),FALSE),"")</f>
        <v/>
      </c>
      <c r="AA418" t="str">
        <f t="shared" si="48"/>
        <v/>
      </c>
      <c r="AB418">
        <v>0</v>
      </c>
      <c r="AC418" t="str">
        <f>IF(AB418&lt;&gt;0,VLOOKUP(VLOOKUP(AB418,Tbl_Effect[],3,FALSE),EffectName[],IFERROR(MATCH(UI!$B$1,EffectName[#Headers],0),2),FALSE),"")</f>
        <v/>
      </c>
    </row>
    <row r="419" spans="8:29" x14ac:dyDescent="0.4">
      <c r="H419" t="str">
        <f t="shared" si="42"/>
        <v>1004000-細膩的火燃情景 (紅)</v>
      </c>
      <c r="I419">
        <v>1004000</v>
      </c>
      <c r="J419" t="str">
        <f>_xlfn.IFNA(IF(I419&lt;&gt;0,VLOOKUP(VLOOKUP(I419,Tbl_Equip[],2,FALSE),Tbl_Color[],IFERROR(MATCH(UI!$B$1,Tbl_Color[#Headers],0),2),FALSE),""),"Unset")</f>
        <v>紅</v>
      </c>
      <c r="K419" t="str">
        <f>_xlfn.IFNA(IF(I419&lt;&gt;0,VLOOKUP(I419,ItemText[],IFERROR(MATCH(UI!$B$1,ItemText[#Headers],0),2),FALSE),""),"Unset")</f>
        <v>細膩的火燃情景</v>
      </c>
      <c r="L419" t="str">
        <f t="shared" si="43"/>
        <v/>
      </c>
      <c r="M419">
        <v>0</v>
      </c>
      <c r="N419" t="str">
        <f>IF(VALUE(M419)=0,"",VLOOKUP(VLOOKUP(M419,Tbl_Effect[],3,FALSE),EffectName[],IFERROR(MATCH(UI!$B$1,EffectName[#Headers],0),2),FALSE))</f>
        <v/>
      </c>
      <c r="O419" t="str">
        <f t="shared" si="44"/>
        <v/>
      </c>
      <c r="P419">
        <v>0</v>
      </c>
      <c r="Q419" t="str">
        <f>IF(VALUE(P419)=0,"",VLOOKUP(VLOOKUP(P419,Tbl_Effect[],3,FALSE),EffectName[],IFERROR(MATCH(UI!$B$1,EffectName[#Headers],0),2),FALSE))</f>
        <v/>
      </c>
      <c r="R419" t="str">
        <f t="shared" si="45"/>
        <v/>
      </c>
      <c r="S419">
        <v>0</v>
      </c>
      <c r="T419" t="str">
        <f>IF(VALUE(S419)=0,"",VLOOKUP(VLOOKUP(S419,Tbl_Effect[],3,FALSE),EffectName[],IFERROR(MATCH(UI!$B$1,EffectName[#Headers],0),2),FALSE))</f>
        <v/>
      </c>
      <c r="U419" t="str">
        <f t="shared" si="46"/>
        <v/>
      </c>
      <c r="V419">
        <v>0</v>
      </c>
      <c r="W419" t="str">
        <f>IF(V419&lt;&gt;0,VLOOKUP(VLOOKUP(V419,Tbl_Effect[],3,FALSE),EffectName[],IFERROR(MATCH(UI!$B$1,EffectName[#Headers],0),2),FALSE),"")</f>
        <v/>
      </c>
      <c r="X419" t="str">
        <f t="shared" si="47"/>
        <v/>
      </c>
      <c r="Y419">
        <v>0</v>
      </c>
      <c r="Z419" t="str">
        <f>IF(Y419&lt;&gt;0,VLOOKUP(VLOOKUP(Y419,Tbl_Effect[],3,FALSE),EffectName[],IFERROR(MATCH(UI!$B$1,EffectName[#Headers],0),2),FALSE),"")</f>
        <v/>
      </c>
      <c r="AA419" t="str">
        <f t="shared" si="48"/>
        <v/>
      </c>
      <c r="AB419">
        <v>0</v>
      </c>
      <c r="AC419" t="str">
        <f>IF(AB419&lt;&gt;0,VLOOKUP(VLOOKUP(AB419,Tbl_Effect[],3,FALSE),EffectName[],IFERROR(MATCH(UI!$B$1,EffectName[#Headers],0),2),FALSE),"")</f>
        <v/>
      </c>
    </row>
    <row r="420" spans="8:29" x14ac:dyDescent="0.4">
      <c r="H420" t="str">
        <f t="shared" si="42"/>
        <v>1004001-端正的火燃情景 (紅)</v>
      </c>
      <c r="I420">
        <v>1004001</v>
      </c>
      <c r="J420" t="str">
        <f>_xlfn.IFNA(IF(I420&lt;&gt;0,VLOOKUP(VLOOKUP(I420,Tbl_Equip[],2,FALSE),Tbl_Color[],IFERROR(MATCH(UI!$B$1,Tbl_Color[#Headers],0),2),FALSE),""),"Unset")</f>
        <v>紅</v>
      </c>
      <c r="K420" t="str">
        <f>_xlfn.IFNA(IF(I420&lt;&gt;0,VLOOKUP(I420,ItemText[],IFERROR(MATCH(UI!$B$1,ItemText[#Headers],0),2),FALSE),""),"Unset")</f>
        <v>端正的火燃情景</v>
      </c>
      <c r="L420" t="str">
        <f t="shared" si="43"/>
        <v/>
      </c>
      <c r="M420">
        <v>0</v>
      </c>
      <c r="N420" t="str">
        <f>IF(VALUE(M420)=0,"",VLOOKUP(VLOOKUP(M420,Tbl_Effect[],3,FALSE),EffectName[],IFERROR(MATCH(UI!$B$1,EffectName[#Headers],0),2),FALSE))</f>
        <v/>
      </c>
      <c r="O420" t="str">
        <f t="shared" si="44"/>
        <v/>
      </c>
      <c r="P420">
        <v>0</v>
      </c>
      <c r="Q420" t="str">
        <f>IF(VALUE(P420)=0,"",VLOOKUP(VLOOKUP(P420,Tbl_Effect[],3,FALSE),EffectName[],IFERROR(MATCH(UI!$B$1,EffectName[#Headers],0),2),FALSE))</f>
        <v/>
      </c>
      <c r="R420" t="str">
        <f t="shared" si="45"/>
        <v/>
      </c>
      <c r="S420">
        <v>0</v>
      </c>
      <c r="T420" t="str">
        <f>IF(VALUE(S420)=0,"",VLOOKUP(VLOOKUP(S420,Tbl_Effect[],3,FALSE),EffectName[],IFERROR(MATCH(UI!$B$1,EffectName[#Headers],0),2),FALSE))</f>
        <v/>
      </c>
      <c r="U420" t="str">
        <f t="shared" si="46"/>
        <v/>
      </c>
      <c r="V420">
        <v>0</v>
      </c>
      <c r="W420" t="str">
        <f>IF(V420&lt;&gt;0,VLOOKUP(VLOOKUP(V420,Tbl_Effect[],3,FALSE),EffectName[],IFERROR(MATCH(UI!$B$1,EffectName[#Headers],0),2),FALSE),"")</f>
        <v/>
      </c>
      <c r="X420" t="str">
        <f t="shared" si="47"/>
        <v/>
      </c>
      <c r="Y420">
        <v>0</v>
      </c>
      <c r="Z420" t="str">
        <f>IF(Y420&lt;&gt;0,VLOOKUP(VLOOKUP(Y420,Tbl_Effect[],3,FALSE),EffectName[],IFERROR(MATCH(UI!$B$1,EffectName[#Headers],0),2),FALSE),"")</f>
        <v/>
      </c>
      <c r="AA420" t="str">
        <f t="shared" si="48"/>
        <v/>
      </c>
      <c r="AB420">
        <v>0</v>
      </c>
      <c r="AC420" t="str">
        <f>IF(AB420&lt;&gt;0,VLOOKUP(VLOOKUP(AB420,Tbl_Effect[],3,FALSE),EffectName[],IFERROR(MATCH(UI!$B$1,EffectName[#Headers],0),2),FALSE),"")</f>
        <v/>
      </c>
    </row>
    <row r="421" spans="8:29" x14ac:dyDescent="0.4">
      <c r="H421" t="str">
        <f t="shared" si="42"/>
        <v>1004002-遼闊的火燃情景 (紅)</v>
      </c>
      <c r="I421">
        <v>1004002</v>
      </c>
      <c r="J421" t="str">
        <f>_xlfn.IFNA(IF(I421&lt;&gt;0,VLOOKUP(VLOOKUP(I421,Tbl_Equip[],2,FALSE),Tbl_Color[],IFERROR(MATCH(UI!$B$1,Tbl_Color[#Headers],0),2),FALSE),""),"Unset")</f>
        <v>紅</v>
      </c>
      <c r="K421" t="str">
        <f>_xlfn.IFNA(IF(I421&lt;&gt;0,VLOOKUP(I421,ItemText[],IFERROR(MATCH(UI!$B$1,ItemText[#Headers],0),2),FALSE),""),"Unset")</f>
        <v>遼闊的火燃情景</v>
      </c>
      <c r="L421" t="str">
        <f t="shared" si="43"/>
        <v/>
      </c>
      <c r="M421">
        <v>0</v>
      </c>
      <c r="N421" t="str">
        <f>IF(VALUE(M421)=0,"",VLOOKUP(VLOOKUP(M421,Tbl_Effect[],3,FALSE),EffectName[],IFERROR(MATCH(UI!$B$1,EffectName[#Headers],0),2),FALSE))</f>
        <v/>
      </c>
      <c r="O421" t="str">
        <f t="shared" si="44"/>
        <v/>
      </c>
      <c r="P421">
        <v>0</v>
      </c>
      <c r="Q421" t="str">
        <f>IF(VALUE(P421)=0,"",VLOOKUP(VLOOKUP(P421,Tbl_Effect[],3,FALSE),EffectName[],IFERROR(MATCH(UI!$B$1,EffectName[#Headers],0),2),FALSE))</f>
        <v/>
      </c>
      <c r="R421" t="str">
        <f t="shared" si="45"/>
        <v/>
      </c>
      <c r="S421">
        <v>0</v>
      </c>
      <c r="T421" t="str">
        <f>IF(VALUE(S421)=0,"",VLOOKUP(VLOOKUP(S421,Tbl_Effect[],3,FALSE),EffectName[],IFERROR(MATCH(UI!$B$1,EffectName[#Headers],0),2),FALSE))</f>
        <v/>
      </c>
      <c r="U421" t="str">
        <f t="shared" si="46"/>
        <v/>
      </c>
      <c r="V421">
        <v>0</v>
      </c>
      <c r="W421" t="str">
        <f>IF(V421&lt;&gt;0,VLOOKUP(VLOOKUP(V421,Tbl_Effect[],3,FALSE),EffectName[],IFERROR(MATCH(UI!$B$1,EffectName[#Headers],0),2),FALSE),"")</f>
        <v/>
      </c>
      <c r="X421" t="str">
        <f t="shared" si="47"/>
        <v/>
      </c>
      <c r="Y421">
        <v>0</v>
      </c>
      <c r="Z421" t="str">
        <f>IF(Y421&lt;&gt;0,VLOOKUP(VLOOKUP(Y421,Tbl_Effect[],3,FALSE),EffectName[],IFERROR(MATCH(UI!$B$1,EffectName[#Headers],0),2),FALSE),"")</f>
        <v/>
      </c>
      <c r="AA421" t="str">
        <f t="shared" si="48"/>
        <v/>
      </c>
      <c r="AB421">
        <v>0</v>
      </c>
      <c r="AC421" t="str">
        <f>IF(AB421&lt;&gt;0,VLOOKUP(VLOOKUP(AB421,Tbl_Effect[],3,FALSE),EffectName[],IFERROR(MATCH(UI!$B$1,EffectName[#Headers],0),2),FALSE),"")</f>
        <v/>
      </c>
    </row>
    <row r="422" spans="8:29" x14ac:dyDescent="0.4">
      <c r="H422" t="str">
        <f t="shared" si="42"/>
        <v>1004010-細膩的火燃情景 (紅)</v>
      </c>
      <c r="I422">
        <v>1004010</v>
      </c>
      <c r="J422" t="str">
        <f>_xlfn.IFNA(IF(I422&lt;&gt;0,VLOOKUP(VLOOKUP(I422,Tbl_Equip[],2,FALSE),Tbl_Color[],IFERROR(MATCH(UI!$B$1,Tbl_Color[#Headers],0),2),FALSE),""),"Unset")</f>
        <v>紅</v>
      </c>
      <c r="K422" t="str">
        <f>_xlfn.IFNA(IF(I422&lt;&gt;0,VLOOKUP(I422,ItemText[],IFERROR(MATCH(UI!$B$1,ItemText[#Headers],0),2),FALSE),""),"Unset")</f>
        <v>細膩的火燃情景</v>
      </c>
      <c r="L422" t="str">
        <f t="shared" si="43"/>
        <v/>
      </c>
      <c r="M422">
        <v>0</v>
      </c>
      <c r="N422" t="str">
        <f>IF(VALUE(M422)=0,"",VLOOKUP(VLOOKUP(M422,Tbl_Effect[],3,FALSE),EffectName[],IFERROR(MATCH(UI!$B$1,EffectName[#Headers],0),2),FALSE))</f>
        <v/>
      </c>
      <c r="O422" t="str">
        <f t="shared" si="44"/>
        <v/>
      </c>
      <c r="P422">
        <v>0</v>
      </c>
      <c r="Q422" t="str">
        <f>IF(VALUE(P422)=0,"",VLOOKUP(VLOOKUP(P422,Tbl_Effect[],3,FALSE),EffectName[],IFERROR(MATCH(UI!$B$1,EffectName[#Headers],0),2),FALSE))</f>
        <v/>
      </c>
      <c r="R422" t="str">
        <f t="shared" si="45"/>
        <v/>
      </c>
      <c r="S422">
        <v>0</v>
      </c>
      <c r="T422" t="str">
        <f>IF(VALUE(S422)=0,"",VLOOKUP(VLOOKUP(S422,Tbl_Effect[],3,FALSE),EffectName[],IFERROR(MATCH(UI!$B$1,EffectName[#Headers],0),2),FALSE))</f>
        <v/>
      </c>
      <c r="U422" t="str">
        <f t="shared" si="46"/>
        <v/>
      </c>
      <c r="V422">
        <v>0</v>
      </c>
      <c r="W422" t="str">
        <f>IF(V422&lt;&gt;0,VLOOKUP(VLOOKUP(V422,Tbl_Effect[],3,FALSE),EffectName[],IFERROR(MATCH(UI!$B$1,EffectName[#Headers],0),2),FALSE),"")</f>
        <v/>
      </c>
      <c r="X422" t="str">
        <f t="shared" si="47"/>
        <v/>
      </c>
      <c r="Y422">
        <v>0</v>
      </c>
      <c r="Z422" t="str">
        <f>IF(Y422&lt;&gt;0,VLOOKUP(VLOOKUP(Y422,Tbl_Effect[],3,FALSE),EffectName[],IFERROR(MATCH(UI!$B$1,EffectName[#Headers],0),2),FALSE),"")</f>
        <v/>
      </c>
      <c r="AA422" t="str">
        <f t="shared" si="48"/>
        <v/>
      </c>
      <c r="AB422">
        <v>0</v>
      </c>
      <c r="AC422" t="str">
        <f>IF(AB422&lt;&gt;0,VLOOKUP(VLOOKUP(AB422,Tbl_Effect[],3,FALSE),EffectName[],IFERROR(MATCH(UI!$B$1,EffectName[#Headers],0),2),FALSE),"")</f>
        <v/>
      </c>
    </row>
    <row r="423" spans="8:29" x14ac:dyDescent="0.4">
      <c r="H423" t="str">
        <f t="shared" si="42"/>
        <v>1004011-端正的火燃情景 (紅)</v>
      </c>
      <c r="I423">
        <v>1004011</v>
      </c>
      <c r="J423" t="str">
        <f>_xlfn.IFNA(IF(I423&lt;&gt;0,VLOOKUP(VLOOKUP(I423,Tbl_Equip[],2,FALSE),Tbl_Color[],IFERROR(MATCH(UI!$B$1,Tbl_Color[#Headers],0),2),FALSE),""),"Unset")</f>
        <v>紅</v>
      </c>
      <c r="K423" t="str">
        <f>_xlfn.IFNA(IF(I423&lt;&gt;0,VLOOKUP(I423,ItemText[],IFERROR(MATCH(UI!$B$1,ItemText[#Headers],0),2),FALSE),""),"Unset")</f>
        <v>端正的火燃情景</v>
      </c>
      <c r="L423" t="str">
        <f t="shared" si="43"/>
        <v/>
      </c>
      <c r="M423">
        <v>0</v>
      </c>
      <c r="N423" t="str">
        <f>IF(VALUE(M423)=0,"",VLOOKUP(VLOOKUP(M423,Tbl_Effect[],3,FALSE),EffectName[],IFERROR(MATCH(UI!$B$1,EffectName[#Headers],0),2),FALSE))</f>
        <v/>
      </c>
      <c r="O423" t="str">
        <f t="shared" si="44"/>
        <v/>
      </c>
      <c r="P423">
        <v>0</v>
      </c>
      <c r="Q423" t="str">
        <f>IF(VALUE(P423)=0,"",VLOOKUP(VLOOKUP(P423,Tbl_Effect[],3,FALSE),EffectName[],IFERROR(MATCH(UI!$B$1,EffectName[#Headers],0),2),FALSE))</f>
        <v/>
      </c>
      <c r="R423" t="str">
        <f t="shared" si="45"/>
        <v/>
      </c>
      <c r="S423">
        <v>0</v>
      </c>
      <c r="T423" t="str">
        <f>IF(VALUE(S423)=0,"",VLOOKUP(VLOOKUP(S423,Tbl_Effect[],3,FALSE),EffectName[],IFERROR(MATCH(UI!$B$1,EffectName[#Headers],0),2),FALSE))</f>
        <v/>
      </c>
      <c r="U423" t="str">
        <f t="shared" si="46"/>
        <v/>
      </c>
      <c r="V423">
        <v>0</v>
      </c>
      <c r="W423" t="str">
        <f>IF(V423&lt;&gt;0,VLOOKUP(VLOOKUP(V423,Tbl_Effect[],3,FALSE),EffectName[],IFERROR(MATCH(UI!$B$1,EffectName[#Headers],0),2),FALSE),"")</f>
        <v/>
      </c>
      <c r="X423" t="str">
        <f t="shared" si="47"/>
        <v/>
      </c>
      <c r="Y423">
        <v>0</v>
      </c>
      <c r="Z423" t="str">
        <f>IF(Y423&lt;&gt;0,VLOOKUP(VLOOKUP(Y423,Tbl_Effect[],3,FALSE),EffectName[],IFERROR(MATCH(UI!$B$1,EffectName[#Headers],0),2),FALSE),"")</f>
        <v/>
      </c>
      <c r="AA423" t="str">
        <f t="shared" si="48"/>
        <v/>
      </c>
      <c r="AB423">
        <v>0</v>
      </c>
      <c r="AC423" t="str">
        <f>IF(AB423&lt;&gt;0,VLOOKUP(VLOOKUP(AB423,Tbl_Effect[],3,FALSE),EffectName[],IFERROR(MATCH(UI!$B$1,EffectName[#Headers],0),2),FALSE),"")</f>
        <v/>
      </c>
    </row>
    <row r="424" spans="8:29" x14ac:dyDescent="0.4">
      <c r="H424" t="str">
        <f t="shared" si="42"/>
        <v>1004012-遼闊的火燃情景 (紅)</v>
      </c>
      <c r="I424">
        <v>1004012</v>
      </c>
      <c r="J424" t="str">
        <f>_xlfn.IFNA(IF(I424&lt;&gt;0,VLOOKUP(VLOOKUP(I424,Tbl_Equip[],2,FALSE),Tbl_Color[],IFERROR(MATCH(UI!$B$1,Tbl_Color[#Headers],0),2),FALSE),""),"Unset")</f>
        <v>紅</v>
      </c>
      <c r="K424" t="str">
        <f>_xlfn.IFNA(IF(I424&lt;&gt;0,VLOOKUP(I424,ItemText[],IFERROR(MATCH(UI!$B$1,ItemText[#Headers],0),2),FALSE),""),"Unset")</f>
        <v>遼闊的火燃情景</v>
      </c>
      <c r="L424" t="str">
        <f t="shared" si="43"/>
        <v/>
      </c>
      <c r="M424">
        <v>0</v>
      </c>
      <c r="N424" t="str">
        <f>IF(VALUE(M424)=0,"",VLOOKUP(VLOOKUP(M424,Tbl_Effect[],3,FALSE),EffectName[],IFERROR(MATCH(UI!$B$1,EffectName[#Headers],0),2),FALSE))</f>
        <v/>
      </c>
      <c r="O424" t="str">
        <f t="shared" si="44"/>
        <v/>
      </c>
      <c r="P424">
        <v>0</v>
      </c>
      <c r="Q424" t="str">
        <f>IF(VALUE(P424)=0,"",VLOOKUP(VLOOKUP(P424,Tbl_Effect[],3,FALSE),EffectName[],IFERROR(MATCH(UI!$B$1,EffectName[#Headers],0),2),FALSE))</f>
        <v/>
      </c>
      <c r="R424" t="str">
        <f t="shared" si="45"/>
        <v/>
      </c>
      <c r="S424">
        <v>0</v>
      </c>
      <c r="T424" t="str">
        <f>IF(VALUE(S424)=0,"",VLOOKUP(VLOOKUP(S424,Tbl_Effect[],3,FALSE),EffectName[],IFERROR(MATCH(UI!$B$1,EffectName[#Headers],0),2),FALSE))</f>
        <v/>
      </c>
      <c r="U424" t="str">
        <f t="shared" si="46"/>
        <v/>
      </c>
      <c r="V424">
        <v>0</v>
      </c>
      <c r="W424" t="str">
        <f>IF(V424&lt;&gt;0,VLOOKUP(VLOOKUP(V424,Tbl_Effect[],3,FALSE),EffectName[],IFERROR(MATCH(UI!$B$1,EffectName[#Headers],0),2),FALSE),"")</f>
        <v/>
      </c>
      <c r="X424" t="str">
        <f t="shared" si="47"/>
        <v/>
      </c>
      <c r="Y424">
        <v>0</v>
      </c>
      <c r="Z424" t="str">
        <f>IF(Y424&lt;&gt;0,VLOOKUP(VLOOKUP(Y424,Tbl_Effect[],3,FALSE),EffectName[],IFERROR(MATCH(UI!$B$1,EffectName[#Headers],0),2),FALSE),"")</f>
        <v/>
      </c>
      <c r="AA424" t="str">
        <f t="shared" si="48"/>
        <v/>
      </c>
      <c r="AB424">
        <v>0</v>
      </c>
      <c r="AC424" t="str">
        <f>IF(AB424&lt;&gt;0,VLOOKUP(VLOOKUP(AB424,Tbl_Effect[],3,FALSE),EffectName[],IFERROR(MATCH(UI!$B$1,EffectName[#Headers],0),2),FALSE),"")</f>
        <v/>
      </c>
    </row>
    <row r="425" spans="8:29" x14ac:dyDescent="0.4">
      <c r="H425" t="str">
        <f t="shared" si="42"/>
        <v>1004020-細膩的火燃情景 (紅)</v>
      </c>
      <c r="I425">
        <v>1004020</v>
      </c>
      <c r="J425" t="str">
        <f>_xlfn.IFNA(IF(I425&lt;&gt;0,VLOOKUP(VLOOKUP(I425,Tbl_Equip[],2,FALSE),Tbl_Color[],IFERROR(MATCH(UI!$B$1,Tbl_Color[#Headers],0),2),FALSE),""),"Unset")</f>
        <v>紅</v>
      </c>
      <c r="K425" t="str">
        <f>_xlfn.IFNA(IF(I425&lt;&gt;0,VLOOKUP(I425,ItemText[],IFERROR(MATCH(UI!$B$1,ItemText[#Headers],0),2),FALSE),""),"Unset")</f>
        <v>細膩的火燃情景</v>
      </c>
      <c r="L425" t="str">
        <f t="shared" si="43"/>
        <v/>
      </c>
      <c r="M425">
        <v>0</v>
      </c>
      <c r="N425" t="str">
        <f>IF(VALUE(M425)=0,"",VLOOKUP(VLOOKUP(M425,Tbl_Effect[],3,FALSE),EffectName[],IFERROR(MATCH(UI!$B$1,EffectName[#Headers],0),2),FALSE))</f>
        <v/>
      </c>
      <c r="O425" t="str">
        <f t="shared" si="44"/>
        <v/>
      </c>
      <c r="P425">
        <v>0</v>
      </c>
      <c r="Q425" t="str">
        <f>IF(VALUE(P425)=0,"",VLOOKUP(VLOOKUP(P425,Tbl_Effect[],3,FALSE),EffectName[],IFERROR(MATCH(UI!$B$1,EffectName[#Headers],0),2),FALSE))</f>
        <v/>
      </c>
      <c r="R425" t="str">
        <f t="shared" si="45"/>
        <v/>
      </c>
      <c r="S425">
        <v>0</v>
      </c>
      <c r="T425" t="str">
        <f>IF(VALUE(S425)=0,"",VLOOKUP(VLOOKUP(S425,Tbl_Effect[],3,FALSE),EffectName[],IFERROR(MATCH(UI!$B$1,EffectName[#Headers],0),2),FALSE))</f>
        <v/>
      </c>
      <c r="U425" t="str">
        <f t="shared" si="46"/>
        <v/>
      </c>
      <c r="V425">
        <v>0</v>
      </c>
      <c r="W425" t="str">
        <f>IF(V425&lt;&gt;0,VLOOKUP(VLOOKUP(V425,Tbl_Effect[],3,FALSE),EffectName[],IFERROR(MATCH(UI!$B$1,EffectName[#Headers],0),2),FALSE),"")</f>
        <v/>
      </c>
      <c r="X425" t="str">
        <f t="shared" si="47"/>
        <v/>
      </c>
      <c r="Y425">
        <v>0</v>
      </c>
      <c r="Z425" t="str">
        <f>IF(Y425&lt;&gt;0,VLOOKUP(VLOOKUP(Y425,Tbl_Effect[],3,FALSE),EffectName[],IFERROR(MATCH(UI!$B$1,EffectName[#Headers],0),2),FALSE),"")</f>
        <v/>
      </c>
      <c r="AA425" t="str">
        <f t="shared" si="48"/>
        <v/>
      </c>
      <c r="AB425">
        <v>0</v>
      </c>
      <c r="AC425" t="str">
        <f>IF(AB425&lt;&gt;0,VLOOKUP(VLOOKUP(AB425,Tbl_Effect[],3,FALSE),EffectName[],IFERROR(MATCH(UI!$B$1,EffectName[#Headers],0),2),FALSE),"")</f>
        <v/>
      </c>
    </row>
    <row r="426" spans="8:29" x14ac:dyDescent="0.4">
      <c r="H426" t="str">
        <f t="shared" si="42"/>
        <v>1004021-端正的火燃情景 (紅)</v>
      </c>
      <c r="I426">
        <v>1004021</v>
      </c>
      <c r="J426" t="str">
        <f>_xlfn.IFNA(IF(I426&lt;&gt;0,VLOOKUP(VLOOKUP(I426,Tbl_Equip[],2,FALSE),Tbl_Color[],IFERROR(MATCH(UI!$B$1,Tbl_Color[#Headers],0),2),FALSE),""),"Unset")</f>
        <v>紅</v>
      </c>
      <c r="K426" t="str">
        <f>_xlfn.IFNA(IF(I426&lt;&gt;0,VLOOKUP(I426,ItemText[],IFERROR(MATCH(UI!$B$1,ItemText[#Headers],0),2),FALSE),""),"Unset")</f>
        <v>端正的火燃情景</v>
      </c>
      <c r="L426" t="str">
        <f t="shared" si="43"/>
        <v/>
      </c>
      <c r="M426">
        <v>0</v>
      </c>
      <c r="N426" t="str">
        <f>IF(VALUE(M426)=0,"",VLOOKUP(VLOOKUP(M426,Tbl_Effect[],3,FALSE),EffectName[],IFERROR(MATCH(UI!$B$1,EffectName[#Headers],0),2),FALSE))</f>
        <v/>
      </c>
      <c r="O426" t="str">
        <f t="shared" si="44"/>
        <v/>
      </c>
      <c r="P426">
        <v>0</v>
      </c>
      <c r="Q426" t="str">
        <f>IF(VALUE(P426)=0,"",VLOOKUP(VLOOKUP(P426,Tbl_Effect[],3,FALSE),EffectName[],IFERROR(MATCH(UI!$B$1,EffectName[#Headers],0),2),FALSE))</f>
        <v/>
      </c>
      <c r="R426" t="str">
        <f t="shared" si="45"/>
        <v/>
      </c>
      <c r="S426">
        <v>0</v>
      </c>
      <c r="T426" t="str">
        <f>IF(VALUE(S426)=0,"",VLOOKUP(VLOOKUP(S426,Tbl_Effect[],3,FALSE),EffectName[],IFERROR(MATCH(UI!$B$1,EffectName[#Headers],0),2),FALSE))</f>
        <v/>
      </c>
      <c r="U426" t="str">
        <f t="shared" si="46"/>
        <v/>
      </c>
      <c r="V426">
        <v>0</v>
      </c>
      <c r="W426" t="str">
        <f>IF(V426&lt;&gt;0,VLOOKUP(VLOOKUP(V426,Tbl_Effect[],3,FALSE),EffectName[],IFERROR(MATCH(UI!$B$1,EffectName[#Headers],0),2),FALSE),"")</f>
        <v/>
      </c>
      <c r="X426" t="str">
        <f t="shared" si="47"/>
        <v/>
      </c>
      <c r="Y426">
        <v>0</v>
      </c>
      <c r="Z426" t="str">
        <f>IF(Y426&lt;&gt;0,VLOOKUP(VLOOKUP(Y426,Tbl_Effect[],3,FALSE),EffectName[],IFERROR(MATCH(UI!$B$1,EffectName[#Headers],0),2),FALSE),"")</f>
        <v/>
      </c>
      <c r="AA426" t="str">
        <f t="shared" si="48"/>
        <v/>
      </c>
      <c r="AB426">
        <v>0</v>
      </c>
      <c r="AC426" t="str">
        <f>IF(AB426&lt;&gt;0,VLOOKUP(VLOOKUP(AB426,Tbl_Effect[],3,FALSE),EffectName[],IFERROR(MATCH(UI!$B$1,EffectName[#Headers],0),2),FALSE),"")</f>
        <v/>
      </c>
    </row>
    <row r="427" spans="8:29" x14ac:dyDescent="0.4">
      <c r="H427" t="str">
        <f t="shared" si="42"/>
        <v>1004022-遼闊的火燃情景 (紅)</v>
      </c>
      <c r="I427">
        <v>1004022</v>
      </c>
      <c r="J427" t="str">
        <f>_xlfn.IFNA(IF(I427&lt;&gt;0,VLOOKUP(VLOOKUP(I427,Tbl_Equip[],2,FALSE),Tbl_Color[],IFERROR(MATCH(UI!$B$1,Tbl_Color[#Headers],0),2),FALSE),""),"Unset")</f>
        <v>紅</v>
      </c>
      <c r="K427" t="str">
        <f>_xlfn.IFNA(IF(I427&lt;&gt;0,VLOOKUP(I427,ItemText[],IFERROR(MATCH(UI!$B$1,ItemText[#Headers],0),2),FALSE),""),"Unset")</f>
        <v>遼闊的火燃情景</v>
      </c>
      <c r="L427" t="str">
        <f t="shared" si="43"/>
        <v/>
      </c>
      <c r="M427">
        <v>0</v>
      </c>
      <c r="N427" t="str">
        <f>IF(VALUE(M427)=0,"",VLOOKUP(VLOOKUP(M427,Tbl_Effect[],3,FALSE),EffectName[],IFERROR(MATCH(UI!$B$1,EffectName[#Headers],0),2),FALSE))</f>
        <v/>
      </c>
      <c r="O427" t="str">
        <f t="shared" si="44"/>
        <v/>
      </c>
      <c r="P427">
        <v>0</v>
      </c>
      <c r="Q427" t="str">
        <f>IF(VALUE(P427)=0,"",VLOOKUP(VLOOKUP(P427,Tbl_Effect[],3,FALSE),EffectName[],IFERROR(MATCH(UI!$B$1,EffectName[#Headers],0),2),FALSE))</f>
        <v/>
      </c>
      <c r="R427" t="str">
        <f t="shared" si="45"/>
        <v/>
      </c>
      <c r="S427">
        <v>0</v>
      </c>
      <c r="T427" t="str">
        <f>IF(VALUE(S427)=0,"",VLOOKUP(VLOOKUP(S427,Tbl_Effect[],3,FALSE),EffectName[],IFERROR(MATCH(UI!$B$1,EffectName[#Headers],0),2),FALSE))</f>
        <v/>
      </c>
      <c r="U427" t="str">
        <f t="shared" si="46"/>
        <v/>
      </c>
      <c r="V427">
        <v>0</v>
      </c>
      <c r="W427" t="str">
        <f>IF(V427&lt;&gt;0,VLOOKUP(VLOOKUP(V427,Tbl_Effect[],3,FALSE),EffectName[],IFERROR(MATCH(UI!$B$1,EffectName[#Headers],0),2),FALSE),"")</f>
        <v/>
      </c>
      <c r="X427" t="str">
        <f t="shared" si="47"/>
        <v/>
      </c>
      <c r="Y427">
        <v>0</v>
      </c>
      <c r="Z427" t="str">
        <f>IF(Y427&lt;&gt;0,VLOOKUP(VLOOKUP(Y427,Tbl_Effect[],3,FALSE),EffectName[],IFERROR(MATCH(UI!$B$1,EffectName[#Headers],0),2),FALSE),"")</f>
        <v/>
      </c>
      <c r="AA427" t="str">
        <f t="shared" si="48"/>
        <v/>
      </c>
      <c r="AB427">
        <v>0</v>
      </c>
      <c r="AC427" t="str">
        <f>IF(AB427&lt;&gt;0,VLOOKUP(VLOOKUP(AB427,Tbl_Effect[],3,FALSE),EffectName[],IFERROR(MATCH(UI!$B$1,EffectName[#Headers],0),2),FALSE),"")</f>
        <v/>
      </c>
    </row>
    <row r="428" spans="8:29" x14ac:dyDescent="0.4">
      <c r="H428" t="str">
        <f t="shared" si="42"/>
        <v>1004100-細膩的水滴情景 (藍)</v>
      </c>
      <c r="I428">
        <v>1004100</v>
      </c>
      <c r="J428" t="str">
        <f>_xlfn.IFNA(IF(I428&lt;&gt;0,VLOOKUP(VLOOKUP(I428,Tbl_Equip[],2,FALSE),Tbl_Color[],IFERROR(MATCH(UI!$B$1,Tbl_Color[#Headers],0),2),FALSE),""),"Unset")</f>
        <v>藍</v>
      </c>
      <c r="K428" t="str">
        <f>_xlfn.IFNA(IF(I428&lt;&gt;0,VLOOKUP(I428,ItemText[],IFERROR(MATCH(UI!$B$1,ItemText[#Headers],0),2),FALSE),""),"Unset")</f>
        <v>細膩的水滴情景</v>
      </c>
      <c r="L428" t="str">
        <f t="shared" si="43"/>
        <v/>
      </c>
      <c r="M428">
        <v>0</v>
      </c>
      <c r="N428" t="str">
        <f>IF(VALUE(M428)=0,"",VLOOKUP(VLOOKUP(M428,Tbl_Effect[],3,FALSE),EffectName[],IFERROR(MATCH(UI!$B$1,EffectName[#Headers],0),2),FALSE))</f>
        <v/>
      </c>
      <c r="O428" t="str">
        <f t="shared" si="44"/>
        <v/>
      </c>
      <c r="P428">
        <v>0</v>
      </c>
      <c r="Q428" t="str">
        <f>IF(VALUE(P428)=0,"",VLOOKUP(VLOOKUP(P428,Tbl_Effect[],3,FALSE),EffectName[],IFERROR(MATCH(UI!$B$1,EffectName[#Headers],0),2),FALSE))</f>
        <v/>
      </c>
      <c r="R428" t="str">
        <f t="shared" si="45"/>
        <v/>
      </c>
      <c r="S428">
        <v>0</v>
      </c>
      <c r="T428" t="str">
        <f>IF(VALUE(S428)=0,"",VLOOKUP(VLOOKUP(S428,Tbl_Effect[],3,FALSE),EffectName[],IFERROR(MATCH(UI!$B$1,EffectName[#Headers],0),2),FALSE))</f>
        <v/>
      </c>
      <c r="U428" t="str">
        <f t="shared" si="46"/>
        <v/>
      </c>
      <c r="V428">
        <v>0</v>
      </c>
      <c r="W428" t="str">
        <f>IF(V428&lt;&gt;0,VLOOKUP(VLOOKUP(V428,Tbl_Effect[],3,FALSE),EffectName[],IFERROR(MATCH(UI!$B$1,EffectName[#Headers],0),2),FALSE),"")</f>
        <v/>
      </c>
      <c r="X428" t="str">
        <f t="shared" si="47"/>
        <v/>
      </c>
      <c r="Y428">
        <v>0</v>
      </c>
      <c r="Z428" t="str">
        <f>IF(Y428&lt;&gt;0,VLOOKUP(VLOOKUP(Y428,Tbl_Effect[],3,FALSE),EffectName[],IFERROR(MATCH(UI!$B$1,EffectName[#Headers],0),2),FALSE),"")</f>
        <v/>
      </c>
      <c r="AA428" t="str">
        <f t="shared" si="48"/>
        <v/>
      </c>
      <c r="AB428">
        <v>0</v>
      </c>
      <c r="AC428" t="str">
        <f>IF(AB428&lt;&gt;0,VLOOKUP(VLOOKUP(AB428,Tbl_Effect[],3,FALSE),EffectName[],IFERROR(MATCH(UI!$B$1,EffectName[#Headers],0),2),FALSE),"")</f>
        <v/>
      </c>
    </row>
    <row r="429" spans="8:29" x14ac:dyDescent="0.4">
      <c r="H429" t="str">
        <f t="shared" si="42"/>
        <v>1004101-端正的水滴情景 (藍)</v>
      </c>
      <c r="I429">
        <v>1004101</v>
      </c>
      <c r="J429" t="str">
        <f>_xlfn.IFNA(IF(I429&lt;&gt;0,VLOOKUP(VLOOKUP(I429,Tbl_Equip[],2,FALSE),Tbl_Color[],IFERROR(MATCH(UI!$B$1,Tbl_Color[#Headers],0),2),FALSE),""),"Unset")</f>
        <v>藍</v>
      </c>
      <c r="K429" t="str">
        <f>_xlfn.IFNA(IF(I429&lt;&gt;0,VLOOKUP(I429,ItemText[],IFERROR(MATCH(UI!$B$1,ItemText[#Headers],0),2),FALSE),""),"Unset")</f>
        <v>端正的水滴情景</v>
      </c>
      <c r="L429" t="str">
        <f t="shared" si="43"/>
        <v/>
      </c>
      <c r="M429">
        <v>0</v>
      </c>
      <c r="N429" t="str">
        <f>IF(VALUE(M429)=0,"",VLOOKUP(VLOOKUP(M429,Tbl_Effect[],3,FALSE),EffectName[],IFERROR(MATCH(UI!$B$1,EffectName[#Headers],0),2),FALSE))</f>
        <v/>
      </c>
      <c r="O429" t="str">
        <f t="shared" si="44"/>
        <v/>
      </c>
      <c r="P429">
        <v>0</v>
      </c>
      <c r="Q429" t="str">
        <f>IF(VALUE(P429)=0,"",VLOOKUP(VLOOKUP(P429,Tbl_Effect[],3,FALSE),EffectName[],IFERROR(MATCH(UI!$B$1,EffectName[#Headers],0),2),FALSE))</f>
        <v/>
      </c>
      <c r="R429" t="str">
        <f t="shared" si="45"/>
        <v/>
      </c>
      <c r="S429">
        <v>0</v>
      </c>
      <c r="T429" t="str">
        <f>IF(VALUE(S429)=0,"",VLOOKUP(VLOOKUP(S429,Tbl_Effect[],3,FALSE),EffectName[],IFERROR(MATCH(UI!$B$1,EffectName[#Headers],0),2),FALSE))</f>
        <v/>
      </c>
      <c r="U429" t="str">
        <f t="shared" si="46"/>
        <v/>
      </c>
      <c r="V429">
        <v>0</v>
      </c>
      <c r="W429" t="str">
        <f>IF(V429&lt;&gt;0,VLOOKUP(VLOOKUP(V429,Tbl_Effect[],3,FALSE),EffectName[],IFERROR(MATCH(UI!$B$1,EffectName[#Headers],0),2),FALSE),"")</f>
        <v/>
      </c>
      <c r="X429" t="str">
        <f t="shared" si="47"/>
        <v/>
      </c>
      <c r="Y429">
        <v>0</v>
      </c>
      <c r="Z429" t="str">
        <f>IF(Y429&lt;&gt;0,VLOOKUP(VLOOKUP(Y429,Tbl_Effect[],3,FALSE),EffectName[],IFERROR(MATCH(UI!$B$1,EffectName[#Headers],0),2),FALSE),"")</f>
        <v/>
      </c>
      <c r="AA429" t="str">
        <f t="shared" si="48"/>
        <v/>
      </c>
      <c r="AB429">
        <v>0</v>
      </c>
      <c r="AC429" t="str">
        <f>IF(AB429&lt;&gt;0,VLOOKUP(VLOOKUP(AB429,Tbl_Effect[],3,FALSE),EffectName[],IFERROR(MATCH(UI!$B$1,EffectName[#Headers],0),2),FALSE),"")</f>
        <v/>
      </c>
    </row>
    <row r="430" spans="8:29" x14ac:dyDescent="0.4">
      <c r="H430" t="str">
        <f t="shared" si="42"/>
        <v>1004102-遼闊的水滴情景 (藍)</v>
      </c>
      <c r="I430">
        <v>1004102</v>
      </c>
      <c r="J430" t="str">
        <f>_xlfn.IFNA(IF(I430&lt;&gt;0,VLOOKUP(VLOOKUP(I430,Tbl_Equip[],2,FALSE),Tbl_Color[],IFERROR(MATCH(UI!$B$1,Tbl_Color[#Headers],0),2),FALSE),""),"Unset")</f>
        <v>藍</v>
      </c>
      <c r="K430" t="str">
        <f>_xlfn.IFNA(IF(I430&lt;&gt;0,VLOOKUP(I430,ItemText[],IFERROR(MATCH(UI!$B$1,ItemText[#Headers],0),2),FALSE),""),"Unset")</f>
        <v>遼闊的水滴情景</v>
      </c>
      <c r="L430" t="str">
        <f t="shared" si="43"/>
        <v/>
      </c>
      <c r="M430">
        <v>0</v>
      </c>
      <c r="N430" t="str">
        <f>IF(VALUE(M430)=0,"",VLOOKUP(VLOOKUP(M430,Tbl_Effect[],3,FALSE),EffectName[],IFERROR(MATCH(UI!$B$1,EffectName[#Headers],0),2),FALSE))</f>
        <v/>
      </c>
      <c r="O430" t="str">
        <f t="shared" si="44"/>
        <v/>
      </c>
      <c r="P430">
        <v>0</v>
      </c>
      <c r="Q430" t="str">
        <f>IF(VALUE(P430)=0,"",VLOOKUP(VLOOKUP(P430,Tbl_Effect[],3,FALSE),EffectName[],IFERROR(MATCH(UI!$B$1,EffectName[#Headers],0),2),FALSE))</f>
        <v/>
      </c>
      <c r="R430" t="str">
        <f t="shared" si="45"/>
        <v/>
      </c>
      <c r="S430">
        <v>0</v>
      </c>
      <c r="T430" t="str">
        <f>IF(VALUE(S430)=0,"",VLOOKUP(VLOOKUP(S430,Tbl_Effect[],3,FALSE),EffectName[],IFERROR(MATCH(UI!$B$1,EffectName[#Headers],0),2),FALSE))</f>
        <v/>
      </c>
      <c r="U430" t="str">
        <f t="shared" si="46"/>
        <v/>
      </c>
      <c r="V430">
        <v>0</v>
      </c>
      <c r="W430" t="str">
        <f>IF(V430&lt;&gt;0,VLOOKUP(VLOOKUP(V430,Tbl_Effect[],3,FALSE),EffectName[],IFERROR(MATCH(UI!$B$1,EffectName[#Headers],0),2),FALSE),"")</f>
        <v/>
      </c>
      <c r="X430" t="str">
        <f t="shared" si="47"/>
        <v/>
      </c>
      <c r="Y430">
        <v>0</v>
      </c>
      <c r="Z430" t="str">
        <f>IF(Y430&lt;&gt;0,VLOOKUP(VLOOKUP(Y430,Tbl_Effect[],3,FALSE),EffectName[],IFERROR(MATCH(UI!$B$1,EffectName[#Headers],0),2),FALSE),"")</f>
        <v/>
      </c>
      <c r="AA430" t="str">
        <f t="shared" si="48"/>
        <v/>
      </c>
      <c r="AB430">
        <v>0</v>
      </c>
      <c r="AC430" t="str">
        <f>IF(AB430&lt;&gt;0,VLOOKUP(VLOOKUP(AB430,Tbl_Effect[],3,FALSE),EffectName[],IFERROR(MATCH(UI!$B$1,EffectName[#Headers],0),2),FALSE),"")</f>
        <v/>
      </c>
    </row>
    <row r="431" spans="8:29" x14ac:dyDescent="0.4">
      <c r="H431" t="str">
        <f t="shared" si="42"/>
        <v>1004110-細膩的水滴情景 (藍)</v>
      </c>
      <c r="I431">
        <v>1004110</v>
      </c>
      <c r="J431" t="str">
        <f>_xlfn.IFNA(IF(I431&lt;&gt;0,VLOOKUP(VLOOKUP(I431,Tbl_Equip[],2,FALSE),Tbl_Color[],IFERROR(MATCH(UI!$B$1,Tbl_Color[#Headers],0),2),FALSE),""),"Unset")</f>
        <v>藍</v>
      </c>
      <c r="K431" t="str">
        <f>_xlfn.IFNA(IF(I431&lt;&gt;0,VLOOKUP(I431,ItemText[],IFERROR(MATCH(UI!$B$1,ItemText[#Headers],0),2),FALSE),""),"Unset")</f>
        <v>細膩的水滴情景</v>
      </c>
      <c r="L431" t="str">
        <f t="shared" si="43"/>
        <v/>
      </c>
      <c r="M431">
        <v>0</v>
      </c>
      <c r="N431" t="str">
        <f>IF(VALUE(M431)=0,"",VLOOKUP(VLOOKUP(M431,Tbl_Effect[],3,FALSE),EffectName[],IFERROR(MATCH(UI!$B$1,EffectName[#Headers],0),2),FALSE))</f>
        <v/>
      </c>
      <c r="O431" t="str">
        <f t="shared" si="44"/>
        <v/>
      </c>
      <c r="P431">
        <v>0</v>
      </c>
      <c r="Q431" t="str">
        <f>IF(VALUE(P431)=0,"",VLOOKUP(VLOOKUP(P431,Tbl_Effect[],3,FALSE),EffectName[],IFERROR(MATCH(UI!$B$1,EffectName[#Headers],0),2),FALSE))</f>
        <v/>
      </c>
      <c r="R431" t="str">
        <f t="shared" si="45"/>
        <v/>
      </c>
      <c r="S431">
        <v>0</v>
      </c>
      <c r="T431" t="str">
        <f>IF(VALUE(S431)=0,"",VLOOKUP(VLOOKUP(S431,Tbl_Effect[],3,FALSE),EffectName[],IFERROR(MATCH(UI!$B$1,EffectName[#Headers],0),2),FALSE))</f>
        <v/>
      </c>
      <c r="U431" t="str">
        <f t="shared" si="46"/>
        <v/>
      </c>
      <c r="V431">
        <v>0</v>
      </c>
      <c r="W431" t="str">
        <f>IF(V431&lt;&gt;0,VLOOKUP(VLOOKUP(V431,Tbl_Effect[],3,FALSE),EffectName[],IFERROR(MATCH(UI!$B$1,EffectName[#Headers],0),2),FALSE),"")</f>
        <v/>
      </c>
      <c r="X431" t="str">
        <f t="shared" si="47"/>
        <v/>
      </c>
      <c r="Y431">
        <v>0</v>
      </c>
      <c r="Z431" t="str">
        <f>IF(Y431&lt;&gt;0,VLOOKUP(VLOOKUP(Y431,Tbl_Effect[],3,FALSE),EffectName[],IFERROR(MATCH(UI!$B$1,EffectName[#Headers],0),2),FALSE),"")</f>
        <v/>
      </c>
      <c r="AA431" t="str">
        <f t="shared" si="48"/>
        <v/>
      </c>
      <c r="AB431">
        <v>0</v>
      </c>
      <c r="AC431" t="str">
        <f>IF(AB431&lt;&gt;0,VLOOKUP(VLOOKUP(AB431,Tbl_Effect[],3,FALSE),EffectName[],IFERROR(MATCH(UI!$B$1,EffectName[#Headers],0),2),FALSE),"")</f>
        <v/>
      </c>
    </row>
    <row r="432" spans="8:29" x14ac:dyDescent="0.4">
      <c r="H432" t="str">
        <f t="shared" si="42"/>
        <v>1004111-端正的水滴情景 (藍)</v>
      </c>
      <c r="I432">
        <v>1004111</v>
      </c>
      <c r="J432" t="str">
        <f>_xlfn.IFNA(IF(I432&lt;&gt;0,VLOOKUP(VLOOKUP(I432,Tbl_Equip[],2,FALSE),Tbl_Color[],IFERROR(MATCH(UI!$B$1,Tbl_Color[#Headers],0),2),FALSE),""),"Unset")</f>
        <v>藍</v>
      </c>
      <c r="K432" t="str">
        <f>_xlfn.IFNA(IF(I432&lt;&gt;0,VLOOKUP(I432,ItemText[],IFERROR(MATCH(UI!$B$1,ItemText[#Headers],0),2),FALSE),""),"Unset")</f>
        <v>端正的水滴情景</v>
      </c>
      <c r="L432" t="str">
        <f t="shared" si="43"/>
        <v/>
      </c>
      <c r="M432">
        <v>0</v>
      </c>
      <c r="N432" t="str">
        <f>IF(VALUE(M432)=0,"",VLOOKUP(VLOOKUP(M432,Tbl_Effect[],3,FALSE),EffectName[],IFERROR(MATCH(UI!$B$1,EffectName[#Headers],0),2),FALSE))</f>
        <v/>
      </c>
      <c r="O432" t="str">
        <f t="shared" si="44"/>
        <v/>
      </c>
      <c r="P432">
        <v>0</v>
      </c>
      <c r="Q432" t="str">
        <f>IF(VALUE(P432)=0,"",VLOOKUP(VLOOKUP(P432,Tbl_Effect[],3,FALSE),EffectName[],IFERROR(MATCH(UI!$B$1,EffectName[#Headers],0),2),FALSE))</f>
        <v/>
      </c>
      <c r="R432" t="str">
        <f t="shared" si="45"/>
        <v/>
      </c>
      <c r="S432">
        <v>0</v>
      </c>
      <c r="T432" t="str">
        <f>IF(VALUE(S432)=0,"",VLOOKUP(VLOOKUP(S432,Tbl_Effect[],3,FALSE),EffectName[],IFERROR(MATCH(UI!$B$1,EffectName[#Headers],0),2),FALSE))</f>
        <v/>
      </c>
      <c r="U432" t="str">
        <f t="shared" si="46"/>
        <v/>
      </c>
      <c r="V432">
        <v>0</v>
      </c>
      <c r="W432" t="str">
        <f>IF(V432&lt;&gt;0,VLOOKUP(VLOOKUP(V432,Tbl_Effect[],3,FALSE),EffectName[],IFERROR(MATCH(UI!$B$1,EffectName[#Headers],0),2),FALSE),"")</f>
        <v/>
      </c>
      <c r="X432" t="str">
        <f t="shared" si="47"/>
        <v/>
      </c>
      <c r="Y432">
        <v>0</v>
      </c>
      <c r="Z432" t="str">
        <f>IF(Y432&lt;&gt;0,VLOOKUP(VLOOKUP(Y432,Tbl_Effect[],3,FALSE),EffectName[],IFERROR(MATCH(UI!$B$1,EffectName[#Headers],0),2),FALSE),"")</f>
        <v/>
      </c>
      <c r="AA432" t="str">
        <f t="shared" si="48"/>
        <v/>
      </c>
      <c r="AB432">
        <v>0</v>
      </c>
      <c r="AC432" t="str">
        <f>IF(AB432&lt;&gt;0,VLOOKUP(VLOOKUP(AB432,Tbl_Effect[],3,FALSE),EffectName[],IFERROR(MATCH(UI!$B$1,EffectName[#Headers],0),2),FALSE),"")</f>
        <v/>
      </c>
    </row>
    <row r="433" spans="8:29" x14ac:dyDescent="0.4">
      <c r="H433" t="str">
        <f t="shared" si="42"/>
        <v>1004112-遼闊的水滴情景 (藍)</v>
      </c>
      <c r="I433">
        <v>1004112</v>
      </c>
      <c r="J433" t="str">
        <f>_xlfn.IFNA(IF(I433&lt;&gt;0,VLOOKUP(VLOOKUP(I433,Tbl_Equip[],2,FALSE),Tbl_Color[],IFERROR(MATCH(UI!$B$1,Tbl_Color[#Headers],0),2),FALSE),""),"Unset")</f>
        <v>藍</v>
      </c>
      <c r="K433" t="str">
        <f>_xlfn.IFNA(IF(I433&lt;&gt;0,VLOOKUP(I433,ItemText[],IFERROR(MATCH(UI!$B$1,ItemText[#Headers],0),2),FALSE),""),"Unset")</f>
        <v>遼闊的水滴情景</v>
      </c>
      <c r="L433" t="str">
        <f t="shared" si="43"/>
        <v/>
      </c>
      <c r="M433">
        <v>0</v>
      </c>
      <c r="N433" t="str">
        <f>IF(VALUE(M433)=0,"",VLOOKUP(VLOOKUP(M433,Tbl_Effect[],3,FALSE),EffectName[],IFERROR(MATCH(UI!$B$1,EffectName[#Headers],0),2),FALSE))</f>
        <v/>
      </c>
      <c r="O433" t="str">
        <f t="shared" si="44"/>
        <v/>
      </c>
      <c r="P433">
        <v>0</v>
      </c>
      <c r="Q433" t="str">
        <f>IF(VALUE(P433)=0,"",VLOOKUP(VLOOKUP(P433,Tbl_Effect[],3,FALSE),EffectName[],IFERROR(MATCH(UI!$B$1,EffectName[#Headers],0),2),FALSE))</f>
        <v/>
      </c>
      <c r="R433" t="str">
        <f t="shared" si="45"/>
        <v/>
      </c>
      <c r="S433">
        <v>0</v>
      </c>
      <c r="T433" t="str">
        <f>IF(VALUE(S433)=0,"",VLOOKUP(VLOOKUP(S433,Tbl_Effect[],3,FALSE),EffectName[],IFERROR(MATCH(UI!$B$1,EffectName[#Headers],0),2),FALSE))</f>
        <v/>
      </c>
      <c r="U433" t="str">
        <f t="shared" si="46"/>
        <v/>
      </c>
      <c r="V433">
        <v>0</v>
      </c>
      <c r="W433" t="str">
        <f>IF(V433&lt;&gt;0,VLOOKUP(VLOOKUP(V433,Tbl_Effect[],3,FALSE),EffectName[],IFERROR(MATCH(UI!$B$1,EffectName[#Headers],0),2),FALSE),"")</f>
        <v/>
      </c>
      <c r="X433" t="str">
        <f t="shared" si="47"/>
        <v/>
      </c>
      <c r="Y433">
        <v>0</v>
      </c>
      <c r="Z433" t="str">
        <f>IF(Y433&lt;&gt;0,VLOOKUP(VLOOKUP(Y433,Tbl_Effect[],3,FALSE),EffectName[],IFERROR(MATCH(UI!$B$1,EffectName[#Headers],0),2),FALSE),"")</f>
        <v/>
      </c>
      <c r="AA433" t="str">
        <f t="shared" si="48"/>
        <v/>
      </c>
      <c r="AB433">
        <v>0</v>
      </c>
      <c r="AC433" t="str">
        <f>IF(AB433&lt;&gt;0,VLOOKUP(VLOOKUP(AB433,Tbl_Effect[],3,FALSE),EffectName[],IFERROR(MATCH(UI!$B$1,EffectName[#Headers],0),2),FALSE),"")</f>
        <v/>
      </c>
    </row>
    <row r="434" spans="8:29" x14ac:dyDescent="0.4">
      <c r="H434" t="str">
        <f t="shared" si="42"/>
        <v>1004120-細膩的水滴情景 (藍)</v>
      </c>
      <c r="I434">
        <v>1004120</v>
      </c>
      <c r="J434" t="str">
        <f>_xlfn.IFNA(IF(I434&lt;&gt;0,VLOOKUP(VLOOKUP(I434,Tbl_Equip[],2,FALSE),Tbl_Color[],IFERROR(MATCH(UI!$B$1,Tbl_Color[#Headers],0),2),FALSE),""),"Unset")</f>
        <v>藍</v>
      </c>
      <c r="K434" t="str">
        <f>_xlfn.IFNA(IF(I434&lt;&gt;0,VLOOKUP(I434,ItemText[],IFERROR(MATCH(UI!$B$1,ItemText[#Headers],0),2),FALSE),""),"Unset")</f>
        <v>細膩的水滴情景</v>
      </c>
      <c r="L434" t="str">
        <f t="shared" si="43"/>
        <v/>
      </c>
      <c r="M434">
        <v>0</v>
      </c>
      <c r="N434" t="str">
        <f>IF(VALUE(M434)=0,"",VLOOKUP(VLOOKUP(M434,Tbl_Effect[],3,FALSE),EffectName[],IFERROR(MATCH(UI!$B$1,EffectName[#Headers],0),2),FALSE))</f>
        <v/>
      </c>
      <c r="O434" t="str">
        <f t="shared" si="44"/>
        <v/>
      </c>
      <c r="P434">
        <v>0</v>
      </c>
      <c r="Q434" t="str">
        <f>IF(VALUE(P434)=0,"",VLOOKUP(VLOOKUP(P434,Tbl_Effect[],3,FALSE),EffectName[],IFERROR(MATCH(UI!$B$1,EffectName[#Headers],0),2),FALSE))</f>
        <v/>
      </c>
      <c r="R434" t="str">
        <f t="shared" si="45"/>
        <v/>
      </c>
      <c r="S434">
        <v>0</v>
      </c>
      <c r="T434" t="str">
        <f>IF(VALUE(S434)=0,"",VLOOKUP(VLOOKUP(S434,Tbl_Effect[],3,FALSE),EffectName[],IFERROR(MATCH(UI!$B$1,EffectName[#Headers],0),2),FALSE))</f>
        <v/>
      </c>
      <c r="U434" t="str">
        <f t="shared" si="46"/>
        <v/>
      </c>
      <c r="V434">
        <v>0</v>
      </c>
      <c r="W434" t="str">
        <f>IF(V434&lt;&gt;0,VLOOKUP(VLOOKUP(V434,Tbl_Effect[],3,FALSE),EffectName[],IFERROR(MATCH(UI!$B$1,EffectName[#Headers],0),2),FALSE),"")</f>
        <v/>
      </c>
      <c r="X434" t="str">
        <f t="shared" si="47"/>
        <v/>
      </c>
      <c r="Y434">
        <v>0</v>
      </c>
      <c r="Z434" t="str">
        <f>IF(Y434&lt;&gt;0,VLOOKUP(VLOOKUP(Y434,Tbl_Effect[],3,FALSE),EffectName[],IFERROR(MATCH(UI!$B$1,EffectName[#Headers],0),2),FALSE),"")</f>
        <v/>
      </c>
      <c r="AA434" t="str">
        <f t="shared" si="48"/>
        <v/>
      </c>
      <c r="AB434">
        <v>0</v>
      </c>
      <c r="AC434" t="str">
        <f>IF(AB434&lt;&gt;0,VLOOKUP(VLOOKUP(AB434,Tbl_Effect[],3,FALSE),EffectName[],IFERROR(MATCH(UI!$B$1,EffectName[#Headers],0),2),FALSE),"")</f>
        <v/>
      </c>
    </row>
    <row r="435" spans="8:29" x14ac:dyDescent="0.4">
      <c r="H435" t="str">
        <f t="shared" si="42"/>
        <v>1004121-端正的水滴情景 (藍)</v>
      </c>
      <c r="I435">
        <v>1004121</v>
      </c>
      <c r="J435" t="str">
        <f>_xlfn.IFNA(IF(I435&lt;&gt;0,VLOOKUP(VLOOKUP(I435,Tbl_Equip[],2,FALSE),Tbl_Color[],IFERROR(MATCH(UI!$B$1,Tbl_Color[#Headers],0),2),FALSE),""),"Unset")</f>
        <v>藍</v>
      </c>
      <c r="K435" t="str">
        <f>_xlfn.IFNA(IF(I435&lt;&gt;0,VLOOKUP(I435,ItemText[],IFERROR(MATCH(UI!$B$1,ItemText[#Headers],0),2),FALSE),""),"Unset")</f>
        <v>端正的水滴情景</v>
      </c>
      <c r="L435" t="str">
        <f t="shared" si="43"/>
        <v/>
      </c>
      <c r="M435">
        <v>0</v>
      </c>
      <c r="N435" t="str">
        <f>IF(VALUE(M435)=0,"",VLOOKUP(VLOOKUP(M435,Tbl_Effect[],3,FALSE),EffectName[],IFERROR(MATCH(UI!$B$1,EffectName[#Headers],0),2),FALSE))</f>
        <v/>
      </c>
      <c r="O435" t="str">
        <f t="shared" si="44"/>
        <v/>
      </c>
      <c r="P435">
        <v>0</v>
      </c>
      <c r="Q435" t="str">
        <f>IF(VALUE(P435)=0,"",VLOOKUP(VLOOKUP(P435,Tbl_Effect[],3,FALSE),EffectName[],IFERROR(MATCH(UI!$B$1,EffectName[#Headers],0),2),FALSE))</f>
        <v/>
      </c>
      <c r="R435" t="str">
        <f t="shared" si="45"/>
        <v/>
      </c>
      <c r="S435">
        <v>0</v>
      </c>
      <c r="T435" t="str">
        <f>IF(VALUE(S435)=0,"",VLOOKUP(VLOOKUP(S435,Tbl_Effect[],3,FALSE),EffectName[],IFERROR(MATCH(UI!$B$1,EffectName[#Headers],0),2),FALSE))</f>
        <v/>
      </c>
      <c r="U435" t="str">
        <f t="shared" si="46"/>
        <v/>
      </c>
      <c r="V435">
        <v>0</v>
      </c>
      <c r="W435" t="str">
        <f>IF(V435&lt;&gt;0,VLOOKUP(VLOOKUP(V435,Tbl_Effect[],3,FALSE),EffectName[],IFERROR(MATCH(UI!$B$1,EffectName[#Headers],0),2),FALSE),"")</f>
        <v/>
      </c>
      <c r="X435" t="str">
        <f t="shared" si="47"/>
        <v/>
      </c>
      <c r="Y435">
        <v>0</v>
      </c>
      <c r="Z435" t="str">
        <f>IF(Y435&lt;&gt;0,VLOOKUP(VLOOKUP(Y435,Tbl_Effect[],3,FALSE),EffectName[],IFERROR(MATCH(UI!$B$1,EffectName[#Headers],0),2),FALSE),"")</f>
        <v/>
      </c>
      <c r="AA435" t="str">
        <f t="shared" si="48"/>
        <v/>
      </c>
      <c r="AB435">
        <v>0</v>
      </c>
      <c r="AC435" t="str">
        <f>IF(AB435&lt;&gt;0,VLOOKUP(VLOOKUP(AB435,Tbl_Effect[],3,FALSE),EffectName[],IFERROR(MATCH(UI!$B$1,EffectName[#Headers],0),2),FALSE),"")</f>
        <v/>
      </c>
    </row>
    <row r="436" spans="8:29" x14ac:dyDescent="0.4">
      <c r="H436" t="str">
        <f t="shared" si="42"/>
        <v>1004122-遼闊的水滴情景 (藍)</v>
      </c>
      <c r="I436">
        <v>1004122</v>
      </c>
      <c r="J436" t="str">
        <f>_xlfn.IFNA(IF(I436&lt;&gt;0,VLOOKUP(VLOOKUP(I436,Tbl_Equip[],2,FALSE),Tbl_Color[],IFERROR(MATCH(UI!$B$1,Tbl_Color[#Headers],0),2),FALSE),""),"Unset")</f>
        <v>藍</v>
      </c>
      <c r="K436" t="str">
        <f>_xlfn.IFNA(IF(I436&lt;&gt;0,VLOOKUP(I436,ItemText[],IFERROR(MATCH(UI!$B$1,ItemText[#Headers],0),2),FALSE),""),"Unset")</f>
        <v>遼闊的水滴情景</v>
      </c>
      <c r="L436" t="str">
        <f t="shared" si="43"/>
        <v/>
      </c>
      <c r="M436">
        <v>0</v>
      </c>
      <c r="N436" t="str">
        <f>IF(VALUE(M436)=0,"",VLOOKUP(VLOOKUP(M436,Tbl_Effect[],3,FALSE),EffectName[],IFERROR(MATCH(UI!$B$1,EffectName[#Headers],0),2),FALSE))</f>
        <v/>
      </c>
      <c r="O436" t="str">
        <f t="shared" si="44"/>
        <v/>
      </c>
      <c r="P436">
        <v>0</v>
      </c>
      <c r="Q436" t="str">
        <f>IF(VALUE(P436)=0,"",VLOOKUP(VLOOKUP(P436,Tbl_Effect[],3,FALSE),EffectName[],IFERROR(MATCH(UI!$B$1,EffectName[#Headers],0),2),FALSE))</f>
        <v/>
      </c>
      <c r="R436" t="str">
        <f t="shared" si="45"/>
        <v/>
      </c>
      <c r="S436">
        <v>0</v>
      </c>
      <c r="T436" t="str">
        <f>IF(VALUE(S436)=0,"",VLOOKUP(VLOOKUP(S436,Tbl_Effect[],3,FALSE),EffectName[],IFERROR(MATCH(UI!$B$1,EffectName[#Headers],0),2),FALSE))</f>
        <v/>
      </c>
      <c r="U436" t="str">
        <f t="shared" si="46"/>
        <v/>
      </c>
      <c r="V436">
        <v>0</v>
      </c>
      <c r="W436" t="str">
        <f>IF(V436&lt;&gt;0,VLOOKUP(VLOOKUP(V436,Tbl_Effect[],3,FALSE),EffectName[],IFERROR(MATCH(UI!$B$1,EffectName[#Headers],0),2),FALSE),"")</f>
        <v/>
      </c>
      <c r="X436" t="str">
        <f t="shared" si="47"/>
        <v/>
      </c>
      <c r="Y436">
        <v>0</v>
      </c>
      <c r="Z436" t="str">
        <f>IF(Y436&lt;&gt;0,VLOOKUP(VLOOKUP(Y436,Tbl_Effect[],3,FALSE),EffectName[],IFERROR(MATCH(UI!$B$1,EffectName[#Headers],0),2),FALSE),"")</f>
        <v/>
      </c>
      <c r="AA436" t="str">
        <f t="shared" si="48"/>
        <v/>
      </c>
      <c r="AB436">
        <v>0</v>
      </c>
      <c r="AC436" t="str">
        <f>IF(AB436&lt;&gt;0,VLOOKUP(VLOOKUP(AB436,Tbl_Effect[],3,FALSE),EffectName[],IFERROR(MATCH(UI!$B$1,EffectName[#Headers],0),2),FALSE),"")</f>
        <v/>
      </c>
    </row>
    <row r="437" spans="8:29" x14ac:dyDescent="0.4">
      <c r="H437" t="str">
        <f t="shared" si="42"/>
        <v>1004200-細膩的光耀情景 (黃)</v>
      </c>
      <c r="I437">
        <v>1004200</v>
      </c>
      <c r="J437" t="str">
        <f>_xlfn.IFNA(IF(I437&lt;&gt;0,VLOOKUP(VLOOKUP(I437,Tbl_Equip[],2,FALSE),Tbl_Color[],IFERROR(MATCH(UI!$B$1,Tbl_Color[#Headers],0),2),FALSE),""),"Unset")</f>
        <v>黃</v>
      </c>
      <c r="K437" t="str">
        <f>_xlfn.IFNA(IF(I437&lt;&gt;0,VLOOKUP(I437,ItemText[],IFERROR(MATCH(UI!$B$1,ItemText[#Headers],0),2),FALSE),""),"Unset")</f>
        <v>細膩的光耀情景</v>
      </c>
      <c r="L437" t="str">
        <f t="shared" si="43"/>
        <v/>
      </c>
      <c r="M437">
        <v>0</v>
      </c>
      <c r="N437" t="str">
        <f>IF(VALUE(M437)=0,"",VLOOKUP(VLOOKUP(M437,Tbl_Effect[],3,FALSE),EffectName[],IFERROR(MATCH(UI!$B$1,EffectName[#Headers],0),2),FALSE))</f>
        <v/>
      </c>
      <c r="O437" t="str">
        <f t="shared" si="44"/>
        <v/>
      </c>
      <c r="P437">
        <v>0</v>
      </c>
      <c r="Q437" t="str">
        <f>IF(VALUE(P437)=0,"",VLOOKUP(VLOOKUP(P437,Tbl_Effect[],3,FALSE),EffectName[],IFERROR(MATCH(UI!$B$1,EffectName[#Headers],0),2),FALSE))</f>
        <v/>
      </c>
      <c r="R437" t="str">
        <f t="shared" si="45"/>
        <v/>
      </c>
      <c r="S437">
        <v>0</v>
      </c>
      <c r="T437" t="str">
        <f>IF(VALUE(S437)=0,"",VLOOKUP(VLOOKUP(S437,Tbl_Effect[],3,FALSE),EffectName[],IFERROR(MATCH(UI!$B$1,EffectName[#Headers],0),2),FALSE))</f>
        <v/>
      </c>
      <c r="U437" t="str">
        <f t="shared" si="46"/>
        <v/>
      </c>
      <c r="V437">
        <v>0</v>
      </c>
      <c r="W437" t="str">
        <f>IF(V437&lt;&gt;0,VLOOKUP(VLOOKUP(V437,Tbl_Effect[],3,FALSE),EffectName[],IFERROR(MATCH(UI!$B$1,EffectName[#Headers],0),2),FALSE),"")</f>
        <v/>
      </c>
      <c r="X437" t="str">
        <f t="shared" si="47"/>
        <v/>
      </c>
      <c r="Y437">
        <v>0</v>
      </c>
      <c r="Z437" t="str">
        <f>IF(Y437&lt;&gt;0,VLOOKUP(VLOOKUP(Y437,Tbl_Effect[],3,FALSE),EffectName[],IFERROR(MATCH(UI!$B$1,EffectName[#Headers],0),2),FALSE),"")</f>
        <v/>
      </c>
      <c r="AA437" t="str">
        <f t="shared" si="48"/>
        <v/>
      </c>
      <c r="AB437">
        <v>0</v>
      </c>
      <c r="AC437" t="str">
        <f>IF(AB437&lt;&gt;0,VLOOKUP(VLOOKUP(AB437,Tbl_Effect[],3,FALSE),EffectName[],IFERROR(MATCH(UI!$B$1,EffectName[#Headers],0),2),FALSE),"")</f>
        <v/>
      </c>
    </row>
    <row r="438" spans="8:29" x14ac:dyDescent="0.4">
      <c r="H438" t="str">
        <f t="shared" si="42"/>
        <v>1004201-端正的光耀情景 (黃)</v>
      </c>
      <c r="I438">
        <v>1004201</v>
      </c>
      <c r="J438" t="str">
        <f>_xlfn.IFNA(IF(I438&lt;&gt;0,VLOOKUP(VLOOKUP(I438,Tbl_Equip[],2,FALSE),Tbl_Color[],IFERROR(MATCH(UI!$B$1,Tbl_Color[#Headers],0),2),FALSE),""),"Unset")</f>
        <v>黃</v>
      </c>
      <c r="K438" t="str">
        <f>_xlfn.IFNA(IF(I438&lt;&gt;0,VLOOKUP(I438,ItemText[],IFERROR(MATCH(UI!$B$1,ItemText[#Headers],0),2),FALSE),""),"Unset")</f>
        <v>端正的光耀情景</v>
      </c>
      <c r="L438" t="str">
        <f t="shared" si="43"/>
        <v/>
      </c>
      <c r="M438">
        <v>0</v>
      </c>
      <c r="N438" t="str">
        <f>IF(VALUE(M438)=0,"",VLOOKUP(VLOOKUP(M438,Tbl_Effect[],3,FALSE),EffectName[],IFERROR(MATCH(UI!$B$1,EffectName[#Headers],0),2),FALSE))</f>
        <v/>
      </c>
      <c r="O438" t="str">
        <f t="shared" si="44"/>
        <v/>
      </c>
      <c r="P438">
        <v>0</v>
      </c>
      <c r="Q438" t="str">
        <f>IF(VALUE(P438)=0,"",VLOOKUP(VLOOKUP(P438,Tbl_Effect[],3,FALSE),EffectName[],IFERROR(MATCH(UI!$B$1,EffectName[#Headers],0),2),FALSE))</f>
        <v/>
      </c>
      <c r="R438" t="str">
        <f t="shared" si="45"/>
        <v/>
      </c>
      <c r="S438">
        <v>0</v>
      </c>
      <c r="T438" t="str">
        <f>IF(VALUE(S438)=0,"",VLOOKUP(VLOOKUP(S438,Tbl_Effect[],3,FALSE),EffectName[],IFERROR(MATCH(UI!$B$1,EffectName[#Headers],0),2),FALSE))</f>
        <v/>
      </c>
      <c r="U438" t="str">
        <f t="shared" si="46"/>
        <v/>
      </c>
      <c r="V438">
        <v>0</v>
      </c>
      <c r="W438" t="str">
        <f>IF(V438&lt;&gt;0,VLOOKUP(VLOOKUP(V438,Tbl_Effect[],3,FALSE),EffectName[],IFERROR(MATCH(UI!$B$1,EffectName[#Headers],0),2),FALSE),"")</f>
        <v/>
      </c>
      <c r="X438" t="str">
        <f t="shared" si="47"/>
        <v/>
      </c>
      <c r="Y438">
        <v>0</v>
      </c>
      <c r="Z438" t="str">
        <f>IF(Y438&lt;&gt;0,VLOOKUP(VLOOKUP(Y438,Tbl_Effect[],3,FALSE),EffectName[],IFERROR(MATCH(UI!$B$1,EffectName[#Headers],0),2),FALSE),"")</f>
        <v/>
      </c>
      <c r="AA438" t="str">
        <f t="shared" si="48"/>
        <v/>
      </c>
      <c r="AB438">
        <v>0</v>
      </c>
      <c r="AC438" t="str">
        <f>IF(AB438&lt;&gt;0,VLOOKUP(VLOOKUP(AB438,Tbl_Effect[],3,FALSE),EffectName[],IFERROR(MATCH(UI!$B$1,EffectName[#Headers],0),2),FALSE),"")</f>
        <v/>
      </c>
    </row>
    <row r="439" spans="8:29" x14ac:dyDescent="0.4">
      <c r="H439" t="str">
        <f t="shared" si="42"/>
        <v>1004202-遼闊的光耀情景 (黃)</v>
      </c>
      <c r="I439">
        <v>1004202</v>
      </c>
      <c r="J439" t="str">
        <f>_xlfn.IFNA(IF(I439&lt;&gt;0,VLOOKUP(VLOOKUP(I439,Tbl_Equip[],2,FALSE),Tbl_Color[],IFERROR(MATCH(UI!$B$1,Tbl_Color[#Headers],0),2),FALSE),""),"Unset")</f>
        <v>黃</v>
      </c>
      <c r="K439" t="str">
        <f>_xlfn.IFNA(IF(I439&lt;&gt;0,VLOOKUP(I439,ItemText[],IFERROR(MATCH(UI!$B$1,ItemText[#Headers],0),2),FALSE),""),"Unset")</f>
        <v>遼闊的光耀情景</v>
      </c>
      <c r="L439" t="str">
        <f t="shared" si="43"/>
        <v/>
      </c>
      <c r="M439">
        <v>0</v>
      </c>
      <c r="N439" t="str">
        <f>IF(VALUE(M439)=0,"",VLOOKUP(VLOOKUP(M439,Tbl_Effect[],3,FALSE),EffectName[],IFERROR(MATCH(UI!$B$1,EffectName[#Headers],0),2),FALSE))</f>
        <v/>
      </c>
      <c r="O439" t="str">
        <f t="shared" si="44"/>
        <v/>
      </c>
      <c r="P439">
        <v>0</v>
      </c>
      <c r="Q439" t="str">
        <f>IF(VALUE(P439)=0,"",VLOOKUP(VLOOKUP(P439,Tbl_Effect[],3,FALSE),EffectName[],IFERROR(MATCH(UI!$B$1,EffectName[#Headers],0),2),FALSE))</f>
        <v/>
      </c>
      <c r="R439" t="str">
        <f t="shared" si="45"/>
        <v/>
      </c>
      <c r="S439">
        <v>0</v>
      </c>
      <c r="T439" t="str">
        <f>IF(VALUE(S439)=0,"",VLOOKUP(VLOOKUP(S439,Tbl_Effect[],3,FALSE),EffectName[],IFERROR(MATCH(UI!$B$1,EffectName[#Headers],0),2),FALSE))</f>
        <v/>
      </c>
      <c r="U439" t="str">
        <f t="shared" si="46"/>
        <v/>
      </c>
      <c r="V439">
        <v>0</v>
      </c>
      <c r="W439" t="str">
        <f>IF(V439&lt;&gt;0,VLOOKUP(VLOOKUP(V439,Tbl_Effect[],3,FALSE),EffectName[],IFERROR(MATCH(UI!$B$1,EffectName[#Headers],0),2),FALSE),"")</f>
        <v/>
      </c>
      <c r="X439" t="str">
        <f t="shared" si="47"/>
        <v/>
      </c>
      <c r="Y439">
        <v>0</v>
      </c>
      <c r="Z439" t="str">
        <f>IF(Y439&lt;&gt;0,VLOOKUP(VLOOKUP(Y439,Tbl_Effect[],3,FALSE),EffectName[],IFERROR(MATCH(UI!$B$1,EffectName[#Headers],0),2),FALSE),"")</f>
        <v/>
      </c>
      <c r="AA439" t="str">
        <f t="shared" si="48"/>
        <v/>
      </c>
      <c r="AB439">
        <v>0</v>
      </c>
      <c r="AC439" t="str">
        <f>IF(AB439&lt;&gt;0,VLOOKUP(VLOOKUP(AB439,Tbl_Effect[],3,FALSE),EffectName[],IFERROR(MATCH(UI!$B$1,EffectName[#Headers],0),2),FALSE),"")</f>
        <v/>
      </c>
    </row>
    <row r="440" spans="8:29" x14ac:dyDescent="0.4">
      <c r="H440" t="str">
        <f t="shared" si="42"/>
        <v>1004210-細膩的光耀情景 (黃)</v>
      </c>
      <c r="I440">
        <v>1004210</v>
      </c>
      <c r="J440" t="str">
        <f>_xlfn.IFNA(IF(I440&lt;&gt;0,VLOOKUP(VLOOKUP(I440,Tbl_Equip[],2,FALSE),Tbl_Color[],IFERROR(MATCH(UI!$B$1,Tbl_Color[#Headers],0),2),FALSE),""),"Unset")</f>
        <v>黃</v>
      </c>
      <c r="K440" t="str">
        <f>_xlfn.IFNA(IF(I440&lt;&gt;0,VLOOKUP(I440,ItemText[],IFERROR(MATCH(UI!$B$1,ItemText[#Headers],0),2),FALSE),""),"Unset")</f>
        <v>細膩的光耀情景</v>
      </c>
      <c r="L440" t="str">
        <f t="shared" si="43"/>
        <v/>
      </c>
      <c r="M440">
        <v>0</v>
      </c>
      <c r="N440" t="str">
        <f>IF(VALUE(M440)=0,"",VLOOKUP(VLOOKUP(M440,Tbl_Effect[],3,FALSE),EffectName[],IFERROR(MATCH(UI!$B$1,EffectName[#Headers],0),2),FALSE))</f>
        <v/>
      </c>
      <c r="O440" t="str">
        <f t="shared" si="44"/>
        <v/>
      </c>
      <c r="P440">
        <v>0</v>
      </c>
      <c r="Q440" t="str">
        <f>IF(VALUE(P440)=0,"",VLOOKUP(VLOOKUP(P440,Tbl_Effect[],3,FALSE),EffectName[],IFERROR(MATCH(UI!$B$1,EffectName[#Headers],0),2),FALSE))</f>
        <v/>
      </c>
      <c r="R440" t="str">
        <f t="shared" si="45"/>
        <v/>
      </c>
      <c r="S440">
        <v>0</v>
      </c>
      <c r="T440" t="str">
        <f>IF(VALUE(S440)=0,"",VLOOKUP(VLOOKUP(S440,Tbl_Effect[],3,FALSE),EffectName[],IFERROR(MATCH(UI!$B$1,EffectName[#Headers],0),2),FALSE))</f>
        <v/>
      </c>
      <c r="U440" t="str">
        <f t="shared" si="46"/>
        <v/>
      </c>
      <c r="V440">
        <v>0</v>
      </c>
      <c r="W440" t="str">
        <f>IF(V440&lt;&gt;0,VLOOKUP(VLOOKUP(V440,Tbl_Effect[],3,FALSE),EffectName[],IFERROR(MATCH(UI!$B$1,EffectName[#Headers],0),2),FALSE),"")</f>
        <v/>
      </c>
      <c r="X440" t="str">
        <f t="shared" si="47"/>
        <v/>
      </c>
      <c r="Y440">
        <v>0</v>
      </c>
      <c r="Z440" t="str">
        <f>IF(Y440&lt;&gt;0,VLOOKUP(VLOOKUP(Y440,Tbl_Effect[],3,FALSE),EffectName[],IFERROR(MATCH(UI!$B$1,EffectName[#Headers],0),2),FALSE),"")</f>
        <v/>
      </c>
      <c r="AA440" t="str">
        <f t="shared" si="48"/>
        <v/>
      </c>
      <c r="AB440">
        <v>0</v>
      </c>
      <c r="AC440" t="str">
        <f>IF(AB440&lt;&gt;0,VLOOKUP(VLOOKUP(AB440,Tbl_Effect[],3,FALSE),EffectName[],IFERROR(MATCH(UI!$B$1,EffectName[#Headers],0),2),FALSE),"")</f>
        <v/>
      </c>
    </row>
    <row r="441" spans="8:29" x14ac:dyDescent="0.4">
      <c r="H441" t="str">
        <f t="shared" si="42"/>
        <v>1004211-端正的光耀情景 (黃)</v>
      </c>
      <c r="I441">
        <v>1004211</v>
      </c>
      <c r="J441" t="str">
        <f>_xlfn.IFNA(IF(I441&lt;&gt;0,VLOOKUP(VLOOKUP(I441,Tbl_Equip[],2,FALSE),Tbl_Color[],IFERROR(MATCH(UI!$B$1,Tbl_Color[#Headers],0),2),FALSE),""),"Unset")</f>
        <v>黃</v>
      </c>
      <c r="K441" t="str">
        <f>_xlfn.IFNA(IF(I441&lt;&gt;0,VLOOKUP(I441,ItemText[],IFERROR(MATCH(UI!$B$1,ItemText[#Headers],0),2),FALSE),""),"Unset")</f>
        <v>端正的光耀情景</v>
      </c>
      <c r="L441" t="str">
        <f t="shared" si="43"/>
        <v/>
      </c>
      <c r="M441">
        <v>0</v>
      </c>
      <c r="N441" t="str">
        <f>IF(VALUE(M441)=0,"",VLOOKUP(VLOOKUP(M441,Tbl_Effect[],3,FALSE),EffectName[],IFERROR(MATCH(UI!$B$1,EffectName[#Headers],0),2),FALSE))</f>
        <v/>
      </c>
      <c r="O441" t="str">
        <f t="shared" si="44"/>
        <v/>
      </c>
      <c r="P441">
        <v>0</v>
      </c>
      <c r="Q441" t="str">
        <f>IF(VALUE(P441)=0,"",VLOOKUP(VLOOKUP(P441,Tbl_Effect[],3,FALSE),EffectName[],IFERROR(MATCH(UI!$B$1,EffectName[#Headers],0),2),FALSE))</f>
        <v/>
      </c>
      <c r="R441" t="str">
        <f t="shared" si="45"/>
        <v/>
      </c>
      <c r="S441">
        <v>0</v>
      </c>
      <c r="T441" t="str">
        <f>IF(VALUE(S441)=0,"",VLOOKUP(VLOOKUP(S441,Tbl_Effect[],3,FALSE),EffectName[],IFERROR(MATCH(UI!$B$1,EffectName[#Headers],0),2),FALSE))</f>
        <v/>
      </c>
      <c r="U441" t="str">
        <f t="shared" si="46"/>
        <v/>
      </c>
      <c r="V441">
        <v>0</v>
      </c>
      <c r="W441" t="str">
        <f>IF(V441&lt;&gt;0,VLOOKUP(VLOOKUP(V441,Tbl_Effect[],3,FALSE),EffectName[],IFERROR(MATCH(UI!$B$1,EffectName[#Headers],0),2),FALSE),"")</f>
        <v/>
      </c>
      <c r="X441" t="str">
        <f t="shared" si="47"/>
        <v/>
      </c>
      <c r="Y441">
        <v>0</v>
      </c>
      <c r="Z441" t="str">
        <f>IF(Y441&lt;&gt;0,VLOOKUP(VLOOKUP(Y441,Tbl_Effect[],3,FALSE),EffectName[],IFERROR(MATCH(UI!$B$1,EffectName[#Headers],0),2),FALSE),"")</f>
        <v/>
      </c>
      <c r="AA441" t="str">
        <f t="shared" si="48"/>
        <v/>
      </c>
      <c r="AB441">
        <v>0</v>
      </c>
      <c r="AC441" t="str">
        <f>IF(AB441&lt;&gt;0,VLOOKUP(VLOOKUP(AB441,Tbl_Effect[],3,FALSE),EffectName[],IFERROR(MATCH(UI!$B$1,EffectName[#Headers],0),2),FALSE),"")</f>
        <v/>
      </c>
    </row>
    <row r="442" spans="8:29" x14ac:dyDescent="0.4">
      <c r="H442" t="str">
        <f t="shared" si="42"/>
        <v>1004212-遼闊的光耀情景 (黃)</v>
      </c>
      <c r="I442">
        <v>1004212</v>
      </c>
      <c r="J442" t="str">
        <f>_xlfn.IFNA(IF(I442&lt;&gt;0,VLOOKUP(VLOOKUP(I442,Tbl_Equip[],2,FALSE),Tbl_Color[],IFERROR(MATCH(UI!$B$1,Tbl_Color[#Headers],0),2),FALSE),""),"Unset")</f>
        <v>黃</v>
      </c>
      <c r="K442" t="str">
        <f>_xlfn.IFNA(IF(I442&lt;&gt;0,VLOOKUP(I442,ItemText[],IFERROR(MATCH(UI!$B$1,ItemText[#Headers],0),2),FALSE),""),"Unset")</f>
        <v>遼闊的光耀情景</v>
      </c>
      <c r="L442" t="str">
        <f t="shared" si="43"/>
        <v/>
      </c>
      <c r="M442">
        <v>0</v>
      </c>
      <c r="N442" t="str">
        <f>IF(VALUE(M442)=0,"",VLOOKUP(VLOOKUP(M442,Tbl_Effect[],3,FALSE),EffectName[],IFERROR(MATCH(UI!$B$1,EffectName[#Headers],0),2),FALSE))</f>
        <v/>
      </c>
      <c r="O442" t="str">
        <f t="shared" si="44"/>
        <v/>
      </c>
      <c r="P442">
        <v>0</v>
      </c>
      <c r="Q442" t="str">
        <f>IF(VALUE(P442)=0,"",VLOOKUP(VLOOKUP(P442,Tbl_Effect[],3,FALSE),EffectName[],IFERROR(MATCH(UI!$B$1,EffectName[#Headers],0),2),FALSE))</f>
        <v/>
      </c>
      <c r="R442" t="str">
        <f t="shared" si="45"/>
        <v/>
      </c>
      <c r="S442">
        <v>0</v>
      </c>
      <c r="T442" t="str">
        <f>IF(VALUE(S442)=0,"",VLOOKUP(VLOOKUP(S442,Tbl_Effect[],3,FALSE),EffectName[],IFERROR(MATCH(UI!$B$1,EffectName[#Headers],0),2),FALSE))</f>
        <v/>
      </c>
      <c r="U442" t="str">
        <f t="shared" si="46"/>
        <v/>
      </c>
      <c r="V442">
        <v>0</v>
      </c>
      <c r="W442" t="str">
        <f>IF(V442&lt;&gt;0,VLOOKUP(VLOOKUP(V442,Tbl_Effect[],3,FALSE),EffectName[],IFERROR(MATCH(UI!$B$1,EffectName[#Headers],0),2),FALSE),"")</f>
        <v/>
      </c>
      <c r="X442" t="str">
        <f t="shared" si="47"/>
        <v/>
      </c>
      <c r="Y442">
        <v>0</v>
      </c>
      <c r="Z442" t="str">
        <f>IF(Y442&lt;&gt;0,VLOOKUP(VLOOKUP(Y442,Tbl_Effect[],3,FALSE),EffectName[],IFERROR(MATCH(UI!$B$1,EffectName[#Headers],0),2),FALSE),"")</f>
        <v/>
      </c>
      <c r="AA442" t="str">
        <f t="shared" si="48"/>
        <v/>
      </c>
      <c r="AB442">
        <v>0</v>
      </c>
      <c r="AC442" t="str">
        <f>IF(AB442&lt;&gt;0,VLOOKUP(VLOOKUP(AB442,Tbl_Effect[],3,FALSE),EffectName[],IFERROR(MATCH(UI!$B$1,EffectName[#Headers],0),2),FALSE),"")</f>
        <v/>
      </c>
    </row>
    <row r="443" spans="8:29" x14ac:dyDescent="0.4">
      <c r="H443" t="str">
        <f t="shared" si="42"/>
        <v>1004220-細膩的光耀情景 (黃)</v>
      </c>
      <c r="I443">
        <v>1004220</v>
      </c>
      <c r="J443" t="str">
        <f>_xlfn.IFNA(IF(I443&lt;&gt;0,VLOOKUP(VLOOKUP(I443,Tbl_Equip[],2,FALSE),Tbl_Color[],IFERROR(MATCH(UI!$B$1,Tbl_Color[#Headers],0),2),FALSE),""),"Unset")</f>
        <v>黃</v>
      </c>
      <c r="K443" t="str">
        <f>_xlfn.IFNA(IF(I443&lt;&gt;0,VLOOKUP(I443,ItemText[],IFERROR(MATCH(UI!$B$1,ItemText[#Headers],0),2),FALSE),""),"Unset")</f>
        <v>細膩的光耀情景</v>
      </c>
      <c r="L443" t="str">
        <f t="shared" si="43"/>
        <v/>
      </c>
      <c r="M443">
        <v>0</v>
      </c>
      <c r="N443" t="str">
        <f>IF(VALUE(M443)=0,"",VLOOKUP(VLOOKUP(M443,Tbl_Effect[],3,FALSE),EffectName[],IFERROR(MATCH(UI!$B$1,EffectName[#Headers],0),2),FALSE))</f>
        <v/>
      </c>
      <c r="O443" t="str">
        <f t="shared" si="44"/>
        <v/>
      </c>
      <c r="P443">
        <v>0</v>
      </c>
      <c r="Q443" t="str">
        <f>IF(VALUE(P443)=0,"",VLOOKUP(VLOOKUP(P443,Tbl_Effect[],3,FALSE),EffectName[],IFERROR(MATCH(UI!$B$1,EffectName[#Headers],0),2),FALSE))</f>
        <v/>
      </c>
      <c r="R443" t="str">
        <f t="shared" si="45"/>
        <v/>
      </c>
      <c r="S443">
        <v>0</v>
      </c>
      <c r="T443" t="str">
        <f>IF(VALUE(S443)=0,"",VLOOKUP(VLOOKUP(S443,Tbl_Effect[],3,FALSE),EffectName[],IFERROR(MATCH(UI!$B$1,EffectName[#Headers],0),2),FALSE))</f>
        <v/>
      </c>
      <c r="U443" t="str">
        <f t="shared" si="46"/>
        <v/>
      </c>
      <c r="V443">
        <v>0</v>
      </c>
      <c r="W443" t="str">
        <f>IF(V443&lt;&gt;0,VLOOKUP(VLOOKUP(V443,Tbl_Effect[],3,FALSE),EffectName[],IFERROR(MATCH(UI!$B$1,EffectName[#Headers],0),2),FALSE),"")</f>
        <v/>
      </c>
      <c r="X443" t="str">
        <f t="shared" si="47"/>
        <v/>
      </c>
      <c r="Y443">
        <v>0</v>
      </c>
      <c r="Z443" t="str">
        <f>IF(Y443&lt;&gt;0,VLOOKUP(VLOOKUP(Y443,Tbl_Effect[],3,FALSE),EffectName[],IFERROR(MATCH(UI!$B$1,EffectName[#Headers],0),2),FALSE),"")</f>
        <v/>
      </c>
      <c r="AA443" t="str">
        <f t="shared" si="48"/>
        <v/>
      </c>
      <c r="AB443">
        <v>0</v>
      </c>
      <c r="AC443" t="str">
        <f>IF(AB443&lt;&gt;0,VLOOKUP(VLOOKUP(AB443,Tbl_Effect[],3,FALSE),EffectName[],IFERROR(MATCH(UI!$B$1,EffectName[#Headers],0),2),FALSE),"")</f>
        <v/>
      </c>
    </row>
    <row r="444" spans="8:29" x14ac:dyDescent="0.4">
      <c r="H444" t="str">
        <f t="shared" si="42"/>
        <v>1004221-端正的光耀情景 (黃)</v>
      </c>
      <c r="I444">
        <v>1004221</v>
      </c>
      <c r="J444" t="str">
        <f>_xlfn.IFNA(IF(I444&lt;&gt;0,VLOOKUP(VLOOKUP(I444,Tbl_Equip[],2,FALSE),Tbl_Color[],IFERROR(MATCH(UI!$B$1,Tbl_Color[#Headers],0),2),FALSE),""),"Unset")</f>
        <v>黃</v>
      </c>
      <c r="K444" t="str">
        <f>_xlfn.IFNA(IF(I444&lt;&gt;0,VLOOKUP(I444,ItemText[],IFERROR(MATCH(UI!$B$1,ItemText[#Headers],0),2),FALSE),""),"Unset")</f>
        <v>端正的光耀情景</v>
      </c>
      <c r="L444" t="str">
        <f t="shared" si="43"/>
        <v/>
      </c>
      <c r="M444">
        <v>0</v>
      </c>
      <c r="N444" t="str">
        <f>IF(VALUE(M444)=0,"",VLOOKUP(VLOOKUP(M444,Tbl_Effect[],3,FALSE),EffectName[],IFERROR(MATCH(UI!$B$1,EffectName[#Headers],0),2),FALSE))</f>
        <v/>
      </c>
      <c r="O444" t="str">
        <f t="shared" si="44"/>
        <v/>
      </c>
      <c r="P444">
        <v>0</v>
      </c>
      <c r="Q444" t="str">
        <f>IF(VALUE(P444)=0,"",VLOOKUP(VLOOKUP(P444,Tbl_Effect[],3,FALSE),EffectName[],IFERROR(MATCH(UI!$B$1,EffectName[#Headers],0),2),FALSE))</f>
        <v/>
      </c>
      <c r="R444" t="str">
        <f t="shared" si="45"/>
        <v/>
      </c>
      <c r="S444">
        <v>0</v>
      </c>
      <c r="T444" t="str">
        <f>IF(VALUE(S444)=0,"",VLOOKUP(VLOOKUP(S444,Tbl_Effect[],3,FALSE),EffectName[],IFERROR(MATCH(UI!$B$1,EffectName[#Headers],0),2),FALSE))</f>
        <v/>
      </c>
      <c r="U444" t="str">
        <f t="shared" si="46"/>
        <v/>
      </c>
      <c r="V444">
        <v>0</v>
      </c>
      <c r="W444" t="str">
        <f>IF(V444&lt;&gt;0,VLOOKUP(VLOOKUP(V444,Tbl_Effect[],3,FALSE),EffectName[],IFERROR(MATCH(UI!$B$1,EffectName[#Headers],0),2),FALSE),"")</f>
        <v/>
      </c>
      <c r="X444" t="str">
        <f t="shared" si="47"/>
        <v/>
      </c>
      <c r="Y444">
        <v>0</v>
      </c>
      <c r="Z444" t="str">
        <f>IF(Y444&lt;&gt;0,VLOOKUP(VLOOKUP(Y444,Tbl_Effect[],3,FALSE),EffectName[],IFERROR(MATCH(UI!$B$1,EffectName[#Headers],0),2),FALSE),"")</f>
        <v/>
      </c>
      <c r="AA444" t="str">
        <f t="shared" si="48"/>
        <v/>
      </c>
      <c r="AB444">
        <v>0</v>
      </c>
      <c r="AC444" t="str">
        <f>IF(AB444&lt;&gt;0,VLOOKUP(VLOOKUP(AB444,Tbl_Effect[],3,FALSE),EffectName[],IFERROR(MATCH(UI!$B$1,EffectName[#Headers],0),2),FALSE),"")</f>
        <v/>
      </c>
    </row>
    <row r="445" spans="8:29" x14ac:dyDescent="0.4">
      <c r="H445" t="str">
        <f t="shared" si="42"/>
        <v>1004222-遼闊的光耀情景 (黃)</v>
      </c>
      <c r="I445">
        <v>1004222</v>
      </c>
      <c r="J445" t="str">
        <f>_xlfn.IFNA(IF(I445&lt;&gt;0,VLOOKUP(VLOOKUP(I445,Tbl_Equip[],2,FALSE),Tbl_Color[],IFERROR(MATCH(UI!$B$1,Tbl_Color[#Headers],0),2),FALSE),""),"Unset")</f>
        <v>黃</v>
      </c>
      <c r="K445" t="str">
        <f>_xlfn.IFNA(IF(I445&lt;&gt;0,VLOOKUP(I445,ItemText[],IFERROR(MATCH(UI!$B$1,ItemText[#Headers],0),2),FALSE),""),"Unset")</f>
        <v>遼闊的光耀情景</v>
      </c>
      <c r="L445" t="str">
        <f t="shared" si="43"/>
        <v/>
      </c>
      <c r="M445">
        <v>0</v>
      </c>
      <c r="N445" t="str">
        <f>IF(VALUE(M445)=0,"",VLOOKUP(VLOOKUP(M445,Tbl_Effect[],3,FALSE),EffectName[],IFERROR(MATCH(UI!$B$1,EffectName[#Headers],0),2),FALSE))</f>
        <v/>
      </c>
      <c r="O445" t="str">
        <f t="shared" si="44"/>
        <v/>
      </c>
      <c r="P445">
        <v>0</v>
      </c>
      <c r="Q445" t="str">
        <f>IF(VALUE(P445)=0,"",VLOOKUP(VLOOKUP(P445,Tbl_Effect[],3,FALSE),EffectName[],IFERROR(MATCH(UI!$B$1,EffectName[#Headers],0),2),FALSE))</f>
        <v/>
      </c>
      <c r="R445" t="str">
        <f t="shared" si="45"/>
        <v/>
      </c>
      <c r="S445">
        <v>0</v>
      </c>
      <c r="T445" t="str">
        <f>IF(VALUE(S445)=0,"",VLOOKUP(VLOOKUP(S445,Tbl_Effect[],3,FALSE),EffectName[],IFERROR(MATCH(UI!$B$1,EffectName[#Headers],0),2),FALSE))</f>
        <v/>
      </c>
      <c r="U445" t="str">
        <f t="shared" si="46"/>
        <v/>
      </c>
      <c r="V445">
        <v>0</v>
      </c>
      <c r="W445" t="str">
        <f>IF(V445&lt;&gt;0,VLOOKUP(VLOOKUP(V445,Tbl_Effect[],3,FALSE),EffectName[],IFERROR(MATCH(UI!$B$1,EffectName[#Headers],0),2),FALSE),"")</f>
        <v/>
      </c>
      <c r="X445" t="str">
        <f t="shared" si="47"/>
        <v/>
      </c>
      <c r="Y445">
        <v>0</v>
      </c>
      <c r="Z445" t="str">
        <f>IF(Y445&lt;&gt;0,VLOOKUP(VLOOKUP(Y445,Tbl_Effect[],3,FALSE),EffectName[],IFERROR(MATCH(UI!$B$1,EffectName[#Headers],0),2),FALSE),"")</f>
        <v/>
      </c>
      <c r="AA445" t="str">
        <f t="shared" si="48"/>
        <v/>
      </c>
      <c r="AB445">
        <v>0</v>
      </c>
      <c r="AC445" t="str">
        <f>IF(AB445&lt;&gt;0,VLOOKUP(VLOOKUP(AB445,Tbl_Effect[],3,FALSE),EffectName[],IFERROR(MATCH(UI!$B$1,EffectName[#Headers],0),2),FALSE),"")</f>
        <v/>
      </c>
    </row>
    <row r="446" spans="8:29" x14ac:dyDescent="0.4">
      <c r="H446" t="str">
        <f t="shared" si="42"/>
        <v>1004300-細膩的幽靜情景 (綠)</v>
      </c>
      <c r="I446">
        <v>1004300</v>
      </c>
      <c r="J446" t="str">
        <f>_xlfn.IFNA(IF(I446&lt;&gt;0,VLOOKUP(VLOOKUP(I446,Tbl_Equip[],2,FALSE),Tbl_Color[],IFERROR(MATCH(UI!$B$1,Tbl_Color[#Headers],0),2),FALSE),""),"Unset")</f>
        <v>綠</v>
      </c>
      <c r="K446" t="str">
        <f>_xlfn.IFNA(IF(I446&lt;&gt;0,VLOOKUP(I446,ItemText[],IFERROR(MATCH(UI!$B$1,ItemText[#Headers],0),2),FALSE),""),"Unset")</f>
        <v>細膩的幽靜情景</v>
      </c>
      <c r="L446" t="str">
        <f t="shared" si="43"/>
        <v/>
      </c>
      <c r="M446">
        <v>0</v>
      </c>
      <c r="N446" t="str">
        <f>IF(VALUE(M446)=0,"",VLOOKUP(VLOOKUP(M446,Tbl_Effect[],3,FALSE),EffectName[],IFERROR(MATCH(UI!$B$1,EffectName[#Headers],0),2),FALSE))</f>
        <v/>
      </c>
      <c r="O446" t="str">
        <f t="shared" si="44"/>
        <v/>
      </c>
      <c r="P446">
        <v>0</v>
      </c>
      <c r="Q446" t="str">
        <f>IF(VALUE(P446)=0,"",VLOOKUP(VLOOKUP(P446,Tbl_Effect[],3,FALSE),EffectName[],IFERROR(MATCH(UI!$B$1,EffectName[#Headers],0),2),FALSE))</f>
        <v/>
      </c>
      <c r="R446" t="str">
        <f t="shared" si="45"/>
        <v/>
      </c>
      <c r="S446">
        <v>0</v>
      </c>
      <c r="T446" t="str">
        <f>IF(VALUE(S446)=0,"",VLOOKUP(VLOOKUP(S446,Tbl_Effect[],3,FALSE),EffectName[],IFERROR(MATCH(UI!$B$1,EffectName[#Headers],0),2),FALSE))</f>
        <v/>
      </c>
      <c r="U446" t="str">
        <f t="shared" si="46"/>
        <v/>
      </c>
      <c r="V446">
        <v>0</v>
      </c>
      <c r="W446" t="str">
        <f>IF(V446&lt;&gt;0,VLOOKUP(VLOOKUP(V446,Tbl_Effect[],3,FALSE),EffectName[],IFERROR(MATCH(UI!$B$1,EffectName[#Headers],0),2),FALSE),"")</f>
        <v/>
      </c>
      <c r="X446" t="str">
        <f t="shared" si="47"/>
        <v/>
      </c>
      <c r="Y446">
        <v>0</v>
      </c>
      <c r="Z446" t="str">
        <f>IF(Y446&lt;&gt;0,VLOOKUP(VLOOKUP(Y446,Tbl_Effect[],3,FALSE),EffectName[],IFERROR(MATCH(UI!$B$1,EffectName[#Headers],0),2),FALSE),"")</f>
        <v/>
      </c>
      <c r="AA446" t="str">
        <f t="shared" si="48"/>
        <v/>
      </c>
      <c r="AB446">
        <v>0</v>
      </c>
      <c r="AC446" t="str">
        <f>IF(AB446&lt;&gt;0,VLOOKUP(VLOOKUP(AB446,Tbl_Effect[],3,FALSE),EffectName[],IFERROR(MATCH(UI!$B$1,EffectName[#Headers],0),2),FALSE),"")</f>
        <v/>
      </c>
    </row>
    <row r="447" spans="8:29" x14ac:dyDescent="0.4">
      <c r="H447" t="str">
        <f t="shared" si="42"/>
        <v>1004301-端正的幽靜情景 (綠)</v>
      </c>
      <c r="I447">
        <v>1004301</v>
      </c>
      <c r="J447" t="str">
        <f>_xlfn.IFNA(IF(I447&lt;&gt;0,VLOOKUP(VLOOKUP(I447,Tbl_Equip[],2,FALSE),Tbl_Color[],IFERROR(MATCH(UI!$B$1,Tbl_Color[#Headers],0),2),FALSE),""),"Unset")</f>
        <v>綠</v>
      </c>
      <c r="K447" t="str">
        <f>_xlfn.IFNA(IF(I447&lt;&gt;0,VLOOKUP(I447,ItemText[],IFERROR(MATCH(UI!$B$1,ItemText[#Headers],0),2),FALSE),""),"Unset")</f>
        <v>端正的幽靜情景</v>
      </c>
      <c r="L447" t="str">
        <f t="shared" si="43"/>
        <v/>
      </c>
      <c r="M447">
        <v>0</v>
      </c>
      <c r="N447" t="str">
        <f>IF(VALUE(M447)=0,"",VLOOKUP(VLOOKUP(M447,Tbl_Effect[],3,FALSE),EffectName[],IFERROR(MATCH(UI!$B$1,EffectName[#Headers],0),2),FALSE))</f>
        <v/>
      </c>
      <c r="O447" t="str">
        <f t="shared" si="44"/>
        <v/>
      </c>
      <c r="P447">
        <v>0</v>
      </c>
      <c r="Q447" t="str">
        <f>IF(VALUE(P447)=0,"",VLOOKUP(VLOOKUP(P447,Tbl_Effect[],3,FALSE),EffectName[],IFERROR(MATCH(UI!$B$1,EffectName[#Headers],0),2),FALSE))</f>
        <v/>
      </c>
      <c r="R447" t="str">
        <f t="shared" si="45"/>
        <v/>
      </c>
      <c r="S447">
        <v>0</v>
      </c>
      <c r="T447" t="str">
        <f>IF(VALUE(S447)=0,"",VLOOKUP(VLOOKUP(S447,Tbl_Effect[],3,FALSE),EffectName[],IFERROR(MATCH(UI!$B$1,EffectName[#Headers],0),2),FALSE))</f>
        <v/>
      </c>
      <c r="U447" t="str">
        <f t="shared" si="46"/>
        <v/>
      </c>
      <c r="V447">
        <v>0</v>
      </c>
      <c r="W447" t="str">
        <f>IF(V447&lt;&gt;0,VLOOKUP(VLOOKUP(V447,Tbl_Effect[],3,FALSE),EffectName[],IFERROR(MATCH(UI!$B$1,EffectName[#Headers],0),2),FALSE),"")</f>
        <v/>
      </c>
      <c r="X447" t="str">
        <f t="shared" si="47"/>
        <v/>
      </c>
      <c r="Y447">
        <v>0</v>
      </c>
      <c r="Z447" t="str">
        <f>IF(Y447&lt;&gt;0,VLOOKUP(VLOOKUP(Y447,Tbl_Effect[],3,FALSE),EffectName[],IFERROR(MATCH(UI!$B$1,EffectName[#Headers],0),2),FALSE),"")</f>
        <v/>
      </c>
      <c r="AA447" t="str">
        <f t="shared" si="48"/>
        <v/>
      </c>
      <c r="AB447">
        <v>0</v>
      </c>
      <c r="AC447" t="str">
        <f>IF(AB447&lt;&gt;0,VLOOKUP(VLOOKUP(AB447,Tbl_Effect[],3,FALSE),EffectName[],IFERROR(MATCH(UI!$B$1,EffectName[#Headers],0),2),FALSE),"")</f>
        <v/>
      </c>
    </row>
    <row r="448" spans="8:29" x14ac:dyDescent="0.4">
      <c r="H448" t="str">
        <f t="shared" si="42"/>
        <v>1004302-遼闊的幽靜情景 (綠)</v>
      </c>
      <c r="I448">
        <v>1004302</v>
      </c>
      <c r="J448" t="str">
        <f>_xlfn.IFNA(IF(I448&lt;&gt;0,VLOOKUP(VLOOKUP(I448,Tbl_Equip[],2,FALSE),Tbl_Color[],IFERROR(MATCH(UI!$B$1,Tbl_Color[#Headers],0),2),FALSE),""),"Unset")</f>
        <v>綠</v>
      </c>
      <c r="K448" t="str">
        <f>_xlfn.IFNA(IF(I448&lt;&gt;0,VLOOKUP(I448,ItemText[],IFERROR(MATCH(UI!$B$1,ItemText[#Headers],0),2),FALSE),""),"Unset")</f>
        <v>遼闊的幽靜情景</v>
      </c>
      <c r="L448" t="str">
        <f t="shared" si="43"/>
        <v/>
      </c>
      <c r="M448">
        <v>0</v>
      </c>
      <c r="N448" t="str">
        <f>IF(VALUE(M448)=0,"",VLOOKUP(VLOOKUP(M448,Tbl_Effect[],3,FALSE),EffectName[],IFERROR(MATCH(UI!$B$1,EffectName[#Headers],0),2),FALSE))</f>
        <v/>
      </c>
      <c r="O448" t="str">
        <f t="shared" si="44"/>
        <v/>
      </c>
      <c r="P448">
        <v>0</v>
      </c>
      <c r="Q448" t="str">
        <f>IF(VALUE(P448)=0,"",VLOOKUP(VLOOKUP(P448,Tbl_Effect[],3,FALSE),EffectName[],IFERROR(MATCH(UI!$B$1,EffectName[#Headers],0),2),FALSE))</f>
        <v/>
      </c>
      <c r="R448" t="str">
        <f t="shared" si="45"/>
        <v/>
      </c>
      <c r="S448">
        <v>0</v>
      </c>
      <c r="T448" t="str">
        <f>IF(VALUE(S448)=0,"",VLOOKUP(VLOOKUP(S448,Tbl_Effect[],3,FALSE),EffectName[],IFERROR(MATCH(UI!$B$1,EffectName[#Headers],0),2),FALSE))</f>
        <v/>
      </c>
      <c r="U448" t="str">
        <f t="shared" si="46"/>
        <v/>
      </c>
      <c r="V448">
        <v>0</v>
      </c>
      <c r="W448" t="str">
        <f>IF(V448&lt;&gt;0,VLOOKUP(VLOOKUP(V448,Tbl_Effect[],3,FALSE),EffectName[],IFERROR(MATCH(UI!$B$1,EffectName[#Headers],0),2),FALSE),"")</f>
        <v/>
      </c>
      <c r="X448" t="str">
        <f t="shared" si="47"/>
        <v/>
      </c>
      <c r="Y448">
        <v>0</v>
      </c>
      <c r="Z448" t="str">
        <f>IF(Y448&lt;&gt;0,VLOOKUP(VLOOKUP(Y448,Tbl_Effect[],3,FALSE),EffectName[],IFERROR(MATCH(UI!$B$1,EffectName[#Headers],0),2),FALSE),"")</f>
        <v/>
      </c>
      <c r="AA448" t="str">
        <f t="shared" si="48"/>
        <v/>
      </c>
      <c r="AB448">
        <v>0</v>
      </c>
      <c r="AC448" t="str">
        <f>IF(AB448&lt;&gt;0,VLOOKUP(VLOOKUP(AB448,Tbl_Effect[],3,FALSE),EffectName[],IFERROR(MATCH(UI!$B$1,EffectName[#Headers],0),2),FALSE),"")</f>
        <v/>
      </c>
    </row>
    <row r="449" spans="8:29" x14ac:dyDescent="0.4">
      <c r="H449" t="str">
        <f t="shared" si="42"/>
        <v>1004310-細膩的幽靜情景 (綠)</v>
      </c>
      <c r="I449">
        <v>1004310</v>
      </c>
      <c r="J449" t="str">
        <f>_xlfn.IFNA(IF(I449&lt;&gt;0,VLOOKUP(VLOOKUP(I449,Tbl_Equip[],2,FALSE),Tbl_Color[],IFERROR(MATCH(UI!$B$1,Tbl_Color[#Headers],0),2),FALSE),""),"Unset")</f>
        <v>綠</v>
      </c>
      <c r="K449" t="str">
        <f>_xlfn.IFNA(IF(I449&lt;&gt;0,VLOOKUP(I449,ItemText[],IFERROR(MATCH(UI!$B$1,ItemText[#Headers],0),2),FALSE),""),"Unset")</f>
        <v>細膩的幽靜情景</v>
      </c>
      <c r="L449" t="str">
        <f t="shared" si="43"/>
        <v/>
      </c>
      <c r="M449">
        <v>0</v>
      </c>
      <c r="N449" t="str">
        <f>IF(VALUE(M449)=0,"",VLOOKUP(VLOOKUP(M449,Tbl_Effect[],3,FALSE),EffectName[],IFERROR(MATCH(UI!$B$1,EffectName[#Headers],0),2),FALSE))</f>
        <v/>
      </c>
      <c r="O449" t="str">
        <f t="shared" si="44"/>
        <v/>
      </c>
      <c r="P449">
        <v>0</v>
      </c>
      <c r="Q449" t="str">
        <f>IF(VALUE(P449)=0,"",VLOOKUP(VLOOKUP(P449,Tbl_Effect[],3,FALSE),EffectName[],IFERROR(MATCH(UI!$B$1,EffectName[#Headers],0),2),FALSE))</f>
        <v/>
      </c>
      <c r="R449" t="str">
        <f t="shared" si="45"/>
        <v/>
      </c>
      <c r="S449">
        <v>0</v>
      </c>
      <c r="T449" t="str">
        <f>IF(VALUE(S449)=0,"",VLOOKUP(VLOOKUP(S449,Tbl_Effect[],3,FALSE),EffectName[],IFERROR(MATCH(UI!$B$1,EffectName[#Headers],0),2),FALSE))</f>
        <v/>
      </c>
      <c r="U449" t="str">
        <f t="shared" si="46"/>
        <v/>
      </c>
      <c r="V449">
        <v>0</v>
      </c>
      <c r="W449" t="str">
        <f>IF(V449&lt;&gt;0,VLOOKUP(VLOOKUP(V449,Tbl_Effect[],3,FALSE),EffectName[],IFERROR(MATCH(UI!$B$1,EffectName[#Headers],0),2),FALSE),"")</f>
        <v/>
      </c>
      <c r="X449" t="str">
        <f t="shared" si="47"/>
        <v/>
      </c>
      <c r="Y449">
        <v>0</v>
      </c>
      <c r="Z449" t="str">
        <f>IF(Y449&lt;&gt;0,VLOOKUP(VLOOKUP(Y449,Tbl_Effect[],3,FALSE),EffectName[],IFERROR(MATCH(UI!$B$1,EffectName[#Headers],0),2),FALSE),"")</f>
        <v/>
      </c>
      <c r="AA449" t="str">
        <f t="shared" si="48"/>
        <v/>
      </c>
      <c r="AB449">
        <v>0</v>
      </c>
      <c r="AC449" t="str">
        <f>IF(AB449&lt;&gt;0,VLOOKUP(VLOOKUP(AB449,Tbl_Effect[],3,FALSE),EffectName[],IFERROR(MATCH(UI!$B$1,EffectName[#Headers],0),2),FALSE),"")</f>
        <v/>
      </c>
    </row>
    <row r="450" spans="8:29" x14ac:dyDescent="0.4">
      <c r="H450" t="str">
        <f t="shared" si="42"/>
        <v>1004311-端正的幽靜情景 (綠)</v>
      </c>
      <c r="I450">
        <v>1004311</v>
      </c>
      <c r="J450" t="str">
        <f>_xlfn.IFNA(IF(I450&lt;&gt;0,VLOOKUP(VLOOKUP(I450,Tbl_Equip[],2,FALSE),Tbl_Color[],IFERROR(MATCH(UI!$B$1,Tbl_Color[#Headers],0),2),FALSE),""),"Unset")</f>
        <v>綠</v>
      </c>
      <c r="K450" t="str">
        <f>_xlfn.IFNA(IF(I450&lt;&gt;0,VLOOKUP(I450,ItemText[],IFERROR(MATCH(UI!$B$1,ItemText[#Headers],0),2),FALSE),""),"Unset")</f>
        <v>端正的幽靜情景</v>
      </c>
      <c r="L450" t="str">
        <f t="shared" si="43"/>
        <v/>
      </c>
      <c r="M450">
        <v>0</v>
      </c>
      <c r="N450" t="str">
        <f>IF(VALUE(M450)=0,"",VLOOKUP(VLOOKUP(M450,Tbl_Effect[],3,FALSE),EffectName[],IFERROR(MATCH(UI!$B$1,EffectName[#Headers],0),2),FALSE))</f>
        <v/>
      </c>
      <c r="O450" t="str">
        <f t="shared" si="44"/>
        <v/>
      </c>
      <c r="P450">
        <v>0</v>
      </c>
      <c r="Q450" t="str">
        <f>IF(VALUE(P450)=0,"",VLOOKUP(VLOOKUP(P450,Tbl_Effect[],3,FALSE),EffectName[],IFERROR(MATCH(UI!$B$1,EffectName[#Headers],0),2),FALSE))</f>
        <v/>
      </c>
      <c r="R450" t="str">
        <f t="shared" si="45"/>
        <v/>
      </c>
      <c r="S450">
        <v>0</v>
      </c>
      <c r="T450" t="str">
        <f>IF(VALUE(S450)=0,"",VLOOKUP(VLOOKUP(S450,Tbl_Effect[],3,FALSE),EffectName[],IFERROR(MATCH(UI!$B$1,EffectName[#Headers],0),2),FALSE))</f>
        <v/>
      </c>
      <c r="U450" t="str">
        <f t="shared" si="46"/>
        <v/>
      </c>
      <c r="V450">
        <v>0</v>
      </c>
      <c r="W450" t="str">
        <f>IF(V450&lt;&gt;0,VLOOKUP(VLOOKUP(V450,Tbl_Effect[],3,FALSE),EffectName[],IFERROR(MATCH(UI!$B$1,EffectName[#Headers],0),2),FALSE),"")</f>
        <v/>
      </c>
      <c r="X450" t="str">
        <f t="shared" si="47"/>
        <v/>
      </c>
      <c r="Y450">
        <v>0</v>
      </c>
      <c r="Z450" t="str">
        <f>IF(Y450&lt;&gt;0,VLOOKUP(VLOOKUP(Y450,Tbl_Effect[],3,FALSE),EffectName[],IFERROR(MATCH(UI!$B$1,EffectName[#Headers],0),2),FALSE),"")</f>
        <v/>
      </c>
      <c r="AA450" t="str">
        <f t="shared" si="48"/>
        <v/>
      </c>
      <c r="AB450">
        <v>0</v>
      </c>
      <c r="AC450" t="str">
        <f>IF(AB450&lt;&gt;0,VLOOKUP(VLOOKUP(AB450,Tbl_Effect[],3,FALSE),EffectName[],IFERROR(MATCH(UI!$B$1,EffectName[#Headers],0),2),FALSE),"")</f>
        <v/>
      </c>
    </row>
    <row r="451" spans="8:29" x14ac:dyDescent="0.4">
      <c r="H451" t="str">
        <f t="shared" ref="H451:H514" si="49">IF(VALUE(I451)&lt;&gt;0,I451&amp;"-"&amp;K451&amp;" ("&amp;J451&amp;")","")</f>
        <v>1004312-遼闊的幽靜情景 (綠)</v>
      </c>
      <c r="I451">
        <v>1004312</v>
      </c>
      <c r="J451" t="str">
        <f>_xlfn.IFNA(IF(I451&lt;&gt;0,VLOOKUP(VLOOKUP(I451,Tbl_Equip[],2,FALSE),Tbl_Color[],IFERROR(MATCH(UI!$B$1,Tbl_Color[#Headers],0),2),FALSE),""),"Unset")</f>
        <v>綠</v>
      </c>
      <c r="K451" t="str">
        <f>_xlfn.IFNA(IF(I451&lt;&gt;0,VLOOKUP(I451,ItemText[],IFERROR(MATCH(UI!$B$1,ItemText[#Headers],0),2),FALSE),""),"Unset")</f>
        <v>遼闊的幽靜情景</v>
      </c>
      <c r="L451" t="str">
        <f t="shared" ref="L451:L514" si="50">IF(VALUE(M451)=0,"",M451&amp;"-"&amp;N451)</f>
        <v/>
      </c>
      <c r="M451">
        <v>0</v>
      </c>
      <c r="N451" t="str">
        <f>IF(VALUE(M451)=0,"",VLOOKUP(VLOOKUP(M451,Tbl_Effect[],3,FALSE),EffectName[],IFERROR(MATCH(UI!$B$1,EffectName[#Headers],0),2),FALSE))</f>
        <v/>
      </c>
      <c r="O451" t="str">
        <f t="shared" ref="O451:O514" si="51">IF(VALUE(P451)=0,"",P451&amp;"-"&amp;Q451)</f>
        <v/>
      </c>
      <c r="P451">
        <v>0</v>
      </c>
      <c r="Q451" t="str">
        <f>IF(VALUE(P451)=0,"",VLOOKUP(VLOOKUP(P451,Tbl_Effect[],3,FALSE),EffectName[],IFERROR(MATCH(UI!$B$1,EffectName[#Headers],0),2),FALSE))</f>
        <v/>
      </c>
      <c r="R451" t="str">
        <f t="shared" ref="R451:R514" si="52">IF(VALUE(S451)=0,"",S451&amp;"-"&amp;T451)</f>
        <v/>
      </c>
      <c r="S451">
        <v>0</v>
      </c>
      <c r="T451" t="str">
        <f>IF(VALUE(S451)=0,"",VLOOKUP(VLOOKUP(S451,Tbl_Effect[],3,FALSE),EffectName[],IFERROR(MATCH(UI!$B$1,EffectName[#Headers],0),2),FALSE))</f>
        <v/>
      </c>
      <c r="U451" t="str">
        <f t="shared" ref="U451:U514" si="53">IF(VALUE(V451)=0,"",V451&amp;"-"&amp;W451)</f>
        <v/>
      </c>
      <c r="V451">
        <v>0</v>
      </c>
      <c r="W451" t="str">
        <f>IF(V451&lt;&gt;0,VLOOKUP(VLOOKUP(V451,Tbl_Effect[],3,FALSE),EffectName[],IFERROR(MATCH(UI!$B$1,EffectName[#Headers],0),2),FALSE),"")</f>
        <v/>
      </c>
      <c r="X451" t="str">
        <f t="shared" ref="X451:X514" si="54">IF(VALUE(Y451)=0,"",Y451&amp;"-"&amp;Z451)</f>
        <v/>
      </c>
      <c r="Y451">
        <v>0</v>
      </c>
      <c r="Z451" t="str">
        <f>IF(Y451&lt;&gt;0,VLOOKUP(VLOOKUP(Y451,Tbl_Effect[],3,FALSE),EffectName[],IFERROR(MATCH(UI!$B$1,EffectName[#Headers],0),2),FALSE),"")</f>
        <v/>
      </c>
      <c r="AA451" t="str">
        <f t="shared" ref="AA451:AA514" si="55">IF(VALUE(AB451)=0,"",AB451&amp;"-"&amp;AC451)</f>
        <v/>
      </c>
      <c r="AB451">
        <v>0</v>
      </c>
      <c r="AC451" t="str">
        <f>IF(AB451&lt;&gt;0,VLOOKUP(VLOOKUP(AB451,Tbl_Effect[],3,FALSE),EffectName[],IFERROR(MATCH(UI!$B$1,EffectName[#Headers],0),2),FALSE),"")</f>
        <v/>
      </c>
    </row>
    <row r="452" spans="8:29" x14ac:dyDescent="0.4">
      <c r="H452" t="str">
        <f t="shared" si="49"/>
        <v>1004320-細膩的幽靜情景 (綠)</v>
      </c>
      <c r="I452">
        <v>1004320</v>
      </c>
      <c r="J452" t="str">
        <f>_xlfn.IFNA(IF(I452&lt;&gt;0,VLOOKUP(VLOOKUP(I452,Tbl_Equip[],2,FALSE),Tbl_Color[],IFERROR(MATCH(UI!$B$1,Tbl_Color[#Headers],0),2),FALSE),""),"Unset")</f>
        <v>綠</v>
      </c>
      <c r="K452" t="str">
        <f>_xlfn.IFNA(IF(I452&lt;&gt;0,VLOOKUP(I452,ItemText[],IFERROR(MATCH(UI!$B$1,ItemText[#Headers],0),2),FALSE),""),"Unset")</f>
        <v>細膩的幽靜情景</v>
      </c>
      <c r="L452" t="str">
        <f t="shared" si="50"/>
        <v/>
      </c>
      <c r="M452">
        <v>0</v>
      </c>
      <c r="N452" t="str">
        <f>IF(VALUE(M452)=0,"",VLOOKUP(VLOOKUP(M452,Tbl_Effect[],3,FALSE),EffectName[],IFERROR(MATCH(UI!$B$1,EffectName[#Headers],0),2),FALSE))</f>
        <v/>
      </c>
      <c r="O452" t="str">
        <f t="shared" si="51"/>
        <v/>
      </c>
      <c r="P452">
        <v>0</v>
      </c>
      <c r="Q452" t="str">
        <f>IF(VALUE(P452)=0,"",VLOOKUP(VLOOKUP(P452,Tbl_Effect[],3,FALSE),EffectName[],IFERROR(MATCH(UI!$B$1,EffectName[#Headers],0),2),FALSE))</f>
        <v/>
      </c>
      <c r="R452" t="str">
        <f t="shared" si="52"/>
        <v/>
      </c>
      <c r="S452">
        <v>0</v>
      </c>
      <c r="T452" t="str">
        <f>IF(VALUE(S452)=0,"",VLOOKUP(VLOOKUP(S452,Tbl_Effect[],3,FALSE),EffectName[],IFERROR(MATCH(UI!$B$1,EffectName[#Headers],0),2),FALSE))</f>
        <v/>
      </c>
      <c r="U452" t="str">
        <f t="shared" si="53"/>
        <v/>
      </c>
      <c r="V452">
        <v>0</v>
      </c>
      <c r="W452" t="str">
        <f>IF(V452&lt;&gt;0,VLOOKUP(VLOOKUP(V452,Tbl_Effect[],3,FALSE),EffectName[],IFERROR(MATCH(UI!$B$1,EffectName[#Headers],0),2),FALSE),"")</f>
        <v/>
      </c>
      <c r="X452" t="str">
        <f t="shared" si="54"/>
        <v/>
      </c>
      <c r="Y452">
        <v>0</v>
      </c>
      <c r="Z452" t="str">
        <f>IF(Y452&lt;&gt;0,VLOOKUP(VLOOKUP(Y452,Tbl_Effect[],3,FALSE),EffectName[],IFERROR(MATCH(UI!$B$1,EffectName[#Headers],0),2),FALSE),"")</f>
        <v/>
      </c>
      <c r="AA452" t="str">
        <f t="shared" si="55"/>
        <v/>
      </c>
      <c r="AB452">
        <v>0</v>
      </c>
      <c r="AC452" t="str">
        <f>IF(AB452&lt;&gt;0,VLOOKUP(VLOOKUP(AB452,Tbl_Effect[],3,FALSE),EffectName[],IFERROR(MATCH(UI!$B$1,EffectName[#Headers],0),2),FALSE),"")</f>
        <v/>
      </c>
    </row>
    <row r="453" spans="8:29" x14ac:dyDescent="0.4">
      <c r="H453" t="str">
        <f t="shared" si="49"/>
        <v>1004321-端正的幽靜情景 (綠)</v>
      </c>
      <c r="I453">
        <v>1004321</v>
      </c>
      <c r="J453" t="str">
        <f>_xlfn.IFNA(IF(I453&lt;&gt;0,VLOOKUP(VLOOKUP(I453,Tbl_Equip[],2,FALSE),Tbl_Color[],IFERROR(MATCH(UI!$B$1,Tbl_Color[#Headers],0),2),FALSE),""),"Unset")</f>
        <v>綠</v>
      </c>
      <c r="K453" t="str">
        <f>_xlfn.IFNA(IF(I453&lt;&gt;0,VLOOKUP(I453,ItemText[],IFERROR(MATCH(UI!$B$1,ItemText[#Headers],0),2),FALSE),""),"Unset")</f>
        <v>端正的幽靜情景</v>
      </c>
      <c r="L453" t="str">
        <f t="shared" si="50"/>
        <v/>
      </c>
      <c r="M453">
        <v>0</v>
      </c>
      <c r="N453" t="str">
        <f>IF(VALUE(M453)=0,"",VLOOKUP(VLOOKUP(M453,Tbl_Effect[],3,FALSE),EffectName[],IFERROR(MATCH(UI!$B$1,EffectName[#Headers],0),2),FALSE))</f>
        <v/>
      </c>
      <c r="O453" t="str">
        <f t="shared" si="51"/>
        <v/>
      </c>
      <c r="P453">
        <v>0</v>
      </c>
      <c r="Q453" t="str">
        <f>IF(VALUE(P453)=0,"",VLOOKUP(VLOOKUP(P453,Tbl_Effect[],3,FALSE),EffectName[],IFERROR(MATCH(UI!$B$1,EffectName[#Headers],0),2),FALSE))</f>
        <v/>
      </c>
      <c r="R453" t="str">
        <f t="shared" si="52"/>
        <v/>
      </c>
      <c r="S453">
        <v>0</v>
      </c>
      <c r="T453" t="str">
        <f>IF(VALUE(S453)=0,"",VLOOKUP(VLOOKUP(S453,Tbl_Effect[],3,FALSE),EffectName[],IFERROR(MATCH(UI!$B$1,EffectName[#Headers],0),2),FALSE))</f>
        <v/>
      </c>
      <c r="U453" t="str">
        <f t="shared" si="53"/>
        <v/>
      </c>
      <c r="V453">
        <v>0</v>
      </c>
      <c r="W453" t="str">
        <f>IF(V453&lt;&gt;0,VLOOKUP(VLOOKUP(V453,Tbl_Effect[],3,FALSE),EffectName[],IFERROR(MATCH(UI!$B$1,EffectName[#Headers],0),2),FALSE),"")</f>
        <v/>
      </c>
      <c r="X453" t="str">
        <f t="shared" si="54"/>
        <v/>
      </c>
      <c r="Y453">
        <v>0</v>
      </c>
      <c r="Z453" t="str">
        <f>IF(Y453&lt;&gt;0,VLOOKUP(VLOOKUP(Y453,Tbl_Effect[],3,FALSE),EffectName[],IFERROR(MATCH(UI!$B$1,EffectName[#Headers],0),2),FALSE),"")</f>
        <v/>
      </c>
      <c r="AA453" t="str">
        <f t="shared" si="55"/>
        <v/>
      </c>
      <c r="AB453">
        <v>0</v>
      </c>
      <c r="AC453" t="str">
        <f>IF(AB453&lt;&gt;0,VLOOKUP(VLOOKUP(AB453,Tbl_Effect[],3,FALSE),EffectName[],IFERROR(MATCH(UI!$B$1,EffectName[#Headers],0),2),FALSE),"")</f>
        <v/>
      </c>
    </row>
    <row r="454" spans="8:29" x14ac:dyDescent="0.4">
      <c r="H454" t="str">
        <f t="shared" si="49"/>
        <v>1004322-遼闊的幽靜情景 (綠)</v>
      </c>
      <c r="I454">
        <v>1004322</v>
      </c>
      <c r="J454" t="str">
        <f>_xlfn.IFNA(IF(I454&lt;&gt;0,VLOOKUP(VLOOKUP(I454,Tbl_Equip[],2,FALSE),Tbl_Color[],IFERROR(MATCH(UI!$B$1,Tbl_Color[#Headers],0),2),FALSE),""),"Unset")</f>
        <v>綠</v>
      </c>
      <c r="K454" t="str">
        <f>_xlfn.IFNA(IF(I454&lt;&gt;0,VLOOKUP(I454,ItemText[],IFERROR(MATCH(UI!$B$1,ItemText[#Headers],0),2),FALSE),""),"Unset")</f>
        <v>遼闊的幽靜情景</v>
      </c>
      <c r="L454" t="str">
        <f t="shared" si="50"/>
        <v/>
      </c>
      <c r="M454">
        <v>0</v>
      </c>
      <c r="N454" t="str">
        <f>IF(VALUE(M454)=0,"",VLOOKUP(VLOOKUP(M454,Tbl_Effect[],3,FALSE),EffectName[],IFERROR(MATCH(UI!$B$1,EffectName[#Headers],0),2),FALSE))</f>
        <v/>
      </c>
      <c r="O454" t="str">
        <f t="shared" si="51"/>
        <v/>
      </c>
      <c r="P454">
        <v>0</v>
      </c>
      <c r="Q454" t="str">
        <f>IF(VALUE(P454)=0,"",VLOOKUP(VLOOKUP(P454,Tbl_Effect[],3,FALSE),EffectName[],IFERROR(MATCH(UI!$B$1,EffectName[#Headers],0),2),FALSE))</f>
        <v/>
      </c>
      <c r="R454" t="str">
        <f t="shared" si="52"/>
        <v/>
      </c>
      <c r="S454">
        <v>0</v>
      </c>
      <c r="T454" t="str">
        <f>IF(VALUE(S454)=0,"",VLOOKUP(VLOOKUP(S454,Tbl_Effect[],3,FALSE),EffectName[],IFERROR(MATCH(UI!$B$1,EffectName[#Headers],0),2),FALSE))</f>
        <v/>
      </c>
      <c r="U454" t="str">
        <f t="shared" si="53"/>
        <v/>
      </c>
      <c r="V454">
        <v>0</v>
      </c>
      <c r="W454" t="str">
        <f>IF(V454&lt;&gt;0,VLOOKUP(VLOOKUP(V454,Tbl_Effect[],3,FALSE),EffectName[],IFERROR(MATCH(UI!$B$1,EffectName[#Headers],0),2),FALSE),"")</f>
        <v/>
      </c>
      <c r="X454" t="str">
        <f t="shared" si="54"/>
        <v/>
      </c>
      <c r="Y454">
        <v>0</v>
      </c>
      <c r="Z454" t="str">
        <f>IF(Y454&lt;&gt;0,VLOOKUP(VLOOKUP(Y454,Tbl_Effect[],3,FALSE),EffectName[],IFERROR(MATCH(UI!$B$1,EffectName[#Headers],0),2),FALSE),"")</f>
        <v/>
      </c>
      <c r="AA454" t="str">
        <f t="shared" si="55"/>
        <v/>
      </c>
      <c r="AB454">
        <v>0</v>
      </c>
      <c r="AC454" t="str">
        <f>IF(AB454&lt;&gt;0,VLOOKUP(VLOOKUP(AB454,Tbl_Effect[],3,FALSE),EffectName[],IFERROR(MATCH(UI!$B$1,EffectName[#Headers],0),2),FALSE),"")</f>
        <v/>
      </c>
    </row>
    <row r="455" spans="8:29" x14ac:dyDescent="0.4">
      <c r="H455" t="str">
        <f t="shared" si="49"/>
        <v>1005000-細膩的火燃情景 (紅)</v>
      </c>
      <c r="I455">
        <v>1005000</v>
      </c>
      <c r="J455" t="str">
        <f>_xlfn.IFNA(IF(I455&lt;&gt;0,VLOOKUP(VLOOKUP(I455,Tbl_Equip[],2,FALSE),Tbl_Color[],IFERROR(MATCH(UI!$B$1,Tbl_Color[#Headers],0),2),FALSE),""),"Unset")</f>
        <v>紅</v>
      </c>
      <c r="K455" t="str">
        <f>_xlfn.IFNA(IF(I455&lt;&gt;0,VLOOKUP(I455,ItemText[],IFERROR(MATCH(UI!$B$1,ItemText[#Headers],0),2),FALSE),""),"Unset")</f>
        <v>細膩的火燃情景</v>
      </c>
      <c r="L455" t="str">
        <f t="shared" si="50"/>
        <v/>
      </c>
      <c r="M455">
        <v>0</v>
      </c>
      <c r="N455" t="str">
        <f>IF(VALUE(M455)=0,"",VLOOKUP(VLOOKUP(M455,Tbl_Effect[],3,FALSE),EffectName[],IFERROR(MATCH(UI!$B$1,EffectName[#Headers],0),2),FALSE))</f>
        <v/>
      </c>
      <c r="O455" t="str">
        <f t="shared" si="51"/>
        <v/>
      </c>
      <c r="P455">
        <v>0</v>
      </c>
      <c r="Q455" t="str">
        <f>IF(VALUE(P455)=0,"",VLOOKUP(VLOOKUP(P455,Tbl_Effect[],3,FALSE),EffectName[],IFERROR(MATCH(UI!$B$1,EffectName[#Headers],0),2),FALSE))</f>
        <v/>
      </c>
      <c r="R455" t="str">
        <f t="shared" si="52"/>
        <v/>
      </c>
      <c r="S455">
        <v>0</v>
      </c>
      <c r="T455" t="str">
        <f>IF(VALUE(S455)=0,"",VLOOKUP(VLOOKUP(S455,Tbl_Effect[],3,FALSE),EffectName[],IFERROR(MATCH(UI!$B$1,EffectName[#Headers],0),2),FALSE))</f>
        <v/>
      </c>
      <c r="U455" t="str">
        <f t="shared" si="53"/>
        <v/>
      </c>
      <c r="V455">
        <v>0</v>
      </c>
      <c r="W455" t="str">
        <f>IF(V455&lt;&gt;0,VLOOKUP(VLOOKUP(V455,Tbl_Effect[],3,FALSE),EffectName[],IFERROR(MATCH(UI!$B$1,EffectName[#Headers],0),2),FALSE),"")</f>
        <v/>
      </c>
      <c r="X455" t="str">
        <f t="shared" si="54"/>
        <v/>
      </c>
      <c r="Y455">
        <v>0</v>
      </c>
      <c r="Z455" t="str">
        <f>IF(Y455&lt;&gt;0,VLOOKUP(VLOOKUP(Y455,Tbl_Effect[],3,FALSE),EffectName[],IFERROR(MATCH(UI!$B$1,EffectName[#Headers],0),2),FALSE),"")</f>
        <v/>
      </c>
      <c r="AA455" t="str">
        <f t="shared" si="55"/>
        <v/>
      </c>
      <c r="AB455">
        <v>0</v>
      </c>
      <c r="AC455" t="str">
        <f>IF(AB455&lt;&gt;0,VLOOKUP(VLOOKUP(AB455,Tbl_Effect[],3,FALSE),EffectName[],IFERROR(MATCH(UI!$B$1,EffectName[#Headers],0),2),FALSE),"")</f>
        <v/>
      </c>
    </row>
    <row r="456" spans="8:29" x14ac:dyDescent="0.4">
      <c r="H456" t="str">
        <f t="shared" si="49"/>
        <v>1005001-端正的火燃情景 (紅)</v>
      </c>
      <c r="I456">
        <v>1005001</v>
      </c>
      <c r="J456" t="str">
        <f>_xlfn.IFNA(IF(I456&lt;&gt;0,VLOOKUP(VLOOKUP(I456,Tbl_Equip[],2,FALSE),Tbl_Color[],IFERROR(MATCH(UI!$B$1,Tbl_Color[#Headers],0),2),FALSE),""),"Unset")</f>
        <v>紅</v>
      </c>
      <c r="K456" t="str">
        <f>_xlfn.IFNA(IF(I456&lt;&gt;0,VLOOKUP(I456,ItemText[],IFERROR(MATCH(UI!$B$1,ItemText[#Headers],0),2),FALSE),""),"Unset")</f>
        <v>端正的火燃情景</v>
      </c>
      <c r="L456" t="str">
        <f t="shared" si="50"/>
        <v/>
      </c>
      <c r="M456">
        <v>0</v>
      </c>
      <c r="N456" t="str">
        <f>IF(VALUE(M456)=0,"",VLOOKUP(VLOOKUP(M456,Tbl_Effect[],3,FALSE),EffectName[],IFERROR(MATCH(UI!$B$1,EffectName[#Headers],0),2),FALSE))</f>
        <v/>
      </c>
      <c r="O456" t="str">
        <f t="shared" si="51"/>
        <v/>
      </c>
      <c r="P456">
        <v>0</v>
      </c>
      <c r="Q456" t="str">
        <f>IF(VALUE(P456)=0,"",VLOOKUP(VLOOKUP(P456,Tbl_Effect[],3,FALSE),EffectName[],IFERROR(MATCH(UI!$B$1,EffectName[#Headers],0),2),FALSE))</f>
        <v/>
      </c>
      <c r="R456" t="str">
        <f t="shared" si="52"/>
        <v/>
      </c>
      <c r="S456">
        <v>0</v>
      </c>
      <c r="T456" t="str">
        <f>IF(VALUE(S456)=0,"",VLOOKUP(VLOOKUP(S456,Tbl_Effect[],3,FALSE),EffectName[],IFERROR(MATCH(UI!$B$1,EffectName[#Headers],0),2),FALSE))</f>
        <v/>
      </c>
      <c r="U456" t="str">
        <f t="shared" si="53"/>
        <v/>
      </c>
      <c r="V456">
        <v>0</v>
      </c>
      <c r="W456" t="str">
        <f>IF(V456&lt;&gt;0,VLOOKUP(VLOOKUP(V456,Tbl_Effect[],3,FALSE),EffectName[],IFERROR(MATCH(UI!$B$1,EffectName[#Headers],0),2),FALSE),"")</f>
        <v/>
      </c>
      <c r="X456" t="str">
        <f t="shared" si="54"/>
        <v/>
      </c>
      <c r="Y456">
        <v>0</v>
      </c>
      <c r="Z456" t="str">
        <f>IF(Y456&lt;&gt;0,VLOOKUP(VLOOKUP(Y456,Tbl_Effect[],3,FALSE),EffectName[],IFERROR(MATCH(UI!$B$1,EffectName[#Headers],0),2),FALSE),"")</f>
        <v/>
      </c>
      <c r="AA456" t="str">
        <f t="shared" si="55"/>
        <v/>
      </c>
      <c r="AB456">
        <v>0</v>
      </c>
      <c r="AC456" t="str">
        <f>IF(AB456&lt;&gt;0,VLOOKUP(VLOOKUP(AB456,Tbl_Effect[],3,FALSE),EffectName[],IFERROR(MATCH(UI!$B$1,EffectName[#Headers],0),2),FALSE),"")</f>
        <v/>
      </c>
    </row>
    <row r="457" spans="8:29" x14ac:dyDescent="0.4">
      <c r="H457" t="str">
        <f t="shared" si="49"/>
        <v>1005002-遼闊的火燃情景 (紅)</v>
      </c>
      <c r="I457">
        <v>1005002</v>
      </c>
      <c r="J457" t="str">
        <f>_xlfn.IFNA(IF(I457&lt;&gt;0,VLOOKUP(VLOOKUP(I457,Tbl_Equip[],2,FALSE),Tbl_Color[],IFERROR(MATCH(UI!$B$1,Tbl_Color[#Headers],0),2),FALSE),""),"Unset")</f>
        <v>紅</v>
      </c>
      <c r="K457" t="str">
        <f>_xlfn.IFNA(IF(I457&lt;&gt;0,VLOOKUP(I457,ItemText[],IFERROR(MATCH(UI!$B$1,ItemText[#Headers],0),2),FALSE),""),"Unset")</f>
        <v>遼闊的火燃情景</v>
      </c>
      <c r="L457" t="str">
        <f t="shared" si="50"/>
        <v/>
      </c>
      <c r="M457">
        <v>0</v>
      </c>
      <c r="N457" t="str">
        <f>IF(VALUE(M457)=0,"",VLOOKUP(VLOOKUP(M457,Tbl_Effect[],3,FALSE),EffectName[],IFERROR(MATCH(UI!$B$1,EffectName[#Headers],0),2),FALSE))</f>
        <v/>
      </c>
      <c r="O457" t="str">
        <f t="shared" si="51"/>
        <v/>
      </c>
      <c r="P457">
        <v>0</v>
      </c>
      <c r="Q457" t="str">
        <f>IF(VALUE(P457)=0,"",VLOOKUP(VLOOKUP(P457,Tbl_Effect[],3,FALSE),EffectName[],IFERROR(MATCH(UI!$B$1,EffectName[#Headers],0),2),FALSE))</f>
        <v/>
      </c>
      <c r="R457" t="str">
        <f t="shared" si="52"/>
        <v/>
      </c>
      <c r="S457">
        <v>0</v>
      </c>
      <c r="T457" t="str">
        <f>IF(VALUE(S457)=0,"",VLOOKUP(VLOOKUP(S457,Tbl_Effect[],3,FALSE),EffectName[],IFERROR(MATCH(UI!$B$1,EffectName[#Headers],0),2),FALSE))</f>
        <v/>
      </c>
      <c r="U457" t="str">
        <f t="shared" si="53"/>
        <v/>
      </c>
      <c r="V457">
        <v>0</v>
      </c>
      <c r="W457" t="str">
        <f>IF(V457&lt;&gt;0,VLOOKUP(VLOOKUP(V457,Tbl_Effect[],3,FALSE),EffectName[],IFERROR(MATCH(UI!$B$1,EffectName[#Headers],0),2),FALSE),"")</f>
        <v/>
      </c>
      <c r="X457" t="str">
        <f t="shared" si="54"/>
        <v/>
      </c>
      <c r="Y457">
        <v>0</v>
      </c>
      <c r="Z457" t="str">
        <f>IF(Y457&lt;&gt;0,VLOOKUP(VLOOKUP(Y457,Tbl_Effect[],3,FALSE),EffectName[],IFERROR(MATCH(UI!$B$1,EffectName[#Headers],0),2),FALSE),"")</f>
        <v/>
      </c>
      <c r="AA457" t="str">
        <f t="shared" si="55"/>
        <v/>
      </c>
      <c r="AB457">
        <v>0</v>
      </c>
      <c r="AC457" t="str">
        <f>IF(AB457&lt;&gt;0,VLOOKUP(VLOOKUP(AB457,Tbl_Effect[],3,FALSE),EffectName[],IFERROR(MATCH(UI!$B$1,EffectName[#Headers],0),2),FALSE),"")</f>
        <v/>
      </c>
    </row>
    <row r="458" spans="8:29" x14ac:dyDescent="0.4">
      <c r="H458" t="str">
        <f t="shared" si="49"/>
        <v>1005010-細膩的火燃情景 (紅)</v>
      </c>
      <c r="I458">
        <v>1005010</v>
      </c>
      <c r="J458" t="str">
        <f>_xlfn.IFNA(IF(I458&lt;&gt;0,VLOOKUP(VLOOKUP(I458,Tbl_Equip[],2,FALSE),Tbl_Color[],IFERROR(MATCH(UI!$B$1,Tbl_Color[#Headers],0),2),FALSE),""),"Unset")</f>
        <v>紅</v>
      </c>
      <c r="K458" t="str">
        <f>_xlfn.IFNA(IF(I458&lt;&gt;0,VLOOKUP(I458,ItemText[],IFERROR(MATCH(UI!$B$1,ItemText[#Headers],0),2),FALSE),""),"Unset")</f>
        <v>細膩的火燃情景</v>
      </c>
      <c r="L458" t="str">
        <f t="shared" si="50"/>
        <v/>
      </c>
      <c r="M458">
        <v>0</v>
      </c>
      <c r="N458" t="str">
        <f>IF(VALUE(M458)=0,"",VLOOKUP(VLOOKUP(M458,Tbl_Effect[],3,FALSE),EffectName[],IFERROR(MATCH(UI!$B$1,EffectName[#Headers],0),2),FALSE))</f>
        <v/>
      </c>
      <c r="O458" t="str">
        <f t="shared" si="51"/>
        <v/>
      </c>
      <c r="P458">
        <v>0</v>
      </c>
      <c r="Q458" t="str">
        <f>IF(VALUE(P458)=0,"",VLOOKUP(VLOOKUP(P458,Tbl_Effect[],3,FALSE),EffectName[],IFERROR(MATCH(UI!$B$1,EffectName[#Headers],0),2),FALSE))</f>
        <v/>
      </c>
      <c r="R458" t="str">
        <f t="shared" si="52"/>
        <v/>
      </c>
      <c r="S458">
        <v>0</v>
      </c>
      <c r="T458" t="str">
        <f>IF(VALUE(S458)=0,"",VLOOKUP(VLOOKUP(S458,Tbl_Effect[],3,FALSE),EffectName[],IFERROR(MATCH(UI!$B$1,EffectName[#Headers],0),2),FALSE))</f>
        <v/>
      </c>
      <c r="U458" t="str">
        <f t="shared" si="53"/>
        <v/>
      </c>
      <c r="V458">
        <v>0</v>
      </c>
      <c r="W458" t="str">
        <f>IF(V458&lt;&gt;0,VLOOKUP(VLOOKUP(V458,Tbl_Effect[],3,FALSE),EffectName[],IFERROR(MATCH(UI!$B$1,EffectName[#Headers],0),2),FALSE),"")</f>
        <v/>
      </c>
      <c r="X458" t="str">
        <f t="shared" si="54"/>
        <v/>
      </c>
      <c r="Y458">
        <v>0</v>
      </c>
      <c r="Z458" t="str">
        <f>IF(Y458&lt;&gt;0,VLOOKUP(VLOOKUP(Y458,Tbl_Effect[],3,FALSE),EffectName[],IFERROR(MATCH(UI!$B$1,EffectName[#Headers],0),2),FALSE),"")</f>
        <v/>
      </c>
      <c r="AA458" t="str">
        <f t="shared" si="55"/>
        <v/>
      </c>
      <c r="AB458">
        <v>0</v>
      </c>
      <c r="AC458" t="str">
        <f>IF(AB458&lt;&gt;0,VLOOKUP(VLOOKUP(AB458,Tbl_Effect[],3,FALSE),EffectName[],IFERROR(MATCH(UI!$B$1,EffectName[#Headers],0),2),FALSE),"")</f>
        <v/>
      </c>
    </row>
    <row r="459" spans="8:29" x14ac:dyDescent="0.4">
      <c r="H459" t="str">
        <f t="shared" si="49"/>
        <v>1005011-端正的火燃情景 (紅)</v>
      </c>
      <c r="I459">
        <v>1005011</v>
      </c>
      <c r="J459" t="str">
        <f>_xlfn.IFNA(IF(I459&lt;&gt;0,VLOOKUP(VLOOKUP(I459,Tbl_Equip[],2,FALSE),Tbl_Color[],IFERROR(MATCH(UI!$B$1,Tbl_Color[#Headers],0),2),FALSE),""),"Unset")</f>
        <v>紅</v>
      </c>
      <c r="K459" t="str">
        <f>_xlfn.IFNA(IF(I459&lt;&gt;0,VLOOKUP(I459,ItemText[],IFERROR(MATCH(UI!$B$1,ItemText[#Headers],0),2),FALSE),""),"Unset")</f>
        <v>端正的火燃情景</v>
      </c>
      <c r="L459" t="str">
        <f t="shared" si="50"/>
        <v/>
      </c>
      <c r="M459">
        <v>0</v>
      </c>
      <c r="N459" t="str">
        <f>IF(VALUE(M459)=0,"",VLOOKUP(VLOOKUP(M459,Tbl_Effect[],3,FALSE),EffectName[],IFERROR(MATCH(UI!$B$1,EffectName[#Headers],0),2),FALSE))</f>
        <v/>
      </c>
      <c r="O459" t="str">
        <f t="shared" si="51"/>
        <v/>
      </c>
      <c r="P459">
        <v>0</v>
      </c>
      <c r="Q459" t="str">
        <f>IF(VALUE(P459)=0,"",VLOOKUP(VLOOKUP(P459,Tbl_Effect[],3,FALSE),EffectName[],IFERROR(MATCH(UI!$B$1,EffectName[#Headers],0),2),FALSE))</f>
        <v/>
      </c>
      <c r="R459" t="str">
        <f t="shared" si="52"/>
        <v/>
      </c>
      <c r="S459">
        <v>0</v>
      </c>
      <c r="T459" t="str">
        <f>IF(VALUE(S459)=0,"",VLOOKUP(VLOOKUP(S459,Tbl_Effect[],3,FALSE),EffectName[],IFERROR(MATCH(UI!$B$1,EffectName[#Headers],0),2),FALSE))</f>
        <v/>
      </c>
      <c r="U459" t="str">
        <f t="shared" si="53"/>
        <v/>
      </c>
      <c r="V459">
        <v>0</v>
      </c>
      <c r="W459" t="str">
        <f>IF(V459&lt;&gt;0,VLOOKUP(VLOOKUP(V459,Tbl_Effect[],3,FALSE),EffectName[],IFERROR(MATCH(UI!$B$1,EffectName[#Headers],0),2),FALSE),"")</f>
        <v/>
      </c>
      <c r="X459" t="str">
        <f t="shared" si="54"/>
        <v/>
      </c>
      <c r="Y459">
        <v>0</v>
      </c>
      <c r="Z459" t="str">
        <f>IF(Y459&lt;&gt;0,VLOOKUP(VLOOKUP(Y459,Tbl_Effect[],3,FALSE),EffectName[],IFERROR(MATCH(UI!$B$1,EffectName[#Headers],0),2),FALSE),"")</f>
        <v/>
      </c>
      <c r="AA459" t="str">
        <f t="shared" si="55"/>
        <v/>
      </c>
      <c r="AB459">
        <v>0</v>
      </c>
      <c r="AC459" t="str">
        <f>IF(AB459&lt;&gt;0,VLOOKUP(VLOOKUP(AB459,Tbl_Effect[],3,FALSE),EffectName[],IFERROR(MATCH(UI!$B$1,EffectName[#Headers],0),2),FALSE),"")</f>
        <v/>
      </c>
    </row>
    <row r="460" spans="8:29" x14ac:dyDescent="0.4">
      <c r="H460" t="str">
        <f t="shared" si="49"/>
        <v>1005012-遼闊的火燃情景 (紅)</v>
      </c>
      <c r="I460">
        <v>1005012</v>
      </c>
      <c r="J460" t="str">
        <f>_xlfn.IFNA(IF(I460&lt;&gt;0,VLOOKUP(VLOOKUP(I460,Tbl_Equip[],2,FALSE),Tbl_Color[],IFERROR(MATCH(UI!$B$1,Tbl_Color[#Headers],0),2),FALSE),""),"Unset")</f>
        <v>紅</v>
      </c>
      <c r="K460" t="str">
        <f>_xlfn.IFNA(IF(I460&lt;&gt;0,VLOOKUP(I460,ItemText[],IFERROR(MATCH(UI!$B$1,ItemText[#Headers],0),2),FALSE),""),"Unset")</f>
        <v>遼闊的火燃情景</v>
      </c>
      <c r="L460" t="str">
        <f t="shared" si="50"/>
        <v/>
      </c>
      <c r="M460">
        <v>0</v>
      </c>
      <c r="N460" t="str">
        <f>IF(VALUE(M460)=0,"",VLOOKUP(VLOOKUP(M460,Tbl_Effect[],3,FALSE),EffectName[],IFERROR(MATCH(UI!$B$1,EffectName[#Headers],0),2),FALSE))</f>
        <v/>
      </c>
      <c r="O460" t="str">
        <f t="shared" si="51"/>
        <v/>
      </c>
      <c r="P460">
        <v>0</v>
      </c>
      <c r="Q460" t="str">
        <f>IF(VALUE(P460)=0,"",VLOOKUP(VLOOKUP(P460,Tbl_Effect[],3,FALSE),EffectName[],IFERROR(MATCH(UI!$B$1,EffectName[#Headers],0),2),FALSE))</f>
        <v/>
      </c>
      <c r="R460" t="str">
        <f t="shared" si="52"/>
        <v/>
      </c>
      <c r="S460">
        <v>0</v>
      </c>
      <c r="T460" t="str">
        <f>IF(VALUE(S460)=0,"",VLOOKUP(VLOOKUP(S460,Tbl_Effect[],3,FALSE),EffectName[],IFERROR(MATCH(UI!$B$1,EffectName[#Headers],0),2),FALSE))</f>
        <v/>
      </c>
      <c r="U460" t="str">
        <f t="shared" si="53"/>
        <v/>
      </c>
      <c r="V460">
        <v>0</v>
      </c>
      <c r="W460" t="str">
        <f>IF(V460&lt;&gt;0,VLOOKUP(VLOOKUP(V460,Tbl_Effect[],3,FALSE),EffectName[],IFERROR(MATCH(UI!$B$1,EffectName[#Headers],0),2),FALSE),"")</f>
        <v/>
      </c>
      <c r="X460" t="str">
        <f t="shared" si="54"/>
        <v/>
      </c>
      <c r="Y460">
        <v>0</v>
      </c>
      <c r="Z460" t="str">
        <f>IF(Y460&lt;&gt;0,VLOOKUP(VLOOKUP(Y460,Tbl_Effect[],3,FALSE),EffectName[],IFERROR(MATCH(UI!$B$1,EffectName[#Headers],0),2),FALSE),"")</f>
        <v/>
      </c>
      <c r="AA460" t="str">
        <f t="shared" si="55"/>
        <v/>
      </c>
      <c r="AB460">
        <v>0</v>
      </c>
      <c r="AC460" t="str">
        <f>IF(AB460&lt;&gt;0,VLOOKUP(VLOOKUP(AB460,Tbl_Effect[],3,FALSE),EffectName[],IFERROR(MATCH(UI!$B$1,EffectName[#Headers],0),2),FALSE),"")</f>
        <v/>
      </c>
    </row>
    <row r="461" spans="8:29" x14ac:dyDescent="0.4">
      <c r="H461" t="str">
        <f t="shared" si="49"/>
        <v>1005020-細膩的火燃情景 (紅)</v>
      </c>
      <c r="I461">
        <v>1005020</v>
      </c>
      <c r="J461" t="str">
        <f>_xlfn.IFNA(IF(I461&lt;&gt;0,VLOOKUP(VLOOKUP(I461,Tbl_Equip[],2,FALSE),Tbl_Color[],IFERROR(MATCH(UI!$B$1,Tbl_Color[#Headers],0),2),FALSE),""),"Unset")</f>
        <v>紅</v>
      </c>
      <c r="K461" t="str">
        <f>_xlfn.IFNA(IF(I461&lt;&gt;0,VLOOKUP(I461,ItemText[],IFERROR(MATCH(UI!$B$1,ItemText[#Headers],0),2),FALSE),""),"Unset")</f>
        <v>細膩的火燃情景</v>
      </c>
      <c r="L461" t="str">
        <f t="shared" si="50"/>
        <v/>
      </c>
      <c r="M461">
        <v>0</v>
      </c>
      <c r="N461" t="str">
        <f>IF(VALUE(M461)=0,"",VLOOKUP(VLOOKUP(M461,Tbl_Effect[],3,FALSE),EffectName[],IFERROR(MATCH(UI!$B$1,EffectName[#Headers],0),2),FALSE))</f>
        <v/>
      </c>
      <c r="O461" t="str">
        <f t="shared" si="51"/>
        <v/>
      </c>
      <c r="P461">
        <v>0</v>
      </c>
      <c r="Q461" t="str">
        <f>IF(VALUE(P461)=0,"",VLOOKUP(VLOOKUP(P461,Tbl_Effect[],3,FALSE),EffectName[],IFERROR(MATCH(UI!$B$1,EffectName[#Headers],0),2),FALSE))</f>
        <v/>
      </c>
      <c r="R461" t="str">
        <f t="shared" si="52"/>
        <v/>
      </c>
      <c r="S461">
        <v>0</v>
      </c>
      <c r="T461" t="str">
        <f>IF(VALUE(S461)=0,"",VLOOKUP(VLOOKUP(S461,Tbl_Effect[],3,FALSE),EffectName[],IFERROR(MATCH(UI!$B$1,EffectName[#Headers],0),2),FALSE))</f>
        <v/>
      </c>
      <c r="U461" t="str">
        <f t="shared" si="53"/>
        <v/>
      </c>
      <c r="V461">
        <v>0</v>
      </c>
      <c r="W461" t="str">
        <f>IF(V461&lt;&gt;0,VLOOKUP(VLOOKUP(V461,Tbl_Effect[],3,FALSE),EffectName[],IFERROR(MATCH(UI!$B$1,EffectName[#Headers],0),2),FALSE),"")</f>
        <v/>
      </c>
      <c r="X461" t="str">
        <f t="shared" si="54"/>
        <v/>
      </c>
      <c r="Y461">
        <v>0</v>
      </c>
      <c r="Z461" t="str">
        <f>IF(Y461&lt;&gt;0,VLOOKUP(VLOOKUP(Y461,Tbl_Effect[],3,FALSE),EffectName[],IFERROR(MATCH(UI!$B$1,EffectName[#Headers],0),2),FALSE),"")</f>
        <v/>
      </c>
      <c r="AA461" t="str">
        <f t="shared" si="55"/>
        <v/>
      </c>
      <c r="AB461">
        <v>0</v>
      </c>
      <c r="AC461" t="str">
        <f>IF(AB461&lt;&gt;0,VLOOKUP(VLOOKUP(AB461,Tbl_Effect[],3,FALSE),EffectName[],IFERROR(MATCH(UI!$B$1,EffectName[#Headers],0),2),FALSE),"")</f>
        <v/>
      </c>
    </row>
    <row r="462" spans="8:29" x14ac:dyDescent="0.4">
      <c r="H462" t="str">
        <f t="shared" si="49"/>
        <v>1005021-端正的火燃情景 (紅)</v>
      </c>
      <c r="I462">
        <v>1005021</v>
      </c>
      <c r="J462" t="str">
        <f>_xlfn.IFNA(IF(I462&lt;&gt;0,VLOOKUP(VLOOKUP(I462,Tbl_Equip[],2,FALSE),Tbl_Color[],IFERROR(MATCH(UI!$B$1,Tbl_Color[#Headers],0),2),FALSE),""),"Unset")</f>
        <v>紅</v>
      </c>
      <c r="K462" t="str">
        <f>_xlfn.IFNA(IF(I462&lt;&gt;0,VLOOKUP(I462,ItemText[],IFERROR(MATCH(UI!$B$1,ItemText[#Headers],0),2),FALSE),""),"Unset")</f>
        <v>端正的火燃情景</v>
      </c>
      <c r="L462" t="str">
        <f t="shared" si="50"/>
        <v/>
      </c>
      <c r="M462">
        <v>0</v>
      </c>
      <c r="N462" t="str">
        <f>IF(VALUE(M462)=0,"",VLOOKUP(VLOOKUP(M462,Tbl_Effect[],3,FALSE),EffectName[],IFERROR(MATCH(UI!$B$1,EffectName[#Headers],0),2),FALSE))</f>
        <v/>
      </c>
      <c r="O462" t="str">
        <f t="shared" si="51"/>
        <v/>
      </c>
      <c r="P462">
        <v>0</v>
      </c>
      <c r="Q462" t="str">
        <f>IF(VALUE(P462)=0,"",VLOOKUP(VLOOKUP(P462,Tbl_Effect[],3,FALSE),EffectName[],IFERROR(MATCH(UI!$B$1,EffectName[#Headers],0),2),FALSE))</f>
        <v/>
      </c>
      <c r="R462" t="str">
        <f t="shared" si="52"/>
        <v/>
      </c>
      <c r="S462">
        <v>0</v>
      </c>
      <c r="T462" t="str">
        <f>IF(VALUE(S462)=0,"",VLOOKUP(VLOOKUP(S462,Tbl_Effect[],3,FALSE),EffectName[],IFERROR(MATCH(UI!$B$1,EffectName[#Headers],0),2),FALSE))</f>
        <v/>
      </c>
      <c r="U462" t="str">
        <f t="shared" si="53"/>
        <v/>
      </c>
      <c r="V462">
        <v>0</v>
      </c>
      <c r="W462" t="str">
        <f>IF(V462&lt;&gt;0,VLOOKUP(VLOOKUP(V462,Tbl_Effect[],3,FALSE),EffectName[],IFERROR(MATCH(UI!$B$1,EffectName[#Headers],0),2),FALSE),"")</f>
        <v/>
      </c>
      <c r="X462" t="str">
        <f t="shared" si="54"/>
        <v/>
      </c>
      <c r="Y462">
        <v>0</v>
      </c>
      <c r="Z462" t="str">
        <f>IF(Y462&lt;&gt;0,VLOOKUP(VLOOKUP(Y462,Tbl_Effect[],3,FALSE),EffectName[],IFERROR(MATCH(UI!$B$1,EffectName[#Headers],0),2),FALSE),"")</f>
        <v/>
      </c>
      <c r="AA462" t="str">
        <f t="shared" si="55"/>
        <v/>
      </c>
      <c r="AB462">
        <v>0</v>
      </c>
      <c r="AC462" t="str">
        <f>IF(AB462&lt;&gt;0,VLOOKUP(VLOOKUP(AB462,Tbl_Effect[],3,FALSE),EffectName[],IFERROR(MATCH(UI!$B$1,EffectName[#Headers],0),2),FALSE),"")</f>
        <v/>
      </c>
    </row>
    <row r="463" spans="8:29" x14ac:dyDescent="0.4">
      <c r="H463" t="str">
        <f t="shared" si="49"/>
        <v>1005022-遼闊的火燃情景 (紅)</v>
      </c>
      <c r="I463">
        <v>1005022</v>
      </c>
      <c r="J463" t="str">
        <f>_xlfn.IFNA(IF(I463&lt;&gt;0,VLOOKUP(VLOOKUP(I463,Tbl_Equip[],2,FALSE),Tbl_Color[],IFERROR(MATCH(UI!$B$1,Tbl_Color[#Headers],0),2),FALSE),""),"Unset")</f>
        <v>紅</v>
      </c>
      <c r="K463" t="str">
        <f>_xlfn.IFNA(IF(I463&lt;&gt;0,VLOOKUP(I463,ItemText[],IFERROR(MATCH(UI!$B$1,ItemText[#Headers],0),2),FALSE),""),"Unset")</f>
        <v>遼闊的火燃情景</v>
      </c>
      <c r="L463" t="str">
        <f t="shared" si="50"/>
        <v/>
      </c>
      <c r="M463">
        <v>0</v>
      </c>
      <c r="N463" t="str">
        <f>IF(VALUE(M463)=0,"",VLOOKUP(VLOOKUP(M463,Tbl_Effect[],3,FALSE),EffectName[],IFERROR(MATCH(UI!$B$1,EffectName[#Headers],0),2),FALSE))</f>
        <v/>
      </c>
      <c r="O463" t="str">
        <f t="shared" si="51"/>
        <v/>
      </c>
      <c r="P463">
        <v>0</v>
      </c>
      <c r="Q463" t="str">
        <f>IF(VALUE(P463)=0,"",VLOOKUP(VLOOKUP(P463,Tbl_Effect[],3,FALSE),EffectName[],IFERROR(MATCH(UI!$B$1,EffectName[#Headers],0),2),FALSE))</f>
        <v/>
      </c>
      <c r="R463" t="str">
        <f t="shared" si="52"/>
        <v/>
      </c>
      <c r="S463">
        <v>0</v>
      </c>
      <c r="T463" t="str">
        <f>IF(VALUE(S463)=0,"",VLOOKUP(VLOOKUP(S463,Tbl_Effect[],3,FALSE),EffectName[],IFERROR(MATCH(UI!$B$1,EffectName[#Headers],0),2),FALSE))</f>
        <v/>
      </c>
      <c r="U463" t="str">
        <f t="shared" si="53"/>
        <v/>
      </c>
      <c r="V463">
        <v>0</v>
      </c>
      <c r="W463" t="str">
        <f>IF(V463&lt;&gt;0,VLOOKUP(VLOOKUP(V463,Tbl_Effect[],3,FALSE),EffectName[],IFERROR(MATCH(UI!$B$1,EffectName[#Headers],0),2),FALSE),"")</f>
        <v/>
      </c>
      <c r="X463" t="str">
        <f t="shared" si="54"/>
        <v/>
      </c>
      <c r="Y463">
        <v>0</v>
      </c>
      <c r="Z463" t="str">
        <f>IF(Y463&lt;&gt;0,VLOOKUP(VLOOKUP(Y463,Tbl_Effect[],3,FALSE),EffectName[],IFERROR(MATCH(UI!$B$1,EffectName[#Headers],0),2),FALSE),"")</f>
        <v/>
      </c>
      <c r="AA463" t="str">
        <f t="shared" si="55"/>
        <v/>
      </c>
      <c r="AB463">
        <v>0</v>
      </c>
      <c r="AC463" t="str">
        <f>IF(AB463&lt;&gt;0,VLOOKUP(VLOOKUP(AB463,Tbl_Effect[],3,FALSE),EffectName[],IFERROR(MATCH(UI!$B$1,EffectName[#Headers],0),2),FALSE),"")</f>
        <v/>
      </c>
    </row>
    <row r="464" spans="8:29" x14ac:dyDescent="0.4">
      <c r="H464" t="str">
        <f t="shared" si="49"/>
        <v>1005100-細膩的水滴情景 (藍)</v>
      </c>
      <c r="I464">
        <v>1005100</v>
      </c>
      <c r="J464" t="str">
        <f>_xlfn.IFNA(IF(I464&lt;&gt;0,VLOOKUP(VLOOKUP(I464,Tbl_Equip[],2,FALSE),Tbl_Color[],IFERROR(MATCH(UI!$B$1,Tbl_Color[#Headers],0),2),FALSE),""),"Unset")</f>
        <v>藍</v>
      </c>
      <c r="K464" t="str">
        <f>_xlfn.IFNA(IF(I464&lt;&gt;0,VLOOKUP(I464,ItemText[],IFERROR(MATCH(UI!$B$1,ItemText[#Headers],0),2),FALSE),""),"Unset")</f>
        <v>細膩的水滴情景</v>
      </c>
      <c r="L464" t="str">
        <f t="shared" si="50"/>
        <v/>
      </c>
      <c r="M464">
        <v>0</v>
      </c>
      <c r="N464" t="str">
        <f>IF(VALUE(M464)=0,"",VLOOKUP(VLOOKUP(M464,Tbl_Effect[],3,FALSE),EffectName[],IFERROR(MATCH(UI!$B$1,EffectName[#Headers],0),2),FALSE))</f>
        <v/>
      </c>
      <c r="O464" t="str">
        <f t="shared" si="51"/>
        <v/>
      </c>
      <c r="P464">
        <v>0</v>
      </c>
      <c r="Q464" t="str">
        <f>IF(VALUE(P464)=0,"",VLOOKUP(VLOOKUP(P464,Tbl_Effect[],3,FALSE),EffectName[],IFERROR(MATCH(UI!$B$1,EffectName[#Headers],0),2),FALSE))</f>
        <v/>
      </c>
      <c r="R464" t="str">
        <f t="shared" si="52"/>
        <v/>
      </c>
      <c r="S464">
        <v>0</v>
      </c>
      <c r="T464" t="str">
        <f>IF(VALUE(S464)=0,"",VLOOKUP(VLOOKUP(S464,Tbl_Effect[],3,FALSE),EffectName[],IFERROR(MATCH(UI!$B$1,EffectName[#Headers],0),2),FALSE))</f>
        <v/>
      </c>
      <c r="U464" t="str">
        <f t="shared" si="53"/>
        <v/>
      </c>
      <c r="V464">
        <v>0</v>
      </c>
      <c r="W464" t="str">
        <f>IF(V464&lt;&gt;0,VLOOKUP(VLOOKUP(V464,Tbl_Effect[],3,FALSE),EffectName[],IFERROR(MATCH(UI!$B$1,EffectName[#Headers],0),2),FALSE),"")</f>
        <v/>
      </c>
      <c r="X464" t="str">
        <f t="shared" si="54"/>
        <v/>
      </c>
      <c r="Y464">
        <v>0</v>
      </c>
      <c r="Z464" t="str">
        <f>IF(Y464&lt;&gt;0,VLOOKUP(VLOOKUP(Y464,Tbl_Effect[],3,FALSE),EffectName[],IFERROR(MATCH(UI!$B$1,EffectName[#Headers],0),2),FALSE),"")</f>
        <v/>
      </c>
      <c r="AA464" t="str">
        <f t="shared" si="55"/>
        <v/>
      </c>
      <c r="AB464">
        <v>0</v>
      </c>
      <c r="AC464" t="str">
        <f>IF(AB464&lt;&gt;0,VLOOKUP(VLOOKUP(AB464,Tbl_Effect[],3,FALSE),EffectName[],IFERROR(MATCH(UI!$B$1,EffectName[#Headers],0),2),FALSE),"")</f>
        <v/>
      </c>
    </row>
    <row r="465" spans="8:29" x14ac:dyDescent="0.4">
      <c r="H465" t="str">
        <f t="shared" si="49"/>
        <v>1005101-端正的水滴情景 (藍)</v>
      </c>
      <c r="I465">
        <v>1005101</v>
      </c>
      <c r="J465" t="str">
        <f>_xlfn.IFNA(IF(I465&lt;&gt;0,VLOOKUP(VLOOKUP(I465,Tbl_Equip[],2,FALSE),Tbl_Color[],IFERROR(MATCH(UI!$B$1,Tbl_Color[#Headers],0),2),FALSE),""),"Unset")</f>
        <v>藍</v>
      </c>
      <c r="K465" t="str">
        <f>_xlfn.IFNA(IF(I465&lt;&gt;0,VLOOKUP(I465,ItemText[],IFERROR(MATCH(UI!$B$1,ItemText[#Headers],0),2),FALSE),""),"Unset")</f>
        <v>端正的水滴情景</v>
      </c>
      <c r="L465" t="str">
        <f t="shared" si="50"/>
        <v/>
      </c>
      <c r="M465">
        <v>0</v>
      </c>
      <c r="N465" t="str">
        <f>IF(VALUE(M465)=0,"",VLOOKUP(VLOOKUP(M465,Tbl_Effect[],3,FALSE),EffectName[],IFERROR(MATCH(UI!$B$1,EffectName[#Headers],0),2),FALSE))</f>
        <v/>
      </c>
      <c r="O465" t="str">
        <f t="shared" si="51"/>
        <v/>
      </c>
      <c r="P465">
        <v>0</v>
      </c>
      <c r="Q465" t="str">
        <f>IF(VALUE(P465)=0,"",VLOOKUP(VLOOKUP(P465,Tbl_Effect[],3,FALSE),EffectName[],IFERROR(MATCH(UI!$B$1,EffectName[#Headers],0),2),FALSE))</f>
        <v/>
      </c>
      <c r="R465" t="str">
        <f t="shared" si="52"/>
        <v/>
      </c>
      <c r="S465">
        <v>0</v>
      </c>
      <c r="T465" t="str">
        <f>IF(VALUE(S465)=0,"",VLOOKUP(VLOOKUP(S465,Tbl_Effect[],3,FALSE),EffectName[],IFERROR(MATCH(UI!$B$1,EffectName[#Headers],0),2),FALSE))</f>
        <v/>
      </c>
      <c r="U465" t="str">
        <f t="shared" si="53"/>
        <v/>
      </c>
      <c r="V465">
        <v>0</v>
      </c>
      <c r="W465" t="str">
        <f>IF(V465&lt;&gt;0,VLOOKUP(VLOOKUP(V465,Tbl_Effect[],3,FALSE),EffectName[],IFERROR(MATCH(UI!$B$1,EffectName[#Headers],0),2),FALSE),"")</f>
        <v/>
      </c>
      <c r="X465" t="str">
        <f t="shared" si="54"/>
        <v/>
      </c>
      <c r="Y465">
        <v>0</v>
      </c>
      <c r="Z465" t="str">
        <f>IF(Y465&lt;&gt;0,VLOOKUP(VLOOKUP(Y465,Tbl_Effect[],3,FALSE),EffectName[],IFERROR(MATCH(UI!$B$1,EffectName[#Headers],0),2),FALSE),"")</f>
        <v/>
      </c>
      <c r="AA465" t="str">
        <f t="shared" si="55"/>
        <v/>
      </c>
      <c r="AB465">
        <v>0</v>
      </c>
      <c r="AC465" t="str">
        <f>IF(AB465&lt;&gt;0,VLOOKUP(VLOOKUP(AB465,Tbl_Effect[],3,FALSE),EffectName[],IFERROR(MATCH(UI!$B$1,EffectName[#Headers],0),2),FALSE),"")</f>
        <v/>
      </c>
    </row>
    <row r="466" spans="8:29" x14ac:dyDescent="0.4">
      <c r="H466" t="str">
        <f t="shared" si="49"/>
        <v>1005102-遼闊的水滴情景 (藍)</v>
      </c>
      <c r="I466">
        <v>1005102</v>
      </c>
      <c r="J466" t="str">
        <f>_xlfn.IFNA(IF(I466&lt;&gt;0,VLOOKUP(VLOOKUP(I466,Tbl_Equip[],2,FALSE),Tbl_Color[],IFERROR(MATCH(UI!$B$1,Tbl_Color[#Headers],0),2),FALSE),""),"Unset")</f>
        <v>藍</v>
      </c>
      <c r="K466" t="str">
        <f>_xlfn.IFNA(IF(I466&lt;&gt;0,VLOOKUP(I466,ItemText[],IFERROR(MATCH(UI!$B$1,ItemText[#Headers],0),2),FALSE),""),"Unset")</f>
        <v>遼闊的水滴情景</v>
      </c>
      <c r="L466" t="str">
        <f t="shared" si="50"/>
        <v/>
      </c>
      <c r="M466">
        <v>0</v>
      </c>
      <c r="N466" t="str">
        <f>IF(VALUE(M466)=0,"",VLOOKUP(VLOOKUP(M466,Tbl_Effect[],3,FALSE),EffectName[],IFERROR(MATCH(UI!$B$1,EffectName[#Headers],0),2),FALSE))</f>
        <v/>
      </c>
      <c r="O466" t="str">
        <f t="shared" si="51"/>
        <v/>
      </c>
      <c r="P466">
        <v>0</v>
      </c>
      <c r="Q466" t="str">
        <f>IF(VALUE(P466)=0,"",VLOOKUP(VLOOKUP(P466,Tbl_Effect[],3,FALSE),EffectName[],IFERROR(MATCH(UI!$B$1,EffectName[#Headers],0),2),FALSE))</f>
        <v/>
      </c>
      <c r="R466" t="str">
        <f t="shared" si="52"/>
        <v/>
      </c>
      <c r="S466">
        <v>0</v>
      </c>
      <c r="T466" t="str">
        <f>IF(VALUE(S466)=0,"",VLOOKUP(VLOOKUP(S466,Tbl_Effect[],3,FALSE),EffectName[],IFERROR(MATCH(UI!$B$1,EffectName[#Headers],0),2),FALSE))</f>
        <v/>
      </c>
      <c r="U466" t="str">
        <f t="shared" si="53"/>
        <v/>
      </c>
      <c r="V466">
        <v>0</v>
      </c>
      <c r="W466" t="str">
        <f>IF(V466&lt;&gt;0,VLOOKUP(VLOOKUP(V466,Tbl_Effect[],3,FALSE),EffectName[],IFERROR(MATCH(UI!$B$1,EffectName[#Headers],0),2),FALSE),"")</f>
        <v/>
      </c>
      <c r="X466" t="str">
        <f t="shared" si="54"/>
        <v/>
      </c>
      <c r="Y466">
        <v>0</v>
      </c>
      <c r="Z466" t="str">
        <f>IF(Y466&lt;&gt;0,VLOOKUP(VLOOKUP(Y466,Tbl_Effect[],3,FALSE),EffectName[],IFERROR(MATCH(UI!$B$1,EffectName[#Headers],0),2),FALSE),"")</f>
        <v/>
      </c>
      <c r="AA466" t="str">
        <f t="shared" si="55"/>
        <v/>
      </c>
      <c r="AB466">
        <v>0</v>
      </c>
      <c r="AC466" t="str">
        <f>IF(AB466&lt;&gt;0,VLOOKUP(VLOOKUP(AB466,Tbl_Effect[],3,FALSE),EffectName[],IFERROR(MATCH(UI!$B$1,EffectName[#Headers],0),2),FALSE),"")</f>
        <v/>
      </c>
    </row>
    <row r="467" spans="8:29" x14ac:dyDescent="0.4">
      <c r="H467" t="str">
        <f t="shared" si="49"/>
        <v>1005110-細膩的水滴情景 (藍)</v>
      </c>
      <c r="I467">
        <v>1005110</v>
      </c>
      <c r="J467" t="str">
        <f>_xlfn.IFNA(IF(I467&lt;&gt;0,VLOOKUP(VLOOKUP(I467,Tbl_Equip[],2,FALSE),Tbl_Color[],IFERROR(MATCH(UI!$B$1,Tbl_Color[#Headers],0),2),FALSE),""),"Unset")</f>
        <v>藍</v>
      </c>
      <c r="K467" t="str">
        <f>_xlfn.IFNA(IF(I467&lt;&gt;0,VLOOKUP(I467,ItemText[],IFERROR(MATCH(UI!$B$1,ItemText[#Headers],0),2),FALSE),""),"Unset")</f>
        <v>細膩的水滴情景</v>
      </c>
      <c r="L467" t="str">
        <f t="shared" si="50"/>
        <v/>
      </c>
      <c r="M467">
        <v>0</v>
      </c>
      <c r="N467" t="str">
        <f>IF(VALUE(M467)=0,"",VLOOKUP(VLOOKUP(M467,Tbl_Effect[],3,FALSE),EffectName[],IFERROR(MATCH(UI!$B$1,EffectName[#Headers],0),2),FALSE))</f>
        <v/>
      </c>
      <c r="O467" t="str">
        <f t="shared" si="51"/>
        <v/>
      </c>
      <c r="P467">
        <v>0</v>
      </c>
      <c r="Q467" t="str">
        <f>IF(VALUE(P467)=0,"",VLOOKUP(VLOOKUP(P467,Tbl_Effect[],3,FALSE),EffectName[],IFERROR(MATCH(UI!$B$1,EffectName[#Headers],0),2),FALSE))</f>
        <v/>
      </c>
      <c r="R467" t="str">
        <f t="shared" si="52"/>
        <v/>
      </c>
      <c r="S467">
        <v>0</v>
      </c>
      <c r="T467" t="str">
        <f>IF(VALUE(S467)=0,"",VLOOKUP(VLOOKUP(S467,Tbl_Effect[],3,FALSE),EffectName[],IFERROR(MATCH(UI!$B$1,EffectName[#Headers],0),2),FALSE))</f>
        <v/>
      </c>
      <c r="U467" t="str">
        <f t="shared" si="53"/>
        <v/>
      </c>
      <c r="V467">
        <v>0</v>
      </c>
      <c r="W467" t="str">
        <f>IF(V467&lt;&gt;0,VLOOKUP(VLOOKUP(V467,Tbl_Effect[],3,FALSE),EffectName[],IFERROR(MATCH(UI!$B$1,EffectName[#Headers],0),2),FALSE),"")</f>
        <v/>
      </c>
      <c r="X467" t="str">
        <f t="shared" si="54"/>
        <v/>
      </c>
      <c r="Y467">
        <v>0</v>
      </c>
      <c r="Z467" t="str">
        <f>IF(Y467&lt;&gt;0,VLOOKUP(VLOOKUP(Y467,Tbl_Effect[],3,FALSE),EffectName[],IFERROR(MATCH(UI!$B$1,EffectName[#Headers],0),2),FALSE),"")</f>
        <v/>
      </c>
      <c r="AA467" t="str">
        <f t="shared" si="55"/>
        <v/>
      </c>
      <c r="AB467">
        <v>0</v>
      </c>
      <c r="AC467" t="str">
        <f>IF(AB467&lt;&gt;0,VLOOKUP(VLOOKUP(AB467,Tbl_Effect[],3,FALSE),EffectName[],IFERROR(MATCH(UI!$B$1,EffectName[#Headers],0),2),FALSE),"")</f>
        <v/>
      </c>
    </row>
    <row r="468" spans="8:29" x14ac:dyDescent="0.4">
      <c r="H468" t="str">
        <f t="shared" si="49"/>
        <v>1005111-端正的水滴情景 (藍)</v>
      </c>
      <c r="I468">
        <v>1005111</v>
      </c>
      <c r="J468" t="str">
        <f>_xlfn.IFNA(IF(I468&lt;&gt;0,VLOOKUP(VLOOKUP(I468,Tbl_Equip[],2,FALSE),Tbl_Color[],IFERROR(MATCH(UI!$B$1,Tbl_Color[#Headers],0),2),FALSE),""),"Unset")</f>
        <v>藍</v>
      </c>
      <c r="K468" t="str">
        <f>_xlfn.IFNA(IF(I468&lt;&gt;0,VLOOKUP(I468,ItemText[],IFERROR(MATCH(UI!$B$1,ItemText[#Headers],0),2),FALSE),""),"Unset")</f>
        <v>端正的水滴情景</v>
      </c>
      <c r="L468" t="str">
        <f t="shared" si="50"/>
        <v/>
      </c>
      <c r="M468">
        <v>0</v>
      </c>
      <c r="N468" t="str">
        <f>IF(VALUE(M468)=0,"",VLOOKUP(VLOOKUP(M468,Tbl_Effect[],3,FALSE),EffectName[],IFERROR(MATCH(UI!$B$1,EffectName[#Headers],0),2),FALSE))</f>
        <v/>
      </c>
      <c r="O468" t="str">
        <f t="shared" si="51"/>
        <v/>
      </c>
      <c r="P468">
        <v>0</v>
      </c>
      <c r="Q468" t="str">
        <f>IF(VALUE(P468)=0,"",VLOOKUP(VLOOKUP(P468,Tbl_Effect[],3,FALSE),EffectName[],IFERROR(MATCH(UI!$B$1,EffectName[#Headers],0),2),FALSE))</f>
        <v/>
      </c>
      <c r="R468" t="str">
        <f t="shared" si="52"/>
        <v/>
      </c>
      <c r="S468">
        <v>0</v>
      </c>
      <c r="T468" t="str">
        <f>IF(VALUE(S468)=0,"",VLOOKUP(VLOOKUP(S468,Tbl_Effect[],3,FALSE),EffectName[],IFERROR(MATCH(UI!$B$1,EffectName[#Headers],0),2),FALSE))</f>
        <v/>
      </c>
      <c r="U468" t="str">
        <f t="shared" si="53"/>
        <v/>
      </c>
      <c r="V468">
        <v>0</v>
      </c>
      <c r="W468" t="str">
        <f>IF(V468&lt;&gt;0,VLOOKUP(VLOOKUP(V468,Tbl_Effect[],3,FALSE),EffectName[],IFERROR(MATCH(UI!$B$1,EffectName[#Headers],0),2),FALSE),"")</f>
        <v/>
      </c>
      <c r="X468" t="str">
        <f t="shared" si="54"/>
        <v/>
      </c>
      <c r="Y468">
        <v>0</v>
      </c>
      <c r="Z468" t="str">
        <f>IF(Y468&lt;&gt;0,VLOOKUP(VLOOKUP(Y468,Tbl_Effect[],3,FALSE),EffectName[],IFERROR(MATCH(UI!$B$1,EffectName[#Headers],0),2),FALSE),"")</f>
        <v/>
      </c>
      <c r="AA468" t="str">
        <f t="shared" si="55"/>
        <v/>
      </c>
      <c r="AB468">
        <v>0</v>
      </c>
      <c r="AC468" t="str">
        <f>IF(AB468&lt;&gt;0,VLOOKUP(VLOOKUP(AB468,Tbl_Effect[],3,FALSE),EffectName[],IFERROR(MATCH(UI!$B$1,EffectName[#Headers],0),2),FALSE),"")</f>
        <v/>
      </c>
    </row>
    <row r="469" spans="8:29" x14ac:dyDescent="0.4">
      <c r="H469" t="str">
        <f t="shared" si="49"/>
        <v>1005112-遼闊的水滴情景 (藍)</v>
      </c>
      <c r="I469">
        <v>1005112</v>
      </c>
      <c r="J469" t="str">
        <f>_xlfn.IFNA(IF(I469&lt;&gt;0,VLOOKUP(VLOOKUP(I469,Tbl_Equip[],2,FALSE),Tbl_Color[],IFERROR(MATCH(UI!$B$1,Tbl_Color[#Headers],0),2),FALSE),""),"Unset")</f>
        <v>藍</v>
      </c>
      <c r="K469" t="str">
        <f>_xlfn.IFNA(IF(I469&lt;&gt;0,VLOOKUP(I469,ItemText[],IFERROR(MATCH(UI!$B$1,ItemText[#Headers],0),2),FALSE),""),"Unset")</f>
        <v>遼闊的水滴情景</v>
      </c>
      <c r="L469" t="str">
        <f t="shared" si="50"/>
        <v/>
      </c>
      <c r="M469">
        <v>0</v>
      </c>
      <c r="N469" t="str">
        <f>IF(VALUE(M469)=0,"",VLOOKUP(VLOOKUP(M469,Tbl_Effect[],3,FALSE),EffectName[],IFERROR(MATCH(UI!$B$1,EffectName[#Headers],0),2),FALSE))</f>
        <v/>
      </c>
      <c r="O469" t="str">
        <f t="shared" si="51"/>
        <v/>
      </c>
      <c r="P469">
        <v>0</v>
      </c>
      <c r="Q469" t="str">
        <f>IF(VALUE(P469)=0,"",VLOOKUP(VLOOKUP(P469,Tbl_Effect[],3,FALSE),EffectName[],IFERROR(MATCH(UI!$B$1,EffectName[#Headers],0),2),FALSE))</f>
        <v/>
      </c>
      <c r="R469" t="str">
        <f t="shared" si="52"/>
        <v/>
      </c>
      <c r="S469">
        <v>0</v>
      </c>
      <c r="T469" t="str">
        <f>IF(VALUE(S469)=0,"",VLOOKUP(VLOOKUP(S469,Tbl_Effect[],3,FALSE),EffectName[],IFERROR(MATCH(UI!$B$1,EffectName[#Headers],0),2),FALSE))</f>
        <v/>
      </c>
      <c r="U469" t="str">
        <f t="shared" si="53"/>
        <v/>
      </c>
      <c r="V469">
        <v>0</v>
      </c>
      <c r="W469" t="str">
        <f>IF(V469&lt;&gt;0,VLOOKUP(VLOOKUP(V469,Tbl_Effect[],3,FALSE),EffectName[],IFERROR(MATCH(UI!$B$1,EffectName[#Headers],0),2),FALSE),"")</f>
        <v/>
      </c>
      <c r="X469" t="str">
        <f t="shared" si="54"/>
        <v/>
      </c>
      <c r="Y469">
        <v>0</v>
      </c>
      <c r="Z469" t="str">
        <f>IF(Y469&lt;&gt;0,VLOOKUP(VLOOKUP(Y469,Tbl_Effect[],3,FALSE),EffectName[],IFERROR(MATCH(UI!$B$1,EffectName[#Headers],0),2),FALSE),"")</f>
        <v/>
      </c>
      <c r="AA469" t="str">
        <f t="shared" si="55"/>
        <v/>
      </c>
      <c r="AB469">
        <v>0</v>
      </c>
      <c r="AC469" t="str">
        <f>IF(AB469&lt;&gt;0,VLOOKUP(VLOOKUP(AB469,Tbl_Effect[],3,FALSE),EffectName[],IFERROR(MATCH(UI!$B$1,EffectName[#Headers],0),2),FALSE),"")</f>
        <v/>
      </c>
    </row>
    <row r="470" spans="8:29" x14ac:dyDescent="0.4">
      <c r="H470" t="str">
        <f t="shared" si="49"/>
        <v>1005120-細膩的水滴情景 (藍)</v>
      </c>
      <c r="I470">
        <v>1005120</v>
      </c>
      <c r="J470" t="str">
        <f>_xlfn.IFNA(IF(I470&lt;&gt;0,VLOOKUP(VLOOKUP(I470,Tbl_Equip[],2,FALSE),Tbl_Color[],IFERROR(MATCH(UI!$B$1,Tbl_Color[#Headers],0),2),FALSE),""),"Unset")</f>
        <v>藍</v>
      </c>
      <c r="K470" t="str">
        <f>_xlfn.IFNA(IF(I470&lt;&gt;0,VLOOKUP(I470,ItemText[],IFERROR(MATCH(UI!$B$1,ItemText[#Headers],0),2),FALSE),""),"Unset")</f>
        <v>細膩的水滴情景</v>
      </c>
      <c r="L470" t="str">
        <f t="shared" si="50"/>
        <v/>
      </c>
      <c r="M470">
        <v>0</v>
      </c>
      <c r="N470" t="str">
        <f>IF(VALUE(M470)=0,"",VLOOKUP(VLOOKUP(M470,Tbl_Effect[],3,FALSE),EffectName[],IFERROR(MATCH(UI!$B$1,EffectName[#Headers],0),2),FALSE))</f>
        <v/>
      </c>
      <c r="O470" t="str">
        <f t="shared" si="51"/>
        <v/>
      </c>
      <c r="P470">
        <v>0</v>
      </c>
      <c r="Q470" t="str">
        <f>IF(VALUE(P470)=0,"",VLOOKUP(VLOOKUP(P470,Tbl_Effect[],3,FALSE),EffectName[],IFERROR(MATCH(UI!$B$1,EffectName[#Headers],0),2),FALSE))</f>
        <v/>
      </c>
      <c r="R470" t="str">
        <f t="shared" si="52"/>
        <v/>
      </c>
      <c r="S470">
        <v>0</v>
      </c>
      <c r="T470" t="str">
        <f>IF(VALUE(S470)=0,"",VLOOKUP(VLOOKUP(S470,Tbl_Effect[],3,FALSE),EffectName[],IFERROR(MATCH(UI!$B$1,EffectName[#Headers],0),2),FALSE))</f>
        <v/>
      </c>
      <c r="U470" t="str">
        <f t="shared" si="53"/>
        <v/>
      </c>
      <c r="V470">
        <v>0</v>
      </c>
      <c r="W470" t="str">
        <f>IF(V470&lt;&gt;0,VLOOKUP(VLOOKUP(V470,Tbl_Effect[],3,FALSE),EffectName[],IFERROR(MATCH(UI!$B$1,EffectName[#Headers],0),2),FALSE),"")</f>
        <v/>
      </c>
      <c r="X470" t="str">
        <f t="shared" si="54"/>
        <v/>
      </c>
      <c r="Y470">
        <v>0</v>
      </c>
      <c r="Z470" t="str">
        <f>IF(Y470&lt;&gt;0,VLOOKUP(VLOOKUP(Y470,Tbl_Effect[],3,FALSE),EffectName[],IFERROR(MATCH(UI!$B$1,EffectName[#Headers],0),2),FALSE),"")</f>
        <v/>
      </c>
      <c r="AA470" t="str">
        <f t="shared" si="55"/>
        <v/>
      </c>
      <c r="AB470">
        <v>0</v>
      </c>
      <c r="AC470" t="str">
        <f>IF(AB470&lt;&gt;0,VLOOKUP(VLOOKUP(AB470,Tbl_Effect[],3,FALSE),EffectName[],IFERROR(MATCH(UI!$B$1,EffectName[#Headers],0),2),FALSE),"")</f>
        <v/>
      </c>
    </row>
    <row r="471" spans="8:29" x14ac:dyDescent="0.4">
      <c r="H471" t="str">
        <f t="shared" si="49"/>
        <v>1005121-端正的水滴情景 (藍)</v>
      </c>
      <c r="I471">
        <v>1005121</v>
      </c>
      <c r="J471" t="str">
        <f>_xlfn.IFNA(IF(I471&lt;&gt;0,VLOOKUP(VLOOKUP(I471,Tbl_Equip[],2,FALSE),Tbl_Color[],IFERROR(MATCH(UI!$B$1,Tbl_Color[#Headers],0),2),FALSE),""),"Unset")</f>
        <v>藍</v>
      </c>
      <c r="K471" t="str">
        <f>_xlfn.IFNA(IF(I471&lt;&gt;0,VLOOKUP(I471,ItemText[],IFERROR(MATCH(UI!$B$1,ItemText[#Headers],0),2),FALSE),""),"Unset")</f>
        <v>端正的水滴情景</v>
      </c>
      <c r="L471" t="str">
        <f t="shared" si="50"/>
        <v/>
      </c>
      <c r="M471">
        <v>0</v>
      </c>
      <c r="N471" t="str">
        <f>IF(VALUE(M471)=0,"",VLOOKUP(VLOOKUP(M471,Tbl_Effect[],3,FALSE),EffectName[],IFERROR(MATCH(UI!$B$1,EffectName[#Headers],0),2),FALSE))</f>
        <v/>
      </c>
      <c r="O471" t="str">
        <f t="shared" si="51"/>
        <v/>
      </c>
      <c r="P471">
        <v>0</v>
      </c>
      <c r="Q471" t="str">
        <f>IF(VALUE(P471)=0,"",VLOOKUP(VLOOKUP(P471,Tbl_Effect[],3,FALSE),EffectName[],IFERROR(MATCH(UI!$B$1,EffectName[#Headers],0),2),FALSE))</f>
        <v/>
      </c>
      <c r="R471" t="str">
        <f t="shared" si="52"/>
        <v/>
      </c>
      <c r="S471">
        <v>0</v>
      </c>
      <c r="T471" t="str">
        <f>IF(VALUE(S471)=0,"",VLOOKUP(VLOOKUP(S471,Tbl_Effect[],3,FALSE),EffectName[],IFERROR(MATCH(UI!$B$1,EffectName[#Headers],0),2),FALSE))</f>
        <v/>
      </c>
      <c r="U471" t="str">
        <f t="shared" si="53"/>
        <v/>
      </c>
      <c r="V471">
        <v>0</v>
      </c>
      <c r="W471" t="str">
        <f>IF(V471&lt;&gt;0,VLOOKUP(VLOOKUP(V471,Tbl_Effect[],3,FALSE),EffectName[],IFERROR(MATCH(UI!$B$1,EffectName[#Headers],0),2),FALSE),"")</f>
        <v/>
      </c>
      <c r="X471" t="str">
        <f t="shared" si="54"/>
        <v/>
      </c>
      <c r="Y471">
        <v>0</v>
      </c>
      <c r="Z471" t="str">
        <f>IF(Y471&lt;&gt;0,VLOOKUP(VLOOKUP(Y471,Tbl_Effect[],3,FALSE),EffectName[],IFERROR(MATCH(UI!$B$1,EffectName[#Headers],0),2),FALSE),"")</f>
        <v/>
      </c>
      <c r="AA471" t="str">
        <f t="shared" si="55"/>
        <v/>
      </c>
      <c r="AB471">
        <v>0</v>
      </c>
      <c r="AC471" t="str">
        <f>IF(AB471&lt;&gt;0,VLOOKUP(VLOOKUP(AB471,Tbl_Effect[],3,FALSE),EffectName[],IFERROR(MATCH(UI!$B$1,EffectName[#Headers],0),2),FALSE),"")</f>
        <v/>
      </c>
    </row>
    <row r="472" spans="8:29" x14ac:dyDescent="0.4">
      <c r="H472" t="str">
        <f t="shared" si="49"/>
        <v>1005122-遼闊的水滴情景 (藍)</v>
      </c>
      <c r="I472">
        <v>1005122</v>
      </c>
      <c r="J472" t="str">
        <f>_xlfn.IFNA(IF(I472&lt;&gt;0,VLOOKUP(VLOOKUP(I472,Tbl_Equip[],2,FALSE),Tbl_Color[],IFERROR(MATCH(UI!$B$1,Tbl_Color[#Headers],0),2),FALSE),""),"Unset")</f>
        <v>藍</v>
      </c>
      <c r="K472" t="str">
        <f>_xlfn.IFNA(IF(I472&lt;&gt;0,VLOOKUP(I472,ItemText[],IFERROR(MATCH(UI!$B$1,ItemText[#Headers],0),2),FALSE),""),"Unset")</f>
        <v>遼闊的水滴情景</v>
      </c>
      <c r="L472" t="str">
        <f t="shared" si="50"/>
        <v/>
      </c>
      <c r="M472">
        <v>0</v>
      </c>
      <c r="N472" t="str">
        <f>IF(VALUE(M472)=0,"",VLOOKUP(VLOOKUP(M472,Tbl_Effect[],3,FALSE),EffectName[],IFERROR(MATCH(UI!$B$1,EffectName[#Headers],0),2),FALSE))</f>
        <v/>
      </c>
      <c r="O472" t="str">
        <f t="shared" si="51"/>
        <v/>
      </c>
      <c r="P472">
        <v>0</v>
      </c>
      <c r="Q472" t="str">
        <f>IF(VALUE(P472)=0,"",VLOOKUP(VLOOKUP(P472,Tbl_Effect[],3,FALSE),EffectName[],IFERROR(MATCH(UI!$B$1,EffectName[#Headers],0),2),FALSE))</f>
        <v/>
      </c>
      <c r="R472" t="str">
        <f t="shared" si="52"/>
        <v/>
      </c>
      <c r="S472">
        <v>0</v>
      </c>
      <c r="T472" t="str">
        <f>IF(VALUE(S472)=0,"",VLOOKUP(VLOOKUP(S472,Tbl_Effect[],3,FALSE),EffectName[],IFERROR(MATCH(UI!$B$1,EffectName[#Headers],0),2),FALSE))</f>
        <v/>
      </c>
      <c r="U472" t="str">
        <f t="shared" si="53"/>
        <v/>
      </c>
      <c r="V472">
        <v>0</v>
      </c>
      <c r="W472" t="str">
        <f>IF(V472&lt;&gt;0,VLOOKUP(VLOOKUP(V472,Tbl_Effect[],3,FALSE),EffectName[],IFERROR(MATCH(UI!$B$1,EffectName[#Headers],0),2),FALSE),"")</f>
        <v/>
      </c>
      <c r="X472" t="str">
        <f t="shared" si="54"/>
        <v/>
      </c>
      <c r="Y472">
        <v>0</v>
      </c>
      <c r="Z472" t="str">
        <f>IF(Y472&lt;&gt;0,VLOOKUP(VLOOKUP(Y472,Tbl_Effect[],3,FALSE),EffectName[],IFERROR(MATCH(UI!$B$1,EffectName[#Headers],0),2),FALSE),"")</f>
        <v/>
      </c>
      <c r="AA472" t="str">
        <f t="shared" si="55"/>
        <v/>
      </c>
      <c r="AB472">
        <v>0</v>
      </c>
      <c r="AC472" t="str">
        <f>IF(AB472&lt;&gt;0,VLOOKUP(VLOOKUP(AB472,Tbl_Effect[],3,FALSE),EffectName[],IFERROR(MATCH(UI!$B$1,EffectName[#Headers],0),2),FALSE),"")</f>
        <v/>
      </c>
    </row>
    <row r="473" spans="8:29" x14ac:dyDescent="0.4">
      <c r="H473" t="str">
        <f t="shared" si="49"/>
        <v>1005200-細膩的光耀情景 (黃)</v>
      </c>
      <c r="I473">
        <v>1005200</v>
      </c>
      <c r="J473" t="str">
        <f>_xlfn.IFNA(IF(I473&lt;&gt;0,VLOOKUP(VLOOKUP(I473,Tbl_Equip[],2,FALSE),Tbl_Color[],IFERROR(MATCH(UI!$B$1,Tbl_Color[#Headers],0),2),FALSE),""),"Unset")</f>
        <v>黃</v>
      </c>
      <c r="K473" t="str">
        <f>_xlfn.IFNA(IF(I473&lt;&gt;0,VLOOKUP(I473,ItemText[],IFERROR(MATCH(UI!$B$1,ItemText[#Headers],0),2),FALSE),""),"Unset")</f>
        <v>細膩的光耀情景</v>
      </c>
      <c r="L473" t="str">
        <f t="shared" si="50"/>
        <v/>
      </c>
      <c r="M473">
        <v>0</v>
      </c>
      <c r="N473" t="str">
        <f>IF(VALUE(M473)=0,"",VLOOKUP(VLOOKUP(M473,Tbl_Effect[],3,FALSE),EffectName[],IFERROR(MATCH(UI!$B$1,EffectName[#Headers],0),2),FALSE))</f>
        <v/>
      </c>
      <c r="O473" t="str">
        <f t="shared" si="51"/>
        <v/>
      </c>
      <c r="P473">
        <v>0</v>
      </c>
      <c r="Q473" t="str">
        <f>IF(VALUE(P473)=0,"",VLOOKUP(VLOOKUP(P473,Tbl_Effect[],3,FALSE),EffectName[],IFERROR(MATCH(UI!$B$1,EffectName[#Headers],0),2),FALSE))</f>
        <v/>
      </c>
      <c r="R473" t="str">
        <f t="shared" si="52"/>
        <v/>
      </c>
      <c r="S473">
        <v>0</v>
      </c>
      <c r="T473" t="str">
        <f>IF(VALUE(S473)=0,"",VLOOKUP(VLOOKUP(S473,Tbl_Effect[],3,FALSE),EffectName[],IFERROR(MATCH(UI!$B$1,EffectName[#Headers],0),2),FALSE))</f>
        <v/>
      </c>
      <c r="U473" t="str">
        <f t="shared" si="53"/>
        <v/>
      </c>
      <c r="V473">
        <v>0</v>
      </c>
      <c r="W473" t="str">
        <f>IF(V473&lt;&gt;0,VLOOKUP(VLOOKUP(V473,Tbl_Effect[],3,FALSE),EffectName[],IFERROR(MATCH(UI!$B$1,EffectName[#Headers],0),2),FALSE),"")</f>
        <v/>
      </c>
      <c r="X473" t="str">
        <f t="shared" si="54"/>
        <v/>
      </c>
      <c r="Y473">
        <v>0</v>
      </c>
      <c r="Z473" t="str">
        <f>IF(Y473&lt;&gt;0,VLOOKUP(VLOOKUP(Y473,Tbl_Effect[],3,FALSE),EffectName[],IFERROR(MATCH(UI!$B$1,EffectName[#Headers],0),2),FALSE),"")</f>
        <v/>
      </c>
      <c r="AA473" t="str">
        <f t="shared" si="55"/>
        <v/>
      </c>
      <c r="AB473">
        <v>0</v>
      </c>
      <c r="AC473" t="str">
        <f>IF(AB473&lt;&gt;0,VLOOKUP(VLOOKUP(AB473,Tbl_Effect[],3,FALSE),EffectName[],IFERROR(MATCH(UI!$B$1,EffectName[#Headers],0),2),FALSE),"")</f>
        <v/>
      </c>
    </row>
    <row r="474" spans="8:29" x14ac:dyDescent="0.4">
      <c r="H474" t="str">
        <f t="shared" si="49"/>
        <v>1005201-端正的光耀情景 (黃)</v>
      </c>
      <c r="I474">
        <v>1005201</v>
      </c>
      <c r="J474" t="str">
        <f>_xlfn.IFNA(IF(I474&lt;&gt;0,VLOOKUP(VLOOKUP(I474,Tbl_Equip[],2,FALSE),Tbl_Color[],IFERROR(MATCH(UI!$B$1,Tbl_Color[#Headers],0),2),FALSE),""),"Unset")</f>
        <v>黃</v>
      </c>
      <c r="K474" t="str">
        <f>_xlfn.IFNA(IF(I474&lt;&gt;0,VLOOKUP(I474,ItemText[],IFERROR(MATCH(UI!$B$1,ItemText[#Headers],0),2),FALSE),""),"Unset")</f>
        <v>端正的光耀情景</v>
      </c>
      <c r="L474" t="str">
        <f t="shared" si="50"/>
        <v/>
      </c>
      <c r="M474">
        <v>0</v>
      </c>
      <c r="N474" t="str">
        <f>IF(VALUE(M474)=0,"",VLOOKUP(VLOOKUP(M474,Tbl_Effect[],3,FALSE),EffectName[],IFERROR(MATCH(UI!$B$1,EffectName[#Headers],0),2),FALSE))</f>
        <v/>
      </c>
      <c r="O474" t="str">
        <f t="shared" si="51"/>
        <v/>
      </c>
      <c r="P474">
        <v>0</v>
      </c>
      <c r="Q474" t="str">
        <f>IF(VALUE(P474)=0,"",VLOOKUP(VLOOKUP(P474,Tbl_Effect[],3,FALSE),EffectName[],IFERROR(MATCH(UI!$B$1,EffectName[#Headers],0),2),FALSE))</f>
        <v/>
      </c>
      <c r="R474" t="str">
        <f t="shared" si="52"/>
        <v/>
      </c>
      <c r="S474">
        <v>0</v>
      </c>
      <c r="T474" t="str">
        <f>IF(VALUE(S474)=0,"",VLOOKUP(VLOOKUP(S474,Tbl_Effect[],3,FALSE),EffectName[],IFERROR(MATCH(UI!$B$1,EffectName[#Headers],0),2),FALSE))</f>
        <v/>
      </c>
      <c r="U474" t="str">
        <f t="shared" si="53"/>
        <v/>
      </c>
      <c r="V474">
        <v>0</v>
      </c>
      <c r="W474" t="str">
        <f>IF(V474&lt;&gt;0,VLOOKUP(VLOOKUP(V474,Tbl_Effect[],3,FALSE),EffectName[],IFERROR(MATCH(UI!$B$1,EffectName[#Headers],0),2),FALSE),"")</f>
        <v/>
      </c>
      <c r="X474" t="str">
        <f t="shared" si="54"/>
        <v/>
      </c>
      <c r="Y474">
        <v>0</v>
      </c>
      <c r="Z474" t="str">
        <f>IF(Y474&lt;&gt;0,VLOOKUP(VLOOKUP(Y474,Tbl_Effect[],3,FALSE),EffectName[],IFERROR(MATCH(UI!$B$1,EffectName[#Headers],0),2),FALSE),"")</f>
        <v/>
      </c>
      <c r="AA474" t="str">
        <f t="shared" si="55"/>
        <v/>
      </c>
      <c r="AB474">
        <v>0</v>
      </c>
      <c r="AC474" t="str">
        <f>IF(AB474&lt;&gt;0,VLOOKUP(VLOOKUP(AB474,Tbl_Effect[],3,FALSE),EffectName[],IFERROR(MATCH(UI!$B$1,EffectName[#Headers],0),2),FALSE),"")</f>
        <v/>
      </c>
    </row>
    <row r="475" spans="8:29" x14ac:dyDescent="0.4">
      <c r="H475" t="str">
        <f t="shared" si="49"/>
        <v>1005202-遼闊的光耀情景 (黃)</v>
      </c>
      <c r="I475">
        <v>1005202</v>
      </c>
      <c r="J475" t="str">
        <f>_xlfn.IFNA(IF(I475&lt;&gt;0,VLOOKUP(VLOOKUP(I475,Tbl_Equip[],2,FALSE),Tbl_Color[],IFERROR(MATCH(UI!$B$1,Tbl_Color[#Headers],0),2),FALSE),""),"Unset")</f>
        <v>黃</v>
      </c>
      <c r="K475" t="str">
        <f>_xlfn.IFNA(IF(I475&lt;&gt;0,VLOOKUP(I475,ItemText[],IFERROR(MATCH(UI!$B$1,ItemText[#Headers],0),2),FALSE),""),"Unset")</f>
        <v>遼闊的光耀情景</v>
      </c>
      <c r="L475" t="str">
        <f t="shared" si="50"/>
        <v/>
      </c>
      <c r="M475">
        <v>0</v>
      </c>
      <c r="N475" t="str">
        <f>IF(VALUE(M475)=0,"",VLOOKUP(VLOOKUP(M475,Tbl_Effect[],3,FALSE),EffectName[],IFERROR(MATCH(UI!$B$1,EffectName[#Headers],0),2),FALSE))</f>
        <v/>
      </c>
      <c r="O475" t="str">
        <f t="shared" si="51"/>
        <v/>
      </c>
      <c r="P475">
        <v>0</v>
      </c>
      <c r="Q475" t="str">
        <f>IF(VALUE(P475)=0,"",VLOOKUP(VLOOKUP(P475,Tbl_Effect[],3,FALSE),EffectName[],IFERROR(MATCH(UI!$B$1,EffectName[#Headers],0),2),FALSE))</f>
        <v/>
      </c>
      <c r="R475" t="str">
        <f t="shared" si="52"/>
        <v/>
      </c>
      <c r="S475">
        <v>0</v>
      </c>
      <c r="T475" t="str">
        <f>IF(VALUE(S475)=0,"",VLOOKUP(VLOOKUP(S475,Tbl_Effect[],3,FALSE),EffectName[],IFERROR(MATCH(UI!$B$1,EffectName[#Headers],0),2),FALSE))</f>
        <v/>
      </c>
      <c r="U475" t="str">
        <f t="shared" si="53"/>
        <v/>
      </c>
      <c r="V475">
        <v>0</v>
      </c>
      <c r="W475" t="str">
        <f>IF(V475&lt;&gt;0,VLOOKUP(VLOOKUP(V475,Tbl_Effect[],3,FALSE),EffectName[],IFERROR(MATCH(UI!$B$1,EffectName[#Headers],0),2),FALSE),"")</f>
        <v/>
      </c>
      <c r="X475" t="str">
        <f t="shared" si="54"/>
        <v/>
      </c>
      <c r="Y475">
        <v>0</v>
      </c>
      <c r="Z475" t="str">
        <f>IF(Y475&lt;&gt;0,VLOOKUP(VLOOKUP(Y475,Tbl_Effect[],3,FALSE),EffectName[],IFERROR(MATCH(UI!$B$1,EffectName[#Headers],0),2),FALSE),"")</f>
        <v/>
      </c>
      <c r="AA475" t="str">
        <f t="shared" si="55"/>
        <v/>
      </c>
      <c r="AB475">
        <v>0</v>
      </c>
      <c r="AC475" t="str">
        <f>IF(AB475&lt;&gt;0,VLOOKUP(VLOOKUP(AB475,Tbl_Effect[],3,FALSE),EffectName[],IFERROR(MATCH(UI!$B$1,EffectName[#Headers],0),2),FALSE),"")</f>
        <v/>
      </c>
    </row>
    <row r="476" spans="8:29" x14ac:dyDescent="0.4">
      <c r="H476" t="str">
        <f t="shared" si="49"/>
        <v>1005210-細膩的光耀情景 (黃)</v>
      </c>
      <c r="I476">
        <v>1005210</v>
      </c>
      <c r="J476" t="str">
        <f>_xlfn.IFNA(IF(I476&lt;&gt;0,VLOOKUP(VLOOKUP(I476,Tbl_Equip[],2,FALSE),Tbl_Color[],IFERROR(MATCH(UI!$B$1,Tbl_Color[#Headers],0),2),FALSE),""),"Unset")</f>
        <v>黃</v>
      </c>
      <c r="K476" t="str">
        <f>_xlfn.IFNA(IF(I476&lt;&gt;0,VLOOKUP(I476,ItemText[],IFERROR(MATCH(UI!$B$1,ItemText[#Headers],0),2),FALSE),""),"Unset")</f>
        <v>細膩的光耀情景</v>
      </c>
      <c r="L476" t="str">
        <f t="shared" si="50"/>
        <v/>
      </c>
      <c r="M476">
        <v>0</v>
      </c>
      <c r="N476" t="str">
        <f>IF(VALUE(M476)=0,"",VLOOKUP(VLOOKUP(M476,Tbl_Effect[],3,FALSE),EffectName[],IFERROR(MATCH(UI!$B$1,EffectName[#Headers],0),2),FALSE))</f>
        <v/>
      </c>
      <c r="O476" t="str">
        <f t="shared" si="51"/>
        <v/>
      </c>
      <c r="P476">
        <v>0</v>
      </c>
      <c r="Q476" t="str">
        <f>IF(VALUE(P476)=0,"",VLOOKUP(VLOOKUP(P476,Tbl_Effect[],3,FALSE),EffectName[],IFERROR(MATCH(UI!$B$1,EffectName[#Headers],0),2),FALSE))</f>
        <v/>
      </c>
      <c r="R476" t="str">
        <f t="shared" si="52"/>
        <v/>
      </c>
      <c r="S476">
        <v>0</v>
      </c>
      <c r="T476" t="str">
        <f>IF(VALUE(S476)=0,"",VLOOKUP(VLOOKUP(S476,Tbl_Effect[],3,FALSE),EffectName[],IFERROR(MATCH(UI!$B$1,EffectName[#Headers],0),2),FALSE))</f>
        <v/>
      </c>
      <c r="U476" t="str">
        <f t="shared" si="53"/>
        <v/>
      </c>
      <c r="V476">
        <v>0</v>
      </c>
      <c r="W476" t="str">
        <f>IF(V476&lt;&gt;0,VLOOKUP(VLOOKUP(V476,Tbl_Effect[],3,FALSE),EffectName[],IFERROR(MATCH(UI!$B$1,EffectName[#Headers],0),2),FALSE),"")</f>
        <v/>
      </c>
      <c r="X476" t="str">
        <f t="shared" si="54"/>
        <v/>
      </c>
      <c r="Y476">
        <v>0</v>
      </c>
      <c r="Z476" t="str">
        <f>IF(Y476&lt;&gt;0,VLOOKUP(VLOOKUP(Y476,Tbl_Effect[],3,FALSE),EffectName[],IFERROR(MATCH(UI!$B$1,EffectName[#Headers],0),2),FALSE),"")</f>
        <v/>
      </c>
      <c r="AA476" t="str">
        <f t="shared" si="55"/>
        <v/>
      </c>
      <c r="AB476">
        <v>0</v>
      </c>
      <c r="AC476" t="str">
        <f>IF(AB476&lt;&gt;0,VLOOKUP(VLOOKUP(AB476,Tbl_Effect[],3,FALSE),EffectName[],IFERROR(MATCH(UI!$B$1,EffectName[#Headers],0),2),FALSE),"")</f>
        <v/>
      </c>
    </row>
    <row r="477" spans="8:29" x14ac:dyDescent="0.4">
      <c r="H477" t="str">
        <f t="shared" si="49"/>
        <v>1005211-端正的光耀情景 (黃)</v>
      </c>
      <c r="I477">
        <v>1005211</v>
      </c>
      <c r="J477" t="str">
        <f>_xlfn.IFNA(IF(I477&lt;&gt;0,VLOOKUP(VLOOKUP(I477,Tbl_Equip[],2,FALSE),Tbl_Color[],IFERROR(MATCH(UI!$B$1,Tbl_Color[#Headers],0),2),FALSE),""),"Unset")</f>
        <v>黃</v>
      </c>
      <c r="K477" t="str">
        <f>_xlfn.IFNA(IF(I477&lt;&gt;0,VLOOKUP(I477,ItemText[],IFERROR(MATCH(UI!$B$1,ItemText[#Headers],0),2),FALSE),""),"Unset")</f>
        <v>端正的光耀情景</v>
      </c>
      <c r="L477" t="str">
        <f t="shared" si="50"/>
        <v/>
      </c>
      <c r="M477">
        <v>0</v>
      </c>
      <c r="N477" t="str">
        <f>IF(VALUE(M477)=0,"",VLOOKUP(VLOOKUP(M477,Tbl_Effect[],3,FALSE),EffectName[],IFERROR(MATCH(UI!$B$1,EffectName[#Headers],0),2),FALSE))</f>
        <v/>
      </c>
      <c r="O477" t="str">
        <f t="shared" si="51"/>
        <v/>
      </c>
      <c r="P477">
        <v>0</v>
      </c>
      <c r="Q477" t="str">
        <f>IF(VALUE(P477)=0,"",VLOOKUP(VLOOKUP(P477,Tbl_Effect[],3,FALSE),EffectName[],IFERROR(MATCH(UI!$B$1,EffectName[#Headers],0),2),FALSE))</f>
        <v/>
      </c>
      <c r="R477" t="str">
        <f t="shared" si="52"/>
        <v/>
      </c>
      <c r="S477">
        <v>0</v>
      </c>
      <c r="T477" t="str">
        <f>IF(VALUE(S477)=0,"",VLOOKUP(VLOOKUP(S477,Tbl_Effect[],3,FALSE),EffectName[],IFERROR(MATCH(UI!$B$1,EffectName[#Headers],0),2),FALSE))</f>
        <v/>
      </c>
      <c r="U477" t="str">
        <f t="shared" si="53"/>
        <v/>
      </c>
      <c r="V477">
        <v>0</v>
      </c>
      <c r="W477" t="str">
        <f>IF(V477&lt;&gt;0,VLOOKUP(VLOOKUP(V477,Tbl_Effect[],3,FALSE),EffectName[],IFERROR(MATCH(UI!$B$1,EffectName[#Headers],0),2),FALSE),"")</f>
        <v/>
      </c>
      <c r="X477" t="str">
        <f t="shared" si="54"/>
        <v/>
      </c>
      <c r="Y477">
        <v>0</v>
      </c>
      <c r="Z477" t="str">
        <f>IF(Y477&lt;&gt;0,VLOOKUP(VLOOKUP(Y477,Tbl_Effect[],3,FALSE),EffectName[],IFERROR(MATCH(UI!$B$1,EffectName[#Headers],0),2),FALSE),"")</f>
        <v/>
      </c>
      <c r="AA477" t="str">
        <f t="shared" si="55"/>
        <v/>
      </c>
      <c r="AB477">
        <v>0</v>
      </c>
      <c r="AC477" t="str">
        <f>IF(AB477&lt;&gt;0,VLOOKUP(VLOOKUP(AB477,Tbl_Effect[],3,FALSE),EffectName[],IFERROR(MATCH(UI!$B$1,EffectName[#Headers],0),2),FALSE),"")</f>
        <v/>
      </c>
    </row>
    <row r="478" spans="8:29" x14ac:dyDescent="0.4">
      <c r="H478" t="str">
        <f t="shared" si="49"/>
        <v>1005212-遼闊的光耀情景 (黃)</v>
      </c>
      <c r="I478">
        <v>1005212</v>
      </c>
      <c r="J478" t="str">
        <f>_xlfn.IFNA(IF(I478&lt;&gt;0,VLOOKUP(VLOOKUP(I478,Tbl_Equip[],2,FALSE),Tbl_Color[],IFERROR(MATCH(UI!$B$1,Tbl_Color[#Headers],0),2),FALSE),""),"Unset")</f>
        <v>黃</v>
      </c>
      <c r="K478" t="str">
        <f>_xlfn.IFNA(IF(I478&lt;&gt;0,VLOOKUP(I478,ItemText[],IFERROR(MATCH(UI!$B$1,ItemText[#Headers],0),2),FALSE),""),"Unset")</f>
        <v>遼闊的光耀情景</v>
      </c>
      <c r="L478" t="str">
        <f t="shared" si="50"/>
        <v/>
      </c>
      <c r="M478">
        <v>0</v>
      </c>
      <c r="N478" t="str">
        <f>IF(VALUE(M478)=0,"",VLOOKUP(VLOOKUP(M478,Tbl_Effect[],3,FALSE),EffectName[],IFERROR(MATCH(UI!$B$1,EffectName[#Headers],0),2),FALSE))</f>
        <v/>
      </c>
      <c r="O478" t="str">
        <f t="shared" si="51"/>
        <v/>
      </c>
      <c r="P478">
        <v>0</v>
      </c>
      <c r="Q478" t="str">
        <f>IF(VALUE(P478)=0,"",VLOOKUP(VLOOKUP(P478,Tbl_Effect[],3,FALSE),EffectName[],IFERROR(MATCH(UI!$B$1,EffectName[#Headers],0),2),FALSE))</f>
        <v/>
      </c>
      <c r="R478" t="str">
        <f t="shared" si="52"/>
        <v/>
      </c>
      <c r="S478">
        <v>0</v>
      </c>
      <c r="T478" t="str">
        <f>IF(VALUE(S478)=0,"",VLOOKUP(VLOOKUP(S478,Tbl_Effect[],3,FALSE),EffectName[],IFERROR(MATCH(UI!$B$1,EffectName[#Headers],0),2),FALSE))</f>
        <v/>
      </c>
      <c r="U478" t="str">
        <f t="shared" si="53"/>
        <v/>
      </c>
      <c r="V478">
        <v>0</v>
      </c>
      <c r="W478" t="str">
        <f>IF(V478&lt;&gt;0,VLOOKUP(VLOOKUP(V478,Tbl_Effect[],3,FALSE),EffectName[],IFERROR(MATCH(UI!$B$1,EffectName[#Headers],0),2),FALSE),"")</f>
        <v/>
      </c>
      <c r="X478" t="str">
        <f t="shared" si="54"/>
        <v/>
      </c>
      <c r="Y478">
        <v>0</v>
      </c>
      <c r="Z478" t="str">
        <f>IF(Y478&lt;&gt;0,VLOOKUP(VLOOKUP(Y478,Tbl_Effect[],3,FALSE),EffectName[],IFERROR(MATCH(UI!$B$1,EffectName[#Headers],0),2),FALSE),"")</f>
        <v/>
      </c>
      <c r="AA478" t="str">
        <f t="shared" si="55"/>
        <v/>
      </c>
      <c r="AB478">
        <v>0</v>
      </c>
      <c r="AC478" t="str">
        <f>IF(AB478&lt;&gt;0,VLOOKUP(VLOOKUP(AB478,Tbl_Effect[],3,FALSE),EffectName[],IFERROR(MATCH(UI!$B$1,EffectName[#Headers],0),2),FALSE),"")</f>
        <v/>
      </c>
    </row>
    <row r="479" spans="8:29" x14ac:dyDescent="0.4">
      <c r="H479" t="str">
        <f t="shared" si="49"/>
        <v>1005220-細膩的光耀情景 (黃)</v>
      </c>
      <c r="I479">
        <v>1005220</v>
      </c>
      <c r="J479" t="str">
        <f>_xlfn.IFNA(IF(I479&lt;&gt;0,VLOOKUP(VLOOKUP(I479,Tbl_Equip[],2,FALSE),Tbl_Color[],IFERROR(MATCH(UI!$B$1,Tbl_Color[#Headers],0),2),FALSE),""),"Unset")</f>
        <v>黃</v>
      </c>
      <c r="K479" t="str">
        <f>_xlfn.IFNA(IF(I479&lt;&gt;0,VLOOKUP(I479,ItemText[],IFERROR(MATCH(UI!$B$1,ItemText[#Headers],0),2),FALSE),""),"Unset")</f>
        <v>細膩的光耀情景</v>
      </c>
      <c r="L479" t="str">
        <f t="shared" si="50"/>
        <v/>
      </c>
      <c r="M479">
        <v>0</v>
      </c>
      <c r="N479" t="str">
        <f>IF(VALUE(M479)=0,"",VLOOKUP(VLOOKUP(M479,Tbl_Effect[],3,FALSE),EffectName[],IFERROR(MATCH(UI!$B$1,EffectName[#Headers],0),2),FALSE))</f>
        <v/>
      </c>
      <c r="O479" t="str">
        <f t="shared" si="51"/>
        <v/>
      </c>
      <c r="P479">
        <v>0</v>
      </c>
      <c r="Q479" t="str">
        <f>IF(VALUE(P479)=0,"",VLOOKUP(VLOOKUP(P479,Tbl_Effect[],3,FALSE),EffectName[],IFERROR(MATCH(UI!$B$1,EffectName[#Headers],0),2),FALSE))</f>
        <v/>
      </c>
      <c r="R479" t="str">
        <f t="shared" si="52"/>
        <v/>
      </c>
      <c r="S479">
        <v>0</v>
      </c>
      <c r="T479" t="str">
        <f>IF(VALUE(S479)=0,"",VLOOKUP(VLOOKUP(S479,Tbl_Effect[],3,FALSE),EffectName[],IFERROR(MATCH(UI!$B$1,EffectName[#Headers],0),2),FALSE))</f>
        <v/>
      </c>
      <c r="U479" t="str">
        <f t="shared" si="53"/>
        <v/>
      </c>
      <c r="V479">
        <v>0</v>
      </c>
      <c r="W479" t="str">
        <f>IF(V479&lt;&gt;0,VLOOKUP(VLOOKUP(V479,Tbl_Effect[],3,FALSE),EffectName[],IFERROR(MATCH(UI!$B$1,EffectName[#Headers],0),2),FALSE),"")</f>
        <v/>
      </c>
      <c r="X479" t="str">
        <f t="shared" si="54"/>
        <v/>
      </c>
      <c r="Y479">
        <v>0</v>
      </c>
      <c r="Z479" t="str">
        <f>IF(Y479&lt;&gt;0,VLOOKUP(VLOOKUP(Y479,Tbl_Effect[],3,FALSE),EffectName[],IFERROR(MATCH(UI!$B$1,EffectName[#Headers],0),2),FALSE),"")</f>
        <v/>
      </c>
      <c r="AA479" t="str">
        <f t="shared" si="55"/>
        <v/>
      </c>
      <c r="AB479">
        <v>0</v>
      </c>
      <c r="AC479" t="str">
        <f>IF(AB479&lt;&gt;0,VLOOKUP(VLOOKUP(AB479,Tbl_Effect[],3,FALSE),EffectName[],IFERROR(MATCH(UI!$B$1,EffectName[#Headers],0),2),FALSE),"")</f>
        <v/>
      </c>
    </row>
    <row r="480" spans="8:29" x14ac:dyDescent="0.4">
      <c r="H480" t="str">
        <f t="shared" si="49"/>
        <v>1005221-端正的光耀情景 (黃)</v>
      </c>
      <c r="I480">
        <v>1005221</v>
      </c>
      <c r="J480" t="str">
        <f>_xlfn.IFNA(IF(I480&lt;&gt;0,VLOOKUP(VLOOKUP(I480,Tbl_Equip[],2,FALSE),Tbl_Color[],IFERROR(MATCH(UI!$B$1,Tbl_Color[#Headers],0),2),FALSE),""),"Unset")</f>
        <v>黃</v>
      </c>
      <c r="K480" t="str">
        <f>_xlfn.IFNA(IF(I480&lt;&gt;0,VLOOKUP(I480,ItemText[],IFERROR(MATCH(UI!$B$1,ItemText[#Headers],0),2),FALSE),""),"Unset")</f>
        <v>端正的光耀情景</v>
      </c>
      <c r="L480" t="str">
        <f t="shared" si="50"/>
        <v/>
      </c>
      <c r="M480">
        <v>0</v>
      </c>
      <c r="N480" t="str">
        <f>IF(VALUE(M480)=0,"",VLOOKUP(VLOOKUP(M480,Tbl_Effect[],3,FALSE),EffectName[],IFERROR(MATCH(UI!$B$1,EffectName[#Headers],0),2),FALSE))</f>
        <v/>
      </c>
      <c r="O480" t="str">
        <f t="shared" si="51"/>
        <v/>
      </c>
      <c r="P480">
        <v>0</v>
      </c>
      <c r="Q480" t="str">
        <f>IF(VALUE(P480)=0,"",VLOOKUP(VLOOKUP(P480,Tbl_Effect[],3,FALSE),EffectName[],IFERROR(MATCH(UI!$B$1,EffectName[#Headers],0),2),FALSE))</f>
        <v/>
      </c>
      <c r="R480" t="str">
        <f t="shared" si="52"/>
        <v/>
      </c>
      <c r="S480">
        <v>0</v>
      </c>
      <c r="T480" t="str">
        <f>IF(VALUE(S480)=0,"",VLOOKUP(VLOOKUP(S480,Tbl_Effect[],3,FALSE),EffectName[],IFERROR(MATCH(UI!$B$1,EffectName[#Headers],0),2),FALSE))</f>
        <v/>
      </c>
      <c r="U480" t="str">
        <f t="shared" si="53"/>
        <v/>
      </c>
      <c r="V480">
        <v>0</v>
      </c>
      <c r="W480" t="str">
        <f>IF(V480&lt;&gt;0,VLOOKUP(VLOOKUP(V480,Tbl_Effect[],3,FALSE),EffectName[],IFERROR(MATCH(UI!$B$1,EffectName[#Headers],0),2),FALSE),"")</f>
        <v/>
      </c>
      <c r="X480" t="str">
        <f t="shared" si="54"/>
        <v/>
      </c>
      <c r="Y480">
        <v>0</v>
      </c>
      <c r="Z480" t="str">
        <f>IF(Y480&lt;&gt;0,VLOOKUP(VLOOKUP(Y480,Tbl_Effect[],3,FALSE),EffectName[],IFERROR(MATCH(UI!$B$1,EffectName[#Headers],0),2),FALSE),"")</f>
        <v/>
      </c>
      <c r="AA480" t="str">
        <f t="shared" si="55"/>
        <v/>
      </c>
      <c r="AB480">
        <v>0</v>
      </c>
      <c r="AC480" t="str">
        <f>IF(AB480&lt;&gt;0,VLOOKUP(VLOOKUP(AB480,Tbl_Effect[],3,FALSE),EffectName[],IFERROR(MATCH(UI!$B$1,EffectName[#Headers],0),2),FALSE),"")</f>
        <v/>
      </c>
    </row>
    <row r="481" spans="8:29" x14ac:dyDescent="0.4">
      <c r="H481" t="str">
        <f t="shared" si="49"/>
        <v>1005222-遼闊的光耀情景 (黃)</v>
      </c>
      <c r="I481">
        <v>1005222</v>
      </c>
      <c r="J481" t="str">
        <f>_xlfn.IFNA(IF(I481&lt;&gt;0,VLOOKUP(VLOOKUP(I481,Tbl_Equip[],2,FALSE),Tbl_Color[],IFERROR(MATCH(UI!$B$1,Tbl_Color[#Headers],0),2),FALSE),""),"Unset")</f>
        <v>黃</v>
      </c>
      <c r="K481" t="str">
        <f>_xlfn.IFNA(IF(I481&lt;&gt;0,VLOOKUP(I481,ItemText[],IFERROR(MATCH(UI!$B$1,ItemText[#Headers],0),2),FALSE),""),"Unset")</f>
        <v>遼闊的光耀情景</v>
      </c>
      <c r="L481" t="str">
        <f t="shared" si="50"/>
        <v/>
      </c>
      <c r="M481">
        <v>0</v>
      </c>
      <c r="N481" t="str">
        <f>IF(VALUE(M481)=0,"",VLOOKUP(VLOOKUP(M481,Tbl_Effect[],3,FALSE),EffectName[],IFERROR(MATCH(UI!$B$1,EffectName[#Headers],0),2),FALSE))</f>
        <v/>
      </c>
      <c r="O481" t="str">
        <f t="shared" si="51"/>
        <v/>
      </c>
      <c r="P481">
        <v>0</v>
      </c>
      <c r="Q481" t="str">
        <f>IF(VALUE(P481)=0,"",VLOOKUP(VLOOKUP(P481,Tbl_Effect[],3,FALSE),EffectName[],IFERROR(MATCH(UI!$B$1,EffectName[#Headers],0),2),FALSE))</f>
        <v/>
      </c>
      <c r="R481" t="str">
        <f t="shared" si="52"/>
        <v/>
      </c>
      <c r="S481">
        <v>0</v>
      </c>
      <c r="T481" t="str">
        <f>IF(VALUE(S481)=0,"",VLOOKUP(VLOOKUP(S481,Tbl_Effect[],3,FALSE),EffectName[],IFERROR(MATCH(UI!$B$1,EffectName[#Headers],0),2),FALSE))</f>
        <v/>
      </c>
      <c r="U481" t="str">
        <f t="shared" si="53"/>
        <v/>
      </c>
      <c r="V481">
        <v>0</v>
      </c>
      <c r="W481" t="str">
        <f>IF(V481&lt;&gt;0,VLOOKUP(VLOOKUP(V481,Tbl_Effect[],3,FALSE),EffectName[],IFERROR(MATCH(UI!$B$1,EffectName[#Headers],0),2),FALSE),"")</f>
        <v/>
      </c>
      <c r="X481" t="str">
        <f t="shared" si="54"/>
        <v/>
      </c>
      <c r="Y481">
        <v>0</v>
      </c>
      <c r="Z481" t="str">
        <f>IF(Y481&lt;&gt;0,VLOOKUP(VLOOKUP(Y481,Tbl_Effect[],3,FALSE),EffectName[],IFERROR(MATCH(UI!$B$1,EffectName[#Headers],0),2),FALSE),"")</f>
        <v/>
      </c>
      <c r="AA481" t="str">
        <f t="shared" si="55"/>
        <v/>
      </c>
      <c r="AB481">
        <v>0</v>
      </c>
      <c r="AC481" t="str">
        <f>IF(AB481&lt;&gt;0,VLOOKUP(VLOOKUP(AB481,Tbl_Effect[],3,FALSE),EffectName[],IFERROR(MATCH(UI!$B$1,EffectName[#Headers],0),2),FALSE),"")</f>
        <v/>
      </c>
    </row>
    <row r="482" spans="8:29" x14ac:dyDescent="0.4">
      <c r="H482" t="str">
        <f t="shared" si="49"/>
        <v>1005300-細膩的幽靜情景 (綠)</v>
      </c>
      <c r="I482">
        <v>1005300</v>
      </c>
      <c r="J482" t="str">
        <f>_xlfn.IFNA(IF(I482&lt;&gt;0,VLOOKUP(VLOOKUP(I482,Tbl_Equip[],2,FALSE),Tbl_Color[],IFERROR(MATCH(UI!$B$1,Tbl_Color[#Headers],0),2),FALSE),""),"Unset")</f>
        <v>綠</v>
      </c>
      <c r="K482" t="str">
        <f>_xlfn.IFNA(IF(I482&lt;&gt;0,VLOOKUP(I482,ItemText[],IFERROR(MATCH(UI!$B$1,ItemText[#Headers],0),2),FALSE),""),"Unset")</f>
        <v>細膩的幽靜情景</v>
      </c>
      <c r="L482" t="str">
        <f t="shared" si="50"/>
        <v/>
      </c>
      <c r="M482">
        <v>0</v>
      </c>
      <c r="N482" t="str">
        <f>IF(VALUE(M482)=0,"",VLOOKUP(VLOOKUP(M482,Tbl_Effect[],3,FALSE),EffectName[],IFERROR(MATCH(UI!$B$1,EffectName[#Headers],0),2),FALSE))</f>
        <v/>
      </c>
      <c r="O482" t="str">
        <f t="shared" si="51"/>
        <v/>
      </c>
      <c r="P482">
        <v>0</v>
      </c>
      <c r="Q482" t="str">
        <f>IF(VALUE(P482)=0,"",VLOOKUP(VLOOKUP(P482,Tbl_Effect[],3,FALSE),EffectName[],IFERROR(MATCH(UI!$B$1,EffectName[#Headers],0),2),FALSE))</f>
        <v/>
      </c>
      <c r="R482" t="str">
        <f t="shared" si="52"/>
        <v/>
      </c>
      <c r="S482">
        <v>0</v>
      </c>
      <c r="T482" t="str">
        <f>IF(VALUE(S482)=0,"",VLOOKUP(VLOOKUP(S482,Tbl_Effect[],3,FALSE),EffectName[],IFERROR(MATCH(UI!$B$1,EffectName[#Headers],0),2),FALSE))</f>
        <v/>
      </c>
      <c r="U482" t="str">
        <f t="shared" si="53"/>
        <v/>
      </c>
      <c r="V482">
        <v>0</v>
      </c>
      <c r="W482" t="str">
        <f>IF(V482&lt;&gt;0,VLOOKUP(VLOOKUP(V482,Tbl_Effect[],3,FALSE),EffectName[],IFERROR(MATCH(UI!$B$1,EffectName[#Headers],0),2),FALSE),"")</f>
        <v/>
      </c>
      <c r="X482" t="str">
        <f t="shared" si="54"/>
        <v/>
      </c>
      <c r="Y482">
        <v>0</v>
      </c>
      <c r="Z482" t="str">
        <f>IF(Y482&lt;&gt;0,VLOOKUP(VLOOKUP(Y482,Tbl_Effect[],3,FALSE),EffectName[],IFERROR(MATCH(UI!$B$1,EffectName[#Headers],0),2),FALSE),"")</f>
        <v/>
      </c>
      <c r="AA482" t="str">
        <f t="shared" si="55"/>
        <v/>
      </c>
      <c r="AB482">
        <v>0</v>
      </c>
      <c r="AC482" t="str">
        <f>IF(AB482&lt;&gt;0,VLOOKUP(VLOOKUP(AB482,Tbl_Effect[],3,FALSE),EffectName[],IFERROR(MATCH(UI!$B$1,EffectName[#Headers],0),2),FALSE),"")</f>
        <v/>
      </c>
    </row>
    <row r="483" spans="8:29" x14ac:dyDescent="0.4">
      <c r="H483" t="str">
        <f t="shared" si="49"/>
        <v>1005301-端正的幽靜情景 (綠)</v>
      </c>
      <c r="I483">
        <v>1005301</v>
      </c>
      <c r="J483" t="str">
        <f>_xlfn.IFNA(IF(I483&lt;&gt;0,VLOOKUP(VLOOKUP(I483,Tbl_Equip[],2,FALSE),Tbl_Color[],IFERROR(MATCH(UI!$B$1,Tbl_Color[#Headers],0),2),FALSE),""),"Unset")</f>
        <v>綠</v>
      </c>
      <c r="K483" t="str">
        <f>_xlfn.IFNA(IF(I483&lt;&gt;0,VLOOKUP(I483,ItemText[],IFERROR(MATCH(UI!$B$1,ItemText[#Headers],0),2),FALSE),""),"Unset")</f>
        <v>端正的幽靜情景</v>
      </c>
      <c r="L483" t="str">
        <f t="shared" si="50"/>
        <v/>
      </c>
      <c r="M483">
        <v>0</v>
      </c>
      <c r="N483" t="str">
        <f>IF(VALUE(M483)=0,"",VLOOKUP(VLOOKUP(M483,Tbl_Effect[],3,FALSE),EffectName[],IFERROR(MATCH(UI!$B$1,EffectName[#Headers],0),2),FALSE))</f>
        <v/>
      </c>
      <c r="O483" t="str">
        <f t="shared" si="51"/>
        <v/>
      </c>
      <c r="P483">
        <v>0</v>
      </c>
      <c r="Q483" t="str">
        <f>IF(VALUE(P483)=0,"",VLOOKUP(VLOOKUP(P483,Tbl_Effect[],3,FALSE),EffectName[],IFERROR(MATCH(UI!$B$1,EffectName[#Headers],0),2),FALSE))</f>
        <v/>
      </c>
      <c r="R483" t="str">
        <f t="shared" si="52"/>
        <v/>
      </c>
      <c r="S483">
        <v>0</v>
      </c>
      <c r="T483" t="str">
        <f>IF(VALUE(S483)=0,"",VLOOKUP(VLOOKUP(S483,Tbl_Effect[],3,FALSE),EffectName[],IFERROR(MATCH(UI!$B$1,EffectName[#Headers],0),2),FALSE))</f>
        <v/>
      </c>
      <c r="U483" t="str">
        <f t="shared" si="53"/>
        <v/>
      </c>
      <c r="V483">
        <v>0</v>
      </c>
      <c r="W483" t="str">
        <f>IF(V483&lt;&gt;0,VLOOKUP(VLOOKUP(V483,Tbl_Effect[],3,FALSE),EffectName[],IFERROR(MATCH(UI!$B$1,EffectName[#Headers],0),2),FALSE),"")</f>
        <v/>
      </c>
      <c r="X483" t="str">
        <f t="shared" si="54"/>
        <v/>
      </c>
      <c r="Y483">
        <v>0</v>
      </c>
      <c r="Z483" t="str">
        <f>IF(Y483&lt;&gt;0,VLOOKUP(VLOOKUP(Y483,Tbl_Effect[],3,FALSE),EffectName[],IFERROR(MATCH(UI!$B$1,EffectName[#Headers],0),2),FALSE),"")</f>
        <v/>
      </c>
      <c r="AA483" t="str">
        <f t="shared" si="55"/>
        <v/>
      </c>
      <c r="AB483">
        <v>0</v>
      </c>
      <c r="AC483" t="str">
        <f>IF(AB483&lt;&gt;0,VLOOKUP(VLOOKUP(AB483,Tbl_Effect[],3,FALSE),EffectName[],IFERROR(MATCH(UI!$B$1,EffectName[#Headers],0),2),FALSE),"")</f>
        <v/>
      </c>
    </row>
    <row r="484" spans="8:29" x14ac:dyDescent="0.4">
      <c r="H484" t="str">
        <f t="shared" si="49"/>
        <v>1005302-遼闊的幽靜情景 (綠)</v>
      </c>
      <c r="I484">
        <v>1005302</v>
      </c>
      <c r="J484" t="str">
        <f>_xlfn.IFNA(IF(I484&lt;&gt;0,VLOOKUP(VLOOKUP(I484,Tbl_Equip[],2,FALSE),Tbl_Color[],IFERROR(MATCH(UI!$B$1,Tbl_Color[#Headers],0),2),FALSE),""),"Unset")</f>
        <v>綠</v>
      </c>
      <c r="K484" t="str">
        <f>_xlfn.IFNA(IF(I484&lt;&gt;0,VLOOKUP(I484,ItemText[],IFERROR(MATCH(UI!$B$1,ItemText[#Headers],0),2),FALSE),""),"Unset")</f>
        <v>遼闊的幽靜情景</v>
      </c>
      <c r="L484" t="str">
        <f t="shared" si="50"/>
        <v/>
      </c>
      <c r="M484">
        <v>0</v>
      </c>
      <c r="N484" t="str">
        <f>IF(VALUE(M484)=0,"",VLOOKUP(VLOOKUP(M484,Tbl_Effect[],3,FALSE),EffectName[],IFERROR(MATCH(UI!$B$1,EffectName[#Headers],0),2),FALSE))</f>
        <v/>
      </c>
      <c r="O484" t="str">
        <f t="shared" si="51"/>
        <v/>
      </c>
      <c r="P484">
        <v>0</v>
      </c>
      <c r="Q484" t="str">
        <f>IF(VALUE(P484)=0,"",VLOOKUP(VLOOKUP(P484,Tbl_Effect[],3,FALSE),EffectName[],IFERROR(MATCH(UI!$B$1,EffectName[#Headers],0),2),FALSE))</f>
        <v/>
      </c>
      <c r="R484" t="str">
        <f t="shared" si="52"/>
        <v/>
      </c>
      <c r="S484">
        <v>0</v>
      </c>
      <c r="T484" t="str">
        <f>IF(VALUE(S484)=0,"",VLOOKUP(VLOOKUP(S484,Tbl_Effect[],3,FALSE),EffectName[],IFERROR(MATCH(UI!$B$1,EffectName[#Headers],0),2),FALSE))</f>
        <v/>
      </c>
      <c r="U484" t="str">
        <f t="shared" si="53"/>
        <v/>
      </c>
      <c r="V484">
        <v>0</v>
      </c>
      <c r="W484" t="str">
        <f>IF(V484&lt;&gt;0,VLOOKUP(VLOOKUP(V484,Tbl_Effect[],3,FALSE),EffectName[],IFERROR(MATCH(UI!$B$1,EffectName[#Headers],0),2),FALSE),"")</f>
        <v/>
      </c>
      <c r="X484" t="str">
        <f t="shared" si="54"/>
        <v/>
      </c>
      <c r="Y484">
        <v>0</v>
      </c>
      <c r="Z484" t="str">
        <f>IF(Y484&lt;&gt;0,VLOOKUP(VLOOKUP(Y484,Tbl_Effect[],3,FALSE),EffectName[],IFERROR(MATCH(UI!$B$1,EffectName[#Headers],0),2),FALSE),"")</f>
        <v/>
      </c>
      <c r="AA484" t="str">
        <f t="shared" si="55"/>
        <v/>
      </c>
      <c r="AB484">
        <v>0</v>
      </c>
      <c r="AC484" t="str">
        <f>IF(AB484&lt;&gt;0,VLOOKUP(VLOOKUP(AB484,Tbl_Effect[],3,FALSE),EffectName[],IFERROR(MATCH(UI!$B$1,EffectName[#Headers],0),2),FALSE),"")</f>
        <v/>
      </c>
    </row>
    <row r="485" spans="8:29" x14ac:dyDescent="0.4">
      <c r="H485" t="str">
        <f t="shared" si="49"/>
        <v>1005310-細膩的幽靜情景 (綠)</v>
      </c>
      <c r="I485">
        <v>1005310</v>
      </c>
      <c r="J485" t="str">
        <f>_xlfn.IFNA(IF(I485&lt;&gt;0,VLOOKUP(VLOOKUP(I485,Tbl_Equip[],2,FALSE),Tbl_Color[],IFERROR(MATCH(UI!$B$1,Tbl_Color[#Headers],0),2),FALSE),""),"Unset")</f>
        <v>綠</v>
      </c>
      <c r="K485" t="str">
        <f>_xlfn.IFNA(IF(I485&lt;&gt;0,VLOOKUP(I485,ItemText[],IFERROR(MATCH(UI!$B$1,ItemText[#Headers],0),2),FALSE),""),"Unset")</f>
        <v>細膩的幽靜情景</v>
      </c>
      <c r="L485" t="str">
        <f t="shared" si="50"/>
        <v/>
      </c>
      <c r="M485">
        <v>0</v>
      </c>
      <c r="N485" t="str">
        <f>IF(VALUE(M485)=0,"",VLOOKUP(VLOOKUP(M485,Tbl_Effect[],3,FALSE),EffectName[],IFERROR(MATCH(UI!$B$1,EffectName[#Headers],0),2),FALSE))</f>
        <v/>
      </c>
      <c r="O485" t="str">
        <f t="shared" si="51"/>
        <v/>
      </c>
      <c r="P485">
        <v>0</v>
      </c>
      <c r="Q485" t="str">
        <f>IF(VALUE(P485)=0,"",VLOOKUP(VLOOKUP(P485,Tbl_Effect[],3,FALSE),EffectName[],IFERROR(MATCH(UI!$B$1,EffectName[#Headers],0),2),FALSE))</f>
        <v/>
      </c>
      <c r="R485" t="str">
        <f t="shared" si="52"/>
        <v/>
      </c>
      <c r="S485">
        <v>0</v>
      </c>
      <c r="T485" t="str">
        <f>IF(VALUE(S485)=0,"",VLOOKUP(VLOOKUP(S485,Tbl_Effect[],3,FALSE),EffectName[],IFERROR(MATCH(UI!$B$1,EffectName[#Headers],0),2),FALSE))</f>
        <v/>
      </c>
      <c r="U485" t="str">
        <f t="shared" si="53"/>
        <v/>
      </c>
      <c r="V485">
        <v>0</v>
      </c>
      <c r="W485" t="str">
        <f>IF(V485&lt;&gt;0,VLOOKUP(VLOOKUP(V485,Tbl_Effect[],3,FALSE),EffectName[],IFERROR(MATCH(UI!$B$1,EffectName[#Headers],0),2),FALSE),"")</f>
        <v/>
      </c>
      <c r="X485" t="str">
        <f t="shared" si="54"/>
        <v/>
      </c>
      <c r="Y485">
        <v>0</v>
      </c>
      <c r="Z485" t="str">
        <f>IF(Y485&lt;&gt;0,VLOOKUP(VLOOKUP(Y485,Tbl_Effect[],3,FALSE),EffectName[],IFERROR(MATCH(UI!$B$1,EffectName[#Headers],0),2),FALSE),"")</f>
        <v/>
      </c>
      <c r="AA485" t="str">
        <f t="shared" si="55"/>
        <v/>
      </c>
      <c r="AB485">
        <v>0</v>
      </c>
      <c r="AC485" t="str">
        <f>IF(AB485&lt;&gt;0,VLOOKUP(VLOOKUP(AB485,Tbl_Effect[],3,FALSE),EffectName[],IFERROR(MATCH(UI!$B$1,EffectName[#Headers],0),2),FALSE),"")</f>
        <v/>
      </c>
    </row>
    <row r="486" spans="8:29" x14ac:dyDescent="0.4">
      <c r="H486" t="str">
        <f t="shared" si="49"/>
        <v>1005311-端正的幽靜情景 (綠)</v>
      </c>
      <c r="I486">
        <v>1005311</v>
      </c>
      <c r="J486" t="str">
        <f>_xlfn.IFNA(IF(I486&lt;&gt;0,VLOOKUP(VLOOKUP(I486,Tbl_Equip[],2,FALSE),Tbl_Color[],IFERROR(MATCH(UI!$B$1,Tbl_Color[#Headers],0),2),FALSE),""),"Unset")</f>
        <v>綠</v>
      </c>
      <c r="K486" t="str">
        <f>_xlfn.IFNA(IF(I486&lt;&gt;0,VLOOKUP(I486,ItemText[],IFERROR(MATCH(UI!$B$1,ItemText[#Headers],0),2),FALSE),""),"Unset")</f>
        <v>端正的幽靜情景</v>
      </c>
      <c r="L486" t="str">
        <f t="shared" si="50"/>
        <v/>
      </c>
      <c r="M486">
        <v>0</v>
      </c>
      <c r="N486" t="str">
        <f>IF(VALUE(M486)=0,"",VLOOKUP(VLOOKUP(M486,Tbl_Effect[],3,FALSE),EffectName[],IFERROR(MATCH(UI!$B$1,EffectName[#Headers],0),2),FALSE))</f>
        <v/>
      </c>
      <c r="O486" t="str">
        <f t="shared" si="51"/>
        <v/>
      </c>
      <c r="P486">
        <v>0</v>
      </c>
      <c r="Q486" t="str">
        <f>IF(VALUE(P486)=0,"",VLOOKUP(VLOOKUP(P486,Tbl_Effect[],3,FALSE),EffectName[],IFERROR(MATCH(UI!$B$1,EffectName[#Headers],0),2),FALSE))</f>
        <v/>
      </c>
      <c r="R486" t="str">
        <f t="shared" si="52"/>
        <v/>
      </c>
      <c r="S486">
        <v>0</v>
      </c>
      <c r="T486" t="str">
        <f>IF(VALUE(S486)=0,"",VLOOKUP(VLOOKUP(S486,Tbl_Effect[],3,FALSE),EffectName[],IFERROR(MATCH(UI!$B$1,EffectName[#Headers],0),2),FALSE))</f>
        <v/>
      </c>
      <c r="U486" t="str">
        <f t="shared" si="53"/>
        <v/>
      </c>
      <c r="V486">
        <v>0</v>
      </c>
      <c r="W486" t="str">
        <f>IF(V486&lt;&gt;0,VLOOKUP(VLOOKUP(V486,Tbl_Effect[],3,FALSE),EffectName[],IFERROR(MATCH(UI!$B$1,EffectName[#Headers],0),2),FALSE),"")</f>
        <v/>
      </c>
      <c r="X486" t="str">
        <f t="shared" si="54"/>
        <v/>
      </c>
      <c r="Y486">
        <v>0</v>
      </c>
      <c r="Z486" t="str">
        <f>IF(Y486&lt;&gt;0,VLOOKUP(VLOOKUP(Y486,Tbl_Effect[],3,FALSE),EffectName[],IFERROR(MATCH(UI!$B$1,EffectName[#Headers],0),2),FALSE),"")</f>
        <v/>
      </c>
      <c r="AA486" t="str">
        <f t="shared" si="55"/>
        <v/>
      </c>
      <c r="AB486">
        <v>0</v>
      </c>
      <c r="AC486" t="str">
        <f>IF(AB486&lt;&gt;0,VLOOKUP(VLOOKUP(AB486,Tbl_Effect[],3,FALSE),EffectName[],IFERROR(MATCH(UI!$B$1,EffectName[#Headers],0),2),FALSE),"")</f>
        <v/>
      </c>
    </row>
    <row r="487" spans="8:29" x14ac:dyDescent="0.4">
      <c r="H487" t="str">
        <f t="shared" si="49"/>
        <v>1005312-遼闊的幽靜情景 (綠)</v>
      </c>
      <c r="I487">
        <v>1005312</v>
      </c>
      <c r="J487" t="str">
        <f>_xlfn.IFNA(IF(I487&lt;&gt;0,VLOOKUP(VLOOKUP(I487,Tbl_Equip[],2,FALSE),Tbl_Color[],IFERROR(MATCH(UI!$B$1,Tbl_Color[#Headers],0),2),FALSE),""),"Unset")</f>
        <v>綠</v>
      </c>
      <c r="K487" t="str">
        <f>_xlfn.IFNA(IF(I487&lt;&gt;0,VLOOKUP(I487,ItemText[],IFERROR(MATCH(UI!$B$1,ItemText[#Headers],0),2),FALSE),""),"Unset")</f>
        <v>遼闊的幽靜情景</v>
      </c>
      <c r="L487" t="str">
        <f t="shared" si="50"/>
        <v/>
      </c>
      <c r="M487">
        <v>0</v>
      </c>
      <c r="N487" t="str">
        <f>IF(VALUE(M487)=0,"",VLOOKUP(VLOOKUP(M487,Tbl_Effect[],3,FALSE),EffectName[],IFERROR(MATCH(UI!$B$1,EffectName[#Headers],0),2),FALSE))</f>
        <v/>
      </c>
      <c r="O487" t="str">
        <f t="shared" si="51"/>
        <v/>
      </c>
      <c r="P487">
        <v>0</v>
      </c>
      <c r="Q487" t="str">
        <f>IF(VALUE(P487)=0,"",VLOOKUP(VLOOKUP(P487,Tbl_Effect[],3,FALSE),EffectName[],IFERROR(MATCH(UI!$B$1,EffectName[#Headers],0),2),FALSE))</f>
        <v/>
      </c>
      <c r="R487" t="str">
        <f t="shared" si="52"/>
        <v/>
      </c>
      <c r="S487">
        <v>0</v>
      </c>
      <c r="T487" t="str">
        <f>IF(VALUE(S487)=0,"",VLOOKUP(VLOOKUP(S487,Tbl_Effect[],3,FALSE),EffectName[],IFERROR(MATCH(UI!$B$1,EffectName[#Headers],0),2),FALSE))</f>
        <v/>
      </c>
      <c r="U487" t="str">
        <f t="shared" si="53"/>
        <v/>
      </c>
      <c r="V487">
        <v>0</v>
      </c>
      <c r="W487" t="str">
        <f>IF(V487&lt;&gt;0,VLOOKUP(VLOOKUP(V487,Tbl_Effect[],3,FALSE),EffectName[],IFERROR(MATCH(UI!$B$1,EffectName[#Headers],0),2),FALSE),"")</f>
        <v/>
      </c>
      <c r="X487" t="str">
        <f t="shared" si="54"/>
        <v/>
      </c>
      <c r="Y487">
        <v>0</v>
      </c>
      <c r="Z487" t="str">
        <f>IF(Y487&lt;&gt;0,VLOOKUP(VLOOKUP(Y487,Tbl_Effect[],3,FALSE),EffectName[],IFERROR(MATCH(UI!$B$1,EffectName[#Headers],0),2),FALSE),"")</f>
        <v/>
      </c>
      <c r="AA487" t="str">
        <f t="shared" si="55"/>
        <v/>
      </c>
      <c r="AB487">
        <v>0</v>
      </c>
      <c r="AC487" t="str">
        <f>IF(AB487&lt;&gt;0,VLOOKUP(VLOOKUP(AB487,Tbl_Effect[],3,FALSE),EffectName[],IFERROR(MATCH(UI!$B$1,EffectName[#Headers],0),2),FALSE),"")</f>
        <v/>
      </c>
    </row>
    <row r="488" spans="8:29" x14ac:dyDescent="0.4">
      <c r="H488" t="str">
        <f t="shared" si="49"/>
        <v>1005320-細膩的幽靜情景 (綠)</v>
      </c>
      <c r="I488">
        <v>1005320</v>
      </c>
      <c r="J488" t="str">
        <f>_xlfn.IFNA(IF(I488&lt;&gt;0,VLOOKUP(VLOOKUP(I488,Tbl_Equip[],2,FALSE),Tbl_Color[],IFERROR(MATCH(UI!$B$1,Tbl_Color[#Headers],0),2),FALSE),""),"Unset")</f>
        <v>綠</v>
      </c>
      <c r="K488" t="str">
        <f>_xlfn.IFNA(IF(I488&lt;&gt;0,VLOOKUP(I488,ItemText[],IFERROR(MATCH(UI!$B$1,ItemText[#Headers],0),2),FALSE),""),"Unset")</f>
        <v>細膩的幽靜情景</v>
      </c>
      <c r="L488" t="str">
        <f t="shared" si="50"/>
        <v/>
      </c>
      <c r="M488">
        <v>0</v>
      </c>
      <c r="N488" t="str">
        <f>IF(VALUE(M488)=0,"",VLOOKUP(VLOOKUP(M488,Tbl_Effect[],3,FALSE),EffectName[],IFERROR(MATCH(UI!$B$1,EffectName[#Headers],0),2),FALSE))</f>
        <v/>
      </c>
      <c r="O488" t="str">
        <f t="shared" si="51"/>
        <v/>
      </c>
      <c r="P488">
        <v>0</v>
      </c>
      <c r="Q488" t="str">
        <f>IF(VALUE(P488)=0,"",VLOOKUP(VLOOKUP(P488,Tbl_Effect[],3,FALSE),EffectName[],IFERROR(MATCH(UI!$B$1,EffectName[#Headers],0),2),FALSE))</f>
        <v/>
      </c>
      <c r="R488" t="str">
        <f t="shared" si="52"/>
        <v/>
      </c>
      <c r="S488">
        <v>0</v>
      </c>
      <c r="T488" t="str">
        <f>IF(VALUE(S488)=0,"",VLOOKUP(VLOOKUP(S488,Tbl_Effect[],3,FALSE),EffectName[],IFERROR(MATCH(UI!$B$1,EffectName[#Headers],0),2),FALSE))</f>
        <v/>
      </c>
      <c r="U488" t="str">
        <f t="shared" si="53"/>
        <v/>
      </c>
      <c r="V488">
        <v>0</v>
      </c>
      <c r="W488" t="str">
        <f>IF(V488&lt;&gt;0,VLOOKUP(VLOOKUP(V488,Tbl_Effect[],3,FALSE),EffectName[],IFERROR(MATCH(UI!$B$1,EffectName[#Headers],0),2),FALSE),"")</f>
        <v/>
      </c>
      <c r="X488" t="str">
        <f t="shared" si="54"/>
        <v/>
      </c>
      <c r="Y488">
        <v>0</v>
      </c>
      <c r="Z488" t="str">
        <f>IF(Y488&lt;&gt;0,VLOOKUP(VLOOKUP(Y488,Tbl_Effect[],3,FALSE),EffectName[],IFERROR(MATCH(UI!$B$1,EffectName[#Headers],0),2),FALSE),"")</f>
        <v/>
      </c>
      <c r="AA488" t="str">
        <f t="shared" si="55"/>
        <v/>
      </c>
      <c r="AB488">
        <v>0</v>
      </c>
      <c r="AC488" t="str">
        <f>IF(AB488&lt;&gt;0,VLOOKUP(VLOOKUP(AB488,Tbl_Effect[],3,FALSE),EffectName[],IFERROR(MATCH(UI!$B$1,EffectName[#Headers],0),2),FALSE),"")</f>
        <v/>
      </c>
    </row>
    <row r="489" spans="8:29" x14ac:dyDescent="0.4">
      <c r="H489" t="str">
        <f t="shared" si="49"/>
        <v>1005321-端正的幽靜情景 (綠)</v>
      </c>
      <c r="I489">
        <v>1005321</v>
      </c>
      <c r="J489" t="str">
        <f>_xlfn.IFNA(IF(I489&lt;&gt;0,VLOOKUP(VLOOKUP(I489,Tbl_Equip[],2,FALSE),Tbl_Color[],IFERROR(MATCH(UI!$B$1,Tbl_Color[#Headers],0),2),FALSE),""),"Unset")</f>
        <v>綠</v>
      </c>
      <c r="K489" t="str">
        <f>_xlfn.IFNA(IF(I489&lt;&gt;0,VLOOKUP(I489,ItemText[],IFERROR(MATCH(UI!$B$1,ItemText[#Headers],0),2),FALSE),""),"Unset")</f>
        <v>端正的幽靜情景</v>
      </c>
      <c r="L489" t="str">
        <f t="shared" si="50"/>
        <v/>
      </c>
      <c r="M489">
        <v>0</v>
      </c>
      <c r="N489" t="str">
        <f>IF(VALUE(M489)=0,"",VLOOKUP(VLOOKUP(M489,Tbl_Effect[],3,FALSE),EffectName[],IFERROR(MATCH(UI!$B$1,EffectName[#Headers],0),2),FALSE))</f>
        <v/>
      </c>
      <c r="O489" t="str">
        <f t="shared" si="51"/>
        <v/>
      </c>
      <c r="P489">
        <v>0</v>
      </c>
      <c r="Q489" t="str">
        <f>IF(VALUE(P489)=0,"",VLOOKUP(VLOOKUP(P489,Tbl_Effect[],3,FALSE),EffectName[],IFERROR(MATCH(UI!$B$1,EffectName[#Headers],0),2),FALSE))</f>
        <v/>
      </c>
      <c r="R489" t="str">
        <f t="shared" si="52"/>
        <v/>
      </c>
      <c r="S489">
        <v>0</v>
      </c>
      <c r="T489" t="str">
        <f>IF(VALUE(S489)=0,"",VLOOKUP(VLOOKUP(S489,Tbl_Effect[],3,FALSE),EffectName[],IFERROR(MATCH(UI!$B$1,EffectName[#Headers],0),2),FALSE))</f>
        <v/>
      </c>
      <c r="U489" t="str">
        <f t="shared" si="53"/>
        <v/>
      </c>
      <c r="V489">
        <v>0</v>
      </c>
      <c r="W489" t="str">
        <f>IF(V489&lt;&gt;0,VLOOKUP(VLOOKUP(V489,Tbl_Effect[],3,FALSE),EffectName[],IFERROR(MATCH(UI!$B$1,EffectName[#Headers],0),2),FALSE),"")</f>
        <v/>
      </c>
      <c r="X489" t="str">
        <f t="shared" si="54"/>
        <v/>
      </c>
      <c r="Y489">
        <v>0</v>
      </c>
      <c r="Z489" t="str">
        <f>IF(Y489&lt;&gt;0,VLOOKUP(VLOOKUP(Y489,Tbl_Effect[],3,FALSE),EffectName[],IFERROR(MATCH(UI!$B$1,EffectName[#Headers],0),2),FALSE),"")</f>
        <v/>
      </c>
      <c r="AA489" t="str">
        <f t="shared" si="55"/>
        <v/>
      </c>
      <c r="AB489">
        <v>0</v>
      </c>
      <c r="AC489" t="str">
        <f>IF(AB489&lt;&gt;0,VLOOKUP(VLOOKUP(AB489,Tbl_Effect[],3,FALSE),EffectName[],IFERROR(MATCH(UI!$B$1,EffectName[#Headers],0),2),FALSE),"")</f>
        <v/>
      </c>
    </row>
    <row r="490" spans="8:29" x14ac:dyDescent="0.4">
      <c r="H490" t="str">
        <f t="shared" si="49"/>
        <v>1005322-遼闊的幽靜情景 (綠)</v>
      </c>
      <c r="I490">
        <v>1005322</v>
      </c>
      <c r="J490" t="str">
        <f>_xlfn.IFNA(IF(I490&lt;&gt;0,VLOOKUP(VLOOKUP(I490,Tbl_Equip[],2,FALSE),Tbl_Color[],IFERROR(MATCH(UI!$B$1,Tbl_Color[#Headers],0),2),FALSE),""),"Unset")</f>
        <v>綠</v>
      </c>
      <c r="K490" t="str">
        <f>_xlfn.IFNA(IF(I490&lt;&gt;0,VLOOKUP(I490,ItemText[],IFERROR(MATCH(UI!$B$1,ItemText[#Headers],0),2),FALSE),""),"Unset")</f>
        <v>遼闊的幽靜情景</v>
      </c>
      <c r="L490" t="str">
        <f t="shared" si="50"/>
        <v/>
      </c>
      <c r="M490">
        <v>0</v>
      </c>
      <c r="N490" t="str">
        <f>IF(VALUE(M490)=0,"",VLOOKUP(VLOOKUP(M490,Tbl_Effect[],3,FALSE),EffectName[],IFERROR(MATCH(UI!$B$1,EffectName[#Headers],0),2),FALSE))</f>
        <v/>
      </c>
      <c r="O490" t="str">
        <f t="shared" si="51"/>
        <v/>
      </c>
      <c r="P490">
        <v>0</v>
      </c>
      <c r="Q490" t="str">
        <f>IF(VALUE(P490)=0,"",VLOOKUP(VLOOKUP(P490,Tbl_Effect[],3,FALSE),EffectName[],IFERROR(MATCH(UI!$B$1,EffectName[#Headers],0),2),FALSE))</f>
        <v/>
      </c>
      <c r="R490" t="str">
        <f t="shared" si="52"/>
        <v/>
      </c>
      <c r="S490">
        <v>0</v>
      </c>
      <c r="T490" t="str">
        <f>IF(VALUE(S490)=0,"",VLOOKUP(VLOOKUP(S490,Tbl_Effect[],3,FALSE),EffectName[],IFERROR(MATCH(UI!$B$1,EffectName[#Headers],0),2),FALSE))</f>
        <v/>
      </c>
      <c r="U490" t="str">
        <f t="shared" si="53"/>
        <v/>
      </c>
      <c r="V490">
        <v>0</v>
      </c>
      <c r="W490" t="str">
        <f>IF(V490&lt;&gt;0,VLOOKUP(VLOOKUP(V490,Tbl_Effect[],3,FALSE),EffectName[],IFERROR(MATCH(UI!$B$1,EffectName[#Headers],0),2),FALSE),"")</f>
        <v/>
      </c>
      <c r="X490" t="str">
        <f t="shared" si="54"/>
        <v/>
      </c>
      <c r="Y490">
        <v>0</v>
      </c>
      <c r="Z490" t="str">
        <f>IF(Y490&lt;&gt;0,VLOOKUP(VLOOKUP(Y490,Tbl_Effect[],3,FALSE),EffectName[],IFERROR(MATCH(UI!$B$1,EffectName[#Headers],0),2),FALSE),"")</f>
        <v/>
      </c>
      <c r="AA490" t="str">
        <f t="shared" si="55"/>
        <v/>
      </c>
      <c r="AB490">
        <v>0</v>
      </c>
      <c r="AC490" t="str">
        <f>IF(AB490&lt;&gt;0,VLOOKUP(VLOOKUP(AB490,Tbl_Effect[],3,FALSE),EffectName[],IFERROR(MATCH(UI!$B$1,EffectName[#Headers],0),2),FALSE),"")</f>
        <v/>
      </c>
    </row>
    <row r="491" spans="8:29" x14ac:dyDescent="0.4">
      <c r="H491" t="str">
        <f t="shared" si="49"/>
        <v>1006000-細膩的火燃情景 (紅)</v>
      </c>
      <c r="I491">
        <v>1006000</v>
      </c>
      <c r="J491" t="str">
        <f>_xlfn.IFNA(IF(I491&lt;&gt;0,VLOOKUP(VLOOKUP(I491,Tbl_Equip[],2,FALSE),Tbl_Color[],IFERROR(MATCH(UI!$B$1,Tbl_Color[#Headers],0),2),FALSE),""),"Unset")</f>
        <v>紅</v>
      </c>
      <c r="K491" t="str">
        <f>_xlfn.IFNA(IF(I491&lt;&gt;0,VLOOKUP(I491,ItemText[],IFERROR(MATCH(UI!$B$1,ItemText[#Headers],0),2),FALSE),""),"Unset")</f>
        <v>細膩的火燃情景</v>
      </c>
      <c r="L491" t="str">
        <f t="shared" si="50"/>
        <v/>
      </c>
      <c r="M491">
        <v>0</v>
      </c>
      <c r="N491" t="str">
        <f>IF(VALUE(M491)=0,"",VLOOKUP(VLOOKUP(M491,Tbl_Effect[],3,FALSE),EffectName[],IFERROR(MATCH(UI!$B$1,EffectName[#Headers],0),2),FALSE))</f>
        <v/>
      </c>
      <c r="O491" t="str">
        <f t="shared" si="51"/>
        <v/>
      </c>
      <c r="P491">
        <v>0</v>
      </c>
      <c r="Q491" t="str">
        <f>IF(VALUE(P491)=0,"",VLOOKUP(VLOOKUP(P491,Tbl_Effect[],3,FALSE),EffectName[],IFERROR(MATCH(UI!$B$1,EffectName[#Headers],0),2),FALSE))</f>
        <v/>
      </c>
      <c r="R491" t="str">
        <f t="shared" si="52"/>
        <v/>
      </c>
      <c r="S491">
        <v>0</v>
      </c>
      <c r="T491" t="str">
        <f>IF(VALUE(S491)=0,"",VLOOKUP(VLOOKUP(S491,Tbl_Effect[],3,FALSE),EffectName[],IFERROR(MATCH(UI!$B$1,EffectName[#Headers],0),2),FALSE))</f>
        <v/>
      </c>
      <c r="U491" t="str">
        <f t="shared" si="53"/>
        <v/>
      </c>
      <c r="V491">
        <v>0</v>
      </c>
      <c r="W491" t="str">
        <f>IF(V491&lt;&gt;0,VLOOKUP(VLOOKUP(V491,Tbl_Effect[],3,FALSE),EffectName[],IFERROR(MATCH(UI!$B$1,EffectName[#Headers],0),2),FALSE),"")</f>
        <v/>
      </c>
      <c r="X491" t="str">
        <f t="shared" si="54"/>
        <v/>
      </c>
      <c r="Y491">
        <v>0</v>
      </c>
      <c r="Z491" t="str">
        <f>IF(Y491&lt;&gt;0,VLOOKUP(VLOOKUP(Y491,Tbl_Effect[],3,FALSE),EffectName[],IFERROR(MATCH(UI!$B$1,EffectName[#Headers],0),2),FALSE),"")</f>
        <v/>
      </c>
      <c r="AA491" t="str">
        <f t="shared" si="55"/>
        <v/>
      </c>
      <c r="AB491">
        <v>0</v>
      </c>
      <c r="AC491" t="str">
        <f>IF(AB491&lt;&gt;0,VLOOKUP(VLOOKUP(AB491,Tbl_Effect[],3,FALSE),EffectName[],IFERROR(MATCH(UI!$B$1,EffectName[#Headers],0),2),FALSE),"")</f>
        <v/>
      </c>
    </row>
    <row r="492" spans="8:29" x14ac:dyDescent="0.4">
      <c r="H492" t="str">
        <f t="shared" si="49"/>
        <v>1006001-端正的火燃情景 (紅)</v>
      </c>
      <c r="I492">
        <v>1006001</v>
      </c>
      <c r="J492" t="str">
        <f>_xlfn.IFNA(IF(I492&lt;&gt;0,VLOOKUP(VLOOKUP(I492,Tbl_Equip[],2,FALSE),Tbl_Color[],IFERROR(MATCH(UI!$B$1,Tbl_Color[#Headers],0),2),FALSE),""),"Unset")</f>
        <v>紅</v>
      </c>
      <c r="K492" t="str">
        <f>_xlfn.IFNA(IF(I492&lt;&gt;0,VLOOKUP(I492,ItemText[],IFERROR(MATCH(UI!$B$1,ItemText[#Headers],0),2),FALSE),""),"Unset")</f>
        <v>端正的火燃情景</v>
      </c>
      <c r="L492" t="str">
        <f t="shared" si="50"/>
        <v/>
      </c>
      <c r="M492">
        <v>0</v>
      </c>
      <c r="N492" t="str">
        <f>IF(VALUE(M492)=0,"",VLOOKUP(VLOOKUP(M492,Tbl_Effect[],3,FALSE),EffectName[],IFERROR(MATCH(UI!$B$1,EffectName[#Headers],0),2),FALSE))</f>
        <v/>
      </c>
      <c r="O492" t="str">
        <f t="shared" si="51"/>
        <v/>
      </c>
      <c r="P492">
        <v>0</v>
      </c>
      <c r="Q492" t="str">
        <f>IF(VALUE(P492)=0,"",VLOOKUP(VLOOKUP(P492,Tbl_Effect[],3,FALSE),EffectName[],IFERROR(MATCH(UI!$B$1,EffectName[#Headers],0),2),FALSE))</f>
        <v/>
      </c>
      <c r="R492" t="str">
        <f t="shared" si="52"/>
        <v/>
      </c>
      <c r="S492">
        <v>0</v>
      </c>
      <c r="T492" t="str">
        <f>IF(VALUE(S492)=0,"",VLOOKUP(VLOOKUP(S492,Tbl_Effect[],3,FALSE),EffectName[],IFERROR(MATCH(UI!$B$1,EffectName[#Headers],0),2),FALSE))</f>
        <v/>
      </c>
      <c r="U492" t="str">
        <f t="shared" si="53"/>
        <v/>
      </c>
      <c r="V492">
        <v>0</v>
      </c>
      <c r="W492" t="str">
        <f>IF(V492&lt;&gt;0,VLOOKUP(VLOOKUP(V492,Tbl_Effect[],3,FALSE),EffectName[],IFERROR(MATCH(UI!$B$1,EffectName[#Headers],0),2),FALSE),"")</f>
        <v/>
      </c>
      <c r="X492" t="str">
        <f t="shared" si="54"/>
        <v/>
      </c>
      <c r="Y492">
        <v>0</v>
      </c>
      <c r="Z492" t="str">
        <f>IF(Y492&lt;&gt;0,VLOOKUP(VLOOKUP(Y492,Tbl_Effect[],3,FALSE),EffectName[],IFERROR(MATCH(UI!$B$1,EffectName[#Headers],0),2),FALSE),"")</f>
        <v/>
      </c>
      <c r="AA492" t="str">
        <f t="shared" si="55"/>
        <v/>
      </c>
      <c r="AB492">
        <v>0</v>
      </c>
      <c r="AC492" t="str">
        <f>IF(AB492&lt;&gt;0,VLOOKUP(VLOOKUP(AB492,Tbl_Effect[],3,FALSE),EffectName[],IFERROR(MATCH(UI!$B$1,EffectName[#Headers],0),2),FALSE),"")</f>
        <v/>
      </c>
    </row>
    <row r="493" spans="8:29" x14ac:dyDescent="0.4">
      <c r="H493" t="str">
        <f t="shared" si="49"/>
        <v>1006002-遼闊的火燃情景 (紅)</v>
      </c>
      <c r="I493">
        <v>1006002</v>
      </c>
      <c r="J493" t="str">
        <f>_xlfn.IFNA(IF(I493&lt;&gt;0,VLOOKUP(VLOOKUP(I493,Tbl_Equip[],2,FALSE),Tbl_Color[],IFERROR(MATCH(UI!$B$1,Tbl_Color[#Headers],0),2),FALSE),""),"Unset")</f>
        <v>紅</v>
      </c>
      <c r="K493" t="str">
        <f>_xlfn.IFNA(IF(I493&lt;&gt;0,VLOOKUP(I493,ItemText[],IFERROR(MATCH(UI!$B$1,ItemText[#Headers],0),2),FALSE),""),"Unset")</f>
        <v>遼闊的火燃情景</v>
      </c>
      <c r="L493" t="str">
        <f t="shared" si="50"/>
        <v/>
      </c>
      <c r="M493">
        <v>0</v>
      </c>
      <c r="N493" t="str">
        <f>IF(VALUE(M493)=0,"",VLOOKUP(VLOOKUP(M493,Tbl_Effect[],3,FALSE),EffectName[],IFERROR(MATCH(UI!$B$1,EffectName[#Headers],0),2),FALSE))</f>
        <v/>
      </c>
      <c r="O493" t="str">
        <f t="shared" si="51"/>
        <v/>
      </c>
      <c r="P493">
        <v>0</v>
      </c>
      <c r="Q493" t="str">
        <f>IF(VALUE(P493)=0,"",VLOOKUP(VLOOKUP(P493,Tbl_Effect[],3,FALSE),EffectName[],IFERROR(MATCH(UI!$B$1,EffectName[#Headers],0),2),FALSE))</f>
        <v/>
      </c>
      <c r="R493" t="str">
        <f t="shared" si="52"/>
        <v/>
      </c>
      <c r="S493">
        <v>0</v>
      </c>
      <c r="T493" t="str">
        <f>IF(VALUE(S493)=0,"",VLOOKUP(VLOOKUP(S493,Tbl_Effect[],3,FALSE),EffectName[],IFERROR(MATCH(UI!$B$1,EffectName[#Headers],0),2),FALSE))</f>
        <v/>
      </c>
      <c r="U493" t="str">
        <f t="shared" si="53"/>
        <v/>
      </c>
      <c r="V493">
        <v>0</v>
      </c>
      <c r="W493" t="str">
        <f>IF(V493&lt;&gt;0,VLOOKUP(VLOOKUP(V493,Tbl_Effect[],3,FALSE),EffectName[],IFERROR(MATCH(UI!$B$1,EffectName[#Headers],0),2),FALSE),"")</f>
        <v/>
      </c>
      <c r="X493" t="str">
        <f t="shared" si="54"/>
        <v/>
      </c>
      <c r="Y493">
        <v>0</v>
      </c>
      <c r="Z493" t="str">
        <f>IF(Y493&lt;&gt;0,VLOOKUP(VLOOKUP(Y493,Tbl_Effect[],3,FALSE),EffectName[],IFERROR(MATCH(UI!$B$1,EffectName[#Headers],0),2),FALSE),"")</f>
        <v/>
      </c>
      <c r="AA493" t="str">
        <f t="shared" si="55"/>
        <v/>
      </c>
      <c r="AB493">
        <v>0</v>
      </c>
      <c r="AC493" t="str">
        <f>IF(AB493&lt;&gt;0,VLOOKUP(VLOOKUP(AB493,Tbl_Effect[],3,FALSE),EffectName[],IFERROR(MATCH(UI!$B$1,EffectName[#Headers],0),2),FALSE),"")</f>
        <v/>
      </c>
    </row>
    <row r="494" spans="8:29" x14ac:dyDescent="0.4">
      <c r="H494" t="str">
        <f t="shared" si="49"/>
        <v>1006010-細膩的火燃情景 (紅)</v>
      </c>
      <c r="I494">
        <v>1006010</v>
      </c>
      <c r="J494" t="str">
        <f>_xlfn.IFNA(IF(I494&lt;&gt;0,VLOOKUP(VLOOKUP(I494,Tbl_Equip[],2,FALSE),Tbl_Color[],IFERROR(MATCH(UI!$B$1,Tbl_Color[#Headers],0),2),FALSE),""),"Unset")</f>
        <v>紅</v>
      </c>
      <c r="K494" t="str">
        <f>_xlfn.IFNA(IF(I494&lt;&gt;0,VLOOKUP(I494,ItemText[],IFERROR(MATCH(UI!$B$1,ItemText[#Headers],0),2),FALSE),""),"Unset")</f>
        <v>細膩的火燃情景</v>
      </c>
      <c r="L494" t="str">
        <f t="shared" si="50"/>
        <v/>
      </c>
      <c r="M494">
        <v>0</v>
      </c>
      <c r="N494" t="str">
        <f>IF(VALUE(M494)=0,"",VLOOKUP(VLOOKUP(M494,Tbl_Effect[],3,FALSE),EffectName[],IFERROR(MATCH(UI!$B$1,EffectName[#Headers],0),2),FALSE))</f>
        <v/>
      </c>
      <c r="O494" t="str">
        <f t="shared" si="51"/>
        <v/>
      </c>
      <c r="P494">
        <v>0</v>
      </c>
      <c r="Q494" t="str">
        <f>IF(VALUE(P494)=0,"",VLOOKUP(VLOOKUP(P494,Tbl_Effect[],3,FALSE),EffectName[],IFERROR(MATCH(UI!$B$1,EffectName[#Headers],0),2),FALSE))</f>
        <v/>
      </c>
      <c r="R494" t="str">
        <f t="shared" si="52"/>
        <v/>
      </c>
      <c r="S494">
        <v>0</v>
      </c>
      <c r="T494" t="str">
        <f>IF(VALUE(S494)=0,"",VLOOKUP(VLOOKUP(S494,Tbl_Effect[],3,FALSE),EffectName[],IFERROR(MATCH(UI!$B$1,EffectName[#Headers],0),2),FALSE))</f>
        <v/>
      </c>
      <c r="U494" t="str">
        <f t="shared" si="53"/>
        <v/>
      </c>
      <c r="V494">
        <v>0</v>
      </c>
      <c r="W494" t="str">
        <f>IF(V494&lt;&gt;0,VLOOKUP(VLOOKUP(V494,Tbl_Effect[],3,FALSE),EffectName[],IFERROR(MATCH(UI!$B$1,EffectName[#Headers],0),2),FALSE),"")</f>
        <v/>
      </c>
      <c r="X494" t="str">
        <f t="shared" si="54"/>
        <v/>
      </c>
      <c r="Y494">
        <v>0</v>
      </c>
      <c r="Z494" t="str">
        <f>IF(Y494&lt;&gt;0,VLOOKUP(VLOOKUP(Y494,Tbl_Effect[],3,FALSE),EffectName[],IFERROR(MATCH(UI!$B$1,EffectName[#Headers],0),2),FALSE),"")</f>
        <v/>
      </c>
      <c r="AA494" t="str">
        <f t="shared" si="55"/>
        <v/>
      </c>
      <c r="AB494">
        <v>0</v>
      </c>
      <c r="AC494" t="str">
        <f>IF(AB494&lt;&gt;0,VLOOKUP(VLOOKUP(AB494,Tbl_Effect[],3,FALSE),EffectName[],IFERROR(MATCH(UI!$B$1,EffectName[#Headers],0),2),FALSE),"")</f>
        <v/>
      </c>
    </row>
    <row r="495" spans="8:29" x14ac:dyDescent="0.4">
      <c r="H495" t="str">
        <f t="shared" si="49"/>
        <v>1006011-端正的火燃情景 (紅)</v>
      </c>
      <c r="I495">
        <v>1006011</v>
      </c>
      <c r="J495" t="str">
        <f>_xlfn.IFNA(IF(I495&lt;&gt;0,VLOOKUP(VLOOKUP(I495,Tbl_Equip[],2,FALSE),Tbl_Color[],IFERROR(MATCH(UI!$B$1,Tbl_Color[#Headers],0),2),FALSE),""),"Unset")</f>
        <v>紅</v>
      </c>
      <c r="K495" t="str">
        <f>_xlfn.IFNA(IF(I495&lt;&gt;0,VLOOKUP(I495,ItemText[],IFERROR(MATCH(UI!$B$1,ItemText[#Headers],0),2),FALSE),""),"Unset")</f>
        <v>端正的火燃情景</v>
      </c>
      <c r="L495" t="str">
        <f t="shared" si="50"/>
        <v/>
      </c>
      <c r="M495">
        <v>0</v>
      </c>
      <c r="N495" t="str">
        <f>IF(VALUE(M495)=0,"",VLOOKUP(VLOOKUP(M495,Tbl_Effect[],3,FALSE),EffectName[],IFERROR(MATCH(UI!$B$1,EffectName[#Headers],0),2),FALSE))</f>
        <v/>
      </c>
      <c r="O495" t="str">
        <f t="shared" si="51"/>
        <v/>
      </c>
      <c r="P495">
        <v>0</v>
      </c>
      <c r="Q495" t="str">
        <f>IF(VALUE(P495)=0,"",VLOOKUP(VLOOKUP(P495,Tbl_Effect[],3,FALSE),EffectName[],IFERROR(MATCH(UI!$B$1,EffectName[#Headers],0),2),FALSE))</f>
        <v/>
      </c>
      <c r="R495" t="str">
        <f t="shared" si="52"/>
        <v/>
      </c>
      <c r="S495">
        <v>0</v>
      </c>
      <c r="T495" t="str">
        <f>IF(VALUE(S495)=0,"",VLOOKUP(VLOOKUP(S495,Tbl_Effect[],3,FALSE),EffectName[],IFERROR(MATCH(UI!$B$1,EffectName[#Headers],0),2),FALSE))</f>
        <v/>
      </c>
      <c r="U495" t="str">
        <f t="shared" si="53"/>
        <v/>
      </c>
      <c r="V495">
        <v>0</v>
      </c>
      <c r="W495" t="str">
        <f>IF(V495&lt;&gt;0,VLOOKUP(VLOOKUP(V495,Tbl_Effect[],3,FALSE),EffectName[],IFERROR(MATCH(UI!$B$1,EffectName[#Headers],0),2),FALSE),"")</f>
        <v/>
      </c>
      <c r="X495" t="str">
        <f t="shared" si="54"/>
        <v/>
      </c>
      <c r="Y495">
        <v>0</v>
      </c>
      <c r="Z495" t="str">
        <f>IF(Y495&lt;&gt;0,VLOOKUP(VLOOKUP(Y495,Tbl_Effect[],3,FALSE),EffectName[],IFERROR(MATCH(UI!$B$1,EffectName[#Headers],0),2),FALSE),"")</f>
        <v/>
      </c>
      <c r="AA495" t="str">
        <f t="shared" si="55"/>
        <v/>
      </c>
      <c r="AB495">
        <v>0</v>
      </c>
      <c r="AC495" t="str">
        <f>IF(AB495&lt;&gt;0,VLOOKUP(VLOOKUP(AB495,Tbl_Effect[],3,FALSE),EffectName[],IFERROR(MATCH(UI!$B$1,EffectName[#Headers],0),2),FALSE),"")</f>
        <v/>
      </c>
    </row>
    <row r="496" spans="8:29" x14ac:dyDescent="0.4">
      <c r="H496" t="str">
        <f t="shared" si="49"/>
        <v>1006012-遼闊的火燃情景 (紅)</v>
      </c>
      <c r="I496">
        <v>1006012</v>
      </c>
      <c r="J496" t="str">
        <f>_xlfn.IFNA(IF(I496&lt;&gt;0,VLOOKUP(VLOOKUP(I496,Tbl_Equip[],2,FALSE),Tbl_Color[],IFERROR(MATCH(UI!$B$1,Tbl_Color[#Headers],0),2),FALSE),""),"Unset")</f>
        <v>紅</v>
      </c>
      <c r="K496" t="str">
        <f>_xlfn.IFNA(IF(I496&lt;&gt;0,VLOOKUP(I496,ItemText[],IFERROR(MATCH(UI!$B$1,ItemText[#Headers],0),2),FALSE),""),"Unset")</f>
        <v>遼闊的火燃情景</v>
      </c>
      <c r="L496" t="str">
        <f t="shared" si="50"/>
        <v/>
      </c>
      <c r="M496">
        <v>0</v>
      </c>
      <c r="N496" t="str">
        <f>IF(VALUE(M496)=0,"",VLOOKUP(VLOOKUP(M496,Tbl_Effect[],3,FALSE),EffectName[],IFERROR(MATCH(UI!$B$1,EffectName[#Headers],0),2),FALSE))</f>
        <v/>
      </c>
      <c r="O496" t="str">
        <f t="shared" si="51"/>
        <v/>
      </c>
      <c r="P496">
        <v>0</v>
      </c>
      <c r="Q496" t="str">
        <f>IF(VALUE(P496)=0,"",VLOOKUP(VLOOKUP(P496,Tbl_Effect[],3,FALSE),EffectName[],IFERROR(MATCH(UI!$B$1,EffectName[#Headers],0),2),FALSE))</f>
        <v/>
      </c>
      <c r="R496" t="str">
        <f t="shared" si="52"/>
        <v/>
      </c>
      <c r="S496">
        <v>0</v>
      </c>
      <c r="T496" t="str">
        <f>IF(VALUE(S496)=0,"",VLOOKUP(VLOOKUP(S496,Tbl_Effect[],3,FALSE),EffectName[],IFERROR(MATCH(UI!$B$1,EffectName[#Headers],0),2),FALSE))</f>
        <v/>
      </c>
      <c r="U496" t="str">
        <f t="shared" si="53"/>
        <v/>
      </c>
      <c r="V496">
        <v>0</v>
      </c>
      <c r="W496" t="str">
        <f>IF(V496&lt;&gt;0,VLOOKUP(VLOOKUP(V496,Tbl_Effect[],3,FALSE),EffectName[],IFERROR(MATCH(UI!$B$1,EffectName[#Headers],0),2),FALSE),"")</f>
        <v/>
      </c>
      <c r="X496" t="str">
        <f t="shared" si="54"/>
        <v/>
      </c>
      <c r="Y496">
        <v>0</v>
      </c>
      <c r="Z496" t="str">
        <f>IF(Y496&lt;&gt;0,VLOOKUP(VLOOKUP(Y496,Tbl_Effect[],3,FALSE),EffectName[],IFERROR(MATCH(UI!$B$1,EffectName[#Headers],0),2),FALSE),"")</f>
        <v/>
      </c>
      <c r="AA496" t="str">
        <f t="shared" si="55"/>
        <v/>
      </c>
      <c r="AB496">
        <v>0</v>
      </c>
      <c r="AC496" t="str">
        <f>IF(AB496&lt;&gt;0,VLOOKUP(VLOOKUP(AB496,Tbl_Effect[],3,FALSE),EffectName[],IFERROR(MATCH(UI!$B$1,EffectName[#Headers],0),2),FALSE),"")</f>
        <v/>
      </c>
    </row>
    <row r="497" spans="8:29" x14ac:dyDescent="0.4">
      <c r="H497" t="str">
        <f t="shared" si="49"/>
        <v>1006020-細膩的火燃情景 (紅)</v>
      </c>
      <c r="I497">
        <v>1006020</v>
      </c>
      <c r="J497" t="str">
        <f>_xlfn.IFNA(IF(I497&lt;&gt;0,VLOOKUP(VLOOKUP(I497,Tbl_Equip[],2,FALSE),Tbl_Color[],IFERROR(MATCH(UI!$B$1,Tbl_Color[#Headers],0),2),FALSE),""),"Unset")</f>
        <v>紅</v>
      </c>
      <c r="K497" t="str">
        <f>_xlfn.IFNA(IF(I497&lt;&gt;0,VLOOKUP(I497,ItemText[],IFERROR(MATCH(UI!$B$1,ItemText[#Headers],0),2),FALSE),""),"Unset")</f>
        <v>細膩的火燃情景</v>
      </c>
      <c r="L497" t="str">
        <f t="shared" si="50"/>
        <v/>
      </c>
      <c r="M497">
        <v>0</v>
      </c>
      <c r="N497" t="str">
        <f>IF(VALUE(M497)=0,"",VLOOKUP(VLOOKUP(M497,Tbl_Effect[],3,FALSE),EffectName[],IFERROR(MATCH(UI!$B$1,EffectName[#Headers],0),2),FALSE))</f>
        <v/>
      </c>
      <c r="O497" t="str">
        <f t="shared" si="51"/>
        <v/>
      </c>
      <c r="P497">
        <v>0</v>
      </c>
      <c r="Q497" t="str">
        <f>IF(VALUE(P497)=0,"",VLOOKUP(VLOOKUP(P497,Tbl_Effect[],3,FALSE),EffectName[],IFERROR(MATCH(UI!$B$1,EffectName[#Headers],0),2),FALSE))</f>
        <v/>
      </c>
      <c r="R497" t="str">
        <f t="shared" si="52"/>
        <v/>
      </c>
      <c r="S497">
        <v>0</v>
      </c>
      <c r="T497" t="str">
        <f>IF(VALUE(S497)=0,"",VLOOKUP(VLOOKUP(S497,Tbl_Effect[],3,FALSE),EffectName[],IFERROR(MATCH(UI!$B$1,EffectName[#Headers],0),2),FALSE))</f>
        <v/>
      </c>
      <c r="U497" t="str">
        <f t="shared" si="53"/>
        <v/>
      </c>
      <c r="V497">
        <v>0</v>
      </c>
      <c r="W497" t="str">
        <f>IF(V497&lt;&gt;0,VLOOKUP(VLOOKUP(V497,Tbl_Effect[],3,FALSE),EffectName[],IFERROR(MATCH(UI!$B$1,EffectName[#Headers],0),2),FALSE),"")</f>
        <v/>
      </c>
      <c r="X497" t="str">
        <f t="shared" si="54"/>
        <v/>
      </c>
      <c r="Y497">
        <v>0</v>
      </c>
      <c r="Z497" t="str">
        <f>IF(Y497&lt;&gt;0,VLOOKUP(VLOOKUP(Y497,Tbl_Effect[],3,FALSE),EffectName[],IFERROR(MATCH(UI!$B$1,EffectName[#Headers],0),2),FALSE),"")</f>
        <v/>
      </c>
      <c r="AA497" t="str">
        <f t="shared" si="55"/>
        <v/>
      </c>
      <c r="AB497">
        <v>0</v>
      </c>
      <c r="AC497" t="str">
        <f>IF(AB497&lt;&gt;0,VLOOKUP(VLOOKUP(AB497,Tbl_Effect[],3,FALSE),EffectName[],IFERROR(MATCH(UI!$B$1,EffectName[#Headers],0),2),FALSE),"")</f>
        <v/>
      </c>
    </row>
    <row r="498" spans="8:29" x14ac:dyDescent="0.4">
      <c r="H498" t="str">
        <f t="shared" si="49"/>
        <v>1006021-端正的火燃情景 (紅)</v>
      </c>
      <c r="I498">
        <v>1006021</v>
      </c>
      <c r="J498" t="str">
        <f>_xlfn.IFNA(IF(I498&lt;&gt;0,VLOOKUP(VLOOKUP(I498,Tbl_Equip[],2,FALSE),Tbl_Color[],IFERROR(MATCH(UI!$B$1,Tbl_Color[#Headers],0),2),FALSE),""),"Unset")</f>
        <v>紅</v>
      </c>
      <c r="K498" t="str">
        <f>_xlfn.IFNA(IF(I498&lt;&gt;0,VLOOKUP(I498,ItemText[],IFERROR(MATCH(UI!$B$1,ItemText[#Headers],0),2),FALSE),""),"Unset")</f>
        <v>端正的火燃情景</v>
      </c>
      <c r="L498" t="str">
        <f t="shared" si="50"/>
        <v/>
      </c>
      <c r="M498">
        <v>0</v>
      </c>
      <c r="N498" t="str">
        <f>IF(VALUE(M498)=0,"",VLOOKUP(VLOOKUP(M498,Tbl_Effect[],3,FALSE),EffectName[],IFERROR(MATCH(UI!$B$1,EffectName[#Headers],0),2),FALSE))</f>
        <v/>
      </c>
      <c r="O498" t="str">
        <f t="shared" si="51"/>
        <v/>
      </c>
      <c r="P498">
        <v>0</v>
      </c>
      <c r="Q498" t="str">
        <f>IF(VALUE(P498)=0,"",VLOOKUP(VLOOKUP(P498,Tbl_Effect[],3,FALSE),EffectName[],IFERROR(MATCH(UI!$B$1,EffectName[#Headers],0),2),FALSE))</f>
        <v/>
      </c>
      <c r="R498" t="str">
        <f t="shared" si="52"/>
        <v/>
      </c>
      <c r="S498">
        <v>0</v>
      </c>
      <c r="T498" t="str">
        <f>IF(VALUE(S498)=0,"",VLOOKUP(VLOOKUP(S498,Tbl_Effect[],3,FALSE),EffectName[],IFERROR(MATCH(UI!$B$1,EffectName[#Headers],0),2),FALSE))</f>
        <v/>
      </c>
      <c r="U498" t="str">
        <f t="shared" si="53"/>
        <v/>
      </c>
      <c r="V498">
        <v>0</v>
      </c>
      <c r="W498" t="str">
        <f>IF(V498&lt;&gt;0,VLOOKUP(VLOOKUP(V498,Tbl_Effect[],3,FALSE),EffectName[],IFERROR(MATCH(UI!$B$1,EffectName[#Headers],0),2),FALSE),"")</f>
        <v/>
      </c>
      <c r="X498" t="str">
        <f t="shared" si="54"/>
        <v/>
      </c>
      <c r="Y498">
        <v>0</v>
      </c>
      <c r="Z498" t="str">
        <f>IF(Y498&lt;&gt;0,VLOOKUP(VLOOKUP(Y498,Tbl_Effect[],3,FALSE),EffectName[],IFERROR(MATCH(UI!$B$1,EffectName[#Headers],0),2),FALSE),"")</f>
        <v/>
      </c>
      <c r="AA498" t="str">
        <f t="shared" si="55"/>
        <v/>
      </c>
      <c r="AB498">
        <v>0</v>
      </c>
      <c r="AC498" t="str">
        <f>IF(AB498&lt;&gt;0,VLOOKUP(VLOOKUP(AB498,Tbl_Effect[],3,FALSE),EffectName[],IFERROR(MATCH(UI!$B$1,EffectName[#Headers],0),2),FALSE),"")</f>
        <v/>
      </c>
    </row>
    <row r="499" spans="8:29" x14ac:dyDescent="0.4">
      <c r="H499" t="str">
        <f t="shared" si="49"/>
        <v>1006022-遼闊的火燃情景 (紅)</v>
      </c>
      <c r="I499">
        <v>1006022</v>
      </c>
      <c r="J499" t="str">
        <f>_xlfn.IFNA(IF(I499&lt;&gt;0,VLOOKUP(VLOOKUP(I499,Tbl_Equip[],2,FALSE),Tbl_Color[],IFERROR(MATCH(UI!$B$1,Tbl_Color[#Headers],0),2),FALSE),""),"Unset")</f>
        <v>紅</v>
      </c>
      <c r="K499" t="str">
        <f>_xlfn.IFNA(IF(I499&lt;&gt;0,VLOOKUP(I499,ItemText[],IFERROR(MATCH(UI!$B$1,ItemText[#Headers],0),2),FALSE),""),"Unset")</f>
        <v>遼闊的火燃情景</v>
      </c>
      <c r="L499" t="str">
        <f t="shared" si="50"/>
        <v/>
      </c>
      <c r="M499">
        <v>0</v>
      </c>
      <c r="N499" t="str">
        <f>IF(VALUE(M499)=0,"",VLOOKUP(VLOOKUP(M499,Tbl_Effect[],3,FALSE),EffectName[],IFERROR(MATCH(UI!$B$1,EffectName[#Headers],0),2),FALSE))</f>
        <v/>
      </c>
      <c r="O499" t="str">
        <f t="shared" si="51"/>
        <v/>
      </c>
      <c r="P499">
        <v>0</v>
      </c>
      <c r="Q499" t="str">
        <f>IF(VALUE(P499)=0,"",VLOOKUP(VLOOKUP(P499,Tbl_Effect[],3,FALSE),EffectName[],IFERROR(MATCH(UI!$B$1,EffectName[#Headers],0),2),FALSE))</f>
        <v/>
      </c>
      <c r="R499" t="str">
        <f t="shared" si="52"/>
        <v/>
      </c>
      <c r="S499">
        <v>0</v>
      </c>
      <c r="T499" t="str">
        <f>IF(VALUE(S499)=0,"",VLOOKUP(VLOOKUP(S499,Tbl_Effect[],3,FALSE),EffectName[],IFERROR(MATCH(UI!$B$1,EffectName[#Headers],0),2),FALSE))</f>
        <v/>
      </c>
      <c r="U499" t="str">
        <f t="shared" si="53"/>
        <v/>
      </c>
      <c r="V499">
        <v>0</v>
      </c>
      <c r="W499" t="str">
        <f>IF(V499&lt;&gt;0,VLOOKUP(VLOOKUP(V499,Tbl_Effect[],3,FALSE),EffectName[],IFERROR(MATCH(UI!$B$1,EffectName[#Headers],0),2),FALSE),"")</f>
        <v/>
      </c>
      <c r="X499" t="str">
        <f t="shared" si="54"/>
        <v/>
      </c>
      <c r="Y499">
        <v>0</v>
      </c>
      <c r="Z499" t="str">
        <f>IF(Y499&lt;&gt;0,VLOOKUP(VLOOKUP(Y499,Tbl_Effect[],3,FALSE),EffectName[],IFERROR(MATCH(UI!$B$1,EffectName[#Headers],0),2),FALSE),"")</f>
        <v/>
      </c>
      <c r="AA499" t="str">
        <f t="shared" si="55"/>
        <v/>
      </c>
      <c r="AB499">
        <v>0</v>
      </c>
      <c r="AC499" t="str">
        <f>IF(AB499&lt;&gt;0,VLOOKUP(VLOOKUP(AB499,Tbl_Effect[],3,FALSE),EffectName[],IFERROR(MATCH(UI!$B$1,EffectName[#Headers],0),2),FALSE),"")</f>
        <v/>
      </c>
    </row>
    <row r="500" spans="8:29" x14ac:dyDescent="0.4">
      <c r="H500" t="str">
        <f t="shared" si="49"/>
        <v>1006100-細膩的水滴情景 (藍)</v>
      </c>
      <c r="I500">
        <v>1006100</v>
      </c>
      <c r="J500" t="str">
        <f>_xlfn.IFNA(IF(I500&lt;&gt;0,VLOOKUP(VLOOKUP(I500,Tbl_Equip[],2,FALSE),Tbl_Color[],IFERROR(MATCH(UI!$B$1,Tbl_Color[#Headers],0),2),FALSE),""),"Unset")</f>
        <v>藍</v>
      </c>
      <c r="K500" t="str">
        <f>_xlfn.IFNA(IF(I500&lt;&gt;0,VLOOKUP(I500,ItemText[],IFERROR(MATCH(UI!$B$1,ItemText[#Headers],0),2),FALSE),""),"Unset")</f>
        <v>細膩的水滴情景</v>
      </c>
      <c r="L500" t="str">
        <f t="shared" si="50"/>
        <v/>
      </c>
      <c r="M500">
        <v>0</v>
      </c>
      <c r="N500" t="str">
        <f>IF(VALUE(M500)=0,"",VLOOKUP(VLOOKUP(M500,Tbl_Effect[],3,FALSE),EffectName[],IFERROR(MATCH(UI!$B$1,EffectName[#Headers],0),2),FALSE))</f>
        <v/>
      </c>
      <c r="O500" t="str">
        <f t="shared" si="51"/>
        <v/>
      </c>
      <c r="P500">
        <v>0</v>
      </c>
      <c r="Q500" t="str">
        <f>IF(VALUE(P500)=0,"",VLOOKUP(VLOOKUP(P500,Tbl_Effect[],3,FALSE),EffectName[],IFERROR(MATCH(UI!$B$1,EffectName[#Headers],0),2),FALSE))</f>
        <v/>
      </c>
      <c r="R500" t="str">
        <f t="shared" si="52"/>
        <v/>
      </c>
      <c r="S500">
        <v>0</v>
      </c>
      <c r="T500" t="str">
        <f>IF(VALUE(S500)=0,"",VLOOKUP(VLOOKUP(S500,Tbl_Effect[],3,FALSE),EffectName[],IFERROR(MATCH(UI!$B$1,EffectName[#Headers],0),2),FALSE))</f>
        <v/>
      </c>
      <c r="U500" t="str">
        <f t="shared" si="53"/>
        <v/>
      </c>
      <c r="V500">
        <v>0</v>
      </c>
      <c r="W500" t="str">
        <f>IF(V500&lt;&gt;0,VLOOKUP(VLOOKUP(V500,Tbl_Effect[],3,FALSE),EffectName[],IFERROR(MATCH(UI!$B$1,EffectName[#Headers],0),2),FALSE),"")</f>
        <v/>
      </c>
      <c r="X500" t="str">
        <f t="shared" si="54"/>
        <v/>
      </c>
      <c r="Y500">
        <v>0</v>
      </c>
      <c r="Z500" t="str">
        <f>IF(Y500&lt;&gt;0,VLOOKUP(VLOOKUP(Y500,Tbl_Effect[],3,FALSE),EffectName[],IFERROR(MATCH(UI!$B$1,EffectName[#Headers],0),2),FALSE),"")</f>
        <v/>
      </c>
      <c r="AA500" t="str">
        <f t="shared" si="55"/>
        <v/>
      </c>
      <c r="AB500">
        <v>0</v>
      </c>
      <c r="AC500" t="str">
        <f>IF(AB500&lt;&gt;0,VLOOKUP(VLOOKUP(AB500,Tbl_Effect[],3,FALSE),EffectName[],IFERROR(MATCH(UI!$B$1,EffectName[#Headers],0),2),FALSE),"")</f>
        <v/>
      </c>
    </row>
    <row r="501" spans="8:29" x14ac:dyDescent="0.4">
      <c r="H501" t="str">
        <f t="shared" si="49"/>
        <v>1006101-端正的水滴情景 (藍)</v>
      </c>
      <c r="I501">
        <v>1006101</v>
      </c>
      <c r="J501" t="str">
        <f>_xlfn.IFNA(IF(I501&lt;&gt;0,VLOOKUP(VLOOKUP(I501,Tbl_Equip[],2,FALSE),Tbl_Color[],IFERROR(MATCH(UI!$B$1,Tbl_Color[#Headers],0),2),FALSE),""),"Unset")</f>
        <v>藍</v>
      </c>
      <c r="K501" t="str">
        <f>_xlfn.IFNA(IF(I501&lt;&gt;0,VLOOKUP(I501,ItemText[],IFERROR(MATCH(UI!$B$1,ItemText[#Headers],0),2),FALSE),""),"Unset")</f>
        <v>端正的水滴情景</v>
      </c>
      <c r="L501" t="str">
        <f t="shared" si="50"/>
        <v/>
      </c>
      <c r="M501">
        <v>0</v>
      </c>
      <c r="N501" t="str">
        <f>IF(VALUE(M501)=0,"",VLOOKUP(VLOOKUP(M501,Tbl_Effect[],3,FALSE),EffectName[],IFERROR(MATCH(UI!$B$1,EffectName[#Headers],0),2),FALSE))</f>
        <v/>
      </c>
      <c r="O501" t="str">
        <f t="shared" si="51"/>
        <v/>
      </c>
      <c r="P501">
        <v>0</v>
      </c>
      <c r="Q501" t="str">
        <f>IF(VALUE(P501)=0,"",VLOOKUP(VLOOKUP(P501,Tbl_Effect[],3,FALSE),EffectName[],IFERROR(MATCH(UI!$B$1,EffectName[#Headers],0),2),FALSE))</f>
        <v/>
      </c>
      <c r="R501" t="str">
        <f t="shared" si="52"/>
        <v/>
      </c>
      <c r="S501">
        <v>0</v>
      </c>
      <c r="T501" t="str">
        <f>IF(VALUE(S501)=0,"",VLOOKUP(VLOOKUP(S501,Tbl_Effect[],3,FALSE),EffectName[],IFERROR(MATCH(UI!$B$1,EffectName[#Headers],0),2),FALSE))</f>
        <v/>
      </c>
      <c r="U501" t="str">
        <f t="shared" si="53"/>
        <v/>
      </c>
      <c r="V501">
        <v>0</v>
      </c>
      <c r="W501" t="str">
        <f>IF(V501&lt;&gt;0,VLOOKUP(VLOOKUP(V501,Tbl_Effect[],3,FALSE),EffectName[],IFERROR(MATCH(UI!$B$1,EffectName[#Headers],0),2),FALSE),"")</f>
        <v/>
      </c>
      <c r="X501" t="str">
        <f t="shared" si="54"/>
        <v/>
      </c>
      <c r="Y501">
        <v>0</v>
      </c>
      <c r="Z501" t="str">
        <f>IF(Y501&lt;&gt;0,VLOOKUP(VLOOKUP(Y501,Tbl_Effect[],3,FALSE),EffectName[],IFERROR(MATCH(UI!$B$1,EffectName[#Headers],0),2),FALSE),"")</f>
        <v/>
      </c>
      <c r="AA501" t="str">
        <f t="shared" si="55"/>
        <v/>
      </c>
      <c r="AB501">
        <v>0</v>
      </c>
      <c r="AC501" t="str">
        <f>IF(AB501&lt;&gt;0,VLOOKUP(VLOOKUP(AB501,Tbl_Effect[],3,FALSE),EffectName[],IFERROR(MATCH(UI!$B$1,EffectName[#Headers],0),2),FALSE),"")</f>
        <v/>
      </c>
    </row>
    <row r="502" spans="8:29" x14ac:dyDescent="0.4">
      <c r="H502" t="str">
        <f t="shared" si="49"/>
        <v>1006102-遼闊的水滴情景 (藍)</v>
      </c>
      <c r="I502">
        <v>1006102</v>
      </c>
      <c r="J502" t="str">
        <f>_xlfn.IFNA(IF(I502&lt;&gt;0,VLOOKUP(VLOOKUP(I502,Tbl_Equip[],2,FALSE),Tbl_Color[],IFERROR(MATCH(UI!$B$1,Tbl_Color[#Headers],0),2),FALSE),""),"Unset")</f>
        <v>藍</v>
      </c>
      <c r="K502" t="str">
        <f>_xlfn.IFNA(IF(I502&lt;&gt;0,VLOOKUP(I502,ItemText[],IFERROR(MATCH(UI!$B$1,ItemText[#Headers],0),2),FALSE),""),"Unset")</f>
        <v>遼闊的水滴情景</v>
      </c>
      <c r="L502" t="str">
        <f t="shared" si="50"/>
        <v/>
      </c>
      <c r="M502">
        <v>0</v>
      </c>
      <c r="N502" t="str">
        <f>IF(VALUE(M502)=0,"",VLOOKUP(VLOOKUP(M502,Tbl_Effect[],3,FALSE),EffectName[],IFERROR(MATCH(UI!$B$1,EffectName[#Headers],0),2),FALSE))</f>
        <v/>
      </c>
      <c r="O502" t="str">
        <f t="shared" si="51"/>
        <v/>
      </c>
      <c r="P502">
        <v>0</v>
      </c>
      <c r="Q502" t="str">
        <f>IF(VALUE(P502)=0,"",VLOOKUP(VLOOKUP(P502,Tbl_Effect[],3,FALSE),EffectName[],IFERROR(MATCH(UI!$B$1,EffectName[#Headers],0),2),FALSE))</f>
        <v/>
      </c>
      <c r="R502" t="str">
        <f t="shared" si="52"/>
        <v/>
      </c>
      <c r="S502">
        <v>0</v>
      </c>
      <c r="T502" t="str">
        <f>IF(VALUE(S502)=0,"",VLOOKUP(VLOOKUP(S502,Tbl_Effect[],3,FALSE),EffectName[],IFERROR(MATCH(UI!$B$1,EffectName[#Headers],0),2),FALSE))</f>
        <v/>
      </c>
      <c r="U502" t="str">
        <f t="shared" si="53"/>
        <v/>
      </c>
      <c r="V502">
        <v>0</v>
      </c>
      <c r="W502" t="str">
        <f>IF(V502&lt;&gt;0,VLOOKUP(VLOOKUP(V502,Tbl_Effect[],3,FALSE),EffectName[],IFERROR(MATCH(UI!$B$1,EffectName[#Headers],0),2),FALSE),"")</f>
        <v/>
      </c>
      <c r="X502" t="str">
        <f t="shared" si="54"/>
        <v/>
      </c>
      <c r="Y502">
        <v>0</v>
      </c>
      <c r="Z502" t="str">
        <f>IF(Y502&lt;&gt;0,VLOOKUP(VLOOKUP(Y502,Tbl_Effect[],3,FALSE),EffectName[],IFERROR(MATCH(UI!$B$1,EffectName[#Headers],0),2),FALSE),"")</f>
        <v/>
      </c>
      <c r="AA502" t="str">
        <f t="shared" si="55"/>
        <v/>
      </c>
      <c r="AB502">
        <v>0</v>
      </c>
      <c r="AC502" t="str">
        <f>IF(AB502&lt;&gt;0,VLOOKUP(VLOOKUP(AB502,Tbl_Effect[],3,FALSE),EffectName[],IFERROR(MATCH(UI!$B$1,EffectName[#Headers],0),2),FALSE),"")</f>
        <v/>
      </c>
    </row>
    <row r="503" spans="8:29" x14ac:dyDescent="0.4">
      <c r="H503" t="str">
        <f t="shared" si="49"/>
        <v>1006110-細膩的水滴情景 (藍)</v>
      </c>
      <c r="I503">
        <v>1006110</v>
      </c>
      <c r="J503" t="str">
        <f>_xlfn.IFNA(IF(I503&lt;&gt;0,VLOOKUP(VLOOKUP(I503,Tbl_Equip[],2,FALSE),Tbl_Color[],IFERROR(MATCH(UI!$B$1,Tbl_Color[#Headers],0),2),FALSE),""),"Unset")</f>
        <v>藍</v>
      </c>
      <c r="K503" t="str">
        <f>_xlfn.IFNA(IF(I503&lt;&gt;0,VLOOKUP(I503,ItemText[],IFERROR(MATCH(UI!$B$1,ItemText[#Headers],0),2),FALSE),""),"Unset")</f>
        <v>細膩的水滴情景</v>
      </c>
      <c r="L503" t="str">
        <f t="shared" si="50"/>
        <v/>
      </c>
      <c r="M503">
        <v>0</v>
      </c>
      <c r="N503" t="str">
        <f>IF(VALUE(M503)=0,"",VLOOKUP(VLOOKUP(M503,Tbl_Effect[],3,FALSE),EffectName[],IFERROR(MATCH(UI!$B$1,EffectName[#Headers],0),2),FALSE))</f>
        <v/>
      </c>
      <c r="O503" t="str">
        <f t="shared" si="51"/>
        <v/>
      </c>
      <c r="P503">
        <v>0</v>
      </c>
      <c r="Q503" t="str">
        <f>IF(VALUE(P503)=0,"",VLOOKUP(VLOOKUP(P503,Tbl_Effect[],3,FALSE),EffectName[],IFERROR(MATCH(UI!$B$1,EffectName[#Headers],0),2),FALSE))</f>
        <v/>
      </c>
      <c r="R503" t="str">
        <f t="shared" si="52"/>
        <v/>
      </c>
      <c r="S503">
        <v>0</v>
      </c>
      <c r="T503" t="str">
        <f>IF(VALUE(S503)=0,"",VLOOKUP(VLOOKUP(S503,Tbl_Effect[],3,FALSE),EffectName[],IFERROR(MATCH(UI!$B$1,EffectName[#Headers],0),2),FALSE))</f>
        <v/>
      </c>
      <c r="U503" t="str">
        <f t="shared" si="53"/>
        <v/>
      </c>
      <c r="V503">
        <v>0</v>
      </c>
      <c r="W503" t="str">
        <f>IF(V503&lt;&gt;0,VLOOKUP(VLOOKUP(V503,Tbl_Effect[],3,FALSE),EffectName[],IFERROR(MATCH(UI!$B$1,EffectName[#Headers],0),2),FALSE),"")</f>
        <v/>
      </c>
      <c r="X503" t="str">
        <f t="shared" si="54"/>
        <v/>
      </c>
      <c r="Y503">
        <v>0</v>
      </c>
      <c r="Z503" t="str">
        <f>IF(Y503&lt;&gt;0,VLOOKUP(VLOOKUP(Y503,Tbl_Effect[],3,FALSE),EffectName[],IFERROR(MATCH(UI!$B$1,EffectName[#Headers],0),2),FALSE),"")</f>
        <v/>
      </c>
      <c r="AA503" t="str">
        <f t="shared" si="55"/>
        <v/>
      </c>
      <c r="AB503">
        <v>0</v>
      </c>
      <c r="AC503" t="str">
        <f>IF(AB503&lt;&gt;0,VLOOKUP(VLOOKUP(AB503,Tbl_Effect[],3,FALSE),EffectName[],IFERROR(MATCH(UI!$B$1,EffectName[#Headers],0),2),FALSE),"")</f>
        <v/>
      </c>
    </row>
    <row r="504" spans="8:29" x14ac:dyDescent="0.4">
      <c r="H504" t="str">
        <f t="shared" si="49"/>
        <v>1006111-端正的水滴情景 (藍)</v>
      </c>
      <c r="I504">
        <v>1006111</v>
      </c>
      <c r="J504" t="str">
        <f>_xlfn.IFNA(IF(I504&lt;&gt;0,VLOOKUP(VLOOKUP(I504,Tbl_Equip[],2,FALSE),Tbl_Color[],IFERROR(MATCH(UI!$B$1,Tbl_Color[#Headers],0),2),FALSE),""),"Unset")</f>
        <v>藍</v>
      </c>
      <c r="K504" t="str">
        <f>_xlfn.IFNA(IF(I504&lt;&gt;0,VLOOKUP(I504,ItemText[],IFERROR(MATCH(UI!$B$1,ItemText[#Headers],0),2),FALSE),""),"Unset")</f>
        <v>端正的水滴情景</v>
      </c>
      <c r="L504" t="str">
        <f t="shared" si="50"/>
        <v/>
      </c>
      <c r="M504">
        <v>0</v>
      </c>
      <c r="N504" t="str">
        <f>IF(VALUE(M504)=0,"",VLOOKUP(VLOOKUP(M504,Tbl_Effect[],3,FALSE),EffectName[],IFERROR(MATCH(UI!$B$1,EffectName[#Headers],0),2),FALSE))</f>
        <v/>
      </c>
      <c r="O504" t="str">
        <f t="shared" si="51"/>
        <v/>
      </c>
      <c r="P504">
        <v>0</v>
      </c>
      <c r="Q504" t="str">
        <f>IF(VALUE(P504)=0,"",VLOOKUP(VLOOKUP(P504,Tbl_Effect[],3,FALSE),EffectName[],IFERROR(MATCH(UI!$B$1,EffectName[#Headers],0),2),FALSE))</f>
        <v/>
      </c>
      <c r="R504" t="str">
        <f t="shared" si="52"/>
        <v/>
      </c>
      <c r="S504">
        <v>0</v>
      </c>
      <c r="T504" t="str">
        <f>IF(VALUE(S504)=0,"",VLOOKUP(VLOOKUP(S504,Tbl_Effect[],3,FALSE),EffectName[],IFERROR(MATCH(UI!$B$1,EffectName[#Headers],0),2),FALSE))</f>
        <v/>
      </c>
      <c r="U504" t="str">
        <f t="shared" si="53"/>
        <v/>
      </c>
      <c r="V504">
        <v>0</v>
      </c>
      <c r="W504" t="str">
        <f>IF(V504&lt;&gt;0,VLOOKUP(VLOOKUP(V504,Tbl_Effect[],3,FALSE),EffectName[],IFERROR(MATCH(UI!$B$1,EffectName[#Headers],0),2),FALSE),"")</f>
        <v/>
      </c>
      <c r="X504" t="str">
        <f t="shared" si="54"/>
        <v/>
      </c>
      <c r="Y504">
        <v>0</v>
      </c>
      <c r="Z504" t="str">
        <f>IF(Y504&lt;&gt;0,VLOOKUP(VLOOKUP(Y504,Tbl_Effect[],3,FALSE),EffectName[],IFERROR(MATCH(UI!$B$1,EffectName[#Headers],0),2),FALSE),"")</f>
        <v/>
      </c>
      <c r="AA504" t="str">
        <f t="shared" si="55"/>
        <v/>
      </c>
      <c r="AB504">
        <v>0</v>
      </c>
      <c r="AC504" t="str">
        <f>IF(AB504&lt;&gt;0,VLOOKUP(VLOOKUP(AB504,Tbl_Effect[],3,FALSE),EffectName[],IFERROR(MATCH(UI!$B$1,EffectName[#Headers],0),2),FALSE),"")</f>
        <v/>
      </c>
    </row>
    <row r="505" spans="8:29" x14ac:dyDescent="0.4">
      <c r="H505" t="str">
        <f t="shared" si="49"/>
        <v>1006112-遼闊的水滴情景 (藍)</v>
      </c>
      <c r="I505">
        <v>1006112</v>
      </c>
      <c r="J505" t="str">
        <f>_xlfn.IFNA(IF(I505&lt;&gt;0,VLOOKUP(VLOOKUP(I505,Tbl_Equip[],2,FALSE),Tbl_Color[],IFERROR(MATCH(UI!$B$1,Tbl_Color[#Headers],0),2),FALSE),""),"Unset")</f>
        <v>藍</v>
      </c>
      <c r="K505" t="str">
        <f>_xlfn.IFNA(IF(I505&lt;&gt;0,VLOOKUP(I505,ItemText[],IFERROR(MATCH(UI!$B$1,ItemText[#Headers],0),2),FALSE),""),"Unset")</f>
        <v>遼闊的水滴情景</v>
      </c>
      <c r="L505" t="str">
        <f t="shared" si="50"/>
        <v/>
      </c>
      <c r="M505">
        <v>0</v>
      </c>
      <c r="N505" t="str">
        <f>IF(VALUE(M505)=0,"",VLOOKUP(VLOOKUP(M505,Tbl_Effect[],3,FALSE),EffectName[],IFERROR(MATCH(UI!$B$1,EffectName[#Headers],0),2),FALSE))</f>
        <v/>
      </c>
      <c r="O505" t="str">
        <f t="shared" si="51"/>
        <v/>
      </c>
      <c r="P505">
        <v>0</v>
      </c>
      <c r="Q505" t="str">
        <f>IF(VALUE(P505)=0,"",VLOOKUP(VLOOKUP(P505,Tbl_Effect[],3,FALSE),EffectName[],IFERROR(MATCH(UI!$B$1,EffectName[#Headers],0),2),FALSE))</f>
        <v/>
      </c>
      <c r="R505" t="str">
        <f t="shared" si="52"/>
        <v/>
      </c>
      <c r="S505">
        <v>0</v>
      </c>
      <c r="T505" t="str">
        <f>IF(VALUE(S505)=0,"",VLOOKUP(VLOOKUP(S505,Tbl_Effect[],3,FALSE),EffectName[],IFERROR(MATCH(UI!$B$1,EffectName[#Headers],0),2),FALSE))</f>
        <v/>
      </c>
      <c r="U505" t="str">
        <f t="shared" si="53"/>
        <v/>
      </c>
      <c r="V505">
        <v>0</v>
      </c>
      <c r="W505" t="str">
        <f>IF(V505&lt;&gt;0,VLOOKUP(VLOOKUP(V505,Tbl_Effect[],3,FALSE),EffectName[],IFERROR(MATCH(UI!$B$1,EffectName[#Headers],0),2),FALSE),"")</f>
        <v/>
      </c>
      <c r="X505" t="str">
        <f t="shared" si="54"/>
        <v/>
      </c>
      <c r="Y505">
        <v>0</v>
      </c>
      <c r="Z505" t="str">
        <f>IF(Y505&lt;&gt;0,VLOOKUP(VLOOKUP(Y505,Tbl_Effect[],3,FALSE),EffectName[],IFERROR(MATCH(UI!$B$1,EffectName[#Headers],0),2),FALSE),"")</f>
        <v/>
      </c>
      <c r="AA505" t="str">
        <f t="shared" si="55"/>
        <v/>
      </c>
      <c r="AB505">
        <v>0</v>
      </c>
      <c r="AC505" t="str">
        <f>IF(AB505&lt;&gt;0,VLOOKUP(VLOOKUP(AB505,Tbl_Effect[],3,FALSE),EffectName[],IFERROR(MATCH(UI!$B$1,EffectName[#Headers],0),2),FALSE),"")</f>
        <v/>
      </c>
    </row>
    <row r="506" spans="8:29" x14ac:dyDescent="0.4">
      <c r="H506" t="str">
        <f t="shared" si="49"/>
        <v>1006120-細膩的水滴情景 (藍)</v>
      </c>
      <c r="I506">
        <v>1006120</v>
      </c>
      <c r="J506" t="str">
        <f>_xlfn.IFNA(IF(I506&lt;&gt;0,VLOOKUP(VLOOKUP(I506,Tbl_Equip[],2,FALSE),Tbl_Color[],IFERROR(MATCH(UI!$B$1,Tbl_Color[#Headers],0),2),FALSE),""),"Unset")</f>
        <v>藍</v>
      </c>
      <c r="K506" t="str">
        <f>_xlfn.IFNA(IF(I506&lt;&gt;0,VLOOKUP(I506,ItemText[],IFERROR(MATCH(UI!$B$1,ItemText[#Headers],0),2),FALSE),""),"Unset")</f>
        <v>細膩的水滴情景</v>
      </c>
      <c r="L506" t="str">
        <f t="shared" si="50"/>
        <v/>
      </c>
      <c r="M506">
        <v>0</v>
      </c>
      <c r="N506" t="str">
        <f>IF(VALUE(M506)=0,"",VLOOKUP(VLOOKUP(M506,Tbl_Effect[],3,FALSE),EffectName[],IFERROR(MATCH(UI!$B$1,EffectName[#Headers],0),2),FALSE))</f>
        <v/>
      </c>
      <c r="O506" t="str">
        <f t="shared" si="51"/>
        <v/>
      </c>
      <c r="P506">
        <v>0</v>
      </c>
      <c r="Q506" t="str">
        <f>IF(VALUE(P506)=0,"",VLOOKUP(VLOOKUP(P506,Tbl_Effect[],3,FALSE),EffectName[],IFERROR(MATCH(UI!$B$1,EffectName[#Headers],0),2),FALSE))</f>
        <v/>
      </c>
      <c r="R506" t="str">
        <f t="shared" si="52"/>
        <v/>
      </c>
      <c r="S506">
        <v>0</v>
      </c>
      <c r="T506" t="str">
        <f>IF(VALUE(S506)=0,"",VLOOKUP(VLOOKUP(S506,Tbl_Effect[],3,FALSE),EffectName[],IFERROR(MATCH(UI!$B$1,EffectName[#Headers],0),2),FALSE))</f>
        <v/>
      </c>
      <c r="U506" t="str">
        <f t="shared" si="53"/>
        <v/>
      </c>
      <c r="V506">
        <v>0</v>
      </c>
      <c r="W506" t="str">
        <f>IF(V506&lt;&gt;0,VLOOKUP(VLOOKUP(V506,Tbl_Effect[],3,FALSE),EffectName[],IFERROR(MATCH(UI!$B$1,EffectName[#Headers],0),2),FALSE),"")</f>
        <v/>
      </c>
      <c r="X506" t="str">
        <f t="shared" si="54"/>
        <v/>
      </c>
      <c r="Y506">
        <v>0</v>
      </c>
      <c r="Z506" t="str">
        <f>IF(Y506&lt;&gt;0,VLOOKUP(VLOOKUP(Y506,Tbl_Effect[],3,FALSE),EffectName[],IFERROR(MATCH(UI!$B$1,EffectName[#Headers],0),2),FALSE),"")</f>
        <v/>
      </c>
      <c r="AA506" t="str">
        <f t="shared" si="55"/>
        <v/>
      </c>
      <c r="AB506">
        <v>0</v>
      </c>
      <c r="AC506" t="str">
        <f>IF(AB506&lt;&gt;0,VLOOKUP(VLOOKUP(AB506,Tbl_Effect[],3,FALSE),EffectName[],IFERROR(MATCH(UI!$B$1,EffectName[#Headers],0),2),FALSE),"")</f>
        <v/>
      </c>
    </row>
    <row r="507" spans="8:29" x14ac:dyDescent="0.4">
      <c r="H507" t="str">
        <f t="shared" si="49"/>
        <v>1006121-端正的水滴情景 (藍)</v>
      </c>
      <c r="I507">
        <v>1006121</v>
      </c>
      <c r="J507" t="str">
        <f>_xlfn.IFNA(IF(I507&lt;&gt;0,VLOOKUP(VLOOKUP(I507,Tbl_Equip[],2,FALSE),Tbl_Color[],IFERROR(MATCH(UI!$B$1,Tbl_Color[#Headers],0),2),FALSE),""),"Unset")</f>
        <v>藍</v>
      </c>
      <c r="K507" t="str">
        <f>_xlfn.IFNA(IF(I507&lt;&gt;0,VLOOKUP(I507,ItemText[],IFERROR(MATCH(UI!$B$1,ItemText[#Headers],0),2),FALSE),""),"Unset")</f>
        <v>端正的水滴情景</v>
      </c>
      <c r="L507" t="str">
        <f t="shared" si="50"/>
        <v/>
      </c>
      <c r="M507">
        <v>0</v>
      </c>
      <c r="N507" t="str">
        <f>IF(VALUE(M507)=0,"",VLOOKUP(VLOOKUP(M507,Tbl_Effect[],3,FALSE),EffectName[],IFERROR(MATCH(UI!$B$1,EffectName[#Headers],0),2),FALSE))</f>
        <v/>
      </c>
      <c r="O507" t="str">
        <f t="shared" si="51"/>
        <v/>
      </c>
      <c r="P507">
        <v>0</v>
      </c>
      <c r="Q507" t="str">
        <f>IF(VALUE(P507)=0,"",VLOOKUP(VLOOKUP(P507,Tbl_Effect[],3,FALSE),EffectName[],IFERROR(MATCH(UI!$B$1,EffectName[#Headers],0),2),FALSE))</f>
        <v/>
      </c>
      <c r="R507" t="str">
        <f t="shared" si="52"/>
        <v/>
      </c>
      <c r="S507">
        <v>0</v>
      </c>
      <c r="T507" t="str">
        <f>IF(VALUE(S507)=0,"",VLOOKUP(VLOOKUP(S507,Tbl_Effect[],3,FALSE),EffectName[],IFERROR(MATCH(UI!$B$1,EffectName[#Headers],0),2),FALSE))</f>
        <v/>
      </c>
      <c r="U507" t="str">
        <f t="shared" si="53"/>
        <v/>
      </c>
      <c r="V507">
        <v>0</v>
      </c>
      <c r="W507" t="str">
        <f>IF(V507&lt;&gt;0,VLOOKUP(VLOOKUP(V507,Tbl_Effect[],3,FALSE),EffectName[],IFERROR(MATCH(UI!$B$1,EffectName[#Headers],0),2),FALSE),"")</f>
        <v/>
      </c>
      <c r="X507" t="str">
        <f t="shared" si="54"/>
        <v/>
      </c>
      <c r="Y507">
        <v>0</v>
      </c>
      <c r="Z507" t="str">
        <f>IF(Y507&lt;&gt;0,VLOOKUP(VLOOKUP(Y507,Tbl_Effect[],3,FALSE),EffectName[],IFERROR(MATCH(UI!$B$1,EffectName[#Headers],0),2),FALSE),"")</f>
        <v/>
      </c>
      <c r="AA507" t="str">
        <f t="shared" si="55"/>
        <v/>
      </c>
      <c r="AB507">
        <v>0</v>
      </c>
      <c r="AC507" t="str">
        <f>IF(AB507&lt;&gt;0,VLOOKUP(VLOOKUP(AB507,Tbl_Effect[],3,FALSE),EffectName[],IFERROR(MATCH(UI!$B$1,EffectName[#Headers],0),2),FALSE),"")</f>
        <v/>
      </c>
    </row>
    <row r="508" spans="8:29" x14ac:dyDescent="0.4">
      <c r="H508" t="str">
        <f t="shared" si="49"/>
        <v>1006122-遼闊的水滴情景 (藍)</v>
      </c>
      <c r="I508">
        <v>1006122</v>
      </c>
      <c r="J508" t="str">
        <f>_xlfn.IFNA(IF(I508&lt;&gt;0,VLOOKUP(VLOOKUP(I508,Tbl_Equip[],2,FALSE),Tbl_Color[],IFERROR(MATCH(UI!$B$1,Tbl_Color[#Headers],0),2),FALSE),""),"Unset")</f>
        <v>藍</v>
      </c>
      <c r="K508" t="str">
        <f>_xlfn.IFNA(IF(I508&lt;&gt;0,VLOOKUP(I508,ItemText[],IFERROR(MATCH(UI!$B$1,ItemText[#Headers],0),2),FALSE),""),"Unset")</f>
        <v>遼闊的水滴情景</v>
      </c>
      <c r="L508" t="str">
        <f t="shared" si="50"/>
        <v/>
      </c>
      <c r="M508">
        <v>0</v>
      </c>
      <c r="N508" t="str">
        <f>IF(VALUE(M508)=0,"",VLOOKUP(VLOOKUP(M508,Tbl_Effect[],3,FALSE),EffectName[],IFERROR(MATCH(UI!$B$1,EffectName[#Headers],0),2),FALSE))</f>
        <v/>
      </c>
      <c r="O508" t="str">
        <f t="shared" si="51"/>
        <v/>
      </c>
      <c r="P508">
        <v>0</v>
      </c>
      <c r="Q508" t="str">
        <f>IF(VALUE(P508)=0,"",VLOOKUP(VLOOKUP(P508,Tbl_Effect[],3,FALSE),EffectName[],IFERROR(MATCH(UI!$B$1,EffectName[#Headers],0),2),FALSE))</f>
        <v/>
      </c>
      <c r="R508" t="str">
        <f t="shared" si="52"/>
        <v/>
      </c>
      <c r="S508">
        <v>0</v>
      </c>
      <c r="T508" t="str">
        <f>IF(VALUE(S508)=0,"",VLOOKUP(VLOOKUP(S508,Tbl_Effect[],3,FALSE),EffectName[],IFERROR(MATCH(UI!$B$1,EffectName[#Headers],0),2),FALSE))</f>
        <v/>
      </c>
      <c r="U508" t="str">
        <f t="shared" si="53"/>
        <v/>
      </c>
      <c r="V508">
        <v>0</v>
      </c>
      <c r="W508" t="str">
        <f>IF(V508&lt;&gt;0,VLOOKUP(VLOOKUP(V508,Tbl_Effect[],3,FALSE),EffectName[],IFERROR(MATCH(UI!$B$1,EffectName[#Headers],0),2),FALSE),"")</f>
        <v/>
      </c>
      <c r="X508" t="str">
        <f t="shared" si="54"/>
        <v/>
      </c>
      <c r="Y508">
        <v>0</v>
      </c>
      <c r="Z508" t="str">
        <f>IF(Y508&lt;&gt;0,VLOOKUP(VLOOKUP(Y508,Tbl_Effect[],3,FALSE),EffectName[],IFERROR(MATCH(UI!$B$1,EffectName[#Headers],0),2),FALSE),"")</f>
        <v/>
      </c>
      <c r="AA508" t="str">
        <f t="shared" si="55"/>
        <v/>
      </c>
      <c r="AB508">
        <v>0</v>
      </c>
      <c r="AC508" t="str">
        <f>IF(AB508&lt;&gt;0,VLOOKUP(VLOOKUP(AB508,Tbl_Effect[],3,FALSE),EffectName[],IFERROR(MATCH(UI!$B$1,EffectName[#Headers],0),2),FALSE),"")</f>
        <v/>
      </c>
    </row>
    <row r="509" spans="8:29" x14ac:dyDescent="0.4">
      <c r="H509" t="str">
        <f t="shared" si="49"/>
        <v>1006200-細膩的光耀情景 (黃)</v>
      </c>
      <c r="I509">
        <v>1006200</v>
      </c>
      <c r="J509" t="str">
        <f>_xlfn.IFNA(IF(I509&lt;&gt;0,VLOOKUP(VLOOKUP(I509,Tbl_Equip[],2,FALSE),Tbl_Color[],IFERROR(MATCH(UI!$B$1,Tbl_Color[#Headers],0),2),FALSE),""),"Unset")</f>
        <v>黃</v>
      </c>
      <c r="K509" t="str">
        <f>_xlfn.IFNA(IF(I509&lt;&gt;0,VLOOKUP(I509,ItemText[],IFERROR(MATCH(UI!$B$1,ItemText[#Headers],0),2),FALSE),""),"Unset")</f>
        <v>細膩的光耀情景</v>
      </c>
      <c r="L509" t="str">
        <f t="shared" si="50"/>
        <v/>
      </c>
      <c r="M509">
        <v>0</v>
      </c>
      <c r="N509" t="str">
        <f>IF(VALUE(M509)=0,"",VLOOKUP(VLOOKUP(M509,Tbl_Effect[],3,FALSE),EffectName[],IFERROR(MATCH(UI!$B$1,EffectName[#Headers],0),2),FALSE))</f>
        <v/>
      </c>
      <c r="O509" t="str">
        <f t="shared" si="51"/>
        <v/>
      </c>
      <c r="P509">
        <v>0</v>
      </c>
      <c r="Q509" t="str">
        <f>IF(VALUE(P509)=0,"",VLOOKUP(VLOOKUP(P509,Tbl_Effect[],3,FALSE),EffectName[],IFERROR(MATCH(UI!$B$1,EffectName[#Headers],0),2),FALSE))</f>
        <v/>
      </c>
      <c r="R509" t="str">
        <f t="shared" si="52"/>
        <v/>
      </c>
      <c r="S509">
        <v>0</v>
      </c>
      <c r="T509" t="str">
        <f>IF(VALUE(S509)=0,"",VLOOKUP(VLOOKUP(S509,Tbl_Effect[],3,FALSE),EffectName[],IFERROR(MATCH(UI!$B$1,EffectName[#Headers],0),2),FALSE))</f>
        <v/>
      </c>
      <c r="U509" t="str">
        <f t="shared" si="53"/>
        <v/>
      </c>
      <c r="V509">
        <v>0</v>
      </c>
      <c r="W509" t="str">
        <f>IF(V509&lt;&gt;0,VLOOKUP(VLOOKUP(V509,Tbl_Effect[],3,FALSE),EffectName[],IFERROR(MATCH(UI!$B$1,EffectName[#Headers],0),2),FALSE),"")</f>
        <v/>
      </c>
      <c r="X509" t="str">
        <f t="shared" si="54"/>
        <v/>
      </c>
      <c r="Y509">
        <v>0</v>
      </c>
      <c r="Z509" t="str">
        <f>IF(Y509&lt;&gt;0,VLOOKUP(VLOOKUP(Y509,Tbl_Effect[],3,FALSE),EffectName[],IFERROR(MATCH(UI!$B$1,EffectName[#Headers],0),2),FALSE),"")</f>
        <v/>
      </c>
      <c r="AA509" t="str">
        <f t="shared" si="55"/>
        <v/>
      </c>
      <c r="AB509">
        <v>0</v>
      </c>
      <c r="AC509" t="str">
        <f>IF(AB509&lt;&gt;0,VLOOKUP(VLOOKUP(AB509,Tbl_Effect[],3,FALSE),EffectName[],IFERROR(MATCH(UI!$B$1,EffectName[#Headers],0),2),FALSE),"")</f>
        <v/>
      </c>
    </row>
    <row r="510" spans="8:29" x14ac:dyDescent="0.4">
      <c r="H510" t="str">
        <f t="shared" si="49"/>
        <v>1006201-端正的光耀情景 (黃)</v>
      </c>
      <c r="I510">
        <v>1006201</v>
      </c>
      <c r="J510" t="str">
        <f>_xlfn.IFNA(IF(I510&lt;&gt;0,VLOOKUP(VLOOKUP(I510,Tbl_Equip[],2,FALSE),Tbl_Color[],IFERROR(MATCH(UI!$B$1,Tbl_Color[#Headers],0),2),FALSE),""),"Unset")</f>
        <v>黃</v>
      </c>
      <c r="K510" t="str">
        <f>_xlfn.IFNA(IF(I510&lt;&gt;0,VLOOKUP(I510,ItemText[],IFERROR(MATCH(UI!$B$1,ItemText[#Headers],0),2),FALSE),""),"Unset")</f>
        <v>端正的光耀情景</v>
      </c>
      <c r="L510" t="str">
        <f t="shared" si="50"/>
        <v/>
      </c>
      <c r="M510">
        <v>0</v>
      </c>
      <c r="N510" t="str">
        <f>IF(VALUE(M510)=0,"",VLOOKUP(VLOOKUP(M510,Tbl_Effect[],3,FALSE),EffectName[],IFERROR(MATCH(UI!$B$1,EffectName[#Headers],0),2),FALSE))</f>
        <v/>
      </c>
      <c r="O510" t="str">
        <f t="shared" si="51"/>
        <v/>
      </c>
      <c r="P510">
        <v>0</v>
      </c>
      <c r="Q510" t="str">
        <f>IF(VALUE(P510)=0,"",VLOOKUP(VLOOKUP(P510,Tbl_Effect[],3,FALSE),EffectName[],IFERROR(MATCH(UI!$B$1,EffectName[#Headers],0),2),FALSE))</f>
        <v/>
      </c>
      <c r="R510" t="str">
        <f t="shared" si="52"/>
        <v/>
      </c>
      <c r="S510">
        <v>0</v>
      </c>
      <c r="T510" t="str">
        <f>IF(VALUE(S510)=0,"",VLOOKUP(VLOOKUP(S510,Tbl_Effect[],3,FALSE),EffectName[],IFERROR(MATCH(UI!$B$1,EffectName[#Headers],0),2),FALSE))</f>
        <v/>
      </c>
      <c r="U510" t="str">
        <f t="shared" si="53"/>
        <v/>
      </c>
      <c r="V510">
        <v>0</v>
      </c>
      <c r="W510" t="str">
        <f>IF(V510&lt;&gt;0,VLOOKUP(VLOOKUP(V510,Tbl_Effect[],3,FALSE),EffectName[],IFERROR(MATCH(UI!$B$1,EffectName[#Headers],0),2),FALSE),"")</f>
        <v/>
      </c>
      <c r="X510" t="str">
        <f t="shared" si="54"/>
        <v/>
      </c>
      <c r="Y510">
        <v>0</v>
      </c>
      <c r="Z510" t="str">
        <f>IF(Y510&lt;&gt;0,VLOOKUP(VLOOKUP(Y510,Tbl_Effect[],3,FALSE),EffectName[],IFERROR(MATCH(UI!$B$1,EffectName[#Headers],0),2),FALSE),"")</f>
        <v/>
      </c>
      <c r="AA510" t="str">
        <f t="shared" si="55"/>
        <v/>
      </c>
      <c r="AB510">
        <v>0</v>
      </c>
      <c r="AC510" t="str">
        <f>IF(AB510&lt;&gt;0,VLOOKUP(VLOOKUP(AB510,Tbl_Effect[],3,FALSE),EffectName[],IFERROR(MATCH(UI!$B$1,EffectName[#Headers],0),2),FALSE),"")</f>
        <v/>
      </c>
    </row>
    <row r="511" spans="8:29" x14ac:dyDescent="0.4">
      <c r="H511" t="str">
        <f t="shared" si="49"/>
        <v>1006202-遼闊的光耀情景 (黃)</v>
      </c>
      <c r="I511">
        <v>1006202</v>
      </c>
      <c r="J511" t="str">
        <f>_xlfn.IFNA(IF(I511&lt;&gt;0,VLOOKUP(VLOOKUP(I511,Tbl_Equip[],2,FALSE),Tbl_Color[],IFERROR(MATCH(UI!$B$1,Tbl_Color[#Headers],0),2),FALSE),""),"Unset")</f>
        <v>黃</v>
      </c>
      <c r="K511" t="str">
        <f>_xlfn.IFNA(IF(I511&lt;&gt;0,VLOOKUP(I511,ItemText[],IFERROR(MATCH(UI!$B$1,ItemText[#Headers],0),2),FALSE),""),"Unset")</f>
        <v>遼闊的光耀情景</v>
      </c>
      <c r="L511" t="str">
        <f t="shared" si="50"/>
        <v/>
      </c>
      <c r="M511">
        <v>0</v>
      </c>
      <c r="N511" t="str">
        <f>IF(VALUE(M511)=0,"",VLOOKUP(VLOOKUP(M511,Tbl_Effect[],3,FALSE),EffectName[],IFERROR(MATCH(UI!$B$1,EffectName[#Headers],0),2),FALSE))</f>
        <v/>
      </c>
      <c r="O511" t="str">
        <f t="shared" si="51"/>
        <v/>
      </c>
      <c r="P511">
        <v>0</v>
      </c>
      <c r="Q511" t="str">
        <f>IF(VALUE(P511)=0,"",VLOOKUP(VLOOKUP(P511,Tbl_Effect[],3,FALSE),EffectName[],IFERROR(MATCH(UI!$B$1,EffectName[#Headers],0),2),FALSE))</f>
        <v/>
      </c>
      <c r="R511" t="str">
        <f t="shared" si="52"/>
        <v/>
      </c>
      <c r="S511">
        <v>0</v>
      </c>
      <c r="T511" t="str">
        <f>IF(VALUE(S511)=0,"",VLOOKUP(VLOOKUP(S511,Tbl_Effect[],3,FALSE),EffectName[],IFERROR(MATCH(UI!$B$1,EffectName[#Headers],0),2),FALSE))</f>
        <v/>
      </c>
      <c r="U511" t="str">
        <f t="shared" si="53"/>
        <v/>
      </c>
      <c r="V511">
        <v>0</v>
      </c>
      <c r="W511" t="str">
        <f>IF(V511&lt;&gt;0,VLOOKUP(VLOOKUP(V511,Tbl_Effect[],3,FALSE),EffectName[],IFERROR(MATCH(UI!$B$1,EffectName[#Headers],0),2),FALSE),"")</f>
        <v/>
      </c>
      <c r="X511" t="str">
        <f t="shared" si="54"/>
        <v/>
      </c>
      <c r="Y511">
        <v>0</v>
      </c>
      <c r="Z511" t="str">
        <f>IF(Y511&lt;&gt;0,VLOOKUP(VLOOKUP(Y511,Tbl_Effect[],3,FALSE),EffectName[],IFERROR(MATCH(UI!$B$1,EffectName[#Headers],0),2),FALSE),"")</f>
        <v/>
      </c>
      <c r="AA511" t="str">
        <f t="shared" si="55"/>
        <v/>
      </c>
      <c r="AB511">
        <v>0</v>
      </c>
      <c r="AC511" t="str">
        <f>IF(AB511&lt;&gt;0,VLOOKUP(VLOOKUP(AB511,Tbl_Effect[],3,FALSE),EffectName[],IFERROR(MATCH(UI!$B$1,EffectName[#Headers],0),2),FALSE),"")</f>
        <v/>
      </c>
    </row>
    <row r="512" spans="8:29" x14ac:dyDescent="0.4">
      <c r="H512" t="str">
        <f t="shared" si="49"/>
        <v>1006210-細膩的光耀情景 (黃)</v>
      </c>
      <c r="I512">
        <v>1006210</v>
      </c>
      <c r="J512" t="str">
        <f>_xlfn.IFNA(IF(I512&lt;&gt;0,VLOOKUP(VLOOKUP(I512,Tbl_Equip[],2,FALSE),Tbl_Color[],IFERROR(MATCH(UI!$B$1,Tbl_Color[#Headers],0),2),FALSE),""),"Unset")</f>
        <v>黃</v>
      </c>
      <c r="K512" t="str">
        <f>_xlfn.IFNA(IF(I512&lt;&gt;0,VLOOKUP(I512,ItemText[],IFERROR(MATCH(UI!$B$1,ItemText[#Headers],0),2),FALSE),""),"Unset")</f>
        <v>細膩的光耀情景</v>
      </c>
      <c r="L512" t="str">
        <f t="shared" si="50"/>
        <v/>
      </c>
      <c r="M512">
        <v>0</v>
      </c>
      <c r="N512" t="str">
        <f>IF(VALUE(M512)=0,"",VLOOKUP(VLOOKUP(M512,Tbl_Effect[],3,FALSE),EffectName[],IFERROR(MATCH(UI!$B$1,EffectName[#Headers],0),2),FALSE))</f>
        <v/>
      </c>
      <c r="O512" t="str">
        <f t="shared" si="51"/>
        <v/>
      </c>
      <c r="P512">
        <v>0</v>
      </c>
      <c r="Q512" t="str">
        <f>IF(VALUE(P512)=0,"",VLOOKUP(VLOOKUP(P512,Tbl_Effect[],3,FALSE),EffectName[],IFERROR(MATCH(UI!$B$1,EffectName[#Headers],0),2),FALSE))</f>
        <v/>
      </c>
      <c r="R512" t="str">
        <f t="shared" si="52"/>
        <v/>
      </c>
      <c r="S512">
        <v>0</v>
      </c>
      <c r="T512" t="str">
        <f>IF(VALUE(S512)=0,"",VLOOKUP(VLOOKUP(S512,Tbl_Effect[],3,FALSE),EffectName[],IFERROR(MATCH(UI!$B$1,EffectName[#Headers],0),2),FALSE))</f>
        <v/>
      </c>
      <c r="U512" t="str">
        <f t="shared" si="53"/>
        <v/>
      </c>
      <c r="V512">
        <v>0</v>
      </c>
      <c r="W512" t="str">
        <f>IF(V512&lt;&gt;0,VLOOKUP(VLOOKUP(V512,Tbl_Effect[],3,FALSE),EffectName[],IFERROR(MATCH(UI!$B$1,EffectName[#Headers],0),2),FALSE),"")</f>
        <v/>
      </c>
      <c r="X512" t="str">
        <f t="shared" si="54"/>
        <v/>
      </c>
      <c r="Y512">
        <v>0</v>
      </c>
      <c r="Z512" t="str">
        <f>IF(Y512&lt;&gt;0,VLOOKUP(VLOOKUP(Y512,Tbl_Effect[],3,FALSE),EffectName[],IFERROR(MATCH(UI!$B$1,EffectName[#Headers],0),2),FALSE),"")</f>
        <v/>
      </c>
      <c r="AA512" t="str">
        <f t="shared" si="55"/>
        <v/>
      </c>
      <c r="AB512">
        <v>0</v>
      </c>
      <c r="AC512" t="str">
        <f>IF(AB512&lt;&gt;0,VLOOKUP(VLOOKUP(AB512,Tbl_Effect[],3,FALSE),EffectName[],IFERROR(MATCH(UI!$B$1,EffectName[#Headers],0),2),FALSE),"")</f>
        <v/>
      </c>
    </row>
    <row r="513" spans="8:29" x14ac:dyDescent="0.4">
      <c r="H513" t="str">
        <f t="shared" si="49"/>
        <v>1006211-端正的光耀情景 (黃)</v>
      </c>
      <c r="I513">
        <v>1006211</v>
      </c>
      <c r="J513" t="str">
        <f>_xlfn.IFNA(IF(I513&lt;&gt;0,VLOOKUP(VLOOKUP(I513,Tbl_Equip[],2,FALSE),Tbl_Color[],IFERROR(MATCH(UI!$B$1,Tbl_Color[#Headers],0),2),FALSE),""),"Unset")</f>
        <v>黃</v>
      </c>
      <c r="K513" t="str">
        <f>_xlfn.IFNA(IF(I513&lt;&gt;0,VLOOKUP(I513,ItemText[],IFERROR(MATCH(UI!$B$1,ItemText[#Headers],0),2),FALSE),""),"Unset")</f>
        <v>端正的光耀情景</v>
      </c>
      <c r="L513" t="str">
        <f t="shared" si="50"/>
        <v/>
      </c>
      <c r="M513">
        <v>0</v>
      </c>
      <c r="N513" t="str">
        <f>IF(VALUE(M513)=0,"",VLOOKUP(VLOOKUP(M513,Tbl_Effect[],3,FALSE),EffectName[],IFERROR(MATCH(UI!$B$1,EffectName[#Headers],0),2),FALSE))</f>
        <v/>
      </c>
      <c r="O513" t="str">
        <f t="shared" si="51"/>
        <v/>
      </c>
      <c r="P513">
        <v>0</v>
      </c>
      <c r="Q513" t="str">
        <f>IF(VALUE(P513)=0,"",VLOOKUP(VLOOKUP(P513,Tbl_Effect[],3,FALSE),EffectName[],IFERROR(MATCH(UI!$B$1,EffectName[#Headers],0),2),FALSE))</f>
        <v/>
      </c>
      <c r="R513" t="str">
        <f t="shared" si="52"/>
        <v/>
      </c>
      <c r="S513">
        <v>0</v>
      </c>
      <c r="T513" t="str">
        <f>IF(VALUE(S513)=0,"",VLOOKUP(VLOOKUP(S513,Tbl_Effect[],3,FALSE),EffectName[],IFERROR(MATCH(UI!$B$1,EffectName[#Headers],0),2),FALSE))</f>
        <v/>
      </c>
      <c r="U513" t="str">
        <f t="shared" si="53"/>
        <v/>
      </c>
      <c r="V513">
        <v>0</v>
      </c>
      <c r="W513" t="str">
        <f>IF(V513&lt;&gt;0,VLOOKUP(VLOOKUP(V513,Tbl_Effect[],3,FALSE),EffectName[],IFERROR(MATCH(UI!$B$1,EffectName[#Headers],0),2),FALSE),"")</f>
        <v/>
      </c>
      <c r="X513" t="str">
        <f t="shared" si="54"/>
        <v/>
      </c>
      <c r="Y513">
        <v>0</v>
      </c>
      <c r="Z513" t="str">
        <f>IF(Y513&lt;&gt;0,VLOOKUP(VLOOKUP(Y513,Tbl_Effect[],3,FALSE),EffectName[],IFERROR(MATCH(UI!$B$1,EffectName[#Headers],0),2),FALSE),"")</f>
        <v/>
      </c>
      <c r="AA513" t="str">
        <f t="shared" si="55"/>
        <v/>
      </c>
      <c r="AB513">
        <v>0</v>
      </c>
      <c r="AC513" t="str">
        <f>IF(AB513&lt;&gt;0,VLOOKUP(VLOOKUP(AB513,Tbl_Effect[],3,FALSE),EffectName[],IFERROR(MATCH(UI!$B$1,EffectName[#Headers],0),2),FALSE),"")</f>
        <v/>
      </c>
    </row>
    <row r="514" spans="8:29" x14ac:dyDescent="0.4">
      <c r="H514" t="str">
        <f t="shared" si="49"/>
        <v>1006212-遼闊的光耀情景 (黃)</v>
      </c>
      <c r="I514">
        <v>1006212</v>
      </c>
      <c r="J514" t="str">
        <f>_xlfn.IFNA(IF(I514&lt;&gt;0,VLOOKUP(VLOOKUP(I514,Tbl_Equip[],2,FALSE),Tbl_Color[],IFERROR(MATCH(UI!$B$1,Tbl_Color[#Headers],0),2),FALSE),""),"Unset")</f>
        <v>黃</v>
      </c>
      <c r="K514" t="str">
        <f>_xlfn.IFNA(IF(I514&lt;&gt;0,VLOOKUP(I514,ItemText[],IFERROR(MATCH(UI!$B$1,ItemText[#Headers],0),2),FALSE),""),"Unset")</f>
        <v>遼闊的光耀情景</v>
      </c>
      <c r="L514" t="str">
        <f t="shared" si="50"/>
        <v/>
      </c>
      <c r="M514">
        <v>0</v>
      </c>
      <c r="N514" t="str">
        <f>IF(VALUE(M514)=0,"",VLOOKUP(VLOOKUP(M514,Tbl_Effect[],3,FALSE),EffectName[],IFERROR(MATCH(UI!$B$1,EffectName[#Headers],0),2),FALSE))</f>
        <v/>
      </c>
      <c r="O514" t="str">
        <f t="shared" si="51"/>
        <v/>
      </c>
      <c r="P514">
        <v>0</v>
      </c>
      <c r="Q514" t="str">
        <f>IF(VALUE(P514)=0,"",VLOOKUP(VLOOKUP(P514,Tbl_Effect[],3,FALSE),EffectName[],IFERROR(MATCH(UI!$B$1,EffectName[#Headers],0),2),FALSE))</f>
        <v/>
      </c>
      <c r="R514" t="str">
        <f t="shared" si="52"/>
        <v/>
      </c>
      <c r="S514">
        <v>0</v>
      </c>
      <c r="T514" t="str">
        <f>IF(VALUE(S514)=0,"",VLOOKUP(VLOOKUP(S514,Tbl_Effect[],3,FALSE),EffectName[],IFERROR(MATCH(UI!$B$1,EffectName[#Headers],0),2),FALSE))</f>
        <v/>
      </c>
      <c r="U514" t="str">
        <f t="shared" si="53"/>
        <v/>
      </c>
      <c r="V514">
        <v>0</v>
      </c>
      <c r="W514" t="str">
        <f>IF(V514&lt;&gt;0,VLOOKUP(VLOOKUP(V514,Tbl_Effect[],3,FALSE),EffectName[],IFERROR(MATCH(UI!$B$1,EffectName[#Headers],0),2),FALSE),"")</f>
        <v/>
      </c>
      <c r="X514" t="str">
        <f t="shared" si="54"/>
        <v/>
      </c>
      <c r="Y514">
        <v>0</v>
      </c>
      <c r="Z514" t="str">
        <f>IF(Y514&lt;&gt;0,VLOOKUP(VLOOKUP(Y514,Tbl_Effect[],3,FALSE),EffectName[],IFERROR(MATCH(UI!$B$1,EffectName[#Headers],0),2),FALSE),"")</f>
        <v/>
      </c>
      <c r="AA514" t="str">
        <f t="shared" si="55"/>
        <v/>
      </c>
      <c r="AB514">
        <v>0</v>
      </c>
      <c r="AC514" t="str">
        <f>IF(AB514&lt;&gt;0,VLOOKUP(VLOOKUP(AB514,Tbl_Effect[],3,FALSE),EffectName[],IFERROR(MATCH(UI!$B$1,EffectName[#Headers],0),2),FALSE),"")</f>
        <v/>
      </c>
    </row>
    <row r="515" spans="8:29" x14ac:dyDescent="0.4">
      <c r="H515" t="str">
        <f t="shared" ref="H515:H578" si="56">IF(VALUE(I515)&lt;&gt;0,I515&amp;"-"&amp;K515&amp;" ("&amp;J515&amp;")","")</f>
        <v>1006220-細膩的光耀情景 (黃)</v>
      </c>
      <c r="I515">
        <v>1006220</v>
      </c>
      <c r="J515" t="str">
        <f>_xlfn.IFNA(IF(I515&lt;&gt;0,VLOOKUP(VLOOKUP(I515,Tbl_Equip[],2,FALSE),Tbl_Color[],IFERROR(MATCH(UI!$B$1,Tbl_Color[#Headers],0),2),FALSE),""),"Unset")</f>
        <v>黃</v>
      </c>
      <c r="K515" t="str">
        <f>_xlfn.IFNA(IF(I515&lt;&gt;0,VLOOKUP(I515,ItemText[],IFERROR(MATCH(UI!$B$1,ItemText[#Headers],0),2),FALSE),""),"Unset")</f>
        <v>細膩的光耀情景</v>
      </c>
      <c r="L515" t="str">
        <f t="shared" ref="L515:L578" si="57">IF(VALUE(M515)=0,"",M515&amp;"-"&amp;N515)</f>
        <v/>
      </c>
      <c r="M515">
        <v>0</v>
      </c>
      <c r="N515" t="str">
        <f>IF(VALUE(M515)=0,"",VLOOKUP(VLOOKUP(M515,Tbl_Effect[],3,FALSE),EffectName[],IFERROR(MATCH(UI!$B$1,EffectName[#Headers],0),2),FALSE))</f>
        <v/>
      </c>
      <c r="O515" t="str">
        <f t="shared" ref="O515:O578" si="58">IF(VALUE(P515)=0,"",P515&amp;"-"&amp;Q515)</f>
        <v/>
      </c>
      <c r="P515">
        <v>0</v>
      </c>
      <c r="Q515" t="str">
        <f>IF(VALUE(P515)=0,"",VLOOKUP(VLOOKUP(P515,Tbl_Effect[],3,FALSE),EffectName[],IFERROR(MATCH(UI!$B$1,EffectName[#Headers],0),2),FALSE))</f>
        <v/>
      </c>
      <c r="R515" t="str">
        <f t="shared" ref="R515:R578" si="59">IF(VALUE(S515)=0,"",S515&amp;"-"&amp;T515)</f>
        <v/>
      </c>
      <c r="S515">
        <v>0</v>
      </c>
      <c r="T515" t="str">
        <f>IF(VALUE(S515)=0,"",VLOOKUP(VLOOKUP(S515,Tbl_Effect[],3,FALSE),EffectName[],IFERROR(MATCH(UI!$B$1,EffectName[#Headers],0),2),FALSE))</f>
        <v/>
      </c>
      <c r="U515" t="str">
        <f t="shared" ref="U515:U578" si="60">IF(VALUE(V515)=0,"",V515&amp;"-"&amp;W515)</f>
        <v/>
      </c>
      <c r="V515">
        <v>0</v>
      </c>
      <c r="W515" t="str">
        <f>IF(V515&lt;&gt;0,VLOOKUP(VLOOKUP(V515,Tbl_Effect[],3,FALSE),EffectName[],IFERROR(MATCH(UI!$B$1,EffectName[#Headers],0),2),FALSE),"")</f>
        <v/>
      </c>
      <c r="X515" t="str">
        <f t="shared" ref="X515:X578" si="61">IF(VALUE(Y515)=0,"",Y515&amp;"-"&amp;Z515)</f>
        <v/>
      </c>
      <c r="Y515">
        <v>0</v>
      </c>
      <c r="Z515" t="str">
        <f>IF(Y515&lt;&gt;0,VLOOKUP(VLOOKUP(Y515,Tbl_Effect[],3,FALSE),EffectName[],IFERROR(MATCH(UI!$B$1,EffectName[#Headers],0),2),FALSE),"")</f>
        <v/>
      </c>
      <c r="AA515" t="str">
        <f t="shared" ref="AA515:AA578" si="62">IF(VALUE(AB515)=0,"",AB515&amp;"-"&amp;AC515)</f>
        <v/>
      </c>
      <c r="AB515">
        <v>0</v>
      </c>
      <c r="AC515" t="str">
        <f>IF(AB515&lt;&gt;0,VLOOKUP(VLOOKUP(AB515,Tbl_Effect[],3,FALSE),EffectName[],IFERROR(MATCH(UI!$B$1,EffectName[#Headers],0),2),FALSE),"")</f>
        <v/>
      </c>
    </row>
    <row r="516" spans="8:29" x14ac:dyDescent="0.4">
      <c r="H516" t="str">
        <f t="shared" si="56"/>
        <v>1006221-端正的光耀情景 (黃)</v>
      </c>
      <c r="I516">
        <v>1006221</v>
      </c>
      <c r="J516" t="str">
        <f>_xlfn.IFNA(IF(I516&lt;&gt;0,VLOOKUP(VLOOKUP(I516,Tbl_Equip[],2,FALSE),Tbl_Color[],IFERROR(MATCH(UI!$B$1,Tbl_Color[#Headers],0),2),FALSE),""),"Unset")</f>
        <v>黃</v>
      </c>
      <c r="K516" t="str">
        <f>_xlfn.IFNA(IF(I516&lt;&gt;0,VLOOKUP(I516,ItemText[],IFERROR(MATCH(UI!$B$1,ItemText[#Headers],0),2),FALSE),""),"Unset")</f>
        <v>端正的光耀情景</v>
      </c>
      <c r="L516" t="str">
        <f t="shared" si="57"/>
        <v/>
      </c>
      <c r="M516">
        <v>0</v>
      </c>
      <c r="N516" t="str">
        <f>IF(VALUE(M516)=0,"",VLOOKUP(VLOOKUP(M516,Tbl_Effect[],3,FALSE),EffectName[],IFERROR(MATCH(UI!$B$1,EffectName[#Headers],0),2),FALSE))</f>
        <v/>
      </c>
      <c r="O516" t="str">
        <f t="shared" si="58"/>
        <v/>
      </c>
      <c r="P516">
        <v>0</v>
      </c>
      <c r="Q516" t="str">
        <f>IF(VALUE(P516)=0,"",VLOOKUP(VLOOKUP(P516,Tbl_Effect[],3,FALSE),EffectName[],IFERROR(MATCH(UI!$B$1,EffectName[#Headers],0),2),FALSE))</f>
        <v/>
      </c>
      <c r="R516" t="str">
        <f t="shared" si="59"/>
        <v/>
      </c>
      <c r="S516">
        <v>0</v>
      </c>
      <c r="T516" t="str">
        <f>IF(VALUE(S516)=0,"",VLOOKUP(VLOOKUP(S516,Tbl_Effect[],3,FALSE),EffectName[],IFERROR(MATCH(UI!$B$1,EffectName[#Headers],0),2),FALSE))</f>
        <v/>
      </c>
      <c r="U516" t="str">
        <f t="shared" si="60"/>
        <v/>
      </c>
      <c r="V516">
        <v>0</v>
      </c>
      <c r="W516" t="str">
        <f>IF(V516&lt;&gt;0,VLOOKUP(VLOOKUP(V516,Tbl_Effect[],3,FALSE),EffectName[],IFERROR(MATCH(UI!$B$1,EffectName[#Headers],0),2),FALSE),"")</f>
        <v/>
      </c>
      <c r="X516" t="str">
        <f t="shared" si="61"/>
        <v/>
      </c>
      <c r="Y516">
        <v>0</v>
      </c>
      <c r="Z516" t="str">
        <f>IF(Y516&lt;&gt;0,VLOOKUP(VLOOKUP(Y516,Tbl_Effect[],3,FALSE),EffectName[],IFERROR(MATCH(UI!$B$1,EffectName[#Headers],0),2),FALSE),"")</f>
        <v/>
      </c>
      <c r="AA516" t="str">
        <f t="shared" si="62"/>
        <v/>
      </c>
      <c r="AB516">
        <v>0</v>
      </c>
      <c r="AC516" t="str">
        <f>IF(AB516&lt;&gt;0,VLOOKUP(VLOOKUP(AB516,Tbl_Effect[],3,FALSE),EffectName[],IFERROR(MATCH(UI!$B$1,EffectName[#Headers],0),2),FALSE),"")</f>
        <v/>
      </c>
    </row>
    <row r="517" spans="8:29" x14ac:dyDescent="0.4">
      <c r="H517" t="str">
        <f t="shared" si="56"/>
        <v>1006222-遼闊的光耀情景 (黃)</v>
      </c>
      <c r="I517">
        <v>1006222</v>
      </c>
      <c r="J517" t="str">
        <f>_xlfn.IFNA(IF(I517&lt;&gt;0,VLOOKUP(VLOOKUP(I517,Tbl_Equip[],2,FALSE),Tbl_Color[],IFERROR(MATCH(UI!$B$1,Tbl_Color[#Headers],0),2),FALSE),""),"Unset")</f>
        <v>黃</v>
      </c>
      <c r="K517" t="str">
        <f>_xlfn.IFNA(IF(I517&lt;&gt;0,VLOOKUP(I517,ItemText[],IFERROR(MATCH(UI!$B$1,ItemText[#Headers],0),2),FALSE),""),"Unset")</f>
        <v>遼闊的光耀情景</v>
      </c>
      <c r="L517" t="str">
        <f t="shared" si="57"/>
        <v/>
      </c>
      <c r="M517">
        <v>0</v>
      </c>
      <c r="N517" t="str">
        <f>IF(VALUE(M517)=0,"",VLOOKUP(VLOOKUP(M517,Tbl_Effect[],3,FALSE),EffectName[],IFERROR(MATCH(UI!$B$1,EffectName[#Headers],0),2),FALSE))</f>
        <v/>
      </c>
      <c r="O517" t="str">
        <f t="shared" si="58"/>
        <v/>
      </c>
      <c r="P517">
        <v>0</v>
      </c>
      <c r="Q517" t="str">
        <f>IF(VALUE(P517)=0,"",VLOOKUP(VLOOKUP(P517,Tbl_Effect[],3,FALSE),EffectName[],IFERROR(MATCH(UI!$B$1,EffectName[#Headers],0),2),FALSE))</f>
        <v/>
      </c>
      <c r="R517" t="str">
        <f t="shared" si="59"/>
        <v/>
      </c>
      <c r="S517">
        <v>0</v>
      </c>
      <c r="T517" t="str">
        <f>IF(VALUE(S517)=0,"",VLOOKUP(VLOOKUP(S517,Tbl_Effect[],3,FALSE),EffectName[],IFERROR(MATCH(UI!$B$1,EffectName[#Headers],0),2),FALSE))</f>
        <v/>
      </c>
      <c r="U517" t="str">
        <f t="shared" si="60"/>
        <v/>
      </c>
      <c r="V517">
        <v>0</v>
      </c>
      <c r="W517" t="str">
        <f>IF(V517&lt;&gt;0,VLOOKUP(VLOOKUP(V517,Tbl_Effect[],3,FALSE),EffectName[],IFERROR(MATCH(UI!$B$1,EffectName[#Headers],0),2),FALSE),"")</f>
        <v/>
      </c>
      <c r="X517" t="str">
        <f t="shared" si="61"/>
        <v/>
      </c>
      <c r="Y517">
        <v>0</v>
      </c>
      <c r="Z517" t="str">
        <f>IF(Y517&lt;&gt;0,VLOOKUP(VLOOKUP(Y517,Tbl_Effect[],3,FALSE),EffectName[],IFERROR(MATCH(UI!$B$1,EffectName[#Headers],0),2),FALSE),"")</f>
        <v/>
      </c>
      <c r="AA517" t="str">
        <f t="shared" si="62"/>
        <v/>
      </c>
      <c r="AB517">
        <v>0</v>
      </c>
      <c r="AC517" t="str">
        <f>IF(AB517&lt;&gt;0,VLOOKUP(VLOOKUP(AB517,Tbl_Effect[],3,FALSE),EffectName[],IFERROR(MATCH(UI!$B$1,EffectName[#Headers],0),2),FALSE),"")</f>
        <v/>
      </c>
    </row>
    <row r="518" spans="8:29" x14ac:dyDescent="0.4">
      <c r="H518" t="str">
        <f t="shared" si="56"/>
        <v>1006300-細膩的幽靜情景 (綠)</v>
      </c>
      <c r="I518">
        <v>1006300</v>
      </c>
      <c r="J518" t="str">
        <f>_xlfn.IFNA(IF(I518&lt;&gt;0,VLOOKUP(VLOOKUP(I518,Tbl_Equip[],2,FALSE),Tbl_Color[],IFERROR(MATCH(UI!$B$1,Tbl_Color[#Headers],0),2),FALSE),""),"Unset")</f>
        <v>綠</v>
      </c>
      <c r="K518" t="str">
        <f>_xlfn.IFNA(IF(I518&lt;&gt;0,VLOOKUP(I518,ItemText[],IFERROR(MATCH(UI!$B$1,ItemText[#Headers],0),2),FALSE),""),"Unset")</f>
        <v>細膩的幽靜情景</v>
      </c>
      <c r="L518" t="str">
        <f t="shared" si="57"/>
        <v/>
      </c>
      <c r="M518">
        <v>0</v>
      </c>
      <c r="N518" t="str">
        <f>IF(VALUE(M518)=0,"",VLOOKUP(VLOOKUP(M518,Tbl_Effect[],3,FALSE),EffectName[],IFERROR(MATCH(UI!$B$1,EffectName[#Headers],0),2),FALSE))</f>
        <v/>
      </c>
      <c r="O518" t="str">
        <f t="shared" si="58"/>
        <v/>
      </c>
      <c r="P518">
        <v>0</v>
      </c>
      <c r="Q518" t="str">
        <f>IF(VALUE(P518)=0,"",VLOOKUP(VLOOKUP(P518,Tbl_Effect[],3,FALSE),EffectName[],IFERROR(MATCH(UI!$B$1,EffectName[#Headers],0),2),FALSE))</f>
        <v/>
      </c>
      <c r="R518" t="str">
        <f t="shared" si="59"/>
        <v/>
      </c>
      <c r="S518">
        <v>0</v>
      </c>
      <c r="T518" t="str">
        <f>IF(VALUE(S518)=0,"",VLOOKUP(VLOOKUP(S518,Tbl_Effect[],3,FALSE),EffectName[],IFERROR(MATCH(UI!$B$1,EffectName[#Headers],0),2),FALSE))</f>
        <v/>
      </c>
      <c r="U518" t="str">
        <f t="shared" si="60"/>
        <v/>
      </c>
      <c r="V518">
        <v>0</v>
      </c>
      <c r="W518" t="str">
        <f>IF(V518&lt;&gt;0,VLOOKUP(VLOOKUP(V518,Tbl_Effect[],3,FALSE),EffectName[],IFERROR(MATCH(UI!$B$1,EffectName[#Headers],0),2),FALSE),"")</f>
        <v/>
      </c>
      <c r="X518" t="str">
        <f t="shared" si="61"/>
        <v/>
      </c>
      <c r="Y518">
        <v>0</v>
      </c>
      <c r="Z518" t="str">
        <f>IF(Y518&lt;&gt;0,VLOOKUP(VLOOKUP(Y518,Tbl_Effect[],3,FALSE),EffectName[],IFERROR(MATCH(UI!$B$1,EffectName[#Headers],0),2),FALSE),"")</f>
        <v/>
      </c>
      <c r="AA518" t="str">
        <f t="shared" si="62"/>
        <v/>
      </c>
      <c r="AB518">
        <v>0</v>
      </c>
      <c r="AC518" t="str">
        <f>IF(AB518&lt;&gt;0,VLOOKUP(VLOOKUP(AB518,Tbl_Effect[],3,FALSE),EffectName[],IFERROR(MATCH(UI!$B$1,EffectName[#Headers],0),2),FALSE),"")</f>
        <v/>
      </c>
    </row>
    <row r="519" spans="8:29" x14ac:dyDescent="0.4">
      <c r="H519" t="str">
        <f t="shared" si="56"/>
        <v>1006301-端正的幽靜情景 (綠)</v>
      </c>
      <c r="I519">
        <v>1006301</v>
      </c>
      <c r="J519" t="str">
        <f>_xlfn.IFNA(IF(I519&lt;&gt;0,VLOOKUP(VLOOKUP(I519,Tbl_Equip[],2,FALSE),Tbl_Color[],IFERROR(MATCH(UI!$B$1,Tbl_Color[#Headers],0),2),FALSE),""),"Unset")</f>
        <v>綠</v>
      </c>
      <c r="K519" t="str">
        <f>_xlfn.IFNA(IF(I519&lt;&gt;0,VLOOKUP(I519,ItemText[],IFERROR(MATCH(UI!$B$1,ItemText[#Headers],0),2),FALSE),""),"Unset")</f>
        <v>端正的幽靜情景</v>
      </c>
      <c r="L519" t="str">
        <f t="shared" si="57"/>
        <v/>
      </c>
      <c r="M519">
        <v>0</v>
      </c>
      <c r="N519" t="str">
        <f>IF(VALUE(M519)=0,"",VLOOKUP(VLOOKUP(M519,Tbl_Effect[],3,FALSE),EffectName[],IFERROR(MATCH(UI!$B$1,EffectName[#Headers],0),2),FALSE))</f>
        <v/>
      </c>
      <c r="O519" t="str">
        <f t="shared" si="58"/>
        <v/>
      </c>
      <c r="P519">
        <v>0</v>
      </c>
      <c r="Q519" t="str">
        <f>IF(VALUE(P519)=0,"",VLOOKUP(VLOOKUP(P519,Tbl_Effect[],3,FALSE),EffectName[],IFERROR(MATCH(UI!$B$1,EffectName[#Headers],0),2),FALSE))</f>
        <v/>
      </c>
      <c r="R519" t="str">
        <f t="shared" si="59"/>
        <v/>
      </c>
      <c r="S519">
        <v>0</v>
      </c>
      <c r="T519" t="str">
        <f>IF(VALUE(S519)=0,"",VLOOKUP(VLOOKUP(S519,Tbl_Effect[],3,FALSE),EffectName[],IFERROR(MATCH(UI!$B$1,EffectName[#Headers],0),2),FALSE))</f>
        <v/>
      </c>
      <c r="U519" t="str">
        <f t="shared" si="60"/>
        <v/>
      </c>
      <c r="V519">
        <v>0</v>
      </c>
      <c r="W519" t="str">
        <f>IF(V519&lt;&gt;0,VLOOKUP(VLOOKUP(V519,Tbl_Effect[],3,FALSE),EffectName[],IFERROR(MATCH(UI!$B$1,EffectName[#Headers],0),2),FALSE),"")</f>
        <v/>
      </c>
      <c r="X519" t="str">
        <f t="shared" si="61"/>
        <v/>
      </c>
      <c r="Y519">
        <v>0</v>
      </c>
      <c r="Z519" t="str">
        <f>IF(Y519&lt;&gt;0,VLOOKUP(VLOOKUP(Y519,Tbl_Effect[],3,FALSE),EffectName[],IFERROR(MATCH(UI!$B$1,EffectName[#Headers],0),2),FALSE),"")</f>
        <v/>
      </c>
      <c r="AA519" t="str">
        <f t="shared" si="62"/>
        <v/>
      </c>
      <c r="AB519">
        <v>0</v>
      </c>
      <c r="AC519" t="str">
        <f>IF(AB519&lt;&gt;0,VLOOKUP(VLOOKUP(AB519,Tbl_Effect[],3,FALSE),EffectName[],IFERROR(MATCH(UI!$B$1,EffectName[#Headers],0),2),FALSE),"")</f>
        <v/>
      </c>
    </row>
    <row r="520" spans="8:29" x14ac:dyDescent="0.4">
      <c r="H520" t="str">
        <f t="shared" si="56"/>
        <v>1006302-遼闊的幽靜情景 (綠)</v>
      </c>
      <c r="I520">
        <v>1006302</v>
      </c>
      <c r="J520" t="str">
        <f>_xlfn.IFNA(IF(I520&lt;&gt;0,VLOOKUP(VLOOKUP(I520,Tbl_Equip[],2,FALSE),Tbl_Color[],IFERROR(MATCH(UI!$B$1,Tbl_Color[#Headers],0),2),FALSE),""),"Unset")</f>
        <v>綠</v>
      </c>
      <c r="K520" t="str">
        <f>_xlfn.IFNA(IF(I520&lt;&gt;0,VLOOKUP(I520,ItemText[],IFERROR(MATCH(UI!$B$1,ItemText[#Headers],0),2),FALSE),""),"Unset")</f>
        <v>遼闊的幽靜情景</v>
      </c>
      <c r="L520" t="str">
        <f t="shared" si="57"/>
        <v/>
      </c>
      <c r="M520">
        <v>0</v>
      </c>
      <c r="N520" t="str">
        <f>IF(VALUE(M520)=0,"",VLOOKUP(VLOOKUP(M520,Tbl_Effect[],3,FALSE),EffectName[],IFERROR(MATCH(UI!$B$1,EffectName[#Headers],0),2),FALSE))</f>
        <v/>
      </c>
      <c r="O520" t="str">
        <f t="shared" si="58"/>
        <v/>
      </c>
      <c r="P520">
        <v>0</v>
      </c>
      <c r="Q520" t="str">
        <f>IF(VALUE(P520)=0,"",VLOOKUP(VLOOKUP(P520,Tbl_Effect[],3,FALSE),EffectName[],IFERROR(MATCH(UI!$B$1,EffectName[#Headers],0),2),FALSE))</f>
        <v/>
      </c>
      <c r="R520" t="str">
        <f t="shared" si="59"/>
        <v/>
      </c>
      <c r="S520">
        <v>0</v>
      </c>
      <c r="T520" t="str">
        <f>IF(VALUE(S520)=0,"",VLOOKUP(VLOOKUP(S520,Tbl_Effect[],3,FALSE),EffectName[],IFERROR(MATCH(UI!$B$1,EffectName[#Headers],0),2),FALSE))</f>
        <v/>
      </c>
      <c r="U520" t="str">
        <f t="shared" si="60"/>
        <v/>
      </c>
      <c r="V520">
        <v>0</v>
      </c>
      <c r="W520" t="str">
        <f>IF(V520&lt;&gt;0,VLOOKUP(VLOOKUP(V520,Tbl_Effect[],3,FALSE),EffectName[],IFERROR(MATCH(UI!$B$1,EffectName[#Headers],0),2),FALSE),"")</f>
        <v/>
      </c>
      <c r="X520" t="str">
        <f t="shared" si="61"/>
        <v/>
      </c>
      <c r="Y520">
        <v>0</v>
      </c>
      <c r="Z520" t="str">
        <f>IF(Y520&lt;&gt;0,VLOOKUP(VLOOKUP(Y520,Tbl_Effect[],3,FALSE),EffectName[],IFERROR(MATCH(UI!$B$1,EffectName[#Headers],0),2),FALSE),"")</f>
        <v/>
      </c>
      <c r="AA520" t="str">
        <f t="shared" si="62"/>
        <v/>
      </c>
      <c r="AB520">
        <v>0</v>
      </c>
      <c r="AC520" t="str">
        <f>IF(AB520&lt;&gt;0,VLOOKUP(VLOOKUP(AB520,Tbl_Effect[],3,FALSE),EffectName[],IFERROR(MATCH(UI!$B$1,EffectName[#Headers],0),2),FALSE),"")</f>
        <v/>
      </c>
    </row>
    <row r="521" spans="8:29" x14ac:dyDescent="0.4">
      <c r="H521" t="str">
        <f t="shared" si="56"/>
        <v>1006310-細膩的幽靜情景 (綠)</v>
      </c>
      <c r="I521">
        <v>1006310</v>
      </c>
      <c r="J521" t="str">
        <f>_xlfn.IFNA(IF(I521&lt;&gt;0,VLOOKUP(VLOOKUP(I521,Tbl_Equip[],2,FALSE),Tbl_Color[],IFERROR(MATCH(UI!$B$1,Tbl_Color[#Headers],0),2),FALSE),""),"Unset")</f>
        <v>綠</v>
      </c>
      <c r="K521" t="str">
        <f>_xlfn.IFNA(IF(I521&lt;&gt;0,VLOOKUP(I521,ItemText[],IFERROR(MATCH(UI!$B$1,ItemText[#Headers],0),2),FALSE),""),"Unset")</f>
        <v>細膩的幽靜情景</v>
      </c>
      <c r="L521" t="str">
        <f t="shared" si="57"/>
        <v/>
      </c>
      <c r="M521">
        <v>0</v>
      </c>
      <c r="N521" t="str">
        <f>IF(VALUE(M521)=0,"",VLOOKUP(VLOOKUP(M521,Tbl_Effect[],3,FALSE),EffectName[],IFERROR(MATCH(UI!$B$1,EffectName[#Headers],0),2),FALSE))</f>
        <v/>
      </c>
      <c r="O521" t="str">
        <f t="shared" si="58"/>
        <v/>
      </c>
      <c r="P521">
        <v>0</v>
      </c>
      <c r="Q521" t="str">
        <f>IF(VALUE(P521)=0,"",VLOOKUP(VLOOKUP(P521,Tbl_Effect[],3,FALSE),EffectName[],IFERROR(MATCH(UI!$B$1,EffectName[#Headers],0),2),FALSE))</f>
        <v/>
      </c>
      <c r="R521" t="str">
        <f t="shared" si="59"/>
        <v/>
      </c>
      <c r="S521">
        <v>0</v>
      </c>
      <c r="T521" t="str">
        <f>IF(VALUE(S521)=0,"",VLOOKUP(VLOOKUP(S521,Tbl_Effect[],3,FALSE),EffectName[],IFERROR(MATCH(UI!$B$1,EffectName[#Headers],0),2),FALSE))</f>
        <v/>
      </c>
      <c r="U521" t="str">
        <f t="shared" si="60"/>
        <v/>
      </c>
      <c r="V521">
        <v>0</v>
      </c>
      <c r="W521" t="str">
        <f>IF(V521&lt;&gt;0,VLOOKUP(VLOOKUP(V521,Tbl_Effect[],3,FALSE),EffectName[],IFERROR(MATCH(UI!$B$1,EffectName[#Headers],0),2),FALSE),"")</f>
        <v/>
      </c>
      <c r="X521" t="str">
        <f t="shared" si="61"/>
        <v/>
      </c>
      <c r="Y521">
        <v>0</v>
      </c>
      <c r="Z521" t="str">
        <f>IF(Y521&lt;&gt;0,VLOOKUP(VLOOKUP(Y521,Tbl_Effect[],3,FALSE),EffectName[],IFERROR(MATCH(UI!$B$1,EffectName[#Headers],0),2),FALSE),"")</f>
        <v/>
      </c>
      <c r="AA521" t="str">
        <f t="shared" si="62"/>
        <v/>
      </c>
      <c r="AB521">
        <v>0</v>
      </c>
      <c r="AC521" t="str">
        <f>IF(AB521&lt;&gt;0,VLOOKUP(VLOOKUP(AB521,Tbl_Effect[],3,FALSE),EffectName[],IFERROR(MATCH(UI!$B$1,EffectName[#Headers],0),2),FALSE),"")</f>
        <v/>
      </c>
    </row>
    <row r="522" spans="8:29" x14ac:dyDescent="0.4">
      <c r="H522" t="str">
        <f t="shared" si="56"/>
        <v>1006311-端正的幽靜情景 (綠)</v>
      </c>
      <c r="I522">
        <v>1006311</v>
      </c>
      <c r="J522" t="str">
        <f>_xlfn.IFNA(IF(I522&lt;&gt;0,VLOOKUP(VLOOKUP(I522,Tbl_Equip[],2,FALSE),Tbl_Color[],IFERROR(MATCH(UI!$B$1,Tbl_Color[#Headers],0),2),FALSE),""),"Unset")</f>
        <v>綠</v>
      </c>
      <c r="K522" t="str">
        <f>_xlfn.IFNA(IF(I522&lt;&gt;0,VLOOKUP(I522,ItemText[],IFERROR(MATCH(UI!$B$1,ItemText[#Headers],0),2),FALSE),""),"Unset")</f>
        <v>端正的幽靜情景</v>
      </c>
      <c r="L522" t="str">
        <f t="shared" si="57"/>
        <v/>
      </c>
      <c r="M522">
        <v>0</v>
      </c>
      <c r="N522" t="str">
        <f>IF(VALUE(M522)=0,"",VLOOKUP(VLOOKUP(M522,Tbl_Effect[],3,FALSE),EffectName[],IFERROR(MATCH(UI!$B$1,EffectName[#Headers],0),2),FALSE))</f>
        <v/>
      </c>
      <c r="O522" t="str">
        <f t="shared" si="58"/>
        <v/>
      </c>
      <c r="P522">
        <v>0</v>
      </c>
      <c r="Q522" t="str">
        <f>IF(VALUE(P522)=0,"",VLOOKUP(VLOOKUP(P522,Tbl_Effect[],3,FALSE),EffectName[],IFERROR(MATCH(UI!$B$1,EffectName[#Headers],0),2),FALSE))</f>
        <v/>
      </c>
      <c r="R522" t="str">
        <f t="shared" si="59"/>
        <v/>
      </c>
      <c r="S522">
        <v>0</v>
      </c>
      <c r="T522" t="str">
        <f>IF(VALUE(S522)=0,"",VLOOKUP(VLOOKUP(S522,Tbl_Effect[],3,FALSE),EffectName[],IFERROR(MATCH(UI!$B$1,EffectName[#Headers],0),2),FALSE))</f>
        <v/>
      </c>
      <c r="U522" t="str">
        <f t="shared" si="60"/>
        <v/>
      </c>
      <c r="V522">
        <v>0</v>
      </c>
      <c r="W522" t="str">
        <f>IF(V522&lt;&gt;0,VLOOKUP(VLOOKUP(V522,Tbl_Effect[],3,FALSE),EffectName[],IFERROR(MATCH(UI!$B$1,EffectName[#Headers],0),2),FALSE),"")</f>
        <v/>
      </c>
      <c r="X522" t="str">
        <f t="shared" si="61"/>
        <v/>
      </c>
      <c r="Y522">
        <v>0</v>
      </c>
      <c r="Z522" t="str">
        <f>IF(Y522&lt;&gt;0,VLOOKUP(VLOOKUP(Y522,Tbl_Effect[],3,FALSE),EffectName[],IFERROR(MATCH(UI!$B$1,EffectName[#Headers],0),2),FALSE),"")</f>
        <v/>
      </c>
      <c r="AA522" t="str">
        <f t="shared" si="62"/>
        <v/>
      </c>
      <c r="AB522">
        <v>0</v>
      </c>
      <c r="AC522" t="str">
        <f>IF(AB522&lt;&gt;0,VLOOKUP(VLOOKUP(AB522,Tbl_Effect[],3,FALSE),EffectName[],IFERROR(MATCH(UI!$B$1,EffectName[#Headers],0),2),FALSE),"")</f>
        <v/>
      </c>
    </row>
    <row r="523" spans="8:29" x14ac:dyDescent="0.4">
      <c r="H523" t="str">
        <f t="shared" si="56"/>
        <v>1006312-遼闊的幽靜情景 (綠)</v>
      </c>
      <c r="I523">
        <v>1006312</v>
      </c>
      <c r="J523" t="str">
        <f>_xlfn.IFNA(IF(I523&lt;&gt;0,VLOOKUP(VLOOKUP(I523,Tbl_Equip[],2,FALSE),Tbl_Color[],IFERROR(MATCH(UI!$B$1,Tbl_Color[#Headers],0),2),FALSE),""),"Unset")</f>
        <v>綠</v>
      </c>
      <c r="K523" t="str">
        <f>_xlfn.IFNA(IF(I523&lt;&gt;0,VLOOKUP(I523,ItemText[],IFERROR(MATCH(UI!$B$1,ItemText[#Headers],0),2),FALSE),""),"Unset")</f>
        <v>遼闊的幽靜情景</v>
      </c>
      <c r="L523" t="str">
        <f t="shared" si="57"/>
        <v/>
      </c>
      <c r="M523">
        <v>0</v>
      </c>
      <c r="N523" t="str">
        <f>IF(VALUE(M523)=0,"",VLOOKUP(VLOOKUP(M523,Tbl_Effect[],3,FALSE),EffectName[],IFERROR(MATCH(UI!$B$1,EffectName[#Headers],0),2),FALSE))</f>
        <v/>
      </c>
      <c r="O523" t="str">
        <f t="shared" si="58"/>
        <v/>
      </c>
      <c r="P523">
        <v>0</v>
      </c>
      <c r="Q523" t="str">
        <f>IF(VALUE(P523)=0,"",VLOOKUP(VLOOKUP(P523,Tbl_Effect[],3,FALSE),EffectName[],IFERROR(MATCH(UI!$B$1,EffectName[#Headers],0),2),FALSE))</f>
        <v/>
      </c>
      <c r="R523" t="str">
        <f t="shared" si="59"/>
        <v/>
      </c>
      <c r="S523">
        <v>0</v>
      </c>
      <c r="T523" t="str">
        <f>IF(VALUE(S523)=0,"",VLOOKUP(VLOOKUP(S523,Tbl_Effect[],3,FALSE),EffectName[],IFERROR(MATCH(UI!$B$1,EffectName[#Headers],0),2),FALSE))</f>
        <v/>
      </c>
      <c r="U523" t="str">
        <f t="shared" si="60"/>
        <v/>
      </c>
      <c r="V523">
        <v>0</v>
      </c>
      <c r="W523" t="str">
        <f>IF(V523&lt;&gt;0,VLOOKUP(VLOOKUP(V523,Tbl_Effect[],3,FALSE),EffectName[],IFERROR(MATCH(UI!$B$1,EffectName[#Headers],0),2),FALSE),"")</f>
        <v/>
      </c>
      <c r="X523" t="str">
        <f t="shared" si="61"/>
        <v/>
      </c>
      <c r="Y523">
        <v>0</v>
      </c>
      <c r="Z523" t="str">
        <f>IF(Y523&lt;&gt;0,VLOOKUP(VLOOKUP(Y523,Tbl_Effect[],3,FALSE),EffectName[],IFERROR(MATCH(UI!$B$1,EffectName[#Headers],0),2),FALSE),"")</f>
        <v/>
      </c>
      <c r="AA523" t="str">
        <f t="shared" si="62"/>
        <v/>
      </c>
      <c r="AB523">
        <v>0</v>
      </c>
      <c r="AC523" t="str">
        <f>IF(AB523&lt;&gt;0,VLOOKUP(VLOOKUP(AB523,Tbl_Effect[],3,FALSE),EffectName[],IFERROR(MATCH(UI!$B$1,EffectName[#Headers],0),2),FALSE),"")</f>
        <v/>
      </c>
    </row>
    <row r="524" spans="8:29" x14ac:dyDescent="0.4">
      <c r="H524" t="str">
        <f t="shared" si="56"/>
        <v>1006320-細膩的幽靜情景 (綠)</v>
      </c>
      <c r="I524">
        <v>1006320</v>
      </c>
      <c r="J524" t="str">
        <f>_xlfn.IFNA(IF(I524&lt;&gt;0,VLOOKUP(VLOOKUP(I524,Tbl_Equip[],2,FALSE),Tbl_Color[],IFERROR(MATCH(UI!$B$1,Tbl_Color[#Headers],0),2),FALSE),""),"Unset")</f>
        <v>綠</v>
      </c>
      <c r="K524" t="str">
        <f>_xlfn.IFNA(IF(I524&lt;&gt;0,VLOOKUP(I524,ItemText[],IFERROR(MATCH(UI!$B$1,ItemText[#Headers],0),2),FALSE),""),"Unset")</f>
        <v>細膩的幽靜情景</v>
      </c>
      <c r="L524" t="str">
        <f t="shared" si="57"/>
        <v/>
      </c>
      <c r="M524">
        <v>0</v>
      </c>
      <c r="N524" t="str">
        <f>IF(VALUE(M524)=0,"",VLOOKUP(VLOOKUP(M524,Tbl_Effect[],3,FALSE),EffectName[],IFERROR(MATCH(UI!$B$1,EffectName[#Headers],0),2),FALSE))</f>
        <v/>
      </c>
      <c r="O524" t="str">
        <f t="shared" si="58"/>
        <v/>
      </c>
      <c r="P524">
        <v>0</v>
      </c>
      <c r="Q524" t="str">
        <f>IF(VALUE(P524)=0,"",VLOOKUP(VLOOKUP(P524,Tbl_Effect[],3,FALSE),EffectName[],IFERROR(MATCH(UI!$B$1,EffectName[#Headers],0),2),FALSE))</f>
        <v/>
      </c>
      <c r="R524" t="str">
        <f t="shared" si="59"/>
        <v/>
      </c>
      <c r="S524">
        <v>0</v>
      </c>
      <c r="T524" t="str">
        <f>IF(VALUE(S524)=0,"",VLOOKUP(VLOOKUP(S524,Tbl_Effect[],3,FALSE),EffectName[],IFERROR(MATCH(UI!$B$1,EffectName[#Headers],0),2),FALSE))</f>
        <v/>
      </c>
      <c r="U524" t="str">
        <f t="shared" si="60"/>
        <v/>
      </c>
      <c r="V524">
        <v>0</v>
      </c>
      <c r="W524" t="str">
        <f>IF(V524&lt;&gt;0,VLOOKUP(VLOOKUP(V524,Tbl_Effect[],3,FALSE),EffectName[],IFERROR(MATCH(UI!$B$1,EffectName[#Headers],0),2),FALSE),"")</f>
        <v/>
      </c>
      <c r="X524" t="str">
        <f t="shared" si="61"/>
        <v/>
      </c>
      <c r="Y524">
        <v>0</v>
      </c>
      <c r="Z524" t="str">
        <f>IF(Y524&lt;&gt;0,VLOOKUP(VLOOKUP(Y524,Tbl_Effect[],3,FALSE),EffectName[],IFERROR(MATCH(UI!$B$1,EffectName[#Headers],0),2),FALSE),"")</f>
        <v/>
      </c>
      <c r="AA524" t="str">
        <f t="shared" si="62"/>
        <v/>
      </c>
      <c r="AB524">
        <v>0</v>
      </c>
      <c r="AC524" t="str">
        <f>IF(AB524&lt;&gt;0,VLOOKUP(VLOOKUP(AB524,Tbl_Effect[],3,FALSE),EffectName[],IFERROR(MATCH(UI!$B$1,EffectName[#Headers],0),2),FALSE),"")</f>
        <v/>
      </c>
    </row>
    <row r="525" spans="8:29" x14ac:dyDescent="0.4">
      <c r="H525" t="str">
        <f t="shared" si="56"/>
        <v>1006321-端正的幽靜情景 (綠)</v>
      </c>
      <c r="I525">
        <v>1006321</v>
      </c>
      <c r="J525" t="str">
        <f>_xlfn.IFNA(IF(I525&lt;&gt;0,VLOOKUP(VLOOKUP(I525,Tbl_Equip[],2,FALSE),Tbl_Color[],IFERROR(MATCH(UI!$B$1,Tbl_Color[#Headers],0),2),FALSE),""),"Unset")</f>
        <v>綠</v>
      </c>
      <c r="K525" t="str">
        <f>_xlfn.IFNA(IF(I525&lt;&gt;0,VLOOKUP(I525,ItemText[],IFERROR(MATCH(UI!$B$1,ItemText[#Headers],0),2),FALSE),""),"Unset")</f>
        <v>端正的幽靜情景</v>
      </c>
      <c r="L525" t="str">
        <f t="shared" si="57"/>
        <v/>
      </c>
      <c r="M525">
        <v>0</v>
      </c>
      <c r="N525" t="str">
        <f>IF(VALUE(M525)=0,"",VLOOKUP(VLOOKUP(M525,Tbl_Effect[],3,FALSE),EffectName[],IFERROR(MATCH(UI!$B$1,EffectName[#Headers],0),2),FALSE))</f>
        <v/>
      </c>
      <c r="O525" t="str">
        <f t="shared" si="58"/>
        <v/>
      </c>
      <c r="P525">
        <v>0</v>
      </c>
      <c r="Q525" t="str">
        <f>IF(VALUE(P525)=0,"",VLOOKUP(VLOOKUP(P525,Tbl_Effect[],3,FALSE),EffectName[],IFERROR(MATCH(UI!$B$1,EffectName[#Headers],0),2),FALSE))</f>
        <v/>
      </c>
      <c r="R525" t="str">
        <f t="shared" si="59"/>
        <v/>
      </c>
      <c r="S525">
        <v>0</v>
      </c>
      <c r="T525" t="str">
        <f>IF(VALUE(S525)=0,"",VLOOKUP(VLOOKUP(S525,Tbl_Effect[],3,FALSE),EffectName[],IFERROR(MATCH(UI!$B$1,EffectName[#Headers],0),2),FALSE))</f>
        <v/>
      </c>
      <c r="U525" t="str">
        <f t="shared" si="60"/>
        <v/>
      </c>
      <c r="V525">
        <v>0</v>
      </c>
      <c r="W525" t="str">
        <f>IF(V525&lt;&gt;0,VLOOKUP(VLOOKUP(V525,Tbl_Effect[],3,FALSE),EffectName[],IFERROR(MATCH(UI!$B$1,EffectName[#Headers],0),2),FALSE),"")</f>
        <v/>
      </c>
      <c r="X525" t="str">
        <f t="shared" si="61"/>
        <v/>
      </c>
      <c r="Y525">
        <v>0</v>
      </c>
      <c r="Z525" t="str">
        <f>IF(Y525&lt;&gt;0,VLOOKUP(VLOOKUP(Y525,Tbl_Effect[],3,FALSE),EffectName[],IFERROR(MATCH(UI!$B$1,EffectName[#Headers],0),2),FALSE),"")</f>
        <v/>
      </c>
      <c r="AA525" t="str">
        <f t="shared" si="62"/>
        <v/>
      </c>
      <c r="AB525">
        <v>0</v>
      </c>
      <c r="AC525" t="str">
        <f>IF(AB525&lt;&gt;0,VLOOKUP(VLOOKUP(AB525,Tbl_Effect[],3,FALSE),EffectName[],IFERROR(MATCH(UI!$B$1,EffectName[#Headers],0),2),FALSE),"")</f>
        <v/>
      </c>
    </row>
    <row r="526" spans="8:29" x14ac:dyDescent="0.4">
      <c r="H526" t="str">
        <f t="shared" si="56"/>
        <v>1006322-遼闊的幽靜情景 (綠)</v>
      </c>
      <c r="I526">
        <v>1006322</v>
      </c>
      <c r="J526" t="str">
        <f>_xlfn.IFNA(IF(I526&lt;&gt;0,VLOOKUP(VLOOKUP(I526,Tbl_Equip[],2,FALSE),Tbl_Color[],IFERROR(MATCH(UI!$B$1,Tbl_Color[#Headers],0),2),FALSE),""),"Unset")</f>
        <v>綠</v>
      </c>
      <c r="K526" t="str">
        <f>_xlfn.IFNA(IF(I526&lt;&gt;0,VLOOKUP(I526,ItemText[],IFERROR(MATCH(UI!$B$1,ItemText[#Headers],0),2),FALSE),""),"Unset")</f>
        <v>遼闊的幽靜情景</v>
      </c>
      <c r="L526" t="str">
        <f t="shared" si="57"/>
        <v/>
      </c>
      <c r="M526">
        <v>0</v>
      </c>
      <c r="N526" t="str">
        <f>IF(VALUE(M526)=0,"",VLOOKUP(VLOOKUP(M526,Tbl_Effect[],3,FALSE),EffectName[],IFERROR(MATCH(UI!$B$1,EffectName[#Headers],0),2),FALSE))</f>
        <v/>
      </c>
      <c r="O526" t="str">
        <f t="shared" si="58"/>
        <v/>
      </c>
      <c r="P526">
        <v>0</v>
      </c>
      <c r="Q526" t="str">
        <f>IF(VALUE(P526)=0,"",VLOOKUP(VLOOKUP(P526,Tbl_Effect[],3,FALSE),EffectName[],IFERROR(MATCH(UI!$B$1,EffectName[#Headers],0),2),FALSE))</f>
        <v/>
      </c>
      <c r="R526" t="str">
        <f t="shared" si="59"/>
        <v/>
      </c>
      <c r="S526">
        <v>0</v>
      </c>
      <c r="T526" t="str">
        <f>IF(VALUE(S526)=0,"",VLOOKUP(VLOOKUP(S526,Tbl_Effect[],3,FALSE),EffectName[],IFERROR(MATCH(UI!$B$1,EffectName[#Headers],0),2),FALSE))</f>
        <v/>
      </c>
      <c r="U526" t="str">
        <f t="shared" si="60"/>
        <v/>
      </c>
      <c r="V526">
        <v>0</v>
      </c>
      <c r="W526" t="str">
        <f>IF(V526&lt;&gt;0,VLOOKUP(VLOOKUP(V526,Tbl_Effect[],3,FALSE),EffectName[],IFERROR(MATCH(UI!$B$1,EffectName[#Headers],0),2),FALSE),"")</f>
        <v/>
      </c>
      <c r="X526" t="str">
        <f t="shared" si="61"/>
        <v/>
      </c>
      <c r="Y526">
        <v>0</v>
      </c>
      <c r="Z526" t="str">
        <f>IF(Y526&lt;&gt;0,VLOOKUP(VLOOKUP(Y526,Tbl_Effect[],3,FALSE),EffectName[],IFERROR(MATCH(UI!$B$1,EffectName[#Headers],0),2),FALSE),"")</f>
        <v/>
      </c>
      <c r="AA526" t="str">
        <f t="shared" si="62"/>
        <v/>
      </c>
      <c r="AB526">
        <v>0</v>
      </c>
      <c r="AC526" t="str">
        <f>IF(AB526&lt;&gt;0,VLOOKUP(VLOOKUP(AB526,Tbl_Effect[],3,FALSE),EffectName[],IFERROR(MATCH(UI!$B$1,EffectName[#Headers],0),2),FALSE),"")</f>
        <v/>
      </c>
    </row>
    <row r="527" spans="8:29" x14ac:dyDescent="0.4">
      <c r="H527" t="str">
        <f t="shared" si="56"/>
        <v>1007000-細膩的火燃情景 (紅)</v>
      </c>
      <c r="I527">
        <v>1007000</v>
      </c>
      <c r="J527" t="str">
        <f>_xlfn.IFNA(IF(I527&lt;&gt;0,VLOOKUP(VLOOKUP(I527,Tbl_Equip[],2,FALSE),Tbl_Color[],IFERROR(MATCH(UI!$B$1,Tbl_Color[#Headers],0),2),FALSE),""),"Unset")</f>
        <v>紅</v>
      </c>
      <c r="K527" t="str">
        <f>_xlfn.IFNA(IF(I527&lt;&gt;0,VLOOKUP(I527,ItemText[],IFERROR(MATCH(UI!$B$1,ItemText[#Headers],0),2),FALSE),""),"Unset")</f>
        <v>細膩的火燃情景</v>
      </c>
      <c r="L527" t="str">
        <f t="shared" si="57"/>
        <v/>
      </c>
      <c r="M527">
        <v>0</v>
      </c>
      <c r="N527" t="str">
        <f>IF(VALUE(M527)=0,"",VLOOKUP(VLOOKUP(M527,Tbl_Effect[],3,FALSE),EffectName[],IFERROR(MATCH(UI!$B$1,EffectName[#Headers],0),2),FALSE))</f>
        <v/>
      </c>
      <c r="O527" t="str">
        <f t="shared" si="58"/>
        <v/>
      </c>
      <c r="P527">
        <v>0</v>
      </c>
      <c r="Q527" t="str">
        <f>IF(VALUE(P527)=0,"",VLOOKUP(VLOOKUP(P527,Tbl_Effect[],3,FALSE),EffectName[],IFERROR(MATCH(UI!$B$1,EffectName[#Headers],0),2),FALSE))</f>
        <v/>
      </c>
      <c r="R527" t="str">
        <f t="shared" si="59"/>
        <v/>
      </c>
      <c r="S527">
        <v>0</v>
      </c>
      <c r="T527" t="str">
        <f>IF(VALUE(S527)=0,"",VLOOKUP(VLOOKUP(S527,Tbl_Effect[],3,FALSE),EffectName[],IFERROR(MATCH(UI!$B$1,EffectName[#Headers],0),2),FALSE))</f>
        <v/>
      </c>
      <c r="U527" t="str">
        <f t="shared" si="60"/>
        <v/>
      </c>
      <c r="V527">
        <v>0</v>
      </c>
      <c r="W527" t="str">
        <f>IF(V527&lt;&gt;0,VLOOKUP(VLOOKUP(V527,Tbl_Effect[],3,FALSE),EffectName[],IFERROR(MATCH(UI!$B$1,EffectName[#Headers],0),2),FALSE),"")</f>
        <v/>
      </c>
      <c r="X527" t="str">
        <f t="shared" si="61"/>
        <v/>
      </c>
      <c r="Y527">
        <v>0</v>
      </c>
      <c r="Z527" t="str">
        <f>IF(Y527&lt;&gt;0,VLOOKUP(VLOOKUP(Y527,Tbl_Effect[],3,FALSE),EffectName[],IFERROR(MATCH(UI!$B$1,EffectName[#Headers],0),2),FALSE),"")</f>
        <v/>
      </c>
      <c r="AA527" t="str">
        <f t="shared" si="62"/>
        <v/>
      </c>
      <c r="AB527">
        <v>0</v>
      </c>
      <c r="AC527" t="str">
        <f>IF(AB527&lt;&gt;0,VLOOKUP(VLOOKUP(AB527,Tbl_Effect[],3,FALSE),EffectName[],IFERROR(MATCH(UI!$B$1,EffectName[#Headers],0),2),FALSE),"")</f>
        <v/>
      </c>
    </row>
    <row r="528" spans="8:29" x14ac:dyDescent="0.4">
      <c r="H528" t="str">
        <f t="shared" si="56"/>
        <v>1007001-端正的火燃情景 (紅)</v>
      </c>
      <c r="I528">
        <v>1007001</v>
      </c>
      <c r="J528" t="str">
        <f>_xlfn.IFNA(IF(I528&lt;&gt;0,VLOOKUP(VLOOKUP(I528,Tbl_Equip[],2,FALSE),Tbl_Color[],IFERROR(MATCH(UI!$B$1,Tbl_Color[#Headers],0),2),FALSE),""),"Unset")</f>
        <v>紅</v>
      </c>
      <c r="K528" t="str">
        <f>_xlfn.IFNA(IF(I528&lt;&gt;0,VLOOKUP(I528,ItemText[],IFERROR(MATCH(UI!$B$1,ItemText[#Headers],0),2),FALSE),""),"Unset")</f>
        <v>端正的火燃情景</v>
      </c>
      <c r="L528" t="str">
        <f t="shared" si="57"/>
        <v/>
      </c>
      <c r="M528">
        <v>0</v>
      </c>
      <c r="N528" t="str">
        <f>IF(VALUE(M528)=0,"",VLOOKUP(VLOOKUP(M528,Tbl_Effect[],3,FALSE),EffectName[],IFERROR(MATCH(UI!$B$1,EffectName[#Headers],0),2),FALSE))</f>
        <v/>
      </c>
      <c r="O528" t="str">
        <f t="shared" si="58"/>
        <v/>
      </c>
      <c r="P528">
        <v>0</v>
      </c>
      <c r="Q528" t="str">
        <f>IF(VALUE(P528)=0,"",VLOOKUP(VLOOKUP(P528,Tbl_Effect[],3,FALSE),EffectName[],IFERROR(MATCH(UI!$B$1,EffectName[#Headers],0),2),FALSE))</f>
        <v/>
      </c>
      <c r="R528" t="str">
        <f t="shared" si="59"/>
        <v/>
      </c>
      <c r="S528">
        <v>0</v>
      </c>
      <c r="T528" t="str">
        <f>IF(VALUE(S528)=0,"",VLOOKUP(VLOOKUP(S528,Tbl_Effect[],3,FALSE),EffectName[],IFERROR(MATCH(UI!$B$1,EffectName[#Headers],0),2),FALSE))</f>
        <v/>
      </c>
      <c r="U528" t="str">
        <f t="shared" si="60"/>
        <v/>
      </c>
      <c r="V528">
        <v>0</v>
      </c>
      <c r="W528" t="str">
        <f>IF(V528&lt;&gt;0,VLOOKUP(VLOOKUP(V528,Tbl_Effect[],3,FALSE),EffectName[],IFERROR(MATCH(UI!$B$1,EffectName[#Headers],0),2),FALSE),"")</f>
        <v/>
      </c>
      <c r="X528" t="str">
        <f t="shared" si="61"/>
        <v/>
      </c>
      <c r="Y528">
        <v>0</v>
      </c>
      <c r="Z528" t="str">
        <f>IF(Y528&lt;&gt;0,VLOOKUP(VLOOKUP(Y528,Tbl_Effect[],3,FALSE),EffectName[],IFERROR(MATCH(UI!$B$1,EffectName[#Headers],0),2),FALSE),"")</f>
        <v/>
      </c>
      <c r="AA528" t="str">
        <f t="shared" si="62"/>
        <v/>
      </c>
      <c r="AB528">
        <v>0</v>
      </c>
      <c r="AC528" t="str">
        <f>IF(AB528&lt;&gt;0,VLOOKUP(VLOOKUP(AB528,Tbl_Effect[],3,FALSE),EffectName[],IFERROR(MATCH(UI!$B$1,EffectName[#Headers],0),2),FALSE),"")</f>
        <v/>
      </c>
    </row>
    <row r="529" spans="8:29" x14ac:dyDescent="0.4">
      <c r="H529" t="str">
        <f t="shared" si="56"/>
        <v>1007002-遼闊的火燃情景 (紅)</v>
      </c>
      <c r="I529">
        <v>1007002</v>
      </c>
      <c r="J529" t="str">
        <f>_xlfn.IFNA(IF(I529&lt;&gt;0,VLOOKUP(VLOOKUP(I529,Tbl_Equip[],2,FALSE),Tbl_Color[],IFERROR(MATCH(UI!$B$1,Tbl_Color[#Headers],0),2),FALSE),""),"Unset")</f>
        <v>紅</v>
      </c>
      <c r="K529" t="str">
        <f>_xlfn.IFNA(IF(I529&lt;&gt;0,VLOOKUP(I529,ItemText[],IFERROR(MATCH(UI!$B$1,ItemText[#Headers],0),2),FALSE),""),"Unset")</f>
        <v>遼闊的火燃情景</v>
      </c>
      <c r="L529" t="str">
        <f t="shared" si="57"/>
        <v/>
      </c>
      <c r="M529">
        <v>0</v>
      </c>
      <c r="N529" t="str">
        <f>IF(VALUE(M529)=0,"",VLOOKUP(VLOOKUP(M529,Tbl_Effect[],3,FALSE),EffectName[],IFERROR(MATCH(UI!$B$1,EffectName[#Headers],0),2),FALSE))</f>
        <v/>
      </c>
      <c r="O529" t="str">
        <f t="shared" si="58"/>
        <v/>
      </c>
      <c r="P529">
        <v>0</v>
      </c>
      <c r="Q529" t="str">
        <f>IF(VALUE(P529)=0,"",VLOOKUP(VLOOKUP(P529,Tbl_Effect[],3,FALSE),EffectName[],IFERROR(MATCH(UI!$B$1,EffectName[#Headers],0),2),FALSE))</f>
        <v/>
      </c>
      <c r="R529" t="str">
        <f t="shared" si="59"/>
        <v/>
      </c>
      <c r="S529">
        <v>0</v>
      </c>
      <c r="T529" t="str">
        <f>IF(VALUE(S529)=0,"",VLOOKUP(VLOOKUP(S529,Tbl_Effect[],3,FALSE),EffectName[],IFERROR(MATCH(UI!$B$1,EffectName[#Headers],0),2),FALSE))</f>
        <v/>
      </c>
      <c r="U529" t="str">
        <f t="shared" si="60"/>
        <v/>
      </c>
      <c r="V529">
        <v>0</v>
      </c>
      <c r="W529" t="str">
        <f>IF(V529&lt;&gt;0,VLOOKUP(VLOOKUP(V529,Tbl_Effect[],3,FALSE),EffectName[],IFERROR(MATCH(UI!$B$1,EffectName[#Headers],0),2),FALSE),"")</f>
        <v/>
      </c>
      <c r="X529" t="str">
        <f t="shared" si="61"/>
        <v/>
      </c>
      <c r="Y529">
        <v>0</v>
      </c>
      <c r="Z529" t="str">
        <f>IF(Y529&lt;&gt;0,VLOOKUP(VLOOKUP(Y529,Tbl_Effect[],3,FALSE),EffectName[],IFERROR(MATCH(UI!$B$1,EffectName[#Headers],0),2),FALSE),"")</f>
        <v/>
      </c>
      <c r="AA529" t="str">
        <f t="shared" si="62"/>
        <v/>
      </c>
      <c r="AB529">
        <v>0</v>
      </c>
      <c r="AC529" t="str">
        <f>IF(AB529&lt;&gt;0,VLOOKUP(VLOOKUP(AB529,Tbl_Effect[],3,FALSE),EffectName[],IFERROR(MATCH(UI!$B$1,EffectName[#Headers],0),2),FALSE),"")</f>
        <v/>
      </c>
    </row>
    <row r="530" spans="8:29" x14ac:dyDescent="0.4">
      <c r="H530" t="str">
        <f t="shared" si="56"/>
        <v>1007010-細膩的火燃情景 (紅)</v>
      </c>
      <c r="I530">
        <v>1007010</v>
      </c>
      <c r="J530" t="str">
        <f>_xlfn.IFNA(IF(I530&lt;&gt;0,VLOOKUP(VLOOKUP(I530,Tbl_Equip[],2,FALSE),Tbl_Color[],IFERROR(MATCH(UI!$B$1,Tbl_Color[#Headers],0),2),FALSE),""),"Unset")</f>
        <v>紅</v>
      </c>
      <c r="K530" t="str">
        <f>_xlfn.IFNA(IF(I530&lt;&gt;0,VLOOKUP(I530,ItemText[],IFERROR(MATCH(UI!$B$1,ItemText[#Headers],0),2),FALSE),""),"Unset")</f>
        <v>細膩的火燃情景</v>
      </c>
      <c r="L530" t="str">
        <f t="shared" si="57"/>
        <v/>
      </c>
      <c r="M530">
        <v>0</v>
      </c>
      <c r="N530" t="str">
        <f>IF(VALUE(M530)=0,"",VLOOKUP(VLOOKUP(M530,Tbl_Effect[],3,FALSE),EffectName[],IFERROR(MATCH(UI!$B$1,EffectName[#Headers],0),2),FALSE))</f>
        <v/>
      </c>
      <c r="O530" t="str">
        <f t="shared" si="58"/>
        <v/>
      </c>
      <c r="P530">
        <v>0</v>
      </c>
      <c r="Q530" t="str">
        <f>IF(VALUE(P530)=0,"",VLOOKUP(VLOOKUP(P530,Tbl_Effect[],3,FALSE),EffectName[],IFERROR(MATCH(UI!$B$1,EffectName[#Headers],0),2),FALSE))</f>
        <v/>
      </c>
      <c r="R530" t="str">
        <f t="shared" si="59"/>
        <v/>
      </c>
      <c r="S530">
        <v>0</v>
      </c>
      <c r="T530" t="str">
        <f>IF(VALUE(S530)=0,"",VLOOKUP(VLOOKUP(S530,Tbl_Effect[],3,FALSE),EffectName[],IFERROR(MATCH(UI!$B$1,EffectName[#Headers],0),2),FALSE))</f>
        <v/>
      </c>
      <c r="U530" t="str">
        <f t="shared" si="60"/>
        <v/>
      </c>
      <c r="V530">
        <v>0</v>
      </c>
      <c r="W530" t="str">
        <f>IF(V530&lt;&gt;0,VLOOKUP(VLOOKUP(V530,Tbl_Effect[],3,FALSE),EffectName[],IFERROR(MATCH(UI!$B$1,EffectName[#Headers],0),2),FALSE),"")</f>
        <v/>
      </c>
      <c r="X530" t="str">
        <f t="shared" si="61"/>
        <v/>
      </c>
      <c r="Y530">
        <v>0</v>
      </c>
      <c r="Z530" t="str">
        <f>IF(Y530&lt;&gt;0,VLOOKUP(VLOOKUP(Y530,Tbl_Effect[],3,FALSE),EffectName[],IFERROR(MATCH(UI!$B$1,EffectName[#Headers],0),2),FALSE),"")</f>
        <v/>
      </c>
      <c r="AA530" t="str">
        <f t="shared" si="62"/>
        <v/>
      </c>
      <c r="AB530">
        <v>0</v>
      </c>
      <c r="AC530" t="str">
        <f>IF(AB530&lt;&gt;0,VLOOKUP(VLOOKUP(AB530,Tbl_Effect[],3,FALSE),EffectName[],IFERROR(MATCH(UI!$B$1,EffectName[#Headers],0),2),FALSE),"")</f>
        <v/>
      </c>
    </row>
    <row r="531" spans="8:29" x14ac:dyDescent="0.4">
      <c r="H531" t="str">
        <f t="shared" si="56"/>
        <v>1007011-端正的火燃情景 (紅)</v>
      </c>
      <c r="I531">
        <v>1007011</v>
      </c>
      <c r="J531" t="str">
        <f>_xlfn.IFNA(IF(I531&lt;&gt;0,VLOOKUP(VLOOKUP(I531,Tbl_Equip[],2,FALSE),Tbl_Color[],IFERROR(MATCH(UI!$B$1,Tbl_Color[#Headers],0),2),FALSE),""),"Unset")</f>
        <v>紅</v>
      </c>
      <c r="K531" t="str">
        <f>_xlfn.IFNA(IF(I531&lt;&gt;0,VLOOKUP(I531,ItemText[],IFERROR(MATCH(UI!$B$1,ItemText[#Headers],0),2),FALSE),""),"Unset")</f>
        <v>端正的火燃情景</v>
      </c>
      <c r="L531" t="str">
        <f t="shared" si="57"/>
        <v/>
      </c>
      <c r="M531">
        <v>0</v>
      </c>
      <c r="N531" t="str">
        <f>IF(VALUE(M531)=0,"",VLOOKUP(VLOOKUP(M531,Tbl_Effect[],3,FALSE),EffectName[],IFERROR(MATCH(UI!$B$1,EffectName[#Headers],0),2),FALSE))</f>
        <v/>
      </c>
      <c r="O531" t="str">
        <f t="shared" si="58"/>
        <v/>
      </c>
      <c r="P531">
        <v>0</v>
      </c>
      <c r="Q531" t="str">
        <f>IF(VALUE(P531)=0,"",VLOOKUP(VLOOKUP(P531,Tbl_Effect[],3,FALSE),EffectName[],IFERROR(MATCH(UI!$B$1,EffectName[#Headers],0),2),FALSE))</f>
        <v/>
      </c>
      <c r="R531" t="str">
        <f t="shared" si="59"/>
        <v/>
      </c>
      <c r="S531">
        <v>0</v>
      </c>
      <c r="T531" t="str">
        <f>IF(VALUE(S531)=0,"",VLOOKUP(VLOOKUP(S531,Tbl_Effect[],3,FALSE),EffectName[],IFERROR(MATCH(UI!$B$1,EffectName[#Headers],0),2),FALSE))</f>
        <v/>
      </c>
      <c r="U531" t="str">
        <f t="shared" si="60"/>
        <v/>
      </c>
      <c r="V531">
        <v>0</v>
      </c>
      <c r="W531" t="str">
        <f>IF(V531&lt;&gt;0,VLOOKUP(VLOOKUP(V531,Tbl_Effect[],3,FALSE),EffectName[],IFERROR(MATCH(UI!$B$1,EffectName[#Headers],0),2),FALSE),"")</f>
        <v/>
      </c>
      <c r="X531" t="str">
        <f t="shared" si="61"/>
        <v/>
      </c>
      <c r="Y531">
        <v>0</v>
      </c>
      <c r="Z531" t="str">
        <f>IF(Y531&lt;&gt;0,VLOOKUP(VLOOKUP(Y531,Tbl_Effect[],3,FALSE),EffectName[],IFERROR(MATCH(UI!$B$1,EffectName[#Headers],0),2),FALSE),"")</f>
        <v/>
      </c>
      <c r="AA531" t="str">
        <f t="shared" si="62"/>
        <v/>
      </c>
      <c r="AB531">
        <v>0</v>
      </c>
      <c r="AC531" t="str">
        <f>IF(AB531&lt;&gt;0,VLOOKUP(VLOOKUP(AB531,Tbl_Effect[],3,FALSE),EffectName[],IFERROR(MATCH(UI!$B$1,EffectName[#Headers],0),2),FALSE),"")</f>
        <v/>
      </c>
    </row>
    <row r="532" spans="8:29" x14ac:dyDescent="0.4">
      <c r="H532" t="str">
        <f t="shared" si="56"/>
        <v>1007012-遼闊的火燃情景 (紅)</v>
      </c>
      <c r="I532">
        <v>1007012</v>
      </c>
      <c r="J532" t="str">
        <f>_xlfn.IFNA(IF(I532&lt;&gt;0,VLOOKUP(VLOOKUP(I532,Tbl_Equip[],2,FALSE),Tbl_Color[],IFERROR(MATCH(UI!$B$1,Tbl_Color[#Headers],0),2),FALSE),""),"Unset")</f>
        <v>紅</v>
      </c>
      <c r="K532" t="str">
        <f>_xlfn.IFNA(IF(I532&lt;&gt;0,VLOOKUP(I532,ItemText[],IFERROR(MATCH(UI!$B$1,ItemText[#Headers],0),2),FALSE),""),"Unset")</f>
        <v>遼闊的火燃情景</v>
      </c>
      <c r="L532" t="str">
        <f t="shared" si="57"/>
        <v/>
      </c>
      <c r="M532">
        <v>0</v>
      </c>
      <c r="N532" t="str">
        <f>IF(VALUE(M532)=0,"",VLOOKUP(VLOOKUP(M532,Tbl_Effect[],3,FALSE),EffectName[],IFERROR(MATCH(UI!$B$1,EffectName[#Headers],0),2),FALSE))</f>
        <v/>
      </c>
      <c r="O532" t="str">
        <f t="shared" si="58"/>
        <v/>
      </c>
      <c r="P532">
        <v>0</v>
      </c>
      <c r="Q532" t="str">
        <f>IF(VALUE(P532)=0,"",VLOOKUP(VLOOKUP(P532,Tbl_Effect[],3,FALSE),EffectName[],IFERROR(MATCH(UI!$B$1,EffectName[#Headers],0),2),FALSE))</f>
        <v/>
      </c>
      <c r="R532" t="str">
        <f t="shared" si="59"/>
        <v/>
      </c>
      <c r="S532">
        <v>0</v>
      </c>
      <c r="T532" t="str">
        <f>IF(VALUE(S532)=0,"",VLOOKUP(VLOOKUP(S532,Tbl_Effect[],3,FALSE),EffectName[],IFERROR(MATCH(UI!$B$1,EffectName[#Headers],0),2),FALSE))</f>
        <v/>
      </c>
      <c r="U532" t="str">
        <f t="shared" si="60"/>
        <v/>
      </c>
      <c r="V532">
        <v>0</v>
      </c>
      <c r="W532" t="str">
        <f>IF(V532&lt;&gt;0,VLOOKUP(VLOOKUP(V532,Tbl_Effect[],3,FALSE),EffectName[],IFERROR(MATCH(UI!$B$1,EffectName[#Headers],0),2),FALSE),"")</f>
        <v/>
      </c>
      <c r="X532" t="str">
        <f t="shared" si="61"/>
        <v/>
      </c>
      <c r="Y532">
        <v>0</v>
      </c>
      <c r="Z532" t="str">
        <f>IF(Y532&lt;&gt;0,VLOOKUP(VLOOKUP(Y532,Tbl_Effect[],3,FALSE),EffectName[],IFERROR(MATCH(UI!$B$1,EffectName[#Headers],0),2),FALSE),"")</f>
        <v/>
      </c>
      <c r="AA532" t="str">
        <f t="shared" si="62"/>
        <v/>
      </c>
      <c r="AB532">
        <v>0</v>
      </c>
      <c r="AC532" t="str">
        <f>IF(AB532&lt;&gt;0,VLOOKUP(VLOOKUP(AB532,Tbl_Effect[],3,FALSE),EffectName[],IFERROR(MATCH(UI!$B$1,EffectName[#Headers],0),2),FALSE),"")</f>
        <v/>
      </c>
    </row>
    <row r="533" spans="8:29" x14ac:dyDescent="0.4">
      <c r="H533" t="str">
        <f t="shared" si="56"/>
        <v>1007020-細膩的火燃情景 (紅)</v>
      </c>
      <c r="I533">
        <v>1007020</v>
      </c>
      <c r="J533" t="str">
        <f>_xlfn.IFNA(IF(I533&lt;&gt;0,VLOOKUP(VLOOKUP(I533,Tbl_Equip[],2,FALSE),Tbl_Color[],IFERROR(MATCH(UI!$B$1,Tbl_Color[#Headers],0),2),FALSE),""),"Unset")</f>
        <v>紅</v>
      </c>
      <c r="K533" t="str">
        <f>_xlfn.IFNA(IF(I533&lt;&gt;0,VLOOKUP(I533,ItemText[],IFERROR(MATCH(UI!$B$1,ItemText[#Headers],0),2),FALSE),""),"Unset")</f>
        <v>細膩的火燃情景</v>
      </c>
      <c r="L533" t="str">
        <f t="shared" si="57"/>
        <v/>
      </c>
      <c r="M533">
        <v>0</v>
      </c>
      <c r="N533" t="str">
        <f>IF(VALUE(M533)=0,"",VLOOKUP(VLOOKUP(M533,Tbl_Effect[],3,FALSE),EffectName[],IFERROR(MATCH(UI!$B$1,EffectName[#Headers],0),2),FALSE))</f>
        <v/>
      </c>
      <c r="O533" t="str">
        <f t="shared" si="58"/>
        <v/>
      </c>
      <c r="P533">
        <v>0</v>
      </c>
      <c r="Q533" t="str">
        <f>IF(VALUE(P533)=0,"",VLOOKUP(VLOOKUP(P533,Tbl_Effect[],3,FALSE),EffectName[],IFERROR(MATCH(UI!$B$1,EffectName[#Headers],0),2),FALSE))</f>
        <v/>
      </c>
      <c r="R533" t="str">
        <f t="shared" si="59"/>
        <v/>
      </c>
      <c r="S533">
        <v>0</v>
      </c>
      <c r="T533" t="str">
        <f>IF(VALUE(S533)=0,"",VLOOKUP(VLOOKUP(S533,Tbl_Effect[],3,FALSE),EffectName[],IFERROR(MATCH(UI!$B$1,EffectName[#Headers],0),2),FALSE))</f>
        <v/>
      </c>
      <c r="U533" t="str">
        <f t="shared" si="60"/>
        <v/>
      </c>
      <c r="V533">
        <v>0</v>
      </c>
      <c r="W533" t="str">
        <f>IF(V533&lt;&gt;0,VLOOKUP(VLOOKUP(V533,Tbl_Effect[],3,FALSE),EffectName[],IFERROR(MATCH(UI!$B$1,EffectName[#Headers],0),2),FALSE),"")</f>
        <v/>
      </c>
      <c r="X533" t="str">
        <f t="shared" si="61"/>
        <v/>
      </c>
      <c r="Y533">
        <v>0</v>
      </c>
      <c r="Z533" t="str">
        <f>IF(Y533&lt;&gt;0,VLOOKUP(VLOOKUP(Y533,Tbl_Effect[],3,FALSE),EffectName[],IFERROR(MATCH(UI!$B$1,EffectName[#Headers],0),2),FALSE),"")</f>
        <v/>
      </c>
      <c r="AA533" t="str">
        <f t="shared" si="62"/>
        <v/>
      </c>
      <c r="AB533">
        <v>0</v>
      </c>
      <c r="AC533" t="str">
        <f>IF(AB533&lt;&gt;0,VLOOKUP(VLOOKUP(AB533,Tbl_Effect[],3,FALSE),EffectName[],IFERROR(MATCH(UI!$B$1,EffectName[#Headers],0),2),FALSE),"")</f>
        <v/>
      </c>
    </row>
    <row r="534" spans="8:29" x14ac:dyDescent="0.4">
      <c r="H534" t="str">
        <f t="shared" si="56"/>
        <v>1007021-端正的火燃情景 (紅)</v>
      </c>
      <c r="I534">
        <v>1007021</v>
      </c>
      <c r="J534" t="str">
        <f>_xlfn.IFNA(IF(I534&lt;&gt;0,VLOOKUP(VLOOKUP(I534,Tbl_Equip[],2,FALSE),Tbl_Color[],IFERROR(MATCH(UI!$B$1,Tbl_Color[#Headers],0),2),FALSE),""),"Unset")</f>
        <v>紅</v>
      </c>
      <c r="K534" t="str">
        <f>_xlfn.IFNA(IF(I534&lt;&gt;0,VLOOKUP(I534,ItemText[],IFERROR(MATCH(UI!$B$1,ItemText[#Headers],0),2),FALSE),""),"Unset")</f>
        <v>端正的火燃情景</v>
      </c>
      <c r="L534" t="str">
        <f t="shared" si="57"/>
        <v/>
      </c>
      <c r="M534">
        <v>0</v>
      </c>
      <c r="N534" t="str">
        <f>IF(VALUE(M534)=0,"",VLOOKUP(VLOOKUP(M534,Tbl_Effect[],3,FALSE),EffectName[],IFERROR(MATCH(UI!$B$1,EffectName[#Headers],0),2),FALSE))</f>
        <v/>
      </c>
      <c r="O534" t="str">
        <f t="shared" si="58"/>
        <v/>
      </c>
      <c r="P534">
        <v>0</v>
      </c>
      <c r="Q534" t="str">
        <f>IF(VALUE(P534)=0,"",VLOOKUP(VLOOKUP(P534,Tbl_Effect[],3,FALSE),EffectName[],IFERROR(MATCH(UI!$B$1,EffectName[#Headers],0),2),FALSE))</f>
        <v/>
      </c>
      <c r="R534" t="str">
        <f t="shared" si="59"/>
        <v/>
      </c>
      <c r="S534">
        <v>0</v>
      </c>
      <c r="T534" t="str">
        <f>IF(VALUE(S534)=0,"",VLOOKUP(VLOOKUP(S534,Tbl_Effect[],3,FALSE),EffectName[],IFERROR(MATCH(UI!$B$1,EffectName[#Headers],0),2),FALSE))</f>
        <v/>
      </c>
      <c r="U534" t="str">
        <f t="shared" si="60"/>
        <v/>
      </c>
      <c r="V534">
        <v>0</v>
      </c>
      <c r="W534" t="str">
        <f>IF(V534&lt;&gt;0,VLOOKUP(VLOOKUP(V534,Tbl_Effect[],3,FALSE),EffectName[],IFERROR(MATCH(UI!$B$1,EffectName[#Headers],0),2),FALSE),"")</f>
        <v/>
      </c>
      <c r="X534" t="str">
        <f t="shared" si="61"/>
        <v/>
      </c>
      <c r="Y534">
        <v>0</v>
      </c>
      <c r="Z534" t="str">
        <f>IF(Y534&lt;&gt;0,VLOOKUP(VLOOKUP(Y534,Tbl_Effect[],3,FALSE),EffectName[],IFERROR(MATCH(UI!$B$1,EffectName[#Headers],0),2),FALSE),"")</f>
        <v/>
      </c>
      <c r="AA534" t="str">
        <f t="shared" si="62"/>
        <v/>
      </c>
      <c r="AB534">
        <v>0</v>
      </c>
      <c r="AC534" t="str">
        <f>IF(AB534&lt;&gt;0,VLOOKUP(VLOOKUP(AB534,Tbl_Effect[],3,FALSE),EffectName[],IFERROR(MATCH(UI!$B$1,EffectName[#Headers],0),2),FALSE),"")</f>
        <v/>
      </c>
    </row>
    <row r="535" spans="8:29" x14ac:dyDescent="0.4">
      <c r="H535" t="str">
        <f t="shared" si="56"/>
        <v>1007022-遼闊的火燃情景 (紅)</v>
      </c>
      <c r="I535">
        <v>1007022</v>
      </c>
      <c r="J535" t="str">
        <f>_xlfn.IFNA(IF(I535&lt;&gt;0,VLOOKUP(VLOOKUP(I535,Tbl_Equip[],2,FALSE),Tbl_Color[],IFERROR(MATCH(UI!$B$1,Tbl_Color[#Headers],0),2),FALSE),""),"Unset")</f>
        <v>紅</v>
      </c>
      <c r="K535" t="str">
        <f>_xlfn.IFNA(IF(I535&lt;&gt;0,VLOOKUP(I535,ItemText[],IFERROR(MATCH(UI!$B$1,ItemText[#Headers],0),2),FALSE),""),"Unset")</f>
        <v>遼闊的火燃情景</v>
      </c>
      <c r="L535" t="str">
        <f t="shared" si="57"/>
        <v/>
      </c>
      <c r="M535">
        <v>0</v>
      </c>
      <c r="N535" t="str">
        <f>IF(VALUE(M535)=0,"",VLOOKUP(VLOOKUP(M535,Tbl_Effect[],3,FALSE),EffectName[],IFERROR(MATCH(UI!$B$1,EffectName[#Headers],0),2),FALSE))</f>
        <v/>
      </c>
      <c r="O535" t="str">
        <f t="shared" si="58"/>
        <v/>
      </c>
      <c r="P535">
        <v>0</v>
      </c>
      <c r="Q535" t="str">
        <f>IF(VALUE(P535)=0,"",VLOOKUP(VLOOKUP(P535,Tbl_Effect[],3,FALSE),EffectName[],IFERROR(MATCH(UI!$B$1,EffectName[#Headers],0),2),FALSE))</f>
        <v/>
      </c>
      <c r="R535" t="str">
        <f t="shared" si="59"/>
        <v/>
      </c>
      <c r="S535">
        <v>0</v>
      </c>
      <c r="T535" t="str">
        <f>IF(VALUE(S535)=0,"",VLOOKUP(VLOOKUP(S535,Tbl_Effect[],3,FALSE),EffectName[],IFERROR(MATCH(UI!$B$1,EffectName[#Headers],0),2),FALSE))</f>
        <v/>
      </c>
      <c r="U535" t="str">
        <f t="shared" si="60"/>
        <v/>
      </c>
      <c r="V535">
        <v>0</v>
      </c>
      <c r="W535" t="str">
        <f>IF(V535&lt;&gt;0,VLOOKUP(VLOOKUP(V535,Tbl_Effect[],3,FALSE),EffectName[],IFERROR(MATCH(UI!$B$1,EffectName[#Headers],0),2),FALSE),"")</f>
        <v/>
      </c>
      <c r="X535" t="str">
        <f t="shared" si="61"/>
        <v/>
      </c>
      <c r="Y535">
        <v>0</v>
      </c>
      <c r="Z535" t="str">
        <f>IF(Y535&lt;&gt;0,VLOOKUP(VLOOKUP(Y535,Tbl_Effect[],3,FALSE),EffectName[],IFERROR(MATCH(UI!$B$1,EffectName[#Headers],0),2),FALSE),"")</f>
        <v/>
      </c>
      <c r="AA535" t="str">
        <f t="shared" si="62"/>
        <v/>
      </c>
      <c r="AB535">
        <v>0</v>
      </c>
      <c r="AC535" t="str">
        <f>IF(AB535&lt;&gt;0,VLOOKUP(VLOOKUP(AB535,Tbl_Effect[],3,FALSE),EffectName[],IFERROR(MATCH(UI!$B$1,EffectName[#Headers],0),2),FALSE),"")</f>
        <v/>
      </c>
    </row>
    <row r="536" spans="8:29" x14ac:dyDescent="0.4">
      <c r="H536" t="str">
        <f t="shared" si="56"/>
        <v>1007100-細膩的水滴情景 (藍)</v>
      </c>
      <c r="I536">
        <v>1007100</v>
      </c>
      <c r="J536" t="str">
        <f>_xlfn.IFNA(IF(I536&lt;&gt;0,VLOOKUP(VLOOKUP(I536,Tbl_Equip[],2,FALSE),Tbl_Color[],IFERROR(MATCH(UI!$B$1,Tbl_Color[#Headers],0),2),FALSE),""),"Unset")</f>
        <v>藍</v>
      </c>
      <c r="K536" t="str">
        <f>_xlfn.IFNA(IF(I536&lt;&gt;0,VLOOKUP(I536,ItemText[],IFERROR(MATCH(UI!$B$1,ItemText[#Headers],0),2),FALSE),""),"Unset")</f>
        <v>細膩的水滴情景</v>
      </c>
      <c r="L536" t="str">
        <f t="shared" si="57"/>
        <v/>
      </c>
      <c r="M536">
        <v>0</v>
      </c>
      <c r="N536" t="str">
        <f>IF(VALUE(M536)=0,"",VLOOKUP(VLOOKUP(M536,Tbl_Effect[],3,FALSE),EffectName[],IFERROR(MATCH(UI!$B$1,EffectName[#Headers],0),2),FALSE))</f>
        <v/>
      </c>
      <c r="O536" t="str">
        <f t="shared" si="58"/>
        <v/>
      </c>
      <c r="P536">
        <v>0</v>
      </c>
      <c r="Q536" t="str">
        <f>IF(VALUE(P536)=0,"",VLOOKUP(VLOOKUP(P536,Tbl_Effect[],3,FALSE),EffectName[],IFERROR(MATCH(UI!$B$1,EffectName[#Headers],0),2),FALSE))</f>
        <v/>
      </c>
      <c r="R536" t="str">
        <f t="shared" si="59"/>
        <v/>
      </c>
      <c r="S536">
        <v>0</v>
      </c>
      <c r="T536" t="str">
        <f>IF(VALUE(S536)=0,"",VLOOKUP(VLOOKUP(S536,Tbl_Effect[],3,FALSE),EffectName[],IFERROR(MATCH(UI!$B$1,EffectName[#Headers],0),2),FALSE))</f>
        <v/>
      </c>
      <c r="U536" t="str">
        <f t="shared" si="60"/>
        <v/>
      </c>
      <c r="V536">
        <v>0</v>
      </c>
      <c r="W536" t="str">
        <f>IF(V536&lt;&gt;0,VLOOKUP(VLOOKUP(V536,Tbl_Effect[],3,FALSE),EffectName[],IFERROR(MATCH(UI!$B$1,EffectName[#Headers],0),2),FALSE),"")</f>
        <v/>
      </c>
      <c r="X536" t="str">
        <f t="shared" si="61"/>
        <v/>
      </c>
      <c r="Y536">
        <v>0</v>
      </c>
      <c r="Z536" t="str">
        <f>IF(Y536&lt;&gt;0,VLOOKUP(VLOOKUP(Y536,Tbl_Effect[],3,FALSE),EffectName[],IFERROR(MATCH(UI!$B$1,EffectName[#Headers],0),2),FALSE),"")</f>
        <v/>
      </c>
      <c r="AA536" t="str">
        <f t="shared" si="62"/>
        <v/>
      </c>
      <c r="AB536">
        <v>0</v>
      </c>
      <c r="AC536" t="str">
        <f>IF(AB536&lt;&gt;0,VLOOKUP(VLOOKUP(AB536,Tbl_Effect[],3,FALSE),EffectName[],IFERROR(MATCH(UI!$B$1,EffectName[#Headers],0),2),FALSE),"")</f>
        <v/>
      </c>
    </row>
    <row r="537" spans="8:29" x14ac:dyDescent="0.4">
      <c r="H537" t="str">
        <f t="shared" si="56"/>
        <v>1007101-端正的水滴情景 (藍)</v>
      </c>
      <c r="I537">
        <v>1007101</v>
      </c>
      <c r="J537" t="str">
        <f>_xlfn.IFNA(IF(I537&lt;&gt;0,VLOOKUP(VLOOKUP(I537,Tbl_Equip[],2,FALSE),Tbl_Color[],IFERROR(MATCH(UI!$B$1,Tbl_Color[#Headers],0),2),FALSE),""),"Unset")</f>
        <v>藍</v>
      </c>
      <c r="K537" t="str">
        <f>_xlfn.IFNA(IF(I537&lt;&gt;0,VLOOKUP(I537,ItemText[],IFERROR(MATCH(UI!$B$1,ItemText[#Headers],0),2),FALSE),""),"Unset")</f>
        <v>端正的水滴情景</v>
      </c>
      <c r="L537" t="str">
        <f t="shared" si="57"/>
        <v/>
      </c>
      <c r="M537">
        <v>0</v>
      </c>
      <c r="N537" t="str">
        <f>IF(VALUE(M537)=0,"",VLOOKUP(VLOOKUP(M537,Tbl_Effect[],3,FALSE),EffectName[],IFERROR(MATCH(UI!$B$1,EffectName[#Headers],0),2),FALSE))</f>
        <v/>
      </c>
      <c r="O537" t="str">
        <f t="shared" si="58"/>
        <v/>
      </c>
      <c r="P537">
        <v>0</v>
      </c>
      <c r="Q537" t="str">
        <f>IF(VALUE(P537)=0,"",VLOOKUP(VLOOKUP(P537,Tbl_Effect[],3,FALSE),EffectName[],IFERROR(MATCH(UI!$B$1,EffectName[#Headers],0),2),FALSE))</f>
        <v/>
      </c>
      <c r="R537" t="str">
        <f t="shared" si="59"/>
        <v/>
      </c>
      <c r="S537">
        <v>0</v>
      </c>
      <c r="T537" t="str">
        <f>IF(VALUE(S537)=0,"",VLOOKUP(VLOOKUP(S537,Tbl_Effect[],3,FALSE),EffectName[],IFERROR(MATCH(UI!$B$1,EffectName[#Headers],0),2),FALSE))</f>
        <v/>
      </c>
      <c r="U537" t="str">
        <f t="shared" si="60"/>
        <v/>
      </c>
      <c r="V537">
        <v>0</v>
      </c>
      <c r="W537" t="str">
        <f>IF(V537&lt;&gt;0,VLOOKUP(VLOOKUP(V537,Tbl_Effect[],3,FALSE),EffectName[],IFERROR(MATCH(UI!$B$1,EffectName[#Headers],0),2),FALSE),"")</f>
        <v/>
      </c>
      <c r="X537" t="str">
        <f t="shared" si="61"/>
        <v/>
      </c>
      <c r="Y537">
        <v>0</v>
      </c>
      <c r="Z537" t="str">
        <f>IF(Y537&lt;&gt;0,VLOOKUP(VLOOKUP(Y537,Tbl_Effect[],3,FALSE),EffectName[],IFERROR(MATCH(UI!$B$1,EffectName[#Headers],0),2),FALSE),"")</f>
        <v/>
      </c>
      <c r="AA537" t="str">
        <f t="shared" si="62"/>
        <v/>
      </c>
      <c r="AB537">
        <v>0</v>
      </c>
      <c r="AC537" t="str">
        <f>IF(AB537&lt;&gt;0,VLOOKUP(VLOOKUP(AB537,Tbl_Effect[],3,FALSE),EffectName[],IFERROR(MATCH(UI!$B$1,EffectName[#Headers],0),2),FALSE),"")</f>
        <v/>
      </c>
    </row>
    <row r="538" spans="8:29" x14ac:dyDescent="0.4">
      <c r="H538" t="str">
        <f t="shared" si="56"/>
        <v>1007102-遼闊的水滴情景 (藍)</v>
      </c>
      <c r="I538">
        <v>1007102</v>
      </c>
      <c r="J538" t="str">
        <f>_xlfn.IFNA(IF(I538&lt;&gt;0,VLOOKUP(VLOOKUP(I538,Tbl_Equip[],2,FALSE),Tbl_Color[],IFERROR(MATCH(UI!$B$1,Tbl_Color[#Headers],0),2),FALSE),""),"Unset")</f>
        <v>藍</v>
      </c>
      <c r="K538" t="str">
        <f>_xlfn.IFNA(IF(I538&lt;&gt;0,VLOOKUP(I538,ItemText[],IFERROR(MATCH(UI!$B$1,ItemText[#Headers],0),2),FALSE),""),"Unset")</f>
        <v>遼闊的水滴情景</v>
      </c>
      <c r="L538" t="str">
        <f t="shared" si="57"/>
        <v/>
      </c>
      <c r="M538">
        <v>0</v>
      </c>
      <c r="N538" t="str">
        <f>IF(VALUE(M538)=0,"",VLOOKUP(VLOOKUP(M538,Tbl_Effect[],3,FALSE),EffectName[],IFERROR(MATCH(UI!$B$1,EffectName[#Headers],0),2),FALSE))</f>
        <v/>
      </c>
      <c r="O538" t="str">
        <f t="shared" si="58"/>
        <v/>
      </c>
      <c r="P538">
        <v>0</v>
      </c>
      <c r="Q538" t="str">
        <f>IF(VALUE(P538)=0,"",VLOOKUP(VLOOKUP(P538,Tbl_Effect[],3,FALSE),EffectName[],IFERROR(MATCH(UI!$B$1,EffectName[#Headers],0),2),FALSE))</f>
        <v/>
      </c>
      <c r="R538" t="str">
        <f t="shared" si="59"/>
        <v/>
      </c>
      <c r="S538">
        <v>0</v>
      </c>
      <c r="T538" t="str">
        <f>IF(VALUE(S538)=0,"",VLOOKUP(VLOOKUP(S538,Tbl_Effect[],3,FALSE),EffectName[],IFERROR(MATCH(UI!$B$1,EffectName[#Headers],0),2),FALSE))</f>
        <v/>
      </c>
      <c r="U538" t="str">
        <f t="shared" si="60"/>
        <v/>
      </c>
      <c r="V538">
        <v>0</v>
      </c>
      <c r="W538" t="str">
        <f>IF(V538&lt;&gt;0,VLOOKUP(VLOOKUP(V538,Tbl_Effect[],3,FALSE),EffectName[],IFERROR(MATCH(UI!$B$1,EffectName[#Headers],0),2),FALSE),"")</f>
        <v/>
      </c>
      <c r="X538" t="str">
        <f t="shared" si="61"/>
        <v/>
      </c>
      <c r="Y538">
        <v>0</v>
      </c>
      <c r="Z538" t="str">
        <f>IF(Y538&lt;&gt;0,VLOOKUP(VLOOKUP(Y538,Tbl_Effect[],3,FALSE),EffectName[],IFERROR(MATCH(UI!$B$1,EffectName[#Headers],0),2),FALSE),"")</f>
        <v/>
      </c>
      <c r="AA538" t="str">
        <f t="shared" si="62"/>
        <v/>
      </c>
      <c r="AB538">
        <v>0</v>
      </c>
      <c r="AC538" t="str">
        <f>IF(AB538&lt;&gt;0,VLOOKUP(VLOOKUP(AB538,Tbl_Effect[],3,FALSE),EffectName[],IFERROR(MATCH(UI!$B$1,EffectName[#Headers],0),2),FALSE),"")</f>
        <v/>
      </c>
    </row>
    <row r="539" spans="8:29" x14ac:dyDescent="0.4">
      <c r="H539" t="str">
        <f t="shared" si="56"/>
        <v>1007110-細膩的水滴情景 (藍)</v>
      </c>
      <c r="I539">
        <v>1007110</v>
      </c>
      <c r="J539" t="str">
        <f>_xlfn.IFNA(IF(I539&lt;&gt;0,VLOOKUP(VLOOKUP(I539,Tbl_Equip[],2,FALSE),Tbl_Color[],IFERROR(MATCH(UI!$B$1,Tbl_Color[#Headers],0),2),FALSE),""),"Unset")</f>
        <v>藍</v>
      </c>
      <c r="K539" t="str">
        <f>_xlfn.IFNA(IF(I539&lt;&gt;0,VLOOKUP(I539,ItemText[],IFERROR(MATCH(UI!$B$1,ItemText[#Headers],0),2),FALSE),""),"Unset")</f>
        <v>細膩的水滴情景</v>
      </c>
      <c r="L539" t="str">
        <f t="shared" si="57"/>
        <v/>
      </c>
      <c r="M539">
        <v>0</v>
      </c>
      <c r="N539" t="str">
        <f>IF(VALUE(M539)=0,"",VLOOKUP(VLOOKUP(M539,Tbl_Effect[],3,FALSE),EffectName[],IFERROR(MATCH(UI!$B$1,EffectName[#Headers],0),2),FALSE))</f>
        <v/>
      </c>
      <c r="O539" t="str">
        <f t="shared" si="58"/>
        <v/>
      </c>
      <c r="P539">
        <v>0</v>
      </c>
      <c r="Q539" t="str">
        <f>IF(VALUE(P539)=0,"",VLOOKUP(VLOOKUP(P539,Tbl_Effect[],3,FALSE),EffectName[],IFERROR(MATCH(UI!$B$1,EffectName[#Headers],0),2),FALSE))</f>
        <v/>
      </c>
      <c r="R539" t="str">
        <f t="shared" si="59"/>
        <v/>
      </c>
      <c r="S539">
        <v>0</v>
      </c>
      <c r="T539" t="str">
        <f>IF(VALUE(S539)=0,"",VLOOKUP(VLOOKUP(S539,Tbl_Effect[],3,FALSE),EffectName[],IFERROR(MATCH(UI!$B$1,EffectName[#Headers],0),2),FALSE))</f>
        <v/>
      </c>
      <c r="U539" t="str">
        <f t="shared" si="60"/>
        <v/>
      </c>
      <c r="V539">
        <v>0</v>
      </c>
      <c r="W539" t="str">
        <f>IF(V539&lt;&gt;0,VLOOKUP(VLOOKUP(V539,Tbl_Effect[],3,FALSE),EffectName[],IFERROR(MATCH(UI!$B$1,EffectName[#Headers],0),2),FALSE),"")</f>
        <v/>
      </c>
      <c r="X539" t="str">
        <f t="shared" si="61"/>
        <v/>
      </c>
      <c r="Y539">
        <v>0</v>
      </c>
      <c r="Z539" t="str">
        <f>IF(Y539&lt;&gt;0,VLOOKUP(VLOOKUP(Y539,Tbl_Effect[],3,FALSE),EffectName[],IFERROR(MATCH(UI!$B$1,EffectName[#Headers],0),2),FALSE),"")</f>
        <v/>
      </c>
      <c r="AA539" t="str">
        <f t="shared" si="62"/>
        <v/>
      </c>
      <c r="AB539">
        <v>0</v>
      </c>
      <c r="AC539" t="str">
        <f>IF(AB539&lt;&gt;0,VLOOKUP(VLOOKUP(AB539,Tbl_Effect[],3,FALSE),EffectName[],IFERROR(MATCH(UI!$B$1,EffectName[#Headers],0),2),FALSE),"")</f>
        <v/>
      </c>
    </row>
    <row r="540" spans="8:29" x14ac:dyDescent="0.4">
      <c r="H540" t="str">
        <f t="shared" si="56"/>
        <v>1007111-端正的水滴情景 (藍)</v>
      </c>
      <c r="I540">
        <v>1007111</v>
      </c>
      <c r="J540" t="str">
        <f>_xlfn.IFNA(IF(I540&lt;&gt;0,VLOOKUP(VLOOKUP(I540,Tbl_Equip[],2,FALSE),Tbl_Color[],IFERROR(MATCH(UI!$B$1,Tbl_Color[#Headers],0),2),FALSE),""),"Unset")</f>
        <v>藍</v>
      </c>
      <c r="K540" t="str">
        <f>_xlfn.IFNA(IF(I540&lt;&gt;0,VLOOKUP(I540,ItemText[],IFERROR(MATCH(UI!$B$1,ItemText[#Headers],0),2),FALSE),""),"Unset")</f>
        <v>端正的水滴情景</v>
      </c>
      <c r="L540" t="str">
        <f t="shared" si="57"/>
        <v/>
      </c>
      <c r="M540">
        <v>0</v>
      </c>
      <c r="N540" t="str">
        <f>IF(VALUE(M540)=0,"",VLOOKUP(VLOOKUP(M540,Tbl_Effect[],3,FALSE),EffectName[],IFERROR(MATCH(UI!$B$1,EffectName[#Headers],0),2),FALSE))</f>
        <v/>
      </c>
      <c r="O540" t="str">
        <f t="shared" si="58"/>
        <v/>
      </c>
      <c r="P540">
        <v>0</v>
      </c>
      <c r="Q540" t="str">
        <f>IF(VALUE(P540)=0,"",VLOOKUP(VLOOKUP(P540,Tbl_Effect[],3,FALSE),EffectName[],IFERROR(MATCH(UI!$B$1,EffectName[#Headers],0),2),FALSE))</f>
        <v/>
      </c>
      <c r="R540" t="str">
        <f t="shared" si="59"/>
        <v/>
      </c>
      <c r="S540">
        <v>0</v>
      </c>
      <c r="T540" t="str">
        <f>IF(VALUE(S540)=0,"",VLOOKUP(VLOOKUP(S540,Tbl_Effect[],3,FALSE),EffectName[],IFERROR(MATCH(UI!$B$1,EffectName[#Headers],0),2),FALSE))</f>
        <v/>
      </c>
      <c r="U540" t="str">
        <f t="shared" si="60"/>
        <v/>
      </c>
      <c r="V540">
        <v>0</v>
      </c>
      <c r="W540" t="str">
        <f>IF(V540&lt;&gt;0,VLOOKUP(VLOOKUP(V540,Tbl_Effect[],3,FALSE),EffectName[],IFERROR(MATCH(UI!$B$1,EffectName[#Headers],0),2),FALSE),"")</f>
        <v/>
      </c>
      <c r="X540" t="str">
        <f t="shared" si="61"/>
        <v/>
      </c>
      <c r="Y540">
        <v>0</v>
      </c>
      <c r="Z540" t="str">
        <f>IF(Y540&lt;&gt;0,VLOOKUP(VLOOKUP(Y540,Tbl_Effect[],3,FALSE),EffectName[],IFERROR(MATCH(UI!$B$1,EffectName[#Headers],0),2),FALSE),"")</f>
        <v/>
      </c>
      <c r="AA540" t="str">
        <f t="shared" si="62"/>
        <v/>
      </c>
      <c r="AB540">
        <v>0</v>
      </c>
      <c r="AC540" t="str">
        <f>IF(AB540&lt;&gt;0,VLOOKUP(VLOOKUP(AB540,Tbl_Effect[],3,FALSE),EffectName[],IFERROR(MATCH(UI!$B$1,EffectName[#Headers],0),2),FALSE),"")</f>
        <v/>
      </c>
    </row>
    <row r="541" spans="8:29" x14ac:dyDescent="0.4">
      <c r="H541" t="str">
        <f t="shared" si="56"/>
        <v>1007112-遼闊的水滴情景 (藍)</v>
      </c>
      <c r="I541">
        <v>1007112</v>
      </c>
      <c r="J541" t="str">
        <f>_xlfn.IFNA(IF(I541&lt;&gt;0,VLOOKUP(VLOOKUP(I541,Tbl_Equip[],2,FALSE),Tbl_Color[],IFERROR(MATCH(UI!$B$1,Tbl_Color[#Headers],0),2),FALSE),""),"Unset")</f>
        <v>藍</v>
      </c>
      <c r="K541" t="str">
        <f>_xlfn.IFNA(IF(I541&lt;&gt;0,VLOOKUP(I541,ItemText[],IFERROR(MATCH(UI!$B$1,ItemText[#Headers],0),2),FALSE),""),"Unset")</f>
        <v>遼闊的水滴情景</v>
      </c>
      <c r="L541" t="str">
        <f t="shared" si="57"/>
        <v/>
      </c>
      <c r="M541">
        <v>0</v>
      </c>
      <c r="N541" t="str">
        <f>IF(VALUE(M541)=0,"",VLOOKUP(VLOOKUP(M541,Tbl_Effect[],3,FALSE),EffectName[],IFERROR(MATCH(UI!$B$1,EffectName[#Headers],0),2),FALSE))</f>
        <v/>
      </c>
      <c r="O541" t="str">
        <f t="shared" si="58"/>
        <v/>
      </c>
      <c r="P541">
        <v>0</v>
      </c>
      <c r="Q541" t="str">
        <f>IF(VALUE(P541)=0,"",VLOOKUP(VLOOKUP(P541,Tbl_Effect[],3,FALSE),EffectName[],IFERROR(MATCH(UI!$B$1,EffectName[#Headers],0),2),FALSE))</f>
        <v/>
      </c>
      <c r="R541" t="str">
        <f t="shared" si="59"/>
        <v/>
      </c>
      <c r="S541">
        <v>0</v>
      </c>
      <c r="T541" t="str">
        <f>IF(VALUE(S541)=0,"",VLOOKUP(VLOOKUP(S541,Tbl_Effect[],3,FALSE),EffectName[],IFERROR(MATCH(UI!$B$1,EffectName[#Headers],0),2),FALSE))</f>
        <v/>
      </c>
      <c r="U541" t="str">
        <f t="shared" si="60"/>
        <v/>
      </c>
      <c r="V541">
        <v>0</v>
      </c>
      <c r="W541" t="str">
        <f>IF(V541&lt;&gt;0,VLOOKUP(VLOOKUP(V541,Tbl_Effect[],3,FALSE),EffectName[],IFERROR(MATCH(UI!$B$1,EffectName[#Headers],0),2),FALSE),"")</f>
        <v/>
      </c>
      <c r="X541" t="str">
        <f t="shared" si="61"/>
        <v/>
      </c>
      <c r="Y541">
        <v>0</v>
      </c>
      <c r="Z541" t="str">
        <f>IF(Y541&lt;&gt;0,VLOOKUP(VLOOKUP(Y541,Tbl_Effect[],3,FALSE),EffectName[],IFERROR(MATCH(UI!$B$1,EffectName[#Headers],0),2),FALSE),"")</f>
        <v/>
      </c>
      <c r="AA541" t="str">
        <f t="shared" si="62"/>
        <v/>
      </c>
      <c r="AB541">
        <v>0</v>
      </c>
      <c r="AC541" t="str">
        <f>IF(AB541&lt;&gt;0,VLOOKUP(VLOOKUP(AB541,Tbl_Effect[],3,FALSE),EffectName[],IFERROR(MATCH(UI!$B$1,EffectName[#Headers],0),2),FALSE),"")</f>
        <v/>
      </c>
    </row>
    <row r="542" spans="8:29" x14ac:dyDescent="0.4">
      <c r="H542" t="str">
        <f t="shared" si="56"/>
        <v>1007120-細膩的水滴情景 (藍)</v>
      </c>
      <c r="I542">
        <v>1007120</v>
      </c>
      <c r="J542" t="str">
        <f>_xlfn.IFNA(IF(I542&lt;&gt;0,VLOOKUP(VLOOKUP(I542,Tbl_Equip[],2,FALSE),Tbl_Color[],IFERROR(MATCH(UI!$B$1,Tbl_Color[#Headers],0),2),FALSE),""),"Unset")</f>
        <v>藍</v>
      </c>
      <c r="K542" t="str">
        <f>_xlfn.IFNA(IF(I542&lt;&gt;0,VLOOKUP(I542,ItemText[],IFERROR(MATCH(UI!$B$1,ItemText[#Headers],0),2),FALSE),""),"Unset")</f>
        <v>細膩的水滴情景</v>
      </c>
      <c r="L542" t="str">
        <f t="shared" si="57"/>
        <v/>
      </c>
      <c r="M542">
        <v>0</v>
      </c>
      <c r="N542" t="str">
        <f>IF(VALUE(M542)=0,"",VLOOKUP(VLOOKUP(M542,Tbl_Effect[],3,FALSE),EffectName[],IFERROR(MATCH(UI!$B$1,EffectName[#Headers],0),2),FALSE))</f>
        <v/>
      </c>
      <c r="O542" t="str">
        <f t="shared" si="58"/>
        <v/>
      </c>
      <c r="P542">
        <v>0</v>
      </c>
      <c r="Q542" t="str">
        <f>IF(VALUE(P542)=0,"",VLOOKUP(VLOOKUP(P542,Tbl_Effect[],3,FALSE),EffectName[],IFERROR(MATCH(UI!$B$1,EffectName[#Headers],0),2),FALSE))</f>
        <v/>
      </c>
      <c r="R542" t="str">
        <f t="shared" si="59"/>
        <v/>
      </c>
      <c r="S542">
        <v>0</v>
      </c>
      <c r="T542" t="str">
        <f>IF(VALUE(S542)=0,"",VLOOKUP(VLOOKUP(S542,Tbl_Effect[],3,FALSE),EffectName[],IFERROR(MATCH(UI!$B$1,EffectName[#Headers],0),2),FALSE))</f>
        <v/>
      </c>
      <c r="U542" t="str">
        <f t="shared" si="60"/>
        <v/>
      </c>
      <c r="V542">
        <v>0</v>
      </c>
      <c r="W542" t="str">
        <f>IF(V542&lt;&gt;0,VLOOKUP(VLOOKUP(V542,Tbl_Effect[],3,FALSE),EffectName[],IFERROR(MATCH(UI!$B$1,EffectName[#Headers],0),2),FALSE),"")</f>
        <v/>
      </c>
      <c r="X542" t="str">
        <f t="shared" si="61"/>
        <v/>
      </c>
      <c r="Y542">
        <v>0</v>
      </c>
      <c r="Z542" t="str">
        <f>IF(Y542&lt;&gt;0,VLOOKUP(VLOOKUP(Y542,Tbl_Effect[],3,FALSE),EffectName[],IFERROR(MATCH(UI!$B$1,EffectName[#Headers],0),2),FALSE),"")</f>
        <v/>
      </c>
      <c r="AA542" t="str">
        <f t="shared" si="62"/>
        <v/>
      </c>
      <c r="AB542">
        <v>0</v>
      </c>
      <c r="AC542" t="str">
        <f>IF(AB542&lt;&gt;0,VLOOKUP(VLOOKUP(AB542,Tbl_Effect[],3,FALSE),EffectName[],IFERROR(MATCH(UI!$B$1,EffectName[#Headers],0),2),FALSE),"")</f>
        <v/>
      </c>
    </row>
    <row r="543" spans="8:29" x14ac:dyDescent="0.4">
      <c r="H543" t="str">
        <f t="shared" si="56"/>
        <v>1007121-端正的水滴情景 (藍)</v>
      </c>
      <c r="I543">
        <v>1007121</v>
      </c>
      <c r="J543" t="str">
        <f>_xlfn.IFNA(IF(I543&lt;&gt;0,VLOOKUP(VLOOKUP(I543,Tbl_Equip[],2,FALSE),Tbl_Color[],IFERROR(MATCH(UI!$B$1,Tbl_Color[#Headers],0),2),FALSE),""),"Unset")</f>
        <v>藍</v>
      </c>
      <c r="K543" t="str">
        <f>_xlfn.IFNA(IF(I543&lt;&gt;0,VLOOKUP(I543,ItemText[],IFERROR(MATCH(UI!$B$1,ItemText[#Headers],0),2),FALSE),""),"Unset")</f>
        <v>端正的水滴情景</v>
      </c>
      <c r="L543" t="str">
        <f t="shared" si="57"/>
        <v/>
      </c>
      <c r="M543">
        <v>0</v>
      </c>
      <c r="N543" t="str">
        <f>IF(VALUE(M543)=0,"",VLOOKUP(VLOOKUP(M543,Tbl_Effect[],3,FALSE),EffectName[],IFERROR(MATCH(UI!$B$1,EffectName[#Headers],0),2),FALSE))</f>
        <v/>
      </c>
      <c r="O543" t="str">
        <f t="shared" si="58"/>
        <v/>
      </c>
      <c r="P543">
        <v>0</v>
      </c>
      <c r="Q543" t="str">
        <f>IF(VALUE(P543)=0,"",VLOOKUP(VLOOKUP(P543,Tbl_Effect[],3,FALSE),EffectName[],IFERROR(MATCH(UI!$B$1,EffectName[#Headers],0),2),FALSE))</f>
        <v/>
      </c>
      <c r="R543" t="str">
        <f t="shared" si="59"/>
        <v/>
      </c>
      <c r="S543">
        <v>0</v>
      </c>
      <c r="T543" t="str">
        <f>IF(VALUE(S543)=0,"",VLOOKUP(VLOOKUP(S543,Tbl_Effect[],3,FALSE),EffectName[],IFERROR(MATCH(UI!$B$1,EffectName[#Headers],0),2),FALSE))</f>
        <v/>
      </c>
      <c r="U543" t="str">
        <f t="shared" si="60"/>
        <v/>
      </c>
      <c r="V543">
        <v>0</v>
      </c>
      <c r="W543" t="str">
        <f>IF(V543&lt;&gt;0,VLOOKUP(VLOOKUP(V543,Tbl_Effect[],3,FALSE),EffectName[],IFERROR(MATCH(UI!$B$1,EffectName[#Headers],0),2),FALSE),"")</f>
        <v/>
      </c>
      <c r="X543" t="str">
        <f t="shared" si="61"/>
        <v/>
      </c>
      <c r="Y543">
        <v>0</v>
      </c>
      <c r="Z543" t="str">
        <f>IF(Y543&lt;&gt;0,VLOOKUP(VLOOKUP(Y543,Tbl_Effect[],3,FALSE),EffectName[],IFERROR(MATCH(UI!$B$1,EffectName[#Headers],0),2),FALSE),"")</f>
        <v/>
      </c>
      <c r="AA543" t="str">
        <f t="shared" si="62"/>
        <v/>
      </c>
      <c r="AB543">
        <v>0</v>
      </c>
      <c r="AC543" t="str">
        <f>IF(AB543&lt;&gt;0,VLOOKUP(VLOOKUP(AB543,Tbl_Effect[],3,FALSE),EffectName[],IFERROR(MATCH(UI!$B$1,EffectName[#Headers],0),2),FALSE),"")</f>
        <v/>
      </c>
    </row>
    <row r="544" spans="8:29" x14ac:dyDescent="0.4">
      <c r="H544" t="str">
        <f t="shared" si="56"/>
        <v>1007122-遼闊的水滴情景 (藍)</v>
      </c>
      <c r="I544">
        <v>1007122</v>
      </c>
      <c r="J544" t="str">
        <f>_xlfn.IFNA(IF(I544&lt;&gt;0,VLOOKUP(VLOOKUP(I544,Tbl_Equip[],2,FALSE),Tbl_Color[],IFERROR(MATCH(UI!$B$1,Tbl_Color[#Headers],0),2),FALSE),""),"Unset")</f>
        <v>藍</v>
      </c>
      <c r="K544" t="str">
        <f>_xlfn.IFNA(IF(I544&lt;&gt;0,VLOOKUP(I544,ItemText[],IFERROR(MATCH(UI!$B$1,ItemText[#Headers],0),2),FALSE),""),"Unset")</f>
        <v>遼闊的水滴情景</v>
      </c>
      <c r="L544" t="str">
        <f t="shared" si="57"/>
        <v/>
      </c>
      <c r="M544">
        <v>0</v>
      </c>
      <c r="N544" t="str">
        <f>IF(VALUE(M544)=0,"",VLOOKUP(VLOOKUP(M544,Tbl_Effect[],3,FALSE),EffectName[],IFERROR(MATCH(UI!$B$1,EffectName[#Headers],0),2),FALSE))</f>
        <v/>
      </c>
      <c r="O544" t="str">
        <f t="shared" si="58"/>
        <v/>
      </c>
      <c r="P544">
        <v>0</v>
      </c>
      <c r="Q544" t="str">
        <f>IF(VALUE(P544)=0,"",VLOOKUP(VLOOKUP(P544,Tbl_Effect[],3,FALSE),EffectName[],IFERROR(MATCH(UI!$B$1,EffectName[#Headers],0),2),FALSE))</f>
        <v/>
      </c>
      <c r="R544" t="str">
        <f t="shared" si="59"/>
        <v/>
      </c>
      <c r="S544">
        <v>0</v>
      </c>
      <c r="T544" t="str">
        <f>IF(VALUE(S544)=0,"",VLOOKUP(VLOOKUP(S544,Tbl_Effect[],3,FALSE),EffectName[],IFERROR(MATCH(UI!$B$1,EffectName[#Headers],0),2),FALSE))</f>
        <v/>
      </c>
      <c r="U544" t="str">
        <f t="shared" si="60"/>
        <v/>
      </c>
      <c r="V544">
        <v>0</v>
      </c>
      <c r="W544" t="str">
        <f>IF(V544&lt;&gt;0,VLOOKUP(VLOOKUP(V544,Tbl_Effect[],3,FALSE),EffectName[],IFERROR(MATCH(UI!$B$1,EffectName[#Headers],0),2),FALSE),"")</f>
        <v/>
      </c>
      <c r="X544" t="str">
        <f t="shared" si="61"/>
        <v/>
      </c>
      <c r="Y544">
        <v>0</v>
      </c>
      <c r="Z544" t="str">
        <f>IF(Y544&lt;&gt;0,VLOOKUP(VLOOKUP(Y544,Tbl_Effect[],3,FALSE),EffectName[],IFERROR(MATCH(UI!$B$1,EffectName[#Headers],0),2),FALSE),"")</f>
        <v/>
      </c>
      <c r="AA544" t="str">
        <f t="shared" si="62"/>
        <v/>
      </c>
      <c r="AB544">
        <v>0</v>
      </c>
      <c r="AC544" t="str">
        <f>IF(AB544&lt;&gt;0,VLOOKUP(VLOOKUP(AB544,Tbl_Effect[],3,FALSE),EffectName[],IFERROR(MATCH(UI!$B$1,EffectName[#Headers],0),2),FALSE),"")</f>
        <v/>
      </c>
    </row>
    <row r="545" spans="8:29" x14ac:dyDescent="0.4">
      <c r="H545" t="str">
        <f t="shared" si="56"/>
        <v>1007200-細膩的光耀情景 (黃)</v>
      </c>
      <c r="I545">
        <v>1007200</v>
      </c>
      <c r="J545" t="str">
        <f>_xlfn.IFNA(IF(I545&lt;&gt;0,VLOOKUP(VLOOKUP(I545,Tbl_Equip[],2,FALSE),Tbl_Color[],IFERROR(MATCH(UI!$B$1,Tbl_Color[#Headers],0),2),FALSE),""),"Unset")</f>
        <v>黃</v>
      </c>
      <c r="K545" t="str">
        <f>_xlfn.IFNA(IF(I545&lt;&gt;0,VLOOKUP(I545,ItemText[],IFERROR(MATCH(UI!$B$1,ItemText[#Headers],0),2),FALSE),""),"Unset")</f>
        <v>細膩的光耀情景</v>
      </c>
      <c r="L545" t="str">
        <f t="shared" si="57"/>
        <v/>
      </c>
      <c r="M545">
        <v>0</v>
      </c>
      <c r="N545" t="str">
        <f>IF(VALUE(M545)=0,"",VLOOKUP(VLOOKUP(M545,Tbl_Effect[],3,FALSE),EffectName[],IFERROR(MATCH(UI!$B$1,EffectName[#Headers],0),2),FALSE))</f>
        <v/>
      </c>
      <c r="O545" t="str">
        <f t="shared" si="58"/>
        <v/>
      </c>
      <c r="P545">
        <v>0</v>
      </c>
      <c r="Q545" t="str">
        <f>IF(VALUE(P545)=0,"",VLOOKUP(VLOOKUP(P545,Tbl_Effect[],3,FALSE),EffectName[],IFERROR(MATCH(UI!$B$1,EffectName[#Headers],0),2),FALSE))</f>
        <v/>
      </c>
      <c r="R545" t="str">
        <f t="shared" si="59"/>
        <v/>
      </c>
      <c r="S545">
        <v>0</v>
      </c>
      <c r="T545" t="str">
        <f>IF(VALUE(S545)=0,"",VLOOKUP(VLOOKUP(S545,Tbl_Effect[],3,FALSE),EffectName[],IFERROR(MATCH(UI!$B$1,EffectName[#Headers],0),2),FALSE))</f>
        <v/>
      </c>
      <c r="U545" t="str">
        <f t="shared" si="60"/>
        <v/>
      </c>
      <c r="V545">
        <v>0</v>
      </c>
      <c r="W545" t="str">
        <f>IF(V545&lt;&gt;0,VLOOKUP(VLOOKUP(V545,Tbl_Effect[],3,FALSE),EffectName[],IFERROR(MATCH(UI!$B$1,EffectName[#Headers],0),2),FALSE),"")</f>
        <v/>
      </c>
      <c r="X545" t="str">
        <f t="shared" si="61"/>
        <v/>
      </c>
      <c r="Y545">
        <v>0</v>
      </c>
      <c r="Z545" t="str">
        <f>IF(Y545&lt;&gt;0,VLOOKUP(VLOOKUP(Y545,Tbl_Effect[],3,FALSE),EffectName[],IFERROR(MATCH(UI!$B$1,EffectName[#Headers],0),2),FALSE),"")</f>
        <v/>
      </c>
      <c r="AA545" t="str">
        <f t="shared" si="62"/>
        <v/>
      </c>
      <c r="AB545">
        <v>0</v>
      </c>
      <c r="AC545" t="str">
        <f>IF(AB545&lt;&gt;0,VLOOKUP(VLOOKUP(AB545,Tbl_Effect[],3,FALSE),EffectName[],IFERROR(MATCH(UI!$B$1,EffectName[#Headers],0),2),FALSE),"")</f>
        <v/>
      </c>
    </row>
    <row r="546" spans="8:29" x14ac:dyDescent="0.4">
      <c r="H546" t="str">
        <f t="shared" si="56"/>
        <v>1007201-端正的光耀情景 (黃)</v>
      </c>
      <c r="I546">
        <v>1007201</v>
      </c>
      <c r="J546" t="str">
        <f>_xlfn.IFNA(IF(I546&lt;&gt;0,VLOOKUP(VLOOKUP(I546,Tbl_Equip[],2,FALSE),Tbl_Color[],IFERROR(MATCH(UI!$B$1,Tbl_Color[#Headers],0),2),FALSE),""),"Unset")</f>
        <v>黃</v>
      </c>
      <c r="K546" t="str">
        <f>_xlfn.IFNA(IF(I546&lt;&gt;0,VLOOKUP(I546,ItemText[],IFERROR(MATCH(UI!$B$1,ItemText[#Headers],0),2),FALSE),""),"Unset")</f>
        <v>端正的光耀情景</v>
      </c>
      <c r="L546" t="str">
        <f t="shared" si="57"/>
        <v/>
      </c>
      <c r="M546">
        <v>0</v>
      </c>
      <c r="N546" t="str">
        <f>IF(VALUE(M546)=0,"",VLOOKUP(VLOOKUP(M546,Tbl_Effect[],3,FALSE),EffectName[],IFERROR(MATCH(UI!$B$1,EffectName[#Headers],0),2),FALSE))</f>
        <v/>
      </c>
      <c r="O546" t="str">
        <f t="shared" si="58"/>
        <v/>
      </c>
      <c r="P546">
        <v>0</v>
      </c>
      <c r="Q546" t="str">
        <f>IF(VALUE(P546)=0,"",VLOOKUP(VLOOKUP(P546,Tbl_Effect[],3,FALSE),EffectName[],IFERROR(MATCH(UI!$B$1,EffectName[#Headers],0),2),FALSE))</f>
        <v/>
      </c>
      <c r="R546" t="str">
        <f t="shared" si="59"/>
        <v/>
      </c>
      <c r="S546">
        <v>0</v>
      </c>
      <c r="T546" t="str">
        <f>IF(VALUE(S546)=0,"",VLOOKUP(VLOOKUP(S546,Tbl_Effect[],3,FALSE),EffectName[],IFERROR(MATCH(UI!$B$1,EffectName[#Headers],0),2),FALSE))</f>
        <v/>
      </c>
      <c r="U546" t="str">
        <f t="shared" si="60"/>
        <v/>
      </c>
      <c r="V546">
        <v>0</v>
      </c>
      <c r="W546" t="str">
        <f>IF(V546&lt;&gt;0,VLOOKUP(VLOOKUP(V546,Tbl_Effect[],3,FALSE),EffectName[],IFERROR(MATCH(UI!$B$1,EffectName[#Headers],0),2),FALSE),"")</f>
        <v/>
      </c>
      <c r="X546" t="str">
        <f t="shared" si="61"/>
        <v/>
      </c>
      <c r="Y546">
        <v>0</v>
      </c>
      <c r="Z546" t="str">
        <f>IF(Y546&lt;&gt;0,VLOOKUP(VLOOKUP(Y546,Tbl_Effect[],3,FALSE),EffectName[],IFERROR(MATCH(UI!$B$1,EffectName[#Headers],0),2),FALSE),"")</f>
        <v/>
      </c>
      <c r="AA546" t="str">
        <f t="shared" si="62"/>
        <v/>
      </c>
      <c r="AB546">
        <v>0</v>
      </c>
      <c r="AC546" t="str">
        <f>IF(AB546&lt;&gt;0,VLOOKUP(VLOOKUP(AB546,Tbl_Effect[],3,FALSE),EffectName[],IFERROR(MATCH(UI!$B$1,EffectName[#Headers],0),2),FALSE),"")</f>
        <v/>
      </c>
    </row>
    <row r="547" spans="8:29" x14ac:dyDescent="0.4">
      <c r="H547" t="str">
        <f t="shared" si="56"/>
        <v>1007202-遼闊的光耀情景 (黃)</v>
      </c>
      <c r="I547">
        <v>1007202</v>
      </c>
      <c r="J547" t="str">
        <f>_xlfn.IFNA(IF(I547&lt;&gt;0,VLOOKUP(VLOOKUP(I547,Tbl_Equip[],2,FALSE),Tbl_Color[],IFERROR(MATCH(UI!$B$1,Tbl_Color[#Headers],0),2),FALSE),""),"Unset")</f>
        <v>黃</v>
      </c>
      <c r="K547" t="str">
        <f>_xlfn.IFNA(IF(I547&lt;&gt;0,VLOOKUP(I547,ItemText[],IFERROR(MATCH(UI!$B$1,ItemText[#Headers],0),2),FALSE),""),"Unset")</f>
        <v>遼闊的光耀情景</v>
      </c>
      <c r="L547" t="str">
        <f t="shared" si="57"/>
        <v/>
      </c>
      <c r="M547">
        <v>0</v>
      </c>
      <c r="N547" t="str">
        <f>IF(VALUE(M547)=0,"",VLOOKUP(VLOOKUP(M547,Tbl_Effect[],3,FALSE),EffectName[],IFERROR(MATCH(UI!$B$1,EffectName[#Headers],0),2),FALSE))</f>
        <v/>
      </c>
      <c r="O547" t="str">
        <f t="shared" si="58"/>
        <v/>
      </c>
      <c r="P547">
        <v>0</v>
      </c>
      <c r="Q547" t="str">
        <f>IF(VALUE(P547)=0,"",VLOOKUP(VLOOKUP(P547,Tbl_Effect[],3,FALSE),EffectName[],IFERROR(MATCH(UI!$B$1,EffectName[#Headers],0),2),FALSE))</f>
        <v/>
      </c>
      <c r="R547" t="str">
        <f t="shared" si="59"/>
        <v/>
      </c>
      <c r="S547">
        <v>0</v>
      </c>
      <c r="T547" t="str">
        <f>IF(VALUE(S547)=0,"",VLOOKUP(VLOOKUP(S547,Tbl_Effect[],3,FALSE),EffectName[],IFERROR(MATCH(UI!$B$1,EffectName[#Headers],0),2),FALSE))</f>
        <v/>
      </c>
      <c r="U547" t="str">
        <f t="shared" si="60"/>
        <v/>
      </c>
      <c r="V547">
        <v>0</v>
      </c>
      <c r="W547" t="str">
        <f>IF(V547&lt;&gt;0,VLOOKUP(VLOOKUP(V547,Tbl_Effect[],3,FALSE),EffectName[],IFERROR(MATCH(UI!$B$1,EffectName[#Headers],0),2),FALSE),"")</f>
        <v/>
      </c>
      <c r="X547" t="str">
        <f t="shared" si="61"/>
        <v/>
      </c>
      <c r="Y547">
        <v>0</v>
      </c>
      <c r="Z547" t="str">
        <f>IF(Y547&lt;&gt;0,VLOOKUP(VLOOKUP(Y547,Tbl_Effect[],3,FALSE),EffectName[],IFERROR(MATCH(UI!$B$1,EffectName[#Headers],0),2),FALSE),"")</f>
        <v/>
      </c>
      <c r="AA547" t="str">
        <f t="shared" si="62"/>
        <v/>
      </c>
      <c r="AB547">
        <v>0</v>
      </c>
      <c r="AC547" t="str">
        <f>IF(AB547&lt;&gt;0,VLOOKUP(VLOOKUP(AB547,Tbl_Effect[],3,FALSE),EffectName[],IFERROR(MATCH(UI!$B$1,EffectName[#Headers],0),2),FALSE),"")</f>
        <v/>
      </c>
    </row>
    <row r="548" spans="8:29" x14ac:dyDescent="0.4">
      <c r="H548" t="str">
        <f t="shared" si="56"/>
        <v>1007210-細膩的光耀情景 (黃)</v>
      </c>
      <c r="I548">
        <v>1007210</v>
      </c>
      <c r="J548" t="str">
        <f>_xlfn.IFNA(IF(I548&lt;&gt;0,VLOOKUP(VLOOKUP(I548,Tbl_Equip[],2,FALSE),Tbl_Color[],IFERROR(MATCH(UI!$B$1,Tbl_Color[#Headers],0),2),FALSE),""),"Unset")</f>
        <v>黃</v>
      </c>
      <c r="K548" t="str">
        <f>_xlfn.IFNA(IF(I548&lt;&gt;0,VLOOKUP(I548,ItemText[],IFERROR(MATCH(UI!$B$1,ItemText[#Headers],0),2),FALSE),""),"Unset")</f>
        <v>細膩的光耀情景</v>
      </c>
      <c r="L548" t="str">
        <f t="shared" si="57"/>
        <v/>
      </c>
      <c r="M548">
        <v>0</v>
      </c>
      <c r="N548" t="str">
        <f>IF(VALUE(M548)=0,"",VLOOKUP(VLOOKUP(M548,Tbl_Effect[],3,FALSE),EffectName[],IFERROR(MATCH(UI!$B$1,EffectName[#Headers],0),2),FALSE))</f>
        <v/>
      </c>
      <c r="O548" t="str">
        <f t="shared" si="58"/>
        <v/>
      </c>
      <c r="P548">
        <v>0</v>
      </c>
      <c r="Q548" t="str">
        <f>IF(VALUE(P548)=0,"",VLOOKUP(VLOOKUP(P548,Tbl_Effect[],3,FALSE),EffectName[],IFERROR(MATCH(UI!$B$1,EffectName[#Headers],0),2),FALSE))</f>
        <v/>
      </c>
      <c r="R548" t="str">
        <f t="shared" si="59"/>
        <v/>
      </c>
      <c r="S548">
        <v>0</v>
      </c>
      <c r="T548" t="str">
        <f>IF(VALUE(S548)=0,"",VLOOKUP(VLOOKUP(S548,Tbl_Effect[],3,FALSE),EffectName[],IFERROR(MATCH(UI!$B$1,EffectName[#Headers],0),2),FALSE))</f>
        <v/>
      </c>
      <c r="U548" t="str">
        <f t="shared" si="60"/>
        <v/>
      </c>
      <c r="V548">
        <v>0</v>
      </c>
      <c r="W548" t="str">
        <f>IF(V548&lt;&gt;0,VLOOKUP(VLOOKUP(V548,Tbl_Effect[],3,FALSE),EffectName[],IFERROR(MATCH(UI!$B$1,EffectName[#Headers],0),2),FALSE),"")</f>
        <v/>
      </c>
      <c r="X548" t="str">
        <f t="shared" si="61"/>
        <v/>
      </c>
      <c r="Y548">
        <v>0</v>
      </c>
      <c r="Z548" t="str">
        <f>IF(Y548&lt;&gt;0,VLOOKUP(VLOOKUP(Y548,Tbl_Effect[],3,FALSE),EffectName[],IFERROR(MATCH(UI!$B$1,EffectName[#Headers],0),2),FALSE),"")</f>
        <v/>
      </c>
      <c r="AA548" t="str">
        <f t="shared" si="62"/>
        <v/>
      </c>
      <c r="AB548">
        <v>0</v>
      </c>
      <c r="AC548" t="str">
        <f>IF(AB548&lt;&gt;0,VLOOKUP(VLOOKUP(AB548,Tbl_Effect[],3,FALSE),EffectName[],IFERROR(MATCH(UI!$B$1,EffectName[#Headers],0),2),FALSE),"")</f>
        <v/>
      </c>
    </row>
    <row r="549" spans="8:29" x14ac:dyDescent="0.4">
      <c r="H549" t="str">
        <f t="shared" si="56"/>
        <v>1007211-端正的光耀情景 (黃)</v>
      </c>
      <c r="I549">
        <v>1007211</v>
      </c>
      <c r="J549" t="str">
        <f>_xlfn.IFNA(IF(I549&lt;&gt;0,VLOOKUP(VLOOKUP(I549,Tbl_Equip[],2,FALSE),Tbl_Color[],IFERROR(MATCH(UI!$B$1,Tbl_Color[#Headers],0),2),FALSE),""),"Unset")</f>
        <v>黃</v>
      </c>
      <c r="K549" t="str">
        <f>_xlfn.IFNA(IF(I549&lt;&gt;0,VLOOKUP(I549,ItemText[],IFERROR(MATCH(UI!$B$1,ItemText[#Headers],0),2),FALSE),""),"Unset")</f>
        <v>端正的光耀情景</v>
      </c>
      <c r="L549" t="str">
        <f t="shared" si="57"/>
        <v/>
      </c>
      <c r="M549">
        <v>0</v>
      </c>
      <c r="N549" t="str">
        <f>IF(VALUE(M549)=0,"",VLOOKUP(VLOOKUP(M549,Tbl_Effect[],3,FALSE),EffectName[],IFERROR(MATCH(UI!$B$1,EffectName[#Headers],0),2),FALSE))</f>
        <v/>
      </c>
      <c r="O549" t="str">
        <f t="shared" si="58"/>
        <v/>
      </c>
      <c r="P549">
        <v>0</v>
      </c>
      <c r="Q549" t="str">
        <f>IF(VALUE(P549)=0,"",VLOOKUP(VLOOKUP(P549,Tbl_Effect[],3,FALSE),EffectName[],IFERROR(MATCH(UI!$B$1,EffectName[#Headers],0),2),FALSE))</f>
        <v/>
      </c>
      <c r="R549" t="str">
        <f t="shared" si="59"/>
        <v/>
      </c>
      <c r="S549">
        <v>0</v>
      </c>
      <c r="T549" t="str">
        <f>IF(VALUE(S549)=0,"",VLOOKUP(VLOOKUP(S549,Tbl_Effect[],3,FALSE),EffectName[],IFERROR(MATCH(UI!$B$1,EffectName[#Headers],0),2),FALSE))</f>
        <v/>
      </c>
      <c r="U549" t="str">
        <f t="shared" si="60"/>
        <v/>
      </c>
      <c r="V549">
        <v>0</v>
      </c>
      <c r="W549" t="str">
        <f>IF(V549&lt;&gt;0,VLOOKUP(VLOOKUP(V549,Tbl_Effect[],3,FALSE),EffectName[],IFERROR(MATCH(UI!$B$1,EffectName[#Headers],0),2),FALSE),"")</f>
        <v/>
      </c>
      <c r="X549" t="str">
        <f t="shared" si="61"/>
        <v/>
      </c>
      <c r="Y549">
        <v>0</v>
      </c>
      <c r="Z549" t="str">
        <f>IF(Y549&lt;&gt;0,VLOOKUP(VLOOKUP(Y549,Tbl_Effect[],3,FALSE),EffectName[],IFERROR(MATCH(UI!$B$1,EffectName[#Headers],0),2),FALSE),"")</f>
        <v/>
      </c>
      <c r="AA549" t="str">
        <f t="shared" si="62"/>
        <v/>
      </c>
      <c r="AB549">
        <v>0</v>
      </c>
      <c r="AC549" t="str">
        <f>IF(AB549&lt;&gt;0,VLOOKUP(VLOOKUP(AB549,Tbl_Effect[],3,FALSE),EffectName[],IFERROR(MATCH(UI!$B$1,EffectName[#Headers],0),2),FALSE),"")</f>
        <v/>
      </c>
    </row>
    <row r="550" spans="8:29" x14ac:dyDescent="0.4">
      <c r="H550" t="str">
        <f t="shared" si="56"/>
        <v>1007212-遼闊的光耀情景 (黃)</v>
      </c>
      <c r="I550">
        <v>1007212</v>
      </c>
      <c r="J550" t="str">
        <f>_xlfn.IFNA(IF(I550&lt;&gt;0,VLOOKUP(VLOOKUP(I550,Tbl_Equip[],2,FALSE),Tbl_Color[],IFERROR(MATCH(UI!$B$1,Tbl_Color[#Headers],0),2),FALSE),""),"Unset")</f>
        <v>黃</v>
      </c>
      <c r="K550" t="str">
        <f>_xlfn.IFNA(IF(I550&lt;&gt;0,VLOOKUP(I550,ItemText[],IFERROR(MATCH(UI!$B$1,ItemText[#Headers],0),2),FALSE),""),"Unset")</f>
        <v>遼闊的光耀情景</v>
      </c>
      <c r="L550" t="str">
        <f t="shared" si="57"/>
        <v/>
      </c>
      <c r="M550">
        <v>0</v>
      </c>
      <c r="N550" t="str">
        <f>IF(VALUE(M550)=0,"",VLOOKUP(VLOOKUP(M550,Tbl_Effect[],3,FALSE),EffectName[],IFERROR(MATCH(UI!$B$1,EffectName[#Headers],0),2),FALSE))</f>
        <v/>
      </c>
      <c r="O550" t="str">
        <f t="shared" si="58"/>
        <v/>
      </c>
      <c r="P550">
        <v>0</v>
      </c>
      <c r="Q550" t="str">
        <f>IF(VALUE(P550)=0,"",VLOOKUP(VLOOKUP(P550,Tbl_Effect[],3,FALSE),EffectName[],IFERROR(MATCH(UI!$B$1,EffectName[#Headers],0),2),FALSE))</f>
        <v/>
      </c>
      <c r="R550" t="str">
        <f t="shared" si="59"/>
        <v/>
      </c>
      <c r="S550">
        <v>0</v>
      </c>
      <c r="T550" t="str">
        <f>IF(VALUE(S550)=0,"",VLOOKUP(VLOOKUP(S550,Tbl_Effect[],3,FALSE),EffectName[],IFERROR(MATCH(UI!$B$1,EffectName[#Headers],0),2),FALSE))</f>
        <v/>
      </c>
      <c r="U550" t="str">
        <f t="shared" si="60"/>
        <v/>
      </c>
      <c r="V550">
        <v>0</v>
      </c>
      <c r="W550" t="str">
        <f>IF(V550&lt;&gt;0,VLOOKUP(VLOOKUP(V550,Tbl_Effect[],3,FALSE),EffectName[],IFERROR(MATCH(UI!$B$1,EffectName[#Headers],0),2),FALSE),"")</f>
        <v/>
      </c>
      <c r="X550" t="str">
        <f t="shared" si="61"/>
        <v/>
      </c>
      <c r="Y550">
        <v>0</v>
      </c>
      <c r="Z550" t="str">
        <f>IF(Y550&lt;&gt;0,VLOOKUP(VLOOKUP(Y550,Tbl_Effect[],3,FALSE),EffectName[],IFERROR(MATCH(UI!$B$1,EffectName[#Headers],0),2),FALSE),"")</f>
        <v/>
      </c>
      <c r="AA550" t="str">
        <f t="shared" si="62"/>
        <v/>
      </c>
      <c r="AB550">
        <v>0</v>
      </c>
      <c r="AC550" t="str">
        <f>IF(AB550&lt;&gt;0,VLOOKUP(VLOOKUP(AB550,Tbl_Effect[],3,FALSE),EffectName[],IFERROR(MATCH(UI!$B$1,EffectName[#Headers],0),2),FALSE),"")</f>
        <v/>
      </c>
    </row>
    <row r="551" spans="8:29" x14ac:dyDescent="0.4">
      <c r="H551" t="str">
        <f t="shared" si="56"/>
        <v>1007220-細膩的光耀情景 (黃)</v>
      </c>
      <c r="I551">
        <v>1007220</v>
      </c>
      <c r="J551" t="str">
        <f>_xlfn.IFNA(IF(I551&lt;&gt;0,VLOOKUP(VLOOKUP(I551,Tbl_Equip[],2,FALSE),Tbl_Color[],IFERROR(MATCH(UI!$B$1,Tbl_Color[#Headers],0),2),FALSE),""),"Unset")</f>
        <v>黃</v>
      </c>
      <c r="K551" t="str">
        <f>_xlfn.IFNA(IF(I551&lt;&gt;0,VLOOKUP(I551,ItemText[],IFERROR(MATCH(UI!$B$1,ItemText[#Headers],0),2),FALSE),""),"Unset")</f>
        <v>細膩的光耀情景</v>
      </c>
      <c r="L551" t="str">
        <f t="shared" si="57"/>
        <v/>
      </c>
      <c r="M551">
        <v>0</v>
      </c>
      <c r="N551" t="str">
        <f>IF(VALUE(M551)=0,"",VLOOKUP(VLOOKUP(M551,Tbl_Effect[],3,FALSE),EffectName[],IFERROR(MATCH(UI!$B$1,EffectName[#Headers],0),2),FALSE))</f>
        <v/>
      </c>
      <c r="O551" t="str">
        <f t="shared" si="58"/>
        <v/>
      </c>
      <c r="P551">
        <v>0</v>
      </c>
      <c r="Q551" t="str">
        <f>IF(VALUE(P551)=0,"",VLOOKUP(VLOOKUP(P551,Tbl_Effect[],3,FALSE),EffectName[],IFERROR(MATCH(UI!$B$1,EffectName[#Headers],0),2),FALSE))</f>
        <v/>
      </c>
      <c r="R551" t="str">
        <f t="shared" si="59"/>
        <v/>
      </c>
      <c r="S551">
        <v>0</v>
      </c>
      <c r="T551" t="str">
        <f>IF(VALUE(S551)=0,"",VLOOKUP(VLOOKUP(S551,Tbl_Effect[],3,FALSE),EffectName[],IFERROR(MATCH(UI!$B$1,EffectName[#Headers],0),2),FALSE))</f>
        <v/>
      </c>
      <c r="U551" t="str">
        <f t="shared" si="60"/>
        <v/>
      </c>
      <c r="V551">
        <v>0</v>
      </c>
      <c r="W551" t="str">
        <f>IF(V551&lt;&gt;0,VLOOKUP(VLOOKUP(V551,Tbl_Effect[],3,FALSE),EffectName[],IFERROR(MATCH(UI!$B$1,EffectName[#Headers],0),2),FALSE),"")</f>
        <v/>
      </c>
      <c r="X551" t="str">
        <f t="shared" si="61"/>
        <v/>
      </c>
      <c r="Y551">
        <v>0</v>
      </c>
      <c r="Z551" t="str">
        <f>IF(Y551&lt;&gt;0,VLOOKUP(VLOOKUP(Y551,Tbl_Effect[],3,FALSE),EffectName[],IFERROR(MATCH(UI!$B$1,EffectName[#Headers],0),2),FALSE),"")</f>
        <v/>
      </c>
      <c r="AA551" t="str">
        <f t="shared" si="62"/>
        <v/>
      </c>
      <c r="AB551">
        <v>0</v>
      </c>
      <c r="AC551" t="str">
        <f>IF(AB551&lt;&gt;0,VLOOKUP(VLOOKUP(AB551,Tbl_Effect[],3,FALSE),EffectName[],IFERROR(MATCH(UI!$B$1,EffectName[#Headers],0),2),FALSE),"")</f>
        <v/>
      </c>
    </row>
    <row r="552" spans="8:29" x14ac:dyDescent="0.4">
      <c r="H552" t="str">
        <f t="shared" si="56"/>
        <v>1007221-端正的光耀情景 (黃)</v>
      </c>
      <c r="I552">
        <v>1007221</v>
      </c>
      <c r="J552" t="str">
        <f>_xlfn.IFNA(IF(I552&lt;&gt;0,VLOOKUP(VLOOKUP(I552,Tbl_Equip[],2,FALSE),Tbl_Color[],IFERROR(MATCH(UI!$B$1,Tbl_Color[#Headers],0),2),FALSE),""),"Unset")</f>
        <v>黃</v>
      </c>
      <c r="K552" t="str">
        <f>_xlfn.IFNA(IF(I552&lt;&gt;0,VLOOKUP(I552,ItemText[],IFERROR(MATCH(UI!$B$1,ItemText[#Headers],0),2),FALSE),""),"Unset")</f>
        <v>端正的光耀情景</v>
      </c>
      <c r="L552" t="str">
        <f t="shared" si="57"/>
        <v/>
      </c>
      <c r="M552">
        <v>0</v>
      </c>
      <c r="N552" t="str">
        <f>IF(VALUE(M552)=0,"",VLOOKUP(VLOOKUP(M552,Tbl_Effect[],3,FALSE),EffectName[],IFERROR(MATCH(UI!$B$1,EffectName[#Headers],0),2),FALSE))</f>
        <v/>
      </c>
      <c r="O552" t="str">
        <f t="shared" si="58"/>
        <v/>
      </c>
      <c r="P552">
        <v>0</v>
      </c>
      <c r="Q552" t="str">
        <f>IF(VALUE(P552)=0,"",VLOOKUP(VLOOKUP(P552,Tbl_Effect[],3,FALSE),EffectName[],IFERROR(MATCH(UI!$B$1,EffectName[#Headers],0),2),FALSE))</f>
        <v/>
      </c>
      <c r="R552" t="str">
        <f t="shared" si="59"/>
        <v/>
      </c>
      <c r="S552">
        <v>0</v>
      </c>
      <c r="T552" t="str">
        <f>IF(VALUE(S552)=0,"",VLOOKUP(VLOOKUP(S552,Tbl_Effect[],3,FALSE),EffectName[],IFERROR(MATCH(UI!$B$1,EffectName[#Headers],0),2),FALSE))</f>
        <v/>
      </c>
      <c r="U552" t="str">
        <f t="shared" si="60"/>
        <v/>
      </c>
      <c r="V552">
        <v>0</v>
      </c>
      <c r="W552" t="str">
        <f>IF(V552&lt;&gt;0,VLOOKUP(VLOOKUP(V552,Tbl_Effect[],3,FALSE),EffectName[],IFERROR(MATCH(UI!$B$1,EffectName[#Headers],0),2),FALSE),"")</f>
        <v/>
      </c>
      <c r="X552" t="str">
        <f t="shared" si="61"/>
        <v/>
      </c>
      <c r="Y552">
        <v>0</v>
      </c>
      <c r="Z552" t="str">
        <f>IF(Y552&lt;&gt;0,VLOOKUP(VLOOKUP(Y552,Tbl_Effect[],3,FALSE),EffectName[],IFERROR(MATCH(UI!$B$1,EffectName[#Headers],0),2),FALSE),"")</f>
        <v/>
      </c>
      <c r="AA552" t="str">
        <f t="shared" si="62"/>
        <v/>
      </c>
      <c r="AB552">
        <v>0</v>
      </c>
      <c r="AC552" t="str">
        <f>IF(AB552&lt;&gt;0,VLOOKUP(VLOOKUP(AB552,Tbl_Effect[],3,FALSE),EffectName[],IFERROR(MATCH(UI!$B$1,EffectName[#Headers],0),2),FALSE),"")</f>
        <v/>
      </c>
    </row>
    <row r="553" spans="8:29" x14ac:dyDescent="0.4">
      <c r="H553" t="str">
        <f t="shared" si="56"/>
        <v>1007222-遼闊的光耀情景 (黃)</v>
      </c>
      <c r="I553">
        <v>1007222</v>
      </c>
      <c r="J553" t="str">
        <f>_xlfn.IFNA(IF(I553&lt;&gt;0,VLOOKUP(VLOOKUP(I553,Tbl_Equip[],2,FALSE),Tbl_Color[],IFERROR(MATCH(UI!$B$1,Tbl_Color[#Headers],0),2),FALSE),""),"Unset")</f>
        <v>黃</v>
      </c>
      <c r="K553" t="str">
        <f>_xlfn.IFNA(IF(I553&lt;&gt;0,VLOOKUP(I553,ItemText[],IFERROR(MATCH(UI!$B$1,ItemText[#Headers],0),2),FALSE),""),"Unset")</f>
        <v>遼闊的光耀情景</v>
      </c>
      <c r="L553" t="str">
        <f t="shared" si="57"/>
        <v/>
      </c>
      <c r="M553">
        <v>0</v>
      </c>
      <c r="N553" t="str">
        <f>IF(VALUE(M553)=0,"",VLOOKUP(VLOOKUP(M553,Tbl_Effect[],3,FALSE),EffectName[],IFERROR(MATCH(UI!$B$1,EffectName[#Headers],0),2),FALSE))</f>
        <v/>
      </c>
      <c r="O553" t="str">
        <f t="shared" si="58"/>
        <v/>
      </c>
      <c r="P553">
        <v>0</v>
      </c>
      <c r="Q553" t="str">
        <f>IF(VALUE(P553)=0,"",VLOOKUP(VLOOKUP(P553,Tbl_Effect[],3,FALSE),EffectName[],IFERROR(MATCH(UI!$B$1,EffectName[#Headers],0),2),FALSE))</f>
        <v/>
      </c>
      <c r="R553" t="str">
        <f t="shared" si="59"/>
        <v/>
      </c>
      <c r="S553">
        <v>0</v>
      </c>
      <c r="T553" t="str">
        <f>IF(VALUE(S553)=0,"",VLOOKUP(VLOOKUP(S553,Tbl_Effect[],3,FALSE),EffectName[],IFERROR(MATCH(UI!$B$1,EffectName[#Headers],0),2),FALSE))</f>
        <v/>
      </c>
      <c r="U553" t="str">
        <f t="shared" si="60"/>
        <v/>
      </c>
      <c r="V553">
        <v>0</v>
      </c>
      <c r="W553" t="str">
        <f>IF(V553&lt;&gt;0,VLOOKUP(VLOOKUP(V553,Tbl_Effect[],3,FALSE),EffectName[],IFERROR(MATCH(UI!$B$1,EffectName[#Headers],0),2),FALSE),"")</f>
        <v/>
      </c>
      <c r="X553" t="str">
        <f t="shared" si="61"/>
        <v/>
      </c>
      <c r="Y553">
        <v>0</v>
      </c>
      <c r="Z553" t="str">
        <f>IF(Y553&lt;&gt;0,VLOOKUP(VLOOKUP(Y553,Tbl_Effect[],3,FALSE),EffectName[],IFERROR(MATCH(UI!$B$1,EffectName[#Headers],0),2),FALSE),"")</f>
        <v/>
      </c>
      <c r="AA553" t="str">
        <f t="shared" si="62"/>
        <v/>
      </c>
      <c r="AB553">
        <v>0</v>
      </c>
      <c r="AC553" t="str">
        <f>IF(AB553&lt;&gt;0,VLOOKUP(VLOOKUP(AB553,Tbl_Effect[],3,FALSE),EffectName[],IFERROR(MATCH(UI!$B$1,EffectName[#Headers],0),2),FALSE),"")</f>
        <v/>
      </c>
    </row>
    <row r="554" spans="8:29" x14ac:dyDescent="0.4">
      <c r="H554" t="str">
        <f t="shared" si="56"/>
        <v>1007300-細膩的幽靜情景 (綠)</v>
      </c>
      <c r="I554">
        <v>1007300</v>
      </c>
      <c r="J554" t="str">
        <f>_xlfn.IFNA(IF(I554&lt;&gt;0,VLOOKUP(VLOOKUP(I554,Tbl_Equip[],2,FALSE),Tbl_Color[],IFERROR(MATCH(UI!$B$1,Tbl_Color[#Headers],0),2),FALSE),""),"Unset")</f>
        <v>綠</v>
      </c>
      <c r="K554" t="str">
        <f>_xlfn.IFNA(IF(I554&lt;&gt;0,VLOOKUP(I554,ItemText[],IFERROR(MATCH(UI!$B$1,ItemText[#Headers],0),2),FALSE),""),"Unset")</f>
        <v>細膩的幽靜情景</v>
      </c>
      <c r="L554" t="str">
        <f t="shared" si="57"/>
        <v/>
      </c>
      <c r="M554">
        <v>0</v>
      </c>
      <c r="N554" t="str">
        <f>IF(VALUE(M554)=0,"",VLOOKUP(VLOOKUP(M554,Tbl_Effect[],3,FALSE),EffectName[],IFERROR(MATCH(UI!$B$1,EffectName[#Headers],0),2),FALSE))</f>
        <v/>
      </c>
      <c r="O554" t="str">
        <f t="shared" si="58"/>
        <v/>
      </c>
      <c r="P554">
        <v>0</v>
      </c>
      <c r="Q554" t="str">
        <f>IF(VALUE(P554)=0,"",VLOOKUP(VLOOKUP(P554,Tbl_Effect[],3,FALSE),EffectName[],IFERROR(MATCH(UI!$B$1,EffectName[#Headers],0),2),FALSE))</f>
        <v/>
      </c>
      <c r="R554" t="str">
        <f t="shared" si="59"/>
        <v/>
      </c>
      <c r="S554">
        <v>0</v>
      </c>
      <c r="T554" t="str">
        <f>IF(VALUE(S554)=0,"",VLOOKUP(VLOOKUP(S554,Tbl_Effect[],3,FALSE),EffectName[],IFERROR(MATCH(UI!$B$1,EffectName[#Headers],0),2),FALSE))</f>
        <v/>
      </c>
      <c r="U554" t="str">
        <f t="shared" si="60"/>
        <v/>
      </c>
      <c r="V554">
        <v>0</v>
      </c>
      <c r="W554" t="str">
        <f>IF(V554&lt;&gt;0,VLOOKUP(VLOOKUP(V554,Tbl_Effect[],3,FALSE),EffectName[],IFERROR(MATCH(UI!$B$1,EffectName[#Headers],0),2),FALSE),"")</f>
        <v/>
      </c>
      <c r="X554" t="str">
        <f t="shared" si="61"/>
        <v/>
      </c>
      <c r="Y554">
        <v>0</v>
      </c>
      <c r="Z554" t="str">
        <f>IF(Y554&lt;&gt;0,VLOOKUP(VLOOKUP(Y554,Tbl_Effect[],3,FALSE),EffectName[],IFERROR(MATCH(UI!$B$1,EffectName[#Headers],0),2),FALSE),"")</f>
        <v/>
      </c>
      <c r="AA554" t="str">
        <f t="shared" si="62"/>
        <v/>
      </c>
      <c r="AB554">
        <v>0</v>
      </c>
      <c r="AC554" t="str">
        <f>IF(AB554&lt;&gt;0,VLOOKUP(VLOOKUP(AB554,Tbl_Effect[],3,FALSE),EffectName[],IFERROR(MATCH(UI!$B$1,EffectName[#Headers],0),2),FALSE),"")</f>
        <v/>
      </c>
    </row>
    <row r="555" spans="8:29" x14ac:dyDescent="0.4">
      <c r="H555" t="str">
        <f t="shared" si="56"/>
        <v>1007301-端正的幽靜情景 (綠)</v>
      </c>
      <c r="I555">
        <v>1007301</v>
      </c>
      <c r="J555" t="str">
        <f>_xlfn.IFNA(IF(I555&lt;&gt;0,VLOOKUP(VLOOKUP(I555,Tbl_Equip[],2,FALSE),Tbl_Color[],IFERROR(MATCH(UI!$B$1,Tbl_Color[#Headers],0),2),FALSE),""),"Unset")</f>
        <v>綠</v>
      </c>
      <c r="K555" t="str">
        <f>_xlfn.IFNA(IF(I555&lt;&gt;0,VLOOKUP(I555,ItemText[],IFERROR(MATCH(UI!$B$1,ItemText[#Headers],0),2),FALSE),""),"Unset")</f>
        <v>端正的幽靜情景</v>
      </c>
      <c r="L555" t="str">
        <f t="shared" si="57"/>
        <v/>
      </c>
      <c r="M555">
        <v>0</v>
      </c>
      <c r="N555" t="str">
        <f>IF(VALUE(M555)=0,"",VLOOKUP(VLOOKUP(M555,Tbl_Effect[],3,FALSE),EffectName[],IFERROR(MATCH(UI!$B$1,EffectName[#Headers],0),2),FALSE))</f>
        <v/>
      </c>
      <c r="O555" t="str">
        <f t="shared" si="58"/>
        <v/>
      </c>
      <c r="P555">
        <v>0</v>
      </c>
      <c r="Q555" t="str">
        <f>IF(VALUE(P555)=0,"",VLOOKUP(VLOOKUP(P555,Tbl_Effect[],3,FALSE),EffectName[],IFERROR(MATCH(UI!$B$1,EffectName[#Headers],0),2),FALSE))</f>
        <v/>
      </c>
      <c r="R555" t="str">
        <f t="shared" si="59"/>
        <v/>
      </c>
      <c r="S555">
        <v>0</v>
      </c>
      <c r="T555" t="str">
        <f>IF(VALUE(S555)=0,"",VLOOKUP(VLOOKUP(S555,Tbl_Effect[],3,FALSE),EffectName[],IFERROR(MATCH(UI!$B$1,EffectName[#Headers],0),2),FALSE))</f>
        <v/>
      </c>
      <c r="U555" t="str">
        <f t="shared" si="60"/>
        <v/>
      </c>
      <c r="V555">
        <v>0</v>
      </c>
      <c r="W555" t="str">
        <f>IF(V555&lt;&gt;0,VLOOKUP(VLOOKUP(V555,Tbl_Effect[],3,FALSE),EffectName[],IFERROR(MATCH(UI!$B$1,EffectName[#Headers],0),2),FALSE),"")</f>
        <v/>
      </c>
      <c r="X555" t="str">
        <f t="shared" si="61"/>
        <v/>
      </c>
      <c r="Y555">
        <v>0</v>
      </c>
      <c r="Z555" t="str">
        <f>IF(Y555&lt;&gt;0,VLOOKUP(VLOOKUP(Y555,Tbl_Effect[],3,FALSE),EffectName[],IFERROR(MATCH(UI!$B$1,EffectName[#Headers],0),2),FALSE),"")</f>
        <v/>
      </c>
      <c r="AA555" t="str">
        <f t="shared" si="62"/>
        <v/>
      </c>
      <c r="AB555">
        <v>0</v>
      </c>
      <c r="AC555" t="str">
        <f>IF(AB555&lt;&gt;0,VLOOKUP(VLOOKUP(AB555,Tbl_Effect[],3,FALSE),EffectName[],IFERROR(MATCH(UI!$B$1,EffectName[#Headers],0),2),FALSE),"")</f>
        <v/>
      </c>
    </row>
    <row r="556" spans="8:29" x14ac:dyDescent="0.4">
      <c r="H556" t="str">
        <f t="shared" si="56"/>
        <v>1007302-遼闊的幽靜情景 (綠)</v>
      </c>
      <c r="I556">
        <v>1007302</v>
      </c>
      <c r="J556" t="str">
        <f>_xlfn.IFNA(IF(I556&lt;&gt;0,VLOOKUP(VLOOKUP(I556,Tbl_Equip[],2,FALSE),Tbl_Color[],IFERROR(MATCH(UI!$B$1,Tbl_Color[#Headers],0),2),FALSE),""),"Unset")</f>
        <v>綠</v>
      </c>
      <c r="K556" t="str">
        <f>_xlfn.IFNA(IF(I556&lt;&gt;0,VLOOKUP(I556,ItemText[],IFERROR(MATCH(UI!$B$1,ItemText[#Headers],0),2),FALSE),""),"Unset")</f>
        <v>遼闊的幽靜情景</v>
      </c>
      <c r="L556" t="str">
        <f t="shared" si="57"/>
        <v/>
      </c>
      <c r="M556">
        <v>0</v>
      </c>
      <c r="N556" t="str">
        <f>IF(VALUE(M556)=0,"",VLOOKUP(VLOOKUP(M556,Tbl_Effect[],3,FALSE),EffectName[],IFERROR(MATCH(UI!$B$1,EffectName[#Headers],0),2),FALSE))</f>
        <v/>
      </c>
      <c r="O556" t="str">
        <f t="shared" si="58"/>
        <v/>
      </c>
      <c r="P556">
        <v>0</v>
      </c>
      <c r="Q556" t="str">
        <f>IF(VALUE(P556)=0,"",VLOOKUP(VLOOKUP(P556,Tbl_Effect[],3,FALSE),EffectName[],IFERROR(MATCH(UI!$B$1,EffectName[#Headers],0),2),FALSE))</f>
        <v/>
      </c>
      <c r="R556" t="str">
        <f t="shared" si="59"/>
        <v/>
      </c>
      <c r="S556">
        <v>0</v>
      </c>
      <c r="T556" t="str">
        <f>IF(VALUE(S556)=0,"",VLOOKUP(VLOOKUP(S556,Tbl_Effect[],3,FALSE),EffectName[],IFERROR(MATCH(UI!$B$1,EffectName[#Headers],0),2),FALSE))</f>
        <v/>
      </c>
      <c r="U556" t="str">
        <f t="shared" si="60"/>
        <v/>
      </c>
      <c r="V556">
        <v>0</v>
      </c>
      <c r="W556" t="str">
        <f>IF(V556&lt;&gt;0,VLOOKUP(VLOOKUP(V556,Tbl_Effect[],3,FALSE),EffectName[],IFERROR(MATCH(UI!$B$1,EffectName[#Headers],0),2),FALSE),"")</f>
        <v/>
      </c>
      <c r="X556" t="str">
        <f t="shared" si="61"/>
        <v/>
      </c>
      <c r="Y556">
        <v>0</v>
      </c>
      <c r="Z556" t="str">
        <f>IF(Y556&lt;&gt;0,VLOOKUP(VLOOKUP(Y556,Tbl_Effect[],3,FALSE),EffectName[],IFERROR(MATCH(UI!$B$1,EffectName[#Headers],0),2),FALSE),"")</f>
        <v/>
      </c>
      <c r="AA556" t="str">
        <f t="shared" si="62"/>
        <v/>
      </c>
      <c r="AB556">
        <v>0</v>
      </c>
      <c r="AC556" t="str">
        <f>IF(AB556&lt;&gt;0,VLOOKUP(VLOOKUP(AB556,Tbl_Effect[],3,FALSE),EffectName[],IFERROR(MATCH(UI!$B$1,EffectName[#Headers],0),2),FALSE),"")</f>
        <v/>
      </c>
    </row>
    <row r="557" spans="8:29" x14ac:dyDescent="0.4">
      <c r="H557" t="str">
        <f t="shared" si="56"/>
        <v>1007310-細膩的幽靜情景 (綠)</v>
      </c>
      <c r="I557">
        <v>1007310</v>
      </c>
      <c r="J557" t="str">
        <f>_xlfn.IFNA(IF(I557&lt;&gt;0,VLOOKUP(VLOOKUP(I557,Tbl_Equip[],2,FALSE),Tbl_Color[],IFERROR(MATCH(UI!$B$1,Tbl_Color[#Headers],0),2),FALSE),""),"Unset")</f>
        <v>綠</v>
      </c>
      <c r="K557" t="str">
        <f>_xlfn.IFNA(IF(I557&lt;&gt;0,VLOOKUP(I557,ItemText[],IFERROR(MATCH(UI!$B$1,ItemText[#Headers],0),2),FALSE),""),"Unset")</f>
        <v>細膩的幽靜情景</v>
      </c>
      <c r="L557" t="str">
        <f t="shared" si="57"/>
        <v/>
      </c>
      <c r="M557">
        <v>0</v>
      </c>
      <c r="N557" t="str">
        <f>IF(VALUE(M557)=0,"",VLOOKUP(VLOOKUP(M557,Tbl_Effect[],3,FALSE),EffectName[],IFERROR(MATCH(UI!$B$1,EffectName[#Headers],0),2),FALSE))</f>
        <v/>
      </c>
      <c r="O557" t="str">
        <f t="shared" si="58"/>
        <v/>
      </c>
      <c r="P557">
        <v>0</v>
      </c>
      <c r="Q557" t="str">
        <f>IF(VALUE(P557)=0,"",VLOOKUP(VLOOKUP(P557,Tbl_Effect[],3,FALSE),EffectName[],IFERROR(MATCH(UI!$B$1,EffectName[#Headers],0),2),FALSE))</f>
        <v/>
      </c>
      <c r="R557" t="str">
        <f t="shared" si="59"/>
        <v/>
      </c>
      <c r="S557">
        <v>0</v>
      </c>
      <c r="T557" t="str">
        <f>IF(VALUE(S557)=0,"",VLOOKUP(VLOOKUP(S557,Tbl_Effect[],3,FALSE),EffectName[],IFERROR(MATCH(UI!$B$1,EffectName[#Headers],0),2),FALSE))</f>
        <v/>
      </c>
      <c r="U557" t="str">
        <f t="shared" si="60"/>
        <v/>
      </c>
      <c r="V557">
        <v>0</v>
      </c>
      <c r="W557" t="str">
        <f>IF(V557&lt;&gt;0,VLOOKUP(VLOOKUP(V557,Tbl_Effect[],3,FALSE),EffectName[],IFERROR(MATCH(UI!$B$1,EffectName[#Headers],0),2),FALSE),"")</f>
        <v/>
      </c>
      <c r="X557" t="str">
        <f t="shared" si="61"/>
        <v/>
      </c>
      <c r="Y557">
        <v>0</v>
      </c>
      <c r="Z557" t="str">
        <f>IF(Y557&lt;&gt;0,VLOOKUP(VLOOKUP(Y557,Tbl_Effect[],3,FALSE),EffectName[],IFERROR(MATCH(UI!$B$1,EffectName[#Headers],0),2),FALSE),"")</f>
        <v/>
      </c>
      <c r="AA557" t="str">
        <f t="shared" si="62"/>
        <v/>
      </c>
      <c r="AB557">
        <v>0</v>
      </c>
      <c r="AC557" t="str">
        <f>IF(AB557&lt;&gt;0,VLOOKUP(VLOOKUP(AB557,Tbl_Effect[],3,FALSE),EffectName[],IFERROR(MATCH(UI!$B$1,EffectName[#Headers],0),2),FALSE),"")</f>
        <v/>
      </c>
    </row>
    <row r="558" spans="8:29" x14ac:dyDescent="0.4">
      <c r="H558" t="str">
        <f t="shared" si="56"/>
        <v>1007311-端正的幽靜情景 (綠)</v>
      </c>
      <c r="I558">
        <v>1007311</v>
      </c>
      <c r="J558" t="str">
        <f>_xlfn.IFNA(IF(I558&lt;&gt;0,VLOOKUP(VLOOKUP(I558,Tbl_Equip[],2,FALSE),Tbl_Color[],IFERROR(MATCH(UI!$B$1,Tbl_Color[#Headers],0),2),FALSE),""),"Unset")</f>
        <v>綠</v>
      </c>
      <c r="K558" t="str">
        <f>_xlfn.IFNA(IF(I558&lt;&gt;0,VLOOKUP(I558,ItemText[],IFERROR(MATCH(UI!$B$1,ItemText[#Headers],0),2),FALSE),""),"Unset")</f>
        <v>端正的幽靜情景</v>
      </c>
      <c r="L558" t="str">
        <f t="shared" si="57"/>
        <v/>
      </c>
      <c r="M558">
        <v>0</v>
      </c>
      <c r="N558" t="str">
        <f>IF(VALUE(M558)=0,"",VLOOKUP(VLOOKUP(M558,Tbl_Effect[],3,FALSE),EffectName[],IFERROR(MATCH(UI!$B$1,EffectName[#Headers],0),2),FALSE))</f>
        <v/>
      </c>
      <c r="O558" t="str">
        <f t="shared" si="58"/>
        <v/>
      </c>
      <c r="P558">
        <v>0</v>
      </c>
      <c r="Q558" t="str">
        <f>IF(VALUE(P558)=0,"",VLOOKUP(VLOOKUP(P558,Tbl_Effect[],3,FALSE),EffectName[],IFERROR(MATCH(UI!$B$1,EffectName[#Headers],0),2),FALSE))</f>
        <v/>
      </c>
      <c r="R558" t="str">
        <f t="shared" si="59"/>
        <v/>
      </c>
      <c r="S558">
        <v>0</v>
      </c>
      <c r="T558" t="str">
        <f>IF(VALUE(S558)=0,"",VLOOKUP(VLOOKUP(S558,Tbl_Effect[],3,FALSE),EffectName[],IFERROR(MATCH(UI!$B$1,EffectName[#Headers],0),2),FALSE))</f>
        <v/>
      </c>
      <c r="U558" t="str">
        <f t="shared" si="60"/>
        <v/>
      </c>
      <c r="V558">
        <v>0</v>
      </c>
      <c r="W558" t="str">
        <f>IF(V558&lt;&gt;0,VLOOKUP(VLOOKUP(V558,Tbl_Effect[],3,FALSE),EffectName[],IFERROR(MATCH(UI!$B$1,EffectName[#Headers],0),2),FALSE),"")</f>
        <v/>
      </c>
      <c r="X558" t="str">
        <f t="shared" si="61"/>
        <v/>
      </c>
      <c r="Y558">
        <v>0</v>
      </c>
      <c r="Z558" t="str">
        <f>IF(Y558&lt;&gt;0,VLOOKUP(VLOOKUP(Y558,Tbl_Effect[],3,FALSE),EffectName[],IFERROR(MATCH(UI!$B$1,EffectName[#Headers],0),2),FALSE),"")</f>
        <v/>
      </c>
      <c r="AA558" t="str">
        <f t="shared" si="62"/>
        <v/>
      </c>
      <c r="AB558">
        <v>0</v>
      </c>
      <c r="AC558" t="str">
        <f>IF(AB558&lt;&gt;0,VLOOKUP(VLOOKUP(AB558,Tbl_Effect[],3,FALSE),EffectName[],IFERROR(MATCH(UI!$B$1,EffectName[#Headers],0),2),FALSE),"")</f>
        <v/>
      </c>
    </row>
    <row r="559" spans="8:29" x14ac:dyDescent="0.4">
      <c r="H559" t="str">
        <f t="shared" si="56"/>
        <v>1007312-遼闊的幽靜情景 (綠)</v>
      </c>
      <c r="I559">
        <v>1007312</v>
      </c>
      <c r="J559" t="str">
        <f>_xlfn.IFNA(IF(I559&lt;&gt;0,VLOOKUP(VLOOKUP(I559,Tbl_Equip[],2,FALSE),Tbl_Color[],IFERROR(MATCH(UI!$B$1,Tbl_Color[#Headers],0),2),FALSE),""),"Unset")</f>
        <v>綠</v>
      </c>
      <c r="K559" t="str">
        <f>_xlfn.IFNA(IF(I559&lt;&gt;0,VLOOKUP(I559,ItemText[],IFERROR(MATCH(UI!$B$1,ItemText[#Headers],0),2),FALSE),""),"Unset")</f>
        <v>遼闊的幽靜情景</v>
      </c>
      <c r="L559" t="str">
        <f t="shared" si="57"/>
        <v/>
      </c>
      <c r="M559">
        <v>0</v>
      </c>
      <c r="N559" t="str">
        <f>IF(VALUE(M559)=0,"",VLOOKUP(VLOOKUP(M559,Tbl_Effect[],3,FALSE),EffectName[],IFERROR(MATCH(UI!$B$1,EffectName[#Headers],0),2),FALSE))</f>
        <v/>
      </c>
      <c r="O559" t="str">
        <f t="shared" si="58"/>
        <v/>
      </c>
      <c r="P559">
        <v>0</v>
      </c>
      <c r="Q559" t="str">
        <f>IF(VALUE(P559)=0,"",VLOOKUP(VLOOKUP(P559,Tbl_Effect[],3,FALSE),EffectName[],IFERROR(MATCH(UI!$B$1,EffectName[#Headers],0),2),FALSE))</f>
        <v/>
      </c>
      <c r="R559" t="str">
        <f t="shared" si="59"/>
        <v/>
      </c>
      <c r="S559">
        <v>0</v>
      </c>
      <c r="T559" t="str">
        <f>IF(VALUE(S559)=0,"",VLOOKUP(VLOOKUP(S559,Tbl_Effect[],3,FALSE),EffectName[],IFERROR(MATCH(UI!$B$1,EffectName[#Headers],0),2),FALSE))</f>
        <v/>
      </c>
      <c r="U559" t="str">
        <f t="shared" si="60"/>
        <v/>
      </c>
      <c r="V559">
        <v>0</v>
      </c>
      <c r="W559" t="str">
        <f>IF(V559&lt;&gt;0,VLOOKUP(VLOOKUP(V559,Tbl_Effect[],3,FALSE),EffectName[],IFERROR(MATCH(UI!$B$1,EffectName[#Headers],0),2),FALSE),"")</f>
        <v/>
      </c>
      <c r="X559" t="str">
        <f t="shared" si="61"/>
        <v/>
      </c>
      <c r="Y559">
        <v>0</v>
      </c>
      <c r="Z559" t="str">
        <f>IF(Y559&lt;&gt;0,VLOOKUP(VLOOKUP(Y559,Tbl_Effect[],3,FALSE),EffectName[],IFERROR(MATCH(UI!$B$1,EffectName[#Headers],0),2),FALSE),"")</f>
        <v/>
      </c>
      <c r="AA559" t="str">
        <f t="shared" si="62"/>
        <v/>
      </c>
      <c r="AB559">
        <v>0</v>
      </c>
      <c r="AC559" t="str">
        <f>IF(AB559&lt;&gt;0,VLOOKUP(VLOOKUP(AB559,Tbl_Effect[],3,FALSE),EffectName[],IFERROR(MATCH(UI!$B$1,EffectName[#Headers],0),2),FALSE),"")</f>
        <v/>
      </c>
    </row>
    <row r="560" spans="8:29" x14ac:dyDescent="0.4">
      <c r="H560" t="str">
        <f t="shared" si="56"/>
        <v>1007320-細膩的幽靜情景 (綠)</v>
      </c>
      <c r="I560">
        <v>1007320</v>
      </c>
      <c r="J560" t="str">
        <f>_xlfn.IFNA(IF(I560&lt;&gt;0,VLOOKUP(VLOOKUP(I560,Tbl_Equip[],2,FALSE),Tbl_Color[],IFERROR(MATCH(UI!$B$1,Tbl_Color[#Headers],0),2),FALSE),""),"Unset")</f>
        <v>綠</v>
      </c>
      <c r="K560" t="str">
        <f>_xlfn.IFNA(IF(I560&lt;&gt;0,VLOOKUP(I560,ItemText[],IFERROR(MATCH(UI!$B$1,ItemText[#Headers],0),2),FALSE),""),"Unset")</f>
        <v>細膩的幽靜情景</v>
      </c>
      <c r="L560" t="str">
        <f t="shared" si="57"/>
        <v/>
      </c>
      <c r="M560">
        <v>0</v>
      </c>
      <c r="N560" t="str">
        <f>IF(VALUE(M560)=0,"",VLOOKUP(VLOOKUP(M560,Tbl_Effect[],3,FALSE),EffectName[],IFERROR(MATCH(UI!$B$1,EffectName[#Headers],0),2),FALSE))</f>
        <v/>
      </c>
      <c r="O560" t="str">
        <f t="shared" si="58"/>
        <v/>
      </c>
      <c r="P560">
        <v>0</v>
      </c>
      <c r="Q560" t="str">
        <f>IF(VALUE(P560)=0,"",VLOOKUP(VLOOKUP(P560,Tbl_Effect[],3,FALSE),EffectName[],IFERROR(MATCH(UI!$B$1,EffectName[#Headers],0),2),FALSE))</f>
        <v/>
      </c>
      <c r="R560" t="str">
        <f t="shared" si="59"/>
        <v/>
      </c>
      <c r="S560">
        <v>0</v>
      </c>
      <c r="T560" t="str">
        <f>IF(VALUE(S560)=0,"",VLOOKUP(VLOOKUP(S560,Tbl_Effect[],3,FALSE),EffectName[],IFERROR(MATCH(UI!$B$1,EffectName[#Headers],0),2),FALSE))</f>
        <v/>
      </c>
      <c r="U560" t="str">
        <f t="shared" si="60"/>
        <v/>
      </c>
      <c r="V560">
        <v>0</v>
      </c>
      <c r="W560" t="str">
        <f>IF(V560&lt;&gt;0,VLOOKUP(VLOOKUP(V560,Tbl_Effect[],3,FALSE),EffectName[],IFERROR(MATCH(UI!$B$1,EffectName[#Headers],0),2),FALSE),"")</f>
        <v/>
      </c>
      <c r="X560" t="str">
        <f t="shared" si="61"/>
        <v/>
      </c>
      <c r="Y560">
        <v>0</v>
      </c>
      <c r="Z560" t="str">
        <f>IF(Y560&lt;&gt;0,VLOOKUP(VLOOKUP(Y560,Tbl_Effect[],3,FALSE),EffectName[],IFERROR(MATCH(UI!$B$1,EffectName[#Headers],0),2),FALSE),"")</f>
        <v/>
      </c>
      <c r="AA560" t="str">
        <f t="shared" si="62"/>
        <v/>
      </c>
      <c r="AB560">
        <v>0</v>
      </c>
      <c r="AC560" t="str">
        <f>IF(AB560&lt;&gt;0,VLOOKUP(VLOOKUP(AB560,Tbl_Effect[],3,FALSE),EffectName[],IFERROR(MATCH(UI!$B$1,EffectName[#Headers],0),2),FALSE),"")</f>
        <v/>
      </c>
    </row>
    <row r="561" spans="8:29" x14ac:dyDescent="0.4">
      <c r="H561" t="str">
        <f t="shared" si="56"/>
        <v>1007321-端正的幽靜情景 (綠)</v>
      </c>
      <c r="I561">
        <v>1007321</v>
      </c>
      <c r="J561" t="str">
        <f>_xlfn.IFNA(IF(I561&lt;&gt;0,VLOOKUP(VLOOKUP(I561,Tbl_Equip[],2,FALSE),Tbl_Color[],IFERROR(MATCH(UI!$B$1,Tbl_Color[#Headers],0),2),FALSE),""),"Unset")</f>
        <v>綠</v>
      </c>
      <c r="K561" t="str">
        <f>_xlfn.IFNA(IF(I561&lt;&gt;0,VLOOKUP(I561,ItemText[],IFERROR(MATCH(UI!$B$1,ItemText[#Headers],0),2),FALSE),""),"Unset")</f>
        <v>端正的幽靜情景</v>
      </c>
      <c r="L561" t="str">
        <f t="shared" si="57"/>
        <v/>
      </c>
      <c r="M561">
        <v>0</v>
      </c>
      <c r="N561" t="str">
        <f>IF(VALUE(M561)=0,"",VLOOKUP(VLOOKUP(M561,Tbl_Effect[],3,FALSE),EffectName[],IFERROR(MATCH(UI!$B$1,EffectName[#Headers],0),2),FALSE))</f>
        <v/>
      </c>
      <c r="O561" t="str">
        <f t="shared" si="58"/>
        <v/>
      </c>
      <c r="P561">
        <v>0</v>
      </c>
      <c r="Q561" t="str">
        <f>IF(VALUE(P561)=0,"",VLOOKUP(VLOOKUP(P561,Tbl_Effect[],3,FALSE),EffectName[],IFERROR(MATCH(UI!$B$1,EffectName[#Headers],0),2),FALSE))</f>
        <v/>
      </c>
      <c r="R561" t="str">
        <f t="shared" si="59"/>
        <v/>
      </c>
      <c r="S561">
        <v>0</v>
      </c>
      <c r="T561" t="str">
        <f>IF(VALUE(S561)=0,"",VLOOKUP(VLOOKUP(S561,Tbl_Effect[],3,FALSE),EffectName[],IFERROR(MATCH(UI!$B$1,EffectName[#Headers],0),2),FALSE))</f>
        <v/>
      </c>
      <c r="U561" t="str">
        <f t="shared" si="60"/>
        <v/>
      </c>
      <c r="V561">
        <v>0</v>
      </c>
      <c r="W561" t="str">
        <f>IF(V561&lt;&gt;0,VLOOKUP(VLOOKUP(V561,Tbl_Effect[],3,FALSE),EffectName[],IFERROR(MATCH(UI!$B$1,EffectName[#Headers],0),2),FALSE),"")</f>
        <v/>
      </c>
      <c r="X561" t="str">
        <f t="shared" si="61"/>
        <v/>
      </c>
      <c r="Y561">
        <v>0</v>
      </c>
      <c r="Z561" t="str">
        <f>IF(Y561&lt;&gt;0,VLOOKUP(VLOOKUP(Y561,Tbl_Effect[],3,FALSE),EffectName[],IFERROR(MATCH(UI!$B$1,EffectName[#Headers],0),2),FALSE),"")</f>
        <v/>
      </c>
      <c r="AA561" t="str">
        <f t="shared" si="62"/>
        <v/>
      </c>
      <c r="AB561">
        <v>0</v>
      </c>
      <c r="AC561" t="str">
        <f>IF(AB561&lt;&gt;0,VLOOKUP(VLOOKUP(AB561,Tbl_Effect[],3,FALSE),EffectName[],IFERROR(MATCH(UI!$B$1,EffectName[#Headers],0),2),FALSE),"")</f>
        <v/>
      </c>
    </row>
    <row r="562" spans="8:29" x14ac:dyDescent="0.4">
      <c r="H562" t="str">
        <f t="shared" si="56"/>
        <v>1007322-遼闊的幽靜情景 (綠)</v>
      </c>
      <c r="I562">
        <v>1007322</v>
      </c>
      <c r="J562" t="str">
        <f>_xlfn.IFNA(IF(I562&lt;&gt;0,VLOOKUP(VLOOKUP(I562,Tbl_Equip[],2,FALSE),Tbl_Color[],IFERROR(MATCH(UI!$B$1,Tbl_Color[#Headers],0),2),FALSE),""),"Unset")</f>
        <v>綠</v>
      </c>
      <c r="K562" t="str">
        <f>_xlfn.IFNA(IF(I562&lt;&gt;0,VLOOKUP(I562,ItemText[],IFERROR(MATCH(UI!$B$1,ItemText[#Headers],0),2),FALSE),""),"Unset")</f>
        <v>遼闊的幽靜情景</v>
      </c>
      <c r="L562" t="str">
        <f t="shared" si="57"/>
        <v/>
      </c>
      <c r="M562">
        <v>0</v>
      </c>
      <c r="N562" t="str">
        <f>IF(VALUE(M562)=0,"",VLOOKUP(VLOOKUP(M562,Tbl_Effect[],3,FALSE),EffectName[],IFERROR(MATCH(UI!$B$1,EffectName[#Headers],0),2),FALSE))</f>
        <v/>
      </c>
      <c r="O562" t="str">
        <f t="shared" si="58"/>
        <v/>
      </c>
      <c r="P562">
        <v>0</v>
      </c>
      <c r="Q562" t="str">
        <f>IF(VALUE(P562)=0,"",VLOOKUP(VLOOKUP(P562,Tbl_Effect[],3,FALSE),EffectName[],IFERROR(MATCH(UI!$B$1,EffectName[#Headers],0),2),FALSE))</f>
        <v/>
      </c>
      <c r="R562" t="str">
        <f t="shared" si="59"/>
        <v/>
      </c>
      <c r="S562">
        <v>0</v>
      </c>
      <c r="T562" t="str">
        <f>IF(VALUE(S562)=0,"",VLOOKUP(VLOOKUP(S562,Tbl_Effect[],3,FALSE),EffectName[],IFERROR(MATCH(UI!$B$1,EffectName[#Headers],0),2),FALSE))</f>
        <v/>
      </c>
      <c r="U562" t="str">
        <f t="shared" si="60"/>
        <v/>
      </c>
      <c r="V562">
        <v>0</v>
      </c>
      <c r="W562" t="str">
        <f>IF(V562&lt;&gt;0,VLOOKUP(VLOOKUP(V562,Tbl_Effect[],3,FALSE),EffectName[],IFERROR(MATCH(UI!$B$1,EffectName[#Headers],0),2),FALSE),"")</f>
        <v/>
      </c>
      <c r="X562" t="str">
        <f t="shared" si="61"/>
        <v/>
      </c>
      <c r="Y562">
        <v>0</v>
      </c>
      <c r="Z562" t="str">
        <f>IF(Y562&lt;&gt;0,VLOOKUP(VLOOKUP(Y562,Tbl_Effect[],3,FALSE),EffectName[],IFERROR(MATCH(UI!$B$1,EffectName[#Headers],0),2),FALSE),"")</f>
        <v/>
      </c>
      <c r="AA562" t="str">
        <f t="shared" si="62"/>
        <v/>
      </c>
      <c r="AB562">
        <v>0</v>
      </c>
      <c r="AC562" t="str">
        <f>IF(AB562&lt;&gt;0,VLOOKUP(VLOOKUP(AB562,Tbl_Effect[],3,FALSE),EffectName[],IFERROR(MATCH(UI!$B$1,EffectName[#Headers],0),2),FALSE),"")</f>
        <v/>
      </c>
    </row>
    <row r="563" spans="8:29" x14ac:dyDescent="0.4">
      <c r="H563" t="str">
        <f t="shared" si="56"/>
        <v>1008000-細膩的火燃情景 (紅)</v>
      </c>
      <c r="I563">
        <v>1008000</v>
      </c>
      <c r="J563" t="str">
        <f>_xlfn.IFNA(IF(I563&lt;&gt;0,VLOOKUP(VLOOKUP(I563,Tbl_Equip[],2,FALSE),Tbl_Color[],IFERROR(MATCH(UI!$B$1,Tbl_Color[#Headers],0),2),FALSE),""),"Unset")</f>
        <v>紅</v>
      </c>
      <c r="K563" t="str">
        <f>_xlfn.IFNA(IF(I563&lt;&gt;0,VLOOKUP(I563,ItemText[],IFERROR(MATCH(UI!$B$1,ItemText[#Headers],0),2),FALSE),""),"Unset")</f>
        <v>細膩的火燃情景</v>
      </c>
      <c r="L563" t="str">
        <f t="shared" si="57"/>
        <v/>
      </c>
      <c r="M563">
        <v>0</v>
      </c>
      <c r="N563" t="str">
        <f>IF(VALUE(M563)=0,"",VLOOKUP(VLOOKUP(M563,Tbl_Effect[],3,FALSE),EffectName[],IFERROR(MATCH(UI!$B$1,EffectName[#Headers],0),2),FALSE))</f>
        <v/>
      </c>
      <c r="O563" t="str">
        <f t="shared" si="58"/>
        <v/>
      </c>
      <c r="P563">
        <v>0</v>
      </c>
      <c r="Q563" t="str">
        <f>IF(VALUE(P563)=0,"",VLOOKUP(VLOOKUP(P563,Tbl_Effect[],3,FALSE),EffectName[],IFERROR(MATCH(UI!$B$1,EffectName[#Headers],0),2),FALSE))</f>
        <v/>
      </c>
      <c r="R563" t="str">
        <f t="shared" si="59"/>
        <v/>
      </c>
      <c r="S563">
        <v>0</v>
      </c>
      <c r="T563" t="str">
        <f>IF(VALUE(S563)=0,"",VLOOKUP(VLOOKUP(S563,Tbl_Effect[],3,FALSE),EffectName[],IFERROR(MATCH(UI!$B$1,EffectName[#Headers],0),2),FALSE))</f>
        <v/>
      </c>
      <c r="U563" t="str">
        <f t="shared" si="60"/>
        <v/>
      </c>
      <c r="V563">
        <v>0</v>
      </c>
      <c r="W563" t="str">
        <f>IF(V563&lt;&gt;0,VLOOKUP(VLOOKUP(V563,Tbl_Effect[],3,FALSE),EffectName[],IFERROR(MATCH(UI!$B$1,EffectName[#Headers],0),2),FALSE),"")</f>
        <v/>
      </c>
      <c r="X563" t="str">
        <f t="shared" si="61"/>
        <v/>
      </c>
      <c r="Y563">
        <v>0</v>
      </c>
      <c r="Z563" t="str">
        <f>IF(Y563&lt;&gt;0,VLOOKUP(VLOOKUP(Y563,Tbl_Effect[],3,FALSE),EffectName[],IFERROR(MATCH(UI!$B$1,EffectName[#Headers],0),2),FALSE),"")</f>
        <v/>
      </c>
      <c r="AA563" t="str">
        <f t="shared" si="62"/>
        <v/>
      </c>
      <c r="AB563">
        <v>0</v>
      </c>
      <c r="AC563" t="str">
        <f>IF(AB563&lt;&gt;0,VLOOKUP(VLOOKUP(AB563,Tbl_Effect[],3,FALSE),EffectName[],IFERROR(MATCH(UI!$B$1,EffectName[#Headers],0),2),FALSE),"")</f>
        <v/>
      </c>
    </row>
    <row r="564" spans="8:29" x14ac:dyDescent="0.4">
      <c r="H564" t="str">
        <f t="shared" si="56"/>
        <v>1008001-端正的火燃情景 (紅)</v>
      </c>
      <c r="I564">
        <v>1008001</v>
      </c>
      <c r="J564" t="str">
        <f>_xlfn.IFNA(IF(I564&lt;&gt;0,VLOOKUP(VLOOKUP(I564,Tbl_Equip[],2,FALSE),Tbl_Color[],IFERROR(MATCH(UI!$B$1,Tbl_Color[#Headers],0),2),FALSE),""),"Unset")</f>
        <v>紅</v>
      </c>
      <c r="K564" t="str">
        <f>_xlfn.IFNA(IF(I564&lt;&gt;0,VLOOKUP(I564,ItemText[],IFERROR(MATCH(UI!$B$1,ItemText[#Headers],0),2),FALSE),""),"Unset")</f>
        <v>端正的火燃情景</v>
      </c>
      <c r="L564" t="str">
        <f t="shared" si="57"/>
        <v/>
      </c>
      <c r="M564">
        <v>0</v>
      </c>
      <c r="N564" t="str">
        <f>IF(VALUE(M564)=0,"",VLOOKUP(VLOOKUP(M564,Tbl_Effect[],3,FALSE),EffectName[],IFERROR(MATCH(UI!$B$1,EffectName[#Headers],0),2),FALSE))</f>
        <v/>
      </c>
      <c r="O564" t="str">
        <f t="shared" si="58"/>
        <v/>
      </c>
      <c r="P564">
        <v>0</v>
      </c>
      <c r="Q564" t="str">
        <f>IF(VALUE(P564)=0,"",VLOOKUP(VLOOKUP(P564,Tbl_Effect[],3,FALSE),EffectName[],IFERROR(MATCH(UI!$B$1,EffectName[#Headers],0),2),FALSE))</f>
        <v/>
      </c>
      <c r="R564" t="str">
        <f t="shared" si="59"/>
        <v/>
      </c>
      <c r="S564">
        <v>0</v>
      </c>
      <c r="T564" t="str">
        <f>IF(VALUE(S564)=0,"",VLOOKUP(VLOOKUP(S564,Tbl_Effect[],3,FALSE),EffectName[],IFERROR(MATCH(UI!$B$1,EffectName[#Headers],0),2),FALSE))</f>
        <v/>
      </c>
      <c r="U564" t="str">
        <f t="shared" si="60"/>
        <v/>
      </c>
      <c r="V564">
        <v>0</v>
      </c>
      <c r="W564" t="str">
        <f>IF(V564&lt;&gt;0,VLOOKUP(VLOOKUP(V564,Tbl_Effect[],3,FALSE),EffectName[],IFERROR(MATCH(UI!$B$1,EffectName[#Headers],0),2),FALSE),"")</f>
        <v/>
      </c>
      <c r="X564" t="str">
        <f t="shared" si="61"/>
        <v/>
      </c>
      <c r="Y564">
        <v>0</v>
      </c>
      <c r="Z564" t="str">
        <f>IF(Y564&lt;&gt;0,VLOOKUP(VLOOKUP(Y564,Tbl_Effect[],3,FALSE),EffectName[],IFERROR(MATCH(UI!$B$1,EffectName[#Headers],0),2),FALSE),"")</f>
        <v/>
      </c>
      <c r="AA564" t="str">
        <f t="shared" si="62"/>
        <v/>
      </c>
      <c r="AB564">
        <v>0</v>
      </c>
      <c r="AC564" t="str">
        <f>IF(AB564&lt;&gt;0,VLOOKUP(VLOOKUP(AB564,Tbl_Effect[],3,FALSE),EffectName[],IFERROR(MATCH(UI!$B$1,EffectName[#Headers],0),2),FALSE),"")</f>
        <v/>
      </c>
    </row>
    <row r="565" spans="8:29" x14ac:dyDescent="0.4">
      <c r="H565" t="str">
        <f t="shared" si="56"/>
        <v>1008002-遼闊的火燃情景 (紅)</v>
      </c>
      <c r="I565">
        <v>1008002</v>
      </c>
      <c r="J565" t="str">
        <f>_xlfn.IFNA(IF(I565&lt;&gt;0,VLOOKUP(VLOOKUP(I565,Tbl_Equip[],2,FALSE),Tbl_Color[],IFERROR(MATCH(UI!$B$1,Tbl_Color[#Headers],0),2),FALSE),""),"Unset")</f>
        <v>紅</v>
      </c>
      <c r="K565" t="str">
        <f>_xlfn.IFNA(IF(I565&lt;&gt;0,VLOOKUP(I565,ItemText[],IFERROR(MATCH(UI!$B$1,ItemText[#Headers],0),2),FALSE),""),"Unset")</f>
        <v>遼闊的火燃情景</v>
      </c>
      <c r="L565" t="str">
        <f t="shared" si="57"/>
        <v/>
      </c>
      <c r="M565">
        <v>0</v>
      </c>
      <c r="N565" t="str">
        <f>IF(VALUE(M565)=0,"",VLOOKUP(VLOOKUP(M565,Tbl_Effect[],3,FALSE),EffectName[],IFERROR(MATCH(UI!$B$1,EffectName[#Headers],0),2),FALSE))</f>
        <v/>
      </c>
      <c r="O565" t="str">
        <f t="shared" si="58"/>
        <v/>
      </c>
      <c r="P565">
        <v>0</v>
      </c>
      <c r="Q565" t="str">
        <f>IF(VALUE(P565)=0,"",VLOOKUP(VLOOKUP(P565,Tbl_Effect[],3,FALSE),EffectName[],IFERROR(MATCH(UI!$B$1,EffectName[#Headers],0),2),FALSE))</f>
        <v/>
      </c>
      <c r="R565" t="str">
        <f t="shared" si="59"/>
        <v/>
      </c>
      <c r="S565">
        <v>0</v>
      </c>
      <c r="T565" t="str">
        <f>IF(VALUE(S565)=0,"",VLOOKUP(VLOOKUP(S565,Tbl_Effect[],3,FALSE),EffectName[],IFERROR(MATCH(UI!$B$1,EffectName[#Headers],0),2),FALSE))</f>
        <v/>
      </c>
      <c r="U565" t="str">
        <f t="shared" si="60"/>
        <v/>
      </c>
      <c r="V565">
        <v>0</v>
      </c>
      <c r="W565" t="str">
        <f>IF(V565&lt;&gt;0,VLOOKUP(VLOOKUP(V565,Tbl_Effect[],3,FALSE),EffectName[],IFERROR(MATCH(UI!$B$1,EffectName[#Headers],0),2),FALSE),"")</f>
        <v/>
      </c>
      <c r="X565" t="str">
        <f t="shared" si="61"/>
        <v/>
      </c>
      <c r="Y565">
        <v>0</v>
      </c>
      <c r="Z565" t="str">
        <f>IF(Y565&lt;&gt;0,VLOOKUP(VLOOKUP(Y565,Tbl_Effect[],3,FALSE),EffectName[],IFERROR(MATCH(UI!$B$1,EffectName[#Headers],0),2),FALSE),"")</f>
        <v/>
      </c>
      <c r="AA565" t="str">
        <f t="shared" si="62"/>
        <v/>
      </c>
      <c r="AB565">
        <v>0</v>
      </c>
      <c r="AC565" t="str">
        <f>IF(AB565&lt;&gt;0,VLOOKUP(VLOOKUP(AB565,Tbl_Effect[],3,FALSE),EffectName[],IFERROR(MATCH(UI!$B$1,EffectName[#Headers],0),2),FALSE),"")</f>
        <v/>
      </c>
    </row>
    <row r="566" spans="8:29" x14ac:dyDescent="0.4">
      <c r="H566" t="str">
        <f t="shared" si="56"/>
        <v>1008010-細膩的火燃情景 (紅)</v>
      </c>
      <c r="I566">
        <v>1008010</v>
      </c>
      <c r="J566" t="str">
        <f>_xlfn.IFNA(IF(I566&lt;&gt;0,VLOOKUP(VLOOKUP(I566,Tbl_Equip[],2,FALSE),Tbl_Color[],IFERROR(MATCH(UI!$B$1,Tbl_Color[#Headers],0),2),FALSE),""),"Unset")</f>
        <v>紅</v>
      </c>
      <c r="K566" t="str">
        <f>_xlfn.IFNA(IF(I566&lt;&gt;0,VLOOKUP(I566,ItemText[],IFERROR(MATCH(UI!$B$1,ItemText[#Headers],0),2),FALSE),""),"Unset")</f>
        <v>細膩的火燃情景</v>
      </c>
      <c r="L566" t="str">
        <f t="shared" si="57"/>
        <v/>
      </c>
      <c r="M566">
        <v>0</v>
      </c>
      <c r="N566" t="str">
        <f>IF(VALUE(M566)=0,"",VLOOKUP(VLOOKUP(M566,Tbl_Effect[],3,FALSE),EffectName[],IFERROR(MATCH(UI!$B$1,EffectName[#Headers],0),2),FALSE))</f>
        <v/>
      </c>
      <c r="O566" t="str">
        <f t="shared" si="58"/>
        <v/>
      </c>
      <c r="P566">
        <v>0</v>
      </c>
      <c r="Q566" t="str">
        <f>IF(VALUE(P566)=0,"",VLOOKUP(VLOOKUP(P566,Tbl_Effect[],3,FALSE),EffectName[],IFERROR(MATCH(UI!$B$1,EffectName[#Headers],0),2),FALSE))</f>
        <v/>
      </c>
      <c r="R566" t="str">
        <f t="shared" si="59"/>
        <v/>
      </c>
      <c r="S566">
        <v>0</v>
      </c>
      <c r="T566" t="str">
        <f>IF(VALUE(S566)=0,"",VLOOKUP(VLOOKUP(S566,Tbl_Effect[],3,FALSE),EffectName[],IFERROR(MATCH(UI!$B$1,EffectName[#Headers],0),2),FALSE))</f>
        <v/>
      </c>
      <c r="U566" t="str">
        <f t="shared" si="60"/>
        <v/>
      </c>
      <c r="V566">
        <v>0</v>
      </c>
      <c r="W566" t="str">
        <f>IF(V566&lt;&gt;0,VLOOKUP(VLOOKUP(V566,Tbl_Effect[],3,FALSE),EffectName[],IFERROR(MATCH(UI!$B$1,EffectName[#Headers],0),2),FALSE),"")</f>
        <v/>
      </c>
      <c r="X566" t="str">
        <f t="shared" si="61"/>
        <v/>
      </c>
      <c r="Y566">
        <v>0</v>
      </c>
      <c r="Z566" t="str">
        <f>IF(Y566&lt;&gt;0,VLOOKUP(VLOOKUP(Y566,Tbl_Effect[],3,FALSE),EffectName[],IFERROR(MATCH(UI!$B$1,EffectName[#Headers],0),2),FALSE),"")</f>
        <v/>
      </c>
      <c r="AA566" t="str">
        <f t="shared" si="62"/>
        <v/>
      </c>
      <c r="AB566">
        <v>0</v>
      </c>
      <c r="AC566" t="str">
        <f>IF(AB566&lt;&gt;0,VLOOKUP(VLOOKUP(AB566,Tbl_Effect[],3,FALSE),EffectName[],IFERROR(MATCH(UI!$B$1,EffectName[#Headers],0),2),FALSE),"")</f>
        <v/>
      </c>
    </row>
    <row r="567" spans="8:29" x14ac:dyDescent="0.4">
      <c r="H567" t="str">
        <f t="shared" si="56"/>
        <v>1008011-端正的火燃情景 (紅)</v>
      </c>
      <c r="I567">
        <v>1008011</v>
      </c>
      <c r="J567" t="str">
        <f>_xlfn.IFNA(IF(I567&lt;&gt;0,VLOOKUP(VLOOKUP(I567,Tbl_Equip[],2,FALSE),Tbl_Color[],IFERROR(MATCH(UI!$B$1,Tbl_Color[#Headers],0),2),FALSE),""),"Unset")</f>
        <v>紅</v>
      </c>
      <c r="K567" t="str">
        <f>_xlfn.IFNA(IF(I567&lt;&gt;0,VLOOKUP(I567,ItemText[],IFERROR(MATCH(UI!$B$1,ItemText[#Headers],0),2),FALSE),""),"Unset")</f>
        <v>端正的火燃情景</v>
      </c>
      <c r="L567" t="str">
        <f t="shared" si="57"/>
        <v/>
      </c>
      <c r="M567">
        <v>0</v>
      </c>
      <c r="N567" t="str">
        <f>IF(VALUE(M567)=0,"",VLOOKUP(VLOOKUP(M567,Tbl_Effect[],3,FALSE),EffectName[],IFERROR(MATCH(UI!$B$1,EffectName[#Headers],0),2),FALSE))</f>
        <v/>
      </c>
      <c r="O567" t="str">
        <f t="shared" si="58"/>
        <v/>
      </c>
      <c r="P567">
        <v>0</v>
      </c>
      <c r="Q567" t="str">
        <f>IF(VALUE(P567)=0,"",VLOOKUP(VLOOKUP(P567,Tbl_Effect[],3,FALSE),EffectName[],IFERROR(MATCH(UI!$B$1,EffectName[#Headers],0),2),FALSE))</f>
        <v/>
      </c>
      <c r="R567" t="str">
        <f t="shared" si="59"/>
        <v/>
      </c>
      <c r="S567">
        <v>0</v>
      </c>
      <c r="T567" t="str">
        <f>IF(VALUE(S567)=0,"",VLOOKUP(VLOOKUP(S567,Tbl_Effect[],3,FALSE),EffectName[],IFERROR(MATCH(UI!$B$1,EffectName[#Headers],0),2),FALSE))</f>
        <v/>
      </c>
      <c r="U567" t="str">
        <f t="shared" si="60"/>
        <v/>
      </c>
      <c r="V567">
        <v>0</v>
      </c>
      <c r="W567" t="str">
        <f>IF(V567&lt;&gt;0,VLOOKUP(VLOOKUP(V567,Tbl_Effect[],3,FALSE),EffectName[],IFERROR(MATCH(UI!$B$1,EffectName[#Headers],0),2),FALSE),"")</f>
        <v/>
      </c>
      <c r="X567" t="str">
        <f t="shared" si="61"/>
        <v/>
      </c>
      <c r="Y567">
        <v>0</v>
      </c>
      <c r="Z567" t="str">
        <f>IF(Y567&lt;&gt;0,VLOOKUP(VLOOKUP(Y567,Tbl_Effect[],3,FALSE),EffectName[],IFERROR(MATCH(UI!$B$1,EffectName[#Headers],0),2),FALSE),"")</f>
        <v/>
      </c>
      <c r="AA567" t="str">
        <f t="shared" si="62"/>
        <v/>
      </c>
      <c r="AB567">
        <v>0</v>
      </c>
      <c r="AC567" t="str">
        <f>IF(AB567&lt;&gt;0,VLOOKUP(VLOOKUP(AB567,Tbl_Effect[],3,FALSE),EffectName[],IFERROR(MATCH(UI!$B$1,EffectName[#Headers],0),2),FALSE),"")</f>
        <v/>
      </c>
    </row>
    <row r="568" spans="8:29" x14ac:dyDescent="0.4">
      <c r="H568" t="str">
        <f t="shared" si="56"/>
        <v>1008012-遼闊的火燃情景 (紅)</v>
      </c>
      <c r="I568">
        <v>1008012</v>
      </c>
      <c r="J568" t="str">
        <f>_xlfn.IFNA(IF(I568&lt;&gt;0,VLOOKUP(VLOOKUP(I568,Tbl_Equip[],2,FALSE),Tbl_Color[],IFERROR(MATCH(UI!$B$1,Tbl_Color[#Headers],0),2),FALSE),""),"Unset")</f>
        <v>紅</v>
      </c>
      <c r="K568" t="str">
        <f>_xlfn.IFNA(IF(I568&lt;&gt;0,VLOOKUP(I568,ItemText[],IFERROR(MATCH(UI!$B$1,ItemText[#Headers],0),2),FALSE),""),"Unset")</f>
        <v>遼闊的火燃情景</v>
      </c>
      <c r="L568" t="str">
        <f t="shared" si="57"/>
        <v/>
      </c>
      <c r="M568">
        <v>0</v>
      </c>
      <c r="N568" t="str">
        <f>IF(VALUE(M568)=0,"",VLOOKUP(VLOOKUP(M568,Tbl_Effect[],3,FALSE),EffectName[],IFERROR(MATCH(UI!$B$1,EffectName[#Headers],0),2),FALSE))</f>
        <v/>
      </c>
      <c r="O568" t="str">
        <f t="shared" si="58"/>
        <v/>
      </c>
      <c r="P568">
        <v>0</v>
      </c>
      <c r="Q568" t="str">
        <f>IF(VALUE(P568)=0,"",VLOOKUP(VLOOKUP(P568,Tbl_Effect[],3,FALSE),EffectName[],IFERROR(MATCH(UI!$B$1,EffectName[#Headers],0),2),FALSE))</f>
        <v/>
      </c>
      <c r="R568" t="str">
        <f t="shared" si="59"/>
        <v/>
      </c>
      <c r="S568">
        <v>0</v>
      </c>
      <c r="T568" t="str">
        <f>IF(VALUE(S568)=0,"",VLOOKUP(VLOOKUP(S568,Tbl_Effect[],3,FALSE),EffectName[],IFERROR(MATCH(UI!$B$1,EffectName[#Headers],0),2),FALSE))</f>
        <v/>
      </c>
      <c r="U568" t="str">
        <f t="shared" si="60"/>
        <v/>
      </c>
      <c r="V568">
        <v>0</v>
      </c>
      <c r="W568" t="str">
        <f>IF(V568&lt;&gt;0,VLOOKUP(VLOOKUP(V568,Tbl_Effect[],3,FALSE),EffectName[],IFERROR(MATCH(UI!$B$1,EffectName[#Headers],0),2),FALSE),"")</f>
        <v/>
      </c>
      <c r="X568" t="str">
        <f t="shared" si="61"/>
        <v/>
      </c>
      <c r="Y568">
        <v>0</v>
      </c>
      <c r="Z568" t="str">
        <f>IF(Y568&lt;&gt;0,VLOOKUP(VLOOKUP(Y568,Tbl_Effect[],3,FALSE),EffectName[],IFERROR(MATCH(UI!$B$1,EffectName[#Headers],0),2),FALSE),"")</f>
        <v/>
      </c>
      <c r="AA568" t="str">
        <f t="shared" si="62"/>
        <v/>
      </c>
      <c r="AB568">
        <v>0</v>
      </c>
      <c r="AC568" t="str">
        <f>IF(AB568&lt;&gt;0,VLOOKUP(VLOOKUP(AB568,Tbl_Effect[],3,FALSE),EffectName[],IFERROR(MATCH(UI!$B$1,EffectName[#Headers],0),2),FALSE),"")</f>
        <v/>
      </c>
    </row>
    <row r="569" spans="8:29" x14ac:dyDescent="0.4">
      <c r="H569" t="str">
        <f t="shared" si="56"/>
        <v>1008020-細膩的火燃情景 (紅)</v>
      </c>
      <c r="I569">
        <v>1008020</v>
      </c>
      <c r="J569" t="str">
        <f>_xlfn.IFNA(IF(I569&lt;&gt;0,VLOOKUP(VLOOKUP(I569,Tbl_Equip[],2,FALSE),Tbl_Color[],IFERROR(MATCH(UI!$B$1,Tbl_Color[#Headers],0),2),FALSE),""),"Unset")</f>
        <v>紅</v>
      </c>
      <c r="K569" t="str">
        <f>_xlfn.IFNA(IF(I569&lt;&gt;0,VLOOKUP(I569,ItemText[],IFERROR(MATCH(UI!$B$1,ItemText[#Headers],0),2),FALSE),""),"Unset")</f>
        <v>細膩的火燃情景</v>
      </c>
      <c r="L569" t="str">
        <f t="shared" si="57"/>
        <v/>
      </c>
      <c r="M569">
        <v>0</v>
      </c>
      <c r="N569" t="str">
        <f>IF(VALUE(M569)=0,"",VLOOKUP(VLOOKUP(M569,Tbl_Effect[],3,FALSE),EffectName[],IFERROR(MATCH(UI!$B$1,EffectName[#Headers],0),2),FALSE))</f>
        <v/>
      </c>
      <c r="O569" t="str">
        <f t="shared" si="58"/>
        <v/>
      </c>
      <c r="P569">
        <v>0</v>
      </c>
      <c r="Q569" t="str">
        <f>IF(VALUE(P569)=0,"",VLOOKUP(VLOOKUP(P569,Tbl_Effect[],3,FALSE),EffectName[],IFERROR(MATCH(UI!$B$1,EffectName[#Headers],0),2),FALSE))</f>
        <v/>
      </c>
      <c r="R569" t="str">
        <f t="shared" si="59"/>
        <v/>
      </c>
      <c r="S569">
        <v>0</v>
      </c>
      <c r="T569" t="str">
        <f>IF(VALUE(S569)=0,"",VLOOKUP(VLOOKUP(S569,Tbl_Effect[],3,FALSE),EffectName[],IFERROR(MATCH(UI!$B$1,EffectName[#Headers],0),2),FALSE))</f>
        <v/>
      </c>
      <c r="U569" t="str">
        <f t="shared" si="60"/>
        <v/>
      </c>
      <c r="V569">
        <v>0</v>
      </c>
      <c r="W569" t="str">
        <f>IF(V569&lt;&gt;0,VLOOKUP(VLOOKUP(V569,Tbl_Effect[],3,FALSE),EffectName[],IFERROR(MATCH(UI!$B$1,EffectName[#Headers],0),2),FALSE),"")</f>
        <v/>
      </c>
      <c r="X569" t="str">
        <f t="shared" si="61"/>
        <v/>
      </c>
      <c r="Y569">
        <v>0</v>
      </c>
      <c r="Z569" t="str">
        <f>IF(Y569&lt;&gt;0,VLOOKUP(VLOOKUP(Y569,Tbl_Effect[],3,FALSE),EffectName[],IFERROR(MATCH(UI!$B$1,EffectName[#Headers],0),2),FALSE),"")</f>
        <v/>
      </c>
      <c r="AA569" t="str">
        <f t="shared" si="62"/>
        <v/>
      </c>
      <c r="AB569">
        <v>0</v>
      </c>
      <c r="AC569" t="str">
        <f>IF(AB569&lt;&gt;0,VLOOKUP(VLOOKUP(AB569,Tbl_Effect[],3,FALSE),EffectName[],IFERROR(MATCH(UI!$B$1,EffectName[#Headers],0),2),FALSE),"")</f>
        <v/>
      </c>
    </row>
    <row r="570" spans="8:29" x14ac:dyDescent="0.4">
      <c r="H570" t="str">
        <f t="shared" si="56"/>
        <v>1008021-端正的火燃情景 (紅)</v>
      </c>
      <c r="I570">
        <v>1008021</v>
      </c>
      <c r="J570" t="str">
        <f>_xlfn.IFNA(IF(I570&lt;&gt;0,VLOOKUP(VLOOKUP(I570,Tbl_Equip[],2,FALSE),Tbl_Color[],IFERROR(MATCH(UI!$B$1,Tbl_Color[#Headers],0),2),FALSE),""),"Unset")</f>
        <v>紅</v>
      </c>
      <c r="K570" t="str">
        <f>_xlfn.IFNA(IF(I570&lt;&gt;0,VLOOKUP(I570,ItemText[],IFERROR(MATCH(UI!$B$1,ItemText[#Headers],0),2),FALSE),""),"Unset")</f>
        <v>端正的火燃情景</v>
      </c>
      <c r="L570" t="str">
        <f t="shared" si="57"/>
        <v/>
      </c>
      <c r="M570">
        <v>0</v>
      </c>
      <c r="N570" t="str">
        <f>IF(VALUE(M570)=0,"",VLOOKUP(VLOOKUP(M570,Tbl_Effect[],3,FALSE),EffectName[],IFERROR(MATCH(UI!$B$1,EffectName[#Headers],0),2),FALSE))</f>
        <v/>
      </c>
      <c r="O570" t="str">
        <f t="shared" si="58"/>
        <v/>
      </c>
      <c r="P570">
        <v>0</v>
      </c>
      <c r="Q570" t="str">
        <f>IF(VALUE(P570)=0,"",VLOOKUP(VLOOKUP(P570,Tbl_Effect[],3,FALSE),EffectName[],IFERROR(MATCH(UI!$B$1,EffectName[#Headers],0),2),FALSE))</f>
        <v/>
      </c>
      <c r="R570" t="str">
        <f t="shared" si="59"/>
        <v/>
      </c>
      <c r="S570">
        <v>0</v>
      </c>
      <c r="T570" t="str">
        <f>IF(VALUE(S570)=0,"",VLOOKUP(VLOOKUP(S570,Tbl_Effect[],3,FALSE),EffectName[],IFERROR(MATCH(UI!$B$1,EffectName[#Headers],0),2),FALSE))</f>
        <v/>
      </c>
      <c r="U570" t="str">
        <f t="shared" si="60"/>
        <v/>
      </c>
      <c r="V570">
        <v>0</v>
      </c>
      <c r="W570" t="str">
        <f>IF(V570&lt;&gt;0,VLOOKUP(VLOOKUP(V570,Tbl_Effect[],3,FALSE),EffectName[],IFERROR(MATCH(UI!$B$1,EffectName[#Headers],0),2),FALSE),"")</f>
        <v/>
      </c>
      <c r="X570" t="str">
        <f t="shared" si="61"/>
        <v/>
      </c>
      <c r="Y570">
        <v>0</v>
      </c>
      <c r="Z570" t="str">
        <f>IF(Y570&lt;&gt;0,VLOOKUP(VLOOKUP(Y570,Tbl_Effect[],3,FALSE),EffectName[],IFERROR(MATCH(UI!$B$1,EffectName[#Headers],0),2),FALSE),"")</f>
        <v/>
      </c>
      <c r="AA570" t="str">
        <f t="shared" si="62"/>
        <v/>
      </c>
      <c r="AB570">
        <v>0</v>
      </c>
      <c r="AC570" t="str">
        <f>IF(AB570&lt;&gt;0,VLOOKUP(VLOOKUP(AB570,Tbl_Effect[],3,FALSE),EffectName[],IFERROR(MATCH(UI!$B$1,EffectName[#Headers],0),2),FALSE),"")</f>
        <v/>
      </c>
    </row>
    <row r="571" spans="8:29" x14ac:dyDescent="0.4">
      <c r="H571" t="str">
        <f t="shared" si="56"/>
        <v>1008022-遼闊的火燃情景 (紅)</v>
      </c>
      <c r="I571">
        <v>1008022</v>
      </c>
      <c r="J571" t="str">
        <f>_xlfn.IFNA(IF(I571&lt;&gt;0,VLOOKUP(VLOOKUP(I571,Tbl_Equip[],2,FALSE),Tbl_Color[],IFERROR(MATCH(UI!$B$1,Tbl_Color[#Headers],0),2),FALSE),""),"Unset")</f>
        <v>紅</v>
      </c>
      <c r="K571" t="str">
        <f>_xlfn.IFNA(IF(I571&lt;&gt;0,VLOOKUP(I571,ItemText[],IFERROR(MATCH(UI!$B$1,ItemText[#Headers],0),2),FALSE),""),"Unset")</f>
        <v>遼闊的火燃情景</v>
      </c>
      <c r="L571" t="str">
        <f t="shared" si="57"/>
        <v/>
      </c>
      <c r="M571">
        <v>0</v>
      </c>
      <c r="N571" t="str">
        <f>IF(VALUE(M571)=0,"",VLOOKUP(VLOOKUP(M571,Tbl_Effect[],3,FALSE),EffectName[],IFERROR(MATCH(UI!$B$1,EffectName[#Headers],0),2),FALSE))</f>
        <v/>
      </c>
      <c r="O571" t="str">
        <f t="shared" si="58"/>
        <v/>
      </c>
      <c r="P571">
        <v>0</v>
      </c>
      <c r="Q571" t="str">
        <f>IF(VALUE(P571)=0,"",VLOOKUP(VLOOKUP(P571,Tbl_Effect[],3,FALSE),EffectName[],IFERROR(MATCH(UI!$B$1,EffectName[#Headers],0),2),FALSE))</f>
        <v/>
      </c>
      <c r="R571" t="str">
        <f t="shared" si="59"/>
        <v/>
      </c>
      <c r="S571">
        <v>0</v>
      </c>
      <c r="T571" t="str">
        <f>IF(VALUE(S571)=0,"",VLOOKUP(VLOOKUP(S571,Tbl_Effect[],3,FALSE),EffectName[],IFERROR(MATCH(UI!$B$1,EffectName[#Headers],0),2),FALSE))</f>
        <v/>
      </c>
      <c r="U571" t="str">
        <f t="shared" si="60"/>
        <v/>
      </c>
      <c r="V571">
        <v>0</v>
      </c>
      <c r="W571" t="str">
        <f>IF(V571&lt;&gt;0,VLOOKUP(VLOOKUP(V571,Tbl_Effect[],3,FALSE),EffectName[],IFERROR(MATCH(UI!$B$1,EffectName[#Headers],0),2),FALSE),"")</f>
        <v/>
      </c>
      <c r="X571" t="str">
        <f t="shared" si="61"/>
        <v/>
      </c>
      <c r="Y571">
        <v>0</v>
      </c>
      <c r="Z571" t="str">
        <f>IF(Y571&lt;&gt;0,VLOOKUP(VLOOKUP(Y571,Tbl_Effect[],3,FALSE),EffectName[],IFERROR(MATCH(UI!$B$1,EffectName[#Headers],0),2),FALSE),"")</f>
        <v/>
      </c>
      <c r="AA571" t="str">
        <f t="shared" si="62"/>
        <v/>
      </c>
      <c r="AB571">
        <v>0</v>
      </c>
      <c r="AC571" t="str">
        <f>IF(AB571&lt;&gt;0,VLOOKUP(VLOOKUP(AB571,Tbl_Effect[],3,FALSE),EffectName[],IFERROR(MATCH(UI!$B$1,EffectName[#Headers],0),2),FALSE),"")</f>
        <v/>
      </c>
    </row>
    <row r="572" spans="8:29" x14ac:dyDescent="0.4">
      <c r="H572" t="str">
        <f t="shared" si="56"/>
        <v>1008100-細膩的水滴情景 (藍)</v>
      </c>
      <c r="I572">
        <v>1008100</v>
      </c>
      <c r="J572" t="str">
        <f>_xlfn.IFNA(IF(I572&lt;&gt;0,VLOOKUP(VLOOKUP(I572,Tbl_Equip[],2,FALSE),Tbl_Color[],IFERROR(MATCH(UI!$B$1,Tbl_Color[#Headers],0),2),FALSE),""),"Unset")</f>
        <v>藍</v>
      </c>
      <c r="K572" t="str">
        <f>_xlfn.IFNA(IF(I572&lt;&gt;0,VLOOKUP(I572,ItemText[],IFERROR(MATCH(UI!$B$1,ItemText[#Headers],0),2),FALSE),""),"Unset")</f>
        <v>細膩的水滴情景</v>
      </c>
      <c r="L572" t="str">
        <f t="shared" si="57"/>
        <v/>
      </c>
      <c r="M572">
        <v>0</v>
      </c>
      <c r="N572" t="str">
        <f>IF(VALUE(M572)=0,"",VLOOKUP(VLOOKUP(M572,Tbl_Effect[],3,FALSE),EffectName[],IFERROR(MATCH(UI!$B$1,EffectName[#Headers],0),2),FALSE))</f>
        <v/>
      </c>
      <c r="O572" t="str">
        <f t="shared" si="58"/>
        <v/>
      </c>
      <c r="P572">
        <v>0</v>
      </c>
      <c r="Q572" t="str">
        <f>IF(VALUE(P572)=0,"",VLOOKUP(VLOOKUP(P572,Tbl_Effect[],3,FALSE),EffectName[],IFERROR(MATCH(UI!$B$1,EffectName[#Headers],0),2),FALSE))</f>
        <v/>
      </c>
      <c r="R572" t="str">
        <f t="shared" si="59"/>
        <v/>
      </c>
      <c r="S572">
        <v>0</v>
      </c>
      <c r="T572" t="str">
        <f>IF(VALUE(S572)=0,"",VLOOKUP(VLOOKUP(S572,Tbl_Effect[],3,FALSE),EffectName[],IFERROR(MATCH(UI!$B$1,EffectName[#Headers],0),2),FALSE))</f>
        <v/>
      </c>
      <c r="U572" t="str">
        <f t="shared" si="60"/>
        <v/>
      </c>
      <c r="V572">
        <v>0</v>
      </c>
      <c r="W572" t="str">
        <f>IF(V572&lt;&gt;0,VLOOKUP(VLOOKUP(V572,Tbl_Effect[],3,FALSE),EffectName[],IFERROR(MATCH(UI!$B$1,EffectName[#Headers],0),2),FALSE),"")</f>
        <v/>
      </c>
      <c r="X572" t="str">
        <f t="shared" si="61"/>
        <v/>
      </c>
      <c r="Y572">
        <v>0</v>
      </c>
      <c r="Z572" t="str">
        <f>IF(Y572&lt;&gt;0,VLOOKUP(VLOOKUP(Y572,Tbl_Effect[],3,FALSE),EffectName[],IFERROR(MATCH(UI!$B$1,EffectName[#Headers],0),2),FALSE),"")</f>
        <v/>
      </c>
      <c r="AA572" t="str">
        <f t="shared" si="62"/>
        <v/>
      </c>
      <c r="AB572">
        <v>0</v>
      </c>
      <c r="AC572" t="str">
        <f>IF(AB572&lt;&gt;0,VLOOKUP(VLOOKUP(AB572,Tbl_Effect[],3,FALSE),EffectName[],IFERROR(MATCH(UI!$B$1,EffectName[#Headers],0),2),FALSE),"")</f>
        <v/>
      </c>
    </row>
    <row r="573" spans="8:29" x14ac:dyDescent="0.4">
      <c r="H573" t="str">
        <f t="shared" si="56"/>
        <v>1008101-端正的水滴情景 (藍)</v>
      </c>
      <c r="I573">
        <v>1008101</v>
      </c>
      <c r="J573" t="str">
        <f>_xlfn.IFNA(IF(I573&lt;&gt;0,VLOOKUP(VLOOKUP(I573,Tbl_Equip[],2,FALSE),Tbl_Color[],IFERROR(MATCH(UI!$B$1,Tbl_Color[#Headers],0),2),FALSE),""),"Unset")</f>
        <v>藍</v>
      </c>
      <c r="K573" t="str">
        <f>_xlfn.IFNA(IF(I573&lt;&gt;0,VLOOKUP(I573,ItemText[],IFERROR(MATCH(UI!$B$1,ItemText[#Headers],0),2),FALSE),""),"Unset")</f>
        <v>端正的水滴情景</v>
      </c>
      <c r="L573" t="str">
        <f t="shared" si="57"/>
        <v/>
      </c>
      <c r="M573">
        <v>0</v>
      </c>
      <c r="N573" t="str">
        <f>IF(VALUE(M573)=0,"",VLOOKUP(VLOOKUP(M573,Tbl_Effect[],3,FALSE),EffectName[],IFERROR(MATCH(UI!$B$1,EffectName[#Headers],0),2),FALSE))</f>
        <v/>
      </c>
      <c r="O573" t="str">
        <f t="shared" si="58"/>
        <v/>
      </c>
      <c r="P573">
        <v>0</v>
      </c>
      <c r="Q573" t="str">
        <f>IF(VALUE(P573)=0,"",VLOOKUP(VLOOKUP(P573,Tbl_Effect[],3,FALSE),EffectName[],IFERROR(MATCH(UI!$B$1,EffectName[#Headers],0),2),FALSE))</f>
        <v/>
      </c>
      <c r="R573" t="str">
        <f t="shared" si="59"/>
        <v/>
      </c>
      <c r="S573">
        <v>0</v>
      </c>
      <c r="T573" t="str">
        <f>IF(VALUE(S573)=0,"",VLOOKUP(VLOOKUP(S573,Tbl_Effect[],3,FALSE),EffectName[],IFERROR(MATCH(UI!$B$1,EffectName[#Headers],0),2),FALSE))</f>
        <v/>
      </c>
      <c r="U573" t="str">
        <f t="shared" si="60"/>
        <v/>
      </c>
      <c r="V573">
        <v>0</v>
      </c>
      <c r="W573" t="str">
        <f>IF(V573&lt;&gt;0,VLOOKUP(VLOOKUP(V573,Tbl_Effect[],3,FALSE),EffectName[],IFERROR(MATCH(UI!$B$1,EffectName[#Headers],0),2),FALSE),"")</f>
        <v/>
      </c>
      <c r="X573" t="str">
        <f t="shared" si="61"/>
        <v/>
      </c>
      <c r="Y573">
        <v>0</v>
      </c>
      <c r="Z573" t="str">
        <f>IF(Y573&lt;&gt;0,VLOOKUP(VLOOKUP(Y573,Tbl_Effect[],3,FALSE),EffectName[],IFERROR(MATCH(UI!$B$1,EffectName[#Headers],0),2),FALSE),"")</f>
        <v/>
      </c>
      <c r="AA573" t="str">
        <f t="shared" si="62"/>
        <v/>
      </c>
      <c r="AB573">
        <v>0</v>
      </c>
      <c r="AC573" t="str">
        <f>IF(AB573&lt;&gt;0,VLOOKUP(VLOOKUP(AB573,Tbl_Effect[],3,FALSE),EffectName[],IFERROR(MATCH(UI!$B$1,EffectName[#Headers],0),2),FALSE),"")</f>
        <v/>
      </c>
    </row>
    <row r="574" spans="8:29" x14ac:dyDescent="0.4">
      <c r="H574" t="str">
        <f t="shared" si="56"/>
        <v>1008102-遼闊的水滴情景 (藍)</v>
      </c>
      <c r="I574">
        <v>1008102</v>
      </c>
      <c r="J574" t="str">
        <f>_xlfn.IFNA(IF(I574&lt;&gt;0,VLOOKUP(VLOOKUP(I574,Tbl_Equip[],2,FALSE),Tbl_Color[],IFERROR(MATCH(UI!$B$1,Tbl_Color[#Headers],0),2),FALSE),""),"Unset")</f>
        <v>藍</v>
      </c>
      <c r="K574" t="str">
        <f>_xlfn.IFNA(IF(I574&lt;&gt;0,VLOOKUP(I574,ItemText[],IFERROR(MATCH(UI!$B$1,ItemText[#Headers],0),2),FALSE),""),"Unset")</f>
        <v>遼闊的水滴情景</v>
      </c>
      <c r="L574" t="str">
        <f t="shared" si="57"/>
        <v/>
      </c>
      <c r="M574">
        <v>0</v>
      </c>
      <c r="N574" t="str">
        <f>IF(VALUE(M574)=0,"",VLOOKUP(VLOOKUP(M574,Tbl_Effect[],3,FALSE),EffectName[],IFERROR(MATCH(UI!$B$1,EffectName[#Headers],0),2),FALSE))</f>
        <v/>
      </c>
      <c r="O574" t="str">
        <f t="shared" si="58"/>
        <v/>
      </c>
      <c r="P574">
        <v>0</v>
      </c>
      <c r="Q574" t="str">
        <f>IF(VALUE(P574)=0,"",VLOOKUP(VLOOKUP(P574,Tbl_Effect[],3,FALSE),EffectName[],IFERROR(MATCH(UI!$B$1,EffectName[#Headers],0),2),FALSE))</f>
        <v/>
      </c>
      <c r="R574" t="str">
        <f t="shared" si="59"/>
        <v/>
      </c>
      <c r="S574">
        <v>0</v>
      </c>
      <c r="T574" t="str">
        <f>IF(VALUE(S574)=0,"",VLOOKUP(VLOOKUP(S574,Tbl_Effect[],3,FALSE),EffectName[],IFERROR(MATCH(UI!$B$1,EffectName[#Headers],0),2),FALSE))</f>
        <v/>
      </c>
      <c r="U574" t="str">
        <f t="shared" si="60"/>
        <v/>
      </c>
      <c r="V574">
        <v>0</v>
      </c>
      <c r="W574" t="str">
        <f>IF(V574&lt;&gt;0,VLOOKUP(VLOOKUP(V574,Tbl_Effect[],3,FALSE),EffectName[],IFERROR(MATCH(UI!$B$1,EffectName[#Headers],0),2),FALSE),"")</f>
        <v/>
      </c>
      <c r="X574" t="str">
        <f t="shared" si="61"/>
        <v/>
      </c>
      <c r="Y574">
        <v>0</v>
      </c>
      <c r="Z574" t="str">
        <f>IF(Y574&lt;&gt;0,VLOOKUP(VLOOKUP(Y574,Tbl_Effect[],3,FALSE),EffectName[],IFERROR(MATCH(UI!$B$1,EffectName[#Headers],0),2),FALSE),"")</f>
        <v/>
      </c>
      <c r="AA574" t="str">
        <f t="shared" si="62"/>
        <v/>
      </c>
      <c r="AB574">
        <v>0</v>
      </c>
      <c r="AC574" t="str">
        <f>IF(AB574&lt;&gt;0,VLOOKUP(VLOOKUP(AB574,Tbl_Effect[],3,FALSE),EffectName[],IFERROR(MATCH(UI!$B$1,EffectName[#Headers],0),2),FALSE),"")</f>
        <v/>
      </c>
    </row>
    <row r="575" spans="8:29" x14ac:dyDescent="0.4">
      <c r="H575" t="str">
        <f t="shared" si="56"/>
        <v>1008110-細膩的水滴情景 (藍)</v>
      </c>
      <c r="I575">
        <v>1008110</v>
      </c>
      <c r="J575" t="str">
        <f>_xlfn.IFNA(IF(I575&lt;&gt;0,VLOOKUP(VLOOKUP(I575,Tbl_Equip[],2,FALSE),Tbl_Color[],IFERROR(MATCH(UI!$B$1,Tbl_Color[#Headers],0),2),FALSE),""),"Unset")</f>
        <v>藍</v>
      </c>
      <c r="K575" t="str">
        <f>_xlfn.IFNA(IF(I575&lt;&gt;0,VLOOKUP(I575,ItemText[],IFERROR(MATCH(UI!$B$1,ItemText[#Headers],0),2),FALSE),""),"Unset")</f>
        <v>細膩的水滴情景</v>
      </c>
      <c r="L575" t="str">
        <f t="shared" si="57"/>
        <v/>
      </c>
      <c r="M575">
        <v>0</v>
      </c>
      <c r="N575" t="str">
        <f>IF(VALUE(M575)=0,"",VLOOKUP(VLOOKUP(M575,Tbl_Effect[],3,FALSE),EffectName[],IFERROR(MATCH(UI!$B$1,EffectName[#Headers],0),2),FALSE))</f>
        <v/>
      </c>
      <c r="O575" t="str">
        <f t="shared" si="58"/>
        <v/>
      </c>
      <c r="P575">
        <v>0</v>
      </c>
      <c r="Q575" t="str">
        <f>IF(VALUE(P575)=0,"",VLOOKUP(VLOOKUP(P575,Tbl_Effect[],3,FALSE),EffectName[],IFERROR(MATCH(UI!$B$1,EffectName[#Headers],0),2),FALSE))</f>
        <v/>
      </c>
      <c r="R575" t="str">
        <f t="shared" si="59"/>
        <v/>
      </c>
      <c r="S575">
        <v>0</v>
      </c>
      <c r="T575" t="str">
        <f>IF(VALUE(S575)=0,"",VLOOKUP(VLOOKUP(S575,Tbl_Effect[],3,FALSE),EffectName[],IFERROR(MATCH(UI!$B$1,EffectName[#Headers],0),2),FALSE))</f>
        <v/>
      </c>
      <c r="U575" t="str">
        <f t="shared" si="60"/>
        <v/>
      </c>
      <c r="V575">
        <v>0</v>
      </c>
      <c r="W575" t="str">
        <f>IF(V575&lt;&gt;0,VLOOKUP(VLOOKUP(V575,Tbl_Effect[],3,FALSE),EffectName[],IFERROR(MATCH(UI!$B$1,EffectName[#Headers],0),2),FALSE),"")</f>
        <v/>
      </c>
      <c r="X575" t="str">
        <f t="shared" si="61"/>
        <v/>
      </c>
      <c r="Y575">
        <v>0</v>
      </c>
      <c r="Z575" t="str">
        <f>IF(Y575&lt;&gt;0,VLOOKUP(VLOOKUP(Y575,Tbl_Effect[],3,FALSE),EffectName[],IFERROR(MATCH(UI!$B$1,EffectName[#Headers],0),2),FALSE),"")</f>
        <v/>
      </c>
      <c r="AA575" t="str">
        <f t="shared" si="62"/>
        <v/>
      </c>
      <c r="AB575">
        <v>0</v>
      </c>
      <c r="AC575" t="str">
        <f>IF(AB575&lt;&gt;0,VLOOKUP(VLOOKUP(AB575,Tbl_Effect[],3,FALSE),EffectName[],IFERROR(MATCH(UI!$B$1,EffectName[#Headers],0),2),FALSE),"")</f>
        <v/>
      </c>
    </row>
    <row r="576" spans="8:29" x14ac:dyDescent="0.4">
      <c r="H576" t="str">
        <f t="shared" si="56"/>
        <v>1008111-端正的水滴情景 (藍)</v>
      </c>
      <c r="I576">
        <v>1008111</v>
      </c>
      <c r="J576" t="str">
        <f>_xlfn.IFNA(IF(I576&lt;&gt;0,VLOOKUP(VLOOKUP(I576,Tbl_Equip[],2,FALSE),Tbl_Color[],IFERROR(MATCH(UI!$B$1,Tbl_Color[#Headers],0),2),FALSE),""),"Unset")</f>
        <v>藍</v>
      </c>
      <c r="K576" t="str">
        <f>_xlfn.IFNA(IF(I576&lt;&gt;0,VLOOKUP(I576,ItemText[],IFERROR(MATCH(UI!$B$1,ItemText[#Headers],0),2),FALSE),""),"Unset")</f>
        <v>端正的水滴情景</v>
      </c>
      <c r="L576" t="str">
        <f t="shared" si="57"/>
        <v/>
      </c>
      <c r="M576">
        <v>0</v>
      </c>
      <c r="N576" t="str">
        <f>IF(VALUE(M576)=0,"",VLOOKUP(VLOOKUP(M576,Tbl_Effect[],3,FALSE),EffectName[],IFERROR(MATCH(UI!$B$1,EffectName[#Headers],0),2),FALSE))</f>
        <v/>
      </c>
      <c r="O576" t="str">
        <f t="shared" si="58"/>
        <v/>
      </c>
      <c r="P576">
        <v>0</v>
      </c>
      <c r="Q576" t="str">
        <f>IF(VALUE(P576)=0,"",VLOOKUP(VLOOKUP(P576,Tbl_Effect[],3,FALSE),EffectName[],IFERROR(MATCH(UI!$B$1,EffectName[#Headers],0),2),FALSE))</f>
        <v/>
      </c>
      <c r="R576" t="str">
        <f t="shared" si="59"/>
        <v/>
      </c>
      <c r="S576">
        <v>0</v>
      </c>
      <c r="T576" t="str">
        <f>IF(VALUE(S576)=0,"",VLOOKUP(VLOOKUP(S576,Tbl_Effect[],3,FALSE),EffectName[],IFERROR(MATCH(UI!$B$1,EffectName[#Headers],0),2),FALSE))</f>
        <v/>
      </c>
      <c r="U576" t="str">
        <f t="shared" si="60"/>
        <v/>
      </c>
      <c r="V576">
        <v>0</v>
      </c>
      <c r="W576" t="str">
        <f>IF(V576&lt;&gt;0,VLOOKUP(VLOOKUP(V576,Tbl_Effect[],3,FALSE),EffectName[],IFERROR(MATCH(UI!$B$1,EffectName[#Headers],0),2),FALSE),"")</f>
        <v/>
      </c>
      <c r="X576" t="str">
        <f t="shared" si="61"/>
        <v/>
      </c>
      <c r="Y576">
        <v>0</v>
      </c>
      <c r="Z576" t="str">
        <f>IF(Y576&lt;&gt;0,VLOOKUP(VLOOKUP(Y576,Tbl_Effect[],3,FALSE),EffectName[],IFERROR(MATCH(UI!$B$1,EffectName[#Headers],0),2),FALSE),"")</f>
        <v/>
      </c>
      <c r="AA576" t="str">
        <f t="shared" si="62"/>
        <v/>
      </c>
      <c r="AB576">
        <v>0</v>
      </c>
      <c r="AC576" t="str">
        <f>IF(AB576&lt;&gt;0,VLOOKUP(VLOOKUP(AB576,Tbl_Effect[],3,FALSE),EffectName[],IFERROR(MATCH(UI!$B$1,EffectName[#Headers],0),2),FALSE),"")</f>
        <v/>
      </c>
    </row>
    <row r="577" spans="8:29" x14ac:dyDescent="0.4">
      <c r="H577" t="str">
        <f t="shared" si="56"/>
        <v>1008112-遼闊的水滴情景 (藍)</v>
      </c>
      <c r="I577">
        <v>1008112</v>
      </c>
      <c r="J577" t="str">
        <f>_xlfn.IFNA(IF(I577&lt;&gt;0,VLOOKUP(VLOOKUP(I577,Tbl_Equip[],2,FALSE),Tbl_Color[],IFERROR(MATCH(UI!$B$1,Tbl_Color[#Headers],0),2),FALSE),""),"Unset")</f>
        <v>藍</v>
      </c>
      <c r="K577" t="str">
        <f>_xlfn.IFNA(IF(I577&lt;&gt;0,VLOOKUP(I577,ItemText[],IFERROR(MATCH(UI!$B$1,ItemText[#Headers],0),2),FALSE),""),"Unset")</f>
        <v>遼闊的水滴情景</v>
      </c>
      <c r="L577" t="str">
        <f t="shared" si="57"/>
        <v/>
      </c>
      <c r="M577">
        <v>0</v>
      </c>
      <c r="N577" t="str">
        <f>IF(VALUE(M577)=0,"",VLOOKUP(VLOOKUP(M577,Tbl_Effect[],3,FALSE),EffectName[],IFERROR(MATCH(UI!$B$1,EffectName[#Headers],0),2),FALSE))</f>
        <v/>
      </c>
      <c r="O577" t="str">
        <f t="shared" si="58"/>
        <v/>
      </c>
      <c r="P577">
        <v>0</v>
      </c>
      <c r="Q577" t="str">
        <f>IF(VALUE(P577)=0,"",VLOOKUP(VLOOKUP(P577,Tbl_Effect[],3,FALSE),EffectName[],IFERROR(MATCH(UI!$B$1,EffectName[#Headers],0),2),FALSE))</f>
        <v/>
      </c>
      <c r="R577" t="str">
        <f t="shared" si="59"/>
        <v/>
      </c>
      <c r="S577">
        <v>0</v>
      </c>
      <c r="T577" t="str">
        <f>IF(VALUE(S577)=0,"",VLOOKUP(VLOOKUP(S577,Tbl_Effect[],3,FALSE),EffectName[],IFERROR(MATCH(UI!$B$1,EffectName[#Headers],0),2),FALSE))</f>
        <v/>
      </c>
      <c r="U577" t="str">
        <f t="shared" si="60"/>
        <v/>
      </c>
      <c r="V577">
        <v>0</v>
      </c>
      <c r="W577" t="str">
        <f>IF(V577&lt;&gt;0,VLOOKUP(VLOOKUP(V577,Tbl_Effect[],3,FALSE),EffectName[],IFERROR(MATCH(UI!$B$1,EffectName[#Headers],0),2),FALSE),"")</f>
        <v/>
      </c>
      <c r="X577" t="str">
        <f t="shared" si="61"/>
        <v/>
      </c>
      <c r="Y577">
        <v>0</v>
      </c>
      <c r="Z577" t="str">
        <f>IF(Y577&lt;&gt;0,VLOOKUP(VLOOKUP(Y577,Tbl_Effect[],3,FALSE),EffectName[],IFERROR(MATCH(UI!$B$1,EffectName[#Headers],0),2),FALSE),"")</f>
        <v/>
      </c>
      <c r="AA577" t="str">
        <f t="shared" si="62"/>
        <v/>
      </c>
      <c r="AB577">
        <v>0</v>
      </c>
      <c r="AC577" t="str">
        <f>IF(AB577&lt;&gt;0,VLOOKUP(VLOOKUP(AB577,Tbl_Effect[],3,FALSE),EffectName[],IFERROR(MATCH(UI!$B$1,EffectName[#Headers],0),2),FALSE),"")</f>
        <v/>
      </c>
    </row>
    <row r="578" spans="8:29" x14ac:dyDescent="0.4">
      <c r="H578" t="str">
        <f t="shared" si="56"/>
        <v>1008120-細膩的水滴情景 (藍)</v>
      </c>
      <c r="I578">
        <v>1008120</v>
      </c>
      <c r="J578" t="str">
        <f>_xlfn.IFNA(IF(I578&lt;&gt;0,VLOOKUP(VLOOKUP(I578,Tbl_Equip[],2,FALSE),Tbl_Color[],IFERROR(MATCH(UI!$B$1,Tbl_Color[#Headers],0),2),FALSE),""),"Unset")</f>
        <v>藍</v>
      </c>
      <c r="K578" t="str">
        <f>_xlfn.IFNA(IF(I578&lt;&gt;0,VLOOKUP(I578,ItemText[],IFERROR(MATCH(UI!$B$1,ItemText[#Headers],0),2),FALSE),""),"Unset")</f>
        <v>細膩的水滴情景</v>
      </c>
      <c r="L578" t="str">
        <f t="shared" si="57"/>
        <v/>
      </c>
      <c r="M578">
        <v>0</v>
      </c>
      <c r="N578" t="str">
        <f>IF(VALUE(M578)=0,"",VLOOKUP(VLOOKUP(M578,Tbl_Effect[],3,FALSE),EffectName[],IFERROR(MATCH(UI!$B$1,EffectName[#Headers],0),2),FALSE))</f>
        <v/>
      </c>
      <c r="O578" t="str">
        <f t="shared" si="58"/>
        <v/>
      </c>
      <c r="P578">
        <v>0</v>
      </c>
      <c r="Q578" t="str">
        <f>IF(VALUE(P578)=0,"",VLOOKUP(VLOOKUP(P578,Tbl_Effect[],3,FALSE),EffectName[],IFERROR(MATCH(UI!$B$1,EffectName[#Headers],0),2),FALSE))</f>
        <v/>
      </c>
      <c r="R578" t="str">
        <f t="shared" si="59"/>
        <v/>
      </c>
      <c r="S578">
        <v>0</v>
      </c>
      <c r="T578" t="str">
        <f>IF(VALUE(S578)=0,"",VLOOKUP(VLOOKUP(S578,Tbl_Effect[],3,FALSE),EffectName[],IFERROR(MATCH(UI!$B$1,EffectName[#Headers],0),2),FALSE))</f>
        <v/>
      </c>
      <c r="U578" t="str">
        <f t="shared" si="60"/>
        <v/>
      </c>
      <c r="V578">
        <v>0</v>
      </c>
      <c r="W578" t="str">
        <f>IF(V578&lt;&gt;0,VLOOKUP(VLOOKUP(V578,Tbl_Effect[],3,FALSE),EffectName[],IFERROR(MATCH(UI!$B$1,EffectName[#Headers],0),2),FALSE),"")</f>
        <v/>
      </c>
      <c r="X578" t="str">
        <f t="shared" si="61"/>
        <v/>
      </c>
      <c r="Y578">
        <v>0</v>
      </c>
      <c r="Z578" t="str">
        <f>IF(Y578&lt;&gt;0,VLOOKUP(VLOOKUP(Y578,Tbl_Effect[],3,FALSE),EffectName[],IFERROR(MATCH(UI!$B$1,EffectName[#Headers],0),2),FALSE),"")</f>
        <v/>
      </c>
      <c r="AA578" t="str">
        <f t="shared" si="62"/>
        <v/>
      </c>
      <c r="AB578">
        <v>0</v>
      </c>
      <c r="AC578" t="str">
        <f>IF(AB578&lt;&gt;0,VLOOKUP(VLOOKUP(AB578,Tbl_Effect[],3,FALSE),EffectName[],IFERROR(MATCH(UI!$B$1,EffectName[#Headers],0),2),FALSE),"")</f>
        <v/>
      </c>
    </row>
    <row r="579" spans="8:29" x14ac:dyDescent="0.4">
      <c r="H579" t="str">
        <f t="shared" ref="H579:H642" si="63">IF(VALUE(I579)&lt;&gt;0,I579&amp;"-"&amp;K579&amp;" ("&amp;J579&amp;")","")</f>
        <v>1008121-端正的水滴情景 (藍)</v>
      </c>
      <c r="I579">
        <v>1008121</v>
      </c>
      <c r="J579" t="str">
        <f>_xlfn.IFNA(IF(I579&lt;&gt;0,VLOOKUP(VLOOKUP(I579,Tbl_Equip[],2,FALSE),Tbl_Color[],IFERROR(MATCH(UI!$B$1,Tbl_Color[#Headers],0),2),FALSE),""),"Unset")</f>
        <v>藍</v>
      </c>
      <c r="K579" t="str">
        <f>_xlfn.IFNA(IF(I579&lt;&gt;0,VLOOKUP(I579,ItemText[],IFERROR(MATCH(UI!$B$1,ItemText[#Headers],0),2),FALSE),""),"Unset")</f>
        <v>端正的水滴情景</v>
      </c>
      <c r="L579" t="str">
        <f t="shared" ref="L579:L642" si="64">IF(VALUE(M579)=0,"",M579&amp;"-"&amp;N579)</f>
        <v/>
      </c>
      <c r="M579">
        <v>0</v>
      </c>
      <c r="N579" t="str">
        <f>IF(VALUE(M579)=0,"",VLOOKUP(VLOOKUP(M579,Tbl_Effect[],3,FALSE),EffectName[],IFERROR(MATCH(UI!$B$1,EffectName[#Headers],0),2),FALSE))</f>
        <v/>
      </c>
      <c r="O579" t="str">
        <f t="shared" ref="O579:O642" si="65">IF(VALUE(P579)=0,"",P579&amp;"-"&amp;Q579)</f>
        <v/>
      </c>
      <c r="P579">
        <v>0</v>
      </c>
      <c r="Q579" t="str">
        <f>IF(VALUE(P579)=0,"",VLOOKUP(VLOOKUP(P579,Tbl_Effect[],3,FALSE),EffectName[],IFERROR(MATCH(UI!$B$1,EffectName[#Headers],0),2),FALSE))</f>
        <v/>
      </c>
      <c r="R579" t="str">
        <f t="shared" ref="R579:R642" si="66">IF(VALUE(S579)=0,"",S579&amp;"-"&amp;T579)</f>
        <v/>
      </c>
      <c r="S579">
        <v>0</v>
      </c>
      <c r="T579" t="str">
        <f>IF(VALUE(S579)=0,"",VLOOKUP(VLOOKUP(S579,Tbl_Effect[],3,FALSE),EffectName[],IFERROR(MATCH(UI!$B$1,EffectName[#Headers],0),2),FALSE))</f>
        <v/>
      </c>
      <c r="U579" t="str">
        <f t="shared" ref="U579:U642" si="67">IF(VALUE(V579)=0,"",V579&amp;"-"&amp;W579)</f>
        <v/>
      </c>
      <c r="V579">
        <v>0</v>
      </c>
      <c r="W579" t="str">
        <f>IF(V579&lt;&gt;0,VLOOKUP(VLOOKUP(V579,Tbl_Effect[],3,FALSE),EffectName[],IFERROR(MATCH(UI!$B$1,EffectName[#Headers],0),2),FALSE),"")</f>
        <v/>
      </c>
      <c r="X579" t="str">
        <f t="shared" ref="X579:X642" si="68">IF(VALUE(Y579)=0,"",Y579&amp;"-"&amp;Z579)</f>
        <v/>
      </c>
      <c r="Y579">
        <v>0</v>
      </c>
      <c r="Z579" t="str">
        <f>IF(Y579&lt;&gt;0,VLOOKUP(VLOOKUP(Y579,Tbl_Effect[],3,FALSE),EffectName[],IFERROR(MATCH(UI!$B$1,EffectName[#Headers],0),2),FALSE),"")</f>
        <v/>
      </c>
      <c r="AA579" t="str">
        <f t="shared" ref="AA579:AA642" si="69">IF(VALUE(AB579)=0,"",AB579&amp;"-"&amp;AC579)</f>
        <v/>
      </c>
      <c r="AB579">
        <v>0</v>
      </c>
      <c r="AC579" t="str">
        <f>IF(AB579&lt;&gt;0,VLOOKUP(VLOOKUP(AB579,Tbl_Effect[],3,FALSE),EffectName[],IFERROR(MATCH(UI!$B$1,EffectName[#Headers],0),2),FALSE),"")</f>
        <v/>
      </c>
    </row>
    <row r="580" spans="8:29" x14ac:dyDescent="0.4">
      <c r="H580" t="str">
        <f t="shared" si="63"/>
        <v>1008122-遼闊的水滴情景 (藍)</v>
      </c>
      <c r="I580">
        <v>1008122</v>
      </c>
      <c r="J580" t="str">
        <f>_xlfn.IFNA(IF(I580&lt;&gt;0,VLOOKUP(VLOOKUP(I580,Tbl_Equip[],2,FALSE),Tbl_Color[],IFERROR(MATCH(UI!$B$1,Tbl_Color[#Headers],0),2),FALSE),""),"Unset")</f>
        <v>藍</v>
      </c>
      <c r="K580" t="str">
        <f>_xlfn.IFNA(IF(I580&lt;&gt;0,VLOOKUP(I580,ItemText[],IFERROR(MATCH(UI!$B$1,ItemText[#Headers],0),2),FALSE),""),"Unset")</f>
        <v>遼闊的水滴情景</v>
      </c>
      <c r="L580" t="str">
        <f t="shared" si="64"/>
        <v/>
      </c>
      <c r="M580">
        <v>0</v>
      </c>
      <c r="N580" t="str">
        <f>IF(VALUE(M580)=0,"",VLOOKUP(VLOOKUP(M580,Tbl_Effect[],3,FALSE),EffectName[],IFERROR(MATCH(UI!$B$1,EffectName[#Headers],0),2),FALSE))</f>
        <v/>
      </c>
      <c r="O580" t="str">
        <f t="shared" si="65"/>
        <v/>
      </c>
      <c r="P580">
        <v>0</v>
      </c>
      <c r="Q580" t="str">
        <f>IF(VALUE(P580)=0,"",VLOOKUP(VLOOKUP(P580,Tbl_Effect[],3,FALSE),EffectName[],IFERROR(MATCH(UI!$B$1,EffectName[#Headers],0),2),FALSE))</f>
        <v/>
      </c>
      <c r="R580" t="str">
        <f t="shared" si="66"/>
        <v/>
      </c>
      <c r="S580">
        <v>0</v>
      </c>
      <c r="T580" t="str">
        <f>IF(VALUE(S580)=0,"",VLOOKUP(VLOOKUP(S580,Tbl_Effect[],3,FALSE),EffectName[],IFERROR(MATCH(UI!$B$1,EffectName[#Headers],0),2),FALSE))</f>
        <v/>
      </c>
      <c r="U580" t="str">
        <f t="shared" si="67"/>
        <v/>
      </c>
      <c r="V580">
        <v>0</v>
      </c>
      <c r="W580" t="str">
        <f>IF(V580&lt;&gt;0,VLOOKUP(VLOOKUP(V580,Tbl_Effect[],3,FALSE),EffectName[],IFERROR(MATCH(UI!$B$1,EffectName[#Headers],0),2),FALSE),"")</f>
        <v/>
      </c>
      <c r="X580" t="str">
        <f t="shared" si="68"/>
        <v/>
      </c>
      <c r="Y580">
        <v>0</v>
      </c>
      <c r="Z580" t="str">
        <f>IF(Y580&lt;&gt;0,VLOOKUP(VLOOKUP(Y580,Tbl_Effect[],3,FALSE),EffectName[],IFERROR(MATCH(UI!$B$1,EffectName[#Headers],0),2),FALSE),"")</f>
        <v/>
      </c>
      <c r="AA580" t="str">
        <f t="shared" si="69"/>
        <v/>
      </c>
      <c r="AB580">
        <v>0</v>
      </c>
      <c r="AC580" t="str">
        <f>IF(AB580&lt;&gt;0,VLOOKUP(VLOOKUP(AB580,Tbl_Effect[],3,FALSE),EffectName[],IFERROR(MATCH(UI!$B$1,EffectName[#Headers],0),2),FALSE),"")</f>
        <v/>
      </c>
    </row>
    <row r="581" spans="8:29" x14ac:dyDescent="0.4">
      <c r="H581" t="str">
        <f t="shared" si="63"/>
        <v>1008200-細膩的光耀情景 (黃)</v>
      </c>
      <c r="I581">
        <v>1008200</v>
      </c>
      <c r="J581" t="str">
        <f>_xlfn.IFNA(IF(I581&lt;&gt;0,VLOOKUP(VLOOKUP(I581,Tbl_Equip[],2,FALSE),Tbl_Color[],IFERROR(MATCH(UI!$B$1,Tbl_Color[#Headers],0),2),FALSE),""),"Unset")</f>
        <v>黃</v>
      </c>
      <c r="K581" t="str">
        <f>_xlfn.IFNA(IF(I581&lt;&gt;0,VLOOKUP(I581,ItemText[],IFERROR(MATCH(UI!$B$1,ItemText[#Headers],0),2),FALSE),""),"Unset")</f>
        <v>細膩的光耀情景</v>
      </c>
      <c r="L581" t="str">
        <f t="shared" si="64"/>
        <v/>
      </c>
      <c r="M581">
        <v>0</v>
      </c>
      <c r="N581" t="str">
        <f>IF(VALUE(M581)=0,"",VLOOKUP(VLOOKUP(M581,Tbl_Effect[],3,FALSE),EffectName[],IFERROR(MATCH(UI!$B$1,EffectName[#Headers],0),2),FALSE))</f>
        <v/>
      </c>
      <c r="O581" t="str">
        <f t="shared" si="65"/>
        <v/>
      </c>
      <c r="P581">
        <v>0</v>
      </c>
      <c r="Q581" t="str">
        <f>IF(VALUE(P581)=0,"",VLOOKUP(VLOOKUP(P581,Tbl_Effect[],3,FALSE),EffectName[],IFERROR(MATCH(UI!$B$1,EffectName[#Headers],0),2),FALSE))</f>
        <v/>
      </c>
      <c r="R581" t="str">
        <f t="shared" si="66"/>
        <v/>
      </c>
      <c r="S581">
        <v>0</v>
      </c>
      <c r="T581" t="str">
        <f>IF(VALUE(S581)=0,"",VLOOKUP(VLOOKUP(S581,Tbl_Effect[],3,FALSE),EffectName[],IFERROR(MATCH(UI!$B$1,EffectName[#Headers],0),2),FALSE))</f>
        <v/>
      </c>
      <c r="U581" t="str">
        <f t="shared" si="67"/>
        <v/>
      </c>
      <c r="V581">
        <v>0</v>
      </c>
      <c r="W581" t="str">
        <f>IF(V581&lt;&gt;0,VLOOKUP(VLOOKUP(V581,Tbl_Effect[],3,FALSE),EffectName[],IFERROR(MATCH(UI!$B$1,EffectName[#Headers],0),2),FALSE),"")</f>
        <v/>
      </c>
      <c r="X581" t="str">
        <f t="shared" si="68"/>
        <v/>
      </c>
      <c r="Y581">
        <v>0</v>
      </c>
      <c r="Z581" t="str">
        <f>IF(Y581&lt;&gt;0,VLOOKUP(VLOOKUP(Y581,Tbl_Effect[],3,FALSE),EffectName[],IFERROR(MATCH(UI!$B$1,EffectName[#Headers],0),2),FALSE),"")</f>
        <v/>
      </c>
      <c r="AA581" t="str">
        <f t="shared" si="69"/>
        <v/>
      </c>
      <c r="AB581">
        <v>0</v>
      </c>
      <c r="AC581" t="str">
        <f>IF(AB581&lt;&gt;0,VLOOKUP(VLOOKUP(AB581,Tbl_Effect[],3,FALSE),EffectName[],IFERROR(MATCH(UI!$B$1,EffectName[#Headers],0),2),FALSE),"")</f>
        <v/>
      </c>
    </row>
    <row r="582" spans="8:29" x14ac:dyDescent="0.4">
      <c r="H582" t="str">
        <f t="shared" si="63"/>
        <v>1008201-端正的光耀情景 (黃)</v>
      </c>
      <c r="I582">
        <v>1008201</v>
      </c>
      <c r="J582" t="str">
        <f>_xlfn.IFNA(IF(I582&lt;&gt;0,VLOOKUP(VLOOKUP(I582,Tbl_Equip[],2,FALSE),Tbl_Color[],IFERROR(MATCH(UI!$B$1,Tbl_Color[#Headers],0),2),FALSE),""),"Unset")</f>
        <v>黃</v>
      </c>
      <c r="K582" t="str">
        <f>_xlfn.IFNA(IF(I582&lt;&gt;0,VLOOKUP(I582,ItemText[],IFERROR(MATCH(UI!$B$1,ItemText[#Headers],0),2),FALSE),""),"Unset")</f>
        <v>端正的光耀情景</v>
      </c>
      <c r="L582" t="str">
        <f t="shared" si="64"/>
        <v/>
      </c>
      <c r="M582">
        <v>0</v>
      </c>
      <c r="N582" t="str">
        <f>IF(VALUE(M582)=0,"",VLOOKUP(VLOOKUP(M582,Tbl_Effect[],3,FALSE),EffectName[],IFERROR(MATCH(UI!$B$1,EffectName[#Headers],0),2),FALSE))</f>
        <v/>
      </c>
      <c r="O582" t="str">
        <f t="shared" si="65"/>
        <v/>
      </c>
      <c r="P582">
        <v>0</v>
      </c>
      <c r="Q582" t="str">
        <f>IF(VALUE(P582)=0,"",VLOOKUP(VLOOKUP(P582,Tbl_Effect[],3,FALSE),EffectName[],IFERROR(MATCH(UI!$B$1,EffectName[#Headers],0),2),FALSE))</f>
        <v/>
      </c>
      <c r="R582" t="str">
        <f t="shared" si="66"/>
        <v/>
      </c>
      <c r="S582">
        <v>0</v>
      </c>
      <c r="T582" t="str">
        <f>IF(VALUE(S582)=0,"",VLOOKUP(VLOOKUP(S582,Tbl_Effect[],3,FALSE),EffectName[],IFERROR(MATCH(UI!$B$1,EffectName[#Headers],0),2),FALSE))</f>
        <v/>
      </c>
      <c r="U582" t="str">
        <f t="shared" si="67"/>
        <v/>
      </c>
      <c r="V582">
        <v>0</v>
      </c>
      <c r="W582" t="str">
        <f>IF(V582&lt;&gt;0,VLOOKUP(VLOOKUP(V582,Tbl_Effect[],3,FALSE),EffectName[],IFERROR(MATCH(UI!$B$1,EffectName[#Headers],0),2),FALSE),"")</f>
        <v/>
      </c>
      <c r="X582" t="str">
        <f t="shared" si="68"/>
        <v/>
      </c>
      <c r="Y582">
        <v>0</v>
      </c>
      <c r="Z582" t="str">
        <f>IF(Y582&lt;&gt;0,VLOOKUP(VLOOKUP(Y582,Tbl_Effect[],3,FALSE),EffectName[],IFERROR(MATCH(UI!$B$1,EffectName[#Headers],0),2),FALSE),"")</f>
        <v/>
      </c>
      <c r="AA582" t="str">
        <f t="shared" si="69"/>
        <v/>
      </c>
      <c r="AB582">
        <v>0</v>
      </c>
      <c r="AC582" t="str">
        <f>IF(AB582&lt;&gt;0,VLOOKUP(VLOOKUP(AB582,Tbl_Effect[],3,FALSE),EffectName[],IFERROR(MATCH(UI!$B$1,EffectName[#Headers],0),2),FALSE),"")</f>
        <v/>
      </c>
    </row>
    <row r="583" spans="8:29" x14ac:dyDescent="0.4">
      <c r="H583" t="str">
        <f t="shared" si="63"/>
        <v>1008202-遼闊的光耀情景 (黃)</v>
      </c>
      <c r="I583">
        <v>1008202</v>
      </c>
      <c r="J583" t="str">
        <f>_xlfn.IFNA(IF(I583&lt;&gt;0,VLOOKUP(VLOOKUP(I583,Tbl_Equip[],2,FALSE),Tbl_Color[],IFERROR(MATCH(UI!$B$1,Tbl_Color[#Headers],0),2),FALSE),""),"Unset")</f>
        <v>黃</v>
      </c>
      <c r="K583" t="str">
        <f>_xlfn.IFNA(IF(I583&lt;&gt;0,VLOOKUP(I583,ItemText[],IFERROR(MATCH(UI!$B$1,ItemText[#Headers],0),2),FALSE),""),"Unset")</f>
        <v>遼闊的光耀情景</v>
      </c>
      <c r="L583" t="str">
        <f t="shared" si="64"/>
        <v/>
      </c>
      <c r="M583">
        <v>0</v>
      </c>
      <c r="N583" t="str">
        <f>IF(VALUE(M583)=0,"",VLOOKUP(VLOOKUP(M583,Tbl_Effect[],3,FALSE),EffectName[],IFERROR(MATCH(UI!$B$1,EffectName[#Headers],0),2),FALSE))</f>
        <v/>
      </c>
      <c r="O583" t="str">
        <f t="shared" si="65"/>
        <v/>
      </c>
      <c r="P583">
        <v>0</v>
      </c>
      <c r="Q583" t="str">
        <f>IF(VALUE(P583)=0,"",VLOOKUP(VLOOKUP(P583,Tbl_Effect[],3,FALSE),EffectName[],IFERROR(MATCH(UI!$B$1,EffectName[#Headers],0),2),FALSE))</f>
        <v/>
      </c>
      <c r="R583" t="str">
        <f t="shared" si="66"/>
        <v/>
      </c>
      <c r="S583">
        <v>0</v>
      </c>
      <c r="T583" t="str">
        <f>IF(VALUE(S583)=0,"",VLOOKUP(VLOOKUP(S583,Tbl_Effect[],3,FALSE),EffectName[],IFERROR(MATCH(UI!$B$1,EffectName[#Headers],0),2),FALSE))</f>
        <v/>
      </c>
      <c r="U583" t="str">
        <f t="shared" si="67"/>
        <v/>
      </c>
      <c r="V583">
        <v>0</v>
      </c>
      <c r="W583" t="str">
        <f>IF(V583&lt;&gt;0,VLOOKUP(VLOOKUP(V583,Tbl_Effect[],3,FALSE),EffectName[],IFERROR(MATCH(UI!$B$1,EffectName[#Headers],0),2),FALSE),"")</f>
        <v/>
      </c>
      <c r="X583" t="str">
        <f t="shared" si="68"/>
        <v/>
      </c>
      <c r="Y583">
        <v>0</v>
      </c>
      <c r="Z583" t="str">
        <f>IF(Y583&lt;&gt;0,VLOOKUP(VLOOKUP(Y583,Tbl_Effect[],3,FALSE),EffectName[],IFERROR(MATCH(UI!$B$1,EffectName[#Headers],0),2),FALSE),"")</f>
        <v/>
      </c>
      <c r="AA583" t="str">
        <f t="shared" si="69"/>
        <v/>
      </c>
      <c r="AB583">
        <v>0</v>
      </c>
      <c r="AC583" t="str">
        <f>IF(AB583&lt;&gt;0,VLOOKUP(VLOOKUP(AB583,Tbl_Effect[],3,FALSE),EffectName[],IFERROR(MATCH(UI!$B$1,EffectName[#Headers],0),2),FALSE),"")</f>
        <v/>
      </c>
    </row>
    <row r="584" spans="8:29" x14ac:dyDescent="0.4">
      <c r="H584" t="str">
        <f t="shared" si="63"/>
        <v>1008210-細膩的光耀情景 (黃)</v>
      </c>
      <c r="I584">
        <v>1008210</v>
      </c>
      <c r="J584" t="str">
        <f>_xlfn.IFNA(IF(I584&lt;&gt;0,VLOOKUP(VLOOKUP(I584,Tbl_Equip[],2,FALSE),Tbl_Color[],IFERROR(MATCH(UI!$B$1,Tbl_Color[#Headers],0),2),FALSE),""),"Unset")</f>
        <v>黃</v>
      </c>
      <c r="K584" t="str">
        <f>_xlfn.IFNA(IF(I584&lt;&gt;0,VLOOKUP(I584,ItemText[],IFERROR(MATCH(UI!$B$1,ItemText[#Headers],0),2),FALSE),""),"Unset")</f>
        <v>細膩的光耀情景</v>
      </c>
      <c r="L584" t="str">
        <f t="shared" si="64"/>
        <v/>
      </c>
      <c r="M584">
        <v>0</v>
      </c>
      <c r="N584" t="str">
        <f>IF(VALUE(M584)=0,"",VLOOKUP(VLOOKUP(M584,Tbl_Effect[],3,FALSE),EffectName[],IFERROR(MATCH(UI!$B$1,EffectName[#Headers],0),2),FALSE))</f>
        <v/>
      </c>
      <c r="O584" t="str">
        <f t="shared" si="65"/>
        <v/>
      </c>
      <c r="P584">
        <v>0</v>
      </c>
      <c r="Q584" t="str">
        <f>IF(VALUE(P584)=0,"",VLOOKUP(VLOOKUP(P584,Tbl_Effect[],3,FALSE),EffectName[],IFERROR(MATCH(UI!$B$1,EffectName[#Headers],0),2),FALSE))</f>
        <v/>
      </c>
      <c r="R584" t="str">
        <f t="shared" si="66"/>
        <v/>
      </c>
      <c r="S584">
        <v>0</v>
      </c>
      <c r="T584" t="str">
        <f>IF(VALUE(S584)=0,"",VLOOKUP(VLOOKUP(S584,Tbl_Effect[],3,FALSE),EffectName[],IFERROR(MATCH(UI!$B$1,EffectName[#Headers],0),2),FALSE))</f>
        <v/>
      </c>
      <c r="U584" t="str">
        <f t="shared" si="67"/>
        <v/>
      </c>
      <c r="V584">
        <v>0</v>
      </c>
      <c r="W584" t="str">
        <f>IF(V584&lt;&gt;0,VLOOKUP(VLOOKUP(V584,Tbl_Effect[],3,FALSE),EffectName[],IFERROR(MATCH(UI!$B$1,EffectName[#Headers],0),2),FALSE),"")</f>
        <v/>
      </c>
      <c r="X584" t="str">
        <f t="shared" si="68"/>
        <v/>
      </c>
      <c r="Y584">
        <v>0</v>
      </c>
      <c r="Z584" t="str">
        <f>IF(Y584&lt;&gt;0,VLOOKUP(VLOOKUP(Y584,Tbl_Effect[],3,FALSE),EffectName[],IFERROR(MATCH(UI!$B$1,EffectName[#Headers],0),2),FALSE),"")</f>
        <v/>
      </c>
      <c r="AA584" t="str">
        <f t="shared" si="69"/>
        <v/>
      </c>
      <c r="AB584">
        <v>0</v>
      </c>
      <c r="AC584" t="str">
        <f>IF(AB584&lt;&gt;0,VLOOKUP(VLOOKUP(AB584,Tbl_Effect[],3,FALSE),EffectName[],IFERROR(MATCH(UI!$B$1,EffectName[#Headers],0),2),FALSE),"")</f>
        <v/>
      </c>
    </row>
    <row r="585" spans="8:29" x14ac:dyDescent="0.4">
      <c r="H585" t="str">
        <f t="shared" si="63"/>
        <v>1008211-端正的光耀情景 (黃)</v>
      </c>
      <c r="I585">
        <v>1008211</v>
      </c>
      <c r="J585" t="str">
        <f>_xlfn.IFNA(IF(I585&lt;&gt;0,VLOOKUP(VLOOKUP(I585,Tbl_Equip[],2,FALSE),Tbl_Color[],IFERROR(MATCH(UI!$B$1,Tbl_Color[#Headers],0),2),FALSE),""),"Unset")</f>
        <v>黃</v>
      </c>
      <c r="K585" t="str">
        <f>_xlfn.IFNA(IF(I585&lt;&gt;0,VLOOKUP(I585,ItemText[],IFERROR(MATCH(UI!$B$1,ItemText[#Headers],0),2),FALSE),""),"Unset")</f>
        <v>端正的光耀情景</v>
      </c>
      <c r="L585" t="str">
        <f t="shared" si="64"/>
        <v/>
      </c>
      <c r="M585">
        <v>0</v>
      </c>
      <c r="N585" t="str">
        <f>IF(VALUE(M585)=0,"",VLOOKUP(VLOOKUP(M585,Tbl_Effect[],3,FALSE),EffectName[],IFERROR(MATCH(UI!$B$1,EffectName[#Headers],0),2),FALSE))</f>
        <v/>
      </c>
      <c r="O585" t="str">
        <f t="shared" si="65"/>
        <v/>
      </c>
      <c r="P585">
        <v>0</v>
      </c>
      <c r="Q585" t="str">
        <f>IF(VALUE(P585)=0,"",VLOOKUP(VLOOKUP(P585,Tbl_Effect[],3,FALSE),EffectName[],IFERROR(MATCH(UI!$B$1,EffectName[#Headers],0),2),FALSE))</f>
        <v/>
      </c>
      <c r="R585" t="str">
        <f t="shared" si="66"/>
        <v/>
      </c>
      <c r="S585">
        <v>0</v>
      </c>
      <c r="T585" t="str">
        <f>IF(VALUE(S585)=0,"",VLOOKUP(VLOOKUP(S585,Tbl_Effect[],3,FALSE),EffectName[],IFERROR(MATCH(UI!$B$1,EffectName[#Headers],0),2),FALSE))</f>
        <v/>
      </c>
      <c r="U585" t="str">
        <f t="shared" si="67"/>
        <v/>
      </c>
      <c r="V585">
        <v>0</v>
      </c>
      <c r="W585" t="str">
        <f>IF(V585&lt;&gt;0,VLOOKUP(VLOOKUP(V585,Tbl_Effect[],3,FALSE),EffectName[],IFERROR(MATCH(UI!$B$1,EffectName[#Headers],0),2),FALSE),"")</f>
        <v/>
      </c>
      <c r="X585" t="str">
        <f t="shared" si="68"/>
        <v/>
      </c>
      <c r="Y585">
        <v>0</v>
      </c>
      <c r="Z585" t="str">
        <f>IF(Y585&lt;&gt;0,VLOOKUP(VLOOKUP(Y585,Tbl_Effect[],3,FALSE),EffectName[],IFERROR(MATCH(UI!$B$1,EffectName[#Headers],0),2),FALSE),"")</f>
        <v/>
      </c>
      <c r="AA585" t="str">
        <f t="shared" si="69"/>
        <v/>
      </c>
      <c r="AB585">
        <v>0</v>
      </c>
      <c r="AC585" t="str">
        <f>IF(AB585&lt;&gt;0,VLOOKUP(VLOOKUP(AB585,Tbl_Effect[],3,FALSE),EffectName[],IFERROR(MATCH(UI!$B$1,EffectName[#Headers],0),2),FALSE),"")</f>
        <v/>
      </c>
    </row>
    <row r="586" spans="8:29" x14ac:dyDescent="0.4">
      <c r="H586" t="str">
        <f t="shared" si="63"/>
        <v>1008212-遼闊的光耀情景 (黃)</v>
      </c>
      <c r="I586">
        <v>1008212</v>
      </c>
      <c r="J586" t="str">
        <f>_xlfn.IFNA(IF(I586&lt;&gt;0,VLOOKUP(VLOOKUP(I586,Tbl_Equip[],2,FALSE),Tbl_Color[],IFERROR(MATCH(UI!$B$1,Tbl_Color[#Headers],0),2),FALSE),""),"Unset")</f>
        <v>黃</v>
      </c>
      <c r="K586" t="str">
        <f>_xlfn.IFNA(IF(I586&lt;&gt;0,VLOOKUP(I586,ItemText[],IFERROR(MATCH(UI!$B$1,ItemText[#Headers],0),2),FALSE),""),"Unset")</f>
        <v>遼闊的光耀情景</v>
      </c>
      <c r="L586" t="str">
        <f t="shared" si="64"/>
        <v/>
      </c>
      <c r="M586">
        <v>0</v>
      </c>
      <c r="N586" t="str">
        <f>IF(VALUE(M586)=0,"",VLOOKUP(VLOOKUP(M586,Tbl_Effect[],3,FALSE),EffectName[],IFERROR(MATCH(UI!$B$1,EffectName[#Headers],0),2),FALSE))</f>
        <v/>
      </c>
      <c r="O586" t="str">
        <f t="shared" si="65"/>
        <v/>
      </c>
      <c r="P586">
        <v>0</v>
      </c>
      <c r="Q586" t="str">
        <f>IF(VALUE(P586)=0,"",VLOOKUP(VLOOKUP(P586,Tbl_Effect[],3,FALSE),EffectName[],IFERROR(MATCH(UI!$B$1,EffectName[#Headers],0),2),FALSE))</f>
        <v/>
      </c>
      <c r="R586" t="str">
        <f t="shared" si="66"/>
        <v/>
      </c>
      <c r="S586">
        <v>0</v>
      </c>
      <c r="T586" t="str">
        <f>IF(VALUE(S586)=0,"",VLOOKUP(VLOOKUP(S586,Tbl_Effect[],3,FALSE),EffectName[],IFERROR(MATCH(UI!$B$1,EffectName[#Headers],0),2),FALSE))</f>
        <v/>
      </c>
      <c r="U586" t="str">
        <f t="shared" si="67"/>
        <v/>
      </c>
      <c r="V586">
        <v>0</v>
      </c>
      <c r="W586" t="str">
        <f>IF(V586&lt;&gt;0,VLOOKUP(VLOOKUP(V586,Tbl_Effect[],3,FALSE),EffectName[],IFERROR(MATCH(UI!$B$1,EffectName[#Headers],0),2),FALSE),"")</f>
        <v/>
      </c>
      <c r="X586" t="str">
        <f t="shared" si="68"/>
        <v/>
      </c>
      <c r="Y586">
        <v>0</v>
      </c>
      <c r="Z586" t="str">
        <f>IF(Y586&lt;&gt;0,VLOOKUP(VLOOKUP(Y586,Tbl_Effect[],3,FALSE),EffectName[],IFERROR(MATCH(UI!$B$1,EffectName[#Headers],0),2),FALSE),"")</f>
        <v/>
      </c>
      <c r="AA586" t="str">
        <f t="shared" si="69"/>
        <v/>
      </c>
      <c r="AB586">
        <v>0</v>
      </c>
      <c r="AC586" t="str">
        <f>IF(AB586&lt;&gt;0,VLOOKUP(VLOOKUP(AB586,Tbl_Effect[],3,FALSE),EffectName[],IFERROR(MATCH(UI!$B$1,EffectName[#Headers],0),2),FALSE),"")</f>
        <v/>
      </c>
    </row>
    <row r="587" spans="8:29" x14ac:dyDescent="0.4">
      <c r="H587" t="str">
        <f t="shared" si="63"/>
        <v>1008220-細膩的光耀情景 (黃)</v>
      </c>
      <c r="I587">
        <v>1008220</v>
      </c>
      <c r="J587" t="str">
        <f>_xlfn.IFNA(IF(I587&lt;&gt;0,VLOOKUP(VLOOKUP(I587,Tbl_Equip[],2,FALSE),Tbl_Color[],IFERROR(MATCH(UI!$B$1,Tbl_Color[#Headers],0),2),FALSE),""),"Unset")</f>
        <v>黃</v>
      </c>
      <c r="K587" t="str">
        <f>_xlfn.IFNA(IF(I587&lt;&gt;0,VLOOKUP(I587,ItemText[],IFERROR(MATCH(UI!$B$1,ItemText[#Headers],0),2),FALSE),""),"Unset")</f>
        <v>細膩的光耀情景</v>
      </c>
      <c r="L587" t="str">
        <f t="shared" si="64"/>
        <v/>
      </c>
      <c r="M587">
        <v>0</v>
      </c>
      <c r="N587" t="str">
        <f>IF(VALUE(M587)=0,"",VLOOKUP(VLOOKUP(M587,Tbl_Effect[],3,FALSE),EffectName[],IFERROR(MATCH(UI!$B$1,EffectName[#Headers],0),2),FALSE))</f>
        <v/>
      </c>
      <c r="O587" t="str">
        <f t="shared" si="65"/>
        <v/>
      </c>
      <c r="P587">
        <v>0</v>
      </c>
      <c r="Q587" t="str">
        <f>IF(VALUE(P587)=0,"",VLOOKUP(VLOOKUP(P587,Tbl_Effect[],3,FALSE),EffectName[],IFERROR(MATCH(UI!$B$1,EffectName[#Headers],0),2),FALSE))</f>
        <v/>
      </c>
      <c r="R587" t="str">
        <f t="shared" si="66"/>
        <v/>
      </c>
      <c r="S587">
        <v>0</v>
      </c>
      <c r="T587" t="str">
        <f>IF(VALUE(S587)=0,"",VLOOKUP(VLOOKUP(S587,Tbl_Effect[],3,FALSE),EffectName[],IFERROR(MATCH(UI!$B$1,EffectName[#Headers],0),2),FALSE))</f>
        <v/>
      </c>
      <c r="U587" t="str">
        <f t="shared" si="67"/>
        <v/>
      </c>
      <c r="V587">
        <v>0</v>
      </c>
      <c r="W587" t="str">
        <f>IF(V587&lt;&gt;0,VLOOKUP(VLOOKUP(V587,Tbl_Effect[],3,FALSE),EffectName[],IFERROR(MATCH(UI!$B$1,EffectName[#Headers],0),2),FALSE),"")</f>
        <v/>
      </c>
      <c r="X587" t="str">
        <f t="shared" si="68"/>
        <v/>
      </c>
      <c r="Y587">
        <v>0</v>
      </c>
      <c r="Z587" t="str">
        <f>IF(Y587&lt;&gt;0,VLOOKUP(VLOOKUP(Y587,Tbl_Effect[],3,FALSE),EffectName[],IFERROR(MATCH(UI!$B$1,EffectName[#Headers],0),2),FALSE),"")</f>
        <v/>
      </c>
      <c r="AA587" t="str">
        <f t="shared" si="69"/>
        <v/>
      </c>
      <c r="AB587">
        <v>0</v>
      </c>
      <c r="AC587" t="str">
        <f>IF(AB587&lt;&gt;0,VLOOKUP(VLOOKUP(AB587,Tbl_Effect[],3,FALSE),EffectName[],IFERROR(MATCH(UI!$B$1,EffectName[#Headers],0),2),FALSE),"")</f>
        <v/>
      </c>
    </row>
    <row r="588" spans="8:29" x14ac:dyDescent="0.4">
      <c r="H588" t="str">
        <f t="shared" si="63"/>
        <v>1008221-端正的光耀情景 (黃)</v>
      </c>
      <c r="I588">
        <v>1008221</v>
      </c>
      <c r="J588" t="str">
        <f>_xlfn.IFNA(IF(I588&lt;&gt;0,VLOOKUP(VLOOKUP(I588,Tbl_Equip[],2,FALSE),Tbl_Color[],IFERROR(MATCH(UI!$B$1,Tbl_Color[#Headers],0),2),FALSE),""),"Unset")</f>
        <v>黃</v>
      </c>
      <c r="K588" t="str">
        <f>_xlfn.IFNA(IF(I588&lt;&gt;0,VLOOKUP(I588,ItemText[],IFERROR(MATCH(UI!$B$1,ItemText[#Headers],0),2),FALSE),""),"Unset")</f>
        <v>端正的光耀情景</v>
      </c>
      <c r="L588" t="str">
        <f t="shared" si="64"/>
        <v/>
      </c>
      <c r="M588">
        <v>0</v>
      </c>
      <c r="N588" t="str">
        <f>IF(VALUE(M588)=0,"",VLOOKUP(VLOOKUP(M588,Tbl_Effect[],3,FALSE),EffectName[],IFERROR(MATCH(UI!$B$1,EffectName[#Headers],0),2),FALSE))</f>
        <v/>
      </c>
      <c r="O588" t="str">
        <f t="shared" si="65"/>
        <v/>
      </c>
      <c r="P588">
        <v>0</v>
      </c>
      <c r="Q588" t="str">
        <f>IF(VALUE(P588)=0,"",VLOOKUP(VLOOKUP(P588,Tbl_Effect[],3,FALSE),EffectName[],IFERROR(MATCH(UI!$B$1,EffectName[#Headers],0),2),FALSE))</f>
        <v/>
      </c>
      <c r="R588" t="str">
        <f t="shared" si="66"/>
        <v/>
      </c>
      <c r="S588">
        <v>0</v>
      </c>
      <c r="T588" t="str">
        <f>IF(VALUE(S588)=0,"",VLOOKUP(VLOOKUP(S588,Tbl_Effect[],3,FALSE),EffectName[],IFERROR(MATCH(UI!$B$1,EffectName[#Headers],0),2),FALSE))</f>
        <v/>
      </c>
      <c r="U588" t="str">
        <f t="shared" si="67"/>
        <v/>
      </c>
      <c r="V588">
        <v>0</v>
      </c>
      <c r="W588" t="str">
        <f>IF(V588&lt;&gt;0,VLOOKUP(VLOOKUP(V588,Tbl_Effect[],3,FALSE),EffectName[],IFERROR(MATCH(UI!$B$1,EffectName[#Headers],0),2),FALSE),"")</f>
        <v/>
      </c>
      <c r="X588" t="str">
        <f t="shared" si="68"/>
        <v/>
      </c>
      <c r="Y588">
        <v>0</v>
      </c>
      <c r="Z588" t="str">
        <f>IF(Y588&lt;&gt;0,VLOOKUP(VLOOKUP(Y588,Tbl_Effect[],3,FALSE),EffectName[],IFERROR(MATCH(UI!$B$1,EffectName[#Headers],0),2),FALSE),"")</f>
        <v/>
      </c>
      <c r="AA588" t="str">
        <f t="shared" si="69"/>
        <v/>
      </c>
      <c r="AB588">
        <v>0</v>
      </c>
      <c r="AC588" t="str">
        <f>IF(AB588&lt;&gt;0,VLOOKUP(VLOOKUP(AB588,Tbl_Effect[],3,FALSE),EffectName[],IFERROR(MATCH(UI!$B$1,EffectName[#Headers],0),2),FALSE),"")</f>
        <v/>
      </c>
    </row>
    <row r="589" spans="8:29" x14ac:dyDescent="0.4">
      <c r="H589" t="str">
        <f t="shared" si="63"/>
        <v>1008222-遼闊的光耀情景 (黃)</v>
      </c>
      <c r="I589">
        <v>1008222</v>
      </c>
      <c r="J589" t="str">
        <f>_xlfn.IFNA(IF(I589&lt;&gt;0,VLOOKUP(VLOOKUP(I589,Tbl_Equip[],2,FALSE),Tbl_Color[],IFERROR(MATCH(UI!$B$1,Tbl_Color[#Headers],0),2),FALSE),""),"Unset")</f>
        <v>黃</v>
      </c>
      <c r="K589" t="str">
        <f>_xlfn.IFNA(IF(I589&lt;&gt;0,VLOOKUP(I589,ItemText[],IFERROR(MATCH(UI!$B$1,ItemText[#Headers],0),2),FALSE),""),"Unset")</f>
        <v>遼闊的光耀情景</v>
      </c>
      <c r="L589" t="str">
        <f t="shared" si="64"/>
        <v/>
      </c>
      <c r="M589">
        <v>0</v>
      </c>
      <c r="N589" t="str">
        <f>IF(VALUE(M589)=0,"",VLOOKUP(VLOOKUP(M589,Tbl_Effect[],3,FALSE),EffectName[],IFERROR(MATCH(UI!$B$1,EffectName[#Headers],0),2),FALSE))</f>
        <v/>
      </c>
      <c r="O589" t="str">
        <f t="shared" si="65"/>
        <v/>
      </c>
      <c r="P589">
        <v>0</v>
      </c>
      <c r="Q589" t="str">
        <f>IF(VALUE(P589)=0,"",VLOOKUP(VLOOKUP(P589,Tbl_Effect[],3,FALSE),EffectName[],IFERROR(MATCH(UI!$B$1,EffectName[#Headers],0),2),FALSE))</f>
        <v/>
      </c>
      <c r="R589" t="str">
        <f t="shared" si="66"/>
        <v/>
      </c>
      <c r="S589">
        <v>0</v>
      </c>
      <c r="T589" t="str">
        <f>IF(VALUE(S589)=0,"",VLOOKUP(VLOOKUP(S589,Tbl_Effect[],3,FALSE),EffectName[],IFERROR(MATCH(UI!$B$1,EffectName[#Headers],0),2),FALSE))</f>
        <v/>
      </c>
      <c r="U589" t="str">
        <f t="shared" si="67"/>
        <v/>
      </c>
      <c r="V589">
        <v>0</v>
      </c>
      <c r="W589" t="str">
        <f>IF(V589&lt;&gt;0,VLOOKUP(VLOOKUP(V589,Tbl_Effect[],3,FALSE),EffectName[],IFERROR(MATCH(UI!$B$1,EffectName[#Headers],0),2),FALSE),"")</f>
        <v/>
      </c>
      <c r="X589" t="str">
        <f t="shared" si="68"/>
        <v/>
      </c>
      <c r="Y589">
        <v>0</v>
      </c>
      <c r="Z589" t="str">
        <f>IF(Y589&lt;&gt;0,VLOOKUP(VLOOKUP(Y589,Tbl_Effect[],3,FALSE),EffectName[],IFERROR(MATCH(UI!$B$1,EffectName[#Headers],0),2),FALSE),"")</f>
        <v/>
      </c>
      <c r="AA589" t="str">
        <f t="shared" si="69"/>
        <v/>
      </c>
      <c r="AB589">
        <v>0</v>
      </c>
      <c r="AC589" t="str">
        <f>IF(AB589&lt;&gt;0,VLOOKUP(VLOOKUP(AB589,Tbl_Effect[],3,FALSE),EffectName[],IFERROR(MATCH(UI!$B$1,EffectName[#Headers],0),2),FALSE),"")</f>
        <v/>
      </c>
    </row>
    <row r="590" spans="8:29" x14ac:dyDescent="0.4">
      <c r="H590" t="str">
        <f t="shared" si="63"/>
        <v>1008300-細膩的幽靜情景 (綠)</v>
      </c>
      <c r="I590">
        <v>1008300</v>
      </c>
      <c r="J590" t="str">
        <f>_xlfn.IFNA(IF(I590&lt;&gt;0,VLOOKUP(VLOOKUP(I590,Tbl_Equip[],2,FALSE),Tbl_Color[],IFERROR(MATCH(UI!$B$1,Tbl_Color[#Headers],0),2),FALSE),""),"Unset")</f>
        <v>綠</v>
      </c>
      <c r="K590" t="str">
        <f>_xlfn.IFNA(IF(I590&lt;&gt;0,VLOOKUP(I590,ItemText[],IFERROR(MATCH(UI!$B$1,ItemText[#Headers],0),2),FALSE),""),"Unset")</f>
        <v>細膩的幽靜情景</v>
      </c>
      <c r="L590" t="str">
        <f t="shared" si="64"/>
        <v/>
      </c>
      <c r="M590">
        <v>0</v>
      </c>
      <c r="N590" t="str">
        <f>IF(VALUE(M590)=0,"",VLOOKUP(VLOOKUP(M590,Tbl_Effect[],3,FALSE),EffectName[],IFERROR(MATCH(UI!$B$1,EffectName[#Headers],0),2),FALSE))</f>
        <v/>
      </c>
      <c r="O590" t="str">
        <f t="shared" si="65"/>
        <v/>
      </c>
      <c r="P590">
        <v>0</v>
      </c>
      <c r="Q590" t="str">
        <f>IF(VALUE(P590)=0,"",VLOOKUP(VLOOKUP(P590,Tbl_Effect[],3,FALSE),EffectName[],IFERROR(MATCH(UI!$B$1,EffectName[#Headers],0),2),FALSE))</f>
        <v/>
      </c>
      <c r="R590" t="str">
        <f t="shared" si="66"/>
        <v/>
      </c>
      <c r="S590">
        <v>0</v>
      </c>
      <c r="T590" t="str">
        <f>IF(VALUE(S590)=0,"",VLOOKUP(VLOOKUP(S590,Tbl_Effect[],3,FALSE),EffectName[],IFERROR(MATCH(UI!$B$1,EffectName[#Headers],0),2),FALSE))</f>
        <v/>
      </c>
      <c r="U590" t="str">
        <f t="shared" si="67"/>
        <v/>
      </c>
      <c r="V590">
        <v>0</v>
      </c>
      <c r="W590" t="str">
        <f>IF(V590&lt;&gt;0,VLOOKUP(VLOOKUP(V590,Tbl_Effect[],3,FALSE),EffectName[],IFERROR(MATCH(UI!$B$1,EffectName[#Headers],0),2),FALSE),"")</f>
        <v/>
      </c>
      <c r="X590" t="str">
        <f t="shared" si="68"/>
        <v/>
      </c>
      <c r="Y590">
        <v>0</v>
      </c>
      <c r="Z590" t="str">
        <f>IF(Y590&lt;&gt;0,VLOOKUP(VLOOKUP(Y590,Tbl_Effect[],3,FALSE),EffectName[],IFERROR(MATCH(UI!$B$1,EffectName[#Headers],0),2),FALSE),"")</f>
        <v/>
      </c>
      <c r="AA590" t="str">
        <f t="shared" si="69"/>
        <v/>
      </c>
      <c r="AB590">
        <v>0</v>
      </c>
      <c r="AC590" t="str">
        <f>IF(AB590&lt;&gt;0,VLOOKUP(VLOOKUP(AB590,Tbl_Effect[],3,FALSE),EffectName[],IFERROR(MATCH(UI!$B$1,EffectName[#Headers],0),2),FALSE),"")</f>
        <v/>
      </c>
    </row>
    <row r="591" spans="8:29" x14ac:dyDescent="0.4">
      <c r="H591" t="str">
        <f t="shared" si="63"/>
        <v>1008301-端正的幽靜情景 (綠)</v>
      </c>
      <c r="I591">
        <v>1008301</v>
      </c>
      <c r="J591" t="str">
        <f>_xlfn.IFNA(IF(I591&lt;&gt;0,VLOOKUP(VLOOKUP(I591,Tbl_Equip[],2,FALSE),Tbl_Color[],IFERROR(MATCH(UI!$B$1,Tbl_Color[#Headers],0),2),FALSE),""),"Unset")</f>
        <v>綠</v>
      </c>
      <c r="K591" t="str">
        <f>_xlfn.IFNA(IF(I591&lt;&gt;0,VLOOKUP(I591,ItemText[],IFERROR(MATCH(UI!$B$1,ItemText[#Headers],0),2),FALSE),""),"Unset")</f>
        <v>端正的幽靜情景</v>
      </c>
      <c r="L591" t="str">
        <f t="shared" si="64"/>
        <v/>
      </c>
      <c r="M591">
        <v>0</v>
      </c>
      <c r="N591" t="str">
        <f>IF(VALUE(M591)=0,"",VLOOKUP(VLOOKUP(M591,Tbl_Effect[],3,FALSE),EffectName[],IFERROR(MATCH(UI!$B$1,EffectName[#Headers],0),2),FALSE))</f>
        <v/>
      </c>
      <c r="O591" t="str">
        <f t="shared" si="65"/>
        <v/>
      </c>
      <c r="P591">
        <v>0</v>
      </c>
      <c r="Q591" t="str">
        <f>IF(VALUE(P591)=0,"",VLOOKUP(VLOOKUP(P591,Tbl_Effect[],3,FALSE),EffectName[],IFERROR(MATCH(UI!$B$1,EffectName[#Headers],0),2),FALSE))</f>
        <v/>
      </c>
      <c r="R591" t="str">
        <f t="shared" si="66"/>
        <v/>
      </c>
      <c r="S591">
        <v>0</v>
      </c>
      <c r="T591" t="str">
        <f>IF(VALUE(S591)=0,"",VLOOKUP(VLOOKUP(S591,Tbl_Effect[],3,FALSE),EffectName[],IFERROR(MATCH(UI!$B$1,EffectName[#Headers],0),2),FALSE))</f>
        <v/>
      </c>
      <c r="U591" t="str">
        <f t="shared" si="67"/>
        <v/>
      </c>
      <c r="V591">
        <v>0</v>
      </c>
      <c r="W591" t="str">
        <f>IF(V591&lt;&gt;0,VLOOKUP(VLOOKUP(V591,Tbl_Effect[],3,FALSE),EffectName[],IFERROR(MATCH(UI!$B$1,EffectName[#Headers],0),2),FALSE),"")</f>
        <v/>
      </c>
      <c r="X591" t="str">
        <f t="shared" si="68"/>
        <v/>
      </c>
      <c r="Y591">
        <v>0</v>
      </c>
      <c r="Z591" t="str">
        <f>IF(Y591&lt;&gt;0,VLOOKUP(VLOOKUP(Y591,Tbl_Effect[],3,FALSE),EffectName[],IFERROR(MATCH(UI!$B$1,EffectName[#Headers],0),2),FALSE),"")</f>
        <v/>
      </c>
      <c r="AA591" t="str">
        <f t="shared" si="69"/>
        <v/>
      </c>
      <c r="AB591">
        <v>0</v>
      </c>
      <c r="AC591" t="str">
        <f>IF(AB591&lt;&gt;0,VLOOKUP(VLOOKUP(AB591,Tbl_Effect[],3,FALSE),EffectName[],IFERROR(MATCH(UI!$B$1,EffectName[#Headers],0),2),FALSE),"")</f>
        <v/>
      </c>
    </row>
    <row r="592" spans="8:29" x14ac:dyDescent="0.4">
      <c r="H592" t="str">
        <f t="shared" si="63"/>
        <v>1008302-遼闊的幽靜情景 (綠)</v>
      </c>
      <c r="I592">
        <v>1008302</v>
      </c>
      <c r="J592" t="str">
        <f>_xlfn.IFNA(IF(I592&lt;&gt;0,VLOOKUP(VLOOKUP(I592,Tbl_Equip[],2,FALSE),Tbl_Color[],IFERROR(MATCH(UI!$B$1,Tbl_Color[#Headers],0),2),FALSE),""),"Unset")</f>
        <v>綠</v>
      </c>
      <c r="K592" t="str">
        <f>_xlfn.IFNA(IF(I592&lt;&gt;0,VLOOKUP(I592,ItemText[],IFERROR(MATCH(UI!$B$1,ItemText[#Headers],0),2),FALSE),""),"Unset")</f>
        <v>遼闊的幽靜情景</v>
      </c>
      <c r="L592" t="str">
        <f t="shared" si="64"/>
        <v/>
      </c>
      <c r="M592">
        <v>0</v>
      </c>
      <c r="N592" t="str">
        <f>IF(VALUE(M592)=0,"",VLOOKUP(VLOOKUP(M592,Tbl_Effect[],3,FALSE),EffectName[],IFERROR(MATCH(UI!$B$1,EffectName[#Headers],0),2),FALSE))</f>
        <v/>
      </c>
      <c r="O592" t="str">
        <f t="shared" si="65"/>
        <v/>
      </c>
      <c r="P592">
        <v>0</v>
      </c>
      <c r="Q592" t="str">
        <f>IF(VALUE(P592)=0,"",VLOOKUP(VLOOKUP(P592,Tbl_Effect[],3,FALSE),EffectName[],IFERROR(MATCH(UI!$B$1,EffectName[#Headers],0),2),FALSE))</f>
        <v/>
      </c>
      <c r="R592" t="str">
        <f t="shared" si="66"/>
        <v/>
      </c>
      <c r="S592">
        <v>0</v>
      </c>
      <c r="T592" t="str">
        <f>IF(VALUE(S592)=0,"",VLOOKUP(VLOOKUP(S592,Tbl_Effect[],3,FALSE),EffectName[],IFERROR(MATCH(UI!$B$1,EffectName[#Headers],0),2),FALSE))</f>
        <v/>
      </c>
      <c r="U592" t="str">
        <f t="shared" si="67"/>
        <v/>
      </c>
      <c r="V592">
        <v>0</v>
      </c>
      <c r="W592" t="str">
        <f>IF(V592&lt;&gt;0,VLOOKUP(VLOOKUP(V592,Tbl_Effect[],3,FALSE),EffectName[],IFERROR(MATCH(UI!$B$1,EffectName[#Headers],0),2),FALSE),"")</f>
        <v/>
      </c>
      <c r="X592" t="str">
        <f t="shared" si="68"/>
        <v/>
      </c>
      <c r="Y592">
        <v>0</v>
      </c>
      <c r="Z592" t="str">
        <f>IF(Y592&lt;&gt;0,VLOOKUP(VLOOKUP(Y592,Tbl_Effect[],3,FALSE),EffectName[],IFERROR(MATCH(UI!$B$1,EffectName[#Headers],0),2),FALSE),"")</f>
        <v/>
      </c>
      <c r="AA592" t="str">
        <f t="shared" si="69"/>
        <v/>
      </c>
      <c r="AB592">
        <v>0</v>
      </c>
      <c r="AC592" t="str">
        <f>IF(AB592&lt;&gt;0,VLOOKUP(VLOOKUP(AB592,Tbl_Effect[],3,FALSE),EffectName[],IFERROR(MATCH(UI!$B$1,EffectName[#Headers],0),2),FALSE),"")</f>
        <v/>
      </c>
    </row>
    <row r="593" spans="8:29" x14ac:dyDescent="0.4">
      <c r="H593" t="str">
        <f t="shared" si="63"/>
        <v>1008310-細膩的幽靜情景 (綠)</v>
      </c>
      <c r="I593">
        <v>1008310</v>
      </c>
      <c r="J593" t="str">
        <f>_xlfn.IFNA(IF(I593&lt;&gt;0,VLOOKUP(VLOOKUP(I593,Tbl_Equip[],2,FALSE),Tbl_Color[],IFERROR(MATCH(UI!$B$1,Tbl_Color[#Headers],0),2),FALSE),""),"Unset")</f>
        <v>綠</v>
      </c>
      <c r="K593" t="str">
        <f>_xlfn.IFNA(IF(I593&lt;&gt;0,VLOOKUP(I593,ItemText[],IFERROR(MATCH(UI!$B$1,ItemText[#Headers],0),2),FALSE),""),"Unset")</f>
        <v>細膩的幽靜情景</v>
      </c>
      <c r="L593" t="str">
        <f t="shared" si="64"/>
        <v/>
      </c>
      <c r="M593">
        <v>0</v>
      </c>
      <c r="N593" t="str">
        <f>IF(VALUE(M593)=0,"",VLOOKUP(VLOOKUP(M593,Tbl_Effect[],3,FALSE),EffectName[],IFERROR(MATCH(UI!$B$1,EffectName[#Headers],0),2),FALSE))</f>
        <v/>
      </c>
      <c r="O593" t="str">
        <f t="shared" si="65"/>
        <v/>
      </c>
      <c r="P593">
        <v>0</v>
      </c>
      <c r="Q593" t="str">
        <f>IF(VALUE(P593)=0,"",VLOOKUP(VLOOKUP(P593,Tbl_Effect[],3,FALSE),EffectName[],IFERROR(MATCH(UI!$B$1,EffectName[#Headers],0),2),FALSE))</f>
        <v/>
      </c>
      <c r="R593" t="str">
        <f t="shared" si="66"/>
        <v/>
      </c>
      <c r="S593">
        <v>0</v>
      </c>
      <c r="T593" t="str">
        <f>IF(VALUE(S593)=0,"",VLOOKUP(VLOOKUP(S593,Tbl_Effect[],3,FALSE),EffectName[],IFERROR(MATCH(UI!$B$1,EffectName[#Headers],0),2),FALSE))</f>
        <v/>
      </c>
      <c r="U593" t="str">
        <f t="shared" si="67"/>
        <v/>
      </c>
      <c r="V593">
        <v>0</v>
      </c>
      <c r="W593" t="str">
        <f>IF(V593&lt;&gt;0,VLOOKUP(VLOOKUP(V593,Tbl_Effect[],3,FALSE),EffectName[],IFERROR(MATCH(UI!$B$1,EffectName[#Headers],0),2),FALSE),"")</f>
        <v/>
      </c>
      <c r="X593" t="str">
        <f t="shared" si="68"/>
        <v/>
      </c>
      <c r="Y593">
        <v>0</v>
      </c>
      <c r="Z593" t="str">
        <f>IF(Y593&lt;&gt;0,VLOOKUP(VLOOKUP(Y593,Tbl_Effect[],3,FALSE),EffectName[],IFERROR(MATCH(UI!$B$1,EffectName[#Headers],0),2),FALSE),"")</f>
        <v/>
      </c>
      <c r="AA593" t="str">
        <f t="shared" si="69"/>
        <v/>
      </c>
      <c r="AB593">
        <v>0</v>
      </c>
      <c r="AC593" t="str">
        <f>IF(AB593&lt;&gt;0,VLOOKUP(VLOOKUP(AB593,Tbl_Effect[],3,FALSE),EffectName[],IFERROR(MATCH(UI!$B$1,EffectName[#Headers],0),2),FALSE),"")</f>
        <v/>
      </c>
    </row>
    <row r="594" spans="8:29" x14ac:dyDescent="0.4">
      <c r="H594" t="str">
        <f t="shared" si="63"/>
        <v>1008311-端正的幽靜情景 (綠)</v>
      </c>
      <c r="I594">
        <v>1008311</v>
      </c>
      <c r="J594" t="str">
        <f>_xlfn.IFNA(IF(I594&lt;&gt;0,VLOOKUP(VLOOKUP(I594,Tbl_Equip[],2,FALSE),Tbl_Color[],IFERROR(MATCH(UI!$B$1,Tbl_Color[#Headers],0),2),FALSE),""),"Unset")</f>
        <v>綠</v>
      </c>
      <c r="K594" t="str">
        <f>_xlfn.IFNA(IF(I594&lt;&gt;0,VLOOKUP(I594,ItemText[],IFERROR(MATCH(UI!$B$1,ItemText[#Headers],0),2),FALSE),""),"Unset")</f>
        <v>端正的幽靜情景</v>
      </c>
      <c r="L594" t="str">
        <f t="shared" si="64"/>
        <v/>
      </c>
      <c r="M594">
        <v>0</v>
      </c>
      <c r="N594" t="str">
        <f>IF(VALUE(M594)=0,"",VLOOKUP(VLOOKUP(M594,Tbl_Effect[],3,FALSE),EffectName[],IFERROR(MATCH(UI!$B$1,EffectName[#Headers],0),2),FALSE))</f>
        <v/>
      </c>
      <c r="O594" t="str">
        <f t="shared" si="65"/>
        <v/>
      </c>
      <c r="P594">
        <v>0</v>
      </c>
      <c r="Q594" t="str">
        <f>IF(VALUE(P594)=0,"",VLOOKUP(VLOOKUP(P594,Tbl_Effect[],3,FALSE),EffectName[],IFERROR(MATCH(UI!$B$1,EffectName[#Headers],0),2),FALSE))</f>
        <v/>
      </c>
      <c r="R594" t="str">
        <f t="shared" si="66"/>
        <v/>
      </c>
      <c r="S594">
        <v>0</v>
      </c>
      <c r="T594" t="str">
        <f>IF(VALUE(S594)=0,"",VLOOKUP(VLOOKUP(S594,Tbl_Effect[],3,FALSE),EffectName[],IFERROR(MATCH(UI!$B$1,EffectName[#Headers],0),2),FALSE))</f>
        <v/>
      </c>
      <c r="U594" t="str">
        <f t="shared" si="67"/>
        <v/>
      </c>
      <c r="V594">
        <v>0</v>
      </c>
      <c r="W594" t="str">
        <f>IF(V594&lt;&gt;0,VLOOKUP(VLOOKUP(V594,Tbl_Effect[],3,FALSE),EffectName[],IFERROR(MATCH(UI!$B$1,EffectName[#Headers],0),2),FALSE),"")</f>
        <v/>
      </c>
      <c r="X594" t="str">
        <f t="shared" si="68"/>
        <v/>
      </c>
      <c r="Y594">
        <v>0</v>
      </c>
      <c r="Z594" t="str">
        <f>IF(Y594&lt;&gt;0,VLOOKUP(VLOOKUP(Y594,Tbl_Effect[],3,FALSE),EffectName[],IFERROR(MATCH(UI!$B$1,EffectName[#Headers],0),2),FALSE),"")</f>
        <v/>
      </c>
      <c r="AA594" t="str">
        <f t="shared" si="69"/>
        <v/>
      </c>
      <c r="AB594">
        <v>0</v>
      </c>
      <c r="AC594" t="str">
        <f>IF(AB594&lt;&gt;0,VLOOKUP(VLOOKUP(AB594,Tbl_Effect[],3,FALSE),EffectName[],IFERROR(MATCH(UI!$B$1,EffectName[#Headers],0),2),FALSE),"")</f>
        <v/>
      </c>
    </row>
    <row r="595" spans="8:29" x14ac:dyDescent="0.4">
      <c r="H595" t="str">
        <f t="shared" si="63"/>
        <v>1008312-遼闊的幽靜情景 (綠)</v>
      </c>
      <c r="I595">
        <v>1008312</v>
      </c>
      <c r="J595" t="str">
        <f>_xlfn.IFNA(IF(I595&lt;&gt;0,VLOOKUP(VLOOKUP(I595,Tbl_Equip[],2,FALSE),Tbl_Color[],IFERROR(MATCH(UI!$B$1,Tbl_Color[#Headers],0),2),FALSE),""),"Unset")</f>
        <v>綠</v>
      </c>
      <c r="K595" t="str">
        <f>_xlfn.IFNA(IF(I595&lt;&gt;0,VLOOKUP(I595,ItemText[],IFERROR(MATCH(UI!$B$1,ItemText[#Headers],0),2),FALSE),""),"Unset")</f>
        <v>遼闊的幽靜情景</v>
      </c>
      <c r="L595" t="str">
        <f t="shared" si="64"/>
        <v/>
      </c>
      <c r="M595">
        <v>0</v>
      </c>
      <c r="N595" t="str">
        <f>IF(VALUE(M595)=0,"",VLOOKUP(VLOOKUP(M595,Tbl_Effect[],3,FALSE),EffectName[],IFERROR(MATCH(UI!$B$1,EffectName[#Headers],0),2),FALSE))</f>
        <v/>
      </c>
      <c r="O595" t="str">
        <f t="shared" si="65"/>
        <v/>
      </c>
      <c r="P595">
        <v>0</v>
      </c>
      <c r="Q595" t="str">
        <f>IF(VALUE(P595)=0,"",VLOOKUP(VLOOKUP(P595,Tbl_Effect[],3,FALSE),EffectName[],IFERROR(MATCH(UI!$B$1,EffectName[#Headers],0),2),FALSE))</f>
        <v/>
      </c>
      <c r="R595" t="str">
        <f t="shared" si="66"/>
        <v/>
      </c>
      <c r="S595">
        <v>0</v>
      </c>
      <c r="T595" t="str">
        <f>IF(VALUE(S595)=0,"",VLOOKUP(VLOOKUP(S595,Tbl_Effect[],3,FALSE),EffectName[],IFERROR(MATCH(UI!$B$1,EffectName[#Headers],0),2),FALSE))</f>
        <v/>
      </c>
      <c r="U595" t="str">
        <f t="shared" si="67"/>
        <v/>
      </c>
      <c r="V595">
        <v>0</v>
      </c>
      <c r="W595" t="str">
        <f>IF(V595&lt;&gt;0,VLOOKUP(VLOOKUP(V595,Tbl_Effect[],3,FALSE),EffectName[],IFERROR(MATCH(UI!$B$1,EffectName[#Headers],0),2),FALSE),"")</f>
        <v/>
      </c>
      <c r="X595" t="str">
        <f t="shared" si="68"/>
        <v/>
      </c>
      <c r="Y595">
        <v>0</v>
      </c>
      <c r="Z595" t="str">
        <f>IF(Y595&lt;&gt;0,VLOOKUP(VLOOKUP(Y595,Tbl_Effect[],3,FALSE),EffectName[],IFERROR(MATCH(UI!$B$1,EffectName[#Headers],0),2),FALSE),"")</f>
        <v/>
      </c>
      <c r="AA595" t="str">
        <f t="shared" si="69"/>
        <v/>
      </c>
      <c r="AB595">
        <v>0</v>
      </c>
      <c r="AC595" t="str">
        <f>IF(AB595&lt;&gt;0,VLOOKUP(VLOOKUP(AB595,Tbl_Effect[],3,FALSE),EffectName[],IFERROR(MATCH(UI!$B$1,EffectName[#Headers],0),2),FALSE),"")</f>
        <v/>
      </c>
    </row>
    <row r="596" spans="8:29" x14ac:dyDescent="0.4">
      <c r="H596" t="str">
        <f t="shared" si="63"/>
        <v>1008320-細膩的幽靜情景 (綠)</v>
      </c>
      <c r="I596">
        <v>1008320</v>
      </c>
      <c r="J596" t="str">
        <f>_xlfn.IFNA(IF(I596&lt;&gt;0,VLOOKUP(VLOOKUP(I596,Tbl_Equip[],2,FALSE),Tbl_Color[],IFERROR(MATCH(UI!$B$1,Tbl_Color[#Headers],0),2),FALSE),""),"Unset")</f>
        <v>綠</v>
      </c>
      <c r="K596" t="str">
        <f>_xlfn.IFNA(IF(I596&lt;&gt;0,VLOOKUP(I596,ItemText[],IFERROR(MATCH(UI!$B$1,ItemText[#Headers],0),2),FALSE),""),"Unset")</f>
        <v>細膩的幽靜情景</v>
      </c>
      <c r="L596" t="str">
        <f t="shared" si="64"/>
        <v/>
      </c>
      <c r="M596">
        <v>0</v>
      </c>
      <c r="N596" t="str">
        <f>IF(VALUE(M596)=0,"",VLOOKUP(VLOOKUP(M596,Tbl_Effect[],3,FALSE),EffectName[],IFERROR(MATCH(UI!$B$1,EffectName[#Headers],0),2),FALSE))</f>
        <v/>
      </c>
      <c r="O596" t="str">
        <f t="shared" si="65"/>
        <v/>
      </c>
      <c r="P596">
        <v>0</v>
      </c>
      <c r="Q596" t="str">
        <f>IF(VALUE(P596)=0,"",VLOOKUP(VLOOKUP(P596,Tbl_Effect[],3,FALSE),EffectName[],IFERROR(MATCH(UI!$B$1,EffectName[#Headers],0),2),FALSE))</f>
        <v/>
      </c>
      <c r="R596" t="str">
        <f t="shared" si="66"/>
        <v/>
      </c>
      <c r="S596">
        <v>0</v>
      </c>
      <c r="T596" t="str">
        <f>IF(VALUE(S596)=0,"",VLOOKUP(VLOOKUP(S596,Tbl_Effect[],3,FALSE),EffectName[],IFERROR(MATCH(UI!$B$1,EffectName[#Headers],0),2),FALSE))</f>
        <v/>
      </c>
      <c r="U596" t="str">
        <f t="shared" si="67"/>
        <v/>
      </c>
      <c r="V596">
        <v>0</v>
      </c>
      <c r="W596" t="str">
        <f>IF(V596&lt;&gt;0,VLOOKUP(VLOOKUP(V596,Tbl_Effect[],3,FALSE),EffectName[],IFERROR(MATCH(UI!$B$1,EffectName[#Headers],0),2),FALSE),"")</f>
        <v/>
      </c>
      <c r="X596" t="str">
        <f t="shared" si="68"/>
        <v/>
      </c>
      <c r="Y596">
        <v>0</v>
      </c>
      <c r="Z596" t="str">
        <f>IF(Y596&lt;&gt;0,VLOOKUP(VLOOKUP(Y596,Tbl_Effect[],3,FALSE),EffectName[],IFERROR(MATCH(UI!$B$1,EffectName[#Headers],0),2),FALSE),"")</f>
        <v/>
      </c>
      <c r="AA596" t="str">
        <f t="shared" si="69"/>
        <v/>
      </c>
      <c r="AB596">
        <v>0</v>
      </c>
      <c r="AC596" t="str">
        <f>IF(AB596&lt;&gt;0,VLOOKUP(VLOOKUP(AB596,Tbl_Effect[],3,FALSE),EffectName[],IFERROR(MATCH(UI!$B$1,EffectName[#Headers],0),2),FALSE),"")</f>
        <v/>
      </c>
    </row>
    <row r="597" spans="8:29" x14ac:dyDescent="0.4">
      <c r="H597" t="str">
        <f t="shared" si="63"/>
        <v>1008321-端正的幽靜情景 (綠)</v>
      </c>
      <c r="I597">
        <v>1008321</v>
      </c>
      <c r="J597" t="str">
        <f>_xlfn.IFNA(IF(I597&lt;&gt;0,VLOOKUP(VLOOKUP(I597,Tbl_Equip[],2,FALSE),Tbl_Color[],IFERROR(MATCH(UI!$B$1,Tbl_Color[#Headers],0),2),FALSE),""),"Unset")</f>
        <v>綠</v>
      </c>
      <c r="K597" t="str">
        <f>_xlfn.IFNA(IF(I597&lt;&gt;0,VLOOKUP(I597,ItemText[],IFERROR(MATCH(UI!$B$1,ItemText[#Headers],0),2),FALSE),""),"Unset")</f>
        <v>端正的幽靜情景</v>
      </c>
      <c r="L597" t="str">
        <f t="shared" si="64"/>
        <v/>
      </c>
      <c r="M597">
        <v>0</v>
      </c>
      <c r="N597" t="str">
        <f>IF(VALUE(M597)=0,"",VLOOKUP(VLOOKUP(M597,Tbl_Effect[],3,FALSE),EffectName[],IFERROR(MATCH(UI!$B$1,EffectName[#Headers],0),2),FALSE))</f>
        <v/>
      </c>
      <c r="O597" t="str">
        <f t="shared" si="65"/>
        <v/>
      </c>
      <c r="P597">
        <v>0</v>
      </c>
      <c r="Q597" t="str">
        <f>IF(VALUE(P597)=0,"",VLOOKUP(VLOOKUP(P597,Tbl_Effect[],3,FALSE),EffectName[],IFERROR(MATCH(UI!$B$1,EffectName[#Headers],0),2),FALSE))</f>
        <v/>
      </c>
      <c r="R597" t="str">
        <f t="shared" si="66"/>
        <v/>
      </c>
      <c r="S597">
        <v>0</v>
      </c>
      <c r="T597" t="str">
        <f>IF(VALUE(S597)=0,"",VLOOKUP(VLOOKUP(S597,Tbl_Effect[],3,FALSE),EffectName[],IFERROR(MATCH(UI!$B$1,EffectName[#Headers],0),2),FALSE))</f>
        <v/>
      </c>
      <c r="U597" t="str">
        <f t="shared" si="67"/>
        <v/>
      </c>
      <c r="V597">
        <v>0</v>
      </c>
      <c r="W597" t="str">
        <f>IF(V597&lt;&gt;0,VLOOKUP(VLOOKUP(V597,Tbl_Effect[],3,FALSE),EffectName[],IFERROR(MATCH(UI!$B$1,EffectName[#Headers],0),2),FALSE),"")</f>
        <v/>
      </c>
      <c r="X597" t="str">
        <f t="shared" si="68"/>
        <v/>
      </c>
      <c r="Y597">
        <v>0</v>
      </c>
      <c r="Z597" t="str">
        <f>IF(Y597&lt;&gt;0,VLOOKUP(VLOOKUP(Y597,Tbl_Effect[],3,FALSE),EffectName[],IFERROR(MATCH(UI!$B$1,EffectName[#Headers],0),2),FALSE),"")</f>
        <v/>
      </c>
      <c r="AA597" t="str">
        <f t="shared" si="69"/>
        <v/>
      </c>
      <c r="AB597">
        <v>0</v>
      </c>
      <c r="AC597" t="str">
        <f>IF(AB597&lt;&gt;0,VLOOKUP(VLOOKUP(AB597,Tbl_Effect[],3,FALSE),EffectName[],IFERROR(MATCH(UI!$B$1,EffectName[#Headers],0),2),FALSE),"")</f>
        <v/>
      </c>
    </row>
    <row r="598" spans="8:29" x14ac:dyDescent="0.4">
      <c r="H598" t="str">
        <f t="shared" si="63"/>
        <v>1008322-遼闊的幽靜情景 (綠)</v>
      </c>
      <c r="I598">
        <v>1008322</v>
      </c>
      <c r="J598" t="str">
        <f>_xlfn.IFNA(IF(I598&lt;&gt;0,VLOOKUP(VLOOKUP(I598,Tbl_Equip[],2,FALSE),Tbl_Color[],IFERROR(MATCH(UI!$B$1,Tbl_Color[#Headers],0),2),FALSE),""),"Unset")</f>
        <v>綠</v>
      </c>
      <c r="K598" t="str">
        <f>_xlfn.IFNA(IF(I598&lt;&gt;0,VLOOKUP(I598,ItemText[],IFERROR(MATCH(UI!$B$1,ItemText[#Headers],0),2),FALSE),""),"Unset")</f>
        <v>遼闊的幽靜情景</v>
      </c>
      <c r="L598" t="str">
        <f t="shared" si="64"/>
        <v/>
      </c>
      <c r="M598">
        <v>0</v>
      </c>
      <c r="N598" t="str">
        <f>IF(VALUE(M598)=0,"",VLOOKUP(VLOOKUP(M598,Tbl_Effect[],3,FALSE),EffectName[],IFERROR(MATCH(UI!$B$1,EffectName[#Headers],0),2),FALSE))</f>
        <v/>
      </c>
      <c r="O598" t="str">
        <f t="shared" si="65"/>
        <v/>
      </c>
      <c r="P598">
        <v>0</v>
      </c>
      <c r="Q598" t="str">
        <f>IF(VALUE(P598)=0,"",VLOOKUP(VLOOKUP(P598,Tbl_Effect[],3,FALSE),EffectName[],IFERROR(MATCH(UI!$B$1,EffectName[#Headers],0),2),FALSE))</f>
        <v/>
      </c>
      <c r="R598" t="str">
        <f t="shared" si="66"/>
        <v/>
      </c>
      <c r="S598">
        <v>0</v>
      </c>
      <c r="T598" t="str">
        <f>IF(VALUE(S598)=0,"",VLOOKUP(VLOOKUP(S598,Tbl_Effect[],3,FALSE),EffectName[],IFERROR(MATCH(UI!$B$1,EffectName[#Headers],0),2),FALSE))</f>
        <v/>
      </c>
      <c r="U598" t="str">
        <f t="shared" si="67"/>
        <v/>
      </c>
      <c r="V598">
        <v>0</v>
      </c>
      <c r="W598" t="str">
        <f>IF(V598&lt;&gt;0,VLOOKUP(VLOOKUP(V598,Tbl_Effect[],3,FALSE),EffectName[],IFERROR(MATCH(UI!$B$1,EffectName[#Headers],0),2),FALSE),"")</f>
        <v/>
      </c>
      <c r="X598" t="str">
        <f t="shared" si="68"/>
        <v/>
      </c>
      <c r="Y598">
        <v>0</v>
      </c>
      <c r="Z598" t="str">
        <f>IF(Y598&lt;&gt;0,VLOOKUP(VLOOKUP(Y598,Tbl_Effect[],3,FALSE),EffectName[],IFERROR(MATCH(UI!$B$1,EffectName[#Headers],0),2),FALSE),"")</f>
        <v/>
      </c>
      <c r="AA598" t="str">
        <f t="shared" si="69"/>
        <v/>
      </c>
      <c r="AB598">
        <v>0</v>
      </c>
      <c r="AC598" t="str">
        <f>IF(AB598&lt;&gt;0,VLOOKUP(VLOOKUP(AB598,Tbl_Effect[],3,FALSE),EffectName[],IFERROR(MATCH(UI!$B$1,EffectName[#Headers],0),2),FALSE),"")</f>
        <v/>
      </c>
    </row>
    <row r="599" spans="8:29" x14ac:dyDescent="0.4">
      <c r="H599" t="str">
        <f t="shared" si="63"/>
        <v>1009000-細膩的火燃情景 (紅)</v>
      </c>
      <c r="I599">
        <v>1009000</v>
      </c>
      <c r="J599" t="str">
        <f>_xlfn.IFNA(IF(I599&lt;&gt;0,VLOOKUP(VLOOKUP(I599,Tbl_Equip[],2,FALSE),Tbl_Color[],IFERROR(MATCH(UI!$B$1,Tbl_Color[#Headers],0),2),FALSE),""),"Unset")</f>
        <v>紅</v>
      </c>
      <c r="K599" t="str">
        <f>_xlfn.IFNA(IF(I599&lt;&gt;0,VLOOKUP(I599,ItemText[],IFERROR(MATCH(UI!$B$1,ItemText[#Headers],0),2),FALSE),""),"Unset")</f>
        <v>細膩的火燃情景</v>
      </c>
      <c r="L599" t="str">
        <f t="shared" si="64"/>
        <v/>
      </c>
      <c r="M599">
        <v>0</v>
      </c>
      <c r="N599" t="str">
        <f>IF(VALUE(M599)=0,"",VLOOKUP(VLOOKUP(M599,Tbl_Effect[],3,FALSE),EffectName[],IFERROR(MATCH(UI!$B$1,EffectName[#Headers],0),2),FALSE))</f>
        <v/>
      </c>
      <c r="O599" t="str">
        <f t="shared" si="65"/>
        <v/>
      </c>
      <c r="P599">
        <v>0</v>
      </c>
      <c r="Q599" t="str">
        <f>IF(VALUE(P599)=0,"",VLOOKUP(VLOOKUP(P599,Tbl_Effect[],3,FALSE),EffectName[],IFERROR(MATCH(UI!$B$1,EffectName[#Headers],0),2),FALSE))</f>
        <v/>
      </c>
      <c r="R599" t="str">
        <f t="shared" si="66"/>
        <v/>
      </c>
      <c r="S599">
        <v>0</v>
      </c>
      <c r="T599" t="str">
        <f>IF(VALUE(S599)=0,"",VLOOKUP(VLOOKUP(S599,Tbl_Effect[],3,FALSE),EffectName[],IFERROR(MATCH(UI!$B$1,EffectName[#Headers],0),2),FALSE))</f>
        <v/>
      </c>
      <c r="U599" t="str">
        <f t="shared" si="67"/>
        <v/>
      </c>
      <c r="V599">
        <v>0</v>
      </c>
      <c r="W599" t="str">
        <f>IF(V599&lt;&gt;0,VLOOKUP(VLOOKUP(V599,Tbl_Effect[],3,FALSE),EffectName[],IFERROR(MATCH(UI!$B$1,EffectName[#Headers],0),2),FALSE),"")</f>
        <v/>
      </c>
      <c r="X599" t="str">
        <f t="shared" si="68"/>
        <v/>
      </c>
      <c r="Y599">
        <v>0</v>
      </c>
      <c r="Z599" t="str">
        <f>IF(Y599&lt;&gt;0,VLOOKUP(VLOOKUP(Y599,Tbl_Effect[],3,FALSE),EffectName[],IFERROR(MATCH(UI!$B$1,EffectName[#Headers],0),2),FALSE),"")</f>
        <v/>
      </c>
      <c r="AA599" t="str">
        <f t="shared" si="69"/>
        <v/>
      </c>
      <c r="AB599">
        <v>0</v>
      </c>
      <c r="AC599" t="str">
        <f>IF(AB599&lt;&gt;0,VLOOKUP(VLOOKUP(AB599,Tbl_Effect[],3,FALSE),EffectName[],IFERROR(MATCH(UI!$B$1,EffectName[#Headers],0),2),FALSE),"")</f>
        <v/>
      </c>
    </row>
    <row r="600" spans="8:29" x14ac:dyDescent="0.4">
      <c r="H600" t="str">
        <f t="shared" si="63"/>
        <v>1009001-端正的火燃情景 (紅)</v>
      </c>
      <c r="I600">
        <v>1009001</v>
      </c>
      <c r="J600" t="str">
        <f>_xlfn.IFNA(IF(I600&lt;&gt;0,VLOOKUP(VLOOKUP(I600,Tbl_Equip[],2,FALSE),Tbl_Color[],IFERROR(MATCH(UI!$B$1,Tbl_Color[#Headers],0),2),FALSE),""),"Unset")</f>
        <v>紅</v>
      </c>
      <c r="K600" t="str">
        <f>_xlfn.IFNA(IF(I600&lt;&gt;0,VLOOKUP(I600,ItemText[],IFERROR(MATCH(UI!$B$1,ItemText[#Headers],0),2),FALSE),""),"Unset")</f>
        <v>端正的火燃情景</v>
      </c>
      <c r="L600" t="str">
        <f t="shared" si="64"/>
        <v/>
      </c>
      <c r="M600">
        <v>0</v>
      </c>
      <c r="N600" t="str">
        <f>IF(VALUE(M600)=0,"",VLOOKUP(VLOOKUP(M600,Tbl_Effect[],3,FALSE),EffectName[],IFERROR(MATCH(UI!$B$1,EffectName[#Headers],0),2),FALSE))</f>
        <v/>
      </c>
      <c r="O600" t="str">
        <f t="shared" si="65"/>
        <v/>
      </c>
      <c r="P600">
        <v>0</v>
      </c>
      <c r="Q600" t="str">
        <f>IF(VALUE(P600)=0,"",VLOOKUP(VLOOKUP(P600,Tbl_Effect[],3,FALSE),EffectName[],IFERROR(MATCH(UI!$B$1,EffectName[#Headers],0),2),FALSE))</f>
        <v/>
      </c>
      <c r="R600" t="str">
        <f t="shared" si="66"/>
        <v/>
      </c>
      <c r="S600">
        <v>0</v>
      </c>
      <c r="T600" t="str">
        <f>IF(VALUE(S600)=0,"",VLOOKUP(VLOOKUP(S600,Tbl_Effect[],3,FALSE),EffectName[],IFERROR(MATCH(UI!$B$1,EffectName[#Headers],0),2),FALSE))</f>
        <v/>
      </c>
      <c r="U600" t="str">
        <f t="shared" si="67"/>
        <v/>
      </c>
      <c r="V600">
        <v>0</v>
      </c>
      <c r="W600" t="str">
        <f>IF(V600&lt;&gt;0,VLOOKUP(VLOOKUP(V600,Tbl_Effect[],3,FALSE),EffectName[],IFERROR(MATCH(UI!$B$1,EffectName[#Headers],0),2),FALSE),"")</f>
        <v/>
      </c>
      <c r="X600" t="str">
        <f t="shared" si="68"/>
        <v/>
      </c>
      <c r="Y600">
        <v>0</v>
      </c>
      <c r="Z600" t="str">
        <f>IF(Y600&lt;&gt;0,VLOOKUP(VLOOKUP(Y600,Tbl_Effect[],3,FALSE),EffectName[],IFERROR(MATCH(UI!$B$1,EffectName[#Headers],0),2),FALSE),"")</f>
        <v/>
      </c>
      <c r="AA600" t="str">
        <f t="shared" si="69"/>
        <v/>
      </c>
      <c r="AB600">
        <v>0</v>
      </c>
      <c r="AC600" t="str">
        <f>IF(AB600&lt;&gt;0,VLOOKUP(VLOOKUP(AB600,Tbl_Effect[],3,FALSE),EffectName[],IFERROR(MATCH(UI!$B$1,EffectName[#Headers],0),2),FALSE),"")</f>
        <v/>
      </c>
    </row>
    <row r="601" spans="8:29" x14ac:dyDescent="0.4">
      <c r="H601" t="str">
        <f t="shared" si="63"/>
        <v>1009002-遼闊的火燃情景 (紅)</v>
      </c>
      <c r="I601">
        <v>1009002</v>
      </c>
      <c r="J601" t="str">
        <f>_xlfn.IFNA(IF(I601&lt;&gt;0,VLOOKUP(VLOOKUP(I601,Tbl_Equip[],2,FALSE),Tbl_Color[],IFERROR(MATCH(UI!$B$1,Tbl_Color[#Headers],0),2),FALSE),""),"Unset")</f>
        <v>紅</v>
      </c>
      <c r="K601" t="str">
        <f>_xlfn.IFNA(IF(I601&lt;&gt;0,VLOOKUP(I601,ItemText[],IFERROR(MATCH(UI!$B$1,ItemText[#Headers],0),2),FALSE),""),"Unset")</f>
        <v>遼闊的火燃情景</v>
      </c>
      <c r="L601" t="str">
        <f t="shared" si="64"/>
        <v/>
      </c>
      <c r="M601">
        <v>0</v>
      </c>
      <c r="N601" t="str">
        <f>IF(VALUE(M601)=0,"",VLOOKUP(VLOOKUP(M601,Tbl_Effect[],3,FALSE),EffectName[],IFERROR(MATCH(UI!$B$1,EffectName[#Headers],0),2),FALSE))</f>
        <v/>
      </c>
      <c r="O601" t="str">
        <f t="shared" si="65"/>
        <v/>
      </c>
      <c r="P601">
        <v>0</v>
      </c>
      <c r="Q601" t="str">
        <f>IF(VALUE(P601)=0,"",VLOOKUP(VLOOKUP(P601,Tbl_Effect[],3,FALSE),EffectName[],IFERROR(MATCH(UI!$B$1,EffectName[#Headers],0),2),FALSE))</f>
        <v/>
      </c>
      <c r="R601" t="str">
        <f t="shared" si="66"/>
        <v/>
      </c>
      <c r="S601">
        <v>0</v>
      </c>
      <c r="T601" t="str">
        <f>IF(VALUE(S601)=0,"",VLOOKUP(VLOOKUP(S601,Tbl_Effect[],3,FALSE),EffectName[],IFERROR(MATCH(UI!$B$1,EffectName[#Headers],0),2),FALSE))</f>
        <v/>
      </c>
      <c r="U601" t="str">
        <f t="shared" si="67"/>
        <v/>
      </c>
      <c r="V601">
        <v>0</v>
      </c>
      <c r="W601" t="str">
        <f>IF(V601&lt;&gt;0,VLOOKUP(VLOOKUP(V601,Tbl_Effect[],3,FALSE),EffectName[],IFERROR(MATCH(UI!$B$1,EffectName[#Headers],0),2),FALSE),"")</f>
        <v/>
      </c>
      <c r="X601" t="str">
        <f t="shared" si="68"/>
        <v/>
      </c>
      <c r="Y601">
        <v>0</v>
      </c>
      <c r="Z601" t="str">
        <f>IF(Y601&lt;&gt;0,VLOOKUP(VLOOKUP(Y601,Tbl_Effect[],3,FALSE),EffectName[],IFERROR(MATCH(UI!$B$1,EffectName[#Headers],0),2),FALSE),"")</f>
        <v/>
      </c>
      <c r="AA601" t="str">
        <f t="shared" si="69"/>
        <v/>
      </c>
      <c r="AB601">
        <v>0</v>
      </c>
      <c r="AC601" t="str">
        <f>IF(AB601&lt;&gt;0,VLOOKUP(VLOOKUP(AB601,Tbl_Effect[],3,FALSE),EffectName[],IFERROR(MATCH(UI!$B$1,EffectName[#Headers],0),2),FALSE),"")</f>
        <v/>
      </c>
    </row>
    <row r="602" spans="8:29" x14ac:dyDescent="0.4">
      <c r="H602" t="str">
        <f t="shared" si="63"/>
        <v>1009010-細膩的火燃情景 (紅)</v>
      </c>
      <c r="I602">
        <v>1009010</v>
      </c>
      <c r="J602" t="str">
        <f>_xlfn.IFNA(IF(I602&lt;&gt;0,VLOOKUP(VLOOKUP(I602,Tbl_Equip[],2,FALSE),Tbl_Color[],IFERROR(MATCH(UI!$B$1,Tbl_Color[#Headers],0),2),FALSE),""),"Unset")</f>
        <v>紅</v>
      </c>
      <c r="K602" t="str">
        <f>_xlfn.IFNA(IF(I602&lt;&gt;0,VLOOKUP(I602,ItemText[],IFERROR(MATCH(UI!$B$1,ItemText[#Headers],0),2),FALSE),""),"Unset")</f>
        <v>細膩的火燃情景</v>
      </c>
      <c r="L602" t="str">
        <f t="shared" si="64"/>
        <v/>
      </c>
      <c r="M602">
        <v>0</v>
      </c>
      <c r="N602" t="str">
        <f>IF(VALUE(M602)=0,"",VLOOKUP(VLOOKUP(M602,Tbl_Effect[],3,FALSE),EffectName[],IFERROR(MATCH(UI!$B$1,EffectName[#Headers],0),2),FALSE))</f>
        <v/>
      </c>
      <c r="O602" t="str">
        <f t="shared" si="65"/>
        <v/>
      </c>
      <c r="P602">
        <v>0</v>
      </c>
      <c r="Q602" t="str">
        <f>IF(VALUE(P602)=0,"",VLOOKUP(VLOOKUP(P602,Tbl_Effect[],3,FALSE),EffectName[],IFERROR(MATCH(UI!$B$1,EffectName[#Headers],0),2),FALSE))</f>
        <v/>
      </c>
      <c r="R602" t="str">
        <f t="shared" si="66"/>
        <v/>
      </c>
      <c r="S602">
        <v>0</v>
      </c>
      <c r="T602" t="str">
        <f>IF(VALUE(S602)=0,"",VLOOKUP(VLOOKUP(S602,Tbl_Effect[],3,FALSE),EffectName[],IFERROR(MATCH(UI!$B$1,EffectName[#Headers],0),2),FALSE))</f>
        <v/>
      </c>
      <c r="U602" t="str">
        <f t="shared" si="67"/>
        <v/>
      </c>
      <c r="V602">
        <v>0</v>
      </c>
      <c r="W602" t="str">
        <f>IF(V602&lt;&gt;0,VLOOKUP(VLOOKUP(V602,Tbl_Effect[],3,FALSE),EffectName[],IFERROR(MATCH(UI!$B$1,EffectName[#Headers],0),2),FALSE),"")</f>
        <v/>
      </c>
      <c r="X602" t="str">
        <f t="shared" si="68"/>
        <v/>
      </c>
      <c r="Y602">
        <v>0</v>
      </c>
      <c r="Z602" t="str">
        <f>IF(Y602&lt;&gt;0,VLOOKUP(VLOOKUP(Y602,Tbl_Effect[],3,FALSE),EffectName[],IFERROR(MATCH(UI!$B$1,EffectName[#Headers],0),2),FALSE),"")</f>
        <v/>
      </c>
      <c r="AA602" t="str">
        <f t="shared" si="69"/>
        <v/>
      </c>
      <c r="AB602">
        <v>0</v>
      </c>
      <c r="AC602" t="str">
        <f>IF(AB602&lt;&gt;0,VLOOKUP(VLOOKUP(AB602,Tbl_Effect[],3,FALSE),EffectName[],IFERROR(MATCH(UI!$B$1,EffectName[#Headers],0),2),FALSE),"")</f>
        <v/>
      </c>
    </row>
    <row r="603" spans="8:29" x14ac:dyDescent="0.4">
      <c r="H603" t="str">
        <f t="shared" si="63"/>
        <v>1009011-端正的火燃情景 (紅)</v>
      </c>
      <c r="I603">
        <v>1009011</v>
      </c>
      <c r="J603" t="str">
        <f>_xlfn.IFNA(IF(I603&lt;&gt;0,VLOOKUP(VLOOKUP(I603,Tbl_Equip[],2,FALSE),Tbl_Color[],IFERROR(MATCH(UI!$B$1,Tbl_Color[#Headers],0),2),FALSE),""),"Unset")</f>
        <v>紅</v>
      </c>
      <c r="K603" t="str">
        <f>_xlfn.IFNA(IF(I603&lt;&gt;0,VLOOKUP(I603,ItemText[],IFERROR(MATCH(UI!$B$1,ItemText[#Headers],0),2),FALSE),""),"Unset")</f>
        <v>端正的火燃情景</v>
      </c>
      <c r="L603" t="str">
        <f t="shared" si="64"/>
        <v/>
      </c>
      <c r="M603">
        <v>0</v>
      </c>
      <c r="N603" t="str">
        <f>IF(VALUE(M603)=0,"",VLOOKUP(VLOOKUP(M603,Tbl_Effect[],3,FALSE),EffectName[],IFERROR(MATCH(UI!$B$1,EffectName[#Headers],0),2),FALSE))</f>
        <v/>
      </c>
      <c r="O603" t="str">
        <f t="shared" si="65"/>
        <v/>
      </c>
      <c r="P603">
        <v>0</v>
      </c>
      <c r="Q603" t="str">
        <f>IF(VALUE(P603)=0,"",VLOOKUP(VLOOKUP(P603,Tbl_Effect[],3,FALSE),EffectName[],IFERROR(MATCH(UI!$B$1,EffectName[#Headers],0),2),FALSE))</f>
        <v/>
      </c>
      <c r="R603" t="str">
        <f t="shared" si="66"/>
        <v/>
      </c>
      <c r="S603">
        <v>0</v>
      </c>
      <c r="T603" t="str">
        <f>IF(VALUE(S603)=0,"",VLOOKUP(VLOOKUP(S603,Tbl_Effect[],3,FALSE),EffectName[],IFERROR(MATCH(UI!$B$1,EffectName[#Headers],0),2),FALSE))</f>
        <v/>
      </c>
      <c r="U603" t="str">
        <f t="shared" si="67"/>
        <v/>
      </c>
      <c r="V603">
        <v>0</v>
      </c>
      <c r="W603" t="str">
        <f>IF(V603&lt;&gt;0,VLOOKUP(VLOOKUP(V603,Tbl_Effect[],3,FALSE),EffectName[],IFERROR(MATCH(UI!$B$1,EffectName[#Headers],0),2),FALSE),"")</f>
        <v/>
      </c>
      <c r="X603" t="str">
        <f t="shared" si="68"/>
        <v/>
      </c>
      <c r="Y603">
        <v>0</v>
      </c>
      <c r="Z603" t="str">
        <f>IF(Y603&lt;&gt;0,VLOOKUP(VLOOKUP(Y603,Tbl_Effect[],3,FALSE),EffectName[],IFERROR(MATCH(UI!$B$1,EffectName[#Headers],0),2),FALSE),"")</f>
        <v/>
      </c>
      <c r="AA603" t="str">
        <f t="shared" si="69"/>
        <v/>
      </c>
      <c r="AB603">
        <v>0</v>
      </c>
      <c r="AC603" t="str">
        <f>IF(AB603&lt;&gt;0,VLOOKUP(VLOOKUP(AB603,Tbl_Effect[],3,FALSE),EffectName[],IFERROR(MATCH(UI!$B$1,EffectName[#Headers],0),2),FALSE),"")</f>
        <v/>
      </c>
    </row>
    <row r="604" spans="8:29" x14ac:dyDescent="0.4">
      <c r="H604" t="str">
        <f t="shared" si="63"/>
        <v>1009012-遼闊的火燃情景 (紅)</v>
      </c>
      <c r="I604">
        <v>1009012</v>
      </c>
      <c r="J604" t="str">
        <f>_xlfn.IFNA(IF(I604&lt;&gt;0,VLOOKUP(VLOOKUP(I604,Tbl_Equip[],2,FALSE),Tbl_Color[],IFERROR(MATCH(UI!$B$1,Tbl_Color[#Headers],0),2),FALSE),""),"Unset")</f>
        <v>紅</v>
      </c>
      <c r="K604" t="str">
        <f>_xlfn.IFNA(IF(I604&lt;&gt;0,VLOOKUP(I604,ItemText[],IFERROR(MATCH(UI!$B$1,ItemText[#Headers],0),2),FALSE),""),"Unset")</f>
        <v>遼闊的火燃情景</v>
      </c>
      <c r="L604" t="str">
        <f t="shared" si="64"/>
        <v/>
      </c>
      <c r="M604">
        <v>0</v>
      </c>
      <c r="N604" t="str">
        <f>IF(VALUE(M604)=0,"",VLOOKUP(VLOOKUP(M604,Tbl_Effect[],3,FALSE),EffectName[],IFERROR(MATCH(UI!$B$1,EffectName[#Headers],0),2),FALSE))</f>
        <v/>
      </c>
      <c r="O604" t="str">
        <f t="shared" si="65"/>
        <v/>
      </c>
      <c r="P604">
        <v>0</v>
      </c>
      <c r="Q604" t="str">
        <f>IF(VALUE(P604)=0,"",VLOOKUP(VLOOKUP(P604,Tbl_Effect[],3,FALSE),EffectName[],IFERROR(MATCH(UI!$B$1,EffectName[#Headers],0),2),FALSE))</f>
        <v/>
      </c>
      <c r="R604" t="str">
        <f t="shared" si="66"/>
        <v/>
      </c>
      <c r="S604">
        <v>0</v>
      </c>
      <c r="T604" t="str">
        <f>IF(VALUE(S604)=0,"",VLOOKUP(VLOOKUP(S604,Tbl_Effect[],3,FALSE),EffectName[],IFERROR(MATCH(UI!$B$1,EffectName[#Headers],0),2),FALSE))</f>
        <v/>
      </c>
      <c r="U604" t="str">
        <f t="shared" si="67"/>
        <v/>
      </c>
      <c r="V604">
        <v>0</v>
      </c>
      <c r="W604" t="str">
        <f>IF(V604&lt;&gt;0,VLOOKUP(VLOOKUP(V604,Tbl_Effect[],3,FALSE),EffectName[],IFERROR(MATCH(UI!$B$1,EffectName[#Headers],0),2),FALSE),"")</f>
        <v/>
      </c>
      <c r="X604" t="str">
        <f t="shared" si="68"/>
        <v/>
      </c>
      <c r="Y604">
        <v>0</v>
      </c>
      <c r="Z604" t="str">
        <f>IF(Y604&lt;&gt;0,VLOOKUP(VLOOKUP(Y604,Tbl_Effect[],3,FALSE),EffectName[],IFERROR(MATCH(UI!$B$1,EffectName[#Headers],0),2),FALSE),"")</f>
        <v/>
      </c>
      <c r="AA604" t="str">
        <f t="shared" si="69"/>
        <v/>
      </c>
      <c r="AB604">
        <v>0</v>
      </c>
      <c r="AC604" t="str">
        <f>IF(AB604&lt;&gt;0,VLOOKUP(VLOOKUP(AB604,Tbl_Effect[],3,FALSE),EffectName[],IFERROR(MATCH(UI!$B$1,EffectName[#Headers],0),2),FALSE),"")</f>
        <v/>
      </c>
    </row>
    <row r="605" spans="8:29" x14ac:dyDescent="0.4">
      <c r="H605" t="str">
        <f t="shared" si="63"/>
        <v>1009020-細膩的火燃情景 (紅)</v>
      </c>
      <c r="I605">
        <v>1009020</v>
      </c>
      <c r="J605" t="str">
        <f>_xlfn.IFNA(IF(I605&lt;&gt;0,VLOOKUP(VLOOKUP(I605,Tbl_Equip[],2,FALSE),Tbl_Color[],IFERROR(MATCH(UI!$B$1,Tbl_Color[#Headers],0),2),FALSE),""),"Unset")</f>
        <v>紅</v>
      </c>
      <c r="K605" t="str">
        <f>_xlfn.IFNA(IF(I605&lt;&gt;0,VLOOKUP(I605,ItemText[],IFERROR(MATCH(UI!$B$1,ItemText[#Headers],0),2),FALSE),""),"Unset")</f>
        <v>細膩的火燃情景</v>
      </c>
      <c r="L605" t="str">
        <f t="shared" si="64"/>
        <v/>
      </c>
      <c r="M605">
        <v>0</v>
      </c>
      <c r="N605" t="str">
        <f>IF(VALUE(M605)=0,"",VLOOKUP(VLOOKUP(M605,Tbl_Effect[],3,FALSE),EffectName[],IFERROR(MATCH(UI!$B$1,EffectName[#Headers],0),2),FALSE))</f>
        <v/>
      </c>
      <c r="O605" t="str">
        <f t="shared" si="65"/>
        <v/>
      </c>
      <c r="P605">
        <v>0</v>
      </c>
      <c r="Q605" t="str">
        <f>IF(VALUE(P605)=0,"",VLOOKUP(VLOOKUP(P605,Tbl_Effect[],3,FALSE),EffectName[],IFERROR(MATCH(UI!$B$1,EffectName[#Headers],0),2),FALSE))</f>
        <v/>
      </c>
      <c r="R605" t="str">
        <f t="shared" si="66"/>
        <v/>
      </c>
      <c r="S605">
        <v>0</v>
      </c>
      <c r="T605" t="str">
        <f>IF(VALUE(S605)=0,"",VLOOKUP(VLOOKUP(S605,Tbl_Effect[],3,FALSE),EffectName[],IFERROR(MATCH(UI!$B$1,EffectName[#Headers],0),2),FALSE))</f>
        <v/>
      </c>
      <c r="U605" t="str">
        <f t="shared" si="67"/>
        <v/>
      </c>
      <c r="V605">
        <v>0</v>
      </c>
      <c r="W605" t="str">
        <f>IF(V605&lt;&gt;0,VLOOKUP(VLOOKUP(V605,Tbl_Effect[],3,FALSE),EffectName[],IFERROR(MATCH(UI!$B$1,EffectName[#Headers],0),2),FALSE),"")</f>
        <v/>
      </c>
      <c r="X605" t="str">
        <f t="shared" si="68"/>
        <v/>
      </c>
      <c r="Y605">
        <v>0</v>
      </c>
      <c r="Z605" t="str">
        <f>IF(Y605&lt;&gt;0,VLOOKUP(VLOOKUP(Y605,Tbl_Effect[],3,FALSE),EffectName[],IFERROR(MATCH(UI!$B$1,EffectName[#Headers],0),2),FALSE),"")</f>
        <v/>
      </c>
      <c r="AA605" t="str">
        <f t="shared" si="69"/>
        <v/>
      </c>
      <c r="AB605">
        <v>0</v>
      </c>
      <c r="AC605" t="str">
        <f>IF(AB605&lt;&gt;0,VLOOKUP(VLOOKUP(AB605,Tbl_Effect[],3,FALSE),EffectName[],IFERROR(MATCH(UI!$B$1,EffectName[#Headers],0),2),FALSE),"")</f>
        <v/>
      </c>
    </row>
    <row r="606" spans="8:29" x14ac:dyDescent="0.4">
      <c r="H606" t="str">
        <f t="shared" si="63"/>
        <v>1009021-端正的火燃情景 (紅)</v>
      </c>
      <c r="I606">
        <v>1009021</v>
      </c>
      <c r="J606" t="str">
        <f>_xlfn.IFNA(IF(I606&lt;&gt;0,VLOOKUP(VLOOKUP(I606,Tbl_Equip[],2,FALSE),Tbl_Color[],IFERROR(MATCH(UI!$B$1,Tbl_Color[#Headers],0),2),FALSE),""),"Unset")</f>
        <v>紅</v>
      </c>
      <c r="K606" t="str">
        <f>_xlfn.IFNA(IF(I606&lt;&gt;0,VLOOKUP(I606,ItemText[],IFERROR(MATCH(UI!$B$1,ItemText[#Headers],0),2),FALSE),""),"Unset")</f>
        <v>端正的火燃情景</v>
      </c>
      <c r="L606" t="str">
        <f t="shared" si="64"/>
        <v/>
      </c>
      <c r="M606">
        <v>0</v>
      </c>
      <c r="N606" t="str">
        <f>IF(VALUE(M606)=0,"",VLOOKUP(VLOOKUP(M606,Tbl_Effect[],3,FALSE),EffectName[],IFERROR(MATCH(UI!$B$1,EffectName[#Headers],0),2),FALSE))</f>
        <v/>
      </c>
      <c r="O606" t="str">
        <f t="shared" si="65"/>
        <v/>
      </c>
      <c r="P606">
        <v>0</v>
      </c>
      <c r="Q606" t="str">
        <f>IF(VALUE(P606)=0,"",VLOOKUP(VLOOKUP(P606,Tbl_Effect[],3,FALSE),EffectName[],IFERROR(MATCH(UI!$B$1,EffectName[#Headers],0),2),FALSE))</f>
        <v/>
      </c>
      <c r="R606" t="str">
        <f t="shared" si="66"/>
        <v/>
      </c>
      <c r="S606">
        <v>0</v>
      </c>
      <c r="T606" t="str">
        <f>IF(VALUE(S606)=0,"",VLOOKUP(VLOOKUP(S606,Tbl_Effect[],3,FALSE),EffectName[],IFERROR(MATCH(UI!$B$1,EffectName[#Headers],0),2),FALSE))</f>
        <v/>
      </c>
      <c r="U606" t="str">
        <f t="shared" si="67"/>
        <v/>
      </c>
      <c r="V606">
        <v>0</v>
      </c>
      <c r="W606" t="str">
        <f>IF(V606&lt;&gt;0,VLOOKUP(VLOOKUP(V606,Tbl_Effect[],3,FALSE),EffectName[],IFERROR(MATCH(UI!$B$1,EffectName[#Headers],0),2),FALSE),"")</f>
        <v/>
      </c>
      <c r="X606" t="str">
        <f t="shared" si="68"/>
        <v/>
      </c>
      <c r="Y606">
        <v>0</v>
      </c>
      <c r="Z606" t="str">
        <f>IF(Y606&lt;&gt;0,VLOOKUP(VLOOKUP(Y606,Tbl_Effect[],3,FALSE),EffectName[],IFERROR(MATCH(UI!$B$1,EffectName[#Headers],0),2),FALSE),"")</f>
        <v/>
      </c>
      <c r="AA606" t="str">
        <f t="shared" si="69"/>
        <v/>
      </c>
      <c r="AB606">
        <v>0</v>
      </c>
      <c r="AC606" t="str">
        <f>IF(AB606&lt;&gt;0,VLOOKUP(VLOOKUP(AB606,Tbl_Effect[],3,FALSE),EffectName[],IFERROR(MATCH(UI!$B$1,EffectName[#Headers],0),2),FALSE),"")</f>
        <v/>
      </c>
    </row>
    <row r="607" spans="8:29" x14ac:dyDescent="0.4">
      <c r="H607" t="str">
        <f t="shared" si="63"/>
        <v>1009022-遼闊的火燃情景 (紅)</v>
      </c>
      <c r="I607">
        <v>1009022</v>
      </c>
      <c r="J607" t="str">
        <f>_xlfn.IFNA(IF(I607&lt;&gt;0,VLOOKUP(VLOOKUP(I607,Tbl_Equip[],2,FALSE),Tbl_Color[],IFERROR(MATCH(UI!$B$1,Tbl_Color[#Headers],0),2),FALSE),""),"Unset")</f>
        <v>紅</v>
      </c>
      <c r="K607" t="str">
        <f>_xlfn.IFNA(IF(I607&lt;&gt;0,VLOOKUP(I607,ItemText[],IFERROR(MATCH(UI!$B$1,ItemText[#Headers],0),2),FALSE),""),"Unset")</f>
        <v>遼闊的火燃情景</v>
      </c>
      <c r="L607" t="str">
        <f t="shared" si="64"/>
        <v/>
      </c>
      <c r="M607">
        <v>0</v>
      </c>
      <c r="N607" t="str">
        <f>IF(VALUE(M607)=0,"",VLOOKUP(VLOOKUP(M607,Tbl_Effect[],3,FALSE),EffectName[],IFERROR(MATCH(UI!$B$1,EffectName[#Headers],0),2),FALSE))</f>
        <v/>
      </c>
      <c r="O607" t="str">
        <f t="shared" si="65"/>
        <v/>
      </c>
      <c r="P607">
        <v>0</v>
      </c>
      <c r="Q607" t="str">
        <f>IF(VALUE(P607)=0,"",VLOOKUP(VLOOKUP(P607,Tbl_Effect[],3,FALSE),EffectName[],IFERROR(MATCH(UI!$B$1,EffectName[#Headers],0),2),FALSE))</f>
        <v/>
      </c>
      <c r="R607" t="str">
        <f t="shared" si="66"/>
        <v/>
      </c>
      <c r="S607">
        <v>0</v>
      </c>
      <c r="T607" t="str">
        <f>IF(VALUE(S607)=0,"",VLOOKUP(VLOOKUP(S607,Tbl_Effect[],3,FALSE),EffectName[],IFERROR(MATCH(UI!$B$1,EffectName[#Headers],0),2),FALSE))</f>
        <v/>
      </c>
      <c r="U607" t="str">
        <f t="shared" si="67"/>
        <v/>
      </c>
      <c r="V607">
        <v>0</v>
      </c>
      <c r="W607" t="str">
        <f>IF(V607&lt;&gt;0,VLOOKUP(VLOOKUP(V607,Tbl_Effect[],3,FALSE),EffectName[],IFERROR(MATCH(UI!$B$1,EffectName[#Headers],0),2),FALSE),"")</f>
        <v/>
      </c>
      <c r="X607" t="str">
        <f t="shared" si="68"/>
        <v/>
      </c>
      <c r="Y607">
        <v>0</v>
      </c>
      <c r="Z607" t="str">
        <f>IF(Y607&lt;&gt;0,VLOOKUP(VLOOKUP(Y607,Tbl_Effect[],3,FALSE),EffectName[],IFERROR(MATCH(UI!$B$1,EffectName[#Headers],0),2),FALSE),"")</f>
        <v/>
      </c>
      <c r="AA607" t="str">
        <f t="shared" si="69"/>
        <v/>
      </c>
      <c r="AB607">
        <v>0</v>
      </c>
      <c r="AC607" t="str">
        <f>IF(AB607&lt;&gt;0,VLOOKUP(VLOOKUP(AB607,Tbl_Effect[],3,FALSE),EffectName[],IFERROR(MATCH(UI!$B$1,EffectName[#Headers],0),2),FALSE),"")</f>
        <v/>
      </c>
    </row>
    <row r="608" spans="8:29" x14ac:dyDescent="0.4">
      <c r="H608" t="str">
        <f t="shared" si="63"/>
        <v>1009100-細膩的水滴情景 (藍)</v>
      </c>
      <c r="I608">
        <v>1009100</v>
      </c>
      <c r="J608" t="str">
        <f>_xlfn.IFNA(IF(I608&lt;&gt;0,VLOOKUP(VLOOKUP(I608,Tbl_Equip[],2,FALSE),Tbl_Color[],IFERROR(MATCH(UI!$B$1,Tbl_Color[#Headers],0),2),FALSE),""),"Unset")</f>
        <v>藍</v>
      </c>
      <c r="K608" t="str">
        <f>_xlfn.IFNA(IF(I608&lt;&gt;0,VLOOKUP(I608,ItemText[],IFERROR(MATCH(UI!$B$1,ItemText[#Headers],0),2),FALSE),""),"Unset")</f>
        <v>細膩的水滴情景</v>
      </c>
      <c r="L608" t="str">
        <f t="shared" si="64"/>
        <v/>
      </c>
      <c r="M608">
        <v>0</v>
      </c>
      <c r="N608" t="str">
        <f>IF(VALUE(M608)=0,"",VLOOKUP(VLOOKUP(M608,Tbl_Effect[],3,FALSE),EffectName[],IFERROR(MATCH(UI!$B$1,EffectName[#Headers],0),2),FALSE))</f>
        <v/>
      </c>
      <c r="O608" t="str">
        <f t="shared" si="65"/>
        <v/>
      </c>
      <c r="P608">
        <v>0</v>
      </c>
      <c r="Q608" t="str">
        <f>IF(VALUE(P608)=0,"",VLOOKUP(VLOOKUP(P608,Tbl_Effect[],3,FALSE),EffectName[],IFERROR(MATCH(UI!$B$1,EffectName[#Headers],0),2),FALSE))</f>
        <v/>
      </c>
      <c r="R608" t="str">
        <f t="shared" si="66"/>
        <v/>
      </c>
      <c r="S608">
        <v>0</v>
      </c>
      <c r="T608" t="str">
        <f>IF(VALUE(S608)=0,"",VLOOKUP(VLOOKUP(S608,Tbl_Effect[],3,FALSE),EffectName[],IFERROR(MATCH(UI!$B$1,EffectName[#Headers],0),2),FALSE))</f>
        <v/>
      </c>
      <c r="U608" t="str">
        <f t="shared" si="67"/>
        <v/>
      </c>
      <c r="V608">
        <v>0</v>
      </c>
      <c r="W608" t="str">
        <f>IF(V608&lt;&gt;0,VLOOKUP(VLOOKUP(V608,Tbl_Effect[],3,FALSE),EffectName[],IFERROR(MATCH(UI!$B$1,EffectName[#Headers],0),2),FALSE),"")</f>
        <v/>
      </c>
      <c r="X608" t="str">
        <f t="shared" si="68"/>
        <v/>
      </c>
      <c r="Y608">
        <v>0</v>
      </c>
      <c r="Z608" t="str">
        <f>IF(Y608&lt;&gt;0,VLOOKUP(VLOOKUP(Y608,Tbl_Effect[],3,FALSE),EffectName[],IFERROR(MATCH(UI!$B$1,EffectName[#Headers],0),2),FALSE),"")</f>
        <v/>
      </c>
      <c r="AA608" t="str">
        <f t="shared" si="69"/>
        <v/>
      </c>
      <c r="AB608">
        <v>0</v>
      </c>
      <c r="AC608" t="str">
        <f>IF(AB608&lt;&gt;0,VLOOKUP(VLOOKUP(AB608,Tbl_Effect[],3,FALSE),EffectName[],IFERROR(MATCH(UI!$B$1,EffectName[#Headers],0),2),FALSE),"")</f>
        <v/>
      </c>
    </row>
    <row r="609" spans="8:29" x14ac:dyDescent="0.4">
      <c r="H609" t="str">
        <f t="shared" si="63"/>
        <v>1009101-端正的水滴情景 (藍)</v>
      </c>
      <c r="I609">
        <v>1009101</v>
      </c>
      <c r="J609" t="str">
        <f>_xlfn.IFNA(IF(I609&lt;&gt;0,VLOOKUP(VLOOKUP(I609,Tbl_Equip[],2,FALSE),Tbl_Color[],IFERROR(MATCH(UI!$B$1,Tbl_Color[#Headers],0),2),FALSE),""),"Unset")</f>
        <v>藍</v>
      </c>
      <c r="K609" t="str">
        <f>_xlfn.IFNA(IF(I609&lt;&gt;0,VLOOKUP(I609,ItemText[],IFERROR(MATCH(UI!$B$1,ItemText[#Headers],0),2),FALSE),""),"Unset")</f>
        <v>端正的水滴情景</v>
      </c>
      <c r="L609" t="str">
        <f t="shared" si="64"/>
        <v/>
      </c>
      <c r="M609">
        <v>0</v>
      </c>
      <c r="N609" t="str">
        <f>IF(VALUE(M609)=0,"",VLOOKUP(VLOOKUP(M609,Tbl_Effect[],3,FALSE),EffectName[],IFERROR(MATCH(UI!$B$1,EffectName[#Headers],0),2),FALSE))</f>
        <v/>
      </c>
      <c r="O609" t="str">
        <f t="shared" si="65"/>
        <v/>
      </c>
      <c r="P609">
        <v>0</v>
      </c>
      <c r="Q609" t="str">
        <f>IF(VALUE(P609)=0,"",VLOOKUP(VLOOKUP(P609,Tbl_Effect[],3,FALSE),EffectName[],IFERROR(MATCH(UI!$B$1,EffectName[#Headers],0),2),FALSE))</f>
        <v/>
      </c>
      <c r="R609" t="str">
        <f t="shared" si="66"/>
        <v/>
      </c>
      <c r="S609">
        <v>0</v>
      </c>
      <c r="T609" t="str">
        <f>IF(VALUE(S609)=0,"",VLOOKUP(VLOOKUP(S609,Tbl_Effect[],3,FALSE),EffectName[],IFERROR(MATCH(UI!$B$1,EffectName[#Headers],0),2),FALSE))</f>
        <v/>
      </c>
      <c r="U609" t="str">
        <f t="shared" si="67"/>
        <v/>
      </c>
      <c r="V609">
        <v>0</v>
      </c>
      <c r="W609" t="str">
        <f>IF(V609&lt;&gt;0,VLOOKUP(VLOOKUP(V609,Tbl_Effect[],3,FALSE),EffectName[],IFERROR(MATCH(UI!$B$1,EffectName[#Headers],0),2),FALSE),"")</f>
        <v/>
      </c>
      <c r="X609" t="str">
        <f t="shared" si="68"/>
        <v/>
      </c>
      <c r="Y609">
        <v>0</v>
      </c>
      <c r="Z609" t="str">
        <f>IF(Y609&lt;&gt;0,VLOOKUP(VLOOKUP(Y609,Tbl_Effect[],3,FALSE),EffectName[],IFERROR(MATCH(UI!$B$1,EffectName[#Headers],0),2),FALSE),"")</f>
        <v/>
      </c>
      <c r="AA609" t="str">
        <f t="shared" si="69"/>
        <v/>
      </c>
      <c r="AB609">
        <v>0</v>
      </c>
      <c r="AC609" t="str">
        <f>IF(AB609&lt;&gt;0,VLOOKUP(VLOOKUP(AB609,Tbl_Effect[],3,FALSE),EffectName[],IFERROR(MATCH(UI!$B$1,EffectName[#Headers],0),2),FALSE),"")</f>
        <v/>
      </c>
    </row>
    <row r="610" spans="8:29" x14ac:dyDescent="0.4">
      <c r="H610" t="str">
        <f t="shared" si="63"/>
        <v>1009102-遼闊的水滴情景 (藍)</v>
      </c>
      <c r="I610">
        <v>1009102</v>
      </c>
      <c r="J610" t="str">
        <f>_xlfn.IFNA(IF(I610&lt;&gt;0,VLOOKUP(VLOOKUP(I610,Tbl_Equip[],2,FALSE),Tbl_Color[],IFERROR(MATCH(UI!$B$1,Tbl_Color[#Headers],0),2),FALSE),""),"Unset")</f>
        <v>藍</v>
      </c>
      <c r="K610" t="str">
        <f>_xlfn.IFNA(IF(I610&lt;&gt;0,VLOOKUP(I610,ItemText[],IFERROR(MATCH(UI!$B$1,ItemText[#Headers],0),2),FALSE),""),"Unset")</f>
        <v>遼闊的水滴情景</v>
      </c>
      <c r="L610" t="str">
        <f t="shared" si="64"/>
        <v/>
      </c>
      <c r="M610">
        <v>0</v>
      </c>
      <c r="N610" t="str">
        <f>IF(VALUE(M610)=0,"",VLOOKUP(VLOOKUP(M610,Tbl_Effect[],3,FALSE),EffectName[],IFERROR(MATCH(UI!$B$1,EffectName[#Headers],0),2),FALSE))</f>
        <v/>
      </c>
      <c r="O610" t="str">
        <f t="shared" si="65"/>
        <v/>
      </c>
      <c r="P610">
        <v>0</v>
      </c>
      <c r="Q610" t="str">
        <f>IF(VALUE(P610)=0,"",VLOOKUP(VLOOKUP(P610,Tbl_Effect[],3,FALSE),EffectName[],IFERROR(MATCH(UI!$B$1,EffectName[#Headers],0),2),FALSE))</f>
        <v/>
      </c>
      <c r="R610" t="str">
        <f t="shared" si="66"/>
        <v/>
      </c>
      <c r="S610">
        <v>0</v>
      </c>
      <c r="T610" t="str">
        <f>IF(VALUE(S610)=0,"",VLOOKUP(VLOOKUP(S610,Tbl_Effect[],3,FALSE),EffectName[],IFERROR(MATCH(UI!$B$1,EffectName[#Headers],0),2),FALSE))</f>
        <v/>
      </c>
      <c r="U610" t="str">
        <f t="shared" si="67"/>
        <v/>
      </c>
      <c r="V610">
        <v>0</v>
      </c>
      <c r="W610" t="str">
        <f>IF(V610&lt;&gt;0,VLOOKUP(VLOOKUP(V610,Tbl_Effect[],3,FALSE),EffectName[],IFERROR(MATCH(UI!$B$1,EffectName[#Headers],0),2),FALSE),"")</f>
        <v/>
      </c>
      <c r="X610" t="str">
        <f t="shared" si="68"/>
        <v/>
      </c>
      <c r="Y610">
        <v>0</v>
      </c>
      <c r="Z610" t="str">
        <f>IF(Y610&lt;&gt;0,VLOOKUP(VLOOKUP(Y610,Tbl_Effect[],3,FALSE),EffectName[],IFERROR(MATCH(UI!$B$1,EffectName[#Headers],0),2),FALSE),"")</f>
        <v/>
      </c>
      <c r="AA610" t="str">
        <f t="shared" si="69"/>
        <v/>
      </c>
      <c r="AB610">
        <v>0</v>
      </c>
      <c r="AC610" t="str">
        <f>IF(AB610&lt;&gt;0,VLOOKUP(VLOOKUP(AB610,Tbl_Effect[],3,FALSE),EffectName[],IFERROR(MATCH(UI!$B$1,EffectName[#Headers],0),2),FALSE),"")</f>
        <v/>
      </c>
    </row>
    <row r="611" spans="8:29" x14ac:dyDescent="0.4">
      <c r="H611" t="str">
        <f t="shared" si="63"/>
        <v>1009110-細膩的水滴情景 (藍)</v>
      </c>
      <c r="I611">
        <v>1009110</v>
      </c>
      <c r="J611" t="str">
        <f>_xlfn.IFNA(IF(I611&lt;&gt;0,VLOOKUP(VLOOKUP(I611,Tbl_Equip[],2,FALSE),Tbl_Color[],IFERROR(MATCH(UI!$B$1,Tbl_Color[#Headers],0),2),FALSE),""),"Unset")</f>
        <v>藍</v>
      </c>
      <c r="K611" t="str">
        <f>_xlfn.IFNA(IF(I611&lt;&gt;0,VLOOKUP(I611,ItemText[],IFERROR(MATCH(UI!$B$1,ItemText[#Headers],0),2),FALSE),""),"Unset")</f>
        <v>細膩的水滴情景</v>
      </c>
      <c r="L611" t="str">
        <f t="shared" si="64"/>
        <v/>
      </c>
      <c r="M611">
        <v>0</v>
      </c>
      <c r="N611" t="str">
        <f>IF(VALUE(M611)=0,"",VLOOKUP(VLOOKUP(M611,Tbl_Effect[],3,FALSE),EffectName[],IFERROR(MATCH(UI!$B$1,EffectName[#Headers],0),2),FALSE))</f>
        <v/>
      </c>
      <c r="O611" t="str">
        <f t="shared" si="65"/>
        <v/>
      </c>
      <c r="P611">
        <v>0</v>
      </c>
      <c r="Q611" t="str">
        <f>IF(VALUE(P611)=0,"",VLOOKUP(VLOOKUP(P611,Tbl_Effect[],3,FALSE),EffectName[],IFERROR(MATCH(UI!$B$1,EffectName[#Headers],0),2),FALSE))</f>
        <v/>
      </c>
      <c r="R611" t="str">
        <f t="shared" si="66"/>
        <v/>
      </c>
      <c r="S611">
        <v>0</v>
      </c>
      <c r="T611" t="str">
        <f>IF(VALUE(S611)=0,"",VLOOKUP(VLOOKUP(S611,Tbl_Effect[],3,FALSE),EffectName[],IFERROR(MATCH(UI!$B$1,EffectName[#Headers],0),2),FALSE))</f>
        <v/>
      </c>
      <c r="U611" t="str">
        <f t="shared" si="67"/>
        <v/>
      </c>
      <c r="V611">
        <v>0</v>
      </c>
      <c r="W611" t="str">
        <f>IF(V611&lt;&gt;0,VLOOKUP(VLOOKUP(V611,Tbl_Effect[],3,FALSE),EffectName[],IFERROR(MATCH(UI!$B$1,EffectName[#Headers],0),2),FALSE),"")</f>
        <v/>
      </c>
      <c r="X611" t="str">
        <f t="shared" si="68"/>
        <v/>
      </c>
      <c r="Y611">
        <v>0</v>
      </c>
      <c r="Z611" t="str">
        <f>IF(Y611&lt;&gt;0,VLOOKUP(VLOOKUP(Y611,Tbl_Effect[],3,FALSE),EffectName[],IFERROR(MATCH(UI!$B$1,EffectName[#Headers],0),2),FALSE),"")</f>
        <v/>
      </c>
      <c r="AA611" t="str">
        <f t="shared" si="69"/>
        <v/>
      </c>
      <c r="AB611">
        <v>0</v>
      </c>
      <c r="AC611" t="str">
        <f>IF(AB611&lt;&gt;0,VLOOKUP(VLOOKUP(AB611,Tbl_Effect[],3,FALSE),EffectName[],IFERROR(MATCH(UI!$B$1,EffectName[#Headers],0),2),FALSE),"")</f>
        <v/>
      </c>
    </row>
    <row r="612" spans="8:29" x14ac:dyDescent="0.4">
      <c r="H612" t="str">
        <f t="shared" si="63"/>
        <v>1009111-端正的水滴情景 (藍)</v>
      </c>
      <c r="I612">
        <v>1009111</v>
      </c>
      <c r="J612" t="str">
        <f>_xlfn.IFNA(IF(I612&lt;&gt;0,VLOOKUP(VLOOKUP(I612,Tbl_Equip[],2,FALSE),Tbl_Color[],IFERROR(MATCH(UI!$B$1,Tbl_Color[#Headers],0),2),FALSE),""),"Unset")</f>
        <v>藍</v>
      </c>
      <c r="K612" t="str">
        <f>_xlfn.IFNA(IF(I612&lt;&gt;0,VLOOKUP(I612,ItemText[],IFERROR(MATCH(UI!$B$1,ItemText[#Headers],0),2),FALSE),""),"Unset")</f>
        <v>端正的水滴情景</v>
      </c>
      <c r="L612" t="str">
        <f t="shared" si="64"/>
        <v/>
      </c>
      <c r="M612">
        <v>0</v>
      </c>
      <c r="N612" t="str">
        <f>IF(VALUE(M612)=0,"",VLOOKUP(VLOOKUP(M612,Tbl_Effect[],3,FALSE),EffectName[],IFERROR(MATCH(UI!$B$1,EffectName[#Headers],0),2),FALSE))</f>
        <v/>
      </c>
      <c r="O612" t="str">
        <f t="shared" si="65"/>
        <v/>
      </c>
      <c r="P612">
        <v>0</v>
      </c>
      <c r="Q612" t="str">
        <f>IF(VALUE(P612)=0,"",VLOOKUP(VLOOKUP(P612,Tbl_Effect[],3,FALSE),EffectName[],IFERROR(MATCH(UI!$B$1,EffectName[#Headers],0),2),FALSE))</f>
        <v/>
      </c>
      <c r="R612" t="str">
        <f t="shared" si="66"/>
        <v/>
      </c>
      <c r="S612">
        <v>0</v>
      </c>
      <c r="T612" t="str">
        <f>IF(VALUE(S612)=0,"",VLOOKUP(VLOOKUP(S612,Tbl_Effect[],3,FALSE),EffectName[],IFERROR(MATCH(UI!$B$1,EffectName[#Headers],0),2),FALSE))</f>
        <v/>
      </c>
      <c r="U612" t="str">
        <f t="shared" si="67"/>
        <v/>
      </c>
      <c r="V612">
        <v>0</v>
      </c>
      <c r="W612" t="str">
        <f>IF(V612&lt;&gt;0,VLOOKUP(VLOOKUP(V612,Tbl_Effect[],3,FALSE),EffectName[],IFERROR(MATCH(UI!$B$1,EffectName[#Headers],0),2),FALSE),"")</f>
        <v/>
      </c>
      <c r="X612" t="str">
        <f t="shared" si="68"/>
        <v/>
      </c>
      <c r="Y612">
        <v>0</v>
      </c>
      <c r="Z612" t="str">
        <f>IF(Y612&lt;&gt;0,VLOOKUP(VLOOKUP(Y612,Tbl_Effect[],3,FALSE),EffectName[],IFERROR(MATCH(UI!$B$1,EffectName[#Headers],0),2),FALSE),"")</f>
        <v/>
      </c>
      <c r="AA612" t="str">
        <f t="shared" si="69"/>
        <v/>
      </c>
      <c r="AB612">
        <v>0</v>
      </c>
      <c r="AC612" t="str">
        <f>IF(AB612&lt;&gt;0,VLOOKUP(VLOOKUP(AB612,Tbl_Effect[],3,FALSE),EffectName[],IFERROR(MATCH(UI!$B$1,EffectName[#Headers],0),2),FALSE),"")</f>
        <v/>
      </c>
    </row>
    <row r="613" spans="8:29" x14ac:dyDescent="0.4">
      <c r="H613" t="str">
        <f t="shared" si="63"/>
        <v>1009112-遼闊的水滴情景 (藍)</v>
      </c>
      <c r="I613">
        <v>1009112</v>
      </c>
      <c r="J613" t="str">
        <f>_xlfn.IFNA(IF(I613&lt;&gt;0,VLOOKUP(VLOOKUP(I613,Tbl_Equip[],2,FALSE),Tbl_Color[],IFERROR(MATCH(UI!$B$1,Tbl_Color[#Headers],0),2),FALSE),""),"Unset")</f>
        <v>藍</v>
      </c>
      <c r="K613" t="str">
        <f>_xlfn.IFNA(IF(I613&lt;&gt;0,VLOOKUP(I613,ItemText[],IFERROR(MATCH(UI!$B$1,ItemText[#Headers],0),2),FALSE),""),"Unset")</f>
        <v>遼闊的水滴情景</v>
      </c>
      <c r="L613" t="str">
        <f t="shared" si="64"/>
        <v/>
      </c>
      <c r="M613">
        <v>0</v>
      </c>
      <c r="N613" t="str">
        <f>IF(VALUE(M613)=0,"",VLOOKUP(VLOOKUP(M613,Tbl_Effect[],3,FALSE),EffectName[],IFERROR(MATCH(UI!$B$1,EffectName[#Headers],0),2),FALSE))</f>
        <v/>
      </c>
      <c r="O613" t="str">
        <f t="shared" si="65"/>
        <v/>
      </c>
      <c r="P613">
        <v>0</v>
      </c>
      <c r="Q613" t="str">
        <f>IF(VALUE(P613)=0,"",VLOOKUP(VLOOKUP(P613,Tbl_Effect[],3,FALSE),EffectName[],IFERROR(MATCH(UI!$B$1,EffectName[#Headers],0),2),FALSE))</f>
        <v/>
      </c>
      <c r="R613" t="str">
        <f t="shared" si="66"/>
        <v/>
      </c>
      <c r="S613">
        <v>0</v>
      </c>
      <c r="T613" t="str">
        <f>IF(VALUE(S613)=0,"",VLOOKUP(VLOOKUP(S613,Tbl_Effect[],3,FALSE),EffectName[],IFERROR(MATCH(UI!$B$1,EffectName[#Headers],0),2),FALSE))</f>
        <v/>
      </c>
      <c r="U613" t="str">
        <f t="shared" si="67"/>
        <v/>
      </c>
      <c r="V613">
        <v>0</v>
      </c>
      <c r="W613" t="str">
        <f>IF(V613&lt;&gt;0,VLOOKUP(VLOOKUP(V613,Tbl_Effect[],3,FALSE),EffectName[],IFERROR(MATCH(UI!$B$1,EffectName[#Headers],0),2),FALSE),"")</f>
        <v/>
      </c>
      <c r="X613" t="str">
        <f t="shared" si="68"/>
        <v/>
      </c>
      <c r="Y613">
        <v>0</v>
      </c>
      <c r="Z613" t="str">
        <f>IF(Y613&lt;&gt;0,VLOOKUP(VLOOKUP(Y613,Tbl_Effect[],3,FALSE),EffectName[],IFERROR(MATCH(UI!$B$1,EffectName[#Headers],0),2),FALSE),"")</f>
        <v/>
      </c>
      <c r="AA613" t="str">
        <f t="shared" si="69"/>
        <v/>
      </c>
      <c r="AB613">
        <v>0</v>
      </c>
      <c r="AC613" t="str">
        <f>IF(AB613&lt;&gt;0,VLOOKUP(VLOOKUP(AB613,Tbl_Effect[],3,FALSE),EffectName[],IFERROR(MATCH(UI!$B$1,EffectName[#Headers],0),2),FALSE),"")</f>
        <v/>
      </c>
    </row>
    <row r="614" spans="8:29" x14ac:dyDescent="0.4">
      <c r="H614" t="str">
        <f t="shared" si="63"/>
        <v>1009120-細膩的水滴情景 (藍)</v>
      </c>
      <c r="I614">
        <v>1009120</v>
      </c>
      <c r="J614" t="str">
        <f>_xlfn.IFNA(IF(I614&lt;&gt;0,VLOOKUP(VLOOKUP(I614,Tbl_Equip[],2,FALSE),Tbl_Color[],IFERROR(MATCH(UI!$B$1,Tbl_Color[#Headers],0),2),FALSE),""),"Unset")</f>
        <v>藍</v>
      </c>
      <c r="K614" t="str">
        <f>_xlfn.IFNA(IF(I614&lt;&gt;0,VLOOKUP(I614,ItemText[],IFERROR(MATCH(UI!$B$1,ItemText[#Headers],0),2),FALSE),""),"Unset")</f>
        <v>細膩的水滴情景</v>
      </c>
      <c r="L614" t="str">
        <f t="shared" si="64"/>
        <v/>
      </c>
      <c r="M614">
        <v>0</v>
      </c>
      <c r="N614" t="str">
        <f>IF(VALUE(M614)=0,"",VLOOKUP(VLOOKUP(M614,Tbl_Effect[],3,FALSE),EffectName[],IFERROR(MATCH(UI!$B$1,EffectName[#Headers],0),2),FALSE))</f>
        <v/>
      </c>
      <c r="O614" t="str">
        <f t="shared" si="65"/>
        <v/>
      </c>
      <c r="P614">
        <v>0</v>
      </c>
      <c r="Q614" t="str">
        <f>IF(VALUE(P614)=0,"",VLOOKUP(VLOOKUP(P614,Tbl_Effect[],3,FALSE),EffectName[],IFERROR(MATCH(UI!$B$1,EffectName[#Headers],0),2),FALSE))</f>
        <v/>
      </c>
      <c r="R614" t="str">
        <f t="shared" si="66"/>
        <v/>
      </c>
      <c r="S614">
        <v>0</v>
      </c>
      <c r="T614" t="str">
        <f>IF(VALUE(S614)=0,"",VLOOKUP(VLOOKUP(S614,Tbl_Effect[],3,FALSE),EffectName[],IFERROR(MATCH(UI!$B$1,EffectName[#Headers],0),2),FALSE))</f>
        <v/>
      </c>
      <c r="U614" t="str">
        <f t="shared" si="67"/>
        <v/>
      </c>
      <c r="V614">
        <v>0</v>
      </c>
      <c r="W614" t="str">
        <f>IF(V614&lt;&gt;0,VLOOKUP(VLOOKUP(V614,Tbl_Effect[],3,FALSE),EffectName[],IFERROR(MATCH(UI!$B$1,EffectName[#Headers],0),2),FALSE),"")</f>
        <v/>
      </c>
      <c r="X614" t="str">
        <f t="shared" si="68"/>
        <v/>
      </c>
      <c r="Y614">
        <v>0</v>
      </c>
      <c r="Z614" t="str">
        <f>IF(Y614&lt;&gt;0,VLOOKUP(VLOOKUP(Y614,Tbl_Effect[],3,FALSE),EffectName[],IFERROR(MATCH(UI!$B$1,EffectName[#Headers],0),2),FALSE),"")</f>
        <v/>
      </c>
      <c r="AA614" t="str">
        <f t="shared" si="69"/>
        <v/>
      </c>
      <c r="AB614">
        <v>0</v>
      </c>
      <c r="AC614" t="str">
        <f>IF(AB614&lt;&gt;0,VLOOKUP(VLOOKUP(AB614,Tbl_Effect[],3,FALSE),EffectName[],IFERROR(MATCH(UI!$B$1,EffectName[#Headers],0),2),FALSE),"")</f>
        <v/>
      </c>
    </row>
    <row r="615" spans="8:29" x14ac:dyDescent="0.4">
      <c r="H615" t="str">
        <f t="shared" si="63"/>
        <v>1009121-端正的水滴情景 (藍)</v>
      </c>
      <c r="I615">
        <v>1009121</v>
      </c>
      <c r="J615" t="str">
        <f>_xlfn.IFNA(IF(I615&lt;&gt;0,VLOOKUP(VLOOKUP(I615,Tbl_Equip[],2,FALSE),Tbl_Color[],IFERROR(MATCH(UI!$B$1,Tbl_Color[#Headers],0),2),FALSE),""),"Unset")</f>
        <v>藍</v>
      </c>
      <c r="K615" t="str">
        <f>_xlfn.IFNA(IF(I615&lt;&gt;0,VLOOKUP(I615,ItemText[],IFERROR(MATCH(UI!$B$1,ItemText[#Headers],0),2),FALSE),""),"Unset")</f>
        <v>端正的水滴情景</v>
      </c>
      <c r="L615" t="str">
        <f t="shared" si="64"/>
        <v/>
      </c>
      <c r="M615">
        <v>0</v>
      </c>
      <c r="N615" t="str">
        <f>IF(VALUE(M615)=0,"",VLOOKUP(VLOOKUP(M615,Tbl_Effect[],3,FALSE),EffectName[],IFERROR(MATCH(UI!$B$1,EffectName[#Headers],0),2),FALSE))</f>
        <v/>
      </c>
      <c r="O615" t="str">
        <f t="shared" si="65"/>
        <v/>
      </c>
      <c r="P615">
        <v>0</v>
      </c>
      <c r="Q615" t="str">
        <f>IF(VALUE(P615)=0,"",VLOOKUP(VLOOKUP(P615,Tbl_Effect[],3,FALSE),EffectName[],IFERROR(MATCH(UI!$B$1,EffectName[#Headers],0),2),FALSE))</f>
        <v/>
      </c>
      <c r="R615" t="str">
        <f t="shared" si="66"/>
        <v/>
      </c>
      <c r="S615">
        <v>0</v>
      </c>
      <c r="T615" t="str">
        <f>IF(VALUE(S615)=0,"",VLOOKUP(VLOOKUP(S615,Tbl_Effect[],3,FALSE),EffectName[],IFERROR(MATCH(UI!$B$1,EffectName[#Headers],0),2),FALSE))</f>
        <v/>
      </c>
      <c r="U615" t="str">
        <f t="shared" si="67"/>
        <v/>
      </c>
      <c r="V615">
        <v>0</v>
      </c>
      <c r="W615" t="str">
        <f>IF(V615&lt;&gt;0,VLOOKUP(VLOOKUP(V615,Tbl_Effect[],3,FALSE),EffectName[],IFERROR(MATCH(UI!$B$1,EffectName[#Headers],0),2),FALSE),"")</f>
        <v/>
      </c>
      <c r="X615" t="str">
        <f t="shared" si="68"/>
        <v/>
      </c>
      <c r="Y615">
        <v>0</v>
      </c>
      <c r="Z615" t="str">
        <f>IF(Y615&lt;&gt;0,VLOOKUP(VLOOKUP(Y615,Tbl_Effect[],3,FALSE),EffectName[],IFERROR(MATCH(UI!$B$1,EffectName[#Headers],0),2),FALSE),"")</f>
        <v/>
      </c>
      <c r="AA615" t="str">
        <f t="shared" si="69"/>
        <v/>
      </c>
      <c r="AB615">
        <v>0</v>
      </c>
      <c r="AC615" t="str">
        <f>IF(AB615&lt;&gt;0,VLOOKUP(VLOOKUP(AB615,Tbl_Effect[],3,FALSE),EffectName[],IFERROR(MATCH(UI!$B$1,EffectName[#Headers],0),2),FALSE),"")</f>
        <v/>
      </c>
    </row>
    <row r="616" spans="8:29" x14ac:dyDescent="0.4">
      <c r="H616" t="str">
        <f t="shared" si="63"/>
        <v>1009122-遼闊的水滴情景 (藍)</v>
      </c>
      <c r="I616">
        <v>1009122</v>
      </c>
      <c r="J616" t="str">
        <f>_xlfn.IFNA(IF(I616&lt;&gt;0,VLOOKUP(VLOOKUP(I616,Tbl_Equip[],2,FALSE),Tbl_Color[],IFERROR(MATCH(UI!$B$1,Tbl_Color[#Headers],0),2),FALSE),""),"Unset")</f>
        <v>藍</v>
      </c>
      <c r="K616" t="str">
        <f>_xlfn.IFNA(IF(I616&lt;&gt;0,VLOOKUP(I616,ItemText[],IFERROR(MATCH(UI!$B$1,ItemText[#Headers],0),2),FALSE),""),"Unset")</f>
        <v>遼闊的水滴情景</v>
      </c>
      <c r="L616" t="str">
        <f t="shared" si="64"/>
        <v/>
      </c>
      <c r="M616">
        <v>0</v>
      </c>
      <c r="N616" t="str">
        <f>IF(VALUE(M616)=0,"",VLOOKUP(VLOOKUP(M616,Tbl_Effect[],3,FALSE),EffectName[],IFERROR(MATCH(UI!$B$1,EffectName[#Headers],0),2),FALSE))</f>
        <v/>
      </c>
      <c r="O616" t="str">
        <f t="shared" si="65"/>
        <v/>
      </c>
      <c r="P616">
        <v>0</v>
      </c>
      <c r="Q616" t="str">
        <f>IF(VALUE(P616)=0,"",VLOOKUP(VLOOKUP(P616,Tbl_Effect[],3,FALSE),EffectName[],IFERROR(MATCH(UI!$B$1,EffectName[#Headers],0),2),FALSE))</f>
        <v/>
      </c>
      <c r="R616" t="str">
        <f t="shared" si="66"/>
        <v/>
      </c>
      <c r="S616">
        <v>0</v>
      </c>
      <c r="T616" t="str">
        <f>IF(VALUE(S616)=0,"",VLOOKUP(VLOOKUP(S616,Tbl_Effect[],3,FALSE),EffectName[],IFERROR(MATCH(UI!$B$1,EffectName[#Headers],0),2),FALSE))</f>
        <v/>
      </c>
      <c r="U616" t="str">
        <f t="shared" si="67"/>
        <v/>
      </c>
      <c r="V616">
        <v>0</v>
      </c>
      <c r="W616" t="str">
        <f>IF(V616&lt;&gt;0,VLOOKUP(VLOOKUP(V616,Tbl_Effect[],3,FALSE),EffectName[],IFERROR(MATCH(UI!$B$1,EffectName[#Headers],0),2),FALSE),"")</f>
        <v/>
      </c>
      <c r="X616" t="str">
        <f t="shared" si="68"/>
        <v/>
      </c>
      <c r="Y616">
        <v>0</v>
      </c>
      <c r="Z616" t="str">
        <f>IF(Y616&lt;&gt;0,VLOOKUP(VLOOKUP(Y616,Tbl_Effect[],3,FALSE),EffectName[],IFERROR(MATCH(UI!$B$1,EffectName[#Headers],0),2),FALSE),"")</f>
        <v/>
      </c>
      <c r="AA616" t="str">
        <f t="shared" si="69"/>
        <v/>
      </c>
      <c r="AB616">
        <v>0</v>
      </c>
      <c r="AC616" t="str">
        <f>IF(AB616&lt;&gt;0,VLOOKUP(VLOOKUP(AB616,Tbl_Effect[],3,FALSE),EffectName[],IFERROR(MATCH(UI!$B$1,EffectName[#Headers],0),2),FALSE),"")</f>
        <v/>
      </c>
    </row>
    <row r="617" spans="8:29" x14ac:dyDescent="0.4">
      <c r="H617" t="str">
        <f t="shared" si="63"/>
        <v>1009200-細膩的光耀情景 (黃)</v>
      </c>
      <c r="I617">
        <v>1009200</v>
      </c>
      <c r="J617" t="str">
        <f>_xlfn.IFNA(IF(I617&lt;&gt;0,VLOOKUP(VLOOKUP(I617,Tbl_Equip[],2,FALSE),Tbl_Color[],IFERROR(MATCH(UI!$B$1,Tbl_Color[#Headers],0),2),FALSE),""),"Unset")</f>
        <v>黃</v>
      </c>
      <c r="K617" t="str">
        <f>_xlfn.IFNA(IF(I617&lt;&gt;0,VLOOKUP(I617,ItemText[],IFERROR(MATCH(UI!$B$1,ItemText[#Headers],0),2),FALSE),""),"Unset")</f>
        <v>細膩的光耀情景</v>
      </c>
      <c r="L617" t="str">
        <f t="shared" si="64"/>
        <v/>
      </c>
      <c r="M617">
        <v>0</v>
      </c>
      <c r="N617" t="str">
        <f>IF(VALUE(M617)=0,"",VLOOKUP(VLOOKUP(M617,Tbl_Effect[],3,FALSE),EffectName[],IFERROR(MATCH(UI!$B$1,EffectName[#Headers],0),2),FALSE))</f>
        <v/>
      </c>
      <c r="O617" t="str">
        <f t="shared" si="65"/>
        <v/>
      </c>
      <c r="P617">
        <v>0</v>
      </c>
      <c r="Q617" t="str">
        <f>IF(VALUE(P617)=0,"",VLOOKUP(VLOOKUP(P617,Tbl_Effect[],3,FALSE),EffectName[],IFERROR(MATCH(UI!$B$1,EffectName[#Headers],0),2),FALSE))</f>
        <v/>
      </c>
      <c r="R617" t="str">
        <f t="shared" si="66"/>
        <v/>
      </c>
      <c r="S617">
        <v>0</v>
      </c>
      <c r="T617" t="str">
        <f>IF(VALUE(S617)=0,"",VLOOKUP(VLOOKUP(S617,Tbl_Effect[],3,FALSE),EffectName[],IFERROR(MATCH(UI!$B$1,EffectName[#Headers],0),2),FALSE))</f>
        <v/>
      </c>
      <c r="U617" t="str">
        <f t="shared" si="67"/>
        <v/>
      </c>
      <c r="V617">
        <v>0</v>
      </c>
      <c r="W617" t="str">
        <f>IF(V617&lt;&gt;0,VLOOKUP(VLOOKUP(V617,Tbl_Effect[],3,FALSE),EffectName[],IFERROR(MATCH(UI!$B$1,EffectName[#Headers],0),2),FALSE),"")</f>
        <v/>
      </c>
      <c r="X617" t="str">
        <f t="shared" si="68"/>
        <v/>
      </c>
      <c r="Y617">
        <v>0</v>
      </c>
      <c r="Z617" t="str">
        <f>IF(Y617&lt;&gt;0,VLOOKUP(VLOOKUP(Y617,Tbl_Effect[],3,FALSE),EffectName[],IFERROR(MATCH(UI!$B$1,EffectName[#Headers],0),2),FALSE),"")</f>
        <v/>
      </c>
      <c r="AA617" t="str">
        <f t="shared" si="69"/>
        <v/>
      </c>
      <c r="AB617">
        <v>0</v>
      </c>
      <c r="AC617" t="str">
        <f>IF(AB617&lt;&gt;0,VLOOKUP(VLOOKUP(AB617,Tbl_Effect[],3,FALSE),EffectName[],IFERROR(MATCH(UI!$B$1,EffectName[#Headers],0),2),FALSE),"")</f>
        <v/>
      </c>
    </row>
    <row r="618" spans="8:29" x14ac:dyDescent="0.4">
      <c r="H618" t="str">
        <f t="shared" si="63"/>
        <v>1009201-端正的光耀情景 (黃)</v>
      </c>
      <c r="I618">
        <v>1009201</v>
      </c>
      <c r="J618" t="str">
        <f>_xlfn.IFNA(IF(I618&lt;&gt;0,VLOOKUP(VLOOKUP(I618,Tbl_Equip[],2,FALSE),Tbl_Color[],IFERROR(MATCH(UI!$B$1,Tbl_Color[#Headers],0),2),FALSE),""),"Unset")</f>
        <v>黃</v>
      </c>
      <c r="K618" t="str">
        <f>_xlfn.IFNA(IF(I618&lt;&gt;0,VLOOKUP(I618,ItemText[],IFERROR(MATCH(UI!$B$1,ItemText[#Headers],0),2),FALSE),""),"Unset")</f>
        <v>端正的光耀情景</v>
      </c>
      <c r="L618" t="str">
        <f t="shared" si="64"/>
        <v/>
      </c>
      <c r="M618">
        <v>0</v>
      </c>
      <c r="N618" t="str">
        <f>IF(VALUE(M618)=0,"",VLOOKUP(VLOOKUP(M618,Tbl_Effect[],3,FALSE),EffectName[],IFERROR(MATCH(UI!$B$1,EffectName[#Headers],0),2),FALSE))</f>
        <v/>
      </c>
      <c r="O618" t="str">
        <f t="shared" si="65"/>
        <v/>
      </c>
      <c r="P618">
        <v>0</v>
      </c>
      <c r="Q618" t="str">
        <f>IF(VALUE(P618)=0,"",VLOOKUP(VLOOKUP(P618,Tbl_Effect[],3,FALSE),EffectName[],IFERROR(MATCH(UI!$B$1,EffectName[#Headers],0),2),FALSE))</f>
        <v/>
      </c>
      <c r="R618" t="str">
        <f t="shared" si="66"/>
        <v/>
      </c>
      <c r="S618">
        <v>0</v>
      </c>
      <c r="T618" t="str">
        <f>IF(VALUE(S618)=0,"",VLOOKUP(VLOOKUP(S618,Tbl_Effect[],3,FALSE),EffectName[],IFERROR(MATCH(UI!$B$1,EffectName[#Headers],0),2),FALSE))</f>
        <v/>
      </c>
      <c r="U618" t="str">
        <f t="shared" si="67"/>
        <v/>
      </c>
      <c r="V618">
        <v>0</v>
      </c>
      <c r="W618" t="str">
        <f>IF(V618&lt;&gt;0,VLOOKUP(VLOOKUP(V618,Tbl_Effect[],3,FALSE),EffectName[],IFERROR(MATCH(UI!$B$1,EffectName[#Headers],0),2),FALSE),"")</f>
        <v/>
      </c>
      <c r="X618" t="str">
        <f t="shared" si="68"/>
        <v/>
      </c>
      <c r="Y618">
        <v>0</v>
      </c>
      <c r="Z618" t="str">
        <f>IF(Y618&lt;&gt;0,VLOOKUP(VLOOKUP(Y618,Tbl_Effect[],3,FALSE),EffectName[],IFERROR(MATCH(UI!$B$1,EffectName[#Headers],0),2),FALSE),"")</f>
        <v/>
      </c>
      <c r="AA618" t="str">
        <f t="shared" si="69"/>
        <v/>
      </c>
      <c r="AB618">
        <v>0</v>
      </c>
      <c r="AC618" t="str">
        <f>IF(AB618&lt;&gt;0,VLOOKUP(VLOOKUP(AB618,Tbl_Effect[],3,FALSE),EffectName[],IFERROR(MATCH(UI!$B$1,EffectName[#Headers],0),2),FALSE),"")</f>
        <v/>
      </c>
    </row>
    <row r="619" spans="8:29" x14ac:dyDescent="0.4">
      <c r="H619" t="str">
        <f t="shared" si="63"/>
        <v>1009202-遼闊的光耀情景 (黃)</v>
      </c>
      <c r="I619">
        <v>1009202</v>
      </c>
      <c r="J619" t="str">
        <f>_xlfn.IFNA(IF(I619&lt;&gt;0,VLOOKUP(VLOOKUP(I619,Tbl_Equip[],2,FALSE),Tbl_Color[],IFERROR(MATCH(UI!$B$1,Tbl_Color[#Headers],0),2),FALSE),""),"Unset")</f>
        <v>黃</v>
      </c>
      <c r="K619" t="str">
        <f>_xlfn.IFNA(IF(I619&lt;&gt;0,VLOOKUP(I619,ItemText[],IFERROR(MATCH(UI!$B$1,ItemText[#Headers],0),2),FALSE),""),"Unset")</f>
        <v>遼闊的光耀情景</v>
      </c>
      <c r="L619" t="str">
        <f t="shared" si="64"/>
        <v/>
      </c>
      <c r="M619">
        <v>0</v>
      </c>
      <c r="N619" t="str">
        <f>IF(VALUE(M619)=0,"",VLOOKUP(VLOOKUP(M619,Tbl_Effect[],3,FALSE),EffectName[],IFERROR(MATCH(UI!$B$1,EffectName[#Headers],0),2),FALSE))</f>
        <v/>
      </c>
      <c r="O619" t="str">
        <f t="shared" si="65"/>
        <v/>
      </c>
      <c r="P619">
        <v>0</v>
      </c>
      <c r="Q619" t="str">
        <f>IF(VALUE(P619)=0,"",VLOOKUP(VLOOKUP(P619,Tbl_Effect[],3,FALSE),EffectName[],IFERROR(MATCH(UI!$B$1,EffectName[#Headers],0),2),FALSE))</f>
        <v/>
      </c>
      <c r="R619" t="str">
        <f t="shared" si="66"/>
        <v/>
      </c>
      <c r="S619">
        <v>0</v>
      </c>
      <c r="T619" t="str">
        <f>IF(VALUE(S619)=0,"",VLOOKUP(VLOOKUP(S619,Tbl_Effect[],3,FALSE),EffectName[],IFERROR(MATCH(UI!$B$1,EffectName[#Headers],0),2),FALSE))</f>
        <v/>
      </c>
      <c r="U619" t="str">
        <f t="shared" si="67"/>
        <v/>
      </c>
      <c r="V619">
        <v>0</v>
      </c>
      <c r="W619" t="str">
        <f>IF(V619&lt;&gt;0,VLOOKUP(VLOOKUP(V619,Tbl_Effect[],3,FALSE),EffectName[],IFERROR(MATCH(UI!$B$1,EffectName[#Headers],0),2),FALSE),"")</f>
        <v/>
      </c>
      <c r="X619" t="str">
        <f t="shared" si="68"/>
        <v/>
      </c>
      <c r="Y619">
        <v>0</v>
      </c>
      <c r="Z619" t="str">
        <f>IF(Y619&lt;&gt;0,VLOOKUP(VLOOKUP(Y619,Tbl_Effect[],3,FALSE),EffectName[],IFERROR(MATCH(UI!$B$1,EffectName[#Headers],0),2),FALSE),"")</f>
        <v/>
      </c>
      <c r="AA619" t="str">
        <f t="shared" si="69"/>
        <v/>
      </c>
      <c r="AB619">
        <v>0</v>
      </c>
      <c r="AC619" t="str">
        <f>IF(AB619&lt;&gt;0,VLOOKUP(VLOOKUP(AB619,Tbl_Effect[],3,FALSE),EffectName[],IFERROR(MATCH(UI!$B$1,EffectName[#Headers],0),2),FALSE),"")</f>
        <v/>
      </c>
    </row>
    <row r="620" spans="8:29" x14ac:dyDescent="0.4">
      <c r="H620" t="str">
        <f t="shared" si="63"/>
        <v>1009210-細膩的光耀情景 (黃)</v>
      </c>
      <c r="I620">
        <v>1009210</v>
      </c>
      <c r="J620" t="str">
        <f>_xlfn.IFNA(IF(I620&lt;&gt;0,VLOOKUP(VLOOKUP(I620,Tbl_Equip[],2,FALSE),Tbl_Color[],IFERROR(MATCH(UI!$B$1,Tbl_Color[#Headers],0),2),FALSE),""),"Unset")</f>
        <v>黃</v>
      </c>
      <c r="K620" t="str">
        <f>_xlfn.IFNA(IF(I620&lt;&gt;0,VLOOKUP(I620,ItemText[],IFERROR(MATCH(UI!$B$1,ItemText[#Headers],0),2),FALSE),""),"Unset")</f>
        <v>細膩的光耀情景</v>
      </c>
      <c r="L620" t="str">
        <f t="shared" si="64"/>
        <v/>
      </c>
      <c r="M620">
        <v>0</v>
      </c>
      <c r="N620" t="str">
        <f>IF(VALUE(M620)=0,"",VLOOKUP(VLOOKUP(M620,Tbl_Effect[],3,FALSE),EffectName[],IFERROR(MATCH(UI!$B$1,EffectName[#Headers],0),2),FALSE))</f>
        <v/>
      </c>
      <c r="O620" t="str">
        <f t="shared" si="65"/>
        <v/>
      </c>
      <c r="P620">
        <v>0</v>
      </c>
      <c r="Q620" t="str">
        <f>IF(VALUE(P620)=0,"",VLOOKUP(VLOOKUP(P620,Tbl_Effect[],3,FALSE),EffectName[],IFERROR(MATCH(UI!$B$1,EffectName[#Headers],0),2),FALSE))</f>
        <v/>
      </c>
      <c r="R620" t="str">
        <f t="shared" si="66"/>
        <v/>
      </c>
      <c r="S620">
        <v>0</v>
      </c>
      <c r="T620" t="str">
        <f>IF(VALUE(S620)=0,"",VLOOKUP(VLOOKUP(S620,Tbl_Effect[],3,FALSE),EffectName[],IFERROR(MATCH(UI!$B$1,EffectName[#Headers],0),2),FALSE))</f>
        <v/>
      </c>
      <c r="U620" t="str">
        <f t="shared" si="67"/>
        <v/>
      </c>
      <c r="V620">
        <v>0</v>
      </c>
      <c r="W620" t="str">
        <f>IF(V620&lt;&gt;0,VLOOKUP(VLOOKUP(V620,Tbl_Effect[],3,FALSE),EffectName[],IFERROR(MATCH(UI!$B$1,EffectName[#Headers],0),2),FALSE),"")</f>
        <v/>
      </c>
      <c r="X620" t="str">
        <f t="shared" si="68"/>
        <v/>
      </c>
      <c r="Y620">
        <v>0</v>
      </c>
      <c r="Z620" t="str">
        <f>IF(Y620&lt;&gt;0,VLOOKUP(VLOOKUP(Y620,Tbl_Effect[],3,FALSE),EffectName[],IFERROR(MATCH(UI!$B$1,EffectName[#Headers],0),2),FALSE),"")</f>
        <v/>
      </c>
      <c r="AA620" t="str">
        <f t="shared" si="69"/>
        <v/>
      </c>
      <c r="AB620">
        <v>0</v>
      </c>
      <c r="AC620" t="str">
        <f>IF(AB620&lt;&gt;0,VLOOKUP(VLOOKUP(AB620,Tbl_Effect[],3,FALSE),EffectName[],IFERROR(MATCH(UI!$B$1,EffectName[#Headers],0),2),FALSE),"")</f>
        <v/>
      </c>
    </row>
    <row r="621" spans="8:29" x14ac:dyDescent="0.4">
      <c r="H621" t="str">
        <f t="shared" si="63"/>
        <v>1009211-端正的光耀情景 (黃)</v>
      </c>
      <c r="I621">
        <v>1009211</v>
      </c>
      <c r="J621" t="str">
        <f>_xlfn.IFNA(IF(I621&lt;&gt;0,VLOOKUP(VLOOKUP(I621,Tbl_Equip[],2,FALSE),Tbl_Color[],IFERROR(MATCH(UI!$B$1,Tbl_Color[#Headers],0),2),FALSE),""),"Unset")</f>
        <v>黃</v>
      </c>
      <c r="K621" t="str">
        <f>_xlfn.IFNA(IF(I621&lt;&gt;0,VLOOKUP(I621,ItemText[],IFERROR(MATCH(UI!$B$1,ItemText[#Headers],0),2),FALSE),""),"Unset")</f>
        <v>端正的光耀情景</v>
      </c>
      <c r="L621" t="str">
        <f t="shared" si="64"/>
        <v/>
      </c>
      <c r="M621">
        <v>0</v>
      </c>
      <c r="N621" t="str">
        <f>IF(VALUE(M621)=0,"",VLOOKUP(VLOOKUP(M621,Tbl_Effect[],3,FALSE),EffectName[],IFERROR(MATCH(UI!$B$1,EffectName[#Headers],0),2),FALSE))</f>
        <v/>
      </c>
      <c r="O621" t="str">
        <f t="shared" si="65"/>
        <v/>
      </c>
      <c r="P621">
        <v>0</v>
      </c>
      <c r="Q621" t="str">
        <f>IF(VALUE(P621)=0,"",VLOOKUP(VLOOKUP(P621,Tbl_Effect[],3,FALSE),EffectName[],IFERROR(MATCH(UI!$B$1,EffectName[#Headers],0),2),FALSE))</f>
        <v/>
      </c>
      <c r="R621" t="str">
        <f t="shared" si="66"/>
        <v/>
      </c>
      <c r="S621">
        <v>0</v>
      </c>
      <c r="T621" t="str">
        <f>IF(VALUE(S621)=0,"",VLOOKUP(VLOOKUP(S621,Tbl_Effect[],3,FALSE),EffectName[],IFERROR(MATCH(UI!$B$1,EffectName[#Headers],0),2),FALSE))</f>
        <v/>
      </c>
      <c r="U621" t="str">
        <f t="shared" si="67"/>
        <v/>
      </c>
      <c r="V621">
        <v>0</v>
      </c>
      <c r="W621" t="str">
        <f>IF(V621&lt;&gt;0,VLOOKUP(VLOOKUP(V621,Tbl_Effect[],3,FALSE),EffectName[],IFERROR(MATCH(UI!$B$1,EffectName[#Headers],0),2),FALSE),"")</f>
        <v/>
      </c>
      <c r="X621" t="str">
        <f t="shared" si="68"/>
        <v/>
      </c>
      <c r="Y621">
        <v>0</v>
      </c>
      <c r="Z621" t="str">
        <f>IF(Y621&lt;&gt;0,VLOOKUP(VLOOKUP(Y621,Tbl_Effect[],3,FALSE),EffectName[],IFERROR(MATCH(UI!$B$1,EffectName[#Headers],0),2),FALSE),"")</f>
        <v/>
      </c>
      <c r="AA621" t="str">
        <f t="shared" si="69"/>
        <v/>
      </c>
      <c r="AB621">
        <v>0</v>
      </c>
      <c r="AC621" t="str">
        <f>IF(AB621&lt;&gt;0,VLOOKUP(VLOOKUP(AB621,Tbl_Effect[],3,FALSE),EffectName[],IFERROR(MATCH(UI!$B$1,EffectName[#Headers],0),2),FALSE),"")</f>
        <v/>
      </c>
    </row>
    <row r="622" spans="8:29" x14ac:dyDescent="0.4">
      <c r="H622" t="str">
        <f t="shared" si="63"/>
        <v>1009212-遼闊的光耀情景 (黃)</v>
      </c>
      <c r="I622">
        <v>1009212</v>
      </c>
      <c r="J622" t="str">
        <f>_xlfn.IFNA(IF(I622&lt;&gt;0,VLOOKUP(VLOOKUP(I622,Tbl_Equip[],2,FALSE),Tbl_Color[],IFERROR(MATCH(UI!$B$1,Tbl_Color[#Headers],0),2),FALSE),""),"Unset")</f>
        <v>黃</v>
      </c>
      <c r="K622" t="str">
        <f>_xlfn.IFNA(IF(I622&lt;&gt;0,VLOOKUP(I622,ItemText[],IFERROR(MATCH(UI!$B$1,ItemText[#Headers],0),2),FALSE),""),"Unset")</f>
        <v>遼闊的光耀情景</v>
      </c>
      <c r="L622" t="str">
        <f t="shared" si="64"/>
        <v/>
      </c>
      <c r="M622">
        <v>0</v>
      </c>
      <c r="N622" t="str">
        <f>IF(VALUE(M622)=0,"",VLOOKUP(VLOOKUP(M622,Tbl_Effect[],3,FALSE),EffectName[],IFERROR(MATCH(UI!$B$1,EffectName[#Headers],0),2),FALSE))</f>
        <v/>
      </c>
      <c r="O622" t="str">
        <f t="shared" si="65"/>
        <v/>
      </c>
      <c r="P622">
        <v>0</v>
      </c>
      <c r="Q622" t="str">
        <f>IF(VALUE(P622)=0,"",VLOOKUP(VLOOKUP(P622,Tbl_Effect[],3,FALSE),EffectName[],IFERROR(MATCH(UI!$B$1,EffectName[#Headers],0),2),FALSE))</f>
        <v/>
      </c>
      <c r="R622" t="str">
        <f t="shared" si="66"/>
        <v/>
      </c>
      <c r="S622">
        <v>0</v>
      </c>
      <c r="T622" t="str">
        <f>IF(VALUE(S622)=0,"",VLOOKUP(VLOOKUP(S622,Tbl_Effect[],3,FALSE),EffectName[],IFERROR(MATCH(UI!$B$1,EffectName[#Headers],0),2),FALSE))</f>
        <v/>
      </c>
      <c r="U622" t="str">
        <f t="shared" si="67"/>
        <v/>
      </c>
      <c r="V622">
        <v>0</v>
      </c>
      <c r="W622" t="str">
        <f>IF(V622&lt;&gt;0,VLOOKUP(VLOOKUP(V622,Tbl_Effect[],3,FALSE),EffectName[],IFERROR(MATCH(UI!$B$1,EffectName[#Headers],0),2),FALSE),"")</f>
        <v/>
      </c>
      <c r="X622" t="str">
        <f t="shared" si="68"/>
        <v/>
      </c>
      <c r="Y622">
        <v>0</v>
      </c>
      <c r="Z622" t="str">
        <f>IF(Y622&lt;&gt;0,VLOOKUP(VLOOKUP(Y622,Tbl_Effect[],3,FALSE),EffectName[],IFERROR(MATCH(UI!$B$1,EffectName[#Headers],0),2),FALSE),"")</f>
        <v/>
      </c>
      <c r="AA622" t="str">
        <f t="shared" si="69"/>
        <v/>
      </c>
      <c r="AB622">
        <v>0</v>
      </c>
      <c r="AC622" t="str">
        <f>IF(AB622&lt;&gt;0,VLOOKUP(VLOOKUP(AB622,Tbl_Effect[],3,FALSE),EffectName[],IFERROR(MATCH(UI!$B$1,EffectName[#Headers],0),2),FALSE),"")</f>
        <v/>
      </c>
    </row>
    <row r="623" spans="8:29" x14ac:dyDescent="0.4">
      <c r="H623" t="str">
        <f t="shared" si="63"/>
        <v>1009220-細膩的光耀情景 (黃)</v>
      </c>
      <c r="I623">
        <v>1009220</v>
      </c>
      <c r="J623" t="str">
        <f>_xlfn.IFNA(IF(I623&lt;&gt;0,VLOOKUP(VLOOKUP(I623,Tbl_Equip[],2,FALSE),Tbl_Color[],IFERROR(MATCH(UI!$B$1,Tbl_Color[#Headers],0),2),FALSE),""),"Unset")</f>
        <v>黃</v>
      </c>
      <c r="K623" t="str">
        <f>_xlfn.IFNA(IF(I623&lt;&gt;0,VLOOKUP(I623,ItemText[],IFERROR(MATCH(UI!$B$1,ItemText[#Headers],0),2),FALSE),""),"Unset")</f>
        <v>細膩的光耀情景</v>
      </c>
      <c r="L623" t="str">
        <f t="shared" si="64"/>
        <v/>
      </c>
      <c r="M623">
        <v>0</v>
      </c>
      <c r="N623" t="str">
        <f>IF(VALUE(M623)=0,"",VLOOKUP(VLOOKUP(M623,Tbl_Effect[],3,FALSE),EffectName[],IFERROR(MATCH(UI!$B$1,EffectName[#Headers],0),2),FALSE))</f>
        <v/>
      </c>
      <c r="O623" t="str">
        <f t="shared" si="65"/>
        <v/>
      </c>
      <c r="P623">
        <v>0</v>
      </c>
      <c r="Q623" t="str">
        <f>IF(VALUE(P623)=0,"",VLOOKUP(VLOOKUP(P623,Tbl_Effect[],3,FALSE),EffectName[],IFERROR(MATCH(UI!$B$1,EffectName[#Headers],0),2),FALSE))</f>
        <v/>
      </c>
      <c r="R623" t="str">
        <f t="shared" si="66"/>
        <v/>
      </c>
      <c r="S623">
        <v>0</v>
      </c>
      <c r="T623" t="str">
        <f>IF(VALUE(S623)=0,"",VLOOKUP(VLOOKUP(S623,Tbl_Effect[],3,FALSE),EffectName[],IFERROR(MATCH(UI!$B$1,EffectName[#Headers],0),2),FALSE))</f>
        <v/>
      </c>
      <c r="U623" t="str">
        <f t="shared" si="67"/>
        <v/>
      </c>
      <c r="V623">
        <v>0</v>
      </c>
      <c r="W623" t="str">
        <f>IF(V623&lt;&gt;0,VLOOKUP(VLOOKUP(V623,Tbl_Effect[],3,FALSE),EffectName[],IFERROR(MATCH(UI!$B$1,EffectName[#Headers],0),2),FALSE),"")</f>
        <v/>
      </c>
      <c r="X623" t="str">
        <f t="shared" si="68"/>
        <v/>
      </c>
      <c r="Y623">
        <v>0</v>
      </c>
      <c r="Z623" t="str">
        <f>IF(Y623&lt;&gt;0,VLOOKUP(VLOOKUP(Y623,Tbl_Effect[],3,FALSE),EffectName[],IFERROR(MATCH(UI!$B$1,EffectName[#Headers],0),2),FALSE),"")</f>
        <v/>
      </c>
      <c r="AA623" t="str">
        <f t="shared" si="69"/>
        <v/>
      </c>
      <c r="AB623">
        <v>0</v>
      </c>
      <c r="AC623" t="str">
        <f>IF(AB623&lt;&gt;0,VLOOKUP(VLOOKUP(AB623,Tbl_Effect[],3,FALSE),EffectName[],IFERROR(MATCH(UI!$B$1,EffectName[#Headers],0),2),FALSE),"")</f>
        <v/>
      </c>
    </row>
    <row r="624" spans="8:29" x14ac:dyDescent="0.4">
      <c r="H624" t="str">
        <f t="shared" si="63"/>
        <v>1009221-端正的光耀情景 (黃)</v>
      </c>
      <c r="I624">
        <v>1009221</v>
      </c>
      <c r="J624" t="str">
        <f>_xlfn.IFNA(IF(I624&lt;&gt;0,VLOOKUP(VLOOKUP(I624,Tbl_Equip[],2,FALSE),Tbl_Color[],IFERROR(MATCH(UI!$B$1,Tbl_Color[#Headers],0),2),FALSE),""),"Unset")</f>
        <v>黃</v>
      </c>
      <c r="K624" t="str">
        <f>_xlfn.IFNA(IF(I624&lt;&gt;0,VLOOKUP(I624,ItemText[],IFERROR(MATCH(UI!$B$1,ItemText[#Headers],0),2),FALSE),""),"Unset")</f>
        <v>端正的光耀情景</v>
      </c>
      <c r="L624" t="str">
        <f t="shared" si="64"/>
        <v/>
      </c>
      <c r="M624">
        <v>0</v>
      </c>
      <c r="N624" t="str">
        <f>IF(VALUE(M624)=0,"",VLOOKUP(VLOOKUP(M624,Tbl_Effect[],3,FALSE),EffectName[],IFERROR(MATCH(UI!$B$1,EffectName[#Headers],0),2),FALSE))</f>
        <v/>
      </c>
      <c r="O624" t="str">
        <f t="shared" si="65"/>
        <v/>
      </c>
      <c r="P624">
        <v>0</v>
      </c>
      <c r="Q624" t="str">
        <f>IF(VALUE(P624)=0,"",VLOOKUP(VLOOKUP(P624,Tbl_Effect[],3,FALSE),EffectName[],IFERROR(MATCH(UI!$B$1,EffectName[#Headers],0),2),FALSE))</f>
        <v/>
      </c>
      <c r="R624" t="str">
        <f t="shared" si="66"/>
        <v/>
      </c>
      <c r="S624">
        <v>0</v>
      </c>
      <c r="T624" t="str">
        <f>IF(VALUE(S624)=0,"",VLOOKUP(VLOOKUP(S624,Tbl_Effect[],3,FALSE),EffectName[],IFERROR(MATCH(UI!$B$1,EffectName[#Headers],0),2),FALSE))</f>
        <v/>
      </c>
      <c r="U624" t="str">
        <f t="shared" si="67"/>
        <v/>
      </c>
      <c r="V624">
        <v>0</v>
      </c>
      <c r="W624" t="str">
        <f>IF(V624&lt;&gt;0,VLOOKUP(VLOOKUP(V624,Tbl_Effect[],3,FALSE),EffectName[],IFERROR(MATCH(UI!$B$1,EffectName[#Headers],0),2),FALSE),"")</f>
        <v/>
      </c>
      <c r="X624" t="str">
        <f t="shared" si="68"/>
        <v/>
      </c>
      <c r="Y624">
        <v>0</v>
      </c>
      <c r="Z624" t="str">
        <f>IF(Y624&lt;&gt;0,VLOOKUP(VLOOKUP(Y624,Tbl_Effect[],3,FALSE),EffectName[],IFERROR(MATCH(UI!$B$1,EffectName[#Headers],0),2),FALSE),"")</f>
        <v/>
      </c>
      <c r="AA624" t="str">
        <f t="shared" si="69"/>
        <v/>
      </c>
      <c r="AB624">
        <v>0</v>
      </c>
      <c r="AC624" t="str">
        <f>IF(AB624&lt;&gt;0,VLOOKUP(VLOOKUP(AB624,Tbl_Effect[],3,FALSE),EffectName[],IFERROR(MATCH(UI!$B$1,EffectName[#Headers],0),2),FALSE),"")</f>
        <v/>
      </c>
    </row>
    <row r="625" spans="8:29" x14ac:dyDescent="0.4">
      <c r="H625" t="str">
        <f t="shared" si="63"/>
        <v>1009222-遼闊的光耀情景 (黃)</v>
      </c>
      <c r="I625">
        <v>1009222</v>
      </c>
      <c r="J625" t="str">
        <f>_xlfn.IFNA(IF(I625&lt;&gt;0,VLOOKUP(VLOOKUP(I625,Tbl_Equip[],2,FALSE),Tbl_Color[],IFERROR(MATCH(UI!$B$1,Tbl_Color[#Headers],0),2),FALSE),""),"Unset")</f>
        <v>黃</v>
      </c>
      <c r="K625" t="str">
        <f>_xlfn.IFNA(IF(I625&lt;&gt;0,VLOOKUP(I625,ItemText[],IFERROR(MATCH(UI!$B$1,ItemText[#Headers],0),2),FALSE),""),"Unset")</f>
        <v>遼闊的光耀情景</v>
      </c>
      <c r="L625" t="str">
        <f t="shared" si="64"/>
        <v/>
      </c>
      <c r="M625">
        <v>0</v>
      </c>
      <c r="N625" t="str">
        <f>IF(VALUE(M625)=0,"",VLOOKUP(VLOOKUP(M625,Tbl_Effect[],3,FALSE),EffectName[],IFERROR(MATCH(UI!$B$1,EffectName[#Headers],0),2),FALSE))</f>
        <v/>
      </c>
      <c r="O625" t="str">
        <f t="shared" si="65"/>
        <v/>
      </c>
      <c r="P625">
        <v>0</v>
      </c>
      <c r="Q625" t="str">
        <f>IF(VALUE(P625)=0,"",VLOOKUP(VLOOKUP(P625,Tbl_Effect[],3,FALSE),EffectName[],IFERROR(MATCH(UI!$B$1,EffectName[#Headers],0),2),FALSE))</f>
        <v/>
      </c>
      <c r="R625" t="str">
        <f t="shared" si="66"/>
        <v/>
      </c>
      <c r="S625">
        <v>0</v>
      </c>
      <c r="T625" t="str">
        <f>IF(VALUE(S625)=0,"",VLOOKUP(VLOOKUP(S625,Tbl_Effect[],3,FALSE),EffectName[],IFERROR(MATCH(UI!$B$1,EffectName[#Headers],0),2),FALSE))</f>
        <v/>
      </c>
      <c r="U625" t="str">
        <f t="shared" si="67"/>
        <v/>
      </c>
      <c r="V625">
        <v>0</v>
      </c>
      <c r="W625" t="str">
        <f>IF(V625&lt;&gt;0,VLOOKUP(VLOOKUP(V625,Tbl_Effect[],3,FALSE),EffectName[],IFERROR(MATCH(UI!$B$1,EffectName[#Headers],0),2),FALSE),"")</f>
        <v/>
      </c>
      <c r="X625" t="str">
        <f t="shared" si="68"/>
        <v/>
      </c>
      <c r="Y625">
        <v>0</v>
      </c>
      <c r="Z625" t="str">
        <f>IF(Y625&lt;&gt;0,VLOOKUP(VLOOKUP(Y625,Tbl_Effect[],3,FALSE),EffectName[],IFERROR(MATCH(UI!$B$1,EffectName[#Headers],0),2),FALSE),"")</f>
        <v/>
      </c>
      <c r="AA625" t="str">
        <f t="shared" si="69"/>
        <v/>
      </c>
      <c r="AB625">
        <v>0</v>
      </c>
      <c r="AC625" t="str">
        <f>IF(AB625&lt;&gt;0,VLOOKUP(VLOOKUP(AB625,Tbl_Effect[],3,FALSE),EffectName[],IFERROR(MATCH(UI!$B$1,EffectName[#Headers],0),2),FALSE),"")</f>
        <v/>
      </c>
    </row>
    <row r="626" spans="8:29" x14ac:dyDescent="0.4">
      <c r="H626" t="str">
        <f t="shared" si="63"/>
        <v>1009300-細膩的幽靜情景 (綠)</v>
      </c>
      <c r="I626">
        <v>1009300</v>
      </c>
      <c r="J626" t="str">
        <f>_xlfn.IFNA(IF(I626&lt;&gt;0,VLOOKUP(VLOOKUP(I626,Tbl_Equip[],2,FALSE),Tbl_Color[],IFERROR(MATCH(UI!$B$1,Tbl_Color[#Headers],0),2),FALSE),""),"Unset")</f>
        <v>綠</v>
      </c>
      <c r="K626" t="str">
        <f>_xlfn.IFNA(IF(I626&lt;&gt;0,VLOOKUP(I626,ItemText[],IFERROR(MATCH(UI!$B$1,ItemText[#Headers],0),2),FALSE),""),"Unset")</f>
        <v>細膩的幽靜情景</v>
      </c>
      <c r="L626" t="str">
        <f t="shared" si="64"/>
        <v/>
      </c>
      <c r="M626">
        <v>0</v>
      </c>
      <c r="N626" t="str">
        <f>IF(VALUE(M626)=0,"",VLOOKUP(VLOOKUP(M626,Tbl_Effect[],3,FALSE),EffectName[],IFERROR(MATCH(UI!$B$1,EffectName[#Headers],0),2),FALSE))</f>
        <v/>
      </c>
      <c r="O626" t="str">
        <f t="shared" si="65"/>
        <v/>
      </c>
      <c r="P626">
        <v>0</v>
      </c>
      <c r="Q626" t="str">
        <f>IF(VALUE(P626)=0,"",VLOOKUP(VLOOKUP(P626,Tbl_Effect[],3,FALSE),EffectName[],IFERROR(MATCH(UI!$B$1,EffectName[#Headers],0),2),FALSE))</f>
        <v/>
      </c>
      <c r="R626" t="str">
        <f t="shared" si="66"/>
        <v/>
      </c>
      <c r="S626">
        <v>0</v>
      </c>
      <c r="T626" t="str">
        <f>IF(VALUE(S626)=0,"",VLOOKUP(VLOOKUP(S626,Tbl_Effect[],3,FALSE),EffectName[],IFERROR(MATCH(UI!$B$1,EffectName[#Headers],0),2),FALSE))</f>
        <v/>
      </c>
      <c r="U626" t="str">
        <f t="shared" si="67"/>
        <v/>
      </c>
      <c r="V626">
        <v>0</v>
      </c>
      <c r="W626" t="str">
        <f>IF(V626&lt;&gt;0,VLOOKUP(VLOOKUP(V626,Tbl_Effect[],3,FALSE),EffectName[],IFERROR(MATCH(UI!$B$1,EffectName[#Headers],0),2),FALSE),"")</f>
        <v/>
      </c>
      <c r="X626" t="str">
        <f t="shared" si="68"/>
        <v/>
      </c>
      <c r="Y626">
        <v>0</v>
      </c>
      <c r="Z626" t="str">
        <f>IF(Y626&lt;&gt;0,VLOOKUP(VLOOKUP(Y626,Tbl_Effect[],3,FALSE),EffectName[],IFERROR(MATCH(UI!$B$1,EffectName[#Headers],0),2),FALSE),"")</f>
        <v/>
      </c>
      <c r="AA626" t="str">
        <f t="shared" si="69"/>
        <v/>
      </c>
      <c r="AB626">
        <v>0</v>
      </c>
      <c r="AC626" t="str">
        <f>IF(AB626&lt;&gt;0,VLOOKUP(VLOOKUP(AB626,Tbl_Effect[],3,FALSE),EffectName[],IFERROR(MATCH(UI!$B$1,EffectName[#Headers],0),2),FALSE),"")</f>
        <v/>
      </c>
    </row>
    <row r="627" spans="8:29" x14ac:dyDescent="0.4">
      <c r="H627" t="str">
        <f t="shared" si="63"/>
        <v>1009301-端正的幽靜情景 (綠)</v>
      </c>
      <c r="I627">
        <v>1009301</v>
      </c>
      <c r="J627" t="str">
        <f>_xlfn.IFNA(IF(I627&lt;&gt;0,VLOOKUP(VLOOKUP(I627,Tbl_Equip[],2,FALSE),Tbl_Color[],IFERROR(MATCH(UI!$B$1,Tbl_Color[#Headers],0),2),FALSE),""),"Unset")</f>
        <v>綠</v>
      </c>
      <c r="K627" t="str">
        <f>_xlfn.IFNA(IF(I627&lt;&gt;0,VLOOKUP(I627,ItemText[],IFERROR(MATCH(UI!$B$1,ItemText[#Headers],0),2),FALSE),""),"Unset")</f>
        <v>端正的幽靜情景</v>
      </c>
      <c r="L627" t="str">
        <f t="shared" si="64"/>
        <v/>
      </c>
      <c r="M627">
        <v>0</v>
      </c>
      <c r="N627" t="str">
        <f>IF(VALUE(M627)=0,"",VLOOKUP(VLOOKUP(M627,Tbl_Effect[],3,FALSE),EffectName[],IFERROR(MATCH(UI!$B$1,EffectName[#Headers],0),2),FALSE))</f>
        <v/>
      </c>
      <c r="O627" t="str">
        <f t="shared" si="65"/>
        <v/>
      </c>
      <c r="P627">
        <v>0</v>
      </c>
      <c r="Q627" t="str">
        <f>IF(VALUE(P627)=0,"",VLOOKUP(VLOOKUP(P627,Tbl_Effect[],3,FALSE),EffectName[],IFERROR(MATCH(UI!$B$1,EffectName[#Headers],0),2),FALSE))</f>
        <v/>
      </c>
      <c r="R627" t="str">
        <f t="shared" si="66"/>
        <v/>
      </c>
      <c r="S627">
        <v>0</v>
      </c>
      <c r="T627" t="str">
        <f>IF(VALUE(S627)=0,"",VLOOKUP(VLOOKUP(S627,Tbl_Effect[],3,FALSE),EffectName[],IFERROR(MATCH(UI!$B$1,EffectName[#Headers],0),2),FALSE))</f>
        <v/>
      </c>
      <c r="U627" t="str">
        <f t="shared" si="67"/>
        <v/>
      </c>
      <c r="V627">
        <v>0</v>
      </c>
      <c r="W627" t="str">
        <f>IF(V627&lt;&gt;0,VLOOKUP(VLOOKUP(V627,Tbl_Effect[],3,FALSE),EffectName[],IFERROR(MATCH(UI!$B$1,EffectName[#Headers],0),2),FALSE),"")</f>
        <v/>
      </c>
      <c r="X627" t="str">
        <f t="shared" si="68"/>
        <v/>
      </c>
      <c r="Y627">
        <v>0</v>
      </c>
      <c r="Z627" t="str">
        <f>IF(Y627&lt;&gt;0,VLOOKUP(VLOOKUP(Y627,Tbl_Effect[],3,FALSE),EffectName[],IFERROR(MATCH(UI!$B$1,EffectName[#Headers],0),2),FALSE),"")</f>
        <v/>
      </c>
      <c r="AA627" t="str">
        <f t="shared" si="69"/>
        <v/>
      </c>
      <c r="AB627">
        <v>0</v>
      </c>
      <c r="AC627" t="str">
        <f>IF(AB627&lt;&gt;0,VLOOKUP(VLOOKUP(AB627,Tbl_Effect[],3,FALSE),EffectName[],IFERROR(MATCH(UI!$B$1,EffectName[#Headers],0),2),FALSE),"")</f>
        <v/>
      </c>
    </row>
    <row r="628" spans="8:29" x14ac:dyDescent="0.4">
      <c r="H628" t="str">
        <f t="shared" si="63"/>
        <v>1009302-遼闊的幽靜情景 (綠)</v>
      </c>
      <c r="I628">
        <v>1009302</v>
      </c>
      <c r="J628" t="str">
        <f>_xlfn.IFNA(IF(I628&lt;&gt;0,VLOOKUP(VLOOKUP(I628,Tbl_Equip[],2,FALSE),Tbl_Color[],IFERROR(MATCH(UI!$B$1,Tbl_Color[#Headers],0),2),FALSE),""),"Unset")</f>
        <v>綠</v>
      </c>
      <c r="K628" t="str">
        <f>_xlfn.IFNA(IF(I628&lt;&gt;0,VLOOKUP(I628,ItemText[],IFERROR(MATCH(UI!$B$1,ItemText[#Headers],0),2),FALSE),""),"Unset")</f>
        <v>遼闊的幽靜情景</v>
      </c>
      <c r="L628" t="str">
        <f t="shared" si="64"/>
        <v/>
      </c>
      <c r="M628">
        <v>0</v>
      </c>
      <c r="N628" t="str">
        <f>IF(VALUE(M628)=0,"",VLOOKUP(VLOOKUP(M628,Tbl_Effect[],3,FALSE),EffectName[],IFERROR(MATCH(UI!$B$1,EffectName[#Headers],0),2),FALSE))</f>
        <v/>
      </c>
      <c r="O628" t="str">
        <f t="shared" si="65"/>
        <v/>
      </c>
      <c r="P628">
        <v>0</v>
      </c>
      <c r="Q628" t="str">
        <f>IF(VALUE(P628)=0,"",VLOOKUP(VLOOKUP(P628,Tbl_Effect[],3,FALSE),EffectName[],IFERROR(MATCH(UI!$B$1,EffectName[#Headers],0),2),FALSE))</f>
        <v/>
      </c>
      <c r="R628" t="str">
        <f t="shared" si="66"/>
        <v/>
      </c>
      <c r="S628">
        <v>0</v>
      </c>
      <c r="T628" t="str">
        <f>IF(VALUE(S628)=0,"",VLOOKUP(VLOOKUP(S628,Tbl_Effect[],3,FALSE),EffectName[],IFERROR(MATCH(UI!$B$1,EffectName[#Headers],0),2),FALSE))</f>
        <v/>
      </c>
      <c r="U628" t="str">
        <f t="shared" si="67"/>
        <v/>
      </c>
      <c r="V628">
        <v>0</v>
      </c>
      <c r="W628" t="str">
        <f>IF(V628&lt;&gt;0,VLOOKUP(VLOOKUP(V628,Tbl_Effect[],3,FALSE),EffectName[],IFERROR(MATCH(UI!$B$1,EffectName[#Headers],0),2),FALSE),"")</f>
        <v/>
      </c>
      <c r="X628" t="str">
        <f t="shared" si="68"/>
        <v/>
      </c>
      <c r="Y628">
        <v>0</v>
      </c>
      <c r="Z628" t="str">
        <f>IF(Y628&lt;&gt;0,VLOOKUP(VLOOKUP(Y628,Tbl_Effect[],3,FALSE),EffectName[],IFERROR(MATCH(UI!$B$1,EffectName[#Headers],0),2),FALSE),"")</f>
        <v/>
      </c>
      <c r="AA628" t="str">
        <f t="shared" si="69"/>
        <v/>
      </c>
      <c r="AB628">
        <v>0</v>
      </c>
      <c r="AC628" t="str">
        <f>IF(AB628&lt;&gt;0,VLOOKUP(VLOOKUP(AB628,Tbl_Effect[],3,FALSE),EffectName[],IFERROR(MATCH(UI!$B$1,EffectName[#Headers],0),2),FALSE),"")</f>
        <v/>
      </c>
    </row>
    <row r="629" spans="8:29" x14ac:dyDescent="0.4">
      <c r="H629" t="str">
        <f t="shared" si="63"/>
        <v>1009310-細膩的幽靜情景 (綠)</v>
      </c>
      <c r="I629">
        <v>1009310</v>
      </c>
      <c r="J629" t="str">
        <f>_xlfn.IFNA(IF(I629&lt;&gt;0,VLOOKUP(VLOOKUP(I629,Tbl_Equip[],2,FALSE),Tbl_Color[],IFERROR(MATCH(UI!$B$1,Tbl_Color[#Headers],0),2),FALSE),""),"Unset")</f>
        <v>綠</v>
      </c>
      <c r="K629" t="str">
        <f>_xlfn.IFNA(IF(I629&lt;&gt;0,VLOOKUP(I629,ItemText[],IFERROR(MATCH(UI!$B$1,ItemText[#Headers],0),2),FALSE),""),"Unset")</f>
        <v>細膩的幽靜情景</v>
      </c>
      <c r="L629" t="str">
        <f t="shared" si="64"/>
        <v/>
      </c>
      <c r="M629">
        <v>0</v>
      </c>
      <c r="N629" t="str">
        <f>IF(VALUE(M629)=0,"",VLOOKUP(VLOOKUP(M629,Tbl_Effect[],3,FALSE),EffectName[],IFERROR(MATCH(UI!$B$1,EffectName[#Headers],0),2),FALSE))</f>
        <v/>
      </c>
      <c r="O629" t="str">
        <f t="shared" si="65"/>
        <v/>
      </c>
      <c r="P629">
        <v>0</v>
      </c>
      <c r="Q629" t="str">
        <f>IF(VALUE(P629)=0,"",VLOOKUP(VLOOKUP(P629,Tbl_Effect[],3,FALSE),EffectName[],IFERROR(MATCH(UI!$B$1,EffectName[#Headers],0),2),FALSE))</f>
        <v/>
      </c>
      <c r="R629" t="str">
        <f t="shared" si="66"/>
        <v/>
      </c>
      <c r="S629">
        <v>0</v>
      </c>
      <c r="T629" t="str">
        <f>IF(VALUE(S629)=0,"",VLOOKUP(VLOOKUP(S629,Tbl_Effect[],3,FALSE),EffectName[],IFERROR(MATCH(UI!$B$1,EffectName[#Headers],0),2),FALSE))</f>
        <v/>
      </c>
      <c r="U629" t="str">
        <f t="shared" si="67"/>
        <v/>
      </c>
      <c r="V629">
        <v>0</v>
      </c>
      <c r="W629" t="str">
        <f>IF(V629&lt;&gt;0,VLOOKUP(VLOOKUP(V629,Tbl_Effect[],3,FALSE),EffectName[],IFERROR(MATCH(UI!$B$1,EffectName[#Headers],0),2),FALSE),"")</f>
        <v/>
      </c>
      <c r="X629" t="str">
        <f t="shared" si="68"/>
        <v/>
      </c>
      <c r="Y629">
        <v>0</v>
      </c>
      <c r="Z629" t="str">
        <f>IF(Y629&lt;&gt;0,VLOOKUP(VLOOKUP(Y629,Tbl_Effect[],3,FALSE),EffectName[],IFERROR(MATCH(UI!$B$1,EffectName[#Headers],0),2),FALSE),"")</f>
        <v/>
      </c>
      <c r="AA629" t="str">
        <f t="shared" si="69"/>
        <v/>
      </c>
      <c r="AB629">
        <v>0</v>
      </c>
      <c r="AC629" t="str">
        <f>IF(AB629&lt;&gt;0,VLOOKUP(VLOOKUP(AB629,Tbl_Effect[],3,FALSE),EffectName[],IFERROR(MATCH(UI!$B$1,EffectName[#Headers],0),2),FALSE),"")</f>
        <v/>
      </c>
    </row>
    <row r="630" spans="8:29" x14ac:dyDescent="0.4">
      <c r="H630" t="str">
        <f t="shared" si="63"/>
        <v>1009311-端正的幽靜情景 (綠)</v>
      </c>
      <c r="I630">
        <v>1009311</v>
      </c>
      <c r="J630" t="str">
        <f>_xlfn.IFNA(IF(I630&lt;&gt;0,VLOOKUP(VLOOKUP(I630,Tbl_Equip[],2,FALSE),Tbl_Color[],IFERROR(MATCH(UI!$B$1,Tbl_Color[#Headers],0),2),FALSE),""),"Unset")</f>
        <v>綠</v>
      </c>
      <c r="K630" t="str">
        <f>_xlfn.IFNA(IF(I630&lt;&gt;0,VLOOKUP(I630,ItemText[],IFERROR(MATCH(UI!$B$1,ItemText[#Headers],0),2),FALSE),""),"Unset")</f>
        <v>端正的幽靜情景</v>
      </c>
      <c r="L630" t="str">
        <f t="shared" si="64"/>
        <v/>
      </c>
      <c r="M630">
        <v>0</v>
      </c>
      <c r="N630" t="str">
        <f>IF(VALUE(M630)=0,"",VLOOKUP(VLOOKUP(M630,Tbl_Effect[],3,FALSE),EffectName[],IFERROR(MATCH(UI!$B$1,EffectName[#Headers],0),2),FALSE))</f>
        <v/>
      </c>
      <c r="O630" t="str">
        <f t="shared" si="65"/>
        <v/>
      </c>
      <c r="P630">
        <v>0</v>
      </c>
      <c r="Q630" t="str">
        <f>IF(VALUE(P630)=0,"",VLOOKUP(VLOOKUP(P630,Tbl_Effect[],3,FALSE),EffectName[],IFERROR(MATCH(UI!$B$1,EffectName[#Headers],0),2),FALSE))</f>
        <v/>
      </c>
      <c r="R630" t="str">
        <f t="shared" si="66"/>
        <v/>
      </c>
      <c r="S630">
        <v>0</v>
      </c>
      <c r="T630" t="str">
        <f>IF(VALUE(S630)=0,"",VLOOKUP(VLOOKUP(S630,Tbl_Effect[],3,FALSE),EffectName[],IFERROR(MATCH(UI!$B$1,EffectName[#Headers],0),2),FALSE))</f>
        <v/>
      </c>
      <c r="U630" t="str">
        <f t="shared" si="67"/>
        <v/>
      </c>
      <c r="V630">
        <v>0</v>
      </c>
      <c r="W630" t="str">
        <f>IF(V630&lt;&gt;0,VLOOKUP(VLOOKUP(V630,Tbl_Effect[],3,FALSE),EffectName[],IFERROR(MATCH(UI!$B$1,EffectName[#Headers],0),2),FALSE),"")</f>
        <v/>
      </c>
      <c r="X630" t="str">
        <f t="shared" si="68"/>
        <v/>
      </c>
      <c r="Y630">
        <v>0</v>
      </c>
      <c r="Z630" t="str">
        <f>IF(Y630&lt;&gt;0,VLOOKUP(VLOOKUP(Y630,Tbl_Effect[],3,FALSE),EffectName[],IFERROR(MATCH(UI!$B$1,EffectName[#Headers],0),2),FALSE),"")</f>
        <v/>
      </c>
      <c r="AA630" t="str">
        <f t="shared" si="69"/>
        <v/>
      </c>
      <c r="AB630">
        <v>0</v>
      </c>
      <c r="AC630" t="str">
        <f>IF(AB630&lt;&gt;0,VLOOKUP(VLOOKUP(AB630,Tbl_Effect[],3,FALSE),EffectName[],IFERROR(MATCH(UI!$B$1,EffectName[#Headers],0),2),FALSE),"")</f>
        <v/>
      </c>
    </row>
    <row r="631" spans="8:29" x14ac:dyDescent="0.4">
      <c r="H631" t="str">
        <f t="shared" si="63"/>
        <v>1009312-遼闊的幽靜情景 (綠)</v>
      </c>
      <c r="I631">
        <v>1009312</v>
      </c>
      <c r="J631" t="str">
        <f>_xlfn.IFNA(IF(I631&lt;&gt;0,VLOOKUP(VLOOKUP(I631,Tbl_Equip[],2,FALSE),Tbl_Color[],IFERROR(MATCH(UI!$B$1,Tbl_Color[#Headers],0),2),FALSE),""),"Unset")</f>
        <v>綠</v>
      </c>
      <c r="K631" t="str">
        <f>_xlfn.IFNA(IF(I631&lt;&gt;0,VLOOKUP(I631,ItemText[],IFERROR(MATCH(UI!$B$1,ItemText[#Headers],0),2),FALSE),""),"Unset")</f>
        <v>遼闊的幽靜情景</v>
      </c>
      <c r="L631" t="str">
        <f t="shared" si="64"/>
        <v/>
      </c>
      <c r="M631">
        <v>0</v>
      </c>
      <c r="N631" t="str">
        <f>IF(VALUE(M631)=0,"",VLOOKUP(VLOOKUP(M631,Tbl_Effect[],3,FALSE),EffectName[],IFERROR(MATCH(UI!$B$1,EffectName[#Headers],0),2),FALSE))</f>
        <v/>
      </c>
      <c r="O631" t="str">
        <f t="shared" si="65"/>
        <v/>
      </c>
      <c r="P631">
        <v>0</v>
      </c>
      <c r="Q631" t="str">
        <f>IF(VALUE(P631)=0,"",VLOOKUP(VLOOKUP(P631,Tbl_Effect[],3,FALSE),EffectName[],IFERROR(MATCH(UI!$B$1,EffectName[#Headers],0),2),FALSE))</f>
        <v/>
      </c>
      <c r="R631" t="str">
        <f t="shared" si="66"/>
        <v/>
      </c>
      <c r="S631">
        <v>0</v>
      </c>
      <c r="T631" t="str">
        <f>IF(VALUE(S631)=0,"",VLOOKUP(VLOOKUP(S631,Tbl_Effect[],3,FALSE),EffectName[],IFERROR(MATCH(UI!$B$1,EffectName[#Headers],0),2),FALSE))</f>
        <v/>
      </c>
      <c r="U631" t="str">
        <f t="shared" si="67"/>
        <v/>
      </c>
      <c r="V631">
        <v>0</v>
      </c>
      <c r="W631" t="str">
        <f>IF(V631&lt;&gt;0,VLOOKUP(VLOOKUP(V631,Tbl_Effect[],3,FALSE),EffectName[],IFERROR(MATCH(UI!$B$1,EffectName[#Headers],0),2),FALSE),"")</f>
        <v/>
      </c>
      <c r="X631" t="str">
        <f t="shared" si="68"/>
        <v/>
      </c>
      <c r="Y631">
        <v>0</v>
      </c>
      <c r="Z631" t="str">
        <f>IF(Y631&lt;&gt;0,VLOOKUP(VLOOKUP(Y631,Tbl_Effect[],3,FALSE),EffectName[],IFERROR(MATCH(UI!$B$1,EffectName[#Headers],0),2),FALSE),"")</f>
        <v/>
      </c>
      <c r="AA631" t="str">
        <f t="shared" si="69"/>
        <v/>
      </c>
      <c r="AB631">
        <v>0</v>
      </c>
      <c r="AC631" t="str">
        <f>IF(AB631&lt;&gt;0,VLOOKUP(VLOOKUP(AB631,Tbl_Effect[],3,FALSE),EffectName[],IFERROR(MATCH(UI!$B$1,EffectName[#Headers],0),2),FALSE),"")</f>
        <v/>
      </c>
    </row>
    <row r="632" spans="8:29" x14ac:dyDescent="0.4">
      <c r="H632" t="str">
        <f t="shared" si="63"/>
        <v>1009320-細膩的幽靜情景 (綠)</v>
      </c>
      <c r="I632">
        <v>1009320</v>
      </c>
      <c r="J632" t="str">
        <f>_xlfn.IFNA(IF(I632&lt;&gt;0,VLOOKUP(VLOOKUP(I632,Tbl_Equip[],2,FALSE),Tbl_Color[],IFERROR(MATCH(UI!$B$1,Tbl_Color[#Headers],0),2),FALSE),""),"Unset")</f>
        <v>綠</v>
      </c>
      <c r="K632" t="str">
        <f>_xlfn.IFNA(IF(I632&lt;&gt;0,VLOOKUP(I632,ItemText[],IFERROR(MATCH(UI!$B$1,ItemText[#Headers],0),2),FALSE),""),"Unset")</f>
        <v>細膩的幽靜情景</v>
      </c>
      <c r="L632" t="str">
        <f t="shared" si="64"/>
        <v/>
      </c>
      <c r="M632">
        <v>0</v>
      </c>
      <c r="N632" t="str">
        <f>IF(VALUE(M632)=0,"",VLOOKUP(VLOOKUP(M632,Tbl_Effect[],3,FALSE),EffectName[],IFERROR(MATCH(UI!$B$1,EffectName[#Headers],0),2),FALSE))</f>
        <v/>
      </c>
      <c r="O632" t="str">
        <f t="shared" si="65"/>
        <v/>
      </c>
      <c r="P632">
        <v>0</v>
      </c>
      <c r="Q632" t="str">
        <f>IF(VALUE(P632)=0,"",VLOOKUP(VLOOKUP(P632,Tbl_Effect[],3,FALSE),EffectName[],IFERROR(MATCH(UI!$B$1,EffectName[#Headers],0),2),FALSE))</f>
        <v/>
      </c>
      <c r="R632" t="str">
        <f t="shared" si="66"/>
        <v/>
      </c>
      <c r="S632">
        <v>0</v>
      </c>
      <c r="T632" t="str">
        <f>IF(VALUE(S632)=0,"",VLOOKUP(VLOOKUP(S632,Tbl_Effect[],3,FALSE),EffectName[],IFERROR(MATCH(UI!$B$1,EffectName[#Headers],0),2),FALSE))</f>
        <v/>
      </c>
      <c r="U632" t="str">
        <f t="shared" si="67"/>
        <v/>
      </c>
      <c r="V632">
        <v>0</v>
      </c>
      <c r="W632" t="str">
        <f>IF(V632&lt;&gt;0,VLOOKUP(VLOOKUP(V632,Tbl_Effect[],3,FALSE),EffectName[],IFERROR(MATCH(UI!$B$1,EffectName[#Headers],0),2),FALSE),"")</f>
        <v/>
      </c>
      <c r="X632" t="str">
        <f t="shared" si="68"/>
        <v/>
      </c>
      <c r="Y632">
        <v>0</v>
      </c>
      <c r="Z632" t="str">
        <f>IF(Y632&lt;&gt;0,VLOOKUP(VLOOKUP(Y632,Tbl_Effect[],3,FALSE),EffectName[],IFERROR(MATCH(UI!$B$1,EffectName[#Headers],0),2),FALSE),"")</f>
        <v/>
      </c>
      <c r="AA632" t="str">
        <f t="shared" si="69"/>
        <v/>
      </c>
      <c r="AB632">
        <v>0</v>
      </c>
      <c r="AC632" t="str">
        <f>IF(AB632&lt;&gt;0,VLOOKUP(VLOOKUP(AB632,Tbl_Effect[],3,FALSE),EffectName[],IFERROR(MATCH(UI!$B$1,EffectName[#Headers],0),2),FALSE),"")</f>
        <v/>
      </c>
    </row>
    <row r="633" spans="8:29" x14ac:dyDescent="0.4">
      <c r="H633" t="str">
        <f t="shared" si="63"/>
        <v>1009321-端正的幽靜情景 (綠)</v>
      </c>
      <c r="I633">
        <v>1009321</v>
      </c>
      <c r="J633" t="str">
        <f>_xlfn.IFNA(IF(I633&lt;&gt;0,VLOOKUP(VLOOKUP(I633,Tbl_Equip[],2,FALSE),Tbl_Color[],IFERROR(MATCH(UI!$B$1,Tbl_Color[#Headers],0),2),FALSE),""),"Unset")</f>
        <v>綠</v>
      </c>
      <c r="K633" t="str">
        <f>_xlfn.IFNA(IF(I633&lt;&gt;0,VLOOKUP(I633,ItemText[],IFERROR(MATCH(UI!$B$1,ItemText[#Headers],0),2),FALSE),""),"Unset")</f>
        <v>端正的幽靜情景</v>
      </c>
      <c r="L633" t="str">
        <f t="shared" si="64"/>
        <v/>
      </c>
      <c r="M633">
        <v>0</v>
      </c>
      <c r="N633" t="str">
        <f>IF(VALUE(M633)=0,"",VLOOKUP(VLOOKUP(M633,Tbl_Effect[],3,FALSE),EffectName[],IFERROR(MATCH(UI!$B$1,EffectName[#Headers],0),2),FALSE))</f>
        <v/>
      </c>
      <c r="O633" t="str">
        <f t="shared" si="65"/>
        <v/>
      </c>
      <c r="P633">
        <v>0</v>
      </c>
      <c r="Q633" t="str">
        <f>IF(VALUE(P633)=0,"",VLOOKUP(VLOOKUP(P633,Tbl_Effect[],3,FALSE),EffectName[],IFERROR(MATCH(UI!$B$1,EffectName[#Headers],0),2),FALSE))</f>
        <v/>
      </c>
      <c r="R633" t="str">
        <f t="shared" si="66"/>
        <v/>
      </c>
      <c r="S633">
        <v>0</v>
      </c>
      <c r="T633" t="str">
        <f>IF(VALUE(S633)=0,"",VLOOKUP(VLOOKUP(S633,Tbl_Effect[],3,FALSE),EffectName[],IFERROR(MATCH(UI!$B$1,EffectName[#Headers],0),2),FALSE))</f>
        <v/>
      </c>
      <c r="U633" t="str">
        <f t="shared" si="67"/>
        <v/>
      </c>
      <c r="V633">
        <v>0</v>
      </c>
      <c r="W633" t="str">
        <f>IF(V633&lt;&gt;0,VLOOKUP(VLOOKUP(V633,Tbl_Effect[],3,FALSE),EffectName[],IFERROR(MATCH(UI!$B$1,EffectName[#Headers],0),2),FALSE),"")</f>
        <v/>
      </c>
      <c r="X633" t="str">
        <f t="shared" si="68"/>
        <v/>
      </c>
      <c r="Y633">
        <v>0</v>
      </c>
      <c r="Z633" t="str">
        <f>IF(Y633&lt;&gt;0,VLOOKUP(VLOOKUP(Y633,Tbl_Effect[],3,FALSE),EffectName[],IFERROR(MATCH(UI!$B$1,EffectName[#Headers],0),2),FALSE),"")</f>
        <v/>
      </c>
      <c r="AA633" t="str">
        <f t="shared" si="69"/>
        <v/>
      </c>
      <c r="AB633">
        <v>0</v>
      </c>
      <c r="AC633" t="str">
        <f>IF(AB633&lt;&gt;0,VLOOKUP(VLOOKUP(AB633,Tbl_Effect[],3,FALSE),EffectName[],IFERROR(MATCH(UI!$B$1,EffectName[#Headers],0),2),FALSE),"")</f>
        <v/>
      </c>
    </row>
    <row r="634" spans="8:29" x14ac:dyDescent="0.4">
      <c r="H634" t="str">
        <f t="shared" si="63"/>
        <v>1009322-遼闊的幽靜情景 (綠)</v>
      </c>
      <c r="I634">
        <v>1009322</v>
      </c>
      <c r="J634" t="str">
        <f>_xlfn.IFNA(IF(I634&lt;&gt;0,VLOOKUP(VLOOKUP(I634,Tbl_Equip[],2,FALSE),Tbl_Color[],IFERROR(MATCH(UI!$B$1,Tbl_Color[#Headers],0),2),FALSE),""),"Unset")</f>
        <v>綠</v>
      </c>
      <c r="K634" t="str">
        <f>_xlfn.IFNA(IF(I634&lt;&gt;0,VLOOKUP(I634,ItemText[],IFERROR(MATCH(UI!$B$1,ItemText[#Headers],0),2),FALSE),""),"Unset")</f>
        <v>遼闊的幽靜情景</v>
      </c>
      <c r="L634" t="str">
        <f t="shared" si="64"/>
        <v/>
      </c>
      <c r="M634">
        <v>0</v>
      </c>
      <c r="N634" t="str">
        <f>IF(VALUE(M634)=0,"",VLOOKUP(VLOOKUP(M634,Tbl_Effect[],3,FALSE),EffectName[],IFERROR(MATCH(UI!$B$1,EffectName[#Headers],0),2),FALSE))</f>
        <v/>
      </c>
      <c r="O634" t="str">
        <f t="shared" si="65"/>
        <v/>
      </c>
      <c r="P634">
        <v>0</v>
      </c>
      <c r="Q634" t="str">
        <f>IF(VALUE(P634)=0,"",VLOOKUP(VLOOKUP(P634,Tbl_Effect[],3,FALSE),EffectName[],IFERROR(MATCH(UI!$B$1,EffectName[#Headers],0),2),FALSE))</f>
        <v/>
      </c>
      <c r="R634" t="str">
        <f t="shared" si="66"/>
        <v/>
      </c>
      <c r="S634">
        <v>0</v>
      </c>
      <c r="T634" t="str">
        <f>IF(VALUE(S634)=0,"",VLOOKUP(VLOOKUP(S634,Tbl_Effect[],3,FALSE),EffectName[],IFERROR(MATCH(UI!$B$1,EffectName[#Headers],0),2),FALSE))</f>
        <v/>
      </c>
      <c r="U634" t="str">
        <f t="shared" si="67"/>
        <v/>
      </c>
      <c r="V634">
        <v>0</v>
      </c>
      <c r="W634" t="str">
        <f>IF(V634&lt;&gt;0,VLOOKUP(VLOOKUP(V634,Tbl_Effect[],3,FALSE),EffectName[],IFERROR(MATCH(UI!$B$1,EffectName[#Headers],0),2),FALSE),"")</f>
        <v/>
      </c>
      <c r="X634" t="str">
        <f t="shared" si="68"/>
        <v/>
      </c>
      <c r="Y634">
        <v>0</v>
      </c>
      <c r="Z634" t="str">
        <f>IF(Y634&lt;&gt;0,VLOOKUP(VLOOKUP(Y634,Tbl_Effect[],3,FALSE),EffectName[],IFERROR(MATCH(UI!$B$1,EffectName[#Headers],0),2),FALSE),"")</f>
        <v/>
      </c>
      <c r="AA634" t="str">
        <f t="shared" si="69"/>
        <v/>
      </c>
      <c r="AB634">
        <v>0</v>
      </c>
      <c r="AC634" t="str">
        <f>IF(AB634&lt;&gt;0,VLOOKUP(VLOOKUP(AB634,Tbl_Effect[],3,FALSE),EffectName[],IFERROR(MATCH(UI!$B$1,EffectName[#Headers],0),2),FALSE),"")</f>
        <v/>
      </c>
    </row>
    <row r="635" spans="8:29" x14ac:dyDescent="0.4">
      <c r="H635" t="str">
        <f t="shared" si="63"/>
        <v>2000000-細膩的火燃暗淡情景 (紅)</v>
      </c>
      <c r="I635">
        <v>2000000</v>
      </c>
      <c r="J635" t="str">
        <f>_xlfn.IFNA(IF(I635&lt;&gt;0,VLOOKUP(VLOOKUP(I635,Tbl_Equip[],2,FALSE),Tbl_Color[],IFERROR(MATCH(UI!$B$1,Tbl_Color[#Headers],0),2),FALSE),""),"Unset")</f>
        <v>紅</v>
      </c>
      <c r="K635" t="str">
        <f>_xlfn.IFNA(IF(I635&lt;&gt;0,VLOOKUP(I635,ItemText[],IFERROR(MATCH(UI!$B$1,ItemText[#Headers],0),2),FALSE),""),"Unset")</f>
        <v>細膩的火燃暗淡情景</v>
      </c>
      <c r="L635" t="str">
        <f t="shared" si="64"/>
        <v/>
      </c>
      <c r="M635">
        <v>0</v>
      </c>
      <c r="N635" t="str">
        <f>IF(VALUE(M635)=0,"",VLOOKUP(VLOOKUP(M635,Tbl_Effect[],3,FALSE),EffectName[],IFERROR(MATCH(UI!$B$1,EffectName[#Headers],0),2),FALSE))</f>
        <v/>
      </c>
      <c r="O635" t="str">
        <f t="shared" si="65"/>
        <v/>
      </c>
      <c r="P635">
        <v>0</v>
      </c>
      <c r="Q635" t="str">
        <f>IF(VALUE(P635)=0,"",VLOOKUP(VLOOKUP(P635,Tbl_Effect[],3,FALSE),EffectName[],IFERROR(MATCH(UI!$B$1,EffectName[#Headers],0),2),FALSE))</f>
        <v/>
      </c>
      <c r="R635" t="str">
        <f t="shared" si="66"/>
        <v/>
      </c>
      <c r="S635">
        <v>0</v>
      </c>
      <c r="T635" t="str">
        <f>IF(VALUE(S635)=0,"",VLOOKUP(VLOOKUP(S635,Tbl_Effect[],3,FALSE),EffectName[],IFERROR(MATCH(UI!$B$1,EffectName[#Headers],0),2),FALSE))</f>
        <v/>
      </c>
      <c r="U635" t="str">
        <f t="shared" si="67"/>
        <v/>
      </c>
      <c r="V635">
        <v>0</v>
      </c>
      <c r="W635" t="str">
        <f>IF(V635&lt;&gt;0,VLOOKUP(VLOOKUP(V635,Tbl_Effect[],3,FALSE),EffectName[],IFERROR(MATCH(UI!$B$1,EffectName[#Headers],0),2),FALSE),"")</f>
        <v/>
      </c>
      <c r="X635" t="str">
        <f t="shared" si="68"/>
        <v/>
      </c>
      <c r="Y635">
        <v>0</v>
      </c>
      <c r="Z635" t="str">
        <f>IF(Y635&lt;&gt;0,VLOOKUP(VLOOKUP(Y635,Tbl_Effect[],3,FALSE),EffectName[],IFERROR(MATCH(UI!$B$1,EffectName[#Headers],0),2),FALSE),"")</f>
        <v/>
      </c>
      <c r="AA635" t="str">
        <f t="shared" si="69"/>
        <v/>
      </c>
      <c r="AB635">
        <v>0</v>
      </c>
      <c r="AC635" t="str">
        <f>IF(AB635&lt;&gt;0,VLOOKUP(VLOOKUP(AB635,Tbl_Effect[],3,FALSE),EffectName[],IFERROR(MATCH(UI!$B$1,EffectName[#Headers],0),2),FALSE),"")</f>
        <v/>
      </c>
    </row>
    <row r="636" spans="8:29" x14ac:dyDescent="0.4">
      <c r="H636" t="str">
        <f t="shared" si="63"/>
        <v>2000001-端正的火燃暗淡情景 (紅)</v>
      </c>
      <c r="I636">
        <v>2000001</v>
      </c>
      <c r="J636" t="str">
        <f>_xlfn.IFNA(IF(I636&lt;&gt;0,VLOOKUP(VLOOKUP(I636,Tbl_Equip[],2,FALSE),Tbl_Color[],IFERROR(MATCH(UI!$B$1,Tbl_Color[#Headers],0),2),FALSE),""),"Unset")</f>
        <v>紅</v>
      </c>
      <c r="K636" t="str">
        <f>_xlfn.IFNA(IF(I636&lt;&gt;0,VLOOKUP(I636,ItemText[],IFERROR(MATCH(UI!$B$1,ItemText[#Headers],0),2),FALSE),""),"Unset")</f>
        <v>端正的火燃暗淡情景</v>
      </c>
      <c r="L636" t="str">
        <f t="shared" si="64"/>
        <v/>
      </c>
      <c r="M636">
        <v>0</v>
      </c>
      <c r="N636" t="str">
        <f>IF(VALUE(M636)=0,"",VLOOKUP(VLOOKUP(M636,Tbl_Effect[],3,FALSE),EffectName[],IFERROR(MATCH(UI!$B$1,EffectName[#Headers],0),2),FALSE))</f>
        <v/>
      </c>
      <c r="O636" t="str">
        <f t="shared" si="65"/>
        <v/>
      </c>
      <c r="P636">
        <v>0</v>
      </c>
      <c r="Q636" t="str">
        <f>IF(VALUE(P636)=0,"",VLOOKUP(VLOOKUP(P636,Tbl_Effect[],3,FALSE),EffectName[],IFERROR(MATCH(UI!$B$1,EffectName[#Headers],0),2),FALSE))</f>
        <v/>
      </c>
      <c r="R636" t="str">
        <f t="shared" si="66"/>
        <v/>
      </c>
      <c r="S636">
        <v>0</v>
      </c>
      <c r="T636" t="str">
        <f>IF(VALUE(S636)=0,"",VLOOKUP(VLOOKUP(S636,Tbl_Effect[],3,FALSE),EffectName[],IFERROR(MATCH(UI!$B$1,EffectName[#Headers],0),2),FALSE))</f>
        <v/>
      </c>
      <c r="U636" t="str">
        <f t="shared" si="67"/>
        <v/>
      </c>
      <c r="V636">
        <v>0</v>
      </c>
      <c r="W636" t="str">
        <f>IF(V636&lt;&gt;0,VLOOKUP(VLOOKUP(V636,Tbl_Effect[],3,FALSE),EffectName[],IFERROR(MATCH(UI!$B$1,EffectName[#Headers],0),2),FALSE),"")</f>
        <v/>
      </c>
      <c r="X636" t="str">
        <f t="shared" si="68"/>
        <v/>
      </c>
      <c r="Y636">
        <v>0</v>
      </c>
      <c r="Z636" t="str">
        <f>IF(Y636&lt;&gt;0,VLOOKUP(VLOOKUP(Y636,Tbl_Effect[],3,FALSE),EffectName[],IFERROR(MATCH(UI!$B$1,EffectName[#Headers],0),2),FALSE),"")</f>
        <v/>
      </c>
      <c r="AA636" t="str">
        <f t="shared" si="69"/>
        <v/>
      </c>
      <c r="AB636">
        <v>0</v>
      </c>
      <c r="AC636" t="str">
        <f>IF(AB636&lt;&gt;0,VLOOKUP(VLOOKUP(AB636,Tbl_Effect[],3,FALSE),EffectName[],IFERROR(MATCH(UI!$B$1,EffectName[#Headers],0),2),FALSE),"")</f>
        <v/>
      </c>
    </row>
    <row r="637" spans="8:29" x14ac:dyDescent="0.4">
      <c r="H637" t="str">
        <f t="shared" si="63"/>
        <v>2000002-遼闊的火燃暗淡情景 (紅)</v>
      </c>
      <c r="I637">
        <v>2000002</v>
      </c>
      <c r="J637" t="str">
        <f>_xlfn.IFNA(IF(I637&lt;&gt;0,VLOOKUP(VLOOKUP(I637,Tbl_Equip[],2,FALSE),Tbl_Color[],IFERROR(MATCH(UI!$B$1,Tbl_Color[#Headers],0),2),FALSE),""),"Unset")</f>
        <v>紅</v>
      </c>
      <c r="K637" t="str">
        <f>_xlfn.IFNA(IF(I637&lt;&gt;0,VLOOKUP(I637,ItemText[],IFERROR(MATCH(UI!$B$1,ItemText[#Headers],0),2),FALSE),""),"Unset")</f>
        <v>遼闊的火燃暗淡情景</v>
      </c>
      <c r="L637" t="str">
        <f t="shared" si="64"/>
        <v/>
      </c>
      <c r="M637">
        <v>0</v>
      </c>
      <c r="N637" t="str">
        <f>IF(VALUE(M637)=0,"",VLOOKUP(VLOOKUP(M637,Tbl_Effect[],3,FALSE),EffectName[],IFERROR(MATCH(UI!$B$1,EffectName[#Headers],0),2),FALSE))</f>
        <v/>
      </c>
      <c r="O637" t="str">
        <f t="shared" si="65"/>
        <v/>
      </c>
      <c r="P637">
        <v>0</v>
      </c>
      <c r="Q637" t="str">
        <f>IF(VALUE(P637)=0,"",VLOOKUP(VLOOKUP(P637,Tbl_Effect[],3,FALSE),EffectName[],IFERROR(MATCH(UI!$B$1,EffectName[#Headers],0),2),FALSE))</f>
        <v/>
      </c>
      <c r="R637" t="str">
        <f t="shared" si="66"/>
        <v/>
      </c>
      <c r="S637">
        <v>0</v>
      </c>
      <c r="T637" t="str">
        <f>IF(VALUE(S637)=0,"",VLOOKUP(VLOOKUP(S637,Tbl_Effect[],3,FALSE),EffectName[],IFERROR(MATCH(UI!$B$1,EffectName[#Headers],0),2),FALSE))</f>
        <v/>
      </c>
      <c r="U637" t="str">
        <f t="shared" si="67"/>
        <v/>
      </c>
      <c r="V637">
        <v>0</v>
      </c>
      <c r="W637" t="str">
        <f>IF(V637&lt;&gt;0,VLOOKUP(VLOOKUP(V637,Tbl_Effect[],3,FALSE),EffectName[],IFERROR(MATCH(UI!$B$1,EffectName[#Headers],0),2),FALSE),"")</f>
        <v/>
      </c>
      <c r="X637" t="str">
        <f t="shared" si="68"/>
        <v/>
      </c>
      <c r="Y637">
        <v>0</v>
      </c>
      <c r="Z637" t="str">
        <f>IF(Y637&lt;&gt;0,VLOOKUP(VLOOKUP(Y637,Tbl_Effect[],3,FALSE),EffectName[],IFERROR(MATCH(UI!$B$1,EffectName[#Headers],0),2),FALSE),"")</f>
        <v/>
      </c>
      <c r="AA637" t="str">
        <f t="shared" si="69"/>
        <v/>
      </c>
      <c r="AB637">
        <v>0</v>
      </c>
      <c r="AC637" t="str">
        <f>IF(AB637&lt;&gt;0,VLOOKUP(VLOOKUP(AB637,Tbl_Effect[],3,FALSE),EffectName[],IFERROR(MATCH(UI!$B$1,EffectName[#Headers],0),2),FALSE),"")</f>
        <v/>
      </c>
    </row>
    <row r="638" spans="8:29" x14ac:dyDescent="0.4">
      <c r="H638" t="str">
        <f t="shared" si="63"/>
        <v>2000010-細膩的火燃暗淡情景 (紅)</v>
      </c>
      <c r="I638">
        <v>2000010</v>
      </c>
      <c r="J638" t="str">
        <f>_xlfn.IFNA(IF(I638&lt;&gt;0,VLOOKUP(VLOOKUP(I638,Tbl_Equip[],2,FALSE),Tbl_Color[],IFERROR(MATCH(UI!$B$1,Tbl_Color[#Headers],0),2),FALSE),""),"Unset")</f>
        <v>紅</v>
      </c>
      <c r="K638" t="str">
        <f>_xlfn.IFNA(IF(I638&lt;&gt;0,VLOOKUP(I638,ItemText[],IFERROR(MATCH(UI!$B$1,ItemText[#Headers],0),2),FALSE),""),"Unset")</f>
        <v>細膩的火燃暗淡情景</v>
      </c>
      <c r="L638" t="str">
        <f t="shared" si="64"/>
        <v/>
      </c>
      <c r="M638">
        <v>0</v>
      </c>
      <c r="N638" t="str">
        <f>IF(VALUE(M638)=0,"",VLOOKUP(VLOOKUP(M638,Tbl_Effect[],3,FALSE),EffectName[],IFERROR(MATCH(UI!$B$1,EffectName[#Headers],0),2),FALSE))</f>
        <v/>
      </c>
      <c r="O638" t="str">
        <f t="shared" si="65"/>
        <v/>
      </c>
      <c r="P638">
        <v>0</v>
      </c>
      <c r="Q638" t="str">
        <f>IF(VALUE(P638)=0,"",VLOOKUP(VLOOKUP(P638,Tbl_Effect[],3,FALSE),EffectName[],IFERROR(MATCH(UI!$B$1,EffectName[#Headers],0),2),FALSE))</f>
        <v/>
      </c>
      <c r="R638" t="str">
        <f t="shared" si="66"/>
        <v/>
      </c>
      <c r="S638">
        <v>0</v>
      </c>
      <c r="T638" t="str">
        <f>IF(VALUE(S638)=0,"",VLOOKUP(VLOOKUP(S638,Tbl_Effect[],3,FALSE),EffectName[],IFERROR(MATCH(UI!$B$1,EffectName[#Headers],0),2),FALSE))</f>
        <v/>
      </c>
      <c r="U638" t="str">
        <f t="shared" si="67"/>
        <v/>
      </c>
      <c r="V638">
        <v>0</v>
      </c>
      <c r="W638" t="str">
        <f>IF(V638&lt;&gt;0,VLOOKUP(VLOOKUP(V638,Tbl_Effect[],3,FALSE),EffectName[],IFERROR(MATCH(UI!$B$1,EffectName[#Headers],0),2),FALSE),"")</f>
        <v/>
      </c>
      <c r="X638" t="str">
        <f t="shared" si="68"/>
        <v/>
      </c>
      <c r="Y638">
        <v>0</v>
      </c>
      <c r="Z638" t="str">
        <f>IF(Y638&lt;&gt;0,VLOOKUP(VLOOKUP(Y638,Tbl_Effect[],3,FALSE),EffectName[],IFERROR(MATCH(UI!$B$1,EffectName[#Headers],0),2),FALSE),"")</f>
        <v/>
      </c>
      <c r="AA638" t="str">
        <f t="shared" si="69"/>
        <v/>
      </c>
      <c r="AB638">
        <v>0</v>
      </c>
      <c r="AC638" t="str">
        <f>IF(AB638&lt;&gt;0,VLOOKUP(VLOOKUP(AB638,Tbl_Effect[],3,FALSE),EffectName[],IFERROR(MATCH(UI!$B$1,EffectName[#Headers],0),2),FALSE),"")</f>
        <v/>
      </c>
    </row>
    <row r="639" spans="8:29" x14ac:dyDescent="0.4">
      <c r="H639" t="str">
        <f t="shared" si="63"/>
        <v>2000011-端正的火燃暗淡情景 (紅)</v>
      </c>
      <c r="I639">
        <v>2000011</v>
      </c>
      <c r="J639" t="str">
        <f>_xlfn.IFNA(IF(I639&lt;&gt;0,VLOOKUP(VLOOKUP(I639,Tbl_Equip[],2,FALSE),Tbl_Color[],IFERROR(MATCH(UI!$B$1,Tbl_Color[#Headers],0),2),FALSE),""),"Unset")</f>
        <v>紅</v>
      </c>
      <c r="K639" t="str">
        <f>_xlfn.IFNA(IF(I639&lt;&gt;0,VLOOKUP(I639,ItemText[],IFERROR(MATCH(UI!$B$1,ItemText[#Headers],0),2),FALSE),""),"Unset")</f>
        <v>端正的火燃暗淡情景</v>
      </c>
      <c r="L639" t="str">
        <f t="shared" si="64"/>
        <v/>
      </c>
      <c r="M639">
        <v>0</v>
      </c>
      <c r="N639" t="str">
        <f>IF(VALUE(M639)=0,"",VLOOKUP(VLOOKUP(M639,Tbl_Effect[],3,FALSE),EffectName[],IFERROR(MATCH(UI!$B$1,EffectName[#Headers],0),2),FALSE))</f>
        <v/>
      </c>
      <c r="O639" t="str">
        <f t="shared" si="65"/>
        <v/>
      </c>
      <c r="P639">
        <v>0</v>
      </c>
      <c r="Q639" t="str">
        <f>IF(VALUE(P639)=0,"",VLOOKUP(VLOOKUP(P639,Tbl_Effect[],3,FALSE),EffectName[],IFERROR(MATCH(UI!$B$1,EffectName[#Headers],0),2),FALSE))</f>
        <v/>
      </c>
      <c r="R639" t="str">
        <f t="shared" si="66"/>
        <v/>
      </c>
      <c r="S639">
        <v>0</v>
      </c>
      <c r="T639" t="str">
        <f>IF(VALUE(S639)=0,"",VLOOKUP(VLOOKUP(S639,Tbl_Effect[],3,FALSE),EffectName[],IFERROR(MATCH(UI!$B$1,EffectName[#Headers],0),2),FALSE))</f>
        <v/>
      </c>
      <c r="U639" t="str">
        <f t="shared" si="67"/>
        <v/>
      </c>
      <c r="V639">
        <v>0</v>
      </c>
      <c r="W639" t="str">
        <f>IF(V639&lt;&gt;0,VLOOKUP(VLOOKUP(V639,Tbl_Effect[],3,FALSE),EffectName[],IFERROR(MATCH(UI!$B$1,EffectName[#Headers],0),2),FALSE),"")</f>
        <v/>
      </c>
      <c r="X639" t="str">
        <f t="shared" si="68"/>
        <v/>
      </c>
      <c r="Y639">
        <v>0</v>
      </c>
      <c r="Z639" t="str">
        <f>IF(Y639&lt;&gt;0,VLOOKUP(VLOOKUP(Y639,Tbl_Effect[],3,FALSE),EffectName[],IFERROR(MATCH(UI!$B$1,EffectName[#Headers],0),2),FALSE),"")</f>
        <v/>
      </c>
      <c r="AA639" t="str">
        <f t="shared" si="69"/>
        <v/>
      </c>
      <c r="AB639">
        <v>0</v>
      </c>
      <c r="AC639" t="str">
        <f>IF(AB639&lt;&gt;0,VLOOKUP(VLOOKUP(AB639,Tbl_Effect[],3,FALSE),EffectName[],IFERROR(MATCH(UI!$B$1,EffectName[#Headers],0),2),FALSE),"")</f>
        <v/>
      </c>
    </row>
    <row r="640" spans="8:29" x14ac:dyDescent="0.4">
      <c r="H640" t="str">
        <f t="shared" si="63"/>
        <v>2000012-遼闊的火燃暗淡情景 (紅)</v>
      </c>
      <c r="I640">
        <v>2000012</v>
      </c>
      <c r="J640" t="str">
        <f>_xlfn.IFNA(IF(I640&lt;&gt;0,VLOOKUP(VLOOKUP(I640,Tbl_Equip[],2,FALSE),Tbl_Color[],IFERROR(MATCH(UI!$B$1,Tbl_Color[#Headers],0),2),FALSE),""),"Unset")</f>
        <v>紅</v>
      </c>
      <c r="K640" t="str">
        <f>_xlfn.IFNA(IF(I640&lt;&gt;0,VLOOKUP(I640,ItemText[],IFERROR(MATCH(UI!$B$1,ItemText[#Headers],0),2),FALSE),""),"Unset")</f>
        <v>遼闊的火燃暗淡情景</v>
      </c>
      <c r="L640" t="str">
        <f t="shared" si="64"/>
        <v/>
      </c>
      <c r="M640">
        <v>0</v>
      </c>
      <c r="N640" t="str">
        <f>IF(VALUE(M640)=0,"",VLOOKUP(VLOOKUP(M640,Tbl_Effect[],3,FALSE),EffectName[],IFERROR(MATCH(UI!$B$1,EffectName[#Headers],0),2),FALSE))</f>
        <v/>
      </c>
      <c r="O640" t="str">
        <f t="shared" si="65"/>
        <v/>
      </c>
      <c r="P640">
        <v>0</v>
      </c>
      <c r="Q640" t="str">
        <f>IF(VALUE(P640)=0,"",VLOOKUP(VLOOKUP(P640,Tbl_Effect[],3,FALSE),EffectName[],IFERROR(MATCH(UI!$B$1,EffectName[#Headers],0),2),FALSE))</f>
        <v/>
      </c>
      <c r="R640" t="str">
        <f t="shared" si="66"/>
        <v/>
      </c>
      <c r="S640">
        <v>0</v>
      </c>
      <c r="T640" t="str">
        <f>IF(VALUE(S640)=0,"",VLOOKUP(VLOOKUP(S640,Tbl_Effect[],3,FALSE),EffectName[],IFERROR(MATCH(UI!$B$1,EffectName[#Headers],0),2),FALSE))</f>
        <v/>
      </c>
      <c r="U640" t="str">
        <f t="shared" si="67"/>
        <v/>
      </c>
      <c r="V640">
        <v>0</v>
      </c>
      <c r="W640" t="str">
        <f>IF(V640&lt;&gt;0,VLOOKUP(VLOOKUP(V640,Tbl_Effect[],3,FALSE),EffectName[],IFERROR(MATCH(UI!$B$1,EffectName[#Headers],0),2),FALSE),"")</f>
        <v/>
      </c>
      <c r="X640" t="str">
        <f t="shared" si="68"/>
        <v/>
      </c>
      <c r="Y640">
        <v>0</v>
      </c>
      <c r="Z640" t="str">
        <f>IF(Y640&lt;&gt;0,VLOOKUP(VLOOKUP(Y640,Tbl_Effect[],3,FALSE),EffectName[],IFERROR(MATCH(UI!$B$1,EffectName[#Headers],0),2),FALSE),"")</f>
        <v/>
      </c>
      <c r="AA640" t="str">
        <f t="shared" si="69"/>
        <v/>
      </c>
      <c r="AB640">
        <v>0</v>
      </c>
      <c r="AC640" t="str">
        <f>IF(AB640&lt;&gt;0,VLOOKUP(VLOOKUP(AB640,Tbl_Effect[],3,FALSE),EffectName[],IFERROR(MATCH(UI!$B$1,EffectName[#Headers],0),2),FALSE),"")</f>
        <v/>
      </c>
    </row>
    <row r="641" spans="8:29" x14ac:dyDescent="0.4">
      <c r="H641" t="str">
        <f t="shared" si="63"/>
        <v>2000020-細膩的火燃暗淡情景 (紅)</v>
      </c>
      <c r="I641">
        <v>2000020</v>
      </c>
      <c r="J641" t="str">
        <f>_xlfn.IFNA(IF(I641&lt;&gt;0,VLOOKUP(VLOOKUP(I641,Tbl_Equip[],2,FALSE),Tbl_Color[],IFERROR(MATCH(UI!$B$1,Tbl_Color[#Headers],0),2),FALSE),""),"Unset")</f>
        <v>紅</v>
      </c>
      <c r="K641" t="str">
        <f>_xlfn.IFNA(IF(I641&lt;&gt;0,VLOOKUP(I641,ItemText[],IFERROR(MATCH(UI!$B$1,ItemText[#Headers],0),2),FALSE),""),"Unset")</f>
        <v>細膩的火燃暗淡情景</v>
      </c>
      <c r="L641" t="str">
        <f t="shared" si="64"/>
        <v/>
      </c>
      <c r="M641">
        <v>0</v>
      </c>
      <c r="N641" t="str">
        <f>IF(VALUE(M641)=0,"",VLOOKUP(VLOOKUP(M641,Tbl_Effect[],3,FALSE),EffectName[],IFERROR(MATCH(UI!$B$1,EffectName[#Headers],0),2),FALSE))</f>
        <v/>
      </c>
      <c r="O641" t="str">
        <f t="shared" si="65"/>
        <v/>
      </c>
      <c r="P641">
        <v>0</v>
      </c>
      <c r="Q641" t="str">
        <f>IF(VALUE(P641)=0,"",VLOOKUP(VLOOKUP(P641,Tbl_Effect[],3,FALSE),EffectName[],IFERROR(MATCH(UI!$B$1,EffectName[#Headers],0),2),FALSE))</f>
        <v/>
      </c>
      <c r="R641" t="str">
        <f t="shared" si="66"/>
        <v/>
      </c>
      <c r="S641">
        <v>0</v>
      </c>
      <c r="T641" t="str">
        <f>IF(VALUE(S641)=0,"",VLOOKUP(VLOOKUP(S641,Tbl_Effect[],3,FALSE),EffectName[],IFERROR(MATCH(UI!$B$1,EffectName[#Headers],0),2),FALSE))</f>
        <v/>
      </c>
      <c r="U641" t="str">
        <f t="shared" si="67"/>
        <v/>
      </c>
      <c r="V641">
        <v>0</v>
      </c>
      <c r="W641" t="str">
        <f>IF(V641&lt;&gt;0,VLOOKUP(VLOOKUP(V641,Tbl_Effect[],3,FALSE),EffectName[],IFERROR(MATCH(UI!$B$1,EffectName[#Headers],0),2),FALSE),"")</f>
        <v/>
      </c>
      <c r="X641" t="str">
        <f t="shared" si="68"/>
        <v/>
      </c>
      <c r="Y641">
        <v>0</v>
      </c>
      <c r="Z641" t="str">
        <f>IF(Y641&lt;&gt;0,VLOOKUP(VLOOKUP(Y641,Tbl_Effect[],3,FALSE),EffectName[],IFERROR(MATCH(UI!$B$1,EffectName[#Headers],0),2),FALSE),"")</f>
        <v/>
      </c>
      <c r="AA641" t="str">
        <f t="shared" si="69"/>
        <v/>
      </c>
      <c r="AB641">
        <v>0</v>
      </c>
      <c r="AC641" t="str">
        <f>IF(AB641&lt;&gt;0,VLOOKUP(VLOOKUP(AB641,Tbl_Effect[],3,FALSE),EffectName[],IFERROR(MATCH(UI!$B$1,EffectName[#Headers],0),2),FALSE),"")</f>
        <v/>
      </c>
    </row>
    <row r="642" spans="8:29" x14ac:dyDescent="0.4">
      <c r="H642" t="str">
        <f t="shared" si="63"/>
        <v>2000021-端正的火燃暗淡情景 (紅)</v>
      </c>
      <c r="I642">
        <v>2000021</v>
      </c>
      <c r="J642" t="str">
        <f>_xlfn.IFNA(IF(I642&lt;&gt;0,VLOOKUP(VLOOKUP(I642,Tbl_Equip[],2,FALSE),Tbl_Color[],IFERROR(MATCH(UI!$B$1,Tbl_Color[#Headers],0),2),FALSE),""),"Unset")</f>
        <v>紅</v>
      </c>
      <c r="K642" t="str">
        <f>_xlfn.IFNA(IF(I642&lt;&gt;0,VLOOKUP(I642,ItemText[],IFERROR(MATCH(UI!$B$1,ItemText[#Headers],0),2),FALSE),""),"Unset")</f>
        <v>端正的火燃暗淡情景</v>
      </c>
      <c r="L642" t="str">
        <f t="shared" si="64"/>
        <v/>
      </c>
      <c r="M642">
        <v>0</v>
      </c>
      <c r="N642" t="str">
        <f>IF(VALUE(M642)=0,"",VLOOKUP(VLOOKUP(M642,Tbl_Effect[],3,FALSE),EffectName[],IFERROR(MATCH(UI!$B$1,EffectName[#Headers],0),2),FALSE))</f>
        <v/>
      </c>
      <c r="O642" t="str">
        <f t="shared" si="65"/>
        <v/>
      </c>
      <c r="P642">
        <v>0</v>
      </c>
      <c r="Q642" t="str">
        <f>IF(VALUE(P642)=0,"",VLOOKUP(VLOOKUP(P642,Tbl_Effect[],3,FALSE),EffectName[],IFERROR(MATCH(UI!$B$1,EffectName[#Headers],0),2),FALSE))</f>
        <v/>
      </c>
      <c r="R642" t="str">
        <f t="shared" si="66"/>
        <v/>
      </c>
      <c r="S642">
        <v>0</v>
      </c>
      <c r="T642" t="str">
        <f>IF(VALUE(S642)=0,"",VLOOKUP(VLOOKUP(S642,Tbl_Effect[],3,FALSE),EffectName[],IFERROR(MATCH(UI!$B$1,EffectName[#Headers],0),2),FALSE))</f>
        <v/>
      </c>
      <c r="U642" t="str">
        <f t="shared" si="67"/>
        <v/>
      </c>
      <c r="V642">
        <v>0</v>
      </c>
      <c r="W642" t="str">
        <f>IF(V642&lt;&gt;0,VLOOKUP(VLOOKUP(V642,Tbl_Effect[],3,FALSE),EffectName[],IFERROR(MATCH(UI!$B$1,EffectName[#Headers],0),2),FALSE),"")</f>
        <v/>
      </c>
      <c r="X642" t="str">
        <f t="shared" si="68"/>
        <v/>
      </c>
      <c r="Y642">
        <v>0</v>
      </c>
      <c r="Z642" t="str">
        <f>IF(Y642&lt;&gt;0,VLOOKUP(VLOOKUP(Y642,Tbl_Effect[],3,FALSE),EffectName[],IFERROR(MATCH(UI!$B$1,EffectName[#Headers],0),2),FALSE),"")</f>
        <v/>
      </c>
      <c r="AA642" t="str">
        <f t="shared" si="69"/>
        <v/>
      </c>
      <c r="AB642">
        <v>0</v>
      </c>
      <c r="AC642" t="str">
        <f>IF(AB642&lt;&gt;0,VLOOKUP(VLOOKUP(AB642,Tbl_Effect[],3,FALSE),EffectName[],IFERROR(MATCH(UI!$B$1,EffectName[#Headers],0),2),FALSE),"")</f>
        <v/>
      </c>
    </row>
    <row r="643" spans="8:29" x14ac:dyDescent="0.4">
      <c r="H643" t="str">
        <f t="shared" ref="H643:H706" si="70">IF(VALUE(I643)&lt;&gt;0,I643&amp;"-"&amp;K643&amp;" ("&amp;J643&amp;")","")</f>
        <v>2000022-遼闊的火燃暗淡情景 (紅)</v>
      </c>
      <c r="I643">
        <v>2000022</v>
      </c>
      <c r="J643" t="str">
        <f>_xlfn.IFNA(IF(I643&lt;&gt;0,VLOOKUP(VLOOKUP(I643,Tbl_Equip[],2,FALSE),Tbl_Color[],IFERROR(MATCH(UI!$B$1,Tbl_Color[#Headers],0),2),FALSE),""),"Unset")</f>
        <v>紅</v>
      </c>
      <c r="K643" t="str">
        <f>_xlfn.IFNA(IF(I643&lt;&gt;0,VLOOKUP(I643,ItemText[],IFERROR(MATCH(UI!$B$1,ItemText[#Headers],0),2),FALSE),""),"Unset")</f>
        <v>遼闊的火燃暗淡情景</v>
      </c>
      <c r="L643" t="str">
        <f t="shared" ref="L643:L706" si="71">IF(VALUE(M643)=0,"",M643&amp;"-"&amp;N643)</f>
        <v/>
      </c>
      <c r="M643">
        <v>0</v>
      </c>
      <c r="N643" t="str">
        <f>IF(VALUE(M643)=0,"",VLOOKUP(VLOOKUP(M643,Tbl_Effect[],3,FALSE),EffectName[],IFERROR(MATCH(UI!$B$1,EffectName[#Headers],0),2),FALSE))</f>
        <v/>
      </c>
      <c r="O643" t="str">
        <f t="shared" ref="O643:O706" si="72">IF(VALUE(P643)=0,"",P643&amp;"-"&amp;Q643)</f>
        <v/>
      </c>
      <c r="P643">
        <v>0</v>
      </c>
      <c r="Q643" t="str">
        <f>IF(VALUE(P643)=0,"",VLOOKUP(VLOOKUP(P643,Tbl_Effect[],3,FALSE),EffectName[],IFERROR(MATCH(UI!$B$1,EffectName[#Headers],0),2),FALSE))</f>
        <v/>
      </c>
      <c r="R643" t="str">
        <f t="shared" ref="R643:R706" si="73">IF(VALUE(S643)=0,"",S643&amp;"-"&amp;T643)</f>
        <v/>
      </c>
      <c r="S643">
        <v>0</v>
      </c>
      <c r="T643" t="str">
        <f>IF(VALUE(S643)=0,"",VLOOKUP(VLOOKUP(S643,Tbl_Effect[],3,FALSE),EffectName[],IFERROR(MATCH(UI!$B$1,EffectName[#Headers],0),2),FALSE))</f>
        <v/>
      </c>
      <c r="U643" t="str">
        <f t="shared" ref="U643:U706" si="74">IF(VALUE(V643)=0,"",V643&amp;"-"&amp;W643)</f>
        <v/>
      </c>
      <c r="V643">
        <v>0</v>
      </c>
      <c r="W643" t="str">
        <f>IF(V643&lt;&gt;0,VLOOKUP(VLOOKUP(V643,Tbl_Effect[],3,FALSE),EffectName[],IFERROR(MATCH(UI!$B$1,EffectName[#Headers],0),2),FALSE),"")</f>
        <v/>
      </c>
      <c r="X643" t="str">
        <f t="shared" ref="X643:X706" si="75">IF(VALUE(Y643)=0,"",Y643&amp;"-"&amp;Z643)</f>
        <v/>
      </c>
      <c r="Y643">
        <v>0</v>
      </c>
      <c r="Z643" t="str">
        <f>IF(Y643&lt;&gt;0,VLOOKUP(VLOOKUP(Y643,Tbl_Effect[],3,FALSE),EffectName[],IFERROR(MATCH(UI!$B$1,EffectName[#Headers],0),2),FALSE),"")</f>
        <v/>
      </c>
      <c r="AA643" t="str">
        <f t="shared" ref="AA643:AA706" si="76">IF(VALUE(AB643)=0,"",AB643&amp;"-"&amp;AC643)</f>
        <v/>
      </c>
      <c r="AB643">
        <v>0</v>
      </c>
      <c r="AC643" t="str">
        <f>IF(AB643&lt;&gt;0,VLOOKUP(VLOOKUP(AB643,Tbl_Effect[],3,FALSE),EffectName[],IFERROR(MATCH(UI!$B$1,EffectName[#Headers],0),2),FALSE),"")</f>
        <v/>
      </c>
    </row>
    <row r="644" spans="8:29" x14ac:dyDescent="0.4">
      <c r="H644" t="str">
        <f t="shared" si="70"/>
        <v>2000100-細膩的水滴暗淡情景 (藍)</v>
      </c>
      <c r="I644">
        <v>2000100</v>
      </c>
      <c r="J644" t="str">
        <f>_xlfn.IFNA(IF(I644&lt;&gt;0,VLOOKUP(VLOOKUP(I644,Tbl_Equip[],2,FALSE),Tbl_Color[],IFERROR(MATCH(UI!$B$1,Tbl_Color[#Headers],0),2),FALSE),""),"Unset")</f>
        <v>藍</v>
      </c>
      <c r="K644" t="str">
        <f>_xlfn.IFNA(IF(I644&lt;&gt;0,VLOOKUP(I644,ItemText[],IFERROR(MATCH(UI!$B$1,ItemText[#Headers],0),2),FALSE),""),"Unset")</f>
        <v>細膩的水滴暗淡情景</v>
      </c>
      <c r="L644" t="str">
        <f t="shared" si="71"/>
        <v/>
      </c>
      <c r="M644">
        <v>0</v>
      </c>
      <c r="N644" t="str">
        <f>IF(VALUE(M644)=0,"",VLOOKUP(VLOOKUP(M644,Tbl_Effect[],3,FALSE),EffectName[],IFERROR(MATCH(UI!$B$1,EffectName[#Headers],0),2),FALSE))</f>
        <v/>
      </c>
      <c r="O644" t="str">
        <f t="shared" si="72"/>
        <v/>
      </c>
      <c r="P644">
        <v>0</v>
      </c>
      <c r="Q644" t="str">
        <f>IF(VALUE(P644)=0,"",VLOOKUP(VLOOKUP(P644,Tbl_Effect[],3,FALSE),EffectName[],IFERROR(MATCH(UI!$B$1,EffectName[#Headers],0),2),FALSE))</f>
        <v/>
      </c>
      <c r="R644" t="str">
        <f t="shared" si="73"/>
        <v/>
      </c>
      <c r="S644">
        <v>0</v>
      </c>
      <c r="T644" t="str">
        <f>IF(VALUE(S644)=0,"",VLOOKUP(VLOOKUP(S644,Tbl_Effect[],3,FALSE),EffectName[],IFERROR(MATCH(UI!$B$1,EffectName[#Headers],0),2),FALSE))</f>
        <v/>
      </c>
      <c r="U644" t="str">
        <f t="shared" si="74"/>
        <v/>
      </c>
      <c r="V644">
        <v>0</v>
      </c>
      <c r="W644" t="str">
        <f>IF(V644&lt;&gt;0,VLOOKUP(VLOOKUP(V644,Tbl_Effect[],3,FALSE),EffectName[],IFERROR(MATCH(UI!$B$1,EffectName[#Headers],0),2),FALSE),"")</f>
        <v/>
      </c>
      <c r="X644" t="str">
        <f t="shared" si="75"/>
        <v/>
      </c>
      <c r="Y644">
        <v>0</v>
      </c>
      <c r="Z644" t="str">
        <f>IF(Y644&lt;&gt;0,VLOOKUP(VLOOKUP(Y644,Tbl_Effect[],3,FALSE),EffectName[],IFERROR(MATCH(UI!$B$1,EffectName[#Headers],0),2),FALSE),"")</f>
        <v/>
      </c>
      <c r="AA644" t="str">
        <f t="shared" si="76"/>
        <v/>
      </c>
      <c r="AB644">
        <v>0</v>
      </c>
      <c r="AC644" t="str">
        <f>IF(AB644&lt;&gt;0,VLOOKUP(VLOOKUP(AB644,Tbl_Effect[],3,FALSE),EffectName[],IFERROR(MATCH(UI!$B$1,EffectName[#Headers],0),2),FALSE),"")</f>
        <v/>
      </c>
    </row>
    <row r="645" spans="8:29" x14ac:dyDescent="0.4">
      <c r="H645" t="str">
        <f t="shared" si="70"/>
        <v>2000101-端正的水滴暗淡情景 (藍)</v>
      </c>
      <c r="I645">
        <v>2000101</v>
      </c>
      <c r="J645" t="str">
        <f>_xlfn.IFNA(IF(I645&lt;&gt;0,VLOOKUP(VLOOKUP(I645,Tbl_Equip[],2,FALSE),Tbl_Color[],IFERROR(MATCH(UI!$B$1,Tbl_Color[#Headers],0),2),FALSE),""),"Unset")</f>
        <v>藍</v>
      </c>
      <c r="K645" t="str">
        <f>_xlfn.IFNA(IF(I645&lt;&gt;0,VLOOKUP(I645,ItemText[],IFERROR(MATCH(UI!$B$1,ItemText[#Headers],0),2),FALSE),""),"Unset")</f>
        <v>端正的水滴暗淡情景</v>
      </c>
      <c r="L645" t="str">
        <f t="shared" si="71"/>
        <v/>
      </c>
      <c r="M645">
        <v>0</v>
      </c>
      <c r="N645" t="str">
        <f>IF(VALUE(M645)=0,"",VLOOKUP(VLOOKUP(M645,Tbl_Effect[],3,FALSE),EffectName[],IFERROR(MATCH(UI!$B$1,EffectName[#Headers],0),2),FALSE))</f>
        <v/>
      </c>
      <c r="O645" t="str">
        <f t="shared" si="72"/>
        <v/>
      </c>
      <c r="P645">
        <v>0</v>
      </c>
      <c r="Q645" t="str">
        <f>IF(VALUE(P645)=0,"",VLOOKUP(VLOOKUP(P645,Tbl_Effect[],3,FALSE),EffectName[],IFERROR(MATCH(UI!$B$1,EffectName[#Headers],0),2),FALSE))</f>
        <v/>
      </c>
      <c r="R645" t="str">
        <f t="shared" si="73"/>
        <v/>
      </c>
      <c r="S645">
        <v>0</v>
      </c>
      <c r="T645" t="str">
        <f>IF(VALUE(S645)=0,"",VLOOKUP(VLOOKUP(S645,Tbl_Effect[],3,FALSE),EffectName[],IFERROR(MATCH(UI!$B$1,EffectName[#Headers],0),2),FALSE))</f>
        <v/>
      </c>
      <c r="U645" t="str">
        <f t="shared" si="74"/>
        <v/>
      </c>
      <c r="V645">
        <v>0</v>
      </c>
      <c r="W645" t="str">
        <f>IF(V645&lt;&gt;0,VLOOKUP(VLOOKUP(V645,Tbl_Effect[],3,FALSE),EffectName[],IFERROR(MATCH(UI!$B$1,EffectName[#Headers],0),2),FALSE),"")</f>
        <v/>
      </c>
      <c r="X645" t="str">
        <f t="shared" si="75"/>
        <v/>
      </c>
      <c r="Y645">
        <v>0</v>
      </c>
      <c r="Z645" t="str">
        <f>IF(Y645&lt;&gt;0,VLOOKUP(VLOOKUP(Y645,Tbl_Effect[],3,FALSE),EffectName[],IFERROR(MATCH(UI!$B$1,EffectName[#Headers],0),2),FALSE),"")</f>
        <v/>
      </c>
      <c r="AA645" t="str">
        <f t="shared" si="76"/>
        <v/>
      </c>
      <c r="AB645">
        <v>0</v>
      </c>
      <c r="AC645" t="str">
        <f>IF(AB645&lt;&gt;0,VLOOKUP(VLOOKUP(AB645,Tbl_Effect[],3,FALSE),EffectName[],IFERROR(MATCH(UI!$B$1,EffectName[#Headers],0),2),FALSE),"")</f>
        <v/>
      </c>
    </row>
    <row r="646" spans="8:29" x14ac:dyDescent="0.4">
      <c r="H646" t="str">
        <f t="shared" si="70"/>
        <v>2000102-遼闊的水滴暗淡情景 (藍)</v>
      </c>
      <c r="I646">
        <v>2000102</v>
      </c>
      <c r="J646" t="str">
        <f>_xlfn.IFNA(IF(I646&lt;&gt;0,VLOOKUP(VLOOKUP(I646,Tbl_Equip[],2,FALSE),Tbl_Color[],IFERROR(MATCH(UI!$B$1,Tbl_Color[#Headers],0),2),FALSE),""),"Unset")</f>
        <v>藍</v>
      </c>
      <c r="K646" t="str">
        <f>_xlfn.IFNA(IF(I646&lt;&gt;0,VLOOKUP(I646,ItemText[],IFERROR(MATCH(UI!$B$1,ItemText[#Headers],0),2),FALSE),""),"Unset")</f>
        <v>遼闊的水滴暗淡情景</v>
      </c>
      <c r="L646" t="str">
        <f t="shared" si="71"/>
        <v/>
      </c>
      <c r="M646">
        <v>0</v>
      </c>
      <c r="N646" t="str">
        <f>IF(VALUE(M646)=0,"",VLOOKUP(VLOOKUP(M646,Tbl_Effect[],3,FALSE),EffectName[],IFERROR(MATCH(UI!$B$1,EffectName[#Headers],0),2),FALSE))</f>
        <v/>
      </c>
      <c r="O646" t="str">
        <f t="shared" si="72"/>
        <v/>
      </c>
      <c r="P646">
        <v>0</v>
      </c>
      <c r="Q646" t="str">
        <f>IF(VALUE(P646)=0,"",VLOOKUP(VLOOKUP(P646,Tbl_Effect[],3,FALSE),EffectName[],IFERROR(MATCH(UI!$B$1,EffectName[#Headers],0),2),FALSE))</f>
        <v/>
      </c>
      <c r="R646" t="str">
        <f t="shared" si="73"/>
        <v/>
      </c>
      <c r="S646">
        <v>0</v>
      </c>
      <c r="T646" t="str">
        <f>IF(VALUE(S646)=0,"",VLOOKUP(VLOOKUP(S646,Tbl_Effect[],3,FALSE),EffectName[],IFERROR(MATCH(UI!$B$1,EffectName[#Headers],0),2),FALSE))</f>
        <v/>
      </c>
      <c r="U646" t="str">
        <f t="shared" si="74"/>
        <v/>
      </c>
      <c r="V646">
        <v>0</v>
      </c>
      <c r="W646" t="str">
        <f>IF(V646&lt;&gt;0,VLOOKUP(VLOOKUP(V646,Tbl_Effect[],3,FALSE),EffectName[],IFERROR(MATCH(UI!$B$1,EffectName[#Headers],0),2),FALSE),"")</f>
        <v/>
      </c>
      <c r="X646" t="str">
        <f t="shared" si="75"/>
        <v/>
      </c>
      <c r="Y646">
        <v>0</v>
      </c>
      <c r="Z646" t="str">
        <f>IF(Y646&lt;&gt;0,VLOOKUP(VLOOKUP(Y646,Tbl_Effect[],3,FALSE),EffectName[],IFERROR(MATCH(UI!$B$1,EffectName[#Headers],0),2),FALSE),"")</f>
        <v/>
      </c>
      <c r="AA646" t="str">
        <f t="shared" si="76"/>
        <v/>
      </c>
      <c r="AB646">
        <v>0</v>
      </c>
      <c r="AC646" t="str">
        <f>IF(AB646&lt;&gt;0,VLOOKUP(VLOOKUP(AB646,Tbl_Effect[],3,FALSE),EffectName[],IFERROR(MATCH(UI!$B$1,EffectName[#Headers],0),2),FALSE),"")</f>
        <v/>
      </c>
    </row>
    <row r="647" spans="8:29" x14ac:dyDescent="0.4">
      <c r="H647" t="str">
        <f t="shared" si="70"/>
        <v>2000110-細膩的水滴暗淡情景 (藍)</v>
      </c>
      <c r="I647">
        <v>2000110</v>
      </c>
      <c r="J647" t="str">
        <f>_xlfn.IFNA(IF(I647&lt;&gt;0,VLOOKUP(VLOOKUP(I647,Tbl_Equip[],2,FALSE),Tbl_Color[],IFERROR(MATCH(UI!$B$1,Tbl_Color[#Headers],0),2),FALSE),""),"Unset")</f>
        <v>藍</v>
      </c>
      <c r="K647" t="str">
        <f>_xlfn.IFNA(IF(I647&lt;&gt;0,VLOOKUP(I647,ItemText[],IFERROR(MATCH(UI!$B$1,ItemText[#Headers],0),2),FALSE),""),"Unset")</f>
        <v>細膩的水滴暗淡情景</v>
      </c>
      <c r="L647" t="str">
        <f t="shared" si="71"/>
        <v/>
      </c>
      <c r="M647">
        <v>0</v>
      </c>
      <c r="N647" t="str">
        <f>IF(VALUE(M647)=0,"",VLOOKUP(VLOOKUP(M647,Tbl_Effect[],3,FALSE),EffectName[],IFERROR(MATCH(UI!$B$1,EffectName[#Headers],0),2),FALSE))</f>
        <v/>
      </c>
      <c r="O647" t="str">
        <f t="shared" si="72"/>
        <v/>
      </c>
      <c r="P647">
        <v>0</v>
      </c>
      <c r="Q647" t="str">
        <f>IF(VALUE(P647)=0,"",VLOOKUP(VLOOKUP(P647,Tbl_Effect[],3,FALSE),EffectName[],IFERROR(MATCH(UI!$B$1,EffectName[#Headers],0),2),FALSE))</f>
        <v/>
      </c>
      <c r="R647" t="str">
        <f t="shared" si="73"/>
        <v/>
      </c>
      <c r="S647">
        <v>0</v>
      </c>
      <c r="T647" t="str">
        <f>IF(VALUE(S647)=0,"",VLOOKUP(VLOOKUP(S647,Tbl_Effect[],3,FALSE),EffectName[],IFERROR(MATCH(UI!$B$1,EffectName[#Headers],0),2),FALSE))</f>
        <v/>
      </c>
      <c r="U647" t="str">
        <f t="shared" si="74"/>
        <v/>
      </c>
      <c r="V647">
        <v>0</v>
      </c>
      <c r="W647" t="str">
        <f>IF(V647&lt;&gt;0,VLOOKUP(VLOOKUP(V647,Tbl_Effect[],3,FALSE),EffectName[],IFERROR(MATCH(UI!$B$1,EffectName[#Headers],0),2),FALSE),"")</f>
        <v/>
      </c>
      <c r="X647" t="str">
        <f t="shared" si="75"/>
        <v/>
      </c>
      <c r="Y647">
        <v>0</v>
      </c>
      <c r="Z647" t="str">
        <f>IF(Y647&lt;&gt;0,VLOOKUP(VLOOKUP(Y647,Tbl_Effect[],3,FALSE),EffectName[],IFERROR(MATCH(UI!$B$1,EffectName[#Headers],0),2),FALSE),"")</f>
        <v/>
      </c>
      <c r="AA647" t="str">
        <f t="shared" si="76"/>
        <v/>
      </c>
      <c r="AB647">
        <v>0</v>
      </c>
      <c r="AC647" t="str">
        <f>IF(AB647&lt;&gt;0,VLOOKUP(VLOOKUP(AB647,Tbl_Effect[],3,FALSE),EffectName[],IFERROR(MATCH(UI!$B$1,EffectName[#Headers],0),2),FALSE),"")</f>
        <v/>
      </c>
    </row>
    <row r="648" spans="8:29" x14ac:dyDescent="0.4">
      <c r="H648" t="str">
        <f t="shared" si="70"/>
        <v>2000111-端正的水滴暗淡情景 (藍)</v>
      </c>
      <c r="I648">
        <v>2000111</v>
      </c>
      <c r="J648" t="str">
        <f>_xlfn.IFNA(IF(I648&lt;&gt;0,VLOOKUP(VLOOKUP(I648,Tbl_Equip[],2,FALSE),Tbl_Color[],IFERROR(MATCH(UI!$B$1,Tbl_Color[#Headers],0),2),FALSE),""),"Unset")</f>
        <v>藍</v>
      </c>
      <c r="K648" t="str">
        <f>_xlfn.IFNA(IF(I648&lt;&gt;0,VLOOKUP(I648,ItemText[],IFERROR(MATCH(UI!$B$1,ItemText[#Headers],0),2),FALSE),""),"Unset")</f>
        <v>端正的水滴暗淡情景</v>
      </c>
      <c r="L648" t="str">
        <f t="shared" si="71"/>
        <v/>
      </c>
      <c r="M648">
        <v>0</v>
      </c>
      <c r="N648" t="str">
        <f>IF(VALUE(M648)=0,"",VLOOKUP(VLOOKUP(M648,Tbl_Effect[],3,FALSE),EffectName[],IFERROR(MATCH(UI!$B$1,EffectName[#Headers],0),2),FALSE))</f>
        <v/>
      </c>
      <c r="O648" t="str">
        <f t="shared" si="72"/>
        <v/>
      </c>
      <c r="P648">
        <v>0</v>
      </c>
      <c r="Q648" t="str">
        <f>IF(VALUE(P648)=0,"",VLOOKUP(VLOOKUP(P648,Tbl_Effect[],3,FALSE),EffectName[],IFERROR(MATCH(UI!$B$1,EffectName[#Headers],0),2),FALSE))</f>
        <v/>
      </c>
      <c r="R648" t="str">
        <f t="shared" si="73"/>
        <v/>
      </c>
      <c r="S648">
        <v>0</v>
      </c>
      <c r="T648" t="str">
        <f>IF(VALUE(S648)=0,"",VLOOKUP(VLOOKUP(S648,Tbl_Effect[],3,FALSE),EffectName[],IFERROR(MATCH(UI!$B$1,EffectName[#Headers],0),2),FALSE))</f>
        <v/>
      </c>
      <c r="U648" t="str">
        <f t="shared" si="74"/>
        <v/>
      </c>
      <c r="V648">
        <v>0</v>
      </c>
      <c r="W648" t="str">
        <f>IF(V648&lt;&gt;0,VLOOKUP(VLOOKUP(V648,Tbl_Effect[],3,FALSE),EffectName[],IFERROR(MATCH(UI!$B$1,EffectName[#Headers],0),2),FALSE),"")</f>
        <v/>
      </c>
      <c r="X648" t="str">
        <f t="shared" si="75"/>
        <v/>
      </c>
      <c r="Y648">
        <v>0</v>
      </c>
      <c r="Z648" t="str">
        <f>IF(Y648&lt;&gt;0,VLOOKUP(VLOOKUP(Y648,Tbl_Effect[],3,FALSE),EffectName[],IFERROR(MATCH(UI!$B$1,EffectName[#Headers],0),2),FALSE),"")</f>
        <v/>
      </c>
      <c r="AA648" t="str">
        <f t="shared" si="76"/>
        <v/>
      </c>
      <c r="AB648">
        <v>0</v>
      </c>
      <c r="AC648" t="str">
        <f>IF(AB648&lt;&gt;0,VLOOKUP(VLOOKUP(AB648,Tbl_Effect[],3,FALSE),EffectName[],IFERROR(MATCH(UI!$B$1,EffectName[#Headers],0),2),FALSE),"")</f>
        <v/>
      </c>
    </row>
    <row r="649" spans="8:29" x14ac:dyDescent="0.4">
      <c r="H649" t="str">
        <f t="shared" si="70"/>
        <v>2000112-遼闊的水滴暗淡情景 (藍)</v>
      </c>
      <c r="I649">
        <v>2000112</v>
      </c>
      <c r="J649" t="str">
        <f>_xlfn.IFNA(IF(I649&lt;&gt;0,VLOOKUP(VLOOKUP(I649,Tbl_Equip[],2,FALSE),Tbl_Color[],IFERROR(MATCH(UI!$B$1,Tbl_Color[#Headers],0),2),FALSE),""),"Unset")</f>
        <v>藍</v>
      </c>
      <c r="K649" t="str">
        <f>_xlfn.IFNA(IF(I649&lt;&gt;0,VLOOKUP(I649,ItemText[],IFERROR(MATCH(UI!$B$1,ItemText[#Headers],0),2),FALSE),""),"Unset")</f>
        <v>遼闊的水滴暗淡情景</v>
      </c>
      <c r="L649" t="str">
        <f t="shared" si="71"/>
        <v/>
      </c>
      <c r="M649">
        <v>0</v>
      </c>
      <c r="N649" t="str">
        <f>IF(VALUE(M649)=0,"",VLOOKUP(VLOOKUP(M649,Tbl_Effect[],3,FALSE),EffectName[],IFERROR(MATCH(UI!$B$1,EffectName[#Headers],0),2),FALSE))</f>
        <v/>
      </c>
      <c r="O649" t="str">
        <f t="shared" si="72"/>
        <v/>
      </c>
      <c r="P649">
        <v>0</v>
      </c>
      <c r="Q649" t="str">
        <f>IF(VALUE(P649)=0,"",VLOOKUP(VLOOKUP(P649,Tbl_Effect[],3,FALSE),EffectName[],IFERROR(MATCH(UI!$B$1,EffectName[#Headers],0),2),FALSE))</f>
        <v/>
      </c>
      <c r="R649" t="str">
        <f t="shared" si="73"/>
        <v/>
      </c>
      <c r="S649">
        <v>0</v>
      </c>
      <c r="T649" t="str">
        <f>IF(VALUE(S649)=0,"",VLOOKUP(VLOOKUP(S649,Tbl_Effect[],3,FALSE),EffectName[],IFERROR(MATCH(UI!$B$1,EffectName[#Headers],0),2),FALSE))</f>
        <v/>
      </c>
      <c r="U649" t="str">
        <f t="shared" si="74"/>
        <v/>
      </c>
      <c r="V649">
        <v>0</v>
      </c>
      <c r="W649" t="str">
        <f>IF(V649&lt;&gt;0,VLOOKUP(VLOOKUP(V649,Tbl_Effect[],3,FALSE),EffectName[],IFERROR(MATCH(UI!$B$1,EffectName[#Headers],0),2),FALSE),"")</f>
        <v/>
      </c>
      <c r="X649" t="str">
        <f t="shared" si="75"/>
        <v/>
      </c>
      <c r="Y649">
        <v>0</v>
      </c>
      <c r="Z649" t="str">
        <f>IF(Y649&lt;&gt;0,VLOOKUP(VLOOKUP(Y649,Tbl_Effect[],3,FALSE),EffectName[],IFERROR(MATCH(UI!$B$1,EffectName[#Headers],0),2),FALSE),"")</f>
        <v/>
      </c>
      <c r="AA649" t="str">
        <f t="shared" si="76"/>
        <v/>
      </c>
      <c r="AB649">
        <v>0</v>
      </c>
      <c r="AC649" t="str">
        <f>IF(AB649&lt;&gt;0,VLOOKUP(VLOOKUP(AB649,Tbl_Effect[],3,FALSE),EffectName[],IFERROR(MATCH(UI!$B$1,EffectName[#Headers],0),2),FALSE),"")</f>
        <v/>
      </c>
    </row>
    <row r="650" spans="8:29" x14ac:dyDescent="0.4">
      <c r="H650" t="str">
        <f t="shared" si="70"/>
        <v>2000120-細膩的水滴暗淡情景 (藍)</v>
      </c>
      <c r="I650">
        <v>2000120</v>
      </c>
      <c r="J650" t="str">
        <f>_xlfn.IFNA(IF(I650&lt;&gt;0,VLOOKUP(VLOOKUP(I650,Tbl_Equip[],2,FALSE),Tbl_Color[],IFERROR(MATCH(UI!$B$1,Tbl_Color[#Headers],0),2),FALSE),""),"Unset")</f>
        <v>藍</v>
      </c>
      <c r="K650" t="str">
        <f>_xlfn.IFNA(IF(I650&lt;&gt;0,VLOOKUP(I650,ItemText[],IFERROR(MATCH(UI!$B$1,ItemText[#Headers],0),2),FALSE),""),"Unset")</f>
        <v>細膩的水滴暗淡情景</v>
      </c>
      <c r="L650" t="str">
        <f t="shared" si="71"/>
        <v/>
      </c>
      <c r="M650">
        <v>0</v>
      </c>
      <c r="N650" t="str">
        <f>IF(VALUE(M650)=0,"",VLOOKUP(VLOOKUP(M650,Tbl_Effect[],3,FALSE),EffectName[],IFERROR(MATCH(UI!$B$1,EffectName[#Headers],0),2),FALSE))</f>
        <v/>
      </c>
      <c r="O650" t="str">
        <f t="shared" si="72"/>
        <v/>
      </c>
      <c r="P650">
        <v>0</v>
      </c>
      <c r="Q650" t="str">
        <f>IF(VALUE(P650)=0,"",VLOOKUP(VLOOKUP(P650,Tbl_Effect[],3,FALSE),EffectName[],IFERROR(MATCH(UI!$B$1,EffectName[#Headers],0),2),FALSE))</f>
        <v/>
      </c>
      <c r="R650" t="str">
        <f t="shared" si="73"/>
        <v/>
      </c>
      <c r="S650">
        <v>0</v>
      </c>
      <c r="T650" t="str">
        <f>IF(VALUE(S650)=0,"",VLOOKUP(VLOOKUP(S650,Tbl_Effect[],3,FALSE),EffectName[],IFERROR(MATCH(UI!$B$1,EffectName[#Headers],0),2),FALSE))</f>
        <v/>
      </c>
      <c r="U650" t="str">
        <f t="shared" si="74"/>
        <v/>
      </c>
      <c r="V650">
        <v>0</v>
      </c>
      <c r="W650" t="str">
        <f>IF(V650&lt;&gt;0,VLOOKUP(VLOOKUP(V650,Tbl_Effect[],3,FALSE),EffectName[],IFERROR(MATCH(UI!$B$1,EffectName[#Headers],0),2),FALSE),"")</f>
        <v/>
      </c>
      <c r="X650" t="str">
        <f t="shared" si="75"/>
        <v/>
      </c>
      <c r="Y650">
        <v>0</v>
      </c>
      <c r="Z650" t="str">
        <f>IF(Y650&lt;&gt;0,VLOOKUP(VLOOKUP(Y650,Tbl_Effect[],3,FALSE),EffectName[],IFERROR(MATCH(UI!$B$1,EffectName[#Headers],0),2),FALSE),"")</f>
        <v/>
      </c>
      <c r="AA650" t="str">
        <f t="shared" si="76"/>
        <v/>
      </c>
      <c r="AB650">
        <v>0</v>
      </c>
      <c r="AC650" t="str">
        <f>IF(AB650&lt;&gt;0,VLOOKUP(VLOOKUP(AB650,Tbl_Effect[],3,FALSE),EffectName[],IFERROR(MATCH(UI!$B$1,EffectName[#Headers],0),2),FALSE),"")</f>
        <v/>
      </c>
    </row>
    <row r="651" spans="8:29" x14ac:dyDescent="0.4">
      <c r="H651" t="str">
        <f t="shared" si="70"/>
        <v>2000121-端正的水滴暗淡情景 (藍)</v>
      </c>
      <c r="I651">
        <v>2000121</v>
      </c>
      <c r="J651" t="str">
        <f>_xlfn.IFNA(IF(I651&lt;&gt;0,VLOOKUP(VLOOKUP(I651,Tbl_Equip[],2,FALSE),Tbl_Color[],IFERROR(MATCH(UI!$B$1,Tbl_Color[#Headers],0),2),FALSE),""),"Unset")</f>
        <v>藍</v>
      </c>
      <c r="K651" t="str">
        <f>_xlfn.IFNA(IF(I651&lt;&gt;0,VLOOKUP(I651,ItemText[],IFERROR(MATCH(UI!$B$1,ItemText[#Headers],0),2),FALSE),""),"Unset")</f>
        <v>端正的水滴暗淡情景</v>
      </c>
      <c r="L651" t="str">
        <f t="shared" si="71"/>
        <v/>
      </c>
      <c r="M651">
        <v>0</v>
      </c>
      <c r="N651" t="str">
        <f>IF(VALUE(M651)=0,"",VLOOKUP(VLOOKUP(M651,Tbl_Effect[],3,FALSE),EffectName[],IFERROR(MATCH(UI!$B$1,EffectName[#Headers],0),2),FALSE))</f>
        <v/>
      </c>
      <c r="O651" t="str">
        <f t="shared" si="72"/>
        <v/>
      </c>
      <c r="P651">
        <v>0</v>
      </c>
      <c r="Q651" t="str">
        <f>IF(VALUE(P651)=0,"",VLOOKUP(VLOOKUP(P651,Tbl_Effect[],3,FALSE),EffectName[],IFERROR(MATCH(UI!$B$1,EffectName[#Headers],0),2),FALSE))</f>
        <v/>
      </c>
      <c r="R651" t="str">
        <f t="shared" si="73"/>
        <v/>
      </c>
      <c r="S651">
        <v>0</v>
      </c>
      <c r="T651" t="str">
        <f>IF(VALUE(S651)=0,"",VLOOKUP(VLOOKUP(S651,Tbl_Effect[],3,FALSE),EffectName[],IFERROR(MATCH(UI!$B$1,EffectName[#Headers],0),2),FALSE))</f>
        <v/>
      </c>
      <c r="U651" t="str">
        <f t="shared" si="74"/>
        <v/>
      </c>
      <c r="V651">
        <v>0</v>
      </c>
      <c r="W651" t="str">
        <f>IF(V651&lt;&gt;0,VLOOKUP(VLOOKUP(V651,Tbl_Effect[],3,FALSE),EffectName[],IFERROR(MATCH(UI!$B$1,EffectName[#Headers],0),2),FALSE),"")</f>
        <v/>
      </c>
      <c r="X651" t="str">
        <f t="shared" si="75"/>
        <v/>
      </c>
      <c r="Y651">
        <v>0</v>
      </c>
      <c r="Z651" t="str">
        <f>IF(Y651&lt;&gt;0,VLOOKUP(VLOOKUP(Y651,Tbl_Effect[],3,FALSE),EffectName[],IFERROR(MATCH(UI!$B$1,EffectName[#Headers],0),2),FALSE),"")</f>
        <v/>
      </c>
      <c r="AA651" t="str">
        <f t="shared" si="76"/>
        <v/>
      </c>
      <c r="AB651">
        <v>0</v>
      </c>
      <c r="AC651" t="str">
        <f>IF(AB651&lt;&gt;0,VLOOKUP(VLOOKUP(AB651,Tbl_Effect[],3,FALSE),EffectName[],IFERROR(MATCH(UI!$B$1,EffectName[#Headers],0),2),FALSE),"")</f>
        <v/>
      </c>
    </row>
    <row r="652" spans="8:29" x14ac:dyDescent="0.4">
      <c r="H652" t="str">
        <f t="shared" si="70"/>
        <v>2000122-遼闊的水滴暗淡情景 (藍)</v>
      </c>
      <c r="I652">
        <v>2000122</v>
      </c>
      <c r="J652" t="str">
        <f>_xlfn.IFNA(IF(I652&lt;&gt;0,VLOOKUP(VLOOKUP(I652,Tbl_Equip[],2,FALSE),Tbl_Color[],IFERROR(MATCH(UI!$B$1,Tbl_Color[#Headers],0),2),FALSE),""),"Unset")</f>
        <v>藍</v>
      </c>
      <c r="K652" t="str">
        <f>_xlfn.IFNA(IF(I652&lt;&gt;0,VLOOKUP(I652,ItemText[],IFERROR(MATCH(UI!$B$1,ItemText[#Headers],0),2),FALSE),""),"Unset")</f>
        <v>遼闊的水滴暗淡情景</v>
      </c>
      <c r="L652" t="str">
        <f t="shared" si="71"/>
        <v/>
      </c>
      <c r="M652">
        <v>0</v>
      </c>
      <c r="N652" t="str">
        <f>IF(VALUE(M652)=0,"",VLOOKUP(VLOOKUP(M652,Tbl_Effect[],3,FALSE),EffectName[],IFERROR(MATCH(UI!$B$1,EffectName[#Headers],0),2),FALSE))</f>
        <v/>
      </c>
      <c r="O652" t="str">
        <f t="shared" si="72"/>
        <v/>
      </c>
      <c r="P652">
        <v>0</v>
      </c>
      <c r="Q652" t="str">
        <f>IF(VALUE(P652)=0,"",VLOOKUP(VLOOKUP(P652,Tbl_Effect[],3,FALSE),EffectName[],IFERROR(MATCH(UI!$B$1,EffectName[#Headers],0),2),FALSE))</f>
        <v/>
      </c>
      <c r="R652" t="str">
        <f t="shared" si="73"/>
        <v/>
      </c>
      <c r="S652">
        <v>0</v>
      </c>
      <c r="T652" t="str">
        <f>IF(VALUE(S652)=0,"",VLOOKUP(VLOOKUP(S652,Tbl_Effect[],3,FALSE),EffectName[],IFERROR(MATCH(UI!$B$1,EffectName[#Headers],0),2),FALSE))</f>
        <v/>
      </c>
      <c r="U652" t="str">
        <f t="shared" si="74"/>
        <v/>
      </c>
      <c r="V652">
        <v>0</v>
      </c>
      <c r="W652" t="str">
        <f>IF(V652&lt;&gt;0,VLOOKUP(VLOOKUP(V652,Tbl_Effect[],3,FALSE),EffectName[],IFERROR(MATCH(UI!$B$1,EffectName[#Headers],0),2),FALSE),"")</f>
        <v/>
      </c>
      <c r="X652" t="str">
        <f t="shared" si="75"/>
        <v/>
      </c>
      <c r="Y652">
        <v>0</v>
      </c>
      <c r="Z652" t="str">
        <f>IF(Y652&lt;&gt;0,VLOOKUP(VLOOKUP(Y652,Tbl_Effect[],3,FALSE),EffectName[],IFERROR(MATCH(UI!$B$1,EffectName[#Headers],0),2),FALSE),"")</f>
        <v/>
      </c>
      <c r="AA652" t="str">
        <f t="shared" si="76"/>
        <v/>
      </c>
      <c r="AB652">
        <v>0</v>
      </c>
      <c r="AC652" t="str">
        <f>IF(AB652&lt;&gt;0,VLOOKUP(VLOOKUP(AB652,Tbl_Effect[],3,FALSE),EffectName[],IFERROR(MATCH(UI!$B$1,EffectName[#Headers],0),2),FALSE),"")</f>
        <v/>
      </c>
    </row>
    <row r="653" spans="8:29" x14ac:dyDescent="0.4">
      <c r="H653" t="str">
        <f t="shared" si="70"/>
        <v>2000200-細膩的光耀暗淡情景 (黃)</v>
      </c>
      <c r="I653">
        <v>2000200</v>
      </c>
      <c r="J653" t="str">
        <f>_xlfn.IFNA(IF(I653&lt;&gt;0,VLOOKUP(VLOOKUP(I653,Tbl_Equip[],2,FALSE),Tbl_Color[],IFERROR(MATCH(UI!$B$1,Tbl_Color[#Headers],0),2),FALSE),""),"Unset")</f>
        <v>黃</v>
      </c>
      <c r="K653" t="str">
        <f>_xlfn.IFNA(IF(I653&lt;&gt;0,VLOOKUP(I653,ItemText[],IFERROR(MATCH(UI!$B$1,ItemText[#Headers],0),2),FALSE),""),"Unset")</f>
        <v>細膩的光耀暗淡情景</v>
      </c>
      <c r="L653" t="str">
        <f t="shared" si="71"/>
        <v/>
      </c>
      <c r="M653">
        <v>0</v>
      </c>
      <c r="N653" t="str">
        <f>IF(VALUE(M653)=0,"",VLOOKUP(VLOOKUP(M653,Tbl_Effect[],3,FALSE),EffectName[],IFERROR(MATCH(UI!$B$1,EffectName[#Headers],0),2),FALSE))</f>
        <v/>
      </c>
      <c r="O653" t="str">
        <f t="shared" si="72"/>
        <v/>
      </c>
      <c r="P653">
        <v>0</v>
      </c>
      <c r="Q653" t="str">
        <f>IF(VALUE(P653)=0,"",VLOOKUP(VLOOKUP(P653,Tbl_Effect[],3,FALSE),EffectName[],IFERROR(MATCH(UI!$B$1,EffectName[#Headers],0),2),FALSE))</f>
        <v/>
      </c>
      <c r="R653" t="str">
        <f t="shared" si="73"/>
        <v/>
      </c>
      <c r="S653">
        <v>0</v>
      </c>
      <c r="T653" t="str">
        <f>IF(VALUE(S653)=0,"",VLOOKUP(VLOOKUP(S653,Tbl_Effect[],3,FALSE),EffectName[],IFERROR(MATCH(UI!$B$1,EffectName[#Headers],0),2),FALSE))</f>
        <v/>
      </c>
      <c r="U653" t="str">
        <f t="shared" si="74"/>
        <v/>
      </c>
      <c r="V653">
        <v>0</v>
      </c>
      <c r="W653" t="str">
        <f>IF(V653&lt;&gt;0,VLOOKUP(VLOOKUP(V653,Tbl_Effect[],3,FALSE),EffectName[],IFERROR(MATCH(UI!$B$1,EffectName[#Headers],0),2),FALSE),"")</f>
        <v/>
      </c>
      <c r="X653" t="str">
        <f t="shared" si="75"/>
        <v/>
      </c>
      <c r="Y653">
        <v>0</v>
      </c>
      <c r="Z653" t="str">
        <f>IF(Y653&lt;&gt;0,VLOOKUP(VLOOKUP(Y653,Tbl_Effect[],3,FALSE),EffectName[],IFERROR(MATCH(UI!$B$1,EffectName[#Headers],0),2),FALSE),"")</f>
        <v/>
      </c>
      <c r="AA653" t="str">
        <f t="shared" si="76"/>
        <v/>
      </c>
      <c r="AB653">
        <v>0</v>
      </c>
      <c r="AC653" t="str">
        <f>IF(AB653&lt;&gt;0,VLOOKUP(VLOOKUP(AB653,Tbl_Effect[],3,FALSE),EffectName[],IFERROR(MATCH(UI!$B$1,EffectName[#Headers],0),2),FALSE),"")</f>
        <v/>
      </c>
    </row>
    <row r="654" spans="8:29" x14ac:dyDescent="0.4">
      <c r="H654" t="str">
        <f t="shared" si="70"/>
        <v>2000201-端正的光耀暗淡情景 (黃)</v>
      </c>
      <c r="I654">
        <v>2000201</v>
      </c>
      <c r="J654" t="str">
        <f>_xlfn.IFNA(IF(I654&lt;&gt;0,VLOOKUP(VLOOKUP(I654,Tbl_Equip[],2,FALSE),Tbl_Color[],IFERROR(MATCH(UI!$B$1,Tbl_Color[#Headers],0),2),FALSE),""),"Unset")</f>
        <v>黃</v>
      </c>
      <c r="K654" t="str">
        <f>_xlfn.IFNA(IF(I654&lt;&gt;0,VLOOKUP(I654,ItemText[],IFERROR(MATCH(UI!$B$1,ItemText[#Headers],0),2),FALSE),""),"Unset")</f>
        <v>端正的光耀暗淡情景</v>
      </c>
      <c r="L654" t="str">
        <f t="shared" si="71"/>
        <v/>
      </c>
      <c r="M654">
        <v>0</v>
      </c>
      <c r="N654" t="str">
        <f>IF(VALUE(M654)=0,"",VLOOKUP(VLOOKUP(M654,Tbl_Effect[],3,FALSE),EffectName[],IFERROR(MATCH(UI!$B$1,EffectName[#Headers],0),2),FALSE))</f>
        <v/>
      </c>
      <c r="O654" t="str">
        <f t="shared" si="72"/>
        <v/>
      </c>
      <c r="P654">
        <v>0</v>
      </c>
      <c r="Q654" t="str">
        <f>IF(VALUE(P654)=0,"",VLOOKUP(VLOOKUP(P654,Tbl_Effect[],3,FALSE),EffectName[],IFERROR(MATCH(UI!$B$1,EffectName[#Headers],0),2),FALSE))</f>
        <v/>
      </c>
      <c r="R654" t="str">
        <f t="shared" si="73"/>
        <v/>
      </c>
      <c r="S654">
        <v>0</v>
      </c>
      <c r="T654" t="str">
        <f>IF(VALUE(S654)=0,"",VLOOKUP(VLOOKUP(S654,Tbl_Effect[],3,FALSE),EffectName[],IFERROR(MATCH(UI!$B$1,EffectName[#Headers],0),2),FALSE))</f>
        <v/>
      </c>
      <c r="U654" t="str">
        <f t="shared" si="74"/>
        <v/>
      </c>
      <c r="V654">
        <v>0</v>
      </c>
      <c r="W654" t="str">
        <f>IF(V654&lt;&gt;0,VLOOKUP(VLOOKUP(V654,Tbl_Effect[],3,FALSE),EffectName[],IFERROR(MATCH(UI!$B$1,EffectName[#Headers],0),2),FALSE),"")</f>
        <v/>
      </c>
      <c r="X654" t="str">
        <f t="shared" si="75"/>
        <v/>
      </c>
      <c r="Y654">
        <v>0</v>
      </c>
      <c r="Z654" t="str">
        <f>IF(Y654&lt;&gt;0,VLOOKUP(VLOOKUP(Y654,Tbl_Effect[],3,FALSE),EffectName[],IFERROR(MATCH(UI!$B$1,EffectName[#Headers],0),2),FALSE),"")</f>
        <v/>
      </c>
      <c r="AA654" t="str">
        <f t="shared" si="76"/>
        <v/>
      </c>
      <c r="AB654">
        <v>0</v>
      </c>
      <c r="AC654" t="str">
        <f>IF(AB654&lt;&gt;0,VLOOKUP(VLOOKUP(AB654,Tbl_Effect[],3,FALSE),EffectName[],IFERROR(MATCH(UI!$B$1,EffectName[#Headers],0),2),FALSE),"")</f>
        <v/>
      </c>
    </row>
    <row r="655" spans="8:29" x14ac:dyDescent="0.4">
      <c r="H655" t="str">
        <f t="shared" si="70"/>
        <v>2000202-遼闊的光耀暗淡情景 (黃)</v>
      </c>
      <c r="I655">
        <v>2000202</v>
      </c>
      <c r="J655" t="str">
        <f>_xlfn.IFNA(IF(I655&lt;&gt;0,VLOOKUP(VLOOKUP(I655,Tbl_Equip[],2,FALSE),Tbl_Color[],IFERROR(MATCH(UI!$B$1,Tbl_Color[#Headers],0),2),FALSE),""),"Unset")</f>
        <v>黃</v>
      </c>
      <c r="K655" t="str">
        <f>_xlfn.IFNA(IF(I655&lt;&gt;0,VLOOKUP(I655,ItemText[],IFERROR(MATCH(UI!$B$1,ItemText[#Headers],0),2),FALSE),""),"Unset")</f>
        <v>遼闊的光耀暗淡情景</v>
      </c>
      <c r="L655" t="str">
        <f t="shared" si="71"/>
        <v/>
      </c>
      <c r="M655">
        <v>0</v>
      </c>
      <c r="N655" t="str">
        <f>IF(VALUE(M655)=0,"",VLOOKUP(VLOOKUP(M655,Tbl_Effect[],3,FALSE),EffectName[],IFERROR(MATCH(UI!$B$1,EffectName[#Headers],0),2),FALSE))</f>
        <v/>
      </c>
      <c r="O655" t="str">
        <f t="shared" si="72"/>
        <v/>
      </c>
      <c r="P655">
        <v>0</v>
      </c>
      <c r="Q655" t="str">
        <f>IF(VALUE(P655)=0,"",VLOOKUP(VLOOKUP(P655,Tbl_Effect[],3,FALSE),EffectName[],IFERROR(MATCH(UI!$B$1,EffectName[#Headers],0),2),FALSE))</f>
        <v/>
      </c>
      <c r="R655" t="str">
        <f t="shared" si="73"/>
        <v/>
      </c>
      <c r="S655">
        <v>0</v>
      </c>
      <c r="T655" t="str">
        <f>IF(VALUE(S655)=0,"",VLOOKUP(VLOOKUP(S655,Tbl_Effect[],3,FALSE),EffectName[],IFERROR(MATCH(UI!$B$1,EffectName[#Headers],0),2),FALSE))</f>
        <v/>
      </c>
      <c r="U655" t="str">
        <f t="shared" si="74"/>
        <v/>
      </c>
      <c r="V655">
        <v>0</v>
      </c>
      <c r="W655" t="str">
        <f>IF(V655&lt;&gt;0,VLOOKUP(VLOOKUP(V655,Tbl_Effect[],3,FALSE),EffectName[],IFERROR(MATCH(UI!$B$1,EffectName[#Headers],0),2),FALSE),"")</f>
        <v/>
      </c>
      <c r="X655" t="str">
        <f t="shared" si="75"/>
        <v/>
      </c>
      <c r="Y655">
        <v>0</v>
      </c>
      <c r="Z655" t="str">
        <f>IF(Y655&lt;&gt;0,VLOOKUP(VLOOKUP(Y655,Tbl_Effect[],3,FALSE),EffectName[],IFERROR(MATCH(UI!$B$1,EffectName[#Headers],0),2),FALSE),"")</f>
        <v/>
      </c>
      <c r="AA655" t="str">
        <f t="shared" si="76"/>
        <v/>
      </c>
      <c r="AB655">
        <v>0</v>
      </c>
      <c r="AC655" t="str">
        <f>IF(AB655&lt;&gt;0,VLOOKUP(VLOOKUP(AB655,Tbl_Effect[],3,FALSE),EffectName[],IFERROR(MATCH(UI!$B$1,EffectName[#Headers],0),2),FALSE),"")</f>
        <v/>
      </c>
    </row>
    <row r="656" spans="8:29" x14ac:dyDescent="0.4">
      <c r="H656" t="str">
        <f t="shared" si="70"/>
        <v>2000210-細膩的光耀暗淡情景 (黃)</v>
      </c>
      <c r="I656">
        <v>2000210</v>
      </c>
      <c r="J656" t="str">
        <f>_xlfn.IFNA(IF(I656&lt;&gt;0,VLOOKUP(VLOOKUP(I656,Tbl_Equip[],2,FALSE),Tbl_Color[],IFERROR(MATCH(UI!$B$1,Tbl_Color[#Headers],0),2),FALSE),""),"Unset")</f>
        <v>黃</v>
      </c>
      <c r="K656" t="str">
        <f>_xlfn.IFNA(IF(I656&lt;&gt;0,VLOOKUP(I656,ItemText[],IFERROR(MATCH(UI!$B$1,ItemText[#Headers],0),2),FALSE),""),"Unset")</f>
        <v>細膩的光耀暗淡情景</v>
      </c>
      <c r="L656" t="str">
        <f t="shared" si="71"/>
        <v/>
      </c>
      <c r="M656">
        <v>0</v>
      </c>
      <c r="N656" t="str">
        <f>IF(VALUE(M656)=0,"",VLOOKUP(VLOOKUP(M656,Tbl_Effect[],3,FALSE),EffectName[],IFERROR(MATCH(UI!$B$1,EffectName[#Headers],0),2),FALSE))</f>
        <v/>
      </c>
      <c r="O656" t="str">
        <f t="shared" si="72"/>
        <v/>
      </c>
      <c r="P656">
        <v>0</v>
      </c>
      <c r="Q656" t="str">
        <f>IF(VALUE(P656)=0,"",VLOOKUP(VLOOKUP(P656,Tbl_Effect[],3,FALSE),EffectName[],IFERROR(MATCH(UI!$B$1,EffectName[#Headers],0),2),FALSE))</f>
        <v/>
      </c>
      <c r="R656" t="str">
        <f t="shared" si="73"/>
        <v/>
      </c>
      <c r="S656">
        <v>0</v>
      </c>
      <c r="T656" t="str">
        <f>IF(VALUE(S656)=0,"",VLOOKUP(VLOOKUP(S656,Tbl_Effect[],3,FALSE),EffectName[],IFERROR(MATCH(UI!$B$1,EffectName[#Headers],0),2),FALSE))</f>
        <v/>
      </c>
      <c r="U656" t="str">
        <f t="shared" si="74"/>
        <v/>
      </c>
      <c r="V656">
        <v>0</v>
      </c>
      <c r="W656" t="str">
        <f>IF(V656&lt;&gt;0,VLOOKUP(VLOOKUP(V656,Tbl_Effect[],3,FALSE),EffectName[],IFERROR(MATCH(UI!$B$1,EffectName[#Headers],0),2),FALSE),"")</f>
        <v/>
      </c>
      <c r="X656" t="str">
        <f t="shared" si="75"/>
        <v/>
      </c>
      <c r="Y656">
        <v>0</v>
      </c>
      <c r="Z656" t="str">
        <f>IF(Y656&lt;&gt;0,VLOOKUP(VLOOKUP(Y656,Tbl_Effect[],3,FALSE),EffectName[],IFERROR(MATCH(UI!$B$1,EffectName[#Headers],0),2),FALSE),"")</f>
        <v/>
      </c>
      <c r="AA656" t="str">
        <f t="shared" si="76"/>
        <v/>
      </c>
      <c r="AB656">
        <v>0</v>
      </c>
      <c r="AC656" t="str">
        <f>IF(AB656&lt;&gt;0,VLOOKUP(VLOOKUP(AB656,Tbl_Effect[],3,FALSE),EffectName[],IFERROR(MATCH(UI!$B$1,EffectName[#Headers],0),2),FALSE),"")</f>
        <v/>
      </c>
    </row>
    <row r="657" spans="8:29" x14ac:dyDescent="0.4">
      <c r="H657" t="str">
        <f t="shared" si="70"/>
        <v>2000211-端正的光耀暗淡情景 (黃)</v>
      </c>
      <c r="I657">
        <v>2000211</v>
      </c>
      <c r="J657" t="str">
        <f>_xlfn.IFNA(IF(I657&lt;&gt;0,VLOOKUP(VLOOKUP(I657,Tbl_Equip[],2,FALSE),Tbl_Color[],IFERROR(MATCH(UI!$B$1,Tbl_Color[#Headers],0),2),FALSE),""),"Unset")</f>
        <v>黃</v>
      </c>
      <c r="K657" t="str">
        <f>_xlfn.IFNA(IF(I657&lt;&gt;0,VLOOKUP(I657,ItemText[],IFERROR(MATCH(UI!$B$1,ItemText[#Headers],0),2),FALSE),""),"Unset")</f>
        <v>端正的光耀暗淡情景</v>
      </c>
      <c r="L657" t="str">
        <f t="shared" si="71"/>
        <v/>
      </c>
      <c r="M657">
        <v>0</v>
      </c>
      <c r="N657" t="str">
        <f>IF(VALUE(M657)=0,"",VLOOKUP(VLOOKUP(M657,Tbl_Effect[],3,FALSE),EffectName[],IFERROR(MATCH(UI!$B$1,EffectName[#Headers],0),2),FALSE))</f>
        <v/>
      </c>
      <c r="O657" t="str">
        <f t="shared" si="72"/>
        <v/>
      </c>
      <c r="P657">
        <v>0</v>
      </c>
      <c r="Q657" t="str">
        <f>IF(VALUE(P657)=0,"",VLOOKUP(VLOOKUP(P657,Tbl_Effect[],3,FALSE),EffectName[],IFERROR(MATCH(UI!$B$1,EffectName[#Headers],0),2),FALSE))</f>
        <v/>
      </c>
      <c r="R657" t="str">
        <f t="shared" si="73"/>
        <v/>
      </c>
      <c r="S657">
        <v>0</v>
      </c>
      <c r="T657" t="str">
        <f>IF(VALUE(S657)=0,"",VLOOKUP(VLOOKUP(S657,Tbl_Effect[],3,FALSE),EffectName[],IFERROR(MATCH(UI!$B$1,EffectName[#Headers],0),2),FALSE))</f>
        <v/>
      </c>
      <c r="U657" t="str">
        <f t="shared" si="74"/>
        <v/>
      </c>
      <c r="V657">
        <v>0</v>
      </c>
      <c r="W657" t="str">
        <f>IF(V657&lt;&gt;0,VLOOKUP(VLOOKUP(V657,Tbl_Effect[],3,FALSE),EffectName[],IFERROR(MATCH(UI!$B$1,EffectName[#Headers],0),2),FALSE),"")</f>
        <v/>
      </c>
      <c r="X657" t="str">
        <f t="shared" si="75"/>
        <v/>
      </c>
      <c r="Y657">
        <v>0</v>
      </c>
      <c r="Z657" t="str">
        <f>IF(Y657&lt;&gt;0,VLOOKUP(VLOOKUP(Y657,Tbl_Effect[],3,FALSE),EffectName[],IFERROR(MATCH(UI!$B$1,EffectName[#Headers],0),2),FALSE),"")</f>
        <v/>
      </c>
      <c r="AA657" t="str">
        <f t="shared" si="76"/>
        <v/>
      </c>
      <c r="AB657">
        <v>0</v>
      </c>
      <c r="AC657" t="str">
        <f>IF(AB657&lt;&gt;0,VLOOKUP(VLOOKUP(AB657,Tbl_Effect[],3,FALSE),EffectName[],IFERROR(MATCH(UI!$B$1,EffectName[#Headers],0),2),FALSE),"")</f>
        <v/>
      </c>
    </row>
    <row r="658" spans="8:29" x14ac:dyDescent="0.4">
      <c r="H658" t="str">
        <f t="shared" si="70"/>
        <v>2000212-遼闊的光耀暗淡情景 (黃)</v>
      </c>
      <c r="I658">
        <v>2000212</v>
      </c>
      <c r="J658" t="str">
        <f>_xlfn.IFNA(IF(I658&lt;&gt;0,VLOOKUP(VLOOKUP(I658,Tbl_Equip[],2,FALSE),Tbl_Color[],IFERROR(MATCH(UI!$B$1,Tbl_Color[#Headers],0),2),FALSE),""),"Unset")</f>
        <v>黃</v>
      </c>
      <c r="K658" t="str">
        <f>_xlfn.IFNA(IF(I658&lt;&gt;0,VLOOKUP(I658,ItemText[],IFERROR(MATCH(UI!$B$1,ItemText[#Headers],0),2),FALSE),""),"Unset")</f>
        <v>遼闊的光耀暗淡情景</v>
      </c>
      <c r="L658" t="str">
        <f t="shared" si="71"/>
        <v/>
      </c>
      <c r="M658">
        <v>0</v>
      </c>
      <c r="N658" t="str">
        <f>IF(VALUE(M658)=0,"",VLOOKUP(VLOOKUP(M658,Tbl_Effect[],3,FALSE),EffectName[],IFERROR(MATCH(UI!$B$1,EffectName[#Headers],0),2),FALSE))</f>
        <v/>
      </c>
      <c r="O658" t="str">
        <f t="shared" si="72"/>
        <v/>
      </c>
      <c r="P658">
        <v>0</v>
      </c>
      <c r="Q658" t="str">
        <f>IF(VALUE(P658)=0,"",VLOOKUP(VLOOKUP(P658,Tbl_Effect[],3,FALSE),EffectName[],IFERROR(MATCH(UI!$B$1,EffectName[#Headers],0),2),FALSE))</f>
        <v/>
      </c>
      <c r="R658" t="str">
        <f t="shared" si="73"/>
        <v/>
      </c>
      <c r="S658">
        <v>0</v>
      </c>
      <c r="T658" t="str">
        <f>IF(VALUE(S658)=0,"",VLOOKUP(VLOOKUP(S658,Tbl_Effect[],3,FALSE),EffectName[],IFERROR(MATCH(UI!$B$1,EffectName[#Headers],0),2),FALSE))</f>
        <v/>
      </c>
      <c r="U658" t="str">
        <f t="shared" si="74"/>
        <v/>
      </c>
      <c r="V658">
        <v>0</v>
      </c>
      <c r="W658" t="str">
        <f>IF(V658&lt;&gt;0,VLOOKUP(VLOOKUP(V658,Tbl_Effect[],3,FALSE),EffectName[],IFERROR(MATCH(UI!$B$1,EffectName[#Headers],0),2),FALSE),"")</f>
        <v/>
      </c>
      <c r="X658" t="str">
        <f t="shared" si="75"/>
        <v/>
      </c>
      <c r="Y658">
        <v>0</v>
      </c>
      <c r="Z658" t="str">
        <f>IF(Y658&lt;&gt;0,VLOOKUP(VLOOKUP(Y658,Tbl_Effect[],3,FALSE),EffectName[],IFERROR(MATCH(UI!$B$1,EffectName[#Headers],0),2),FALSE),"")</f>
        <v/>
      </c>
      <c r="AA658" t="str">
        <f t="shared" si="76"/>
        <v/>
      </c>
      <c r="AB658">
        <v>0</v>
      </c>
      <c r="AC658" t="str">
        <f>IF(AB658&lt;&gt;0,VLOOKUP(VLOOKUP(AB658,Tbl_Effect[],3,FALSE),EffectName[],IFERROR(MATCH(UI!$B$1,EffectName[#Headers],0),2),FALSE),"")</f>
        <v/>
      </c>
    </row>
    <row r="659" spans="8:29" x14ac:dyDescent="0.4">
      <c r="H659" t="str">
        <f t="shared" si="70"/>
        <v>2000220-細膩的光耀暗淡情景 (黃)</v>
      </c>
      <c r="I659">
        <v>2000220</v>
      </c>
      <c r="J659" t="str">
        <f>_xlfn.IFNA(IF(I659&lt;&gt;0,VLOOKUP(VLOOKUP(I659,Tbl_Equip[],2,FALSE),Tbl_Color[],IFERROR(MATCH(UI!$B$1,Tbl_Color[#Headers],0),2),FALSE),""),"Unset")</f>
        <v>黃</v>
      </c>
      <c r="K659" t="str">
        <f>_xlfn.IFNA(IF(I659&lt;&gt;0,VLOOKUP(I659,ItemText[],IFERROR(MATCH(UI!$B$1,ItemText[#Headers],0),2),FALSE),""),"Unset")</f>
        <v>細膩的光耀暗淡情景</v>
      </c>
      <c r="L659" t="str">
        <f t="shared" si="71"/>
        <v/>
      </c>
      <c r="M659">
        <v>0</v>
      </c>
      <c r="N659" t="str">
        <f>IF(VALUE(M659)=0,"",VLOOKUP(VLOOKUP(M659,Tbl_Effect[],3,FALSE),EffectName[],IFERROR(MATCH(UI!$B$1,EffectName[#Headers],0),2),FALSE))</f>
        <v/>
      </c>
      <c r="O659" t="str">
        <f t="shared" si="72"/>
        <v/>
      </c>
      <c r="P659">
        <v>0</v>
      </c>
      <c r="Q659" t="str">
        <f>IF(VALUE(P659)=0,"",VLOOKUP(VLOOKUP(P659,Tbl_Effect[],3,FALSE),EffectName[],IFERROR(MATCH(UI!$B$1,EffectName[#Headers],0),2),FALSE))</f>
        <v/>
      </c>
      <c r="R659" t="str">
        <f t="shared" si="73"/>
        <v/>
      </c>
      <c r="S659">
        <v>0</v>
      </c>
      <c r="T659" t="str">
        <f>IF(VALUE(S659)=0,"",VLOOKUP(VLOOKUP(S659,Tbl_Effect[],3,FALSE),EffectName[],IFERROR(MATCH(UI!$B$1,EffectName[#Headers],0),2),FALSE))</f>
        <v/>
      </c>
      <c r="U659" t="str">
        <f t="shared" si="74"/>
        <v/>
      </c>
      <c r="V659">
        <v>0</v>
      </c>
      <c r="W659" t="str">
        <f>IF(V659&lt;&gt;0,VLOOKUP(VLOOKUP(V659,Tbl_Effect[],3,FALSE),EffectName[],IFERROR(MATCH(UI!$B$1,EffectName[#Headers],0),2),FALSE),"")</f>
        <v/>
      </c>
      <c r="X659" t="str">
        <f t="shared" si="75"/>
        <v/>
      </c>
      <c r="Y659">
        <v>0</v>
      </c>
      <c r="Z659" t="str">
        <f>IF(Y659&lt;&gt;0,VLOOKUP(VLOOKUP(Y659,Tbl_Effect[],3,FALSE),EffectName[],IFERROR(MATCH(UI!$B$1,EffectName[#Headers],0),2),FALSE),"")</f>
        <v/>
      </c>
      <c r="AA659" t="str">
        <f t="shared" si="76"/>
        <v/>
      </c>
      <c r="AB659">
        <v>0</v>
      </c>
      <c r="AC659" t="str">
        <f>IF(AB659&lt;&gt;0,VLOOKUP(VLOOKUP(AB659,Tbl_Effect[],3,FALSE),EffectName[],IFERROR(MATCH(UI!$B$1,EffectName[#Headers],0),2),FALSE),"")</f>
        <v/>
      </c>
    </row>
    <row r="660" spans="8:29" x14ac:dyDescent="0.4">
      <c r="H660" t="str">
        <f t="shared" si="70"/>
        <v>2000221-端正的光耀暗淡情景 (黃)</v>
      </c>
      <c r="I660">
        <v>2000221</v>
      </c>
      <c r="J660" t="str">
        <f>_xlfn.IFNA(IF(I660&lt;&gt;0,VLOOKUP(VLOOKUP(I660,Tbl_Equip[],2,FALSE),Tbl_Color[],IFERROR(MATCH(UI!$B$1,Tbl_Color[#Headers],0),2),FALSE),""),"Unset")</f>
        <v>黃</v>
      </c>
      <c r="K660" t="str">
        <f>_xlfn.IFNA(IF(I660&lt;&gt;0,VLOOKUP(I660,ItemText[],IFERROR(MATCH(UI!$B$1,ItemText[#Headers],0),2),FALSE),""),"Unset")</f>
        <v>端正的光耀暗淡情景</v>
      </c>
      <c r="L660" t="str">
        <f t="shared" si="71"/>
        <v/>
      </c>
      <c r="M660">
        <v>0</v>
      </c>
      <c r="N660" t="str">
        <f>IF(VALUE(M660)=0,"",VLOOKUP(VLOOKUP(M660,Tbl_Effect[],3,FALSE),EffectName[],IFERROR(MATCH(UI!$B$1,EffectName[#Headers],0),2),FALSE))</f>
        <v/>
      </c>
      <c r="O660" t="str">
        <f t="shared" si="72"/>
        <v/>
      </c>
      <c r="P660">
        <v>0</v>
      </c>
      <c r="Q660" t="str">
        <f>IF(VALUE(P660)=0,"",VLOOKUP(VLOOKUP(P660,Tbl_Effect[],3,FALSE),EffectName[],IFERROR(MATCH(UI!$B$1,EffectName[#Headers],0),2),FALSE))</f>
        <v/>
      </c>
      <c r="R660" t="str">
        <f t="shared" si="73"/>
        <v/>
      </c>
      <c r="S660">
        <v>0</v>
      </c>
      <c r="T660" t="str">
        <f>IF(VALUE(S660)=0,"",VLOOKUP(VLOOKUP(S660,Tbl_Effect[],3,FALSE),EffectName[],IFERROR(MATCH(UI!$B$1,EffectName[#Headers],0),2),FALSE))</f>
        <v/>
      </c>
      <c r="U660" t="str">
        <f t="shared" si="74"/>
        <v/>
      </c>
      <c r="V660">
        <v>0</v>
      </c>
      <c r="W660" t="str">
        <f>IF(V660&lt;&gt;0,VLOOKUP(VLOOKUP(V660,Tbl_Effect[],3,FALSE),EffectName[],IFERROR(MATCH(UI!$B$1,EffectName[#Headers],0),2),FALSE),"")</f>
        <v/>
      </c>
      <c r="X660" t="str">
        <f t="shared" si="75"/>
        <v/>
      </c>
      <c r="Y660">
        <v>0</v>
      </c>
      <c r="Z660" t="str">
        <f>IF(Y660&lt;&gt;0,VLOOKUP(VLOOKUP(Y660,Tbl_Effect[],3,FALSE),EffectName[],IFERROR(MATCH(UI!$B$1,EffectName[#Headers],0),2),FALSE),"")</f>
        <v/>
      </c>
      <c r="AA660" t="str">
        <f t="shared" si="76"/>
        <v/>
      </c>
      <c r="AB660">
        <v>0</v>
      </c>
      <c r="AC660" t="str">
        <f>IF(AB660&lt;&gt;0,VLOOKUP(VLOOKUP(AB660,Tbl_Effect[],3,FALSE),EffectName[],IFERROR(MATCH(UI!$B$1,EffectName[#Headers],0),2),FALSE),"")</f>
        <v/>
      </c>
    </row>
    <row r="661" spans="8:29" x14ac:dyDescent="0.4">
      <c r="H661" t="str">
        <f t="shared" si="70"/>
        <v>2000222-遼闊的光耀暗淡情景 (黃)</v>
      </c>
      <c r="I661">
        <v>2000222</v>
      </c>
      <c r="J661" t="str">
        <f>_xlfn.IFNA(IF(I661&lt;&gt;0,VLOOKUP(VLOOKUP(I661,Tbl_Equip[],2,FALSE),Tbl_Color[],IFERROR(MATCH(UI!$B$1,Tbl_Color[#Headers],0),2),FALSE),""),"Unset")</f>
        <v>黃</v>
      </c>
      <c r="K661" t="str">
        <f>_xlfn.IFNA(IF(I661&lt;&gt;0,VLOOKUP(I661,ItemText[],IFERROR(MATCH(UI!$B$1,ItemText[#Headers],0),2),FALSE),""),"Unset")</f>
        <v>遼闊的光耀暗淡情景</v>
      </c>
      <c r="L661" t="str">
        <f t="shared" si="71"/>
        <v/>
      </c>
      <c r="M661">
        <v>0</v>
      </c>
      <c r="N661" t="str">
        <f>IF(VALUE(M661)=0,"",VLOOKUP(VLOOKUP(M661,Tbl_Effect[],3,FALSE),EffectName[],IFERROR(MATCH(UI!$B$1,EffectName[#Headers],0),2),FALSE))</f>
        <v/>
      </c>
      <c r="O661" t="str">
        <f t="shared" si="72"/>
        <v/>
      </c>
      <c r="P661">
        <v>0</v>
      </c>
      <c r="Q661" t="str">
        <f>IF(VALUE(P661)=0,"",VLOOKUP(VLOOKUP(P661,Tbl_Effect[],3,FALSE),EffectName[],IFERROR(MATCH(UI!$B$1,EffectName[#Headers],0),2),FALSE))</f>
        <v/>
      </c>
      <c r="R661" t="str">
        <f t="shared" si="73"/>
        <v/>
      </c>
      <c r="S661">
        <v>0</v>
      </c>
      <c r="T661" t="str">
        <f>IF(VALUE(S661)=0,"",VLOOKUP(VLOOKUP(S661,Tbl_Effect[],3,FALSE),EffectName[],IFERROR(MATCH(UI!$B$1,EffectName[#Headers],0),2),FALSE))</f>
        <v/>
      </c>
      <c r="U661" t="str">
        <f t="shared" si="74"/>
        <v/>
      </c>
      <c r="V661">
        <v>0</v>
      </c>
      <c r="W661" t="str">
        <f>IF(V661&lt;&gt;0,VLOOKUP(VLOOKUP(V661,Tbl_Effect[],3,FALSE),EffectName[],IFERROR(MATCH(UI!$B$1,EffectName[#Headers],0),2),FALSE),"")</f>
        <v/>
      </c>
      <c r="X661" t="str">
        <f t="shared" si="75"/>
        <v/>
      </c>
      <c r="Y661">
        <v>0</v>
      </c>
      <c r="Z661" t="str">
        <f>IF(Y661&lt;&gt;0,VLOOKUP(VLOOKUP(Y661,Tbl_Effect[],3,FALSE),EffectName[],IFERROR(MATCH(UI!$B$1,EffectName[#Headers],0),2),FALSE),"")</f>
        <v/>
      </c>
      <c r="AA661" t="str">
        <f t="shared" si="76"/>
        <v/>
      </c>
      <c r="AB661">
        <v>0</v>
      </c>
      <c r="AC661" t="str">
        <f>IF(AB661&lt;&gt;0,VLOOKUP(VLOOKUP(AB661,Tbl_Effect[],3,FALSE),EffectName[],IFERROR(MATCH(UI!$B$1,EffectName[#Headers],0),2),FALSE),"")</f>
        <v/>
      </c>
    </row>
    <row r="662" spans="8:29" x14ac:dyDescent="0.4">
      <c r="H662" t="str">
        <f t="shared" si="70"/>
        <v>2000300-細膩的幽靜暗淡情景 (綠)</v>
      </c>
      <c r="I662">
        <v>2000300</v>
      </c>
      <c r="J662" t="str">
        <f>_xlfn.IFNA(IF(I662&lt;&gt;0,VLOOKUP(VLOOKUP(I662,Tbl_Equip[],2,FALSE),Tbl_Color[],IFERROR(MATCH(UI!$B$1,Tbl_Color[#Headers],0),2),FALSE),""),"Unset")</f>
        <v>綠</v>
      </c>
      <c r="K662" t="str">
        <f>_xlfn.IFNA(IF(I662&lt;&gt;0,VLOOKUP(I662,ItemText[],IFERROR(MATCH(UI!$B$1,ItemText[#Headers],0),2),FALSE),""),"Unset")</f>
        <v>細膩的幽靜暗淡情景</v>
      </c>
      <c r="L662" t="str">
        <f t="shared" si="71"/>
        <v/>
      </c>
      <c r="M662">
        <v>0</v>
      </c>
      <c r="N662" t="str">
        <f>IF(VALUE(M662)=0,"",VLOOKUP(VLOOKUP(M662,Tbl_Effect[],3,FALSE),EffectName[],IFERROR(MATCH(UI!$B$1,EffectName[#Headers],0),2),FALSE))</f>
        <v/>
      </c>
      <c r="O662" t="str">
        <f t="shared" si="72"/>
        <v/>
      </c>
      <c r="P662">
        <v>0</v>
      </c>
      <c r="Q662" t="str">
        <f>IF(VALUE(P662)=0,"",VLOOKUP(VLOOKUP(P662,Tbl_Effect[],3,FALSE),EffectName[],IFERROR(MATCH(UI!$B$1,EffectName[#Headers],0),2),FALSE))</f>
        <v/>
      </c>
      <c r="R662" t="str">
        <f t="shared" si="73"/>
        <v/>
      </c>
      <c r="S662">
        <v>0</v>
      </c>
      <c r="T662" t="str">
        <f>IF(VALUE(S662)=0,"",VLOOKUP(VLOOKUP(S662,Tbl_Effect[],3,FALSE),EffectName[],IFERROR(MATCH(UI!$B$1,EffectName[#Headers],0),2),FALSE))</f>
        <v/>
      </c>
      <c r="U662" t="str">
        <f t="shared" si="74"/>
        <v/>
      </c>
      <c r="V662">
        <v>0</v>
      </c>
      <c r="W662" t="str">
        <f>IF(V662&lt;&gt;0,VLOOKUP(VLOOKUP(V662,Tbl_Effect[],3,FALSE),EffectName[],IFERROR(MATCH(UI!$B$1,EffectName[#Headers],0),2),FALSE),"")</f>
        <v/>
      </c>
      <c r="X662" t="str">
        <f t="shared" si="75"/>
        <v/>
      </c>
      <c r="Y662">
        <v>0</v>
      </c>
      <c r="Z662" t="str">
        <f>IF(Y662&lt;&gt;0,VLOOKUP(VLOOKUP(Y662,Tbl_Effect[],3,FALSE),EffectName[],IFERROR(MATCH(UI!$B$1,EffectName[#Headers],0),2),FALSE),"")</f>
        <v/>
      </c>
      <c r="AA662" t="str">
        <f t="shared" si="76"/>
        <v/>
      </c>
      <c r="AB662">
        <v>0</v>
      </c>
      <c r="AC662" t="str">
        <f>IF(AB662&lt;&gt;0,VLOOKUP(VLOOKUP(AB662,Tbl_Effect[],3,FALSE),EffectName[],IFERROR(MATCH(UI!$B$1,EffectName[#Headers],0),2),FALSE),"")</f>
        <v/>
      </c>
    </row>
    <row r="663" spans="8:29" x14ac:dyDescent="0.4">
      <c r="H663" t="str">
        <f t="shared" si="70"/>
        <v>2000301-端正的幽靜暗淡情景 (綠)</v>
      </c>
      <c r="I663">
        <v>2000301</v>
      </c>
      <c r="J663" t="str">
        <f>_xlfn.IFNA(IF(I663&lt;&gt;0,VLOOKUP(VLOOKUP(I663,Tbl_Equip[],2,FALSE),Tbl_Color[],IFERROR(MATCH(UI!$B$1,Tbl_Color[#Headers],0),2),FALSE),""),"Unset")</f>
        <v>綠</v>
      </c>
      <c r="K663" t="str">
        <f>_xlfn.IFNA(IF(I663&lt;&gt;0,VLOOKUP(I663,ItemText[],IFERROR(MATCH(UI!$B$1,ItemText[#Headers],0),2),FALSE),""),"Unset")</f>
        <v>端正的幽靜暗淡情景</v>
      </c>
      <c r="L663" t="str">
        <f t="shared" si="71"/>
        <v/>
      </c>
      <c r="M663">
        <v>0</v>
      </c>
      <c r="N663" t="str">
        <f>IF(VALUE(M663)=0,"",VLOOKUP(VLOOKUP(M663,Tbl_Effect[],3,FALSE),EffectName[],IFERROR(MATCH(UI!$B$1,EffectName[#Headers],0),2),FALSE))</f>
        <v/>
      </c>
      <c r="O663" t="str">
        <f t="shared" si="72"/>
        <v/>
      </c>
      <c r="P663">
        <v>0</v>
      </c>
      <c r="Q663" t="str">
        <f>IF(VALUE(P663)=0,"",VLOOKUP(VLOOKUP(P663,Tbl_Effect[],3,FALSE),EffectName[],IFERROR(MATCH(UI!$B$1,EffectName[#Headers],0),2),FALSE))</f>
        <v/>
      </c>
      <c r="R663" t="str">
        <f t="shared" si="73"/>
        <v/>
      </c>
      <c r="S663">
        <v>0</v>
      </c>
      <c r="T663" t="str">
        <f>IF(VALUE(S663)=0,"",VLOOKUP(VLOOKUP(S663,Tbl_Effect[],3,FALSE),EffectName[],IFERROR(MATCH(UI!$B$1,EffectName[#Headers],0),2),FALSE))</f>
        <v/>
      </c>
      <c r="U663" t="str">
        <f t="shared" si="74"/>
        <v/>
      </c>
      <c r="V663">
        <v>0</v>
      </c>
      <c r="W663" t="str">
        <f>IF(V663&lt;&gt;0,VLOOKUP(VLOOKUP(V663,Tbl_Effect[],3,FALSE),EffectName[],IFERROR(MATCH(UI!$B$1,EffectName[#Headers],0),2),FALSE),"")</f>
        <v/>
      </c>
      <c r="X663" t="str">
        <f t="shared" si="75"/>
        <v/>
      </c>
      <c r="Y663">
        <v>0</v>
      </c>
      <c r="Z663" t="str">
        <f>IF(Y663&lt;&gt;0,VLOOKUP(VLOOKUP(Y663,Tbl_Effect[],3,FALSE),EffectName[],IFERROR(MATCH(UI!$B$1,EffectName[#Headers],0),2),FALSE),"")</f>
        <v/>
      </c>
      <c r="AA663" t="str">
        <f t="shared" si="76"/>
        <v/>
      </c>
      <c r="AB663">
        <v>0</v>
      </c>
      <c r="AC663" t="str">
        <f>IF(AB663&lt;&gt;0,VLOOKUP(VLOOKUP(AB663,Tbl_Effect[],3,FALSE),EffectName[],IFERROR(MATCH(UI!$B$1,EffectName[#Headers],0),2),FALSE),"")</f>
        <v/>
      </c>
    </row>
    <row r="664" spans="8:29" x14ac:dyDescent="0.4">
      <c r="H664" t="str">
        <f t="shared" si="70"/>
        <v>2000302-遼闊的幽靜暗淡情景 (綠)</v>
      </c>
      <c r="I664">
        <v>2000302</v>
      </c>
      <c r="J664" t="str">
        <f>_xlfn.IFNA(IF(I664&lt;&gt;0,VLOOKUP(VLOOKUP(I664,Tbl_Equip[],2,FALSE),Tbl_Color[],IFERROR(MATCH(UI!$B$1,Tbl_Color[#Headers],0),2),FALSE),""),"Unset")</f>
        <v>綠</v>
      </c>
      <c r="K664" t="str">
        <f>_xlfn.IFNA(IF(I664&lt;&gt;0,VLOOKUP(I664,ItemText[],IFERROR(MATCH(UI!$B$1,ItemText[#Headers],0),2),FALSE),""),"Unset")</f>
        <v>遼闊的幽靜暗淡情景</v>
      </c>
      <c r="L664" t="str">
        <f t="shared" si="71"/>
        <v/>
      </c>
      <c r="M664">
        <v>0</v>
      </c>
      <c r="N664" t="str">
        <f>IF(VALUE(M664)=0,"",VLOOKUP(VLOOKUP(M664,Tbl_Effect[],3,FALSE),EffectName[],IFERROR(MATCH(UI!$B$1,EffectName[#Headers],0),2),FALSE))</f>
        <v/>
      </c>
      <c r="O664" t="str">
        <f t="shared" si="72"/>
        <v/>
      </c>
      <c r="P664">
        <v>0</v>
      </c>
      <c r="Q664" t="str">
        <f>IF(VALUE(P664)=0,"",VLOOKUP(VLOOKUP(P664,Tbl_Effect[],3,FALSE),EffectName[],IFERROR(MATCH(UI!$B$1,EffectName[#Headers],0),2),FALSE))</f>
        <v/>
      </c>
      <c r="R664" t="str">
        <f t="shared" si="73"/>
        <v/>
      </c>
      <c r="S664">
        <v>0</v>
      </c>
      <c r="T664" t="str">
        <f>IF(VALUE(S664)=0,"",VLOOKUP(VLOOKUP(S664,Tbl_Effect[],3,FALSE),EffectName[],IFERROR(MATCH(UI!$B$1,EffectName[#Headers],0),2),FALSE))</f>
        <v/>
      </c>
      <c r="U664" t="str">
        <f t="shared" si="74"/>
        <v/>
      </c>
      <c r="V664">
        <v>0</v>
      </c>
      <c r="W664" t="str">
        <f>IF(V664&lt;&gt;0,VLOOKUP(VLOOKUP(V664,Tbl_Effect[],3,FALSE),EffectName[],IFERROR(MATCH(UI!$B$1,EffectName[#Headers],0),2),FALSE),"")</f>
        <v/>
      </c>
      <c r="X664" t="str">
        <f t="shared" si="75"/>
        <v/>
      </c>
      <c r="Y664">
        <v>0</v>
      </c>
      <c r="Z664" t="str">
        <f>IF(Y664&lt;&gt;0,VLOOKUP(VLOOKUP(Y664,Tbl_Effect[],3,FALSE),EffectName[],IFERROR(MATCH(UI!$B$1,EffectName[#Headers],0),2),FALSE),"")</f>
        <v/>
      </c>
      <c r="AA664" t="str">
        <f t="shared" si="76"/>
        <v/>
      </c>
      <c r="AB664">
        <v>0</v>
      </c>
      <c r="AC664" t="str">
        <f>IF(AB664&lt;&gt;0,VLOOKUP(VLOOKUP(AB664,Tbl_Effect[],3,FALSE),EffectName[],IFERROR(MATCH(UI!$B$1,EffectName[#Headers],0),2),FALSE),"")</f>
        <v/>
      </c>
    </row>
    <row r="665" spans="8:29" x14ac:dyDescent="0.4">
      <c r="H665" t="str">
        <f t="shared" si="70"/>
        <v>2000310-細膩的幽靜暗淡情景 (綠)</v>
      </c>
      <c r="I665">
        <v>2000310</v>
      </c>
      <c r="J665" t="str">
        <f>_xlfn.IFNA(IF(I665&lt;&gt;0,VLOOKUP(VLOOKUP(I665,Tbl_Equip[],2,FALSE),Tbl_Color[],IFERROR(MATCH(UI!$B$1,Tbl_Color[#Headers],0),2),FALSE),""),"Unset")</f>
        <v>綠</v>
      </c>
      <c r="K665" t="str">
        <f>_xlfn.IFNA(IF(I665&lt;&gt;0,VLOOKUP(I665,ItemText[],IFERROR(MATCH(UI!$B$1,ItemText[#Headers],0),2),FALSE),""),"Unset")</f>
        <v>細膩的幽靜暗淡情景</v>
      </c>
      <c r="L665" t="str">
        <f t="shared" si="71"/>
        <v/>
      </c>
      <c r="M665">
        <v>0</v>
      </c>
      <c r="N665" t="str">
        <f>IF(VALUE(M665)=0,"",VLOOKUP(VLOOKUP(M665,Tbl_Effect[],3,FALSE),EffectName[],IFERROR(MATCH(UI!$B$1,EffectName[#Headers],0),2),FALSE))</f>
        <v/>
      </c>
      <c r="O665" t="str">
        <f t="shared" si="72"/>
        <v/>
      </c>
      <c r="P665">
        <v>0</v>
      </c>
      <c r="Q665" t="str">
        <f>IF(VALUE(P665)=0,"",VLOOKUP(VLOOKUP(P665,Tbl_Effect[],3,FALSE),EffectName[],IFERROR(MATCH(UI!$B$1,EffectName[#Headers],0),2),FALSE))</f>
        <v/>
      </c>
      <c r="R665" t="str">
        <f t="shared" si="73"/>
        <v/>
      </c>
      <c r="S665">
        <v>0</v>
      </c>
      <c r="T665" t="str">
        <f>IF(VALUE(S665)=0,"",VLOOKUP(VLOOKUP(S665,Tbl_Effect[],3,FALSE),EffectName[],IFERROR(MATCH(UI!$B$1,EffectName[#Headers],0),2),FALSE))</f>
        <v/>
      </c>
      <c r="U665" t="str">
        <f t="shared" si="74"/>
        <v/>
      </c>
      <c r="V665">
        <v>0</v>
      </c>
      <c r="W665" t="str">
        <f>IF(V665&lt;&gt;0,VLOOKUP(VLOOKUP(V665,Tbl_Effect[],3,FALSE),EffectName[],IFERROR(MATCH(UI!$B$1,EffectName[#Headers],0),2),FALSE),"")</f>
        <v/>
      </c>
      <c r="X665" t="str">
        <f t="shared" si="75"/>
        <v/>
      </c>
      <c r="Y665">
        <v>0</v>
      </c>
      <c r="Z665" t="str">
        <f>IF(Y665&lt;&gt;0,VLOOKUP(VLOOKUP(Y665,Tbl_Effect[],3,FALSE),EffectName[],IFERROR(MATCH(UI!$B$1,EffectName[#Headers],0),2),FALSE),"")</f>
        <v/>
      </c>
      <c r="AA665" t="str">
        <f t="shared" si="76"/>
        <v/>
      </c>
      <c r="AB665">
        <v>0</v>
      </c>
      <c r="AC665" t="str">
        <f>IF(AB665&lt;&gt;0,VLOOKUP(VLOOKUP(AB665,Tbl_Effect[],3,FALSE),EffectName[],IFERROR(MATCH(UI!$B$1,EffectName[#Headers],0),2),FALSE),"")</f>
        <v/>
      </c>
    </row>
    <row r="666" spans="8:29" x14ac:dyDescent="0.4">
      <c r="H666" t="str">
        <f t="shared" si="70"/>
        <v>2000311-端正的幽靜暗淡情景 (綠)</v>
      </c>
      <c r="I666">
        <v>2000311</v>
      </c>
      <c r="J666" t="str">
        <f>_xlfn.IFNA(IF(I666&lt;&gt;0,VLOOKUP(VLOOKUP(I666,Tbl_Equip[],2,FALSE),Tbl_Color[],IFERROR(MATCH(UI!$B$1,Tbl_Color[#Headers],0),2),FALSE),""),"Unset")</f>
        <v>綠</v>
      </c>
      <c r="K666" t="str">
        <f>_xlfn.IFNA(IF(I666&lt;&gt;0,VLOOKUP(I666,ItemText[],IFERROR(MATCH(UI!$B$1,ItemText[#Headers],0),2),FALSE),""),"Unset")</f>
        <v>端正的幽靜暗淡情景</v>
      </c>
      <c r="L666" t="str">
        <f t="shared" si="71"/>
        <v/>
      </c>
      <c r="M666">
        <v>0</v>
      </c>
      <c r="N666" t="str">
        <f>IF(VALUE(M666)=0,"",VLOOKUP(VLOOKUP(M666,Tbl_Effect[],3,FALSE),EffectName[],IFERROR(MATCH(UI!$B$1,EffectName[#Headers],0),2),FALSE))</f>
        <v/>
      </c>
      <c r="O666" t="str">
        <f t="shared" si="72"/>
        <v/>
      </c>
      <c r="P666">
        <v>0</v>
      </c>
      <c r="Q666" t="str">
        <f>IF(VALUE(P666)=0,"",VLOOKUP(VLOOKUP(P666,Tbl_Effect[],3,FALSE),EffectName[],IFERROR(MATCH(UI!$B$1,EffectName[#Headers],0),2),FALSE))</f>
        <v/>
      </c>
      <c r="R666" t="str">
        <f t="shared" si="73"/>
        <v/>
      </c>
      <c r="S666">
        <v>0</v>
      </c>
      <c r="T666" t="str">
        <f>IF(VALUE(S666)=0,"",VLOOKUP(VLOOKUP(S666,Tbl_Effect[],3,FALSE),EffectName[],IFERROR(MATCH(UI!$B$1,EffectName[#Headers],0),2),FALSE))</f>
        <v/>
      </c>
      <c r="U666" t="str">
        <f t="shared" si="74"/>
        <v/>
      </c>
      <c r="V666">
        <v>0</v>
      </c>
      <c r="W666" t="str">
        <f>IF(V666&lt;&gt;0,VLOOKUP(VLOOKUP(V666,Tbl_Effect[],3,FALSE),EffectName[],IFERROR(MATCH(UI!$B$1,EffectName[#Headers],0),2),FALSE),"")</f>
        <v/>
      </c>
      <c r="X666" t="str">
        <f t="shared" si="75"/>
        <v/>
      </c>
      <c r="Y666">
        <v>0</v>
      </c>
      <c r="Z666" t="str">
        <f>IF(Y666&lt;&gt;0,VLOOKUP(VLOOKUP(Y666,Tbl_Effect[],3,FALSE),EffectName[],IFERROR(MATCH(UI!$B$1,EffectName[#Headers],0),2),FALSE),"")</f>
        <v/>
      </c>
      <c r="AA666" t="str">
        <f t="shared" si="76"/>
        <v/>
      </c>
      <c r="AB666">
        <v>0</v>
      </c>
      <c r="AC666" t="str">
        <f>IF(AB666&lt;&gt;0,VLOOKUP(VLOOKUP(AB666,Tbl_Effect[],3,FALSE),EffectName[],IFERROR(MATCH(UI!$B$1,EffectName[#Headers],0),2),FALSE),"")</f>
        <v/>
      </c>
    </row>
    <row r="667" spans="8:29" x14ac:dyDescent="0.4">
      <c r="H667" t="str">
        <f t="shared" si="70"/>
        <v>2000312-遼闊的幽靜暗淡情景 (綠)</v>
      </c>
      <c r="I667">
        <v>2000312</v>
      </c>
      <c r="J667" t="str">
        <f>_xlfn.IFNA(IF(I667&lt;&gt;0,VLOOKUP(VLOOKUP(I667,Tbl_Equip[],2,FALSE),Tbl_Color[],IFERROR(MATCH(UI!$B$1,Tbl_Color[#Headers],0),2),FALSE),""),"Unset")</f>
        <v>綠</v>
      </c>
      <c r="K667" t="str">
        <f>_xlfn.IFNA(IF(I667&lt;&gt;0,VLOOKUP(I667,ItemText[],IFERROR(MATCH(UI!$B$1,ItemText[#Headers],0),2),FALSE),""),"Unset")</f>
        <v>遼闊的幽靜暗淡情景</v>
      </c>
      <c r="L667" t="str">
        <f t="shared" si="71"/>
        <v/>
      </c>
      <c r="M667">
        <v>0</v>
      </c>
      <c r="N667" t="str">
        <f>IF(VALUE(M667)=0,"",VLOOKUP(VLOOKUP(M667,Tbl_Effect[],3,FALSE),EffectName[],IFERROR(MATCH(UI!$B$1,EffectName[#Headers],0),2),FALSE))</f>
        <v/>
      </c>
      <c r="O667" t="str">
        <f t="shared" si="72"/>
        <v/>
      </c>
      <c r="P667">
        <v>0</v>
      </c>
      <c r="Q667" t="str">
        <f>IF(VALUE(P667)=0,"",VLOOKUP(VLOOKUP(P667,Tbl_Effect[],3,FALSE),EffectName[],IFERROR(MATCH(UI!$B$1,EffectName[#Headers],0),2),FALSE))</f>
        <v/>
      </c>
      <c r="R667" t="str">
        <f t="shared" si="73"/>
        <v/>
      </c>
      <c r="S667">
        <v>0</v>
      </c>
      <c r="T667" t="str">
        <f>IF(VALUE(S667)=0,"",VLOOKUP(VLOOKUP(S667,Tbl_Effect[],3,FALSE),EffectName[],IFERROR(MATCH(UI!$B$1,EffectName[#Headers],0),2),FALSE))</f>
        <v/>
      </c>
      <c r="U667" t="str">
        <f t="shared" si="74"/>
        <v/>
      </c>
      <c r="V667">
        <v>0</v>
      </c>
      <c r="W667" t="str">
        <f>IF(V667&lt;&gt;0,VLOOKUP(VLOOKUP(V667,Tbl_Effect[],3,FALSE),EffectName[],IFERROR(MATCH(UI!$B$1,EffectName[#Headers],0),2),FALSE),"")</f>
        <v/>
      </c>
      <c r="X667" t="str">
        <f t="shared" si="75"/>
        <v/>
      </c>
      <c r="Y667">
        <v>0</v>
      </c>
      <c r="Z667" t="str">
        <f>IF(Y667&lt;&gt;0,VLOOKUP(VLOOKUP(Y667,Tbl_Effect[],3,FALSE),EffectName[],IFERROR(MATCH(UI!$B$1,EffectName[#Headers],0),2),FALSE),"")</f>
        <v/>
      </c>
      <c r="AA667" t="str">
        <f t="shared" si="76"/>
        <v/>
      </c>
      <c r="AB667">
        <v>0</v>
      </c>
      <c r="AC667" t="str">
        <f>IF(AB667&lt;&gt;0,VLOOKUP(VLOOKUP(AB667,Tbl_Effect[],3,FALSE),EffectName[],IFERROR(MATCH(UI!$B$1,EffectName[#Headers],0),2),FALSE),"")</f>
        <v/>
      </c>
    </row>
    <row r="668" spans="8:29" x14ac:dyDescent="0.4">
      <c r="H668" t="str">
        <f t="shared" si="70"/>
        <v>2000320-細膩的幽靜暗淡情景 (綠)</v>
      </c>
      <c r="I668">
        <v>2000320</v>
      </c>
      <c r="J668" t="str">
        <f>_xlfn.IFNA(IF(I668&lt;&gt;0,VLOOKUP(VLOOKUP(I668,Tbl_Equip[],2,FALSE),Tbl_Color[],IFERROR(MATCH(UI!$B$1,Tbl_Color[#Headers],0),2),FALSE),""),"Unset")</f>
        <v>綠</v>
      </c>
      <c r="K668" t="str">
        <f>_xlfn.IFNA(IF(I668&lt;&gt;0,VLOOKUP(I668,ItemText[],IFERROR(MATCH(UI!$B$1,ItemText[#Headers],0),2),FALSE),""),"Unset")</f>
        <v>細膩的幽靜暗淡情景</v>
      </c>
      <c r="L668" t="str">
        <f t="shared" si="71"/>
        <v/>
      </c>
      <c r="M668">
        <v>0</v>
      </c>
      <c r="N668" t="str">
        <f>IF(VALUE(M668)=0,"",VLOOKUP(VLOOKUP(M668,Tbl_Effect[],3,FALSE),EffectName[],IFERROR(MATCH(UI!$B$1,EffectName[#Headers],0),2),FALSE))</f>
        <v/>
      </c>
      <c r="O668" t="str">
        <f t="shared" si="72"/>
        <v/>
      </c>
      <c r="P668">
        <v>0</v>
      </c>
      <c r="Q668" t="str">
        <f>IF(VALUE(P668)=0,"",VLOOKUP(VLOOKUP(P668,Tbl_Effect[],3,FALSE),EffectName[],IFERROR(MATCH(UI!$B$1,EffectName[#Headers],0),2),FALSE))</f>
        <v/>
      </c>
      <c r="R668" t="str">
        <f t="shared" si="73"/>
        <v/>
      </c>
      <c r="S668">
        <v>0</v>
      </c>
      <c r="T668" t="str">
        <f>IF(VALUE(S668)=0,"",VLOOKUP(VLOOKUP(S668,Tbl_Effect[],3,FALSE),EffectName[],IFERROR(MATCH(UI!$B$1,EffectName[#Headers],0),2),FALSE))</f>
        <v/>
      </c>
      <c r="U668" t="str">
        <f t="shared" si="74"/>
        <v/>
      </c>
      <c r="V668">
        <v>0</v>
      </c>
      <c r="W668" t="str">
        <f>IF(V668&lt;&gt;0,VLOOKUP(VLOOKUP(V668,Tbl_Effect[],3,FALSE),EffectName[],IFERROR(MATCH(UI!$B$1,EffectName[#Headers],0),2),FALSE),"")</f>
        <v/>
      </c>
      <c r="X668" t="str">
        <f t="shared" si="75"/>
        <v/>
      </c>
      <c r="Y668">
        <v>0</v>
      </c>
      <c r="Z668" t="str">
        <f>IF(Y668&lt;&gt;0,VLOOKUP(VLOOKUP(Y668,Tbl_Effect[],3,FALSE),EffectName[],IFERROR(MATCH(UI!$B$1,EffectName[#Headers],0),2),FALSE),"")</f>
        <v/>
      </c>
      <c r="AA668" t="str">
        <f t="shared" si="76"/>
        <v/>
      </c>
      <c r="AB668">
        <v>0</v>
      </c>
      <c r="AC668" t="str">
        <f>IF(AB668&lt;&gt;0,VLOOKUP(VLOOKUP(AB668,Tbl_Effect[],3,FALSE),EffectName[],IFERROR(MATCH(UI!$B$1,EffectName[#Headers],0),2),FALSE),"")</f>
        <v/>
      </c>
    </row>
    <row r="669" spans="8:29" x14ac:dyDescent="0.4">
      <c r="H669" t="str">
        <f t="shared" si="70"/>
        <v>2000321-端正的幽靜暗淡情景 (綠)</v>
      </c>
      <c r="I669">
        <v>2000321</v>
      </c>
      <c r="J669" t="str">
        <f>_xlfn.IFNA(IF(I669&lt;&gt;0,VLOOKUP(VLOOKUP(I669,Tbl_Equip[],2,FALSE),Tbl_Color[],IFERROR(MATCH(UI!$B$1,Tbl_Color[#Headers],0),2),FALSE),""),"Unset")</f>
        <v>綠</v>
      </c>
      <c r="K669" t="str">
        <f>_xlfn.IFNA(IF(I669&lt;&gt;0,VLOOKUP(I669,ItemText[],IFERROR(MATCH(UI!$B$1,ItemText[#Headers],0),2),FALSE),""),"Unset")</f>
        <v>端正的幽靜暗淡情景</v>
      </c>
      <c r="L669" t="str">
        <f t="shared" si="71"/>
        <v/>
      </c>
      <c r="M669">
        <v>0</v>
      </c>
      <c r="N669" t="str">
        <f>IF(VALUE(M669)=0,"",VLOOKUP(VLOOKUP(M669,Tbl_Effect[],3,FALSE),EffectName[],IFERROR(MATCH(UI!$B$1,EffectName[#Headers],0),2),FALSE))</f>
        <v/>
      </c>
      <c r="O669" t="str">
        <f t="shared" si="72"/>
        <v/>
      </c>
      <c r="P669">
        <v>0</v>
      </c>
      <c r="Q669" t="str">
        <f>IF(VALUE(P669)=0,"",VLOOKUP(VLOOKUP(P669,Tbl_Effect[],3,FALSE),EffectName[],IFERROR(MATCH(UI!$B$1,EffectName[#Headers],0),2),FALSE))</f>
        <v/>
      </c>
      <c r="R669" t="str">
        <f t="shared" si="73"/>
        <v/>
      </c>
      <c r="S669">
        <v>0</v>
      </c>
      <c r="T669" t="str">
        <f>IF(VALUE(S669)=0,"",VLOOKUP(VLOOKUP(S669,Tbl_Effect[],3,FALSE),EffectName[],IFERROR(MATCH(UI!$B$1,EffectName[#Headers],0),2),FALSE))</f>
        <v/>
      </c>
      <c r="U669" t="str">
        <f t="shared" si="74"/>
        <v/>
      </c>
      <c r="V669">
        <v>0</v>
      </c>
      <c r="W669" t="str">
        <f>IF(V669&lt;&gt;0,VLOOKUP(VLOOKUP(V669,Tbl_Effect[],3,FALSE),EffectName[],IFERROR(MATCH(UI!$B$1,EffectName[#Headers],0),2),FALSE),"")</f>
        <v/>
      </c>
      <c r="X669" t="str">
        <f t="shared" si="75"/>
        <v/>
      </c>
      <c r="Y669">
        <v>0</v>
      </c>
      <c r="Z669" t="str">
        <f>IF(Y669&lt;&gt;0,VLOOKUP(VLOOKUP(Y669,Tbl_Effect[],3,FALSE),EffectName[],IFERROR(MATCH(UI!$B$1,EffectName[#Headers],0),2),FALSE),"")</f>
        <v/>
      </c>
      <c r="AA669" t="str">
        <f t="shared" si="76"/>
        <v/>
      </c>
      <c r="AB669">
        <v>0</v>
      </c>
      <c r="AC669" t="str">
        <f>IF(AB669&lt;&gt;0,VLOOKUP(VLOOKUP(AB669,Tbl_Effect[],3,FALSE),EffectName[],IFERROR(MATCH(UI!$B$1,EffectName[#Headers],0),2),FALSE),"")</f>
        <v/>
      </c>
    </row>
    <row r="670" spans="8:29" x14ac:dyDescent="0.4">
      <c r="H670" t="str">
        <f t="shared" si="70"/>
        <v>2000322-遼闊的幽靜暗淡情景 (綠)</v>
      </c>
      <c r="I670">
        <v>2000322</v>
      </c>
      <c r="J670" t="str">
        <f>_xlfn.IFNA(IF(I670&lt;&gt;0,VLOOKUP(VLOOKUP(I670,Tbl_Equip[],2,FALSE),Tbl_Color[],IFERROR(MATCH(UI!$B$1,Tbl_Color[#Headers],0),2),FALSE),""),"Unset")</f>
        <v>綠</v>
      </c>
      <c r="K670" t="str">
        <f>_xlfn.IFNA(IF(I670&lt;&gt;0,VLOOKUP(I670,ItemText[],IFERROR(MATCH(UI!$B$1,ItemText[#Headers],0),2),FALSE),""),"Unset")</f>
        <v>遼闊的幽靜暗淡情景</v>
      </c>
      <c r="L670" t="str">
        <f t="shared" si="71"/>
        <v/>
      </c>
      <c r="M670">
        <v>0</v>
      </c>
      <c r="N670" t="str">
        <f>IF(VALUE(M670)=0,"",VLOOKUP(VLOOKUP(M670,Tbl_Effect[],3,FALSE),EffectName[],IFERROR(MATCH(UI!$B$1,EffectName[#Headers],0),2),FALSE))</f>
        <v/>
      </c>
      <c r="O670" t="str">
        <f t="shared" si="72"/>
        <v/>
      </c>
      <c r="P670">
        <v>0</v>
      </c>
      <c r="Q670" t="str">
        <f>IF(VALUE(P670)=0,"",VLOOKUP(VLOOKUP(P670,Tbl_Effect[],3,FALSE),EffectName[],IFERROR(MATCH(UI!$B$1,EffectName[#Headers],0),2),FALSE))</f>
        <v/>
      </c>
      <c r="R670" t="str">
        <f t="shared" si="73"/>
        <v/>
      </c>
      <c r="S670">
        <v>0</v>
      </c>
      <c r="T670" t="str">
        <f>IF(VALUE(S670)=0,"",VLOOKUP(VLOOKUP(S670,Tbl_Effect[],3,FALSE),EffectName[],IFERROR(MATCH(UI!$B$1,EffectName[#Headers],0),2),FALSE))</f>
        <v/>
      </c>
      <c r="U670" t="str">
        <f t="shared" si="74"/>
        <v/>
      </c>
      <c r="V670">
        <v>0</v>
      </c>
      <c r="W670" t="str">
        <f>IF(V670&lt;&gt;0,VLOOKUP(VLOOKUP(V670,Tbl_Effect[],3,FALSE),EffectName[],IFERROR(MATCH(UI!$B$1,EffectName[#Headers],0),2),FALSE),"")</f>
        <v/>
      </c>
      <c r="X670" t="str">
        <f t="shared" si="75"/>
        <v/>
      </c>
      <c r="Y670">
        <v>0</v>
      </c>
      <c r="Z670" t="str">
        <f>IF(Y670&lt;&gt;0,VLOOKUP(VLOOKUP(Y670,Tbl_Effect[],3,FALSE),EffectName[],IFERROR(MATCH(UI!$B$1,EffectName[#Headers],0),2),FALSE),"")</f>
        <v/>
      </c>
      <c r="AA670" t="str">
        <f t="shared" si="76"/>
        <v/>
      </c>
      <c r="AB670">
        <v>0</v>
      </c>
      <c r="AC670" t="str">
        <f>IF(AB670&lt;&gt;0,VLOOKUP(VLOOKUP(AB670,Tbl_Effect[],3,FALSE),EffectName[],IFERROR(MATCH(UI!$B$1,EffectName[#Headers],0),2),FALSE),"")</f>
        <v/>
      </c>
    </row>
    <row r="671" spans="8:29" x14ac:dyDescent="0.4">
      <c r="H671" t="str">
        <f t="shared" si="70"/>
        <v>2001001-端正的火燃暗淡情景 (紅)</v>
      </c>
      <c r="I671">
        <v>2001001</v>
      </c>
      <c r="J671" t="str">
        <f>_xlfn.IFNA(IF(I671&lt;&gt;0,VLOOKUP(VLOOKUP(I671,Tbl_Equip[],2,FALSE),Tbl_Color[],IFERROR(MATCH(UI!$B$1,Tbl_Color[#Headers],0),2),FALSE),""),"Unset")</f>
        <v>紅</v>
      </c>
      <c r="K671" t="str">
        <f>_xlfn.IFNA(IF(I671&lt;&gt;0,VLOOKUP(I671,ItemText[],IFERROR(MATCH(UI!$B$1,ItemText[#Headers],0),2),FALSE),""),"Unset")</f>
        <v>端正的火燃暗淡情景</v>
      </c>
      <c r="L671" t="str">
        <f t="shared" si="71"/>
        <v/>
      </c>
      <c r="M671">
        <v>0</v>
      </c>
      <c r="N671" t="str">
        <f>IF(VALUE(M671)=0,"",VLOOKUP(VLOOKUP(M671,Tbl_Effect[],3,FALSE),EffectName[],IFERROR(MATCH(UI!$B$1,EffectName[#Headers],0),2),FALSE))</f>
        <v/>
      </c>
      <c r="O671" t="str">
        <f t="shared" si="72"/>
        <v/>
      </c>
      <c r="P671">
        <v>0</v>
      </c>
      <c r="Q671" t="str">
        <f>IF(VALUE(P671)=0,"",VLOOKUP(VLOOKUP(P671,Tbl_Effect[],3,FALSE),EffectName[],IFERROR(MATCH(UI!$B$1,EffectName[#Headers],0),2),FALSE))</f>
        <v/>
      </c>
      <c r="R671" t="str">
        <f t="shared" si="73"/>
        <v/>
      </c>
      <c r="S671">
        <v>0</v>
      </c>
      <c r="T671" t="str">
        <f>IF(VALUE(S671)=0,"",VLOOKUP(VLOOKUP(S671,Tbl_Effect[],3,FALSE),EffectName[],IFERROR(MATCH(UI!$B$1,EffectName[#Headers],0),2),FALSE))</f>
        <v/>
      </c>
      <c r="U671" t="str">
        <f t="shared" si="74"/>
        <v/>
      </c>
      <c r="V671">
        <v>0</v>
      </c>
      <c r="W671" t="str">
        <f>IF(V671&lt;&gt;0,VLOOKUP(VLOOKUP(V671,Tbl_Effect[],3,FALSE),EffectName[],IFERROR(MATCH(UI!$B$1,EffectName[#Headers],0),2),FALSE),"")</f>
        <v/>
      </c>
      <c r="X671" t="str">
        <f t="shared" si="75"/>
        <v/>
      </c>
      <c r="Y671">
        <v>0</v>
      </c>
      <c r="Z671" t="str">
        <f>IF(Y671&lt;&gt;0,VLOOKUP(VLOOKUP(Y671,Tbl_Effect[],3,FALSE),EffectName[],IFERROR(MATCH(UI!$B$1,EffectName[#Headers],0),2),FALSE),"")</f>
        <v/>
      </c>
      <c r="AA671" t="str">
        <f t="shared" si="76"/>
        <v/>
      </c>
      <c r="AB671">
        <v>0</v>
      </c>
      <c r="AC671" t="str">
        <f>IF(AB671&lt;&gt;0,VLOOKUP(VLOOKUP(AB671,Tbl_Effect[],3,FALSE),EffectName[],IFERROR(MATCH(UI!$B$1,EffectName[#Headers],0),2),FALSE),"")</f>
        <v/>
      </c>
    </row>
    <row r="672" spans="8:29" x14ac:dyDescent="0.4">
      <c r="H672" t="str">
        <f t="shared" si="70"/>
        <v>2001002-遼闊的火燃暗淡情景 (紅)</v>
      </c>
      <c r="I672">
        <v>2001002</v>
      </c>
      <c r="J672" t="str">
        <f>_xlfn.IFNA(IF(I672&lt;&gt;0,VLOOKUP(VLOOKUP(I672,Tbl_Equip[],2,FALSE),Tbl_Color[],IFERROR(MATCH(UI!$B$1,Tbl_Color[#Headers],0),2),FALSE),""),"Unset")</f>
        <v>紅</v>
      </c>
      <c r="K672" t="str">
        <f>_xlfn.IFNA(IF(I672&lt;&gt;0,VLOOKUP(I672,ItemText[],IFERROR(MATCH(UI!$B$1,ItemText[#Headers],0),2),FALSE),""),"Unset")</f>
        <v>遼闊的火燃暗淡情景</v>
      </c>
      <c r="L672" t="str">
        <f t="shared" si="71"/>
        <v/>
      </c>
      <c r="M672">
        <v>0</v>
      </c>
      <c r="N672" t="str">
        <f>IF(VALUE(M672)=0,"",VLOOKUP(VLOOKUP(M672,Tbl_Effect[],3,FALSE),EffectName[],IFERROR(MATCH(UI!$B$1,EffectName[#Headers],0),2),FALSE))</f>
        <v/>
      </c>
      <c r="O672" t="str">
        <f t="shared" si="72"/>
        <v/>
      </c>
      <c r="P672">
        <v>0</v>
      </c>
      <c r="Q672" t="str">
        <f>IF(VALUE(P672)=0,"",VLOOKUP(VLOOKUP(P672,Tbl_Effect[],3,FALSE),EffectName[],IFERROR(MATCH(UI!$B$1,EffectName[#Headers],0),2),FALSE))</f>
        <v/>
      </c>
      <c r="R672" t="str">
        <f t="shared" si="73"/>
        <v/>
      </c>
      <c r="S672">
        <v>0</v>
      </c>
      <c r="T672" t="str">
        <f>IF(VALUE(S672)=0,"",VLOOKUP(VLOOKUP(S672,Tbl_Effect[],3,FALSE),EffectName[],IFERROR(MATCH(UI!$B$1,EffectName[#Headers],0),2),FALSE))</f>
        <v/>
      </c>
      <c r="U672" t="str">
        <f t="shared" si="74"/>
        <v/>
      </c>
      <c r="V672">
        <v>0</v>
      </c>
      <c r="W672" t="str">
        <f>IF(V672&lt;&gt;0,VLOOKUP(VLOOKUP(V672,Tbl_Effect[],3,FALSE),EffectName[],IFERROR(MATCH(UI!$B$1,EffectName[#Headers],0),2),FALSE),"")</f>
        <v/>
      </c>
      <c r="X672" t="str">
        <f t="shared" si="75"/>
        <v/>
      </c>
      <c r="Y672">
        <v>0</v>
      </c>
      <c r="Z672" t="str">
        <f>IF(Y672&lt;&gt;0,VLOOKUP(VLOOKUP(Y672,Tbl_Effect[],3,FALSE),EffectName[],IFERROR(MATCH(UI!$B$1,EffectName[#Headers],0),2),FALSE),"")</f>
        <v/>
      </c>
      <c r="AA672" t="str">
        <f t="shared" si="76"/>
        <v/>
      </c>
      <c r="AB672">
        <v>0</v>
      </c>
      <c r="AC672" t="str">
        <f>IF(AB672&lt;&gt;0,VLOOKUP(VLOOKUP(AB672,Tbl_Effect[],3,FALSE),EffectName[],IFERROR(MATCH(UI!$B$1,EffectName[#Headers],0),2),FALSE),"")</f>
        <v/>
      </c>
    </row>
    <row r="673" spans="8:29" x14ac:dyDescent="0.4">
      <c r="H673" t="str">
        <f t="shared" si="70"/>
        <v>2001011-端正的火燃暗淡情景 (紅)</v>
      </c>
      <c r="I673">
        <v>2001011</v>
      </c>
      <c r="J673" t="str">
        <f>_xlfn.IFNA(IF(I673&lt;&gt;0,VLOOKUP(VLOOKUP(I673,Tbl_Equip[],2,FALSE),Tbl_Color[],IFERROR(MATCH(UI!$B$1,Tbl_Color[#Headers],0),2),FALSE),""),"Unset")</f>
        <v>紅</v>
      </c>
      <c r="K673" t="str">
        <f>_xlfn.IFNA(IF(I673&lt;&gt;0,VLOOKUP(I673,ItemText[],IFERROR(MATCH(UI!$B$1,ItemText[#Headers],0),2),FALSE),""),"Unset")</f>
        <v>端正的火燃暗淡情景</v>
      </c>
      <c r="L673" t="str">
        <f t="shared" si="71"/>
        <v/>
      </c>
      <c r="M673">
        <v>0</v>
      </c>
      <c r="N673" t="str">
        <f>IF(VALUE(M673)=0,"",VLOOKUP(VLOOKUP(M673,Tbl_Effect[],3,FALSE),EffectName[],IFERROR(MATCH(UI!$B$1,EffectName[#Headers],0),2),FALSE))</f>
        <v/>
      </c>
      <c r="O673" t="str">
        <f t="shared" si="72"/>
        <v/>
      </c>
      <c r="P673">
        <v>0</v>
      </c>
      <c r="Q673" t="str">
        <f>IF(VALUE(P673)=0,"",VLOOKUP(VLOOKUP(P673,Tbl_Effect[],3,FALSE),EffectName[],IFERROR(MATCH(UI!$B$1,EffectName[#Headers],0),2),FALSE))</f>
        <v/>
      </c>
      <c r="R673" t="str">
        <f t="shared" si="73"/>
        <v/>
      </c>
      <c r="S673">
        <v>0</v>
      </c>
      <c r="T673" t="str">
        <f>IF(VALUE(S673)=0,"",VLOOKUP(VLOOKUP(S673,Tbl_Effect[],3,FALSE),EffectName[],IFERROR(MATCH(UI!$B$1,EffectName[#Headers],0),2),FALSE))</f>
        <v/>
      </c>
      <c r="U673" t="str">
        <f t="shared" si="74"/>
        <v/>
      </c>
      <c r="V673">
        <v>0</v>
      </c>
      <c r="W673" t="str">
        <f>IF(V673&lt;&gt;0,VLOOKUP(VLOOKUP(V673,Tbl_Effect[],3,FALSE),EffectName[],IFERROR(MATCH(UI!$B$1,EffectName[#Headers],0),2),FALSE),"")</f>
        <v/>
      </c>
      <c r="X673" t="str">
        <f t="shared" si="75"/>
        <v/>
      </c>
      <c r="Y673">
        <v>0</v>
      </c>
      <c r="Z673" t="str">
        <f>IF(Y673&lt;&gt;0,VLOOKUP(VLOOKUP(Y673,Tbl_Effect[],3,FALSE),EffectName[],IFERROR(MATCH(UI!$B$1,EffectName[#Headers],0),2),FALSE),"")</f>
        <v/>
      </c>
      <c r="AA673" t="str">
        <f t="shared" si="76"/>
        <v/>
      </c>
      <c r="AB673">
        <v>0</v>
      </c>
      <c r="AC673" t="str">
        <f>IF(AB673&lt;&gt;0,VLOOKUP(VLOOKUP(AB673,Tbl_Effect[],3,FALSE),EffectName[],IFERROR(MATCH(UI!$B$1,EffectName[#Headers],0),2),FALSE),"")</f>
        <v/>
      </c>
    </row>
    <row r="674" spans="8:29" x14ac:dyDescent="0.4">
      <c r="H674" t="str">
        <f t="shared" si="70"/>
        <v>2001012-遼闊的火燃暗淡情景 (紅)</v>
      </c>
      <c r="I674">
        <v>2001012</v>
      </c>
      <c r="J674" t="str">
        <f>_xlfn.IFNA(IF(I674&lt;&gt;0,VLOOKUP(VLOOKUP(I674,Tbl_Equip[],2,FALSE),Tbl_Color[],IFERROR(MATCH(UI!$B$1,Tbl_Color[#Headers],0),2),FALSE),""),"Unset")</f>
        <v>紅</v>
      </c>
      <c r="K674" t="str">
        <f>_xlfn.IFNA(IF(I674&lt;&gt;0,VLOOKUP(I674,ItemText[],IFERROR(MATCH(UI!$B$1,ItemText[#Headers],0),2),FALSE),""),"Unset")</f>
        <v>遼闊的火燃暗淡情景</v>
      </c>
      <c r="L674" t="str">
        <f t="shared" si="71"/>
        <v/>
      </c>
      <c r="M674">
        <v>0</v>
      </c>
      <c r="N674" t="str">
        <f>IF(VALUE(M674)=0,"",VLOOKUP(VLOOKUP(M674,Tbl_Effect[],3,FALSE),EffectName[],IFERROR(MATCH(UI!$B$1,EffectName[#Headers],0),2),FALSE))</f>
        <v/>
      </c>
      <c r="O674" t="str">
        <f t="shared" si="72"/>
        <v/>
      </c>
      <c r="P674">
        <v>0</v>
      </c>
      <c r="Q674" t="str">
        <f>IF(VALUE(P674)=0,"",VLOOKUP(VLOOKUP(P674,Tbl_Effect[],3,FALSE),EffectName[],IFERROR(MATCH(UI!$B$1,EffectName[#Headers],0),2),FALSE))</f>
        <v/>
      </c>
      <c r="R674" t="str">
        <f t="shared" si="73"/>
        <v/>
      </c>
      <c r="S674">
        <v>0</v>
      </c>
      <c r="T674" t="str">
        <f>IF(VALUE(S674)=0,"",VLOOKUP(VLOOKUP(S674,Tbl_Effect[],3,FALSE),EffectName[],IFERROR(MATCH(UI!$B$1,EffectName[#Headers],0),2),FALSE))</f>
        <v/>
      </c>
      <c r="U674" t="str">
        <f t="shared" si="74"/>
        <v/>
      </c>
      <c r="V674">
        <v>0</v>
      </c>
      <c r="W674" t="str">
        <f>IF(V674&lt;&gt;0,VLOOKUP(VLOOKUP(V674,Tbl_Effect[],3,FALSE),EffectName[],IFERROR(MATCH(UI!$B$1,EffectName[#Headers],0),2),FALSE),"")</f>
        <v/>
      </c>
      <c r="X674" t="str">
        <f t="shared" si="75"/>
        <v/>
      </c>
      <c r="Y674">
        <v>0</v>
      </c>
      <c r="Z674" t="str">
        <f>IF(Y674&lt;&gt;0,VLOOKUP(VLOOKUP(Y674,Tbl_Effect[],3,FALSE),EffectName[],IFERROR(MATCH(UI!$B$1,EffectName[#Headers],0),2),FALSE),"")</f>
        <v/>
      </c>
      <c r="AA674" t="str">
        <f t="shared" si="76"/>
        <v/>
      </c>
      <c r="AB674">
        <v>0</v>
      </c>
      <c r="AC674" t="str">
        <f>IF(AB674&lt;&gt;0,VLOOKUP(VLOOKUP(AB674,Tbl_Effect[],3,FALSE),EffectName[],IFERROR(MATCH(UI!$B$1,EffectName[#Headers],0),2),FALSE),"")</f>
        <v/>
      </c>
    </row>
    <row r="675" spans="8:29" x14ac:dyDescent="0.4">
      <c r="H675" t="str">
        <f t="shared" si="70"/>
        <v>2001021-端正的火燃暗淡情景 (紅)</v>
      </c>
      <c r="I675">
        <v>2001021</v>
      </c>
      <c r="J675" t="str">
        <f>_xlfn.IFNA(IF(I675&lt;&gt;0,VLOOKUP(VLOOKUP(I675,Tbl_Equip[],2,FALSE),Tbl_Color[],IFERROR(MATCH(UI!$B$1,Tbl_Color[#Headers],0),2),FALSE),""),"Unset")</f>
        <v>紅</v>
      </c>
      <c r="K675" t="str">
        <f>_xlfn.IFNA(IF(I675&lt;&gt;0,VLOOKUP(I675,ItemText[],IFERROR(MATCH(UI!$B$1,ItemText[#Headers],0),2),FALSE),""),"Unset")</f>
        <v>端正的火燃暗淡情景</v>
      </c>
      <c r="L675" t="str">
        <f t="shared" si="71"/>
        <v/>
      </c>
      <c r="M675">
        <v>0</v>
      </c>
      <c r="N675" t="str">
        <f>IF(VALUE(M675)=0,"",VLOOKUP(VLOOKUP(M675,Tbl_Effect[],3,FALSE),EffectName[],IFERROR(MATCH(UI!$B$1,EffectName[#Headers],0),2),FALSE))</f>
        <v/>
      </c>
      <c r="O675" t="str">
        <f t="shared" si="72"/>
        <v/>
      </c>
      <c r="P675">
        <v>0</v>
      </c>
      <c r="Q675" t="str">
        <f>IF(VALUE(P675)=0,"",VLOOKUP(VLOOKUP(P675,Tbl_Effect[],3,FALSE),EffectName[],IFERROR(MATCH(UI!$B$1,EffectName[#Headers],0),2),FALSE))</f>
        <v/>
      </c>
      <c r="R675" t="str">
        <f t="shared" si="73"/>
        <v/>
      </c>
      <c r="S675">
        <v>0</v>
      </c>
      <c r="T675" t="str">
        <f>IF(VALUE(S675)=0,"",VLOOKUP(VLOOKUP(S675,Tbl_Effect[],3,FALSE),EffectName[],IFERROR(MATCH(UI!$B$1,EffectName[#Headers],0),2),FALSE))</f>
        <v/>
      </c>
      <c r="U675" t="str">
        <f t="shared" si="74"/>
        <v/>
      </c>
      <c r="V675">
        <v>0</v>
      </c>
      <c r="W675" t="str">
        <f>IF(V675&lt;&gt;0,VLOOKUP(VLOOKUP(V675,Tbl_Effect[],3,FALSE),EffectName[],IFERROR(MATCH(UI!$B$1,EffectName[#Headers],0),2),FALSE),"")</f>
        <v/>
      </c>
      <c r="X675" t="str">
        <f t="shared" si="75"/>
        <v/>
      </c>
      <c r="Y675">
        <v>0</v>
      </c>
      <c r="Z675" t="str">
        <f>IF(Y675&lt;&gt;0,VLOOKUP(VLOOKUP(Y675,Tbl_Effect[],3,FALSE),EffectName[],IFERROR(MATCH(UI!$B$1,EffectName[#Headers],0),2),FALSE),"")</f>
        <v/>
      </c>
      <c r="AA675" t="str">
        <f t="shared" si="76"/>
        <v/>
      </c>
      <c r="AB675">
        <v>0</v>
      </c>
      <c r="AC675" t="str">
        <f>IF(AB675&lt;&gt;0,VLOOKUP(VLOOKUP(AB675,Tbl_Effect[],3,FALSE),EffectName[],IFERROR(MATCH(UI!$B$1,EffectName[#Headers],0),2),FALSE),"")</f>
        <v/>
      </c>
    </row>
    <row r="676" spans="8:29" x14ac:dyDescent="0.4">
      <c r="H676" t="str">
        <f t="shared" si="70"/>
        <v>2001022-遼闊的火燃暗淡情景 (紅)</v>
      </c>
      <c r="I676">
        <v>2001022</v>
      </c>
      <c r="J676" t="str">
        <f>_xlfn.IFNA(IF(I676&lt;&gt;0,VLOOKUP(VLOOKUP(I676,Tbl_Equip[],2,FALSE),Tbl_Color[],IFERROR(MATCH(UI!$B$1,Tbl_Color[#Headers],0),2),FALSE),""),"Unset")</f>
        <v>紅</v>
      </c>
      <c r="K676" t="str">
        <f>_xlfn.IFNA(IF(I676&lt;&gt;0,VLOOKUP(I676,ItemText[],IFERROR(MATCH(UI!$B$1,ItemText[#Headers],0),2),FALSE),""),"Unset")</f>
        <v>遼闊的火燃暗淡情景</v>
      </c>
      <c r="L676" t="str">
        <f t="shared" si="71"/>
        <v/>
      </c>
      <c r="M676">
        <v>0</v>
      </c>
      <c r="N676" t="str">
        <f>IF(VALUE(M676)=0,"",VLOOKUP(VLOOKUP(M676,Tbl_Effect[],3,FALSE),EffectName[],IFERROR(MATCH(UI!$B$1,EffectName[#Headers],0),2),FALSE))</f>
        <v/>
      </c>
      <c r="O676" t="str">
        <f t="shared" si="72"/>
        <v/>
      </c>
      <c r="P676">
        <v>0</v>
      </c>
      <c r="Q676" t="str">
        <f>IF(VALUE(P676)=0,"",VLOOKUP(VLOOKUP(P676,Tbl_Effect[],3,FALSE),EffectName[],IFERROR(MATCH(UI!$B$1,EffectName[#Headers],0),2),FALSE))</f>
        <v/>
      </c>
      <c r="R676" t="str">
        <f t="shared" si="73"/>
        <v/>
      </c>
      <c r="S676">
        <v>0</v>
      </c>
      <c r="T676" t="str">
        <f>IF(VALUE(S676)=0,"",VLOOKUP(VLOOKUP(S676,Tbl_Effect[],3,FALSE),EffectName[],IFERROR(MATCH(UI!$B$1,EffectName[#Headers],0),2),FALSE))</f>
        <v/>
      </c>
      <c r="U676" t="str">
        <f t="shared" si="74"/>
        <v/>
      </c>
      <c r="V676">
        <v>0</v>
      </c>
      <c r="W676" t="str">
        <f>IF(V676&lt;&gt;0,VLOOKUP(VLOOKUP(V676,Tbl_Effect[],3,FALSE),EffectName[],IFERROR(MATCH(UI!$B$1,EffectName[#Headers],0),2),FALSE),"")</f>
        <v/>
      </c>
      <c r="X676" t="str">
        <f t="shared" si="75"/>
        <v/>
      </c>
      <c r="Y676">
        <v>0</v>
      </c>
      <c r="Z676" t="str">
        <f>IF(Y676&lt;&gt;0,VLOOKUP(VLOOKUP(Y676,Tbl_Effect[],3,FALSE),EffectName[],IFERROR(MATCH(UI!$B$1,EffectName[#Headers],0),2),FALSE),"")</f>
        <v/>
      </c>
      <c r="AA676" t="str">
        <f t="shared" si="76"/>
        <v/>
      </c>
      <c r="AB676">
        <v>0</v>
      </c>
      <c r="AC676" t="str">
        <f>IF(AB676&lt;&gt;0,VLOOKUP(VLOOKUP(AB676,Tbl_Effect[],3,FALSE),EffectName[],IFERROR(MATCH(UI!$B$1,EffectName[#Headers],0),2),FALSE),"")</f>
        <v/>
      </c>
    </row>
    <row r="677" spans="8:29" x14ac:dyDescent="0.4">
      <c r="H677" t="str">
        <f t="shared" si="70"/>
        <v>2001101-端正的水滴暗淡情景 (藍)</v>
      </c>
      <c r="I677">
        <v>2001101</v>
      </c>
      <c r="J677" t="str">
        <f>_xlfn.IFNA(IF(I677&lt;&gt;0,VLOOKUP(VLOOKUP(I677,Tbl_Equip[],2,FALSE),Tbl_Color[],IFERROR(MATCH(UI!$B$1,Tbl_Color[#Headers],0),2),FALSE),""),"Unset")</f>
        <v>藍</v>
      </c>
      <c r="K677" t="str">
        <f>_xlfn.IFNA(IF(I677&lt;&gt;0,VLOOKUP(I677,ItemText[],IFERROR(MATCH(UI!$B$1,ItemText[#Headers],0),2),FALSE),""),"Unset")</f>
        <v>端正的水滴暗淡情景</v>
      </c>
      <c r="L677" t="str">
        <f t="shared" si="71"/>
        <v/>
      </c>
      <c r="M677">
        <v>0</v>
      </c>
      <c r="N677" t="str">
        <f>IF(VALUE(M677)=0,"",VLOOKUP(VLOOKUP(M677,Tbl_Effect[],3,FALSE),EffectName[],IFERROR(MATCH(UI!$B$1,EffectName[#Headers],0),2),FALSE))</f>
        <v/>
      </c>
      <c r="O677" t="str">
        <f t="shared" si="72"/>
        <v/>
      </c>
      <c r="P677">
        <v>0</v>
      </c>
      <c r="Q677" t="str">
        <f>IF(VALUE(P677)=0,"",VLOOKUP(VLOOKUP(P677,Tbl_Effect[],3,FALSE),EffectName[],IFERROR(MATCH(UI!$B$1,EffectName[#Headers],0),2),FALSE))</f>
        <v/>
      </c>
      <c r="R677" t="str">
        <f t="shared" si="73"/>
        <v/>
      </c>
      <c r="S677">
        <v>0</v>
      </c>
      <c r="T677" t="str">
        <f>IF(VALUE(S677)=0,"",VLOOKUP(VLOOKUP(S677,Tbl_Effect[],3,FALSE),EffectName[],IFERROR(MATCH(UI!$B$1,EffectName[#Headers],0),2),FALSE))</f>
        <v/>
      </c>
      <c r="U677" t="str">
        <f t="shared" si="74"/>
        <v/>
      </c>
      <c r="V677">
        <v>0</v>
      </c>
      <c r="W677" t="str">
        <f>IF(V677&lt;&gt;0,VLOOKUP(VLOOKUP(V677,Tbl_Effect[],3,FALSE),EffectName[],IFERROR(MATCH(UI!$B$1,EffectName[#Headers],0),2),FALSE),"")</f>
        <v/>
      </c>
      <c r="X677" t="str">
        <f t="shared" si="75"/>
        <v/>
      </c>
      <c r="Y677">
        <v>0</v>
      </c>
      <c r="Z677" t="str">
        <f>IF(Y677&lt;&gt;0,VLOOKUP(VLOOKUP(Y677,Tbl_Effect[],3,FALSE),EffectName[],IFERROR(MATCH(UI!$B$1,EffectName[#Headers],0),2),FALSE),"")</f>
        <v/>
      </c>
      <c r="AA677" t="str">
        <f t="shared" si="76"/>
        <v/>
      </c>
      <c r="AB677">
        <v>0</v>
      </c>
      <c r="AC677" t="str">
        <f>IF(AB677&lt;&gt;0,VLOOKUP(VLOOKUP(AB677,Tbl_Effect[],3,FALSE),EffectName[],IFERROR(MATCH(UI!$B$1,EffectName[#Headers],0),2),FALSE),"")</f>
        <v/>
      </c>
    </row>
    <row r="678" spans="8:29" x14ac:dyDescent="0.4">
      <c r="H678" t="str">
        <f t="shared" si="70"/>
        <v>2001102-遼闊的水滴暗淡情景 (藍)</v>
      </c>
      <c r="I678">
        <v>2001102</v>
      </c>
      <c r="J678" t="str">
        <f>_xlfn.IFNA(IF(I678&lt;&gt;0,VLOOKUP(VLOOKUP(I678,Tbl_Equip[],2,FALSE),Tbl_Color[],IFERROR(MATCH(UI!$B$1,Tbl_Color[#Headers],0),2),FALSE),""),"Unset")</f>
        <v>藍</v>
      </c>
      <c r="K678" t="str">
        <f>_xlfn.IFNA(IF(I678&lt;&gt;0,VLOOKUP(I678,ItemText[],IFERROR(MATCH(UI!$B$1,ItemText[#Headers],0),2),FALSE),""),"Unset")</f>
        <v>遼闊的水滴暗淡情景</v>
      </c>
      <c r="L678" t="str">
        <f t="shared" si="71"/>
        <v/>
      </c>
      <c r="M678">
        <v>0</v>
      </c>
      <c r="N678" t="str">
        <f>IF(VALUE(M678)=0,"",VLOOKUP(VLOOKUP(M678,Tbl_Effect[],3,FALSE),EffectName[],IFERROR(MATCH(UI!$B$1,EffectName[#Headers],0),2),FALSE))</f>
        <v/>
      </c>
      <c r="O678" t="str">
        <f t="shared" si="72"/>
        <v/>
      </c>
      <c r="P678">
        <v>0</v>
      </c>
      <c r="Q678" t="str">
        <f>IF(VALUE(P678)=0,"",VLOOKUP(VLOOKUP(P678,Tbl_Effect[],3,FALSE),EffectName[],IFERROR(MATCH(UI!$B$1,EffectName[#Headers],0),2),FALSE))</f>
        <v/>
      </c>
      <c r="R678" t="str">
        <f t="shared" si="73"/>
        <v/>
      </c>
      <c r="S678">
        <v>0</v>
      </c>
      <c r="T678" t="str">
        <f>IF(VALUE(S678)=0,"",VLOOKUP(VLOOKUP(S678,Tbl_Effect[],3,FALSE),EffectName[],IFERROR(MATCH(UI!$B$1,EffectName[#Headers],0),2),FALSE))</f>
        <v/>
      </c>
      <c r="U678" t="str">
        <f t="shared" si="74"/>
        <v/>
      </c>
      <c r="V678">
        <v>0</v>
      </c>
      <c r="W678" t="str">
        <f>IF(V678&lt;&gt;0,VLOOKUP(VLOOKUP(V678,Tbl_Effect[],3,FALSE),EffectName[],IFERROR(MATCH(UI!$B$1,EffectName[#Headers],0),2),FALSE),"")</f>
        <v/>
      </c>
      <c r="X678" t="str">
        <f t="shared" si="75"/>
        <v/>
      </c>
      <c r="Y678">
        <v>0</v>
      </c>
      <c r="Z678" t="str">
        <f>IF(Y678&lt;&gt;0,VLOOKUP(VLOOKUP(Y678,Tbl_Effect[],3,FALSE),EffectName[],IFERROR(MATCH(UI!$B$1,EffectName[#Headers],0),2),FALSE),"")</f>
        <v/>
      </c>
      <c r="AA678" t="str">
        <f t="shared" si="76"/>
        <v/>
      </c>
      <c r="AB678">
        <v>0</v>
      </c>
      <c r="AC678" t="str">
        <f>IF(AB678&lt;&gt;0,VLOOKUP(VLOOKUP(AB678,Tbl_Effect[],3,FALSE),EffectName[],IFERROR(MATCH(UI!$B$1,EffectName[#Headers],0),2),FALSE),"")</f>
        <v/>
      </c>
    </row>
    <row r="679" spans="8:29" x14ac:dyDescent="0.4">
      <c r="H679" t="str">
        <f t="shared" si="70"/>
        <v>2001111-端正的水滴暗淡情景 (藍)</v>
      </c>
      <c r="I679">
        <v>2001111</v>
      </c>
      <c r="J679" t="str">
        <f>_xlfn.IFNA(IF(I679&lt;&gt;0,VLOOKUP(VLOOKUP(I679,Tbl_Equip[],2,FALSE),Tbl_Color[],IFERROR(MATCH(UI!$B$1,Tbl_Color[#Headers],0),2),FALSE),""),"Unset")</f>
        <v>藍</v>
      </c>
      <c r="K679" t="str">
        <f>_xlfn.IFNA(IF(I679&lt;&gt;0,VLOOKUP(I679,ItemText[],IFERROR(MATCH(UI!$B$1,ItemText[#Headers],0),2),FALSE),""),"Unset")</f>
        <v>端正的水滴暗淡情景</v>
      </c>
      <c r="L679" t="str">
        <f t="shared" si="71"/>
        <v/>
      </c>
      <c r="M679">
        <v>0</v>
      </c>
      <c r="N679" t="str">
        <f>IF(VALUE(M679)=0,"",VLOOKUP(VLOOKUP(M679,Tbl_Effect[],3,FALSE),EffectName[],IFERROR(MATCH(UI!$B$1,EffectName[#Headers],0),2),FALSE))</f>
        <v/>
      </c>
      <c r="O679" t="str">
        <f t="shared" si="72"/>
        <v/>
      </c>
      <c r="P679">
        <v>0</v>
      </c>
      <c r="Q679" t="str">
        <f>IF(VALUE(P679)=0,"",VLOOKUP(VLOOKUP(P679,Tbl_Effect[],3,FALSE),EffectName[],IFERROR(MATCH(UI!$B$1,EffectName[#Headers],0),2),FALSE))</f>
        <v/>
      </c>
      <c r="R679" t="str">
        <f t="shared" si="73"/>
        <v/>
      </c>
      <c r="S679">
        <v>0</v>
      </c>
      <c r="T679" t="str">
        <f>IF(VALUE(S679)=0,"",VLOOKUP(VLOOKUP(S679,Tbl_Effect[],3,FALSE),EffectName[],IFERROR(MATCH(UI!$B$1,EffectName[#Headers],0),2),FALSE))</f>
        <v/>
      </c>
      <c r="U679" t="str">
        <f t="shared" si="74"/>
        <v/>
      </c>
      <c r="V679">
        <v>0</v>
      </c>
      <c r="W679" t="str">
        <f>IF(V679&lt;&gt;0,VLOOKUP(VLOOKUP(V679,Tbl_Effect[],3,FALSE),EffectName[],IFERROR(MATCH(UI!$B$1,EffectName[#Headers],0),2),FALSE),"")</f>
        <v/>
      </c>
      <c r="X679" t="str">
        <f t="shared" si="75"/>
        <v/>
      </c>
      <c r="Y679">
        <v>0</v>
      </c>
      <c r="Z679" t="str">
        <f>IF(Y679&lt;&gt;0,VLOOKUP(VLOOKUP(Y679,Tbl_Effect[],3,FALSE),EffectName[],IFERROR(MATCH(UI!$B$1,EffectName[#Headers],0),2),FALSE),"")</f>
        <v/>
      </c>
      <c r="AA679" t="str">
        <f t="shared" si="76"/>
        <v/>
      </c>
      <c r="AB679">
        <v>0</v>
      </c>
      <c r="AC679" t="str">
        <f>IF(AB679&lt;&gt;0,VLOOKUP(VLOOKUP(AB679,Tbl_Effect[],3,FALSE),EffectName[],IFERROR(MATCH(UI!$B$1,EffectName[#Headers],0),2),FALSE),"")</f>
        <v/>
      </c>
    </row>
    <row r="680" spans="8:29" x14ac:dyDescent="0.4">
      <c r="H680" t="str">
        <f t="shared" si="70"/>
        <v>2001112-遼闊的水滴暗淡情景 (藍)</v>
      </c>
      <c r="I680">
        <v>2001112</v>
      </c>
      <c r="J680" t="str">
        <f>_xlfn.IFNA(IF(I680&lt;&gt;0,VLOOKUP(VLOOKUP(I680,Tbl_Equip[],2,FALSE),Tbl_Color[],IFERROR(MATCH(UI!$B$1,Tbl_Color[#Headers],0),2),FALSE),""),"Unset")</f>
        <v>藍</v>
      </c>
      <c r="K680" t="str">
        <f>_xlfn.IFNA(IF(I680&lt;&gt;0,VLOOKUP(I680,ItemText[],IFERROR(MATCH(UI!$B$1,ItemText[#Headers],0),2),FALSE),""),"Unset")</f>
        <v>遼闊的水滴暗淡情景</v>
      </c>
      <c r="L680" t="str">
        <f t="shared" si="71"/>
        <v/>
      </c>
      <c r="M680">
        <v>0</v>
      </c>
      <c r="N680" t="str">
        <f>IF(VALUE(M680)=0,"",VLOOKUP(VLOOKUP(M680,Tbl_Effect[],3,FALSE),EffectName[],IFERROR(MATCH(UI!$B$1,EffectName[#Headers],0),2),FALSE))</f>
        <v/>
      </c>
      <c r="O680" t="str">
        <f t="shared" si="72"/>
        <v/>
      </c>
      <c r="P680">
        <v>0</v>
      </c>
      <c r="Q680" t="str">
        <f>IF(VALUE(P680)=0,"",VLOOKUP(VLOOKUP(P680,Tbl_Effect[],3,FALSE),EffectName[],IFERROR(MATCH(UI!$B$1,EffectName[#Headers],0),2),FALSE))</f>
        <v/>
      </c>
      <c r="R680" t="str">
        <f t="shared" si="73"/>
        <v/>
      </c>
      <c r="S680">
        <v>0</v>
      </c>
      <c r="T680" t="str">
        <f>IF(VALUE(S680)=0,"",VLOOKUP(VLOOKUP(S680,Tbl_Effect[],3,FALSE),EffectName[],IFERROR(MATCH(UI!$B$1,EffectName[#Headers],0),2),FALSE))</f>
        <v/>
      </c>
      <c r="U680" t="str">
        <f t="shared" si="74"/>
        <v/>
      </c>
      <c r="V680">
        <v>0</v>
      </c>
      <c r="W680" t="str">
        <f>IF(V680&lt;&gt;0,VLOOKUP(VLOOKUP(V680,Tbl_Effect[],3,FALSE),EffectName[],IFERROR(MATCH(UI!$B$1,EffectName[#Headers],0),2),FALSE),"")</f>
        <v/>
      </c>
      <c r="X680" t="str">
        <f t="shared" si="75"/>
        <v/>
      </c>
      <c r="Y680">
        <v>0</v>
      </c>
      <c r="Z680" t="str">
        <f>IF(Y680&lt;&gt;0,VLOOKUP(VLOOKUP(Y680,Tbl_Effect[],3,FALSE),EffectName[],IFERROR(MATCH(UI!$B$1,EffectName[#Headers],0),2),FALSE),"")</f>
        <v/>
      </c>
      <c r="AA680" t="str">
        <f t="shared" si="76"/>
        <v/>
      </c>
      <c r="AB680">
        <v>0</v>
      </c>
      <c r="AC680" t="str">
        <f>IF(AB680&lt;&gt;0,VLOOKUP(VLOOKUP(AB680,Tbl_Effect[],3,FALSE),EffectName[],IFERROR(MATCH(UI!$B$1,EffectName[#Headers],0),2),FALSE),"")</f>
        <v/>
      </c>
    </row>
    <row r="681" spans="8:29" x14ac:dyDescent="0.4">
      <c r="H681" t="str">
        <f t="shared" si="70"/>
        <v>2001121-端正的水滴暗淡情景 (藍)</v>
      </c>
      <c r="I681">
        <v>2001121</v>
      </c>
      <c r="J681" t="str">
        <f>_xlfn.IFNA(IF(I681&lt;&gt;0,VLOOKUP(VLOOKUP(I681,Tbl_Equip[],2,FALSE),Tbl_Color[],IFERROR(MATCH(UI!$B$1,Tbl_Color[#Headers],0),2),FALSE),""),"Unset")</f>
        <v>藍</v>
      </c>
      <c r="K681" t="str">
        <f>_xlfn.IFNA(IF(I681&lt;&gt;0,VLOOKUP(I681,ItemText[],IFERROR(MATCH(UI!$B$1,ItemText[#Headers],0),2),FALSE),""),"Unset")</f>
        <v>端正的水滴暗淡情景</v>
      </c>
      <c r="L681" t="str">
        <f t="shared" si="71"/>
        <v/>
      </c>
      <c r="M681">
        <v>0</v>
      </c>
      <c r="N681" t="str">
        <f>IF(VALUE(M681)=0,"",VLOOKUP(VLOOKUP(M681,Tbl_Effect[],3,FALSE),EffectName[],IFERROR(MATCH(UI!$B$1,EffectName[#Headers],0),2),FALSE))</f>
        <v/>
      </c>
      <c r="O681" t="str">
        <f t="shared" si="72"/>
        <v/>
      </c>
      <c r="P681">
        <v>0</v>
      </c>
      <c r="Q681" t="str">
        <f>IF(VALUE(P681)=0,"",VLOOKUP(VLOOKUP(P681,Tbl_Effect[],3,FALSE),EffectName[],IFERROR(MATCH(UI!$B$1,EffectName[#Headers],0),2),FALSE))</f>
        <v/>
      </c>
      <c r="R681" t="str">
        <f t="shared" si="73"/>
        <v/>
      </c>
      <c r="S681">
        <v>0</v>
      </c>
      <c r="T681" t="str">
        <f>IF(VALUE(S681)=0,"",VLOOKUP(VLOOKUP(S681,Tbl_Effect[],3,FALSE),EffectName[],IFERROR(MATCH(UI!$B$1,EffectName[#Headers],0),2),FALSE))</f>
        <v/>
      </c>
      <c r="U681" t="str">
        <f t="shared" si="74"/>
        <v/>
      </c>
      <c r="V681">
        <v>0</v>
      </c>
      <c r="W681" t="str">
        <f>IF(V681&lt;&gt;0,VLOOKUP(VLOOKUP(V681,Tbl_Effect[],3,FALSE),EffectName[],IFERROR(MATCH(UI!$B$1,EffectName[#Headers],0),2),FALSE),"")</f>
        <v/>
      </c>
      <c r="X681" t="str">
        <f t="shared" si="75"/>
        <v/>
      </c>
      <c r="Y681">
        <v>0</v>
      </c>
      <c r="Z681" t="str">
        <f>IF(Y681&lt;&gt;0,VLOOKUP(VLOOKUP(Y681,Tbl_Effect[],3,FALSE),EffectName[],IFERROR(MATCH(UI!$B$1,EffectName[#Headers],0),2),FALSE),"")</f>
        <v/>
      </c>
      <c r="AA681" t="str">
        <f t="shared" si="76"/>
        <v/>
      </c>
      <c r="AB681">
        <v>0</v>
      </c>
      <c r="AC681" t="str">
        <f>IF(AB681&lt;&gt;0,VLOOKUP(VLOOKUP(AB681,Tbl_Effect[],3,FALSE),EffectName[],IFERROR(MATCH(UI!$B$1,EffectName[#Headers],0),2),FALSE),"")</f>
        <v/>
      </c>
    </row>
    <row r="682" spans="8:29" x14ac:dyDescent="0.4">
      <c r="H682" t="str">
        <f t="shared" si="70"/>
        <v>2001122-遼闊的水滴暗淡情景 (藍)</v>
      </c>
      <c r="I682">
        <v>2001122</v>
      </c>
      <c r="J682" t="str">
        <f>_xlfn.IFNA(IF(I682&lt;&gt;0,VLOOKUP(VLOOKUP(I682,Tbl_Equip[],2,FALSE),Tbl_Color[],IFERROR(MATCH(UI!$B$1,Tbl_Color[#Headers],0),2),FALSE),""),"Unset")</f>
        <v>藍</v>
      </c>
      <c r="K682" t="str">
        <f>_xlfn.IFNA(IF(I682&lt;&gt;0,VLOOKUP(I682,ItemText[],IFERROR(MATCH(UI!$B$1,ItemText[#Headers],0),2),FALSE),""),"Unset")</f>
        <v>遼闊的水滴暗淡情景</v>
      </c>
      <c r="L682" t="str">
        <f t="shared" si="71"/>
        <v/>
      </c>
      <c r="M682">
        <v>0</v>
      </c>
      <c r="N682" t="str">
        <f>IF(VALUE(M682)=0,"",VLOOKUP(VLOOKUP(M682,Tbl_Effect[],3,FALSE),EffectName[],IFERROR(MATCH(UI!$B$1,EffectName[#Headers],0),2),FALSE))</f>
        <v/>
      </c>
      <c r="O682" t="str">
        <f t="shared" si="72"/>
        <v/>
      </c>
      <c r="P682">
        <v>0</v>
      </c>
      <c r="Q682" t="str">
        <f>IF(VALUE(P682)=0,"",VLOOKUP(VLOOKUP(P682,Tbl_Effect[],3,FALSE),EffectName[],IFERROR(MATCH(UI!$B$1,EffectName[#Headers],0),2),FALSE))</f>
        <v/>
      </c>
      <c r="R682" t="str">
        <f t="shared" si="73"/>
        <v/>
      </c>
      <c r="S682">
        <v>0</v>
      </c>
      <c r="T682" t="str">
        <f>IF(VALUE(S682)=0,"",VLOOKUP(VLOOKUP(S682,Tbl_Effect[],3,FALSE),EffectName[],IFERROR(MATCH(UI!$B$1,EffectName[#Headers],0),2),FALSE))</f>
        <v/>
      </c>
      <c r="U682" t="str">
        <f t="shared" si="74"/>
        <v/>
      </c>
      <c r="V682">
        <v>0</v>
      </c>
      <c r="W682" t="str">
        <f>IF(V682&lt;&gt;0,VLOOKUP(VLOOKUP(V682,Tbl_Effect[],3,FALSE),EffectName[],IFERROR(MATCH(UI!$B$1,EffectName[#Headers],0),2),FALSE),"")</f>
        <v/>
      </c>
      <c r="X682" t="str">
        <f t="shared" si="75"/>
        <v/>
      </c>
      <c r="Y682">
        <v>0</v>
      </c>
      <c r="Z682" t="str">
        <f>IF(Y682&lt;&gt;0,VLOOKUP(VLOOKUP(Y682,Tbl_Effect[],3,FALSE),EffectName[],IFERROR(MATCH(UI!$B$1,EffectName[#Headers],0),2),FALSE),"")</f>
        <v/>
      </c>
      <c r="AA682" t="str">
        <f t="shared" si="76"/>
        <v/>
      </c>
      <c r="AB682">
        <v>0</v>
      </c>
      <c r="AC682" t="str">
        <f>IF(AB682&lt;&gt;0,VLOOKUP(VLOOKUP(AB682,Tbl_Effect[],3,FALSE),EffectName[],IFERROR(MATCH(UI!$B$1,EffectName[#Headers],0),2),FALSE),"")</f>
        <v/>
      </c>
    </row>
    <row r="683" spans="8:29" x14ac:dyDescent="0.4">
      <c r="H683" t="str">
        <f t="shared" si="70"/>
        <v>2001201-端正的光耀暗淡情景 (黃)</v>
      </c>
      <c r="I683">
        <v>2001201</v>
      </c>
      <c r="J683" t="str">
        <f>_xlfn.IFNA(IF(I683&lt;&gt;0,VLOOKUP(VLOOKUP(I683,Tbl_Equip[],2,FALSE),Tbl_Color[],IFERROR(MATCH(UI!$B$1,Tbl_Color[#Headers],0),2),FALSE),""),"Unset")</f>
        <v>黃</v>
      </c>
      <c r="K683" t="str">
        <f>_xlfn.IFNA(IF(I683&lt;&gt;0,VLOOKUP(I683,ItemText[],IFERROR(MATCH(UI!$B$1,ItemText[#Headers],0),2),FALSE),""),"Unset")</f>
        <v>端正的光耀暗淡情景</v>
      </c>
      <c r="L683" t="str">
        <f t="shared" si="71"/>
        <v/>
      </c>
      <c r="M683">
        <v>0</v>
      </c>
      <c r="N683" t="str">
        <f>IF(VALUE(M683)=0,"",VLOOKUP(VLOOKUP(M683,Tbl_Effect[],3,FALSE),EffectName[],IFERROR(MATCH(UI!$B$1,EffectName[#Headers],0),2),FALSE))</f>
        <v/>
      </c>
      <c r="O683" t="str">
        <f t="shared" si="72"/>
        <v/>
      </c>
      <c r="P683">
        <v>0</v>
      </c>
      <c r="Q683" t="str">
        <f>IF(VALUE(P683)=0,"",VLOOKUP(VLOOKUP(P683,Tbl_Effect[],3,FALSE),EffectName[],IFERROR(MATCH(UI!$B$1,EffectName[#Headers],0),2),FALSE))</f>
        <v/>
      </c>
      <c r="R683" t="str">
        <f t="shared" si="73"/>
        <v/>
      </c>
      <c r="S683">
        <v>0</v>
      </c>
      <c r="T683" t="str">
        <f>IF(VALUE(S683)=0,"",VLOOKUP(VLOOKUP(S683,Tbl_Effect[],3,FALSE),EffectName[],IFERROR(MATCH(UI!$B$1,EffectName[#Headers],0),2),FALSE))</f>
        <v/>
      </c>
      <c r="U683" t="str">
        <f t="shared" si="74"/>
        <v/>
      </c>
      <c r="V683">
        <v>0</v>
      </c>
      <c r="W683" t="str">
        <f>IF(V683&lt;&gt;0,VLOOKUP(VLOOKUP(V683,Tbl_Effect[],3,FALSE),EffectName[],IFERROR(MATCH(UI!$B$1,EffectName[#Headers],0),2),FALSE),"")</f>
        <v/>
      </c>
      <c r="X683" t="str">
        <f t="shared" si="75"/>
        <v/>
      </c>
      <c r="Y683">
        <v>0</v>
      </c>
      <c r="Z683" t="str">
        <f>IF(Y683&lt;&gt;0,VLOOKUP(VLOOKUP(Y683,Tbl_Effect[],3,FALSE),EffectName[],IFERROR(MATCH(UI!$B$1,EffectName[#Headers],0),2),FALSE),"")</f>
        <v/>
      </c>
      <c r="AA683" t="str">
        <f t="shared" si="76"/>
        <v/>
      </c>
      <c r="AB683">
        <v>0</v>
      </c>
      <c r="AC683" t="str">
        <f>IF(AB683&lt;&gt;0,VLOOKUP(VLOOKUP(AB683,Tbl_Effect[],3,FALSE),EffectName[],IFERROR(MATCH(UI!$B$1,EffectName[#Headers],0),2),FALSE),"")</f>
        <v/>
      </c>
    </row>
    <row r="684" spans="8:29" x14ac:dyDescent="0.4">
      <c r="H684" t="str">
        <f t="shared" si="70"/>
        <v>2001202-遼闊的光耀暗淡情景 (黃)</v>
      </c>
      <c r="I684">
        <v>2001202</v>
      </c>
      <c r="J684" t="str">
        <f>_xlfn.IFNA(IF(I684&lt;&gt;0,VLOOKUP(VLOOKUP(I684,Tbl_Equip[],2,FALSE),Tbl_Color[],IFERROR(MATCH(UI!$B$1,Tbl_Color[#Headers],0),2),FALSE),""),"Unset")</f>
        <v>黃</v>
      </c>
      <c r="K684" t="str">
        <f>_xlfn.IFNA(IF(I684&lt;&gt;0,VLOOKUP(I684,ItemText[],IFERROR(MATCH(UI!$B$1,ItemText[#Headers],0),2),FALSE),""),"Unset")</f>
        <v>遼闊的光耀暗淡情景</v>
      </c>
      <c r="L684" t="str">
        <f t="shared" si="71"/>
        <v/>
      </c>
      <c r="M684">
        <v>0</v>
      </c>
      <c r="N684" t="str">
        <f>IF(VALUE(M684)=0,"",VLOOKUP(VLOOKUP(M684,Tbl_Effect[],3,FALSE),EffectName[],IFERROR(MATCH(UI!$B$1,EffectName[#Headers],0),2),FALSE))</f>
        <v/>
      </c>
      <c r="O684" t="str">
        <f t="shared" si="72"/>
        <v/>
      </c>
      <c r="P684">
        <v>0</v>
      </c>
      <c r="Q684" t="str">
        <f>IF(VALUE(P684)=0,"",VLOOKUP(VLOOKUP(P684,Tbl_Effect[],3,FALSE),EffectName[],IFERROR(MATCH(UI!$B$1,EffectName[#Headers],0),2),FALSE))</f>
        <v/>
      </c>
      <c r="R684" t="str">
        <f t="shared" si="73"/>
        <v/>
      </c>
      <c r="S684">
        <v>0</v>
      </c>
      <c r="T684" t="str">
        <f>IF(VALUE(S684)=0,"",VLOOKUP(VLOOKUP(S684,Tbl_Effect[],3,FALSE),EffectName[],IFERROR(MATCH(UI!$B$1,EffectName[#Headers],0),2),FALSE))</f>
        <v/>
      </c>
      <c r="U684" t="str">
        <f t="shared" si="74"/>
        <v/>
      </c>
      <c r="V684">
        <v>0</v>
      </c>
      <c r="W684" t="str">
        <f>IF(V684&lt;&gt;0,VLOOKUP(VLOOKUP(V684,Tbl_Effect[],3,FALSE),EffectName[],IFERROR(MATCH(UI!$B$1,EffectName[#Headers],0),2),FALSE),"")</f>
        <v/>
      </c>
      <c r="X684" t="str">
        <f t="shared" si="75"/>
        <v/>
      </c>
      <c r="Y684">
        <v>0</v>
      </c>
      <c r="Z684" t="str">
        <f>IF(Y684&lt;&gt;0,VLOOKUP(VLOOKUP(Y684,Tbl_Effect[],3,FALSE),EffectName[],IFERROR(MATCH(UI!$B$1,EffectName[#Headers],0),2),FALSE),"")</f>
        <v/>
      </c>
      <c r="AA684" t="str">
        <f t="shared" si="76"/>
        <v/>
      </c>
      <c r="AB684">
        <v>0</v>
      </c>
      <c r="AC684" t="str">
        <f>IF(AB684&lt;&gt;0,VLOOKUP(VLOOKUP(AB684,Tbl_Effect[],3,FALSE),EffectName[],IFERROR(MATCH(UI!$B$1,EffectName[#Headers],0),2),FALSE),"")</f>
        <v/>
      </c>
    </row>
    <row r="685" spans="8:29" x14ac:dyDescent="0.4">
      <c r="H685" t="str">
        <f t="shared" si="70"/>
        <v>2001211-端正的光耀暗淡情景 (黃)</v>
      </c>
      <c r="I685">
        <v>2001211</v>
      </c>
      <c r="J685" t="str">
        <f>_xlfn.IFNA(IF(I685&lt;&gt;0,VLOOKUP(VLOOKUP(I685,Tbl_Equip[],2,FALSE),Tbl_Color[],IFERROR(MATCH(UI!$B$1,Tbl_Color[#Headers],0),2),FALSE),""),"Unset")</f>
        <v>黃</v>
      </c>
      <c r="K685" t="str">
        <f>_xlfn.IFNA(IF(I685&lt;&gt;0,VLOOKUP(I685,ItemText[],IFERROR(MATCH(UI!$B$1,ItemText[#Headers],0),2),FALSE),""),"Unset")</f>
        <v>端正的光耀暗淡情景</v>
      </c>
      <c r="L685" t="str">
        <f t="shared" si="71"/>
        <v/>
      </c>
      <c r="M685">
        <v>0</v>
      </c>
      <c r="N685" t="str">
        <f>IF(VALUE(M685)=0,"",VLOOKUP(VLOOKUP(M685,Tbl_Effect[],3,FALSE),EffectName[],IFERROR(MATCH(UI!$B$1,EffectName[#Headers],0),2),FALSE))</f>
        <v/>
      </c>
      <c r="O685" t="str">
        <f t="shared" si="72"/>
        <v/>
      </c>
      <c r="P685">
        <v>0</v>
      </c>
      <c r="Q685" t="str">
        <f>IF(VALUE(P685)=0,"",VLOOKUP(VLOOKUP(P685,Tbl_Effect[],3,FALSE),EffectName[],IFERROR(MATCH(UI!$B$1,EffectName[#Headers],0),2),FALSE))</f>
        <v/>
      </c>
      <c r="R685" t="str">
        <f t="shared" si="73"/>
        <v/>
      </c>
      <c r="S685">
        <v>0</v>
      </c>
      <c r="T685" t="str">
        <f>IF(VALUE(S685)=0,"",VLOOKUP(VLOOKUP(S685,Tbl_Effect[],3,FALSE),EffectName[],IFERROR(MATCH(UI!$B$1,EffectName[#Headers],0),2),FALSE))</f>
        <v/>
      </c>
      <c r="U685" t="str">
        <f t="shared" si="74"/>
        <v/>
      </c>
      <c r="V685">
        <v>0</v>
      </c>
      <c r="W685" t="str">
        <f>IF(V685&lt;&gt;0,VLOOKUP(VLOOKUP(V685,Tbl_Effect[],3,FALSE),EffectName[],IFERROR(MATCH(UI!$B$1,EffectName[#Headers],0),2),FALSE),"")</f>
        <v/>
      </c>
      <c r="X685" t="str">
        <f t="shared" si="75"/>
        <v/>
      </c>
      <c r="Y685">
        <v>0</v>
      </c>
      <c r="Z685" t="str">
        <f>IF(Y685&lt;&gt;0,VLOOKUP(VLOOKUP(Y685,Tbl_Effect[],3,FALSE),EffectName[],IFERROR(MATCH(UI!$B$1,EffectName[#Headers],0),2),FALSE),"")</f>
        <v/>
      </c>
      <c r="AA685" t="str">
        <f t="shared" si="76"/>
        <v/>
      </c>
      <c r="AB685">
        <v>0</v>
      </c>
      <c r="AC685" t="str">
        <f>IF(AB685&lt;&gt;0,VLOOKUP(VLOOKUP(AB685,Tbl_Effect[],3,FALSE),EffectName[],IFERROR(MATCH(UI!$B$1,EffectName[#Headers],0),2),FALSE),"")</f>
        <v/>
      </c>
    </row>
    <row r="686" spans="8:29" x14ac:dyDescent="0.4">
      <c r="H686" t="str">
        <f t="shared" si="70"/>
        <v>2001212-遼闊的光耀暗淡情景 (黃)</v>
      </c>
      <c r="I686">
        <v>2001212</v>
      </c>
      <c r="J686" t="str">
        <f>_xlfn.IFNA(IF(I686&lt;&gt;0,VLOOKUP(VLOOKUP(I686,Tbl_Equip[],2,FALSE),Tbl_Color[],IFERROR(MATCH(UI!$B$1,Tbl_Color[#Headers],0),2),FALSE),""),"Unset")</f>
        <v>黃</v>
      </c>
      <c r="K686" t="str">
        <f>_xlfn.IFNA(IF(I686&lt;&gt;0,VLOOKUP(I686,ItemText[],IFERROR(MATCH(UI!$B$1,ItemText[#Headers],0),2),FALSE),""),"Unset")</f>
        <v>遼闊的光耀暗淡情景</v>
      </c>
      <c r="L686" t="str">
        <f t="shared" si="71"/>
        <v/>
      </c>
      <c r="M686">
        <v>0</v>
      </c>
      <c r="N686" t="str">
        <f>IF(VALUE(M686)=0,"",VLOOKUP(VLOOKUP(M686,Tbl_Effect[],3,FALSE),EffectName[],IFERROR(MATCH(UI!$B$1,EffectName[#Headers],0),2),FALSE))</f>
        <v/>
      </c>
      <c r="O686" t="str">
        <f t="shared" si="72"/>
        <v/>
      </c>
      <c r="P686">
        <v>0</v>
      </c>
      <c r="Q686" t="str">
        <f>IF(VALUE(P686)=0,"",VLOOKUP(VLOOKUP(P686,Tbl_Effect[],3,FALSE),EffectName[],IFERROR(MATCH(UI!$B$1,EffectName[#Headers],0),2),FALSE))</f>
        <v/>
      </c>
      <c r="R686" t="str">
        <f t="shared" si="73"/>
        <v/>
      </c>
      <c r="S686">
        <v>0</v>
      </c>
      <c r="T686" t="str">
        <f>IF(VALUE(S686)=0,"",VLOOKUP(VLOOKUP(S686,Tbl_Effect[],3,FALSE),EffectName[],IFERROR(MATCH(UI!$B$1,EffectName[#Headers],0),2),FALSE))</f>
        <v/>
      </c>
      <c r="U686" t="str">
        <f t="shared" si="74"/>
        <v/>
      </c>
      <c r="V686">
        <v>0</v>
      </c>
      <c r="W686" t="str">
        <f>IF(V686&lt;&gt;0,VLOOKUP(VLOOKUP(V686,Tbl_Effect[],3,FALSE),EffectName[],IFERROR(MATCH(UI!$B$1,EffectName[#Headers],0),2),FALSE),"")</f>
        <v/>
      </c>
      <c r="X686" t="str">
        <f t="shared" si="75"/>
        <v/>
      </c>
      <c r="Y686">
        <v>0</v>
      </c>
      <c r="Z686" t="str">
        <f>IF(Y686&lt;&gt;0,VLOOKUP(VLOOKUP(Y686,Tbl_Effect[],3,FALSE),EffectName[],IFERROR(MATCH(UI!$B$1,EffectName[#Headers],0),2),FALSE),"")</f>
        <v/>
      </c>
      <c r="AA686" t="str">
        <f t="shared" si="76"/>
        <v/>
      </c>
      <c r="AB686">
        <v>0</v>
      </c>
      <c r="AC686" t="str">
        <f>IF(AB686&lt;&gt;0,VLOOKUP(VLOOKUP(AB686,Tbl_Effect[],3,FALSE),EffectName[],IFERROR(MATCH(UI!$B$1,EffectName[#Headers],0),2),FALSE),"")</f>
        <v/>
      </c>
    </row>
    <row r="687" spans="8:29" x14ac:dyDescent="0.4">
      <c r="H687" t="str">
        <f t="shared" si="70"/>
        <v>2001221-端正的光耀暗淡情景 (黃)</v>
      </c>
      <c r="I687">
        <v>2001221</v>
      </c>
      <c r="J687" t="str">
        <f>_xlfn.IFNA(IF(I687&lt;&gt;0,VLOOKUP(VLOOKUP(I687,Tbl_Equip[],2,FALSE),Tbl_Color[],IFERROR(MATCH(UI!$B$1,Tbl_Color[#Headers],0),2),FALSE),""),"Unset")</f>
        <v>黃</v>
      </c>
      <c r="K687" t="str">
        <f>_xlfn.IFNA(IF(I687&lt;&gt;0,VLOOKUP(I687,ItemText[],IFERROR(MATCH(UI!$B$1,ItemText[#Headers],0),2),FALSE),""),"Unset")</f>
        <v>端正的光耀暗淡情景</v>
      </c>
      <c r="L687" t="str">
        <f t="shared" si="71"/>
        <v/>
      </c>
      <c r="M687">
        <v>0</v>
      </c>
      <c r="N687" t="str">
        <f>IF(VALUE(M687)=0,"",VLOOKUP(VLOOKUP(M687,Tbl_Effect[],3,FALSE),EffectName[],IFERROR(MATCH(UI!$B$1,EffectName[#Headers],0),2),FALSE))</f>
        <v/>
      </c>
      <c r="O687" t="str">
        <f t="shared" si="72"/>
        <v/>
      </c>
      <c r="P687">
        <v>0</v>
      </c>
      <c r="Q687" t="str">
        <f>IF(VALUE(P687)=0,"",VLOOKUP(VLOOKUP(P687,Tbl_Effect[],3,FALSE),EffectName[],IFERROR(MATCH(UI!$B$1,EffectName[#Headers],0),2),FALSE))</f>
        <v/>
      </c>
      <c r="R687" t="str">
        <f t="shared" si="73"/>
        <v/>
      </c>
      <c r="S687">
        <v>0</v>
      </c>
      <c r="T687" t="str">
        <f>IF(VALUE(S687)=0,"",VLOOKUP(VLOOKUP(S687,Tbl_Effect[],3,FALSE),EffectName[],IFERROR(MATCH(UI!$B$1,EffectName[#Headers],0),2),FALSE))</f>
        <v/>
      </c>
      <c r="U687" t="str">
        <f t="shared" si="74"/>
        <v/>
      </c>
      <c r="V687">
        <v>0</v>
      </c>
      <c r="W687" t="str">
        <f>IF(V687&lt;&gt;0,VLOOKUP(VLOOKUP(V687,Tbl_Effect[],3,FALSE),EffectName[],IFERROR(MATCH(UI!$B$1,EffectName[#Headers],0),2),FALSE),"")</f>
        <v/>
      </c>
      <c r="X687" t="str">
        <f t="shared" si="75"/>
        <v/>
      </c>
      <c r="Y687">
        <v>0</v>
      </c>
      <c r="Z687" t="str">
        <f>IF(Y687&lt;&gt;0,VLOOKUP(VLOOKUP(Y687,Tbl_Effect[],3,FALSE),EffectName[],IFERROR(MATCH(UI!$B$1,EffectName[#Headers],0),2),FALSE),"")</f>
        <v/>
      </c>
      <c r="AA687" t="str">
        <f t="shared" si="76"/>
        <v/>
      </c>
      <c r="AB687">
        <v>0</v>
      </c>
      <c r="AC687" t="str">
        <f>IF(AB687&lt;&gt;0,VLOOKUP(VLOOKUP(AB687,Tbl_Effect[],3,FALSE),EffectName[],IFERROR(MATCH(UI!$B$1,EffectName[#Headers],0),2),FALSE),"")</f>
        <v/>
      </c>
    </row>
    <row r="688" spans="8:29" x14ac:dyDescent="0.4">
      <c r="H688" t="str">
        <f t="shared" si="70"/>
        <v>2001222-遼闊的光耀暗淡情景 (黃)</v>
      </c>
      <c r="I688">
        <v>2001222</v>
      </c>
      <c r="J688" t="str">
        <f>_xlfn.IFNA(IF(I688&lt;&gt;0,VLOOKUP(VLOOKUP(I688,Tbl_Equip[],2,FALSE),Tbl_Color[],IFERROR(MATCH(UI!$B$1,Tbl_Color[#Headers],0),2),FALSE),""),"Unset")</f>
        <v>黃</v>
      </c>
      <c r="K688" t="str">
        <f>_xlfn.IFNA(IF(I688&lt;&gt;0,VLOOKUP(I688,ItemText[],IFERROR(MATCH(UI!$B$1,ItemText[#Headers],0),2),FALSE),""),"Unset")</f>
        <v>遼闊的光耀暗淡情景</v>
      </c>
      <c r="L688" t="str">
        <f t="shared" si="71"/>
        <v/>
      </c>
      <c r="M688">
        <v>0</v>
      </c>
      <c r="N688" t="str">
        <f>IF(VALUE(M688)=0,"",VLOOKUP(VLOOKUP(M688,Tbl_Effect[],3,FALSE),EffectName[],IFERROR(MATCH(UI!$B$1,EffectName[#Headers],0),2),FALSE))</f>
        <v/>
      </c>
      <c r="O688" t="str">
        <f t="shared" si="72"/>
        <v/>
      </c>
      <c r="P688">
        <v>0</v>
      </c>
      <c r="Q688" t="str">
        <f>IF(VALUE(P688)=0,"",VLOOKUP(VLOOKUP(P688,Tbl_Effect[],3,FALSE),EffectName[],IFERROR(MATCH(UI!$B$1,EffectName[#Headers],0),2),FALSE))</f>
        <v/>
      </c>
      <c r="R688" t="str">
        <f t="shared" si="73"/>
        <v/>
      </c>
      <c r="S688">
        <v>0</v>
      </c>
      <c r="T688" t="str">
        <f>IF(VALUE(S688)=0,"",VLOOKUP(VLOOKUP(S688,Tbl_Effect[],3,FALSE),EffectName[],IFERROR(MATCH(UI!$B$1,EffectName[#Headers],0),2),FALSE))</f>
        <v/>
      </c>
      <c r="U688" t="str">
        <f t="shared" si="74"/>
        <v/>
      </c>
      <c r="V688">
        <v>0</v>
      </c>
      <c r="W688" t="str">
        <f>IF(V688&lt;&gt;0,VLOOKUP(VLOOKUP(V688,Tbl_Effect[],3,FALSE),EffectName[],IFERROR(MATCH(UI!$B$1,EffectName[#Headers],0),2),FALSE),"")</f>
        <v/>
      </c>
      <c r="X688" t="str">
        <f t="shared" si="75"/>
        <v/>
      </c>
      <c r="Y688">
        <v>0</v>
      </c>
      <c r="Z688" t="str">
        <f>IF(Y688&lt;&gt;0,VLOOKUP(VLOOKUP(Y688,Tbl_Effect[],3,FALSE),EffectName[],IFERROR(MATCH(UI!$B$1,EffectName[#Headers],0),2),FALSE),"")</f>
        <v/>
      </c>
      <c r="AA688" t="str">
        <f t="shared" si="76"/>
        <v/>
      </c>
      <c r="AB688">
        <v>0</v>
      </c>
      <c r="AC688" t="str">
        <f>IF(AB688&lt;&gt;0,VLOOKUP(VLOOKUP(AB688,Tbl_Effect[],3,FALSE),EffectName[],IFERROR(MATCH(UI!$B$1,EffectName[#Headers],0),2),FALSE),"")</f>
        <v/>
      </c>
    </row>
    <row r="689" spans="8:29" x14ac:dyDescent="0.4">
      <c r="H689" t="str">
        <f t="shared" si="70"/>
        <v>2001301-端正的幽靜暗淡情景 (綠)</v>
      </c>
      <c r="I689">
        <v>2001301</v>
      </c>
      <c r="J689" t="str">
        <f>_xlfn.IFNA(IF(I689&lt;&gt;0,VLOOKUP(VLOOKUP(I689,Tbl_Equip[],2,FALSE),Tbl_Color[],IFERROR(MATCH(UI!$B$1,Tbl_Color[#Headers],0),2),FALSE),""),"Unset")</f>
        <v>綠</v>
      </c>
      <c r="K689" t="str">
        <f>_xlfn.IFNA(IF(I689&lt;&gt;0,VLOOKUP(I689,ItemText[],IFERROR(MATCH(UI!$B$1,ItemText[#Headers],0),2),FALSE),""),"Unset")</f>
        <v>端正的幽靜暗淡情景</v>
      </c>
      <c r="L689" t="str">
        <f t="shared" si="71"/>
        <v/>
      </c>
      <c r="M689">
        <v>0</v>
      </c>
      <c r="N689" t="str">
        <f>IF(VALUE(M689)=0,"",VLOOKUP(VLOOKUP(M689,Tbl_Effect[],3,FALSE),EffectName[],IFERROR(MATCH(UI!$B$1,EffectName[#Headers],0),2),FALSE))</f>
        <v/>
      </c>
      <c r="O689" t="str">
        <f t="shared" si="72"/>
        <v/>
      </c>
      <c r="P689">
        <v>0</v>
      </c>
      <c r="Q689" t="str">
        <f>IF(VALUE(P689)=0,"",VLOOKUP(VLOOKUP(P689,Tbl_Effect[],3,FALSE),EffectName[],IFERROR(MATCH(UI!$B$1,EffectName[#Headers],0),2),FALSE))</f>
        <v/>
      </c>
      <c r="R689" t="str">
        <f t="shared" si="73"/>
        <v/>
      </c>
      <c r="S689">
        <v>0</v>
      </c>
      <c r="T689" t="str">
        <f>IF(VALUE(S689)=0,"",VLOOKUP(VLOOKUP(S689,Tbl_Effect[],3,FALSE),EffectName[],IFERROR(MATCH(UI!$B$1,EffectName[#Headers],0),2),FALSE))</f>
        <v/>
      </c>
      <c r="U689" t="str">
        <f t="shared" si="74"/>
        <v/>
      </c>
      <c r="V689">
        <v>0</v>
      </c>
      <c r="W689" t="str">
        <f>IF(V689&lt;&gt;0,VLOOKUP(VLOOKUP(V689,Tbl_Effect[],3,FALSE),EffectName[],IFERROR(MATCH(UI!$B$1,EffectName[#Headers],0),2),FALSE),"")</f>
        <v/>
      </c>
      <c r="X689" t="str">
        <f t="shared" si="75"/>
        <v/>
      </c>
      <c r="Y689">
        <v>0</v>
      </c>
      <c r="Z689" t="str">
        <f>IF(Y689&lt;&gt;0,VLOOKUP(VLOOKUP(Y689,Tbl_Effect[],3,FALSE),EffectName[],IFERROR(MATCH(UI!$B$1,EffectName[#Headers],0),2),FALSE),"")</f>
        <v/>
      </c>
      <c r="AA689" t="str">
        <f t="shared" si="76"/>
        <v/>
      </c>
      <c r="AB689">
        <v>0</v>
      </c>
      <c r="AC689" t="str">
        <f>IF(AB689&lt;&gt;0,VLOOKUP(VLOOKUP(AB689,Tbl_Effect[],3,FALSE),EffectName[],IFERROR(MATCH(UI!$B$1,EffectName[#Headers],0),2),FALSE),"")</f>
        <v/>
      </c>
    </row>
    <row r="690" spans="8:29" x14ac:dyDescent="0.4">
      <c r="H690" t="str">
        <f t="shared" si="70"/>
        <v>2001302-遼闊的幽靜暗淡情景 (綠)</v>
      </c>
      <c r="I690">
        <v>2001302</v>
      </c>
      <c r="J690" t="str">
        <f>_xlfn.IFNA(IF(I690&lt;&gt;0,VLOOKUP(VLOOKUP(I690,Tbl_Equip[],2,FALSE),Tbl_Color[],IFERROR(MATCH(UI!$B$1,Tbl_Color[#Headers],0),2),FALSE),""),"Unset")</f>
        <v>綠</v>
      </c>
      <c r="K690" t="str">
        <f>_xlfn.IFNA(IF(I690&lt;&gt;0,VLOOKUP(I690,ItemText[],IFERROR(MATCH(UI!$B$1,ItemText[#Headers],0),2),FALSE),""),"Unset")</f>
        <v>遼闊的幽靜暗淡情景</v>
      </c>
      <c r="L690" t="str">
        <f t="shared" si="71"/>
        <v/>
      </c>
      <c r="M690">
        <v>0</v>
      </c>
      <c r="N690" t="str">
        <f>IF(VALUE(M690)=0,"",VLOOKUP(VLOOKUP(M690,Tbl_Effect[],3,FALSE),EffectName[],IFERROR(MATCH(UI!$B$1,EffectName[#Headers],0),2),FALSE))</f>
        <v/>
      </c>
      <c r="O690" t="str">
        <f t="shared" si="72"/>
        <v/>
      </c>
      <c r="P690">
        <v>0</v>
      </c>
      <c r="Q690" t="str">
        <f>IF(VALUE(P690)=0,"",VLOOKUP(VLOOKUP(P690,Tbl_Effect[],3,FALSE),EffectName[],IFERROR(MATCH(UI!$B$1,EffectName[#Headers],0),2),FALSE))</f>
        <v/>
      </c>
      <c r="R690" t="str">
        <f t="shared" si="73"/>
        <v/>
      </c>
      <c r="S690">
        <v>0</v>
      </c>
      <c r="T690" t="str">
        <f>IF(VALUE(S690)=0,"",VLOOKUP(VLOOKUP(S690,Tbl_Effect[],3,FALSE),EffectName[],IFERROR(MATCH(UI!$B$1,EffectName[#Headers],0),2),FALSE))</f>
        <v/>
      </c>
      <c r="U690" t="str">
        <f t="shared" si="74"/>
        <v/>
      </c>
      <c r="V690">
        <v>0</v>
      </c>
      <c r="W690" t="str">
        <f>IF(V690&lt;&gt;0,VLOOKUP(VLOOKUP(V690,Tbl_Effect[],3,FALSE),EffectName[],IFERROR(MATCH(UI!$B$1,EffectName[#Headers],0),2),FALSE),"")</f>
        <v/>
      </c>
      <c r="X690" t="str">
        <f t="shared" si="75"/>
        <v/>
      </c>
      <c r="Y690">
        <v>0</v>
      </c>
      <c r="Z690" t="str">
        <f>IF(Y690&lt;&gt;0,VLOOKUP(VLOOKUP(Y690,Tbl_Effect[],3,FALSE),EffectName[],IFERROR(MATCH(UI!$B$1,EffectName[#Headers],0),2),FALSE),"")</f>
        <v/>
      </c>
      <c r="AA690" t="str">
        <f t="shared" si="76"/>
        <v/>
      </c>
      <c r="AB690">
        <v>0</v>
      </c>
      <c r="AC690" t="str">
        <f>IF(AB690&lt;&gt;0,VLOOKUP(VLOOKUP(AB690,Tbl_Effect[],3,FALSE),EffectName[],IFERROR(MATCH(UI!$B$1,EffectName[#Headers],0),2),FALSE),"")</f>
        <v/>
      </c>
    </row>
    <row r="691" spans="8:29" x14ac:dyDescent="0.4">
      <c r="H691" t="str">
        <f t="shared" si="70"/>
        <v>2001311-端正的幽靜暗淡情景 (綠)</v>
      </c>
      <c r="I691">
        <v>2001311</v>
      </c>
      <c r="J691" t="str">
        <f>_xlfn.IFNA(IF(I691&lt;&gt;0,VLOOKUP(VLOOKUP(I691,Tbl_Equip[],2,FALSE),Tbl_Color[],IFERROR(MATCH(UI!$B$1,Tbl_Color[#Headers],0),2),FALSE),""),"Unset")</f>
        <v>綠</v>
      </c>
      <c r="K691" t="str">
        <f>_xlfn.IFNA(IF(I691&lt;&gt;0,VLOOKUP(I691,ItemText[],IFERROR(MATCH(UI!$B$1,ItemText[#Headers],0),2),FALSE),""),"Unset")</f>
        <v>端正的幽靜暗淡情景</v>
      </c>
      <c r="L691" t="str">
        <f t="shared" si="71"/>
        <v/>
      </c>
      <c r="M691">
        <v>0</v>
      </c>
      <c r="N691" t="str">
        <f>IF(VALUE(M691)=0,"",VLOOKUP(VLOOKUP(M691,Tbl_Effect[],3,FALSE),EffectName[],IFERROR(MATCH(UI!$B$1,EffectName[#Headers],0),2),FALSE))</f>
        <v/>
      </c>
      <c r="O691" t="str">
        <f t="shared" si="72"/>
        <v/>
      </c>
      <c r="P691">
        <v>0</v>
      </c>
      <c r="Q691" t="str">
        <f>IF(VALUE(P691)=0,"",VLOOKUP(VLOOKUP(P691,Tbl_Effect[],3,FALSE),EffectName[],IFERROR(MATCH(UI!$B$1,EffectName[#Headers],0),2),FALSE))</f>
        <v/>
      </c>
      <c r="R691" t="str">
        <f t="shared" si="73"/>
        <v/>
      </c>
      <c r="S691">
        <v>0</v>
      </c>
      <c r="T691" t="str">
        <f>IF(VALUE(S691)=0,"",VLOOKUP(VLOOKUP(S691,Tbl_Effect[],3,FALSE),EffectName[],IFERROR(MATCH(UI!$B$1,EffectName[#Headers],0),2),FALSE))</f>
        <v/>
      </c>
      <c r="U691" t="str">
        <f t="shared" si="74"/>
        <v/>
      </c>
      <c r="V691">
        <v>0</v>
      </c>
      <c r="W691" t="str">
        <f>IF(V691&lt;&gt;0,VLOOKUP(VLOOKUP(V691,Tbl_Effect[],3,FALSE),EffectName[],IFERROR(MATCH(UI!$B$1,EffectName[#Headers],0),2),FALSE),"")</f>
        <v/>
      </c>
      <c r="X691" t="str">
        <f t="shared" si="75"/>
        <v/>
      </c>
      <c r="Y691">
        <v>0</v>
      </c>
      <c r="Z691" t="str">
        <f>IF(Y691&lt;&gt;0,VLOOKUP(VLOOKUP(Y691,Tbl_Effect[],3,FALSE),EffectName[],IFERROR(MATCH(UI!$B$1,EffectName[#Headers],0),2),FALSE),"")</f>
        <v/>
      </c>
      <c r="AA691" t="str">
        <f t="shared" si="76"/>
        <v/>
      </c>
      <c r="AB691">
        <v>0</v>
      </c>
      <c r="AC691" t="str">
        <f>IF(AB691&lt;&gt;0,VLOOKUP(VLOOKUP(AB691,Tbl_Effect[],3,FALSE),EffectName[],IFERROR(MATCH(UI!$B$1,EffectName[#Headers],0),2),FALSE),"")</f>
        <v/>
      </c>
    </row>
    <row r="692" spans="8:29" x14ac:dyDescent="0.4">
      <c r="H692" t="str">
        <f t="shared" si="70"/>
        <v>2001312-遼闊的幽靜暗淡情景 (綠)</v>
      </c>
      <c r="I692">
        <v>2001312</v>
      </c>
      <c r="J692" t="str">
        <f>_xlfn.IFNA(IF(I692&lt;&gt;0,VLOOKUP(VLOOKUP(I692,Tbl_Equip[],2,FALSE),Tbl_Color[],IFERROR(MATCH(UI!$B$1,Tbl_Color[#Headers],0),2),FALSE),""),"Unset")</f>
        <v>綠</v>
      </c>
      <c r="K692" t="str">
        <f>_xlfn.IFNA(IF(I692&lt;&gt;0,VLOOKUP(I692,ItemText[],IFERROR(MATCH(UI!$B$1,ItemText[#Headers],0),2),FALSE),""),"Unset")</f>
        <v>遼闊的幽靜暗淡情景</v>
      </c>
      <c r="L692" t="str">
        <f t="shared" si="71"/>
        <v/>
      </c>
      <c r="M692">
        <v>0</v>
      </c>
      <c r="N692" t="str">
        <f>IF(VALUE(M692)=0,"",VLOOKUP(VLOOKUP(M692,Tbl_Effect[],3,FALSE),EffectName[],IFERROR(MATCH(UI!$B$1,EffectName[#Headers],0),2),FALSE))</f>
        <v/>
      </c>
      <c r="O692" t="str">
        <f t="shared" si="72"/>
        <v/>
      </c>
      <c r="P692">
        <v>0</v>
      </c>
      <c r="Q692" t="str">
        <f>IF(VALUE(P692)=0,"",VLOOKUP(VLOOKUP(P692,Tbl_Effect[],3,FALSE),EffectName[],IFERROR(MATCH(UI!$B$1,EffectName[#Headers],0),2),FALSE))</f>
        <v/>
      </c>
      <c r="R692" t="str">
        <f t="shared" si="73"/>
        <v/>
      </c>
      <c r="S692">
        <v>0</v>
      </c>
      <c r="T692" t="str">
        <f>IF(VALUE(S692)=0,"",VLOOKUP(VLOOKUP(S692,Tbl_Effect[],3,FALSE),EffectName[],IFERROR(MATCH(UI!$B$1,EffectName[#Headers],0),2),FALSE))</f>
        <v/>
      </c>
      <c r="U692" t="str">
        <f t="shared" si="74"/>
        <v/>
      </c>
      <c r="V692">
        <v>0</v>
      </c>
      <c r="W692" t="str">
        <f>IF(V692&lt;&gt;0,VLOOKUP(VLOOKUP(V692,Tbl_Effect[],3,FALSE),EffectName[],IFERROR(MATCH(UI!$B$1,EffectName[#Headers],0),2),FALSE),"")</f>
        <v/>
      </c>
      <c r="X692" t="str">
        <f t="shared" si="75"/>
        <v/>
      </c>
      <c r="Y692">
        <v>0</v>
      </c>
      <c r="Z692" t="str">
        <f>IF(Y692&lt;&gt;0,VLOOKUP(VLOOKUP(Y692,Tbl_Effect[],3,FALSE),EffectName[],IFERROR(MATCH(UI!$B$1,EffectName[#Headers],0),2),FALSE),"")</f>
        <v/>
      </c>
      <c r="AA692" t="str">
        <f t="shared" si="76"/>
        <v/>
      </c>
      <c r="AB692">
        <v>0</v>
      </c>
      <c r="AC692" t="str">
        <f>IF(AB692&lt;&gt;0,VLOOKUP(VLOOKUP(AB692,Tbl_Effect[],3,FALSE),EffectName[],IFERROR(MATCH(UI!$B$1,EffectName[#Headers],0),2),FALSE),"")</f>
        <v/>
      </c>
    </row>
    <row r="693" spans="8:29" x14ac:dyDescent="0.4">
      <c r="H693" t="str">
        <f t="shared" si="70"/>
        <v>2001321-端正的幽靜暗淡情景 (綠)</v>
      </c>
      <c r="I693">
        <v>2001321</v>
      </c>
      <c r="J693" t="str">
        <f>_xlfn.IFNA(IF(I693&lt;&gt;0,VLOOKUP(VLOOKUP(I693,Tbl_Equip[],2,FALSE),Tbl_Color[],IFERROR(MATCH(UI!$B$1,Tbl_Color[#Headers],0),2),FALSE),""),"Unset")</f>
        <v>綠</v>
      </c>
      <c r="K693" t="str">
        <f>_xlfn.IFNA(IF(I693&lt;&gt;0,VLOOKUP(I693,ItemText[],IFERROR(MATCH(UI!$B$1,ItemText[#Headers],0),2),FALSE),""),"Unset")</f>
        <v>端正的幽靜暗淡情景</v>
      </c>
      <c r="L693" t="str">
        <f t="shared" si="71"/>
        <v/>
      </c>
      <c r="M693">
        <v>0</v>
      </c>
      <c r="N693" t="str">
        <f>IF(VALUE(M693)=0,"",VLOOKUP(VLOOKUP(M693,Tbl_Effect[],3,FALSE),EffectName[],IFERROR(MATCH(UI!$B$1,EffectName[#Headers],0),2),FALSE))</f>
        <v/>
      </c>
      <c r="O693" t="str">
        <f t="shared" si="72"/>
        <v/>
      </c>
      <c r="P693">
        <v>0</v>
      </c>
      <c r="Q693" t="str">
        <f>IF(VALUE(P693)=0,"",VLOOKUP(VLOOKUP(P693,Tbl_Effect[],3,FALSE),EffectName[],IFERROR(MATCH(UI!$B$1,EffectName[#Headers],0),2),FALSE))</f>
        <v/>
      </c>
      <c r="R693" t="str">
        <f t="shared" si="73"/>
        <v/>
      </c>
      <c r="S693">
        <v>0</v>
      </c>
      <c r="T693" t="str">
        <f>IF(VALUE(S693)=0,"",VLOOKUP(VLOOKUP(S693,Tbl_Effect[],3,FALSE),EffectName[],IFERROR(MATCH(UI!$B$1,EffectName[#Headers],0),2),FALSE))</f>
        <v/>
      </c>
      <c r="U693" t="str">
        <f t="shared" si="74"/>
        <v/>
      </c>
      <c r="V693">
        <v>0</v>
      </c>
      <c r="W693" t="str">
        <f>IF(V693&lt;&gt;0,VLOOKUP(VLOOKUP(V693,Tbl_Effect[],3,FALSE),EffectName[],IFERROR(MATCH(UI!$B$1,EffectName[#Headers],0),2),FALSE),"")</f>
        <v/>
      </c>
      <c r="X693" t="str">
        <f t="shared" si="75"/>
        <v/>
      </c>
      <c r="Y693">
        <v>0</v>
      </c>
      <c r="Z693" t="str">
        <f>IF(Y693&lt;&gt;0,VLOOKUP(VLOOKUP(Y693,Tbl_Effect[],3,FALSE),EffectName[],IFERROR(MATCH(UI!$B$1,EffectName[#Headers],0),2),FALSE),"")</f>
        <v/>
      </c>
      <c r="AA693" t="str">
        <f t="shared" si="76"/>
        <v/>
      </c>
      <c r="AB693">
        <v>0</v>
      </c>
      <c r="AC693" t="str">
        <f>IF(AB693&lt;&gt;0,VLOOKUP(VLOOKUP(AB693,Tbl_Effect[],3,FALSE),EffectName[],IFERROR(MATCH(UI!$B$1,EffectName[#Headers],0),2),FALSE),"")</f>
        <v/>
      </c>
    </row>
    <row r="694" spans="8:29" x14ac:dyDescent="0.4">
      <c r="H694" t="str">
        <f t="shared" si="70"/>
        <v>2001322-遼闊的幽靜暗淡情景 (綠)</v>
      </c>
      <c r="I694">
        <v>2001322</v>
      </c>
      <c r="J694" t="str">
        <f>_xlfn.IFNA(IF(I694&lt;&gt;0,VLOOKUP(VLOOKUP(I694,Tbl_Equip[],2,FALSE),Tbl_Color[],IFERROR(MATCH(UI!$B$1,Tbl_Color[#Headers],0),2),FALSE),""),"Unset")</f>
        <v>綠</v>
      </c>
      <c r="K694" t="str">
        <f>_xlfn.IFNA(IF(I694&lt;&gt;0,VLOOKUP(I694,ItemText[],IFERROR(MATCH(UI!$B$1,ItemText[#Headers],0),2),FALSE),""),"Unset")</f>
        <v>遼闊的幽靜暗淡情景</v>
      </c>
      <c r="L694" t="str">
        <f t="shared" si="71"/>
        <v/>
      </c>
      <c r="M694">
        <v>0</v>
      </c>
      <c r="N694" t="str">
        <f>IF(VALUE(M694)=0,"",VLOOKUP(VLOOKUP(M694,Tbl_Effect[],3,FALSE),EffectName[],IFERROR(MATCH(UI!$B$1,EffectName[#Headers],0),2),FALSE))</f>
        <v/>
      </c>
      <c r="O694" t="str">
        <f t="shared" si="72"/>
        <v/>
      </c>
      <c r="P694">
        <v>0</v>
      </c>
      <c r="Q694" t="str">
        <f>IF(VALUE(P694)=0,"",VLOOKUP(VLOOKUP(P694,Tbl_Effect[],3,FALSE),EffectName[],IFERROR(MATCH(UI!$B$1,EffectName[#Headers],0),2),FALSE))</f>
        <v/>
      </c>
      <c r="R694" t="str">
        <f t="shared" si="73"/>
        <v/>
      </c>
      <c r="S694">
        <v>0</v>
      </c>
      <c r="T694" t="str">
        <f>IF(VALUE(S694)=0,"",VLOOKUP(VLOOKUP(S694,Tbl_Effect[],3,FALSE),EffectName[],IFERROR(MATCH(UI!$B$1,EffectName[#Headers],0),2),FALSE))</f>
        <v/>
      </c>
      <c r="U694" t="str">
        <f t="shared" si="74"/>
        <v/>
      </c>
      <c r="V694">
        <v>0</v>
      </c>
      <c r="W694" t="str">
        <f>IF(V694&lt;&gt;0,VLOOKUP(VLOOKUP(V694,Tbl_Effect[],3,FALSE),EffectName[],IFERROR(MATCH(UI!$B$1,EffectName[#Headers],0),2),FALSE),"")</f>
        <v/>
      </c>
      <c r="X694" t="str">
        <f t="shared" si="75"/>
        <v/>
      </c>
      <c r="Y694">
        <v>0</v>
      </c>
      <c r="Z694" t="str">
        <f>IF(Y694&lt;&gt;0,VLOOKUP(VLOOKUP(Y694,Tbl_Effect[],3,FALSE),EffectName[],IFERROR(MATCH(UI!$B$1,EffectName[#Headers],0),2),FALSE),"")</f>
        <v/>
      </c>
      <c r="AA694" t="str">
        <f t="shared" si="76"/>
        <v/>
      </c>
      <c r="AB694">
        <v>0</v>
      </c>
      <c r="AC694" t="str">
        <f>IF(AB694&lt;&gt;0,VLOOKUP(VLOOKUP(AB694,Tbl_Effect[],3,FALSE),EffectName[],IFERROR(MATCH(UI!$B$1,EffectName[#Headers],0),2),FALSE),"")</f>
        <v/>
      </c>
    </row>
    <row r="695" spans="8:29" x14ac:dyDescent="0.4">
      <c r="H695" t="str">
        <f t="shared" si="70"/>
        <v>2002002-遼闊的火燃暗淡情景 (紅)</v>
      </c>
      <c r="I695">
        <v>2002002</v>
      </c>
      <c r="J695" t="str">
        <f>_xlfn.IFNA(IF(I695&lt;&gt;0,VLOOKUP(VLOOKUP(I695,Tbl_Equip[],2,FALSE),Tbl_Color[],IFERROR(MATCH(UI!$B$1,Tbl_Color[#Headers],0),2),FALSE),""),"Unset")</f>
        <v>紅</v>
      </c>
      <c r="K695" t="str">
        <f>_xlfn.IFNA(IF(I695&lt;&gt;0,VLOOKUP(I695,ItemText[],IFERROR(MATCH(UI!$B$1,ItemText[#Headers],0),2),FALSE),""),"Unset")</f>
        <v>遼闊的火燃暗淡情景</v>
      </c>
      <c r="L695" t="str">
        <f t="shared" si="71"/>
        <v/>
      </c>
      <c r="M695">
        <v>0</v>
      </c>
      <c r="N695" t="str">
        <f>IF(VALUE(M695)=0,"",VLOOKUP(VLOOKUP(M695,Tbl_Effect[],3,FALSE),EffectName[],IFERROR(MATCH(UI!$B$1,EffectName[#Headers],0),2),FALSE))</f>
        <v/>
      </c>
      <c r="O695" t="str">
        <f t="shared" si="72"/>
        <v/>
      </c>
      <c r="P695">
        <v>0</v>
      </c>
      <c r="Q695" t="str">
        <f>IF(VALUE(P695)=0,"",VLOOKUP(VLOOKUP(P695,Tbl_Effect[],3,FALSE),EffectName[],IFERROR(MATCH(UI!$B$1,EffectName[#Headers],0),2),FALSE))</f>
        <v/>
      </c>
      <c r="R695" t="str">
        <f t="shared" si="73"/>
        <v/>
      </c>
      <c r="S695">
        <v>0</v>
      </c>
      <c r="T695" t="str">
        <f>IF(VALUE(S695)=0,"",VLOOKUP(VLOOKUP(S695,Tbl_Effect[],3,FALSE),EffectName[],IFERROR(MATCH(UI!$B$1,EffectName[#Headers],0),2),FALSE))</f>
        <v/>
      </c>
      <c r="U695" t="str">
        <f t="shared" si="74"/>
        <v/>
      </c>
      <c r="V695">
        <v>0</v>
      </c>
      <c r="W695" t="str">
        <f>IF(V695&lt;&gt;0,VLOOKUP(VLOOKUP(V695,Tbl_Effect[],3,FALSE),EffectName[],IFERROR(MATCH(UI!$B$1,EffectName[#Headers],0),2),FALSE),"")</f>
        <v/>
      </c>
      <c r="X695" t="str">
        <f t="shared" si="75"/>
        <v/>
      </c>
      <c r="Y695">
        <v>0</v>
      </c>
      <c r="Z695" t="str">
        <f>IF(Y695&lt;&gt;0,VLOOKUP(VLOOKUP(Y695,Tbl_Effect[],3,FALSE),EffectName[],IFERROR(MATCH(UI!$B$1,EffectName[#Headers],0),2),FALSE),"")</f>
        <v/>
      </c>
      <c r="AA695" t="str">
        <f t="shared" si="76"/>
        <v/>
      </c>
      <c r="AB695">
        <v>0</v>
      </c>
      <c r="AC695" t="str">
        <f>IF(AB695&lt;&gt;0,VLOOKUP(VLOOKUP(AB695,Tbl_Effect[],3,FALSE),EffectName[],IFERROR(MATCH(UI!$B$1,EffectName[#Headers],0),2),FALSE),"")</f>
        <v/>
      </c>
    </row>
    <row r="696" spans="8:29" x14ac:dyDescent="0.4">
      <c r="H696" t="str">
        <f t="shared" si="70"/>
        <v>2002012-遼闊的火燃暗淡情景 (紅)</v>
      </c>
      <c r="I696">
        <v>2002012</v>
      </c>
      <c r="J696" t="str">
        <f>_xlfn.IFNA(IF(I696&lt;&gt;0,VLOOKUP(VLOOKUP(I696,Tbl_Equip[],2,FALSE),Tbl_Color[],IFERROR(MATCH(UI!$B$1,Tbl_Color[#Headers],0),2),FALSE),""),"Unset")</f>
        <v>紅</v>
      </c>
      <c r="K696" t="str">
        <f>_xlfn.IFNA(IF(I696&lt;&gt;0,VLOOKUP(I696,ItemText[],IFERROR(MATCH(UI!$B$1,ItemText[#Headers],0),2),FALSE),""),"Unset")</f>
        <v>遼闊的火燃暗淡情景</v>
      </c>
      <c r="L696" t="str">
        <f t="shared" si="71"/>
        <v/>
      </c>
      <c r="M696">
        <v>0</v>
      </c>
      <c r="N696" t="str">
        <f>IF(VALUE(M696)=0,"",VLOOKUP(VLOOKUP(M696,Tbl_Effect[],3,FALSE),EffectName[],IFERROR(MATCH(UI!$B$1,EffectName[#Headers],0),2),FALSE))</f>
        <v/>
      </c>
      <c r="O696" t="str">
        <f t="shared" si="72"/>
        <v/>
      </c>
      <c r="P696">
        <v>0</v>
      </c>
      <c r="Q696" t="str">
        <f>IF(VALUE(P696)=0,"",VLOOKUP(VLOOKUP(P696,Tbl_Effect[],3,FALSE),EffectName[],IFERROR(MATCH(UI!$B$1,EffectName[#Headers],0),2),FALSE))</f>
        <v/>
      </c>
      <c r="R696" t="str">
        <f t="shared" si="73"/>
        <v/>
      </c>
      <c r="S696">
        <v>0</v>
      </c>
      <c r="T696" t="str">
        <f>IF(VALUE(S696)=0,"",VLOOKUP(VLOOKUP(S696,Tbl_Effect[],3,FALSE),EffectName[],IFERROR(MATCH(UI!$B$1,EffectName[#Headers],0),2),FALSE))</f>
        <v/>
      </c>
      <c r="U696" t="str">
        <f t="shared" si="74"/>
        <v/>
      </c>
      <c r="V696">
        <v>0</v>
      </c>
      <c r="W696" t="str">
        <f>IF(V696&lt;&gt;0,VLOOKUP(VLOOKUP(V696,Tbl_Effect[],3,FALSE),EffectName[],IFERROR(MATCH(UI!$B$1,EffectName[#Headers],0),2),FALSE),"")</f>
        <v/>
      </c>
      <c r="X696" t="str">
        <f t="shared" si="75"/>
        <v/>
      </c>
      <c r="Y696">
        <v>0</v>
      </c>
      <c r="Z696" t="str">
        <f>IF(Y696&lt;&gt;0,VLOOKUP(VLOOKUP(Y696,Tbl_Effect[],3,FALSE),EffectName[],IFERROR(MATCH(UI!$B$1,EffectName[#Headers],0),2),FALSE),"")</f>
        <v/>
      </c>
      <c r="AA696" t="str">
        <f t="shared" si="76"/>
        <v/>
      </c>
      <c r="AB696">
        <v>0</v>
      </c>
      <c r="AC696" t="str">
        <f>IF(AB696&lt;&gt;0,VLOOKUP(VLOOKUP(AB696,Tbl_Effect[],3,FALSE),EffectName[],IFERROR(MATCH(UI!$B$1,EffectName[#Headers],0),2),FALSE),"")</f>
        <v/>
      </c>
    </row>
    <row r="697" spans="8:29" x14ac:dyDescent="0.4">
      <c r="H697" t="str">
        <f t="shared" si="70"/>
        <v>2002022-遼闊的火燃暗淡情景 (紅)</v>
      </c>
      <c r="I697">
        <v>2002022</v>
      </c>
      <c r="J697" t="str">
        <f>_xlfn.IFNA(IF(I697&lt;&gt;0,VLOOKUP(VLOOKUP(I697,Tbl_Equip[],2,FALSE),Tbl_Color[],IFERROR(MATCH(UI!$B$1,Tbl_Color[#Headers],0),2),FALSE),""),"Unset")</f>
        <v>紅</v>
      </c>
      <c r="K697" t="str">
        <f>_xlfn.IFNA(IF(I697&lt;&gt;0,VLOOKUP(I697,ItemText[],IFERROR(MATCH(UI!$B$1,ItemText[#Headers],0),2),FALSE),""),"Unset")</f>
        <v>遼闊的火燃暗淡情景</v>
      </c>
      <c r="L697" t="str">
        <f t="shared" si="71"/>
        <v/>
      </c>
      <c r="M697">
        <v>0</v>
      </c>
      <c r="N697" t="str">
        <f>IF(VALUE(M697)=0,"",VLOOKUP(VLOOKUP(M697,Tbl_Effect[],3,FALSE),EffectName[],IFERROR(MATCH(UI!$B$1,EffectName[#Headers],0),2),FALSE))</f>
        <v/>
      </c>
      <c r="O697" t="str">
        <f t="shared" si="72"/>
        <v/>
      </c>
      <c r="P697">
        <v>0</v>
      </c>
      <c r="Q697" t="str">
        <f>IF(VALUE(P697)=0,"",VLOOKUP(VLOOKUP(P697,Tbl_Effect[],3,FALSE),EffectName[],IFERROR(MATCH(UI!$B$1,EffectName[#Headers],0),2),FALSE))</f>
        <v/>
      </c>
      <c r="R697" t="str">
        <f t="shared" si="73"/>
        <v/>
      </c>
      <c r="S697">
        <v>0</v>
      </c>
      <c r="T697" t="str">
        <f>IF(VALUE(S697)=0,"",VLOOKUP(VLOOKUP(S697,Tbl_Effect[],3,FALSE),EffectName[],IFERROR(MATCH(UI!$B$1,EffectName[#Headers],0),2),FALSE))</f>
        <v/>
      </c>
      <c r="U697" t="str">
        <f t="shared" si="74"/>
        <v/>
      </c>
      <c r="V697">
        <v>0</v>
      </c>
      <c r="W697" t="str">
        <f>IF(V697&lt;&gt;0,VLOOKUP(VLOOKUP(V697,Tbl_Effect[],3,FALSE),EffectName[],IFERROR(MATCH(UI!$B$1,EffectName[#Headers],0),2),FALSE),"")</f>
        <v/>
      </c>
      <c r="X697" t="str">
        <f t="shared" si="75"/>
        <v/>
      </c>
      <c r="Y697">
        <v>0</v>
      </c>
      <c r="Z697" t="str">
        <f>IF(Y697&lt;&gt;0,VLOOKUP(VLOOKUP(Y697,Tbl_Effect[],3,FALSE),EffectName[],IFERROR(MATCH(UI!$B$1,EffectName[#Headers],0),2),FALSE),"")</f>
        <v/>
      </c>
      <c r="AA697" t="str">
        <f t="shared" si="76"/>
        <v/>
      </c>
      <c r="AB697">
        <v>0</v>
      </c>
      <c r="AC697" t="str">
        <f>IF(AB697&lt;&gt;0,VLOOKUP(VLOOKUP(AB697,Tbl_Effect[],3,FALSE),EffectName[],IFERROR(MATCH(UI!$B$1,EffectName[#Headers],0),2),FALSE),"")</f>
        <v/>
      </c>
    </row>
    <row r="698" spans="8:29" x14ac:dyDescent="0.4">
      <c r="H698" t="str">
        <f t="shared" si="70"/>
        <v>2002102-遼闊的水滴暗淡情景 (藍)</v>
      </c>
      <c r="I698">
        <v>2002102</v>
      </c>
      <c r="J698" t="str">
        <f>_xlfn.IFNA(IF(I698&lt;&gt;0,VLOOKUP(VLOOKUP(I698,Tbl_Equip[],2,FALSE),Tbl_Color[],IFERROR(MATCH(UI!$B$1,Tbl_Color[#Headers],0),2),FALSE),""),"Unset")</f>
        <v>藍</v>
      </c>
      <c r="K698" t="str">
        <f>_xlfn.IFNA(IF(I698&lt;&gt;0,VLOOKUP(I698,ItemText[],IFERROR(MATCH(UI!$B$1,ItemText[#Headers],0),2),FALSE),""),"Unset")</f>
        <v>遼闊的水滴暗淡情景</v>
      </c>
      <c r="L698" t="str">
        <f t="shared" si="71"/>
        <v/>
      </c>
      <c r="M698">
        <v>0</v>
      </c>
      <c r="N698" t="str">
        <f>IF(VALUE(M698)=0,"",VLOOKUP(VLOOKUP(M698,Tbl_Effect[],3,FALSE),EffectName[],IFERROR(MATCH(UI!$B$1,EffectName[#Headers],0),2),FALSE))</f>
        <v/>
      </c>
      <c r="O698" t="str">
        <f t="shared" si="72"/>
        <v/>
      </c>
      <c r="P698">
        <v>0</v>
      </c>
      <c r="Q698" t="str">
        <f>IF(VALUE(P698)=0,"",VLOOKUP(VLOOKUP(P698,Tbl_Effect[],3,FALSE),EffectName[],IFERROR(MATCH(UI!$B$1,EffectName[#Headers],0),2),FALSE))</f>
        <v/>
      </c>
      <c r="R698" t="str">
        <f t="shared" si="73"/>
        <v/>
      </c>
      <c r="S698">
        <v>0</v>
      </c>
      <c r="T698" t="str">
        <f>IF(VALUE(S698)=0,"",VLOOKUP(VLOOKUP(S698,Tbl_Effect[],3,FALSE),EffectName[],IFERROR(MATCH(UI!$B$1,EffectName[#Headers],0),2),FALSE))</f>
        <v/>
      </c>
      <c r="U698" t="str">
        <f t="shared" si="74"/>
        <v/>
      </c>
      <c r="V698">
        <v>0</v>
      </c>
      <c r="W698" t="str">
        <f>IF(V698&lt;&gt;0,VLOOKUP(VLOOKUP(V698,Tbl_Effect[],3,FALSE),EffectName[],IFERROR(MATCH(UI!$B$1,EffectName[#Headers],0),2),FALSE),"")</f>
        <v/>
      </c>
      <c r="X698" t="str">
        <f t="shared" si="75"/>
        <v/>
      </c>
      <c r="Y698">
        <v>0</v>
      </c>
      <c r="Z698" t="str">
        <f>IF(Y698&lt;&gt;0,VLOOKUP(VLOOKUP(Y698,Tbl_Effect[],3,FALSE),EffectName[],IFERROR(MATCH(UI!$B$1,EffectName[#Headers],0),2),FALSE),"")</f>
        <v/>
      </c>
      <c r="AA698" t="str">
        <f t="shared" si="76"/>
        <v/>
      </c>
      <c r="AB698">
        <v>0</v>
      </c>
      <c r="AC698" t="str">
        <f>IF(AB698&lt;&gt;0,VLOOKUP(VLOOKUP(AB698,Tbl_Effect[],3,FALSE),EffectName[],IFERROR(MATCH(UI!$B$1,EffectName[#Headers],0),2),FALSE),"")</f>
        <v/>
      </c>
    </row>
    <row r="699" spans="8:29" x14ac:dyDescent="0.4">
      <c r="H699" t="str">
        <f t="shared" si="70"/>
        <v>2002112-遼闊的水滴暗淡情景 (藍)</v>
      </c>
      <c r="I699">
        <v>2002112</v>
      </c>
      <c r="J699" t="str">
        <f>_xlfn.IFNA(IF(I699&lt;&gt;0,VLOOKUP(VLOOKUP(I699,Tbl_Equip[],2,FALSE),Tbl_Color[],IFERROR(MATCH(UI!$B$1,Tbl_Color[#Headers],0),2),FALSE),""),"Unset")</f>
        <v>藍</v>
      </c>
      <c r="K699" t="str">
        <f>_xlfn.IFNA(IF(I699&lt;&gt;0,VLOOKUP(I699,ItemText[],IFERROR(MATCH(UI!$B$1,ItemText[#Headers],0),2),FALSE),""),"Unset")</f>
        <v>遼闊的水滴暗淡情景</v>
      </c>
      <c r="L699" t="str">
        <f t="shared" si="71"/>
        <v/>
      </c>
      <c r="M699">
        <v>0</v>
      </c>
      <c r="N699" t="str">
        <f>IF(VALUE(M699)=0,"",VLOOKUP(VLOOKUP(M699,Tbl_Effect[],3,FALSE),EffectName[],IFERROR(MATCH(UI!$B$1,EffectName[#Headers],0),2),FALSE))</f>
        <v/>
      </c>
      <c r="O699" t="str">
        <f t="shared" si="72"/>
        <v/>
      </c>
      <c r="P699">
        <v>0</v>
      </c>
      <c r="Q699" t="str">
        <f>IF(VALUE(P699)=0,"",VLOOKUP(VLOOKUP(P699,Tbl_Effect[],3,FALSE),EffectName[],IFERROR(MATCH(UI!$B$1,EffectName[#Headers],0),2),FALSE))</f>
        <v/>
      </c>
      <c r="R699" t="str">
        <f t="shared" si="73"/>
        <v/>
      </c>
      <c r="S699">
        <v>0</v>
      </c>
      <c r="T699" t="str">
        <f>IF(VALUE(S699)=0,"",VLOOKUP(VLOOKUP(S699,Tbl_Effect[],3,FALSE),EffectName[],IFERROR(MATCH(UI!$B$1,EffectName[#Headers],0),2),FALSE))</f>
        <v/>
      </c>
      <c r="U699" t="str">
        <f t="shared" si="74"/>
        <v/>
      </c>
      <c r="V699">
        <v>0</v>
      </c>
      <c r="W699" t="str">
        <f>IF(V699&lt;&gt;0,VLOOKUP(VLOOKUP(V699,Tbl_Effect[],3,FALSE),EffectName[],IFERROR(MATCH(UI!$B$1,EffectName[#Headers],0),2),FALSE),"")</f>
        <v/>
      </c>
      <c r="X699" t="str">
        <f t="shared" si="75"/>
        <v/>
      </c>
      <c r="Y699">
        <v>0</v>
      </c>
      <c r="Z699" t="str">
        <f>IF(Y699&lt;&gt;0,VLOOKUP(VLOOKUP(Y699,Tbl_Effect[],3,FALSE),EffectName[],IFERROR(MATCH(UI!$B$1,EffectName[#Headers],0),2),FALSE),"")</f>
        <v/>
      </c>
      <c r="AA699" t="str">
        <f t="shared" si="76"/>
        <v/>
      </c>
      <c r="AB699">
        <v>0</v>
      </c>
      <c r="AC699" t="str">
        <f>IF(AB699&lt;&gt;0,VLOOKUP(VLOOKUP(AB699,Tbl_Effect[],3,FALSE),EffectName[],IFERROR(MATCH(UI!$B$1,EffectName[#Headers],0),2),FALSE),"")</f>
        <v/>
      </c>
    </row>
    <row r="700" spans="8:29" x14ac:dyDescent="0.4">
      <c r="H700" t="str">
        <f t="shared" si="70"/>
        <v>2002122-遼闊的水滴暗淡情景 (藍)</v>
      </c>
      <c r="I700">
        <v>2002122</v>
      </c>
      <c r="J700" t="str">
        <f>_xlfn.IFNA(IF(I700&lt;&gt;0,VLOOKUP(VLOOKUP(I700,Tbl_Equip[],2,FALSE),Tbl_Color[],IFERROR(MATCH(UI!$B$1,Tbl_Color[#Headers],0),2),FALSE),""),"Unset")</f>
        <v>藍</v>
      </c>
      <c r="K700" t="str">
        <f>_xlfn.IFNA(IF(I700&lt;&gt;0,VLOOKUP(I700,ItemText[],IFERROR(MATCH(UI!$B$1,ItemText[#Headers],0),2),FALSE),""),"Unset")</f>
        <v>遼闊的水滴暗淡情景</v>
      </c>
      <c r="L700" t="str">
        <f t="shared" si="71"/>
        <v/>
      </c>
      <c r="M700">
        <v>0</v>
      </c>
      <c r="N700" t="str">
        <f>IF(VALUE(M700)=0,"",VLOOKUP(VLOOKUP(M700,Tbl_Effect[],3,FALSE),EffectName[],IFERROR(MATCH(UI!$B$1,EffectName[#Headers],0),2),FALSE))</f>
        <v/>
      </c>
      <c r="O700" t="str">
        <f t="shared" si="72"/>
        <v/>
      </c>
      <c r="P700">
        <v>0</v>
      </c>
      <c r="Q700" t="str">
        <f>IF(VALUE(P700)=0,"",VLOOKUP(VLOOKUP(P700,Tbl_Effect[],3,FALSE),EffectName[],IFERROR(MATCH(UI!$B$1,EffectName[#Headers],0),2),FALSE))</f>
        <v/>
      </c>
      <c r="R700" t="str">
        <f t="shared" si="73"/>
        <v/>
      </c>
      <c r="S700">
        <v>0</v>
      </c>
      <c r="T700" t="str">
        <f>IF(VALUE(S700)=0,"",VLOOKUP(VLOOKUP(S700,Tbl_Effect[],3,FALSE),EffectName[],IFERROR(MATCH(UI!$B$1,EffectName[#Headers],0),2),FALSE))</f>
        <v/>
      </c>
      <c r="U700" t="str">
        <f t="shared" si="74"/>
        <v/>
      </c>
      <c r="V700">
        <v>0</v>
      </c>
      <c r="W700" t="str">
        <f>IF(V700&lt;&gt;0,VLOOKUP(VLOOKUP(V700,Tbl_Effect[],3,FALSE),EffectName[],IFERROR(MATCH(UI!$B$1,EffectName[#Headers],0),2),FALSE),"")</f>
        <v/>
      </c>
      <c r="X700" t="str">
        <f t="shared" si="75"/>
        <v/>
      </c>
      <c r="Y700">
        <v>0</v>
      </c>
      <c r="Z700" t="str">
        <f>IF(Y700&lt;&gt;0,VLOOKUP(VLOOKUP(Y700,Tbl_Effect[],3,FALSE),EffectName[],IFERROR(MATCH(UI!$B$1,EffectName[#Headers],0),2),FALSE),"")</f>
        <v/>
      </c>
      <c r="AA700" t="str">
        <f t="shared" si="76"/>
        <v/>
      </c>
      <c r="AB700">
        <v>0</v>
      </c>
      <c r="AC700" t="str">
        <f>IF(AB700&lt;&gt;0,VLOOKUP(VLOOKUP(AB700,Tbl_Effect[],3,FALSE),EffectName[],IFERROR(MATCH(UI!$B$1,EffectName[#Headers],0),2),FALSE),"")</f>
        <v/>
      </c>
    </row>
    <row r="701" spans="8:29" x14ac:dyDescent="0.4">
      <c r="H701" t="str">
        <f t="shared" si="70"/>
        <v>2002202-遼闊的光耀暗淡情景 (黃)</v>
      </c>
      <c r="I701">
        <v>2002202</v>
      </c>
      <c r="J701" t="str">
        <f>_xlfn.IFNA(IF(I701&lt;&gt;0,VLOOKUP(VLOOKUP(I701,Tbl_Equip[],2,FALSE),Tbl_Color[],IFERROR(MATCH(UI!$B$1,Tbl_Color[#Headers],0),2),FALSE),""),"Unset")</f>
        <v>黃</v>
      </c>
      <c r="K701" t="str">
        <f>_xlfn.IFNA(IF(I701&lt;&gt;0,VLOOKUP(I701,ItemText[],IFERROR(MATCH(UI!$B$1,ItemText[#Headers],0),2),FALSE),""),"Unset")</f>
        <v>遼闊的光耀暗淡情景</v>
      </c>
      <c r="L701" t="str">
        <f t="shared" si="71"/>
        <v/>
      </c>
      <c r="M701">
        <v>0</v>
      </c>
      <c r="N701" t="str">
        <f>IF(VALUE(M701)=0,"",VLOOKUP(VLOOKUP(M701,Tbl_Effect[],3,FALSE),EffectName[],IFERROR(MATCH(UI!$B$1,EffectName[#Headers],0),2),FALSE))</f>
        <v/>
      </c>
      <c r="O701" t="str">
        <f t="shared" si="72"/>
        <v/>
      </c>
      <c r="P701">
        <v>0</v>
      </c>
      <c r="Q701" t="str">
        <f>IF(VALUE(P701)=0,"",VLOOKUP(VLOOKUP(P701,Tbl_Effect[],3,FALSE),EffectName[],IFERROR(MATCH(UI!$B$1,EffectName[#Headers],0),2),FALSE))</f>
        <v/>
      </c>
      <c r="R701" t="str">
        <f t="shared" si="73"/>
        <v/>
      </c>
      <c r="S701">
        <v>0</v>
      </c>
      <c r="T701" t="str">
        <f>IF(VALUE(S701)=0,"",VLOOKUP(VLOOKUP(S701,Tbl_Effect[],3,FALSE),EffectName[],IFERROR(MATCH(UI!$B$1,EffectName[#Headers],0),2),FALSE))</f>
        <v/>
      </c>
      <c r="U701" t="str">
        <f t="shared" si="74"/>
        <v/>
      </c>
      <c r="V701">
        <v>0</v>
      </c>
      <c r="W701" t="str">
        <f>IF(V701&lt;&gt;0,VLOOKUP(VLOOKUP(V701,Tbl_Effect[],3,FALSE),EffectName[],IFERROR(MATCH(UI!$B$1,EffectName[#Headers],0),2),FALSE),"")</f>
        <v/>
      </c>
      <c r="X701" t="str">
        <f t="shared" si="75"/>
        <v/>
      </c>
      <c r="Y701">
        <v>0</v>
      </c>
      <c r="Z701" t="str">
        <f>IF(Y701&lt;&gt;0,VLOOKUP(VLOOKUP(Y701,Tbl_Effect[],3,FALSE),EffectName[],IFERROR(MATCH(UI!$B$1,EffectName[#Headers],0),2),FALSE),"")</f>
        <v/>
      </c>
      <c r="AA701" t="str">
        <f t="shared" si="76"/>
        <v/>
      </c>
      <c r="AB701">
        <v>0</v>
      </c>
      <c r="AC701" t="str">
        <f>IF(AB701&lt;&gt;0,VLOOKUP(VLOOKUP(AB701,Tbl_Effect[],3,FALSE),EffectName[],IFERROR(MATCH(UI!$B$1,EffectName[#Headers],0),2),FALSE),"")</f>
        <v/>
      </c>
    </row>
    <row r="702" spans="8:29" x14ac:dyDescent="0.4">
      <c r="H702" t="str">
        <f t="shared" si="70"/>
        <v>2002212-遼闊的光耀暗淡情景 (黃)</v>
      </c>
      <c r="I702">
        <v>2002212</v>
      </c>
      <c r="J702" t="str">
        <f>_xlfn.IFNA(IF(I702&lt;&gt;0,VLOOKUP(VLOOKUP(I702,Tbl_Equip[],2,FALSE),Tbl_Color[],IFERROR(MATCH(UI!$B$1,Tbl_Color[#Headers],0),2),FALSE),""),"Unset")</f>
        <v>黃</v>
      </c>
      <c r="K702" t="str">
        <f>_xlfn.IFNA(IF(I702&lt;&gt;0,VLOOKUP(I702,ItemText[],IFERROR(MATCH(UI!$B$1,ItemText[#Headers],0),2),FALSE),""),"Unset")</f>
        <v>遼闊的光耀暗淡情景</v>
      </c>
      <c r="L702" t="str">
        <f t="shared" si="71"/>
        <v/>
      </c>
      <c r="M702">
        <v>0</v>
      </c>
      <c r="N702" t="str">
        <f>IF(VALUE(M702)=0,"",VLOOKUP(VLOOKUP(M702,Tbl_Effect[],3,FALSE),EffectName[],IFERROR(MATCH(UI!$B$1,EffectName[#Headers],0),2),FALSE))</f>
        <v/>
      </c>
      <c r="O702" t="str">
        <f t="shared" si="72"/>
        <v/>
      </c>
      <c r="P702">
        <v>0</v>
      </c>
      <c r="Q702" t="str">
        <f>IF(VALUE(P702)=0,"",VLOOKUP(VLOOKUP(P702,Tbl_Effect[],3,FALSE),EffectName[],IFERROR(MATCH(UI!$B$1,EffectName[#Headers],0),2),FALSE))</f>
        <v/>
      </c>
      <c r="R702" t="str">
        <f t="shared" si="73"/>
        <v/>
      </c>
      <c r="S702">
        <v>0</v>
      </c>
      <c r="T702" t="str">
        <f>IF(VALUE(S702)=0,"",VLOOKUP(VLOOKUP(S702,Tbl_Effect[],3,FALSE),EffectName[],IFERROR(MATCH(UI!$B$1,EffectName[#Headers],0),2),FALSE))</f>
        <v/>
      </c>
      <c r="U702" t="str">
        <f t="shared" si="74"/>
        <v/>
      </c>
      <c r="V702">
        <v>0</v>
      </c>
      <c r="W702" t="str">
        <f>IF(V702&lt;&gt;0,VLOOKUP(VLOOKUP(V702,Tbl_Effect[],3,FALSE),EffectName[],IFERROR(MATCH(UI!$B$1,EffectName[#Headers],0),2),FALSE),"")</f>
        <v/>
      </c>
      <c r="X702" t="str">
        <f t="shared" si="75"/>
        <v/>
      </c>
      <c r="Y702">
        <v>0</v>
      </c>
      <c r="Z702" t="str">
        <f>IF(Y702&lt;&gt;0,VLOOKUP(VLOOKUP(Y702,Tbl_Effect[],3,FALSE),EffectName[],IFERROR(MATCH(UI!$B$1,EffectName[#Headers],0),2),FALSE),"")</f>
        <v/>
      </c>
      <c r="AA702" t="str">
        <f t="shared" si="76"/>
        <v/>
      </c>
      <c r="AB702">
        <v>0</v>
      </c>
      <c r="AC702" t="str">
        <f>IF(AB702&lt;&gt;0,VLOOKUP(VLOOKUP(AB702,Tbl_Effect[],3,FALSE),EffectName[],IFERROR(MATCH(UI!$B$1,EffectName[#Headers],0),2),FALSE),"")</f>
        <v/>
      </c>
    </row>
    <row r="703" spans="8:29" x14ac:dyDescent="0.4">
      <c r="H703" t="str">
        <f t="shared" si="70"/>
        <v>2002222-遼闊的光耀暗淡情景 (黃)</v>
      </c>
      <c r="I703">
        <v>2002222</v>
      </c>
      <c r="J703" t="str">
        <f>_xlfn.IFNA(IF(I703&lt;&gt;0,VLOOKUP(VLOOKUP(I703,Tbl_Equip[],2,FALSE),Tbl_Color[],IFERROR(MATCH(UI!$B$1,Tbl_Color[#Headers],0),2),FALSE),""),"Unset")</f>
        <v>黃</v>
      </c>
      <c r="K703" t="str">
        <f>_xlfn.IFNA(IF(I703&lt;&gt;0,VLOOKUP(I703,ItemText[],IFERROR(MATCH(UI!$B$1,ItemText[#Headers],0),2),FALSE),""),"Unset")</f>
        <v>遼闊的光耀暗淡情景</v>
      </c>
      <c r="L703" t="str">
        <f t="shared" si="71"/>
        <v/>
      </c>
      <c r="M703">
        <v>0</v>
      </c>
      <c r="N703" t="str">
        <f>IF(VALUE(M703)=0,"",VLOOKUP(VLOOKUP(M703,Tbl_Effect[],3,FALSE),EffectName[],IFERROR(MATCH(UI!$B$1,EffectName[#Headers],0),2),FALSE))</f>
        <v/>
      </c>
      <c r="O703" t="str">
        <f t="shared" si="72"/>
        <v/>
      </c>
      <c r="P703">
        <v>0</v>
      </c>
      <c r="Q703" t="str">
        <f>IF(VALUE(P703)=0,"",VLOOKUP(VLOOKUP(P703,Tbl_Effect[],3,FALSE),EffectName[],IFERROR(MATCH(UI!$B$1,EffectName[#Headers],0),2),FALSE))</f>
        <v/>
      </c>
      <c r="R703" t="str">
        <f t="shared" si="73"/>
        <v/>
      </c>
      <c r="S703">
        <v>0</v>
      </c>
      <c r="T703" t="str">
        <f>IF(VALUE(S703)=0,"",VLOOKUP(VLOOKUP(S703,Tbl_Effect[],3,FALSE),EffectName[],IFERROR(MATCH(UI!$B$1,EffectName[#Headers],0),2),FALSE))</f>
        <v/>
      </c>
      <c r="U703" t="str">
        <f t="shared" si="74"/>
        <v/>
      </c>
      <c r="V703">
        <v>0</v>
      </c>
      <c r="W703" t="str">
        <f>IF(V703&lt;&gt;0,VLOOKUP(VLOOKUP(V703,Tbl_Effect[],3,FALSE),EffectName[],IFERROR(MATCH(UI!$B$1,EffectName[#Headers],0),2),FALSE),"")</f>
        <v/>
      </c>
      <c r="X703" t="str">
        <f t="shared" si="75"/>
        <v/>
      </c>
      <c r="Y703">
        <v>0</v>
      </c>
      <c r="Z703" t="str">
        <f>IF(Y703&lt;&gt;0,VLOOKUP(VLOOKUP(Y703,Tbl_Effect[],3,FALSE),EffectName[],IFERROR(MATCH(UI!$B$1,EffectName[#Headers],0),2),FALSE),"")</f>
        <v/>
      </c>
      <c r="AA703" t="str">
        <f t="shared" si="76"/>
        <v/>
      </c>
      <c r="AB703">
        <v>0</v>
      </c>
      <c r="AC703" t="str">
        <f>IF(AB703&lt;&gt;0,VLOOKUP(VLOOKUP(AB703,Tbl_Effect[],3,FALSE),EffectName[],IFERROR(MATCH(UI!$B$1,EffectName[#Headers],0),2),FALSE),"")</f>
        <v/>
      </c>
    </row>
    <row r="704" spans="8:29" x14ac:dyDescent="0.4">
      <c r="H704" t="str">
        <f t="shared" si="70"/>
        <v>2002302-遼闊的幽靜暗淡情景 (綠)</v>
      </c>
      <c r="I704">
        <v>2002302</v>
      </c>
      <c r="J704" t="str">
        <f>_xlfn.IFNA(IF(I704&lt;&gt;0,VLOOKUP(VLOOKUP(I704,Tbl_Equip[],2,FALSE),Tbl_Color[],IFERROR(MATCH(UI!$B$1,Tbl_Color[#Headers],0),2),FALSE),""),"Unset")</f>
        <v>綠</v>
      </c>
      <c r="K704" t="str">
        <f>_xlfn.IFNA(IF(I704&lt;&gt;0,VLOOKUP(I704,ItemText[],IFERROR(MATCH(UI!$B$1,ItemText[#Headers],0),2),FALSE),""),"Unset")</f>
        <v>遼闊的幽靜暗淡情景</v>
      </c>
      <c r="L704" t="str">
        <f t="shared" si="71"/>
        <v/>
      </c>
      <c r="M704">
        <v>0</v>
      </c>
      <c r="N704" t="str">
        <f>IF(VALUE(M704)=0,"",VLOOKUP(VLOOKUP(M704,Tbl_Effect[],3,FALSE),EffectName[],IFERROR(MATCH(UI!$B$1,EffectName[#Headers],0),2),FALSE))</f>
        <v/>
      </c>
      <c r="O704" t="str">
        <f t="shared" si="72"/>
        <v/>
      </c>
      <c r="P704">
        <v>0</v>
      </c>
      <c r="Q704" t="str">
        <f>IF(VALUE(P704)=0,"",VLOOKUP(VLOOKUP(P704,Tbl_Effect[],3,FALSE),EffectName[],IFERROR(MATCH(UI!$B$1,EffectName[#Headers],0),2),FALSE))</f>
        <v/>
      </c>
      <c r="R704" t="str">
        <f t="shared" si="73"/>
        <v/>
      </c>
      <c r="S704">
        <v>0</v>
      </c>
      <c r="T704" t="str">
        <f>IF(VALUE(S704)=0,"",VLOOKUP(VLOOKUP(S704,Tbl_Effect[],3,FALSE),EffectName[],IFERROR(MATCH(UI!$B$1,EffectName[#Headers],0),2),FALSE))</f>
        <v/>
      </c>
      <c r="U704" t="str">
        <f t="shared" si="74"/>
        <v/>
      </c>
      <c r="V704">
        <v>0</v>
      </c>
      <c r="W704" t="str">
        <f>IF(V704&lt;&gt;0,VLOOKUP(VLOOKUP(V704,Tbl_Effect[],3,FALSE),EffectName[],IFERROR(MATCH(UI!$B$1,EffectName[#Headers],0),2),FALSE),"")</f>
        <v/>
      </c>
      <c r="X704" t="str">
        <f t="shared" si="75"/>
        <v/>
      </c>
      <c r="Y704">
        <v>0</v>
      </c>
      <c r="Z704" t="str">
        <f>IF(Y704&lt;&gt;0,VLOOKUP(VLOOKUP(Y704,Tbl_Effect[],3,FALSE),EffectName[],IFERROR(MATCH(UI!$B$1,EffectName[#Headers],0),2),FALSE),"")</f>
        <v/>
      </c>
      <c r="AA704" t="str">
        <f t="shared" si="76"/>
        <v/>
      </c>
      <c r="AB704">
        <v>0</v>
      </c>
      <c r="AC704" t="str">
        <f>IF(AB704&lt;&gt;0,VLOOKUP(VLOOKUP(AB704,Tbl_Effect[],3,FALSE),EffectName[],IFERROR(MATCH(UI!$B$1,EffectName[#Headers],0),2),FALSE),"")</f>
        <v/>
      </c>
    </row>
    <row r="705" spans="8:29" x14ac:dyDescent="0.4">
      <c r="H705" t="str">
        <f t="shared" si="70"/>
        <v>2002312-遼闊的幽靜暗淡情景 (綠)</v>
      </c>
      <c r="I705">
        <v>2002312</v>
      </c>
      <c r="J705" t="str">
        <f>_xlfn.IFNA(IF(I705&lt;&gt;0,VLOOKUP(VLOOKUP(I705,Tbl_Equip[],2,FALSE),Tbl_Color[],IFERROR(MATCH(UI!$B$1,Tbl_Color[#Headers],0),2),FALSE),""),"Unset")</f>
        <v>綠</v>
      </c>
      <c r="K705" t="str">
        <f>_xlfn.IFNA(IF(I705&lt;&gt;0,VLOOKUP(I705,ItemText[],IFERROR(MATCH(UI!$B$1,ItemText[#Headers],0),2),FALSE),""),"Unset")</f>
        <v>遼闊的幽靜暗淡情景</v>
      </c>
      <c r="L705" t="str">
        <f t="shared" si="71"/>
        <v/>
      </c>
      <c r="M705">
        <v>0</v>
      </c>
      <c r="N705" t="str">
        <f>IF(VALUE(M705)=0,"",VLOOKUP(VLOOKUP(M705,Tbl_Effect[],3,FALSE),EffectName[],IFERROR(MATCH(UI!$B$1,EffectName[#Headers],0),2),FALSE))</f>
        <v/>
      </c>
      <c r="O705" t="str">
        <f t="shared" si="72"/>
        <v/>
      </c>
      <c r="P705">
        <v>0</v>
      </c>
      <c r="Q705" t="str">
        <f>IF(VALUE(P705)=0,"",VLOOKUP(VLOOKUP(P705,Tbl_Effect[],3,FALSE),EffectName[],IFERROR(MATCH(UI!$B$1,EffectName[#Headers],0),2),FALSE))</f>
        <v/>
      </c>
      <c r="R705" t="str">
        <f t="shared" si="73"/>
        <v/>
      </c>
      <c r="S705">
        <v>0</v>
      </c>
      <c r="T705" t="str">
        <f>IF(VALUE(S705)=0,"",VLOOKUP(VLOOKUP(S705,Tbl_Effect[],3,FALSE),EffectName[],IFERROR(MATCH(UI!$B$1,EffectName[#Headers],0),2),FALSE))</f>
        <v/>
      </c>
      <c r="U705" t="str">
        <f t="shared" si="74"/>
        <v/>
      </c>
      <c r="V705">
        <v>0</v>
      </c>
      <c r="W705" t="str">
        <f>IF(V705&lt;&gt;0,VLOOKUP(VLOOKUP(V705,Tbl_Effect[],3,FALSE),EffectName[],IFERROR(MATCH(UI!$B$1,EffectName[#Headers],0),2),FALSE),"")</f>
        <v/>
      </c>
      <c r="X705" t="str">
        <f t="shared" si="75"/>
        <v/>
      </c>
      <c r="Y705">
        <v>0</v>
      </c>
      <c r="Z705" t="str">
        <f>IF(Y705&lt;&gt;0,VLOOKUP(VLOOKUP(Y705,Tbl_Effect[],3,FALSE),EffectName[],IFERROR(MATCH(UI!$B$1,EffectName[#Headers],0),2),FALSE),"")</f>
        <v/>
      </c>
      <c r="AA705" t="str">
        <f t="shared" si="76"/>
        <v/>
      </c>
      <c r="AB705">
        <v>0</v>
      </c>
      <c r="AC705" t="str">
        <f>IF(AB705&lt;&gt;0,VLOOKUP(VLOOKUP(AB705,Tbl_Effect[],3,FALSE),EffectName[],IFERROR(MATCH(UI!$B$1,EffectName[#Headers],0),2),FALSE),"")</f>
        <v/>
      </c>
    </row>
    <row r="706" spans="8:29" x14ac:dyDescent="0.4">
      <c r="H706" t="str">
        <f t="shared" si="70"/>
        <v>2002322-遼闊的幽靜暗淡情景 (綠)</v>
      </c>
      <c r="I706">
        <v>2002322</v>
      </c>
      <c r="J706" t="str">
        <f>_xlfn.IFNA(IF(I706&lt;&gt;0,VLOOKUP(VLOOKUP(I706,Tbl_Equip[],2,FALSE),Tbl_Color[],IFERROR(MATCH(UI!$B$1,Tbl_Color[#Headers],0),2),FALSE),""),"Unset")</f>
        <v>綠</v>
      </c>
      <c r="K706" t="str">
        <f>_xlfn.IFNA(IF(I706&lt;&gt;0,VLOOKUP(I706,ItemText[],IFERROR(MATCH(UI!$B$1,ItemText[#Headers],0),2),FALSE),""),"Unset")</f>
        <v>遼闊的幽靜暗淡情景</v>
      </c>
      <c r="L706" t="str">
        <f t="shared" si="71"/>
        <v/>
      </c>
      <c r="M706">
        <v>0</v>
      </c>
      <c r="N706" t="str">
        <f>IF(VALUE(M706)=0,"",VLOOKUP(VLOOKUP(M706,Tbl_Effect[],3,FALSE),EffectName[],IFERROR(MATCH(UI!$B$1,EffectName[#Headers],0),2),FALSE))</f>
        <v/>
      </c>
      <c r="O706" t="str">
        <f t="shared" si="72"/>
        <v/>
      </c>
      <c r="P706">
        <v>0</v>
      </c>
      <c r="Q706" t="str">
        <f>IF(VALUE(P706)=0,"",VLOOKUP(VLOOKUP(P706,Tbl_Effect[],3,FALSE),EffectName[],IFERROR(MATCH(UI!$B$1,EffectName[#Headers],0),2),FALSE))</f>
        <v/>
      </c>
      <c r="R706" t="str">
        <f t="shared" si="73"/>
        <v/>
      </c>
      <c r="S706">
        <v>0</v>
      </c>
      <c r="T706" t="str">
        <f>IF(VALUE(S706)=0,"",VLOOKUP(VLOOKUP(S706,Tbl_Effect[],3,FALSE),EffectName[],IFERROR(MATCH(UI!$B$1,EffectName[#Headers],0),2),FALSE))</f>
        <v/>
      </c>
      <c r="U706" t="str">
        <f t="shared" si="74"/>
        <v/>
      </c>
      <c r="V706">
        <v>0</v>
      </c>
      <c r="W706" t="str">
        <f>IF(V706&lt;&gt;0,VLOOKUP(VLOOKUP(V706,Tbl_Effect[],3,FALSE),EffectName[],IFERROR(MATCH(UI!$B$1,EffectName[#Headers],0),2),FALSE),"")</f>
        <v/>
      </c>
      <c r="X706" t="str">
        <f t="shared" si="75"/>
        <v/>
      </c>
      <c r="Y706">
        <v>0</v>
      </c>
      <c r="Z706" t="str">
        <f>IF(Y706&lt;&gt;0,VLOOKUP(VLOOKUP(Y706,Tbl_Effect[],3,FALSE),EffectName[],IFERROR(MATCH(UI!$B$1,EffectName[#Headers],0),2),FALSE),"")</f>
        <v/>
      </c>
      <c r="AA706" t="str">
        <f t="shared" si="76"/>
        <v/>
      </c>
      <c r="AB706">
        <v>0</v>
      </c>
      <c r="AC706" t="str">
        <f>IF(AB706&lt;&gt;0,VLOOKUP(VLOOKUP(AB706,Tbl_Effect[],3,FALSE),EffectName[],IFERROR(MATCH(UI!$B$1,EffectName[#Headers],0),2),FALSE),"")</f>
        <v/>
      </c>
    </row>
    <row r="707" spans="8:29" x14ac:dyDescent="0.4">
      <c r="H707" t="str">
        <f t="shared" ref="H707:H770" si="77">IF(VALUE(I707)&lt;&gt;0,I707&amp;"-"&amp;K707&amp;" ("&amp;J707&amp;")","")</f>
        <v>2003000-細膩的火燃暗淡情景 (紅)</v>
      </c>
      <c r="I707">
        <v>2003000</v>
      </c>
      <c r="J707" t="str">
        <f>_xlfn.IFNA(IF(I707&lt;&gt;0,VLOOKUP(VLOOKUP(I707,Tbl_Equip[],2,FALSE),Tbl_Color[],IFERROR(MATCH(UI!$B$1,Tbl_Color[#Headers],0),2),FALSE),""),"Unset")</f>
        <v>紅</v>
      </c>
      <c r="K707" t="str">
        <f>_xlfn.IFNA(IF(I707&lt;&gt;0,VLOOKUP(I707,ItemText[],IFERROR(MATCH(UI!$B$1,ItemText[#Headers],0),2),FALSE),""),"Unset")</f>
        <v>細膩的火燃暗淡情景</v>
      </c>
      <c r="L707" t="str">
        <f t="shared" ref="L707:L770" si="78">IF(VALUE(M707)=0,"",M707&amp;"-"&amp;N707)</f>
        <v/>
      </c>
      <c r="M707">
        <v>0</v>
      </c>
      <c r="N707" t="str">
        <f>IF(VALUE(M707)=0,"",VLOOKUP(VLOOKUP(M707,Tbl_Effect[],3,FALSE),EffectName[],IFERROR(MATCH(UI!$B$1,EffectName[#Headers],0),2),FALSE))</f>
        <v/>
      </c>
      <c r="O707" t="str">
        <f t="shared" ref="O707:O770" si="79">IF(VALUE(P707)=0,"",P707&amp;"-"&amp;Q707)</f>
        <v/>
      </c>
      <c r="P707">
        <v>0</v>
      </c>
      <c r="Q707" t="str">
        <f>IF(VALUE(P707)=0,"",VLOOKUP(VLOOKUP(P707,Tbl_Effect[],3,FALSE),EffectName[],IFERROR(MATCH(UI!$B$1,EffectName[#Headers],0),2),FALSE))</f>
        <v/>
      </c>
      <c r="R707" t="str">
        <f t="shared" ref="R707:R770" si="80">IF(VALUE(S707)=0,"",S707&amp;"-"&amp;T707)</f>
        <v/>
      </c>
      <c r="S707">
        <v>0</v>
      </c>
      <c r="T707" t="str">
        <f>IF(VALUE(S707)=0,"",VLOOKUP(VLOOKUP(S707,Tbl_Effect[],3,FALSE),EffectName[],IFERROR(MATCH(UI!$B$1,EffectName[#Headers],0),2),FALSE))</f>
        <v/>
      </c>
      <c r="U707" t="str">
        <f t="shared" ref="U707:U770" si="81">IF(VALUE(V707)=0,"",V707&amp;"-"&amp;W707)</f>
        <v/>
      </c>
      <c r="V707">
        <v>0</v>
      </c>
      <c r="W707" t="str">
        <f>IF(V707&lt;&gt;0,VLOOKUP(VLOOKUP(V707,Tbl_Effect[],3,FALSE),EffectName[],IFERROR(MATCH(UI!$B$1,EffectName[#Headers],0),2),FALSE),"")</f>
        <v/>
      </c>
      <c r="X707" t="str">
        <f t="shared" ref="X707:X770" si="82">IF(VALUE(Y707)=0,"",Y707&amp;"-"&amp;Z707)</f>
        <v/>
      </c>
      <c r="Y707">
        <v>0</v>
      </c>
      <c r="Z707" t="str">
        <f>IF(Y707&lt;&gt;0,VLOOKUP(VLOOKUP(Y707,Tbl_Effect[],3,FALSE),EffectName[],IFERROR(MATCH(UI!$B$1,EffectName[#Headers],0),2),FALSE),"")</f>
        <v/>
      </c>
      <c r="AA707" t="str">
        <f t="shared" ref="AA707:AA770" si="83">IF(VALUE(AB707)=0,"",AB707&amp;"-"&amp;AC707)</f>
        <v/>
      </c>
      <c r="AB707">
        <v>0</v>
      </c>
      <c r="AC707" t="str">
        <f>IF(AB707&lt;&gt;0,VLOOKUP(VLOOKUP(AB707,Tbl_Effect[],3,FALSE),EffectName[],IFERROR(MATCH(UI!$B$1,EffectName[#Headers],0),2),FALSE),"")</f>
        <v/>
      </c>
    </row>
    <row r="708" spans="8:29" x14ac:dyDescent="0.4">
      <c r="H708" t="str">
        <f t="shared" si="77"/>
        <v>2003001-端正的火燃暗淡情景 (紅)</v>
      </c>
      <c r="I708">
        <v>2003001</v>
      </c>
      <c r="J708" t="str">
        <f>_xlfn.IFNA(IF(I708&lt;&gt;0,VLOOKUP(VLOOKUP(I708,Tbl_Equip[],2,FALSE),Tbl_Color[],IFERROR(MATCH(UI!$B$1,Tbl_Color[#Headers],0),2),FALSE),""),"Unset")</f>
        <v>紅</v>
      </c>
      <c r="K708" t="str">
        <f>_xlfn.IFNA(IF(I708&lt;&gt;0,VLOOKUP(I708,ItemText[],IFERROR(MATCH(UI!$B$1,ItemText[#Headers],0),2),FALSE),""),"Unset")</f>
        <v>端正的火燃暗淡情景</v>
      </c>
      <c r="L708" t="str">
        <f t="shared" si="78"/>
        <v/>
      </c>
      <c r="M708">
        <v>0</v>
      </c>
      <c r="N708" t="str">
        <f>IF(VALUE(M708)=0,"",VLOOKUP(VLOOKUP(M708,Tbl_Effect[],3,FALSE),EffectName[],IFERROR(MATCH(UI!$B$1,EffectName[#Headers],0),2),FALSE))</f>
        <v/>
      </c>
      <c r="O708" t="str">
        <f t="shared" si="79"/>
        <v/>
      </c>
      <c r="P708">
        <v>0</v>
      </c>
      <c r="Q708" t="str">
        <f>IF(VALUE(P708)=0,"",VLOOKUP(VLOOKUP(P708,Tbl_Effect[],3,FALSE),EffectName[],IFERROR(MATCH(UI!$B$1,EffectName[#Headers],0),2),FALSE))</f>
        <v/>
      </c>
      <c r="R708" t="str">
        <f t="shared" si="80"/>
        <v/>
      </c>
      <c r="S708">
        <v>0</v>
      </c>
      <c r="T708" t="str">
        <f>IF(VALUE(S708)=0,"",VLOOKUP(VLOOKUP(S708,Tbl_Effect[],3,FALSE),EffectName[],IFERROR(MATCH(UI!$B$1,EffectName[#Headers],0),2),FALSE))</f>
        <v/>
      </c>
      <c r="U708" t="str">
        <f t="shared" si="81"/>
        <v/>
      </c>
      <c r="V708">
        <v>0</v>
      </c>
      <c r="W708" t="str">
        <f>IF(V708&lt;&gt;0,VLOOKUP(VLOOKUP(V708,Tbl_Effect[],3,FALSE),EffectName[],IFERROR(MATCH(UI!$B$1,EffectName[#Headers],0),2),FALSE),"")</f>
        <v/>
      </c>
      <c r="X708" t="str">
        <f t="shared" si="82"/>
        <v/>
      </c>
      <c r="Y708">
        <v>0</v>
      </c>
      <c r="Z708" t="str">
        <f>IF(Y708&lt;&gt;0,VLOOKUP(VLOOKUP(Y708,Tbl_Effect[],3,FALSE),EffectName[],IFERROR(MATCH(UI!$B$1,EffectName[#Headers],0),2),FALSE),"")</f>
        <v/>
      </c>
      <c r="AA708" t="str">
        <f t="shared" si="83"/>
        <v/>
      </c>
      <c r="AB708">
        <v>0</v>
      </c>
      <c r="AC708" t="str">
        <f>IF(AB708&lt;&gt;0,VLOOKUP(VLOOKUP(AB708,Tbl_Effect[],3,FALSE),EffectName[],IFERROR(MATCH(UI!$B$1,EffectName[#Headers],0),2),FALSE),"")</f>
        <v/>
      </c>
    </row>
    <row r="709" spans="8:29" x14ac:dyDescent="0.4">
      <c r="H709" t="str">
        <f t="shared" si="77"/>
        <v>2003002-遼闊的火燃暗淡情景 (紅)</v>
      </c>
      <c r="I709">
        <v>2003002</v>
      </c>
      <c r="J709" t="str">
        <f>_xlfn.IFNA(IF(I709&lt;&gt;0,VLOOKUP(VLOOKUP(I709,Tbl_Equip[],2,FALSE),Tbl_Color[],IFERROR(MATCH(UI!$B$1,Tbl_Color[#Headers],0),2),FALSE),""),"Unset")</f>
        <v>紅</v>
      </c>
      <c r="K709" t="str">
        <f>_xlfn.IFNA(IF(I709&lt;&gt;0,VLOOKUP(I709,ItemText[],IFERROR(MATCH(UI!$B$1,ItemText[#Headers],0),2),FALSE),""),"Unset")</f>
        <v>遼闊的火燃暗淡情景</v>
      </c>
      <c r="L709" t="str">
        <f t="shared" si="78"/>
        <v/>
      </c>
      <c r="M709">
        <v>0</v>
      </c>
      <c r="N709" t="str">
        <f>IF(VALUE(M709)=0,"",VLOOKUP(VLOOKUP(M709,Tbl_Effect[],3,FALSE),EffectName[],IFERROR(MATCH(UI!$B$1,EffectName[#Headers],0),2),FALSE))</f>
        <v/>
      </c>
      <c r="O709" t="str">
        <f t="shared" si="79"/>
        <v/>
      </c>
      <c r="P709">
        <v>0</v>
      </c>
      <c r="Q709" t="str">
        <f>IF(VALUE(P709)=0,"",VLOOKUP(VLOOKUP(P709,Tbl_Effect[],3,FALSE),EffectName[],IFERROR(MATCH(UI!$B$1,EffectName[#Headers],0),2),FALSE))</f>
        <v/>
      </c>
      <c r="R709" t="str">
        <f t="shared" si="80"/>
        <v/>
      </c>
      <c r="S709">
        <v>0</v>
      </c>
      <c r="T709" t="str">
        <f>IF(VALUE(S709)=0,"",VLOOKUP(VLOOKUP(S709,Tbl_Effect[],3,FALSE),EffectName[],IFERROR(MATCH(UI!$B$1,EffectName[#Headers],0),2),FALSE))</f>
        <v/>
      </c>
      <c r="U709" t="str">
        <f t="shared" si="81"/>
        <v/>
      </c>
      <c r="V709">
        <v>0</v>
      </c>
      <c r="W709" t="str">
        <f>IF(V709&lt;&gt;0,VLOOKUP(VLOOKUP(V709,Tbl_Effect[],3,FALSE),EffectName[],IFERROR(MATCH(UI!$B$1,EffectName[#Headers],0),2),FALSE),"")</f>
        <v/>
      </c>
      <c r="X709" t="str">
        <f t="shared" si="82"/>
        <v/>
      </c>
      <c r="Y709">
        <v>0</v>
      </c>
      <c r="Z709" t="str">
        <f>IF(Y709&lt;&gt;0,VLOOKUP(VLOOKUP(Y709,Tbl_Effect[],3,FALSE),EffectName[],IFERROR(MATCH(UI!$B$1,EffectName[#Headers],0),2),FALSE),"")</f>
        <v/>
      </c>
      <c r="AA709" t="str">
        <f t="shared" si="83"/>
        <v/>
      </c>
      <c r="AB709">
        <v>0</v>
      </c>
      <c r="AC709" t="str">
        <f>IF(AB709&lt;&gt;0,VLOOKUP(VLOOKUP(AB709,Tbl_Effect[],3,FALSE),EffectName[],IFERROR(MATCH(UI!$B$1,EffectName[#Headers],0),2),FALSE),"")</f>
        <v/>
      </c>
    </row>
    <row r="710" spans="8:29" x14ac:dyDescent="0.4">
      <c r="H710" t="str">
        <f t="shared" si="77"/>
        <v>2003010-細膩的火燃暗淡情景 (紅)</v>
      </c>
      <c r="I710">
        <v>2003010</v>
      </c>
      <c r="J710" t="str">
        <f>_xlfn.IFNA(IF(I710&lt;&gt;0,VLOOKUP(VLOOKUP(I710,Tbl_Equip[],2,FALSE),Tbl_Color[],IFERROR(MATCH(UI!$B$1,Tbl_Color[#Headers],0),2),FALSE),""),"Unset")</f>
        <v>紅</v>
      </c>
      <c r="K710" t="str">
        <f>_xlfn.IFNA(IF(I710&lt;&gt;0,VLOOKUP(I710,ItemText[],IFERROR(MATCH(UI!$B$1,ItemText[#Headers],0),2),FALSE),""),"Unset")</f>
        <v>細膩的火燃暗淡情景</v>
      </c>
      <c r="L710" t="str">
        <f t="shared" si="78"/>
        <v/>
      </c>
      <c r="M710">
        <v>0</v>
      </c>
      <c r="N710" t="str">
        <f>IF(VALUE(M710)=0,"",VLOOKUP(VLOOKUP(M710,Tbl_Effect[],3,FALSE),EffectName[],IFERROR(MATCH(UI!$B$1,EffectName[#Headers],0),2),FALSE))</f>
        <v/>
      </c>
      <c r="O710" t="str">
        <f t="shared" si="79"/>
        <v/>
      </c>
      <c r="P710">
        <v>0</v>
      </c>
      <c r="Q710" t="str">
        <f>IF(VALUE(P710)=0,"",VLOOKUP(VLOOKUP(P710,Tbl_Effect[],3,FALSE),EffectName[],IFERROR(MATCH(UI!$B$1,EffectName[#Headers],0),2),FALSE))</f>
        <v/>
      </c>
      <c r="R710" t="str">
        <f t="shared" si="80"/>
        <v/>
      </c>
      <c r="S710">
        <v>0</v>
      </c>
      <c r="T710" t="str">
        <f>IF(VALUE(S710)=0,"",VLOOKUP(VLOOKUP(S710,Tbl_Effect[],3,FALSE),EffectName[],IFERROR(MATCH(UI!$B$1,EffectName[#Headers],0),2),FALSE))</f>
        <v/>
      </c>
      <c r="U710" t="str">
        <f t="shared" si="81"/>
        <v/>
      </c>
      <c r="V710">
        <v>0</v>
      </c>
      <c r="W710" t="str">
        <f>IF(V710&lt;&gt;0,VLOOKUP(VLOOKUP(V710,Tbl_Effect[],3,FALSE),EffectName[],IFERROR(MATCH(UI!$B$1,EffectName[#Headers],0),2),FALSE),"")</f>
        <v/>
      </c>
      <c r="X710" t="str">
        <f t="shared" si="82"/>
        <v/>
      </c>
      <c r="Y710">
        <v>0</v>
      </c>
      <c r="Z710" t="str">
        <f>IF(Y710&lt;&gt;0,VLOOKUP(VLOOKUP(Y710,Tbl_Effect[],3,FALSE),EffectName[],IFERROR(MATCH(UI!$B$1,EffectName[#Headers],0),2),FALSE),"")</f>
        <v/>
      </c>
      <c r="AA710" t="str">
        <f t="shared" si="83"/>
        <v/>
      </c>
      <c r="AB710">
        <v>0</v>
      </c>
      <c r="AC710" t="str">
        <f>IF(AB710&lt;&gt;0,VLOOKUP(VLOOKUP(AB710,Tbl_Effect[],3,FALSE),EffectName[],IFERROR(MATCH(UI!$B$1,EffectName[#Headers],0),2),FALSE),"")</f>
        <v/>
      </c>
    </row>
    <row r="711" spans="8:29" x14ac:dyDescent="0.4">
      <c r="H711" t="str">
        <f t="shared" si="77"/>
        <v>2003011-端正的火燃暗淡情景 (紅)</v>
      </c>
      <c r="I711">
        <v>2003011</v>
      </c>
      <c r="J711" t="str">
        <f>_xlfn.IFNA(IF(I711&lt;&gt;0,VLOOKUP(VLOOKUP(I711,Tbl_Equip[],2,FALSE),Tbl_Color[],IFERROR(MATCH(UI!$B$1,Tbl_Color[#Headers],0),2),FALSE),""),"Unset")</f>
        <v>紅</v>
      </c>
      <c r="K711" t="str">
        <f>_xlfn.IFNA(IF(I711&lt;&gt;0,VLOOKUP(I711,ItemText[],IFERROR(MATCH(UI!$B$1,ItemText[#Headers],0),2),FALSE),""),"Unset")</f>
        <v>端正的火燃暗淡情景</v>
      </c>
      <c r="L711" t="str">
        <f t="shared" si="78"/>
        <v/>
      </c>
      <c r="M711">
        <v>0</v>
      </c>
      <c r="N711" t="str">
        <f>IF(VALUE(M711)=0,"",VLOOKUP(VLOOKUP(M711,Tbl_Effect[],3,FALSE),EffectName[],IFERROR(MATCH(UI!$B$1,EffectName[#Headers],0),2),FALSE))</f>
        <v/>
      </c>
      <c r="O711" t="str">
        <f t="shared" si="79"/>
        <v/>
      </c>
      <c r="P711">
        <v>0</v>
      </c>
      <c r="Q711" t="str">
        <f>IF(VALUE(P711)=0,"",VLOOKUP(VLOOKUP(P711,Tbl_Effect[],3,FALSE),EffectName[],IFERROR(MATCH(UI!$B$1,EffectName[#Headers],0),2),FALSE))</f>
        <v/>
      </c>
      <c r="R711" t="str">
        <f t="shared" si="80"/>
        <v/>
      </c>
      <c r="S711">
        <v>0</v>
      </c>
      <c r="T711" t="str">
        <f>IF(VALUE(S711)=0,"",VLOOKUP(VLOOKUP(S711,Tbl_Effect[],3,FALSE),EffectName[],IFERROR(MATCH(UI!$B$1,EffectName[#Headers],0),2),FALSE))</f>
        <v/>
      </c>
      <c r="U711" t="str">
        <f t="shared" si="81"/>
        <v/>
      </c>
      <c r="V711">
        <v>0</v>
      </c>
      <c r="W711" t="str">
        <f>IF(V711&lt;&gt;0,VLOOKUP(VLOOKUP(V711,Tbl_Effect[],3,FALSE),EffectName[],IFERROR(MATCH(UI!$B$1,EffectName[#Headers],0),2),FALSE),"")</f>
        <v/>
      </c>
      <c r="X711" t="str">
        <f t="shared" si="82"/>
        <v/>
      </c>
      <c r="Y711">
        <v>0</v>
      </c>
      <c r="Z711" t="str">
        <f>IF(Y711&lt;&gt;0,VLOOKUP(VLOOKUP(Y711,Tbl_Effect[],3,FALSE),EffectName[],IFERROR(MATCH(UI!$B$1,EffectName[#Headers],0),2),FALSE),"")</f>
        <v/>
      </c>
      <c r="AA711" t="str">
        <f t="shared" si="83"/>
        <v/>
      </c>
      <c r="AB711">
        <v>0</v>
      </c>
      <c r="AC711" t="str">
        <f>IF(AB711&lt;&gt;0,VLOOKUP(VLOOKUP(AB711,Tbl_Effect[],3,FALSE),EffectName[],IFERROR(MATCH(UI!$B$1,EffectName[#Headers],0),2),FALSE),"")</f>
        <v/>
      </c>
    </row>
    <row r="712" spans="8:29" x14ac:dyDescent="0.4">
      <c r="H712" t="str">
        <f t="shared" si="77"/>
        <v>2003012-遼闊的火燃暗淡情景 (紅)</v>
      </c>
      <c r="I712">
        <v>2003012</v>
      </c>
      <c r="J712" t="str">
        <f>_xlfn.IFNA(IF(I712&lt;&gt;0,VLOOKUP(VLOOKUP(I712,Tbl_Equip[],2,FALSE),Tbl_Color[],IFERROR(MATCH(UI!$B$1,Tbl_Color[#Headers],0),2),FALSE),""),"Unset")</f>
        <v>紅</v>
      </c>
      <c r="K712" t="str">
        <f>_xlfn.IFNA(IF(I712&lt;&gt;0,VLOOKUP(I712,ItemText[],IFERROR(MATCH(UI!$B$1,ItemText[#Headers],0),2),FALSE),""),"Unset")</f>
        <v>遼闊的火燃暗淡情景</v>
      </c>
      <c r="L712" t="str">
        <f t="shared" si="78"/>
        <v/>
      </c>
      <c r="M712">
        <v>0</v>
      </c>
      <c r="N712" t="str">
        <f>IF(VALUE(M712)=0,"",VLOOKUP(VLOOKUP(M712,Tbl_Effect[],3,FALSE),EffectName[],IFERROR(MATCH(UI!$B$1,EffectName[#Headers],0),2),FALSE))</f>
        <v/>
      </c>
      <c r="O712" t="str">
        <f t="shared" si="79"/>
        <v/>
      </c>
      <c r="P712">
        <v>0</v>
      </c>
      <c r="Q712" t="str">
        <f>IF(VALUE(P712)=0,"",VLOOKUP(VLOOKUP(P712,Tbl_Effect[],3,FALSE),EffectName[],IFERROR(MATCH(UI!$B$1,EffectName[#Headers],0),2),FALSE))</f>
        <v/>
      </c>
      <c r="R712" t="str">
        <f t="shared" si="80"/>
        <v/>
      </c>
      <c r="S712">
        <v>0</v>
      </c>
      <c r="T712" t="str">
        <f>IF(VALUE(S712)=0,"",VLOOKUP(VLOOKUP(S712,Tbl_Effect[],3,FALSE),EffectName[],IFERROR(MATCH(UI!$B$1,EffectName[#Headers],0),2),FALSE))</f>
        <v/>
      </c>
      <c r="U712" t="str">
        <f t="shared" si="81"/>
        <v/>
      </c>
      <c r="V712">
        <v>0</v>
      </c>
      <c r="W712" t="str">
        <f>IF(V712&lt;&gt;0,VLOOKUP(VLOOKUP(V712,Tbl_Effect[],3,FALSE),EffectName[],IFERROR(MATCH(UI!$B$1,EffectName[#Headers],0),2),FALSE),"")</f>
        <v/>
      </c>
      <c r="X712" t="str">
        <f t="shared" si="82"/>
        <v/>
      </c>
      <c r="Y712">
        <v>0</v>
      </c>
      <c r="Z712" t="str">
        <f>IF(Y712&lt;&gt;0,VLOOKUP(VLOOKUP(Y712,Tbl_Effect[],3,FALSE),EffectName[],IFERROR(MATCH(UI!$B$1,EffectName[#Headers],0),2),FALSE),"")</f>
        <v/>
      </c>
      <c r="AA712" t="str">
        <f t="shared" si="83"/>
        <v/>
      </c>
      <c r="AB712">
        <v>0</v>
      </c>
      <c r="AC712" t="str">
        <f>IF(AB712&lt;&gt;0,VLOOKUP(VLOOKUP(AB712,Tbl_Effect[],3,FALSE),EffectName[],IFERROR(MATCH(UI!$B$1,EffectName[#Headers],0),2),FALSE),"")</f>
        <v/>
      </c>
    </row>
    <row r="713" spans="8:29" x14ac:dyDescent="0.4">
      <c r="H713" t="str">
        <f t="shared" si="77"/>
        <v>2003020-細膩的火燃暗淡情景 (紅)</v>
      </c>
      <c r="I713">
        <v>2003020</v>
      </c>
      <c r="J713" t="str">
        <f>_xlfn.IFNA(IF(I713&lt;&gt;0,VLOOKUP(VLOOKUP(I713,Tbl_Equip[],2,FALSE),Tbl_Color[],IFERROR(MATCH(UI!$B$1,Tbl_Color[#Headers],0),2),FALSE),""),"Unset")</f>
        <v>紅</v>
      </c>
      <c r="K713" t="str">
        <f>_xlfn.IFNA(IF(I713&lt;&gt;0,VLOOKUP(I713,ItemText[],IFERROR(MATCH(UI!$B$1,ItemText[#Headers],0),2),FALSE),""),"Unset")</f>
        <v>細膩的火燃暗淡情景</v>
      </c>
      <c r="L713" t="str">
        <f t="shared" si="78"/>
        <v/>
      </c>
      <c r="M713">
        <v>0</v>
      </c>
      <c r="N713" t="str">
        <f>IF(VALUE(M713)=0,"",VLOOKUP(VLOOKUP(M713,Tbl_Effect[],3,FALSE),EffectName[],IFERROR(MATCH(UI!$B$1,EffectName[#Headers],0),2),FALSE))</f>
        <v/>
      </c>
      <c r="O713" t="str">
        <f t="shared" si="79"/>
        <v/>
      </c>
      <c r="P713">
        <v>0</v>
      </c>
      <c r="Q713" t="str">
        <f>IF(VALUE(P713)=0,"",VLOOKUP(VLOOKUP(P713,Tbl_Effect[],3,FALSE),EffectName[],IFERROR(MATCH(UI!$B$1,EffectName[#Headers],0),2),FALSE))</f>
        <v/>
      </c>
      <c r="R713" t="str">
        <f t="shared" si="80"/>
        <v/>
      </c>
      <c r="S713">
        <v>0</v>
      </c>
      <c r="T713" t="str">
        <f>IF(VALUE(S713)=0,"",VLOOKUP(VLOOKUP(S713,Tbl_Effect[],3,FALSE),EffectName[],IFERROR(MATCH(UI!$B$1,EffectName[#Headers],0),2),FALSE))</f>
        <v/>
      </c>
      <c r="U713" t="str">
        <f t="shared" si="81"/>
        <v/>
      </c>
      <c r="V713">
        <v>0</v>
      </c>
      <c r="W713" t="str">
        <f>IF(V713&lt;&gt;0,VLOOKUP(VLOOKUP(V713,Tbl_Effect[],3,FALSE),EffectName[],IFERROR(MATCH(UI!$B$1,EffectName[#Headers],0),2),FALSE),"")</f>
        <v/>
      </c>
      <c r="X713" t="str">
        <f t="shared" si="82"/>
        <v/>
      </c>
      <c r="Y713">
        <v>0</v>
      </c>
      <c r="Z713" t="str">
        <f>IF(Y713&lt;&gt;0,VLOOKUP(VLOOKUP(Y713,Tbl_Effect[],3,FALSE),EffectName[],IFERROR(MATCH(UI!$B$1,EffectName[#Headers],0),2),FALSE),"")</f>
        <v/>
      </c>
      <c r="AA713" t="str">
        <f t="shared" si="83"/>
        <v/>
      </c>
      <c r="AB713">
        <v>0</v>
      </c>
      <c r="AC713" t="str">
        <f>IF(AB713&lt;&gt;0,VLOOKUP(VLOOKUP(AB713,Tbl_Effect[],3,FALSE),EffectName[],IFERROR(MATCH(UI!$B$1,EffectName[#Headers],0),2),FALSE),"")</f>
        <v/>
      </c>
    </row>
    <row r="714" spans="8:29" x14ac:dyDescent="0.4">
      <c r="H714" t="str">
        <f t="shared" si="77"/>
        <v>2003021-端正的火燃暗淡情景 (紅)</v>
      </c>
      <c r="I714">
        <v>2003021</v>
      </c>
      <c r="J714" t="str">
        <f>_xlfn.IFNA(IF(I714&lt;&gt;0,VLOOKUP(VLOOKUP(I714,Tbl_Equip[],2,FALSE),Tbl_Color[],IFERROR(MATCH(UI!$B$1,Tbl_Color[#Headers],0),2),FALSE),""),"Unset")</f>
        <v>紅</v>
      </c>
      <c r="K714" t="str">
        <f>_xlfn.IFNA(IF(I714&lt;&gt;0,VLOOKUP(I714,ItemText[],IFERROR(MATCH(UI!$B$1,ItemText[#Headers],0),2),FALSE),""),"Unset")</f>
        <v>端正的火燃暗淡情景</v>
      </c>
      <c r="L714" t="str">
        <f t="shared" si="78"/>
        <v/>
      </c>
      <c r="M714">
        <v>0</v>
      </c>
      <c r="N714" t="str">
        <f>IF(VALUE(M714)=0,"",VLOOKUP(VLOOKUP(M714,Tbl_Effect[],3,FALSE),EffectName[],IFERROR(MATCH(UI!$B$1,EffectName[#Headers],0),2),FALSE))</f>
        <v/>
      </c>
      <c r="O714" t="str">
        <f t="shared" si="79"/>
        <v/>
      </c>
      <c r="P714">
        <v>0</v>
      </c>
      <c r="Q714" t="str">
        <f>IF(VALUE(P714)=0,"",VLOOKUP(VLOOKUP(P714,Tbl_Effect[],3,FALSE),EffectName[],IFERROR(MATCH(UI!$B$1,EffectName[#Headers],0),2),FALSE))</f>
        <v/>
      </c>
      <c r="R714" t="str">
        <f t="shared" si="80"/>
        <v/>
      </c>
      <c r="S714">
        <v>0</v>
      </c>
      <c r="T714" t="str">
        <f>IF(VALUE(S714)=0,"",VLOOKUP(VLOOKUP(S714,Tbl_Effect[],3,FALSE),EffectName[],IFERROR(MATCH(UI!$B$1,EffectName[#Headers],0),2),FALSE))</f>
        <v/>
      </c>
      <c r="U714" t="str">
        <f t="shared" si="81"/>
        <v/>
      </c>
      <c r="V714">
        <v>0</v>
      </c>
      <c r="W714" t="str">
        <f>IF(V714&lt;&gt;0,VLOOKUP(VLOOKUP(V714,Tbl_Effect[],3,FALSE),EffectName[],IFERROR(MATCH(UI!$B$1,EffectName[#Headers],0),2),FALSE),"")</f>
        <v/>
      </c>
      <c r="X714" t="str">
        <f t="shared" si="82"/>
        <v/>
      </c>
      <c r="Y714">
        <v>0</v>
      </c>
      <c r="Z714" t="str">
        <f>IF(Y714&lt;&gt;0,VLOOKUP(VLOOKUP(Y714,Tbl_Effect[],3,FALSE),EffectName[],IFERROR(MATCH(UI!$B$1,EffectName[#Headers],0),2),FALSE),"")</f>
        <v/>
      </c>
      <c r="AA714" t="str">
        <f t="shared" si="83"/>
        <v/>
      </c>
      <c r="AB714">
        <v>0</v>
      </c>
      <c r="AC714" t="str">
        <f>IF(AB714&lt;&gt;0,VLOOKUP(VLOOKUP(AB714,Tbl_Effect[],3,FALSE),EffectName[],IFERROR(MATCH(UI!$B$1,EffectName[#Headers],0),2),FALSE),"")</f>
        <v/>
      </c>
    </row>
    <row r="715" spans="8:29" x14ac:dyDescent="0.4">
      <c r="H715" t="str">
        <f t="shared" si="77"/>
        <v>2003022-遼闊的火燃暗淡情景 (紅)</v>
      </c>
      <c r="I715">
        <v>2003022</v>
      </c>
      <c r="J715" t="str">
        <f>_xlfn.IFNA(IF(I715&lt;&gt;0,VLOOKUP(VLOOKUP(I715,Tbl_Equip[],2,FALSE),Tbl_Color[],IFERROR(MATCH(UI!$B$1,Tbl_Color[#Headers],0),2),FALSE),""),"Unset")</f>
        <v>紅</v>
      </c>
      <c r="K715" t="str">
        <f>_xlfn.IFNA(IF(I715&lt;&gt;0,VLOOKUP(I715,ItemText[],IFERROR(MATCH(UI!$B$1,ItemText[#Headers],0),2),FALSE),""),"Unset")</f>
        <v>遼闊的火燃暗淡情景</v>
      </c>
      <c r="L715" t="str">
        <f t="shared" si="78"/>
        <v/>
      </c>
      <c r="M715">
        <v>0</v>
      </c>
      <c r="N715" t="str">
        <f>IF(VALUE(M715)=0,"",VLOOKUP(VLOOKUP(M715,Tbl_Effect[],3,FALSE),EffectName[],IFERROR(MATCH(UI!$B$1,EffectName[#Headers],0),2),FALSE))</f>
        <v/>
      </c>
      <c r="O715" t="str">
        <f t="shared" si="79"/>
        <v/>
      </c>
      <c r="P715">
        <v>0</v>
      </c>
      <c r="Q715" t="str">
        <f>IF(VALUE(P715)=0,"",VLOOKUP(VLOOKUP(P715,Tbl_Effect[],3,FALSE),EffectName[],IFERROR(MATCH(UI!$B$1,EffectName[#Headers],0),2),FALSE))</f>
        <v/>
      </c>
      <c r="R715" t="str">
        <f t="shared" si="80"/>
        <v/>
      </c>
      <c r="S715">
        <v>0</v>
      </c>
      <c r="T715" t="str">
        <f>IF(VALUE(S715)=0,"",VLOOKUP(VLOOKUP(S715,Tbl_Effect[],3,FALSE),EffectName[],IFERROR(MATCH(UI!$B$1,EffectName[#Headers],0),2),FALSE))</f>
        <v/>
      </c>
      <c r="U715" t="str">
        <f t="shared" si="81"/>
        <v/>
      </c>
      <c r="V715">
        <v>0</v>
      </c>
      <c r="W715" t="str">
        <f>IF(V715&lt;&gt;0,VLOOKUP(VLOOKUP(V715,Tbl_Effect[],3,FALSE),EffectName[],IFERROR(MATCH(UI!$B$1,EffectName[#Headers],0),2),FALSE),"")</f>
        <v/>
      </c>
      <c r="X715" t="str">
        <f t="shared" si="82"/>
        <v/>
      </c>
      <c r="Y715">
        <v>0</v>
      </c>
      <c r="Z715" t="str">
        <f>IF(Y715&lt;&gt;0,VLOOKUP(VLOOKUP(Y715,Tbl_Effect[],3,FALSE),EffectName[],IFERROR(MATCH(UI!$B$1,EffectName[#Headers],0),2),FALSE),"")</f>
        <v/>
      </c>
      <c r="AA715" t="str">
        <f t="shared" si="83"/>
        <v/>
      </c>
      <c r="AB715">
        <v>0</v>
      </c>
      <c r="AC715" t="str">
        <f>IF(AB715&lt;&gt;0,VLOOKUP(VLOOKUP(AB715,Tbl_Effect[],3,FALSE),EffectName[],IFERROR(MATCH(UI!$B$1,EffectName[#Headers],0),2),FALSE),"")</f>
        <v/>
      </c>
    </row>
    <row r="716" spans="8:29" x14ac:dyDescent="0.4">
      <c r="H716" t="str">
        <f t="shared" si="77"/>
        <v>2003100-細膩的水滴暗淡情景 (藍)</v>
      </c>
      <c r="I716">
        <v>2003100</v>
      </c>
      <c r="J716" t="str">
        <f>_xlfn.IFNA(IF(I716&lt;&gt;0,VLOOKUP(VLOOKUP(I716,Tbl_Equip[],2,FALSE),Tbl_Color[],IFERROR(MATCH(UI!$B$1,Tbl_Color[#Headers],0),2),FALSE),""),"Unset")</f>
        <v>藍</v>
      </c>
      <c r="K716" t="str">
        <f>_xlfn.IFNA(IF(I716&lt;&gt;0,VLOOKUP(I716,ItemText[],IFERROR(MATCH(UI!$B$1,ItemText[#Headers],0),2),FALSE),""),"Unset")</f>
        <v>細膩的水滴暗淡情景</v>
      </c>
      <c r="L716" t="str">
        <f t="shared" si="78"/>
        <v/>
      </c>
      <c r="M716">
        <v>0</v>
      </c>
      <c r="N716" t="str">
        <f>IF(VALUE(M716)=0,"",VLOOKUP(VLOOKUP(M716,Tbl_Effect[],3,FALSE),EffectName[],IFERROR(MATCH(UI!$B$1,EffectName[#Headers],0),2),FALSE))</f>
        <v/>
      </c>
      <c r="O716" t="str">
        <f t="shared" si="79"/>
        <v/>
      </c>
      <c r="P716">
        <v>0</v>
      </c>
      <c r="Q716" t="str">
        <f>IF(VALUE(P716)=0,"",VLOOKUP(VLOOKUP(P716,Tbl_Effect[],3,FALSE),EffectName[],IFERROR(MATCH(UI!$B$1,EffectName[#Headers],0),2),FALSE))</f>
        <v/>
      </c>
      <c r="R716" t="str">
        <f t="shared" si="80"/>
        <v/>
      </c>
      <c r="S716">
        <v>0</v>
      </c>
      <c r="T716" t="str">
        <f>IF(VALUE(S716)=0,"",VLOOKUP(VLOOKUP(S716,Tbl_Effect[],3,FALSE),EffectName[],IFERROR(MATCH(UI!$B$1,EffectName[#Headers],0),2),FALSE))</f>
        <v/>
      </c>
      <c r="U716" t="str">
        <f t="shared" si="81"/>
        <v/>
      </c>
      <c r="V716">
        <v>0</v>
      </c>
      <c r="W716" t="str">
        <f>IF(V716&lt;&gt;0,VLOOKUP(VLOOKUP(V716,Tbl_Effect[],3,FALSE),EffectName[],IFERROR(MATCH(UI!$B$1,EffectName[#Headers],0),2),FALSE),"")</f>
        <v/>
      </c>
      <c r="X716" t="str">
        <f t="shared" si="82"/>
        <v/>
      </c>
      <c r="Y716">
        <v>0</v>
      </c>
      <c r="Z716" t="str">
        <f>IF(Y716&lt;&gt;0,VLOOKUP(VLOOKUP(Y716,Tbl_Effect[],3,FALSE),EffectName[],IFERROR(MATCH(UI!$B$1,EffectName[#Headers],0),2),FALSE),"")</f>
        <v/>
      </c>
      <c r="AA716" t="str">
        <f t="shared" si="83"/>
        <v/>
      </c>
      <c r="AB716">
        <v>0</v>
      </c>
      <c r="AC716" t="str">
        <f>IF(AB716&lt;&gt;0,VLOOKUP(VLOOKUP(AB716,Tbl_Effect[],3,FALSE),EffectName[],IFERROR(MATCH(UI!$B$1,EffectName[#Headers],0),2),FALSE),"")</f>
        <v/>
      </c>
    </row>
    <row r="717" spans="8:29" x14ac:dyDescent="0.4">
      <c r="H717" t="str">
        <f t="shared" si="77"/>
        <v>2003101-端正的水滴暗淡情景 (藍)</v>
      </c>
      <c r="I717">
        <v>2003101</v>
      </c>
      <c r="J717" t="str">
        <f>_xlfn.IFNA(IF(I717&lt;&gt;0,VLOOKUP(VLOOKUP(I717,Tbl_Equip[],2,FALSE),Tbl_Color[],IFERROR(MATCH(UI!$B$1,Tbl_Color[#Headers],0),2),FALSE),""),"Unset")</f>
        <v>藍</v>
      </c>
      <c r="K717" t="str">
        <f>_xlfn.IFNA(IF(I717&lt;&gt;0,VLOOKUP(I717,ItemText[],IFERROR(MATCH(UI!$B$1,ItemText[#Headers],0),2),FALSE),""),"Unset")</f>
        <v>端正的水滴暗淡情景</v>
      </c>
      <c r="L717" t="str">
        <f t="shared" si="78"/>
        <v/>
      </c>
      <c r="M717">
        <v>0</v>
      </c>
      <c r="N717" t="str">
        <f>IF(VALUE(M717)=0,"",VLOOKUP(VLOOKUP(M717,Tbl_Effect[],3,FALSE),EffectName[],IFERROR(MATCH(UI!$B$1,EffectName[#Headers],0),2),FALSE))</f>
        <v/>
      </c>
      <c r="O717" t="str">
        <f t="shared" si="79"/>
        <v/>
      </c>
      <c r="P717">
        <v>0</v>
      </c>
      <c r="Q717" t="str">
        <f>IF(VALUE(P717)=0,"",VLOOKUP(VLOOKUP(P717,Tbl_Effect[],3,FALSE),EffectName[],IFERROR(MATCH(UI!$B$1,EffectName[#Headers],0),2),FALSE))</f>
        <v/>
      </c>
      <c r="R717" t="str">
        <f t="shared" si="80"/>
        <v/>
      </c>
      <c r="S717">
        <v>0</v>
      </c>
      <c r="T717" t="str">
        <f>IF(VALUE(S717)=0,"",VLOOKUP(VLOOKUP(S717,Tbl_Effect[],3,FALSE),EffectName[],IFERROR(MATCH(UI!$B$1,EffectName[#Headers],0),2),FALSE))</f>
        <v/>
      </c>
      <c r="U717" t="str">
        <f t="shared" si="81"/>
        <v/>
      </c>
      <c r="V717">
        <v>0</v>
      </c>
      <c r="W717" t="str">
        <f>IF(V717&lt;&gt;0,VLOOKUP(VLOOKUP(V717,Tbl_Effect[],3,FALSE),EffectName[],IFERROR(MATCH(UI!$B$1,EffectName[#Headers],0),2),FALSE),"")</f>
        <v/>
      </c>
      <c r="X717" t="str">
        <f t="shared" si="82"/>
        <v/>
      </c>
      <c r="Y717">
        <v>0</v>
      </c>
      <c r="Z717" t="str">
        <f>IF(Y717&lt;&gt;0,VLOOKUP(VLOOKUP(Y717,Tbl_Effect[],3,FALSE),EffectName[],IFERROR(MATCH(UI!$B$1,EffectName[#Headers],0),2),FALSE),"")</f>
        <v/>
      </c>
      <c r="AA717" t="str">
        <f t="shared" si="83"/>
        <v/>
      </c>
      <c r="AB717">
        <v>0</v>
      </c>
      <c r="AC717" t="str">
        <f>IF(AB717&lt;&gt;0,VLOOKUP(VLOOKUP(AB717,Tbl_Effect[],3,FALSE),EffectName[],IFERROR(MATCH(UI!$B$1,EffectName[#Headers],0),2),FALSE),"")</f>
        <v/>
      </c>
    </row>
    <row r="718" spans="8:29" x14ac:dyDescent="0.4">
      <c r="H718" t="str">
        <f t="shared" si="77"/>
        <v>2003102-遼闊的水滴暗淡情景 (藍)</v>
      </c>
      <c r="I718">
        <v>2003102</v>
      </c>
      <c r="J718" t="str">
        <f>_xlfn.IFNA(IF(I718&lt;&gt;0,VLOOKUP(VLOOKUP(I718,Tbl_Equip[],2,FALSE),Tbl_Color[],IFERROR(MATCH(UI!$B$1,Tbl_Color[#Headers],0),2),FALSE),""),"Unset")</f>
        <v>藍</v>
      </c>
      <c r="K718" t="str">
        <f>_xlfn.IFNA(IF(I718&lt;&gt;0,VLOOKUP(I718,ItemText[],IFERROR(MATCH(UI!$B$1,ItemText[#Headers],0),2),FALSE),""),"Unset")</f>
        <v>遼闊的水滴暗淡情景</v>
      </c>
      <c r="L718" t="str">
        <f t="shared" si="78"/>
        <v/>
      </c>
      <c r="M718">
        <v>0</v>
      </c>
      <c r="N718" t="str">
        <f>IF(VALUE(M718)=0,"",VLOOKUP(VLOOKUP(M718,Tbl_Effect[],3,FALSE),EffectName[],IFERROR(MATCH(UI!$B$1,EffectName[#Headers],0),2),FALSE))</f>
        <v/>
      </c>
      <c r="O718" t="str">
        <f t="shared" si="79"/>
        <v/>
      </c>
      <c r="P718">
        <v>0</v>
      </c>
      <c r="Q718" t="str">
        <f>IF(VALUE(P718)=0,"",VLOOKUP(VLOOKUP(P718,Tbl_Effect[],3,FALSE),EffectName[],IFERROR(MATCH(UI!$B$1,EffectName[#Headers],0),2),FALSE))</f>
        <v/>
      </c>
      <c r="R718" t="str">
        <f t="shared" si="80"/>
        <v/>
      </c>
      <c r="S718">
        <v>0</v>
      </c>
      <c r="T718" t="str">
        <f>IF(VALUE(S718)=0,"",VLOOKUP(VLOOKUP(S718,Tbl_Effect[],3,FALSE),EffectName[],IFERROR(MATCH(UI!$B$1,EffectName[#Headers],0),2),FALSE))</f>
        <v/>
      </c>
      <c r="U718" t="str">
        <f t="shared" si="81"/>
        <v/>
      </c>
      <c r="V718">
        <v>0</v>
      </c>
      <c r="W718" t="str">
        <f>IF(V718&lt;&gt;0,VLOOKUP(VLOOKUP(V718,Tbl_Effect[],3,FALSE),EffectName[],IFERROR(MATCH(UI!$B$1,EffectName[#Headers],0),2),FALSE),"")</f>
        <v/>
      </c>
      <c r="X718" t="str">
        <f t="shared" si="82"/>
        <v/>
      </c>
      <c r="Y718">
        <v>0</v>
      </c>
      <c r="Z718" t="str">
        <f>IF(Y718&lt;&gt;0,VLOOKUP(VLOOKUP(Y718,Tbl_Effect[],3,FALSE),EffectName[],IFERROR(MATCH(UI!$B$1,EffectName[#Headers],0),2),FALSE),"")</f>
        <v/>
      </c>
      <c r="AA718" t="str">
        <f t="shared" si="83"/>
        <v/>
      </c>
      <c r="AB718">
        <v>0</v>
      </c>
      <c r="AC718" t="str">
        <f>IF(AB718&lt;&gt;0,VLOOKUP(VLOOKUP(AB718,Tbl_Effect[],3,FALSE),EffectName[],IFERROR(MATCH(UI!$B$1,EffectName[#Headers],0),2),FALSE),"")</f>
        <v/>
      </c>
    </row>
    <row r="719" spans="8:29" x14ac:dyDescent="0.4">
      <c r="H719" t="str">
        <f t="shared" si="77"/>
        <v>2003110-細膩的水滴暗淡情景 (藍)</v>
      </c>
      <c r="I719">
        <v>2003110</v>
      </c>
      <c r="J719" t="str">
        <f>_xlfn.IFNA(IF(I719&lt;&gt;0,VLOOKUP(VLOOKUP(I719,Tbl_Equip[],2,FALSE),Tbl_Color[],IFERROR(MATCH(UI!$B$1,Tbl_Color[#Headers],0),2),FALSE),""),"Unset")</f>
        <v>藍</v>
      </c>
      <c r="K719" t="str">
        <f>_xlfn.IFNA(IF(I719&lt;&gt;0,VLOOKUP(I719,ItemText[],IFERROR(MATCH(UI!$B$1,ItemText[#Headers],0),2),FALSE),""),"Unset")</f>
        <v>細膩的水滴暗淡情景</v>
      </c>
      <c r="L719" t="str">
        <f t="shared" si="78"/>
        <v/>
      </c>
      <c r="M719">
        <v>0</v>
      </c>
      <c r="N719" t="str">
        <f>IF(VALUE(M719)=0,"",VLOOKUP(VLOOKUP(M719,Tbl_Effect[],3,FALSE),EffectName[],IFERROR(MATCH(UI!$B$1,EffectName[#Headers],0),2),FALSE))</f>
        <v/>
      </c>
      <c r="O719" t="str">
        <f t="shared" si="79"/>
        <v/>
      </c>
      <c r="P719">
        <v>0</v>
      </c>
      <c r="Q719" t="str">
        <f>IF(VALUE(P719)=0,"",VLOOKUP(VLOOKUP(P719,Tbl_Effect[],3,FALSE),EffectName[],IFERROR(MATCH(UI!$B$1,EffectName[#Headers],0),2),FALSE))</f>
        <v/>
      </c>
      <c r="R719" t="str">
        <f t="shared" si="80"/>
        <v/>
      </c>
      <c r="S719">
        <v>0</v>
      </c>
      <c r="T719" t="str">
        <f>IF(VALUE(S719)=0,"",VLOOKUP(VLOOKUP(S719,Tbl_Effect[],3,FALSE),EffectName[],IFERROR(MATCH(UI!$B$1,EffectName[#Headers],0),2),FALSE))</f>
        <v/>
      </c>
      <c r="U719" t="str">
        <f t="shared" si="81"/>
        <v/>
      </c>
      <c r="V719">
        <v>0</v>
      </c>
      <c r="W719" t="str">
        <f>IF(V719&lt;&gt;0,VLOOKUP(VLOOKUP(V719,Tbl_Effect[],3,FALSE),EffectName[],IFERROR(MATCH(UI!$B$1,EffectName[#Headers],0),2),FALSE),"")</f>
        <v/>
      </c>
      <c r="X719" t="str">
        <f t="shared" si="82"/>
        <v/>
      </c>
      <c r="Y719">
        <v>0</v>
      </c>
      <c r="Z719" t="str">
        <f>IF(Y719&lt;&gt;0,VLOOKUP(VLOOKUP(Y719,Tbl_Effect[],3,FALSE),EffectName[],IFERROR(MATCH(UI!$B$1,EffectName[#Headers],0),2),FALSE),"")</f>
        <v/>
      </c>
      <c r="AA719" t="str">
        <f t="shared" si="83"/>
        <v/>
      </c>
      <c r="AB719">
        <v>0</v>
      </c>
      <c r="AC719" t="str">
        <f>IF(AB719&lt;&gt;0,VLOOKUP(VLOOKUP(AB719,Tbl_Effect[],3,FALSE),EffectName[],IFERROR(MATCH(UI!$B$1,EffectName[#Headers],0),2),FALSE),"")</f>
        <v/>
      </c>
    </row>
    <row r="720" spans="8:29" x14ac:dyDescent="0.4">
      <c r="H720" t="str">
        <f t="shared" si="77"/>
        <v>2003111-端正的水滴暗淡情景 (藍)</v>
      </c>
      <c r="I720">
        <v>2003111</v>
      </c>
      <c r="J720" t="str">
        <f>_xlfn.IFNA(IF(I720&lt;&gt;0,VLOOKUP(VLOOKUP(I720,Tbl_Equip[],2,FALSE),Tbl_Color[],IFERROR(MATCH(UI!$B$1,Tbl_Color[#Headers],0),2),FALSE),""),"Unset")</f>
        <v>藍</v>
      </c>
      <c r="K720" t="str">
        <f>_xlfn.IFNA(IF(I720&lt;&gt;0,VLOOKUP(I720,ItemText[],IFERROR(MATCH(UI!$B$1,ItemText[#Headers],0),2),FALSE),""),"Unset")</f>
        <v>端正的水滴暗淡情景</v>
      </c>
      <c r="L720" t="str">
        <f t="shared" si="78"/>
        <v/>
      </c>
      <c r="M720">
        <v>0</v>
      </c>
      <c r="N720" t="str">
        <f>IF(VALUE(M720)=0,"",VLOOKUP(VLOOKUP(M720,Tbl_Effect[],3,FALSE),EffectName[],IFERROR(MATCH(UI!$B$1,EffectName[#Headers],0),2),FALSE))</f>
        <v/>
      </c>
      <c r="O720" t="str">
        <f t="shared" si="79"/>
        <v/>
      </c>
      <c r="P720">
        <v>0</v>
      </c>
      <c r="Q720" t="str">
        <f>IF(VALUE(P720)=0,"",VLOOKUP(VLOOKUP(P720,Tbl_Effect[],3,FALSE),EffectName[],IFERROR(MATCH(UI!$B$1,EffectName[#Headers],0),2),FALSE))</f>
        <v/>
      </c>
      <c r="R720" t="str">
        <f t="shared" si="80"/>
        <v/>
      </c>
      <c r="S720">
        <v>0</v>
      </c>
      <c r="T720" t="str">
        <f>IF(VALUE(S720)=0,"",VLOOKUP(VLOOKUP(S720,Tbl_Effect[],3,FALSE),EffectName[],IFERROR(MATCH(UI!$B$1,EffectName[#Headers],0),2),FALSE))</f>
        <v/>
      </c>
      <c r="U720" t="str">
        <f t="shared" si="81"/>
        <v/>
      </c>
      <c r="V720">
        <v>0</v>
      </c>
      <c r="W720" t="str">
        <f>IF(V720&lt;&gt;0,VLOOKUP(VLOOKUP(V720,Tbl_Effect[],3,FALSE),EffectName[],IFERROR(MATCH(UI!$B$1,EffectName[#Headers],0),2),FALSE),"")</f>
        <v/>
      </c>
      <c r="X720" t="str">
        <f t="shared" si="82"/>
        <v/>
      </c>
      <c r="Y720">
        <v>0</v>
      </c>
      <c r="Z720" t="str">
        <f>IF(Y720&lt;&gt;0,VLOOKUP(VLOOKUP(Y720,Tbl_Effect[],3,FALSE),EffectName[],IFERROR(MATCH(UI!$B$1,EffectName[#Headers],0),2),FALSE),"")</f>
        <v/>
      </c>
      <c r="AA720" t="str">
        <f t="shared" si="83"/>
        <v/>
      </c>
      <c r="AB720">
        <v>0</v>
      </c>
      <c r="AC720" t="str">
        <f>IF(AB720&lt;&gt;0,VLOOKUP(VLOOKUP(AB720,Tbl_Effect[],3,FALSE),EffectName[],IFERROR(MATCH(UI!$B$1,EffectName[#Headers],0),2),FALSE),"")</f>
        <v/>
      </c>
    </row>
    <row r="721" spans="8:29" x14ac:dyDescent="0.4">
      <c r="H721" t="str">
        <f t="shared" si="77"/>
        <v>2003112-遼闊的水滴暗淡情景 (藍)</v>
      </c>
      <c r="I721">
        <v>2003112</v>
      </c>
      <c r="J721" t="str">
        <f>_xlfn.IFNA(IF(I721&lt;&gt;0,VLOOKUP(VLOOKUP(I721,Tbl_Equip[],2,FALSE),Tbl_Color[],IFERROR(MATCH(UI!$B$1,Tbl_Color[#Headers],0),2),FALSE),""),"Unset")</f>
        <v>藍</v>
      </c>
      <c r="K721" t="str">
        <f>_xlfn.IFNA(IF(I721&lt;&gt;0,VLOOKUP(I721,ItemText[],IFERROR(MATCH(UI!$B$1,ItemText[#Headers],0),2),FALSE),""),"Unset")</f>
        <v>遼闊的水滴暗淡情景</v>
      </c>
      <c r="L721" t="str">
        <f t="shared" si="78"/>
        <v/>
      </c>
      <c r="M721">
        <v>0</v>
      </c>
      <c r="N721" t="str">
        <f>IF(VALUE(M721)=0,"",VLOOKUP(VLOOKUP(M721,Tbl_Effect[],3,FALSE),EffectName[],IFERROR(MATCH(UI!$B$1,EffectName[#Headers],0),2),FALSE))</f>
        <v/>
      </c>
      <c r="O721" t="str">
        <f t="shared" si="79"/>
        <v/>
      </c>
      <c r="P721">
        <v>0</v>
      </c>
      <c r="Q721" t="str">
        <f>IF(VALUE(P721)=0,"",VLOOKUP(VLOOKUP(P721,Tbl_Effect[],3,FALSE),EffectName[],IFERROR(MATCH(UI!$B$1,EffectName[#Headers],0),2),FALSE))</f>
        <v/>
      </c>
      <c r="R721" t="str">
        <f t="shared" si="80"/>
        <v/>
      </c>
      <c r="S721">
        <v>0</v>
      </c>
      <c r="T721" t="str">
        <f>IF(VALUE(S721)=0,"",VLOOKUP(VLOOKUP(S721,Tbl_Effect[],3,FALSE),EffectName[],IFERROR(MATCH(UI!$B$1,EffectName[#Headers],0),2),FALSE))</f>
        <v/>
      </c>
      <c r="U721" t="str">
        <f t="shared" si="81"/>
        <v/>
      </c>
      <c r="V721">
        <v>0</v>
      </c>
      <c r="W721" t="str">
        <f>IF(V721&lt;&gt;0,VLOOKUP(VLOOKUP(V721,Tbl_Effect[],3,FALSE),EffectName[],IFERROR(MATCH(UI!$B$1,EffectName[#Headers],0),2),FALSE),"")</f>
        <v/>
      </c>
      <c r="X721" t="str">
        <f t="shared" si="82"/>
        <v/>
      </c>
      <c r="Y721">
        <v>0</v>
      </c>
      <c r="Z721" t="str">
        <f>IF(Y721&lt;&gt;0,VLOOKUP(VLOOKUP(Y721,Tbl_Effect[],3,FALSE),EffectName[],IFERROR(MATCH(UI!$B$1,EffectName[#Headers],0),2),FALSE),"")</f>
        <v/>
      </c>
      <c r="AA721" t="str">
        <f t="shared" si="83"/>
        <v/>
      </c>
      <c r="AB721">
        <v>0</v>
      </c>
      <c r="AC721" t="str">
        <f>IF(AB721&lt;&gt;0,VLOOKUP(VLOOKUP(AB721,Tbl_Effect[],3,FALSE),EffectName[],IFERROR(MATCH(UI!$B$1,EffectName[#Headers],0),2),FALSE),"")</f>
        <v/>
      </c>
    </row>
    <row r="722" spans="8:29" x14ac:dyDescent="0.4">
      <c r="H722" t="str">
        <f t="shared" si="77"/>
        <v>2003120-細膩的水滴暗淡情景 (藍)</v>
      </c>
      <c r="I722">
        <v>2003120</v>
      </c>
      <c r="J722" t="str">
        <f>_xlfn.IFNA(IF(I722&lt;&gt;0,VLOOKUP(VLOOKUP(I722,Tbl_Equip[],2,FALSE),Tbl_Color[],IFERROR(MATCH(UI!$B$1,Tbl_Color[#Headers],0),2),FALSE),""),"Unset")</f>
        <v>藍</v>
      </c>
      <c r="K722" t="str">
        <f>_xlfn.IFNA(IF(I722&lt;&gt;0,VLOOKUP(I722,ItemText[],IFERROR(MATCH(UI!$B$1,ItemText[#Headers],0),2),FALSE),""),"Unset")</f>
        <v>細膩的水滴暗淡情景</v>
      </c>
      <c r="L722" t="str">
        <f t="shared" si="78"/>
        <v/>
      </c>
      <c r="M722">
        <v>0</v>
      </c>
      <c r="N722" t="str">
        <f>IF(VALUE(M722)=0,"",VLOOKUP(VLOOKUP(M722,Tbl_Effect[],3,FALSE),EffectName[],IFERROR(MATCH(UI!$B$1,EffectName[#Headers],0),2),FALSE))</f>
        <v/>
      </c>
      <c r="O722" t="str">
        <f t="shared" si="79"/>
        <v/>
      </c>
      <c r="P722">
        <v>0</v>
      </c>
      <c r="Q722" t="str">
        <f>IF(VALUE(P722)=0,"",VLOOKUP(VLOOKUP(P722,Tbl_Effect[],3,FALSE),EffectName[],IFERROR(MATCH(UI!$B$1,EffectName[#Headers],0),2),FALSE))</f>
        <v/>
      </c>
      <c r="R722" t="str">
        <f t="shared" si="80"/>
        <v/>
      </c>
      <c r="S722">
        <v>0</v>
      </c>
      <c r="T722" t="str">
        <f>IF(VALUE(S722)=0,"",VLOOKUP(VLOOKUP(S722,Tbl_Effect[],3,FALSE),EffectName[],IFERROR(MATCH(UI!$B$1,EffectName[#Headers],0),2),FALSE))</f>
        <v/>
      </c>
      <c r="U722" t="str">
        <f t="shared" si="81"/>
        <v/>
      </c>
      <c r="V722">
        <v>0</v>
      </c>
      <c r="W722" t="str">
        <f>IF(V722&lt;&gt;0,VLOOKUP(VLOOKUP(V722,Tbl_Effect[],3,FALSE),EffectName[],IFERROR(MATCH(UI!$B$1,EffectName[#Headers],0),2),FALSE),"")</f>
        <v/>
      </c>
      <c r="X722" t="str">
        <f t="shared" si="82"/>
        <v/>
      </c>
      <c r="Y722">
        <v>0</v>
      </c>
      <c r="Z722" t="str">
        <f>IF(Y722&lt;&gt;0,VLOOKUP(VLOOKUP(Y722,Tbl_Effect[],3,FALSE),EffectName[],IFERROR(MATCH(UI!$B$1,EffectName[#Headers],0),2),FALSE),"")</f>
        <v/>
      </c>
      <c r="AA722" t="str">
        <f t="shared" si="83"/>
        <v/>
      </c>
      <c r="AB722">
        <v>0</v>
      </c>
      <c r="AC722" t="str">
        <f>IF(AB722&lt;&gt;0,VLOOKUP(VLOOKUP(AB722,Tbl_Effect[],3,FALSE),EffectName[],IFERROR(MATCH(UI!$B$1,EffectName[#Headers],0),2),FALSE),"")</f>
        <v/>
      </c>
    </row>
    <row r="723" spans="8:29" x14ac:dyDescent="0.4">
      <c r="H723" t="str">
        <f t="shared" si="77"/>
        <v>2003121-端正的水滴暗淡情景 (藍)</v>
      </c>
      <c r="I723">
        <v>2003121</v>
      </c>
      <c r="J723" t="str">
        <f>_xlfn.IFNA(IF(I723&lt;&gt;0,VLOOKUP(VLOOKUP(I723,Tbl_Equip[],2,FALSE),Tbl_Color[],IFERROR(MATCH(UI!$B$1,Tbl_Color[#Headers],0),2),FALSE),""),"Unset")</f>
        <v>藍</v>
      </c>
      <c r="K723" t="str">
        <f>_xlfn.IFNA(IF(I723&lt;&gt;0,VLOOKUP(I723,ItemText[],IFERROR(MATCH(UI!$B$1,ItemText[#Headers],0),2),FALSE),""),"Unset")</f>
        <v>端正的水滴暗淡情景</v>
      </c>
      <c r="L723" t="str">
        <f t="shared" si="78"/>
        <v/>
      </c>
      <c r="M723">
        <v>0</v>
      </c>
      <c r="N723" t="str">
        <f>IF(VALUE(M723)=0,"",VLOOKUP(VLOOKUP(M723,Tbl_Effect[],3,FALSE),EffectName[],IFERROR(MATCH(UI!$B$1,EffectName[#Headers],0),2),FALSE))</f>
        <v/>
      </c>
      <c r="O723" t="str">
        <f t="shared" si="79"/>
        <v/>
      </c>
      <c r="P723">
        <v>0</v>
      </c>
      <c r="Q723" t="str">
        <f>IF(VALUE(P723)=0,"",VLOOKUP(VLOOKUP(P723,Tbl_Effect[],3,FALSE),EffectName[],IFERROR(MATCH(UI!$B$1,EffectName[#Headers],0),2),FALSE))</f>
        <v/>
      </c>
      <c r="R723" t="str">
        <f t="shared" si="80"/>
        <v/>
      </c>
      <c r="S723">
        <v>0</v>
      </c>
      <c r="T723" t="str">
        <f>IF(VALUE(S723)=0,"",VLOOKUP(VLOOKUP(S723,Tbl_Effect[],3,FALSE),EffectName[],IFERROR(MATCH(UI!$B$1,EffectName[#Headers],0),2),FALSE))</f>
        <v/>
      </c>
      <c r="U723" t="str">
        <f t="shared" si="81"/>
        <v/>
      </c>
      <c r="V723">
        <v>0</v>
      </c>
      <c r="W723" t="str">
        <f>IF(V723&lt;&gt;0,VLOOKUP(VLOOKUP(V723,Tbl_Effect[],3,FALSE),EffectName[],IFERROR(MATCH(UI!$B$1,EffectName[#Headers],0),2),FALSE),"")</f>
        <v/>
      </c>
      <c r="X723" t="str">
        <f t="shared" si="82"/>
        <v/>
      </c>
      <c r="Y723">
        <v>0</v>
      </c>
      <c r="Z723" t="str">
        <f>IF(Y723&lt;&gt;0,VLOOKUP(VLOOKUP(Y723,Tbl_Effect[],3,FALSE),EffectName[],IFERROR(MATCH(UI!$B$1,EffectName[#Headers],0),2),FALSE),"")</f>
        <v/>
      </c>
      <c r="AA723" t="str">
        <f t="shared" si="83"/>
        <v/>
      </c>
      <c r="AB723">
        <v>0</v>
      </c>
      <c r="AC723" t="str">
        <f>IF(AB723&lt;&gt;0,VLOOKUP(VLOOKUP(AB723,Tbl_Effect[],3,FALSE),EffectName[],IFERROR(MATCH(UI!$B$1,EffectName[#Headers],0),2),FALSE),"")</f>
        <v/>
      </c>
    </row>
    <row r="724" spans="8:29" x14ac:dyDescent="0.4">
      <c r="H724" t="str">
        <f t="shared" si="77"/>
        <v>2003122-遼闊的水滴暗淡情景 (藍)</v>
      </c>
      <c r="I724">
        <v>2003122</v>
      </c>
      <c r="J724" t="str">
        <f>_xlfn.IFNA(IF(I724&lt;&gt;0,VLOOKUP(VLOOKUP(I724,Tbl_Equip[],2,FALSE),Tbl_Color[],IFERROR(MATCH(UI!$B$1,Tbl_Color[#Headers],0),2),FALSE),""),"Unset")</f>
        <v>藍</v>
      </c>
      <c r="K724" t="str">
        <f>_xlfn.IFNA(IF(I724&lt;&gt;0,VLOOKUP(I724,ItemText[],IFERROR(MATCH(UI!$B$1,ItemText[#Headers],0),2),FALSE),""),"Unset")</f>
        <v>遼闊的水滴暗淡情景</v>
      </c>
      <c r="L724" t="str">
        <f t="shared" si="78"/>
        <v/>
      </c>
      <c r="M724">
        <v>0</v>
      </c>
      <c r="N724" t="str">
        <f>IF(VALUE(M724)=0,"",VLOOKUP(VLOOKUP(M724,Tbl_Effect[],3,FALSE),EffectName[],IFERROR(MATCH(UI!$B$1,EffectName[#Headers],0),2),FALSE))</f>
        <v/>
      </c>
      <c r="O724" t="str">
        <f t="shared" si="79"/>
        <v/>
      </c>
      <c r="P724">
        <v>0</v>
      </c>
      <c r="Q724" t="str">
        <f>IF(VALUE(P724)=0,"",VLOOKUP(VLOOKUP(P724,Tbl_Effect[],3,FALSE),EffectName[],IFERROR(MATCH(UI!$B$1,EffectName[#Headers],0),2),FALSE))</f>
        <v/>
      </c>
      <c r="R724" t="str">
        <f t="shared" si="80"/>
        <v/>
      </c>
      <c r="S724">
        <v>0</v>
      </c>
      <c r="T724" t="str">
        <f>IF(VALUE(S724)=0,"",VLOOKUP(VLOOKUP(S724,Tbl_Effect[],3,FALSE),EffectName[],IFERROR(MATCH(UI!$B$1,EffectName[#Headers],0),2),FALSE))</f>
        <v/>
      </c>
      <c r="U724" t="str">
        <f t="shared" si="81"/>
        <v/>
      </c>
      <c r="V724">
        <v>0</v>
      </c>
      <c r="W724" t="str">
        <f>IF(V724&lt;&gt;0,VLOOKUP(VLOOKUP(V724,Tbl_Effect[],3,FALSE),EffectName[],IFERROR(MATCH(UI!$B$1,EffectName[#Headers],0),2),FALSE),"")</f>
        <v/>
      </c>
      <c r="X724" t="str">
        <f t="shared" si="82"/>
        <v/>
      </c>
      <c r="Y724">
        <v>0</v>
      </c>
      <c r="Z724" t="str">
        <f>IF(Y724&lt;&gt;0,VLOOKUP(VLOOKUP(Y724,Tbl_Effect[],3,FALSE),EffectName[],IFERROR(MATCH(UI!$B$1,EffectName[#Headers],0),2),FALSE),"")</f>
        <v/>
      </c>
      <c r="AA724" t="str">
        <f t="shared" si="83"/>
        <v/>
      </c>
      <c r="AB724">
        <v>0</v>
      </c>
      <c r="AC724" t="str">
        <f>IF(AB724&lt;&gt;0,VLOOKUP(VLOOKUP(AB724,Tbl_Effect[],3,FALSE),EffectName[],IFERROR(MATCH(UI!$B$1,EffectName[#Headers],0),2),FALSE),"")</f>
        <v/>
      </c>
    </row>
    <row r="725" spans="8:29" x14ac:dyDescent="0.4">
      <c r="H725" t="str">
        <f t="shared" si="77"/>
        <v>2003200-細膩的光耀暗淡情景 (黃)</v>
      </c>
      <c r="I725">
        <v>2003200</v>
      </c>
      <c r="J725" t="str">
        <f>_xlfn.IFNA(IF(I725&lt;&gt;0,VLOOKUP(VLOOKUP(I725,Tbl_Equip[],2,FALSE),Tbl_Color[],IFERROR(MATCH(UI!$B$1,Tbl_Color[#Headers],0),2),FALSE),""),"Unset")</f>
        <v>黃</v>
      </c>
      <c r="K725" t="str">
        <f>_xlfn.IFNA(IF(I725&lt;&gt;0,VLOOKUP(I725,ItemText[],IFERROR(MATCH(UI!$B$1,ItemText[#Headers],0),2),FALSE),""),"Unset")</f>
        <v>細膩的光耀暗淡情景</v>
      </c>
      <c r="L725" t="str">
        <f t="shared" si="78"/>
        <v/>
      </c>
      <c r="M725">
        <v>0</v>
      </c>
      <c r="N725" t="str">
        <f>IF(VALUE(M725)=0,"",VLOOKUP(VLOOKUP(M725,Tbl_Effect[],3,FALSE),EffectName[],IFERROR(MATCH(UI!$B$1,EffectName[#Headers],0),2),FALSE))</f>
        <v/>
      </c>
      <c r="O725" t="str">
        <f t="shared" si="79"/>
        <v/>
      </c>
      <c r="P725">
        <v>0</v>
      </c>
      <c r="Q725" t="str">
        <f>IF(VALUE(P725)=0,"",VLOOKUP(VLOOKUP(P725,Tbl_Effect[],3,FALSE),EffectName[],IFERROR(MATCH(UI!$B$1,EffectName[#Headers],0),2),FALSE))</f>
        <v/>
      </c>
      <c r="R725" t="str">
        <f t="shared" si="80"/>
        <v/>
      </c>
      <c r="S725">
        <v>0</v>
      </c>
      <c r="T725" t="str">
        <f>IF(VALUE(S725)=0,"",VLOOKUP(VLOOKUP(S725,Tbl_Effect[],3,FALSE),EffectName[],IFERROR(MATCH(UI!$B$1,EffectName[#Headers],0),2),FALSE))</f>
        <v/>
      </c>
      <c r="U725" t="str">
        <f t="shared" si="81"/>
        <v/>
      </c>
      <c r="V725">
        <v>0</v>
      </c>
      <c r="W725" t="str">
        <f>IF(V725&lt;&gt;0,VLOOKUP(VLOOKUP(V725,Tbl_Effect[],3,FALSE),EffectName[],IFERROR(MATCH(UI!$B$1,EffectName[#Headers],0),2),FALSE),"")</f>
        <v/>
      </c>
      <c r="X725" t="str">
        <f t="shared" si="82"/>
        <v/>
      </c>
      <c r="Y725">
        <v>0</v>
      </c>
      <c r="Z725" t="str">
        <f>IF(Y725&lt;&gt;0,VLOOKUP(VLOOKUP(Y725,Tbl_Effect[],3,FALSE),EffectName[],IFERROR(MATCH(UI!$B$1,EffectName[#Headers],0),2),FALSE),"")</f>
        <v/>
      </c>
      <c r="AA725" t="str">
        <f t="shared" si="83"/>
        <v/>
      </c>
      <c r="AB725">
        <v>0</v>
      </c>
      <c r="AC725" t="str">
        <f>IF(AB725&lt;&gt;0,VLOOKUP(VLOOKUP(AB725,Tbl_Effect[],3,FALSE),EffectName[],IFERROR(MATCH(UI!$B$1,EffectName[#Headers],0),2),FALSE),"")</f>
        <v/>
      </c>
    </row>
    <row r="726" spans="8:29" x14ac:dyDescent="0.4">
      <c r="H726" t="str">
        <f t="shared" si="77"/>
        <v>2003201-端正的光耀暗淡情景 (黃)</v>
      </c>
      <c r="I726">
        <v>2003201</v>
      </c>
      <c r="J726" t="str">
        <f>_xlfn.IFNA(IF(I726&lt;&gt;0,VLOOKUP(VLOOKUP(I726,Tbl_Equip[],2,FALSE),Tbl_Color[],IFERROR(MATCH(UI!$B$1,Tbl_Color[#Headers],0),2),FALSE),""),"Unset")</f>
        <v>黃</v>
      </c>
      <c r="K726" t="str">
        <f>_xlfn.IFNA(IF(I726&lt;&gt;0,VLOOKUP(I726,ItemText[],IFERROR(MATCH(UI!$B$1,ItemText[#Headers],0),2),FALSE),""),"Unset")</f>
        <v>端正的光耀暗淡情景</v>
      </c>
      <c r="L726" t="str">
        <f t="shared" si="78"/>
        <v/>
      </c>
      <c r="M726">
        <v>0</v>
      </c>
      <c r="N726" t="str">
        <f>IF(VALUE(M726)=0,"",VLOOKUP(VLOOKUP(M726,Tbl_Effect[],3,FALSE),EffectName[],IFERROR(MATCH(UI!$B$1,EffectName[#Headers],0),2),FALSE))</f>
        <v/>
      </c>
      <c r="O726" t="str">
        <f t="shared" si="79"/>
        <v/>
      </c>
      <c r="P726">
        <v>0</v>
      </c>
      <c r="Q726" t="str">
        <f>IF(VALUE(P726)=0,"",VLOOKUP(VLOOKUP(P726,Tbl_Effect[],3,FALSE),EffectName[],IFERROR(MATCH(UI!$B$1,EffectName[#Headers],0),2),FALSE))</f>
        <v/>
      </c>
      <c r="R726" t="str">
        <f t="shared" si="80"/>
        <v/>
      </c>
      <c r="S726">
        <v>0</v>
      </c>
      <c r="T726" t="str">
        <f>IF(VALUE(S726)=0,"",VLOOKUP(VLOOKUP(S726,Tbl_Effect[],3,FALSE),EffectName[],IFERROR(MATCH(UI!$B$1,EffectName[#Headers],0),2),FALSE))</f>
        <v/>
      </c>
      <c r="U726" t="str">
        <f t="shared" si="81"/>
        <v/>
      </c>
      <c r="V726">
        <v>0</v>
      </c>
      <c r="W726" t="str">
        <f>IF(V726&lt;&gt;0,VLOOKUP(VLOOKUP(V726,Tbl_Effect[],3,FALSE),EffectName[],IFERROR(MATCH(UI!$B$1,EffectName[#Headers],0),2),FALSE),"")</f>
        <v/>
      </c>
      <c r="X726" t="str">
        <f t="shared" si="82"/>
        <v/>
      </c>
      <c r="Y726">
        <v>0</v>
      </c>
      <c r="Z726" t="str">
        <f>IF(Y726&lt;&gt;0,VLOOKUP(VLOOKUP(Y726,Tbl_Effect[],3,FALSE),EffectName[],IFERROR(MATCH(UI!$B$1,EffectName[#Headers],0),2),FALSE),"")</f>
        <v/>
      </c>
      <c r="AA726" t="str">
        <f t="shared" si="83"/>
        <v/>
      </c>
      <c r="AB726">
        <v>0</v>
      </c>
      <c r="AC726" t="str">
        <f>IF(AB726&lt;&gt;0,VLOOKUP(VLOOKUP(AB726,Tbl_Effect[],3,FALSE),EffectName[],IFERROR(MATCH(UI!$B$1,EffectName[#Headers],0),2),FALSE),"")</f>
        <v/>
      </c>
    </row>
    <row r="727" spans="8:29" x14ac:dyDescent="0.4">
      <c r="H727" t="str">
        <f t="shared" si="77"/>
        <v>2003202-遼闊的光耀暗淡情景 (黃)</v>
      </c>
      <c r="I727">
        <v>2003202</v>
      </c>
      <c r="J727" t="str">
        <f>_xlfn.IFNA(IF(I727&lt;&gt;0,VLOOKUP(VLOOKUP(I727,Tbl_Equip[],2,FALSE),Tbl_Color[],IFERROR(MATCH(UI!$B$1,Tbl_Color[#Headers],0),2),FALSE),""),"Unset")</f>
        <v>黃</v>
      </c>
      <c r="K727" t="str">
        <f>_xlfn.IFNA(IF(I727&lt;&gt;0,VLOOKUP(I727,ItemText[],IFERROR(MATCH(UI!$B$1,ItemText[#Headers],0),2),FALSE),""),"Unset")</f>
        <v>遼闊的光耀暗淡情景</v>
      </c>
      <c r="L727" t="str">
        <f t="shared" si="78"/>
        <v/>
      </c>
      <c r="M727">
        <v>0</v>
      </c>
      <c r="N727" t="str">
        <f>IF(VALUE(M727)=0,"",VLOOKUP(VLOOKUP(M727,Tbl_Effect[],3,FALSE),EffectName[],IFERROR(MATCH(UI!$B$1,EffectName[#Headers],0),2),FALSE))</f>
        <v/>
      </c>
      <c r="O727" t="str">
        <f t="shared" si="79"/>
        <v/>
      </c>
      <c r="P727">
        <v>0</v>
      </c>
      <c r="Q727" t="str">
        <f>IF(VALUE(P727)=0,"",VLOOKUP(VLOOKUP(P727,Tbl_Effect[],3,FALSE),EffectName[],IFERROR(MATCH(UI!$B$1,EffectName[#Headers],0),2),FALSE))</f>
        <v/>
      </c>
      <c r="R727" t="str">
        <f t="shared" si="80"/>
        <v/>
      </c>
      <c r="S727">
        <v>0</v>
      </c>
      <c r="T727" t="str">
        <f>IF(VALUE(S727)=0,"",VLOOKUP(VLOOKUP(S727,Tbl_Effect[],3,FALSE),EffectName[],IFERROR(MATCH(UI!$B$1,EffectName[#Headers],0),2),FALSE))</f>
        <v/>
      </c>
      <c r="U727" t="str">
        <f t="shared" si="81"/>
        <v/>
      </c>
      <c r="V727">
        <v>0</v>
      </c>
      <c r="W727" t="str">
        <f>IF(V727&lt;&gt;0,VLOOKUP(VLOOKUP(V727,Tbl_Effect[],3,FALSE),EffectName[],IFERROR(MATCH(UI!$B$1,EffectName[#Headers],0),2),FALSE),"")</f>
        <v/>
      </c>
      <c r="X727" t="str">
        <f t="shared" si="82"/>
        <v/>
      </c>
      <c r="Y727">
        <v>0</v>
      </c>
      <c r="Z727" t="str">
        <f>IF(Y727&lt;&gt;0,VLOOKUP(VLOOKUP(Y727,Tbl_Effect[],3,FALSE),EffectName[],IFERROR(MATCH(UI!$B$1,EffectName[#Headers],0),2),FALSE),"")</f>
        <v/>
      </c>
      <c r="AA727" t="str">
        <f t="shared" si="83"/>
        <v/>
      </c>
      <c r="AB727">
        <v>0</v>
      </c>
      <c r="AC727" t="str">
        <f>IF(AB727&lt;&gt;0,VLOOKUP(VLOOKUP(AB727,Tbl_Effect[],3,FALSE),EffectName[],IFERROR(MATCH(UI!$B$1,EffectName[#Headers],0),2),FALSE),"")</f>
        <v/>
      </c>
    </row>
    <row r="728" spans="8:29" x14ac:dyDescent="0.4">
      <c r="H728" t="str">
        <f t="shared" si="77"/>
        <v>2003210-細膩的光耀暗淡情景 (黃)</v>
      </c>
      <c r="I728">
        <v>2003210</v>
      </c>
      <c r="J728" t="str">
        <f>_xlfn.IFNA(IF(I728&lt;&gt;0,VLOOKUP(VLOOKUP(I728,Tbl_Equip[],2,FALSE),Tbl_Color[],IFERROR(MATCH(UI!$B$1,Tbl_Color[#Headers],0),2),FALSE),""),"Unset")</f>
        <v>黃</v>
      </c>
      <c r="K728" t="str">
        <f>_xlfn.IFNA(IF(I728&lt;&gt;0,VLOOKUP(I728,ItemText[],IFERROR(MATCH(UI!$B$1,ItemText[#Headers],0),2),FALSE),""),"Unset")</f>
        <v>細膩的光耀暗淡情景</v>
      </c>
      <c r="L728" t="str">
        <f t="shared" si="78"/>
        <v/>
      </c>
      <c r="M728">
        <v>0</v>
      </c>
      <c r="N728" t="str">
        <f>IF(VALUE(M728)=0,"",VLOOKUP(VLOOKUP(M728,Tbl_Effect[],3,FALSE),EffectName[],IFERROR(MATCH(UI!$B$1,EffectName[#Headers],0),2),FALSE))</f>
        <v/>
      </c>
      <c r="O728" t="str">
        <f t="shared" si="79"/>
        <v/>
      </c>
      <c r="P728">
        <v>0</v>
      </c>
      <c r="Q728" t="str">
        <f>IF(VALUE(P728)=0,"",VLOOKUP(VLOOKUP(P728,Tbl_Effect[],3,FALSE),EffectName[],IFERROR(MATCH(UI!$B$1,EffectName[#Headers],0),2),FALSE))</f>
        <v/>
      </c>
      <c r="R728" t="str">
        <f t="shared" si="80"/>
        <v/>
      </c>
      <c r="S728">
        <v>0</v>
      </c>
      <c r="T728" t="str">
        <f>IF(VALUE(S728)=0,"",VLOOKUP(VLOOKUP(S728,Tbl_Effect[],3,FALSE),EffectName[],IFERROR(MATCH(UI!$B$1,EffectName[#Headers],0),2),FALSE))</f>
        <v/>
      </c>
      <c r="U728" t="str">
        <f t="shared" si="81"/>
        <v/>
      </c>
      <c r="V728">
        <v>0</v>
      </c>
      <c r="W728" t="str">
        <f>IF(V728&lt;&gt;0,VLOOKUP(VLOOKUP(V728,Tbl_Effect[],3,FALSE),EffectName[],IFERROR(MATCH(UI!$B$1,EffectName[#Headers],0),2),FALSE),"")</f>
        <v/>
      </c>
      <c r="X728" t="str">
        <f t="shared" si="82"/>
        <v/>
      </c>
      <c r="Y728">
        <v>0</v>
      </c>
      <c r="Z728" t="str">
        <f>IF(Y728&lt;&gt;0,VLOOKUP(VLOOKUP(Y728,Tbl_Effect[],3,FALSE),EffectName[],IFERROR(MATCH(UI!$B$1,EffectName[#Headers],0),2),FALSE),"")</f>
        <v/>
      </c>
      <c r="AA728" t="str">
        <f t="shared" si="83"/>
        <v/>
      </c>
      <c r="AB728">
        <v>0</v>
      </c>
      <c r="AC728" t="str">
        <f>IF(AB728&lt;&gt;0,VLOOKUP(VLOOKUP(AB728,Tbl_Effect[],3,FALSE),EffectName[],IFERROR(MATCH(UI!$B$1,EffectName[#Headers],0),2),FALSE),"")</f>
        <v/>
      </c>
    </row>
    <row r="729" spans="8:29" x14ac:dyDescent="0.4">
      <c r="H729" t="str">
        <f t="shared" si="77"/>
        <v>2003211-端正的光耀暗淡情景 (黃)</v>
      </c>
      <c r="I729">
        <v>2003211</v>
      </c>
      <c r="J729" t="str">
        <f>_xlfn.IFNA(IF(I729&lt;&gt;0,VLOOKUP(VLOOKUP(I729,Tbl_Equip[],2,FALSE),Tbl_Color[],IFERROR(MATCH(UI!$B$1,Tbl_Color[#Headers],0),2),FALSE),""),"Unset")</f>
        <v>黃</v>
      </c>
      <c r="K729" t="str">
        <f>_xlfn.IFNA(IF(I729&lt;&gt;0,VLOOKUP(I729,ItemText[],IFERROR(MATCH(UI!$B$1,ItemText[#Headers],0),2),FALSE),""),"Unset")</f>
        <v>端正的光耀暗淡情景</v>
      </c>
      <c r="L729" t="str">
        <f t="shared" si="78"/>
        <v/>
      </c>
      <c r="M729">
        <v>0</v>
      </c>
      <c r="N729" t="str">
        <f>IF(VALUE(M729)=0,"",VLOOKUP(VLOOKUP(M729,Tbl_Effect[],3,FALSE),EffectName[],IFERROR(MATCH(UI!$B$1,EffectName[#Headers],0),2),FALSE))</f>
        <v/>
      </c>
      <c r="O729" t="str">
        <f t="shared" si="79"/>
        <v/>
      </c>
      <c r="P729">
        <v>0</v>
      </c>
      <c r="Q729" t="str">
        <f>IF(VALUE(P729)=0,"",VLOOKUP(VLOOKUP(P729,Tbl_Effect[],3,FALSE),EffectName[],IFERROR(MATCH(UI!$B$1,EffectName[#Headers],0),2),FALSE))</f>
        <v/>
      </c>
      <c r="R729" t="str">
        <f t="shared" si="80"/>
        <v/>
      </c>
      <c r="S729">
        <v>0</v>
      </c>
      <c r="T729" t="str">
        <f>IF(VALUE(S729)=0,"",VLOOKUP(VLOOKUP(S729,Tbl_Effect[],3,FALSE),EffectName[],IFERROR(MATCH(UI!$B$1,EffectName[#Headers],0),2),FALSE))</f>
        <v/>
      </c>
      <c r="U729" t="str">
        <f t="shared" si="81"/>
        <v/>
      </c>
      <c r="V729">
        <v>0</v>
      </c>
      <c r="W729" t="str">
        <f>IF(V729&lt;&gt;0,VLOOKUP(VLOOKUP(V729,Tbl_Effect[],3,FALSE),EffectName[],IFERROR(MATCH(UI!$B$1,EffectName[#Headers],0),2),FALSE),"")</f>
        <v/>
      </c>
      <c r="X729" t="str">
        <f t="shared" si="82"/>
        <v/>
      </c>
      <c r="Y729">
        <v>0</v>
      </c>
      <c r="Z729" t="str">
        <f>IF(Y729&lt;&gt;0,VLOOKUP(VLOOKUP(Y729,Tbl_Effect[],3,FALSE),EffectName[],IFERROR(MATCH(UI!$B$1,EffectName[#Headers],0),2),FALSE),"")</f>
        <v/>
      </c>
      <c r="AA729" t="str">
        <f t="shared" si="83"/>
        <v/>
      </c>
      <c r="AB729">
        <v>0</v>
      </c>
      <c r="AC729" t="str">
        <f>IF(AB729&lt;&gt;0,VLOOKUP(VLOOKUP(AB729,Tbl_Effect[],3,FALSE),EffectName[],IFERROR(MATCH(UI!$B$1,EffectName[#Headers],0),2),FALSE),"")</f>
        <v/>
      </c>
    </row>
    <row r="730" spans="8:29" x14ac:dyDescent="0.4">
      <c r="H730" t="str">
        <f t="shared" si="77"/>
        <v>2003212-遼闊的光耀暗淡情景 (黃)</v>
      </c>
      <c r="I730">
        <v>2003212</v>
      </c>
      <c r="J730" t="str">
        <f>_xlfn.IFNA(IF(I730&lt;&gt;0,VLOOKUP(VLOOKUP(I730,Tbl_Equip[],2,FALSE),Tbl_Color[],IFERROR(MATCH(UI!$B$1,Tbl_Color[#Headers],0),2),FALSE),""),"Unset")</f>
        <v>黃</v>
      </c>
      <c r="K730" t="str">
        <f>_xlfn.IFNA(IF(I730&lt;&gt;0,VLOOKUP(I730,ItemText[],IFERROR(MATCH(UI!$B$1,ItemText[#Headers],0),2),FALSE),""),"Unset")</f>
        <v>遼闊的光耀暗淡情景</v>
      </c>
      <c r="L730" t="str">
        <f t="shared" si="78"/>
        <v/>
      </c>
      <c r="M730">
        <v>0</v>
      </c>
      <c r="N730" t="str">
        <f>IF(VALUE(M730)=0,"",VLOOKUP(VLOOKUP(M730,Tbl_Effect[],3,FALSE),EffectName[],IFERROR(MATCH(UI!$B$1,EffectName[#Headers],0),2),FALSE))</f>
        <v/>
      </c>
      <c r="O730" t="str">
        <f t="shared" si="79"/>
        <v/>
      </c>
      <c r="P730">
        <v>0</v>
      </c>
      <c r="Q730" t="str">
        <f>IF(VALUE(P730)=0,"",VLOOKUP(VLOOKUP(P730,Tbl_Effect[],3,FALSE),EffectName[],IFERROR(MATCH(UI!$B$1,EffectName[#Headers],0),2),FALSE))</f>
        <v/>
      </c>
      <c r="R730" t="str">
        <f t="shared" si="80"/>
        <v/>
      </c>
      <c r="S730">
        <v>0</v>
      </c>
      <c r="T730" t="str">
        <f>IF(VALUE(S730)=0,"",VLOOKUP(VLOOKUP(S730,Tbl_Effect[],3,FALSE),EffectName[],IFERROR(MATCH(UI!$B$1,EffectName[#Headers],0),2),FALSE))</f>
        <v/>
      </c>
      <c r="U730" t="str">
        <f t="shared" si="81"/>
        <v/>
      </c>
      <c r="V730">
        <v>0</v>
      </c>
      <c r="W730" t="str">
        <f>IF(V730&lt;&gt;0,VLOOKUP(VLOOKUP(V730,Tbl_Effect[],3,FALSE),EffectName[],IFERROR(MATCH(UI!$B$1,EffectName[#Headers],0),2),FALSE),"")</f>
        <v/>
      </c>
      <c r="X730" t="str">
        <f t="shared" si="82"/>
        <v/>
      </c>
      <c r="Y730">
        <v>0</v>
      </c>
      <c r="Z730" t="str">
        <f>IF(Y730&lt;&gt;0,VLOOKUP(VLOOKUP(Y730,Tbl_Effect[],3,FALSE),EffectName[],IFERROR(MATCH(UI!$B$1,EffectName[#Headers],0),2),FALSE),"")</f>
        <v/>
      </c>
      <c r="AA730" t="str">
        <f t="shared" si="83"/>
        <v/>
      </c>
      <c r="AB730">
        <v>0</v>
      </c>
      <c r="AC730" t="str">
        <f>IF(AB730&lt;&gt;0,VLOOKUP(VLOOKUP(AB730,Tbl_Effect[],3,FALSE),EffectName[],IFERROR(MATCH(UI!$B$1,EffectName[#Headers],0),2),FALSE),"")</f>
        <v/>
      </c>
    </row>
    <row r="731" spans="8:29" x14ac:dyDescent="0.4">
      <c r="H731" t="str">
        <f t="shared" si="77"/>
        <v>2003220-細膩的光耀暗淡情景 (黃)</v>
      </c>
      <c r="I731">
        <v>2003220</v>
      </c>
      <c r="J731" t="str">
        <f>_xlfn.IFNA(IF(I731&lt;&gt;0,VLOOKUP(VLOOKUP(I731,Tbl_Equip[],2,FALSE),Tbl_Color[],IFERROR(MATCH(UI!$B$1,Tbl_Color[#Headers],0),2),FALSE),""),"Unset")</f>
        <v>黃</v>
      </c>
      <c r="K731" t="str">
        <f>_xlfn.IFNA(IF(I731&lt;&gt;0,VLOOKUP(I731,ItemText[],IFERROR(MATCH(UI!$B$1,ItemText[#Headers],0),2),FALSE),""),"Unset")</f>
        <v>細膩的光耀暗淡情景</v>
      </c>
      <c r="L731" t="str">
        <f t="shared" si="78"/>
        <v/>
      </c>
      <c r="M731">
        <v>0</v>
      </c>
      <c r="N731" t="str">
        <f>IF(VALUE(M731)=0,"",VLOOKUP(VLOOKUP(M731,Tbl_Effect[],3,FALSE),EffectName[],IFERROR(MATCH(UI!$B$1,EffectName[#Headers],0),2),FALSE))</f>
        <v/>
      </c>
      <c r="O731" t="str">
        <f t="shared" si="79"/>
        <v/>
      </c>
      <c r="P731">
        <v>0</v>
      </c>
      <c r="Q731" t="str">
        <f>IF(VALUE(P731)=0,"",VLOOKUP(VLOOKUP(P731,Tbl_Effect[],3,FALSE),EffectName[],IFERROR(MATCH(UI!$B$1,EffectName[#Headers],0),2),FALSE))</f>
        <v/>
      </c>
      <c r="R731" t="str">
        <f t="shared" si="80"/>
        <v/>
      </c>
      <c r="S731">
        <v>0</v>
      </c>
      <c r="T731" t="str">
        <f>IF(VALUE(S731)=0,"",VLOOKUP(VLOOKUP(S731,Tbl_Effect[],3,FALSE),EffectName[],IFERROR(MATCH(UI!$B$1,EffectName[#Headers],0),2),FALSE))</f>
        <v/>
      </c>
      <c r="U731" t="str">
        <f t="shared" si="81"/>
        <v/>
      </c>
      <c r="V731">
        <v>0</v>
      </c>
      <c r="W731" t="str">
        <f>IF(V731&lt;&gt;0,VLOOKUP(VLOOKUP(V731,Tbl_Effect[],3,FALSE),EffectName[],IFERROR(MATCH(UI!$B$1,EffectName[#Headers],0),2),FALSE),"")</f>
        <v/>
      </c>
      <c r="X731" t="str">
        <f t="shared" si="82"/>
        <v/>
      </c>
      <c r="Y731">
        <v>0</v>
      </c>
      <c r="Z731" t="str">
        <f>IF(Y731&lt;&gt;0,VLOOKUP(VLOOKUP(Y731,Tbl_Effect[],3,FALSE),EffectName[],IFERROR(MATCH(UI!$B$1,EffectName[#Headers],0),2),FALSE),"")</f>
        <v/>
      </c>
      <c r="AA731" t="str">
        <f t="shared" si="83"/>
        <v/>
      </c>
      <c r="AB731">
        <v>0</v>
      </c>
      <c r="AC731" t="str">
        <f>IF(AB731&lt;&gt;0,VLOOKUP(VLOOKUP(AB731,Tbl_Effect[],3,FALSE),EffectName[],IFERROR(MATCH(UI!$B$1,EffectName[#Headers],0),2),FALSE),"")</f>
        <v/>
      </c>
    </row>
    <row r="732" spans="8:29" x14ac:dyDescent="0.4">
      <c r="H732" t="str">
        <f t="shared" si="77"/>
        <v>2003221-端正的光耀暗淡情景 (黃)</v>
      </c>
      <c r="I732">
        <v>2003221</v>
      </c>
      <c r="J732" t="str">
        <f>_xlfn.IFNA(IF(I732&lt;&gt;0,VLOOKUP(VLOOKUP(I732,Tbl_Equip[],2,FALSE),Tbl_Color[],IFERROR(MATCH(UI!$B$1,Tbl_Color[#Headers],0),2),FALSE),""),"Unset")</f>
        <v>黃</v>
      </c>
      <c r="K732" t="str">
        <f>_xlfn.IFNA(IF(I732&lt;&gt;0,VLOOKUP(I732,ItemText[],IFERROR(MATCH(UI!$B$1,ItemText[#Headers],0),2),FALSE),""),"Unset")</f>
        <v>端正的光耀暗淡情景</v>
      </c>
      <c r="L732" t="str">
        <f t="shared" si="78"/>
        <v/>
      </c>
      <c r="M732">
        <v>0</v>
      </c>
      <c r="N732" t="str">
        <f>IF(VALUE(M732)=0,"",VLOOKUP(VLOOKUP(M732,Tbl_Effect[],3,FALSE),EffectName[],IFERROR(MATCH(UI!$B$1,EffectName[#Headers],0),2),FALSE))</f>
        <v/>
      </c>
      <c r="O732" t="str">
        <f t="shared" si="79"/>
        <v/>
      </c>
      <c r="P732">
        <v>0</v>
      </c>
      <c r="Q732" t="str">
        <f>IF(VALUE(P732)=0,"",VLOOKUP(VLOOKUP(P732,Tbl_Effect[],3,FALSE),EffectName[],IFERROR(MATCH(UI!$B$1,EffectName[#Headers],0),2),FALSE))</f>
        <v/>
      </c>
      <c r="R732" t="str">
        <f t="shared" si="80"/>
        <v/>
      </c>
      <c r="S732">
        <v>0</v>
      </c>
      <c r="T732" t="str">
        <f>IF(VALUE(S732)=0,"",VLOOKUP(VLOOKUP(S732,Tbl_Effect[],3,FALSE),EffectName[],IFERROR(MATCH(UI!$B$1,EffectName[#Headers],0),2),FALSE))</f>
        <v/>
      </c>
      <c r="U732" t="str">
        <f t="shared" si="81"/>
        <v/>
      </c>
      <c r="V732">
        <v>0</v>
      </c>
      <c r="W732" t="str">
        <f>IF(V732&lt;&gt;0,VLOOKUP(VLOOKUP(V732,Tbl_Effect[],3,FALSE),EffectName[],IFERROR(MATCH(UI!$B$1,EffectName[#Headers],0),2),FALSE),"")</f>
        <v/>
      </c>
      <c r="X732" t="str">
        <f t="shared" si="82"/>
        <v/>
      </c>
      <c r="Y732">
        <v>0</v>
      </c>
      <c r="Z732" t="str">
        <f>IF(Y732&lt;&gt;0,VLOOKUP(VLOOKUP(Y732,Tbl_Effect[],3,FALSE),EffectName[],IFERROR(MATCH(UI!$B$1,EffectName[#Headers],0),2),FALSE),"")</f>
        <v/>
      </c>
      <c r="AA732" t="str">
        <f t="shared" si="83"/>
        <v/>
      </c>
      <c r="AB732">
        <v>0</v>
      </c>
      <c r="AC732" t="str">
        <f>IF(AB732&lt;&gt;0,VLOOKUP(VLOOKUP(AB732,Tbl_Effect[],3,FALSE),EffectName[],IFERROR(MATCH(UI!$B$1,EffectName[#Headers],0),2),FALSE),"")</f>
        <v/>
      </c>
    </row>
    <row r="733" spans="8:29" x14ac:dyDescent="0.4">
      <c r="H733" t="str">
        <f t="shared" si="77"/>
        <v>2003222-遼闊的光耀暗淡情景 (黃)</v>
      </c>
      <c r="I733">
        <v>2003222</v>
      </c>
      <c r="J733" t="str">
        <f>_xlfn.IFNA(IF(I733&lt;&gt;0,VLOOKUP(VLOOKUP(I733,Tbl_Equip[],2,FALSE),Tbl_Color[],IFERROR(MATCH(UI!$B$1,Tbl_Color[#Headers],0),2),FALSE),""),"Unset")</f>
        <v>黃</v>
      </c>
      <c r="K733" t="str">
        <f>_xlfn.IFNA(IF(I733&lt;&gt;0,VLOOKUP(I733,ItemText[],IFERROR(MATCH(UI!$B$1,ItemText[#Headers],0),2),FALSE),""),"Unset")</f>
        <v>遼闊的光耀暗淡情景</v>
      </c>
      <c r="L733" t="str">
        <f t="shared" si="78"/>
        <v/>
      </c>
      <c r="M733">
        <v>0</v>
      </c>
      <c r="N733" t="str">
        <f>IF(VALUE(M733)=0,"",VLOOKUP(VLOOKUP(M733,Tbl_Effect[],3,FALSE),EffectName[],IFERROR(MATCH(UI!$B$1,EffectName[#Headers],0),2),FALSE))</f>
        <v/>
      </c>
      <c r="O733" t="str">
        <f t="shared" si="79"/>
        <v/>
      </c>
      <c r="P733">
        <v>0</v>
      </c>
      <c r="Q733" t="str">
        <f>IF(VALUE(P733)=0,"",VLOOKUP(VLOOKUP(P733,Tbl_Effect[],3,FALSE),EffectName[],IFERROR(MATCH(UI!$B$1,EffectName[#Headers],0),2),FALSE))</f>
        <v/>
      </c>
      <c r="R733" t="str">
        <f t="shared" si="80"/>
        <v/>
      </c>
      <c r="S733">
        <v>0</v>
      </c>
      <c r="T733" t="str">
        <f>IF(VALUE(S733)=0,"",VLOOKUP(VLOOKUP(S733,Tbl_Effect[],3,FALSE),EffectName[],IFERROR(MATCH(UI!$B$1,EffectName[#Headers],0),2),FALSE))</f>
        <v/>
      </c>
      <c r="U733" t="str">
        <f t="shared" si="81"/>
        <v/>
      </c>
      <c r="V733">
        <v>0</v>
      </c>
      <c r="W733" t="str">
        <f>IF(V733&lt;&gt;0,VLOOKUP(VLOOKUP(V733,Tbl_Effect[],3,FALSE),EffectName[],IFERROR(MATCH(UI!$B$1,EffectName[#Headers],0),2),FALSE),"")</f>
        <v/>
      </c>
      <c r="X733" t="str">
        <f t="shared" si="82"/>
        <v/>
      </c>
      <c r="Y733">
        <v>0</v>
      </c>
      <c r="Z733" t="str">
        <f>IF(Y733&lt;&gt;0,VLOOKUP(VLOOKUP(Y733,Tbl_Effect[],3,FALSE),EffectName[],IFERROR(MATCH(UI!$B$1,EffectName[#Headers],0),2),FALSE),"")</f>
        <v/>
      </c>
      <c r="AA733" t="str">
        <f t="shared" si="83"/>
        <v/>
      </c>
      <c r="AB733">
        <v>0</v>
      </c>
      <c r="AC733" t="str">
        <f>IF(AB733&lt;&gt;0,VLOOKUP(VLOOKUP(AB733,Tbl_Effect[],3,FALSE),EffectName[],IFERROR(MATCH(UI!$B$1,EffectName[#Headers],0),2),FALSE),"")</f>
        <v/>
      </c>
    </row>
    <row r="734" spans="8:29" x14ac:dyDescent="0.4">
      <c r="H734" t="str">
        <f t="shared" si="77"/>
        <v>2003300-細膩的幽靜暗淡情景 (綠)</v>
      </c>
      <c r="I734">
        <v>2003300</v>
      </c>
      <c r="J734" t="str">
        <f>_xlfn.IFNA(IF(I734&lt;&gt;0,VLOOKUP(VLOOKUP(I734,Tbl_Equip[],2,FALSE),Tbl_Color[],IFERROR(MATCH(UI!$B$1,Tbl_Color[#Headers],0),2),FALSE),""),"Unset")</f>
        <v>綠</v>
      </c>
      <c r="K734" t="str">
        <f>_xlfn.IFNA(IF(I734&lt;&gt;0,VLOOKUP(I734,ItemText[],IFERROR(MATCH(UI!$B$1,ItemText[#Headers],0),2),FALSE),""),"Unset")</f>
        <v>細膩的幽靜暗淡情景</v>
      </c>
      <c r="L734" t="str">
        <f t="shared" si="78"/>
        <v/>
      </c>
      <c r="M734">
        <v>0</v>
      </c>
      <c r="N734" t="str">
        <f>IF(VALUE(M734)=0,"",VLOOKUP(VLOOKUP(M734,Tbl_Effect[],3,FALSE),EffectName[],IFERROR(MATCH(UI!$B$1,EffectName[#Headers],0),2),FALSE))</f>
        <v/>
      </c>
      <c r="O734" t="str">
        <f t="shared" si="79"/>
        <v/>
      </c>
      <c r="P734">
        <v>0</v>
      </c>
      <c r="Q734" t="str">
        <f>IF(VALUE(P734)=0,"",VLOOKUP(VLOOKUP(P734,Tbl_Effect[],3,FALSE),EffectName[],IFERROR(MATCH(UI!$B$1,EffectName[#Headers],0),2),FALSE))</f>
        <v/>
      </c>
      <c r="R734" t="str">
        <f t="shared" si="80"/>
        <v/>
      </c>
      <c r="S734">
        <v>0</v>
      </c>
      <c r="T734" t="str">
        <f>IF(VALUE(S734)=0,"",VLOOKUP(VLOOKUP(S734,Tbl_Effect[],3,FALSE),EffectName[],IFERROR(MATCH(UI!$B$1,EffectName[#Headers],0),2),FALSE))</f>
        <v/>
      </c>
      <c r="U734" t="str">
        <f t="shared" si="81"/>
        <v/>
      </c>
      <c r="V734">
        <v>0</v>
      </c>
      <c r="W734" t="str">
        <f>IF(V734&lt;&gt;0,VLOOKUP(VLOOKUP(V734,Tbl_Effect[],3,FALSE),EffectName[],IFERROR(MATCH(UI!$B$1,EffectName[#Headers],0),2),FALSE),"")</f>
        <v/>
      </c>
      <c r="X734" t="str">
        <f t="shared" si="82"/>
        <v/>
      </c>
      <c r="Y734">
        <v>0</v>
      </c>
      <c r="Z734" t="str">
        <f>IF(Y734&lt;&gt;0,VLOOKUP(VLOOKUP(Y734,Tbl_Effect[],3,FALSE),EffectName[],IFERROR(MATCH(UI!$B$1,EffectName[#Headers],0),2),FALSE),"")</f>
        <v/>
      </c>
      <c r="AA734" t="str">
        <f t="shared" si="83"/>
        <v/>
      </c>
      <c r="AB734">
        <v>0</v>
      </c>
      <c r="AC734" t="str">
        <f>IF(AB734&lt;&gt;0,VLOOKUP(VLOOKUP(AB734,Tbl_Effect[],3,FALSE),EffectName[],IFERROR(MATCH(UI!$B$1,EffectName[#Headers],0),2),FALSE),"")</f>
        <v/>
      </c>
    </row>
    <row r="735" spans="8:29" x14ac:dyDescent="0.4">
      <c r="H735" t="str">
        <f t="shared" si="77"/>
        <v>2003301-端正的幽靜暗淡情景 (綠)</v>
      </c>
      <c r="I735">
        <v>2003301</v>
      </c>
      <c r="J735" t="str">
        <f>_xlfn.IFNA(IF(I735&lt;&gt;0,VLOOKUP(VLOOKUP(I735,Tbl_Equip[],2,FALSE),Tbl_Color[],IFERROR(MATCH(UI!$B$1,Tbl_Color[#Headers],0),2),FALSE),""),"Unset")</f>
        <v>綠</v>
      </c>
      <c r="K735" t="str">
        <f>_xlfn.IFNA(IF(I735&lt;&gt;0,VLOOKUP(I735,ItemText[],IFERROR(MATCH(UI!$B$1,ItemText[#Headers],0),2),FALSE),""),"Unset")</f>
        <v>端正的幽靜暗淡情景</v>
      </c>
      <c r="L735" t="str">
        <f t="shared" si="78"/>
        <v/>
      </c>
      <c r="M735">
        <v>0</v>
      </c>
      <c r="N735" t="str">
        <f>IF(VALUE(M735)=0,"",VLOOKUP(VLOOKUP(M735,Tbl_Effect[],3,FALSE),EffectName[],IFERROR(MATCH(UI!$B$1,EffectName[#Headers],0),2),FALSE))</f>
        <v/>
      </c>
      <c r="O735" t="str">
        <f t="shared" si="79"/>
        <v/>
      </c>
      <c r="P735">
        <v>0</v>
      </c>
      <c r="Q735" t="str">
        <f>IF(VALUE(P735)=0,"",VLOOKUP(VLOOKUP(P735,Tbl_Effect[],3,FALSE),EffectName[],IFERROR(MATCH(UI!$B$1,EffectName[#Headers],0),2),FALSE))</f>
        <v/>
      </c>
      <c r="R735" t="str">
        <f t="shared" si="80"/>
        <v/>
      </c>
      <c r="S735">
        <v>0</v>
      </c>
      <c r="T735" t="str">
        <f>IF(VALUE(S735)=0,"",VLOOKUP(VLOOKUP(S735,Tbl_Effect[],3,FALSE),EffectName[],IFERROR(MATCH(UI!$B$1,EffectName[#Headers],0),2),FALSE))</f>
        <v/>
      </c>
      <c r="U735" t="str">
        <f t="shared" si="81"/>
        <v/>
      </c>
      <c r="V735">
        <v>0</v>
      </c>
      <c r="W735" t="str">
        <f>IF(V735&lt;&gt;0,VLOOKUP(VLOOKUP(V735,Tbl_Effect[],3,FALSE),EffectName[],IFERROR(MATCH(UI!$B$1,EffectName[#Headers],0),2),FALSE),"")</f>
        <v/>
      </c>
      <c r="X735" t="str">
        <f t="shared" si="82"/>
        <v/>
      </c>
      <c r="Y735">
        <v>0</v>
      </c>
      <c r="Z735" t="str">
        <f>IF(Y735&lt;&gt;0,VLOOKUP(VLOOKUP(Y735,Tbl_Effect[],3,FALSE),EffectName[],IFERROR(MATCH(UI!$B$1,EffectName[#Headers],0),2),FALSE),"")</f>
        <v/>
      </c>
      <c r="AA735" t="str">
        <f t="shared" si="83"/>
        <v/>
      </c>
      <c r="AB735">
        <v>0</v>
      </c>
      <c r="AC735" t="str">
        <f>IF(AB735&lt;&gt;0,VLOOKUP(VLOOKUP(AB735,Tbl_Effect[],3,FALSE),EffectName[],IFERROR(MATCH(UI!$B$1,EffectName[#Headers],0),2),FALSE),"")</f>
        <v/>
      </c>
    </row>
    <row r="736" spans="8:29" x14ac:dyDescent="0.4">
      <c r="H736" t="str">
        <f t="shared" si="77"/>
        <v>2003302-遼闊的幽靜暗淡情景 (綠)</v>
      </c>
      <c r="I736">
        <v>2003302</v>
      </c>
      <c r="J736" t="str">
        <f>_xlfn.IFNA(IF(I736&lt;&gt;0,VLOOKUP(VLOOKUP(I736,Tbl_Equip[],2,FALSE),Tbl_Color[],IFERROR(MATCH(UI!$B$1,Tbl_Color[#Headers],0),2),FALSE),""),"Unset")</f>
        <v>綠</v>
      </c>
      <c r="K736" t="str">
        <f>_xlfn.IFNA(IF(I736&lt;&gt;0,VLOOKUP(I736,ItemText[],IFERROR(MATCH(UI!$B$1,ItemText[#Headers],0),2),FALSE),""),"Unset")</f>
        <v>遼闊的幽靜暗淡情景</v>
      </c>
      <c r="L736" t="str">
        <f t="shared" si="78"/>
        <v/>
      </c>
      <c r="M736">
        <v>0</v>
      </c>
      <c r="N736" t="str">
        <f>IF(VALUE(M736)=0,"",VLOOKUP(VLOOKUP(M736,Tbl_Effect[],3,FALSE),EffectName[],IFERROR(MATCH(UI!$B$1,EffectName[#Headers],0),2),FALSE))</f>
        <v/>
      </c>
      <c r="O736" t="str">
        <f t="shared" si="79"/>
        <v/>
      </c>
      <c r="P736">
        <v>0</v>
      </c>
      <c r="Q736" t="str">
        <f>IF(VALUE(P736)=0,"",VLOOKUP(VLOOKUP(P736,Tbl_Effect[],3,FALSE),EffectName[],IFERROR(MATCH(UI!$B$1,EffectName[#Headers],0),2),FALSE))</f>
        <v/>
      </c>
      <c r="R736" t="str">
        <f t="shared" si="80"/>
        <v/>
      </c>
      <c r="S736">
        <v>0</v>
      </c>
      <c r="T736" t="str">
        <f>IF(VALUE(S736)=0,"",VLOOKUP(VLOOKUP(S736,Tbl_Effect[],3,FALSE),EffectName[],IFERROR(MATCH(UI!$B$1,EffectName[#Headers],0),2),FALSE))</f>
        <v/>
      </c>
      <c r="U736" t="str">
        <f t="shared" si="81"/>
        <v/>
      </c>
      <c r="V736">
        <v>0</v>
      </c>
      <c r="W736" t="str">
        <f>IF(V736&lt;&gt;0,VLOOKUP(VLOOKUP(V736,Tbl_Effect[],3,FALSE),EffectName[],IFERROR(MATCH(UI!$B$1,EffectName[#Headers],0),2),FALSE),"")</f>
        <v/>
      </c>
      <c r="X736" t="str">
        <f t="shared" si="82"/>
        <v/>
      </c>
      <c r="Y736">
        <v>0</v>
      </c>
      <c r="Z736" t="str">
        <f>IF(Y736&lt;&gt;0,VLOOKUP(VLOOKUP(Y736,Tbl_Effect[],3,FALSE),EffectName[],IFERROR(MATCH(UI!$B$1,EffectName[#Headers],0),2),FALSE),"")</f>
        <v/>
      </c>
      <c r="AA736" t="str">
        <f t="shared" si="83"/>
        <v/>
      </c>
      <c r="AB736">
        <v>0</v>
      </c>
      <c r="AC736" t="str">
        <f>IF(AB736&lt;&gt;0,VLOOKUP(VLOOKUP(AB736,Tbl_Effect[],3,FALSE),EffectName[],IFERROR(MATCH(UI!$B$1,EffectName[#Headers],0),2),FALSE),"")</f>
        <v/>
      </c>
    </row>
    <row r="737" spans="8:29" x14ac:dyDescent="0.4">
      <c r="H737" t="str">
        <f t="shared" si="77"/>
        <v>2003310-細膩的幽靜暗淡情景 (綠)</v>
      </c>
      <c r="I737">
        <v>2003310</v>
      </c>
      <c r="J737" t="str">
        <f>_xlfn.IFNA(IF(I737&lt;&gt;0,VLOOKUP(VLOOKUP(I737,Tbl_Equip[],2,FALSE),Tbl_Color[],IFERROR(MATCH(UI!$B$1,Tbl_Color[#Headers],0),2),FALSE),""),"Unset")</f>
        <v>綠</v>
      </c>
      <c r="K737" t="str">
        <f>_xlfn.IFNA(IF(I737&lt;&gt;0,VLOOKUP(I737,ItemText[],IFERROR(MATCH(UI!$B$1,ItemText[#Headers],0),2),FALSE),""),"Unset")</f>
        <v>細膩的幽靜暗淡情景</v>
      </c>
      <c r="L737" t="str">
        <f t="shared" si="78"/>
        <v/>
      </c>
      <c r="M737">
        <v>0</v>
      </c>
      <c r="N737" t="str">
        <f>IF(VALUE(M737)=0,"",VLOOKUP(VLOOKUP(M737,Tbl_Effect[],3,FALSE),EffectName[],IFERROR(MATCH(UI!$B$1,EffectName[#Headers],0),2),FALSE))</f>
        <v/>
      </c>
      <c r="O737" t="str">
        <f t="shared" si="79"/>
        <v/>
      </c>
      <c r="P737">
        <v>0</v>
      </c>
      <c r="Q737" t="str">
        <f>IF(VALUE(P737)=0,"",VLOOKUP(VLOOKUP(P737,Tbl_Effect[],3,FALSE),EffectName[],IFERROR(MATCH(UI!$B$1,EffectName[#Headers],0),2),FALSE))</f>
        <v/>
      </c>
      <c r="R737" t="str">
        <f t="shared" si="80"/>
        <v/>
      </c>
      <c r="S737">
        <v>0</v>
      </c>
      <c r="T737" t="str">
        <f>IF(VALUE(S737)=0,"",VLOOKUP(VLOOKUP(S737,Tbl_Effect[],3,FALSE),EffectName[],IFERROR(MATCH(UI!$B$1,EffectName[#Headers],0),2),FALSE))</f>
        <v/>
      </c>
      <c r="U737" t="str">
        <f t="shared" si="81"/>
        <v/>
      </c>
      <c r="V737">
        <v>0</v>
      </c>
      <c r="W737" t="str">
        <f>IF(V737&lt;&gt;0,VLOOKUP(VLOOKUP(V737,Tbl_Effect[],3,FALSE),EffectName[],IFERROR(MATCH(UI!$B$1,EffectName[#Headers],0),2),FALSE),"")</f>
        <v/>
      </c>
      <c r="X737" t="str">
        <f t="shared" si="82"/>
        <v/>
      </c>
      <c r="Y737">
        <v>0</v>
      </c>
      <c r="Z737" t="str">
        <f>IF(Y737&lt;&gt;0,VLOOKUP(VLOOKUP(Y737,Tbl_Effect[],3,FALSE),EffectName[],IFERROR(MATCH(UI!$B$1,EffectName[#Headers],0),2),FALSE),"")</f>
        <v/>
      </c>
      <c r="AA737" t="str">
        <f t="shared" si="83"/>
        <v/>
      </c>
      <c r="AB737">
        <v>0</v>
      </c>
      <c r="AC737" t="str">
        <f>IF(AB737&lt;&gt;0,VLOOKUP(VLOOKUP(AB737,Tbl_Effect[],3,FALSE),EffectName[],IFERROR(MATCH(UI!$B$1,EffectName[#Headers],0),2),FALSE),"")</f>
        <v/>
      </c>
    </row>
    <row r="738" spans="8:29" x14ac:dyDescent="0.4">
      <c r="H738" t="str">
        <f t="shared" si="77"/>
        <v>2003311-端正的幽靜暗淡情景 (綠)</v>
      </c>
      <c r="I738">
        <v>2003311</v>
      </c>
      <c r="J738" t="str">
        <f>_xlfn.IFNA(IF(I738&lt;&gt;0,VLOOKUP(VLOOKUP(I738,Tbl_Equip[],2,FALSE),Tbl_Color[],IFERROR(MATCH(UI!$B$1,Tbl_Color[#Headers],0),2),FALSE),""),"Unset")</f>
        <v>綠</v>
      </c>
      <c r="K738" t="str">
        <f>_xlfn.IFNA(IF(I738&lt;&gt;0,VLOOKUP(I738,ItemText[],IFERROR(MATCH(UI!$B$1,ItemText[#Headers],0),2),FALSE),""),"Unset")</f>
        <v>端正的幽靜暗淡情景</v>
      </c>
      <c r="L738" t="str">
        <f t="shared" si="78"/>
        <v/>
      </c>
      <c r="M738">
        <v>0</v>
      </c>
      <c r="N738" t="str">
        <f>IF(VALUE(M738)=0,"",VLOOKUP(VLOOKUP(M738,Tbl_Effect[],3,FALSE),EffectName[],IFERROR(MATCH(UI!$B$1,EffectName[#Headers],0),2),FALSE))</f>
        <v/>
      </c>
      <c r="O738" t="str">
        <f t="shared" si="79"/>
        <v/>
      </c>
      <c r="P738">
        <v>0</v>
      </c>
      <c r="Q738" t="str">
        <f>IF(VALUE(P738)=0,"",VLOOKUP(VLOOKUP(P738,Tbl_Effect[],3,FALSE),EffectName[],IFERROR(MATCH(UI!$B$1,EffectName[#Headers],0),2),FALSE))</f>
        <v/>
      </c>
      <c r="R738" t="str">
        <f t="shared" si="80"/>
        <v/>
      </c>
      <c r="S738">
        <v>0</v>
      </c>
      <c r="T738" t="str">
        <f>IF(VALUE(S738)=0,"",VLOOKUP(VLOOKUP(S738,Tbl_Effect[],3,FALSE),EffectName[],IFERROR(MATCH(UI!$B$1,EffectName[#Headers],0),2),FALSE))</f>
        <v/>
      </c>
      <c r="U738" t="str">
        <f t="shared" si="81"/>
        <v/>
      </c>
      <c r="V738">
        <v>0</v>
      </c>
      <c r="W738" t="str">
        <f>IF(V738&lt;&gt;0,VLOOKUP(VLOOKUP(V738,Tbl_Effect[],3,FALSE),EffectName[],IFERROR(MATCH(UI!$B$1,EffectName[#Headers],0),2),FALSE),"")</f>
        <v/>
      </c>
      <c r="X738" t="str">
        <f t="shared" si="82"/>
        <v/>
      </c>
      <c r="Y738">
        <v>0</v>
      </c>
      <c r="Z738" t="str">
        <f>IF(Y738&lt;&gt;0,VLOOKUP(VLOOKUP(Y738,Tbl_Effect[],3,FALSE),EffectName[],IFERROR(MATCH(UI!$B$1,EffectName[#Headers],0),2),FALSE),"")</f>
        <v/>
      </c>
      <c r="AA738" t="str">
        <f t="shared" si="83"/>
        <v/>
      </c>
      <c r="AB738">
        <v>0</v>
      </c>
      <c r="AC738" t="str">
        <f>IF(AB738&lt;&gt;0,VLOOKUP(VLOOKUP(AB738,Tbl_Effect[],3,FALSE),EffectName[],IFERROR(MATCH(UI!$B$1,EffectName[#Headers],0),2),FALSE),"")</f>
        <v/>
      </c>
    </row>
    <row r="739" spans="8:29" x14ac:dyDescent="0.4">
      <c r="H739" t="str">
        <f t="shared" si="77"/>
        <v>2003312-遼闊的幽靜暗淡情景 (綠)</v>
      </c>
      <c r="I739">
        <v>2003312</v>
      </c>
      <c r="J739" t="str">
        <f>_xlfn.IFNA(IF(I739&lt;&gt;0,VLOOKUP(VLOOKUP(I739,Tbl_Equip[],2,FALSE),Tbl_Color[],IFERROR(MATCH(UI!$B$1,Tbl_Color[#Headers],0),2),FALSE),""),"Unset")</f>
        <v>綠</v>
      </c>
      <c r="K739" t="str">
        <f>_xlfn.IFNA(IF(I739&lt;&gt;0,VLOOKUP(I739,ItemText[],IFERROR(MATCH(UI!$B$1,ItemText[#Headers],0),2),FALSE),""),"Unset")</f>
        <v>遼闊的幽靜暗淡情景</v>
      </c>
      <c r="L739" t="str">
        <f t="shared" si="78"/>
        <v/>
      </c>
      <c r="M739">
        <v>0</v>
      </c>
      <c r="N739" t="str">
        <f>IF(VALUE(M739)=0,"",VLOOKUP(VLOOKUP(M739,Tbl_Effect[],3,FALSE),EffectName[],IFERROR(MATCH(UI!$B$1,EffectName[#Headers],0),2),FALSE))</f>
        <v/>
      </c>
      <c r="O739" t="str">
        <f t="shared" si="79"/>
        <v/>
      </c>
      <c r="P739">
        <v>0</v>
      </c>
      <c r="Q739" t="str">
        <f>IF(VALUE(P739)=0,"",VLOOKUP(VLOOKUP(P739,Tbl_Effect[],3,FALSE),EffectName[],IFERROR(MATCH(UI!$B$1,EffectName[#Headers],0),2),FALSE))</f>
        <v/>
      </c>
      <c r="R739" t="str">
        <f t="shared" si="80"/>
        <v/>
      </c>
      <c r="S739">
        <v>0</v>
      </c>
      <c r="T739" t="str">
        <f>IF(VALUE(S739)=0,"",VLOOKUP(VLOOKUP(S739,Tbl_Effect[],3,FALSE),EffectName[],IFERROR(MATCH(UI!$B$1,EffectName[#Headers],0),2),FALSE))</f>
        <v/>
      </c>
      <c r="U739" t="str">
        <f t="shared" si="81"/>
        <v/>
      </c>
      <c r="V739">
        <v>0</v>
      </c>
      <c r="W739" t="str">
        <f>IF(V739&lt;&gt;0,VLOOKUP(VLOOKUP(V739,Tbl_Effect[],3,FALSE),EffectName[],IFERROR(MATCH(UI!$B$1,EffectName[#Headers],0),2),FALSE),"")</f>
        <v/>
      </c>
      <c r="X739" t="str">
        <f t="shared" si="82"/>
        <v/>
      </c>
      <c r="Y739">
        <v>0</v>
      </c>
      <c r="Z739" t="str">
        <f>IF(Y739&lt;&gt;0,VLOOKUP(VLOOKUP(Y739,Tbl_Effect[],3,FALSE),EffectName[],IFERROR(MATCH(UI!$B$1,EffectName[#Headers],0),2),FALSE),"")</f>
        <v/>
      </c>
      <c r="AA739" t="str">
        <f t="shared" si="83"/>
        <v/>
      </c>
      <c r="AB739">
        <v>0</v>
      </c>
      <c r="AC739" t="str">
        <f>IF(AB739&lt;&gt;0,VLOOKUP(VLOOKUP(AB739,Tbl_Effect[],3,FALSE),EffectName[],IFERROR(MATCH(UI!$B$1,EffectName[#Headers],0),2),FALSE),"")</f>
        <v/>
      </c>
    </row>
    <row r="740" spans="8:29" x14ac:dyDescent="0.4">
      <c r="H740" t="str">
        <f t="shared" si="77"/>
        <v>2003320-細膩的幽靜暗淡情景 (綠)</v>
      </c>
      <c r="I740">
        <v>2003320</v>
      </c>
      <c r="J740" t="str">
        <f>_xlfn.IFNA(IF(I740&lt;&gt;0,VLOOKUP(VLOOKUP(I740,Tbl_Equip[],2,FALSE),Tbl_Color[],IFERROR(MATCH(UI!$B$1,Tbl_Color[#Headers],0),2),FALSE),""),"Unset")</f>
        <v>綠</v>
      </c>
      <c r="K740" t="str">
        <f>_xlfn.IFNA(IF(I740&lt;&gt;0,VLOOKUP(I740,ItemText[],IFERROR(MATCH(UI!$B$1,ItemText[#Headers],0),2),FALSE),""),"Unset")</f>
        <v>細膩的幽靜暗淡情景</v>
      </c>
      <c r="L740" t="str">
        <f t="shared" si="78"/>
        <v/>
      </c>
      <c r="M740">
        <v>0</v>
      </c>
      <c r="N740" t="str">
        <f>IF(VALUE(M740)=0,"",VLOOKUP(VLOOKUP(M740,Tbl_Effect[],3,FALSE),EffectName[],IFERROR(MATCH(UI!$B$1,EffectName[#Headers],0),2),FALSE))</f>
        <v/>
      </c>
      <c r="O740" t="str">
        <f t="shared" si="79"/>
        <v/>
      </c>
      <c r="P740">
        <v>0</v>
      </c>
      <c r="Q740" t="str">
        <f>IF(VALUE(P740)=0,"",VLOOKUP(VLOOKUP(P740,Tbl_Effect[],3,FALSE),EffectName[],IFERROR(MATCH(UI!$B$1,EffectName[#Headers],0),2),FALSE))</f>
        <v/>
      </c>
      <c r="R740" t="str">
        <f t="shared" si="80"/>
        <v/>
      </c>
      <c r="S740">
        <v>0</v>
      </c>
      <c r="T740" t="str">
        <f>IF(VALUE(S740)=0,"",VLOOKUP(VLOOKUP(S740,Tbl_Effect[],3,FALSE),EffectName[],IFERROR(MATCH(UI!$B$1,EffectName[#Headers],0),2),FALSE))</f>
        <v/>
      </c>
      <c r="U740" t="str">
        <f t="shared" si="81"/>
        <v/>
      </c>
      <c r="V740">
        <v>0</v>
      </c>
      <c r="W740" t="str">
        <f>IF(V740&lt;&gt;0,VLOOKUP(VLOOKUP(V740,Tbl_Effect[],3,FALSE),EffectName[],IFERROR(MATCH(UI!$B$1,EffectName[#Headers],0),2),FALSE),"")</f>
        <v/>
      </c>
      <c r="X740" t="str">
        <f t="shared" si="82"/>
        <v/>
      </c>
      <c r="Y740">
        <v>0</v>
      </c>
      <c r="Z740" t="str">
        <f>IF(Y740&lt;&gt;0,VLOOKUP(VLOOKUP(Y740,Tbl_Effect[],3,FALSE),EffectName[],IFERROR(MATCH(UI!$B$1,EffectName[#Headers],0),2),FALSE),"")</f>
        <v/>
      </c>
      <c r="AA740" t="str">
        <f t="shared" si="83"/>
        <v/>
      </c>
      <c r="AB740">
        <v>0</v>
      </c>
      <c r="AC740" t="str">
        <f>IF(AB740&lt;&gt;0,VLOOKUP(VLOOKUP(AB740,Tbl_Effect[],3,FALSE),EffectName[],IFERROR(MATCH(UI!$B$1,EffectName[#Headers],0),2),FALSE),"")</f>
        <v/>
      </c>
    </row>
    <row r="741" spans="8:29" x14ac:dyDescent="0.4">
      <c r="H741" t="str">
        <f t="shared" si="77"/>
        <v>2003321-端正的幽靜暗淡情景 (綠)</v>
      </c>
      <c r="I741">
        <v>2003321</v>
      </c>
      <c r="J741" t="str">
        <f>_xlfn.IFNA(IF(I741&lt;&gt;0,VLOOKUP(VLOOKUP(I741,Tbl_Equip[],2,FALSE),Tbl_Color[],IFERROR(MATCH(UI!$B$1,Tbl_Color[#Headers],0),2),FALSE),""),"Unset")</f>
        <v>綠</v>
      </c>
      <c r="K741" t="str">
        <f>_xlfn.IFNA(IF(I741&lt;&gt;0,VLOOKUP(I741,ItemText[],IFERROR(MATCH(UI!$B$1,ItemText[#Headers],0),2),FALSE),""),"Unset")</f>
        <v>端正的幽靜暗淡情景</v>
      </c>
      <c r="L741" t="str">
        <f t="shared" si="78"/>
        <v/>
      </c>
      <c r="M741">
        <v>0</v>
      </c>
      <c r="N741" t="str">
        <f>IF(VALUE(M741)=0,"",VLOOKUP(VLOOKUP(M741,Tbl_Effect[],3,FALSE),EffectName[],IFERROR(MATCH(UI!$B$1,EffectName[#Headers],0),2),FALSE))</f>
        <v/>
      </c>
      <c r="O741" t="str">
        <f t="shared" si="79"/>
        <v/>
      </c>
      <c r="P741">
        <v>0</v>
      </c>
      <c r="Q741" t="str">
        <f>IF(VALUE(P741)=0,"",VLOOKUP(VLOOKUP(P741,Tbl_Effect[],3,FALSE),EffectName[],IFERROR(MATCH(UI!$B$1,EffectName[#Headers],0),2),FALSE))</f>
        <v/>
      </c>
      <c r="R741" t="str">
        <f t="shared" si="80"/>
        <v/>
      </c>
      <c r="S741">
        <v>0</v>
      </c>
      <c r="T741" t="str">
        <f>IF(VALUE(S741)=0,"",VLOOKUP(VLOOKUP(S741,Tbl_Effect[],3,FALSE),EffectName[],IFERROR(MATCH(UI!$B$1,EffectName[#Headers],0),2),FALSE))</f>
        <v/>
      </c>
      <c r="U741" t="str">
        <f t="shared" si="81"/>
        <v/>
      </c>
      <c r="V741">
        <v>0</v>
      </c>
      <c r="W741" t="str">
        <f>IF(V741&lt;&gt;0,VLOOKUP(VLOOKUP(V741,Tbl_Effect[],3,FALSE),EffectName[],IFERROR(MATCH(UI!$B$1,EffectName[#Headers],0),2),FALSE),"")</f>
        <v/>
      </c>
      <c r="X741" t="str">
        <f t="shared" si="82"/>
        <v/>
      </c>
      <c r="Y741">
        <v>0</v>
      </c>
      <c r="Z741" t="str">
        <f>IF(Y741&lt;&gt;0,VLOOKUP(VLOOKUP(Y741,Tbl_Effect[],3,FALSE),EffectName[],IFERROR(MATCH(UI!$B$1,EffectName[#Headers],0),2),FALSE),"")</f>
        <v/>
      </c>
      <c r="AA741" t="str">
        <f t="shared" si="83"/>
        <v/>
      </c>
      <c r="AB741">
        <v>0</v>
      </c>
      <c r="AC741" t="str">
        <f>IF(AB741&lt;&gt;0,VLOOKUP(VLOOKUP(AB741,Tbl_Effect[],3,FALSE),EffectName[],IFERROR(MATCH(UI!$B$1,EffectName[#Headers],0),2),FALSE),"")</f>
        <v/>
      </c>
    </row>
    <row r="742" spans="8:29" x14ac:dyDescent="0.4">
      <c r="H742" t="str">
        <f t="shared" si="77"/>
        <v>2003322-遼闊的幽靜暗淡情景 (綠)</v>
      </c>
      <c r="I742">
        <v>2003322</v>
      </c>
      <c r="J742" t="str">
        <f>_xlfn.IFNA(IF(I742&lt;&gt;0,VLOOKUP(VLOOKUP(I742,Tbl_Equip[],2,FALSE),Tbl_Color[],IFERROR(MATCH(UI!$B$1,Tbl_Color[#Headers],0),2),FALSE),""),"Unset")</f>
        <v>綠</v>
      </c>
      <c r="K742" t="str">
        <f>_xlfn.IFNA(IF(I742&lt;&gt;0,VLOOKUP(I742,ItemText[],IFERROR(MATCH(UI!$B$1,ItemText[#Headers],0),2),FALSE),""),"Unset")</f>
        <v>遼闊的幽靜暗淡情景</v>
      </c>
      <c r="L742" t="str">
        <f t="shared" si="78"/>
        <v/>
      </c>
      <c r="M742">
        <v>0</v>
      </c>
      <c r="N742" t="str">
        <f>IF(VALUE(M742)=0,"",VLOOKUP(VLOOKUP(M742,Tbl_Effect[],3,FALSE),EffectName[],IFERROR(MATCH(UI!$B$1,EffectName[#Headers],0),2),FALSE))</f>
        <v/>
      </c>
      <c r="O742" t="str">
        <f t="shared" si="79"/>
        <v/>
      </c>
      <c r="P742">
        <v>0</v>
      </c>
      <c r="Q742" t="str">
        <f>IF(VALUE(P742)=0,"",VLOOKUP(VLOOKUP(P742,Tbl_Effect[],3,FALSE),EffectName[],IFERROR(MATCH(UI!$B$1,EffectName[#Headers],0),2),FALSE))</f>
        <v/>
      </c>
      <c r="R742" t="str">
        <f t="shared" si="80"/>
        <v/>
      </c>
      <c r="S742">
        <v>0</v>
      </c>
      <c r="T742" t="str">
        <f>IF(VALUE(S742)=0,"",VLOOKUP(VLOOKUP(S742,Tbl_Effect[],3,FALSE),EffectName[],IFERROR(MATCH(UI!$B$1,EffectName[#Headers],0),2),FALSE))</f>
        <v/>
      </c>
      <c r="U742" t="str">
        <f t="shared" si="81"/>
        <v/>
      </c>
      <c r="V742">
        <v>0</v>
      </c>
      <c r="W742" t="str">
        <f>IF(V742&lt;&gt;0,VLOOKUP(VLOOKUP(V742,Tbl_Effect[],3,FALSE),EffectName[],IFERROR(MATCH(UI!$B$1,EffectName[#Headers],0),2),FALSE),"")</f>
        <v/>
      </c>
      <c r="X742" t="str">
        <f t="shared" si="82"/>
        <v/>
      </c>
      <c r="Y742">
        <v>0</v>
      </c>
      <c r="Z742" t="str">
        <f>IF(Y742&lt;&gt;0,VLOOKUP(VLOOKUP(Y742,Tbl_Effect[],3,FALSE),EffectName[],IFERROR(MATCH(UI!$B$1,EffectName[#Headers],0),2),FALSE),"")</f>
        <v/>
      </c>
      <c r="AA742" t="str">
        <f t="shared" si="83"/>
        <v/>
      </c>
      <c r="AB742">
        <v>0</v>
      </c>
      <c r="AC742" t="str">
        <f>IF(AB742&lt;&gt;0,VLOOKUP(VLOOKUP(AB742,Tbl_Effect[],3,FALSE),EffectName[],IFERROR(MATCH(UI!$B$1,EffectName[#Headers],0),2),FALSE),"")</f>
        <v/>
      </c>
    </row>
    <row r="743" spans="8:29" x14ac:dyDescent="0.4">
      <c r="H743" t="str">
        <f t="shared" si="77"/>
        <v>2010000-細膩的火燃暗淡情景 (紅)</v>
      </c>
      <c r="I743">
        <v>2010000</v>
      </c>
      <c r="J743" t="str">
        <f>_xlfn.IFNA(IF(I743&lt;&gt;0,VLOOKUP(VLOOKUP(I743,Tbl_Equip[],2,FALSE),Tbl_Color[],IFERROR(MATCH(UI!$B$1,Tbl_Color[#Headers],0),2),FALSE),""),"Unset")</f>
        <v>紅</v>
      </c>
      <c r="K743" t="str">
        <f>_xlfn.IFNA(IF(I743&lt;&gt;0,VLOOKUP(I743,ItemText[],IFERROR(MATCH(UI!$B$1,ItemText[#Headers],0),2),FALSE),""),"Unset")</f>
        <v>細膩的火燃暗淡情景</v>
      </c>
      <c r="L743" t="str">
        <f t="shared" si="78"/>
        <v/>
      </c>
      <c r="M743">
        <v>0</v>
      </c>
      <c r="N743" t="str">
        <f>IF(VALUE(M743)=0,"",VLOOKUP(VLOOKUP(M743,Tbl_Effect[],3,FALSE),EffectName[],IFERROR(MATCH(UI!$B$1,EffectName[#Headers],0),2),FALSE))</f>
        <v/>
      </c>
      <c r="O743" t="str">
        <f t="shared" si="79"/>
        <v/>
      </c>
      <c r="P743">
        <v>0</v>
      </c>
      <c r="Q743" t="str">
        <f>IF(VALUE(P743)=0,"",VLOOKUP(VLOOKUP(P743,Tbl_Effect[],3,FALSE),EffectName[],IFERROR(MATCH(UI!$B$1,EffectName[#Headers],0),2),FALSE))</f>
        <v/>
      </c>
      <c r="R743" t="str">
        <f t="shared" si="80"/>
        <v/>
      </c>
      <c r="S743">
        <v>0</v>
      </c>
      <c r="T743" t="str">
        <f>IF(VALUE(S743)=0,"",VLOOKUP(VLOOKUP(S743,Tbl_Effect[],3,FALSE),EffectName[],IFERROR(MATCH(UI!$B$1,EffectName[#Headers],0),2),FALSE))</f>
        <v/>
      </c>
      <c r="U743" t="str">
        <f t="shared" si="81"/>
        <v/>
      </c>
      <c r="V743">
        <v>0</v>
      </c>
      <c r="W743" t="str">
        <f>IF(V743&lt;&gt;0,VLOOKUP(VLOOKUP(V743,Tbl_Effect[],3,FALSE),EffectName[],IFERROR(MATCH(UI!$B$1,EffectName[#Headers],0),2),FALSE),"")</f>
        <v/>
      </c>
      <c r="X743" t="str">
        <f t="shared" si="82"/>
        <v/>
      </c>
      <c r="Y743">
        <v>0</v>
      </c>
      <c r="Z743" t="str">
        <f>IF(Y743&lt;&gt;0,VLOOKUP(VLOOKUP(Y743,Tbl_Effect[],3,FALSE),EffectName[],IFERROR(MATCH(UI!$B$1,EffectName[#Headers],0),2),FALSE),"")</f>
        <v/>
      </c>
      <c r="AA743" t="str">
        <f t="shared" si="83"/>
        <v/>
      </c>
      <c r="AB743">
        <v>0</v>
      </c>
      <c r="AC743" t="str">
        <f>IF(AB743&lt;&gt;0,VLOOKUP(VLOOKUP(AB743,Tbl_Effect[],3,FALSE),EffectName[],IFERROR(MATCH(UI!$B$1,EffectName[#Headers],0),2),FALSE),"")</f>
        <v/>
      </c>
    </row>
    <row r="744" spans="8:29" x14ac:dyDescent="0.4">
      <c r="H744" t="str">
        <f t="shared" si="77"/>
        <v>2010001-端正的火燃暗淡情景 (紅)</v>
      </c>
      <c r="I744">
        <v>2010001</v>
      </c>
      <c r="J744" t="str">
        <f>_xlfn.IFNA(IF(I744&lt;&gt;0,VLOOKUP(VLOOKUP(I744,Tbl_Equip[],2,FALSE),Tbl_Color[],IFERROR(MATCH(UI!$B$1,Tbl_Color[#Headers],0),2),FALSE),""),"Unset")</f>
        <v>紅</v>
      </c>
      <c r="K744" t="str">
        <f>_xlfn.IFNA(IF(I744&lt;&gt;0,VLOOKUP(I744,ItemText[],IFERROR(MATCH(UI!$B$1,ItemText[#Headers],0),2),FALSE),""),"Unset")</f>
        <v>端正的火燃暗淡情景</v>
      </c>
      <c r="L744" t="str">
        <f t="shared" si="78"/>
        <v/>
      </c>
      <c r="M744">
        <v>0</v>
      </c>
      <c r="N744" t="str">
        <f>IF(VALUE(M744)=0,"",VLOOKUP(VLOOKUP(M744,Tbl_Effect[],3,FALSE),EffectName[],IFERROR(MATCH(UI!$B$1,EffectName[#Headers],0),2),FALSE))</f>
        <v/>
      </c>
      <c r="O744" t="str">
        <f t="shared" si="79"/>
        <v/>
      </c>
      <c r="P744">
        <v>0</v>
      </c>
      <c r="Q744" t="str">
        <f>IF(VALUE(P744)=0,"",VLOOKUP(VLOOKUP(P744,Tbl_Effect[],3,FALSE),EffectName[],IFERROR(MATCH(UI!$B$1,EffectName[#Headers],0),2),FALSE))</f>
        <v/>
      </c>
      <c r="R744" t="str">
        <f t="shared" si="80"/>
        <v/>
      </c>
      <c r="S744">
        <v>0</v>
      </c>
      <c r="T744" t="str">
        <f>IF(VALUE(S744)=0,"",VLOOKUP(VLOOKUP(S744,Tbl_Effect[],3,FALSE),EffectName[],IFERROR(MATCH(UI!$B$1,EffectName[#Headers],0),2),FALSE))</f>
        <v/>
      </c>
      <c r="U744" t="str">
        <f t="shared" si="81"/>
        <v/>
      </c>
      <c r="V744">
        <v>0</v>
      </c>
      <c r="W744" t="str">
        <f>IF(V744&lt;&gt;0,VLOOKUP(VLOOKUP(V744,Tbl_Effect[],3,FALSE),EffectName[],IFERROR(MATCH(UI!$B$1,EffectName[#Headers],0),2),FALSE),"")</f>
        <v/>
      </c>
      <c r="X744" t="str">
        <f t="shared" si="82"/>
        <v/>
      </c>
      <c r="Y744">
        <v>0</v>
      </c>
      <c r="Z744" t="str">
        <f>IF(Y744&lt;&gt;0,VLOOKUP(VLOOKUP(Y744,Tbl_Effect[],3,FALSE),EffectName[],IFERROR(MATCH(UI!$B$1,EffectName[#Headers],0),2),FALSE),"")</f>
        <v/>
      </c>
      <c r="AA744" t="str">
        <f t="shared" si="83"/>
        <v/>
      </c>
      <c r="AB744">
        <v>0</v>
      </c>
      <c r="AC744" t="str">
        <f>IF(AB744&lt;&gt;0,VLOOKUP(VLOOKUP(AB744,Tbl_Effect[],3,FALSE),EffectName[],IFERROR(MATCH(UI!$B$1,EffectName[#Headers],0),2),FALSE),"")</f>
        <v/>
      </c>
    </row>
    <row r="745" spans="8:29" x14ac:dyDescent="0.4">
      <c r="H745" t="str">
        <f t="shared" si="77"/>
        <v>2010002-遼闊的火燃暗淡情景 (紅)</v>
      </c>
      <c r="I745">
        <v>2010002</v>
      </c>
      <c r="J745" t="str">
        <f>_xlfn.IFNA(IF(I745&lt;&gt;0,VLOOKUP(VLOOKUP(I745,Tbl_Equip[],2,FALSE),Tbl_Color[],IFERROR(MATCH(UI!$B$1,Tbl_Color[#Headers],0),2),FALSE),""),"Unset")</f>
        <v>紅</v>
      </c>
      <c r="K745" t="str">
        <f>_xlfn.IFNA(IF(I745&lt;&gt;0,VLOOKUP(I745,ItemText[],IFERROR(MATCH(UI!$B$1,ItemText[#Headers],0),2),FALSE),""),"Unset")</f>
        <v>遼闊的火燃暗淡情景</v>
      </c>
      <c r="L745" t="str">
        <f t="shared" si="78"/>
        <v/>
      </c>
      <c r="M745">
        <v>0</v>
      </c>
      <c r="N745" t="str">
        <f>IF(VALUE(M745)=0,"",VLOOKUP(VLOOKUP(M745,Tbl_Effect[],3,FALSE),EffectName[],IFERROR(MATCH(UI!$B$1,EffectName[#Headers],0),2),FALSE))</f>
        <v/>
      </c>
      <c r="O745" t="str">
        <f t="shared" si="79"/>
        <v/>
      </c>
      <c r="P745">
        <v>0</v>
      </c>
      <c r="Q745" t="str">
        <f>IF(VALUE(P745)=0,"",VLOOKUP(VLOOKUP(P745,Tbl_Effect[],3,FALSE),EffectName[],IFERROR(MATCH(UI!$B$1,EffectName[#Headers],0),2),FALSE))</f>
        <v/>
      </c>
      <c r="R745" t="str">
        <f t="shared" si="80"/>
        <v/>
      </c>
      <c r="S745">
        <v>0</v>
      </c>
      <c r="T745" t="str">
        <f>IF(VALUE(S745)=0,"",VLOOKUP(VLOOKUP(S745,Tbl_Effect[],3,FALSE),EffectName[],IFERROR(MATCH(UI!$B$1,EffectName[#Headers],0),2),FALSE))</f>
        <v/>
      </c>
      <c r="U745" t="str">
        <f t="shared" si="81"/>
        <v/>
      </c>
      <c r="V745">
        <v>0</v>
      </c>
      <c r="W745" t="str">
        <f>IF(V745&lt;&gt;0,VLOOKUP(VLOOKUP(V745,Tbl_Effect[],3,FALSE),EffectName[],IFERROR(MATCH(UI!$B$1,EffectName[#Headers],0),2),FALSE),"")</f>
        <v/>
      </c>
      <c r="X745" t="str">
        <f t="shared" si="82"/>
        <v/>
      </c>
      <c r="Y745">
        <v>0</v>
      </c>
      <c r="Z745" t="str">
        <f>IF(Y745&lt;&gt;0,VLOOKUP(VLOOKUP(Y745,Tbl_Effect[],3,FALSE),EffectName[],IFERROR(MATCH(UI!$B$1,EffectName[#Headers],0),2),FALSE),"")</f>
        <v/>
      </c>
      <c r="AA745" t="str">
        <f t="shared" si="83"/>
        <v/>
      </c>
      <c r="AB745">
        <v>0</v>
      </c>
      <c r="AC745" t="str">
        <f>IF(AB745&lt;&gt;0,VLOOKUP(VLOOKUP(AB745,Tbl_Effect[],3,FALSE),EffectName[],IFERROR(MATCH(UI!$B$1,EffectName[#Headers],0),2),FALSE),"")</f>
        <v/>
      </c>
    </row>
    <row r="746" spans="8:29" x14ac:dyDescent="0.4">
      <c r="H746" t="str">
        <f t="shared" si="77"/>
        <v>2010010-細膩的火燃暗淡情景 (紅)</v>
      </c>
      <c r="I746">
        <v>2010010</v>
      </c>
      <c r="J746" t="str">
        <f>_xlfn.IFNA(IF(I746&lt;&gt;0,VLOOKUP(VLOOKUP(I746,Tbl_Equip[],2,FALSE),Tbl_Color[],IFERROR(MATCH(UI!$B$1,Tbl_Color[#Headers],0),2),FALSE),""),"Unset")</f>
        <v>紅</v>
      </c>
      <c r="K746" t="str">
        <f>_xlfn.IFNA(IF(I746&lt;&gt;0,VLOOKUP(I746,ItemText[],IFERROR(MATCH(UI!$B$1,ItemText[#Headers],0),2),FALSE),""),"Unset")</f>
        <v>細膩的火燃暗淡情景</v>
      </c>
      <c r="L746" t="str">
        <f t="shared" si="78"/>
        <v/>
      </c>
      <c r="M746">
        <v>0</v>
      </c>
      <c r="N746" t="str">
        <f>IF(VALUE(M746)=0,"",VLOOKUP(VLOOKUP(M746,Tbl_Effect[],3,FALSE),EffectName[],IFERROR(MATCH(UI!$B$1,EffectName[#Headers],0),2),FALSE))</f>
        <v/>
      </c>
      <c r="O746" t="str">
        <f t="shared" si="79"/>
        <v/>
      </c>
      <c r="P746">
        <v>0</v>
      </c>
      <c r="Q746" t="str">
        <f>IF(VALUE(P746)=0,"",VLOOKUP(VLOOKUP(P746,Tbl_Effect[],3,FALSE),EffectName[],IFERROR(MATCH(UI!$B$1,EffectName[#Headers],0),2),FALSE))</f>
        <v/>
      </c>
      <c r="R746" t="str">
        <f t="shared" si="80"/>
        <v/>
      </c>
      <c r="S746">
        <v>0</v>
      </c>
      <c r="T746" t="str">
        <f>IF(VALUE(S746)=0,"",VLOOKUP(VLOOKUP(S746,Tbl_Effect[],3,FALSE),EffectName[],IFERROR(MATCH(UI!$B$1,EffectName[#Headers],0),2),FALSE))</f>
        <v/>
      </c>
      <c r="U746" t="str">
        <f t="shared" si="81"/>
        <v/>
      </c>
      <c r="V746">
        <v>0</v>
      </c>
      <c r="W746" t="str">
        <f>IF(V746&lt;&gt;0,VLOOKUP(VLOOKUP(V746,Tbl_Effect[],3,FALSE),EffectName[],IFERROR(MATCH(UI!$B$1,EffectName[#Headers],0),2),FALSE),"")</f>
        <v/>
      </c>
      <c r="X746" t="str">
        <f t="shared" si="82"/>
        <v/>
      </c>
      <c r="Y746">
        <v>0</v>
      </c>
      <c r="Z746" t="str">
        <f>IF(Y746&lt;&gt;0,VLOOKUP(VLOOKUP(Y746,Tbl_Effect[],3,FALSE),EffectName[],IFERROR(MATCH(UI!$B$1,EffectName[#Headers],0),2),FALSE),"")</f>
        <v/>
      </c>
      <c r="AA746" t="str">
        <f t="shared" si="83"/>
        <v/>
      </c>
      <c r="AB746">
        <v>0</v>
      </c>
      <c r="AC746" t="str">
        <f>IF(AB746&lt;&gt;0,VLOOKUP(VLOOKUP(AB746,Tbl_Effect[],3,FALSE),EffectName[],IFERROR(MATCH(UI!$B$1,EffectName[#Headers],0),2),FALSE),"")</f>
        <v/>
      </c>
    </row>
    <row r="747" spans="8:29" x14ac:dyDescent="0.4">
      <c r="H747" t="str">
        <f t="shared" si="77"/>
        <v>2010011-端正的火燃暗淡情景 (紅)</v>
      </c>
      <c r="I747">
        <v>2010011</v>
      </c>
      <c r="J747" t="str">
        <f>_xlfn.IFNA(IF(I747&lt;&gt;0,VLOOKUP(VLOOKUP(I747,Tbl_Equip[],2,FALSE),Tbl_Color[],IFERROR(MATCH(UI!$B$1,Tbl_Color[#Headers],0),2),FALSE),""),"Unset")</f>
        <v>紅</v>
      </c>
      <c r="K747" t="str">
        <f>_xlfn.IFNA(IF(I747&lt;&gt;0,VLOOKUP(I747,ItemText[],IFERROR(MATCH(UI!$B$1,ItemText[#Headers],0),2),FALSE),""),"Unset")</f>
        <v>端正的火燃暗淡情景</v>
      </c>
      <c r="L747" t="str">
        <f t="shared" si="78"/>
        <v/>
      </c>
      <c r="M747">
        <v>0</v>
      </c>
      <c r="N747" t="str">
        <f>IF(VALUE(M747)=0,"",VLOOKUP(VLOOKUP(M747,Tbl_Effect[],3,FALSE),EffectName[],IFERROR(MATCH(UI!$B$1,EffectName[#Headers],0),2),FALSE))</f>
        <v/>
      </c>
      <c r="O747" t="str">
        <f t="shared" si="79"/>
        <v/>
      </c>
      <c r="P747">
        <v>0</v>
      </c>
      <c r="Q747" t="str">
        <f>IF(VALUE(P747)=0,"",VLOOKUP(VLOOKUP(P747,Tbl_Effect[],3,FALSE),EffectName[],IFERROR(MATCH(UI!$B$1,EffectName[#Headers],0),2),FALSE))</f>
        <v/>
      </c>
      <c r="R747" t="str">
        <f t="shared" si="80"/>
        <v/>
      </c>
      <c r="S747">
        <v>0</v>
      </c>
      <c r="T747" t="str">
        <f>IF(VALUE(S747)=0,"",VLOOKUP(VLOOKUP(S747,Tbl_Effect[],3,FALSE),EffectName[],IFERROR(MATCH(UI!$B$1,EffectName[#Headers],0),2),FALSE))</f>
        <v/>
      </c>
      <c r="U747" t="str">
        <f t="shared" si="81"/>
        <v/>
      </c>
      <c r="V747">
        <v>0</v>
      </c>
      <c r="W747" t="str">
        <f>IF(V747&lt;&gt;0,VLOOKUP(VLOOKUP(V747,Tbl_Effect[],3,FALSE),EffectName[],IFERROR(MATCH(UI!$B$1,EffectName[#Headers],0),2),FALSE),"")</f>
        <v/>
      </c>
      <c r="X747" t="str">
        <f t="shared" si="82"/>
        <v/>
      </c>
      <c r="Y747">
        <v>0</v>
      </c>
      <c r="Z747" t="str">
        <f>IF(Y747&lt;&gt;0,VLOOKUP(VLOOKUP(Y747,Tbl_Effect[],3,FALSE),EffectName[],IFERROR(MATCH(UI!$B$1,EffectName[#Headers],0),2),FALSE),"")</f>
        <v/>
      </c>
      <c r="AA747" t="str">
        <f t="shared" si="83"/>
        <v/>
      </c>
      <c r="AB747">
        <v>0</v>
      </c>
      <c r="AC747" t="str">
        <f>IF(AB747&lt;&gt;0,VLOOKUP(VLOOKUP(AB747,Tbl_Effect[],3,FALSE),EffectName[],IFERROR(MATCH(UI!$B$1,EffectName[#Headers],0),2),FALSE),"")</f>
        <v/>
      </c>
    </row>
    <row r="748" spans="8:29" x14ac:dyDescent="0.4">
      <c r="H748" t="str">
        <f t="shared" si="77"/>
        <v>2010012-遼闊的火燃暗淡情景 (紅)</v>
      </c>
      <c r="I748">
        <v>2010012</v>
      </c>
      <c r="J748" t="str">
        <f>_xlfn.IFNA(IF(I748&lt;&gt;0,VLOOKUP(VLOOKUP(I748,Tbl_Equip[],2,FALSE),Tbl_Color[],IFERROR(MATCH(UI!$B$1,Tbl_Color[#Headers],0),2),FALSE),""),"Unset")</f>
        <v>紅</v>
      </c>
      <c r="K748" t="str">
        <f>_xlfn.IFNA(IF(I748&lt;&gt;0,VLOOKUP(I748,ItemText[],IFERROR(MATCH(UI!$B$1,ItemText[#Headers],0),2),FALSE),""),"Unset")</f>
        <v>遼闊的火燃暗淡情景</v>
      </c>
      <c r="L748" t="str">
        <f t="shared" si="78"/>
        <v/>
      </c>
      <c r="M748">
        <v>0</v>
      </c>
      <c r="N748" t="str">
        <f>IF(VALUE(M748)=0,"",VLOOKUP(VLOOKUP(M748,Tbl_Effect[],3,FALSE),EffectName[],IFERROR(MATCH(UI!$B$1,EffectName[#Headers],0),2),FALSE))</f>
        <v/>
      </c>
      <c r="O748" t="str">
        <f t="shared" si="79"/>
        <v/>
      </c>
      <c r="P748">
        <v>0</v>
      </c>
      <c r="Q748" t="str">
        <f>IF(VALUE(P748)=0,"",VLOOKUP(VLOOKUP(P748,Tbl_Effect[],3,FALSE),EffectName[],IFERROR(MATCH(UI!$B$1,EffectName[#Headers],0),2),FALSE))</f>
        <v/>
      </c>
      <c r="R748" t="str">
        <f t="shared" si="80"/>
        <v/>
      </c>
      <c r="S748">
        <v>0</v>
      </c>
      <c r="T748" t="str">
        <f>IF(VALUE(S748)=0,"",VLOOKUP(VLOOKUP(S748,Tbl_Effect[],3,FALSE),EffectName[],IFERROR(MATCH(UI!$B$1,EffectName[#Headers],0),2),FALSE))</f>
        <v/>
      </c>
      <c r="U748" t="str">
        <f t="shared" si="81"/>
        <v/>
      </c>
      <c r="V748">
        <v>0</v>
      </c>
      <c r="W748" t="str">
        <f>IF(V748&lt;&gt;0,VLOOKUP(VLOOKUP(V748,Tbl_Effect[],3,FALSE),EffectName[],IFERROR(MATCH(UI!$B$1,EffectName[#Headers],0),2),FALSE),"")</f>
        <v/>
      </c>
      <c r="X748" t="str">
        <f t="shared" si="82"/>
        <v/>
      </c>
      <c r="Y748">
        <v>0</v>
      </c>
      <c r="Z748" t="str">
        <f>IF(Y748&lt;&gt;0,VLOOKUP(VLOOKUP(Y748,Tbl_Effect[],3,FALSE),EffectName[],IFERROR(MATCH(UI!$B$1,EffectName[#Headers],0),2),FALSE),"")</f>
        <v/>
      </c>
      <c r="AA748" t="str">
        <f t="shared" si="83"/>
        <v/>
      </c>
      <c r="AB748">
        <v>0</v>
      </c>
      <c r="AC748" t="str">
        <f>IF(AB748&lt;&gt;0,VLOOKUP(VLOOKUP(AB748,Tbl_Effect[],3,FALSE),EffectName[],IFERROR(MATCH(UI!$B$1,EffectName[#Headers],0),2),FALSE),"")</f>
        <v/>
      </c>
    </row>
    <row r="749" spans="8:29" x14ac:dyDescent="0.4">
      <c r="H749" t="str">
        <f t="shared" si="77"/>
        <v>2010020-細膩的火燃暗淡情景 (紅)</v>
      </c>
      <c r="I749">
        <v>2010020</v>
      </c>
      <c r="J749" t="str">
        <f>_xlfn.IFNA(IF(I749&lt;&gt;0,VLOOKUP(VLOOKUP(I749,Tbl_Equip[],2,FALSE),Tbl_Color[],IFERROR(MATCH(UI!$B$1,Tbl_Color[#Headers],0),2),FALSE),""),"Unset")</f>
        <v>紅</v>
      </c>
      <c r="K749" t="str">
        <f>_xlfn.IFNA(IF(I749&lt;&gt;0,VLOOKUP(I749,ItemText[],IFERROR(MATCH(UI!$B$1,ItemText[#Headers],0),2),FALSE),""),"Unset")</f>
        <v>細膩的火燃暗淡情景</v>
      </c>
      <c r="L749" t="str">
        <f t="shared" si="78"/>
        <v/>
      </c>
      <c r="M749">
        <v>0</v>
      </c>
      <c r="N749" t="str">
        <f>IF(VALUE(M749)=0,"",VLOOKUP(VLOOKUP(M749,Tbl_Effect[],3,FALSE),EffectName[],IFERROR(MATCH(UI!$B$1,EffectName[#Headers],0),2),FALSE))</f>
        <v/>
      </c>
      <c r="O749" t="str">
        <f t="shared" si="79"/>
        <v/>
      </c>
      <c r="P749">
        <v>0</v>
      </c>
      <c r="Q749" t="str">
        <f>IF(VALUE(P749)=0,"",VLOOKUP(VLOOKUP(P749,Tbl_Effect[],3,FALSE),EffectName[],IFERROR(MATCH(UI!$B$1,EffectName[#Headers],0),2),FALSE))</f>
        <v/>
      </c>
      <c r="R749" t="str">
        <f t="shared" si="80"/>
        <v/>
      </c>
      <c r="S749">
        <v>0</v>
      </c>
      <c r="T749" t="str">
        <f>IF(VALUE(S749)=0,"",VLOOKUP(VLOOKUP(S749,Tbl_Effect[],3,FALSE),EffectName[],IFERROR(MATCH(UI!$B$1,EffectName[#Headers],0),2),FALSE))</f>
        <v/>
      </c>
      <c r="U749" t="str">
        <f t="shared" si="81"/>
        <v/>
      </c>
      <c r="V749">
        <v>0</v>
      </c>
      <c r="W749" t="str">
        <f>IF(V749&lt;&gt;0,VLOOKUP(VLOOKUP(V749,Tbl_Effect[],3,FALSE),EffectName[],IFERROR(MATCH(UI!$B$1,EffectName[#Headers],0),2),FALSE),"")</f>
        <v/>
      </c>
      <c r="X749" t="str">
        <f t="shared" si="82"/>
        <v/>
      </c>
      <c r="Y749">
        <v>0</v>
      </c>
      <c r="Z749" t="str">
        <f>IF(Y749&lt;&gt;0,VLOOKUP(VLOOKUP(Y749,Tbl_Effect[],3,FALSE),EffectName[],IFERROR(MATCH(UI!$B$1,EffectName[#Headers],0),2),FALSE),"")</f>
        <v/>
      </c>
      <c r="AA749" t="str">
        <f t="shared" si="83"/>
        <v/>
      </c>
      <c r="AB749">
        <v>0</v>
      </c>
      <c r="AC749" t="str">
        <f>IF(AB749&lt;&gt;0,VLOOKUP(VLOOKUP(AB749,Tbl_Effect[],3,FALSE),EffectName[],IFERROR(MATCH(UI!$B$1,EffectName[#Headers],0),2),FALSE),"")</f>
        <v/>
      </c>
    </row>
    <row r="750" spans="8:29" x14ac:dyDescent="0.4">
      <c r="H750" t="str">
        <f t="shared" si="77"/>
        <v>2010021-端正的火燃暗淡情景 (紅)</v>
      </c>
      <c r="I750">
        <v>2010021</v>
      </c>
      <c r="J750" t="str">
        <f>_xlfn.IFNA(IF(I750&lt;&gt;0,VLOOKUP(VLOOKUP(I750,Tbl_Equip[],2,FALSE),Tbl_Color[],IFERROR(MATCH(UI!$B$1,Tbl_Color[#Headers],0),2),FALSE),""),"Unset")</f>
        <v>紅</v>
      </c>
      <c r="K750" t="str">
        <f>_xlfn.IFNA(IF(I750&lt;&gt;0,VLOOKUP(I750,ItemText[],IFERROR(MATCH(UI!$B$1,ItemText[#Headers],0),2),FALSE),""),"Unset")</f>
        <v>端正的火燃暗淡情景</v>
      </c>
      <c r="L750" t="str">
        <f t="shared" si="78"/>
        <v/>
      </c>
      <c r="M750">
        <v>0</v>
      </c>
      <c r="N750" t="str">
        <f>IF(VALUE(M750)=0,"",VLOOKUP(VLOOKUP(M750,Tbl_Effect[],3,FALSE),EffectName[],IFERROR(MATCH(UI!$B$1,EffectName[#Headers],0),2),FALSE))</f>
        <v/>
      </c>
      <c r="O750" t="str">
        <f t="shared" si="79"/>
        <v/>
      </c>
      <c r="P750">
        <v>0</v>
      </c>
      <c r="Q750" t="str">
        <f>IF(VALUE(P750)=0,"",VLOOKUP(VLOOKUP(P750,Tbl_Effect[],3,FALSE),EffectName[],IFERROR(MATCH(UI!$B$1,EffectName[#Headers],0),2),FALSE))</f>
        <v/>
      </c>
      <c r="R750" t="str">
        <f t="shared" si="80"/>
        <v/>
      </c>
      <c r="S750">
        <v>0</v>
      </c>
      <c r="T750" t="str">
        <f>IF(VALUE(S750)=0,"",VLOOKUP(VLOOKUP(S750,Tbl_Effect[],3,FALSE),EffectName[],IFERROR(MATCH(UI!$B$1,EffectName[#Headers],0),2),FALSE))</f>
        <v/>
      </c>
      <c r="U750" t="str">
        <f t="shared" si="81"/>
        <v/>
      </c>
      <c r="V750">
        <v>0</v>
      </c>
      <c r="W750" t="str">
        <f>IF(V750&lt;&gt;0,VLOOKUP(VLOOKUP(V750,Tbl_Effect[],3,FALSE),EffectName[],IFERROR(MATCH(UI!$B$1,EffectName[#Headers],0),2),FALSE),"")</f>
        <v/>
      </c>
      <c r="X750" t="str">
        <f t="shared" si="82"/>
        <v/>
      </c>
      <c r="Y750">
        <v>0</v>
      </c>
      <c r="Z750" t="str">
        <f>IF(Y750&lt;&gt;0,VLOOKUP(VLOOKUP(Y750,Tbl_Effect[],3,FALSE),EffectName[],IFERROR(MATCH(UI!$B$1,EffectName[#Headers],0),2),FALSE),"")</f>
        <v/>
      </c>
      <c r="AA750" t="str">
        <f t="shared" si="83"/>
        <v/>
      </c>
      <c r="AB750">
        <v>0</v>
      </c>
      <c r="AC750" t="str">
        <f>IF(AB750&lt;&gt;0,VLOOKUP(VLOOKUP(AB750,Tbl_Effect[],3,FALSE),EffectName[],IFERROR(MATCH(UI!$B$1,EffectName[#Headers],0),2),FALSE),"")</f>
        <v/>
      </c>
    </row>
    <row r="751" spans="8:29" x14ac:dyDescent="0.4">
      <c r="H751" t="str">
        <f t="shared" si="77"/>
        <v>2010022-遼闊的火燃暗淡情景 (紅)</v>
      </c>
      <c r="I751">
        <v>2010022</v>
      </c>
      <c r="J751" t="str">
        <f>_xlfn.IFNA(IF(I751&lt;&gt;0,VLOOKUP(VLOOKUP(I751,Tbl_Equip[],2,FALSE),Tbl_Color[],IFERROR(MATCH(UI!$B$1,Tbl_Color[#Headers],0),2),FALSE),""),"Unset")</f>
        <v>紅</v>
      </c>
      <c r="K751" t="str">
        <f>_xlfn.IFNA(IF(I751&lt;&gt;0,VLOOKUP(I751,ItemText[],IFERROR(MATCH(UI!$B$1,ItemText[#Headers],0),2),FALSE),""),"Unset")</f>
        <v>遼闊的火燃暗淡情景</v>
      </c>
      <c r="L751" t="str">
        <f t="shared" si="78"/>
        <v/>
      </c>
      <c r="M751">
        <v>0</v>
      </c>
      <c r="N751" t="str">
        <f>IF(VALUE(M751)=0,"",VLOOKUP(VLOOKUP(M751,Tbl_Effect[],3,FALSE),EffectName[],IFERROR(MATCH(UI!$B$1,EffectName[#Headers],0),2),FALSE))</f>
        <v/>
      </c>
      <c r="O751" t="str">
        <f t="shared" si="79"/>
        <v/>
      </c>
      <c r="P751">
        <v>0</v>
      </c>
      <c r="Q751" t="str">
        <f>IF(VALUE(P751)=0,"",VLOOKUP(VLOOKUP(P751,Tbl_Effect[],3,FALSE),EffectName[],IFERROR(MATCH(UI!$B$1,EffectName[#Headers],0),2),FALSE))</f>
        <v/>
      </c>
      <c r="R751" t="str">
        <f t="shared" si="80"/>
        <v/>
      </c>
      <c r="S751">
        <v>0</v>
      </c>
      <c r="T751" t="str">
        <f>IF(VALUE(S751)=0,"",VLOOKUP(VLOOKUP(S751,Tbl_Effect[],3,FALSE),EffectName[],IFERROR(MATCH(UI!$B$1,EffectName[#Headers],0),2),FALSE))</f>
        <v/>
      </c>
      <c r="U751" t="str">
        <f t="shared" si="81"/>
        <v/>
      </c>
      <c r="V751">
        <v>0</v>
      </c>
      <c r="W751" t="str">
        <f>IF(V751&lt;&gt;0,VLOOKUP(VLOOKUP(V751,Tbl_Effect[],3,FALSE),EffectName[],IFERROR(MATCH(UI!$B$1,EffectName[#Headers],0),2),FALSE),"")</f>
        <v/>
      </c>
      <c r="X751" t="str">
        <f t="shared" si="82"/>
        <v/>
      </c>
      <c r="Y751">
        <v>0</v>
      </c>
      <c r="Z751" t="str">
        <f>IF(Y751&lt;&gt;0,VLOOKUP(VLOOKUP(Y751,Tbl_Effect[],3,FALSE),EffectName[],IFERROR(MATCH(UI!$B$1,EffectName[#Headers],0),2),FALSE),"")</f>
        <v/>
      </c>
      <c r="AA751" t="str">
        <f t="shared" si="83"/>
        <v/>
      </c>
      <c r="AB751">
        <v>0</v>
      </c>
      <c r="AC751" t="str">
        <f>IF(AB751&lt;&gt;0,VLOOKUP(VLOOKUP(AB751,Tbl_Effect[],3,FALSE),EffectName[],IFERROR(MATCH(UI!$B$1,EffectName[#Headers],0),2),FALSE),"")</f>
        <v/>
      </c>
    </row>
    <row r="752" spans="8:29" x14ac:dyDescent="0.4">
      <c r="H752" t="str">
        <f t="shared" si="77"/>
        <v>2010100-細膩的水滴暗淡情景 (藍)</v>
      </c>
      <c r="I752">
        <v>2010100</v>
      </c>
      <c r="J752" t="str">
        <f>_xlfn.IFNA(IF(I752&lt;&gt;0,VLOOKUP(VLOOKUP(I752,Tbl_Equip[],2,FALSE),Tbl_Color[],IFERROR(MATCH(UI!$B$1,Tbl_Color[#Headers],0),2),FALSE),""),"Unset")</f>
        <v>藍</v>
      </c>
      <c r="K752" t="str">
        <f>_xlfn.IFNA(IF(I752&lt;&gt;0,VLOOKUP(I752,ItemText[],IFERROR(MATCH(UI!$B$1,ItemText[#Headers],0),2),FALSE),""),"Unset")</f>
        <v>細膩的水滴暗淡情景</v>
      </c>
      <c r="L752" t="str">
        <f t="shared" si="78"/>
        <v/>
      </c>
      <c r="M752">
        <v>0</v>
      </c>
      <c r="N752" t="str">
        <f>IF(VALUE(M752)=0,"",VLOOKUP(VLOOKUP(M752,Tbl_Effect[],3,FALSE),EffectName[],IFERROR(MATCH(UI!$B$1,EffectName[#Headers],0),2),FALSE))</f>
        <v/>
      </c>
      <c r="O752" t="str">
        <f t="shared" si="79"/>
        <v/>
      </c>
      <c r="P752">
        <v>0</v>
      </c>
      <c r="Q752" t="str">
        <f>IF(VALUE(P752)=0,"",VLOOKUP(VLOOKUP(P752,Tbl_Effect[],3,FALSE),EffectName[],IFERROR(MATCH(UI!$B$1,EffectName[#Headers],0),2),FALSE))</f>
        <v/>
      </c>
      <c r="R752" t="str">
        <f t="shared" si="80"/>
        <v/>
      </c>
      <c r="S752">
        <v>0</v>
      </c>
      <c r="T752" t="str">
        <f>IF(VALUE(S752)=0,"",VLOOKUP(VLOOKUP(S752,Tbl_Effect[],3,FALSE),EffectName[],IFERROR(MATCH(UI!$B$1,EffectName[#Headers],0),2),FALSE))</f>
        <v/>
      </c>
      <c r="U752" t="str">
        <f t="shared" si="81"/>
        <v/>
      </c>
      <c r="V752">
        <v>0</v>
      </c>
      <c r="W752" t="str">
        <f>IF(V752&lt;&gt;0,VLOOKUP(VLOOKUP(V752,Tbl_Effect[],3,FALSE),EffectName[],IFERROR(MATCH(UI!$B$1,EffectName[#Headers],0),2),FALSE),"")</f>
        <v/>
      </c>
      <c r="X752" t="str">
        <f t="shared" si="82"/>
        <v/>
      </c>
      <c r="Y752">
        <v>0</v>
      </c>
      <c r="Z752" t="str">
        <f>IF(Y752&lt;&gt;0,VLOOKUP(VLOOKUP(Y752,Tbl_Effect[],3,FALSE),EffectName[],IFERROR(MATCH(UI!$B$1,EffectName[#Headers],0),2),FALSE),"")</f>
        <v/>
      </c>
      <c r="AA752" t="str">
        <f t="shared" si="83"/>
        <v/>
      </c>
      <c r="AB752">
        <v>0</v>
      </c>
      <c r="AC752" t="str">
        <f>IF(AB752&lt;&gt;0,VLOOKUP(VLOOKUP(AB752,Tbl_Effect[],3,FALSE),EffectName[],IFERROR(MATCH(UI!$B$1,EffectName[#Headers],0),2),FALSE),"")</f>
        <v/>
      </c>
    </row>
    <row r="753" spans="8:29" x14ac:dyDescent="0.4">
      <c r="H753" t="str">
        <f t="shared" si="77"/>
        <v>2010101-端正的水滴暗淡情景 (藍)</v>
      </c>
      <c r="I753">
        <v>2010101</v>
      </c>
      <c r="J753" t="str">
        <f>_xlfn.IFNA(IF(I753&lt;&gt;0,VLOOKUP(VLOOKUP(I753,Tbl_Equip[],2,FALSE),Tbl_Color[],IFERROR(MATCH(UI!$B$1,Tbl_Color[#Headers],0),2),FALSE),""),"Unset")</f>
        <v>藍</v>
      </c>
      <c r="K753" t="str">
        <f>_xlfn.IFNA(IF(I753&lt;&gt;0,VLOOKUP(I753,ItemText[],IFERROR(MATCH(UI!$B$1,ItemText[#Headers],0),2),FALSE),""),"Unset")</f>
        <v>端正的水滴暗淡情景</v>
      </c>
      <c r="L753" t="str">
        <f t="shared" si="78"/>
        <v/>
      </c>
      <c r="M753">
        <v>0</v>
      </c>
      <c r="N753" t="str">
        <f>IF(VALUE(M753)=0,"",VLOOKUP(VLOOKUP(M753,Tbl_Effect[],3,FALSE),EffectName[],IFERROR(MATCH(UI!$B$1,EffectName[#Headers],0),2),FALSE))</f>
        <v/>
      </c>
      <c r="O753" t="str">
        <f t="shared" si="79"/>
        <v/>
      </c>
      <c r="P753">
        <v>0</v>
      </c>
      <c r="Q753" t="str">
        <f>IF(VALUE(P753)=0,"",VLOOKUP(VLOOKUP(P753,Tbl_Effect[],3,FALSE),EffectName[],IFERROR(MATCH(UI!$B$1,EffectName[#Headers],0),2),FALSE))</f>
        <v/>
      </c>
      <c r="R753" t="str">
        <f t="shared" si="80"/>
        <v/>
      </c>
      <c r="S753">
        <v>0</v>
      </c>
      <c r="T753" t="str">
        <f>IF(VALUE(S753)=0,"",VLOOKUP(VLOOKUP(S753,Tbl_Effect[],3,FALSE),EffectName[],IFERROR(MATCH(UI!$B$1,EffectName[#Headers],0),2),FALSE))</f>
        <v/>
      </c>
      <c r="U753" t="str">
        <f t="shared" si="81"/>
        <v/>
      </c>
      <c r="V753">
        <v>0</v>
      </c>
      <c r="W753" t="str">
        <f>IF(V753&lt;&gt;0,VLOOKUP(VLOOKUP(V753,Tbl_Effect[],3,FALSE),EffectName[],IFERROR(MATCH(UI!$B$1,EffectName[#Headers],0),2),FALSE),"")</f>
        <v/>
      </c>
      <c r="X753" t="str">
        <f t="shared" si="82"/>
        <v/>
      </c>
      <c r="Y753">
        <v>0</v>
      </c>
      <c r="Z753" t="str">
        <f>IF(Y753&lt;&gt;0,VLOOKUP(VLOOKUP(Y753,Tbl_Effect[],3,FALSE),EffectName[],IFERROR(MATCH(UI!$B$1,EffectName[#Headers],0),2),FALSE),"")</f>
        <v/>
      </c>
      <c r="AA753" t="str">
        <f t="shared" si="83"/>
        <v/>
      </c>
      <c r="AB753">
        <v>0</v>
      </c>
      <c r="AC753" t="str">
        <f>IF(AB753&lt;&gt;0,VLOOKUP(VLOOKUP(AB753,Tbl_Effect[],3,FALSE),EffectName[],IFERROR(MATCH(UI!$B$1,EffectName[#Headers],0),2),FALSE),"")</f>
        <v/>
      </c>
    </row>
    <row r="754" spans="8:29" x14ac:dyDescent="0.4">
      <c r="H754" t="str">
        <f t="shared" si="77"/>
        <v>2010102-遼闊的水滴暗淡情景 (藍)</v>
      </c>
      <c r="I754">
        <v>2010102</v>
      </c>
      <c r="J754" t="str">
        <f>_xlfn.IFNA(IF(I754&lt;&gt;0,VLOOKUP(VLOOKUP(I754,Tbl_Equip[],2,FALSE),Tbl_Color[],IFERROR(MATCH(UI!$B$1,Tbl_Color[#Headers],0),2),FALSE),""),"Unset")</f>
        <v>藍</v>
      </c>
      <c r="K754" t="str">
        <f>_xlfn.IFNA(IF(I754&lt;&gt;0,VLOOKUP(I754,ItemText[],IFERROR(MATCH(UI!$B$1,ItemText[#Headers],0),2),FALSE),""),"Unset")</f>
        <v>遼闊的水滴暗淡情景</v>
      </c>
      <c r="L754" t="str">
        <f t="shared" si="78"/>
        <v/>
      </c>
      <c r="M754">
        <v>0</v>
      </c>
      <c r="N754" t="str">
        <f>IF(VALUE(M754)=0,"",VLOOKUP(VLOOKUP(M754,Tbl_Effect[],3,FALSE),EffectName[],IFERROR(MATCH(UI!$B$1,EffectName[#Headers],0),2),FALSE))</f>
        <v/>
      </c>
      <c r="O754" t="str">
        <f t="shared" si="79"/>
        <v/>
      </c>
      <c r="P754">
        <v>0</v>
      </c>
      <c r="Q754" t="str">
        <f>IF(VALUE(P754)=0,"",VLOOKUP(VLOOKUP(P754,Tbl_Effect[],3,FALSE),EffectName[],IFERROR(MATCH(UI!$B$1,EffectName[#Headers],0),2),FALSE))</f>
        <v/>
      </c>
      <c r="R754" t="str">
        <f t="shared" si="80"/>
        <v/>
      </c>
      <c r="S754">
        <v>0</v>
      </c>
      <c r="T754" t="str">
        <f>IF(VALUE(S754)=0,"",VLOOKUP(VLOOKUP(S754,Tbl_Effect[],3,FALSE),EffectName[],IFERROR(MATCH(UI!$B$1,EffectName[#Headers],0),2),FALSE))</f>
        <v/>
      </c>
      <c r="U754" t="str">
        <f t="shared" si="81"/>
        <v/>
      </c>
      <c r="V754">
        <v>0</v>
      </c>
      <c r="W754" t="str">
        <f>IF(V754&lt;&gt;0,VLOOKUP(VLOOKUP(V754,Tbl_Effect[],3,FALSE),EffectName[],IFERROR(MATCH(UI!$B$1,EffectName[#Headers],0),2),FALSE),"")</f>
        <v/>
      </c>
      <c r="X754" t="str">
        <f t="shared" si="82"/>
        <v/>
      </c>
      <c r="Y754">
        <v>0</v>
      </c>
      <c r="Z754" t="str">
        <f>IF(Y754&lt;&gt;0,VLOOKUP(VLOOKUP(Y754,Tbl_Effect[],3,FALSE),EffectName[],IFERROR(MATCH(UI!$B$1,EffectName[#Headers],0),2),FALSE),"")</f>
        <v/>
      </c>
      <c r="AA754" t="str">
        <f t="shared" si="83"/>
        <v/>
      </c>
      <c r="AB754">
        <v>0</v>
      </c>
      <c r="AC754" t="str">
        <f>IF(AB754&lt;&gt;0,VLOOKUP(VLOOKUP(AB754,Tbl_Effect[],3,FALSE),EffectName[],IFERROR(MATCH(UI!$B$1,EffectName[#Headers],0),2),FALSE),"")</f>
        <v/>
      </c>
    </row>
    <row r="755" spans="8:29" x14ac:dyDescent="0.4">
      <c r="H755" t="str">
        <f t="shared" si="77"/>
        <v>2010110-細膩的水滴暗淡情景 (藍)</v>
      </c>
      <c r="I755">
        <v>2010110</v>
      </c>
      <c r="J755" t="str">
        <f>_xlfn.IFNA(IF(I755&lt;&gt;0,VLOOKUP(VLOOKUP(I755,Tbl_Equip[],2,FALSE),Tbl_Color[],IFERROR(MATCH(UI!$B$1,Tbl_Color[#Headers],0),2),FALSE),""),"Unset")</f>
        <v>藍</v>
      </c>
      <c r="K755" t="str">
        <f>_xlfn.IFNA(IF(I755&lt;&gt;0,VLOOKUP(I755,ItemText[],IFERROR(MATCH(UI!$B$1,ItemText[#Headers],0),2),FALSE),""),"Unset")</f>
        <v>細膩的水滴暗淡情景</v>
      </c>
      <c r="L755" t="str">
        <f t="shared" si="78"/>
        <v/>
      </c>
      <c r="M755">
        <v>0</v>
      </c>
      <c r="N755" t="str">
        <f>IF(VALUE(M755)=0,"",VLOOKUP(VLOOKUP(M755,Tbl_Effect[],3,FALSE),EffectName[],IFERROR(MATCH(UI!$B$1,EffectName[#Headers],0),2),FALSE))</f>
        <v/>
      </c>
      <c r="O755" t="str">
        <f t="shared" si="79"/>
        <v/>
      </c>
      <c r="P755">
        <v>0</v>
      </c>
      <c r="Q755" t="str">
        <f>IF(VALUE(P755)=0,"",VLOOKUP(VLOOKUP(P755,Tbl_Effect[],3,FALSE),EffectName[],IFERROR(MATCH(UI!$B$1,EffectName[#Headers],0),2),FALSE))</f>
        <v/>
      </c>
      <c r="R755" t="str">
        <f t="shared" si="80"/>
        <v/>
      </c>
      <c r="S755">
        <v>0</v>
      </c>
      <c r="T755" t="str">
        <f>IF(VALUE(S755)=0,"",VLOOKUP(VLOOKUP(S755,Tbl_Effect[],3,FALSE),EffectName[],IFERROR(MATCH(UI!$B$1,EffectName[#Headers],0),2),FALSE))</f>
        <v/>
      </c>
      <c r="U755" t="str">
        <f t="shared" si="81"/>
        <v/>
      </c>
      <c r="V755">
        <v>0</v>
      </c>
      <c r="W755" t="str">
        <f>IF(V755&lt;&gt;0,VLOOKUP(VLOOKUP(V755,Tbl_Effect[],3,FALSE),EffectName[],IFERROR(MATCH(UI!$B$1,EffectName[#Headers],0),2),FALSE),"")</f>
        <v/>
      </c>
      <c r="X755" t="str">
        <f t="shared" si="82"/>
        <v/>
      </c>
      <c r="Y755">
        <v>0</v>
      </c>
      <c r="Z755" t="str">
        <f>IF(Y755&lt;&gt;0,VLOOKUP(VLOOKUP(Y755,Tbl_Effect[],3,FALSE),EffectName[],IFERROR(MATCH(UI!$B$1,EffectName[#Headers],0),2),FALSE),"")</f>
        <v/>
      </c>
      <c r="AA755" t="str">
        <f t="shared" si="83"/>
        <v/>
      </c>
      <c r="AB755">
        <v>0</v>
      </c>
      <c r="AC755" t="str">
        <f>IF(AB755&lt;&gt;0,VLOOKUP(VLOOKUP(AB755,Tbl_Effect[],3,FALSE),EffectName[],IFERROR(MATCH(UI!$B$1,EffectName[#Headers],0),2),FALSE),"")</f>
        <v/>
      </c>
    </row>
    <row r="756" spans="8:29" x14ac:dyDescent="0.4">
      <c r="H756" t="str">
        <f t="shared" si="77"/>
        <v>2010111-端正的水滴暗淡情景 (藍)</v>
      </c>
      <c r="I756">
        <v>2010111</v>
      </c>
      <c r="J756" t="str">
        <f>_xlfn.IFNA(IF(I756&lt;&gt;0,VLOOKUP(VLOOKUP(I756,Tbl_Equip[],2,FALSE),Tbl_Color[],IFERROR(MATCH(UI!$B$1,Tbl_Color[#Headers],0),2),FALSE),""),"Unset")</f>
        <v>藍</v>
      </c>
      <c r="K756" t="str">
        <f>_xlfn.IFNA(IF(I756&lt;&gt;0,VLOOKUP(I756,ItemText[],IFERROR(MATCH(UI!$B$1,ItemText[#Headers],0),2),FALSE),""),"Unset")</f>
        <v>端正的水滴暗淡情景</v>
      </c>
      <c r="L756" t="str">
        <f t="shared" si="78"/>
        <v/>
      </c>
      <c r="M756">
        <v>0</v>
      </c>
      <c r="N756" t="str">
        <f>IF(VALUE(M756)=0,"",VLOOKUP(VLOOKUP(M756,Tbl_Effect[],3,FALSE),EffectName[],IFERROR(MATCH(UI!$B$1,EffectName[#Headers],0),2),FALSE))</f>
        <v/>
      </c>
      <c r="O756" t="str">
        <f t="shared" si="79"/>
        <v/>
      </c>
      <c r="P756">
        <v>0</v>
      </c>
      <c r="Q756" t="str">
        <f>IF(VALUE(P756)=0,"",VLOOKUP(VLOOKUP(P756,Tbl_Effect[],3,FALSE),EffectName[],IFERROR(MATCH(UI!$B$1,EffectName[#Headers],0),2),FALSE))</f>
        <v/>
      </c>
      <c r="R756" t="str">
        <f t="shared" si="80"/>
        <v/>
      </c>
      <c r="S756">
        <v>0</v>
      </c>
      <c r="T756" t="str">
        <f>IF(VALUE(S756)=0,"",VLOOKUP(VLOOKUP(S756,Tbl_Effect[],3,FALSE),EffectName[],IFERROR(MATCH(UI!$B$1,EffectName[#Headers],0),2),FALSE))</f>
        <v/>
      </c>
      <c r="U756" t="str">
        <f t="shared" si="81"/>
        <v/>
      </c>
      <c r="V756">
        <v>0</v>
      </c>
      <c r="W756" t="str">
        <f>IF(V756&lt;&gt;0,VLOOKUP(VLOOKUP(V756,Tbl_Effect[],3,FALSE),EffectName[],IFERROR(MATCH(UI!$B$1,EffectName[#Headers],0),2),FALSE),"")</f>
        <v/>
      </c>
      <c r="X756" t="str">
        <f t="shared" si="82"/>
        <v/>
      </c>
      <c r="Y756">
        <v>0</v>
      </c>
      <c r="Z756" t="str">
        <f>IF(Y756&lt;&gt;0,VLOOKUP(VLOOKUP(Y756,Tbl_Effect[],3,FALSE),EffectName[],IFERROR(MATCH(UI!$B$1,EffectName[#Headers],0),2),FALSE),"")</f>
        <v/>
      </c>
      <c r="AA756" t="str">
        <f t="shared" si="83"/>
        <v/>
      </c>
      <c r="AB756">
        <v>0</v>
      </c>
      <c r="AC756" t="str">
        <f>IF(AB756&lt;&gt;0,VLOOKUP(VLOOKUP(AB756,Tbl_Effect[],3,FALSE),EffectName[],IFERROR(MATCH(UI!$B$1,EffectName[#Headers],0),2),FALSE),"")</f>
        <v/>
      </c>
    </row>
    <row r="757" spans="8:29" x14ac:dyDescent="0.4">
      <c r="H757" t="str">
        <f t="shared" si="77"/>
        <v>2010112-遼闊的水滴暗淡情景 (藍)</v>
      </c>
      <c r="I757">
        <v>2010112</v>
      </c>
      <c r="J757" t="str">
        <f>_xlfn.IFNA(IF(I757&lt;&gt;0,VLOOKUP(VLOOKUP(I757,Tbl_Equip[],2,FALSE),Tbl_Color[],IFERROR(MATCH(UI!$B$1,Tbl_Color[#Headers],0),2),FALSE),""),"Unset")</f>
        <v>藍</v>
      </c>
      <c r="K757" t="str">
        <f>_xlfn.IFNA(IF(I757&lt;&gt;0,VLOOKUP(I757,ItemText[],IFERROR(MATCH(UI!$B$1,ItemText[#Headers],0),2),FALSE),""),"Unset")</f>
        <v>遼闊的水滴暗淡情景</v>
      </c>
      <c r="L757" t="str">
        <f t="shared" si="78"/>
        <v/>
      </c>
      <c r="M757">
        <v>0</v>
      </c>
      <c r="N757" t="str">
        <f>IF(VALUE(M757)=0,"",VLOOKUP(VLOOKUP(M757,Tbl_Effect[],3,FALSE),EffectName[],IFERROR(MATCH(UI!$B$1,EffectName[#Headers],0),2),FALSE))</f>
        <v/>
      </c>
      <c r="O757" t="str">
        <f t="shared" si="79"/>
        <v/>
      </c>
      <c r="P757">
        <v>0</v>
      </c>
      <c r="Q757" t="str">
        <f>IF(VALUE(P757)=0,"",VLOOKUP(VLOOKUP(P757,Tbl_Effect[],3,FALSE),EffectName[],IFERROR(MATCH(UI!$B$1,EffectName[#Headers],0),2),FALSE))</f>
        <v/>
      </c>
      <c r="R757" t="str">
        <f t="shared" si="80"/>
        <v/>
      </c>
      <c r="S757">
        <v>0</v>
      </c>
      <c r="T757" t="str">
        <f>IF(VALUE(S757)=0,"",VLOOKUP(VLOOKUP(S757,Tbl_Effect[],3,FALSE),EffectName[],IFERROR(MATCH(UI!$B$1,EffectName[#Headers],0),2),FALSE))</f>
        <v/>
      </c>
      <c r="U757" t="str">
        <f t="shared" si="81"/>
        <v/>
      </c>
      <c r="V757">
        <v>0</v>
      </c>
      <c r="W757" t="str">
        <f>IF(V757&lt;&gt;0,VLOOKUP(VLOOKUP(V757,Tbl_Effect[],3,FALSE),EffectName[],IFERROR(MATCH(UI!$B$1,EffectName[#Headers],0),2),FALSE),"")</f>
        <v/>
      </c>
      <c r="X757" t="str">
        <f t="shared" si="82"/>
        <v/>
      </c>
      <c r="Y757">
        <v>0</v>
      </c>
      <c r="Z757" t="str">
        <f>IF(Y757&lt;&gt;0,VLOOKUP(VLOOKUP(Y757,Tbl_Effect[],3,FALSE),EffectName[],IFERROR(MATCH(UI!$B$1,EffectName[#Headers],0),2),FALSE),"")</f>
        <v/>
      </c>
      <c r="AA757" t="str">
        <f t="shared" si="83"/>
        <v/>
      </c>
      <c r="AB757">
        <v>0</v>
      </c>
      <c r="AC757" t="str">
        <f>IF(AB757&lt;&gt;0,VLOOKUP(VLOOKUP(AB757,Tbl_Effect[],3,FALSE),EffectName[],IFERROR(MATCH(UI!$B$1,EffectName[#Headers],0),2),FALSE),"")</f>
        <v/>
      </c>
    </row>
    <row r="758" spans="8:29" x14ac:dyDescent="0.4">
      <c r="H758" t="str">
        <f t="shared" si="77"/>
        <v>2010120-細膩的水滴暗淡情景 (藍)</v>
      </c>
      <c r="I758">
        <v>2010120</v>
      </c>
      <c r="J758" t="str">
        <f>_xlfn.IFNA(IF(I758&lt;&gt;0,VLOOKUP(VLOOKUP(I758,Tbl_Equip[],2,FALSE),Tbl_Color[],IFERROR(MATCH(UI!$B$1,Tbl_Color[#Headers],0),2),FALSE),""),"Unset")</f>
        <v>藍</v>
      </c>
      <c r="K758" t="str">
        <f>_xlfn.IFNA(IF(I758&lt;&gt;0,VLOOKUP(I758,ItemText[],IFERROR(MATCH(UI!$B$1,ItemText[#Headers],0),2),FALSE),""),"Unset")</f>
        <v>細膩的水滴暗淡情景</v>
      </c>
      <c r="L758" t="str">
        <f t="shared" si="78"/>
        <v/>
      </c>
      <c r="M758">
        <v>0</v>
      </c>
      <c r="N758" t="str">
        <f>IF(VALUE(M758)=0,"",VLOOKUP(VLOOKUP(M758,Tbl_Effect[],3,FALSE),EffectName[],IFERROR(MATCH(UI!$B$1,EffectName[#Headers],0),2),FALSE))</f>
        <v/>
      </c>
      <c r="O758" t="str">
        <f t="shared" si="79"/>
        <v/>
      </c>
      <c r="P758">
        <v>0</v>
      </c>
      <c r="Q758" t="str">
        <f>IF(VALUE(P758)=0,"",VLOOKUP(VLOOKUP(P758,Tbl_Effect[],3,FALSE),EffectName[],IFERROR(MATCH(UI!$B$1,EffectName[#Headers],0),2),FALSE))</f>
        <v/>
      </c>
      <c r="R758" t="str">
        <f t="shared" si="80"/>
        <v/>
      </c>
      <c r="S758">
        <v>0</v>
      </c>
      <c r="T758" t="str">
        <f>IF(VALUE(S758)=0,"",VLOOKUP(VLOOKUP(S758,Tbl_Effect[],3,FALSE),EffectName[],IFERROR(MATCH(UI!$B$1,EffectName[#Headers],0),2),FALSE))</f>
        <v/>
      </c>
      <c r="U758" t="str">
        <f t="shared" si="81"/>
        <v/>
      </c>
      <c r="V758">
        <v>0</v>
      </c>
      <c r="W758" t="str">
        <f>IF(V758&lt;&gt;0,VLOOKUP(VLOOKUP(V758,Tbl_Effect[],3,FALSE),EffectName[],IFERROR(MATCH(UI!$B$1,EffectName[#Headers],0),2),FALSE),"")</f>
        <v/>
      </c>
      <c r="X758" t="str">
        <f t="shared" si="82"/>
        <v/>
      </c>
      <c r="Y758">
        <v>0</v>
      </c>
      <c r="Z758" t="str">
        <f>IF(Y758&lt;&gt;0,VLOOKUP(VLOOKUP(Y758,Tbl_Effect[],3,FALSE),EffectName[],IFERROR(MATCH(UI!$B$1,EffectName[#Headers],0),2),FALSE),"")</f>
        <v/>
      </c>
      <c r="AA758" t="str">
        <f t="shared" si="83"/>
        <v/>
      </c>
      <c r="AB758">
        <v>0</v>
      </c>
      <c r="AC758" t="str">
        <f>IF(AB758&lt;&gt;0,VLOOKUP(VLOOKUP(AB758,Tbl_Effect[],3,FALSE),EffectName[],IFERROR(MATCH(UI!$B$1,EffectName[#Headers],0),2),FALSE),"")</f>
        <v/>
      </c>
    </row>
    <row r="759" spans="8:29" x14ac:dyDescent="0.4">
      <c r="H759" t="str">
        <f t="shared" si="77"/>
        <v>2010121-端正的水滴暗淡情景 (藍)</v>
      </c>
      <c r="I759">
        <v>2010121</v>
      </c>
      <c r="J759" t="str">
        <f>_xlfn.IFNA(IF(I759&lt;&gt;0,VLOOKUP(VLOOKUP(I759,Tbl_Equip[],2,FALSE),Tbl_Color[],IFERROR(MATCH(UI!$B$1,Tbl_Color[#Headers],0),2),FALSE),""),"Unset")</f>
        <v>藍</v>
      </c>
      <c r="K759" t="str">
        <f>_xlfn.IFNA(IF(I759&lt;&gt;0,VLOOKUP(I759,ItemText[],IFERROR(MATCH(UI!$B$1,ItemText[#Headers],0),2),FALSE),""),"Unset")</f>
        <v>端正的水滴暗淡情景</v>
      </c>
      <c r="L759" t="str">
        <f t="shared" si="78"/>
        <v/>
      </c>
      <c r="M759">
        <v>0</v>
      </c>
      <c r="N759" t="str">
        <f>IF(VALUE(M759)=0,"",VLOOKUP(VLOOKUP(M759,Tbl_Effect[],3,FALSE),EffectName[],IFERROR(MATCH(UI!$B$1,EffectName[#Headers],0),2),FALSE))</f>
        <v/>
      </c>
      <c r="O759" t="str">
        <f t="shared" si="79"/>
        <v/>
      </c>
      <c r="P759">
        <v>0</v>
      </c>
      <c r="Q759" t="str">
        <f>IF(VALUE(P759)=0,"",VLOOKUP(VLOOKUP(P759,Tbl_Effect[],3,FALSE),EffectName[],IFERROR(MATCH(UI!$B$1,EffectName[#Headers],0),2),FALSE))</f>
        <v/>
      </c>
      <c r="R759" t="str">
        <f t="shared" si="80"/>
        <v/>
      </c>
      <c r="S759">
        <v>0</v>
      </c>
      <c r="T759" t="str">
        <f>IF(VALUE(S759)=0,"",VLOOKUP(VLOOKUP(S759,Tbl_Effect[],3,FALSE),EffectName[],IFERROR(MATCH(UI!$B$1,EffectName[#Headers],0),2),FALSE))</f>
        <v/>
      </c>
      <c r="U759" t="str">
        <f t="shared" si="81"/>
        <v/>
      </c>
      <c r="V759">
        <v>0</v>
      </c>
      <c r="W759" t="str">
        <f>IF(V759&lt;&gt;0,VLOOKUP(VLOOKUP(V759,Tbl_Effect[],3,FALSE),EffectName[],IFERROR(MATCH(UI!$B$1,EffectName[#Headers],0),2),FALSE),"")</f>
        <v/>
      </c>
      <c r="X759" t="str">
        <f t="shared" si="82"/>
        <v/>
      </c>
      <c r="Y759">
        <v>0</v>
      </c>
      <c r="Z759" t="str">
        <f>IF(Y759&lt;&gt;0,VLOOKUP(VLOOKUP(Y759,Tbl_Effect[],3,FALSE),EffectName[],IFERROR(MATCH(UI!$B$1,EffectName[#Headers],0),2),FALSE),"")</f>
        <v/>
      </c>
      <c r="AA759" t="str">
        <f t="shared" si="83"/>
        <v/>
      </c>
      <c r="AB759">
        <v>0</v>
      </c>
      <c r="AC759" t="str">
        <f>IF(AB759&lt;&gt;0,VLOOKUP(VLOOKUP(AB759,Tbl_Effect[],3,FALSE),EffectName[],IFERROR(MATCH(UI!$B$1,EffectName[#Headers],0),2),FALSE),"")</f>
        <v/>
      </c>
    </row>
    <row r="760" spans="8:29" x14ac:dyDescent="0.4">
      <c r="H760" t="str">
        <f t="shared" si="77"/>
        <v>2010122-遼闊的水滴暗淡情景 (藍)</v>
      </c>
      <c r="I760">
        <v>2010122</v>
      </c>
      <c r="J760" t="str">
        <f>_xlfn.IFNA(IF(I760&lt;&gt;0,VLOOKUP(VLOOKUP(I760,Tbl_Equip[],2,FALSE),Tbl_Color[],IFERROR(MATCH(UI!$B$1,Tbl_Color[#Headers],0),2),FALSE),""),"Unset")</f>
        <v>藍</v>
      </c>
      <c r="K760" t="str">
        <f>_xlfn.IFNA(IF(I760&lt;&gt;0,VLOOKUP(I760,ItemText[],IFERROR(MATCH(UI!$B$1,ItemText[#Headers],0),2),FALSE),""),"Unset")</f>
        <v>遼闊的水滴暗淡情景</v>
      </c>
      <c r="L760" t="str">
        <f t="shared" si="78"/>
        <v/>
      </c>
      <c r="M760">
        <v>0</v>
      </c>
      <c r="N760" t="str">
        <f>IF(VALUE(M760)=0,"",VLOOKUP(VLOOKUP(M760,Tbl_Effect[],3,FALSE),EffectName[],IFERROR(MATCH(UI!$B$1,EffectName[#Headers],0),2),FALSE))</f>
        <v/>
      </c>
      <c r="O760" t="str">
        <f t="shared" si="79"/>
        <v/>
      </c>
      <c r="P760">
        <v>0</v>
      </c>
      <c r="Q760" t="str">
        <f>IF(VALUE(P760)=0,"",VLOOKUP(VLOOKUP(P760,Tbl_Effect[],3,FALSE),EffectName[],IFERROR(MATCH(UI!$B$1,EffectName[#Headers],0),2),FALSE))</f>
        <v/>
      </c>
      <c r="R760" t="str">
        <f t="shared" si="80"/>
        <v/>
      </c>
      <c r="S760">
        <v>0</v>
      </c>
      <c r="T760" t="str">
        <f>IF(VALUE(S760)=0,"",VLOOKUP(VLOOKUP(S760,Tbl_Effect[],3,FALSE),EffectName[],IFERROR(MATCH(UI!$B$1,EffectName[#Headers],0),2),FALSE))</f>
        <v/>
      </c>
      <c r="U760" t="str">
        <f t="shared" si="81"/>
        <v/>
      </c>
      <c r="V760">
        <v>0</v>
      </c>
      <c r="W760" t="str">
        <f>IF(V760&lt;&gt;0,VLOOKUP(VLOOKUP(V760,Tbl_Effect[],3,FALSE),EffectName[],IFERROR(MATCH(UI!$B$1,EffectName[#Headers],0),2),FALSE),"")</f>
        <v/>
      </c>
      <c r="X760" t="str">
        <f t="shared" si="82"/>
        <v/>
      </c>
      <c r="Y760">
        <v>0</v>
      </c>
      <c r="Z760" t="str">
        <f>IF(Y760&lt;&gt;0,VLOOKUP(VLOOKUP(Y760,Tbl_Effect[],3,FALSE),EffectName[],IFERROR(MATCH(UI!$B$1,EffectName[#Headers],0),2),FALSE),"")</f>
        <v/>
      </c>
      <c r="AA760" t="str">
        <f t="shared" si="83"/>
        <v/>
      </c>
      <c r="AB760">
        <v>0</v>
      </c>
      <c r="AC760" t="str">
        <f>IF(AB760&lt;&gt;0,VLOOKUP(VLOOKUP(AB760,Tbl_Effect[],3,FALSE),EffectName[],IFERROR(MATCH(UI!$B$1,EffectName[#Headers],0),2),FALSE),"")</f>
        <v/>
      </c>
    </row>
    <row r="761" spans="8:29" x14ac:dyDescent="0.4">
      <c r="H761" t="str">
        <f t="shared" si="77"/>
        <v>2010200-細膩的光耀暗淡情景 (黃)</v>
      </c>
      <c r="I761">
        <v>2010200</v>
      </c>
      <c r="J761" t="str">
        <f>_xlfn.IFNA(IF(I761&lt;&gt;0,VLOOKUP(VLOOKUP(I761,Tbl_Equip[],2,FALSE),Tbl_Color[],IFERROR(MATCH(UI!$B$1,Tbl_Color[#Headers],0),2),FALSE),""),"Unset")</f>
        <v>黃</v>
      </c>
      <c r="K761" t="str">
        <f>_xlfn.IFNA(IF(I761&lt;&gt;0,VLOOKUP(I761,ItemText[],IFERROR(MATCH(UI!$B$1,ItemText[#Headers],0),2),FALSE),""),"Unset")</f>
        <v>細膩的光耀暗淡情景</v>
      </c>
      <c r="L761" t="str">
        <f t="shared" si="78"/>
        <v/>
      </c>
      <c r="M761">
        <v>0</v>
      </c>
      <c r="N761" t="str">
        <f>IF(VALUE(M761)=0,"",VLOOKUP(VLOOKUP(M761,Tbl_Effect[],3,FALSE),EffectName[],IFERROR(MATCH(UI!$B$1,EffectName[#Headers],0),2),FALSE))</f>
        <v/>
      </c>
      <c r="O761" t="str">
        <f t="shared" si="79"/>
        <v/>
      </c>
      <c r="P761">
        <v>0</v>
      </c>
      <c r="Q761" t="str">
        <f>IF(VALUE(P761)=0,"",VLOOKUP(VLOOKUP(P761,Tbl_Effect[],3,FALSE),EffectName[],IFERROR(MATCH(UI!$B$1,EffectName[#Headers],0),2),FALSE))</f>
        <v/>
      </c>
      <c r="R761" t="str">
        <f t="shared" si="80"/>
        <v/>
      </c>
      <c r="S761">
        <v>0</v>
      </c>
      <c r="T761" t="str">
        <f>IF(VALUE(S761)=0,"",VLOOKUP(VLOOKUP(S761,Tbl_Effect[],3,FALSE),EffectName[],IFERROR(MATCH(UI!$B$1,EffectName[#Headers],0),2),FALSE))</f>
        <v/>
      </c>
      <c r="U761" t="str">
        <f t="shared" si="81"/>
        <v/>
      </c>
      <c r="V761">
        <v>0</v>
      </c>
      <c r="W761" t="str">
        <f>IF(V761&lt;&gt;0,VLOOKUP(VLOOKUP(V761,Tbl_Effect[],3,FALSE),EffectName[],IFERROR(MATCH(UI!$B$1,EffectName[#Headers],0),2),FALSE),"")</f>
        <v/>
      </c>
      <c r="X761" t="str">
        <f t="shared" si="82"/>
        <v/>
      </c>
      <c r="Y761">
        <v>0</v>
      </c>
      <c r="Z761" t="str">
        <f>IF(Y761&lt;&gt;0,VLOOKUP(VLOOKUP(Y761,Tbl_Effect[],3,FALSE),EffectName[],IFERROR(MATCH(UI!$B$1,EffectName[#Headers],0),2),FALSE),"")</f>
        <v/>
      </c>
      <c r="AA761" t="str">
        <f t="shared" si="83"/>
        <v/>
      </c>
      <c r="AB761">
        <v>0</v>
      </c>
      <c r="AC761" t="str">
        <f>IF(AB761&lt;&gt;0,VLOOKUP(VLOOKUP(AB761,Tbl_Effect[],3,FALSE),EffectName[],IFERROR(MATCH(UI!$B$1,EffectName[#Headers],0),2),FALSE),"")</f>
        <v/>
      </c>
    </row>
    <row r="762" spans="8:29" x14ac:dyDescent="0.4">
      <c r="H762" t="str">
        <f t="shared" si="77"/>
        <v>2010201-端正的光耀暗淡情景 (黃)</v>
      </c>
      <c r="I762">
        <v>2010201</v>
      </c>
      <c r="J762" t="str">
        <f>_xlfn.IFNA(IF(I762&lt;&gt;0,VLOOKUP(VLOOKUP(I762,Tbl_Equip[],2,FALSE),Tbl_Color[],IFERROR(MATCH(UI!$B$1,Tbl_Color[#Headers],0),2),FALSE),""),"Unset")</f>
        <v>黃</v>
      </c>
      <c r="K762" t="str">
        <f>_xlfn.IFNA(IF(I762&lt;&gt;0,VLOOKUP(I762,ItemText[],IFERROR(MATCH(UI!$B$1,ItemText[#Headers],0),2),FALSE),""),"Unset")</f>
        <v>端正的光耀暗淡情景</v>
      </c>
      <c r="L762" t="str">
        <f t="shared" si="78"/>
        <v/>
      </c>
      <c r="M762">
        <v>0</v>
      </c>
      <c r="N762" t="str">
        <f>IF(VALUE(M762)=0,"",VLOOKUP(VLOOKUP(M762,Tbl_Effect[],3,FALSE),EffectName[],IFERROR(MATCH(UI!$B$1,EffectName[#Headers],0),2),FALSE))</f>
        <v/>
      </c>
      <c r="O762" t="str">
        <f t="shared" si="79"/>
        <v/>
      </c>
      <c r="P762">
        <v>0</v>
      </c>
      <c r="Q762" t="str">
        <f>IF(VALUE(P762)=0,"",VLOOKUP(VLOOKUP(P762,Tbl_Effect[],3,FALSE),EffectName[],IFERROR(MATCH(UI!$B$1,EffectName[#Headers],0),2),FALSE))</f>
        <v/>
      </c>
      <c r="R762" t="str">
        <f t="shared" si="80"/>
        <v/>
      </c>
      <c r="S762">
        <v>0</v>
      </c>
      <c r="T762" t="str">
        <f>IF(VALUE(S762)=0,"",VLOOKUP(VLOOKUP(S762,Tbl_Effect[],3,FALSE),EffectName[],IFERROR(MATCH(UI!$B$1,EffectName[#Headers],0),2),FALSE))</f>
        <v/>
      </c>
      <c r="U762" t="str">
        <f t="shared" si="81"/>
        <v/>
      </c>
      <c r="V762">
        <v>0</v>
      </c>
      <c r="W762" t="str">
        <f>IF(V762&lt;&gt;0,VLOOKUP(VLOOKUP(V762,Tbl_Effect[],3,FALSE),EffectName[],IFERROR(MATCH(UI!$B$1,EffectName[#Headers],0),2),FALSE),"")</f>
        <v/>
      </c>
      <c r="X762" t="str">
        <f t="shared" si="82"/>
        <v/>
      </c>
      <c r="Y762">
        <v>0</v>
      </c>
      <c r="Z762" t="str">
        <f>IF(Y762&lt;&gt;0,VLOOKUP(VLOOKUP(Y762,Tbl_Effect[],3,FALSE),EffectName[],IFERROR(MATCH(UI!$B$1,EffectName[#Headers],0),2),FALSE),"")</f>
        <v/>
      </c>
      <c r="AA762" t="str">
        <f t="shared" si="83"/>
        <v/>
      </c>
      <c r="AB762">
        <v>0</v>
      </c>
      <c r="AC762" t="str">
        <f>IF(AB762&lt;&gt;0,VLOOKUP(VLOOKUP(AB762,Tbl_Effect[],3,FALSE),EffectName[],IFERROR(MATCH(UI!$B$1,EffectName[#Headers],0),2),FALSE),"")</f>
        <v/>
      </c>
    </row>
    <row r="763" spans="8:29" x14ac:dyDescent="0.4">
      <c r="H763" t="str">
        <f t="shared" si="77"/>
        <v>2010202-遼闊的光耀暗淡情景 (黃)</v>
      </c>
      <c r="I763">
        <v>2010202</v>
      </c>
      <c r="J763" t="str">
        <f>_xlfn.IFNA(IF(I763&lt;&gt;0,VLOOKUP(VLOOKUP(I763,Tbl_Equip[],2,FALSE),Tbl_Color[],IFERROR(MATCH(UI!$B$1,Tbl_Color[#Headers],0),2),FALSE),""),"Unset")</f>
        <v>黃</v>
      </c>
      <c r="K763" t="str">
        <f>_xlfn.IFNA(IF(I763&lt;&gt;0,VLOOKUP(I763,ItemText[],IFERROR(MATCH(UI!$B$1,ItemText[#Headers],0),2),FALSE),""),"Unset")</f>
        <v>遼闊的光耀暗淡情景</v>
      </c>
      <c r="L763" t="str">
        <f t="shared" si="78"/>
        <v/>
      </c>
      <c r="M763">
        <v>0</v>
      </c>
      <c r="N763" t="str">
        <f>IF(VALUE(M763)=0,"",VLOOKUP(VLOOKUP(M763,Tbl_Effect[],3,FALSE),EffectName[],IFERROR(MATCH(UI!$B$1,EffectName[#Headers],0),2),FALSE))</f>
        <v/>
      </c>
      <c r="O763" t="str">
        <f t="shared" si="79"/>
        <v/>
      </c>
      <c r="P763">
        <v>0</v>
      </c>
      <c r="Q763" t="str">
        <f>IF(VALUE(P763)=0,"",VLOOKUP(VLOOKUP(P763,Tbl_Effect[],3,FALSE),EffectName[],IFERROR(MATCH(UI!$B$1,EffectName[#Headers],0),2),FALSE))</f>
        <v/>
      </c>
      <c r="R763" t="str">
        <f t="shared" si="80"/>
        <v/>
      </c>
      <c r="S763">
        <v>0</v>
      </c>
      <c r="T763" t="str">
        <f>IF(VALUE(S763)=0,"",VLOOKUP(VLOOKUP(S763,Tbl_Effect[],3,FALSE),EffectName[],IFERROR(MATCH(UI!$B$1,EffectName[#Headers],0),2),FALSE))</f>
        <v/>
      </c>
      <c r="U763" t="str">
        <f t="shared" si="81"/>
        <v/>
      </c>
      <c r="V763">
        <v>0</v>
      </c>
      <c r="W763" t="str">
        <f>IF(V763&lt;&gt;0,VLOOKUP(VLOOKUP(V763,Tbl_Effect[],3,FALSE),EffectName[],IFERROR(MATCH(UI!$B$1,EffectName[#Headers],0),2),FALSE),"")</f>
        <v/>
      </c>
      <c r="X763" t="str">
        <f t="shared" si="82"/>
        <v/>
      </c>
      <c r="Y763">
        <v>0</v>
      </c>
      <c r="Z763" t="str">
        <f>IF(Y763&lt;&gt;0,VLOOKUP(VLOOKUP(Y763,Tbl_Effect[],3,FALSE),EffectName[],IFERROR(MATCH(UI!$B$1,EffectName[#Headers],0),2),FALSE),"")</f>
        <v/>
      </c>
      <c r="AA763" t="str">
        <f t="shared" si="83"/>
        <v/>
      </c>
      <c r="AB763">
        <v>0</v>
      </c>
      <c r="AC763" t="str">
        <f>IF(AB763&lt;&gt;0,VLOOKUP(VLOOKUP(AB763,Tbl_Effect[],3,FALSE),EffectName[],IFERROR(MATCH(UI!$B$1,EffectName[#Headers],0),2),FALSE),"")</f>
        <v/>
      </c>
    </row>
    <row r="764" spans="8:29" x14ac:dyDescent="0.4">
      <c r="H764" t="str">
        <f t="shared" si="77"/>
        <v>2010210-細膩的光耀暗淡情景 (黃)</v>
      </c>
      <c r="I764">
        <v>2010210</v>
      </c>
      <c r="J764" t="str">
        <f>_xlfn.IFNA(IF(I764&lt;&gt;0,VLOOKUP(VLOOKUP(I764,Tbl_Equip[],2,FALSE),Tbl_Color[],IFERROR(MATCH(UI!$B$1,Tbl_Color[#Headers],0),2),FALSE),""),"Unset")</f>
        <v>黃</v>
      </c>
      <c r="K764" t="str">
        <f>_xlfn.IFNA(IF(I764&lt;&gt;0,VLOOKUP(I764,ItemText[],IFERROR(MATCH(UI!$B$1,ItemText[#Headers],0),2),FALSE),""),"Unset")</f>
        <v>細膩的光耀暗淡情景</v>
      </c>
      <c r="L764" t="str">
        <f t="shared" si="78"/>
        <v/>
      </c>
      <c r="M764">
        <v>0</v>
      </c>
      <c r="N764" t="str">
        <f>IF(VALUE(M764)=0,"",VLOOKUP(VLOOKUP(M764,Tbl_Effect[],3,FALSE),EffectName[],IFERROR(MATCH(UI!$B$1,EffectName[#Headers],0),2),FALSE))</f>
        <v/>
      </c>
      <c r="O764" t="str">
        <f t="shared" si="79"/>
        <v/>
      </c>
      <c r="P764">
        <v>0</v>
      </c>
      <c r="Q764" t="str">
        <f>IF(VALUE(P764)=0,"",VLOOKUP(VLOOKUP(P764,Tbl_Effect[],3,FALSE),EffectName[],IFERROR(MATCH(UI!$B$1,EffectName[#Headers],0),2),FALSE))</f>
        <v/>
      </c>
      <c r="R764" t="str">
        <f t="shared" si="80"/>
        <v/>
      </c>
      <c r="S764">
        <v>0</v>
      </c>
      <c r="T764" t="str">
        <f>IF(VALUE(S764)=0,"",VLOOKUP(VLOOKUP(S764,Tbl_Effect[],3,FALSE),EffectName[],IFERROR(MATCH(UI!$B$1,EffectName[#Headers],0),2),FALSE))</f>
        <v/>
      </c>
      <c r="U764" t="str">
        <f t="shared" si="81"/>
        <v/>
      </c>
      <c r="V764">
        <v>0</v>
      </c>
      <c r="W764" t="str">
        <f>IF(V764&lt;&gt;0,VLOOKUP(VLOOKUP(V764,Tbl_Effect[],3,FALSE),EffectName[],IFERROR(MATCH(UI!$B$1,EffectName[#Headers],0),2),FALSE),"")</f>
        <v/>
      </c>
      <c r="X764" t="str">
        <f t="shared" si="82"/>
        <v/>
      </c>
      <c r="Y764">
        <v>0</v>
      </c>
      <c r="Z764" t="str">
        <f>IF(Y764&lt;&gt;0,VLOOKUP(VLOOKUP(Y764,Tbl_Effect[],3,FALSE),EffectName[],IFERROR(MATCH(UI!$B$1,EffectName[#Headers],0),2),FALSE),"")</f>
        <v/>
      </c>
      <c r="AA764" t="str">
        <f t="shared" si="83"/>
        <v/>
      </c>
      <c r="AB764">
        <v>0</v>
      </c>
      <c r="AC764" t="str">
        <f>IF(AB764&lt;&gt;0,VLOOKUP(VLOOKUP(AB764,Tbl_Effect[],3,FALSE),EffectName[],IFERROR(MATCH(UI!$B$1,EffectName[#Headers],0),2),FALSE),"")</f>
        <v/>
      </c>
    </row>
    <row r="765" spans="8:29" x14ac:dyDescent="0.4">
      <c r="H765" t="str">
        <f t="shared" si="77"/>
        <v>2010211-端正的光耀暗淡情景 (黃)</v>
      </c>
      <c r="I765">
        <v>2010211</v>
      </c>
      <c r="J765" t="str">
        <f>_xlfn.IFNA(IF(I765&lt;&gt;0,VLOOKUP(VLOOKUP(I765,Tbl_Equip[],2,FALSE),Tbl_Color[],IFERROR(MATCH(UI!$B$1,Tbl_Color[#Headers],0),2),FALSE),""),"Unset")</f>
        <v>黃</v>
      </c>
      <c r="K765" t="str">
        <f>_xlfn.IFNA(IF(I765&lt;&gt;0,VLOOKUP(I765,ItemText[],IFERROR(MATCH(UI!$B$1,ItemText[#Headers],0),2),FALSE),""),"Unset")</f>
        <v>端正的光耀暗淡情景</v>
      </c>
      <c r="L765" t="str">
        <f t="shared" si="78"/>
        <v/>
      </c>
      <c r="M765">
        <v>0</v>
      </c>
      <c r="N765" t="str">
        <f>IF(VALUE(M765)=0,"",VLOOKUP(VLOOKUP(M765,Tbl_Effect[],3,FALSE),EffectName[],IFERROR(MATCH(UI!$B$1,EffectName[#Headers],0),2),FALSE))</f>
        <v/>
      </c>
      <c r="O765" t="str">
        <f t="shared" si="79"/>
        <v/>
      </c>
      <c r="P765">
        <v>0</v>
      </c>
      <c r="Q765" t="str">
        <f>IF(VALUE(P765)=0,"",VLOOKUP(VLOOKUP(P765,Tbl_Effect[],3,FALSE),EffectName[],IFERROR(MATCH(UI!$B$1,EffectName[#Headers],0),2),FALSE))</f>
        <v/>
      </c>
      <c r="R765" t="str">
        <f t="shared" si="80"/>
        <v/>
      </c>
      <c r="S765">
        <v>0</v>
      </c>
      <c r="T765" t="str">
        <f>IF(VALUE(S765)=0,"",VLOOKUP(VLOOKUP(S765,Tbl_Effect[],3,FALSE),EffectName[],IFERROR(MATCH(UI!$B$1,EffectName[#Headers],0),2),FALSE))</f>
        <v/>
      </c>
      <c r="U765" t="str">
        <f t="shared" si="81"/>
        <v/>
      </c>
      <c r="V765">
        <v>0</v>
      </c>
      <c r="W765" t="str">
        <f>IF(V765&lt;&gt;0,VLOOKUP(VLOOKUP(V765,Tbl_Effect[],3,FALSE),EffectName[],IFERROR(MATCH(UI!$B$1,EffectName[#Headers],0),2),FALSE),"")</f>
        <v/>
      </c>
      <c r="X765" t="str">
        <f t="shared" si="82"/>
        <v/>
      </c>
      <c r="Y765">
        <v>0</v>
      </c>
      <c r="Z765" t="str">
        <f>IF(Y765&lt;&gt;0,VLOOKUP(VLOOKUP(Y765,Tbl_Effect[],3,FALSE),EffectName[],IFERROR(MATCH(UI!$B$1,EffectName[#Headers],0),2),FALSE),"")</f>
        <v/>
      </c>
      <c r="AA765" t="str">
        <f t="shared" si="83"/>
        <v/>
      </c>
      <c r="AB765">
        <v>0</v>
      </c>
      <c r="AC765" t="str">
        <f>IF(AB765&lt;&gt;0,VLOOKUP(VLOOKUP(AB765,Tbl_Effect[],3,FALSE),EffectName[],IFERROR(MATCH(UI!$B$1,EffectName[#Headers],0),2),FALSE),"")</f>
        <v/>
      </c>
    </row>
    <row r="766" spans="8:29" x14ac:dyDescent="0.4">
      <c r="H766" t="str">
        <f t="shared" si="77"/>
        <v>2010212-遼闊的光耀暗淡情景 (黃)</v>
      </c>
      <c r="I766">
        <v>2010212</v>
      </c>
      <c r="J766" t="str">
        <f>_xlfn.IFNA(IF(I766&lt;&gt;0,VLOOKUP(VLOOKUP(I766,Tbl_Equip[],2,FALSE),Tbl_Color[],IFERROR(MATCH(UI!$B$1,Tbl_Color[#Headers],0),2),FALSE),""),"Unset")</f>
        <v>黃</v>
      </c>
      <c r="K766" t="str">
        <f>_xlfn.IFNA(IF(I766&lt;&gt;0,VLOOKUP(I766,ItemText[],IFERROR(MATCH(UI!$B$1,ItemText[#Headers],0),2),FALSE),""),"Unset")</f>
        <v>遼闊的光耀暗淡情景</v>
      </c>
      <c r="L766" t="str">
        <f t="shared" si="78"/>
        <v/>
      </c>
      <c r="M766">
        <v>0</v>
      </c>
      <c r="N766" t="str">
        <f>IF(VALUE(M766)=0,"",VLOOKUP(VLOOKUP(M766,Tbl_Effect[],3,FALSE),EffectName[],IFERROR(MATCH(UI!$B$1,EffectName[#Headers],0),2),FALSE))</f>
        <v/>
      </c>
      <c r="O766" t="str">
        <f t="shared" si="79"/>
        <v/>
      </c>
      <c r="P766">
        <v>0</v>
      </c>
      <c r="Q766" t="str">
        <f>IF(VALUE(P766)=0,"",VLOOKUP(VLOOKUP(P766,Tbl_Effect[],3,FALSE),EffectName[],IFERROR(MATCH(UI!$B$1,EffectName[#Headers],0),2),FALSE))</f>
        <v/>
      </c>
      <c r="R766" t="str">
        <f t="shared" si="80"/>
        <v/>
      </c>
      <c r="S766">
        <v>0</v>
      </c>
      <c r="T766" t="str">
        <f>IF(VALUE(S766)=0,"",VLOOKUP(VLOOKUP(S766,Tbl_Effect[],3,FALSE),EffectName[],IFERROR(MATCH(UI!$B$1,EffectName[#Headers],0),2),FALSE))</f>
        <v/>
      </c>
      <c r="U766" t="str">
        <f t="shared" si="81"/>
        <v/>
      </c>
      <c r="V766">
        <v>0</v>
      </c>
      <c r="W766" t="str">
        <f>IF(V766&lt;&gt;0,VLOOKUP(VLOOKUP(V766,Tbl_Effect[],3,FALSE),EffectName[],IFERROR(MATCH(UI!$B$1,EffectName[#Headers],0),2),FALSE),"")</f>
        <v/>
      </c>
      <c r="X766" t="str">
        <f t="shared" si="82"/>
        <v/>
      </c>
      <c r="Y766">
        <v>0</v>
      </c>
      <c r="Z766" t="str">
        <f>IF(Y766&lt;&gt;0,VLOOKUP(VLOOKUP(Y766,Tbl_Effect[],3,FALSE),EffectName[],IFERROR(MATCH(UI!$B$1,EffectName[#Headers],0),2),FALSE),"")</f>
        <v/>
      </c>
      <c r="AA766" t="str">
        <f t="shared" si="83"/>
        <v/>
      </c>
      <c r="AB766">
        <v>0</v>
      </c>
      <c r="AC766" t="str">
        <f>IF(AB766&lt;&gt;0,VLOOKUP(VLOOKUP(AB766,Tbl_Effect[],3,FALSE),EffectName[],IFERROR(MATCH(UI!$B$1,EffectName[#Headers],0),2),FALSE),"")</f>
        <v/>
      </c>
    </row>
    <row r="767" spans="8:29" x14ac:dyDescent="0.4">
      <c r="H767" t="str">
        <f t="shared" si="77"/>
        <v>2010220-細膩的光耀暗淡情景 (黃)</v>
      </c>
      <c r="I767">
        <v>2010220</v>
      </c>
      <c r="J767" t="str">
        <f>_xlfn.IFNA(IF(I767&lt;&gt;0,VLOOKUP(VLOOKUP(I767,Tbl_Equip[],2,FALSE),Tbl_Color[],IFERROR(MATCH(UI!$B$1,Tbl_Color[#Headers],0),2),FALSE),""),"Unset")</f>
        <v>黃</v>
      </c>
      <c r="K767" t="str">
        <f>_xlfn.IFNA(IF(I767&lt;&gt;0,VLOOKUP(I767,ItemText[],IFERROR(MATCH(UI!$B$1,ItemText[#Headers],0),2),FALSE),""),"Unset")</f>
        <v>細膩的光耀暗淡情景</v>
      </c>
      <c r="L767" t="str">
        <f t="shared" si="78"/>
        <v/>
      </c>
      <c r="M767">
        <v>0</v>
      </c>
      <c r="N767" t="str">
        <f>IF(VALUE(M767)=0,"",VLOOKUP(VLOOKUP(M767,Tbl_Effect[],3,FALSE),EffectName[],IFERROR(MATCH(UI!$B$1,EffectName[#Headers],0),2),FALSE))</f>
        <v/>
      </c>
      <c r="O767" t="str">
        <f t="shared" si="79"/>
        <v/>
      </c>
      <c r="P767">
        <v>0</v>
      </c>
      <c r="Q767" t="str">
        <f>IF(VALUE(P767)=0,"",VLOOKUP(VLOOKUP(P767,Tbl_Effect[],3,FALSE),EffectName[],IFERROR(MATCH(UI!$B$1,EffectName[#Headers],0),2),FALSE))</f>
        <v/>
      </c>
      <c r="R767" t="str">
        <f t="shared" si="80"/>
        <v/>
      </c>
      <c r="S767">
        <v>0</v>
      </c>
      <c r="T767" t="str">
        <f>IF(VALUE(S767)=0,"",VLOOKUP(VLOOKUP(S767,Tbl_Effect[],3,FALSE),EffectName[],IFERROR(MATCH(UI!$B$1,EffectName[#Headers],0),2),FALSE))</f>
        <v/>
      </c>
      <c r="U767" t="str">
        <f t="shared" si="81"/>
        <v/>
      </c>
      <c r="V767">
        <v>0</v>
      </c>
      <c r="W767" t="str">
        <f>IF(V767&lt;&gt;0,VLOOKUP(VLOOKUP(V767,Tbl_Effect[],3,FALSE),EffectName[],IFERROR(MATCH(UI!$B$1,EffectName[#Headers],0),2),FALSE),"")</f>
        <v/>
      </c>
      <c r="X767" t="str">
        <f t="shared" si="82"/>
        <v/>
      </c>
      <c r="Y767">
        <v>0</v>
      </c>
      <c r="Z767" t="str">
        <f>IF(Y767&lt;&gt;0,VLOOKUP(VLOOKUP(Y767,Tbl_Effect[],3,FALSE),EffectName[],IFERROR(MATCH(UI!$B$1,EffectName[#Headers],0),2),FALSE),"")</f>
        <v/>
      </c>
      <c r="AA767" t="str">
        <f t="shared" si="83"/>
        <v/>
      </c>
      <c r="AB767">
        <v>0</v>
      </c>
      <c r="AC767" t="str">
        <f>IF(AB767&lt;&gt;0,VLOOKUP(VLOOKUP(AB767,Tbl_Effect[],3,FALSE),EffectName[],IFERROR(MATCH(UI!$B$1,EffectName[#Headers],0),2),FALSE),"")</f>
        <v/>
      </c>
    </row>
    <row r="768" spans="8:29" x14ac:dyDescent="0.4">
      <c r="H768" t="str">
        <f t="shared" si="77"/>
        <v>2010221-端正的光耀暗淡情景 (黃)</v>
      </c>
      <c r="I768">
        <v>2010221</v>
      </c>
      <c r="J768" t="str">
        <f>_xlfn.IFNA(IF(I768&lt;&gt;0,VLOOKUP(VLOOKUP(I768,Tbl_Equip[],2,FALSE),Tbl_Color[],IFERROR(MATCH(UI!$B$1,Tbl_Color[#Headers],0),2),FALSE),""),"Unset")</f>
        <v>黃</v>
      </c>
      <c r="K768" t="str">
        <f>_xlfn.IFNA(IF(I768&lt;&gt;0,VLOOKUP(I768,ItemText[],IFERROR(MATCH(UI!$B$1,ItemText[#Headers],0),2),FALSE),""),"Unset")</f>
        <v>端正的光耀暗淡情景</v>
      </c>
      <c r="L768" t="str">
        <f t="shared" si="78"/>
        <v/>
      </c>
      <c r="M768">
        <v>0</v>
      </c>
      <c r="N768" t="str">
        <f>IF(VALUE(M768)=0,"",VLOOKUP(VLOOKUP(M768,Tbl_Effect[],3,FALSE),EffectName[],IFERROR(MATCH(UI!$B$1,EffectName[#Headers],0),2),FALSE))</f>
        <v/>
      </c>
      <c r="O768" t="str">
        <f t="shared" si="79"/>
        <v/>
      </c>
      <c r="P768">
        <v>0</v>
      </c>
      <c r="Q768" t="str">
        <f>IF(VALUE(P768)=0,"",VLOOKUP(VLOOKUP(P768,Tbl_Effect[],3,FALSE),EffectName[],IFERROR(MATCH(UI!$B$1,EffectName[#Headers],0),2),FALSE))</f>
        <v/>
      </c>
      <c r="R768" t="str">
        <f t="shared" si="80"/>
        <v/>
      </c>
      <c r="S768">
        <v>0</v>
      </c>
      <c r="T768" t="str">
        <f>IF(VALUE(S768)=0,"",VLOOKUP(VLOOKUP(S768,Tbl_Effect[],3,FALSE),EffectName[],IFERROR(MATCH(UI!$B$1,EffectName[#Headers],0),2),FALSE))</f>
        <v/>
      </c>
      <c r="U768" t="str">
        <f t="shared" si="81"/>
        <v/>
      </c>
      <c r="V768">
        <v>0</v>
      </c>
      <c r="W768" t="str">
        <f>IF(V768&lt;&gt;0,VLOOKUP(VLOOKUP(V768,Tbl_Effect[],3,FALSE),EffectName[],IFERROR(MATCH(UI!$B$1,EffectName[#Headers],0),2),FALSE),"")</f>
        <v/>
      </c>
      <c r="X768" t="str">
        <f t="shared" si="82"/>
        <v/>
      </c>
      <c r="Y768">
        <v>0</v>
      </c>
      <c r="Z768" t="str">
        <f>IF(Y768&lt;&gt;0,VLOOKUP(VLOOKUP(Y768,Tbl_Effect[],3,FALSE),EffectName[],IFERROR(MATCH(UI!$B$1,EffectName[#Headers],0),2),FALSE),"")</f>
        <v/>
      </c>
      <c r="AA768" t="str">
        <f t="shared" si="83"/>
        <v/>
      </c>
      <c r="AB768">
        <v>0</v>
      </c>
      <c r="AC768" t="str">
        <f>IF(AB768&lt;&gt;0,VLOOKUP(VLOOKUP(AB768,Tbl_Effect[],3,FALSE),EffectName[],IFERROR(MATCH(UI!$B$1,EffectName[#Headers],0),2),FALSE),"")</f>
        <v/>
      </c>
    </row>
    <row r="769" spans="8:29" x14ac:dyDescent="0.4">
      <c r="H769" t="str">
        <f t="shared" si="77"/>
        <v>2010222-遼闊的光耀暗淡情景 (黃)</v>
      </c>
      <c r="I769">
        <v>2010222</v>
      </c>
      <c r="J769" t="str">
        <f>_xlfn.IFNA(IF(I769&lt;&gt;0,VLOOKUP(VLOOKUP(I769,Tbl_Equip[],2,FALSE),Tbl_Color[],IFERROR(MATCH(UI!$B$1,Tbl_Color[#Headers],0),2),FALSE),""),"Unset")</f>
        <v>黃</v>
      </c>
      <c r="K769" t="str">
        <f>_xlfn.IFNA(IF(I769&lt;&gt;0,VLOOKUP(I769,ItemText[],IFERROR(MATCH(UI!$B$1,ItemText[#Headers],0),2),FALSE),""),"Unset")</f>
        <v>遼闊的光耀暗淡情景</v>
      </c>
      <c r="L769" t="str">
        <f t="shared" si="78"/>
        <v/>
      </c>
      <c r="M769">
        <v>0</v>
      </c>
      <c r="N769" t="str">
        <f>IF(VALUE(M769)=0,"",VLOOKUP(VLOOKUP(M769,Tbl_Effect[],3,FALSE),EffectName[],IFERROR(MATCH(UI!$B$1,EffectName[#Headers],0),2),FALSE))</f>
        <v/>
      </c>
      <c r="O769" t="str">
        <f t="shared" si="79"/>
        <v/>
      </c>
      <c r="P769">
        <v>0</v>
      </c>
      <c r="Q769" t="str">
        <f>IF(VALUE(P769)=0,"",VLOOKUP(VLOOKUP(P769,Tbl_Effect[],3,FALSE),EffectName[],IFERROR(MATCH(UI!$B$1,EffectName[#Headers],0),2),FALSE))</f>
        <v/>
      </c>
      <c r="R769" t="str">
        <f t="shared" si="80"/>
        <v/>
      </c>
      <c r="S769">
        <v>0</v>
      </c>
      <c r="T769" t="str">
        <f>IF(VALUE(S769)=0,"",VLOOKUP(VLOOKUP(S769,Tbl_Effect[],3,FALSE),EffectName[],IFERROR(MATCH(UI!$B$1,EffectName[#Headers],0),2),FALSE))</f>
        <v/>
      </c>
      <c r="U769" t="str">
        <f t="shared" si="81"/>
        <v/>
      </c>
      <c r="V769">
        <v>0</v>
      </c>
      <c r="W769" t="str">
        <f>IF(V769&lt;&gt;0,VLOOKUP(VLOOKUP(V769,Tbl_Effect[],3,FALSE),EffectName[],IFERROR(MATCH(UI!$B$1,EffectName[#Headers],0),2),FALSE),"")</f>
        <v/>
      </c>
      <c r="X769" t="str">
        <f t="shared" si="82"/>
        <v/>
      </c>
      <c r="Y769">
        <v>0</v>
      </c>
      <c r="Z769" t="str">
        <f>IF(Y769&lt;&gt;0,VLOOKUP(VLOOKUP(Y769,Tbl_Effect[],3,FALSE),EffectName[],IFERROR(MATCH(UI!$B$1,EffectName[#Headers],0),2),FALSE),"")</f>
        <v/>
      </c>
      <c r="AA769" t="str">
        <f t="shared" si="83"/>
        <v/>
      </c>
      <c r="AB769">
        <v>0</v>
      </c>
      <c r="AC769" t="str">
        <f>IF(AB769&lt;&gt;0,VLOOKUP(VLOOKUP(AB769,Tbl_Effect[],3,FALSE),EffectName[],IFERROR(MATCH(UI!$B$1,EffectName[#Headers],0),2),FALSE),"")</f>
        <v/>
      </c>
    </row>
    <row r="770" spans="8:29" x14ac:dyDescent="0.4">
      <c r="H770" t="str">
        <f t="shared" si="77"/>
        <v>2010300-細膩的幽靜暗淡情景 (綠)</v>
      </c>
      <c r="I770">
        <v>2010300</v>
      </c>
      <c r="J770" t="str">
        <f>_xlfn.IFNA(IF(I770&lt;&gt;0,VLOOKUP(VLOOKUP(I770,Tbl_Equip[],2,FALSE),Tbl_Color[],IFERROR(MATCH(UI!$B$1,Tbl_Color[#Headers],0),2),FALSE),""),"Unset")</f>
        <v>綠</v>
      </c>
      <c r="K770" t="str">
        <f>_xlfn.IFNA(IF(I770&lt;&gt;0,VLOOKUP(I770,ItemText[],IFERROR(MATCH(UI!$B$1,ItemText[#Headers],0),2),FALSE),""),"Unset")</f>
        <v>細膩的幽靜暗淡情景</v>
      </c>
      <c r="L770" t="str">
        <f t="shared" si="78"/>
        <v/>
      </c>
      <c r="M770">
        <v>0</v>
      </c>
      <c r="N770" t="str">
        <f>IF(VALUE(M770)=0,"",VLOOKUP(VLOOKUP(M770,Tbl_Effect[],3,FALSE),EffectName[],IFERROR(MATCH(UI!$B$1,EffectName[#Headers],0),2),FALSE))</f>
        <v/>
      </c>
      <c r="O770" t="str">
        <f t="shared" si="79"/>
        <v/>
      </c>
      <c r="P770">
        <v>0</v>
      </c>
      <c r="Q770" t="str">
        <f>IF(VALUE(P770)=0,"",VLOOKUP(VLOOKUP(P770,Tbl_Effect[],3,FALSE),EffectName[],IFERROR(MATCH(UI!$B$1,EffectName[#Headers],0),2),FALSE))</f>
        <v/>
      </c>
      <c r="R770" t="str">
        <f t="shared" si="80"/>
        <v/>
      </c>
      <c r="S770">
        <v>0</v>
      </c>
      <c r="T770" t="str">
        <f>IF(VALUE(S770)=0,"",VLOOKUP(VLOOKUP(S770,Tbl_Effect[],3,FALSE),EffectName[],IFERROR(MATCH(UI!$B$1,EffectName[#Headers],0),2),FALSE))</f>
        <v/>
      </c>
      <c r="U770" t="str">
        <f t="shared" si="81"/>
        <v/>
      </c>
      <c r="V770">
        <v>0</v>
      </c>
      <c r="W770" t="str">
        <f>IF(V770&lt;&gt;0,VLOOKUP(VLOOKUP(V770,Tbl_Effect[],3,FALSE),EffectName[],IFERROR(MATCH(UI!$B$1,EffectName[#Headers],0),2),FALSE),"")</f>
        <v/>
      </c>
      <c r="X770" t="str">
        <f t="shared" si="82"/>
        <v/>
      </c>
      <c r="Y770">
        <v>0</v>
      </c>
      <c r="Z770" t="str">
        <f>IF(Y770&lt;&gt;0,VLOOKUP(VLOOKUP(Y770,Tbl_Effect[],3,FALSE),EffectName[],IFERROR(MATCH(UI!$B$1,EffectName[#Headers],0),2),FALSE),"")</f>
        <v/>
      </c>
      <c r="AA770" t="str">
        <f t="shared" si="83"/>
        <v/>
      </c>
      <c r="AB770">
        <v>0</v>
      </c>
      <c r="AC770" t="str">
        <f>IF(AB770&lt;&gt;0,VLOOKUP(VLOOKUP(AB770,Tbl_Effect[],3,FALSE),EffectName[],IFERROR(MATCH(UI!$B$1,EffectName[#Headers],0),2),FALSE),"")</f>
        <v/>
      </c>
    </row>
    <row r="771" spans="8:29" x14ac:dyDescent="0.4">
      <c r="H771" t="str">
        <f t="shared" ref="H771:H834" si="84">IF(VALUE(I771)&lt;&gt;0,I771&amp;"-"&amp;K771&amp;" ("&amp;J771&amp;")","")</f>
        <v>2010301-端正的幽靜暗淡情景 (綠)</v>
      </c>
      <c r="I771">
        <v>2010301</v>
      </c>
      <c r="J771" t="str">
        <f>_xlfn.IFNA(IF(I771&lt;&gt;0,VLOOKUP(VLOOKUP(I771,Tbl_Equip[],2,FALSE),Tbl_Color[],IFERROR(MATCH(UI!$B$1,Tbl_Color[#Headers],0),2),FALSE),""),"Unset")</f>
        <v>綠</v>
      </c>
      <c r="K771" t="str">
        <f>_xlfn.IFNA(IF(I771&lt;&gt;0,VLOOKUP(I771,ItemText[],IFERROR(MATCH(UI!$B$1,ItemText[#Headers],0),2),FALSE),""),"Unset")</f>
        <v>端正的幽靜暗淡情景</v>
      </c>
      <c r="L771" t="str">
        <f t="shared" ref="L771:L834" si="85">IF(VALUE(M771)=0,"",M771&amp;"-"&amp;N771)</f>
        <v/>
      </c>
      <c r="M771">
        <v>0</v>
      </c>
      <c r="N771" t="str">
        <f>IF(VALUE(M771)=0,"",VLOOKUP(VLOOKUP(M771,Tbl_Effect[],3,FALSE),EffectName[],IFERROR(MATCH(UI!$B$1,EffectName[#Headers],0),2),FALSE))</f>
        <v/>
      </c>
      <c r="O771" t="str">
        <f t="shared" ref="O771:O834" si="86">IF(VALUE(P771)=0,"",P771&amp;"-"&amp;Q771)</f>
        <v/>
      </c>
      <c r="P771">
        <v>0</v>
      </c>
      <c r="Q771" t="str">
        <f>IF(VALUE(P771)=0,"",VLOOKUP(VLOOKUP(P771,Tbl_Effect[],3,FALSE),EffectName[],IFERROR(MATCH(UI!$B$1,EffectName[#Headers],0),2),FALSE))</f>
        <v/>
      </c>
      <c r="R771" t="str">
        <f t="shared" ref="R771:R834" si="87">IF(VALUE(S771)=0,"",S771&amp;"-"&amp;T771)</f>
        <v/>
      </c>
      <c r="S771">
        <v>0</v>
      </c>
      <c r="T771" t="str">
        <f>IF(VALUE(S771)=0,"",VLOOKUP(VLOOKUP(S771,Tbl_Effect[],3,FALSE),EffectName[],IFERROR(MATCH(UI!$B$1,EffectName[#Headers],0),2),FALSE))</f>
        <v/>
      </c>
      <c r="U771" t="str">
        <f t="shared" ref="U771:U834" si="88">IF(VALUE(V771)=0,"",V771&amp;"-"&amp;W771)</f>
        <v/>
      </c>
      <c r="V771">
        <v>0</v>
      </c>
      <c r="W771" t="str">
        <f>IF(V771&lt;&gt;0,VLOOKUP(VLOOKUP(V771,Tbl_Effect[],3,FALSE),EffectName[],IFERROR(MATCH(UI!$B$1,EffectName[#Headers],0),2),FALSE),"")</f>
        <v/>
      </c>
      <c r="X771" t="str">
        <f t="shared" ref="X771:X834" si="89">IF(VALUE(Y771)=0,"",Y771&amp;"-"&amp;Z771)</f>
        <v/>
      </c>
      <c r="Y771">
        <v>0</v>
      </c>
      <c r="Z771" t="str">
        <f>IF(Y771&lt;&gt;0,VLOOKUP(VLOOKUP(Y771,Tbl_Effect[],3,FALSE),EffectName[],IFERROR(MATCH(UI!$B$1,EffectName[#Headers],0),2),FALSE),"")</f>
        <v/>
      </c>
      <c r="AA771" t="str">
        <f t="shared" ref="AA771:AA834" si="90">IF(VALUE(AB771)=0,"",AB771&amp;"-"&amp;AC771)</f>
        <v/>
      </c>
      <c r="AB771">
        <v>0</v>
      </c>
      <c r="AC771" t="str">
        <f>IF(AB771&lt;&gt;0,VLOOKUP(VLOOKUP(AB771,Tbl_Effect[],3,FALSE),EffectName[],IFERROR(MATCH(UI!$B$1,EffectName[#Headers],0),2),FALSE),"")</f>
        <v/>
      </c>
    </row>
    <row r="772" spans="8:29" x14ac:dyDescent="0.4">
      <c r="H772" t="str">
        <f t="shared" si="84"/>
        <v>2010302-遼闊的幽靜暗淡情景 (綠)</v>
      </c>
      <c r="I772">
        <v>2010302</v>
      </c>
      <c r="J772" t="str">
        <f>_xlfn.IFNA(IF(I772&lt;&gt;0,VLOOKUP(VLOOKUP(I772,Tbl_Equip[],2,FALSE),Tbl_Color[],IFERROR(MATCH(UI!$B$1,Tbl_Color[#Headers],0),2),FALSE),""),"Unset")</f>
        <v>綠</v>
      </c>
      <c r="K772" t="str">
        <f>_xlfn.IFNA(IF(I772&lt;&gt;0,VLOOKUP(I772,ItemText[],IFERROR(MATCH(UI!$B$1,ItemText[#Headers],0),2),FALSE),""),"Unset")</f>
        <v>遼闊的幽靜暗淡情景</v>
      </c>
      <c r="L772" t="str">
        <f t="shared" si="85"/>
        <v/>
      </c>
      <c r="M772">
        <v>0</v>
      </c>
      <c r="N772" t="str">
        <f>IF(VALUE(M772)=0,"",VLOOKUP(VLOOKUP(M772,Tbl_Effect[],3,FALSE),EffectName[],IFERROR(MATCH(UI!$B$1,EffectName[#Headers],0),2),FALSE))</f>
        <v/>
      </c>
      <c r="O772" t="str">
        <f t="shared" si="86"/>
        <v/>
      </c>
      <c r="P772">
        <v>0</v>
      </c>
      <c r="Q772" t="str">
        <f>IF(VALUE(P772)=0,"",VLOOKUP(VLOOKUP(P772,Tbl_Effect[],3,FALSE),EffectName[],IFERROR(MATCH(UI!$B$1,EffectName[#Headers],0),2),FALSE))</f>
        <v/>
      </c>
      <c r="R772" t="str">
        <f t="shared" si="87"/>
        <v/>
      </c>
      <c r="S772">
        <v>0</v>
      </c>
      <c r="T772" t="str">
        <f>IF(VALUE(S772)=0,"",VLOOKUP(VLOOKUP(S772,Tbl_Effect[],3,FALSE),EffectName[],IFERROR(MATCH(UI!$B$1,EffectName[#Headers],0),2),FALSE))</f>
        <v/>
      </c>
      <c r="U772" t="str">
        <f t="shared" si="88"/>
        <v/>
      </c>
      <c r="V772">
        <v>0</v>
      </c>
      <c r="W772" t="str">
        <f>IF(V772&lt;&gt;0,VLOOKUP(VLOOKUP(V772,Tbl_Effect[],3,FALSE),EffectName[],IFERROR(MATCH(UI!$B$1,EffectName[#Headers],0),2),FALSE),"")</f>
        <v/>
      </c>
      <c r="X772" t="str">
        <f t="shared" si="89"/>
        <v/>
      </c>
      <c r="Y772">
        <v>0</v>
      </c>
      <c r="Z772" t="str">
        <f>IF(Y772&lt;&gt;0,VLOOKUP(VLOOKUP(Y772,Tbl_Effect[],3,FALSE),EffectName[],IFERROR(MATCH(UI!$B$1,EffectName[#Headers],0),2),FALSE),"")</f>
        <v/>
      </c>
      <c r="AA772" t="str">
        <f t="shared" si="90"/>
        <v/>
      </c>
      <c r="AB772">
        <v>0</v>
      </c>
      <c r="AC772" t="str">
        <f>IF(AB772&lt;&gt;0,VLOOKUP(VLOOKUP(AB772,Tbl_Effect[],3,FALSE),EffectName[],IFERROR(MATCH(UI!$B$1,EffectName[#Headers],0),2),FALSE),"")</f>
        <v/>
      </c>
    </row>
    <row r="773" spans="8:29" x14ac:dyDescent="0.4">
      <c r="H773" t="str">
        <f t="shared" si="84"/>
        <v>2010310-細膩的幽靜暗淡情景 (綠)</v>
      </c>
      <c r="I773">
        <v>2010310</v>
      </c>
      <c r="J773" t="str">
        <f>_xlfn.IFNA(IF(I773&lt;&gt;0,VLOOKUP(VLOOKUP(I773,Tbl_Equip[],2,FALSE),Tbl_Color[],IFERROR(MATCH(UI!$B$1,Tbl_Color[#Headers],0),2),FALSE),""),"Unset")</f>
        <v>綠</v>
      </c>
      <c r="K773" t="str">
        <f>_xlfn.IFNA(IF(I773&lt;&gt;0,VLOOKUP(I773,ItemText[],IFERROR(MATCH(UI!$B$1,ItemText[#Headers],0),2),FALSE),""),"Unset")</f>
        <v>細膩的幽靜暗淡情景</v>
      </c>
      <c r="L773" t="str">
        <f t="shared" si="85"/>
        <v/>
      </c>
      <c r="M773">
        <v>0</v>
      </c>
      <c r="N773" t="str">
        <f>IF(VALUE(M773)=0,"",VLOOKUP(VLOOKUP(M773,Tbl_Effect[],3,FALSE),EffectName[],IFERROR(MATCH(UI!$B$1,EffectName[#Headers],0),2),FALSE))</f>
        <v/>
      </c>
      <c r="O773" t="str">
        <f t="shared" si="86"/>
        <v/>
      </c>
      <c r="P773">
        <v>0</v>
      </c>
      <c r="Q773" t="str">
        <f>IF(VALUE(P773)=0,"",VLOOKUP(VLOOKUP(P773,Tbl_Effect[],3,FALSE),EffectName[],IFERROR(MATCH(UI!$B$1,EffectName[#Headers],0),2),FALSE))</f>
        <v/>
      </c>
      <c r="R773" t="str">
        <f t="shared" si="87"/>
        <v/>
      </c>
      <c r="S773">
        <v>0</v>
      </c>
      <c r="T773" t="str">
        <f>IF(VALUE(S773)=0,"",VLOOKUP(VLOOKUP(S773,Tbl_Effect[],3,FALSE),EffectName[],IFERROR(MATCH(UI!$B$1,EffectName[#Headers],0),2),FALSE))</f>
        <v/>
      </c>
      <c r="U773" t="str">
        <f t="shared" si="88"/>
        <v/>
      </c>
      <c r="V773">
        <v>0</v>
      </c>
      <c r="W773" t="str">
        <f>IF(V773&lt;&gt;0,VLOOKUP(VLOOKUP(V773,Tbl_Effect[],3,FALSE),EffectName[],IFERROR(MATCH(UI!$B$1,EffectName[#Headers],0),2),FALSE),"")</f>
        <v/>
      </c>
      <c r="X773" t="str">
        <f t="shared" si="89"/>
        <v/>
      </c>
      <c r="Y773">
        <v>0</v>
      </c>
      <c r="Z773" t="str">
        <f>IF(Y773&lt;&gt;0,VLOOKUP(VLOOKUP(Y773,Tbl_Effect[],3,FALSE),EffectName[],IFERROR(MATCH(UI!$B$1,EffectName[#Headers],0),2),FALSE),"")</f>
        <v/>
      </c>
      <c r="AA773" t="str">
        <f t="shared" si="90"/>
        <v/>
      </c>
      <c r="AB773">
        <v>0</v>
      </c>
      <c r="AC773" t="str">
        <f>IF(AB773&lt;&gt;0,VLOOKUP(VLOOKUP(AB773,Tbl_Effect[],3,FALSE),EffectName[],IFERROR(MATCH(UI!$B$1,EffectName[#Headers],0),2),FALSE),"")</f>
        <v/>
      </c>
    </row>
    <row r="774" spans="8:29" x14ac:dyDescent="0.4">
      <c r="H774" t="str">
        <f t="shared" si="84"/>
        <v>2010311-端正的幽靜暗淡情景 (綠)</v>
      </c>
      <c r="I774">
        <v>2010311</v>
      </c>
      <c r="J774" t="str">
        <f>_xlfn.IFNA(IF(I774&lt;&gt;0,VLOOKUP(VLOOKUP(I774,Tbl_Equip[],2,FALSE),Tbl_Color[],IFERROR(MATCH(UI!$B$1,Tbl_Color[#Headers],0),2),FALSE),""),"Unset")</f>
        <v>綠</v>
      </c>
      <c r="K774" t="str">
        <f>_xlfn.IFNA(IF(I774&lt;&gt;0,VLOOKUP(I774,ItemText[],IFERROR(MATCH(UI!$B$1,ItemText[#Headers],0),2),FALSE),""),"Unset")</f>
        <v>端正的幽靜暗淡情景</v>
      </c>
      <c r="L774" t="str">
        <f t="shared" si="85"/>
        <v/>
      </c>
      <c r="M774">
        <v>0</v>
      </c>
      <c r="N774" t="str">
        <f>IF(VALUE(M774)=0,"",VLOOKUP(VLOOKUP(M774,Tbl_Effect[],3,FALSE),EffectName[],IFERROR(MATCH(UI!$B$1,EffectName[#Headers],0),2),FALSE))</f>
        <v/>
      </c>
      <c r="O774" t="str">
        <f t="shared" si="86"/>
        <v/>
      </c>
      <c r="P774">
        <v>0</v>
      </c>
      <c r="Q774" t="str">
        <f>IF(VALUE(P774)=0,"",VLOOKUP(VLOOKUP(P774,Tbl_Effect[],3,FALSE),EffectName[],IFERROR(MATCH(UI!$B$1,EffectName[#Headers],0),2),FALSE))</f>
        <v/>
      </c>
      <c r="R774" t="str">
        <f t="shared" si="87"/>
        <v/>
      </c>
      <c r="S774">
        <v>0</v>
      </c>
      <c r="T774" t="str">
        <f>IF(VALUE(S774)=0,"",VLOOKUP(VLOOKUP(S774,Tbl_Effect[],3,FALSE),EffectName[],IFERROR(MATCH(UI!$B$1,EffectName[#Headers],0),2),FALSE))</f>
        <v/>
      </c>
      <c r="U774" t="str">
        <f t="shared" si="88"/>
        <v/>
      </c>
      <c r="V774">
        <v>0</v>
      </c>
      <c r="W774" t="str">
        <f>IF(V774&lt;&gt;0,VLOOKUP(VLOOKUP(V774,Tbl_Effect[],3,FALSE),EffectName[],IFERROR(MATCH(UI!$B$1,EffectName[#Headers],0),2),FALSE),"")</f>
        <v/>
      </c>
      <c r="X774" t="str">
        <f t="shared" si="89"/>
        <v/>
      </c>
      <c r="Y774">
        <v>0</v>
      </c>
      <c r="Z774" t="str">
        <f>IF(Y774&lt;&gt;0,VLOOKUP(VLOOKUP(Y774,Tbl_Effect[],3,FALSE),EffectName[],IFERROR(MATCH(UI!$B$1,EffectName[#Headers],0),2),FALSE),"")</f>
        <v/>
      </c>
      <c r="AA774" t="str">
        <f t="shared" si="90"/>
        <v/>
      </c>
      <c r="AB774">
        <v>0</v>
      </c>
      <c r="AC774" t="str">
        <f>IF(AB774&lt;&gt;0,VLOOKUP(VLOOKUP(AB774,Tbl_Effect[],3,FALSE),EffectName[],IFERROR(MATCH(UI!$B$1,EffectName[#Headers],0),2),FALSE),"")</f>
        <v/>
      </c>
    </row>
    <row r="775" spans="8:29" x14ac:dyDescent="0.4">
      <c r="H775" t="str">
        <f t="shared" si="84"/>
        <v>2010312-遼闊的幽靜暗淡情景 (綠)</v>
      </c>
      <c r="I775">
        <v>2010312</v>
      </c>
      <c r="J775" t="str">
        <f>_xlfn.IFNA(IF(I775&lt;&gt;0,VLOOKUP(VLOOKUP(I775,Tbl_Equip[],2,FALSE),Tbl_Color[],IFERROR(MATCH(UI!$B$1,Tbl_Color[#Headers],0),2),FALSE),""),"Unset")</f>
        <v>綠</v>
      </c>
      <c r="K775" t="str">
        <f>_xlfn.IFNA(IF(I775&lt;&gt;0,VLOOKUP(I775,ItemText[],IFERROR(MATCH(UI!$B$1,ItemText[#Headers],0),2),FALSE),""),"Unset")</f>
        <v>遼闊的幽靜暗淡情景</v>
      </c>
      <c r="L775" t="str">
        <f t="shared" si="85"/>
        <v/>
      </c>
      <c r="M775">
        <v>0</v>
      </c>
      <c r="N775" t="str">
        <f>IF(VALUE(M775)=0,"",VLOOKUP(VLOOKUP(M775,Tbl_Effect[],3,FALSE),EffectName[],IFERROR(MATCH(UI!$B$1,EffectName[#Headers],0),2),FALSE))</f>
        <v/>
      </c>
      <c r="O775" t="str">
        <f t="shared" si="86"/>
        <v/>
      </c>
      <c r="P775">
        <v>0</v>
      </c>
      <c r="Q775" t="str">
        <f>IF(VALUE(P775)=0,"",VLOOKUP(VLOOKUP(P775,Tbl_Effect[],3,FALSE),EffectName[],IFERROR(MATCH(UI!$B$1,EffectName[#Headers],0),2),FALSE))</f>
        <v/>
      </c>
      <c r="R775" t="str">
        <f t="shared" si="87"/>
        <v/>
      </c>
      <c r="S775">
        <v>0</v>
      </c>
      <c r="T775" t="str">
        <f>IF(VALUE(S775)=0,"",VLOOKUP(VLOOKUP(S775,Tbl_Effect[],3,FALSE),EffectName[],IFERROR(MATCH(UI!$B$1,EffectName[#Headers],0),2),FALSE))</f>
        <v/>
      </c>
      <c r="U775" t="str">
        <f t="shared" si="88"/>
        <v/>
      </c>
      <c r="V775">
        <v>0</v>
      </c>
      <c r="W775" t="str">
        <f>IF(V775&lt;&gt;0,VLOOKUP(VLOOKUP(V775,Tbl_Effect[],3,FALSE),EffectName[],IFERROR(MATCH(UI!$B$1,EffectName[#Headers],0),2),FALSE),"")</f>
        <v/>
      </c>
      <c r="X775" t="str">
        <f t="shared" si="89"/>
        <v/>
      </c>
      <c r="Y775">
        <v>0</v>
      </c>
      <c r="Z775" t="str">
        <f>IF(Y775&lt;&gt;0,VLOOKUP(VLOOKUP(Y775,Tbl_Effect[],3,FALSE),EffectName[],IFERROR(MATCH(UI!$B$1,EffectName[#Headers],0),2),FALSE),"")</f>
        <v/>
      </c>
      <c r="AA775" t="str">
        <f t="shared" si="90"/>
        <v/>
      </c>
      <c r="AB775">
        <v>0</v>
      </c>
      <c r="AC775" t="str">
        <f>IF(AB775&lt;&gt;0,VLOOKUP(VLOOKUP(AB775,Tbl_Effect[],3,FALSE),EffectName[],IFERROR(MATCH(UI!$B$1,EffectName[#Headers],0),2),FALSE),"")</f>
        <v/>
      </c>
    </row>
    <row r="776" spans="8:29" x14ac:dyDescent="0.4">
      <c r="H776" t="str">
        <f t="shared" si="84"/>
        <v>2010320-細膩的幽靜暗淡情景 (綠)</v>
      </c>
      <c r="I776">
        <v>2010320</v>
      </c>
      <c r="J776" t="str">
        <f>_xlfn.IFNA(IF(I776&lt;&gt;0,VLOOKUP(VLOOKUP(I776,Tbl_Equip[],2,FALSE),Tbl_Color[],IFERROR(MATCH(UI!$B$1,Tbl_Color[#Headers],0),2),FALSE),""),"Unset")</f>
        <v>綠</v>
      </c>
      <c r="K776" t="str">
        <f>_xlfn.IFNA(IF(I776&lt;&gt;0,VLOOKUP(I776,ItemText[],IFERROR(MATCH(UI!$B$1,ItemText[#Headers],0),2),FALSE),""),"Unset")</f>
        <v>細膩的幽靜暗淡情景</v>
      </c>
      <c r="L776" t="str">
        <f t="shared" si="85"/>
        <v/>
      </c>
      <c r="M776">
        <v>0</v>
      </c>
      <c r="N776" t="str">
        <f>IF(VALUE(M776)=0,"",VLOOKUP(VLOOKUP(M776,Tbl_Effect[],3,FALSE),EffectName[],IFERROR(MATCH(UI!$B$1,EffectName[#Headers],0),2),FALSE))</f>
        <v/>
      </c>
      <c r="O776" t="str">
        <f t="shared" si="86"/>
        <v/>
      </c>
      <c r="P776">
        <v>0</v>
      </c>
      <c r="Q776" t="str">
        <f>IF(VALUE(P776)=0,"",VLOOKUP(VLOOKUP(P776,Tbl_Effect[],3,FALSE),EffectName[],IFERROR(MATCH(UI!$B$1,EffectName[#Headers],0),2),FALSE))</f>
        <v/>
      </c>
      <c r="R776" t="str">
        <f t="shared" si="87"/>
        <v/>
      </c>
      <c r="S776">
        <v>0</v>
      </c>
      <c r="T776" t="str">
        <f>IF(VALUE(S776)=0,"",VLOOKUP(VLOOKUP(S776,Tbl_Effect[],3,FALSE),EffectName[],IFERROR(MATCH(UI!$B$1,EffectName[#Headers],0),2),FALSE))</f>
        <v/>
      </c>
      <c r="U776" t="str">
        <f t="shared" si="88"/>
        <v/>
      </c>
      <c r="V776">
        <v>0</v>
      </c>
      <c r="W776" t="str">
        <f>IF(V776&lt;&gt;0,VLOOKUP(VLOOKUP(V776,Tbl_Effect[],3,FALSE),EffectName[],IFERROR(MATCH(UI!$B$1,EffectName[#Headers],0),2),FALSE),"")</f>
        <v/>
      </c>
      <c r="X776" t="str">
        <f t="shared" si="89"/>
        <v/>
      </c>
      <c r="Y776">
        <v>0</v>
      </c>
      <c r="Z776" t="str">
        <f>IF(Y776&lt;&gt;0,VLOOKUP(VLOOKUP(Y776,Tbl_Effect[],3,FALSE),EffectName[],IFERROR(MATCH(UI!$B$1,EffectName[#Headers],0),2),FALSE),"")</f>
        <v/>
      </c>
      <c r="AA776" t="str">
        <f t="shared" si="90"/>
        <v/>
      </c>
      <c r="AB776">
        <v>0</v>
      </c>
      <c r="AC776" t="str">
        <f>IF(AB776&lt;&gt;0,VLOOKUP(VLOOKUP(AB776,Tbl_Effect[],3,FALSE),EffectName[],IFERROR(MATCH(UI!$B$1,EffectName[#Headers],0),2),FALSE),"")</f>
        <v/>
      </c>
    </row>
    <row r="777" spans="8:29" x14ac:dyDescent="0.4">
      <c r="H777" t="str">
        <f t="shared" si="84"/>
        <v>2010321-端正的幽靜暗淡情景 (綠)</v>
      </c>
      <c r="I777">
        <v>2010321</v>
      </c>
      <c r="J777" t="str">
        <f>_xlfn.IFNA(IF(I777&lt;&gt;0,VLOOKUP(VLOOKUP(I777,Tbl_Equip[],2,FALSE),Tbl_Color[],IFERROR(MATCH(UI!$B$1,Tbl_Color[#Headers],0),2),FALSE),""),"Unset")</f>
        <v>綠</v>
      </c>
      <c r="K777" t="str">
        <f>_xlfn.IFNA(IF(I777&lt;&gt;0,VLOOKUP(I777,ItemText[],IFERROR(MATCH(UI!$B$1,ItemText[#Headers],0),2),FALSE),""),"Unset")</f>
        <v>端正的幽靜暗淡情景</v>
      </c>
      <c r="L777" t="str">
        <f t="shared" si="85"/>
        <v/>
      </c>
      <c r="M777">
        <v>0</v>
      </c>
      <c r="N777" t="str">
        <f>IF(VALUE(M777)=0,"",VLOOKUP(VLOOKUP(M777,Tbl_Effect[],3,FALSE),EffectName[],IFERROR(MATCH(UI!$B$1,EffectName[#Headers],0),2),FALSE))</f>
        <v/>
      </c>
      <c r="O777" t="str">
        <f t="shared" si="86"/>
        <v/>
      </c>
      <c r="P777">
        <v>0</v>
      </c>
      <c r="Q777" t="str">
        <f>IF(VALUE(P777)=0,"",VLOOKUP(VLOOKUP(P777,Tbl_Effect[],3,FALSE),EffectName[],IFERROR(MATCH(UI!$B$1,EffectName[#Headers],0),2),FALSE))</f>
        <v/>
      </c>
      <c r="R777" t="str">
        <f t="shared" si="87"/>
        <v/>
      </c>
      <c r="S777">
        <v>0</v>
      </c>
      <c r="T777" t="str">
        <f>IF(VALUE(S777)=0,"",VLOOKUP(VLOOKUP(S777,Tbl_Effect[],3,FALSE),EffectName[],IFERROR(MATCH(UI!$B$1,EffectName[#Headers],0),2),FALSE))</f>
        <v/>
      </c>
      <c r="U777" t="str">
        <f t="shared" si="88"/>
        <v/>
      </c>
      <c r="V777">
        <v>0</v>
      </c>
      <c r="W777" t="str">
        <f>IF(V777&lt;&gt;0,VLOOKUP(VLOOKUP(V777,Tbl_Effect[],3,FALSE),EffectName[],IFERROR(MATCH(UI!$B$1,EffectName[#Headers],0),2),FALSE),"")</f>
        <v/>
      </c>
      <c r="X777" t="str">
        <f t="shared" si="89"/>
        <v/>
      </c>
      <c r="Y777">
        <v>0</v>
      </c>
      <c r="Z777" t="str">
        <f>IF(Y777&lt;&gt;0,VLOOKUP(VLOOKUP(Y777,Tbl_Effect[],3,FALSE),EffectName[],IFERROR(MATCH(UI!$B$1,EffectName[#Headers],0),2),FALSE),"")</f>
        <v/>
      </c>
      <c r="AA777" t="str">
        <f t="shared" si="90"/>
        <v/>
      </c>
      <c r="AB777">
        <v>0</v>
      </c>
      <c r="AC777" t="str">
        <f>IF(AB777&lt;&gt;0,VLOOKUP(VLOOKUP(AB777,Tbl_Effect[],3,FALSE),EffectName[],IFERROR(MATCH(UI!$B$1,EffectName[#Headers],0),2),FALSE),"")</f>
        <v/>
      </c>
    </row>
    <row r="778" spans="8:29" x14ac:dyDescent="0.4">
      <c r="H778" t="str">
        <f t="shared" si="84"/>
        <v>2010322-遼闊的幽靜暗淡情景 (綠)</v>
      </c>
      <c r="I778">
        <v>2010322</v>
      </c>
      <c r="J778" t="str">
        <f>_xlfn.IFNA(IF(I778&lt;&gt;0,VLOOKUP(VLOOKUP(I778,Tbl_Equip[],2,FALSE),Tbl_Color[],IFERROR(MATCH(UI!$B$1,Tbl_Color[#Headers],0),2),FALSE),""),"Unset")</f>
        <v>綠</v>
      </c>
      <c r="K778" t="str">
        <f>_xlfn.IFNA(IF(I778&lt;&gt;0,VLOOKUP(I778,ItemText[],IFERROR(MATCH(UI!$B$1,ItemText[#Headers],0),2),FALSE),""),"Unset")</f>
        <v>遼闊的幽靜暗淡情景</v>
      </c>
      <c r="L778" t="str">
        <f t="shared" si="85"/>
        <v/>
      </c>
      <c r="M778">
        <v>0</v>
      </c>
      <c r="N778" t="str">
        <f>IF(VALUE(M778)=0,"",VLOOKUP(VLOOKUP(M778,Tbl_Effect[],3,FALSE),EffectName[],IFERROR(MATCH(UI!$B$1,EffectName[#Headers],0),2),FALSE))</f>
        <v/>
      </c>
      <c r="O778" t="str">
        <f t="shared" si="86"/>
        <v/>
      </c>
      <c r="P778">
        <v>0</v>
      </c>
      <c r="Q778" t="str">
        <f>IF(VALUE(P778)=0,"",VLOOKUP(VLOOKUP(P778,Tbl_Effect[],3,FALSE),EffectName[],IFERROR(MATCH(UI!$B$1,EffectName[#Headers],0),2),FALSE))</f>
        <v/>
      </c>
      <c r="R778" t="str">
        <f t="shared" si="87"/>
        <v/>
      </c>
      <c r="S778">
        <v>0</v>
      </c>
      <c r="T778" t="str">
        <f>IF(VALUE(S778)=0,"",VLOOKUP(VLOOKUP(S778,Tbl_Effect[],3,FALSE),EffectName[],IFERROR(MATCH(UI!$B$1,EffectName[#Headers],0),2),FALSE))</f>
        <v/>
      </c>
      <c r="U778" t="str">
        <f t="shared" si="88"/>
        <v/>
      </c>
      <c r="V778">
        <v>0</v>
      </c>
      <c r="W778" t="str">
        <f>IF(V778&lt;&gt;0,VLOOKUP(VLOOKUP(V778,Tbl_Effect[],3,FALSE),EffectName[],IFERROR(MATCH(UI!$B$1,EffectName[#Headers],0),2),FALSE),"")</f>
        <v/>
      </c>
      <c r="X778" t="str">
        <f t="shared" si="89"/>
        <v/>
      </c>
      <c r="Y778">
        <v>0</v>
      </c>
      <c r="Z778" t="str">
        <f>IF(Y778&lt;&gt;0,VLOOKUP(VLOOKUP(Y778,Tbl_Effect[],3,FALSE),EffectName[],IFERROR(MATCH(UI!$B$1,EffectName[#Headers],0),2),FALSE),"")</f>
        <v/>
      </c>
      <c r="AA778" t="str">
        <f t="shared" si="90"/>
        <v/>
      </c>
      <c r="AB778">
        <v>0</v>
      </c>
      <c r="AC778" t="str">
        <f>IF(AB778&lt;&gt;0,VLOOKUP(VLOOKUP(AB778,Tbl_Effect[],3,FALSE),EffectName[],IFERROR(MATCH(UI!$B$1,EffectName[#Headers],0),2),FALSE),"")</f>
        <v/>
      </c>
    </row>
    <row r="779" spans="8:29" x14ac:dyDescent="0.4">
      <c r="H779" t="str">
        <f t="shared" si="84"/>
        <v>2011001-端正的火燃暗淡情景 (紅)</v>
      </c>
      <c r="I779">
        <v>2011001</v>
      </c>
      <c r="J779" t="str">
        <f>_xlfn.IFNA(IF(I779&lt;&gt;0,VLOOKUP(VLOOKUP(I779,Tbl_Equip[],2,FALSE),Tbl_Color[],IFERROR(MATCH(UI!$B$1,Tbl_Color[#Headers],0),2),FALSE),""),"Unset")</f>
        <v>紅</v>
      </c>
      <c r="K779" t="str">
        <f>_xlfn.IFNA(IF(I779&lt;&gt;0,VLOOKUP(I779,ItemText[],IFERROR(MATCH(UI!$B$1,ItemText[#Headers],0),2),FALSE),""),"Unset")</f>
        <v>端正的火燃暗淡情景</v>
      </c>
      <c r="L779" t="str">
        <f t="shared" si="85"/>
        <v/>
      </c>
      <c r="M779">
        <v>0</v>
      </c>
      <c r="N779" t="str">
        <f>IF(VALUE(M779)=0,"",VLOOKUP(VLOOKUP(M779,Tbl_Effect[],3,FALSE),EffectName[],IFERROR(MATCH(UI!$B$1,EffectName[#Headers],0),2),FALSE))</f>
        <v/>
      </c>
      <c r="O779" t="str">
        <f t="shared" si="86"/>
        <v/>
      </c>
      <c r="P779">
        <v>0</v>
      </c>
      <c r="Q779" t="str">
        <f>IF(VALUE(P779)=0,"",VLOOKUP(VLOOKUP(P779,Tbl_Effect[],3,FALSE),EffectName[],IFERROR(MATCH(UI!$B$1,EffectName[#Headers],0),2),FALSE))</f>
        <v/>
      </c>
      <c r="R779" t="str">
        <f t="shared" si="87"/>
        <v/>
      </c>
      <c r="S779">
        <v>0</v>
      </c>
      <c r="T779" t="str">
        <f>IF(VALUE(S779)=0,"",VLOOKUP(VLOOKUP(S779,Tbl_Effect[],3,FALSE),EffectName[],IFERROR(MATCH(UI!$B$1,EffectName[#Headers],0),2),FALSE))</f>
        <v/>
      </c>
      <c r="U779" t="str">
        <f t="shared" si="88"/>
        <v/>
      </c>
      <c r="V779">
        <v>0</v>
      </c>
      <c r="W779" t="str">
        <f>IF(V779&lt;&gt;0,VLOOKUP(VLOOKUP(V779,Tbl_Effect[],3,FALSE),EffectName[],IFERROR(MATCH(UI!$B$1,EffectName[#Headers],0),2),FALSE),"")</f>
        <v/>
      </c>
      <c r="X779" t="str">
        <f t="shared" si="89"/>
        <v/>
      </c>
      <c r="Y779">
        <v>0</v>
      </c>
      <c r="Z779" t="str">
        <f>IF(Y779&lt;&gt;0,VLOOKUP(VLOOKUP(Y779,Tbl_Effect[],3,FALSE),EffectName[],IFERROR(MATCH(UI!$B$1,EffectName[#Headers],0),2),FALSE),"")</f>
        <v/>
      </c>
      <c r="AA779" t="str">
        <f t="shared" si="90"/>
        <v/>
      </c>
      <c r="AB779">
        <v>0</v>
      </c>
      <c r="AC779" t="str">
        <f>IF(AB779&lt;&gt;0,VLOOKUP(VLOOKUP(AB779,Tbl_Effect[],3,FALSE),EffectName[],IFERROR(MATCH(UI!$B$1,EffectName[#Headers],0),2),FALSE),"")</f>
        <v/>
      </c>
    </row>
    <row r="780" spans="8:29" x14ac:dyDescent="0.4">
      <c r="H780" t="str">
        <f t="shared" si="84"/>
        <v>2011002-遼闊的火燃暗淡情景 (紅)</v>
      </c>
      <c r="I780">
        <v>2011002</v>
      </c>
      <c r="J780" t="str">
        <f>_xlfn.IFNA(IF(I780&lt;&gt;0,VLOOKUP(VLOOKUP(I780,Tbl_Equip[],2,FALSE),Tbl_Color[],IFERROR(MATCH(UI!$B$1,Tbl_Color[#Headers],0),2),FALSE),""),"Unset")</f>
        <v>紅</v>
      </c>
      <c r="K780" t="str">
        <f>_xlfn.IFNA(IF(I780&lt;&gt;0,VLOOKUP(I780,ItemText[],IFERROR(MATCH(UI!$B$1,ItemText[#Headers],0),2),FALSE),""),"Unset")</f>
        <v>遼闊的火燃暗淡情景</v>
      </c>
      <c r="L780" t="str">
        <f t="shared" si="85"/>
        <v/>
      </c>
      <c r="M780">
        <v>0</v>
      </c>
      <c r="N780" t="str">
        <f>IF(VALUE(M780)=0,"",VLOOKUP(VLOOKUP(M780,Tbl_Effect[],3,FALSE),EffectName[],IFERROR(MATCH(UI!$B$1,EffectName[#Headers],0),2),FALSE))</f>
        <v/>
      </c>
      <c r="O780" t="str">
        <f t="shared" si="86"/>
        <v/>
      </c>
      <c r="P780">
        <v>0</v>
      </c>
      <c r="Q780" t="str">
        <f>IF(VALUE(P780)=0,"",VLOOKUP(VLOOKUP(P780,Tbl_Effect[],3,FALSE),EffectName[],IFERROR(MATCH(UI!$B$1,EffectName[#Headers],0),2),FALSE))</f>
        <v/>
      </c>
      <c r="R780" t="str">
        <f t="shared" si="87"/>
        <v/>
      </c>
      <c r="S780">
        <v>0</v>
      </c>
      <c r="T780" t="str">
        <f>IF(VALUE(S780)=0,"",VLOOKUP(VLOOKUP(S780,Tbl_Effect[],3,FALSE),EffectName[],IFERROR(MATCH(UI!$B$1,EffectName[#Headers],0),2),FALSE))</f>
        <v/>
      </c>
      <c r="U780" t="str">
        <f t="shared" si="88"/>
        <v/>
      </c>
      <c r="V780">
        <v>0</v>
      </c>
      <c r="W780" t="str">
        <f>IF(V780&lt;&gt;0,VLOOKUP(VLOOKUP(V780,Tbl_Effect[],3,FALSE),EffectName[],IFERROR(MATCH(UI!$B$1,EffectName[#Headers],0),2),FALSE),"")</f>
        <v/>
      </c>
      <c r="X780" t="str">
        <f t="shared" si="89"/>
        <v/>
      </c>
      <c r="Y780">
        <v>0</v>
      </c>
      <c r="Z780" t="str">
        <f>IF(Y780&lt;&gt;0,VLOOKUP(VLOOKUP(Y780,Tbl_Effect[],3,FALSE),EffectName[],IFERROR(MATCH(UI!$B$1,EffectName[#Headers],0),2),FALSE),"")</f>
        <v/>
      </c>
      <c r="AA780" t="str">
        <f t="shared" si="90"/>
        <v/>
      </c>
      <c r="AB780">
        <v>0</v>
      </c>
      <c r="AC780" t="str">
        <f>IF(AB780&lt;&gt;0,VLOOKUP(VLOOKUP(AB780,Tbl_Effect[],3,FALSE),EffectName[],IFERROR(MATCH(UI!$B$1,EffectName[#Headers],0),2),FALSE),"")</f>
        <v/>
      </c>
    </row>
    <row r="781" spans="8:29" x14ac:dyDescent="0.4">
      <c r="H781" t="str">
        <f t="shared" si="84"/>
        <v>2011011-端正的火燃暗淡情景 (紅)</v>
      </c>
      <c r="I781">
        <v>2011011</v>
      </c>
      <c r="J781" t="str">
        <f>_xlfn.IFNA(IF(I781&lt;&gt;0,VLOOKUP(VLOOKUP(I781,Tbl_Equip[],2,FALSE),Tbl_Color[],IFERROR(MATCH(UI!$B$1,Tbl_Color[#Headers],0),2),FALSE),""),"Unset")</f>
        <v>紅</v>
      </c>
      <c r="K781" t="str">
        <f>_xlfn.IFNA(IF(I781&lt;&gt;0,VLOOKUP(I781,ItemText[],IFERROR(MATCH(UI!$B$1,ItemText[#Headers],0),2),FALSE),""),"Unset")</f>
        <v>端正的火燃暗淡情景</v>
      </c>
      <c r="L781" t="str">
        <f t="shared" si="85"/>
        <v/>
      </c>
      <c r="M781">
        <v>0</v>
      </c>
      <c r="N781" t="str">
        <f>IF(VALUE(M781)=0,"",VLOOKUP(VLOOKUP(M781,Tbl_Effect[],3,FALSE),EffectName[],IFERROR(MATCH(UI!$B$1,EffectName[#Headers],0),2),FALSE))</f>
        <v/>
      </c>
      <c r="O781" t="str">
        <f t="shared" si="86"/>
        <v/>
      </c>
      <c r="P781">
        <v>0</v>
      </c>
      <c r="Q781" t="str">
        <f>IF(VALUE(P781)=0,"",VLOOKUP(VLOOKUP(P781,Tbl_Effect[],3,FALSE),EffectName[],IFERROR(MATCH(UI!$B$1,EffectName[#Headers],0),2),FALSE))</f>
        <v/>
      </c>
      <c r="R781" t="str">
        <f t="shared" si="87"/>
        <v/>
      </c>
      <c r="S781">
        <v>0</v>
      </c>
      <c r="T781" t="str">
        <f>IF(VALUE(S781)=0,"",VLOOKUP(VLOOKUP(S781,Tbl_Effect[],3,FALSE),EffectName[],IFERROR(MATCH(UI!$B$1,EffectName[#Headers],0),2),FALSE))</f>
        <v/>
      </c>
      <c r="U781" t="str">
        <f t="shared" si="88"/>
        <v/>
      </c>
      <c r="V781">
        <v>0</v>
      </c>
      <c r="W781" t="str">
        <f>IF(V781&lt;&gt;0,VLOOKUP(VLOOKUP(V781,Tbl_Effect[],3,FALSE),EffectName[],IFERROR(MATCH(UI!$B$1,EffectName[#Headers],0),2),FALSE),"")</f>
        <v/>
      </c>
      <c r="X781" t="str">
        <f t="shared" si="89"/>
        <v/>
      </c>
      <c r="Y781">
        <v>0</v>
      </c>
      <c r="Z781" t="str">
        <f>IF(Y781&lt;&gt;0,VLOOKUP(VLOOKUP(Y781,Tbl_Effect[],3,FALSE),EffectName[],IFERROR(MATCH(UI!$B$1,EffectName[#Headers],0),2),FALSE),"")</f>
        <v/>
      </c>
      <c r="AA781" t="str">
        <f t="shared" si="90"/>
        <v/>
      </c>
      <c r="AB781">
        <v>0</v>
      </c>
      <c r="AC781" t="str">
        <f>IF(AB781&lt;&gt;0,VLOOKUP(VLOOKUP(AB781,Tbl_Effect[],3,FALSE),EffectName[],IFERROR(MATCH(UI!$B$1,EffectName[#Headers],0),2),FALSE),"")</f>
        <v/>
      </c>
    </row>
    <row r="782" spans="8:29" x14ac:dyDescent="0.4">
      <c r="H782" t="str">
        <f t="shared" si="84"/>
        <v>2011012-遼闊的火燃暗淡情景 (紅)</v>
      </c>
      <c r="I782">
        <v>2011012</v>
      </c>
      <c r="J782" t="str">
        <f>_xlfn.IFNA(IF(I782&lt;&gt;0,VLOOKUP(VLOOKUP(I782,Tbl_Equip[],2,FALSE),Tbl_Color[],IFERROR(MATCH(UI!$B$1,Tbl_Color[#Headers],0),2),FALSE),""),"Unset")</f>
        <v>紅</v>
      </c>
      <c r="K782" t="str">
        <f>_xlfn.IFNA(IF(I782&lt;&gt;0,VLOOKUP(I782,ItemText[],IFERROR(MATCH(UI!$B$1,ItemText[#Headers],0),2),FALSE),""),"Unset")</f>
        <v>遼闊的火燃暗淡情景</v>
      </c>
      <c r="L782" t="str">
        <f t="shared" si="85"/>
        <v/>
      </c>
      <c r="M782">
        <v>0</v>
      </c>
      <c r="N782" t="str">
        <f>IF(VALUE(M782)=0,"",VLOOKUP(VLOOKUP(M782,Tbl_Effect[],3,FALSE),EffectName[],IFERROR(MATCH(UI!$B$1,EffectName[#Headers],0),2),FALSE))</f>
        <v/>
      </c>
      <c r="O782" t="str">
        <f t="shared" si="86"/>
        <v/>
      </c>
      <c r="P782">
        <v>0</v>
      </c>
      <c r="Q782" t="str">
        <f>IF(VALUE(P782)=0,"",VLOOKUP(VLOOKUP(P782,Tbl_Effect[],3,FALSE),EffectName[],IFERROR(MATCH(UI!$B$1,EffectName[#Headers],0),2),FALSE))</f>
        <v/>
      </c>
      <c r="R782" t="str">
        <f t="shared" si="87"/>
        <v/>
      </c>
      <c r="S782">
        <v>0</v>
      </c>
      <c r="T782" t="str">
        <f>IF(VALUE(S782)=0,"",VLOOKUP(VLOOKUP(S782,Tbl_Effect[],3,FALSE),EffectName[],IFERROR(MATCH(UI!$B$1,EffectName[#Headers],0),2),FALSE))</f>
        <v/>
      </c>
      <c r="U782" t="str">
        <f t="shared" si="88"/>
        <v/>
      </c>
      <c r="V782">
        <v>0</v>
      </c>
      <c r="W782" t="str">
        <f>IF(V782&lt;&gt;0,VLOOKUP(VLOOKUP(V782,Tbl_Effect[],3,FALSE),EffectName[],IFERROR(MATCH(UI!$B$1,EffectName[#Headers],0),2),FALSE),"")</f>
        <v/>
      </c>
      <c r="X782" t="str">
        <f t="shared" si="89"/>
        <v/>
      </c>
      <c r="Y782">
        <v>0</v>
      </c>
      <c r="Z782" t="str">
        <f>IF(Y782&lt;&gt;0,VLOOKUP(VLOOKUP(Y782,Tbl_Effect[],3,FALSE),EffectName[],IFERROR(MATCH(UI!$B$1,EffectName[#Headers],0),2),FALSE),"")</f>
        <v/>
      </c>
      <c r="AA782" t="str">
        <f t="shared" si="90"/>
        <v/>
      </c>
      <c r="AB782">
        <v>0</v>
      </c>
      <c r="AC782" t="str">
        <f>IF(AB782&lt;&gt;0,VLOOKUP(VLOOKUP(AB782,Tbl_Effect[],3,FALSE),EffectName[],IFERROR(MATCH(UI!$B$1,EffectName[#Headers],0),2),FALSE),"")</f>
        <v/>
      </c>
    </row>
    <row r="783" spans="8:29" x14ac:dyDescent="0.4">
      <c r="H783" t="str">
        <f t="shared" si="84"/>
        <v>2011021-端正的火燃暗淡情景 (紅)</v>
      </c>
      <c r="I783">
        <v>2011021</v>
      </c>
      <c r="J783" t="str">
        <f>_xlfn.IFNA(IF(I783&lt;&gt;0,VLOOKUP(VLOOKUP(I783,Tbl_Equip[],2,FALSE),Tbl_Color[],IFERROR(MATCH(UI!$B$1,Tbl_Color[#Headers],0),2),FALSE),""),"Unset")</f>
        <v>紅</v>
      </c>
      <c r="K783" t="str">
        <f>_xlfn.IFNA(IF(I783&lt;&gt;0,VLOOKUP(I783,ItemText[],IFERROR(MATCH(UI!$B$1,ItemText[#Headers],0),2),FALSE),""),"Unset")</f>
        <v>端正的火燃暗淡情景</v>
      </c>
      <c r="L783" t="str">
        <f t="shared" si="85"/>
        <v/>
      </c>
      <c r="M783">
        <v>0</v>
      </c>
      <c r="N783" t="str">
        <f>IF(VALUE(M783)=0,"",VLOOKUP(VLOOKUP(M783,Tbl_Effect[],3,FALSE),EffectName[],IFERROR(MATCH(UI!$B$1,EffectName[#Headers],0),2),FALSE))</f>
        <v/>
      </c>
      <c r="O783" t="str">
        <f t="shared" si="86"/>
        <v/>
      </c>
      <c r="P783">
        <v>0</v>
      </c>
      <c r="Q783" t="str">
        <f>IF(VALUE(P783)=0,"",VLOOKUP(VLOOKUP(P783,Tbl_Effect[],3,FALSE),EffectName[],IFERROR(MATCH(UI!$B$1,EffectName[#Headers],0),2),FALSE))</f>
        <v/>
      </c>
      <c r="R783" t="str">
        <f t="shared" si="87"/>
        <v/>
      </c>
      <c r="S783">
        <v>0</v>
      </c>
      <c r="T783" t="str">
        <f>IF(VALUE(S783)=0,"",VLOOKUP(VLOOKUP(S783,Tbl_Effect[],3,FALSE),EffectName[],IFERROR(MATCH(UI!$B$1,EffectName[#Headers],0),2),FALSE))</f>
        <v/>
      </c>
      <c r="U783" t="str">
        <f t="shared" si="88"/>
        <v/>
      </c>
      <c r="V783">
        <v>0</v>
      </c>
      <c r="W783" t="str">
        <f>IF(V783&lt;&gt;0,VLOOKUP(VLOOKUP(V783,Tbl_Effect[],3,FALSE),EffectName[],IFERROR(MATCH(UI!$B$1,EffectName[#Headers],0),2),FALSE),"")</f>
        <v/>
      </c>
      <c r="X783" t="str">
        <f t="shared" si="89"/>
        <v/>
      </c>
      <c r="Y783">
        <v>0</v>
      </c>
      <c r="Z783" t="str">
        <f>IF(Y783&lt;&gt;0,VLOOKUP(VLOOKUP(Y783,Tbl_Effect[],3,FALSE),EffectName[],IFERROR(MATCH(UI!$B$1,EffectName[#Headers],0),2),FALSE),"")</f>
        <v/>
      </c>
      <c r="AA783" t="str">
        <f t="shared" si="90"/>
        <v/>
      </c>
      <c r="AB783">
        <v>0</v>
      </c>
      <c r="AC783" t="str">
        <f>IF(AB783&lt;&gt;0,VLOOKUP(VLOOKUP(AB783,Tbl_Effect[],3,FALSE),EffectName[],IFERROR(MATCH(UI!$B$1,EffectName[#Headers],0),2),FALSE),"")</f>
        <v/>
      </c>
    </row>
    <row r="784" spans="8:29" x14ac:dyDescent="0.4">
      <c r="H784" t="str">
        <f t="shared" si="84"/>
        <v>2011022-遼闊的火燃暗淡情景 (紅)</v>
      </c>
      <c r="I784">
        <v>2011022</v>
      </c>
      <c r="J784" t="str">
        <f>_xlfn.IFNA(IF(I784&lt;&gt;0,VLOOKUP(VLOOKUP(I784,Tbl_Equip[],2,FALSE),Tbl_Color[],IFERROR(MATCH(UI!$B$1,Tbl_Color[#Headers],0),2),FALSE),""),"Unset")</f>
        <v>紅</v>
      </c>
      <c r="K784" t="str">
        <f>_xlfn.IFNA(IF(I784&lt;&gt;0,VLOOKUP(I784,ItemText[],IFERROR(MATCH(UI!$B$1,ItemText[#Headers],0),2),FALSE),""),"Unset")</f>
        <v>遼闊的火燃暗淡情景</v>
      </c>
      <c r="L784" t="str">
        <f t="shared" si="85"/>
        <v/>
      </c>
      <c r="M784">
        <v>0</v>
      </c>
      <c r="N784" t="str">
        <f>IF(VALUE(M784)=0,"",VLOOKUP(VLOOKUP(M784,Tbl_Effect[],3,FALSE),EffectName[],IFERROR(MATCH(UI!$B$1,EffectName[#Headers],0),2),FALSE))</f>
        <v/>
      </c>
      <c r="O784" t="str">
        <f t="shared" si="86"/>
        <v/>
      </c>
      <c r="P784">
        <v>0</v>
      </c>
      <c r="Q784" t="str">
        <f>IF(VALUE(P784)=0,"",VLOOKUP(VLOOKUP(P784,Tbl_Effect[],3,FALSE),EffectName[],IFERROR(MATCH(UI!$B$1,EffectName[#Headers],0),2),FALSE))</f>
        <v/>
      </c>
      <c r="R784" t="str">
        <f t="shared" si="87"/>
        <v/>
      </c>
      <c r="S784">
        <v>0</v>
      </c>
      <c r="T784" t="str">
        <f>IF(VALUE(S784)=0,"",VLOOKUP(VLOOKUP(S784,Tbl_Effect[],3,FALSE),EffectName[],IFERROR(MATCH(UI!$B$1,EffectName[#Headers],0),2),FALSE))</f>
        <v/>
      </c>
      <c r="U784" t="str">
        <f t="shared" si="88"/>
        <v/>
      </c>
      <c r="V784">
        <v>0</v>
      </c>
      <c r="W784" t="str">
        <f>IF(V784&lt;&gt;0,VLOOKUP(VLOOKUP(V784,Tbl_Effect[],3,FALSE),EffectName[],IFERROR(MATCH(UI!$B$1,EffectName[#Headers],0),2),FALSE),"")</f>
        <v/>
      </c>
      <c r="X784" t="str">
        <f t="shared" si="89"/>
        <v/>
      </c>
      <c r="Y784">
        <v>0</v>
      </c>
      <c r="Z784" t="str">
        <f>IF(Y784&lt;&gt;0,VLOOKUP(VLOOKUP(Y784,Tbl_Effect[],3,FALSE),EffectName[],IFERROR(MATCH(UI!$B$1,EffectName[#Headers],0),2),FALSE),"")</f>
        <v/>
      </c>
      <c r="AA784" t="str">
        <f t="shared" si="90"/>
        <v/>
      </c>
      <c r="AB784">
        <v>0</v>
      </c>
      <c r="AC784" t="str">
        <f>IF(AB784&lt;&gt;0,VLOOKUP(VLOOKUP(AB784,Tbl_Effect[],3,FALSE),EffectName[],IFERROR(MATCH(UI!$B$1,EffectName[#Headers],0),2),FALSE),"")</f>
        <v/>
      </c>
    </row>
    <row r="785" spans="8:29" x14ac:dyDescent="0.4">
      <c r="H785" t="str">
        <f t="shared" si="84"/>
        <v>2011101-端正的水滴暗淡情景 (藍)</v>
      </c>
      <c r="I785">
        <v>2011101</v>
      </c>
      <c r="J785" t="str">
        <f>_xlfn.IFNA(IF(I785&lt;&gt;0,VLOOKUP(VLOOKUP(I785,Tbl_Equip[],2,FALSE),Tbl_Color[],IFERROR(MATCH(UI!$B$1,Tbl_Color[#Headers],0),2),FALSE),""),"Unset")</f>
        <v>藍</v>
      </c>
      <c r="K785" t="str">
        <f>_xlfn.IFNA(IF(I785&lt;&gt;0,VLOOKUP(I785,ItemText[],IFERROR(MATCH(UI!$B$1,ItemText[#Headers],0),2),FALSE),""),"Unset")</f>
        <v>端正的水滴暗淡情景</v>
      </c>
      <c r="L785" t="str">
        <f t="shared" si="85"/>
        <v/>
      </c>
      <c r="M785">
        <v>0</v>
      </c>
      <c r="N785" t="str">
        <f>IF(VALUE(M785)=0,"",VLOOKUP(VLOOKUP(M785,Tbl_Effect[],3,FALSE),EffectName[],IFERROR(MATCH(UI!$B$1,EffectName[#Headers],0),2),FALSE))</f>
        <v/>
      </c>
      <c r="O785" t="str">
        <f t="shared" si="86"/>
        <v/>
      </c>
      <c r="P785">
        <v>0</v>
      </c>
      <c r="Q785" t="str">
        <f>IF(VALUE(P785)=0,"",VLOOKUP(VLOOKUP(P785,Tbl_Effect[],3,FALSE),EffectName[],IFERROR(MATCH(UI!$B$1,EffectName[#Headers],0),2),FALSE))</f>
        <v/>
      </c>
      <c r="R785" t="str">
        <f t="shared" si="87"/>
        <v/>
      </c>
      <c r="S785">
        <v>0</v>
      </c>
      <c r="T785" t="str">
        <f>IF(VALUE(S785)=0,"",VLOOKUP(VLOOKUP(S785,Tbl_Effect[],3,FALSE),EffectName[],IFERROR(MATCH(UI!$B$1,EffectName[#Headers],0),2),FALSE))</f>
        <v/>
      </c>
      <c r="U785" t="str">
        <f t="shared" si="88"/>
        <v/>
      </c>
      <c r="V785">
        <v>0</v>
      </c>
      <c r="W785" t="str">
        <f>IF(V785&lt;&gt;0,VLOOKUP(VLOOKUP(V785,Tbl_Effect[],3,FALSE),EffectName[],IFERROR(MATCH(UI!$B$1,EffectName[#Headers],0),2),FALSE),"")</f>
        <v/>
      </c>
      <c r="X785" t="str">
        <f t="shared" si="89"/>
        <v/>
      </c>
      <c r="Y785">
        <v>0</v>
      </c>
      <c r="Z785" t="str">
        <f>IF(Y785&lt;&gt;0,VLOOKUP(VLOOKUP(Y785,Tbl_Effect[],3,FALSE),EffectName[],IFERROR(MATCH(UI!$B$1,EffectName[#Headers],0),2),FALSE),"")</f>
        <v/>
      </c>
      <c r="AA785" t="str">
        <f t="shared" si="90"/>
        <v/>
      </c>
      <c r="AB785">
        <v>0</v>
      </c>
      <c r="AC785" t="str">
        <f>IF(AB785&lt;&gt;0,VLOOKUP(VLOOKUP(AB785,Tbl_Effect[],3,FALSE),EffectName[],IFERROR(MATCH(UI!$B$1,EffectName[#Headers],0),2),FALSE),"")</f>
        <v/>
      </c>
    </row>
    <row r="786" spans="8:29" x14ac:dyDescent="0.4">
      <c r="H786" t="str">
        <f t="shared" si="84"/>
        <v>2011102-遼闊的水滴暗淡情景 (藍)</v>
      </c>
      <c r="I786">
        <v>2011102</v>
      </c>
      <c r="J786" t="str">
        <f>_xlfn.IFNA(IF(I786&lt;&gt;0,VLOOKUP(VLOOKUP(I786,Tbl_Equip[],2,FALSE),Tbl_Color[],IFERROR(MATCH(UI!$B$1,Tbl_Color[#Headers],0),2),FALSE),""),"Unset")</f>
        <v>藍</v>
      </c>
      <c r="K786" t="str">
        <f>_xlfn.IFNA(IF(I786&lt;&gt;0,VLOOKUP(I786,ItemText[],IFERROR(MATCH(UI!$B$1,ItemText[#Headers],0),2),FALSE),""),"Unset")</f>
        <v>遼闊的水滴暗淡情景</v>
      </c>
      <c r="L786" t="str">
        <f t="shared" si="85"/>
        <v/>
      </c>
      <c r="M786">
        <v>0</v>
      </c>
      <c r="N786" t="str">
        <f>IF(VALUE(M786)=0,"",VLOOKUP(VLOOKUP(M786,Tbl_Effect[],3,FALSE),EffectName[],IFERROR(MATCH(UI!$B$1,EffectName[#Headers],0),2),FALSE))</f>
        <v/>
      </c>
      <c r="O786" t="str">
        <f t="shared" si="86"/>
        <v/>
      </c>
      <c r="P786">
        <v>0</v>
      </c>
      <c r="Q786" t="str">
        <f>IF(VALUE(P786)=0,"",VLOOKUP(VLOOKUP(P786,Tbl_Effect[],3,FALSE),EffectName[],IFERROR(MATCH(UI!$B$1,EffectName[#Headers],0),2),FALSE))</f>
        <v/>
      </c>
      <c r="R786" t="str">
        <f t="shared" si="87"/>
        <v/>
      </c>
      <c r="S786">
        <v>0</v>
      </c>
      <c r="T786" t="str">
        <f>IF(VALUE(S786)=0,"",VLOOKUP(VLOOKUP(S786,Tbl_Effect[],3,FALSE),EffectName[],IFERROR(MATCH(UI!$B$1,EffectName[#Headers],0),2),FALSE))</f>
        <v/>
      </c>
      <c r="U786" t="str">
        <f t="shared" si="88"/>
        <v/>
      </c>
      <c r="V786">
        <v>0</v>
      </c>
      <c r="W786" t="str">
        <f>IF(V786&lt;&gt;0,VLOOKUP(VLOOKUP(V786,Tbl_Effect[],3,FALSE),EffectName[],IFERROR(MATCH(UI!$B$1,EffectName[#Headers],0),2),FALSE),"")</f>
        <v/>
      </c>
      <c r="X786" t="str">
        <f t="shared" si="89"/>
        <v/>
      </c>
      <c r="Y786">
        <v>0</v>
      </c>
      <c r="Z786" t="str">
        <f>IF(Y786&lt;&gt;0,VLOOKUP(VLOOKUP(Y786,Tbl_Effect[],3,FALSE),EffectName[],IFERROR(MATCH(UI!$B$1,EffectName[#Headers],0),2),FALSE),"")</f>
        <v/>
      </c>
      <c r="AA786" t="str">
        <f t="shared" si="90"/>
        <v/>
      </c>
      <c r="AB786">
        <v>0</v>
      </c>
      <c r="AC786" t="str">
        <f>IF(AB786&lt;&gt;0,VLOOKUP(VLOOKUP(AB786,Tbl_Effect[],3,FALSE),EffectName[],IFERROR(MATCH(UI!$B$1,EffectName[#Headers],0),2),FALSE),"")</f>
        <v/>
      </c>
    </row>
    <row r="787" spans="8:29" x14ac:dyDescent="0.4">
      <c r="H787" t="str">
        <f t="shared" si="84"/>
        <v>2011111-端正的水滴暗淡情景 (藍)</v>
      </c>
      <c r="I787">
        <v>2011111</v>
      </c>
      <c r="J787" t="str">
        <f>_xlfn.IFNA(IF(I787&lt;&gt;0,VLOOKUP(VLOOKUP(I787,Tbl_Equip[],2,FALSE),Tbl_Color[],IFERROR(MATCH(UI!$B$1,Tbl_Color[#Headers],0),2),FALSE),""),"Unset")</f>
        <v>藍</v>
      </c>
      <c r="K787" t="str">
        <f>_xlfn.IFNA(IF(I787&lt;&gt;0,VLOOKUP(I787,ItemText[],IFERROR(MATCH(UI!$B$1,ItemText[#Headers],0),2),FALSE),""),"Unset")</f>
        <v>端正的水滴暗淡情景</v>
      </c>
      <c r="L787" t="str">
        <f t="shared" si="85"/>
        <v/>
      </c>
      <c r="M787">
        <v>0</v>
      </c>
      <c r="N787" t="str">
        <f>IF(VALUE(M787)=0,"",VLOOKUP(VLOOKUP(M787,Tbl_Effect[],3,FALSE),EffectName[],IFERROR(MATCH(UI!$B$1,EffectName[#Headers],0),2),FALSE))</f>
        <v/>
      </c>
      <c r="O787" t="str">
        <f t="shared" si="86"/>
        <v/>
      </c>
      <c r="P787">
        <v>0</v>
      </c>
      <c r="Q787" t="str">
        <f>IF(VALUE(P787)=0,"",VLOOKUP(VLOOKUP(P787,Tbl_Effect[],3,FALSE),EffectName[],IFERROR(MATCH(UI!$B$1,EffectName[#Headers],0),2),FALSE))</f>
        <v/>
      </c>
      <c r="R787" t="str">
        <f t="shared" si="87"/>
        <v/>
      </c>
      <c r="S787">
        <v>0</v>
      </c>
      <c r="T787" t="str">
        <f>IF(VALUE(S787)=0,"",VLOOKUP(VLOOKUP(S787,Tbl_Effect[],3,FALSE),EffectName[],IFERROR(MATCH(UI!$B$1,EffectName[#Headers],0),2),FALSE))</f>
        <v/>
      </c>
      <c r="U787" t="str">
        <f t="shared" si="88"/>
        <v/>
      </c>
      <c r="V787">
        <v>0</v>
      </c>
      <c r="W787" t="str">
        <f>IF(V787&lt;&gt;0,VLOOKUP(VLOOKUP(V787,Tbl_Effect[],3,FALSE),EffectName[],IFERROR(MATCH(UI!$B$1,EffectName[#Headers],0),2),FALSE),"")</f>
        <v/>
      </c>
      <c r="X787" t="str">
        <f t="shared" si="89"/>
        <v/>
      </c>
      <c r="Y787">
        <v>0</v>
      </c>
      <c r="Z787" t="str">
        <f>IF(Y787&lt;&gt;0,VLOOKUP(VLOOKUP(Y787,Tbl_Effect[],3,FALSE),EffectName[],IFERROR(MATCH(UI!$B$1,EffectName[#Headers],0),2),FALSE),"")</f>
        <v/>
      </c>
      <c r="AA787" t="str">
        <f t="shared" si="90"/>
        <v/>
      </c>
      <c r="AB787">
        <v>0</v>
      </c>
      <c r="AC787" t="str">
        <f>IF(AB787&lt;&gt;0,VLOOKUP(VLOOKUP(AB787,Tbl_Effect[],3,FALSE),EffectName[],IFERROR(MATCH(UI!$B$1,EffectName[#Headers],0),2),FALSE),"")</f>
        <v/>
      </c>
    </row>
    <row r="788" spans="8:29" x14ac:dyDescent="0.4">
      <c r="H788" t="str">
        <f t="shared" si="84"/>
        <v>2011112-遼闊的水滴暗淡情景 (藍)</v>
      </c>
      <c r="I788">
        <v>2011112</v>
      </c>
      <c r="J788" t="str">
        <f>_xlfn.IFNA(IF(I788&lt;&gt;0,VLOOKUP(VLOOKUP(I788,Tbl_Equip[],2,FALSE),Tbl_Color[],IFERROR(MATCH(UI!$B$1,Tbl_Color[#Headers],0),2),FALSE),""),"Unset")</f>
        <v>藍</v>
      </c>
      <c r="K788" t="str">
        <f>_xlfn.IFNA(IF(I788&lt;&gt;0,VLOOKUP(I788,ItemText[],IFERROR(MATCH(UI!$B$1,ItemText[#Headers],0),2),FALSE),""),"Unset")</f>
        <v>遼闊的水滴暗淡情景</v>
      </c>
      <c r="L788" t="str">
        <f t="shared" si="85"/>
        <v/>
      </c>
      <c r="M788">
        <v>0</v>
      </c>
      <c r="N788" t="str">
        <f>IF(VALUE(M788)=0,"",VLOOKUP(VLOOKUP(M788,Tbl_Effect[],3,FALSE),EffectName[],IFERROR(MATCH(UI!$B$1,EffectName[#Headers],0),2),FALSE))</f>
        <v/>
      </c>
      <c r="O788" t="str">
        <f t="shared" si="86"/>
        <v/>
      </c>
      <c r="P788">
        <v>0</v>
      </c>
      <c r="Q788" t="str">
        <f>IF(VALUE(P788)=0,"",VLOOKUP(VLOOKUP(P788,Tbl_Effect[],3,FALSE),EffectName[],IFERROR(MATCH(UI!$B$1,EffectName[#Headers],0),2),FALSE))</f>
        <v/>
      </c>
      <c r="R788" t="str">
        <f t="shared" si="87"/>
        <v/>
      </c>
      <c r="S788">
        <v>0</v>
      </c>
      <c r="T788" t="str">
        <f>IF(VALUE(S788)=0,"",VLOOKUP(VLOOKUP(S788,Tbl_Effect[],3,FALSE),EffectName[],IFERROR(MATCH(UI!$B$1,EffectName[#Headers],0),2),FALSE))</f>
        <v/>
      </c>
      <c r="U788" t="str">
        <f t="shared" si="88"/>
        <v/>
      </c>
      <c r="V788">
        <v>0</v>
      </c>
      <c r="W788" t="str">
        <f>IF(V788&lt;&gt;0,VLOOKUP(VLOOKUP(V788,Tbl_Effect[],3,FALSE),EffectName[],IFERROR(MATCH(UI!$B$1,EffectName[#Headers],0),2),FALSE),"")</f>
        <v/>
      </c>
      <c r="X788" t="str">
        <f t="shared" si="89"/>
        <v/>
      </c>
      <c r="Y788">
        <v>0</v>
      </c>
      <c r="Z788" t="str">
        <f>IF(Y788&lt;&gt;0,VLOOKUP(VLOOKUP(Y788,Tbl_Effect[],3,FALSE),EffectName[],IFERROR(MATCH(UI!$B$1,EffectName[#Headers],0),2),FALSE),"")</f>
        <v/>
      </c>
      <c r="AA788" t="str">
        <f t="shared" si="90"/>
        <v/>
      </c>
      <c r="AB788">
        <v>0</v>
      </c>
      <c r="AC788" t="str">
        <f>IF(AB788&lt;&gt;0,VLOOKUP(VLOOKUP(AB788,Tbl_Effect[],3,FALSE),EffectName[],IFERROR(MATCH(UI!$B$1,EffectName[#Headers],0),2),FALSE),"")</f>
        <v/>
      </c>
    </row>
    <row r="789" spans="8:29" x14ac:dyDescent="0.4">
      <c r="H789" t="str">
        <f t="shared" si="84"/>
        <v>2011121-端正的水滴暗淡情景 (藍)</v>
      </c>
      <c r="I789">
        <v>2011121</v>
      </c>
      <c r="J789" t="str">
        <f>_xlfn.IFNA(IF(I789&lt;&gt;0,VLOOKUP(VLOOKUP(I789,Tbl_Equip[],2,FALSE),Tbl_Color[],IFERROR(MATCH(UI!$B$1,Tbl_Color[#Headers],0),2),FALSE),""),"Unset")</f>
        <v>藍</v>
      </c>
      <c r="K789" t="str">
        <f>_xlfn.IFNA(IF(I789&lt;&gt;0,VLOOKUP(I789,ItemText[],IFERROR(MATCH(UI!$B$1,ItemText[#Headers],0),2),FALSE),""),"Unset")</f>
        <v>端正的水滴暗淡情景</v>
      </c>
      <c r="L789" t="str">
        <f t="shared" si="85"/>
        <v/>
      </c>
      <c r="M789">
        <v>0</v>
      </c>
      <c r="N789" t="str">
        <f>IF(VALUE(M789)=0,"",VLOOKUP(VLOOKUP(M789,Tbl_Effect[],3,FALSE),EffectName[],IFERROR(MATCH(UI!$B$1,EffectName[#Headers],0),2),FALSE))</f>
        <v/>
      </c>
      <c r="O789" t="str">
        <f t="shared" si="86"/>
        <v/>
      </c>
      <c r="P789">
        <v>0</v>
      </c>
      <c r="Q789" t="str">
        <f>IF(VALUE(P789)=0,"",VLOOKUP(VLOOKUP(P789,Tbl_Effect[],3,FALSE),EffectName[],IFERROR(MATCH(UI!$B$1,EffectName[#Headers],0),2),FALSE))</f>
        <v/>
      </c>
      <c r="R789" t="str">
        <f t="shared" si="87"/>
        <v/>
      </c>
      <c r="S789">
        <v>0</v>
      </c>
      <c r="T789" t="str">
        <f>IF(VALUE(S789)=0,"",VLOOKUP(VLOOKUP(S789,Tbl_Effect[],3,FALSE),EffectName[],IFERROR(MATCH(UI!$B$1,EffectName[#Headers],0),2),FALSE))</f>
        <v/>
      </c>
      <c r="U789" t="str">
        <f t="shared" si="88"/>
        <v/>
      </c>
      <c r="V789">
        <v>0</v>
      </c>
      <c r="W789" t="str">
        <f>IF(V789&lt;&gt;0,VLOOKUP(VLOOKUP(V789,Tbl_Effect[],3,FALSE),EffectName[],IFERROR(MATCH(UI!$B$1,EffectName[#Headers],0),2),FALSE),"")</f>
        <v/>
      </c>
      <c r="X789" t="str">
        <f t="shared" si="89"/>
        <v/>
      </c>
      <c r="Y789">
        <v>0</v>
      </c>
      <c r="Z789" t="str">
        <f>IF(Y789&lt;&gt;0,VLOOKUP(VLOOKUP(Y789,Tbl_Effect[],3,FALSE),EffectName[],IFERROR(MATCH(UI!$B$1,EffectName[#Headers],0),2),FALSE),"")</f>
        <v/>
      </c>
      <c r="AA789" t="str">
        <f t="shared" si="90"/>
        <v/>
      </c>
      <c r="AB789">
        <v>0</v>
      </c>
      <c r="AC789" t="str">
        <f>IF(AB789&lt;&gt;0,VLOOKUP(VLOOKUP(AB789,Tbl_Effect[],3,FALSE),EffectName[],IFERROR(MATCH(UI!$B$1,EffectName[#Headers],0),2),FALSE),"")</f>
        <v/>
      </c>
    </row>
    <row r="790" spans="8:29" x14ac:dyDescent="0.4">
      <c r="H790" t="str">
        <f t="shared" si="84"/>
        <v>2011122-遼闊的水滴暗淡情景 (藍)</v>
      </c>
      <c r="I790">
        <v>2011122</v>
      </c>
      <c r="J790" t="str">
        <f>_xlfn.IFNA(IF(I790&lt;&gt;0,VLOOKUP(VLOOKUP(I790,Tbl_Equip[],2,FALSE),Tbl_Color[],IFERROR(MATCH(UI!$B$1,Tbl_Color[#Headers],0),2),FALSE),""),"Unset")</f>
        <v>藍</v>
      </c>
      <c r="K790" t="str">
        <f>_xlfn.IFNA(IF(I790&lt;&gt;0,VLOOKUP(I790,ItemText[],IFERROR(MATCH(UI!$B$1,ItemText[#Headers],0),2),FALSE),""),"Unset")</f>
        <v>遼闊的水滴暗淡情景</v>
      </c>
      <c r="L790" t="str">
        <f t="shared" si="85"/>
        <v/>
      </c>
      <c r="M790">
        <v>0</v>
      </c>
      <c r="N790" t="str">
        <f>IF(VALUE(M790)=0,"",VLOOKUP(VLOOKUP(M790,Tbl_Effect[],3,FALSE),EffectName[],IFERROR(MATCH(UI!$B$1,EffectName[#Headers],0),2),FALSE))</f>
        <v/>
      </c>
      <c r="O790" t="str">
        <f t="shared" si="86"/>
        <v/>
      </c>
      <c r="P790">
        <v>0</v>
      </c>
      <c r="Q790" t="str">
        <f>IF(VALUE(P790)=0,"",VLOOKUP(VLOOKUP(P790,Tbl_Effect[],3,FALSE),EffectName[],IFERROR(MATCH(UI!$B$1,EffectName[#Headers],0),2),FALSE))</f>
        <v/>
      </c>
      <c r="R790" t="str">
        <f t="shared" si="87"/>
        <v/>
      </c>
      <c r="S790">
        <v>0</v>
      </c>
      <c r="T790" t="str">
        <f>IF(VALUE(S790)=0,"",VLOOKUP(VLOOKUP(S790,Tbl_Effect[],3,FALSE),EffectName[],IFERROR(MATCH(UI!$B$1,EffectName[#Headers],0),2),FALSE))</f>
        <v/>
      </c>
      <c r="U790" t="str">
        <f t="shared" si="88"/>
        <v/>
      </c>
      <c r="V790">
        <v>0</v>
      </c>
      <c r="W790" t="str">
        <f>IF(V790&lt;&gt;0,VLOOKUP(VLOOKUP(V790,Tbl_Effect[],3,FALSE),EffectName[],IFERROR(MATCH(UI!$B$1,EffectName[#Headers],0),2),FALSE),"")</f>
        <v/>
      </c>
      <c r="X790" t="str">
        <f t="shared" si="89"/>
        <v/>
      </c>
      <c r="Y790">
        <v>0</v>
      </c>
      <c r="Z790" t="str">
        <f>IF(Y790&lt;&gt;0,VLOOKUP(VLOOKUP(Y790,Tbl_Effect[],3,FALSE),EffectName[],IFERROR(MATCH(UI!$B$1,EffectName[#Headers],0),2),FALSE),"")</f>
        <v/>
      </c>
      <c r="AA790" t="str">
        <f t="shared" si="90"/>
        <v/>
      </c>
      <c r="AB790">
        <v>0</v>
      </c>
      <c r="AC790" t="str">
        <f>IF(AB790&lt;&gt;0,VLOOKUP(VLOOKUP(AB790,Tbl_Effect[],3,FALSE),EffectName[],IFERROR(MATCH(UI!$B$1,EffectName[#Headers],0),2),FALSE),"")</f>
        <v/>
      </c>
    </row>
    <row r="791" spans="8:29" x14ac:dyDescent="0.4">
      <c r="H791" t="str">
        <f t="shared" si="84"/>
        <v>2011201-端正的光耀暗淡情景 (黃)</v>
      </c>
      <c r="I791">
        <v>2011201</v>
      </c>
      <c r="J791" t="str">
        <f>_xlfn.IFNA(IF(I791&lt;&gt;0,VLOOKUP(VLOOKUP(I791,Tbl_Equip[],2,FALSE),Tbl_Color[],IFERROR(MATCH(UI!$B$1,Tbl_Color[#Headers],0),2),FALSE),""),"Unset")</f>
        <v>黃</v>
      </c>
      <c r="K791" t="str">
        <f>_xlfn.IFNA(IF(I791&lt;&gt;0,VLOOKUP(I791,ItemText[],IFERROR(MATCH(UI!$B$1,ItemText[#Headers],0),2),FALSE),""),"Unset")</f>
        <v>端正的光耀暗淡情景</v>
      </c>
      <c r="L791" t="str">
        <f t="shared" si="85"/>
        <v/>
      </c>
      <c r="M791">
        <v>0</v>
      </c>
      <c r="N791" t="str">
        <f>IF(VALUE(M791)=0,"",VLOOKUP(VLOOKUP(M791,Tbl_Effect[],3,FALSE),EffectName[],IFERROR(MATCH(UI!$B$1,EffectName[#Headers],0),2),FALSE))</f>
        <v/>
      </c>
      <c r="O791" t="str">
        <f t="shared" si="86"/>
        <v/>
      </c>
      <c r="P791">
        <v>0</v>
      </c>
      <c r="Q791" t="str">
        <f>IF(VALUE(P791)=0,"",VLOOKUP(VLOOKUP(P791,Tbl_Effect[],3,FALSE),EffectName[],IFERROR(MATCH(UI!$B$1,EffectName[#Headers],0),2),FALSE))</f>
        <v/>
      </c>
      <c r="R791" t="str">
        <f t="shared" si="87"/>
        <v/>
      </c>
      <c r="S791">
        <v>0</v>
      </c>
      <c r="T791" t="str">
        <f>IF(VALUE(S791)=0,"",VLOOKUP(VLOOKUP(S791,Tbl_Effect[],3,FALSE),EffectName[],IFERROR(MATCH(UI!$B$1,EffectName[#Headers],0),2),FALSE))</f>
        <v/>
      </c>
      <c r="U791" t="str">
        <f t="shared" si="88"/>
        <v/>
      </c>
      <c r="V791">
        <v>0</v>
      </c>
      <c r="W791" t="str">
        <f>IF(V791&lt;&gt;0,VLOOKUP(VLOOKUP(V791,Tbl_Effect[],3,FALSE),EffectName[],IFERROR(MATCH(UI!$B$1,EffectName[#Headers],0),2),FALSE),"")</f>
        <v/>
      </c>
      <c r="X791" t="str">
        <f t="shared" si="89"/>
        <v/>
      </c>
      <c r="Y791">
        <v>0</v>
      </c>
      <c r="Z791" t="str">
        <f>IF(Y791&lt;&gt;0,VLOOKUP(VLOOKUP(Y791,Tbl_Effect[],3,FALSE),EffectName[],IFERROR(MATCH(UI!$B$1,EffectName[#Headers],0),2),FALSE),"")</f>
        <v/>
      </c>
      <c r="AA791" t="str">
        <f t="shared" si="90"/>
        <v/>
      </c>
      <c r="AB791">
        <v>0</v>
      </c>
      <c r="AC791" t="str">
        <f>IF(AB791&lt;&gt;0,VLOOKUP(VLOOKUP(AB791,Tbl_Effect[],3,FALSE),EffectName[],IFERROR(MATCH(UI!$B$1,EffectName[#Headers],0),2),FALSE),"")</f>
        <v/>
      </c>
    </row>
    <row r="792" spans="8:29" x14ac:dyDescent="0.4">
      <c r="H792" t="str">
        <f t="shared" si="84"/>
        <v>2011202-遼闊的光耀暗淡情景 (黃)</v>
      </c>
      <c r="I792">
        <v>2011202</v>
      </c>
      <c r="J792" t="str">
        <f>_xlfn.IFNA(IF(I792&lt;&gt;0,VLOOKUP(VLOOKUP(I792,Tbl_Equip[],2,FALSE),Tbl_Color[],IFERROR(MATCH(UI!$B$1,Tbl_Color[#Headers],0),2),FALSE),""),"Unset")</f>
        <v>黃</v>
      </c>
      <c r="K792" t="str">
        <f>_xlfn.IFNA(IF(I792&lt;&gt;0,VLOOKUP(I792,ItemText[],IFERROR(MATCH(UI!$B$1,ItemText[#Headers],0),2),FALSE),""),"Unset")</f>
        <v>遼闊的光耀暗淡情景</v>
      </c>
      <c r="L792" t="str">
        <f t="shared" si="85"/>
        <v/>
      </c>
      <c r="M792">
        <v>0</v>
      </c>
      <c r="N792" t="str">
        <f>IF(VALUE(M792)=0,"",VLOOKUP(VLOOKUP(M792,Tbl_Effect[],3,FALSE),EffectName[],IFERROR(MATCH(UI!$B$1,EffectName[#Headers],0),2),FALSE))</f>
        <v/>
      </c>
      <c r="O792" t="str">
        <f t="shared" si="86"/>
        <v/>
      </c>
      <c r="P792">
        <v>0</v>
      </c>
      <c r="Q792" t="str">
        <f>IF(VALUE(P792)=0,"",VLOOKUP(VLOOKUP(P792,Tbl_Effect[],3,FALSE),EffectName[],IFERROR(MATCH(UI!$B$1,EffectName[#Headers],0),2),FALSE))</f>
        <v/>
      </c>
      <c r="R792" t="str">
        <f t="shared" si="87"/>
        <v/>
      </c>
      <c r="S792">
        <v>0</v>
      </c>
      <c r="T792" t="str">
        <f>IF(VALUE(S792)=0,"",VLOOKUP(VLOOKUP(S792,Tbl_Effect[],3,FALSE),EffectName[],IFERROR(MATCH(UI!$B$1,EffectName[#Headers],0),2),FALSE))</f>
        <v/>
      </c>
      <c r="U792" t="str">
        <f t="shared" si="88"/>
        <v/>
      </c>
      <c r="V792">
        <v>0</v>
      </c>
      <c r="W792" t="str">
        <f>IF(V792&lt;&gt;0,VLOOKUP(VLOOKUP(V792,Tbl_Effect[],3,FALSE),EffectName[],IFERROR(MATCH(UI!$B$1,EffectName[#Headers],0),2),FALSE),"")</f>
        <v/>
      </c>
      <c r="X792" t="str">
        <f t="shared" si="89"/>
        <v/>
      </c>
      <c r="Y792">
        <v>0</v>
      </c>
      <c r="Z792" t="str">
        <f>IF(Y792&lt;&gt;0,VLOOKUP(VLOOKUP(Y792,Tbl_Effect[],3,FALSE),EffectName[],IFERROR(MATCH(UI!$B$1,EffectName[#Headers],0),2),FALSE),"")</f>
        <v/>
      </c>
      <c r="AA792" t="str">
        <f t="shared" si="90"/>
        <v/>
      </c>
      <c r="AB792">
        <v>0</v>
      </c>
      <c r="AC792" t="str">
        <f>IF(AB792&lt;&gt;0,VLOOKUP(VLOOKUP(AB792,Tbl_Effect[],3,FALSE),EffectName[],IFERROR(MATCH(UI!$B$1,EffectName[#Headers],0),2),FALSE),"")</f>
        <v/>
      </c>
    </row>
    <row r="793" spans="8:29" x14ac:dyDescent="0.4">
      <c r="H793" t="str">
        <f t="shared" si="84"/>
        <v>2011211-端正的光耀暗淡情景 (黃)</v>
      </c>
      <c r="I793">
        <v>2011211</v>
      </c>
      <c r="J793" t="str">
        <f>_xlfn.IFNA(IF(I793&lt;&gt;0,VLOOKUP(VLOOKUP(I793,Tbl_Equip[],2,FALSE),Tbl_Color[],IFERROR(MATCH(UI!$B$1,Tbl_Color[#Headers],0),2),FALSE),""),"Unset")</f>
        <v>黃</v>
      </c>
      <c r="K793" t="str">
        <f>_xlfn.IFNA(IF(I793&lt;&gt;0,VLOOKUP(I793,ItemText[],IFERROR(MATCH(UI!$B$1,ItemText[#Headers],0),2),FALSE),""),"Unset")</f>
        <v>端正的光耀暗淡情景</v>
      </c>
      <c r="L793" t="str">
        <f t="shared" si="85"/>
        <v/>
      </c>
      <c r="M793">
        <v>0</v>
      </c>
      <c r="N793" t="str">
        <f>IF(VALUE(M793)=0,"",VLOOKUP(VLOOKUP(M793,Tbl_Effect[],3,FALSE),EffectName[],IFERROR(MATCH(UI!$B$1,EffectName[#Headers],0),2),FALSE))</f>
        <v/>
      </c>
      <c r="O793" t="str">
        <f t="shared" si="86"/>
        <v/>
      </c>
      <c r="P793">
        <v>0</v>
      </c>
      <c r="Q793" t="str">
        <f>IF(VALUE(P793)=0,"",VLOOKUP(VLOOKUP(P793,Tbl_Effect[],3,FALSE),EffectName[],IFERROR(MATCH(UI!$B$1,EffectName[#Headers],0),2),FALSE))</f>
        <v/>
      </c>
      <c r="R793" t="str">
        <f t="shared" si="87"/>
        <v/>
      </c>
      <c r="S793">
        <v>0</v>
      </c>
      <c r="T793" t="str">
        <f>IF(VALUE(S793)=0,"",VLOOKUP(VLOOKUP(S793,Tbl_Effect[],3,FALSE),EffectName[],IFERROR(MATCH(UI!$B$1,EffectName[#Headers],0),2),FALSE))</f>
        <v/>
      </c>
      <c r="U793" t="str">
        <f t="shared" si="88"/>
        <v/>
      </c>
      <c r="V793">
        <v>0</v>
      </c>
      <c r="W793" t="str">
        <f>IF(V793&lt;&gt;0,VLOOKUP(VLOOKUP(V793,Tbl_Effect[],3,FALSE),EffectName[],IFERROR(MATCH(UI!$B$1,EffectName[#Headers],0),2),FALSE),"")</f>
        <v/>
      </c>
      <c r="X793" t="str">
        <f t="shared" si="89"/>
        <v/>
      </c>
      <c r="Y793">
        <v>0</v>
      </c>
      <c r="Z793" t="str">
        <f>IF(Y793&lt;&gt;0,VLOOKUP(VLOOKUP(Y793,Tbl_Effect[],3,FALSE),EffectName[],IFERROR(MATCH(UI!$B$1,EffectName[#Headers],0),2),FALSE),"")</f>
        <v/>
      </c>
      <c r="AA793" t="str">
        <f t="shared" si="90"/>
        <v/>
      </c>
      <c r="AB793">
        <v>0</v>
      </c>
      <c r="AC793" t="str">
        <f>IF(AB793&lt;&gt;0,VLOOKUP(VLOOKUP(AB793,Tbl_Effect[],3,FALSE),EffectName[],IFERROR(MATCH(UI!$B$1,EffectName[#Headers],0),2),FALSE),"")</f>
        <v/>
      </c>
    </row>
    <row r="794" spans="8:29" x14ac:dyDescent="0.4">
      <c r="H794" t="str">
        <f t="shared" si="84"/>
        <v>2011212-遼闊的光耀暗淡情景 (黃)</v>
      </c>
      <c r="I794">
        <v>2011212</v>
      </c>
      <c r="J794" t="str">
        <f>_xlfn.IFNA(IF(I794&lt;&gt;0,VLOOKUP(VLOOKUP(I794,Tbl_Equip[],2,FALSE),Tbl_Color[],IFERROR(MATCH(UI!$B$1,Tbl_Color[#Headers],0),2),FALSE),""),"Unset")</f>
        <v>黃</v>
      </c>
      <c r="K794" t="str">
        <f>_xlfn.IFNA(IF(I794&lt;&gt;0,VLOOKUP(I794,ItemText[],IFERROR(MATCH(UI!$B$1,ItemText[#Headers],0),2),FALSE),""),"Unset")</f>
        <v>遼闊的光耀暗淡情景</v>
      </c>
      <c r="L794" t="str">
        <f t="shared" si="85"/>
        <v/>
      </c>
      <c r="M794">
        <v>0</v>
      </c>
      <c r="N794" t="str">
        <f>IF(VALUE(M794)=0,"",VLOOKUP(VLOOKUP(M794,Tbl_Effect[],3,FALSE),EffectName[],IFERROR(MATCH(UI!$B$1,EffectName[#Headers],0),2),FALSE))</f>
        <v/>
      </c>
      <c r="O794" t="str">
        <f t="shared" si="86"/>
        <v/>
      </c>
      <c r="P794">
        <v>0</v>
      </c>
      <c r="Q794" t="str">
        <f>IF(VALUE(P794)=0,"",VLOOKUP(VLOOKUP(P794,Tbl_Effect[],3,FALSE),EffectName[],IFERROR(MATCH(UI!$B$1,EffectName[#Headers],0),2),FALSE))</f>
        <v/>
      </c>
      <c r="R794" t="str">
        <f t="shared" si="87"/>
        <v/>
      </c>
      <c r="S794">
        <v>0</v>
      </c>
      <c r="T794" t="str">
        <f>IF(VALUE(S794)=0,"",VLOOKUP(VLOOKUP(S794,Tbl_Effect[],3,FALSE),EffectName[],IFERROR(MATCH(UI!$B$1,EffectName[#Headers],0),2),FALSE))</f>
        <v/>
      </c>
      <c r="U794" t="str">
        <f t="shared" si="88"/>
        <v/>
      </c>
      <c r="V794">
        <v>0</v>
      </c>
      <c r="W794" t="str">
        <f>IF(V794&lt;&gt;0,VLOOKUP(VLOOKUP(V794,Tbl_Effect[],3,FALSE),EffectName[],IFERROR(MATCH(UI!$B$1,EffectName[#Headers],0),2),FALSE),"")</f>
        <v/>
      </c>
      <c r="X794" t="str">
        <f t="shared" si="89"/>
        <v/>
      </c>
      <c r="Y794">
        <v>0</v>
      </c>
      <c r="Z794" t="str">
        <f>IF(Y794&lt;&gt;0,VLOOKUP(VLOOKUP(Y794,Tbl_Effect[],3,FALSE),EffectName[],IFERROR(MATCH(UI!$B$1,EffectName[#Headers],0),2),FALSE),"")</f>
        <v/>
      </c>
      <c r="AA794" t="str">
        <f t="shared" si="90"/>
        <v/>
      </c>
      <c r="AB794">
        <v>0</v>
      </c>
      <c r="AC794" t="str">
        <f>IF(AB794&lt;&gt;0,VLOOKUP(VLOOKUP(AB794,Tbl_Effect[],3,FALSE),EffectName[],IFERROR(MATCH(UI!$B$1,EffectName[#Headers],0),2),FALSE),"")</f>
        <v/>
      </c>
    </row>
    <row r="795" spans="8:29" x14ac:dyDescent="0.4">
      <c r="H795" t="str">
        <f t="shared" si="84"/>
        <v>2011221-端正的光耀暗淡情景 (黃)</v>
      </c>
      <c r="I795">
        <v>2011221</v>
      </c>
      <c r="J795" t="str">
        <f>_xlfn.IFNA(IF(I795&lt;&gt;0,VLOOKUP(VLOOKUP(I795,Tbl_Equip[],2,FALSE),Tbl_Color[],IFERROR(MATCH(UI!$B$1,Tbl_Color[#Headers],0),2),FALSE),""),"Unset")</f>
        <v>黃</v>
      </c>
      <c r="K795" t="str">
        <f>_xlfn.IFNA(IF(I795&lt;&gt;0,VLOOKUP(I795,ItemText[],IFERROR(MATCH(UI!$B$1,ItemText[#Headers],0),2),FALSE),""),"Unset")</f>
        <v>端正的光耀暗淡情景</v>
      </c>
      <c r="L795" t="str">
        <f t="shared" si="85"/>
        <v/>
      </c>
      <c r="M795">
        <v>0</v>
      </c>
      <c r="N795" t="str">
        <f>IF(VALUE(M795)=0,"",VLOOKUP(VLOOKUP(M795,Tbl_Effect[],3,FALSE),EffectName[],IFERROR(MATCH(UI!$B$1,EffectName[#Headers],0),2),FALSE))</f>
        <v/>
      </c>
      <c r="O795" t="str">
        <f t="shared" si="86"/>
        <v/>
      </c>
      <c r="P795">
        <v>0</v>
      </c>
      <c r="Q795" t="str">
        <f>IF(VALUE(P795)=0,"",VLOOKUP(VLOOKUP(P795,Tbl_Effect[],3,FALSE),EffectName[],IFERROR(MATCH(UI!$B$1,EffectName[#Headers],0),2),FALSE))</f>
        <v/>
      </c>
      <c r="R795" t="str">
        <f t="shared" si="87"/>
        <v/>
      </c>
      <c r="S795">
        <v>0</v>
      </c>
      <c r="T795" t="str">
        <f>IF(VALUE(S795)=0,"",VLOOKUP(VLOOKUP(S795,Tbl_Effect[],3,FALSE),EffectName[],IFERROR(MATCH(UI!$B$1,EffectName[#Headers],0),2),FALSE))</f>
        <v/>
      </c>
      <c r="U795" t="str">
        <f t="shared" si="88"/>
        <v/>
      </c>
      <c r="V795">
        <v>0</v>
      </c>
      <c r="W795" t="str">
        <f>IF(V795&lt;&gt;0,VLOOKUP(VLOOKUP(V795,Tbl_Effect[],3,FALSE),EffectName[],IFERROR(MATCH(UI!$B$1,EffectName[#Headers],0),2),FALSE),"")</f>
        <v/>
      </c>
      <c r="X795" t="str">
        <f t="shared" si="89"/>
        <v/>
      </c>
      <c r="Y795">
        <v>0</v>
      </c>
      <c r="Z795" t="str">
        <f>IF(Y795&lt;&gt;0,VLOOKUP(VLOOKUP(Y795,Tbl_Effect[],3,FALSE),EffectName[],IFERROR(MATCH(UI!$B$1,EffectName[#Headers],0),2),FALSE),"")</f>
        <v/>
      </c>
      <c r="AA795" t="str">
        <f t="shared" si="90"/>
        <v/>
      </c>
      <c r="AB795">
        <v>0</v>
      </c>
      <c r="AC795" t="str">
        <f>IF(AB795&lt;&gt;0,VLOOKUP(VLOOKUP(AB795,Tbl_Effect[],3,FALSE),EffectName[],IFERROR(MATCH(UI!$B$1,EffectName[#Headers],0),2),FALSE),"")</f>
        <v/>
      </c>
    </row>
    <row r="796" spans="8:29" x14ac:dyDescent="0.4">
      <c r="H796" t="str">
        <f t="shared" si="84"/>
        <v>2011222-遼闊的光耀暗淡情景 (黃)</v>
      </c>
      <c r="I796">
        <v>2011222</v>
      </c>
      <c r="J796" t="str">
        <f>_xlfn.IFNA(IF(I796&lt;&gt;0,VLOOKUP(VLOOKUP(I796,Tbl_Equip[],2,FALSE),Tbl_Color[],IFERROR(MATCH(UI!$B$1,Tbl_Color[#Headers],0),2),FALSE),""),"Unset")</f>
        <v>黃</v>
      </c>
      <c r="K796" t="str">
        <f>_xlfn.IFNA(IF(I796&lt;&gt;0,VLOOKUP(I796,ItemText[],IFERROR(MATCH(UI!$B$1,ItemText[#Headers],0),2),FALSE),""),"Unset")</f>
        <v>遼闊的光耀暗淡情景</v>
      </c>
      <c r="L796" t="str">
        <f t="shared" si="85"/>
        <v/>
      </c>
      <c r="M796">
        <v>0</v>
      </c>
      <c r="N796" t="str">
        <f>IF(VALUE(M796)=0,"",VLOOKUP(VLOOKUP(M796,Tbl_Effect[],3,FALSE),EffectName[],IFERROR(MATCH(UI!$B$1,EffectName[#Headers],0),2),FALSE))</f>
        <v/>
      </c>
      <c r="O796" t="str">
        <f t="shared" si="86"/>
        <v/>
      </c>
      <c r="P796">
        <v>0</v>
      </c>
      <c r="Q796" t="str">
        <f>IF(VALUE(P796)=0,"",VLOOKUP(VLOOKUP(P796,Tbl_Effect[],3,FALSE),EffectName[],IFERROR(MATCH(UI!$B$1,EffectName[#Headers],0),2),FALSE))</f>
        <v/>
      </c>
      <c r="R796" t="str">
        <f t="shared" si="87"/>
        <v/>
      </c>
      <c r="S796">
        <v>0</v>
      </c>
      <c r="T796" t="str">
        <f>IF(VALUE(S796)=0,"",VLOOKUP(VLOOKUP(S796,Tbl_Effect[],3,FALSE),EffectName[],IFERROR(MATCH(UI!$B$1,EffectName[#Headers],0),2),FALSE))</f>
        <v/>
      </c>
      <c r="U796" t="str">
        <f t="shared" si="88"/>
        <v/>
      </c>
      <c r="V796">
        <v>0</v>
      </c>
      <c r="W796" t="str">
        <f>IF(V796&lt;&gt;0,VLOOKUP(VLOOKUP(V796,Tbl_Effect[],3,FALSE),EffectName[],IFERROR(MATCH(UI!$B$1,EffectName[#Headers],0),2),FALSE),"")</f>
        <v/>
      </c>
      <c r="X796" t="str">
        <f t="shared" si="89"/>
        <v/>
      </c>
      <c r="Y796">
        <v>0</v>
      </c>
      <c r="Z796" t="str">
        <f>IF(Y796&lt;&gt;0,VLOOKUP(VLOOKUP(Y796,Tbl_Effect[],3,FALSE),EffectName[],IFERROR(MATCH(UI!$B$1,EffectName[#Headers],0),2),FALSE),"")</f>
        <v/>
      </c>
      <c r="AA796" t="str">
        <f t="shared" si="90"/>
        <v/>
      </c>
      <c r="AB796">
        <v>0</v>
      </c>
      <c r="AC796" t="str">
        <f>IF(AB796&lt;&gt;0,VLOOKUP(VLOOKUP(AB796,Tbl_Effect[],3,FALSE),EffectName[],IFERROR(MATCH(UI!$B$1,EffectName[#Headers],0),2),FALSE),"")</f>
        <v/>
      </c>
    </row>
    <row r="797" spans="8:29" x14ac:dyDescent="0.4">
      <c r="H797" t="str">
        <f t="shared" si="84"/>
        <v>2011301-端正的幽靜暗淡情景 (綠)</v>
      </c>
      <c r="I797">
        <v>2011301</v>
      </c>
      <c r="J797" t="str">
        <f>_xlfn.IFNA(IF(I797&lt;&gt;0,VLOOKUP(VLOOKUP(I797,Tbl_Equip[],2,FALSE),Tbl_Color[],IFERROR(MATCH(UI!$B$1,Tbl_Color[#Headers],0),2),FALSE),""),"Unset")</f>
        <v>綠</v>
      </c>
      <c r="K797" t="str">
        <f>_xlfn.IFNA(IF(I797&lt;&gt;0,VLOOKUP(I797,ItemText[],IFERROR(MATCH(UI!$B$1,ItemText[#Headers],0),2),FALSE),""),"Unset")</f>
        <v>端正的幽靜暗淡情景</v>
      </c>
      <c r="L797" t="str">
        <f t="shared" si="85"/>
        <v/>
      </c>
      <c r="M797">
        <v>0</v>
      </c>
      <c r="N797" t="str">
        <f>IF(VALUE(M797)=0,"",VLOOKUP(VLOOKUP(M797,Tbl_Effect[],3,FALSE),EffectName[],IFERROR(MATCH(UI!$B$1,EffectName[#Headers],0),2),FALSE))</f>
        <v/>
      </c>
      <c r="O797" t="str">
        <f t="shared" si="86"/>
        <v/>
      </c>
      <c r="P797">
        <v>0</v>
      </c>
      <c r="Q797" t="str">
        <f>IF(VALUE(P797)=0,"",VLOOKUP(VLOOKUP(P797,Tbl_Effect[],3,FALSE),EffectName[],IFERROR(MATCH(UI!$B$1,EffectName[#Headers],0),2),FALSE))</f>
        <v/>
      </c>
      <c r="R797" t="str">
        <f t="shared" si="87"/>
        <v/>
      </c>
      <c r="S797">
        <v>0</v>
      </c>
      <c r="T797" t="str">
        <f>IF(VALUE(S797)=0,"",VLOOKUP(VLOOKUP(S797,Tbl_Effect[],3,FALSE),EffectName[],IFERROR(MATCH(UI!$B$1,EffectName[#Headers],0),2),FALSE))</f>
        <v/>
      </c>
      <c r="U797" t="str">
        <f t="shared" si="88"/>
        <v/>
      </c>
      <c r="V797">
        <v>0</v>
      </c>
      <c r="W797" t="str">
        <f>IF(V797&lt;&gt;0,VLOOKUP(VLOOKUP(V797,Tbl_Effect[],3,FALSE),EffectName[],IFERROR(MATCH(UI!$B$1,EffectName[#Headers],0),2),FALSE),"")</f>
        <v/>
      </c>
      <c r="X797" t="str">
        <f t="shared" si="89"/>
        <v/>
      </c>
      <c r="Y797">
        <v>0</v>
      </c>
      <c r="Z797" t="str">
        <f>IF(Y797&lt;&gt;0,VLOOKUP(VLOOKUP(Y797,Tbl_Effect[],3,FALSE),EffectName[],IFERROR(MATCH(UI!$B$1,EffectName[#Headers],0),2),FALSE),"")</f>
        <v/>
      </c>
      <c r="AA797" t="str">
        <f t="shared" si="90"/>
        <v/>
      </c>
      <c r="AB797">
        <v>0</v>
      </c>
      <c r="AC797" t="str">
        <f>IF(AB797&lt;&gt;0,VLOOKUP(VLOOKUP(AB797,Tbl_Effect[],3,FALSE),EffectName[],IFERROR(MATCH(UI!$B$1,EffectName[#Headers],0),2),FALSE),"")</f>
        <v/>
      </c>
    </row>
    <row r="798" spans="8:29" x14ac:dyDescent="0.4">
      <c r="H798" t="str">
        <f t="shared" si="84"/>
        <v>2011302-遼闊的幽靜暗淡情景 (綠)</v>
      </c>
      <c r="I798">
        <v>2011302</v>
      </c>
      <c r="J798" t="str">
        <f>_xlfn.IFNA(IF(I798&lt;&gt;0,VLOOKUP(VLOOKUP(I798,Tbl_Equip[],2,FALSE),Tbl_Color[],IFERROR(MATCH(UI!$B$1,Tbl_Color[#Headers],0),2),FALSE),""),"Unset")</f>
        <v>綠</v>
      </c>
      <c r="K798" t="str">
        <f>_xlfn.IFNA(IF(I798&lt;&gt;0,VLOOKUP(I798,ItemText[],IFERROR(MATCH(UI!$B$1,ItemText[#Headers],0),2),FALSE),""),"Unset")</f>
        <v>遼闊的幽靜暗淡情景</v>
      </c>
      <c r="L798" t="str">
        <f t="shared" si="85"/>
        <v/>
      </c>
      <c r="M798">
        <v>0</v>
      </c>
      <c r="N798" t="str">
        <f>IF(VALUE(M798)=0,"",VLOOKUP(VLOOKUP(M798,Tbl_Effect[],3,FALSE),EffectName[],IFERROR(MATCH(UI!$B$1,EffectName[#Headers],0),2),FALSE))</f>
        <v/>
      </c>
      <c r="O798" t="str">
        <f t="shared" si="86"/>
        <v/>
      </c>
      <c r="P798">
        <v>0</v>
      </c>
      <c r="Q798" t="str">
        <f>IF(VALUE(P798)=0,"",VLOOKUP(VLOOKUP(P798,Tbl_Effect[],3,FALSE),EffectName[],IFERROR(MATCH(UI!$B$1,EffectName[#Headers],0),2),FALSE))</f>
        <v/>
      </c>
      <c r="R798" t="str">
        <f t="shared" si="87"/>
        <v/>
      </c>
      <c r="S798">
        <v>0</v>
      </c>
      <c r="T798" t="str">
        <f>IF(VALUE(S798)=0,"",VLOOKUP(VLOOKUP(S798,Tbl_Effect[],3,FALSE),EffectName[],IFERROR(MATCH(UI!$B$1,EffectName[#Headers],0),2),FALSE))</f>
        <v/>
      </c>
      <c r="U798" t="str">
        <f t="shared" si="88"/>
        <v/>
      </c>
      <c r="V798">
        <v>0</v>
      </c>
      <c r="W798" t="str">
        <f>IF(V798&lt;&gt;0,VLOOKUP(VLOOKUP(V798,Tbl_Effect[],3,FALSE),EffectName[],IFERROR(MATCH(UI!$B$1,EffectName[#Headers],0),2),FALSE),"")</f>
        <v/>
      </c>
      <c r="X798" t="str">
        <f t="shared" si="89"/>
        <v/>
      </c>
      <c r="Y798">
        <v>0</v>
      </c>
      <c r="Z798" t="str">
        <f>IF(Y798&lt;&gt;0,VLOOKUP(VLOOKUP(Y798,Tbl_Effect[],3,FALSE),EffectName[],IFERROR(MATCH(UI!$B$1,EffectName[#Headers],0),2),FALSE),"")</f>
        <v/>
      </c>
      <c r="AA798" t="str">
        <f t="shared" si="90"/>
        <v/>
      </c>
      <c r="AB798">
        <v>0</v>
      </c>
      <c r="AC798" t="str">
        <f>IF(AB798&lt;&gt;0,VLOOKUP(VLOOKUP(AB798,Tbl_Effect[],3,FALSE),EffectName[],IFERROR(MATCH(UI!$B$1,EffectName[#Headers],0),2),FALSE),"")</f>
        <v/>
      </c>
    </row>
    <row r="799" spans="8:29" x14ac:dyDescent="0.4">
      <c r="H799" t="str">
        <f t="shared" si="84"/>
        <v>2011311-端正的幽靜暗淡情景 (綠)</v>
      </c>
      <c r="I799">
        <v>2011311</v>
      </c>
      <c r="J799" t="str">
        <f>_xlfn.IFNA(IF(I799&lt;&gt;0,VLOOKUP(VLOOKUP(I799,Tbl_Equip[],2,FALSE),Tbl_Color[],IFERROR(MATCH(UI!$B$1,Tbl_Color[#Headers],0),2),FALSE),""),"Unset")</f>
        <v>綠</v>
      </c>
      <c r="K799" t="str">
        <f>_xlfn.IFNA(IF(I799&lt;&gt;0,VLOOKUP(I799,ItemText[],IFERROR(MATCH(UI!$B$1,ItemText[#Headers],0),2),FALSE),""),"Unset")</f>
        <v>端正的幽靜暗淡情景</v>
      </c>
      <c r="L799" t="str">
        <f t="shared" si="85"/>
        <v/>
      </c>
      <c r="M799">
        <v>0</v>
      </c>
      <c r="N799" t="str">
        <f>IF(VALUE(M799)=0,"",VLOOKUP(VLOOKUP(M799,Tbl_Effect[],3,FALSE),EffectName[],IFERROR(MATCH(UI!$B$1,EffectName[#Headers],0),2),FALSE))</f>
        <v/>
      </c>
      <c r="O799" t="str">
        <f t="shared" si="86"/>
        <v/>
      </c>
      <c r="P799">
        <v>0</v>
      </c>
      <c r="Q799" t="str">
        <f>IF(VALUE(P799)=0,"",VLOOKUP(VLOOKUP(P799,Tbl_Effect[],3,FALSE),EffectName[],IFERROR(MATCH(UI!$B$1,EffectName[#Headers],0),2),FALSE))</f>
        <v/>
      </c>
      <c r="R799" t="str">
        <f t="shared" si="87"/>
        <v/>
      </c>
      <c r="S799">
        <v>0</v>
      </c>
      <c r="T799" t="str">
        <f>IF(VALUE(S799)=0,"",VLOOKUP(VLOOKUP(S799,Tbl_Effect[],3,FALSE),EffectName[],IFERROR(MATCH(UI!$B$1,EffectName[#Headers],0),2),FALSE))</f>
        <v/>
      </c>
      <c r="U799" t="str">
        <f t="shared" si="88"/>
        <v/>
      </c>
      <c r="V799">
        <v>0</v>
      </c>
      <c r="W799" t="str">
        <f>IF(V799&lt;&gt;0,VLOOKUP(VLOOKUP(V799,Tbl_Effect[],3,FALSE),EffectName[],IFERROR(MATCH(UI!$B$1,EffectName[#Headers],0),2),FALSE),"")</f>
        <v/>
      </c>
      <c r="X799" t="str">
        <f t="shared" si="89"/>
        <v/>
      </c>
      <c r="Y799">
        <v>0</v>
      </c>
      <c r="Z799" t="str">
        <f>IF(Y799&lt;&gt;0,VLOOKUP(VLOOKUP(Y799,Tbl_Effect[],3,FALSE),EffectName[],IFERROR(MATCH(UI!$B$1,EffectName[#Headers],0),2),FALSE),"")</f>
        <v/>
      </c>
      <c r="AA799" t="str">
        <f t="shared" si="90"/>
        <v/>
      </c>
      <c r="AB799">
        <v>0</v>
      </c>
      <c r="AC799" t="str">
        <f>IF(AB799&lt;&gt;0,VLOOKUP(VLOOKUP(AB799,Tbl_Effect[],3,FALSE),EffectName[],IFERROR(MATCH(UI!$B$1,EffectName[#Headers],0),2),FALSE),"")</f>
        <v/>
      </c>
    </row>
    <row r="800" spans="8:29" x14ac:dyDescent="0.4">
      <c r="H800" t="str">
        <f t="shared" si="84"/>
        <v>2011312-遼闊的幽靜暗淡情景 (綠)</v>
      </c>
      <c r="I800">
        <v>2011312</v>
      </c>
      <c r="J800" t="str">
        <f>_xlfn.IFNA(IF(I800&lt;&gt;0,VLOOKUP(VLOOKUP(I800,Tbl_Equip[],2,FALSE),Tbl_Color[],IFERROR(MATCH(UI!$B$1,Tbl_Color[#Headers],0),2),FALSE),""),"Unset")</f>
        <v>綠</v>
      </c>
      <c r="K800" t="str">
        <f>_xlfn.IFNA(IF(I800&lt;&gt;0,VLOOKUP(I800,ItemText[],IFERROR(MATCH(UI!$B$1,ItemText[#Headers],0),2),FALSE),""),"Unset")</f>
        <v>遼闊的幽靜暗淡情景</v>
      </c>
      <c r="L800" t="str">
        <f t="shared" si="85"/>
        <v/>
      </c>
      <c r="M800">
        <v>0</v>
      </c>
      <c r="N800" t="str">
        <f>IF(VALUE(M800)=0,"",VLOOKUP(VLOOKUP(M800,Tbl_Effect[],3,FALSE),EffectName[],IFERROR(MATCH(UI!$B$1,EffectName[#Headers],0),2),FALSE))</f>
        <v/>
      </c>
      <c r="O800" t="str">
        <f t="shared" si="86"/>
        <v/>
      </c>
      <c r="P800">
        <v>0</v>
      </c>
      <c r="Q800" t="str">
        <f>IF(VALUE(P800)=0,"",VLOOKUP(VLOOKUP(P800,Tbl_Effect[],3,FALSE),EffectName[],IFERROR(MATCH(UI!$B$1,EffectName[#Headers],0),2),FALSE))</f>
        <v/>
      </c>
      <c r="R800" t="str">
        <f t="shared" si="87"/>
        <v/>
      </c>
      <c r="S800">
        <v>0</v>
      </c>
      <c r="T800" t="str">
        <f>IF(VALUE(S800)=0,"",VLOOKUP(VLOOKUP(S800,Tbl_Effect[],3,FALSE),EffectName[],IFERROR(MATCH(UI!$B$1,EffectName[#Headers],0),2),FALSE))</f>
        <v/>
      </c>
      <c r="U800" t="str">
        <f t="shared" si="88"/>
        <v/>
      </c>
      <c r="V800">
        <v>0</v>
      </c>
      <c r="W800" t="str">
        <f>IF(V800&lt;&gt;0,VLOOKUP(VLOOKUP(V800,Tbl_Effect[],3,FALSE),EffectName[],IFERROR(MATCH(UI!$B$1,EffectName[#Headers],0),2),FALSE),"")</f>
        <v/>
      </c>
      <c r="X800" t="str">
        <f t="shared" si="89"/>
        <v/>
      </c>
      <c r="Y800">
        <v>0</v>
      </c>
      <c r="Z800" t="str">
        <f>IF(Y800&lt;&gt;0,VLOOKUP(VLOOKUP(Y800,Tbl_Effect[],3,FALSE),EffectName[],IFERROR(MATCH(UI!$B$1,EffectName[#Headers],0),2),FALSE),"")</f>
        <v/>
      </c>
      <c r="AA800" t="str">
        <f t="shared" si="90"/>
        <v/>
      </c>
      <c r="AB800">
        <v>0</v>
      </c>
      <c r="AC800" t="str">
        <f>IF(AB800&lt;&gt;0,VLOOKUP(VLOOKUP(AB800,Tbl_Effect[],3,FALSE),EffectName[],IFERROR(MATCH(UI!$B$1,EffectName[#Headers],0),2),FALSE),"")</f>
        <v/>
      </c>
    </row>
    <row r="801" spans="8:29" x14ac:dyDescent="0.4">
      <c r="H801" t="str">
        <f t="shared" si="84"/>
        <v>2011321-端正的幽靜暗淡情景 (綠)</v>
      </c>
      <c r="I801">
        <v>2011321</v>
      </c>
      <c r="J801" t="str">
        <f>_xlfn.IFNA(IF(I801&lt;&gt;0,VLOOKUP(VLOOKUP(I801,Tbl_Equip[],2,FALSE),Tbl_Color[],IFERROR(MATCH(UI!$B$1,Tbl_Color[#Headers],0),2),FALSE),""),"Unset")</f>
        <v>綠</v>
      </c>
      <c r="K801" t="str">
        <f>_xlfn.IFNA(IF(I801&lt;&gt;0,VLOOKUP(I801,ItemText[],IFERROR(MATCH(UI!$B$1,ItemText[#Headers],0),2),FALSE),""),"Unset")</f>
        <v>端正的幽靜暗淡情景</v>
      </c>
      <c r="L801" t="str">
        <f t="shared" si="85"/>
        <v/>
      </c>
      <c r="M801">
        <v>0</v>
      </c>
      <c r="N801" t="str">
        <f>IF(VALUE(M801)=0,"",VLOOKUP(VLOOKUP(M801,Tbl_Effect[],3,FALSE),EffectName[],IFERROR(MATCH(UI!$B$1,EffectName[#Headers],0),2),FALSE))</f>
        <v/>
      </c>
      <c r="O801" t="str">
        <f t="shared" si="86"/>
        <v/>
      </c>
      <c r="P801">
        <v>0</v>
      </c>
      <c r="Q801" t="str">
        <f>IF(VALUE(P801)=0,"",VLOOKUP(VLOOKUP(P801,Tbl_Effect[],3,FALSE),EffectName[],IFERROR(MATCH(UI!$B$1,EffectName[#Headers],0),2),FALSE))</f>
        <v/>
      </c>
      <c r="R801" t="str">
        <f t="shared" si="87"/>
        <v/>
      </c>
      <c r="S801">
        <v>0</v>
      </c>
      <c r="T801" t="str">
        <f>IF(VALUE(S801)=0,"",VLOOKUP(VLOOKUP(S801,Tbl_Effect[],3,FALSE),EffectName[],IFERROR(MATCH(UI!$B$1,EffectName[#Headers],0),2),FALSE))</f>
        <v/>
      </c>
      <c r="U801" t="str">
        <f t="shared" si="88"/>
        <v/>
      </c>
      <c r="V801">
        <v>0</v>
      </c>
      <c r="W801" t="str">
        <f>IF(V801&lt;&gt;0,VLOOKUP(VLOOKUP(V801,Tbl_Effect[],3,FALSE),EffectName[],IFERROR(MATCH(UI!$B$1,EffectName[#Headers],0),2),FALSE),"")</f>
        <v/>
      </c>
      <c r="X801" t="str">
        <f t="shared" si="89"/>
        <v/>
      </c>
      <c r="Y801">
        <v>0</v>
      </c>
      <c r="Z801" t="str">
        <f>IF(Y801&lt;&gt;0,VLOOKUP(VLOOKUP(Y801,Tbl_Effect[],3,FALSE),EffectName[],IFERROR(MATCH(UI!$B$1,EffectName[#Headers],0),2),FALSE),"")</f>
        <v/>
      </c>
      <c r="AA801" t="str">
        <f t="shared" si="90"/>
        <v/>
      </c>
      <c r="AB801">
        <v>0</v>
      </c>
      <c r="AC801" t="str">
        <f>IF(AB801&lt;&gt;0,VLOOKUP(VLOOKUP(AB801,Tbl_Effect[],3,FALSE),EffectName[],IFERROR(MATCH(UI!$B$1,EffectName[#Headers],0),2),FALSE),"")</f>
        <v/>
      </c>
    </row>
    <row r="802" spans="8:29" x14ac:dyDescent="0.4">
      <c r="H802" t="str">
        <f t="shared" si="84"/>
        <v>2011322-遼闊的幽靜暗淡情景 (綠)</v>
      </c>
      <c r="I802">
        <v>2011322</v>
      </c>
      <c r="J802" t="str">
        <f>_xlfn.IFNA(IF(I802&lt;&gt;0,VLOOKUP(VLOOKUP(I802,Tbl_Equip[],2,FALSE),Tbl_Color[],IFERROR(MATCH(UI!$B$1,Tbl_Color[#Headers],0),2),FALSE),""),"Unset")</f>
        <v>綠</v>
      </c>
      <c r="K802" t="str">
        <f>_xlfn.IFNA(IF(I802&lt;&gt;0,VLOOKUP(I802,ItemText[],IFERROR(MATCH(UI!$B$1,ItemText[#Headers],0),2),FALSE),""),"Unset")</f>
        <v>遼闊的幽靜暗淡情景</v>
      </c>
      <c r="L802" t="str">
        <f t="shared" si="85"/>
        <v/>
      </c>
      <c r="M802">
        <v>0</v>
      </c>
      <c r="N802" t="str">
        <f>IF(VALUE(M802)=0,"",VLOOKUP(VLOOKUP(M802,Tbl_Effect[],3,FALSE),EffectName[],IFERROR(MATCH(UI!$B$1,EffectName[#Headers],0),2),FALSE))</f>
        <v/>
      </c>
      <c r="O802" t="str">
        <f t="shared" si="86"/>
        <v/>
      </c>
      <c r="P802">
        <v>0</v>
      </c>
      <c r="Q802" t="str">
        <f>IF(VALUE(P802)=0,"",VLOOKUP(VLOOKUP(P802,Tbl_Effect[],3,FALSE),EffectName[],IFERROR(MATCH(UI!$B$1,EffectName[#Headers],0),2),FALSE))</f>
        <v/>
      </c>
      <c r="R802" t="str">
        <f t="shared" si="87"/>
        <v/>
      </c>
      <c r="S802">
        <v>0</v>
      </c>
      <c r="T802" t="str">
        <f>IF(VALUE(S802)=0,"",VLOOKUP(VLOOKUP(S802,Tbl_Effect[],3,FALSE),EffectName[],IFERROR(MATCH(UI!$B$1,EffectName[#Headers],0),2),FALSE))</f>
        <v/>
      </c>
      <c r="U802" t="str">
        <f t="shared" si="88"/>
        <v/>
      </c>
      <c r="V802">
        <v>0</v>
      </c>
      <c r="W802" t="str">
        <f>IF(V802&lt;&gt;0,VLOOKUP(VLOOKUP(V802,Tbl_Effect[],3,FALSE),EffectName[],IFERROR(MATCH(UI!$B$1,EffectName[#Headers],0),2),FALSE),"")</f>
        <v/>
      </c>
      <c r="X802" t="str">
        <f t="shared" si="89"/>
        <v/>
      </c>
      <c r="Y802">
        <v>0</v>
      </c>
      <c r="Z802" t="str">
        <f>IF(Y802&lt;&gt;0,VLOOKUP(VLOOKUP(Y802,Tbl_Effect[],3,FALSE),EffectName[],IFERROR(MATCH(UI!$B$1,EffectName[#Headers],0),2),FALSE),"")</f>
        <v/>
      </c>
      <c r="AA802" t="str">
        <f t="shared" si="90"/>
        <v/>
      </c>
      <c r="AB802">
        <v>0</v>
      </c>
      <c r="AC802" t="str">
        <f>IF(AB802&lt;&gt;0,VLOOKUP(VLOOKUP(AB802,Tbl_Effect[],3,FALSE),EffectName[],IFERROR(MATCH(UI!$B$1,EffectName[#Headers],0),2),FALSE),"")</f>
        <v/>
      </c>
    </row>
    <row r="803" spans="8:29" x14ac:dyDescent="0.4">
      <c r="H803" t="str">
        <f t="shared" si="84"/>
        <v>2012002-遼闊的火燃暗淡情景 (紅)</v>
      </c>
      <c r="I803">
        <v>2012002</v>
      </c>
      <c r="J803" t="str">
        <f>_xlfn.IFNA(IF(I803&lt;&gt;0,VLOOKUP(VLOOKUP(I803,Tbl_Equip[],2,FALSE),Tbl_Color[],IFERROR(MATCH(UI!$B$1,Tbl_Color[#Headers],0),2),FALSE),""),"Unset")</f>
        <v>紅</v>
      </c>
      <c r="K803" t="str">
        <f>_xlfn.IFNA(IF(I803&lt;&gt;0,VLOOKUP(I803,ItemText[],IFERROR(MATCH(UI!$B$1,ItemText[#Headers],0),2),FALSE),""),"Unset")</f>
        <v>遼闊的火燃暗淡情景</v>
      </c>
      <c r="L803" t="str">
        <f t="shared" si="85"/>
        <v/>
      </c>
      <c r="M803">
        <v>0</v>
      </c>
      <c r="N803" t="str">
        <f>IF(VALUE(M803)=0,"",VLOOKUP(VLOOKUP(M803,Tbl_Effect[],3,FALSE),EffectName[],IFERROR(MATCH(UI!$B$1,EffectName[#Headers],0),2),FALSE))</f>
        <v/>
      </c>
      <c r="O803" t="str">
        <f t="shared" si="86"/>
        <v/>
      </c>
      <c r="P803">
        <v>0</v>
      </c>
      <c r="Q803" t="str">
        <f>IF(VALUE(P803)=0,"",VLOOKUP(VLOOKUP(P803,Tbl_Effect[],3,FALSE),EffectName[],IFERROR(MATCH(UI!$B$1,EffectName[#Headers],0),2),FALSE))</f>
        <v/>
      </c>
      <c r="R803" t="str">
        <f t="shared" si="87"/>
        <v/>
      </c>
      <c r="S803">
        <v>0</v>
      </c>
      <c r="T803" t="str">
        <f>IF(VALUE(S803)=0,"",VLOOKUP(VLOOKUP(S803,Tbl_Effect[],3,FALSE),EffectName[],IFERROR(MATCH(UI!$B$1,EffectName[#Headers],0),2),FALSE))</f>
        <v/>
      </c>
      <c r="U803" t="str">
        <f t="shared" si="88"/>
        <v/>
      </c>
      <c r="V803">
        <v>0</v>
      </c>
      <c r="W803" t="str">
        <f>IF(V803&lt;&gt;0,VLOOKUP(VLOOKUP(V803,Tbl_Effect[],3,FALSE),EffectName[],IFERROR(MATCH(UI!$B$1,EffectName[#Headers],0),2),FALSE),"")</f>
        <v/>
      </c>
      <c r="X803" t="str">
        <f t="shared" si="89"/>
        <v/>
      </c>
      <c r="Y803">
        <v>0</v>
      </c>
      <c r="Z803" t="str">
        <f>IF(Y803&lt;&gt;0,VLOOKUP(VLOOKUP(Y803,Tbl_Effect[],3,FALSE),EffectName[],IFERROR(MATCH(UI!$B$1,EffectName[#Headers],0),2),FALSE),"")</f>
        <v/>
      </c>
      <c r="AA803" t="str">
        <f t="shared" si="90"/>
        <v/>
      </c>
      <c r="AB803">
        <v>0</v>
      </c>
      <c r="AC803" t="str">
        <f>IF(AB803&lt;&gt;0,VLOOKUP(VLOOKUP(AB803,Tbl_Effect[],3,FALSE),EffectName[],IFERROR(MATCH(UI!$B$1,EffectName[#Headers],0),2),FALSE),"")</f>
        <v/>
      </c>
    </row>
    <row r="804" spans="8:29" x14ac:dyDescent="0.4">
      <c r="H804" t="str">
        <f t="shared" si="84"/>
        <v>2012012-遼闊的火燃暗淡情景 (紅)</v>
      </c>
      <c r="I804">
        <v>2012012</v>
      </c>
      <c r="J804" t="str">
        <f>_xlfn.IFNA(IF(I804&lt;&gt;0,VLOOKUP(VLOOKUP(I804,Tbl_Equip[],2,FALSE),Tbl_Color[],IFERROR(MATCH(UI!$B$1,Tbl_Color[#Headers],0),2),FALSE),""),"Unset")</f>
        <v>紅</v>
      </c>
      <c r="K804" t="str">
        <f>_xlfn.IFNA(IF(I804&lt;&gt;0,VLOOKUP(I804,ItemText[],IFERROR(MATCH(UI!$B$1,ItemText[#Headers],0),2),FALSE),""),"Unset")</f>
        <v>遼闊的火燃暗淡情景</v>
      </c>
      <c r="L804" t="str">
        <f t="shared" si="85"/>
        <v/>
      </c>
      <c r="M804">
        <v>0</v>
      </c>
      <c r="N804" t="str">
        <f>IF(VALUE(M804)=0,"",VLOOKUP(VLOOKUP(M804,Tbl_Effect[],3,FALSE),EffectName[],IFERROR(MATCH(UI!$B$1,EffectName[#Headers],0),2),FALSE))</f>
        <v/>
      </c>
      <c r="O804" t="str">
        <f t="shared" si="86"/>
        <v/>
      </c>
      <c r="P804">
        <v>0</v>
      </c>
      <c r="Q804" t="str">
        <f>IF(VALUE(P804)=0,"",VLOOKUP(VLOOKUP(P804,Tbl_Effect[],3,FALSE),EffectName[],IFERROR(MATCH(UI!$B$1,EffectName[#Headers],0),2),FALSE))</f>
        <v/>
      </c>
      <c r="R804" t="str">
        <f t="shared" si="87"/>
        <v/>
      </c>
      <c r="S804">
        <v>0</v>
      </c>
      <c r="T804" t="str">
        <f>IF(VALUE(S804)=0,"",VLOOKUP(VLOOKUP(S804,Tbl_Effect[],3,FALSE),EffectName[],IFERROR(MATCH(UI!$B$1,EffectName[#Headers],0),2),FALSE))</f>
        <v/>
      </c>
      <c r="U804" t="str">
        <f t="shared" si="88"/>
        <v/>
      </c>
      <c r="V804">
        <v>0</v>
      </c>
      <c r="W804" t="str">
        <f>IF(V804&lt;&gt;0,VLOOKUP(VLOOKUP(V804,Tbl_Effect[],3,FALSE),EffectName[],IFERROR(MATCH(UI!$B$1,EffectName[#Headers],0),2),FALSE),"")</f>
        <v/>
      </c>
      <c r="X804" t="str">
        <f t="shared" si="89"/>
        <v/>
      </c>
      <c r="Y804">
        <v>0</v>
      </c>
      <c r="Z804" t="str">
        <f>IF(Y804&lt;&gt;0,VLOOKUP(VLOOKUP(Y804,Tbl_Effect[],3,FALSE),EffectName[],IFERROR(MATCH(UI!$B$1,EffectName[#Headers],0),2),FALSE),"")</f>
        <v/>
      </c>
      <c r="AA804" t="str">
        <f t="shared" si="90"/>
        <v/>
      </c>
      <c r="AB804">
        <v>0</v>
      </c>
      <c r="AC804" t="str">
        <f>IF(AB804&lt;&gt;0,VLOOKUP(VLOOKUP(AB804,Tbl_Effect[],3,FALSE),EffectName[],IFERROR(MATCH(UI!$B$1,EffectName[#Headers],0),2),FALSE),"")</f>
        <v/>
      </c>
    </row>
    <row r="805" spans="8:29" x14ac:dyDescent="0.4">
      <c r="H805" t="str">
        <f t="shared" si="84"/>
        <v>2012022-遼闊的火燃暗淡情景 (紅)</v>
      </c>
      <c r="I805">
        <v>2012022</v>
      </c>
      <c r="J805" t="str">
        <f>_xlfn.IFNA(IF(I805&lt;&gt;0,VLOOKUP(VLOOKUP(I805,Tbl_Equip[],2,FALSE),Tbl_Color[],IFERROR(MATCH(UI!$B$1,Tbl_Color[#Headers],0),2),FALSE),""),"Unset")</f>
        <v>紅</v>
      </c>
      <c r="K805" t="str">
        <f>_xlfn.IFNA(IF(I805&lt;&gt;0,VLOOKUP(I805,ItemText[],IFERROR(MATCH(UI!$B$1,ItemText[#Headers],0),2),FALSE),""),"Unset")</f>
        <v>遼闊的火燃暗淡情景</v>
      </c>
      <c r="L805" t="str">
        <f t="shared" si="85"/>
        <v/>
      </c>
      <c r="M805">
        <v>0</v>
      </c>
      <c r="N805" t="str">
        <f>IF(VALUE(M805)=0,"",VLOOKUP(VLOOKUP(M805,Tbl_Effect[],3,FALSE),EffectName[],IFERROR(MATCH(UI!$B$1,EffectName[#Headers],0),2),FALSE))</f>
        <v/>
      </c>
      <c r="O805" t="str">
        <f t="shared" si="86"/>
        <v/>
      </c>
      <c r="P805">
        <v>0</v>
      </c>
      <c r="Q805" t="str">
        <f>IF(VALUE(P805)=0,"",VLOOKUP(VLOOKUP(P805,Tbl_Effect[],3,FALSE),EffectName[],IFERROR(MATCH(UI!$B$1,EffectName[#Headers],0),2),FALSE))</f>
        <v/>
      </c>
      <c r="R805" t="str">
        <f t="shared" si="87"/>
        <v/>
      </c>
      <c r="S805">
        <v>0</v>
      </c>
      <c r="T805" t="str">
        <f>IF(VALUE(S805)=0,"",VLOOKUP(VLOOKUP(S805,Tbl_Effect[],3,FALSE),EffectName[],IFERROR(MATCH(UI!$B$1,EffectName[#Headers],0),2),FALSE))</f>
        <v/>
      </c>
      <c r="U805" t="str">
        <f t="shared" si="88"/>
        <v/>
      </c>
      <c r="V805">
        <v>0</v>
      </c>
      <c r="W805" t="str">
        <f>IF(V805&lt;&gt;0,VLOOKUP(VLOOKUP(V805,Tbl_Effect[],3,FALSE),EffectName[],IFERROR(MATCH(UI!$B$1,EffectName[#Headers],0),2),FALSE),"")</f>
        <v/>
      </c>
      <c r="X805" t="str">
        <f t="shared" si="89"/>
        <v/>
      </c>
      <c r="Y805">
        <v>0</v>
      </c>
      <c r="Z805" t="str">
        <f>IF(Y805&lt;&gt;0,VLOOKUP(VLOOKUP(Y805,Tbl_Effect[],3,FALSE),EffectName[],IFERROR(MATCH(UI!$B$1,EffectName[#Headers],0),2),FALSE),"")</f>
        <v/>
      </c>
      <c r="AA805" t="str">
        <f t="shared" si="90"/>
        <v/>
      </c>
      <c r="AB805">
        <v>0</v>
      </c>
      <c r="AC805" t="str">
        <f>IF(AB805&lt;&gt;0,VLOOKUP(VLOOKUP(AB805,Tbl_Effect[],3,FALSE),EffectName[],IFERROR(MATCH(UI!$B$1,EffectName[#Headers],0),2),FALSE),"")</f>
        <v/>
      </c>
    </row>
    <row r="806" spans="8:29" x14ac:dyDescent="0.4">
      <c r="H806" t="str">
        <f t="shared" si="84"/>
        <v>2012102-遼闊的水滴暗淡情景 (藍)</v>
      </c>
      <c r="I806">
        <v>2012102</v>
      </c>
      <c r="J806" t="str">
        <f>_xlfn.IFNA(IF(I806&lt;&gt;0,VLOOKUP(VLOOKUP(I806,Tbl_Equip[],2,FALSE),Tbl_Color[],IFERROR(MATCH(UI!$B$1,Tbl_Color[#Headers],0),2),FALSE),""),"Unset")</f>
        <v>藍</v>
      </c>
      <c r="K806" t="str">
        <f>_xlfn.IFNA(IF(I806&lt;&gt;0,VLOOKUP(I806,ItemText[],IFERROR(MATCH(UI!$B$1,ItemText[#Headers],0),2),FALSE),""),"Unset")</f>
        <v>遼闊的水滴暗淡情景</v>
      </c>
      <c r="L806" t="str">
        <f t="shared" si="85"/>
        <v/>
      </c>
      <c r="M806">
        <v>0</v>
      </c>
      <c r="N806" t="str">
        <f>IF(VALUE(M806)=0,"",VLOOKUP(VLOOKUP(M806,Tbl_Effect[],3,FALSE),EffectName[],IFERROR(MATCH(UI!$B$1,EffectName[#Headers],0),2),FALSE))</f>
        <v/>
      </c>
      <c r="O806" t="str">
        <f t="shared" si="86"/>
        <v/>
      </c>
      <c r="P806">
        <v>0</v>
      </c>
      <c r="Q806" t="str">
        <f>IF(VALUE(P806)=0,"",VLOOKUP(VLOOKUP(P806,Tbl_Effect[],3,FALSE),EffectName[],IFERROR(MATCH(UI!$B$1,EffectName[#Headers],0),2),FALSE))</f>
        <v/>
      </c>
      <c r="R806" t="str">
        <f t="shared" si="87"/>
        <v/>
      </c>
      <c r="S806">
        <v>0</v>
      </c>
      <c r="T806" t="str">
        <f>IF(VALUE(S806)=0,"",VLOOKUP(VLOOKUP(S806,Tbl_Effect[],3,FALSE),EffectName[],IFERROR(MATCH(UI!$B$1,EffectName[#Headers],0),2),FALSE))</f>
        <v/>
      </c>
      <c r="U806" t="str">
        <f t="shared" si="88"/>
        <v/>
      </c>
      <c r="V806">
        <v>0</v>
      </c>
      <c r="W806" t="str">
        <f>IF(V806&lt;&gt;0,VLOOKUP(VLOOKUP(V806,Tbl_Effect[],3,FALSE),EffectName[],IFERROR(MATCH(UI!$B$1,EffectName[#Headers],0),2),FALSE),"")</f>
        <v/>
      </c>
      <c r="X806" t="str">
        <f t="shared" si="89"/>
        <v/>
      </c>
      <c r="Y806">
        <v>0</v>
      </c>
      <c r="Z806" t="str">
        <f>IF(Y806&lt;&gt;0,VLOOKUP(VLOOKUP(Y806,Tbl_Effect[],3,FALSE),EffectName[],IFERROR(MATCH(UI!$B$1,EffectName[#Headers],0),2),FALSE),"")</f>
        <v/>
      </c>
      <c r="AA806" t="str">
        <f t="shared" si="90"/>
        <v/>
      </c>
      <c r="AB806">
        <v>0</v>
      </c>
      <c r="AC806" t="str">
        <f>IF(AB806&lt;&gt;0,VLOOKUP(VLOOKUP(AB806,Tbl_Effect[],3,FALSE),EffectName[],IFERROR(MATCH(UI!$B$1,EffectName[#Headers],0),2),FALSE),"")</f>
        <v/>
      </c>
    </row>
    <row r="807" spans="8:29" x14ac:dyDescent="0.4">
      <c r="H807" t="str">
        <f t="shared" si="84"/>
        <v>2012112-遼闊的水滴暗淡情景 (藍)</v>
      </c>
      <c r="I807">
        <v>2012112</v>
      </c>
      <c r="J807" t="str">
        <f>_xlfn.IFNA(IF(I807&lt;&gt;0,VLOOKUP(VLOOKUP(I807,Tbl_Equip[],2,FALSE),Tbl_Color[],IFERROR(MATCH(UI!$B$1,Tbl_Color[#Headers],0),2),FALSE),""),"Unset")</f>
        <v>藍</v>
      </c>
      <c r="K807" t="str">
        <f>_xlfn.IFNA(IF(I807&lt;&gt;0,VLOOKUP(I807,ItemText[],IFERROR(MATCH(UI!$B$1,ItemText[#Headers],0),2),FALSE),""),"Unset")</f>
        <v>遼闊的水滴暗淡情景</v>
      </c>
      <c r="L807" t="str">
        <f t="shared" si="85"/>
        <v/>
      </c>
      <c r="M807">
        <v>0</v>
      </c>
      <c r="N807" t="str">
        <f>IF(VALUE(M807)=0,"",VLOOKUP(VLOOKUP(M807,Tbl_Effect[],3,FALSE),EffectName[],IFERROR(MATCH(UI!$B$1,EffectName[#Headers],0),2),FALSE))</f>
        <v/>
      </c>
      <c r="O807" t="str">
        <f t="shared" si="86"/>
        <v/>
      </c>
      <c r="P807">
        <v>0</v>
      </c>
      <c r="Q807" t="str">
        <f>IF(VALUE(P807)=0,"",VLOOKUP(VLOOKUP(P807,Tbl_Effect[],3,FALSE),EffectName[],IFERROR(MATCH(UI!$B$1,EffectName[#Headers],0),2),FALSE))</f>
        <v/>
      </c>
      <c r="R807" t="str">
        <f t="shared" si="87"/>
        <v/>
      </c>
      <c r="S807">
        <v>0</v>
      </c>
      <c r="T807" t="str">
        <f>IF(VALUE(S807)=0,"",VLOOKUP(VLOOKUP(S807,Tbl_Effect[],3,FALSE),EffectName[],IFERROR(MATCH(UI!$B$1,EffectName[#Headers],0),2),FALSE))</f>
        <v/>
      </c>
      <c r="U807" t="str">
        <f t="shared" si="88"/>
        <v/>
      </c>
      <c r="V807">
        <v>0</v>
      </c>
      <c r="W807" t="str">
        <f>IF(V807&lt;&gt;0,VLOOKUP(VLOOKUP(V807,Tbl_Effect[],3,FALSE),EffectName[],IFERROR(MATCH(UI!$B$1,EffectName[#Headers],0),2),FALSE),"")</f>
        <v/>
      </c>
      <c r="X807" t="str">
        <f t="shared" si="89"/>
        <v/>
      </c>
      <c r="Y807">
        <v>0</v>
      </c>
      <c r="Z807" t="str">
        <f>IF(Y807&lt;&gt;0,VLOOKUP(VLOOKUP(Y807,Tbl_Effect[],3,FALSE),EffectName[],IFERROR(MATCH(UI!$B$1,EffectName[#Headers],0),2),FALSE),"")</f>
        <v/>
      </c>
      <c r="AA807" t="str">
        <f t="shared" si="90"/>
        <v/>
      </c>
      <c r="AB807">
        <v>0</v>
      </c>
      <c r="AC807" t="str">
        <f>IF(AB807&lt;&gt;0,VLOOKUP(VLOOKUP(AB807,Tbl_Effect[],3,FALSE),EffectName[],IFERROR(MATCH(UI!$B$1,EffectName[#Headers],0),2),FALSE),"")</f>
        <v/>
      </c>
    </row>
    <row r="808" spans="8:29" x14ac:dyDescent="0.4">
      <c r="H808" t="str">
        <f t="shared" si="84"/>
        <v>2012122-遼闊的水滴暗淡情景 (藍)</v>
      </c>
      <c r="I808">
        <v>2012122</v>
      </c>
      <c r="J808" t="str">
        <f>_xlfn.IFNA(IF(I808&lt;&gt;0,VLOOKUP(VLOOKUP(I808,Tbl_Equip[],2,FALSE),Tbl_Color[],IFERROR(MATCH(UI!$B$1,Tbl_Color[#Headers],0),2),FALSE),""),"Unset")</f>
        <v>藍</v>
      </c>
      <c r="K808" t="str">
        <f>_xlfn.IFNA(IF(I808&lt;&gt;0,VLOOKUP(I808,ItemText[],IFERROR(MATCH(UI!$B$1,ItemText[#Headers],0),2),FALSE),""),"Unset")</f>
        <v>遼闊的水滴暗淡情景</v>
      </c>
      <c r="L808" t="str">
        <f t="shared" si="85"/>
        <v/>
      </c>
      <c r="M808">
        <v>0</v>
      </c>
      <c r="N808" t="str">
        <f>IF(VALUE(M808)=0,"",VLOOKUP(VLOOKUP(M808,Tbl_Effect[],3,FALSE),EffectName[],IFERROR(MATCH(UI!$B$1,EffectName[#Headers],0),2),FALSE))</f>
        <v/>
      </c>
      <c r="O808" t="str">
        <f t="shared" si="86"/>
        <v/>
      </c>
      <c r="P808">
        <v>0</v>
      </c>
      <c r="Q808" t="str">
        <f>IF(VALUE(P808)=0,"",VLOOKUP(VLOOKUP(P808,Tbl_Effect[],3,FALSE),EffectName[],IFERROR(MATCH(UI!$B$1,EffectName[#Headers],0),2),FALSE))</f>
        <v/>
      </c>
      <c r="R808" t="str">
        <f t="shared" si="87"/>
        <v/>
      </c>
      <c r="S808">
        <v>0</v>
      </c>
      <c r="T808" t="str">
        <f>IF(VALUE(S808)=0,"",VLOOKUP(VLOOKUP(S808,Tbl_Effect[],3,FALSE),EffectName[],IFERROR(MATCH(UI!$B$1,EffectName[#Headers],0),2),FALSE))</f>
        <v/>
      </c>
      <c r="U808" t="str">
        <f t="shared" si="88"/>
        <v/>
      </c>
      <c r="V808">
        <v>0</v>
      </c>
      <c r="W808" t="str">
        <f>IF(V808&lt;&gt;0,VLOOKUP(VLOOKUP(V808,Tbl_Effect[],3,FALSE),EffectName[],IFERROR(MATCH(UI!$B$1,EffectName[#Headers],0),2),FALSE),"")</f>
        <v/>
      </c>
      <c r="X808" t="str">
        <f t="shared" si="89"/>
        <v/>
      </c>
      <c r="Y808">
        <v>0</v>
      </c>
      <c r="Z808" t="str">
        <f>IF(Y808&lt;&gt;0,VLOOKUP(VLOOKUP(Y808,Tbl_Effect[],3,FALSE),EffectName[],IFERROR(MATCH(UI!$B$1,EffectName[#Headers],0),2),FALSE),"")</f>
        <v/>
      </c>
      <c r="AA808" t="str">
        <f t="shared" si="90"/>
        <v/>
      </c>
      <c r="AB808">
        <v>0</v>
      </c>
      <c r="AC808" t="str">
        <f>IF(AB808&lt;&gt;0,VLOOKUP(VLOOKUP(AB808,Tbl_Effect[],3,FALSE),EffectName[],IFERROR(MATCH(UI!$B$1,EffectName[#Headers],0),2),FALSE),"")</f>
        <v/>
      </c>
    </row>
    <row r="809" spans="8:29" x14ac:dyDescent="0.4">
      <c r="H809" t="str">
        <f t="shared" si="84"/>
        <v>2012202-遼闊的光耀暗淡情景 (黃)</v>
      </c>
      <c r="I809">
        <v>2012202</v>
      </c>
      <c r="J809" t="str">
        <f>_xlfn.IFNA(IF(I809&lt;&gt;0,VLOOKUP(VLOOKUP(I809,Tbl_Equip[],2,FALSE),Tbl_Color[],IFERROR(MATCH(UI!$B$1,Tbl_Color[#Headers],0),2),FALSE),""),"Unset")</f>
        <v>黃</v>
      </c>
      <c r="K809" t="str">
        <f>_xlfn.IFNA(IF(I809&lt;&gt;0,VLOOKUP(I809,ItemText[],IFERROR(MATCH(UI!$B$1,ItemText[#Headers],0),2),FALSE),""),"Unset")</f>
        <v>遼闊的光耀暗淡情景</v>
      </c>
      <c r="L809" t="str">
        <f t="shared" si="85"/>
        <v/>
      </c>
      <c r="M809">
        <v>0</v>
      </c>
      <c r="N809" t="str">
        <f>IF(VALUE(M809)=0,"",VLOOKUP(VLOOKUP(M809,Tbl_Effect[],3,FALSE),EffectName[],IFERROR(MATCH(UI!$B$1,EffectName[#Headers],0),2),FALSE))</f>
        <v/>
      </c>
      <c r="O809" t="str">
        <f t="shared" si="86"/>
        <v/>
      </c>
      <c r="P809">
        <v>0</v>
      </c>
      <c r="Q809" t="str">
        <f>IF(VALUE(P809)=0,"",VLOOKUP(VLOOKUP(P809,Tbl_Effect[],3,FALSE),EffectName[],IFERROR(MATCH(UI!$B$1,EffectName[#Headers],0),2),FALSE))</f>
        <v/>
      </c>
      <c r="R809" t="str">
        <f t="shared" si="87"/>
        <v/>
      </c>
      <c r="S809">
        <v>0</v>
      </c>
      <c r="T809" t="str">
        <f>IF(VALUE(S809)=0,"",VLOOKUP(VLOOKUP(S809,Tbl_Effect[],3,FALSE),EffectName[],IFERROR(MATCH(UI!$B$1,EffectName[#Headers],0),2),FALSE))</f>
        <v/>
      </c>
      <c r="U809" t="str">
        <f t="shared" si="88"/>
        <v/>
      </c>
      <c r="V809">
        <v>0</v>
      </c>
      <c r="W809" t="str">
        <f>IF(V809&lt;&gt;0,VLOOKUP(VLOOKUP(V809,Tbl_Effect[],3,FALSE),EffectName[],IFERROR(MATCH(UI!$B$1,EffectName[#Headers],0),2),FALSE),"")</f>
        <v/>
      </c>
      <c r="X809" t="str">
        <f t="shared" si="89"/>
        <v/>
      </c>
      <c r="Y809">
        <v>0</v>
      </c>
      <c r="Z809" t="str">
        <f>IF(Y809&lt;&gt;0,VLOOKUP(VLOOKUP(Y809,Tbl_Effect[],3,FALSE),EffectName[],IFERROR(MATCH(UI!$B$1,EffectName[#Headers],0),2),FALSE),"")</f>
        <v/>
      </c>
      <c r="AA809" t="str">
        <f t="shared" si="90"/>
        <v/>
      </c>
      <c r="AB809">
        <v>0</v>
      </c>
      <c r="AC809" t="str">
        <f>IF(AB809&lt;&gt;0,VLOOKUP(VLOOKUP(AB809,Tbl_Effect[],3,FALSE),EffectName[],IFERROR(MATCH(UI!$B$1,EffectName[#Headers],0),2),FALSE),"")</f>
        <v/>
      </c>
    </row>
    <row r="810" spans="8:29" x14ac:dyDescent="0.4">
      <c r="H810" t="str">
        <f t="shared" si="84"/>
        <v>2012212-遼闊的光耀暗淡情景 (黃)</v>
      </c>
      <c r="I810">
        <v>2012212</v>
      </c>
      <c r="J810" t="str">
        <f>_xlfn.IFNA(IF(I810&lt;&gt;0,VLOOKUP(VLOOKUP(I810,Tbl_Equip[],2,FALSE),Tbl_Color[],IFERROR(MATCH(UI!$B$1,Tbl_Color[#Headers],0),2),FALSE),""),"Unset")</f>
        <v>黃</v>
      </c>
      <c r="K810" t="str">
        <f>_xlfn.IFNA(IF(I810&lt;&gt;0,VLOOKUP(I810,ItemText[],IFERROR(MATCH(UI!$B$1,ItemText[#Headers],0),2),FALSE),""),"Unset")</f>
        <v>遼闊的光耀暗淡情景</v>
      </c>
      <c r="L810" t="str">
        <f t="shared" si="85"/>
        <v/>
      </c>
      <c r="M810">
        <v>0</v>
      </c>
      <c r="N810" t="str">
        <f>IF(VALUE(M810)=0,"",VLOOKUP(VLOOKUP(M810,Tbl_Effect[],3,FALSE),EffectName[],IFERROR(MATCH(UI!$B$1,EffectName[#Headers],0),2),FALSE))</f>
        <v/>
      </c>
      <c r="O810" t="str">
        <f t="shared" si="86"/>
        <v/>
      </c>
      <c r="P810">
        <v>0</v>
      </c>
      <c r="Q810" t="str">
        <f>IF(VALUE(P810)=0,"",VLOOKUP(VLOOKUP(P810,Tbl_Effect[],3,FALSE),EffectName[],IFERROR(MATCH(UI!$B$1,EffectName[#Headers],0),2),FALSE))</f>
        <v/>
      </c>
      <c r="R810" t="str">
        <f t="shared" si="87"/>
        <v/>
      </c>
      <c r="S810">
        <v>0</v>
      </c>
      <c r="T810" t="str">
        <f>IF(VALUE(S810)=0,"",VLOOKUP(VLOOKUP(S810,Tbl_Effect[],3,FALSE),EffectName[],IFERROR(MATCH(UI!$B$1,EffectName[#Headers],0),2),FALSE))</f>
        <v/>
      </c>
      <c r="U810" t="str">
        <f t="shared" si="88"/>
        <v/>
      </c>
      <c r="V810">
        <v>0</v>
      </c>
      <c r="W810" t="str">
        <f>IF(V810&lt;&gt;0,VLOOKUP(VLOOKUP(V810,Tbl_Effect[],3,FALSE),EffectName[],IFERROR(MATCH(UI!$B$1,EffectName[#Headers],0),2),FALSE),"")</f>
        <v/>
      </c>
      <c r="X810" t="str">
        <f t="shared" si="89"/>
        <v/>
      </c>
      <c r="Y810">
        <v>0</v>
      </c>
      <c r="Z810" t="str">
        <f>IF(Y810&lt;&gt;0,VLOOKUP(VLOOKUP(Y810,Tbl_Effect[],3,FALSE),EffectName[],IFERROR(MATCH(UI!$B$1,EffectName[#Headers],0),2),FALSE),"")</f>
        <v/>
      </c>
      <c r="AA810" t="str">
        <f t="shared" si="90"/>
        <v/>
      </c>
      <c r="AB810">
        <v>0</v>
      </c>
      <c r="AC810" t="str">
        <f>IF(AB810&lt;&gt;0,VLOOKUP(VLOOKUP(AB810,Tbl_Effect[],3,FALSE),EffectName[],IFERROR(MATCH(UI!$B$1,EffectName[#Headers],0),2),FALSE),"")</f>
        <v/>
      </c>
    </row>
    <row r="811" spans="8:29" x14ac:dyDescent="0.4">
      <c r="H811" t="str">
        <f t="shared" si="84"/>
        <v>2012222-遼闊的光耀暗淡情景 (黃)</v>
      </c>
      <c r="I811">
        <v>2012222</v>
      </c>
      <c r="J811" t="str">
        <f>_xlfn.IFNA(IF(I811&lt;&gt;0,VLOOKUP(VLOOKUP(I811,Tbl_Equip[],2,FALSE),Tbl_Color[],IFERROR(MATCH(UI!$B$1,Tbl_Color[#Headers],0),2),FALSE),""),"Unset")</f>
        <v>黃</v>
      </c>
      <c r="K811" t="str">
        <f>_xlfn.IFNA(IF(I811&lt;&gt;0,VLOOKUP(I811,ItemText[],IFERROR(MATCH(UI!$B$1,ItemText[#Headers],0),2),FALSE),""),"Unset")</f>
        <v>遼闊的光耀暗淡情景</v>
      </c>
      <c r="L811" t="str">
        <f t="shared" si="85"/>
        <v/>
      </c>
      <c r="M811">
        <v>0</v>
      </c>
      <c r="N811" t="str">
        <f>IF(VALUE(M811)=0,"",VLOOKUP(VLOOKUP(M811,Tbl_Effect[],3,FALSE),EffectName[],IFERROR(MATCH(UI!$B$1,EffectName[#Headers],0),2),FALSE))</f>
        <v/>
      </c>
      <c r="O811" t="str">
        <f t="shared" si="86"/>
        <v/>
      </c>
      <c r="P811">
        <v>0</v>
      </c>
      <c r="Q811" t="str">
        <f>IF(VALUE(P811)=0,"",VLOOKUP(VLOOKUP(P811,Tbl_Effect[],3,FALSE),EffectName[],IFERROR(MATCH(UI!$B$1,EffectName[#Headers],0),2),FALSE))</f>
        <v/>
      </c>
      <c r="R811" t="str">
        <f t="shared" si="87"/>
        <v/>
      </c>
      <c r="S811">
        <v>0</v>
      </c>
      <c r="T811" t="str">
        <f>IF(VALUE(S811)=0,"",VLOOKUP(VLOOKUP(S811,Tbl_Effect[],3,FALSE),EffectName[],IFERROR(MATCH(UI!$B$1,EffectName[#Headers],0),2),FALSE))</f>
        <v/>
      </c>
      <c r="U811" t="str">
        <f t="shared" si="88"/>
        <v/>
      </c>
      <c r="V811">
        <v>0</v>
      </c>
      <c r="W811" t="str">
        <f>IF(V811&lt;&gt;0,VLOOKUP(VLOOKUP(V811,Tbl_Effect[],3,FALSE),EffectName[],IFERROR(MATCH(UI!$B$1,EffectName[#Headers],0),2),FALSE),"")</f>
        <v/>
      </c>
      <c r="X811" t="str">
        <f t="shared" si="89"/>
        <v/>
      </c>
      <c r="Y811">
        <v>0</v>
      </c>
      <c r="Z811" t="str">
        <f>IF(Y811&lt;&gt;0,VLOOKUP(VLOOKUP(Y811,Tbl_Effect[],3,FALSE),EffectName[],IFERROR(MATCH(UI!$B$1,EffectName[#Headers],0),2),FALSE),"")</f>
        <v/>
      </c>
      <c r="AA811" t="str">
        <f t="shared" si="90"/>
        <v/>
      </c>
      <c r="AB811">
        <v>0</v>
      </c>
      <c r="AC811" t="str">
        <f>IF(AB811&lt;&gt;0,VLOOKUP(VLOOKUP(AB811,Tbl_Effect[],3,FALSE),EffectName[],IFERROR(MATCH(UI!$B$1,EffectName[#Headers],0),2),FALSE),"")</f>
        <v/>
      </c>
    </row>
    <row r="812" spans="8:29" x14ac:dyDescent="0.4">
      <c r="H812" t="str">
        <f t="shared" si="84"/>
        <v>2012302-遼闊的幽靜暗淡情景 (綠)</v>
      </c>
      <c r="I812">
        <v>2012302</v>
      </c>
      <c r="J812" t="str">
        <f>_xlfn.IFNA(IF(I812&lt;&gt;0,VLOOKUP(VLOOKUP(I812,Tbl_Equip[],2,FALSE),Tbl_Color[],IFERROR(MATCH(UI!$B$1,Tbl_Color[#Headers],0),2),FALSE),""),"Unset")</f>
        <v>綠</v>
      </c>
      <c r="K812" t="str">
        <f>_xlfn.IFNA(IF(I812&lt;&gt;0,VLOOKUP(I812,ItemText[],IFERROR(MATCH(UI!$B$1,ItemText[#Headers],0),2),FALSE),""),"Unset")</f>
        <v>遼闊的幽靜暗淡情景</v>
      </c>
      <c r="L812" t="str">
        <f t="shared" si="85"/>
        <v/>
      </c>
      <c r="M812">
        <v>0</v>
      </c>
      <c r="N812" t="str">
        <f>IF(VALUE(M812)=0,"",VLOOKUP(VLOOKUP(M812,Tbl_Effect[],3,FALSE),EffectName[],IFERROR(MATCH(UI!$B$1,EffectName[#Headers],0),2),FALSE))</f>
        <v/>
      </c>
      <c r="O812" t="str">
        <f t="shared" si="86"/>
        <v/>
      </c>
      <c r="P812">
        <v>0</v>
      </c>
      <c r="Q812" t="str">
        <f>IF(VALUE(P812)=0,"",VLOOKUP(VLOOKUP(P812,Tbl_Effect[],3,FALSE),EffectName[],IFERROR(MATCH(UI!$B$1,EffectName[#Headers],0),2),FALSE))</f>
        <v/>
      </c>
      <c r="R812" t="str">
        <f t="shared" si="87"/>
        <v/>
      </c>
      <c r="S812">
        <v>0</v>
      </c>
      <c r="T812" t="str">
        <f>IF(VALUE(S812)=0,"",VLOOKUP(VLOOKUP(S812,Tbl_Effect[],3,FALSE),EffectName[],IFERROR(MATCH(UI!$B$1,EffectName[#Headers],0),2),FALSE))</f>
        <v/>
      </c>
      <c r="U812" t="str">
        <f t="shared" si="88"/>
        <v/>
      </c>
      <c r="V812">
        <v>0</v>
      </c>
      <c r="W812" t="str">
        <f>IF(V812&lt;&gt;0,VLOOKUP(VLOOKUP(V812,Tbl_Effect[],3,FALSE),EffectName[],IFERROR(MATCH(UI!$B$1,EffectName[#Headers],0),2),FALSE),"")</f>
        <v/>
      </c>
      <c r="X812" t="str">
        <f t="shared" si="89"/>
        <v/>
      </c>
      <c r="Y812">
        <v>0</v>
      </c>
      <c r="Z812" t="str">
        <f>IF(Y812&lt;&gt;0,VLOOKUP(VLOOKUP(Y812,Tbl_Effect[],3,FALSE),EffectName[],IFERROR(MATCH(UI!$B$1,EffectName[#Headers],0),2),FALSE),"")</f>
        <v/>
      </c>
      <c r="AA812" t="str">
        <f t="shared" si="90"/>
        <v/>
      </c>
      <c r="AB812">
        <v>0</v>
      </c>
      <c r="AC812" t="str">
        <f>IF(AB812&lt;&gt;0,VLOOKUP(VLOOKUP(AB812,Tbl_Effect[],3,FALSE),EffectName[],IFERROR(MATCH(UI!$B$1,EffectName[#Headers],0),2),FALSE),"")</f>
        <v/>
      </c>
    </row>
    <row r="813" spans="8:29" x14ac:dyDescent="0.4">
      <c r="H813" t="str">
        <f t="shared" si="84"/>
        <v>2012312-遼闊的幽靜暗淡情景 (綠)</v>
      </c>
      <c r="I813">
        <v>2012312</v>
      </c>
      <c r="J813" t="str">
        <f>_xlfn.IFNA(IF(I813&lt;&gt;0,VLOOKUP(VLOOKUP(I813,Tbl_Equip[],2,FALSE),Tbl_Color[],IFERROR(MATCH(UI!$B$1,Tbl_Color[#Headers],0),2),FALSE),""),"Unset")</f>
        <v>綠</v>
      </c>
      <c r="K813" t="str">
        <f>_xlfn.IFNA(IF(I813&lt;&gt;0,VLOOKUP(I813,ItemText[],IFERROR(MATCH(UI!$B$1,ItemText[#Headers],0),2),FALSE),""),"Unset")</f>
        <v>遼闊的幽靜暗淡情景</v>
      </c>
      <c r="L813" t="str">
        <f t="shared" si="85"/>
        <v/>
      </c>
      <c r="M813">
        <v>0</v>
      </c>
      <c r="N813" t="str">
        <f>IF(VALUE(M813)=0,"",VLOOKUP(VLOOKUP(M813,Tbl_Effect[],3,FALSE),EffectName[],IFERROR(MATCH(UI!$B$1,EffectName[#Headers],0),2),FALSE))</f>
        <v/>
      </c>
      <c r="O813" t="str">
        <f t="shared" si="86"/>
        <v/>
      </c>
      <c r="P813">
        <v>0</v>
      </c>
      <c r="Q813" t="str">
        <f>IF(VALUE(P813)=0,"",VLOOKUP(VLOOKUP(P813,Tbl_Effect[],3,FALSE),EffectName[],IFERROR(MATCH(UI!$B$1,EffectName[#Headers],0),2),FALSE))</f>
        <v/>
      </c>
      <c r="R813" t="str">
        <f t="shared" si="87"/>
        <v/>
      </c>
      <c r="S813">
        <v>0</v>
      </c>
      <c r="T813" t="str">
        <f>IF(VALUE(S813)=0,"",VLOOKUP(VLOOKUP(S813,Tbl_Effect[],3,FALSE),EffectName[],IFERROR(MATCH(UI!$B$1,EffectName[#Headers],0),2),FALSE))</f>
        <v/>
      </c>
      <c r="U813" t="str">
        <f t="shared" si="88"/>
        <v/>
      </c>
      <c r="V813">
        <v>0</v>
      </c>
      <c r="W813" t="str">
        <f>IF(V813&lt;&gt;0,VLOOKUP(VLOOKUP(V813,Tbl_Effect[],3,FALSE),EffectName[],IFERROR(MATCH(UI!$B$1,EffectName[#Headers],0),2),FALSE),"")</f>
        <v/>
      </c>
      <c r="X813" t="str">
        <f t="shared" si="89"/>
        <v/>
      </c>
      <c r="Y813">
        <v>0</v>
      </c>
      <c r="Z813" t="str">
        <f>IF(Y813&lt;&gt;0,VLOOKUP(VLOOKUP(Y813,Tbl_Effect[],3,FALSE),EffectName[],IFERROR(MATCH(UI!$B$1,EffectName[#Headers],0),2),FALSE),"")</f>
        <v/>
      </c>
      <c r="AA813" t="str">
        <f t="shared" si="90"/>
        <v/>
      </c>
      <c r="AB813">
        <v>0</v>
      </c>
      <c r="AC813" t="str">
        <f>IF(AB813&lt;&gt;0,VLOOKUP(VLOOKUP(AB813,Tbl_Effect[],3,FALSE),EffectName[],IFERROR(MATCH(UI!$B$1,EffectName[#Headers],0),2),FALSE),"")</f>
        <v/>
      </c>
    </row>
    <row r="814" spans="8:29" x14ac:dyDescent="0.4">
      <c r="H814" t="str">
        <f t="shared" si="84"/>
        <v>2012322-遼闊的幽靜暗淡情景 (綠)</v>
      </c>
      <c r="I814">
        <v>2012322</v>
      </c>
      <c r="J814" t="str">
        <f>_xlfn.IFNA(IF(I814&lt;&gt;0,VLOOKUP(VLOOKUP(I814,Tbl_Equip[],2,FALSE),Tbl_Color[],IFERROR(MATCH(UI!$B$1,Tbl_Color[#Headers],0),2),FALSE),""),"Unset")</f>
        <v>綠</v>
      </c>
      <c r="K814" t="str">
        <f>_xlfn.IFNA(IF(I814&lt;&gt;0,VLOOKUP(I814,ItemText[],IFERROR(MATCH(UI!$B$1,ItemText[#Headers],0),2),FALSE),""),"Unset")</f>
        <v>遼闊的幽靜暗淡情景</v>
      </c>
      <c r="L814" t="str">
        <f t="shared" si="85"/>
        <v/>
      </c>
      <c r="M814">
        <v>0</v>
      </c>
      <c r="N814" t="str">
        <f>IF(VALUE(M814)=0,"",VLOOKUP(VLOOKUP(M814,Tbl_Effect[],3,FALSE),EffectName[],IFERROR(MATCH(UI!$B$1,EffectName[#Headers],0),2),FALSE))</f>
        <v/>
      </c>
      <c r="O814" t="str">
        <f t="shared" si="86"/>
        <v/>
      </c>
      <c r="P814">
        <v>0</v>
      </c>
      <c r="Q814" t="str">
        <f>IF(VALUE(P814)=0,"",VLOOKUP(VLOOKUP(P814,Tbl_Effect[],3,FALSE),EffectName[],IFERROR(MATCH(UI!$B$1,EffectName[#Headers],0),2),FALSE))</f>
        <v/>
      </c>
      <c r="R814" t="str">
        <f t="shared" si="87"/>
        <v/>
      </c>
      <c r="S814">
        <v>0</v>
      </c>
      <c r="T814" t="str">
        <f>IF(VALUE(S814)=0,"",VLOOKUP(VLOOKUP(S814,Tbl_Effect[],3,FALSE),EffectName[],IFERROR(MATCH(UI!$B$1,EffectName[#Headers],0),2),FALSE))</f>
        <v/>
      </c>
      <c r="U814" t="str">
        <f t="shared" si="88"/>
        <v/>
      </c>
      <c r="V814">
        <v>0</v>
      </c>
      <c r="W814" t="str">
        <f>IF(V814&lt;&gt;0,VLOOKUP(VLOOKUP(V814,Tbl_Effect[],3,FALSE),EffectName[],IFERROR(MATCH(UI!$B$1,EffectName[#Headers],0),2),FALSE),"")</f>
        <v/>
      </c>
      <c r="X814" t="str">
        <f t="shared" si="89"/>
        <v/>
      </c>
      <c r="Y814">
        <v>0</v>
      </c>
      <c r="Z814" t="str">
        <f>IF(Y814&lt;&gt;0,VLOOKUP(VLOOKUP(Y814,Tbl_Effect[],3,FALSE),EffectName[],IFERROR(MATCH(UI!$B$1,EffectName[#Headers],0),2),FALSE),"")</f>
        <v/>
      </c>
      <c r="AA814" t="str">
        <f t="shared" si="90"/>
        <v/>
      </c>
      <c r="AB814">
        <v>0</v>
      </c>
      <c r="AC814" t="str">
        <f>IF(AB814&lt;&gt;0,VLOOKUP(VLOOKUP(AB814,Tbl_Effect[],3,FALSE),EffectName[],IFERROR(MATCH(UI!$B$1,EffectName[#Headers],0),2),FALSE),"")</f>
        <v/>
      </c>
    </row>
    <row r="815" spans="8:29" x14ac:dyDescent="0.4">
      <c r="H815" t="str">
        <f t="shared" si="84"/>
        <v>2013000-細膩的火燃暗淡情景 (紅)</v>
      </c>
      <c r="I815">
        <v>2013000</v>
      </c>
      <c r="J815" t="str">
        <f>_xlfn.IFNA(IF(I815&lt;&gt;0,VLOOKUP(VLOOKUP(I815,Tbl_Equip[],2,FALSE),Tbl_Color[],IFERROR(MATCH(UI!$B$1,Tbl_Color[#Headers],0),2),FALSE),""),"Unset")</f>
        <v>紅</v>
      </c>
      <c r="K815" t="str">
        <f>_xlfn.IFNA(IF(I815&lt;&gt;0,VLOOKUP(I815,ItemText[],IFERROR(MATCH(UI!$B$1,ItemText[#Headers],0),2),FALSE),""),"Unset")</f>
        <v>細膩的火燃暗淡情景</v>
      </c>
      <c r="L815" t="str">
        <f t="shared" si="85"/>
        <v/>
      </c>
      <c r="M815">
        <v>0</v>
      </c>
      <c r="N815" t="str">
        <f>IF(VALUE(M815)=0,"",VLOOKUP(VLOOKUP(M815,Tbl_Effect[],3,FALSE),EffectName[],IFERROR(MATCH(UI!$B$1,EffectName[#Headers],0),2),FALSE))</f>
        <v/>
      </c>
      <c r="O815" t="str">
        <f t="shared" si="86"/>
        <v/>
      </c>
      <c r="P815">
        <v>0</v>
      </c>
      <c r="Q815" t="str">
        <f>IF(VALUE(P815)=0,"",VLOOKUP(VLOOKUP(P815,Tbl_Effect[],3,FALSE),EffectName[],IFERROR(MATCH(UI!$B$1,EffectName[#Headers],0),2),FALSE))</f>
        <v/>
      </c>
      <c r="R815" t="str">
        <f t="shared" si="87"/>
        <v/>
      </c>
      <c r="S815">
        <v>0</v>
      </c>
      <c r="T815" t="str">
        <f>IF(VALUE(S815)=0,"",VLOOKUP(VLOOKUP(S815,Tbl_Effect[],3,FALSE),EffectName[],IFERROR(MATCH(UI!$B$1,EffectName[#Headers],0),2),FALSE))</f>
        <v/>
      </c>
      <c r="U815" t="str">
        <f t="shared" si="88"/>
        <v/>
      </c>
      <c r="V815">
        <v>0</v>
      </c>
      <c r="W815" t="str">
        <f>IF(V815&lt;&gt;0,VLOOKUP(VLOOKUP(V815,Tbl_Effect[],3,FALSE),EffectName[],IFERROR(MATCH(UI!$B$1,EffectName[#Headers],0),2),FALSE),"")</f>
        <v/>
      </c>
      <c r="X815" t="str">
        <f t="shared" si="89"/>
        <v/>
      </c>
      <c r="Y815">
        <v>0</v>
      </c>
      <c r="Z815" t="str">
        <f>IF(Y815&lt;&gt;0,VLOOKUP(VLOOKUP(Y815,Tbl_Effect[],3,FALSE),EffectName[],IFERROR(MATCH(UI!$B$1,EffectName[#Headers],0),2),FALSE),"")</f>
        <v/>
      </c>
      <c r="AA815" t="str">
        <f t="shared" si="90"/>
        <v/>
      </c>
      <c r="AB815">
        <v>0</v>
      </c>
      <c r="AC815" t="str">
        <f>IF(AB815&lt;&gt;0,VLOOKUP(VLOOKUP(AB815,Tbl_Effect[],3,FALSE),EffectName[],IFERROR(MATCH(UI!$B$1,EffectName[#Headers],0),2),FALSE),"")</f>
        <v/>
      </c>
    </row>
    <row r="816" spans="8:29" x14ac:dyDescent="0.4">
      <c r="H816" t="str">
        <f t="shared" si="84"/>
        <v>2013001-端正的火燃暗淡情景 (紅)</v>
      </c>
      <c r="I816">
        <v>2013001</v>
      </c>
      <c r="J816" t="str">
        <f>_xlfn.IFNA(IF(I816&lt;&gt;0,VLOOKUP(VLOOKUP(I816,Tbl_Equip[],2,FALSE),Tbl_Color[],IFERROR(MATCH(UI!$B$1,Tbl_Color[#Headers],0),2),FALSE),""),"Unset")</f>
        <v>紅</v>
      </c>
      <c r="K816" t="str">
        <f>_xlfn.IFNA(IF(I816&lt;&gt;0,VLOOKUP(I816,ItemText[],IFERROR(MATCH(UI!$B$1,ItemText[#Headers],0),2),FALSE),""),"Unset")</f>
        <v>端正的火燃暗淡情景</v>
      </c>
      <c r="L816" t="str">
        <f t="shared" si="85"/>
        <v/>
      </c>
      <c r="M816">
        <v>0</v>
      </c>
      <c r="N816" t="str">
        <f>IF(VALUE(M816)=0,"",VLOOKUP(VLOOKUP(M816,Tbl_Effect[],3,FALSE),EffectName[],IFERROR(MATCH(UI!$B$1,EffectName[#Headers],0),2),FALSE))</f>
        <v/>
      </c>
      <c r="O816" t="str">
        <f t="shared" si="86"/>
        <v/>
      </c>
      <c r="P816">
        <v>0</v>
      </c>
      <c r="Q816" t="str">
        <f>IF(VALUE(P816)=0,"",VLOOKUP(VLOOKUP(P816,Tbl_Effect[],3,FALSE),EffectName[],IFERROR(MATCH(UI!$B$1,EffectName[#Headers],0),2),FALSE))</f>
        <v/>
      </c>
      <c r="R816" t="str">
        <f t="shared" si="87"/>
        <v/>
      </c>
      <c r="S816">
        <v>0</v>
      </c>
      <c r="T816" t="str">
        <f>IF(VALUE(S816)=0,"",VLOOKUP(VLOOKUP(S816,Tbl_Effect[],3,FALSE),EffectName[],IFERROR(MATCH(UI!$B$1,EffectName[#Headers],0),2),FALSE))</f>
        <v/>
      </c>
      <c r="U816" t="str">
        <f t="shared" si="88"/>
        <v/>
      </c>
      <c r="V816">
        <v>0</v>
      </c>
      <c r="W816" t="str">
        <f>IF(V816&lt;&gt;0,VLOOKUP(VLOOKUP(V816,Tbl_Effect[],3,FALSE),EffectName[],IFERROR(MATCH(UI!$B$1,EffectName[#Headers],0),2),FALSE),"")</f>
        <v/>
      </c>
      <c r="X816" t="str">
        <f t="shared" si="89"/>
        <v/>
      </c>
      <c r="Y816">
        <v>0</v>
      </c>
      <c r="Z816" t="str">
        <f>IF(Y816&lt;&gt;0,VLOOKUP(VLOOKUP(Y816,Tbl_Effect[],3,FALSE),EffectName[],IFERROR(MATCH(UI!$B$1,EffectName[#Headers],0),2),FALSE),"")</f>
        <v/>
      </c>
      <c r="AA816" t="str">
        <f t="shared" si="90"/>
        <v/>
      </c>
      <c r="AB816">
        <v>0</v>
      </c>
      <c r="AC816" t="str">
        <f>IF(AB816&lt;&gt;0,VLOOKUP(VLOOKUP(AB816,Tbl_Effect[],3,FALSE),EffectName[],IFERROR(MATCH(UI!$B$1,EffectName[#Headers],0),2),FALSE),"")</f>
        <v/>
      </c>
    </row>
    <row r="817" spans="8:29" x14ac:dyDescent="0.4">
      <c r="H817" t="str">
        <f t="shared" si="84"/>
        <v>2013002-遼闊的火燃暗淡情景 (紅)</v>
      </c>
      <c r="I817">
        <v>2013002</v>
      </c>
      <c r="J817" t="str">
        <f>_xlfn.IFNA(IF(I817&lt;&gt;0,VLOOKUP(VLOOKUP(I817,Tbl_Equip[],2,FALSE),Tbl_Color[],IFERROR(MATCH(UI!$B$1,Tbl_Color[#Headers],0),2),FALSE),""),"Unset")</f>
        <v>紅</v>
      </c>
      <c r="K817" t="str">
        <f>_xlfn.IFNA(IF(I817&lt;&gt;0,VLOOKUP(I817,ItemText[],IFERROR(MATCH(UI!$B$1,ItemText[#Headers],0),2),FALSE),""),"Unset")</f>
        <v>遼闊的火燃暗淡情景</v>
      </c>
      <c r="L817" t="str">
        <f t="shared" si="85"/>
        <v/>
      </c>
      <c r="M817">
        <v>0</v>
      </c>
      <c r="N817" t="str">
        <f>IF(VALUE(M817)=0,"",VLOOKUP(VLOOKUP(M817,Tbl_Effect[],3,FALSE),EffectName[],IFERROR(MATCH(UI!$B$1,EffectName[#Headers],0),2),FALSE))</f>
        <v/>
      </c>
      <c r="O817" t="str">
        <f t="shared" si="86"/>
        <v/>
      </c>
      <c r="P817">
        <v>0</v>
      </c>
      <c r="Q817" t="str">
        <f>IF(VALUE(P817)=0,"",VLOOKUP(VLOOKUP(P817,Tbl_Effect[],3,FALSE),EffectName[],IFERROR(MATCH(UI!$B$1,EffectName[#Headers],0),2),FALSE))</f>
        <v/>
      </c>
      <c r="R817" t="str">
        <f t="shared" si="87"/>
        <v/>
      </c>
      <c r="S817">
        <v>0</v>
      </c>
      <c r="T817" t="str">
        <f>IF(VALUE(S817)=0,"",VLOOKUP(VLOOKUP(S817,Tbl_Effect[],3,FALSE),EffectName[],IFERROR(MATCH(UI!$B$1,EffectName[#Headers],0),2),FALSE))</f>
        <v/>
      </c>
      <c r="U817" t="str">
        <f t="shared" si="88"/>
        <v/>
      </c>
      <c r="V817">
        <v>0</v>
      </c>
      <c r="W817" t="str">
        <f>IF(V817&lt;&gt;0,VLOOKUP(VLOOKUP(V817,Tbl_Effect[],3,FALSE),EffectName[],IFERROR(MATCH(UI!$B$1,EffectName[#Headers],0),2),FALSE),"")</f>
        <v/>
      </c>
      <c r="X817" t="str">
        <f t="shared" si="89"/>
        <v/>
      </c>
      <c r="Y817">
        <v>0</v>
      </c>
      <c r="Z817" t="str">
        <f>IF(Y817&lt;&gt;0,VLOOKUP(VLOOKUP(Y817,Tbl_Effect[],3,FALSE),EffectName[],IFERROR(MATCH(UI!$B$1,EffectName[#Headers],0),2),FALSE),"")</f>
        <v/>
      </c>
      <c r="AA817" t="str">
        <f t="shared" si="90"/>
        <v/>
      </c>
      <c r="AB817">
        <v>0</v>
      </c>
      <c r="AC817" t="str">
        <f>IF(AB817&lt;&gt;0,VLOOKUP(VLOOKUP(AB817,Tbl_Effect[],3,FALSE),EffectName[],IFERROR(MATCH(UI!$B$1,EffectName[#Headers],0),2),FALSE),"")</f>
        <v/>
      </c>
    </row>
    <row r="818" spans="8:29" x14ac:dyDescent="0.4">
      <c r="H818" t="str">
        <f t="shared" si="84"/>
        <v>2013010-細膩的火燃暗淡情景 (紅)</v>
      </c>
      <c r="I818">
        <v>2013010</v>
      </c>
      <c r="J818" t="str">
        <f>_xlfn.IFNA(IF(I818&lt;&gt;0,VLOOKUP(VLOOKUP(I818,Tbl_Equip[],2,FALSE),Tbl_Color[],IFERROR(MATCH(UI!$B$1,Tbl_Color[#Headers],0),2),FALSE),""),"Unset")</f>
        <v>紅</v>
      </c>
      <c r="K818" t="str">
        <f>_xlfn.IFNA(IF(I818&lt;&gt;0,VLOOKUP(I818,ItemText[],IFERROR(MATCH(UI!$B$1,ItemText[#Headers],0),2),FALSE),""),"Unset")</f>
        <v>細膩的火燃暗淡情景</v>
      </c>
      <c r="L818" t="str">
        <f t="shared" si="85"/>
        <v/>
      </c>
      <c r="M818">
        <v>0</v>
      </c>
      <c r="N818" t="str">
        <f>IF(VALUE(M818)=0,"",VLOOKUP(VLOOKUP(M818,Tbl_Effect[],3,FALSE),EffectName[],IFERROR(MATCH(UI!$B$1,EffectName[#Headers],0),2),FALSE))</f>
        <v/>
      </c>
      <c r="O818" t="str">
        <f t="shared" si="86"/>
        <v/>
      </c>
      <c r="P818">
        <v>0</v>
      </c>
      <c r="Q818" t="str">
        <f>IF(VALUE(P818)=0,"",VLOOKUP(VLOOKUP(P818,Tbl_Effect[],3,FALSE),EffectName[],IFERROR(MATCH(UI!$B$1,EffectName[#Headers],0),2),FALSE))</f>
        <v/>
      </c>
      <c r="R818" t="str">
        <f t="shared" si="87"/>
        <v/>
      </c>
      <c r="S818">
        <v>0</v>
      </c>
      <c r="T818" t="str">
        <f>IF(VALUE(S818)=0,"",VLOOKUP(VLOOKUP(S818,Tbl_Effect[],3,FALSE),EffectName[],IFERROR(MATCH(UI!$B$1,EffectName[#Headers],0),2),FALSE))</f>
        <v/>
      </c>
      <c r="U818" t="str">
        <f t="shared" si="88"/>
        <v/>
      </c>
      <c r="V818">
        <v>0</v>
      </c>
      <c r="W818" t="str">
        <f>IF(V818&lt;&gt;0,VLOOKUP(VLOOKUP(V818,Tbl_Effect[],3,FALSE),EffectName[],IFERROR(MATCH(UI!$B$1,EffectName[#Headers],0),2),FALSE),"")</f>
        <v/>
      </c>
      <c r="X818" t="str">
        <f t="shared" si="89"/>
        <v/>
      </c>
      <c r="Y818">
        <v>0</v>
      </c>
      <c r="Z818" t="str">
        <f>IF(Y818&lt;&gt;0,VLOOKUP(VLOOKUP(Y818,Tbl_Effect[],3,FALSE),EffectName[],IFERROR(MATCH(UI!$B$1,EffectName[#Headers],0),2),FALSE),"")</f>
        <v/>
      </c>
      <c r="AA818" t="str">
        <f t="shared" si="90"/>
        <v/>
      </c>
      <c r="AB818">
        <v>0</v>
      </c>
      <c r="AC818" t="str">
        <f>IF(AB818&lt;&gt;0,VLOOKUP(VLOOKUP(AB818,Tbl_Effect[],3,FALSE),EffectName[],IFERROR(MATCH(UI!$B$1,EffectName[#Headers],0),2),FALSE),"")</f>
        <v/>
      </c>
    </row>
    <row r="819" spans="8:29" x14ac:dyDescent="0.4">
      <c r="H819" t="str">
        <f t="shared" si="84"/>
        <v>2013011-端正的火燃暗淡情景 (紅)</v>
      </c>
      <c r="I819">
        <v>2013011</v>
      </c>
      <c r="J819" t="str">
        <f>_xlfn.IFNA(IF(I819&lt;&gt;0,VLOOKUP(VLOOKUP(I819,Tbl_Equip[],2,FALSE),Tbl_Color[],IFERROR(MATCH(UI!$B$1,Tbl_Color[#Headers],0),2),FALSE),""),"Unset")</f>
        <v>紅</v>
      </c>
      <c r="K819" t="str">
        <f>_xlfn.IFNA(IF(I819&lt;&gt;0,VLOOKUP(I819,ItemText[],IFERROR(MATCH(UI!$B$1,ItemText[#Headers],0),2),FALSE),""),"Unset")</f>
        <v>端正的火燃暗淡情景</v>
      </c>
      <c r="L819" t="str">
        <f t="shared" si="85"/>
        <v/>
      </c>
      <c r="M819">
        <v>0</v>
      </c>
      <c r="N819" t="str">
        <f>IF(VALUE(M819)=0,"",VLOOKUP(VLOOKUP(M819,Tbl_Effect[],3,FALSE),EffectName[],IFERROR(MATCH(UI!$B$1,EffectName[#Headers],0),2),FALSE))</f>
        <v/>
      </c>
      <c r="O819" t="str">
        <f t="shared" si="86"/>
        <v/>
      </c>
      <c r="P819">
        <v>0</v>
      </c>
      <c r="Q819" t="str">
        <f>IF(VALUE(P819)=0,"",VLOOKUP(VLOOKUP(P819,Tbl_Effect[],3,FALSE),EffectName[],IFERROR(MATCH(UI!$B$1,EffectName[#Headers],0),2),FALSE))</f>
        <v/>
      </c>
      <c r="R819" t="str">
        <f t="shared" si="87"/>
        <v/>
      </c>
      <c r="S819">
        <v>0</v>
      </c>
      <c r="T819" t="str">
        <f>IF(VALUE(S819)=0,"",VLOOKUP(VLOOKUP(S819,Tbl_Effect[],3,FALSE),EffectName[],IFERROR(MATCH(UI!$B$1,EffectName[#Headers],0),2),FALSE))</f>
        <v/>
      </c>
      <c r="U819" t="str">
        <f t="shared" si="88"/>
        <v/>
      </c>
      <c r="V819">
        <v>0</v>
      </c>
      <c r="W819" t="str">
        <f>IF(V819&lt;&gt;0,VLOOKUP(VLOOKUP(V819,Tbl_Effect[],3,FALSE),EffectName[],IFERROR(MATCH(UI!$B$1,EffectName[#Headers],0),2),FALSE),"")</f>
        <v/>
      </c>
      <c r="X819" t="str">
        <f t="shared" si="89"/>
        <v/>
      </c>
      <c r="Y819">
        <v>0</v>
      </c>
      <c r="Z819" t="str">
        <f>IF(Y819&lt;&gt;0,VLOOKUP(VLOOKUP(Y819,Tbl_Effect[],3,FALSE),EffectName[],IFERROR(MATCH(UI!$B$1,EffectName[#Headers],0),2),FALSE),"")</f>
        <v/>
      </c>
      <c r="AA819" t="str">
        <f t="shared" si="90"/>
        <v/>
      </c>
      <c r="AB819">
        <v>0</v>
      </c>
      <c r="AC819" t="str">
        <f>IF(AB819&lt;&gt;0,VLOOKUP(VLOOKUP(AB819,Tbl_Effect[],3,FALSE),EffectName[],IFERROR(MATCH(UI!$B$1,EffectName[#Headers],0),2),FALSE),"")</f>
        <v/>
      </c>
    </row>
    <row r="820" spans="8:29" x14ac:dyDescent="0.4">
      <c r="H820" t="str">
        <f t="shared" si="84"/>
        <v>2013012-遼闊的火燃暗淡情景 (紅)</v>
      </c>
      <c r="I820">
        <v>2013012</v>
      </c>
      <c r="J820" t="str">
        <f>_xlfn.IFNA(IF(I820&lt;&gt;0,VLOOKUP(VLOOKUP(I820,Tbl_Equip[],2,FALSE),Tbl_Color[],IFERROR(MATCH(UI!$B$1,Tbl_Color[#Headers],0),2),FALSE),""),"Unset")</f>
        <v>紅</v>
      </c>
      <c r="K820" t="str">
        <f>_xlfn.IFNA(IF(I820&lt;&gt;0,VLOOKUP(I820,ItemText[],IFERROR(MATCH(UI!$B$1,ItemText[#Headers],0),2),FALSE),""),"Unset")</f>
        <v>遼闊的火燃暗淡情景</v>
      </c>
      <c r="L820" t="str">
        <f t="shared" si="85"/>
        <v/>
      </c>
      <c r="M820">
        <v>0</v>
      </c>
      <c r="N820" t="str">
        <f>IF(VALUE(M820)=0,"",VLOOKUP(VLOOKUP(M820,Tbl_Effect[],3,FALSE),EffectName[],IFERROR(MATCH(UI!$B$1,EffectName[#Headers],0),2),FALSE))</f>
        <v/>
      </c>
      <c r="O820" t="str">
        <f t="shared" si="86"/>
        <v/>
      </c>
      <c r="P820">
        <v>0</v>
      </c>
      <c r="Q820" t="str">
        <f>IF(VALUE(P820)=0,"",VLOOKUP(VLOOKUP(P820,Tbl_Effect[],3,FALSE),EffectName[],IFERROR(MATCH(UI!$B$1,EffectName[#Headers],0),2),FALSE))</f>
        <v/>
      </c>
      <c r="R820" t="str">
        <f t="shared" si="87"/>
        <v/>
      </c>
      <c r="S820">
        <v>0</v>
      </c>
      <c r="T820" t="str">
        <f>IF(VALUE(S820)=0,"",VLOOKUP(VLOOKUP(S820,Tbl_Effect[],3,FALSE),EffectName[],IFERROR(MATCH(UI!$B$1,EffectName[#Headers],0),2),FALSE))</f>
        <v/>
      </c>
      <c r="U820" t="str">
        <f t="shared" si="88"/>
        <v/>
      </c>
      <c r="V820">
        <v>0</v>
      </c>
      <c r="W820" t="str">
        <f>IF(V820&lt;&gt;0,VLOOKUP(VLOOKUP(V820,Tbl_Effect[],3,FALSE),EffectName[],IFERROR(MATCH(UI!$B$1,EffectName[#Headers],0),2),FALSE),"")</f>
        <v/>
      </c>
      <c r="X820" t="str">
        <f t="shared" si="89"/>
        <v/>
      </c>
      <c r="Y820">
        <v>0</v>
      </c>
      <c r="Z820" t="str">
        <f>IF(Y820&lt;&gt;0,VLOOKUP(VLOOKUP(Y820,Tbl_Effect[],3,FALSE),EffectName[],IFERROR(MATCH(UI!$B$1,EffectName[#Headers],0),2),FALSE),"")</f>
        <v/>
      </c>
      <c r="AA820" t="str">
        <f t="shared" si="90"/>
        <v/>
      </c>
      <c r="AB820">
        <v>0</v>
      </c>
      <c r="AC820" t="str">
        <f>IF(AB820&lt;&gt;0,VLOOKUP(VLOOKUP(AB820,Tbl_Effect[],3,FALSE),EffectName[],IFERROR(MATCH(UI!$B$1,EffectName[#Headers],0),2),FALSE),"")</f>
        <v/>
      </c>
    </row>
    <row r="821" spans="8:29" x14ac:dyDescent="0.4">
      <c r="H821" t="str">
        <f t="shared" si="84"/>
        <v>2013020-細膩的火燃暗淡情景 (紅)</v>
      </c>
      <c r="I821">
        <v>2013020</v>
      </c>
      <c r="J821" t="str">
        <f>_xlfn.IFNA(IF(I821&lt;&gt;0,VLOOKUP(VLOOKUP(I821,Tbl_Equip[],2,FALSE),Tbl_Color[],IFERROR(MATCH(UI!$B$1,Tbl_Color[#Headers],0),2),FALSE),""),"Unset")</f>
        <v>紅</v>
      </c>
      <c r="K821" t="str">
        <f>_xlfn.IFNA(IF(I821&lt;&gt;0,VLOOKUP(I821,ItemText[],IFERROR(MATCH(UI!$B$1,ItemText[#Headers],0),2),FALSE),""),"Unset")</f>
        <v>細膩的火燃暗淡情景</v>
      </c>
      <c r="L821" t="str">
        <f t="shared" si="85"/>
        <v/>
      </c>
      <c r="M821">
        <v>0</v>
      </c>
      <c r="N821" t="str">
        <f>IF(VALUE(M821)=0,"",VLOOKUP(VLOOKUP(M821,Tbl_Effect[],3,FALSE),EffectName[],IFERROR(MATCH(UI!$B$1,EffectName[#Headers],0),2),FALSE))</f>
        <v/>
      </c>
      <c r="O821" t="str">
        <f t="shared" si="86"/>
        <v/>
      </c>
      <c r="P821">
        <v>0</v>
      </c>
      <c r="Q821" t="str">
        <f>IF(VALUE(P821)=0,"",VLOOKUP(VLOOKUP(P821,Tbl_Effect[],3,FALSE),EffectName[],IFERROR(MATCH(UI!$B$1,EffectName[#Headers],0),2),FALSE))</f>
        <v/>
      </c>
      <c r="R821" t="str">
        <f t="shared" si="87"/>
        <v/>
      </c>
      <c r="S821">
        <v>0</v>
      </c>
      <c r="T821" t="str">
        <f>IF(VALUE(S821)=0,"",VLOOKUP(VLOOKUP(S821,Tbl_Effect[],3,FALSE),EffectName[],IFERROR(MATCH(UI!$B$1,EffectName[#Headers],0),2),FALSE))</f>
        <v/>
      </c>
      <c r="U821" t="str">
        <f t="shared" si="88"/>
        <v/>
      </c>
      <c r="V821">
        <v>0</v>
      </c>
      <c r="W821" t="str">
        <f>IF(V821&lt;&gt;0,VLOOKUP(VLOOKUP(V821,Tbl_Effect[],3,FALSE),EffectName[],IFERROR(MATCH(UI!$B$1,EffectName[#Headers],0),2),FALSE),"")</f>
        <v/>
      </c>
      <c r="X821" t="str">
        <f t="shared" si="89"/>
        <v/>
      </c>
      <c r="Y821">
        <v>0</v>
      </c>
      <c r="Z821" t="str">
        <f>IF(Y821&lt;&gt;0,VLOOKUP(VLOOKUP(Y821,Tbl_Effect[],3,FALSE),EffectName[],IFERROR(MATCH(UI!$B$1,EffectName[#Headers],0),2),FALSE),"")</f>
        <v/>
      </c>
      <c r="AA821" t="str">
        <f t="shared" si="90"/>
        <v/>
      </c>
      <c r="AB821">
        <v>0</v>
      </c>
      <c r="AC821" t="str">
        <f>IF(AB821&lt;&gt;0,VLOOKUP(VLOOKUP(AB821,Tbl_Effect[],3,FALSE),EffectName[],IFERROR(MATCH(UI!$B$1,EffectName[#Headers],0),2),FALSE),"")</f>
        <v/>
      </c>
    </row>
    <row r="822" spans="8:29" x14ac:dyDescent="0.4">
      <c r="H822" t="str">
        <f t="shared" si="84"/>
        <v>2013021-端正的火燃暗淡情景 (紅)</v>
      </c>
      <c r="I822">
        <v>2013021</v>
      </c>
      <c r="J822" t="str">
        <f>_xlfn.IFNA(IF(I822&lt;&gt;0,VLOOKUP(VLOOKUP(I822,Tbl_Equip[],2,FALSE),Tbl_Color[],IFERROR(MATCH(UI!$B$1,Tbl_Color[#Headers],0),2),FALSE),""),"Unset")</f>
        <v>紅</v>
      </c>
      <c r="K822" t="str">
        <f>_xlfn.IFNA(IF(I822&lt;&gt;0,VLOOKUP(I822,ItemText[],IFERROR(MATCH(UI!$B$1,ItemText[#Headers],0),2),FALSE),""),"Unset")</f>
        <v>端正的火燃暗淡情景</v>
      </c>
      <c r="L822" t="str">
        <f t="shared" si="85"/>
        <v/>
      </c>
      <c r="M822">
        <v>0</v>
      </c>
      <c r="N822" t="str">
        <f>IF(VALUE(M822)=0,"",VLOOKUP(VLOOKUP(M822,Tbl_Effect[],3,FALSE),EffectName[],IFERROR(MATCH(UI!$B$1,EffectName[#Headers],0),2),FALSE))</f>
        <v/>
      </c>
      <c r="O822" t="str">
        <f t="shared" si="86"/>
        <v/>
      </c>
      <c r="P822">
        <v>0</v>
      </c>
      <c r="Q822" t="str">
        <f>IF(VALUE(P822)=0,"",VLOOKUP(VLOOKUP(P822,Tbl_Effect[],3,FALSE),EffectName[],IFERROR(MATCH(UI!$B$1,EffectName[#Headers],0),2),FALSE))</f>
        <v/>
      </c>
      <c r="R822" t="str">
        <f t="shared" si="87"/>
        <v/>
      </c>
      <c r="S822">
        <v>0</v>
      </c>
      <c r="T822" t="str">
        <f>IF(VALUE(S822)=0,"",VLOOKUP(VLOOKUP(S822,Tbl_Effect[],3,FALSE),EffectName[],IFERROR(MATCH(UI!$B$1,EffectName[#Headers],0),2),FALSE))</f>
        <v/>
      </c>
      <c r="U822" t="str">
        <f t="shared" si="88"/>
        <v/>
      </c>
      <c r="V822">
        <v>0</v>
      </c>
      <c r="W822" t="str">
        <f>IF(V822&lt;&gt;0,VLOOKUP(VLOOKUP(V822,Tbl_Effect[],3,FALSE),EffectName[],IFERROR(MATCH(UI!$B$1,EffectName[#Headers],0),2),FALSE),"")</f>
        <v/>
      </c>
      <c r="X822" t="str">
        <f t="shared" si="89"/>
        <v/>
      </c>
      <c r="Y822">
        <v>0</v>
      </c>
      <c r="Z822" t="str">
        <f>IF(Y822&lt;&gt;0,VLOOKUP(VLOOKUP(Y822,Tbl_Effect[],3,FALSE),EffectName[],IFERROR(MATCH(UI!$B$1,EffectName[#Headers],0),2),FALSE),"")</f>
        <v/>
      </c>
      <c r="AA822" t="str">
        <f t="shared" si="90"/>
        <v/>
      </c>
      <c r="AB822">
        <v>0</v>
      </c>
      <c r="AC822" t="str">
        <f>IF(AB822&lt;&gt;0,VLOOKUP(VLOOKUP(AB822,Tbl_Effect[],3,FALSE),EffectName[],IFERROR(MATCH(UI!$B$1,EffectName[#Headers],0),2),FALSE),"")</f>
        <v/>
      </c>
    </row>
    <row r="823" spans="8:29" x14ac:dyDescent="0.4">
      <c r="H823" t="str">
        <f t="shared" si="84"/>
        <v>2013022-遼闊的火燃暗淡情景 (紅)</v>
      </c>
      <c r="I823">
        <v>2013022</v>
      </c>
      <c r="J823" t="str">
        <f>_xlfn.IFNA(IF(I823&lt;&gt;0,VLOOKUP(VLOOKUP(I823,Tbl_Equip[],2,FALSE),Tbl_Color[],IFERROR(MATCH(UI!$B$1,Tbl_Color[#Headers],0),2),FALSE),""),"Unset")</f>
        <v>紅</v>
      </c>
      <c r="K823" t="str">
        <f>_xlfn.IFNA(IF(I823&lt;&gt;0,VLOOKUP(I823,ItemText[],IFERROR(MATCH(UI!$B$1,ItemText[#Headers],0),2),FALSE),""),"Unset")</f>
        <v>遼闊的火燃暗淡情景</v>
      </c>
      <c r="L823" t="str">
        <f t="shared" si="85"/>
        <v/>
      </c>
      <c r="M823">
        <v>0</v>
      </c>
      <c r="N823" t="str">
        <f>IF(VALUE(M823)=0,"",VLOOKUP(VLOOKUP(M823,Tbl_Effect[],3,FALSE),EffectName[],IFERROR(MATCH(UI!$B$1,EffectName[#Headers],0),2),FALSE))</f>
        <v/>
      </c>
      <c r="O823" t="str">
        <f t="shared" si="86"/>
        <v/>
      </c>
      <c r="P823">
        <v>0</v>
      </c>
      <c r="Q823" t="str">
        <f>IF(VALUE(P823)=0,"",VLOOKUP(VLOOKUP(P823,Tbl_Effect[],3,FALSE),EffectName[],IFERROR(MATCH(UI!$B$1,EffectName[#Headers],0),2),FALSE))</f>
        <v/>
      </c>
      <c r="R823" t="str">
        <f t="shared" si="87"/>
        <v/>
      </c>
      <c r="S823">
        <v>0</v>
      </c>
      <c r="T823" t="str">
        <f>IF(VALUE(S823)=0,"",VLOOKUP(VLOOKUP(S823,Tbl_Effect[],3,FALSE),EffectName[],IFERROR(MATCH(UI!$B$1,EffectName[#Headers],0),2),FALSE))</f>
        <v/>
      </c>
      <c r="U823" t="str">
        <f t="shared" si="88"/>
        <v/>
      </c>
      <c r="V823">
        <v>0</v>
      </c>
      <c r="W823" t="str">
        <f>IF(V823&lt;&gt;0,VLOOKUP(VLOOKUP(V823,Tbl_Effect[],3,FALSE),EffectName[],IFERROR(MATCH(UI!$B$1,EffectName[#Headers],0),2),FALSE),"")</f>
        <v/>
      </c>
      <c r="X823" t="str">
        <f t="shared" si="89"/>
        <v/>
      </c>
      <c r="Y823">
        <v>0</v>
      </c>
      <c r="Z823" t="str">
        <f>IF(Y823&lt;&gt;0,VLOOKUP(VLOOKUP(Y823,Tbl_Effect[],3,FALSE),EffectName[],IFERROR(MATCH(UI!$B$1,EffectName[#Headers],0),2),FALSE),"")</f>
        <v/>
      </c>
      <c r="AA823" t="str">
        <f t="shared" si="90"/>
        <v/>
      </c>
      <c r="AB823">
        <v>0</v>
      </c>
      <c r="AC823" t="str">
        <f>IF(AB823&lt;&gt;0,VLOOKUP(VLOOKUP(AB823,Tbl_Effect[],3,FALSE),EffectName[],IFERROR(MATCH(UI!$B$1,EffectName[#Headers],0),2),FALSE),"")</f>
        <v/>
      </c>
    </row>
    <row r="824" spans="8:29" x14ac:dyDescent="0.4">
      <c r="H824" t="str">
        <f t="shared" si="84"/>
        <v>2013100-細膩的水滴暗淡情景 (藍)</v>
      </c>
      <c r="I824">
        <v>2013100</v>
      </c>
      <c r="J824" t="str">
        <f>_xlfn.IFNA(IF(I824&lt;&gt;0,VLOOKUP(VLOOKUP(I824,Tbl_Equip[],2,FALSE),Tbl_Color[],IFERROR(MATCH(UI!$B$1,Tbl_Color[#Headers],0),2),FALSE),""),"Unset")</f>
        <v>藍</v>
      </c>
      <c r="K824" t="str">
        <f>_xlfn.IFNA(IF(I824&lt;&gt;0,VLOOKUP(I824,ItemText[],IFERROR(MATCH(UI!$B$1,ItemText[#Headers],0),2),FALSE),""),"Unset")</f>
        <v>細膩的水滴暗淡情景</v>
      </c>
      <c r="L824" t="str">
        <f t="shared" si="85"/>
        <v/>
      </c>
      <c r="M824">
        <v>0</v>
      </c>
      <c r="N824" t="str">
        <f>IF(VALUE(M824)=0,"",VLOOKUP(VLOOKUP(M824,Tbl_Effect[],3,FALSE),EffectName[],IFERROR(MATCH(UI!$B$1,EffectName[#Headers],0),2),FALSE))</f>
        <v/>
      </c>
      <c r="O824" t="str">
        <f t="shared" si="86"/>
        <v/>
      </c>
      <c r="P824">
        <v>0</v>
      </c>
      <c r="Q824" t="str">
        <f>IF(VALUE(P824)=0,"",VLOOKUP(VLOOKUP(P824,Tbl_Effect[],3,FALSE),EffectName[],IFERROR(MATCH(UI!$B$1,EffectName[#Headers],0),2),FALSE))</f>
        <v/>
      </c>
      <c r="R824" t="str">
        <f t="shared" si="87"/>
        <v/>
      </c>
      <c r="S824">
        <v>0</v>
      </c>
      <c r="T824" t="str">
        <f>IF(VALUE(S824)=0,"",VLOOKUP(VLOOKUP(S824,Tbl_Effect[],3,FALSE),EffectName[],IFERROR(MATCH(UI!$B$1,EffectName[#Headers],0),2),FALSE))</f>
        <v/>
      </c>
      <c r="U824" t="str">
        <f t="shared" si="88"/>
        <v/>
      </c>
      <c r="V824">
        <v>0</v>
      </c>
      <c r="W824" t="str">
        <f>IF(V824&lt;&gt;0,VLOOKUP(VLOOKUP(V824,Tbl_Effect[],3,FALSE),EffectName[],IFERROR(MATCH(UI!$B$1,EffectName[#Headers],0),2),FALSE),"")</f>
        <v/>
      </c>
      <c r="X824" t="str">
        <f t="shared" si="89"/>
        <v/>
      </c>
      <c r="Y824">
        <v>0</v>
      </c>
      <c r="Z824" t="str">
        <f>IF(Y824&lt;&gt;0,VLOOKUP(VLOOKUP(Y824,Tbl_Effect[],3,FALSE),EffectName[],IFERROR(MATCH(UI!$B$1,EffectName[#Headers],0),2),FALSE),"")</f>
        <v/>
      </c>
      <c r="AA824" t="str">
        <f t="shared" si="90"/>
        <v/>
      </c>
      <c r="AB824">
        <v>0</v>
      </c>
      <c r="AC824" t="str">
        <f>IF(AB824&lt;&gt;0,VLOOKUP(VLOOKUP(AB824,Tbl_Effect[],3,FALSE),EffectName[],IFERROR(MATCH(UI!$B$1,EffectName[#Headers],0),2),FALSE),"")</f>
        <v/>
      </c>
    </row>
    <row r="825" spans="8:29" x14ac:dyDescent="0.4">
      <c r="H825" t="str">
        <f t="shared" si="84"/>
        <v>2013101-端正的水滴暗淡情景 (藍)</v>
      </c>
      <c r="I825">
        <v>2013101</v>
      </c>
      <c r="J825" t="str">
        <f>_xlfn.IFNA(IF(I825&lt;&gt;0,VLOOKUP(VLOOKUP(I825,Tbl_Equip[],2,FALSE),Tbl_Color[],IFERROR(MATCH(UI!$B$1,Tbl_Color[#Headers],0),2),FALSE),""),"Unset")</f>
        <v>藍</v>
      </c>
      <c r="K825" t="str">
        <f>_xlfn.IFNA(IF(I825&lt;&gt;0,VLOOKUP(I825,ItemText[],IFERROR(MATCH(UI!$B$1,ItemText[#Headers],0),2),FALSE),""),"Unset")</f>
        <v>端正的水滴暗淡情景</v>
      </c>
      <c r="L825" t="str">
        <f t="shared" si="85"/>
        <v/>
      </c>
      <c r="M825">
        <v>0</v>
      </c>
      <c r="N825" t="str">
        <f>IF(VALUE(M825)=0,"",VLOOKUP(VLOOKUP(M825,Tbl_Effect[],3,FALSE),EffectName[],IFERROR(MATCH(UI!$B$1,EffectName[#Headers],0),2),FALSE))</f>
        <v/>
      </c>
      <c r="O825" t="str">
        <f t="shared" si="86"/>
        <v/>
      </c>
      <c r="P825">
        <v>0</v>
      </c>
      <c r="Q825" t="str">
        <f>IF(VALUE(P825)=0,"",VLOOKUP(VLOOKUP(P825,Tbl_Effect[],3,FALSE),EffectName[],IFERROR(MATCH(UI!$B$1,EffectName[#Headers],0),2),FALSE))</f>
        <v/>
      </c>
      <c r="R825" t="str">
        <f t="shared" si="87"/>
        <v/>
      </c>
      <c r="S825">
        <v>0</v>
      </c>
      <c r="T825" t="str">
        <f>IF(VALUE(S825)=0,"",VLOOKUP(VLOOKUP(S825,Tbl_Effect[],3,FALSE),EffectName[],IFERROR(MATCH(UI!$B$1,EffectName[#Headers],0),2),FALSE))</f>
        <v/>
      </c>
      <c r="U825" t="str">
        <f t="shared" si="88"/>
        <v/>
      </c>
      <c r="V825">
        <v>0</v>
      </c>
      <c r="W825" t="str">
        <f>IF(V825&lt;&gt;0,VLOOKUP(VLOOKUP(V825,Tbl_Effect[],3,FALSE),EffectName[],IFERROR(MATCH(UI!$B$1,EffectName[#Headers],0),2),FALSE),"")</f>
        <v/>
      </c>
      <c r="X825" t="str">
        <f t="shared" si="89"/>
        <v/>
      </c>
      <c r="Y825">
        <v>0</v>
      </c>
      <c r="Z825" t="str">
        <f>IF(Y825&lt;&gt;0,VLOOKUP(VLOOKUP(Y825,Tbl_Effect[],3,FALSE),EffectName[],IFERROR(MATCH(UI!$B$1,EffectName[#Headers],0),2),FALSE),"")</f>
        <v/>
      </c>
      <c r="AA825" t="str">
        <f t="shared" si="90"/>
        <v/>
      </c>
      <c r="AB825">
        <v>0</v>
      </c>
      <c r="AC825" t="str">
        <f>IF(AB825&lt;&gt;0,VLOOKUP(VLOOKUP(AB825,Tbl_Effect[],3,FALSE),EffectName[],IFERROR(MATCH(UI!$B$1,EffectName[#Headers],0),2),FALSE),"")</f>
        <v/>
      </c>
    </row>
    <row r="826" spans="8:29" x14ac:dyDescent="0.4">
      <c r="H826" t="str">
        <f t="shared" si="84"/>
        <v>2013102-遼闊的水滴暗淡情景 (藍)</v>
      </c>
      <c r="I826">
        <v>2013102</v>
      </c>
      <c r="J826" t="str">
        <f>_xlfn.IFNA(IF(I826&lt;&gt;0,VLOOKUP(VLOOKUP(I826,Tbl_Equip[],2,FALSE),Tbl_Color[],IFERROR(MATCH(UI!$B$1,Tbl_Color[#Headers],0),2),FALSE),""),"Unset")</f>
        <v>藍</v>
      </c>
      <c r="K826" t="str">
        <f>_xlfn.IFNA(IF(I826&lt;&gt;0,VLOOKUP(I826,ItemText[],IFERROR(MATCH(UI!$B$1,ItemText[#Headers],0),2),FALSE),""),"Unset")</f>
        <v>遼闊的水滴暗淡情景</v>
      </c>
      <c r="L826" t="str">
        <f t="shared" si="85"/>
        <v/>
      </c>
      <c r="M826">
        <v>0</v>
      </c>
      <c r="N826" t="str">
        <f>IF(VALUE(M826)=0,"",VLOOKUP(VLOOKUP(M826,Tbl_Effect[],3,FALSE),EffectName[],IFERROR(MATCH(UI!$B$1,EffectName[#Headers],0),2),FALSE))</f>
        <v/>
      </c>
      <c r="O826" t="str">
        <f t="shared" si="86"/>
        <v/>
      </c>
      <c r="P826">
        <v>0</v>
      </c>
      <c r="Q826" t="str">
        <f>IF(VALUE(P826)=0,"",VLOOKUP(VLOOKUP(P826,Tbl_Effect[],3,FALSE),EffectName[],IFERROR(MATCH(UI!$B$1,EffectName[#Headers],0),2),FALSE))</f>
        <v/>
      </c>
      <c r="R826" t="str">
        <f t="shared" si="87"/>
        <v/>
      </c>
      <c r="S826">
        <v>0</v>
      </c>
      <c r="T826" t="str">
        <f>IF(VALUE(S826)=0,"",VLOOKUP(VLOOKUP(S826,Tbl_Effect[],3,FALSE),EffectName[],IFERROR(MATCH(UI!$B$1,EffectName[#Headers],0),2),FALSE))</f>
        <v/>
      </c>
      <c r="U826" t="str">
        <f t="shared" si="88"/>
        <v/>
      </c>
      <c r="V826">
        <v>0</v>
      </c>
      <c r="W826" t="str">
        <f>IF(V826&lt;&gt;0,VLOOKUP(VLOOKUP(V826,Tbl_Effect[],3,FALSE),EffectName[],IFERROR(MATCH(UI!$B$1,EffectName[#Headers],0),2),FALSE),"")</f>
        <v/>
      </c>
      <c r="X826" t="str">
        <f t="shared" si="89"/>
        <v/>
      </c>
      <c r="Y826">
        <v>0</v>
      </c>
      <c r="Z826" t="str">
        <f>IF(Y826&lt;&gt;0,VLOOKUP(VLOOKUP(Y826,Tbl_Effect[],3,FALSE),EffectName[],IFERROR(MATCH(UI!$B$1,EffectName[#Headers],0),2),FALSE),"")</f>
        <v/>
      </c>
      <c r="AA826" t="str">
        <f t="shared" si="90"/>
        <v/>
      </c>
      <c r="AB826">
        <v>0</v>
      </c>
      <c r="AC826" t="str">
        <f>IF(AB826&lt;&gt;0,VLOOKUP(VLOOKUP(AB826,Tbl_Effect[],3,FALSE),EffectName[],IFERROR(MATCH(UI!$B$1,EffectName[#Headers],0),2),FALSE),"")</f>
        <v/>
      </c>
    </row>
    <row r="827" spans="8:29" x14ac:dyDescent="0.4">
      <c r="H827" t="str">
        <f t="shared" si="84"/>
        <v>2013110-細膩的水滴暗淡情景 (藍)</v>
      </c>
      <c r="I827">
        <v>2013110</v>
      </c>
      <c r="J827" t="str">
        <f>_xlfn.IFNA(IF(I827&lt;&gt;0,VLOOKUP(VLOOKUP(I827,Tbl_Equip[],2,FALSE),Tbl_Color[],IFERROR(MATCH(UI!$B$1,Tbl_Color[#Headers],0),2),FALSE),""),"Unset")</f>
        <v>藍</v>
      </c>
      <c r="K827" t="str">
        <f>_xlfn.IFNA(IF(I827&lt;&gt;0,VLOOKUP(I827,ItemText[],IFERROR(MATCH(UI!$B$1,ItemText[#Headers],0),2),FALSE),""),"Unset")</f>
        <v>細膩的水滴暗淡情景</v>
      </c>
      <c r="L827" t="str">
        <f t="shared" si="85"/>
        <v/>
      </c>
      <c r="M827">
        <v>0</v>
      </c>
      <c r="N827" t="str">
        <f>IF(VALUE(M827)=0,"",VLOOKUP(VLOOKUP(M827,Tbl_Effect[],3,FALSE),EffectName[],IFERROR(MATCH(UI!$B$1,EffectName[#Headers],0),2),FALSE))</f>
        <v/>
      </c>
      <c r="O827" t="str">
        <f t="shared" si="86"/>
        <v/>
      </c>
      <c r="P827">
        <v>0</v>
      </c>
      <c r="Q827" t="str">
        <f>IF(VALUE(P827)=0,"",VLOOKUP(VLOOKUP(P827,Tbl_Effect[],3,FALSE),EffectName[],IFERROR(MATCH(UI!$B$1,EffectName[#Headers],0),2),FALSE))</f>
        <v/>
      </c>
      <c r="R827" t="str">
        <f t="shared" si="87"/>
        <v/>
      </c>
      <c r="S827">
        <v>0</v>
      </c>
      <c r="T827" t="str">
        <f>IF(VALUE(S827)=0,"",VLOOKUP(VLOOKUP(S827,Tbl_Effect[],3,FALSE),EffectName[],IFERROR(MATCH(UI!$B$1,EffectName[#Headers],0),2),FALSE))</f>
        <v/>
      </c>
      <c r="U827" t="str">
        <f t="shared" si="88"/>
        <v/>
      </c>
      <c r="V827">
        <v>0</v>
      </c>
      <c r="W827" t="str">
        <f>IF(V827&lt;&gt;0,VLOOKUP(VLOOKUP(V827,Tbl_Effect[],3,FALSE),EffectName[],IFERROR(MATCH(UI!$B$1,EffectName[#Headers],0),2),FALSE),"")</f>
        <v/>
      </c>
      <c r="X827" t="str">
        <f t="shared" si="89"/>
        <v/>
      </c>
      <c r="Y827">
        <v>0</v>
      </c>
      <c r="Z827" t="str">
        <f>IF(Y827&lt;&gt;0,VLOOKUP(VLOOKUP(Y827,Tbl_Effect[],3,FALSE),EffectName[],IFERROR(MATCH(UI!$B$1,EffectName[#Headers],0),2),FALSE),"")</f>
        <v/>
      </c>
      <c r="AA827" t="str">
        <f t="shared" si="90"/>
        <v/>
      </c>
      <c r="AB827">
        <v>0</v>
      </c>
      <c r="AC827" t="str">
        <f>IF(AB827&lt;&gt;0,VLOOKUP(VLOOKUP(AB827,Tbl_Effect[],3,FALSE),EffectName[],IFERROR(MATCH(UI!$B$1,EffectName[#Headers],0),2),FALSE),"")</f>
        <v/>
      </c>
    </row>
    <row r="828" spans="8:29" x14ac:dyDescent="0.4">
      <c r="H828" t="str">
        <f t="shared" si="84"/>
        <v>2013111-端正的水滴暗淡情景 (藍)</v>
      </c>
      <c r="I828">
        <v>2013111</v>
      </c>
      <c r="J828" t="str">
        <f>_xlfn.IFNA(IF(I828&lt;&gt;0,VLOOKUP(VLOOKUP(I828,Tbl_Equip[],2,FALSE),Tbl_Color[],IFERROR(MATCH(UI!$B$1,Tbl_Color[#Headers],0),2),FALSE),""),"Unset")</f>
        <v>藍</v>
      </c>
      <c r="K828" t="str">
        <f>_xlfn.IFNA(IF(I828&lt;&gt;0,VLOOKUP(I828,ItemText[],IFERROR(MATCH(UI!$B$1,ItemText[#Headers],0),2),FALSE),""),"Unset")</f>
        <v>端正的水滴暗淡情景</v>
      </c>
      <c r="L828" t="str">
        <f t="shared" si="85"/>
        <v/>
      </c>
      <c r="M828">
        <v>0</v>
      </c>
      <c r="N828" t="str">
        <f>IF(VALUE(M828)=0,"",VLOOKUP(VLOOKUP(M828,Tbl_Effect[],3,FALSE),EffectName[],IFERROR(MATCH(UI!$B$1,EffectName[#Headers],0),2),FALSE))</f>
        <v/>
      </c>
      <c r="O828" t="str">
        <f t="shared" si="86"/>
        <v/>
      </c>
      <c r="P828">
        <v>0</v>
      </c>
      <c r="Q828" t="str">
        <f>IF(VALUE(P828)=0,"",VLOOKUP(VLOOKUP(P828,Tbl_Effect[],3,FALSE),EffectName[],IFERROR(MATCH(UI!$B$1,EffectName[#Headers],0),2),FALSE))</f>
        <v/>
      </c>
      <c r="R828" t="str">
        <f t="shared" si="87"/>
        <v/>
      </c>
      <c r="S828">
        <v>0</v>
      </c>
      <c r="T828" t="str">
        <f>IF(VALUE(S828)=0,"",VLOOKUP(VLOOKUP(S828,Tbl_Effect[],3,FALSE),EffectName[],IFERROR(MATCH(UI!$B$1,EffectName[#Headers],0),2),FALSE))</f>
        <v/>
      </c>
      <c r="U828" t="str">
        <f t="shared" si="88"/>
        <v/>
      </c>
      <c r="V828">
        <v>0</v>
      </c>
      <c r="W828" t="str">
        <f>IF(V828&lt;&gt;0,VLOOKUP(VLOOKUP(V828,Tbl_Effect[],3,FALSE),EffectName[],IFERROR(MATCH(UI!$B$1,EffectName[#Headers],0),2),FALSE),"")</f>
        <v/>
      </c>
      <c r="X828" t="str">
        <f t="shared" si="89"/>
        <v/>
      </c>
      <c r="Y828">
        <v>0</v>
      </c>
      <c r="Z828" t="str">
        <f>IF(Y828&lt;&gt;0,VLOOKUP(VLOOKUP(Y828,Tbl_Effect[],3,FALSE),EffectName[],IFERROR(MATCH(UI!$B$1,EffectName[#Headers],0),2),FALSE),"")</f>
        <v/>
      </c>
      <c r="AA828" t="str">
        <f t="shared" si="90"/>
        <v/>
      </c>
      <c r="AB828">
        <v>0</v>
      </c>
      <c r="AC828" t="str">
        <f>IF(AB828&lt;&gt;0,VLOOKUP(VLOOKUP(AB828,Tbl_Effect[],3,FALSE),EffectName[],IFERROR(MATCH(UI!$B$1,EffectName[#Headers],0),2),FALSE),"")</f>
        <v/>
      </c>
    </row>
    <row r="829" spans="8:29" x14ac:dyDescent="0.4">
      <c r="H829" t="str">
        <f t="shared" si="84"/>
        <v>2013112-遼闊的水滴暗淡情景 (藍)</v>
      </c>
      <c r="I829">
        <v>2013112</v>
      </c>
      <c r="J829" t="str">
        <f>_xlfn.IFNA(IF(I829&lt;&gt;0,VLOOKUP(VLOOKUP(I829,Tbl_Equip[],2,FALSE),Tbl_Color[],IFERROR(MATCH(UI!$B$1,Tbl_Color[#Headers],0),2),FALSE),""),"Unset")</f>
        <v>藍</v>
      </c>
      <c r="K829" t="str">
        <f>_xlfn.IFNA(IF(I829&lt;&gt;0,VLOOKUP(I829,ItemText[],IFERROR(MATCH(UI!$B$1,ItemText[#Headers],0),2),FALSE),""),"Unset")</f>
        <v>遼闊的水滴暗淡情景</v>
      </c>
      <c r="L829" t="str">
        <f t="shared" si="85"/>
        <v/>
      </c>
      <c r="M829">
        <v>0</v>
      </c>
      <c r="N829" t="str">
        <f>IF(VALUE(M829)=0,"",VLOOKUP(VLOOKUP(M829,Tbl_Effect[],3,FALSE),EffectName[],IFERROR(MATCH(UI!$B$1,EffectName[#Headers],0),2),FALSE))</f>
        <v/>
      </c>
      <c r="O829" t="str">
        <f t="shared" si="86"/>
        <v/>
      </c>
      <c r="P829">
        <v>0</v>
      </c>
      <c r="Q829" t="str">
        <f>IF(VALUE(P829)=0,"",VLOOKUP(VLOOKUP(P829,Tbl_Effect[],3,FALSE),EffectName[],IFERROR(MATCH(UI!$B$1,EffectName[#Headers],0),2),FALSE))</f>
        <v/>
      </c>
      <c r="R829" t="str">
        <f t="shared" si="87"/>
        <v/>
      </c>
      <c r="S829">
        <v>0</v>
      </c>
      <c r="T829" t="str">
        <f>IF(VALUE(S829)=0,"",VLOOKUP(VLOOKUP(S829,Tbl_Effect[],3,FALSE),EffectName[],IFERROR(MATCH(UI!$B$1,EffectName[#Headers],0),2),FALSE))</f>
        <v/>
      </c>
      <c r="U829" t="str">
        <f t="shared" si="88"/>
        <v/>
      </c>
      <c r="V829">
        <v>0</v>
      </c>
      <c r="W829" t="str">
        <f>IF(V829&lt;&gt;0,VLOOKUP(VLOOKUP(V829,Tbl_Effect[],3,FALSE),EffectName[],IFERROR(MATCH(UI!$B$1,EffectName[#Headers],0),2),FALSE),"")</f>
        <v/>
      </c>
      <c r="X829" t="str">
        <f t="shared" si="89"/>
        <v/>
      </c>
      <c r="Y829">
        <v>0</v>
      </c>
      <c r="Z829" t="str">
        <f>IF(Y829&lt;&gt;0,VLOOKUP(VLOOKUP(Y829,Tbl_Effect[],3,FALSE),EffectName[],IFERROR(MATCH(UI!$B$1,EffectName[#Headers],0),2),FALSE),"")</f>
        <v/>
      </c>
      <c r="AA829" t="str">
        <f t="shared" si="90"/>
        <v/>
      </c>
      <c r="AB829">
        <v>0</v>
      </c>
      <c r="AC829" t="str">
        <f>IF(AB829&lt;&gt;0,VLOOKUP(VLOOKUP(AB829,Tbl_Effect[],3,FALSE),EffectName[],IFERROR(MATCH(UI!$B$1,EffectName[#Headers],0),2),FALSE),"")</f>
        <v/>
      </c>
    </row>
    <row r="830" spans="8:29" x14ac:dyDescent="0.4">
      <c r="H830" t="str">
        <f t="shared" si="84"/>
        <v>2013120-細膩的水滴暗淡情景 (藍)</v>
      </c>
      <c r="I830">
        <v>2013120</v>
      </c>
      <c r="J830" t="str">
        <f>_xlfn.IFNA(IF(I830&lt;&gt;0,VLOOKUP(VLOOKUP(I830,Tbl_Equip[],2,FALSE),Tbl_Color[],IFERROR(MATCH(UI!$B$1,Tbl_Color[#Headers],0),2),FALSE),""),"Unset")</f>
        <v>藍</v>
      </c>
      <c r="K830" t="str">
        <f>_xlfn.IFNA(IF(I830&lt;&gt;0,VLOOKUP(I830,ItemText[],IFERROR(MATCH(UI!$B$1,ItemText[#Headers],0),2),FALSE),""),"Unset")</f>
        <v>細膩的水滴暗淡情景</v>
      </c>
      <c r="L830" t="str">
        <f t="shared" si="85"/>
        <v/>
      </c>
      <c r="M830">
        <v>0</v>
      </c>
      <c r="N830" t="str">
        <f>IF(VALUE(M830)=0,"",VLOOKUP(VLOOKUP(M830,Tbl_Effect[],3,FALSE),EffectName[],IFERROR(MATCH(UI!$B$1,EffectName[#Headers],0),2),FALSE))</f>
        <v/>
      </c>
      <c r="O830" t="str">
        <f t="shared" si="86"/>
        <v/>
      </c>
      <c r="P830">
        <v>0</v>
      </c>
      <c r="Q830" t="str">
        <f>IF(VALUE(P830)=0,"",VLOOKUP(VLOOKUP(P830,Tbl_Effect[],3,FALSE),EffectName[],IFERROR(MATCH(UI!$B$1,EffectName[#Headers],0),2),FALSE))</f>
        <v/>
      </c>
      <c r="R830" t="str">
        <f t="shared" si="87"/>
        <v/>
      </c>
      <c r="S830">
        <v>0</v>
      </c>
      <c r="T830" t="str">
        <f>IF(VALUE(S830)=0,"",VLOOKUP(VLOOKUP(S830,Tbl_Effect[],3,FALSE),EffectName[],IFERROR(MATCH(UI!$B$1,EffectName[#Headers],0),2),FALSE))</f>
        <v/>
      </c>
      <c r="U830" t="str">
        <f t="shared" si="88"/>
        <v/>
      </c>
      <c r="V830">
        <v>0</v>
      </c>
      <c r="W830" t="str">
        <f>IF(V830&lt;&gt;0,VLOOKUP(VLOOKUP(V830,Tbl_Effect[],3,FALSE),EffectName[],IFERROR(MATCH(UI!$B$1,EffectName[#Headers],0),2),FALSE),"")</f>
        <v/>
      </c>
      <c r="X830" t="str">
        <f t="shared" si="89"/>
        <v/>
      </c>
      <c r="Y830">
        <v>0</v>
      </c>
      <c r="Z830" t="str">
        <f>IF(Y830&lt;&gt;0,VLOOKUP(VLOOKUP(Y830,Tbl_Effect[],3,FALSE),EffectName[],IFERROR(MATCH(UI!$B$1,EffectName[#Headers],0),2),FALSE),"")</f>
        <v/>
      </c>
      <c r="AA830" t="str">
        <f t="shared" si="90"/>
        <v/>
      </c>
      <c r="AB830">
        <v>0</v>
      </c>
      <c r="AC830" t="str">
        <f>IF(AB830&lt;&gt;0,VLOOKUP(VLOOKUP(AB830,Tbl_Effect[],3,FALSE),EffectName[],IFERROR(MATCH(UI!$B$1,EffectName[#Headers],0),2),FALSE),"")</f>
        <v/>
      </c>
    </row>
    <row r="831" spans="8:29" x14ac:dyDescent="0.4">
      <c r="H831" t="str">
        <f t="shared" si="84"/>
        <v>2013121-端正的水滴暗淡情景 (藍)</v>
      </c>
      <c r="I831">
        <v>2013121</v>
      </c>
      <c r="J831" t="str">
        <f>_xlfn.IFNA(IF(I831&lt;&gt;0,VLOOKUP(VLOOKUP(I831,Tbl_Equip[],2,FALSE),Tbl_Color[],IFERROR(MATCH(UI!$B$1,Tbl_Color[#Headers],0),2),FALSE),""),"Unset")</f>
        <v>藍</v>
      </c>
      <c r="K831" t="str">
        <f>_xlfn.IFNA(IF(I831&lt;&gt;0,VLOOKUP(I831,ItemText[],IFERROR(MATCH(UI!$B$1,ItemText[#Headers],0),2),FALSE),""),"Unset")</f>
        <v>端正的水滴暗淡情景</v>
      </c>
      <c r="L831" t="str">
        <f t="shared" si="85"/>
        <v/>
      </c>
      <c r="M831">
        <v>0</v>
      </c>
      <c r="N831" t="str">
        <f>IF(VALUE(M831)=0,"",VLOOKUP(VLOOKUP(M831,Tbl_Effect[],3,FALSE),EffectName[],IFERROR(MATCH(UI!$B$1,EffectName[#Headers],0),2),FALSE))</f>
        <v/>
      </c>
      <c r="O831" t="str">
        <f t="shared" si="86"/>
        <v/>
      </c>
      <c r="P831">
        <v>0</v>
      </c>
      <c r="Q831" t="str">
        <f>IF(VALUE(P831)=0,"",VLOOKUP(VLOOKUP(P831,Tbl_Effect[],3,FALSE),EffectName[],IFERROR(MATCH(UI!$B$1,EffectName[#Headers],0),2),FALSE))</f>
        <v/>
      </c>
      <c r="R831" t="str">
        <f t="shared" si="87"/>
        <v/>
      </c>
      <c r="S831">
        <v>0</v>
      </c>
      <c r="T831" t="str">
        <f>IF(VALUE(S831)=0,"",VLOOKUP(VLOOKUP(S831,Tbl_Effect[],3,FALSE),EffectName[],IFERROR(MATCH(UI!$B$1,EffectName[#Headers],0),2),FALSE))</f>
        <v/>
      </c>
      <c r="U831" t="str">
        <f t="shared" si="88"/>
        <v/>
      </c>
      <c r="V831">
        <v>0</v>
      </c>
      <c r="W831" t="str">
        <f>IF(V831&lt;&gt;0,VLOOKUP(VLOOKUP(V831,Tbl_Effect[],3,FALSE),EffectName[],IFERROR(MATCH(UI!$B$1,EffectName[#Headers],0),2),FALSE),"")</f>
        <v/>
      </c>
      <c r="X831" t="str">
        <f t="shared" si="89"/>
        <v/>
      </c>
      <c r="Y831">
        <v>0</v>
      </c>
      <c r="Z831" t="str">
        <f>IF(Y831&lt;&gt;0,VLOOKUP(VLOOKUP(Y831,Tbl_Effect[],3,FALSE),EffectName[],IFERROR(MATCH(UI!$B$1,EffectName[#Headers],0),2),FALSE),"")</f>
        <v/>
      </c>
      <c r="AA831" t="str">
        <f t="shared" si="90"/>
        <v/>
      </c>
      <c r="AB831">
        <v>0</v>
      </c>
      <c r="AC831" t="str">
        <f>IF(AB831&lt;&gt;0,VLOOKUP(VLOOKUP(AB831,Tbl_Effect[],3,FALSE),EffectName[],IFERROR(MATCH(UI!$B$1,EffectName[#Headers],0),2),FALSE),"")</f>
        <v/>
      </c>
    </row>
    <row r="832" spans="8:29" x14ac:dyDescent="0.4">
      <c r="H832" t="str">
        <f t="shared" si="84"/>
        <v>2013122-遼闊的水滴暗淡情景 (藍)</v>
      </c>
      <c r="I832">
        <v>2013122</v>
      </c>
      <c r="J832" t="str">
        <f>_xlfn.IFNA(IF(I832&lt;&gt;0,VLOOKUP(VLOOKUP(I832,Tbl_Equip[],2,FALSE),Tbl_Color[],IFERROR(MATCH(UI!$B$1,Tbl_Color[#Headers],0),2),FALSE),""),"Unset")</f>
        <v>藍</v>
      </c>
      <c r="K832" t="str">
        <f>_xlfn.IFNA(IF(I832&lt;&gt;0,VLOOKUP(I832,ItemText[],IFERROR(MATCH(UI!$B$1,ItemText[#Headers],0),2),FALSE),""),"Unset")</f>
        <v>遼闊的水滴暗淡情景</v>
      </c>
      <c r="L832" t="str">
        <f t="shared" si="85"/>
        <v/>
      </c>
      <c r="M832">
        <v>0</v>
      </c>
      <c r="N832" t="str">
        <f>IF(VALUE(M832)=0,"",VLOOKUP(VLOOKUP(M832,Tbl_Effect[],3,FALSE),EffectName[],IFERROR(MATCH(UI!$B$1,EffectName[#Headers],0),2),FALSE))</f>
        <v/>
      </c>
      <c r="O832" t="str">
        <f t="shared" si="86"/>
        <v/>
      </c>
      <c r="P832">
        <v>0</v>
      </c>
      <c r="Q832" t="str">
        <f>IF(VALUE(P832)=0,"",VLOOKUP(VLOOKUP(P832,Tbl_Effect[],3,FALSE),EffectName[],IFERROR(MATCH(UI!$B$1,EffectName[#Headers],0),2),FALSE))</f>
        <v/>
      </c>
      <c r="R832" t="str">
        <f t="shared" si="87"/>
        <v/>
      </c>
      <c r="S832">
        <v>0</v>
      </c>
      <c r="T832" t="str">
        <f>IF(VALUE(S832)=0,"",VLOOKUP(VLOOKUP(S832,Tbl_Effect[],3,FALSE),EffectName[],IFERROR(MATCH(UI!$B$1,EffectName[#Headers],0),2),FALSE))</f>
        <v/>
      </c>
      <c r="U832" t="str">
        <f t="shared" si="88"/>
        <v/>
      </c>
      <c r="V832">
        <v>0</v>
      </c>
      <c r="W832" t="str">
        <f>IF(V832&lt;&gt;0,VLOOKUP(VLOOKUP(V832,Tbl_Effect[],3,FALSE),EffectName[],IFERROR(MATCH(UI!$B$1,EffectName[#Headers],0),2),FALSE),"")</f>
        <v/>
      </c>
      <c r="X832" t="str">
        <f t="shared" si="89"/>
        <v/>
      </c>
      <c r="Y832">
        <v>0</v>
      </c>
      <c r="Z832" t="str">
        <f>IF(Y832&lt;&gt;0,VLOOKUP(VLOOKUP(Y832,Tbl_Effect[],3,FALSE),EffectName[],IFERROR(MATCH(UI!$B$1,EffectName[#Headers],0),2),FALSE),"")</f>
        <v/>
      </c>
      <c r="AA832" t="str">
        <f t="shared" si="90"/>
        <v/>
      </c>
      <c r="AB832">
        <v>0</v>
      </c>
      <c r="AC832" t="str">
        <f>IF(AB832&lt;&gt;0,VLOOKUP(VLOOKUP(AB832,Tbl_Effect[],3,FALSE),EffectName[],IFERROR(MATCH(UI!$B$1,EffectName[#Headers],0),2),FALSE),"")</f>
        <v/>
      </c>
    </row>
    <row r="833" spans="8:29" x14ac:dyDescent="0.4">
      <c r="H833" t="str">
        <f t="shared" si="84"/>
        <v>2013200-細膩的光耀暗淡情景 (黃)</v>
      </c>
      <c r="I833">
        <v>2013200</v>
      </c>
      <c r="J833" t="str">
        <f>_xlfn.IFNA(IF(I833&lt;&gt;0,VLOOKUP(VLOOKUP(I833,Tbl_Equip[],2,FALSE),Tbl_Color[],IFERROR(MATCH(UI!$B$1,Tbl_Color[#Headers],0),2),FALSE),""),"Unset")</f>
        <v>黃</v>
      </c>
      <c r="K833" t="str">
        <f>_xlfn.IFNA(IF(I833&lt;&gt;0,VLOOKUP(I833,ItemText[],IFERROR(MATCH(UI!$B$1,ItemText[#Headers],0),2),FALSE),""),"Unset")</f>
        <v>細膩的光耀暗淡情景</v>
      </c>
      <c r="L833" t="str">
        <f t="shared" si="85"/>
        <v/>
      </c>
      <c r="M833">
        <v>0</v>
      </c>
      <c r="N833" t="str">
        <f>IF(VALUE(M833)=0,"",VLOOKUP(VLOOKUP(M833,Tbl_Effect[],3,FALSE),EffectName[],IFERROR(MATCH(UI!$B$1,EffectName[#Headers],0),2),FALSE))</f>
        <v/>
      </c>
      <c r="O833" t="str">
        <f t="shared" si="86"/>
        <v/>
      </c>
      <c r="P833">
        <v>0</v>
      </c>
      <c r="Q833" t="str">
        <f>IF(VALUE(P833)=0,"",VLOOKUP(VLOOKUP(P833,Tbl_Effect[],3,FALSE),EffectName[],IFERROR(MATCH(UI!$B$1,EffectName[#Headers],0),2),FALSE))</f>
        <v/>
      </c>
      <c r="R833" t="str">
        <f t="shared" si="87"/>
        <v/>
      </c>
      <c r="S833">
        <v>0</v>
      </c>
      <c r="T833" t="str">
        <f>IF(VALUE(S833)=0,"",VLOOKUP(VLOOKUP(S833,Tbl_Effect[],3,FALSE),EffectName[],IFERROR(MATCH(UI!$B$1,EffectName[#Headers],0),2),FALSE))</f>
        <v/>
      </c>
      <c r="U833" t="str">
        <f t="shared" si="88"/>
        <v/>
      </c>
      <c r="V833">
        <v>0</v>
      </c>
      <c r="W833" t="str">
        <f>IF(V833&lt;&gt;0,VLOOKUP(VLOOKUP(V833,Tbl_Effect[],3,FALSE),EffectName[],IFERROR(MATCH(UI!$B$1,EffectName[#Headers],0),2),FALSE),"")</f>
        <v/>
      </c>
      <c r="X833" t="str">
        <f t="shared" si="89"/>
        <v/>
      </c>
      <c r="Y833">
        <v>0</v>
      </c>
      <c r="Z833" t="str">
        <f>IF(Y833&lt;&gt;0,VLOOKUP(VLOOKUP(Y833,Tbl_Effect[],3,FALSE),EffectName[],IFERROR(MATCH(UI!$B$1,EffectName[#Headers],0),2),FALSE),"")</f>
        <v/>
      </c>
      <c r="AA833" t="str">
        <f t="shared" si="90"/>
        <v/>
      </c>
      <c r="AB833">
        <v>0</v>
      </c>
      <c r="AC833" t="str">
        <f>IF(AB833&lt;&gt;0,VLOOKUP(VLOOKUP(AB833,Tbl_Effect[],3,FALSE),EffectName[],IFERROR(MATCH(UI!$B$1,EffectName[#Headers],0),2),FALSE),"")</f>
        <v/>
      </c>
    </row>
    <row r="834" spans="8:29" x14ac:dyDescent="0.4">
      <c r="H834" t="str">
        <f t="shared" si="84"/>
        <v>2013201-端正的光耀暗淡情景 (黃)</v>
      </c>
      <c r="I834">
        <v>2013201</v>
      </c>
      <c r="J834" t="str">
        <f>_xlfn.IFNA(IF(I834&lt;&gt;0,VLOOKUP(VLOOKUP(I834,Tbl_Equip[],2,FALSE),Tbl_Color[],IFERROR(MATCH(UI!$B$1,Tbl_Color[#Headers],0),2),FALSE),""),"Unset")</f>
        <v>黃</v>
      </c>
      <c r="K834" t="str">
        <f>_xlfn.IFNA(IF(I834&lt;&gt;0,VLOOKUP(I834,ItemText[],IFERROR(MATCH(UI!$B$1,ItemText[#Headers],0),2),FALSE),""),"Unset")</f>
        <v>端正的光耀暗淡情景</v>
      </c>
      <c r="L834" t="str">
        <f t="shared" si="85"/>
        <v/>
      </c>
      <c r="M834">
        <v>0</v>
      </c>
      <c r="N834" t="str">
        <f>IF(VALUE(M834)=0,"",VLOOKUP(VLOOKUP(M834,Tbl_Effect[],3,FALSE),EffectName[],IFERROR(MATCH(UI!$B$1,EffectName[#Headers],0),2),FALSE))</f>
        <v/>
      </c>
      <c r="O834" t="str">
        <f t="shared" si="86"/>
        <v/>
      </c>
      <c r="P834">
        <v>0</v>
      </c>
      <c r="Q834" t="str">
        <f>IF(VALUE(P834)=0,"",VLOOKUP(VLOOKUP(P834,Tbl_Effect[],3,FALSE),EffectName[],IFERROR(MATCH(UI!$B$1,EffectName[#Headers],0),2),FALSE))</f>
        <v/>
      </c>
      <c r="R834" t="str">
        <f t="shared" si="87"/>
        <v/>
      </c>
      <c r="S834">
        <v>0</v>
      </c>
      <c r="T834" t="str">
        <f>IF(VALUE(S834)=0,"",VLOOKUP(VLOOKUP(S834,Tbl_Effect[],3,FALSE),EffectName[],IFERROR(MATCH(UI!$B$1,EffectName[#Headers],0),2),FALSE))</f>
        <v/>
      </c>
      <c r="U834" t="str">
        <f t="shared" si="88"/>
        <v/>
      </c>
      <c r="V834">
        <v>0</v>
      </c>
      <c r="W834" t="str">
        <f>IF(V834&lt;&gt;0,VLOOKUP(VLOOKUP(V834,Tbl_Effect[],3,FALSE),EffectName[],IFERROR(MATCH(UI!$B$1,EffectName[#Headers],0),2),FALSE),"")</f>
        <v/>
      </c>
      <c r="X834" t="str">
        <f t="shared" si="89"/>
        <v/>
      </c>
      <c r="Y834">
        <v>0</v>
      </c>
      <c r="Z834" t="str">
        <f>IF(Y834&lt;&gt;0,VLOOKUP(VLOOKUP(Y834,Tbl_Effect[],3,FALSE),EffectName[],IFERROR(MATCH(UI!$B$1,EffectName[#Headers],0),2),FALSE),"")</f>
        <v/>
      </c>
      <c r="AA834" t="str">
        <f t="shared" si="90"/>
        <v/>
      </c>
      <c r="AB834">
        <v>0</v>
      </c>
      <c r="AC834" t="str">
        <f>IF(AB834&lt;&gt;0,VLOOKUP(VLOOKUP(AB834,Tbl_Effect[],3,FALSE),EffectName[],IFERROR(MATCH(UI!$B$1,EffectName[#Headers],0),2),FALSE),"")</f>
        <v/>
      </c>
    </row>
    <row r="835" spans="8:29" x14ac:dyDescent="0.4">
      <c r="H835" t="str">
        <f t="shared" ref="H835:H898" si="91">IF(VALUE(I835)&lt;&gt;0,I835&amp;"-"&amp;K835&amp;" ("&amp;J835&amp;")","")</f>
        <v>2013202-遼闊的光耀暗淡情景 (黃)</v>
      </c>
      <c r="I835">
        <v>2013202</v>
      </c>
      <c r="J835" t="str">
        <f>_xlfn.IFNA(IF(I835&lt;&gt;0,VLOOKUP(VLOOKUP(I835,Tbl_Equip[],2,FALSE),Tbl_Color[],IFERROR(MATCH(UI!$B$1,Tbl_Color[#Headers],0),2),FALSE),""),"Unset")</f>
        <v>黃</v>
      </c>
      <c r="K835" t="str">
        <f>_xlfn.IFNA(IF(I835&lt;&gt;0,VLOOKUP(I835,ItemText[],IFERROR(MATCH(UI!$B$1,ItemText[#Headers],0),2),FALSE),""),"Unset")</f>
        <v>遼闊的光耀暗淡情景</v>
      </c>
      <c r="L835" t="str">
        <f t="shared" ref="L835:L898" si="92">IF(VALUE(M835)=0,"",M835&amp;"-"&amp;N835)</f>
        <v/>
      </c>
      <c r="M835">
        <v>0</v>
      </c>
      <c r="N835" t="str">
        <f>IF(VALUE(M835)=0,"",VLOOKUP(VLOOKUP(M835,Tbl_Effect[],3,FALSE),EffectName[],IFERROR(MATCH(UI!$B$1,EffectName[#Headers],0),2),FALSE))</f>
        <v/>
      </c>
      <c r="O835" t="str">
        <f t="shared" ref="O835:O898" si="93">IF(VALUE(P835)=0,"",P835&amp;"-"&amp;Q835)</f>
        <v/>
      </c>
      <c r="P835">
        <v>0</v>
      </c>
      <c r="Q835" t="str">
        <f>IF(VALUE(P835)=0,"",VLOOKUP(VLOOKUP(P835,Tbl_Effect[],3,FALSE),EffectName[],IFERROR(MATCH(UI!$B$1,EffectName[#Headers],0),2),FALSE))</f>
        <v/>
      </c>
      <c r="R835" t="str">
        <f t="shared" ref="R835:R898" si="94">IF(VALUE(S835)=0,"",S835&amp;"-"&amp;T835)</f>
        <v/>
      </c>
      <c r="S835">
        <v>0</v>
      </c>
      <c r="T835" t="str">
        <f>IF(VALUE(S835)=0,"",VLOOKUP(VLOOKUP(S835,Tbl_Effect[],3,FALSE),EffectName[],IFERROR(MATCH(UI!$B$1,EffectName[#Headers],0),2),FALSE))</f>
        <v/>
      </c>
      <c r="U835" t="str">
        <f t="shared" ref="U835:U898" si="95">IF(VALUE(V835)=0,"",V835&amp;"-"&amp;W835)</f>
        <v/>
      </c>
      <c r="V835">
        <v>0</v>
      </c>
      <c r="W835" t="str">
        <f>IF(V835&lt;&gt;0,VLOOKUP(VLOOKUP(V835,Tbl_Effect[],3,FALSE),EffectName[],IFERROR(MATCH(UI!$B$1,EffectName[#Headers],0),2),FALSE),"")</f>
        <v/>
      </c>
      <c r="X835" t="str">
        <f t="shared" ref="X835:X898" si="96">IF(VALUE(Y835)=0,"",Y835&amp;"-"&amp;Z835)</f>
        <v/>
      </c>
      <c r="Y835">
        <v>0</v>
      </c>
      <c r="Z835" t="str">
        <f>IF(Y835&lt;&gt;0,VLOOKUP(VLOOKUP(Y835,Tbl_Effect[],3,FALSE),EffectName[],IFERROR(MATCH(UI!$B$1,EffectName[#Headers],0),2),FALSE),"")</f>
        <v/>
      </c>
      <c r="AA835" t="str">
        <f t="shared" ref="AA835:AA898" si="97">IF(VALUE(AB835)=0,"",AB835&amp;"-"&amp;AC835)</f>
        <v/>
      </c>
      <c r="AB835">
        <v>0</v>
      </c>
      <c r="AC835" t="str">
        <f>IF(AB835&lt;&gt;0,VLOOKUP(VLOOKUP(AB835,Tbl_Effect[],3,FALSE),EffectName[],IFERROR(MATCH(UI!$B$1,EffectName[#Headers],0),2),FALSE),"")</f>
        <v/>
      </c>
    </row>
    <row r="836" spans="8:29" x14ac:dyDescent="0.4">
      <c r="H836" t="str">
        <f t="shared" si="91"/>
        <v>2013210-細膩的光耀暗淡情景 (黃)</v>
      </c>
      <c r="I836">
        <v>2013210</v>
      </c>
      <c r="J836" t="str">
        <f>_xlfn.IFNA(IF(I836&lt;&gt;0,VLOOKUP(VLOOKUP(I836,Tbl_Equip[],2,FALSE),Tbl_Color[],IFERROR(MATCH(UI!$B$1,Tbl_Color[#Headers],0),2),FALSE),""),"Unset")</f>
        <v>黃</v>
      </c>
      <c r="K836" t="str">
        <f>_xlfn.IFNA(IF(I836&lt;&gt;0,VLOOKUP(I836,ItemText[],IFERROR(MATCH(UI!$B$1,ItemText[#Headers],0),2),FALSE),""),"Unset")</f>
        <v>細膩的光耀暗淡情景</v>
      </c>
      <c r="L836" t="str">
        <f t="shared" si="92"/>
        <v/>
      </c>
      <c r="M836">
        <v>0</v>
      </c>
      <c r="N836" t="str">
        <f>IF(VALUE(M836)=0,"",VLOOKUP(VLOOKUP(M836,Tbl_Effect[],3,FALSE),EffectName[],IFERROR(MATCH(UI!$B$1,EffectName[#Headers],0),2),FALSE))</f>
        <v/>
      </c>
      <c r="O836" t="str">
        <f t="shared" si="93"/>
        <v/>
      </c>
      <c r="P836">
        <v>0</v>
      </c>
      <c r="Q836" t="str">
        <f>IF(VALUE(P836)=0,"",VLOOKUP(VLOOKUP(P836,Tbl_Effect[],3,FALSE),EffectName[],IFERROR(MATCH(UI!$B$1,EffectName[#Headers],0),2),FALSE))</f>
        <v/>
      </c>
      <c r="R836" t="str">
        <f t="shared" si="94"/>
        <v/>
      </c>
      <c r="S836">
        <v>0</v>
      </c>
      <c r="T836" t="str">
        <f>IF(VALUE(S836)=0,"",VLOOKUP(VLOOKUP(S836,Tbl_Effect[],3,FALSE),EffectName[],IFERROR(MATCH(UI!$B$1,EffectName[#Headers],0),2),FALSE))</f>
        <v/>
      </c>
      <c r="U836" t="str">
        <f t="shared" si="95"/>
        <v/>
      </c>
      <c r="V836">
        <v>0</v>
      </c>
      <c r="W836" t="str">
        <f>IF(V836&lt;&gt;0,VLOOKUP(VLOOKUP(V836,Tbl_Effect[],3,FALSE),EffectName[],IFERROR(MATCH(UI!$B$1,EffectName[#Headers],0),2),FALSE),"")</f>
        <v/>
      </c>
      <c r="X836" t="str">
        <f t="shared" si="96"/>
        <v/>
      </c>
      <c r="Y836">
        <v>0</v>
      </c>
      <c r="Z836" t="str">
        <f>IF(Y836&lt;&gt;0,VLOOKUP(VLOOKUP(Y836,Tbl_Effect[],3,FALSE),EffectName[],IFERROR(MATCH(UI!$B$1,EffectName[#Headers],0),2),FALSE),"")</f>
        <v/>
      </c>
      <c r="AA836" t="str">
        <f t="shared" si="97"/>
        <v/>
      </c>
      <c r="AB836">
        <v>0</v>
      </c>
      <c r="AC836" t="str">
        <f>IF(AB836&lt;&gt;0,VLOOKUP(VLOOKUP(AB836,Tbl_Effect[],3,FALSE),EffectName[],IFERROR(MATCH(UI!$B$1,EffectName[#Headers],0),2),FALSE),"")</f>
        <v/>
      </c>
    </row>
    <row r="837" spans="8:29" x14ac:dyDescent="0.4">
      <c r="H837" t="str">
        <f t="shared" si="91"/>
        <v>2013211-端正的光耀暗淡情景 (黃)</v>
      </c>
      <c r="I837">
        <v>2013211</v>
      </c>
      <c r="J837" t="str">
        <f>_xlfn.IFNA(IF(I837&lt;&gt;0,VLOOKUP(VLOOKUP(I837,Tbl_Equip[],2,FALSE),Tbl_Color[],IFERROR(MATCH(UI!$B$1,Tbl_Color[#Headers],0),2),FALSE),""),"Unset")</f>
        <v>黃</v>
      </c>
      <c r="K837" t="str">
        <f>_xlfn.IFNA(IF(I837&lt;&gt;0,VLOOKUP(I837,ItemText[],IFERROR(MATCH(UI!$B$1,ItemText[#Headers],0),2),FALSE),""),"Unset")</f>
        <v>端正的光耀暗淡情景</v>
      </c>
      <c r="L837" t="str">
        <f t="shared" si="92"/>
        <v/>
      </c>
      <c r="M837">
        <v>0</v>
      </c>
      <c r="N837" t="str">
        <f>IF(VALUE(M837)=0,"",VLOOKUP(VLOOKUP(M837,Tbl_Effect[],3,FALSE),EffectName[],IFERROR(MATCH(UI!$B$1,EffectName[#Headers],0),2),FALSE))</f>
        <v/>
      </c>
      <c r="O837" t="str">
        <f t="shared" si="93"/>
        <v/>
      </c>
      <c r="P837">
        <v>0</v>
      </c>
      <c r="Q837" t="str">
        <f>IF(VALUE(P837)=0,"",VLOOKUP(VLOOKUP(P837,Tbl_Effect[],3,FALSE),EffectName[],IFERROR(MATCH(UI!$B$1,EffectName[#Headers],0),2),FALSE))</f>
        <v/>
      </c>
      <c r="R837" t="str">
        <f t="shared" si="94"/>
        <v/>
      </c>
      <c r="S837">
        <v>0</v>
      </c>
      <c r="T837" t="str">
        <f>IF(VALUE(S837)=0,"",VLOOKUP(VLOOKUP(S837,Tbl_Effect[],3,FALSE),EffectName[],IFERROR(MATCH(UI!$B$1,EffectName[#Headers],0),2),FALSE))</f>
        <v/>
      </c>
      <c r="U837" t="str">
        <f t="shared" si="95"/>
        <v/>
      </c>
      <c r="V837">
        <v>0</v>
      </c>
      <c r="W837" t="str">
        <f>IF(V837&lt;&gt;0,VLOOKUP(VLOOKUP(V837,Tbl_Effect[],3,FALSE),EffectName[],IFERROR(MATCH(UI!$B$1,EffectName[#Headers],0),2),FALSE),"")</f>
        <v/>
      </c>
      <c r="X837" t="str">
        <f t="shared" si="96"/>
        <v/>
      </c>
      <c r="Y837">
        <v>0</v>
      </c>
      <c r="Z837" t="str">
        <f>IF(Y837&lt;&gt;0,VLOOKUP(VLOOKUP(Y837,Tbl_Effect[],3,FALSE),EffectName[],IFERROR(MATCH(UI!$B$1,EffectName[#Headers],0),2),FALSE),"")</f>
        <v/>
      </c>
      <c r="AA837" t="str">
        <f t="shared" si="97"/>
        <v/>
      </c>
      <c r="AB837">
        <v>0</v>
      </c>
      <c r="AC837" t="str">
        <f>IF(AB837&lt;&gt;0,VLOOKUP(VLOOKUP(AB837,Tbl_Effect[],3,FALSE),EffectName[],IFERROR(MATCH(UI!$B$1,EffectName[#Headers],0),2),FALSE),"")</f>
        <v/>
      </c>
    </row>
    <row r="838" spans="8:29" x14ac:dyDescent="0.4">
      <c r="H838" t="str">
        <f t="shared" si="91"/>
        <v>2013212-遼闊的光耀暗淡情景 (黃)</v>
      </c>
      <c r="I838">
        <v>2013212</v>
      </c>
      <c r="J838" t="str">
        <f>_xlfn.IFNA(IF(I838&lt;&gt;0,VLOOKUP(VLOOKUP(I838,Tbl_Equip[],2,FALSE),Tbl_Color[],IFERROR(MATCH(UI!$B$1,Tbl_Color[#Headers],0),2),FALSE),""),"Unset")</f>
        <v>黃</v>
      </c>
      <c r="K838" t="str">
        <f>_xlfn.IFNA(IF(I838&lt;&gt;0,VLOOKUP(I838,ItemText[],IFERROR(MATCH(UI!$B$1,ItemText[#Headers],0),2),FALSE),""),"Unset")</f>
        <v>遼闊的光耀暗淡情景</v>
      </c>
      <c r="L838" t="str">
        <f t="shared" si="92"/>
        <v/>
      </c>
      <c r="M838">
        <v>0</v>
      </c>
      <c r="N838" t="str">
        <f>IF(VALUE(M838)=0,"",VLOOKUP(VLOOKUP(M838,Tbl_Effect[],3,FALSE),EffectName[],IFERROR(MATCH(UI!$B$1,EffectName[#Headers],0),2),FALSE))</f>
        <v/>
      </c>
      <c r="O838" t="str">
        <f t="shared" si="93"/>
        <v/>
      </c>
      <c r="P838">
        <v>0</v>
      </c>
      <c r="Q838" t="str">
        <f>IF(VALUE(P838)=0,"",VLOOKUP(VLOOKUP(P838,Tbl_Effect[],3,FALSE),EffectName[],IFERROR(MATCH(UI!$B$1,EffectName[#Headers],0),2),FALSE))</f>
        <v/>
      </c>
      <c r="R838" t="str">
        <f t="shared" si="94"/>
        <v/>
      </c>
      <c r="S838">
        <v>0</v>
      </c>
      <c r="T838" t="str">
        <f>IF(VALUE(S838)=0,"",VLOOKUP(VLOOKUP(S838,Tbl_Effect[],3,FALSE),EffectName[],IFERROR(MATCH(UI!$B$1,EffectName[#Headers],0),2),FALSE))</f>
        <v/>
      </c>
      <c r="U838" t="str">
        <f t="shared" si="95"/>
        <v/>
      </c>
      <c r="V838">
        <v>0</v>
      </c>
      <c r="W838" t="str">
        <f>IF(V838&lt;&gt;0,VLOOKUP(VLOOKUP(V838,Tbl_Effect[],3,FALSE),EffectName[],IFERROR(MATCH(UI!$B$1,EffectName[#Headers],0),2),FALSE),"")</f>
        <v/>
      </c>
      <c r="X838" t="str">
        <f t="shared" si="96"/>
        <v/>
      </c>
      <c r="Y838">
        <v>0</v>
      </c>
      <c r="Z838" t="str">
        <f>IF(Y838&lt;&gt;0,VLOOKUP(VLOOKUP(Y838,Tbl_Effect[],3,FALSE),EffectName[],IFERROR(MATCH(UI!$B$1,EffectName[#Headers],0),2),FALSE),"")</f>
        <v/>
      </c>
      <c r="AA838" t="str">
        <f t="shared" si="97"/>
        <v/>
      </c>
      <c r="AB838">
        <v>0</v>
      </c>
      <c r="AC838" t="str">
        <f>IF(AB838&lt;&gt;0,VLOOKUP(VLOOKUP(AB838,Tbl_Effect[],3,FALSE),EffectName[],IFERROR(MATCH(UI!$B$1,EffectName[#Headers],0),2),FALSE),"")</f>
        <v/>
      </c>
    </row>
    <row r="839" spans="8:29" x14ac:dyDescent="0.4">
      <c r="H839" t="str">
        <f t="shared" si="91"/>
        <v>2013220-細膩的光耀暗淡情景 (黃)</v>
      </c>
      <c r="I839">
        <v>2013220</v>
      </c>
      <c r="J839" t="str">
        <f>_xlfn.IFNA(IF(I839&lt;&gt;0,VLOOKUP(VLOOKUP(I839,Tbl_Equip[],2,FALSE),Tbl_Color[],IFERROR(MATCH(UI!$B$1,Tbl_Color[#Headers],0),2),FALSE),""),"Unset")</f>
        <v>黃</v>
      </c>
      <c r="K839" t="str">
        <f>_xlfn.IFNA(IF(I839&lt;&gt;0,VLOOKUP(I839,ItemText[],IFERROR(MATCH(UI!$B$1,ItemText[#Headers],0),2),FALSE),""),"Unset")</f>
        <v>細膩的光耀暗淡情景</v>
      </c>
      <c r="L839" t="str">
        <f t="shared" si="92"/>
        <v/>
      </c>
      <c r="M839">
        <v>0</v>
      </c>
      <c r="N839" t="str">
        <f>IF(VALUE(M839)=0,"",VLOOKUP(VLOOKUP(M839,Tbl_Effect[],3,FALSE),EffectName[],IFERROR(MATCH(UI!$B$1,EffectName[#Headers],0),2),FALSE))</f>
        <v/>
      </c>
      <c r="O839" t="str">
        <f t="shared" si="93"/>
        <v/>
      </c>
      <c r="P839">
        <v>0</v>
      </c>
      <c r="Q839" t="str">
        <f>IF(VALUE(P839)=0,"",VLOOKUP(VLOOKUP(P839,Tbl_Effect[],3,FALSE),EffectName[],IFERROR(MATCH(UI!$B$1,EffectName[#Headers],0),2),FALSE))</f>
        <v/>
      </c>
      <c r="R839" t="str">
        <f t="shared" si="94"/>
        <v/>
      </c>
      <c r="S839">
        <v>0</v>
      </c>
      <c r="T839" t="str">
        <f>IF(VALUE(S839)=0,"",VLOOKUP(VLOOKUP(S839,Tbl_Effect[],3,FALSE),EffectName[],IFERROR(MATCH(UI!$B$1,EffectName[#Headers],0),2),FALSE))</f>
        <v/>
      </c>
      <c r="U839" t="str">
        <f t="shared" si="95"/>
        <v/>
      </c>
      <c r="V839">
        <v>0</v>
      </c>
      <c r="W839" t="str">
        <f>IF(V839&lt;&gt;0,VLOOKUP(VLOOKUP(V839,Tbl_Effect[],3,FALSE),EffectName[],IFERROR(MATCH(UI!$B$1,EffectName[#Headers],0),2),FALSE),"")</f>
        <v/>
      </c>
      <c r="X839" t="str">
        <f t="shared" si="96"/>
        <v/>
      </c>
      <c r="Y839">
        <v>0</v>
      </c>
      <c r="Z839" t="str">
        <f>IF(Y839&lt;&gt;0,VLOOKUP(VLOOKUP(Y839,Tbl_Effect[],3,FALSE),EffectName[],IFERROR(MATCH(UI!$B$1,EffectName[#Headers],0),2),FALSE),"")</f>
        <v/>
      </c>
      <c r="AA839" t="str">
        <f t="shared" si="97"/>
        <v/>
      </c>
      <c r="AB839">
        <v>0</v>
      </c>
      <c r="AC839" t="str">
        <f>IF(AB839&lt;&gt;0,VLOOKUP(VLOOKUP(AB839,Tbl_Effect[],3,FALSE),EffectName[],IFERROR(MATCH(UI!$B$1,EffectName[#Headers],0),2),FALSE),"")</f>
        <v/>
      </c>
    </row>
    <row r="840" spans="8:29" x14ac:dyDescent="0.4">
      <c r="H840" t="str">
        <f t="shared" si="91"/>
        <v>2013221-端正的光耀暗淡情景 (黃)</v>
      </c>
      <c r="I840">
        <v>2013221</v>
      </c>
      <c r="J840" t="str">
        <f>_xlfn.IFNA(IF(I840&lt;&gt;0,VLOOKUP(VLOOKUP(I840,Tbl_Equip[],2,FALSE),Tbl_Color[],IFERROR(MATCH(UI!$B$1,Tbl_Color[#Headers],0),2),FALSE),""),"Unset")</f>
        <v>黃</v>
      </c>
      <c r="K840" t="str">
        <f>_xlfn.IFNA(IF(I840&lt;&gt;0,VLOOKUP(I840,ItemText[],IFERROR(MATCH(UI!$B$1,ItemText[#Headers],0),2),FALSE),""),"Unset")</f>
        <v>端正的光耀暗淡情景</v>
      </c>
      <c r="L840" t="str">
        <f t="shared" si="92"/>
        <v/>
      </c>
      <c r="M840">
        <v>0</v>
      </c>
      <c r="N840" t="str">
        <f>IF(VALUE(M840)=0,"",VLOOKUP(VLOOKUP(M840,Tbl_Effect[],3,FALSE),EffectName[],IFERROR(MATCH(UI!$B$1,EffectName[#Headers],0),2),FALSE))</f>
        <v/>
      </c>
      <c r="O840" t="str">
        <f t="shared" si="93"/>
        <v/>
      </c>
      <c r="P840">
        <v>0</v>
      </c>
      <c r="Q840" t="str">
        <f>IF(VALUE(P840)=0,"",VLOOKUP(VLOOKUP(P840,Tbl_Effect[],3,FALSE),EffectName[],IFERROR(MATCH(UI!$B$1,EffectName[#Headers],0),2),FALSE))</f>
        <v/>
      </c>
      <c r="R840" t="str">
        <f t="shared" si="94"/>
        <v/>
      </c>
      <c r="S840">
        <v>0</v>
      </c>
      <c r="T840" t="str">
        <f>IF(VALUE(S840)=0,"",VLOOKUP(VLOOKUP(S840,Tbl_Effect[],3,FALSE),EffectName[],IFERROR(MATCH(UI!$B$1,EffectName[#Headers],0),2),FALSE))</f>
        <v/>
      </c>
      <c r="U840" t="str">
        <f t="shared" si="95"/>
        <v/>
      </c>
      <c r="V840">
        <v>0</v>
      </c>
      <c r="W840" t="str">
        <f>IF(V840&lt;&gt;0,VLOOKUP(VLOOKUP(V840,Tbl_Effect[],3,FALSE),EffectName[],IFERROR(MATCH(UI!$B$1,EffectName[#Headers],0),2),FALSE),"")</f>
        <v/>
      </c>
      <c r="X840" t="str">
        <f t="shared" si="96"/>
        <v/>
      </c>
      <c r="Y840">
        <v>0</v>
      </c>
      <c r="Z840" t="str">
        <f>IF(Y840&lt;&gt;0,VLOOKUP(VLOOKUP(Y840,Tbl_Effect[],3,FALSE),EffectName[],IFERROR(MATCH(UI!$B$1,EffectName[#Headers],0),2),FALSE),"")</f>
        <v/>
      </c>
      <c r="AA840" t="str">
        <f t="shared" si="97"/>
        <v/>
      </c>
      <c r="AB840">
        <v>0</v>
      </c>
      <c r="AC840" t="str">
        <f>IF(AB840&lt;&gt;0,VLOOKUP(VLOOKUP(AB840,Tbl_Effect[],3,FALSE),EffectName[],IFERROR(MATCH(UI!$B$1,EffectName[#Headers],0),2),FALSE),"")</f>
        <v/>
      </c>
    </row>
    <row r="841" spans="8:29" x14ac:dyDescent="0.4">
      <c r="H841" t="str">
        <f t="shared" si="91"/>
        <v>2013222-遼闊的光耀暗淡情景 (黃)</v>
      </c>
      <c r="I841">
        <v>2013222</v>
      </c>
      <c r="J841" t="str">
        <f>_xlfn.IFNA(IF(I841&lt;&gt;0,VLOOKUP(VLOOKUP(I841,Tbl_Equip[],2,FALSE),Tbl_Color[],IFERROR(MATCH(UI!$B$1,Tbl_Color[#Headers],0),2),FALSE),""),"Unset")</f>
        <v>黃</v>
      </c>
      <c r="K841" t="str">
        <f>_xlfn.IFNA(IF(I841&lt;&gt;0,VLOOKUP(I841,ItemText[],IFERROR(MATCH(UI!$B$1,ItemText[#Headers],0),2),FALSE),""),"Unset")</f>
        <v>遼闊的光耀暗淡情景</v>
      </c>
      <c r="L841" t="str">
        <f t="shared" si="92"/>
        <v/>
      </c>
      <c r="M841">
        <v>0</v>
      </c>
      <c r="N841" t="str">
        <f>IF(VALUE(M841)=0,"",VLOOKUP(VLOOKUP(M841,Tbl_Effect[],3,FALSE),EffectName[],IFERROR(MATCH(UI!$B$1,EffectName[#Headers],0),2),FALSE))</f>
        <v/>
      </c>
      <c r="O841" t="str">
        <f t="shared" si="93"/>
        <v/>
      </c>
      <c r="P841">
        <v>0</v>
      </c>
      <c r="Q841" t="str">
        <f>IF(VALUE(P841)=0,"",VLOOKUP(VLOOKUP(P841,Tbl_Effect[],3,FALSE),EffectName[],IFERROR(MATCH(UI!$B$1,EffectName[#Headers],0),2),FALSE))</f>
        <v/>
      </c>
      <c r="R841" t="str">
        <f t="shared" si="94"/>
        <v/>
      </c>
      <c r="S841">
        <v>0</v>
      </c>
      <c r="T841" t="str">
        <f>IF(VALUE(S841)=0,"",VLOOKUP(VLOOKUP(S841,Tbl_Effect[],3,FALSE),EffectName[],IFERROR(MATCH(UI!$B$1,EffectName[#Headers],0),2),FALSE))</f>
        <v/>
      </c>
      <c r="U841" t="str">
        <f t="shared" si="95"/>
        <v/>
      </c>
      <c r="V841">
        <v>0</v>
      </c>
      <c r="W841" t="str">
        <f>IF(V841&lt;&gt;0,VLOOKUP(VLOOKUP(V841,Tbl_Effect[],3,FALSE),EffectName[],IFERROR(MATCH(UI!$B$1,EffectName[#Headers],0),2),FALSE),"")</f>
        <v/>
      </c>
      <c r="X841" t="str">
        <f t="shared" si="96"/>
        <v/>
      </c>
      <c r="Y841">
        <v>0</v>
      </c>
      <c r="Z841" t="str">
        <f>IF(Y841&lt;&gt;0,VLOOKUP(VLOOKUP(Y841,Tbl_Effect[],3,FALSE),EffectName[],IFERROR(MATCH(UI!$B$1,EffectName[#Headers],0),2),FALSE),"")</f>
        <v/>
      </c>
      <c r="AA841" t="str">
        <f t="shared" si="97"/>
        <v/>
      </c>
      <c r="AB841">
        <v>0</v>
      </c>
      <c r="AC841" t="str">
        <f>IF(AB841&lt;&gt;0,VLOOKUP(VLOOKUP(AB841,Tbl_Effect[],3,FALSE),EffectName[],IFERROR(MATCH(UI!$B$1,EffectName[#Headers],0),2),FALSE),"")</f>
        <v/>
      </c>
    </row>
    <row r="842" spans="8:29" x14ac:dyDescent="0.4">
      <c r="H842" t="str">
        <f t="shared" si="91"/>
        <v>2013300-細膩的幽靜暗淡情景 (綠)</v>
      </c>
      <c r="I842">
        <v>2013300</v>
      </c>
      <c r="J842" t="str">
        <f>_xlfn.IFNA(IF(I842&lt;&gt;0,VLOOKUP(VLOOKUP(I842,Tbl_Equip[],2,FALSE),Tbl_Color[],IFERROR(MATCH(UI!$B$1,Tbl_Color[#Headers],0),2),FALSE),""),"Unset")</f>
        <v>綠</v>
      </c>
      <c r="K842" t="str">
        <f>_xlfn.IFNA(IF(I842&lt;&gt;0,VLOOKUP(I842,ItemText[],IFERROR(MATCH(UI!$B$1,ItemText[#Headers],0),2),FALSE),""),"Unset")</f>
        <v>細膩的幽靜暗淡情景</v>
      </c>
      <c r="L842" t="str">
        <f t="shared" si="92"/>
        <v/>
      </c>
      <c r="M842">
        <v>0</v>
      </c>
      <c r="N842" t="str">
        <f>IF(VALUE(M842)=0,"",VLOOKUP(VLOOKUP(M842,Tbl_Effect[],3,FALSE),EffectName[],IFERROR(MATCH(UI!$B$1,EffectName[#Headers],0),2),FALSE))</f>
        <v/>
      </c>
      <c r="O842" t="str">
        <f t="shared" si="93"/>
        <v/>
      </c>
      <c r="P842">
        <v>0</v>
      </c>
      <c r="Q842" t="str">
        <f>IF(VALUE(P842)=0,"",VLOOKUP(VLOOKUP(P842,Tbl_Effect[],3,FALSE),EffectName[],IFERROR(MATCH(UI!$B$1,EffectName[#Headers],0),2),FALSE))</f>
        <v/>
      </c>
      <c r="R842" t="str">
        <f t="shared" si="94"/>
        <v/>
      </c>
      <c r="S842">
        <v>0</v>
      </c>
      <c r="T842" t="str">
        <f>IF(VALUE(S842)=0,"",VLOOKUP(VLOOKUP(S842,Tbl_Effect[],3,FALSE),EffectName[],IFERROR(MATCH(UI!$B$1,EffectName[#Headers],0),2),FALSE))</f>
        <v/>
      </c>
      <c r="U842" t="str">
        <f t="shared" si="95"/>
        <v/>
      </c>
      <c r="V842">
        <v>0</v>
      </c>
      <c r="W842" t="str">
        <f>IF(V842&lt;&gt;0,VLOOKUP(VLOOKUP(V842,Tbl_Effect[],3,FALSE),EffectName[],IFERROR(MATCH(UI!$B$1,EffectName[#Headers],0),2),FALSE),"")</f>
        <v/>
      </c>
      <c r="X842" t="str">
        <f t="shared" si="96"/>
        <v/>
      </c>
      <c r="Y842">
        <v>0</v>
      </c>
      <c r="Z842" t="str">
        <f>IF(Y842&lt;&gt;0,VLOOKUP(VLOOKUP(Y842,Tbl_Effect[],3,FALSE),EffectName[],IFERROR(MATCH(UI!$B$1,EffectName[#Headers],0),2),FALSE),"")</f>
        <v/>
      </c>
      <c r="AA842" t="str">
        <f t="shared" si="97"/>
        <v/>
      </c>
      <c r="AB842">
        <v>0</v>
      </c>
      <c r="AC842" t="str">
        <f>IF(AB842&lt;&gt;0,VLOOKUP(VLOOKUP(AB842,Tbl_Effect[],3,FALSE),EffectName[],IFERROR(MATCH(UI!$B$1,EffectName[#Headers],0),2),FALSE),"")</f>
        <v/>
      </c>
    </row>
    <row r="843" spans="8:29" x14ac:dyDescent="0.4">
      <c r="H843" t="str">
        <f t="shared" si="91"/>
        <v>2013301-端正的幽靜暗淡情景 (綠)</v>
      </c>
      <c r="I843">
        <v>2013301</v>
      </c>
      <c r="J843" t="str">
        <f>_xlfn.IFNA(IF(I843&lt;&gt;0,VLOOKUP(VLOOKUP(I843,Tbl_Equip[],2,FALSE),Tbl_Color[],IFERROR(MATCH(UI!$B$1,Tbl_Color[#Headers],0),2),FALSE),""),"Unset")</f>
        <v>綠</v>
      </c>
      <c r="K843" t="str">
        <f>_xlfn.IFNA(IF(I843&lt;&gt;0,VLOOKUP(I843,ItemText[],IFERROR(MATCH(UI!$B$1,ItemText[#Headers],0),2),FALSE),""),"Unset")</f>
        <v>端正的幽靜暗淡情景</v>
      </c>
      <c r="L843" t="str">
        <f t="shared" si="92"/>
        <v/>
      </c>
      <c r="M843">
        <v>0</v>
      </c>
      <c r="N843" t="str">
        <f>IF(VALUE(M843)=0,"",VLOOKUP(VLOOKUP(M843,Tbl_Effect[],3,FALSE),EffectName[],IFERROR(MATCH(UI!$B$1,EffectName[#Headers],0),2),FALSE))</f>
        <v/>
      </c>
      <c r="O843" t="str">
        <f t="shared" si="93"/>
        <v/>
      </c>
      <c r="P843">
        <v>0</v>
      </c>
      <c r="Q843" t="str">
        <f>IF(VALUE(P843)=0,"",VLOOKUP(VLOOKUP(P843,Tbl_Effect[],3,FALSE),EffectName[],IFERROR(MATCH(UI!$B$1,EffectName[#Headers],0),2),FALSE))</f>
        <v/>
      </c>
      <c r="R843" t="str">
        <f t="shared" si="94"/>
        <v/>
      </c>
      <c r="S843">
        <v>0</v>
      </c>
      <c r="T843" t="str">
        <f>IF(VALUE(S843)=0,"",VLOOKUP(VLOOKUP(S843,Tbl_Effect[],3,FALSE),EffectName[],IFERROR(MATCH(UI!$B$1,EffectName[#Headers],0),2),FALSE))</f>
        <v/>
      </c>
      <c r="U843" t="str">
        <f t="shared" si="95"/>
        <v/>
      </c>
      <c r="V843">
        <v>0</v>
      </c>
      <c r="W843" t="str">
        <f>IF(V843&lt;&gt;0,VLOOKUP(VLOOKUP(V843,Tbl_Effect[],3,FALSE),EffectName[],IFERROR(MATCH(UI!$B$1,EffectName[#Headers],0),2),FALSE),"")</f>
        <v/>
      </c>
      <c r="X843" t="str">
        <f t="shared" si="96"/>
        <v/>
      </c>
      <c r="Y843">
        <v>0</v>
      </c>
      <c r="Z843" t="str">
        <f>IF(Y843&lt;&gt;0,VLOOKUP(VLOOKUP(Y843,Tbl_Effect[],3,FALSE),EffectName[],IFERROR(MATCH(UI!$B$1,EffectName[#Headers],0),2),FALSE),"")</f>
        <v/>
      </c>
      <c r="AA843" t="str">
        <f t="shared" si="97"/>
        <v/>
      </c>
      <c r="AB843">
        <v>0</v>
      </c>
      <c r="AC843" t="str">
        <f>IF(AB843&lt;&gt;0,VLOOKUP(VLOOKUP(AB843,Tbl_Effect[],3,FALSE),EffectName[],IFERROR(MATCH(UI!$B$1,EffectName[#Headers],0),2),FALSE),"")</f>
        <v/>
      </c>
    </row>
    <row r="844" spans="8:29" x14ac:dyDescent="0.4">
      <c r="H844" t="str">
        <f t="shared" si="91"/>
        <v>2013302-遼闊的幽靜暗淡情景 (綠)</v>
      </c>
      <c r="I844">
        <v>2013302</v>
      </c>
      <c r="J844" t="str">
        <f>_xlfn.IFNA(IF(I844&lt;&gt;0,VLOOKUP(VLOOKUP(I844,Tbl_Equip[],2,FALSE),Tbl_Color[],IFERROR(MATCH(UI!$B$1,Tbl_Color[#Headers],0),2),FALSE),""),"Unset")</f>
        <v>綠</v>
      </c>
      <c r="K844" t="str">
        <f>_xlfn.IFNA(IF(I844&lt;&gt;0,VLOOKUP(I844,ItemText[],IFERROR(MATCH(UI!$B$1,ItemText[#Headers],0),2),FALSE),""),"Unset")</f>
        <v>遼闊的幽靜暗淡情景</v>
      </c>
      <c r="L844" t="str">
        <f t="shared" si="92"/>
        <v/>
      </c>
      <c r="M844">
        <v>0</v>
      </c>
      <c r="N844" t="str">
        <f>IF(VALUE(M844)=0,"",VLOOKUP(VLOOKUP(M844,Tbl_Effect[],3,FALSE),EffectName[],IFERROR(MATCH(UI!$B$1,EffectName[#Headers],0),2),FALSE))</f>
        <v/>
      </c>
      <c r="O844" t="str">
        <f t="shared" si="93"/>
        <v/>
      </c>
      <c r="P844">
        <v>0</v>
      </c>
      <c r="Q844" t="str">
        <f>IF(VALUE(P844)=0,"",VLOOKUP(VLOOKUP(P844,Tbl_Effect[],3,FALSE),EffectName[],IFERROR(MATCH(UI!$B$1,EffectName[#Headers],0),2),FALSE))</f>
        <v/>
      </c>
      <c r="R844" t="str">
        <f t="shared" si="94"/>
        <v/>
      </c>
      <c r="S844">
        <v>0</v>
      </c>
      <c r="T844" t="str">
        <f>IF(VALUE(S844)=0,"",VLOOKUP(VLOOKUP(S844,Tbl_Effect[],3,FALSE),EffectName[],IFERROR(MATCH(UI!$B$1,EffectName[#Headers],0),2),FALSE))</f>
        <v/>
      </c>
      <c r="U844" t="str">
        <f t="shared" si="95"/>
        <v/>
      </c>
      <c r="V844">
        <v>0</v>
      </c>
      <c r="W844" t="str">
        <f>IF(V844&lt;&gt;0,VLOOKUP(VLOOKUP(V844,Tbl_Effect[],3,FALSE),EffectName[],IFERROR(MATCH(UI!$B$1,EffectName[#Headers],0),2),FALSE),"")</f>
        <v/>
      </c>
      <c r="X844" t="str">
        <f t="shared" si="96"/>
        <v/>
      </c>
      <c r="Y844">
        <v>0</v>
      </c>
      <c r="Z844" t="str">
        <f>IF(Y844&lt;&gt;0,VLOOKUP(VLOOKUP(Y844,Tbl_Effect[],3,FALSE),EffectName[],IFERROR(MATCH(UI!$B$1,EffectName[#Headers],0),2),FALSE),"")</f>
        <v/>
      </c>
      <c r="AA844" t="str">
        <f t="shared" si="97"/>
        <v/>
      </c>
      <c r="AB844">
        <v>0</v>
      </c>
      <c r="AC844" t="str">
        <f>IF(AB844&lt;&gt;0,VLOOKUP(VLOOKUP(AB844,Tbl_Effect[],3,FALSE),EffectName[],IFERROR(MATCH(UI!$B$1,EffectName[#Headers],0),2),FALSE),"")</f>
        <v/>
      </c>
    </row>
    <row r="845" spans="8:29" x14ac:dyDescent="0.4">
      <c r="H845" t="str">
        <f t="shared" si="91"/>
        <v>2013310-細膩的幽靜暗淡情景 (綠)</v>
      </c>
      <c r="I845">
        <v>2013310</v>
      </c>
      <c r="J845" t="str">
        <f>_xlfn.IFNA(IF(I845&lt;&gt;0,VLOOKUP(VLOOKUP(I845,Tbl_Equip[],2,FALSE),Tbl_Color[],IFERROR(MATCH(UI!$B$1,Tbl_Color[#Headers],0),2),FALSE),""),"Unset")</f>
        <v>綠</v>
      </c>
      <c r="K845" t="str">
        <f>_xlfn.IFNA(IF(I845&lt;&gt;0,VLOOKUP(I845,ItemText[],IFERROR(MATCH(UI!$B$1,ItemText[#Headers],0),2),FALSE),""),"Unset")</f>
        <v>細膩的幽靜暗淡情景</v>
      </c>
      <c r="L845" t="str">
        <f t="shared" si="92"/>
        <v/>
      </c>
      <c r="M845">
        <v>0</v>
      </c>
      <c r="N845" t="str">
        <f>IF(VALUE(M845)=0,"",VLOOKUP(VLOOKUP(M845,Tbl_Effect[],3,FALSE),EffectName[],IFERROR(MATCH(UI!$B$1,EffectName[#Headers],0),2),FALSE))</f>
        <v/>
      </c>
      <c r="O845" t="str">
        <f t="shared" si="93"/>
        <v/>
      </c>
      <c r="P845">
        <v>0</v>
      </c>
      <c r="Q845" t="str">
        <f>IF(VALUE(P845)=0,"",VLOOKUP(VLOOKUP(P845,Tbl_Effect[],3,FALSE),EffectName[],IFERROR(MATCH(UI!$B$1,EffectName[#Headers],0),2),FALSE))</f>
        <v/>
      </c>
      <c r="R845" t="str">
        <f t="shared" si="94"/>
        <v/>
      </c>
      <c r="S845">
        <v>0</v>
      </c>
      <c r="T845" t="str">
        <f>IF(VALUE(S845)=0,"",VLOOKUP(VLOOKUP(S845,Tbl_Effect[],3,FALSE),EffectName[],IFERROR(MATCH(UI!$B$1,EffectName[#Headers],0),2),FALSE))</f>
        <v/>
      </c>
      <c r="U845" t="str">
        <f t="shared" si="95"/>
        <v/>
      </c>
      <c r="V845">
        <v>0</v>
      </c>
      <c r="W845" t="str">
        <f>IF(V845&lt;&gt;0,VLOOKUP(VLOOKUP(V845,Tbl_Effect[],3,FALSE),EffectName[],IFERROR(MATCH(UI!$B$1,EffectName[#Headers],0),2),FALSE),"")</f>
        <v/>
      </c>
      <c r="X845" t="str">
        <f t="shared" si="96"/>
        <v/>
      </c>
      <c r="Y845">
        <v>0</v>
      </c>
      <c r="Z845" t="str">
        <f>IF(Y845&lt;&gt;0,VLOOKUP(VLOOKUP(Y845,Tbl_Effect[],3,FALSE),EffectName[],IFERROR(MATCH(UI!$B$1,EffectName[#Headers],0),2),FALSE),"")</f>
        <v/>
      </c>
      <c r="AA845" t="str">
        <f t="shared" si="97"/>
        <v/>
      </c>
      <c r="AB845">
        <v>0</v>
      </c>
      <c r="AC845" t="str">
        <f>IF(AB845&lt;&gt;0,VLOOKUP(VLOOKUP(AB845,Tbl_Effect[],3,FALSE),EffectName[],IFERROR(MATCH(UI!$B$1,EffectName[#Headers],0),2),FALSE),"")</f>
        <v/>
      </c>
    </row>
    <row r="846" spans="8:29" x14ac:dyDescent="0.4">
      <c r="H846" t="str">
        <f t="shared" si="91"/>
        <v>2013311-端正的幽靜暗淡情景 (綠)</v>
      </c>
      <c r="I846">
        <v>2013311</v>
      </c>
      <c r="J846" t="str">
        <f>_xlfn.IFNA(IF(I846&lt;&gt;0,VLOOKUP(VLOOKUP(I846,Tbl_Equip[],2,FALSE),Tbl_Color[],IFERROR(MATCH(UI!$B$1,Tbl_Color[#Headers],0),2),FALSE),""),"Unset")</f>
        <v>綠</v>
      </c>
      <c r="K846" t="str">
        <f>_xlfn.IFNA(IF(I846&lt;&gt;0,VLOOKUP(I846,ItemText[],IFERROR(MATCH(UI!$B$1,ItemText[#Headers],0),2),FALSE),""),"Unset")</f>
        <v>端正的幽靜暗淡情景</v>
      </c>
      <c r="L846" t="str">
        <f t="shared" si="92"/>
        <v/>
      </c>
      <c r="M846">
        <v>0</v>
      </c>
      <c r="N846" t="str">
        <f>IF(VALUE(M846)=0,"",VLOOKUP(VLOOKUP(M846,Tbl_Effect[],3,FALSE),EffectName[],IFERROR(MATCH(UI!$B$1,EffectName[#Headers],0),2),FALSE))</f>
        <v/>
      </c>
      <c r="O846" t="str">
        <f t="shared" si="93"/>
        <v/>
      </c>
      <c r="P846">
        <v>0</v>
      </c>
      <c r="Q846" t="str">
        <f>IF(VALUE(P846)=0,"",VLOOKUP(VLOOKUP(P846,Tbl_Effect[],3,FALSE),EffectName[],IFERROR(MATCH(UI!$B$1,EffectName[#Headers],0),2),FALSE))</f>
        <v/>
      </c>
      <c r="R846" t="str">
        <f t="shared" si="94"/>
        <v/>
      </c>
      <c r="S846">
        <v>0</v>
      </c>
      <c r="T846" t="str">
        <f>IF(VALUE(S846)=0,"",VLOOKUP(VLOOKUP(S846,Tbl_Effect[],3,FALSE),EffectName[],IFERROR(MATCH(UI!$B$1,EffectName[#Headers],0),2),FALSE))</f>
        <v/>
      </c>
      <c r="U846" t="str">
        <f t="shared" si="95"/>
        <v/>
      </c>
      <c r="V846">
        <v>0</v>
      </c>
      <c r="W846" t="str">
        <f>IF(V846&lt;&gt;0,VLOOKUP(VLOOKUP(V846,Tbl_Effect[],3,FALSE),EffectName[],IFERROR(MATCH(UI!$B$1,EffectName[#Headers],0),2),FALSE),"")</f>
        <v/>
      </c>
      <c r="X846" t="str">
        <f t="shared" si="96"/>
        <v/>
      </c>
      <c r="Y846">
        <v>0</v>
      </c>
      <c r="Z846" t="str">
        <f>IF(Y846&lt;&gt;0,VLOOKUP(VLOOKUP(Y846,Tbl_Effect[],3,FALSE),EffectName[],IFERROR(MATCH(UI!$B$1,EffectName[#Headers],0),2),FALSE),"")</f>
        <v/>
      </c>
      <c r="AA846" t="str">
        <f t="shared" si="97"/>
        <v/>
      </c>
      <c r="AB846">
        <v>0</v>
      </c>
      <c r="AC846" t="str">
        <f>IF(AB846&lt;&gt;0,VLOOKUP(VLOOKUP(AB846,Tbl_Effect[],3,FALSE),EffectName[],IFERROR(MATCH(UI!$B$1,EffectName[#Headers],0),2),FALSE),"")</f>
        <v/>
      </c>
    </row>
    <row r="847" spans="8:29" x14ac:dyDescent="0.4">
      <c r="H847" t="str">
        <f t="shared" si="91"/>
        <v>2013312-遼闊的幽靜暗淡情景 (綠)</v>
      </c>
      <c r="I847">
        <v>2013312</v>
      </c>
      <c r="J847" t="str">
        <f>_xlfn.IFNA(IF(I847&lt;&gt;0,VLOOKUP(VLOOKUP(I847,Tbl_Equip[],2,FALSE),Tbl_Color[],IFERROR(MATCH(UI!$B$1,Tbl_Color[#Headers],0),2),FALSE),""),"Unset")</f>
        <v>綠</v>
      </c>
      <c r="K847" t="str">
        <f>_xlfn.IFNA(IF(I847&lt;&gt;0,VLOOKUP(I847,ItemText[],IFERROR(MATCH(UI!$B$1,ItemText[#Headers],0),2),FALSE),""),"Unset")</f>
        <v>遼闊的幽靜暗淡情景</v>
      </c>
      <c r="L847" t="str">
        <f t="shared" si="92"/>
        <v/>
      </c>
      <c r="M847">
        <v>0</v>
      </c>
      <c r="N847" t="str">
        <f>IF(VALUE(M847)=0,"",VLOOKUP(VLOOKUP(M847,Tbl_Effect[],3,FALSE),EffectName[],IFERROR(MATCH(UI!$B$1,EffectName[#Headers],0),2),FALSE))</f>
        <v/>
      </c>
      <c r="O847" t="str">
        <f t="shared" si="93"/>
        <v/>
      </c>
      <c r="P847">
        <v>0</v>
      </c>
      <c r="Q847" t="str">
        <f>IF(VALUE(P847)=0,"",VLOOKUP(VLOOKUP(P847,Tbl_Effect[],3,FALSE),EffectName[],IFERROR(MATCH(UI!$B$1,EffectName[#Headers],0),2),FALSE))</f>
        <v/>
      </c>
      <c r="R847" t="str">
        <f t="shared" si="94"/>
        <v/>
      </c>
      <c r="S847">
        <v>0</v>
      </c>
      <c r="T847" t="str">
        <f>IF(VALUE(S847)=0,"",VLOOKUP(VLOOKUP(S847,Tbl_Effect[],3,FALSE),EffectName[],IFERROR(MATCH(UI!$B$1,EffectName[#Headers],0),2),FALSE))</f>
        <v/>
      </c>
      <c r="U847" t="str">
        <f t="shared" si="95"/>
        <v/>
      </c>
      <c r="V847">
        <v>0</v>
      </c>
      <c r="W847" t="str">
        <f>IF(V847&lt;&gt;0,VLOOKUP(VLOOKUP(V847,Tbl_Effect[],3,FALSE),EffectName[],IFERROR(MATCH(UI!$B$1,EffectName[#Headers],0),2),FALSE),"")</f>
        <v/>
      </c>
      <c r="X847" t="str">
        <f t="shared" si="96"/>
        <v/>
      </c>
      <c r="Y847">
        <v>0</v>
      </c>
      <c r="Z847" t="str">
        <f>IF(Y847&lt;&gt;0,VLOOKUP(VLOOKUP(Y847,Tbl_Effect[],3,FALSE),EffectName[],IFERROR(MATCH(UI!$B$1,EffectName[#Headers],0),2),FALSE),"")</f>
        <v/>
      </c>
      <c r="AA847" t="str">
        <f t="shared" si="97"/>
        <v/>
      </c>
      <c r="AB847">
        <v>0</v>
      </c>
      <c r="AC847" t="str">
        <f>IF(AB847&lt;&gt;0,VLOOKUP(VLOOKUP(AB847,Tbl_Effect[],3,FALSE),EffectName[],IFERROR(MATCH(UI!$B$1,EffectName[#Headers],0),2),FALSE),"")</f>
        <v/>
      </c>
    </row>
    <row r="848" spans="8:29" x14ac:dyDescent="0.4">
      <c r="H848" t="str">
        <f t="shared" si="91"/>
        <v>2013320-細膩的幽靜暗淡情景 (綠)</v>
      </c>
      <c r="I848">
        <v>2013320</v>
      </c>
      <c r="J848" t="str">
        <f>_xlfn.IFNA(IF(I848&lt;&gt;0,VLOOKUP(VLOOKUP(I848,Tbl_Equip[],2,FALSE),Tbl_Color[],IFERROR(MATCH(UI!$B$1,Tbl_Color[#Headers],0),2),FALSE),""),"Unset")</f>
        <v>綠</v>
      </c>
      <c r="K848" t="str">
        <f>_xlfn.IFNA(IF(I848&lt;&gt;0,VLOOKUP(I848,ItemText[],IFERROR(MATCH(UI!$B$1,ItemText[#Headers],0),2),FALSE),""),"Unset")</f>
        <v>細膩的幽靜暗淡情景</v>
      </c>
      <c r="L848" t="str">
        <f t="shared" si="92"/>
        <v/>
      </c>
      <c r="M848">
        <v>0</v>
      </c>
      <c r="N848" t="str">
        <f>IF(VALUE(M848)=0,"",VLOOKUP(VLOOKUP(M848,Tbl_Effect[],3,FALSE),EffectName[],IFERROR(MATCH(UI!$B$1,EffectName[#Headers],0),2),FALSE))</f>
        <v/>
      </c>
      <c r="O848" t="str">
        <f t="shared" si="93"/>
        <v/>
      </c>
      <c r="P848">
        <v>0</v>
      </c>
      <c r="Q848" t="str">
        <f>IF(VALUE(P848)=0,"",VLOOKUP(VLOOKUP(P848,Tbl_Effect[],3,FALSE),EffectName[],IFERROR(MATCH(UI!$B$1,EffectName[#Headers],0),2),FALSE))</f>
        <v/>
      </c>
      <c r="R848" t="str">
        <f t="shared" si="94"/>
        <v/>
      </c>
      <c r="S848">
        <v>0</v>
      </c>
      <c r="T848" t="str">
        <f>IF(VALUE(S848)=0,"",VLOOKUP(VLOOKUP(S848,Tbl_Effect[],3,FALSE),EffectName[],IFERROR(MATCH(UI!$B$1,EffectName[#Headers],0),2),FALSE))</f>
        <v/>
      </c>
      <c r="U848" t="str">
        <f t="shared" si="95"/>
        <v/>
      </c>
      <c r="V848">
        <v>0</v>
      </c>
      <c r="W848" t="str">
        <f>IF(V848&lt;&gt;0,VLOOKUP(VLOOKUP(V848,Tbl_Effect[],3,FALSE),EffectName[],IFERROR(MATCH(UI!$B$1,EffectName[#Headers],0),2),FALSE),"")</f>
        <v/>
      </c>
      <c r="X848" t="str">
        <f t="shared" si="96"/>
        <v/>
      </c>
      <c r="Y848">
        <v>0</v>
      </c>
      <c r="Z848" t="str">
        <f>IF(Y848&lt;&gt;0,VLOOKUP(VLOOKUP(Y848,Tbl_Effect[],3,FALSE),EffectName[],IFERROR(MATCH(UI!$B$1,EffectName[#Headers],0),2),FALSE),"")</f>
        <v/>
      </c>
      <c r="AA848" t="str">
        <f t="shared" si="97"/>
        <v/>
      </c>
      <c r="AB848">
        <v>0</v>
      </c>
      <c r="AC848" t="str">
        <f>IF(AB848&lt;&gt;0,VLOOKUP(VLOOKUP(AB848,Tbl_Effect[],3,FALSE),EffectName[],IFERROR(MATCH(UI!$B$1,EffectName[#Headers],0),2),FALSE),"")</f>
        <v/>
      </c>
    </row>
    <row r="849" spans="8:29" x14ac:dyDescent="0.4">
      <c r="H849" t="str">
        <f t="shared" si="91"/>
        <v>2013321-端正的幽靜暗淡情景 (綠)</v>
      </c>
      <c r="I849">
        <v>2013321</v>
      </c>
      <c r="J849" t="str">
        <f>_xlfn.IFNA(IF(I849&lt;&gt;0,VLOOKUP(VLOOKUP(I849,Tbl_Equip[],2,FALSE),Tbl_Color[],IFERROR(MATCH(UI!$B$1,Tbl_Color[#Headers],0),2),FALSE),""),"Unset")</f>
        <v>綠</v>
      </c>
      <c r="K849" t="str">
        <f>_xlfn.IFNA(IF(I849&lt;&gt;0,VLOOKUP(I849,ItemText[],IFERROR(MATCH(UI!$B$1,ItemText[#Headers],0),2),FALSE),""),"Unset")</f>
        <v>端正的幽靜暗淡情景</v>
      </c>
      <c r="L849" t="str">
        <f t="shared" si="92"/>
        <v/>
      </c>
      <c r="M849">
        <v>0</v>
      </c>
      <c r="N849" t="str">
        <f>IF(VALUE(M849)=0,"",VLOOKUP(VLOOKUP(M849,Tbl_Effect[],3,FALSE),EffectName[],IFERROR(MATCH(UI!$B$1,EffectName[#Headers],0),2),FALSE))</f>
        <v/>
      </c>
      <c r="O849" t="str">
        <f t="shared" si="93"/>
        <v/>
      </c>
      <c r="P849">
        <v>0</v>
      </c>
      <c r="Q849" t="str">
        <f>IF(VALUE(P849)=0,"",VLOOKUP(VLOOKUP(P849,Tbl_Effect[],3,FALSE),EffectName[],IFERROR(MATCH(UI!$B$1,EffectName[#Headers],0),2),FALSE))</f>
        <v/>
      </c>
      <c r="R849" t="str">
        <f t="shared" si="94"/>
        <v/>
      </c>
      <c r="S849">
        <v>0</v>
      </c>
      <c r="T849" t="str">
        <f>IF(VALUE(S849)=0,"",VLOOKUP(VLOOKUP(S849,Tbl_Effect[],3,FALSE),EffectName[],IFERROR(MATCH(UI!$B$1,EffectName[#Headers],0),2),FALSE))</f>
        <v/>
      </c>
      <c r="U849" t="str">
        <f t="shared" si="95"/>
        <v/>
      </c>
      <c r="V849">
        <v>0</v>
      </c>
      <c r="W849" t="str">
        <f>IF(V849&lt;&gt;0,VLOOKUP(VLOOKUP(V849,Tbl_Effect[],3,FALSE),EffectName[],IFERROR(MATCH(UI!$B$1,EffectName[#Headers],0),2),FALSE),"")</f>
        <v/>
      </c>
      <c r="X849" t="str">
        <f t="shared" si="96"/>
        <v/>
      </c>
      <c r="Y849">
        <v>0</v>
      </c>
      <c r="Z849" t="str">
        <f>IF(Y849&lt;&gt;0,VLOOKUP(VLOOKUP(Y849,Tbl_Effect[],3,FALSE),EffectName[],IFERROR(MATCH(UI!$B$1,EffectName[#Headers],0),2),FALSE),"")</f>
        <v/>
      </c>
      <c r="AA849" t="str">
        <f t="shared" si="97"/>
        <v/>
      </c>
      <c r="AB849">
        <v>0</v>
      </c>
      <c r="AC849" t="str">
        <f>IF(AB849&lt;&gt;0,VLOOKUP(VLOOKUP(AB849,Tbl_Effect[],3,FALSE),EffectName[],IFERROR(MATCH(UI!$B$1,EffectName[#Headers],0),2),FALSE),"")</f>
        <v/>
      </c>
    </row>
    <row r="850" spans="8:29" x14ac:dyDescent="0.4">
      <c r="H850" t="str">
        <f t="shared" si="91"/>
        <v>2013322-遼闊的幽靜暗淡情景 (綠)</v>
      </c>
      <c r="I850">
        <v>2013322</v>
      </c>
      <c r="J850" t="str">
        <f>_xlfn.IFNA(IF(I850&lt;&gt;0,VLOOKUP(VLOOKUP(I850,Tbl_Equip[],2,FALSE),Tbl_Color[],IFERROR(MATCH(UI!$B$1,Tbl_Color[#Headers],0),2),FALSE),""),"Unset")</f>
        <v>綠</v>
      </c>
      <c r="K850" t="str">
        <f>_xlfn.IFNA(IF(I850&lt;&gt;0,VLOOKUP(I850,ItemText[],IFERROR(MATCH(UI!$B$1,ItemText[#Headers],0),2),FALSE),""),"Unset")</f>
        <v>遼闊的幽靜暗淡情景</v>
      </c>
      <c r="L850" t="str">
        <f t="shared" si="92"/>
        <v/>
      </c>
      <c r="M850">
        <v>0</v>
      </c>
      <c r="N850" t="str">
        <f>IF(VALUE(M850)=0,"",VLOOKUP(VLOOKUP(M850,Tbl_Effect[],3,FALSE),EffectName[],IFERROR(MATCH(UI!$B$1,EffectName[#Headers],0),2),FALSE))</f>
        <v/>
      </c>
      <c r="O850" t="str">
        <f t="shared" si="93"/>
        <v/>
      </c>
      <c r="P850">
        <v>0</v>
      </c>
      <c r="Q850" t="str">
        <f>IF(VALUE(P850)=0,"",VLOOKUP(VLOOKUP(P850,Tbl_Effect[],3,FALSE),EffectName[],IFERROR(MATCH(UI!$B$1,EffectName[#Headers],0),2),FALSE))</f>
        <v/>
      </c>
      <c r="R850" t="str">
        <f t="shared" si="94"/>
        <v/>
      </c>
      <c r="S850">
        <v>0</v>
      </c>
      <c r="T850" t="str">
        <f>IF(VALUE(S850)=0,"",VLOOKUP(VLOOKUP(S850,Tbl_Effect[],3,FALSE),EffectName[],IFERROR(MATCH(UI!$B$1,EffectName[#Headers],0),2),FALSE))</f>
        <v/>
      </c>
      <c r="U850" t="str">
        <f t="shared" si="95"/>
        <v/>
      </c>
      <c r="V850">
        <v>0</v>
      </c>
      <c r="W850" t="str">
        <f>IF(V850&lt;&gt;0,VLOOKUP(VLOOKUP(V850,Tbl_Effect[],3,FALSE),EffectName[],IFERROR(MATCH(UI!$B$1,EffectName[#Headers],0),2),FALSE),"")</f>
        <v/>
      </c>
      <c r="X850" t="str">
        <f t="shared" si="96"/>
        <v/>
      </c>
      <c r="Y850">
        <v>0</v>
      </c>
      <c r="Z850" t="str">
        <f>IF(Y850&lt;&gt;0,VLOOKUP(VLOOKUP(Y850,Tbl_Effect[],3,FALSE),EffectName[],IFERROR(MATCH(UI!$B$1,EffectName[#Headers],0),2),FALSE),"")</f>
        <v/>
      </c>
      <c r="AA850" t="str">
        <f t="shared" si="97"/>
        <v/>
      </c>
      <c r="AB850">
        <v>0</v>
      </c>
      <c r="AC850" t="str">
        <f>IF(AB850&lt;&gt;0,VLOOKUP(VLOOKUP(AB850,Tbl_Effect[],3,FALSE),EffectName[],IFERROR(MATCH(UI!$B$1,EffectName[#Headers],0),2),FALSE),"")</f>
        <v/>
      </c>
    </row>
    <row r="851" spans="8:29" x14ac:dyDescent="0.4">
      <c r="H851" t="str">
        <f t="shared" si="91"/>
        <v>6001400-Unset (紅)</v>
      </c>
      <c r="I851">
        <v>6001400</v>
      </c>
      <c r="J851" t="str">
        <f>_xlfn.IFNA(IF(I851&lt;&gt;0,VLOOKUP(VLOOKUP(I851,Tbl_Equip[],2,FALSE),Tbl_Color[],IFERROR(MATCH(UI!$B$1,Tbl_Color[#Headers],0),2),FALSE),""),"Unset")</f>
        <v>紅</v>
      </c>
      <c r="K851" t="str">
        <f>_xlfn.IFNA(IF(I851&lt;&gt;0,VLOOKUP(I851,ItemText[],IFERROR(MATCH(UI!$B$1,ItemText[#Headers],0),2),FALSE),""),"Unset")</f>
        <v>Unset</v>
      </c>
      <c r="L851" t="str">
        <f t="shared" si="92"/>
        <v/>
      </c>
      <c r="M851">
        <v>0</v>
      </c>
      <c r="N851" t="str">
        <f>IF(VALUE(M851)=0,"",VLOOKUP(VLOOKUP(M851,Tbl_Effect[],3,FALSE),EffectName[],IFERROR(MATCH(UI!$B$1,EffectName[#Headers],0),2),FALSE))</f>
        <v/>
      </c>
      <c r="O851" t="str">
        <f t="shared" si="93"/>
        <v/>
      </c>
      <c r="P851">
        <v>0</v>
      </c>
      <c r="Q851" t="str">
        <f>IF(VALUE(P851)=0,"",VLOOKUP(VLOOKUP(P851,Tbl_Effect[],3,FALSE),EffectName[],IFERROR(MATCH(UI!$B$1,EffectName[#Headers],0),2),FALSE))</f>
        <v/>
      </c>
      <c r="R851" t="str">
        <f t="shared" si="94"/>
        <v/>
      </c>
      <c r="S851">
        <v>0</v>
      </c>
      <c r="T851" t="str">
        <f>IF(VALUE(S851)=0,"",VLOOKUP(VLOOKUP(S851,Tbl_Effect[],3,FALSE),EffectName[],IFERROR(MATCH(UI!$B$1,EffectName[#Headers],0),2),FALSE))</f>
        <v/>
      </c>
      <c r="U851" t="str">
        <f t="shared" si="95"/>
        <v/>
      </c>
      <c r="V851">
        <v>0</v>
      </c>
      <c r="W851" t="str">
        <f>IF(V851&lt;&gt;0,VLOOKUP(VLOOKUP(V851,Tbl_Effect[],3,FALSE),EffectName[],IFERROR(MATCH(UI!$B$1,EffectName[#Headers],0),2),FALSE),"")</f>
        <v/>
      </c>
      <c r="X851" t="str">
        <f t="shared" si="96"/>
        <v/>
      </c>
      <c r="Y851">
        <v>0</v>
      </c>
      <c r="Z851" t="str">
        <f>IF(Y851&lt;&gt;0,VLOOKUP(VLOOKUP(Y851,Tbl_Effect[],3,FALSE),EffectName[],IFERROR(MATCH(UI!$B$1,EffectName[#Headers],0),2),FALSE),"")</f>
        <v/>
      </c>
      <c r="AA851" t="str">
        <f t="shared" si="97"/>
        <v/>
      </c>
      <c r="AB851">
        <v>0</v>
      </c>
      <c r="AC851" t="str">
        <f>IF(AB851&lt;&gt;0,VLOOKUP(VLOOKUP(AB851,Tbl_Effect[],3,FALSE),EffectName[],IFERROR(MATCH(UI!$B$1,EffectName[#Headers],0),2),FALSE),"")</f>
        <v/>
      </c>
    </row>
    <row r="852" spans="8:29" x14ac:dyDescent="0.4">
      <c r="H852" t="str">
        <f t="shared" si="91"/>
        <v>6001401-Unset (紅)</v>
      </c>
      <c r="I852">
        <v>6001401</v>
      </c>
      <c r="J852" t="str">
        <f>_xlfn.IFNA(IF(I852&lt;&gt;0,VLOOKUP(VLOOKUP(I852,Tbl_Equip[],2,FALSE),Tbl_Color[],IFERROR(MATCH(UI!$B$1,Tbl_Color[#Headers],0),2),FALSE),""),"Unset")</f>
        <v>紅</v>
      </c>
      <c r="K852" t="str">
        <f>_xlfn.IFNA(IF(I852&lt;&gt;0,VLOOKUP(I852,ItemText[],IFERROR(MATCH(UI!$B$1,ItemText[#Headers],0),2),FALSE),""),"Unset")</f>
        <v>Unset</v>
      </c>
      <c r="L852" t="str">
        <f t="shared" si="92"/>
        <v/>
      </c>
      <c r="M852">
        <v>0</v>
      </c>
      <c r="N852" t="str">
        <f>IF(VALUE(M852)=0,"",VLOOKUP(VLOOKUP(M852,Tbl_Effect[],3,FALSE),EffectName[],IFERROR(MATCH(UI!$B$1,EffectName[#Headers],0),2),FALSE))</f>
        <v/>
      </c>
      <c r="O852" t="str">
        <f t="shared" si="93"/>
        <v/>
      </c>
      <c r="P852">
        <v>0</v>
      </c>
      <c r="Q852" t="str">
        <f>IF(VALUE(P852)=0,"",VLOOKUP(VLOOKUP(P852,Tbl_Effect[],3,FALSE),EffectName[],IFERROR(MATCH(UI!$B$1,EffectName[#Headers],0),2),FALSE))</f>
        <v/>
      </c>
      <c r="R852" t="str">
        <f t="shared" si="94"/>
        <v/>
      </c>
      <c r="S852">
        <v>0</v>
      </c>
      <c r="T852" t="str">
        <f>IF(VALUE(S852)=0,"",VLOOKUP(VLOOKUP(S852,Tbl_Effect[],3,FALSE),EffectName[],IFERROR(MATCH(UI!$B$1,EffectName[#Headers],0),2),FALSE))</f>
        <v/>
      </c>
      <c r="U852" t="str">
        <f t="shared" si="95"/>
        <v/>
      </c>
      <c r="V852">
        <v>0</v>
      </c>
      <c r="W852" t="str">
        <f>IF(V852&lt;&gt;0,VLOOKUP(VLOOKUP(V852,Tbl_Effect[],3,FALSE),EffectName[],IFERROR(MATCH(UI!$B$1,EffectName[#Headers],0),2),FALSE),"")</f>
        <v/>
      </c>
      <c r="X852" t="str">
        <f t="shared" si="96"/>
        <v/>
      </c>
      <c r="Y852">
        <v>0</v>
      </c>
      <c r="Z852" t="str">
        <f>IF(Y852&lt;&gt;0,VLOOKUP(VLOOKUP(Y852,Tbl_Effect[],3,FALSE),EffectName[],IFERROR(MATCH(UI!$B$1,EffectName[#Headers],0),2),FALSE),"")</f>
        <v/>
      </c>
      <c r="AA852" t="str">
        <f t="shared" si="97"/>
        <v/>
      </c>
      <c r="AB852">
        <v>0</v>
      </c>
      <c r="AC852" t="str">
        <f>IF(AB852&lt;&gt;0,VLOOKUP(VLOOKUP(AB852,Tbl_Effect[],3,FALSE),EffectName[],IFERROR(MATCH(UI!$B$1,EffectName[#Headers],0),2),FALSE),"")</f>
        <v/>
      </c>
    </row>
    <row r="853" spans="8:29" x14ac:dyDescent="0.4">
      <c r="H853" t="str">
        <f t="shared" si="91"/>
        <v>6001500-Unset (紅)</v>
      </c>
      <c r="I853">
        <v>6001500</v>
      </c>
      <c r="J853" t="str">
        <f>_xlfn.IFNA(IF(I853&lt;&gt;0,VLOOKUP(VLOOKUP(I853,Tbl_Equip[],2,FALSE),Tbl_Color[],IFERROR(MATCH(UI!$B$1,Tbl_Color[#Headers],0),2),FALSE),""),"Unset")</f>
        <v>紅</v>
      </c>
      <c r="K853" t="str">
        <f>_xlfn.IFNA(IF(I853&lt;&gt;0,VLOOKUP(I853,ItemText[],IFERROR(MATCH(UI!$B$1,ItemText[#Headers],0),2),FALSE),""),"Unset")</f>
        <v>Unset</v>
      </c>
      <c r="L853" t="str">
        <f t="shared" si="92"/>
        <v/>
      </c>
      <c r="M853">
        <v>0</v>
      </c>
      <c r="N853" t="str">
        <f>IF(VALUE(M853)=0,"",VLOOKUP(VLOOKUP(M853,Tbl_Effect[],3,FALSE),EffectName[],IFERROR(MATCH(UI!$B$1,EffectName[#Headers],0),2),FALSE))</f>
        <v/>
      </c>
      <c r="O853" t="str">
        <f t="shared" si="93"/>
        <v/>
      </c>
      <c r="P853">
        <v>0</v>
      </c>
      <c r="Q853" t="str">
        <f>IF(VALUE(P853)=0,"",VLOOKUP(VLOOKUP(P853,Tbl_Effect[],3,FALSE),EffectName[],IFERROR(MATCH(UI!$B$1,EffectName[#Headers],0),2),FALSE))</f>
        <v/>
      </c>
      <c r="R853" t="str">
        <f t="shared" si="94"/>
        <v/>
      </c>
      <c r="S853">
        <v>0</v>
      </c>
      <c r="T853" t="str">
        <f>IF(VALUE(S853)=0,"",VLOOKUP(VLOOKUP(S853,Tbl_Effect[],3,FALSE),EffectName[],IFERROR(MATCH(UI!$B$1,EffectName[#Headers],0),2),FALSE))</f>
        <v/>
      </c>
      <c r="U853" t="str">
        <f t="shared" si="95"/>
        <v/>
      </c>
      <c r="V853">
        <v>0</v>
      </c>
      <c r="W853" t="str">
        <f>IF(V853&lt;&gt;0,VLOOKUP(VLOOKUP(V853,Tbl_Effect[],3,FALSE),EffectName[],IFERROR(MATCH(UI!$B$1,EffectName[#Headers],0),2),FALSE),"")</f>
        <v/>
      </c>
      <c r="X853" t="str">
        <f t="shared" si="96"/>
        <v/>
      </c>
      <c r="Y853">
        <v>0</v>
      </c>
      <c r="Z853" t="str">
        <f>IF(Y853&lt;&gt;0,VLOOKUP(VLOOKUP(Y853,Tbl_Effect[],3,FALSE),EffectName[],IFERROR(MATCH(UI!$B$1,EffectName[#Headers],0),2),FALSE),"")</f>
        <v/>
      </c>
      <c r="AA853" t="str">
        <f t="shared" si="97"/>
        <v/>
      </c>
      <c r="AB853">
        <v>0</v>
      </c>
      <c r="AC853" t="str">
        <f>IF(AB853&lt;&gt;0,VLOOKUP(VLOOKUP(AB853,Tbl_Effect[],3,FALSE),EffectName[],IFERROR(MATCH(UI!$B$1,EffectName[#Headers],0),2),FALSE),"")</f>
        <v/>
      </c>
    </row>
    <row r="854" spans="8:29" x14ac:dyDescent="0.4">
      <c r="H854" t="str">
        <f t="shared" si="91"/>
        <v>6001501-Unset (紅)</v>
      </c>
      <c r="I854">
        <v>6001501</v>
      </c>
      <c r="J854" t="str">
        <f>_xlfn.IFNA(IF(I854&lt;&gt;0,VLOOKUP(VLOOKUP(I854,Tbl_Equip[],2,FALSE),Tbl_Color[],IFERROR(MATCH(UI!$B$1,Tbl_Color[#Headers],0),2),FALSE),""),"Unset")</f>
        <v>紅</v>
      </c>
      <c r="K854" t="str">
        <f>_xlfn.IFNA(IF(I854&lt;&gt;0,VLOOKUP(I854,ItemText[],IFERROR(MATCH(UI!$B$1,ItemText[#Headers],0),2),FALSE),""),"Unset")</f>
        <v>Unset</v>
      </c>
      <c r="L854" t="str">
        <f t="shared" si="92"/>
        <v/>
      </c>
      <c r="M854">
        <v>0</v>
      </c>
      <c r="N854" t="str">
        <f>IF(VALUE(M854)=0,"",VLOOKUP(VLOOKUP(M854,Tbl_Effect[],3,FALSE),EffectName[],IFERROR(MATCH(UI!$B$1,EffectName[#Headers],0),2),FALSE))</f>
        <v/>
      </c>
      <c r="O854" t="str">
        <f t="shared" si="93"/>
        <v/>
      </c>
      <c r="P854">
        <v>0</v>
      </c>
      <c r="Q854" t="str">
        <f>IF(VALUE(P854)=0,"",VLOOKUP(VLOOKUP(P854,Tbl_Effect[],3,FALSE),EffectName[],IFERROR(MATCH(UI!$B$1,EffectName[#Headers],0),2),FALSE))</f>
        <v/>
      </c>
      <c r="R854" t="str">
        <f t="shared" si="94"/>
        <v/>
      </c>
      <c r="S854">
        <v>0</v>
      </c>
      <c r="T854" t="str">
        <f>IF(VALUE(S854)=0,"",VLOOKUP(VLOOKUP(S854,Tbl_Effect[],3,FALSE),EffectName[],IFERROR(MATCH(UI!$B$1,EffectName[#Headers],0),2),FALSE))</f>
        <v/>
      </c>
      <c r="U854" t="str">
        <f t="shared" si="95"/>
        <v/>
      </c>
      <c r="V854">
        <v>0</v>
      </c>
      <c r="W854" t="str">
        <f>IF(V854&lt;&gt;0,VLOOKUP(VLOOKUP(V854,Tbl_Effect[],3,FALSE),EffectName[],IFERROR(MATCH(UI!$B$1,EffectName[#Headers],0),2),FALSE),"")</f>
        <v/>
      </c>
      <c r="X854" t="str">
        <f t="shared" si="96"/>
        <v/>
      </c>
      <c r="Y854">
        <v>0</v>
      </c>
      <c r="Z854" t="str">
        <f>IF(Y854&lt;&gt;0,VLOOKUP(VLOOKUP(Y854,Tbl_Effect[],3,FALSE),EffectName[],IFERROR(MATCH(UI!$B$1,EffectName[#Headers],0),2),FALSE),"")</f>
        <v/>
      </c>
      <c r="AA854" t="str">
        <f t="shared" si="97"/>
        <v/>
      </c>
      <c r="AB854">
        <v>0</v>
      </c>
      <c r="AC854" t="str">
        <f>IF(AB854&lt;&gt;0,VLOOKUP(VLOOKUP(AB854,Tbl_Effect[],3,FALSE),EffectName[],IFERROR(MATCH(UI!$B$1,EffectName[#Headers],0),2),FALSE),"")</f>
        <v/>
      </c>
    </row>
    <row r="855" spans="8:29" x14ac:dyDescent="0.4">
      <c r="H855" t="str">
        <f t="shared" si="91"/>
        <v>6001600-Unset (紅)</v>
      </c>
      <c r="I855">
        <v>6001600</v>
      </c>
      <c r="J855" t="str">
        <f>_xlfn.IFNA(IF(I855&lt;&gt;0,VLOOKUP(VLOOKUP(I855,Tbl_Equip[],2,FALSE),Tbl_Color[],IFERROR(MATCH(UI!$B$1,Tbl_Color[#Headers],0),2),FALSE),""),"Unset")</f>
        <v>紅</v>
      </c>
      <c r="K855" t="str">
        <f>_xlfn.IFNA(IF(I855&lt;&gt;0,VLOOKUP(I855,ItemText[],IFERROR(MATCH(UI!$B$1,ItemText[#Headers],0),2),FALSE),""),"Unset")</f>
        <v>Unset</v>
      </c>
      <c r="L855" t="str">
        <f t="shared" si="92"/>
        <v/>
      </c>
      <c r="M855">
        <v>0</v>
      </c>
      <c r="N855" t="str">
        <f>IF(VALUE(M855)=0,"",VLOOKUP(VLOOKUP(M855,Tbl_Effect[],3,FALSE),EffectName[],IFERROR(MATCH(UI!$B$1,EffectName[#Headers],0),2),FALSE))</f>
        <v/>
      </c>
      <c r="O855" t="str">
        <f t="shared" si="93"/>
        <v/>
      </c>
      <c r="P855">
        <v>0</v>
      </c>
      <c r="Q855" t="str">
        <f>IF(VALUE(P855)=0,"",VLOOKUP(VLOOKUP(P855,Tbl_Effect[],3,FALSE),EffectName[],IFERROR(MATCH(UI!$B$1,EffectName[#Headers],0),2),FALSE))</f>
        <v/>
      </c>
      <c r="R855" t="str">
        <f t="shared" si="94"/>
        <v/>
      </c>
      <c r="S855">
        <v>0</v>
      </c>
      <c r="T855" t="str">
        <f>IF(VALUE(S855)=0,"",VLOOKUP(VLOOKUP(S855,Tbl_Effect[],3,FALSE),EffectName[],IFERROR(MATCH(UI!$B$1,EffectName[#Headers],0),2),FALSE))</f>
        <v/>
      </c>
      <c r="U855" t="str">
        <f t="shared" si="95"/>
        <v/>
      </c>
      <c r="V855">
        <v>0</v>
      </c>
      <c r="W855" t="str">
        <f>IF(V855&lt;&gt;0,VLOOKUP(VLOOKUP(V855,Tbl_Effect[],3,FALSE),EffectName[],IFERROR(MATCH(UI!$B$1,EffectName[#Headers],0),2),FALSE),"")</f>
        <v/>
      </c>
      <c r="X855" t="str">
        <f t="shared" si="96"/>
        <v/>
      </c>
      <c r="Y855">
        <v>0</v>
      </c>
      <c r="Z855" t="str">
        <f>IF(Y855&lt;&gt;0,VLOOKUP(VLOOKUP(Y855,Tbl_Effect[],3,FALSE),EffectName[],IFERROR(MATCH(UI!$B$1,EffectName[#Headers],0),2),FALSE),"")</f>
        <v/>
      </c>
      <c r="AA855" t="str">
        <f t="shared" si="97"/>
        <v/>
      </c>
      <c r="AB855">
        <v>0</v>
      </c>
      <c r="AC855" t="str">
        <f>IF(AB855&lt;&gt;0,VLOOKUP(VLOOKUP(AB855,Tbl_Effect[],3,FALSE),EffectName[],IFERROR(MATCH(UI!$B$1,EffectName[#Headers],0),2),FALSE),"")</f>
        <v/>
      </c>
    </row>
    <row r="856" spans="8:29" x14ac:dyDescent="0.4">
      <c r="H856" t="str">
        <f t="shared" si="91"/>
        <v>6001601-Unset (紅)</v>
      </c>
      <c r="I856">
        <v>6001601</v>
      </c>
      <c r="J856" t="str">
        <f>_xlfn.IFNA(IF(I856&lt;&gt;0,VLOOKUP(VLOOKUP(I856,Tbl_Equip[],2,FALSE),Tbl_Color[],IFERROR(MATCH(UI!$B$1,Tbl_Color[#Headers],0),2),FALSE),""),"Unset")</f>
        <v>紅</v>
      </c>
      <c r="K856" t="str">
        <f>_xlfn.IFNA(IF(I856&lt;&gt;0,VLOOKUP(I856,ItemText[],IFERROR(MATCH(UI!$B$1,ItemText[#Headers],0),2),FALSE),""),"Unset")</f>
        <v>Unset</v>
      </c>
      <c r="L856" t="str">
        <f t="shared" si="92"/>
        <v/>
      </c>
      <c r="M856">
        <v>0</v>
      </c>
      <c r="N856" t="str">
        <f>IF(VALUE(M856)=0,"",VLOOKUP(VLOOKUP(M856,Tbl_Effect[],3,FALSE),EffectName[],IFERROR(MATCH(UI!$B$1,EffectName[#Headers],0),2),FALSE))</f>
        <v/>
      </c>
      <c r="O856" t="str">
        <f t="shared" si="93"/>
        <v/>
      </c>
      <c r="P856">
        <v>0</v>
      </c>
      <c r="Q856" t="str">
        <f>IF(VALUE(P856)=0,"",VLOOKUP(VLOOKUP(P856,Tbl_Effect[],3,FALSE),EffectName[],IFERROR(MATCH(UI!$B$1,EffectName[#Headers],0),2),FALSE))</f>
        <v/>
      </c>
      <c r="R856" t="str">
        <f t="shared" si="94"/>
        <v/>
      </c>
      <c r="S856">
        <v>0</v>
      </c>
      <c r="T856" t="str">
        <f>IF(VALUE(S856)=0,"",VLOOKUP(VLOOKUP(S856,Tbl_Effect[],3,FALSE),EffectName[],IFERROR(MATCH(UI!$B$1,EffectName[#Headers],0),2),FALSE))</f>
        <v/>
      </c>
      <c r="U856" t="str">
        <f t="shared" si="95"/>
        <v/>
      </c>
      <c r="V856">
        <v>0</v>
      </c>
      <c r="W856" t="str">
        <f>IF(V856&lt;&gt;0,VLOOKUP(VLOOKUP(V856,Tbl_Effect[],3,FALSE),EffectName[],IFERROR(MATCH(UI!$B$1,EffectName[#Headers],0),2),FALSE),"")</f>
        <v/>
      </c>
      <c r="X856" t="str">
        <f t="shared" si="96"/>
        <v/>
      </c>
      <c r="Y856">
        <v>0</v>
      </c>
      <c r="Z856" t="str">
        <f>IF(Y856&lt;&gt;0,VLOOKUP(VLOOKUP(Y856,Tbl_Effect[],3,FALSE),EffectName[],IFERROR(MATCH(UI!$B$1,EffectName[#Headers],0),2),FALSE),"")</f>
        <v/>
      </c>
      <c r="AA856" t="str">
        <f t="shared" si="97"/>
        <v/>
      </c>
      <c r="AB856">
        <v>0</v>
      </c>
      <c r="AC856" t="str">
        <f>IF(AB856&lt;&gt;0,VLOOKUP(VLOOKUP(AB856,Tbl_Effect[],3,FALSE),EffectName[],IFERROR(MATCH(UI!$B$1,EffectName[#Headers],0),2),FALSE),"")</f>
        <v/>
      </c>
    </row>
    <row r="857" spans="8:29" x14ac:dyDescent="0.4">
      <c r="H857" t="str">
        <f t="shared" si="91"/>
        <v>6001700-Unset (紅)</v>
      </c>
      <c r="I857">
        <v>6001700</v>
      </c>
      <c r="J857" t="str">
        <f>_xlfn.IFNA(IF(I857&lt;&gt;0,VLOOKUP(VLOOKUP(I857,Tbl_Equip[],2,FALSE),Tbl_Color[],IFERROR(MATCH(UI!$B$1,Tbl_Color[#Headers],0),2),FALSE),""),"Unset")</f>
        <v>紅</v>
      </c>
      <c r="K857" t="str">
        <f>_xlfn.IFNA(IF(I857&lt;&gt;0,VLOOKUP(I857,ItemText[],IFERROR(MATCH(UI!$B$1,ItemText[#Headers],0),2),FALSE),""),"Unset")</f>
        <v>Unset</v>
      </c>
      <c r="L857" t="str">
        <f t="shared" si="92"/>
        <v/>
      </c>
      <c r="M857">
        <v>0</v>
      </c>
      <c r="N857" t="str">
        <f>IF(VALUE(M857)=0,"",VLOOKUP(VLOOKUP(M857,Tbl_Effect[],3,FALSE),EffectName[],IFERROR(MATCH(UI!$B$1,EffectName[#Headers],0),2),FALSE))</f>
        <v/>
      </c>
      <c r="O857" t="str">
        <f t="shared" si="93"/>
        <v/>
      </c>
      <c r="P857">
        <v>0</v>
      </c>
      <c r="Q857" t="str">
        <f>IF(VALUE(P857)=0,"",VLOOKUP(VLOOKUP(P857,Tbl_Effect[],3,FALSE),EffectName[],IFERROR(MATCH(UI!$B$1,EffectName[#Headers],0),2),FALSE))</f>
        <v/>
      </c>
      <c r="R857" t="str">
        <f t="shared" si="94"/>
        <v/>
      </c>
      <c r="S857">
        <v>0</v>
      </c>
      <c r="T857" t="str">
        <f>IF(VALUE(S857)=0,"",VLOOKUP(VLOOKUP(S857,Tbl_Effect[],3,FALSE),EffectName[],IFERROR(MATCH(UI!$B$1,EffectName[#Headers],0),2),FALSE))</f>
        <v/>
      </c>
      <c r="U857" t="str">
        <f t="shared" si="95"/>
        <v/>
      </c>
      <c r="V857">
        <v>0</v>
      </c>
      <c r="W857" t="str">
        <f>IF(V857&lt;&gt;0,VLOOKUP(VLOOKUP(V857,Tbl_Effect[],3,FALSE),EffectName[],IFERROR(MATCH(UI!$B$1,EffectName[#Headers],0),2),FALSE),"")</f>
        <v/>
      </c>
      <c r="X857" t="str">
        <f t="shared" si="96"/>
        <v/>
      </c>
      <c r="Y857">
        <v>0</v>
      </c>
      <c r="Z857" t="str">
        <f>IF(Y857&lt;&gt;0,VLOOKUP(VLOOKUP(Y857,Tbl_Effect[],3,FALSE),EffectName[],IFERROR(MATCH(UI!$B$1,EffectName[#Headers],0),2),FALSE),"")</f>
        <v/>
      </c>
      <c r="AA857" t="str">
        <f t="shared" si="97"/>
        <v/>
      </c>
      <c r="AB857">
        <v>0</v>
      </c>
      <c r="AC857" t="str">
        <f>IF(AB857&lt;&gt;0,VLOOKUP(VLOOKUP(AB857,Tbl_Effect[],3,FALSE),EffectName[],IFERROR(MATCH(UI!$B$1,EffectName[#Headers],0),2),FALSE),"")</f>
        <v/>
      </c>
    </row>
    <row r="858" spans="8:29" x14ac:dyDescent="0.4">
      <c r="H858" t="str">
        <f t="shared" si="91"/>
        <v>6001701-Unset (紅)</v>
      </c>
      <c r="I858">
        <v>6001701</v>
      </c>
      <c r="J858" t="str">
        <f>_xlfn.IFNA(IF(I858&lt;&gt;0,VLOOKUP(VLOOKUP(I858,Tbl_Equip[],2,FALSE),Tbl_Color[],IFERROR(MATCH(UI!$B$1,Tbl_Color[#Headers],0),2),FALSE),""),"Unset")</f>
        <v>紅</v>
      </c>
      <c r="K858" t="str">
        <f>_xlfn.IFNA(IF(I858&lt;&gt;0,VLOOKUP(I858,ItemText[],IFERROR(MATCH(UI!$B$1,ItemText[#Headers],0),2),FALSE),""),"Unset")</f>
        <v>Unset</v>
      </c>
      <c r="L858" t="str">
        <f t="shared" si="92"/>
        <v/>
      </c>
      <c r="M858">
        <v>0</v>
      </c>
      <c r="N858" t="str">
        <f>IF(VALUE(M858)=0,"",VLOOKUP(VLOOKUP(M858,Tbl_Effect[],3,FALSE),EffectName[],IFERROR(MATCH(UI!$B$1,EffectName[#Headers],0),2),FALSE))</f>
        <v/>
      </c>
      <c r="O858" t="str">
        <f t="shared" si="93"/>
        <v/>
      </c>
      <c r="P858">
        <v>0</v>
      </c>
      <c r="Q858" t="str">
        <f>IF(VALUE(P858)=0,"",VLOOKUP(VLOOKUP(P858,Tbl_Effect[],3,FALSE),EffectName[],IFERROR(MATCH(UI!$B$1,EffectName[#Headers],0),2),FALSE))</f>
        <v/>
      </c>
      <c r="R858" t="str">
        <f t="shared" si="94"/>
        <v/>
      </c>
      <c r="S858">
        <v>0</v>
      </c>
      <c r="T858" t="str">
        <f>IF(VALUE(S858)=0,"",VLOOKUP(VLOOKUP(S858,Tbl_Effect[],3,FALSE),EffectName[],IFERROR(MATCH(UI!$B$1,EffectName[#Headers],0),2),FALSE))</f>
        <v/>
      </c>
      <c r="U858" t="str">
        <f t="shared" si="95"/>
        <v/>
      </c>
      <c r="V858">
        <v>0</v>
      </c>
      <c r="W858" t="str">
        <f>IF(V858&lt;&gt;0,VLOOKUP(VLOOKUP(V858,Tbl_Effect[],3,FALSE),EffectName[],IFERROR(MATCH(UI!$B$1,EffectName[#Headers],0),2),FALSE),"")</f>
        <v/>
      </c>
      <c r="X858" t="str">
        <f t="shared" si="96"/>
        <v/>
      </c>
      <c r="Y858">
        <v>0</v>
      </c>
      <c r="Z858" t="str">
        <f>IF(Y858&lt;&gt;0,VLOOKUP(VLOOKUP(Y858,Tbl_Effect[],3,FALSE),EffectName[],IFERROR(MATCH(UI!$B$1,EffectName[#Headers],0),2),FALSE),"")</f>
        <v/>
      </c>
      <c r="AA858" t="str">
        <f t="shared" si="97"/>
        <v/>
      </c>
      <c r="AB858">
        <v>0</v>
      </c>
      <c r="AC858" t="str">
        <f>IF(AB858&lt;&gt;0,VLOOKUP(VLOOKUP(AB858,Tbl_Effect[],3,FALSE),EffectName[],IFERROR(MATCH(UI!$B$1,EffectName[#Headers],0),2),FALSE),"")</f>
        <v/>
      </c>
    </row>
    <row r="859" spans="8:29" x14ac:dyDescent="0.4">
      <c r="H859" t="str">
        <f t="shared" si="91"/>
        <v>6001800-Unset (紅)</v>
      </c>
      <c r="I859">
        <v>6001800</v>
      </c>
      <c r="J859" t="str">
        <f>_xlfn.IFNA(IF(I859&lt;&gt;0,VLOOKUP(VLOOKUP(I859,Tbl_Equip[],2,FALSE),Tbl_Color[],IFERROR(MATCH(UI!$B$1,Tbl_Color[#Headers],0),2),FALSE),""),"Unset")</f>
        <v>紅</v>
      </c>
      <c r="K859" t="str">
        <f>_xlfn.IFNA(IF(I859&lt;&gt;0,VLOOKUP(I859,ItemText[],IFERROR(MATCH(UI!$B$1,ItemText[#Headers],0),2),FALSE),""),"Unset")</f>
        <v>Unset</v>
      </c>
      <c r="L859" t="str">
        <f t="shared" si="92"/>
        <v/>
      </c>
      <c r="M859">
        <v>0</v>
      </c>
      <c r="N859" t="str">
        <f>IF(VALUE(M859)=0,"",VLOOKUP(VLOOKUP(M859,Tbl_Effect[],3,FALSE),EffectName[],IFERROR(MATCH(UI!$B$1,EffectName[#Headers],0),2),FALSE))</f>
        <v/>
      </c>
      <c r="O859" t="str">
        <f t="shared" si="93"/>
        <v/>
      </c>
      <c r="P859">
        <v>0</v>
      </c>
      <c r="Q859" t="str">
        <f>IF(VALUE(P859)=0,"",VLOOKUP(VLOOKUP(P859,Tbl_Effect[],3,FALSE),EffectName[],IFERROR(MATCH(UI!$B$1,EffectName[#Headers],0),2),FALSE))</f>
        <v/>
      </c>
      <c r="R859" t="str">
        <f t="shared" si="94"/>
        <v/>
      </c>
      <c r="S859">
        <v>0</v>
      </c>
      <c r="T859" t="str">
        <f>IF(VALUE(S859)=0,"",VLOOKUP(VLOOKUP(S859,Tbl_Effect[],3,FALSE),EffectName[],IFERROR(MATCH(UI!$B$1,EffectName[#Headers],0),2),FALSE))</f>
        <v/>
      </c>
      <c r="U859" t="str">
        <f t="shared" si="95"/>
        <v/>
      </c>
      <c r="V859">
        <v>0</v>
      </c>
      <c r="W859" t="str">
        <f>IF(V859&lt;&gt;0,VLOOKUP(VLOOKUP(V859,Tbl_Effect[],3,FALSE),EffectName[],IFERROR(MATCH(UI!$B$1,EffectName[#Headers],0),2),FALSE),"")</f>
        <v/>
      </c>
      <c r="X859" t="str">
        <f t="shared" si="96"/>
        <v/>
      </c>
      <c r="Y859">
        <v>0</v>
      </c>
      <c r="Z859" t="str">
        <f>IF(Y859&lt;&gt;0,VLOOKUP(VLOOKUP(Y859,Tbl_Effect[],3,FALSE),EffectName[],IFERROR(MATCH(UI!$B$1,EffectName[#Headers],0),2),FALSE),"")</f>
        <v/>
      </c>
      <c r="AA859" t="str">
        <f t="shared" si="97"/>
        <v/>
      </c>
      <c r="AB859">
        <v>0</v>
      </c>
      <c r="AC859" t="str">
        <f>IF(AB859&lt;&gt;0,VLOOKUP(VLOOKUP(AB859,Tbl_Effect[],3,FALSE),EffectName[],IFERROR(MATCH(UI!$B$1,EffectName[#Headers],0),2),FALSE),"")</f>
        <v/>
      </c>
    </row>
    <row r="860" spans="8:29" x14ac:dyDescent="0.4">
      <c r="H860" t="str">
        <f t="shared" si="91"/>
        <v>6001801-Unset (紅)</v>
      </c>
      <c r="I860">
        <v>6001801</v>
      </c>
      <c r="J860" t="str">
        <f>_xlfn.IFNA(IF(I860&lt;&gt;0,VLOOKUP(VLOOKUP(I860,Tbl_Equip[],2,FALSE),Tbl_Color[],IFERROR(MATCH(UI!$B$1,Tbl_Color[#Headers],0),2),FALSE),""),"Unset")</f>
        <v>紅</v>
      </c>
      <c r="K860" t="str">
        <f>_xlfn.IFNA(IF(I860&lt;&gt;0,VLOOKUP(I860,ItemText[],IFERROR(MATCH(UI!$B$1,ItemText[#Headers],0),2),FALSE),""),"Unset")</f>
        <v>Unset</v>
      </c>
      <c r="L860" t="str">
        <f t="shared" si="92"/>
        <v/>
      </c>
      <c r="M860">
        <v>0</v>
      </c>
      <c r="N860" t="str">
        <f>IF(VALUE(M860)=0,"",VLOOKUP(VLOOKUP(M860,Tbl_Effect[],3,FALSE),EffectName[],IFERROR(MATCH(UI!$B$1,EffectName[#Headers],0),2),FALSE))</f>
        <v/>
      </c>
      <c r="O860" t="str">
        <f t="shared" si="93"/>
        <v/>
      </c>
      <c r="P860">
        <v>0</v>
      </c>
      <c r="Q860" t="str">
        <f>IF(VALUE(P860)=0,"",VLOOKUP(VLOOKUP(P860,Tbl_Effect[],3,FALSE),EffectName[],IFERROR(MATCH(UI!$B$1,EffectName[#Headers],0),2),FALSE))</f>
        <v/>
      </c>
      <c r="R860" t="str">
        <f t="shared" si="94"/>
        <v/>
      </c>
      <c r="S860">
        <v>0</v>
      </c>
      <c r="T860" t="str">
        <f>IF(VALUE(S860)=0,"",VLOOKUP(VLOOKUP(S860,Tbl_Effect[],3,FALSE),EffectName[],IFERROR(MATCH(UI!$B$1,EffectName[#Headers],0),2),FALSE))</f>
        <v/>
      </c>
      <c r="U860" t="str">
        <f t="shared" si="95"/>
        <v/>
      </c>
      <c r="V860">
        <v>0</v>
      </c>
      <c r="W860" t="str">
        <f>IF(V860&lt;&gt;0,VLOOKUP(VLOOKUP(V860,Tbl_Effect[],3,FALSE),EffectName[],IFERROR(MATCH(UI!$B$1,EffectName[#Headers],0),2),FALSE),"")</f>
        <v/>
      </c>
      <c r="X860" t="str">
        <f t="shared" si="96"/>
        <v/>
      </c>
      <c r="Y860">
        <v>0</v>
      </c>
      <c r="Z860" t="str">
        <f>IF(Y860&lt;&gt;0,VLOOKUP(VLOOKUP(Y860,Tbl_Effect[],3,FALSE),EffectName[],IFERROR(MATCH(UI!$B$1,EffectName[#Headers],0),2),FALSE),"")</f>
        <v/>
      </c>
      <c r="AA860" t="str">
        <f t="shared" si="97"/>
        <v/>
      </c>
      <c r="AB860">
        <v>0</v>
      </c>
      <c r="AC860" t="str">
        <f>IF(AB860&lt;&gt;0,VLOOKUP(VLOOKUP(AB860,Tbl_Effect[],3,FALSE),EffectName[],IFERROR(MATCH(UI!$B$1,EffectName[#Headers],0),2),FALSE),"")</f>
        <v/>
      </c>
    </row>
    <row r="861" spans="8:29" x14ac:dyDescent="0.4">
      <c r="H861" t="str">
        <f t="shared" si="91"/>
        <v>6002600-Unset (紅)</v>
      </c>
      <c r="I861">
        <v>6002600</v>
      </c>
      <c r="J861" t="str">
        <f>_xlfn.IFNA(IF(I861&lt;&gt;0,VLOOKUP(VLOOKUP(I861,Tbl_Equip[],2,FALSE),Tbl_Color[],IFERROR(MATCH(UI!$B$1,Tbl_Color[#Headers],0),2),FALSE),""),"Unset")</f>
        <v>紅</v>
      </c>
      <c r="K861" t="str">
        <f>_xlfn.IFNA(IF(I861&lt;&gt;0,VLOOKUP(I861,ItemText[],IFERROR(MATCH(UI!$B$1,ItemText[#Headers],0),2),FALSE),""),"Unset")</f>
        <v>Unset</v>
      </c>
      <c r="L861" t="str">
        <f t="shared" si="92"/>
        <v/>
      </c>
      <c r="M861">
        <v>0</v>
      </c>
      <c r="N861" t="str">
        <f>IF(VALUE(M861)=0,"",VLOOKUP(VLOOKUP(M861,Tbl_Effect[],3,FALSE),EffectName[],IFERROR(MATCH(UI!$B$1,EffectName[#Headers],0),2),FALSE))</f>
        <v/>
      </c>
      <c r="O861" t="str">
        <f t="shared" si="93"/>
        <v/>
      </c>
      <c r="P861">
        <v>0</v>
      </c>
      <c r="Q861" t="str">
        <f>IF(VALUE(P861)=0,"",VLOOKUP(VLOOKUP(P861,Tbl_Effect[],3,FALSE),EffectName[],IFERROR(MATCH(UI!$B$1,EffectName[#Headers],0),2),FALSE))</f>
        <v/>
      </c>
      <c r="R861" t="str">
        <f t="shared" si="94"/>
        <v/>
      </c>
      <c r="S861">
        <v>0</v>
      </c>
      <c r="T861" t="str">
        <f>IF(VALUE(S861)=0,"",VLOOKUP(VLOOKUP(S861,Tbl_Effect[],3,FALSE),EffectName[],IFERROR(MATCH(UI!$B$1,EffectName[#Headers],0),2),FALSE))</f>
        <v/>
      </c>
      <c r="U861" t="str">
        <f t="shared" si="95"/>
        <v/>
      </c>
      <c r="V861">
        <v>0</v>
      </c>
      <c r="W861" t="str">
        <f>IF(V861&lt;&gt;0,VLOOKUP(VLOOKUP(V861,Tbl_Effect[],3,FALSE),EffectName[],IFERROR(MATCH(UI!$B$1,EffectName[#Headers],0),2),FALSE),"")</f>
        <v/>
      </c>
      <c r="X861" t="str">
        <f t="shared" si="96"/>
        <v/>
      </c>
      <c r="Y861">
        <v>0</v>
      </c>
      <c r="Z861" t="str">
        <f>IF(Y861&lt;&gt;0,VLOOKUP(VLOOKUP(Y861,Tbl_Effect[],3,FALSE),EffectName[],IFERROR(MATCH(UI!$B$1,EffectName[#Headers],0),2),FALSE),"")</f>
        <v/>
      </c>
      <c r="AA861" t="str">
        <f t="shared" si="97"/>
        <v/>
      </c>
      <c r="AB861">
        <v>0</v>
      </c>
      <c r="AC861" t="str">
        <f>IF(AB861&lt;&gt;0,VLOOKUP(VLOOKUP(AB861,Tbl_Effect[],3,FALSE),EffectName[],IFERROR(MATCH(UI!$B$1,EffectName[#Headers],0),2),FALSE),"")</f>
        <v/>
      </c>
    </row>
    <row r="862" spans="8:29" x14ac:dyDescent="0.4">
      <c r="H862" t="str">
        <f t="shared" si="91"/>
        <v>6002601-Unset (紅)</v>
      </c>
      <c r="I862">
        <v>6002601</v>
      </c>
      <c r="J862" t="str">
        <f>_xlfn.IFNA(IF(I862&lt;&gt;0,VLOOKUP(VLOOKUP(I862,Tbl_Equip[],2,FALSE),Tbl_Color[],IFERROR(MATCH(UI!$B$1,Tbl_Color[#Headers],0),2),FALSE),""),"Unset")</f>
        <v>紅</v>
      </c>
      <c r="K862" t="str">
        <f>_xlfn.IFNA(IF(I862&lt;&gt;0,VLOOKUP(I862,ItemText[],IFERROR(MATCH(UI!$B$1,ItemText[#Headers],0),2),FALSE),""),"Unset")</f>
        <v>Unset</v>
      </c>
      <c r="L862" t="str">
        <f t="shared" si="92"/>
        <v/>
      </c>
      <c r="M862">
        <v>0</v>
      </c>
      <c r="N862" t="str">
        <f>IF(VALUE(M862)=0,"",VLOOKUP(VLOOKUP(M862,Tbl_Effect[],3,FALSE),EffectName[],IFERROR(MATCH(UI!$B$1,EffectName[#Headers],0),2),FALSE))</f>
        <v/>
      </c>
      <c r="O862" t="str">
        <f t="shared" si="93"/>
        <v/>
      </c>
      <c r="P862">
        <v>0</v>
      </c>
      <c r="Q862" t="str">
        <f>IF(VALUE(P862)=0,"",VLOOKUP(VLOOKUP(P862,Tbl_Effect[],3,FALSE),EffectName[],IFERROR(MATCH(UI!$B$1,EffectName[#Headers],0),2),FALSE))</f>
        <v/>
      </c>
      <c r="R862" t="str">
        <f t="shared" si="94"/>
        <v/>
      </c>
      <c r="S862">
        <v>0</v>
      </c>
      <c r="T862" t="str">
        <f>IF(VALUE(S862)=0,"",VLOOKUP(VLOOKUP(S862,Tbl_Effect[],3,FALSE),EffectName[],IFERROR(MATCH(UI!$B$1,EffectName[#Headers],0),2),FALSE))</f>
        <v/>
      </c>
      <c r="U862" t="str">
        <f t="shared" si="95"/>
        <v/>
      </c>
      <c r="V862">
        <v>0</v>
      </c>
      <c r="W862" t="str">
        <f>IF(V862&lt;&gt;0,VLOOKUP(VLOOKUP(V862,Tbl_Effect[],3,FALSE),EffectName[],IFERROR(MATCH(UI!$B$1,EffectName[#Headers],0),2),FALSE),"")</f>
        <v/>
      </c>
      <c r="X862" t="str">
        <f t="shared" si="96"/>
        <v/>
      </c>
      <c r="Y862">
        <v>0</v>
      </c>
      <c r="Z862" t="str">
        <f>IF(Y862&lt;&gt;0,VLOOKUP(VLOOKUP(Y862,Tbl_Effect[],3,FALSE),EffectName[],IFERROR(MATCH(UI!$B$1,EffectName[#Headers],0),2),FALSE),"")</f>
        <v/>
      </c>
      <c r="AA862" t="str">
        <f t="shared" si="97"/>
        <v/>
      </c>
      <c r="AB862">
        <v>0</v>
      </c>
      <c r="AC862" t="str">
        <f>IF(AB862&lt;&gt;0,VLOOKUP(VLOOKUP(AB862,Tbl_Effect[],3,FALSE),EffectName[],IFERROR(MATCH(UI!$B$1,EffectName[#Headers],0),2),FALSE),"")</f>
        <v/>
      </c>
    </row>
    <row r="863" spans="8:29" x14ac:dyDescent="0.4">
      <c r="H863" t="str">
        <f t="shared" si="91"/>
        <v>6002700-Unset (紅)</v>
      </c>
      <c r="I863">
        <v>6002700</v>
      </c>
      <c r="J863" t="str">
        <f>_xlfn.IFNA(IF(I863&lt;&gt;0,VLOOKUP(VLOOKUP(I863,Tbl_Equip[],2,FALSE),Tbl_Color[],IFERROR(MATCH(UI!$B$1,Tbl_Color[#Headers],0),2),FALSE),""),"Unset")</f>
        <v>紅</v>
      </c>
      <c r="K863" t="str">
        <f>_xlfn.IFNA(IF(I863&lt;&gt;0,VLOOKUP(I863,ItemText[],IFERROR(MATCH(UI!$B$1,ItemText[#Headers],0),2),FALSE),""),"Unset")</f>
        <v>Unset</v>
      </c>
      <c r="L863" t="str">
        <f t="shared" si="92"/>
        <v/>
      </c>
      <c r="M863">
        <v>0</v>
      </c>
      <c r="N863" t="str">
        <f>IF(VALUE(M863)=0,"",VLOOKUP(VLOOKUP(M863,Tbl_Effect[],3,FALSE),EffectName[],IFERROR(MATCH(UI!$B$1,EffectName[#Headers],0),2),FALSE))</f>
        <v/>
      </c>
      <c r="O863" t="str">
        <f t="shared" si="93"/>
        <v/>
      </c>
      <c r="P863">
        <v>0</v>
      </c>
      <c r="Q863" t="str">
        <f>IF(VALUE(P863)=0,"",VLOOKUP(VLOOKUP(P863,Tbl_Effect[],3,FALSE),EffectName[],IFERROR(MATCH(UI!$B$1,EffectName[#Headers],0),2),FALSE))</f>
        <v/>
      </c>
      <c r="R863" t="str">
        <f t="shared" si="94"/>
        <v/>
      </c>
      <c r="S863">
        <v>0</v>
      </c>
      <c r="T863" t="str">
        <f>IF(VALUE(S863)=0,"",VLOOKUP(VLOOKUP(S863,Tbl_Effect[],3,FALSE),EffectName[],IFERROR(MATCH(UI!$B$1,EffectName[#Headers],0),2),FALSE))</f>
        <v/>
      </c>
      <c r="U863" t="str">
        <f t="shared" si="95"/>
        <v/>
      </c>
      <c r="V863">
        <v>0</v>
      </c>
      <c r="W863" t="str">
        <f>IF(V863&lt;&gt;0,VLOOKUP(VLOOKUP(V863,Tbl_Effect[],3,FALSE),EffectName[],IFERROR(MATCH(UI!$B$1,EffectName[#Headers],0),2),FALSE),"")</f>
        <v/>
      </c>
      <c r="X863" t="str">
        <f t="shared" si="96"/>
        <v/>
      </c>
      <c r="Y863">
        <v>0</v>
      </c>
      <c r="Z863" t="str">
        <f>IF(Y863&lt;&gt;0,VLOOKUP(VLOOKUP(Y863,Tbl_Effect[],3,FALSE),EffectName[],IFERROR(MATCH(UI!$B$1,EffectName[#Headers],0),2),FALSE),"")</f>
        <v/>
      </c>
      <c r="AA863" t="str">
        <f t="shared" si="97"/>
        <v/>
      </c>
      <c r="AB863">
        <v>0</v>
      </c>
      <c r="AC863" t="str">
        <f>IF(AB863&lt;&gt;0,VLOOKUP(VLOOKUP(AB863,Tbl_Effect[],3,FALSE),EffectName[],IFERROR(MATCH(UI!$B$1,EffectName[#Headers],0),2),FALSE),"")</f>
        <v/>
      </c>
    </row>
    <row r="864" spans="8:29" x14ac:dyDescent="0.4">
      <c r="H864" t="str">
        <f t="shared" si="91"/>
        <v>6002701-Unset (紅)</v>
      </c>
      <c r="I864">
        <v>6002701</v>
      </c>
      <c r="J864" t="str">
        <f>_xlfn.IFNA(IF(I864&lt;&gt;0,VLOOKUP(VLOOKUP(I864,Tbl_Equip[],2,FALSE),Tbl_Color[],IFERROR(MATCH(UI!$B$1,Tbl_Color[#Headers],0),2),FALSE),""),"Unset")</f>
        <v>紅</v>
      </c>
      <c r="K864" t="str">
        <f>_xlfn.IFNA(IF(I864&lt;&gt;0,VLOOKUP(I864,ItemText[],IFERROR(MATCH(UI!$B$1,ItemText[#Headers],0),2),FALSE),""),"Unset")</f>
        <v>Unset</v>
      </c>
      <c r="L864" t="str">
        <f t="shared" si="92"/>
        <v/>
      </c>
      <c r="M864">
        <v>0</v>
      </c>
      <c r="N864" t="str">
        <f>IF(VALUE(M864)=0,"",VLOOKUP(VLOOKUP(M864,Tbl_Effect[],3,FALSE),EffectName[],IFERROR(MATCH(UI!$B$1,EffectName[#Headers],0),2),FALSE))</f>
        <v/>
      </c>
      <c r="O864" t="str">
        <f t="shared" si="93"/>
        <v/>
      </c>
      <c r="P864">
        <v>0</v>
      </c>
      <c r="Q864" t="str">
        <f>IF(VALUE(P864)=0,"",VLOOKUP(VLOOKUP(P864,Tbl_Effect[],3,FALSE),EffectName[],IFERROR(MATCH(UI!$B$1,EffectName[#Headers],0),2),FALSE))</f>
        <v/>
      </c>
      <c r="R864" t="str">
        <f t="shared" si="94"/>
        <v/>
      </c>
      <c r="S864">
        <v>0</v>
      </c>
      <c r="T864" t="str">
        <f>IF(VALUE(S864)=0,"",VLOOKUP(VLOOKUP(S864,Tbl_Effect[],3,FALSE),EffectName[],IFERROR(MATCH(UI!$B$1,EffectName[#Headers],0),2),FALSE))</f>
        <v/>
      </c>
      <c r="U864" t="str">
        <f t="shared" si="95"/>
        <v/>
      </c>
      <c r="V864">
        <v>0</v>
      </c>
      <c r="W864" t="str">
        <f>IF(V864&lt;&gt;0,VLOOKUP(VLOOKUP(V864,Tbl_Effect[],3,FALSE),EffectName[],IFERROR(MATCH(UI!$B$1,EffectName[#Headers],0),2),FALSE),"")</f>
        <v/>
      </c>
      <c r="X864" t="str">
        <f t="shared" si="96"/>
        <v/>
      </c>
      <c r="Y864">
        <v>0</v>
      </c>
      <c r="Z864" t="str">
        <f>IF(Y864&lt;&gt;0,VLOOKUP(VLOOKUP(Y864,Tbl_Effect[],3,FALSE),EffectName[],IFERROR(MATCH(UI!$B$1,EffectName[#Headers],0),2),FALSE),"")</f>
        <v/>
      </c>
      <c r="AA864" t="str">
        <f t="shared" si="97"/>
        <v/>
      </c>
      <c r="AB864">
        <v>0</v>
      </c>
      <c r="AC864" t="str">
        <f>IF(AB864&lt;&gt;0,VLOOKUP(VLOOKUP(AB864,Tbl_Effect[],3,FALSE),EffectName[],IFERROR(MATCH(UI!$B$1,EffectName[#Headers],0),2),FALSE),"")</f>
        <v/>
      </c>
    </row>
    <row r="865" spans="8:29" x14ac:dyDescent="0.4">
      <c r="H865" t="str">
        <f t="shared" si="91"/>
        <v>6002800-Unset (紅)</v>
      </c>
      <c r="I865">
        <v>6002800</v>
      </c>
      <c r="J865" t="str">
        <f>_xlfn.IFNA(IF(I865&lt;&gt;0,VLOOKUP(VLOOKUP(I865,Tbl_Equip[],2,FALSE),Tbl_Color[],IFERROR(MATCH(UI!$B$1,Tbl_Color[#Headers],0),2),FALSE),""),"Unset")</f>
        <v>紅</v>
      </c>
      <c r="K865" t="str">
        <f>_xlfn.IFNA(IF(I865&lt;&gt;0,VLOOKUP(I865,ItemText[],IFERROR(MATCH(UI!$B$1,ItemText[#Headers],0),2),FALSE),""),"Unset")</f>
        <v>Unset</v>
      </c>
      <c r="L865" t="str">
        <f t="shared" si="92"/>
        <v/>
      </c>
      <c r="M865">
        <v>0</v>
      </c>
      <c r="N865" t="str">
        <f>IF(VALUE(M865)=0,"",VLOOKUP(VLOOKUP(M865,Tbl_Effect[],3,FALSE),EffectName[],IFERROR(MATCH(UI!$B$1,EffectName[#Headers],0),2),FALSE))</f>
        <v/>
      </c>
      <c r="O865" t="str">
        <f t="shared" si="93"/>
        <v/>
      </c>
      <c r="P865">
        <v>0</v>
      </c>
      <c r="Q865" t="str">
        <f>IF(VALUE(P865)=0,"",VLOOKUP(VLOOKUP(P865,Tbl_Effect[],3,FALSE),EffectName[],IFERROR(MATCH(UI!$B$1,EffectName[#Headers],0),2),FALSE))</f>
        <v/>
      </c>
      <c r="R865" t="str">
        <f t="shared" si="94"/>
        <v/>
      </c>
      <c r="S865">
        <v>0</v>
      </c>
      <c r="T865" t="str">
        <f>IF(VALUE(S865)=0,"",VLOOKUP(VLOOKUP(S865,Tbl_Effect[],3,FALSE),EffectName[],IFERROR(MATCH(UI!$B$1,EffectName[#Headers],0),2),FALSE))</f>
        <v/>
      </c>
      <c r="U865" t="str">
        <f t="shared" si="95"/>
        <v/>
      </c>
      <c r="V865">
        <v>0</v>
      </c>
      <c r="W865" t="str">
        <f>IF(V865&lt;&gt;0,VLOOKUP(VLOOKUP(V865,Tbl_Effect[],3,FALSE),EffectName[],IFERROR(MATCH(UI!$B$1,EffectName[#Headers],0),2),FALSE),"")</f>
        <v/>
      </c>
      <c r="X865" t="str">
        <f t="shared" si="96"/>
        <v/>
      </c>
      <c r="Y865">
        <v>0</v>
      </c>
      <c r="Z865" t="str">
        <f>IF(Y865&lt;&gt;0,VLOOKUP(VLOOKUP(Y865,Tbl_Effect[],3,FALSE),EffectName[],IFERROR(MATCH(UI!$B$1,EffectName[#Headers],0),2),FALSE),"")</f>
        <v/>
      </c>
      <c r="AA865" t="str">
        <f t="shared" si="97"/>
        <v/>
      </c>
      <c r="AB865">
        <v>0</v>
      </c>
      <c r="AC865" t="str">
        <f>IF(AB865&lt;&gt;0,VLOOKUP(VLOOKUP(AB865,Tbl_Effect[],3,FALSE),EffectName[],IFERROR(MATCH(UI!$B$1,EffectName[#Headers],0),2),FALSE),"")</f>
        <v/>
      </c>
    </row>
    <row r="866" spans="8:29" x14ac:dyDescent="0.4">
      <c r="H866" t="str">
        <f t="shared" si="91"/>
        <v>6002801-Unset (紅)</v>
      </c>
      <c r="I866">
        <v>6002801</v>
      </c>
      <c r="J866" t="str">
        <f>_xlfn.IFNA(IF(I866&lt;&gt;0,VLOOKUP(VLOOKUP(I866,Tbl_Equip[],2,FALSE),Tbl_Color[],IFERROR(MATCH(UI!$B$1,Tbl_Color[#Headers],0),2),FALSE),""),"Unset")</f>
        <v>紅</v>
      </c>
      <c r="K866" t="str">
        <f>_xlfn.IFNA(IF(I866&lt;&gt;0,VLOOKUP(I866,ItemText[],IFERROR(MATCH(UI!$B$1,ItemText[#Headers],0),2),FALSE),""),"Unset")</f>
        <v>Unset</v>
      </c>
      <c r="L866" t="str">
        <f t="shared" si="92"/>
        <v/>
      </c>
      <c r="M866">
        <v>0</v>
      </c>
      <c r="N866" t="str">
        <f>IF(VALUE(M866)=0,"",VLOOKUP(VLOOKUP(M866,Tbl_Effect[],3,FALSE),EffectName[],IFERROR(MATCH(UI!$B$1,EffectName[#Headers],0),2),FALSE))</f>
        <v/>
      </c>
      <c r="O866" t="str">
        <f t="shared" si="93"/>
        <v/>
      </c>
      <c r="P866">
        <v>0</v>
      </c>
      <c r="Q866" t="str">
        <f>IF(VALUE(P866)=0,"",VLOOKUP(VLOOKUP(P866,Tbl_Effect[],3,FALSE),EffectName[],IFERROR(MATCH(UI!$B$1,EffectName[#Headers],0),2),FALSE))</f>
        <v/>
      </c>
      <c r="R866" t="str">
        <f t="shared" si="94"/>
        <v/>
      </c>
      <c r="S866">
        <v>0</v>
      </c>
      <c r="T866" t="str">
        <f>IF(VALUE(S866)=0,"",VLOOKUP(VLOOKUP(S866,Tbl_Effect[],3,FALSE),EffectName[],IFERROR(MATCH(UI!$B$1,EffectName[#Headers],0),2),FALSE))</f>
        <v/>
      </c>
      <c r="U866" t="str">
        <f t="shared" si="95"/>
        <v/>
      </c>
      <c r="V866">
        <v>0</v>
      </c>
      <c r="W866" t="str">
        <f>IF(V866&lt;&gt;0,VLOOKUP(VLOOKUP(V866,Tbl_Effect[],3,FALSE),EffectName[],IFERROR(MATCH(UI!$B$1,EffectName[#Headers],0),2),FALSE),"")</f>
        <v/>
      </c>
      <c r="X866" t="str">
        <f t="shared" si="96"/>
        <v/>
      </c>
      <c r="Y866">
        <v>0</v>
      </c>
      <c r="Z866" t="str">
        <f>IF(Y866&lt;&gt;0,VLOOKUP(VLOOKUP(Y866,Tbl_Effect[],3,FALSE),EffectName[],IFERROR(MATCH(UI!$B$1,EffectName[#Headers],0),2),FALSE),"")</f>
        <v/>
      </c>
      <c r="AA866" t="str">
        <f t="shared" si="97"/>
        <v/>
      </c>
      <c r="AB866">
        <v>0</v>
      </c>
      <c r="AC866" t="str">
        <f>IF(AB866&lt;&gt;0,VLOOKUP(VLOOKUP(AB866,Tbl_Effect[],3,FALSE),EffectName[],IFERROR(MATCH(UI!$B$1,EffectName[#Headers],0),2),FALSE),"")</f>
        <v/>
      </c>
    </row>
    <row r="867" spans="8:29" x14ac:dyDescent="0.4">
      <c r="H867" t="str">
        <f t="shared" si="91"/>
        <v>6002900-Unset (紅)</v>
      </c>
      <c r="I867">
        <v>6002900</v>
      </c>
      <c r="J867" t="str">
        <f>_xlfn.IFNA(IF(I867&lt;&gt;0,VLOOKUP(VLOOKUP(I867,Tbl_Equip[],2,FALSE),Tbl_Color[],IFERROR(MATCH(UI!$B$1,Tbl_Color[#Headers],0),2),FALSE),""),"Unset")</f>
        <v>紅</v>
      </c>
      <c r="K867" t="str">
        <f>_xlfn.IFNA(IF(I867&lt;&gt;0,VLOOKUP(I867,ItemText[],IFERROR(MATCH(UI!$B$1,ItemText[#Headers],0),2),FALSE),""),"Unset")</f>
        <v>Unset</v>
      </c>
      <c r="L867" t="str">
        <f t="shared" si="92"/>
        <v/>
      </c>
      <c r="M867">
        <v>0</v>
      </c>
      <c r="N867" t="str">
        <f>IF(VALUE(M867)=0,"",VLOOKUP(VLOOKUP(M867,Tbl_Effect[],3,FALSE),EffectName[],IFERROR(MATCH(UI!$B$1,EffectName[#Headers],0),2),FALSE))</f>
        <v/>
      </c>
      <c r="O867" t="str">
        <f t="shared" si="93"/>
        <v/>
      </c>
      <c r="P867">
        <v>0</v>
      </c>
      <c r="Q867" t="str">
        <f>IF(VALUE(P867)=0,"",VLOOKUP(VLOOKUP(P867,Tbl_Effect[],3,FALSE),EffectName[],IFERROR(MATCH(UI!$B$1,EffectName[#Headers],0),2),FALSE))</f>
        <v/>
      </c>
      <c r="R867" t="str">
        <f t="shared" si="94"/>
        <v/>
      </c>
      <c r="S867">
        <v>0</v>
      </c>
      <c r="T867" t="str">
        <f>IF(VALUE(S867)=0,"",VLOOKUP(VLOOKUP(S867,Tbl_Effect[],3,FALSE),EffectName[],IFERROR(MATCH(UI!$B$1,EffectName[#Headers],0),2),FALSE))</f>
        <v/>
      </c>
      <c r="U867" t="str">
        <f t="shared" si="95"/>
        <v/>
      </c>
      <c r="V867">
        <v>0</v>
      </c>
      <c r="W867" t="str">
        <f>IF(V867&lt;&gt;0,VLOOKUP(VLOOKUP(V867,Tbl_Effect[],3,FALSE),EffectName[],IFERROR(MATCH(UI!$B$1,EffectName[#Headers],0),2),FALSE),"")</f>
        <v/>
      </c>
      <c r="X867" t="str">
        <f t="shared" si="96"/>
        <v/>
      </c>
      <c r="Y867">
        <v>0</v>
      </c>
      <c r="Z867" t="str">
        <f>IF(Y867&lt;&gt;0,VLOOKUP(VLOOKUP(Y867,Tbl_Effect[],3,FALSE),EffectName[],IFERROR(MATCH(UI!$B$1,EffectName[#Headers],0),2),FALSE),"")</f>
        <v/>
      </c>
      <c r="AA867" t="str">
        <f t="shared" si="97"/>
        <v/>
      </c>
      <c r="AB867">
        <v>0</v>
      </c>
      <c r="AC867" t="str">
        <f>IF(AB867&lt;&gt;0,VLOOKUP(VLOOKUP(AB867,Tbl_Effect[],3,FALSE),EffectName[],IFERROR(MATCH(UI!$B$1,EffectName[#Headers],0),2),FALSE),"")</f>
        <v/>
      </c>
    </row>
    <row r="868" spans="8:29" x14ac:dyDescent="0.4">
      <c r="H868" t="str">
        <f t="shared" si="91"/>
        <v>6002901-Unset (紅)</v>
      </c>
      <c r="I868">
        <v>6002901</v>
      </c>
      <c r="J868" t="str">
        <f>_xlfn.IFNA(IF(I868&lt;&gt;0,VLOOKUP(VLOOKUP(I868,Tbl_Equip[],2,FALSE),Tbl_Color[],IFERROR(MATCH(UI!$B$1,Tbl_Color[#Headers],0),2),FALSE),""),"Unset")</f>
        <v>紅</v>
      </c>
      <c r="K868" t="str">
        <f>_xlfn.IFNA(IF(I868&lt;&gt;0,VLOOKUP(I868,ItemText[],IFERROR(MATCH(UI!$B$1,ItemText[#Headers],0),2),FALSE),""),"Unset")</f>
        <v>Unset</v>
      </c>
      <c r="L868" t="str">
        <f t="shared" si="92"/>
        <v/>
      </c>
      <c r="M868">
        <v>0</v>
      </c>
      <c r="N868" t="str">
        <f>IF(VALUE(M868)=0,"",VLOOKUP(VLOOKUP(M868,Tbl_Effect[],3,FALSE),EffectName[],IFERROR(MATCH(UI!$B$1,EffectName[#Headers],0),2),FALSE))</f>
        <v/>
      </c>
      <c r="O868" t="str">
        <f t="shared" si="93"/>
        <v/>
      </c>
      <c r="P868">
        <v>0</v>
      </c>
      <c r="Q868" t="str">
        <f>IF(VALUE(P868)=0,"",VLOOKUP(VLOOKUP(P868,Tbl_Effect[],3,FALSE),EffectName[],IFERROR(MATCH(UI!$B$1,EffectName[#Headers],0),2),FALSE))</f>
        <v/>
      </c>
      <c r="R868" t="str">
        <f t="shared" si="94"/>
        <v/>
      </c>
      <c r="S868">
        <v>0</v>
      </c>
      <c r="T868" t="str">
        <f>IF(VALUE(S868)=0,"",VLOOKUP(VLOOKUP(S868,Tbl_Effect[],3,FALSE),EffectName[],IFERROR(MATCH(UI!$B$1,EffectName[#Headers],0),2),FALSE))</f>
        <v/>
      </c>
      <c r="U868" t="str">
        <f t="shared" si="95"/>
        <v/>
      </c>
      <c r="V868">
        <v>0</v>
      </c>
      <c r="W868" t="str">
        <f>IF(V868&lt;&gt;0,VLOOKUP(VLOOKUP(V868,Tbl_Effect[],3,FALSE),EffectName[],IFERROR(MATCH(UI!$B$1,EffectName[#Headers],0),2),FALSE),"")</f>
        <v/>
      </c>
      <c r="X868" t="str">
        <f t="shared" si="96"/>
        <v/>
      </c>
      <c r="Y868">
        <v>0</v>
      </c>
      <c r="Z868" t="str">
        <f>IF(Y868&lt;&gt;0,VLOOKUP(VLOOKUP(Y868,Tbl_Effect[],3,FALSE),EffectName[],IFERROR(MATCH(UI!$B$1,EffectName[#Headers],0),2),FALSE),"")</f>
        <v/>
      </c>
      <c r="AA868" t="str">
        <f t="shared" si="97"/>
        <v/>
      </c>
      <c r="AB868">
        <v>0</v>
      </c>
      <c r="AC868" t="str">
        <f>IF(AB868&lt;&gt;0,VLOOKUP(VLOOKUP(AB868,Tbl_Effect[],3,FALSE),EffectName[],IFERROR(MATCH(UI!$B$1,EffectName[#Headers],0),2),FALSE),"")</f>
        <v/>
      </c>
    </row>
    <row r="869" spans="8:29" x14ac:dyDescent="0.4">
      <c r="H869" t="str">
        <f t="shared" si="91"/>
        <v>6003000-Unset (紅)</v>
      </c>
      <c r="I869">
        <v>6003000</v>
      </c>
      <c r="J869" t="str">
        <f>_xlfn.IFNA(IF(I869&lt;&gt;0,VLOOKUP(VLOOKUP(I869,Tbl_Equip[],2,FALSE),Tbl_Color[],IFERROR(MATCH(UI!$B$1,Tbl_Color[#Headers],0),2),FALSE),""),"Unset")</f>
        <v>紅</v>
      </c>
      <c r="K869" t="str">
        <f>_xlfn.IFNA(IF(I869&lt;&gt;0,VLOOKUP(I869,ItemText[],IFERROR(MATCH(UI!$B$1,ItemText[#Headers],0),2),FALSE),""),"Unset")</f>
        <v>Unset</v>
      </c>
      <c r="L869" t="str">
        <f t="shared" si="92"/>
        <v/>
      </c>
      <c r="M869">
        <v>0</v>
      </c>
      <c r="N869" t="str">
        <f>IF(VALUE(M869)=0,"",VLOOKUP(VLOOKUP(M869,Tbl_Effect[],3,FALSE),EffectName[],IFERROR(MATCH(UI!$B$1,EffectName[#Headers],0),2),FALSE))</f>
        <v/>
      </c>
      <c r="O869" t="str">
        <f t="shared" si="93"/>
        <v/>
      </c>
      <c r="P869">
        <v>0</v>
      </c>
      <c r="Q869" t="str">
        <f>IF(VALUE(P869)=0,"",VLOOKUP(VLOOKUP(P869,Tbl_Effect[],3,FALSE),EffectName[],IFERROR(MATCH(UI!$B$1,EffectName[#Headers],0),2),FALSE))</f>
        <v/>
      </c>
      <c r="R869" t="str">
        <f t="shared" si="94"/>
        <v/>
      </c>
      <c r="S869">
        <v>0</v>
      </c>
      <c r="T869" t="str">
        <f>IF(VALUE(S869)=0,"",VLOOKUP(VLOOKUP(S869,Tbl_Effect[],3,FALSE),EffectName[],IFERROR(MATCH(UI!$B$1,EffectName[#Headers],0),2),FALSE))</f>
        <v/>
      </c>
      <c r="U869" t="str">
        <f t="shared" si="95"/>
        <v/>
      </c>
      <c r="V869">
        <v>0</v>
      </c>
      <c r="W869" t="str">
        <f>IF(V869&lt;&gt;0,VLOOKUP(VLOOKUP(V869,Tbl_Effect[],3,FALSE),EffectName[],IFERROR(MATCH(UI!$B$1,EffectName[#Headers],0),2),FALSE),"")</f>
        <v/>
      </c>
      <c r="X869" t="str">
        <f t="shared" si="96"/>
        <v/>
      </c>
      <c r="Y869">
        <v>0</v>
      </c>
      <c r="Z869" t="str">
        <f>IF(Y869&lt;&gt;0,VLOOKUP(VLOOKUP(Y869,Tbl_Effect[],3,FALSE),EffectName[],IFERROR(MATCH(UI!$B$1,EffectName[#Headers],0),2),FALSE),"")</f>
        <v/>
      </c>
      <c r="AA869" t="str">
        <f t="shared" si="97"/>
        <v/>
      </c>
      <c r="AB869">
        <v>0</v>
      </c>
      <c r="AC869" t="str">
        <f>IF(AB869&lt;&gt;0,VLOOKUP(VLOOKUP(AB869,Tbl_Effect[],3,FALSE),EffectName[],IFERROR(MATCH(UI!$B$1,EffectName[#Headers],0),2),FALSE),"")</f>
        <v/>
      </c>
    </row>
    <row r="870" spans="8:29" x14ac:dyDescent="0.4">
      <c r="H870" t="str">
        <f t="shared" si="91"/>
        <v>6003001-Unset (紅)</v>
      </c>
      <c r="I870">
        <v>6003001</v>
      </c>
      <c r="J870" t="str">
        <f>_xlfn.IFNA(IF(I870&lt;&gt;0,VLOOKUP(VLOOKUP(I870,Tbl_Equip[],2,FALSE),Tbl_Color[],IFERROR(MATCH(UI!$B$1,Tbl_Color[#Headers],0),2),FALSE),""),"Unset")</f>
        <v>紅</v>
      </c>
      <c r="K870" t="str">
        <f>_xlfn.IFNA(IF(I870&lt;&gt;0,VLOOKUP(I870,ItemText[],IFERROR(MATCH(UI!$B$1,ItemText[#Headers],0),2),FALSE),""),"Unset")</f>
        <v>Unset</v>
      </c>
      <c r="L870" t="str">
        <f t="shared" si="92"/>
        <v/>
      </c>
      <c r="M870">
        <v>0</v>
      </c>
      <c r="N870" t="str">
        <f>IF(VALUE(M870)=0,"",VLOOKUP(VLOOKUP(M870,Tbl_Effect[],3,FALSE),EffectName[],IFERROR(MATCH(UI!$B$1,EffectName[#Headers],0),2),FALSE))</f>
        <v/>
      </c>
      <c r="O870" t="str">
        <f t="shared" si="93"/>
        <v/>
      </c>
      <c r="P870">
        <v>0</v>
      </c>
      <c r="Q870" t="str">
        <f>IF(VALUE(P870)=0,"",VLOOKUP(VLOOKUP(P870,Tbl_Effect[],3,FALSE),EffectName[],IFERROR(MATCH(UI!$B$1,EffectName[#Headers],0),2),FALSE))</f>
        <v/>
      </c>
      <c r="R870" t="str">
        <f t="shared" si="94"/>
        <v/>
      </c>
      <c r="S870">
        <v>0</v>
      </c>
      <c r="T870" t="str">
        <f>IF(VALUE(S870)=0,"",VLOOKUP(VLOOKUP(S870,Tbl_Effect[],3,FALSE),EffectName[],IFERROR(MATCH(UI!$B$1,EffectName[#Headers],0),2),FALSE))</f>
        <v/>
      </c>
      <c r="U870" t="str">
        <f t="shared" si="95"/>
        <v/>
      </c>
      <c r="V870">
        <v>0</v>
      </c>
      <c r="W870" t="str">
        <f>IF(V870&lt;&gt;0,VLOOKUP(VLOOKUP(V870,Tbl_Effect[],3,FALSE),EffectName[],IFERROR(MATCH(UI!$B$1,EffectName[#Headers],0),2),FALSE),"")</f>
        <v/>
      </c>
      <c r="X870" t="str">
        <f t="shared" si="96"/>
        <v/>
      </c>
      <c r="Y870">
        <v>0</v>
      </c>
      <c r="Z870" t="str">
        <f>IF(Y870&lt;&gt;0,VLOOKUP(VLOOKUP(Y870,Tbl_Effect[],3,FALSE),EffectName[],IFERROR(MATCH(UI!$B$1,EffectName[#Headers],0),2),FALSE),"")</f>
        <v/>
      </c>
      <c r="AA870" t="str">
        <f t="shared" si="97"/>
        <v/>
      </c>
      <c r="AB870">
        <v>0</v>
      </c>
      <c r="AC870" t="str">
        <f>IF(AB870&lt;&gt;0,VLOOKUP(VLOOKUP(AB870,Tbl_Effect[],3,FALSE),EffectName[],IFERROR(MATCH(UI!$B$1,EffectName[#Headers],0),2),FALSE),"")</f>
        <v/>
      </c>
    </row>
    <row r="871" spans="8:29" x14ac:dyDescent="0.4">
      <c r="H871" t="str">
        <f t="shared" si="91"/>
        <v>6003100-Unset (紅)</v>
      </c>
      <c r="I871">
        <v>6003100</v>
      </c>
      <c r="J871" t="str">
        <f>_xlfn.IFNA(IF(I871&lt;&gt;0,VLOOKUP(VLOOKUP(I871,Tbl_Equip[],2,FALSE),Tbl_Color[],IFERROR(MATCH(UI!$B$1,Tbl_Color[#Headers],0),2),FALSE),""),"Unset")</f>
        <v>紅</v>
      </c>
      <c r="K871" t="str">
        <f>_xlfn.IFNA(IF(I871&lt;&gt;0,VLOOKUP(I871,ItemText[],IFERROR(MATCH(UI!$B$1,ItemText[#Headers],0),2),FALSE),""),"Unset")</f>
        <v>Unset</v>
      </c>
      <c r="L871" t="str">
        <f t="shared" si="92"/>
        <v/>
      </c>
      <c r="M871">
        <v>0</v>
      </c>
      <c r="N871" t="str">
        <f>IF(VALUE(M871)=0,"",VLOOKUP(VLOOKUP(M871,Tbl_Effect[],3,FALSE),EffectName[],IFERROR(MATCH(UI!$B$1,EffectName[#Headers],0),2),FALSE))</f>
        <v/>
      </c>
      <c r="O871" t="str">
        <f t="shared" si="93"/>
        <v/>
      </c>
      <c r="P871">
        <v>0</v>
      </c>
      <c r="Q871" t="str">
        <f>IF(VALUE(P871)=0,"",VLOOKUP(VLOOKUP(P871,Tbl_Effect[],3,FALSE),EffectName[],IFERROR(MATCH(UI!$B$1,EffectName[#Headers],0),2),FALSE))</f>
        <v/>
      </c>
      <c r="R871" t="str">
        <f t="shared" si="94"/>
        <v/>
      </c>
      <c r="S871">
        <v>0</v>
      </c>
      <c r="T871" t="str">
        <f>IF(VALUE(S871)=0,"",VLOOKUP(VLOOKUP(S871,Tbl_Effect[],3,FALSE),EffectName[],IFERROR(MATCH(UI!$B$1,EffectName[#Headers],0),2),FALSE))</f>
        <v/>
      </c>
      <c r="U871" t="str">
        <f t="shared" si="95"/>
        <v/>
      </c>
      <c r="V871">
        <v>0</v>
      </c>
      <c r="W871" t="str">
        <f>IF(V871&lt;&gt;0,VLOOKUP(VLOOKUP(V871,Tbl_Effect[],3,FALSE),EffectName[],IFERROR(MATCH(UI!$B$1,EffectName[#Headers],0),2),FALSE),"")</f>
        <v/>
      </c>
      <c r="X871" t="str">
        <f t="shared" si="96"/>
        <v/>
      </c>
      <c r="Y871">
        <v>0</v>
      </c>
      <c r="Z871" t="str">
        <f>IF(Y871&lt;&gt;0,VLOOKUP(VLOOKUP(Y871,Tbl_Effect[],3,FALSE),EffectName[],IFERROR(MATCH(UI!$B$1,EffectName[#Headers],0),2),FALSE),"")</f>
        <v/>
      </c>
      <c r="AA871" t="str">
        <f t="shared" si="97"/>
        <v/>
      </c>
      <c r="AB871">
        <v>0</v>
      </c>
      <c r="AC871" t="str">
        <f>IF(AB871&lt;&gt;0,VLOOKUP(VLOOKUP(AB871,Tbl_Effect[],3,FALSE),EffectName[],IFERROR(MATCH(UI!$B$1,EffectName[#Headers],0),2),FALSE),"")</f>
        <v/>
      </c>
    </row>
    <row r="872" spans="8:29" x14ac:dyDescent="0.4">
      <c r="H872" t="str">
        <f t="shared" si="91"/>
        <v>6003101-Unset (紅)</v>
      </c>
      <c r="I872">
        <v>6003101</v>
      </c>
      <c r="J872" t="str">
        <f>_xlfn.IFNA(IF(I872&lt;&gt;0,VLOOKUP(VLOOKUP(I872,Tbl_Equip[],2,FALSE),Tbl_Color[],IFERROR(MATCH(UI!$B$1,Tbl_Color[#Headers],0),2),FALSE),""),"Unset")</f>
        <v>紅</v>
      </c>
      <c r="K872" t="str">
        <f>_xlfn.IFNA(IF(I872&lt;&gt;0,VLOOKUP(I872,ItemText[],IFERROR(MATCH(UI!$B$1,ItemText[#Headers],0),2),FALSE),""),"Unset")</f>
        <v>Unset</v>
      </c>
      <c r="L872" t="str">
        <f t="shared" si="92"/>
        <v/>
      </c>
      <c r="M872">
        <v>0</v>
      </c>
      <c r="N872" t="str">
        <f>IF(VALUE(M872)=0,"",VLOOKUP(VLOOKUP(M872,Tbl_Effect[],3,FALSE),EffectName[],IFERROR(MATCH(UI!$B$1,EffectName[#Headers],0),2),FALSE))</f>
        <v/>
      </c>
      <c r="O872" t="str">
        <f t="shared" si="93"/>
        <v/>
      </c>
      <c r="P872">
        <v>0</v>
      </c>
      <c r="Q872" t="str">
        <f>IF(VALUE(P872)=0,"",VLOOKUP(VLOOKUP(P872,Tbl_Effect[],3,FALSE),EffectName[],IFERROR(MATCH(UI!$B$1,EffectName[#Headers],0),2),FALSE))</f>
        <v/>
      </c>
      <c r="R872" t="str">
        <f t="shared" si="94"/>
        <v/>
      </c>
      <c r="S872">
        <v>0</v>
      </c>
      <c r="T872" t="str">
        <f>IF(VALUE(S872)=0,"",VLOOKUP(VLOOKUP(S872,Tbl_Effect[],3,FALSE),EffectName[],IFERROR(MATCH(UI!$B$1,EffectName[#Headers],0),2),FALSE))</f>
        <v/>
      </c>
      <c r="U872" t="str">
        <f t="shared" si="95"/>
        <v/>
      </c>
      <c r="V872">
        <v>0</v>
      </c>
      <c r="W872" t="str">
        <f>IF(V872&lt;&gt;0,VLOOKUP(VLOOKUP(V872,Tbl_Effect[],3,FALSE),EffectName[],IFERROR(MATCH(UI!$B$1,EffectName[#Headers],0),2),FALSE),"")</f>
        <v/>
      </c>
      <c r="X872" t="str">
        <f t="shared" si="96"/>
        <v/>
      </c>
      <c r="Y872">
        <v>0</v>
      </c>
      <c r="Z872" t="str">
        <f>IF(Y872&lt;&gt;0,VLOOKUP(VLOOKUP(Y872,Tbl_Effect[],3,FALSE),EffectName[],IFERROR(MATCH(UI!$B$1,EffectName[#Headers],0),2),FALSE),"")</f>
        <v/>
      </c>
      <c r="AA872" t="str">
        <f t="shared" si="97"/>
        <v/>
      </c>
      <c r="AB872">
        <v>0</v>
      </c>
      <c r="AC872" t="str">
        <f>IF(AB872&lt;&gt;0,VLOOKUP(VLOOKUP(AB872,Tbl_Effect[],3,FALSE),EffectName[],IFERROR(MATCH(UI!$B$1,EffectName[#Headers],0),2),FALSE),"")</f>
        <v/>
      </c>
    </row>
    <row r="873" spans="8:29" x14ac:dyDescent="0.4">
      <c r="H873" t="str">
        <f t="shared" si="91"/>
        <v>6003200-Unset (紅)</v>
      </c>
      <c r="I873">
        <v>6003200</v>
      </c>
      <c r="J873" t="str">
        <f>_xlfn.IFNA(IF(I873&lt;&gt;0,VLOOKUP(VLOOKUP(I873,Tbl_Equip[],2,FALSE),Tbl_Color[],IFERROR(MATCH(UI!$B$1,Tbl_Color[#Headers],0),2),FALSE),""),"Unset")</f>
        <v>紅</v>
      </c>
      <c r="K873" t="str">
        <f>_xlfn.IFNA(IF(I873&lt;&gt;0,VLOOKUP(I873,ItemText[],IFERROR(MATCH(UI!$B$1,ItemText[#Headers],0),2),FALSE),""),"Unset")</f>
        <v>Unset</v>
      </c>
      <c r="L873" t="str">
        <f t="shared" si="92"/>
        <v/>
      </c>
      <c r="M873">
        <v>0</v>
      </c>
      <c r="N873" t="str">
        <f>IF(VALUE(M873)=0,"",VLOOKUP(VLOOKUP(M873,Tbl_Effect[],3,FALSE),EffectName[],IFERROR(MATCH(UI!$B$1,EffectName[#Headers],0),2),FALSE))</f>
        <v/>
      </c>
      <c r="O873" t="str">
        <f t="shared" si="93"/>
        <v/>
      </c>
      <c r="P873">
        <v>0</v>
      </c>
      <c r="Q873" t="str">
        <f>IF(VALUE(P873)=0,"",VLOOKUP(VLOOKUP(P873,Tbl_Effect[],3,FALSE),EffectName[],IFERROR(MATCH(UI!$B$1,EffectName[#Headers],0),2),FALSE))</f>
        <v/>
      </c>
      <c r="R873" t="str">
        <f t="shared" si="94"/>
        <v/>
      </c>
      <c r="S873">
        <v>0</v>
      </c>
      <c r="T873" t="str">
        <f>IF(VALUE(S873)=0,"",VLOOKUP(VLOOKUP(S873,Tbl_Effect[],3,FALSE),EffectName[],IFERROR(MATCH(UI!$B$1,EffectName[#Headers],0),2),FALSE))</f>
        <v/>
      </c>
      <c r="U873" t="str">
        <f t="shared" si="95"/>
        <v/>
      </c>
      <c r="V873">
        <v>0</v>
      </c>
      <c r="W873" t="str">
        <f>IF(V873&lt;&gt;0,VLOOKUP(VLOOKUP(V873,Tbl_Effect[],3,FALSE),EffectName[],IFERROR(MATCH(UI!$B$1,EffectName[#Headers],0),2),FALSE),"")</f>
        <v/>
      </c>
      <c r="X873" t="str">
        <f t="shared" si="96"/>
        <v/>
      </c>
      <c r="Y873">
        <v>0</v>
      </c>
      <c r="Z873" t="str">
        <f>IF(Y873&lt;&gt;0,VLOOKUP(VLOOKUP(Y873,Tbl_Effect[],3,FALSE),EffectName[],IFERROR(MATCH(UI!$B$1,EffectName[#Headers],0),2),FALSE),"")</f>
        <v/>
      </c>
      <c r="AA873" t="str">
        <f t="shared" si="97"/>
        <v/>
      </c>
      <c r="AB873">
        <v>0</v>
      </c>
      <c r="AC873" t="str">
        <f>IF(AB873&lt;&gt;0,VLOOKUP(VLOOKUP(AB873,Tbl_Effect[],3,FALSE),EffectName[],IFERROR(MATCH(UI!$B$1,EffectName[#Headers],0),2),FALSE),"")</f>
        <v/>
      </c>
    </row>
    <row r="874" spans="8:29" x14ac:dyDescent="0.4">
      <c r="H874" t="str">
        <f t="shared" si="91"/>
        <v>6003201-Unset (紅)</v>
      </c>
      <c r="I874">
        <v>6003201</v>
      </c>
      <c r="J874" t="str">
        <f>_xlfn.IFNA(IF(I874&lt;&gt;0,VLOOKUP(VLOOKUP(I874,Tbl_Equip[],2,FALSE),Tbl_Color[],IFERROR(MATCH(UI!$B$1,Tbl_Color[#Headers],0),2),FALSE),""),"Unset")</f>
        <v>紅</v>
      </c>
      <c r="K874" t="str">
        <f>_xlfn.IFNA(IF(I874&lt;&gt;0,VLOOKUP(I874,ItemText[],IFERROR(MATCH(UI!$B$1,ItemText[#Headers],0),2),FALSE),""),"Unset")</f>
        <v>Unset</v>
      </c>
      <c r="L874" t="str">
        <f t="shared" si="92"/>
        <v/>
      </c>
      <c r="M874">
        <v>0</v>
      </c>
      <c r="N874" t="str">
        <f>IF(VALUE(M874)=0,"",VLOOKUP(VLOOKUP(M874,Tbl_Effect[],3,FALSE),EffectName[],IFERROR(MATCH(UI!$B$1,EffectName[#Headers],0),2),FALSE))</f>
        <v/>
      </c>
      <c r="O874" t="str">
        <f t="shared" si="93"/>
        <v/>
      </c>
      <c r="P874">
        <v>0</v>
      </c>
      <c r="Q874" t="str">
        <f>IF(VALUE(P874)=0,"",VLOOKUP(VLOOKUP(P874,Tbl_Effect[],3,FALSE),EffectName[],IFERROR(MATCH(UI!$B$1,EffectName[#Headers],0),2),FALSE))</f>
        <v/>
      </c>
      <c r="R874" t="str">
        <f t="shared" si="94"/>
        <v/>
      </c>
      <c r="S874">
        <v>0</v>
      </c>
      <c r="T874" t="str">
        <f>IF(VALUE(S874)=0,"",VLOOKUP(VLOOKUP(S874,Tbl_Effect[],3,FALSE),EffectName[],IFERROR(MATCH(UI!$B$1,EffectName[#Headers],0),2),FALSE))</f>
        <v/>
      </c>
      <c r="U874" t="str">
        <f t="shared" si="95"/>
        <v/>
      </c>
      <c r="V874">
        <v>0</v>
      </c>
      <c r="W874" t="str">
        <f>IF(V874&lt;&gt;0,VLOOKUP(VLOOKUP(V874,Tbl_Effect[],3,FALSE),EffectName[],IFERROR(MATCH(UI!$B$1,EffectName[#Headers],0),2),FALSE),"")</f>
        <v/>
      </c>
      <c r="X874" t="str">
        <f t="shared" si="96"/>
        <v/>
      </c>
      <c r="Y874">
        <v>0</v>
      </c>
      <c r="Z874" t="str">
        <f>IF(Y874&lt;&gt;0,VLOOKUP(VLOOKUP(Y874,Tbl_Effect[],3,FALSE),EffectName[],IFERROR(MATCH(UI!$B$1,EffectName[#Headers],0),2),FALSE),"")</f>
        <v/>
      </c>
      <c r="AA874" t="str">
        <f t="shared" si="97"/>
        <v/>
      </c>
      <c r="AB874">
        <v>0</v>
      </c>
      <c r="AC874" t="str">
        <f>IF(AB874&lt;&gt;0,VLOOKUP(VLOOKUP(AB874,Tbl_Effect[],3,FALSE),EffectName[],IFERROR(MATCH(UI!$B$1,EffectName[#Headers],0),2),FALSE),"")</f>
        <v/>
      </c>
    </row>
    <row r="875" spans="8:29" x14ac:dyDescent="0.4">
      <c r="H875" t="str">
        <f t="shared" si="91"/>
        <v>6003300-Unset (紅)</v>
      </c>
      <c r="I875">
        <v>6003300</v>
      </c>
      <c r="J875" t="str">
        <f>_xlfn.IFNA(IF(I875&lt;&gt;0,VLOOKUP(VLOOKUP(I875,Tbl_Equip[],2,FALSE),Tbl_Color[],IFERROR(MATCH(UI!$B$1,Tbl_Color[#Headers],0),2),FALSE),""),"Unset")</f>
        <v>紅</v>
      </c>
      <c r="K875" t="str">
        <f>_xlfn.IFNA(IF(I875&lt;&gt;0,VLOOKUP(I875,ItemText[],IFERROR(MATCH(UI!$B$1,ItemText[#Headers],0),2),FALSE),""),"Unset")</f>
        <v>Unset</v>
      </c>
      <c r="L875" t="str">
        <f t="shared" si="92"/>
        <v/>
      </c>
      <c r="M875">
        <v>0</v>
      </c>
      <c r="N875" t="str">
        <f>IF(VALUE(M875)=0,"",VLOOKUP(VLOOKUP(M875,Tbl_Effect[],3,FALSE),EffectName[],IFERROR(MATCH(UI!$B$1,EffectName[#Headers],0),2),FALSE))</f>
        <v/>
      </c>
      <c r="O875" t="str">
        <f t="shared" si="93"/>
        <v/>
      </c>
      <c r="P875">
        <v>0</v>
      </c>
      <c r="Q875" t="str">
        <f>IF(VALUE(P875)=0,"",VLOOKUP(VLOOKUP(P875,Tbl_Effect[],3,FALSE),EffectName[],IFERROR(MATCH(UI!$B$1,EffectName[#Headers],0),2),FALSE))</f>
        <v/>
      </c>
      <c r="R875" t="str">
        <f t="shared" si="94"/>
        <v/>
      </c>
      <c r="S875">
        <v>0</v>
      </c>
      <c r="T875" t="str">
        <f>IF(VALUE(S875)=0,"",VLOOKUP(VLOOKUP(S875,Tbl_Effect[],3,FALSE),EffectName[],IFERROR(MATCH(UI!$B$1,EffectName[#Headers],0),2),FALSE))</f>
        <v/>
      </c>
      <c r="U875" t="str">
        <f t="shared" si="95"/>
        <v/>
      </c>
      <c r="V875">
        <v>0</v>
      </c>
      <c r="W875" t="str">
        <f>IF(V875&lt;&gt;0,VLOOKUP(VLOOKUP(V875,Tbl_Effect[],3,FALSE),EffectName[],IFERROR(MATCH(UI!$B$1,EffectName[#Headers],0),2),FALSE),"")</f>
        <v/>
      </c>
      <c r="X875" t="str">
        <f t="shared" si="96"/>
        <v/>
      </c>
      <c r="Y875">
        <v>0</v>
      </c>
      <c r="Z875" t="str">
        <f>IF(Y875&lt;&gt;0,VLOOKUP(VLOOKUP(Y875,Tbl_Effect[],3,FALSE),EffectName[],IFERROR(MATCH(UI!$B$1,EffectName[#Headers],0),2),FALSE),"")</f>
        <v/>
      </c>
      <c r="AA875" t="str">
        <f t="shared" si="97"/>
        <v/>
      </c>
      <c r="AB875">
        <v>0</v>
      </c>
      <c r="AC875" t="str">
        <f>IF(AB875&lt;&gt;0,VLOOKUP(VLOOKUP(AB875,Tbl_Effect[],3,FALSE),EffectName[],IFERROR(MATCH(UI!$B$1,EffectName[#Headers],0),2),FALSE),"")</f>
        <v/>
      </c>
    </row>
    <row r="876" spans="8:29" x14ac:dyDescent="0.4">
      <c r="H876" t="str">
        <f t="shared" si="91"/>
        <v>6003301-Unset (紅)</v>
      </c>
      <c r="I876">
        <v>6003301</v>
      </c>
      <c r="J876" t="str">
        <f>_xlfn.IFNA(IF(I876&lt;&gt;0,VLOOKUP(VLOOKUP(I876,Tbl_Equip[],2,FALSE),Tbl_Color[],IFERROR(MATCH(UI!$B$1,Tbl_Color[#Headers],0),2),FALSE),""),"Unset")</f>
        <v>紅</v>
      </c>
      <c r="K876" t="str">
        <f>_xlfn.IFNA(IF(I876&lt;&gt;0,VLOOKUP(I876,ItemText[],IFERROR(MATCH(UI!$B$1,ItemText[#Headers],0),2),FALSE),""),"Unset")</f>
        <v>Unset</v>
      </c>
      <c r="L876" t="str">
        <f t="shared" si="92"/>
        <v/>
      </c>
      <c r="M876">
        <v>0</v>
      </c>
      <c r="N876" t="str">
        <f>IF(VALUE(M876)=0,"",VLOOKUP(VLOOKUP(M876,Tbl_Effect[],3,FALSE),EffectName[],IFERROR(MATCH(UI!$B$1,EffectName[#Headers],0),2),FALSE))</f>
        <v/>
      </c>
      <c r="O876" t="str">
        <f t="shared" si="93"/>
        <v/>
      </c>
      <c r="P876">
        <v>0</v>
      </c>
      <c r="Q876" t="str">
        <f>IF(VALUE(P876)=0,"",VLOOKUP(VLOOKUP(P876,Tbl_Effect[],3,FALSE),EffectName[],IFERROR(MATCH(UI!$B$1,EffectName[#Headers],0),2),FALSE))</f>
        <v/>
      </c>
      <c r="R876" t="str">
        <f t="shared" si="94"/>
        <v/>
      </c>
      <c r="S876">
        <v>0</v>
      </c>
      <c r="T876" t="str">
        <f>IF(VALUE(S876)=0,"",VLOOKUP(VLOOKUP(S876,Tbl_Effect[],3,FALSE),EffectName[],IFERROR(MATCH(UI!$B$1,EffectName[#Headers],0),2),FALSE))</f>
        <v/>
      </c>
      <c r="U876" t="str">
        <f t="shared" si="95"/>
        <v/>
      </c>
      <c r="V876">
        <v>0</v>
      </c>
      <c r="W876" t="str">
        <f>IF(V876&lt;&gt;0,VLOOKUP(VLOOKUP(V876,Tbl_Effect[],3,FALSE),EffectName[],IFERROR(MATCH(UI!$B$1,EffectName[#Headers],0),2),FALSE),"")</f>
        <v/>
      </c>
      <c r="X876" t="str">
        <f t="shared" si="96"/>
        <v/>
      </c>
      <c r="Y876">
        <v>0</v>
      </c>
      <c r="Z876" t="str">
        <f>IF(Y876&lt;&gt;0,VLOOKUP(VLOOKUP(Y876,Tbl_Effect[],3,FALSE),EffectName[],IFERROR(MATCH(UI!$B$1,EffectName[#Headers],0),2),FALSE),"")</f>
        <v/>
      </c>
      <c r="AA876" t="str">
        <f t="shared" si="97"/>
        <v/>
      </c>
      <c r="AB876">
        <v>0</v>
      </c>
      <c r="AC876" t="str">
        <f>IF(AB876&lt;&gt;0,VLOOKUP(VLOOKUP(AB876,Tbl_Effect[],3,FALSE),EffectName[],IFERROR(MATCH(UI!$B$1,EffectName[#Headers],0),2),FALSE),"")</f>
        <v/>
      </c>
    </row>
    <row r="877" spans="8:29" x14ac:dyDescent="0.4">
      <c r="H877" t="str">
        <f t="shared" si="91"/>
        <v>6003400-Unset (紅)</v>
      </c>
      <c r="I877">
        <v>6003400</v>
      </c>
      <c r="J877" t="str">
        <f>_xlfn.IFNA(IF(I877&lt;&gt;0,VLOOKUP(VLOOKUP(I877,Tbl_Equip[],2,FALSE),Tbl_Color[],IFERROR(MATCH(UI!$B$1,Tbl_Color[#Headers],0),2),FALSE),""),"Unset")</f>
        <v>紅</v>
      </c>
      <c r="K877" t="str">
        <f>_xlfn.IFNA(IF(I877&lt;&gt;0,VLOOKUP(I877,ItemText[],IFERROR(MATCH(UI!$B$1,ItemText[#Headers],0),2),FALSE),""),"Unset")</f>
        <v>Unset</v>
      </c>
      <c r="L877" t="str">
        <f t="shared" si="92"/>
        <v/>
      </c>
      <c r="M877">
        <v>0</v>
      </c>
      <c r="N877" t="str">
        <f>IF(VALUE(M877)=0,"",VLOOKUP(VLOOKUP(M877,Tbl_Effect[],3,FALSE),EffectName[],IFERROR(MATCH(UI!$B$1,EffectName[#Headers],0),2),FALSE))</f>
        <v/>
      </c>
      <c r="O877" t="str">
        <f t="shared" si="93"/>
        <v/>
      </c>
      <c r="P877">
        <v>0</v>
      </c>
      <c r="Q877" t="str">
        <f>IF(VALUE(P877)=0,"",VLOOKUP(VLOOKUP(P877,Tbl_Effect[],3,FALSE),EffectName[],IFERROR(MATCH(UI!$B$1,EffectName[#Headers],0),2),FALSE))</f>
        <v/>
      </c>
      <c r="R877" t="str">
        <f t="shared" si="94"/>
        <v/>
      </c>
      <c r="S877">
        <v>0</v>
      </c>
      <c r="T877" t="str">
        <f>IF(VALUE(S877)=0,"",VLOOKUP(VLOOKUP(S877,Tbl_Effect[],3,FALSE),EffectName[],IFERROR(MATCH(UI!$B$1,EffectName[#Headers],0),2),FALSE))</f>
        <v/>
      </c>
      <c r="U877" t="str">
        <f t="shared" si="95"/>
        <v/>
      </c>
      <c r="V877">
        <v>0</v>
      </c>
      <c r="W877" t="str">
        <f>IF(V877&lt;&gt;0,VLOOKUP(VLOOKUP(V877,Tbl_Effect[],3,FALSE),EffectName[],IFERROR(MATCH(UI!$B$1,EffectName[#Headers],0),2),FALSE),"")</f>
        <v/>
      </c>
      <c r="X877" t="str">
        <f t="shared" si="96"/>
        <v/>
      </c>
      <c r="Y877">
        <v>0</v>
      </c>
      <c r="Z877" t="str">
        <f>IF(Y877&lt;&gt;0,VLOOKUP(VLOOKUP(Y877,Tbl_Effect[],3,FALSE),EffectName[],IFERROR(MATCH(UI!$B$1,EffectName[#Headers],0),2),FALSE),"")</f>
        <v/>
      </c>
      <c r="AA877" t="str">
        <f t="shared" si="97"/>
        <v/>
      </c>
      <c r="AB877">
        <v>0</v>
      </c>
      <c r="AC877" t="str">
        <f>IF(AB877&lt;&gt;0,VLOOKUP(VLOOKUP(AB877,Tbl_Effect[],3,FALSE),EffectName[],IFERROR(MATCH(UI!$B$1,EffectName[#Headers],0),2),FALSE),"")</f>
        <v/>
      </c>
    </row>
    <row r="878" spans="8:29" x14ac:dyDescent="0.4">
      <c r="H878" t="str">
        <f t="shared" si="91"/>
        <v>6003401-Unset (紅)</v>
      </c>
      <c r="I878">
        <v>6003401</v>
      </c>
      <c r="J878" t="str">
        <f>_xlfn.IFNA(IF(I878&lt;&gt;0,VLOOKUP(VLOOKUP(I878,Tbl_Equip[],2,FALSE),Tbl_Color[],IFERROR(MATCH(UI!$B$1,Tbl_Color[#Headers],0),2),FALSE),""),"Unset")</f>
        <v>紅</v>
      </c>
      <c r="K878" t="str">
        <f>_xlfn.IFNA(IF(I878&lt;&gt;0,VLOOKUP(I878,ItemText[],IFERROR(MATCH(UI!$B$1,ItemText[#Headers],0),2),FALSE),""),"Unset")</f>
        <v>Unset</v>
      </c>
      <c r="L878" t="str">
        <f t="shared" si="92"/>
        <v/>
      </c>
      <c r="M878">
        <v>0</v>
      </c>
      <c r="N878" t="str">
        <f>IF(VALUE(M878)=0,"",VLOOKUP(VLOOKUP(M878,Tbl_Effect[],3,FALSE),EffectName[],IFERROR(MATCH(UI!$B$1,EffectName[#Headers],0),2),FALSE))</f>
        <v/>
      </c>
      <c r="O878" t="str">
        <f t="shared" si="93"/>
        <v/>
      </c>
      <c r="P878">
        <v>0</v>
      </c>
      <c r="Q878" t="str">
        <f>IF(VALUE(P878)=0,"",VLOOKUP(VLOOKUP(P878,Tbl_Effect[],3,FALSE),EffectName[],IFERROR(MATCH(UI!$B$1,EffectName[#Headers],0),2),FALSE))</f>
        <v/>
      </c>
      <c r="R878" t="str">
        <f t="shared" si="94"/>
        <v/>
      </c>
      <c r="S878">
        <v>0</v>
      </c>
      <c r="T878" t="str">
        <f>IF(VALUE(S878)=0,"",VLOOKUP(VLOOKUP(S878,Tbl_Effect[],3,FALSE),EffectName[],IFERROR(MATCH(UI!$B$1,EffectName[#Headers],0),2),FALSE))</f>
        <v/>
      </c>
      <c r="U878" t="str">
        <f t="shared" si="95"/>
        <v/>
      </c>
      <c r="V878">
        <v>0</v>
      </c>
      <c r="W878" t="str">
        <f>IF(V878&lt;&gt;0,VLOOKUP(VLOOKUP(V878,Tbl_Effect[],3,FALSE),EffectName[],IFERROR(MATCH(UI!$B$1,EffectName[#Headers],0),2),FALSE),"")</f>
        <v/>
      </c>
      <c r="X878" t="str">
        <f t="shared" si="96"/>
        <v/>
      </c>
      <c r="Y878">
        <v>0</v>
      </c>
      <c r="Z878" t="str">
        <f>IF(Y878&lt;&gt;0,VLOOKUP(VLOOKUP(Y878,Tbl_Effect[],3,FALSE),EffectName[],IFERROR(MATCH(UI!$B$1,EffectName[#Headers],0),2),FALSE),"")</f>
        <v/>
      </c>
      <c r="AA878" t="str">
        <f t="shared" si="97"/>
        <v/>
      </c>
      <c r="AB878">
        <v>0</v>
      </c>
      <c r="AC878" t="str">
        <f>IF(AB878&lt;&gt;0,VLOOKUP(VLOOKUP(AB878,Tbl_Effect[],3,FALSE),EffectName[],IFERROR(MATCH(UI!$B$1,EffectName[#Headers],0),2),FALSE),"")</f>
        <v/>
      </c>
    </row>
    <row r="879" spans="8:29" x14ac:dyDescent="0.4">
      <c r="H879" t="str">
        <f t="shared" si="91"/>
        <v>6003500-Unset (紅)</v>
      </c>
      <c r="I879">
        <v>6003500</v>
      </c>
      <c r="J879" t="str">
        <f>_xlfn.IFNA(IF(I879&lt;&gt;0,VLOOKUP(VLOOKUP(I879,Tbl_Equip[],2,FALSE),Tbl_Color[],IFERROR(MATCH(UI!$B$1,Tbl_Color[#Headers],0),2),FALSE),""),"Unset")</f>
        <v>紅</v>
      </c>
      <c r="K879" t="str">
        <f>_xlfn.IFNA(IF(I879&lt;&gt;0,VLOOKUP(I879,ItemText[],IFERROR(MATCH(UI!$B$1,ItemText[#Headers],0),2),FALSE),""),"Unset")</f>
        <v>Unset</v>
      </c>
      <c r="L879" t="str">
        <f t="shared" si="92"/>
        <v/>
      </c>
      <c r="M879">
        <v>0</v>
      </c>
      <c r="N879" t="str">
        <f>IF(VALUE(M879)=0,"",VLOOKUP(VLOOKUP(M879,Tbl_Effect[],3,FALSE),EffectName[],IFERROR(MATCH(UI!$B$1,EffectName[#Headers],0),2),FALSE))</f>
        <v/>
      </c>
      <c r="O879" t="str">
        <f t="shared" si="93"/>
        <v/>
      </c>
      <c r="P879">
        <v>0</v>
      </c>
      <c r="Q879" t="str">
        <f>IF(VALUE(P879)=0,"",VLOOKUP(VLOOKUP(P879,Tbl_Effect[],3,FALSE),EffectName[],IFERROR(MATCH(UI!$B$1,EffectName[#Headers],0),2),FALSE))</f>
        <v/>
      </c>
      <c r="R879" t="str">
        <f t="shared" si="94"/>
        <v/>
      </c>
      <c r="S879">
        <v>0</v>
      </c>
      <c r="T879" t="str">
        <f>IF(VALUE(S879)=0,"",VLOOKUP(VLOOKUP(S879,Tbl_Effect[],3,FALSE),EffectName[],IFERROR(MATCH(UI!$B$1,EffectName[#Headers],0),2),FALSE))</f>
        <v/>
      </c>
      <c r="U879" t="str">
        <f t="shared" si="95"/>
        <v/>
      </c>
      <c r="V879">
        <v>0</v>
      </c>
      <c r="W879" t="str">
        <f>IF(V879&lt;&gt;0,VLOOKUP(VLOOKUP(V879,Tbl_Effect[],3,FALSE),EffectName[],IFERROR(MATCH(UI!$B$1,EffectName[#Headers],0),2),FALSE),"")</f>
        <v/>
      </c>
      <c r="X879" t="str">
        <f t="shared" si="96"/>
        <v/>
      </c>
      <c r="Y879">
        <v>0</v>
      </c>
      <c r="Z879" t="str">
        <f>IF(Y879&lt;&gt;0,VLOOKUP(VLOOKUP(Y879,Tbl_Effect[],3,FALSE),EffectName[],IFERROR(MATCH(UI!$B$1,EffectName[#Headers],0),2),FALSE),"")</f>
        <v/>
      </c>
      <c r="AA879" t="str">
        <f t="shared" si="97"/>
        <v/>
      </c>
      <c r="AB879">
        <v>0</v>
      </c>
      <c r="AC879" t="str">
        <f>IF(AB879&lt;&gt;0,VLOOKUP(VLOOKUP(AB879,Tbl_Effect[],3,FALSE),EffectName[],IFERROR(MATCH(UI!$B$1,EffectName[#Headers],0),2),FALSE),"")</f>
        <v/>
      </c>
    </row>
    <row r="880" spans="8:29" x14ac:dyDescent="0.4">
      <c r="H880" t="str">
        <f t="shared" si="91"/>
        <v>6003501-Unset (紅)</v>
      </c>
      <c r="I880">
        <v>6003501</v>
      </c>
      <c r="J880" t="str">
        <f>_xlfn.IFNA(IF(I880&lt;&gt;0,VLOOKUP(VLOOKUP(I880,Tbl_Equip[],2,FALSE),Tbl_Color[],IFERROR(MATCH(UI!$B$1,Tbl_Color[#Headers],0),2),FALSE),""),"Unset")</f>
        <v>紅</v>
      </c>
      <c r="K880" t="str">
        <f>_xlfn.IFNA(IF(I880&lt;&gt;0,VLOOKUP(I880,ItemText[],IFERROR(MATCH(UI!$B$1,ItemText[#Headers],0),2),FALSE),""),"Unset")</f>
        <v>Unset</v>
      </c>
      <c r="L880" t="str">
        <f t="shared" si="92"/>
        <v/>
      </c>
      <c r="M880">
        <v>0</v>
      </c>
      <c r="N880" t="str">
        <f>IF(VALUE(M880)=0,"",VLOOKUP(VLOOKUP(M880,Tbl_Effect[],3,FALSE),EffectName[],IFERROR(MATCH(UI!$B$1,EffectName[#Headers],0),2),FALSE))</f>
        <v/>
      </c>
      <c r="O880" t="str">
        <f t="shared" si="93"/>
        <v/>
      </c>
      <c r="P880">
        <v>0</v>
      </c>
      <c r="Q880" t="str">
        <f>IF(VALUE(P880)=0,"",VLOOKUP(VLOOKUP(P880,Tbl_Effect[],3,FALSE),EffectName[],IFERROR(MATCH(UI!$B$1,EffectName[#Headers],0),2),FALSE))</f>
        <v/>
      </c>
      <c r="R880" t="str">
        <f t="shared" si="94"/>
        <v/>
      </c>
      <c r="S880">
        <v>0</v>
      </c>
      <c r="T880" t="str">
        <f>IF(VALUE(S880)=0,"",VLOOKUP(VLOOKUP(S880,Tbl_Effect[],3,FALSE),EffectName[],IFERROR(MATCH(UI!$B$1,EffectName[#Headers],0),2),FALSE))</f>
        <v/>
      </c>
      <c r="U880" t="str">
        <f t="shared" si="95"/>
        <v/>
      </c>
      <c r="V880">
        <v>0</v>
      </c>
      <c r="W880" t="str">
        <f>IF(V880&lt;&gt;0,VLOOKUP(VLOOKUP(V880,Tbl_Effect[],3,FALSE),EffectName[],IFERROR(MATCH(UI!$B$1,EffectName[#Headers],0),2),FALSE),"")</f>
        <v/>
      </c>
      <c r="X880" t="str">
        <f t="shared" si="96"/>
        <v/>
      </c>
      <c r="Y880">
        <v>0</v>
      </c>
      <c r="Z880" t="str">
        <f>IF(Y880&lt;&gt;0,VLOOKUP(VLOOKUP(Y880,Tbl_Effect[],3,FALSE),EffectName[],IFERROR(MATCH(UI!$B$1,EffectName[#Headers],0),2),FALSE),"")</f>
        <v/>
      </c>
      <c r="AA880" t="str">
        <f t="shared" si="97"/>
        <v/>
      </c>
      <c r="AB880">
        <v>0</v>
      </c>
      <c r="AC880" t="str">
        <f>IF(AB880&lt;&gt;0,VLOOKUP(VLOOKUP(AB880,Tbl_Effect[],3,FALSE),EffectName[],IFERROR(MATCH(UI!$B$1,EffectName[#Headers],0),2),FALSE),"")</f>
        <v/>
      </c>
    </row>
    <row r="881" spans="8:29" x14ac:dyDescent="0.4">
      <c r="H881" t="str">
        <f t="shared" si="91"/>
        <v>6003600-Unset (紅)</v>
      </c>
      <c r="I881">
        <v>6003600</v>
      </c>
      <c r="J881" t="str">
        <f>_xlfn.IFNA(IF(I881&lt;&gt;0,VLOOKUP(VLOOKUP(I881,Tbl_Equip[],2,FALSE),Tbl_Color[],IFERROR(MATCH(UI!$B$1,Tbl_Color[#Headers],0),2),FALSE),""),"Unset")</f>
        <v>紅</v>
      </c>
      <c r="K881" t="str">
        <f>_xlfn.IFNA(IF(I881&lt;&gt;0,VLOOKUP(I881,ItemText[],IFERROR(MATCH(UI!$B$1,ItemText[#Headers],0),2),FALSE),""),"Unset")</f>
        <v>Unset</v>
      </c>
      <c r="L881" t="str">
        <f t="shared" si="92"/>
        <v/>
      </c>
      <c r="M881">
        <v>0</v>
      </c>
      <c r="N881" t="str">
        <f>IF(VALUE(M881)=0,"",VLOOKUP(VLOOKUP(M881,Tbl_Effect[],3,FALSE),EffectName[],IFERROR(MATCH(UI!$B$1,EffectName[#Headers],0),2),FALSE))</f>
        <v/>
      </c>
      <c r="O881" t="str">
        <f t="shared" si="93"/>
        <v/>
      </c>
      <c r="P881">
        <v>0</v>
      </c>
      <c r="Q881" t="str">
        <f>IF(VALUE(P881)=0,"",VLOOKUP(VLOOKUP(P881,Tbl_Effect[],3,FALSE),EffectName[],IFERROR(MATCH(UI!$B$1,EffectName[#Headers],0),2),FALSE))</f>
        <v/>
      </c>
      <c r="R881" t="str">
        <f t="shared" si="94"/>
        <v/>
      </c>
      <c r="S881">
        <v>0</v>
      </c>
      <c r="T881" t="str">
        <f>IF(VALUE(S881)=0,"",VLOOKUP(VLOOKUP(S881,Tbl_Effect[],3,FALSE),EffectName[],IFERROR(MATCH(UI!$B$1,EffectName[#Headers],0),2),FALSE))</f>
        <v/>
      </c>
      <c r="U881" t="str">
        <f t="shared" si="95"/>
        <v/>
      </c>
      <c r="V881">
        <v>0</v>
      </c>
      <c r="W881" t="str">
        <f>IF(V881&lt;&gt;0,VLOOKUP(VLOOKUP(V881,Tbl_Effect[],3,FALSE),EffectName[],IFERROR(MATCH(UI!$B$1,EffectName[#Headers],0),2),FALSE),"")</f>
        <v/>
      </c>
      <c r="X881" t="str">
        <f t="shared" si="96"/>
        <v/>
      </c>
      <c r="Y881">
        <v>0</v>
      </c>
      <c r="Z881" t="str">
        <f>IF(Y881&lt;&gt;0,VLOOKUP(VLOOKUP(Y881,Tbl_Effect[],3,FALSE),EffectName[],IFERROR(MATCH(UI!$B$1,EffectName[#Headers],0),2),FALSE),"")</f>
        <v/>
      </c>
      <c r="AA881" t="str">
        <f t="shared" si="97"/>
        <v/>
      </c>
      <c r="AB881">
        <v>0</v>
      </c>
      <c r="AC881" t="str">
        <f>IF(AB881&lt;&gt;0,VLOOKUP(VLOOKUP(AB881,Tbl_Effect[],3,FALSE),EffectName[],IFERROR(MATCH(UI!$B$1,EffectName[#Headers],0),2),FALSE),"")</f>
        <v/>
      </c>
    </row>
    <row r="882" spans="8:29" x14ac:dyDescent="0.4">
      <c r="H882" t="str">
        <f t="shared" si="91"/>
        <v>6003601-Unset (紅)</v>
      </c>
      <c r="I882">
        <v>6003601</v>
      </c>
      <c r="J882" t="str">
        <f>_xlfn.IFNA(IF(I882&lt;&gt;0,VLOOKUP(VLOOKUP(I882,Tbl_Equip[],2,FALSE),Tbl_Color[],IFERROR(MATCH(UI!$B$1,Tbl_Color[#Headers],0),2),FALSE),""),"Unset")</f>
        <v>紅</v>
      </c>
      <c r="K882" t="str">
        <f>_xlfn.IFNA(IF(I882&lt;&gt;0,VLOOKUP(I882,ItemText[],IFERROR(MATCH(UI!$B$1,ItemText[#Headers],0),2),FALSE),""),"Unset")</f>
        <v>Unset</v>
      </c>
      <c r="L882" t="str">
        <f t="shared" si="92"/>
        <v/>
      </c>
      <c r="M882">
        <v>0</v>
      </c>
      <c r="N882" t="str">
        <f>IF(VALUE(M882)=0,"",VLOOKUP(VLOOKUP(M882,Tbl_Effect[],3,FALSE),EffectName[],IFERROR(MATCH(UI!$B$1,EffectName[#Headers],0),2),FALSE))</f>
        <v/>
      </c>
      <c r="O882" t="str">
        <f t="shared" si="93"/>
        <v/>
      </c>
      <c r="P882">
        <v>0</v>
      </c>
      <c r="Q882" t="str">
        <f>IF(VALUE(P882)=0,"",VLOOKUP(VLOOKUP(P882,Tbl_Effect[],3,FALSE),EffectName[],IFERROR(MATCH(UI!$B$1,EffectName[#Headers],0),2),FALSE))</f>
        <v/>
      </c>
      <c r="R882" t="str">
        <f t="shared" si="94"/>
        <v/>
      </c>
      <c r="S882">
        <v>0</v>
      </c>
      <c r="T882" t="str">
        <f>IF(VALUE(S882)=0,"",VLOOKUP(VLOOKUP(S882,Tbl_Effect[],3,FALSE),EffectName[],IFERROR(MATCH(UI!$B$1,EffectName[#Headers],0),2),FALSE))</f>
        <v/>
      </c>
      <c r="U882" t="str">
        <f t="shared" si="95"/>
        <v/>
      </c>
      <c r="V882">
        <v>0</v>
      </c>
      <c r="W882" t="str">
        <f>IF(V882&lt;&gt;0,VLOOKUP(VLOOKUP(V882,Tbl_Effect[],3,FALSE),EffectName[],IFERROR(MATCH(UI!$B$1,EffectName[#Headers],0),2),FALSE),"")</f>
        <v/>
      </c>
      <c r="X882" t="str">
        <f t="shared" si="96"/>
        <v/>
      </c>
      <c r="Y882">
        <v>0</v>
      </c>
      <c r="Z882" t="str">
        <f>IF(Y882&lt;&gt;0,VLOOKUP(VLOOKUP(Y882,Tbl_Effect[],3,FALSE),EffectName[],IFERROR(MATCH(UI!$B$1,EffectName[#Headers],0),2),FALSE),"")</f>
        <v/>
      </c>
      <c r="AA882" t="str">
        <f t="shared" si="97"/>
        <v/>
      </c>
      <c r="AB882">
        <v>0</v>
      </c>
      <c r="AC882" t="str">
        <f>IF(AB882&lt;&gt;0,VLOOKUP(VLOOKUP(AB882,Tbl_Effect[],3,FALSE),EffectName[],IFERROR(MATCH(UI!$B$1,EffectName[#Headers],0),2),FALSE),"")</f>
        <v/>
      </c>
    </row>
    <row r="883" spans="8:29" x14ac:dyDescent="0.4">
      <c r="H883" t="str">
        <f t="shared" si="91"/>
        <v>6005600-Unset (紅)</v>
      </c>
      <c r="I883">
        <v>6005600</v>
      </c>
      <c r="J883" t="str">
        <f>_xlfn.IFNA(IF(I883&lt;&gt;0,VLOOKUP(VLOOKUP(I883,Tbl_Equip[],2,FALSE),Tbl_Color[],IFERROR(MATCH(UI!$B$1,Tbl_Color[#Headers],0),2),FALSE),""),"Unset")</f>
        <v>紅</v>
      </c>
      <c r="K883" t="str">
        <f>_xlfn.IFNA(IF(I883&lt;&gt;0,VLOOKUP(I883,ItemText[],IFERROR(MATCH(UI!$B$1,ItemText[#Headers],0),2),FALSE),""),"Unset")</f>
        <v>Unset</v>
      </c>
      <c r="L883" t="str">
        <f t="shared" si="92"/>
        <v/>
      </c>
      <c r="M883">
        <v>0</v>
      </c>
      <c r="N883" t="str">
        <f>IF(VALUE(M883)=0,"",VLOOKUP(VLOOKUP(M883,Tbl_Effect[],3,FALSE),EffectName[],IFERROR(MATCH(UI!$B$1,EffectName[#Headers],0),2),FALSE))</f>
        <v/>
      </c>
      <c r="O883" t="str">
        <f t="shared" si="93"/>
        <v/>
      </c>
      <c r="P883">
        <v>0</v>
      </c>
      <c r="Q883" t="str">
        <f>IF(VALUE(P883)=0,"",VLOOKUP(VLOOKUP(P883,Tbl_Effect[],3,FALSE),EffectName[],IFERROR(MATCH(UI!$B$1,EffectName[#Headers],0),2),FALSE))</f>
        <v/>
      </c>
      <c r="R883" t="str">
        <f t="shared" si="94"/>
        <v/>
      </c>
      <c r="S883">
        <v>0</v>
      </c>
      <c r="T883" t="str">
        <f>IF(VALUE(S883)=0,"",VLOOKUP(VLOOKUP(S883,Tbl_Effect[],3,FALSE),EffectName[],IFERROR(MATCH(UI!$B$1,EffectName[#Headers],0),2),FALSE))</f>
        <v/>
      </c>
      <c r="U883" t="str">
        <f t="shared" si="95"/>
        <v/>
      </c>
      <c r="V883">
        <v>0</v>
      </c>
      <c r="W883" t="str">
        <f>IF(V883&lt;&gt;0,VLOOKUP(VLOOKUP(V883,Tbl_Effect[],3,FALSE),EffectName[],IFERROR(MATCH(UI!$B$1,EffectName[#Headers],0),2),FALSE),"")</f>
        <v/>
      </c>
      <c r="X883" t="str">
        <f t="shared" si="96"/>
        <v/>
      </c>
      <c r="Y883">
        <v>0</v>
      </c>
      <c r="Z883" t="str">
        <f>IF(Y883&lt;&gt;0,VLOOKUP(VLOOKUP(Y883,Tbl_Effect[],3,FALSE),EffectName[],IFERROR(MATCH(UI!$B$1,EffectName[#Headers],0),2),FALSE),"")</f>
        <v/>
      </c>
      <c r="AA883" t="str">
        <f t="shared" si="97"/>
        <v/>
      </c>
      <c r="AB883">
        <v>0</v>
      </c>
      <c r="AC883" t="str">
        <f>IF(AB883&lt;&gt;0,VLOOKUP(VLOOKUP(AB883,Tbl_Effect[],3,FALSE),EffectName[],IFERROR(MATCH(UI!$B$1,EffectName[#Headers],0),2),FALSE),"")</f>
        <v/>
      </c>
    </row>
    <row r="884" spans="8:29" x14ac:dyDescent="0.4">
      <c r="H884" t="str">
        <f t="shared" si="91"/>
        <v>6005601-Unset (紅)</v>
      </c>
      <c r="I884">
        <v>6005601</v>
      </c>
      <c r="J884" t="str">
        <f>_xlfn.IFNA(IF(I884&lt;&gt;0,VLOOKUP(VLOOKUP(I884,Tbl_Equip[],2,FALSE),Tbl_Color[],IFERROR(MATCH(UI!$B$1,Tbl_Color[#Headers],0),2),FALSE),""),"Unset")</f>
        <v>紅</v>
      </c>
      <c r="K884" t="str">
        <f>_xlfn.IFNA(IF(I884&lt;&gt;0,VLOOKUP(I884,ItemText[],IFERROR(MATCH(UI!$B$1,ItemText[#Headers],0),2),FALSE),""),"Unset")</f>
        <v>Unset</v>
      </c>
      <c r="L884" t="str">
        <f t="shared" si="92"/>
        <v/>
      </c>
      <c r="M884">
        <v>0</v>
      </c>
      <c r="N884" t="str">
        <f>IF(VALUE(M884)=0,"",VLOOKUP(VLOOKUP(M884,Tbl_Effect[],3,FALSE),EffectName[],IFERROR(MATCH(UI!$B$1,EffectName[#Headers],0),2),FALSE))</f>
        <v/>
      </c>
      <c r="O884" t="str">
        <f t="shared" si="93"/>
        <v/>
      </c>
      <c r="P884">
        <v>0</v>
      </c>
      <c r="Q884" t="str">
        <f>IF(VALUE(P884)=0,"",VLOOKUP(VLOOKUP(P884,Tbl_Effect[],3,FALSE),EffectName[],IFERROR(MATCH(UI!$B$1,EffectName[#Headers],0),2),FALSE))</f>
        <v/>
      </c>
      <c r="R884" t="str">
        <f t="shared" si="94"/>
        <v/>
      </c>
      <c r="S884">
        <v>0</v>
      </c>
      <c r="T884" t="str">
        <f>IF(VALUE(S884)=0,"",VLOOKUP(VLOOKUP(S884,Tbl_Effect[],3,FALSE),EffectName[],IFERROR(MATCH(UI!$B$1,EffectName[#Headers],0),2),FALSE))</f>
        <v/>
      </c>
      <c r="U884" t="str">
        <f t="shared" si="95"/>
        <v/>
      </c>
      <c r="V884">
        <v>0</v>
      </c>
      <c r="W884" t="str">
        <f>IF(V884&lt;&gt;0,VLOOKUP(VLOOKUP(V884,Tbl_Effect[],3,FALSE),EffectName[],IFERROR(MATCH(UI!$B$1,EffectName[#Headers],0),2),FALSE),"")</f>
        <v/>
      </c>
      <c r="X884" t="str">
        <f t="shared" si="96"/>
        <v/>
      </c>
      <c r="Y884">
        <v>0</v>
      </c>
      <c r="Z884" t="str">
        <f>IF(Y884&lt;&gt;0,VLOOKUP(VLOOKUP(Y884,Tbl_Effect[],3,FALSE),EffectName[],IFERROR(MATCH(UI!$B$1,EffectName[#Headers],0),2),FALSE),"")</f>
        <v/>
      </c>
      <c r="AA884" t="str">
        <f t="shared" si="97"/>
        <v/>
      </c>
      <c r="AB884">
        <v>0</v>
      </c>
      <c r="AC884" t="str">
        <f>IF(AB884&lt;&gt;0,VLOOKUP(VLOOKUP(AB884,Tbl_Effect[],3,FALSE),EffectName[],IFERROR(MATCH(UI!$B$1,EffectName[#Headers],0),2),FALSE),"")</f>
        <v/>
      </c>
    </row>
    <row r="885" spans="8:29" x14ac:dyDescent="0.4">
      <c r="H885" t="str">
        <f t="shared" si="91"/>
        <v>6030200-Unset (紅)</v>
      </c>
      <c r="I885">
        <v>6030200</v>
      </c>
      <c r="J885" t="str">
        <f>_xlfn.IFNA(IF(I885&lt;&gt;0,VLOOKUP(VLOOKUP(I885,Tbl_Equip[],2,FALSE),Tbl_Color[],IFERROR(MATCH(UI!$B$1,Tbl_Color[#Headers],0),2),FALSE),""),"Unset")</f>
        <v>紅</v>
      </c>
      <c r="K885" t="str">
        <f>_xlfn.IFNA(IF(I885&lt;&gt;0,VLOOKUP(I885,ItemText[],IFERROR(MATCH(UI!$B$1,ItemText[#Headers],0),2),FALSE),""),"Unset")</f>
        <v>Unset</v>
      </c>
      <c r="L885" t="str">
        <f t="shared" si="92"/>
        <v/>
      </c>
      <c r="M885">
        <v>0</v>
      </c>
      <c r="N885" t="str">
        <f>IF(VALUE(M885)=0,"",VLOOKUP(VLOOKUP(M885,Tbl_Effect[],3,FALSE),EffectName[],IFERROR(MATCH(UI!$B$1,EffectName[#Headers],0),2),FALSE))</f>
        <v/>
      </c>
      <c r="O885" t="str">
        <f t="shared" si="93"/>
        <v/>
      </c>
      <c r="P885">
        <v>0</v>
      </c>
      <c r="Q885" t="str">
        <f>IF(VALUE(P885)=0,"",VLOOKUP(VLOOKUP(P885,Tbl_Effect[],3,FALSE),EffectName[],IFERROR(MATCH(UI!$B$1,EffectName[#Headers],0),2),FALSE))</f>
        <v/>
      </c>
      <c r="R885" t="str">
        <f t="shared" si="94"/>
        <v/>
      </c>
      <c r="S885">
        <v>0</v>
      </c>
      <c r="T885" t="str">
        <f>IF(VALUE(S885)=0,"",VLOOKUP(VLOOKUP(S885,Tbl_Effect[],3,FALSE),EffectName[],IFERROR(MATCH(UI!$B$1,EffectName[#Headers],0),2),FALSE))</f>
        <v/>
      </c>
      <c r="U885" t="str">
        <f t="shared" si="95"/>
        <v/>
      </c>
      <c r="V885">
        <v>0</v>
      </c>
      <c r="W885" t="str">
        <f>IF(V885&lt;&gt;0,VLOOKUP(VLOOKUP(V885,Tbl_Effect[],3,FALSE),EffectName[],IFERROR(MATCH(UI!$B$1,EffectName[#Headers],0),2),FALSE),"")</f>
        <v/>
      </c>
      <c r="X885" t="str">
        <f t="shared" si="96"/>
        <v/>
      </c>
      <c r="Y885">
        <v>0</v>
      </c>
      <c r="Z885" t="str">
        <f>IF(Y885&lt;&gt;0,VLOOKUP(VLOOKUP(Y885,Tbl_Effect[],3,FALSE),EffectName[],IFERROR(MATCH(UI!$B$1,EffectName[#Headers],0),2),FALSE),"")</f>
        <v/>
      </c>
      <c r="AA885" t="str">
        <f t="shared" si="97"/>
        <v/>
      </c>
      <c r="AB885">
        <v>0</v>
      </c>
      <c r="AC885" t="str">
        <f>IF(AB885&lt;&gt;0,VLOOKUP(VLOOKUP(AB885,Tbl_Effect[],3,FALSE),EffectName[],IFERROR(MATCH(UI!$B$1,EffectName[#Headers],0),2),FALSE),"")</f>
        <v/>
      </c>
    </row>
    <row r="886" spans="8:29" x14ac:dyDescent="0.4">
      <c r="H886" t="str">
        <f t="shared" si="91"/>
        <v>6030600-Unset (紅)</v>
      </c>
      <c r="I886">
        <v>6030600</v>
      </c>
      <c r="J886" t="str">
        <f>_xlfn.IFNA(IF(I886&lt;&gt;0,VLOOKUP(VLOOKUP(I886,Tbl_Equip[],2,FALSE),Tbl_Color[],IFERROR(MATCH(UI!$B$1,Tbl_Color[#Headers],0),2),FALSE),""),"Unset")</f>
        <v>紅</v>
      </c>
      <c r="K886" t="str">
        <f>_xlfn.IFNA(IF(I886&lt;&gt;0,VLOOKUP(I886,ItemText[],IFERROR(MATCH(UI!$B$1,ItemText[#Headers],0),2),FALSE),""),"Unset")</f>
        <v>Unset</v>
      </c>
      <c r="L886" t="str">
        <f t="shared" si="92"/>
        <v/>
      </c>
      <c r="M886">
        <v>0</v>
      </c>
      <c r="N886" t="str">
        <f>IF(VALUE(M886)=0,"",VLOOKUP(VLOOKUP(M886,Tbl_Effect[],3,FALSE),EffectName[],IFERROR(MATCH(UI!$B$1,EffectName[#Headers],0),2),FALSE))</f>
        <v/>
      </c>
      <c r="O886" t="str">
        <f t="shared" si="93"/>
        <v/>
      </c>
      <c r="P886">
        <v>0</v>
      </c>
      <c r="Q886" t="str">
        <f>IF(VALUE(P886)=0,"",VLOOKUP(VLOOKUP(P886,Tbl_Effect[],3,FALSE),EffectName[],IFERROR(MATCH(UI!$B$1,EffectName[#Headers],0),2),FALSE))</f>
        <v/>
      </c>
      <c r="R886" t="str">
        <f t="shared" si="94"/>
        <v/>
      </c>
      <c r="S886">
        <v>0</v>
      </c>
      <c r="T886" t="str">
        <f>IF(VALUE(S886)=0,"",VLOOKUP(VLOOKUP(S886,Tbl_Effect[],3,FALSE),EffectName[],IFERROR(MATCH(UI!$B$1,EffectName[#Headers],0),2),FALSE))</f>
        <v/>
      </c>
      <c r="U886" t="str">
        <f t="shared" si="95"/>
        <v/>
      </c>
      <c r="V886">
        <v>0</v>
      </c>
      <c r="W886" t="str">
        <f>IF(V886&lt;&gt;0,VLOOKUP(VLOOKUP(V886,Tbl_Effect[],3,FALSE),EffectName[],IFERROR(MATCH(UI!$B$1,EffectName[#Headers],0),2),FALSE),"")</f>
        <v/>
      </c>
      <c r="X886" t="str">
        <f t="shared" si="96"/>
        <v/>
      </c>
      <c r="Y886">
        <v>0</v>
      </c>
      <c r="Z886" t="str">
        <f>IF(Y886&lt;&gt;0,VLOOKUP(VLOOKUP(Y886,Tbl_Effect[],3,FALSE),EffectName[],IFERROR(MATCH(UI!$B$1,EffectName[#Headers],0),2),FALSE),"")</f>
        <v/>
      </c>
      <c r="AA886" t="str">
        <f t="shared" si="97"/>
        <v/>
      </c>
      <c r="AB886">
        <v>0</v>
      </c>
      <c r="AC886" t="str">
        <f>IF(AB886&lt;&gt;0,VLOOKUP(VLOOKUP(AB886,Tbl_Effect[],3,FALSE),EffectName[],IFERROR(MATCH(UI!$B$1,EffectName[#Headers],0),2),FALSE),"")</f>
        <v/>
      </c>
    </row>
    <row r="887" spans="8:29" x14ac:dyDescent="0.4">
      <c r="H887" t="str">
        <f t="shared" si="91"/>
        <v>6030800-Unset (紅)</v>
      </c>
      <c r="I887">
        <v>6030800</v>
      </c>
      <c r="J887" t="str">
        <f>_xlfn.IFNA(IF(I887&lt;&gt;0,VLOOKUP(VLOOKUP(I887,Tbl_Equip[],2,FALSE),Tbl_Color[],IFERROR(MATCH(UI!$B$1,Tbl_Color[#Headers],0),2),FALSE),""),"Unset")</f>
        <v>紅</v>
      </c>
      <c r="K887" t="str">
        <f>_xlfn.IFNA(IF(I887&lt;&gt;0,VLOOKUP(I887,ItemText[],IFERROR(MATCH(UI!$B$1,ItemText[#Headers],0),2),FALSE),""),"Unset")</f>
        <v>Unset</v>
      </c>
      <c r="L887" t="str">
        <f t="shared" si="92"/>
        <v/>
      </c>
      <c r="M887">
        <v>0</v>
      </c>
      <c r="N887" t="str">
        <f>IF(VALUE(M887)=0,"",VLOOKUP(VLOOKUP(M887,Tbl_Effect[],3,FALSE),EffectName[],IFERROR(MATCH(UI!$B$1,EffectName[#Headers],0),2),FALSE))</f>
        <v/>
      </c>
      <c r="O887" t="str">
        <f t="shared" si="93"/>
        <v/>
      </c>
      <c r="P887">
        <v>0</v>
      </c>
      <c r="Q887" t="str">
        <f>IF(VALUE(P887)=0,"",VLOOKUP(VLOOKUP(P887,Tbl_Effect[],3,FALSE),EffectName[],IFERROR(MATCH(UI!$B$1,EffectName[#Headers],0),2),FALSE))</f>
        <v/>
      </c>
      <c r="R887" t="str">
        <f t="shared" si="94"/>
        <v/>
      </c>
      <c r="S887">
        <v>0</v>
      </c>
      <c r="T887" t="str">
        <f>IF(VALUE(S887)=0,"",VLOOKUP(VLOOKUP(S887,Tbl_Effect[],3,FALSE),EffectName[],IFERROR(MATCH(UI!$B$1,EffectName[#Headers],0),2),FALSE))</f>
        <v/>
      </c>
      <c r="U887" t="str">
        <f t="shared" si="95"/>
        <v/>
      </c>
      <c r="V887">
        <v>0</v>
      </c>
      <c r="W887" t="str">
        <f>IF(V887&lt;&gt;0,VLOOKUP(VLOOKUP(V887,Tbl_Effect[],3,FALSE),EffectName[],IFERROR(MATCH(UI!$B$1,EffectName[#Headers],0),2),FALSE),"")</f>
        <v/>
      </c>
      <c r="X887" t="str">
        <f t="shared" si="96"/>
        <v/>
      </c>
      <c r="Y887">
        <v>0</v>
      </c>
      <c r="Z887" t="str">
        <f>IF(Y887&lt;&gt;0,VLOOKUP(VLOOKUP(Y887,Tbl_Effect[],3,FALSE),EffectName[],IFERROR(MATCH(UI!$B$1,EffectName[#Headers],0),2),FALSE),"")</f>
        <v/>
      </c>
      <c r="AA887" t="str">
        <f t="shared" si="97"/>
        <v/>
      </c>
      <c r="AB887">
        <v>0</v>
      </c>
      <c r="AC887" t="str">
        <f>IF(AB887&lt;&gt;0,VLOOKUP(VLOOKUP(AB887,Tbl_Effect[],3,FALSE),EffectName[],IFERROR(MATCH(UI!$B$1,EffectName[#Headers],0),2),FALSE),"")</f>
        <v/>
      </c>
    </row>
    <row r="888" spans="8:29" x14ac:dyDescent="0.4">
      <c r="H888" t="str">
        <f t="shared" si="91"/>
        <v>6030900-Unset (紅)</v>
      </c>
      <c r="I888">
        <v>6030900</v>
      </c>
      <c r="J888" t="str">
        <f>_xlfn.IFNA(IF(I888&lt;&gt;0,VLOOKUP(VLOOKUP(I888,Tbl_Equip[],2,FALSE),Tbl_Color[],IFERROR(MATCH(UI!$B$1,Tbl_Color[#Headers],0),2),FALSE),""),"Unset")</f>
        <v>紅</v>
      </c>
      <c r="K888" t="str">
        <f>_xlfn.IFNA(IF(I888&lt;&gt;0,VLOOKUP(I888,ItemText[],IFERROR(MATCH(UI!$B$1,ItemText[#Headers],0),2),FALSE),""),"Unset")</f>
        <v>Unset</v>
      </c>
      <c r="L888" t="str">
        <f t="shared" si="92"/>
        <v/>
      </c>
      <c r="M888">
        <v>0</v>
      </c>
      <c r="N888" t="str">
        <f>IF(VALUE(M888)=0,"",VLOOKUP(VLOOKUP(M888,Tbl_Effect[],3,FALSE),EffectName[],IFERROR(MATCH(UI!$B$1,EffectName[#Headers],0),2),FALSE))</f>
        <v/>
      </c>
      <c r="O888" t="str">
        <f t="shared" si="93"/>
        <v/>
      </c>
      <c r="P888">
        <v>0</v>
      </c>
      <c r="Q888" t="str">
        <f>IF(VALUE(P888)=0,"",VLOOKUP(VLOOKUP(P888,Tbl_Effect[],3,FALSE),EffectName[],IFERROR(MATCH(UI!$B$1,EffectName[#Headers],0),2),FALSE))</f>
        <v/>
      </c>
      <c r="R888" t="str">
        <f t="shared" si="94"/>
        <v/>
      </c>
      <c r="S888">
        <v>0</v>
      </c>
      <c r="T888" t="str">
        <f>IF(VALUE(S888)=0,"",VLOOKUP(VLOOKUP(S888,Tbl_Effect[],3,FALSE),EffectName[],IFERROR(MATCH(UI!$B$1,EffectName[#Headers],0),2),FALSE))</f>
        <v/>
      </c>
      <c r="U888" t="str">
        <f t="shared" si="95"/>
        <v/>
      </c>
      <c r="V888">
        <v>0</v>
      </c>
      <c r="W888" t="str">
        <f>IF(V888&lt;&gt;0,VLOOKUP(VLOOKUP(V888,Tbl_Effect[],3,FALSE),EffectName[],IFERROR(MATCH(UI!$B$1,EffectName[#Headers],0),2),FALSE),"")</f>
        <v/>
      </c>
      <c r="X888" t="str">
        <f t="shared" si="96"/>
        <v/>
      </c>
      <c r="Y888">
        <v>0</v>
      </c>
      <c r="Z888" t="str">
        <f>IF(Y888&lt;&gt;0,VLOOKUP(VLOOKUP(Y888,Tbl_Effect[],3,FALSE),EffectName[],IFERROR(MATCH(UI!$B$1,EffectName[#Headers],0),2),FALSE),"")</f>
        <v/>
      </c>
      <c r="AA888" t="str">
        <f t="shared" si="97"/>
        <v/>
      </c>
      <c r="AB888">
        <v>0</v>
      </c>
      <c r="AC888" t="str">
        <f>IF(AB888&lt;&gt;0,VLOOKUP(VLOOKUP(AB888,Tbl_Effect[],3,FALSE),EffectName[],IFERROR(MATCH(UI!$B$1,EffectName[#Headers],0),2),FALSE),"")</f>
        <v/>
      </c>
    </row>
    <row r="889" spans="8:29" x14ac:dyDescent="0.4">
      <c r="H889" t="str">
        <f t="shared" si="91"/>
        <v>6030901-Unset (紅)</v>
      </c>
      <c r="I889">
        <v>6030901</v>
      </c>
      <c r="J889" t="str">
        <f>_xlfn.IFNA(IF(I889&lt;&gt;0,VLOOKUP(VLOOKUP(I889,Tbl_Equip[],2,FALSE),Tbl_Color[],IFERROR(MATCH(UI!$B$1,Tbl_Color[#Headers],0),2),FALSE),""),"Unset")</f>
        <v>紅</v>
      </c>
      <c r="K889" t="str">
        <f>_xlfn.IFNA(IF(I889&lt;&gt;0,VLOOKUP(I889,ItemText[],IFERROR(MATCH(UI!$B$1,ItemText[#Headers],0),2),FALSE),""),"Unset")</f>
        <v>Unset</v>
      </c>
      <c r="L889" t="str">
        <f t="shared" si="92"/>
        <v/>
      </c>
      <c r="M889">
        <v>0</v>
      </c>
      <c r="N889" t="str">
        <f>IF(VALUE(M889)=0,"",VLOOKUP(VLOOKUP(M889,Tbl_Effect[],3,FALSE),EffectName[],IFERROR(MATCH(UI!$B$1,EffectName[#Headers],0),2),FALSE))</f>
        <v/>
      </c>
      <c r="O889" t="str">
        <f t="shared" si="93"/>
        <v/>
      </c>
      <c r="P889">
        <v>0</v>
      </c>
      <c r="Q889" t="str">
        <f>IF(VALUE(P889)=0,"",VLOOKUP(VLOOKUP(P889,Tbl_Effect[],3,FALSE),EffectName[],IFERROR(MATCH(UI!$B$1,EffectName[#Headers],0),2),FALSE))</f>
        <v/>
      </c>
      <c r="R889" t="str">
        <f t="shared" si="94"/>
        <v/>
      </c>
      <c r="S889">
        <v>0</v>
      </c>
      <c r="T889" t="str">
        <f>IF(VALUE(S889)=0,"",VLOOKUP(VLOOKUP(S889,Tbl_Effect[],3,FALSE),EffectName[],IFERROR(MATCH(UI!$B$1,EffectName[#Headers],0),2),FALSE))</f>
        <v/>
      </c>
      <c r="U889" t="str">
        <f t="shared" si="95"/>
        <v/>
      </c>
      <c r="V889">
        <v>0</v>
      </c>
      <c r="W889" t="str">
        <f>IF(V889&lt;&gt;0,VLOOKUP(VLOOKUP(V889,Tbl_Effect[],3,FALSE),EffectName[],IFERROR(MATCH(UI!$B$1,EffectName[#Headers],0),2),FALSE),"")</f>
        <v/>
      </c>
      <c r="X889" t="str">
        <f t="shared" si="96"/>
        <v/>
      </c>
      <c r="Y889">
        <v>0</v>
      </c>
      <c r="Z889" t="str">
        <f>IF(Y889&lt;&gt;0,VLOOKUP(VLOOKUP(Y889,Tbl_Effect[],3,FALSE),EffectName[],IFERROR(MATCH(UI!$B$1,EffectName[#Headers],0),2),FALSE),"")</f>
        <v/>
      </c>
      <c r="AA889" t="str">
        <f t="shared" si="97"/>
        <v/>
      </c>
      <c r="AB889">
        <v>0</v>
      </c>
      <c r="AC889" t="str">
        <f>IF(AB889&lt;&gt;0,VLOOKUP(VLOOKUP(AB889,Tbl_Effect[],3,FALSE),EffectName[],IFERROR(MATCH(UI!$B$1,EffectName[#Headers],0),2),FALSE),"")</f>
        <v/>
      </c>
    </row>
    <row r="890" spans="8:29" x14ac:dyDescent="0.4">
      <c r="H890" t="str">
        <f t="shared" si="91"/>
        <v>6035100-Unset (紅)</v>
      </c>
      <c r="I890">
        <v>6035100</v>
      </c>
      <c r="J890" t="str">
        <f>_xlfn.IFNA(IF(I890&lt;&gt;0,VLOOKUP(VLOOKUP(I890,Tbl_Equip[],2,FALSE),Tbl_Color[],IFERROR(MATCH(UI!$B$1,Tbl_Color[#Headers],0),2),FALSE),""),"Unset")</f>
        <v>紅</v>
      </c>
      <c r="K890" t="str">
        <f>_xlfn.IFNA(IF(I890&lt;&gt;0,VLOOKUP(I890,ItemText[],IFERROR(MATCH(UI!$B$1,ItemText[#Headers],0),2),FALSE),""),"Unset")</f>
        <v>Unset</v>
      </c>
      <c r="L890" t="str">
        <f t="shared" si="92"/>
        <v/>
      </c>
      <c r="M890">
        <v>0</v>
      </c>
      <c r="N890" t="str">
        <f>IF(VALUE(M890)=0,"",VLOOKUP(VLOOKUP(M890,Tbl_Effect[],3,FALSE),EffectName[],IFERROR(MATCH(UI!$B$1,EffectName[#Headers],0),2),FALSE))</f>
        <v/>
      </c>
      <c r="O890" t="str">
        <f t="shared" si="93"/>
        <v/>
      </c>
      <c r="P890">
        <v>0</v>
      </c>
      <c r="Q890" t="str">
        <f>IF(VALUE(P890)=0,"",VLOOKUP(VLOOKUP(P890,Tbl_Effect[],3,FALSE),EffectName[],IFERROR(MATCH(UI!$B$1,EffectName[#Headers],0),2),FALSE))</f>
        <v/>
      </c>
      <c r="R890" t="str">
        <f t="shared" si="94"/>
        <v/>
      </c>
      <c r="S890">
        <v>0</v>
      </c>
      <c r="T890" t="str">
        <f>IF(VALUE(S890)=0,"",VLOOKUP(VLOOKUP(S890,Tbl_Effect[],3,FALSE),EffectName[],IFERROR(MATCH(UI!$B$1,EffectName[#Headers],0),2),FALSE))</f>
        <v/>
      </c>
      <c r="U890" t="str">
        <f t="shared" si="95"/>
        <v/>
      </c>
      <c r="V890">
        <v>0</v>
      </c>
      <c r="W890" t="str">
        <f>IF(V890&lt;&gt;0,VLOOKUP(VLOOKUP(V890,Tbl_Effect[],3,FALSE),EffectName[],IFERROR(MATCH(UI!$B$1,EffectName[#Headers],0),2),FALSE),"")</f>
        <v/>
      </c>
      <c r="X890" t="str">
        <f t="shared" si="96"/>
        <v/>
      </c>
      <c r="Y890">
        <v>0</v>
      </c>
      <c r="Z890" t="str">
        <f>IF(Y890&lt;&gt;0,VLOOKUP(VLOOKUP(Y890,Tbl_Effect[],3,FALSE),EffectName[],IFERROR(MATCH(UI!$B$1,EffectName[#Headers],0),2),FALSE),"")</f>
        <v/>
      </c>
      <c r="AA890" t="str">
        <f t="shared" si="97"/>
        <v/>
      </c>
      <c r="AB890">
        <v>0</v>
      </c>
      <c r="AC890" t="str">
        <f>IF(AB890&lt;&gt;0,VLOOKUP(VLOOKUP(AB890,Tbl_Effect[],3,FALSE),EffectName[],IFERROR(MATCH(UI!$B$1,EffectName[#Headers],0),2),FALSE),"")</f>
        <v/>
      </c>
    </row>
    <row r="891" spans="8:29" x14ac:dyDescent="0.4">
      <c r="H891" t="str">
        <f t="shared" si="91"/>
        <v>6040100-Unset (紅)</v>
      </c>
      <c r="I891">
        <v>6040100</v>
      </c>
      <c r="J891" t="str">
        <f>_xlfn.IFNA(IF(I891&lt;&gt;0,VLOOKUP(VLOOKUP(I891,Tbl_Equip[],2,FALSE),Tbl_Color[],IFERROR(MATCH(UI!$B$1,Tbl_Color[#Headers],0),2),FALSE),""),"Unset")</f>
        <v>紅</v>
      </c>
      <c r="K891" t="str">
        <f>_xlfn.IFNA(IF(I891&lt;&gt;0,VLOOKUP(I891,ItemText[],IFERROR(MATCH(UI!$B$1,ItemText[#Headers],0),2),FALSE),""),"Unset")</f>
        <v>Unset</v>
      </c>
      <c r="L891" t="str">
        <f t="shared" si="92"/>
        <v/>
      </c>
      <c r="M891">
        <v>0</v>
      </c>
      <c r="N891" t="str">
        <f>IF(VALUE(M891)=0,"",VLOOKUP(VLOOKUP(M891,Tbl_Effect[],3,FALSE),EffectName[],IFERROR(MATCH(UI!$B$1,EffectName[#Headers],0),2),FALSE))</f>
        <v/>
      </c>
      <c r="O891" t="str">
        <f t="shared" si="93"/>
        <v/>
      </c>
      <c r="P891">
        <v>0</v>
      </c>
      <c r="Q891" t="str">
        <f>IF(VALUE(P891)=0,"",VLOOKUP(VLOOKUP(P891,Tbl_Effect[],3,FALSE),EffectName[],IFERROR(MATCH(UI!$B$1,EffectName[#Headers],0),2),FALSE))</f>
        <v/>
      </c>
      <c r="R891" t="str">
        <f t="shared" si="94"/>
        <v/>
      </c>
      <c r="S891">
        <v>0</v>
      </c>
      <c r="T891" t="str">
        <f>IF(VALUE(S891)=0,"",VLOOKUP(VLOOKUP(S891,Tbl_Effect[],3,FALSE),EffectName[],IFERROR(MATCH(UI!$B$1,EffectName[#Headers],0),2),FALSE))</f>
        <v/>
      </c>
      <c r="U891" t="str">
        <f t="shared" si="95"/>
        <v/>
      </c>
      <c r="V891">
        <v>0</v>
      </c>
      <c r="W891" t="str">
        <f>IF(V891&lt;&gt;0,VLOOKUP(VLOOKUP(V891,Tbl_Effect[],3,FALSE),EffectName[],IFERROR(MATCH(UI!$B$1,EffectName[#Headers],0),2),FALSE),"")</f>
        <v/>
      </c>
      <c r="X891" t="str">
        <f t="shared" si="96"/>
        <v/>
      </c>
      <c r="Y891">
        <v>0</v>
      </c>
      <c r="Z891" t="str">
        <f>IF(Y891&lt;&gt;0,VLOOKUP(VLOOKUP(Y891,Tbl_Effect[],3,FALSE),EffectName[],IFERROR(MATCH(UI!$B$1,EffectName[#Headers],0),2),FALSE),"")</f>
        <v/>
      </c>
      <c r="AA891" t="str">
        <f t="shared" si="97"/>
        <v/>
      </c>
      <c r="AB891">
        <v>0</v>
      </c>
      <c r="AC891" t="str">
        <f>IF(AB891&lt;&gt;0,VLOOKUP(VLOOKUP(AB891,Tbl_Effect[],3,FALSE),EffectName[],IFERROR(MATCH(UI!$B$1,EffectName[#Headers],0),2),FALSE),"")</f>
        <v/>
      </c>
    </row>
    <row r="892" spans="8:29" x14ac:dyDescent="0.4">
      <c r="H892" t="str">
        <f t="shared" si="91"/>
        <v>6040101-Unset (紅)</v>
      </c>
      <c r="I892">
        <v>6040101</v>
      </c>
      <c r="J892" t="str">
        <f>_xlfn.IFNA(IF(I892&lt;&gt;0,VLOOKUP(VLOOKUP(I892,Tbl_Equip[],2,FALSE),Tbl_Color[],IFERROR(MATCH(UI!$B$1,Tbl_Color[#Headers],0),2),FALSE),""),"Unset")</f>
        <v>紅</v>
      </c>
      <c r="K892" t="str">
        <f>_xlfn.IFNA(IF(I892&lt;&gt;0,VLOOKUP(I892,ItemText[],IFERROR(MATCH(UI!$B$1,ItemText[#Headers],0),2),FALSE),""),"Unset")</f>
        <v>Unset</v>
      </c>
      <c r="L892" t="str">
        <f t="shared" si="92"/>
        <v/>
      </c>
      <c r="M892">
        <v>0</v>
      </c>
      <c r="N892" t="str">
        <f>IF(VALUE(M892)=0,"",VLOOKUP(VLOOKUP(M892,Tbl_Effect[],3,FALSE),EffectName[],IFERROR(MATCH(UI!$B$1,EffectName[#Headers],0),2),FALSE))</f>
        <v/>
      </c>
      <c r="O892" t="str">
        <f t="shared" si="93"/>
        <v/>
      </c>
      <c r="P892">
        <v>0</v>
      </c>
      <c r="Q892" t="str">
        <f>IF(VALUE(P892)=0,"",VLOOKUP(VLOOKUP(P892,Tbl_Effect[],3,FALSE),EffectName[],IFERROR(MATCH(UI!$B$1,EffectName[#Headers],0),2),FALSE))</f>
        <v/>
      </c>
      <c r="R892" t="str">
        <f t="shared" si="94"/>
        <v/>
      </c>
      <c r="S892">
        <v>0</v>
      </c>
      <c r="T892" t="str">
        <f>IF(VALUE(S892)=0,"",VLOOKUP(VLOOKUP(S892,Tbl_Effect[],3,FALSE),EffectName[],IFERROR(MATCH(UI!$B$1,EffectName[#Headers],0),2),FALSE))</f>
        <v/>
      </c>
      <c r="U892" t="str">
        <f t="shared" si="95"/>
        <v/>
      </c>
      <c r="V892">
        <v>0</v>
      </c>
      <c r="W892" t="str">
        <f>IF(V892&lt;&gt;0,VLOOKUP(VLOOKUP(V892,Tbl_Effect[],3,FALSE),EffectName[],IFERROR(MATCH(UI!$B$1,EffectName[#Headers],0),2),FALSE),"")</f>
        <v/>
      </c>
      <c r="X892" t="str">
        <f t="shared" si="96"/>
        <v/>
      </c>
      <c r="Y892">
        <v>0</v>
      </c>
      <c r="Z892" t="str">
        <f>IF(Y892&lt;&gt;0,VLOOKUP(VLOOKUP(Y892,Tbl_Effect[],3,FALSE),EffectName[],IFERROR(MATCH(UI!$B$1,EffectName[#Headers],0),2),FALSE),"")</f>
        <v/>
      </c>
      <c r="AA892" t="str">
        <f t="shared" si="97"/>
        <v/>
      </c>
      <c r="AB892">
        <v>0</v>
      </c>
      <c r="AC892" t="str">
        <f>IF(AB892&lt;&gt;0,VLOOKUP(VLOOKUP(AB892,Tbl_Effect[],3,FALSE),EffectName[],IFERROR(MATCH(UI!$B$1,EffectName[#Headers],0),2),FALSE),"")</f>
        <v/>
      </c>
    </row>
    <row r="893" spans="8:29" x14ac:dyDescent="0.4">
      <c r="H893" t="str">
        <f t="shared" si="91"/>
        <v>6040300-Unset (紅)</v>
      </c>
      <c r="I893">
        <v>6040300</v>
      </c>
      <c r="J893" t="str">
        <f>_xlfn.IFNA(IF(I893&lt;&gt;0,VLOOKUP(VLOOKUP(I893,Tbl_Equip[],2,FALSE),Tbl_Color[],IFERROR(MATCH(UI!$B$1,Tbl_Color[#Headers],0),2),FALSE),""),"Unset")</f>
        <v>紅</v>
      </c>
      <c r="K893" t="str">
        <f>_xlfn.IFNA(IF(I893&lt;&gt;0,VLOOKUP(I893,ItemText[],IFERROR(MATCH(UI!$B$1,ItemText[#Headers],0),2),FALSE),""),"Unset")</f>
        <v>Unset</v>
      </c>
      <c r="L893" t="str">
        <f t="shared" si="92"/>
        <v/>
      </c>
      <c r="M893">
        <v>0</v>
      </c>
      <c r="N893" t="str">
        <f>IF(VALUE(M893)=0,"",VLOOKUP(VLOOKUP(M893,Tbl_Effect[],3,FALSE),EffectName[],IFERROR(MATCH(UI!$B$1,EffectName[#Headers],0),2),FALSE))</f>
        <v/>
      </c>
      <c r="O893" t="str">
        <f t="shared" si="93"/>
        <v/>
      </c>
      <c r="P893">
        <v>0</v>
      </c>
      <c r="Q893" t="str">
        <f>IF(VALUE(P893)=0,"",VLOOKUP(VLOOKUP(P893,Tbl_Effect[],3,FALSE),EffectName[],IFERROR(MATCH(UI!$B$1,EffectName[#Headers],0),2),FALSE))</f>
        <v/>
      </c>
      <c r="R893" t="str">
        <f t="shared" si="94"/>
        <v/>
      </c>
      <c r="S893">
        <v>0</v>
      </c>
      <c r="T893" t="str">
        <f>IF(VALUE(S893)=0,"",VLOOKUP(VLOOKUP(S893,Tbl_Effect[],3,FALSE),EffectName[],IFERROR(MATCH(UI!$B$1,EffectName[#Headers],0),2),FALSE))</f>
        <v/>
      </c>
      <c r="U893" t="str">
        <f t="shared" si="95"/>
        <v/>
      </c>
      <c r="V893">
        <v>0</v>
      </c>
      <c r="W893" t="str">
        <f>IF(V893&lt;&gt;0,VLOOKUP(VLOOKUP(V893,Tbl_Effect[],3,FALSE),EffectName[],IFERROR(MATCH(UI!$B$1,EffectName[#Headers],0),2),FALSE),"")</f>
        <v/>
      </c>
      <c r="X893" t="str">
        <f t="shared" si="96"/>
        <v/>
      </c>
      <c r="Y893">
        <v>0</v>
      </c>
      <c r="Z893" t="str">
        <f>IF(Y893&lt;&gt;0,VLOOKUP(VLOOKUP(Y893,Tbl_Effect[],3,FALSE),EffectName[],IFERROR(MATCH(UI!$B$1,EffectName[#Headers],0),2),FALSE),"")</f>
        <v/>
      </c>
      <c r="AA893" t="str">
        <f t="shared" si="97"/>
        <v/>
      </c>
      <c r="AB893">
        <v>0</v>
      </c>
      <c r="AC893" t="str">
        <f>IF(AB893&lt;&gt;0,VLOOKUP(VLOOKUP(AB893,Tbl_Effect[],3,FALSE),EffectName[],IFERROR(MATCH(UI!$B$1,EffectName[#Headers],0),2),FALSE),"")</f>
        <v/>
      </c>
    </row>
    <row r="894" spans="8:29" x14ac:dyDescent="0.4">
      <c r="H894" t="str">
        <f t="shared" si="91"/>
        <v>6040400-Unset (紅)</v>
      </c>
      <c r="I894">
        <v>6040400</v>
      </c>
      <c r="J894" t="str">
        <f>_xlfn.IFNA(IF(I894&lt;&gt;0,VLOOKUP(VLOOKUP(I894,Tbl_Equip[],2,FALSE),Tbl_Color[],IFERROR(MATCH(UI!$B$1,Tbl_Color[#Headers],0),2),FALSE),""),"Unset")</f>
        <v>紅</v>
      </c>
      <c r="K894" t="str">
        <f>_xlfn.IFNA(IF(I894&lt;&gt;0,VLOOKUP(I894,ItemText[],IFERROR(MATCH(UI!$B$1,ItemText[#Headers],0),2),FALSE),""),"Unset")</f>
        <v>Unset</v>
      </c>
      <c r="L894" t="str">
        <f t="shared" si="92"/>
        <v/>
      </c>
      <c r="M894">
        <v>0</v>
      </c>
      <c r="N894" t="str">
        <f>IF(VALUE(M894)=0,"",VLOOKUP(VLOOKUP(M894,Tbl_Effect[],3,FALSE),EffectName[],IFERROR(MATCH(UI!$B$1,EffectName[#Headers],0),2),FALSE))</f>
        <v/>
      </c>
      <c r="O894" t="str">
        <f t="shared" si="93"/>
        <v/>
      </c>
      <c r="P894">
        <v>0</v>
      </c>
      <c r="Q894" t="str">
        <f>IF(VALUE(P894)=0,"",VLOOKUP(VLOOKUP(P894,Tbl_Effect[],3,FALSE),EffectName[],IFERROR(MATCH(UI!$B$1,EffectName[#Headers],0),2),FALSE))</f>
        <v/>
      </c>
      <c r="R894" t="str">
        <f t="shared" si="94"/>
        <v/>
      </c>
      <c r="S894">
        <v>0</v>
      </c>
      <c r="T894" t="str">
        <f>IF(VALUE(S894)=0,"",VLOOKUP(VLOOKUP(S894,Tbl_Effect[],3,FALSE),EffectName[],IFERROR(MATCH(UI!$B$1,EffectName[#Headers],0),2),FALSE))</f>
        <v/>
      </c>
      <c r="U894" t="str">
        <f t="shared" si="95"/>
        <v/>
      </c>
      <c r="V894">
        <v>0</v>
      </c>
      <c r="W894" t="str">
        <f>IF(V894&lt;&gt;0,VLOOKUP(VLOOKUP(V894,Tbl_Effect[],3,FALSE),EffectName[],IFERROR(MATCH(UI!$B$1,EffectName[#Headers],0),2),FALSE),"")</f>
        <v/>
      </c>
      <c r="X894" t="str">
        <f t="shared" si="96"/>
        <v/>
      </c>
      <c r="Y894">
        <v>0</v>
      </c>
      <c r="Z894" t="str">
        <f>IF(Y894&lt;&gt;0,VLOOKUP(VLOOKUP(Y894,Tbl_Effect[],3,FALSE),EffectName[],IFERROR(MATCH(UI!$B$1,EffectName[#Headers],0),2),FALSE),"")</f>
        <v/>
      </c>
      <c r="AA894" t="str">
        <f t="shared" si="97"/>
        <v/>
      </c>
      <c r="AB894">
        <v>0</v>
      </c>
      <c r="AC894" t="str">
        <f>IF(AB894&lt;&gt;0,VLOOKUP(VLOOKUP(AB894,Tbl_Effect[],3,FALSE),EffectName[],IFERROR(MATCH(UI!$B$1,EffectName[#Headers],0),2),FALSE),"")</f>
        <v/>
      </c>
    </row>
    <row r="895" spans="8:29" x14ac:dyDescent="0.4">
      <c r="H895" t="str">
        <f t="shared" si="91"/>
        <v>6040500-Unset (紅)</v>
      </c>
      <c r="I895">
        <v>6040500</v>
      </c>
      <c r="J895" t="str">
        <f>_xlfn.IFNA(IF(I895&lt;&gt;0,VLOOKUP(VLOOKUP(I895,Tbl_Equip[],2,FALSE),Tbl_Color[],IFERROR(MATCH(UI!$B$1,Tbl_Color[#Headers],0),2),FALSE),""),"Unset")</f>
        <v>紅</v>
      </c>
      <c r="K895" t="str">
        <f>_xlfn.IFNA(IF(I895&lt;&gt;0,VLOOKUP(I895,ItemText[],IFERROR(MATCH(UI!$B$1,ItemText[#Headers],0),2),FALSE),""),"Unset")</f>
        <v>Unset</v>
      </c>
      <c r="L895" t="str">
        <f t="shared" si="92"/>
        <v/>
      </c>
      <c r="M895">
        <v>0</v>
      </c>
      <c r="N895" t="str">
        <f>IF(VALUE(M895)=0,"",VLOOKUP(VLOOKUP(M895,Tbl_Effect[],3,FALSE),EffectName[],IFERROR(MATCH(UI!$B$1,EffectName[#Headers],0),2),FALSE))</f>
        <v/>
      </c>
      <c r="O895" t="str">
        <f t="shared" si="93"/>
        <v/>
      </c>
      <c r="P895">
        <v>0</v>
      </c>
      <c r="Q895" t="str">
        <f>IF(VALUE(P895)=0,"",VLOOKUP(VLOOKUP(P895,Tbl_Effect[],3,FALSE),EffectName[],IFERROR(MATCH(UI!$B$1,EffectName[#Headers],0),2),FALSE))</f>
        <v/>
      </c>
      <c r="R895" t="str">
        <f t="shared" si="94"/>
        <v/>
      </c>
      <c r="S895">
        <v>0</v>
      </c>
      <c r="T895" t="str">
        <f>IF(VALUE(S895)=0,"",VLOOKUP(VLOOKUP(S895,Tbl_Effect[],3,FALSE),EffectName[],IFERROR(MATCH(UI!$B$1,EffectName[#Headers],0),2),FALSE))</f>
        <v/>
      </c>
      <c r="U895" t="str">
        <f t="shared" si="95"/>
        <v/>
      </c>
      <c r="V895">
        <v>0</v>
      </c>
      <c r="W895" t="str">
        <f>IF(V895&lt;&gt;0,VLOOKUP(VLOOKUP(V895,Tbl_Effect[],3,FALSE),EffectName[],IFERROR(MATCH(UI!$B$1,EffectName[#Headers],0),2),FALSE),"")</f>
        <v/>
      </c>
      <c r="X895" t="str">
        <f t="shared" si="96"/>
        <v/>
      </c>
      <c r="Y895">
        <v>0</v>
      </c>
      <c r="Z895" t="str">
        <f>IF(Y895&lt;&gt;0,VLOOKUP(VLOOKUP(Y895,Tbl_Effect[],3,FALSE),EffectName[],IFERROR(MATCH(UI!$B$1,EffectName[#Headers],0),2),FALSE),"")</f>
        <v/>
      </c>
      <c r="AA895" t="str">
        <f t="shared" si="97"/>
        <v/>
      </c>
      <c r="AB895">
        <v>0</v>
      </c>
      <c r="AC895" t="str">
        <f>IF(AB895&lt;&gt;0,VLOOKUP(VLOOKUP(AB895,Tbl_Effect[],3,FALSE),EffectName[],IFERROR(MATCH(UI!$B$1,EffectName[#Headers],0),2),FALSE),"")</f>
        <v/>
      </c>
    </row>
    <row r="896" spans="8:29" x14ac:dyDescent="0.4">
      <c r="H896" t="str">
        <f t="shared" si="91"/>
        <v>6043100-Unset (紅)</v>
      </c>
      <c r="I896">
        <v>6043100</v>
      </c>
      <c r="J896" t="str">
        <f>_xlfn.IFNA(IF(I896&lt;&gt;0,VLOOKUP(VLOOKUP(I896,Tbl_Equip[],2,FALSE),Tbl_Color[],IFERROR(MATCH(UI!$B$1,Tbl_Color[#Headers],0),2),FALSE),""),"Unset")</f>
        <v>紅</v>
      </c>
      <c r="K896" t="str">
        <f>_xlfn.IFNA(IF(I896&lt;&gt;0,VLOOKUP(I896,ItemText[],IFERROR(MATCH(UI!$B$1,ItemText[#Headers],0),2),FALSE),""),"Unset")</f>
        <v>Unset</v>
      </c>
      <c r="L896" t="str">
        <f t="shared" si="92"/>
        <v/>
      </c>
      <c r="M896">
        <v>0</v>
      </c>
      <c r="N896" t="str">
        <f>IF(VALUE(M896)=0,"",VLOOKUP(VLOOKUP(M896,Tbl_Effect[],3,FALSE),EffectName[],IFERROR(MATCH(UI!$B$1,EffectName[#Headers],0),2),FALSE))</f>
        <v/>
      </c>
      <c r="O896" t="str">
        <f t="shared" si="93"/>
        <v/>
      </c>
      <c r="P896">
        <v>0</v>
      </c>
      <c r="Q896" t="str">
        <f>IF(VALUE(P896)=0,"",VLOOKUP(VLOOKUP(P896,Tbl_Effect[],3,FALSE),EffectName[],IFERROR(MATCH(UI!$B$1,EffectName[#Headers],0),2),FALSE))</f>
        <v/>
      </c>
      <c r="R896" t="str">
        <f t="shared" si="94"/>
        <v/>
      </c>
      <c r="S896">
        <v>0</v>
      </c>
      <c r="T896" t="str">
        <f>IF(VALUE(S896)=0,"",VLOOKUP(VLOOKUP(S896,Tbl_Effect[],3,FALSE),EffectName[],IFERROR(MATCH(UI!$B$1,EffectName[#Headers],0),2),FALSE))</f>
        <v/>
      </c>
      <c r="U896" t="str">
        <f t="shared" si="95"/>
        <v/>
      </c>
      <c r="V896">
        <v>0</v>
      </c>
      <c r="W896" t="str">
        <f>IF(V896&lt;&gt;0,VLOOKUP(VLOOKUP(V896,Tbl_Effect[],3,FALSE),EffectName[],IFERROR(MATCH(UI!$B$1,EffectName[#Headers],0),2),FALSE),"")</f>
        <v/>
      </c>
      <c r="X896" t="str">
        <f t="shared" si="96"/>
        <v/>
      </c>
      <c r="Y896">
        <v>0</v>
      </c>
      <c r="Z896" t="str">
        <f>IF(Y896&lt;&gt;0,VLOOKUP(VLOOKUP(Y896,Tbl_Effect[],3,FALSE),EffectName[],IFERROR(MATCH(UI!$B$1,EffectName[#Headers],0),2),FALSE),"")</f>
        <v/>
      </c>
      <c r="AA896" t="str">
        <f t="shared" si="97"/>
        <v/>
      </c>
      <c r="AB896">
        <v>0</v>
      </c>
      <c r="AC896" t="str">
        <f>IF(AB896&lt;&gt;0,VLOOKUP(VLOOKUP(AB896,Tbl_Effect[],3,FALSE),EffectName[],IFERROR(MATCH(UI!$B$1,EffectName[#Headers],0),2),FALSE),"")</f>
        <v/>
      </c>
    </row>
    <row r="897" spans="8:29" x14ac:dyDescent="0.4">
      <c r="H897" t="str">
        <f t="shared" si="91"/>
        <v>6060300-Unset (紅)</v>
      </c>
      <c r="I897">
        <v>6060300</v>
      </c>
      <c r="J897" t="str">
        <f>_xlfn.IFNA(IF(I897&lt;&gt;0,VLOOKUP(VLOOKUP(I897,Tbl_Equip[],2,FALSE),Tbl_Color[],IFERROR(MATCH(UI!$B$1,Tbl_Color[#Headers],0),2),FALSE),""),"Unset")</f>
        <v>紅</v>
      </c>
      <c r="K897" t="str">
        <f>_xlfn.IFNA(IF(I897&lt;&gt;0,VLOOKUP(I897,ItemText[],IFERROR(MATCH(UI!$B$1,ItemText[#Headers],0),2),FALSE),""),"Unset")</f>
        <v>Unset</v>
      </c>
      <c r="L897" t="str">
        <f t="shared" si="92"/>
        <v/>
      </c>
      <c r="M897">
        <v>0</v>
      </c>
      <c r="N897" t="str">
        <f>IF(VALUE(M897)=0,"",VLOOKUP(VLOOKUP(M897,Tbl_Effect[],3,FALSE),EffectName[],IFERROR(MATCH(UI!$B$1,EffectName[#Headers],0),2),FALSE))</f>
        <v/>
      </c>
      <c r="O897" t="str">
        <f t="shared" si="93"/>
        <v/>
      </c>
      <c r="P897">
        <v>0</v>
      </c>
      <c r="Q897" t="str">
        <f>IF(VALUE(P897)=0,"",VLOOKUP(VLOOKUP(P897,Tbl_Effect[],3,FALSE),EffectName[],IFERROR(MATCH(UI!$B$1,EffectName[#Headers],0),2),FALSE))</f>
        <v/>
      </c>
      <c r="R897" t="str">
        <f t="shared" si="94"/>
        <v/>
      </c>
      <c r="S897">
        <v>0</v>
      </c>
      <c r="T897" t="str">
        <f>IF(VALUE(S897)=0,"",VLOOKUP(VLOOKUP(S897,Tbl_Effect[],3,FALSE),EffectName[],IFERROR(MATCH(UI!$B$1,EffectName[#Headers],0),2),FALSE))</f>
        <v/>
      </c>
      <c r="U897" t="str">
        <f t="shared" si="95"/>
        <v/>
      </c>
      <c r="V897">
        <v>0</v>
      </c>
      <c r="W897" t="str">
        <f>IF(V897&lt;&gt;0,VLOOKUP(VLOOKUP(V897,Tbl_Effect[],3,FALSE),EffectName[],IFERROR(MATCH(UI!$B$1,EffectName[#Headers],0),2),FALSE),"")</f>
        <v/>
      </c>
      <c r="X897" t="str">
        <f t="shared" si="96"/>
        <v/>
      </c>
      <c r="Y897">
        <v>0</v>
      </c>
      <c r="Z897" t="str">
        <f>IF(Y897&lt;&gt;0,VLOOKUP(VLOOKUP(Y897,Tbl_Effect[],3,FALSE),EffectName[],IFERROR(MATCH(UI!$B$1,EffectName[#Headers],0),2),FALSE),"")</f>
        <v/>
      </c>
      <c r="AA897" t="str">
        <f t="shared" si="97"/>
        <v/>
      </c>
      <c r="AB897">
        <v>0</v>
      </c>
      <c r="AC897" t="str">
        <f>IF(AB897&lt;&gt;0,VLOOKUP(VLOOKUP(AB897,Tbl_Effect[],3,FALSE),EffectName[],IFERROR(MATCH(UI!$B$1,EffectName[#Headers],0),2),FALSE),"")</f>
        <v/>
      </c>
    </row>
    <row r="898" spans="8:29" x14ac:dyDescent="0.4">
      <c r="H898" t="str">
        <f t="shared" si="91"/>
        <v>6060400-Unset (紅)</v>
      </c>
      <c r="I898">
        <v>6060400</v>
      </c>
      <c r="J898" t="str">
        <f>_xlfn.IFNA(IF(I898&lt;&gt;0,VLOOKUP(VLOOKUP(I898,Tbl_Equip[],2,FALSE),Tbl_Color[],IFERROR(MATCH(UI!$B$1,Tbl_Color[#Headers],0),2),FALSE),""),"Unset")</f>
        <v>紅</v>
      </c>
      <c r="K898" t="str">
        <f>_xlfn.IFNA(IF(I898&lt;&gt;0,VLOOKUP(I898,ItemText[],IFERROR(MATCH(UI!$B$1,ItemText[#Headers],0),2),FALSE),""),"Unset")</f>
        <v>Unset</v>
      </c>
      <c r="L898" t="str">
        <f t="shared" si="92"/>
        <v/>
      </c>
      <c r="M898">
        <v>0</v>
      </c>
      <c r="N898" t="str">
        <f>IF(VALUE(M898)=0,"",VLOOKUP(VLOOKUP(M898,Tbl_Effect[],3,FALSE),EffectName[],IFERROR(MATCH(UI!$B$1,EffectName[#Headers],0),2),FALSE))</f>
        <v/>
      </c>
      <c r="O898" t="str">
        <f t="shared" si="93"/>
        <v/>
      </c>
      <c r="P898">
        <v>0</v>
      </c>
      <c r="Q898" t="str">
        <f>IF(VALUE(P898)=0,"",VLOOKUP(VLOOKUP(P898,Tbl_Effect[],3,FALSE),EffectName[],IFERROR(MATCH(UI!$B$1,EffectName[#Headers],0),2),FALSE))</f>
        <v/>
      </c>
      <c r="R898" t="str">
        <f t="shared" si="94"/>
        <v/>
      </c>
      <c r="S898">
        <v>0</v>
      </c>
      <c r="T898" t="str">
        <f>IF(VALUE(S898)=0,"",VLOOKUP(VLOOKUP(S898,Tbl_Effect[],3,FALSE),EffectName[],IFERROR(MATCH(UI!$B$1,EffectName[#Headers],0),2),FALSE))</f>
        <v/>
      </c>
      <c r="U898" t="str">
        <f t="shared" si="95"/>
        <v/>
      </c>
      <c r="V898">
        <v>0</v>
      </c>
      <c r="W898" t="str">
        <f>IF(V898&lt;&gt;0,VLOOKUP(VLOOKUP(V898,Tbl_Effect[],3,FALSE),EffectName[],IFERROR(MATCH(UI!$B$1,EffectName[#Headers],0),2),FALSE),"")</f>
        <v/>
      </c>
      <c r="X898" t="str">
        <f t="shared" si="96"/>
        <v/>
      </c>
      <c r="Y898">
        <v>0</v>
      </c>
      <c r="Z898" t="str">
        <f>IF(Y898&lt;&gt;0,VLOOKUP(VLOOKUP(Y898,Tbl_Effect[],3,FALSE),EffectName[],IFERROR(MATCH(UI!$B$1,EffectName[#Headers],0),2),FALSE),"")</f>
        <v/>
      </c>
      <c r="AA898" t="str">
        <f t="shared" si="97"/>
        <v/>
      </c>
      <c r="AB898">
        <v>0</v>
      </c>
      <c r="AC898" t="str">
        <f>IF(AB898&lt;&gt;0,VLOOKUP(VLOOKUP(AB898,Tbl_Effect[],3,FALSE),EffectName[],IFERROR(MATCH(UI!$B$1,EffectName[#Headers],0),2),FALSE),"")</f>
        <v/>
      </c>
    </row>
    <row r="899" spans="8:29" x14ac:dyDescent="0.4">
      <c r="H899" t="str">
        <f t="shared" ref="H899:H962" si="98">IF(VALUE(I899)&lt;&gt;0,I899&amp;"-"&amp;K899&amp;" ("&amp;J899&amp;")","")</f>
        <v>6060500-Unset (紅)</v>
      </c>
      <c r="I899">
        <v>6060500</v>
      </c>
      <c r="J899" t="str">
        <f>_xlfn.IFNA(IF(I899&lt;&gt;0,VLOOKUP(VLOOKUP(I899,Tbl_Equip[],2,FALSE),Tbl_Color[],IFERROR(MATCH(UI!$B$1,Tbl_Color[#Headers],0),2),FALSE),""),"Unset")</f>
        <v>紅</v>
      </c>
      <c r="K899" t="str">
        <f>_xlfn.IFNA(IF(I899&lt;&gt;0,VLOOKUP(I899,ItemText[],IFERROR(MATCH(UI!$B$1,ItemText[#Headers],0),2),FALSE),""),"Unset")</f>
        <v>Unset</v>
      </c>
      <c r="L899" t="str">
        <f t="shared" ref="L899:L962" si="99">IF(VALUE(M899)=0,"",M899&amp;"-"&amp;N899)</f>
        <v/>
      </c>
      <c r="M899">
        <v>0</v>
      </c>
      <c r="N899" t="str">
        <f>IF(VALUE(M899)=0,"",VLOOKUP(VLOOKUP(M899,Tbl_Effect[],3,FALSE),EffectName[],IFERROR(MATCH(UI!$B$1,EffectName[#Headers],0),2),FALSE))</f>
        <v/>
      </c>
      <c r="O899" t="str">
        <f t="shared" ref="O899:O962" si="100">IF(VALUE(P899)=0,"",P899&amp;"-"&amp;Q899)</f>
        <v/>
      </c>
      <c r="P899">
        <v>0</v>
      </c>
      <c r="Q899" t="str">
        <f>IF(VALUE(P899)=0,"",VLOOKUP(VLOOKUP(P899,Tbl_Effect[],3,FALSE),EffectName[],IFERROR(MATCH(UI!$B$1,EffectName[#Headers],0),2),FALSE))</f>
        <v/>
      </c>
      <c r="R899" t="str">
        <f t="shared" ref="R899:R962" si="101">IF(VALUE(S899)=0,"",S899&amp;"-"&amp;T899)</f>
        <v/>
      </c>
      <c r="S899">
        <v>0</v>
      </c>
      <c r="T899" t="str">
        <f>IF(VALUE(S899)=0,"",VLOOKUP(VLOOKUP(S899,Tbl_Effect[],3,FALSE),EffectName[],IFERROR(MATCH(UI!$B$1,EffectName[#Headers],0),2),FALSE))</f>
        <v/>
      </c>
      <c r="U899" t="str">
        <f t="shared" ref="U899:U962" si="102">IF(VALUE(V899)=0,"",V899&amp;"-"&amp;W899)</f>
        <v/>
      </c>
      <c r="V899">
        <v>0</v>
      </c>
      <c r="W899" t="str">
        <f>IF(V899&lt;&gt;0,VLOOKUP(VLOOKUP(V899,Tbl_Effect[],3,FALSE),EffectName[],IFERROR(MATCH(UI!$B$1,EffectName[#Headers],0),2),FALSE),"")</f>
        <v/>
      </c>
      <c r="X899" t="str">
        <f t="shared" ref="X899:X962" si="103">IF(VALUE(Y899)=0,"",Y899&amp;"-"&amp;Z899)</f>
        <v/>
      </c>
      <c r="Y899">
        <v>0</v>
      </c>
      <c r="Z899" t="str">
        <f>IF(Y899&lt;&gt;0,VLOOKUP(VLOOKUP(Y899,Tbl_Effect[],3,FALSE),EffectName[],IFERROR(MATCH(UI!$B$1,EffectName[#Headers],0),2),FALSE),"")</f>
        <v/>
      </c>
      <c r="AA899" t="str">
        <f t="shared" ref="AA899:AA962" si="104">IF(VALUE(AB899)=0,"",AB899&amp;"-"&amp;AC899)</f>
        <v/>
      </c>
      <c r="AB899">
        <v>0</v>
      </c>
      <c r="AC899" t="str">
        <f>IF(AB899&lt;&gt;0,VLOOKUP(VLOOKUP(AB899,Tbl_Effect[],3,FALSE),EffectName[],IFERROR(MATCH(UI!$B$1,EffectName[#Headers],0),2),FALSE),"")</f>
        <v/>
      </c>
    </row>
    <row r="900" spans="8:29" x14ac:dyDescent="0.4">
      <c r="H900" t="str">
        <f t="shared" si="98"/>
        <v>6060600-Unset (紅)</v>
      </c>
      <c r="I900">
        <v>6060600</v>
      </c>
      <c r="J900" t="str">
        <f>_xlfn.IFNA(IF(I900&lt;&gt;0,VLOOKUP(VLOOKUP(I900,Tbl_Equip[],2,FALSE),Tbl_Color[],IFERROR(MATCH(UI!$B$1,Tbl_Color[#Headers],0),2),FALSE),""),"Unset")</f>
        <v>紅</v>
      </c>
      <c r="K900" t="str">
        <f>_xlfn.IFNA(IF(I900&lt;&gt;0,VLOOKUP(I900,ItemText[],IFERROR(MATCH(UI!$B$1,ItemText[#Headers],0),2),FALSE),""),"Unset")</f>
        <v>Unset</v>
      </c>
      <c r="L900" t="str">
        <f t="shared" si="99"/>
        <v/>
      </c>
      <c r="M900">
        <v>0</v>
      </c>
      <c r="N900" t="str">
        <f>IF(VALUE(M900)=0,"",VLOOKUP(VLOOKUP(M900,Tbl_Effect[],3,FALSE),EffectName[],IFERROR(MATCH(UI!$B$1,EffectName[#Headers],0),2),FALSE))</f>
        <v/>
      </c>
      <c r="O900" t="str">
        <f t="shared" si="100"/>
        <v/>
      </c>
      <c r="P900">
        <v>0</v>
      </c>
      <c r="Q900" t="str">
        <f>IF(VALUE(P900)=0,"",VLOOKUP(VLOOKUP(P900,Tbl_Effect[],3,FALSE),EffectName[],IFERROR(MATCH(UI!$B$1,EffectName[#Headers],0),2),FALSE))</f>
        <v/>
      </c>
      <c r="R900" t="str">
        <f t="shared" si="101"/>
        <v/>
      </c>
      <c r="S900">
        <v>0</v>
      </c>
      <c r="T900" t="str">
        <f>IF(VALUE(S900)=0,"",VLOOKUP(VLOOKUP(S900,Tbl_Effect[],3,FALSE),EffectName[],IFERROR(MATCH(UI!$B$1,EffectName[#Headers],0),2),FALSE))</f>
        <v/>
      </c>
      <c r="U900" t="str">
        <f t="shared" si="102"/>
        <v/>
      </c>
      <c r="V900">
        <v>0</v>
      </c>
      <c r="W900" t="str">
        <f>IF(V900&lt;&gt;0,VLOOKUP(VLOOKUP(V900,Tbl_Effect[],3,FALSE),EffectName[],IFERROR(MATCH(UI!$B$1,EffectName[#Headers],0),2),FALSE),"")</f>
        <v/>
      </c>
      <c r="X900" t="str">
        <f t="shared" si="103"/>
        <v/>
      </c>
      <c r="Y900">
        <v>0</v>
      </c>
      <c r="Z900" t="str">
        <f>IF(Y900&lt;&gt;0,VLOOKUP(VLOOKUP(Y900,Tbl_Effect[],3,FALSE),EffectName[],IFERROR(MATCH(UI!$B$1,EffectName[#Headers],0),2),FALSE),"")</f>
        <v/>
      </c>
      <c r="AA900" t="str">
        <f t="shared" si="104"/>
        <v/>
      </c>
      <c r="AB900">
        <v>0</v>
      </c>
      <c r="AC900" t="str">
        <f>IF(AB900&lt;&gt;0,VLOOKUP(VLOOKUP(AB900,Tbl_Effect[],3,FALSE),EffectName[],IFERROR(MATCH(UI!$B$1,EffectName[#Headers],0),2),FALSE),"")</f>
        <v/>
      </c>
    </row>
    <row r="901" spans="8:29" x14ac:dyDescent="0.4">
      <c r="H901" t="str">
        <f t="shared" si="98"/>
        <v>6090000-Unset (紅)</v>
      </c>
      <c r="I901">
        <v>6090000</v>
      </c>
      <c r="J901" t="str">
        <f>_xlfn.IFNA(IF(I901&lt;&gt;0,VLOOKUP(VLOOKUP(I901,Tbl_Equip[],2,FALSE),Tbl_Color[],IFERROR(MATCH(UI!$B$1,Tbl_Color[#Headers],0),2),FALSE),""),"Unset")</f>
        <v>紅</v>
      </c>
      <c r="K901" t="str">
        <f>_xlfn.IFNA(IF(I901&lt;&gt;0,VLOOKUP(I901,ItemText[],IFERROR(MATCH(UI!$B$1,ItemText[#Headers],0),2),FALSE),""),"Unset")</f>
        <v>Unset</v>
      </c>
      <c r="L901" t="str">
        <f t="shared" si="99"/>
        <v/>
      </c>
      <c r="M901">
        <v>0</v>
      </c>
      <c r="N901" t="str">
        <f>IF(VALUE(M901)=0,"",VLOOKUP(VLOOKUP(M901,Tbl_Effect[],3,FALSE),EffectName[],IFERROR(MATCH(UI!$B$1,EffectName[#Headers],0),2),FALSE))</f>
        <v/>
      </c>
      <c r="O901" t="str">
        <f t="shared" si="100"/>
        <v/>
      </c>
      <c r="P901">
        <v>0</v>
      </c>
      <c r="Q901" t="str">
        <f>IF(VALUE(P901)=0,"",VLOOKUP(VLOOKUP(P901,Tbl_Effect[],3,FALSE),EffectName[],IFERROR(MATCH(UI!$B$1,EffectName[#Headers],0),2),FALSE))</f>
        <v/>
      </c>
      <c r="R901" t="str">
        <f t="shared" si="101"/>
        <v/>
      </c>
      <c r="S901">
        <v>0</v>
      </c>
      <c r="T901" t="str">
        <f>IF(VALUE(S901)=0,"",VLOOKUP(VLOOKUP(S901,Tbl_Effect[],3,FALSE),EffectName[],IFERROR(MATCH(UI!$B$1,EffectName[#Headers],0),2),FALSE))</f>
        <v/>
      </c>
      <c r="U901" t="str">
        <f t="shared" si="102"/>
        <v/>
      </c>
      <c r="V901">
        <v>0</v>
      </c>
      <c r="W901" t="str">
        <f>IF(V901&lt;&gt;0,VLOOKUP(VLOOKUP(V901,Tbl_Effect[],3,FALSE),EffectName[],IFERROR(MATCH(UI!$B$1,EffectName[#Headers],0),2),FALSE),"")</f>
        <v/>
      </c>
      <c r="X901" t="str">
        <f t="shared" si="103"/>
        <v/>
      </c>
      <c r="Y901">
        <v>0</v>
      </c>
      <c r="Z901" t="str">
        <f>IF(Y901&lt;&gt;0,VLOOKUP(VLOOKUP(Y901,Tbl_Effect[],3,FALSE),EffectName[],IFERROR(MATCH(UI!$B$1,EffectName[#Headers],0),2),FALSE),"")</f>
        <v/>
      </c>
      <c r="AA901" t="str">
        <f t="shared" si="104"/>
        <v/>
      </c>
      <c r="AB901">
        <v>0</v>
      </c>
      <c r="AC901" t="str">
        <f>IF(AB901&lt;&gt;0,VLOOKUP(VLOOKUP(AB901,Tbl_Effect[],3,FALSE),EffectName[],IFERROR(MATCH(UI!$B$1,EffectName[#Headers],0),2),FALSE),"")</f>
        <v/>
      </c>
    </row>
    <row r="902" spans="8:29" x14ac:dyDescent="0.4">
      <c r="H902" t="str">
        <f t="shared" si="98"/>
        <v>6160000-Unset (紅)</v>
      </c>
      <c r="I902">
        <v>6160000</v>
      </c>
      <c r="J902" t="str">
        <f>_xlfn.IFNA(IF(I902&lt;&gt;0,VLOOKUP(VLOOKUP(I902,Tbl_Equip[],2,FALSE),Tbl_Color[],IFERROR(MATCH(UI!$B$1,Tbl_Color[#Headers],0),2),FALSE),""),"Unset")</f>
        <v>紅</v>
      </c>
      <c r="K902" t="str">
        <f>_xlfn.IFNA(IF(I902&lt;&gt;0,VLOOKUP(I902,ItemText[],IFERROR(MATCH(UI!$B$1,ItemText[#Headers],0),2),FALSE),""),"Unset")</f>
        <v>Unset</v>
      </c>
      <c r="L902" t="str">
        <f t="shared" si="99"/>
        <v/>
      </c>
      <c r="M902">
        <v>0</v>
      </c>
      <c r="N902" t="str">
        <f>IF(VALUE(M902)=0,"",VLOOKUP(VLOOKUP(M902,Tbl_Effect[],3,FALSE),EffectName[],IFERROR(MATCH(UI!$B$1,EffectName[#Headers],0),2),FALSE))</f>
        <v/>
      </c>
      <c r="O902" t="str">
        <f t="shared" si="100"/>
        <v/>
      </c>
      <c r="P902">
        <v>0</v>
      </c>
      <c r="Q902" t="str">
        <f>IF(VALUE(P902)=0,"",VLOOKUP(VLOOKUP(P902,Tbl_Effect[],3,FALSE),EffectName[],IFERROR(MATCH(UI!$B$1,EffectName[#Headers],0),2),FALSE))</f>
        <v/>
      </c>
      <c r="R902" t="str">
        <f t="shared" si="101"/>
        <v/>
      </c>
      <c r="S902">
        <v>0</v>
      </c>
      <c r="T902" t="str">
        <f>IF(VALUE(S902)=0,"",VLOOKUP(VLOOKUP(S902,Tbl_Effect[],3,FALSE),EffectName[],IFERROR(MATCH(UI!$B$1,EffectName[#Headers],0),2),FALSE))</f>
        <v/>
      </c>
      <c r="U902" t="str">
        <f t="shared" si="102"/>
        <v/>
      </c>
      <c r="V902">
        <v>0</v>
      </c>
      <c r="W902" t="str">
        <f>IF(V902&lt;&gt;0,VLOOKUP(VLOOKUP(V902,Tbl_Effect[],3,FALSE),EffectName[],IFERROR(MATCH(UI!$B$1,EffectName[#Headers],0),2),FALSE),"")</f>
        <v/>
      </c>
      <c r="X902" t="str">
        <f t="shared" si="103"/>
        <v/>
      </c>
      <c r="Y902">
        <v>0</v>
      </c>
      <c r="Z902" t="str">
        <f>IF(Y902&lt;&gt;0,VLOOKUP(VLOOKUP(Y902,Tbl_Effect[],3,FALSE),EffectName[],IFERROR(MATCH(UI!$B$1,EffectName[#Headers],0),2),FALSE),"")</f>
        <v/>
      </c>
      <c r="AA902" t="str">
        <f t="shared" si="104"/>
        <v/>
      </c>
      <c r="AB902">
        <v>0</v>
      </c>
      <c r="AC902" t="str">
        <f>IF(AB902&lt;&gt;0,VLOOKUP(VLOOKUP(AB902,Tbl_Effect[],3,FALSE),EffectName[],IFERROR(MATCH(UI!$B$1,EffectName[#Headers],0),2),FALSE),"")</f>
        <v/>
      </c>
    </row>
    <row r="903" spans="8:29" x14ac:dyDescent="0.4">
      <c r="H903" t="str">
        <f t="shared" si="98"/>
        <v>6260000-Unset (紅)</v>
      </c>
      <c r="I903">
        <v>6260000</v>
      </c>
      <c r="J903" t="str">
        <f>_xlfn.IFNA(IF(I903&lt;&gt;0,VLOOKUP(VLOOKUP(I903,Tbl_Equip[],2,FALSE),Tbl_Color[],IFERROR(MATCH(UI!$B$1,Tbl_Color[#Headers],0),2),FALSE),""),"Unset")</f>
        <v>紅</v>
      </c>
      <c r="K903" t="str">
        <f>_xlfn.IFNA(IF(I903&lt;&gt;0,VLOOKUP(I903,ItemText[],IFERROR(MATCH(UI!$B$1,ItemText[#Headers],0),2),FALSE),""),"Unset")</f>
        <v>Unset</v>
      </c>
      <c r="L903" t="str">
        <f t="shared" si="99"/>
        <v/>
      </c>
      <c r="M903">
        <v>0</v>
      </c>
      <c r="N903" t="str">
        <f>IF(VALUE(M903)=0,"",VLOOKUP(VLOOKUP(M903,Tbl_Effect[],3,FALSE),EffectName[],IFERROR(MATCH(UI!$B$1,EffectName[#Headers],0),2),FALSE))</f>
        <v/>
      </c>
      <c r="O903" t="str">
        <f t="shared" si="100"/>
        <v/>
      </c>
      <c r="P903">
        <v>0</v>
      </c>
      <c r="Q903" t="str">
        <f>IF(VALUE(P903)=0,"",VLOOKUP(VLOOKUP(P903,Tbl_Effect[],3,FALSE),EffectName[],IFERROR(MATCH(UI!$B$1,EffectName[#Headers],0),2),FALSE))</f>
        <v/>
      </c>
      <c r="R903" t="str">
        <f t="shared" si="101"/>
        <v/>
      </c>
      <c r="S903">
        <v>0</v>
      </c>
      <c r="T903" t="str">
        <f>IF(VALUE(S903)=0,"",VLOOKUP(VLOOKUP(S903,Tbl_Effect[],3,FALSE),EffectName[],IFERROR(MATCH(UI!$B$1,EffectName[#Headers],0),2),FALSE))</f>
        <v/>
      </c>
      <c r="U903" t="str">
        <f t="shared" si="102"/>
        <v/>
      </c>
      <c r="V903">
        <v>0</v>
      </c>
      <c r="W903" t="str">
        <f>IF(V903&lt;&gt;0,VLOOKUP(VLOOKUP(V903,Tbl_Effect[],3,FALSE),EffectName[],IFERROR(MATCH(UI!$B$1,EffectName[#Headers],0),2),FALSE),"")</f>
        <v/>
      </c>
      <c r="X903" t="str">
        <f t="shared" si="103"/>
        <v/>
      </c>
      <c r="Y903">
        <v>0</v>
      </c>
      <c r="Z903" t="str">
        <f>IF(Y903&lt;&gt;0,VLOOKUP(VLOOKUP(Y903,Tbl_Effect[],3,FALSE),EffectName[],IFERROR(MATCH(UI!$B$1,EffectName[#Headers],0),2),FALSE),"")</f>
        <v/>
      </c>
      <c r="AA903" t="str">
        <f t="shared" si="104"/>
        <v/>
      </c>
      <c r="AB903">
        <v>0</v>
      </c>
      <c r="AC903" t="str">
        <f>IF(AB903&lt;&gt;0,VLOOKUP(VLOOKUP(AB903,Tbl_Effect[],3,FALSE),EffectName[],IFERROR(MATCH(UI!$B$1,EffectName[#Headers],0),2),FALSE),"")</f>
        <v/>
      </c>
    </row>
    <row r="904" spans="8:29" x14ac:dyDescent="0.4">
      <c r="H904" t="str">
        <f t="shared" si="98"/>
        <v>6260001-Unset (紅)</v>
      </c>
      <c r="I904">
        <v>6260001</v>
      </c>
      <c r="J904" t="str">
        <f>_xlfn.IFNA(IF(I904&lt;&gt;0,VLOOKUP(VLOOKUP(I904,Tbl_Equip[],2,FALSE),Tbl_Color[],IFERROR(MATCH(UI!$B$1,Tbl_Color[#Headers],0),2),FALSE),""),"Unset")</f>
        <v>紅</v>
      </c>
      <c r="K904" t="str">
        <f>_xlfn.IFNA(IF(I904&lt;&gt;0,VLOOKUP(I904,ItemText[],IFERROR(MATCH(UI!$B$1,ItemText[#Headers],0),2),FALSE),""),"Unset")</f>
        <v>Unset</v>
      </c>
      <c r="L904" t="str">
        <f t="shared" si="99"/>
        <v/>
      </c>
      <c r="M904">
        <v>0</v>
      </c>
      <c r="N904" t="str">
        <f>IF(VALUE(M904)=0,"",VLOOKUP(VLOOKUP(M904,Tbl_Effect[],3,FALSE),EffectName[],IFERROR(MATCH(UI!$B$1,EffectName[#Headers],0),2),FALSE))</f>
        <v/>
      </c>
      <c r="O904" t="str">
        <f t="shared" si="100"/>
        <v/>
      </c>
      <c r="P904">
        <v>0</v>
      </c>
      <c r="Q904" t="str">
        <f>IF(VALUE(P904)=0,"",VLOOKUP(VLOOKUP(P904,Tbl_Effect[],3,FALSE),EffectName[],IFERROR(MATCH(UI!$B$1,EffectName[#Headers],0),2),FALSE))</f>
        <v/>
      </c>
      <c r="R904" t="str">
        <f t="shared" si="101"/>
        <v/>
      </c>
      <c r="S904">
        <v>0</v>
      </c>
      <c r="T904" t="str">
        <f>IF(VALUE(S904)=0,"",VLOOKUP(VLOOKUP(S904,Tbl_Effect[],3,FALSE),EffectName[],IFERROR(MATCH(UI!$B$1,EffectName[#Headers],0),2),FALSE))</f>
        <v/>
      </c>
      <c r="U904" t="str">
        <f t="shared" si="102"/>
        <v/>
      </c>
      <c r="V904">
        <v>0</v>
      </c>
      <c r="W904" t="str">
        <f>IF(V904&lt;&gt;0,VLOOKUP(VLOOKUP(V904,Tbl_Effect[],3,FALSE),EffectName[],IFERROR(MATCH(UI!$B$1,EffectName[#Headers],0),2),FALSE),"")</f>
        <v/>
      </c>
      <c r="X904" t="str">
        <f t="shared" si="103"/>
        <v/>
      </c>
      <c r="Y904">
        <v>0</v>
      </c>
      <c r="Z904" t="str">
        <f>IF(Y904&lt;&gt;0,VLOOKUP(VLOOKUP(Y904,Tbl_Effect[],3,FALSE),EffectName[],IFERROR(MATCH(UI!$B$1,EffectName[#Headers],0),2),FALSE),"")</f>
        <v/>
      </c>
      <c r="AA904" t="str">
        <f t="shared" si="104"/>
        <v/>
      </c>
      <c r="AB904">
        <v>0</v>
      </c>
      <c r="AC904" t="str">
        <f>IF(AB904&lt;&gt;0,VLOOKUP(VLOOKUP(AB904,Tbl_Effect[],3,FALSE),EffectName[],IFERROR(MATCH(UI!$B$1,EffectName[#Headers],0),2),FALSE),"")</f>
        <v/>
      </c>
    </row>
    <row r="905" spans="8:29" x14ac:dyDescent="0.4">
      <c r="H905" t="str">
        <f t="shared" si="98"/>
        <v>6260300-Unset (紅)</v>
      </c>
      <c r="I905">
        <v>6260300</v>
      </c>
      <c r="J905" t="str">
        <f>_xlfn.IFNA(IF(I905&lt;&gt;0,VLOOKUP(VLOOKUP(I905,Tbl_Equip[],2,FALSE),Tbl_Color[],IFERROR(MATCH(UI!$B$1,Tbl_Color[#Headers],0),2),FALSE),""),"Unset")</f>
        <v>紅</v>
      </c>
      <c r="K905" t="str">
        <f>_xlfn.IFNA(IF(I905&lt;&gt;0,VLOOKUP(I905,ItemText[],IFERROR(MATCH(UI!$B$1,ItemText[#Headers],0),2),FALSE),""),"Unset")</f>
        <v>Unset</v>
      </c>
      <c r="L905" t="str">
        <f t="shared" si="99"/>
        <v/>
      </c>
      <c r="M905">
        <v>0</v>
      </c>
      <c r="N905" t="str">
        <f>IF(VALUE(M905)=0,"",VLOOKUP(VLOOKUP(M905,Tbl_Effect[],3,FALSE),EffectName[],IFERROR(MATCH(UI!$B$1,EffectName[#Headers],0),2),FALSE))</f>
        <v/>
      </c>
      <c r="O905" t="str">
        <f t="shared" si="100"/>
        <v/>
      </c>
      <c r="P905">
        <v>0</v>
      </c>
      <c r="Q905" t="str">
        <f>IF(VALUE(P905)=0,"",VLOOKUP(VLOOKUP(P905,Tbl_Effect[],3,FALSE),EffectName[],IFERROR(MATCH(UI!$B$1,EffectName[#Headers],0),2),FALSE))</f>
        <v/>
      </c>
      <c r="R905" t="str">
        <f t="shared" si="101"/>
        <v/>
      </c>
      <c r="S905">
        <v>0</v>
      </c>
      <c r="T905" t="str">
        <f>IF(VALUE(S905)=0,"",VLOOKUP(VLOOKUP(S905,Tbl_Effect[],3,FALSE),EffectName[],IFERROR(MATCH(UI!$B$1,EffectName[#Headers],0),2),FALSE))</f>
        <v/>
      </c>
      <c r="U905" t="str">
        <f t="shared" si="102"/>
        <v/>
      </c>
      <c r="V905">
        <v>0</v>
      </c>
      <c r="W905" t="str">
        <f>IF(V905&lt;&gt;0,VLOOKUP(VLOOKUP(V905,Tbl_Effect[],3,FALSE),EffectName[],IFERROR(MATCH(UI!$B$1,EffectName[#Headers],0),2),FALSE),"")</f>
        <v/>
      </c>
      <c r="X905" t="str">
        <f t="shared" si="103"/>
        <v/>
      </c>
      <c r="Y905">
        <v>0</v>
      </c>
      <c r="Z905" t="str">
        <f>IF(Y905&lt;&gt;0,VLOOKUP(VLOOKUP(Y905,Tbl_Effect[],3,FALSE),EffectName[],IFERROR(MATCH(UI!$B$1,EffectName[#Headers],0),2),FALSE),"")</f>
        <v/>
      </c>
      <c r="AA905" t="str">
        <f t="shared" si="104"/>
        <v/>
      </c>
      <c r="AB905">
        <v>0</v>
      </c>
      <c r="AC905" t="str">
        <f>IF(AB905&lt;&gt;0,VLOOKUP(VLOOKUP(AB905,Tbl_Effect[],3,FALSE),EffectName[],IFERROR(MATCH(UI!$B$1,EffectName[#Headers],0),2),FALSE),"")</f>
        <v/>
      </c>
    </row>
    <row r="906" spans="8:29" x14ac:dyDescent="0.4">
      <c r="H906" t="str">
        <f t="shared" si="98"/>
        <v>6260301-Unset (紅)</v>
      </c>
      <c r="I906">
        <v>6260301</v>
      </c>
      <c r="J906" t="str">
        <f>_xlfn.IFNA(IF(I906&lt;&gt;0,VLOOKUP(VLOOKUP(I906,Tbl_Equip[],2,FALSE),Tbl_Color[],IFERROR(MATCH(UI!$B$1,Tbl_Color[#Headers],0),2),FALSE),""),"Unset")</f>
        <v>紅</v>
      </c>
      <c r="K906" t="str">
        <f>_xlfn.IFNA(IF(I906&lt;&gt;0,VLOOKUP(I906,ItemText[],IFERROR(MATCH(UI!$B$1,ItemText[#Headers],0),2),FALSE),""),"Unset")</f>
        <v>Unset</v>
      </c>
      <c r="L906" t="str">
        <f t="shared" si="99"/>
        <v/>
      </c>
      <c r="M906">
        <v>0</v>
      </c>
      <c r="N906" t="str">
        <f>IF(VALUE(M906)=0,"",VLOOKUP(VLOOKUP(M906,Tbl_Effect[],3,FALSE),EffectName[],IFERROR(MATCH(UI!$B$1,EffectName[#Headers],0),2),FALSE))</f>
        <v/>
      </c>
      <c r="O906" t="str">
        <f t="shared" si="100"/>
        <v/>
      </c>
      <c r="P906">
        <v>0</v>
      </c>
      <c r="Q906" t="str">
        <f>IF(VALUE(P906)=0,"",VLOOKUP(VLOOKUP(P906,Tbl_Effect[],3,FALSE),EffectName[],IFERROR(MATCH(UI!$B$1,EffectName[#Headers],0),2),FALSE))</f>
        <v/>
      </c>
      <c r="R906" t="str">
        <f t="shared" si="101"/>
        <v/>
      </c>
      <c r="S906">
        <v>0</v>
      </c>
      <c r="T906" t="str">
        <f>IF(VALUE(S906)=0,"",VLOOKUP(VLOOKUP(S906,Tbl_Effect[],3,FALSE),EffectName[],IFERROR(MATCH(UI!$B$1,EffectName[#Headers],0),2),FALSE))</f>
        <v/>
      </c>
      <c r="U906" t="str">
        <f t="shared" si="102"/>
        <v/>
      </c>
      <c r="V906">
        <v>0</v>
      </c>
      <c r="W906" t="str">
        <f>IF(V906&lt;&gt;0,VLOOKUP(VLOOKUP(V906,Tbl_Effect[],3,FALSE),EffectName[],IFERROR(MATCH(UI!$B$1,EffectName[#Headers],0),2),FALSE),"")</f>
        <v/>
      </c>
      <c r="X906" t="str">
        <f t="shared" si="103"/>
        <v/>
      </c>
      <c r="Y906">
        <v>0</v>
      </c>
      <c r="Z906" t="str">
        <f>IF(Y906&lt;&gt;0,VLOOKUP(VLOOKUP(Y906,Tbl_Effect[],3,FALSE),EffectName[],IFERROR(MATCH(UI!$B$1,EffectName[#Headers],0),2),FALSE),"")</f>
        <v/>
      </c>
      <c r="AA906" t="str">
        <f t="shared" si="104"/>
        <v/>
      </c>
      <c r="AB906">
        <v>0</v>
      </c>
      <c r="AC906" t="str">
        <f>IF(AB906&lt;&gt;0,VLOOKUP(VLOOKUP(AB906,Tbl_Effect[],3,FALSE),EffectName[],IFERROR(MATCH(UI!$B$1,EffectName[#Headers],0),2),FALSE),"")</f>
        <v/>
      </c>
    </row>
    <row r="907" spans="8:29" x14ac:dyDescent="0.4">
      <c r="H907" t="str">
        <f t="shared" si="98"/>
        <v>6260400-Unset (紅)</v>
      </c>
      <c r="I907">
        <v>6260400</v>
      </c>
      <c r="J907" t="str">
        <f>_xlfn.IFNA(IF(I907&lt;&gt;0,VLOOKUP(VLOOKUP(I907,Tbl_Equip[],2,FALSE),Tbl_Color[],IFERROR(MATCH(UI!$B$1,Tbl_Color[#Headers],0),2),FALSE),""),"Unset")</f>
        <v>紅</v>
      </c>
      <c r="K907" t="str">
        <f>_xlfn.IFNA(IF(I907&lt;&gt;0,VLOOKUP(I907,ItemText[],IFERROR(MATCH(UI!$B$1,ItemText[#Headers],0),2),FALSE),""),"Unset")</f>
        <v>Unset</v>
      </c>
      <c r="L907" t="str">
        <f t="shared" si="99"/>
        <v/>
      </c>
      <c r="M907">
        <v>0</v>
      </c>
      <c r="N907" t="str">
        <f>IF(VALUE(M907)=0,"",VLOOKUP(VLOOKUP(M907,Tbl_Effect[],3,FALSE),EffectName[],IFERROR(MATCH(UI!$B$1,EffectName[#Headers],0),2),FALSE))</f>
        <v/>
      </c>
      <c r="O907" t="str">
        <f t="shared" si="100"/>
        <v/>
      </c>
      <c r="P907">
        <v>0</v>
      </c>
      <c r="Q907" t="str">
        <f>IF(VALUE(P907)=0,"",VLOOKUP(VLOOKUP(P907,Tbl_Effect[],3,FALSE),EffectName[],IFERROR(MATCH(UI!$B$1,EffectName[#Headers],0),2),FALSE))</f>
        <v/>
      </c>
      <c r="R907" t="str">
        <f t="shared" si="101"/>
        <v/>
      </c>
      <c r="S907">
        <v>0</v>
      </c>
      <c r="T907" t="str">
        <f>IF(VALUE(S907)=0,"",VLOOKUP(VLOOKUP(S907,Tbl_Effect[],3,FALSE),EffectName[],IFERROR(MATCH(UI!$B$1,EffectName[#Headers],0),2),FALSE))</f>
        <v/>
      </c>
      <c r="U907" t="str">
        <f t="shared" si="102"/>
        <v/>
      </c>
      <c r="V907">
        <v>0</v>
      </c>
      <c r="W907" t="str">
        <f>IF(V907&lt;&gt;0,VLOOKUP(VLOOKUP(V907,Tbl_Effect[],3,FALSE),EffectName[],IFERROR(MATCH(UI!$B$1,EffectName[#Headers],0),2),FALSE),"")</f>
        <v/>
      </c>
      <c r="X907" t="str">
        <f t="shared" si="103"/>
        <v/>
      </c>
      <c r="Y907">
        <v>0</v>
      </c>
      <c r="Z907" t="str">
        <f>IF(Y907&lt;&gt;0,VLOOKUP(VLOOKUP(Y907,Tbl_Effect[],3,FALSE),EffectName[],IFERROR(MATCH(UI!$B$1,EffectName[#Headers],0),2),FALSE),"")</f>
        <v/>
      </c>
      <c r="AA907" t="str">
        <f t="shared" si="104"/>
        <v/>
      </c>
      <c r="AB907">
        <v>0</v>
      </c>
      <c r="AC907" t="str">
        <f>IF(AB907&lt;&gt;0,VLOOKUP(VLOOKUP(AB907,Tbl_Effect[],3,FALSE),EffectName[],IFERROR(MATCH(UI!$B$1,EffectName[#Headers],0),2),FALSE),"")</f>
        <v/>
      </c>
    </row>
    <row r="908" spans="8:29" x14ac:dyDescent="0.4">
      <c r="H908" t="str">
        <f t="shared" si="98"/>
        <v>6260401-Unset (紅)</v>
      </c>
      <c r="I908">
        <v>6260401</v>
      </c>
      <c r="J908" t="str">
        <f>_xlfn.IFNA(IF(I908&lt;&gt;0,VLOOKUP(VLOOKUP(I908,Tbl_Equip[],2,FALSE),Tbl_Color[],IFERROR(MATCH(UI!$B$1,Tbl_Color[#Headers],0),2),FALSE),""),"Unset")</f>
        <v>紅</v>
      </c>
      <c r="K908" t="str">
        <f>_xlfn.IFNA(IF(I908&lt;&gt;0,VLOOKUP(I908,ItemText[],IFERROR(MATCH(UI!$B$1,ItemText[#Headers],0),2),FALSE),""),"Unset")</f>
        <v>Unset</v>
      </c>
      <c r="L908" t="str">
        <f t="shared" si="99"/>
        <v/>
      </c>
      <c r="M908">
        <v>0</v>
      </c>
      <c r="N908" t="str">
        <f>IF(VALUE(M908)=0,"",VLOOKUP(VLOOKUP(M908,Tbl_Effect[],3,FALSE),EffectName[],IFERROR(MATCH(UI!$B$1,EffectName[#Headers],0),2),FALSE))</f>
        <v/>
      </c>
      <c r="O908" t="str">
        <f t="shared" si="100"/>
        <v/>
      </c>
      <c r="P908">
        <v>0</v>
      </c>
      <c r="Q908" t="str">
        <f>IF(VALUE(P908)=0,"",VLOOKUP(VLOOKUP(P908,Tbl_Effect[],3,FALSE),EffectName[],IFERROR(MATCH(UI!$B$1,EffectName[#Headers],0),2),FALSE))</f>
        <v/>
      </c>
      <c r="R908" t="str">
        <f t="shared" si="101"/>
        <v/>
      </c>
      <c r="S908">
        <v>0</v>
      </c>
      <c r="T908" t="str">
        <f>IF(VALUE(S908)=0,"",VLOOKUP(VLOOKUP(S908,Tbl_Effect[],3,FALSE),EffectName[],IFERROR(MATCH(UI!$B$1,EffectName[#Headers],0),2),FALSE))</f>
        <v/>
      </c>
      <c r="U908" t="str">
        <f t="shared" si="102"/>
        <v/>
      </c>
      <c r="V908">
        <v>0</v>
      </c>
      <c r="W908" t="str">
        <f>IF(V908&lt;&gt;0,VLOOKUP(VLOOKUP(V908,Tbl_Effect[],3,FALSE),EffectName[],IFERROR(MATCH(UI!$B$1,EffectName[#Headers],0),2),FALSE),"")</f>
        <v/>
      </c>
      <c r="X908" t="str">
        <f t="shared" si="103"/>
        <v/>
      </c>
      <c r="Y908">
        <v>0</v>
      </c>
      <c r="Z908" t="str">
        <f>IF(Y908&lt;&gt;0,VLOOKUP(VLOOKUP(Y908,Tbl_Effect[],3,FALSE),EffectName[],IFERROR(MATCH(UI!$B$1,EffectName[#Headers],0),2),FALSE),"")</f>
        <v/>
      </c>
      <c r="AA908" t="str">
        <f t="shared" si="104"/>
        <v/>
      </c>
      <c r="AB908">
        <v>0</v>
      </c>
      <c r="AC908" t="str">
        <f>IF(AB908&lt;&gt;0,VLOOKUP(VLOOKUP(AB908,Tbl_Effect[],3,FALSE),EffectName[],IFERROR(MATCH(UI!$B$1,EffectName[#Headers],0),2),FALSE),"")</f>
        <v/>
      </c>
    </row>
    <row r="909" spans="8:29" x14ac:dyDescent="0.4">
      <c r="H909" t="str">
        <f t="shared" si="98"/>
        <v>6500000-Unset (紅)</v>
      </c>
      <c r="I909">
        <v>6500000</v>
      </c>
      <c r="J909" t="str">
        <f>_xlfn.IFNA(IF(I909&lt;&gt;0,VLOOKUP(VLOOKUP(I909,Tbl_Equip[],2,FALSE),Tbl_Color[],IFERROR(MATCH(UI!$B$1,Tbl_Color[#Headers],0),2),FALSE),""),"Unset")</f>
        <v>紅</v>
      </c>
      <c r="K909" t="str">
        <f>_xlfn.IFNA(IF(I909&lt;&gt;0,VLOOKUP(I909,ItemText[],IFERROR(MATCH(UI!$B$1,ItemText[#Headers],0),2),FALSE),""),"Unset")</f>
        <v>Unset</v>
      </c>
      <c r="L909" t="str">
        <f t="shared" si="99"/>
        <v/>
      </c>
      <c r="M909">
        <v>0</v>
      </c>
      <c r="N909" t="str">
        <f>IF(VALUE(M909)=0,"",VLOOKUP(VLOOKUP(M909,Tbl_Effect[],3,FALSE),EffectName[],IFERROR(MATCH(UI!$B$1,EffectName[#Headers],0),2),FALSE))</f>
        <v/>
      </c>
      <c r="O909" t="str">
        <f t="shared" si="100"/>
        <v/>
      </c>
      <c r="P909">
        <v>0</v>
      </c>
      <c r="Q909" t="str">
        <f>IF(VALUE(P909)=0,"",VLOOKUP(VLOOKUP(P909,Tbl_Effect[],3,FALSE),EffectName[],IFERROR(MATCH(UI!$B$1,EffectName[#Headers],0),2),FALSE))</f>
        <v/>
      </c>
      <c r="R909" t="str">
        <f t="shared" si="101"/>
        <v/>
      </c>
      <c r="S909">
        <v>0</v>
      </c>
      <c r="T909" t="str">
        <f>IF(VALUE(S909)=0,"",VLOOKUP(VLOOKUP(S909,Tbl_Effect[],3,FALSE),EffectName[],IFERROR(MATCH(UI!$B$1,EffectName[#Headers],0),2),FALSE))</f>
        <v/>
      </c>
      <c r="U909" t="str">
        <f t="shared" si="102"/>
        <v/>
      </c>
      <c r="V909">
        <v>0</v>
      </c>
      <c r="W909" t="str">
        <f>IF(V909&lt;&gt;0,VLOOKUP(VLOOKUP(V909,Tbl_Effect[],3,FALSE),EffectName[],IFERROR(MATCH(UI!$B$1,EffectName[#Headers],0),2),FALSE),"")</f>
        <v/>
      </c>
      <c r="X909" t="str">
        <f t="shared" si="103"/>
        <v/>
      </c>
      <c r="Y909">
        <v>0</v>
      </c>
      <c r="Z909" t="str">
        <f>IF(Y909&lt;&gt;0,VLOOKUP(VLOOKUP(Y909,Tbl_Effect[],3,FALSE),EffectName[],IFERROR(MATCH(UI!$B$1,EffectName[#Headers],0),2),FALSE),"")</f>
        <v/>
      </c>
      <c r="AA909" t="str">
        <f t="shared" si="104"/>
        <v/>
      </c>
      <c r="AB909">
        <v>0</v>
      </c>
      <c r="AC909" t="str">
        <f>IF(AB909&lt;&gt;0,VLOOKUP(VLOOKUP(AB909,Tbl_Effect[],3,FALSE),EffectName[],IFERROR(MATCH(UI!$B$1,EffectName[#Headers],0),2),FALSE),"")</f>
        <v/>
      </c>
    </row>
    <row r="910" spans="8:29" x14ac:dyDescent="0.4">
      <c r="H910" t="str">
        <f t="shared" si="98"/>
        <v>6500100-Unset (紅)</v>
      </c>
      <c r="I910">
        <v>6500100</v>
      </c>
      <c r="J910" t="str">
        <f>_xlfn.IFNA(IF(I910&lt;&gt;0,VLOOKUP(VLOOKUP(I910,Tbl_Equip[],2,FALSE),Tbl_Color[],IFERROR(MATCH(UI!$B$1,Tbl_Color[#Headers],0),2),FALSE),""),"Unset")</f>
        <v>紅</v>
      </c>
      <c r="K910" t="str">
        <f>_xlfn.IFNA(IF(I910&lt;&gt;0,VLOOKUP(I910,ItemText[],IFERROR(MATCH(UI!$B$1,ItemText[#Headers],0),2),FALSE),""),"Unset")</f>
        <v>Unset</v>
      </c>
      <c r="L910" t="str">
        <f t="shared" si="99"/>
        <v/>
      </c>
      <c r="M910">
        <v>0</v>
      </c>
      <c r="N910" t="str">
        <f>IF(VALUE(M910)=0,"",VLOOKUP(VLOOKUP(M910,Tbl_Effect[],3,FALSE),EffectName[],IFERROR(MATCH(UI!$B$1,EffectName[#Headers],0),2),FALSE))</f>
        <v/>
      </c>
      <c r="O910" t="str">
        <f t="shared" si="100"/>
        <v/>
      </c>
      <c r="P910">
        <v>0</v>
      </c>
      <c r="Q910" t="str">
        <f>IF(VALUE(P910)=0,"",VLOOKUP(VLOOKUP(P910,Tbl_Effect[],3,FALSE),EffectName[],IFERROR(MATCH(UI!$B$1,EffectName[#Headers],0),2),FALSE))</f>
        <v/>
      </c>
      <c r="R910" t="str">
        <f t="shared" si="101"/>
        <v/>
      </c>
      <c r="S910">
        <v>0</v>
      </c>
      <c r="T910" t="str">
        <f>IF(VALUE(S910)=0,"",VLOOKUP(VLOOKUP(S910,Tbl_Effect[],3,FALSE),EffectName[],IFERROR(MATCH(UI!$B$1,EffectName[#Headers],0),2),FALSE))</f>
        <v/>
      </c>
      <c r="U910" t="str">
        <f t="shared" si="102"/>
        <v/>
      </c>
      <c r="V910">
        <v>0</v>
      </c>
      <c r="W910" t="str">
        <f>IF(V910&lt;&gt;0,VLOOKUP(VLOOKUP(V910,Tbl_Effect[],3,FALSE),EffectName[],IFERROR(MATCH(UI!$B$1,EffectName[#Headers],0),2),FALSE),"")</f>
        <v/>
      </c>
      <c r="X910" t="str">
        <f t="shared" si="103"/>
        <v/>
      </c>
      <c r="Y910">
        <v>0</v>
      </c>
      <c r="Z910" t="str">
        <f>IF(Y910&lt;&gt;0,VLOOKUP(VLOOKUP(Y910,Tbl_Effect[],3,FALSE),EffectName[],IFERROR(MATCH(UI!$B$1,EffectName[#Headers],0),2),FALSE),"")</f>
        <v/>
      </c>
      <c r="AA910" t="str">
        <f t="shared" si="104"/>
        <v/>
      </c>
      <c r="AB910">
        <v>0</v>
      </c>
      <c r="AC910" t="str">
        <f>IF(AB910&lt;&gt;0,VLOOKUP(VLOOKUP(AB910,Tbl_Effect[],3,FALSE),EffectName[],IFERROR(MATCH(UI!$B$1,EffectName[#Headers],0),2),FALSE),"")</f>
        <v/>
      </c>
    </row>
    <row r="911" spans="8:29" x14ac:dyDescent="0.4">
      <c r="H911" t="str">
        <f t="shared" si="98"/>
        <v>6500200-Unset (紅)</v>
      </c>
      <c r="I911">
        <v>6500200</v>
      </c>
      <c r="J911" t="str">
        <f>_xlfn.IFNA(IF(I911&lt;&gt;0,VLOOKUP(VLOOKUP(I911,Tbl_Equip[],2,FALSE),Tbl_Color[],IFERROR(MATCH(UI!$B$1,Tbl_Color[#Headers],0),2),FALSE),""),"Unset")</f>
        <v>紅</v>
      </c>
      <c r="K911" t="str">
        <f>_xlfn.IFNA(IF(I911&lt;&gt;0,VLOOKUP(I911,ItemText[],IFERROR(MATCH(UI!$B$1,ItemText[#Headers],0),2),FALSE),""),"Unset")</f>
        <v>Unset</v>
      </c>
      <c r="L911" t="str">
        <f t="shared" si="99"/>
        <v/>
      </c>
      <c r="M911">
        <v>0</v>
      </c>
      <c r="N911" t="str">
        <f>IF(VALUE(M911)=0,"",VLOOKUP(VLOOKUP(M911,Tbl_Effect[],3,FALSE),EffectName[],IFERROR(MATCH(UI!$B$1,EffectName[#Headers],0),2),FALSE))</f>
        <v/>
      </c>
      <c r="O911" t="str">
        <f t="shared" si="100"/>
        <v/>
      </c>
      <c r="P911">
        <v>0</v>
      </c>
      <c r="Q911" t="str">
        <f>IF(VALUE(P911)=0,"",VLOOKUP(VLOOKUP(P911,Tbl_Effect[],3,FALSE),EffectName[],IFERROR(MATCH(UI!$B$1,EffectName[#Headers],0),2),FALSE))</f>
        <v/>
      </c>
      <c r="R911" t="str">
        <f t="shared" si="101"/>
        <v/>
      </c>
      <c r="S911">
        <v>0</v>
      </c>
      <c r="T911" t="str">
        <f>IF(VALUE(S911)=0,"",VLOOKUP(VLOOKUP(S911,Tbl_Effect[],3,FALSE),EffectName[],IFERROR(MATCH(UI!$B$1,EffectName[#Headers],0),2),FALSE))</f>
        <v/>
      </c>
      <c r="U911" t="str">
        <f t="shared" si="102"/>
        <v/>
      </c>
      <c r="V911">
        <v>0</v>
      </c>
      <c r="W911" t="str">
        <f>IF(V911&lt;&gt;0,VLOOKUP(VLOOKUP(V911,Tbl_Effect[],3,FALSE),EffectName[],IFERROR(MATCH(UI!$B$1,EffectName[#Headers],0),2),FALSE),"")</f>
        <v/>
      </c>
      <c r="X911" t="str">
        <f t="shared" si="103"/>
        <v/>
      </c>
      <c r="Y911">
        <v>0</v>
      </c>
      <c r="Z911" t="str">
        <f>IF(Y911&lt;&gt;0,VLOOKUP(VLOOKUP(Y911,Tbl_Effect[],3,FALSE),EffectName[],IFERROR(MATCH(UI!$B$1,EffectName[#Headers],0),2),FALSE),"")</f>
        <v/>
      </c>
      <c r="AA911" t="str">
        <f t="shared" si="104"/>
        <v/>
      </c>
      <c r="AB911">
        <v>0</v>
      </c>
      <c r="AC911" t="str">
        <f>IF(AB911&lt;&gt;0,VLOOKUP(VLOOKUP(AB911,Tbl_Effect[],3,FALSE),EffectName[],IFERROR(MATCH(UI!$B$1,EffectName[#Headers],0),2),FALSE),"")</f>
        <v/>
      </c>
    </row>
    <row r="912" spans="8:29" x14ac:dyDescent="0.4">
      <c r="H912" t="str">
        <f t="shared" si="98"/>
        <v>6500300-Unset (紅)</v>
      </c>
      <c r="I912">
        <v>6500300</v>
      </c>
      <c r="J912" t="str">
        <f>_xlfn.IFNA(IF(I912&lt;&gt;0,VLOOKUP(VLOOKUP(I912,Tbl_Equip[],2,FALSE),Tbl_Color[],IFERROR(MATCH(UI!$B$1,Tbl_Color[#Headers],0),2),FALSE),""),"Unset")</f>
        <v>紅</v>
      </c>
      <c r="K912" t="str">
        <f>_xlfn.IFNA(IF(I912&lt;&gt;0,VLOOKUP(I912,ItemText[],IFERROR(MATCH(UI!$B$1,ItemText[#Headers],0),2),FALSE),""),"Unset")</f>
        <v>Unset</v>
      </c>
      <c r="L912" t="str">
        <f t="shared" si="99"/>
        <v/>
      </c>
      <c r="M912">
        <v>0</v>
      </c>
      <c r="N912" t="str">
        <f>IF(VALUE(M912)=0,"",VLOOKUP(VLOOKUP(M912,Tbl_Effect[],3,FALSE),EffectName[],IFERROR(MATCH(UI!$B$1,EffectName[#Headers],0),2),FALSE))</f>
        <v/>
      </c>
      <c r="O912" t="str">
        <f t="shared" si="100"/>
        <v/>
      </c>
      <c r="P912">
        <v>0</v>
      </c>
      <c r="Q912" t="str">
        <f>IF(VALUE(P912)=0,"",VLOOKUP(VLOOKUP(P912,Tbl_Effect[],3,FALSE),EffectName[],IFERROR(MATCH(UI!$B$1,EffectName[#Headers],0),2),FALSE))</f>
        <v/>
      </c>
      <c r="R912" t="str">
        <f t="shared" si="101"/>
        <v/>
      </c>
      <c r="S912">
        <v>0</v>
      </c>
      <c r="T912" t="str">
        <f>IF(VALUE(S912)=0,"",VLOOKUP(VLOOKUP(S912,Tbl_Effect[],3,FALSE),EffectName[],IFERROR(MATCH(UI!$B$1,EffectName[#Headers],0),2),FALSE))</f>
        <v/>
      </c>
      <c r="U912" t="str">
        <f t="shared" si="102"/>
        <v/>
      </c>
      <c r="V912">
        <v>0</v>
      </c>
      <c r="W912" t="str">
        <f>IF(V912&lt;&gt;0,VLOOKUP(VLOOKUP(V912,Tbl_Effect[],3,FALSE),EffectName[],IFERROR(MATCH(UI!$B$1,EffectName[#Headers],0),2),FALSE),"")</f>
        <v/>
      </c>
      <c r="X912" t="str">
        <f t="shared" si="103"/>
        <v/>
      </c>
      <c r="Y912">
        <v>0</v>
      </c>
      <c r="Z912" t="str">
        <f>IF(Y912&lt;&gt;0,VLOOKUP(VLOOKUP(Y912,Tbl_Effect[],3,FALSE),EffectName[],IFERROR(MATCH(UI!$B$1,EffectName[#Headers],0),2),FALSE),"")</f>
        <v/>
      </c>
      <c r="AA912" t="str">
        <f t="shared" si="104"/>
        <v/>
      </c>
      <c r="AB912">
        <v>0</v>
      </c>
      <c r="AC912" t="str">
        <f>IF(AB912&lt;&gt;0,VLOOKUP(VLOOKUP(AB912,Tbl_Effect[],3,FALSE),EffectName[],IFERROR(MATCH(UI!$B$1,EffectName[#Headers],0),2),FALSE),"")</f>
        <v/>
      </c>
    </row>
    <row r="913" spans="8:29" x14ac:dyDescent="0.4">
      <c r="H913" t="str">
        <f t="shared" si="98"/>
        <v>6500400-Unset (紅)</v>
      </c>
      <c r="I913">
        <v>6500400</v>
      </c>
      <c r="J913" t="str">
        <f>_xlfn.IFNA(IF(I913&lt;&gt;0,VLOOKUP(VLOOKUP(I913,Tbl_Equip[],2,FALSE),Tbl_Color[],IFERROR(MATCH(UI!$B$1,Tbl_Color[#Headers],0),2),FALSE),""),"Unset")</f>
        <v>紅</v>
      </c>
      <c r="K913" t="str">
        <f>_xlfn.IFNA(IF(I913&lt;&gt;0,VLOOKUP(I913,ItemText[],IFERROR(MATCH(UI!$B$1,ItemText[#Headers],0),2),FALSE),""),"Unset")</f>
        <v>Unset</v>
      </c>
      <c r="L913" t="str">
        <f t="shared" si="99"/>
        <v/>
      </c>
      <c r="M913">
        <v>0</v>
      </c>
      <c r="N913" t="str">
        <f>IF(VALUE(M913)=0,"",VLOOKUP(VLOOKUP(M913,Tbl_Effect[],3,FALSE),EffectName[],IFERROR(MATCH(UI!$B$1,EffectName[#Headers],0),2),FALSE))</f>
        <v/>
      </c>
      <c r="O913" t="str">
        <f t="shared" si="100"/>
        <v/>
      </c>
      <c r="P913">
        <v>0</v>
      </c>
      <c r="Q913" t="str">
        <f>IF(VALUE(P913)=0,"",VLOOKUP(VLOOKUP(P913,Tbl_Effect[],3,FALSE),EffectName[],IFERROR(MATCH(UI!$B$1,EffectName[#Headers],0),2),FALSE))</f>
        <v/>
      </c>
      <c r="R913" t="str">
        <f t="shared" si="101"/>
        <v/>
      </c>
      <c r="S913">
        <v>0</v>
      </c>
      <c r="T913" t="str">
        <f>IF(VALUE(S913)=0,"",VLOOKUP(VLOOKUP(S913,Tbl_Effect[],3,FALSE),EffectName[],IFERROR(MATCH(UI!$B$1,EffectName[#Headers],0),2),FALSE))</f>
        <v/>
      </c>
      <c r="U913" t="str">
        <f t="shared" si="102"/>
        <v/>
      </c>
      <c r="V913">
        <v>0</v>
      </c>
      <c r="W913" t="str">
        <f>IF(V913&lt;&gt;0,VLOOKUP(VLOOKUP(V913,Tbl_Effect[],3,FALSE),EffectName[],IFERROR(MATCH(UI!$B$1,EffectName[#Headers],0),2),FALSE),"")</f>
        <v/>
      </c>
      <c r="X913" t="str">
        <f t="shared" si="103"/>
        <v/>
      </c>
      <c r="Y913">
        <v>0</v>
      </c>
      <c r="Z913" t="str">
        <f>IF(Y913&lt;&gt;0,VLOOKUP(VLOOKUP(Y913,Tbl_Effect[],3,FALSE),EffectName[],IFERROR(MATCH(UI!$B$1,EffectName[#Headers],0),2),FALSE),"")</f>
        <v/>
      </c>
      <c r="AA913" t="str">
        <f t="shared" si="104"/>
        <v/>
      </c>
      <c r="AB913">
        <v>0</v>
      </c>
      <c r="AC913" t="str">
        <f>IF(AB913&lt;&gt;0,VLOOKUP(VLOOKUP(AB913,Tbl_Effect[],3,FALSE),EffectName[],IFERROR(MATCH(UI!$B$1,EffectName[#Headers],0),2),FALSE),"")</f>
        <v/>
      </c>
    </row>
    <row r="914" spans="8:29" x14ac:dyDescent="0.4">
      <c r="H914" t="str">
        <f t="shared" si="98"/>
        <v>6500500-Unset (紅)</v>
      </c>
      <c r="I914">
        <v>6500500</v>
      </c>
      <c r="J914" t="str">
        <f>_xlfn.IFNA(IF(I914&lt;&gt;0,VLOOKUP(VLOOKUP(I914,Tbl_Equip[],2,FALSE),Tbl_Color[],IFERROR(MATCH(UI!$B$1,Tbl_Color[#Headers],0),2),FALSE),""),"Unset")</f>
        <v>紅</v>
      </c>
      <c r="K914" t="str">
        <f>_xlfn.IFNA(IF(I914&lt;&gt;0,VLOOKUP(I914,ItemText[],IFERROR(MATCH(UI!$B$1,ItemText[#Headers],0),2),FALSE),""),"Unset")</f>
        <v>Unset</v>
      </c>
      <c r="L914" t="str">
        <f t="shared" si="99"/>
        <v/>
      </c>
      <c r="M914">
        <v>0</v>
      </c>
      <c r="N914" t="str">
        <f>IF(VALUE(M914)=0,"",VLOOKUP(VLOOKUP(M914,Tbl_Effect[],3,FALSE),EffectName[],IFERROR(MATCH(UI!$B$1,EffectName[#Headers],0),2),FALSE))</f>
        <v/>
      </c>
      <c r="O914" t="str">
        <f t="shared" si="100"/>
        <v/>
      </c>
      <c r="P914">
        <v>0</v>
      </c>
      <c r="Q914" t="str">
        <f>IF(VALUE(P914)=0,"",VLOOKUP(VLOOKUP(P914,Tbl_Effect[],3,FALSE),EffectName[],IFERROR(MATCH(UI!$B$1,EffectName[#Headers],0),2),FALSE))</f>
        <v/>
      </c>
      <c r="R914" t="str">
        <f t="shared" si="101"/>
        <v/>
      </c>
      <c r="S914">
        <v>0</v>
      </c>
      <c r="T914" t="str">
        <f>IF(VALUE(S914)=0,"",VLOOKUP(VLOOKUP(S914,Tbl_Effect[],3,FALSE),EffectName[],IFERROR(MATCH(UI!$B$1,EffectName[#Headers],0),2),FALSE))</f>
        <v/>
      </c>
      <c r="U914" t="str">
        <f t="shared" si="102"/>
        <v/>
      </c>
      <c r="V914">
        <v>0</v>
      </c>
      <c r="W914" t="str">
        <f>IF(V914&lt;&gt;0,VLOOKUP(VLOOKUP(V914,Tbl_Effect[],3,FALSE),EffectName[],IFERROR(MATCH(UI!$B$1,EffectName[#Headers],0),2),FALSE),"")</f>
        <v/>
      </c>
      <c r="X914" t="str">
        <f t="shared" si="103"/>
        <v/>
      </c>
      <c r="Y914">
        <v>0</v>
      </c>
      <c r="Z914" t="str">
        <f>IF(Y914&lt;&gt;0,VLOOKUP(VLOOKUP(Y914,Tbl_Effect[],3,FALSE),EffectName[],IFERROR(MATCH(UI!$B$1,EffectName[#Headers],0),2),FALSE),"")</f>
        <v/>
      </c>
      <c r="AA914" t="str">
        <f t="shared" si="104"/>
        <v/>
      </c>
      <c r="AB914">
        <v>0</v>
      </c>
      <c r="AC914" t="str">
        <f>IF(AB914&lt;&gt;0,VLOOKUP(VLOOKUP(AB914,Tbl_Effect[],3,FALSE),EffectName[],IFERROR(MATCH(UI!$B$1,EffectName[#Headers],0),2),FALSE),"")</f>
        <v/>
      </c>
    </row>
    <row r="915" spans="8:29" x14ac:dyDescent="0.4">
      <c r="H915" t="str">
        <f t="shared" si="98"/>
        <v>6500600-Unset (紅)</v>
      </c>
      <c r="I915">
        <v>6500600</v>
      </c>
      <c r="J915" t="str">
        <f>_xlfn.IFNA(IF(I915&lt;&gt;0,VLOOKUP(VLOOKUP(I915,Tbl_Equip[],2,FALSE),Tbl_Color[],IFERROR(MATCH(UI!$B$1,Tbl_Color[#Headers],0),2),FALSE),""),"Unset")</f>
        <v>紅</v>
      </c>
      <c r="K915" t="str">
        <f>_xlfn.IFNA(IF(I915&lt;&gt;0,VLOOKUP(I915,ItemText[],IFERROR(MATCH(UI!$B$1,ItemText[#Headers],0),2),FALSE),""),"Unset")</f>
        <v>Unset</v>
      </c>
      <c r="L915" t="str">
        <f t="shared" si="99"/>
        <v/>
      </c>
      <c r="M915">
        <v>0</v>
      </c>
      <c r="N915" t="str">
        <f>IF(VALUE(M915)=0,"",VLOOKUP(VLOOKUP(M915,Tbl_Effect[],3,FALSE),EffectName[],IFERROR(MATCH(UI!$B$1,EffectName[#Headers],0),2),FALSE))</f>
        <v/>
      </c>
      <c r="O915" t="str">
        <f t="shared" si="100"/>
        <v/>
      </c>
      <c r="P915">
        <v>0</v>
      </c>
      <c r="Q915" t="str">
        <f>IF(VALUE(P915)=0,"",VLOOKUP(VLOOKUP(P915,Tbl_Effect[],3,FALSE),EffectName[],IFERROR(MATCH(UI!$B$1,EffectName[#Headers],0),2),FALSE))</f>
        <v/>
      </c>
      <c r="R915" t="str">
        <f t="shared" si="101"/>
        <v/>
      </c>
      <c r="S915">
        <v>0</v>
      </c>
      <c r="T915" t="str">
        <f>IF(VALUE(S915)=0,"",VLOOKUP(VLOOKUP(S915,Tbl_Effect[],3,FALSE),EffectName[],IFERROR(MATCH(UI!$B$1,EffectName[#Headers],0),2),FALSE))</f>
        <v/>
      </c>
      <c r="U915" t="str">
        <f t="shared" si="102"/>
        <v/>
      </c>
      <c r="V915">
        <v>0</v>
      </c>
      <c r="W915" t="str">
        <f>IF(V915&lt;&gt;0,VLOOKUP(VLOOKUP(V915,Tbl_Effect[],3,FALSE),EffectName[],IFERROR(MATCH(UI!$B$1,EffectName[#Headers],0),2),FALSE),"")</f>
        <v/>
      </c>
      <c r="X915" t="str">
        <f t="shared" si="103"/>
        <v/>
      </c>
      <c r="Y915">
        <v>0</v>
      </c>
      <c r="Z915" t="str">
        <f>IF(Y915&lt;&gt;0,VLOOKUP(VLOOKUP(Y915,Tbl_Effect[],3,FALSE),EffectName[],IFERROR(MATCH(UI!$B$1,EffectName[#Headers],0),2),FALSE),"")</f>
        <v/>
      </c>
      <c r="AA915" t="str">
        <f t="shared" si="104"/>
        <v/>
      </c>
      <c r="AB915">
        <v>0</v>
      </c>
      <c r="AC915" t="str">
        <f>IF(AB915&lt;&gt;0,VLOOKUP(VLOOKUP(AB915,Tbl_Effect[],3,FALSE),EffectName[],IFERROR(MATCH(UI!$B$1,EffectName[#Headers],0),2),FALSE),"")</f>
        <v/>
      </c>
    </row>
    <row r="916" spans="8:29" x14ac:dyDescent="0.4">
      <c r="H916" t="str">
        <f t="shared" si="98"/>
        <v>6500700-Unset (紅)</v>
      </c>
      <c r="I916">
        <v>6500700</v>
      </c>
      <c r="J916" t="str">
        <f>_xlfn.IFNA(IF(I916&lt;&gt;0,VLOOKUP(VLOOKUP(I916,Tbl_Equip[],2,FALSE),Tbl_Color[],IFERROR(MATCH(UI!$B$1,Tbl_Color[#Headers],0),2),FALSE),""),"Unset")</f>
        <v>紅</v>
      </c>
      <c r="K916" t="str">
        <f>_xlfn.IFNA(IF(I916&lt;&gt;0,VLOOKUP(I916,ItemText[],IFERROR(MATCH(UI!$B$1,ItemText[#Headers],0),2),FALSE),""),"Unset")</f>
        <v>Unset</v>
      </c>
      <c r="L916" t="str">
        <f t="shared" si="99"/>
        <v/>
      </c>
      <c r="M916">
        <v>0</v>
      </c>
      <c r="N916" t="str">
        <f>IF(VALUE(M916)=0,"",VLOOKUP(VLOOKUP(M916,Tbl_Effect[],3,FALSE),EffectName[],IFERROR(MATCH(UI!$B$1,EffectName[#Headers],0),2),FALSE))</f>
        <v/>
      </c>
      <c r="O916" t="str">
        <f t="shared" si="100"/>
        <v/>
      </c>
      <c r="P916">
        <v>0</v>
      </c>
      <c r="Q916" t="str">
        <f>IF(VALUE(P916)=0,"",VLOOKUP(VLOOKUP(P916,Tbl_Effect[],3,FALSE),EffectName[],IFERROR(MATCH(UI!$B$1,EffectName[#Headers],0),2),FALSE))</f>
        <v/>
      </c>
      <c r="R916" t="str">
        <f t="shared" si="101"/>
        <v/>
      </c>
      <c r="S916">
        <v>0</v>
      </c>
      <c r="T916" t="str">
        <f>IF(VALUE(S916)=0,"",VLOOKUP(VLOOKUP(S916,Tbl_Effect[],3,FALSE),EffectName[],IFERROR(MATCH(UI!$B$1,EffectName[#Headers],0),2),FALSE))</f>
        <v/>
      </c>
      <c r="U916" t="str">
        <f t="shared" si="102"/>
        <v/>
      </c>
      <c r="V916">
        <v>0</v>
      </c>
      <c r="W916" t="str">
        <f>IF(V916&lt;&gt;0,VLOOKUP(VLOOKUP(V916,Tbl_Effect[],3,FALSE),EffectName[],IFERROR(MATCH(UI!$B$1,EffectName[#Headers],0),2),FALSE),"")</f>
        <v/>
      </c>
      <c r="X916" t="str">
        <f t="shared" si="103"/>
        <v/>
      </c>
      <c r="Y916">
        <v>0</v>
      </c>
      <c r="Z916" t="str">
        <f>IF(Y916&lt;&gt;0,VLOOKUP(VLOOKUP(Y916,Tbl_Effect[],3,FALSE),EffectName[],IFERROR(MATCH(UI!$B$1,EffectName[#Headers],0),2),FALSE),"")</f>
        <v/>
      </c>
      <c r="AA916" t="str">
        <f t="shared" si="104"/>
        <v/>
      </c>
      <c r="AB916">
        <v>0</v>
      </c>
      <c r="AC916" t="str">
        <f>IF(AB916&lt;&gt;0,VLOOKUP(VLOOKUP(AB916,Tbl_Effect[],3,FALSE),EffectName[],IFERROR(MATCH(UI!$B$1,EffectName[#Headers],0),2),FALSE),"")</f>
        <v/>
      </c>
    </row>
    <row r="917" spans="8:29" x14ac:dyDescent="0.4">
      <c r="H917" t="str">
        <f t="shared" si="98"/>
        <v>6500800-Unset (紅)</v>
      </c>
      <c r="I917">
        <v>6500800</v>
      </c>
      <c r="J917" t="str">
        <f>_xlfn.IFNA(IF(I917&lt;&gt;0,VLOOKUP(VLOOKUP(I917,Tbl_Equip[],2,FALSE),Tbl_Color[],IFERROR(MATCH(UI!$B$1,Tbl_Color[#Headers],0),2),FALSE),""),"Unset")</f>
        <v>紅</v>
      </c>
      <c r="K917" t="str">
        <f>_xlfn.IFNA(IF(I917&lt;&gt;0,VLOOKUP(I917,ItemText[],IFERROR(MATCH(UI!$B$1,ItemText[#Headers],0),2),FALSE),""),"Unset")</f>
        <v>Unset</v>
      </c>
      <c r="L917" t="str">
        <f t="shared" si="99"/>
        <v/>
      </c>
      <c r="M917">
        <v>0</v>
      </c>
      <c r="N917" t="str">
        <f>IF(VALUE(M917)=0,"",VLOOKUP(VLOOKUP(M917,Tbl_Effect[],3,FALSE),EffectName[],IFERROR(MATCH(UI!$B$1,EffectName[#Headers],0),2),FALSE))</f>
        <v/>
      </c>
      <c r="O917" t="str">
        <f t="shared" si="100"/>
        <v/>
      </c>
      <c r="P917">
        <v>0</v>
      </c>
      <c r="Q917" t="str">
        <f>IF(VALUE(P917)=0,"",VLOOKUP(VLOOKUP(P917,Tbl_Effect[],3,FALSE),EffectName[],IFERROR(MATCH(UI!$B$1,EffectName[#Headers],0),2),FALSE))</f>
        <v/>
      </c>
      <c r="R917" t="str">
        <f t="shared" si="101"/>
        <v/>
      </c>
      <c r="S917">
        <v>0</v>
      </c>
      <c r="T917" t="str">
        <f>IF(VALUE(S917)=0,"",VLOOKUP(VLOOKUP(S917,Tbl_Effect[],3,FALSE),EffectName[],IFERROR(MATCH(UI!$B$1,EffectName[#Headers],0),2),FALSE))</f>
        <v/>
      </c>
      <c r="U917" t="str">
        <f t="shared" si="102"/>
        <v/>
      </c>
      <c r="V917">
        <v>0</v>
      </c>
      <c r="W917" t="str">
        <f>IF(V917&lt;&gt;0,VLOOKUP(VLOOKUP(V917,Tbl_Effect[],3,FALSE),EffectName[],IFERROR(MATCH(UI!$B$1,EffectName[#Headers],0),2),FALSE),"")</f>
        <v/>
      </c>
      <c r="X917" t="str">
        <f t="shared" si="103"/>
        <v/>
      </c>
      <c r="Y917">
        <v>0</v>
      </c>
      <c r="Z917" t="str">
        <f>IF(Y917&lt;&gt;0,VLOOKUP(VLOOKUP(Y917,Tbl_Effect[],3,FALSE),EffectName[],IFERROR(MATCH(UI!$B$1,EffectName[#Headers],0),2),FALSE),"")</f>
        <v/>
      </c>
      <c r="AA917" t="str">
        <f t="shared" si="104"/>
        <v/>
      </c>
      <c r="AB917">
        <v>0</v>
      </c>
      <c r="AC917" t="str">
        <f>IF(AB917&lt;&gt;0,VLOOKUP(VLOOKUP(AB917,Tbl_Effect[],3,FALSE),EffectName[],IFERROR(MATCH(UI!$B$1,EffectName[#Headers],0),2),FALSE),"")</f>
        <v/>
      </c>
    </row>
    <row r="918" spans="8:29" x14ac:dyDescent="0.4">
      <c r="H918" t="str">
        <f t="shared" si="98"/>
        <v>6500900-Unset (紅)</v>
      </c>
      <c r="I918">
        <v>6500900</v>
      </c>
      <c r="J918" t="str">
        <f>_xlfn.IFNA(IF(I918&lt;&gt;0,VLOOKUP(VLOOKUP(I918,Tbl_Equip[],2,FALSE),Tbl_Color[],IFERROR(MATCH(UI!$B$1,Tbl_Color[#Headers],0),2),FALSE),""),"Unset")</f>
        <v>紅</v>
      </c>
      <c r="K918" t="str">
        <f>_xlfn.IFNA(IF(I918&lt;&gt;0,VLOOKUP(I918,ItemText[],IFERROR(MATCH(UI!$B$1,ItemText[#Headers],0),2),FALSE),""),"Unset")</f>
        <v>Unset</v>
      </c>
      <c r="L918" t="str">
        <f t="shared" si="99"/>
        <v/>
      </c>
      <c r="M918">
        <v>0</v>
      </c>
      <c r="N918" t="str">
        <f>IF(VALUE(M918)=0,"",VLOOKUP(VLOOKUP(M918,Tbl_Effect[],3,FALSE),EffectName[],IFERROR(MATCH(UI!$B$1,EffectName[#Headers],0),2),FALSE))</f>
        <v/>
      </c>
      <c r="O918" t="str">
        <f t="shared" si="100"/>
        <v/>
      </c>
      <c r="P918">
        <v>0</v>
      </c>
      <c r="Q918" t="str">
        <f>IF(VALUE(P918)=0,"",VLOOKUP(VLOOKUP(P918,Tbl_Effect[],3,FALSE),EffectName[],IFERROR(MATCH(UI!$B$1,EffectName[#Headers],0),2),FALSE))</f>
        <v/>
      </c>
      <c r="R918" t="str">
        <f t="shared" si="101"/>
        <v/>
      </c>
      <c r="S918">
        <v>0</v>
      </c>
      <c r="T918" t="str">
        <f>IF(VALUE(S918)=0,"",VLOOKUP(VLOOKUP(S918,Tbl_Effect[],3,FALSE),EffectName[],IFERROR(MATCH(UI!$B$1,EffectName[#Headers],0),2),FALSE))</f>
        <v/>
      </c>
      <c r="U918" t="str">
        <f t="shared" si="102"/>
        <v/>
      </c>
      <c r="V918">
        <v>0</v>
      </c>
      <c r="W918" t="str">
        <f>IF(V918&lt;&gt;0,VLOOKUP(VLOOKUP(V918,Tbl_Effect[],3,FALSE),EffectName[],IFERROR(MATCH(UI!$B$1,EffectName[#Headers],0),2),FALSE),"")</f>
        <v/>
      </c>
      <c r="X918" t="str">
        <f t="shared" si="103"/>
        <v/>
      </c>
      <c r="Y918">
        <v>0</v>
      </c>
      <c r="Z918" t="str">
        <f>IF(Y918&lt;&gt;0,VLOOKUP(VLOOKUP(Y918,Tbl_Effect[],3,FALSE),EffectName[],IFERROR(MATCH(UI!$B$1,EffectName[#Headers],0),2),FALSE),"")</f>
        <v/>
      </c>
      <c r="AA918" t="str">
        <f t="shared" si="104"/>
        <v/>
      </c>
      <c r="AB918">
        <v>0</v>
      </c>
      <c r="AC918" t="str">
        <f>IF(AB918&lt;&gt;0,VLOOKUP(VLOOKUP(AB918,Tbl_Effect[],3,FALSE),EffectName[],IFERROR(MATCH(UI!$B$1,EffectName[#Headers],0),2),FALSE),"")</f>
        <v/>
      </c>
    </row>
    <row r="919" spans="8:29" x14ac:dyDescent="0.4">
      <c r="H919" t="str">
        <f t="shared" si="98"/>
        <v>6600000-Unset (紅)</v>
      </c>
      <c r="I919">
        <v>6600000</v>
      </c>
      <c r="J919" t="str">
        <f>_xlfn.IFNA(IF(I919&lt;&gt;0,VLOOKUP(VLOOKUP(I919,Tbl_Equip[],2,FALSE),Tbl_Color[],IFERROR(MATCH(UI!$B$1,Tbl_Color[#Headers],0),2),FALSE),""),"Unset")</f>
        <v>紅</v>
      </c>
      <c r="K919" t="str">
        <f>_xlfn.IFNA(IF(I919&lt;&gt;0,VLOOKUP(I919,ItemText[],IFERROR(MATCH(UI!$B$1,ItemText[#Headers],0),2),FALSE),""),"Unset")</f>
        <v>Unset</v>
      </c>
      <c r="L919" t="str">
        <f t="shared" si="99"/>
        <v/>
      </c>
      <c r="M919">
        <v>0</v>
      </c>
      <c r="N919" t="str">
        <f>IF(VALUE(M919)=0,"",VLOOKUP(VLOOKUP(M919,Tbl_Effect[],3,FALSE),EffectName[],IFERROR(MATCH(UI!$B$1,EffectName[#Headers],0),2),FALSE))</f>
        <v/>
      </c>
      <c r="O919" t="str">
        <f t="shared" si="100"/>
        <v/>
      </c>
      <c r="P919">
        <v>0</v>
      </c>
      <c r="Q919" t="str">
        <f>IF(VALUE(P919)=0,"",VLOOKUP(VLOOKUP(P919,Tbl_Effect[],3,FALSE),EffectName[],IFERROR(MATCH(UI!$B$1,EffectName[#Headers],0),2),FALSE))</f>
        <v/>
      </c>
      <c r="R919" t="str">
        <f t="shared" si="101"/>
        <v/>
      </c>
      <c r="S919">
        <v>0</v>
      </c>
      <c r="T919" t="str">
        <f>IF(VALUE(S919)=0,"",VLOOKUP(VLOOKUP(S919,Tbl_Effect[],3,FALSE),EffectName[],IFERROR(MATCH(UI!$B$1,EffectName[#Headers],0),2),FALSE))</f>
        <v/>
      </c>
      <c r="U919" t="str">
        <f t="shared" si="102"/>
        <v/>
      </c>
      <c r="V919">
        <v>0</v>
      </c>
      <c r="W919" t="str">
        <f>IF(V919&lt;&gt;0,VLOOKUP(VLOOKUP(V919,Tbl_Effect[],3,FALSE),EffectName[],IFERROR(MATCH(UI!$B$1,EffectName[#Headers],0),2),FALSE),"")</f>
        <v/>
      </c>
      <c r="X919" t="str">
        <f t="shared" si="103"/>
        <v/>
      </c>
      <c r="Y919">
        <v>0</v>
      </c>
      <c r="Z919" t="str">
        <f>IF(Y919&lt;&gt;0,VLOOKUP(VLOOKUP(Y919,Tbl_Effect[],3,FALSE),EffectName[],IFERROR(MATCH(UI!$B$1,EffectName[#Headers],0),2),FALSE),"")</f>
        <v/>
      </c>
      <c r="AA919" t="str">
        <f t="shared" si="104"/>
        <v/>
      </c>
      <c r="AB919">
        <v>0</v>
      </c>
      <c r="AC919" t="str">
        <f>IF(AB919&lt;&gt;0,VLOOKUP(VLOOKUP(AB919,Tbl_Effect[],3,FALSE),EffectName[],IFERROR(MATCH(UI!$B$1,EffectName[#Headers],0),2),FALSE),"")</f>
        <v/>
      </c>
    </row>
    <row r="920" spans="8:29" x14ac:dyDescent="0.4">
      <c r="H920" t="str">
        <f t="shared" si="98"/>
        <v>6600001-Unset (紅)</v>
      </c>
      <c r="I920">
        <v>6600001</v>
      </c>
      <c r="J920" t="str">
        <f>_xlfn.IFNA(IF(I920&lt;&gt;0,VLOOKUP(VLOOKUP(I920,Tbl_Equip[],2,FALSE),Tbl_Color[],IFERROR(MATCH(UI!$B$1,Tbl_Color[#Headers],0),2),FALSE),""),"Unset")</f>
        <v>紅</v>
      </c>
      <c r="K920" t="str">
        <f>_xlfn.IFNA(IF(I920&lt;&gt;0,VLOOKUP(I920,ItemText[],IFERROR(MATCH(UI!$B$1,ItemText[#Headers],0),2),FALSE),""),"Unset")</f>
        <v>Unset</v>
      </c>
      <c r="L920" t="str">
        <f t="shared" si="99"/>
        <v/>
      </c>
      <c r="M920">
        <v>0</v>
      </c>
      <c r="N920" t="str">
        <f>IF(VALUE(M920)=0,"",VLOOKUP(VLOOKUP(M920,Tbl_Effect[],3,FALSE),EffectName[],IFERROR(MATCH(UI!$B$1,EffectName[#Headers],0),2),FALSE))</f>
        <v/>
      </c>
      <c r="O920" t="str">
        <f t="shared" si="100"/>
        <v/>
      </c>
      <c r="P920">
        <v>0</v>
      </c>
      <c r="Q920" t="str">
        <f>IF(VALUE(P920)=0,"",VLOOKUP(VLOOKUP(P920,Tbl_Effect[],3,FALSE),EffectName[],IFERROR(MATCH(UI!$B$1,EffectName[#Headers],0),2),FALSE))</f>
        <v/>
      </c>
      <c r="R920" t="str">
        <f t="shared" si="101"/>
        <v/>
      </c>
      <c r="S920">
        <v>0</v>
      </c>
      <c r="T920" t="str">
        <f>IF(VALUE(S920)=0,"",VLOOKUP(VLOOKUP(S920,Tbl_Effect[],3,FALSE),EffectName[],IFERROR(MATCH(UI!$B$1,EffectName[#Headers],0),2),FALSE))</f>
        <v/>
      </c>
      <c r="U920" t="str">
        <f t="shared" si="102"/>
        <v/>
      </c>
      <c r="V920">
        <v>0</v>
      </c>
      <c r="W920" t="str">
        <f>IF(V920&lt;&gt;0,VLOOKUP(VLOOKUP(V920,Tbl_Effect[],3,FALSE),EffectName[],IFERROR(MATCH(UI!$B$1,EffectName[#Headers],0),2),FALSE),"")</f>
        <v/>
      </c>
      <c r="X920" t="str">
        <f t="shared" si="103"/>
        <v/>
      </c>
      <c r="Y920">
        <v>0</v>
      </c>
      <c r="Z920" t="str">
        <f>IF(Y920&lt;&gt;0,VLOOKUP(VLOOKUP(Y920,Tbl_Effect[],3,FALSE),EffectName[],IFERROR(MATCH(UI!$B$1,EffectName[#Headers],0),2),FALSE),"")</f>
        <v/>
      </c>
      <c r="AA920" t="str">
        <f t="shared" si="104"/>
        <v/>
      </c>
      <c r="AB920">
        <v>0</v>
      </c>
      <c r="AC920" t="str">
        <f>IF(AB920&lt;&gt;0,VLOOKUP(VLOOKUP(AB920,Tbl_Effect[],3,FALSE),EffectName[],IFERROR(MATCH(UI!$B$1,EffectName[#Headers],0),2),FALSE),"")</f>
        <v/>
      </c>
    </row>
    <row r="921" spans="8:29" x14ac:dyDescent="0.4">
      <c r="H921" t="str">
        <f t="shared" si="98"/>
        <v>6600100-Unset (紅)</v>
      </c>
      <c r="I921">
        <v>6600100</v>
      </c>
      <c r="J921" t="str">
        <f>_xlfn.IFNA(IF(I921&lt;&gt;0,VLOOKUP(VLOOKUP(I921,Tbl_Equip[],2,FALSE),Tbl_Color[],IFERROR(MATCH(UI!$B$1,Tbl_Color[#Headers],0),2),FALSE),""),"Unset")</f>
        <v>紅</v>
      </c>
      <c r="K921" t="str">
        <f>_xlfn.IFNA(IF(I921&lt;&gt;0,VLOOKUP(I921,ItemText[],IFERROR(MATCH(UI!$B$1,ItemText[#Headers],0),2),FALSE),""),"Unset")</f>
        <v>Unset</v>
      </c>
      <c r="L921" t="str">
        <f t="shared" si="99"/>
        <v/>
      </c>
      <c r="M921">
        <v>0</v>
      </c>
      <c r="N921" t="str">
        <f>IF(VALUE(M921)=0,"",VLOOKUP(VLOOKUP(M921,Tbl_Effect[],3,FALSE),EffectName[],IFERROR(MATCH(UI!$B$1,EffectName[#Headers],0),2),FALSE))</f>
        <v/>
      </c>
      <c r="O921" t="str">
        <f t="shared" si="100"/>
        <v/>
      </c>
      <c r="P921">
        <v>0</v>
      </c>
      <c r="Q921" t="str">
        <f>IF(VALUE(P921)=0,"",VLOOKUP(VLOOKUP(P921,Tbl_Effect[],3,FALSE),EffectName[],IFERROR(MATCH(UI!$B$1,EffectName[#Headers],0),2),FALSE))</f>
        <v/>
      </c>
      <c r="R921" t="str">
        <f t="shared" si="101"/>
        <v/>
      </c>
      <c r="S921">
        <v>0</v>
      </c>
      <c r="T921" t="str">
        <f>IF(VALUE(S921)=0,"",VLOOKUP(VLOOKUP(S921,Tbl_Effect[],3,FALSE),EffectName[],IFERROR(MATCH(UI!$B$1,EffectName[#Headers],0),2),FALSE))</f>
        <v/>
      </c>
      <c r="U921" t="str">
        <f t="shared" si="102"/>
        <v/>
      </c>
      <c r="V921">
        <v>0</v>
      </c>
      <c r="W921" t="str">
        <f>IF(V921&lt;&gt;0,VLOOKUP(VLOOKUP(V921,Tbl_Effect[],3,FALSE),EffectName[],IFERROR(MATCH(UI!$B$1,EffectName[#Headers],0),2),FALSE),"")</f>
        <v/>
      </c>
      <c r="X921" t="str">
        <f t="shared" si="103"/>
        <v/>
      </c>
      <c r="Y921">
        <v>0</v>
      </c>
      <c r="Z921" t="str">
        <f>IF(Y921&lt;&gt;0,VLOOKUP(VLOOKUP(Y921,Tbl_Effect[],3,FALSE),EffectName[],IFERROR(MATCH(UI!$B$1,EffectName[#Headers],0),2),FALSE),"")</f>
        <v/>
      </c>
      <c r="AA921" t="str">
        <f t="shared" si="104"/>
        <v/>
      </c>
      <c r="AB921">
        <v>0</v>
      </c>
      <c r="AC921" t="str">
        <f>IF(AB921&lt;&gt;0,VLOOKUP(VLOOKUP(AB921,Tbl_Effect[],3,FALSE),EffectName[],IFERROR(MATCH(UI!$B$1,EffectName[#Headers],0),2),FALSE),"")</f>
        <v/>
      </c>
    </row>
    <row r="922" spans="8:29" x14ac:dyDescent="0.4">
      <c r="H922" t="str">
        <f t="shared" si="98"/>
        <v>6600101-Unset (紅)</v>
      </c>
      <c r="I922">
        <v>6600101</v>
      </c>
      <c r="J922" t="str">
        <f>_xlfn.IFNA(IF(I922&lt;&gt;0,VLOOKUP(VLOOKUP(I922,Tbl_Equip[],2,FALSE),Tbl_Color[],IFERROR(MATCH(UI!$B$1,Tbl_Color[#Headers],0),2),FALSE),""),"Unset")</f>
        <v>紅</v>
      </c>
      <c r="K922" t="str">
        <f>_xlfn.IFNA(IF(I922&lt;&gt;0,VLOOKUP(I922,ItemText[],IFERROR(MATCH(UI!$B$1,ItemText[#Headers],0),2),FALSE),""),"Unset")</f>
        <v>Unset</v>
      </c>
      <c r="L922" t="str">
        <f t="shared" si="99"/>
        <v/>
      </c>
      <c r="M922">
        <v>0</v>
      </c>
      <c r="N922" t="str">
        <f>IF(VALUE(M922)=0,"",VLOOKUP(VLOOKUP(M922,Tbl_Effect[],3,FALSE),EffectName[],IFERROR(MATCH(UI!$B$1,EffectName[#Headers],0),2),FALSE))</f>
        <v/>
      </c>
      <c r="O922" t="str">
        <f t="shared" si="100"/>
        <v/>
      </c>
      <c r="P922">
        <v>0</v>
      </c>
      <c r="Q922" t="str">
        <f>IF(VALUE(P922)=0,"",VLOOKUP(VLOOKUP(P922,Tbl_Effect[],3,FALSE),EffectName[],IFERROR(MATCH(UI!$B$1,EffectName[#Headers],0),2),FALSE))</f>
        <v/>
      </c>
      <c r="R922" t="str">
        <f t="shared" si="101"/>
        <v/>
      </c>
      <c r="S922">
        <v>0</v>
      </c>
      <c r="T922" t="str">
        <f>IF(VALUE(S922)=0,"",VLOOKUP(VLOOKUP(S922,Tbl_Effect[],3,FALSE),EffectName[],IFERROR(MATCH(UI!$B$1,EffectName[#Headers],0),2),FALSE))</f>
        <v/>
      </c>
      <c r="U922" t="str">
        <f t="shared" si="102"/>
        <v/>
      </c>
      <c r="V922">
        <v>0</v>
      </c>
      <c r="W922" t="str">
        <f>IF(V922&lt;&gt;0,VLOOKUP(VLOOKUP(V922,Tbl_Effect[],3,FALSE),EffectName[],IFERROR(MATCH(UI!$B$1,EffectName[#Headers],0),2),FALSE),"")</f>
        <v/>
      </c>
      <c r="X922" t="str">
        <f t="shared" si="103"/>
        <v/>
      </c>
      <c r="Y922">
        <v>0</v>
      </c>
      <c r="Z922" t="str">
        <f>IF(Y922&lt;&gt;0,VLOOKUP(VLOOKUP(Y922,Tbl_Effect[],3,FALSE),EffectName[],IFERROR(MATCH(UI!$B$1,EffectName[#Headers],0),2),FALSE),"")</f>
        <v/>
      </c>
      <c r="AA922" t="str">
        <f t="shared" si="104"/>
        <v/>
      </c>
      <c r="AB922">
        <v>0</v>
      </c>
      <c r="AC922" t="str">
        <f>IF(AB922&lt;&gt;0,VLOOKUP(VLOOKUP(AB922,Tbl_Effect[],3,FALSE),EffectName[],IFERROR(MATCH(UI!$B$1,EffectName[#Headers],0),2),FALSE),"")</f>
        <v/>
      </c>
    </row>
    <row r="923" spans="8:29" x14ac:dyDescent="0.4">
      <c r="H923" t="str">
        <f t="shared" si="98"/>
        <v>6610400-Unset (紅)</v>
      </c>
      <c r="I923">
        <v>6610400</v>
      </c>
      <c r="J923" t="str">
        <f>_xlfn.IFNA(IF(I923&lt;&gt;0,VLOOKUP(VLOOKUP(I923,Tbl_Equip[],2,FALSE),Tbl_Color[],IFERROR(MATCH(UI!$B$1,Tbl_Color[#Headers],0),2),FALSE),""),"Unset")</f>
        <v>紅</v>
      </c>
      <c r="K923" t="str">
        <f>_xlfn.IFNA(IF(I923&lt;&gt;0,VLOOKUP(I923,ItemText[],IFERROR(MATCH(UI!$B$1,ItemText[#Headers],0),2),FALSE),""),"Unset")</f>
        <v>Unset</v>
      </c>
      <c r="L923" t="str">
        <f t="shared" si="99"/>
        <v/>
      </c>
      <c r="M923">
        <v>0</v>
      </c>
      <c r="N923" t="str">
        <f>IF(VALUE(M923)=0,"",VLOOKUP(VLOOKUP(M923,Tbl_Effect[],3,FALSE),EffectName[],IFERROR(MATCH(UI!$B$1,EffectName[#Headers],0),2),FALSE))</f>
        <v/>
      </c>
      <c r="O923" t="str">
        <f t="shared" si="100"/>
        <v/>
      </c>
      <c r="P923">
        <v>0</v>
      </c>
      <c r="Q923" t="str">
        <f>IF(VALUE(P923)=0,"",VLOOKUP(VLOOKUP(P923,Tbl_Effect[],3,FALSE),EffectName[],IFERROR(MATCH(UI!$B$1,EffectName[#Headers],0),2),FALSE))</f>
        <v/>
      </c>
      <c r="R923" t="str">
        <f t="shared" si="101"/>
        <v/>
      </c>
      <c r="S923">
        <v>0</v>
      </c>
      <c r="T923" t="str">
        <f>IF(VALUE(S923)=0,"",VLOOKUP(VLOOKUP(S923,Tbl_Effect[],3,FALSE),EffectName[],IFERROR(MATCH(UI!$B$1,EffectName[#Headers],0),2),FALSE))</f>
        <v/>
      </c>
      <c r="U923" t="str">
        <f t="shared" si="102"/>
        <v/>
      </c>
      <c r="V923">
        <v>0</v>
      </c>
      <c r="W923" t="str">
        <f>IF(V923&lt;&gt;0,VLOOKUP(VLOOKUP(V923,Tbl_Effect[],3,FALSE),EffectName[],IFERROR(MATCH(UI!$B$1,EffectName[#Headers],0),2),FALSE),"")</f>
        <v/>
      </c>
      <c r="X923" t="str">
        <f t="shared" si="103"/>
        <v/>
      </c>
      <c r="Y923">
        <v>0</v>
      </c>
      <c r="Z923" t="str">
        <f>IF(Y923&lt;&gt;0,VLOOKUP(VLOOKUP(Y923,Tbl_Effect[],3,FALSE),EffectName[],IFERROR(MATCH(UI!$B$1,EffectName[#Headers],0),2),FALSE),"")</f>
        <v/>
      </c>
      <c r="AA923" t="str">
        <f t="shared" si="104"/>
        <v/>
      </c>
      <c r="AB923">
        <v>0</v>
      </c>
      <c r="AC923" t="str">
        <f>IF(AB923&lt;&gt;0,VLOOKUP(VLOOKUP(AB923,Tbl_Effect[],3,FALSE),EffectName[],IFERROR(MATCH(UI!$B$1,EffectName[#Headers],0),2),FALSE),"")</f>
        <v/>
      </c>
    </row>
    <row r="924" spans="8:29" x14ac:dyDescent="0.4">
      <c r="H924" t="str">
        <f t="shared" si="98"/>
        <v>6610500-Unset (紅)</v>
      </c>
      <c r="I924">
        <v>6610500</v>
      </c>
      <c r="J924" t="str">
        <f>_xlfn.IFNA(IF(I924&lt;&gt;0,VLOOKUP(VLOOKUP(I924,Tbl_Equip[],2,FALSE),Tbl_Color[],IFERROR(MATCH(UI!$B$1,Tbl_Color[#Headers],0),2),FALSE),""),"Unset")</f>
        <v>紅</v>
      </c>
      <c r="K924" t="str">
        <f>_xlfn.IFNA(IF(I924&lt;&gt;0,VLOOKUP(I924,ItemText[],IFERROR(MATCH(UI!$B$1,ItemText[#Headers],0),2),FALSE),""),"Unset")</f>
        <v>Unset</v>
      </c>
      <c r="L924" t="str">
        <f t="shared" si="99"/>
        <v/>
      </c>
      <c r="M924">
        <v>0</v>
      </c>
      <c r="N924" t="str">
        <f>IF(VALUE(M924)=0,"",VLOOKUP(VLOOKUP(M924,Tbl_Effect[],3,FALSE),EffectName[],IFERROR(MATCH(UI!$B$1,EffectName[#Headers],0),2),FALSE))</f>
        <v/>
      </c>
      <c r="O924" t="str">
        <f t="shared" si="100"/>
        <v/>
      </c>
      <c r="P924">
        <v>0</v>
      </c>
      <c r="Q924" t="str">
        <f>IF(VALUE(P924)=0,"",VLOOKUP(VLOOKUP(P924,Tbl_Effect[],3,FALSE),EffectName[],IFERROR(MATCH(UI!$B$1,EffectName[#Headers],0),2),FALSE))</f>
        <v/>
      </c>
      <c r="R924" t="str">
        <f t="shared" si="101"/>
        <v/>
      </c>
      <c r="S924">
        <v>0</v>
      </c>
      <c r="T924" t="str">
        <f>IF(VALUE(S924)=0,"",VLOOKUP(VLOOKUP(S924,Tbl_Effect[],3,FALSE),EffectName[],IFERROR(MATCH(UI!$B$1,EffectName[#Headers],0),2),FALSE))</f>
        <v/>
      </c>
      <c r="U924" t="str">
        <f t="shared" si="102"/>
        <v/>
      </c>
      <c r="V924">
        <v>0</v>
      </c>
      <c r="W924" t="str">
        <f>IF(V924&lt;&gt;0,VLOOKUP(VLOOKUP(V924,Tbl_Effect[],3,FALSE),EffectName[],IFERROR(MATCH(UI!$B$1,EffectName[#Headers],0),2),FALSE),"")</f>
        <v/>
      </c>
      <c r="X924" t="str">
        <f t="shared" si="103"/>
        <v/>
      </c>
      <c r="Y924">
        <v>0</v>
      </c>
      <c r="Z924" t="str">
        <f>IF(Y924&lt;&gt;0,VLOOKUP(VLOOKUP(Y924,Tbl_Effect[],3,FALSE),EffectName[],IFERROR(MATCH(UI!$B$1,EffectName[#Headers],0),2),FALSE),"")</f>
        <v/>
      </c>
      <c r="AA924" t="str">
        <f t="shared" si="104"/>
        <v/>
      </c>
      <c r="AB924">
        <v>0</v>
      </c>
      <c r="AC924" t="str">
        <f>IF(AB924&lt;&gt;0,VLOOKUP(VLOOKUP(AB924,Tbl_Effect[],3,FALSE),EffectName[],IFERROR(MATCH(UI!$B$1,EffectName[#Headers],0),2),FALSE),"")</f>
        <v/>
      </c>
    </row>
    <row r="925" spans="8:29" x14ac:dyDescent="0.4">
      <c r="H925" t="str">
        <f t="shared" si="98"/>
        <v>6610600-Unset (紅)</v>
      </c>
      <c r="I925">
        <v>6610600</v>
      </c>
      <c r="J925" t="str">
        <f>_xlfn.IFNA(IF(I925&lt;&gt;0,VLOOKUP(VLOOKUP(I925,Tbl_Equip[],2,FALSE),Tbl_Color[],IFERROR(MATCH(UI!$B$1,Tbl_Color[#Headers],0),2),FALSE),""),"Unset")</f>
        <v>紅</v>
      </c>
      <c r="K925" t="str">
        <f>_xlfn.IFNA(IF(I925&lt;&gt;0,VLOOKUP(I925,ItemText[],IFERROR(MATCH(UI!$B$1,ItemText[#Headers],0),2),FALSE),""),"Unset")</f>
        <v>Unset</v>
      </c>
      <c r="L925" t="str">
        <f t="shared" si="99"/>
        <v/>
      </c>
      <c r="M925">
        <v>0</v>
      </c>
      <c r="N925" t="str">
        <f>IF(VALUE(M925)=0,"",VLOOKUP(VLOOKUP(M925,Tbl_Effect[],3,FALSE),EffectName[],IFERROR(MATCH(UI!$B$1,EffectName[#Headers],0),2),FALSE))</f>
        <v/>
      </c>
      <c r="O925" t="str">
        <f t="shared" si="100"/>
        <v/>
      </c>
      <c r="P925">
        <v>0</v>
      </c>
      <c r="Q925" t="str">
        <f>IF(VALUE(P925)=0,"",VLOOKUP(VLOOKUP(P925,Tbl_Effect[],3,FALSE),EffectName[],IFERROR(MATCH(UI!$B$1,EffectName[#Headers],0),2),FALSE))</f>
        <v/>
      </c>
      <c r="R925" t="str">
        <f t="shared" si="101"/>
        <v/>
      </c>
      <c r="S925">
        <v>0</v>
      </c>
      <c r="T925" t="str">
        <f>IF(VALUE(S925)=0,"",VLOOKUP(VLOOKUP(S925,Tbl_Effect[],3,FALSE),EffectName[],IFERROR(MATCH(UI!$B$1,EffectName[#Headers],0),2),FALSE))</f>
        <v/>
      </c>
      <c r="U925" t="str">
        <f t="shared" si="102"/>
        <v/>
      </c>
      <c r="V925">
        <v>0</v>
      </c>
      <c r="W925" t="str">
        <f>IF(V925&lt;&gt;0,VLOOKUP(VLOOKUP(V925,Tbl_Effect[],3,FALSE),EffectName[],IFERROR(MATCH(UI!$B$1,EffectName[#Headers],0),2),FALSE),"")</f>
        <v/>
      </c>
      <c r="X925" t="str">
        <f t="shared" si="103"/>
        <v/>
      </c>
      <c r="Y925">
        <v>0</v>
      </c>
      <c r="Z925" t="str">
        <f>IF(Y925&lt;&gt;0,VLOOKUP(VLOOKUP(Y925,Tbl_Effect[],3,FALSE),EffectName[],IFERROR(MATCH(UI!$B$1,EffectName[#Headers],0),2),FALSE),"")</f>
        <v/>
      </c>
      <c r="AA925" t="str">
        <f t="shared" si="104"/>
        <v/>
      </c>
      <c r="AB925">
        <v>0</v>
      </c>
      <c r="AC925" t="str">
        <f>IF(AB925&lt;&gt;0,VLOOKUP(VLOOKUP(AB925,Tbl_Effect[],3,FALSE),EffectName[],IFERROR(MATCH(UI!$B$1,EffectName[#Headers],0),2),FALSE),"")</f>
        <v/>
      </c>
    </row>
    <row r="926" spans="8:29" x14ac:dyDescent="0.4">
      <c r="H926" t="str">
        <f t="shared" si="98"/>
        <v>6610700-Unset (紅)</v>
      </c>
      <c r="I926">
        <v>6610700</v>
      </c>
      <c r="J926" t="str">
        <f>_xlfn.IFNA(IF(I926&lt;&gt;0,VLOOKUP(VLOOKUP(I926,Tbl_Equip[],2,FALSE),Tbl_Color[],IFERROR(MATCH(UI!$B$1,Tbl_Color[#Headers],0),2),FALSE),""),"Unset")</f>
        <v>紅</v>
      </c>
      <c r="K926" t="str">
        <f>_xlfn.IFNA(IF(I926&lt;&gt;0,VLOOKUP(I926,ItemText[],IFERROR(MATCH(UI!$B$1,ItemText[#Headers],0),2),FALSE),""),"Unset")</f>
        <v>Unset</v>
      </c>
      <c r="L926" t="str">
        <f t="shared" si="99"/>
        <v/>
      </c>
      <c r="M926">
        <v>0</v>
      </c>
      <c r="N926" t="str">
        <f>IF(VALUE(M926)=0,"",VLOOKUP(VLOOKUP(M926,Tbl_Effect[],3,FALSE),EffectName[],IFERROR(MATCH(UI!$B$1,EffectName[#Headers],0),2),FALSE))</f>
        <v/>
      </c>
      <c r="O926" t="str">
        <f t="shared" si="100"/>
        <v/>
      </c>
      <c r="P926">
        <v>0</v>
      </c>
      <c r="Q926" t="str">
        <f>IF(VALUE(P926)=0,"",VLOOKUP(VLOOKUP(P926,Tbl_Effect[],3,FALSE),EffectName[],IFERROR(MATCH(UI!$B$1,EffectName[#Headers],0),2),FALSE))</f>
        <v/>
      </c>
      <c r="R926" t="str">
        <f t="shared" si="101"/>
        <v/>
      </c>
      <c r="S926">
        <v>0</v>
      </c>
      <c r="T926" t="str">
        <f>IF(VALUE(S926)=0,"",VLOOKUP(VLOOKUP(S926,Tbl_Effect[],3,FALSE),EffectName[],IFERROR(MATCH(UI!$B$1,EffectName[#Headers],0),2),FALSE))</f>
        <v/>
      </c>
      <c r="U926" t="str">
        <f t="shared" si="102"/>
        <v/>
      </c>
      <c r="V926">
        <v>0</v>
      </c>
      <c r="W926" t="str">
        <f>IF(V926&lt;&gt;0,VLOOKUP(VLOOKUP(V926,Tbl_Effect[],3,FALSE),EffectName[],IFERROR(MATCH(UI!$B$1,EffectName[#Headers],0),2),FALSE),"")</f>
        <v/>
      </c>
      <c r="X926" t="str">
        <f t="shared" si="103"/>
        <v/>
      </c>
      <c r="Y926">
        <v>0</v>
      </c>
      <c r="Z926" t="str">
        <f>IF(Y926&lt;&gt;0,VLOOKUP(VLOOKUP(Y926,Tbl_Effect[],3,FALSE),EffectName[],IFERROR(MATCH(UI!$B$1,EffectName[#Headers],0),2),FALSE),"")</f>
        <v/>
      </c>
      <c r="AA926" t="str">
        <f t="shared" si="104"/>
        <v/>
      </c>
      <c r="AB926">
        <v>0</v>
      </c>
      <c r="AC926" t="str">
        <f>IF(AB926&lt;&gt;0,VLOOKUP(VLOOKUP(AB926,Tbl_Effect[],3,FALSE),EffectName[],IFERROR(MATCH(UI!$B$1,EffectName[#Headers],0),2),FALSE),"")</f>
        <v/>
      </c>
    </row>
    <row r="927" spans="8:29" x14ac:dyDescent="0.4">
      <c r="H927" t="str">
        <f t="shared" si="98"/>
        <v>6610800-Unset (紅)</v>
      </c>
      <c r="I927">
        <v>6610800</v>
      </c>
      <c r="J927" t="str">
        <f>_xlfn.IFNA(IF(I927&lt;&gt;0,VLOOKUP(VLOOKUP(I927,Tbl_Equip[],2,FALSE),Tbl_Color[],IFERROR(MATCH(UI!$B$1,Tbl_Color[#Headers],0),2),FALSE),""),"Unset")</f>
        <v>紅</v>
      </c>
      <c r="K927" t="str">
        <f>_xlfn.IFNA(IF(I927&lt;&gt;0,VLOOKUP(I927,ItemText[],IFERROR(MATCH(UI!$B$1,ItemText[#Headers],0),2),FALSE),""),"Unset")</f>
        <v>Unset</v>
      </c>
      <c r="L927" t="str">
        <f t="shared" si="99"/>
        <v/>
      </c>
      <c r="M927">
        <v>0</v>
      </c>
      <c r="N927" t="str">
        <f>IF(VALUE(M927)=0,"",VLOOKUP(VLOOKUP(M927,Tbl_Effect[],3,FALSE),EffectName[],IFERROR(MATCH(UI!$B$1,EffectName[#Headers],0),2),FALSE))</f>
        <v/>
      </c>
      <c r="O927" t="str">
        <f t="shared" si="100"/>
        <v/>
      </c>
      <c r="P927">
        <v>0</v>
      </c>
      <c r="Q927" t="str">
        <f>IF(VALUE(P927)=0,"",VLOOKUP(VLOOKUP(P927,Tbl_Effect[],3,FALSE),EffectName[],IFERROR(MATCH(UI!$B$1,EffectName[#Headers],0),2),FALSE))</f>
        <v/>
      </c>
      <c r="R927" t="str">
        <f t="shared" si="101"/>
        <v/>
      </c>
      <c r="S927">
        <v>0</v>
      </c>
      <c r="T927" t="str">
        <f>IF(VALUE(S927)=0,"",VLOOKUP(VLOOKUP(S927,Tbl_Effect[],3,FALSE),EffectName[],IFERROR(MATCH(UI!$B$1,EffectName[#Headers],0),2),FALSE))</f>
        <v/>
      </c>
      <c r="U927" t="str">
        <f t="shared" si="102"/>
        <v/>
      </c>
      <c r="V927">
        <v>0</v>
      </c>
      <c r="W927" t="str">
        <f>IF(V927&lt;&gt;0,VLOOKUP(VLOOKUP(V927,Tbl_Effect[],3,FALSE),EffectName[],IFERROR(MATCH(UI!$B$1,EffectName[#Headers],0),2),FALSE),"")</f>
        <v/>
      </c>
      <c r="X927" t="str">
        <f t="shared" si="103"/>
        <v/>
      </c>
      <c r="Y927">
        <v>0</v>
      </c>
      <c r="Z927" t="str">
        <f>IF(Y927&lt;&gt;0,VLOOKUP(VLOOKUP(Y927,Tbl_Effect[],3,FALSE),EffectName[],IFERROR(MATCH(UI!$B$1,EffectName[#Headers],0),2),FALSE),"")</f>
        <v/>
      </c>
      <c r="AA927" t="str">
        <f t="shared" si="104"/>
        <v/>
      </c>
      <c r="AB927">
        <v>0</v>
      </c>
      <c r="AC927" t="str">
        <f>IF(AB927&lt;&gt;0,VLOOKUP(VLOOKUP(AB927,Tbl_Effect[],3,FALSE),EffectName[],IFERROR(MATCH(UI!$B$1,EffectName[#Headers],0),2),FALSE),"")</f>
        <v/>
      </c>
    </row>
    <row r="928" spans="8:29" x14ac:dyDescent="0.4">
      <c r="H928" t="str">
        <f t="shared" si="98"/>
        <v>6610801-Unset (紅)</v>
      </c>
      <c r="I928">
        <v>6610801</v>
      </c>
      <c r="J928" t="str">
        <f>_xlfn.IFNA(IF(I928&lt;&gt;0,VLOOKUP(VLOOKUP(I928,Tbl_Equip[],2,FALSE),Tbl_Color[],IFERROR(MATCH(UI!$B$1,Tbl_Color[#Headers],0),2),FALSE),""),"Unset")</f>
        <v>紅</v>
      </c>
      <c r="K928" t="str">
        <f>_xlfn.IFNA(IF(I928&lt;&gt;0,VLOOKUP(I928,ItemText[],IFERROR(MATCH(UI!$B$1,ItemText[#Headers],0),2),FALSE),""),"Unset")</f>
        <v>Unset</v>
      </c>
      <c r="L928" t="str">
        <f t="shared" si="99"/>
        <v/>
      </c>
      <c r="M928">
        <v>0</v>
      </c>
      <c r="N928" t="str">
        <f>IF(VALUE(M928)=0,"",VLOOKUP(VLOOKUP(M928,Tbl_Effect[],3,FALSE),EffectName[],IFERROR(MATCH(UI!$B$1,EffectName[#Headers],0),2),FALSE))</f>
        <v/>
      </c>
      <c r="O928" t="str">
        <f t="shared" si="100"/>
        <v/>
      </c>
      <c r="P928">
        <v>0</v>
      </c>
      <c r="Q928" t="str">
        <f>IF(VALUE(P928)=0,"",VLOOKUP(VLOOKUP(P928,Tbl_Effect[],3,FALSE),EffectName[],IFERROR(MATCH(UI!$B$1,EffectName[#Headers],0),2),FALSE))</f>
        <v/>
      </c>
      <c r="R928" t="str">
        <f t="shared" si="101"/>
        <v/>
      </c>
      <c r="S928">
        <v>0</v>
      </c>
      <c r="T928" t="str">
        <f>IF(VALUE(S928)=0,"",VLOOKUP(VLOOKUP(S928,Tbl_Effect[],3,FALSE),EffectName[],IFERROR(MATCH(UI!$B$1,EffectName[#Headers],0),2),FALSE))</f>
        <v/>
      </c>
      <c r="U928" t="str">
        <f t="shared" si="102"/>
        <v/>
      </c>
      <c r="V928">
        <v>0</v>
      </c>
      <c r="W928" t="str">
        <f>IF(V928&lt;&gt;0,VLOOKUP(VLOOKUP(V928,Tbl_Effect[],3,FALSE),EffectName[],IFERROR(MATCH(UI!$B$1,EffectName[#Headers],0),2),FALSE),"")</f>
        <v/>
      </c>
      <c r="X928" t="str">
        <f t="shared" si="103"/>
        <v/>
      </c>
      <c r="Y928">
        <v>0</v>
      </c>
      <c r="Z928" t="str">
        <f>IF(Y928&lt;&gt;0,VLOOKUP(VLOOKUP(Y928,Tbl_Effect[],3,FALSE),EffectName[],IFERROR(MATCH(UI!$B$1,EffectName[#Headers],0),2),FALSE),"")</f>
        <v/>
      </c>
      <c r="AA928" t="str">
        <f t="shared" si="104"/>
        <v/>
      </c>
      <c r="AB928">
        <v>0</v>
      </c>
      <c r="AC928" t="str">
        <f>IF(AB928&lt;&gt;0,VLOOKUP(VLOOKUP(AB928,Tbl_Effect[],3,FALSE),EffectName[],IFERROR(MATCH(UI!$B$1,EffectName[#Headers],0),2),FALSE),"")</f>
        <v/>
      </c>
    </row>
    <row r="929" spans="8:29" x14ac:dyDescent="0.4">
      <c r="H929" t="str">
        <f t="shared" si="98"/>
        <v>6610802-Unset (紅)</v>
      </c>
      <c r="I929">
        <v>6610802</v>
      </c>
      <c r="J929" t="str">
        <f>_xlfn.IFNA(IF(I929&lt;&gt;0,VLOOKUP(VLOOKUP(I929,Tbl_Equip[],2,FALSE),Tbl_Color[],IFERROR(MATCH(UI!$B$1,Tbl_Color[#Headers],0),2),FALSE),""),"Unset")</f>
        <v>紅</v>
      </c>
      <c r="K929" t="str">
        <f>_xlfn.IFNA(IF(I929&lt;&gt;0,VLOOKUP(I929,ItemText[],IFERROR(MATCH(UI!$B$1,ItemText[#Headers],0),2),FALSE),""),"Unset")</f>
        <v>Unset</v>
      </c>
      <c r="L929" t="str">
        <f t="shared" si="99"/>
        <v/>
      </c>
      <c r="M929">
        <v>0</v>
      </c>
      <c r="N929" t="str">
        <f>IF(VALUE(M929)=0,"",VLOOKUP(VLOOKUP(M929,Tbl_Effect[],3,FALSE),EffectName[],IFERROR(MATCH(UI!$B$1,EffectName[#Headers],0),2),FALSE))</f>
        <v/>
      </c>
      <c r="O929" t="str">
        <f t="shared" si="100"/>
        <v/>
      </c>
      <c r="P929">
        <v>0</v>
      </c>
      <c r="Q929" t="str">
        <f>IF(VALUE(P929)=0,"",VLOOKUP(VLOOKUP(P929,Tbl_Effect[],3,FALSE),EffectName[],IFERROR(MATCH(UI!$B$1,EffectName[#Headers],0),2),FALSE))</f>
        <v/>
      </c>
      <c r="R929" t="str">
        <f t="shared" si="101"/>
        <v/>
      </c>
      <c r="S929">
        <v>0</v>
      </c>
      <c r="T929" t="str">
        <f>IF(VALUE(S929)=0,"",VLOOKUP(VLOOKUP(S929,Tbl_Effect[],3,FALSE),EffectName[],IFERROR(MATCH(UI!$B$1,EffectName[#Headers],0),2),FALSE))</f>
        <v/>
      </c>
      <c r="U929" t="str">
        <f t="shared" si="102"/>
        <v/>
      </c>
      <c r="V929">
        <v>0</v>
      </c>
      <c r="W929" t="str">
        <f>IF(V929&lt;&gt;0,VLOOKUP(VLOOKUP(V929,Tbl_Effect[],3,FALSE),EffectName[],IFERROR(MATCH(UI!$B$1,EffectName[#Headers],0),2),FALSE),"")</f>
        <v/>
      </c>
      <c r="X929" t="str">
        <f t="shared" si="103"/>
        <v/>
      </c>
      <c r="Y929">
        <v>0</v>
      </c>
      <c r="Z929" t="str">
        <f>IF(Y929&lt;&gt;0,VLOOKUP(VLOOKUP(Y929,Tbl_Effect[],3,FALSE),EffectName[],IFERROR(MATCH(UI!$B$1,EffectName[#Headers],0),2),FALSE),"")</f>
        <v/>
      </c>
      <c r="AA929" t="str">
        <f t="shared" si="104"/>
        <v/>
      </c>
      <c r="AB929">
        <v>0</v>
      </c>
      <c r="AC929" t="str">
        <f>IF(AB929&lt;&gt;0,VLOOKUP(VLOOKUP(AB929,Tbl_Effect[],3,FALSE),EffectName[],IFERROR(MATCH(UI!$B$1,EffectName[#Headers],0),2),FALSE),"")</f>
        <v/>
      </c>
    </row>
    <row r="930" spans="8:29" x14ac:dyDescent="0.4">
      <c r="H930" t="str">
        <f t="shared" si="98"/>
        <v>6611001-Unset (紅)</v>
      </c>
      <c r="I930">
        <v>6611001</v>
      </c>
      <c r="J930" t="str">
        <f>_xlfn.IFNA(IF(I930&lt;&gt;0,VLOOKUP(VLOOKUP(I930,Tbl_Equip[],2,FALSE),Tbl_Color[],IFERROR(MATCH(UI!$B$1,Tbl_Color[#Headers],0),2),FALSE),""),"Unset")</f>
        <v>紅</v>
      </c>
      <c r="K930" t="str">
        <f>_xlfn.IFNA(IF(I930&lt;&gt;0,VLOOKUP(I930,ItemText[],IFERROR(MATCH(UI!$B$1,ItemText[#Headers],0),2),FALSE),""),"Unset")</f>
        <v>Unset</v>
      </c>
      <c r="L930" t="str">
        <f t="shared" si="99"/>
        <v/>
      </c>
      <c r="M930">
        <v>0</v>
      </c>
      <c r="N930" t="str">
        <f>IF(VALUE(M930)=0,"",VLOOKUP(VLOOKUP(M930,Tbl_Effect[],3,FALSE),EffectName[],IFERROR(MATCH(UI!$B$1,EffectName[#Headers],0),2),FALSE))</f>
        <v/>
      </c>
      <c r="O930" t="str">
        <f t="shared" si="100"/>
        <v/>
      </c>
      <c r="P930">
        <v>0</v>
      </c>
      <c r="Q930" t="str">
        <f>IF(VALUE(P930)=0,"",VLOOKUP(VLOOKUP(P930,Tbl_Effect[],3,FALSE),EffectName[],IFERROR(MATCH(UI!$B$1,EffectName[#Headers],0),2),FALSE))</f>
        <v/>
      </c>
      <c r="R930" t="str">
        <f t="shared" si="101"/>
        <v/>
      </c>
      <c r="S930">
        <v>0</v>
      </c>
      <c r="T930" t="str">
        <f>IF(VALUE(S930)=0,"",VLOOKUP(VLOOKUP(S930,Tbl_Effect[],3,FALSE),EffectName[],IFERROR(MATCH(UI!$B$1,EffectName[#Headers],0),2),FALSE))</f>
        <v/>
      </c>
      <c r="U930" t="str">
        <f t="shared" si="102"/>
        <v/>
      </c>
      <c r="V930">
        <v>0</v>
      </c>
      <c r="W930" t="str">
        <f>IF(V930&lt;&gt;0,VLOOKUP(VLOOKUP(V930,Tbl_Effect[],3,FALSE),EffectName[],IFERROR(MATCH(UI!$B$1,EffectName[#Headers],0),2),FALSE),"")</f>
        <v/>
      </c>
      <c r="X930" t="str">
        <f t="shared" si="103"/>
        <v/>
      </c>
      <c r="Y930">
        <v>0</v>
      </c>
      <c r="Z930" t="str">
        <f>IF(Y930&lt;&gt;0,VLOOKUP(VLOOKUP(Y930,Tbl_Effect[],3,FALSE),EffectName[],IFERROR(MATCH(UI!$B$1,EffectName[#Headers],0),2),FALSE),"")</f>
        <v/>
      </c>
      <c r="AA930" t="str">
        <f t="shared" si="104"/>
        <v/>
      </c>
      <c r="AB930">
        <v>0</v>
      </c>
      <c r="AC930" t="str">
        <f>IF(AB930&lt;&gt;0,VLOOKUP(VLOOKUP(AB930,Tbl_Effect[],3,FALSE),EffectName[],IFERROR(MATCH(UI!$B$1,EffectName[#Headers],0),2),FALSE),"")</f>
        <v/>
      </c>
    </row>
    <row r="931" spans="8:29" x14ac:dyDescent="0.4">
      <c r="H931" t="str">
        <f t="shared" si="98"/>
        <v>6611002-Unset (紅)</v>
      </c>
      <c r="I931">
        <v>6611002</v>
      </c>
      <c r="J931" t="str">
        <f>_xlfn.IFNA(IF(I931&lt;&gt;0,VLOOKUP(VLOOKUP(I931,Tbl_Equip[],2,FALSE),Tbl_Color[],IFERROR(MATCH(UI!$B$1,Tbl_Color[#Headers],0),2),FALSE),""),"Unset")</f>
        <v>紅</v>
      </c>
      <c r="K931" t="str">
        <f>_xlfn.IFNA(IF(I931&lt;&gt;0,VLOOKUP(I931,ItemText[],IFERROR(MATCH(UI!$B$1,ItemText[#Headers],0),2),FALSE),""),"Unset")</f>
        <v>Unset</v>
      </c>
      <c r="L931" t="str">
        <f t="shared" si="99"/>
        <v/>
      </c>
      <c r="M931">
        <v>0</v>
      </c>
      <c r="N931" t="str">
        <f>IF(VALUE(M931)=0,"",VLOOKUP(VLOOKUP(M931,Tbl_Effect[],3,FALSE),EffectName[],IFERROR(MATCH(UI!$B$1,EffectName[#Headers],0),2),FALSE))</f>
        <v/>
      </c>
      <c r="O931" t="str">
        <f t="shared" si="100"/>
        <v/>
      </c>
      <c r="P931">
        <v>0</v>
      </c>
      <c r="Q931" t="str">
        <f>IF(VALUE(P931)=0,"",VLOOKUP(VLOOKUP(P931,Tbl_Effect[],3,FALSE),EffectName[],IFERROR(MATCH(UI!$B$1,EffectName[#Headers],0),2),FALSE))</f>
        <v/>
      </c>
      <c r="R931" t="str">
        <f t="shared" si="101"/>
        <v/>
      </c>
      <c r="S931">
        <v>0</v>
      </c>
      <c r="T931" t="str">
        <f>IF(VALUE(S931)=0,"",VLOOKUP(VLOOKUP(S931,Tbl_Effect[],3,FALSE),EffectName[],IFERROR(MATCH(UI!$B$1,EffectName[#Headers],0),2),FALSE))</f>
        <v/>
      </c>
      <c r="U931" t="str">
        <f t="shared" si="102"/>
        <v/>
      </c>
      <c r="V931">
        <v>0</v>
      </c>
      <c r="W931" t="str">
        <f>IF(V931&lt;&gt;0,VLOOKUP(VLOOKUP(V931,Tbl_Effect[],3,FALSE),EffectName[],IFERROR(MATCH(UI!$B$1,EffectName[#Headers],0),2),FALSE),"")</f>
        <v/>
      </c>
      <c r="X931" t="str">
        <f t="shared" si="103"/>
        <v/>
      </c>
      <c r="Y931">
        <v>0</v>
      </c>
      <c r="Z931" t="str">
        <f>IF(Y931&lt;&gt;0,VLOOKUP(VLOOKUP(Y931,Tbl_Effect[],3,FALSE),EffectName[],IFERROR(MATCH(UI!$B$1,EffectName[#Headers],0),2),FALSE),"")</f>
        <v/>
      </c>
      <c r="AA931" t="str">
        <f t="shared" si="104"/>
        <v/>
      </c>
      <c r="AB931">
        <v>0</v>
      </c>
      <c r="AC931" t="str">
        <f>IF(AB931&lt;&gt;0,VLOOKUP(VLOOKUP(AB931,Tbl_Effect[],3,FALSE),EffectName[],IFERROR(MATCH(UI!$B$1,EffectName[#Headers],0),2),FALSE),"")</f>
        <v/>
      </c>
    </row>
    <row r="932" spans="8:29" x14ac:dyDescent="0.4">
      <c r="H932" t="str">
        <f t="shared" si="98"/>
        <v>6611100-Unset (紅)</v>
      </c>
      <c r="I932">
        <v>6611100</v>
      </c>
      <c r="J932" t="str">
        <f>_xlfn.IFNA(IF(I932&lt;&gt;0,VLOOKUP(VLOOKUP(I932,Tbl_Equip[],2,FALSE),Tbl_Color[],IFERROR(MATCH(UI!$B$1,Tbl_Color[#Headers],0),2),FALSE),""),"Unset")</f>
        <v>紅</v>
      </c>
      <c r="K932" t="str">
        <f>_xlfn.IFNA(IF(I932&lt;&gt;0,VLOOKUP(I932,ItemText[],IFERROR(MATCH(UI!$B$1,ItemText[#Headers],0),2),FALSE),""),"Unset")</f>
        <v>Unset</v>
      </c>
      <c r="L932" t="str">
        <f t="shared" si="99"/>
        <v/>
      </c>
      <c r="M932">
        <v>0</v>
      </c>
      <c r="N932" t="str">
        <f>IF(VALUE(M932)=0,"",VLOOKUP(VLOOKUP(M932,Tbl_Effect[],3,FALSE),EffectName[],IFERROR(MATCH(UI!$B$1,EffectName[#Headers],0),2),FALSE))</f>
        <v/>
      </c>
      <c r="O932" t="str">
        <f t="shared" si="100"/>
        <v/>
      </c>
      <c r="P932">
        <v>0</v>
      </c>
      <c r="Q932" t="str">
        <f>IF(VALUE(P932)=0,"",VLOOKUP(VLOOKUP(P932,Tbl_Effect[],3,FALSE),EffectName[],IFERROR(MATCH(UI!$B$1,EffectName[#Headers],0),2),FALSE))</f>
        <v/>
      </c>
      <c r="R932" t="str">
        <f t="shared" si="101"/>
        <v/>
      </c>
      <c r="S932">
        <v>0</v>
      </c>
      <c r="T932" t="str">
        <f>IF(VALUE(S932)=0,"",VLOOKUP(VLOOKUP(S932,Tbl_Effect[],3,FALSE),EffectName[],IFERROR(MATCH(UI!$B$1,EffectName[#Headers],0),2),FALSE))</f>
        <v/>
      </c>
      <c r="U932" t="str">
        <f t="shared" si="102"/>
        <v/>
      </c>
      <c r="V932">
        <v>0</v>
      </c>
      <c r="W932" t="str">
        <f>IF(V932&lt;&gt;0,VLOOKUP(VLOOKUP(V932,Tbl_Effect[],3,FALSE),EffectName[],IFERROR(MATCH(UI!$B$1,EffectName[#Headers],0),2),FALSE),"")</f>
        <v/>
      </c>
      <c r="X932" t="str">
        <f t="shared" si="103"/>
        <v/>
      </c>
      <c r="Y932">
        <v>0</v>
      </c>
      <c r="Z932" t="str">
        <f>IF(Y932&lt;&gt;0,VLOOKUP(VLOOKUP(Y932,Tbl_Effect[],3,FALSE),EffectName[],IFERROR(MATCH(UI!$B$1,EffectName[#Headers],0),2),FALSE),"")</f>
        <v/>
      </c>
      <c r="AA932" t="str">
        <f t="shared" si="104"/>
        <v/>
      </c>
      <c r="AB932">
        <v>0</v>
      </c>
      <c r="AC932" t="str">
        <f>IF(AB932&lt;&gt;0,VLOOKUP(VLOOKUP(AB932,Tbl_Effect[],3,FALSE),EffectName[],IFERROR(MATCH(UI!$B$1,EffectName[#Headers],0),2),FALSE),"")</f>
        <v/>
      </c>
    </row>
    <row r="933" spans="8:29" x14ac:dyDescent="0.4">
      <c r="H933" t="str">
        <f t="shared" si="98"/>
        <v>6611101-Unset (紅)</v>
      </c>
      <c r="I933">
        <v>6611101</v>
      </c>
      <c r="J933" t="str">
        <f>_xlfn.IFNA(IF(I933&lt;&gt;0,VLOOKUP(VLOOKUP(I933,Tbl_Equip[],2,FALSE),Tbl_Color[],IFERROR(MATCH(UI!$B$1,Tbl_Color[#Headers],0),2),FALSE),""),"Unset")</f>
        <v>紅</v>
      </c>
      <c r="K933" t="str">
        <f>_xlfn.IFNA(IF(I933&lt;&gt;0,VLOOKUP(I933,ItemText[],IFERROR(MATCH(UI!$B$1,ItemText[#Headers],0),2),FALSE),""),"Unset")</f>
        <v>Unset</v>
      </c>
      <c r="L933" t="str">
        <f t="shared" si="99"/>
        <v/>
      </c>
      <c r="M933">
        <v>0</v>
      </c>
      <c r="N933" t="str">
        <f>IF(VALUE(M933)=0,"",VLOOKUP(VLOOKUP(M933,Tbl_Effect[],3,FALSE),EffectName[],IFERROR(MATCH(UI!$B$1,EffectName[#Headers],0),2),FALSE))</f>
        <v/>
      </c>
      <c r="O933" t="str">
        <f t="shared" si="100"/>
        <v/>
      </c>
      <c r="P933">
        <v>0</v>
      </c>
      <c r="Q933" t="str">
        <f>IF(VALUE(P933)=0,"",VLOOKUP(VLOOKUP(P933,Tbl_Effect[],3,FALSE),EffectName[],IFERROR(MATCH(UI!$B$1,EffectName[#Headers],0),2),FALSE))</f>
        <v/>
      </c>
      <c r="R933" t="str">
        <f t="shared" si="101"/>
        <v/>
      </c>
      <c r="S933">
        <v>0</v>
      </c>
      <c r="T933" t="str">
        <f>IF(VALUE(S933)=0,"",VLOOKUP(VLOOKUP(S933,Tbl_Effect[],3,FALSE),EffectName[],IFERROR(MATCH(UI!$B$1,EffectName[#Headers],0),2),FALSE))</f>
        <v/>
      </c>
      <c r="U933" t="str">
        <f t="shared" si="102"/>
        <v/>
      </c>
      <c r="V933">
        <v>0</v>
      </c>
      <c r="W933" t="str">
        <f>IF(V933&lt;&gt;0,VLOOKUP(VLOOKUP(V933,Tbl_Effect[],3,FALSE),EffectName[],IFERROR(MATCH(UI!$B$1,EffectName[#Headers],0),2),FALSE),"")</f>
        <v/>
      </c>
      <c r="X933" t="str">
        <f t="shared" si="103"/>
        <v/>
      </c>
      <c r="Y933">
        <v>0</v>
      </c>
      <c r="Z933" t="str">
        <f>IF(Y933&lt;&gt;0,VLOOKUP(VLOOKUP(Y933,Tbl_Effect[],3,FALSE),EffectName[],IFERROR(MATCH(UI!$B$1,EffectName[#Headers],0),2),FALSE),"")</f>
        <v/>
      </c>
      <c r="AA933" t="str">
        <f t="shared" si="104"/>
        <v/>
      </c>
      <c r="AB933">
        <v>0</v>
      </c>
      <c r="AC933" t="str">
        <f>IF(AB933&lt;&gt;0,VLOOKUP(VLOOKUP(AB933,Tbl_Effect[],3,FALSE),EffectName[],IFERROR(MATCH(UI!$B$1,EffectName[#Headers],0),2),FALSE),"")</f>
        <v/>
      </c>
    </row>
    <row r="934" spans="8:29" x14ac:dyDescent="0.4">
      <c r="H934" t="str">
        <f t="shared" si="98"/>
        <v>6611102-Unset (紅)</v>
      </c>
      <c r="I934">
        <v>6611102</v>
      </c>
      <c r="J934" t="str">
        <f>_xlfn.IFNA(IF(I934&lt;&gt;0,VLOOKUP(VLOOKUP(I934,Tbl_Equip[],2,FALSE),Tbl_Color[],IFERROR(MATCH(UI!$B$1,Tbl_Color[#Headers],0),2),FALSE),""),"Unset")</f>
        <v>紅</v>
      </c>
      <c r="K934" t="str">
        <f>_xlfn.IFNA(IF(I934&lt;&gt;0,VLOOKUP(I934,ItemText[],IFERROR(MATCH(UI!$B$1,ItemText[#Headers],0),2),FALSE),""),"Unset")</f>
        <v>Unset</v>
      </c>
      <c r="L934" t="str">
        <f t="shared" si="99"/>
        <v/>
      </c>
      <c r="M934">
        <v>0</v>
      </c>
      <c r="N934" t="str">
        <f>IF(VALUE(M934)=0,"",VLOOKUP(VLOOKUP(M934,Tbl_Effect[],3,FALSE),EffectName[],IFERROR(MATCH(UI!$B$1,EffectName[#Headers],0),2),FALSE))</f>
        <v/>
      </c>
      <c r="O934" t="str">
        <f t="shared" si="100"/>
        <v/>
      </c>
      <c r="P934">
        <v>0</v>
      </c>
      <c r="Q934" t="str">
        <f>IF(VALUE(P934)=0,"",VLOOKUP(VLOOKUP(P934,Tbl_Effect[],3,FALSE),EffectName[],IFERROR(MATCH(UI!$B$1,EffectName[#Headers],0),2),FALSE))</f>
        <v/>
      </c>
      <c r="R934" t="str">
        <f t="shared" si="101"/>
        <v/>
      </c>
      <c r="S934">
        <v>0</v>
      </c>
      <c r="T934" t="str">
        <f>IF(VALUE(S934)=0,"",VLOOKUP(VLOOKUP(S934,Tbl_Effect[],3,FALSE),EffectName[],IFERROR(MATCH(UI!$B$1,EffectName[#Headers],0),2),FALSE))</f>
        <v/>
      </c>
      <c r="U934" t="str">
        <f t="shared" si="102"/>
        <v/>
      </c>
      <c r="V934">
        <v>0</v>
      </c>
      <c r="W934" t="str">
        <f>IF(V934&lt;&gt;0,VLOOKUP(VLOOKUP(V934,Tbl_Effect[],3,FALSE),EffectName[],IFERROR(MATCH(UI!$B$1,EffectName[#Headers],0),2),FALSE),"")</f>
        <v/>
      </c>
      <c r="X934" t="str">
        <f t="shared" si="103"/>
        <v/>
      </c>
      <c r="Y934">
        <v>0</v>
      </c>
      <c r="Z934" t="str">
        <f>IF(Y934&lt;&gt;0,VLOOKUP(VLOOKUP(Y934,Tbl_Effect[],3,FALSE),EffectName[],IFERROR(MATCH(UI!$B$1,EffectName[#Headers],0),2),FALSE),"")</f>
        <v/>
      </c>
      <c r="AA934" t="str">
        <f t="shared" si="104"/>
        <v/>
      </c>
      <c r="AB934">
        <v>0</v>
      </c>
      <c r="AC934" t="str">
        <f>IF(AB934&lt;&gt;0,VLOOKUP(VLOOKUP(AB934,Tbl_Effect[],3,FALSE),EffectName[],IFERROR(MATCH(UI!$B$1,EffectName[#Headers],0),2),FALSE),"")</f>
        <v/>
      </c>
    </row>
    <row r="935" spans="8:29" x14ac:dyDescent="0.4">
      <c r="H935" t="str">
        <f t="shared" si="98"/>
        <v>6611200-Unset (紅)</v>
      </c>
      <c r="I935">
        <v>6611200</v>
      </c>
      <c r="J935" t="str">
        <f>_xlfn.IFNA(IF(I935&lt;&gt;0,VLOOKUP(VLOOKUP(I935,Tbl_Equip[],2,FALSE),Tbl_Color[],IFERROR(MATCH(UI!$B$1,Tbl_Color[#Headers],0),2),FALSE),""),"Unset")</f>
        <v>紅</v>
      </c>
      <c r="K935" t="str">
        <f>_xlfn.IFNA(IF(I935&lt;&gt;0,VLOOKUP(I935,ItemText[],IFERROR(MATCH(UI!$B$1,ItemText[#Headers],0),2),FALSE),""),"Unset")</f>
        <v>Unset</v>
      </c>
      <c r="L935" t="str">
        <f t="shared" si="99"/>
        <v/>
      </c>
      <c r="M935">
        <v>0</v>
      </c>
      <c r="N935" t="str">
        <f>IF(VALUE(M935)=0,"",VLOOKUP(VLOOKUP(M935,Tbl_Effect[],3,FALSE),EffectName[],IFERROR(MATCH(UI!$B$1,EffectName[#Headers],0),2),FALSE))</f>
        <v/>
      </c>
      <c r="O935" t="str">
        <f t="shared" si="100"/>
        <v/>
      </c>
      <c r="P935">
        <v>0</v>
      </c>
      <c r="Q935" t="str">
        <f>IF(VALUE(P935)=0,"",VLOOKUP(VLOOKUP(P935,Tbl_Effect[],3,FALSE),EffectName[],IFERROR(MATCH(UI!$B$1,EffectName[#Headers],0),2),FALSE))</f>
        <v/>
      </c>
      <c r="R935" t="str">
        <f t="shared" si="101"/>
        <v/>
      </c>
      <c r="S935">
        <v>0</v>
      </c>
      <c r="T935" t="str">
        <f>IF(VALUE(S935)=0,"",VLOOKUP(VLOOKUP(S935,Tbl_Effect[],3,FALSE),EffectName[],IFERROR(MATCH(UI!$B$1,EffectName[#Headers],0),2),FALSE))</f>
        <v/>
      </c>
      <c r="U935" t="str">
        <f t="shared" si="102"/>
        <v/>
      </c>
      <c r="V935">
        <v>0</v>
      </c>
      <c r="W935" t="str">
        <f>IF(V935&lt;&gt;0,VLOOKUP(VLOOKUP(V935,Tbl_Effect[],3,FALSE),EffectName[],IFERROR(MATCH(UI!$B$1,EffectName[#Headers],0),2),FALSE),"")</f>
        <v/>
      </c>
      <c r="X935" t="str">
        <f t="shared" si="103"/>
        <v/>
      </c>
      <c r="Y935">
        <v>0</v>
      </c>
      <c r="Z935" t="str">
        <f>IF(Y935&lt;&gt;0,VLOOKUP(VLOOKUP(Y935,Tbl_Effect[],3,FALSE),EffectName[],IFERROR(MATCH(UI!$B$1,EffectName[#Headers],0),2),FALSE),"")</f>
        <v/>
      </c>
      <c r="AA935" t="str">
        <f t="shared" si="104"/>
        <v/>
      </c>
      <c r="AB935">
        <v>0</v>
      </c>
      <c r="AC935" t="str">
        <f>IF(AB935&lt;&gt;0,VLOOKUP(VLOOKUP(AB935,Tbl_Effect[],3,FALSE),EffectName[],IFERROR(MATCH(UI!$B$1,EffectName[#Headers],0),2),FALSE),"")</f>
        <v/>
      </c>
    </row>
    <row r="936" spans="8:29" x14ac:dyDescent="0.4">
      <c r="H936" t="str">
        <f t="shared" si="98"/>
        <v>6611201-Unset (紅)</v>
      </c>
      <c r="I936">
        <v>6611201</v>
      </c>
      <c r="J936" t="str">
        <f>_xlfn.IFNA(IF(I936&lt;&gt;0,VLOOKUP(VLOOKUP(I936,Tbl_Equip[],2,FALSE),Tbl_Color[],IFERROR(MATCH(UI!$B$1,Tbl_Color[#Headers],0),2),FALSE),""),"Unset")</f>
        <v>紅</v>
      </c>
      <c r="K936" t="str">
        <f>_xlfn.IFNA(IF(I936&lt;&gt;0,VLOOKUP(I936,ItemText[],IFERROR(MATCH(UI!$B$1,ItemText[#Headers],0),2),FALSE),""),"Unset")</f>
        <v>Unset</v>
      </c>
      <c r="L936" t="str">
        <f t="shared" si="99"/>
        <v/>
      </c>
      <c r="M936">
        <v>0</v>
      </c>
      <c r="N936" t="str">
        <f>IF(VALUE(M936)=0,"",VLOOKUP(VLOOKUP(M936,Tbl_Effect[],3,FALSE),EffectName[],IFERROR(MATCH(UI!$B$1,EffectName[#Headers],0),2),FALSE))</f>
        <v/>
      </c>
      <c r="O936" t="str">
        <f t="shared" si="100"/>
        <v/>
      </c>
      <c r="P936">
        <v>0</v>
      </c>
      <c r="Q936" t="str">
        <f>IF(VALUE(P936)=0,"",VLOOKUP(VLOOKUP(P936,Tbl_Effect[],3,FALSE),EffectName[],IFERROR(MATCH(UI!$B$1,EffectName[#Headers],0),2),FALSE))</f>
        <v/>
      </c>
      <c r="R936" t="str">
        <f t="shared" si="101"/>
        <v/>
      </c>
      <c r="S936">
        <v>0</v>
      </c>
      <c r="T936" t="str">
        <f>IF(VALUE(S936)=0,"",VLOOKUP(VLOOKUP(S936,Tbl_Effect[],3,FALSE),EffectName[],IFERROR(MATCH(UI!$B$1,EffectName[#Headers],0),2),FALSE))</f>
        <v/>
      </c>
      <c r="U936" t="str">
        <f t="shared" si="102"/>
        <v/>
      </c>
      <c r="V936">
        <v>0</v>
      </c>
      <c r="W936" t="str">
        <f>IF(V936&lt;&gt;0,VLOOKUP(VLOOKUP(V936,Tbl_Effect[],3,FALSE),EffectName[],IFERROR(MATCH(UI!$B$1,EffectName[#Headers],0),2),FALSE),"")</f>
        <v/>
      </c>
      <c r="X936" t="str">
        <f t="shared" si="103"/>
        <v/>
      </c>
      <c r="Y936">
        <v>0</v>
      </c>
      <c r="Z936" t="str">
        <f>IF(Y936&lt;&gt;0,VLOOKUP(VLOOKUP(Y936,Tbl_Effect[],3,FALSE),EffectName[],IFERROR(MATCH(UI!$B$1,EffectName[#Headers],0),2),FALSE),"")</f>
        <v/>
      </c>
      <c r="AA936" t="str">
        <f t="shared" si="104"/>
        <v/>
      </c>
      <c r="AB936">
        <v>0</v>
      </c>
      <c r="AC936" t="str">
        <f>IF(AB936&lt;&gt;0,VLOOKUP(VLOOKUP(AB936,Tbl_Effect[],3,FALSE),EffectName[],IFERROR(MATCH(UI!$B$1,EffectName[#Headers],0),2),FALSE),"")</f>
        <v/>
      </c>
    </row>
    <row r="937" spans="8:29" x14ac:dyDescent="0.4">
      <c r="H937" t="str">
        <f t="shared" si="98"/>
        <v>6611202-Unset (紅)</v>
      </c>
      <c r="I937">
        <v>6611202</v>
      </c>
      <c r="J937" t="str">
        <f>_xlfn.IFNA(IF(I937&lt;&gt;0,VLOOKUP(VLOOKUP(I937,Tbl_Equip[],2,FALSE),Tbl_Color[],IFERROR(MATCH(UI!$B$1,Tbl_Color[#Headers],0),2),FALSE),""),"Unset")</f>
        <v>紅</v>
      </c>
      <c r="K937" t="str">
        <f>_xlfn.IFNA(IF(I937&lt;&gt;0,VLOOKUP(I937,ItemText[],IFERROR(MATCH(UI!$B$1,ItemText[#Headers],0),2),FALSE),""),"Unset")</f>
        <v>Unset</v>
      </c>
      <c r="L937" t="str">
        <f t="shared" si="99"/>
        <v/>
      </c>
      <c r="M937">
        <v>0</v>
      </c>
      <c r="N937" t="str">
        <f>IF(VALUE(M937)=0,"",VLOOKUP(VLOOKUP(M937,Tbl_Effect[],3,FALSE),EffectName[],IFERROR(MATCH(UI!$B$1,EffectName[#Headers],0),2),FALSE))</f>
        <v/>
      </c>
      <c r="O937" t="str">
        <f t="shared" si="100"/>
        <v/>
      </c>
      <c r="P937">
        <v>0</v>
      </c>
      <c r="Q937" t="str">
        <f>IF(VALUE(P937)=0,"",VLOOKUP(VLOOKUP(P937,Tbl_Effect[],3,FALSE),EffectName[],IFERROR(MATCH(UI!$B$1,EffectName[#Headers],0),2),FALSE))</f>
        <v/>
      </c>
      <c r="R937" t="str">
        <f t="shared" si="101"/>
        <v/>
      </c>
      <c r="S937">
        <v>0</v>
      </c>
      <c r="T937" t="str">
        <f>IF(VALUE(S937)=0,"",VLOOKUP(VLOOKUP(S937,Tbl_Effect[],3,FALSE),EffectName[],IFERROR(MATCH(UI!$B$1,EffectName[#Headers],0),2),FALSE))</f>
        <v/>
      </c>
      <c r="U937" t="str">
        <f t="shared" si="102"/>
        <v/>
      </c>
      <c r="V937">
        <v>0</v>
      </c>
      <c r="W937" t="str">
        <f>IF(V937&lt;&gt;0,VLOOKUP(VLOOKUP(V937,Tbl_Effect[],3,FALSE),EffectName[],IFERROR(MATCH(UI!$B$1,EffectName[#Headers],0),2),FALSE),"")</f>
        <v/>
      </c>
      <c r="X937" t="str">
        <f t="shared" si="103"/>
        <v/>
      </c>
      <c r="Y937">
        <v>0</v>
      </c>
      <c r="Z937" t="str">
        <f>IF(Y937&lt;&gt;0,VLOOKUP(VLOOKUP(Y937,Tbl_Effect[],3,FALSE),EffectName[],IFERROR(MATCH(UI!$B$1,EffectName[#Headers],0),2),FALSE),"")</f>
        <v/>
      </c>
      <c r="AA937" t="str">
        <f t="shared" si="104"/>
        <v/>
      </c>
      <c r="AB937">
        <v>0</v>
      </c>
      <c r="AC937" t="str">
        <f>IF(AB937&lt;&gt;0,VLOOKUP(VLOOKUP(AB937,Tbl_Effect[],3,FALSE),EffectName[],IFERROR(MATCH(UI!$B$1,EffectName[#Headers],0),2),FALSE),"")</f>
        <v/>
      </c>
    </row>
    <row r="938" spans="8:29" x14ac:dyDescent="0.4">
      <c r="H938" t="str">
        <f t="shared" si="98"/>
        <v>6611300-Unset (紅)</v>
      </c>
      <c r="I938">
        <v>6611300</v>
      </c>
      <c r="J938" t="str">
        <f>_xlfn.IFNA(IF(I938&lt;&gt;0,VLOOKUP(VLOOKUP(I938,Tbl_Equip[],2,FALSE),Tbl_Color[],IFERROR(MATCH(UI!$B$1,Tbl_Color[#Headers],0),2),FALSE),""),"Unset")</f>
        <v>紅</v>
      </c>
      <c r="K938" t="str">
        <f>_xlfn.IFNA(IF(I938&lt;&gt;0,VLOOKUP(I938,ItemText[],IFERROR(MATCH(UI!$B$1,ItemText[#Headers],0),2),FALSE),""),"Unset")</f>
        <v>Unset</v>
      </c>
      <c r="L938" t="str">
        <f t="shared" si="99"/>
        <v/>
      </c>
      <c r="M938">
        <v>0</v>
      </c>
      <c r="N938" t="str">
        <f>IF(VALUE(M938)=0,"",VLOOKUP(VLOOKUP(M938,Tbl_Effect[],3,FALSE),EffectName[],IFERROR(MATCH(UI!$B$1,EffectName[#Headers],0),2),FALSE))</f>
        <v/>
      </c>
      <c r="O938" t="str">
        <f t="shared" si="100"/>
        <v/>
      </c>
      <c r="P938">
        <v>0</v>
      </c>
      <c r="Q938" t="str">
        <f>IF(VALUE(P938)=0,"",VLOOKUP(VLOOKUP(P938,Tbl_Effect[],3,FALSE),EffectName[],IFERROR(MATCH(UI!$B$1,EffectName[#Headers],0),2),FALSE))</f>
        <v/>
      </c>
      <c r="R938" t="str">
        <f t="shared" si="101"/>
        <v/>
      </c>
      <c r="S938">
        <v>0</v>
      </c>
      <c r="T938" t="str">
        <f>IF(VALUE(S938)=0,"",VLOOKUP(VLOOKUP(S938,Tbl_Effect[],3,FALSE),EffectName[],IFERROR(MATCH(UI!$B$1,EffectName[#Headers],0),2),FALSE))</f>
        <v/>
      </c>
      <c r="U938" t="str">
        <f t="shared" si="102"/>
        <v/>
      </c>
      <c r="V938">
        <v>0</v>
      </c>
      <c r="W938" t="str">
        <f>IF(V938&lt;&gt;0,VLOOKUP(VLOOKUP(V938,Tbl_Effect[],3,FALSE),EffectName[],IFERROR(MATCH(UI!$B$1,EffectName[#Headers],0),2),FALSE),"")</f>
        <v/>
      </c>
      <c r="X938" t="str">
        <f t="shared" si="103"/>
        <v/>
      </c>
      <c r="Y938">
        <v>0</v>
      </c>
      <c r="Z938" t="str">
        <f>IF(Y938&lt;&gt;0,VLOOKUP(VLOOKUP(Y938,Tbl_Effect[],3,FALSE),EffectName[],IFERROR(MATCH(UI!$B$1,EffectName[#Headers],0),2),FALSE),"")</f>
        <v/>
      </c>
      <c r="AA938" t="str">
        <f t="shared" si="104"/>
        <v/>
      </c>
      <c r="AB938">
        <v>0</v>
      </c>
      <c r="AC938" t="str">
        <f>IF(AB938&lt;&gt;0,VLOOKUP(VLOOKUP(AB938,Tbl_Effect[],3,FALSE),EffectName[],IFERROR(MATCH(UI!$B$1,EffectName[#Headers],0),2),FALSE),"")</f>
        <v/>
      </c>
    </row>
    <row r="939" spans="8:29" x14ac:dyDescent="0.4">
      <c r="H939" t="str">
        <f t="shared" si="98"/>
        <v>6611301-Unset (紅)</v>
      </c>
      <c r="I939">
        <v>6611301</v>
      </c>
      <c r="J939" t="str">
        <f>_xlfn.IFNA(IF(I939&lt;&gt;0,VLOOKUP(VLOOKUP(I939,Tbl_Equip[],2,FALSE),Tbl_Color[],IFERROR(MATCH(UI!$B$1,Tbl_Color[#Headers],0),2),FALSE),""),"Unset")</f>
        <v>紅</v>
      </c>
      <c r="K939" t="str">
        <f>_xlfn.IFNA(IF(I939&lt;&gt;0,VLOOKUP(I939,ItemText[],IFERROR(MATCH(UI!$B$1,ItemText[#Headers],0),2),FALSE),""),"Unset")</f>
        <v>Unset</v>
      </c>
      <c r="L939" t="str">
        <f t="shared" si="99"/>
        <v/>
      </c>
      <c r="M939">
        <v>0</v>
      </c>
      <c r="N939" t="str">
        <f>IF(VALUE(M939)=0,"",VLOOKUP(VLOOKUP(M939,Tbl_Effect[],3,FALSE),EffectName[],IFERROR(MATCH(UI!$B$1,EffectName[#Headers],0),2),FALSE))</f>
        <v/>
      </c>
      <c r="O939" t="str">
        <f t="shared" si="100"/>
        <v/>
      </c>
      <c r="P939">
        <v>0</v>
      </c>
      <c r="Q939" t="str">
        <f>IF(VALUE(P939)=0,"",VLOOKUP(VLOOKUP(P939,Tbl_Effect[],3,FALSE),EffectName[],IFERROR(MATCH(UI!$B$1,EffectName[#Headers],0),2),FALSE))</f>
        <v/>
      </c>
      <c r="R939" t="str">
        <f t="shared" si="101"/>
        <v/>
      </c>
      <c r="S939">
        <v>0</v>
      </c>
      <c r="T939" t="str">
        <f>IF(VALUE(S939)=0,"",VLOOKUP(VLOOKUP(S939,Tbl_Effect[],3,FALSE),EffectName[],IFERROR(MATCH(UI!$B$1,EffectName[#Headers],0),2),FALSE))</f>
        <v/>
      </c>
      <c r="U939" t="str">
        <f t="shared" si="102"/>
        <v/>
      </c>
      <c r="V939">
        <v>0</v>
      </c>
      <c r="W939" t="str">
        <f>IF(V939&lt;&gt;0,VLOOKUP(VLOOKUP(V939,Tbl_Effect[],3,FALSE),EffectName[],IFERROR(MATCH(UI!$B$1,EffectName[#Headers],0),2),FALSE),"")</f>
        <v/>
      </c>
      <c r="X939" t="str">
        <f t="shared" si="103"/>
        <v/>
      </c>
      <c r="Y939">
        <v>0</v>
      </c>
      <c r="Z939" t="str">
        <f>IF(Y939&lt;&gt;0,VLOOKUP(VLOOKUP(Y939,Tbl_Effect[],3,FALSE),EffectName[],IFERROR(MATCH(UI!$B$1,EffectName[#Headers],0),2),FALSE),"")</f>
        <v/>
      </c>
      <c r="AA939" t="str">
        <f t="shared" si="104"/>
        <v/>
      </c>
      <c r="AB939">
        <v>0</v>
      </c>
      <c r="AC939" t="str">
        <f>IF(AB939&lt;&gt;0,VLOOKUP(VLOOKUP(AB939,Tbl_Effect[],3,FALSE),EffectName[],IFERROR(MATCH(UI!$B$1,EffectName[#Headers],0),2),FALSE),"")</f>
        <v/>
      </c>
    </row>
    <row r="940" spans="8:29" x14ac:dyDescent="0.4">
      <c r="H940" t="str">
        <f t="shared" si="98"/>
        <v>6611302-Unset (紅)</v>
      </c>
      <c r="I940">
        <v>6611302</v>
      </c>
      <c r="J940" t="str">
        <f>_xlfn.IFNA(IF(I940&lt;&gt;0,VLOOKUP(VLOOKUP(I940,Tbl_Equip[],2,FALSE),Tbl_Color[],IFERROR(MATCH(UI!$B$1,Tbl_Color[#Headers],0),2),FALSE),""),"Unset")</f>
        <v>紅</v>
      </c>
      <c r="K940" t="str">
        <f>_xlfn.IFNA(IF(I940&lt;&gt;0,VLOOKUP(I940,ItemText[],IFERROR(MATCH(UI!$B$1,ItemText[#Headers],0),2),FALSE),""),"Unset")</f>
        <v>Unset</v>
      </c>
      <c r="L940" t="str">
        <f t="shared" si="99"/>
        <v/>
      </c>
      <c r="M940">
        <v>0</v>
      </c>
      <c r="N940" t="str">
        <f>IF(VALUE(M940)=0,"",VLOOKUP(VLOOKUP(M940,Tbl_Effect[],3,FALSE),EffectName[],IFERROR(MATCH(UI!$B$1,EffectName[#Headers],0),2),FALSE))</f>
        <v/>
      </c>
      <c r="O940" t="str">
        <f t="shared" si="100"/>
        <v/>
      </c>
      <c r="P940">
        <v>0</v>
      </c>
      <c r="Q940" t="str">
        <f>IF(VALUE(P940)=0,"",VLOOKUP(VLOOKUP(P940,Tbl_Effect[],3,FALSE),EffectName[],IFERROR(MATCH(UI!$B$1,EffectName[#Headers],0),2),FALSE))</f>
        <v/>
      </c>
      <c r="R940" t="str">
        <f t="shared" si="101"/>
        <v/>
      </c>
      <c r="S940">
        <v>0</v>
      </c>
      <c r="T940" t="str">
        <f>IF(VALUE(S940)=0,"",VLOOKUP(VLOOKUP(S940,Tbl_Effect[],3,FALSE),EffectName[],IFERROR(MATCH(UI!$B$1,EffectName[#Headers],0),2),FALSE))</f>
        <v/>
      </c>
      <c r="U940" t="str">
        <f t="shared" si="102"/>
        <v/>
      </c>
      <c r="V940">
        <v>0</v>
      </c>
      <c r="W940" t="str">
        <f>IF(V940&lt;&gt;0,VLOOKUP(VLOOKUP(V940,Tbl_Effect[],3,FALSE),EffectName[],IFERROR(MATCH(UI!$B$1,EffectName[#Headers],0),2),FALSE),"")</f>
        <v/>
      </c>
      <c r="X940" t="str">
        <f t="shared" si="103"/>
        <v/>
      </c>
      <c r="Y940">
        <v>0</v>
      </c>
      <c r="Z940" t="str">
        <f>IF(Y940&lt;&gt;0,VLOOKUP(VLOOKUP(Y940,Tbl_Effect[],3,FALSE),EffectName[],IFERROR(MATCH(UI!$B$1,EffectName[#Headers],0),2),FALSE),"")</f>
        <v/>
      </c>
      <c r="AA940" t="str">
        <f t="shared" si="104"/>
        <v/>
      </c>
      <c r="AB940">
        <v>0</v>
      </c>
      <c r="AC940" t="str">
        <f>IF(AB940&lt;&gt;0,VLOOKUP(VLOOKUP(AB940,Tbl_Effect[],3,FALSE),EffectName[],IFERROR(MATCH(UI!$B$1,EffectName[#Headers],0),2),FALSE),"")</f>
        <v/>
      </c>
    </row>
    <row r="941" spans="8:29" x14ac:dyDescent="0.4">
      <c r="H941" t="str">
        <f t="shared" si="98"/>
        <v>6611400-Unset (紅)</v>
      </c>
      <c r="I941">
        <v>6611400</v>
      </c>
      <c r="J941" t="str">
        <f>_xlfn.IFNA(IF(I941&lt;&gt;0,VLOOKUP(VLOOKUP(I941,Tbl_Equip[],2,FALSE),Tbl_Color[],IFERROR(MATCH(UI!$B$1,Tbl_Color[#Headers],0),2),FALSE),""),"Unset")</f>
        <v>紅</v>
      </c>
      <c r="K941" t="str">
        <f>_xlfn.IFNA(IF(I941&lt;&gt;0,VLOOKUP(I941,ItemText[],IFERROR(MATCH(UI!$B$1,ItemText[#Headers],0),2),FALSE),""),"Unset")</f>
        <v>Unset</v>
      </c>
      <c r="L941" t="str">
        <f t="shared" si="99"/>
        <v/>
      </c>
      <c r="M941">
        <v>0</v>
      </c>
      <c r="N941" t="str">
        <f>IF(VALUE(M941)=0,"",VLOOKUP(VLOOKUP(M941,Tbl_Effect[],3,FALSE),EffectName[],IFERROR(MATCH(UI!$B$1,EffectName[#Headers],0),2),FALSE))</f>
        <v/>
      </c>
      <c r="O941" t="str">
        <f t="shared" si="100"/>
        <v/>
      </c>
      <c r="P941">
        <v>0</v>
      </c>
      <c r="Q941" t="str">
        <f>IF(VALUE(P941)=0,"",VLOOKUP(VLOOKUP(P941,Tbl_Effect[],3,FALSE),EffectName[],IFERROR(MATCH(UI!$B$1,EffectName[#Headers],0),2),FALSE))</f>
        <v/>
      </c>
      <c r="R941" t="str">
        <f t="shared" si="101"/>
        <v/>
      </c>
      <c r="S941">
        <v>0</v>
      </c>
      <c r="T941" t="str">
        <f>IF(VALUE(S941)=0,"",VLOOKUP(VLOOKUP(S941,Tbl_Effect[],3,FALSE),EffectName[],IFERROR(MATCH(UI!$B$1,EffectName[#Headers],0),2),FALSE))</f>
        <v/>
      </c>
      <c r="U941" t="str">
        <f t="shared" si="102"/>
        <v/>
      </c>
      <c r="V941">
        <v>0</v>
      </c>
      <c r="W941" t="str">
        <f>IF(V941&lt;&gt;0,VLOOKUP(VLOOKUP(V941,Tbl_Effect[],3,FALSE),EffectName[],IFERROR(MATCH(UI!$B$1,EffectName[#Headers],0),2),FALSE),"")</f>
        <v/>
      </c>
      <c r="X941" t="str">
        <f t="shared" si="103"/>
        <v/>
      </c>
      <c r="Y941">
        <v>0</v>
      </c>
      <c r="Z941" t="str">
        <f>IF(Y941&lt;&gt;0,VLOOKUP(VLOOKUP(Y941,Tbl_Effect[],3,FALSE),EffectName[],IFERROR(MATCH(UI!$B$1,EffectName[#Headers],0),2),FALSE),"")</f>
        <v/>
      </c>
      <c r="AA941" t="str">
        <f t="shared" si="104"/>
        <v/>
      </c>
      <c r="AB941">
        <v>0</v>
      </c>
      <c r="AC941" t="str">
        <f>IF(AB941&lt;&gt;0,VLOOKUP(VLOOKUP(AB941,Tbl_Effect[],3,FALSE),EffectName[],IFERROR(MATCH(UI!$B$1,EffectName[#Headers],0),2),FALSE),"")</f>
        <v/>
      </c>
    </row>
    <row r="942" spans="8:29" x14ac:dyDescent="0.4">
      <c r="H942" t="str">
        <f t="shared" si="98"/>
        <v>6621000-Unset (紅)</v>
      </c>
      <c r="I942">
        <v>6621000</v>
      </c>
      <c r="J942" t="str">
        <f>_xlfn.IFNA(IF(I942&lt;&gt;0,VLOOKUP(VLOOKUP(I942,Tbl_Equip[],2,FALSE),Tbl_Color[],IFERROR(MATCH(UI!$B$1,Tbl_Color[#Headers],0),2),FALSE),""),"Unset")</f>
        <v>紅</v>
      </c>
      <c r="K942" t="str">
        <f>_xlfn.IFNA(IF(I942&lt;&gt;0,VLOOKUP(I942,ItemText[],IFERROR(MATCH(UI!$B$1,ItemText[#Headers],0),2),FALSE),""),"Unset")</f>
        <v>Unset</v>
      </c>
      <c r="L942" t="str">
        <f t="shared" si="99"/>
        <v/>
      </c>
      <c r="M942">
        <v>0</v>
      </c>
      <c r="N942" t="str">
        <f>IF(VALUE(M942)=0,"",VLOOKUP(VLOOKUP(M942,Tbl_Effect[],3,FALSE),EffectName[],IFERROR(MATCH(UI!$B$1,EffectName[#Headers],0),2),FALSE))</f>
        <v/>
      </c>
      <c r="O942" t="str">
        <f t="shared" si="100"/>
        <v/>
      </c>
      <c r="P942">
        <v>0</v>
      </c>
      <c r="Q942" t="str">
        <f>IF(VALUE(P942)=0,"",VLOOKUP(VLOOKUP(P942,Tbl_Effect[],3,FALSE),EffectName[],IFERROR(MATCH(UI!$B$1,EffectName[#Headers],0),2),FALSE))</f>
        <v/>
      </c>
      <c r="R942" t="str">
        <f t="shared" si="101"/>
        <v/>
      </c>
      <c r="S942">
        <v>0</v>
      </c>
      <c r="T942" t="str">
        <f>IF(VALUE(S942)=0,"",VLOOKUP(VLOOKUP(S942,Tbl_Effect[],3,FALSE),EffectName[],IFERROR(MATCH(UI!$B$1,EffectName[#Headers],0),2),FALSE))</f>
        <v/>
      </c>
      <c r="U942" t="str">
        <f t="shared" si="102"/>
        <v/>
      </c>
      <c r="V942">
        <v>0</v>
      </c>
      <c r="W942" t="str">
        <f>IF(V942&lt;&gt;0,VLOOKUP(VLOOKUP(V942,Tbl_Effect[],3,FALSE),EffectName[],IFERROR(MATCH(UI!$B$1,EffectName[#Headers],0),2),FALSE),"")</f>
        <v/>
      </c>
      <c r="X942" t="str">
        <f t="shared" si="103"/>
        <v/>
      </c>
      <c r="Y942">
        <v>0</v>
      </c>
      <c r="Z942" t="str">
        <f>IF(Y942&lt;&gt;0,VLOOKUP(VLOOKUP(Y942,Tbl_Effect[],3,FALSE),EffectName[],IFERROR(MATCH(UI!$B$1,EffectName[#Headers],0),2),FALSE),"")</f>
        <v/>
      </c>
      <c r="AA942" t="str">
        <f t="shared" si="104"/>
        <v/>
      </c>
      <c r="AB942">
        <v>0</v>
      </c>
      <c r="AC942" t="str">
        <f>IF(AB942&lt;&gt;0,VLOOKUP(VLOOKUP(AB942,Tbl_Effect[],3,FALSE),EffectName[],IFERROR(MATCH(UI!$B$1,EffectName[#Headers],0),2),FALSE),"")</f>
        <v/>
      </c>
    </row>
    <row r="943" spans="8:29" x14ac:dyDescent="0.4">
      <c r="H943" t="str">
        <f t="shared" si="98"/>
        <v>6621100-Unset (紅)</v>
      </c>
      <c r="I943">
        <v>6621100</v>
      </c>
      <c r="J943" t="str">
        <f>_xlfn.IFNA(IF(I943&lt;&gt;0,VLOOKUP(VLOOKUP(I943,Tbl_Equip[],2,FALSE),Tbl_Color[],IFERROR(MATCH(UI!$B$1,Tbl_Color[#Headers],0),2),FALSE),""),"Unset")</f>
        <v>紅</v>
      </c>
      <c r="K943" t="str">
        <f>_xlfn.IFNA(IF(I943&lt;&gt;0,VLOOKUP(I943,ItemText[],IFERROR(MATCH(UI!$B$1,ItemText[#Headers],0),2),FALSE),""),"Unset")</f>
        <v>Unset</v>
      </c>
      <c r="L943" t="str">
        <f t="shared" si="99"/>
        <v/>
      </c>
      <c r="M943">
        <v>0</v>
      </c>
      <c r="N943" t="str">
        <f>IF(VALUE(M943)=0,"",VLOOKUP(VLOOKUP(M943,Tbl_Effect[],3,FALSE),EffectName[],IFERROR(MATCH(UI!$B$1,EffectName[#Headers],0),2),FALSE))</f>
        <v/>
      </c>
      <c r="O943" t="str">
        <f t="shared" si="100"/>
        <v/>
      </c>
      <c r="P943">
        <v>0</v>
      </c>
      <c r="Q943" t="str">
        <f>IF(VALUE(P943)=0,"",VLOOKUP(VLOOKUP(P943,Tbl_Effect[],3,FALSE),EffectName[],IFERROR(MATCH(UI!$B$1,EffectName[#Headers],0),2),FALSE))</f>
        <v/>
      </c>
      <c r="R943" t="str">
        <f t="shared" si="101"/>
        <v/>
      </c>
      <c r="S943">
        <v>0</v>
      </c>
      <c r="T943" t="str">
        <f>IF(VALUE(S943)=0,"",VLOOKUP(VLOOKUP(S943,Tbl_Effect[],3,FALSE),EffectName[],IFERROR(MATCH(UI!$B$1,EffectName[#Headers],0),2),FALSE))</f>
        <v/>
      </c>
      <c r="U943" t="str">
        <f t="shared" si="102"/>
        <v/>
      </c>
      <c r="V943">
        <v>0</v>
      </c>
      <c r="W943" t="str">
        <f>IF(V943&lt;&gt;0,VLOOKUP(VLOOKUP(V943,Tbl_Effect[],3,FALSE),EffectName[],IFERROR(MATCH(UI!$B$1,EffectName[#Headers],0),2),FALSE),"")</f>
        <v/>
      </c>
      <c r="X943" t="str">
        <f t="shared" si="103"/>
        <v/>
      </c>
      <c r="Y943">
        <v>0</v>
      </c>
      <c r="Z943" t="str">
        <f>IF(Y943&lt;&gt;0,VLOOKUP(VLOOKUP(Y943,Tbl_Effect[],3,FALSE),EffectName[],IFERROR(MATCH(UI!$B$1,EffectName[#Headers],0),2),FALSE),"")</f>
        <v/>
      </c>
      <c r="AA943" t="str">
        <f t="shared" si="104"/>
        <v/>
      </c>
      <c r="AB943">
        <v>0</v>
      </c>
      <c r="AC943" t="str">
        <f>IF(AB943&lt;&gt;0,VLOOKUP(VLOOKUP(AB943,Tbl_Effect[],3,FALSE),EffectName[],IFERROR(MATCH(UI!$B$1,EffectName[#Headers],0),2),FALSE),"")</f>
        <v/>
      </c>
    </row>
    <row r="944" spans="8:29" x14ac:dyDescent="0.4">
      <c r="H944" t="str">
        <f t="shared" si="98"/>
        <v>6621200-Unset (紅)</v>
      </c>
      <c r="I944">
        <v>6621200</v>
      </c>
      <c r="J944" t="str">
        <f>_xlfn.IFNA(IF(I944&lt;&gt;0,VLOOKUP(VLOOKUP(I944,Tbl_Equip[],2,FALSE),Tbl_Color[],IFERROR(MATCH(UI!$B$1,Tbl_Color[#Headers],0),2),FALSE),""),"Unset")</f>
        <v>紅</v>
      </c>
      <c r="K944" t="str">
        <f>_xlfn.IFNA(IF(I944&lt;&gt;0,VLOOKUP(I944,ItemText[],IFERROR(MATCH(UI!$B$1,ItemText[#Headers],0),2),FALSE),""),"Unset")</f>
        <v>Unset</v>
      </c>
      <c r="L944" t="str">
        <f t="shared" si="99"/>
        <v/>
      </c>
      <c r="M944">
        <v>0</v>
      </c>
      <c r="N944" t="str">
        <f>IF(VALUE(M944)=0,"",VLOOKUP(VLOOKUP(M944,Tbl_Effect[],3,FALSE),EffectName[],IFERROR(MATCH(UI!$B$1,EffectName[#Headers],0),2),FALSE))</f>
        <v/>
      </c>
      <c r="O944" t="str">
        <f t="shared" si="100"/>
        <v/>
      </c>
      <c r="P944">
        <v>0</v>
      </c>
      <c r="Q944" t="str">
        <f>IF(VALUE(P944)=0,"",VLOOKUP(VLOOKUP(P944,Tbl_Effect[],3,FALSE),EffectName[],IFERROR(MATCH(UI!$B$1,EffectName[#Headers],0),2),FALSE))</f>
        <v/>
      </c>
      <c r="R944" t="str">
        <f t="shared" si="101"/>
        <v/>
      </c>
      <c r="S944">
        <v>0</v>
      </c>
      <c r="T944" t="str">
        <f>IF(VALUE(S944)=0,"",VLOOKUP(VLOOKUP(S944,Tbl_Effect[],3,FALSE),EffectName[],IFERROR(MATCH(UI!$B$1,EffectName[#Headers],0),2),FALSE))</f>
        <v/>
      </c>
      <c r="U944" t="str">
        <f t="shared" si="102"/>
        <v/>
      </c>
      <c r="V944">
        <v>0</v>
      </c>
      <c r="W944" t="str">
        <f>IF(V944&lt;&gt;0,VLOOKUP(VLOOKUP(V944,Tbl_Effect[],3,FALSE),EffectName[],IFERROR(MATCH(UI!$B$1,EffectName[#Headers],0),2),FALSE),"")</f>
        <v/>
      </c>
      <c r="X944" t="str">
        <f t="shared" si="103"/>
        <v/>
      </c>
      <c r="Y944">
        <v>0</v>
      </c>
      <c r="Z944" t="str">
        <f>IF(Y944&lt;&gt;0,VLOOKUP(VLOOKUP(Y944,Tbl_Effect[],3,FALSE),EffectName[],IFERROR(MATCH(UI!$B$1,EffectName[#Headers],0),2),FALSE),"")</f>
        <v/>
      </c>
      <c r="AA944" t="str">
        <f t="shared" si="104"/>
        <v/>
      </c>
      <c r="AB944">
        <v>0</v>
      </c>
      <c r="AC944" t="str">
        <f>IF(AB944&lt;&gt;0,VLOOKUP(VLOOKUP(AB944,Tbl_Effect[],3,FALSE),EffectName[],IFERROR(MATCH(UI!$B$1,EffectName[#Headers],0),2),FALSE),"")</f>
        <v/>
      </c>
    </row>
    <row r="945" spans="8:29" x14ac:dyDescent="0.4">
      <c r="H945" t="str">
        <f t="shared" si="98"/>
        <v>6621300-Unset (紅)</v>
      </c>
      <c r="I945">
        <v>6621300</v>
      </c>
      <c r="J945" t="str">
        <f>_xlfn.IFNA(IF(I945&lt;&gt;0,VLOOKUP(VLOOKUP(I945,Tbl_Equip[],2,FALSE),Tbl_Color[],IFERROR(MATCH(UI!$B$1,Tbl_Color[#Headers],0),2),FALSE),""),"Unset")</f>
        <v>紅</v>
      </c>
      <c r="K945" t="str">
        <f>_xlfn.IFNA(IF(I945&lt;&gt;0,VLOOKUP(I945,ItemText[],IFERROR(MATCH(UI!$B$1,ItemText[#Headers],0),2),FALSE),""),"Unset")</f>
        <v>Unset</v>
      </c>
      <c r="L945" t="str">
        <f t="shared" si="99"/>
        <v/>
      </c>
      <c r="M945">
        <v>0</v>
      </c>
      <c r="N945" t="str">
        <f>IF(VALUE(M945)=0,"",VLOOKUP(VLOOKUP(M945,Tbl_Effect[],3,FALSE),EffectName[],IFERROR(MATCH(UI!$B$1,EffectName[#Headers],0),2),FALSE))</f>
        <v/>
      </c>
      <c r="O945" t="str">
        <f t="shared" si="100"/>
        <v/>
      </c>
      <c r="P945">
        <v>0</v>
      </c>
      <c r="Q945" t="str">
        <f>IF(VALUE(P945)=0,"",VLOOKUP(VLOOKUP(P945,Tbl_Effect[],3,FALSE),EffectName[],IFERROR(MATCH(UI!$B$1,EffectName[#Headers],0),2),FALSE))</f>
        <v/>
      </c>
      <c r="R945" t="str">
        <f t="shared" si="101"/>
        <v/>
      </c>
      <c r="S945">
        <v>0</v>
      </c>
      <c r="T945" t="str">
        <f>IF(VALUE(S945)=0,"",VLOOKUP(VLOOKUP(S945,Tbl_Effect[],3,FALSE),EffectName[],IFERROR(MATCH(UI!$B$1,EffectName[#Headers],0),2),FALSE))</f>
        <v/>
      </c>
      <c r="U945" t="str">
        <f t="shared" si="102"/>
        <v/>
      </c>
      <c r="V945">
        <v>0</v>
      </c>
      <c r="W945" t="str">
        <f>IF(V945&lt;&gt;0,VLOOKUP(VLOOKUP(V945,Tbl_Effect[],3,FALSE),EffectName[],IFERROR(MATCH(UI!$B$1,EffectName[#Headers],0),2),FALSE),"")</f>
        <v/>
      </c>
      <c r="X945" t="str">
        <f t="shared" si="103"/>
        <v/>
      </c>
      <c r="Y945">
        <v>0</v>
      </c>
      <c r="Z945" t="str">
        <f>IF(Y945&lt;&gt;0,VLOOKUP(VLOOKUP(Y945,Tbl_Effect[],3,FALSE),EffectName[],IFERROR(MATCH(UI!$B$1,EffectName[#Headers],0),2),FALSE),"")</f>
        <v/>
      </c>
      <c r="AA945" t="str">
        <f t="shared" si="104"/>
        <v/>
      </c>
      <c r="AB945">
        <v>0</v>
      </c>
      <c r="AC945" t="str">
        <f>IF(AB945&lt;&gt;0,VLOOKUP(VLOOKUP(AB945,Tbl_Effect[],3,FALSE),EffectName[],IFERROR(MATCH(UI!$B$1,EffectName[#Headers],0),2),FALSE),"")</f>
        <v/>
      </c>
    </row>
    <row r="946" spans="8:29" x14ac:dyDescent="0.4">
      <c r="H946" t="str">
        <f t="shared" si="98"/>
        <v>6621400-Unset (紅)</v>
      </c>
      <c r="I946">
        <v>6621400</v>
      </c>
      <c r="J946" t="str">
        <f>_xlfn.IFNA(IF(I946&lt;&gt;0,VLOOKUP(VLOOKUP(I946,Tbl_Equip[],2,FALSE),Tbl_Color[],IFERROR(MATCH(UI!$B$1,Tbl_Color[#Headers],0),2),FALSE),""),"Unset")</f>
        <v>紅</v>
      </c>
      <c r="K946" t="str">
        <f>_xlfn.IFNA(IF(I946&lt;&gt;0,VLOOKUP(I946,ItemText[],IFERROR(MATCH(UI!$B$1,ItemText[#Headers],0),2),FALSE),""),"Unset")</f>
        <v>Unset</v>
      </c>
      <c r="L946" t="str">
        <f t="shared" si="99"/>
        <v/>
      </c>
      <c r="M946">
        <v>0</v>
      </c>
      <c r="N946" t="str">
        <f>IF(VALUE(M946)=0,"",VLOOKUP(VLOOKUP(M946,Tbl_Effect[],3,FALSE),EffectName[],IFERROR(MATCH(UI!$B$1,EffectName[#Headers],0),2),FALSE))</f>
        <v/>
      </c>
      <c r="O946" t="str">
        <f t="shared" si="100"/>
        <v/>
      </c>
      <c r="P946">
        <v>0</v>
      </c>
      <c r="Q946" t="str">
        <f>IF(VALUE(P946)=0,"",VLOOKUP(VLOOKUP(P946,Tbl_Effect[],3,FALSE),EffectName[],IFERROR(MATCH(UI!$B$1,EffectName[#Headers],0),2),FALSE))</f>
        <v/>
      </c>
      <c r="R946" t="str">
        <f t="shared" si="101"/>
        <v/>
      </c>
      <c r="S946">
        <v>0</v>
      </c>
      <c r="T946" t="str">
        <f>IF(VALUE(S946)=0,"",VLOOKUP(VLOOKUP(S946,Tbl_Effect[],3,FALSE),EffectName[],IFERROR(MATCH(UI!$B$1,EffectName[#Headers],0),2),FALSE))</f>
        <v/>
      </c>
      <c r="U946" t="str">
        <f t="shared" si="102"/>
        <v/>
      </c>
      <c r="V946">
        <v>0</v>
      </c>
      <c r="W946" t="str">
        <f>IF(V946&lt;&gt;0,VLOOKUP(VLOOKUP(V946,Tbl_Effect[],3,FALSE),EffectName[],IFERROR(MATCH(UI!$B$1,EffectName[#Headers],0),2),FALSE),"")</f>
        <v/>
      </c>
      <c r="X946" t="str">
        <f t="shared" si="103"/>
        <v/>
      </c>
      <c r="Y946">
        <v>0</v>
      </c>
      <c r="Z946" t="str">
        <f>IF(Y946&lt;&gt;0,VLOOKUP(VLOOKUP(Y946,Tbl_Effect[],3,FALSE),EffectName[],IFERROR(MATCH(UI!$B$1,EffectName[#Headers],0),2),FALSE),"")</f>
        <v/>
      </c>
      <c r="AA946" t="str">
        <f t="shared" si="104"/>
        <v/>
      </c>
      <c r="AB946">
        <v>0</v>
      </c>
      <c r="AC946" t="str">
        <f>IF(AB946&lt;&gt;0,VLOOKUP(VLOOKUP(AB946,Tbl_Effect[],3,FALSE),EffectName[],IFERROR(MATCH(UI!$B$1,EffectName[#Headers],0),2),FALSE),"")</f>
        <v/>
      </c>
    </row>
    <row r="947" spans="8:29" x14ac:dyDescent="0.4">
      <c r="H947" t="str">
        <f t="shared" si="98"/>
        <v>6621500-Unset (紅)</v>
      </c>
      <c r="I947">
        <v>6621500</v>
      </c>
      <c r="J947" t="str">
        <f>_xlfn.IFNA(IF(I947&lt;&gt;0,VLOOKUP(VLOOKUP(I947,Tbl_Equip[],2,FALSE),Tbl_Color[],IFERROR(MATCH(UI!$B$1,Tbl_Color[#Headers],0),2),FALSE),""),"Unset")</f>
        <v>紅</v>
      </c>
      <c r="K947" t="str">
        <f>_xlfn.IFNA(IF(I947&lt;&gt;0,VLOOKUP(I947,ItemText[],IFERROR(MATCH(UI!$B$1,ItemText[#Headers],0),2),FALSE),""),"Unset")</f>
        <v>Unset</v>
      </c>
      <c r="L947" t="str">
        <f t="shared" si="99"/>
        <v/>
      </c>
      <c r="M947">
        <v>0</v>
      </c>
      <c r="N947" t="str">
        <f>IF(VALUE(M947)=0,"",VLOOKUP(VLOOKUP(M947,Tbl_Effect[],3,FALSE),EffectName[],IFERROR(MATCH(UI!$B$1,EffectName[#Headers],0),2),FALSE))</f>
        <v/>
      </c>
      <c r="O947" t="str">
        <f t="shared" si="100"/>
        <v/>
      </c>
      <c r="P947">
        <v>0</v>
      </c>
      <c r="Q947" t="str">
        <f>IF(VALUE(P947)=0,"",VLOOKUP(VLOOKUP(P947,Tbl_Effect[],3,FALSE),EffectName[],IFERROR(MATCH(UI!$B$1,EffectName[#Headers],0),2),FALSE))</f>
        <v/>
      </c>
      <c r="R947" t="str">
        <f t="shared" si="101"/>
        <v/>
      </c>
      <c r="S947">
        <v>0</v>
      </c>
      <c r="T947" t="str">
        <f>IF(VALUE(S947)=0,"",VLOOKUP(VLOOKUP(S947,Tbl_Effect[],3,FALSE),EffectName[],IFERROR(MATCH(UI!$B$1,EffectName[#Headers],0),2),FALSE))</f>
        <v/>
      </c>
      <c r="U947" t="str">
        <f t="shared" si="102"/>
        <v/>
      </c>
      <c r="V947">
        <v>0</v>
      </c>
      <c r="W947" t="str">
        <f>IF(V947&lt;&gt;0,VLOOKUP(VLOOKUP(V947,Tbl_Effect[],3,FALSE),EffectName[],IFERROR(MATCH(UI!$B$1,EffectName[#Headers],0),2),FALSE),"")</f>
        <v/>
      </c>
      <c r="X947" t="str">
        <f t="shared" si="103"/>
        <v/>
      </c>
      <c r="Y947">
        <v>0</v>
      </c>
      <c r="Z947" t="str">
        <f>IF(Y947&lt;&gt;0,VLOOKUP(VLOOKUP(Y947,Tbl_Effect[],3,FALSE),EffectName[],IFERROR(MATCH(UI!$B$1,EffectName[#Headers],0),2),FALSE),"")</f>
        <v/>
      </c>
      <c r="AA947" t="str">
        <f t="shared" si="104"/>
        <v/>
      </c>
      <c r="AB947">
        <v>0</v>
      </c>
      <c r="AC947" t="str">
        <f>IF(AB947&lt;&gt;0,VLOOKUP(VLOOKUP(AB947,Tbl_Effect[],3,FALSE),EffectName[],IFERROR(MATCH(UI!$B$1,EffectName[#Headers],0),2),FALSE),"")</f>
        <v/>
      </c>
    </row>
    <row r="948" spans="8:29" x14ac:dyDescent="0.4">
      <c r="H948" t="str">
        <f t="shared" si="98"/>
        <v>6621600-Unset (紅)</v>
      </c>
      <c r="I948">
        <v>6621600</v>
      </c>
      <c r="J948" t="str">
        <f>_xlfn.IFNA(IF(I948&lt;&gt;0,VLOOKUP(VLOOKUP(I948,Tbl_Equip[],2,FALSE),Tbl_Color[],IFERROR(MATCH(UI!$B$1,Tbl_Color[#Headers],0),2),FALSE),""),"Unset")</f>
        <v>紅</v>
      </c>
      <c r="K948" t="str">
        <f>_xlfn.IFNA(IF(I948&lt;&gt;0,VLOOKUP(I948,ItemText[],IFERROR(MATCH(UI!$B$1,ItemText[#Headers],0),2),FALSE),""),"Unset")</f>
        <v>Unset</v>
      </c>
      <c r="L948" t="str">
        <f t="shared" si="99"/>
        <v/>
      </c>
      <c r="M948">
        <v>0</v>
      </c>
      <c r="N948" t="str">
        <f>IF(VALUE(M948)=0,"",VLOOKUP(VLOOKUP(M948,Tbl_Effect[],3,FALSE),EffectName[],IFERROR(MATCH(UI!$B$1,EffectName[#Headers],0),2),FALSE))</f>
        <v/>
      </c>
      <c r="O948" t="str">
        <f t="shared" si="100"/>
        <v/>
      </c>
      <c r="P948">
        <v>0</v>
      </c>
      <c r="Q948" t="str">
        <f>IF(VALUE(P948)=0,"",VLOOKUP(VLOOKUP(P948,Tbl_Effect[],3,FALSE),EffectName[],IFERROR(MATCH(UI!$B$1,EffectName[#Headers],0),2),FALSE))</f>
        <v/>
      </c>
      <c r="R948" t="str">
        <f t="shared" si="101"/>
        <v/>
      </c>
      <c r="S948">
        <v>0</v>
      </c>
      <c r="T948" t="str">
        <f>IF(VALUE(S948)=0,"",VLOOKUP(VLOOKUP(S948,Tbl_Effect[],3,FALSE),EffectName[],IFERROR(MATCH(UI!$B$1,EffectName[#Headers],0),2),FALSE))</f>
        <v/>
      </c>
      <c r="U948" t="str">
        <f t="shared" si="102"/>
        <v/>
      </c>
      <c r="V948">
        <v>0</v>
      </c>
      <c r="W948" t="str">
        <f>IF(V948&lt;&gt;0,VLOOKUP(VLOOKUP(V948,Tbl_Effect[],3,FALSE),EffectName[],IFERROR(MATCH(UI!$B$1,EffectName[#Headers],0),2),FALSE),"")</f>
        <v/>
      </c>
      <c r="X948" t="str">
        <f t="shared" si="103"/>
        <v/>
      </c>
      <c r="Y948">
        <v>0</v>
      </c>
      <c r="Z948" t="str">
        <f>IF(Y948&lt;&gt;0,VLOOKUP(VLOOKUP(Y948,Tbl_Effect[],3,FALSE),EffectName[],IFERROR(MATCH(UI!$B$1,EffectName[#Headers],0),2),FALSE),"")</f>
        <v/>
      </c>
      <c r="AA948" t="str">
        <f t="shared" si="104"/>
        <v/>
      </c>
      <c r="AB948">
        <v>0</v>
      </c>
      <c r="AC948" t="str">
        <f>IF(AB948&lt;&gt;0,VLOOKUP(VLOOKUP(AB948,Tbl_Effect[],3,FALSE),EffectName[],IFERROR(MATCH(UI!$B$1,EffectName[#Headers],0),2),FALSE),"")</f>
        <v/>
      </c>
    </row>
    <row r="949" spans="8:29" x14ac:dyDescent="0.4">
      <c r="H949" t="str">
        <f t="shared" si="98"/>
        <v>6621700-Unset (紅)</v>
      </c>
      <c r="I949">
        <v>6621700</v>
      </c>
      <c r="J949" t="str">
        <f>_xlfn.IFNA(IF(I949&lt;&gt;0,VLOOKUP(VLOOKUP(I949,Tbl_Equip[],2,FALSE),Tbl_Color[],IFERROR(MATCH(UI!$B$1,Tbl_Color[#Headers],0),2),FALSE),""),"Unset")</f>
        <v>紅</v>
      </c>
      <c r="K949" t="str">
        <f>_xlfn.IFNA(IF(I949&lt;&gt;0,VLOOKUP(I949,ItemText[],IFERROR(MATCH(UI!$B$1,ItemText[#Headers],0),2),FALSE),""),"Unset")</f>
        <v>Unset</v>
      </c>
      <c r="L949" t="str">
        <f t="shared" si="99"/>
        <v/>
      </c>
      <c r="M949">
        <v>0</v>
      </c>
      <c r="N949" t="str">
        <f>IF(VALUE(M949)=0,"",VLOOKUP(VLOOKUP(M949,Tbl_Effect[],3,FALSE),EffectName[],IFERROR(MATCH(UI!$B$1,EffectName[#Headers],0),2),FALSE))</f>
        <v/>
      </c>
      <c r="O949" t="str">
        <f t="shared" si="100"/>
        <v/>
      </c>
      <c r="P949">
        <v>0</v>
      </c>
      <c r="Q949" t="str">
        <f>IF(VALUE(P949)=0,"",VLOOKUP(VLOOKUP(P949,Tbl_Effect[],3,FALSE),EffectName[],IFERROR(MATCH(UI!$B$1,EffectName[#Headers],0),2),FALSE))</f>
        <v/>
      </c>
      <c r="R949" t="str">
        <f t="shared" si="101"/>
        <v/>
      </c>
      <c r="S949">
        <v>0</v>
      </c>
      <c r="T949" t="str">
        <f>IF(VALUE(S949)=0,"",VLOOKUP(VLOOKUP(S949,Tbl_Effect[],3,FALSE),EffectName[],IFERROR(MATCH(UI!$B$1,EffectName[#Headers],0),2),FALSE))</f>
        <v/>
      </c>
      <c r="U949" t="str">
        <f t="shared" si="102"/>
        <v/>
      </c>
      <c r="V949">
        <v>0</v>
      </c>
      <c r="W949" t="str">
        <f>IF(V949&lt;&gt;0,VLOOKUP(VLOOKUP(V949,Tbl_Effect[],3,FALSE),EffectName[],IFERROR(MATCH(UI!$B$1,EffectName[#Headers],0),2),FALSE),"")</f>
        <v/>
      </c>
      <c r="X949" t="str">
        <f t="shared" si="103"/>
        <v/>
      </c>
      <c r="Y949">
        <v>0</v>
      </c>
      <c r="Z949" t="str">
        <f>IF(Y949&lt;&gt;0,VLOOKUP(VLOOKUP(Y949,Tbl_Effect[],3,FALSE),EffectName[],IFERROR(MATCH(UI!$B$1,EffectName[#Headers],0),2),FALSE),"")</f>
        <v/>
      </c>
      <c r="AA949" t="str">
        <f t="shared" si="104"/>
        <v/>
      </c>
      <c r="AB949">
        <v>0</v>
      </c>
      <c r="AC949" t="str">
        <f>IF(AB949&lt;&gt;0,VLOOKUP(VLOOKUP(AB949,Tbl_Effect[],3,FALSE),EffectName[],IFERROR(MATCH(UI!$B$1,EffectName[#Headers],0),2),FALSE),"")</f>
        <v/>
      </c>
    </row>
    <row r="950" spans="8:29" x14ac:dyDescent="0.4">
      <c r="H950" t="str">
        <f t="shared" si="98"/>
        <v>6621800-Unset (紅)</v>
      </c>
      <c r="I950">
        <v>6621800</v>
      </c>
      <c r="J950" t="str">
        <f>_xlfn.IFNA(IF(I950&lt;&gt;0,VLOOKUP(VLOOKUP(I950,Tbl_Equip[],2,FALSE),Tbl_Color[],IFERROR(MATCH(UI!$B$1,Tbl_Color[#Headers],0),2),FALSE),""),"Unset")</f>
        <v>紅</v>
      </c>
      <c r="K950" t="str">
        <f>_xlfn.IFNA(IF(I950&lt;&gt;0,VLOOKUP(I950,ItemText[],IFERROR(MATCH(UI!$B$1,ItemText[#Headers],0),2),FALSE),""),"Unset")</f>
        <v>Unset</v>
      </c>
      <c r="L950" t="str">
        <f t="shared" si="99"/>
        <v/>
      </c>
      <c r="M950">
        <v>0</v>
      </c>
      <c r="N950" t="str">
        <f>IF(VALUE(M950)=0,"",VLOOKUP(VLOOKUP(M950,Tbl_Effect[],3,FALSE),EffectName[],IFERROR(MATCH(UI!$B$1,EffectName[#Headers],0),2),FALSE))</f>
        <v/>
      </c>
      <c r="O950" t="str">
        <f t="shared" si="100"/>
        <v/>
      </c>
      <c r="P950">
        <v>0</v>
      </c>
      <c r="Q950" t="str">
        <f>IF(VALUE(P950)=0,"",VLOOKUP(VLOOKUP(P950,Tbl_Effect[],3,FALSE),EffectName[],IFERROR(MATCH(UI!$B$1,EffectName[#Headers],0),2),FALSE))</f>
        <v/>
      </c>
      <c r="R950" t="str">
        <f t="shared" si="101"/>
        <v/>
      </c>
      <c r="S950">
        <v>0</v>
      </c>
      <c r="T950" t="str">
        <f>IF(VALUE(S950)=0,"",VLOOKUP(VLOOKUP(S950,Tbl_Effect[],3,FALSE),EffectName[],IFERROR(MATCH(UI!$B$1,EffectName[#Headers],0),2),FALSE))</f>
        <v/>
      </c>
      <c r="U950" t="str">
        <f t="shared" si="102"/>
        <v/>
      </c>
      <c r="V950">
        <v>0</v>
      </c>
      <c r="W950" t="str">
        <f>IF(V950&lt;&gt;0,VLOOKUP(VLOOKUP(V950,Tbl_Effect[],3,FALSE),EffectName[],IFERROR(MATCH(UI!$B$1,EffectName[#Headers],0),2),FALSE),"")</f>
        <v/>
      </c>
      <c r="X950" t="str">
        <f t="shared" si="103"/>
        <v/>
      </c>
      <c r="Y950">
        <v>0</v>
      </c>
      <c r="Z950" t="str">
        <f>IF(Y950&lt;&gt;0,VLOOKUP(VLOOKUP(Y950,Tbl_Effect[],3,FALSE),EffectName[],IFERROR(MATCH(UI!$B$1,EffectName[#Headers],0),2),FALSE),"")</f>
        <v/>
      </c>
      <c r="AA950" t="str">
        <f t="shared" si="104"/>
        <v/>
      </c>
      <c r="AB950">
        <v>0</v>
      </c>
      <c r="AC950" t="str">
        <f>IF(AB950&lt;&gt;0,VLOOKUP(VLOOKUP(AB950,Tbl_Effect[],3,FALSE),EffectName[],IFERROR(MATCH(UI!$B$1,EffectName[#Headers],0),2),FALSE),"")</f>
        <v/>
      </c>
    </row>
    <row r="951" spans="8:29" x14ac:dyDescent="0.4">
      <c r="H951" t="str">
        <f t="shared" si="98"/>
        <v>6621900-Unset (紅)</v>
      </c>
      <c r="I951">
        <v>6621900</v>
      </c>
      <c r="J951" t="str">
        <f>_xlfn.IFNA(IF(I951&lt;&gt;0,VLOOKUP(VLOOKUP(I951,Tbl_Equip[],2,FALSE),Tbl_Color[],IFERROR(MATCH(UI!$B$1,Tbl_Color[#Headers],0),2),FALSE),""),"Unset")</f>
        <v>紅</v>
      </c>
      <c r="K951" t="str">
        <f>_xlfn.IFNA(IF(I951&lt;&gt;0,VLOOKUP(I951,ItemText[],IFERROR(MATCH(UI!$B$1,ItemText[#Headers],0),2),FALSE),""),"Unset")</f>
        <v>Unset</v>
      </c>
      <c r="L951" t="str">
        <f t="shared" si="99"/>
        <v/>
      </c>
      <c r="M951">
        <v>0</v>
      </c>
      <c r="N951" t="str">
        <f>IF(VALUE(M951)=0,"",VLOOKUP(VLOOKUP(M951,Tbl_Effect[],3,FALSE),EffectName[],IFERROR(MATCH(UI!$B$1,EffectName[#Headers],0),2),FALSE))</f>
        <v/>
      </c>
      <c r="O951" t="str">
        <f t="shared" si="100"/>
        <v/>
      </c>
      <c r="P951">
        <v>0</v>
      </c>
      <c r="Q951" t="str">
        <f>IF(VALUE(P951)=0,"",VLOOKUP(VLOOKUP(P951,Tbl_Effect[],3,FALSE),EffectName[],IFERROR(MATCH(UI!$B$1,EffectName[#Headers],0),2),FALSE))</f>
        <v/>
      </c>
      <c r="R951" t="str">
        <f t="shared" si="101"/>
        <v/>
      </c>
      <c r="S951">
        <v>0</v>
      </c>
      <c r="T951" t="str">
        <f>IF(VALUE(S951)=0,"",VLOOKUP(VLOOKUP(S951,Tbl_Effect[],3,FALSE),EffectName[],IFERROR(MATCH(UI!$B$1,EffectName[#Headers],0),2),FALSE))</f>
        <v/>
      </c>
      <c r="U951" t="str">
        <f t="shared" si="102"/>
        <v/>
      </c>
      <c r="V951">
        <v>0</v>
      </c>
      <c r="W951" t="str">
        <f>IF(V951&lt;&gt;0,VLOOKUP(VLOOKUP(V951,Tbl_Effect[],3,FALSE),EffectName[],IFERROR(MATCH(UI!$B$1,EffectName[#Headers],0),2),FALSE),"")</f>
        <v/>
      </c>
      <c r="X951" t="str">
        <f t="shared" si="103"/>
        <v/>
      </c>
      <c r="Y951">
        <v>0</v>
      </c>
      <c r="Z951" t="str">
        <f>IF(Y951&lt;&gt;0,VLOOKUP(VLOOKUP(Y951,Tbl_Effect[],3,FALSE),EffectName[],IFERROR(MATCH(UI!$B$1,EffectName[#Headers],0),2),FALSE),"")</f>
        <v/>
      </c>
      <c r="AA951" t="str">
        <f t="shared" si="104"/>
        <v/>
      </c>
      <c r="AB951">
        <v>0</v>
      </c>
      <c r="AC951" t="str">
        <f>IF(AB951&lt;&gt;0,VLOOKUP(VLOOKUP(AB951,Tbl_Effect[],3,FALSE),EffectName[],IFERROR(MATCH(UI!$B$1,EffectName[#Headers],0),2),FALSE),"")</f>
        <v/>
      </c>
    </row>
    <row r="952" spans="8:29" x14ac:dyDescent="0.4">
      <c r="H952" t="str">
        <f t="shared" si="98"/>
        <v>6622000-Unset (紅)</v>
      </c>
      <c r="I952">
        <v>6622000</v>
      </c>
      <c r="J952" t="str">
        <f>_xlfn.IFNA(IF(I952&lt;&gt;0,VLOOKUP(VLOOKUP(I952,Tbl_Equip[],2,FALSE),Tbl_Color[],IFERROR(MATCH(UI!$B$1,Tbl_Color[#Headers],0),2),FALSE),""),"Unset")</f>
        <v>紅</v>
      </c>
      <c r="K952" t="str">
        <f>_xlfn.IFNA(IF(I952&lt;&gt;0,VLOOKUP(I952,ItemText[],IFERROR(MATCH(UI!$B$1,ItemText[#Headers],0),2),FALSE),""),"Unset")</f>
        <v>Unset</v>
      </c>
      <c r="L952" t="str">
        <f t="shared" si="99"/>
        <v/>
      </c>
      <c r="M952">
        <v>0</v>
      </c>
      <c r="N952" t="str">
        <f>IF(VALUE(M952)=0,"",VLOOKUP(VLOOKUP(M952,Tbl_Effect[],3,FALSE),EffectName[],IFERROR(MATCH(UI!$B$1,EffectName[#Headers],0),2),FALSE))</f>
        <v/>
      </c>
      <c r="O952" t="str">
        <f t="shared" si="100"/>
        <v/>
      </c>
      <c r="P952">
        <v>0</v>
      </c>
      <c r="Q952" t="str">
        <f>IF(VALUE(P952)=0,"",VLOOKUP(VLOOKUP(P952,Tbl_Effect[],3,FALSE),EffectName[],IFERROR(MATCH(UI!$B$1,EffectName[#Headers],0),2),FALSE))</f>
        <v/>
      </c>
      <c r="R952" t="str">
        <f t="shared" si="101"/>
        <v/>
      </c>
      <c r="S952">
        <v>0</v>
      </c>
      <c r="T952" t="str">
        <f>IF(VALUE(S952)=0,"",VLOOKUP(VLOOKUP(S952,Tbl_Effect[],3,FALSE),EffectName[],IFERROR(MATCH(UI!$B$1,EffectName[#Headers],0),2),FALSE))</f>
        <v/>
      </c>
      <c r="U952" t="str">
        <f t="shared" si="102"/>
        <v/>
      </c>
      <c r="V952">
        <v>0</v>
      </c>
      <c r="W952" t="str">
        <f>IF(V952&lt;&gt;0,VLOOKUP(VLOOKUP(V952,Tbl_Effect[],3,FALSE),EffectName[],IFERROR(MATCH(UI!$B$1,EffectName[#Headers],0),2),FALSE),"")</f>
        <v/>
      </c>
      <c r="X952" t="str">
        <f t="shared" si="103"/>
        <v/>
      </c>
      <c r="Y952">
        <v>0</v>
      </c>
      <c r="Z952" t="str">
        <f>IF(Y952&lt;&gt;0,VLOOKUP(VLOOKUP(Y952,Tbl_Effect[],3,FALSE),EffectName[],IFERROR(MATCH(UI!$B$1,EffectName[#Headers],0),2),FALSE),"")</f>
        <v/>
      </c>
      <c r="AA952" t="str">
        <f t="shared" si="104"/>
        <v/>
      </c>
      <c r="AB952">
        <v>0</v>
      </c>
      <c r="AC952" t="str">
        <f>IF(AB952&lt;&gt;0,VLOOKUP(VLOOKUP(AB952,Tbl_Effect[],3,FALSE),EffectName[],IFERROR(MATCH(UI!$B$1,EffectName[#Headers],0),2),FALSE),"")</f>
        <v/>
      </c>
    </row>
    <row r="953" spans="8:29" x14ac:dyDescent="0.4">
      <c r="H953" t="str">
        <f t="shared" si="98"/>
        <v>6622100-Unset (紅)</v>
      </c>
      <c r="I953">
        <v>6622100</v>
      </c>
      <c r="J953" t="str">
        <f>_xlfn.IFNA(IF(I953&lt;&gt;0,VLOOKUP(VLOOKUP(I953,Tbl_Equip[],2,FALSE),Tbl_Color[],IFERROR(MATCH(UI!$B$1,Tbl_Color[#Headers],0),2),FALSE),""),"Unset")</f>
        <v>紅</v>
      </c>
      <c r="K953" t="str">
        <f>_xlfn.IFNA(IF(I953&lt;&gt;0,VLOOKUP(I953,ItemText[],IFERROR(MATCH(UI!$B$1,ItemText[#Headers],0),2),FALSE),""),"Unset")</f>
        <v>Unset</v>
      </c>
      <c r="L953" t="str">
        <f t="shared" si="99"/>
        <v/>
      </c>
      <c r="M953">
        <v>0</v>
      </c>
      <c r="N953" t="str">
        <f>IF(VALUE(M953)=0,"",VLOOKUP(VLOOKUP(M953,Tbl_Effect[],3,FALSE),EffectName[],IFERROR(MATCH(UI!$B$1,EffectName[#Headers],0),2),FALSE))</f>
        <v/>
      </c>
      <c r="O953" t="str">
        <f t="shared" si="100"/>
        <v/>
      </c>
      <c r="P953">
        <v>0</v>
      </c>
      <c r="Q953" t="str">
        <f>IF(VALUE(P953)=0,"",VLOOKUP(VLOOKUP(P953,Tbl_Effect[],3,FALSE),EffectName[],IFERROR(MATCH(UI!$B$1,EffectName[#Headers],0),2),FALSE))</f>
        <v/>
      </c>
      <c r="R953" t="str">
        <f t="shared" si="101"/>
        <v/>
      </c>
      <c r="S953">
        <v>0</v>
      </c>
      <c r="T953" t="str">
        <f>IF(VALUE(S953)=0,"",VLOOKUP(VLOOKUP(S953,Tbl_Effect[],3,FALSE),EffectName[],IFERROR(MATCH(UI!$B$1,EffectName[#Headers],0),2),FALSE))</f>
        <v/>
      </c>
      <c r="U953" t="str">
        <f t="shared" si="102"/>
        <v/>
      </c>
      <c r="V953">
        <v>0</v>
      </c>
      <c r="W953" t="str">
        <f>IF(V953&lt;&gt;0,VLOOKUP(VLOOKUP(V953,Tbl_Effect[],3,FALSE),EffectName[],IFERROR(MATCH(UI!$B$1,EffectName[#Headers],0),2),FALSE),"")</f>
        <v/>
      </c>
      <c r="X953" t="str">
        <f t="shared" si="103"/>
        <v/>
      </c>
      <c r="Y953">
        <v>0</v>
      </c>
      <c r="Z953" t="str">
        <f>IF(Y953&lt;&gt;0,VLOOKUP(VLOOKUP(Y953,Tbl_Effect[],3,FALSE),EffectName[],IFERROR(MATCH(UI!$B$1,EffectName[#Headers],0),2),FALSE),"")</f>
        <v/>
      </c>
      <c r="AA953" t="str">
        <f t="shared" si="104"/>
        <v/>
      </c>
      <c r="AB953">
        <v>0</v>
      </c>
      <c r="AC953" t="str">
        <f>IF(AB953&lt;&gt;0,VLOOKUP(VLOOKUP(AB953,Tbl_Effect[],3,FALSE),EffectName[],IFERROR(MATCH(UI!$B$1,EffectName[#Headers],0),2),FALSE),"")</f>
        <v/>
      </c>
    </row>
    <row r="954" spans="8:29" x14ac:dyDescent="0.4">
      <c r="H954" t="str">
        <f t="shared" si="98"/>
        <v>6622200-Unset (紅)</v>
      </c>
      <c r="I954">
        <v>6622200</v>
      </c>
      <c r="J954" t="str">
        <f>_xlfn.IFNA(IF(I954&lt;&gt;0,VLOOKUP(VLOOKUP(I954,Tbl_Equip[],2,FALSE),Tbl_Color[],IFERROR(MATCH(UI!$B$1,Tbl_Color[#Headers],0),2),FALSE),""),"Unset")</f>
        <v>紅</v>
      </c>
      <c r="K954" t="str">
        <f>_xlfn.IFNA(IF(I954&lt;&gt;0,VLOOKUP(I954,ItemText[],IFERROR(MATCH(UI!$B$1,ItemText[#Headers],0),2),FALSE),""),"Unset")</f>
        <v>Unset</v>
      </c>
      <c r="L954" t="str">
        <f t="shared" si="99"/>
        <v/>
      </c>
      <c r="M954">
        <v>0</v>
      </c>
      <c r="N954" t="str">
        <f>IF(VALUE(M954)=0,"",VLOOKUP(VLOOKUP(M954,Tbl_Effect[],3,FALSE),EffectName[],IFERROR(MATCH(UI!$B$1,EffectName[#Headers],0),2),FALSE))</f>
        <v/>
      </c>
      <c r="O954" t="str">
        <f t="shared" si="100"/>
        <v/>
      </c>
      <c r="P954">
        <v>0</v>
      </c>
      <c r="Q954" t="str">
        <f>IF(VALUE(P954)=0,"",VLOOKUP(VLOOKUP(P954,Tbl_Effect[],3,FALSE),EffectName[],IFERROR(MATCH(UI!$B$1,EffectName[#Headers],0),2),FALSE))</f>
        <v/>
      </c>
      <c r="R954" t="str">
        <f t="shared" si="101"/>
        <v/>
      </c>
      <c r="S954">
        <v>0</v>
      </c>
      <c r="T954" t="str">
        <f>IF(VALUE(S954)=0,"",VLOOKUP(VLOOKUP(S954,Tbl_Effect[],3,FALSE),EffectName[],IFERROR(MATCH(UI!$B$1,EffectName[#Headers],0),2),FALSE))</f>
        <v/>
      </c>
      <c r="U954" t="str">
        <f t="shared" si="102"/>
        <v/>
      </c>
      <c r="V954">
        <v>0</v>
      </c>
      <c r="W954" t="str">
        <f>IF(V954&lt;&gt;0,VLOOKUP(VLOOKUP(V954,Tbl_Effect[],3,FALSE),EffectName[],IFERROR(MATCH(UI!$B$1,EffectName[#Headers],0),2),FALSE),"")</f>
        <v/>
      </c>
      <c r="X954" t="str">
        <f t="shared" si="103"/>
        <v/>
      </c>
      <c r="Y954">
        <v>0</v>
      </c>
      <c r="Z954" t="str">
        <f>IF(Y954&lt;&gt;0,VLOOKUP(VLOOKUP(Y954,Tbl_Effect[],3,FALSE),EffectName[],IFERROR(MATCH(UI!$B$1,EffectName[#Headers],0),2),FALSE),"")</f>
        <v/>
      </c>
      <c r="AA954" t="str">
        <f t="shared" si="104"/>
        <v/>
      </c>
      <c r="AB954">
        <v>0</v>
      </c>
      <c r="AC954" t="str">
        <f>IF(AB954&lt;&gt;0,VLOOKUP(VLOOKUP(AB954,Tbl_Effect[],3,FALSE),EffectName[],IFERROR(MATCH(UI!$B$1,EffectName[#Headers],0),2),FALSE),"")</f>
        <v/>
      </c>
    </row>
    <row r="955" spans="8:29" x14ac:dyDescent="0.4">
      <c r="H955" t="str">
        <f t="shared" si="98"/>
        <v>6622300-Unset (紅)</v>
      </c>
      <c r="I955">
        <v>6622300</v>
      </c>
      <c r="J955" t="str">
        <f>_xlfn.IFNA(IF(I955&lt;&gt;0,VLOOKUP(VLOOKUP(I955,Tbl_Equip[],2,FALSE),Tbl_Color[],IFERROR(MATCH(UI!$B$1,Tbl_Color[#Headers],0),2),FALSE),""),"Unset")</f>
        <v>紅</v>
      </c>
      <c r="K955" t="str">
        <f>_xlfn.IFNA(IF(I955&lt;&gt;0,VLOOKUP(I955,ItemText[],IFERROR(MATCH(UI!$B$1,ItemText[#Headers],0),2),FALSE),""),"Unset")</f>
        <v>Unset</v>
      </c>
      <c r="L955" t="str">
        <f t="shared" si="99"/>
        <v/>
      </c>
      <c r="M955">
        <v>0</v>
      </c>
      <c r="N955" t="str">
        <f>IF(VALUE(M955)=0,"",VLOOKUP(VLOOKUP(M955,Tbl_Effect[],3,FALSE),EffectName[],IFERROR(MATCH(UI!$B$1,EffectName[#Headers],0),2),FALSE))</f>
        <v/>
      </c>
      <c r="O955" t="str">
        <f t="shared" si="100"/>
        <v/>
      </c>
      <c r="P955">
        <v>0</v>
      </c>
      <c r="Q955" t="str">
        <f>IF(VALUE(P955)=0,"",VLOOKUP(VLOOKUP(P955,Tbl_Effect[],3,FALSE),EffectName[],IFERROR(MATCH(UI!$B$1,EffectName[#Headers],0),2),FALSE))</f>
        <v/>
      </c>
      <c r="R955" t="str">
        <f t="shared" si="101"/>
        <v/>
      </c>
      <c r="S955">
        <v>0</v>
      </c>
      <c r="T955" t="str">
        <f>IF(VALUE(S955)=0,"",VLOOKUP(VLOOKUP(S955,Tbl_Effect[],3,FALSE),EffectName[],IFERROR(MATCH(UI!$B$1,EffectName[#Headers],0),2),FALSE))</f>
        <v/>
      </c>
      <c r="U955" t="str">
        <f t="shared" si="102"/>
        <v/>
      </c>
      <c r="V955">
        <v>0</v>
      </c>
      <c r="W955" t="str">
        <f>IF(V955&lt;&gt;0,VLOOKUP(VLOOKUP(V955,Tbl_Effect[],3,FALSE),EffectName[],IFERROR(MATCH(UI!$B$1,EffectName[#Headers],0),2),FALSE),"")</f>
        <v/>
      </c>
      <c r="X955" t="str">
        <f t="shared" si="103"/>
        <v/>
      </c>
      <c r="Y955">
        <v>0</v>
      </c>
      <c r="Z955" t="str">
        <f>IF(Y955&lt;&gt;0,VLOOKUP(VLOOKUP(Y955,Tbl_Effect[],3,FALSE),EffectName[],IFERROR(MATCH(UI!$B$1,EffectName[#Headers],0),2),FALSE),"")</f>
        <v/>
      </c>
      <c r="AA955" t="str">
        <f t="shared" si="104"/>
        <v/>
      </c>
      <c r="AB955">
        <v>0</v>
      </c>
      <c r="AC955" t="str">
        <f>IF(AB955&lt;&gt;0,VLOOKUP(VLOOKUP(AB955,Tbl_Effect[],3,FALSE),EffectName[],IFERROR(MATCH(UI!$B$1,EffectName[#Headers],0),2),FALSE),"")</f>
        <v/>
      </c>
    </row>
    <row r="956" spans="8:29" x14ac:dyDescent="0.4">
      <c r="H956" t="str">
        <f t="shared" si="98"/>
        <v>6622400-Unset (紅)</v>
      </c>
      <c r="I956">
        <v>6622400</v>
      </c>
      <c r="J956" t="str">
        <f>_xlfn.IFNA(IF(I956&lt;&gt;0,VLOOKUP(VLOOKUP(I956,Tbl_Equip[],2,FALSE),Tbl_Color[],IFERROR(MATCH(UI!$B$1,Tbl_Color[#Headers],0),2),FALSE),""),"Unset")</f>
        <v>紅</v>
      </c>
      <c r="K956" t="str">
        <f>_xlfn.IFNA(IF(I956&lt;&gt;0,VLOOKUP(I956,ItemText[],IFERROR(MATCH(UI!$B$1,ItemText[#Headers],0),2),FALSE),""),"Unset")</f>
        <v>Unset</v>
      </c>
      <c r="L956" t="str">
        <f t="shared" si="99"/>
        <v/>
      </c>
      <c r="M956">
        <v>0</v>
      </c>
      <c r="N956" t="str">
        <f>IF(VALUE(M956)=0,"",VLOOKUP(VLOOKUP(M956,Tbl_Effect[],3,FALSE),EffectName[],IFERROR(MATCH(UI!$B$1,EffectName[#Headers],0),2),FALSE))</f>
        <v/>
      </c>
      <c r="O956" t="str">
        <f t="shared" si="100"/>
        <v/>
      </c>
      <c r="P956">
        <v>0</v>
      </c>
      <c r="Q956" t="str">
        <f>IF(VALUE(P956)=0,"",VLOOKUP(VLOOKUP(P956,Tbl_Effect[],3,FALSE),EffectName[],IFERROR(MATCH(UI!$B$1,EffectName[#Headers],0),2),FALSE))</f>
        <v/>
      </c>
      <c r="R956" t="str">
        <f t="shared" si="101"/>
        <v/>
      </c>
      <c r="S956">
        <v>0</v>
      </c>
      <c r="T956" t="str">
        <f>IF(VALUE(S956)=0,"",VLOOKUP(VLOOKUP(S956,Tbl_Effect[],3,FALSE),EffectName[],IFERROR(MATCH(UI!$B$1,EffectName[#Headers],0),2),FALSE))</f>
        <v/>
      </c>
      <c r="U956" t="str">
        <f t="shared" si="102"/>
        <v/>
      </c>
      <c r="V956">
        <v>0</v>
      </c>
      <c r="W956" t="str">
        <f>IF(V956&lt;&gt;0,VLOOKUP(VLOOKUP(V956,Tbl_Effect[],3,FALSE),EffectName[],IFERROR(MATCH(UI!$B$1,EffectName[#Headers],0),2),FALSE),"")</f>
        <v/>
      </c>
      <c r="X956" t="str">
        <f t="shared" si="103"/>
        <v/>
      </c>
      <c r="Y956">
        <v>0</v>
      </c>
      <c r="Z956" t="str">
        <f>IF(Y956&lt;&gt;0,VLOOKUP(VLOOKUP(Y956,Tbl_Effect[],3,FALSE),EffectName[],IFERROR(MATCH(UI!$B$1,EffectName[#Headers],0),2),FALSE),"")</f>
        <v/>
      </c>
      <c r="AA956" t="str">
        <f t="shared" si="104"/>
        <v/>
      </c>
      <c r="AB956">
        <v>0</v>
      </c>
      <c r="AC956" t="str">
        <f>IF(AB956&lt;&gt;0,VLOOKUP(VLOOKUP(AB956,Tbl_Effect[],3,FALSE),EffectName[],IFERROR(MATCH(UI!$B$1,EffectName[#Headers],0),2),FALSE),"")</f>
        <v/>
      </c>
    </row>
    <row r="957" spans="8:29" x14ac:dyDescent="0.4">
      <c r="H957" t="str">
        <f t="shared" si="98"/>
        <v>6622500-Unset (紅)</v>
      </c>
      <c r="I957">
        <v>6622500</v>
      </c>
      <c r="J957" t="str">
        <f>_xlfn.IFNA(IF(I957&lt;&gt;0,VLOOKUP(VLOOKUP(I957,Tbl_Equip[],2,FALSE),Tbl_Color[],IFERROR(MATCH(UI!$B$1,Tbl_Color[#Headers],0),2),FALSE),""),"Unset")</f>
        <v>紅</v>
      </c>
      <c r="K957" t="str">
        <f>_xlfn.IFNA(IF(I957&lt;&gt;0,VLOOKUP(I957,ItemText[],IFERROR(MATCH(UI!$B$1,ItemText[#Headers],0),2),FALSE),""),"Unset")</f>
        <v>Unset</v>
      </c>
      <c r="L957" t="str">
        <f t="shared" si="99"/>
        <v/>
      </c>
      <c r="M957">
        <v>0</v>
      </c>
      <c r="N957" t="str">
        <f>IF(VALUE(M957)=0,"",VLOOKUP(VLOOKUP(M957,Tbl_Effect[],3,FALSE),EffectName[],IFERROR(MATCH(UI!$B$1,EffectName[#Headers],0),2),FALSE))</f>
        <v/>
      </c>
      <c r="O957" t="str">
        <f t="shared" si="100"/>
        <v/>
      </c>
      <c r="P957">
        <v>0</v>
      </c>
      <c r="Q957" t="str">
        <f>IF(VALUE(P957)=0,"",VLOOKUP(VLOOKUP(P957,Tbl_Effect[],3,FALSE),EffectName[],IFERROR(MATCH(UI!$B$1,EffectName[#Headers],0),2),FALSE))</f>
        <v/>
      </c>
      <c r="R957" t="str">
        <f t="shared" si="101"/>
        <v/>
      </c>
      <c r="S957">
        <v>0</v>
      </c>
      <c r="T957" t="str">
        <f>IF(VALUE(S957)=0,"",VLOOKUP(VLOOKUP(S957,Tbl_Effect[],3,FALSE),EffectName[],IFERROR(MATCH(UI!$B$1,EffectName[#Headers],0),2),FALSE))</f>
        <v/>
      </c>
      <c r="U957" t="str">
        <f t="shared" si="102"/>
        <v/>
      </c>
      <c r="V957">
        <v>0</v>
      </c>
      <c r="W957" t="str">
        <f>IF(V957&lt;&gt;0,VLOOKUP(VLOOKUP(V957,Tbl_Effect[],3,FALSE),EffectName[],IFERROR(MATCH(UI!$B$1,EffectName[#Headers],0),2),FALSE),"")</f>
        <v/>
      </c>
      <c r="X957" t="str">
        <f t="shared" si="103"/>
        <v/>
      </c>
      <c r="Y957">
        <v>0</v>
      </c>
      <c r="Z957" t="str">
        <f>IF(Y957&lt;&gt;0,VLOOKUP(VLOOKUP(Y957,Tbl_Effect[],3,FALSE),EffectName[],IFERROR(MATCH(UI!$B$1,EffectName[#Headers],0),2),FALSE),"")</f>
        <v/>
      </c>
      <c r="AA957" t="str">
        <f t="shared" si="104"/>
        <v/>
      </c>
      <c r="AB957">
        <v>0</v>
      </c>
      <c r="AC957" t="str">
        <f>IF(AB957&lt;&gt;0,VLOOKUP(VLOOKUP(AB957,Tbl_Effect[],3,FALSE),EffectName[],IFERROR(MATCH(UI!$B$1,EffectName[#Headers],0),2),FALSE),"")</f>
        <v/>
      </c>
    </row>
    <row r="958" spans="8:29" x14ac:dyDescent="0.4">
      <c r="H958" t="str">
        <f t="shared" si="98"/>
        <v>6622600-Unset (紅)</v>
      </c>
      <c r="I958">
        <v>6622600</v>
      </c>
      <c r="J958" t="str">
        <f>_xlfn.IFNA(IF(I958&lt;&gt;0,VLOOKUP(VLOOKUP(I958,Tbl_Equip[],2,FALSE),Tbl_Color[],IFERROR(MATCH(UI!$B$1,Tbl_Color[#Headers],0),2),FALSE),""),"Unset")</f>
        <v>紅</v>
      </c>
      <c r="K958" t="str">
        <f>_xlfn.IFNA(IF(I958&lt;&gt;0,VLOOKUP(I958,ItemText[],IFERROR(MATCH(UI!$B$1,ItemText[#Headers],0),2),FALSE),""),"Unset")</f>
        <v>Unset</v>
      </c>
      <c r="L958" t="str">
        <f t="shared" si="99"/>
        <v/>
      </c>
      <c r="M958">
        <v>0</v>
      </c>
      <c r="N958" t="str">
        <f>IF(VALUE(M958)=0,"",VLOOKUP(VLOOKUP(M958,Tbl_Effect[],3,FALSE),EffectName[],IFERROR(MATCH(UI!$B$1,EffectName[#Headers],0),2),FALSE))</f>
        <v/>
      </c>
      <c r="O958" t="str">
        <f t="shared" si="100"/>
        <v/>
      </c>
      <c r="P958">
        <v>0</v>
      </c>
      <c r="Q958" t="str">
        <f>IF(VALUE(P958)=0,"",VLOOKUP(VLOOKUP(P958,Tbl_Effect[],3,FALSE),EffectName[],IFERROR(MATCH(UI!$B$1,EffectName[#Headers],0),2),FALSE))</f>
        <v/>
      </c>
      <c r="R958" t="str">
        <f t="shared" si="101"/>
        <v/>
      </c>
      <c r="S958">
        <v>0</v>
      </c>
      <c r="T958" t="str">
        <f>IF(VALUE(S958)=0,"",VLOOKUP(VLOOKUP(S958,Tbl_Effect[],3,FALSE),EffectName[],IFERROR(MATCH(UI!$B$1,EffectName[#Headers],0),2),FALSE))</f>
        <v/>
      </c>
      <c r="U958" t="str">
        <f t="shared" si="102"/>
        <v/>
      </c>
      <c r="V958">
        <v>0</v>
      </c>
      <c r="W958" t="str">
        <f>IF(V958&lt;&gt;0,VLOOKUP(VLOOKUP(V958,Tbl_Effect[],3,FALSE),EffectName[],IFERROR(MATCH(UI!$B$1,EffectName[#Headers],0),2),FALSE),"")</f>
        <v/>
      </c>
      <c r="X958" t="str">
        <f t="shared" si="103"/>
        <v/>
      </c>
      <c r="Y958">
        <v>0</v>
      </c>
      <c r="Z958" t="str">
        <f>IF(Y958&lt;&gt;0,VLOOKUP(VLOOKUP(Y958,Tbl_Effect[],3,FALSE),EffectName[],IFERROR(MATCH(UI!$B$1,EffectName[#Headers],0),2),FALSE),"")</f>
        <v/>
      </c>
      <c r="AA958" t="str">
        <f t="shared" si="104"/>
        <v/>
      </c>
      <c r="AB958">
        <v>0</v>
      </c>
      <c r="AC958" t="str">
        <f>IF(AB958&lt;&gt;0,VLOOKUP(VLOOKUP(AB958,Tbl_Effect[],3,FALSE),EffectName[],IFERROR(MATCH(UI!$B$1,EffectName[#Headers],0),2),FALSE),"")</f>
        <v/>
      </c>
    </row>
    <row r="959" spans="8:29" x14ac:dyDescent="0.4">
      <c r="H959" t="str">
        <f t="shared" si="98"/>
        <v>6622700-Unset (紅)</v>
      </c>
      <c r="I959">
        <v>6622700</v>
      </c>
      <c r="J959" t="str">
        <f>_xlfn.IFNA(IF(I959&lt;&gt;0,VLOOKUP(VLOOKUP(I959,Tbl_Equip[],2,FALSE),Tbl_Color[],IFERROR(MATCH(UI!$B$1,Tbl_Color[#Headers],0),2),FALSE),""),"Unset")</f>
        <v>紅</v>
      </c>
      <c r="K959" t="str">
        <f>_xlfn.IFNA(IF(I959&lt;&gt;0,VLOOKUP(I959,ItemText[],IFERROR(MATCH(UI!$B$1,ItemText[#Headers],0),2),FALSE),""),"Unset")</f>
        <v>Unset</v>
      </c>
      <c r="L959" t="str">
        <f t="shared" si="99"/>
        <v/>
      </c>
      <c r="M959">
        <v>0</v>
      </c>
      <c r="N959" t="str">
        <f>IF(VALUE(M959)=0,"",VLOOKUP(VLOOKUP(M959,Tbl_Effect[],3,FALSE),EffectName[],IFERROR(MATCH(UI!$B$1,EffectName[#Headers],0),2),FALSE))</f>
        <v/>
      </c>
      <c r="O959" t="str">
        <f t="shared" si="100"/>
        <v/>
      </c>
      <c r="P959">
        <v>0</v>
      </c>
      <c r="Q959" t="str">
        <f>IF(VALUE(P959)=0,"",VLOOKUP(VLOOKUP(P959,Tbl_Effect[],3,FALSE),EffectName[],IFERROR(MATCH(UI!$B$1,EffectName[#Headers],0),2),FALSE))</f>
        <v/>
      </c>
      <c r="R959" t="str">
        <f t="shared" si="101"/>
        <v/>
      </c>
      <c r="S959">
        <v>0</v>
      </c>
      <c r="T959" t="str">
        <f>IF(VALUE(S959)=0,"",VLOOKUP(VLOOKUP(S959,Tbl_Effect[],3,FALSE),EffectName[],IFERROR(MATCH(UI!$B$1,EffectName[#Headers],0),2),FALSE))</f>
        <v/>
      </c>
      <c r="U959" t="str">
        <f t="shared" si="102"/>
        <v/>
      </c>
      <c r="V959">
        <v>0</v>
      </c>
      <c r="W959" t="str">
        <f>IF(V959&lt;&gt;0,VLOOKUP(VLOOKUP(V959,Tbl_Effect[],3,FALSE),EffectName[],IFERROR(MATCH(UI!$B$1,EffectName[#Headers],0),2),FALSE),"")</f>
        <v/>
      </c>
      <c r="X959" t="str">
        <f t="shared" si="103"/>
        <v/>
      </c>
      <c r="Y959">
        <v>0</v>
      </c>
      <c r="Z959" t="str">
        <f>IF(Y959&lt;&gt;0,VLOOKUP(VLOOKUP(Y959,Tbl_Effect[],3,FALSE),EffectName[],IFERROR(MATCH(UI!$B$1,EffectName[#Headers],0),2),FALSE),"")</f>
        <v/>
      </c>
      <c r="AA959" t="str">
        <f t="shared" si="104"/>
        <v/>
      </c>
      <c r="AB959">
        <v>0</v>
      </c>
      <c r="AC959" t="str">
        <f>IF(AB959&lt;&gt;0,VLOOKUP(VLOOKUP(AB959,Tbl_Effect[],3,FALSE),EffectName[],IFERROR(MATCH(UI!$B$1,EffectName[#Headers],0),2),FALSE),"")</f>
        <v/>
      </c>
    </row>
    <row r="960" spans="8:29" x14ac:dyDescent="0.4">
      <c r="H960" t="str">
        <f t="shared" si="98"/>
        <v>6622800-Unset (紅)</v>
      </c>
      <c r="I960">
        <v>6622800</v>
      </c>
      <c r="J960" t="str">
        <f>_xlfn.IFNA(IF(I960&lt;&gt;0,VLOOKUP(VLOOKUP(I960,Tbl_Equip[],2,FALSE),Tbl_Color[],IFERROR(MATCH(UI!$B$1,Tbl_Color[#Headers],0),2),FALSE),""),"Unset")</f>
        <v>紅</v>
      </c>
      <c r="K960" t="str">
        <f>_xlfn.IFNA(IF(I960&lt;&gt;0,VLOOKUP(I960,ItemText[],IFERROR(MATCH(UI!$B$1,ItemText[#Headers],0),2),FALSE),""),"Unset")</f>
        <v>Unset</v>
      </c>
      <c r="L960" t="str">
        <f t="shared" si="99"/>
        <v/>
      </c>
      <c r="M960">
        <v>0</v>
      </c>
      <c r="N960" t="str">
        <f>IF(VALUE(M960)=0,"",VLOOKUP(VLOOKUP(M960,Tbl_Effect[],3,FALSE),EffectName[],IFERROR(MATCH(UI!$B$1,EffectName[#Headers],0),2),FALSE))</f>
        <v/>
      </c>
      <c r="O960" t="str">
        <f t="shared" si="100"/>
        <v/>
      </c>
      <c r="P960">
        <v>0</v>
      </c>
      <c r="Q960" t="str">
        <f>IF(VALUE(P960)=0,"",VLOOKUP(VLOOKUP(P960,Tbl_Effect[],3,FALSE),EffectName[],IFERROR(MATCH(UI!$B$1,EffectName[#Headers],0),2),FALSE))</f>
        <v/>
      </c>
      <c r="R960" t="str">
        <f t="shared" si="101"/>
        <v/>
      </c>
      <c r="S960">
        <v>0</v>
      </c>
      <c r="T960" t="str">
        <f>IF(VALUE(S960)=0,"",VLOOKUP(VLOOKUP(S960,Tbl_Effect[],3,FALSE),EffectName[],IFERROR(MATCH(UI!$B$1,EffectName[#Headers],0),2),FALSE))</f>
        <v/>
      </c>
      <c r="U960" t="str">
        <f t="shared" si="102"/>
        <v/>
      </c>
      <c r="V960">
        <v>0</v>
      </c>
      <c r="W960" t="str">
        <f>IF(V960&lt;&gt;0,VLOOKUP(VLOOKUP(V960,Tbl_Effect[],3,FALSE),EffectName[],IFERROR(MATCH(UI!$B$1,EffectName[#Headers],0),2),FALSE),"")</f>
        <v/>
      </c>
      <c r="X960" t="str">
        <f t="shared" si="103"/>
        <v/>
      </c>
      <c r="Y960">
        <v>0</v>
      </c>
      <c r="Z960" t="str">
        <f>IF(Y960&lt;&gt;0,VLOOKUP(VLOOKUP(Y960,Tbl_Effect[],3,FALSE),EffectName[],IFERROR(MATCH(UI!$B$1,EffectName[#Headers],0),2),FALSE),"")</f>
        <v/>
      </c>
      <c r="AA960" t="str">
        <f t="shared" si="104"/>
        <v/>
      </c>
      <c r="AB960">
        <v>0</v>
      </c>
      <c r="AC960" t="str">
        <f>IF(AB960&lt;&gt;0,VLOOKUP(VLOOKUP(AB960,Tbl_Effect[],3,FALSE),EffectName[],IFERROR(MATCH(UI!$B$1,EffectName[#Headers],0),2),FALSE),"")</f>
        <v/>
      </c>
    </row>
    <row r="961" spans="8:29" x14ac:dyDescent="0.4">
      <c r="H961" t="str">
        <f t="shared" si="98"/>
        <v>6622900-Unset (紅)</v>
      </c>
      <c r="I961">
        <v>6622900</v>
      </c>
      <c r="J961" t="str">
        <f>_xlfn.IFNA(IF(I961&lt;&gt;0,VLOOKUP(VLOOKUP(I961,Tbl_Equip[],2,FALSE),Tbl_Color[],IFERROR(MATCH(UI!$B$1,Tbl_Color[#Headers],0),2),FALSE),""),"Unset")</f>
        <v>紅</v>
      </c>
      <c r="K961" t="str">
        <f>_xlfn.IFNA(IF(I961&lt;&gt;0,VLOOKUP(I961,ItemText[],IFERROR(MATCH(UI!$B$1,ItemText[#Headers],0),2),FALSE),""),"Unset")</f>
        <v>Unset</v>
      </c>
      <c r="L961" t="str">
        <f t="shared" si="99"/>
        <v/>
      </c>
      <c r="M961">
        <v>0</v>
      </c>
      <c r="N961" t="str">
        <f>IF(VALUE(M961)=0,"",VLOOKUP(VLOOKUP(M961,Tbl_Effect[],3,FALSE),EffectName[],IFERROR(MATCH(UI!$B$1,EffectName[#Headers],0),2),FALSE))</f>
        <v/>
      </c>
      <c r="O961" t="str">
        <f t="shared" si="100"/>
        <v/>
      </c>
      <c r="P961">
        <v>0</v>
      </c>
      <c r="Q961" t="str">
        <f>IF(VALUE(P961)=0,"",VLOOKUP(VLOOKUP(P961,Tbl_Effect[],3,FALSE),EffectName[],IFERROR(MATCH(UI!$B$1,EffectName[#Headers],0),2),FALSE))</f>
        <v/>
      </c>
      <c r="R961" t="str">
        <f t="shared" si="101"/>
        <v/>
      </c>
      <c r="S961">
        <v>0</v>
      </c>
      <c r="T961" t="str">
        <f>IF(VALUE(S961)=0,"",VLOOKUP(VLOOKUP(S961,Tbl_Effect[],3,FALSE),EffectName[],IFERROR(MATCH(UI!$B$1,EffectName[#Headers],0),2),FALSE))</f>
        <v/>
      </c>
      <c r="U961" t="str">
        <f t="shared" si="102"/>
        <v/>
      </c>
      <c r="V961">
        <v>0</v>
      </c>
      <c r="W961" t="str">
        <f>IF(V961&lt;&gt;0,VLOOKUP(VLOOKUP(V961,Tbl_Effect[],3,FALSE),EffectName[],IFERROR(MATCH(UI!$B$1,EffectName[#Headers],0),2),FALSE),"")</f>
        <v/>
      </c>
      <c r="X961" t="str">
        <f t="shared" si="103"/>
        <v/>
      </c>
      <c r="Y961">
        <v>0</v>
      </c>
      <c r="Z961" t="str">
        <f>IF(Y961&lt;&gt;0,VLOOKUP(VLOOKUP(Y961,Tbl_Effect[],3,FALSE),EffectName[],IFERROR(MATCH(UI!$B$1,EffectName[#Headers],0),2),FALSE),"")</f>
        <v/>
      </c>
      <c r="AA961" t="str">
        <f t="shared" si="104"/>
        <v/>
      </c>
      <c r="AB961">
        <v>0</v>
      </c>
      <c r="AC961" t="str">
        <f>IF(AB961&lt;&gt;0,VLOOKUP(VLOOKUP(AB961,Tbl_Effect[],3,FALSE),EffectName[],IFERROR(MATCH(UI!$B$1,EffectName[#Headers],0),2),FALSE),"")</f>
        <v/>
      </c>
    </row>
    <row r="962" spans="8:29" x14ac:dyDescent="0.4">
      <c r="H962" t="str">
        <f t="shared" si="98"/>
        <v>6623000-Unset (紅)</v>
      </c>
      <c r="I962">
        <v>6623000</v>
      </c>
      <c r="J962" t="str">
        <f>_xlfn.IFNA(IF(I962&lt;&gt;0,VLOOKUP(VLOOKUP(I962,Tbl_Equip[],2,FALSE),Tbl_Color[],IFERROR(MATCH(UI!$B$1,Tbl_Color[#Headers],0),2),FALSE),""),"Unset")</f>
        <v>紅</v>
      </c>
      <c r="K962" t="str">
        <f>_xlfn.IFNA(IF(I962&lt;&gt;0,VLOOKUP(I962,ItemText[],IFERROR(MATCH(UI!$B$1,ItemText[#Headers],0),2),FALSE),""),"Unset")</f>
        <v>Unset</v>
      </c>
      <c r="L962" t="str">
        <f t="shared" si="99"/>
        <v/>
      </c>
      <c r="M962">
        <v>0</v>
      </c>
      <c r="N962" t="str">
        <f>IF(VALUE(M962)=0,"",VLOOKUP(VLOOKUP(M962,Tbl_Effect[],3,FALSE),EffectName[],IFERROR(MATCH(UI!$B$1,EffectName[#Headers],0),2),FALSE))</f>
        <v/>
      </c>
      <c r="O962" t="str">
        <f t="shared" si="100"/>
        <v/>
      </c>
      <c r="P962">
        <v>0</v>
      </c>
      <c r="Q962" t="str">
        <f>IF(VALUE(P962)=0,"",VLOOKUP(VLOOKUP(P962,Tbl_Effect[],3,FALSE),EffectName[],IFERROR(MATCH(UI!$B$1,EffectName[#Headers],0),2),FALSE))</f>
        <v/>
      </c>
      <c r="R962" t="str">
        <f t="shared" si="101"/>
        <v/>
      </c>
      <c r="S962">
        <v>0</v>
      </c>
      <c r="T962" t="str">
        <f>IF(VALUE(S962)=0,"",VLOOKUP(VLOOKUP(S962,Tbl_Effect[],3,FALSE),EffectName[],IFERROR(MATCH(UI!$B$1,EffectName[#Headers],0),2),FALSE))</f>
        <v/>
      </c>
      <c r="U962" t="str">
        <f t="shared" si="102"/>
        <v/>
      </c>
      <c r="V962">
        <v>0</v>
      </c>
      <c r="W962" t="str">
        <f>IF(V962&lt;&gt;0,VLOOKUP(VLOOKUP(V962,Tbl_Effect[],3,FALSE),EffectName[],IFERROR(MATCH(UI!$B$1,EffectName[#Headers],0),2),FALSE),"")</f>
        <v/>
      </c>
      <c r="X962" t="str">
        <f t="shared" si="103"/>
        <v/>
      </c>
      <c r="Y962">
        <v>0</v>
      </c>
      <c r="Z962" t="str">
        <f>IF(Y962&lt;&gt;0,VLOOKUP(VLOOKUP(Y962,Tbl_Effect[],3,FALSE),EffectName[],IFERROR(MATCH(UI!$B$1,EffectName[#Headers],0),2),FALSE),"")</f>
        <v/>
      </c>
      <c r="AA962" t="str">
        <f t="shared" si="104"/>
        <v/>
      </c>
      <c r="AB962">
        <v>0</v>
      </c>
      <c r="AC962" t="str">
        <f>IF(AB962&lt;&gt;0,VLOOKUP(VLOOKUP(AB962,Tbl_Effect[],3,FALSE),EffectName[],IFERROR(MATCH(UI!$B$1,EffectName[#Headers],0),2),FALSE),"")</f>
        <v/>
      </c>
    </row>
    <row r="963" spans="8:29" x14ac:dyDescent="0.4">
      <c r="H963" t="str">
        <f t="shared" ref="H963:H1026" si="105">IF(VALUE(I963)&lt;&gt;0,I963&amp;"-"&amp;K963&amp;" ("&amp;J963&amp;")","")</f>
        <v>6623100-Unset (紅)</v>
      </c>
      <c r="I963">
        <v>6623100</v>
      </c>
      <c r="J963" t="str">
        <f>_xlfn.IFNA(IF(I963&lt;&gt;0,VLOOKUP(VLOOKUP(I963,Tbl_Equip[],2,FALSE),Tbl_Color[],IFERROR(MATCH(UI!$B$1,Tbl_Color[#Headers],0),2),FALSE),""),"Unset")</f>
        <v>紅</v>
      </c>
      <c r="K963" t="str">
        <f>_xlfn.IFNA(IF(I963&lt;&gt;0,VLOOKUP(I963,ItemText[],IFERROR(MATCH(UI!$B$1,ItemText[#Headers],0),2),FALSE),""),"Unset")</f>
        <v>Unset</v>
      </c>
      <c r="L963" t="str">
        <f t="shared" ref="L963:L1026" si="106">IF(VALUE(M963)=0,"",M963&amp;"-"&amp;N963)</f>
        <v/>
      </c>
      <c r="M963">
        <v>0</v>
      </c>
      <c r="N963" t="str">
        <f>IF(VALUE(M963)=0,"",VLOOKUP(VLOOKUP(M963,Tbl_Effect[],3,FALSE),EffectName[],IFERROR(MATCH(UI!$B$1,EffectName[#Headers],0),2),FALSE))</f>
        <v/>
      </c>
      <c r="O963" t="str">
        <f t="shared" ref="O963:O1026" si="107">IF(VALUE(P963)=0,"",P963&amp;"-"&amp;Q963)</f>
        <v/>
      </c>
      <c r="P963">
        <v>0</v>
      </c>
      <c r="Q963" t="str">
        <f>IF(VALUE(P963)=0,"",VLOOKUP(VLOOKUP(P963,Tbl_Effect[],3,FALSE),EffectName[],IFERROR(MATCH(UI!$B$1,EffectName[#Headers],0),2),FALSE))</f>
        <v/>
      </c>
      <c r="R963" t="str">
        <f t="shared" ref="R963:R1026" si="108">IF(VALUE(S963)=0,"",S963&amp;"-"&amp;T963)</f>
        <v/>
      </c>
      <c r="S963">
        <v>0</v>
      </c>
      <c r="T963" t="str">
        <f>IF(VALUE(S963)=0,"",VLOOKUP(VLOOKUP(S963,Tbl_Effect[],3,FALSE),EffectName[],IFERROR(MATCH(UI!$B$1,EffectName[#Headers],0),2),FALSE))</f>
        <v/>
      </c>
      <c r="U963" t="str">
        <f t="shared" ref="U963:U1026" si="109">IF(VALUE(V963)=0,"",V963&amp;"-"&amp;W963)</f>
        <v/>
      </c>
      <c r="V963">
        <v>0</v>
      </c>
      <c r="W963" t="str">
        <f>IF(V963&lt;&gt;0,VLOOKUP(VLOOKUP(V963,Tbl_Effect[],3,FALSE),EffectName[],IFERROR(MATCH(UI!$B$1,EffectName[#Headers],0),2),FALSE),"")</f>
        <v/>
      </c>
      <c r="X963" t="str">
        <f t="shared" ref="X963:X1026" si="110">IF(VALUE(Y963)=0,"",Y963&amp;"-"&amp;Z963)</f>
        <v/>
      </c>
      <c r="Y963">
        <v>0</v>
      </c>
      <c r="Z963" t="str">
        <f>IF(Y963&lt;&gt;0,VLOOKUP(VLOOKUP(Y963,Tbl_Effect[],3,FALSE),EffectName[],IFERROR(MATCH(UI!$B$1,EffectName[#Headers],0),2),FALSE),"")</f>
        <v/>
      </c>
      <c r="AA963" t="str">
        <f t="shared" ref="AA963:AA1026" si="111">IF(VALUE(AB963)=0,"",AB963&amp;"-"&amp;AC963)</f>
        <v/>
      </c>
      <c r="AB963">
        <v>0</v>
      </c>
      <c r="AC963" t="str">
        <f>IF(AB963&lt;&gt;0,VLOOKUP(VLOOKUP(AB963,Tbl_Effect[],3,FALSE),EffectName[],IFERROR(MATCH(UI!$B$1,EffectName[#Headers],0),2),FALSE),"")</f>
        <v/>
      </c>
    </row>
    <row r="964" spans="8:29" x14ac:dyDescent="0.4">
      <c r="H964" t="str">
        <f t="shared" si="105"/>
        <v>6623200-Unset (紅)</v>
      </c>
      <c r="I964">
        <v>6623200</v>
      </c>
      <c r="J964" t="str">
        <f>_xlfn.IFNA(IF(I964&lt;&gt;0,VLOOKUP(VLOOKUP(I964,Tbl_Equip[],2,FALSE),Tbl_Color[],IFERROR(MATCH(UI!$B$1,Tbl_Color[#Headers],0),2),FALSE),""),"Unset")</f>
        <v>紅</v>
      </c>
      <c r="K964" t="str">
        <f>_xlfn.IFNA(IF(I964&lt;&gt;0,VLOOKUP(I964,ItemText[],IFERROR(MATCH(UI!$B$1,ItemText[#Headers],0),2),FALSE),""),"Unset")</f>
        <v>Unset</v>
      </c>
      <c r="L964" t="str">
        <f t="shared" si="106"/>
        <v/>
      </c>
      <c r="M964">
        <v>0</v>
      </c>
      <c r="N964" t="str">
        <f>IF(VALUE(M964)=0,"",VLOOKUP(VLOOKUP(M964,Tbl_Effect[],3,FALSE),EffectName[],IFERROR(MATCH(UI!$B$1,EffectName[#Headers],0),2),FALSE))</f>
        <v/>
      </c>
      <c r="O964" t="str">
        <f t="shared" si="107"/>
        <v/>
      </c>
      <c r="P964">
        <v>0</v>
      </c>
      <c r="Q964" t="str">
        <f>IF(VALUE(P964)=0,"",VLOOKUP(VLOOKUP(P964,Tbl_Effect[],3,FALSE),EffectName[],IFERROR(MATCH(UI!$B$1,EffectName[#Headers],0),2),FALSE))</f>
        <v/>
      </c>
      <c r="R964" t="str">
        <f t="shared" si="108"/>
        <v/>
      </c>
      <c r="S964">
        <v>0</v>
      </c>
      <c r="T964" t="str">
        <f>IF(VALUE(S964)=0,"",VLOOKUP(VLOOKUP(S964,Tbl_Effect[],3,FALSE),EffectName[],IFERROR(MATCH(UI!$B$1,EffectName[#Headers],0),2),FALSE))</f>
        <v/>
      </c>
      <c r="U964" t="str">
        <f t="shared" si="109"/>
        <v/>
      </c>
      <c r="V964">
        <v>0</v>
      </c>
      <c r="W964" t="str">
        <f>IF(V964&lt;&gt;0,VLOOKUP(VLOOKUP(V964,Tbl_Effect[],3,FALSE),EffectName[],IFERROR(MATCH(UI!$B$1,EffectName[#Headers],0),2),FALSE),"")</f>
        <v/>
      </c>
      <c r="X964" t="str">
        <f t="shared" si="110"/>
        <v/>
      </c>
      <c r="Y964">
        <v>0</v>
      </c>
      <c r="Z964" t="str">
        <f>IF(Y964&lt;&gt;0,VLOOKUP(VLOOKUP(Y964,Tbl_Effect[],3,FALSE),EffectName[],IFERROR(MATCH(UI!$B$1,EffectName[#Headers],0),2),FALSE),"")</f>
        <v/>
      </c>
      <c r="AA964" t="str">
        <f t="shared" si="111"/>
        <v/>
      </c>
      <c r="AB964">
        <v>0</v>
      </c>
      <c r="AC964" t="str">
        <f>IF(AB964&lt;&gt;0,VLOOKUP(VLOOKUP(AB964,Tbl_Effect[],3,FALSE),EffectName[],IFERROR(MATCH(UI!$B$1,EffectName[#Headers],0),2),FALSE),"")</f>
        <v/>
      </c>
    </row>
    <row r="965" spans="8:29" x14ac:dyDescent="0.4">
      <c r="H965" t="str">
        <f t="shared" si="105"/>
        <v>6624000-Unset (紅)</v>
      </c>
      <c r="I965">
        <v>6624000</v>
      </c>
      <c r="J965" t="str">
        <f>_xlfn.IFNA(IF(I965&lt;&gt;0,VLOOKUP(VLOOKUP(I965,Tbl_Equip[],2,FALSE),Tbl_Color[],IFERROR(MATCH(UI!$B$1,Tbl_Color[#Headers],0),2),FALSE),""),"Unset")</f>
        <v>紅</v>
      </c>
      <c r="K965" t="str">
        <f>_xlfn.IFNA(IF(I965&lt;&gt;0,VLOOKUP(I965,ItemText[],IFERROR(MATCH(UI!$B$1,ItemText[#Headers],0),2),FALSE),""),"Unset")</f>
        <v>Unset</v>
      </c>
      <c r="L965" t="str">
        <f t="shared" si="106"/>
        <v/>
      </c>
      <c r="M965">
        <v>0</v>
      </c>
      <c r="N965" t="str">
        <f>IF(VALUE(M965)=0,"",VLOOKUP(VLOOKUP(M965,Tbl_Effect[],3,FALSE),EffectName[],IFERROR(MATCH(UI!$B$1,EffectName[#Headers],0),2),FALSE))</f>
        <v/>
      </c>
      <c r="O965" t="str">
        <f t="shared" si="107"/>
        <v/>
      </c>
      <c r="P965">
        <v>0</v>
      </c>
      <c r="Q965" t="str">
        <f>IF(VALUE(P965)=0,"",VLOOKUP(VLOOKUP(P965,Tbl_Effect[],3,FALSE),EffectName[],IFERROR(MATCH(UI!$B$1,EffectName[#Headers],0),2),FALSE))</f>
        <v/>
      </c>
      <c r="R965" t="str">
        <f t="shared" si="108"/>
        <v/>
      </c>
      <c r="S965">
        <v>0</v>
      </c>
      <c r="T965" t="str">
        <f>IF(VALUE(S965)=0,"",VLOOKUP(VLOOKUP(S965,Tbl_Effect[],3,FALSE),EffectName[],IFERROR(MATCH(UI!$B$1,EffectName[#Headers],0),2),FALSE))</f>
        <v/>
      </c>
      <c r="U965" t="str">
        <f t="shared" si="109"/>
        <v/>
      </c>
      <c r="V965">
        <v>0</v>
      </c>
      <c r="W965" t="str">
        <f>IF(V965&lt;&gt;0,VLOOKUP(VLOOKUP(V965,Tbl_Effect[],3,FALSE),EffectName[],IFERROR(MATCH(UI!$B$1,EffectName[#Headers],0),2),FALSE),"")</f>
        <v/>
      </c>
      <c r="X965" t="str">
        <f t="shared" si="110"/>
        <v/>
      </c>
      <c r="Y965">
        <v>0</v>
      </c>
      <c r="Z965" t="str">
        <f>IF(Y965&lt;&gt;0,VLOOKUP(VLOOKUP(Y965,Tbl_Effect[],3,FALSE),EffectName[],IFERROR(MATCH(UI!$B$1,EffectName[#Headers],0),2),FALSE),"")</f>
        <v/>
      </c>
      <c r="AA965" t="str">
        <f t="shared" si="111"/>
        <v/>
      </c>
      <c r="AB965">
        <v>0</v>
      </c>
      <c r="AC965" t="str">
        <f>IF(AB965&lt;&gt;0,VLOOKUP(VLOOKUP(AB965,Tbl_Effect[],3,FALSE),EffectName[],IFERROR(MATCH(UI!$B$1,EffectName[#Headers],0),2),FALSE),"")</f>
        <v/>
      </c>
    </row>
    <row r="966" spans="8:29" x14ac:dyDescent="0.4">
      <c r="H966" t="str">
        <f t="shared" si="105"/>
        <v>6624100-Unset (紅)</v>
      </c>
      <c r="I966">
        <v>6624100</v>
      </c>
      <c r="J966" t="str">
        <f>_xlfn.IFNA(IF(I966&lt;&gt;0,VLOOKUP(VLOOKUP(I966,Tbl_Equip[],2,FALSE),Tbl_Color[],IFERROR(MATCH(UI!$B$1,Tbl_Color[#Headers],0),2),FALSE),""),"Unset")</f>
        <v>紅</v>
      </c>
      <c r="K966" t="str">
        <f>_xlfn.IFNA(IF(I966&lt;&gt;0,VLOOKUP(I966,ItemText[],IFERROR(MATCH(UI!$B$1,ItemText[#Headers],0),2),FALSE),""),"Unset")</f>
        <v>Unset</v>
      </c>
      <c r="L966" t="str">
        <f t="shared" si="106"/>
        <v/>
      </c>
      <c r="M966">
        <v>0</v>
      </c>
      <c r="N966" t="str">
        <f>IF(VALUE(M966)=0,"",VLOOKUP(VLOOKUP(M966,Tbl_Effect[],3,FALSE),EffectName[],IFERROR(MATCH(UI!$B$1,EffectName[#Headers],0),2),FALSE))</f>
        <v/>
      </c>
      <c r="O966" t="str">
        <f t="shared" si="107"/>
        <v/>
      </c>
      <c r="P966">
        <v>0</v>
      </c>
      <c r="Q966" t="str">
        <f>IF(VALUE(P966)=0,"",VLOOKUP(VLOOKUP(P966,Tbl_Effect[],3,FALSE),EffectName[],IFERROR(MATCH(UI!$B$1,EffectName[#Headers],0),2),FALSE))</f>
        <v/>
      </c>
      <c r="R966" t="str">
        <f t="shared" si="108"/>
        <v/>
      </c>
      <c r="S966">
        <v>0</v>
      </c>
      <c r="T966" t="str">
        <f>IF(VALUE(S966)=0,"",VLOOKUP(VLOOKUP(S966,Tbl_Effect[],3,FALSE),EffectName[],IFERROR(MATCH(UI!$B$1,EffectName[#Headers],0),2),FALSE))</f>
        <v/>
      </c>
      <c r="U966" t="str">
        <f t="shared" si="109"/>
        <v/>
      </c>
      <c r="V966">
        <v>0</v>
      </c>
      <c r="W966" t="str">
        <f>IF(V966&lt;&gt;0,VLOOKUP(VLOOKUP(V966,Tbl_Effect[],3,FALSE),EffectName[],IFERROR(MATCH(UI!$B$1,EffectName[#Headers],0),2),FALSE),"")</f>
        <v/>
      </c>
      <c r="X966" t="str">
        <f t="shared" si="110"/>
        <v/>
      </c>
      <c r="Y966">
        <v>0</v>
      </c>
      <c r="Z966" t="str">
        <f>IF(Y966&lt;&gt;0,VLOOKUP(VLOOKUP(Y966,Tbl_Effect[],3,FALSE),EffectName[],IFERROR(MATCH(UI!$B$1,EffectName[#Headers],0),2),FALSE),"")</f>
        <v/>
      </c>
      <c r="AA966" t="str">
        <f t="shared" si="111"/>
        <v/>
      </c>
      <c r="AB966">
        <v>0</v>
      </c>
      <c r="AC966" t="str">
        <f>IF(AB966&lt;&gt;0,VLOOKUP(VLOOKUP(AB966,Tbl_Effect[],3,FALSE),EffectName[],IFERROR(MATCH(UI!$B$1,EffectName[#Headers],0),2),FALSE),"")</f>
        <v/>
      </c>
    </row>
    <row r="967" spans="8:29" x14ac:dyDescent="0.4">
      <c r="H967" t="str">
        <f t="shared" si="105"/>
        <v>6624200-Unset (紅)</v>
      </c>
      <c r="I967">
        <v>6624200</v>
      </c>
      <c r="J967" t="str">
        <f>_xlfn.IFNA(IF(I967&lt;&gt;0,VLOOKUP(VLOOKUP(I967,Tbl_Equip[],2,FALSE),Tbl_Color[],IFERROR(MATCH(UI!$B$1,Tbl_Color[#Headers],0),2),FALSE),""),"Unset")</f>
        <v>紅</v>
      </c>
      <c r="K967" t="str">
        <f>_xlfn.IFNA(IF(I967&lt;&gt;0,VLOOKUP(I967,ItemText[],IFERROR(MATCH(UI!$B$1,ItemText[#Headers],0),2),FALSE),""),"Unset")</f>
        <v>Unset</v>
      </c>
      <c r="L967" t="str">
        <f t="shared" si="106"/>
        <v/>
      </c>
      <c r="M967">
        <v>0</v>
      </c>
      <c r="N967" t="str">
        <f>IF(VALUE(M967)=0,"",VLOOKUP(VLOOKUP(M967,Tbl_Effect[],3,FALSE),EffectName[],IFERROR(MATCH(UI!$B$1,EffectName[#Headers],0),2),FALSE))</f>
        <v/>
      </c>
      <c r="O967" t="str">
        <f t="shared" si="107"/>
        <v/>
      </c>
      <c r="P967">
        <v>0</v>
      </c>
      <c r="Q967" t="str">
        <f>IF(VALUE(P967)=0,"",VLOOKUP(VLOOKUP(P967,Tbl_Effect[],3,FALSE),EffectName[],IFERROR(MATCH(UI!$B$1,EffectName[#Headers],0),2),FALSE))</f>
        <v/>
      </c>
      <c r="R967" t="str">
        <f t="shared" si="108"/>
        <v/>
      </c>
      <c r="S967">
        <v>0</v>
      </c>
      <c r="T967" t="str">
        <f>IF(VALUE(S967)=0,"",VLOOKUP(VLOOKUP(S967,Tbl_Effect[],3,FALSE),EffectName[],IFERROR(MATCH(UI!$B$1,EffectName[#Headers],0),2),FALSE))</f>
        <v/>
      </c>
      <c r="U967" t="str">
        <f t="shared" si="109"/>
        <v/>
      </c>
      <c r="V967">
        <v>0</v>
      </c>
      <c r="W967" t="str">
        <f>IF(V967&lt;&gt;0,VLOOKUP(VLOOKUP(V967,Tbl_Effect[],3,FALSE),EffectName[],IFERROR(MATCH(UI!$B$1,EffectName[#Headers],0),2),FALSE),"")</f>
        <v/>
      </c>
      <c r="X967" t="str">
        <f t="shared" si="110"/>
        <v/>
      </c>
      <c r="Y967">
        <v>0</v>
      </c>
      <c r="Z967" t="str">
        <f>IF(Y967&lt;&gt;0,VLOOKUP(VLOOKUP(Y967,Tbl_Effect[],3,FALSE),EffectName[],IFERROR(MATCH(UI!$B$1,EffectName[#Headers],0),2),FALSE),"")</f>
        <v/>
      </c>
      <c r="AA967" t="str">
        <f t="shared" si="111"/>
        <v/>
      </c>
      <c r="AB967">
        <v>0</v>
      </c>
      <c r="AC967" t="str">
        <f>IF(AB967&lt;&gt;0,VLOOKUP(VLOOKUP(AB967,Tbl_Effect[],3,FALSE),EffectName[],IFERROR(MATCH(UI!$B$1,EffectName[#Headers],0),2),FALSE),"")</f>
        <v/>
      </c>
    </row>
    <row r="968" spans="8:29" x14ac:dyDescent="0.4">
      <c r="H968" t="str">
        <f t="shared" si="105"/>
        <v>6624300-Unset (紅)</v>
      </c>
      <c r="I968">
        <v>6624300</v>
      </c>
      <c r="J968" t="str">
        <f>_xlfn.IFNA(IF(I968&lt;&gt;0,VLOOKUP(VLOOKUP(I968,Tbl_Equip[],2,FALSE),Tbl_Color[],IFERROR(MATCH(UI!$B$1,Tbl_Color[#Headers],0),2),FALSE),""),"Unset")</f>
        <v>紅</v>
      </c>
      <c r="K968" t="str">
        <f>_xlfn.IFNA(IF(I968&lt;&gt;0,VLOOKUP(I968,ItemText[],IFERROR(MATCH(UI!$B$1,ItemText[#Headers],0),2),FALSE),""),"Unset")</f>
        <v>Unset</v>
      </c>
      <c r="L968" t="str">
        <f t="shared" si="106"/>
        <v/>
      </c>
      <c r="M968">
        <v>0</v>
      </c>
      <c r="N968" t="str">
        <f>IF(VALUE(M968)=0,"",VLOOKUP(VLOOKUP(M968,Tbl_Effect[],3,FALSE),EffectName[],IFERROR(MATCH(UI!$B$1,EffectName[#Headers],0),2),FALSE))</f>
        <v/>
      </c>
      <c r="O968" t="str">
        <f t="shared" si="107"/>
        <v/>
      </c>
      <c r="P968">
        <v>0</v>
      </c>
      <c r="Q968" t="str">
        <f>IF(VALUE(P968)=0,"",VLOOKUP(VLOOKUP(P968,Tbl_Effect[],3,FALSE),EffectName[],IFERROR(MATCH(UI!$B$1,EffectName[#Headers],0),2),FALSE))</f>
        <v/>
      </c>
      <c r="R968" t="str">
        <f t="shared" si="108"/>
        <v/>
      </c>
      <c r="S968">
        <v>0</v>
      </c>
      <c r="T968" t="str">
        <f>IF(VALUE(S968)=0,"",VLOOKUP(VLOOKUP(S968,Tbl_Effect[],3,FALSE),EffectName[],IFERROR(MATCH(UI!$B$1,EffectName[#Headers],0),2),FALSE))</f>
        <v/>
      </c>
      <c r="U968" t="str">
        <f t="shared" si="109"/>
        <v/>
      </c>
      <c r="V968">
        <v>0</v>
      </c>
      <c r="W968" t="str">
        <f>IF(V968&lt;&gt;0,VLOOKUP(VLOOKUP(V968,Tbl_Effect[],3,FALSE),EffectName[],IFERROR(MATCH(UI!$B$1,EffectName[#Headers],0),2),FALSE),"")</f>
        <v/>
      </c>
      <c r="X968" t="str">
        <f t="shared" si="110"/>
        <v/>
      </c>
      <c r="Y968">
        <v>0</v>
      </c>
      <c r="Z968" t="str">
        <f>IF(Y968&lt;&gt;0,VLOOKUP(VLOOKUP(Y968,Tbl_Effect[],3,FALSE),EffectName[],IFERROR(MATCH(UI!$B$1,EffectName[#Headers],0),2),FALSE),"")</f>
        <v/>
      </c>
      <c r="AA968" t="str">
        <f t="shared" si="111"/>
        <v/>
      </c>
      <c r="AB968">
        <v>0</v>
      </c>
      <c r="AC968" t="str">
        <f>IF(AB968&lt;&gt;0,VLOOKUP(VLOOKUP(AB968,Tbl_Effect[],3,FALSE),EffectName[],IFERROR(MATCH(UI!$B$1,EffectName[#Headers],0),2),FALSE),"")</f>
        <v/>
      </c>
    </row>
    <row r="969" spans="8:29" x14ac:dyDescent="0.4">
      <c r="H969" t="str">
        <f t="shared" si="105"/>
        <v>6624400-Unset (紅)</v>
      </c>
      <c r="I969">
        <v>6624400</v>
      </c>
      <c r="J969" t="str">
        <f>_xlfn.IFNA(IF(I969&lt;&gt;0,VLOOKUP(VLOOKUP(I969,Tbl_Equip[],2,FALSE),Tbl_Color[],IFERROR(MATCH(UI!$B$1,Tbl_Color[#Headers],0),2),FALSE),""),"Unset")</f>
        <v>紅</v>
      </c>
      <c r="K969" t="str">
        <f>_xlfn.IFNA(IF(I969&lt;&gt;0,VLOOKUP(I969,ItemText[],IFERROR(MATCH(UI!$B$1,ItemText[#Headers],0),2),FALSE),""),"Unset")</f>
        <v>Unset</v>
      </c>
      <c r="L969" t="str">
        <f t="shared" si="106"/>
        <v/>
      </c>
      <c r="M969">
        <v>0</v>
      </c>
      <c r="N969" t="str">
        <f>IF(VALUE(M969)=0,"",VLOOKUP(VLOOKUP(M969,Tbl_Effect[],3,FALSE),EffectName[],IFERROR(MATCH(UI!$B$1,EffectName[#Headers],0),2),FALSE))</f>
        <v/>
      </c>
      <c r="O969" t="str">
        <f t="shared" si="107"/>
        <v/>
      </c>
      <c r="P969">
        <v>0</v>
      </c>
      <c r="Q969" t="str">
        <f>IF(VALUE(P969)=0,"",VLOOKUP(VLOOKUP(P969,Tbl_Effect[],3,FALSE),EffectName[],IFERROR(MATCH(UI!$B$1,EffectName[#Headers],0),2),FALSE))</f>
        <v/>
      </c>
      <c r="R969" t="str">
        <f t="shared" si="108"/>
        <v/>
      </c>
      <c r="S969">
        <v>0</v>
      </c>
      <c r="T969" t="str">
        <f>IF(VALUE(S969)=0,"",VLOOKUP(VLOOKUP(S969,Tbl_Effect[],3,FALSE),EffectName[],IFERROR(MATCH(UI!$B$1,EffectName[#Headers],0),2),FALSE))</f>
        <v/>
      </c>
      <c r="U969" t="str">
        <f t="shared" si="109"/>
        <v/>
      </c>
      <c r="V969">
        <v>0</v>
      </c>
      <c r="W969" t="str">
        <f>IF(V969&lt;&gt;0,VLOOKUP(VLOOKUP(V969,Tbl_Effect[],3,FALSE),EffectName[],IFERROR(MATCH(UI!$B$1,EffectName[#Headers],0),2),FALSE),"")</f>
        <v/>
      </c>
      <c r="X969" t="str">
        <f t="shared" si="110"/>
        <v/>
      </c>
      <c r="Y969">
        <v>0</v>
      </c>
      <c r="Z969" t="str">
        <f>IF(Y969&lt;&gt;0,VLOOKUP(VLOOKUP(Y969,Tbl_Effect[],3,FALSE),EffectName[],IFERROR(MATCH(UI!$B$1,EffectName[#Headers],0),2),FALSE),"")</f>
        <v/>
      </c>
      <c r="AA969" t="str">
        <f t="shared" si="111"/>
        <v/>
      </c>
      <c r="AB969">
        <v>0</v>
      </c>
      <c r="AC969" t="str">
        <f>IF(AB969&lt;&gt;0,VLOOKUP(VLOOKUP(AB969,Tbl_Effect[],3,FALSE),EffectName[],IFERROR(MATCH(UI!$B$1,EffectName[#Headers],0),2),FALSE),"")</f>
        <v/>
      </c>
    </row>
    <row r="970" spans="8:29" x14ac:dyDescent="0.4">
      <c r="H970" t="str">
        <f t="shared" si="105"/>
        <v>6624500-Unset (紅)</v>
      </c>
      <c r="I970">
        <v>6624500</v>
      </c>
      <c r="J970" t="str">
        <f>_xlfn.IFNA(IF(I970&lt;&gt;0,VLOOKUP(VLOOKUP(I970,Tbl_Equip[],2,FALSE),Tbl_Color[],IFERROR(MATCH(UI!$B$1,Tbl_Color[#Headers],0),2),FALSE),""),"Unset")</f>
        <v>紅</v>
      </c>
      <c r="K970" t="str">
        <f>_xlfn.IFNA(IF(I970&lt;&gt;0,VLOOKUP(I970,ItemText[],IFERROR(MATCH(UI!$B$1,ItemText[#Headers],0),2),FALSE),""),"Unset")</f>
        <v>Unset</v>
      </c>
      <c r="L970" t="str">
        <f t="shared" si="106"/>
        <v/>
      </c>
      <c r="M970">
        <v>0</v>
      </c>
      <c r="N970" t="str">
        <f>IF(VALUE(M970)=0,"",VLOOKUP(VLOOKUP(M970,Tbl_Effect[],3,FALSE),EffectName[],IFERROR(MATCH(UI!$B$1,EffectName[#Headers],0),2),FALSE))</f>
        <v/>
      </c>
      <c r="O970" t="str">
        <f t="shared" si="107"/>
        <v/>
      </c>
      <c r="P970">
        <v>0</v>
      </c>
      <c r="Q970" t="str">
        <f>IF(VALUE(P970)=0,"",VLOOKUP(VLOOKUP(P970,Tbl_Effect[],3,FALSE),EffectName[],IFERROR(MATCH(UI!$B$1,EffectName[#Headers],0),2),FALSE))</f>
        <v/>
      </c>
      <c r="R970" t="str">
        <f t="shared" si="108"/>
        <v/>
      </c>
      <c r="S970">
        <v>0</v>
      </c>
      <c r="T970" t="str">
        <f>IF(VALUE(S970)=0,"",VLOOKUP(VLOOKUP(S970,Tbl_Effect[],3,FALSE),EffectName[],IFERROR(MATCH(UI!$B$1,EffectName[#Headers],0),2),FALSE))</f>
        <v/>
      </c>
      <c r="U970" t="str">
        <f t="shared" si="109"/>
        <v/>
      </c>
      <c r="V970">
        <v>0</v>
      </c>
      <c r="W970" t="str">
        <f>IF(V970&lt;&gt;0,VLOOKUP(VLOOKUP(V970,Tbl_Effect[],3,FALSE),EffectName[],IFERROR(MATCH(UI!$B$1,EffectName[#Headers],0),2),FALSE),"")</f>
        <v/>
      </c>
      <c r="X970" t="str">
        <f t="shared" si="110"/>
        <v/>
      </c>
      <c r="Y970">
        <v>0</v>
      </c>
      <c r="Z970" t="str">
        <f>IF(Y970&lt;&gt;0,VLOOKUP(VLOOKUP(Y970,Tbl_Effect[],3,FALSE),EffectName[],IFERROR(MATCH(UI!$B$1,EffectName[#Headers],0),2),FALSE),"")</f>
        <v/>
      </c>
      <c r="AA970" t="str">
        <f t="shared" si="111"/>
        <v/>
      </c>
      <c r="AB970">
        <v>0</v>
      </c>
      <c r="AC970" t="str">
        <f>IF(AB970&lt;&gt;0,VLOOKUP(VLOOKUP(AB970,Tbl_Effect[],3,FALSE),EffectName[],IFERROR(MATCH(UI!$B$1,EffectName[#Headers],0),2),FALSE),"")</f>
        <v/>
      </c>
    </row>
    <row r="971" spans="8:29" x14ac:dyDescent="0.4">
      <c r="H971" t="str">
        <f t="shared" si="105"/>
        <v>6630000-Unset (紅)</v>
      </c>
      <c r="I971">
        <v>6630000</v>
      </c>
      <c r="J971" t="str">
        <f>_xlfn.IFNA(IF(I971&lt;&gt;0,VLOOKUP(VLOOKUP(I971,Tbl_Equip[],2,FALSE),Tbl_Color[],IFERROR(MATCH(UI!$B$1,Tbl_Color[#Headers],0),2),FALSE),""),"Unset")</f>
        <v>紅</v>
      </c>
      <c r="K971" t="str">
        <f>_xlfn.IFNA(IF(I971&lt;&gt;0,VLOOKUP(I971,ItemText[],IFERROR(MATCH(UI!$B$1,ItemText[#Headers],0),2),FALSE),""),"Unset")</f>
        <v>Unset</v>
      </c>
      <c r="L971" t="str">
        <f t="shared" si="106"/>
        <v/>
      </c>
      <c r="M971">
        <v>0</v>
      </c>
      <c r="N971" t="str">
        <f>IF(VALUE(M971)=0,"",VLOOKUP(VLOOKUP(M971,Tbl_Effect[],3,FALSE),EffectName[],IFERROR(MATCH(UI!$B$1,EffectName[#Headers],0),2),FALSE))</f>
        <v/>
      </c>
      <c r="O971" t="str">
        <f t="shared" si="107"/>
        <v/>
      </c>
      <c r="P971">
        <v>0</v>
      </c>
      <c r="Q971" t="str">
        <f>IF(VALUE(P971)=0,"",VLOOKUP(VLOOKUP(P971,Tbl_Effect[],3,FALSE),EffectName[],IFERROR(MATCH(UI!$B$1,EffectName[#Headers],0),2),FALSE))</f>
        <v/>
      </c>
      <c r="R971" t="str">
        <f t="shared" si="108"/>
        <v/>
      </c>
      <c r="S971">
        <v>0</v>
      </c>
      <c r="T971" t="str">
        <f>IF(VALUE(S971)=0,"",VLOOKUP(VLOOKUP(S971,Tbl_Effect[],3,FALSE),EffectName[],IFERROR(MATCH(UI!$B$1,EffectName[#Headers],0),2),FALSE))</f>
        <v/>
      </c>
      <c r="U971" t="str">
        <f t="shared" si="109"/>
        <v/>
      </c>
      <c r="V971">
        <v>0</v>
      </c>
      <c r="W971" t="str">
        <f>IF(V971&lt;&gt;0,VLOOKUP(VLOOKUP(V971,Tbl_Effect[],3,FALSE),EffectName[],IFERROR(MATCH(UI!$B$1,EffectName[#Headers],0),2),FALSE),"")</f>
        <v/>
      </c>
      <c r="X971" t="str">
        <f t="shared" si="110"/>
        <v/>
      </c>
      <c r="Y971">
        <v>0</v>
      </c>
      <c r="Z971" t="str">
        <f>IF(Y971&lt;&gt;0,VLOOKUP(VLOOKUP(Y971,Tbl_Effect[],3,FALSE),EffectName[],IFERROR(MATCH(UI!$B$1,EffectName[#Headers],0),2),FALSE),"")</f>
        <v/>
      </c>
      <c r="AA971" t="str">
        <f t="shared" si="111"/>
        <v/>
      </c>
      <c r="AB971">
        <v>0</v>
      </c>
      <c r="AC971" t="str">
        <f>IF(AB971&lt;&gt;0,VLOOKUP(VLOOKUP(AB971,Tbl_Effect[],3,FALSE),EffectName[],IFERROR(MATCH(UI!$B$1,EffectName[#Headers],0),2),FALSE),"")</f>
        <v/>
      </c>
    </row>
    <row r="972" spans="8:29" x14ac:dyDescent="0.4">
      <c r="H972" t="str">
        <f t="shared" si="105"/>
        <v>6630100-Unset (紅)</v>
      </c>
      <c r="I972">
        <v>6630100</v>
      </c>
      <c r="J972" t="str">
        <f>_xlfn.IFNA(IF(I972&lt;&gt;0,VLOOKUP(VLOOKUP(I972,Tbl_Equip[],2,FALSE),Tbl_Color[],IFERROR(MATCH(UI!$B$1,Tbl_Color[#Headers],0),2),FALSE),""),"Unset")</f>
        <v>紅</v>
      </c>
      <c r="K972" t="str">
        <f>_xlfn.IFNA(IF(I972&lt;&gt;0,VLOOKUP(I972,ItemText[],IFERROR(MATCH(UI!$B$1,ItemText[#Headers],0),2),FALSE),""),"Unset")</f>
        <v>Unset</v>
      </c>
      <c r="L972" t="str">
        <f t="shared" si="106"/>
        <v/>
      </c>
      <c r="M972">
        <v>0</v>
      </c>
      <c r="N972" t="str">
        <f>IF(VALUE(M972)=0,"",VLOOKUP(VLOOKUP(M972,Tbl_Effect[],3,FALSE),EffectName[],IFERROR(MATCH(UI!$B$1,EffectName[#Headers],0),2),FALSE))</f>
        <v/>
      </c>
      <c r="O972" t="str">
        <f t="shared" si="107"/>
        <v/>
      </c>
      <c r="P972">
        <v>0</v>
      </c>
      <c r="Q972" t="str">
        <f>IF(VALUE(P972)=0,"",VLOOKUP(VLOOKUP(P972,Tbl_Effect[],3,FALSE),EffectName[],IFERROR(MATCH(UI!$B$1,EffectName[#Headers],0),2),FALSE))</f>
        <v/>
      </c>
      <c r="R972" t="str">
        <f t="shared" si="108"/>
        <v/>
      </c>
      <c r="S972">
        <v>0</v>
      </c>
      <c r="T972" t="str">
        <f>IF(VALUE(S972)=0,"",VLOOKUP(VLOOKUP(S972,Tbl_Effect[],3,FALSE),EffectName[],IFERROR(MATCH(UI!$B$1,EffectName[#Headers],0),2),FALSE))</f>
        <v/>
      </c>
      <c r="U972" t="str">
        <f t="shared" si="109"/>
        <v/>
      </c>
      <c r="V972">
        <v>0</v>
      </c>
      <c r="W972" t="str">
        <f>IF(V972&lt;&gt;0,VLOOKUP(VLOOKUP(V972,Tbl_Effect[],3,FALSE),EffectName[],IFERROR(MATCH(UI!$B$1,EffectName[#Headers],0),2),FALSE),"")</f>
        <v/>
      </c>
      <c r="X972" t="str">
        <f t="shared" si="110"/>
        <v/>
      </c>
      <c r="Y972">
        <v>0</v>
      </c>
      <c r="Z972" t="str">
        <f>IF(Y972&lt;&gt;0,VLOOKUP(VLOOKUP(Y972,Tbl_Effect[],3,FALSE),EffectName[],IFERROR(MATCH(UI!$B$1,EffectName[#Headers],0),2),FALSE),"")</f>
        <v/>
      </c>
      <c r="AA972" t="str">
        <f t="shared" si="111"/>
        <v/>
      </c>
      <c r="AB972">
        <v>0</v>
      </c>
      <c r="AC972" t="str">
        <f>IF(AB972&lt;&gt;0,VLOOKUP(VLOOKUP(AB972,Tbl_Effect[],3,FALSE),EffectName[],IFERROR(MATCH(UI!$B$1,EffectName[#Headers],0),2),FALSE),"")</f>
        <v/>
      </c>
    </row>
    <row r="973" spans="8:29" x14ac:dyDescent="0.4">
      <c r="H973" t="str">
        <f t="shared" si="105"/>
        <v>6630200-Unset (紅)</v>
      </c>
      <c r="I973">
        <v>6630200</v>
      </c>
      <c r="J973" t="str">
        <f>_xlfn.IFNA(IF(I973&lt;&gt;0,VLOOKUP(VLOOKUP(I973,Tbl_Equip[],2,FALSE),Tbl_Color[],IFERROR(MATCH(UI!$B$1,Tbl_Color[#Headers],0),2),FALSE),""),"Unset")</f>
        <v>紅</v>
      </c>
      <c r="K973" t="str">
        <f>_xlfn.IFNA(IF(I973&lt;&gt;0,VLOOKUP(I973,ItemText[],IFERROR(MATCH(UI!$B$1,ItemText[#Headers],0),2),FALSE),""),"Unset")</f>
        <v>Unset</v>
      </c>
      <c r="L973" t="str">
        <f t="shared" si="106"/>
        <v/>
      </c>
      <c r="M973">
        <v>0</v>
      </c>
      <c r="N973" t="str">
        <f>IF(VALUE(M973)=0,"",VLOOKUP(VLOOKUP(M973,Tbl_Effect[],3,FALSE),EffectName[],IFERROR(MATCH(UI!$B$1,EffectName[#Headers],0),2),FALSE))</f>
        <v/>
      </c>
      <c r="O973" t="str">
        <f t="shared" si="107"/>
        <v/>
      </c>
      <c r="P973">
        <v>0</v>
      </c>
      <c r="Q973" t="str">
        <f>IF(VALUE(P973)=0,"",VLOOKUP(VLOOKUP(P973,Tbl_Effect[],3,FALSE),EffectName[],IFERROR(MATCH(UI!$B$1,EffectName[#Headers],0),2),FALSE))</f>
        <v/>
      </c>
      <c r="R973" t="str">
        <f t="shared" si="108"/>
        <v/>
      </c>
      <c r="S973">
        <v>0</v>
      </c>
      <c r="T973" t="str">
        <f>IF(VALUE(S973)=0,"",VLOOKUP(VLOOKUP(S973,Tbl_Effect[],3,FALSE),EffectName[],IFERROR(MATCH(UI!$B$1,EffectName[#Headers],0),2),FALSE))</f>
        <v/>
      </c>
      <c r="U973" t="str">
        <f t="shared" si="109"/>
        <v/>
      </c>
      <c r="V973">
        <v>0</v>
      </c>
      <c r="W973" t="str">
        <f>IF(V973&lt;&gt;0,VLOOKUP(VLOOKUP(V973,Tbl_Effect[],3,FALSE),EffectName[],IFERROR(MATCH(UI!$B$1,EffectName[#Headers],0),2),FALSE),"")</f>
        <v/>
      </c>
      <c r="X973" t="str">
        <f t="shared" si="110"/>
        <v/>
      </c>
      <c r="Y973">
        <v>0</v>
      </c>
      <c r="Z973" t="str">
        <f>IF(Y973&lt;&gt;0,VLOOKUP(VLOOKUP(Y973,Tbl_Effect[],3,FALSE),EffectName[],IFERROR(MATCH(UI!$B$1,EffectName[#Headers],0),2),FALSE),"")</f>
        <v/>
      </c>
      <c r="AA973" t="str">
        <f t="shared" si="111"/>
        <v/>
      </c>
      <c r="AB973">
        <v>0</v>
      </c>
      <c r="AC973" t="str">
        <f>IF(AB973&lt;&gt;0,VLOOKUP(VLOOKUP(AB973,Tbl_Effect[],3,FALSE),EffectName[],IFERROR(MATCH(UI!$B$1,EffectName[#Headers],0),2),FALSE),"")</f>
        <v/>
      </c>
    </row>
    <row r="974" spans="8:29" x14ac:dyDescent="0.4">
      <c r="H974" t="str">
        <f t="shared" si="105"/>
        <v>6630300-Unset (紅)</v>
      </c>
      <c r="I974">
        <v>6630300</v>
      </c>
      <c r="J974" t="str">
        <f>_xlfn.IFNA(IF(I974&lt;&gt;0,VLOOKUP(VLOOKUP(I974,Tbl_Equip[],2,FALSE),Tbl_Color[],IFERROR(MATCH(UI!$B$1,Tbl_Color[#Headers],0),2),FALSE),""),"Unset")</f>
        <v>紅</v>
      </c>
      <c r="K974" t="str">
        <f>_xlfn.IFNA(IF(I974&lt;&gt;0,VLOOKUP(I974,ItemText[],IFERROR(MATCH(UI!$B$1,ItemText[#Headers],0),2),FALSE),""),"Unset")</f>
        <v>Unset</v>
      </c>
      <c r="L974" t="str">
        <f t="shared" si="106"/>
        <v/>
      </c>
      <c r="M974">
        <v>0</v>
      </c>
      <c r="N974" t="str">
        <f>IF(VALUE(M974)=0,"",VLOOKUP(VLOOKUP(M974,Tbl_Effect[],3,FALSE),EffectName[],IFERROR(MATCH(UI!$B$1,EffectName[#Headers],0),2),FALSE))</f>
        <v/>
      </c>
      <c r="O974" t="str">
        <f t="shared" si="107"/>
        <v/>
      </c>
      <c r="P974">
        <v>0</v>
      </c>
      <c r="Q974" t="str">
        <f>IF(VALUE(P974)=0,"",VLOOKUP(VLOOKUP(P974,Tbl_Effect[],3,FALSE),EffectName[],IFERROR(MATCH(UI!$B$1,EffectName[#Headers],0),2),FALSE))</f>
        <v/>
      </c>
      <c r="R974" t="str">
        <f t="shared" si="108"/>
        <v/>
      </c>
      <c r="S974">
        <v>0</v>
      </c>
      <c r="T974" t="str">
        <f>IF(VALUE(S974)=0,"",VLOOKUP(VLOOKUP(S974,Tbl_Effect[],3,FALSE),EffectName[],IFERROR(MATCH(UI!$B$1,EffectName[#Headers],0),2),FALSE))</f>
        <v/>
      </c>
      <c r="U974" t="str">
        <f t="shared" si="109"/>
        <v/>
      </c>
      <c r="V974">
        <v>0</v>
      </c>
      <c r="W974" t="str">
        <f>IF(V974&lt;&gt;0,VLOOKUP(VLOOKUP(V974,Tbl_Effect[],3,FALSE),EffectName[],IFERROR(MATCH(UI!$B$1,EffectName[#Headers],0),2),FALSE),"")</f>
        <v/>
      </c>
      <c r="X974" t="str">
        <f t="shared" si="110"/>
        <v/>
      </c>
      <c r="Y974">
        <v>0</v>
      </c>
      <c r="Z974" t="str">
        <f>IF(Y974&lt;&gt;0,VLOOKUP(VLOOKUP(Y974,Tbl_Effect[],3,FALSE),EffectName[],IFERROR(MATCH(UI!$B$1,EffectName[#Headers],0),2),FALSE),"")</f>
        <v/>
      </c>
      <c r="AA974" t="str">
        <f t="shared" si="111"/>
        <v/>
      </c>
      <c r="AB974">
        <v>0</v>
      </c>
      <c r="AC974" t="str">
        <f>IF(AB974&lt;&gt;0,VLOOKUP(VLOOKUP(AB974,Tbl_Effect[],3,FALSE),EffectName[],IFERROR(MATCH(UI!$B$1,EffectName[#Headers],0),2),FALSE),"")</f>
        <v/>
      </c>
    </row>
    <row r="975" spans="8:29" x14ac:dyDescent="0.4">
      <c r="H975" t="str">
        <f t="shared" si="105"/>
        <v>6630400-Unset (紅)</v>
      </c>
      <c r="I975">
        <v>6630400</v>
      </c>
      <c r="J975" t="str">
        <f>_xlfn.IFNA(IF(I975&lt;&gt;0,VLOOKUP(VLOOKUP(I975,Tbl_Equip[],2,FALSE),Tbl_Color[],IFERROR(MATCH(UI!$B$1,Tbl_Color[#Headers],0),2),FALSE),""),"Unset")</f>
        <v>紅</v>
      </c>
      <c r="K975" t="str">
        <f>_xlfn.IFNA(IF(I975&lt;&gt;0,VLOOKUP(I975,ItemText[],IFERROR(MATCH(UI!$B$1,ItemText[#Headers],0),2),FALSE),""),"Unset")</f>
        <v>Unset</v>
      </c>
      <c r="L975" t="str">
        <f t="shared" si="106"/>
        <v/>
      </c>
      <c r="M975">
        <v>0</v>
      </c>
      <c r="N975" t="str">
        <f>IF(VALUE(M975)=0,"",VLOOKUP(VLOOKUP(M975,Tbl_Effect[],3,FALSE),EffectName[],IFERROR(MATCH(UI!$B$1,EffectName[#Headers],0),2),FALSE))</f>
        <v/>
      </c>
      <c r="O975" t="str">
        <f t="shared" si="107"/>
        <v/>
      </c>
      <c r="P975">
        <v>0</v>
      </c>
      <c r="Q975" t="str">
        <f>IF(VALUE(P975)=0,"",VLOOKUP(VLOOKUP(P975,Tbl_Effect[],3,FALSE),EffectName[],IFERROR(MATCH(UI!$B$1,EffectName[#Headers],0),2),FALSE))</f>
        <v/>
      </c>
      <c r="R975" t="str">
        <f t="shared" si="108"/>
        <v/>
      </c>
      <c r="S975">
        <v>0</v>
      </c>
      <c r="T975" t="str">
        <f>IF(VALUE(S975)=0,"",VLOOKUP(VLOOKUP(S975,Tbl_Effect[],3,FALSE),EffectName[],IFERROR(MATCH(UI!$B$1,EffectName[#Headers],0),2),FALSE))</f>
        <v/>
      </c>
      <c r="U975" t="str">
        <f t="shared" si="109"/>
        <v/>
      </c>
      <c r="V975">
        <v>0</v>
      </c>
      <c r="W975" t="str">
        <f>IF(V975&lt;&gt;0,VLOOKUP(VLOOKUP(V975,Tbl_Effect[],3,FALSE),EffectName[],IFERROR(MATCH(UI!$B$1,EffectName[#Headers],0),2),FALSE),"")</f>
        <v/>
      </c>
      <c r="X975" t="str">
        <f t="shared" si="110"/>
        <v/>
      </c>
      <c r="Y975">
        <v>0</v>
      </c>
      <c r="Z975" t="str">
        <f>IF(Y975&lt;&gt;0,VLOOKUP(VLOOKUP(Y975,Tbl_Effect[],3,FALSE),EffectName[],IFERROR(MATCH(UI!$B$1,EffectName[#Headers],0),2),FALSE),"")</f>
        <v/>
      </c>
      <c r="AA975" t="str">
        <f t="shared" si="111"/>
        <v/>
      </c>
      <c r="AB975">
        <v>0</v>
      </c>
      <c r="AC975" t="str">
        <f>IF(AB975&lt;&gt;0,VLOOKUP(VLOOKUP(AB975,Tbl_Effect[],3,FALSE),EffectName[],IFERROR(MATCH(UI!$B$1,EffectName[#Headers],0),2),FALSE),"")</f>
        <v/>
      </c>
    </row>
    <row r="976" spans="8:29" x14ac:dyDescent="0.4">
      <c r="H976" t="str">
        <f t="shared" si="105"/>
        <v>6630500-Unset (紅)</v>
      </c>
      <c r="I976">
        <v>6630500</v>
      </c>
      <c r="J976" t="str">
        <f>_xlfn.IFNA(IF(I976&lt;&gt;0,VLOOKUP(VLOOKUP(I976,Tbl_Equip[],2,FALSE),Tbl_Color[],IFERROR(MATCH(UI!$B$1,Tbl_Color[#Headers],0),2),FALSE),""),"Unset")</f>
        <v>紅</v>
      </c>
      <c r="K976" t="str">
        <f>_xlfn.IFNA(IF(I976&lt;&gt;0,VLOOKUP(I976,ItemText[],IFERROR(MATCH(UI!$B$1,ItemText[#Headers],0),2),FALSE),""),"Unset")</f>
        <v>Unset</v>
      </c>
      <c r="L976" t="str">
        <f t="shared" si="106"/>
        <v/>
      </c>
      <c r="M976">
        <v>0</v>
      </c>
      <c r="N976" t="str">
        <f>IF(VALUE(M976)=0,"",VLOOKUP(VLOOKUP(M976,Tbl_Effect[],3,FALSE),EffectName[],IFERROR(MATCH(UI!$B$1,EffectName[#Headers],0),2),FALSE))</f>
        <v/>
      </c>
      <c r="O976" t="str">
        <f t="shared" si="107"/>
        <v/>
      </c>
      <c r="P976">
        <v>0</v>
      </c>
      <c r="Q976" t="str">
        <f>IF(VALUE(P976)=0,"",VLOOKUP(VLOOKUP(P976,Tbl_Effect[],3,FALSE),EffectName[],IFERROR(MATCH(UI!$B$1,EffectName[#Headers],0),2),FALSE))</f>
        <v/>
      </c>
      <c r="R976" t="str">
        <f t="shared" si="108"/>
        <v/>
      </c>
      <c r="S976">
        <v>0</v>
      </c>
      <c r="T976" t="str">
        <f>IF(VALUE(S976)=0,"",VLOOKUP(VLOOKUP(S976,Tbl_Effect[],3,FALSE),EffectName[],IFERROR(MATCH(UI!$B$1,EffectName[#Headers],0),2),FALSE))</f>
        <v/>
      </c>
      <c r="U976" t="str">
        <f t="shared" si="109"/>
        <v/>
      </c>
      <c r="V976">
        <v>0</v>
      </c>
      <c r="W976" t="str">
        <f>IF(V976&lt;&gt;0,VLOOKUP(VLOOKUP(V976,Tbl_Effect[],3,FALSE),EffectName[],IFERROR(MATCH(UI!$B$1,EffectName[#Headers],0),2),FALSE),"")</f>
        <v/>
      </c>
      <c r="X976" t="str">
        <f t="shared" si="110"/>
        <v/>
      </c>
      <c r="Y976">
        <v>0</v>
      </c>
      <c r="Z976" t="str">
        <f>IF(Y976&lt;&gt;0,VLOOKUP(VLOOKUP(Y976,Tbl_Effect[],3,FALSE),EffectName[],IFERROR(MATCH(UI!$B$1,EffectName[#Headers],0),2),FALSE),"")</f>
        <v/>
      </c>
      <c r="AA976" t="str">
        <f t="shared" si="111"/>
        <v/>
      </c>
      <c r="AB976">
        <v>0</v>
      </c>
      <c r="AC976" t="str">
        <f>IF(AB976&lt;&gt;0,VLOOKUP(VLOOKUP(AB976,Tbl_Effect[],3,FALSE),EffectName[],IFERROR(MATCH(UI!$B$1,EffectName[#Headers],0),2),FALSE),"")</f>
        <v/>
      </c>
    </row>
    <row r="977" spans="8:29" x14ac:dyDescent="0.4">
      <c r="H977" t="str">
        <f t="shared" si="105"/>
        <v>6630600-Unset (紅)</v>
      </c>
      <c r="I977">
        <v>6630600</v>
      </c>
      <c r="J977" t="str">
        <f>_xlfn.IFNA(IF(I977&lt;&gt;0,VLOOKUP(VLOOKUP(I977,Tbl_Equip[],2,FALSE),Tbl_Color[],IFERROR(MATCH(UI!$B$1,Tbl_Color[#Headers],0),2),FALSE),""),"Unset")</f>
        <v>紅</v>
      </c>
      <c r="K977" t="str">
        <f>_xlfn.IFNA(IF(I977&lt;&gt;0,VLOOKUP(I977,ItemText[],IFERROR(MATCH(UI!$B$1,ItemText[#Headers],0),2),FALSE),""),"Unset")</f>
        <v>Unset</v>
      </c>
      <c r="L977" t="str">
        <f t="shared" si="106"/>
        <v/>
      </c>
      <c r="M977">
        <v>0</v>
      </c>
      <c r="N977" t="str">
        <f>IF(VALUE(M977)=0,"",VLOOKUP(VLOOKUP(M977,Tbl_Effect[],3,FALSE),EffectName[],IFERROR(MATCH(UI!$B$1,EffectName[#Headers],0),2),FALSE))</f>
        <v/>
      </c>
      <c r="O977" t="str">
        <f t="shared" si="107"/>
        <v/>
      </c>
      <c r="P977">
        <v>0</v>
      </c>
      <c r="Q977" t="str">
        <f>IF(VALUE(P977)=0,"",VLOOKUP(VLOOKUP(P977,Tbl_Effect[],3,FALSE),EffectName[],IFERROR(MATCH(UI!$B$1,EffectName[#Headers],0),2),FALSE))</f>
        <v/>
      </c>
      <c r="R977" t="str">
        <f t="shared" si="108"/>
        <v/>
      </c>
      <c r="S977">
        <v>0</v>
      </c>
      <c r="T977" t="str">
        <f>IF(VALUE(S977)=0,"",VLOOKUP(VLOOKUP(S977,Tbl_Effect[],3,FALSE),EffectName[],IFERROR(MATCH(UI!$B$1,EffectName[#Headers],0),2),FALSE))</f>
        <v/>
      </c>
      <c r="U977" t="str">
        <f t="shared" si="109"/>
        <v/>
      </c>
      <c r="V977">
        <v>0</v>
      </c>
      <c r="W977" t="str">
        <f>IF(V977&lt;&gt;0,VLOOKUP(VLOOKUP(V977,Tbl_Effect[],3,FALSE),EffectName[],IFERROR(MATCH(UI!$B$1,EffectName[#Headers],0),2),FALSE),"")</f>
        <v/>
      </c>
      <c r="X977" t="str">
        <f t="shared" si="110"/>
        <v/>
      </c>
      <c r="Y977">
        <v>0</v>
      </c>
      <c r="Z977" t="str">
        <f>IF(Y977&lt;&gt;0,VLOOKUP(VLOOKUP(Y977,Tbl_Effect[],3,FALSE),EffectName[],IFERROR(MATCH(UI!$B$1,EffectName[#Headers],0),2),FALSE),"")</f>
        <v/>
      </c>
      <c r="AA977" t="str">
        <f t="shared" si="111"/>
        <v/>
      </c>
      <c r="AB977">
        <v>0</v>
      </c>
      <c r="AC977" t="str">
        <f>IF(AB977&lt;&gt;0,VLOOKUP(VLOOKUP(AB977,Tbl_Effect[],3,FALSE),EffectName[],IFERROR(MATCH(UI!$B$1,EffectName[#Headers],0),2),FALSE),"")</f>
        <v/>
      </c>
    </row>
    <row r="978" spans="8:29" x14ac:dyDescent="0.4">
      <c r="H978" t="str">
        <f t="shared" si="105"/>
        <v>6630700-Unset (紅)</v>
      </c>
      <c r="I978">
        <v>6630700</v>
      </c>
      <c r="J978" t="str">
        <f>_xlfn.IFNA(IF(I978&lt;&gt;0,VLOOKUP(VLOOKUP(I978,Tbl_Equip[],2,FALSE),Tbl_Color[],IFERROR(MATCH(UI!$B$1,Tbl_Color[#Headers],0),2),FALSE),""),"Unset")</f>
        <v>紅</v>
      </c>
      <c r="K978" t="str">
        <f>_xlfn.IFNA(IF(I978&lt;&gt;0,VLOOKUP(I978,ItemText[],IFERROR(MATCH(UI!$B$1,ItemText[#Headers],0),2),FALSE),""),"Unset")</f>
        <v>Unset</v>
      </c>
      <c r="L978" t="str">
        <f t="shared" si="106"/>
        <v/>
      </c>
      <c r="M978">
        <v>0</v>
      </c>
      <c r="N978" t="str">
        <f>IF(VALUE(M978)=0,"",VLOOKUP(VLOOKUP(M978,Tbl_Effect[],3,FALSE),EffectName[],IFERROR(MATCH(UI!$B$1,EffectName[#Headers],0),2),FALSE))</f>
        <v/>
      </c>
      <c r="O978" t="str">
        <f t="shared" si="107"/>
        <v/>
      </c>
      <c r="P978">
        <v>0</v>
      </c>
      <c r="Q978" t="str">
        <f>IF(VALUE(P978)=0,"",VLOOKUP(VLOOKUP(P978,Tbl_Effect[],3,FALSE),EffectName[],IFERROR(MATCH(UI!$B$1,EffectName[#Headers],0),2),FALSE))</f>
        <v/>
      </c>
      <c r="R978" t="str">
        <f t="shared" si="108"/>
        <v/>
      </c>
      <c r="S978">
        <v>0</v>
      </c>
      <c r="T978" t="str">
        <f>IF(VALUE(S978)=0,"",VLOOKUP(VLOOKUP(S978,Tbl_Effect[],3,FALSE),EffectName[],IFERROR(MATCH(UI!$B$1,EffectName[#Headers],0),2),FALSE))</f>
        <v/>
      </c>
      <c r="U978" t="str">
        <f t="shared" si="109"/>
        <v/>
      </c>
      <c r="V978">
        <v>0</v>
      </c>
      <c r="W978" t="str">
        <f>IF(V978&lt;&gt;0,VLOOKUP(VLOOKUP(V978,Tbl_Effect[],3,FALSE),EffectName[],IFERROR(MATCH(UI!$B$1,EffectName[#Headers],0),2),FALSE),"")</f>
        <v/>
      </c>
      <c r="X978" t="str">
        <f t="shared" si="110"/>
        <v/>
      </c>
      <c r="Y978">
        <v>0</v>
      </c>
      <c r="Z978" t="str">
        <f>IF(Y978&lt;&gt;0,VLOOKUP(VLOOKUP(Y978,Tbl_Effect[],3,FALSE),EffectName[],IFERROR(MATCH(UI!$B$1,EffectName[#Headers],0),2),FALSE),"")</f>
        <v/>
      </c>
      <c r="AA978" t="str">
        <f t="shared" si="111"/>
        <v/>
      </c>
      <c r="AB978">
        <v>0</v>
      </c>
      <c r="AC978" t="str">
        <f>IF(AB978&lt;&gt;0,VLOOKUP(VLOOKUP(AB978,Tbl_Effect[],3,FALSE),EffectName[],IFERROR(MATCH(UI!$B$1,EffectName[#Headers],0),2),FALSE),"")</f>
        <v/>
      </c>
    </row>
    <row r="979" spans="8:29" x14ac:dyDescent="0.4">
      <c r="H979" t="str">
        <f t="shared" si="105"/>
        <v>6630800-Unset (紅)</v>
      </c>
      <c r="I979">
        <v>6630800</v>
      </c>
      <c r="J979" t="str">
        <f>_xlfn.IFNA(IF(I979&lt;&gt;0,VLOOKUP(VLOOKUP(I979,Tbl_Equip[],2,FALSE),Tbl_Color[],IFERROR(MATCH(UI!$B$1,Tbl_Color[#Headers],0),2),FALSE),""),"Unset")</f>
        <v>紅</v>
      </c>
      <c r="K979" t="str">
        <f>_xlfn.IFNA(IF(I979&lt;&gt;0,VLOOKUP(I979,ItemText[],IFERROR(MATCH(UI!$B$1,ItemText[#Headers],0),2),FALSE),""),"Unset")</f>
        <v>Unset</v>
      </c>
      <c r="L979" t="str">
        <f t="shared" si="106"/>
        <v/>
      </c>
      <c r="M979">
        <v>0</v>
      </c>
      <c r="N979" t="str">
        <f>IF(VALUE(M979)=0,"",VLOOKUP(VLOOKUP(M979,Tbl_Effect[],3,FALSE),EffectName[],IFERROR(MATCH(UI!$B$1,EffectName[#Headers],0),2),FALSE))</f>
        <v/>
      </c>
      <c r="O979" t="str">
        <f t="shared" si="107"/>
        <v/>
      </c>
      <c r="P979">
        <v>0</v>
      </c>
      <c r="Q979" t="str">
        <f>IF(VALUE(P979)=0,"",VLOOKUP(VLOOKUP(P979,Tbl_Effect[],3,FALSE),EffectName[],IFERROR(MATCH(UI!$B$1,EffectName[#Headers],0),2),FALSE))</f>
        <v/>
      </c>
      <c r="R979" t="str">
        <f t="shared" si="108"/>
        <v/>
      </c>
      <c r="S979">
        <v>0</v>
      </c>
      <c r="T979" t="str">
        <f>IF(VALUE(S979)=0,"",VLOOKUP(VLOOKUP(S979,Tbl_Effect[],3,FALSE),EffectName[],IFERROR(MATCH(UI!$B$1,EffectName[#Headers],0),2),FALSE))</f>
        <v/>
      </c>
      <c r="U979" t="str">
        <f t="shared" si="109"/>
        <v/>
      </c>
      <c r="V979">
        <v>0</v>
      </c>
      <c r="W979" t="str">
        <f>IF(V979&lt;&gt;0,VLOOKUP(VLOOKUP(V979,Tbl_Effect[],3,FALSE),EffectName[],IFERROR(MATCH(UI!$B$1,EffectName[#Headers],0),2),FALSE),"")</f>
        <v/>
      </c>
      <c r="X979" t="str">
        <f t="shared" si="110"/>
        <v/>
      </c>
      <c r="Y979">
        <v>0</v>
      </c>
      <c r="Z979" t="str">
        <f>IF(Y979&lt;&gt;0,VLOOKUP(VLOOKUP(Y979,Tbl_Effect[],3,FALSE),EffectName[],IFERROR(MATCH(UI!$B$1,EffectName[#Headers],0),2),FALSE),"")</f>
        <v/>
      </c>
      <c r="AA979" t="str">
        <f t="shared" si="111"/>
        <v/>
      </c>
      <c r="AB979">
        <v>0</v>
      </c>
      <c r="AC979" t="str">
        <f>IF(AB979&lt;&gt;0,VLOOKUP(VLOOKUP(AB979,Tbl_Effect[],3,FALSE),EffectName[],IFERROR(MATCH(UI!$B$1,EffectName[#Headers],0),2),FALSE),"")</f>
        <v/>
      </c>
    </row>
    <row r="980" spans="8:29" x14ac:dyDescent="0.4">
      <c r="H980" t="str">
        <f t="shared" si="105"/>
        <v>6630900-Unset (紅)</v>
      </c>
      <c r="I980">
        <v>6630900</v>
      </c>
      <c r="J980" t="str">
        <f>_xlfn.IFNA(IF(I980&lt;&gt;0,VLOOKUP(VLOOKUP(I980,Tbl_Equip[],2,FALSE),Tbl_Color[],IFERROR(MATCH(UI!$B$1,Tbl_Color[#Headers],0),2),FALSE),""),"Unset")</f>
        <v>紅</v>
      </c>
      <c r="K980" t="str">
        <f>_xlfn.IFNA(IF(I980&lt;&gt;0,VLOOKUP(I980,ItemText[],IFERROR(MATCH(UI!$B$1,ItemText[#Headers],0),2),FALSE),""),"Unset")</f>
        <v>Unset</v>
      </c>
      <c r="L980" t="str">
        <f t="shared" si="106"/>
        <v/>
      </c>
      <c r="M980">
        <v>0</v>
      </c>
      <c r="N980" t="str">
        <f>IF(VALUE(M980)=0,"",VLOOKUP(VLOOKUP(M980,Tbl_Effect[],3,FALSE),EffectName[],IFERROR(MATCH(UI!$B$1,EffectName[#Headers],0),2),FALSE))</f>
        <v/>
      </c>
      <c r="O980" t="str">
        <f t="shared" si="107"/>
        <v/>
      </c>
      <c r="P980">
        <v>0</v>
      </c>
      <c r="Q980" t="str">
        <f>IF(VALUE(P980)=0,"",VLOOKUP(VLOOKUP(P980,Tbl_Effect[],3,FALSE),EffectName[],IFERROR(MATCH(UI!$B$1,EffectName[#Headers],0),2),FALSE))</f>
        <v/>
      </c>
      <c r="R980" t="str">
        <f t="shared" si="108"/>
        <v/>
      </c>
      <c r="S980">
        <v>0</v>
      </c>
      <c r="T980" t="str">
        <f>IF(VALUE(S980)=0,"",VLOOKUP(VLOOKUP(S980,Tbl_Effect[],3,FALSE),EffectName[],IFERROR(MATCH(UI!$B$1,EffectName[#Headers],0),2),FALSE))</f>
        <v/>
      </c>
      <c r="U980" t="str">
        <f t="shared" si="109"/>
        <v/>
      </c>
      <c r="V980">
        <v>0</v>
      </c>
      <c r="W980" t="str">
        <f>IF(V980&lt;&gt;0,VLOOKUP(VLOOKUP(V980,Tbl_Effect[],3,FALSE),EffectName[],IFERROR(MATCH(UI!$B$1,EffectName[#Headers],0),2),FALSE),"")</f>
        <v/>
      </c>
      <c r="X980" t="str">
        <f t="shared" si="110"/>
        <v/>
      </c>
      <c r="Y980">
        <v>0</v>
      </c>
      <c r="Z980" t="str">
        <f>IF(Y980&lt;&gt;0,VLOOKUP(VLOOKUP(Y980,Tbl_Effect[],3,FALSE),EffectName[],IFERROR(MATCH(UI!$B$1,EffectName[#Headers],0),2),FALSE),"")</f>
        <v/>
      </c>
      <c r="AA980" t="str">
        <f t="shared" si="111"/>
        <v/>
      </c>
      <c r="AB980">
        <v>0</v>
      </c>
      <c r="AC980" t="str">
        <f>IF(AB980&lt;&gt;0,VLOOKUP(VLOOKUP(AB980,Tbl_Effect[],3,FALSE),EffectName[],IFERROR(MATCH(UI!$B$1,EffectName[#Headers],0),2),FALSE),"")</f>
        <v/>
      </c>
    </row>
    <row r="981" spans="8:29" x14ac:dyDescent="0.4">
      <c r="H981" t="str">
        <f t="shared" si="105"/>
        <v>6631000-Unset (紅)</v>
      </c>
      <c r="I981">
        <v>6631000</v>
      </c>
      <c r="J981" t="str">
        <f>_xlfn.IFNA(IF(I981&lt;&gt;0,VLOOKUP(VLOOKUP(I981,Tbl_Equip[],2,FALSE),Tbl_Color[],IFERROR(MATCH(UI!$B$1,Tbl_Color[#Headers],0),2),FALSE),""),"Unset")</f>
        <v>紅</v>
      </c>
      <c r="K981" t="str">
        <f>_xlfn.IFNA(IF(I981&lt;&gt;0,VLOOKUP(I981,ItemText[],IFERROR(MATCH(UI!$B$1,ItemText[#Headers],0),2),FALSE),""),"Unset")</f>
        <v>Unset</v>
      </c>
      <c r="L981" t="str">
        <f t="shared" si="106"/>
        <v/>
      </c>
      <c r="M981">
        <v>0</v>
      </c>
      <c r="N981" t="str">
        <f>IF(VALUE(M981)=0,"",VLOOKUP(VLOOKUP(M981,Tbl_Effect[],3,FALSE),EffectName[],IFERROR(MATCH(UI!$B$1,EffectName[#Headers],0),2),FALSE))</f>
        <v/>
      </c>
      <c r="O981" t="str">
        <f t="shared" si="107"/>
        <v/>
      </c>
      <c r="P981">
        <v>0</v>
      </c>
      <c r="Q981" t="str">
        <f>IF(VALUE(P981)=0,"",VLOOKUP(VLOOKUP(P981,Tbl_Effect[],3,FALSE),EffectName[],IFERROR(MATCH(UI!$B$1,EffectName[#Headers],0),2),FALSE))</f>
        <v/>
      </c>
      <c r="R981" t="str">
        <f t="shared" si="108"/>
        <v/>
      </c>
      <c r="S981">
        <v>0</v>
      </c>
      <c r="T981" t="str">
        <f>IF(VALUE(S981)=0,"",VLOOKUP(VLOOKUP(S981,Tbl_Effect[],3,FALSE),EffectName[],IFERROR(MATCH(UI!$B$1,EffectName[#Headers],0),2),FALSE))</f>
        <v/>
      </c>
      <c r="U981" t="str">
        <f t="shared" si="109"/>
        <v/>
      </c>
      <c r="V981">
        <v>0</v>
      </c>
      <c r="W981" t="str">
        <f>IF(V981&lt;&gt;0,VLOOKUP(VLOOKUP(V981,Tbl_Effect[],3,FALSE),EffectName[],IFERROR(MATCH(UI!$B$1,EffectName[#Headers],0),2),FALSE),"")</f>
        <v/>
      </c>
      <c r="X981" t="str">
        <f t="shared" si="110"/>
        <v/>
      </c>
      <c r="Y981">
        <v>0</v>
      </c>
      <c r="Z981" t="str">
        <f>IF(Y981&lt;&gt;0,VLOOKUP(VLOOKUP(Y981,Tbl_Effect[],3,FALSE),EffectName[],IFERROR(MATCH(UI!$B$1,EffectName[#Headers],0),2),FALSE),"")</f>
        <v/>
      </c>
      <c r="AA981" t="str">
        <f t="shared" si="111"/>
        <v/>
      </c>
      <c r="AB981">
        <v>0</v>
      </c>
      <c r="AC981" t="str">
        <f>IF(AB981&lt;&gt;0,VLOOKUP(VLOOKUP(AB981,Tbl_Effect[],3,FALSE),EffectName[],IFERROR(MATCH(UI!$B$1,EffectName[#Headers],0),2),FALSE),"")</f>
        <v/>
      </c>
    </row>
    <row r="982" spans="8:29" x14ac:dyDescent="0.4">
      <c r="H982" t="str">
        <f t="shared" si="105"/>
        <v>6631100-Unset (紅)</v>
      </c>
      <c r="I982">
        <v>6631100</v>
      </c>
      <c r="J982" t="str">
        <f>_xlfn.IFNA(IF(I982&lt;&gt;0,VLOOKUP(VLOOKUP(I982,Tbl_Equip[],2,FALSE),Tbl_Color[],IFERROR(MATCH(UI!$B$1,Tbl_Color[#Headers],0),2),FALSE),""),"Unset")</f>
        <v>紅</v>
      </c>
      <c r="K982" t="str">
        <f>_xlfn.IFNA(IF(I982&lt;&gt;0,VLOOKUP(I982,ItemText[],IFERROR(MATCH(UI!$B$1,ItemText[#Headers],0),2),FALSE),""),"Unset")</f>
        <v>Unset</v>
      </c>
      <c r="L982" t="str">
        <f t="shared" si="106"/>
        <v/>
      </c>
      <c r="M982">
        <v>0</v>
      </c>
      <c r="N982" t="str">
        <f>IF(VALUE(M982)=0,"",VLOOKUP(VLOOKUP(M982,Tbl_Effect[],3,FALSE),EffectName[],IFERROR(MATCH(UI!$B$1,EffectName[#Headers],0),2),FALSE))</f>
        <v/>
      </c>
      <c r="O982" t="str">
        <f t="shared" si="107"/>
        <v/>
      </c>
      <c r="P982">
        <v>0</v>
      </c>
      <c r="Q982" t="str">
        <f>IF(VALUE(P982)=0,"",VLOOKUP(VLOOKUP(P982,Tbl_Effect[],3,FALSE),EffectName[],IFERROR(MATCH(UI!$B$1,EffectName[#Headers],0),2),FALSE))</f>
        <v/>
      </c>
      <c r="R982" t="str">
        <f t="shared" si="108"/>
        <v/>
      </c>
      <c r="S982">
        <v>0</v>
      </c>
      <c r="T982" t="str">
        <f>IF(VALUE(S982)=0,"",VLOOKUP(VLOOKUP(S982,Tbl_Effect[],3,FALSE),EffectName[],IFERROR(MATCH(UI!$B$1,EffectName[#Headers],0),2),FALSE))</f>
        <v/>
      </c>
      <c r="U982" t="str">
        <f t="shared" si="109"/>
        <v/>
      </c>
      <c r="V982">
        <v>0</v>
      </c>
      <c r="W982" t="str">
        <f>IF(V982&lt;&gt;0,VLOOKUP(VLOOKUP(V982,Tbl_Effect[],3,FALSE),EffectName[],IFERROR(MATCH(UI!$B$1,EffectName[#Headers],0),2),FALSE),"")</f>
        <v/>
      </c>
      <c r="X982" t="str">
        <f t="shared" si="110"/>
        <v/>
      </c>
      <c r="Y982">
        <v>0</v>
      </c>
      <c r="Z982" t="str">
        <f>IF(Y982&lt;&gt;0,VLOOKUP(VLOOKUP(Y982,Tbl_Effect[],3,FALSE),EffectName[],IFERROR(MATCH(UI!$B$1,EffectName[#Headers],0),2),FALSE),"")</f>
        <v/>
      </c>
      <c r="AA982" t="str">
        <f t="shared" si="111"/>
        <v/>
      </c>
      <c r="AB982">
        <v>0</v>
      </c>
      <c r="AC982" t="str">
        <f>IF(AB982&lt;&gt;0,VLOOKUP(VLOOKUP(AB982,Tbl_Effect[],3,FALSE),EffectName[],IFERROR(MATCH(UI!$B$1,EffectName[#Headers],0),2),FALSE),"")</f>
        <v/>
      </c>
    </row>
    <row r="983" spans="8:29" x14ac:dyDescent="0.4">
      <c r="H983" t="str">
        <f t="shared" si="105"/>
        <v>6631200-Unset (紅)</v>
      </c>
      <c r="I983">
        <v>6631200</v>
      </c>
      <c r="J983" t="str">
        <f>_xlfn.IFNA(IF(I983&lt;&gt;0,VLOOKUP(VLOOKUP(I983,Tbl_Equip[],2,FALSE),Tbl_Color[],IFERROR(MATCH(UI!$B$1,Tbl_Color[#Headers],0),2),FALSE),""),"Unset")</f>
        <v>紅</v>
      </c>
      <c r="K983" t="str">
        <f>_xlfn.IFNA(IF(I983&lt;&gt;0,VLOOKUP(I983,ItemText[],IFERROR(MATCH(UI!$B$1,ItemText[#Headers],0),2),FALSE),""),"Unset")</f>
        <v>Unset</v>
      </c>
      <c r="L983" t="str">
        <f t="shared" si="106"/>
        <v/>
      </c>
      <c r="M983">
        <v>0</v>
      </c>
      <c r="N983" t="str">
        <f>IF(VALUE(M983)=0,"",VLOOKUP(VLOOKUP(M983,Tbl_Effect[],3,FALSE),EffectName[],IFERROR(MATCH(UI!$B$1,EffectName[#Headers],0),2),FALSE))</f>
        <v/>
      </c>
      <c r="O983" t="str">
        <f t="shared" si="107"/>
        <v/>
      </c>
      <c r="P983">
        <v>0</v>
      </c>
      <c r="Q983" t="str">
        <f>IF(VALUE(P983)=0,"",VLOOKUP(VLOOKUP(P983,Tbl_Effect[],3,FALSE),EffectName[],IFERROR(MATCH(UI!$B$1,EffectName[#Headers],0),2),FALSE))</f>
        <v/>
      </c>
      <c r="R983" t="str">
        <f t="shared" si="108"/>
        <v/>
      </c>
      <c r="S983">
        <v>0</v>
      </c>
      <c r="T983" t="str">
        <f>IF(VALUE(S983)=0,"",VLOOKUP(VLOOKUP(S983,Tbl_Effect[],3,FALSE),EffectName[],IFERROR(MATCH(UI!$B$1,EffectName[#Headers],0),2),FALSE))</f>
        <v/>
      </c>
      <c r="U983" t="str">
        <f t="shared" si="109"/>
        <v/>
      </c>
      <c r="V983">
        <v>0</v>
      </c>
      <c r="W983" t="str">
        <f>IF(V983&lt;&gt;0,VLOOKUP(VLOOKUP(V983,Tbl_Effect[],3,FALSE),EffectName[],IFERROR(MATCH(UI!$B$1,EffectName[#Headers],0),2),FALSE),"")</f>
        <v/>
      </c>
      <c r="X983" t="str">
        <f t="shared" si="110"/>
        <v/>
      </c>
      <c r="Y983">
        <v>0</v>
      </c>
      <c r="Z983" t="str">
        <f>IF(Y983&lt;&gt;0,VLOOKUP(VLOOKUP(Y983,Tbl_Effect[],3,FALSE),EffectName[],IFERROR(MATCH(UI!$B$1,EffectName[#Headers],0),2),FALSE),"")</f>
        <v/>
      </c>
      <c r="AA983" t="str">
        <f t="shared" si="111"/>
        <v/>
      </c>
      <c r="AB983">
        <v>0</v>
      </c>
      <c r="AC983" t="str">
        <f>IF(AB983&lt;&gt;0,VLOOKUP(VLOOKUP(AB983,Tbl_Effect[],3,FALSE),EffectName[],IFERROR(MATCH(UI!$B$1,EffectName[#Headers],0),2),FALSE),"")</f>
        <v/>
      </c>
    </row>
    <row r="984" spans="8:29" x14ac:dyDescent="0.4">
      <c r="H984" t="str">
        <f t="shared" si="105"/>
        <v>6631300-Unset (紅)</v>
      </c>
      <c r="I984">
        <v>6631300</v>
      </c>
      <c r="J984" t="str">
        <f>_xlfn.IFNA(IF(I984&lt;&gt;0,VLOOKUP(VLOOKUP(I984,Tbl_Equip[],2,FALSE),Tbl_Color[],IFERROR(MATCH(UI!$B$1,Tbl_Color[#Headers],0),2),FALSE),""),"Unset")</f>
        <v>紅</v>
      </c>
      <c r="K984" t="str">
        <f>_xlfn.IFNA(IF(I984&lt;&gt;0,VLOOKUP(I984,ItemText[],IFERROR(MATCH(UI!$B$1,ItemText[#Headers],0),2),FALSE),""),"Unset")</f>
        <v>Unset</v>
      </c>
      <c r="L984" t="str">
        <f t="shared" si="106"/>
        <v/>
      </c>
      <c r="M984">
        <v>0</v>
      </c>
      <c r="N984" t="str">
        <f>IF(VALUE(M984)=0,"",VLOOKUP(VLOOKUP(M984,Tbl_Effect[],3,FALSE),EffectName[],IFERROR(MATCH(UI!$B$1,EffectName[#Headers],0),2),FALSE))</f>
        <v/>
      </c>
      <c r="O984" t="str">
        <f t="shared" si="107"/>
        <v/>
      </c>
      <c r="P984">
        <v>0</v>
      </c>
      <c r="Q984" t="str">
        <f>IF(VALUE(P984)=0,"",VLOOKUP(VLOOKUP(P984,Tbl_Effect[],3,FALSE),EffectName[],IFERROR(MATCH(UI!$B$1,EffectName[#Headers],0),2),FALSE))</f>
        <v/>
      </c>
      <c r="R984" t="str">
        <f t="shared" si="108"/>
        <v/>
      </c>
      <c r="S984">
        <v>0</v>
      </c>
      <c r="T984" t="str">
        <f>IF(VALUE(S984)=0,"",VLOOKUP(VLOOKUP(S984,Tbl_Effect[],3,FALSE),EffectName[],IFERROR(MATCH(UI!$B$1,EffectName[#Headers],0),2),FALSE))</f>
        <v/>
      </c>
      <c r="U984" t="str">
        <f t="shared" si="109"/>
        <v/>
      </c>
      <c r="V984">
        <v>0</v>
      </c>
      <c r="W984" t="str">
        <f>IF(V984&lt;&gt;0,VLOOKUP(VLOOKUP(V984,Tbl_Effect[],3,FALSE),EffectName[],IFERROR(MATCH(UI!$B$1,EffectName[#Headers],0),2),FALSE),"")</f>
        <v/>
      </c>
      <c r="X984" t="str">
        <f t="shared" si="110"/>
        <v/>
      </c>
      <c r="Y984">
        <v>0</v>
      </c>
      <c r="Z984" t="str">
        <f>IF(Y984&lt;&gt;0,VLOOKUP(VLOOKUP(Y984,Tbl_Effect[],3,FALSE),EffectName[],IFERROR(MATCH(UI!$B$1,EffectName[#Headers],0),2),FALSE),"")</f>
        <v/>
      </c>
      <c r="AA984" t="str">
        <f t="shared" si="111"/>
        <v/>
      </c>
      <c r="AB984">
        <v>0</v>
      </c>
      <c r="AC984" t="str">
        <f>IF(AB984&lt;&gt;0,VLOOKUP(VLOOKUP(AB984,Tbl_Effect[],3,FALSE),EffectName[],IFERROR(MATCH(UI!$B$1,EffectName[#Headers],0),2),FALSE),"")</f>
        <v/>
      </c>
    </row>
    <row r="985" spans="8:29" x14ac:dyDescent="0.4">
      <c r="H985" t="str">
        <f t="shared" si="105"/>
        <v>6631400-Unset (紅)</v>
      </c>
      <c r="I985">
        <v>6631400</v>
      </c>
      <c r="J985" t="str">
        <f>_xlfn.IFNA(IF(I985&lt;&gt;0,VLOOKUP(VLOOKUP(I985,Tbl_Equip[],2,FALSE),Tbl_Color[],IFERROR(MATCH(UI!$B$1,Tbl_Color[#Headers],0),2),FALSE),""),"Unset")</f>
        <v>紅</v>
      </c>
      <c r="K985" t="str">
        <f>_xlfn.IFNA(IF(I985&lt;&gt;0,VLOOKUP(I985,ItemText[],IFERROR(MATCH(UI!$B$1,ItemText[#Headers],0),2),FALSE),""),"Unset")</f>
        <v>Unset</v>
      </c>
      <c r="L985" t="str">
        <f t="shared" si="106"/>
        <v/>
      </c>
      <c r="M985">
        <v>0</v>
      </c>
      <c r="N985" t="str">
        <f>IF(VALUE(M985)=0,"",VLOOKUP(VLOOKUP(M985,Tbl_Effect[],3,FALSE),EffectName[],IFERROR(MATCH(UI!$B$1,EffectName[#Headers],0),2),FALSE))</f>
        <v/>
      </c>
      <c r="O985" t="str">
        <f t="shared" si="107"/>
        <v/>
      </c>
      <c r="P985">
        <v>0</v>
      </c>
      <c r="Q985" t="str">
        <f>IF(VALUE(P985)=0,"",VLOOKUP(VLOOKUP(P985,Tbl_Effect[],3,FALSE),EffectName[],IFERROR(MATCH(UI!$B$1,EffectName[#Headers],0),2),FALSE))</f>
        <v/>
      </c>
      <c r="R985" t="str">
        <f t="shared" si="108"/>
        <v/>
      </c>
      <c r="S985">
        <v>0</v>
      </c>
      <c r="T985" t="str">
        <f>IF(VALUE(S985)=0,"",VLOOKUP(VLOOKUP(S985,Tbl_Effect[],3,FALSE),EffectName[],IFERROR(MATCH(UI!$B$1,EffectName[#Headers],0),2),FALSE))</f>
        <v/>
      </c>
      <c r="U985" t="str">
        <f t="shared" si="109"/>
        <v/>
      </c>
      <c r="V985">
        <v>0</v>
      </c>
      <c r="W985" t="str">
        <f>IF(V985&lt;&gt;0,VLOOKUP(VLOOKUP(V985,Tbl_Effect[],3,FALSE),EffectName[],IFERROR(MATCH(UI!$B$1,EffectName[#Headers],0),2),FALSE),"")</f>
        <v/>
      </c>
      <c r="X985" t="str">
        <f t="shared" si="110"/>
        <v/>
      </c>
      <c r="Y985">
        <v>0</v>
      </c>
      <c r="Z985" t="str">
        <f>IF(Y985&lt;&gt;0,VLOOKUP(VLOOKUP(Y985,Tbl_Effect[],3,FALSE),EffectName[],IFERROR(MATCH(UI!$B$1,EffectName[#Headers],0),2),FALSE),"")</f>
        <v/>
      </c>
      <c r="AA985" t="str">
        <f t="shared" si="111"/>
        <v/>
      </c>
      <c r="AB985">
        <v>0</v>
      </c>
      <c r="AC985" t="str">
        <f>IF(AB985&lt;&gt;0,VLOOKUP(VLOOKUP(AB985,Tbl_Effect[],3,FALSE),EffectName[],IFERROR(MATCH(UI!$B$1,EffectName[#Headers],0),2),FALSE),"")</f>
        <v/>
      </c>
    </row>
    <row r="986" spans="8:29" x14ac:dyDescent="0.4">
      <c r="H986" t="str">
        <f t="shared" si="105"/>
        <v>6631500-Unset (紅)</v>
      </c>
      <c r="I986">
        <v>6631500</v>
      </c>
      <c r="J986" t="str">
        <f>_xlfn.IFNA(IF(I986&lt;&gt;0,VLOOKUP(VLOOKUP(I986,Tbl_Equip[],2,FALSE),Tbl_Color[],IFERROR(MATCH(UI!$B$1,Tbl_Color[#Headers],0),2),FALSE),""),"Unset")</f>
        <v>紅</v>
      </c>
      <c r="K986" t="str">
        <f>_xlfn.IFNA(IF(I986&lt;&gt;0,VLOOKUP(I986,ItemText[],IFERROR(MATCH(UI!$B$1,ItemText[#Headers],0),2),FALSE),""),"Unset")</f>
        <v>Unset</v>
      </c>
      <c r="L986" t="str">
        <f t="shared" si="106"/>
        <v/>
      </c>
      <c r="M986">
        <v>0</v>
      </c>
      <c r="N986" t="str">
        <f>IF(VALUE(M986)=0,"",VLOOKUP(VLOOKUP(M986,Tbl_Effect[],3,FALSE),EffectName[],IFERROR(MATCH(UI!$B$1,EffectName[#Headers],0),2),FALSE))</f>
        <v/>
      </c>
      <c r="O986" t="str">
        <f t="shared" si="107"/>
        <v/>
      </c>
      <c r="P986">
        <v>0</v>
      </c>
      <c r="Q986" t="str">
        <f>IF(VALUE(P986)=0,"",VLOOKUP(VLOOKUP(P986,Tbl_Effect[],3,FALSE),EffectName[],IFERROR(MATCH(UI!$B$1,EffectName[#Headers],0),2),FALSE))</f>
        <v/>
      </c>
      <c r="R986" t="str">
        <f t="shared" si="108"/>
        <v/>
      </c>
      <c r="S986">
        <v>0</v>
      </c>
      <c r="T986" t="str">
        <f>IF(VALUE(S986)=0,"",VLOOKUP(VLOOKUP(S986,Tbl_Effect[],3,FALSE),EffectName[],IFERROR(MATCH(UI!$B$1,EffectName[#Headers],0),2),FALSE))</f>
        <v/>
      </c>
      <c r="U986" t="str">
        <f t="shared" si="109"/>
        <v/>
      </c>
      <c r="V986">
        <v>0</v>
      </c>
      <c r="W986" t="str">
        <f>IF(V986&lt;&gt;0,VLOOKUP(VLOOKUP(V986,Tbl_Effect[],3,FALSE),EffectName[],IFERROR(MATCH(UI!$B$1,EffectName[#Headers],0),2),FALSE),"")</f>
        <v/>
      </c>
      <c r="X986" t="str">
        <f t="shared" si="110"/>
        <v/>
      </c>
      <c r="Y986">
        <v>0</v>
      </c>
      <c r="Z986" t="str">
        <f>IF(Y986&lt;&gt;0,VLOOKUP(VLOOKUP(Y986,Tbl_Effect[],3,FALSE),EffectName[],IFERROR(MATCH(UI!$B$1,EffectName[#Headers],0),2),FALSE),"")</f>
        <v/>
      </c>
      <c r="AA986" t="str">
        <f t="shared" si="111"/>
        <v/>
      </c>
      <c r="AB986">
        <v>0</v>
      </c>
      <c r="AC986" t="str">
        <f>IF(AB986&lt;&gt;0,VLOOKUP(VLOOKUP(AB986,Tbl_Effect[],3,FALSE),EffectName[],IFERROR(MATCH(UI!$B$1,EffectName[#Headers],0),2),FALSE),"")</f>
        <v/>
      </c>
    </row>
    <row r="987" spans="8:29" x14ac:dyDescent="0.4">
      <c r="H987" t="str">
        <f t="shared" si="105"/>
        <v>6631600-Unset (紅)</v>
      </c>
      <c r="I987">
        <v>6631600</v>
      </c>
      <c r="J987" t="str">
        <f>_xlfn.IFNA(IF(I987&lt;&gt;0,VLOOKUP(VLOOKUP(I987,Tbl_Equip[],2,FALSE),Tbl_Color[],IFERROR(MATCH(UI!$B$1,Tbl_Color[#Headers],0),2),FALSE),""),"Unset")</f>
        <v>紅</v>
      </c>
      <c r="K987" t="str">
        <f>_xlfn.IFNA(IF(I987&lt;&gt;0,VLOOKUP(I987,ItemText[],IFERROR(MATCH(UI!$B$1,ItemText[#Headers],0),2),FALSE),""),"Unset")</f>
        <v>Unset</v>
      </c>
      <c r="L987" t="str">
        <f t="shared" si="106"/>
        <v/>
      </c>
      <c r="M987">
        <v>0</v>
      </c>
      <c r="N987" t="str">
        <f>IF(VALUE(M987)=0,"",VLOOKUP(VLOOKUP(M987,Tbl_Effect[],3,FALSE),EffectName[],IFERROR(MATCH(UI!$B$1,EffectName[#Headers],0),2),FALSE))</f>
        <v/>
      </c>
      <c r="O987" t="str">
        <f t="shared" si="107"/>
        <v/>
      </c>
      <c r="P987">
        <v>0</v>
      </c>
      <c r="Q987" t="str">
        <f>IF(VALUE(P987)=0,"",VLOOKUP(VLOOKUP(P987,Tbl_Effect[],3,FALSE),EffectName[],IFERROR(MATCH(UI!$B$1,EffectName[#Headers],0),2),FALSE))</f>
        <v/>
      </c>
      <c r="R987" t="str">
        <f t="shared" si="108"/>
        <v/>
      </c>
      <c r="S987">
        <v>0</v>
      </c>
      <c r="T987" t="str">
        <f>IF(VALUE(S987)=0,"",VLOOKUP(VLOOKUP(S987,Tbl_Effect[],3,FALSE),EffectName[],IFERROR(MATCH(UI!$B$1,EffectName[#Headers],0),2),FALSE))</f>
        <v/>
      </c>
      <c r="U987" t="str">
        <f t="shared" si="109"/>
        <v/>
      </c>
      <c r="V987">
        <v>0</v>
      </c>
      <c r="W987" t="str">
        <f>IF(V987&lt;&gt;0,VLOOKUP(VLOOKUP(V987,Tbl_Effect[],3,FALSE),EffectName[],IFERROR(MATCH(UI!$B$1,EffectName[#Headers],0),2),FALSE),"")</f>
        <v/>
      </c>
      <c r="X987" t="str">
        <f t="shared" si="110"/>
        <v/>
      </c>
      <c r="Y987">
        <v>0</v>
      </c>
      <c r="Z987" t="str">
        <f>IF(Y987&lt;&gt;0,VLOOKUP(VLOOKUP(Y987,Tbl_Effect[],3,FALSE),EffectName[],IFERROR(MATCH(UI!$B$1,EffectName[#Headers],0),2),FALSE),"")</f>
        <v/>
      </c>
      <c r="AA987" t="str">
        <f t="shared" si="111"/>
        <v/>
      </c>
      <c r="AB987">
        <v>0</v>
      </c>
      <c r="AC987" t="str">
        <f>IF(AB987&lt;&gt;0,VLOOKUP(VLOOKUP(AB987,Tbl_Effect[],3,FALSE),EffectName[],IFERROR(MATCH(UI!$B$1,EffectName[#Headers],0),2),FALSE),"")</f>
        <v/>
      </c>
    </row>
    <row r="988" spans="8:29" x14ac:dyDescent="0.4">
      <c r="H988" t="str">
        <f t="shared" si="105"/>
        <v>6631700-Unset (紅)</v>
      </c>
      <c r="I988">
        <v>6631700</v>
      </c>
      <c r="J988" t="str">
        <f>_xlfn.IFNA(IF(I988&lt;&gt;0,VLOOKUP(VLOOKUP(I988,Tbl_Equip[],2,FALSE),Tbl_Color[],IFERROR(MATCH(UI!$B$1,Tbl_Color[#Headers],0),2),FALSE),""),"Unset")</f>
        <v>紅</v>
      </c>
      <c r="K988" t="str">
        <f>_xlfn.IFNA(IF(I988&lt;&gt;0,VLOOKUP(I988,ItemText[],IFERROR(MATCH(UI!$B$1,ItemText[#Headers],0),2),FALSE),""),"Unset")</f>
        <v>Unset</v>
      </c>
      <c r="L988" t="str">
        <f t="shared" si="106"/>
        <v/>
      </c>
      <c r="M988">
        <v>0</v>
      </c>
      <c r="N988" t="str">
        <f>IF(VALUE(M988)=0,"",VLOOKUP(VLOOKUP(M988,Tbl_Effect[],3,FALSE),EffectName[],IFERROR(MATCH(UI!$B$1,EffectName[#Headers],0),2),FALSE))</f>
        <v/>
      </c>
      <c r="O988" t="str">
        <f t="shared" si="107"/>
        <v/>
      </c>
      <c r="P988">
        <v>0</v>
      </c>
      <c r="Q988" t="str">
        <f>IF(VALUE(P988)=0,"",VLOOKUP(VLOOKUP(P988,Tbl_Effect[],3,FALSE),EffectName[],IFERROR(MATCH(UI!$B$1,EffectName[#Headers],0),2),FALSE))</f>
        <v/>
      </c>
      <c r="R988" t="str">
        <f t="shared" si="108"/>
        <v/>
      </c>
      <c r="S988">
        <v>0</v>
      </c>
      <c r="T988" t="str">
        <f>IF(VALUE(S988)=0,"",VLOOKUP(VLOOKUP(S988,Tbl_Effect[],3,FALSE),EffectName[],IFERROR(MATCH(UI!$B$1,EffectName[#Headers],0),2),FALSE))</f>
        <v/>
      </c>
      <c r="U988" t="str">
        <f t="shared" si="109"/>
        <v/>
      </c>
      <c r="V988">
        <v>0</v>
      </c>
      <c r="W988" t="str">
        <f>IF(V988&lt;&gt;0,VLOOKUP(VLOOKUP(V988,Tbl_Effect[],3,FALSE),EffectName[],IFERROR(MATCH(UI!$B$1,EffectName[#Headers],0),2),FALSE),"")</f>
        <v/>
      </c>
      <c r="X988" t="str">
        <f t="shared" si="110"/>
        <v/>
      </c>
      <c r="Y988">
        <v>0</v>
      </c>
      <c r="Z988" t="str">
        <f>IF(Y988&lt;&gt;0,VLOOKUP(VLOOKUP(Y988,Tbl_Effect[],3,FALSE),EffectName[],IFERROR(MATCH(UI!$B$1,EffectName[#Headers],0),2),FALSE),"")</f>
        <v/>
      </c>
      <c r="AA988" t="str">
        <f t="shared" si="111"/>
        <v/>
      </c>
      <c r="AB988">
        <v>0</v>
      </c>
      <c r="AC988" t="str">
        <f>IF(AB988&lt;&gt;0,VLOOKUP(VLOOKUP(AB988,Tbl_Effect[],3,FALSE),EffectName[],IFERROR(MATCH(UI!$B$1,EffectName[#Headers],0),2),FALSE),"")</f>
        <v/>
      </c>
    </row>
    <row r="989" spans="8:29" x14ac:dyDescent="0.4">
      <c r="H989" t="str">
        <f t="shared" si="105"/>
        <v>6631800-Unset (紅)</v>
      </c>
      <c r="I989">
        <v>6631800</v>
      </c>
      <c r="J989" t="str">
        <f>_xlfn.IFNA(IF(I989&lt;&gt;0,VLOOKUP(VLOOKUP(I989,Tbl_Equip[],2,FALSE),Tbl_Color[],IFERROR(MATCH(UI!$B$1,Tbl_Color[#Headers],0),2),FALSE),""),"Unset")</f>
        <v>紅</v>
      </c>
      <c r="K989" t="str">
        <f>_xlfn.IFNA(IF(I989&lt;&gt;0,VLOOKUP(I989,ItemText[],IFERROR(MATCH(UI!$B$1,ItemText[#Headers],0),2),FALSE),""),"Unset")</f>
        <v>Unset</v>
      </c>
      <c r="L989" t="str">
        <f t="shared" si="106"/>
        <v/>
      </c>
      <c r="M989">
        <v>0</v>
      </c>
      <c r="N989" t="str">
        <f>IF(VALUE(M989)=0,"",VLOOKUP(VLOOKUP(M989,Tbl_Effect[],3,FALSE),EffectName[],IFERROR(MATCH(UI!$B$1,EffectName[#Headers],0),2),FALSE))</f>
        <v/>
      </c>
      <c r="O989" t="str">
        <f t="shared" si="107"/>
        <v/>
      </c>
      <c r="P989">
        <v>0</v>
      </c>
      <c r="Q989" t="str">
        <f>IF(VALUE(P989)=0,"",VLOOKUP(VLOOKUP(P989,Tbl_Effect[],3,FALSE),EffectName[],IFERROR(MATCH(UI!$B$1,EffectName[#Headers],0),2),FALSE))</f>
        <v/>
      </c>
      <c r="R989" t="str">
        <f t="shared" si="108"/>
        <v/>
      </c>
      <c r="S989">
        <v>0</v>
      </c>
      <c r="T989" t="str">
        <f>IF(VALUE(S989)=0,"",VLOOKUP(VLOOKUP(S989,Tbl_Effect[],3,FALSE),EffectName[],IFERROR(MATCH(UI!$B$1,EffectName[#Headers],0),2),FALSE))</f>
        <v/>
      </c>
      <c r="U989" t="str">
        <f t="shared" si="109"/>
        <v/>
      </c>
      <c r="V989">
        <v>0</v>
      </c>
      <c r="W989" t="str">
        <f>IF(V989&lt;&gt;0,VLOOKUP(VLOOKUP(V989,Tbl_Effect[],3,FALSE),EffectName[],IFERROR(MATCH(UI!$B$1,EffectName[#Headers],0),2),FALSE),"")</f>
        <v/>
      </c>
      <c r="X989" t="str">
        <f t="shared" si="110"/>
        <v/>
      </c>
      <c r="Y989">
        <v>0</v>
      </c>
      <c r="Z989" t="str">
        <f>IF(Y989&lt;&gt;0,VLOOKUP(VLOOKUP(Y989,Tbl_Effect[],3,FALSE),EffectName[],IFERROR(MATCH(UI!$B$1,EffectName[#Headers],0),2),FALSE),"")</f>
        <v/>
      </c>
      <c r="AA989" t="str">
        <f t="shared" si="111"/>
        <v/>
      </c>
      <c r="AB989">
        <v>0</v>
      </c>
      <c r="AC989" t="str">
        <f>IF(AB989&lt;&gt;0,VLOOKUP(VLOOKUP(AB989,Tbl_Effect[],3,FALSE),EffectName[],IFERROR(MATCH(UI!$B$1,EffectName[#Headers],0),2),FALSE),"")</f>
        <v/>
      </c>
    </row>
    <row r="990" spans="8:29" x14ac:dyDescent="0.4">
      <c r="H990" t="str">
        <f t="shared" si="105"/>
        <v>6631900-Unset (紅)</v>
      </c>
      <c r="I990">
        <v>6631900</v>
      </c>
      <c r="J990" t="str">
        <f>_xlfn.IFNA(IF(I990&lt;&gt;0,VLOOKUP(VLOOKUP(I990,Tbl_Equip[],2,FALSE),Tbl_Color[],IFERROR(MATCH(UI!$B$1,Tbl_Color[#Headers],0),2),FALSE),""),"Unset")</f>
        <v>紅</v>
      </c>
      <c r="K990" t="str">
        <f>_xlfn.IFNA(IF(I990&lt;&gt;0,VLOOKUP(I990,ItemText[],IFERROR(MATCH(UI!$B$1,ItemText[#Headers],0),2),FALSE),""),"Unset")</f>
        <v>Unset</v>
      </c>
      <c r="L990" t="str">
        <f t="shared" si="106"/>
        <v/>
      </c>
      <c r="M990">
        <v>0</v>
      </c>
      <c r="N990" t="str">
        <f>IF(VALUE(M990)=0,"",VLOOKUP(VLOOKUP(M990,Tbl_Effect[],3,FALSE),EffectName[],IFERROR(MATCH(UI!$B$1,EffectName[#Headers],0),2),FALSE))</f>
        <v/>
      </c>
      <c r="O990" t="str">
        <f t="shared" si="107"/>
        <v/>
      </c>
      <c r="P990">
        <v>0</v>
      </c>
      <c r="Q990" t="str">
        <f>IF(VALUE(P990)=0,"",VLOOKUP(VLOOKUP(P990,Tbl_Effect[],3,FALSE),EffectName[],IFERROR(MATCH(UI!$B$1,EffectName[#Headers],0),2),FALSE))</f>
        <v/>
      </c>
      <c r="R990" t="str">
        <f t="shared" si="108"/>
        <v/>
      </c>
      <c r="S990">
        <v>0</v>
      </c>
      <c r="T990" t="str">
        <f>IF(VALUE(S990)=0,"",VLOOKUP(VLOOKUP(S990,Tbl_Effect[],3,FALSE),EffectName[],IFERROR(MATCH(UI!$B$1,EffectName[#Headers],0),2),FALSE))</f>
        <v/>
      </c>
      <c r="U990" t="str">
        <f t="shared" si="109"/>
        <v/>
      </c>
      <c r="V990">
        <v>0</v>
      </c>
      <c r="W990" t="str">
        <f>IF(V990&lt;&gt;0,VLOOKUP(VLOOKUP(V990,Tbl_Effect[],3,FALSE),EffectName[],IFERROR(MATCH(UI!$B$1,EffectName[#Headers],0),2),FALSE),"")</f>
        <v/>
      </c>
      <c r="X990" t="str">
        <f t="shared" si="110"/>
        <v/>
      </c>
      <c r="Y990">
        <v>0</v>
      </c>
      <c r="Z990" t="str">
        <f>IF(Y990&lt;&gt;0,VLOOKUP(VLOOKUP(Y990,Tbl_Effect[],3,FALSE),EffectName[],IFERROR(MATCH(UI!$B$1,EffectName[#Headers],0),2),FALSE),"")</f>
        <v/>
      </c>
      <c r="AA990" t="str">
        <f t="shared" si="111"/>
        <v/>
      </c>
      <c r="AB990">
        <v>0</v>
      </c>
      <c r="AC990" t="str">
        <f>IF(AB990&lt;&gt;0,VLOOKUP(VLOOKUP(AB990,Tbl_Effect[],3,FALSE),EffectName[],IFERROR(MATCH(UI!$B$1,EffectName[#Headers],0),2),FALSE),"")</f>
        <v/>
      </c>
    </row>
    <row r="991" spans="8:29" x14ac:dyDescent="0.4">
      <c r="H991" t="str">
        <f t="shared" si="105"/>
        <v>6632000-Unset (紅)</v>
      </c>
      <c r="I991">
        <v>6632000</v>
      </c>
      <c r="J991" t="str">
        <f>_xlfn.IFNA(IF(I991&lt;&gt;0,VLOOKUP(VLOOKUP(I991,Tbl_Equip[],2,FALSE),Tbl_Color[],IFERROR(MATCH(UI!$B$1,Tbl_Color[#Headers],0),2),FALSE),""),"Unset")</f>
        <v>紅</v>
      </c>
      <c r="K991" t="str">
        <f>_xlfn.IFNA(IF(I991&lt;&gt;0,VLOOKUP(I991,ItemText[],IFERROR(MATCH(UI!$B$1,ItemText[#Headers],0),2),FALSE),""),"Unset")</f>
        <v>Unset</v>
      </c>
      <c r="L991" t="str">
        <f t="shared" si="106"/>
        <v/>
      </c>
      <c r="M991">
        <v>0</v>
      </c>
      <c r="N991" t="str">
        <f>IF(VALUE(M991)=0,"",VLOOKUP(VLOOKUP(M991,Tbl_Effect[],3,FALSE),EffectName[],IFERROR(MATCH(UI!$B$1,EffectName[#Headers],0),2),FALSE))</f>
        <v/>
      </c>
      <c r="O991" t="str">
        <f t="shared" si="107"/>
        <v/>
      </c>
      <c r="P991">
        <v>0</v>
      </c>
      <c r="Q991" t="str">
        <f>IF(VALUE(P991)=0,"",VLOOKUP(VLOOKUP(P991,Tbl_Effect[],3,FALSE),EffectName[],IFERROR(MATCH(UI!$B$1,EffectName[#Headers],0),2),FALSE))</f>
        <v/>
      </c>
      <c r="R991" t="str">
        <f t="shared" si="108"/>
        <v/>
      </c>
      <c r="S991">
        <v>0</v>
      </c>
      <c r="T991" t="str">
        <f>IF(VALUE(S991)=0,"",VLOOKUP(VLOOKUP(S991,Tbl_Effect[],3,FALSE),EffectName[],IFERROR(MATCH(UI!$B$1,EffectName[#Headers],0),2),FALSE))</f>
        <v/>
      </c>
      <c r="U991" t="str">
        <f t="shared" si="109"/>
        <v/>
      </c>
      <c r="V991">
        <v>0</v>
      </c>
      <c r="W991" t="str">
        <f>IF(V991&lt;&gt;0,VLOOKUP(VLOOKUP(V991,Tbl_Effect[],3,FALSE),EffectName[],IFERROR(MATCH(UI!$B$1,EffectName[#Headers],0),2),FALSE),"")</f>
        <v/>
      </c>
      <c r="X991" t="str">
        <f t="shared" si="110"/>
        <v/>
      </c>
      <c r="Y991">
        <v>0</v>
      </c>
      <c r="Z991" t="str">
        <f>IF(Y991&lt;&gt;0,VLOOKUP(VLOOKUP(Y991,Tbl_Effect[],3,FALSE),EffectName[],IFERROR(MATCH(UI!$B$1,EffectName[#Headers],0),2),FALSE),"")</f>
        <v/>
      </c>
      <c r="AA991" t="str">
        <f t="shared" si="111"/>
        <v/>
      </c>
      <c r="AB991">
        <v>0</v>
      </c>
      <c r="AC991" t="str">
        <f>IF(AB991&lt;&gt;0,VLOOKUP(VLOOKUP(AB991,Tbl_Effect[],3,FALSE),EffectName[],IFERROR(MATCH(UI!$B$1,EffectName[#Headers],0),2),FALSE),"")</f>
        <v/>
      </c>
    </row>
    <row r="992" spans="8:29" x14ac:dyDescent="0.4">
      <c r="H992" t="str">
        <f t="shared" si="105"/>
        <v>6632100-Unset (紅)</v>
      </c>
      <c r="I992">
        <v>6632100</v>
      </c>
      <c r="J992" t="str">
        <f>_xlfn.IFNA(IF(I992&lt;&gt;0,VLOOKUP(VLOOKUP(I992,Tbl_Equip[],2,FALSE),Tbl_Color[],IFERROR(MATCH(UI!$B$1,Tbl_Color[#Headers],0),2),FALSE),""),"Unset")</f>
        <v>紅</v>
      </c>
      <c r="K992" t="str">
        <f>_xlfn.IFNA(IF(I992&lt;&gt;0,VLOOKUP(I992,ItemText[],IFERROR(MATCH(UI!$B$1,ItemText[#Headers],0),2),FALSE),""),"Unset")</f>
        <v>Unset</v>
      </c>
      <c r="L992" t="str">
        <f t="shared" si="106"/>
        <v/>
      </c>
      <c r="M992">
        <v>0</v>
      </c>
      <c r="N992" t="str">
        <f>IF(VALUE(M992)=0,"",VLOOKUP(VLOOKUP(M992,Tbl_Effect[],3,FALSE),EffectName[],IFERROR(MATCH(UI!$B$1,EffectName[#Headers],0),2),FALSE))</f>
        <v/>
      </c>
      <c r="O992" t="str">
        <f t="shared" si="107"/>
        <v/>
      </c>
      <c r="P992">
        <v>0</v>
      </c>
      <c r="Q992" t="str">
        <f>IF(VALUE(P992)=0,"",VLOOKUP(VLOOKUP(P992,Tbl_Effect[],3,FALSE),EffectName[],IFERROR(MATCH(UI!$B$1,EffectName[#Headers],0),2),FALSE))</f>
        <v/>
      </c>
      <c r="R992" t="str">
        <f t="shared" si="108"/>
        <v/>
      </c>
      <c r="S992">
        <v>0</v>
      </c>
      <c r="T992" t="str">
        <f>IF(VALUE(S992)=0,"",VLOOKUP(VLOOKUP(S992,Tbl_Effect[],3,FALSE),EffectName[],IFERROR(MATCH(UI!$B$1,EffectName[#Headers],0),2),FALSE))</f>
        <v/>
      </c>
      <c r="U992" t="str">
        <f t="shared" si="109"/>
        <v/>
      </c>
      <c r="V992">
        <v>0</v>
      </c>
      <c r="W992" t="str">
        <f>IF(V992&lt;&gt;0,VLOOKUP(VLOOKUP(V992,Tbl_Effect[],3,FALSE),EffectName[],IFERROR(MATCH(UI!$B$1,EffectName[#Headers],0),2),FALSE),"")</f>
        <v/>
      </c>
      <c r="X992" t="str">
        <f t="shared" si="110"/>
        <v/>
      </c>
      <c r="Y992">
        <v>0</v>
      </c>
      <c r="Z992" t="str">
        <f>IF(Y992&lt;&gt;0,VLOOKUP(VLOOKUP(Y992,Tbl_Effect[],3,FALSE),EffectName[],IFERROR(MATCH(UI!$B$1,EffectName[#Headers],0),2),FALSE),"")</f>
        <v/>
      </c>
      <c r="AA992" t="str">
        <f t="shared" si="111"/>
        <v/>
      </c>
      <c r="AB992">
        <v>0</v>
      </c>
      <c r="AC992" t="str">
        <f>IF(AB992&lt;&gt;0,VLOOKUP(VLOOKUP(AB992,Tbl_Effect[],3,FALSE),EffectName[],IFERROR(MATCH(UI!$B$1,EffectName[#Headers],0),2),FALSE),"")</f>
        <v/>
      </c>
    </row>
    <row r="993" spans="8:29" x14ac:dyDescent="0.4">
      <c r="H993" t="str">
        <f t="shared" si="105"/>
        <v>6632200-Unset (紅)</v>
      </c>
      <c r="I993">
        <v>6632200</v>
      </c>
      <c r="J993" t="str">
        <f>_xlfn.IFNA(IF(I993&lt;&gt;0,VLOOKUP(VLOOKUP(I993,Tbl_Equip[],2,FALSE),Tbl_Color[],IFERROR(MATCH(UI!$B$1,Tbl_Color[#Headers],0),2),FALSE),""),"Unset")</f>
        <v>紅</v>
      </c>
      <c r="K993" t="str">
        <f>_xlfn.IFNA(IF(I993&lt;&gt;0,VLOOKUP(I993,ItemText[],IFERROR(MATCH(UI!$B$1,ItemText[#Headers],0),2),FALSE),""),"Unset")</f>
        <v>Unset</v>
      </c>
      <c r="L993" t="str">
        <f t="shared" si="106"/>
        <v/>
      </c>
      <c r="M993">
        <v>0</v>
      </c>
      <c r="N993" t="str">
        <f>IF(VALUE(M993)=0,"",VLOOKUP(VLOOKUP(M993,Tbl_Effect[],3,FALSE),EffectName[],IFERROR(MATCH(UI!$B$1,EffectName[#Headers],0),2),FALSE))</f>
        <v/>
      </c>
      <c r="O993" t="str">
        <f t="shared" si="107"/>
        <v/>
      </c>
      <c r="P993">
        <v>0</v>
      </c>
      <c r="Q993" t="str">
        <f>IF(VALUE(P993)=0,"",VLOOKUP(VLOOKUP(P993,Tbl_Effect[],3,FALSE),EffectName[],IFERROR(MATCH(UI!$B$1,EffectName[#Headers],0),2),FALSE))</f>
        <v/>
      </c>
      <c r="R993" t="str">
        <f t="shared" si="108"/>
        <v/>
      </c>
      <c r="S993">
        <v>0</v>
      </c>
      <c r="T993" t="str">
        <f>IF(VALUE(S993)=0,"",VLOOKUP(VLOOKUP(S993,Tbl_Effect[],3,FALSE),EffectName[],IFERROR(MATCH(UI!$B$1,EffectName[#Headers],0),2),FALSE))</f>
        <v/>
      </c>
      <c r="U993" t="str">
        <f t="shared" si="109"/>
        <v/>
      </c>
      <c r="V993">
        <v>0</v>
      </c>
      <c r="W993" t="str">
        <f>IF(V993&lt;&gt;0,VLOOKUP(VLOOKUP(V993,Tbl_Effect[],3,FALSE),EffectName[],IFERROR(MATCH(UI!$B$1,EffectName[#Headers],0),2),FALSE),"")</f>
        <v/>
      </c>
      <c r="X993" t="str">
        <f t="shared" si="110"/>
        <v/>
      </c>
      <c r="Y993">
        <v>0</v>
      </c>
      <c r="Z993" t="str">
        <f>IF(Y993&lt;&gt;0,VLOOKUP(VLOOKUP(Y993,Tbl_Effect[],3,FALSE),EffectName[],IFERROR(MATCH(UI!$B$1,EffectName[#Headers],0),2),FALSE),"")</f>
        <v/>
      </c>
      <c r="AA993" t="str">
        <f t="shared" si="111"/>
        <v/>
      </c>
      <c r="AB993">
        <v>0</v>
      </c>
      <c r="AC993" t="str">
        <f>IF(AB993&lt;&gt;0,VLOOKUP(VLOOKUP(AB993,Tbl_Effect[],3,FALSE),EffectName[],IFERROR(MATCH(UI!$B$1,EffectName[#Headers],0),2),FALSE),"")</f>
        <v/>
      </c>
    </row>
    <row r="994" spans="8:29" x14ac:dyDescent="0.4">
      <c r="H994" t="str">
        <f t="shared" si="105"/>
        <v>6632300-Unset (紅)</v>
      </c>
      <c r="I994">
        <v>6632300</v>
      </c>
      <c r="J994" t="str">
        <f>_xlfn.IFNA(IF(I994&lt;&gt;0,VLOOKUP(VLOOKUP(I994,Tbl_Equip[],2,FALSE),Tbl_Color[],IFERROR(MATCH(UI!$B$1,Tbl_Color[#Headers],0),2),FALSE),""),"Unset")</f>
        <v>紅</v>
      </c>
      <c r="K994" t="str">
        <f>_xlfn.IFNA(IF(I994&lt;&gt;0,VLOOKUP(I994,ItemText[],IFERROR(MATCH(UI!$B$1,ItemText[#Headers],0),2),FALSE),""),"Unset")</f>
        <v>Unset</v>
      </c>
      <c r="L994" t="str">
        <f t="shared" si="106"/>
        <v/>
      </c>
      <c r="M994">
        <v>0</v>
      </c>
      <c r="N994" t="str">
        <f>IF(VALUE(M994)=0,"",VLOOKUP(VLOOKUP(M994,Tbl_Effect[],3,FALSE),EffectName[],IFERROR(MATCH(UI!$B$1,EffectName[#Headers],0),2),FALSE))</f>
        <v/>
      </c>
      <c r="O994" t="str">
        <f t="shared" si="107"/>
        <v/>
      </c>
      <c r="P994">
        <v>0</v>
      </c>
      <c r="Q994" t="str">
        <f>IF(VALUE(P994)=0,"",VLOOKUP(VLOOKUP(P994,Tbl_Effect[],3,FALSE),EffectName[],IFERROR(MATCH(UI!$B$1,EffectName[#Headers],0),2),FALSE))</f>
        <v/>
      </c>
      <c r="R994" t="str">
        <f t="shared" si="108"/>
        <v/>
      </c>
      <c r="S994">
        <v>0</v>
      </c>
      <c r="T994" t="str">
        <f>IF(VALUE(S994)=0,"",VLOOKUP(VLOOKUP(S994,Tbl_Effect[],3,FALSE),EffectName[],IFERROR(MATCH(UI!$B$1,EffectName[#Headers],0),2),FALSE))</f>
        <v/>
      </c>
      <c r="U994" t="str">
        <f t="shared" si="109"/>
        <v/>
      </c>
      <c r="V994">
        <v>0</v>
      </c>
      <c r="W994" t="str">
        <f>IF(V994&lt;&gt;0,VLOOKUP(VLOOKUP(V994,Tbl_Effect[],3,FALSE),EffectName[],IFERROR(MATCH(UI!$B$1,EffectName[#Headers],0),2),FALSE),"")</f>
        <v/>
      </c>
      <c r="X994" t="str">
        <f t="shared" si="110"/>
        <v/>
      </c>
      <c r="Y994">
        <v>0</v>
      </c>
      <c r="Z994" t="str">
        <f>IF(Y994&lt;&gt;0,VLOOKUP(VLOOKUP(Y994,Tbl_Effect[],3,FALSE),EffectName[],IFERROR(MATCH(UI!$B$1,EffectName[#Headers],0),2),FALSE),"")</f>
        <v/>
      </c>
      <c r="AA994" t="str">
        <f t="shared" si="111"/>
        <v/>
      </c>
      <c r="AB994">
        <v>0</v>
      </c>
      <c r="AC994" t="str">
        <f>IF(AB994&lt;&gt;0,VLOOKUP(VLOOKUP(AB994,Tbl_Effect[],3,FALSE),EffectName[],IFERROR(MATCH(UI!$B$1,EffectName[#Headers],0),2),FALSE),"")</f>
        <v/>
      </c>
    </row>
    <row r="995" spans="8:29" x14ac:dyDescent="0.4">
      <c r="H995" t="str">
        <f t="shared" si="105"/>
        <v>6632400-Unset (紅)</v>
      </c>
      <c r="I995">
        <v>6632400</v>
      </c>
      <c r="J995" t="str">
        <f>_xlfn.IFNA(IF(I995&lt;&gt;0,VLOOKUP(VLOOKUP(I995,Tbl_Equip[],2,FALSE),Tbl_Color[],IFERROR(MATCH(UI!$B$1,Tbl_Color[#Headers],0),2),FALSE),""),"Unset")</f>
        <v>紅</v>
      </c>
      <c r="K995" t="str">
        <f>_xlfn.IFNA(IF(I995&lt;&gt;0,VLOOKUP(I995,ItemText[],IFERROR(MATCH(UI!$B$1,ItemText[#Headers],0),2),FALSE),""),"Unset")</f>
        <v>Unset</v>
      </c>
      <c r="L995" t="str">
        <f t="shared" si="106"/>
        <v/>
      </c>
      <c r="M995">
        <v>0</v>
      </c>
      <c r="N995" t="str">
        <f>IF(VALUE(M995)=0,"",VLOOKUP(VLOOKUP(M995,Tbl_Effect[],3,FALSE),EffectName[],IFERROR(MATCH(UI!$B$1,EffectName[#Headers],0),2),FALSE))</f>
        <v/>
      </c>
      <c r="O995" t="str">
        <f t="shared" si="107"/>
        <v/>
      </c>
      <c r="P995">
        <v>0</v>
      </c>
      <c r="Q995" t="str">
        <f>IF(VALUE(P995)=0,"",VLOOKUP(VLOOKUP(P995,Tbl_Effect[],3,FALSE),EffectName[],IFERROR(MATCH(UI!$B$1,EffectName[#Headers],0),2),FALSE))</f>
        <v/>
      </c>
      <c r="R995" t="str">
        <f t="shared" si="108"/>
        <v/>
      </c>
      <c r="S995">
        <v>0</v>
      </c>
      <c r="T995" t="str">
        <f>IF(VALUE(S995)=0,"",VLOOKUP(VLOOKUP(S995,Tbl_Effect[],3,FALSE),EffectName[],IFERROR(MATCH(UI!$B$1,EffectName[#Headers],0),2),FALSE))</f>
        <v/>
      </c>
      <c r="U995" t="str">
        <f t="shared" si="109"/>
        <v/>
      </c>
      <c r="V995">
        <v>0</v>
      </c>
      <c r="W995" t="str">
        <f>IF(V995&lt;&gt;0,VLOOKUP(VLOOKUP(V995,Tbl_Effect[],3,FALSE),EffectName[],IFERROR(MATCH(UI!$B$1,EffectName[#Headers],0),2),FALSE),"")</f>
        <v/>
      </c>
      <c r="X995" t="str">
        <f t="shared" si="110"/>
        <v/>
      </c>
      <c r="Y995">
        <v>0</v>
      </c>
      <c r="Z995" t="str">
        <f>IF(Y995&lt;&gt;0,VLOOKUP(VLOOKUP(Y995,Tbl_Effect[],3,FALSE),EffectName[],IFERROR(MATCH(UI!$B$1,EffectName[#Headers],0),2),FALSE),"")</f>
        <v/>
      </c>
      <c r="AA995" t="str">
        <f t="shared" si="111"/>
        <v/>
      </c>
      <c r="AB995">
        <v>0</v>
      </c>
      <c r="AC995" t="str">
        <f>IF(AB995&lt;&gt;0,VLOOKUP(VLOOKUP(AB995,Tbl_Effect[],3,FALSE),EffectName[],IFERROR(MATCH(UI!$B$1,EffectName[#Headers],0),2),FALSE),"")</f>
        <v/>
      </c>
    </row>
    <row r="996" spans="8:29" x14ac:dyDescent="0.4">
      <c r="H996" t="str">
        <f t="shared" si="105"/>
        <v>6632500-Unset (紅)</v>
      </c>
      <c r="I996">
        <v>6632500</v>
      </c>
      <c r="J996" t="str">
        <f>_xlfn.IFNA(IF(I996&lt;&gt;0,VLOOKUP(VLOOKUP(I996,Tbl_Equip[],2,FALSE),Tbl_Color[],IFERROR(MATCH(UI!$B$1,Tbl_Color[#Headers],0),2),FALSE),""),"Unset")</f>
        <v>紅</v>
      </c>
      <c r="K996" t="str">
        <f>_xlfn.IFNA(IF(I996&lt;&gt;0,VLOOKUP(I996,ItemText[],IFERROR(MATCH(UI!$B$1,ItemText[#Headers],0),2),FALSE),""),"Unset")</f>
        <v>Unset</v>
      </c>
      <c r="L996" t="str">
        <f t="shared" si="106"/>
        <v/>
      </c>
      <c r="M996">
        <v>0</v>
      </c>
      <c r="N996" t="str">
        <f>IF(VALUE(M996)=0,"",VLOOKUP(VLOOKUP(M996,Tbl_Effect[],3,FALSE),EffectName[],IFERROR(MATCH(UI!$B$1,EffectName[#Headers],0),2),FALSE))</f>
        <v/>
      </c>
      <c r="O996" t="str">
        <f t="shared" si="107"/>
        <v/>
      </c>
      <c r="P996">
        <v>0</v>
      </c>
      <c r="Q996" t="str">
        <f>IF(VALUE(P996)=0,"",VLOOKUP(VLOOKUP(P996,Tbl_Effect[],3,FALSE),EffectName[],IFERROR(MATCH(UI!$B$1,EffectName[#Headers],0),2),FALSE))</f>
        <v/>
      </c>
      <c r="R996" t="str">
        <f t="shared" si="108"/>
        <v/>
      </c>
      <c r="S996">
        <v>0</v>
      </c>
      <c r="T996" t="str">
        <f>IF(VALUE(S996)=0,"",VLOOKUP(VLOOKUP(S996,Tbl_Effect[],3,FALSE),EffectName[],IFERROR(MATCH(UI!$B$1,EffectName[#Headers],0),2),FALSE))</f>
        <v/>
      </c>
      <c r="U996" t="str">
        <f t="shared" si="109"/>
        <v/>
      </c>
      <c r="V996">
        <v>0</v>
      </c>
      <c r="W996" t="str">
        <f>IF(V996&lt;&gt;0,VLOOKUP(VLOOKUP(V996,Tbl_Effect[],3,FALSE),EffectName[],IFERROR(MATCH(UI!$B$1,EffectName[#Headers],0),2),FALSE),"")</f>
        <v/>
      </c>
      <c r="X996" t="str">
        <f t="shared" si="110"/>
        <v/>
      </c>
      <c r="Y996">
        <v>0</v>
      </c>
      <c r="Z996" t="str">
        <f>IF(Y996&lt;&gt;0,VLOOKUP(VLOOKUP(Y996,Tbl_Effect[],3,FALSE),EffectName[],IFERROR(MATCH(UI!$B$1,EffectName[#Headers],0),2),FALSE),"")</f>
        <v/>
      </c>
      <c r="AA996" t="str">
        <f t="shared" si="111"/>
        <v/>
      </c>
      <c r="AB996">
        <v>0</v>
      </c>
      <c r="AC996" t="str">
        <f>IF(AB996&lt;&gt;0,VLOOKUP(VLOOKUP(AB996,Tbl_Effect[],3,FALSE),EffectName[],IFERROR(MATCH(UI!$B$1,EffectName[#Headers],0),2),FALSE),"")</f>
        <v/>
      </c>
    </row>
    <row r="997" spans="8:29" x14ac:dyDescent="0.4">
      <c r="H997" t="str">
        <f t="shared" si="105"/>
        <v>6632600-Unset (紅)</v>
      </c>
      <c r="I997">
        <v>6632600</v>
      </c>
      <c r="J997" t="str">
        <f>_xlfn.IFNA(IF(I997&lt;&gt;0,VLOOKUP(VLOOKUP(I997,Tbl_Equip[],2,FALSE),Tbl_Color[],IFERROR(MATCH(UI!$B$1,Tbl_Color[#Headers],0),2),FALSE),""),"Unset")</f>
        <v>紅</v>
      </c>
      <c r="K997" t="str">
        <f>_xlfn.IFNA(IF(I997&lt;&gt;0,VLOOKUP(I997,ItemText[],IFERROR(MATCH(UI!$B$1,ItemText[#Headers],0),2),FALSE),""),"Unset")</f>
        <v>Unset</v>
      </c>
      <c r="L997" t="str">
        <f t="shared" si="106"/>
        <v/>
      </c>
      <c r="M997">
        <v>0</v>
      </c>
      <c r="N997" t="str">
        <f>IF(VALUE(M997)=0,"",VLOOKUP(VLOOKUP(M997,Tbl_Effect[],3,FALSE),EffectName[],IFERROR(MATCH(UI!$B$1,EffectName[#Headers],0),2),FALSE))</f>
        <v/>
      </c>
      <c r="O997" t="str">
        <f t="shared" si="107"/>
        <v/>
      </c>
      <c r="P997">
        <v>0</v>
      </c>
      <c r="Q997" t="str">
        <f>IF(VALUE(P997)=0,"",VLOOKUP(VLOOKUP(P997,Tbl_Effect[],3,FALSE),EffectName[],IFERROR(MATCH(UI!$B$1,EffectName[#Headers],0),2),FALSE))</f>
        <v/>
      </c>
      <c r="R997" t="str">
        <f t="shared" si="108"/>
        <v/>
      </c>
      <c r="S997">
        <v>0</v>
      </c>
      <c r="T997" t="str">
        <f>IF(VALUE(S997)=0,"",VLOOKUP(VLOOKUP(S997,Tbl_Effect[],3,FALSE),EffectName[],IFERROR(MATCH(UI!$B$1,EffectName[#Headers],0),2),FALSE))</f>
        <v/>
      </c>
      <c r="U997" t="str">
        <f t="shared" si="109"/>
        <v/>
      </c>
      <c r="V997">
        <v>0</v>
      </c>
      <c r="W997" t="str">
        <f>IF(V997&lt;&gt;0,VLOOKUP(VLOOKUP(V997,Tbl_Effect[],3,FALSE),EffectName[],IFERROR(MATCH(UI!$B$1,EffectName[#Headers],0),2),FALSE),"")</f>
        <v/>
      </c>
      <c r="X997" t="str">
        <f t="shared" si="110"/>
        <v/>
      </c>
      <c r="Y997">
        <v>0</v>
      </c>
      <c r="Z997" t="str">
        <f>IF(Y997&lt;&gt;0,VLOOKUP(VLOOKUP(Y997,Tbl_Effect[],3,FALSE),EffectName[],IFERROR(MATCH(UI!$B$1,EffectName[#Headers],0),2),FALSE),"")</f>
        <v/>
      </c>
      <c r="AA997" t="str">
        <f t="shared" si="111"/>
        <v/>
      </c>
      <c r="AB997">
        <v>0</v>
      </c>
      <c r="AC997" t="str">
        <f>IF(AB997&lt;&gt;0,VLOOKUP(VLOOKUP(AB997,Tbl_Effect[],3,FALSE),EffectName[],IFERROR(MATCH(UI!$B$1,EffectName[#Headers],0),2),FALSE),"")</f>
        <v/>
      </c>
    </row>
    <row r="998" spans="8:29" x14ac:dyDescent="0.4">
      <c r="H998" t="str">
        <f t="shared" si="105"/>
        <v>6632700-Unset (紅)</v>
      </c>
      <c r="I998">
        <v>6632700</v>
      </c>
      <c r="J998" t="str">
        <f>_xlfn.IFNA(IF(I998&lt;&gt;0,VLOOKUP(VLOOKUP(I998,Tbl_Equip[],2,FALSE),Tbl_Color[],IFERROR(MATCH(UI!$B$1,Tbl_Color[#Headers],0),2),FALSE),""),"Unset")</f>
        <v>紅</v>
      </c>
      <c r="K998" t="str">
        <f>_xlfn.IFNA(IF(I998&lt;&gt;0,VLOOKUP(I998,ItemText[],IFERROR(MATCH(UI!$B$1,ItemText[#Headers],0),2),FALSE),""),"Unset")</f>
        <v>Unset</v>
      </c>
      <c r="L998" t="str">
        <f t="shared" si="106"/>
        <v/>
      </c>
      <c r="M998">
        <v>0</v>
      </c>
      <c r="N998" t="str">
        <f>IF(VALUE(M998)=0,"",VLOOKUP(VLOOKUP(M998,Tbl_Effect[],3,FALSE),EffectName[],IFERROR(MATCH(UI!$B$1,EffectName[#Headers],0),2),FALSE))</f>
        <v/>
      </c>
      <c r="O998" t="str">
        <f t="shared" si="107"/>
        <v/>
      </c>
      <c r="P998">
        <v>0</v>
      </c>
      <c r="Q998" t="str">
        <f>IF(VALUE(P998)=0,"",VLOOKUP(VLOOKUP(P998,Tbl_Effect[],3,FALSE),EffectName[],IFERROR(MATCH(UI!$B$1,EffectName[#Headers],0),2),FALSE))</f>
        <v/>
      </c>
      <c r="R998" t="str">
        <f t="shared" si="108"/>
        <v/>
      </c>
      <c r="S998">
        <v>0</v>
      </c>
      <c r="T998" t="str">
        <f>IF(VALUE(S998)=0,"",VLOOKUP(VLOOKUP(S998,Tbl_Effect[],3,FALSE),EffectName[],IFERROR(MATCH(UI!$B$1,EffectName[#Headers],0),2),FALSE))</f>
        <v/>
      </c>
      <c r="U998" t="str">
        <f t="shared" si="109"/>
        <v/>
      </c>
      <c r="V998">
        <v>0</v>
      </c>
      <c r="W998" t="str">
        <f>IF(V998&lt;&gt;0,VLOOKUP(VLOOKUP(V998,Tbl_Effect[],3,FALSE),EffectName[],IFERROR(MATCH(UI!$B$1,EffectName[#Headers],0),2),FALSE),"")</f>
        <v/>
      </c>
      <c r="X998" t="str">
        <f t="shared" si="110"/>
        <v/>
      </c>
      <c r="Y998">
        <v>0</v>
      </c>
      <c r="Z998" t="str">
        <f>IF(Y998&lt;&gt;0,VLOOKUP(VLOOKUP(Y998,Tbl_Effect[],3,FALSE),EffectName[],IFERROR(MATCH(UI!$B$1,EffectName[#Headers],0),2),FALSE),"")</f>
        <v/>
      </c>
      <c r="AA998" t="str">
        <f t="shared" si="111"/>
        <v/>
      </c>
      <c r="AB998">
        <v>0</v>
      </c>
      <c r="AC998" t="str">
        <f>IF(AB998&lt;&gt;0,VLOOKUP(VLOOKUP(AB998,Tbl_Effect[],3,FALSE),EffectName[],IFERROR(MATCH(UI!$B$1,EffectName[#Headers],0),2),FALSE),"")</f>
        <v/>
      </c>
    </row>
    <row r="999" spans="8:29" x14ac:dyDescent="0.4">
      <c r="H999" t="str">
        <f t="shared" si="105"/>
        <v>6632800-Unset (紅)</v>
      </c>
      <c r="I999">
        <v>6632800</v>
      </c>
      <c r="J999" t="str">
        <f>_xlfn.IFNA(IF(I999&lt;&gt;0,VLOOKUP(VLOOKUP(I999,Tbl_Equip[],2,FALSE),Tbl_Color[],IFERROR(MATCH(UI!$B$1,Tbl_Color[#Headers],0),2),FALSE),""),"Unset")</f>
        <v>紅</v>
      </c>
      <c r="K999" t="str">
        <f>_xlfn.IFNA(IF(I999&lt;&gt;0,VLOOKUP(I999,ItemText[],IFERROR(MATCH(UI!$B$1,ItemText[#Headers],0),2),FALSE),""),"Unset")</f>
        <v>Unset</v>
      </c>
      <c r="L999" t="str">
        <f t="shared" si="106"/>
        <v/>
      </c>
      <c r="M999">
        <v>0</v>
      </c>
      <c r="N999" t="str">
        <f>IF(VALUE(M999)=0,"",VLOOKUP(VLOOKUP(M999,Tbl_Effect[],3,FALSE),EffectName[],IFERROR(MATCH(UI!$B$1,EffectName[#Headers],0),2),FALSE))</f>
        <v/>
      </c>
      <c r="O999" t="str">
        <f t="shared" si="107"/>
        <v/>
      </c>
      <c r="P999">
        <v>0</v>
      </c>
      <c r="Q999" t="str">
        <f>IF(VALUE(P999)=0,"",VLOOKUP(VLOOKUP(P999,Tbl_Effect[],3,FALSE),EffectName[],IFERROR(MATCH(UI!$B$1,EffectName[#Headers],0),2),FALSE))</f>
        <v/>
      </c>
      <c r="R999" t="str">
        <f t="shared" si="108"/>
        <v/>
      </c>
      <c r="S999">
        <v>0</v>
      </c>
      <c r="T999" t="str">
        <f>IF(VALUE(S999)=0,"",VLOOKUP(VLOOKUP(S999,Tbl_Effect[],3,FALSE),EffectName[],IFERROR(MATCH(UI!$B$1,EffectName[#Headers],0),2),FALSE))</f>
        <v/>
      </c>
      <c r="U999" t="str">
        <f t="shared" si="109"/>
        <v/>
      </c>
      <c r="V999">
        <v>0</v>
      </c>
      <c r="W999" t="str">
        <f>IF(V999&lt;&gt;0,VLOOKUP(VLOOKUP(V999,Tbl_Effect[],3,FALSE),EffectName[],IFERROR(MATCH(UI!$B$1,EffectName[#Headers],0),2),FALSE),"")</f>
        <v/>
      </c>
      <c r="X999" t="str">
        <f t="shared" si="110"/>
        <v/>
      </c>
      <c r="Y999">
        <v>0</v>
      </c>
      <c r="Z999" t="str">
        <f>IF(Y999&lt;&gt;0,VLOOKUP(VLOOKUP(Y999,Tbl_Effect[],3,FALSE),EffectName[],IFERROR(MATCH(UI!$B$1,EffectName[#Headers],0),2),FALSE),"")</f>
        <v/>
      </c>
      <c r="AA999" t="str">
        <f t="shared" si="111"/>
        <v/>
      </c>
      <c r="AB999">
        <v>0</v>
      </c>
      <c r="AC999" t="str">
        <f>IF(AB999&lt;&gt;0,VLOOKUP(VLOOKUP(AB999,Tbl_Effect[],3,FALSE),EffectName[],IFERROR(MATCH(UI!$B$1,EffectName[#Headers],0),2),FALSE),"")</f>
        <v/>
      </c>
    </row>
    <row r="1000" spans="8:29" x14ac:dyDescent="0.4">
      <c r="H1000" t="str">
        <f t="shared" si="105"/>
        <v>6632900-Unset (紅)</v>
      </c>
      <c r="I1000">
        <v>6632900</v>
      </c>
      <c r="J1000" t="str">
        <f>_xlfn.IFNA(IF(I1000&lt;&gt;0,VLOOKUP(VLOOKUP(I1000,Tbl_Equip[],2,FALSE),Tbl_Color[],IFERROR(MATCH(UI!$B$1,Tbl_Color[#Headers],0),2),FALSE),""),"Unset")</f>
        <v>紅</v>
      </c>
      <c r="K1000" t="str">
        <f>_xlfn.IFNA(IF(I1000&lt;&gt;0,VLOOKUP(I1000,ItemText[],IFERROR(MATCH(UI!$B$1,ItemText[#Headers],0),2),FALSE),""),"Unset")</f>
        <v>Unset</v>
      </c>
      <c r="L1000" t="str">
        <f t="shared" si="106"/>
        <v/>
      </c>
      <c r="M1000">
        <v>0</v>
      </c>
      <c r="N1000" t="str">
        <f>IF(VALUE(M1000)=0,"",VLOOKUP(VLOOKUP(M1000,Tbl_Effect[],3,FALSE),EffectName[],IFERROR(MATCH(UI!$B$1,EffectName[#Headers],0),2),FALSE))</f>
        <v/>
      </c>
      <c r="O1000" t="str">
        <f t="shared" si="107"/>
        <v/>
      </c>
      <c r="P1000">
        <v>0</v>
      </c>
      <c r="Q1000" t="str">
        <f>IF(VALUE(P1000)=0,"",VLOOKUP(VLOOKUP(P1000,Tbl_Effect[],3,FALSE),EffectName[],IFERROR(MATCH(UI!$B$1,EffectName[#Headers],0),2),FALSE))</f>
        <v/>
      </c>
      <c r="R1000" t="str">
        <f t="shared" si="108"/>
        <v/>
      </c>
      <c r="S1000">
        <v>0</v>
      </c>
      <c r="T1000" t="str">
        <f>IF(VALUE(S1000)=0,"",VLOOKUP(VLOOKUP(S1000,Tbl_Effect[],3,FALSE),EffectName[],IFERROR(MATCH(UI!$B$1,EffectName[#Headers],0),2),FALSE))</f>
        <v/>
      </c>
      <c r="U1000" t="str">
        <f t="shared" si="109"/>
        <v/>
      </c>
      <c r="V1000">
        <v>0</v>
      </c>
      <c r="W1000" t="str">
        <f>IF(V1000&lt;&gt;0,VLOOKUP(VLOOKUP(V1000,Tbl_Effect[],3,FALSE),EffectName[],IFERROR(MATCH(UI!$B$1,EffectName[#Headers],0),2),FALSE),"")</f>
        <v/>
      </c>
      <c r="X1000" t="str">
        <f t="shared" si="110"/>
        <v/>
      </c>
      <c r="Y1000">
        <v>0</v>
      </c>
      <c r="Z1000" t="str">
        <f>IF(Y1000&lt;&gt;0,VLOOKUP(VLOOKUP(Y1000,Tbl_Effect[],3,FALSE),EffectName[],IFERROR(MATCH(UI!$B$1,EffectName[#Headers],0),2),FALSE),"")</f>
        <v/>
      </c>
      <c r="AA1000" t="str">
        <f t="shared" si="111"/>
        <v/>
      </c>
      <c r="AB1000">
        <v>0</v>
      </c>
      <c r="AC1000" t="str">
        <f>IF(AB1000&lt;&gt;0,VLOOKUP(VLOOKUP(AB1000,Tbl_Effect[],3,FALSE),EffectName[],IFERROR(MATCH(UI!$B$1,EffectName[#Headers],0),2),FALSE),"")</f>
        <v/>
      </c>
    </row>
    <row r="1001" spans="8:29" x14ac:dyDescent="0.4">
      <c r="H1001" t="str">
        <f t="shared" si="105"/>
        <v>6633000-Unset (紅)</v>
      </c>
      <c r="I1001">
        <v>6633000</v>
      </c>
      <c r="J1001" t="str">
        <f>_xlfn.IFNA(IF(I1001&lt;&gt;0,VLOOKUP(VLOOKUP(I1001,Tbl_Equip[],2,FALSE),Tbl_Color[],IFERROR(MATCH(UI!$B$1,Tbl_Color[#Headers],0),2),FALSE),""),"Unset")</f>
        <v>紅</v>
      </c>
      <c r="K1001" t="str">
        <f>_xlfn.IFNA(IF(I1001&lt;&gt;0,VLOOKUP(I1001,ItemText[],IFERROR(MATCH(UI!$B$1,ItemText[#Headers],0),2),FALSE),""),"Unset")</f>
        <v>Unset</v>
      </c>
      <c r="L1001" t="str">
        <f t="shared" si="106"/>
        <v/>
      </c>
      <c r="M1001">
        <v>0</v>
      </c>
      <c r="N1001" t="str">
        <f>IF(VALUE(M1001)=0,"",VLOOKUP(VLOOKUP(M1001,Tbl_Effect[],3,FALSE),EffectName[],IFERROR(MATCH(UI!$B$1,EffectName[#Headers],0),2),FALSE))</f>
        <v/>
      </c>
      <c r="O1001" t="str">
        <f t="shared" si="107"/>
        <v/>
      </c>
      <c r="P1001">
        <v>0</v>
      </c>
      <c r="Q1001" t="str">
        <f>IF(VALUE(P1001)=0,"",VLOOKUP(VLOOKUP(P1001,Tbl_Effect[],3,FALSE),EffectName[],IFERROR(MATCH(UI!$B$1,EffectName[#Headers],0),2),FALSE))</f>
        <v/>
      </c>
      <c r="R1001" t="str">
        <f t="shared" si="108"/>
        <v/>
      </c>
      <c r="S1001">
        <v>0</v>
      </c>
      <c r="T1001" t="str">
        <f>IF(VALUE(S1001)=0,"",VLOOKUP(VLOOKUP(S1001,Tbl_Effect[],3,FALSE),EffectName[],IFERROR(MATCH(UI!$B$1,EffectName[#Headers],0),2),FALSE))</f>
        <v/>
      </c>
      <c r="U1001" t="str">
        <f t="shared" si="109"/>
        <v/>
      </c>
      <c r="V1001">
        <v>0</v>
      </c>
      <c r="W1001" t="str">
        <f>IF(V1001&lt;&gt;0,VLOOKUP(VLOOKUP(V1001,Tbl_Effect[],3,FALSE),EffectName[],IFERROR(MATCH(UI!$B$1,EffectName[#Headers],0),2),FALSE),"")</f>
        <v/>
      </c>
      <c r="X1001" t="str">
        <f t="shared" si="110"/>
        <v/>
      </c>
      <c r="Y1001">
        <v>0</v>
      </c>
      <c r="Z1001" t="str">
        <f>IF(Y1001&lt;&gt;0,VLOOKUP(VLOOKUP(Y1001,Tbl_Effect[],3,FALSE),EffectName[],IFERROR(MATCH(UI!$B$1,EffectName[#Headers],0),2),FALSE),"")</f>
        <v/>
      </c>
      <c r="AA1001" t="str">
        <f t="shared" si="111"/>
        <v/>
      </c>
      <c r="AB1001">
        <v>0</v>
      </c>
      <c r="AC1001" t="str">
        <f>IF(AB1001&lt;&gt;0,VLOOKUP(VLOOKUP(AB1001,Tbl_Effect[],3,FALSE),EffectName[],IFERROR(MATCH(UI!$B$1,EffectName[#Headers],0),2),FALSE),"")</f>
        <v/>
      </c>
    </row>
    <row r="1002" spans="8:29" x14ac:dyDescent="0.4">
      <c r="H1002" t="str">
        <f t="shared" si="105"/>
        <v>6633100-Unset (紅)</v>
      </c>
      <c r="I1002">
        <v>6633100</v>
      </c>
      <c r="J1002" t="str">
        <f>_xlfn.IFNA(IF(I1002&lt;&gt;0,VLOOKUP(VLOOKUP(I1002,Tbl_Equip[],2,FALSE),Tbl_Color[],IFERROR(MATCH(UI!$B$1,Tbl_Color[#Headers],0),2),FALSE),""),"Unset")</f>
        <v>紅</v>
      </c>
      <c r="K1002" t="str">
        <f>_xlfn.IFNA(IF(I1002&lt;&gt;0,VLOOKUP(I1002,ItemText[],IFERROR(MATCH(UI!$B$1,ItemText[#Headers],0),2),FALSE),""),"Unset")</f>
        <v>Unset</v>
      </c>
      <c r="L1002" t="str">
        <f t="shared" si="106"/>
        <v/>
      </c>
      <c r="M1002">
        <v>0</v>
      </c>
      <c r="N1002" t="str">
        <f>IF(VALUE(M1002)=0,"",VLOOKUP(VLOOKUP(M1002,Tbl_Effect[],3,FALSE),EffectName[],IFERROR(MATCH(UI!$B$1,EffectName[#Headers],0),2),FALSE))</f>
        <v/>
      </c>
      <c r="O1002" t="str">
        <f t="shared" si="107"/>
        <v/>
      </c>
      <c r="P1002">
        <v>0</v>
      </c>
      <c r="Q1002" t="str">
        <f>IF(VALUE(P1002)=0,"",VLOOKUP(VLOOKUP(P1002,Tbl_Effect[],3,FALSE),EffectName[],IFERROR(MATCH(UI!$B$1,EffectName[#Headers],0),2),FALSE))</f>
        <v/>
      </c>
      <c r="R1002" t="str">
        <f t="shared" si="108"/>
        <v/>
      </c>
      <c r="S1002">
        <v>0</v>
      </c>
      <c r="T1002" t="str">
        <f>IF(VALUE(S1002)=0,"",VLOOKUP(VLOOKUP(S1002,Tbl_Effect[],3,FALSE),EffectName[],IFERROR(MATCH(UI!$B$1,EffectName[#Headers],0),2),FALSE))</f>
        <v/>
      </c>
      <c r="U1002" t="str">
        <f t="shared" si="109"/>
        <v/>
      </c>
      <c r="V1002">
        <v>0</v>
      </c>
      <c r="W1002" t="str">
        <f>IF(V1002&lt;&gt;0,VLOOKUP(VLOOKUP(V1002,Tbl_Effect[],3,FALSE),EffectName[],IFERROR(MATCH(UI!$B$1,EffectName[#Headers],0),2),FALSE),"")</f>
        <v/>
      </c>
      <c r="X1002" t="str">
        <f t="shared" si="110"/>
        <v/>
      </c>
      <c r="Y1002">
        <v>0</v>
      </c>
      <c r="Z1002" t="str">
        <f>IF(Y1002&lt;&gt;0,VLOOKUP(VLOOKUP(Y1002,Tbl_Effect[],3,FALSE),EffectName[],IFERROR(MATCH(UI!$B$1,EffectName[#Headers],0),2),FALSE),"")</f>
        <v/>
      </c>
      <c r="AA1002" t="str">
        <f t="shared" si="111"/>
        <v/>
      </c>
      <c r="AB1002">
        <v>0</v>
      </c>
      <c r="AC1002" t="str">
        <f>IF(AB1002&lt;&gt;0,VLOOKUP(VLOOKUP(AB1002,Tbl_Effect[],3,FALSE),EffectName[],IFERROR(MATCH(UI!$B$1,EffectName[#Headers],0),2),FALSE),"")</f>
        <v/>
      </c>
    </row>
    <row r="1003" spans="8:29" x14ac:dyDescent="0.4">
      <c r="H1003" t="str">
        <f t="shared" si="105"/>
        <v>6633200-Unset (紅)</v>
      </c>
      <c r="I1003">
        <v>6633200</v>
      </c>
      <c r="J1003" t="str">
        <f>_xlfn.IFNA(IF(I1003&lt;&gt;0,VLOOKUP(VLOOKUP(I1003,Tbl_Equip[],2,FALSE),Tbl_Color[],IFERROR(MATCH(UI!$B$1,Tbl_Color[#Headers],0),2),FALSE),""),"Unset")</f>
        <v>紅</v>
      </c>
      <c r="K1003" t="str">
        <f>_xlfn.IFNA(IF(I1003&lt;&gt;0,VLOOKUP(I1003,ItemText[],IFERROR(MATCH(UI!$B$1,ItemText[#Headers],0),2),FALSE),""),"Unset")</f>
        <v>Unset</v>
      </c>
      <c r="L1003" t="str">
        <f t="shared" si="106"/>
        <v/>
      </c>
      <c r="M1003">
        <v>0</v>
      </c>
      <c r="N1003" t="str">
        <f>IF(VALUE(M1003)=0,"",VLOOKUP(VLOOKUP(M1003,Tbl_Effect[],3,FALSE),EffectName[],IFERROR(MATCH(UI!$B$1,EffectName[#Headers],0),2),FALSE))</f>
        <v/>
      </c>
      <c r="O1003" t="str">
        <f t="shared" si="107"/>
        <v/>
      </c>
      <c r="P1003">
        <v>0</v>
      </c>
      <c r="Q1003" t="str">
        <f>IF(VALUE(P1003)=0,"",VLOOKUP(VLOOKUP(P1003,Tbl_Effect[],3,FALSE),EffectName[],IFERROR(MATCH(UI!$B$1,EffectName[#Headers],0),2),FALSE))</f>
        <v/>
      </c>
      <c r="R1003" t="str">
        <f t="shared" si="108"/>
        <v/>
      </c>
      <c r="S1003">
        <v>0</v>
      </c>
      <c r="T1003" t="str">
        <f>IF(VALUE(S1003)=0,"",VLOOKUP(VLOOKUP(S1003,Tbl_Effect[],3,FALSE),EffectName[],IFERROR(MATCH(UI!$B$1,EffectName[#Headers],0),2),FALSE))</f>
        <v/>
      </c>
      <c r="U1003" t="str">
        <f t="shared" si="109"/>
        <v/>
      </c>
      <c r="V1003">
        <v>0</v>
      </c>
      <c r="W1003" t="str">
        <f>IF(V1003&lt;&gt;0,VLOOKUP(VLOOKUP(V1003,Tbl_Effect[],3,FALSE),EffectName[],IFERROR(MATCH(UI!$B$1,EffectName[#Headers],0),2),FALSE),"")</f>
        <v/>
      </c>
      <c r="X1003" t="str">
        <f t="shared" si="110"/>
        <v/>
      </c>
      <c r="Y1003">
        <v>0</v>
      </c>
      <c r="Z1003" t="str">
        <f>IF(Y1003&lt;&gt;0,VLOOKUP(VLOOKUP(Y1003,Tbl_Effect[],3,FALSE),EffectName[],IFERROR(MATCH(UI!$B$1,EffectName[#Headers],0),2),FALSE),"")</f>
        <v/>
      </c>
      <c r="AA1003" t="str">
        <f t="shared" si="111"/>
        <v/>
      </c>
      <c r="AB1003">
        <v>0</v>
      </c>
      <c r="AC1003" t="str">
        <f>IF(AB1003&lt;&gt;0,VLOOKUP(VLOOKUP(AB1003,Tbl_Effect[],3,FALSE),EffectName[],IFERROR(MATCH(UI!$B$1,EffectName[#Headers],0),2),FALSE),"")</f>
        <v/>
      </c>
    </row>
    <row r="1004" spans="8:29" x14ac:dyDescent="0.4">
      <c r="H1004" t="str">
        <f t="shared" si="105"/>
        <v>6640000-Unset (紅)</v>
      </c>
      <c r="I1004">
        <v>6640000</v>
      </c>
      <c r="J1004" t="str">
        <f>_xlfn.IFNA(IF(I1004&lt;&gt;0,VLOOKUP(VLOOKUP(I1004,Tbl_Equip[],2,FALSE),Tbl_Color[],IFERROR(MATCH(UI!$B$1,Tbl_Color[#Headers],0),2),FALSE),""),"Unset")</f>
        <v>紅</v>
      </c>
      <c r="K1004" t="str">
        <f>_xlfn.IFNA(IF(I1004&lt;&gt;0,VLOOKUP(I1004,ItemText[],IFERROR(MATCH(UI!$B$1,ItemText[#Headers],0),2),FALSE),""),"Unset")</f>
        <v>Unset</v>
      </c>
      <c r="L1004" t="str">
        <f t="shared" si="106"/>
        <v/>
      </c>
      <c r="M1004">
        <v>0</v>
      </c>
      <c r="N1004" t="str">
        <f>IF(VALUE(M1004)=0,"",VLOOKUP(VLOOKUP(M1004,Tbl_Effect[],3,FALSE),EffectName[],IFERROR(MATCH(UI!$B$1,EffectName[#Headers],0),2),FALSE))</f>
        <v/>
      </c>
      <c r="O1004" t="str">
        <f t="shared" si="107"/>
        <v/>
      </c>
      <c r="P1004">
        <v>0</v>
      </c>
      <c r="Q1004" t="str">
        <f>IF(VALUE(P1004)=0,"",VLOOKUP(VLOOKUP(P1004,Tbl_Effect[],3,FALSE),EffectName[],IFERROR(MATCH(UI!$B$1,EffectName[#Headers],0),2),FALSE))</f>
        <v/>
      </c>
      <c r="R1004" t="str">
        <f t="shared" si="108"/>
        <v/>
      </c>
      <c r="S1004">
        <v>0</v>
      </c>
      <c r="T1004" t="str">
        <f>IF(VALUE(S1004)=0,"",VLOOKUP(VLOOKUP(S1004,Tbl_Effect[],3,FALSE),EffectName[],IFERROR(MATCH(UI!$B$1,EffectName[#Headers],0),2),FALSE))</f>
        <v/>
      </c>
      <c r="U1004" t="str">
        <f t="shared" si="109"/>
        <v/>
      </c>
      <c r="V1004">
        <v>0</v>
      </c>
      <c r="W1004" t="str">
        <f>IF(V1004&lt;&gt;0,VLOOKUP(VLOOKUP(V1004,Tbl_Effect[],3,FALSE),EffectName[],IFERROR(MATCH(UI!$B$1,EffectName[#Headers],0),2),FALSE),"")</f>
        <v/>
      </c>
      <c r="X1004" t="str">
        <f t="shared" si="110"/>
        <v/>
      </c>
      <c r="Y1004">
        <v>0</v>
      </c>
      <c r="Z1004" t="str">
        <f>IF(Y1004&lt;&gt;0,VLOOKUP(VLOOKUP(Y1004,Tbl_Effect[],3,FALSE),EffectName[],IFERROR(MATCH(UI!$B$1,EffectName[#Headers],0),2),FALSE),"")</f>
        <v/>
      </c>
      <c r="AA1004" t="str">
        <f t="shared" si="111"/>
        <v/>
      </c>
      <c r="AB1004">
        <v>0</v>
      </c>
      <c r="AC1004" t="str">
        <f>IF(AB1004&lt;&gt;0,VLOOKUP(VLOOKUP(AB1004,Tbl_Effect[],3,FALSE),EffectName[],IFERROR(MATCH(UI!$B$1,EffectName[#Headers],0),2),FALSE),"")</f>
        <v/>
      </c>
    </row>
    <row r="1005" spans="8:29" x14ac:dyDescent="0.4">
      <c r="H1005" t="str">
        <f t="shared" si="105"/>
        <v>6640100-Unset (紅)</v>
      </c>
      <c r="I1005">
        <v>6640100</v>
      </c>
      <c r="J1005" t="str">
        <f>_xlfn.IFNA(IF(I1005&lt;&gt;0,VLOOKUP(VLOOKUP(I1005,Tbl_Equip[],2,FALSE),Tbl_Color[],IFERROR(MATCH(UI!$B$1,Tbl_Color[#Headers],0),2),FALSE),""),"Unset")</f>
        <v>紅</v>
      </c>
      <c r="K1005" t="str">
        <f>_xlfn.IFNA(IF(I1005&lt;&gt;0,VLOOKUP(I1005,ItemText[],IFERROR(MATCH(UI!$B$1,ItemText[#Headers],0),2),FALSE),""),"Unset")</f>
        <v>Unset</v>
      </c>
      <c r="L1005" t="str">
        <f t="shared" si="106"/>
        <v/>
      </c>
      <c r="M1005">
        <v>0</v>
      </c>
      <c r="N1005" t="str">
        <f>IF(VALUE(M1005)=0,"",VLOOKUP(VLOOKUP(M1005,Tbl_Effect[],3,FALSE),EffectName[],IFERROR(MATCH(UI!$B$1,EffectName[#Headers],0),2),FALSE))</f>
        <v/>
      </c>
      <c r="O1005" t="str">
        <f t="shared" si="107"/>
        <v/>
      </c>
      <c r="P1005">
        <v>0</v>
      </c>
      <c r="Q1005" t="str">
        <f>IF(VALUE(P1005)=0,"",VLOOKUP(VLOOKUP(P1005,Tbl_Effect[],3,FALSE),EffectName[],IFERROR(MATCH(UI!$B$1,EffectName[#Headers],0),2),FALSE))</f>
        <v/>
      </c>
      <c r="R1005" t="str">
        <f t="shared" si="108"/>
        <v/>
      </c>
      <c r="S1005">
        <v>0</v>
      </c>
      <c r="T1005" t="str">
        <f>IF(VALUE(S1005)=0,"",VLOOKUP(VLOOKUP(S1005,Tbl_Effect[],3,FALSE),EffectName[],IFERROR(MATCH(UI!$B$1,EffectName[#Headers],0),2),FALSE))</f>
        <v/>
      </c>
      <c r="U1005" t="str">
        <f t="shared" si="109"/>
        <v/>
      </c>
      <c r="V1005">
        <v>0</v>
      </c>
      <c r="W1005" t="str">
        <f>IF(V1005&lt;&gt;0,VLOOKUP(VLOOKUP(V1005,Tbl_Effect[],3,FALSE),EffectName[],IFERROR(MATCH(UI!$B$1,EffectName[#Headers],0),2),FALSE),"")</f>
        <v/>
      </c>
      <c r="X1005" t="str">
        <f t="shared" si="110"/>
        <v/>
      </c>
      <c r="Y1005">
        <v>0</v>
      </c>
      <c r="Z1005" t="str">
        <f>IF(Y1005&lt;&gt;0,VLOOKUP(VLOOKUP(Y1005,Tbl_Effect[],3,FALSE),EffectName[],IFERROR(MATCH(UI!$B$1,EffectName[#Headers],0),2),FALSE),"")</f>
        <v/>
      </c>
      <c r="AA1005" t="str">
        <f t="shared" si="111"/>
        <v/>
      </c>
      <c r="AB1005">
        <v>0</v>
      </c>
      <c r="AC1005" t="str">
        <f>IF(AB1005&lt;&gt;0,VLOOKUP(VLOOKUP(AB1005,Tbl_Effect[],3,FALSE),EffectName[],IFERROR(MATCH(UI!$B$1,EffectName[#Headers],0),2),FALSE),"")</f>
        <v/>
      </c>
    </row>
    <row r="1006" spans="8:29" x14ac:dyDescent="0.4">
      <c r="H1006" t="str">
        <f t="shared" si="105"/>
        <v>6641000-Unset (紅)</v>
      </c>
      <c r="I1006">
        <v>6641000</v>
      </c>
      <c r="J1006" t="str">
        <f>_xlfn.IFNA(IF(I1006&lt;&gt;0,VLOOKUP(VLOOKUP(I1006,Tbl_Equip[],2,FALSE),Tbl_Color[],IFERROR(MATCH(UI!$B$1,Tbl_Color[#Headers],0),2),FALSE),""),"Unset")</f>
        <v>紅</v>
      </c>
      <c r="K1006" t="str">
        <f>_xlfn.IFNA(IF(I1006&lt;&gt;0,VLOOKUP(I1006,ItemText[],IFERROR(MATCH(UI!$B$1,ItemText[#Headers],0),2),FALSE),""),"Unset")</f>
        <v>Unset</v>
      </c>
      <c r="L1006" t="str">
        <f t="shared" si="106"/>
        <v/>
      </c>
      <c r="M1006">
        <v>0</v>
      </c>
      <c r="N1006" t="str">
        <f>IF(VALUE(M1006)=0,"",VLOOKUP(VLOOKUP(M1006,Tbl_Effect[],3,FALSE),EffectName[],IFERROR(MATCH(UI!$B$1,EffectName[#Headers],0),2),FALSE))</f>
        <v/>
      </c>
      <c r="O1006" t="str">
        <f t="shared" si="107"/>
        <v/>
      </c>
      <c r="P1006">
        <v>0</v>
      </c>
      <c r="Q1006" t="str">
        <f>IF(VALUE(P1006)=0,"",VLOOKUP(VLOOKUP(P1006,Tbl_Effect[],3,FALSE),EffectName[],IFERROR(MATCH(UI!$B$1,EffectName[#Headers],0),2),FALSE))</f>
        <v/>
      </c>
      <c r="R1006" t="str">
        <f t="shared" si="108"/>
        <v/>
      </c>
      <c r="S1006">
        <v>0</v>
      </c>
      <c r="T1006" t="str">
        <f>IF(VALUE(S1006)=0,"",VLOOKUP(VLOOKUP(S1006,Tbl_Effect[],3,FALSE),EffectName[],IFERROR(MATCH(UI!$B$1,EffectName[#Headers],0),2),FALSE))</f>
        <v/>
      </c>
      <c r="U1006" t="str">
        <f t="shared" si="109"/>
        <v/>
      </c>
      <c r="V1006">
        <v>0</v>
      </c>
      <c r="W1006" t="str">
        <f>IF(V1006&lt;&gt;0,VLOOKUP(VLOOKUP(V1006,Tbl_Effect[],3,FALSE),EffectName[],IFERROR(MATCH(UI!$B$1,EffectName[#Headers],0),2),FALSE),"")</f>
        <v/>
      </c>
      <c r="X1006" t="str">
        <f t="shared" si="110"/>
        <v/>
      </c>
      <c r="Y1006">
        <v>0</v>
      </c>
      <c r="Z1006" t="str">
        <f>IF(Y1006&lt;&gt;0,VLOOKUP(VLOOKUP(Y1006,Tbl_Effect[],3,FALSE),EffectName[],IFERROR(MATCH(UI!$B$1,EffectName[#Headers],0),2),FALSE),"")</f>
        <v/>
      </c>
      <c r="AA1006" t="str">
        <f t="shared" si="111"/>
        <v/>
      </c>
      <c r="AB1006">
        <v>0</v>
      </c>
      <c r="AC1006" t="str">
        <f>IF(AB1006&lt;&gt;0,VLOOKUP(VLOOKUP(AB1006,Tbl_Effect[],3,FALSE),EffectName[],IFERROR(MATCH(UI!$B$1,EffectName[#Headers],0),2),FALSE),"")</f>
        <v/>
      </c>
    </row>
    <row r="1007" spans="8:29" x14ac:dyDescent="0.4">
      <c r="H1007" t="str">
        <f t="shared" si="105"/>
        <v>6641100-Unset (紅)</v>
      </c>
      <c r="I1007">
        <v>6641100</v>
      </c>
      <c r="J1007" t="str">
        <f>_xlfn.IFNA(IF(I1007&lt;&gt;0,VLOOKUP(VLOOKUP(I1007,Tbl_Equip[],2,FALSE),Tbl_Color[],IFERROR(MATCH(UI!$B$1,Tbl_Color[#Headers],0),2),FALSE),""),"Unset")</f>
        <v>紅</v>
      </c>
      <c r="K1007" t="str">
        <f>_xlfn.IFNA(IF(I1007&lt;&gt;0,VLOOKUP(I1007,ItemText[],IFERROR(MATCH(UI!$B$1,ItemText[#Headers],0),2),FALSE),""),"Unset")</f>
        <v>Unset</v>
      </c>
      <c r="L1007" t="str">
        <f t="shared" si="106"/>
        <v/>
      </c>
      <c r="M1007">
        <v>0</v>
      </c>
      <c r="N1007" t="str">
        <f>IF(VALUE(M1007)=0,"",VLOOKUP(VLOOKUP(M1007,Tbl_Effect[],3,FALSE),EffectName[],IFERROR(MATCH(UI!$B$1,EffectName[#Headers],0),2),FALSE))</f>
        <v/>
      </c>
      <c r="O1007" t="str">
        <f t="shared" si="107"/>
        <v/>
      </c>
      <c r="P1007">
        <v>0</v>
      </c>
      <c r="Q1007" t="str">
        <f>IF(VALUE(P1007)=0,"",VLOOKUP(VLOOKUP(P1007,Tbl_Effect[],3,FALSE),EffectName[],IFERROR(MATCH(UI!$B$1,EffectName[#Headers],0),2),FALSE))</f>
        <v/>
      </c>
      <c r="R1007" t="str">
        <f t="shared" si="108"/>
        <v/>
      </c>
      <c r="S1007">
        <v>0</v>
      </c>
      <c r="T1007" t="str">
        <f>IF(VALUE(S1007)=0,"",VLOOKUP(VLOOKUP(S1007,Tbl_Effect[],3,FALSE),EffectName[],IFERROR(MATCH(UI!$B$1,EffectName[#Headers],0),2),FALSE))</f>
        <v/>
      </c>
      <c r="U1007" t="str">
        <f t="shared" si="109"/>
        <v/>
      </c>
      <c r="V1007">
        <v>0</v>
      </c>
      <c r="W1007" t="str">
        <f>IF(V1007&lt;&gt;0,VLOOKUP(VLOOKUP(V1007,Tbl_Effect[],3,FALSE),EffectName[],IFERROR(MATCH(UI!$B$1,EffectName[#Headers],0),2),FALSE),"")</f>
        <v/>
      </c>
      <c r="X1007" t="str">
        <f t="shared" si="110"/>
        <v/>
      </c>
      <c r="Y1007">
        <v>0</v>
      </c>
      <c r="Z1007" t="str">
        <f>IF(Y1007&lt;&gt;0,VLOOKUP(VLOOKUP(Y1007,Tbl_Effect[],3,FALSE),EffectName[],IFERROR(MATCH(UI!$B$1,EffectName[#Headers],0),2),FALSE),"")</f>
        <v/>
      </c>
      <c r="AA1007" t="str">
        <f t="shared" si="111"/>
        <v/>
      </c>
      <c r="AB1007">
        <v>0</v>
      </c>
      <c r="AC1007" t="str">
        <f>IF(AB1007&lt;&gt;0,VLOOKUP(VLOOKUP(AB1007,Tbl_Effect[],3,FALSE),EffectName[],IFERROR(MATCH(UI!$B$1,EffectName[#Headers],0),2),FALSE),"")</f>
        <v/>
      </c>
    </row>
    <row r="1008" spans="8:29" x14ac:dyDescent="0.4">
      <c r="H1008" t="str">
        <f t="shared" si="105"/>
        <v>6642000-Unset (紅)</v>
      </c>
      <c r="I1008">
        <v>6642000</v>
      </c>
      <c r="J1008" t="str">
        <f>_xlfn.IFNA(IF(I1008&lt;&gt;0,VLOOKUP(VLOOKUP(I1008,Tbl_Equip[],2,FALSE),Tbl_Color[],IFERROR(MATCH(UI!$B$1,Tbl_Color[#Headers],0),2),FALSE),""),"Unset")</f>
        <v>紅</v>
      </c>
      <c r="K1008" t="str">
        <f>_xlfn.IFNA(IF(I1008&lt;&gt;0,VLOOKUP(I1008,ItemText[],IFERROR(MATCH(UI!$B$1,ItemText[#Headers],0),2),FALSE),""),"Unset")</f>
        <v>Unset</v>
      </c>
      <c r="L1008" t="str">
        <f t="shared" si="106"/>
        <v/>
      </c>
      <c r="M1008">
        <v>0</v>
      </c>
      <c r="N1008" t="str">
        <f>IF(VALUE(M1008)=0,"",VLOOKUP(VLOOKUP(M1008,Tbl_Effect[],3,FALSE),EffectName[],IFERROR(MATCH(UI!$B$1,EffectName[#Headers],0),2),FALSE))</f>
        <v/>
      </c>
      <c r="O1008" t="str">
        <f t="shared" si="107"/>
        <v/>
      </c>
      <c r="P1008">
        <v>0</v>
      </c>
      <c r="Q1008" t="str">
        <f>IF(VALUE(P1008)=0,"",VLOOKUP(VLOOKUP(P1008,Tbl_Effect[],3,FALSE),EffectName[],IFERROR(MATCH(UI!$B$1,EffectName[#Headers],0),2),FALSE))</f>
        <v/>
      </c>
      <c r="R1008" t="str">
        <f t="shared" si="108"/>
        <v/>
      </c>
      <c r="S1008">
        <v>0</v>
      </c>
      <c r="T1008" t="str">
        <f>IF(VALUE(S1008)=0,"",VLOOKUP(VLOOKUP(S1008,Tbl_Effect[],3,FALSE),EffectName[],IFERROR(MATCH(UI!$B$1,EffectName[#Headers],0),2),FALSE))</f>
        <v/>
      </c>
      <c r="U1008" t="str">
        <f t="shared" si="109"/>
        <v/>
      </c>
      <c r="V1008">
        <v>0</v>
      </c>
      <c r="W1008" t="str">
        <f>IF(V1008&lt;&gt;0,VLOOKUP(VLOOKUP(V1008,Tbl_Effect[],3,FALSE),EffectName[],IFERROR(MATCH(UI!$B$1,EffectName[#Headers],0),2),FALSE),"")</f>
        <v/>
      </c>
      <c r="X1008" t="str">
        <f t="shared" si="110"/>
        <v/>
      </c>
      <c r="Y1008">
        <v>0</v>
      </c>
      <c r="Z1008" t="str">
        <f>IF(Y1008&lt;&gt;0,VLOOKUP(VLOOKUP(Y1008,Tbl_Effect[],3,FALSE),EffectName[],IFERROR(MATCH(UI!$B$1,EffectName[#Headers],0),2),FALSE),"")</f>
        <v/>
      </c>
      <c r="AA1008" t="str">
        <f t="shared" si="111"/>
        <v/>
      </c>
      <c r="AB1008">
        <v>0</v>
      </c>
      <c r="AC1008" t="str">
        <f>IF(AB1008&lt;&gt;0,VLOOKUP(VLOOKUP(AB1008,Tbl_Effect[],3,FALSE),EffectName[],IFERROR(MATCH(UI!$B$1,EffectName[#Headers],0),2),FALSE),"")</f>
        <v/>
      </c>
    </row>
    <row r="1009" spans="8:29" x14ac:dyDescent="0.4">
      <c r="H1009" t="str">
        <f t="shared" si="105"/>
        <v>6642100-Unset (紅)</v>
      </c>
      <c r="I1009">
        <v>6642100</v>
      </c>
      <c r="J1009" t="str">
        <f>_xlfn.IFNA(IF(I1009&lt;&gt;0,VLOOKUP(VLOOKUP(I1009,Tbl_Equip[],2,FALSE),Tbl_Color[],IFERROR(MATCH(UI!$B$1,Tbl_Color[#Headers],0),2),FALSE),""),"Unset")</f>
        <v>紅</v>
      </c>
      <c r="K1009" t="str">
        <f>_xlfn.IFNA(IF(I1009&lt;&gt;0,VLOOKUP(I1009,ItemText[],IFERROR(MATCH(UI!$B$1,ItemText[#Headers],0),2),FALSE),""),"Unset")</f>
        <v>Unset</v>
      </c>
      <c r="L1009" t="str">
        <f t="shared" si="106"/>
        <v/>
      </c>
      <c r="M1009">
        <v>0</v>
      </c>
      <c r="N1009" t="str">
        <f>IF(VALUE(M1009)=0,"",VLOOKUP(VLOOKUP(M1009,Tbl_Effect[],3,FALSE),EffectName[],IFERROR(MATCH(UI!$B$1,EffectName[#Headers],0),2),FALSE))</f>
        <v/>
      </c>
      <c r="O1009" t="str">
        <f t="shared" si="107"/>
        <v/>
      </c>
      <c r="P1009">
        <v>0</v>
      </c>
      <c r="Q1009" t="str">
        <f>IF(VALUE(P1009)=0,"",VLOOKUP(VLOOKUP(P1009,Tbl_Effect[],3,FALSE),EffectName[],IFERROR(MATCH(UI!$B$1,EffectName[#Headers],0),2),FALSE))</f>
        <v/>
      </c>
      <c r="R1009" t="str">
        <f t="shared" si="108"/>
        <v/>
      </c>
      <c r="S1009">
        <v>0</v>
      </c>
      <c r="T1009" t="str">
        <f>IF(VALUE(S1009)=0,"",VLOOKUP(VLOOKUP(S1009,Tbl_Effect[],3,FALSE),EffectName[],IFERROR(MATCH(UI!$B$1,EffectName[#Headers],0),2),FALSE))</f>
        <v/>
      </c>
      <c r="U1009" t="str">
        <f t="shared" si="109"/>
        <v/>
      </c>
      <c r="V1009">
        <v>0</v>
      </c>
      <c r="W1009" t="str">
        <f>IF(V1009&lt;&gt;0,VLOOKUP(VLOOKUP(V1009,Tbl_Effect[],3,FALSE),EffectName[],IFERROR(MATCH(UI!$B$1,EffectName[#Headers],0),2),FALSE),"")</f>
        <v/>
      </c>
      <c r="X1009" t="str">
        <f t="shared" si="110"/>
        <v/>
      </c>
      <c r="Y1009">
        <v>0</v>
      </c>
      <c r="Z1009" t="str">
        <f>IF(Y1009&lt;&gt;0,VLOOKUP(VLOOKUP(Y1009,Tbl_Effect[],3,FALSE),EffectName[],IFERROR(MATCH(UI!$B$1,EffectName[#Headers],0),2),FALSE),"")</f>
        <v/>
      </c>
      <c r="AA1009" t="str">
        <f t="shared" si="111"/>
        <v/>
      </c>
      <c r="AB1009">
        <v>0</v>
      </c>
      <c r="AC1009" t="str">
        <f>IF(AB1009&lt;&gt;0,VLOOKUP(VLOOKUP(AB1009,Tbl_Effect[],3,FALSE),EffectName[],IFERROR(MATCH(UI!$B$1,EffectName[#Headers],0),2),FALSE),"")</f>
        <v/>
      </c>
    </row>
    <row r="1010" spans="8:29" x14ac:dyDescent="0.4">
      <c r="H1010" t="str">
        <f t="shared" si="105"/>
        <v>6643000-Unset (紅)</v>
      </c>
      <c r="I1010">
        <v>6643000</v>
      </c>
      <c r="J1010" t="str">
        <f>_xlfn.IFNA(IF(I1010&lt;&gt;0,VLOOKUP(VLOOKUP(I1010,Tbl_Equip[],2,FALSE),Tbl_Color[],IFERROR(MATCH(UI!$B$1,Tbl_Color[#Headers],0),2),FALSE),""),"Unset")</f>
        <v>紅</v>
      </c>
      <c r="K1010" t="str">
        <f>_xlfn.IFNA(IF(I1010&lt;&gt;0,VLOOKUP(I1010,ItemText[],IFERROR(MATCH(UI!$B$1,ItemText[#Headers],0),2),FALSE),""),"Unset")</f>
        <v>Unset</v>
      </c>
      <c r="L1010" t="str">
        <f t="shared" si="106"/>
        <v/>
      </c>
      <c r="M1010">
        <v>0</v>
      </c>
      <c r="N1010" t="str">
        <f>IF(VALUE(M1010)=0,"",VLOOKUP(VLOOKUP(M1010,Tbl_Effect[],3,FALSE),EffectName[],IFERROR(MATCH(UI!$B$1,EffectName[#Headers],0),2),FALSE))</f>
        <v/>
      </c>
      <c r="O1010" t="str">
        <f t="shared" si="107"/>
        <v/>
      </c>
      <c r="P1010">
        <v>0</v>
      </c>
      <c r="Q1010" t="str">
        <f>IF(VALUE(P1010)=0,"",VLOOKUP(VLOOKUP(P1010,Tbl_Effect[],3,FALSE),EffectName[],IFERROR(MATCH(UI!$B$1,EffectName[#Headers],0),2),FALSE))</f>
        <v/>
      </c>
      <c r="R1010" t="str">
        <f t="shared" si="108"/>
        <v/>
      </c>
      <c r="S1010">
        <v>0</v>
      </c>
      <c r="T1010" t="str">
        <f>IF(VALUE(S1010)=0,"",VLOOKUP(VLOOKUP(S1010,Tbl_Effect[],3,FALSE),EffectName[],IFERROR(MATCH(UI!$B$1,EffectName[#Headers],0),2),FALSE))</f>
        <v/>
      </c>
      <c r="U1010" t="str">
        <f t="shared" si="109"/>
        <v/>
      </c>
      <c r="V1010">
        <v>0</v>
      </c>
      <c r="W1010" t="str">
        <f>IF(V1010&lt;&gt;0,VLOOKUP(VLOOKUP(V1010,Tbl_Effect[],3,FALSE),EffectName[],IFERROR(MATCH(UI!$B$1,EffectName[#Headers],0),2),FALSE),"")</f>
        <v/>
      </c>
      <c r="X1010" t="str">
        <f t="shared" si="110"/>
        <v/>
      </c>
      <c r="Y1010">
        <v>0</v>
      </c>
      <c r="Z1010" t="str">
        <f>IF(Y1010&lt;&gt;0,VLOOKUP(VLOOKUP(Y1010,Tbl_Effect[],3,FALSE),EffectName[],IFERROR(MATCH(UI!$B$1,EffectName[#Headers],0),2),FALSE),"")</f>
        <v/>
      </c>
      <c r="AA1010" t="str">
        <f t="shared" si="111"/>
        <v/>
      </c>
      <c r="AB1010">
        <v>0</v>
      </c>
      <c r="AC1010" t="str">
        <f>IF(AB1010&lt;&gt;0,VLOOKUP(VLOOKUP(AB1010,Tbl_Effect[],3,FALSE),EffectName[],IFERROR(MATCH(UI!$B$1,EffectName[#Headers],0),2),FALSE),"")</f>
        <v/>
      </c>
    </row>
    <row r="1011" spans="8:29" x14ac:dyDescent="0.4">
      <c r="H1011" t="str">
        <f t="shared" si="105"/>
        <v>6643100-Unset (紅)</v>
      </c>
      <c r="I1011">
        <v>6643100</v>
      </c>
      <c r="J1011" t="str">
        <f>_xlfn.IFNA(IF(I1011&lt;&gt;0,VLOOKUP(VLOOKUP(I1011,Tbl_Equip[],2,FALSE),Tbl_Color[],IFERROR(MATCH(UI!$B$1,Tbl_Color[#Headers],0),2),FALSE),""),"Unset")</f>
        <v>紅</v>
      </c>
      <c r="K1011" t="str">
        <f>_xlfn.IFNA(IF(I1011&lt;&gt;0,VLOOKUP(I1011,ItemText[],IFERROR(MATCH(UI!$B$1,ItemText[#Headers],0),2),FALSE),""),"Unset")</f>
        <v>Unset</v>
      </c>
      <c r="L1011" t="str">
        <f t="shared" si="106"/>
        <v/>
      </c>
      <c r="M1011">
        <v>0</v>
      </c>
      <c r="N1011" t="str">
        <f>IF(VALUE(M1011)=0,"",VLOOKUP(VLOOKUP(M1011,Tbl_Effect[],3,FALSE),EffectName[],IFERROR(MATCH(UI!$B$1,EffectName[#Headers],0),2),FALSE))</f>
        <v/>
      </c>
      <c r="O1011" t="str">
        <f t="shared" si="107"/>
        <v/>
      </c>
      <c r="P1011">
        <v>0</v>
      </c>
      <c r="Q1011" t="str">
        <f>IF(VALUE(P1011)=0,"",VLOOKUP(VLOOKUP(P1011,Tbl_Effect[],3,FALSE),EffectName[],IFERROR(MATCH(UI!$B$1,EffectName[#Headers],0),2),FALSE))</f>
        <v/>
      </c>
      <c r="R1011" t="str">
        <f t="shared" si="108"/>
        <v/>
      </c>
      <c r="S1011">
        <v>0</v>
      </c>
      <c r="T1011" t="str">
        <f>IF(VALUE(S1011)=0,"",VLOOKUP(VLOOKUP(S1011,Tbl_Effect[],3,FALSE),EffectName[],IFERROR(MATCH(UI!$B$1,EffectName[#Headers],0),2),FALSE))</f>
        <v/>
      </c>
      <c r="U1011" t="str">
        <f t="shared" si="109"/>
        <v/>
      </c>
      <c r="V1011">
        <v>0</v>
      </c>
      <c r="W1011" t="str">
        <f>IF(V1011&lt;&gt;0,VLOOKUP(VLOOKUP(V1011,Tbl_Effect[],3,FALSE),EffectName[],IFERROR(MATCH(UI!$B$1,EffectName[#Headers],0),2),FALSE),"")</f>
        <v/>
      </c>
      <c r="X1011" t="str">
        <f t="shared" si="110"/>
        <v/>
      </c>
      <c r="Y1011">
        <v>0</v>
      </c>
      <c r="Z1011" t="str">
        <f>IF(Y1011&lt;&gt;0,VLOOKUP(VLOOKUP(Y1011,Tbl_Effect[],3,FALSE),EffectName[],IFERROR(MATCH(UI!$B$1,EffectName[#Headers],0),2),FALSE),"")</f>
        <v/>
      </c>
      <c r="AA1011" t="str">
        <f t="shared" si="111"/>
        <v/>
      </c>
      <c r="AB1011">
        <v>0</v>
      </c>
      <c r="AC1011" t="str">
        <f>IF(AB1011&lt;&gt;0,VLOOKUP(VLOOKUP(AB1011,Tbl_Effect[],3,FALSE),EffectName[],IFERROR(MATCH(UI!$B$1,EffectName[#Headers],0),2),FALSE),"")</f>
        <v/>
      </c>
    </row>
    <row r="1012" spans="8:29" x14ac:dyDescent="0.4">
      <c r="H1012" t="str">
        <f t="shared" si="105"/>
        <v>6644000-Unset (紅)</v>
      </c>
      <c r="I1012">
        <v>6644000</v>
      </c>
      <c r="J1012" t="str">
        <f>_xlfn.IFNA(IF(I1012&lt;&gt;0,VLOOKUP(VLOOKUP(I1012,Tbl_Equip[],2,FALSE),Tbl_Color[],IFERROR(MATCH(UI!$B$1,Tbl_Color[#Headers],0),2),FALSE),""),"Unset")</f>
        <v>紅</v>
      </c>
      <c r="K1012" t="str">
        <f>_xlfn.IFNA(IF(I1012&lt;&gt;0,VLOOKUP(I1012,ItemText[],IFERROR(MATCH(UI!$B$1,ItemText[#Headers],0),2),FALSE),""),"Unset")</f>
        <v>Unset</v>
      </c>
      <c r="L1012" t="str">
        <f t="shared" si="106"/>
        <v/>
      </c>
      <c r="M1012">
        <v>0</v>
      </c>
      <c r="N1012" t="str">
        <f>IF(VALUE(M1012)=0,"",VLOOKUP(VLOOKUP(M1012,Tbl_Effect[],3,FALSE),EffectName[],IFERROR(MATCH(UI!$B$1,EffectName[#Headers],0),2),FALSE))</f>
        <v/>
      </c>
      <c r="O1012" t="str">
        <f t="shared" si="107"/>
        <v/>
      </c>
      <c r="P1012">
        <v>0</v>
      </c>
      <c r="Q1012" t="str">
        <f>IF(VALUE(P1012)=0,"",VLOOKUP(VLOOKUP(P1012,Tbl_Effect[],3,FALSE),EffectName[],IFERROR(MATCH(UI!$B$1,EffectName[#Headers],0),2),FALSE))</f>
        <v/>
      </c>
      <c r="R1012" t="str">
        <f t="shared" si="108"/>
        <v/>
      </c>
      <c r="S1012">
        <v>0</v>
      </c>
      <c r="T1012" t="str">
        <f>IF(VALUE(S1012)=0,"",VLOOKUP(VLOOKUP(S1012,Tbl_Effect[],3,FALSE),EffectName[],IFERROR(MATCH(UI!$B$1,EffectName[#Headers],0),2),FALSE))</f>
        <v/>
      </c>
      <c r="U1012" t="str">
        <f t="shared" si="109"/>
        <v/>
      </c>
      <c r="V1012">
        <v>0</v>
      </c>
      <c r="W1012" t="str">
        <f>IF(V1012&lt;&gt;0,VLOOKUP(VLOOKUP(V1012,Tbl_Effect[],3,FALSE),EffectName[],IFERROR(MATCH(UI!$B$1,EffectName[#Headers],0),2),FALSE),"")</f>
        <v/>
      </c>
      <c r="X1012" t="str">
        <f t="shared" si="110"/>
        <v/>
      </c>
      <c r="Y1012">
        <v>0</v>
      </c>
      <c r="Z1012" t="str">
        <f>IF(Y1012&lt;&gt;0,VLOOKUP(VLOOKUP(Y1012,Tbl_Effect[],3,FALSE),EffectName[],IFERROR(MATCH(UI!$B$1,EffectName[#Headers],0),2),FALSE),"")</f>
        <v/>
      </c>
      <c r="AA1012" t="str">
        <f t="shared" si="111"/>
        <v/>
      </c>
      <c r="AB1012">
        <v>0</v>
      </c>
      <c r="AC1012" t="str">
        <f>IF(AB1012&lt;&gt;0,VLOOKUP(VLOOKUP(AB1012,Tbl_Effect[],3,FALSE),EffectName[],IFERROR(MATCH(UI!$B$1,EffectName[#Headers],0),2),FALSE),"")</f>
        <v/>
      </c>
    </row>
    <row r="1013" spans="8:29" x14ac:dyDescent="0.4">
      <c r="H1013" t="str">
        <f t="shared" si="105"/>
        <v>6644100-Unset (紅)</v>
      </c>
      <c r="I1013">
        <v>6644100</v>
      </c>
      <c r="J1013" t="str">
        <f>_xlfn.IFNA(IF(I1013&lt;&gt;0,VLOOKUP(VLOOKUP(I1013,Tbl_Equip[],2,FALSE),Tbl_Color[],IFERROR(MATCH(UI!$B$1,Tbl_Color[#Headers],0),2),FALSE),""),"Unset")</f>
        <v>紅</v>
      </c>
      <c r="K1013" t="str">
        <f>_xlfn.IFNA(IF(I1013&lt;&gt;0,VLOOKUP(I1013,ItemText[],IFERROR(MATCH(UI!$B$1,ItemText[#Headers],0),2),FALSE),""),"Unset")</f>
        <v>Unset</v>
      </c>
      <c r="L1013" t="str">
        <f t="shared" si="106"/>
        <v/>
      </c>
      <c r="M1013">
        <v>0</v>
      </c>
      <c r="N1013" t="str">
        <f>IF(VALUE(M1013)=0,"",VLOOKUP(VLOOKUP(M1013,Tbl_Effect[],3,FALSE),EffectName[],IFERROR(MATCH(UI!$B$1,EffectName[#Headers],0),2),FALSE))</f>
        <v/>
      </c>
      <c r="O1013" t="str">
        <f t="shared" si="107"/>
        <v/>
      </c>
      <c r="P1013">
        <v>0</v>
      </c>
      <c r="Q1013" t="str">
        <f>IF(VALUE(P1013)=0,"",VLOOKUP(VLOOKUP(P1013,Tbl_Effect[],3,FALSE),EffectName[],IFERROR(MATCH(UI!$B$1,EffectName[#Headers],0),2),FALSE))</f>
        <v/>
      </c>
      <c r="R1013" t="str">
        <f t="shared" si="108"/>
        <v/>
      </c>
      <c r="S1013">
        <v>0</v>
      </c>
      <c r="T1013" t="str">
        <f>IF(VALUE(S1013)=0,"",VLOOKUP(VLOOKUP(S1013,Tbl_Effect[],3,FALSE),EffectName[],IFERROR(MATCH(UI!$B$1,EffectName[#Headers],0),2),FALSE))</f>
        <v/>
      </c>
      <c r="U1013" t="str">
        <f t="shared" si="109"/>
        <v/>
      </c>
      <c r="V1013">
        <v>0</v>
      </c>
      <c r="W1013" t="str">
        <f>IF(V1013&lt;&gt;0,VLOOKUP(VLOOKUP(V1013,Tbl_Effect[],3,FALSE),EffectName[],IFERROR(MATCH(UI!$B$1,EffectName[#Headers],0),2),FALSE),"")</f>
        <v/>
      </c>
      <c r="X1013" t="str">
        <f t="shared" si="110"/>
        <v/>
      </c>
      <c r="Y1013">
        <v>0</v>
      </c>
      <c r="Z1013" t="str">
        <f>IF(Y1013&lt;&gt;0,VLOOKUP(VLOOKUP(Y1013,Tbl_Effect[],3,FALSE),EffectName[],IFERROR(MATCH(UI!$B$1,EffectName[#Headers],0),2),FALSE),"")</f>
        <v/>
      </c>
      <c r="AA1013" t="str">
        <f t="shared" si="111"/>
        <v/>
      </c>
      <c r="AB1013">
        <v>0</v>
      </c>
      <c r="AC1013" t="str">
        <f>IF(AB1013&lt;&gt;0,VLOOKUP(VLOOKUP(AB1013,Tbl_Effect[],3,FALSE),EffectName[],IFERROR(MATCH(UI!$B$1,EffectName[#Headers],0),2),FALSE),"")</f>
        <v/>
      </c>
    </row>
    <row r="1014" spans="8:29" x14ac:dyDescent="0.4">
      <c r="H1014" t="str">
        <f t="shared" si="105"/>
        <v>6645000-Unset (紅)</v>
      </c>
      <c r="I1014">
        <v>6645000</v>
      </c>
      <c r="J1014" t="str">
        <f>_xlfn.IFNA(IF(I1014&lt;&gt;0,VLOOKUP(VLOOKUP(I1014,Tbl_Equip[],2,FALSE),Tbl_Color[],IFERROR(MATCH(UI!$B$1,Tbl_Color[#Headers],0),2),FALSE),""),"Unset")</f>
        <v>紅</v>
      </c>
      <c r="K1014" t="str">
        <f>_xlfn.IFNA(IF(I1014&lt;&gt;0,VLOOKUP(I1014,ItemText[],IFERROR(MATCH(UI!$B$1,ItemText[#Headers],0),2),FALSE),""),"Unset")</f>
        <v>Unset</v>
      </c>
      <c r="L1014" t="str">
        <f t="shared" si="106"/>
        <v/>
      </c>
      <c r="M1014">
        <v>0</v>
      </c>
      <c r="N1014" t="str">
        <f>IF(VALUE(M1014)=0,"",VLOOKUP(VLOOKUP(M1014,Tbl_Effect[],3,FALSE),EffectName[],IFERROR(MATCH(UI!$B$1,EffectName[#Headers],0),2),FALSE))</f>
        <v/>
      </c>
      <c r="O1014" t="str">
        <f t="shared" si="107"/>
        <v/>
      </c>
      <c r="P1014">
        <v>0</v>
      </c>
      <c r="Q1014" t="str">
        <f>IF(VALUE(P1014)=0,"",VLOOKUP(VLOOKUP(P1014,Tbl_Effect[],3,FALSE),EffectName[],IFERROR(MATCH(UI!$B$1,EffectName[#Headers],0),2),FALSE))</f>
        <v/>
      </c>
      <c r="R1014" t="str">
        <f t="shared" si="108"/>
        <v/>
      </c>
      <c r="S1014">
        <v>0</v>
      </c>
      <c r="T1014" t="str">
        <f>IF(VALUE(S1014)=0,"",VLOOKUP(VLOOKUP(S1014,Tbl_Effect[],3,FALSE),EffectName[],IFERROR(MATCH(UI!$B$1,EffectName[#Headers],0),2),FALSE))</f>
        <v/>
      </c>
      <c r="U1014" t="str">
        <f t="shared" si="109"/>
        <v/>
      </c>
      <c r="V1014">
        <v>0</v>
      </c>
      <c r="W1014" t="str">
        <f>IF(V1014&lt;&gt;0,VLOOKUP(VLOOKUP(V1014,Tbl_Effect[],3,FALSE),EffectName[],IFERROR(MATCH(UI!$B$1,EffectName[#Headers],0),2),FALSE),"")</f>
        <v/>
      </c>
      <c r="X1014" t="str">
        <f t="shared" si="110"/>
        <v/>
      </c>
      <c r="Y1014">
        <v>0</v>
      </c>
      <c r="Z1014" t="str">
        <f>IF(Y1014&lt;&gt;0,VLOOKUP(VLOOKUP(Y1014,Tbl_Effect[],3,FALSE),EffectName[],IFERROR(MATCH(UI!$B$1,EffectName[#Headers],0),2),FALSE),"")</f>
        <v/>
      </c>
      <c r="AA1014" t="str">
        <f t="shared" si="111"/>
        <v/>
      </c>
      <c r="AB1014">
        <v>0</v>
      </c>
      <c r="AC1014" t="str">
        <f>IF(AB1014&lt;&gt;0,VLOOKUP(VLOOKUP(AB1014,Tbl_Effect[],3,FALSE),EffectName[],IFERROR(MATCH(UI!$B$1,EffectName[#Headers],0),2),FALSE),"")</f>
        <v/>
      </c>
    </row>
    <row r="1015" spans="8:29" x14ac:dyDescent="0.4">
      <c r="H1015" t="str">
        <f t="shared" si="105"/>
        <v>6645100-Unset (紅)</v>
      </c>
      <c r="I1015">
        <v>6645100</v>
      </c>
      <c r="J1015" t="str">
        <f>_xlfn.IFNA(IF(I1015&lt;&gt;0,VLOOKUP(VLOOKUP(I1015,Tbl_Equip[],2,FALSE),Tbl_Color[],IFERROR(MATCH(UI!$B$1,Tbl_Color[#Headers],0),2),FALSE),""),"Unset")</f>
        <v>紅</v>
      </c>
      <c r="K1015" t="str">
        <f>_xlfn.IFNA(IF(I1015&lt;&gt;0,VLOOKUP(I1015,ItemText[],IFERROR(MATCH(UI!$B$1,ItemText[#Headers],0),2),FALSE),""),"Unset")</f>
        <v>Unset</v>
      </c>
      <c r="L1015" t="str">
        <f t="shared" si="106"/>
        <v/>
      </c>
      <c r="M1015">
        <v>0</v>
      </c>
      <c r="N1015" t="str">
        <f>IF(VALUE(M1015)=0,"",VLOOKUP(VLOOKUP(M1015,Tbl_Effect[],3,FALSE),EffectName[],IFERROR(MATCH(UI!$B$1,EffectName[#Headers],0),2),FALSE))</f>
        <v/>
      </c>
      <c r="O1015" t="str">
        <f t="shared" si="107"/>
        <v/>
      </c>
      <c r="P1015">
        <v>0</v>
      </c>
      <c r="Q1015" t="str">
        <f>IF(VALUE(P1015)=0,"",VLOOKUP(VLOOKUP(P1015,Tbl_Effect[],3,FALSE),EffectName[],IFERROR(MATCH(UI!$B$1,EffectName[#Headers],0),2),FALSE))</f>
        <v/>
      </c>
      <c r="R1015" t="str">
        <f t="shared" si="108"/>
        <v/>
      </c>
      <c r="S1015">
        <v>0</v>
      </c>
      <c r="T1015" t="str">
        <f>IF(VALUE(S1015)=0,"",VLOOKUP(VLOOKUP(S1015,Tbl_Effect[],3,FALSE),EffectName[],IFERROR(MATCH(UI!$B$1,EffectName[#Headers],0),2),FALSE))</f>
        <v/>
      </c>
      <c r="U1015" t="str">
        <f t="shared" si="109"/>
        <v/>
      </c>
      <c r="V1015">
        <v>0</v>
      </c>
      <c r="W1015" t="str">
        <f>IF(V1015&lt;&gt;0,VLOOKUP(VLOOKUP(V1015,Tbl_Effect[],3,FALSE),EffectName[],IFERROR(MATCH(UI!$B$1,EffectName[#Headers],0),2),FALSE),"")</f>
        <v/>
      </c>
      <c r="X1015" t="str">
        <f t="shared" si="110"/>
        <v/>
      </c>
      <c r="Y1015">
        <v>0</v>
      </c>
      <c r="Z1015" t="str">
        <f>IF(Y1015&lt;&gt;0,VLOOKUP(VLOOKUP(Y1015,Tbl_Effect[],3,FALSE),EffectName[],IFERROR(MATCH(UI!$B$1,EffectName[#Headers],0),2),FALSE),"")</f>
        <v/>
      </c>
      <c r="AA1015" t="str">
        <f t="shared" si="111"/>
        <v/>
      </c>
      <c r="AB1015">
        <v>0</v>
      </c>
      <c r="AC1015" t="str">
        <f>IF(AB1015&lt;&gt;0,VLOOKUP(VLOOKUP(AB1015,Tbl_Effect[],3,FALSE),EffectName[],IFERROR(MATCH(UI!$B$1,EffectName[#Headers],0),2),FALSE),"")</f>
        <v/>
      </c>
    </row>
    <row r="1016" spans="8:29" x14ac:dyDescent="0.4">
      <c r="H1016" t="str">
        <f t="shared" si="105"/>
        <v>6646000-Unset (紅)</v>
      </c>
      <c r="I1016">
        <v>6646000</v>
      </c>
      <c r="J1016" t="str">
        <f>_xlfn.IFNA(IF(I1016&lt;&gt;0,VLOOKUP(VLOOKUP(I1016,Tbl_Equip[],2,FALSE),Tbl_Color[],IFERROR(MATCH(UI!$B$1,Tbl_Color[#Headers],0),2),FALSE),""),"Unset")</f>
        <v>紅</v>
      </c>
      <c r="K1016" t="str">
        <f>_xlfn.IFNA(IF(I1016&lt;&gt;0,VLOOKUP(I1016,ItemText[],IFERROR(MATCH(UI!$B$1,ItemText[#Headers],0),2),FALSE),""),"Unset")</f>
        <v>Unset</v>
      </c>
      <c r="L1016" t="str">
        <f t="shared" si="106"/>
        <v/>
      </c>
      <c r="M1016">
        <v>0</v>
      </c>
      <c r="N1016" t="str">
        <f>IF(VALUE(M1016)=0,"",VLOOKUP(VLOOKUP(M1016,Tbl_Effect[],3,FALSE),EffectName[],IFERROR(MATCH(UI!$B$1,EffectName[#Headers],0),2),FALSE))</f>
        <v/>
      </c>
      <c r="O1016" t="str">
        <f t="shared" si="107"/>
        <v/>
      </c>
      <c r="P1016">
        <v>0</v>
      </c>
      <c r="Q1016" t="str">
        <f>IF(VALUE(P1016)=0,"",VLOOKUP(VLOOKUP(P1016,Tbl_Effect[],3,FALSE),EffectName[],IFERROR(MATCH(UI!$B$1,EffectName[#Headers],0),2),FALSE))</f>
        <v/>
      </c>
      <c r="R1016" t="str">
        <f t="shared" si="108"/>
        <v/>
      </c>
      <c r="S1016">
        <v>0</v>
      </c>
      <c r="T1016" t="str">
        <f>IF(VALUE(S1016)=0,"",VLOOKUP(VLOOKUP(S1016,Tbl_Effect[],3,FALSE),EffectName[],IFERROR(MATCH(UI!$B$1,EffectName[#Headers],0),2),FALSE))</f>
        <v/>
      </c>
      <c r="U1016" t="str">
        <f t="shared" si="109"/>
        <v/>
      </c>
      <c r="V1016">
        <v>0</v>
      </c>
      <c r="W1016" t="str">
        <f>IF(V1016&lt;&gt;0,VLOOKUP(VLOOKUP(V1016,Tbl_Effect[],3,FALSE),EffectName[],IFERROR(MATCH(UI!$B$1,EffectName[#Headers],0),2),FALSE),"")</f>
        <v/>
      </c>
      <c r="X1016" t="str">
        <f t="shared" si="110"/>
        <v/>
      </c>
      <c r="Y1016">
        <v>0</v>
      </c>
      <c r="Z1016" t="str">
        <f>IF(Y1016&lt;&gt;0,VLOOKUP(VLOOKUP(Y1016,Tbl_Effect[],3,FALSE),EffectName[],IFERROR(MATCH(UI!$B$1,EffectName[#Headers],0),2),FALSE),"")</f>
        <v/>
      </c>
      <c r="AA1016" t="str">
        <f t="shared" si="111"/>
        <v/>
      </c>
      <c r="AB1016">
        <v>0</v>
      </c>
      <c r="AC1016" t="str">
        <f>IF(AB1016&lt;&gt;0,VLOOKUP(VLOOKUP(AB1016,Tbl_Effect[],3,FALSE),EffectName[],IFERROR(MATCH(UI!$B$1,EffectName[#Headers],0),2),FALSE),"")</f>
        <v/>
      </c>
    </row>
    <row r="1017" spans="8:29" x14ac:dyDescent="0.4">
      <c r="H1017" t="str">
        <f t="shared" si="105"/>
        <v>6646100-Unset (紅)</v>
      </c>
      <c r="I1017">
        <v>6646100</v>
      </c>
      <c r="J1017" t="str">
        <f>_xlfn.IFNA(IF(I1017&lt;&gt;0,VLOOKUP(VLOOKUP(I1017,Tbl_Equip[],2,FALSE),Tbl_Color[],IFERROR(MATCH(UI!$B$1,Tbl_Color[#Headers],0),2),FALSE),""),"Unset")</f>
        <v>紅</v>
      </c>
      <c r="K1017" t="str">
        <f>_xlfn.IFNA(IF(I1017&lt;&gt;0,VLOOKUP(I1017,ItemText[],IFERROR(MATCH(UI!$B$1,ItemText[#Headers],0),2),FALSE),""),"Unset")</f>
        <v>Unset</v>
      </c>
      <c r="L1017" t="str">
        <f t="shared" si="106"/>
        <v/>
      </c>
      <c r="M1017">
        <v>0</v>
      </c>
      <c r="N1017" t="str">
        <f>IF(VALUE(M1017)=0,"",VLOOKUP(VLOOKUP(M1017,Tbl_Effect[],3,FALSE),EffectName[],IFERROR(MATCH(UI!$B$1,EffectName[#Headers],0),2),FALSE))</f>
        <v/>
      </c>
      <c r="O1017" t="str">
        <f t="shared" si="107"/>
        <v/>
      </c>
      <c r="P1017">
        <v>0</v>
      </c>
      <c r="Q1017" t="str">
        <f>IF(VALUE(P1017)=0,"",VLOOKUP(VLOOKUP(P1017,Tbl_Effect[],3,FALSE),EffectName[],IFERROR(MATCH(UI!$B$1,EffectName[#Headers],0),2),FALSE))</f>
        <v/>
      </c>
      <c r="R1017" t="str">
        <f t="shared" si="108"/>
        <v/>
      </c>
      <c r="S1017">
        <v>0</v>
      </c>
      <c r="T1017" t="str">
        <f>IF(VALUE(S1017)=0,"",VLOOKUP(VLOOKUP(S1017,Tbl_Effect[],3,FALSE),EffectName[],IFERROR(MATCH(UI!$B$1,EffectName[#Headers],0),2),FALSE))</f>
        <v/>
      </c>
      <c r="U1017" t="str">
        <f t="shared" si="109"/>
        <v/>
      </c>
      <c r="V1017">
        <v>0</v>
      </c>
      <c r="W1017" t="str">
        <f>IF(V1017&lt;&gt;0,VLOOKUP(VLOOKUP(V1017,Tbl_Effect[],3,FALSE),EffectName[],IFERROR(MATCH(UI!$B$1,EffectName[#Headers],0),2),FALSE),"")</f>
        <v/>
      </c>
      <c r="X1017" t="str">
        <f t="shared" si="110"/>
        <v/>
      </c>
      <c r="Y1017">
        <v>0</v>
      </c>
      <c r="Z1017" t="str">
        <f>IF(Y1017&lt;&gt;0,VLOOKUP(VLOOKUP(Y1017,Tbl_Effect[],3,FALSE),EffectName[],IFERROR(MATCH(UI!$B$1,EffectName[#Headers],0),2),FALSE),"")</f>
        <v/>
      </c>
      <c r="AA1017" t="str">
        <f t="shared" si="111"/>
        <v/>
      </c>
      <c r="AB1017">
        <v>0</v>
      </c>
      <c r="AC1017" t="str">
        <f>IF(AB1017&lt;&gt;0,VLOOKUP(VLOOKUP(AB1017,Tbl_Effect[],3,FALSE),EffectName[],IFERROR(MATCH(UI!$B$1,EffectName[#Headers],0),2),FALSE),"")</f>
        <v/>
      </c>
    </row>
    <row r="1018" spans="8:29" x14ac:dyDescent="0.4">
      <c r="H1018" t="str">
        <f t="shared" si="105"/>
        <v>6647000-Unset (紅)</v>
      </c>
      <c r="I1018">
        <v>6647000</v>
      </c>
      <c r="J1018" t="str">
        <f>_xlfn.IFNA(IF(I1018&lt;&gt;0,VLOOKUP(VLOOKUP(I1018,Tbl_Equip[],2,FALSE),Tbl_Color[],IFERROR(MATCH(UI!$B$1,Tbl_Color[#Headers],0),2),FALSE),""),"Unset")</f>
        <v>紅</v>
      </c>
      <c r="K1018" t="str">
        <f>_xlfn.IFNA(IF(I1018&lt;&gt;0,VLOOKUP(I1018,ItemText[],IFERROR(MATCH(UI!$B$1,ItemText[#Headers],0),2),FALSE),""),"Unset")</f>
        <v>Unset</v>
      </c>
      <c r="L1018" t="str">
        <f t="shared" si="106"/>
        <v/>
      </c>
      <c r="M1018">
        <v>0</v>
      </c>
      <c r="N1018" t="str">
        <f>IF(VALUE(M1018)=0,"",VLOOKUP(VLOOKUP(M1018,Tbl_Effect[],3,FALSE),EffectName[],IFERROR(MATCH(UI!$B$1,EffectName[#Headers],0),2),FALSE))</f>
        <v/>
      </c>
      <c r="O1018" t="str">
        <f t="shared" si="107"/>
        <v/>
      </c>
      <c r="P1018">
        <v>0</v>
      </c>
      <c r="Q1018" t="str">
        <f>IF(VALUE(P1018)=0,"",VLOOKUP(VLOOKUP(P1018,Tbl_Effect[],3,FALSE),EffectName[],IFERROR(MATCH(UI!$B$1,EffectName[#Headers],0),2),FALSE))</f>
        <v/>
      </c>
      <c r="R1018" t="str">
        <f t="shared" si="108"/>
        <v/>
      </c>
      <c r="S1018">
        <v>0</v>
      </c>
      <c r="T1018" t="str">
        <f>IF(VALUE(S1018)=0,"",VLOOKUP(VLOOKUP(S1018,Tbl_Effect[],3,FALSE),EffectName[],IFERROR(MATCH(UI!$B$1,EffectName[#Headers],0),2),FALSE))</f>
        <v/>
      </c>
      <c r="U1018" t="str">
        <f t="shared" si="109"/>
        <v/>
      </c>
      <c r="V1018">
        <v>0</v>
      </c>
      <c r="W1018" t="str">
        <f>IF(V1018&lt;&gt;0,VLOOKUP(VLOOKUP(V1018,Tbl_Effect[],3,FALSE),EffectName[],IFERROR(MATCH(UI!$B$1,EffectName[#Headers],0),2),FALSE),"")</f>
        <v/>
      </c>
      <c r="X1018" t="str">
        <f t="shared" si="110"/>
        <v/>
      </c>
      <c r="Y1018">
        <v>0</v>
      </c>
      <c r="Z1018" t="str">
        <f>IF(Y1018&lt;&gt;0,VLOOKUP(VLOOKUP(Y1018,Tbl_Effect[],3,FALSE),EffectName[],IFERROR(MATCH(UI!$B$1,EffectName[#Headers],0),2),FALSE),"")</f>
        <v/>
      </c>
      <c r="AA1018" t="str">
        <f t="shared" si="111"/>
        <v/>
      </c>
      <c r="AB1018">
        <v>0</v>
      </c>
      <c r="AC1018" t="str">
        <f>IF(AB1018&lt;&gt;0,VLOOKUP(VLOOKUP(AB1018,Tbl_Effect[],3,FALSE),EffectName[],IFERROR(MATCH(UI!$B$1,EffectName[#Headers],0),2),FALSE),"")</f>
        <v/>
      </c>
    </row>
    <row r="1019" spans="8:29" x14ac:dyDescent="0.4">
      <c r="H1019" t="str">
        <f t="shared" si="105"/>
        <v>6647100-Unset (紅)</v>
      </c>
      <c r="I1019">
        <v>6647100</v>
      </c>
      <c r="J1019" t="str">
        <f>_xlfn.IFNA(IF(I1019&lt;&gt;0,VLOOKUP(VLOOKUP(I1019,Tbl_Equip[],2,FALSE),Tbl_Color[],IFERROR(MATCH(UI!$B$1,Tbl_Color[#Headers],0),2),FALSE),""),"Unset")</f>
        <v>紅</v>
      </c>
      <c r="K1019" t="str">
        <f>_xlfn.IFNA(IF(I1019&lt;&gt;0,VLOOKUP(I1019,ItemText[],IFERROR(MATCH(UI!$B$1,ItemText[#Headers],0),2),FALSE),""),"Unset")</f>
        <v>Unset</v>
      </c>
      <c r="L1019" t="str">
        <f t="shared" si="106"/>
        <v/>
      </c>
      <c r="M1019">
        <v>0</v>
      </c>
      <c r="N1019" t="str">
        <f>IF(VALUE(M1019)=0,"",VLOOKUP(VLOOKUP(M1019,Tbl_Effect[],3,FALSE),EffectName[],IFERROR(MATCH(UI!$B$1,EffectName[#Headers],0),2),FALSE))</f>
        <v/>
      </c>
      <c r="O1019" t="str">
        <f t="shared" si="107"/>
        <v/>
      </c>
      <c r="P1019">
        <v>0</v>
      </c>
      <c r="Q1019" t="str">
        <f>IF(VALUE(P1019)=0,"",VLOOKUP(VLOOKUP(P1019,Tbl_Effect[],3,FALSE),EffectName[],IFERROR(MATCH(UI!$B$1,EffectName[#Headers],0),2),FALSE))</f>
        <v/>
      </c>
      <c r="R1019" t="str">
        <f t="shared" si="108"/>
        <v/>
      </c>
      <c r="S1019">
        <v>0</v>
      </c>
      <c r="T1019" t="str">
        <f>IF(VALUE(S1019)=0,"",VLOOKUP(VLOOKUP(S1019,Tbl_Effect[],3,FALSE),EffectName[],IFERROR(MATCH(UI!$B$1,EffectName[#Headers],0),2),FALSE))</f>
        <v/>
      </c>
      <c r="U1019" t="str">
        <f t="shared" si="109"/>
        <v/>
      </c>
      <c r="V1019">
        <v>0</v>
      </c>
      <c r="W1019" t="str">
        <f>IF(V1019&lt;&gt;0,VLOOKUP(VLOOKUP(V1019,Tbl_Effect[],3,FALSE),EffectName[],IFERROR(MATCH(UI!$B$1,EffectName[#Headers],0),2),FALSE),"")</f>
        <v/>
      </c>
      <c r="X1019" t="str">
        <f t="shared" si="110"/>
        <v/>
      </c>
      <c r="Y1019">
        <v>0</v>
      </c>
      <c r="Z1019" t="str">
        <f>IF(Y1019&lt;&gt;0,VLOOKUP(VLOOKUP(Y1019,Tbl_Effect[],3,FALSE),EffectName[],IFERROR(MATCH(UI!$B$1,EffectName[#Headers],0),2),FALSE),"")</f>
        <v/>
      </c>
      <c r="AA1019" t="str">
        <f t="shared" si="111"/>
        <v/>
      </c>
      <c r="AB1019">
        <v>0</v>
      </c>
      <c r="AC1019" t="str">
        <f>IF(AB1019&lt;&gt;0,VLOOKUP(VLOOKUP(AB1019,Tbl_Effect[],3,FALSE),EffectName[],IFERROR(MATCH(UI!$B$1,EffectName[#Headers],0),2),FALSE),"")</f>
        <v/>
      </c>
    </row>
    <row r="1020" spans="8:29" x14ac:dyDescent="0.4">
      <c r="H1020" t="str">
        <f t="shared" si="105"/>
        <v>6647200-Unset (紅)</v>
      </c>
      <c r="I1020">
        <v>6647200</v>
      </c>
      <c r="J1020" t="str">
        <f>_xlfn.IFNA(IF(I1020&lt;&gt;0,VLOOKUP(VLOOKUP(I1020,Tbl_Equip[],2,FALSE),Tbl_Color[],IFERROR(MATCH(UI!$B$1,Tbl_Color[#Headers],0),2),FALSE),""),"Unset")</f>
        <v>紅</v>
      </c>
      <c r="K1020" t="str">
        <f>_xlfn.IFNA(IF(I1020&lt;&gt;0,VLOOKUP(I1020,ItemText[],IFERROR(MATCH(UI!$B$1,ItemText[#Headers],0),2),FALSE),""),"Unset")</f>
        <v>Unset</v>
      </c>
      <c r="L1020" t="str">
        <f t="shared" si="106"/>
        <v/>
      </c>
      <c r="M1020">
        <v>0</v>
      </c>
      <c r="N1020" t="str">
        <f>IF(VALUE(M1020)=0,"",VLOOKUP(VLOOKUP(M1020,Tbl_Effect[],3,FALSE),EffectName[],IFERROR(MATCH(UI!$B$1,EffectName[#Headers],0),2),FALSE))</f>
        <v/>
      </c>
      <c r="O1020" t="str">
        <f t="shared" si="107"/>
        <v/>
      </c>
      <c r="P1020">
        <v>0</v>
      </c>
      <c r="Q1020" t="str">
        <f>IF(VALUE(P1020)=0,"",VLOOKUP(VLOOKUP(P1020,Tbl_Effect[],3,FALSE),EffectName[],IFERROR(MATCH(UI!$B$1,EffectName[#Headers],0),2),FALSE))</f>
        <v/>
      </c>
      <c r="R1020" t="str">
        <f t="shared" si="108"/>
        <v/>
      </c>
      <c r="S1020">
        <v>0</v>
      </c>
      <c r="T1020" t="str">
        <f>IF(VALUE(S1020)=0,"",VLOOKUP(VLOOKUP(S1020,Tbl_Effect[],3,FALSE),EffectName[],IFERROR(MATCH(UI!$B$1,EffectName[#Headers],0),2),FALSE))</f>
        <v/>
      </c>
      <c r="U1020" t="str">
        <f t="shared" si="109"/>
        <v/>
      </c>
      <c r="V1020">
        <v>0</v>
      </c>
      <c r="W1020" t="str">
        <f>IF(V1020&lt;&gt;0,VLOOKUP(VLOOKUP(V1020,Tbl_Effect[],3,FALSE),EffectName[],IFERROR(MATCH(UI!$B$1,EffectName[#Headers],0),2),FALSE),"")</f>
        <v/>
      </c>
      <c r="X1020" t="str">
        <f t="shared" si="110"/>
        <v/>
      </c>
      <c r="Y1020">
        <v>0</v>
      </c>
      <c r="Z1020" t="str">
        <f>IF(Y1020&lt;&gt;0,VLOOKUP(VLOOKUP(Y1020,Tbl_Effect[],3,FALSE),EffectName[],IFERROR(MATCH(UI!$B$1,EffectName[#Headers],0),2),FALSE),"")</f>
        <v/>
      </c>
      <c r="AA1020" t="str">
        <f t="shared" si="111"/>
        <v/>
      </c>
      <c r="AB1020">
        <v>0</v>
      </c>
      <c r="AC1020" t="str">
        <f>IF(AB1020&lt;&gt;0,VLOOKUP(VLOOKUP(AB1020,Tbl_Effect[],3,FALSE),EffectName[],IFERROR(MATCH(UI!$B$1,EffectName[#Headers],0),2),FALSE),"")</f>
        <v/>
      </c>
    </row>
    <row r="1021" spans="8:29" x14ac:dyDescent="0.4">
      <c r="H1021" t="str">
        <f t="shared" si="105"/>
        <v>6647300-Unset (紅)</v>
      </c>
      <c r="I1021">
        <v>6647300</v>
      </c>
      <c r="J1021" t="str">
        <f>_xlfn.IFNA(IF(I1021&lt;&gt;0,VLOOKUP(VLOOKUP(I1021,Tbl_Equip[],2,FALSE),Tbl_Color[],IFERROR(MATCH(UI!$B$1,Tbl_Color[#Headers],0),2),FALSE),""),"Unset")</f>
        <v>紅</v>
      </c>
      <c r="K1021" t="str">
        <f>_xlfn.IFNA(IF(I1021&lt;&gt;0,VLOOKUP(I1021,ItemText[],IFERROR(MATCH(UI!$B$1,ItemText[#Headers],0),2),FALSE),""),"Unset")</f>
        <v>Unset</v>
      </c>
      <c r="L1021" t="str">
        <f t="shared" si="106"/>
        <v/>
      </c>
      <c r="M1021">
        <v>0</v>
      </c>
      <c r="N1021" t="str">
        <f>IF(VALUE(M1021)=0,"",VLOOKUP(VLOOKUP(M1021,Tbl_Effect[],3,FALSE),EffectName[],IFERROR(MATCH(UI!$B$1,EffectName[#Headers],0),2),FALSE))</f>
        <v/>
      </c>
      <c r="O1021" t="str">
        <f t="shared" si="107"/>
        <v/>
      </c>
      <c r="P1021">
        <v>0</v>
      </c>
      <c r="Q1021" t="str">
        <f>IF(VALUE(P1021)=0,"",VLOOKUP(VLOOKUP(P1021,Tbl_Effect[],3,FALSE),EffectName[],IFERROR(MATCH(UI!$B$1,EffectName[#Headers],0),2),FALSE))</f>
        <v/>
      </c>
      <c r="R1021" t="str">
        <f t="shared" si="108"/>
        <v/>
      </c>
      <c r="S1021">
        <v>0</v>
      </c>
      <c r="T1021" t="str">
        <f>IF(VALUE(S1021)=0,"",VLOOKUP(VLOOKUP(S1021,Tbl_Effect[],3,FALSE),EffectName[],IFERROR(MATCH(UI!$B$1,EffectName[#Headers],0),2),FALSE))</f>
        <v/>
      </c>
      <c r="U1021" t="str">
        <f t="shared" si="109"/>
        <v/>
      </c>
      <c r="V1021">
        <v>0</v>
      </c>
      <c r="W1021" t="str">
        <f>IF(V1021&lt;&gt;0,VLOOKUP(VLOOKUP(V1021,Tbl_Effect[],3,FALSE),EffectName[],IFERROR(MATCH(UI!$B$1,EffectName[#Headers],0),2),FALSE),"")</f>
        <v/>
      </c>
      <c r="X1021" t="str">
        <f t="shared" si="110"/>
        <v/>
      </c>
      <c r="Y1021">
        <v>0</v>
      </c>
      <c r="Z1021" t="str">
        <f>IF(Y1021&lt;&gt;0,VLOOKUP(VLOOKUP(Y1021,Tbl_Effect[],3,FALSE),EffectName[],IFERROR(MATCH(UI!$B$1,EffectName[#Headers],0),2),FALSE),"")</f>
        <v/>
      </c>
      <c r="AA1021" t="str">
        <f t="shared" si="111"/>
        <v/>
      </c>
      <c r="AB1021">
        <v>0</v>
      </c>
      <c r="AC1021" t="str">
        <f>IF(AB1021&lt;&gt;0,VLOOKUP(VLOOKUP(AB1021,Tbl_Effect[],3,FALSE),EffectName[],IFERROR(MATCH(UI!$B$1,EffectName[#Headers],0),2),FALSE),"")</f>
        <v/>
      </c>
    </row>
    <row r="1022" spans="8:29" x14ac:dyDescent="0.4">
      <c r="H1022" t="str">
        <f t="shared" si="105"/>
        <v>6647400-Unset (紅)</v>
      </c>
      <c r="I1022">
        <v>6647400</v>
      </c>
      <c r="J1022" t="str">
        <f>_xlfn.IFNA(IF(I1022&lt;&gt;0,VLOOKUP(VLOOKUP(I1022,Tbl_Equip[],2,FALSE),Tbl_Color[],IFERROR(MATCH(UI!$B$1,Tbl_Color[#Headers],0),2),FALSE),""),"Unset")</f>
        <v>紅</v>
      </c>
      <c r="K1022" t="str">
        <f>_xlfn.IFNA(IF(I1022&lt;&gt;0,VLOOKUP(I1022,ItemText[],IFERROR(MATCH(UI!$B$1,ItemText[#Headers],0),2),FALSE),""),"Unset")</f>
        <v>Unset</v>
      </c>
      <c r="L1022" t="str">
        <f t="shared" si="106"/>
        <v/>
      </c>
      <c r="M1022">
        <v>0</v>
      </c>
      <c r="N1022" t="str">
        <f>IF(VALUE(M1022)=0,"",VLOOKUP(VLOOKUP(M1022,Tbl_Effect[],3,FALSE),EffectName[],IFERROR(MATCH(UI!$B$1,EffectName[#Headers],0),2),FALSE))</f>
        <v/>
      </c>
      <c r="O1022" t="str">
        <f t="shared" si="107"/>
        <v/>
      </c>
      <c r="P1022">
        <v>0</v>
      </c>
      <c r="Q1022" t="str">
        <f>IF(VALUE(P1022)=0,"",VLOOKUP(VLOOKUP(P1022,Tbl_Effect[],3,FALSE),EffectName[],IFERROR(MATCH(UI!$B$1,EffectName[#Headers],0),2),FALSE))</f>
        <v/>
      </c>
      <c r="R1022" t="str">
        <f t="shared" si="108"/>
        <v/>
      </c>
      <c r="S1022">
        <v>0</v>
      </c>
      <c r="T1022" t="str">
        <f>IF(VALUE(S1022)=0,"",VLOOKUP(VLOOKUP(S1022,Tbl_Effect[],3,FALSE),EffectName[],IFERROR(MATCH(UI!$B$1,EffectName[#Headers],0),2),FALSE))</f>
        <v/>
      </c>
      <c r="U1022" t="str">
        <f t="shared" si="109"/>
        <v/>
      </c>
      <c r="V1022">
        <v>0</v>
      </c>
      <c r="W1022" t="str">
        <f>IF(V1022&lt;&gt;0,VLOOKUP(VLOOKUP(V1022,Tbl_Effect[],3,FALSE),EffectName[],IFERROR(MATCH(UI!$B$1,EffectName[#Headers],0),2),FALSE),"")</f>
        <v/>
      </c>
      <c r="X1022" t="str">
        <f t="shared" si="110"/>
        <v/>
      </c>
      <c r="Y1022">
        <v>0</v>
      </c>
      <c r="Z1022" t="str">
        <f>IF(Y1022&lt;&gt;0,VLOOKUP(VLOOKUP(Y1022,Tbl_Effect[],3,FALSE),EffectName[],IFERROR(MATCH(UI!$B$1,EffectName[#Headers],0),2),FALSE),"")</f>
        <v/>
      </c>
      <c r="AA1022" t="str">
        <f t="shared" si="111"/>
        <v/>
      </c>
      <c r="AB1022">
        <v>0</v>
      </c>
      <c r="AC1022" t="str">
        <f>IF(AB1022&lt;&gt;0,VLOOKUP(VLOOKUP(AB1022,Tbl_Effect[],3,FALSE),EffectName[],IFERROR(MATCH(UI!$B$1,EffectName[#Headers],0),2),FALSE),"")</f>
        <v/>
      </c>
    </row>
    <row r="1023" spans="8:29" x14ac:dyDescent="0.4">
      <c r="H1023" t="str">
        <f t="shared" si="105"/>
        <v>6647500-Unset (紅)</v>
      </c>
      <c r="I1023">
        <v>6647500</v>
      </c>
      <c r="J1023" t="str">
        <f>_xlfn.IFNA(IF(I1023&lt;&gt;0,VLOOKUP(VLOOKUP(I1023,Tbl_Equip[],2,FALSE),Tbl_Color[],IFERROR(MATCH(UI!$B$1,Tbl_Color[#Headers],0),2),FALSE),""),"Unset")</f>
        <v>紅</v>
      </c>
      <c r="K1023" t="str">
        <f>_xlfn.IFNA(IF(I1023&lt;&gt;0,VLOOKUP(I1023,ItemText[],IFERROR(MATCH(UI!$B$1,ItemText[#Headers],0),2),FALSE),""),"Unset")</f>
        <v>Unset</v>
      </c>
      <c r="L1023" t="str">
        <f t="shared" si="106"/>
        <v/>
      </c>
      <c r="M1023">
        <v>0</v>
      </c>
      <c r="N1023" t="str">
        <f>IF(VALUE(M1023)=0,"",VLOOKUP(VLOOKUP(M1023,Tbl_Effect[],3,FALSE),EffectName[],IFERROR(MATCH(UI!$B$1,EffectName[#Headers],0),2),FALSE))</f>
        <v/>
      </c>
      <c r="O1023" t="str">
        <f t="shared" si="107"/>
        <v/>
      </c>
      <c r="P1023">
        <v>0</v>
      </c>
      <c r="Q1023" t="str">
        <f>IF(VALUE(P1023)=0,"",VLOOKUP(VLOOKUP(P1023,Tbl_Effect[],3,FALSE),EffectName[],IFERROR(MATCH(UI!$B$1,EffectName[#Headers],0),2),FALSE))</f>
        <v/>
      </c>
      <c r="R1023" t="str">
        <f t="shared" si="108"/>
        <v/>
      </c>
      <c r="S1023">
        <v>0</v>
      </c>
      <c r="T1023" t="str">
        <f>IF(VALUE(S1023)=0,"",VLOOKUP(VLOOKUP(S1023,Tbl_Effect[],3,FALSE),EffectName[],IFERROR(MATCH(UI!$B$1,EffectName[#Headers],0),2),FALSE))</f>
        <v/>
      </c>
      <c r="U1023" t="str">
        <f t="shared" si="109"/>
        <v/>
      </c>
      <c r="V1023">
        <v>0</v>
      </c>
      <c r="W1023" t="str">
        <f>IF(V1023&lt;&gt;0,VLOOKUP(VLOOKUP(V1023,Tbl_Effect[],3,FALSE),EffectName[],IFERROR(MATCH(UI!$B$1,EffectName[#Headers],0),2),FALSE),"")</f>
        <v/>
      </c>
      <c r="X1023" t="str">
        <f t="shared" si="110"/>
        <v/>
      </c>
      <c r="Y1023">
        <v>0</v>
      </c>
      <c r="Z1023" t="str">
        <f>IF(Y1023&lt;&gt;0,VLOOKUP(VLOOKUP(Y1023,Tbl_Effect[],3,FALSE),EffectName[],IFERROR(MATCH(UI!$B$1,EffectName[#Headers],0),2),FALSE),"")</f>
        <v/>
      </c>
      <c r="AA1023" t="str">
        <f t="shared" si="111"/>
        <v/>
      </c>
      <c r="AB1023">
        <v>0</v>
      </c>
      <c r="AC1023" t="str">
        <f>IF(AB1023&lt;&gt;0,VLOOKUP(VLOOKUP(AB1023,Tbl_Effect[],3,FALSE),EffectName[],IFERROR(MATCH(UI!$B$1,EffectName[#Headers],0),2),FALSE),"")</f>
        <v/>
      </c>
    </row>
    <row r="1024" spans="8:29" x14ac:dyDescent="0.4">
      <c r="H1024" t="str">
        <f t="shared" si="105"/>
        <v>6820000-Unset (紅)</v>
      </c>
      <c r="I1024">
        <v>6820000</v>
      </c>
      <c r="J1024" t="str">
        <f>_xlfn.IFNA(IF(I1024&lt;&gt;0,VLOOKUP(VLOOKUP(I1024,Tbl_Equip[],2,FALSE),Tbl_Color[],IFERROR(MATCH(UI!$B$1,Tbl_Color[#Headers],0),2),FALSE),""),"Unset")</f>
        <v>紅</v>
      </c>
      <c r="K1024" t="str">
        <f>_xlfn.IFNA(IF(I1024&lt;&gt;0,VLOOKUP(I1024,ItemText[],IFERROR(MATCH(UI!$B$1,ItemText[#Headers],0),2),FALSE),""),"Unset")</f>
        <v>Unset</v>
      </c>
      <c r="L1024" t="str">
        <f t="shared" si="106"/>
        <v/>
      </c>
      <c r="M1024">
        <v>0</v>
      </c>
      <c r="N1024" t="str">
        <f>IF(VALUE(M1024)=0,"",VLOOKUP(VLOOKUP(M1024,Tbl_Effect[],3,FALSE),EffectName[],IFERROR(MATCH(UI!$B$1,EffectName[#Headers],0),2),FALSE))</f>
        <v/>
      </c>
      <c r="O1024" t="str">
        <f t="shared" si="107"/>
        <v/>
      </c>
      <c r="P1024">
        <v>0</v>
      </c>
      <c r="Q1024" t="str">
        <f>IF(VALUE(P1024)=0,"",VLOOKUP(VLOOKUP(P1024,Tbl_Effect[],3,FALSE),EffectName[],IFERROR(MATCH(UI!$B$1,EffectName[#Headers],0),2),FALSE))</f>
        <v/>
      </c>
      <c r="R1024" t="str">
        <f t="shared" si="108"/>
        <v/>
      </c>
      <c r="S1024">
        <v>0</v>
      </c>
      <c r="T1024" t="str">
        <f>IF(VALUE(S1024)=0,"",VLOOKUP(VLOOKUP(S1024,Tbl_Effect[],3,FALSE),EffectName[],IFERROR(MATCH(UI!$B$1,EffectName[#Headers],0),2),FALSE))</f>
        <v/>
      </c>
      <c r="U1024" t="str">
        <f t="shared" si="109"/>
        <v/>
      </c>
      <c r="V1024">
        <v>0</v>
      </c>
      <c r="W1024" t="str">
        <f>IF(V1024&lt;&gt;0,VLOOKUP(VLOOKUP(V1024,Tbl_Effect[],3,FALSE),EffectName[],IFERROR(MATCH(UI!$B$1,EffectName[#Headers],0),2),FALSE),"")</f>
        <v/>
      </c>
      <c r="X1024" t="str">
        <f t="shared" si="110"/>
        <v/>
      </c>
      <c r="Y1024">
        <v>0</v>
      </c>
      <c r="Z1024" t="str">
        <f>IF(Y1024&lt;&gt;0,VLOOKUP(VLOOKUP(Y1024,Tbl_Effect[],3,FALSE),EffectName[],IFERROR(MATCH(UI!$B$1,EffectName[#Headers],0),2),FALSE),"")</f>
        <v/>
      </c>
      <c r="AA1024" t="str">
        <f t="shared" si="111"/>
        <v/>
      </c>
      <c r="AB1024">
        <v>0</v>
      </c>
      <c r="AC1024" t="str">
        <f>IF(AB1024&lt;&gt;0,VLOOKUP(VLOOKUP(AB1024,Tbl_Effect[],3,FALSE),EffectName[],IFERROR(MATCH(UI!$B$1,EffectName[#Headers],0),2),FALSE),"")</f>
        <v/>
      </c>
    </row>
    <row r="1025" spans="8:29" x14ac:dyDescent="0.4">
      <c r="H1025" t="str">
        <f t="shared" si="105"/>
        <v>6820100-Unset (紅)</v>
      </c>
      <c r="I1025">
        <v>6820100</v>
      </c>
      <c r="J1025" t="str">
        <f>_xlfn.IFNA(IF(I1025&lt;&gt;0,VLOOKUP(VLOOKUP(I1025,Tbl_Equip[],2,FALSE),Tbl_Color[],IFERROR(MATCH(UI!$B$1,Tbl_Color[#Headers],0),2),FALSE),""),"Unset")</f>
        <v>紅</v>
      </c>
      <c r="K1025" t="str">
        <f>_xlfn.IFNA(IF(I1025&lt;&gt;0,VLOOKUP(I1025,ItemText[],IFERROR(MATCH(UI!$B$1,ItemText[#Headers],0),2),FALSE),""),"Unset")</f>
        <v>Unset</v>
      </c>
      <c r="L1025" t="str">
        <f t="shared" si="106"/>
        <v/>
      </c>
      <c r="M1025">
        <v>0</v>
      </c>
      <c r="N1025" t="str">
        <f>IF(VALUE(M1025)=0,"",VLOOKUP(VLOOKUP(M1025,Tbl_Effect[],3,FALSE),EffectName[],IFERROR(MATCH(UI!$B$1,EffectName[#Headers],0),2),FALSE))</f>
        <v/>
      </c>
      <c r="O1025" t="str">
        <f t="shared" si="107"/>
        <v/>
      </c>
      <c r="P1025">
        <v>0</v>
      </c>
      <c r="Q1025" t="str">
        <f>IF(VALUE(P1025)=0,"",VLOOKUP(VLOOKUP(P1025,Tbl_Effect[],3,FALSE),EffectName[],IFERROR(MATCH(UI!$B$1,EffectName[#Headers],0),2),FALSE))</f>
        <v/>
      </c>
      <c r="R1025" t="str">
        <f t="shared" si="108"/>
        <v/>
      </c>
      <c r="S1025">
        <v>0</v>
      </c>
      <c r="T1025" t="str">
        <f>IF(VALUE(S1025)=0,"",VLOOKUP(VLOOKUP(S1025,Tbl_Effect[],3,FALSE),EffectName[],IFERROR(MATCH(UI!$B$1,EffectName[#Headers],0),2),FALSE))</f>
        <v/>
      </c>
      <c r="U1025" t="str">
        <f t="shared" si="109"/>
        <v/>
      </c>
      <c r="V1025">
        <v>0</v>
      </c>
      <c r="W1025" t="str">
        <f>IF(V1025&lt;&gt;0,VLOOKUP(VLOOKUP(V1025,Tbl_Effect[],3,FALSE),EffectName[],IFERROR(MATCH(UI!$B$1,EffectName[#Headers],0),2),FALSE),"")</f>
        <v/>
      </c>
      <c r="X1025" t="str">
        <f t="shared" si="110"/>
        <v/>
      </c>
      <c r="Y1025">
        <v>0</v>
      </c>
      <c r="Z1025" t="str">
        <f>IF(Y1025&lt;&gt;0,VLOOKUP(VLOOKUP(Y1025,Tbl_Effect[],3,FALSE),EffectName[],IFERROR(MATCH(UI!$B$1,EffectName[#Headers],0),2),FALSE),"")</f>
        <v/>
      </c>
      <c r="AA1025" t="str">
        <f t="shared" si="111"/>
        <v/>
      </c>
      <c r="AB1025">
        <v>0</v>
      </c>
      <c r="AC1025" t="str">
        <f>IF(AB1025&lt;&gt;0,VLOOKUP(VLOOKUP(AB1025,Tbl_Effect[],3,FALSE),EffectName[],IFERROR(MATCH(UI!$B$1,EffectName[#Headers],0),2),FALSE),"")</f>
        <v/>
      </c>
    </row>
    <row r="1026" spans="8:29" x14ac:dyDescent="0.4">
      <c r="H1026" t="str">
        <f t="shared" si="105"/>
        <v>6820200-Unset (紅)</v>
      </c>
      <c r="I1026">
        <v>6820200</v>
      </c>
      <c r="J1026" t="str">
        <f>_xlfn.IFNA(IF(I1026&lt;&gt;0,VLOOKUP(VLOOKUP(I1026,Tbl_Equip[],2,FALSE),Tbl_Color[],IFERROR(MATCH(UI!$B$1,Tbl_Color[#Headers],0),2),FALSE),""),"Unset")</f>
        <v>紅</v>
      </c>
      <c r="K1026" t="str">
        <f>_xlfn.IFNA(IF(I1026&lt;&gt;0,VLOOKUP(I1026,ItemText[],IFERROR(MATCH(UI!$B$1,ItemText[#Headers],0),2),FALSE),""),"Unset")</f>
        <v>Unset</v>
      </c>
      <c r="L1026" t="str">
        <f t="shared" si="106"/>
        <v/>
      </c>
      <c r="M1026">
        <v>0</v>
      </c>
      <c r="N1026" t="str">
        <f>IF(VALUE(M1026)=0,"",VLOOKUP(VLOOKUP(M1026,Tbl_Effect[],3,FALSE),EffectName[],IFERROR(MATCH(UI!$B$1,EffectName[#Headers],0),2),FALSE))</f>
        <v/>
      </c>
      <c r="O1026" t="str">
        <f t="shared" si="107"/>
        <v/>
      </c>
      <c r="P1026">
        <v>0</v>
      </c>
      <c r="Q1026" t="str">
        <f>IF(VALUE(P1026)=0,"",VLOOKUP(VLOOKUP(P1026,Tbl_Effect[],3,FALSE),EffectName[],IFERROR(MATCH(UI!$B$1,EffectName[#Headers],0),2),FALSE))</f>
        <v/>
      </c>
      <c r="R1026" t="str">
        <f t="shared" si="108"/>
        <v/>
      </c>
      <c r="S1026">
        <v>0</v>
      </c>
      <c r="T1026" t="str">
        <f>IF(VALUE(S1026)=0,"",VLOOKUP(VLOOKUP(S1026,Tbl_Effect[],3,FALSE),EffectName[],IFERROR(MATCH(UI!$B$1,EffectName[#Headers],0),2),FALSE))</f>
        <v/>
      </c>
      <c r="U1026" t="str">
        <f t="shared" si="109"/>
        <v/>
      </c>
      <c r="V1026">
        <v>0</v>
      </c>
      <c r="W1026" t="str">
        <f>IF(V1026&lt;&gt;0,VLOOKUP(VLOOKUP(V1026,Tbl_Effect[],3,FALSE),EffectName[],IFERROR(MATCH(UI!$B$1,EffectName[#Headers],0),2),FALSE),"")</f>
        <v/>
      </c>
      <c r="X1026" t="str">
        <f t="shared" si="110"/>
        <v/>
      </c>
      <c r="Y1026">
        <v>0</v>
      </c>
      <c r="Z1026" t="str">
        <f>IF(Y1026&lt;&gt;0,VLOOKUP(VLOOKUP(Y1026,Tbl_Effect[],3,FALSE),EffectName[],IFERROR(MATCH(UI!$B$1,EffectName[#Headers],0),2),FALSE),"")</f>
        <v/>
      </c>
      <c r="AA1026" t="str">
        <f t="shared" si="111"/>
        <v/>
      </c>
      <c r="AB1026">
        <v>0</v>
      </c>
      <c r="AC1026" t="str">
        <f>IF(AB1026&lt;&gt;0,VLOOKUP(VLOOKUP(AB1026,Tbl_Effect[],3,FALSE),EffectName[],IFERROR(MATCH(UI!$B$1,EffectName[#Headers],0),2),FALSE),"")</f>
        <v/>
      </c>
    </row>
    <row r="1027" spans="8:29" x14ac:dyDescent="0.4">
      <c r="H1027" t="str">
        <f t="shared" ref="H1027:H1090" si="112">IF(VALUE(I1027)&lt;&gt;0,I1027&amp;"-"&amp;K1027&amp;" ("&amp;J1027&amp;")","")</f>
        <v>6820300-Unset (紅)</v>
      </c>
      <c r="I1027">
        <v>6820300</v>
      </c>
      <c r="J1027" t="str">
        <f>_xlfn.IFNA(IF(I1027&lt;&gt;0,VLOOKUP(VLOOKUP(I1027,Tbl_Equip[],2,FALSE),Tbl_Color[],IFERROR(MATCH(UI!$B$1,Tbl_Color[#Headers],0),2),FALSE),""),"Unset")</f>
        <v>紅</v>
      </c>
      <c r="K1027" t="str">
        <f>_xlfn.IFNA(IF(I1027&lt;&gt;0,VLOOKUP(I1027,ItemText[],IFERROR(MATCH(UI!$B$1,ItemText[#Headers],0),2),FALSE),""),"Unset")</f>
        <v>Unset</v>
      </c>
      <c r="L1027" t="str">
        <f t="shared" ref="L1027:L1090" si="113">IF(VALUE(M1027)=0,"",M1027&amp;"-"&amp;N1027)</f>
        <v/>
      </c>
      <c r="M1027">
        <v>0</v>
      </c>
      <c r="N1027" t="str">
        <f>IF(VALUE(M1027)=0,"",VLOOKUP(VLOOKUP(M1027,Tbl_Effect[],3,FALSE),EffectName[],IFERROR(MATCH(UI!$B$1,EffectName[#Headers],0),2),FALSE))</f>
        <v/>
      </c>
      <c r="O1027" t="str">
        <f t="shared" ref="O1027:O1090" si="114">IF(VALUE(P1027)=0,"",P1027&amp;"-"&amp;Q1027)</f>
        <v/>
      </c>
      <c r="P1027">
        <v>0</v>
      </c>
      <c r="Q1027" t="str">
        <f>IF(VALUE(P1027)=0,"",VLOOKUP(VLOOKUP(P1027,Tbl_Effect[],3,FALSE),EffectName[],IFERROR(MATCH(UI!$B$1,EffectName[#Headers],0),2),FALSE))</f>
        <v/>
      </c>
      <c r="R1027" t="str">
        <f t="shared" ref="R1027:R1090" si="115">IF(VALUE(S1027)=0,"",S1027&amp;"-"&amp;T1027)</f>
        <v/>
      </c>
      <c r="S1027">
        <v>0</v>
      </c>
      <c r="T1027" t="str">
        <f>IF(VALUE(S1027)=0,"",VLOOKUP(VLOOKUP(S1027,Tbl_Effect[],3,FALSE),EffectName[],IFERROR(MATCH(UI!$B$1,EffectName[#Headers],0),2),FALSE))</f>
        <v/>
      </c>
      <c r="U1027" t="str">
        <f t="shared" ref="U1027:U1090" si="116">IF(VALUE(V1027)=0,"",V1027&amp;"-"&amp;W1027)</f>
        <v/>
      </c>
      <c r="V1027">
        <v>0</v>
      </c>
      <c r="W1027" t="str">
        <f>IF(V1027&lt;&gt;0,VLOOKUP(VLOOKUP(V1027,Tbl_Effect[],3,FALSE),EffectName[],IFERROR(MATCH(UI!$B$1,EffectName[#Headers],0),2),FALSE),"")</f>
        <v/>
      </c>
      <c r="X1027" t="str">
        <f t="shared" ref="X1027:X1090" si="117">IF(VALUE(Y1027)=0,"",Y1027&amp;"-"&amp;Z1027)</f>
        <v/>
      </c>
      <c r="Y1027">
        <v>0</v>
      </c>
      <c r="Z1027" t="str">
        <f>IF(Y1027&lt;&gt;0,VLOOKUP(VLOOKUP(Y1027,Tbl_Effect[],3,FALSE),EffectName[],IFERROR(MATCH(UI!$B$1,EffectName[#Headers],0),2),FALSE),"")</f>
        <v/>
      </c>
      <c r="AA1027" t="str">
        <f t="shared" ref="AA1027:AA1090" si="118">IF(VALUE(AB1027)=0,"",AB1027&amp;"-"&amp;AC1027)</f>
        <v/>
      </c>
      <c r="AB1027">
        <v>0</v>
      </c>
      <c r="AC1027" t="str">
        <f>IF(AB1027&lt;&gt;0,VLOOKUP(VLOOKUP(AB1027,Tbl_Effect[],3,FALSE),EffectName[],IFERROR(MATCH(UI!$B$1,EffectName[#Headers],0),2),FALSE),"")</f>
        <v/>
      </c>
    </row>
    <row r="1028" spans="8:29" x14ac:dyDescent="0.4">
      <c r="H1028" t="str">
        <f t="shared" si="112"/>
        <v>6820400-Unset (紅)</v>
      </c>
      <c r="I1028">
        <v>6820400</v>
      </c>
      <c r="J1028" t="str">
        <f>_xlfn.IFNA(IF(I1028&lt;&gt;0,VLOOKUP(VLOOKUP(I1028,Tbl_Equip[],2,FALSE),Tbl_Color[],IFERROR(MATCH(UI!$B$1,Tbl_Color[#Headers],0),2),FALSE),""),"Unset")</f>
        <v>紅</v>
      </c>
      <c r="K1028" t="str">
        <f>_xlfn.IFNA(IF(I1028&lt;&gt;0,VLOOKUP(I1028,ItemText[],IFERROR(MATCH(UI!$B$1,ItemText[#Headers],0),2),FALSE),""),"Unset")</f>
        <v>Unset</v>
      </c>
      <c r="L1028" t="str">
        <f t="shared" si="113"/>
        <v/>
      </c>
      <c r="M1028">
        <v>0</v>
      </c>
      <c r="N1028" t="str">
        <f>IF(VALUE(M1028)=0,"",VLOOKUP(VLOOKUP(M1028,Tbl_Effect[],3,FALSE),EffectName[],IFERROR(MATCH(UI!$B$1,EffectName[#Headers],0),2),FALSE))</f>
        <v/>
      </c>
      <c r="O1028" t="str">
        <f t="shared" si="114"/>
        <v/>
      </c>
      <c r="P1028">
        <v>0</v>
      </c>
      <c r="Q1028" t="str">
        <f>IF(VALUE(P1028)=0,"",VLOOKUP(VLOOKUP(P1028,Tbl_Effect[],3,FALSE),EffectName[],IFERROR(MATCH(UI!$B$1,EffectName[#Headers],0),2),FALSE))</f>
        <v/>
      </c>
      <c r="R1028" t="str">
        <f t="shared" si="115"/>
        <v/>
      </c>
      <c r="S1028">
        <v>0</v>
      </c>
      <c r="T1028" t="str">
        <f>IF(VALUE(S1028)=0,"",VLOOKUP(VLOOKUP(S1028,Tbl_Effect[],3,FALSE),EffectName[],IFERROR(MATCH(UI!$B$1,EffectName[#Headers],0),2),FALSE))</f>
        <v/>
      </c>
      <c r="U1028" t="str">
        <f t="shared" si="116"/>
        <v/>
      </c>
      <c r="V1028">
        <v>0</v>
      </c>
      <c r="W1028" t="str">
        <f>IF(V1028&lt;&gt;0,VLOOKUP(VLOOKUP(V1028,Tbl_Effect[],3,FALSE),EffectName[],IFERROR(MATCH(UI!$B$1,EffectName[#Headers],0),2),FALSE),"")</f>
        <v/>
      </c>
      <c r="X1028" t="str">
        <f t="shared" si="117"/>
        <v/>
      </c>
      <c r="Y1028">
        <v>0</v>
      </c>
      <c r="Z1028" t="str">
        <f>IF(Y1028&lt;&gt;0,VLOOKUP(VLOOKUP(Y1028,Tbl_Effect[],3,FALSE),EffectName[],IFERROR(MATCH(UI!$B$1,EffectName[#Headers],0),2),FALSE),"")</f>
        <v/>
      </c>
      <c r="AA1028" t="str">
        <f t="shared" si="118"/>
        <v/>
      </c>
      <c r="AB1028">
        <v>0</v>
      </c>
      <c r="AC1028" t="str">
        <f>IF(AB1028&lt;&gt;0,VLOOKUP(VLOOKUP(AB1028,Tbl_Effect[],3,FALSE),EffectName[],IFERROR(MATCH(UI!$B$1,EffectName[#Headers],0),2),FALSE),"")</f>
        <v/>
      </c>
    </row>
    <row r="1029" spans="8:29" x14ac:dyDescent="0.4">
      <c r="H1029" t="str">
        <f t="shared" si="112"/>
        <v>6820500-Unset (紅)</v>
      </c>
      <c r="I1029">
        <v>6820500</v>
      </c>
      <c r="J1029" t="str">
        <f>_xlfn.IFNA(IF(I1029&lt;&gt;0,VLOOKUP(VLOOKUP(I1029,Tbl_Equip[],2,FALSE),Tbl_Color[],IFERROR(MATCH(UI!$B$1,Tbl_Color[#Headers],0),2),FALSE),""),"Unset")</f>
        <v>紅</v>
      </c>
      <c r="K1029" t="str">
        <f>_xlfn.IFNA(IF(I1029&lt;&gt;0,VLOOKUP(I1029,ItemText[],IFERROR(MATCH(UI!$B$1,ItemText[#Headers],0),2),FALSE),""),"Unset")</f>
        <v>Unset</v>
      </c>
      <c r="L1029" t="str">
        <f t="shared" si="113"/>
        <v/>
      </c>
      <c r="M1029">
        <v>0</v>
      </c>
      <c r="N1029" t="str">
        <f>IF(VALUE(M1029)=0,"",VLOOKUP(VLOOKUP(M1029,Tbl_Effect[],3,FALSE),EffectName[],IFERROR(MATCH(UI!$B$1,EffectName[#Headers],0),2),FALSE))</f>
        <v/>
      </c>
      <c r="O1029" t="str">
        <f t="shared" si="114"/>
        <v/>
      </c>
      <c r="P1029">
        <v>0</v>
      </c>
      <c r="Q1029" t="str">
        <f>IF(VALUE(P1029)=0,"",VLOOKUP(VLOOKUP(P1029,Tbl_Effect[],3,FALSE),EffectName[],IFERROR(MATCH(UI!$B$1,EffectName[#Headers],0),2),FALSE))</f>
        <v/>
      </c>
      <c r="R1029" t="str">
        <f t="shared" si="115"/>
        <v/>
      </c>
      <c r="S1029">
        <v>0</v>
      </c>
      <c r="T1029" t="str">
        <f>IF(VALUE(S1029)=0,"",VLOOKUP(VLOOKUP(S1029,Tbl_Effect[],3,FALSE),EffectName[],IFERROR(MATCH(UI!$B$1,EffectName[#Headers],0),2),FALSE))</f>
        <v/>
      </c>
      <c r="U1029" t="str">
        <f t="shared" si="116"/>
        <v/>
      </c>
      <c r="V1029">
        <v>0</v>
      </c>
      <c r="W1029" t="str">
        <f>IF(V1029&lt;&gt;0,VLOOKUP(VLOOKUP(V1029,Tbl_Effect[],3,FALSE),EffectName[],IFERROR(MATCH(UI!$B$1,EffectName[#Headers],0),2),FALSE),"")</f>
        <v/>
      </c>
      <c r="X1029" t="str">
        <f t="shared" si="117"/>
        <v/>
      </c>
      <c r="Y1029">
        <v>0</v>
      </c>
      <c r="Z1029" t="str">
        <f>IF(Y1029&lt;&gt;0,VLOOKUP(VLOOKUP(Y1029,Tbl_Effect[],3,FALSE),EffectName[],IFERROR(MATCH(UI!$B$1,EffectName[#Headers],0),2),FALSE),"")</f>
        <v/>
      </c>
      <c r="AA1029" t="str">
        <f t="shared" si="118"/>
        <v/>
      </c>
      <c r="AB1029">
        <v>0</v>
      </c>
      <c r="AC1029" t="str">
        <f>IF(AB1029&lt;&gt;0,VLOOKUP(VLOOKUP(AB1029,Tbl_Effect[],3,FALSE),EffectName[],IFERROR(MATCH(UI!$B$1,EffectName[#Headers],0),2),FALSE),"")</f>
        <v/>
      </c>
    </row>
    <row r="1030" spans="8:29" x14ac:dyDescent="0.4">
      <c r="H1030" t="str">
        <f t="shared" si="112"/>
        <v>6820600-Unset (紅)</v>
      </c>
      <c r="I1030">
        <v>6820600</v>
      </c>
      <c r="J1030" t="str">
        <f>_xlfn.IFNA(IF(I1030&lt;&gt;0,VLOOKUP(VLOOKUP(I1030,Tbl_Equip[],2,FALSE),Tbl_Color[],IFERROR(MATCH(UI!$B$1,Tbl_Color[#Headers],0),2),FALSE),""),"Unset")</f>
        <v>紅</v>
      </c>
      <c r="K1030" t="str">
        <f>_xlfn.IFNA(IF(I1030&lt;&gt;0,VLOOKUP(I1030,ItemText[],IFERROR(MATCH(UI!$B$1,ItemText[#Headers],0),2),FALSE),""),"Unset")</f>
        <v>Unset</v>
      </c>
      <c r="L1030" t="str">
        <f t="shared" si="113"/>
        <v/>
      </c>
      <c r="M1030">
        <v>0</v>
      </c>
      <c r="N1030" t="str">
        <f>IF(VALUE(M1030)=0,"",VLOOKUP(VLOOKUP(M1030,Tbl_Effect[],3,FALSE),EffectName[],IFERROR(MATCH(UI!$B$1,EffectName[#Headers],0),2),FALSE))</f>
        <v/>
      </c>
      <c r="O1030" t="str">
        <f t="shared" si="114"/>
        <v/>
      </c>
      <c r="P1030">
        <v>0</v>
      </c>
      <c r="Q1030" t="str">
        <f>IF(VALUE(P1030)=0,"",VLOOKUP(VLOOKUP(P1030,Tbl_Effect[],3,FALSE),EffectName[],IFERROR(MATCH(UI!$B$1,EffectName[#Headers],0),2),FALSE))</f>
        <v/>
      </c>
      <c r="R1030" t="str">
        <f t="shared" si="115"/>
        <v/>
      </c>
      <c r="S1030">
        <v>0</v>
      </c>
      <c r="T1030" t="str">
        <f>IF(VALUE(S1030)=0,"",VLOOKUP(VLOOKUP(S1030,Tbl_Effect[],3,FALSE),EffectName[],IFERROR(MATCH(UI!$B$1,EffectName[#Headers],0),2),FALSE))</f>
        <v/>
      </c>
      <c r="U1030" t="str">
        <f t="shared" si="116"/>
        <v/>
      </c>
      <c r="V1030">
        <v>0</v>
      </c>
      <c r="W1030" t="str">
        <f>IF(V1030&lt;&gt;0,VLOOKUP(VLOOKUP(V1030,Tbl_Effect[],3,FALSE),EffectName[],IFERROR(MATCH(UI!$B$1,EffectName[#Headers],0),2),FALSE),"")</f>
        <v/>
      </c>
      <c r="X1030" t="str">
        <f t="shared" si="117"/>
        <v/>
      </c>
      <c r="Y1030">
        <v>0</v>
      </c>
      <c r="Z1030" t="str">
        <f>IF(Y1030&lt;&gt;0,VLOOKUP(VLOOKUP(Y1030,Tbl_Effect[],3,FALSE),EffectName[],IFERROR(MATCH(UI!$B$1,EffectName[#Headers],0),2),FALSE),"")</f>
        <v/>
      </c>
      <c r="AA1030" t="str">
        <f t="shared" si="118"/>
        <v/>
      </c>
      <c r="AB1030">
        <v>0</v>
      </c>
      <c r="AC1030" t="str">
        <f>IF(AB1030&lt;&gt;0,VLOOKUP(VLOOKUP(AB1030,Tbl_Effect[],3,FALSE),EffectName[],IFERROR(MATCH(UI!$B$1,EffectName[#Headers],0),2),FALSE),"")</f>
        <v/>
      </c>
    </row>
    <row r="1031" spans="8:29" x14ac:dyDescent="0.4">
      <c r="H1031" t="str">
        <f t="shared" si="112"/>
        <v>6830000-Unset (紅)</v>
      </c>
      <c r="I1031">
        <v>6830000</v>
      </c>
      <c r="J1031" t="str">
        <f>_xlfn.IFNA(IF(I1031&lt;&gt;0,VLOOKUP(VLOOKUP(I1031,Tbl_Equip[],2,FALSE),Tbl_Color[],IFERROR(MATCH(UI!$B$1,Tbl_Color[#Headers],0),2),FALSE),""),"Unset")</f>
        <v>紅</v>
      </c>
      <c r="K1031" t="str">
        <f>_xlfn.IFNA(IF(I1031&lt;&gt;0,VLOOKUP(I1031,ItemText[],IFERROR(MATCH(UI!$B$1,ItemText[#Headers],0),2),FALSE),""),"Unset")</f>
        <v>Unset</v>
      </c>
      <c r="L1031" t="str">
        <f t="shared" si="113"/>
        <v/>
      </c>
      <c r="M1031">
        <v>0</v>
      </c>
      <c r="N1031" t="str">
        <f>IF(VALUE(M1031)=0,"",VLOOKUP(VLOOKUP(M1031,Tbl_Effect[],3,FALSE),EffectName[],IFERROR(MATCH(UI!$B$1,EffectName[#Headers],0),2),FALSE))</f>
        <v/>
      </c>
      <c r="O1031" t="str">
        <f t="shared" si="114"/>
        <v/>
      </c>
      <c r="P1031">
        <v>0</v>
      </c>
      <c r="Q1031" t="str">
        <f>IF(VALUE(P1031)=0,"",VLOOKUP(VLOOKUP(P1031,Tbl_Effect[],3,FALSE),EffectName[],IFERROR(MATCH(UI!$B$1,EffectName[#Headers],0),2),FALSE))</f>
        <v/>
      </c>
      <c r="R1031" t="str">
        <f t="shared" si="115"/>
        <v/>
      </c>
      <c r="S1031">
        <v>0</v>
      </c>
      <c r="T1031" t="str">
        <f>IF(VALUE(S1031)=0,"",VLOOKUP(VLOOKUP(S1031,Tbl_Effect[],3,FALSE),EffectName[],IFERROR(MATCH(UI!$B$1,EffectName[#Headers],0),2),FALSE))</f>
        <v/>
      </c>
      <c r="U1031" t="str">
        <f t="shared" si="116"/>
        <v/>
      </c>
      <c r="V1031">
        <v>0</v>
      </c>
      <c r="W1031" t="str">
        <f>IF(V1031&lt;&gt;0,VLOOKUP(VLOOKUP(V1031,Tbl_Effect[],3,FALSE),EffectName[],IFERROR(MATCH(UI!$B$1,EffectName[#Headers],0),2),FALSE),"")</f>
        <v/>
      </c>
      <c r="X1031" t="str">
        <f t="shared" si="117"/>
        <v/>
      </c>
      <c r="Y1031">
        <v>0</v>
      </c>
      <c r="Z1031" t="str">
        <f>IF(Y1031&lt;&gt;0,VLOOKUP(VLOOKUP(Y1031,Tbl_Effect[],3,FALSE),EffectName[],IFERROR(MATCH(UI!$B$1,EffectName[#Headers],0),2),FALSE),"")</f>
        <v/>
      </c>
      <c r="AA1031" t="str">
        <f t="shared" si="118"/>
        <v/>
      </c>
      <c r="AB1031">
        <v>0</v>
      </c>
      <c r="AC1031" t="str">
        <f>IF(AB1031&lt;&gt;0,VLOOKUP(VLOOKUP(AB1031,Tbl_Effect[],3,FALSE),EffectName[],IFERROR(MATCH(UI!$B$1,EffectName[#Headers],0),2),FALSE),"")</f>
        <v/>
      </c>
    </row>
    <row r="1032" spans="8:29" x14ac:dyDescent="0.4">
      <c r="H1032" t="str">
        <f t="shared" si="112"/>
        <v>6830100-Unset (紅)</v>
      </c>
      <c r="I1032">
        <v>6830100</v>
      </c>
      <c r="J1032" t="str">
        <f>_xlfn.IFNA(IF(I1032&lt;&gt;0,VLOOKUP(VLOOKUP(I1032,Tbl_Equip[],2,FALSE),Tbl_Color[],IFERROR(MATCH(UI!$B$1,Tbl_Color[#Headers],0),2),FALSE),""),"Unset")</f>
        <v>紅</v>
      </c>
      <c r="K1032" t="str">
        <f>_xlfn.IFNA(IF(I1032&lt;&gt;0,VLOOKUP(I1032,ItemText[],IFERROR(MATCH(UI!$B$1,ItemText[#Headers],0),2),FALSE),""),"Unset")</f>
        <v>Unset</v>
      </c>
      <c r="L1032" t="str">
        <f t="shared" si="113"/>
        <v/>
      </c>
      <c r="M1032">
        <v>0</v>
      </c>
      <c r="N1032" t="str">
        <f>IF(VALUE(M1032)=0,"",VLOOKUP(VLOOKUP(M1032,Tbl_Effect[],3,FALSE),EffectName[],IFERROR(MATCH(UI!$B$1,EffectName[#Headers],0),2),FALSE))</f>
        <v/>
      </c>
      <c r="O1032" t="str">
        <f t="shared" si="114"/>
        <v/>
      </c>
      <c r="P1032">
        <v>0</v>
      </c>
      <c r="Q1032" t="str">
        <f>IF(VALUE(P1032)=0,"",VLOOKUP(VLOOKUP(P1032,Tbl_Effect[],3,FALSE),EffectName[],IFERROR(MATCH(UI!$B$1,EffectName[#Headers],0),2),FALSE))</f>
        <v/>
      </c>
      <c r="R1032" t="str">
        <f t="shared" si="115"/>
        <v/>
      </c>
      <c r="S1032">
        <v>0</v>
      </c>
      <c r="T1032" t="str">
        <f>IF(VALUE(S1032)=0,"",VLOOKUP(VLOOKUP(S1032,Tbl_Effect[],3,FALSE),EffectName[],IFERROR(MATCH(UI!$B$1,EffectName[#Headers],0),2),FALSE))</f>
        <v/>
      </c>
      <c r="U1032" t="str">
        <f t="shared" si="116"/>
        <v/>
      </c>
      <c r="V1032">
        <v>0</v>
      </c>
      <c r="W1032" t="str">
        <f>IF(V1032&lt;&gt;0,VLOOKUP(VLOOKUP(V1032,Tbl_Effect[],3,FALSE),EffectName[],IFERROR(MATCH(UI!$B$1,EffectName[#Headers],0),2),FALSE),"")</f>
        <v/>
      </c>
      <c r="X1032" t="str">
        <f t="shared" si="117"/>
        <v/>
      </c>
      <c r="Y1032">
        <v>0</v>
      </c>
      <c r="Z1032" t="str">
        <f>IF(Y1032&lt;&gt;0,VLOOKUP(VLOOKUP(Y1032,Tbl_Effect[],3,FALSE),EffectName[],IFERROR(MATCH(UI!$B$1,EffectName[#Headers],0),2),FALSE),"")</f>
        <v/>
      </c>
      <c r="AA1032" t="str">
        <f t="shared" si="118"/>
        <v/>
      </c>
      <c r="AB1032">
        <v>0</v>
      </c>
      <c r="AC1032" t="str">
        <f>IF(AB1032&lt;&gt;0,VLOOKUP(VLOOKUP(AB1032,Tbl_Effect[],3,FALSE),EffectName[],IFERROR(MATCH(UI!$B$1,EffectName[#Headers],0),2),FALSE),"")</f>
        <v/>
      </c>
    </row>
    <row r="1033" spans="8:29" x14ac:dyDescent="0.4">
      <c r="H1033" t="str">
        <f t="shared" si="112"/>
        <v>6830200-Unset (紅)</v>
      </c>
      <c r="I1033">
        <v>6830200</v>
      </c>
      <c r="J1033" t="str">
        <f>_xlfn.IFNA(IF(I1033&lt;&gt;0,VLOOKUP(VLOOKUP(I1033,Tbl_Equip[],2,FALSE),Tbl_Color[],IFERROR(MATCH(UI!$B$1,Tbl_Color[#Headers],0),2),FALSE),""),"Unset")</f>
        <v>紅</v>
      </c>
      <c r="K1033" t="str">
        <f>_xlfn.IFNA(IF(I1033&lt;&gt;0,VLOOKUP(I1033,ItemText[],IFERROR(MATCH(UI!$B$1,ItemText[#Headers],0),2),FALSE),""),"Unset")</f>
        <v>Unset</v>
      </c>
      <c r="L1033" t="str">
        <f t="shared" si="113"/>
        <v/>
      </c>
      <c r="M1033">
        <v>0</v>
      </c>
      <c r="N1033" t="str">
        <f>IF(VALUE(M1033)=0,"",VLOOKUP(VLOOKUP(M1033,Tbl_Effect[],3,FALSE),EffectName[],IFERROR(MATCH(UI!$B$1,EffectName[#Headers],0),2),FALSE))</f>
        <v/>
      </c>
      <c r="O1033" t="str">
        <f t="shared" si="114"/>
        <v/>
      </c>
      <c r="P1033">
        <v>0</v>
      </c>
      <c r="Q1033" t="str">
        <f>IF(VALUE(P1033)=0,"",VLOOKUP(VLOOKUP(P1033,Tbl_Effect[],3,FALSE),EffectName[],IFERROR(MATCH(UI!$B$1,EffectName[#Headers],0),2),FALSE))</f>
        <v/>
      </c>
      <c r="R1033" t="str">
        <f t="shared" si="115"/>
        <v/>
      </c>
      <c r="S1033">
        <v>0</v>
      </c>
      <c r="T1033" t="str">
        <f>IF(VALUE(S1033)=0,"",VLOOKUP(VLOOKUP(S1033,Tbl_Effect[],3,FALSE),EffectName[],IFERROR(MATCH(UI!$B$1,EffectName[#Headers],0),2),FALSE))</f>
        <v/>
      </c>
      <c r="U1033" t="str">
        <f t="shared" si="116"/>
        <v/>
      </c>
      <c r="V1033">
        <v>0</v>
      </c>
      <c r="W1033" t="str">
        <f>IF(V1033&lt;&gt;0,VLOOKUP(VLOOKUP(V1033,Tbl_Effect[],3,FALSE),EffectName[],IFERROR(MATCH(UI!$B$1,EffectName[#Headers],0),2),FALSE),"")</f>
        <v/>
      </c>
      <c r="X1033" t="str">
        <f t="shared" si="117"/>
        <v/>
      </c>
      <c r="Y1033">
        <v>0</v>
      </c>
      <c r="Z1033" t="str">
        <f>IF(Y1033&lt;&gt;0,VLOOKUP(VLOOKUP(Y1033,Tbl_Effect[],3,FALSE),EffectName[],IFERROR(MATCH(UI!$B$1,EffectName[#Headers],0),2),FALSE),"")</f>
        <v/>
      </c>
      <c r="AA1033" t="str">
        <f t="shared" si="118"/>
        <v/>
      </c>
      <c r="AB1033">
        <v>0</v>
      </c>
      <c r="AC1033" t="str">
        <f>IF(AB1033&lt;&gt;0,VLOOKUP(VLOOKUP(AB1033,Tbl_Effect[],3,FALSE),EffectName[],IFERROR(MATCH(UI!$B$1,EffectName[#Headers],0),2),FALSE),"")</f>
        <v/>
      </c>
    </row>
    <row r="1034" spans="8:29" x14ac:dyDescent="0.4">
      <c r="H1034" t="str">
        <f t="shared" si="112"/>
        <v>6830300-Unset (紅)</v>
      </c>
      <c r="I1034">
        <v>6830300</v>
      </c>
      <c r="J1034" t="str">
        <f>_xlfn.IFNA(IF(I1034&lt;&gt;0,VLOOKUP(VLOOKUP(I1034,Tbl_Equip[],2,FALSE),Tbl_Color[],IFERROR(MATCH(UI!$B$1,Tbl_Color[#Headers],0),2),FALSE),""),"Unset")</f>
        <v>紅</v>
      </c>
      <c r="K1034" t="str">
        <f>_xlfn.IFNA(IF(I1034&lt;&gt;0,VLOOKUP(I1034,ItemText[],IFERROR(MATCH(UI!$B$1,ItemText[#Headers],0),2),FALSE),""),"Unset")</f>
        <v>Unset</v>
      </c>
      <c r="L1034" t="str">
        <f t="shared" si="113"/>
        <v/>
      </c>
      <c r="M1034">
        <v>0</v>
      </c>
      <c r="N1034" t="str">
        <f>IF(VALUE(M1034)=0,"",VLOOKUP(VLOOKUP(M1034,Tbl_Effect[],3,FALSE),EffectName[],IFERROR(MATCH(UI!$B$1,EffectName[#Headers],0),2),FALSE))</f>
        <v/>
      </c>
      <c r="O1034" t="str">
        <f t="shared" si="114"/>
        <v/>
      </c>
      <c r="P1034">
        <v>0</v>
      </c>
      <c r="Q1034" t="str">
        <f>IF(VALUE(P1034)=0,"",VLOOKUP(VLOOKUP(P1034,Tbl_Effect[],3,FALSE),EffectName[],IFERROR(MATCH(UI!$B$1,EffectName[#Headers],0),2),FALSE))</f>
        <v/>
      </c>
      <c r="R1034" t="str">
        <f t="shared" si="115"/>
        <v/>
      </c>
      <c r="S1034">
        <v>0</v>
      </c>
      <c r="T1034" t="str">
        <f>IF(VALUE(S1034)=0,"",VLOOKUP(VLOOKUP(S1034,Tbl_Effect[],3,FALSE),EffectName[],IFERROR(MATCH(UI!$B$1,EffectName[#Headers],0),2),FALSE))</f>
        <v/>
      </c>
      <c r="U1034" t="str">
        <f t="shared" si="116"/>
        <v/>
      </c>
      <c r="V1034">
        <v>0</v>
      </c>
      <c r="W1034" t="str">
        <f>IF(V1034&lt;&gt;0,VLOOKUP(VLOOKUP(V1034,Tbl_Effect[],3,FALSE),EffectName[],IFERROR(MATCH(UI!$B$1,EffectName[#Headers],0),2),FALSE),"")</f>
        <v/>
      </c>
      <c r="X1034" t="str">
        <f t="shared" si="117"/>
        <v/>
      </c>
      <c r="Y1034">
        <v>0</v>
      </c>
      <c r="Z1034" t="str">
        <f>IF(Y1034&lt;&gt;0,VLOOKUP(VLOOKUP(Y1034,Tbl_Effect[],3,FALSE),EffectName[],IFERROR(MATCH(UI!$B$1,EffectName[#Headers],0),2),FALSE),"")</f>
        <v/>
      </c>
      <c r="AA1034" t="str">
        <f t="shared" si="118"/>
        <v/>
      </c>
      <c r="AB1034">
        <v>0</v>
      </c>
      <c r="AC1034" t="str">
        <f>IF(AB1034&lt;&gt;0,VLOOKUP(VLOOKUP(AB1034,Tbl_Effect[],3,FALSE),EffectName[],IFERROR(MATCH(UI!$B$1,EffectName[#Headers],0),2),FALSE),"")</f>
        <v/>
      </c>
    </row>
    <row r="1035" spans="8:29" x14ac:dyDescent="0.4">
      <c r="H1035" t="str">
        <f t="shared" si="112"/>
        <v>6830400-Unset (紅)</v>
      </c>
      <c r="I1035">
        <v>6830400</v>
      </c>
      <c r="J1035" t="str">
        <f>_xlfn.IFNA(IF(I1035&lt;&gt;0,VLOOKUP(VLOOKUP(I1035,Tbl_Equip[],2,FALSE),Tbl_Color[],IFERROR(MATCH(UI!$B$1,Tbl_Color[#Headers],0),2),FALSE),""),"Unset")</f>
        <v>紅</v>
      </c>
      <c r="K1035" t="str">
        <f>_xlfn.IFNA(IF(I1035&lt;&gt;0,VLOOKUP(I1035,ItemText[],IFERROR(MATCH(UI!$B$1,ItemText[#Headers],0),2),FALSE),""),"Unset")</f>
        <v>Unset</v>
      </c>
      <c r="L1035" t="str">
        <f t="shared" si="113"/>
        <v/>
      </c>
      <c r="M1035">
        <v>0</v>
      </c>
      <c r="N1035" t="str">
        <f>IF(VALUE(M1035)=0,"",VLOOKUP(VLOOKUP(M1035,Tbl_Effect[],3,FALSE),EffectName[],IFERROR(MATCH(UI!$B$1,EffectName[#Headers],0),2),FALSE))</f>
        <v/>
      </c>
      <c r="O1035" t="str">
        <f t="shared" si="114"/>
        <v/>
      </c>
      <c r="P1035">
        <v>0</v>
      </c>
      <c r="Q1035" t="str">
        <f>IF(VALUE(P1035)=0,"",VLOOKUP(VLOOKUP(P1035,Tbl_Effect[],3,FALSE),EffectName[],IFERROR(MATCH(UI!$B$1,EffectName[#Headers],0),2),FALSE))</f>
        <v/>
      </c>
      <c r="R1035" t="str">
        <f t="shared" si="115"/>
        <v/>
      </c>
      <c r="S1035">
        <v>0</v>
      </c>
      <c r="T1035" t="str">
        <f>IF(VALUE(S1035)=0,"",VLOOKUP(VLOOKUP(S1035,Tbl_Effect[],3,FALSE),EffectName[],IFERROR(MATCH(UI!$B$1,EffectName[#Headers],0),2),FALSE))</f>
        <v/>
      </c>
      <c r="U1035" t="str">
        <f t="shared" si="116"/>
        <v/>
      </c>
      <c r="V1035">
        <v>0</v>
      </c>
      <c r="W1035" t="str">
        <f>IF(V1035&lt;&gt;0,VLOOKUP(VLOOKUP(V1035,Tbl_Effect[],3,FALSE),EffectName[],IFERROR(MATCH(UI!$B$1,EffectName[#Headers],0),2),FALSE),"")</f>
        <v/>
      </c>
      <c r="X1035" t="str">
        <f t="shared" si="117"/>
        <v/>
      </c>
      <c r="Y1035">
        <v>0</v>
      </c>
      <c r="Z1035" t="str">
        <f>IF(Y1035&lt;&gt;0,VLOOKUP(VLOOKUP(Y1035,Tbl_Effect[],3,FALSE),EffectName[],IFERROR(MATCH(UI!$B$1,EffectName[#Headers],0),2),FALSE),"")</f>
        <v/>
      </c>
      <c r="AA1035" t="str">
        <f t="shared" si="118"/>
        <v/>
      </c>
      <c r="AB1035">
        <v>0</v>
      </c>
      <c r="AC1035" t="str">
        <f>IF(AB1035&lt;&gt;0,VLOOKUP(VLOOKUP(AB1035,Tbl_Effect[],3,FALSE),EffectName[],IFERROR(MATCH(UI!$B$1,EffectName[#Headers],0),2),FALSE),"")</f>
        <v/>
      </c>
    </row>
    <row r="1036" spans="8:29" x14ac:dyDescent="0.4">
      <c r="H1036" t="str">
        <f t="shared" si="112"/>
        <v>6840000-Unset (紅)</v>
      </c>
      <c r="I1036">
        <v>6840000</v>
      </c>
      <c r="J1036" t="str">
        <f>_xlfn.IFNA(IF(I1036&lt;&gt;0,VLOOKUP(VLOOKUP(I1036,Tbl_Equip[],2,FALSE),Tbl_Color[],IFERROR(MATCH(UI!$B$1,Tbl_Color[#Headers],0),2),FALSE),""),"Unset")</f>
        <v>紅</v>
      </c>
      <c r="K1036" t="str">
        <f>_xlfn.IFNA(IF(I1036&lt;&gt;0,VLOOKUP(I1036,ItemText[],IFERROR(MATCH(UI!$B$1,ItemText[#Headers],0),2),FALSE),""),"Unset")</f>
        <v>Unset</v>
      </c>
      <c r="L1036" t="str">
        <f t="shared" si="113"/>
        <v/>
      </c>
      <c r="M1036">
        <v>0</v>
      </c>
      <c r="N1036" t="str">
        <f>IF(VALUE(M1036)=0,"",VLOOKUP(VLOOKUP(M1036,Tbl_Effect[],3,FALSE),EffectName[],IFERROR(MATCH(UI!$B$1,EffectName[#Headers],0),2),FALSE))</f>
        <v/>
      </c>
      <c r="O1036" t="str">
        <f t="shared" si="114"/>
        <v/>
      </c>
      <c r="P1036">
        <v>0</v>
      </c>
      <c r="Q1036" t="str">
        <f>IF(VALUE(P1036)=0,"",VLOOKUP(VLOOKUP(P1036,Tbl_Effect[],3,FALSE),EffectName[],IFERROR(MATCH(UI!$B$1,EffectName[#Headers],0),2),FALSE))</f>
        <v/>
      </c>
      <c r="R1036" t="str">
        <f t="shared" si="115"/>
        <v/>
      </c>
      <c r="S1036">
        <v>0</v>
      </c>
      <c r="T1036" t="str">
        <f>IF(VALUE(S1036)=0,"",VLOOKUP(VLOOKUP(S1036,Tbl_Effect[],3,FALSE),EffectName[],IFERROR(MATCH(UI!$B$1,EffectName[#Headers],0),2),FALSE))</f>
        <v/>
      </c>
      <c r="U1036" t="str">
        <f t="shared" si="116"/>
        <v/>
      </c>
      <c r="V1036">
        <v>0</v>
      </c>
      <c r="W1036" t="str">
        <f>IF(V1036&lt;&gt;0,VLOOKUP(VLOOKUP(V1036,Tbl_Effect[],3,FALSE),EffectName[],IFERROR(MATCH(UI!$B$1,EffectName[#Headers],0),2),FALSE),"")</f>
        <v/>
      </c>
      <c r="X1036" t="str">
        <f t="shared" si="117"/>
        <v/>
      </c>
      <c r="Y1036">
        <v>0</v>
      </c>
      <c r="Z1036" t="str">
        <f>IF(Y1036&lt;&gt;0,VLOOKUP(VLOOKUP(Y1036,Tbl_Effect[],3,FALSE),EffectName[],IFERROR(MATCH(UI!$B$1,EffectName[#Headers],0),2),FALSE),"")</f>
        <v/>
      </c>
      <c r="AA1036" t="str">
        <f t="shared" si="118"/>
        <v/>
      </c>
      <c r="AB1036">
        <v>0</v>
      </c>
      <c r="AC1036" t="str">
        <f>IF(AB1036&lt;&gt;0,VLOOKUP(VLOOKUP(AB1036,Tbl_Effect[],3,FALSE),EffectName[],IFERROR(MATCH(UI!$B$1,EffectName[#Headers],0),2),FALSE),"")</f>
        <v/>
      </c>
    </row>
    <row r="1037" spans="8:29" x14ac:dyDescent="0.4">
      <c r="H1037" t="str">
        <f t="shared" si="112"/>
        <v>6840100-Unset (紅)</v>
      </c>
      <c r="I1037">
        <v>6840100</v>
      </c>
      <c r="J1037" t="str">
        <f>_xlfn.IFNA(IF(I1037&lt;&gt;0,VLOOKUP(VLOOKUP(I1037,Tbl_Equip[],2,FALSE),Tbl_Color[],IFERROR(MATCH(UI!$B$1,Tbl_Color[#Headers],0),2),FALSE),""),"Unset")</f>
        <v>紅</v>
      </c>
      <c r="K1037" t="str">
        <f>_xlfn.IFNA(IF(I1037&lt;&gt;0,VLOOKUP(I1037,ItemText[],IFERROR(MATCH(UI!$B$1,ItemText[#Headers],0),2),FALSE),""),"Unset")</f>
        <v>Unset</v>
      </c>
      <c r="L1037" t="str">
        <f t="shared" si="113"/>
        <v/>
      </c>
      <c r="M1037">
        <v>0</v>
      </c>
      <c r="N1037" t="str">
        <f>IF(VALUE(M1037)=0,"",VLOOKUP(VLOOKUP(M1037,Tbl_Effect[],3,FALSE),EffectName[],IFERROR(MATCH(UI!$B$1,EffectName[#Headers],0),2),FALSE))</f>
        <v/>
      </c>
      <c r="O1037" t="str">
        <f t="shared" si="114"/>
        <v/>
      </c>
      <c r="P1037">
        <v>0</v>
      </c>
      <c r="Q1037" t="str">
        <f>IF(VALUE(P1037)=0,"",VLOOKUP(VLOOKUP(P1037,Tbl_Effect[],3,FALSE),EffectName[],IFERROR(MATCH(UI!$B$1,EffectName[#Headers],0),2),FALSE))</f>
        <v/>
      </c>
      <c r="R1037" t="str">
        <f t="shared" si="115"/>
        <v/>
      </c>
      <c r="S1037">
        <v>0</v>
      </c>
      <c r="T1037" t="str">
        <f>IF(VALUE(S1037)=0,"",VLOOKUP(VLOOKUP(S1037,Tbl_Effect[],3,FALSE),EffectName[],IFERROR(MATCH(UI!$B$1,EffectName[#Headers],0),2),FALSE))</f>
        <v/>
      </c>
      <c r="U1037" t="str">
        <f t="shared" si="116"/>
        <v/>
      </c>
      <c r="V1037">
        <v>0</v>
      </c>
      <c r="W1037" t="str">
        <f>IF(V1037&lt;&gt;0,VLOOKUP(VLOOKUP(V1037,Tbl_Effect[],3,FALSE),EffectName[],IFERROR(MATCH(UI!$B$1,EffectName[#Headers],0),2),FALSE),"")</f>
        <v/>
      </c>
      <c r="X1037" t="str">
        <f t="shared" si="117"/>
        <v/>
      </c>
      <c r="Y1037">
        <v>0</v>
      </c>
      <c r="Z1037" t="str">
        <f>IF(Y1037&lt;&gt;0,VLOOKUP(VLOOKUP(Y1037,Tbl_Effect[],3,FALSE),EffectName[],IFERROR(MATCH(UI!$B$1,EffectName[#Headers],0),2),FALSE),"")</f>
        <v/>
      </c>
      <c r="AA1037" t="str">
        <f t="shared" si="118"/>
        <v/>
      </c>
      <c r="AB1037">
        <v>0</v>
      </c>
      <c r="AC1037" t="str">
        <f>IF(AB1037&lt;&gt;0,VLOOKUP(VLOOKUP(AB1037,Tbl_Effect[],3,FALSE),EffectName[],IFERROR(MATCH(UI!$B$1,EffectName[#Headers],0),2),FALSE),"")</f>
        <v/>
      </c>
    </row>
    <row r="1038" spans="8:29" x14ac:dyDescent="0.4">
      <c r="H1038" t="str">
        <f t="shared" si="112"/>
        <v>6840200-Unset (紅)</v>
      </c>
      <c r="I1038">
        <v>6840200</v>
      </c>
      <c r="J1038" t="str">
        <f>_xlfn.IFNA(IF(I1038&lt;&gt;0,VLOOKUP(VLOOKUP(I1038,Tbl_Equip[],2,FALSE),Tbl_Color[],IFERROR(MATCH(UI!$B$1,Tbl_Color[#Headers],0),2),FALSE),""),"Unset")</f>
        <v>紅</v>
      </c>
      <c r="K1038" t="str">
        <f>_xlfn.IFNA(IF(I1038&lt;&gt;0,VLOOKUP(I1038,ItemText[],IFERROR(MATCH(UI!$B$1,ItemText[#Headers],0),2),FALSE),""),"Unset")</f>
        <v>Unset</v>
      </c>
      <c r="L1038" t="str">
        <f t="shared" si="113"/>
        <v/>
      </c>
      <c r="M1038">
        <v>0</v>
      </c>
      <c r="N1038" t="str">
        <f>IF(VALUE(M1038)=0,"",VLOOKUP(VLOOKUP(M1038,Tbl_Effect[],3,FALSE),EffectName[],IFERROR(MATCH(UI!$B$1,EffectName[#Headers],0),2),FALSE))</f>
        <v/>
      </c>
      <c r="O1038" t="str">
        <f t="shared" si="114"/>
        <v/>
      </c>
      <c r="P1038">
        <v>0</v>
      </c>
      <c r="Q1038" t="str">
        <f>IF(VALUE(P1038)=0,"",VLOOKUP(VLOOKUP(P1038,Tbl_Effect[],3,FALSE),EffectName[],IFERROR(MATCH(UI!$B$1,EffectName[#Headers],0),2),FALSE))</f>
        <v/>
      </c>
      <c r="R1038" t="str">
        <f t="shared" si="115"/>
        <v/>
      </c>
      <c r="S1038">
        <v>0</v>
      </c>
      <c r="T1038" t="str">
        <f>IF(VALUE(S1038)=0,"",VLOOKUP(VLOOKUP(S1038,Tbl_Effect[],3,FALSE),EffectName[],IFERROR(MATCH(UI!$B$1,EffectName[#Headers],0),2),FALSE))</f>
        <v/>
      </c>
      <c r="U1038" t="str">
        <f t="shared" si="116"/>
        <v/>
      </c>
      <c r="V1038">
        <v>0</v>
      </c>
      <c r="W1038" t="str">
        <f>IF(V1038&lt;&gt;0,VLOOKUP(VLOOKUP(V1038,Tbl_Effect[],3,FALSE),EffectName[],IFERROR(MATCH(UI!$B$1,EffectName[#Headers],0),2),FALSE),"")</f>
        <v/>
      </c>
      <c r="X1038" t="str">
        <f t="shared" si="117"/>
        <v/>
      </c>
      <c r="Y1038">
        <v>0</v>
      </c>
      <c r="Z1038" t="str">
        <f>IF(Y1038&lt;&gt;0,VLOOKUP(VLOOKUP(Y1038,Tbl_Effect[],3,FALSE),EffectName[],IFERROR(MATCH(UI!$B$1,EffectName[#Headers],0),2),FALSE),"")</f>
        <v/>
      </c>
      <c r="AA1038" t="str">
        <f t="shared" si="118"/>
        <v/>
      </c>
      <c r="AB1038">
        <v>0</v>
      </c>
      <c r="AC1038" t="str">
        <f>IF(AB1038&lt;&gt;0,VLOOKUP(VLOOKUP(AB1038,Tbl_Effect[],3,FALSE),EffectName[],IFERROR(MATCH(UI!$B$1,EffectName[#Headers],0),2),FALSE),"")</f>
        <v/>
      </c>
    </row>
    <row r="1039" spans="8:29" x14ac:dyDescent="0.4">
      <c r="H1039" t="str">
        <f t="shared" si="112"/>
        <v>6850200-Unset (紅)</v>
      </c>
      <c r="I1039">
        <v>6850200</v>
      </c>
      <c r="J1039" t="str">
        <f>_xlfn.IFNA(IF(I1039&lt;&gt;0,VLOOKUP(VLOOKUP(I1039,Tbl_Equip[],2,FALSE),Tbl_Color[],IFERROR(MATCH(UI!$B$1,Tbl_Color[#Headers],0),2),FALSE),""),"Unset")</f>
        <v>紅</v>
      </c>
      <c r="K1039" t="str">
        <f>_xlfn.IFNA(IF(I1039&lt;&gt;0,VLOOKUP(I1039,ItemText[],IFERROR(MATCH(UI!$B$1,ItemText[#Headers],0),2),FALSE),""),"Unset")</f>
        <v>Unset</v>
      </c>
      <c r="L1039" t="str">
        <f t="shared" si="113"/>
        <v/>
      </c>
      <c r="M1039">
        <v>0</v>
      </c>
      <c r="N1039" t="str">
        <f>IF(VALUE(M1039)=0,"",VLOOKUP(VLOOKUP(M1039,Tbl_Effect[],3,FALSE),EffectName[],IFERROR(MATCH(UI!$B$1,EffectName[#Headers],0),2),FALSE))</f>
        <v/>
      </c>
      <c r="O1039" t="str">
        <f t="shared" si="114"/>
        <v/>
      </c>
      <c r="P1039">
        <v>0</v>
      </c>
      <c r="Q1039" t="str">
        <f>IF(VALUE(P1039)=0,"",VLOOKUP(VLOOKUP(P1039,Tbl_Effect[],3,FALSE),EffectName[],IFERROR(MATCH(UI!$B$1,EffectName[#Headers],0),2),FALSE))</f>
        <v/>
      </c>
      <c r="R1039" t="str">
        <f t="shared" si="115"/>
        <v/>
      </c>
      <c r="S1039">
        <v>0</v>
      </c>
      <c r="T1039" t="str">
        <f>IF(VALUE(S1039)=0,"",VLOOKUP(VLOOKUP(S1039,Tbl_Effect[],3,FALSE),EffectName[],IFERROR(MATCH(UI!$B$1,EffectName[#Headers],0),2),FALSE))</f>
        <v/>
      </c>
      <c r="U1039" t="str">
        <f t="shared" si="116"/>
        <v/>
      </c>
      <c r="V1039">
        <v>0</v>
      </c>
      <c r="W1039" t="str">
        <f>IF(V1039&lt;&gt;0,VLOOKUP(VLOOKUP(V1039,Tbl_Effect[],3,FALSE),EffectName[],IFERROR(MATCH(UI!$B$1,EffectName[#Headers],0),2),FALSE),"")</f>
        <v/>
      </c>
      <c r="X1039" t="str">
        <f t="shared" si="117"/>
        <v/>
      </c>
      <c r="Y1039">
        <v>0</v>
      </c>
      <c r="Z1039" t="str">
        <f>IF(Y1039&lt;&gt;0,VLOOKUP(VLOOKUP(Y1039,Tbl_Effect[],3,FALSE),EffectName[],IFERROR(MATCH(UI!$B$1,EffectName[#Headers],0),2),FALSE),"")</f>
        <v/>
      </c>
      <c r="AA1039" t="str">
        <f t="shared" si="118"/>
        <v/>
      </c>
      <c r="AB1039">
        <v>0</v>
      </c>
      <c r="AC1039" t="str">
        <f>IF(AB1039&lt;&gt;0,VLOOKUP(VLOOKUP(AB1039,Tbl_Effect[],3,FALSE),EffectName[],IFERROR(MATCH(UI!$B$1,EffectName[#Headers],0),2),FALSE),"")</f>
        <v/>
      </c>
    </row>
    <row r="1040" spans="8:29" x14ac:dyDescent="0.4">
      <c r="H1040" t="str">
        <f t="shared" si="112"/>
        <v>6850500-Unset (紅)</v>
      </c>
      <c r="I1040">
        <v>6850500</v>
      </c>
      <c r="J1040" t="str">
        <f>_xlfn.IFNA(IF(I1040&lt;&gt;0,VLOOKUP(VLOOKUP(I1040,Tbl_Equip[],2,FALSE),Tbl_Color[],IFERROR(MATCH(UI!$B$1,Tbl_Color[#Headers],0),2),FALSE),""),"Unset")</f>
        <v>紅</v>
      </c>
      <c r="K1040" t="str">
        <f>_xlfn.IFNA(IF(I1040&lt;&gt;0,VLOOKUP(I1040,ItemText[],IFERROR(MATCH(UI!$B$1,ItemText[#Headers],0),2),FALSE),""),"Unset")</f>
        <v>Unset</v>
      </c>
      <c r="L1040" t="str">
        <f t="shared" si="113"/>
        <v/>
      </c>
      <c r="M1040">
        <v>0</v>
      </c>
      <c r="N1040" t="str">
        <f>IF(VALUE(M1040)=0,"",VLOOKUP(VLOOKUP(M1040,Tbl_Effect[],3,FALSE),EffectName[],IFERROR(MATCH(UI!$B$1,EffectName[#Headers],0),2),FALSE))</f>
        <v/>
      </c>
      <c r="O1040" t="str">
        <f t="shared" si="114"/>
        <v/>
      </c>
      <c r="P1040">
        <v>0</v>
      </c>
      <c r="Q1040" t="str">
        <f>IF(VALUE(P1040)=0,"",VLOOKUP(VLOOKUP(P1040,Tbl_Effect[],3,FALSE),EffectName[],IFERROR(MATCH(UI!$B$1,EffectName[#Headers],0),2),FALSE))</f>
        <v/>
      </c>
      <c r="R1040" t="str">
        <f t="shared" si="115"/>
        <v/>
      </c>
      <c r="S1040">
        <v>0</v>
      </c>
      <c r="T1040" t="str">
        <f>IF(VALUE(S1040)=0,"",VLOOKUP(VLOOKUP(S1040,Tbl_Effect[],3,FALSE),EffectName[],IFERROR(MATCH(UI!$B$1,EffectName[#Headers],0),2),FALSE))</f>
        <v/>
      </c>
      <c r="U1040" t="str">
        <f t="shared" si="116"/>
        <v/>
      </c>
      <c r="V1040">
        <v>0</v>
      </c>
      <c r="W1040" t="str">
        <f>IF(V1040&lt;&gt;0,VLOOKUP(VLOOKUP(V1040,Tbl_Effect[],3,FALSE),EffectName[],IFERROR(MATCH(UI!$B$1,EffectName[#Headers],0),2),FALSE),"")</f>
        <v/>
      </c>
      <c r="X1040" t="str">
        <f t="shared" si="117"/>
        <v/>
      </c>
      <c r="Y1040">
        <v>0</v>
      </c>
      <c r="Z1040" t="str">
        <f>IF(Y1040&lt;&gt;0,VLOOKUP(VLOOKUP(Y1040,Tbl_Effect[],3,FALSE),EffectName[],IFERROR(MATCH(UI!$B$1,EffectName[#Headers],0),2),FALSE),"")</f>
        <v/>
      </c>
      <c r="AA1040" t="str">
        <f t="shared" si="118"/>
        <v/>
      </c>
      <c r="AB1040">
        <v>0</v>
      </c>
      <c r="AC1040" t="str">
        <f>IF(AB1040&lt;&gt;0,VLOOKUP(VLOOKUP(AB1040,Tbl_Effect[],3,FALSE),EffectName[],IFERROR(MATCH(UI!$B$1,EffectName[#Headers],0),2),FALSE),"")</f>
        <v/>
      </c>
    </row>
    <row r="1041" spans="8:29" x14ac:dyDescent="0.4">
      <c r="H1041" t="str">
        <f t="shared" si="112"/>
        <v>6850700-Unset (紅)</v>
      </c>
      <c r="I1041">
        <v>6850700</v>
      </c>
      <c r="J1041" t="str">
        <f>_xlfn.IFNA(IF(I1041&lt;&gt;0,VLOOKUP(VLOOKUP(I1041,Tbl_Equip[],2,FALSE),Tbl_Color[],IFERROR(MATCH(UI!$B$1,Tbl_Color[#Headers],0),2),FALSE),""),"Unset")</f>
        <v>紅</v>
      </c>
      <c r="K1041" t="str">
        <f>_xlfn.IFNA(IF(I1041&lt;&gt;0,VLOOKUP(I1041,ItemText[],IFERROR(MATCH(UI!$B$1,ItemText[#Headers],0),2),FALSE),""),"Unset")</f>
        <v>Unset</v>
      </c>
      <c r="L1041" t="str">
        <f t="shared" si="113"/>
        <v/>
      </c>
      <c r="M1041">
        <v>0</v>
      </c>
      <c r="N1041" t="str">
        <f>IF(VALUE(M1041)=0,"",VLOOKUP(VLOOKUP(M1041,Tbl_Effect[],3,FALSE),EffectName[],IFERROR(MATCH(UI!$B$1,EffectName[#Headers],0),2),FALSE))</f>
        <v/>
      </c>
      <c r="O1041" t="str">
        <f t="shared" si="114"/>
        <v/>
      </c>
      <c r="P1041">
        <v>0</v>
      </c>
      <c r="Q1041" t="str">
        <f>IF(VALUE(P1041)=0,"",VLOOKUP(VLOOKUP(P1041,Tbl_Effect[],3,FALSE),EffectName[],IFERROR(MATCH(UI!$B$1,EffectName[#Headers],0),2),FALSE))</f>
        <v/>
      </c>
      <c r="R1041" t="str">
        <f t="shared" si="115"/>
        <v/>
      </c>
      <c r="S1041">
        <v>0</v>
      </c>
      <c r="T1041" t="str">
        <f>IF(VALUE(S1041)=0,"",VLOOKUP(VLOOKUP(S1041,Tbl_Effect[],3,FALSE),EffectName[],IFERROR(MATCH(UI!$B$1,EffectName[#Headers],0),2),FALSE))</f>
        <v/>
      </c>
      <c r="U1041" t="str">
        <f t="shared" si="116"/>
        <v/>
      </c>
      <c r="V1041">
        <v>0</v>
      </c>
      <c r="W1041" t="str">
        <f>IF(V1041&lt;&gt;0,VLOOKUP(VLOOKUP(V1041,Tbl_Effect[],3,FALSE),EffectName[],IFERROR(MATCH(UI!$B$1,EffectName[#Headers],0),2),FALSE),"")</f>
        <v/>
      </c>
      <c r="X1041" t="str">
        <f t="shared" si="117"/>
        <v/>
      </c>
      <c r="Y1041">
        <v>0</v>
      </c>
      <c r="Z1041" t="str">
        <f>IF(Y1041&lt;&gt;0,VLOOKUP(VLOOKUP(Y1041,Tbl_Effect[],3,FALSE),EffectName[],IFERROR(MATCH(UI!$B$1,EffectName[#Headers],0),2),FALSE),"")</f>
        <v/>
      </c>
      <c r="AA1041" t="str">
        <f t="shared" si="118"/>
        <v/>
      </c>
      <c r="AB1041">
        <v>0</v>
      </c>
      <c r="AC1041" t="str">
        <f>IF(AB1041&lt;&gt;0,VLOOKUP(VLOOKUP(AB1041,Tbl_Effect[],3,FALSE),EffectName[],IFERROR(MATCH(UI!$B$1,EffectName[#Headers],0),2),FALSE),"")</f>
        <v/>
      </c>
    </row>
    <row r="1042" spans="8:29" x14ac:dyDescent="0.4">
      <c r="H1042" t="str">
        <f t="shared" si="112"/>
        <v>6850800-Unset (紅)</v>
      </c>
      <c r="I1042">
        <v>6850800</v>
      </c>
      <c r="J1042" t="str">
        <f>_xlfn.IFNA(IF(I1042&lt;&gt;0,VLOOKUP(VLOOKUP(I1042,Tbl_Equip[],2,FALSE),Tbl_Color[],IFERROR(MATCH(UI!$B$1,Tbl_Color[#Headers],0),2),FALSE),""),"Unset")</f>
        <v>紅</v>
      </c>
      <c r="K1042" t="str">
        <f>_xlfn.IFNA(IF(I1042&lt;&gt;0,VLOOKUP(I1042,ItemText[],IFERROR(MATCH(UI!$B$1,ItemText[#Headers],0),2),FALSE),""),"Unset")</f>
        <v>Unset</v>
      </c>
      <c r="L1042" t="str">
        <f t="shared" si="113"/>
        <v/>
      </c>
      <c r="M1042">
        <v>0</v>
      </c>
      <c r="N1042" t="str">
        <f>IF(VALUE(M1042)=0,"",VLOOKUP(VLOOKUP(M1042,Tbl_Effect[],3,FALSE),EffectName[],IFERROR(MATCH(UI!$B$1,EffectName[#Headers],0),2),FALSE))</f>
        <v/>
      </c>
      <c r="O1042" t="str">
        <f t="shared" si="114"/>
        <v/>
      </c>
      <c r="P1042">
        <v>0</v>
      </c>
      <c r="Q1042" t="str">
        <f>IF(VALUE(P1042)=0,"",VLOOKUP(VLOOKUP(P1042,Tbl_Effect[],3,FALSE),EffectName[],IFERROR(MATCH(UI!$B$1,EffectName[#Headers],0),2),FALSE))</f>
        <v/>
      </c>
      <c r="R1042" t="str">
        <f t="shared" si="115"/>
        <v/>
      </c>
      <c r="S1042">
        <v>0</v>
      </c>
      <c r="T1042" t="str">
        <f>IF(VALUE(S1042)=0,"",VLOOKUP(VLOOKUP(S1042,Tbl_Effect[],3,FALSE),EffectName[],IFERROR(MATCH(UI!$B$1,EffectName[#Headers],0),2),FALSE))</f>
        <v/>
      </c>
      <c r="U1042" t="str">
        <f t="shared" si="116"/>
        <v/>
      </c>
      <c r="V1042">
        <v>0</v>
      </c>
      <c r="W1042" t="str">
        <f>IF(V1042&lt;&gt;0,VLOOKUP(VLOOKUP(V1042,Tbl_Effect[],3,FALSE),EffectName[],IFERROR(MATCH(UI!$B$1,EffectName[#Headers],0),2),FALSE),"")</f>
        <v/>
      </c>
      <c r="X1042" t="str">
        <f t="shared" si="117"/>
        <v/>
      </c>
      <c r="Y1042">
        <v>0</v>
      </c>
      <c r="Z1042" t="str">
        <f>IF(Y1042&lt;&gt;0,VLOOKUP(VLOOKUP(Y1042,Tbl_Effect[],3,FALSE),EffectName[],IFERROR(MATCH(UI!$B$1,EffectName[#Headers],0),2),FALSE),"")</f>
        <v/>
      </c>
      <c r="AA1042" t="str">
        <f t="shared" si="118"/>
        <v/>
      </c>
      <c r="AB1042">
        <v>0</v>
      </c>
      <c r="AC1042" t="str">
        <f>IF(AB1042&lt;&gt;0,VLOOKUP(VLOOKUP(AB1042,Tbl_Effect[],3,FALSE),EffectName[],IFERROR(MATCH(UI!$B$1,EffectName[#Headers],0),2),FALSE),"")</f>
        <v/>
      </c>
    </row>
    <row r="1043" spans="8:29" x14ac:dyDescent="0.4">
      <c r="H1043" t="str">
        <f t="shared" si="112"/>
        <v>6850900-Unset (紅)</v>
      </c>
      <c r="I1043">
        <v>6850900</v>
      </c>
      <c r="J1043" t="str">
        <f>_xlfn.IFNA(IF(I1043&lt;&gt;0,VLOOKUP(VLOOKUP(I1043,Tbl_Equip[],2,FALSE),Tbl_Color[],IFERROR(MATCH(UI!$B$1,Tbl_Color[#Headers],0),2),FALSE),""),"Unset")</f>
        <v>紅</v>
      </c>
      <c r="K1043" t="str">
        <f>_xlfn.IFNA(IF(I1043&lt;&gt;0,VLOOKUP(I1043,ItemText[],IFERROR(MATCH(UI!$B$1,ItemText[#Headers],0),2),FALSE),""),"Unset")</f>
        <v>Unset</v>
      </c>
      <c r="L1043" t="str">
        <f t="shared" si="113"/>
        <v/>
      </c>
      <c r="M1043">
        <v>0</v>
      </c>
      <c r="N1043" t="str">
        <f>IF(VALUE(M1043)=0,"",VLOOKUP(VLOOKUP(M1043,Tbl_Effect[],3,FALSE),EffectName[],IFERROR(MATCH(UI!$B$1,EffectName[#Headers],0),2),FALSE))</f>
        <v/>
      </c>
      <c r="O1043" t="str">
        <f t="shared" si="114"/>
        <v/>
      </c>
      <c r="P1043">
        <v>0</v>
      </c>
      <c r="Q1043" t="str">
        <f>IF(VALUE(P1043)=0,"",VLOOKUP(VLOOKUP(P1043,Tbl_Effect[],3,FALSE),EffectName[],IFERROR(MATCH(UI!$B$1,EffectName[#Headers],0),2),FALSE))</f>
        <v/>
      </c>
      <c r="R1043" t="str">
        <f t="shared" si="115"/>
        <v/>
      </c>
      <c r="S1043">
        <v>0</v>
      </c>
      <c r="T1043" t="str">
        <f>IF(VALUE(S1043)=0,"",VLOOKUP(VLOOKUP(S1043,Tbl_Effect[],3,FALSE),EffectName[],IFERROR(MATCH(UI!$B$1,EffectName[#Headers],0),2),FALSE))</f>
        <v/>
      </c>
      <c r="U1043" t="str">
        <f t="shared" si="116"/>
        <v/>
      </c>
      <c r="V1043">
        <v>0</v>
      </c>
      <c r="W1043" t="str">
        <f>IF(V1043&lt;&gt;0,VLOOKUP(VLOOKUP(V1043,Tbl_Effect[],3,FALSE),EffectName[],IFERROR(MATCH(UI!$B$1,EffectName[#Headers],0),2),FALSE),"")</f>
        <v/>
      </c>
      <c r="X1043" t="str">
        <f t="shared" si="117"/>
        <v/>
      </c>
      <c r="Y1043">
        <v>0</v>
      </c>
      <c r="Z1043" t="str">
        <f>IF(Y1043&lt;&gt;0,VLOOKUP(VLOOKUP(Y1043,Tbl_Effect[],3,FALSE),EffectName[],IFERROR(MATCH(UI!$B$1,EffectName[#Headers],0),2),FALSE),"")</f>
        <v/>
      </c>
      <c r="AA1043" t="str">
        <f t="shared" si="118"/>
        <v/>
      </c>
      <c r="AB1043">
        <v>0</v>
      </c>
      <c r="AC1043" t="str">
        <f>IF(AB1043&lt;&gt;0,VLOOKUP(VLOOKUP(AB1043,Tbl_Effect[],3,FALSE),EffectName[],IFERROR(MATCH(UI!$B$1,EffectName[#Headers],0),2),FALSE),"")</f>
        <v/>
      </c>
    </row>
    <row r="1044" spans="8:29" x14ac:dyDescent="0.4">
      <c r="H1044" t="str">
        <f t="shared" si="112"/>
        <v>6851200-Unset (紅)</v>
      </c>
      <c r="I1044">
        <v>6851200</v>
      </c>
      <c r="J1044" t="str">
        <f>_xlfn.IFNA(IF(I1044&lt;&gt;0,VLOOKUP(VLOOKUP(I1044,Tbl_Equip[],2,FALSE),Tbl_Color[],IFERROR(MATCH(UI!$B$1,Tbl_Color[#Headers],0),2),FALSE),""),"Unset")</f>
        <v>紅</v>
      </c>
      <c r="K1044" t="str">
        <f>_xlfn.IFNA(IF(I1044&lt;&gt;0,VLOOKUP(I1044,ItemText[],IFERROR(MATCH(UI!$B$1,ItemText[#Headers],0),2),FALSE),""),"Unset")</f>
        <v>Unset</v>
      </c>
      <c r="L1044" t="str">
        <f t="shared" si="113"/>
        <v/>
      </c>
      <c r="M1044">
        <v>0</v>
      </c>
      <c r="N1044" t="str">
        <f>IF(VALUE(M1044)=0,"",VLOOKUP(VLOOKUP(M1044,Tbl_Effect[],3,FALSE),EffectName[],IFERROR(MATCH(UI!$B$1,EffectName[#Headers],0),2),FALSE))</f>
        <v/>
      </c>
      <c r="O1044" t="str">
        <f t="shared" si="114"/>
        <v/>
      </c>
      <c r="P1044">
        <v>0</v>
      </c>
      <c r="Q1044" t="str">
        <f>IF(VALUE(P1044)=0,"",VLOOKUP(VLOOKUP(P1044,Tbl_Effect[],3,FALSE),EffectName[],IFERROR(MATCH(UI!$B$1,EffectName[#Headers],0),2),FALSE))</f>
        <v/>
      </c>
      <c r="R1044" t="str">
        <f t="shared" si="115"/>
        <v/>
      </c>
      <c r="S1044">
        <v>0</v>
      </c>
      <c r="T1044" t="str">
        <f>IF(VALUE(S1044)=0,"",VLOOKUP(VLOOKUP(S1044,Tbl_Effect[],3,FALSE),EffectName[],IFERROR(MATCH(UI!$B$1,EffectName[#Headers],0),2),FALSE))</f>
        <v/>
      </c>
      <c r="U1044" t="str">
        <f t="shared" si="116"/>
        <v/>
      </c>
      <c r="V1044">
        <v>0</v>
      </c>
      <c r="W1044" t="str">
        <f>IF(V1044&lt;&gt;0,VLOOKUP(VLOOKUP(V1044,Tbl_Effect[],3,FALSE),EffectName[],IFERROR(MATCH(UI!$B$1,EffectName[#Headers],0),2),FALSE),"")</f>
        <v/>
      </c>
      <c r="X1044" t="str">
        <f t="shared" si="117"/>
        <v/>
      </c>
      <c r="Y1044">
        <v>0</v>
      </c>
      <c r="Z1044" t="str">
        <f>IF(Y1044&lt;&gt;0,VLOOKUP(VLOOKUP(Y1044,Tbl_Effect[],3,FALSE),EffectName[],IFERROR(MATCH(UI!$B$1,EffectName[#Headers],0),2),FALSE),"")</f>
        <v/>
      </c>
      <c r="AA1044" t="str">
        <f t="shared" si="118"/>
        <v/>
      </c>
      <c r="AB1044">
        <v>0</v>
      </c>
      <c r="AC1044" t="str">
        <f>IF(AB1044&lt;&gt;0,VLOOKUP(VLOOKUP(AB1044,Tbl_Effect[],3,FALSE),EffectName[],IFERROR(MATCH(UI!$B$1,EffectName[#Headers],0),2),FALSE),"")</f>
        <v/>
      </c>
    </row>
    <row r="1045" spans="8:29" x14ac:dyDescent="0.4">
      <c r="H1045" t="str">
        <f t="shared" si="112"/>
        <v>6851300-Unset (紅)</v>
      </c>
      <c r="I1045">
        <v>6851300</v>
      </c>
      <c r="J1045" t="str">
        <f>_xlfn.IFNA(IF(I1045&lt;&gt;0,VLOOKUP(VLOOKUP(I1045,Tbl_Equip[],2,FALSE),Tbl_Color[],IFERROR(MATCH(UI!$B$1,Tbl_Color[#Headers],0),2),FALSE),""),"Unset")</f>
        <v>紅</v>
      </c>
      <c r="K1045" t="str">
        <f>_xlfn.IFNA(IF(I1045&lt;&gt;0,VLOOKUP(I1045,ItemText[],IFERROR(MATCH(UI!$B$1,ItemText[#Headers],0),2),FALSE),""),"Unset")</f>
        <v>Unset</v>
      </c>
      <c r="L1045" t="str">
        <f t="shared" si="113"/>
        <v/>
      </c>
      <c r="M1045">
        <v>0</v>
      </c>
      <c r="N1045" t="str">
        <f>IF(VALUE(M1045)=0,"",VLOOKUP(VLOOKUP(M1045,Tbl_Effect[],3,FALSE),EffectName[],IFERROR(MATCH(UI!$B$1,EffectName[#Headers],0),2),FALSE))</f>
        <v/>
      </c>
      <c r="O1045" t="str">
        <f t="shared" si="114"/>
        <v/>
      </c>
      <c r="P1045">
        <v>0</v>
      </c>
      <c r="Q1045" t="str">
        <f>IF(VALUE(P1045)=0,"",VLOOKUP(VLOOKUP(P1045,Tbl_Effect[],3,FALSE),EffectName[],IFERROR(MATCH(UI!$B$1,EffectName[#Headers],0),2),FALSE))</f>
        <v/>
      </c>
      <c r="R1045" t="str">
        <f t="shared" si="115"/>
        <v/>
      </c>
      <c r="S1045">
        <v>0</v>
      </c>
      <c r="T1045" t="str">
        <f>IF(VALUE(S1045)=0,"",VLOOKUP(VLOOKUP(S1045,Tbl_Effect[],3,FALSE),EffectName[],IFERROR(MATCH(UI!$B$1,EffectName[#Headers],0),2),FALSE))</f>
        <v/>
      </c>
      <c r="U1045" t="str">
        <f t="shared" si="116"/>
        <v/>
      </c>
      <c r="V1045">
        <v>0</v>
      </c>
      <c r="W1045" t="str">
        <f>IF(V1045&lt;&gt;0,VLOOKUP(VLOOKUP(V1045,Tbl_Effect[],3,FALSE),EffectName[],IFERROR(MATCH(UI!$B$1,EffectName[#Headers],0),2),FALSE),"")</f>
        <v/>
      </c>
      <c r="X1045" t="str">
        <f t="shared" si="117"/>
        <v/>
      </c>
      <c r="Y1045">
        <v>0</v>
      </c>
      <c r="Z1045" t="str">
        <f>IF(Y1045&lt;&gt;0,VLOOKUP(VLOOKUP(Y1045,Tbl_Effect[],3,FALSE),EffectName[],IFERROR(MATCH(UI!$B$1,EffectName[#Headers],0),2),FALSE),"")</f>
        <v/>
      </c>
      <c r="AA1045" t="str">
        <f t="shared" si="118"/>
        <v/>
      </c>
      <c r="AB1045">
        <v>0</v>
      </c>
      <c r="AC1045" t="str">
        <f>IF(AB1045&lt;&gt;0,VLOOKUP(VLOOKUP(AB1045,Tbl_Effect[],3,FALSE),EffectName[],IFERROR(MATCH(UI!$B$1,EffectName[#Headers],0),2),FALSE),"")</f>
        <v/>
      </c>
    </row>
    <row r="1046" spans="8:29" x14ac:dyDescent="0.4">
      <c r="H1046" t="str">
        <f t="shared" si="112"/>
        <v>6851400-Unset (紅)</v>
      </c>
      <c r="I1046">
        <v>6851400</v>
      </c>
      <c r="J1046" t="str">
        <f>_xlfn.IFNA(IF(I1046&lt;&gt;0,VLOOKUP(VLOOKUP(I1046,Tbl_Equip[],2,FALSE),Tbl_Color[],IFERROR(MATCH(UI!$B$1,Tbl_Color[#Headers],0),2),FALSE),""),"Unset")</f>
        <v>紅</v>
      </c>
      <c r="K1046" t="str">
        <f>_xlfn.IFNA(IF(I1046&lt;&gt;0,VLOOKUP(I1046,ItemText[],IFERROR(MATCH(UI!$B$1,ItemText[#Headers],0),2),FALSE),""),"Unset")</f>
        <v>Unset</v>
      </c>
      <c r="L1046" t="str">
        <f t="shared" si="113"/>
        <v/>
      </c>
      <c r="M1046">
        <v>0</v>
      </c>
      <c r="N1046" t="str">
        <f>IF(VALUE(M1046)=0,"",VLOOKUP(VLOOKUP(M1046,Tbl_Effect[],3,FALSE),EffectName[],IFERROR(MATCH(UI!$B$1,EffectName[#Headers],0),2),FALSE))</f>
        <v/>
      </c>
      <c r="O1046" t="str">
        <f t="shared" si="114"/>
        <v/>
      </c>
      <c r="P1046">
        <v>0</v>
      </c>
      <c r="Q1046" t="str">
        <f>IF(VALUE(P1046)=0,"",VLOOKUP(VLOOKUP(P1046,Tbl_Effect[],3,FALSE),EffectName[],IFERROR(MATCH(UI!$B$1,EffectName[#Headers],0),2),FALSE))</f>
        <v/>
      </c>
      <c r="R1046" t="str">
        <f t="shared" si="115"/>
        <v/>
      </c>
      <c r="S1046">
        <v>0</v>
      </c>
      <c r="T1046" t="str">
        <f>IF(VALUE(S1046)=0,"",VLOOKUP(VLOOKUP(S1046,Tbl_Effect[],3,FALSE),EffectName[],IFERROR(MATCH(UI!$B$1,EffectName[#Headers],0),2),FALSE))</f>
        <v/>
      </c>
      <c r="U1046" t="str">
        <f t="shared" si="116"/>
        <v/>
      </c>
      <c r="V1046">
        <v>0</v>
      </c>
      <c r="W1046" t="str">
        <f>IF(V1046&lt;&gt;0,VLOOKUP(VLOOKUP(V1046,Tbl_Effect[],3,FALSE),EffectName[],IFERROR(MATCH(UI!$B$1,EffectName[#Headers],0),2),FALSE),"")</f>
        <v/>
      </c>
      <c r="X1046" t="str">
        <f t="shared" si="117"/>
        <v/>
      </c>
      <c r="Y1046">
        <v>0</v>
      </c>
      <c r="Z1046" t="str">
        <f>IF(Y1046&lt;&gt;0,VLOOKUP(VLOOKUP(Y1046,Tbl_Effect[],3,FALSE),EffectName[],IFERROR(MATCH(UI!$B$1,EffectName[#Headers],0),2),FALSE),"")</f>
        <v/>
      </c>
      <c r="AA1046" t="str">
        <f t="shared" si="118"/>
        <v/>
      </c>
      <c r="AB1046">
        <v>0</v>
      </c>
      <c r="AC1046" t="str">
        <f>IF(AB1046&lt;&gt;0,VLOOKUP(VLOOKUP(AB1046,Tbl_Effect[],3,FALSE),EffectName[],IFERROR(MATCH(UI!$B$1,EffectName[#Headers],0),2),FALSE),"")</f>
        <v/>
      </c>
    </row>
    <row r="1047" spans="8:29" x14ac:dyDescent="0.4">
      <c r="H1047" t="str">
        <f t="shared" si="112"/>
        <v>6851700-Unset (紅)</v>
      </c>
      <c r="I1047">
        <v>6851700</v>
      </c>
      <c r="J1047" t="str">
        <f>_xlfn.IFNA(IF(I1047&lt;&gt;0,VLOOKUP(VLOOKUP(I1047,Tbl_Equip[],2,FALSE),Tbl_Color[],IFERROR(MATCH(UI!$B$1,Tbl_Color[#Headers],0),2),FALSE),""),"Unset")</f>
        <v>紅</v>
      </c>
      <c r="K1047" t="str">
        <f>_xlfn.IFNA(IF(I1047&lt;&gt;0,VLOOKUP(I1047,ItemText[],IFERROR(MATCH(UI!$B$1,ItemText[#Headers],0),2),FALSE),""),"Unset")</f>
        <v>Unset</v>
      </c>
      <c r="L1047" t="str">
        <f t="shared" si="113"/>
        <v/>
      </c>
      <c r="M1047">
        <v>0</v>
      </c>
      <c r="N1047" t="str">
        <f>IF(VALUE(M1047)=0,"",VLOOKUP(VLOOKUP(M1047,Tbl_Effect[],3,FALSE),EffectName[],IFERROR(MATCH(UI!$B$1,EffectName[#Headers],0),2),FALSE))</f>
        <v/>
      </c>
      <c r="O1047" t="str">
        <f t="shared" si="114"/>
        <v/>
      </c>
      <c r="P1047">
        <v>0</v>
      </c>
      <c r="Q1047" t="str">
        <f>IF(VALUE(P1047)=0,"",VLOOKUP(VLOOKUP(P1047,Tbl_Effect[],3,FALSE),EffectName[],IFERROR(MATCH(UI!$B$1,EffectName[#Headers],0),2),FALSE))</f>
        <v/>
      </c>
      <c r="R1047" t="str">
        <f t="shared" si="115"/>
        <v/>
      </c>
      <c r="S1047">
        <v>0</v>
      </c>
      <c r="T1047" t="str">
        <f>IF(VALUE(S1047)=0,"",VLOOKUP(VLOOKUP(S1047,Tbl_Effect[],3,FALSE),EffectName[],IFERROR(MATCH(UI!$B$1,EffectName[#Headers],0),2),FALSE))</f>
        <v/>
      </c>
      <c r="U1047" t="str">
        <f t="shared" si="116"/>
        <v/>
      </c>
      <c r="V1047">
        <v>0</v>
      </c>
      <c r="W1047" t="str">
        <f>IF(V1047&lt;&gt;0,VLOOKUP(VLOOKUP(V1047,Tbl_Effect[],3,FALSE),EffectName[],IFERROR(MATCH(UI!$B$1,EffectName[#Headers],0),2),FALSE),"")</f>
        <v/>
      </c>
      <c r="X1047" t="str">
        <f t="shared" si="117"/>
        <v/>
      </c>
      <c r="Y1047">
        <v>0</v>
      </c>
      <c r="Z1047" t="str">
        <f>IF(Y1047&lt;&gt;0,VLOOKUP(VLOOKUP(Y1047,Tbl_Effect[],3,FALSE),EffectName[],IFERROR(MATCH(UI!$B$1,EffectName[#Headers],0),2),FALSE),"")</f>
        <v/>
      </c>
      <c r="AA1047" t="str">
        <f t="shared" si="118"/>
        <v/>
      </c>
      <c r="AB1047">
        <v>0</v>
      </c>
      <c r="AC1047" t="str">
        <f>IF(AB1047&lt;&gt;0,VLOOKUP(VLOOKUP(AB1047,Tbl_Effect[],3,FALSE),EffectName[],IFERROR(MATCH(UI!$B$1,EffectName[#Headers],0),2),FALSE),"")</f>
        <v/>
      </c>
    </row>
    <row r="1048" spans="8:29" x14ac:dyDescent="0.4">
      <c r="H1048" t="str">
        <f t="shared" si="112"/>
        <v>7000000-Unset (紅)</v>
      </c>
      <c r="I1048">
        <v>7000000</v>
      </c>
      <c r="J1048" t="str">
        <f>_xlfn.IFNA(IF(I1048&lt;&gt;0,VLOOKUP(VLOOKUP(I1048,Tbl_Equip[],2,FALSE),Tbl_Color[],IFERROR(MATCH(UI!$B$1,Tbl_Color[#Headers],0),2),FALSE),""),"Unset")</f>
        <v>紅</v>
      </c>
      <c r="K1048" t="str">
        <f>_xlfn.IFNA(IF(I1048&lt;&gt;0,VLOOKUP(I1048,ItemText[],IFERROR(MATCH(UI!$B$1,ItemText[#Headers],0),2),FALSE),""),"Unset")</f>
        <v>Unset</v>
      </c>
      <c r="L1048" t="str">
        <f t="shared" si="113"/>
        <v/>
      </c>
      <c r="M1048">
        <v>0</v>
      </c>
      <c r="N1048" t="str">
        <f>IF(VALUE(M1048)=0,"",VLOOKUP(VLOOKUP(M1048,Tbl_Effect[],3,FALSE),EffectName[],IFERROR(MATCH(UI!$B$1,EffectName[#Headers],0),2),FALSE))</f>
        <v/>
      </c>
      <c r="O1048" t="str">
        <f t="shared" si="114"/>
        <v/>
      </c>
      <c r="P1048">
        <v>0</v>
      </c>
      <c r="Q1048" t="str">
        <f>IF(VALUE(P1048)=0,"",VLOOKUP(VLOOKUP(P1048,Tbl_Effect[],3,FALSE),EffectName[],IFERROR(MATCH(UI!$B$1,EffectName[#Headers],0),2),FALSE))</f>
        <v/>
      </c>
      <c r="R1048" t="str">
        <f t="shared" si="115"/>
        <v/>
      </c>
      <c r="S1048">
        <v>0</v>
      </c>
      <c r="T1048" t="str">
        <f>IF(VALUE(S1048)=0,"",VLOOKUP(VLOOKUP(S1048,Tbl_Effect[],3,FALSE),EffectName[],IFERROR(MATCH(UI!$B$1,EffectName[#Headers],0),2),FALSE))</f>
        <v/>
      </c>
      <c r="U1048" t="str">
        <f t="shared" si="116"/>
        <v/>
      </c>
      <c r="V1048">
        <v>0</v>
      </c>
      <c r="W1048" t="str">
        <f>IF(V1048&lt;&gt;0,VLOOKUP(VLOOKUP(V1048,Tbl_Effect[],3,FALSE),EffectName[],IFERROR(MATCH(UI!$B$1,EffectName[#Headers],0),2),FALSE),"")</f>
        <v/>
      </c>
      <c r="X1048" t="str">
        <f t="shared" si="117"/>
        <v/>
      </c>
      <c r="Y1048">
        <v>0</v>
      </c>
      <c r="Z1048" t="str">
        <f>IF(Y1048&lt;&gt;0,VLOOKUP(VLOOKUP(Y1048,Tbl_Effect[],3,FALSE),EffectName[],IFERROR(MATCH(UI!$B$1,EffectName[#Headers],0),2),FALSE),"")</f>
        <v/>
      </c>
      <c r="AA1048" t="str">
        <f t="shared" si="118"/>
        <v/>
      </c>
      <c r="AB1048">
        <v>0</v>
      </c>
      <c r="AC1048" t="str">
        <f>IF(AB1048&lt;&gt;0,VLOOKUP(VLOOKUP(AB1048,Tbl_Effect[],3,FALSE),EffectName[],IFERROR(MATCH(UI!$B$1,EffectName[#Headers],0),2),FALSE),"")</f>
        <v/>
      </c>
    </row>
    <row r="1049" spans="8:29" x14ac:dyDescent="0.4">
      <c r="H1049" t="str">
        <f t="shared" si="112"/>
        <v>7000001-Unset (紅)</v>
      </c>
      <c r="I1049">
        <v>7000001</v>
      </c>
      <c r="J1049" t="str">
        <f>_xlfn.IFNA(IF(I1049&lt;&gt;0,VLOOKUP(VLOOKUP(I1049,Tbl_Equip[],2,FALSE),Tbl_Color[],IFERROR(MATCH(UI!$B$1,Tbl_Color[#Headers],0),2),FALSE),""),"Unset")</f>
        <v>紅</v>
      </c>
      <c r="K1049" t="str">
        <f>_xlfn.IFNA(IF(I1049&lt;&gt;0,VLOOKUP(I1049,ItemText[],IFERROR(MATCH(UI!$B$1,ItemText[#Headers],0),2),FALSE),""),"Unset")</f>
        <v>Unset</v>
      </c>
      <c r="L1049" t="str">
        <f t="shared" si="113"/>
        <v/>
      </c>
      <c r="M1049">
        <v>0</v>
      </c>
      <c r="N1049" t="str">
        <f>IF(VALUE(M1049)=0,"",VLOOKUP(VLOOKUP(M1049,Tbl_Effect[],3,FALSE),EffectName[],IFERROR(MATCH(UI!$B$1,EffectName[#Headers],0),2),FALSE))</f>
        <v/>
      </c>
      <c r="O1049" t="str">
        <f t="shared" si="114"/>
        <v/>
      </c>
      <c r="P1049">
        <v>0</v>
      </c>
      <c r="Q1049" t="str">
        <f>IF(VALUE(P1049)=0,"",VLOOKUP(VLOOKUP(P1049,Tbl_Effect[],3,FALSE),EffectName[],IFERROR(MATCH(UI!$B$1,EffectName[#Headers],0),2),FALSE))</f>
        <v/>
      </c>
      <c r="R1049" t="str">
        <f t="shared" si="115"/>
        <v/>
      </c>
      <c r="S1049">
        <v>0</v>
      </c>
      <c r="T1049" t="str">
        <f>IF(VALUE(S1049)=0,"",VLOOKUP(VLOOKUP(S1049,Tbl_Effect[],3,FALSE),EffectName[],IFERROR(MATCH(UI!$B$1,EffectName[#Headers],0),2),FALSE))</f>
        <v/>
      </c>
      <c r="U1049" t="str">
        <f t="shared" si="116"/>
        <v/>
      </c>
      <c r="V1049">
        <v>0</v>
      </c>
      <c r="W1049" t="str">
        <f>IF(V1049&lt;&gt;0,VLOOKUP(VLOOKUP(V1049,Tbl_Effect[],3,FALSE),EffectName[],IFERROR(MATCH(UI!$B$1,EffectName[#Headers],0),2),FALSE),"")</f>
        <v/>
      </c>
      <c r="X1049" t="str">
        <f t="shared" si="117"/>
        <v/>
      </c>
      <c r="Y1049">
        <v>0</v>
      </c>
      <c r="Z1049" t="str">
        <f>IF(Y1049&lt;&gt;0,VLOOKUP(VLOOKUP(Y1049,Tbl_Effect[],3,FALSE),EffectName[],IFERROR(MATCH(UI!$B$1,EffectName[#Headers],0),2),FALSE),"")</f>
        <v/>
      </c>
      <c r="AA1049" t="str">
        <f t="shared" si="118"/>
        <v/>
      </c>
      <c r="AB1049">
        <v>0</v>
      </c>
      <c r="AC1049" t="str">
        <f>IF(AB1049&lt;&gt;0,VLOOKUP(VLOOKUP(AB1049,Tbl_Effect[],3,FALSE),EffectName[],IFERROR(MATCH(UI!$B$1,EffectName[#Headers],0),2),FALSE),"")</f>
        <v/>
      </c>
    </row>
    <row r="1050" spans="8:29" x14ac:dyDescent="0.4">
      <c r="H1050" t="str">
        <f t="shared" si="112"/>
        <v>7000002-Unset (紅)</v>
      </c>
      <c r="I1050">
        <v>7000002</v>
      </c>
      <c r="J1050" t="str">
        <f>_xlfn.IFNA(IF(I1050&lt;&gt;0,VLOOKUP(VLOOKUP(I1050,Tbl_Equip[],2,FALSE),Tbl_Color[],IFERROR(MATCH(UI!$B$1,Tbl_Color[#Headers],0),2),FALSE),""),"Unset")</f>
        <v>紅</v>
      </c>
      <c r="K1050" t="str">
        <f>_xlfn.IFNA(IF(I1050&lt;&gt;0,VLOOKUP(I1050,ItemText[],IFERROR(MATCH(UI!$B$1,ItemText[#Headers],0),2),FALSE),""),"Unset")</f>
        <v>Unset</v>
      </c>
      <c r="L1050" t="str">
        <f t="shared" si="113"/>
        <v/>
      </c>
      <c r="M1050">
        <v>0</v>
      </c>
      <c r="N1050" t="str">
        <f>IF(VALUE(M1050)=0,"",VLOOKUP(VLOOKUP(M1050,Tbl_Effect[],3,FALSE),EffectName[],IFERROR(MATCH(UI!$B$1,EffectName[#Headers],0),2),FALSE))</f>
        <v/>
      </c>
      <c r="O1050" t="str">
        <f t="shared" si="114"/>
        <v/>
      </c>
      <c r="P1050">
        <v>0</v>
      </c>
      <c r="Q1050" t="str">
        <f>IF(VALUE(P1050)=0,"",VLOOKUP(VLOOKUP(P1050,Tbl_Effect[],3,FALSE),EffectName[],IFERROR(MATCH(UI!$B$1,EffectName[#Headers],0),2),FALSE))</f>
        <v/>
      </c>
      <c r="R1050" t="str">
        <f t="shared" si="115"/>
        <v/>
      </c>
      <c r="S1050">
        <v>0</v>
      </c>
      <c r="T1050" t="str">
        <f>IF(VALUE(S1050)=0,"",VLOOKUP(VLOOKUP(S1050,Tbl_Effect[],3,FALSE),EffectName[],IFERROR(MATCH(UI!$B$1,EffectName[#Headers],0),2),FALSE))</f>
        <v/>
      </c>
      <c r="U1050" t="str">
        <f t="shared" si="116"/>
        <v/>
      </c>
      <c r="V1050">
        <v>0</v>
      </c>
      <c r="W1050" t="str">
        <f>IF(V1050&lt;&gt;0,VLOOKUP(VLOOKUP(V1050,Tbl_Effect[],3,FALSE),EffectName[],IFERROR(MATCH(UI!$B$1,EffectName[#Headers],0),2),FALSE),"")</f>
        <v/>
      </c>
      <c r="X1050" t="str">
        <f t="shared" si="117"/>
        <v/>
      </c>
      <c r="Y1050">
        <v>0</v>
      </c>
      <c r="Z1050" t="str">
        <f>IF(Y1050&lt;&gt;0,VLOOKUP(VLOOKUP(Y1050,Tbl_Effect[],3,FALSE),EffectName[],IFERROR(MATCH(UI!$B$1,EffectName[#Headers],0),2),FALSE),"")</f>
        <v/>
      </c>
      <c r="AA1050" t="str">
        <f t="shared" si="118"/>
        <v/>
      </c>
      <c r="AB1050">
        <v>0</v>
      </c>
      <c r="AC1050" t="str">
        <f>IF(AB1050&lt;&gt;0,VLOOKUP(VLOOKUP(AB1050,Tbl_Effect[],3,FALSE),EffectName[],IFERROR(MATCH(UI!$B$1,EffectName[#Headers],0),2),FALSE),"")</f>
        <v/>
      </c>
    </row>
    <row r="1051" spans="8:29" x14ac:dyDescent="0.4">
      <c r="H1051" t="str">
        <f t="shared" si="112"/>
        <v>7000090-Unset (紅)</v>
      </c>
      <c r="I1051">
        <v>7000090</v>
      </c>
      <c r="J1051" t="str">
        <f>_xlfn.IFNA(IF(I1051&lt;&gt;0,VLOOKUP(VLOOKUP(I1051,Tbl_Equip[],2,FALSE),Tbl_Color[],IFERROR(MATCH(UI!$B$1,Tbl_Color[#Headers],0),2),FALSE),""),"Unset")</f>
        <v>紅</v>
      </c>
      <c r="K1051" t="str">
        <f>_xlfn.IFNA(IF(I1051&lt;&gt;0,VLOOKUP(I1051,ItemText[],IFERROR(MATCH(UI!$B$1,ItemText[#Headers],0),2),FALSE),""),"Unset")</f>
        <v>Unset</v>
      </c>
      <c r="L1051" t="str">
        <f t="shared" si="113"/>
        <v/>
      </c>
      <c r="M1051">
        <v>0</v>
      </c>
      <c r="N1051" t="str">
        <f>IF(VALUE(M1051)=0,"",VLOOKUP(VLOOKUP(M1051,Tbl_Effect[],3,FALSE),EffectName[],IFERROR(MATCH(UI!$B$1,EffectName[#Headers],0),2),FALSE))</f>
        <v/>
      </c>
      <c r="O1051" t="str">
        <f t="shared" si="114"/>
        <v/>
      </c>
      <c r="P1051">
        <v>0</v>
      </c>
      <c r="Q1051" t="str">
        <f>IF(VALUE(P1051)=0,"",VLOOKUP(VLOOKUP(P1051,Tbl_Effect[],3,FALSE),EffectName[],IFERROR(MATCH(UI!$B$1,EffectName[#Headers],0),2),FALSE))</f>
        <v/>
      </c>
      <c r="R1051" t="str">
        <f t="shared" si="115"/>
        <v/>
      </c>
      <c r="S1051">
        <v>0</v>
      </c>
      <c r="T1051" t="str">
        <f>IF(VALUE(S1051)=0,"",VLOOKUP(VLOOKUP(S1051,Tbl_Effect[],3,FALSE),EffectName[],IFERROR(MATCH(UI!$B$1,EffectName[#Headers],0),2),FALSE))</f>
        <v/>
      </c>
      <c r="U1051" t="str">
        <f t="shared" si="116"/>
        <v/>
      </c>
      <c r="V1051">
        <v>0</v>
      </c>
      <c r="W1051" t="str">
        <f>IF(V1051&lt;&gt;0,VLOOKUP(VLOOKUP(V1051,Tbl_Effect[],3,FALSE),EffectName[],IFERROR(MATCH(UI!$B$1,EffectName[#Headers],0),2),FALSE),"")</f>
        <v/>
      </c>
      <c r="X1051" t="str">
        <f t="shared" si="117"/>
        <v/>
      </c>
      <c r="Y1051">
        <v>0</v>
      </c>
      <c r="Z1051" t="str">
        <f>IF(Y1051&lt;&gt;0,VLOOKUP(VLOOKUP(Y1051,Tbl_Effect[],3,FALSE),EffectName[],IFERROR(MATCH(UI!$B$1,EffectName[#Headers],0),2),FALSE),"")</f>
        <v/>
      </c>
      <c r="AA1051" t="str">
        <f t="shared" si="118"/>
        <v/>
      </c>
      <c r="AB1051">
        <v>0</v>
      </c>
      <c r="AC1051" t="str">
        <f>IF(AB1051&lt;&gt;0,VLOOKUP(VLOOKUP(AB1051,Tbl_Effect[],3,FALSE),EffectName[],IFERROR(MATCH(UI!$B$1,EffectName[#Headers],0),2),FALSE),"")</f>
        <v/>
      </c>
    </row>
    <row r="1052" spans="8:29" x14ac:dyDescent="0.4">
      <c r="H1052" t="str">
        <f t="shared" si="112"/>
        <v>7000100-Unset (紅)</v>
      </c>
      <c r="I1052">
        <v>7000100</v>
      </c>
      <c r="J1052" t="str">
        <f>_xlfn.IFNA(IF(I1052&lt;&gt;0,VLOOKUP(VLOOKUP(I1052,Tbl_Equip[],2,FALSE),Tbl_Color[],IFERROR(MATCH(UI!$B$1,Tbl_Color[#Headers],0),2),FALSE),""),"Unset")</f>
        <v>紅</v>
      </c>
      <c r="K1052" t="str">
        <f>_xlfn.IFNA(IF(I1052&lt;&gt;0,VLOOKUP(I1052,ItemText[],IFERROR(MATCH(UI!$B$1,ItemText[#Headers],0),2),FALSE),""),"Unset")</f>
        <v>Unset</v>
      </c>
      <c r="L1052" t="str">
        <f t="shared" si="113"/>
        <v/>
      </c>
      <c r="M1052">
        <v>0</v>
      </c>
      <c r="N1052" t="str">
        <f>IF(VALUE(M1052)=0,"",VLOOKUP(VLOOKUP(M1052,Tbl_Effect[],3,FALSE),EffectName[],IFERROR(MATCH(UI!$B$1,EffectName[#Headers],0),2),FALSE))</f>
        <v/>
      </c>
      <c r="O1052" t="str">
        <f t="shared" si="114"/>
        <v/>
      </c>
      <c r="P1052">
        <v>0</v>
      </c>
      <c r="Q1052" t="str">
        <f>IF(VALUE(P1052)=0,"",VLOOKUP(VLOOKUP(P1052,Tbl_Effect[],3,FALSE),EffectName[],IFERROR(MATCH(UI!$B$1,EffectName[#Headers],0),2),FALSE))</f>
        <v/>
      </c>
      <c r="R1052" t="str">
        <f t="shared" si="115"/>
        <v/>
      </c>
      <c r="S1052">
        <v>0</v>
      </c>
      <c r="T1052" t="str">
        <f>IF(VALUE(S1052)=0,"",VLOOKUP(VLOOKUP(S1052,Tbl_Effect[],3,FALSE),EffectName[],IFERROR(MATCH(UI!$B$1,EffectName[#Headers],0),2),FALSE))</f>
        <v/>
      </c>
      <c r="U1052" t="str">
        <f t="shared" si="116"/>
        <v/>
      </c>
      <c r="V1052">
        <v>0</v>
      </c>
      <c r="W1052" t="str">
        <f>IF(V1052&lt;&gt;0,VLOOKUP(VLOOKUP(V1052,Tbl_Effect[],3,FALSE),EffectName[],IFERROR(MATCH(UI!$B$1,EffectName[#Headers],0),2),FALSE),"")</f>
        <v/>
      </c>
      <c r="X1052" t="str">
        <f t="shared" si="117"/>
        <v/>
      </c>
      <c r="Y1052">
        <v>0</v>
      </c>
      <c r="Z1052" t="str">
        <f>IF(Y1052&lt;&gt;0,VLOOKUP(VLOOKUP(Y1052,Tbl_Effect[],3,FALSE),EffectName[],IFERROR(MATCH(UI!$B$1,EffectName[#Headers],0),2),FALSE),"")</f>
        <v/>
      </c>
      <c r="AA1052" t="str">
        <f t="shared" si="118"/>
        <v/>
      </c>
      <c r="AB1052">
        <v>0</v>
      </c>
      <c r="AC1052" t="str">
        <f>IF(AB1052&lt;&gt;0,VLOOKUP(VLOOKUP(AB1052,Tbl_Effect[],3,FALSE),EffectName[],IFERROR(MATCH(UI!$B$1,EffectName[#Headers],0),2),FALSE),"")</f>
        <v/>
      </c>
    </row>
    <row r="1053" spans="8:29" x14ac:dyDescent="0.4">
      <c r="H1053" t="str">
        <f t="shared" si="112"/>
        <v>7000101-Unset (紅)</v>
      </c>
      <c r="I1053">
        <v>7000101</v>
      </c>
      <c r="J1053" t="str">
        <f>_xlfn.IFNA(IF(I1053&lt;&gt;0,VLOOKUP(VLOOKUP(I1053,Tbl_Equip[],2,FALSE),Tbl_Color[],IFERROR(MATCH(UI!$B$1,Tbl_Color[#Headers],0),2),FALSE),""),"Unset")</f>
        <v>紅</v>
      </c>
      <c r="K1053" t="str">
        <f>_xlfn.IFNA(IF(I1053&lt;&gt;0,VLOOKUP(I1053,ItemText[],IFERROR(MATCH(UI!$B$1,ItemText[#Headers],0),2),FALSE),""),"Unset")</f>
        <v>Unset</v>
      </c>
      <c r="L1053" t="str">
        <f t="shared" si="113"/>
        <v/>
      </c>
      <c r="M1053">
        <v>0</v>
      </c>
      <c r="N1053" t="str">
        <f>IF(VALUE(M1053)=0,"",VLOOKUP(VLOOKUP(M1053,Tbl_Effect[],3,FALSE),EffectName[],IFERROR(MATCH(UI!$B$1,EffectName[#Headers],0),2),FALSE))</f>
        <v/>
      </c>
      <c r="O1053" t="str">
        <f t="shared" si="114"/>
        <v/>
      </c>
      <c r="P1053">
        <v>0</v>
      </c>
      <c r="Q1053" t="str">
        <f>IF(VALUE(P1053)=0,"",VLOOKUP(VLOOKUP(P1053,Tbl_Effect[],3,FALSE),EffectName[],IFERROR(MATCH(UI!$B$1,EffectName[#Headers],0),2),FALSE))</f>
        <v/>
      </c>
      <c r="R1053" t="str">
        <f t="shared" si="115"/>
        <v/>
      </c>
      <c r="S1053">
        <v>0</v>
      </c>
      <c r="T1053" t="str">
        <f>IF(VALUE(S1053)=0,"",VLOOKUP(VLOOKUP(S1053,Tbl_Effect[],3,FALSE),EffectName[],IFERROR(MATCH(UI!$B$1,EffectName[#Headers],0),2),FALSE))</f>
        <v/>
      </c>
      <c r="U1053" t="str">
        <f t="shared" si="116"/>
        <v/>
      </c>
      <c r="V1053">
        <v>0</v>
      </c>
      <c r="W1053" t="str">
        <f>IF(V1053&lt;&gt;0,VLOOKUP(VLOOKUP(V1053,Tbl_Effect[],3,FALSE),EffectName[],IFERROR(MATCH(UI!$B$1,EffectName[#Headers],0),2),FALSE),"")</f>
        <v/>
      </c>
      <c r="X1053" t="str">
        <f t="shared" si="117"/>
        <v/>
      </c>
      <c r="Y1053">
        <v>0</v>
      </c>
      <c r="Z1053" t="str">
        <f>IF(Y1053&lt;&gt;0,VLOOKUP(VLOOKUP(Y1053,Tbl_Effect[],3,FALSE),EffectName[],IFERROR(MATCH(UI!$B$1,EffectName[#Headers],0),2),FALSE),"")</f>
        <v/>
      </c>
      <c r="AA1053" t="str">
        <f t="shared" si="118"/>
        <v/>
      </c>
      <c r="AB1053">
        <v>0</v>
      </c>
      <c r="AC1053" t="str">
        <f>IF(AB1053&lt;&gt;0,VLOOKUP(VLOOKUP(AB1053,Tbl_Effect[],3,FALSE),EffectName[],IFERROR(MATCH(UI!$B$1,EffectName[#Headers],0),2),FALSE),"")</f>
        <v/>
      </c>
    </row>
    <row r="1054" spans="8:29" x14ac:dyDescent="0.4">
      <c r="H1054" t="str">
        <f t="shared" si="112"/>
        <v>7000102-Unset (紅)</v>
      </c>
      <c r="I1054">
        <v>7000102</v>
      </c>
      <c r="J1054" t="str">
        <f>_xlfn.IFNA(IF(I1054&lt;&gt;0,VLOOKUP(VLOOKUP(I1054,Tbl_Equip[],2,FALSE),Tbl_Color[],IFERROR(MATCH(UI!$B$1,Tbl_Color[#Headers],0),2),FALSE),""),"Unset")</f>
        <v>紅</v>
      </c>
      <c r="K1054" t="str">
        <f>_xlfn.IFNA(IF(I1054&lt;&gt;0,VLOOKUP(I1054,ItemText[],IFERROR(MATCH(UI!$B$1,ItemText[#Headers],0),2),FALSE),""),"Unset")</f>
        <v>Unset</v>
      </c>
      <c r="L1054" t="str">
        <f t="shared" si="113"/>
        <v/>
      </c>
      <c r="M1054">
        <v>0</v>
      </c>
      <c r="N1054" t="str">
        <f>IF(VALUE(M1054)=0,"",VLOOKUP(VLOOKUP(M1054,Tbl_Effect[],3,FALSE),EffectName[],IFERROR(MATCH(UI!$B$1,EffectName[#Headers],0),2),FALSE))</f>
        <v/>
      </c>
      <c r="O1054" t="str">
        <f t="shared" si="114"/>
        <v/>
      </c>
      <c r="P1054">
        <v>0</v>
      </c>
      <c r="Q1054" t="str">
        <f>IF(VALUE(P1054)=0,"",VLOOKUP(VLOOKUP(P1054,Tbl_Effect[],3,FALSE),EffectName[],IFERROR(MATCH(UI!$B$1,EffectName[#Headers],0),2),FALSE))</f>
        <v/>
      </c>
      <c r="R1054" t="str">
        <f t="shared" si="115"/>
        <v/>
      </c>
      <c r="S1054">
        <v>0</v>
      </c>
      <c r="T1054" t="str">
        <f>IF(VALUE(S1054)=0,"",VLOOKUP(VLOOKUP(S1054,Tbl_Effect[],3,FALSE),EffectName[],IFERROR(MATCH(UI!$B$1,EffectName[#Headers],0),2),FALSE))</f>
        <v/>
      </c>
      <c r="U1054" t="str">
        <f t="shared" si="116"/>
        <v/>
      </c>
      <c r="V1054">
        <v>0</v>
      </c>
      <c r="W1054" t="str">
        <f>IF(V1054&lt;&gt;0,VLOOKUP(VLOOKUP(V1054,Tbl_Effect[],3,FALSE),EffectName[],IFERROR(MATCH(UI!$B$1,EffectName[#Headers],0),2),FALSE),"")</f>
        <v/>
      </c>
      <c r="X1054" t="str">
        <f t="shared" si="117"/>
        <v/>
      </c>
      <c r="Y1054">
        <v>0</v>
      </c>
      <c r="Z1054" t="str">
        <f>IF(Y1054&lt;&gt;0,VLOOKUP(VLOOKUP(Y1054,Tbl_Effect[],3,FALSE),EffectName[],IFERROR(MATCH(UI!$B$1,EffectName[#Headers],0),2),FALSE),"")</f>
        <v/>
      </c>
      <c r="AA1054" t="str">
        <f t="shared" si="118"/>
        <v/>
      </c>
      <c r="AB1054">
        <v>0</v>
      </c>
      <c r="AC1054" t="str">
        <f>IF(AB1054&lt;&gt;0,VLOOKUP(VLOOKUP(AB1054,Tbl_Effect[],3,FALSE),EffectName[],IFERROR(MATCH(UI!$B$1,EffectName[#Headers],0),2),FALSE),"")</f>
        <v/>
      </c>
    </row>
    <row r="1055" spans="8:29" x14ac:dyDescent="0.4">
      <c r="H1055" t="str">
        <f t="shared" si="112"/>
        <v>7000190-Unset (紅)</v>
      </c>
      <c r="I1055">
        <v>7000190</v>
      </c>
      <c r="J1055" t="str">
        <f>_xlfn.IFNA(IF(I1055&lt;&gt;0,VLOOKUP(VLOOKUP(I1055,Tbl_Equip[],2,FALSE),Tbl_Color[],IFERROR(MATCH(UI!$B$1,Tbl_Color[#Headers],0),2),FALSE),""),"Unset")</f>
        <v>紅</v>
      </c>
      <c r="K1055" t="str">
        <f>_xlfn.IFNA(IF(I1055&lt;&gt;0,VLOOKUP(I1055,ItemText[],IFERROR(MATCH(UI!$B$1,ItemText[#Headers],0),2),FALSE),""),"Unset")</f>
        <v>Unset</v>
      </c>
      <c r="L1055" t="str">
        <f t="shared" si="113"/>
        <v/>
      </c>
      <c r="M1055">
        <v>0</v>
      </c>
      <c r="N1055" t="str">
        <f>IF(VALUE(M1055)=0,"",VLOOKUP(VLOOKUP(M1055,Tbl_Effect[],3,FALSE),EffectName[],IFERROR(MATCH(UI!$B$1,EffectName[#Headers],0),2),FALSE))</f>
        <v/>
      </c>
      <c r="O1055" t="str">
        <f t="shared" si="114"/>
        <v/>
      </c>
      <c r="P1055">
        <v>0</v>
      </c>
      <c r="Q1055" t="str">
        <f>IF(VALUE(P1055)=0,"",VLOOKUP(VLOOKUP(P1055,Tbl_Effect[],3,FALSE),EffectName[],IFERROR(MATCH(UI!$B$1,EffectName[#Headers],0),2),FALSE))</f>
        <v/>
      </c>
      <c r="R1055" t="str">
        <f t="shared" si="115"/>
        <v/>
      </c>
      <c r="S1055">
        <v>0</v>
      </c>
      <c r="T1055" t="str">
        <f>IF(VALUE(S1055)=0,"",VLOOKUP(VLOOKUP(S1055,Tbl_Effect[],3,FALSE),EffectName[],IFERROR(MATCH(UI!$B$1,EffectName[#Headers],0),2),FALSE))</f>
        <v/>
      </c>
      <c r="U1055" t="str">
        <f t="shared" si="116"/>
        <v/>
      </c>
      <c r="V1055">
        <v>0</v>
      </c>
      <c r="W1055" t="str">
        <f>IF(V1055&lt;&gt;0,VLOOKUP(VLOOKUP(V1055,Tbl_Effect[],3,FALSE),EffectName[],IFERROR(MATCH(UI!$B$1,EffectName[#Headers],0),2),FALSE),"")</f>
        <v/>
      </c>
      <c r="X1055" t="str">
        <f t="shared" si="117"/>
        <v/>
      </c>
      <c r="Y1055">
        <v>0</v>
      </c>
      <c r="Z1055" t="str">
        <f>IF(Y1055&lt;&gt;0,VLOOKUP(VLOOKUP(Y1055,Tbl_Effect[],3,FALSE),EffectName[],IFERROR(MATCH(UI!$B$1,EffectName[#Headers],0),2),FALSE),"")</f>
        <v/>
      </c>
      <c r="AA1055" t="str">
        <f t="shared" si="118"/>
        <v/>
      </c>
      <c r="AB1055">
        <v>0</v>
      </c>
      <c r="AC1055" t="str">
        <f>IF(AB1055&lt;&gt;0,VLOOKUP(VLOOKUP(AB1055,Tbl_Effect[],3,FALSE),EffectName[],IFERROR(MATCH(UI!$B$1,EffectName[#Headers],0),2),FALSE),"")</f>
        <v/>
      </c>
    </row>
    <row r="1056" spans="8:29" x14ac:dyDescent="0.4">
      <c r="H1056" t="str">
        <f t="shared" si="112"/>
        <v>7000200-Unset (紅)</v>
      </c>
      <c r="I1056">
        <v>7000200</v>
      </c>
      <c r="J1056" t="str">
        <f>_xlfn.IFNA(IF(I1056&lt;&gt;0,VLOOKUP(VLOOKUP(I1056,Tbl_Equip[],2,FALSE),Tbl_Color[],IFERROR(MATCH(UI!$B$1,Tbl_Color[#Headers],0),2),FALSE),""),"Unset")</f>
        <v>紅</v>
      </c>
      <c r="K1056" t="str">
        <f>_xlfn.IFNA(IF(I1056&lt;&gt;0,VLOOKUP(I1056,ItemText[],IFERROR(MATCH(UI!$B$1,ItemText[#Headers],0),2),FALSE),""),"Unset")</f>
        <v>Unset</v>
      </c>
      <c r="L1056" t="str">
        <f t="shared" si="113"/>
        <v/>
      </c>
      <c r="M1056">
        <v>0</v>
      </c>
      <c r="N1056" t="str">
        <f>IF(VALUE(M1056)=0,"",VLOOKUP(VLOOKUP(M1056,Tbl_Effect[],3,FALSE),EffectName[],IFERROR(MATCH(UI!$B$1,EffectName[#Headers],0),2),FALSE))</f>
        <v/>
      </c>
      <c r="O1056" t="str">
        <f t="shared" si="114"/>
        <v/>
      </c>
      <c r="P1056">
        <v>0</v>
      </c>
      <c r="Q1056" t="str">
        <f>IF(VALUE(P1056)=0,"",VLOOKUP(VLOOKUP(P1056,Tbl_Effect[],3,FALSE),EffectName[],IFERROR(MATCH(UI!$B$1,EffectName[#Headers],0),2),FALSE))</f>
        <v/>
      </c>
      <c r="R1056" t="str">
        <f t="shared" si="115"/>
        <v/>
      </c>
      <c r="S1056">
        <v>0</v>
      </c>
      <c r="T1056" t="str">
        <f>IF(VALUE(S1056)=0,"",VLOOKUP(VLOOKUP(S1056,Tbl_Effect[],3,FALSE),EffectName[],IFERROR(MATCH(UI!$B$1,EffectName[#Headers],0),2),FALSE))</f>
        <v/>
      </c>
      <c r="U1056" t="str">
        <f t="shared" si="116"/>
        <v/>
      </c>
      <c r="V1056">
        <v>0</v>
      </c>
      <c r="W1056" t="str">
        <f>IF(V1056&lt;&gt;0,VLOOKUP(VLOOKUP(V1056,Tbl_Effect[],3,FALSE),EffectName[],IFERROR(MATCH(UI!$B$1,EffectName[#Headers],0),2),FALSE),"")</f>
        <v/>
      </c>
      <c r="X1056" t="str">
        <f t="shared" si="117"/>
        <v/>
      </c>
      <c r="Y1056">
        <v>0</v>
      </c>
      <c r="Z1056" t="str">
        <f>IF(Y1056&lt;&gt;0,VLOOKUP(VLOOKUP(Y1056,Tbl_Effect[],3,FALSE),EffectName[],IFERROR(MATCH(UI!$B$1,EffectName[#Headers],0),2),FALSE),"")</f>
        <v/>
      </c>
      <c r="AA1056" t="str">
        <f t="shared" si="118"/>
        <v/>
      </c>
      <c r="AB1056">
        <v>0</v>
      </c>
      <c r="AC1056" t="str">
        <f>IF(AB1056&lt;&gt;0,VLOOKUP(VLOOKUP(AB1056,Tbl_Effect[],3,FALSE),EffectName[],IFERROR(MATCH(UI!$B$1,EffectName[#Headers],0),2),FALSE),"")</f>
        <v/>
      </c>
    </row>
    <row r="1057" spans="8:29" x14ac:dyDescent="0.4">
      <c r="H1057" t="str">
        <f t="shared" si="112"/>
        <v>7000201-Unset (紅)</v>
      </c>
      <c r="I1057">
        <v>7000201</v>
      </c>
      <c r="J1057" t="str">
        <f>_xlfn.IFNA(IF(I1057&lt;&gt;0,VLOOKUP(VLOOKUP(I1057,Tbl_Equip[],2,FALSE),Tbl_Color[],IFERROR(MATCH(UI!$B$1,Tbl_Color[#Headers],0),2),FALSE),""),"Unset")</f>
        <v>紅</v>
      </c>
      <c r="K1057" t="str">
        <f>_xlfn.IFNA(IF(I1057&lt;&gt;0,VLOOKUP(I1057,ItemText[],IFERROR(MATCH(UI!$B$1,ItemText[#Headers],0),2),FALSE),""),"Unset")</f>
        <v>Unset</v>
      </c>
      <c r="L1057" t="str">
        <f t="shared" si="113"/>
        <v/>
      </c>
      <c r="M1057">
        <v>0</v>
      </c>
      <c r="N1057" t="str">
        <f>IF(VALUE(M1057)=0,"",VLOOKUP(VLOOKUP(M1057,Tbl_Effect[],3,FALSE),EffectName[],IFERROR(MATCH(UI!$B$1,EffectName[#Headers],0),2),FALSE))</f>
        <v/>
      </c>
      <c r="O1057" t="str">
        <f t="shared" si="114"/>
        <v/>
      </c>
      <c r="P1057">
        <v>0</v>
      </c>
      <c r="Q1057" t="str">
        <f>IF(VALUE(P1057)=0,"",VLOOKUP(VLOOKUP(P1057,Tbl_Effect[],3,FALSE),EffectName[],IFERROR(MATCH(UI!$B$1,EffectName[#Headers],0),2),FALSE))</f>
        <v/>
      </c>
      <c r="R1057" t="str">
        <f t="shared" si="115"/>
        <v/>
      </c>
      <c r="S1057">
        <v>0</v>
      </c>
      <c r="T1057" t="str">
        <f>IF(VALUE(S1057)=0,"",VLOOKUP(VLOOKUP(S1057,Tbl_Effect[],3,FALSE),EffectName[],IFERROR(MATCH(UI!$B$1,EffectName[#Headers],0),2),FALSE))</f>
        <v/>
      </c>
      <c r="U1057" t="str">
        <f t="shared" si="116"/>
        <v/>
      </c>
      <c r="V1057">
        <v>0</v>
      </c>
      <c r="W1057" t="str">
        <f>IF(V1057&lt;&gt;0,VLOOKUP(VLOOKUP(V1057,Tbl_Effect[],3,FALSE),EffectName[],IFERROR(MATCH(UI!$B$1,EffectName[#Headers],0),2),FALSE),"")</f>
        <v/>
      </c>
      <c r="X1057" t="str">
        <f t="shared" si="117"/>
        <v/>
      </c>
      <c r="Y1057">
        <v>0</v>
      </c>
      <c r="Z1057" t="str">
        <f>IF(Y1057&lt;&gt;0,VLOOKUP(VLOOKUP(Y1057,Tbl_Effect[],3,FALSE),EffectName[],IFERROR(MATCH(UI!$B$1,EffectName[#Headers],0),2),FALSE),"")</f>
        <v/>
      </c>
      <c r="AA1057" t="str">
        <f t="shared" si="118"/>
        <v/>
      </c>
      <c r="AB1057">
        <v>0</v>
      </c>
      <c r="AC1057" t="str">
        <f>IF(AB1057&lt;&gt;0,VLOOKUP(VLOOKUP(AB1057,Tbl_Effect[],3,FALSE),EffectName[],IFERROR(MATCH(UI!$B$1,EffectName[#Headers],0),2),FALSE),"")</f>
        <v/>
      </c>
    </row>
    <row r="1058" spans="8:29" x14ac:dyDescent="0.4">
      <c r="H1058" t="str">
        <f t="shared" si="112"/>
        <v>7000202-Unset (紅)</v>
      </c>
      <c r="I1058">
        <v>7000202</v>
      </c>
      <c r="J1058" t="str">
        <f>_xlfn.IFNA(IF(I1058&lt;&gt;0,VLOOKUP(VLOOKUP(I1058,Tbl_Equip[],2,FALSE),Tbl_Color[],IFERROR(MATCH(UI!$B$1,Tbl_Color[#Headers],0),2),FALSE),""),"Unset")</f>
        <v>紅</v>
      </c>
      <c r="K1058" t="str">
        <f>_xlfn.IFNA(IF(I1058&lt;&gt;0,VLOOKUP(I1058,ItemText[],IFERROR(MATCH(UI!$B$1,ItemText[#Headers],0),2),FALSE),""),"Unset")</f>
        <v>Unset</v>
      </c>
      <c r="L1058" t="str">
        <f t="shared" si="113"/>
        <v/>
      </c>
      <c r="M1058">
        <v>0</v>
      </c>
      <c r="N1058" t="str">
        <f>IF(VALUE(M1058)=0,"",VLOOKUP(VLOOKUP(M1058,Tbl_Effect[],3,FALSE),EffectName[],IFERROR(MATCH(UI!$B$1,EffectName[#Headers],0),2),FALSE))</f>
        <v/>
      </c>
      <c r="O1058" t="str">
        <f t="shared" si="114"/>
        <v/>
      </c>
      <c r="P1058">
        <v>0</v>
      </c>
      <c r="Q1058" t="str">
        <f>IF(VALUE(P1058)=0,"",VLOOKUP(VLOOKUP(P1058,Tbl_Effect[],3,FALSE),EffectName[],IFERROR(MATCH(UI!$B$1,EffectName[#Headers],0),2),FALSE))</f>
        <v/>
      </c>
      <c r="R1058" t="str">
        <f t="shared" si="115"/>
        <v/>
      </c>
      <c r="S1058">
        <v>0</v>
      </c>
      <c r="T1058" t="str">
        <f>IF(VALUE(S1058)=0,"",VLOOKUP(VLOOKUP(S1058,Tbl_Effect[],3,FALSE),EffectName[],IFERROR(MATCH(UI!$B$1,EffectName[#Headers],0),2),FALSE))</f>
        <v/>
      </c>
      <c r="U1058" t="str">
        <f t="shared" si="116"/>
        <v/>
      </c>
      <c r="V1058">
        <v>0</v>
      </c>
      <c r="W1058" t="str">
        <f>IF(V1058&lt;&gt;0,VLOOKUP(VLOOKUP(V1058,Tbl_Effect[],3,FALSE),EffectName[],IFERROR(MATCH(UI!$B$1,EffectName[#Headers],0),2),FALSE),"")</f>
        <v/>
      </c>
      <c r="X1058" t="str">
        <f t="shared" si="117"/>
        <v/>
      </c>
      <c r="Y1058">
        <v>0</v>
      </c>
      <c r="Z1058" t="str">
        <f>IF(Y1058&lt;&gt;0,VLOOKUP(VLOOKUP(Y1058,Tbl_Effect[],3,FALSE),EffectName[],IFERROR(MATCH(UI!$B$1,EffectName[#Headers],0),2),FALSE),"")</f>
        <v/>
      </c>
      <c r="AA1058" t="str">
        <f t="shared" si="118"/>
        <v/>
      </c>
      <c r="AB1058">
        <v>0</v>
      </c>
      <c r="AC1058" t="str">
        <f>IF(AB1058&lt;&gt;0,VLOOKUP(VLOOKUP(AB1058,Tbl_Effect[],3,FALSE),EffectName[],IFERROR(MATCH(UI!$B$1,EffectName[#Headers],0),2),FALSE),"")</f>
        <v/>
      </c>
    </row>
    <row r="1059" spans="8:29" x14ac:dyDescent="0.4">
      <c r="H1059" t="str">
        <f t="shared" si="112"/>
        <v>7000290-Unset (紅)</v>
      </c>
      <c r="I1059">
        <v>7000290</v>
      </c>
      <c r="J1059" t="str">
        <f>_xlfn.IFNA(IF(I1059&lt;&gt;0,VLOOKUP(VLOOKUP(I1059,Tbl_Equip[],2,FALSE),Tbl_Color[],IFERROR(MATCH(UI!$B$1,Tbl_Color[#Headers],0),2),FALSE),""),"Unset")</f>
        <v>紅</v>
      </c>
      <c r="K1059" t="str">
        <f>_xlfn.IFNA(IF(I1059&lt;&gt;0,VLOOKUP(I1059,ItemText[],IFERROR(MATCH(UI!$B$1,ItemText[#Headers],0),2),FALSE),""),"Unset")</f>
        <v>Unset</v>
      </c>
      <c r="L1059" t="str">
        <f t="shared" si="113"/>
        <v/>
      </c>
      <c r="M1059">
        <v>0</v>
      </c>
      <c r="N1059" t="str">
        <f>IF(VALUE(M1059)=0,"",VLOOKUP(VLOOKUP(M1059,Tbl_Effect[],3,FALSE),EffectName[],IFERROR(MATCH(UI!$B$1,EffectName[#Headers],0),2),FALSE))</f>
        <v/>
      </c>
      <c r="O1059" t="str">
        <f t="shared" si="114"/>
        <v/>
      </c>
      <c r="P1059">
        <v>0</v>
      </c>
      <c r="Q1059" t="str">
        <f>IF(VALUE(P1059)=0,"",VLOOKUP(VLOOKUP(P1059,Tbl_Effect[],3,FALSE),EffectName[],IFERROR(MATCH(UI!$B$1,EffectName[#Headers],0),2),FALSE))</f>
        <v/>
      </c>
      <c r="R1059" t="str">
        <f t="shared" si="115"/>
        <v/>
      </c>
      <c r="S1059">
        <v>0</v>
      </c>
      <c r="T1059" t="str">
        <f>IF(VALUE(S1059)=0,"",VLOOKUP(VLOOKUP(S1059,Tbl_Effect[],3,FALSE),EffectName[],IFERROR(MATCH(UI!$B$1,EffectName[#Headers],0),2),FALSE))</f>
        <v/>
      </c>
      <c r="U1059" t="str">
        <f t="shared" si="116"/>
        <v/>
      </c>
      <c r="V1059">
        <v>0</v>
      </c>
      <c r="W1059" t="str">
        <f>IF(V1059&lt;&gt;0,VLOOKUP(VLOOKUP(V1059,Tbl_Effect[],3,FALSE),EffectName[],IFERROR(MATCH(UI!$B$1,EffectName[#Headers],0),2),FALSE),"")</f>
        <v/>
      </c>
      <c r="X1059" t="str">
        <f t="shared" si="117"/>
        <v/>
      </c>
      <c r="Y1059">
        <v>0</v>
      </c>
      <c r="Z1059" t="str">
        <f>IF(Y1059&lt;&gt;0,VLOOKUP(VLOOKUP(Y1059,Tbl_Effect[],3,FALSE),EffectName[],IFERROR(MATCH(UI!$B$1,EffectName[#Headers],0),2),FALSE),"")</f>
        <v/>
      </c>
      <c r="AA1059" t="str">
        <f t="shared" si="118"/>
        <v/>
      </c>
      <c r="AB1059">
        <v>0</v>
      </c>
      <c r="AC1059" t="str">
        <f>IF(AB1059&lt;&gt;0,VLOOKUP(VLOOKUP(AB1059,Tbl_Effect[],3,FALSE),EffectName[],IFERROR(MATCH(UI!$B$1,EffectName[#Headers],0),2),FALSE),"")</f>
        <v/>
      </c>
    </row>
    <row r="1060" spans="8:29" x14ac:dyDescent="0.4">
      <c r="H1060" t="str">
        <f t="shared" si="112"/>
        <v>7000300-Unset (紅)</v>
      </c>
      <c r="I1060">
        <v>7000300</v>
      </c>
      <c r="J1060" t="str">
        <f>_xlfn.IFNA(IF(I1060&lt;&gt;0,VLOOKUP(VLOOKUP(I1060,Tbl_Equip[],2,FALSE),Tbl_Color[],IFERROR(MATCH(UI!$B$1,Tbl_Color[#Headers],0),2),FALSE),""),"Unset")</f>
        <v>紅</v>
      </c>
      <c r="K1060" t="str">
        <f>_xlfn.IFNA(IF(I1060&lt;&gt;0,VLOOKUP(I1060,ItemText[],IFERROR(MATCH(UI!$B$1,ItemText[#Headers],0),2),FALSE),""),"Unset")</f>
        <v>Unset</v>
      </c>
      <c r="L1060" t="str">
        <f t="shared" si="113"/>
        <v/>
      </c>
      <c r="M1060">
        <v>0</v>
      </c>
      <c r="N1060" t="str">
        <f>IF(VALUE(M1060)=0,"",VLOOKUP(VLOOKUP(M1060,Tbl_Effect[],3,FALSE),EffectName[],IFERROR(MATCH(UI!$B$1,EffectName[#Headers],0),2),FALSE))</f>
        <v/>
      </c>
      <c r="O1060" t="str">
        <f t="shared" si="114"/>
        <v/>
      </c>
      <c r="P1060">
        <v>0</v>
      </c>
      <c r="Q1060" t="str">
        <f>IF(VALUE(P1060)=0,"",VLOOKUP(VLOOKUP(P1060,Tbl_Effect[],3,FALSE),EffectName[],IFERROR(MATCH(UI!$B$1,EffectName[#Headers],0),2),FALSE))</f>
        <v/>
      </c>
      <c r="R1060" t="str">
        <f t="shared" si="115"/>
        <v/>
      </c>
      <c r="S1060">
        <v>0</v>
      </c>
      <c r="T1060" t="str">
        <f>IF(VALUE(S1060)=0,"",VLOOKUP(VLOOKUP(S1060,Tbl_Effect[],3,FALSE),EffectName[],IFERROR(MATCH(UI!$B$1,EffectName[#Headers],0),2),FALSE))</f>
        <v/>
      </c>
      <c r="U1060" t="str">
        <f t="shared" si="116"/>
        <v/>
      </c>
      <c r="V1060">
        <v>0</v>
      </c>
      <c r="W1060" t="str">
        <f>IF(V1060&lt;&gt;0,VLOOKUP(VLOOKUP(V1060,Tbl_Effect[],3,FALSE),EffectName[],IFERROR(MATCH(UI!$B$1,EffectName[#Headers],0),2),FALSE),"")</f>
        <v/>
      </c>
      <c r="X1060" t="str">
        <f t="shared" si="117"/>
        <v/>
      </c>
      <c r="Y1060">
        <v>0</v>
      </c>
      <c r="Z1060" t="str">
        <f>IF(Y1060&lt;&gt;0,VLOOKUP(VLOOKUP(Y1060,Tbl_Effect[],3,FALSE),EffectName[],IFERROR(MATCH(UI!$B$1,EffectName[#Headers],0),2),FALSE),"")</f>
        <v/>
      </c>
      <c r="AA1060" t="str">
        <f t="shared" si="118"/>
        <v/>
      </c>
      <c r="AB1060">
        <v>0</v>
      </c>
      <c r="AC1060" t="str">
        <f>IF(AB1060&lt;&gt;0,VLOOKUP(VLOOKUP(AB1060,Tbl_Effect[],3,FALSE),EffectName[],IFERROR(MATCH(UI!$B$1,EffectName[#Headers],0),2),FALSE),"")</f>
        <v/>
      </c>
    </row>
    <row r="1061" spans="8:29" x14ac:dyDescent="0.4">
      <c r="H1061" t="str">
        <f t="shared" si="112"/>
        <v>7000301-Unset (紅)</v>
      </c>
      <c r="I1061">
        <v>7000301</v>
      </c>
      <c r="J1061" t="str">
        <f>_xlfn.IFNA(IF(I1061&lt;&gt;0,VLOOKUP(VLOOKUP(I1061,Tbl_Equip[],2,FALSE),Tbl_Color[],IFERROR(MATCH(UI!$B$1,Tbl_Color[#Headers],0),2),FALSE),""),"Unset")</f>
        <v>紅</v>
      </c>
      <c r="K1061" t="str">
        <f>_xlfn.IFNA(IF(I1061&lt;&gt;0,VLOOKUP(I1061,ItemText[],IFERROR(MATCH(UI!$B$1,ItemText[#Headers],0),2),FALSE),""),"Unset")</f>
        <v>Unset</v>
      </c>
      <c r="L1061" t="str">
        <f t="shared" si="113"/>
        <v/>
      </c>
      <c r="M1061">
        <v>0</v>
      </c>
      <c r="N1061" t="str">
        <f>IF(VALUE(M1061)=0,"",VLOOKUP(VLOOKUP(M1061,Tbl_Effect[],3,FALSE),EffectName[],IFERROR(MATCH(UI!$B$1,EffectName[#Headers],0),2),FALSE))</f>
        <v/>
      </c>
      <c r="O1061" t="str">
        <f t="shared" si="114"/>
        <v/>
      </c>
      <c r="P1061">
        <v>0</v>
      </c>
      <c r="Q1061" t="str">
        <f>IF(VALUE(P1061)=0,"",VLOOKUP(VLOOKUP(P1061,Tbl_Effect[],3,FALSE),EffectName[],IFERROR(MATCH(UI!$B$1,EffectName[#Headers],0),2),FALSE))</f>
        <v/>
      </c>
      <c r="R1061" t="str">
        <f t="shared" si="115"/>
        <v/>
      </c>
      <c r="S1061">
        <v>0</v>
      </c>
      <c r="T1061" t="str">
        <f>IF(VALUE(S1061)=0,"",VLOOKUP(VLOOKUP(S1061,Tbl_Effect[],3,FALSE),EffectName[],IFERROR(MATCH(UI!$B$1,EffectName[#Headers],0),2),FALSE))</f>
        <v/>
      </c>
      <c r="U1061" t="str">
        <f t="shared" si="116"/>
        <v/>
      </c>
      <c r="V1061">
        <v>0</v>
      </c>
      <c r="W1061" t="str">
        <f>IF(V1061&lt;&gt;0,VLOOKUP(VLOOKUP(V1061,Tbl_Effect[],3,FALSE),EffectName[],IFERROR(MATCH(UI!$B$1,EffectName[#Headers],0),2),FALSE),"")</f>
        <v/>
      </c>
      <c r="X1061" t="str">
        <f t="shared" si="117"/>
        <v/>
      </c>
      <c r="Y1061">
        <v>0</v>
      </c>
      <c r="Z1061" t="str">
        <f>IF(Y1061&lt;&gt;0,VLOOKUP(VLOOKUP(Y1061,Tbl_Effect[],3,FALSE),EffectName[],IFERROR(MATCH(UI!$B$1,EffectName[#Headers],0),2),FALSE),"")</f>
        <v/>
      </c>
      <c r="AA1061" t="str">
        <f t="shared" si="118"/>
        <v/>
      </c>
      <c r="AB1061">
        <v>0</v>
      </c>
      <c r="AC1061" t="str">
        <f>IF(AB1061&lt;&gt;0,VLOOKUP(VLOOKUP(AB1061,Tbl_Effect[],3,FALSE),EffectName[],IFERROR(MATCH(UI!$B$1,EffectName[#Headers],0),2),FALSE),"")</f>
        <v/>
      </c>
    </row>
    <row r="1062" spans="8:29" x14ac:dyDescent="0.4">
      <c r="H1062" t="str">
        <f t="shared" si="112"/>
        <v>7000302-Unset (紅)</v>
      </c>
      <c r="I1062">
        <v>7000302</v>
      </c>
      <c r="J1062" t="str">
        <f>_xlfn.IFNA(IF(I1062&lt;&gt;0,VLOOKUP(VLOOKUP(I1062,Tbl_Equip[],2,FALSE),Tbl_Color[],IFERROR(MATCH(UI!$B$1,Tbl_Color[#Headers],0),2),FALSE),""),"Unset")</f>
        <v>紅</v>
      </c>
      <c r="K1062" t="str">
        <f>_xlfn.IFNA(IF(I1062&lt;&gt;0,VLOOKUP(I1062,ItemText[],IFERROR(MATCH(UI!$B$1,ItemText[#Headers],0),2),FALSE),""),"Unset")</f>
        <v>Unset</v>
      </c>
      <c r="L1062" t="str">
        <f t="shared" si="113"/>
        <v/>
      </c>
      <c r="M1062">
        <v>0</v>
      </c>
      <c r="N1062" t="str">
        <f>IF(VALUE(M1062)=0,"",VLOOKUP(VLOOKUP(M1062,Tbl_Effect[],3,FALSE),EffectName[],IFERROR(MATCH(UI!$B$1,EffectName[#Headers],0),2),FALSE))</f>
        <v/>
      </c>
      <c r="O1062" t="str">
        <f t="shared" si="114"/>
        <v/>
      </c>
      <c r="P1062">
        <v>0</v>
      </c>
      <c r="Q1062" t="str">
        <f>IF(VALUE(P1062)=0,"",VLOOKUP(VLOOKUP(P1062,Tbl_Effect[],3,FALSE),EffectName[],IFERROR(MATCH(UI!$B$1,EffectName[#Headers],0),2),FALSE))</f>
        <v/>
      </c>
      <c r="R1062" t="str">
        <f t="shared" si="115"/>
        <v/>
      </c>
      <c r="S1062">
        <v>0</v>
      </c>
      <c r="T1062" t="str">
        <f>IF(VALUE(S1062)=0,"",VLOOKUP(VLOOKUP(S1062,Tbl_Effect[],3,FALSE),EffectName[],IFERROR(MATCH(UI!$B$1,EffectName[#Headers],0),2),FALSE))</f>
        <v/>
      </c>
      <c r="U1062" t="str">
        <f t="shared" si="116"/>
        <v/>
      </c>
      <c r="V1062">
        <v>0</v>
      </c>
      <c r="W1062" t="str">
        <f>IF(V1062&lt;&gt;0,VLOOKUP(VLOOKUP(V1062,Tbl_Effect[],3,FALSE),EffectName[],IFERROR(MATCH(UI!$B$1,EffectName[#Headers],0),2),FALSE),"")</f>
        <v/>
      </c>
      <c r="X1062" t="str">
        <f t="shared" si="117"/>
        <v/>
      </c>
      <c r="Y1062">
        <v>0</v>
      </c>
      <c r="Z1062" t="str">
        <f>IF(Y1062&lt;&gt;0,VLOOKUP(VLOOKUP(Y1062,Tbl_Effect[],3,FALSE),EffectName[],IFERROR(MATCH(UI!$B$1,EffectName[#Headers],0),2),FALSE),"")</f>
        <v/>
      </c>
      <c r="AA1062" t="str">
        <f t="shared" si="118"/>
        <v/>
      </c>
      <c r="AB1062">
        <v>0</v>
      </c>
      <c r="AC1062" t="str">
        <f>IF(AB1062&lt;&gt;0,VLOOKUP(VLOOKUP(AB1062,Tbl_Effect[],3,FALSE),EffectName[],IFERROR(MATCH(UI!$B$1,EffectName[#Headers],0),2),FALSE),"")</f>
        <v/>
      </c>
    </row>
    <row r="1063" spans="8:29" x14ac:dyDescent="0.4">
      <c r="H1063" t="str">
        <f t="shared" si="112"/>
        <v>7000400-Unset (紅)</v>
      </c>
      <c r="I1063">
        <v>7000400</v>
      </c>
      <c r="J1063" t="str">
        <f>_xlfn.IFNA(IF(I1063&lt;&gt;0,VLOOKUP(VLOOKUP(I1063,Tbl_Equip[],2,FALSE),Tbl_Color[],IFERROR(MATCH(UI!$B$1,Tbl_Color[#Headers],0),2),FALSE),""),"Unset")</f>
        <v>紅</v>
      </c>
      <c r="K1063" t="str">
        <f>_xlfn.IFNA(IF(I1063&lt;&gt;0,VLOOKUP(I1063,ItemText[],IFERROR(MATCH(UI!$B$1,ItemText[#Headers],0),2),FALSE),""),"Unset")</f>
        <v>Unset</v>
      </c>
      <c r="L1063" t="str">
        <f t="shared" si="113"/>
        <v/>
      </c>
      <c r="M1063">
        <v>0</v>
      </c>
      <c r="N1063" t="str">
        <f>IF(VALUE(M1063)=0,"",VLOOKUP(VLOOKUP(M1063,Tbl_Effect[],3,FALSE),EffectName[],IFERROR(MATCH(UI!$B$1,EffectName[#Headers],0),2),FALSE))</f>
        <v/>
      </c>
      <c r="O1063" t="str">
        <f t="shared" si="114"/>
        <v/>
      </c>
      <c r="P1063">
        <v>0</v>
      </c>
      <c r="Q1063" t="str">
        <f>IF(VALUE(P1063)=0,"",VLOOKUP(VLOOKUP(P1063,Tbl_Effect[],3,FALSE),EffectName[],IFERROR(MATCH(UI!$B$1,EffectName[#Headers],0),2),FALSE))</f>
        <v/>
      </c>
      <c r="R1063" t="str">
        <f t="shared" si="115"/>
        <v/>
      </c>
      <c r="S1063">
        <v>0</v>
      </c>
      <c r="T1063" t="str">
        <f>IF(VALUE(S1063)=0,"",VLOOKUP(VLOOKUP(S1063,Tbl_Effect[],3,FALSE),EffectName[],IFERROR(MATCH(UI!$B$1,EffectName[#Headers],0),2),FALSE))</f>
        <v/>
      </c>
      <c r="U1063" t="str">
        <f t="shared" si="116"/>
        <v/>
      </c>
      <c r="V1063">
        <v>0</v>
      </c>
      <c r="W1063" t="str">
        <f>IF(V1063&lt;&gt;0,VLOOKUP(VLOOKUP(V1063,Tbl_Effect[],3,FALSE),EffectName[],IFERROR(MATCH(UI!$B$1,EffectName[#Headers],0),2),FALSE),"")</f>
        <v/>
      </c>
      <c r="X1063" t="str">
        <f t="shared" si="117"/>
        <v/>
      </c>
      <c r="Y1063">
        <v>0</v>
      </c>
      <c r="Z1063" t="str">
        <f>IF(Y1063&lt;&gt;0,VLOOKUP(VLOOKUP(Y1063,Tbl_Effect[],3,FALSE),EffectName[],IFERROR(MATCH(UI!$B$1,EffectName[#Headers],0),2),FALSE),"")</f>
        <v/>
      </c>
      <c r="AA1063" t="str">
        <f t="shared" si="118"/>
        <v/>
      </c>
      <c r="AB1063">
        <v>0</v>
      </c>
      <c r="AC1063" t="str">
        <f>IF(AB1063&lt;&gt;0,VLOOKUP(VLOOKUP(AB1063,Tbl_Effect[],3,FALSE),EffectName[],IFERROR(MATCH(UI!$B$1,EffectName[#Headers],0),2),FALSE),"")</f>
        <v/>
      </c>
    </row>
    <row r="1064" spans="8:29" x14ac:dyDescent="0.4">
      <c r="H1064" t="str">
        <f t="shared" si="112"/>
        <v>7000401-Unset (紅)</v>
      </c>
      <c r="I1064">
        <v>7000401</v>
      </c>
      <c r="J1064" t="str">
        <f>_xlfn.IFNA(IF(I1064&lt;&gt;0,VLOOKUP(VLOOKUP(I1064,Tbl_Equip[],2,FALSE),Tbl_Color[],IFERROR(MATCH(UI!$B$1,Tbl_Color[#Headers],0),2),FALSE),""),"Unset")</f>
        <v>紅</v>
      </c>
      <c r="K1064" t="str">
        <f>_xlfn.IFNA(IF(I1064&lt;&gt;0,VLOOKUP(I1064,ItemText[],IFERROR(MATCH(UI!$B$1,ItemText[#Headers],0),2),FALSE),""),"Unset")</f>
        <v>Unset</v>
      </c>
      <c r="L1064" t="str">
        <f t="shared" si="113"/>
        <v/>
      </c>
      <c r="M1064">
        <v>0</v>
      </c>
      <c r="N1064" t="str">
        <f>IF(VALUE(M1064)=0,"",VLOOKUP(VLOOKUP(M1064,Tbl_Effect[],3,FALSE),EffectName[],IFERROR(MATCH(UI!$B$1,EffectName[#Headers],0),2),FALSE))</f>
        <v/>
      </c>
      <c r="O1064" t="str">
        <f t="shared" si="114"/>
        <v/>
      </c>
      <c r="P1064">
        <v>0</v>
      </c>
      <c r="Q1064" t="str">
        <f>IF(VALUE(P1064)=0,"",VLOOKUP(VLOOKUP(P1064,Tbl_Effect[],3,FALSE),EffectName[],IFERROR(MATCH(UI!$B$1,EffectName[#Headers],0),2),FALSE))</f>
        <v/>
      </c>
      <c r="R1064" t="str">
        <f t="shared" si="115"/>
        <v/>
      </c>
      <c r="S1064">
        <v>0</v>
      </c>
      <c r="T1064" t="str">
        <f>IF(VALUE(S1064)=0,"",VLOOKUP(VLOOKUP(S1064,Tbl_Effect[],3,FALSE),EffectName[],IFERROR(MATCH(UI!$B$1,EffectName[#Headers],0),2),FALSE))</f>
        <v/>
      </c>
      <c r="U1064" t="str">
        <f t="shared" si="116"/>
        <v/>
      </c>
      <c r="V1064">
        <v>0</v>
      </c>
      <c r="W1064" t="str">
        <f>IF(V1064&lt;&gt;0,VLOOKUP(VLOOKUP(V1064,Tbl_Effect[],3,FALSE),EffectName[],IFERROR(MATCH(UI!$B$1,EffectName[#Headers],0),2),FALSE),"")</f>
        <v/>
      </c>
      <c r="X1064" t="str">
        <f t="shared" si="117"/>
        <v/>
      </c>
      <c r="Y1064">
        <v>0</v>
      </c>
      <c r="Z1064" t="str">
        <f>IF(Y1064&lt;&gt;0,VLOOKUP(VLOOKUP(Y1064,Tbl_Effect[],3,FALSE),EffectName[],IFERROR(MATCH(UI!$B$1,EffectName[#Headers],0),2),FALSE),"")</f>
        <v/>
      </c>
      <c r="AA1064" t="str">
        <f t="shared" si="118"/>
        <v/>
      </c>
      <c r="AB1064">
        <v>0</v>
      </c>
      <c r="AC1064" t="str">
        <f>IF(AB1064&lt;&gt;0,VLOOKUP(VLOOKUP(AB1064,Tbl_Effect[],3,FALSE),EffectName[],IFERROR(MATCH(UI!$B$1,EffectName[#Headers],0),2),FALSE),"")</f>
        <v/>
      </c>
    </row>
    <row r="1065" spans="8:29" x14ac:dyDescent="0.4">
      <c r="H1065" t="str">
        <f t="shared" si="112"/>
        <v>7000402-Unset (紅)</v>
      </c>
      <c r="I1065">
        <v>7000402</v>
      </c>
      <c r="J1065" t="str">
        <f>_xlfn.IFNA(IF(I1065&lt;&gt;0,VLOOKUP(VLOOKUP(I1065,Tbl_Equip[],2,FALSE),Tbl_Color[],IFERROR(MATCH(UI!$B$1,Tbl_Color[#Headers],0),2),FALSE),""),"Unset")</f>
        <v>紅</v>
      </c>
      <c r="K1065" t="str">
        <f>_xlfn.IFNA(IF(I1065&lt;&gt;0,VLOOKUP(I1065,ItemText[],IFERROR(MATCH(UI!$B$1,ItemText[#Headers],0),2),FALSE),""),"Unset")</f>
        <v>Unset</v>
      </c>
      <c r="L1065" t="str">
        <f t="shared" si="113"/>
        <v/>
      </c>
      <c r="M1065">
        <v>0</v>
      </c>
      <c r="N1065" t="str">
        <f>IF(VALUE(M1065)=0,"",VLOOKUP(VLOOKUP(M1065,Tbl_Effect[],3,FALSE),EffectName[],IFERROR(MATCH(UI!$B$1,EffectName[#Headers],0),2),FALSE))</f>
        <v/>
      </c>
      <c r="O1065" t="str">
        <f t="shared" si="114"/>
        <v/>
      </c>
      <c r="P1065">
        <v>0</v>
      </c>
      <c r="Q1065" t="str">
        <f>IF(VALUE(P1065)=0,"",VLOOKUP(VLOOKUP(P1065,Tbl_Effect[],3,FALSE),EffectName[],IFERROR(MATCH(UI!$B$1,EffectName[#Headers],0),2),FALSE))</f>
        <v/>
      </c>
      <c r="R1065" t="str">
        <f t="shared" si="115"/>
        <v/>
      </c>
      <c r="S1065">
        <v>0</v>
      </c>
      <c r="T1065" t="str">
        <f>IF(VALUE(S1065)=0,"",VLOOKUP(VLOOKUP(S1065,Tbl_Effect[],3,FALSE),EffectName[],IFERROR(MATCH(UI!$B$1,EffectName[#Headers],0),2),FALSE))</f>
        <v/>
      </c>
      <c r="U1065" t="str">
        <f t="shared" si="116"/>
        <v/>
      </c>
      <c r="V1065">
        <v>0</v>
      </c>
      <c r="W1065" t="str">
        <f>IF(V1065&lt;&gt;0,VLOOKUP(VLOOKUP(V1065,Tbl_Effect[],3,FALSE),EffectName[],IFERROR(MATCH(UI!$B$1,EffectName[#Headers],0),2),FALSE),"")</f>
        <v/>
      </c>
      <c r="X1065" t="str">
        <f t="shared" si="117"/>
        <v/>
      </c>
      <c r="Y1065">
        <v>0</v>
      </c>
      <c r="Z1065" t="str">
        <f>IF(Y1065&lt;&gt;0,VLOOKUP(VLOOKUP(Y1065,Tbl_Effect[],3,FALSE),EffectName[],IFERROR(MATCH(UI!$B$1,EffectName[#Headers],0),2),FALSE),"")</f>
        <v/>
      </c>
      <c r="AA1065" t="str">
        <f t="shared" si="118"/>
        <v/>
      </c>
      <c r="AB1065">
        <v>0</v>
      </c>
      <c r="AC1065" t="str">
        <f>IF(AB1065&lt;&gt;0,VLOOKUP(VLOOKUP(AB1065,Tbl_Effect[],3,FALSE),EffectName[],IFERROR(MATCH(UI!$B$1,EffectName[#Headers],0),2),FALSE),"")</f>
        <v/>
      </c>
    </row>
    <row r="1066" spans="8:29" x14ac:dyDescent="0.4">
      <c r="H1066" t="str">
        <f t="shared" si="112"/>
        <v>7000500-Unset (紅)</v>
      </c>
      <c r="I1066">
        <v>7000500</v>
      </c>
      <c r="J1066" t="str">
        <f>_xlfn.IFNA(IF(I1066&lt;&gt;0,VLOOKUP(VLOOKUP(I1066,Tbl_Equip[],2,FALSE),Tbl_Color[],IFERROR(MATCH(UI!$B$1,Tbl_Color[#Headers],0),2),FALSE),""),"Unset")</f>
        <v>紅</v>
      </c>
      <c r="K1066" t="str">
        <f>_xlfn.IFNA(IF(I1066&lt;&gt;0,VLOOKUP(I1066,ItemText[],IFERROR(MATCH(UI!$B$1,ItemText[#Headers],0),2),FALSE),""),"Unset")</f>
        <v>Unset</v>
      </c>
      <c r="L1066" t="str">
        <f t="shared" si="113"/>
        <v/>
      </c>
      <c r="M1066">
        <v>0</v>
      </c>
      <c r="N1066" t="str">
        <f>IF(VALUE(M1066)=0,"",VLOOKUP(VLOOKUP(M1066,Tbl_Effect[],3,FALSE),EffectName[],IFERROR(MATCH(UI!$B$1,EffectName[#Headers],0),2),FALSE))</f>
        <v/>
      </c>
      <c r="O1066" t="str">
        <f t="shared" si="114"/>
        <v/>
      </c>
      <c r="P1066">
        <v>0</v>
      </c>
      <c r="Q1066" t="str">
        <f>IF(VALUE(P1066)=0,"",VLOOKUP(VLOOKUP(P1066,Tbl_Effect[],3,FALSE),EffectName[],IFERROR(MATCH(UI!$B$1,EffectName[#Headers],0),2),FALSE))</f>
        <v/>
      </c>
      <c r="R1066" t="str">
        <f t="shared" si="115"/>
        <v/>
      </c>
      <c r="S1066">
        <v>0</v>
      </c>
      <c r="T1066" t="str">
        <f>IF(VALUE(S1066)=0,"",VLOOKUP(VLOOKUP(S1066,Tbl_Effect[],3,FALSE),EffectName[],IFERROR(MATCH(UI!$B$1,EffectName[#Headers],0),2),FALSE))</f>
        <v/>
      </c>
      <c r="U1066" t="str">
        <f t="shared" si="116"/>
        <v/>
      </c>
      <c r="V1066">
        <v>0</v>
      </c>
      <c r="W1066" t="str">
        <f>IF(V1066&lt;&gt;0,VLOOKUP(VLOOKUP(V1066,Tbl_Effect[],3,FALSE),EffectName[],IFERROR(MATCH(UI!$B$1,EffectName[#Headers],0),2),FALSE),"")</f>
        <v/>
      </c>
      <c r="X1066" t="str">
        <f t="shared" si="117"/>
        <v/>
      </c>
      <c r="Y1066">
        <v>0</v>
      </c>
      <c r="Z1066" t="str">
        <f>IF(Y1066&lt;&gt;0,VLOOKUP(VLOOKUP(Y1066,Tbl_Effect[],3,FALSE),EffectName[],IFERROR(MATCH(UI!$B$1,EffectName[#Headers],0),2),FALSE),"")</f>
        <v/>
      </c>
      <c r="AA1066" t="str">
        <f t="shared" si="118"/>
        <v/>
      </c>
      <c r="AB1066">
        <v>0</v>
      </c>
      <c r="AC1066" t="str">
        <f>IF(AB1066&lt;&gt;0,VLOOKUP(VLOOKUP(AB1066,Tbl_Effect[],3,FALSE),EffectName[],IFERROR(MATCH(UI!$B$1,EffectName[#Headers],0),2),FALSE),"")</f>
        <v/>
      </c>
    </row>
    <row r="1067" spans="8:29" x14ac:dyDescent="0.4">
      <c r="H1067" t="str">
        <f t="shared" si="112"/>
        <v>7000501-Unset (紅)</v>
      </c>
      <c r="I1067">
        <v>7000501</v>
      </c>
      <c r="J1067" t="str">
        <f>_xlfn.IFNA(IF(I1067&lt;&gt;0,VLOOKUP(VLOOKUP(I1067,Tbl_Equip[],2,FALSE),Tbl_Color[],IFERROR(MATCH(UI!$B$1,Tbl_Color[#Headers],0),2),FALSE),""),"Unset")</f>
        <v>紅</v>
      </c>
      <c r="K1067" t="str">
        <f>_xlfn.IFNA(IF(I1067&lt;&gt;0,VLOOKUP(I1067,ItemText[],IFERROR(MATCH(UI!$B$1,ItemText[#Headers],0),2),FALSE),""),"Unset")</f>
        <v>Unset</v>
      </c>
      <c r="L1067" t="str">
        <f t="shared" si="113"/>
        <v/>
      </c>
      <c r="M1067">
        <v>0</v>
      </c>
      <c r="N1067" t="str">
        <f>IF(VALUE(M1067)=0,"",VLOOKUP(VLOOKUP(M1067,Tbl_Effect[],3,FALSE),EffectName[],IFERROR(MATCH(UI!$B$1,EffectName[#Headers],0),2),FALSE))</f>
        <v/>
      </c>
      <c r="O1067" t="str">
        <f t="shared" si="114"/>
        <v/>
      </c>
      <c r="P1067">
        <v>0</v>
      </c>
      <c r="Q1067" t="str">
        <f>IF(VALUE(P1067)=0,"",VLOOKUP(VLOOKUP(P1067,Tbl_Effect[],3,FALSE),EffectName[],IFERROR(MATCH(UI!$B$1,EffectName[#Headers],0),2),FALSE))</f>
        <v/>
      </c>
      <c r="R1067" t="str">
        <f t="shared" si="115"/>
        <v/>
      </c>
      <c r="S1067">
        <v>0</v>
      </c>
      <c r="T1067" t="str">
        <f>IF(VALUE(S1067)=0,"",VLOOKUP(VLOOKUP(S1067,Tbl_Effect[],3,FALSE),EffectName[],IFERROR(MATCH(UI!$B$1,EffectName[#Headers],0),2),FALSE))</f>
        <v/>
      </c>
      <c r="U1067" t="str">
        <f t="shared" si="116"/>
        <v/>
      </c>
      <c r="V1067">
        <v>0</v>
      </c>
      <c r="W1067" t="str">
        <f>IF(V1067&lt;&gt;0,VLOOKUP(VLOOKUP(V1067,Tbl_Effect[],3,FALSE),EffectName[],IFERROR(MATCH(UI!$B$1,EffectName[#Headers],0),2),FALSE),"")</f>
        <v/>
      </c>
      <c r="X1067" t="str">
        <f t="shared" si="117"/>
        <v/>
      </c>
      <c r="Y1067">
        <v>0</v>
      </c>
      <c r="Z1067" t="str">
        <f>IF(Y1067&lt;&gt;0,VLOOKUP(VLOOKUP(Y1067,Tbl_Effect[],3,FALSE),EffectName[],IFERROR(MATCH(UI!$B$1,EffectName[#Headers],0),2),FALSE),"")</f>
        <v/>
      </c>
      <c r="AA1067" t="str">
        <f t="shared" si="118"/>
        <v/>
      </c>
      <c r="AB1067">
        <v>0</v>
      </c>
      <c r="AC1067" t="str">
        <f>IF(AB1067&lt;&gt;0,VLOOKUP(VLOOKUP(AB1067,Tbl_Effect[],3,FALSE),EffectName[],IFERROR(MATCH(UI!$B$1,EffectName[#Headers],0),2),FALSE),"")</f>
        <v/>
      </c>
    </row>
    <row r="1068" spans="8:29" x14ac:dyDescent="0.4">
      <c r="H1068" t="str">
        <f t="shared" si="112"/>
        <v>7000502-Unset (紅)</v>
      </c>
      <c r="I1068">
        <v>7000502</v>
      </c>
      <c r="J1068" t="str">
        <f>_xlfn.IFNA(IF(I1068&lt;&gt;0,VLOOKUP(VLOOKUP(I1068,Tbl_Equip[],2,FALSE),Tbl_Color[],IFERROR(MATCH(UI!$B$1,Tbl_Color[#Headers],0),2),FALSE),""),"Unset")</f>
        <v>紅</v>
      </c>
      <c r="K1068" t="str">
        <f>_xlfn.IFNA(IF(I1068&lt;&gt;0,VLOOKUP(I1068,ItemText[],IFERROR(MATCH(UI!$B$1,ItemText[#Headers],0),2),FALSE),""),"Unset")</f>
        <v>Unset</v>
      </c>
      <c r="L1068" t="str">
        <f t="shared" si="113"/>
        <v/>
      </c>
      <c r="M1068">
        <v>0</v>
      </c>
      <c r="N1068" t="str">
        <f>IF(VALUE(M1068)=0,"",VLOOKUP(VLOOKUP(M1068,Tbl_Effect[],3,FALSE),EffectName[],IFERROR(MATCH(UI!$B$1,EffectName[#Headers],0),2),FALSE))</f>
        <v/>
      </c>
      <c r="O1068" t="str">
        <f t="shared" si="114"/>
        <v/>
      </c>
      <c r="P1068">
        <v>0</v>
      </c>
      <c r="Q1068" t="str">
        <f>IF(VALUE(P1068)=0,"",VLOOKUP(VLOOKUP(P1068,Tbl_Effect[],3,FALSE),EffectName[],IFERROR(MATCH(UI!$B$1,EffectName[#Headers],0),2),FALSE))</f>
        <v/>
      </c>
      <c r="R1068" t="str">
        <f t="shared" si="115"/>
        <v/>
      </c>
      <c r="S1068">
        <v>0</v>
      </c>
      <c r="T1068" t="str">
        <f>IF(VALUE(S1068)=0,"",VLOOKUP(VLOOKUP(S1068,Tbl_Effect[],3,FALSE),EffectName[],IFERROR(MATCH(UI!$B$1,EffectName[#Headers],0),2),FALSE))</f>
        <v/>
      </c>
      <c r="U1068" t="str">
        <f t="shared" si="116"/>
        <v/>
      </c>
      <c r="V1068">
        <v>0</v>
      </c>
      <c r="W1068" t="str">
        <f>IF(V1068&lt;&gt;0,VLOOKUP(VLOOKUP(V1068,Tbl_Effect[],3,FALSE),EffectName[],IFERROR(MATCH(UI!$B$1,EffectName[#Headers],0),2),FALSE),"")</f>
        <v/>
      </c>
      <c r="X1068" t="str">
        <f t="shared" si="117"/>
        <v/>
      </c>
      <c r="Y1068">
        <v>0</v>
      </c>
      <c r="Z1068" t="str">
        <f>IF(Y1068&lt;&gt;0,VLOOKUP(VLOOKUP(Y1068,Tbl_Effect[],3,FALSE),EffectName[],IFERROR(MATCH(UI!$B$1,EffectName[#Headers],0),2),FALSE),"")</f>
        <v/>
      </c>
      <c r="AA1068" t="str">
        <f t="shared" si="118"/>
        <v/>
      </c>
      <c r="AB1068">
        <v>0</v>
      </c>
      <c r="AC1068" t="str">
        <f>IF(AB1068&lt;&gt;0,VLOOKUP(VLOOKUP(AB1068,Tbl_Effect[],3,FALSE),EffectName[],IFERROR(MATCH(UI!$B$1,EffectName[#Headers],0),2),FALSE),"")</f>
        <v/>
      </c>
    </row>
    <row r="1069" spans="8:29" x14ac:dyDescent="0.4">
      <c r="H1069" t="str">
        <f t="shared" si="112"/>
        <v>7000600-Unset (紅)</v>
      </c>
      <c r="I1069">
        <v>7000600</v>
      </c>
      <c r="J1069" t="str">
        <f>_xlfn.IFNA(IF(I1069&lt;&gt;0,VLOOKUP(VLOOKUP(I1069,Tbl_Equip[],2,FALSE),Tbl_Color[],IFERROR(MATCH(UI!$B$1,Tbl_Color[#Headers],0),2),FALSE),""),"Unset")</f>
        <v>紅</v>
      </c>
      <c r="K1069" t="str">
        <f>_xlfn.IFNA(IF(I1069&lt;&gt;0,VLOOKUP(I1069,ItemText[],IFERROR(MATCH(UI!$B$1,ItemText[#Headers],0),2),FALSE),""),"Unset")</f>
        <v>Unset</v>
      </c>
      <c r="L1069" t="str">
        <f t="shared" si="113"/>
        <v/>
      </c>
      <c r="M1069">
        <v>0</v>
      </c>
      <c r="N1069" t="str">
        <f>IF(VALUE(M1069)=0,"",VLOOKUP(VLOOKUP(M1069,Tbl_Effect[],3,FALSE),EffectName[],IFERROR(MATCH(UI!$B$1,EffectName[#Headers],0),2),FALSE))</f>
        <v/>
      </c>
      <c r="O1069" t="str">
        <f t="shared" si="114"/>
        <v/>
      </c>
      <c r="P1069">
        <v>0</v>
      </c>
      <c r="Q1069" t="str">
        <f>IF(VALUE(P1069)=0,"",VLOOKUP(VLOOKUP(P1069,Tbl_Effect[],3,FALSE),EffectName[],IFERROR(MATCH(UI!$B$1,EffectName[#Headers],0),2),FALSE))</f>
        <v/>
      </c>
      <c r="R1069" t="str">
        <f t="shared" si="115"/>
        <v/>
      </c>
      <c r="S1069">
        <v>0</v>
      </c>
      <c r="T1069" t="str">
        <f>IF(VALUE(S1069)=0,"",VLOOKUP(VLOOKUP(S1069,Tbl_Effect[],3,FALSE),EffectName[],IFERROR(MATCH(UI!$B$1,EffectName[#Headers],0),2),FALSE))</f>
        <v/>
      </c>
      <c r="U1069" t="str">
        <f t="shared" si="116"/>
        <v/>
      </c>
      <c r="V1069">
        <v>0</v>
      </c>
      <c r="W1069" t="str">
        <f>IF(V1069&lt;&gt;0,VLOOKUP(VLOOKUP(V1069,Tbl_Effect[],3,FALSE),EffectName[],IFERROR(MATCH(UI!$B$1,EffectName[#Headers],0),2),FALSE),"")</f>
        <v/>
      </c>
      <c r="X1069" t="str">
        <f t="shared" si="117"/>
        <v/>
      </c>
      <c r="Y1069">
        <v>0</v>
      </c>
      <c r="Z1069" t="str">
        <f>IF(Y1069&lt;&gt;0,VLOOKUP(VLOOKUP(Y1069,Tbl_Effect[],3,FALSE),EffectName[],IFERROR(MATCH(UI!$B$1,EffectName[#Headers],0),2),FALSE),"")</f>
        <v/>
      </c>
      <c r="AA1069" t="str">
        <f t="shared" si="118"/>
        <v/>
      </c>
      <c r="AB1069">
        <v>0</v>
      </c>
      <c r="AC1069" t="str">
        <f>IF(AB1069&lt;&gt;0,VLOOKUP(VLOOKUP(AB1069,Tbl_Effect[],3,FALSE),EffectName[],IFERROR(MATCH(UI!$B$1,EffectName[#Headers],0),2),FALSE),"")</f>
        <v/>
      </c>
    </row>
    <row r="1070" spans="8:29" x14ac:dyDescent="0.4">
      <c r="H1070" t="str">
        <f t="shared" si="112"/>
        <v>7000601-Unset (紅)</v>
      </c>
      <c r="I1070">
        <v>7000601</v>
      </c>
      <c r="J1070" t="str">
        <f>_xlfn.IFNA(IF(I1070&lt;&gt;0,VLOOKUP(VLOOKUP(I1070,Tbl_Equip[],2,FALSE),Tbl_Color[],IFERROR(MATCH(UI!$B$1,Tbl_Color[#Headers],0),2),FALSE),""),"Unset")</f>
        <v>紅</v>
      </c>
      <c r="K1070" t="str">
        <f>_xlfn.IFNA(IF(I1070&lt;&gt;0,VLOOKUP(I1070,ItemText[],IFERROR(MATCH(UI!$B$1,ItemText[#Headers],0),2),FALSE),""),"Unset")</f>
        <v>Unset</v>
      </c>
      <c r="L1070" t="str">
        <f t="shared" si="113"/>
        <v/>
      </c>
      <c r="M1070">
        <v>0</v>
      </c>
      <c r="N1070" t="str">
        <f>IF(VALUE(M1070)=0,"",VLOOKUP(VLOOKUP(M1070,Tbl_Effect[],3,FALSE),EffectName[],IFERROR(MATCH(UI!$B$1,EffectName[#Headers],0),2),FALSE))</f>
        <v/>
      </c>
      <c r="O1070" t="str">
        <f t="shared" si="114"/>
        <v/>
      </c>
      <c r="P1070">
        <v>0</v>
      </c>
      <c r="Q1070" t="str">
        <f>IF(VALUE(P1070)=0,"",VLOOKUP(VLOOKUP(P1070,Tbl_Effect[],3,FALSE),EffectName[],IFERROR(MATCH(UI!$B$1,EffectName[#Headers],0),2),FALSE))</f>
        <v/>
      </c>
      <c r="R1070" t="str">
        <f t="shared" si="115"/>
        <v/>
      </c>
      <c r="S1070">
        <v>0</v>
      </c>
      <c r="T1070" t="str">
        <f>IF(VALUE(S1070)=0,"",VLOOKUP(VLOOKUP(S1070,Tbl_Effect[],3,FALSE),EffectName[],IFERROR(MATCH(UI!$B$1,EffectName[#Headers],0),2),FALSE))</f>
        <v/>
      </c>
      <c r="U1070" t="str">
        <f t="shared" si="116"/>
        <v/>
      </c>
      <c r="V1070">
        <v>0</v>
      </c>
      <c r="W1070" t="str">
        <f>IF(V1070&lt;&gt;0,VLOOKUP(VLOOKUP(V1070,Tbl_Effect[],3,FALSE),EffectName[],IFERROR(MATCH(UI!$B$1,EffectName[#Headers],0),2),FALSE),"")</f>
        <v/>
      </c>
      <c r="X1070" t="str">
        <f t="shared" si="117"/>
        <v/>
      </c>
      <c r="Y1070">
        <v>0</v>
      </c>
      <c r="Z1070" t="str">
        <f>IF(Y1070&lt;&gt;0,VLOOKUP(VLOOKUP(Y1070,Tbl_Effect[],3,FALSE),EffectName[],IFERROR(MATCH(UI!$B$1,EffectName[#Headers],0),2),FALSE),"")</f>
        <v/>
      </c>
      <c r="AA1070" t="str">
        <f t="shared" si="118"/>
        <v/>
      </c>
      <c r="AB1070">
        <v>0</v>
      </c>
      <c r="AC1070" t="str">
        <f>IF(AB1070&lt;&gt;0,VLOOKUP(VLOOKUP(AB1070,Tbl_Effect[],3,FALSE),EffectName[],IFERROR(MATCH(UI!$B$1,EffectName[#Headers],0),2),FALSE),"")</f>
        <v/>
      </c>
    </row>
    <row r="1071" spans="8:29" x14ac:dyDescent="0.4">
      <c r="H1071" t="str">
        <f t="shared" si="112"/>
        <v>7000602-Unset (紅)</v>
      </c>
      <c r="I1071">
        <v>7000602</v>
      </c>
      <c r="J1071" t="str">
        <f>_xlfn.IFNA(IF(I1071&lt;&gt;0,VLOOKUP(VLOOKUP(I1071,Tbl_Equip[],2,FALSE),Tbl_Color[],IFERROR(MATCH(UI!$B$1,Tbl_Color[#Headers],0),2),FALSE),""),"Unset")</f>
        <v>紅</v>
      </c>
      <c r="K1071" t="str">
        <f>_xlfn.IFNA(IF(I1071&lt;&gt;0,VLOOKUP(I1071,ItemText[],IFERROR(MATCH(UI!$B$1,ItemText[#Headers],0),2),FALSE),""),"Unset")</f>
        <v>Unset</v>
      </c>
      <c r="L1071" t="str">
        <f t="shared" si="113"/>
        <v/>
      </c>
      <c r="M1071">
        <v>0</v>
      </c>
      <c r="N1071" t="str">
        <f>IF(VALUE(M1071)=0,"",VLOOKUP(VLOOKUP(M1071,Tbl_Effect[],3,FALSE),EffectName[],IFERROR(MATCH(UI!$B$1,EffectName[#Headers],0),2),FALSE))</f>
        <v/>
      </c>
      <c r="O1071" t="str">
        <f t="shared" si="114"/>
        <v/>
      </c>
      <c r="P1071">
        <v>0</v>
      </c>
      <c r="Q1071" t="str">
        <f>IF(VALUE(P1071)=0,"",VLOOKUP(VLOOKUP(P1071,Tbl_Effect[],3,FALSE),EffectName[],IFERROR(MATCH(UI!$B$1,EffectName[#Headers],0),2),FALSE))</f>
        <v/>
      </c>
      <c r="R1071" t="str">
        <f t="shared" si="115"/>
        <v/>
      </c>
      <c r="S1071">
        <v>0</v>
      </c>
      <c r="T1071" t="str">
        <f>IF(VALUE(S1071)=0,"",VLOOKUP(VLOOKUP(S1071,Tbl_Effect[],3,FALSE),EffectName[],IFERROR(MATCH(UI!$B$1,EffectName[#Headers],0),2),FALSE))</f>
        <v/>
      </c>
      <c r="U1071" t="str">
        <f t="shared" si="116"/>
        <v/>
      </c>
      <c r="V1071">
        <v>0</v>
      </c>
      <c r="W1071" t="str">
        <f>IF(V1071&lt;&gt;0,VLOOKUP(VLOOKUP(V1071,Tbl_Effect[],3,FALSE),EffectName[],IFERROR(MATCH(UI!$B$1,EffectName[#Headers],0),2),FALSE),"")</f>
        <v/>
      </c>
      <c r="X1071" t="str">
        <f t="shared" si="117"/>
        <v/>
      </c>
      <c r="Y1071">
        <v>0</v>
      </c>
      <c r="Z1071" t="str">
        <f>IF(Y1071&lt;&gt;0,VLOOKUP(VLOOKUP(Y1071,Tbl_Effect[],3,FALSE),EffectName[],IFERROR(MATCH(UI!$B$1,EffectName[#Headers],0),2),FALSE),"")</f>
        <v/>
      </c>
      <c r="AA1071" t="str">
        <f t="shared" si="118"/>
        <v/>
      </c>
      <c r="AB1071">
        <v>0</v>
      </c>
      <c r="AC1071" t="str">
        <f>IF(AB1071&lt;&gt;0,VLOOKUP(VLOOKUP(AB1071,Tbl_Effect[],3,FALSE),EffectName[],IFERROR(MATCH(UI!$B$1,EffectName[#Headers],0),2),FALSE),"")</f>
        <v/>
      </c>
    </row>
    <row r="1072" spans="8:29" x14ac:dyDescent="0.4">
      <c r="H1072" t="str">
        <f t="shared" si="112"/>
        <v>7000700-Unset (紅)</v>
      </c>
      <c r="I1072">
        <v>7000700</v>
      </c>
      <c r="J1072" t="str">
        <f>_xlfn.IFNA(IF(I1072&lt;&gt;0,VLOOKUP(VLOOKUP(I1072,Tbl_Equip[],2,FALSE),Tbl_Color[],IFERROR(MATCH(UI!$B$1,Tbl_Color[#Headers],0),2),FALSE),""),"Unset")</f>
        <v>紅</v>
      </c>
      <c r="K1072" t="str">
        <f>_xlfn.IFNA(IF(I1072&lt;&gt;0,VLOOKUP(I1072,ItemText[],IFERROR(MATCH(UI!$B$1,ItemText[#Headers],0),2),FALSE),""),"Unset")</f>
        <v>Unset</v>
      </c>
      <c r="L1072" t="str">
        <f t="shared" si="113"/>
        <v/>
      </c>
      <c r="M1072">
        <v>0</v>
      </c>
      <c r="N1072" t="str">
        <f>IF(VALUE(M1072)=0,"",VLOOKUP(VLOOKUP(M1072,Tbl_Effect[],3,FALSE),EffectName[],IFERROR(MATCH(UI!$B$1,EffectName[#Headers],0),2),FALSE))</f>
        <v/>
      </c>
      <c r="O1072" t="str">
        <f t="shared" si="114"/>
        <v/>
      </c>
      <c r="P1072">
        <v>0</v>
      </c>
      <c r="Q1072" t="str">
        <f>IF(VALUE(P1072)=0,"",VLOOKUP(VLOOKUP(P1072,Tbl_Effect[],3,FALSE),EffectName[],IFERROR(MATCH(UI!$B$1,EffectName[#Headers],0),2),FALSE))</f>
        <v/>
      </c>
      <c r="R1072" t="str">
        <f t="shared" si="115"/>
        <v/>
      </c>
      <c r="S1072">
        <v>0</v>
      </c>
      <c r="T1072" t="str">
        <f>IF(VALUE(S1072)=0,"",VLOOKUP(VLOOKUP(S1072,Tbl_Effect[],3,FALSE),EffectName[],IFERROR(MATCH(UI!$B$1,EffectName[#Headers],0),2),FALSE))</f>
        <v/>
      </c>
      <c r="U1072" t="str">
        <f t="shared" si="116"/>
        <v/>
      </c>
      <c r="V1072">
        <v>0</v>
      </c>
      <c r="W1072" t="str">
        <f>IF(V1072&lt;&gt;0,VLOOKUP(VLOOKUP(V1072,Tbl_Effect[],3,FALSE),EffectName[],IFERROR(MATCH(UI!$B$1,EffectName[#Headers],0),2),FALSE),"")</f>
        <v/>
      </c>
      <c r="X1072" t="str">
        <f t="shared" si="117"/>
        <v/>
      </c>
      <c r="Y1072">
        <v>0</v>
      </c>
      <c r="Z1072" t="str">
        <f>IF(Y1072&lt;&gt;0,VLOOKUP(VLOOKUP(Y1072,Tbl_Effect[],3,FALSE),EffectName[],IFERROR(MATCH(UI!$B$1,EffectName[#Headers],0),2),FALSE),"")</f>
        <v/>
      </c>
      <c r="AA1072" t="str">
        <f t="shared" si="118"/>
        <v/>
      </c>
      <c r="AB1072">
        <v>0</v>
      </c>
      <c r="AC1072" t="str">
        <f>IF(AB1072&lt;&gt;0,VLOOKUP(VLOOKUP(AB1072,Tbl_Effect[],3,FALSE),EffectName[],IFERROR(MATCH(UI!$B$1,EffectName[#Headers],0),2),FALSE),"")</f>
        <v/>
      </c>
    </row>
    <row r="1073" spans="8:29" x14ac:dyDescent="0.4">
      <c r="H1073" t="str">
        <f t="shared" si="112"/>
        <v>7000701-Unset (紅)</v>
      </c>
      <c r="I1073">
        <v>7000701</v>
      </c>
      <c r="J1073" t="str">
        <f>_xlfn.IFNA(IF(I1073&lt;&gt;0,VLOOKUP(VLOOKUP(I1073,Tbl_Equip[],2,FALSE),Tbl_Color[],IFERROR(MATCH(UI!$B$1,Tbl_Color[#Headers],0),2),FALSE),""),"Unset")</f>
        <v>紅</v>
      </c>
      <c r="K1073" t="str">
        <f>_xlfn.IFNA(IF(I1073&lt;&gt;0,VLOOKUP(I1073,ItemText[],IFERROR(MATCH(UI!$B$1,ItemText[#Headers],0),2),FALSE),""),"Unset")</f>
        <v>Unset</v>
      </c>
      <c r="L1073" t="str">
        <f t="shared" si="113"/>
        <v/>
      </c>
      <c r="M1073">
        <v>0</v>
      </c>
      <c r="N1073" t="str">
        <f>IF(VALUE(M1073)=0,"",VLOOKUP(VLOOKUP(M1073,Tbl_Effect[],3,FALSE),EffectName[],IFERROR(MATCH(UI!$B$1,EffectName[#Headers],0),2),FALSE))</f>
        <v/>
      </c>
      <c r="O1073" t="str">
        <f t="shared" si="114"/>
        <v/>
      </c>
      <c r="P1073">
        <v>0</v>
      </c>
      <c r="Q1073" t="str">
        <f>IF(VALUE(P1073)=0,"",VLOOKUP(VLOOKUP(P1073,Tbl_Effect[],3,FALSE),EffectName[],IFERROR(MATCH(UI!$B$1,EffectName[#Headers],0),2),FALSE))</f>
        <v/>
      </c>
      <c r="R1073" t="str">
        <f t="shared" si="115"/>
        <v/>
      </c>
      <c r="S1073">
        <v>0</v>
      </c>
      <c r="T1073" t="str">
        <f>IF(VALUE(S1073)=0,"",VLOOKUP(VLOOKUP(S1073,Tbl_Effect[],3,FALSE),EffectName[],IFERROR(MATCH(UI!$B$1,EffectName[#Headers],0),2),FALSE))</f>
        <v/>
      </c>
      <c r="U1073" t="str">
        <f t="shared" si="116"/>
        <v/>
      </c>
      <c r="V1073">
        <v>0</v>
      </c>
      <c r="W1073" t="str">
        <f>IF(V1073&lt;&gt;0,VLOOKUP(VLOOKUP(V1073,Tbl_Effect[],3,FALSE),EffectName[],IFERROR(MATCH(UI!$B$1,EffectName[#Headers],0),2),FALSE),"")</f>
        <v/>
      </c>
      <c r="X1073" t="str">
        <f t="shared" si="117"/>
        <v/>
      </c>
      <c r="Y1073">
        <v>0</v>
      </c>
      <c r="Z1073" t="str">
        <f>IF(Y1073&lt;&gt;0,VLOOKUP(VLOOKUP(Y1073,Tbl_Effect[],3,FALSE),EffectName[],IFERROR(MATCH(UI!$B$1,EffectName[#Headers],0),2),FALSE),"")</f>
        <v/>
      </c>
      <c r="AA1073" t="str">
        <f t="shared" si="118"/>
        <v/>
      </c>
      <c r="AB1073">
        <v>0</v>
      </c>
      <c r="AC1073" t="str">
        <f>IF(AB1073&lt;&gt;0,VLOOKUP(VLOOKUP(AB1073,Tbl_Effect[],3,FALSE),EffectName[],IFERROR(MATCH(UI!$B$1,EffectName[#Headers],0),2),FALSE),"")</f>
        <v/>
      </c>
    </row>
    <row r="1074" spans="8:29" x14ac:dyDescent="0.4">
      <c r="H1074" t="str">
        <f t="shared" si="112"/>
        <v>7000702-Unset (紅)</v>
      </c>
      <c r="I1074">
        <v>7000702</v>
      </c>
      <c r="J1074" t="str">
        <f>_xlfn.IFNA(IF(I1074&lt;&gt;0,VLOOKUP(VLOOKUP(I1074,Tbl_Equip[],2,FALSE),Tbl_Color[],IFERROR(MATCH(UI!$B$1,Tbl_Color[#Headers],0),2),FALSE),""),"Unset")</f>
        <v>紅</v>
      </c>
      <c r="K1074" t="str">
        <f>_xlfn.IFNA(IF(I1074&lt;&gt;0,VLOOKUP(I1074,ItemText[],IFERROR(MATCH(UI!$B$1,ItemText[#Headers],0),2),FALSE),""),"Unset")</f>
        <v>Unset</v>
      </c>
      <c r="L1074" t="str">
        <f t="shared" si="113"/>
        <v/>
      </c>
      <c r="M1074">
        <v>0</v>
      </c>
      <c r="N1074" t="str">
        <f>IF(VALUE(M1074)=0,"",VLOOKUP(VLOOKUP(M1074,Tbl_Effect[],3,FALSE),EffectName[],IFERROR(MATCH(UI!$B$1,EffectName[#Headers],0),2),FALSE))</f>
        <v/>
      </c>
      <c r="O1074" t="str">
        <f t="shared" si="114"/>
        <v/>
      </c>
      <c r="P1074">
        <v>0</v>
      </c>
      <c r="Q1074" t="str">
        <f>IF(VALUE(P1074)=0,"",VLOOKUP(VLOOKUP(P1074,Tbl_Effect[],3,FALSE),EffectName[],IFERROR(MATCH(UI!$B$1,EffectName[#Headers],0),2),FALSE))</f>
        <v/>
      </c>
      <c r="R1074" t="str">
        <f t="shared" si="115"/>
        <v/>
      </c>
      <c r="S1074">
        <v>0</v>
      </c>
      <c r="T1074" t="str">
        <f>IF(VALUE(S1074)=0,"",VLOOKUP(VLOOKUP(S1074,Tbl_Effect[],3,FALSE),EffectName[],IFERROR(MATCH(UI!$B$1,EffectName[#Headers],0),2),FALSE))</f>
        <v/>
      </c>
      <c r="U1074" t="str">
        <f t="shared" si="116"/>
        <v/>
      </c>
      <c r="V1074">
        <v>0</v>
      </c>
      <c r="W1074" t="str">
        <f>IF(V1074&lt;&gt;0,VLOOKUP(VLOOKUP(V1074,Tbl_Effect[],3,FALSE),EffectName[],IFERROR(MATCH(UI!$B$1,EffectName[#Headers],0),2),FALSE),"")</f>
        <v/>
      </c>
      <c r="X1074" t="str">
        <f t="shared" si="117"/>
        <v/>
      </c>
      <c r="Y1074">
        <v>0</v>
      </c>
      <c r="Z1074" t="str">
        <f>IF(Y1074&lt;&gt;0,VLOOKUP(VLOOKUP(Y1074,Tbl_Effect[],3,FALSE),EffectName[],IFERROR(MATCH(UI!$B$1,EffectName[#Headers],0),2),FALSE),"")</f>
        <v/>
      </c>
      <c r="AA1074" t="str">
        <f t="shared" si="118"/>
        <v/>
      </c>
      <c r="AB1074">
        <v>0</v>
      </c>
      <c r="AC1074" t="str">
        <f>IF(AB1074&lt;&gt;0,VLOOKUP(VLOOKUP(AB1074,Tbl_Effect[],3,FALSE),EffectName[],IFERROR(MATCH(UI!$B$1,EffectName[#Headers],0),2),FALSE),"")</f>
        <v/>
      </c>
    </row>
    <row r="1075" spans="8:29" x14ac:dyDescent="0.4">
      <c r="H1075" t="str">
        <f t="shared" si="112"/>
        <v>7000800-Unset (紅)</v>
      </c>
      <c r="I1075">
        <v>7000800</v>
      </c>
      <c r="J1075" t="str">
        <f>_xlfn.IFNA(IF(I1075&lt;&gt;0,VLOOKUP(VLOOKUP(I1075,Tbl_Equip[],2,FALSE),Tbl_Color[],IFERROR(MATCH(UI!$B$1,Tbl_Color[#Headers],0),2),FALSE),""),"Unset")</f>
        <v>紅</v>
      </c>
      <c r="K1075" t="str">
        <f>_xlfn.IFNA(IF(I1075&lt;&gt;0,VLOOKUP(I1075,ItemText[],IFERROR(MATCH(UI!$B$1,ItemText[#Headers],0),2),FALSE),""),"Unset")</f>
        <v>Unset</v>
      </c>
      <c r="L1075" t="str">
        <f t="shared" si="113"/>
        <v/>
      </c>
      <c r="M1075">
        <v>0</v>
      </c>
      <c r="N1075" t="str">
        <f>IF(VALUE(M1075)=0,"",VLOOKUP(VLOOKUP(M1075,Tbl_Effect[],3,FALSE),EffectName[],IFERROR(MATCH(UI!$B$1,EffectName[#Headers],0),2),FALSE))</f>
        <v/>
      </c>
      <c r="O1075" t="str">
        <f t="shared" si="114"/>
        <v/>
      </c>
      <c r="P1075">
        <v>0</v>
      </c>
      <c r="Q1075" t="str">
        <f>IF(VALUE(P1075)=0,"",VLOOKUP(VLOOKUP(P1075,Tbl_Effect[],3,FALSE),EffectName[],IFERROR(MATCH(UI!$B$1,EffectName[#Headers],0),2),FALSE))</f>
        <v/>
      </c>
      <c r="R1075" t="str">
        <f t="shared" si="115"/>
        <v/>
      </c>
      <c r="S1075">
        <v>0</v>
      </c>
      <c r="T1075" t="str">
        <f>IF(VALUE(S1075)=0,"",VLOOKUP(VLOOKUP(S1075,Tbl_Effect[],3,FALSE),EffectName[],IFERROR(MATCH(UI!$B$1,EffectName[#Headers],0),2),FALSE))</f>
        <v/>
      </c>
      <c r="U1075" t="str">
        <f t="shared" si="116"/>
        <v/>
      </c>
      <c r="V1075">
        <v>0</v>
      </c>
      <c r="W1075" t="str">
        <f>IF(V1075&lt;&gt;0,VLOOKUP(VLOOKUP(V1075,Tbl_Effect[],3,FALSE),EffectName[],IFERROR(MATCH(UI!$B$1,EffectName[#Headers],0),2),FALSE),"")</f>
        <v/>
      </c>
      <c r="X1075" t="str">
        <f t="shared" si="117"/>
        <v/>
      </c>
      <c r="Y1075">
        <v>0</v>
      </c>
      <c r="Z1075" t="str">
        <f>IF(Y1075&lt;&gt;0,VLOOKUP(VLOOKUP(Y1075,Tbl_Effect[],3,FALSE),EffectName[],IFERROR(MATCH(UI!$B$1,EffectName[#Headers],0),2),FALSE),"")</f>
        <v/>
      </c>
      <c r="AA1075" t="str">
        <f t="shared" si="118"/>
        <v/>
      </c>
      <c r="AB1075">
        <v>0</v>
      </c>
      <c r="AC1075" t="str">
        <f>IF(AB1075&lt;&gt;0,VLOOKUP(VLOOKUP(AB1075,Tbl_Effect[],3,FALSE),EffectName[],IFERROR(MATCH(UI!$B$1,EffectName[#Headers],0),2),FALSE),"")</f>
        <v/>
      </c>
    </row>
    <row r="1076" spans="8:29" x14ac:dyDescent="0.4">
      <c r="H1076" t="str">
        <f t="shared" si="112"/>
        <v>7000801-Unset (紅)</v>
      </c>
      <c r="I1076">
        <v>7000801</v>
      </c>
      <c r="J1076" t="str">
        <f>_xlfn.IFNA(IF(I1076&lt;&gt;0,VLOOKUP(VLOOKUP(I1076,Tbl_Equip[],2,FALSE),Tbl_Color[],IFERROR(MATCH(UI!$B$1,Tbl_Color[#Headers],0),2),FALSE),""),"Unset")</f>
        <v>紅</v>
      </c>
      <c r="K1076" t="str">
        <f>_xlfn.IFNA(IF(I1076&lt;&gt;0,VLOOKUP(I1076,ItemText[],IFERROR(MATCH(UI!$B$1,ItemText[#Headers],0),2),FALSE),""),"Unset")</f>
        <v>Unset</v>
      </c>
      <c r="L1076" t="str">
        <f t="shared" si="113"/>
        <v/>
      </c>
      <c r="M1076">
        <v>0</v>
      </c>
      <c r="N1076" t="str">
        <f>IF(VALUE(M1076)=0,"",VLOOKUP(VLOOKUP(M1076,Tbl_Effect[],3,FALSE),EffectName[],IFERROR(MATCH(UI!$B$1,EffectName[#Headers],0),2),FALSE))</f>
        <v/>
      </c>
      <c r="O1076" t="str">
        <f t="shared" si="114"/>
        <v/>
      </c>
      <c r="P1076">
        <v>0</v>
      </c>
      <c r="Q1076" t="str">
        <f>IF(VALUE(P1076)=0,"",VLOOKUP(VLOOKUP(P1076,Tbl_Effect[],3,FALSE),EffectName[],IFERROR(MATCH(UI!$B$1,EffectName[#Headers],0),2),FALSE))</f>
        <v/>
      </c>
      <c r="R1076" t="str">
        <f t="shared" si="115"/>
        <v/>
      </c>
      <c r="S1076">
        <v>0</v>
      </c>
      <c r="T1076" t="str">
        <f>IF(VALUE(S1076)=0,"",VLOOKUP(VLOOKUP(S1076,Tbl_Effect[],3,FALSE),EffectName[],IFERROR(MATCH(UI!$B$1,EffectName[#Headers],0),2),FALSE))</f>
        <v/>
      </c>
      <c r="U1076" t="str">
        <f t="shared" si="116"/>
        <v/>
      </c>
      <c r="V1076">
        <v>0</v>
      </c>
      <c r="W1076" t="str">
        <f>IF(V1076&lt;&gt;0,VLOOKUP(VLOOKUP(V1076,Tbl_Effect[],3,FALSE),EffectName[],IFERROR(MATCH(UI!$B$1,EffectName[#Headers],0),2),FALSE),"")</f>
        <v/>
      </c>
      <c r="X1076" t="str">
        <f t="shared" si="117"/>
        <v/>
      </c>
      <c r="Y1076">
        <v>0</v>
      </c>
      <c r="Z1076" t="str">
        <f>IF(Y1076&lt;&gt;0,VLOOKUP(VLOOKUP(Y1076,Tbl_Effect[],3,FALSE),EffectName[],IFERROR(MATCH(UI!$B$1,EffectName[#Headers],0),2),FALSE),"")</f>
        <v/>
      </c>
      <c r="AA1076" t="str">
        <f t="shared" si="118"/>
        <v/>
      </c>
      <c r="AB1076">
        <v>0</v>
      </c>
      <c r="AC1076" t="str">
        <f>IF(AB1076&lt;&gt;0,VLOOKUP(VLOOKUP(AB1076,Tbl_Effect[],3,FALSE),EffectName[],IFERROR(MATCH(UI!$B$1,EffectName[#Headers],0),2),FALSE),"")</f>
        <v/>
      </c>
    </row>
    <row r="1077" spans="8:29" x14ac:dyDescent="0.4">
      <c r="H1077" t="str">
        <f t="shared" si="112"/>
        <v>7000802-Unset (紅)</v>
      </c>
      <c r="I1077">
        <v>7000802</v>
      </c>
      <c r="J1077" t="str">
        <f>_xlfn.IFNA(IF(I1077&lt;&gt;0,VLOOKUP(VLOOKUP(I1077,Tbl_Equip[],2,FALSE),Tbl_Color[],IFERROR(MATCH(UI!$B$1,Tbl_Color[#Headers],0),2),FALSE),""),"Unset")</f>
        <v>紅</v>
      </c>
      <c r="K1077" t="str">
        <f>_xlfn.IFNA(IF(I1077&lt;&gt;0,VLOOKUP(I1077,ItemText[],IFERROR(MATCH(UI!$B$1,ItemText[#Headers],0),2),FALSE),""),"Unset")</f>
        <v>Unset</v>
      </c>
      <c r="L1077" t="str">
        <f t="shared" si="113"/>
        <v/>
      </c>
      <c r="M1077">
        <v>0</v>
      </c>
      <c r="N1077" t="str">
        <f>IF(VALUE(M1077)=0,"",VLOOKUP(VLOOKUP(M1077,Tbl_Effect[],3,FALSE),EffectName[],IFERROR(MATCH(UI!$B$1,EffectName[#Headers],0),2),FALSE))</f>
        <v/>
      </c>
      <c r="O1077" t="str">
        <f t="shared" si="114"/>
        <v/>
      </c>
      <c r="P1077">
        <v>0</v>
      </c>
      <c r="Q1077" t="str">
        <f>IF(VALUE(P1077)=0,"",VLOOKUP(VLOOKUP(P1077,Tbl_Effect[],3,FALSE),EffectName[],IFERROR(MATCH(UI!$B$1,EffectName[#Headers],0),2),FALSE))</f>
        <v/>
      </c>
      <c r="R1077" t="str">
        <f t="shared" si="115"/>
        <v/>
      </c>
      <c r="S1077">
        <v>0</v>
      </c>
      <c r="T1077" t="str">
        <f>IF(VALUE(S1077)=0,"",VLOOKUP(VLOOKUP(S1077,Tbl_Effect[],3,FALSE),EffectName[],IFERROR(MATCH(UI!$B$1,EffectName[#Headers],0),2),FALSE))</f>
        <v/>
      </c>
      <c r="U1077" t="str">
        <f t="shared" si="116"/>
        <v/>
      </c>
      <c r="V1077">
        <v>0</v>
      </c>
      <c r="W1077" t="str">
        <f>IF(V1077&lt;&gt;0,VLOOKUP(VLOOKUP(V1077,Tbl_Effect[],3,FALSE),EffectName[],IFERROR(MATCH(UI!$B$1,EffectName[#Headers],0),2),FALSE),"")</f>
        <v/>
      </c>
      <c r="X1077" t="str">
        <f t="shared" si="117"/>
        <v/>
      </c>
      <c r="Y1077">
        <v>0</v>
      </c>
      <c r="Z1077" t="str">
        <f>IF(Y1077&lt;&gt;0,VLOOKUP(VLOOKUP(Y1077,Tbl_Effect[],3,FALSE),EffectName[],IFERROR(MATCH(UI!$B$1,EffectName[#Headers],0),2),FALSE),"")</f>
        <v/>
      </c>
      <c r="AA1077" t="str">
        <f t="shared" si="118"/>
        <v/>
      </c>
      <c r="AB1077">
        <v>0</v>
      </c>
      <c r="AC1077" t="str">
        <f>IF(AB1077&lt;&gt;0,VLOOKUP(VLOOKUP(AB1077,Tbl_Effect[],3,FALSE),EffectName[],IFERROR(MATCH(UI!$B$1,EffectName[#Headers],0),2),FALSE),"")</f>
        <v/>
      </c>
    </row>
    <row r="1078" spans="8:29" x14ac:dyDescent="0.4">
      <c r="H1078" t="str">
        <f t="shared" si="112"/>
        <v>7000900-Unset (紅)</v>
      </c>
      <c r="I1078">
        <v>7000900</v>
      </c>
      <c r="J1078" t="str">
        <f>_xlfn.IFNA(IF(I1078&lt;&gt;0,VLOOKUP(VLOOKUP(I1078,Tbl_Equip[],2,FALSE),Tbl_Color[],IFERROR(MATCH(UI!$B$1,Tbl_Color[#Headers],0),2),FALSE),""),"Unset")</f>
        <v>紅</v>
      </c>
      <c r="K1078" t="str">
        <f>_xlfn.IFNA(IF(I1078&lt;&gt;0,VLOOKUP(I1078,ItemText[],IFERROR(MATCH(UI!$B$1,ItemText[#Headers],0),2),FALSE),""),"Unset")</f>
        <v>Unset</v>
      </c>
      <c r="L1078" t="str">
        <f t="shared" si="113"/>
        <v/>
      </c>
      <c r="M1078">
        <v>0</v>
      </c>
      <c r="N1078" t="str">
        <f>IF(VALUE(M1078)=0,"",VLOOKUP(VLOOKUP(M1078,Tbl_Effect[],3,FALSE),EffectName[],IFERROR(MATCH(UI!$B$1,EffectName[#Headers],0),2),FALSE))</f>
        <v/>
      </c>
      <c r="O1078" t="str">
        <f t="shared" si="114"/>
        <v/>
      </c>
      <c r="P1078">
        <v>0</v>
      </c>
      <c r="Q1078" t="str">
        <f>IF(VALUE(P1078)=0,"",VLOOKUP(VLOOKUP(P1078,Tbl_Effect[],3,FALSE),EffectName[],IFERROR(MATCH(UI!$B$1,EffectName[#Headers],0),2),FALSE))</f>
        <v/>
      </c>
      <c r="R1078" t="str">
        <f t="shared" si="115"/>
        <v/>
      </c>
      <c r="S1078">
        <v>0</v>
      </c>
      <c r="T1078" t="str">
        <f>IF(VALUE(S1078)=0,"",VLOOKUP(VLOOKUP(S1078,Tbl_Effect[],3,FALSE),EffectName[],IFERROR(MATCH(UI!$B$1,EffectName[#Headers],0),2),FALSE))</f>
        <v/>
      </c>
      <c r="U1078" t="str">
        <f t="shared" si="116"/>
        <v/>
      </c>
      <c r="V1078">
        <v>0</v>
      </c>
      <c r="W1078" t="str">
        <f>IF(V1078&lt;&gt;0,VLOOKUP(VLOOKUP(V1078,Tbl_Effect[],3,FALSE),EffectName[],IFERROR(MATCH(UI!$B$1,EffectName[#Headers],0),2),FALSE),"")</f>
        <v/>
      </c>
      <c r="X1078" t="str">
        <f t="shared" si="117"/>
        <v/>
      </c>
      <c r="Y1078">
        <v>0</v>
      </c>
      <c r="Z1078" t="str">
        <f>IF(Y1078&lt;&gt;0,VLOOKUP(VLOOKUP(Y1078,Tbl_Effect[],3,FALSE),EffectName[],IFERROR(MATCH(UI!$B$1,EffectName[#Headers],0),2),FALSE),"")</f>
        <v/>
      </c>
      <c r="AA1078" t="str">
        <f t="shared" si="118"/>
        <v/>
      </c>
      <c r="AB1078">
        <v>0</v>
      </c>
      <c r="AC1078" t="str">
        <f>IF(AB1078&lt;&gt;0,VLOOKUP(VLOOKUP(AB1078,Tbl_Effect[],3,FALSE),EffectName[],IFERROR(MATCH(UI!$B$1,EffectName[#Headers],0),2),FALSE),"")</f>
        <v/>
      </c>
    </row>
    <row r="1079" spans="8:29" x14ac:dyDescent="0.4">
      <c r="H1079" t="str">
        <f t="shared" si="112"/>
        <v>7000901-Unset (紅)</v>
      </c>
      <c r="I1079">
        <v>7000901</v>
      </c>
      <c r="J1079" t="str">
        <f>_xlfn.IFNA(IF(I1079&lt;&gt;0,VLOOKUP(VLOOKUP(I1079,Tbl_Equip[],2,FALSE),Tbl_Color[],IFERROR(MATCH(UI!$B$1,Tbl_Color[#Headers],0),2),FALSE),""),"Unset")</f>
        <v>紅</v>
      </c>
      <c r="K1079" t="str">
        <f>_xlfn.IFNA(IF(I1079&lt;&gt;0,VLOOKUP(I1079,ItemText[],IFERROR(MATCH(UI!$B$1,ItemText[#Headers],0),2),FALSE),""),"Unset")</f>
        <v>Unset</v>
      </c>
      <c r="L1079" t="str">
        <f t="shared" si="113"/>
        <v/>
      </c>
      <c r="M1079">
        <v>0</v>
      </c>
      <c r="N1079" t="str">
        <f>IF(VALUE(M1079)=0,"",VLOOKUP(VLOOKUP(M1079,Tbl_Effect[],3,FALSE),EffectName[],IFERROR(MATCH(UI!$B$1,EffectName[#Headers],0),2),FALSE))</f>
        <v/>
      </c>
      <c r="O1079" t="str">
        <f t="shared" si="114"/>
        <v/>
      </c>
      <c r="P1079">
        <v>0</v>
      </c>
      <c r="Q1079" t="str">
        <f>IF(VALUE(P1079)=0,"",VLOOKUP(VLOOKUP(P1079,Tbl_Effect[],3,FALSE),EffectName[],IFERROR(MATCH(UI!$B$1,EffectName[#Headers],0),2),FALSE))</f>
        <v/>
      </c>
      <c r="R1079" t="str">
        <f t="shared" si="115"/>
        <v/>
      </c>
      <c r="S1079">
        <v>0</v>
      </c>
      <c r="T1079" t="str">
        <f>IF(VALUE(S1079)=0,"",VLOOKUP(VLOOKUP(S1079,Tbl_Effect[],3,FALSE),EffectName[],IFERROR(MATCH(UI!$B$1,EffectName[#Headers],0),2),FALSE))</f>
        <v/>
      </c>
      <c r="U1079" t="str">
        <f t="shared" si="116"/>
        <v/>
      </c>
      <c r="V1079">
        <v>0</v>
      </c>
      <c r="W1079" t="str">
        <f>IF(V1079&lt;&gt;0,VLOOKUP(VLOOKUP(V1079,Tbl_Effect[],3,FALSE),EffectName[],IFERROR(MATCH(UI!$B$1,EffectName[#Headers],0),2),FALSE),"")</f>
        <v/>
      </c>
      <c r="X1079" t="str">
        <f t="shared" si="117"/>
        <v/>
      </c>
      <c r="Y1079">
        <v>0</v>
      </c>
      <c r="Z1079" t="str">
        <f>IF(Y1079&lt;&gt;0,VLOOKUP(VLOOKUP(Y1079,Tbl_Effect[],3,FALSE),EffectName[],IFERROR(MATCH(UI!$B$1,EffectName[#Headers],0),2),FALSE),"")</f>
        <v/>
      </c>
      <c r="AA1079" t="str">
        <f t="shared" si="118"/>
        <v/>
      </c>
      <c r="AB1079">
        <v>0</v>
      </c>
      <c r="AC1079" t="str">
        <f>IF(AB1079&lt;&gt;0,VLOOKUP(VLOOKUP(AB1079,Tbl_Effect[],3,FALSE),EffectName[],IFERROR(MATCH(UI!$B$1,EffectName[#Headers],0),2),FALSE),"")</f>
        <v/>
      </c>
    </row>
    <row r="1080" spans="8:29" x14ac:dyDescent="0.4">
      <c r="H1080" t="str">
        <f t="shared" si="112"/>
        <v>7000902-Unset (紅)</v>
      </c>
      <c r="I1080">
        <v>7000902</v>
      </c>
      <c r="J1080" t="str">
        <f>_xlfn.IFNA(IF(I1080&lt;&gt;0,VLOOKUP(VLOOKUP(I1080,Tbl_Equip[],2,FALSE),Tbl_Color[],IFERROR(MATCH(UI!$B$1,Tbl_Color[#Headers],0),2),FALSE),""),"Unset")</f>
        <v>紅</v>
      </c>
      <c r="K1080" t="str">
        <f>_xlfn.IFNA(IF(I1080&lt;&gt;0,VLOOKUP(I1080,ItemText[],IFERROR(MATCH(UI!$B$1,ItemText[#Headers],0),2),FALSE),""),"Unset")</f>
        <v>Unset</v>
      </c>
      <c r="L1080" t="str">
        <f t="shared" si="113"/>
        <v/>
      </c>
      <c r="M1080">
        <v>0</v>
      </c>
      <c r="N1080" t="str">
        <f>IF(VALUE(M1080)=0,"",VLOOKUP(VLOOKUP(M1080,Tbl_Effect[],3,FALSE),EffectName[],IFERROR(MATCH(UI!$B$1,EffectName[#Headers],0),2),FALSE))</f>
        <v/>
      </c>
      <c r="O1080" t="str">
        <f t="shared" si="114"/>
        <v/>
      </c>
      <c r="P1080">
        <v>0</v>
      </c>
      <c r="Q1080" t="str">
        <f>IF(VALUE(P1080)=0,"",VLOOKUP(VLOOKUP(P1080,Tbl_Effect[],3,FALSE),EffectName[],IFERROR(MATCH(UI!$B$1,EffectName[#Headers],0),2),FALSE))</f>
        <v/>
      </c>
      <c r="R1080" t="str">
        <f t="shared" si="115"/>
        <v/>
      </c>
      <c r="S1080">
        <v>0</v>
      </c>
      <c r="T1080" t="str">
        <f>IF(VALUE(S1080)=0,"",VLOOKUP(VLOOKUP(S1080,Tbl_Effect[],3,FALSE),EffectName[],IFERROR(MATCH(UI!$B$1,EffectName[#Headers],0),2),FALSE))</f>
        <v/>
      </c>
      <c r="U1080" t="str">
        <f t="shared" si="116"/>
        <v/>
      </c>
      <c r="V1080">
        <v>0</v>
      </c>
      <c r="W1080" t="str">
        <f>IF(V1080&lt;&gt;0,VLOOKUP(VLOOKUP(V1080,Tbl_Effect[],3,FALSE),EffectName[],IFERROR(MATCH(UI!$B$1,EffectName[#Headers],0),2),FALSE),"")</f>
        <v/>
      </c>
      <c r="X1080" t="str">
        <f t="shared" si="117"/>
        <v/>
      </c>
      <c r="Y1080">
        <v>0</v>
      </c>
      <c r="Z1080" t="str">
        <f>IF(Y1080&lt;&gt;0,VLOOKUP(VLOOKUP(Y1080,Tbl_Effect[],3,FALSE),EffectName[],IFERROR(MATCH(UI!$B$1,EffectName[#Headers],0),2),FALSE),"")</f>
        <v/>
      </c>
      <c r="AA1080" t="str">
        <f t="shared" si="118"/>
        <v/>
      </c>
      <c r="AB1080">
        <v>0</v>
      </c>
      <c r="AC1080" t="str">
        <f>IF(AB1080&lt;&gt;0,VLOOKUP(VLOOKUP(AB1080,Tbl_Effect[],3,FALSE),EffectName[],IFERROR(MATCH(UI!$B$1,EffectName[#Headers],0),2),FALSE),"")</f>
        <v/>
      </c>
    </row>
    <row r="1081" spans="8:29" x14ac:dyDescent="0.4">
      <c r="H1081" t="str">
        <f t="shared" si="112"/>
        <v>7001000-Unset (紅)</v>
      </c>
      <c r="I1081">
        <v>7001000</v>
      </c>
      <c r="J1081" t="str">
        <f>_xlfn.IFNA(IF(I1081&lt;&gt;0,VLOOKUP(VLOOKUP(I1081,Tbl_Equip[],2,FALSE),Tbl_Color[],IFERROR(MATCH(UI!$B$1,Tbl_Color[#Headers],0),2),FALSE),""),"Unset")</f>
        <v>紅</v>
      </c>
      <c r="K1081" t="str">
        <f>_xlfn.IFNA(IF(I1081&lt;&gt;0,VLOOKUP(I1081,ItemText[],IFERROR(MATCH(UI!$B$1,ItemText[#Headers],0),2),FALSE),""),"Unset")</f>
        <v>Unset</v>
      </c>
      <c r="L1081" t="str">
        <f t="shared" si="113"/>
        <v/>
      </c>
      <c r="M1081">
        <v>0</v>
      </c>
      <c r="N1081" t="str">
        <f>IF(VALUE(M1081)=0,"",VLOOKUP(VLOOKUP(M1081,Tbl_Effect[],3,FALSE),EffectName[],IFERROR(MATCH(UI!$B$1,EffectName[#Headers],0),2),FALSE))</f>
        <v/>
      </c>
      <c r="O1081" t="str">
        <f t="shared" si="114"/>
        <v/>
      </c>
      <c r="P1081">
        <v>0</v>
      </c>
      <c r="Q1081" t="str">
        <f>IF(VALUE(P1081)=0,"",VLOOKUP(VLOOKUP(P1081,Tbl_Effect[],3,FALSE),EffectName[],IFERROR(MATCH(UI!$B$1,EffectName[#Headers],0),2),FALSE))</f>
        <v/>
      </c>
      <c r="R1081" t="str">
        <f t="shared" si="115"/>
        <v/>
      </c>
      <c r="S1081">
        <v>0</v>
      </c>
      <c r="T1081" t="str">
        <f>IF(VALUE(S1081)=0,"",VLOOKUP(VLOOKUP(S1081,Tbl_Effect[],3,FALSE),EffectName[],IFERROR(MATCH(UI!$B$1,EffectName[#Headers],0),2),FALSE))</f>
        <v/>
      </c>
      <c r="U1081" t="str">
        <f t="shared" si="116"/>
        <v/>
      </c>
      <c r="V1081">
        <v>0</v>
      </c>
      <c r="W1081" t="str">
        <f>IF(V1081&lt;&gt;0,VLOOKUP(VLOOKUP(V1081,Tbl_Effect[],3,FALSE),EffectName[],IFERROR(MATCH(UI!$B$1,EffectName[#Headers],0),2),FALSE),"")</f>
        <v/>
      </c>
      <c r="X1081" t="str">
        <f t="shared" si="117"/>
        <v/>
      </c>
      <c r="Y1081">
        <v>0</v>
      </c>
      <c r="Z1081" t="str">
        <f>IF(Y1081&lt;&gt;0,VLOOKUP(VLOOKUP(Y1081,Tbl_Effect[],3,FALSE),EffectName[],IFERROR(MATCH(UI!$B$1,EffectName[#Headers],0),2),FALSE),"")</f>
        <v/>
      </c>
      <c r="AA1081" t="str">
        <f t="shared" si="118"/>
        <v/>
      </c>
      <c r="AB1081">
        <v>0</v>
      </c>
      <c r="AC1081" t="str">
        <f>IF(AB1081&lt;&gt;0,VLOOKUP(VLOOKUP(AB1081,Tbl_Effect[],3,FALSE),EffectName[],IFERROR(MATCH(UI!$B$1,EffectName[#Headers],0),2),FALSE),"")</f>
        <v/>
      </c>
    </row>
    <row r="1082" spans="8:29" x14ac:dyDescent="0.4">
      <c r="H1082" t="str">
        <f t="shared" si="112"/>
        <v>7001001-Unset (紅)</v>
      </c>
      <c r="I1082">
        <v>7001001</v>
      </c>
      <c r="J1082" t="str">
        <f>_xlfn.IFNA(IF(I1082&lt;&gt;0,VLOOKUP(VLOOKUP(I1082,Tbl_Equip[],2,FALSE),Tbl_Color[],IFERROR(MATCH(UI!$B$1,Tbl_Color[#Headers],0),2),FALSE),""),"Unset")</f>
        <v>紅</v>
      </c>
      <c r="K1082" t="str">
        <f>_xlfn.IFNA(IF(I1082&lt;&gt;0,VLOOKUP(I1082,ItemText[],IFERROR(MATCH(UI!$B$1,ItemText[#Headers],0),2),FALSE),""),"Unset")</f>
        <v>Unset</v>
      </c>
      <c r="L1082" t="str">
        <f t="shared" si="113"/>
        <v/>
      </c>
      <c r="M1082">
        <v>0</v>
      </c>
      <c r="N1082" t="str">
        <f>IF(VALUE(M1082)=0,"",VLOOKUP(VLOOKUP(M1082,Tbl_Effect[],3,FALSE),EffectName[],IFERROR(MATCH(UI!$B$1,EffectName[#Headers],0),2),FALSE))</f>
        <v/>
      </c>
      <c r="O1082" t="str">
        <f t="shared" si="114"/>
        <v/>
      </c>
      <c r="P1082">
        <v>0</v>
      </c>
      <c r="Q1082" t="str">
        <f>IF(VALUE(P1082)=0,"",VLOOKUP(VLOOKUP(P1082,Tbl_Effect[],3,FALSE),EffectName[],IFERROR(MATCH(UI!$B$1,EffectName[#Headers],0),2),FALSE))</f>
        <v/>
      </c>
      <c r="R1082" t="str">
        <f t="shared" si="115"/>
        <v/>
      </c>
      <c r="S1082">
        <v>0</v>
      </c>
      <c r="T1082" t="str">
        <f>IF(VALUE(S1082)=0,"",VLOOKUP(VLOOKUP(S1082,Tbl_Effect[],3,FALSE),EffectName[],IFERROR(MATCH(UI!$B$1,EffectName[#Headers],0),2),FALSE))</f>
        <v/>
      </c>
      <c r="U1082" t="str">
        <f t="shared" si="116"/>
        <v/>
      </c>
      <c r="V1082">
        <v>0</v>
      </c>
      <c r="W1082" t="str">
        <f>IF(V1082&lt;&gt;0,VLOOKUP(VLOOKUP(V1082,Tbl_Effect[],3,FALSE),EffectName[],IFERROR(MATCH(UI!$B$1,EffectName[#Headers],0),2),FALSE),"")</f>
        <v/>
      </c>
      <c r="X1082" t="str">
        <f t="shared" si="117"/>
        <v/>
      </c>
      <c r="Y1082">
        <v>0</v>
      </c>
      <c r="Z1082" t="str">
        <f>IF(Y1082&lt;&gt;0,VLOOKUP(VLOOKUP(Y1082,Tbl_Effect[],3,FALSE),EffectName[],IFERROR(MATCH(UI!$B$1,EffectName[#Headers],0),2),FALSE),"")</f>
        <v/>
      </c>
      <c r="AA1082" t="str">
        <f t="shared" si="118"/>
        <v/>
      </c>
      <c r="AB1082">
        <v>0</v>
      </c>
      <c r="AC1082" t="str">
        <f>IF(AB1082&lt;&gt;0,VLOOKUP(VLOOKUP(AB1082,Tbl_Effect[],3,FALSE),EffectName[],IFERROR(MATCH(UI!$B$1,EffectName[#Headers],0),2),FALSE),"")</f>
        <v/>
      </c>
    </row>
    <row r="1083" spans="8:29" x14ac:dyDescent="0.4">
      <c r="H1083" t="str">
        <f t="shared" si="112"/>
        <v>7001002-Unset (紅)</v>
      </c>
      <c r="I1083">
        <v>7001002</v>
      </c>
      <c r="J1083" t="str">
        <f>_xlfn.IFNA(IF(I1083&lt;&gt;0,VLOOKUP(VLOOKUP(I1083,Tbl_Equip[],2,FALSE),Tbl_Color[],IFERROR(MATCH(UI!$B$1,Tbl_Color[#Headers],0),2),FALSE),""),"Unset")</f>
        <v>紅</v>
      </c>
      <c r="K1083" t="str">
        <f>_xlfn.IFNA(IF(I1083&lt;&gt;0,VLOOKUP(I1083,ItemText[],IFERROR(MATCH(UI!$B$1,ItemText[#Headers],0),2),FALSE),""),"Unset")</f>
        <v>Unset</v>
      </c>
      <c r="L1083" t="str">
        <f t="shared" si="113"/>
        <v/>
      </c>
      <c r="M1083">
        <v>0</v>
      </c>
      <c r="N1083" t="str">
        <f>IF(VALUE(M1083)=0,"",VLOOKUP(VLOOKUP(M1083,Tbl_Effect[],3,FALSE),EffectName[],IFERROR(MATCH(UI!$B$1,EffectName[#Headers],0),2),FALSE))</f>
        <v/>
      </c>
      <c r="O1083" t="str">
        <f t="shared" si="114"/>
        <v/>
      </c>
      <c r="P1083">
        <v>0</v>
      </c>
      <c r="Q1083" t="str">
        <f>IF(VALUE(P1083)=0,"",VLOOKUP(VLOOKUP(P1083,Tbl_Effect[],3,FALSE),EffectName[],IFERROR(MATCH(UI!$B$1,EffectName[#Headers],0),2),FALSE))</f>
        <v/>
      </c>
      <c r="R1083" t="str">
        <f t="shared" si="115"/>
        <v/>
      </c>
      <c r="S1083">
        <v>0</v>
      </c>
      <c r="T1083" t="str">
        <f>IF(VALUE(S1083)=0,"",VLOOKUP(VLOOKUP(S1083,Tbl_Effect[],3,FALSE),EffectName[],IFERROR(MATCH(UI!$B$1,EffectName[#Headers],0),2),FALSE))</f>
        <v/>
      </c>
      <c r="U1083" t="str">
        <f t="shared" si="116"/>
        <v/>
      </c>
      <c r="V1083">
        <v>0</v>
      </c>
      <c r="W1083" t="str">
        <f>IF(V1083&lt;&gt;0,VLOOKUP(VLOOKUP(V1083,Tbl_Effect[],3,FALSE),EffectName[],IFERROR(MATCH(UI!$B$1,EffectName[#Headers],0),2),FALSE),"")</f>
        <v/>
      </c>
      <c r="X1083" t="str">
        <f t="shared" si="117"/>
        <v/>
      </c>
      <c r="Y1083">
        <v>0</v>
      </c>
      <c r="Z1083" t="str">
        <f>IF(Y1083&lt;&gt;0,VLOOKUP(VLOOKUP(Y1083,Tbl_Effect[],3,FALSE),EffectName[],IFERROR(MATCH(UI!$B$1,EffectName[#Headers],0),2),FALSE),"")</f>
        <v/>
      </c>
      <c r="AA1083" t="str">
        <f t="shared" si="118"/>
        <v/>
      </c>
      <c r="AB1083">
        <v>0</v>
      </c>
      <c r="AC1083" t="str">
        <f>IF(AB1083&lt;&gt;0,VLOOKUP(VLOOKUP(AB1083,Tbl_Effect[],3,FALSE),EffectName[],IFERROR(MATCH(UI!$B$1,EffectName[#Headers],0),2),FALSE),"")</f>
        <v/>
      </c>
    </row>
    <row r="1084" spans="8:29" x14ac:dyDescent="0.4">
      <c r="H1084" t="str">
        <f t="shared" si="112"/>
        <v>7001100-Unset (紅)</v>
      </c>
      <c r="I1084">
        <v>7001100</v>
      </c>
      <c r="J1084" t="str">
        <f>_xlfn.IFNA(IF(I1084&lt;&gt;0,VLOOKUP(VLOOKUP(I1084,Tbl_Equip[],2,FALSE),Tbl_Color[],IFERROR(MATCH(UI!$B$1,Tbl_Color[#Headers],0),2),FALSE),""),"Unset")</f>
        <v>紅</v>
      </c>
      <c r="K1084" t="str">
        <f>_xlfn.IFNA(IF(I1084&lt;&gt;0,VLOOKUP(I1084,ItemText[],IFERROR(MATCH(UI!$B$1,ItemText[#Headers],0),2),FALSE),""),"Unset")</f>
        <v>Unset</v>
      </c>
      <c r="L1084" t="str">
        <f t="shared" si="113"/>
        <v/>
      </c>
      <c r="M1084">
        <v>0</v>
      </c>
      <c r="N1084" t="str">
        <f>IF(VALUE(M1084)=0,"",VLOOKUP(VLOOKUP(M1084,Tbl_Effect[],3,FALSE),EffectName[],IFERROR(MATCH(UI!$B$1,EffectName[#Headers],0),2),FALSE))</f>
        <v/>
      </c>
      <c r="O1084" t="str">
        <f t="shared" si="114"/>
        <v/>
      </c>
      <c r="P1084">
        <v>0</v>
      </c>
      <c r="Q1084" t="str">
        <f>IF(VALUE(P1084)=0,"",VLOOKUP(VLOOKUP(P1084,Tbl_Effect[],3,FALSE),EffectName[],IFERROR(MATCH(UI!$B$1,EffectName[#Headers],0),2),FALSE))</f>
        <v/>
      </c>
      <c r="R1084" t="str">
        <f t="shared" si="115"/>
        <v/>
      </c>
      <c r="S1084">
        <v>0</v>
      </c>
      <c r="T1084" t="str">
        <f>IF(VALUE(S1084)=0,"",VLOOKUP(VLOOKUP(S1084,Tbl_Effect[],3,FALSE),EffectName[],IFERROR(MATCH(UI!$B$1,EffectName[#Headers],0),2),FALSE))</f>
        <v/>
      </c>
      <c r="U1084" t="str">
        <f t="shared" si="116"/>
        <v/>
      </c>
      <c r="V1084">
        <v>0</v>
      </c>
      <c r="W1084" t="str">
        <f>IF(V1084&lt;&gt;0,VLOOKUP(VLOOKUP(V1084,Tbl_Effect[],3,FALSE),EffectName[],IFERROR(MATCH(UI!$B$1,EffectName[#Headers],0),2),FALSE),"")</f>
        <v/>
      </c>
      <c r="X1084" t="str">
        <f t="shared" si="117"/>
        <v/>
      </c>
      <c r="Y1084">
        <v>0</v>
      </c>
      <c r="Z1084" t="str">
        <f>IF(Y1084&lt;&gt;0,VLOOKUP(VLOOKUP(Y1084,Tbl_Effect[],3,FALSE),EffectName[],IFERROR(MATCH(UI!$B$1,EffectName[#Headers],0),2),FALSE),"")</f>
        <v/>
      </c>
      <c r="AA1084" t="str">
        <f t="shared" si="118"/>
        <v/>
      </c>
      <c r="AB1084">
        <v>0</v>
      </c>
      <c r="AC1084" t="str">
        <f>IF(AB1084&lt;&gt;0,VLOOKUP(VLOOKUP(AB1084,Tbl_Effect[],3,FALSE),EffectName[],IFERROR(MATCH(UI!$B$1,EffectName[#Headers],0),2),FALSE),"")</f>
        <v/>
      </c>
    </row>
    <row r="1085" spans="8:29" x14ac:dyDescent="0.4">
      <c r="H1085" t="str">
        <f t="shared" si="112"/>
        <v>7001400-Unset (紅)</v>
      </c>
      <c r="I1085">
        <v>7001400</v>
      </c>
      <c r="J1085" t="str">
        <f>_xlfn.IFNA(IF(I1085&lt;&gt;0,VLOOKUP(VLOOKUP(I1085,Tbl_Equip[],2,FALSE),Tbl_Color[],IFERROR(MATCH(UI!$B$1,Tbl_Color[#Headers],0),2),FALSE),""),"Unset")</f>
        <v>紅</v>
      </c>
      <c r="K1085" t="str">
        <f>_xlfn.IFNA(IF(I1085&lt;&gt;0,VLOOKUP(I1085,ItemText[],IFERROR(MATCH(UI!$B$1,ItemText[#Headers],0),2),FALSE),""),"Unset")</f>
        <v>Unset</v>
      </c>
      <c r="L1085" t="str">
        <f t="shared" si="113"/>
        <v/>
      </c>
      <c r="M1085">
        <v>0</v>
      </c>
      <c r="N1085" t="str">
        <f>IF(VALUE(M1085)=0,"",VLOOKUP(VLOOKUP(M1085,Tbl_Effect[],3,FALSE),EffectName[],IFERROR(MATCH(UI!$B$1,EffectName[#Headers],0),2),FALSE))</f>
        <v/>
      </c>
      <c r="O1085" t="str">
        <f t="shared" si="114"/>
        <v/>
      </c>
      <c r="P1085">
        <v>0</v>
      </c>
      <c r="Q1085" t="str">
        <f>IF(VALUE(P1085)=0,"",VLOOKUP(VLOOKUP(P1085,Tbl_Effect[],3,FALSE),EffectName[],IFERROR(MATCH(UI!$B$1,EffectName[#Headers],0),2),FALSE))</f>
        <v/>
      </c>
      <c r="R1085" t="str">
        <f t="shared" si="115"/>
        <v/>
      </c>
      <c r="S1085">
        <v>0</v>
      </c>
      <c r="T1085" t="str">
        <f>IF(VALUE(S1085)=0,"",VLOOKUP(VLOOKUP(S1085,Tbl_Effect[],3,FALSE),EffectName[],IFERROR(MATCH(UI!$B$1,EffectName[#Headers],0),2),FALSE))</f>
        <v/>
      </c>
      <c r="U1085" t="str">
        <f t="shared" si="116"/>
        <v/>
      </c>
      <c r="V1085">
        <v>0</v>
      </c>
      <c r="W1085" t="str">
        <f>IF(V1085&lt;&gt;0,VLOOKUP(VLOOKUP(V1085,Tbl_Effect[],3,FALSE),EffectName[],IFERROR(MATCH(UI!$B$1,EffectName[#Headers],0),2),FALSE),"")</f>
        <v/>
      </c>
      <c r="X1085" t="str">
        <f t="shared" si="117"/>
        <v/>
      </c>
      <c r="Y1085">
        <v>0</v>
      </c>
      <c r="Z1085" t="str">
        <f>IF(Y1085&lt;&gt;0,VLOOKUP(VLOOKUP(Y1085,Tbl_Effect[],3,FALSE),EffectName[],IFERROR(MATCH(UI!$B$1,EffectName[#Headers],0),2),FALSE),"")</f>
        <v/>
      </c>
      <c r="AA1085" t="str">
        <f t="shared" si="118"/>
        <v/>
      </c>
      <c r="AB1085">
        <v>0</v>
      </c>
      <c r="AC1085" t="str">
        <f>IF(AB1085&lt;&gt;0,VLOOKUP(VLOOKUP(AB1085,Tbl_Effect[],3,FALSE),EffectName[],IFERROR(MATCH(UI!$B$1,EffectName[#Headers],0),2),FALSE),"")</f>
        <v/>
      </c>
    </row>
    <row r="1086" spans="8:29" x14ac:dyDescent="0.4">
      <c r="H1086" t="str">
        <f t="shared" si="112"/>
        <v>7001401-Unset (紅)</v>
      </c>
      <c r="I1086">
        <v>7001401</v>
      </c>
      <c r="J1086" t="str">
        <f>_xlfn.IFNA(IF(I1086&lt;&gt;0,VLOOKUP(VLOOKUP(I1086,Tbl_Equip[],2,FALSE),Tbl_Color[],IFERROR(MATCH(UI!$B$1,Tbl_Color[#Headers],0),2),FALSE),""),"Unset")</f>
        <v>紅</v>
      </c>
      <c r="K1086" t="str">
        <f>_xlfn.IFNA(IF(I1086&lt;&gt;0,VLOOKUP(I1086,ItemText[],IFERROR(MATCH(UI!$B$1,ItemText[#Headers],0),2),FALSE),""),"Unset")</f>
        <v>Unset</v>
      </c>
      <c r="L1086" t="str">
        <f t="shared" si="113"/>
        <v/>
      </c>
      <c r="M1086">
        <v>0</v>
      </c>
      <c r="N1086" t="str">
        <f>IF(VALUE(M1086)=0,"",VLOOKUP(VLOOKUP(M1086,Tbl_Effect[],3,FALSE),EffectName[],IFERROR(MATCH(UI!$B$1,EffectName[#Headers],0),2),FALSE))</f>
        <v/>
      </c>
      <c r="O1086" t="str">
        <f t="shared" si="114"/>
        <v/>
      </c>
      <c r="P1086">
        <v>0</v>
      </c>
      <c r="Q1086" t="str">
        <f>IF(VALUE(P1086)=0,"",VLOOKUP(VLOOKUP(P1086,Tbl_Effect[],3,FALSE),EffectName[],IFERROR(MATCH(UI!$B$1,EffectName[#Headers],0),2),FALSE))</f>
        <v/>
      </c>
      <c r="R1086" t="str">
        <f t="shared" si="115"/>
        <v/>
      </c>
      <c r="S1086">
        <v>0</v>
      </c>
      <c r="T1086" t="str">
        <f>IF(VALUE(S1086)=0,"",VLOOKUP(VLOOKUP(S1086,Tbl_Effect[],3,FALSE),EffectName[],IFERROR(MATCH(UI!$B$1,EffectName[#Headers],0),2),FALSE))</f>
        <v/>
      </c>
      <c r="U1086" t="str">
        <f t="shared" si="116"/>
        <v/>
      </c>
      <c r="V1086">
        <v>0</v>
      </c>
      <c r="W1086" t="str">
        <f>IF(V1086&lt;&gt;0,VLOOKUP(VLOOKUP(V1086,Tbl_Effect[],3,FALSE),EffectName[],IFERROR(MATCH(UI!$B$1,EffectName[#Headers],0),2),FALSE),"")</f>
        <v/>
      </c>
      <c r="X1086" t="str">
        <f t="shared" si="117"/>
        <v/>
      </c>
      <c r="Y1086">
        <v>0</v>
      </c>
      <c r="Z1086" t="str">
        <f>IF(Y1086&lt;&gt;0,VLOOKUP(VLOOKUP(Y1086,Tbl_Effect[],3,FALSE),EffectName[],IFERROR(MATCH(UI!$B$1,EffectName[#Headers],0),2),FALSE),"")</f>
        <v/>
      </c>
      <c r="AA1086" t="str">
        <f t="shared" si="118"/>
        <v/>
      </c>
      <c r="AB1086">
        <v>0</v>
      </c>
      <c r="AC1086" t="str">
        <f>IF(AB1086&lt;&gt;0,VLOOKUP(VLOOKUP(AB1086,Tbl_Effect[],3,FALSE),EffectName[],IFERROR(MATCH(UI!$B$1,EffectName[#Headers],0),2),FALSE),"")</f>
        <v/>
      </c>
    </row>
    <row r="1087" spans="8:29" x14ac:dyDescent="0.4">
      <c r="H1087" t="str">
        <f t="shared" si="112"/>
        <v>7001402-Unset (紅)</v>
      </c>
      <c r="I1087">
        <v>7001402</v>
      </c>
      <c r="J1087" t="str">
        <f>_xlfn.IFNA(IF(I1087&lt;&gt;0,VLOOKUP(VLOOKUP(I1087,Tbl_Equip[],2,FALSE),Tbl_Color[],IFERROR(MATCH(UI!$B$1,Tbl_Color[#Headers],0),2),FALSE),""),"Unset")</f>
        <v>紅</v>
      </c>
      <c r="K1087" t="str">
        <f>_xlfn.IFNA(IF(I1087&lt;&gt;0,VLOOKUP(I1087,ItemText[],IFERROR(MATCH(UI!$B$1,ItemText[#Headers],0),2),FALSE),""),"Unset")</f>
        <v>Unset</v>
      </c>
      <c r="L1087" t="str">
        <f t="shared" si="113"/>
        <v/>
      </c>
      <c r="M1087">
        <v>0</v>
      </c>
      <c r="N1087" t="str">
        <f>IF(VALUE(M1087)=0,"",VLOOKUP(VLOOKUP(M1087,Tbl_Effect[],3,FALSE),EffectName[],IFERROR(MATCH(UI!$B$1,EffectName[#Headers],0),2),FALSE))</f>
        <v/>
      </c>
      <c r="O1087" t="str">
        <f t="shared" si="114"/>
        <v/>
      </c>
      <c r="P1087">
        <v>0</v>
      </c>
      <c r="Q1087" t="str">
        <f>IF(VALUE(P1087)=0,"",VLOOKUP(VLOOKUP(P1087,Tbl_Effect[],3,FALSE),EffectName[],IFERROR(MATCH(UI!$B$1,EffectName[#Headers],0),2),FALSE))</f>
        <v/>
      </c>
      <c r="R1087" t="str">
        <f t="shared" si="115"/>
        <v/>
      </c>
      <c r="S1087">
        <v>0</v>
      </c>
      <c r="T1087" t="str">
        <f>IF(VALUE(S1087)=0,"",VLOOKUP(VLOOKUP(S1087,Tbl_Effect[],3,FALSE),EffectName[],IFERROR(MATCH(UI!$B$1,EffectName[#Headers],0),2),FALSE))</f>
        <v/>
      </c>
      <c r="U1087" t="str">
        <f t="shared" si="116"/>
        <v/>
      </c>
      <c r="V1087">
        <v>0</v>
      </c>
      <c r="W1087" t="str">
        <f>IF(V1087&lt;&gt;0,VLOOKUP(VLOOKUP(V1087,Tbl_Effect[],3,FALSE),EffectName[],IFERROR(MATCH(UI!$B$1,EffectName[#Headers],0),2),FALSE),"")</f>
        <v/>
      </c>
      <c r="X1087" t="str">
        <f t="shared" si="117"/>
        <v/>
      </c>
      <c r="Y1087">
        <v>0</v>
      </c>
      <c r="Z1087" t="str">
        <f>IF(Y1087&lt;&gt;0,VLOOKUP(VLOOKUP(Y1087,Tbl_Effect[],3,FALSE),EffectName[],IFERROR(MATCH(UI!$B$1,EffectName[#Headers],0),2),FALSE),"")</f>
        <v/>
      </c>
      <c r="AA1087" t="str">
        <f t="shared" si="118"/>
        <v/>
      </c>
      <c r="AB1087">
        <v>0</v>
      </c>
      <c r="AC1087" t="str">
        <f>IF(AB1087&lt;&gt;0,VLOOKUP(VLOOKUP(AB1087,Tbl_Effect[],3,FALSE),EffectName[],IFERROR(MATCH(UI!$B$1,EffectName[#Headers],0),2),FALSE),"")</f>
        <v/>
      </c>
    </row>
    <row r="1088" spans="8:29" x14ac:dyDescent="0.4">
      <c r="H1088" t="str">
        <f t="shared" si="112"/>
        <v>7001500-Unset (紅)</v>
      </c>
      <c r="I1088">
        <v>7001500</v>
      </c>
      <c r="J1088" t="str">
        <f>_xlfn.IFNA(IF(I1088&lt;&gt;0,VLOOKUP(VLOOKUP(I1088,Tbl_Equip[],2,FALSE),Tbl_Color[],IFERROR(MATCH(UI!$B$1,Tbl_Color[#Headers],0),2),FALSE),""),"Unset")</f>
        <v>紅</v>
      </c>
      <c r="K1088" t="str">
        <f>_xlfn.IFNA(IF(I1088&lt;&gt;0,VLOOKUP(I1088,ItemText[],IFERROR(MATCH(UI!$B$1,ItemText[#Headers],0),2),FALSE),""),"Unset")</f>
        <v>Unset</v>
      </c>
      <c r="L1088" t="str">
        <f t="shared" si="113"/>
        <v/>
      </c>
      <c r="M1088">
        <v>0</v>
      </c>
      <c r="N1088" t="str">
        <f>IF(VALUE(M1088)=0,"",VLOOKUP(VLOOKUP(M1088,Tbl_Effect[],3,FALSE),EffectName[],IFERROR(MATCH(UI!$B$1,EffectName[#Headers],0),2),FALSE))</f>
        <v/>
      </c>
      <c r="O1088" t="str">
        <f t="shared" si="114"/>
        <v/>
      </c>
      <c r="P1088">
        <v>0</v>
      </c>
      <c r="Q1088" t="str">
        <f>IF(VALUE(P1088)=0,"",VLOOKUP(VLOOKUP(P1088,Tbl_Effect[],3,FALSE),EffectName[],IFERROR(MATCH(UI!$B$1,EffectName[#Headers],0),2),FALSE))</f>
        <v/>
      </c>
      <c r="R1088" t="str">
        <f t="shared" si="115"/>
        <v/>
      </c>
      <c r="S1088">
        <v>0</v>
      </c>
      <c r="T1088" t="str">
        <f>IF(VALUE(S1088)=0,"",VLOOKUP(VLOOKUP(S1088,Tbl_Effect[],3,FALSE),EffectName[],IFERROR(MATCH(UI!$B$1,EffectName[#Headers],0),2),FALSE))</f>
        <v/>
      </c>
      <c r="U1088" t="str">
        <f t="shared" si="116"/>
        <v/>
      </c>
      <c r="V1088">
        <v>0</v>
      </c>
      <c r="W1088" t="str">
        <f>IF(V1088&lt;&gt;0,VLOOKUP(VLOOKUP(V1088,Tbl_Effect[],3,FALSE),EffectName[],IFERROR(MATCH(UI!$B$1,EffectName[#Headers],0),2),FALSE),"")</f>
        <v/>
      </c>
      <c r="X1088" t="str">
        <f t="shared" si="117"/>
        <v/>
      </c>
      <c r="Y1088">
        <v>0</v>
      </c>
      <c r="Z1088" t="str">
        <f>IF(Y1088&lt;&gt;0,VLOOKUP(VLOOKUP(Y1088,Tbl_Effect[],3,FALSE),EffectName[],IFERROR(MATCH(UI!$B$1,EffectName[#Headers],0),2),FALSE),"")</f>
        <v/>
      </c>
      <c r="AA1088" t="str">
        <f t="shared" si="118"/>
        <v/>
      </c>
      <c r="AB1088">
        <v>0</v>
      </c>
      <c r="AC1088" t="str">
        <f>IF(AB1088&lt;&gt;0,VLOOKUP(VLOOKUP(AB1088,Tbl_Effect[],3,FALSE),EffectName[],IFERROR(MATCH(UI!$B$1,EffectName[#Headers],0),2),FALSE),"")</f>
        <v/>
      </c>
    </row>
    <row r="1089" spans="8:29" x14ac:dyDescent="0.4">
      <c r="H1089" t="str">
        <f t="shared" si="112"/>
        <v>7001501-Unset (紅)</v>
      </c>
      <c r="I1089">
        <v>7001501</v>
      </c>
      <c r="J1089" t="str">
        <f>_xlfn.IFNA(IF(I1089&lt;&gt;0,VLOOKUP(VLOOKUP(I1089,Tbl_Equip[],2,FALSE),Tbl_Color[],IFERROR(MATCH(UI!$B$1,Tbl_Color[#Headers],0),2),FALSE),""),"Unset")</f>
        <v>紅</v>
      </c>
      <c r="K1089" t="str">
        <f>_xlfn.IFNA(IF(I1089&lt;&gt;0,VLOOKUP(I1089,ItemText[],IFERROR(MATCH(UI!$B$1,ItemText[#Headers],0),2),FALSE),""),"Unset")</f>
        <v>Unset</v>
      </c>
      <c r="L1089" t="str">
        <f t="shared" si="113"/>
        <v/>
      </c>
      <c r="M1089">
        <v>0</v>
      </c>
      <c r="N1089" t="str">
        <f>IF(VALUE(M1089)=0,"",VLOOKUP(VLOOKUP(M1089,Tbl_Effect[],3,FALSE),EffectName[],IFERROR(MATCH(UI!$B$1,EffectName[#Headers],0),2),FALSE))</f>
        <v/>
      </c>
      <c r="O1089" t="str">
        <f t="shared" si="114"/>
        <v/>
      </c>
      <c r="P1089">
        <v>0</v>
      </c>
      <c r="Q1089" t="str">
        <f>IF(VALUE(P1089)=0,"",VLOOKUP(VLOOKUP(P1089,Tbl_Effect[],3,FALSE),EffectName[],IFERROR(MATCH(UI!$B$1,EffectName[#Headers],0),2),FALSE))</f>
        <v/>
      </c>
      <c r="R1089" t="str">
        <f t="shared" si="115"/>
        <v/>
      </c>
      <c r="S1089">
        <v>0</v>
      </c>
      <c r="T1089" t="str">
        <f>IF(VALUE(S1089)=0,"",VLOOKUP(VLOOKUP(S1089,Tbl_Effect[],3,FALSE),EffectName[],IFERROR(MATCH(UI!$B$1,EffectName[#Headers],0),2),FALSE))</f>
        <v/>
      </c>
      <c r="U1089" t="str">
        <f t="shared" si="116"/>
        <v/>
      </c>
      <c r="V1089">
        <v>0</v>
      </c>
      <c r="W1089" t="str">
        <f>IF(V1089&lt;&gt;0,VLOOKUP(VLOOKUP(V1089,Tbl_Effect[],3,FALSE),EffectName[],IFERROR(MATCH(UI!$B$1,EffectName[#Headers],0),2),FALSE),"")</f>
        <v/>
      </c>
      <c r="X1089" t="str">
        <f t="shared" si="117"/>
        <v/>
      </c>
      <c r="Y1089">
        <v>0</v>
      </c>
      <c r="Z1089" t="str">
        <f>IF(Y1089&lt;&gt;0,VLOOKUP(VLOOKUP(Y1089,Tbl_Effect[],3,FALSE),EffectName[],IFERROR(MATCH(UI!$B$1,EffectName[#Headers],0),2),FALSE),"")</f>
        <v/>
      </c>
      <c r="AA1089" t="str">
        <f t="shared" si="118"/>
        <v/>
      </c>
      <c r="AB1089">
        <v>0</v>
      </c>
      <c r="AC1089" t="str">
        <f>IF(AB1089&lt;&gt;0,VLOOKUP(VLOOKUP(AB1089,Tbl_Effect[],3,FALSE),EffectName[],IFERROR(MATCH(UI!$B$1,EffectName[#Headers],0),2),FALSE),"")</f>
        <v/>
      </c>
    </row>
    <row r="1090" spans="8:29" x14ac:dyDescent="0.4">
      <c r="H1090" t="str">
        <f t="shared" si="112"/>
        <v>7001502-Unset (紅)</v>
      </c>
      <c r="I1090">
        <v>7001502</v>
      </c>
      <c r="J1090" t="str">
        <f>_xlfn.IFNA(IF(I1090&lt;&gt;0,VLOOKUP(VLOOKUP(I1090,Tbl_Equip[],2,FALSE),Tbl_Color[],IFERROR(MATCH(UI!$B$1,Tbl_Color[#Headers],0),2),FALSE),""),"Unset")</f>
        <v>紅</v>
      </c>
      <c r="K1090" t="str">
        <f>_xlfn.IFNA(IF(I1090&lt;&gt;0,VLOOKUP(I1090,ItemText[],IFERROR(MATCH(UI!$B$1,ItemText[#Headers],0),2),FALSE),""),"Unset")</f>
        <v>Unset</v>
      </c>
      <c r="L1090" t="str">
        <f t="shared" si="113"/>
        <v/>
      </c>
      <c r="M1090">
        <v>0</v>
      </c>
      <c r="N1090" t="str">
        <f>IF(VALUE(M1090)=0,"",VLOOKUP(VLOOKUP(M1090,Tbl_Effect[],3,FALSE),EffectName[],IFERROR(MATCH(UI!$B$1,EffectName[#Headers],0),2),FALSE))</f>
        <v/>
      </c>
      <c r="O1090" t="str">
        <f t="shared" si="114"/>
        <v/>
      </c>
      <c r="P1090">
        <v>0</v>
      </c>
      <c r="Q1090" t="str">
        <f>IF(VALUE(P1090)=0,"",VLOOKUP(VLOOKUP(P1090,Tbl_Effect[],3,FALSE),EffectName[],IFERROR(MATCH(UI!$B$1,EffectName[#Headers],0),2),FALSE))</f>
        <v/>
      </c>
      <c r="R1090" t="str">
        <f t="shared" si="115"/>
        <v/>
      </c>
      <c r="S1090">
        <v>0</v>
      </c>
      <c r="T1090" t="str">
        <f>IF(VALUE(S1090)=0,"",VLOOKUP(VLOOKUP(S1090,Tbl_Effect[],3,FALSE),EffectName[],IFERROR(MATCH(UI!$B$1,EffectName[#Headers],0),2),FALSE))</f>
        <v/>
      </c>
      <c r="U1090" t="str">
        <f t="shared" si="116"/>
        <v/>
      </c>
      <c r="V1090">
        <v>0</v>
      </c>
      <c r="W1090" t="str">
        <f>IF(V1090&lt;&gt;0,VLOOKUP(VLOOKUP(V1090,Tbl_Effect[],3,FALSE),EffectName[],IFERROR(MATCH(UI!$B$1,EffectName[#Headers],0),2),FALSE),"")</f>
        <v/>
      </c>
      <c r="X1090" t="str">
        <f t="shared" si="117"/>
        <v/>
      </c>
      <c r="Y1090">
        <v>0</v>
      </c>
      <c r="Z1090" t="str">
        <f>IF(Y1090&lt;&gt;0,VLOOKUP(VLOOKUP(Y1090,Tbl_Effect[],3,FALSE),EffectName[],IFERROR(MATCH(UI!$B$1,EffectName[#Headers],0),2),FALSE),"")</f>
        <v/>
      </c>
      <c r="AA1090" t="str">
        <f t="shared" si="118"/>
        <v/>
      </c>
      <c r="AB1090">
        <v>0</v>
      </c>
      <c r="AC1090" t="str">
        <f>IF(AB1090&lt;&gt;0,VLOOKUP(VLOOKUP(AB1090,Tbl_Effect[],3,FALSE),EffectName[],IFERROR(MATCH(UI!$B$1,EffectName[#Headers],0),2),FALSE),"")</f>
        <v/>
      </c>
    </row>
    <row r="1091" spans="8:29" x14ac:dyDescent="0.4">
      <c r="H1091" t="str">
        <f t="shared" ref="H1091:H1154" si="119">IF(VALUE(I1091)&lt;&gt;0,I1091&amp;"-"&amp;K1091&amp;" ("&amp;J1091&amp;")","")</f>
        <v>7001600-Unset (紅)</v>
      </c>
      <c r="I1091">
        <v>7001600</v>
      </c>
      <c r="J1091" t="str">
        <f>_xlfn.IFNA(IF(I1091&lt;&gt;0,VLOOKUP(VLOOKUP(I1091,Tbl_Equip[],2,FALSE),Tbl_Color[],IFERROR(MATCH(UI!$B$1,Tbl_Color[#Headers],0),2),FALSE),""),"Unset")</f>
        <v>紅</v>
      </c>
      <c r="K1091" t="str">
        <f>_xlfn.IFNA(IF(I1091&lt;&gt;0,VLOOKUP(I1091,ItemText[],IFERROR(MATCH(UI!$B$1,ItemText[#Headers],0),2),FALSE),""),"Unset")</f>
        <v>Unset</v>
      </c>
      <c r="L1091" t="str">
        <f t="shared" ref="L1091:L1154" si="120">IF(VALUE(M1091)=0,"",M1091&amp;"-"&amp;N1091)</f>
        <v/>
      </c>
      <c r="M1091">
        <v>0</v>
      </c>
      <c r="N1091" t="str">
        <f>IF(VALUE(M1091)=0,"",VLOOKUP(VLOOKUP(M1091,Tbl_Effect[],3,FALSE),EffectName[],IFERROR(MATCH(UI!$B$1,EffectName[#Headers],0),2),FALSE))</f>
        <v/>
      </c>
      <c r="O1091" t="str">
        <f t="shared" ref="O1091:O1154" si="121">IF(VALUE(P1091)=0,"",P1091&amp;"-"&amp;Q1091)</f>
        <v/>
      </c>
      <c r="P1091">
        <v>0</v>
      </c>
      <c r="Q1091" t="str">
        <f>IF(VALUE(P1091)=0,"",VLOOKUP(VLOOKUP(P1091,Tbl_Effect[],3,FALSE),EffectName[],IFERROR(MATCH(UI!$B$1,EffectName[#Headers],0),2),FALSE))</f>
        <v/>
      </c>
      <c r="R1091" t="str">
        <f t="shared" ref="R1091:R1154" si="122">IF(VALUE(S1091)=0,"",S1091&amp;"-"&amp;T1091)</f>
        <v/>
      </c>
      <c r="S1091">
        <v>0</v>
      </c>
      <c r="T1091" t="str">
        <f>IF(VALUE(S1091)=0,"",VLOOKUP(VLOOKUP(S1091,Tbl_Effect[],3,FALSE),EffectName[],IFERROR(MATCH(UI!$B$1,EffectName[#Headers],0),2),FALSE))</f>
        <v/>
      </c>
      <c r="U1091" t="str">
        <f t="shared" ref="U1091:U1154" si="123">IF(VALUE(V1091)=0,"",V1091&amp;"-"&amp;W1091)</f>
        <v/>
      </c>
      <c r="V1091">
        <v>0</v>
      </c>
      <c r="W1091" t="str">
        <f>IF(V1091&lt;&gt;0,VLOOKUP(VLOOKUP(V1091,Tbl_Effect[],3,FALSE),EffectName[],IFERROR(MATCH(UI!$B$1,EffectName[#Headers],0),2),FALSE),"")</f>
        <v/>
      </c>
      <c r="X1091" t="str">
        <f t="shared" ref="X1091:X1154" si="124">IF(VALUE(Y1091)=0,"",Y1091&amp;"-"&amp;Z1091)</f>
        <v/>
      </c>
      <c r="Y1091">
        <v>0</v>
      </c>
      <c r="Z1091" t="str">
        <f>IF(Y1091&lt;&gt;0,VLOOKUP(VLOOKUP(Y1091,Tbl_Effect[],3,FALSE),EffectName[],IFERROR(MATCH(UI!$B$1,EffectName[#Headers],0),2),FALSE),"")</f>
        <v/>
      </c>
      <c r="AA1091" t="str">
        <f t="shared" ref="AA1091:AA1154" si="125">IF(VALUE(AB1091)=0,"",AB1091&amp;"-"&amp;AC1091)</f>
        <v/>
      </c>
      <c r="AB1091">
        <v>0</v>
      </c>
      <c r="AC1091" t="str">
        <f>IF(AB1091&lt;&gt;0,VLOOKUP(VLOOKUP(AB1091,Tbl_Effect[],3,FALSE),EffectName[],IFERROR(MATCH(UI!$B$1,EffectName[#Headers],0),2),FALSE),"")</f>
        <v/>
      </c>
    </row>
    <row r="1092" spans="8:29" x14ac:dyDescent="0.4">
      <c r="H1092" t="str">
        <f t="shared" si="119"/>
        <v>7001601-Unset (紅)</v>
      </c>
      <c r="I1092">
        <v>7001601</v>
      </c>
      <c r="J1092" t="str">
        <f>_xlfn.IFNA(IF(I1092&lt;&gt;0,VLOOKUP(VLOOKUP(I1092,Tbl_Equip[],2,FALSE),Tbl_Color[],IFERROR(MATCH(UI!$B$1,Tbl_Color[#Headers],0),2),FALSE),""),"Unset")</f>
        <v>紅</v>
      </c>
      <c r="K1092" t="str">
        <f>_xlfn.IFNA(IF(I1092&lt;&gt;0,VLOOKUP(I1092,ItemText[],IFERROR(MATCH(UI!$B$1,ItemText[#Headers],0),2),FALSE),""),"Unset")</f>
        <v>Unset</v>
      </c>
      <c r="L1092" t="str">
        <f t="shared" si="120"/>
        <v/>
      </c>
      <c r="M1092">
        <v>0</v>
      </c>
      <c r="N1092" t="str">
        <f>IF(VALUE(M1092)=0,"",VLOOKUP(VLOOKUP(M1092,Tbl_Effect[],3,FALSE),EffectName[],IFERROR(MATCH(UI!$B$1,EffectName[#Headers],0),2),FALSE))</f>
        <v/>
      </c>
      <c r="O1092" t="str">
        <f t="shared" si="121"/>
        <v/>
      </c>
      <c r="P1092">
        <v>0</v>
      </c>
      <c r="Q1092" t="str">
        <f>IF(VALUE(P1092)=0,"",VLOOKUP(VLOOKUP(P1092,Tbl_Effect[],3,FALSE),EffectName[],IFERROR(MATCH(UI!$B$1,EffectName[#Headers],0),2),FALSE))</f>
        <v/>
      </c>
      <c r="R1092" t="str">
        <f t="shared" si="122"/>
        <v/>
      </c>
      <c r="S1092">
        <v>0</v>
      </c>
      <c r="T1092" t="str">
        <f>IF(VALUE(S1092)=0,"",VLOOKUP(VLOOKUP(S1092,Tbl_Effect[],3,FALSE),EffectName[],IFERROR(MATCH(UI!$B$1,EffectName[#Headers],0),2),FALSE))</f>
        <v/>
      </c>
      <c r="U1092" t="str">
        <f t="shared" si="123"/>
        <v/>
      </c>
      <c r="V1092">
        <v>0</v>
      </c>
      <c r="W1092" t="str">
        <f>IF(V1092&lt;&gt;0,VLOOKUP(VLOOKUP(V1092,Tbl_Effect[],3,FALSE),EffectName[],IFERROR(MATCH(UI!$B$1,EffectName[#Headers],0),2),FALSE),"")</f>
        <v/>
      </c>
      <c r="X1092" t="str">
        <f t="shared" si="124"/>
        <v/>
      </c>
      <c r="Y1092">
        <v>0</v>
      </c>
      <c r="Z1092" t="str">
        <f>IF(Y1092&lt;&gt;0,VLOOKUP(VLOOKUP(Y1092,Tbl_Effect[],3,FALSE),EffectName[],IFERROR(MATCH(UI!$B$1,EffectName[#Headers],0),2),FALSE),"")</f>
        <v/>
      </c>
      <c r="AA1092" t="str">
        <f t="shared" si="125"/>
        <v/>
      </c>
      <c r="AB1092">
        <v>0</v>
      </c>
      <c r="AC1092" t="str">
        <f>IF(AB1092&lt;&gt;0,VLOOKUP(VLOOKUP(AB1092,Tbl_Effect[],3,FALSE),EffectName[],IFERROR(MATCH(UI!$B$1,EffectName[#Headers],0),2),FALSE),"")</f>
        <v/>
      </c>
    </row>
    <row r="1093" spans="8:29" x14ac:dyDescent="0.4">
      <c r="H1093" t="str">
        <f t="shared" si="119"/>
        <v>7001602-Unset (紅)</v>
      </c>
      <c r="I1093">
        <v>7001602</v>
      </c>
      <c r="J1093" t="str">
        <f>_xlfn.IFNA(IF(I1093&lt;&gt;0,VLOOKUP(VLOOKUP(I1093,Tbl_Equip[],2,FALSE),Tbl_Color[],IFERROR(MATCH(UI!$B$1,Tbl_Color[#Headers],0),2),FALSE),""),"Unset")</f>
        <v>紅</v>
      </c>
      <c r="K1093" t="str">
        <f>_xlfn.IFNA(IF(I1093&lt;&gt;0,VLOOKUP(I1093,ItemText[],IFERROR(MATCH(UI!$B$1,ItemText[#Headers],0),2),FALSE),""),"Unset")</f>
        <v>Unset</v>
      </c>
      <c r="L1093" t="str">
        <f t="shared" si="120"/>
        <v/>
      </c>
      <c r="M1093">
        <v>0</v>
      </c>
      <c r="N1093" t="str">
        <f>IF(VALUE(M1093)=0,"",VLOOKUP(VLOOKUP(M1093,Tbl_Effect[],3,FALSE),EffectName[],IFERROR(MATCH(UI!$B$1,EffectName[#Headers],0),2),FALSE))</f>
        <v/>
      </c>
      <c r="O1093" t="str">
        <f t="shared" si="121"/>
        <v/>
      </c>
      <c r="P1093">
        <v>0</v>
      </c>
      <c r="Q1093" t="str">
        <f>IF(VALUE(P1093)=0,"",VLOOKUP(VLOOKUP(P1093,Tbl_Effect[],3,FALSE),EffectName[],IFERROR(MATCH(UI!$B$1,EffectName[#Headers],0),2),FALSE))</f>
        <v/>
      </c>
      <c r="R1093" t="str">
        <f t="shared" si="122"/>
        <v/>
      </c>
      <c r="S1093">
        <v>0</v>
      </c>
      <c r="T1093" t="str">
        <f>IF(VALUE(S1093)=0,"",VLOOKUP(VLOOKUP(S1093,Tbl_Effect[],3,FALSE),EffectName[],IFERROR(MATCH(UI!$B$1,EffectName[#Headers],0),2),FALSE))</f>
        <v/>
      </c>
      <c r="U1093" t="str">
        <f t="shared" si="123"/>
        <v/>
      </c>
      <c r="V1093">
        <v>0</v>
      </c>
      <c r="W1093" t="str">
        <f>IF(V1093&lt;&gt;0,VLOOKUP(VLOOKUP(V1093,Tbl_Effect[],3,FALSE),EffectName[],IFERROR(MATCH(UI!$B$1,EffectName[#Headers],0),2),FALSE),"")</f>
        <v/>
      </c>
      <c r="X1093" t="str">
        <f t="shared" si="124"/>
        <v/>
      </c>
      <c r="Y1093">
        <v>0</v>
      </c>
      <c r="Z1093" t="str">
        <f>IF(Y1093&lt;&gt;0,VLOOKUP(VLOOKUP(Y1093,Tbl_Effect[],3,FALSE),EffectName[],IFERROR(MATCH(UI!$B$1,EffectName[#Headers],0),2),FALSE),"")</f>
        <v/>
      </c>
      <c r="AA1093" t="str">
        <f t="shared" si="125"/>
        <v/>
      </c>
      <c r="AB1093">
        <v>0</v>
      </c>
      <c r="AC1093" t="str">
        <f>IF(AB1093&lt;&gt;0,VLOOKUP(VLOOKUP(AB1093,Tbl_Effect[],3,FALSE),EffectName[],IFERROR(MATCH(UI!$B$1,EffectName[#Headers],0),2),FALSE),"")</f>
        <v/>
      </c>
    </row>
    <row r="1094" spans="8:29" x14ac:dyDescent="0.4">
      <c r="H1094" t="str">
        <f t="shared" si="119"/>
        <v>7001700-Unset (紅)</v>
      </c>
      <c r="I1094">
        <v>7001700</v>
      </c>
      <c r="J1094" t="str">
        <f>_xlfn.IFNA(IF(I1094&lt;&gt;0,VLOOKUP(VLOOKUP(I1094,Tbl_Equip[],2,FALSE),Tbl_Color[],IFERROR(MATCH(UI!$B$1,Tbl_Color[#Headers],0),2),FALSE),""),"Unset")</f>
        <v>紅</v>
      </c>
      <c r="K1094" t="str">
        <f>_xlfn.IFNA(IF(I1094&lt;&gt;0,VLOOKUP(I1094,ItemText[],IFERROR(MATCH(UI!$B$1,ItemText[#Headers],0),2),FALSE),""),"Unset")</f>
        <v>Unset</v>
      </c>
      <c r="L1094" t="str">
        <f t="shared" si="120"/>
        <v/>
      </c>
      <c r="M1094">
        <v>0</v>
      </c>
      <c r="N1094" t="str">
        <f>IF(VALUE(M1094)=0,"",VLOOKUP(VLOOKUP(M1094,Tbl_Effect[],3,FALSE),EffectName[],IFERROR(MATCH(UI!$B$1,EffectName[#Headers],0),2),FALSE))</f>
        <v/>
      </c>
      <c r="O1094" t="str">
        <f t="shared" si="121"/>
        <v/>
      </c>
      <c r="P1094">
        <v>0</v>
      </c>
      <c r="Q1094" t="str">
        <f>IF(VALUE(P1094)=0,"",VLOOKUP(VLOOKUP(P1094,Tbl_Effect[],3,FALSE),EffectName[],IFERROR(MATCH(UI!$B$1,EffectName[#Headers],0),2),FALSE))</f>
        <v/>
      </c>
      <c r="R1094" t="str">
        <f t="shared" si="122"/>
        <v/>
      </c>
      <c r="S1094">
        <v>0</v>
      </c>
      <c r="T1094" t="str">
        <f>IF(VALUE(S1094)=0,"",VLOOKUP(VLOOKUP(S1094,Tbl_Effect[],3,FALSE),EffectName[],IFERROR(MATCH(UI!$B$1,EffectName[#Headers],0),2),FALSE))</f>
        <v/>
      </c>
      <c r="U1094" t="str">
        <f t="shared" si="123"/>
        <v/>
      </c>
      <c r="V1094">
        <v>0</v>
      </c>
      <c r="W1094" t="str">
        <f>IF(V1094&lt;&gt;0,VLOOKUP(VLOOKUP(V1094,Tbl_Effect[],3,FALSE),EffectName[],IFERROR(MATCH(UI!$B$1,EffectName[#Headers],0),2),FALSE),"")</f>
        <v/>
      </c>
      <c r="X1094" t="str">
        <f t="shared" si="124"/>
        <v/>
      </c>
      <c r="Y1094">
        <v>0</v>
      </c>
      <c r="Z1094" t="str">
        <f>IF(Y1094&lt;&gt;0,VLOOKUP(VLOOKUP(Y1094,Tbl_Effect[],3,FALSE),EffectName[],IFERROR(MATCH(UI!$B$1,EffectName[#Headers],0),2),FALSE),"")</f>
        <v/>
      </c>
      <c r="AA1094" t="str">
        <f t="shared" si="125"/>
        <v/>
      </c>
      <c r="AB1094">
        <v>0</v>
      </c>
      <c r="AC1094" t="str">
        <f>IF(AB1094&lt;&gt;0,VLOOKUP(VLOOKUP(AB1094,Tbl_Effect[],3,FALSE),EffectName[],IFERROR(MATCH(UI!$B$1,EffectName[#Headers],0),2),FALSE),"")</f>
        <v/>
      </c>
    </row>
    <row r="1095" spans="8:29" x14ac:dyDescent="0.4">
      <c r="H1095" t="str">
        <f t="shared" si="119"/>
        <v>7001701-Unset (紅)</v>
      </c>
      <c r="I1095">
        <v>7001701</v>
      </c>
      <c r="J1095" t="str">
        <f>_xlfn.IFNA(IF(I1095&lt;&gt;0,VLOOKUP(VLOOKUP(I1095,Tbl_Equip[],2,FALSE),Tbl_Color[],IFERROR(MATCH(UI!$B$1,Tbl_Color[#Headers],0),2),FALSE),""),"Unset")</f>
        <v>紅</v>
      </c>
      <c r="K1095" t="str">
        <f>_xlfn.IFNA(IF(I1095&lt;&gt;0,VLOOKUP(I1095,ItemText[],IFERROR(MATCH(UI!$B$1,ItemText[#Headers],0),2),FALSE),""),"Unset")</f>
        <v>Unset</v>
      </c>
      <c r="L1095" t="str">
        <f t="shared" si="120"/>
        <v/>
      </c>
      <c r="M1095">
        <v>0</v>
      </c>
      <c r="N1095" t="str">
        <f>IF(VALUE(M1095)=0,"",VLOOKUP(VLOOKUP(M1095,Tbl_Effect[],3,FALSE),EffectName[],IFERROR(MATCH(UI!$B$1,EffectName[#Headers],0),2),FALSE))</f>
        <v/>
      </c>
      <c r="O1095" t="str">
        <f t="shared" si="121"/>
        <v/>
      </c>
      <c r="P1095">
        <v>0</v>
      </c>
      <c r="Q1095" t="str">
        <f>IF(VALUE(P1095)=0,"",VLOOKUP(VLOOKUP(P1095,Tbl_Effect[],3,FALSE),EffectName[],IFERROR(MATCH(UI!$B$1,EffectName[#Headers],0),2),FALSE))</f>
        <v/>
      </c>
      <c r="R1095" t="str">
        <f t="shared" si="122"/>
        <v/>
      </c>
      <c r="S1095">
        <v>0</v>
      </c>
      <c r="T1095" t="str">
        <f>IF(VALUE(S1095)=0,"",VLOOKUP(VLOOKUP(S1095,Tbl_Effect[],3,FALSE),EffectName[],IFERROR(MATCH(UI!$B$1,EffectName[#Headers],0),2),FALSE))</f>
        <v/>
      </c>
      <c r="U1095" t="str">
        <f t="shared" si="123"/>
        <v/>
      </c>
      <c r="V1095">
        <v>0</v>
      </c>
      <c r="W1095" t="str">
        <f>IF(V1095&lt;&gt;0,VLOOKUP(VLOOKUP(V1095,Tbl_Effect[],3,FALSE),EffectName[],IFERROR(MATCH(UI!$B$1,EffectName[#Headers],0),2),FALSE),"")</f>
        <v/>
      </c>
      <c r="X1095" t="str">
        <f t="shared" si="124"/>
        <v/>
      </c>
      <c r="Y1095">
        <v>0</v>
      </c>
      <c r="Z1095" t="str">
        <f>IF(Y1095&lt;&gt;0,VLOOKUP(VLOOKUP(Y1095,Tbl_Effect[],3,FALSE),EffectName[],IFERROR(MATCH(UI!$B$1,EffectName[#Headers],0),2),FALSE),"")</f>
        <v/>
      </c>
      <c r="AA1095" t="str">
        <f t="shared" si="125"/>
        <v/>
      </c>
      <c r="AB1095">
        <v>0</v>
      </c>
      <c r="AC1095" t="str">
        <f>IF(AB1095&lt;&gt;0,VLOOKUP(VLOOKUP(AB1095,Tbl_Effect[],3,FALSE),EffectName[],IFERROR(MATCH(UI!$B$1,EffectName[#Headers],0),2),FALSE),"")</f>
        <v/>
      </c>
    </row>
    <row r="1096" spans="8:29" x14ac:dyDescent="0.4">
      <c r="H1096" t="str">
        <f t="shared" si="119"/>
        <v>7001702-Unset (紅)</v>
      </c>
      <c r="I1096">
        <v>7001702</v>
      </c>
      <c r="J1096" t="str">
        <f>_xlfn.IFNA(IF(I1096&lt;&gt;0,VLOOKUP(VLOOKUP(I1096,Tbl_Equip[],2,FALSE),Tbl_Color[],IFERROR(MATCH(UI!$B$1,Tbl_Color[#Headers],0),2),FALSE),""),"Unset")</f>
        <v>紅</v>
      </c>
      <c r="K1096" t="str">
        <f>_xlfn.IFNA(IF(I1096&lt;&gt;0,VLOOKUP(I1096,ItemText[],IFERROR(MATCH(UI!$B$1,ItemText[#Headers],0),2),FALSE),""),"Unset")</f>
        <v>Unset</v>
      </c>
      <c r="L1096" t="str">
        <f t="shared" si="120"/>
        <v/>
      </c>
      <c r="M1096">
        <v>0</v>
      </c>
      <c r="N1096" t="str">
        <f>IF(VALUE(M1096)=0,"",VLOOKUP(VLOOKUP(M1096,Tbl_Effect[],3,FALSE),EffectName[],IFERROR(MATCH(UI!$B$1,EffectName[#Headers],0),2),FALSE))</f>
        <v/>
      </c>
      <c r="O1096" t="str">
        <f t="shared" si="121"/>
        <v/>
      </c>
      <c r="P1096">
        <v>0</v>
      </c>
      <c r="Q1096" t="str">
        <f>IF(VALUE(P1096)=0,"",VLOOKUP(VLOOKUP(P1096,Tbl_Effect[],3,FALSE),EffectName[],IFERROR(MATCH(UI!$B$1,EffectName[#Headers],0),2),FALSE))</f>
        <v/>
      </c>
      <c r="R1096" t="str">
        <f t="shared" si="122"/>
        <v/>
      </c>
      <c r="S1096">
        <v>0</v>
      </c>
      <c r="T1096" t="str">
        <f>IF(VALUE(S1096)=0,"",VLOOKUP(VLOOKUP(S1096,Tbl_Effect[],3,FALSE),EffectName[],IFERROR(MATCH(UI!$B$1,EffectName[#Headers],0),2),FALSE))</f>
        <v/>
      </c>
      <c r="U1096" t="str">
        <f t="shared" si="123"/>
        <v/>
      </c>
      <c r="V1096">
        <v>0</v>
      </c>
      <c r="W1096" t="str">
        <f>IF(V1096&lt;&gt;0,VLOOKUP(VLOOKUP(V1096,Tbl_Effect[],3,FALSE),EffectName[],IFERROR(MATCH(UI!$B$1,EffectName[#Headers],0),2),FALSE),"")</f>
        <v/>
      </c>
      <c r="X1096" t="str">
        <f t="shared" si="124"/>
        <v/>
      </c>
      <c r="Y1096">
        <v>0</v>
      </c>
      <c r="Z1096" t="str">
        <f>IF(Y1096&lt;&gt;0,VLOOKUP(VLOOKUP(Y1096,Tbl_Effect[],3,FALSE),EffectName[],IFERROR(MATCH(UI!$B$1,EffectName[#Headers],0),2),FALSE),"")</f>
        <v/>
      </c>
      <c r="AA1096" t="str">
        <f t="shared" si="125"/>
        <v/>
      </c>
      <c r="AB1096">
        <v>0</v>
      </c>
      <c r="AC1096" t="str">
        <f>IF(AB1096&lt;&gt;0,VLOOKUP(VLOOKUP(AB1096,Tbl_Effect[],3,FALSE),EffectName[],IFERROR(MATCH(UI!$B$1,EffectName[#Headers],0),2),FALSE),"")</f>
        <v/>
      </c>
    </row>
    <row r="1097" spans="8:29" x14ac:dyDescent="0.4">
      <c r="H1097" t="str">
        <f t="shared" si="119"/>
        <v>7001800-Unset (紅)</v>
      </c>
      <c r="I1097">
        <v>7001800</v>
      </c>
      <c r="J1097" t="str">
        <f>_xlfn.IFNA(IF(I1097&lt;&gt;0,VLOOKUP(VLOOKUP(I1097,Tbl_Equip[],2,FALSE),Tbl_Color[],IFERROR(MATCH(UI!$B$1,Tbl_Color[#Headers],0),2),FALSE),""),"Unset")</f>
        <v>紅</v>
      </c>
      <c r="K1097" t="str">
        <f>_xlfn.IFNA(IF(I1097&lt;&gt;0,VLOOKUP(I1097,ItemText[],IFERROR(MATCH(UI!$B$1,ItemText[#Headers],0),2),FALSE),""),"Unset")</f>
        <v>Unset</v>
      </c>
      <c r="L1097" t="str">
        <f t="shared" si="120"/>
        <v/>
      </c>
      <c r="M1097">
        <v>0</v>
      </c>
      <c r="N1097" t="str">
        <f>IF(VALUE(M1097)=0,"",VLOOKUP(VLOOKUP(M1097,Tbl_Effect[],3,FALSE),EffectName[],IFERROR(MATCH(UI!$B$1,EffectName[#Headers],0),2),FALSE))</f>
        <v/>
      </c>
      <c r="O1097" t="str">
        <f t="shared" si="121"/>
        <v/>
      </c>
      <c r="P1097">
        <v>0</v>
      </c>
      <c r="Q1097" t="str">
        <f>IF(VALUE(P1097)=0,"",VLOOKUP(VLOOKUP(P1097,Tbl_Effect[],3,FALSE),EffectName[],IFERROR(MATCH(UI!$B$1,EffectName[#Headers],0),2),FALSE))</f>
        <v/>
      </c>
      <c r="R1097" t="str">
        <f t="shared" si="122"/>
        <v/>
      </c>
      <c r="S1097">
        <v>0</v>
      </c>
      <c r="T1097" t="str">
        <f>IF(VALUE(S1097)=0,"",VLOOKUP(VLOOKUP(S1097,Tbl_Effect[],3,FALSE),EffectName[],IFERROR(MATCH(UI!$B$1,EffectName[#Headers],0),2),FALSE))</f>
        <v/>
      </c>
      <c r="U1097" t="str">
        <f t="shared" si="123"/>
        <v/>
      </c>
      <c r="V1097">
        <v>0</v>
      </c>
      <c r="W1097" t="str">
        <f>IF(V1097&lt;&gt;0,VLOOKUP(VLOOKUP(V1097,Tbl_Effect[],3,FALSE),EffectName[],IFERROR(MATCH(UI!$B$1,EffectName[#Headers],0),2),FALSE),"")</f>
        <v/>
      </c>
      <c r="X1097" t="str">
        <f t="shared" si="124"/>
        <v/>
      </c>
      <c r="Y1097">
        <v>0</v>
      </c>
      <c r="Z1097" t="str">
        <f>IF(Y1097&lt;&gt;0,VLOOKUP(VLOOKUP(Y1097,Tbl_Effect[],3,FALSE),EffectName[],IFERROR(MATCH(UI!$B$1,EffectName[#Headers],0),2),FALSE),"")</f>
        <v/>
      </c>
      <c r="AA1097" t="str">
        <f t="shared" si="125"/>
        <v/>
      </c>
      <c r="AB1097">
        <v>0</v>
      </c>
      <c r="AC1097" t="str">
        <f>IF(AB1097&lt;&gt;0,VLOOKUP(VLOOKUP(AB1097,Tbl_Effect[],3,FALSE),EffectName[],IFERROR(MATCH(UI!$B$1,EffectName[#Headers],0),2),FALSE),"")</f>
        <v/>
      </c>
    </row>
    <row r="1098" spans="8:29" x14ac:dyDescent="0.4">
      <c r="H1098" t="str">
        <f t="shared" si="119"/>
        <v>7001801-Unset (紅)</v>
      </c>
      <c r="I1098">
        <v>7001801</v>
      </c>
      <c r="J1098" t="str">
        <f>_xlfn.IFNA(IF(I1098&lt;&gt;0,VLOOKUP(VLOOKUP(I1098,Tbl_Equip[],2,FALSE),Tbl_Color[],IFERROR(MATCH(UI!$B$1,Tbl_Color[#Headers],0),2),FALSE),""),"Unset")</f>
        <v>紅</v>
      </c>
      <c r="K1098" t="str">
        <f>_xlfn.IFNA(IF(I1098&lt;&gt;0,VLOOKUP(I1098,ItemText[],IFERROR(MATCH(UI!$B$1,ItemText[#Headers],0),2),FALSE),""),"Unset")</f>
        <v>Unset</v>
      </c>
      <c r="L1098" t="str">
        <f t="shared" si="120"/>
        <v/>
      </c>
      <c r="M1098">
        <v>0</v>
      </c>
      <c r="N1098" t="str">
        <f>IF(VALUE(M1098)=0,"",VLOOKUP(VLOOKUP(M1098,Tbl_Effect[],3,FALSE),EffectName[],IFERROR(MATCH(UI!$B$1,EffectName[#Headers],0),2),FALSE))</f>
        <v/>
      </c>
      <c r="O1098" t="str">
        <f t="shared" si="121"/>
        <v/>
      </c>
      <c r="P1098">
        <v>0</v>
      </c>
      <c r="Q1098" t="str">
        <f>IF(VALUE(P1098)=0,"",VLOOKUP(VLOOKUP(P1098,Tbl_Effect[],3,FALSE),EffectName[],IFERROR(MATCH(UI!$B$1,EffectName[#Headers],0),2),FALSE))</f>
        <v/>
      </c>
      <c r="R1098" t="str">
        <f t="shared" si="122"/>
        <v/>
      </c>
      <c r="S1098">
        <v>0</v>
      </c>
      <c r="T1098" t="str">
        <f>IF(VALUE(S1098)=0,"",VLOOKUP(VLOOKUP(S1098,Tbl_Effect[],3,FALSE),EffectName[],IFERROR(MATCH(UI!$B$1,EffectName[#Headers],0),2),FALSE))</f>
        <v/>
      </c>
      <c r="U1098" t="str">
        <f t="shared" si="123"/>
        <v/>
      </c>
      <c r="V1098">
        <v>0</v>
      </c>
      <c r="W1098" t="str">
        <f>IF(V1098&lt;&gt;0,VLOOKUP(VLOOKUP(V1098,Tbl_Effect[],3,FALSE),EffectName[],IFERROR(MATCH(UI!$B$1,EffectName[#Headers],0),2),FALSE),"")</f>
        <v/>
      </c>
      <c r="X1098" t="str">
        <f t="shared" si="124"/>
        <v/>
      </c>
      <c r="Y1098">
        <v>0</v>
      </c>
      <c r="Z1098" t="str">
        <f>IF(Y1098&lt;&gt;0,VLOOKUP(VLOOKUP(Y1098,Tbl_Effect[],3,FALSE),EffectName[],IFERROR(MATCH(UI!$B$1,EffectName[#Headers],0),2),FALSE),"")</f>
        <v/>
      </c>
      <c r="AA1098" t="str">
        <f t="shared" si="125"/>
        <v/>
      </c>
      <c r="AB1098">
        <v>0</v>
      </c>
      <c r="AC1098" t="str">
        <f>IF(AB1098&lt;&gt;0,VLOOKUP(VLOOKUP(AB1098,Tbl_Effect[],3,FALSE),EffectName[],IFERROR(MATCH(UI!$B$1,EffectName[#Headers],0),2),FALSE),"")</f>
        <v/>
      </c>
    </row>
    <row r="1099" spans="8:29" x14ac:dyDescent="0.4">
      <c r="H1099" t="str">
        <f t="shared" si="119"/>
        <v>7001802-Unset (紅)</v>
      </c>
      <c r="I1099">
        <v>7001802</v>
      </c>
      <c r="J1099" t="str">
        <f>_xlfn.IFNA(IF(I1099&lt;&gt;0,VLOOKUP(VLOOKUP(I1099,Tbl_Equip[],2,FALSE),Tbl_Color[],IFERROR(MATCH(UI!$B$1,Tbl_Color[#Headers],0),2),FALSE),""),"Unset")</f>
        <v>紅</v>
      </c>
      <c r="K1099" t="str">
        <f>_xlfn.IFNA(IF(I1099&lt;&gt;0,VLOOKUP(I1099,ItemText[],IFERROR(MATCH(UI!$B$1,ItemText[#Headers],0),2),FALSE),""),"Unset")</f>
        <v>Unset</v>
      </c>
      <c r="L1099" t="str">
        <f t="shared" si="120"/>
        <v/>
      </c>
      <c r="M1099">
        <v>0</v>
      </c>
      <c r="N1099" t="str">
        <f>IF(VALUE(M1099)=0,"",VLOOKUP(VLOOKUP(M1099,Tbl_Effect[],3,FALSE),EffectName[],IFERROR(MATCH(UI!$B$1,EffectName[#Headers],0),2),FALSE))</f>
        <v/>
      </c>
      <c r="O1099" t="str">
        <f t="shared" si="121"/>
        <v/>
      </c>
      <c r="P1099">
        <v>0</v>
      </c>
      <c r="Q1099" t="str">
        <f>IF(VALUE(P1099)=0,"",VLOOKUP(VLOOKUP(P1099,Tbl_Effect[],3,FALSE),EffectName[],IFERROR(MATCH(UI!$B$1,EffectName[#Headers],0),2),FALSE))</f>
        <v/>
      </c>
      <c r="R1099" t="str">
        <f t="shared" si="122"/>
        <v/>
      </c>
      <c r="S1099">
        <v>0</v>
      </c>
      <c r="T1099" t="str">
        <f>IF(VALUE(S1099)=0,"",VLOOKUP(VLOOKUP(S1099,Tbl_Effect[],3,FALSE),EffectName[],IFERROR(MATCH(UI!$B$1,EffectName[#Headers],0),2),FALSE))</f>
        <v/>
      </c>
      <c r="U1099" t="str">
        <f t="shared" si="123"/>
        <v/>
      </c>
      <c r="V1099">
        <v>0</v>
      </c>
      <c r="W1099" t="str">
        <f>IF(V1099&lt;&gt;0,VLOOKUP(VLOOKUP(V1099,Tbl_Effect[],3,FALSE),EffectName[],IFERROR(MATCH(UI!$B$1,EffectName[#Headers],0),2),FALSE),"")</f>
        <v/>
      </c>
      <c r="X1099" t="str">
        <f t="shared" si="124"/>
        <v/>
      </c>
      <c r="Y1099">
        <v>0</v>
      </c>
      <c r="Z1099" t="str">
        <f>IF(Y1099&lt;&gt;0,VLOOKUP(VLOOKUP(Y1099,Tbl_Effect[],3,FALSE),EffectName[],IFERROR(MATCH(UI!$B$1,EffectName[#Headers],0),2),FALSE),"")</f>
        <v/>
      </c>
      <c r="AA1099" t="str">
        <f t="shared" si="125"/>
        <v/>
      </c>
      <c r="AB1099">
        <v>0</v>
      </c>
      <c r="AC1099" t="str">
        <f>IF(AB1099&lt;&gt;0,VLOOKUP(VLOOKUP(AB1099,Tbl_Effect[],3,FALSE),EffectName[],IFERROR(MATCH(UI!$B$1,EffectName[#Headers],0),2),FALSE),"")</f>
        <v/>
      </c>
    </row>
    <row r="1100" spans="8:29" x14ac:dyDescent="0.4">
      <c r="H1100" t="str">
        <f t="shared" si="119"/>
        <v>7002600-Unset (紅)</v>
      </c>
      <c r="I1100">
        <v>7002600</v>
      </c>
      <c r="J1100" t="str">
        <f>_xlfn.IFNA(IF(I1100&lt;&gt;0,VLOOKUP(VLOOKUP(I1100,Tbl_Equip[],2,FALSE),Tbl_Color[],IFERROR(MATCH(UI!$B$1,Tbl_Color[#Headers],0),2),FALSE),""),"Unset")</f>
        <v>紅</v>
      </c>
      <c r="K1100" t="str">
        <f>_xlfn.IFNA(IF(I1100&lt;&gt;0,VLOOKUP(I1100,ItemText[],IFERROR(MATCH(UI!$B$1,ItemText[#Headers],0),2),FALSE),""),"Unset")</f>
        <v>Unset</v>
      </c>
      <c r="L1100" t="str">
        <f t="shared" si="120"/>
        <v/>
      </c>
      <c r="M1100">
        <v>0</v>
      </c>
      <c r="N1100" t="str">
        <f>IF(VALUE(M1100)=0,"",VLOOKUP(VLOOKUP(M1100,Tbl_Effect[],3,FALSE),EffectName[],IFERROR(MATCH(UI!$B$1,EffectName[#Headers],0),2),FALSE))</f>
        <v/>
      </c>
      <c r="O1100" t="str">
        <f t="shared" si="121"/>
        <v/>
      </c>
      <c r="P1100">
        <v>0</v>
      </c>
      <c r="Q1100" t="str">
        <f>IF(VALUE(P1100)=0,"",VLOOKUP(VLOOKUP(P1100,Tbl_Effect[],3,FALSE),EffectName[],IFERROR(MATCH(UI!$B$1,EffectName[#Headers],0),2),FALSE))</f>
        <v/>
      </c>
      <c r="R1100" t="str">
        <f t="shared" si="122"/>
        <v/>
      </c>
      <c r="S1100">
        <v>0</v>
      </c>
      <c r="T1100" t="str">
        <f>IF(VALUE(S1100)=0,"",VLOOKUP(VLOOKUP(S1100,Tbl_Effect[],3,FALSE),EffectName[],IFERROR(MATCH(UI!$B$1,EffectName[#Headers],0),2),FALSE))</f>
        <v/>
      </c>
      <c r="U1100" t="str">
        <f t="shared" si="123"/>
        <v/>
      </c>
      <c r="V1100">
        <v>0</v>
      </c>
      <c r="W1100" t="str">
        <f>IF(V1100&lt;&gt;0,VLOOKUP(VLOOKUP(V1100,Tbl_Effect[],3,FALSE),EffectName[],IFERROR(MATCH(UI!$B$1,EffectName[#Headers],0),2),FALSE),"")</f>
        <v/>
      </c>
      <c r="X1100" t="str">
        <f t="shared" si="124"/>
        <v/>
      </c>
      <c r="Y1100">
        <v>0</v>
      </c>
      <c r="Z1100" t="str">
        <f>IF(Y1100&lt;&gt;0,VLOOKUP(VLOOKUP(Y1100,Tbl_Effect[],3,FALSE),EffectName[],IFERROR(MATCH(UI!$B$1,EffectName[#Headers],0),2),FALSE),"")</f>
        <v/>
      </c>
      <c r="AA1100" t="str">
        <f t="shared" si="125"/>
        <v/>
      </c>
      <c r="AB1100">
        <v>0</v>
      </c>
      <c r="AC1100" t="str">
        <f>IF(AB1100&lt;&gt;0,VLOOKUP(VLOOKUP(AB1100,Tbl_Effect[],3,FALSE),EffectName[],IFERROR(MATCH(UI!$B$1,EffectName[#Headers],0),2),FALSE),"")</f>
        <v/>
      </c>
    </row>
    <row r="1101" spans="8:29" x14ac:dyDescent="0.4">
      <c r="H1101" t="str">
        <f t="shared" si="119"/>
        <v>7002700-Unset (紅)</v>
      </c>
      <c r="I1101">
        <v>7002700</v>
      </c>
      <c r="J1101" t="str">
        <f>_xlfn.IFNA(IF(I1101&lt;&gt;0,VLOOKUP(VLOOKUP(I1101,Tbl_Equip[],2,FALSE),Tbl_Color[],IFERROR(MATCH(UI!$B$1,Tbl_Color[#Headers],0),2),FALSE),""),"Unset")</f>
        <v>紅</v>
      </c>
      <c r="K1101" t="str">
        <f>_xlfn.IFNA(IF(I1101&lt;&gt;0,VLOOKUP(I1101,ItemText[],IFERROR(MATCH(UI!$B$1,ItemText[#Headers],0),2),FALSE),""),"Unset")</f>
        <v>Unset</v>
      </c>
      <c r="L1101" t="str">
        <f t="shared" si="120"/>
        <v/>
      </c>
      <c r="M1101">
        <v>0</v>
      </c>
      <c r="N1101" t="str">
        <f>IF(VALUE(M1101)=0,"",VLOOKUP(VLOOKUP(M1101,Tbl_Effect[],3,FALSE),EffectName[],IFERROR(MATCH(UI!$B$1,EffectName[#Headers],0),2),FALSE))</f>
        <v/>
      </c>
      <c r="O1101" t="str">
        <f t="shared" si="121"/>
        <v/>
      </c>
      <c r="P1101">
        <v>0</v>
      </c>
      <c r="Q1101" t="str">
        <f>IF(VALUE(P1101)=0,"",VLOOKUP(VLOOKUP(P1101,Tbl_Effect[],3,FALSE),EffectName[],IFERROR(MATCH(UI!$B$1,EffectName[#Headers],0),2),FALSE))</f>
        <v/>
      </c>
      <c r="R1101" t="str">
        <f t="shared" si="122"/>
        <v/>
      </c>
      <c r="S1101">
        <v>0</v>
      </c>
      <c r="T1101" t="str">
        <f>IF(VALUE(S1101)=0,"",VLOOKUP(VLOOKUP(S1101,Tbl_Effect[],3,FALSE),EffectName[],IFERROR(MATCH(UI!$B$1,EffectName[#Headers],0),2),FALSE))</f>
        <v/>
      </c>
      <c r="U1101" t="str">
        <f t="shared" si="123"/>
        <v/>
      </c>
      <c r="V1101">
        <v>0</v>
      </c>
      <c r="W1101" t="str">
        <f>IF(V1101&lt;&gt;0,VLOOKUP(VLOOKUP(V1101,Tbl_Effect[],3,FALSE),EffectName[],IFERROR(MATCH(UI!$B$1,EffectName[#Headers],0),2),FALSE),"")</f>
        <v/>
      </c>
      <c r="X1101" t="str">
        <f t="shared" si="124"/>
        <v/>
      </c>
      <c r="Y1101">
        <v>0</v>
      </c>
      <c r="Z1101" t="str">
        <f>IF(Y1101&lt;&gt;0,VLOOKUP(VLOOKUP(Y1101,Tbl_Effect[],3,FALSE),EffectName[],IFERROR(MATCH(UI!$B$1,EffectName[#Headers],0),2),FALSE),"")</f>
        <v/>
      </c>
      <c r="AA1101" t="str">
        <f t="shared" si="125"/>
        <v/>
      </c>
      <c r="AB1101">
        <v>0</v>
      </c>
      <c r="AC1101" t="str">
        <f>IF(AB1101&lt;&gt;0,VLOOKUP(VLOOKUP(AB1101,Tbl_Effect[],3,FALSE),EffectName[],IFERROR(MATCH(UI!$B$1,EffectName[#Headers],0),2),FALSE),"")</f>
        <v/>
      </c>
    </row>
    <row r="1102" spans="8:29" x14ac:dyDescent="0.4">
      <c r="H1102" t="str">
        <f t="shared" si="119"/>
        <v>7002800-Unset (紅)</v>
      </c>
      <c r="I1102">
        <v>7002800</v>
      </c>
      <c r="J1102" t="str">
        <f>_xlfn.IFNA(IF(I1102&lt;&gt;0,VLOOKUP(VLOOKUP(I1102,Tbl_Equip[],2,FALSE),Tbl_Color[],IFERROR(MATCH(UI!$B$1,Tbl_Color[#Headers],0),2),FALSE),""),"Unset")</f>
        <v>紅</v>
      </c>
      <c r="K1102" t="str">
        <f>_xlfn.IFNA(IF(I1102&lt;&gt;0,VLOOKUP(I1102,ItemText[],IFERROR(MATCH(UI!$B$1,ItemText[#Headers],0),2),FALSE),""),"Unset")</f>
        <v>Unset</v>
      </c>
      <c r="L1102" t="str">
        <f t="shared" si="120"/>
        <v/>
      </c>
      <c r="M1102">
        <v>0</v>
      </c>
      <c r="N1102" t="str">
        <f>IF(VALUE(M1102)=0,"",VLOOKUP(VLOOKUP(M1102,Tbl_Effect[],3,FALSE),EffectName[],IFERROR(MATCH(UI!$B$1,EffectName[#Headers],0),2),FALSE))</f>
        <v/>
      </c>
      <c r="O1102" t="str">
        <f t="shared" si="121"/>
        <v/>
      </c>
      <c r="P1102">
        <v>0</v>
      </c>
      <c r="Q1102" t="str">
        <f>IF(VALUE(P1102)=0,"",VLOOKUP(VLOOKUP(P1102,Tbl_Effect[],3,FALSE),EffectName[],IFERROR(MATCH(UI!$B$1,EffectName[#Headers],0),2),FALSE))</f>
        <v/>
      </c>
      <c r="R1102" t="str">
        <f t="shared" si="122"/>
        <v/>
      </c>
      <c r="S1102">
        <v>0</v>
      </c>
      <c r="T1102" t="str">
        <f>IF(VALUE(S1102)=0,"",VLOOKUP(VLOOKUP(S1102,Tbl_Effect[],3,FALSE),EffectName[],IFERROR(MATCH(UI!$B$1,EffectName[#Headers],0),2),FALSE))</f>
        <v/>
      </c>
      <c r="U1102" t="str">
        <f t="shared" si="123"/>
        <v/>
      </c>
      <c r="V1102">
        <v>0</v>
      </c>
      <c r="W1102" t="str">
        <f>IF(V1102&lt;&gt;0,VLOOKUP(VLOOKUP(V1102,Tbl_Effect[],3,FALSE),EffectName[],IFERROR(MATCH(UI!$B$1,EffectName[#Headers],0),2),FALSE),"")</f>
        <v/>
      </c>
      <c r="X1102" t="str">
        <f t="shared" si="124"/>
        <v/>
      </c>
      <c r="Y1102">
        <v>0</v>
      </c>
      <c r="Z1102" t="str">
        <f>IF(Y1102&lt;&gt;0,VLOOKUP(VLOOKUP(Y1102,Tbl_Effect[],3,FALSE),EffectName[],IFERROR(MATCH(UI!$B$1,EffectName[#Headers],0),2),FALSE),"")</f>
        <v/>
      </c>
      <c r="AA1102" t="str">
        <f t="shared" si="125"/>
        <v/>
      </c>
      <c r="AB1102">
        <v>0</v>
      </c>
      <c r="AC1102" t="str">
        <f>IF(AB1102&lt;&gt;0,VLOOKUP(VLOOKUP(AB1102,Tbl_Effect[],3,FALSE),EffectName[],IFERROR(MATCH(UI!$B$1,EffectName[#Headers],0),2),FALSE),"")</f>
        <v/>
      </c>
    </row>
    <row r="1103" spans="8:29" x14ac:dyDescent="0.4">
      <c r="H1103" t="str">
        <f t="shared" si="119"/>
        <v>7002900-Unset (紅)</v>
      </c>
      <c r="I1103">
        <v>7002900</v>
      </c>
      <c r="J1103" t="str">
        <f>_xlfn.IFNA(IF(I1103&lt;&gt;0,VLOOKUP(VLOOKUP(I1103,Tbl_Equip[],2,FALSE),Tbl_Color[],IFERROR(MATCH(UI!$B$1,Tbl_Color[#Headers],0),2),FALSE),""),"Unset")</f>
        <v>紅</v>
      </c>
      <c r="K1103" t="str">
        <f>_xlfn.IFNA(IF(I1103&lt;&gt;0,VLOOKUP(I1103,ItemText[],IFERROR(MATCH(UI!$B$1,ItemText[#Headers],0),2),FALSE),""),"Unset")</f>
        <v>Unset</v>
      </c>
      <c r="L1103" t="str">
        <f t="shared" si="120"/>
        <v/>
      </c>
      <c r="M1103">
        <v>0</v>
      </c>
      <c r="N1103" t="str">
        <f>IF(VALUE(M1103)=0,"",VLOOKUP(VLOOKUP(M1103,Tbl_Effect[],3,FALSE),EffectName[],IFERROR(MATCH(UI!$B$1,EffectName[#Headers],0),2),FALSE))</f>
        <v/>
      </c>
      <c r="O1103" t="str">
        <f t="shared" si="121"/>
        <v/>
      </c>
      <c r="P1103">
        <v>0</v>
      </c>
      <c r="Q1103" t="str">
        <f>IF(VALUE(P1103)=0,"",VLOOKUP(VLOOKUP(P1103,Tbl_Effect[],3,FALSE),EffectName[],IFERROR(MATCH(UI!$B$1,EffectName[#Headers],0),2),FALSE))</f>
        <v/>
      </c>
      <c r="R1103" t="str">
        <f t="shared" si="122"/>
        <v/>
      </c>
      <c r="S1103">
        <v>0</v>
      </c>
      <c r="T1103" t="str">
        <f>IF(VALUE(S1103)=0,"",VLOOKUP(VLOOKUP(S1103,Tbl_Effect[],3,FALSE),EffectName[],IFERROR(MATCH(UI!$B$1,EffectName[#Headers],0),2),FALSE))</f>
        <v/>
      </c>
      <c r="U1103" t="str">
        <f t="shared" si="123"/>
        <v/>
      </c>
      <c r="V1103">
        <v>0</v>
      </c>
      <c r="W1103" t="str">
        <f>IF(V1103&lt;&gt;0,VLOOKUP(VLOOKUP(V1103,Tbl_Effect[],3,FALSE),EffectName[],IFERROR(MATCH(UI!$B$1,EffectName[#Headers],0),2),FALSE),"")</f>
        <v/>
      </c>
      <c r="X1103" t="str">
        <f t="shared" si="124"/>
        <v/>
      </c>
      <c r="Y1103">
        <v>0</v>
      </c>
      <c r="Z1103" t="str">
        <f>IF(Y1103&lt;&gt;0,VLOOKUP(VLOOKUP(Y1103,Tbl_Effect[],3,FALSE),EffectName[],IFERROR(MATCH(UI!$B$1,EffectName[#Headers],0),2),FALSE),"")</f>
        <v/>
      </c>
      <c r="AA1103" t="str">
        <f t="shared" si="125"/>
        <v/>
      </c>
      <c r="AB1103">
        <v>0</v>
      </c>
      <c r="AC1103" t="str">
        <f>IF(AB1103&lt;&gt;0,VLOOKUP(VLOOKUP(AB1103,Tbl_Effect[],3,FALSE),EffectName[],IFERROR(MATCH(UI!$B$1,EffectName[#Headers],0),2),FALSE),"")</f>
        <v/>
      </c>
    </row>
    <row r="1104" spans="8:29" x14ac:dyDescent="0.4">
      <c r="H1104" t="str">
        <f t="shared" si="119"/>
        <v>7003000-Unset (紅)</v>
      </c>
      <c r="I1104">
        <v>7003000</v>
      </c>
      <c r="J1104" t="str">
        <f>_xlfn.IFNA(IF(I1104&lt;&gt;0,VLOOKUP(VLOOKUP(I1104,Tbl_Equip[],2,FALSE),Tbl_Color[],IFERROR(MATCH(UI!$B$1,Tbl_Color[#Headers],0),2),FALSE),""),"Unset")</f>
        <v>紅</v>
      </c>
      <c r="K1104" t="str">
        <f>_xlfn.IFNA(IF(I1104&lt;&gt;0,VLOOKUP(I1104,ItemText[],IFERROR(MATCH(UI!$B$1,ItemText[#Headers],0),2),FALSE),""),"Unset")</f>
        <v>Unset</v>
      </c>
      <c r="L1104" t="str">
        <f t="shared" si="120"/>
        <v/>
      </c>
      <c r="M1104">
        <v>0</v>
      </c>
      <c r="N1104" t="str">
        <f>IF(VALUE(M1104)=0,"",VLOOKUP(VLOOKUP(M1104,Tbl_Effect[],3,FALSE),EffectName[],IFERROR(MATCH(UI!$B$1,EffectName[#Headers],0),2),FALSE))</f>
        <v/>
      </c>
      <c r="O1104" t="str">
        <f t="shared" si="121"/>
        <v/>
      </c>
      <c r="P1104">
        <v>0</v>
      </c>
      <c r="Q1104" t="str">
        <f>IF(VALUE(P1104)=0,"",VLOOKUP(VLOOKUP(P1104,Tbl_Effect[],3,FALSE),EffectName[],IFERROR(MATCH(UI!$B$1,EffectName[#Headers],0),2),FALSE))</f>
        <v/>
      </c>
      <c r="R1104" t="str">
        <f t="shared" si="122"/>
        <v/>
      </c>
      <c r="S1104">
        <v>0</v>
      </c>
      <c r="T1104" t="str">
        <f>IF(VALUE(S1104)=0,"",VLOOKUP(VLOOKUP(S1104,Tbl_Effect[],3,FALSE),EffectName[],IFERROR(MATCH(UI!$B$1,EffectName[#Headers],0),2),FALSE))</f>
        <v/>
      </c>
      <c r="U1104" t="str">
        <f t="shared" si="123"/>
        <v/>
      </c>
      <c r="V1104">
        <v>0</v>
      </c>
      <c r="W1104" t="str">
        <f>IF(V1104&lt;&gt;0,VLOOKUP(VLOOKUP(V1104,Tbl_Effect[],3,FALSE),EffectName[],IFERROR(MATCH(UI!$B$1,EffectName[#Headers],0),2),FALSE),"")</f>
        <v/>
      </c>
      <c r="X1104" t="str">
        <f t="shared" si="124"/>
        <v/>
      </c>
      <c r="Y1104">
        <v>0</v>
      </c>
      <c r="Z1104" t="str">
        <f>IF(Y1104&lt;&gt;0,VLOOKUP(VLOOKUP(Y1104,Tbl_Effect[],3,FALSE),EffectName[],IFERROR(MATCH(UI!$B$1,EffectName[#Headers],0),2),FALSE),"")</f>
        <v/>
      </c>
      <c r="AA1104" t="str">
        <f t="shared" si="125"/>
        <v/>
      </c>
      <c r="AB1104">
        <v>0</v>
      </c>
      <c r="AC1104" t="str">
        <f>IF(AB1104&lt;&gt;0,VLOOKUP(VLOOKUP(AB1104,Tbl_Effect[],3,FALSE),EffectName[],IFERROR(MATCH(UI!$B$1,EffectName[#Headers],0),2),FALSE),"")</f>
        <v/>
      </c>
    </row>
    <row r="1105" spans="8:29" x14ac:dyDescent="0.4">
      <c r="H1105" t="str">
        <f t="shared" si="119"/>
        <v>7003100-Unset (紅)</v>
      </c>
      <c r="I1105">
        <v>7003100</v>
      </c>
      <c r="J1105" t="str">
        <f>_xlfn.IFNA(IF(I1105&lt;&gt;0,VLOOKUP(VLOOKUP(I1105,Tbl_Equip[],2,FALSE),Tbl_Color[],IFERROR(MATCH(UI!$B$1,Tbl_Color[#Headers],0),2),FALSE),""),"Unset")</f>
        <v>紅</v>
      </c>
      <c r="K1105" t="str">
        <f>_xlfn.IFNA(IF(I1105&lt;&gt;0,VLOOKUP(I1105,ItemText[],IFERROR(MATCH(UI!$B$1,ItemText[#Headers],0),2),FALSE),""),"Unset")</f>
        <v>Unset</v>
      </c>
      <c r="L1105" t="str">
        <f t="shared" si="120"/>
        <v/>
      </c>
      <c r="M1105">
        <v>0</v>
      </c>
      <c r="N1105" t="str">
        <f>IF(VALUE(M1105)=0,"",VLOOKUP(VLOOKUP(M1105,Tbl_Effect[],3,FALSE),EffectName[],IFERROR(MATCH(UI!$B$1,EffectName[#Headers],0),2),FALSE))</f>
        <v/>
      </c>
      <c r="O1105" t="str">
        <f t="shared" si="121"/>
        <v/>
      </c>
      <c r="P1105">
        <v>0</v>
      </c>
      <c r="Q1105" t="str">
        <f>IF(VALUE(P1105)=0,"",VLOOKUP(VLOOKUP(P1105,Tbl_Effect[],3,FALSE),EffectName[],IFERROR(MATCH(UI!$B$1,EffectName[#Headers],0),2),FALSE))</f>
        <v/>
      </c>
      <c r="R1105" t="str">
        <f t="shared" si="122"/>
        <v/>
      </c>
      <c r="S1105">
        <v>0</v>
      </c>
      <c r="T1105" t="str">
        <f>IF(VALUE(S1105)=0,"",VLOOKUP(VLOOKUP(S1105,Tbl_Effect[],3,FALSE),EffectName[],IFERROR(MATCH(UI!$B$1,EffectName[#Headers],0),2),FALSE))</f>
        <v/>
      </c>
      <c r="U1105" t="str">
        <f t="shared" si="123"/>
        <v/>
      </c>
      <c r="V1105">
        <v>0</v>
      </c>
      <c r="W1105" t="str">
        <f>IF(V1105&lt;&gt;0,VLOOKUP(VLOOKUP(V1105,Tbl_Effect[],3,FALSE),EffectName[],IFERROR(MATCH(UI!$B$1,EffectName[#Headers],0),2),FALSE),"")</f>
        <v/>
      </c>
      <c r="X1105" t="str">
        <f t="shared" si="124"/>
        <v/>
      </c>
      <c r="Y1105">
        <v>0</v>
      </c>
      <c r="Z1105" t="str">
        <f>IF(Y1105&lt;&gt;0,VLOOKUP(VLOOKUP(Y1105,Tbl_Effect[],3,FALSE),EffectName[],IFERROR(MATCH(UI!$B$1,EffectName[#Headers],0),2),FALSE),"")</f>
        <v/>
      </c>
      <c r="AA1105" t="str">
        <f t="shared" si="125"/>
        <v/>
      </c>
      <c r="AB1105">
        <v>0</v>
      </c>
      <c r="AC1105" t="str">
        <f>IF(AB1105&lt;&gt;0,VLOOKUP(VLOOKUP(AB1105,Tbl_Effect[],3,FALSE),EffectName[],IFERROR(MATCH(UI!$B$1,EffectName[#Headers],0),2),FALSE),"")</f>
        <v/>
      </c>
    </row>
    <row r="1106" spans="8:29" x14ac:dyDescent="0.4">
      <c r="H1106" t="str">
        <f t="shared" si="119"/>
        <v>7003200-Unset (紅)</v>
      </c>
      <c r="I1106">
        <v>7003200</v>
      </c>
      <c r="J1106" t="str">
        <f>_xlfn.IFNA(IF(I1106&lt;&gt;0,VLOOKUP(VLOOKUP(I1106,Tbl_Equip[],2,FALSE),Tbl_Color[],IFERROR(MATCH(UI!$B$1,Tbl_Color[#Headers],0),2),FALSE),""),"Unset")</f>
        <v>紅</v>
      </c>
      <c r="K1106" t="str">
        <f>_xlfn.IFNA(IF(I1106&lt;&gt;0,VLOOKUP(I1106,ItemText[],IFERROR(MATCH(UI!$B$1,ItemText[#Headers],0),2),FALSE),""),"Unset")</f>
        <v>Unset</v>
      </c>
      <c r="L1106" t="str">
        <f t="shared" si="120"/>
        <v/>
      </c>
      <c r="M1106">
        <v>0</v>
      </c>
      <c r="N1106" t="str">
        <f>IF(VALUE(M1106)=0,"",VLOOKUP(VLOOKUP(M1106,Tbl_Effect[],3,FALSE),EffectName[],IFERROR(MATCH(UI!$B$1,EffectName[#Headers],0),2),FALSE))</f>
        <v/>
      </c>
      <c r="O1106" t="str">
        <f t="shared" si="121"/>
        <v/>
      </c>
      <c r="P1106">
        <v>0</v>
      </c>
      <c r="Q1106" t="str">
        <f>IF(VALUE(P1106)=0,"",VLOOKUP(VLOOKUP(P1106,Tbl_Effect[],3,FALSE),EffectName[],IFERROR(MATCH(UI!$B$1,EffectName[#Headers],0),2),FALSE))</f>
        <v/>
      </c>
      <c r="R1106" t="str">
        <f t="shared" si="122"/>
        <v/>
      </c>
      <c r="S1106">
        <v>0</v>
      </c>
      <c r="T1106" t="str">
        <f>IF(VALUE(S1106)=0,"",VLOOKUP(VLOOKUP(S1106,Tbl_Effect[],3,FALSE),EffectName[],IFERROR(MATCH(UI!$B$1,EffectName[#Headers],0),2),FALSE))</f>
        <v/>
      </c>
      <c r="U1106" t="str">
        <f t="shared" si="123"/>
        <v/>
      </c>
      <c r="V1106">
        <v>0</v>
      </c>
      <c r="W1106" t="str">
        <f>IF(V1106&lt;&gt;0,VLOOKUP(VLOOKUP(V1106,Tbl_Effect[],3,FALSE),EffectName[],IFERROR(MATCH(UI!$B$1,EffectName[#Headers],0),2),FALSE),"")</f>
        <v/>
      </c>
      <c r="X1106" t="str">
        <f t="shared" si="124"/>
        <v/>
      </c>
      <c r="Y1106">
        <v>0</v>
      </c>
      <c r="Z1106" t="str">
        <f>IF(Y1106&lt;&gt;0,VLOOKUP(VLOOKUP(Y1106,Tbl_Effect[],3,FALSE),EffectName[],IFERROR(MATCH(UI!$B$1,EffectName[#Headers],0),2),FALSE),"")</f>
        <v/>
      </c>
      <c r="AA1106" t="str">
        <f t="shared" si="125"/>
        <v/>
      </c>
      <c r="AB1106">
        <v>0</v>
      </c>
      <c r="AC1106" t="str">
        <f>IF(AB1106&lt;&gt;0,VLOOKUP(VLOOKUP(AB1106,Tbl_Effect[],3,FALSE),EffectName[],IFERROR(MATCH(UI!$B$1,EffectName[#Headers],0),2),FALSE),"")</f>
        <v/>
      </c>
    </row>
    <row r="1107" spans="8:29" x14ac:dyDescent="0.4">
      <c r="H1107" t="str">
        <f t="shared" si="119"/>
        <v>7003300-Unset (紅)</v>
      </c>
      <c r="I1107">
        <v>7003300</v>
      </c>
      <c r="J1107" t="str">
        <f>_xlfn.IFNA(IF(I1107&lt;&gt;0,VLOOKUP(VLOOKUP(I1107,Tbl_Equip[],2,FALSE),Tbl_Color[],IFERROR(MATCH(UI!$B$1,Tbl_Color[#Headers],0),2),FALSE),""),"Unset")</f>
        <v>紅</v>
      </c>
      <c r="K1107" t="str">
        <f>_xlfn.IFNA(IF(I1107&lt;&gt;0,VLOOKUP(I1107,ItemText[],IFERROR(MATCH(UI!$B$1,ItemText[#Headers],0),2),FALSE),""),"Unset")</f>
        <v>Unset</v>
      </c>
      <c r="L1107" t="str">
        <f t="shared" si="120"/>
        <v/>
      </c>
      <c r="M1107">
        <v>0</v>
      </c>
      <c r="N1107" t="str">
        <f>IF(VALUE(M1107)=0,"",VLOOKUP(VLOOKUP(M1107,Tbl_Effect[],3,FALSE),EffectName[],IFERROR(MATCH(UI!$B$1,EffectName[#Headers],0),2),FALSE))</f>
        <v/>
      </c>
      <c r="O1107" t="str">
        <f t="shared" si="121"/>
        <v/>
      </c>
      <c r="P1107">
        <v>0</v>
      </c>
      <c r="Q1107" t="str">
        <f>IF(VALUE(P1107)=0,"",VLOOKUP(VLOOKUP(P1107,Tbl_Effect[],3,FALSE),EffectName[],IFERROR(MATCH(UI!$B$1,EffectName[#Headers],0),2),FALSE))</f>
        <v/>
      </c>
      <c r="R1107" t="str">
        <f t="shared" si="122"/>
        <v/>
      </c>
      <c r="S1107">
        <v>0</v>
      </c>
      <c r="T1107" t="str">
        <f>IF(VALUE(S1107)=0,"",VLOOKUP(VLOOKUP(S1107,Tbl_Effect[],3,FALSE),EffectName[],IFERROR(MATCH(UI!$B$1,EffectName[#Headers],0),2),FALSE))</f>
        <v/>
      </c>
      <c r="U1107" t="str">
        <f t="shared" si="123"/>
        <v/>
      </c>
      <c r="V1107">
        <v>0</v>
      </c>
      <c r="W1107" t="str">
        <f>IF(V1107&lt;&gt;0,VLOOKUP(VLOOKUP(V1107,Tbl_Effect[],3,FALSE),EffectName[],IFERROR(MATCH(UI!$B$1,EffectName[#Headers],0),2),FALSE),"")</f>
        <v/>
      </c>
      <c r="X1107" t="str">
        <f t="shared" si="124"/>
        <v/>
      </c>
      <c r="Y1107">
        <v>0</v>
      </c>
      <c r="Z1107" t="str">
        <f>IF(Y1107&lt;&gt;0,VLOOKUP(VLOOKUP(Y1107,Tbl_Effect[],3,FALSE),EffectName[],IFERROR(MATCH(UI!$B$1,EffectName[#Headers],0),2),FALSE),"")</f>
        <v/>
      </c>
      <c r="AA1107" t="str">
        <f t="shared" si="125"/>
        <v/>
      </c>
      <c r="AB1107">
        <v>0</v>
      </c>
      <c r="AC1107" t="str">
        <f>IF(AB1107&lt;&gt;0,VLOOKUP(VLOOKUP(AB1107,Tbl_Effect[],3,FALSE),EffectName[],IFERROR(MATCH(UI!$B$1,EffectName[#Headers],0),2),FALSE),"")</f>
        <v/>
      </c>
    </row>
    <row r="1108" spans="8:29" x14ac:dyDescent="0.4">
      <c r="H1108" t="str">
        <f t="shared" si="119"/>
        <v>7003400-Unset (紅)</v>
      </c>
      <c r="I1108">
        <v>7003400</v>
      </c>
      <c r="J1108" t="str">
        <f>_xlfn.IFNA(IF(I1108&lt;&gt;0,VLOOKUP(VLOOKUP(I1108,Tbl_Equip[],2,FALSE),Tbl_Color[],IFERROR(MATCH(UI!$B$1,Tbl_Color[#Headers],0),2),FALSE),""),"Unset")</f>
        <v>紅</v>
      </c>
      <c r="K1108" t="str">
        <f>_xlfn.IFNA(IF(I1108&lt;&gt;0,VLOOKUP(I1108,ItemText[],IFERROR(MATCH(UI!$B$1,ItemText[#Headers],0),2),FALSE),""),"Unset")</f>
        <v>Unset</v>
      </c>
      <c r="L1108" t="str">
        <f t="shared" si="120"/>
        <v/>
      </c>
      <c r="M1108">
        <v>0</v>
      </c>
      <c r="N1108" t="str">
        <f>IF(VALUE(M1108)=0,"",VLOOKUP(VLOOKUP(M1108,Tbl_Effect[],3,FALSE),EffectName[],IFERROR(MATCH(UI!$B$1,EffectName[#Headers],0),2),FALSE))</f>
        <v/>
      </c>
      <c r="O1108" t="str">
        <f t="shared" si="121"/>
        <v/>
      </c>
      <c r="P1108">
        <v>0</v>
      </c>
      <c r="Q1108" t="str">
        <f>IF(VALUE(P1108)=0,"",VLOOKUP(VLOOKUP(P1108,Tbl_Effect[],3,FALSE),EffectName[],IFERROR(MATCH(UI!$B$1,EffectName[#Headers],0),2),FALSE))</f>
        <v/>
      </c>
      <c r="R1108" t="str">
        <f t="shared" si="122"/>
        <v/>
      </c>
      <c r="S1108">
        <v>0</v>
      </c>
      <c r="T1108" t="str">
        <f>IF(VALUE(S1108)=0,"",VLOOKUP(VLOOKUP(S1108,Tbl_Effect[],3,FALSE),EffectName[],IFERROR(MATCH(UI!$B$1,EffectName[#Headers],0),2),FALSE))</f>
        <v/>
      </c>
      <c r="U1108" t="str">
        <f t="shared" si="123"/>
        <v/>
      </c>
      <c r="V1108">
        <v>0</v>
      </c>
      <c r="W1108" t="str">
        <f>IF(V1108&lt;&gt;0,VLOOKUP(VLOOKUP(V1108,Tbl_Effect[],3,FALSE),EffectName[],IFERROR(MATCH(UI!$B$1,EffectName[#Headers],0),2),FALSE),"")</f>
        <v/>
      </c>
      <c r="X1108" t="str">
        <f t="shared" si="124"/>
        <v/>
      </c>
      <c r="Y1108">
        <v>0</v>
      </c>
      <c r="Z1108" t="str">
        <f>IF(Y1108&lt;&gt;0,VLOOKUP(VLOOKUP(Y1108,Tbl_Effect[],3,FALSE),EffectName[],IFERROR(MATCH(UI!$B$1,EffectName[#Headers],0),2),FALSE),"")</f>
        <v/>
      </c>
      <c r="AA1108" t="str">
        <f t="shared" si="125"/>
        <v/>
      </c>
      <c r="AB1108">
        <v>0</v>
      </c>
      <c r="AC1108" t="str">
        <f>IF(AB1108&lt;&gt;0,VLOOKUP(VLOOKUP(AB1108,Tbl_Effect[],3,FALSE),EffectName[],IFERROR(MATCH(UI!$B$1,EffectName[#Headers],0),2),FALSE),"")</f>
        <v/>
      </c>
    </row>
    <row r="1109" spans="8:29" x14ac:dyDescent="0.4">
      <c r="H1109" t="str">
        <f t="shared" si="119"/>
        <v>7003500-Unset (紅)</v>
      </c>
      <c r="I1109">
        <v>7003500</v>
      </c>
      <c r="J1109" t="str">
        <f>_xlfn.IFNA(IF(I1109&lt;&gt;0,VLOOKUP(VLOOKUP(I1109,Tbl_Equip[],2,FALSE),Tbl_Color[],IFERROR(MATCH(UI!$B$1,Tbl_Color[#Headers],0),2),FALSE),""),"Unset")</f>
        <v>紅</v>
      </c>
      <c r="K1109" t="str">
        <f>_xlfn.IFNA(IF(I1109&lt;&gt;0,VLOOKUP(I1109,ItemText[],IFERROR(MATCH(UI!$B$1,ItemText[#Headers],0),2),FALSE),""),"Unset")</f>
        <v>Unset</v>
      </c>
      <c r="L1109" t="str">
        <f t="shared" si="120"/>
        <v/>
      </c>
      <c r="M1109">
        <v>0</v>
      </c>
      <c r="N1109" t="str">
        <f>IF(VALUE(M1109)=0,"",VLOOKUP(VLOOKUP(M1109,Tbl_Effect[],3,FALSE),EffectName[],IFERROR(MATCH(UI!$B$1,EffectName[#Headers],0),2),FALSE))</f>
        <v/>
      </c>
      <c r="O1109" t="str">
        <f t="shared" si="121"/>
        <v/>
      </c>
      <c r="P1109">
        <v>0</v>
      </c>
      <c r="Q1109" t="str">
        <f>IF(VALUE(P1109)=0,"",VLOOKUP(VLOOKUP(P1109,Tbl_Effect[],3,FALSE),EffectName[],IFERROR(MATCH(UI!$B$1,EffectName[#Headers],0),2),FALSE))</f>
        <v/>
      </c>
      <c r="R1109" t="str">
        <f t="shared" si="122"/>
        <v/>
      </c>
      <c r="S1109">
        <v>0</v>
      </c>
      <c r="T1109" t="str">
        <f>IF(VALUE(S1109)=0,"",VLOOKUP(VLOOKUP(S1109,Tbl_Effect[],3,FALSE),EffectName[],IFERROR(MATCH(UI!$B$1,EffectName[#Headers],0),2),FALSE))</f>
        <v/>
      </c>
      <c r="U1109" t="str">
        <f t="shared" si="123"/>
        <v/>
      </c>
      <c r="V1109">
        <v>0</v>
      </c>
      <c r="W1109" t="str">
        <f>IF(V1109&lt;&gt;0,VLOOKUP(VLOOKUP(V1109,Tbl_Effect[],3,FALSE),EffectName[],IFERROR(MATCH(UI!$B$1,EffectName[#Headers],0),2),FALSE),"")</f>
        <v/>
      </c>
      <c r="X1109" t="str">
        <f t="shared" si="124"/>
        <v/>
      </c>
      <c r="Y1109">
        <v>0</v>
      </c>
      <c r="Z1109" t="str">
        <f>IF(Y1109&lt;&gt;0,VLOOKUP(VLOOKUP(Y1109,Tbl_Effect[],3,FALSE),EffectName[],IFERROR(MATCH(UI!$B$1,EffectName[#Headers],0),2),FALSE),"")</f>
        <v/>
      </c>
      <c r="AA1109" t="str">
        <f t="shared" si="125"/>
        <v/>
      </c>
      <c r="AB1109">
        <v>0</v>
      </c>
      <c r="AC1109" t="str">
        <f>IF(AB1109&lt;&gt;0,VLOOKUP(VLOOKUP(AB1109,Tbl_Effect[],3,FALSE),EffectName[],IFERROR(MATCH(UI!$B$1,EffectName[#Headers],0),2),FALSE),"")</f>
        <v/>
      </c>
    </row>
    <row r="1110" spans="8:29" x14ac:dyDescent="0.4">
      <c r="H1110" t="str">
        <f t="shared" si="119"/>
        <v>7003600-Unset (紅)</v>
      </c>
      <c r="I1110">
        <v>7003600</v>
      </c>
      <c r="J1110" t="str">
        <f>_xlfn.IFNA(IF(I1110&lt;&gt;0,VLOOKUP(VLOOKUP(I1110,Tbl_Equip[],2,FALSE),Tbl_Color[],IFERROR(MATCH(UI!$B$1,Tbl_Color[#Headers],0),2),FALSE),""),"Unset")</f>
        <v>紅</v>
      </c>
      <c r="K1110" t="str">
        <f>_xlfn.IFNA(IF(I1110&lt;&gt;0,VLOOKUP(I1110,ItemText[],IFERROR(MATCH(UI!$B$1,ItemText[#Headers],0),2),FALSE),""),"Unset")</f>
        <v>Unset</v>
      </c>
      <c r="L1110" t="str">
        <f t="shared" si="120"/>
        <v/>
      </c>
      <c r="M1110">
        <v>0</v>
      </c>
      <c r="N1110" t="str">
        <f>IF(VALUE(M1110)=0,"",VLOOKUP(VLOOKUP(M1110,Tbl_Effect[],3,FALSE),EffectName[],IFERROR(MATCH(UI!$B$1,EffectName[#Headers],0),2),FALSE))</f>
        <v/>
      </c>
      <c r="O1110" t="str">
        <f t="shared" si="121"/>
        <v/>
      </c>
      <c r="P1110">
        <v>0</v>
      </c>
      <c r="Q1110" t="str">
        <f>IF(VALUE(P1110)=0,"",VLOOKUP(VLOOKUP(P1110,Tbl_Effect[],3,FALSE),EffectName[],IFERROR(MATCH(UI!$B$1,EffectName[#Headers],0),2),FALSE))</f>
        <v/>
      </c>
      <c r="R1110" t="str">
        <f t="shared" si="122"/>
        <v/>
      </c>
      <c r="S1110">
        <v>0</v>
      </c>
      <c r="T1110" t="str">
        <f>IF(VALUE(S1110)=0,"",VLOOKUP(VLOOKUP(S1110,Tbl_Effect[],3,FALSE),EffectName[],IFERROR(MATCH(UI!$B$1,EffectName[#Headers],0),2),FALSE))</f>
        <v/>
      </c>
      <c r="U1110" t="str">
        <f t="shared" si="123"/>
        <v/>
      </c>
      <c r="V1110">
        <v>0</v>
      </c>
      <c r="W1110" t="str">
        <f>IF(V1110&lt;&gt;0,VLOOKUP(VLOOKUP(V1110,Tbl_Effect[],3,FALSE),EffectName[],IFERROR(MATCH(UI!$B$1,EffectName[#Headers],0),2),FALSE),"")</f>
        <v/>
      </c>
      <c r="X1110" t="str">
        <f t="shared" si="124"/>
        <v/>
      </c>
      <c r="Y1110">
        <v>0</v>
      </c>
      <c r="Z1110" t="str">
        <f>IF(Y1110&lt;&gt;0,VLOOKUP(VLOOKUP(Y1110,Tbl_Effect[],3,FALSE),EffectName[],IFERROR(MATCH(UI!$B$1,EffectName[#Headers],0),2),FALSE),"")</f>
        <v/>
      </c>
      <c r="AA1110" t="str">
        <f t="shared" si="125"/>
        <v/>
      </c>
      <c r="AB1110">
        <v>0</v>
      </c>
      <c r="AC1110" t="str">
        <f>IF(AB1110&lt;&gt;0,VLOOKUP(VLOOKUP(AB1110,Tbl_Effect[],3,FALSE),EffectName[],IFERROR(MATCH(UI!$B$1,EffectName[#Headers],0),2),FALSE),"")</f>
        <v/>
      </c>
    </row>
    <row r="1111" spans="8:29" x14ac:dyDescent="0.4">
      <c r="H1111" t="str">
        <f t="shared" si="119"/>
        <v>7005600-Unset (紅)</v>
      </c>
      <c r="I1111">
        <v>7005600</v>
      </c>
      <c r="J1111" t="str">
        <f>_xlfn.IFNA(IF(I1111&lt;&gt;0,VLOOKUP(VLOOKUP(I1111,Tbl_Equip[],2,FALSE),Tbl_Color[],IFERROR(MATCH(UI!$B$1,Tbl_Color[#Headers],0),2),FALSE),""),"Unset")</f>
        <v>紅</v>
      </c>
      <c r="K1111" t="str">
        <f>_xlfn.IFNA(IF(I1111&lt;&gt;0,VLOOKUP(I1111,ItemText[],IFERROR(MATCH(UI!$B$1,ItemText[#Headers],0),2),FALSE),""),"Unset")</f>
        <v>Unset</v>
      </c>
      <c r="L1111" t="str">
        <f t="shared" si="120"/>
        <v/>
      </c>
      <c r="M1111">
        <v>0</v>
      </c>
      <c r="N1111" t="str">
        <f>IF(VALUE(M1111)=0,"",VLOOKUP(VLOOKUP(M1111,Tbl_Effect[],3,FALSE),EffectName[],IFERROR(MATCH(UI!$B$1,EffectName[#Headers],0),2),FALSE))</f>
        <v/>
      </c>
      <c r="O1111" t="str">
        <f t="shared" si="121"/>
        <v/>
      </c>
      <c r="P1111">
        <v>0</v>
      </c>
      <c r="Q1111" t="str">
        <f>IF(VALUE(P1111)=0,"",VLOOKUP(VLOOKUP(P1111,Tbl_Effect[],3,FALSE),EffectName[],IFERROR(MATCH(UI!$B$1,EffectName[#Headers],0),2),FALSE))</f>
        <v/>
      </c>
      <c r="R1111" t="str">
        <f t="shared" si="122"/>
        <v/>
      </c>
      <c r="S1111">
        <v>0</v>
      </c>
      <c r="T1111" t="str">
        <f>IF(VALUE(S1111)=0,"",VLOOKUP(VLOOKUP(S1111,Tbl_Effect[],3,FALSE),EffectName[],IFERROR(MATCH(UI!$B$1,EffectName[#Headers],0),2),FALSE))</f>
        <v/>
      </c>
      <c r="U1111" t="str">
        <f t="shared" si="123"/>
        <v/>
      </c>
      <c r="V1111">
        <v>0</v>
      </c>
      <c r="W1111" t="str">
        <f>IF(V1111&lt;&gt;0,VLOOKUP(VLOOKUP(V1111,Tbl_Effect[],3,FALSE),EffectName[],IFERROR(MATCH(UI!$B$1,EffectName[#Headers],0),2),FALSE),"")</f>
        <v/>
      </c>
      <c r="X1111" t="str">
        <f t="shared" si="124"/>
        <v/>
      </c>
      <c r="Y1111">
        <v>0</v>
      </c>
      <c r="Z1111" t="str">
        <f>IF(Y1111&lt;&gt;0,VLOOKUP(VLOOKUP(Y1111,Tbl_Effect[],3,FALSE),EffectName[],IFERROR(MATCH(UI!$B$1,EffectName[#Headers],0),2),FALSE),"")</f>
        <v/>
      </c>
      <c r="AA1111" t="str">
        <f t="shared" si="125"/>
        <v/>
      </c>
      <c r="AB1111">
        <v>0</v>
      </c>
      <c r="AC1111" t="str">
        <f>IF(AB1111&lt;&gt;0,VLOOKUP(VLOOKUP(AB1111,Tbl_Effect[],3,FALSE),EffectName[],IFERROR(MATCH(UI!$B$1,EffectName[#Headers],0),2),FALSE),"")</f>
        <v/>
      </c>
    </row>
    <row r="1112" spans="8:29" x14ac:dyDescent="0.4">
      <c r="H1112" t="str">
        <f t="shared" si="119"/>
        <v>7006000-Unset (紅)</v>
      </c>
      <c r="I1112">
        <v>7006000</v>
      </c>
      <c r="J1112" t="str">
        <f>_xlfn.IFNA(IF(I1112&lt;&gt;0,VLOOKUP(VLOOKUP(I1112,Tbl_Equip[],2,FALSE),Tbl_Color[],IFERROR(MATCH(UI!$B$1,Tbl_Color[#Headers],0),2),FALSE),""),"Unset")</f>
        <v>紅</v>
      </c>
      <c r="K1112" t="str">
        <f>_xlfn.IFNA(IF(I1112&lt;&gt;0,VLOOKUP(I1112,ItemText[],IFERROR(MATCH(UI!$B$1,ItemText[#Headers],0),2),FALSE),""),"Unset")</f>
        <v>Unset</v>
      </c>
      <c r="L1112" t="str">
        <f t="shared" si="120"/>
        <v/>
      </c>
      <c r="M1112">
        <v>0</v>
      </c>
      <c r="N1112" t="str">
        <f>IF(VALUE(M1112)=0,"",VLOOKUP(VLOOKUP(M1112,Tbl_Effect[],3,FALSE),EffectName[],IFERROR(MATCH(UI!$B$1,EffectName[#Headers],0),2),FALSE))</f>
        <v/>
      </c>
      <c r="O1112" t="str">
        <f t="shared" si="121"/>
        <v/>
      </c>
      <c r="P1112">
        <v>0</v>
      </c>
      <c r="Q1112" t="str">
        <f>IF(VALUE(P1112)=0,"",VLOOKUP(VLOOKUP(P1112,Tbl_Effect[],3,FALSE),EffectName[],IFERROR(MATCH(UI!$B$1,EffectName[#Headers],0),2),FALSE))</f>
        <v/>
      </c>
      <c r="R1112" t="str">
        <f t="shared" si="122"/>
        <v/>
      </c>
      <c r="S1112">
        <v>0</v>
      </c>
      <c r="T1112" t="str">
        <f>IF(VALUE(S1112)=0,"",VLOOKUP(VLOOKUP(S1112,Tbl_Effect[],3,FALSE),EffectName[],IFERROR(MATCH(UI!$B$1,EffectName[#Headers],0),2),FALSE))</f>
        <v/>
      </c>
      <c r="U1112" t="str">
        <f t="shared" si="123"/>
        <v/>
      </c>
      <c r="V1112">
        <v>0</v>
      </c>
      <c r="W1112" t="str">
        <f>IF(V1112&lt;&gt;0,VLOOKUP(VLOOKUP(V1112,Tbl_Effect[],3,FALSE),EffectName[],IFERROR(MATCH(UI!$B$1,EffectName[#Headers],0),2),FALSE),"")</f>
        <v/>
      </c>
      <c r="X1112" t="str">
        <f t="shared" si="124"/>
        <v/>
      </c>
      <c r="Y1112">
        <v>0</v>
      </c>
      <c r="Z1112" t="str">
        <f>IF(Y1112&lt;&gt;0,VLOOKUP(VLOOKUP(Y1112,Tbl_Effect[],3,FALSE),EffectName[],IFERROR(MATCH(UI!$B$1,EffectName[#Headers],0),2),FALSE),"")</f>
        <v/>
      </c>
      <c r="AA1112" t="str">
        <f t="shared" si="125"/>
        <v/>
      </c>
      <c r="AB1112">
        <v>0</v>
      </c>
      <c r="AC1112" t="str">
        <f>IF(AB1112&lt;&gt;0,VLOOKUP(VLOOKUP(AB1112,Tbl_Effect[],3,FALSE),EffectName[],IFERROR(MATCH(UI!$B$1,EffectName[#Headers],0),2),FALSE),"")</f>
        <v/>
      </c>
    </row>
    <row r="1113" spans="8:29" x14ac:dyDescent="0.4">
      <c r="H1113" t="str">
        <f t="shared" si="119"/>
        <v>7006001-Unset (紅)</v>
      </c>
      <c r="I1113">
        <v>7006001</v>
      </c>
      <c r="J1113" t="str">
        <f>_xlfn.IFNA(IF(I1113&lt;&gt;0,VLOOKUP(VLOOKUP(I1113,Tbl_Equip[],2,FALSE),Tbl_Color[],IFERROR(MATCH(UI!$B$1,Tbl_Color[#Headers],0),2),FALSE),""),"Unset")</f>
        <v>紅</v>
      </c>
      <c r="K1113" t="str">
        <f>_xlfn.IFNA(IF(I1113&lt;&gt;0,VLOOKUP(I1113,ItemText[],IFERROR(MATCH(UI!$B$1,ItemText[#Headers],0),2),FALSE),""),"Unset")</f>
        <v>Unset</v>
      </c>
      <c r="L1113" t="str">
        <f t="shared" si="120"/>
        <v/>
      </c>
      <c r="M1113">
        <v>0</v>
      </c>
      <c r="N1113" t="str">
        <f>IF(VALUE(M1113)=0,"",VLOOKUP(VLOOKUP(M1113,Tbl_Effect[],3,FALSE),EffectName[],IFERROR(MATCH(UI!$B$1,EffectName[#Headers],0),2),FALSE))</f>
        <v/>
      </c>
      <c r="O1113" t="str">
        <f t="shared" si="121"/>
        <v/>
      </c>
      <c r="P1113">
        <v>0</v>
      </c>
      <c r="Q1113" t="str">
        <f>IF(VALUE(P1113)=0,"",VLOOKUP(VLOOKUP(P1113,Tbl_Effect[],3,FALSE),EffectName[],IFERROR(MATCH(UI!$B$1,EffectName[#Headers],0),2),FALSE))</f>
        <v/>
      </c>
      <c r="R1113" t="str">
        <f t="shared" si="122"/>
        <v/>
      </c>
      <c r="S1113">
        <v>0</v>
      </c>
      <c r="T1113" t="str">
        <f>IF(VALUE(S1113)=0,"",VLOOKUP(VLOOKUP(S1113,Tbl_Effect[],3,FALSE),EffectName[],IFERROR(MATCH(UI!$B$1,EffectName[#Headers],0),2),FALSE))</f>
        <v/>
      </c>
      <c r="U1113" t="str">
        <f t="shared" si="123"/>
        <v/>
      </c>
      <c r="V1113">
        <v>0</v>
      </c>
      <c r="W1113" t="str">
        <f>IF(V1113&lt;&gt;0,VLOOKUP(VLOOKUP(V1113,Tbl_Effect[],3,FALSE),EffectName[],IFERROR(MATCH(UI!$B$1,EffectName[#Headers],0),2),FALSE),"")</f>
        <v/>
      </c>
      <c r="X1113" t="str">
        <f t="shared" si="124"/>
        <v/>
      </c>
      <c r="Y1113">
        <v>0</v>
      </c>
      <c r="Z1113" t="str">
        <f>IF(Y1113&lt;&gt;0,VLOOKUP(VLOOKUP(Y1113,Tbl_Effect[],3,FALSE),EffectName[],IFERROR(MATCH(UI!$B$1,EffectName[#Headers],0),2),FALSE),"")</f>
        <v/>
      </c>
      <c r="AA1113" t="str">
        <f t="shared" si="125"/>
        <v/>
      </c>
      <c r="AB1113">
        <v>0</v>
      </c>
      <c r="AC1113" t="str">
        <f>IF(AB1113&lt;&gt;0,VLOOKUP(VLOOKUP(AB1113,Tbl_Effect[],3,FALSE),EffectName[],IFERROR(MATCH(UI!$B$1,EffectName[#Headers],0),2),FALSE),"")</f>
        <v/>
      </c>
    </row>
    <row r="1114" spans="8:29" x14ac:dyDescent="0.4">
      <c r="H1114" t="str">
        <f t="shared" si="119"/>
        <v>7006100-Unset (紅)</v>
      </c>
      <c r="I1114">
        <v>7006100</v>
      </c>
      <c r="J1114" t="str">
        <f>_xlfn.IFNA(IF(I1114&lt;&gt;0,VLOOKUP(VLOOKUP(I1114,Tbl_Equip[],2,FALSE),Tbl_Color[],IFERROR(MATCH(UI!$B$1,Tbl_Color[#Headers],0),2),FALSE),""),"Unset")</f>
        <v>紅</v>
      </c>
      <c r="K1114" t="str">
        <f>_xlfn.IFNA(IF(I1114&lt;&gt;0,VLOOKUP(I1114,ItemText[],IFERROR(MATCH(UI!$B$1,ItemText[#Headers],0),2),FALSE),""),"Unset")</f>
        <v>Unset</v>
      </c>
      <c r="L1114" t="str">
        <f t="shared" si="120"/>
        <v/>
      </c>
      <c r="M1114">
        <v>0</v>
      </c>
      <c r="N1114" t="str">
        <f>IF(VALUE(M1114)=0,"",VLOOKUP(VLOOKUP(M1114,Tbl_Effect[],3,FALSE),EffectName[],IFERROR(MATCH(UI!$B$1,EffectName[#Headers],0),2),FALSE))</f>
        <v/>
      </c>
      <c r="O1114" t="str">
        <f t="shared" si="121"/>
        <v/>
      </c>
      <c r="P1114">
        <v>0</v>
      </c>
      <c r="Q1114" t="str">
        <f>IF(VALUE(P1114)=0,"",VLOOKUP(VLOOKUP(P1114,Tbl_Effect[],3,FALSE),EffectName[],IFERROR(MATCH(UI!$B$1,EffectName[#Headers],0),2),FALSE))</f>
        <v/>
      </c>
      <c r="R1114" t="str">
        <f t="shared" si="122"/>
        <v/>
      </c>
      <c r="S1114">
        <v>0</v>
      </c>
      <c r="T1114" t="str">
        <f>IF(VALUE(S1114)=0,"",VLOOKUP(VLOOKUP(S1114,Tbl_Effect[],3,FALSE),EffectName[],IFERROR(MATCH(UI!$B$1,EffectName[#Headers],0),2),FALSE))</f>
        <v/>
      </c>
      <c r="U1114" t="str">
        <f t="shared" si="123"/>
        <v/>
      </c>
      <c r="V1114">
        <v>0</v>
      </c>
      <c r="W1114" t="str">
        <f>IF(V1114&lt;&gt;0,VLOOKUP(VLOOKUP(V1114,Tbl_Effect[],3,FALSE),EffectName[],IFERROR(MATCH(UI!$B$1,EffectName[#Headers],0),2),FALSE),"")</f>
        <v/>
      </c>
      <c r="X1114" t="str">
        <f t="shared" si="124"/>
        <v/>
      </c>
      <c r="Y1114">
        <v>0</v>
      </c>
      <c r="Z1114" t="str">
        <f>IF(Y1114&lt;&gt;0,VLOOKUP(VLOOKUP(Y1114,Tbl_Effect[],3,FALSE),EffectName[],IFERROR(MATCH(UI!$B$1,EffectName[#Headers],0),2),FALSE),"")</f>
        <v/>
      </c>
      <c r="AA1114" t="str">
        <f t="shared" si="125"/>
        <v/>
      </c>
      <c r="AB1114">
        <v>0</v>
      </c>
      <c r="AC1114" t="str">
        <f>IF(AB1114&lt;&gt;0,VLOOKUP(VLOOKUP(AB1114,Tbl_Effect[],3,FALSE),EffectName[],IFERROR(MATCH(UI!$B$1,EffectName[#Headers],0),2),FALSE),"")</f>
        <v/>
      </c>
    </row>
    <row r="1115" spans="8:29" x14ac:dyDescent="0.4">
      <c r="H1115" t="str">
        <f t="shared" si="119"/>
        <v>7006101-Unset (紅)</v>
      </c>
      <c r="I1115">
        <v>7006101</v>
      </c>
      <c r="J1115" t="str">
        <f>_xlfn.IFNA(IF(I1115&lt;&gt;0,VLOOKUP(VLOOKUP(I1115,Tbl_Equip[],2,FALSE),Tbl_Color[],IFERROR(MATCH(UI!$B$1,Tbl_Color[#Headers],0),2),FALSE),""),"Unset")</f>
        <v>紅</v>
      </c>
      <c r="K1115" t="str">
        <f>_xlfn.IFNA(IF(I1115&lt;&gt;0,VLOOKUP(I1115,ItemText[],IFERROR(MATCH(UI!$B$1,ItemText[#Headers],0),2),FALSE),""),"Unset")</f>
        <v>Unset</v>
      </c>
      <c r="L1115" t="str">
        <f t="shared" si="120"/>
        <v/>
      </c>
      <c r="M1115">
        <v>0</v>
      </c>
      <c r="N1115" t="str">
        <f>IF(VALUE(M1115)=0,"",VLOOKUP(VLOOKUP(M1115,Tbl_Effect[],3,FALSE),EffectName[],IFERROR(MATCH(UI!$B$1,EffectName[#Headers],0),2),FALSE))</f>
        <v/>
      </c>
      <c r="O1115" t="str">
        <f t="shared" si="121"/>
        <v/>
      </c>
      <c r="P1115">
        <v>0</v>
      </c>
      <c r="Q1115" t="str">
        <f>IF(VALUE(P1115)=0,"",VLOOKUP(VLOOKUP(P1115,Tbl_Effect[],3,FALSE),EffectName[],IFERROR(MATCH(UI!$B$1,EffectName[#Headers],0),2),FALSE))</f>
        <v/>
      </c>
      <c r="R1115" t="str">
        <f t="shared" si="122"/>
        <v/>
      </c>
      <c r="S1115">
        <v>0</v>
      </c>
      <c r="T1115" t="str">
        <f>IF(VALUE(S1115)=0,"",VLOOKUP(VLOOKUP(S1115,Tbl_Effect[],3,FALSE),EffectName[],IFERROR(MATCH(UI!$B$1,EffectName[#Headers],0),2),FALSE))</f>
        <v/>
      </c>
      <c r="U1115" t="str">
        <f t="shared" si="123"/>
        <v/>
      </c>
      <c r="V1115">
        <v>0</v>
      </c>
      <c r="W1115" t="str">
        <f>IF(V1115&lt;&gt;0,VLOOKUP(VLOOKUP(V1115,Tbl_Effect[],3,FALSE),EffectName[],IFERROR(MATCH(UI!$B$1,EffectName[#Headers],0),2),FALSE),"")</f>
        <v/>
      </c>
      <c r="X1115" t="str">
        <f t="shared" si="124"/>
        <v/>
      </c>
      <c r="Y1115">
        <v>0</v>
      </c>
      <c r="Z1115" t="str">
        <f>IF(Y1115&lt;&gt;0,VLOOKUP(VLOOKUP(Y1115,Tbl_Effect[],3,FALSE),EffectName[],IFERROR(MATCH(UI!$B$1,EffectName[#Headers],0),2),FALSE),"")</f>
        <v/>
      </c>
      <c r="AA1115" t="str">
        <f t="shared" si="125"/>
        <v/>
      </c>
      <c r="AB1115">
        <v>0</v>
      </c>
      <c r="AC1115" t="str">
        <f>IF(AB1115&lt;&gt;0,VLOOKUP(VLOOKUP(AB1115,Tbl_Effect[],3,FALSE),EffectName[],IFERROR(MATCH(UI!$B$1,EffectName[#Headers],0),2),FALSE),"")</f>
        <v/>
      </c>
    </row>
    <row r="1116" spans="8:29" x14ac:dyDescent="0.4">
      <c r="H1116" t="str">
        <f t="shared" si="119"/>
        <v>7006200-Unset (紅)</v>
      </c>
      <c r="I1116">
        <v>7006200</v>
      </c>
      <c r="J1116" t="str">
        <f>_xlfn.IFNA(IF(I1116&lt;&gt;0,VLOOKUP(VLOOKUP(I1116,Tbl_Equip[],2,FALSE),Tbl_Color[],IFERROR(MATCH(UI!$B$1,Tbl_Color[#Headers],0),2),FALSE),""),"Unset")</f>
        <v>紅</v>
      </c>
      <c r="K1116" t="str">
        <f>_xlfn.IFNA(IF(I1116&lt;&gt;0,VLOOKUP(I1116,ItemText[],IFERROR(MATCH(UI!$B$1,ItemText[#Headers],0),2),FALSE),""),"Unset")</f>
        <v>Unset</v>
      </c>
      <c r="L1116" t="str">
        <f t="shared" si="120"/>
        <v/>
      </c>
      <c r="M1116">
        <v>0</v>
      </c>
      <c r="N1116" t="str">
        <f>IF(VALUE(M1116)=0,"",VLOOKUP(VLOOKUP(M1116,Tbl_Effect[],3,FALSE),EffectName[],IFERROR(MATCH(UI!$B$1,EffectName[#Headers],0),2),FALSE))</f>
        <v/>
      </c>
      <c r="O1116" t="str">
        <f t="shared" si="121"/>
        <v/>
      </c>
      <c r="P1116">
        <v>0</v>
      </c>
      <c r="Q1116" t="str">
        <f>IF(VALUE(P1116)=0,"",VLOOKUP(VLOOKUP(P1116,Tbl_Effect[],3,FALSE),EffectName[],IFERROR(MATCH(UI!$B$1,EffectName[#Headers],0),2),FALSE))</f>
        <v/>
      </c>
      <c r="R1116" t="str">
        <f t="shared" si="122"/>
        <v/>
      </c>
      <c r="S1116">
        <v>0</v>
      </c>
      <c r="T1116" t="str">
        <f>IF(VALUE(S1116)=0,"",VLOOKUP(VLOOKUP(S1116,Tbl_Effect[],3,FALSE),EffectName[],IFERROR(MATCH(UI!$B$1,EffectName[#Headers],0),2),FALSE))</f>
        <v/>
      </c>
      <c r="U1116" t="str">
        <f t="shared" si="123"/>
        <v/>
      </c>
      <c r="V1116">
        <v>0</v>
      </c>
      <c r="W1116" t="str">
        <f>IF(V1116&lt;&gt;0,VLOOKUP(VLOOKUP(V1116,Tbl_Effect[],3,FALSE),EffectName[],IFERROR(MATCH(UI!$B$1,EffectName[#Headers],0),2),FALSE),"")</f>
        <v/>
      </c>
      <c r="X1116" t="str">
        <f t="shared" si="124"/>
        <v/>
      </c>
      <c r="Y1116">
        <v>0</v>
      </c>
      <c r="Z1116" t="str">
        <f>IF(Y1116&lt;&gt;0,VLOOKUP(VLOOKUP(Y1116,Tbl_Effect[],3,FALSE),EffectName[],IFERROR(MATCH(UI!$B$1,EffectName[#Headers],0),2),FALSE),"")</f>
        <v/>
      </c>
      <c r="AA1116" t="str">
        <f t="shared" si="125"/>
        <v/>
      </c>
      <c r="AB1116">
        <v>0</v>
      </c>
      <c r="AC1116" t="str">
        <f>IF(AB1116&lt;&gt;0,VLOOKUP(VLOOKUP(AB1116,Tbl_Effect[],3,FALSE),EffectName[],IFERROR(MATCH(UI!$B$1,EffectName[#Headers],0),2),FALSE),"")</f>
        <v/>
      </c>
    </row>
    <row r="1117" spans="8:29" x14ac:dyDescent="0.4">
      <c r="H1117" t="str">
        <f t="shared" si="119"/>
        <v>7006300-Unset (紅)</v>
      </c>
      <c r="I1117">
        <v>7006300</v>
      </c>
      <c r="J1117" t="str">
        <f>_xlfn.IFNA(IF(I1117&lt;&gt;0,VLOOKUP(VLOOKUP(I1117,Tbl_Equip[],2,FALSE),Tbl_Color[],IFERROR(MATCH(UI!$B$1,Tbl_Color[#Headers],0),2),FALSE),""),"Unset")</f>
        <v>紅</v>
      </c>
      <c r="K1117" t="str">
        <f>_xlfn.IFNA(IF(I1117&lt;&gt;0,VLOOKUP(I1117,ItemText[],IFERROR(MATCH(UI!$B$1,ItemText[#Headers],0),2),FALSE),""),"Unset")</f>
        <v>Unset</v>
      </c>
      <c r="L1117" t="str">
        <f t="shared" si="120"/>
        <v/>
      </c>
      <c r="M1117">
        <v>0</v>
      </c>
      <c r="N1117" t="str">
        <f>IF(VALUE(M1117)=0,"",VLOOKUP(VLOOKUP(M1117,Tbl_Effect[],3,FALSE),EffectName[],IFERROR(MATCH(UI!$B$1,EffectName[#Headers],0),2),FALSE))</f>
        <v/>
      </c>
      <c r="O1117" t="str">
        <f t="shared" si="121"/>
        <v/>
      </c>
      <c r="P1117">
        <v>0</v>
      </c>
      <c r="Q1117" t="str">
        <f>IF(VALUE(P1117)=0,"",VLOOKUP(VLOOKUP(P1117,Tbl_Effect[],3,FALSE),EffectName[],IFERROR(MATCH(UI!$B$1,EffectName[#Headers],0),2),FALSE))</f>
        <v/>
      </c>
      <c r="R1117" t="str">
        <f t="shared" si="122"/>
        <v/>
      </c>
      <c r="S1117">
        <v>0</v>
      </c>
      <c r="T1117" t="str">
        <f>IF(VALUE(S1117)=0,"",VLOOKUP(VLOOKUP(S1117,Tbl_Effect[],3,FALSE),EffectName[],IFERROR(MATCH(UI!$B$1,EffectName[#Headers],0),2),FALSE))</f>
        <v/>
      </c>
      <c r="U1117" t="str">
        <f t="shared" si="123"/>
        <v/>
      </c>
      <c r="V1117">
        <v>0</v>
      </c>
      <c r="W1117" t="str">
        <f>IF(V1117&lt;&gt;0,VLOOKUP(VLOOKUP(V1117,Tbl_Effect[],3,FALSE),EffectName[],IFERROR(MATCH(UI!$B$1,EffectName[#Headers],0),2),FALSE),"")</f>
        <v/>
      </c>
      <c r="X1117" t="str">
        <f t="shared" si="124"/>
        <v/>
      </c>
      <c r="Y1117">
        <v>0</v>
      </c>
      <c r="Z1117" t="str">
        <f>IF(Y1117&lt;&gt;0,VLOOKUP(VLOOKUP(Y1117,Tbl_Effect[],3,FALSE),EffectName[],IFERROR(MATCH(UI!$B$1,EffectName[#Headers],0),2),FALSE),"")</f>
        <v/>
      </c>
      <c r="AA1117" t="str">
        <f t="shared" si="125"/>
        <v/>
      </c>
      <c r="AB1117">
        <v>0</v>
      </c>
      <c r="AC1117" t="str">
        <f>IF(AB1117&lt;&gt;0,VLOOKUP(VLOOKUP(AB1117,Tbl_Effect[],3,FALSE),EffectName[],IFERROR(MATCH(UI!$B$1,EffectName[#Headers],0),2),FALSE),"")</f>
        <v/>
      </c>
    </row>
    <row r="1118" spans="8:29" x14ac:dyDescent="0.4">
      <c r="H1118" t="str">
        <f t="shared" si="119"/>
        <v>7006400-Unset (紅)</v>
      </c>
      <c r="I1118">
        <v>7006400</v>
      </c>
      <c r="J1118" t="str">
        <f>_xlfn.IFNA(IF(I1118&lt;&gt;0,VLOOKUP(VLOOKUP(I1118,Tbl_Equip[],2,FALSE),Tbl_Color[],IFERROR(MATCH(UI!$B$1,Tbl_Color[#Headers],0),2),FALSE),""),"Unset")</f>
        <v>紅</v>
      </c>
      <c r="K1118" t="str">
        <f>_xlfn.IFNA(IF(I1118&lt;&gt;0,VLOOKUP(I1118,ItemText[],IFERROR(MATCH(UI!$B$1,ItemText[#Headers],0),2),FALSE),""),"Unset")</f>
        <v>Unset</v>
      </c>
      <c r="L1118" t="str">
        <f t="shared" si="120"/>
        <v/>
      </c>
      <c r="M1118">
        <v>0</v>
      </c>
      <c r="N1118" t="str">
        <f>IF(VALUE(M1118)=0,"",VLOOKUP(VLOOKUP(M1118,Tbl_Effect[],3,FALSE),EffectName[],IFERROR(MATCH(UI!$B$1,EffectName[#Headers],0),2),FALSE))</f>
        <v/>
      </c>
      <c r="O1118" t="str">
        <f t="shared" si="121"/>
        <v/>
      </c>
      <c r="P1118">
        <v>0</v>
      </c>
      <c r="Q1118" t="str">
        <f>IF(VALUE(P1118)=0,"",VLOOKUP(VLOOKUP(P1118,Tbl_Effect[],3,FALSE),EffectName[],IFERROR(MATCH(UI!$B$1,EffectName[#Headers],0),2),FALSE))</f>
        <v/>
      </c>
      <c r="R1118" t="str">
        <f t="shared" si="122"/>
        <v/>
      </c>
      <c r="S1118">
        <v>0</v>
      </c>
      <c r="T1118" t="str">
        <f>IF(VALUE(S1118)=0,"",VLOOKUP(VLOOKUP(S1118,Tbl_Effect[],3,FALSE),EffectName[],IFERROR(MATCH(UI!$B$1,EffectName[#Headers],0),2),FALSE))</f>
        <v/>
      </c>
      <c r="U1118" t="str">
        <f t="shared" si="123"/>
        <v/>
      </c>
      <c r="V1118">
        <v>0</v>
      </c>
      <c r="W1118" t="str">
        <f>IF(V1118&lt;&gt;0,VLOOKUP(VLOOKUP(V1118,Tbl_Effect[],3,FALSE),EffectName[],IFERROR(MATCH(UI!$B$1,EffectName[#Headers],0),2),FALSE),"")</f>
        <v/>
      </c>
      <c r="X1118" t="str">
        <f t="shared" si="124"/>
        <v/>
      </c>
      <c r="Y1118">
        <v>0</v>
      </c>
      <c r="Z1118" t="str">
        <f>IF(Y1118&lt;&gt;0,VLOOKUP(VLOOKUP(Y1118,Tbl_Effect[],3,FALSE),EffectName[],IFERROR(MATCH(UI!$B$1,EffectName[#Headers],0),2),FALSE),"")</f>
        <v/>
      </c>
      <c r="AA1118" t="str">
        <f t="shared" si="125"/>
        <v/>
      </c>
      <c r="AB1118">
        <v>0</v>
      </c>
      <c r="AC1118" t="str">
        <f>IF(AB1118&lt;&gt;0,VLOOKUP(VLOOKUP(AB1118,Tbl_Effect[],3,FALSE),EffectName[],IFERROR(MATCH(UI!$B$1,EffectName[#Headers],0),2),FALSE),"")</f>
        <v/>
      </c>
    </row>
    <row r="1119" spans="8:29" x14ac:dyDescent="0.4">
      <c r="H1119" t="str">
        <f t="shared" si="119"/>
        <v>7006500-Unset (紅)</v>
      </c>
      <c r="I1119">
        <v>7006500</v>
      </c>
      <c r="J1119" t="str">
        <f>_xlfn.IFNA(IF(I1119&lt;&gt;0,VLOOKUP(VLOOKUP(I1119,Tbl_Equip[],2,FALSE),Tbl_Color[],IFERROR(MATCH(UI!$B$1,Tbl_Color[#Headers],0),2),FALSE),""),"Unset")</f>
        <v>紅</v>
      </c>
      <c r="K1119" t="str">
        <f>_xlfn.IFNA(IF(I1119&lt;&gt;0,VLOOKUP(I1119,ItemText[],IFERROR(MATCH(UI!$B$1,ItemText[#Headers],0),2),FALSE),""),"Unset")</f>
        <v>Unset</v>
      </c>
      <c r="L1119" t="str">
        <f t="shared" si="120"/>
        <v/>
      </c>
      <c r="M1119">
        <v>0</v>
      </c>
      <c r="N1119" t="str">
        <f>IF(VALUE(M1119)=0,"",VLOOKUP(VLOOKUP(M1119,Tbl_Effect[],3,FALSE),EffectName[],IFERROR(MATCH(UI!$B$1,EffectName[#Headers],0),2),FALSE))</f>
        <v/>
      </c>
      <c r="O1119" t="str">
        <f t="shared" si="121"/>
        <v/>
      </c>
      <c r="P1119">
        <v>0</v>
      </c>
      <c r="Q1119" t="str">
        <f>IF(VALUE(P1119)=0,"",VLOOKUP(VLOOKUP(P1119,Tbl_Effect[],3,FALSE),EffectName[],IFERROR(MATCH(UI!$B$1,EffectName[#Headers],0),2),FALSE))</f>
        <v/>
      </c>
      <c r="R1119" t="str">
        <f t="shared" si="122"/>
        <v/>
      </c>
      <c r="S1119">
        <v>0</v>
      </c>
      <c r="T1119" t="str">
        <f>IF(VALUE(S1119)=0,"",VLOOKUP(VLOOKUP(S1119,Tbl_Effect[],3,FALSE),EffectName[],IFERROR(MATCH(UI!$B$1,EffectName[#Headers],0),2),FALSE))</f>
        <v/>
      </c>
      <c r="U1119" t="str">
        <f t="shared" si="123"/>
        <v/>
      </c>
      <c r="V1119">
        <v>0</v>
      </c>
      <c r="W1119" t="str">
        <f>IF(V1119&lt;&gt;0,VLOOKUP(VLOOKUP(V1119,Tbl_Effect[],3,FALSE),EffectName[],IFERROR(MATCH(UI!$B$1,EffectName[#Headers],0),2),FALSE),"")</f>
        <v/>
      </c>
      <c r="X1119" t="str">
        <f t="shared" si="124"/>
        <v/>
      </c>
      <c r="Y1119">
        <v>0</v>
      </c>
      <c r="Z1119" t="str">
        <f>IF(Y1119&lt;&gt;0,VLOOKUP(VLOOKUP(Y1119,Tbl_Effect[],3,FALSE),EffectName[],IFERROR(MATCH(UI!$B$1,EffectName[#Headers],0),2),FALSE),"")</f>
        <v/>
      </c>
      <c r="AA1119" t="str">
        <f t="shared" si="125"/>
        <v/>
      </c>
      <c r="AB1119">
        <v>0</v>
      </c>
      <c r="AC1119" t="str">
        <f>IF(AB1119&lt;&gt;0,VLOOKUP(VLOOKUP(AB1119,Tbl_Effect[],3,FALSE),EffectName[],IFERROR(MATCH(UI!$B$1,EffectName[#Headers],0),2),FALSE),"")</f>
        <v/>
      </c>
    </row>
    <row r="1120" spans="8:29" x14ac:dyDescent="0.4">
      <c r="H1120" t="str">
        <f t="shared" si="119"/>
        <v>7006600-Unset (紅)</v>
      </c>
      <c r="I1120">
        <v>7006600</v>
      </c>
      <c r="J1120" t="str">
        <f>_xlfn.IFNA(IF(I1120&lt;&gt;0,VLOOKUP(VLOOKUP(I1120,Tbl_Equip[],2,FALSE),Tbl_Color[],IFERROR(MATCH(UI!$B$1,Tbl_Color[#Headers],0),2),FALSE),""),"Unset")</f>
        <v>紅</v>
      </c>
      <c r="K1120" t="str">
        <f>_xlfn.IFNA(IF(I1120&lt;&gt;0,VLOOKUP(I1120,ItemText[],IFERROR(MATCH(UI!$B$1,ItemText[#Headers],0),2),FALSE),""),"Unset")</f>
        <v>Unset</v>
      </c>
      <c r="L1120" t="str">
        <f t="shared" si="120"/>
        <v/>
      </c>
      <c r="M1120">
        <v>0</v>
      </c>
      <c r="N1120" t="str">
        <f>IF(VALUE(M1120)=0,"",VLOOKUP(VLOOKUP(M1120,Tbl_Effect[],3,FALSE),EffectName[],IFERROR(MATCH(UI!$B$1,EffectName[#Headers],0),2),FALSE))</f>
        <v/>
      </c>
      <c r="O1120" t="str">
        <f t="shared" si="121"/>
        <v/>
      </c>
      <c r="P1120">
        <v>0</v>
      </c>
      <c r="Q1120" t="str">
        <f>IF(VALUE(P1120)=0,"",VLOOKUP(VLOOKUP(P1120,Tbl_Effect[],3,FALSE),EffectName[],IFERROR(MATCH(UI!$B$1,EffectName[#Headers],0),2),FALSE))</f>
        <v/>
      </c>
      <c r="R1120" t="str">
        <f t="shared" si="122"/>
        <v/>
      </c>
      <c r="S1120">
        <v>0</v>
      </c>
      <c r="T1120" t="str">
        <f>IF(VALUE(S1120)=0,"",VLOOKUP(VLOOKUP(S1120,Tbl_Effect[],3,FALSE),EffectName[],IFERROR(MATCH(UI!$B$1,EffectName[#Headers],0),2),FALSE))</f>
        <v/>
      </c>
      <c r="U1120" t="str">
        <f t="shared" si="123"/>
        <v/>
      </c>
      <c r="V1120">
        <v>0</v>
      </c>
      <c r="W1120" t="str">
        <f>IF(V1120&lt;&gt;0,VLOOKUP(VLOOKUP(V1120,Tbl_Effect[],3,FALSE),EffectName[],IFERROR(MATCH(UI!$B$1,EffectName[#Headers],0),2),FALSE),"")</f>
        <v/>
      </c>
      <c r="X1120" t="str">
        <f t="shared" si="124"/>
        <v/>
      </c>
      <c r="Y1120">
        <v>0</v>
      </c>
      <c r="Z1120" t="str">
        <f>IF(Y1120&lt;&gt;0,VLOOKUP(VLOOKUP(Y1120,Tbl_Effect[],3,FALSE),EffectName[],IFERROR(MATCH(UI!$B$1,EffectName[#Headers],0),2),FALSE),"")</f>
        <v/>
      </c>
      <c r="AA1120" t="str">
        <f t="shared" si="125"/>
        <v/>
      </c>
      <c r="AB1120">
        <v>0</v>
      </c>
      <c r="AC1120" t="str">
        <f>IF(AB1120&lt;&gt;0,VLOOKUP(VLOOKUP(AB1120,Tbl_Effect[],3,FALSE),EffectName[],IFERROR(MATCH(UI!$B$1,EffectName[#Headers],0),2),FALSE),"")</f>
        <v/>
      </c>
    </row>
    <row r="1121" spans="8:29" x14ac:dyDescent="0.4">
      <c r="H1121" t="str">
        <f t="shared" si="119"/>
        <v>7006700-Unset (紅)</v>
      </c>
      <c r="I1121">
        <v>7006700</v>
      </c>
      <c r="J1121" t="str">
        <f>_xlfn.IFNA(IF(I1121&lt;&gt;0,VLOOKUP(VLOOKUP(I1121,Tbl_Equip[],2,FALSE),Tbl_Color[],IFERROR(MATCH(UI!$B$1,Tbl_Color[#Headers],0),2),FALSE),""),"Unset")</f>
        <v>紅</v>
      </c>
      <c r="K1121" t="str">
        <f>_xlfn.IFNA(IF(I1121&lt;&gt;0,VLOOKUP(I1121,ItemText[],IFERROR(MATCH(UI!$B$1,ItemText[#Headers],0),2),FALSE),""),"Unset")</f>
        <v>Unset</v>
      </c>
      <c r="L1121" t="str">
        <f t="shared" si="120"/>
        <v/>
      </c>
      <c r="M1121">
        <v>0</v>
      </c>
      <c r="N1121" t="str">
        <f>IF(VALUE(M1121)=0,"",VLOOKUP(VLOOKUP(M1121,Tbl_Effect[],3,FALSE),EffectName[],IFERROR(MATCH(UI!$B$1,EffectName[#Headers],0),2),FALSE))</f>
        <v/>
      </c>
      <c r="O1121" t="str">
        <f t="shared" si="121"/>
        <v/>
      </c>
      <c r="P1121">
        <v>0</v>
      </c>
      <c r="Q1121" t="str">
        <f>IF(VALUE(P1121)=0,"",VLOOKUP(VLOOKUP(P1121,Tbl_Effect[],3,FALSE),EffectName[],IFERROR(MATCH(UI!$B$1,EffectName[#Headers],0),2),FALSE))</f>
        <v/>
      </c>
      <c r="R1121" t="str">
        <f t="shared" si="122"/>
        <v/>
      </c>
      <c r="S1121">
        <v>0</v>
      </c>
      <c r="T1121" t="str">
        <f>IF(VALUE(S1121)=0,"",VLOOKUP(VLOOKUP(S1121,Tbl_Effect[],3,FALSE),EffectName[],IFERROR(MATCH(UI!$B$1,EffectName[#Headers],0),2),FALSE))</f>
        <v/>
      </c>
      <c r="U1121" t="str">
        <f t="shared" si="123"/>
        <v/>
      </c>
      <c r="V1121">
        <v>0</v>
      </c>
      <c r="W1121" t="str">
        <f>IF(V1121&lt;&gt;0,VLOOKUP(VLOOKUP(V1121,Tbl_Effect[],3,FALSE),EffectName[],IFERROR(MATCH(UI!$B$1,EffectName[#Headers],0),2),FALSE),"")</f>
        <v/>
      </c>
      <c r="X1121" t="str">
        <f t="shared" si="124"/>
        <v/>
      </c>
      <c r="Y1121">
        <v>0</v>
      </c>
      <c r="Z1121" t="str">
        <f>IF(Y1121&lt;&gt;0,VLOOKUP(VLOOKUP(Y1121,Tbl_Effect[],3,FALSE),EffectName[],IFERROR(MATCH(UI!$B$1,EffectName[#Headers],0),2),FALSE),"")</f>
        <v/>
      </c>
      <c r="AA1121" t="str">
        <f t="shared" si="125"/>
        <v/>
      </c>
      <c r="AB1121">
        <v>0</v>
      </c>
      <c r="AC1121" t="str">
        <f>IF(AB1121&lt;&gt;0,VLOOKUP(VLOOKUP(AB1121,Tbl_Effect[],3,FALSE),EffectName[],IFERROR(MATCH(UI!$B$1,EffectName[#Headers],0),2),FALSE),"")</f>
        <v/>
      </c>
    </row>
    <row r="1122" spans="8:29" x14ac:dyDescent="0.4">
      <c r="H1122" t="str">
        <f t="shared" si="119"/>
        <v>7010200-Unset (紅)</v>
      </c>
      <c r="I1122">
        <v>7010200</v>
      </c>
      <c r="J1122" t="str">
        <f>_xlfn.IFNA(IF(I1122&lt;&gt;0,VLOOKUP(VLOOKUP(I1122,Tbl_Equip[],2,FALSE),Tbl_Color[],IFERROR(MATCH(UI!$B$1,Tbl_Color[#Headers],0),2),FALSE),""),"Unset")</f>
        <v>紅</v>
      </c>
      <c r="K1122" t="str">
        <f>_xlfn.IFNA(IF(I1122&lt;&gt;0,VLOOKUP(I1122,ItemText[],IFERROR(MATCH(UI!$B$1,ItemText[#Headers],0),2),FALSE),""),"Unset")</f>
        <v>Unset</v>
      </c>
      <c r="L1122" t="str">
        <f t="shared" si="120"/>
        <v/>
      </c>
      <c r="M1122">
        <v>0</v>
      </c>
      <c r="N1122" t="str">
        <f>IF(VALUE(M1122)=0,"",VLOOKUP(VLOOKUP(M1122,Tbl_Effect[],3,FALSE),EffectName[],IFERROR(MATCH(UI!$B$1,EffectName[#Headers],0),2),FALSE))</f>
        <v/>
      </c>
      <c r="O1122" t="str">
        <f t="shared" si="121"/>
        <v/>
      </c>
      <c r="P1122">
        <v>0</v>
      </c>
      <c r="Q1122" t="str">
        <f>IF(VALUE(P1122)=0,"",VLOOKUP(VLOOKUP(P1122,Tbl_Effect[],3,FALSE),EffectName[],IFERROR(MATCH(UI!$B$1,EffectName[#Headers],0),2),FALSE))</f>
        <v/>
      </c>
      <c r="R1122" t="str">
        <f t="shared" si="122"/>
        <v/>
      </c>
      <c r="S1122">
        <v>0</v>
      </c>
      <c r="T1122" t="str">
        <f>IF(VALUE(S1122)=0,"",VLOOKUP(VLOOKUP(S1122,Tbl_Effect[],3,FALSE),EffectName[],IFERROR(MATCH(UI!$B$1,EffectName[#Headers],0),2),FALSE))</f>
        <v/>
      </c>
      <c r="U1122" t="str">
        <f t="shared" si="123"/>
        <v/>
      </c>
      <c r="V1122">
        <v>0</v>
      </c>
      <c r="W1122" t="str">
        <f>IF(V1122&lt;&gt;0,VLOOKUP(VLOOKUP(V1122,Tbl_Effect[],3,FALSE),EffectName[],IFERROR(MATCH(UI!$B$1,EffectName[#Headers],0),2),FALSE),"")</f>
        <v/>
      </c>
      <c r="X1122" t="str">
        <f t="shared" si="124"/>
        <v/>
      </c>
      <c r="Y1122">
        <v>0</v>
      </c>
      <c r="Z1122" t="str">
        <f>IF(Y1122&lt;&gt;0,VLOOKUP(VLOOKUP(Y1122,Tbl_Effect[],3,FALSE),EffectName[],IFERROR(MATCH(UI!$B$1,EffectName[#Headers],0),2),FALSE),"")</f>
        <v/>
      </c>
      <c r="AA1122" t="str">
        <f t="shared" si="125"/>
        <v/>
      </c>
      <c r="AB1122">
        <v>0</v>
      </c>
      <c r="AC1122" t="str">
        <f>IF(AB1122&lt;&gt;0,VLOOKUP(VLOOKUP(AB1122,Tbl_Effect[],3,FALSE),EffectName[],IFERROR(MATCH(UI!$B$1,EffectName[#Headers],0),2),FALSE),"")</f>
        <v/>
      </c>
    </row>
    <row r="1123" spans="8:29" x14ac:dyDescent="0.4">
      <c r="H1123" t="str">
        <f t="shared" si="119"/>
        <v>7010500-Unset (紅)</v>
      </c>
      <c r="I1123">
        <v>7010500</v>
      </c>
      <c r="J1123" t="str">
        <f>_xlfn.IFNA(IF(I1123&lt;&gt;0,VLOOKUP(VLOOKUP(I1123,Tbl_Equip[],2,FALSE),Tbl_Color[],IFERROR(MATCH(UI!$B$1,Tbl_Color[#Headers],0),2),FALSE),""),"Unset")</f>
        <v>紅</v>
      </c>
      <c r="K1123" t="str">
        <f>_xlfn.IFNA(IF(I1123&lt;&gt;0,VLOOKUP(I1123,ItemText[],IFERROR(MATCH(UI!$B$1,ItemText[#Headers],0),2),FALSE),""),"Unset")</f>
        <v>Unset</v>
      </c>
      <c r="L1123" t="str">
        <f t="shared" si="120"/>
        <v/>
      </c>
      <c r="M1123">
        <v>0</v>
      </c>
      <c r="N1123" t="str">
        <f>IF(VALUE(M1123)=0,"",VLOOKUP(VLOOKUP(M1123,Tbl_Effect[],3,FALSE),EffectName[],IFERROR(MATCH(UI!$B$1,EffectName[#Headers],0),2),FALSE))</f>
        <v/>
      </c>
      <c r="O1123" t="str">
        <f t="shared" si="121"/>
        <v/>
      </c>
      <c r="P1123">
        <v>0</v>
      </c>
      <c r="Q1123" t="str">
        <f>IF(VALUE(P1123)=0,"",VLOOKUP(VLOOKUP(P1123,Tbl_Effect[],3,FALSE),EffectName[],IFERROR(MATCH(UI!$B$1,EffectName[#Headers],0),2),FALSE))</f>
        <v/>
      </c>
      <c r="R1123" t="str">
        <f t="shared" si="122"/>
        <v/>
      </c>
      <c r="S1123">
        <v>0</v>
      </c>
      <c r="T1123" t="str">
        <f>IF(VALUE(S1123)=0,"",VLOOKUP(VLOOKUP(S1123,Tbl_Effect[],3,FALSE),EffectName[],IFERROR(MATCH(UI!$B$1,EffectName[#Headers],0),2),FALSE))</f>
        <v/>
      </c>
      <c r="U1123" t="str">
        <f t="shared" si="123"/>
        <v/>
      </c>
      <c r="V1123">
        <v>0</v>
      </c>
      <c r="W1123" t="str">
        <f>IF(V1123&lt;&gt;0,VLOOKUP(VLOOKUP(V1123,Tbl_Effect[],3,FALSE),EffectName[],IFERROR(MATCH(UI!$B$1,EffectName[#Headers],0),2),FALSE),"")</f>
        <v/>
      </c>
      <c r="X1123" t="str">
        <f t="shared" si="124"/>
        <v/>
      </c>
      <c r="Y1123">
        <v>0</v>
      </c>
      <c r="Z1123" t="str">
        <f>IF(Y1123&lt;&gt;0,VLOOKUP(VLOOKUP(Y1123,Tbl_Effect[],3,FALSE),EffectName[],IFERROR(MATCH(UI!$B$1,EffectName[#Headers],0),2),FALSE),"")</f>
        <v/>
      </c>
      <c r="AA1123" t="str">
        <f t="shared" si="125"/>
        <v/>
      </c>
      <c r="AB1123">
        <v>0</v>
      </c>
      <c r="AC1123" t="str">
        <f>IF(AB1123&lt;&gt;0,VLOOKUP(VLOOKUP(AB1123,Tbl_Effect[],3,FALSE),EffectName[],IFERROR(MATCH(UI!$B$1,EffectName[#Headers],0),2),FALSE),"")</f>
        <v/>
      </c>
    </row>
    <row r="1124" spans="8:29" x14ac:dyDescent="0.4">
      <c r="H1124" t="str">
        <f t="shared" si="119"/>
        <v>7010700-Unset (紅)</v>
      </c>
      <c r="I1124">
        <v>7010700</v>
      </c>
      <c r="J1124" t="str">
        <f>_xlfn.IFNA(IF(I1124&lt;&gt;0,VLOOKUP(VLOOKUP(I1124,Tbl_Equip[],2,FALSE),Tbl_Color[],IFERROR(MATCH(UI!$B$1,Tbl_Color[#Headers],0),2),FALSE),""),"Unset")</f>
        <v>紅</v>
      </c>
      <c r="K1124" t="str">
        <f>_xlfn.IFNA(IF(I1124&lt;&gt;0,VLOOKUP(I1124,ItemText[],IFERROR(MATCH(UI!$B$1,ItemText[#Headers],0),2),FALSE),""),"Unset")</f>
        <v>Unset</v>
      </c>
      <c r="L1124" t="str">
        <f t="shared" si="120"/>
        <v/>
      </c>
      <c r="M1124">
        <v>0</v>
      </c>
      <c r="N1124" t="str">
        <f>IF(VALUE(M1124)=0,"",VLOOKUP(VLOOKUP(M1124,Tbl_Effect[],3,FALSE),EffectName[],IFERROR(MATCH(UI!$B$1,EffectName[#Headers],0),2),FALSE))</f>
        <v/>
      </c>
      <c r="O1124" t="str">
        <f t="shared" si="121"/>
        <v/>
      </c>
      <c r="P1124">
        <v>0</v>
      </c>
      <c r="Q1124" t="str">
        <f>IF(VALUE(P1124)=0,"",VLOOKUP(VLOOKUP(P1124,Tbl_Effect[],3,FALSE),EffectName[],IFERROR(MATCH(UI!$B$1,EffectName[#Headers],0),2),FALSE))</f>
        <v/>
      </c>
      <c r="R1124" t="str">
        <f t="shared" si="122"/>
        <v/>
      </c>
      <c r="S1124">
        <v>0</v>
      </c>
      <c r="T1124" t="str">
        <f>IF(VALUE(S1124)=0,"",VLOOKUP(VLOOKUP(S1124,Tbl_Effect[],3,FALSE),EffectName[],IFERROR(MATCH(UI!$B$1,EffectName[#Headers],0),2),FALSE))</f>
        <v/>
      </c>
      <c r="U1124" t="str">
        <f t="shared" si="123"/>
        <v/>
      </c>
      <c r="V1124">
        <v>0</v>
      </c>
      <c r="W1124" t="str">
        <f>IF(V1124&lt;&gt;0,VLOOKUP(VLOOKUP(V1124,Tbl_Effect[],3,FALSE),EffectName[],IFERROR(MATCH(UI!$B$1,EffectName[#Headers],0),2),FALSE),"")</f>
        <v/>
      </c>
      <c r="X1124" t="str">
        <f t="shared" si="124"/>
        <v/>
      </c>
      <c r="Y1124">
        <v>0</v>
      </c>
      <c r="Z1124" t="str">
        <f>IF(Y1124&lt;&gt;0,VLOOKUP(VLOOKUP(Y1124,Tbl_Effect[],3,FALSE),EffectName[],IFERROR(MATCH(UI!$B$1,EffectName[#Headers],0),2),FALSE),"")</f>
        <v/>
      </c>
      <c r="AA1124" t="str">
        <f t="shared" si="125"/>
        <v/>
      </c>
      <c r="AB1124">
        <v>0</v>
      </c>
      <c r="AC1124" t="str">
        <f>IF(AB1124&lt;&gt;0,VLOOKUP(VLOOKUP(AB1124,Tbl_Effect[],3,FALSE),EffectName[],IFERROR(MATCH(UI!$B$1,EffectName[#Headers],0),2),FALSE),"")</f>
        <v/>
      </c>
    </row>
    <row r="1125" spans="8:29" x14ac:dyDescent="0.4">
      <c r="H1125" t="str">
        <f t="shared" si="119"/>
        <v>7010900-Unset (紅)</v>
      </c>
      <c r="I1125">
        <v>7010900</v>
      </c>
      <c r="J1125" t="str">
        <f>_xlfn.IFNA(IF(I1125&lt;&gt;0,VLOOKUP(VLOOKUP(I1125,Tbl_Equip[],2,FALSE),Tbl_Color[],IFERROR(MATCH(UI!$B$1,Tbl_Color[#Headers],0),2),FALSE),""),"Unset")</f>
        <v>紅</v>
      </c>
      <c r="K1125" t="str">
        <f>_xlfn.IFNA(IF(I1125&lt;&gt;0,VLOOKUP(I1125,ItemText[],IFERROR(MATCH(UI!$B$1,ItemText[#Headers],0),2),FALSE),""),"Unset")</f>
        <v>Unset</v>
      </c>
      <c r="L1125" t="str">
        <f t="shared" si="120"/>
        <v/>
      </c>
      <c r="M1125">
        <v>0</v>
      </c>
      <c r="N1125" t="str">
        <f>IF(VALUE(M1125)=0,"",VLOOKUP(VLOOKUP(M1125,Tbl_Effect[],3,FALSE),EffectName[],IFERROR(MATCH(UI!$B$1,EffectName[#Headers],0),2),FALSE))</f>
        <v/>
      </c>
      <c r="O1125" t="str">
        <f t="shared" si="121"/>
        <v/>
      </c>
      <c r="P1125">
        <v>0</v>
      </c>
      <c r="Q1125" t="str">
        <f>IF(VALUE(P1125)=0,"",VLOOKUP(VLOOKUP(P1125,Tbl_Effect[],3,FALSE),EffectName[],IFERROR(MATCH(UI!$B$1,EffectName[#Headers],0),2),FALSE))</f>
        <v/>
      </c>
      <c r="R1125" t="str">
        <f t="shared" si="122"/>
        <v/>
      </c>
      <c r="S1125">
        <v>0</v>
      </c>
      <c r="T1125" t="str">
        <f>IF(VALUE(S1125)=0,"",VLOOKUP(VLOOKUP(S1125,Tbl_Effect[],3,FALSE),EffectName[],IFERROR(MATCH(UI!$B$1,EffectName[#Headers],0),2),FALSE))</f>
        <v/>
      </c>
      <c r="U1125" t="str">
        <f t="shared" si="123"/>
        <v/>
      </c>
      <c r="V1125">
        <v>0</v>
      </c>
      <c r="W1125" t="str">
        <f>IF(V1125&lt;&gt;0,VLOOKUP(VLOOKUP(V1125,Tbl_Effect[],3,FALSE),EffectName[],IFERROR(MATCH(UI!$B$1,EffectName[#Headers],0),2),FALSE),"")</f>
        <v/>
      </c>
      <c r="X1125" t="str">
        <f t="shared" si="124"/>
        <v/>
      </c>
      <c r="Y1125">
        <v>0</v>
      </c>
      <c r="Z1125" t="str">
        <f>IF(Y1125&lt;&gt;0,VLOOKUP(VLOOKUP(Y1125,Tbl_Effect[],3,FALSE),EffectName[],IFERROR(MATCH(UI!$B$1,EffectName[#Headers],0),2),FALSE),"")</f>
        <v/>
      </c>
      <c r="AA1125" t="str">
        <f t="shared" si="125"/>
        <v/>
      </c>
      <c r="AB1125">
        <v>0</v>
      </c>
      <c r="AC1125" t="str">
        <f>IF(AB1125&lt;&gt;0,VLOOKUP(VLOOKUP(AB1125,Tbl_Effect[],3,FALSE),EffectName[],IFERROR(MATCH(UI!$B$1,EffectName[#Headers],0),2),FALSE),"")</f>
        <v/>
      </c>
    </row>
    <row r="1126" spans="8:29" x14ac:dyDescent="0.4">
      <c r="H1126" t="str">
        <f t="shared" si="119"/>
        <v>7011000-Unset (紅)</v>
      </c>
      <c r="I1126">
        <v>7011000</v>
      </c>
      <c r="J1126" t="str">
        <f>_xlfn.IFNA(IF(I1126&lt;&gt;0,VLOOKUP(VLOOKUP(I1126,Tbl_Equip[],2,FALSE),Tbl_Color[],IFERROR(MATCH(UI!$B$1,Tbl_Color[#Headers],0),2),FALSE),""),"Unset")</f>
        <v>紅</v>
      </c>
      <c r="K1126" t="str">
        <f>_xlfn.IFNA(IF(I1126&lt;&gt;0,VLOOKUP(I1126,ItemText[],IFERROR(MATCH(UI!$B$1,ItemText[#Headers],0),2),FALSE),""),"Unset")</f>
        <v>Unset</v>
      </c>
      <c r="L1126" t="str">
        <f t="shared" si="120"/>
        <v/>
      </c>
      <c r="M1126">
        <v>0</v>
      </c>
      <c r="N1126" t="str">
        <f>IF(VALUE(M1126)=0,"",VLOOKUP(VLOOKUP(M1126,Tbl_Effect[],3,FALSE),EffectName[],IFERROR(MATCH(UI!$B$1,EffectName[#Headers],0),2),FALSE))</f>
        <v/>
      </c>
      <c r="O1126" t="str">
        <f t="shared" si="121"/>
        <v/>
      </c>
      <c r="P1126">
        <v>0</v>
      </c>
      <c r="Q1126" t="str">
        <f>IF(VALUE(P1126)=0,"",VLOOKUP(VLOOKUP(P1126,Tbl_Effect[],3,FALSE),EffectName[],IFERROR(MATCH(UI!$B$1,EffectName[#Headers],0),2),FALSE))</f>
        <v/>
      </c>
      <c r="R1126" t="str">
        <f t="shared" si="122"/>
        <v/>
      </c>
      <c r="S1126">
        <v>0</v>
      </c>
      <c r="T1126" t="str">
        <f>IF(VALUE(S1126)=0,"",VLOOKUP(VLOOKUP(S1126,Tbl_Effect[],3,FALSE),EffectName[],IFERROR(MATCH(UI!$B$1,EffectName[#Headers],0),2),FALSE))</f>
        <v/>
      </c>
      <c r="U1126" t="str">
        <f t="shared" si="123"/>
        <v/>
      </c>
      <c r="V1126">
        <v>0</v>
      </c>
      <c r="W1126" t="str">
        <f>IF(V1126&lt;&gt;0,VLOOKUP(VLOOKUP(V1126,Tbl_Effect[],3,FALSE),EffectName[],IFERROR(MATCH(UI!$B$1,EffectName[#Headers],0),2),FALSE),"")</f>
        <v/>
      </c>
      <c r="X1126" t="str">
        <f t="shared" si="124"/>
        <v/>
      </c>
      <c r="Y1126">
        <v>0</v>
      </c>
      <c r="Z1126" t="str">
        <f>IF(Y1126&lt;&gt;0,VLOOKUP(VLOOKUP(Y1126,Tbl_Effect[],3,FALSE),EffectName[],IFERROR(MATCH(UI!$B$1,EffectName[#Headers],0),2),FALSE),"")</f>
        <v/>
      </c>
      <c r="AA1126" t="str">
        <f t="shared" si="125"/>
        <v/>
      </c>
      <c r="AB1126">
        <v>0</v>
      </c>
      <c r="AC1126" t="str">
        <f>IF(AB1126&lt;&gt;0,VLOOKUP(VLOOKUP(AB1126,Tbl_Effect[],3,FALSE),EffectName[],IFERROR(MATCH(UI!$B$1,EffectName[#Headers],0),2),FALSE),"")</f>
        <v/>
      </c>
    </row>
    <row r="1127" spans="8:29" x14ac:dyDescent="0.4">
      <c r="H1127" t="str">
        <f t="shared" si="119"/>
        <v>7011200-Unset (紅)</v>
      </c>
      <c r="I1127">
        <v>7011200</v>
      </c>
      <c r="J1127" t="str">
        <f>_xlfn.IFNA(IF(I1127&lt;&gt;0,VLOOKUP(VLOOKUP(I1127,Tbl_Equip[],2,FALSE),Tbl_Color[],IFERROR(MATCH(UI!$B$1,Tbl_Color[#Headers],0),2),FALSE),""),"Unset")</f>
        <v>紅</v>
      </c>
      <c r="K1127" t="str">
        <f>_xlfn.IFNA(IF(I1127&lt;&gt;0,VLOOKUP(I1127,ItemText[],IFERROR(MATCH(UI!$B$1,ItemText[#Headers],0),2),FALSE),""),"Unset")</f>
        <v>Unset</v>
      </c>
      <c r="L1127" t="str">
        <f t="shared" si="120"/>
        <v/>
      </c>
      <c r="M1127">
        <v>0</v>
      </c>
      <c r="N1127" t="str">
        <f>IF(VALUE(M1127)=0,"",VLOOKUP(VLOOKUP(M1127,Tbl_Effect[],3,FALSE),EffectName[],IFERROR(MATCH(UI!$B$1,EffectName[#Headers],0),2),FALSE))</f>
        <v/>
      </c>
      <c r="O1127" t="str">
        <f t="shared" si="121"/>
        <v/>
      </c>
      <c r="P1127">
        <v>0</v>
      </c>
      <c r="Q1127" t="str">
        <f>IF(VALUE(P1127)=0,"",VLOOKUP(VLOOKUP(P1127,Tbl_Effect[],3,FALSE),EffectName[],IFERROR(MATCH(UI!$B$1,EffectName[#Headers],0),2),FALSE))</f>
        <v/>
      </c>
      <c r="R1127" t="str">
        <f t="shared" si="122"/>
        <v/>
      </c>
      <c r="S1127">
        <v>0</v>
      </c>
      <c r="T1127" t="str">
        <f>IF(VALUE(S1127)=0,"",VLOOKUP(VLOOKUP(S1127,Tbl_Effect[],3,FALSE),EffectName[],IFERROR(MATCH(UI!$B$1,EffectName[#Headers],0),2),FALSE))</f>
        <v/>
      </c>
      <c r="U1127" t="str">
        <f t="shared" si="123"/>
        <v/>
      </c>
      <c r="V1127">
        <v>0</v>
      </c>
      <c r="W1127" t="str">
        <f>IF(V1127&lt;&gt;0,VLOOKUP(VLOOKUP(V1127,Tbl_Effect[],3,FALSE),EffectName[],IFERROR(MATCH(UI!$B$1,EffectName[#Headers],0),2),FALSE),"")</f>
        <v/>
      </c>
      <c r="X1127" t="str">
        <f t="shared" si="124"/>
        <v/>
      </c>
      <c r="Y1127">
        <v>0</v>
      </c>
      <c r="Z1127" t="str">
        <f>IF(Y1127&lt;&gt;0,VLOOKUP(VLOOKUP(Y1127,Tbl_Effect[],3,FALSE),EffectName[],IFERROR(MATCH(UI!$B$1,EffectName[#Headers],0),2),FALSE),"")</f>
        <v/>
      </c>
      <c r="AA1127" t="str">
        <f t="shared" si="125"/>
        <v/>
      </c>
      <c r="AB1127">
        <v>0</v>
      </c>
      <c r="AC1127" t="str">
        <f>IF(AB1127&lt;&gt;0,VLOOKUP(VLOOKUP(AB1127,Tbl_Effect[],3,FALSE),EffectName[],IFERROR(MATCH(UI!$B$1,EffectName[#Headers],0),2),FALSE),"")</f>
        <v/>
      </c>
    </row>
    <row r="1128" spans="8:29" x14ac:dyDescent="0.4">
      <c r="H1128" t="str">
        <f t="shared" si="119"/>
        <v>7011600-Unset (紅)</v>
      </c>
      <c r="I1128">
        <v>7011600</v>
      </c>
      <c r="J1128" t="str">
        <f>_xlfn.IFNA(IF(I1128&lt;&gt;0,VLOOKUP(VLOOKUP(I1128,Tbl_Equip[],2,FALSE),Tbl_Color[],IFERROR(MATCH(UI!$B$1,Tbl_Color[#Headers],0),2),FALSE),""),"Unset")</f>
        <v>紅</v>
      </c>
      <c r="K1128" t="str">
        <f>_xlfn.IFNA(IF(I1128&lt;&gt;0,VLOOKUP(I1128,ItemText[],IFERROR(MATCH(UI!$B$1,ItemText[#Headers],0),2),FALSE),""),"Unset")</f>
        <v>Unset</v>
      </c>
      <c r="L1128" t="str">
        <f t="shared" si="120"/>
        <v/>
      </c>
      <c r="M1128">
        <v>0</v>
      </c>
      <c r="N1128" t="str">
        <f>IF(VALUE(M1128)=0,"",VLOOKUP(VLOOKUP(M1128,Tbl_Effect[],3,FALSE),EffectName[],IFERROR(MATCH(UI!$B$1,EffectName[#Headers],0),2),FALSE))</f>
        <v/>
      </c>
      <c r="O1128" t="str">
        <f t="shared" si="121"/>
        <v/>
      </c>
      <c r="P1128">
        <v>0</v>
      </c>
      <c r="Q1128" t="str">
        <f>IF(VALUE(P1128)=0,"",VLOOKUP(VLOOKUP(P1128,Tbl_Effect[],3,FALSE),EffectName[],IFERROR(MATCH(UI!$B$1,EffectName[#Headers],0),2),FALSE))</f>
        <v/>
      </c>
      <c r="R1128" t="str">
        <f t="shared" si="122"/>
        <v/>
      </c>
      <c r="S1128">
        <v>0</v>
      </c>
      <c r="T1128" t="str">
        <f>IF(VALUE(S1128)=0,"",VLOOKUP(VLOOKUP(S1128,Tbl_Effect[],3,FALSE),EffectName[],IFERROR(MATCH(UI!$B$1,EffectName[#Headers],0),2),FALSE))</f>
        <v/>
      </c>
      <c r="U1128" t="str">
        <f t="shared" si="123"/>
        <v/>
      </c>
      <c r="V1128">
        <v>0</v>
      </c>
      <c r="W1128" t="str">
        <f>IF(V1128&lt;&gt;0,VLOOKUP(VLOOKUP(V1128,Tbl_Effect[],3,FALSE),EffectName[],IFERROR(MATCH(UI!$B$1,EffectName[#Headers],0),2),FALSE),"")</f>
        <v/>
      </c>
      <c r="X1128" t="str">
        <f t="shared" si="124"/>
        <v/>
      </c>
      <c r="Y1128">
        <v>0</v>
      </c>
      <c r="Z1128" t="str">
        <f>IF(Y1128&lt;&gt;0,VLOOKUP(VLOOKUP(Y1128,Tbl_Effect[],3,FALSE),EffectName[],IFERROR(MATCH(UI!$B$1,EffectName[#Headers],0),2),FALSE),"")</f>
        <v/>
      </c>
      <c r="AA1128" t="str">
        <f t="shared" si="125"/>
        <v/>
      </c>
      <c r="AB1128">
        <v>0</v>
      </c>
      <c r="AC1128" t="str">
        <f>IF(AB1128&lt;&gt;0,VLOOKUP(VLOOKUP(AB1128,Tbl_Effect[],3,FALSE),EffectName[],IFERROR(MATCH(UI!$B$1,EffectName[#Headers],0),2),FALSE),"")</f>
        <v/>
      </c>
    </row>
    <row r="1129" spans="8:29" x14ac:dyDescent="0.4">
      <c r="H1129" t="str">
        <f t="shared" si="119"/>
        <v>7011700-Unset (紅)</v>
      </c>
      <c r="I1129">
        <v>7011700</v>
      </c>
      <c r="J1129" t="str">
        <f>_xlfn.IFNA(IF(I1129&lt;&gt;0,VLOOKUP(VLOOKUP(I1129,Tbl_Equip[],2,FALSE),Tbl_Color[],IFERROR(MATCH(UI!$B$1,Tbl_Color[#Headers],0),2),FALSE),""),"Unset")</f>
        <v>紅</v>
      </c>
      <c r="K1129" t="str">
        <f>_xlfn.IFNA(IF(I1129&lt;&gt;0,VLOOKUP(I1129,ItemText[],IFERROR(MATCH(UI!$B$1,ItemText[#Headers],0),2),FALSE),""),"Unset")</f>
        <v>Unset</v>
      </c>
      <c r="L1129" t="str">
        <f t="shared" si="120"/>
        <v/>
      </c>
      <c r="M1129">
        <v>0</v>
      </c>
      <c r="N1129" t="str">
        <f>IF(VALUE(M1129)=0,"",VLOOKUP(VLOOKUP(M1129,Tbl_Effect[],3,FALSE),EffectName[],IFERROR(MATCH(UI!$B$1,EffectName[#Headers],0),2),FALSE))</f>
        <v/>
      </c>
      <c r="O1129" t="str">
        <f t="shared" si="121"/>
        <v/>
      </c>
      <c r="P1129">
        <v>0</v>
      </c>
      <c r="Q1129" t="str">
        <f>IF(VALUE(P1129)=0,"",VLOOKUP(VLOOKUP(P1129,Tbl_Effect[],3,FALSE),EffectName[],IFERROR(MATCH(UI!$B$1,EffectName[#Headers],0),2),FALSE))</f>
        <v/>
      </c>
      <c r="R1129" t="str">
        <f t="shared" si="122"/>
        <v/>
      </c>
      <c r="S1129">
        <v>0</v>
      </c>
      <c r="T1129" t="str">
        <f>IF(VALUE(S1129)=0,"",VLOOKUP(VLOOKUP(S1129,Tbl_Effect[],3,FALSE),EffectName[],IFERROR(MATCH(UI!$B$1,EffectName[#Headers],0),2),FALSE))</f>
        <v/>
      </c>
      <c r="U1129" t="str">
        <f t="shared" si="123"/>
        <v/>
      </c>
      <c r="V1129">
        <v>0</v>
      </c>
      <c r="W1129" t="str">
        <f>IF(V1129&lt;&gt;0,VLOOKUP(VLOOKUP(V1129,Tbl_Effect[],3,FALSE),EffectName[],IFERROR(MATCH(UI!$B$1,EffectName[#Headers],0),2),FALSE),"")</f>
        <v/>
      </c>
      <c r="X1129" t="str">
        <f t="shared" si="124"/>
        <v/>
      </c>
      <c r="Y1129">
        <v>0</v>
      </c>
      <c r="Z1129" t="str">
        <f>IF(Y1129&lt;&gt;0,VLOOKUP(VLOOKUP(Y1129,Tbl_Effect[],3,FALSE),EffectName[],IFERROR(MATCH(UI!$B$1,EffectName[#Headers],0),2),FALSE),"")</f>
        <v/>
      </c>
      <c r="AA1129" t="str">
        <f t="shared" si="125"/>
        <v/>
      </c>
      <c r="AB1129">
        <v>0</v>
      </c>
      <c r="AC1129" t="str">
        <f>IF(AB1129&lt;&gt;0,VLOOKUP(VLOOKUP(AB1129,Tbl_Effect[],3,FALSE),EffectName[],IFERROR(MATCH(UI!$B$1,EffectName[#Headers],0),2),FALSE),"")</f>
        <v/>
      </c>
    </row>
    <row r="1130" spans="8:29" x14ac:dyDescent="0.4">
      <c r="H1130" t="str">
        <f t="shared" si="119"/>
        <v>7012000-Unset (紅)</v>
      </c>
      <c r="I1130">
        <v>7012000</v>
      </c>
      <c r="J1130" t="str">
        <f>_xlfn.IFNA(IF(I1130&lt;&gt;0,VLOOKUP(VLOOKUP(I1130,Tbl_Equip[],2,FALSE),Tbl_Color[],IFERROR(MATCH(UI!$B$1,Tbl_Color[#Headers],0),2),FALSE),""),"Unset")</f>
        <v>紅</v>
      </c>
      <c r="K1130" t="str">
        <f>_xlfn.IFNA(IF(I1130&lt;&gt;0,VLOOKUP(I1130,ItemText[],IFERROR(MATCH(UI!$B$1,ItemText[#Headers],0),2),FALSE),""),"Unset")</f>
        <v>Unset</v>
      </c>
      <c r="L1130" t="str">
        <f t="shared" si="120"/>
        <v/>
      </c>
      <c r="M1130">
        <v>0</v>
      </c>
      <c r="N1130" t="str">
        <f>IF(VALUE(M1130)=0,"",VLOOKUP(VLOOKUP(M1130,Tbl_Effect[],3,FALSE),EffectName[],IFERROR(MATCH(UI!$B$1,EffectName[#Headers],0),2),FALSE))</f>
        <v/>
      </c>
      <c r="O1130" t="str">
        <f t="shared" si="121"/>
        <v/>
      </c>
      <c r="P1130">
        <v>0</v>
      </c>
      <c r="Q1130" t="str">
        <f>IF(VALUE(P1130)=0,"",VLOOKUP(VLOOKUP(P1130,Tbl_Effect[],3,FALSE),EffectName[],IFERROR(MATCH(UI!$B$1,EffectName[#Headers],0),2),FALSE))</f>
        <v/>
      </c>
      <c r="R1130" t="str">
        <f t="shared" si="122"/>
        <v/>
      </c>
      <c r="S1130">
        <v>0</v>
      </c>
      <c r="T1130" t="str">
        <f>IF(VALUE(S1130)=0,"",VLOOKUP(VLOOKUP(S1130,Tbl_Effect[],3,FALSE),EffectName[],IFERROR(MATCH(UI!$B$1,EffectName[#Headers],0),2),FALSE))</f>
        <v/>
      </c>
      <c r="U1130" t="str">
        <f t="shared" si="123"/>
        <v/>
      </c>
      <c r="V1130">
        <v>0</v>
      </c>
      <c r="W1130" t="str">
        <f>IF(V1130&lt;&gt;0,VLOOKUP(VLOOKUP(V1130,Tbl_Effect[],3,FALSE),EffectName[],IFERROR(MATCH(UI!$B$1,EffectName[#Headers],0),2),FALSE),"")</f>
        <v/>
      </c>
      <c r="X1130" t="str">
        <f t="shared" si="124"/>
        <v/>
      </c>
      <c r="Y1130">
        <v>0</v>
      </c>
      <c r="Z1130" t="str">
        <f>IF(Y1130&lt;&gt;0,VLOOKUP(VLOOKUP(Y1130,Tbl_Effect[],3,FALSE),EffectName[],IFERROR(MATCH(UI!$B$1,EffectName[#Headers],0),2),FALSE),"")</f>
        <v/>
      </c>
      <c r="AA1130" t="str">
        <f t="shared" si="125"/>
        <v/>
      </c>
      <c r="AB1130">
        <v>0</v>
      </c>
      <c r="AC1130" t="str">
        <f>IF(AB1130&lt;&gt;0,VLOOKUP(VLOOKUP(AB1130,Tbl_Effect[],3,FALSE),EffectName[],IFERROR(MATCH(UI!$B$1,EffectName[#Headers],0),2),FALSE),"")</f>
        <v/>
      </c>
    </row>
    <row r="1131" spans="8:29" x14ac:dyDescent="0.4">
      <c r="H1131" t="str">
        <f t="shared" si="119"/>
        <v>7012200-Unset (紅)</v>
      </c>
      <c r="I1131">
        <v>7012200</v>
      </c>
      <c r="J1131" t="str">
        <f>_xlfn.IFNA(IF(I1131&lt;&gt;0,VLOOKUP(VLOOKUP(I1131,Tbl_Equip[],2,FALSE),Tbl_Color[],IFERROR(MATCH(UI!$B$1,Tbl_Color[#Headers],0),2),FALSE),""),"Unset")</f>
        <v>紅</v>
      </c>
      <c r="K1131" t="str">
        <f>_xlfn.IFNA(IF(I1131&lt;&gt;0,VLOOKUP(I1131,ItemText[],IFERROR(MATCH(UI!$B$1,ItemText[#Headers],0),2),FALSE),""),"Unset")</f>
        <v>Unset</v>
      </c>
      <c r="L1131" t="str">
        <f t="shared" si="120"/>
        <v/>
      </c>
      <c r="M1131">
        <v>0</v>
      </c>
      <c r="N1131" t="str">
        <f>IF(VALUE(M1131)=0,"",VLOOKUP(VLOOKUP(M1131,Tbl_Effect[],3,FALSE),EffectName[],IFERROR(MATCH(UI!$B$1,EffectName[#Headers],0),2),FALSE))</f>
        <v/>
      </c>
      <c r="O1131" t="str">
        <f t="shared" si="121"/>
        <v/>
      </c>
      <c r="P1131">
        <v>0</v>
      </c>
      <c r="Q1131" t="str">
        <f>IF(VALUE(P1131)=0,"",VLOOKUP(VLOOKUP(P1131,Tbl_Effect[],3,FALSE),EffectName[],IFERROR(MATCH(UI!$B$1,EffectName[#Headers],0),2),FALSE))</f>
        <v/>
      </c>
      <c r="R1131" t="str">
        <f t="shared" si="122"/>
        <v/>
      </c>
      <c r="S1131">
        <v>0</v>
      </c>
      <c r="T1131" t="str">
        <f>IF(VALUE(S1131)=0,"",VLOOKUP(VLOOKUP(S1131,Tbl_Effect[],3,FALSE),EffectName[],IFERROR(MATCH(UI!$B$1,EffectName[#Headers],0),2),FALSE))</f>
        <v/>
      </c>
      <c r="U1131" t="str">
        <f t="shared" si="123"/>
        <v/>
      </c>
      <c r="V1131">
        <v>0</v>
      </c>
      <c r="W1131" t="str">
        <f>IF(V1131&lt;&gt;0,VLOOKUP(VLOOKUP(V1131,Tbl_Effect[],3,FALSE),EffectName[],IFERROR(MATCH(UI!$B$1,EffectName[#Headers],0),2),FALSE),"")</f>
        <v/>
      </c>
      <c r="X1131" t="str">
        <f t="shared" si="124"/>
        <v/>
      </c>
      <c r="Y1131">
        <v>0</v>
      </c>
      <c r="Z1131" t="str">
        <f>IF(Y1131&lt;&gt;0,VLOOKUP(VLOOKUP(Y1131,Tbl_Effect[],3,FALSE),EffectName[],IFERROR(MATCH(UI!$B$1,EffectName[#Headers],0),2),FALSE),"")</f>
        <v/>
      </c>
      <c r="AA1131" t="str">
        <f t="shared" si="125"/>
        <v/>
      </c>
      <c r="AB1131">
        <v>0</v>
      </c>
      <c r="AC1131" t="str">
        <f>IF(AB1131&lt;&gt;0,VLOOKUP(VLOOKUP(AB1131,Tbl_Effect[],3,FALSE),EffectName[],IFERROR(MATCH(UI!$B$1,EffectName[#Headers],0),2),FALSE),"")</f>
        <v/>
      </c>
    </row>
    <row r="1132" spans="8:29" x14ac:dyDescent="0.4">
      <c r="H1132" t="str">
        <f t="shared" si="119"/>
        <v>7012300-Unset (紅)</v>
      </c>
      <c r="I1132">
        <v>7012300</v>
      </c>
      <c r="J1132" t="str">
        <f>_xlfn.IFNA(IF(I1132&lt;&gt;0,VLOOKUP(VLOOKUP(I1132,Tbl_Equip[],2,FALSE),Tbl_Color[],IFERROR(MATCH(UI!$B$1,Tbl_Color[#Headers],0),2),FALSE),""),"Unset")</f>
        <v>紅</v>
      </c>
      <c r="K1132" t="str">
        <f>_xlfn.IFNA(IF(I1132&lt;&gt;0,VLOOKUP(I1132,ItemText[],IFERROR(MATCH(UI!$B$1,ItemText[#Headers],0),2),FALSE),""),"Unset")</f>
        <v>Unset</v>
      </c>
      <c r="L1132" t="str">
        <f t="shared" si="120"/>
        <v/>
      </c>
      <c r="M1132">
        <v>0</v>
      </c>
      <c r="N1132" t="str">
        <f>IF(VALUE(M1132)=0,"",VLOOKUP(VLOOKUP(M1132,Tbl_Effect[],3,FALSE),EffectName[],IFERROR(MATCH(UI!$B$1,EffectName[#Headers],0),2),FALSE))</f>
        <v/>
      </c>
      <c r="O1132" t="str">
        <f t="shared" si="121"/>
        <v/>
      </c>
      <c r="P1132">
        <v>0</v>
      </c>
      <c r="Q1132" t="str">
        <f>IF(VALUE(P1132)=0,"",VLOOKUP(VLOOKUP(P1132,Tbl_Effect[],3,FALSE),EffectName[],IFERROR(MATCH(UI!$B$1,EffectName[#Headers],0),2),FALSE))</f>
        <v/>
      </c>
      <c r="R1132" t="str">
        <f t="shared" si="122"/>
        <v/>
      </c>
      <c r="S1132">
        <v>0</v>
      </c>
      <c r="T1132" t="str">
        <f>IF(VALUE(S1132)=0,"",VLOOKUP(VLOOKUP(S1132,Tbl_Effect[],3,FALSE),EffectName[],IFERROR(MATCH(UI!$B$1,EffectName[#Headers],0),2),FALSE))</f>
        <v/>
      </c>
      <c r="U1132" t="str">
        <f t="shared" si="123"/>
        <v/>
      </c>
      <c r="V1132">
        <v>0</v>
      </c>
      <c r="W1132" t="str">
        <f>IF(V1132&lt;&gt;0,VLOOKUP(VLOOKUP(V1132,Tbl_Effect[],3,FALSE),EffectName[],IFERROR(MATCH(UI!$B$1,EffectName[#Headers],0),2),FALSE),"")</f>
        <v/>
      </c>
      <c r="X1132" t="str">
        <f t="shared" si="124"/>
        <v/>
      </c>
      <c r="Y1132">
        <v>0</v>
      </c>
      <c r="Z1132" t="str">
        <f>IF(Y1132&lt;&gt;0,VLOOKUP(VLOOKUP(Y1132,Tbl_Effect[],3,FALSE),EffectName[],IFERROR(MATCH(UI!$B$1,EffectName[#Headers],0),2),FALSE),"")</f>
        <v/>
      </c>
      <c r="AA1132" t="str">
        <f t="shared" si="125"/>
        <v/>
      </c>
      <c r="AB1132">
        <v>0</v>
      </c>
      <c r="AC1132" t="str">
        <f>IF(AB1132&lt;&gt;0,VLOOKUP(VLOOKUP(AB1132,Tbl_Effect[],3,FALSE),EffectName[],IFERROR(MATCH(UI!$B$1,EffectName[#Headers],0),2),FALSE),"")</f>
        <v/>
      </c>
    </row>
    <row r="1133" spans="8:29" x14ac:dyDescent="0.4">
      <c r="H1133" t="str">
        <f t="shared" si="119"/>
        <v>7020000-Unset (紅)</v>
      </c>
      <c r="I1133">
        <v>7020000</v>
      </c>
      <c r="J1133" t="str">
        <f>_xlfn.IFNA(IF(I1133&lt;&gt;0,VLOOKUP(VLOOKUP(I1133,Tbl_Equip[],2,FALSE),Tbl_Color[],IFERROR(MATCH(UI!$B$1,Tbl_Color[#Headers],0),2),FALSE),""),"Unset")</f>
        <v>紅</v>
      </c>
      <c r="K1133" t="str">
        <f>_xlfn.IFNA(IF(I1133&lt;&gt;0,VLOOKUP(I1133,ItemText[],IFERROR(MATCH(UI!$B$1,ItemText[#Headers],0),2),FALSE),""),"Unset")</f>
        <v>Unset</v>
      </c>
      <c r="L1133" t="str">
        <f t="shared" si="120"/>
        <v/>
      </c>
      <c r="M1133">
        <v>0</v>
      </c>
      <c r="N1133" t="str">
        <f>IF(VALUE(M1133)=0,"",VLOOKUP(VLOOKUP(M1133,Tbl_Effect[],3,FALSE),EffectName[],IFERROR(MATCH(UI!$B$1,EffectName[#Headers],0),2),FALSE))</f>
        <v/>
      </c>
      <c r="O1133" t="str">
        <f t="shared" si="121"/>
        <v/>
      </c>
      <c r="P1133">
        <v>0</v>
      </c>
      <c r="Q1133" t="str">
        <f>IF(VALUE(P1133)=0,"",VLOOKUP(VLOOKUP(P1133,Tbl_Effect[],3,FALSE),EffectName[],IFERROR(MATCH(UI!$B$1,EffectName[#Headers],0),2),FALSE))</f>
        <v/>
      </c>
      <c r="R1133" t="str">
        <f t="shared" si="122"/>
        <v/>
      </c>
      <c r="S1133">
        <v>0</v>
      </c>
      <c r="T1133" t="str">
        <f>IF(VALUE(S1133)=0,"",VLOOKUP(VLOOKUP(S1133,Tbl_Effect[],3,FALSE),EffectName[],IFERROR(MATCH(UI!$B$1,EffectName[#Headers],0),2),FALSE))</f>
        <v/>
      </c>
      <c r="U1133" t="str">
        <f t="shared" si="123"/>
        <v/>
      </c>
      <c r="V1133">
        <v>0</v>
      </c>
      <c r="W1133" t="str">
        <f>IF(V1133&lt;&gt;0,VLOOKUP(VLOOKUP(V1133,Tbl_Effect[],3,FALSE),EffectName[],IFERROR(MATCH(UI!$B$1,EffectName[#Headers],0),2),FALSE),"")</f>
        <v/>
      </c>
      <c r="X1133" t="str">
        <f t="shared" si="124"/>
        <v/>
      </c>
      <c r="Y1133">
        <v>0</v>
      </c>
      <c r="Z1133" t="str">
        <f>IF(Y1133&lt;&gt;0,VLOOKUP(VLOOKUP(Y1133,Tbl_Effect[],3,FALSE),EffectName[],IFERROR(MATCH(UI!$B$1,EffectName[#Headers],0),2),FALSE),"")</f>
        <v/>
      </c>
      <c r="AA1133" t="str">
        <f t="shared" si="125"/>
        <v/>
      </c>
      <c r="AB1133">
        <v>0</v>
      </c>
      <c r="AC1133" t="str">
        <f>IF(AB1133&lt;&gt;0,VLOOKUP(VLOOKUP(AB1133,Tbl_Effect[],3,FALSE),EffectName[],IFERROR(MATCH(UI!$B$1,EffectName[#Headers],0),2),FALSE),"")</f>
        <v/>
      </c>
    </row>
    <row r="1134" spans="8:29" x14ac:dyDescent="0.4">
      <c r="H1134" t="str">
        <f t="shared" si="119"/>
        <v>7030000-Unset (紅)</v>
      </c>
      <c r="I1134">
        <v>7030000</v>
      </c>
      <c r="J1134" t="str">
        <f>_xlfn.IFNA(IF(I1134&lt;&gt;0,VLOOKUP(VLOOKUP(I1134,Tbl_Equip[],2,FALSE),Tbl_Color[],IFERROR(MATCH(UI!$B$1,Tbl_Color[#Headers],0),2),FALSE),""),"Unset")</f>
        <v>紅</v>
      </c>
      <c r="K1134" t="str">
        <f>_xlfn.IFNA(IF(I1134&lt;&gt;0,VLOOKUP(I1134,ItemText[],IFERROR(MATCH(UI!$B$1,ItemText[#Headers],0),2),FALSE),""),"Unset")</f>
        <v>Unset</v>
      </c>
      <c r="L1134" t="str">
        <f t="shared" si="120"/>
        <v/>
      </c>
      <c r="M1134">
        <v>0</v>
      </c>
      <c r="N1134" t="str">
        <f>IF(VALUE(M1134)=0,"",VLOOKUP(VLOOKUP(M1134,Tbl_Effect[],3,FALSE),EffectName[],IFERROR(MATCH(UI!$B$1,EffectName[#Headers],0),2),FALSE))</f>
        <v/>
      </c>
      <c r="O1134" t="str">
        <f t="shared" si="121"/>
        <v/>
      </c>
      <c r="P1134">
        <v>0</v>
      </c>
      <c r="Q1134" t="str">
        <f>IF(VALUE(P1134)=0,"",VLOOKUP(VLOOKUP(P1134,Tbl_Effect[],3,FALSE),EffectName[],IFERROR(MATCH(UI!$B$1,EffectName[#Headers],0),2),FALSE))</f>
        <v/>
      </c>
      <c r="R1134" t="str">
        <f t="shared" si="122"/>
        <v/>
      </c>
      <c r="S1134">
        <v>0</v>
      </c>
      <c r="T1134" t="str">
        <f>IF(VALUE(S1134)=0,"",VLOOKUP(VLOOKUP(S1134,Tbl_Effect[],3,FALSE),EffectName[],IFERROR(MATCH(UI!$B$1,EffectName[#Headers],0),2),FALSE))</f>
        <v/>
      </c>
      <c r="U1134" t="str">
        <f t="shared" si="123"/>
        <v/>
      </c>
      <c r="V1134">
        <v>0</v>
      </c>
      <c r="W1134" t="str">
        <f>IF(V1134&lt;&gt;0,VLOOKUP(VLOOKUP(V1134,Tbl_Effect[],3,FALSE),EffectName[],IFERROR(MATCH(UI!$B$1,EffectName[#Headers],0),2),FALSE),"")</f>
        <v/>
      </c>
      <c r="X1134" t="str">
        <f t="shared" si="124"/>
        <v/>
      </c>
      <c r="Y1134">
        <v>0</v>
      </c>
      <c r="Z1134" t="str">
        <f>IF(Y1134&lt;&gt;0,VLOOKUP(VLOOKUP(Y1134,Tbl_Effect[],3,FALSE),EffectName[],IFERROR(MATCH(UI!$B$1,EffectName[#Headers],0),2),FALSE),"")</f>
        <v/>
      </c>
      <c r="AA1134" t="str">
        <f t="shared" si="125"/>
        <v/>
      </c>
      <c r="AB1134">
        <v>0</v>
      </c>
      <c r="AC1134" t="str">
        <f>IF(AB1134&lt;&gt;0,VLOOKUP(VLOOKUP(AB1134,Tbl_Effect[],3,FALSE),EffectName[],IFERROR(MATCH(UI!$B$1,EffectName[#Headers],0),2),FALSE),"")</f>
        <v/>
      </c>
    </row>
    <row r="1135" spans="8:29" x14ac:dyDescent="0.4">
      <c r="H1135" t="str">
        <f t="shared" si="119"/>
        <v>7030200-Unset (紅)</v>
      </c>
      <c r="I1135">
        <v>7030200</v>
      </c>
      <c r="J1135" t="str">
        <f>_xlfn.IFNA(IF(I1135&lt;&gt;0,VLOOKUP(VLOOKUP(I1135,Tbl_Equip[],2,FALSE),Tbl_Color[],IFERROR(MATCH(UI!$B$1,Tbl_Color[#Headers],0),2),FALSE),""),"Unset")</f>
        <v>紅</v>
      </c>
      <c r="K1135" t="str">
        <f>_xlfn.IFNA(IF(I1135&lt;&gt;0,VLOOKUP(I1135,ItemText[],IFERROR(MATCH(UI!$B$1,ItemText[#Headers],0),2),FALSE),""),"Unset")</f>
        <v>Unset</v>
      </c>
      <c r="L1135" t="str">
        <f t="shared" si="120"/>
        <v/>
      </c>
      <c r="M1135">
        <v>0</v>
      </c>
      <c r="N1135" t="str">
        <f>IF(VALUE(M1135)=0,"",VLOOKUP(VLOOKUP(M1135,Tbl_Effect[],3,FALSE),EffectName[],IFERROR(MATCH(UI!$B$1,EffectName[#Headers],0),2),FALSE))</f>
        <v/>
      </c>
      <c r="O1135" t="str">
        <f t="shared" si="121"/>
        <v/>
      </c>
      <c r="P1135">
        <v>0</v>
      </c>
      <c r="Q1135" t="str">
        <f>IF(VALUE(P1135)=0,"",VLOOKUP(VLOOKUP(P1135,Tbl_Effect[],3,FALSE),EffectName[],IFERROR(MATCH(UI!$B$1,EffectName[#Headers],0),2),FALSE))</f>
        <v/>
      </c>
      <c r="R1135" t="str">
        <f t="shared" si="122"/>
        <v/>
      </c>
      <c r="S1135">
        <v>0</v>
      </c>
      <c r="T1135" t="str">
        <f>IF(VALUE(S1135)=0,"",VLOOKUP(VLOOKUP(S1135,Tbl_Effect[],3,FALSE),EffectName[],IFERROR(MATCH(UI!$B$1,EffectName[#Headers],0),2),FALSE))</f>
        <v/>
      </c>
      <c r="U1135" t="str">
        <f t="shared" si="123"/>
        <v/>
      </c>
      <c r="V1135">
        <v>0</v>
      </c>
      <c r="W1135" t="str">
        <f>IF(V1135&lt;&gt;0,VLOOKUP(VLOOKUP(V1135,Tbl_Effect[],3,FALSE),EffectName[],IFERROR(MATCH(UI!$B$1,EffectName[#Headers],0),2),FALSE),"")</f>
        <v/>
      </c>
      <c r="X1135" t="str">
        <f t="shared" si="124"/>
        <v/>
      </c>
      <c r="Y1135">
        <v>0</v>
      </c>
      <c r="Z1135" t="str">
        <f>IF(Y1135&lt;&gt;0,VLOOKUP(VLOOKUP(Y1135,Tbl_Effect[],3,FALSE),EffectName[],IFERROR(MATCH(UI!$B$1,EffectName[#Headers],0),2),FALSE),"")</f>
        <v/>
      </c>
      <c r="AA1135" t="str">
        <f t="shared" si="125"/>
        <v/>
      </c>
      <c r="AB1135">
        <v>0</v>
      </c>
      <c r="AC1135" t="str">
        <f>IF(AB1135&lt;&gt;0,VLOOKUP(VLOOKUP(AB1135,Tbl_Effect[],3,FALSE),EffectName[],IFERROR(MATCH(UI!$B$1,EffectName[#Headers],0),2),FALSE),"")</f>
        <v/>
      </c>
    </row>
    <row r="1136" spans="8:29" x14ac:dyDescent="0.4">
      <c r="H1136" t="str">
        <f t="shared" si="119"/>
        <v>7030600-Unset (紅)</v>
      </c>
      <c r="I1136">
        <v>7030600</v>
      </c>
      <c r="J1136" t="str">
        <f>_xlfn.IFNA(IF(I1136&lt;&gt;0,VLOOKUP(VLOOKUP(I1136,Tbl_Equip[],2,FALSE),Tbl_Color[],IFERROR(MATCH(UI!$B$1,Tbl_Color[#Headers],0),2),FALSE),""),"Unset")</f>
        <v>紅</v>
      </c>
      <c r="K1136" t="str">
        <f>_xlfn.IFNA(IF(I1136&lt;&gt;0,VLOOKUP(I1136,ItemText[],IFERROR(MATCH(UI!$B$1,ItemText[#Headers],0),2),FALSE),""),"Unset")</f>
        <v>Unset</v>
      </c>
      <c r="L1136" t="str">
        <f t="shared" si="120"/>
        <v/>
      </c>
      <c r="M1136">
        <v>0</v>
      </c>
      <c r="N1136" t="str">
        <f>IF(VALUE(M1136)=0,"",VLOOKUP(VLOOKUP(M1136,Tbl_Effect[],3,FALSE),EffectName[],IFERROR(MATCH(UI!$B$1,EffectName[#Headers],0),2),FALSE))</f>
        <v/>
      </c>
      <c r="O1136" t="str">
        <f t="shared" si="121"/>
        <v/>
      </c>
      <c r="P1136">
        <v>0</v>
      </c>
      <c r="Q1136" t="str">
        <f>IF(VALUE(P1136)=0,"",VLOOKUP(VLOOKUP(P1136,Tbl_Effect[],3,FALSE),EffectName[],IFERROR(MATCH(UI!$B$1,EffectName[#Headers],0),2),FALSE))</f>
        <v/>
      </c>
      <c r="R1136" t="str">
        <f t="shared" si="122"/>
        <v/>
      </c>
      <c r="S1136">
        <v>0</v>
      </c>
      <c r="T1136" t="str">
        <f>IF(VALUE(S1136)=0,"",VLOOKUP(VLOOKUP(S1136,Tbl_Effect[],3,FALSE),EffectName[],IFERROR(MATCH(UI!$B$1,EffectName[#Headers],0),2),FALSE))</f>
        <v/>
      </c>
      <c r="U1136" t="str">
        <f t="shared" si="123"/>
        <v/>
      </c>
      <c r="V1136">
        <v>0</v>
      </c>
      <c r="W1136" t="str">
        <f>IF(V1136&lt;&gt;0,VLOOKUP(VLOOKUP(V1136,Tbl_Effect[],3,FALSE),EffectName[],IFERROR(MATCH(UI!$B$1,EffectName[#Headers],0),2),FALSE),"")</f>
        <v/>
      </c>
      <c r="X1136" t="str">
        <f t="shared" si="124"/>
        <v/>
      </c>
      <c r="Y1136">
        <v>0</v>
      </c>
      <c r="Z1136" t="str">
        <f>IF(Y1136&lt;&gt;0,VLOOKUP(VLOOKUP(Y1136,Tbl_Effect[],3,FALSE),EffectName[],IFERROR(MATCH(UI!$B$1,EffectName[#Headers],0),2),FALSE),"")</f>
        <v/>
      </c>
      <c r="AA1136" t="str">
        <f t="shared" si="125"/>
        <v/>
      </c>
      <c r="AB1136">
        <v>0</v>
      </c>
      <c r="AC1136" t="str">
        <f>IF(AB1136&lt;&gt;0,VLOOKUP(VLOOKUP(AB1136,Tbl_Effect[],3,FALSE),EffectName[],IFERROR(MATCH(UI!$B$1,EffectName[#Headers],0),2),FALSE),"")</f>
        <v/>
      </c>
    </row>
    <row r="1137" spans="8:29" x14ac:dyDescent="0.4">
      <c r="H1137" t="str">
        <f t="shared" si="119"/>
        <v>7030700-Unset (紅)</v>
      </c>
      <c r="I1137">
        <v>7030700</v>
      </c>
      <c r="J1137" t="str">
        <f>_xlfn.IFNA(IF(I1137&lt;&gt;0,VLOOKUP(VLOOKUP(I1137,Tbl_Equip[],2,FALSE),Tbl_Color[],IFERROR(MATCH(UI!$B$1,Tbl_Color[#Headers],0),2),FALSE),""),"Unset")</f>
        <v>紅</v>
      </c>
      <c r="K1137" t="str">
        <f>_xlfn.IFNA(IF(I1137&lt;&gt;0,VLOOKUP(I1137,ItemText[],IFERROR(MATCH(UI!$B$1,ItemText[#Headers],0),2),FALSE),""),"Unset")</f>
        <v>Unset</v>
      </c>
      <c r="L1137" t="str">
        <f t="shared" si="120"/>
        <v/>
      </c>
      <c r="M1137">
        <v>0</v>
      </c>
      <c r="N1137" t="str">
        <f>IF(VALUE(M1137)=0,"",VLOOKUP(VLOOKUP(M1137,Tbl_Effect[],3,FALSE),EffectName[],IFERROR(MATCH(UI!$B$1,EffectName[#Headers],0),2),FALSE))</f>
        <v/>
      </c>
      <c r="O1137" t="str">
        <f t="shared" si="121"/>
        <v/>
      </c>
      <c r="P1137">
        <v>0</v>
      </c>
      <c r="Q1137" t="str">
        <f>IF(VALUE(P1137)=0,"",VLOOKUP(VLOOKUP(P1137,Tbl_Effect[],3,FALSE),EffectName[],IFERROR(MATCH(UI!$B$1,EffectName[#Headers],0),2),FALSE))</f>
        <v/>
      </c>
      <c r="R1137" t="str">
        <f t="shared" si="122"/>
        <v/>
      </c>
      <c r="S1137">
        <v>0</v>
      </c>
      <c r="T1137" t="str">
        <f>IF(VALUE(S1137)=0,"",VLOOKUP(VLOOKUP(S1137,Tbl_Effect[],3,FALSE),EffectName[],IFERROR(MATCH(UI!$B$1,EffectName[#Headers],0),2),FALSE))</f>
        <v/>
      </c>
      <c r="U1137" t="str">
        <f t="shared" si="123"/>
        <v/>
      </c>
      <c r="V1137">
        <v>0</v>
      </c>
      <c r="W1137" t="str">
        <f>IF(V1137&lt;&gt;0,VLOOKUP(VLOOKUP(V1137,Tbl_Effect[],3,FALSE),EffectName[],IFERROR(MATCH(UI!$B$1,EffectName[#Headers],0),2),FALSE),"")</f>
        <v/>
      </c>
      <c r="X1137" t="str">
        <f t="shared" si="124"/>
        <v/>
      </c>
      <c r="Y1137">
        <v>0</v>
      </c>
      <c r="Z1137" t="str">
        <f>IF(Y1137&lt;&gt;0,VLOOKUP(VLOOKUP(Y1137,Tbl_Effect[],3,FALSE),EffectName[],IFERROR(MATCH(UI!$B$1,EffectName[#Headers],0),2),FALSE),"")</f>
        <v/>
      </c>
      <c r="AA1137" t="str">
        <f t="shared" si="125"/>
        <v/>
      </c>
      <c r="AB1137">
        <v>0</v>
      </c>
      <c r="AC1137" t="str">
        <f>IF(AB1137&lt;&gt;0,VLOOKUP(VLOOKUP(AB1137,Tbl_Effect[],3,FALSE),EffectName[],IFERROR(MATCH(UI!$B$1,EffectName[#Headers],0),2),FALSE),"")</f>
        <v/>
      </c>
    </row>
    <row r="1138" spans="8:29" x14ac:dyDescent="0.4">
      <c r="H1138" t="str">
        <f t="shared" si="119"/>
        <v>7030800-Unset (紅)</v>
      </c>
      <c r="I1138">
        <v>7030800</v>
      </c>
      <c r="J1138" t="str">
        <f>_xlfn.IFNA(IF(I1138&lt;&gt;0,VLOOKUP(VLOOKUP(I1138,Tbl_Equip[],2,FALSE),Tbl_Color[],IFERROR(MATCH(UI!$B$1,Tbl_Color[#Headers],0),2),FALSE),""),"Unset")</f>
        <v>紅</v>
      </c>
      <c r="K1138" t="str">
        <f>_xlfn.IFNA(IF(I1138&lt;&gt;0,VLOOKUP(I1138,ItemText[],IFERROR(MATCH(UI!$B$1,ItemText[#Headers],0),2),FALSE),""),"Unset")</f>
        <v>Unset</v>
      </c>
      <c r="L1138" t="str">
        <f t="shared" si="120"/>
        <v/>
      </c>
      <c r="M1138">
        <v>0</v>
      </c>
      <c r="N1138" t="str">
        <f>IF(VALUE(M1138)=0,"",VLOOKUP(VLOOKUP(M1138,Tbl_Effect[],3,FALSE),EffectName[],IFERROR(MATCH(UI!$B$1,EffectName[#Headers],0),2),FALSE))</f>
        <v/>
      </c>
      <c r="O1138" t="str">
        <f t="shared" si="121"/>
        <v/>
      </c>
      <c r="P1138">
        <v>0</v>
      </c>
      <c r="Q1138" t="str">
        <f>IF(VALUE(P1138)=0,"",VLOOKUP(VLOOKUP(P1138,Tbl_Effect[],3,FALSE),EffectName[],IFERROR(MATCH(UI!$B$1,EffectName[#Headers],0),2),FALSE))</f>
        <v/>
      </c>
      <c r="R1138" t="str">
        <f t="shared" si="122"/>
        <v/>
      </c>
      <c r="S1138">
        <v>0</v>
      </c>
      <c r="T1138" t="str">
        <f>IF(VALUE(S1138)=0,"",VLOOKUP(VLOOKUP(S1138,Tbl_Effect[],3,FALSE),EffectName[],IFERROR(MATCH(UI!$B$1,EffectName[#Headers],0),2),FALSE))</f>
        <v/>
      </c>
      <c r="U1138" t="str">
        <f t="shared" si="123"/>
        <v/>
      </c>
      <c r="V1138">
        <v>0</v>
      </c>
      <c r="W1138" t="str">
        <f>IF(V1138&lt;&gt;0,VLOOKUP(VLOOKUP(V1138,Tbl_Effect[],3,FALSE),EffectName[],IFERROR(MATCH(UI!$B$1,EffectName[#Headers],0),2),FALSE),"")</f>
        <v/>
      </c>
      <c r="X1138" t="str">
        <f t="shared" si="124"/>
        <v/>
      </c>
      <c r="Y1138">
        <v>0</v>
      </c>
      <c r="Z1138" t="str">
        <f>IF(Y1138&lt;&gt;0,VLOOKUP(VLOOKUP(Y1138,Tbl_Effect[],3,FALSE),EffectName[],IFERROR(MATCH(UI!$B$1,EffectName[#Headers],0),2),FALSE),"")</f>
        <v/>
      </c>
      <c r="AA1138" t="str">
        <f t="shared" si="125"/>
        <v/>
      </c>
      <c r="AB1138">
        <v>0</v>
      </c>
      <c r="AC1138" t="str">
        <f>IF(AB1138&lt;&gt;0,VLOOKUP(VLOOKUP(AB1138,Tbl_Effect[],3,FALSE),EffectName[],IFERROR(MATCH(UI!$B$1,EffectName[#Headers],0),2),FALSE),"")</f>
        <v/>
      </c>
    </row>
    <row r="1139" spans="8:29" x14ac:dyDescent="0.4">
      <c r="H1139" t="str">
        <f t="shared" si="119"/>
        <v>7030900-Unset (紅)</v>
      </c>
      <c r="I1139">
        <v>7030900</v>
      </c>
      <c r="J1139" t="str">
        <f>_xlfn.IFNA(IF(I1139&lt;&gt;0,VLOOKUP(VLOOKUP(I1139,Tbl_Equip[],2,FALSE),Tbl_Color[],IFERROR(MATCH(UI!$B$1,Tbl_Color[#Headers],0),2),FALSE),""),"Unset")</f>
        <v>紅</v>
      </c>
      <c r="K1139" t="str">
        <f>_xlfn.IFNA(IF(I1139&lt;&gt;0,VLOOKUP(I1139,ItemText[],IFERROR(MATCH(UI!$B$1,ItemText[#Headers],0),2),FALSE),""),"Unset")</f>
        <v>Unset</v>
      </c>
      <c r="L1139" t="str">
        <f t="shared" si="120"/>
        <v/>
      </c>
      <c r="M1139">
        <v>0</v>
      </c>
      <c r="N1139" t="str">
        <f>IF(VALUE(M1139)=0,"",VLOOKUP(VLOOKUP(M1139,Tbl_Effect[],3,FALSE),EffectName[],IFERROR(MATCH(UI!$B$1,EffectName[#Headers],0),2),FALSE))</f>
        <v/>
      </c>
      <c r="O1139" t="str">
        <f t="shared" si="121"/>
        <v/>
      </c>
      <c r="P1139">
        <v>0</v>
      </c>
      <c r="Q1139" t="str">
        <f>IF(VALUE(P1139)=0,"",VLOOKUP(VLOOKUP(P1139,Tbl_Effect[],3,FALSE),EffectName[],IFERROR(MATCH(UI!$B$1,EffectName[#Headers],0),2),FALSE))</f>
        <v/>
      </c>
      <c r="R1139" t="str">
        <f t="shared" si="122"/>
        <v/>
      </c>
      <c r="S1139">
        <v>0</v>
      </c>
      <c r="T1139" t="str">
        <f>IF(VALUE(S1139)=0,"",VLOOKUP(VLOOKUP(S1139,Tbl_Effect[],3,FALSE),EffectName[],IFERROR(MATCH(UI!$B$1,EffectName[#Headers],0),2),FALSE))</f>
        <v/>
      </c>
      <c r="U1139" t="str">
        <f t="shared" si="123"/>
        <v/>
      </c>
      <c r="V1139">
        <v>0</v>
      </c>
      <c r="W1139" t="str">
        <f>IF(V1139&lt;&gt;0,VLOOKUP(VLOOKUP(V1139,Tbl_Effect[],3,FALSE),EffectName[],IFERROR(MATCH(UI!$B$1,EffectName[#Headers],0),2),FALSE),"")</f>
        <v/>
      </c>
      <c r="X1139" t="str">
        <f t="shared" si="124"/>
        <v/>
      </c>
      <c r="Y1139">
        <v>0</v>
      </c>
      <c r="Z1139" t="str">
        <f>IF(Y1139&lt;&gt;0,VLOOKUP(VLOOKUP(Y1139,Tbl_Effect[],3,FALSE),EffectName[],IFERROR(MATCH(UI!$B$1,EffectName[#Headers],0),2),FALSE),"")</f>
        <v/>
      </c>
      <c r="AA1139" t="str">
        <f t="shared" si="125"/>
        <v/>
      </c>
      <c r="AB1139">
        <v>0</v>
      </c>
      <c r="AC1139" t="str">
        <f>IF(AB1139&lt;&gt;0,VLOOKUP(VLOOKUP(AB1139,Tbl_Effect[],3,FALSE),EffectName[],IFERROR(MATCH(UI!$B$1,EffectName[#Headers],0),2),FALSE),"")</f>
        <v/>
      </c>
    </row>
    <row r="1140" spans="8:29" x14ac:dyDescent="0.4">
      <c r="H1140" t="str">
        <f t="shared" si="119"/>
        <v>7031200-Unset (紅)</v>
      </c>
      <c r="I1140">
        <v>7031200</v>
      </c>
      <c r="J1140" t="str">
        <f>_xlfn.IFNA(IF(I1140&lt;&gt;0,VLOOKUP(VLOOKUP(I1140,Tbl_Equip[],2,FALSE),Tbl_Color[],IFERROR(MATCH(UI!$B$1,Tbl_Color[#Headers],0),2),FALSE),""),"Unset")</f>
        <v>紅</v>
      </c>
      <c r="K1140" t="str">
        <f>_xlfn.IFNA(IF(I1140&lt;&gt;0,VLOOKUP(I1140,ItemText[],IFERROR(MATCH(UI!$B$1,ItemText[#Headers],0),2),FALSE),""),"Unset")</f>
        <v>Unset</v>
      </c>
      <c r="L1140" t="str">
        <f t="shared" si="120"/>
        <v/>
      </c>
      <c r="M1140">
        <v>0</v>
      </c>
      <c r="N1140" t="str">
        <f>IF(VALUE(M1140)=0,"",VLOOKUP(VLOOKUP(M1140,Tbl_Effect[],3,FALSE),EffectName[],IFERROR(MATCH(UI!$B$1,EffectName[#Headers],0),2),FALSE))</f>
        <v/>
      </c>
      <c r="O1140" t="str">
        <f t="shared" si="121"/>
        <v/>
      </c>
      <c r="P1140">
        <v>0</v>
      </c>
      <c r="Q1140" t="str">
        <f>IF(VALUE(P1140)=0,"",VLOOKUP(VLOOKUP(P1140,Tbl_Effect[],3,FALSE),EffectName[],IFERROR(MATCH(UI!$B$1,EffectName[#Headers],0),2),FALSE))</f>
        <v/>
      </c>
      <c r="R1140" t="str">
        <f t="shared" si="122"/>
        <v/>
      </c>
      <c r="S1140">
        <v>0</v>
      </c>
      <c r="T1140" t="str">
        <f>IF(VALUE(S1140)=0,"",VLOOKUP(VLOOKUP(S1140,Tbl_Effect[],3,FALSE),EffectName[],IFERROR(MATCH(UI!$B$1,EffectName[#Headers],0),2),FALSE))</f>
        <v/>
      </c>
      <c r="U1140" t="str">
        <f t="shared" si="123"/>
        <v/>
      </c>
      <c r="V1140">
        <v>0</v>
      </c>
      <c r="W1140" t="str">
        <f>IF(V1140&lt;&gt;0,VLOOKUP(VLOOKUP(V1140,Tbl_Effect[],3,FALSE),EffectName[],IFERROR(MATCH(UI!$B$1,EffectName[#Headers],0),2),FALSE),"")</f>
        <v/>
      </c>
      <c r="X1140" t="str">
        <f t="shared" si="124"/>
        <v/>
      </c>
      <c r="Y1140">
        <v>0</v>
      </c>
      <c r="Z1140" t="str">
        <f>IF(Y1140&lt;&gt;0,VLOOKUP(VLOOKUP(Y1140,Tbl_Effect[],3,FALSE),EffectName[],IFERROR(MATCH(UI!$B$1,EffectName[#Headers],0),2),FALSE),"")</f>
        <v/>
      </c>
      <c r="AA1140" t="str">
        <f t="shared" si="125"/>
        <v/>
      </c>
      <c r="AB1140">
        <v>0</v>
      </c>
      <c r="AC1140" t="str">
        <f>IF(AB1140&lt;&gt;0,VLOOKUP(VLOOKUP(AB1140,Tbl_Effect[],3,FALSE),EffectName[],IFERROR(MATCH(UI!$B$1,EffectName[#Headers],0),2),FALSE),"")</f>
        <v/>
      </c>
    </row>
    <row r="1141" spans="8:29" x14ac:dyDescent="0.4">
      <c r="H1141" t="str">
        <f t="shared" si="119"/>
        <v>7031300-Unset (紅)</v>
      </c>
      <c r="I1141">
        <v>7031300</v>
      </c>
      <c r="J1141" t="str">
        <f>_xlfn.IFNA(IF(I1141&lt;&gt;0,VLOOKUP(VLOOKUP(I1141,Tbl_Equip[],2,FALSE),Tbl_Color[],IFERROR(MATCH(UI!$B$1,Tbl_Color[#Headers],0),2),FALSE),""),"Unset")</f>
        <v>紅</v>
      </c>
      <c r="K1141" t="str">
        <f>_xlfn.IFNA(IF(I1141&lt;&gt;0,VLOOKUP(I1141,ItemText[],IFERROR(MATCH(UI!$B$1,ItemText[#Headers],0),2),FALSE),""),"Unset")</f>
        <v>Unset</v>
      </c>
      <c r="L1141" t="str">
        <f t="shared" si="120"/>
        <v/>
      </c>
      <c r="M1141">
        <v>0</v>
      </c>
      <c r="N1141" t="str">
        <f>IF(VALUE(M1141)=0,"",VLOOKUP(VLOOKUP(M1141,Tbl_Effect[],3,FALSE),EffectName[],IFERROR(MATCH(UI!$B$1,EffectName[#Headers],0),2),FALSE))</f>
        <v/>
      </c>
      <c r="O1141" t="str">
        <f t="shared" si="121"/>
        <v/>
      </c>
      <c r="P1141">
        <v>0</v>
      </c>
      <c r="Q1141" t="str">
        <f>IF(VALUE(P1141)=0,"",VLOOKUP(VLOOKUP(P1141,Tbl_Effect[],3,FALSE),EffectName[],IFERROR(MATCH(UI!$B$1,EffectName[#Headers],0),2),FALSE))</f>
        <v/>
      </c>
      <c r="R1141" t="str">
        <f t="shared" si="122"/>
        <v/>
      </c>
      <c r="S1141">
        <v>0</v>
      </c>
      <c r="T1141" t="str">
        <f>IF(VALUE(S1141)=0,"",VLOOKUP(VLOOKUP(S1141,Tbl_Effect[],3,FALSE),EffectName[],IFERROR(MATCH(UI!$B$1,EffectName[#Headers],0),2),FALSE))</f>
        <v/>
      </c>
      <c r="U1141" t="str">
        <f t="shared" si="123"/>
        <v/>
      </c>
      <c r="V1141">
        <v>0</v>
      </c>
      <c r="W1141" t="str">
        <f>IF(V1141&lt;&gt;0,VLOOKUP(VLOOKUP(V1141,Tbl_Effect[],3,FALSE),EffectName[],IFERROR(MATCH(UI!$B$1,EffectName[#Headers],0),2),FALSE),"")</f>
        <v/>
      </c>
      <c r="X1141" t="str">
        <f t="shared" si="124"/>
        <v/>
      </c>
      <c r="Y1141">
        <v>0</v>
      </c>
      <c r="Z1141" t="str">
        <f>IF(Y1141&lt;&gt;0,VLOOKUP(VLOOKUP(Y1141,Tbl_Effect[],3,FALSE),EffectName[],IFERROR(MATCH(UI!$B$1,EffectName[#Headers],0),2),FALSE),"")</f>
        <v/>
      </c>
      <c r="AA1141" t="str">
        <f t="shared" si="125"/>
        <v/>
      </c>
      <c r="AB1141">
        <v>0</v>
      </c>
      <c r="AC1141" t="str">
        <f>IF(AB1141&lt;&gt;0,VLOOKUP(VLOOKUP(AB1141,Tbl_Effect[],3,FALSE),EffectName[],IFERROR(MATCH(UI!$B$1,EffectName[#Headers],0),2),FALSE),"")</f>
        <v/>
      </c>
    </row>
    <row r="1142" spans="8:29" x14ac:dyDescent="0.4">
      <c r="H1142" t="str">
        <f t="shared" si="119"/>
        <v>7031800-Unset (紅)</v>
      </c>
      <c r="I1142">
        <v>7031800</v>
      </c>
      <c r="J1142" t="str">
        <f>_xlfn.IFNA(IF(I1142&lt;&gt;0,VLOOKUP(VLOOKUP(I1142,Tbl_Equip[],2,FALSE),Tbl_Color[],IFERROR(MATCH(UI!$B$1,Tbl_Color[#Headers],0),2),FALSE),""),"Unset")</f>
        <v>紅</v>
      </c>
      <c r="K1142" t="str">
        <f>_xlfn.IFNA(IF(I1142&lt;&gt;0,VLOOKUP(I1142,ItemText[],IFERROR(MATCH(UI!$B$1,ItemText[#Headers],0),2),FALSE),""),"Unset")</f>
        <v>Unset</v>
      </c>
      <c r="L1142" t="str">
        <f t="shared" si="120"/>
        <v/>
      </c>
      <c r="M1142">
        <v>0</v>
      </c>
      <c r="N1142" t="str">
        <f>IF(VALUE(M1142)=0,"",VLOOKUP(VLOOKUP(M1142,Tbl_Effect[],3,FALSE),EffectName[],IFERROR(MATCH(UI!$B$1,EffectName[#Headers],0),2),FALSE))</f>
        <v/>
      </c>
      <c r="O1142" t="str">
        <f t="shared" si="121"/>
        <v/>
      </c>
      <c r="P1142">
        <v>0</v>
      </c>
      <c r="Q1142" t="str">
        <f>IF(VALUE(P1142)=0,"",VLOOKUP(VLOOKUP(P1142,Tbl_Effect[],3,FALSE),EffectName[],IFERROR(MATCH(UI!$B$1,EffectName[#Headers],0),2),FALSE))</f>
        <v/>
      </c>
      <c r="R1142" t="str">
        <f t="shared" si="122"/>
        <v/>
      </c>
      <c r="S1142">
        <v>0</v>
      </c>
      <c r="T1142" t="str">
        <f>IF(VALUE(S1142)=0,"",VLOOKUP(VLOOKUP(S1142,Tbl_Effect[],3,FALSE),EffectName[],IFERROR(MATCH(UI!$B$1,EffectName[#Headers],0),2),FALSE))</f>
        <v/>
      </c>
      <c r="U1142" t="str">
        <f t="shared" si="123"/>
        <v/>
      </c>
      <c r="V1142">
        <v>0</v>
      </c>
      <c r="W1142" t="str">
        <f>IF(V1142&lt;&gt;0,VLOOKUP(VLOOKUP(V1142,Tbl_Effect[],3,FALSE),EffectName[],IFERROR(MATCH(UI!$B$1,EffectName[#Headers],0),2),FALSE),"")</f>
        <v/>
      </c>
      <c r="X1142" t="str">
        <f t="shared" si="124"/>
        <v/>
      </c>
      <c r="Y1142">
        <v>0</v>
      </c>
      <c r="Z1142" t="str">
        <f>IF(Y1142&lt;&gt;0,VLOOKUP(VLOOKUP(Y1142,Tbl_Effect[],3,FALSE),EffectName[],IFERROR(MATCH(UI!$B$1,EffectName[#Headers],0),2),FALSE),"")</f>
        <v/>
      </c>
      <c r="AA1142" t="str">
        <f t="shared" si="125"/>
        <v/>
      </c>
      <c r="AB1142">
        <v>0</v>
      </c>
      <c r="AC1142" t="str">
        <f>IF(AB1142&lt;&gt;0,VLOOKUP(VLOOKUP(AB1142,Tbl_Effect[],3,FALSE),EffectName[],IFERROR(MATCH(UI!$B$1,EffectName[#Headers],0),2),FALSE),"")</f>
        <v/>
      </c>
    </row>
    <row r="1143" spans="8:29" x14ac:dyDescent="0.4">
      <c r="H1143" t="str">
        <f t="shared" si="119"/>
        <v>7031900-Unset (紅)</v>
      </c>
      <c r="I1143">
        <v>7031900</v>
      </c>
      <c r="J1143" t="str">
        <f>_xlfn.IFNA(IF(I1143&lt;&gt;0,VLOOKUP(VLOOKUP(I1143,Tbl_Equip[],2,FALSE),Tbl_Color[],IFERROR(MATCH(UI!$B$1,Tbl_Color[#Headers],0),2),FALSE),""),"Unset")</f>
        <v>紅</v>
      </c>
      <c r="K1143" t="str">
        <f>_xlfn.IFNA(IF(I1143&lt;&gt;0,VLOOKUP(I1143,ItemText[],IFERROR(MATCH(UI!$B$1,ItemText[#Headers],0),2),FALSE),""),"Unset")</f>
        <v>Unset</v>
      </c>
      <c r="L1143" t="str">
        <f t="shared" si="120"/>
        <v/>
      </c>
      <c r="M1143">
        <v>0</v>
      </c>
      <c r="N1143" t="str">
        <f>IF(VALUE(M1143)=0,"",VLOOKUP(VLOOKUP(M1143,Tbl_Effect[],3,FALSE),EffectName[],IFERROR(MATCH(UI!$B$1,EffectName[#Headers],0),2),FALSE))</f>
        <v/>
      </c>
      <c r="O1143" t="str">
        <f t="shared" si="121"/>
        <v/>
      </c>
      <c r="P1143">
        <v>0</v>
      </c>
      <c r="Q1143" t="str">
        <f>IF(VALUE(P1143)=0,"",VLOOKUP(VLOOKUP(P1143,Tbl_Effect[],3,FALSE),EffectName[],IFERROR(MATCH(UI!$B$1,EffectName[#Headers],0),2),FALSE))</f>
        <v/>
      </c>
      <c r="R1143" t="str">
        <f t="shared" si="122"/>
        <v/>
      </c>
      <c r="S1143">
        <v>0</v>
      </c>
      <c r="T1143" t="str">
        <f>IF(VALUE(S1143)=0,"",VLOOKUP(VLOOKUP(S1143,Tbl_Effect[],3,FALSE),EffectName[],IFERROR(MATCH(UI!$B$1,EffectName[#Headers],0),2),FALSE))</f>
        <v/>
      </c>
      <c r="U1143" t="str">
        <f t="shared" si="123"/>
        <v/>
      </c>
      <c r="V1143">
        <v>0</v>
      </c>
      <c r="W1143" t="str">
        <f>IF(V1143&lt;&gt;0,VLOOKUP(VLOOKUP(V1143,Tbl_Effect[],3,FALSE),EffectName[],IFERROR(MATCH(UI!$B$1,EffectName[#Headers],0),2),FALSE),"")</f>
        <v/>
      </c>
      <c r="X1143" t="str">
        <f t="shared" si="124"/>
        <v/>
      </c>
      <c r="Y1143">
        <v>0</v>
      </c>
      <c r="Z1143" t="str">
        <f>IF(Y1143&lt;&gt;0,VLOOKUP(VLOOKUP(Y1143,Tbl_Effect[],3,FALSE),EffectName[],IFERROR(MATCH(UI!$B$1,EffectName[#Headers],0),2),FALSE),"")</f>
        <v/>
      </c>
      <c r="AA1143" t="str">
        <f t="shared" si="125"/>
        <v/>
      </c>
      <c r="AB1143">
        <v>0</v>
      </c>
      <c r="AC1143" t="str">
        <f>IF(AB1143&lt;&gt;0,VLOOKUP(VLOOKUP(AB1143,Tbl_Effect[],3,FALSE),EffectName[],IFERROR(MATCH(UI!$B$1,EffectName[#Headers],0),2),FALSE),"")</f>
        <v/>
      </c>
    </row>
    <row r="1144" spans="8:29" x14ac:dyDescent="0.4">
      <c r="H1144" t="str">
        <f t="shared" si="119"/>
        <v>7032200-Unset (紅)</v>
      </c>
      <c r="I1144">
        <v>7032200</v>
      </c>
      <c r="J1144" t="str">
        <f>_xlfn.IFNA(IF(I1144&lt;&gt;0,VLOOKUP(VLOOKUP(I1144,Tbl_Equip[],2,FALSE),Tbl_Color[],IFERROR(MATCH(UI!$B$1,Tbl_Color[#Headers],0),2),FALSE),""),"Unset")</f>
        <v>紅</v>
      </c>
      <c r="K1144" t="str">
        <f>_xlfn.IFNA(IF(I1144&lt;&gt;0,VLOOKUP(I1144,ItemText[],IFERROR(MATCH(UI!$B$1,ItemText[#Headers],0),2),FALSE),""),"Unset")</f>
        <v>Unset</v>
      </c>
      <c r="L1144" t="str">
        <f t="shared" si="120"/>
        <v/>
      </c>
      <c r="M1144">
        <v>0</v>
      </c>
      <c r="N1144" t="str">
        <f>IF(VALUE(M1144)=0,"",VLOOKUP(VLOOKUP(M1144,Tbl_Effect[],3,FALSE),EffectName[],IFERROR(MATCH(UI!$B$1,EffectName[#Headers],0),2),FALSE))</f>
        <v/>
      </c>
      <c r="O1144" t="str">
        <f t="shared" si="121"/>
        <v/>
      </c>
      <c r="P1144">
        <v>0</v>
      </c>
      <c r="Q1144" t="str">
        <f>IF(VALUE(P1144)=0,"",VLOOKUP(VLOOKUP(P1144,Tbl_Effect[],3,FALSE),EffectName[],IFERROR(MATCH(UI!$B$1,EffectName[#Headers],0),2),FALSE))</f>
        <v/>
      </c>
      <c r="R1144" t="str">
        <f t="shared" si="122"/>
        <v/>
      </c>
      <c r="S1144">
        <v>0</v>
      </c>
      <c r="T1144" t="str">
        <f>IF(VALUE(S1144)=0,"",VLOOKUP(VLOOKUP(S1144,Tbl_Effect[],3,FALSE),EffectName[],IFERROR(MATCH(UI!$B$1,EffectName[#Headers],0),2),FALSE))</f>
        <v/>
      </c>
      <c r="U1144" t="str">
        <f t="shared" si="123"/>
        <v/>
      </c>
      <c r="V1144">
        <v>0</v>
      </c>
      <c r="W1144" t="str">
        <f>IF(V1144&lt;&gt;0,VLOOKUP(VLOOKUP(V1144,Tbl_Effect[],3,FALSE),EffectName[],IFERROR(MATCH(UI!$B$1,EffectName[#Headers],0),2),FALSE),"")</f>
        <v/>
      </c>
      <c r="X1144" t="str">
        <f t="shared" si="124"/>
        <v/>
      </c>
      <c r="Y1144">
        <v>0</v>
      </c>
      <c r="Z1144" t="str">
        <f>IF(Y1144&lt;&gt;0,VLOOKUP(VLOOKUP(Y1144,Tbl_Effect[],3,FALSE),EffectName[],IFERROR(MATCH(UI!$B$1,EffectName[#Headers],0),2),FALSE),"")</f>
        <v/>
      </c>
      <c r="AA1144" t="str">
        <f t="shared" si="125"/>
        <v/>
      </c>
      <c r="AB1144">
        <v>0</v>
      </c>
      <c r="AC1144" t="str">
        <f>IF(AB1144&lt;&gt;0,VLOOKUP(VLOOKUP(AB1144,Tbl_Effect[],3,FALSE),EffectName[],IFERROR(MATCH(UI!$B$1,EffectName[#Headers],0),2),FALSE),"")</f>
        <v/>
      </c>
    </row>
    <row r="1145" spans="8:29" x14ac:dyDescent="0.4">
      <c r="H1145" t="str">
        <f t="shared" si="119"/>
        <v>7032400-Unset (紅)</v>
      </c>
      <c r="I1145">
        <v>7032400</v>
      </c>
      <c r="J1145" t="str">
        <f>_xlfn.IFNA(IF(I1145&lt;&gt;0,VLOOKUP(VLOOKUP(I1145,Tbl_Equip[],2,FALSE),Tbl_Color[],IFERROR(MATCH(UI!$B$1,Tbl_Color[#Headers],0),2),FALSE),""),"Unset")</f>
        <v>紅</v>
      </c>
      <c r="K1145" t="str">
        <f>_xlfn.IFNA(IF(I1145&lt;&gt;0,VLOOKUP(I1145,ItemText[],IFERROR(MATCH(UI!$B$1,ItemText[#Headers],0),2),FALSE),""),"Unset")</f>
        <v>Unset</v>
      </c>
      <c r="L1145" t="str">
        <f t="shared" si="120"/>
        <v/>
      </c>
      <c r="M1145">
        <v>0</v>
      </c>
      <c r="N1145" t="str">
        <f>IF(VALUE(M1145)=0,"",VLOOKUP(VLOOKUP(M1145,Tbl_Effect[],3,FALSE),EffectName[],IFERROR(MATCH(UI!$B$1,EffectName[#Headers],0),2),FALSE))</f>
        <v/>
      </c>
      <c r="O1145" t="str">
        <f t="shared" si="121"/>
        <v/>
      </c>
      <c r="P1145">
        <v>0</v>
      </c>
      <c r="Q1145" t="str">
        <f>IF(VALUE(P1145)=0,"",VLOOKUP(VLOOKUP(P1145,Tbl_Effect[],3,FALSE),EffectName[],IFERROR(MATCH(UI!$B$1,EffectName[#Headers],0),2),FALSE))</f>
        <v/>
      </c>
      <c r="R1145" t="str">
        <f t="shared" si="122"/>
        <v/>
      </c>
      <c r="S1145">
        <v>0</v>
      </c>
      <c r="T1145" t="str">
        <f>IF(VALUE(S1145)=0,"",VLOOKUP(VLOOKUP(S1145,Tbl_Effect[],3,FALSE),EffectName[],IFERROR(MATCH(UI!$B$1,EffectName[#Headers],0),2),FALSE))</f>
        <v/>
      </c>
      <c r="U1145" t="str">
        <f t="shared" si="123"/>
        <v/>
      </c>
      <c r="V1145">
        <v>0</v>
      </c>
      <c r="W1145" t="str">
        <f>IF(V1145&lt;&gt;0,VLOOKUP(VLOOKUP(V1145,Tbl_Effect[],3,FALSE),EffectName[],IFERROR(MATCH(UI!$B$1,EffectName[#Headers],0),2),FALSE),"")</f>
        <v/>
      </c>
      <c r="X1145" t="str">
        <f t="shared" si="124"/>
        <v/>
      </c>
      <c r="Y1145">
        <v>0</v>
      </c>
      <c r="Z1145" t="str">
        <f>IF(Y1145&lt;&gt;0,VLOOKUP(VLOOKUP(Y1145,Tbl_Effect[],3,FALSE),EffectName[],IFERROR(MATCH(UI!$B$1,EffectName[#Headers],0),2),FALSE),"")</f>
        <v/>
      </c>
      <c r="AA1145" t="str">
        <f t="shared" si="125"/>
        <v/>
      </c>
      <c r="AB1145">
        <v>0</v>
      </c>
      <c r="AC1145" t="str">
        <f>IF(AB1145&lt;&gt;0,VLOOKUP(VLOOKUP(AB1145,Tbl_Effect[],3,FALSE),EffectName[],IFERROR(MATCH(UI!$B$1,EffectName[#Headers],0),2),FALSE),"")</f>
        <v/>
      </c>
    </row>
    <row r="1146" spans="8:29" x14ac:dyDescent="0.4">
      <c r="H1146" t="str">
        <f t="shared" si="119"/>
        <v>7032700-Unset (紅)</v>
      </c>
      <c r="I1146">
        <v>7032700</v>
      </c>
      <c r="J1146" t="str">
        <f>_xlfn.IFNA(IF(I1146&lt;&gt;0,VLOOKUP(VLOOKUP(I1146,Tbl_Equip[],2,FALSE),Tbl_Color[],IFERROR(MATCH(UI!$B$1,Tbl_Color[#Headers],0),2),FALSE),""),"Unset")</f>
        <v>紅</v>
      </c>
      <c r="K1146" t="str">
        <f>_xlfn.IFNA(IF(I1146&lt;&gt;0,VLOOKUP(I1146,ItemText[],IFERROR(MATCH(UI!$B$1,ItemText[#Headers],0),2),FALSE),""),"Unset")</f>
        <v>Unset</v>
      </c>
      <c r="L1146" t="str">
        <f t="shared" si="120"/>
        <v/>
      </c>
      <c r="M1146">
        <v>0</v>
      </c>
      <c r="N1146" t="str">
        <f>IF(VALUE(M1146)=0,"",VLOOKUP(VLOOKUP(M1146,Tbl_Effect[],3,FALSE),EffectName[],IFERROR(MATCH(UI!$B$1,EffectName[#Headers],0),2),FALSE))</f>
        <v/>
      </c>
      <c r="O1146" t="str">
        <f t="shared" si="121"/>
        <v/>
      </c>
      <c r="P1146">
        <v>0</v>
      </c>
      <c r="Q1146" t="str">
        <f>IF(VALUE(P1146)=0,"",VLOOKUP(VLOOKUP(P1146,Tbl_Effect[],3,FALSE),EffectName[],IFERROR(MATCH(UI!$B$1,EffectName[#Headers],0),2),FALSE))</f>
        <v/>
      </c>
      <c r="R1146" t="str">
        <f t="shared" si="122"/>
        <v/>
      </c>
      <c r="S1146">
        <v>0</v>
      </c>
      <c r="T1146" t="str">
        <f>IF(VALUE(S1146)=0,"",VLOOKUP(VLOOKUP(S1146,Tbl_Effect[],3,FALSE),EffectName[],IFERROR(MATCH(UI!$B$1,EffectName[#Headers],0),2),FALSE))</f>
        <v/>
      </c>
      <c r="U1146" t="str">
        <f t="shared" si="123"/>
        <v/>
      </c>
      <c r="V1146">
        <v>0</v>
      </c>
      <c r="W1146" t="str">
        <f>IF(V1146&lt;&gt;0,VLOOKUP(VLOOKUP(V1146,Tbl_Effect[],3,FALSE),EffectName[],IFERROR(MATCH(UI!$B$1,EffectName[#Headers],0),2),FALSE),"")</f>
        <v/>
      </c>
      <c r="X1146" t="str">
        <f t="shared" si="124"/>
        <v/>
      </c>
      <c r="Y1146">
        <v>0</v>
      </c>
      <c r="Z1146" t="str">
        <f>IF(Y1146&lt;&gt;0,VLOOKUP(VLOOKUP(Y1146,Tbl_Effect[],3,FALSE),EffectName[],IFERROR(MATCH(UI!$B$1,EffectName[#Headers],0),2),FALSE),"")</f>
        <v/>
      </c>
      <c r="AA1146" t="str">
        <f t="shared" si="125"/>
        <v/>
      </c>
      <c r="AB1146">
        <v>0</v>
      </c>
      <c r="AC1146" t="str">
        <f>IF(AB1146&lt;&gt;0,VLOOKUP(VLOOKUP(AB1146,Tbl_Effect[],3,FALSE),EffectName[],IFERROR(MATCH(UI!$B$1,EffectName[#Headers],0),2),FALSE),"")</f>
        <v/>
      </c>
    </row>
    <row r="1147" spans="8:29" x14ac:dyDescent="0.4">
      <c r="H1147" t="str">
        <f t="shared" si="119"/>
        <v>7032800-Unset (紅)</v>
      </c>
      <c r="I1147">
        <v>7032800</v>
      </c>
      <c r="J1147" t="str">
        <f>_xlfn.IFNA(IF(I1147&lt;&gt;0,VLOOKUP(VLOOKUP(I1147,Tbl_Equip[],2,FALSE),Tbl_Color[],IFERROR(MATCH(UI!$B$1,Tbl_Color[#Headers],0),2),FALSE),""),"Unset")</f>
        <v>紅</v>
      </c>
      <c r="K1147" t="str">
        <f>_xlfn.IFNA(IF(I1147&lt;&gt;0,VLOOKUP(I1147,ItemText[],IFERROR(MATCH(UI!$B$1,ItemText[#Headers],0),2),FALSE),""),"Unset")</f>
        <v>Unset</v>
      </c>
      <c r="L1147" t="str">
        <f t="shared" si="120"/>
        <v/>
      </c>
      <c r="M1147">
        <v>0</v>
      </c>
      <c r="N1147" t="str">
        <f>IF(VALUE(M1147)=0,"",VLOOKUP(VLOOKUP(M1147,Tbl_Effect[],3,FALSE),EffectName[],IFERROR(MATCH(UI!$B$1,EffectName[#Headers],0),2),FALSE))</f>
        <v/>
      </c>
      <c r="O1147" t="str">
        <f t="shared" si="121"/>
        <v/>
      </c>
      <c r="P1147">
        <v>0</v>
      </c>
      <c r="Q1147" t="str">
        <f>IF(VALUE(P1147)=0,"",VLOOKUP(VLOOKUP(P1147,Tbl_Effect[],3,FALSE),EffectName[],IFERROR(MATCH(UI!$B$1,EffectName[#Headers],0),2),FALSE))</f>
        <v/>
      </c>
      <c r="R1147" t="str">
        <f t="shared" si="122"/>
        <v/>
      </c>
      <c r="S1147">
        <v>0</v>
      </c>
      <c r="T1147" t="str">
        <f>IF(VALUE(S1147)=0,"",VLOOKUP(VLOOKUP(S1147,Tbl_Effect[],3,FALSE),EffectName[],IFERROR(MATCH(UI!$B$1,EffectName[#Headers],0),2),FALSE))</f>
        <v/>
      </c>
      <c r="U1147" t="str">
        <f t="shared" si="123"/>
        <v/>
      </c>
      <c r="V1147">
        <v>0</v>
      </c>
      <c r="W1147" t="str">
        <f>IF(V1147&lt;&gt;0,VLOOKUP(VLOOKUP(V1147,Tbl_Effect[],3,FALSE),EffectName[],IFERROR(MATCH(UI!$B$1,EffectName[#Headers],0),2),FALSE),"")</f>
        <v/>
      </c>
      <c r="X1147" t="str">
        <f t="shared" si="124"/>
        <v/>
      </c>
      <c r="Y1147">
        <v>0</v>
      </c>
      <c r="Z1147" t="str">
        <f>IF(Y1147&lt;&gt;0,VLOOKUP(VLOOKUP(Y1147,Tbl_Effect[],3,FALSE),EffectName[],IFERROR(MATCH(UI!$B$1,EffectName[#Headers],0),2),FALSE),"")</f>
        <v/>
      </c>
      <c r="AA1147" t="str">
        <f t="shared" si="125"/>
        <v/>
      </c>
      <c r="AB1147">
        <v>0</v>
      </c>
      <c r="AC1147" t="str">
        <f>IF(AB1147&lt;&gt;0,VLOOKUP(VLOOKUP(AB1147,Tbl_Effect[],3,FALSE),EffectName[],IFERROR(MATCH(UI!$B$1,EffectName[#Headers],0),2),FALSE),"")</f>
        <v/>
      </c>
    </row>
    <row r="1148" spans="8:29" x14ac:dyDescent="0.4">
      <c r="H1148" t="str">
        <f t="shared" si="119"/>
        <v>7032900-Unset (紅)</v>
      </c>
      <c r="I1148">
        <v>7032900</v>
      </c>
      <c r="J1148" t="str">
        <f>_xlfn.IFNA(IF(I1148&lt;&gt;0,VLOOKUP(VLOOKUP(I1148,Tbl_Equip[],2,FALSE),Tbl_Color[],IFERROR(MATCH(UI!$B$1,Tbl_Color[#Headers],0),2),FALSE),""),"Unset")</f>
        <v>紅</v>
      </c>
      <c r="K1148" t="str">
        <f>_xlfn.IFNA(IF(I1148&lt;&gt;0,VLOOKUP(I1148,ItemText[],IFERROR(MATCH(UI!$B$1,ItemText[#Headers],0),2),FALSE),""),"Unset")</f>
        <v>Unset</v>
      </c>
      <c r="L1148" t="str">
        <f t="shared" si="120"/>
        <v/>
      </c>
      <c r="M1148">
        <v>0</v>
      </c>
      <c r="N1148" t="str">
        <f>IF(VALUE(M1148)=0,"",VLOOKUP(VLOOKUP(M1148,Tbl_Effect[],3,FALSE),EffectName[],IFERROR(MATCH(UI!$B$1,EffectName[#Headers],0),2),FALSE))</f>
        <v/>
      </c>
      <c r="O1148" t="str">
        <f t="shared" si="121"/>
        <v/>
      </c>
      <c r="P1148">
        <v>0</v>
      </c>
      <c r="Q1148" t="str">
        <f>IF(VALUE(P1148)=0,"",VLOOKUP(VLOOKUP(P1148,Tbl_Effect[],3,FALSE),EffectName[],IFERROR(MATCH(UI!$B$1,EffectName[#Headers],0),2),FALSE))</f>
        <v/>
      </c>
      <c r="R1148" t="str">
        <f t="shared" si="122"/>
        <v/>
      </c>
      <c r="S1148">
        <v>0</v>
      </c>
      <c r="T1148" t="str">
        <f>IF(VALUE(S1148)=0,"",VLOOKUP(VLOOKUP(S1148,Tbl_Effect[],3,FALSE),EffectName[],IFERROR(MATCH(UI!$B$1,EffectName[#Headers],0),2),FALSE))</f>
        <v/>
      </c>
      <c r="U1148" t="str">
        <f t="shared" si="123"/>
        <v/>
      </c>
      <c r="V1148">
        <v>0</v>
      </c>
      <c r="W1148" t="str">
        <f>IF(V1148&lt;&gt;0,VLOOKUP(VLOOKUP(V1148,Tbl_Effect[],3,FALSE),EffectName[],IFERROR(MATCH(UI!$B$1,EffectName[#Headers],0),2),FALSE),"")</f>
        <v/>
      </c>
      <c r="X1148" t="str">
        <f t="shared" si="124"/>
        <v/>
      </c>
      <c r="Y1148">
        <v>0</v>
      </c>
      <c r="Z1148" t="str">
        <f>IF(Y1148&lt;&gt;0,VLOOKUP(VLOOKUP(Y1148,Tbl_Effect[],3,FALSE),EffectName[],IFERROR(MATCH(UI!$B$1,EffectName[#Headers],0),2),FALSE),"")</f>
        <v/>
      </c>
      <c r="AA1148" t="str">
        <f t="shared" si="125"/>
        <v/>
      </c>
      <c r="AB1148">
        <v>0</v>
      </c>
      <c r="AC1148" t="str">
        <f>IF(AB1148&lt;&gt;0,VLOOKUP(VLOOKUP(AB1148,Tbl_Effect[],3,FALSE),EffectName[],IFERROR(MATCH(UI!$B$1,EffectName[#Headers],0),2),FALSE),"")</f>
        <v/>
      </c>
    </row>
    <row r="1149" spans="8:29" x14ac:dyDescent="0.4">
      <c r="H1149" t="str">
        <f t="shared" si="119"/>
        <v>7033200-Unset (紅)</v>
      </c>
      <c r="I1149">
        <v>7033200</v>
      </c>
      <c r="J1149" t="str">
        <f>_xlfn.IFNA(IF(I1149&lt;&gt;0,VLOOKUP(VLOOKUP(I1149,Tbl_Equip[],2,FALSE),Tbl_Color[],IFERROR(MATCH(UI!$B$1,Tbl_Color[#Headers],0),2),FALSE),""),"Unset")</f>
        <v>紅</v>
      </c>
      <c r="K1149" t="str">
        <f>_xlfn.IFNA(IF(I1149&lt;&gt;0,VLOOKUP(I1149,ItemText[],IFERROR(MATCH(UI!$B$1,ItemText[#Headers],0),2),FALSE),""),"Unset")</f>
        <v>Unset</v>
      </c>
      <c r="L1149" t="str">
        <f t="shared" si="120"/>
        <v/>
      </c>
      <c r="M1149">
        <v>0</v>
      </c>
      <c r="N1149" t="str">
        <f>IF(VALUE(M1149)=0,"",VLOOKUP(VLOOKUP(M1149,Tbl_Effect[],3,FALSE),EffectName[],IFERROR(MATCH(UI!$B$1,EffectName[#Headers],0),2),FALSE))</f>
        <v/>
      </c>
      <c r="O1149" t="str">
        <f t="shared" si="121"/>
        <v/>
      </c>
      <c r="P1149">
        <v>0</v>
      </c>
      <c r="Q1149" t="str">
        <f>IF(VALUE(P1149)=0,"",VLOOKUP(VLOOKUP(P1149,Tbl_Effect[],3,FALSE),EffectName[],IFERROR(MATCH(UI!$B$1,EffectName[#Headers],0),2),FALSE))</f>
        <v/>
      </c>
      <c r="R1149" t="str">
        <f t="shared" si="122"/>
        <v/>
      </c>
      <c r="S1149">
        <v>0</v>
      </c>
      <c r="T1149" t="str">
        <f>IF(VALUE(S1149)=0,"",VLOOKUP(VLOOKUP(S1149,Tbl_Effect[],3,FALSE),EffectName[],IFERROR(MATCH(UI!$B$1,EffectName[#Headers],0),2),FALSE))</f>
        <v/>
      </c>
      <c r="U1149" t="str">
        <f t="shared" si="123"/>
        <v/>
      </c>
      <c r="V1149">
        <v>0</v>
      </c>
      <c r="W1149" t="str">
        <f>IF(V1149&lt;&gt;0,VLOOKUP(VLOOKUP(V1149,Tbl_Effect[],3,FALSE),EffectName[],IFERROR(MATCH(UI!$B$1,EffectName[#Headers],0),2),FALSE),"")</f>
        <v/>
      </c>
      <c r="X1149" t="str">
        <f t="shared" si="124"/>
        <v/>
      </c>
      <c r="Y1149">
        <v>0</v>
      </c>
      <c r="Z1149" t="str">
        <f>IF(Y1149&lt;&gt;0,VLOOKUP(VLOOKUP(Y1149,Tbl_Effect[],3,FALSE),EffectName[],IFERROR(MATCH(UI!$B$1,EffectName[#Headers],0),2),FALSE),"")</f>
        <v/>
      </c>
      <c r="AA1149" t="str">
        <f t="shared" si="125"/>
        <v/>
      </c>
      <c r="AB1149">
        <v>0</v>
      </c>
      <c r="AC1149" t="str">
        <f>IF(AB1149&lt;&gt;0,VLOOKUP(VLOOKUP(AB1149,Tbl_Effect[],3,FALSE),EffectName[],IFERROR(MATCH(UI!$B$1,EffectName[#Headers],0),2),FALSE),"")</f>
        <v/>
      </c>
    </row>
    <row r="1150" spans="8:29" x14ac:dyDescent="0.4">
      <c r="H1150" t="str">
        <f t="shared" si="119"/>
        <v>7033300-Unset (紅)</v>
      </c>
      <c r="I1150">
        <v>7033300</v>
      </c>
      <c r="J1150" t="str">
        <f>_xlfn.IFNA(IF(I1150&lt;&gt;0,VLOOKUP(VLOOKUP(I1150,Tbl_Equip[],2,FALSE),Tbl_Color[],IFERROR(MATCH(UI!$B$1,Tbl_Color[#Headers],0),2),FALSE),""),"Unset")</f>
        <v>紅</v>
      </c>
      <c r="K1150" t="str">
        <f>_xlfn.IFNA(IF(I1150&lt;&gt;0,VLOOKUP(I1150,ItemText[],IFERROR(MATCH(UI!$B$1,ItemText[#Headers],0),2),FALSE),""),"Unset")</f>
        <v>Unset</v>
      </c>
      <c r="L1150" t="str">
        <f t="shared" si="120"/>
        <v/>
      </c>
      <c r="M1150">
        <v>0</v>
      </c>
      <c r="N1150" t="str">
        <f>IF(VALUE(M1150)=0,"",VLOOKUP(VLOOKUP(M1150,Tbl_Effect[],3,FALSE),EffectName[],IFERROR(MATCH(UI!$B$1,EffectName[#Headers],0),2),FALSE))</f>
        <v/>
      </c>
      <c r="O1150" t="str">
        <f t="shared" si="121"/>
        <v/>
      </c>
      <c r="P1150">
        <v>0</v>
      </c>
      <c r="Q1150" t="str">
        <f>IF(VALUE(P1150)=0,"",VLOOKUP(VLOOKUP(P1150,Tbl_Effect[],3,FALSE),EffectName[],IFERROR(MATCH(UI!$B$1,EffectName[#Headers],0),2),FALSE))</f>
        <v/>
      </c>
      <c r="R1150" t="str">
        <f t="shared" si="122"/>
        <v/>
      </c>
      <c r="S1150">
        <v>0</v>
      </c>
      <c r="T1150" t="str">
        <f>IF(VALUE(S1150)=0,"",VLOOKUP(VLOOKUP(S1150,Tbl_Effect[],3,FALSE),EffectName[],IFERROR(MATCH(UI!$B$1,EffectName[#Headers],0),2),FALSE))</f>
        <v/>
      </c>
      <c r="U1150" t="str">
        <f t="shared" si="123"/>
        <v/>
      </c>
      <c r="V1150">
        <v>0</v>
      </c>
      <c r="W1150" t="str">
        <f>IF(V1150&lt;&gt;0,VLOOKUP(VLOOKUP(V1150,Tbl_Effect[],3,FALSE),EffectName[],IFERROR(MATCH(UI!$B$1,EffectName[#Headers],0),2),FALSE),"")</f>
        <v/>
      </c>
      <c r="X1150" t="str">
        <f t="shared" si="124"/>
        <v/>
      </c>
      <c r="Y1150">
        <v>0</v>
      </c>
      <c r="Z1150" t="str">
        <f>IF(Y1150&lt;&gt;0,VLOOKUP(VLOOKUP(Y1150,Tbl_Effect[],3,FALSE),EffectName[],IFERROR(MATCH(UI!$B$1,EffectName[#Headers],0),2),FALSE),"")</f>
        <v/>
      </c>
      <c r="AA1150" t="str">
        <f t="shared" si="125"/>
        <v/>
      </c>
      <c r="AB1150">
        <v>0</v>
      </c>
      <c r="AC1150" t="str">
        <f>IF(AB1150&lt;&gt;0,VLOOKUP(VLOOKUP(AB1150,Tbl_Effect[],3,FALSE),EffectName[],IFERROR(MATCH(UI!$B$1,EffectName[#Headers],0),2),FALSE),"")</f>
        <v/>
      </c>
    </row>
    <row r="1151" spans="8:29" x14ac:dyDescent="0.4">
      <c r="H1151" t="str">
        <f t="shared" si="119"/>
        <v>7033400-Unset (紅)</v>
      </c>
      <c r="I1151">
        <v>7033400</v>
      </c>
      <c r="J1151" t="str">
        <f>_xlfn.IFNA(IF(I1151&lt;&gt;0,VLOOKUP(VLOOKUP(I1151,Tbl_Equip[],2,FALSE),Tbl_Color[],IFERROR(MATCH(UI!$B$1,Tbl_Color[#Headers],0),2),FALSE),""),"Unset")</f>
        <v>紅</v>
      </c>
      <c r="K1151" t="str">
        <f>_xlfn.IFNA(IF(I1151&lt;&gt;0,VLOOKUP(I1151,ItemText[],IFERROR(MATCH(UI!$B$1,ItemText[#Headers],0),2),FALSE),""),"Unset")</f>
        <v>Unset</v>
      </c>
      <c r="L1151" t="str">
        <f t="shared" si="120"/>
        <v/>
      </c>
      <c r="M1151">
        <v>0</v>
      </c>
      <c r="N1151" t="str">
        <f>IF(VALUE(M1151)=0,"",VLOOKUP(VLOOKUP(M1151,Tbl_Effect[],3,FALSE),EffectName[],IFERROR(MATCH(UI!$B$1,EffectName[#Headers],0),2),FALSE))</f>
        <v/>
      </c>
      <c r="O1151" t="str">
        <f t="shared" si="121"/>
        <v/>
      </c>
      <c r="P1151">
        <v>0</v>
      </c>
      <c r="Q1151" t="str">
        <f>IF(VALUE(P1151)=0,"",VLOOKUP(VLOOKUP(P1151,Tbl_Effect[],3,FALSE),EffectName[],IFERROR(MATCH(UI!$B$1,EffectName[#Headers],0),2),FALSE))</f>
        <v/>
      </c>
      <c r="R1151" t="str">
        <f t="shared" si="122"/>
        <v/>
      </c>
      <c r="S1151">
        <v>0</v>
      </c>
      <c r="T1151" t="str">
        <f>IF(VALUE(S1151)=0,"",VLOOKUP(VLOOKUP(S1151,Tbl_Effect[],3,FALSE),EffectName[],IFERROR(MATCH(UI!$B$1,EffectName[#Headers],0),2),FALSE))</f>
        <v/>
      </c>
      <c r="U1151" t="str">
        <f t="shared" si="123"/>
        <v/>
      </c>
      <c r="V1151">
        <v>0</v>
      </c>
      <c r="W1151" t="str">
        <f>IF(V1151&lt;&gt;0,VLOOKUP(VLOOKUP(V1151,Tbl_Effect[],3,FALSE),EffectName[],IFERROR(MATCH(UI!$B$1,EffectName[#Headers],0),2),FALSE),"")</f>
        <v/>
      </c>
      <c r="X1151" t="str">
        <f t="shared" si="124"/>
        <v/>
      </c>
      <c r="Y1151">
        <v>0</v>
      </c>
      <c r="Z1151" t="str">
        <f>IF(Y1151&lt;&gt;0,VLOOKUP(VLOOKUP(Y1151,Tbl_Effect[],3,FALSE),EffectName[],IFERROR(MATCH(UI!$B$1,EffectName[#Headers],0),2),FALSE),"")</f>
        <v/>
      </c>
      <c r="AA1151" t="str">
        <f t="shared" si="125"/>
        <v/>
      </c>
      <c r="AB1151">
        <v>0</v>
      </c>
      <c r="AC1151" t="str">
        <f>IF(AB1151&lt;&gt;0,VLOOKUP(VLOOKUP(AB1151,Tbl_Effect[],3,FALSE),EffectName[],IFERROR(MATCH(UI!$B$1,EffectName[#Headers],0),2),FALSE),"")</f>
        <v/>
      </c>
    </row>
    <row r="1152" spans="8:29" x14ac:dyDescent="0.4">
      <c r="H1152" t="str">
        <f t="shared" si="119"/>
        <v>7034100-Unset (紅)</v>
      </c>
      <c r="I1152">
        <v>7034100</v>
      </c>
      <c r="J1152" t="str">
        <f>_xlfn.IFNA(IF(I1152&lt;&gt;0,VLOOKUP(VLOOKUP(I1152,Tbl_Equip[],2,FALSE),Tbl_Color[],IFERROR(MATCH(UI!$B$1,Tbl_Color[#Headers],0),2),FALSE),""),"Unset")</f>
        <v>紅</v>
      </c>
      <c r="K1152" t="str">
        <f>_xlfn.IFNA(IF(I1152&lt;&gt;0,VLOOKUP(I1152,ItemText[],IFERROR(MATCH(UI!$B$1,ItemText[#Headers],0),2),FALSE),""),"Unset")</f>
        <v>Unset</v>
      </c>
      <c r="L1152" t="str">
        <f t="shared" si="120"/>
        <v/>
      </c>
      <c r="M1152">
        <v>0</v>
      </c>
      <c r="N1152" t="str">
        <f>IF(VALUE(M1152)=0,"",VLOOKUP(VLOOKUP(M1152,Tbl_Effect[],3,FALSE),EffectName[],IFERROR(MATCH(UI!$B$1,EffectName[#Headers],0),2),FALSE))</f>
        <v/>
      </c>
      <c r="O1152" t="str">
        <f t="shared" si="121"/>
        <v/>
      </c>
      <c r="P1152">
        <v>0</v>
      </c>
      <c r="Q1152" t="str">
        <f>IF(VALUE(P1152)=0,"",VLOOKUP(VLOOKUP(P1152,Tbl_Effect[],3,FALSE),EffectName[],IFERROR(MATCH(UI!$B$1,EffectName[#Headers],0),2),FALSE))</f>
        <v/>
      </c>
      <c r="R1152" t="str">
        <f t="shared" si="122"/>
        <v/>
      </c>
      <c r="S1152">
        <v>0</v>
      </c>
      <c r="T1152" t="str">
        <f>IF(VALUE(S1152)=0,"",VLOOKUP(VLOOKUP(S1152,Tbl_Effect[],3,FALSE),EffectName[],IFERROR(MATCH(UI!$B$1,EffectName[#Headers],0),2),FALSE))</f>
        <v/>
      </c>
      <c r="U1152" t="str">
        <f t="shared" si="123"/>
        <v/>
      </c>
      <c r="V1152">
        <v>0</v>
      </c>
      <c r="W1152" t="str">
        <f>IF(V1152&lt;&gt;0,VLOOKUP(VLOOKUP(V1152,Tbl_Effect[],3,FALSE),EffectName[],IFERROR(MATCH(UI!$B$1,EffectName[#Headers],0),2),FALSE),"")</f>
        <v/>
      </c>
      <c r="X1152" t="str">
        <f t="shared" si="124"/>
        <v/>
      </c>
      <c r="Y1152">
        <v>0</v>
      </c>
      <c r="Z1152" t="str">
        <f>IF(Y1152&lt;&gt;0,VLOOKUP(VLOOKUP(Y1152,Tbl_Effect[],3,FALSE),EffectName[],IFERROR(MATCH(UI!$B$1,EffectName[#Headers],0),2),FALSE),"")</f>
        <v/>
      </c>
      <c r="AA1152" t="str">
        <f t="shared" si="125"/>
        <v/>
      </c>
      <c r="AB1152">
        <v>0</v>
      </c>
      <c r="AC1152" t="str">
        <f>IF(AB1152&lt;&gt;0,VLOOKUP(VLOOKUP(AB1152,Tbl_Effect[],3,FALSE),EffectName[],IFERROR(MATCH(UI!$B$1,EffectName[#Headers],0),2),FALSE),"")</f>
        <v/>
      </c>
    </row>
    <row r="1153" spans="8:29" x14ac:dyDescent="0.4">
      <c r="H1153" t="str">
        <f t="shared" si="119"/>
        <v>7034400-Unset (紅)</v>
      </c>
      <c r="I1153">
        <v>7034400</v>
      </c>
      <c r="J1153" t="str">
        <f>_xlfn.IFNA(IF(I1153&lt;&gt;0,VLOOKUP(VLOOKUP(I1153,Tbl_Equip[],2,FALSE),Tbl_Color[],IFERROR(MATCH(UI!$B$1,Tbl_Color[#Headers],0),2),FALSE),""),"Unset")</f>
        <v>紅</v>
      </c>
      <c r="K1153" t="str">
        <f>_xlfn.IFNA(IF(I1153&lt;&gt;0,VLOOKUP(I1153,ItemText[],IFERROR(MATCH(UI!$B$1,ItemText[#Headers],0),2),FALSE),""),"Unset")</f>
        <v>Unset</v>
      </c>
      <c r="L1153" t="str">
        <f t="shared" si="120"/>
        <v/>
      </c>
      <c r="M1153">
        <v>0</v>
      </c>
      <c r="N1153" t="str">
        <f>IF(VALUE(M1153)=0,"",VLOOKUP(VLOOKUP(M1153,Tbl_Effect[],3,FALSE),EffectName[],IFERROR(MATCH(UI!$B$1,EffectName[#Headers],0),2),FALSE))</f>
        <v/>
      </c>
      <c r="O1153" t="str">
        <f t="shared" si="121"/>
        <v/>
      </c>
      <c r="P1153">
        <v>0</v>
      </c>
      <c r="Q1153" t="str">
        <f>IF(VALUE(P1153)=0,"",VLOOKUP(VLOOKUP(P1153,Tbl_Effect[],3,FALSE),EffectName[],IFERROR(MATCH(UI!$B$1,EffectName[#Headers],0),2),FALSE))</f>
        <v/>
      </c>
      <c r="R1153" t="str">
        <f t="shared" si="122"/>
        <v/>
      </c>
      <c r="S1153">
        <v>0</v>
      </c>
      <c r="T1153" t="str">
        <f>IF(VALUE(S1153)=0,"",VLOOKUP(VLOOKUP(S1153,Tbl_Effect[],3,FALSE),EffectName[],IFERROR(MATCH(UI!$B$1,EffectName[#Headers],0),2),FALSE))</f>
        <v/>
      </c>
      <c r="U1153" t="str">
        <f t="shared" si="123"/>
        <v/>
      </c>
      <c r="V1153">
        <v>0</v>
      </c>
      <c r="W1153" t="str">
        <f>IF(V1153&lt;&gt;0,VLOOKUP(VLOOKUP(V1153,Tbl_Effect[],3,FALSE),EffectName[],IFERROR(MATCH(UI!$B$1,EffectName[#Headers],0),2),FALSE),"")</f>
        <v/>
      </c>
      <c r="X1153" t="str">
        <f t="shared" si="124"/>
        <v/>
      </c>
      <c r="Y1153">
        <v>0</v>
      </c>
      <c r="Z1153" t="str">
        <f>IF(Y1153&lt;&gt;0,VLOOKUP(VLOOKUP(Y1153,Tbl_Effect[],3,FALSE),EffectName[],IFERROR(MATCH(UI!$B$1,EffectName[#Headers],0),2),FALSE),"")</f>
        <v/>
      </c>
      <c r="AA1153" t="str">
        <f t="shared" si="125"/>
        <v/>
      </c>
      <c r="AB1153">
        <v>0</v>
      </c>
      <c r="AC1153" t="str">
        <f>IF(AB1153&lt;&gt;0,VLOOKUP(VLOOKUP(AB1153,Tbl_Effect[],3,FALSE),EffectName[],IFERROR(MATCH(UI!$B$1,EffectName[#Headers],0),2),FALSE),"")</f>
        <v/>
      </c>
    </row>
    <row r="1154" spans="8:29" x14ac:dyDescent="0.4">
      <c r="H1154" t="str">
        <f t="shared" si="119"/>
        <v>7034500-Unset (紅)</v>
      </c>
      <c r="I1154">
        <v>7034500</v>
      </c>
      <c r="J1154" t="str">
        <f>_xlfn.IFNA(IF(I1154&lt;&gt;0,VLOOKUP(VLOOKUP(I1154,Tbl_Equip[],2,FALSE),Tbl_Color[],IFERROR(MATCH(UI!$B$1,Tbl_Color[#Headers],0),2),FALSE),""),"Unset")</f>
        <v>紅</v>
      </c>
      <c r="K1154" t="str">
        <f>_xlfn.IFNA(IF(I1154&lt;&gt;0,VLOOKUP(I1154,ItemText[],IFERROR(MATCH(UI!$B$1,ItemText[#Headers],0),2),FALSE),""),"Unset")</f>
        <v>Unset</v>
      </c>
      <c r="L1154" t="str">
        <f t="shared" si="120"/>
        <v/>
      </c>
      <c r="M1154">
        <v>0</v>
      </c>
      <c r="N1154" t="str">
        <f>IF(VALUE(M1154)=0,"",VLOOKUP(VLOOKUP(M1154,Tbl_Effect[],3,FALSE),EffectName[],IFERROR(MATCH(UI!$B$1,EffectName[#Headers],0),2),FALSE))</f>
        <v/>
      </c>
      <c r="O1154" t="str">
        <f t="shared" si="121"/>
        <v/>
      </c>
      <c r="P1154">
        <v>0</v>
      </c>
      <c r="Q1154" t="str">
        <f>IF(VALUE(P1154)=0,"",VLOOKUP(VLOOKUP(P1154,Tbl_Effect[],3,FALSE),EffectName[],IFERROR(MATCH(UI!$B$1,EffectName[#Headers],0),2),FALSE))</f>
        <v/>
      </c>
      <c r="R1154" t="str">
        <f t="shared" si="122"/>
        <v/>
      </c>
      <c r="S1154">
        <v>0</v>
      </c>
      <c r="T1154" t="str">
        <f>IF(VALUE(S1154)=0,"",VLOOKUP(VLOOKUP(S1154,Tbl_Effect[],3,FALSE),EffectName[],IFERROR(MATCH(UI!$B$1,EffectName[#Headers],0),2),FALSE))</f>
        <v/>
      </c>
      <c r="U1154" t="str">
        <f t="shared" si="123"/>
        <v/>
      </c>
      <c r="V1154">
        <v>0</v>
      </c>
      <c r="W1154" t="str">
        <f>IF(V1154&lt;&gt;0,VLOOKUP(VLOOKUP(V1154,Tbl_Effect[],3,FALSE),EffectName[],IFERROR(MATCH(UI!$B$1,EffectName[#Headers],0),2),FALSE),"")</f>
        <v/>
      </c>
      <c r="X1154" t="str">
        <f t="shared" si="124"/>
        <v/>
      </c>
      <c r="Y1154">
        <v>0</v>
      </c>
      <c r="Z1154" t="str">
        <f>IF(Y1154&lt;&gt;0,VLOOKUP(VLOOKUP(Y1154,Tbl_Effect[],3,FALSE),EffectName[],IFERROR(MATCH(UI!$B$1,EffectName[#Headers],0),2),FALSE),"")</f>
        <v/>
      </c>
      <c r="AA1154" t="str">
        <f t="shared" si="125"/>
        <v/>
      </c>
      <c r="AB1154">
        <v>0</v>
      </c>
      <c r="AC1154" t="str">
        <f>IF(AB1154&lt;&gt;0,VLOOKUP(VLOOKUP(AB1154,Tbl_Effect[],3,FALSE),EffectName[],IFERROR(MATCH(UI!$B$1,EffectName[#Headers],0),2),FALSE),"")</f>
        <v/>
      </c>
    </row>
    <row r="1155" spans="8:29" x14ac:dyDescent="0.4">
      <c r="H1155" t="str">
        <f t="shared" ref="H1155:H1218" si="126">IF(VALUE(I1155)&lt;&gt;0,I1155&amp;"-"&amp;K1155&amp;" ("&amp;J1155&amp;")","")</f>
        <v>7034600-Unset (紅)</v>
      </c>
      <c r="I1155">
        <v>7034600</v>
      </c>
      <c r="J1155" t="str">
        <f>_xlfn.IFNA(IF(I1155&lt;&gt;0,VLOOKUP(VLOOKUP(I1155,Tbl_Equip[],2,FALSE),Tbl_Color[],IFERROR(MATCH(UI!$B$1,Tbl_Color[#Headers],0),2),FALSE),""),"Unset")</f>
        <v>紅</v>
      </c>
      <c r="K1155" t="str">
        <f>_xlfn.IFNA(IF(I1155&lt;&gt;0,VLOOKUP(I1155,ItemText[],IFERROR(MATCH(UI!$B$1,ItemText[#Headers],0),2),FALSE),""),"Unset")</f>
        <v>Unset</v>
      </c>
      <c r="L1155" t="str">
        <f t="shared" ref="L1155:L1218" si="127">IF(VALUE(M1155)=0,"",M1155&amp;"-"&amp;N1155)</f>
        <v/>
      </c>
      <c r="M1155">
        <v>0</v>
      </c>
      <c r="N1155" t="str">
        <f>IF(VALUE(M1155)=0,"",VLOOKUP(VLOOKUP(M1155,Tbl_Effect[],3,FALSE),EffectName[],IFERROR(MATCH(UI!$B$1,EffectName[#Headers],0),2),FALSE))</f>
        <v/>
      </c>
      <c r="O1155" t="str">
        <f t="shared" ref="O1155:O1218" si="128">IF(VALUE(P1155)=0,"",P1155&amp;"-"&amp;Q1155)</f>
        <v/>
      </c>
      <c r="P1155">
        <v>0</v>
      </c>
      <c r="Q1155" t="str">
        <f>IF(VALUE(P1155)=0,"",VLOOKUP(VLOOKUP(P1155,Tbl_Effect[],3,FALSE),EffectName[],IFERROR(MATCH(UI!$B$1,EffectName[#Headers],0),2),FALSE))</f>
        <v/>
      </c>
      <c r="R1155" t="str">
        <f t="shared" ref="R1155:R1218" si="129">IF(VALUE(S1155)=0,"",S1155&amp;"-"&amp;T1155)</f>
        <v/>
      </c>
      <c r="S1155">
        <v>0</v>
      </c>
      <c r="T1155" t="str">
        <f>IF(VALUE(S1155)=0,"",VLOOKUP(VLOOKUP(S1155,Tbl_Effect[],3,FALSE),EffectName[],IFERROR(MATCH(UI!$B$1,EffectName[#Headers],0),2),FALSE))</f>
        <v/>
      </c>
      <c r="U1155" t="str">
        <f t="shared" ref="U1155:U1218" si="130">IF(VALUE(V1155)=0,"",V1155&amp;"-"&amp;W1155)</f>
        <v/>
      </c>
      <c r="V1155">
        <v>0</v>
      </c>
      <c r="W1155" t="str">
        <f>IF(V1155&lt;&gt;0,VLOOKUP(VLOOKUP(V1155,Tbl_Effect[],3,FALSE),EffectName[],IFERROR(MATCH(UI!$B$1,EffectName[#Headers],0),2),FALSE),"")</f>
        <v/>
      </c>
      <c r="X1155" t="str">
        <f t="shared" ref="X1155:X1218" si="131">IF(VALUE(Y1155)=0,"",Y1155&amp;"-"&amp;Z1155)</f>
        <v/>
      </c>
      <c r="Y1155">
        <v>0</v>
      </c>
      <c r="Z1155" t="str">
        <f>IF(Y1155&lt;&gt;0,VLOOKUP(VLOOKUP(Y1155,Tbl_Effect[],3,FALSE),EffectName[],IFERROR(MATCH(UI!$B$1,EffectName[#Headers],0),2),FALSE),"")</f>
        <v/>
      </c>
      <c r="AA1155" t="str">
        <f t="shared" ref="AA1155:AA1218" si="132">IF(VALUE(AB1155)=0,"",AB1155&amp;"-"&amp;AC1155)</f>
        <v/>
      </c>
      <c r="AB1155">
        <v>0</v>
      </c>
      <c r="AC1155" t="str">
        <f>IF(AB1155&lt;&gt;0,VLOOKUP(VLOOKUP(AB1155,Tbl_Effect[],3,FALSE),EffectName[],IFERROR(MATCH(UI!$B$1,EffectName[#Headers],0),2),FALSE),"")</f>
        <v/>
      </c>
    </row>
    <row r="1156" spans="8:29" x14ac:dyDescent="0.4">
      <c r="H1156" t="str">
        <f t="shared" si="126"/>
        <v>7034700-Unset (紅)</v>
      </c>
      <c r="I1156">
        <v>7034700</v>
      </c>
      <c r="J1156" t="str">
        <f>_xlfn.IFNA(IF(I1156&lt;&gt;0,VLOOKUP(VLOOKUP(I1156,Tbl_Equip[],2,FALSE),Tbl_Color[],IFERROR(MATCH(UI!$B$1,Tbl_Color[#Headers],0),2),FALSE),""),"Unset")</f>
        <v>紅</v>
      </c>
      <c r="K1156" t="str">
        <f>_xlfn.IFNA(IF(I1156&lt;&gt;0,VLOOKUP(I1156,ItemText[],IFERROR(MATCH(UI!$B$1,ItemText[#Headers],0),2),FALSE),""),"Unset")</f>
        <v>Unset</v>
      </c>
      <c r="L1156" t="str">
        <f t="shared" si="127"/>
        <v/>
      </c>
      <c r="M1156">
        <v>0</v>
      </c>
      <c r="N1156" t="str">
        <f>IF(VALUE(M1156)=0,"",VLOOKUP(VLOOKUP(M1156,Tbl_Effect[],3,FALSE),EffectName[],IFERROR(MATCH(UI!$B$1,EffectName[#Headers],0),2),FALSE))</f>
        <v/>
      </c>
      <c r="O1156" t="str">
        <f t="shared" si="128"/>
        <v/>
      </c>
      <c r="P1156">
        <v>0</v>
      </c>
      <c r="Q1156" t="str">
        <f>IF(VALUE(P1156)=0,"",VLOOKUP(VLOOKUP(P1156,Tbl_Effect[],3,FALSE),EffectName[],IFERROR(MATCH(UI!$B$1,EffectName[#Headers],0),2),FALSE))</f>
        <v/>
      </c>
      <c r="R1156" t="str">
        <f t="shared" si="129"/>
        <v/>
      </c>
      <c r="S1156">
        <v>0</v>
      </c>
      <c r="T1156" t="str">
        <f>IF(VALUE(S1156)=0,"",VLOOKUP(VLOOKUP(S1156,Tbl_Effect[],3,FALSE),EffectName[],IFERROR(MATCH(UI!$B$1,EffectName[#Headers],0),2),FALSE))</f>
        <v/>
      </c>
      <c r="U1156" t="str">
        <f t="shared" si="130"/>
        <v/>
      </c>
      <c r="V1156">
        <v>0</v>
      </c>
      <c r="W1156" t="str">
        <f>IF(V1156&lt;&gt;0,VLOOKUP(VLOOKUP(V1156,Tbl_Effect[],3,FALSE),EffectName[],IFERROR(MATCH(UI!$B$1,EffectName[#Headers],0),2),FALSE),"")</f>
        <v/>
      </c>
      <c r="X1156" t="str">
        <f t="shared" si="131"/>
        <v/>
      </c>
      <c r="Y1156">
        <v>0</v>
      </c>
      <c r="Z1156" t="str">
        <f>IF(Y1156&lt;&gt;0,VLOOKUP(VLOOKUP(Y1156,Tbl_Effect[],3,FALSE),EffectName[],IFERROR(MATCH(UI!$B$1,EffectName[#Headers],0),2),FALSE),"")</f>
        <v/>
      </c>
      <c r="AA1156" t="str">
        <f t="shared" si="132"/>
        <v/>
      </c>
      <c r="AB1156">
        <v>0</v>
      </c>
      <c r="AC1156" t="str">
        <f>IF(AB1156&lt;&gt;0,VLOOKUP(VLOOKUP(AB1156,Tbl_Effect[],3,FALSE),EffectName[],IFERROR(MATCH(UI!$B$1,EffectName[#Headers],0),2),FALSE),"")</f>
        <v/>
      </c>
    </row>
    <row r="1157" spans="8:29" x14ac:dyDescent="0.4">
      <c r="H1157" t="str">
        <f t="shared" si="126"/>
        <v>7035100-Unset (紅)</v>
      </c>
      <c r="I1157">
        <v>7035100</v>
      </c>
      <c r="J1157" t="str">
        <f>_xlfn.IFNA(IF(I1157&lt;&gt;0,VLOOKUP(VLOOKUP(I1157,Tbl_Equip[],2,FALSE),Tbl_Color[],IFERROR(MATCH(UI!$B$1,Tbl_Color[#Headers],0),2),FALSE),""),"Unset")</f>
        <v>紅</v>
      </c>
      <c r="K1157" t="str">
        <f>_xlfn.IFNA(IF(I1157&lt;&gt;0,VLOOKUP(I1157,ItemText[],IFERROR(MATCH(UI!$B$1,ItemText[#Headers],0),2),FALSE),""),"Unset")</f>
        <v>Unset</v>
      </c>
      <c r="L1157" t="str">
        <f t="shared" si="127"/>
        <v/>
      </c>
      <c r="M1157">
        <v>0</v>
      </c>
      <c r="N1157" t="str">
        <f>IF(VALUE(M1157)=0,"",VLOOKUP(VLOOKUP(M1157,Tbl_Effect[],3,FALSE),EffectName[],IFERROR(MATCH(UI!$B$1,EffectName[#Headers],0),2),FALSE))</f>
        <v/>
      </c>
      <c r="O1157" t="str">
        <f t="shared" si="128"/>
        <v/>
      </c>
      <c r="P1157">
        <v>0</v>
      </c>
      <c r="Q1157" t="str">
        <f>IF(VALUE(P1157)=0,"",VLOOKUP(VLOOKUP(P1157,Tbl_Effect[],3,FALSE),EffectName[],IFERROR(MATCH(UI!$B$1,EffectName[#Headers],0),2),FALSE))</f>
        <v/>
      </c>
      <c r="R1157" t="str">
        <f t="shared" si="129"/>
        <v/>
      </c>
      <c r="S1157">
        <v>0</v>
      </c>
      <c r="T1157" t="str">
        <f>IF(VALUE(S1157)=0,"",VLOOKUP(VLOOKUP(S1157,Tbl_Effect[],3,FALSE),EffectName[],IFERROR(MATCH(UI!$B$1,EffectName[#Headers],0),2),FALSE))</f>
        <v/>
      </c>
      <c r="U1157" t="str">
        <f t="shared" si="130"/>
        <v/>
      </c>
      <c r="V1157">
        <v>0</v>
      </c>
      <c r="W1157" t="str">
        <f>IF(V1157&lt;&gt;0,VLOOKUP(VLOOKUP(V1157,Tbl_Effect[],3,FALSE),EffectName[],IFERROR(MATCH(UI!$B$1,EffectName[#Headers],0),2),FALSE),"")</f>
        <v/>
      </c>
      <c r="X1157" t="str">
        <f t="shared" si="131"/>
        <v/>
      </c>
      <c r="Y1157">
        <v>0</v>
      </c>
      <c r="Z1157" t="str">
        <f>IF(Y1157&lt;&gt;0,VLOOKUP(VLOOKUP(Y1157,Tbl_Effect[],3,FALSE),EffectName[],IFERROR(MATCH(UI!$B$1,EffectName[#Headers],0),2),FALSE),"")</f>
        <v/>
      </c>
      <c r="AA1157" t="str">
        <f t="shared" si="132"/>
        <v/>
      </c>
      <c r="AB1157">
        <v>0</v>
      </c>
      <c r="AC1157" t="str">
        <f>IF(AB1157&lt;&gt;0,VLOOKUP(VLOOKUP(AB1157,Tbl_Effect[],3,FALSE),EffectName[],IFERROR(MATCH(UI!$B$1,EffectName[#Headers],0),2),FALSE),"")</f>
        <v/>
      </c>
    </row>
    <row r="1158" spans="8:29" x14ac:dyDescent="0.4">
      <c r="H1158" t="str">
        <f t="shared" si="126"/>
        <v>7035400-Unset (紅)</v>
      </c>
      <c r="I1158">
        <v>7035400</v>
      </c>
      <c r="J1158" t="str">
        <f>_xlfn.IFNA(IF(I1158&lt;&gt;0,VLOOKUP(VLOOKUP(I1158,Tbl_Equip[],2,FALSE),Tbl_Color[],IFERROR(MATCH(UI!$B$1,Tbl_Color[#Headers],0),2),FALSE),""),"Unset")</f>
        <v>紅</v>
      </c>
      <c r="K1158" t="str">
        <f>_xlfn.IFNA(IF(I1158&lt;&gt;0,VLOOKUP(I1158,ItemText[],IFERROR(MATCH(UI!$B$1,ItemText[#Headers],0),2),FALSE),""),"Unset")</f>
        <v>Unset</v>
      </c>
      <c r="L1158" t="str">
        <f t="shared" si="127"/>
        <v/>
      </c>
      <c r="M1158">
        <v>0</v>
      </c>
      <c r="N1158" t="str">
        <f>IF(VALUE(M1158)=0,"",VLOOKUP(VLOOKUP(M1158,Tbl_Effect[],3,FALSE),EffectName[],IFERROR(MATCH(UI!$B$1,EffectName[#Headers],0),2),FALSE))</f>
        <v/>
      </c>
      <c r="O1158" t="str">
        <f t="shared" si="128"/>
        <v/>
      </c>
      <c r="P1158">
        <v>0</v>
      </c>
      <c r="Q1158" t="str">
        <f>IF(VALUE(P1158)=0,"",VLOOKUP(VLOOKUP(P1158,Tbl_Effect[],3,FALSE),EffectName[],IFERROR(MATCH(UI!$B$1,EffectName[#Headers],0),2),FALSE))</f>
        <v/>
      </c>
      <c r="R1158" t="str">
        <f t="shared" si="129"/>
        <v/>
      </c>
      <c r="S1158">
        <v>0</v>
      </c>
      <c r="T1158" t="str">
        <f>IF(VALUE(S1158)=0,"",VLOOKUP(VLOOKUP(S1158,Tbl_Effect[],3,FALSE),EffectName[],IFERROR(MATCH(UI!$B$1,EffectName[#Headers],0),2),FALSE))</f>
        <v/>
      </c>
      <c r="U1158" t="str">
        <f t="shared" si="130"/>
        <v/>
      </c>
      <c r="V1158">
        <v>0</v>
      </c>
      <c r="W1158" t="str">
        <f>IF(V1158&lt;&gt;0,VLOOKUP(VLOOKUP(V1158,Tbl_Effect[],3,FALSE),EffectName[],IFERROR(MATCH(UI!$B$1,EffectName[#Headers],0),2),FALSE),"")</f>
        <v/>
      </c>
      <c r="X1158" t="str">
        <f t="shared" si="131"/>
        <v/>
      </c>
      <c r="Y1158">
        <v>0</v>
      </c>
      <c r="Z1158" t="str">
        <f>IF(Y1158&lt;&gt;0,VLOOKUP(VLOOKUP(Y1158,Tbl_Effect[],3,FALSE),EffectName[],IFERROR(MATCH(UI!$B$1,EffectName[#Headers],0),2),FALSE),"")</f>
        <v/>
      </c>
      <c r="AA1158" t="str">
        <f t="shared" si="132"/>
        <v/>
      </c>
      <c r="AB1158">
        <v>0</v>
      </c>
      <c r="AC1158" t="str">
        <f>IF(AB1158&lt;&gt;0,VLOOKUP(VLOOKUP(AB1158,Tbl_Effect[],3,FALSE),EffectName[],IFERROR(MATCH(UI!$B$1,EffectName[#Headers],0),2),FALSE),"")</f>
        <v/>
      </c>
    </row>
    <row r="1159" spans="8:29" x14ac:dyDescent="0.4">
      <c r="H1159" t="str">
        <f t="shared" si="126"/>
        <v>7035410-Unset (紅)</v>
      </c>
      <c r="I1159">
        <v>7035410</v>
      </c>
      <c r="J1159" t="str">
        <f>_xlfn.IFNA(IF(I1159&lt;&gt;0,VLOOKUP(VLOOKUP(I1159,Tbl_Equip[],2,FALSE),Tbl_Color[],IFERROR(MATCH(UI!$B$1,Tbl_Color[#Headers],0),2),FALSE),""),"Unset")</f>
        <v>紅</v>
      </c>
      <c r="K1159" t="str">
        <f>_xlfn.IFNA(IF(I1159&lt;&gt;0,VLOOKUP(I1159,ItemText[],IFERROR(MATCH(UI!$B$1,ItemText[#Headers],0),2),FALSE),""),"Unset")</f>
        <v>Unset</v>
      </c>
      <c r="L1159" t="str">
        <f t="shared" si="127"/>
        <v/>
      </c>
      <c r="M1159">
        <v>0</v>
      </c>
      <c r="N1159" t="str">
        <f>IF(VALUE(M1159)=0,"",VLOOKUP(VLOOKUP(M1159,Tbl_Effect[],3,FALSE),EffectName[],IFERROR(MATCH(UI!$B$1,EffectName[#Headers],0),2),FALSE))</f>
        <v/>
      </c>
      <c r="O1159" t="str">
        <f t="shared" si="128"/>
        <v/>
      </c>
      <c r="P1159">
        <v>0</v>
      </c>
      <c r="Q1159" t="str">
        <f>IF(VALUE(P1159)=0,"",VLOOKUP(VLOOKUP(P1159,Tbl_Effect[],3,FALSE),EffectName[],IFERROR(MATCH(UI!$B$1,EffectName[#Headers],0),2),FALSE))</f>
        <v/>
      </c>
      <c r="R1159" t="str">
        <f t="shared" si="129"/>
        <v/>
      </c>
      <c r="S1159">
        <v>0</v>
      </c>
      <c r="T1159" t="str">
        <f>IF(VALUE(S1159)=0,"",VLOOKUP(VLOOKUP(S1159,Tbl_Effect[],3,FALSE),EffectName[],IFERROR(MATCH(UI!$B$1,EffectName[#Headers],0),2),FALSE))</f>
        <v/>
      </c>
      <c r="U1159" t="str">
        <f t="shared" si="130"/>
        <v/>
      </c>
      <c r="V1159">
        <v>0</v>
      </c>
      <c r="W1159" t="str">
        <f>IF(V1159&lt;&gt;0,VLOOKUP(VLOOKUP(V1159,Tbl_Effect[],3,FALSE),EffectName[],IFERROR(MATCH(UI!$B$1,EffectName[#Headers],0),2),FALSE),"")</f>
        <v/>
      </c>
      <c r="X1159" t="str">
        <f t="shared" si="131"/>
        <v/>
      </c>
      <c r="Y1159">
        <v>0</v>
      </c>
      <c r="Z1159" t="str">
        <f>IF(Y1159&lt;&gt;0,VLOOKUP(VLOOKUP(Y1159,Tbl_Effect[],3,FALSE),EffectName[],IFERROR(MATCH(UI!$B$1,EffectName[#Headers],0),2),FALSE),"")</f>
        <v/>
      </c>
      <c r="AA1159" t="str">
        <f t="shared" si="132"/>
        <v/>
      </c>
      <c r="AB1159">
        <v>0</v>
      </c>
      <c r="AC1159" t="str">
        <f>IF(AB1159&lt;&gt;0,VLOOKUP(VLOOKUP(AB1159,Tbl_Effect[],3,FALSE),EffectName[],IFERROR(MATCH(UI!$B$1,EffectName[#Headers],0),2),FALSE),"")</f>
        <v/>
      </c>
    </row>
    <row r="1160" spans="8:29" x14ac:dyDescent="0.4">
      <c r="H1160" t="str">
        <f t="shared" si="126"/>
        <v>7035500-Unset (紅)</v>
      </c>
      <c r="I1160">
        <v>7035500</v>
      </c>
      <c r="J1160" t="str">
        <f>_xlfn.IFNA(IF(I1160&lt;&gt;0,VLOOKUP(VLOOKUP(I1160,Tbl_Equip[],2,FALSE),Tbl_Color[],IFERROR(MATCH(UI!$B$1,Tbl_Color[#Headers],0),2),FALSE),""),"Unset")</f>
        <v>紅</v>
      </c>
      <c r="K1160" t="str">
        <f>_xlfn.IFNA(IF(I1160&lt;&gt;0,VLOOKUP(I1160,ItemText[],IFERROR(MATCH(UI!$B$1,ItemText[#Headers],0),2),FALSE),""),"Unset")</f>
        <v>Unset</v>
      </c>
      <c r="L1160" t="str">
        <f t="shared" si="127"/>
        <v/>
      </c>
      <c r="M1160">
        <v>0</v>
      </c>
      <c r="N1160" t="str">
        <f>IF(VALUE(M1160)=0,"",VLOOKUP(VLOOKUP(M1160,Tbl_Effect[],3,FALSE),EffectName[],IFERROR(MATCH(UI!$B$1,EffectName[#Headers],0),2),FALSE))</f>
        <v/>
      </c>
      <c r="O1160" t="str">
        <f t="shared" si="128"/>
        <v/>
      </c>
      <c r="P1160">
        <v>0</v>
      </c>
      <c r="Q1160" t="str">
        <f>IF(VALUE(P1160)=0,"",VLOOKUP(VLOOKUP(P1160,Tbl_Effect[],3,FALSE),EffectName[],IFERROR(MATCH(UI!$B$1,EffectName[#Headers],0),2),FALSE))</f>
        <v/>
      </c>
      <c r="R1160" t="str">
        <f t="shared" si="129"/>
        <v/>
      </c>
      <c r="S1160">
        <v>0</v>
      </c>
      <c r="T1160" t="str">
        <f>IF(VALUE(S1160)=0,"",VLOOKUP(VLOOKUP(S1160,Tbl_Effect[],3,FALSE),EffectName[],IFERROR(MATCH(UI!$B$1,EffectName[#Headers],0),2),FALSE))</f>
        <v/>
      </c>
      <c r="U1160" t="str">
        <f t="shared" si="130"/>
        <v/>
      </c>
      <c r="V1160">
        <v>0</v>
      </c>
      <c r="W1160" t="str">
        <f>IF(V1160&lt;&gt;0,VLOOKUP(VLOOKUP(V1160,Tbl_Effect[],3,FALSE),EffectName[],IFERROR(MATCH(UI!$B$1,EffectName[#Headers],0),2),FALSE),"")</f>
        <v/>
      </c>
      <c r="X1160" t="str">
        <f t="shared" si="131"/>
        <v/>
      </c>
      <c r="Y1160">
        <v>0</v>
      </c>
      <c r="Z1160" t="str">
        <f>IF(Y1160&lt;&gt;0,VLOOKUP(VLOOKUP(Y1160,Tbl_Effect[],3,FALSE),EffectName[],IFERROR(MATCH(UI!$B$1,EffectName[#Headers],0),2),FALSE),"")</f>
        <v/>
      </c>
      <c r="AA1160" t="str">
        <f t="shared" si="132"/>
        <v/>
      </c>
      <c r="AB1160">
        <v>0</v>
      </c>
      <c r="AC1160" t="str">
        <f>IF(AB1160&lt;&gt;0,VLOOKUP(VLOOKUP(AB1160,Tbl_Effect[],3,FALSE),EffectName[],IFERROR(MATCH(UI!$B$1,EffectName[#Headers],0),2),FALSE),"")</f>
        <v/>
      </c>
    </row>
    <row r="1161" spans="8:29" x14ac:dyDescent="0.4">
      <c r="H1161" t="str">
        <f t="shared" si="126"/>
        <v>7035510-Unset (紅)</v>
      </c>
      <c r="I1161">
        <v>7035510</v>
      </c>
      <c r="J1161" t="str">
        <f>_xlfn.IFNA(IF(I1161&lt;&gt;0,VLOOKUP(VLOOKUP(I1161,Tbl_Equip[],2,FALSE),Tbl_Color[],IFERROR(MATCH(UI!$B$1,Tbl_Color[#Headers],0),2),FALSE),""),"Unset")</f>
        <v>紅</v>
      </c>
      <c r="K1161" t="str">
        <f>_xlfn.IFNA(IF(I1161&lt;&gt;0,VLOOKUP(I1161,ItemText[],IFERROR(MATCH(UI!$B$1,ItemText[#Headers],0),2),FALSE),""),"Unset")</f>
        <v>Unset</v>
      </c>
      <c r="L1161" t="str">
        <f t="shared" si="127"/>
        <v/>
      </c>
      <c r="M1161">
        <v>0</v>
      </c>
      <c r="N1161" t="str">
        <f>IF(VALUE(M1161)=0,"",VLOOKUP(VLOOKUP(M1161,Tbl_Effect[],3,FALSE),EffectName[],IFERROR(MATCH(UI!$B$1,EffectName[#Headers],0),2),FALSE))</f>
        <v/>
      </c>
      <c r="O1161" t="str">
        <f t="shared" si="128"/>
        <v/>
      </c>
      <c r="P1161">
        <v>0</v>
      </c>
      <c r="Q1161" t="str">
        <f>IF(VALUE(P1161)=0,"",VLOOKUP(VLOOKUP(P1161,Tbl_Effect[],3,FALSE),EffectName[],IFERROR(MATCH(UI!$B$1,EffectName[#Headers],0),2),FALSE))</f>
        <v/>
      </c>
      <c r="R1161" t="str">
        <f t="shared" si="129"/>
        <v/>
      </c>
      <c r="S1161">
        <v>0</v>
      </c>
      <c r="T1161" t="str">
        <f>IF(VALUE(S1161)=0,"",VLOOKUP(VLOOKUP(S1161,Tbl_Effect[],3,FALSE),EffectName[],IFERROR(MATCH(UI!$B$1,EffectName[#Headers],0),2),FALSE))</f>
        <v/>
      </c>
      <c r="U1161" t="str">
        <f t="shared" si="130"/>
        <v/>
      </c>
      <c r="V1161">
        <v>0</v>
      </c>
      <c r="W1161" t="str">
        <f>IF(V1161&lt;&gt;0,VLOOKUP(VLOOKUP(V1161,Tbl_Effect[],3,FALSE),EffectName[],IFERROR(MATCH(UI!$B$1,EffectName[#Headers],0),2),FALSE),"")</f>
        <v/>
      </c>
      <c r="X1161" t="str">
        <f t="shared" si="131"/>
        <v/>
      </c>
      <c r="Y1161">
        <v>0</v>
      </c>
      <c r="Z1161" t="str">
        <f>IF(Y1161&lt;&gt;0,VLOOKUP(VLOOKUP(Y1161,Tbl_Effect[],3,FALSE),EffectName[],IFERROR(MATCH(UI!$B$1,EffectName[#Headers],0),2),FALSE),"")</f>
        <v/>
      </c>
      <c r="AA1161" t="str">
        <f t="shared" si="132"/>
        <v/>
      </c>
      <c r="AB1161">
        <v>0</v>
      </c>
      <c r="AC1161" t="str">
        <f>IF(AB1161&lt;&gt;0,VLOOKUP(VLOOKUP(AB1161,Tbl_Effect[],3,FALSE),EffectName[],IFERROR(MATCH(UI!$B$1,EffectName[#Headers],0),2),FALSE),"")</f>
        <v/>
      </c>
    </row>
    <row r="1162" spans="8:29" x14ac:dyDescent="0.4">
      <c r="H1162" t="str">
        <f t="shared" si="126"/>
        <v>7035700-Unset (紅)</v>
      </c>
      <c r="I1162">
        <v>7035700</v>
      </c>
      <c r="J1162" t="str">
        <f>_xlfn.IFNA(IF(I1162&lt;&gt;0,VLOOKUP(VLOOKUP(I1162,Tbl_Equip[],2,FALSE),Tbl_Color[],IFERROR(MATCH(UI!$B$1,Tbl_Color[#Headers],0),2),FALSE),""),"Unset")</f>
        <v>紅</v>
      </c>
      <c r="K1162" t="str">
        <f>_xlfn.IFNA(IF(I1162&lt;&gt;0,VLOOKUP(I1162,ItemText[],IFERROR(MATCH(UI!$B$1,ItemText[#Headers],0),2),FALSE),""),"Unset")</f>
        <v>Unset</v>
      </c>
      <c r="L1162" t="str">
        <f t="shared" si="127"/>
        <v/>
      </c>
      <c r="M1162">
        <v>0</v>
      </c>
      <c r="N1162" t="str">
        <f>IF(VALUE(M1162)=0,"",VLOOKUP(VLOOKUP(M1162,Tbl_Effect[],3,FALSE),EffectName[],IFERROR(MATCH(UI!$B$1,EffectName[#Headers],0),2),FALSE))</f>
        <v/>
      </c>
      <c r="O1162" t="str">
        <f t="shared" si="128"/>
        <v/>
      </c>
      <c r="P1162">
        <v>0</v>
      </c>
      <c r="Q1162" t="str">
        <f>IF(VALUE(P1162)=0,"",VLOOKUP(VLOOKUP(P1162,Tbl_Effect[],3,FALSE),EffectName[],IFERROR(MATCH(UI!$B$1,EffectName[#Headers],0),2),FALSE))</f>
        <v/>
      </c>
      <c r="R1162" t="str">
        <f t="shared" si="129"/>
        <v/>
      </c>
      <c r="S1162">
        <v>0</v>
      </c>
      <c r="T1162" t="str">
        <f>IF(VALUE(S1162)=0,"",VLOOKUP(VLOOKUP(S1162,Tbl_Effect[],3,FALSE),EffectName[],IFERROR(MATCH(UI!$B$1,EffectName[#Headers],0),2),FALSE))</f>
        <v/>
      </c>
      <c r="U1162" t="str">
        <f t="shared" si="130"/>
        <v/>
      </c>
      <c r="V1162">
        <v>0</v>
      </c>
      <c r="W1162" t="str">
        <f>IF(V1162&lt;&gt;0,VLOOKUP(VLOOKUP(V1162,Tbl_Effect[],3,FALSE),EffectName[],IFERROR(MATCH(UI!$B$1,EffectName[#Headers],0),2),FALSE),"")</f>
        <v/>
      </c>
      <c r="X1162" t="str">
        <f t="shared" si="131"/>
        <v/>
      </c>
      <c r="Y1162">
        <v>0</v>
      </c>
      <c r="Z1162" t="str">
        <f>IF(Y1162&lt;&gt;0,VLOOKUP(VLOOKUP(Y1162,Tbl_Effect[],3,FALSE),EffectName[],IFERROR(MATCH(UI!$B$1,EffectName[#Headers],0),2),FALSE),"")</f>
        <v/>
      </c>
      <c r="AA1162" t="str">
        <f t="shared" si="132"/>
        <v/>
      </c>
      <c r="AB1162">
        <v>0</v>
      </c>
      <c r="AC1162" t="str">
        <f>IF(AB1162&lt;&gt;0,VLOOKUP(VLOOKUP(AB1162,Tbl_Effect[],3,FALSE),EffectName[],IFERROR(MATCH(UI!$B$1,EffectName[#Headers],0),2),FALSE),"")</f>
        <v/>
      </c>
    </row>
    <row r="1163" spans="8:29" x14ac:dyDescent="0.4">
      <c r="H1163" t="str">
        <f t="shared" si="126"/>
        <v>7035800-Unset (紅)</v>
      </c>
      <c r="I1163">
        <v>7035800</v>
      </c>
      <c r="J1163" t="str">
        <f>_xlfn.IFNA(IF(I1163&lt;&gt;0,VLOOKUP(VLOOKUP(I1163,Tbl_Equip[],2,FALSE),Tbl_Color[],IFERROR(MATCH(UI!$B$1,Tbl_Color[#Headers],0),2),FALSE),""),"Unset")</f>
        <v>紅</v>
      </c>
      <c r="K1163" t="str">
        <f>_xlfn.IFNA(IF(I1163&lt;&gt;0,VLOOKUP(I1163,ItemText[],IFERROR(MATCH(UI!$B$1,ItemText[#Headers],0),2),FALSE),""),"Unset")</f>
        <v>Unset</v>
      </c>
      <c r="L1163" t="str">
        <f t="shared" si="127"/>
        <v/>
      </c>
      <c r="M1163">
        <v>0</v>
      </c>
      <c r="N1163" t="str">
        <f>IF(VALUE(M1163)=0,"",VLOOKUP(VLOOKUP(M1163,Tbl_Effect[],3,FALSE),EffectName[],IFERROR(MATCH(UI!$B$1,EffectName[#Headers],0),2),FALSE))</f>
        <v/>
      </c>
      <c r="O1163" t="str">
        <f t="shared" si="128"/>
        <v/>
      </c>
      <c r="P1163">
        <v>0</v>
      </c>
      <c r="Q1163" t="str">
        <f>IF(VALUE(P1163)=0,"",VLOOKUP(VLOOKUP(P1163,Tbl_Effect[],3,FALSE),EffectName[],IFERROR(MATCH(UI!$B$1,EffectName[#Headers],0),2),FALSE))</f>
        <v/>
      </c>
      <c r="R1163" t="str">
        <f t="shared" si="129"/>
        <v/>
      </c>
      <c r="S1163">
        <v>0</v>
      </c>
      <c r="T1163" t="str">
        <f>IF(VALUE(S1163)=0,"",VLOOKUP(VLOOKUP(S1163,Tbl_Effect[],3,FALSE),EffectName[],IFERROR(MATCH(UI!$B$1,EffectName[#Headers],0),2),FALSE))</f>
        <v/>
      </c>
      <c r="U1163" t="str">
        <f t="shared" si="130"/>
        <v/>
      </c>
      <c r="V1163">
        <v>0</v>
      </c>
      <c r="W1163" t="str">
        <f>IF(V1163&lt;&gt;0,VLOOKUP(VLOOKUP(V1163,Tbl_Effect[],3,FALSE),EffectName[],IFERROR(MATCH(UI!$B$1,EffectName[#Headers],0),2),FALSE),"")</f>
        <v/>
      </c>
      <c r="X1163" t="str">
        <f t="shared" si="131"/>
        <v/>
      </c>
      <c r="Y1163">
        <v>0</v>
      </c>
      <c r="Z1163" t="str">
        <f>IF(Y1163&lt;&gt;0,VLOOKUP(VLOOKUP(Y1163,Tbl_Effect[],3,FALSE),EffectName[],IFERROR(MATCH(UI!$B$1,EffectName[#Headers],0),2),FALSE),"")</f>
        <v/>
      </c>
      <c r="AA1163" t="str">
        <f t="shared" si="132"/>
        <v/>
      </c>
      <c r="AB1163">
        <v>0</v>
      </c>
      <c r="AC1163" t="str">
        <f>IF(AB1163&lt;&gt;0,VLOOKUP(VLOOKUP(AB1163,Tbl_Effect[],3,FALSE),EffectName[],IFERROR(MATCH(UI!$B$1,EffectName[#Headers],0),2),FALSE),"")</f>
        <v/>
      </c>
    </row>
    <row r="1164" spans="8:29" x14ac:dyDescent="0.4">
      <c r="H1164" t="str">
        <f t="shared" si="126"/>
        <v>7035900-Unset (紅)</v>
      </c>
      <c r="I1164">
        <v>7035900</v>
      </c>
      <c r="J1164" t="str">
        <f>_xlfn.IFNA(IF(I1164&lt;&gt;0,VLOOKUP(VLOOKUP(I1164,Tbl_Equip[],2,FALSE),Tbl_Color[],IFERROR(MATCH(UI!$B$1,Tbl_Color[#Headers],0),2),FALSE),""),"Unset")</f>
        <v>紅</v>
      </c>
      <c r="K1164" t="str">
        <f>_xlfn.IFNA(IF(I1164&lt;&gt;0,VLOOKUP(I1164,ItemText[],IFERROR(MATCH(UI!$B$1,ItemText[#Headers],0),2),FALSE),""),"Unset")</f>
        <v>Unset</v>
      </c>
      <c r="L1164" t="str">
        <f t="shared" si="127"/>
        <v/>
      </c>
      <c r="M1164">
        <v>0</v>
      </c>
      <c r="N1164" t="str">
        <f>IF(VALUE(M1164)=0,"",VLOOKUP(VLOOKUP(M1164,Tbl_Effect[],3,FALSE),EffectName[],IFERROR(MATCH(UI!$B$1,EffectName[#Headers],0),2),FALSE))</f>
        <v/>
      </c>
      <c r="O1164" t="str">
        <f t="shared" si="128"/>
        <v/>
      </c>
      <c r="P1164">
        <v>0</v>
      </c>
      <c r="Q1164" t="str">
        <f>IF(VALUE(P1164)=0,"",VLOOKUP(VLOOKUP(P1164,Tbl_Effect[],3,FALSE),EffectName[],IFERROR(MATCH(UI!$B$1,EffectName[#Headers],0),2),FALSE))</f>
        <v/>
      </c>
      <c r="R1164" t="str">
        <f t="shared" si="129"/>
        <v/>
      </c>
      <c r="S1164">
        <v>0</v>
      </c>
      <c r="T1164" t="str">
        <f>IF(VALUE(S1164)=0,"",VLOOKUP(VLOOKUP(S1164,Tbl_Effect[],3,FALSE),EffectName[],IFERROR(MATCH(UI!$B$1,EffectName[#Headers],0),2),FALSE))</f>
        <v/>
      </c>
      <c r="U1164" t="str">
        <f t="shared" si="130"/>
        <v/>
      </c>
      <c r="V1164">
        <v>0</v>
      </c>
      <c r="W1164" t="str">
        <f>IF(V1164&lt;&gt;0,VLOOKUP(VLOOKUP(V1164,Tbl_Effect[],3,FALSE),EffectName[],IFERROR(MATCH(UI!$B$1,EffectName[#Headers],0),2),FALSE),"")</f>
        <v/>
      </c>
      <c r="X1164" t="str">
        <f t="shared" si="131"/>
        <v/>
      </c>
      <c r="Y1164">
        <v>0</v>
      </c>
      <c r="Z1164" t="str">
        <f>IF(Y1164&lt;&gt;0,VLOOKUP(VLOOKUP(Y1164,Tbl_Effect[],3,FALSE),EffectName[],IFERROR(MATCH(UI!$B$1,EffectName[#Headers],0),2),FALSE),"")</f>
        <v/>
      </c>
      <c r="AA1164" t="str">
        <f t="shared" si="132"/>
        <v/>
      </c>
      <c r="AB1164">
        <v>0</v>
      </c>
      <c r="AC1164" t="str">
        <f>IF(AB1164&lt;&gt;0,VLOOKUP(VLOOKUP(AB1164,Tbl_Effect[],3,FALSE),EffectName[],IFERROR(MATCH(UI!$B$1,EffectName[#Headers],0),2),FALSE),"")</f>
        <v/>
      </c>
    </row>
    <row r="1165" spans="8:29" x14ac:dyDescent="0.4">
      <c r="H1165" t="str">
        <f t="shared" si="126"/>
        <v>7036000-Unset (紅)</v>
      </c>
      <c r="I1165">
        <v>7036000</v>
      </c>
      <c r="J1165" t="str">
        <f>_xlfn.IFNA(IF(I1165&lt;&gt;0,VLOOKUP(VLOOKUP(I1165,Tbl_Equip[],2,FALSE),Tbl_Color[],IFERROR(MATCH(UI!$B$1,Tbl_Color[#Headers],0),2),FALSE),""),"Unset")</f>
        <v>紅</v>
      </c>
      <c r="K1165" t="str">
        <f>_xlfn.IFNA(IF(I1165&lt;&gt;0,VLOOKUP(I1165,ItemText[],IFERROR(MATCH(UI!$B$1,ItemText[#Headers],0),2),FALSE),""),"Unset")</f>
        <v>Unset</v>
      </c>
      <c r="L1165" t="str">
        <f t="shared" si="127"/>
        <v/>
      </c>
      <c r="M1165">
        <v>0</v>
      </c>
      <c r="N1165" t="str">
        <f>IF(VALUE(M1165)=0,"",VLOOKUP(VLOOKUP(M1165,Tbl_Effect[],3,FALSE),EffectName[],IFERROR(MATCH(UI!$B$1,EffectName[#Headers],0),2),FALSE))</f>
        <v/>
      </c>
      <c r="O1165" t="str">
        <f t="shared" si="128"/>
        <v/>
      </c>
      <c r="P1165">
        <v>0</v>
      </c>
      <c r="Q1165" t="str">
        <f>IF(VALUE(P1165)=0,"",VLOOKUP(VLOOKUP(P1165,Tbl_Effect[],3,FALSE),EffectName[],IFERROR(MATCH(UI!$B$1,EffectName[#Headers],0),2),FALSE))</f>
        <v/>
      </c>
      <c r="R1165" t="str">
        <f t="shared" si="129"/>
        <v/>
      </c>
      <c r="S1165">
        <v>0</v>
      </c>
      <c r="T1165" t="str">
        <f>IF(VALUE(S1165)=0,"",VLOOKUP(VLOOKUP(S1165,Tbl_Effect[],3,FALSE),EffectName[],IFERROR(MATCH(UI!$B$1,EffectName[#Headers],0),2),FALSE))</f>
        <v/>
      </c>
      <c r="U1165" t="str">
        <f t="shared" si="130"/>
        <v/>
      </c>
      <c r="V1165">
        <v>0</v>
      </c>
      <c r="W1165" t="str">
        <f>IF(V1165&lt;&gt;0,VLOOKUP(VLOOKUP(V1165,Tbl_Effect[],3,FALSE),EffectName[],IFERROR(MATCH(UI!$B$1,EffectName[#Headers],0),2),FALSE),"")</f>
        <v/>
      </c>
      <c r="X1165" t="str">
        <f t="shared" si="131"/>
        <v/>
      </c>
      <c r="Y1165">
        <v>0</v>
      </c>
      <c r="Z1165" t="str">
        <f>IF(Y1165&lt;&gt;0,VLOOKUP(VLOOKUP(Y1165,Tbl_Effect[],3,FALSE),EffectName[],IFERROR(MATCH(UI!$B$1,EffectName[#Headers],0),2),FALSE),"")</f>
        <v/>
      </c>
      <c r="AA1165" t="str">
        <f t="shared" si="132"/>
        <v/>
      </c>
      <c r="AB1165">
        <v>0</v>
      </c>
      <c r="AC1165" t="str">
        <f>IF(AB1165&lt;&gt;0,VLOOKUP(VLOOKUP(AB1165,Tbl_Effect[],3,FALSE),EffectName[],IFERROR(MATCH(UI!$B$1,EffectName[#Headers],0),2),FALSE),"")</f>
        <v/>
      </c>
    </row>
    <row r="1166" spans="8:29" x14ac:dyDescent="0.4">
      <c r="H1166" t="str">
        <f t="shared" si="126"/>
        <v>7036100-Unset (紅)</v>
      </c>
      <c r="I1166">
        <v>7036100</v>
      </c>
      <c r="J1166" t="str">
        <f>_xlfn.IFNA(IF(I1166&lt;&gt;0,VLOOKUP(VLOOKUP(I1166,Tbl_Equip[],2,FALSE),Tbl_Color[],IFERROR(MATCH(UI!$B$1,Tbl_Color[#Headers],0),2),FALSE),""),"Unset")</f>
        <v>紅</v>
      </c>
      <c r="K1166" t="str">
        <f>_xlfn.IFNA(IF(I1166&lt;&gt;0,VLOOKUP(I1166,ItemText[],IFERROR(MATCH(UI!$B$1,ItemText[#Headers],0),2),FALSE),""),"Unset")</f>
        <v>Unset</v>
      </c>
      <c r="L1166" t="str">
        <f t="shared" si="127"/>
        <v/>
      </c>
      <c r="M1166">
        <v>0</v>
      </c>
      <c r="N1166" t="str">
        <f>IF(VALUE(M1166)=0,"",VLOOKUP(VLOOKUP(M1166,Tbl_Effect[],3,FALSE),EffectName[],IFERROR(MATCH(UI!$B$1,EffectName[#Headers],0),2),FALSE))</f>
        <v/>
      </c>
      <c r="O1166" t="str">
        <f t="shared" si="128"/>
        <v/>
      </c>
      <c r="P1166">
        <v>0</v>
      </c>
      <c r="Q1166" t="str">
        <f>IF(VALUE(P1166)=0,"",VLOOKUP(VLOOKUP(P1166,Tbl_Effect[],3,FALSE),EffectName[],IFERROR(MATCH(UI!$B$1,EffectName[#Headers],0),2),FALSE))</f>
        <v/>
      </c>
      <c r="R1166" t="str">
        <f t="shared" si="129"/>
        <v/>
      </c>
      <c r="S1166">
        <v>0</v>
      </c>
      <c r="T1166" t="str">
        <f>IF(VALUE(S1166)=0,"",VLOOKUP(VLOOKUP(S1166,Tbl_Effect[],3,FALSE),EffectName[],IFERROR(MATCH(UI!$B$1,EffectName[#Headers],0),2),FALSE))</f>
        <v/>
      </c>
      <c r="U1166" t="str">
        <f t="shared" si="130"/>
        <v/>
      </c>
      <c r="V1166">
        <v>0</v>
      </c>
      <c r="W1166" t="str">
        <f>IF(V1166&lt;&gt;0,VLOOKUP(VLOOKUP(V1166,Tbl_Effect[],3,FALSE),EffectName[],IFERROR(MATCH(UI!$B$1,EffectName[#Headers],0),2),FALSE),"")</f>
        <v/>
      </c>
      <c r="X1166" t="str">
        <f t="shared" si="131"/>
        <v/>
      </c>
      <c r="Y1166">
        <v>0</v>
      </c>
      <c r="Z1166" t="str">
        <f>IF(Y1166&lt;&gt;0,VLOOKUP(VLOOKUP(Y1166,Tbl_Effect[],3,FALSE),EffectName[],IFERROR(MATCH(UI!$B$1,EffectName[#Headers],0),2),FALSE),"")</f>
        <v/>
      </c>
      <c r="AA1166" t="str">
        <f t="shared" si="132"/>
        <v/>
      </c>
      <c r="AB1166">
        <v>0</v>
      </c>
      <c r="AC1166" t="str">
        <f>IF(AB1166&lt;&gt;0,VLOOKUP(VLOOKUP(AB1166,Tbl_Effect[],3,FALSE),EffectName[],IFERROR(MATCH(UI!$B$1,EffectName[#Headers],0),2),FALSE),"")</f>
        <v/>
      </c>
    </row>
    <row r="1167" spans="8:29" x14ac:dyDescent="0.4">
      <c r="H1167" t="str">
        <f t="shared" si="126"/>
        <v>7036200-Unset (紅)</v>
      </c>
      <c r="I1167">
        <v>7036200</v>
      </c>
      <c r="J1167" t="str">
        <f>_xlfn.IFNA(IF(I1167&lt;&gt;0,VLOOKUP(VLOOKUP(I1167,Tbl_Equip[],2,FALSE),Tbl_Color[],IFERROR(MATCH(UI!$B$1,Tbl_Color[#Headers],0),2),FALSE),""),"Unset")</f>
        <v>紅</v>
      </c>
      <c r="K1167" t="str">
        <f>_xlfn.IFNA(IF(I1167&lt;&gt;0,VLOOKUP(I1167,ItemText[],IFERROR(MATCH(UI!$B$1,ItemText[#Headers],0),2),FALSE),""),"Unset")</f>
        <v>Unset</v>
      </c>
      <c r="L1167" t="str">
        <f t="shared" si="127"/>
        <v/>
      </c>
      <c r="M1167">
        <v>0</v>
      </c>
      <c r="N1167" t="str">
        <f>IF(VALUE(M1167)=0,"",VLOOKUP(VLOOKUP(M1167,Tbl_Effect[],3,FALSE),EffectName[],IFERROR(MATCH(UI!$B$1,EffectName[#Headers],0),2),FALSE))</f>
        <v/>
      </c>
      <c r="O1167" t="str">
        <f t="shared" si="128"/>
        <v/>
      </c>
      <c r="P1167">
        <v>0</v>
      </c>
      <c r="Q1167" t="str">
        <f>IF(VALUE(P1167)=0,"",VLOOKUP(VLOOKUP(P1167,Tbl_Effect[],3,FALSE),EffectName[],IFERROR(MATCH(UI!$B$1,EffectName[#Headers],0),2),FALSE))</f>
        <v/>
      </c>
      <c r="R1167" t="str">
        <f t="shared" si="129"/>
        <v/>
      </c>
      <c r="S1167">
        <v>0</v>
      </c>
      <c r="T1167" t="str">
        <f>IF(VALUE(S1167)=0,"",VLOOKUP(VLOOKUP(S1167,Tbl_Effect[],3,FALSE),EffectName[],IFERROR(MATCH(UI!$B$1,EffectName[#Headers],0),2),FALSE))</f>
        <v/>
      </c>
      <c r="U1167" t="str">
        <f t="shared" si="130"/>
        <v/>
      </c>
      <c r="V1167">
        <v>0</v>
      </c>
      <c r="W1167" t="str">
        <f>IF(V1167&lt;&gt;0,VLOOKUP(VLOOKUP(V1167,Tbl_Effect[],3,FALSE),EffectName[],IFERROR(MATCH(UI!$B$1,EffectName[#Headers],0),2),FALSE),"")</f>
        <v/>
      </c>
      <c r="X1167" t="str">
        <f t="shared" si="131"/>
        <v/>
      </c>
      <c r="Y1167">
        <v>0</v>
      </c>
      <c r="Z1167" t="str">
        <f>IF(Y1167&lt;&gt;0,VLOOKUP(VLOOKUP(Y1167,Tbl_Effect[],3,FALSE),EffectName[],IFERROR(MATCH(UI!$B$1,EffectName[#Headers],0),2),FALSE),"")</f>
        <v/>
      </c>
      <c r="AA1167" t="str">
        <f t="shared" si="132"/>
        <v/>
      </c>
      <c r="AB1167">
        <v>0</v>
      </c>
      <c r="AC1167" t="str">
        <f>IF(AB1167&lt;&gt;0,VLOOKUP(VLOOKUP(AB1167,Tbl_Effect[],3,FALSE),EffectName[],IFERROR(MATCH(UI!$B$1,EffectName[#Headers],0),2),FALSE),"")</f>
        <v/>
      </c>
    </row>
    <row r="1168" spans="8:29" x14ac:dyDescent="0.4">
      <c r="H1168" t="str">
        <f t="shared" si="126"/>
        <v>7036300-Unset (紅)</v>
      </c>
      <c r="I1168">
        <v>7036300</v>
      </c>
      <c r="J1168" t="str">
        <f>_xlfn.IFNA(IF(I1168&lt;&gt;0,VLOOKUP(VLOOKUP(I1168,Tbl_Equip[],2,FALSE),Tbl_Color[],IFERROR(MATCH(UI!$B$1,Tbl_Color[#Headers],0),2),FALSE),""),"Unset")</f>
        <v>紅</v>
      </c>
      <c r="K1168" t="str">
        <f>_xlfn.IFNA(IF(I1168&lt;&gt;0,VLOOKUP(I1168,ItemText[],IFERROR(MATCH(UI!$B$1,ItemText[#Headers],0),2),FALSE),""),"Unset")</f>
        <v>Unset</v>
      </c>
      <c r="L1168" t="str">
        <f t="shared" si="127"/>
        <v/>
      </c>
      <c r="M1168">
        <v>0</v>
      </c>
      <c r="N1168" t="str">
        <f>IF(VALUE(M1168)=0,"",VLOOKUP(VLOOKUP(M1168,Tbl_Effect[],3,FALSE),EffectName[],IFERROR(MATCH(UI!$B$1,EffectName[#Headers],0),2),FALSE))</f>
        <v/>
      </c>
      <c r="O1168" t="str">
        <f t="shared" si="128"/>
        <v/>
      </c>
      <c r="P1168">
        <v>0</v>
      </c>
      <c r="Q1168" t="str">
        <f>IF(VALUE(P1168)=0,"",VLOOKUP(VLOOKUP(P1168,Tbl_Effect[],3,FALSE),EffectName[],IFERROR(MATCH(UI!$B$1,EffectName[#Headers],0),2),FALSE))</f>
        <v/>
      </c>
      <c r="R1168" t="str">
        <f t="shared" si="129"/>
        <v/>
      </c>
      <c r="S1168">
        <v>0</v>
      </c>
      <c r="T1168" t="str">
        <f>IF(VALUE(S1168)=0,"",VLOOKUP(VLOOKUP(S1168,Tbl_Effect[],3,FALSE),EffectName[],IFERROR(MATCH(UI!$B$1,EffectName[#Headers],0),2),FALSE))</f>
        <v/>
      </c>
      <c r="U1168" t="str">
        <f t="shared" si="130"/>
        <v/>
      </c>
      <c r="V1168">
        <v>0</v>
      </c>
      <c r="W1168" t="str">
        <f>IF(V1168&lt;&gt;0,VLOOKUP(VLOOKUP(V1168,Tbl_Effect[],3,FALSE),EffectName[],IFERROR(MATCH(UI!$B$1,EffectName[#Headers],0),2),FALSE),"")</f>
        <v/>
      </c>
      <c r="X1168" t="str">
        <f t="shared" si="131"/>
        <v/>
      </c>
      <c r="Y1168">
        <v>0</v>
      </c>
      <c r="Z1168" t="str">
        <f>IF(Y1168&lt;&gt;0,VLOOKUP(VLOOKUP(Y1168,Tbl_Effect[],3,FALSE),EffectName[],IFERROR(MATCH(UI!$B$1,EffectName[#Headers],0),2),FALSE),"")</f>
        <v/>
      </c>
      <c r="AA1168" t="str">
        <f t="shared" si="132"/>
        <v/>
      </c>
      <c r="AB1168">
        <v>0</v>
      </c>
      <c r="AC1168" t="str">
        <f>IF(AB1168&lt;&gt;0,VLOOKUP(VLOOKUP(AB1168,Tbl_Effect[],3,FALSE),EffectName[],IFERROR(MATCH(UI!$B$1,EffectName[#Headers],0),2),FALSE),"")</f>
        <v/>
      </c>
    </row>
    <row r="1169" spans="8:29" x14ac:dyDescent="0.4">
      <c r="H1169" t="str">
        <f t="shared" si="126"/>
        <v>7036400-Unset (紅)</v>
      </c>
      <c r="I1169">
        <v>7036400</v>
      </c>
      <c r="J1169" t="str">
        <f>_xlfn.IFNA(IF(I1169&lt;&gt;0,VLOOKUP(VLOOKUP(I1169,Tbl_Equip[],2,FALSE),Tbl_Color[],IFERROR(MATCH(UI!$B$1,Tbl_Color[#Headers],0),2),FALSE),""),"Unset")</f>
        <v>紅</v>
      </c>
      <c r="K1169" t="str">
        <f>_xlfn.IFNA(IF(I1169&lt;&gt;0,VLOOKUP(I1169,ItemText[],IFERROR(MATCH(UI!$B$1,ItemText[#Headers],0),2),FALSE),""),"Unset")</f>
        <v>Unset</v>
      </c>
      <c r="L1169" t="str">
        <f t="shared" si="127"/>
        <v/>
      </c>
      <c r="M1169">
        <v>0</v>
      </c>
      <c r="N1169" t="str">
        <f>IF(VALUE(M1169)=0,"",VLOOKUP(VLOOKUP(M1169,Tbl_Effect[],3,FALSE),EffectName[],IFERROR(MATCH(UI!$B$1,EffectName[#Headers],0),2),FALSE))</f>
        <v/>
      </c>
      <c r="O1169" t="str">
        <f t="shared" si="128"/>
        <v/>
      </c>
      <c r="P1169">
        <v>0</v>
      </c>
      <c r="Q1169" t="str">
        <f>IF(VALUE(P1169)=0,"",VLOOKUP(VLOOKUP(P1169,Tbl_Effect[],3,FALSE),EffectName[],IFERROR(MATCH(UI!$B$1,EffectName[#Headers],0),2),FALSE))</f>
        <v/>
      </c>
      <c r="R1169" t="str">
        <f t="shared" si="129"/>
        <v/>
      </c>
      <c r="S1169">
        <v>0</v>
      </c>
      <c r="T1169" t="str">
        <f>IF(VALUE(S1169)=0,"",VLOOKUP(VLOOKUP(S1169,Tbl_Effect[],3,FALSE),EffectName[],IFERROR(MATCH(UI!$B$1,EffectName[#Headers],0),2),FALSE))</f>
        <v/>
      </c>
      <c r="U1169" t="str">
        <f t="shared" si="130"/>
        <v/>
      </c>
      <c r="V1169">
        <v>0</v>
      </c>
      <c r="W1169" t="str">
        <f>IF(V1169&lt;&gt;0,VLOOKUP(VLOOKUP(V1169,Tbl_Effect[],3,FALSE),EffectName[],IFERROR(MATCH(UI!$B$1,EffectName[#Headers],0),2),FALSE),"")</f>
        <v/>
      </c>
      <c r="X1169" t="str">
        <f t="shared" si="131"/>
        <v/>
      </c>
      <c r="Y1169">
        <v>0</v>
      </c>
      <c r="Z1169" t="str">
        <f>IF(Y1169&lt;&gt;0,VLOOKUP(VLOOKUP(Y1169,Tbl_Effect[],3,FALSE),EffectName[],IFERROR(MATCH(UI!$B$1,EffectName[#Headers],0),2),FALSE),"")</f>
        <v/>
      </c>
      <c r="AA1169" t="str">
        <f t="shared" si="132"/>
        <v/>
      </c>
      <c r="AB1169">
        <v>0</v>
      </c>
      <c r="AC1169" t="str">
        <f>IF(AB1169&lt;&gt;0,VLOOKUP(VLOOKUP(AB1169,Tbl_Effect[],3,FALSE),EffectName[],IFERROR(MATCH(UI!$B$1,EffectName[#Headers],0),2),FALSE),"")</f>
        <v/>
      </c>
    </row>
    <row r="1170" spans="8:29" x14ac:dyDescent="0.4">
      <c r="H1170" t="str">
        <f t="shared" si="126"/>
        <v>7036500-Unset (紅)</v>
      </c>
      <c r="I1170">
        <v>7036500</v>
      </c>
      <c r="J1170" t="str">
        <f>_xlfn.IFNA(IF(I1170&lt;&gt;0,VLOOKUP(VLOOKUP(I1170,Tbl_Equip[],2,FALSE),Tbl_Color[],IFERROR(MATCH(UI!$B$1,Tbl_Color[#Headers],0),2),FALSE),""),"Unset")</f>
        <v>紅</v>
      </c>
      <c r="K1170" t="str">
        <f>_xlfn.IFNA(IF(I1170&lt;&gt;0,VLOOKUP(I1170,ItemText[],IFERROR(MATCH(UI!$B$1,ItemText[#Headers],0),2),FALSE),""),"Unset")</f>
        <v>Unset</v>
      </c>
      <c r="L1170" t="str">
        <f t="shared" si="127"/>
        <v/>
      </c>
      <c r="M1170">
        <v>0</v>
      </c>
      <c r="N1170" t="str">
        <f>IF(VALUE(M1170)=0,"",VLOOKUP(VLOOKUP(M1170,Tbl_Effect[],3,FALSE),EffectName[],IFERROR(MATCH(UI!$B$1,EffectName[#Headers],0),2),FALSE))</f>
        <v/>
      </c>
      <c r="O1170" t="str">
        <f t="shared" si="128"/>
        <v/>
      </c>
      <c r="P1170">
        <v>0</v>
      </c>
      <c r="Q1170" t="str">
        <f>IF(VALUE(P1170)=0,"",VLOOKUP(VLOOKUP(P1170,Tbl_Effect[],3,FALSE),EffectName[],IFERROR(MATCH(UI!$B$1,EffectName[#Headers],0),2),FALSE))</f>
        <v/>
      </c>
      <c r="R1170" t="str">
        <f t="shared" si="129"/>
        <v/>
      </c>
      <c r="S1170">
        <v>0</v>
      </c>
      <c r="T1170" t="str">
        <f>IF(VALUE(S1170)=0,"",VLOOKUP(VLOOKUP(S1170,Tbl_Effect[],3,FALSE),EffectName[],IFERROR(MATCH(UI!$B$1,EffectName[#Headers],0),2),FALSE))</f>
        <v/>
      </c>
      <c r="U1170" t="str">
        <f t="shared" si="130"/>
        <v/>
      </c>
      <c r="V1170">
        <v>0</v>
      </c>
      <c r="W1170" t="str">
        <f>IF(V1170&lt;&gt;0,VLOOKUP(VLOOKUP(V1170,Tbl_Effect[],3,FALSE),EffectName[],IFERROR(MATCH(UI!$B$1,EffectName[#Headers],0),2),FALSE),"")</f>
        <v/>
      </c>
      <c r="X1170" t="str">
        <f t="shared" si="131"/>
        <v/>
      </c>
      <c r="Y1170">
        <v>0</v>
      </c>
      <c r="Z1170" t="str">
        <f>IF(Y1170&lt;&gt;0,VLOOKUP(VLOOKUP(Y1170,Tbl_Effect[],3,FALSE),EffectName[],IFERROR(MATCH(UI!$B$1,EffectName[#Headers],0),2),FALSE),"")</f>
        <v/>
      </c>
      <c r="AA1170" t="str">
        <f t="shared" si="132"/>
        <v/>
      </c>
      <c r="AB1170">
        <v>0</v>
      </c>
      <c r="AC1170" t="str">
        <f>IF(AB1170&lt;&gt;0,VLOOKUP(VLOOKUP(AB1170,Tbl_Effect[],3,FALSE),EffectName[],IFERROR(MATCH(UI!$B$1,EffectName[#Headers],0),2),FALSE),"")</f>
        <v/>
      </c>
    </row>
    <row r="1171" spans="8:29" x14ac:dyDescent="0.4">
      <c r="H1171" t="str">
        <f t="shared" si="126"/>
        <v>7036800-Unset (紅)</v>
      </c>
      <c r="I1171">
        <v>7036800</v>
      </c>
      <c r="J1171" t="str">
        <f>_xlfn.IFNA(IF(I1171&lt;&gt;0,VLOOKUP(VLOOKUP(I1171,Tbl_Equip[],2,FALSE),Tbl_Color[],IFERROR(MATCH(UI!$B$1,Tbl_Color[#Headers],0),2),FALSE),""),"Unset")</f>
        <v>紅</v>
      </c>
      <c r="K1171" t="str">
        <f>_xlfn.IFNA(IF(I1171&lt;&gt;0,VLOOKUP(I1171,ItemText[],IFERROR(MATCH(UI!$B$1,ItemText[#Headers],0),2),FALSE),""),"Unset")</f>
        <v>Unset</v>
      </c>
      <c r="L1171" t="str">
        <f t="shared" si="127"/>
        <v/>
      </c>
      <c r="M1171">
        <v>0</v>
      </c>
      <c r="N1171" t="str">
        <f>IF(VALUE(M1171)=0,"",VLOOKUP(VLOOKUP(M1171,Tbl_Effect[],3,FALSE),EffectName[],IFERROR(MATCH(UI!$B$1,EffectName[#Headers],0),2),FALSE))</f>
        <v/>
      </c>
      <c r="O1171" t="str">
        <f t="shared" si="128"/>
        <v/>
      </c>
      <c r="P1171">
        <v>0</v>
      </c>
      <c r="Q1171" t="str">
        <f>IF(VALUE(P1171)=0,"",VLOOKUP(VLOOKUP(P1171,Tbl_Effect[],3,FALSE),EffectName[],IFERROR(MATCH(UI!$B$1,EffectName[#Headers],0),2),FALSE))</f>
        <v/>
      </c>
      <c r="R1171" t="str">
        <f t="shared" si="129"/>
        <v/>
      </c>
      <c r="S1171">
        <v>0</v>
      </c>
      <c r="T1171" t="str">
        <f>IF(VALUE(S1171)=0,"",VLOOKUP(VLOOKUP(S1171,Tbl_Effect[],3,FALSE),EffectName[],IFERROR(MATCH(UI!$B$1,EffectName[#Headers],0),2),FALSE))</f>
        <v/>
      </c>
      <c r="U1171" t="str">
        <f t="shared" si="130"/>
        <v/>
      </c>
      <c r="V1171">
        <v>0</v>
      </c>
      <c r="W1171" t="str">
        <f>IF(V1171&lt;&gt;0,VLOOKUP(VLOOKUP(V1171,Tbl_Effect[],3,FALSE),EffectName[],IFERROR(MATCH(UI!$B$1,EffectName[#Headers],0),2),FALSE),"")</f>
        <v/>
      </c>
      <c r="X1171" t="str">
        <f t="shared" si="131"/>
        <v/>
      </c>
      <c r="Y1171">
        <v>0</v>
      </c>
      <c r="Z1171" t="str">
        <f>IF(Y1171&lt;&gt;0,VLOOKUP(VLOOKUP(Y1171,Tbl_Effect[],3,FALSE),EffectName[],IFERROR(MATCH(UI!$B$1,EffectName[#Headers],0),2),FALSE),"")</f>
        <v/>
      </c>
      <c r="AA1171" t="str">
        <f t="shared" si="132"/>
        <v/>
      </c>
      <c r="AB1171">
        <v>0</v>
      </c>
      <c r="AC1171" t="str">
        <f>IF(AB1171&lt;&gt;0,VLOOKUP(VLOOKUP(AB1171,Tbl_Effect[],3,FALSE),EffectName[],IFERROR(MATCH(UI!$B$1,EffectName[#Headers],0),2),FALSE),"")</f>
        <v/>
      </c>
    </row>
    <row r="1172" spans="8:29" x14ac:dyDescent="0.4">
      <c r="H1172" t="str">
        <f t="shared" si="126"/>
        <v>7036900-Unset (紅)</v>
      </c>
      <c r="I1172">
        <v>7036900</v>
      </c>
      <c r="J1172" t="str">
        <f>_xlfn.IFNA(IF(I1172&lt;&gt;0,VLOOKUP(VLOOKUP(I1172,Tbl_Equip[],2,FALSE),Tbl_Color[],IFERROR(MATCH(UI!$B$1,Tbl_Color[#Headers],0),2),FALSE),""),"Unset")</f>
        <v>紅</v>
      </c>
      <c r="K1172" t="str">
        <f>_xlfn.IFNA(IF(I1172&lt;&gt;0,VLOOKUP(I1172,ItemText[],IFERROR(MATCH(UI!$B$1,ItemText[#Headers],0),2),FALSE),""),"Unset")</f>
        <v>Unset</v>
      </c>
      <c r="L1172" t="str">
        <f t="shared" si="127"/>
        <v/>
      </c>
      <c r="M1172">
        <v>0</v>
      </c>
      <c r="N1172" t="str">
        <f>IF(VALUE(M1172)=0,"",VLOOKUP(VLOOKUP(M1172,Tbl_Effect[],3,FALSE),EffectName[],IFERROR(MATCH(UI!$B$1,EffectName[#Headers],0),2),FALSE))</f>
        <v/>
      </c>
      <c r="O1172" t="str">
        <f t="shared" si="128"/>
        <v/>
      </c>
      <c r="P1172">
        <v>0</v>
      </c>
      <c r="Q1172" t="str">
        <f>IF(VALUE(P1172)=0,"",VLOOKUP(VLOOKUP(P1172,Tbl_Effect[],3,FALSE),EffectName[],IFERROR(MATCH(UI!$B$1,EffectName[#Headers],0),2),FALSE))</f>
        <v/>
      </c>
      <c r="R1172" t="str">
        <f t="shared" si="129"/>
        <v/>
      </c>
      <c r="S1172">
        <v>0</v>
      </c>
      <c r="T1172" t="str">
        <f>IF(VALUE(S1172)=0,"",VLOOKUP(VLOOKUP(S1172,Tbl_Effect[],3,FALSE),EffectName[],IFERROR(MATCH(UI!$B$1,EffectName[#Headers],0),2),FALSE))</f>
        <v/>
      </c>
      <c r="U1172" t="str">
        <f t="shared" si="130"/>
        <v/>
      </c>
      <c r="V1172">
        <v>0</v>
      </c>
      <c r="W1172" t="str">
        <f>IF(V1172&lt;&gt;0,VLOOKUP(VLOOKUP(V1172,Tbl_Effect[],3,FALSE),EffectName[],IFERROR(MATCH(UI!$B$1,EffectName[#Headers],0),2),FALSE),"")</f>
        <v/>
      </c>
      <c r="X1172" t="str">
        <f t="shared" si="131"/>
        <v/>
      </c>
      <c r="Y1172">
        <v>0</v>
      </c>
      <c r="Z1172" t="str">
        <f>IF(Y1172&lt;&gt;0,VLOOKUP(VLOOKUP(Y1172,Tbl_Effect[],3,FALSE),EffectName[],IFERROR(MATCH(UI!$B$1,EffectName[#Headers],0),2),FALSE),"")</f>
        <v/>
      </c>
      <c r="AA1172" t="str">
        <f t="shared" si="132"/>
        <v/>
      </c>
      <c r="AB1172">
        <v>0</v>
      </c>
      <c r="AC1172" t="str">
        <f>IF(AB1172&lt;&gt;0,VLOOKUP(VLOOKUP(AB1172,Tbl_Effect[],3,FALSE),EffectName[],IFERROR(MATCH(UI!$B$1,EffectName[#Headers],0),2),FALSE),"")</f>
        <v/>
      </c>
    </row>
    <row r="1173" spans="8:29" x14ac:dyDescent="0.4">
      <c r="H1173" t="str">
        <f t="shared" si="126"/>
        <v>7037000-Unset (紅)</v>
      </c>
      <c r="I1173">
        <v>7037000</v>
      </c>
      <c r="J1173" t="str">
        <f>_xlfn.IFNA(IF(I1173&lt;&gt;0,VLOOKUP(VLOOKUP(I1173,Tbl_Equip[],2,FALSE),Tbl_Color[],IFERROR(MATCH(UI!$B$1,Tbl_Color[#Headers],0),2),FALSE),""),"Unset")</f>
        <v>紅</v>
      </c>
      <c r="K1173" t="str">
        <f>_xlfn.IFNA(IF(I1173&lt;&gt;0,VLOOKUP(I1173,ItemText[],IFERROR(MATCH(UI!$B$1,ItemText[#Headers],0),2),FALSE),""),"Unset")</f>
        <v>Unset</v>
      </c>
      <c r="L1173" t="str">
        <f t="shared" si="127"/>
        <v/>
      </c>
      <c r="M1173">
        <v>0</v>
      </c>
      <c r="N1173" t="str">
        <f>IF(VALUE(M1173)=0,"",VLOOKUP(VLOOKUP(M1173,Tbl_Effect[],3,FALSE),EffectName[],IFERROR(MATCH(UI!$B$1,EffectName[#Headers],0),2),FALSE))</f>
        <v/>
      </c>
      <c r="O1173" t="str">
        <f t="shared" si="128"/>
        <v/>
      </c>
      <c r="P1173">
        <v>0</v>
      </c>
      <c r="Q1173" t="str">
        <f>IF(VALUE(P1173)=0,"",VLOOKUP(VLOOKUP(P1173,Tbl_Effect[],3,FALSE),EffectName[],IFERROR(MATCH(UI!$B$1,EffectName[#Headers],0),2),FALSE))</f>
        <v/>
      </c>
      <c r="R1173" t="str">
        <f t="shared" si="129"/>
        <v/>
      </c>
      <c r="S1173">
        <v>0</v>
      </c>
      <c r="T1173" t="str">
        <f>IF(VALUE(S1173)=0,"",VLOOKUP(VLOOKUP(S1173,Tbl_Effect[],3,FALSE),EffectName[],IFERROR(MATCH(UI!$B$1,EffectName[#Headers],0),2),FALSE))</f>
        <v/>
      </c>
      <c r="U1173" t="str">
        <f t="shared" si="130"/>
        <v/>
      </c>
      <c r="V1173">
        <v>0</v>
      </c>
      <c r="W1173" t="str">
        <f>IF(V1173&lt;&gt;0,VLOOKUP(VLOOKUP(V1173,Tbl_Effect[],3,FALSE),EffectName[],IFERROR(MATCH(UI!$B$1,EffectName[#Headers],0),2),FALSE),"")</f>
        <v/>
      </c>
      <c r="X1173" t="str">
        <f t="shared" si="131"/>
        <v/>
      </c>
      <c r="Y1173">
        <v>0</v>
      </c>
      <c r="Z1173" t="str">
        <f>IF(Y1173&lt;&gt;0,VLOOKUP(VLOOKUP(Y1173,Tbl_Effect[],3,FALSE),EffectName[],IFERROR(MATCH(UI!$B$1,EffectName[#Headers],0),2),FALSE),"")</f>
        <v/>
      </c>
      <c r="AA1173" t="str">
        <f t="shared" si="132"/>
        <v/>
      </c>
      <c r="AB1173">
        <v>0</v>
      </c>
      <c r="AC1173" t="str">
        <f>IF(AB1173&lt;&gt;0,VLOOKUP(VLOOKUP(AB1173,Tbl_Effect[],3,FALSE),EffectName[],IFERROR(MATCH(UI!$B$1,EffectName[#Headers],0),2),FALSE),"")</f>
        <v/>
      </c>
    </row>
    <row r="1174" spans="8:29" x14ac:dyDescent="0.4">
      <c r="H1174" t="str">
        <f t="shared" si="126"/>
        <v>7037300-Unset (紅)</v>
      </c>
      <c r="I1174">
        <v>7037300</v>
      </c>
      <c r="J1174" t="str">
        <f>_xlfn.IFNA(IF(I1174&lt;&gt;0,VLOOKUP(VLOOKUP(I1174,Tbl_Equip[],2,FALSE),Tbl_Color[],IFERROR(MATCH(UI!$B$1,Tbl_Color[#Headers],0),2),FALSE),""),"Unset")</f>
        <v>紅</v>
      </c>
      <c r="K1174" t="str">
        <f>_xlfn.IFNA(IF(I1174&lt;&gt;0,VLOOKUP(I1174,ItemText[],IFERROR(MATCH(UI!$B$1,ItemText[#Headers],0),2),FALSE),""),"Unset")</f>
        <v>Unset</v>
      </c>
      <c r="L1174" t="str">
        <f t="shared" si="127"/>
        <v/>
      </c>
      <c r="M1174">
        <v>0</v>
      </c>
      <c r="N1174" t="str">
        <f>IF(VALUE(M1174)=0,"",VLOOKUP(VLOOKUP(M1174,Tbl_Effect[],3,FALSE),EffectName[],IFERROR(MATCH(UI!$B$1,EffectName[#Headers],0),2),FALSE))</f>
        <v/>
      </c>
      <c r="O1174" t="str">
        <f t="shared" si="128"/>
        <v/>
      </c>
      <c r="P1174">
        <v>0</v>
      </c>
      <c r="Q1174" t="str">
        <f>IF(VALUE(P1174)=0,"",VLOOKUP(VLOOKUP(P1174,Tbl_Effect[],3,FALSE),EffectName[],IFERROR(MATCH(UI!$B$1,EffectName[#Headers],0),2),FALSE))</f>
        <v/>
      </c>
      <c r="R1174" t="str">
        <f t="shared" si="129"/>
        <v/>
      </c>
      <c r="S1174">
        <v>0</v>
      </c>
      <c r="T1174" t="str">
        <f>IF(VALUE(S1174)=0,"",VLOOKUP(VLOOKUP(S1174,Tbl_Effect[],3,FALSE),EffectName[],IFERROR(MATCH(UI!$B$1,EffectName[#Headers],0),2),FALSE))</f>
        <v/>
      </c>
      <c r="U1174" t="str">
        <f t="shared" si="130"/>
        <v/>
      </c>
      <c r="V1174">
        <v>0</v>
      </c>
      <c r="W1174" t="str">
        <f>IF(V1174&lt;&gt;0,VLOOKUP(VLOOKUP(V1174,Tbl_Effect[],3,FALSE),EffectName[],IFERROR(MATCH(UI!$B$1,EffectName[#Headers],0),2),FALSE),"")</f>
        <v/>
      </c>
      <c r="X1174" t="str">
        <f t="shared" si="131"/>
        <v/>
      </c>
      <c r="Y1174">
        <v>0</v>
      </c>
      <c r="Z1174" t="str">
        <f>IF(Y1174&lt;&gt;0,VLOOKUP(VLOOKUP(Y1174,Tbl_Effect[],3,FALSE),EffectName[],IFERROR(MATCH(UI!$B$1,EffectName[#Headers],0),2),FALSE),"")</f>
        <v/>
      </c>
      <c r="AA1174" t="str">
        <f t="shared" si="132"/>
        <v/>
      </c>
      <c r="AB1174">
        <v>0</v>
      </c>
      <c r="AC1174" t="str">
        <f>IF(AB1174&lt;&gt;0,VLOOKUP(VLOOKUP(AB1174,Tbl_Effect[],3,FALSE),EffectName[],IFERROR(MATCH(UI!$B$1,EffectName[#Headers],0),2),FALSE),"")</f>
        <v/>
      </c>
    </row>
    <row r="1175" spans="8:29" x14ac:dyDescent="0.4">
      <c r="H1175" t="str">
        <f t="shared" si="126"/>
        <v>7037600-Unset (紅)</v>
      </c>
      <c r="I1175">
        <v>7037600</v>
      </c>
      <c r="J1175" t="str">
        <f>_xlfn.IFNA(IF(I1175&lt;&gt;0,VLOOKUP(VLOOKUP(I1175,Tbl_Equip[],2,FALSE),Tbl_Color[],IFERROR(MATCH(UI!$B$1,Tbl_Color[#Headers],0),2),FALSE),""),"Unset")</f>
        <v>紅</v>
      </c>
      <c r="K1175" t="str">
        <f>_xlfn.IFNA(IF(I1175&lt;&gt;0,VLOOKUP(I1175,ItemText[],IFERROR(MATCH(UI!$B$1,ItemText[#Headers],0),2),FALSE),""),"Unset")</f>
        <v>Unset</v>
      </c>
      <c r="L1175" t="str">
        <f t="shared" si="127"/>
        <v/>
      </c>
      <c r="M1175">
        <v>0</v>
      </c>
      <c r="N1175" t="str">
        <f>IF(VALUE(M1175)=0,"",VLOOKUP(VLOOKUP(M1175,Tbl_Effect[],3,FALSE),EffectName[],IFERROR(MATCH(UI!$B$1,EffectName[#Headers],0),2),FALSE))</f>
        <v/>
      </c>
      <c r="O1175" t="str">
        <f t="shared" si="128"/>
        <v/>
      </c>
      <c r="P1175">
        <v>0</v>
      </c>
      <c r="Q1175" t="str">
        <f>IF(VALUE(P1175)=0,"",VLOOKUP(VLOOKUP(P1175,Tbl_Effect[],3,FALSE),EffectName[],IFERROR(MATCH(UI!$B$1,EffectName[#Headers],0),2),FALSE))</f>
        <v/>
      </c>
      <c r="R1175" t="str">
        <f t="shared" si="129"/>
        <v/>
      </c>
      <c r="S1175">
        <v>0</v>
      </c>
      <c r="T1175" t="str">
        <f>IF(VALUE(S1175)=0,"",VLOOKUP(VLOOKUP(S1175,Tbl_Effect[],3,FALSE),EffectName[],IFERROR(MATCH(UI!$B$1,EffectName[#Headers],0),2),FALSE))</f>
        <v/>
      </c>
      <c r="U1175" t="str">
        <f t="shared" si="130"/>
        <v/>
      </c>
      <c r="V1175">
        <v>0</v>
      </c>
      <c r="W1175" t="str">
        <f>IF(V1175&lt;&gt;0,VLOOKUP(VLOOKUP(V1175,Tbl_Effect[],3,FALSE),EffectName[],IFERROR(MATCH(UI!$B$1,EffectName[#Headers],0),2),FALSE),"")</f>
        <v/>
      </c>
      <c r="X1175" t="str">
        <f t="shared" si="131"/>
        <v/>
      </c>
      <c r="Y1175">
        <v>0</v>
      </c>
      <c r="Z1175" t="str">
        <f>IF(Y1175&lt;&gt;0,VLOOKUP(VLOOKUP(Y1175,Tbl_Effect[],3,FALSE),EffectName[],IFERROR(MATCH(UI!$B$1,EffectName[#Headers],0),2),FALSE),"")</f>
        <v/>
      </c>
      <c r="AA1175" t="str">
        <f t="shared" si="132"/>
        <v/>
      </c>
      <c r="AB1175">
        <v>0</v>
      </c>
      <c r="AC1175" t="str">
        <f>IF(AB1175&lt;&gt;0,VLOOKUP(VLOOKUP(AB1175,Tbl_Effect[],3,FALSE),EffectName[],IFERROR(MATCH(UI!$B$1,EffectName[#Headers],0),2),FALSE),"")</f>
        <v/>
      </c>
    </row>
    <row r="1176" spans="8:29" x14ac:dyDescent="0.4">
      <c r="H1176" t="str">
        <f t="shared" si="126"/>
        <v>7037700-Unset (紅)</v>
      </c>
      <c r="I1176">
        <v>7037700</v>
      </c>
      <c r="J1176" t="str">
        <f>_xlfn.IFNA(IF(I1176&lt;&gt;0,VLOOKUP(VLOOKUP(I1176,Tbl_Equip[],2,FALSE),Tbl_Color[],IFERROR(MATCH(UI!$B$1,Tbl_Color[#Headers],0),2),FALSE),""),"Unset")</f>
        <v>紅</v>
      </c>
      <c r="K1176" t="str">
        <f>_xlfn.IFNA(IF(I1176&lt;&gt;0,VLOOKUP(I1176,ItemText[],IFERROR(MATCH(UI!$B$1,ItemText[#Headers],0),2),FALSE),""),"Unset")</f>
        <v>Unset</v>
      </c>
      <c r="L1176" t="str">
        <f t="shared" si="127"/>
        <v/>
      </c>
      <c r="M1176">
        <v>0</v>
      </c>
      <c r="N1176" t="str">
        <f>IF(VALUE(M1176)=0,"",VLOOKUP(VLOOKUP(M1176,Tbl_Effect[],3,FALSE),EffectName[],IFERROR(MATCH(UI!$B$1,EffectName[#Headers],0),2),FALSE))</f>
        <v/>
      </c>
      <c r="O1176" t="str">
        <f t="shared" si="128"/>
        <v/>
      </c>
      <c r="P1176">
        <v>0</v>
      </c>
      <c r="Q1176" t="str">
        <f>IF(VALUE(P1176)=0,"",VLOOKUP(VLOOKUP(P1176,Tbl_Effect[],3,FALSE),EffectName[],IFERROR(MATCH(UI!$B$1,EffectName[#Headers],0),2),FALSE))</f>
        <v/>
      </c>
      <c r="R1176" t="str">
        <f t="shared" si="129"/>
        <v/>
      </c>
      <c r="S1176">
        <v>0</v>
      </c>
      <c r="T1176" t="str">
        <f>IF(VALUE(S1176)=0,"",VLOOKUP(VLOOKUP(S1176,Tbl_Effect[],3,FALSE),EffectName[],IFERROR(MATCH(UI!$B$1,EffectName[#Headers],0),2),FALSE))</f>
        <v/>
      </c>
      <c r="U1176" t="str">
        <f t="shared" si="130"/>
        <v/>
      </c>
      <c r="V1176">
        <v>0</v>
      </c>
      <c r="W1176" t="str">
        <f>IF(V1176&lt;&gt;0,VLOOKUP(VLOOKUP(V1176,Tbl_Effect[],3,FALSE),EffectName[],IFERROR(MATCH(UI!$B$1,EffectName[#Headers],0),2),FALSE),"")</f>
        <v/>
      </c>
      <c r="X1176" t="str">
        <f t="shared" si="131"/>
        <v/>
      </c>
      <c r="Y1176">
        <v>0</v>
      </c>
      <c r="Z1176" t="str">
        <f>IF(Y1176&lt;&gt;0,VLOOKUP(VLOOKUP(Y1176,Tbl_Effect[],3,FALSE),EffectName[],IFERROR(MATCH(UI!$B$1,EffectName[#Headers],0),2),FALSE),"")</f>
        <v/>
      </c>
      <c r="AA1176" t="str">
        <f t="shared" si="132"/>
        <v/>
      </c>
      <c r="AB1176">
        <v>0</v>
      </c>
      <c r="AC1176" t="str">
        <f>IF(AB1176&lt;&gt;0,VLOOKUP(VLOOKUP(AB1176,Tbl_Effect[],3,FALSE),EffectName[],IFERROR(MATCH(UI!$B$1,EffectName[#Headers],0),2),FALSE),"")</f>
        <v/>
      </c>
    </row>
    <row r="1177" spans="8:29" x14ac:dyDescent="0.4">
      <c r="H1177" t="str">
        <f t="shared" si="126"/>
        <v>7037800-Unset (紅)</v>
      </c>
      <c r="I1177">
        <v>7037800</v>
      </c>
      <c r="J1177" t="str">
        <f>_xlfn.IFNA(IF(I1177&lt;&gt;0,VLOOKUP(VLOOKUP(I1177,Tbl_Equip[],2,FALSE),Tbl_Color[],IFERROR(MATCH(UI!$B$1,Tbl_Color[#Headers],0),2),FALSE),""),"Unset")</f>
        <v>紅</v>
      </c>
      <c r="K1177" t="str">
        <f>_xlfn.IFNA(IF(I1177&lt;&gt;0,VLOOKUP(I1177,ItemText[],IFERROR(MATCH(UI!$B$1,ItemText[#Headers],0),2),FALSE),""),"Unset")</f>
        <v>Unset</v>
      </c>
      <c r="L1177" t="str">
        <f t="shared" si="127"/>
        <v/>
      </c>
      <c r="M1177">
        <v>0</v>
      </c>
      <c r="N1177" t="str">
        <f>IF(VALUE(M1177)=0,"",VLOOKUP(VLOOKUP(M1177,Tbl_Effect[],3,FALSE),EffectName[],IFERROR(MATCH(UI!$B$1,EffectName[#Headers],0),2),FALSE))</f>
        <v/>
      </c>
      <c r="O1177" t="str">
        <f t="shared" si="128"/>
        <v/>
      </c>
      <c r="P1177">
        <v>0</v>
      </c>
      <c r="Q1177" t="str">
        <f>IF(VALUE(P1177)=0,"",VLOOKUP(VLOOKUP(P1177,Tbl_Effect[],3,FALSE),EffectName[],IFERROR(MATCH(UI!$B$1,EffectName[#Headers],0),2),FALSE))</f>
        <v/>
      </c>
      <c r="R1177" t="str">
        <f t="shared" si="129"/>
        <v/>
      </c>
      <c r="S1177">
        <v>0</v>
      </c>
      <c r="T1177" t="str">
        <f>IF(VALUE(S1177)=0,"",VLOOKUP(VLOOKUP(S1177,Tbl_Effect[],3,FALSE),EffectName[],IFERROR(MATCH(UI!$B$1,EffectName[#Headers],0),2),FALSE))</f>
        <v/>
      </c>
      <c r="U1177" t="str">
        <f t="shared" si="130"/>
        <v/>
      </c>
      <c r="V1177">
        <v>0</v>
      </c>
      <c r="W1177" t="str">
        <f>IF(V1177&lt;&gt;0,VLOOKUP(VLOOKUP(V1177,Tbl_Effect[],3,FALSE),EffectName[],IFERROR(MATCH(UI!$B$1,EffectName[#Headers],0),2),FALSE),"")</f>
        <v/>
      </c>
      <c r="X1177" t="str">
        <f t="shared" si="131"/>
        <v/>
      </c>
      <c r="Y1177">
        <v>0</v>
      </c>
      <c r="Z1177" t="str">
        <f>IF(Y1177&lt;&gt;0,VLOOKUP(VLOOKUP(Y1177,Tbl_Effect[],3,FALSE),EffectName[],IFERROR(MATCH(UI!$B$1,EffectName[#Headers],0),2),FALSE),"")</f>
        <v/>
      </c>
      <c r="AA1177" t="str">
        <f t="shared" si="132"/>
        <v/>
      </c>
      <c r="AB1177">
        <v>0</v>
      </c>
      <c r="AC1177" t="str">
        <f>IF(AB1177&lt;&gt;0,VLOOKUP(VLOOKUP(AB1177,Tbl_Effect[],3,FALSE),EffectName[],IFERROR(MATCH(UI!$B$1,EffectName[#Headers],0),2),FALSE),"")</f>
        <v/>
      </c>
    </row>
    <row r="1178" spans="8:29" x14ac:dyDescent="0.4">
      <c r="H1178" t="str">
        <f t="shared" si="126"/>
        <v>7040000-Unset (紅)</v>
      </c>
      <c r="I1178">
        <v>7040000</v>
      </c>
      <c r="J1178" t="str">
        <f>_xlfn.IFNA(IF(I1178&lt;&gt;0,VLOOKUP(VLOOKUP(I1178,Tbl_Equip[],2,FALSE),Tbl_Color[],IFERROR(MATCH(UI!$B$1,Tbl_Color[#Headers],0),2),FALSE),""),"Unset")</f>
        <v>紅</v>
      </c>
      <c r="K1178" t="str">
        <f>_xlfn.IFNA(IF(I1178&lt;&gt;0,VLOOKUP(I1178,ItemText[],IFERROR(MATCH(UI!$B$1,ItemText[#Headers],0),2),FALSE),""),"Unset")</f>
        <v>Unset</v>
      </c>
      <c r="L1178" t="str">
        <f t="shared" si="127"/>
        <v/>
      </c>
      <c r="M1178">
        <v>0</v>
      </c>
      <c r="N1178" t="str">
        <f>IF(VALUE(M1178)=0,"",VLOOKUP(VLOOKUP(M1178,Tbl_Effect[],3,FALSE),EffectName[],IFERROR(MATCH(UI!$B$1,EffectName[#Headers],0),2),FALSE))</f>
        <v/>
      </c>
      <c r="O1178" t="str">
        <f t="shared" si="128"/>
        <v/>
      </c>
      <c r="P1178">
        <v>0</v>
      </c>
      <c r="Q1178" t="str">
        <f>IF(VALUE(P1178)=0,"",VLOOKUP(VLOOKUP(P1178,Tbl_Effect[],3,FALSE),EffectName[],IFERROR(MATCH(UI!$B$1,EffectName[#Headers],0),2),FALSE))</f>
        <v/>
      </c>
      <c r="R1178" t="str">
        <f t="shared" si="129"/>
        <v/>
      </c>
      <c r="S1178">
        <v>0</v>
      </c>
      <c r="T1178" t="str">
        <f>IF(VALUE(S1178)=0,"",VLOOKUP(VLOOKUP(S1178,Tbl_Effect[],3,FALSE),EffectName[],IFERROR(MATCH(UI!$B$1,EffectName[#Headers],0),2),FALSE))</f>
        <v/>
      </c>
      <c r="U1178" t="str">
        <f t="shared" si="130"/>
        <v/>
      </c>
      <c r="V1178">
        <v>0</v>
      </c>
      <c r="W1178" t="str">
        <f>IF(V1178&lt;&gt;0,VLOOKUP(VLOOKUP(V1178,Tbl_Effect[],3,FALSE),EffectName[],IFERROR(MATCH(UI!$B$1,EffectName[#Headers],0),2),FALSE),"")</f>
        <v/>
      </c>
      <c r="X1178" t="str">
        <f t="shared" si="131"/>
        <v/>
      </c>
      <c r="Y1178">
        <v>0</v>
      </c>
      <c r="Z1178" t="str">
        <f>IF(Y1178&lt;&gt;0,VLOOKUP(VLOOKUP(Y1178,Tbl_Effect[],3,FALSE),EffectName[],IFERROR(MATCH(UI!$B$1,EffectName[#Headers],0),2),FALSE),"")</f>
        <v/>
      </c>
      <c r="AA1178" t="str">
        <f t="shared" si="132"/>
        <v/>
      </c>
      <c r="AB1178">
        <v>0</v>
      </c>
      <c r="AC1178" t="str">
        <f>IF(AB1178&lt;&gt;0,VLOOKUP(VLOOKUP(AB1178,Tbl_Effect[],3,FALSE),EffectName[],IFERROR(MATCH(UI!$B$1,EffectName[#Headers],0),2),FALSE),"")</f>
        <v/>
      </c>
    </row>
    <row r="1179" spans="8:29" x14ac:dyDescent="0.4">
      <c r="H1179" t="str">
        <f t="shared" si="126"/>
        <v>7040100-Unset (紅)</v>
      </c>
      <c r="I1179">
        <v>7040100</v>
      </c>
      <c r="J1179" t="str">
        <f>_xlfn.IFNA(IF(I1179&lt;&gt;0,VLOOKUP(VLOOKUP(I1179,Tbl_Equip[],2,FALSE),Tbl_Color[],IFERROR(MATCH(UI!$B$1,Tbl_Color[#Headers],0),2),FALSE),""),"Unset")</f>
        <v>紅</v>
      </c>
      <c r="K1179" t="str">
        <f>_xlfn.IFNA(IF(I1179&lt;&gt;0,VLOOKUP(I1179,ItemText[],IFERROR(MATCH(UI!$B$1,ItemText[#Headers],0),2),FALSE),""),"Unset")</f>
        <v>Unset</v>
      </c>
      <c r="L1179" t="str">
        <f t="shared" si="127"/>
        <v/>
      </c>
      <c r="M1179">
        <v>0</v>
      </c>
      <c r="N1179" t="str">
        <f>IF(VALUE(M1179)=0,"",VLOOKUP(VLOOKUP(M1179,Tbl_Effect[],3,FALSE),EffectName[],IFERROR(MATCH(UI!$B$1,EffectName[#Headers],0),2),FALSE))</f>
        <v/>
      </c>
      <c r="O1179" t="str">
        <f t="shared" si="128"/>
        <v/>
      </c>
      <c r="P1179">
        <v>0</v>
      </c>
      <c r="Q1179" t="str">
        <f>IF(VALUE(P1179)=0,"",VLOOKUP(VLOOKUP(P1179,Tbl_Effect[],3,FALSE),EffectName[],IFERROR(MATCH(UI!$B$1,EffectName[#Headers],0),2),FALSE))</f>
        <v/>
      </c>
      <c r="R1179" t="str">
        <f t="shared" si="129"/>
        <v/>
      </c>
      <c r="S1179">
        <v>0</v>
      </c>
      <c r="T1179" t="str">
        <f>IF(VALUE(S1179)=0,"",VLOOKUP(VLOOKUP(S1179,Tbl_Effect[],3,FALSE),EffectName[],IFERROR(MATCH(UI!$B$1,EffectName[#Headers],0),2),FALSE))</f>
        <v/>
      </c>
      <c r="U1179" t="str">
        <f t="shared" si="130"/>
        <v/>
      </c>
      <c r="V1179">
        <v>0</v>
      </c>
      <c r="W1179" t="str">
        <f>IF(V1179&lt;&gt;0,VLOOKUP(VLOOKUP(V1179,Tbl_Effect[],3,FALSE),EffectName[],IFERROR(MATCH(UI!$B$1,EffectName[#Headers],0),2),FALSE),"")</f>
        <v/>
      </c>
      <c r="X1179" t="str">
        <f t="shared" si="131"/>
        <v/>
      </c>
      <c r="Y1179">
        <v>0</v>
      </c>
      <c r="Z1179" t="str">
        <f>IF(Y1179&lt;&gt;0,VLOOKUP(VLOOKUP(Y1179,Tbl_Effect[],3,FALSE),EffectName[],IFERROR(MATCH(UI!$B$1,EffectName[#Headers],0),2),FALSE),"")</f>
        <v/>
      </c>
      <c r="AA1179" t="str">
        <f t="shared" si="132"/>
        <v/>
      </c>
      <c r="AB1179">
        <v>0</v>
      </c>
      <c r="AC1179" t="str">
        <f>IF(AB1179&lt;&gt;0,VLOOKUP(VLOOKUP(AB1179,Tbl_Effect[],3,FALSE),EffectName[],IFERROR(MATCH(UI!$B$1,EffectName[#Headers],0),2),FALSE),"")</f>
        <v/>
      </c>
    </row>
    <row r="1180" spans="8:29" x14ac:dyDescent="0.4">
      <c r="H1180" t="str">
        <f t="shared" si="126"/>
        <v>7040200-Unset (紅)</v>
      </c>
      <c r="I1180">
        <v>7040200</v>
      </c>
      <c r="J1180" t="str">
        <f>_xlfn.IFNA(IF(I1180&lt;&gt;0,VLOOKUP(VLOOKUP(I1180,Tbl_Equip[],2,FALSE),Tbl_Color[],IFERROR(MATCH(UI!$B$1,Tbl_Color[#Headers],0),2),FALSE),""),"Unset")</f>
        <v>紅</v>
      </c>
      <c r="K1180" t="str">
        <f>_xlfn.IFNA(IF(I1180&lt;&gt;0,VLOOKUP(I1180,ItemText[],IFERROR(MATCH(UI!$B$1,ItemText[#Headers],0),2),FALSE),""),"Unset")</f>
        <v>Unset</v>
      </c>
      <c r="L1180" t="str">
        <f t="shared" si="127"/>
        <v/>
      </c>
      <c r="M1180">
        <v>0</v>
      </c>
      <c r="N1180" t="str">
        <f>IF(VALUE(M1180)=0,"",VLOOKUP(VLOOKUP(M1180,Tbl_Effect[],3,FALSE),EffectName[],IFERROR(MATCH(UI!$B$1,EffectName[#Headers],0),2),FALSE))</f>
        <v/>
      </c>
      <c r="O1180" t="str">
        <f t="shared" si="128"/>
        <v/>
      </c>
      <c r="P1180">
        <v>0</v>
      </c>
      <c r="Q1180" t="str">
        <f>IF(VALUE(P1180)=0,"",VLOOKUP(VLOOKUP(P1180,Tbl_Effect[],3,FALSE),EffectName[],IFERROR(MATCH(UI!$B$1,EffectName[#Headers],0),2),FALSE))</f>
        <v/>
      </c>
      <c r="R1180" t="str">
        <f t="shared" si="129"/>
        <v/>
      </c>
      <c r="S1180">
        <v>0</v>
      </c>
      <c r="T1180" t="str">
        <f>IF(VALUE(S1180)=0,"",VLOOKUP(VLOOKUP(S1180,Tbl_Effect[],3,FALSE),EffectName[],IFERROR(MATCH(UI!$B$1,EffectName[#Headers],0),2),FALSE))</f>
        <v/>
      </c>
      <c r="U1180" t="str">
        <f t="shared" si="130"/>
        <v/>
      </c>
      <c r="V1180">
        <v>0</v>
      </c>
      <c r="W1180" t="str">
        <f>IF(V1180&lt;&gt;0,VLOOKUP(VLOOKUP(V1180,Tbl_Effect[],3,FALSE),EffectName[],IFERROR(MATCH(UI!$B$1,EffectName[#Headers],0),2),FALSE),"")</f>
        <v/>
      </c>
      <c r="X1180" t="str">
        <f t="shared" si="131"/>
        <v/>
      </c>
      <c r="Y1180">
        <v>0</v>
      </c>
      <c r="Z1180" t="str">
        <f>IF(Y1180&lt;&gt;0,VLOOKUP(VLOOKUP(Y1180,Tbl_Effect[],3,FALSE),EffectName[],IFERROR(MATCH(UI!$B$1,EffectName[#Headers],0),2),FALSE),"")</f>
        <v/>
      </c>
      <c r="AA1180" t="str">
        <f t="shared" si="132"/>
        <v/>
      </c>
      <c r="AB1180">
        <v>0</v>
      </c>
      <c r="AC1180" t="str">
        <f>IF(AB1180&lt;&gt;0,VLOOKUP(VLOOKUP(AB1180,Tbl_Effect[],3,FALSE),EffectName[],IFERROR(MATCH(UI!$B$1,EffectName[#Headers],0),2),FALSE),"")</f>
        <v/>
      </c>
    </row>
    <row r="1181" spans="8:29" x14ac:dyDescent="0.4">
      <c r="H1181" t="str">
        <f t="shared" si="126"/>
        <v>7040201-Unset (紅)</v>
      </c>
      <c r="I1181">
        <v>7040201</v>
      </c>
      <c r="J1181" t="str">
        <f>_xlfn.IFNA(IF(I1181&lt;&gt;0,VLOOKUP(VLOOKUP(I1181,Tbl_Equip[],2,FALSE),Tbl_Color[],IFERROR(MATCH(UI!$B$1,Tbl_Color[#Headers],0),2),FALSE),""),"Unset")</f>
        <v>紅</v>
      </c>
      <c r="K1181" t="str">
        <f>_xlfn.IFNA(IF(I1181&lt;&gt;0,VLOOKUP(I1181,ItemText[],IFERROR(MATCH(UI!$B$1,ItemText[#Headers],0),2),FALSE),""),"Unset")</f>
        <v>Unset</v>
      </c>
      <c r="L1181" t="str">
        <f t="shared" si="127"/>
        <v/>
      </c>
      <c r="M1181">
        <v>0</v>
      </c>
      <c r="N1181" t="str">
        <f>IF(VALUE(M1181)=0,"",VLOOKUP(VLOOKUP(M1181,Tbl_Effect[],3,FALSE),EffectName[],IFERROR(MATCH(UI!$B$1,EffectName[#Headers],0),2),FALSE))</f>
        <v/>
      </c>
      <c r="O1181" t="str">
        <f t="shared" si="128"/>
        <v/>
      </c>
      <c r="P1181">
        <v>0</v>
      </c>
      <c r="Q1181" t="str">
        <f>IF(VALUE(P1181)=0,"",VLOOKUP(VLOOKUP(P1181,Tbl_Effect[],3,FALSE),EffectName[],IFERROR(MATCH(UI!$B$1,EffectName[#Headers],0),2),FALSE))</f>
        <v/>
      </c>
      <c r="R1181" t="str">
        <f t="shared" si="129"/>
        <v/>
      </c>
      <c r="S1181">
        <v>0</v>
      </c>
      <c r="T1181" t="str">
        <f>IF(VALUE(S1181)=0,"",VLOOKUP(VLOOKUP(S1181,Tbl_Effect[],3,FALSE),EffectName[],IFERROR(MATCH(UI!$B$1,EffectName[#Headers],0),2),FALSE))</f>
        <v/>
      </c>
      <c r="U1181" t="str">
        <f t="shared" si="130"/>
        <v/>
      </c>
      <c r="V1181">
        <v>0</v>
      </c>
      <c r="W1181" t="str">
        <f>IF(V1181&lt;&gt;0,VLOOKUP(VLOOKUP(V1181,Tbl_Effect[],3,FALSE),EffectName[],IFERROR(MATCH(UI!$B$1,EffectName[#Headers],0),2),FALSE),"")</f>
        <v/>
      </c>
      <c r="X1181" t="str">
        <f t="shared" si="131"/>
        <v/>
      </c>
      <c r="Y1181">
        <v>0</v>
      </c>
      <c r="Z1181" t="str">
        <f>IF(Y1181&lt;&gt;0,VLOOKUP(VLOOKUP(Y1181,Tbl_Effect[],3,FALSE),EffectName[],IFERROR(MATCH(UI!$B$1,EffectName[#Headers],0),2),FALSE),"")</f>
        <v/>
      </c>
      <c r="AA1181" t="str">
        <f t="shared" si="132"/>
        <v/>
      </c>
      <c r="AB1181">
        <v>0</v>
      </c>
      <c r="AC1181" t="str">
        <f>IF(AB1181&lt;&gt;0,VLOOKUP(VLOOKUP(AB1181,Tbl_Effect[],3,FALSE),EffectName[],IFERROR(MATCH(UI!$B$1,EffectName[#Headers],0),2),FALSE),"")</f>
        <v/>
      </c>
    </row>
    <row r="1182" spans="8:29" x14ac:dyDescent="0.4">
      <c r="H1182" t="str">
        <f t="shared" si="126"/>
        <v>7040300-Unset (紅)</v>
      </c>
      <c r="I1182">
        <v>7040300</v>
      </c>
      <c r="J1182" t="str">
        <f>_xlfn.IFNA(IF(I1182&lt;&gt;0,VLOOKUP(VLOOKUP(I1182,Tbl_Equip[],2,FALSE),Tbl_Color[],IFERROR(MATCH(UI!$B$1,Tbl_Color[#Headers],0),2),FALSE),""),"Unset")</f>
        <v>紅</v>
      </c>
      <c r="K1182" t="str">
        <f>_xlfn.IFNA(IF(I1182&lt;&gt;0,VLOOKUP(I1182,ItemText[],IFERROR(MATCH(UI!$B$1,ItemText[#Headers],0),2),FALSE),""),"Unset")</f>
        <v>Unset</v>
      </c>
      <c r="L1182" t="str">
        <f t="shared" si="127"/>
        <v/>
      </c>
      <c r="M1182">
        <v>0</v>
      </c>
      <c r="N1182" t="str">
        <f>IF(VALUE(M1182)=0,"",VLOOKUP(VLOOKUP(M1182,Tbl_Effect[],3,FALSE),EffectName[],IFERROR(MATCH(UI!$B$1,EffectName[#Headers],0),2),FALSE))</f>
        <v/>
      </c>
      <c r="O1182" t="str">
        <f t="shared" si="128"/>
        <v/>
      </c>
      <c r="P1182">
        <v>0</v>
      </c>
      <c r="Q1182" t="str">
        <f>IF(VALUE(P1182)=0,"",VLOOKUP(VLOOKUP(P1182,Tbl_Effect[],3,FALSE),EffectName[],IFERROR(MATCH(UI!$B$1,EffectName[#Headers],0),2),FALSE))</f>
        <v/>
      </c>
      <c r="R1182" t="str">
        <f t="shared" si="129"/>
        <v/>
      </c>
      <c r="S1182">
        <v>0</v>
      </c>
      <c r="T1182" t="str">
        <f>IF(VALUE(S1182)=0,"",VLOOKUP(VLOOKUP(S1182,Tbl_Effect[],3,FALSE),EffectName[],IFERROR(MATCH(UI!$B$1,EffectName[#Headers],0),2),FALSE))</f>
        <v/>
      </c>
      <c r="U1182" t="str">
        <f t="shared" si="130"/>
        <v/>
      </c>
      <c r="V1182">
        <v>0</v>
      </c>
      <c r="W1182" t="str">
        <f>IF(V1182&lt;&gt;0,VLOOKUP(VLOOKUP(V1182,Tbl_Effect[],3,FALSE),EffectName[],IFERROR(MATCH(UI!$B$1,EffectName[#Headers],0),2),FALSE),"")</f>
        <v/>
      </c>
      <c r="X1182" t="str">
        <f t="shared" si="131"/>
        <v/>
      </c>
      <c r="Y1182">
        <v>0</v>
      </c>
      <c r="Z1182" t="str">
        <f>IF(Y1182&lt;&gt;0,VLOOKUP(VLOOKUP(Y1182,Tbl_Effect[],3,FALSE),EffectName[],IFERROR(MATCH(UI!$B$1,EffectName[#Headers],0),2),FALSE),"")</f>
        <v/>
      </c>
      <c r="AA1182" t="str">
        <f t="shared" si="132"/>
        <v/>
      </c>
      <c r="AB1182">
        <v>0</v>
      </c>
      <c r="AC1182" t="str">
        <f>IF(AB1182&lt;&gt;0,VLOOKUP(VLOOKUP(AB1182,Tbl_Effect[],3,FALSE),EffectName[],IFERROR(MATCH(UI!$B$1,EffectName[#Headers],0),2),FALSE),"")</f>
        <v/>
      </c>
    </row>
    <row r="1183" spans="8:29" x14ac:dyDescent="0.4">
      <c r="H1183" t="str">
        <f t="shared" si="126"/>
        <v>7040400-Unset (紅)</v>
      </c>
      <c r="I1183">
        <v>7040400</v>
      </c>
      <c r="J1183" t="str">
        <f>_xlfn.IFNA(IF(I1183&lt;&gt;0,VLOOKUP(VLOOKUP(I1183,Tbl_Equip[],2,FALSE),Tbl_Color[],IFERROR(MATCH(UI!$B$1,Tbl_Color[#Headers],0),2),FALSE),""),"Unset")</f>
        <v>紅</v>
      </c>
      <c r="K1183" t="str">
        <f>_xlfn.IFNA(IF(I1183&lt;&gt;0,VLOOKUP(I1183,ItemText[],IFERROR(MATCH(UI!$B$1,ItemText[#Headers],0),2),FALSE),""),"Unset")</f>
        <v>Unset</v>
      </c>
      <c r="L1183" t="str">
        <f t="shared" si="127"/>
        <v/>
      </c>
      <c r="M1183">
        <v>0</v>
      </c>
      <c r="N1183" t="str">
        <f>IF(VALUE(M1183)=0,"",VLOOKUP(VLOOKUP(M1183,Tbl_Effect[],3,FALSE),EffectName[],IFERROR(MATCH(UI!$B$1,EffectName[#Headers],0),2),FALSE))</f>
        <v/>
      </c>
      <c r="O1183" t="str">
        <f t="shared" si="128"/>
        <v/>
      </c>
      <c r="P1183">
        <v>0</v>
      </c>
      <c r="Q1183" t="str">
        <f>IF(VALUE(P1183)=0,"",VLOOKUP(VLOOKUP(P1183,Tbl_Effect[],3,FALSE),EffectName[],IFERROR(MATCH(UI!$B$1,EffectName[#Headers],0),2),FALSE))</f>
        <v/>
      </c>
      <c r="R1183" t="str">
        <f t="shared" si="129"/>
        <v/>
      </c>
      <c r="S1183">
        <v>0</v>
      </c>
      <c r="T1183" t="str">
        <f>IF(VALUE(S1183)=0,"",VLOOKUP(VLOOKUP(S1183,Tbl_Effect[],3,FALSE),EffectName[],IFERROR(MATCH(UI!$B$1,EffectName[#Headers],0),2),FALSE))</f>
        <v/>
      </c>
      <c r="U1183" t="str">
        <f t="shared" si="130"/>
        <v/>
      </c>
      <c r="V1183">
        <v>0</v>
      </c>
      <c r="W1183" t="str">
        <f>IF(V1183&lt;&gt;0,VLOOKUP(VLOOKUP(V1183,Tbl_Effect[],3,FALSE),EffectName[],IFERROR(MATCH(UI!$B$1,EffectName[#Headers],0),2),FALSE),"")</f>
        <v/>
      </c>
      <c r="X1183" t="str">
        <f t="shared" si="131"/>
        <v/>
      </c>
      <c r="Y1183">
        <v>0</v>
      </c>
      <c r="Z1183" t="str">
        <f>IF(Y1183&lt;&gt;0,VLOOKUP(VLOOKUP(Y1183,Tbl_Effect[],3,FALSE),EffectName[],IFERROR(MATCH(UI!$B$1,EffectName[#Headers],0),2),FALSE),"")</f>
        <v/>
      </c>
      <c r="AA1183" t="str">
        <f t="shared" si="132"/>
        <v/>
      </c>
      <c r="AB1183">
        <v>0</v>
      </c>
      <c r="AC1183" t="str">
        <f>IF(AB1183&lt;&gt;0,VLOOKUP(VLOOKUP(AB1183,Tbl_Effect[],3,FALSE),EffectName[],IFERROR(MATCH(UI!$B$1,EffectName[#Headers],0),2),FALSE),"")</f>
        <v/>
      </c>
    </row>
    <row r="1184" spans="8:29" x14ac:dyDescent="0.4">
      <c r="H1184" t="str">
        <f t="shared" si="126"/>
        <v>7040500-Unset (紅)</v>
      </c>
      <c r="I1184">
        <v>7040500</v>
      </c>
      <c r="J1184" t="str">
        <f>_xlfn.IFNA(IF(I1184&lt;&gt;0,VLOOKUP(VLOOKUP(I1184,Tbl_Equip[],2,FALSE),Tbl_Color[],IFERROR(MATCH(UI!$B$1,Tbl_Color[#Headers],0),2),FALSE),""),"Unset")</f>
        <v>紅</v>
      </c>
      <c r="K1184" t="str">
        <f>_xlfn.IFNA(IF(I1184&lt;&gt;0,VLOOKUP(I1184,ItemText[],IFERROR(MATCH(UI!$B$1,ItemText[#Headers],0),2),FALSE),""),"Unset")</f>
        <v>Unset</v>
      </c>
      <c r="L1184" t="str">
        <f t="shared" si="127"/>
        <v/>
      </c>
      <c r="M1184">
        <v>0</v>
      </c>
      <c r="N1184" t="str">
        <f>IF(VALUE(M1184)=0,"",VLOOKUP(VLOOKUP(M1184,Tbl_Effect[],3,FALSE),EffectName[],IFERROR(MATCH(UI!$B$1,EffectName[#Headers],0),2),FALSE))</f>
        <v/>
      </c>
      <c r="O1184" t="str">
        <f t="shared" si="128"/>
        <v/>
      </c>
      <c r="P1184">
        <v>0</v>
      </c>
      <c r="Q1184" t="str">
        <f>IF(VALUE(P1184)=0,"",VLOOKUP(VLOOKUP(P1184,Tbl_Effect[],3,FALSE),EffectName[],IFERROR(MATCH(UI!$B$1,EffectName[#Headers],0),2),FALSE))</f>
        <v/>
      </c>
      <c r="R1184" t="str">
        <f t="shared" si="129"/>
        <v/>
      </c>
      <c r="S1184">
        <v>0</v>
      </c>
      <c r="T1184" t="str">
        <f>IF(VALUE(S1184)=0,"",VLOOKUP(VLOOKUP(S1184,Tbl_Effect[],3,FALSE),EffectName[],IFERROR(MATCH(UI!$B$1,EffectName[#Headers],0),2),FALSE))</f>
        <v/>
      </c>
      <c r="U1184" t="str">
        <f t="shared" si="130"/>
        <v/>
      </c>
      <c r="V1184">
        <v>0</v>
      </c>
      <c r="W1184" t="str">
        <f>IF(V1184&lt;&gt;0,VLOOKUP(VLOOKUP(V1184,Tbl_Effect[],3,FALSE),EffectName[],IFERROR(MATCH(UI!$B$1,EffectName[#Headers],0),2),FALSE),"")</f>
        <v/>
      </c>
      <c r="X1184" t="str">
        <f t="shared" si="131"/>
        <v/>
      </c>
      <c r="Y1184">
        <v>0</v>
      </c>
      <c r="Z1184" t="str">
        <f>IF(Y1184&lt;&gt;0,VLOOKUP(VLOOKUP(Y1184,Tbl_Effect[],3,FALSE),EffectName[],IFERROR(MATCH(UI!$B$1,EffectName[#Headers],0),2),FALSE),"")</f>
        <v/>
      </c>
      <c r="AA1184" t="str">
        <f t="shared" si="132"/>
        <v/>
      </c>
      <c r="AB1184">
        <v>0</v>
      </c>
      <c r="AC1184" t="str">
        <f>IF(AB1184&lt;&gt;0,VLOOKUP(VLOOKUP(AB1184,Tbl_Effect[],3,FALSE),EffectName[],IFERROR(MATCH(UI!$B$1,EffectName[#Headers],0),2),FALSE),"")</f>
        <v/>
      </c>
    </row>
    <row r="1185" spans="8:29" x14ac:dyDescent="0.4">
      <c r="H1185" t="str">
        <f t="shared" si="126"/>
        <v>7043000-Unset (紅)</v>
      </c>
      <c r="I1185">
        <v>7043000</v>
      </c>
      <c r="J1185" t="str">
        <f>_xlfn.IFNA(IF(I1185&lt;&gt;0,VLOOKUP(VLOOKUP(I1185,Tbl_Equip[],2,FALSE),Tbl_Color[],IFERROR(MATCH(UI!$B$1,Tbl_Color[#Headers],0),2),FALSE),""),"Unset")</f>
        <v>紅</v>
      </c>
      <c r="K1185" t="str">
        <f>_xlfn.IFNA(IF(I1185&lt;&gt;0,VLOOKUP(I1185,ItemText[],IFERROR(MATCH(UI!$B$1,ItemText[#Headers],0),2),FALSE),""),"Unset")</f>
        <v>Unset</v>
      </c>
      <c r="L1185" t="str">
        <f t="shared" si="127"/>
        <v/>
      </c>
      <c r="M1185">
        <v>0</v>
      </c>
      <c r="N1185" t="str">
        <f>IF(VALUE(M1185)=0,"",VLOOKUP(VLOOKUP(M1185,Tbl_Effect[],3,FALSE),EffectName[],IFERROR(MATCH(UI!$B$1,EffectName[#Headers],0),2),FALSE))</f>
        <v/>
      </c>
      <c r="O1185" t="str">
        <f t="shared" si="128"/>
        <v/>
      </c>
      <c r="P1185">
        <v>0</v>
      </c>
      <c r="Q1185" t="str">
        <f>IF(VALUE(P1185)=0,"",VLOOKUP(VLOOKUP(P1185,Tbl_Effect[],3,FALSE),EffectName[],IFERROR(MATCH(UI!$B$1,EffectName[#Headers],0),2),FALSE))</f>
        <v/>
      </c>
      <c r="R1185" t="str">
        <f t="shared" si="129"/>
        <v/>
      </c>
      <c r="S1185">
        <v>0</v>
      </c>
      <c r="T1185" t="str">
        <f>IF(VALUE(S1185)=0,"",VLOOKUP(VLOOKUP(S1185,Tbl_Effect[],3,FALSE),EffectName[],IFERROR(MATCH(UI!$B$1,EffectName[#Headers],0),2),FALSE))</f>
        <v/>
      </c>
      <c r="U1185" t="str">
        <f t="shared" si="130"/>
        <v/>
      </c>
      <c r="V1185">
        <v>0</v>
      </c>
      <c r="W1185" t="str">
        <f>IF(V1185&lt;&gt;0,VLOOKUP(VLOOKUP(V1185,Tbl_Effect[],3,FALSE),EffectName[],IFERROR(MATCH(UI!$B$1,EffectName[#Headers],0),2),FALSE),"")</f>
        <v/>
      </c>
      <c r="X1185" t="str">
        <f t="shared" si="131"/>
        <v/>
      </c>
      <c r="Y1185">
        <v>0</v>
      </c>
      <c r="Z1185" t="str">
        <f>IF(Y1185&lt;&gt;0,VLOOKUP(VLOOKUP(Y1185,Tbl_Effect[],3,FALSE),EffectName[],IFERROR(MATCH(UI!$B$1,EffectName[#Headers],0),2),FALSE),"")</f>
        <v/>
      </c>
      <c r="AA1185" t="str">
        <f t="shared" si="132"/>
        <v/>
      </c>
      <c r="AB1185">
        <v>0</v>
      </c>
      <c r="AC1185" t="str">
        <f>IF(AB1185&lt;&gt;0,VLOOKUP(VLOOKUP(AB1185,Tbl_Effect[],3,FALSE),EffectName[],IFERROR(MATCH(UI!$B$1,EffectName[#Headers],0),2),FALSE),"")</f>
        <v/>
      </c>
    </row>
    <row r="1186" spans="8:29" x14ac:dyDescent="0.4">
      <c r="H1186" t="str">
        <f t="shared" si="126"/>
        <v>7043100-Unset (紅)</v>
      </c>
      <c r="I1186">
        <v>7043100</v>
      </c>
      <c r="J1186" t="str">
        <f>_xlfn.IFNA(IF(I1186&lt;&gt;0,VLOOKUP(VLOOKUP(I1186,Tbl_Equip[],2,FALSE),Tbl_Color[],IFERROR(MATCH(UI!$B$1,Tbl_Color[#Headers],0),2),FALSE),""),"Unset")</f>
        <v>紅</v>
      </c>
      <c r="K1186" t="str">
        <f>_xlfn.IFNA(IF(I1186&lt;&gt;0,VLOOKUP(I1186,ItemText[],IFERROR(MATCH(UI!$B$1,ItemText[#Headers],0),2),FALSE),""),"Unset")</f>
        <v>Unset</v>
      </c>
      <c r="L1186" t="str">
        <f t="shared" si="127"/>
        <v/>
      </c>
      <c r="M1186">
        <v>0</v>
      </c>
      <c r="N1186" t="str">
        <f>IF(VALUE(M1186)=0,"",VLOOKUP(VLOOKUP(M1186,Tbl_Effect[],3,FALSE),EffectName[],IFERROR(MATCH(UI!$B$1,EffectName[#Headers],0),2),FALSE))</f>
        <v/>
      </c>
      <c r="O1186" t="str">
        <f t="shared" si="128"/>
        <v/>
      </c>
      <c r="P1186">
        <v>0</v>
      </c>
      <c r="Q1186" t="str">
        <f>IF(VALUE(P1186)=0,"",VLOOKUP(VLOOKUP(P1186,Tbl_Effect[],3,FALSE),EffectName[],IFERROR(MATCH(UI!$B$1,EffectName[#Headers],0),2),FALSE))</f>
        <v/>
      </c>
      <c r="R1186" t="str">
        <f t="shared" si="129"/>
        <v/>
      </c>
      <c r="S1186">
        <v>0</v>
      </c>
      <c r="T1186" t="str">
        <f>IF(VALUE(S1186)=0,"",VLOOKUP(VLOOKUP(S1186,Tbl_Effect[],3,FALSE),EffectName[],IFERROR(MATCH(UI!$B$1,EffectName[#Headers],0),2),FALSE))</f>
        <v/>
      </c>
      <c r="U1186" t="str">
        <f t="shared" si="130"/>
        <v/>
      </c>
      <c r="V1186">
        <v>0</v>
      </c>
      <c r="W1186" t="str">
        <f>IF(V1186&lt;&gt;0,VLOOKUP(VLOOKUP(V1186,Tbl_Effect[],3,FALSE),EffectName[],IFERROR(MATCH(UI!$B$1,EffectName[#Headers],0),2),FALSE),"")</f>
        <v/>
      </c>
      <c r="X1186" t="str">
        <f t="shared" si="131"/>
        <v/>
      </c>
      <c r="Y1186">
        <v>0</v>
      </c>
      <c r="Z1186" t="str">
        <f>IF(Y1186&lt;&gt;0,VLOOKUP(VLOOKUP(Y1186,Tbl_Effect[],3,FALSE),EffectName[],IFERROR(MATCH(UI!$B$1,EffectName[#Headers],0),2),FALSE),"")</f>
        <v/>
      </c>
      <c r="AA1186" t="str">
        <f t="shared" si="132"/>
        <v/>
      </c>
      <c r="AB1186">
        <v>0</v>
      </c>
      <c r="AC1186" t="str">
        <f>IF(AB1186&lt;&gt;0,VLOOKUP(VLOOKUP(AB1186,Tbl_Effect[],3,FALSE),EffectName[],IFERROR(MATCH(UI!$B$1,EffectName[#Headers],0),2),FALSE),"")</f>
        <v/>
      </c>
    </row>
    <row r="1187" spans="8:29" x14ac:dyDescent="0.4">
      <c r="H1187" t="str">
        <f t="shared" si="126"/>
        <v>7043200-Unset (紅)</v>
      </c>
      <c r="I1187">
        <v>7043200</v>
      </c>
      <c r="J1187" t="str">
        <f>_xlfn.IFNA(IF(I1187&lt;&gt;0,VLOOKUP(VLOOKUP(I1187,Tbl_Equip[],2,FALSE),Tbl_Color[],IFERROR(MATCH(UI!$B$1,Tbl_Color[#Headers],0),2),FALSE),""),"Unset")</f>
        <v>紅</v>
      </c>
      <c r="K1187" t="str">
        <f>_xlfn.IFNA(IF(I1187&lt;&gt;0,VLOOKUP(I1187,ItemText[],IFERROR(MATCH(UI!$B$1,ItemText[#Headers],0),2),FALSE),""),"Unset")</f>
        <v>Unset</v>
      </c>
      <c r="L1187" t="str">
        <f t="shared" si="127"/>
        <v/>
      </c>
      <c r="M1187">
        <v>0</v>
      </c>
      <c r="N1187" t="str">
        <f>IF(VALUE(M1187)=0,"",VLOOKUP(VLOOKUP(M1187,Tbl_Effect[],3,FALSE),EffectName[],IFERROR(MATCH(UI!$B$1,EffectName[#Headers],0),2),FALSE))</f>
        <v/>
      </c>
      <c r="O1187" t="str">
        <f t="shared" si="128"/>
        <v/>
      </c>
      <c r="P1187">
        <v>0</v>
      </c>
      <c r="Q1187" t="str">
        <f>IF(VALUE(P1187)=0,"",VLOOKUP(VLOOKUP(P1187,Tbl_Effect[],3,FALSE),EffectName[],IFERROR(MATCH(UI!$B$1,EffectName[#Headers],0),2),FALSE))</f>
        <v/>
      </c>
      <c r="R1187" t="str">
        <f t="shared" si="129"/>
        <v/>
      </c>
      <c r="S1187">
        <v>0</v>
      </c>
      <c r="T1187" t="str">
        <f>IF(VALUE(S1187)=0,"",VLOOKUP(VLOOKUP(S1187,Tbl_Effect[],3,FALSE),EffectName[],IFERROR(MATCH(UI!$B$1,EffectName[#Headers],0),2),FALSE))</f>
        <v/>
      </c>
      <c r="U1187" t="str">
        <f t="shared" si="130"/>
        <v/>
      </c>
      <c r="V1187">
        <v>0</v>
      </c>
      <c r="W1187" t="str">
        <f>IF(V1187&lt;&gt;0,VLOOKUP(VLOOKUP(V1187,Tbl_Effect[],3,FALSE),EffectName[],IFERROR(MATCH(UI!$B$1,EffectName[#Headers],0),2),FALSE),"")</f>
        <v/>
      </c>
      <c r="X1187" t="str">
        <f t="shared" si="131"/>
        <v/>
      </c>
      <c r="Y1187">
        <v>0</v>
      </c>
      <c r="Z1187" t="str">
        <f>IF(Y1187&lt;&gt;0,VLOOKUP(VLOOKUP(Y1187,Tbl_Effect[],3,FALSE),EffectName[],IFERROR(MATCH(UI!$B$1,EffectName[#Headers],0),2),FALSE),"")</f>
        <v/>
      </c>
      <c r="AA1187" t="str">
        <f t="shared" si="132"/>
        <v/>
      </c>
      <c r="AB1187">
        <v>0</v>
      </c>
      <c r="AC1187" t="str">
        <f>IF(AB1187&lt;&gt;0,VLOOKUP(VLOOKUP(AB1187,Tbl_Effect[],3,FALSE),EffectName[],IFERROR(MATCH(UI!$B$1,EffectName[#Headers],0),2),FALSE),"")</f>
        <v/>
      </c>
    </row>
    <row r="1188" spans="8:29" x14ac:dyDescent="0.4">
      <c r="H1188" t="str">
        <f t="shared" si="126"/>
        <v>7043300-Unset (紅)</v>
      </c>
      <c r="I1188">
        <v>7043300</v>
      </c>
      <c r="J1188" t="str">
        <f>_xlfn.IFNA(IF(I1188&lt;&gt;0,VLOOKUP(VLOOKUP(I1188,Tbl_Equip[],2,FALSE),Tbl_Color[],IFERROR(MATCH(UI!$B$1,Tbl_Color[#Headers],0),2),FALSE),""),"Unset")</f>
        <v>紅</v>
      </c>
      <c r="K1188" t="str">
        <f>_xlfn.IFNA(IF(I1188&lt;&gt;0,VLOOKUP(I1188,ItemText[],IFERROR(MATCH(UI!$B$1,ItemText[#Headers],0),2),FALSE),""),"Unset")</f>
        <v>Unset</v>
      </c>
      <c r="L1188" t="str">
        <f t="shared" si="127"/>
        <v/>
      </c>
      <c r="M1188">
        <v>0</v>
      </c>
      <c r="N1188" t="str">
        <f>IF(VALUE(M1188)=0,"",VLOOKUP(VLOOKUP(M1188,Tbl_Effect[],3,FALSE),EffectName[],IFERROR(MATCH(UI!$B$1,EffectName[#Headers],0),2),FALSE))</f>
        <v/>
      </c>
      <c r="O1188" t="str">
        <f t="shared" si="128"/>
        <v/>
      </c>
      <c r="P1188">
        <v>0</v>
      </c>
      <c r="Q1188" t="str">
        <f>IF(VALUE(P1188)=0,"",VLOOKUP(VLOOKUP(P1188,Tbl_Effect[],3,FALSE),EffectName[],IFERROR(MATCH(UI!$B$1,EffectName[#Headers],0),2),FALSE))</f>
        <v/>
      </c>
      <c r="R1188" t="str">
        <f t="shared" si="129"/>
        <v/>
      </c>
      <c r="S1188">
        <v>0</v>
      </c>
      <c r="T1188" t="str">
        <f>IF(VALUE(S1188)=0,"",VLOOKUP(VLOOKUP(S1188,Tbl_Effect[],3,FALSE),EffectName[],IFERROR(MATCH(UI!$B$1,EffectName[#Headers],0),2),FALSE))</f>
        <v/>
      </c>
      <c r="U1188" t="str">
        <f t="shared" si="130"/>
        <v/>
      </c>
      <c r="V1188">
        <v>0</v>
      </c>
      <c r="W1188" t="str">
        <f>IF(V1188&lt;&gt;0,VLOOKUP(VLOOKUP(V1188,Tbl_Effect[],3,FALSE),EffectName[],IFERROR(MATCH(UI!$B$1,EffectName[#Headers],0),2),FALSE),"")</f>
        <v/>
      </c>
      <c r="X1188" t="str">
        <f t="shared" si="131"/>
        <v/>
      </c>
      <c r="Y1188">
        <v>0</v>
      </c>
      <c r="Z1188" t="str">
        <f>IF(Y1188&lt;&gt;0,VLOOKUP(VLOOKUP(Y1188,Tbl_Effect[],3,FALSE),EffectName[],IFERROR(MATCH(UI!$B$1,EffectName[#Headers],0),2),FALSE),"")</f>
        <v/>
      </c>
      <c r="AA1188" t="str">
        <f t="shared" si="132"/>
        <v/>
      </c>
      <c r="AB1188">
        <v>0</v>
      </c>
      <c r="AC1188" t="str">
        <f>IF(AB1188&lt;&gt;0,VLOOKUP(VLOOKUP(AB1188,Tbl_Effect[],3,FALSE),EffectName[],IFERROR(MATCH(UI!$B$1,EffectName[#Headers],0),2),FALSE),"")</f>
        <v/>
      </c>
    </row>
    <row r="1189" spans="8:29" x14ac:dyDescent="0.4">
      <c r="H1189" t="str">
        <f t="shared" si="126"/>
        <v>7043400-Unset (紅)</v>
      </c>
      <c r="I1189">
        <v>7043400</v>
      </c>
      <c r="J1189" t="str">
        <f>_xlfn.IFNA(IF(I1189&lt;&gt;0,VLOOKUP(VLOOKUP(I1189,Tbl_Equip[],2,FALSE),Tbl_Color[],IFERROR(MATCH(UI!$B$1,Tbl_Color[#Headers],0),2),FALSE),""),"Unset")</f>
        <v>紅</v>
      </c>
      <c r="K1189" t="str">
        <f>_xlfn.IFNA(IF(I1189&lt;&gt;0,VLOOKUP(I1189,ItemText[],IFERROR(MATCH(UI!$B$1,ItemText[#Headers],0),2),FALSE),""),"Unset")</f>
        <v>Unset</v>
      </c>
      <c r="L1189" t="str">
        <f t="shared" si="127"/>
        <v/>
      </c>
      <c r="M1189">
        <v>0</v>
      </c>
      <c r="N1189" t="str">
        <f>IF(VALUE(M1189)=0,"",VLOOKUP(VLOOKUP(M1189,Tbl_Effect[],3,FALSE),EffectName[],IFERROR(MATCH(UI!$B$1,EffectName[#Headers],0),2),FALSE))</f>
        <v/>
      </c>
      <c r="O1189" t="str">
        <f t="shared" si="128"/>
        <v/>
      </c>
      <c r="P1189">
        <v>0</v>
      </c>
      <c r="Q1189" t="str">
        <f>IF(VALUE(P1189)=0,"",VLOOKUP(VLOOKUP(P1189,Tbl_Effect[],3,FALSE),EffectName[],IFERROR(MATCH(UI!$B$1,EffectName[#Headers],0),2),FALSE))</f>
        <v/>
      </c>
      <c r="R1189" t="str">
        <f t="shared" si="129"/>
        <v/>
      </c>
      <c r="S1189">
        <v>0</v>
      </c>
      <c r="T1189" t="str">
        <f>IF(VALUE(S1189)=0,"",VLOOKUP(VLOOKUP(S1189,Tbl_Effect[],3,FALSE),EffectName[],IFERROR(MATCH(UI!$B$1,EffectName[#Headers],0),2),FALSE))</f>
        <v/>
      </c>
      <c r="U1189" t="str">
        <f t="shared" si="130"/>
        <v/>
      </c>
      <c r="V1189">
        <v>0</v>
      </c>
      <c r="W1189" t="str">
        <f>IF(V1189&lt;&gt;0,VLOOKUP(VLOOKUP(V1189,Tbl_Effect[],3,FALSE),EffectName[],IFERROR(MATCH(UI!$B$1,EffectName[#Headers],0),2),FALSE),"")</f>
        <v/>
      </c>
      <c r="X1189" t="str">
        <f t="shared" si="131"/>
        <v/>
      </c>
      <c r="Y1189">
        <v>0</v>
      </c>
      <c r="Z1189" t="str">
        <f>IF(Y1189&lt;&gt;0,VLOOKUP(VLOOKUP(Y1189,Tbl_Effect[],3,FALSE),EffectName[],IFERROR(MATCH(UI!$B$1,EffectName[#Headers],0),2),FALSE),"")</f>
        <v/>
      </c>
      <c r="AA1189" t="str">
        <f t="shared" si="132"/>
        <v/>
      </c>
      <c r="AB1189">
        <v>0</v>
      </c>
      <c r="AC1189" t="str">
        <f>IF(AB1189&lt;&gt;0,VLOOKUP(VLOOKUP(AB1189,Tbl_Effect[],3,FALSE),EffectName[],IFERROR(MATCH(UI!$B$1,EffectName[#Headers],0),2),FALSE),"")</f>
        <v/>
      </c>
    </row>
    <row r="1190" spans="8:29" x14ac:dyDescent="0.4">
      <c r="H1190" t="str">
        <f t="shared" si="126"/>
        <v>7043500-Unset (紅)</v>
      </c>
      <c r="I1190">
        <v>7043500</v>
      </c>
      <c r="J1190" t="str">
        <f>_xlfn.IFNA(IF(I1190&lt;&gt;0,VLOOKUP(VLOOKUP(I1190,Tbl_Equip[],2,FALSE),Tbl_Color[],IFERROR(MATCH(UI!$B$1,Tbl_Color[#Headers],0),2),FALSE),""),"Unset")</f>
        <v>紅</v>
      </c>
      <c r="K1190" t="str">
        <f>_xlfn.IFNA(IF(I1190&lt;&gt;0,VLOOKUP(I1190,ItemText[],IFERROR(MATCH(UI!$B$1,ItemText[#Headers],0),2),FALSE),""),"Unset")</f>
        <v>Unset</v>
      </c>
      <c r="L1190" t="str">
        <f t="shared" si="127"/>
        <v/>
      </c>
      <c r="M1190">
        <v>0</v>
      </c>
      <c r="N1190" t="str">
        <f>IF(VALUE(M1190)=0,"",VLOOKUP(VLOOKUP(M1190,Tbl_Effect[],3,FALSE),EffectName[],IFERROR(MATCH(UI!$B$1,EffectName[#Headers],0),2),FALSE))</f>
        <v/>
      </c>
      <c r="O1190" t="str">
        <f t="shared" si="128"/>
        <v/>
      </c>
      <c r="P1190">
        <v>0</v>
      </c>
      <c r="Q1190" t="str">
        <f>IF(VALUE(P1190)=0,"",VLOOKUP(VLOOKUP(P1190,Tbl_Effect[],3,FALSE),EffectName[],IFERROR(MATCH(UI!$B$1,EffectName[#Headers],0),2),FALSE))</f>
        <v/>
      </c>
      <c r="R1190" t="str">
        <f t="shared" si="129"/>
        <v/>
      </c>
      <c r="S1190">
        <v>0</v>
      </c>
      <c r="T1190" t="str">
        <f>IF(VALUE(S1190)=0,"",VLOOKUP(VLOOKUP(S1190,Tbl_Effect[],3,FALSE),EffectName[],IFERROR(MATCH(UI!$B$1,EffectName[#Headers],0),2),FALSE))</f>
        <v/>
      </c>
      <c r="U1190" t="str">
        <f t="shared" si="130"/>
        <v/>
      </c>
      <c r="V1190">
        <v>0</v>
      </c>
      <c r="W1190" t="str">
        <f>IF(V1190&lt;&gt;0,VLOOKUP(VLOOKUP(V1190,Tbl_Effect[],3,FALSE),EffectName[],IFERROR(MATCH(UI!$B$1,EffectName[#Headers],0),2),FALSE),"")</f>
        <v/>
      </c>
      <c r="X1190" t="str">
        <f t="shared" si="131"/>
        <v/>
      </c>
      <c r="Y1190">
        <v>0</v>
      </c>
      <c r="Z1190" t="str">
        <f>IF(Y1190&lt;&gt;0,VLOOKUP(VLOOKUP(Y1190,Tbl_Effect[],3,FALSE),EffectName[],IFERROR(MATCH(UI!$B$1,EffectName[#Headers],0),2),FALSE),"")</f>
        <v/>
      </c>
      <c r="AA1190" t="str">
        <f t="shared" si="132"/>
        <v/>
      </c>
      <c r="AB1190">
        <v>0</v>
      </c>
      <c r="AC1190" t="str">
        <f>IF(AB1190&lt;&gt;0,VLOOKUP(VLOOKUP(AB1190,Tbl_Effect[],3,FALSE),EffectName[],IFERROR(MATCH(UI!$B$1,EffectName[#Headers],0),2),FALSE),"")</f>
        <v/>
      </c>
    </row>
    <row r="1191" spans="8:29" x14ac:dyDescent="0.4">
      <c r="H1191" t="str">
        <f t="shared" si="126"/>
        <v>7043600-Unset (紅)</v>
      </c>
      <c r="I1191">
        <v>7043600</v>
      </c>
      <c r="J1191" t="str">
        <f>_xlfn.IFNA(IF(I1191&lt;&gt;0,VLOOKUP(VLOOKUP(I1191,Tbl_Equip[],2,FALSE),Tbl_Color[],IFERROR(MATCH(UI!$B$1,Tbl_Color[#Headers],0),2),FALSE),""),"Unset")</f>
        <v>紅</v>
      </c>
      <c r="K1191" t="str">
        <f>_xlfn.IFNA(IF(I1191&lt;&gt;0,VLOOKUP(I1191,ItemText[],IFERROR(MATCH(UI!$B$1,ItemText[#Headers],0),2),FALSE),""),"Unset")</f>
        <v>Unset</v>
      </c>
      <c r="L1191" t="str">
        <f t="shared" si="127"/>
        <v/>
      </c>
      <c r="M1191">
        <v>0</v>
      </c>
      <c r="N1191" t="str">
        <f>IF(VALUE(M1191)=0,"",VLOOKUP(VLOOKUP(M1191,Tbl_Effect[],3,FALSE),EffectName[],IFERROR(MATCH(UI!$B$1,EffectName[#Headers],0),2),FALSE))</f>
        <v/>
      </c>
      <c r="O1191" t="str">
        <f t="shared" si="128"/>
        <v/>
      </c>
      <c r="P1191">
        <v>0</v>
      </c>
      <c r="Q1191" t="str">
        <f>IF(VALUE(P1191)=0,"",VLOOKUP(VLOOKUP(P1191,Tbl_Effect[],3,FALSE),EffectName[],IFERROR(MATCH(UI!$B$1,EffectName[#Headers],0),2),FALSE))</f>
        <v/>
      </c>
      <c r="R1191" t="str">
        <f t="shared" si="129"/>
        <v/>
      </c>
      <c r="S1191">
        <v>0</v>
      </c>
      <c r="T1191" t="str">
        <f>IF(VALUE(S1191)=0,"",VLOOKUP(VLOOKUP(S1191,Tbl_Effect[],3,FALSE),EffectName[],IFERROR(MATCH(UI!$B$1,EffectName[#Headers],0),2),FALSE))</f>
        <v/>
      </c>
      <c r="U1191" t="str">
        <f t="shared" si="130"/>
        <v/>
      </c>
      <c r="V1191">
        <v>0</v>
      </c>
      <c r="W1191" t="str">
        <f>IF(V1191&lt;&gt;0,VLOOKUP(VLOOKUP(V1191,Tbl_Effect[],3,FALSE),EffectName[],IFERROR(MATCH(UI!$B$1,EffectName[#Headers],0),2),FALSE),"")</f>
        <v/>
      </c>
      <c r="X1191" t="str">
        <f t="shared" si="131"/>
        <v/>
      </c>
      <c r="Y1191">
        <v>0</v>
      </c>
      <c r="Z1191" t="str">
        <f>IF(Y1191&lt;&gt;0,VLOOKUP(VLOOKUP(Y1191,Tbl_Effect[],3,FALSE),EffectName[],IFERROR(MATCH(UI!$B$1,EffectName[#Headers],0),2),FALSE),"")</f>
        <v/>
      </c>
      <c r="AA1191" t="str">
        <f t="shared" si="132"/>
        <v/>
      </c>
      <c r="AB1191">
        <v>0</v>
      </c>
      <c r="AC1191" t="str">
        <f>IF(AB1191&lt;&gt;0,VLOOKUP(VLOOKUP(AB1191,Tbl_Effect[],3,FALSE),EffectName[],IFERROR(MATCH(UI!$B$1,EffectName[#Headers],0),2),FALSE),"")</f>
        <v/>
      </c>
    </row>
    <row r="1192" spans="8:29" x14ac:dyDescent="0.4">
      <c r="H1192" t="str">
        <f t="shared" si="126"/>
        <v>7043700-Unset (紅)</v>
      </c>
      <c r="I1192">
        <v>7043700</v>
      </c>
      <c r="J1192" t="str">
        <f>_xlfn.IFNA(IF(I1192&lt;&gt;0,VLOOKUP(VLOOKUP(I1192,Tbl_Equip[],2,FALSE),Tbl_Color[],IFERROR(MATCH(UI!$B$1,Tbl_Color[#Headers],0),2),FALSE),""),"Unset")</f>
        <v>紅</v>
      </c>
      <c r="K1192" t="str">
        <f>_xlfn.IFNA(IF(I1192&lt;&gt;0,VLOOKUP(I1192,ItemText[],IFERROR(MATCH(UI!$B$1,ItemText[#Headers],0),2),FALSE),""),"Unset")</f>
        <v>Unset</v>
      </c>
      <c r="L1192" t="str">
        <f t="shared" si="127"/>
        <v/>
      </c>
      <c r="M1192">
        <v>0</v>
      </c>
      <c r="N1192" t="str">
        <f>IF(VALUE(M1192)=0,"",VLOOKUP(VLOOKUP(M1192,Tbl_Effect[],3,FALSE),EffectName[],IFERROR(MATCH(UI!$B$1,EffectName[#Headers],0),2),FALSE))</f>
        <v/>
      </c>
      <c r="O1192" t="str">
        <f t="shared" si="128"/>
        <v/>
      </c>
      <c r="P1192">
        <v>0</v>
      </c>
      <c r="Q1192" t="str">
        <f>IF(VALUE(P1192)=0,"",VLOOKUP(VLOOKUP(P1192,Tbl_Effect[],3,FALSE),EffectName[],IFERROR(MATCH(UI!$B$1,EffectName[#Headers],0),2),FALSE))</f>
        <v/>
      </c>
      <c r="R1192" t="str">
        <f t="shared" si="129"/>
        <v/>
      </c>
      <c r="S1192">
        <v>0</v>
      </c>
      <c r="T1192" t="str">
        <f>IF(VALUE(S1192)=0,"",VLOOKUP(VLOOKUP(S1192,Tbl_Effect[],3,FALSE),EffectName[],IFERROR(MATCH(UI!$B$1,EffectName[#Headers],0),2),FALSE))</f>
        <v/>
      </c>
      <c r="U1192" t="str">
        <f t="shared" si="130"/>
        <v/>
      </c>
      <c r="V1192">
        <v>0</v>
      </c>
      <c r="W1192" t="str">
        <f>IF(V1192&lt;&gt;0,VLOOKUP(VLOOKUP(V1192,Tbl_Effect[],3,FALSE),EffectName[],IFERROR(MATCH(UI!$B$1,EffectName[#Headers],0),2),FALSE),"")</f>
        <v/>
      </c>
      <c r="X1192" t="str">
        <f t="shared" si="131"/>
        <v/>
      </c>
      <c r="Y1192">
        <v>0</v>
      </c>
      <c r="Z1192" t="str">
        <f>IF(Y1192&lt;&gt;0,VLOOKUP(VLOOKUP(Y1192,Tbl_Effect[],3,FALSE),EffectName[],IFERROR(MATCH(UI!$B$1,EffectName[#Headers],0),2),FALSE),"")</f>
        <v/>
      </c>
      <c r="AA1192" t="str">
        <f t="shared" si="132"/>
        <v/>
      </c>
      <c r="AB1192">
        <v>0</v>
      </c>
      <c r="AC1192" t="str">
        <f>IF(AB1192&lt;&gt;0,VLOOKUP(VLOOKUP(AB1192,Tbl_Effect[],3,FALSE),EffectName[],IFERROR(MATCH(UI!$B$1,EffectName[#Headers],0),2),FALSE),"")</f>
        <v/>
      </c>
    </row>
    <row r="1193" spans="8:29" x14ac:dyDescent="0.4">
      <c r="H1193" t="str">
        <f t="shared" si="126"/>
        <v>7043800-Unset (紅)</v>
      </c>
      <c r="I1193">
        <v>7043800</v>
      </c>
      <c r="J1193" t="str">
        <f>_xlfn.IFNA(IF(I1193&lt;&gt;0,VLOOKUP(VLOOKUP(I1193,Tbl_Equip[],2,FALSE),Tbl_Color[],IFERROR(MATCH(UI!$B$1,Tbl_Color[#Headers],0),2),FALSE),""),"Unset")</f>
        <v>紅</v>
      </c>
      <c r="K1193" t="str">
        <f>_xlfn.IFNA(IF(I1193&lt;&gt;0,VLOOKUP(I1193,ItemText[],IFERROR(MATCH(UI!$B$1,ItemText[#Headers],0),2),FALSE),""),"Unset")</f>
        <v>Unset</v>
      </c>
      <c r="L1193" t="str">
        <f t="shared" si="127"/>
        <v/>
      </c>
      <c r="M1193">
        <v>0</v>
      </c>
      <c r="N1193" t="str">
        <f>IF(VALUE(M1193)=0,"",VLOOKUP(VLOOKUP(M1193,Tbl_Effect[],3,FALSE),EffectName[],IFERROR(MATCH(UI!$B$1,EffectName[#Headers],0),2),FALSE))</f>
        <v/>
      </c>
      <c r="O1193" t="str">
        <f t="shared" si="128"/>
        <v/>
      </c>
      <c r="P1193">
        <v>0</v>
      </c>
      <c r="Q1193" t="str">
        <f>IF(VALUE(P1193)=0,"",VLOOKUP(VLOOKUP(P1193,Tbl_Effect[],3,FALSE),EffectName[],IFERROR(MATCH(UI!$B$1,EffectName[#Headers],0),2),FALSE))</f>
        <v/>
      </c>
      <c r="R1193" t="str">
        <f t="shared" si="129"/>
        <v/>
      </c>
      <c r="S1193">
        <v>0</v>
      </c>
      <c r="T1193" t="str">
        <f>IF(VALUE(S1193)=0,"",VLOOKUP(VLOOKUP(S1193,Tbl_Effect[],3,FALSE),EffectName[],IFERROR(MATCH(UI!$B$1,EffectName[#Headers],0),2),FALSE))</f>
        <v/>
      </c>
      <c r="U1193" t="str">
        <f t="shared" si="130"/>
        <v/>
      </c>
      <c r="V1193">
        <v>0</v>
      </c>
      <c r="W1193" t="str">
        <f>IF(V1193&lt;&gt;0,VLOOKUP(VLOOKUP(V1193,Tbl_Effect[],3,FALSE),EffectName[],IFERROR(MATCH(UI!$B$1,EffectName[#Headers],0),2),FALSE),"")</f>
        <v/>
      </c>
      <c r="X1193" t="str">
        <f t="shared" si="131"/>
        <v/>
      </c>
      <c r="Y1193">
        <v>0</v>
      </c>
      <c r="Z1193" t="str">
        <f>IF(Y1193&lt;&gt;0,VLOOKUP(VLOOKUP(Y1193,Tbl_Effect[],3,FALSE),EffectName[],IFERROR(MATCH(UI!$B$1,EffectName[#Headers],0),2),FALSE),"")</f>
        <v/>
      </c>
      <c r="AA1193" t="str">
        <f t="shared" si="132"/>
        <v/>
      </c>
      <c r="AB1193">
        <v>0</v>
      </c>
      <c r="AC1193" t="str">
        <f>IF(AB1193&lt;&gt;0,VLOOKUP(VLOOKUP(AB1193,Tbl_Effect[],3,FALSE),EffectName[],IFERROR(MATCH(UI!$B$1,EffectName[#Headers],0),2),FALSE),"")</f>
        <v/>
      </c>
    </row>
    <row r="1194" spans="8:29" x14ac:dyDescent="0.4">
      <c r="H1194" t="str">
        <f t="shared" si="126"/>
        <v>7044000-Unset (紅)</v>
      </c>
      <c r="I1194">
        <v>7044000</v>
      </c>
      <c r="J1194" t="str">
        <f>_xlfn.IFNA(IF(I1194&lt;&gt;0,VLOOKUP(VLOOKUP(I1194,Tbl_Equip[],2,FALSE),Tbl_Color[],IFERROR(MATCH(UI!$B$1,Tbl_Color[#Headers],0),2),FALSE),""),"Unset")</f>
        <v>紅</v>
      </c>
      <c r="K1194" t="str">
        <f>_xlfn.IFNA(IF(I1194&lt;&gt;0,VLOOKUP(I1194,ItemText[],IFERROR(MATCH(UI!$B$1,ItemText[#Headers],0),2),FALSE),""),"Unset")</f>
        <v>Unset</v>
      </c>
      <c r="L1194" t="str">
        <f t="shared" si="127"/>
        <v/>
      </c>
      <c r="M1194">
        <v>0</v>
      </c>
      <c r="N1194" t="str">
        <f>IF(VALUE(M1194)=0,"",VLOOKUP(VLOOKUP(M1194,Tbl_Effect[],3,FALSE),EffectName[],IFERROR(MATCH(UI!$B$1,EffectName[#Headers],0),2),FALSE))</f>
        <v/>
      </c>
      <c r="O1194" t="str">
        <f t="shared" si="128"/>
        <v/>
      </c>
      <c r="P1194">
        <v>0</v>
      </c>
      <c r="Q1194" t="str">
        <f>IF(VALUE(P1194)=0,"",VLOOKUP(VLOOKUP(P1194,Tbl_Effect[],3,FALSE),EffectName[],IFERROR(MATCH(UI!$B$1,EffectName[#Headers],0),2),FALSE))</f>
        <v/>
      </c>
      <c r="R1194" t="str">
        <f t="shared" si="129"/>
        <v/>
      </c>
      <c r="S1194">
        <v>0</v>
      </c>
      <c r="T1194" t="str">
        <f>IF(VALUE(S1194)=0,"",VLOOKUP(VLOOKUP(S1194,Tbl_Effect[],3,FALSE),EffectName[],IFERROR(MATCH(UI!$B$1,EffectName[#Headers],0),2),FALSE))</f>
        <v/>
      </c>
      <c r="U1194" t="str">
        <f t="shared" si="130"/>
        <v/>
      </c>
      <c r="V1194">
        <v>0</v>
      </c>
      <c r="W1194" t="str">
        <f>IF(V1194&lt;&gt;0,VLOOKUP(VLOOKUP(V1194,Tbl_Effect[],3,FALSE),EffectName[],IFERROR(MATCH(UI!$B$1,EffectName[#Headers],0),2),FALSE),"")</f>
        <v/>
      </c>
      <c r="X1194" t="str">
        <f t="shared" si="131"/>
        <v/>
      </c>
      <c r="Y1194">
        <v>0</v>
      </c>
      <c r="Z1194" t="str">
        <f>IF(Y1194&lt;&gt;0,VLOOKUP(VLOOKUP(Y1194,Tbl_Effect[],3,FALSE),EffectName[],IFERROR(MATCH(UI!$B$1,EffectName[#Headers],0),2),FALSE),"")</f>
        <v/>
      </c>
      <c r="AA1194" t="str">
        <f t="shared" si="132"/>
        <v/>
      </c>
      <c r="AB1194">
        <v>0</v>
      </c>
      <c r="AC1194" t="str">
        <f>IF(AB1194&lt;&gt;0,VLOOKUP(VLOOKUP(AB1194,Tbl_Effect[],3,FALSE),EffectName[],IFERROR(MATCH(UI!$B$1,EffectName[#Headers],0),2),FALSE),"")</f>
        <v/>
      </c>
    </row>
    <row r="1195" spans="8:29" x14ac:dyDescent="0.4">
      <c r="H1195" t="str">
        <f t="shared" si="126"/>
        <v>7044100-Unset (紅)</v>
      </c>
      <c r="I1195">
        <v>7044100</v>
      </c>
      <c r="J1195" t="str">
        <f>_xlfn.IFNA(IF(I1195&lt;&gt;0,VLOOKUP(VLOOKUP(I1195,Tbl_Equip[],2,FALSE),Tbl_Color[],IFERROR(MATCH(UI!$B$1,Tbl_Color[#Headers],0),2),FALSE),""),"Unset")</f>
        <v>紅</v>
      </c>
      <c r="K1195" t="str">
        <f>_xlfn.IFNA(IF(I1195&lt;&gt;0,VLOOKUP(I1195,ItemText[],IFERROR(MATCH(UI!$B$1,ItemText[#Headers],0),2),FALSE),""),"Unset")</f>
        <v>Unset</v>
      </c>
      <c r="L1195" t="str">
        <f t="shared" si="127"/>
        <v/>
      </c>
      <c r="M1195">
        <v>0</v>
      </c>
      <c r="N1195" t="str">
        <f>IF(VALUE(M1195)=0,"",VLOOKUP(VLOOKUP(M1195,Tbl_Effect[],3,FALSE),EffectName[],IFERROR(MATCH(UI!$B$1,EffectName[#Headers],0),2),FALSE))</f>
        <v/>
      </c>
      <c r="O1195" t="str">
        <f t="shared" si="128"/>
        <v/>
      </c>
      <c r="P1195">
        <v>0</v>
      </c>
      <c r="Q1195" t="str">
        <f>IF(VALUE(P1195)=0,"",VLOOKUP(VLOOKUP(P1195,Tbl_Effect[],3,FALSE),EffectName[],IFERROR(MATCH(UI!$B$1,EffectName[#Headers],0),2),FALSE))</f>
        <v/>
      </c>
      <c r="R1195" t="str">
        <f t="shared" si="129"/>
        <v/>
      </c>
      <c r="S1195">
        <v>0</v>
      </c>
      <c r="T1195" t="str">
        <f>IF(VALUE(S1195)=0,"",VLOOKUP(VLOOKUP(S1195,Tbl_Effect[],3,FALSE),EffectName[],IFERROR(MATCH(UI!$B$1,EffectName[#Headers],0),2),FALSE))</f>
        <v/>
      </c>
      <c r="U1195" t="str">
        <f t="shared" si="130"/>
        <v/>
      </c>
      <c r="V1195">
        <v>0</v>
      </c>
      <c r="W1195" t="str">
        <f>IF(V1195&lt;&gt;0,VLOOKUP(VLOOKUP(V1195,Tbl_Effect[],3,FALSE),EffectName[],IFERROR(MATCH(UI!$B$1,EffectName[#Headers],0),2),FALSE),"")</f>
        <v/>
      </c>
      <c r="X1195" t="str">
        <f t="shared" si="131"/>
        <v/>
      </c>
      <c r="Y1195">
        <v>0</v>
      </c>
      <c r="Z1195" t="str">
        <f>IF(Y1195&lt;&gt;0,VLOOKUP(VLOOKUP(Y1195,Tbl_Effect[],3,FALSE),EffectName[],IFERROR(MATCH(UI!$B$1,EffectName[#Headers],0),2),FALSE),"")</f>
        <v/>
      </c>
      <c r="AA1195" t="str">
        <f t="shared" si="132"/>
        <v/>
      </c>
      <c r="AB1195">
        <v>0</v>
      </c>
      <c r="AC1195" t="str">
        <f>IF(AB1195&lt;&gt;0,VLOOKUP(VLOOKUP(AB1195,Tbl_Effect[],3,FALSE),EffectName[],IFERROR(MATCH(UI!$B$1,EffectName[#Headers],0),2),FALSE),"")</f>
        <v/>
      </c>
    </row>
    <row r="1196" spans="8:29" x14ac:dyDescent="0.4">
      <c r="H1196" t="str">
        <f t="shared" si="126"/>
        <v>7044200-Unset (紅)</v>
      </c>
      <c r="I1196">
        <v>7044200</v>
      </c>
      <c r="J1196" t="str">
        <f>_xlfn.IFNA(IF(I1196&lt;&gt;0,VLOOKUP(VLOOKUP(I1196,Tbl_Equip[],2,FALSE),Tbl_Color[],IFERROR(MATCH(UI!$B$1,Tbl_Color[#Headers],0),2),FALSE),""),"Unset")</f>
        <v>紅</v>
      </c>
      <c r="K1196" t="str">
        <f>_xlfn.IFNA(IF(I1196&lt;&gt;0,VLOOKUP(I1196,ItemText[],IFERROR(MATCH(UI!$B$1,ItemText[#Headers],0),2),FALSE),""),"Unset")</f>
        <v>Unset</v>
      </c>
      <c r="L1196" t="str">
        <f t="shared" si="127"/>
        <v/>
      </c>
      <c r="M1196">
        <v>0</v>
      </c>
      <c r="N1196" t="str">
        <f>IF(VALUE(M1196)=0,"",VLOOKUP(VLOOKUP(M1196,Tbl_Effect[],3,FALSE),EffectName[],IFERROR(MATCH(UI!$B$1,EffectName[#Headers],0),2),FALSE))</f>
        <v/>
      </c>
      <c r="O1196" t="str">
        <f t="shared" si="128"/>
        <v/>
      </c>
      <c r="P1196">
        <v>0</v>
      </c>
      <c r="Q1196" t="str">
        <f>IF(VALUE(P1196)=0,"",VLOOKUP(VLOOKUP(P1196,Tbl_Effect[],3,FALSE),EffectName[],IFERROR(MATCH(UI!$B$1,EffectName[#Headers],0),2),FALSE))</f>
        <v/>
      </c>
      <c r="R1196" t="str">
        <f t="shared" si="129"/>
        <v/>
      </c>
      <c r="S1196">
        <v>0</v>
      </c>
      <c r="T1196" t="str">
        <f>IF(VALUE(S1196)=0,"",VLOOKUP(VLOOKUP(S1196,Tbl_Effect[],3,FALSE),EffectName[],IFERROR(MATCH(UI!$B$1,EffectName[#Headers],0),2),FALSE))</f>
        <v/>
      </c>
      <c r="U1196" t="str">
        <f t="shared" si="130"/>
        <v/>
      </c>
      <c r="V1196">
        <v>0</v>
      </c>
      <c r="W1196" t="str">
        <f>IF(V1196&lt;&gt;0,VLOOKUP(VLOOKUP(V1196,Tbl_Effect[],3,FALSE),EffectName[],IFERROR(MATCH(UI!$B$1,EffectName[#Headers],0),2),FALSE),"")</f>
        <v/>
      </c>
      <c r="X1196" t="str">
        <f t="shared" si="131"/>
        <v/>
      </c>
      <c r="Y1196">
        <v>0</v>
      </c>
      <c r="Z1196" t="str">
        <f>IF(Y1196&lt;&gt;0,VLOOKUP(VLOOKUP(Y1196,Tbl_Effect[],3,FALSE),EffectName[],IFERROR(MATCH(UI!$B$1,EffectName[#Headers],0),2),FALSE),"")</f>
        <v/>
      </c>
      <c r="AA1196" t="str">
        <f t="shared" si="132"/>
        <v/>
      </c>
      <c r="AB1196">
        <v>0</v>
      </c>
      <c r="AC1196" t="str">
        <f>IF(AB1196&lt;&gt;0,VLOOKUP(VLOOKUP(AB1196,Tbl_Effect[],3,FALSE),EffectName[],IFERROR(MATCH(UI!$B$1,EffectName[#Headers],0),2),FALSE),"")</f>
        <v/>
      </c>
    </row>
    <row r="1197" spans="8:29" x14ac:dyDescent="0.4">
      <c r="H1197" t="str">
        <f t="shared" si="126"/>
        <v>7044300-Unset (紅)</v>
      </c>
      <c r="I1197">
        <v>7044300</v>
      </c>
      <c r="J1197" t="str">
        <f>_xlfn.IFNA(IF(I1197&lt;&gt;0,VLOOKUP(VLOOKUP(I1197,Tbl_Equip[],2,FALSE),Tbl_Color[],IFERROR(MATCH(UI!$B$1,Tbl_Color[#Headers],0),2),FALSE),""),"Unset")</f>
        <v>紅</v>
      </c>
      <c r="K1197" t="str">
        <f>_xlfn.IFNA(IF(I1197&lt;&gt;0,VLOOKUP(I1197,ItemText[],IFERROR(MATCH(UI!$B$1,ItemText[#Headers],0),2),FALSE),""),"Unset")</f>
        <v>Unset</v>
      </c>
      <c r="L1197" t="str">
        <f t="shared" si="127"/>
        <v/>
      </c>
      <c r="M1197">
        <v>0</v>
      </c>
      <c r="N1197" t="str">
        <f>IF(VALUE(M1197)=0,"",VLOOKUP(VLOOKUP(M1197,Tbl_Effect[],3,FALSE),EffectName[],IFERROR(MATCH(UI!$B$1,EffectName[#Headers],0),2),FALSE))</f>
        <v/>
      </c>
      <c r="O1197" t="str">
        <f t="shared" si="128"/>
        <v/>
      </c>
      <c r="P1197">
        <v>0</v>
      </c>
      <c r="Q1197" t="str">
        <f>IF(VALUE(P1197)=0,"",VLOOKUP(VLOOKUP(P1197,Tbl_Effect[],3,FALSE),EffectName[],IFERROR(MATCH(UI!$B$1,EffectName[#Headers],0),2),FALSE))</f>
        <v/>
      </c>
      <c r="R1197" t="str">
        <f t="shared" si="129"/>
        <v/>
      </c>
      <c r="S1197">
        <v>0</v>
      </c>
      <c r="T1197" t="str">
        <f>IF(VALUE(S1197)=0,"",VLOOKUP(VLOOKUP(S1197,Tbl_Effect[],3,FALSE),EffectName[],IFERROR(MATCH(UI!$B$1,EffectName[#Headers],0),2),FALSE))</f>
        <v/>
      </c>
      <c r="U1197" t="str">
        <f t="shared" si="130"/>
        <v/>
      </c>
      <c r="V1197">
        <v>0</v>
      </c>
      <c r="W1197" t="str">
        <f>IF(V1197&lt;&gt;0,VLOOKUP(VLOOKUP(V1197,Tbl_Effect[],3,FALSE),EffectName[],IFERROR(MATCH(UI!$B$1,EffectName[#Headers],0),2),FALSE),"")</f>
        <v/>
      </c>
      <c r="X1197" t="str">
        <f t="shared" si="131"/>
        <v/>
      </c>
      <c r="Y1197">
        <v>0</v>
      </c>
      <c r="Z1197" t="str">
        <f>IF(Y1197&lt;&gt;0,VLOOKUP(VLOOKUP(Y1197,Tbl_Effect[],3,FALSE),EffectName[],IFERROR(MATCH(UI!$B$1,EffectName[#Headers],0),2),FALSE),"")</f>
        <v/>
      </c>
      <c r="AA1197" t="str">
        <f t="shared" si="132"/>
        <v/>
      </c>
      <c r="AB1197">
        <v>0</v>
      </c>
      <c r="AC1197" t="str">
        <f>IF(AB1197&lt;&gt;0,VLOOKUP(VLOOKUP(AB1197,Tbl_Effect[],3,FALSE),EffectName[],IFERROR(MATCH(UI!$B$1,EffectName[#Headers],0),2),FALSE),"")</f>
        <v/>
      </c>
    </row>
    <row r="1198" spans="8:29" x14ac:dyDescent="0.4">
      <c r="H1198" t="str">
        <f t="shared" si="126"/>
        <v>7044400-Unset (紅)</v>
      </c>
      <c r="I1198">
        <v>7044400</v>
      </c>
      <c r="J1198" t="str">
        <f>_xlfn.IFNA(IF(I1198&lt;&gt;0,VLOOKUP(VLOOKUP(I1198,Tbl_Equip[],2,FALSE),Tbl_Color[],IFERROR(MATCH(UI!$B$1,Tbl_Color[#Headers],0),2),FALSE),""),"Unset")</f>
        <v>紅</v>
      </c>
      <c r="K1198" t="str">
        <f>_xlfn.IFNA(IF(I1198&lt;&gt;0,VLOOKUP(I1198,ItemText[],IFERROR(MATCH(UI!$B$1,ItemText[#Headers],0),2),FALSE),""),"Unset")</f>
        <v>Unset</v>
      </c>
      <c r="L1198" t="str">
        <f t="shared" si="127"/>
        <v/>
      </c>
      <c r="M1198">
        <v>0</v>
      </c>
      <c r="N1198" t="str">
        <f>IF(VALUE(M1198)=0,"",VLOOKUP(VLOOKUP(M1198,Tbl_Effect[],3,FALSE),EffectName[],IFERROR(MATCH(UI!$B$1,EffectName[#Headers],0),2),FALSE))</f>
        <v/>
      </c>
      <c r="O1198" t="str">
        <f t="shared" si="128"/>
        <v/>
      </c>
      <c r="P1198">
        <v>0</v>
      </c>
      <c r="Q1198" t="str">
        <f>IF(VALUE(P1198)=0,"",VLOOKUP(VLOOKUP(P1198,Tbl_Effect[],3,FALSE),EffectName[],IFERROR(MATCH(UI!$B$1,EffectName[#Headers],0),2),FALSE))</f>
        <v/>
      </c>
      <c r="R1198" t="str">
        <f t="shared" si="129"/>
        <v/>
      </c>
      <c r="S1198">
        <v>0</v>
      </c>
      <c r="T1198" t="str">
        <f>IF(VALUE(S1198)=0,"",VLOOKUP(VLOOKUP(S1198,Tbl_Effect[],3,FALSE),EffectName[],IFERROR(MATCH(UI!$B$1,EffectName[#Headers],0),2),FALSE))</f>
        <v/>
      </c>
      <c r="U1198" t="str">
        <f t="shared" si="130"/>
        <v/>
      </c>
      <c r="V1198">
        <v>0</v>
      </c>
      <c r="W1198" t="str">
        <f>IF(V1198&lt;&gt;0,VLOOKUP(VLOOKUP(V1198,Tbl_Effect[],3,FALSE),EffectName[],IFERROR(MATCH(UI!$B$1,EffectName[#Headers],0),2),FALSE),"")</f>
        <v/>
      </c>
      <c r="X1198" t="str">
        <f t="shared" si="131"/>
        <v/>
      </c>
      <c r="Y1198">
        <v>0</v>
      </c>
      <c r="Z1198" t="str">
        <f>IF(Y1198&lt;&gt;0,VLOOKUP(VLOOKUP(Y1198,Tbl_Effect[],3,FALSE),EffectName[],IFERROR(MATCH(UI!$B$1,EffectName[#Headers],0),2),FALSE),"")</f>
        <v/>
      </c>
      <c r="AA1198" t="str">
        <f t="shared" si="132"/>
        <v/>
      </c>
      <c r="AB1198">
        <v>0</v>
      </c>
      <c r="AC1198" t="str">
        <f>IF(AB1198&lt;&gt;0,VLOOKUP(VLOOKUP(AB1198,Tbl_Effect[],3,FALSE),EffectName[],IFERROR(MATCH(UI!$B$1,EffectName[#Headers],0),2),FALSE),"")</f>
        <v/>
      </c>
    </row>
    <row r="1199" spans="8:29" x14ac:dyDescent="0.4">
      <c r="H1199" t="str">
        <f t="shared" si="126"/>
        <v>7044500-Unset (紅)</v>
      </c>
      <c r="I1199">
        <v>7044500</v>
      </c>
      <c r="J1199" t="str">
        <f>_xlfn.IFNA(IF(I1199&lt;&gt;0,VLOOKUP(VLOOKUP(I1199,Tbl_Equip[],2,FALSE),Tbl_Color[],IFERROR(MATCH(UI!$B$1,Tbl_Color[#Headers],0),2),FALSE),""),"Unset")</f>
        <v>紅</v>
      </c>
      <c r="K1199" t="str">
        <f>_xlfn.IFNA(IF(I1199&lt;&gt;0,VLOOKUP(I1199,ItemText[],IFERROR(MATCH(UI!$B$1,ItemText[#Headers],0),2),FALSE),""),"Unset")</f>
        <v>Unset</v>
      </c>
      <c r="L1199" t="str">
        <f t="shared" si="127"/>
        <v/>
      </c>
      <c r="M1199">
        <v>0</v>
      </c>
      <c r="N1199" t="str">
        <f>IF(VALUE(M1199)=0,"",VLOOKUP(VLOOKUP(M1199,Tbl_Effect[],3,FALSE),EffectName[],IFERROR(MATCH(UI!$B$1,EffectName[#Headers],0),2),FALSE))</f>
        <v/>
      </c>
      <c r="O1199" t="str">
        <f t="shared" si="128"/>
        <v/>
      </c>
      <c r="P1199">
        <v>0</v>
      </c>
      <c r="Q1199" t="str">
        <f>IF(VALUE(P1199)=0,"",VLOOKUP(VLOOKUP(P1199,Tbl_Effect[],3,FALSE),EffectName[],IFERROR(MATCH(UI!$B$1,EffectName[#Headers],0),2),FALSE))</f>
        <v/>
      </c>
      <c r="R1199" t="str">
        <f t="shared" si="129"/>
        <v/>
      </c>
      <c r="S1199">
        <v>0</v>
      </c>
      <c r="T1199" t="str">
        <f>IF(VALUE(S1199)=0,"",VLOOKUP(VLOOKUP(S1199,Tbl_Effect[],3,FALSE),EffectName[],IFERROR(MATCH(UI!$B$1,EffectName[#Headers],0),2),FALSE))</f>
        <v/>
      </c>
      <c r="U1199" t="str">
        <f t="shared" si="130"/>
        <v/>
      </c>
      <c r="V1199">
        <v>0</v>
      </c>
      <c r="W1199" t="str">
        <f>IF(V1199&lt;&gt;0,VLOOKUP(VLOOKUP(V1199,Tbl_Effect[],3,FALSE),EffectName[],IFERROR(MATCH(UI!$B$1,EffectName[#Headers],0),2),FALSE),"")</f>
        <v/>
      </c>
      <c r="X1199" t="str">
        <f t="shared" si="131"/>
        <v/>
      </c>
      <c r="Y1199">
        <v>0</v>
      </c>
      <c r="Z1199" t="str">
        <f>IF(Y1199&lt;&gt;0,VLOOKUP(VLOOKUP(Y1199,Tbl_Effect[],3,FALSE),EffectName[],IFERROR(MATCH(UI!$B$1,EffectName[#Headers],0),2),FALSE),"")</f>
        <v/>
      </c>
      <c r="AA1199" t="str">
        <f t="shared" si="132"/>
        <v/>
      </c>
      <c r="AB1199">
        <v>0</v>
      </c>
      <c r="AC1199" t="str">
        <f>IF(AB1199&lt;&gt;0,VLOOKUP(VLOOKUP(AB1199,Tbl_Effect[],3,FALSE),EffectName[],IFERROR(MATCH(UI!$B$1,EffectName[#Headers],0),2),FALSE),"")</f>
        <v/>
      </c>
    </row>
    <row r="1200" spans="8:29" x14ac:dyDescent="0.4">
      <c r="H1200" t="str">
        <f t="shared" si="126"/>
        <v>7044600-Unset (紅)</v>
      </c>
      <c r="I1200">
        <v>7044600</v>
      </c>
      <c r="J1200" t="str">
        <f>_xlfn.IFNA(IF(I1200&lt;&gt;0,VLOOKUP(VLOOKUP(I1200,Tbl_Equip[],2,FALSE),Tbl_Color[],IFERROR(MATCH(UI!$B$1,Tbl_Color[#Headers],0),2),FALSE),""),"Unset")</f>
        <v>紅</v>
      </c>
      <c r="K1200" t="str">
        <f>_xlfn.IFNA(IF(I1200&lt;&gt;0,VLOOKUP(I1200,ItemText[],IFERROR(MATCH(UI!$B$1,ItemText[#Headers],0),2),FALSE),""),"Unset")</f>
        <v>Unset</v>
      </c>
      <c r="L1200" t="str">
        <f t="shared" si="127"/>
        <v/>
      </c>
      <c r="M1200">
        <v>0</v>
      </c>
      <c r="N1200" t="str">
        <f>IF(VALUE(M1200)=0,"",VLOOKUP(VLOOKUP(M1200,Tbl_Effect[],3,FALSE),EffectName[],IFERROR(MATCH(UI!$B$1,EffectName[#Headers],0),2),FALSE))</f>
        <v/>
      </c>
      <c r="O1200" t="str">
        <f t="shared" si="128"/>
        <v/>
      </c>
      <c r="P1200">
        <v>0</v>
      </c>
      <c r="Q1200" t="str">
        <f>IF(VALUE(P1200)=0,"",VLOOKUP(VLOOKUP(P1200,Tbl_Effect[],3,FALSE),EffectName[],IFERROR(MATCH(UI!$B$1,EffectName[#Headers],0),2),FALSE))</f>
        <v/>
      </c>
      <c r="R1200" t="str">
        <f t="shared" si="129"/>
        <v/>
      </c>
      <c r="S1200">
        <v>0</v>
      </c>
      <c r="T1200" t="str">
        <f>IF(VALUE(S1200)=0,"",VLOOKUP(VLOOKUP(S1200,Tbl_Effect[],3,FALSE),EffectName[],IFERROR(MATCH(UI!$B$1,EffectName[#Headers],0),2),FALSE))</f>
        <v/>
      </c>
      <c r="U1200" t="str">
        <f t="shared" si="130"/>
        <v/>
      </c>
      <c r="V1200">
        <v>0</v>
      </c>
      <c r="W1200" t="str">
        <f>IF(V1200&lt;&gt;0,VLOOKUP(VLOOKUP(V1200,Tbl_Effect[],3,FALSE),EffectName[],IFERROR(MATCH(UI!$B$1,EffectName[#Headers],0),2),FALSE),"")</f>
        <v/>
      </c>
      <c r="X1200" t="str">
        <f t="shared" si="131"/>
        <v/>
      </c>
      <c r="Y1200">
        <v>0</v>
      </c>
      <c r="Z1200" t="str">
        <f>IF(Y1200&lt;&gt;0,VLOOKUP(VLOOKUP(Y1200,Tbl_Effect[],3,FALSE),EffectName[],IFERROR(MATCH(UI!$B$1,EffectName[#Headers],0),2),FALSE),"")</f>
        <v/>
      </c>
      <c r="AA1200" t="str">
        <f t="shared" si="132"/>
        <v/>
      </c>
      <c r="AB1200">
        <v>0</v>
      </c>
      <c r="AC1200" t="str">
        <f>IF(AB1200&lt;&gt;0,VLOOKUP(VLOOKUP(AB1200,Tbl_Effect[],3,FALSE),EffectName[],IFERROR(MATCH(UI!$B$1,EffectName[#Headers],0),2),FALSE),"")</f>
        <v/>
      </c>
    </row>
    <row r="1201" spans="8:29" x14ac:dyDescent="0.4">
      <c r="H1201" t="str">
        <f t="shared" si="126"/>
        <v>7050000-Unset (紅)</v>
      </c>
      <c r="I1201">
        <v>7050000</v>
      </c>
      <c r="J1201" t="str">
        <f>_xlfn.IFNA(IF(I1201&lt;&gt;0,VLOOKUP(VLOOKUP(I1201,Tbl_Equip[],2,FALSE),Tbl_Color[],IFERROR(MATCH(UI!$B$1,Tbl_Color[#Headers],0),2),FALSE),""),"Unset")</f>
        <v>紅</v>
      </c>
      <c r="K1201" t="str">
        <f>_xlfn.IFNA(IF(I1201&lt;&gt;0,VLOOKUP(I1201,ItemText[],IFERROR(MATCH(UI!$B$1,ItemText[#Headers],0),2),FALSE),""),"Unset")</f>
        <v>Unset</v>
      </c>
      <c r="L1201" t="str">
        <f t="shared" si="127"/>
        <v/>
      </c>
      <c r="M1201">
        <v>0</v>
      </c>
      <c r="N1201" t="str">
        <f>IF(VALUE(M1201)=0,"",VLOOKUP(VLOOKUP(M1201,Tbl_Effect[],3,FALSE),EffectName[],IFERROR(MATCH(UI!$B$1,EffectName[#Headers],0),2),FALSE))</f>
        <v/>
      </c>
      <c r="O1201" t="str">
        <f t="shared" si="128"/>
        <v/>
      </c>
      <c r="P1201">
        <v>0</v>
      </c>
      <c r="Q1201" t="str">
        <f>IF(VALUE(P1201)=0,"",VLOOKUP(VLOOKUP(P1201,Tbl_Effect[],3,FALSE),EffectName[],IFERROR(MATCH(UI!$B$1,EffectName[#Headers],0),2),FALSE))</f>
        <v/>
      </c>
      <c r="R1201" t="str">
        <f t="shared" si="129"/>
        <v/>
      </c>
      <c r="S1201">
        <v>0</v>
      </c>
      <c r="T1201" t="str">
        <f>IF(VALUE(S1201)=0,"",VLOOKUP(VLOOKUP(S1201,Tbl_Effect[],3,FALSE),EffectName[],IFERROR(MATCH(UI!$B$1,EffectName[#Headers],0),2),FALSE))</f>
        <v/>
      </c>
      <c r="U1201" t="str">
        <f t="shared" si="130"/>
        <v/>
      </c>
      <c r="V1201">
        <v>0</v>
      </c>
      <c r="W1201" t="str">
        <f>IF(V1201&lt;&gt;0,VLOOKUP(VLOOKUP(V1201,Tbl_Effect[],3,FALSE),EffectName[],IFERROR(MATCH(UI!$B$1,EffectName[#Headers],0),2),FALSE),"")</f>
        <v/>
      </c>
      <c r="X1201" t="str">
        <f t="shared" si="131"/>
        <v/>
      </c>
      <c r="Y1201">
        <v>0</v>
      </c>
      <c r="Z1201" t="str">
        <f>IF(Y1201&lt;&gt;0,VLOOKUP(VLOOKUP(Y1201,Tbl_Effect[],3,FALSE),EffectName[],IFERROR(MATCH(UI!$B$1,EffectName[#Headers],0),2),FALSE),"")</f>
        <v/>
      </c>
      <c r="AA1201" t="str">
        <f t="shared" si="132"/>
        <v/>
      </c>
      <c r="AB1201">
        <v>0</v>
      </c>
      <c r="AC1201" t="str">
        <f>IF(AB1201&lt;&gt;0,VLOOKUP(VLOOKUP(AB1201,Tbl_Effect[],3,FALSE),EffectName[],IFERROR(MATCH(UI!$B$1,EffectName[#Headers],0),2),FALSE),"")</f>
        <v/>
      </c>
    </row>
    <row r="1202" spans="8:29" x14ac:dyDescent="0.4">
      <c r="H1202" t="str">
        <f t="shared" si="126"/>
        <v>7050100-Unset (紅)</v>
      </c>
      <c r="I1202">
        <v>7050100</v>
      </c>
      <c r="J1202" t="str">
        <f>_xlfn.IFNA(IF(I1202&lt;&gt;0,VLOOKUP(VLOOKUP(I1202,Tbl_Equip[],2,FALSE),Tbl_Color[],IFERROR(MATCH(UI!$B$1,Tbl_Color[#Headers],0),2),FALSE),""),"Unset")</f>
        <v>紅</v>
      </c>
      <c r="K1202" t="str">
        <f>_xlfn.IFNA(IF(I1202&lt;&gt;0,VLOOKUP(I1202,ItemText[],IFERROR(MATCH(UI!$B$1,ItemText[#Headers],0),2),FALSE),""),"Unset")</f>
        <v>Unset</v>
      </c>
      <c r="L1202" t="str">
        <f t="shared" si="127"/>
        <v/>
      </c>
      <c r="M1202">
        <v>0</v>
      </c>
      <c r="N1202" t="str">
        <f>IF(VALUE(M1202)=0,"",VLOOKUP(VLOOKUP(M1202,Tbl_Effect[],3,FALSE),EffectName[],IFERROR(MATCH(UI!$B$1,EffectName[#Headers],0),2),FALSE))</f>
        <v/>
      </c>
      <c r="O1202" t="str">
        <f t="shared" si="128"/>
        <v/>
      </c>
      <c r="P1202">
        <v>0</v>
      </c>
      <c r="Q1202" t="str">
        <f>IF(VALUE(P1202)=0,"",VLOOKUP(VLOOKUP(P1202,Tbl_Effect[],3,FALSE),EffectName[],IFERROR(MATCH(UI!$B$1,EffectName[#Headers],0),2),FALSE))</f>
        <v/>
      </c>
      <c r="R1202" t="str">
        <f t="shared" si="129"/>
        <v/>
      </c>
      <c r="S1202">
        <v>0</v>
      </c>
      <c r="T1202" t="str">
        <f>IF(VALUE(S1202)=0,"",VLOOKUP(VLOOKUP(S1202,Tbl_Effect[],3,FALSE),EffectName[],IFERROR(MATCH(UI!$B$1,EffectName[#Headers],0),2),FALSE))</f>
        <v/>
      </c>
      <c r="U1202" t="str">
        <f t="shared" si="130"/>
        <v/>
      </c>
      <c r="V1202">
        <v>0</v>
      </c>
      <c r="W1202" t="str">
        <f>IF(V1202&lt;&gt;0,VLOOKUP(VLOOKUP(V1202,Tbl_Effect[],3,FALSE),EffectName[],IFERROR(MATCH(UI!$B$1,EffectName[#Headers],0),2),FALSE),"")</f>
        <v/>
      </c>
      <c r="X1202" t="str">
        <f t="shared" si="131"/>
        <v/>
      </c>
      <c r="Y1202">
        <v>0</v>
      </c>
      <c r="Z1202" t="str">
        <f>IF(Y1202&lt;&gt;0,VLOOKUP(VLOOKUP(Y1202,Tbl_Effect[],3,FALSE),EffectName[],IFERROR(MATCH(UI!$B$1,EffectName[#Headers],0),2),FALSE),"")</f>
        <v/>
      </c>
      <c r="AA1202" t="str">
        <f t="shared" si="132"/>
        <v/>
      </c>
      <c r="AB1202">
        <v>0</v>
      </c>
      <c r="AC1202" t="str">
        <f>IF(AB1202&lt;&gt;0,VLOOKUP(VLOOKUP(AB1202,Tbl_Effect[],3,FALSE),EffectName[],IFERROR(MATCH(UI!$B$1,EffectName[#Headers],0),2),FALSE),"")</f>
        <v/>
      </c>
    </row>
    <row r="1203" spans="8:29" x14ac:dyDescent="0.4">
      <c r="H1203" t="str">
        <f t="shared" si="126"/>
        <v>7060000-Unset (紅)</v>
      </c>
      <c r="I1203">
        <v>7060000</v>
      </c>
      <c r="J1203" t="str">
        <f>_xlfn.IFNA(IF(I1203&lt;&gt;0,VLOOKUP(VLOOKUP(I1203,Tbl_Equip[],2,FALSE),Tbl_Color[],IFERROR(MATCH(UI!$B$1,Tbl_Color[#Headers],0),2),FALSE),""),"Unset")</f>
        <v>紅</v>
      </c>
      <c r="K1203" t="str">
        <f>_xlfn.IFNA(IF(I1203&lt;&gt;0,VLOOKUP(I1203,ItemText[],IFERROR(MATCH(UI!$B$1,ItemText[#Headers],0),2),FALSE),""),"Unset")</f>
        <v>Unset</v>
      </c>
      <c r="L1203" t="str">
        <f t="shared" si="127"/>
        <v/>
      </c>
      <c r="M1203">
        <v>0</v>
      </c>
      <c r="N1203" t="str">
        <f>IF(VALUE(M1203)=0,"",VLOOKUP(VLOOKUP(M1203,Tbl_Effect[],3,FALSE),EffectName[],IFERROR(MATCH(UI!$B$1,EffectName[#Headers],0),2),FALSE))</f>
        <v/>
      </c>
      <c r="O1203" t="str">
        <f t="shared" si="128"/>
        <v/>
      </c>
      <c r="P1203">
        <v>0</v>
      </c>
      <c r="Q1203" t="str">
        <f>IF(VALUE(P1203)=0,"",VLOOKUP(VLOOKUP(P1203,Tbl_Effect[],3,FALSE),EffectName[],IFERROR(MATCH(UI!$B$1,EffectName[#Headers],0),2),FALSE))</f>
        <v/>
      </c>
      <c r="R1203" t="str">
        <f t="shared" si="129"/>
        <v/>
      </c>
      <c r="S1203">
        <v>0</v>
      </c>
      <c r="T1203" t="str">
        <f>IF(VALUE(S1203)=0,"",VLOOKUP(VLOOKUP(S1203,Tbl_Effect[],3,FALSE),EffectName[],IFERROR(MATCH(UI!$B$1,EffectName[#Headers],0),2),FALSE))</f>
        <v/>
      </c>
      <c r="U1203" t="str">
        <f t="shared" si="130"/>
        <v/>
      </c>
      <c r="V1203">
        <v>0</v>
      </c>
      <c r="W1203" t="str">
        <f>IF(V1203&lt;&gt;0,VLOOKUP(VLOOKUP(V1203,Tbl_Effect[],3,FALSE),EffectName[],IFERROR(MATCH(UI!$B$1,EffectName[#Headers],0),2),FALSE),"")</f>
        <v/>
      </c>
      <c r="X1203" t="str">
        <f t="shared" si="131"/>
        <v/>
      </c>
      <c r="Y1203">
        <v>0</v>
      </c>
      <c r="Z1203" t="str">
        <f>IF(Y1203&lt;&gt;0,VLOOKUP(VLOOKUP(Y1203,Tbl_Effect[],3,FALSE),EffectName[],IFERROR(MATCH(UI!$B$1,EffectName[#Headers],0),2),FALSE),"")</f>
        <v/>
      </c>
      <c r="AA1203" t="str">
        <f t="shared" si="132"/>
        <v/>
      </c>
      <c r="AB1203">
        <v>0</v>
      </c>
      <c r="AC1203" t="str">
        <f>IF(AB1203&lt;&gt;0,VLOOKUP(VLOOKUP(AB1203,Tbl_Effect[],3,FALSE),EffectName[],IFERROR(MATCH(UI!$B$1,EffectName[#Headers],0),2),FALSE),"")</f>
        <v/>
      </c>
    </row>
    <row r="1204" spans="8:29" x14ac:dyDescent="0.4">
      <c r="H1204" t="str">
        <f t="shared" si="126"/>
        <v>7060100-Unset (紅)</v>
      </c>
      <c r="I1204">
        <v>7060100</v>
      </c>
      <c r="J1204" t="str">
        <f>_xlfn.IFNA(IF(I1204&lt;&gt;0,VLOOKUP(VLOOKUP(I1204,Tbl_Equip[],2,FALSE),Tbl_Color[],IFERROR(MATCH(UI!$B$1,Tbl_Color[#Headers],0),2),FALSE),""),"Unset")</f>
        <v>紅</v>
      </c>
      <c r="K1204" t="str">
        <f>_xlfn.IFNA(IF(I1204&lt;&gt;0,VLOOKUP(I1204,ItemText[],IFERROR(MATCH(UI!$B$1,ItemText[#Headers],0),2),FALSE),""),"Unset")</f>
        <v>Unset</v>
      </c>
      <c r="L1204" t="str">
        <f t="shared" si="127"/>
        <v/>
      </c>
      <c r="M1204">
        <v>0</v>
      </c>
      <c r="N1204" t="str">
        <f>IF(VALUE(M1204)=0,"",VLOOKUP(VLOOKUP(M1204,Tbl_Effect[],3,FALSE),EffectName[],IFERROR(MATCH(UI!$B$1,EffectName[#Headers],0),2),FALSE))</f>
        <v/>
      </c>
      <c r="O1204" t="str">
        <f t="shared" si="128"/>
        <v/>
      </c>
      <c r="P1204">
        <v>0</v>
      </c>
      <c r="Q1204" t="str">
        <f>IF(VALUE(P1204)=0,"",VLOOKUP(VLOOKUP(P1204,Tbl_Effect[],3,FALSE),EffectName[],IFERROR(MATCH(UI!$B$1,EffectName[#Headers],0),2),FALSE))</f>
        <v/>
      </c>
      <c r="R1204" t="str">
        <f t="shared" si="129"/>
        <v/>
      </c>
      <c r="S1204">
        <v>0</v>
      </c>
      <c r="T1204" t="str">
        <f>IF(VALUE(S1204)=0,"",VLOOKUP(VLOOKUP(S1204,Tbl_Effect[],3,FALSE),EffectName[],IFERROR(MATCH(UI!$B$1,EffectName[#Headers],0),2),FALSE))</f>
        <v/>
      </c>
      <c r="U1204" t="str">
        <f t="shared" si="130"/>
        <v/>
      </c>
      <c r="V1204">
        <v>0</v>
      </c>
      <c r="W1204" t="str">
        <f>IF(V1204&lt;&gt;0,VLOOKUP(VLOOKUP(V1204,Tbl_Effect[],3,FALSE),EffectName[],IFERROR(MATCH(UI!$B$1,EffectName[#Headers],0),2),FALSE),"")</f>
        <v/>
      </c>
      <c r="X1204" t="str">
        <f t="shared" si="131"/>
        <v/>
      </c>
      <c r="Y1204">
        <v>0</v>
      </c>
      <c r="Z1204" t="str">
        <f>IF(Y1204&lt;&gt;0,VLOOKUP(VLOOKUP(Y1204,Tbl_Effect[],3,FALSE),EffectName[],IFERROR(MATCH(UI!$B$1,EffectName[#Headers],0),2),FALSE),"")</f>
        <v/>
      </c>
      <c r="AA1204" t="str">
        <f t="shared" si="132"/>
        <v/>
      </c>
      <c r="AB1204">
        <v>0</v>
      </c>
      <c r="AC1204" t="str">
        <f>IF(AB1204&lt;&gt;0,VLOOKUP(VLOOKUP(AB1204,Tbl_Effect[],3,FALSE),EffectName[],IFERROR(MATCH(UI!$B$1,EffectName[#Headers],0),2),FALSE),"")</f>
        <v/>
      </c>
    </row>
    <row r="1205" spans="8:29" x14ac:dyDescent="0.4">
      <c r="H1205" t="str">
        <f t="shared" si="126"/>
        <v>7060200-Unset (紅)</v>
      </c>
      <c r="I1205">
        <v>7060200</v>
      </c>
      <c r="J1205" t="str">
        <f>_xlfn.IFNA(IF(I1205&lt;&gt;0,VLOOKUP(VLOOKUP(I1205,Tbl_Equip[],2,FALSE),Tbl_Color[],IFERROR(MATCH(UI!$B$1,Tbl_Color[#Headers],0),2),FALSE),""),"Unset")</f>
        <v>紅</v>
      </c>
      <c r="K1205" t="str">
        <f>_xlfn.IFNA(IF(I1205&lt;&gt;0,VLOOKUP(I1205,ItemText[],IFERROR(MATCH(UI!$B$1,ItemText[#Headers],0),2),FALSE),""),"Unset")</f>
        <v>Unset</v>
      </c>
      <c r="L1205" t="str">
        <f t="shared" si="127"/>
        <v/>
      </c>
      <c r="M1205">
        <v>0</v>
      </c>
      <c r="N1205" t="str">
        <f>IF(VALUE(M1205)=0,"",VLOOKUP(VLOOKUP(M1205,Tbl_Effect[],3,FALSE),EffectName[],IFERROR(MATCH(UI!$B$1,EffectName[#Headers],0),2),FALSE))</f>
        <v/>
      </c>
      <c r="O1205" t="str">
        <f t="shared" si="128"/>
        <v/>
      </c>
      <c r="P1205">
        <v>0</v>
      </c>
      <c r="Q1205" t="str">
        <f>IF(VALUE(P1205)=0,"",VLOOKUP(VLOOKUP(P1205,Tbl_Effect[],3,FALSE),EffectName[],IFERROR(MATCH(UI!$B$1,EffectName[#Headers],0),2),FALSE))</f>
        <v/>
      </c>
      <c r="R1205" t="str">
        <f t="shared" si="129"/>
        <v/>
      </c>
      <c r="S1205">
        <v>0</v>
      </c>
      <c r="T1205" t="str">
        <f>IF(VALUE(S1205)=0,"",VLOOKUP(VLOOKUP(S1205,Tbl_Effect[],3,FALSE),EffectName[],IFERROR(MATCH(UI!$B$1,EffectName[#Headers],0),2),FALSE))</f>
        <v/>
      </c>
      <c r="U1205" t="str">
        <f t="shared" si="130"/>
        <v/>
      </c>
      <c r="V1205">
        <v>0</v>
      </c>
      <c r="W1205" t="str">
        <f>IF(V1205&lt;&gt;0,VLOOKUP(VLOOKUP(V1205,Tbl_Effect[],3,FALSE),EffectName[],IFERROR(MATCH(UI!$B$1,EffectName[#Headers],0),2),FALSE),"")</f>
        <v/>
      </c>
      <c r="X1205" t="str">
        <f t="shared" si="131"/>
        <v/>
      </c>
      <c r="Y1205">
        <v>0</v>
      </c>
      <c r="Z1205" t="str">
        <f>IF(Y1205&lt;&gt;0,VLOOKUP(VLOOKUP(Y1205,Tbl_Effect[],3,FALSE),EffectName[],IFERROR(MATCH(UI!$B$1,EffectName[#Headers],0),2),FALSE),"")</f>
        <v/>
      </c>
      <c r="AA1205" t="str">
        <f t="shared" si="132"/>
        <v/>
      </c>
      <c r="AB1205">
        <v>0</v>
      </c>
      <c r="AC1205" t="str">
        <f>IF(AB1205&lt;&gt;0,VLOOKUP(VLOOKUP(AB1205,Tbl_Effect[],3,FALSE),EffectName[],IFERROR(MATCH(UI!$B$1,EffectName[#Headers],0),2),FALSE),"")</f>
        <v/>
      </c>
    </row>
    <row r="1206" spans="8:29" x14ac:dyDescent="0.4">
      <c r="H1206" t="str">
        <f t="shared" si="126"/>
        <v>7070000-Unset (紅)</v>
      </c>
      <c r="I1206">
        <v>7070000</v>
      </c>
      <c r="J1206" t="str">
        <f>_xlfn.IFNA(IF(I1206&lt;&gt;0,VLOOKUP(VLOOKUP(I1206,Tbl_Equip[],2,FALSE),Tbl_Color[],IFERROR(MATCH(UI!$B$1,Tbl_Color[#Headers],0),2),FALSE),""),"Unset")</f>
        <v>紅</v>
      </c>
      <c r="K1206" t="str">
        <f>_xlfn.IFNA(IF(I1206&lt;&gt;0,VLOOKUP(I1206,ItemText[],IFERROR(MATCH(UI!$B$1,ItemText[#Headers],0),2),FALSE),""),"Unset")</f>
        <v>Unset</v>
      </c>
      <c r="L1206" t="str">
        <f t="shared" si="127"/>
        <v/>
      </c>
      <c r="M1206">
        <v>0</v>
      </c>
      <c r="N1206" t="str">
        <f>IF(VALUE(M1206)=0,"",VLOOKUP(VLOOKUP(M1206,Tbl_Effect[],3,FALSE),EffectName[],IFERROR(MATCH(UI!$B$1,EffectName[#Headers],0),2),FALSE))</f>
        <v/>
      </c>
      <c r="O1206" t="str">
        <f t="shared" si="128"/>
        <v/>
      </c>
      <c r="P1206">
        <v>0</v>
      </c>
      <c r="Q1206" t="str">
        <f>IF(VALUE(P1206)=0,"",VLOOKUP(VLOOKUP(P1206,Tbl_Effect[],3,FALSE),EffectName[],IFERROR(MATCH(UI!$B$1,EffectName[#Headers],0),2),FALSE))</f>
        <v/>
      </c>
      <c r="R1206" t="str">
        <f t="shared" si="129"/>
        <v/>
      </c>
      <c r="S1206">
        <v>0</v>
      </c>
      <c r="T1206" t="str">
        <f>IF(VALUE(S1206)=0,"",VLOOKUP(VLOOKUP(S1206,Tbl_Effect[],3,FALSE),EffectName[],IFERROR(MATCH(UI!$B$1,EffectName[#Headers],0),2),FALSE))</f>
        <v/>
      </c>
      <c r="U1206" t="str">
        <f t="shared" si="130"/>
        <v/>
      </c>
      <c r="V1206">
        <v>0</v>
      </c>
      <c r="W1206" t="str">
        <f>IF(V1206&lt;&gt;0,VLOOKUP(VLOOKUP(V1206,Tbl_Effect[],3,FALSE),EffectName[],IFERROR(MATCH(UI!$B$1,EffectName[#Headers],0),2),FALSE),"")</f>
        <v/>
      </c>
      <c r="X1206" t="str">
        <f t="shared" si="131"/>
        <v/>
      </c>
      <c r="Y1206">
        <v>0</v>
      </c>
      <c r="Z1206" t="str">
        <f>IF(Y1206&lt;&gt;0,VLOOKUP(VLOOKUP(Y1206,Tbl_Effect[],3,FALSE),EffectName[],IFERROR(MATCH(UI!$B$1,EffectName[#Headers],0),2),FALSE),"")</f>
        <v/>
      </c>
      <c r="AA1206" t="str">
        <f t="shared" si="132"/>
        <v/>
      </c>
      <c r="AB1206">
        <v>0</v>
      </c>
      <c r="AC1206" t="str">
        <f>IF(AB1206&lt;&gt;0,VLOOKUP(VLOOKUP(AB1206,Tbl_Effect[],3,FALSE),EffectName[],IFERROR(MATCH(UI!$B$1,EffectName[#Headers],0),2),FALSE),"")</f>
        <v/>
      </c>
    </row>
    <row r="1207" spans="8:29" x14ac:dyDescent="0.4">
      <c r="H1207" t="str">
        <f t="shared" si="126"/>
        <v>7080000-Unset (紅)</v>
      </c>
      <c r="I1207">
        <v>7080000</v>
      </c>
      <c r="J1207" t="str">
        <f>_xlfn.IFNA(IF(I1207&lt;&gt;0,VLOOKUP(VLOOKUP(I1207,Tbl_Equip[],2,FALSE),Tbl_Color[],IFERROR(MATCH(UI!$B$1,Tbl_Color[#Headers],0),2),FALSE),""),"Unset")</f>
        <v>紅</v>
      </c>
      <c r="K1207" t="str">
        <f>_xlfn.IFNA(IF(I1207&lt;&gt;0,VLOOKUP(I1207,ItemText[],IFERROR(MATCH(UI!$B$1,ItemText[#Headers],0),2),FALSE),""),"Unset")</f>
        <v>Unset</v>
      </c>
      <c r="L1207" t="str">
        <f t="shared" si="127"/>
        <v/>
      </c>
      <c r="M1207">
        <v>0</v>
      </c>
      <c r="N1207" t="str">
        <f>IF(VALUE(M1207)=0,"",VLOOKUP(VLOOKUP(M1207,Tbl_Effect[],3,FALSE),EffectName[],IFERROR(MATCH(UI!$B$1,EffectName[#Headers],0),2),FALSE))</f>
        <v/>
      </c>
      <c r="O1207" t="str">
        <f t="shared" si="128"/>
        <v/>
      </c>
      <c r="P1207">
        <v>0</v>
      </c>
      <c r="Q1207" t="str">
        <f>IF(VALUE(P1207)=0,"",VLOOKUP(VLOOKUP(P1207,Tbl_Effect[],3,FALSE),EffectName[],IFERROR(MATCH(UI!$B$1,EffectName[#Headers],0),2),FALSE))</f>
        <v/>
      </c>
      <c r="R1207" t="str">
        <f t="shared" si="129"/>
        <v/>
      </c>
      <c r="S1207">
        <v>0</v>
      </c>
      <c r="T1207" t="str">
        <f>IF(VALUE(S1207)=0,"",VLOOKUP(VLOOKUP(S1207,Tbl_Effect[],3,FALSE),EffectName[],IFERROR(MATCH(UI!$B$1,EffectName[#Headers],0),2),FALSE))</f>
        <v/>
      </c>
      <c r="U1207" t="str">
        <f t="shared" si="130"/>
        <v/>
      </c>
      <c r="V1207">
        <v>0</v>
      </c>
      <c r="W1207" t="str">
        <f>IF(V1207&lt;&gt;0,VLOOKUP(VLOOKUP(V1207,Tbl_Effect[],3,FALSE),EffectName[],IFERROR(MATCH(UI!$B$1,EffectName[#Headers],0),2),FALSE),"")</f>
        <v/>
      </c>
      <c r="X1207" t="str">
        <f t="shared" si="131"/>
        <v/>
      </c>
      <c r="Y1207">
        <v>0</v>
      </c>
      <c r="Z1207" t="str">
        <f>IF(Y1207&lt;&gt;0,VLOOKUP(VLOOKUP(Y1207,Tbl_Effect[],3,FALSE),EffectName[],IFERROR(MATCH(UI!$B$1,EffectName[#Headers],0),2),FALSE),"")</f>
        <v/>
      </c>
      <c r="AA1207" t="str">
        <f t="shared" si="132"/>
        <v/>
      </c>
      <c r="AB1207">
        <v>0</v>
      </c>
      <c r="AC1207" t="str">
        <f>IF(AB1207&lt;&gt;0,VLOOKUP(VLOOKUP(AB1207,Tbl_Effect[],3,FALSE),EffectName[],IFERROR(MATCH(UI!$B$1,EffectName[#Headers],0),2),FALSE),"")</f>
        <v/>
      </c>
    </row>
    <row r="1208" spans="8:29" x14ac:dyDescent="0.4">
      <c r="H1208" t="str">
        <f t="shared" si="126"/>
        <v>7080100-Unset (紅)</v>
      </c>
      <c r="I1208">
        <v>7080100</v>
      </c>
      <c r="J1208" t="str">
        <f>_xlfn.IFNA(IF(I1208&lt;&gt;0,VLOOKUP(VLOOKUP(I1208,Tbl_Equip[],2,FALSE),Tbl_Color[],IFERROR(MATCH(UI!$B$1,Tbl_Color[#Headers],0),2),FALSE),""),"Unset")</f>
        <v>紅</v>
      </c>
      <c r="K1208" t="str">
        <f>_xlfn.IFNA(IF(I1208&lt;&gt;0,VLOOKUP(I1208,ItemText[],IFERROR(MATCH(UI!$B$1,ItemText[#Headers],0),2),FALSE),""),"Unset")</f>
        <v>Unset</v>
      </c>
      <c r="L1208" t="str">
        <f t="shared" si="127"/>
        <v/>
      </c>
      <c r="M1208">
        <v>0</v>
      </c>
      <c r="N1208" t="str">
        <f>IF(VALUE(M1208)=0,"",VLOOKUP(VLOOKUP(M1208,Tbl_Effect[],3,FALSE),EffectName[],IFERROR(MATCH(UI!$B$1,EffectName[#Headers],0),2),FALSE))</f>
        <v/>
      </c>
      <c r="O1208" t="str">
        <f t="shared" si="128"/>
        <v/>
      </c>
      <c r="P1208">
        <v>0</v>
      </c>
      <c r="Q1208" t="str">
        <f>IF(VALUE(P1208)=0,"",VLOOKUP(VLOOKUP(P1208,Tbl_Effect[],3,FALSE),EffectName[],IFERROR(MATCH(UI!$B$1,EffectName[#Headers],0),2),FALSE))</f>
        <v/>
      </c>
      <c r="R1208" t="str">
        <f t="shared" si="129"/>
        <v/>
      </c>
      <c r="S1208">
        <v>0</v>
      </c>
      <c r="T1208" t="str">
        <f>IF(VALUE(S1208)=0,"",VLOOKUP(VLOOKUP(S1208,Tbl_Effect[],3,FALSE),EffectName[],IFERROR(MATCH(UI!$B$1,EffectName[#Headers],0),2),FALSE))</f>
        <v/>
      </c>
      <c r="U1208" t="str">
        <f t="shared" si="130"/>
        <v/>
      </c>
      <c r="V1208">
        <v>0</v>
      </c>
      <c r="W1208" t="str">
        <f>IF(V1208&lt;&gt;0,VLOOKUP(VLOOKUP(V1208,Tbl_Effect[],3,FALSE),EffectName[],IFERROR(MATCH(UI!$B$1,EffectName[#Headers],0),2),FALSE),"")</f>
        <v/>
      </c>
      <c r="X1208" t="str">
        <f t="shared" si="131"/>
        <v/>
      </c>
      <c r="Y1208">
        <v>0</v>
      </c>
      <c r="Z1208" t="str">
        <f>IF(Y1208&lt;&gt;0,VLOOKUP(VLOOKUP(Y1208,Tbl_Effect[],3,FALSE),EffectName[],IFERROR(MATCH(UI!$B$1,EffectName[#Headers],0),2),FALSE),"")</f>
        <v/>
      </c>
      <c r="AA1208" t="str">
        <f t="shared" si="132"/>
        <v/>
      </c>
      <c r="AB1208">
        <v>0</v>
      </c>
      <c r="AC1208" t="str">
        <f>IF(AB1208&lt;&gt;0,VLOOKUP(VLOOKUP(AB1208,Tbl_Effect[],3,FALSE),EffectName[],IFERROR(MATCH(UI!$B$1,EffectName[#Headers],0),2),FALSE),"")</f>
        <v/>
      </c>
    </row>
    <row r="1209" spans="8:29" x14ac:dyDescent="0.4">
      <c r="H1209" t="str">
        <f t="shared" si="126"/>
        <v>7080200-Unset (紅)</v>
      </c>
      <c r="I1209">
        <v>7080200</v>
      </c>
      <c r="J1209" t="str">
        <f>_xlfn.IFNA(IF(I1209&lt;&gt;0,VLOOKUP(VLOOKUP(I1209,Tbl_Equip[],2,FALSE),Tbl_Color[],IFERROR(MATCH(UI!$B$1,Tbl_Color[#Headers],0),2),FALSE),""),"Unset")</f>
        <v>紅</v>
      </c>
      <c r="K1209" t="str">
        <f>_xlfn.IFNA(IF(I1209&lt;&gt;0,VLOOKUP(I1209,ItemText[],IFERROR(MATCH(UI!$B$1,ItemText[#Headers],0),2),FALSE),""),"Unset")</f>
        <v>Unset</v>
      </c>
      <c r="L1209" t="str">
        <f t="shared" si="127"/>
        <v/>
      </c>
      <c r="M1209">
        <v>0</v>
      </c>
      <c r="N1209" t="str">
        <f>IF(VALUE(M1209)=0,"",VLOOKUP(VLOOKUP(M1209,Tbl_Effect[],3,FALSE),EffectName[],IFERROR(MATCH(UI!$B$1,EffectName[#Headers],0),2),FALSE))</f>
        <v/>
      </c>
      <c r="O1209" t="str">
        <f t="shared" si="128"/>
        <v/>
      </c>
      <c r="P1209">
        <v>0</v>
      </c>
      <c r="Q1209" t="str">
        <f>IF(VALUE(P1209)=0,"",VLOOKUP(VLOOKUP(P1209,Tbl_Effect[],3,FALSE),EffectName[],IFERROR(MATCH(UI!$B$1,EffectName[#Headers],0),2),FALSE))</f>
        <v/>
      </c>
      <c r="R1209" t="str">
        <f t="shared" si="129"/>
        <v/>
      </c>
      <c r="S1209">
        <v>0</v>
      </c>
      <c r="T1209" t="str">
        <f>IF(VALUE(S1209)=0,"",VLOOKUP(VLOOKUP(S1209,Tbl_Effect[],3,FALSE),EffectName[],IFERROR(MATCH(UI!$B$1,EffectName[#Headers],0),2),FALSE))</f>
        <v/>
      </c>
      <c r="U1209" t="str">
        <f t="shared" si="130"/>
        <v/>
      </c>
      <c r="V1209">
        <v>0</v>
      </c>
      <c r="W1209" t="str">
        <f>IF(V1209&lt;&gt;0,VLOOKUP(VLOOKUP(V1209,Tbl_Effect[],3,FALSE),EffectName[],IFERROR(MATCH(UI!$B$1,EffectName[#Headers],0),2),FALSE),"")</f>
        <v/>
      </c>
      <c r="X1209" t="str">
        <f t="shared" si="131"/>
        <v/>
      </c>
      <c r="Y1209">
        <v>0</v>
      </c>
      <c r="Z1209" t="str">
        <f>IF(Y1209&lt;&gt;0,VLOOKUP(VLOOKUP(Y1209,Tbl_Effect[],3,FALSE),EffectName[],IFERROR(MATCH(UI!$B$1,EffectName[#Headers],0),2),FALSE),"")</f>
        <v/>
      </c>
      <c r="AA1209" t="str">
        <f t="shared" si="132"/>
        <v/>
      </c>
      <c r="AB1209">
        <v>0</v>
      </c>
      <c r="AC1209" t="str">
        <f>IF(AB1209&lt;&gt;0,VLOOKUP(VLOOKUP(AB1209,Tbl_Effect[],3,FALSE),EffectName[],IFERROR(MATCH(UI!$B$1,EffectName[#Headers],0),2),FALSE),"")</f>
        <v/>
      </c>
    </row>
    <row r="1210" spans="8:29" x14ac:dyDescent="0.4">
      <c r="H1210" t="str">
        <f t="shared" si="126"/>
        <v>7080300-Unset (紅)</v>
      </c>
      <c r="I1210">
        <v>7080300</v>
      </c>
      <c r="J1210" t="str">
        <f>_xlfn.IFNA(IF(I1210&lt;&gt;0,VLOOKUP(VLOOKUP(I1210,Tbl_Equip[],2,FALSE),Tbl_Color[],IFERROR(MATCH(UI!$B$1,Tbl_Color[#Headers],0),2),FALSE),""),"Unset")</f>
        <v>紅</v>
      </c>
      <c r="K1210" t="str">
        <f>_xlfn.IFNA(IF(I1210&lt;&gt;0,VLOOKUP(I1210,ItemText[],IFERROR(MATCH(UI!$B$1,ItemText[#Headers],0),2),FALSE),""),"Unset")</f>
        <v>Unset</v>
      </c>
      <c r="L1210" t="str">
        <f t="shared" si="127"/>
        <v/>
      </c>
      <c r="M1210">
        <v>0</v>
      </c>
      <c r="N1210" t="str">
        <f>IF(VALUE(M1210)=0,"",VLOOKUP(VLOOKUP(M1210,Tbl_Effect[],3,FALSE),EffectName[],IFERROR(MATCH(UI!$B$1,EffectName[#Headers],0),2),FALSE))</f>
        <v/>
      </c>
      <c r="O1210" t="str">
        <f t="shared" si="128"/>
        <v/>
      </c>
      <c r="P1210">
        <v>0</v>
      </c>
      <c r="Q1210" t="str">
        <f>IF(VALUE(P1210)=0,"",VLOOKUP(VLOOKUP(P1210,Tbl_Effect[],3,FALSE),EffectName[],IFERROR(MATCH(UI!$B$1,EffectName[#Headers],0),2),FALSE))</f>
        <v/>
      </c>
      <c r="R1210" t="str">
        <f t="shared" si="129"/>
        <v/>
      </c>
      <c r="S1210">
        <v>0</v>
      </c>
      <c r="T1210" t="str">
        <f>IF(VALUE(S1210)=0,"",VLOOKUP(VLOOKUP(S1210,Tbl_Effect[],3,FALSE),EffectName[],IFERROR(MATCH(UI!$B$1,EffectName[#Headers],0),2),FALSE))</f>
        <v/>
      </c>
      <c r="U1210" t="str">
        <f t="shared" si="130"/>
        <v/>
      </c>
      <c r="V1210">
        <v>0</v>
      </c>
      <c r="W1210" t="str">
        <f>IF(V1210&lt;&gt;0,VLOOKUP(VLOOKUP(V1210,Tbl_Effect[],3,FALSE),EffectName[],IFERROR(MATCH(UI!$B$1,EffectName[#Headers],0),2),FALSE),"")</f>
        <v/>
      </c>
      <c r="X1210" t="str">
        <f t="shared" si="131"/>
        <v/>
      </c>
      <c r="Y1210">
        <v>0</v>
      </c>
      <c r="Z1210" t="str">
        <f>IF(Y1210&lt;&gt;0,VLOOKUP(VLOOKUP(Y1210,Tbl_Effect[],3,FALSE),EffectName[],IFERROR(MATCH(UI!$B$1,EffectName[#Headers],0),2),FALSE),"")</f>
        <v/>
      </c>
      <c r="AA1210" t="str">
        <f t="shared" si="132"/>
        <v/>
      </c>
      <c r="AB1210">
        <v>0</v>
      </c>
      <c r="AC1210" t="str">
        <f>IF(AB1210&lt;&gt;0,VLOOKUP(VLOOKUP(AB1210,Tbl_Effect[],3,FALSE),EffectName[],IFERROR(MATCH(UI!$B$1,EffectName[#Headers],0),2),FALSE),"")</f>
        <v/>
      </c>
    </row>
    <row r="1211" spans="8:29" x14ac:dyDescent="0.4">
      <c r="H1211" t="str">
        <f t="shared" si="126"/>
        <v>7080400-Unset (紅)</v>
      </c>
      <c r="I1211">
        <v>7080400</v>
      </c>
      <c r="J1211" t="str">
        <f>_xlfn.IFNA(IF(I1211&lt;&gt;0,VLOOKUP(VLOOKUP(I1211,Tbl_Equip[],2,FALSE),Tbl_Color[],IFERROR(MATCH(UI!$B$1,Tbl_Color[#Headers],0),2),FALSE),""),"Unset")</f>
        <v>紅</v>
      </c>
      <c r="K1211" t="str">
        <f>_xlfn.IFNA(IF(I1211&lt;&gt;0,VLOOKUP(I1211,ItemText[],IFERROR(MATCH(UI!$B$1,ItemText[#Headers],0),2),FALSE),""),"Unset")</f>
        <v>Unset</v>
      </c>
      <c r="L1211" t="str">
        <f t="shared" si="127"/>
        <v/>
      </c>
      <c r="M1211">
        <v>0</v>
      </c>
      <c r="N1211" t="str">
        <f>IF(VALUE(M1211)=0,"",VLOOKUP(VLOOKUP(M1211,Tbl_Effect[],3,FALSE),EffectName[],IFERROR(MATCH(UI!$B$1,EffectName[#Headers],0),2),FALSE))</f>
        <v/>
      </c>
      <c r="O1211" t="str">
        <f t="shared" si="128"/>
        <v/>
      </c>
      <c r="P1211">
        <v>0</v>
      </c>
      <c r="Q1211" t="str">
        <f>IF(VALUE(P1211)=0,"",VLOOKUP(VLOOKUP(P1211,Tbl_Effect[],3,FALSE),EffectName[],IFERROR(MATCH(UI!$B$1,EffectName[#Headers],0),2),FALSE))</f>
        <v/>
      </c>
      <c r="R1211" t="str">
        <f t="shared" si="129"/>
        <v/>
      </c>
      <c r="S1211">
        <v>0</v>
      </c>
      <c r="T1211" t="str">
        <f>IF(VALUE(S1211)=0,"",VLOOKUP(VLOOKUP(S1211,Tbl_Effect[],3,FALSE),EffectName[],IFERROR(MATCH(UI!$B$1,EffectName[#Headers],0),2),FALSE))</f>
        <v/>
      </c>
      <c r="U1211" t="str">
        <f t="shared" si="130"/>
        <v/>
      </c>
      <c r="V1211">
        <v>0</v>
      </c>
      <c r="W1211" t="str">
        <f>IF(V1211&lt;&gt;0,VLOOKUP(VLOOKUP(V1211,Tbl_Effect[],3,FALSE),EffectName[],IFERROR(MATCH(UI!$B$1,EffectName[#Headers],0),2),FALSE),"")</f>
        <v/>
      </c>
      <c r="X1211" t="str">
        <f t="shared" si="131"/>
        <v/>
      </c>
      <c r="Y1211">
        <v>0</v>
      </c>
      <c r="Z1211" t="str">
        <f>IF(Y1211&lt;&gt;0,VLOOKUP(VLOOKUP(Y1211,Tbl_Effect[],3,FALSE),EffectName[],IFERROR(MATCH(UI!$B$1,EffectName[#Headers],0),2),FALSE),"")</f>
        <v/>
      </c>
      <c r="AA1211" t="str">
        <f t="shared" si="132"/>
        <v/>
      </c>
      <c r="AB1211">
        <v>0</v>
      </c>
      <c r="AC1211" t="str">
        <f>IF(AB1211&lt;&gt;0,VLOOKUP(VLOOKUP(AB1211,Tbl_Effect[],3,FALSE),EffectName[],IFERROR(MATCH(UI!$B$1,EffectName[#Headers],0),2),FALSE),"")</f>
        <v/>
      </c>
    </row>
    <row r="1212" spans="8:29" x14ac:dyDescent="0.4">
      <c r="H1212" t="str">
        <f t="shared" si="126"/>
        <v>7080500-Unset (紅)</v>
      </c>
      <c r="I1212">
        <v>7080500</v>
      </c>
      <c r="J1212" t="str">
        <f>_xlfn.IFNA(IF(I1212&lt;&gt;0,VLOOKUP(VLOOKUP(I1212,Tbl_Equip[],2,FALSE),Tbl_Color[],IFERROR(MATCH(UI!$B$1,Tbl_Color[#Headers],0),2),FALSE),""),"Unset")</f>
        <v>紅</v>
      </c>
      <c r="K1212" t="str">
        <f>_xlfn.IFNA(IF(I1212&lt;&gt;0,VLOOKUP(I1212,ItemText[],IFERROR(MATCH(UI!$B$1,ItemText[#Headers],0),2),FALSE),""),"Unset")</f>
        <v>Unset</v>
      </c>
      <c r="L1212" t="str">
        <f t="shared" si="127"/>
        <v/>
      </c>
      <c r="M1212">
        <v>0</v>
      </c>
      <c r="N1212" t="str">
        <f>IF(VALUE(M1212)=0,"",VLOOKUP(VLOOKUP(M1212,Tbl_Effect[],3,FALSE),EffectName[],IFERROR(MATCH(UI!$B$1,EffectName[#Headers],0),2),FALSE))</f>
        <v/>
      </c>
      <c r="O1212" t="str">
        <f t="shared" si="128"/>
        <v/>
      </c>
      <c r="P1212">
        <v>0</v>
      </c>
      <c r="Q1212" t="str">
        <f>IF(VALUE(P1212)=0,"",VLOOKUP(VLOOKUP(P1212,Tbl_Effect[],3,FALSE),EffectName[],IFERROR(MATCH(UI!$B$1,EffectName[#Headers],0),2),FALSE))</f>
        <v/>
      </c>
      <c r="R1212" t="str">
        <f t="shared" si="129"/>
        <v/>
      </c>
      <c r="S1212">
        <v>0</v>
      </c>
      <c r="T1212" t="str">
        <f>IF(VALUE(S1212)=0,"",VLOOKUP(VLOOKUP(S1212,Tbl_Effect[],3,FALSE),EffectName[],IFERROR(MATCH(UI!$B$1,EffectName[#Headers],0),2),FALSE))</f>
        <v/>
      </c>
      <c r="U1212" t="str">
        <f t="shared" si="130"/>
        <v/>
      </c>
      <c r="V1212">
        <v>0</v>
      </c>
      <c r="W1212" t="str">
        <f>IF(V1212&lt;&gt;0,VLOOKUP(VLOOKUP(V1212,Tbl_Effect[],3,FALSE),EffectName[],IFERROR(MATCH(UI!$B$1,EffectName[#Headers],0),2),FALSE),"")</f>
        <v/>
      </c>
      <c r="X1212" t="str">
        <f t="shared" si="131"/>
        <v/>
      </c>
      <c r="Y1212">
        <v>0</v>
      </c>
      <c r="Z1212" t="str">
        <f>IF(Y1212&lt;&gt;0,VLOOKUP(VLOOKUP(Y1212,Tbl_Effect[],3,FALSE),EffectName[],IFERROR(MATCH(UI!$B$1,EffectName[#Headers],0),2),FALSE),"")</f>
        <v/>
      </c>
      <c r="AA1212" t="str">
        <f t="shared" si="132"/>
        <v/>
      </c>
      <c r="AB1212">
        <v>0</v>
      </c>
      <c r="AC1212" t="str">
        <f>IF(AB1212&lt;&gt;0,VLOOKUP(VLOOKUP(AB1212,Tbl_Effect[],3,FALSE),EffectName[],IFERROR(MATCH(UI!$B$1,EffectName[#Headers],0),2),FALSE),"")</f>
        <v/>
      </c>
    </row>
    <row r="1213" spans="8:29" x14ac:dyDescent="0.4">
      <c r="H1213" t="str">
        <f t="shared" si="126"/>
        <v>7080600-Unset (紅)</v>
      </c>
      <c r="I1213">
        <v>7080600</v>
      </c>
      <c r="J1213" t="str">
        <f>_xlfn.IFNA(IF(I1213&lt;&gt;0,VLOOKUP(VLOOKUP(I1213,Tbl_Equip[],2,FALSE),Tbl_Color[],IFERROR(MATCH(UI!$B$1,Tbl_Color[#Headers],0),2),FALSE),""),"Unset")</f>
        <v>紅</v>
      </c>
      <c r="K1213" t="str">
        <f>_xlfn.IFNA(IF(I1213&lt;&gt;0,VLOOKUP(I1213,ItemText[],IFERROR(MATCH(UI!$B$1,ItemText[#Headers],0),2),FALSE),""),"Unset")</f>
        <v>Unset</v>
      </c>
      <c r="L1213" t="str">
        <f t="shared" si="127"/>
        <v/>
      </c>
      <c r="M1213">
        <v>0</v>
      </c>
      <c r="N1213" t="str">
        <f>IF(VALUE(M1213)=0,"",VLOOKUP(VLOOKUP(M1213,Tbl_Effect[],3,FALSE),EffectName[],IFERROR(MATCH(UI!$B$1,EffectName[#Headers],0),2),FALSE))</f>
        <v/>
      </c>
      <c r="O1213" t="str">
        <f t="shared" si="128"/>
        <v/>
      </c>
      <c r="P1213">
        <v>0</v>
      </c>
      <c r="Q1213" t="str">
        <f>IF(VALUE(P1213)=0,"",VLOOKUP(VLOOKUP(P1213,Tbl_Effect[],3,FALSE),EffectName[],IFERROR(MATCH(UI!$B$1,EffectName[#Headers],0),2),FALSE))</f>
        <v/>
      </c>
      <c r="R1213" t="str">
        <f t="shared" si="129"/>
        <v/>
      </c>
      <c r="S1213">
        <v>0</v>
      </c>
      <c r="T1213" t="str">
        <f>IF(VALUE(S1213)=0,"",VLOOKUP(VLOOKUP(S1213,Tbl_Effect[],3,FALSE),EffectName[],IFERROR(MATCH(UI!$B$1,EffectName[#Headers],0),2),FALSE))</f>
        <v/>
      </c>
      <c r="U1213" t="str">
        <f t="shared" si="130"/>
        <v/>
      </c>
      <c r="V1213">
        <v>0</v>
      </c>
      <c r="W1213" t="str">
        <f>IF(V1213&lt;&gt;0,VLOOKUP(VLOOKUP(V1213,Tbl_Effect[],3,FALSE),EffectName[],IFERROR(MATCH(UI!$B$1,EffectName[#Headers],0),2),FALSE),"")</f>
        <v/>
      </c>
      <c r="X1213" t="str">
        <f t="shared" si="131"/>
        <v/>
      </c>
      <c r="Y1213">
        <v>0</v>
      </c>
      <c r="Z1213" t="str">
        <f>IF(Y1213&lt;&gt;0,VLOOKUP(VLOOKUP(Y1213,Tbl_Effect[],3,FALSE),EffectName[],IFERROR(MATCH(UI!$B$1,EffectName[#Headers],0),2),FALSE),"")</f>
        <v/>
      </c>
      <c r="AA1213" t="str">
        <f t="shared" si="132"/>
        <v/>
      </c>
      <c r="AB1213">
        <v>0</v>
      </c>
      <c r="AC1213" t="str">
        <f>IF(AB1213&lt;&gt;0,VLOOKUP(VLOOKUP(AB1213,Tbl_Effect[],3,FALSE),EffectName[],IFERROR(MATCH(UI!$B$1,EffectName[#Headers],0),2),FALSE),"")</f>
        <v/>
      </c>
    </row>
    <row r="1214" spans="8:29" x14ac:dyDescent="0.4">
      <c r="H1214" t="str">
        <f t="shared" si="126"/>
        <v>7080700-Unset (紅)</v>
      </c>
      <c r="I1214">
        <v>7080700</v>
      </c>
      <c r="J1214" t="str">
        <f>_xlfn.IFNA(IF(I1214&lt;&gt;0,VLOOKUP(VLOOKUP(I1214,Tbl_Equip[],2,FALSE),Tbl_Color[],IFERROR(MATCH(UI!$B$1,Tbl_Color[#Headers],0),2),FALSE),""),"Unset")</f>
        <v>紅</v>
      </c>
      <c r="K1214" t="str">
        <f>_xlfn.IFNA(IF(I1214&lt;&gt;0,VLOOKUP(I1214,ItemText[],IFERROR(MATCH(UI!$B$1,ItemText[#Headers],0),2),FALSE),""),"Unset")</f>
        <v>Unset</v>
      </c>
      <c r="L1214" t="str">
        <f t="shared" si="127"/>
        <v/>
      </c>
      <c r="M1214">
        <v>0</v>
      </c>
      <c r="N1214" t="str">
        <f>IF(VALUE(M1214)=0,"",VLOOKUP(VLOOKUP(M1214,Tbl_Effect[],3,FALSE),EffectName[],IFERROR(MATCH(UI!$B$1,EffectName[#Headers],0),2),FALSE))</f>
        <v/>
      </c>
      <c r="O1214" t="str">
        <f t="shared" si="128"/>
        <v/>
      </c>
      <c r="P1214">
        <v>0</v>
      </c>
      <c r="Q1214" t="str">
        <f>IF(VALUE(P1214)=0,"",VLOOKUP(VLOOKUP(P1214,Tbl_Effect[],3,FALSE),EffectName[],IFERROR(MATCH(UI!$B$1,EffectName[#Headers],0),2),FALSE))</f>
        <v/>
      </c>
      <c r="R1214" t="str">
        <f t="shared" si="129"/>
        <v/>
      </c>
      <c r="S1214">
        <v>0</v>
      </c>
      <c r="T1214" t="str">
        <f>IF(VALUE(S1214)=0,"",VLOOKUP(VLOOKUP(S1214,Tbl_Effect[],3,FALSE),EffectName[],IFERROR(MATCH(UI!$B$1,EffectName[#Headers],0),2),FALSE))</f>
        <v/>
      </c>
      <c r="U1214" t="str">
        <f t="shared" si="130"/>
        <v/>
      </c>
      <c r="V1214">
        <v>0</v>
      </c>
      <c r="W1214" t="str">
        <f>IF(V1214&lt;&gt;0,VLOOKUP(VLOOKUP(V1214,Tbl_Effect[],3,FALSE),EffectName[],IFERROR(MATCH(UI!$B$1,EffectName[#Headers],0),2),FALSE),"")</f>
        <v/>
      </c>
      <c r="X1214" t="str">
        <f t="shared" si="131"/>
        <v/>
      </c>
      <c r="Y1214">
        <v>0</v>
      </c>
      <c r="Z1214" t="str">
        <f>IF(Y1214&lt;&gt;0,VLOOKUP(VLOOKUP(Y1214,Tbl_Effect[],3,FALSE),EffectName[],IFERROR(MATCH(UI!$B$1,EffectName[#Headers],0),2),FALSE),"")</f>
        <v/>
      </c>
      <c r="AA1214" t="str">
        <f t="shared" si="132"/>
        <v/>
      </c>
      <c r="AB1214">
        <v>0</v>
      </c>
      <c r="AC1214" t="str">
        <f>IF(AB1214&lt;&gt;0,VLOOKUP(VLOOKUP(AB1214,Tbl_Effect[],3,FALSE),EffectName[],IFERROR(MATCH(UI!$B$1,EffectName[#Headers],0),2),FALSE),"")</f>
        <v/>
      </c>
    </row>
    <row r="1215" spans="8:29" x14ac:dyDescent="0.4">
      <c r="H1215" t="str">
        <f t="shared" si="126"/>
        <v>7080800-Unset (紅)</v>
      </c>
      <c r="I1215">
        <v>7080800</v>
      </c>
      <c r="J1215" t="str">
        <f>_xlfn.IFNA(IF(I1215&lt;&gt;0,VLOOKUP(VLOOKUP(I1215,Tbl_Equip[],2,FALSE),Tbl_Color[],IFERROR(MATCH(UI!$B$1,Tbl_Color[#Headers],0),2),FALSE),""),"Unset")</f>
        <v>紅</v>
      </c>
      <c r="K1215" t="str">
        <f>_xlfn.IFNA(IF(I1215&lt;&gt;0,VLOOKUP(I1215,ItemText[],IFERROR(MATCH(UI!$B$1,ItemText[#Headers],0),2),FALSE),""),"Unset")</f>
        <v>Unset</v>
      </c>
      <c r="L1215" t="str">
        <f t="shared" si="127"/>
        <v/>
      </c>
      <c r="M1215">
        <v>0</v>
      </c>
      <c r="N1215" t="str">
        <f>IF(VALUE(M1215)=0,"",VLOOKUP(VLOOKUP(M1215,Tbl_Effect[],3,FALSE),EffectName[],IFERROR(MATCH(UI!$B$1,EffectName[#Headers],0),2),FALSE))</f>
        <v/>
      </c>
      <c r="O1215" t="str">
        <f t="shared" si="128"/>
        <v/>
      </c>
      <c r="P1215">
        <v>0</v>
      </c>
      <c r="Q1215" t="str">
        <f>IF(VALUE(P1215)=0,"",VLOOKUP(VLOOKUP(P1215,Tbl_Effect[],3,FALSE),EffectName[],IFERROR(MATCH(UI!$B$1,EffectName[#Headers],0),2),FALSE))</f>
        <v/>
      </c>
      <c r="R1215" t="str">
        <f t="shared" si="129"/>
        <v/>
      </c>
      <c r="S1215">
        <v>0</v>
      </c>
      <c r="T1215" t="str">
        <f>IF(VALUE(S1215)=0,"",VLOOKUP(VLOOKUP(S1215,Tbl_Effect[],3,FALSE),EffectName[],IFERROR(MATCH(UI!$B$1,EffectName[#Headers],0),2),FALSE))</f>
        <v/>
      </c>
      <c r="U1215" t="str">
        <f t="shared" si="130"/>
        <v/>
      </c>
      <c r="V1215">
        <v>0</v>
      </c>
      <c r="W1215" t="str">
        <f>IF(V1215&lt;&gt;0,VLOOKUP(VLOOKUP(V1215,Tbl_Effect[],3,FALSE),EffectName[],IFERROR(MATCH(UI!$B$1,EffectName[#Headers],0),2),FALSE),"")</f>
        <v/>
      </c>
      <c r="X1215" t="str">
        <f t="shared" si="131"/>
        <v/>
      </c>
      <c r="Y1215">
        <v>0</v>
      </c>
      <c r="Z1215" t="str">
        <f>IF(Y1215&lt;&gt;0,VLOOKUP(VLOOKUP(Y1215,Tbl_Effect[],3,FALSE),EffectName[],IFERROR(MATCH(UI!$B$1,EffectName[#Headers],0),2),FALSE),"")</f>
        <v/>
      </c>
      <c r="AA1215" t="str">
        <f t="shared" si="132"/>
        <v/>
      </c>
      <c r="AB1215">
        <v>0</v>
      </c>
      <c r="AC1215" t="str">
        <f>IF(AB1215&lt;&gt;0,VLOOKUP(VLOOKUP(AB1215,Tbl_Effect[],3,FALSE),EffectName[],IFERROR(MATCH(UI!$B$1,EffectName[#Headers],0),2),FALSE),"")</f>
        <v/>
      </c>
    </row>
    <row r="1216" spans="8:29" x14ac:dyDescent="0.4">
      <c r="H1216" t="str">
        <f t="shared" si="126"/>
        <v>7080900-Unset (紅)</v>
      </c>
      <c r="I1216">
        <v>7080900</v>
      </c>
      <c r="J1216" t="str">
        <f>_xlfn.IFNA(IF(I1216&lt;&gt;0,VLOOKUP(VLOOKUP(I1216,Tbl_Equip[],2,FALSE),Tbl_Color[],IFERROR(MATCH(UI!$B$1,Tbl_Color[#Headers],0),2),FALSE),""),"Unset")</f>
        <v>紅</v>
      </c>
      <c r="K1216" t="str">
        <f>_xlfn.IFNA(IF(I1216&lt;&gt;0,VLOOKUP(I1216,ItemText[],IFERROR(MATCH(UI!$B$1,ItemText[#Headers],0),2),FALSE),""),"Unset")</f>
        <v>Unset</v>
      </c>
      <c r="L1216" t="str">
        <f t="shared" si="127"/>
        <v/>
      </c>
      <c r="M1216">
        <v>0</v>
      </c>
      <c r="N1216" t="str">
        <f>IF(VALUE(M1216)=0,"",VLOOKUP(VLOOKUP(M1216,Tbl_Effect[],3,FALSE),EffectName[],IFERROR(MATCH(UI!$B$1,EffectName[#Headers],0),2),FALSE))</f>
        <v/>
      </c>
      <c r="O1216" t="str">
        <f t="shared" si="128"/>
        <v/>
      </c>
      <c r="P1216">
        <v>0</v>
      </c>
      <c r="Q1216" t="str">
        <f>IF(VALUE(P1216)=0,"",VLOOKUP(VLOOKUP(P1216,Tbl_Effect[],3,FALSE),EffectName[],IFERROR(MATCH(UI!$B$1,EffectName[#Headers],0),2),FALSE))</f>
        <v/>
      </c>
      <c r="R1216" t="str">
        <f t="shared" si="129"/>
        <v/>
      </c>
      <c r="S1216">
        <v>0</v>
      </c>
      <c r="T1216" t="str">
        <f>IF(VALUE(S1216)=0,"",VLOOKUP(VLOOKUP(S1216,Tbl_Effect[],3,FALSE),EffectName[],IFERROR(MATCH(UI!$B$1,EffectName[#Headers],0),2),FALSE))</f>
        <v/>
      </c>
      <c r="U1216" t="str">
        <f t="shared" si="130"/>
        <v/>
      </c>
      <c r="V1216">
        <v>0</v>
      </c>
      <c r="W1216" t="str">
        <f>IF(V1216&lt;&gt;0,VLOOKUP(VLOOKUP(V1216,Tbl_Effect[],3,FALSE),EffectName[],IFERROR(MATCH(UI!$B$1,EffectName[#Headers],0),2),FALSE),"")</f>
        <v/>
      </c>
      <c r="X1216" t="str">
        <f t="shared" si="131"/>
        <v/>
      </c>
      <c r="Y1216">
        <v>0</v>
      </c>
      <c r="Z1216" t="str">
        <f>IF(Y1216&lt;&gt;0,VLOOKUP(VLOOKUP(Y1216,Tbl_Effect[],3,FALSE),EffectName[],IFERROR(MATCH(UI!$B$1,EffectName[#Headers],0),2),FALSE),"")</f>
        <v/>
      </c>
      <c r="AA1216" t="str">
        <f t="shared" si="132"/>
        <v/>
      </c>
      <c r="AB1216">
        <v>0</v>
      </c>
      <c r="AC1216" t="str">
        <f>IF(AB1216&lt;&gt;0,VLOOKUP(VLOOKUP(AB1216,Tbl_Effect[],3,FALSE),EffectName[],IFERROR(MATCH(UI!$B$1,EffectName[#Headers],0),2),FALSE),"")</f>
        <v/>
      </c>
    </row>
    <row r="1217" spans="8:29" x14ac:dyDescent="0.4">
      <c r="H1217" t="str">
        <f t="shared" si="126"/>
        <v>7081000-Unset (紅)</v>
      </c>
      <c r="I1217">
        <v>7081000</v>
      </c>
      <c r="J1217" t="str">
        <f>_xlfn.IFNA(IF(I1217&lt;&gt;0,VLOOKUP(VLOOKUP(I1217,Tbl_Equip[],2,FALSE),Tbl_Color[],IFERROR(MATCH(UI!$B$1,Tbl_Color[#Headers],0),2),FALSE),""),"Unset")</f>
        <v>紅</v>
      </c>
      <c r="K1217" t="str">
        <f>_xlfn.IFNA(IF(I1217&lt;&gt;0,VLOOKUP(I1217,ItemText[],IFERROR(MATCH(UI!$B$1,ItemText[#Headers],0),2),FALSE),""),"Unset")</f>
        <v>Unset</v>
      </c>
      <c r="L1217" t="str">
        <f t="shared" si="127"/>
        <v/>
      </c>
      <c r="M1217">
        <v>0</v>
      </c>
      <c r="N1217" t="str">
        <f>IF(VALUE(M1217)=0,"",VLOOKUP(VLOOKUP(M1217,Tbl_Effect[],3,FALSE),EffectName[],IFERROR(MATCH(UI!$B$1,EffectName[#Headers],0),2),FALSE))</f>
        <v/>
      </c>
      <c r="O1217" t="str">
        <f t="shared" si="128"/>
        <v/>
      </c>
      <c r="P1217">
        <v>0</v>
      </c>
      <c r="Q1217" t="str">
        <f>IF(VALUE(P1217)=0,"",VLOOKUP(VLOOKUP(P1217,Tbl_Effect[],3,FALSE),EffectName[],IFERROR(MATCH(UI!$B$1,EffectName[#Headers],0),2),FALSE))</f>
        <v/>
      </c>
      <c r="R1217" t="str">
        <f t="shared" si="129"/>
        <v/>
      </c>
      <c r="S1217">
        <v>0</v>
      </c>
      <c r="T1217" t="str">
        <f>IF(VALUE(S1217)=0,"",VLOOKUP(VLOOKUP(S1217,Tbl_Effect[],3,FALSE),EffectName[],IFERROR(MATCH(UI!$B$1,EffectName[#Headers],0),2),FALSE))</f>
        <v/>
      </c>
      <c r="U1217" t="str">
        <f t="shared" si="130"/>
        <v/>
      </c>
      <c r="V1217">
        <v>0</v>
      </c>
      <c r="W1217" t="str">
        <f>IF(V1217&lt;&gt;0,VLOOKUP(VLOOKUP(V1217,Tbl_Effect[],3,FALSE),EffectName[],IFERROR(MATCH(UI!$B$1,EffectName[#Headers],0),2),FALSE),"")</f>
        <v/>
      </c>
      <c r="X1217" t="str">
        <f t="shared" si="131"/>
        <v/>
      </c>
      <c r="Y1217">
        <v>0</v>
      </c>
      <c r="Z1217" t="str">
        <f>IF(Y1217&lt;&gt;0,VLOOKUP(VLOOKUP(Y1217,Tbl_Effect[],3,FALSE),EffectName[],IFERROR(MATCH(UI!$B$1,EffectName[#Headers],0),2),FALSE),"")</f>
        <v/>
      </c>
      <c r="AA1217" t="str">
        <f t="shared" si="132"/>
        <v/>
      </c>
      <c r="AB1217">
        <v>0</v>
      </c>
      <c r="AC1217" t="str">
        <f>IF(AB1217&lt;&gt;0,VLOOKUP(VLOOKUP(AB1217,Tbl_Effect[],3,FALSE),EffectName[],IFERROR(MATCH(UI!$B$1,EffectName[#Headers],0),2),FALSE),"")</f>
        <v/>
      </c>
    </row>
    <row r="1218" spans="8:29" x14ac:dyDescent="0.4">
      <c r="H1218" t="str">
        <f t="shared" si="126"/>
        <v>7081100-Unset (紅)</v>
      </c>
      <c r="I1218">
        <v>7081100</v>
      </c>
      <c r="J1218" t="str">
        <f>_xlfn.IFNA(IF(I1218&lt;&gt;0,VLOOKUP(VLOOKUP(I1218,Tbl_Equip[],2,FALSE),Tbl_Color[],IFERROR(MATCH(UI!$B$1,Tbl_Color[#Headers],0),2),FALSE),""),"Unset")</f>
        <v>紅</v>
      </c>
      <c r="K1218" t="str">
        <f>_xlfn.IFNA(IF(I1218&lt;&gt;0,VLOOKUP(I1218,ItemText[],IFERROR(MATCH(UI!$B$1,ItemText[#Headers],0),2),FALSE),""),"Unset")</f>
        <v>Unset</v>
      </c>
      <c r="L1218" t="str">
        <f t="shared" si="127"/>
        <v/>
      </c>
      <c r="M1218">
        <v>0</v>
      </c>
      <c r="N1218" t="str">
        <f>IF(VALUE(M1218)=0,"",VLOOKUP(VLOOKUP(M1218,Tbl_Effect[],3,FALSE),EffectName[],IFERROR(MATCH(UI!$B$1,EffectName[#Headers],0),2),FALSE))</f>
        <v/>
      </c>
      <c r="O1218" t="str">
        <f t="shared" si="128"/>
        <v/>
      </c>
      <c r="P1218">
        <v>0</v>
      </c>
      <c r="Q1218" t="str">
        <f>IF(VALUE(P1218)=0,"",VLOOKUP(VLOOKUP(P1218,Tbl_Effect[],3,FALSE),EffectName[],IFERROR(MATCH(UI!$B$1,EffectName[#Headers],0),2),FALSE))</f>
        <v/>
      </c>
      <c r="R1218" t="str">
        <f t="shared" si="129"/>
        <v/>
      </c>
      <c r="S1218">
        <v>0</v>
      </c>
      <c r="T1218" t="str">
        <f>IF(VALUE(S1218)=0,"",VLOOKUP(VLOOKUP(S1218,Tbl_Effect[],3,FALSE),EffectName[],IFERROR(MATCH(UI!$B$1,EffectName[#Headers],0),2),FALSE))</f>
        <v/>
      </c>
      <c r="U1218" t="str">
        <f t="shared" si="130"/>
        <v/>
      </c>
      <c r="V1218">
        <v>0</v>
      </c>
      <c r="W1218" t="str">
        <f>IF(V1218&lt;&gt;0,VLOOKUP(VLOOKUP(V1218,Tbl_Effect[],3,FALSE),EffectName[],IFERROR(MATCH(UI!$B$1,EffectName[#Headers],0),2),FALSE),"")</f>
        <v/>
      </c>
      <c r="X1218" t="str">
        <f t="shared" si="131"/>
        <v/>
      </c>
      <c r="Y1218">
        <v>0</v>
      </c>
      <c r="Z1218" t="str">
        <f>IF(Y1218&lt;&gt;0,VLOOKUP(VLOOKUP(Y1218,Tbl_Effect[],3,FALSE),EffectName[],IFERROR(MATCH(UI!$B$1,EffectName[#Headers],0),2),FALSE),"")</f>
        <v/>
      </c>
      <c r="AA1218" t="str">
        <f t="shared" si="132"/>
        <v/>
      </c>
      <c r="AB1218">
        <v>0</v>
      </c>
      <c r="AC1218" t="str">
        <f>IF(AB1218&lt;&gt;0,VLOOKUP(VLOOKUP(AB1218,Tbl_Effect[],3,FALSE),EffectName[],IFERROR(MATCH(UI!$B$1,EffectName[#Headers],0),2),FALSE),"")</f>
        <v/>
      </c>
    </row>
    <row r="1219" spans="8:29" x14ac:dyDescent="0.4">
      <c r="H1219" t="str">
        <f t="shared" ref="H1219:H1282" si="133">IF(VALUE(I1219)&lt;&gt;0,I1219&amp;"-"&amp;K1219&amp;" ("&amp;J1219&amp;")","")</f>
        <v>7081200-Unset (紅)</v>
      </c>
      <c r="I1219">
        <v>7081200</v>
      </c>
      <c r="J1219" t="str">
        <f>_xlfn.IFNA(IF(I1219&lt;&gt;0,VLOOKUP(VLOOKUP(I1219,Tbl_Equip[],2,FALSE),Tbl_Color[],IFERROR(MATCH(UI!$B$1,Tbl_Color[#Headers],0),2),FALSE),""),"Unset")</f>
        <v>紅</v>
      </c>
      <c r="K1219" t="str">
        <f>_xlfn.IFNA(IF(I1219&lt;&gt;0,VLOOKUP(I1219,ItemText[],IFERROR(MATCH(UI!$B$1,ItemText[#Headers],0),2),FALSE),""),"Unset")</f>
        <v>Unset</v>
      </c>
      <c r="L1219" t="str">
        <f t="shared" ref="L1219:L1282" si="134">IF(VALUE(M1219)=0,"",M1219&amp;"-"&amp;N1219)</f>
        <v/>
      </c>
      <c r="M1219">
        <v>0</v>
      </c>
      <c r="N1219" t="str">
        <f>IF(VALUE(M1219)=0,"",VLOOKUP(VLOOKUP(M1219,Tbl_Effect[],3,FALSE),EffectName[],IFERROR(MATCH(UI!$B$1,EffectName[#Headers],0),2),FALSE))</f>
        <v/>
      </c>
      <c r="O1219" t="str">
        <f t="shared" ref="O1219:O1282" si="135">IF(VALUE(P1219)=0,"",P1219&amp;"-"&amp;Q1219)</f>
        <v/>
      </c>
      <c r="P1219">
        <v>0</v>
      </c>
      <c r="Q1219" t="str">
        <f>IF(VALUE(P1219)=0,"",VLOOKUP(VLOOKUP(P1219,Tbl_Effect[],3,FALSE),EffectName[],IFERROR(MATCH(UI!$B$1,EffectName[#Headers],0),2),FALSE))</f>
        <v/>
      </c>
      <c r="R1219" t="str">
        <f t="shared" ref="R1219:R1282" si="136">IF(VALUE(S1219)=0,"",S1219&amp;"-"&amp;T1219)</f>
        <v/>
      </c>
      <c r="S1219">
        <v>0</v>
      </c>
      <c r="T1219" t="str">
        <f>IF(VALUE(S1219)=0,"",VLOOKUP(VLOOKUP(S1219,Tbl_Effect[],3,FALSE),EffectName[],IFERROR(MATCH(UI!$B$1,EffectName[#Headers],0),2),FALSE))</f>
        <v/>
      </c>
      <c r="U1219" t="str">
        <f t="shared" ref="U1219:U1282" si="137">IF(VALUE(V1219)=0,"",V1219&amp;"-"&amp;W1219)</f>
        <v/>
      </c>
      <c r="V1219">
        <v>0</v>
      </c>
      <c r="W1219" t="str">
        <f>IF(V1219&lt;&gt;0,VLOOKUP(VLOOKUP(V1219,Tbl_Effect[],3,FALSE),EffectName[],IFERROR(MATCH(UI!$B$1,EffectName[#Headers],0),2),FALSE),"")</f>
        <v/>
      </c>
      <c r="X1219" t="str">
        <f t="shared" ref="X1219:X1282" si="138">IF(VALUE(Y1219)=0,"",Y1219&amp;"-"&amp;Z1219)</f>
        <v/>
      </c>
      <c r="Y1219">
        <v>0</v>
      </c>
      <c r="Z1219" t="str">
        <f>IF(Y1219&lt;&gt;0,VLOOKUP(VLOOKUP(Y1219,Tbl_Effect[],3,FALSE),EffectName[],IFERROR(MATCH(UI!$B$1,EffectName[#Headers],0),2),FALSE),"")</f>
        <v/>
      </c>
      <c r="AA1219" t="str">
        <f t="shared" ref="AA1219:AA1282" si="139">IF(VALUE(AB1219)=0,"",AB1219&amp;"-"&amp;AC1219)</f>
        <v/>
      </c>
      <c r="AB1219">
        <v>0</v>
      </c>
      <c r="AC1219" t="str">
        <f>IF(AB1219&lt;&gt;0,VLOOKUP(VLOOKUP(AB1219,Tbl_Effect[],3,FALSE),EffectName[],IFERROR(MATCH(UI!$B$1,EffectName[#Headers],0),2),FALSE),"")</f>
        <v/>
      </c>
    </row>
    <row r="1220" spans="8:29" x14ac:dyDescent="0.4">
      <c r="H1220" t="str">
        <f t="shared" si="133"/>
        <v>7081300-Unset (紅)</v>
      </c>
      <c r="I1220">
        <v>7081300</v>
      </c>
      <c r="J1220" t="str">
        <f>_xlfn.IFNA(IF(I1220&lt;&gt;0,VLOOKUP(VLOOKUP(I1220,Tbl_Equip[],2,FALSE),Tbl_Color[],IFERROR(MATCH(UI!$B$1,Tbl_Color[#Headers],0),2),FALSE),""),"Unset")</f>
        <v>紅</v>
      </c>
      <c r="K1220" t="str">
        <f>_xlfn.IFNA(IF(I1220&lt;&gt;0,VLOOKUP(I1220,ItemText[],IFERROR(MATCH(UI!$B$1,ItemText[#Headers],0),2),FALSE),""),"Unset")</f>
        <v>Unset</v>
      </c>
      <c r="L1220" t="str">
        <f t="shared" si="134"/>
        <v/>
      </c>
      <c r="M1220">
        <v>0</v>
      </c>
      <c r="N1220" t="str">
        <f>IF(VALUE(M1220)=0,"",VLOOKUP(VLOOKUP(M1220,Tbl_Effect[],3,FALSE),EffectName[],IFERROR(MATCH(UI!$B$1,EffectName[#Headers],0),2),FALSE))</f>
        <v/>
      </c>
      <c r="O1220" t="str">
        <f t="shared" si="135"/>
        <v/>
      </c>
      <c r="P1220">
        <v>0</v>
      </c>
      <c r="Q1220" t="str">
        <f>IF(VALUE(P1220)=0,"",VLOOKUP(VLOOKUP(P1220,Tbl_Effect[],3,FALSE),EffectName[],IFERROR(MATCH(UI!$B$1,EffectName[#Headers],0),2),FALSE))</f>
        <v/>
      </c>
      <c r="R1220" t="str">
        <f t="shared" si="136"/>
        <v/>
      </c>
      <c r="S1220">
        <v>0</v>
      </c>
      <c r="T1220" t="str">
        <f>IF(VALUE(S1220)=0,"",VLOOKUP(VLOOKUP(S1220,Tbl_Effect[],3,FALSE),EffectName[],IFERROR(MATCH(UI!$B$1,EffectName[#Headers],0),2),FALSE))</f>
        <v/>
      </c>
      <c r="U1220" t="str">
        <f t="shared" si="137"/>
        <v/>
      </c>
      <c r="V1220">
        <v>0</v>
      </c>
      <c r="W1220" t="str">
        <f>IF(V1220&lt;&gt;0,VLOOKUP(VLOOKUP(V1220,Tbl_Effect[],3,FALSE),EffectName[],IFERROR(MATCH(UI!$B$1,EffectName[#Headers],0),2),FALSE),"")</f>
        <v/>
      </c>
      <c r="X1220" t="str">
        <f t="shared" si="138"/>
        <v/>
      </c>
      <c r="Y1220">
        <v>0</v>
      </c>
      <c r="Z1220" t="str">
        <f>IF(Y1220&lt;&gt;0,VLOOKUP(VLOOKUP(Y1220,Tbl_Effect[],3,FALSE),EffectName[],IFERROR(MATCH(UI!$B$1,EffectName[#Headers],0),2),FALSE),"")</f>
        <v/>
      </c>
      <c r="AA1220" t="str">
        <f t="shared" si="139"/>
        <v/>
      </c>
      <c r="AB1220">
        <v>0</v>
      </c>
      <c r="AC1220" t="str">
        <f>IF(AB1220&lt;&gt;0,VLOOKUP(VLOOKUP(AB1220,Tbl_Effect[],3,FALSE),EffectName[],IFERROR(MATCH(UI!$B$1,EffectName[#Headers],0),2),FALSE),"")</f>
        <v/>
      </c>
    </row>
    <row r="1221" spans="8:29" x14ac:dyDescent="0.4">
      <c r="H1221" t="str">
        <f t="shared" si="133"/>
        <v>7081400-Unset (紅)</v>
      </c>
      <c r="I1221">
        <v>7081400</v>
      </c>
      <c r="J1221" t="str">
        <f>_xlfn.IFNA(IF(I1221&lt;&gt;0,VLOOKUP(VLOOKUP(I1221,Tbl_Equip[],2,FALSE),Tbl_Color[],IFERROR(MATCH(UI!$B$1,Tbl_Color[#Headers],0),2),FALSE),""),"Unset")</f>
        <v>紅</v>
      </c>
      <c r="K1221" t="str">
        <f>_xlfn.IFNA(IF(I1221&lt;&gt;0,VLOOKUP(I1221,ItemText[],IFERROR(MATCH(UI!$B$1,ItemText[#Headers],0),2),FALSE),""),"Unset")</f>
        <v>Unset</v>
      </c>
      <c r="L1221" t="str">
        <f t="shared" si="134"/>
        <v/>
      </c>
      <c r="M1221">
        <v>0</v>
      </c>
      <c r="N1221" t="str">
        <f>IF(VALUE(M1221)=0,"",VLOOKUP(VLOOKUP(M1221,Tbl_Effect[],3,FALSE),EffectName[],IFERROR(MATCH(UI!$B$1,EffectName[#Headers],0),2),FALSE))</f>
        <v/>
      </c>
      <c r="O1221" t="str">
        <f t="shared" si="135"/>
        <v/>
      </c>
      <c r="P1221">
        <v>0</v>
      </c>
      <c r="Q1221" t="str">
        <f>IF(VALUE(P1221)=0,"",VLOOKUP(VLOOKUP(P1221,Tbl_Effect[],3,FALSE),EffectName[],IFERROR(MATCH(UI!$B$1,EffectName[#Headers],0),2),FALSE))</f>
        <v/>
      </c>
      <c r="R1221" t="str">
        <f t="shared" si="136"/>
        <v/>
      </c>
      <c r="S1221">
        <v>0</v>
      </c>
      <c r="T1221" t="str">
        <f>IF(VALUE(S1221)=0,"",VLOOKUP(VLOOKUP(S1221,Tbl_Effect[],3,FALSE),EffectName[],IFERROR(MATCH(UI!$B$1,EffectName[#Headers],0),2),FALSE))</f>
        <v/>
      </c>
      <c r="U1221" t="str">
        <f t="shared" si="137"/>
        <v/>
      </c>
      <c r="V1221">
        <v>0</v>
      </c>
      <c r="W1221" t="str">
        <f>IF(V1221&lt;&gt;0,VLOOKUP(VLOOKUP(V1221,Tbl_Effect[],3,FALSE),EffectName[],IFERROR(MATCH(UI!$B$1,EffectName[#Headers],0),2),FALSE),"")</f>
        <v/>
      </c>
      <c r="X1221" t="str">
        <f t="shared" si="138"/>
        <v/>
      </c>
      <c r="Y1221">
        <v>0</v>
      </c>
      <c r="Z1221" t="str">
        <f>IF(Y1221&lt;&gt;0,VLOOKUP(VLOOKUP(Y1221,Tbl_Effect[],3,FALSE),EffectName[],IFERROR(MATCH(UI!$B$1,EffectName[#Headers],0),2),FALSE),"")</f>
        <v/>
      </c>
      <c r="AA1221" t="str">
        <f t="shared" si="139"/>
        <v/>
      </c>
      <c r="AB1221">
        <v>0</v>
      </c>
      <c r="AC1221" t="str">
        <f>IF(AB1221&lt;&gt;0,VLOOKUP(VLOOKUP(AB1221,Tbl_Effect[],3,FALSE),EffectName[],IFERROR(MATCH(UI!$B$1,EffectName[#Headers],0),2),FALSE),"")</f>
        <v/>
      </c>
    </row>
    <row r="1222" spans="8:29" x14ac:dyDescent="0.4">
      <c r="H1222" t="str">
        <f t="shared" si="133"/>
        <v>7081500-Unset (紅)</v>
      </c>
      <c r="I1222">
        <v>7081500</v>
      </c>
      <c r="J1222" t="str">
        <f>_xlfn.IFNA(IF(I1222&lt;&gt;0,VLOOKUP(VLOOKUP(I1222,Tbl_Equip[],2,FALSE),Tbl_Color[],IFERROR(MATCH(UI!$B$1,Tbl_Color[#Headers],0),2),FALSE),""),"Unset")</f>
        <v>紅</v>
      </c>
      <c r="K1222" t="str">
        <f>_xlfn.IFNA(IF(I1222&lt;&gt;0,VLOOKUP(I1222,ItemText[],IFERROR(MATCH(UI!$B$1,ItemText[#Headers],0),2),FALSE),""),"Unset")</f>
        <v>Unset</v>
      </c>
      <c r="L1222" t="str">
        <f t="shared" si="134"/>
        <v/>
      </c>
      <c r="M1222">
        <v>0</v>
      </c>
      <c r="N1222" t="str">
        <f>IF(VALUE(M1222)=0,"",VLOOKUP(VLOOKUP(M1222,Tbl_Effect[],3,FALSE),EffectName[],IFERROR(MATCH(UI!$B$1,EffectName[#Headers],0),2),FALSE))</f>
        <v/>
      </c>
      <c r="O1222" t="str">
        <f t="shared" si="135"/>
        <v/>
      </c>
      <c r="P1222">
        <v>0</v>
      </c>
      <c r="Q1222" t="str">
        <f>IF(VALUE(P1222)=0,"",VLOOKUP(VLOOKUP(P1222,Tbl_Effect[],3,FALSE),EffectName[],IFERROR(MATCH(UI!$B$1,EffectName[#Headers],0),2),FALSE))</f>
        <v/>
      </c>
      <c r="R1222" t="str">
        <f t="shared" si="136"/>
        <v/>
      </c>
      <c r="S1222">
        <v>0</v>
      </c>
      <c r="T1222" t="str">
        <f>IF(VALUE(S1222)=0,"",VLOOKUP(VLOOKUP(S1222,Tbl_Effect[],3,FALSE),EffectName[],IFERROR(MATCH(UI!$B$1,EffectName[#Headers],0),2),FALSE))</f>
        <v/>
      </c>
      <c r="U1222" t="str">
        <f t="shared" si="137"/>
        <v/>
      </c>
      <c r="V1222">
        <v>0</v>
      </c>
      <c r="W1222" t="str">
        <f>IF(V1222&lt;&gt;0,VLOOKUP(VLOOKUP(V1222,Tbl_Effect[],3,FALSE),EffectName[],IFERROR(MATCH(UI!$B$1,EffectName[#Headers],0),2),FALSE),"")</f>
        <v/>
      </c>
      <c r="X1222" t="str">
        <f t="shared" si="138"/>
        <v/>
      </c>
      <c r="Y1222">
        <v>0</v>
      </c>
      <c r="Z1222" t="str">
        <f>IF(Y1222&lt;&gt;0,VLOOKUP(VLOOKUP(Y1222,Tbl_Effect[],3,FALSE),EffectName[],IFERROR(MATCH(UI!$B$1,EffectName[#Headers],0),2),FALSE),"")</f>
        <v/>
      </c>
      <c r="AA1222" t="str">
        <f t="shared" si="139"/>
        <v/>
      </c>
      <c r="AB1222">
        <v>0</v>
      </c>
      <c r="AC1222" t="str">
        <f>IF(AB1222&lt;&gt;0,VLOOKUP(VLOOKUP(AB1222,Tbl_Effect[],3,FALSE),EffectName[],IFERROR(MATCH(UI!$B$1,EffectName[#Headers],0),2),FALSE),"")</f>
        <v/>
      </c>
    </row>
    <row r="1223" spans="8:29" x14ac:dyDescent="0.4">
      <c r="H1223" t="str">
        <f t="shared" si="133"/>
        <v>7081700-Unset (紅)</v>
      </c>
      <c r="I1223">
        <v>7081700</v>
      </c>
      <c r="J1223" t="str">
        <f>_xlfn.IFNA(IF(I1223&lt;&gt;0,VLOOKUP(VLOOKUP(I1223,Tbl_Equip[],2,FALSE),Tbl_Color[],IFERROR(MATCH(UI!$B$1,Tbl_Color[#Headers],0),2),FALSE),""),"Unset")</f>
        <v>紅</v>
      </c>
      <c r="K1223" t="str">
        <f>_xlfn.IFNA(IF(I1223&lt;&gt;0,VLOOKUP(I1223,ItemText[],IFERROR(MATCH(UI!$B$1,ItemText[#Headers],0),2),FALSE),""),"Unset")</f>
        <v>Unset</v>
      </c>
      <c r="L1223" t="str">
        <f t="shared" si="134"/>
        <v/>
      </c>
      <c r="M1223">
        <v>0</v>
      </c>
      <c r="N1223" t="str">
        <f>IF(VALUE(M1223)=0,"",VLOOKUP(VLOOKUP(M1223,Tbl_Effect[],3,FALSE),EffectName[],IFERROR(MATCH(UI!$B$1,EffectName[#Headers],0),2),FALSE))</f>
        <v/>
      </c>
      <c r="O1223" t="str">
        <f t="shared" si="135"/>
        <v/>
      </c>
      <c r="P1223">
        <v>0</v>
      </c>
      <c r="Q1223" t="str">
        <f>IF(VALUE(P1223)=0,"",VLOOKUP(VLOOKUP(P1223,Tbl_Effect[],3,FALSE),EffectName[],IFERROR(MATCH(UI!$B$1,EffectName[#Headers],0),2),FALSE))</f>
        <v/>
      </c>
      <c r="R1223" t="str">
        <f t="shared" si="136"/>
        <v/>
      </c>
      <c r="S1223">
        <v>0</v>
      </c>
      <c r="T1223" t="str">
        <f>IF(VALUE(S1223)=0,"",VLOOKUP(VLOOKUP(S1223,Tbl_Effect[],3,FALSE),EffectName[],IFERROR(MATCH(UI!$B$1,EffectName[#Headers],0),2),FALSE))</f>
        <v/>
      </c>
      <c r="U1223" t="str">
        <f t="shared" si="137"/>
        <v/>
      </c>
      <c r="V1223">
        <v>0</v>
      </c>
      <c r="W1223" t="str">
        <f>IF(V1223&lt;&gt;0,VLOOKUP(VLOOKUP(V1223,Tbl_Effect[],3,FALSE),EffectName[],IFERROR(MATCH(UI!$B$1,EffectName[#Headers],0),2),FALSE),"")</f>
        <v/>
      </c>
      <c r="X1223" t="str">
        <f t="shared" si="138"/>
        <v/>
      </c>
      <c r="Y1223">
        <v>0</v>
      </c>
      <c r="Z1223" t="str">
        <f>IF(Y1223&lt;&gt;0,VLOOKUP(VLOOKUP(Y1223,Tbl_Effect[],3,FALSE),EffectName[],IFERROR(MATCH(UI!$B$1,EffectName[#Headers],0),2),FALSE),"")</f>
        <v/>
      </c>
      <c r="AA1223" t="str">
        <f t="shared" si="139"/>
        <v/>
      </c>
      <c r="AB1223">
        <v>0</v>
      </c>
      <c r="AC1223" t="str">
        <f>IF(AB1223&lt;&gt;0,VLOOKUP(VLOOKUP(AB1223,Tbl_Effect[],3,FALSE),EffectName[],IFERROR(MATCH(UI!$B$1,EffectName[#Headers],0),2),FALSE),"")</f>
        <v/>
      </c>
    </row>
    <row r="1224" spans="8:29" x14ac:dyDescent="0.4">
      <c r="H1224" t="str">
        <f t="shared" si="133"/>
        <v>7081800-Unset (紅)</v>
      </c>
      <c r="I1224">
        <v>7081800</v>
      </c>
      <c r="J1224" t="str">
        <f>_xlfn.IFNA(IF(I1224&lt;&gt;0,VLOOKUP(VLOOKUP(I1224,Tbl_Equip[],2,FALSE),Tbl_Color[],IFERROR(MATCH(UI!$B$1,Tbl_Color[#Headers],0),2),FALSE),""),"Unset")</f>
        <v>紅</v>
      </c>
      <c r="K1224" t="str">
        <f>_xlfn.IFNA(IF(I1224&lt;&gt;0,VLOOKUP(I1224,ItemText[],IFERROR(MATCH(UI!$B$1,ItemText[#Headers],0),2),FALSE),""),"Unset")</f>
        <v>Unset</v>
      </c>
      <c r="L1224" t="str">
        <f t="shared" si="134"/>
        <v/>
      </c>
      <c r="M1224">
        <v>0</v>
      </c>
      <c r="N1224" t="str">
        <f>IF(VALUE(M1224)=0,"",VLOOKUP(VLOOKUP(M1224,Tbl_Effect[],3,FALSE),EffectName[],IFERROR(MATCH(UI!$B$1,EffectName[#Headers],0),2),FALSE))</f>
        <v/>
      </c>
      <c r="O1224" t="str">
        <f t="shared" si="135"/>
        <v/>
      </c>
      <c r="P1224">
        <v>0</v>
      </c>
      <c r="Q1224" t="str">
        <f>IF(VALUE(P1224)=0,"",VLOOKUP(VLOOKUP(P1224,Tbl_Effect[],3,FALSE),EffectName[],IFERROR(MATCH(UI!$B$1,EffectName[#Headers],0),2),FALSE))</f>
        <v/>
      </c>
      <c r="R1224" t="str">
        <f t="shared" si="136"/>
        <v/>
      </c>
      <c r="S1224">
        <v>0</v>
      </c>
      <c r="T1224" t="str">
        <f>IF(VALUE(S1224)=0,"",VLOOKUP(VLOOKUP(S1224,Tbl_Effect[],3,FALSE),EffectName[],IFERROR(MATCH(UI!$B$1,EffectName[#Headers],0),2),FALSE))</f>
        <v/>
      </c>
      <c r="U1224" t="str">
        <f t="shared" si="137"/>
        <v/>
      </c>
      <c r="V1224">
        <v>0</v>
      </c>
      <c r="W1224" t="str">
        <f>IF(V1224&lt;&gt;0,VLOOKUP(VLOOKUP(V1224,Tbl_Effect[],3,FALSE),EffectName[],IFERROR(MATCH(UI!$B$1,EffectName[#Headers],0),2),FALSE),"")</f>
        <v/>
      </c>
      <c r="X1224" t="str">
        <f t="shared" si="138"/>
        <v/>
      </c>
      <c r="Y1224">
        <v>0</v>
      </c>
      <c r="Z1224" t="str">
        <f>IF(Y1224&lt;&gt;0,VLOOKUP(VLOOKUP(Y1224,Tbl_Effect[],3,FALSE),EffectName[],IFERROR(MATCH(UI!$B$1,EffectName[#Headers],0),2),FALSE),"")</f>
        <v/>
      </c>
      <c r="AA1224" t="str">
        <f t="shared" si="139"/>
        <v/>
      </c>
      <c r="AB1224">
        <v>0</v>
      </c>
      <c r="AC1224" t="str">
        <f>IF(AB1224&lt;&gt;0,VLOOKUP(VLOOKUP(AB1224,Tbl_Effect[],3,FALSE),EffectName[],IFERROR(MATCH(UI!$B$1,EffectName[#Headers],0),2),FALSE),"")</f>
        <v/>
      </c>
    </row>
    <row r="1225" spans="8:29" x14ac:dyDescent="0.4">
      <c r="H1225" t="str">
        <f t="shared" si="133"/>
        <v>7081900-Unset (紅)</v>
      </c>
      <c r="I1225">
        <v>7081900</v>
      </c>
      <c r="J1225" t="str">
        <f>_xlfn.IFNA(IF(I1225&lt;&gt;0,VLOOKUP(VLOOKUP(I1225,Tbl_Equip[],2,FALSE),Tbl_Color[],IFERROR(MATCH(UI!$B$1,Tbl_Color[#Headers],0),2),FALSE),""),"Unset")</f>
        <v>紅</v>
      </c>
      <c r="K1225" t="str">
        <f>_xlfn.IFNA(IF(I1225&lt;&gt;0,VLOOKUP(I1225,ItemText[],IFERROR(MATCH(UI!$B$1,ItemText[#Headers],0),2),FALSE),""),"Unset")</f>
        <v>Unset</v>
      </c>
      <c r="L1225" t="str">
        <f t="shared" si="134"/>
        <v/>
      </c>
      <c r="M1225">
        <v>0</v>
      </c>
      <c r="N1225" t="str">
        <f>IF(VALUE(M1225)=0,"",VLOOKUP(VLOOKUP(M1225,Tbl_Effect[],3,FALSE),EffectName[],IFERROR(MATCH(UI!$B$1,EffectName[#Headers],0),2),FALSE))</f>
        <v/>
      </c>
      <c r="O1225" t="str">
        <f t="shared" si="135"/>
        <v/>
      </c>
      <c r="P1225">
        <v>0</v>
      </c>
      <c r="Q1225" t="str">
        <f>IF(VALUE(P1225)=0,"",VLOOKUP(VLOOKUP(P1225,Tbl_Effect[],3,FALSE),EffectName[],IFERROR(MATCH(UI!$B$1,EffectName[#Headers],0),2),FALSE))</f>
        <v/>
      </c>
      <c r="R1225" t="str">
        <f t="shared" si="136"/>
        <v/>
      </c>
      <c r="S1225">
        <v>0</v>
      </c>
      <c r="T1225" t="str">
        <f>IF(VALUE(S1225)=0,"",VLOOKUP(VLOOKUP(S1225,Tbl_Effect[],3,FALSE),EffectName[],IFERROR(MATCH(UI!$B$1,EffectName[#Headers],0),2),FALSE))</f>
        <v/>
      </c>
      <c r="U1225" t="str">
        <f t="shared" si="137"/>
        <v/>
      </c>
      <c r="V1225">
        <v>0</v>
      </c>
      <c r="W1225" t="str">
        <f>IF(V1225&lt;&gt;0,VLOOKUP(VLOOKUP(V1225,Tbl_Effect[],3,FALSE),EffectName[],IFERROR(MATCH(UI!$B$1,EffectName[#Headers],0),2),FALSE),"")</f>
        <v/>
      </c>
      <c r="X1225" t="str">
        <f t="shared" si="138"/>
        <v/>
      </c>
      <c r="Y1225">
        <v>0</v>
      </c>
      <c r="Z1225" t="str">
        <f>IF(Y1225&lt;&gt;0,VLOOKUP(VLOOKUP(Y1225,Tbl_Effect[],3,FALSE),EffectName[],IFERROR(MATCH(UI!$B$1,EffectName[#Headers],0),2),FALSE),"")</f>
        <v/>
      </c>
      <c r="AA1225" t="str">
        <f t="shared" si="139"/>
        <v/>
      </c>
      <c r="AB1225">
        <v>0</v>
      </c>
      <c r="AC1225" t="str">
        <f>IF(AB1225&lt;&gt;0,VLOOKUP(VLOOKUP(AB1225,Tbl_Effect[],3,FALSE),EffectName[],IFERROR(MATCH(UI!$B$1,EffectName[#Headers],0),2),FALSE),"")</f>
        <v/>
      </c>
    </row>
    <row r="1226" spans="8:29" x14ac:dyDescent="0.4">
      <c r="H1226" t="str">
        <f t="shared" si="133"/>
        <v>7082000-Unset (紅)</v>
      </c>
      <c r="I1226">
        <v>7082000</v>
      </c>
      <c r="J1226" t="str">
        <f>_xlfn.IFNA(IF(I1226&lt;&gt;0,VLOOKUP(VLOOKUP(I1226,Tbl_Equip[],2,FALSE),Tbl_Color[],IFERROR(MATCH(UI!$B$1,Tbl_Color[#Headers],0),2),FALSE),""),"Unset")</f>
        <v>紅</v>
      </c>
      <c r="K1226" t="str">
        <f>_xlfn.IFNA(IF(I1226&lt;&gt;0,VLOOKUP(I1226,ItemText[],IFERROR(MATCH(UI!$B$1,ItemText[#Headers],0),2),FALSE),""),"Unset")</f>
        <v>Unset</v>
      </c>
      <c r="L1226" t="str">
        <f t="shared" si="134"/>
        <v/>
      </c>
      <c r="M1226">
        <v>0</v>
      </c>
      <c r="N1226" t="str">
        <f>IF(VALUE(M1226)=0,"",VLOOKUP(VLOOKUP(M1226,Tbl_Effect[],3,FALSE),EffectName[],IFERROR(MATCH(UI!$B$1,EffectName[#Headers],0),2),FALSE))</f>
        <v/>
      </c>
      <c r="O1226" t="str">
        <f t="shared" si="135"/>
        <v/>
      </c>
      <c r="P1226">
        <v>0</v>
      </c>
      <c r="Q1226" t="str">
        <f>IF(VALUE(P1226)=0,"",VLOOKUP(VLOOKUP(P1226,Tbl_Effect[],3,FALSE),EffectName[],IFERROR(MATCH(UI!$B$1,EffectName[#Headers],0),2),FALSE))</f>
        <v/>
      </c>
      <c r="R1226" t="str">
        <f t="shared" si="136"/>
        <v/>
      </c>
      <c r="S1226">
        <v>0</v>
      </c>
      <c r="T1226" t="str">
        <f>IF(VALUE(S1226)=0,"",VLOOKUP(VLOOKUP(S1226,Tbl_Effect[],3,FALSE),EffectName[],IFERROR(MATCH(UI!$B$1,EffectName[#Headers],0),2),FALSE))</f>
        <v/>
      </c>
      <c r="U1226" t="str">
        <f t="shared" si="137"/>
        <v/>
      </c>
      <c r="V1226">
        <v>0</v>
      </c>
      <c r="W1226" t="str">
        <f>IF(V1226&lt;&gt;0,VLOOKUP(VLOOKUP(V1226,Tbl_Effect[],3,FALSE),EffectName[],IFERROR(MATCH(UI!$B$1,EffectName[#Headers],0),2),FALSE),"")</f>
        <v/>
      </c>
      <c r="X1226" t="str">
        <f t="shared" si="138"/>
        <v/>
      </c>
      <c r="Y1226">
        <v>0</v>
      </c>
      <c r="Z1226" t="str">
        <f>IF(Y1226&lt;&gt;0,VLOOKUP(VLOOKUP(Y1226,Tbl_Effect[],3,FALSE),EffectName[],IFERROR(MATCH(UI!$B$1,EffectName[#Headers],0),2),FALSE),"")</f>
        <v/>
      </c>
      <c r="AA1226" t="str">
        <f t="shared" si="139"/>
        <v/>
      </c>
      <c r="AB1226">
        <v>0</v>
      </c>
      <c r="AC1226" t="str">
        <f>IF(AB1226&lt;&gt;0,VLOOKUP(VLOOKUP(AB1226,Tbl_Effect[],3,FALSE),EffectName[],IFERROR(MATCH(UI!$B$1,EffectName[#Headers],0),2),FALSE),"")</f>
        <v/>
      </c>
    </row>
    <row r="1227" spans="8:29" x14ac:dyDescent="0.4">
      <c r="H1227" t="str">
        <f t="shared" si="133"/>
        <v>7082100-Unset (紅)</v>
      </c>
      <c r="I1227">
        <v>7082100</v>
      </c>
      <c r="J1227" t="str">
        <f>_xlfn.IFNA(IF(I1227&lt;&gt;0,VLOOKUP(VLOOKUP(I1227,Tbl_Equip[],2,FALSE),Tbl_Color[],IFERROR(MATCH(UI!$B$1,Tbl_Color[#Headers],0),2),FALSE),""),"Unset")</f>
        <v>紅</v>
      </c>
      <c r="K1227" t="str">
        <f>_xlfn.IFNA(IF(I1227&lt;&gt;0,VLOOKUP(I1227,ItemText[],IFERROR(MATCH(UI!$B$1,ItemText[#Headers],0),2),FALSE),""),"Unset")</f>
        <v>Unset</v>
      </c>
      <c r="L1227" t="str">
        <f t="shared" si="134"/>
        <v/>
      </c>
      <c r="M1227">
        <v>0</v>
      </c>
      <c r="N1227" t="str">
        <f>IF(VALUE(M1227)=0,"",VLOOKUP(VLOOKUP(M1227,Tbl_Effect[],3,FALSE),EffectName[],IFERROR(MATCH(UI!$B$1,EffectName[#Headers],0),2),FALSE))</f>
        <v/>
      </c>
      <c r="O1227" t="str">
        <f t="shared" si="135"/>
        <v/>
      </c>
      <c r="P1227">
        <v>0</v>
      </c>
      <c r="Q1227" t="str">
        <f>IF(VALUE(P1227)=0,"",VLOOKUP(VLOOKUP(P1227,Tbl_Effect[],3,FALSE),EffectName[],IFERROR(MATCH(UI!$B$1,EffectName[#Headers],0),2),FALSE))</f>
        <v/>
      </c>
      <c r="R1227" t="str">
        <f t="shared" si="136"/>
        <v/>
      </c>
      <c r="S1227">
        <v>0</v>
      </c>
      <c r="T1227" t="str">
        <f>IF(VALUE(S1227)=0,"",VLOOKUP(VLOOKUP(S1227,Tbl_Effect[],3,FALSE),EffectName[],IFERROR(MATCH(UI!$B$1,EffectName[#Headers],0),2),FALSE))</f>
        <v/>
      </c>
      <c r="U1227" t="str">
        <f t="shared" si="137"/>
        <v/>
      </c>
      <c r="V1227">
        <v>0</v>
      </c>
      <c r="W1227" t="str">
        <f>IF(V1227&lt;&gt;0,VLOOKUP(VLOOKUP(V1227,Tbl_Effect[],3,FALSE),EffectName[],IFERROR(MATCH(UI!$B$1,EffectName[#Headers],0),2),FALSE),"")</f>
        <v/>
      </c>
      <c r="X1227" t="str">
        <f t="shared" si="138"/>
        <v/>
      </c>
      <c r="Y1227">
        <v>0</v>
      </c>
      <c r="Z1227" t="str">
        <f>IF(Y1227&lt;&gt;0,VLOOKUP(VLOOKUP(Y1227,Tbl_Effect[],3,FALSE),EffectName[],IFERROR(MATCH(UI!$B$1,EffectName[#Headers],0),2),FALSE),"")</f>
        <v/>
      </c>
      <c r="AA1227" t="str">
        <f t="shared" si="139"/>
        <v/>
      </c>
      <c r="AB1227">
        <v>0</v>
      </c>
      <c r="AC1227" t="str">
        <f>IF(AB1227&lt;&gt;0,VLOOKUP(VLOOKUP(AB1227,Tbl_Effect[],3,FALSE),EffectName[],IFERROR(MATCH(UI!$B$1,EffectName[#Headers],0),2),FALSE),"")</f>
        <v/>
      </c>
    </row>
    <row r="1228" spans="8:29" x14ac:dyDescent="0.4">
      <c r="H1228" t="str">
        <f t="shared" si="133"/>
        <v>7082200-Unset (紅)</v>
      </c>
      <c r="I1228">
        <v>7082200</v>
      </c>
      <c r="J1228" t="str">
        <f>_xlfn.IFNA(IF(I1228&lt;&gt;0,VLOOKUP(VLOOKUP(I1228,Tbl_Equip[],2,FALSE),Tbl_Color[],IFERROR(MATCH(UI!$B$1,Tbl_Color[#Headers],0),2),FALSE),""),"Unset")</f>
        <v>紅</v>
      </c>
      <c r="K1228" t="str">
        <f>_xlfn.IFNA(IF(I1228&lt;&gt;0,VLOOKUP(I1228,ItemText[],IFERROR(MATCH(UI!$B$1,ItemText[#Headers],0),2),FALSE),""),"Unset")</f>
        <v>Unset</v>
      </c>
      <c r="L1228" t="str">
        <f t="shared" si="134"/>
        <v/>
      </c>
      <c r="M1228">
        <v>0</v>
      </c>
      <c r="N1228" t="str">
        <f>IF(VALUE(M1228)=0,"",VLOOKUP(VLOOKUP(M1228,Tbl_Effect[],3,FALSE),EffectName[],IFERROR(MATCH(UI!$B$1,EffectName[#Headers],0),2),FALSE))</f>
        <v/>
      </c>
      <c r="O1228" t="str">
        <f t="shared" si="135"/>
        <v/>
      </c>
      <c r="P1228">
        <v>0</v>
      </c>
      <c r="Q1228" t="str">
        <f>IF(VALUE(P1228)=0,"",VLOOKUP(VLOOKUP(P1228,Tbl_Effect[],3,FALSE),EffectName[],IFERROR(MATCH(UI!$B$1,EffectName[#Headers],0),2),FALSE))</f>
        <v/>
      </c>
      <c r="R1228" t="str">
        <f t="shared" si="136"/>
        <v/>
      </c>
      <c r="S1228">
        <v>0</v>
      </c>
      <c r="T1228" t="str">
        <f>IF(VALUE(S1228)=0,"",VLOOKUP(VLOOKUP(S1228,Tbl_Effect[],3,FALSE),EffectName[],IFERROR(MATCH(UI!$B$1,EffectName[#Headers],0),2),FALSE))</f>
        <v/>
      </c>
      <c r="U1228" t="str">
        <f t="shared" si="137"/>
        <v/>
      </c>
      <c r="V1228">
        <v>0</v>
      </c>
      <c r="W1228" t="str">
        <f>IF(V1228&lt;&gt;0,VLOOKUP(VLOOKUP(V1228,Tbl_Effect[],3,FALSE),EffectName[],IFERROR(MATCH(UI!$B$1,EffectName[#Headers],0),2),FALSE),"")</f>
        <v/>
      </c>
      <c r="X1228" t="str">
        <f t="shared" si="138"/>
        <v/>
      </c>
      <c r="Y1228">
        <v>0</v>
      </c>
      <c r="Z1228" t="str">
        <f>IF(Y1228&lt;&gt;0,VLOOKUP(VLOOKUP(Y1228,Tbl_Effect[],3,FALSE),EffectName[],IFERROR(MATCH(UI!$B$1,EffectName[#Headers],0),2),FALSE),"")</f>
        <v/>
      </c>
      <c r="AA1228" t="str">
        <f t="shared" si="139"/>
        <v/>
      </c>
      <c r="AB1228">
        <v>0</v>
      </c>
      <c r="AC1228" t="str">
        <f>IF(AB1228&lt;&gt;0,VLOOKUP(VLOOKUP(AB1228,Tbl_Effect[],3,FALSE),EffectName[],IFERROR(MATCH(UI!$B$1,EffectName[#Headers],0),2),FALSE),"")</f>
        <v/>
      </c>
    </row>
    <row r="1229" spans="8:29" x14ac:dyDescent="0.4">
      <c r="H1229" t="str">
        <f t="shared" si="133"/>
        <v>7082300-Unset (紅)</v>
      </c>
      <c r="I1229">
        <v>7082300</v>
      </c>
      <c r="J1229" t="str">
        <f>_xlfn.IFNA(IF(I1229&lt;&gt;0,VLOOKUP(VLOOKUP(I1229,Tbl_Equip[],2,FALSE),Tbl_Color[],IFERROR(MATCH(UI!$B$1,Tbl_Color[#Headers],0),2),FALSE),""),"Unset")</f>
        <v>紅</v>
      </c>
      <c r="K1229" t="str">
        <f>_xlfn.IFNA(IF(I1229&lt;&gt;0,VLOOKUP(I1229,ItemText[],IFERROR(MATCH(UI!$B$1,ItemText[#Headers],0),2),FALSE),""),"Unset")</f>
        <v>Unset</v>
      </c>
      <c r="L1229" t="str">
        <f t="shared" si="134"/>
        <v/>
      </c>
      <c r="M1229">
        <v>0</v>
      </c>
      <c r="N1229" t="str">
        <f>IF(VALUE(M1229)=0,"",VLOOKUP(VLOOKUP(M1229,Tbl_Effect[],3,FALSE),EffectName[],IFERROR(MATCH(UI!$B$1,EffectName[#Headers],0),2),FALSE))</f>
        <v/>
      </c>
      <c r="O1229" t="str">
        <f t="shared" si="135"/>
        <v/>
      </c>
      <c r="P1229">
        <v>0</v>
      </c>
      <c r="Q1229" t="str">
        <f>IF(VALUE(P1229)=0,"",VLOOKUP(VLOOKUP(P1229,Tbl_Effect[],3,FALSE),EffectName[],IFERROR(MATCH(UI!$B$1,EffectName[#Headers],0),2),FALSE))</f>
        <v/>
      </c>
      <c r="R1229" t="str">
        <f t="shared" si="136"/>
        <v/>
      </c>
      <c r="S1229">
        <v>0</v>
      </c>
      <c r="T1229" t="str">
        <f>IF(VALUE(S1229)=0,"",VLOOKUP(VLOOKUP(S1229,Tbl_Effect[],3,FALSE),EffectName[],IFERROR(MATCH(UI!$B$1,EffectName[#Headers],0),2),FALSE))</f>
        <v/>
      </c>
      <c r="U1229" t="str">
        <f t="shared" si="137"/>
        <v/>
      </c>
      <c r="V1229">
        <v>0</v>
      </c>
      <c r="W1229" t="str">
        <f>IF(V1229&lt;&gt;0,VLOOKUP(VLOOKUP(V1229,Tbl_Effect[],3,FALSE),EffectName[],IFERROR(MATCH(UI!$B$1,EffectName[#Headers],0),2),FALSE),"")</f>
        <v/>
      </c>
      <c r="X1229" t="str">
        <f t="shared" si="138"/>
        <v/>
      </c>
      <c r="Y1229">
        <v>0</v>
      </c>
      <c r="Z1229" t="str">
        <f>IF(Y1229&lt;&gt;0,VLOOKUP(VLOOKUP(Y1229,Tbl_Effect[],3,FALSE),EffectName[],IFERROR(MATCH(UI!$B$1,EffectName[#Headers],0),2),FALSE),"")</f>
        <v/>
      </c>
      <c r="AA1229" t="str">
        <f t="shared" si="139"/>
        <v/>
      </c>
      <c r="AB1229">
        <v>0</v>
      </c>
      <c r="AC1229" t="str">
        <f>IF(AB1229&lt;&gt;0,VLOOKUP(VLOOKUP(AB1229,Tbl_Effect[],3,FALSE),EffectName[],IFERROR(MATCH(UI!$B$1,EffectName[#Headers],0),2),FALSE),"")</f>
        <v/>
      </c>
    </row>
    <row r="1230" spans="8:29" x14ac:dyDescent="0.4">
      <c r="H1230" t="str">
        <f t="shared" si="133"/>
        <v>7082400-Unset (紅)</v>
      </c>
      <c r="I1230">
        <v>7082400</v>
      </c>
      <c r="J1230" t="str">
        <f>_xlfn.IFNA(IF(I1230&lt;&gt;0,VLOOKUP(VLOOKUP(I1230,Tbl_Equip[],2,FALSE),Tbl_Color[],IFERROR(MATCH(UI!$B$1,Tbl_Color[#Headers],0),2),FALSE),""),"Unset")</f>
        <v>紅</v>
      </c>
      <c r="K1230" t="str">
        <f>_xlfn.IFNA(IF(I1230&lt;&gt;0,VLOOKUP(I1230,ItemText[],IFERROR(MATCH(UI!$B$1,ItemText[#Headers],0),2),FALSE),""),"Unset")</f>
        <v>Unset</v>
      </c>
      <c r="L1230" t="str">
        <f t="shared" si="134"/>
        <v/>
      </c>
      <c r="M1230">
        <v>0</v>
      </c>
      <c r="N1230" t="str">
        <f>IF(VALUE(M1230)=0,"",VLOOKUP(VLOOKUP(M1230,Tbl_Effect[],3,FALSE),EffectName[],IFERROR(MATCH(UI!$B$1,EffectName[#Headers],0),2),FALSE))</f>
        <v/>
      </c>
      <c r="O1230" t="str">
        <f t="shared" si="135"/>
        <v/>
      </c>
      <c r="P1230">
        <v>0</v>
      </c>
      <c r="Q1230" t="str">
        <f>IF(VALUE(P1230)=0,"",VLOOKUP(VLOOKUP(P1230,Tbl_Effect[],3,FALSE),EffectName[],IFERROR(MATCH(UI!$B$1,EffectName[#Headers],0),2),FALSE))</f>
        <v/>
      </c>
      <c r="R1230" t="str">
        <f t="shared" si="136"/>
        <v/>
      </c>
      <c r="S1230">
        <v>0</v>
      </c>
      <c r="T1230" t="str">
        <f>IF(VALUE(S1230)=0,"",VLOOKUP(VLOOKUP(S1230,Tbl_Effect[],3,FALSE),EffectName[],IFERROR(MATCH(UI!$B$1,EffectName[#Headers],0),2),FALSE))</f>
        <v/>
      </c>
      <c r="U1230" t="str">
        <f t="shared" si="137"/>
        <v/>
      </c>
      <c r="V1230">
        <v>0</v>
      </c>
      <c r="W1230" t="str">
        <f>IF(V1230&lt;&gt;0,VLOOKUP(VLOOKUP(V1230,Tbl_Effect[],3,FALSE),EffectName[],IFERROR(MATCH(UI!$B$1,EffectName[#Headers],0),2),FALSE),"")</f>
        <v/>
      </c>
      <c r="X1230" t="str">
        <f t="shared" si="138"/>
        <v/>
      </c>
      <c r="Y1230">
        <v>0</v>
      </c>
      <c r="Z1230" t="str">
        <f>IF(Y1230&lt;&gt;0,VLOOKUP(VLOOKUP(Y1230,Tbl_Effect[],3,FALSE),EffectName[],IFERROR(MATCH(UI!$B$1,EffectName[#Headers],0),2),FALSE),"")</f>
        <v/>
      </c>
      <c r="AA1230" t="str">
        <f t="shared" si="139"/>
        <v/>
      </c>
      <c r="AB1230">
        <v>0</v>
      </c>
      <c r="AC1230" t="str">
        <f>IF(AB1230&lt;&gt;0,VLOOKUP(VLOOKUP(AB1230,Tbl_Effect[],3,FALSE),EffectName[],IFERROR(MATCH(UI!$B$1,EffectName[#Headers],0),2),FALSE),"")</f>
        <v/>
      </c>
    </row>
    <row r="1231" spans="8:29" x14ac:dyDescent="0.4">
      <c r="H1231" t="str">
        <f t="shared" si="133"/>
        <v>7082500-Unset (紅)</v>
      </c>
      <c r="I1231">
        <v>7082500</v>
      </c>
      <c r="J1231" t="str">
        <f>_xlfn.IFNA(IF(I1231&lt;&gt;0,VLOOKUP(VLOOKUP(I1231,Tbl_Equip[],2,FALSE),Tbl_Color[],IFERROR(MATCH(UI!$B$1,Tbl_Color[#Headers],0),2),FALSE),""),"Unset")</f>
        <v>紅</v>
      </c>
      <c r="K1231" t="str">
        <f>_xlfn.IFNA(IF(I1231&lt;&gt;0,VLOOKUP(I1231,ItemText[],IFERROR(MATCH(UI!$B$1,ItemText[#Headers],0),2),FALSE),""),"Unset")</f>
        <v>Unset</v>
      </c>
      <c r="L1231" t="str">
        <f t="shared" si="134"/>
        <v/>
      </c>
      <c r="M1231">
        <v>0</v>
      </c>
      <c r="N1231" t="str">
        <f>IF(VALUE(M1231)=0,"",VLOOKUP(VLOOKUP(M1231,Tbl_Effect[],3,FALSE),EffectName[],IFERROR(MATCH(UI!$B$1,EffectName[#Headers],0),2),FALSE))</f>
        <v/>
      </c>
      <c r="O1231" t="str">
        <f t="shared" si="135"/>
        <v/>
      </c>
      <c r="P1231">
        <v>0</v>
      </c>
      <c r="Q1231" t="str">
        <f>IF(VALUE(P1231)=0,"",VLOOKUP(VLOOKUP(P1231,Tbl_Effect[],3,FALSE),EffectName[],IFERROR(MATCH(UI!$B$1,EffectName[#Headers],0),2),FALSE))</f>
        <v/>
      </c>
      <c r="R1231" t="str">
        <f t="shared" si="136"/>
        <v/>
      </c>
      <c r="S1231">
        <v>0</v>
      </c>
      <c r="T1231" t="str">
        <f>IF(VALUE(S1231)=0,"",VLOOKUP(VLOOKUP(S1231,Tbl_Effect[],3,FALSE),EffectName[],IFERROR(MATCH(UI!$B$1,EffectName[#Headers],0),2),FALSE))</f>
        <v/>
      </c>
      <c r="U1231" t="str">
        <f t="shared" si="137"/>
        <v/>
      </c>
      <c r="V1231">
        <v>0</v>
      </c>
      <c r="W1231" t="str">
        <f>IF(V1231&lt;&gt;0,VLOOKUP(VLOOKUP(V1231,Tbl_Effect[],3,FALSE),EffectName[],IFERROR(MATCH(UI!$B$1,EffectName[#Headers],0),2),FALSE),"")</f>
        <v/>
      </c>
      <c r="X1231" t="str">
        <f t="shared" si="138"/>
        <v/>
      </c>
      <c r="Y1231">
        <v>0</v>
      </c>
      <c r="Z1231" t="str">
        <f>IF(Y1231&lt;&gt;0,VLOOKUP(VLOOKUP(Y1231,Tbl_Effect[],3,FALSE),EffectName[],IFERROR(MATCH(UI!$B$1,EffectName[#Headers],0),2),FALSE),"")</f>
        <v/>
      </c>
      <c r="AA1231" t="str">
        <f t="shared" si="139"/>
        <v/>
      </c>
      <c r="AB1231">
        <v>0</v>
      </c>
      <c r="AC1231" t="str">
        <f>IF(AB1231&lt;&gt;0,VLOOKUP(VLOOKUP(AB1231,Tbl_Effect[],3,FALSE),EffectName[],IFERROR(MATCH(UI!$B$1,EffectName[#Headers],0),2),FALSE),"")</f>
        <v/>
      </c>
    </row>
    <row r="1232" spans="8:29" x14ac:dyDescent="0.4">
      <c r="H1232" t="str">
        <f t="shared" si="133"/>
        <v>7082600-Unset (紅)</v>
      </c>
      <c r="I1232">
        <v>7082600</v>
      </c>
      <c r="J1232" t="str">
        <f>_xlfn.IFNA(IF(I1232&lt;&gt;0,VLOOKUP(VLOOKUP(I1232,Tbl_Equip[],2,FALSE),Tbl_Color[],IFERROR(MATCH(UI!$B$1,Tbl_Color[#Headers],0),2),FALSE),""),"Unset")</f>
        <v>紅</v>
      </c>
      <c r="K1232" t="str">
        <f>_xlfn.IFNA(IF(I1232&lt;&gt;0,VLOOKUP(I1232,ItemText[],IFERROR(MATCH(UI!$B$1,ItemText[#Headers],0),2),FALSE),""),"Unset")</f>
        <v>Unset</v>
      </c>
      <c r="L1232" t="str">
        <f t="shared" si="134"/>
        <v/>
      </c>
      <c r="M1232">
        <v>0</v>
      </c>
      <c r="N1232" t="str">
        <f>IF(VALUE(M1232)=0,"",VLOOKUP(VLOOKUP(M1232,Tbl_Effect[],3,FALSE),EffectName[],IFERROR(MATCH(UI!$B$1,EffectName[#Headers],0),2),FALSE))</f>
        <v/>
      </c>
      <c r="O1232" t="str">
        <f t="shared" si="135"/>
        <v/>
      </c>
      <c r="P1232">
        <v>0</v>
      </c>
      <c r="Q1232" t="str">
        <f>IF(VALUE(P1232)=0,"",VLOOKUP(VLOOKUP(P1232,Tbl_Effect[],3,FALSE),EffectName[],IFERROR(MATCH(UI!$B$1,EffectName[#Headers],0),2),FALSE))</f>
        <v/>
      </c>
      <c r="R1232" t="str">
        <f t="shared" si="136"/>
        <v/>
      </c>
      <c r="S1232">
        <v>0</v>
      </c>
      <c r="T1232" t="str">
        <f>IF(VALUE(S1232)=0,"",VLOOKUP(VLOOKUP(S1232,Tbl_Effect[],3,FALSE),EffectName[],IFERROR(MATCH(UI!$B$1,EffectName[#Headers],0),2),FALSE))</f>
        <v/>
      </c>
      <c r="U1232" t="str">
        <f t="shared" si="137"/>
        <v/>
      </c>
      <c r="V1232">
        <v>0</v>
      </c>
      <c r="W1232" t="str">
        <f>IF(V1232&lt;&gt;0,VLOOKUP(VLOOKUP(V1232,Tbl_Effect[],3,FALSE),EffectName[],IFERROR(MATCH(UI!$B$1,EffectName[#Headers],0),2),FALSE),"")</f>
        <v/>
      </c>
      <c r="X1232" t="str">
        <f t="shared" si="138"/>
        <v/>
      </c>
      <c r="Y1232">
        <v>0</v>
      </c>
      <c r="Z1232" t="str">
        <f>IF(Y1232&lt;&gt;0,VLOOKUP(VLOOKUP(Y1232,Tbl_Effect[],3,FALSE),EffectName[],IFERROR(MATCH(UI!$B$1,EffectName[#Headers],0),2),FALSE),"")</f>
        <v/>
      </c>
      <c r="AA1232" t="str">
        <f t="shared" si="139"/>
        <v/>
      </c>
      <c r="AB1232">
        <v>0</v>
      </c>
      <c r="AC1232" t="str">
        <f>IF(AB1232&lt;&gt;0,VLOOKUP(VLOOKUP(AB1232,Tbl_Effect[],3,FALSE),EffectName[],IFERROR(MATCH(UI!$B$1,EffectName[#Headers],0),2),FALSE),"")</f>
        <v/>
      </c>
    </row>
    <row r="1233" spans="8:29" x14ac:dyDescent="0.4">
      <c r="H1233" t="str">
        <f t="shared" si="133"/>
        <v>7082700-Unset (紅)</v>
      </c>
      <c r="I1233">
        <v>7082700</v>
      </c>
      <c r="J1233" t="str">
        <f>_xlfn.IFNA(IF(I1233&lt;&gt;0,VLOOKUP(VLOOKUP(I1233,Tbl_Equip[],2,FALSE),Tbl_Color[],IFERROR(MATCH(UI!$B$1,Tbl_Color[#Headers],0),2),FALSE),""),"Unset")</f>
        <v>紅</v>
      </c>
      <c r="K1233" t="str">
        <f>_xlfn.IFNA(IF(I1233&lt;&gt;0,VLOOKUP(I1233,ItemText[],IFERROR(MATCH(UI!$B$1,ItemText[#Headers],0),2),FALSE),""),"Unset")</f>
        <v>Unset</v>
      </c>
      <c r="L1233" t="str">
        <f t="shared" si="134"/>
        <v/>
      </c>
      <c r="M1233">
        <v>0</v>
      </c>
      <c r="N1233" t="str">
        <f>IF(VALUE(M1233)=0,"",VLOOKUP(VLOOKUP(M1233,Tbl_Effect[],3,FALSE),EffectName[],IFERROR(MATCH(UI!$B$1,EffectName[#Headers],0),2),FALSE))</f>
        <v/>
      </c>
      <c r="O1233" t="str">
        <f t="shared" si="135"/>
        <v/>
      </c>
      <c r="P1233">
        <v>0</v>
      </c>
      <c r="Q1233" t="str">
        <f>IF(VALUE(P1233)=0,"",VLOOKUP(VLOOKUP(P1233,Tbl_Effect[],3,FALSE),EffectName[],IFERROR(MATCH(UI!$B$1,EffectName[#Headers],0),2),FALSE))</f>
        <v/>
      </c>
      <c r="R1233" t="str">
        <f t="shared" si="136"/>
        <v/>
      </c>
      <c r="S1233">
        <v>0</v>
      </c>
      <c r="T1233" t="str">
        <f>IF(VALUE(S1233)=0,"",VLOOKUP(VLOOKUP(S1233,Tbl_Effect[],3,FALSE),EffectName[],IFERROR(MATCH(UI!$B$1,EffectName[#Headers],0),2),FALSE))</f>
        <v/>
      </c>
      <c r="U1233" t="str">
        <f t="shared" si="137"/>
        <v/>
      </c>
      <c r="V1233">
        <v>0</v>
      </c>
      <c r="W1233" t="str">
        <f>IF(V1233&lt;&gt;0,VLOOKUP(VLOOKUP(V1233,Tbl_Effect[],3,FALSE),EffectName[],IFERROR(MATCH(UI!$B$1,EffectName[#Headers],0),2),FALSE),"")</f>
        <v/>
      </c>
      <c r="X1233" t="str">
        <f t="shared" si="138"/>
        <v/>
      </c>
      <c r="Y1233">
        <v>0</v>
      </c>
      <c r="Z1233" t="str">
        <f>IF(Y1233&lt;&gt;0,VLOOKUP(VLOOKUP(Y1233,Tbl_Effect[],3,FALSE),EffectName[],IFERROR(MATCH(UI!$B$1,EffectName[#Headers],0),2),FALSE),"")</f>
        <v/>
      </c>
      <c r="AA1233" t="str">
        <f t="shared" si="139"/>
        <v/>
      </c>
      <c r="AB1233">
        <v>0</v>
      </c>
      <c r="AC1233" t="str">
        <f>IF(AB1233&lt;&gt;0,VLOOKUP(VLOOKUP(AB1233,Tbl_Effect[],3,FALSE),EffectName[],IFERROR(MATCH(UI!$B$1,EffectName[#Headers],0),2),FALSE),"")</f>
        <v/>
      </c>
    </row>
    <row r="1234" spans="8:29" x14ac:dyDescent="0.4">
      <c r="H1234" t="str">
        <f t="shared" si="133"/>
        <v>7082800-Unset (紅)</v>
      </c>
      <c r="I1234">
        <v>7082800</v>
      </c>
      <c r="J1234" t="str">
        <f>_xlfn.IFNA(IF(I1234&lt;&gt;0,VLOOKUP(VLOOKUP(I1234,Tbl_Equip[],2,FALSE),Tbl_Color[],IFERROR(MATCH(UI!$B$1,Tbl_Color[#Headers],0),2),FALSE),""),"Unset")</f>
        <v>紅</v>
      </c>
      <c r="K1234" t="str">
        <f>_xlfn.IFNA(IF(I1234&lt;&gt;0,VLOOKUP(I1234,ItemText[],IFERROR(MATCH(UI!$B$1,ItemText[#Headers],0),2),FALSE),""),"Unset")</f>
        <v>Unset</v>
      </c>
      <c r="L1234" t="str">
        <f t="shared" si="134"/>
        <v/>
      </c>
      <c r="M1234">
        <v>0</v>
      </c>
      <c r="N1234" t="str">
        <f>IF(VALUE(M1234)=0,"",VLOOKUP(VLOOKUP(M1234,Tbl_Effect[],3,FALSE),EffectName[],IFERROR(MATCH(UI!$B$1,EffectName[#Headers],0),2),FALSE))</f>
        <v/>
      </c>
      <c r="O1234" t="str">
        <f t="shared" si="135"/>
        <v/>
      </c>
      <c r="P1234">
        <v>0</v>
      </c>
      <c r="Q1234" t="str">
        <f>IF(VALUE(P1234)=0,"",VLOOKUP(VLOOKUP(P1234,Tbl_Effect[],3,FALSE),EffectName[],IFERROR(MATCH(UI!$B$1,EffectName[#Headers],0),2),FALSE))</f>
        <v/>
      </c>
      <c r="R1234" t="str">
        <f t="shared" si="136"/>
        <v/>
      </c>
      <c r="S1234">
        <v>0</v>
      </c>
      <c r="T1234" t="str">
        <f>IF(VALUE(S1234)=0,"",VLOOKUP(VLOOKUP(S1234,Tbl_Effect[],3,FALSE),EffectName[],IFERROR(MATCH(UI!$B$1,EffectName[#Headers],0),2),FALSE))</f>
        <v/>
      </c>
      <c r="U1234" t="str">
        <f t="shared" si="137"/>
        <v/>
      </c>
      <c r="V1234">
        <v>0</v>
      </c>
      <c r="W1234" t="str">
        <f>IF(V1234&lt;&gt;0,VLOOKUP(VLOOKUP(V1234,Tbl_Effect[],3,FALSE),EffectName[],IFERROR(MATCH(UI!$B$1,EffectName[#Headers],0),2),FALSE),"")</f>
        <v/>
      </c>
      <c r="X1234" t="str">
        <f t="shared" si="138"/>
        <v/>
      </c>
      <c r="Y1234">
        <v>0</v>
      </c>
      <c r="Z1234" t="str">
        <f>IF(Y1234&lt;&gt;0,VLOOKUP(VLOOKUP(Y1234,Tbl_Effect[],3,FALSE),EffectName[],IFERROR(MATCH(UI!$B$1,EffectName[#Headers],0),2),FALSE),"")</f>
        <v/>
      </c>
      <c r="AA1234" t="str">
        <f t="shared" si="139"/>
        <v/>
      </c>
      <c r="AB1234">
        <v>0</v>
      </c>
      <c r="AC1234" t="str">
        <f>IF(AB1234&lt;&gt;0,VLOOKUP(VLOOKUP(AB1234,Tbl_Effect[],3,FALSE),EffectName[],IFERROR(MATCH(UI!$B$1,EffectName[#Headers],0),2),FALSE),"")</f>
        <v/>
      </c>
    </row>
    <row r="1235" spans="8:29" x14ac:dyDescent="0.4">
      <c r="H1235" t="str">
        <f t="shared" si="133"/>
        <v>7082900-Unset (紅)</v>
      </c>
      <c r="I1235">
        <v>7082900</v>
      </c>
      <c r="J1235" t="str">
        <f>_xlfn.IFNA(IF(I1235&lt;&gt;0,VLOOKUP(VLOOKUP(I1235,Tbl_Equip[],2,FALSE),Tbl_Color[],IFERROR(MATCH(UI!$B$1,Tbl_Color[#Headers],0),2),FALSE),""),"Unset")</f>
        <v>紅</v>
      </c>
      <c r="K1235" t="str">
        <f>_xlfn.IFNA(IF(I1235&lt;&gt;0,VLOOKUP(I1235,ItemText[],IFERROR(MATCH(UI!$B$1,ItemText[#Headers],0),2),FALSE),""),"Unset")</f>
        <v>Unset</v>
      </c>
      <c r="L1235" t="str">
        <f t="shared" si="134"/>
        <v/>
      </c>
      <c r="M1235">
        <v>0</v>
      </c>
      <c r="N1235" t="str">
        <f>IF(VALUE(M1235)=0,"",VLOOKUP(VLOOKUP(M1235,Tbl_Effect[],3,FALSE),EffectName[],IFERROR(MATCH(UI!$B$1,EffectName[#Headers],0),2),FALSE))</f>
        <v/>
      </c>
      <c r="O1235" t="str">
        <f t="shared" si="135"/>
        <v/>
      </c>
      <c r="P1235">
        <v>0</v>
      </c>
      <c r="Q1235" t="str">
        <f>IF(VALUE(P1235)=0,"",VLOOKUP(VLOOKUP(P1235,Tbl_Effect[],3,FALSE),EffectName[],IFERROR(MATCH(UI!$B$1,EffectName[#Headers],0),2),FALSE))</f>
        <v/>
      </c>
      <c r="R1235" t="str">
        <f t="shared" si="136"/>
        <v/>
      </c>
      <c r="S1235">
        <v>0</v>
      </c>
      <c r="T1235" t="str">
        <f>IF(VALUE(S1235)=0,"",VLOOKUP(VLOOKUP(S1235,Tbl_Effect[],3,FALSE),EffectName[],IFERROR(MATCH(UI!$B$1,EffectName[#Headers],0),2),FALSE))</f>
        <v/>
      </c>
      <c r="U1235" t="str">
        <f t="shared" si="137"/>
        <v/>
      </c>
      <c r="V1235">
        <v>0</v>
      </c>
      <c r="W1235" t="str">
        <f>IF(V1235&lt;&gt;0,VLOOKUP(VLOOKUP(V1235,Tbl_Effect[],3,FALSE),EffectName[],IFERROR(MATCH(UI!$B$1,EffectName[#Headers],0),2),FALSE),"")</f>
        <v/>
      </c>
      <c r="X1235" t="str">
        <f t="shared" si="138"/>
        <v/>
      </c>
      <c r="Y1235">
        <v>0</v>
      </c>
      <c r="Z1235" t="str">
        <f>IF(Y1235&lt;&gt;0,VLOOKUP(VLOOKUP(Y1235,Tbl_Effect[],3,FALSE),EffectName[],IFERROR(MATCH(UI!$B$1,EffectName[#Headers],0),2),FALSE),"")</f>
        <v/>
      </c>
      <c r="AA1235" t="str">
        <f t="shared" si="139"/>
        <v/>
      </c>
      <c r="AB1235">
        <v>0</v>
      </c>
      <c r="AC1235" t="str">
        <f>IF(AB1235&lt;&gt;0,VLOOKUP(VLOOKUP(AB1235,Tbl_Effect[],3,FALSE),EffectName[],IFERROR(MATCH(UI!$B$1,EffectName[#Headers],0),2),FALSE),"")</f>
        <v/>
      </c>
    </row>
    <row r="1236" spans="8:29" x14ac:dyDescent="0.4">
      <c r="H1236" t="str">
        <f t="shared" si="133"/>
        <v>7090000-Unset (紅)</v>
      </c>
      <c r="I1236">
        <v>7090000</v>
      </c>
      <c r="J1236" t="str">
        <f>_xlfn.IFNA(IF(I1236&lt;&gt;0,VLOOKUP(VLOOKUP(I1236,Tbl_Equip[],2,FALSE),Tbl_Color[],IFERROR(MATCH(UI!$B$1,Tbl_Color[#Headers],0),2),FALSE),""),"Unset")</f>
        <v>紅</v>
      </c>
      <c r="K1236" t="str">
        <f>_xlfn.IFNA(IF(I1236&lt;&gt;0,VLOOKUP(I1236,ItemText[],IFERROR(MATCH(UI!$B$1,ItemText[#Headers],0),2),FALSE),""),"Unset")</f>
        <v>Unset</v>
      </c>
      <c r="L1236" t="str">
        <f t="shared" si="134"/>
        <v/>
      </c>
      <c r="M1236">
        <v>0</v>
      </c>
      <c r="N1236" t="str">
        <f>IF(VALUE(M1236)=0,"",VLOOKUP(VLOOKUP(M1236,Tbl_Effect[],3,FALSE),EffectName[],IFERROR(MATCH(UI!$B$1,EffectName[#Headers],0),2),FALSE))</f>
        <v/>
      </c>
      <c r="O1236" t="str">
        <f t="shared" si="135"/>
        <v/>
      </c>
      <c r="P1236">
        <v>0</v>
      </c>
      <c r="Q1236" t="str">
        <f>IF(VALUE(P1236)=0,"",VLOOKUP(VLOOKUP(P1236,Tbl_Effect[],3,FALSE),EffectName[],IFERROR(MATCH(UI!$B$1,EffectName[#Headers],0),2),FALSE))</f>
        <v/>
      </c>
      <c r="R1236" t="str">
        <f t="shared" si="136"/>
        <v/>
      </c>
      <c r="S1236">
        <v>0</v>
      </c>
      <c r="T1236" t="str">
        <f>IF(VALUE(S1236)=0,"",VLOOKUP(VLOOKUP(S1236,Tbl_Effect[],3,FALSE),EffectName[],IFERROR(MATCH(UI!$B$1,EffectName[#Headers],0),2),FALSE))</f>
        <v/>
      </c>
      <c r="U1236" t="str">
        <f t="shared" si="137"/>
        <v/>
      </c>
      <c r="V1236">
        <v>0</v>
      </c>
      <c r="W1236" t="str">
        <f>IF(V1236&lt;&gt;0,VLOOKUP(VLOOKUP(V1236,Tbl_Effect[],3,FALSE),EffectName[],IFERROR(MATCH(UI!$B$1,EffectName[#Headers],0),2),FALSE),"")</f>
        <v/>
      </c>
      <c r="X1236" t="str">
        <f t="shared" si="138"/>
        <v/>
      </c>
      <c r="Y1236">
        <v>0</v>
      </c>
      <c r="Z1236" t="str">
        <f>IF(Y1236&lt;&gt;0,VLOOKUP(VLOOKUP(Y1236,Tbl_Effect[],3,FALSE),EffectName[],IFERROR(MATCH(UI!$B$1,EffectName[#Headers],0),2),FALSE),"")</f>
        <v/>
      </c>
      <c r="AA1236" t="str">
        <f t="shared" si="139"/>
        <v/>
      </c>
      <c r="AB1236">
        <v>0</v>
      </c>
      <c r="AC1236" t="str">
        <f>IF(AB1236&lt;&gt;0,VLOOKUP(VLOOKUP(AB1236,Tbl_Effect[],3,FALSE),EffectName[],IFERROR(MATCH(UI!$B$1,EffectName[#Headers],0),2),FALSE),"")</f>
        <v/>
      </c>
    </row>
    <row r="1237" spans="8:29" x14ac:dyDescent="0.4">
      <c r="H1237" t="str">
        <f t="shared" si="133"/>
        <v>7090100-Unset (紅)</v>
      </c>
      <c r="I1237">
        <v>7090100</v>
      </c>
      <c r="J1237" t="str">
        <f>_xlfn.IFNA(IF(I1237&lt;&gt;0,VLOOKUP(VLOOKUP(I1237,Tbl_Equip[],2,FALSE),Tbl_Color[],IFERROR(MATCH(UI!$B$1,Tbl_Color[#Headers],0),2),FALSE),""),"Unset")</f>
        <v>紅</v>
      </c>
      <c r="K1237" t="str">
        <f>_xlfn.IFNA(IF(I1237&lt;&gt;0,VLOOKUP(I1237,ItemText[],IFERROR(MATCH(UI!$B$1,ItemText[#Headers],0),2),FALSE),""),"Unset")</f>
        <v>Unset</v>
      </c>
      <c r="L1237" t="str">
        <f t="shared" si="134"/>
        <v/>
      </c>
      <c r="M1237">
        <v>0</v>
      </c>
      <c r="N1237" t="str">
        <f>IF(VALUE(M1237)=0,"",VLOOKUP(VLOOKUP(M1237,Tbl_Effect[],3,FALSE),EffectName[],IFERROR(MATCH(UI!$B$1,EffectName[#Headers],0),2),FALSE))</f>
        <v/>
      </c>
      <c r="O1237" t="str">
        <f t="shared" si="135"/>
        <v/>
      </c>
      <c r="P1237">
        <v>0</v>
      </c>
      <c r="Q1237" t="str">
        <f>IF(VALUE(P1237)=0,"",VLOOKUP(VLOOKUP(P1237,Tbl_Effect[],3,FALSE),EffectName[],IFERROR(MATCH(UI!$B$1,EffectName[#Headers],0),2),FALSE))</f>
        <v/>
      </c>
      <c r="R1237" t="str">
        <f t="shared" si="136"/>
        <v/>
      </c>
      <c r="S1237">
        <v>0</v>
      </c>
      <c r="T1237" t="str">
        <f>IF(VALUE(S1237)=0,"",VLOOKUP(VLOOKUP(S1237,Tbl_Effect[],3,FALSE),EffectName[],IFERROR(MATCH(UI!$B$1,EffectName[#Headers],0),2),FALSE))</f>
        <v/>
      </c>
      <c r="U1237" t="str">
        <f t="shared" si="137"/>
        <v/>
      </c>
      <c r="V1237">
        <v>0</v>
      </c>
      <c r="W1237" t="str">
        <f>IF(V1237&lt;&gt;0,VLOOKUP(VLOOKUP(V1237,Tbl_Effect[],3,FALSE),EffectName[],IFERROR(MATCH(UI!$B$1,EffectName[#Headers],0),2),FALSE),"")</f>
        <v/>
      </c>
      <c r="X1237" t="str">
        <f t="shared" si="138"/>
        <v/>
      </c>
      <c r="Y1237">
        <v>0</v>
      </c>
      <c r="Z1237" t="str">
        <f>IF(Y1237&lt;&gt;0,VLOOKUP(VLOOKUP(Y1237,Tbl_Effect[],3,FALSE),EffectName[],IFERROR(MATCH(UI!$B$1,EffectName[#Headers],0),2),FALSE),"")</f>
        <v/>
      </c>
      <c r="AA1237" t="str">
        <f t="shared" si="139"/>
        <v/>
      </c>
      <c r="AB1237">
        <v>0</v>
      </c>
      <c r="AC1237" t="str">
        <f>IF(AB1237&lt;&gt;0,VLOOKUP(VLOOKUP(AB1237,Tbl_Effect[],3,FALSE),EffectName[],IFERROR(MATCH(UI!$B$1,EffectName[#Headers],0),2),FALSE),"")</f>
        <v/>
      </c>
    </row>
    <row r="1238" spans="8:29" x14ac:dyDescent="0.4">
      <c r="H1238" t="str">
        <f t="shared" si="133"/>
        <v>7090300-Unset (紅)</v>
      </c>
      <c r="I1238">
        <v>7090300</v>
      </c>
      <c r="J1238" t="str">
        <f>_xlfn.IFNA(IF(I1238&lt;&gt;0,VLOOKUP(VLOOKUP(I1238,Tbl_Equip[],2,FALSE),Tbl_Color[],IFERROR(MATCH(UI!$B$1,Tbl_Color[#Headers],0),2),FALSE),""),"Unset")</f>
        <v>紅</v>
      </c>
      <c r="K1238" t="str">
        <f>_xlfn.IFNA(IF(I1238&lt;&gt;0,VLOOKUP(I1238,ItemText[],IFERROR(MATCH(UI!$B$1,ItemText[#Headers],0),2),FALSE),""),"Unset")</f>
        <v>Unset</v>
      </c>
      <c r="L1238" t="str">
        <f t="shared" si="134"/>
        <v/>
      </c>
      <c r="M1238">
        <v>0</v>
      </c>
      <c r="N1238" t="str">
        <f>IF(VALUE(M1238)=0,"",VLOOKUP(VLOOKUP(M1238,Tbl_Effect[],3,FALSE),EffectName[],IFERROR(MATCH(UI!$B$1,EffectName[#Headers],0),2),FALSE))</f>
        <v/>
      </c>
      <c r="O1238" t="str">
        <f t="shared" si="135"/>
        <v/>
      </c>
      <c r="P1238">
        <v>0</v>
      </c>
      <c r="Q1238" t="str">
        <f>IF(VALUE(P1238)=0,"",VLOOKUP(VLOOKUP(P1238,Tbl_Effect[],3,FALSE),EffectName[],IFERROR(MATCH(UI!$B$1,EffectName[#Headers],0),2),FALSE))</f>
        <v/>
      </c>
      <c r="R1238" t="str">
        <f t="shared" si="136"/>
        <v/>
      </c>
      <c r="S1238">
        <v>0</v>
      </c>
      <c r="T1238" t="str">
        <f>IF(VALUE(S1238)=0,"",VLOOKUP(VLOOKUP(S1238,Tbl_Effect[],3,FALSE),EffectName[],IFERROR(MATCH(UI!$B$1,EffectName[#Headers],0),2),FALSE))</f>
        <v/>
      </c>
      <c r="U1238" t="str">
        <f t="shared" si="137"/>
        <v/>
      </c>
      <c r="V1238">
        <v>0</v>
      </c>
      <c r="W1238" t="str">
        <f>IF(V1238&lt;&gt;0,VLOOKUP(VLOOKUP(V1238,Tbl_Effect[],3,FALSE),EffectName[],IFERROR(MATCH(UI!$B$1,EffectName[#Headers],0),2),FALSE),"")</f>
        <v/>
      </c>
      <c r="X1238" t="str">
        <f t="shared" si="138"/>
        <v/>
      </c>
      <c r="Y1238">
        <v>0</v>
      </c>
      <c r="Z1238" t="str">
        <f>IF(Y1238&lt;&gt;0,VLOOKUP(VLOOKUP(Y1238,Tbl_Effect[],3,FALSE),EffectName[],IFERROR(MATCH(UI!$B$1,EffectName[#Headers],0),2),FALSE),"")</f>
        <v/>
      </c>
      <c r="AA1238" t="str">
        <f t="shared" si="139"/>
        <v/>
      </c>
      <c r="AB1238">
        <v>0</v>
      </c>
      <c r="AC1238" t="str">
        <f>IF(AB1238&lt;&gt;0,VLOOKUP(VLOOKUP(AB1238,Tbl_Effect[],3,FALSE),EffectName[],IFERROR(MATCH(UI!$B$1,EffectName[#Headers],0),2),FALSE),"")</f>
        <v/>
      </c>
    </row>
    <row r="1239" spans="8:29" x14ac:dyDescent="0.4">
      <c r="H1239" t="str">
        <f t="shared" si="133"/>
        <v>7100100-Unset (紅)</v>
      </c>
      <c r="I1239">
        <v>7100100</v>
      </c>
      <c r="J1239" t="str">
        <f>_xlfn.IFNA(IF(I1239&lt;&gt;0,VLOOKUP(VLOOKUP(I1239,Tbl_Equip[],2,FALSE),Tbl_Color[],IFERROR(MATCH(UI!$B$1,Tbl_Color[#Headers],0),2),FALSE),""),"Unset")</f>
        <v>紅</v>
      </c>
      <c r="K1239" t="str">
        <f>_xlfn.IFNA(IF(I1239&lt;&gt;0,VLOOKUP(I1239,ItemText[],IFERROR(MATCH(UI!$B$1,ItemText[#Headers],0),2),FALSE),""),"Unset")</f>
        <v>Unset</v>
      </c>
      <c r="L1239" t="str">
        <f t="shared" si="134"/>
        <v/>
      </c>
      <c r="M1239">
        <v>0</v>
      </c>
      <c r="N1239" t="str">
        <f>IF(VALUE(M1239)=0,"",VLOOKUP(VLOOKUP(M1239,Tbl_Effect[],3,FALSE),EffectName[],IFERROR(MATCH(UI!$B$1,EffectName[#Headers],0),2),FALSE))</f>
        <v/>
      </c>
      <c r="O1239" t="str">
        <f t="shared" si="135"/>
        <v/>
      </c>
      <c r="P1239">
        <v>0</v>
      </c>
      <c r="Q1239" t="str">
        <f>IF(VALUE(P1239)=0,"",VLOOKUP(VLOOKUP(P1239,Tbl_Effect[],3,FALSE),EffectName[],IFERROR(MATCH(UI!$B$1,EffectName[#Headers],0),2),FALSE))</f>
        <v/>
      </c>
      <c r="R1239" t="str">
        <f t="shared" si="136"/>
        <v/>
      </c>
      <c r="S1239">
        <v>0</v>
      </c>
      <c r="T1239" t="str">
        <f>IF(VALUE(S1239)=0,"",VLOOKUP(VLOOKUP(S1239,Tbl_Effect[],3,FALSE),EffectName[],IFERROR(MATCH(UI!$B$1,EffectName[#Headers],0),2),FALSE))</f>
        <v/>
      </c>
      <c r="U1239" t="str">
        <f t="shared" si="137"/>
        <v/>
      </c>
      <c r="V1239">
        <v>0</v>
      </c>
      <c r="W1239" t="str">
        <f>IF(V1239&lt;&gt;0,VLOOKUP(VLOOKUP(V1239,Tbl_Effect[],3,FALSE),EffectName[],IFERROR(MATCH(UI!$B$1,EffectName[#Headers],0),2),FALSE),"")</f>
        <v/>
      </c>
      <c r="X1239" t="str">
        <f t="shared" si="138"/>
        <v/>
      </c>
      <c r="Y1239">
        <v>0</v>
      </c>
      <c r="Z1239" t="str">
        <f>IF(Y1239&lt;&gt;0,VLOOKUP(VLOOKUP(Y1239,Tbl_Effect[],3,FALSE),EffectName[],IFERROR(MATCH(UI!$B$1,EffectName[#Headers],0),2),FALSE),"")</f>
        <v/>
      </c>
      <c r="AA1239" t="str">
        <f t="shared" si="139"/>
        <v/>
      </c>
      <c r="AB1239">
        <v>0</v>
      </c>
      <c r="AC1239" t="str">
        <f>IF(AB1239&lt;&gt;0,VLOOKUP(VLOOKUP(AB1239,Tbl_Effect[],3,FALSE),EffectName[],IFERROR(MATCH(UI!$B$1,EffectName[#Headers],0),2),FALSE),"")</f>
        <v/>
      </c>
    </row>
    <row r="1240" spans="8:29" x14ac:dyDescent="0.4">
      <c r="H1240" t="str">
        <f t="shared" si="133"/>
        <v>7100110-Unset (紅)</v>
      </c>
      <c r="I1240">
        <v>7100110</v>
      </c>
      <c r="J1240" t="str">
        <f>_xlfn.IFNA(IF(I1240&lt;&gt;0,VLOOKUP(VLOOKUP(I1240,Tbl_Equip[],2,FALSE),Tbl_Color[],IFERROR(MATCH(UI!$B$1,Tbl_Color[#Headers],0),2),FALSE),""),"Unset")</f>
        <v>紅</v>
      </c>
      <c r="K1240" t="str">
        <f>_xlfn.IFNA(IF(I1240&lt;&gt;0,VLOOKUP(I1240,ItemText[],IFERROR(MATCH(UI!$B$1,ItemText[#Headers],0),2),FALSE),""),"Unset")</f>
        <v>Unset</v>
      </c>
      <c r="L1240" t="str">
        <f t="shared" si="134"/>
        <v/>
      </c>
      <c r="M1240">
        <v>0</v>
      </c>
      <c r="N1240" t="str">
        <f>IF(VALUE(M1240)=0,"",VLOOKUP(VLOOKUP(M1240,Tbl_Effect[],3,FALSE),EffectName[],IFERROR(MATCH(UI!$B$1,EffectName[#Headers],0),2),FALSE))</f>
        <v/>
      </c>
      <c r="O1240" t="str">
        <f t="shared" si="135"/>
        <v/>
      </c>
      <c r="P1240">
        <v>0</v>
      </c>
      <c r="Q1240" t="str">
        <f>IF(VALUE(P1240)=0,"",VLOOKUP(VLOOKUP(P1240,Tbl_Effect[],3,FALSE),EffectName[],IFERROR(MATCH(UI!$B$1,EffectName[#Headers],0),2),FALSE))</f>
        <v/>
      </c>
      <c r="R1240" t="str">
        <f t="shared" si="136"/>
        <v/>
      </c>
      <c r="S1240">
        <v>0</v>
      </c>
      <c r="T1240" t="str">
        <f>IF(VALUE(S1240)=0,"",VLOOKUP(VLOOKUP(S1240,Tbl_Effect[],3,FALSE),EffectName[],IFERROR(MATCH(UI!$B$1,EffectName[#Headers],0),2),FALSE))</f>
        <v/>
      </c>
      <c r="U1240" t="str">
        <f t="shared" si="137"/>
        <v/>
      </c>
      <c r="V1240">
        <v>0</v>
      </c>
      <c r="W1240" t="str">
        <f>IF(V1240&lt;&gt;0,VLOOKUP(VLOOKUP(V1240,Tbl_Effect[],3,FALSE),EffectName[],IFERROR(MATCH(UI!$B$1,EffectName[#Headers],0),2),FALSE),"")</f>
        <v/>
      </c>
      <c r="X1240" t="str">
        <f t="shared" si="138"/>
        <v/>
      </c>
      <c r="Y1240">
        <v>0</v>
      </c>
      <c r="Z1240" t="str">
        <f>IF(Y1240&lt;&gt;0,VLOOKUP(VLOOKUP(Y1240,Tbl_Effect[],3,FALSE),EffectName[],IFERROR(MATCH(UI!$B$1,EffectName[#Headers],0),2),FALSE),"")</f>
        <v/>
      </c>
      <c r="AA1240" t="str">
        <f t="shared" si="139"/>
        <v/>
      </c>
      <c r="AB1240">
        <v>0</v>
      </c>
      <c r="AC1240" t="str">
        <f>IF(AB1240&lt;&gt;0,VLOOKUP(VLOOKUP(AB1240,Tbl_Effect[],3,FALSE),EffectName[],IFERROR(MATCH(UI!$B$1,EffectName[#Headers],0),2),FALSE),"")</f>
        <v/>
      </c>
    </row>
    <row r="1241" spans="8:29" x14ac:dyDescent="0.4">
      <c r="H1241" t="str">
        <f t="shared" si="133"/>
        <v>7110000-Unset (紅)</v>
      </c>
      <c r="I1241">
        <v>7110000</v>
      </c>
      <c r="J1241" t="str">
        <f>_xlfn.IFNA(IF(I1241&lt;&gt;0,VLOOKUP(VLOOKUP(I1241,Tbl_Equip[],2,FALSE),Tbl_Color[],IFERROR(MATCH(UI!$B$1,Tbl_Color[#Headers],0),2),FALSE),""),"Unset")</f>
        <v>紅</v>
      </c>
      <c r="K1241" t="str">
        <f>_xlfn.IFNA(IF(I1241&lt;&gt;0,VLOOKUP(I1241,ItemText[],IFERROR(MATCH(UI!$B$1,ItemText[#Headers],0),2),FALSE),""),"Unset")</f>
        <v>Unset</v>
      </c>
      <c r="L1241" t="str">
        <f t="shared" si="134"/>
        <v/>
      </c>
      <c r="M1241">
        <v>0</v>
      </c>
      <c r="N1241" t="str">
        <f>IF(VALUE(M1241)=0,"",VLOOKUP(VLOOKUP(M1241,Tbl_Effect[],3,FALSE),EffectName[],IFERROR(MATCH(UI!$B$1,EffectName[#Headers],0),2),FALSE))</f>
        <v/>
      </c>
      <c r="O1241" t="str">
        <f t="shared" si="135"/>
        <v/>
      </c>
      <c r="P1241">
        <v>0</v>
      </c>
      <c r="Q1241" t="str">
        <f>IF(VALUE(P1241)=0,"",VLOOKUP(VLOOKUP(P1241,Tbl_Effect[],3,FALSE),EffectName[],IFERROR(MATCH(UI!$B$1,EffectName[#Headers],0),2),FALSE))</f>
        <v/>
      </c>
      <c r="R1241" t="str">
        <f t="shared" si="136"/>
        <v/>
      </c>
      <c r="S1241">
        <v>0</v>
      </c>
      <c r="T1241" t="str">
        <f>IF(VALUE(S1241)=0,"",VLOOKUP(VLOOKUP(S1241,Tbl_Effect[],3,FALSE),EffectName[],IFERROR(MATCH(UI!$B$1,EffectName[#Headers],0),2),FALSE))</f>
        <v/>
      </c>
      <c r="U1241" t="str">
        <f t="shared" si="137"/>
        <v/>
      </c>
      <c r="V1241">
        <v>0</v>
      </c>
      <c r="W1241" t="str">
        <f>IF(V1241&lt;&gt;0,VLOOKUP(VLOOKUP(V1241,Tbl_Effect[],3,FALSE),EffectName[],IFERROR(MATCH(UI!$B$1,EffectName[#Headers],0),2),FALSE),"")</f>
        <v/>
      </c>
      <c r="X1241" t="str">
        <f t="shared" si="138"/>
        <v/>
      </c>
      <c r="Y1241">
        <v>0</v>
      </c>
      <c r="Z1241" t="str">
        <f>IF(Y1241&lt;&gt;0,VLOOKUP(VLOOKUP(Y1241,Tbl_Effect[],3,FALSE),EffectName[],IFERROR(MATCH(UI!$B$1,EffectName[#Headers],0),2),FALSE),"")</f>
        <v/>
      </c>
      <c r="AA1241" t="str">
        <f t="shared" si="139"/>
        <v/>
      </c>
      <c r="AB1241">
        <v>0</v>
      </c>
      <c r="AC1241" t="str">
        <f>IF(AB1241&lt;&gt;0,VLOOKUP(VLOOKUP(AB1241,Tbl_Effect[],3,FALSE),EffectName[],IFERROR(MATCH(UI!$B$1,EffectName[#Headers],0),2),FALSE),"")</f>
        <v/>
      </c>
    </row>
    <row r="1242" spans="8:29" x14ac:dyDescent="0.4">
      <c r="H1242" t="str">
        <f t="shared" si="133"/>
        <v>7120000-Unset (紅)</v>
      </c>
      <c r="I1242">
        <v>7120000</v>
      </c>
      <c r="J1242" t="str">
        <f>_xlfn.IFNA(IF(I1242&lt;&gt;0,VLOOKUP(VLOOKUP(I1242,Tbl_Equip[],2,FALSE),Tbl_Color[],IFERROR(MATCH(UI!$B$1,Tbl_Color[#Headers],0),2),FALSE),""),"Unset")</f>
        <v>紅</v>
      </c>
      <c r="K1242" t="str">
        <f>_xlfn.IFNA(IF(I1242&lt;&gt;0,VLOOKUP(I1242,ItemText[],IFERROR(MATCH(UI!$B$1,ItemText[#Headers],0),2),FALSE),""),"Unset")</f>
        <v>Unset</v>
      </c>
      <c r="L1242" t="str">
        <f t="shared" si="134"/>
        <v/>
      </c>
      <c r="M1242">
        <v>0</v>
      </c>
      <c r="N1242" t="str">
        <f>IF(VALUE(M1242)=0,"",VLOOKUP(VLOOKUP(M1242,Tbl_Effect[],3,FALSE),EffectName[],IFERROR(MATCH(UI!$B$1,EffectName[#Headers],0),2),FALSE))</f>
        <v/>
      </c>
      <c r="O1242" t="str">
        <f t="shared" si="135"/>
        <v/>
      </c>
      <c r="P1242">
        <v>0</v>
      </c>
      <c r="Q1242" t="str">
        <f>IF(VALUE(P1242)=0,"",VLOOKUP(VLOOKUP(P1242,Tbl_Effect[],3,FALSE),EffectName[],IFERROR(MATCH(UI!$B$1,EffectName[#Headers],0),2),FALSE))</f>
        <v/>
      </c>
      <c r="R1242" t="str">
        <f t="shared" si="136"/>
        <v/>
      </c>
      <c r="S1242">
        <v>0</v>
      </c>
      <c r="T1242" t="str">
        <f>IF(VALUE(S1242)=0,"",VLOOKUP(VLOOKUP(S1242,Tbl_Effect[],3,FALSE),EffectName[],IFERROR(MATCH(UI!$B$1,EffectName[#Headers],0),2),FALSE))</f>
        <v/>
      </c>
      <c r="U1242" t="str">
        <f t="shared" si="137"/>
        <v/>
      </c>
      <c r="V1242">
        <v>0</v>
      </c>
      <c r="W1242" t="str">
        <f>IF(V1242&lt;&gt;0,VLOOKUP(VLOOKUP(V1242,Tbl_Effect[],3,FALSE),EffectName[],IFERROR(MATCH(UI!$B$1,EffectName[#Headers],0),2),FALSE),"")</f>
        <v/>
      </c>
      <c r="X1242" t="str">
        <f t="shared" si="138"/>
        <v/>
      </c>
      <c r="Y1242">
        <v>0</v>
      </c>
      <c r="Z1242" t="str">
        <f>IF(Y1242&lt;&gt;0,VLOOKUP(VLOOKUP(Y1242,Tbl_Effect[],3,FALSE),EffectName[],IFERROR(MATCH(UI!$B$1,EffectName[#Headers],0),2),FALSE),"")</f>
        <v/>
      </c>
      <c r="AA1242" t="str">
        <f t="shared" si="139"/>
        <v/>
      </c>
      <c r="AB1242">
        <v>0</v>
      </c>
      <c r="AC1242" t="str">
        <f>IF(AB1242&lt;&gt;0,VLOOKUP(VLOOKUP(AB1242,Tbl_Effect[],3,FALSE),EffectName[],IFERROR(MATCH(UI!$B$1,EffectName[#Headers],0),2),FALSE),"")</f>
        <v/>
      </c>
    </row>
    <row r="1243" spans="8:29" x14ac:dyDescent="0.4">
      <c r="H1243" t="str">
        <f t="shared" si="133"/>
        <v>7120100-Unset (紅)</v>
      </c>
      <c r="I1243">
        <v>7120100</v>
      </c>
      <c r="J1243" t="str">
        <f>_xlfn.IFNA(IF(I1243&lt;&gt;0,VLOOKUP(VLOOKUP(I1243,Tbl_Equip[],2,FALSE),Tbl_Color[],IFERROR(MATCH(UI!$B$1,Tbl_Color[#Headers],0),2),FALSE),""),"Unset")</f>
        <v>紅</v>
      </c>
      <c r="K1243" t="str">
        <f>_xlfn.IFNA(IF(I1243&lt;&gt;0,VLOOKUP(I1243,ItemText[],IFERROR(MATCH(UI!$B$1,ItemText[#Headers],0),2),FALSE),""),"Unset")</f>
        <v>Unset</v>
      </c>
      <c r="L1243" t="str">
        <f t="shared" si="134"/>
        <v/>
      </c>
      <c r="M1243">
        <v>0</v>
      </c>
      <c r="N1243" t="str">
        <f>IF(VALUE(M1243)=0,"",VLOOKUP(VLOOKUP(M1243,Tbl_Effect[],3,FALSE),EffectName[],IFERROR(MATCH(UI!$B$1,EffectName[#Headers],0),2),FALSE))</f>
        <v/>
      </c>
      <c r="O1243" t="str">
        <f t="shared" si="135"/>
        <v/>
      </c>
      <c r="P1243">
        <v>0</v>
      </c>
      <c r="Q1243" t="str">
        <f>IF(VALUE(P1243)=0,"",VLOOKUP(VLOOKUP(P1243,Tbl_Effect[],3,FALSE),EffectName[],IFERROR(MATCH(UI!$B$1,EffectName[#Headers],0),2),FALSE))</f>
        <v/>
      </c>
      <c r="R1243" t="str">
        <f t="shared" si="136"/>
        <v/>
      </c>
      <c r="S1243">
        <v>0</v>
      </c>
      <c r="T1243" t="str">
        <f>IF(VALUE(S1243)=0,"",VLOOKUP(VLOOKUP(S1243,Tbl_Effect[],3,FALSE),EffectName[],IFERROR(MATCH(UI!$B$1,EffectName[#Headers],0),2),FALSE))</f>
        <v/>
      </c>
      <c r="U1243" t="str">
        <f t="shared" si="137"/>
        <v/>
      </c>
      <c r="V1243">
        <v>0</v>
      </c>
      <c r="W1243" t="str">
        <f>IF(V1243&lt;&gt;0,VLOOKUP(VLOOKUP(V1243,Tbl_Effect[],3,FALSE),EffectName[],IFERROR(MATCH(UI!$B$1,EffectName[#Headers],0),2),FALSE),"")</f>
        <v/>
      </c>
      <c r="X1243" t="str">
        <f t="shared" si="138"/>
        <v/>
      </c>
      <c r="Y1243">
        <v>0</v>
      </c>
      <c r="Z1243" t="str">
        <f>IF(Y1243&lt;&gt;0,VLOOKUP(VLOOKUP(Y1243,Tbl_Effect[],3,FALSE),EffectName[],IFERROR(MATCH(UI!$B$1,EffectName[#Headers],0),2),FALSE),"")</f>
        <v/>
      </c>
      <c r="AA1243" t="str">
        <f t="shared" si="139"/>
        <v/>
      </c>
      <c r="AB1243">
        <v>0</v>
      </c>
      <c r="AC1243" t="str">
        <f>IF(AB1243&lt;&gt;0,VLOOKUP(VLOOKUP(AB1243,Tbl_Effect[],3,FALSE),EffectName[],IFERROR(MATCH(UI!$B$1,EffectName[#Headers],0),2),FALSE),"")</f>
        <v/>
      </c>
    </row>
    <row r="1244" spans="8:29" x14ac:dyDescent="0.4">
      <c r="H1244" t="str">
        <f t="shared" si="133"/>
        <v>7120200-Unset (紅)</v>
      </c>
      <c r="I1244">
        <v>7120200</v>
      </c>
      <c r="J1244" t="str">
        <f>_xlfn.IFNA(IF(I1244&lt;&gt;0,VLOOKUP(VLOOKUP(I1244,Tbl_Equip[],2,FALSE),Tbl_Color[],IFERROR(MATCH(UI!$B$1,Tbl_Color[#Headers],0),2),FALSE),""),"Unset")</f>
        <v>紅</v>
      </c>
      <c r="K1244" t="str">
        <f>_xlfn.IFNA(IF(I1244&lt;&gt;0,VLOOKUP(I1244,ItemText[],IFERROR(MATCH(UI!$B$1,ItemText[#Headers],0),2),FALSE),""),"Unset")</f>
        <v>Unset</v>
      </c>
      <c r="L1244" t="str">
        <f t="shared" si="134"/>
        <v/>
      </c>
      <c r="M1244">
        <v>0</v>
      </c>
      <c r="N1244" t="str">
        <f>IF(VALUE(M1244)=0,"",VLOOKUP(VLOOKUP(M1244,Tbl_Effect[],3,FALSE),EffectName[],IFERROR(MATCH(UI!$B$1,EffectName[#Headers],0),2),FALSE))</f>
        <v/>
      </c>
      <c r="O1244" t="str">
        <f t="shared" si="135"/>
        <v/>
      </c>
      <c r="P1244">
        <v>0</v>
      </c>
      <c r="Q1244" t="str">
        <f>IF(VALUE(P1244)=0,"",VLOOKUP(VLOOKUP(P1244,Tbl_Effect[],3,FALSE),EffectName[],IFERROR(MATCH(UI!$B$1,EffectName[#Headers],0),2),FALSE))</f>
        <v/>
      </c>
      <c r="R1244" t="str">
        <f t="shared" si="136"/>
        <v/>
      </c>
      <c r="S1244">
        <v>0</v>
      </c>
      <c r="T1244" t="str">
        <f>IF(VALUE(S1244)=0,"",VLOOKUP(VLOOKUP(S1244,Tbl_Effect[],3,FALSE),EffectName[],IFERROR(MATCH(UI!$B$1,EffectName[#Headers],0),2),FALSE))</f>
        <v/>
      </c>
      <c r="U1244" t="str">
        <f t="shared" si="137"/>
        <v/>
      </c>
      <c r="V1244">
        <v>0</v>
      </c>
      <c r="W1244" t="str">
        <f>IF(V1244&lt;&gt;0,VLOOKUP(VLOOKUP(V1244,Tbl_Effect[],3,FALSE),EffectName[],IFERROR(MATCH(UI!$B$1,EffectName[#Headers],0),2),FALSE),"")</f>
        <v/>
      </c>
      <c r="X1244" t="str">
        <f t="shared" si="138"/>
        <v/>
      </c>
      <c r="Y1244">
        <v>0</v>
      </c>
      <c r="Z1244" t="str">
        <f>IF(Y1244&lt;&gt;0,VLOOKUP(VLOOKUP(Y1244,Tbl_Effect[],3,FALSE),EffectName[],IFERROR(MATCH(UI!$B$1,EffectName[#Headers],0),2),FALSE),"")</f>
        <v/>
      </c>
      <c r="AA1244" t="str">
        <f t="shared" si="139"/>
        <v/>
      </c>
      <c r="AB1244">
        <v>0</v>
      </c>
      <c r="AC1244" t="str">
        <f>IF(AB1244&lt;&gt;0,VLOOKUP(VLOOKUP(AB1244,Tbl_Effect[],3,FALSE),EffectName[],IFERROR(MATCH(UI!$B$1,EffectName[#Headers],0),2),FALSE),"")</f>
        <v/>
      </c>
    </row>
    <row r="1245" spans="8:29" x14ac:dyDescent="0.4">
      <c r="H1245" t="str">
        <f t="shared" si="133"/>
        <v>7120300-Unset (紅)</v>
      </c>
      <c r="I1245">
        <v>7120300</v>
      </c>
      <c r="J1245" t="str">
        <f>_xlfn.IFNA(IF(I1245&lt;&gt;0,VLOOKUP(VLOOKUP(I1245,Tbl_Equip[],2,FALSE),Tbl_Color[],IFERROR(MATCH(UI!$B$1,Tbl_Color[#Headers],0),2),FALSE),""),"Unset")</f>
        <v>紅</v>
      </c>
      <c r="K1245" t="str">
        <f>_xlfn.IFNA(IF(I1245&lt;&gt;0,VLOOKUP(I1245,ItemText[],IFERROR(MATCH(UI!$B$1,ItemText[#Headers],0),2),FALSE),""),"Unset")</f>
        <v>Unset</v>
      </c>
      <c r="L1245" t="str">
        <f t="shared" si="134"/>
        <v/>
      </c>
      <c r="M1245">
        <v>0</v>
      </c>
      <c r="N1245" t="str">
        <f>IF(VALUE(M1245)=0,"",VLOOKUP(VLOOKUP(M1245,Tbl_Effect[],3,FALSE),EffectName[],IFERROR(MATCH(UI!$B$1,EffectName[#Headers],0),2),FALSE))</f>
        <v/>
      </c>
      <c r="O1245" t="str">
        <f t="shared" si="135"/>
        <v/>
      </c>
      <c r="P1245">
        <v>0</v>
      </c>
      <c r="Q1245" t="str">
        <f>IF(VALUE(P1245)=0,"",VLOOKUP(VLOOKUP(P1245,Tbl_Effect[],3,FALSE),EffectName[],IFERROR(MATCH(UI!$B$1,EffectName[#Headers],0),2),FALSE))</f>
        <v/>
      </c>
      <c r="R1245" t="str">
        <f t="shared" si="136"/>
        <v/>
      </c>
      <c r="S1245">
        <v>0</v>
      </c>
      <c r="T1245" t="str">
        <f>IF(VALUE(S1245)=0,"",VLOOKUP(VLOOKUP(S1245,Tbl_Effect[],3,FALSE),EffectName[],IFERROR(MATCH(UI!$B$1,EffectName[#Headers],0),2),FALSE))</f>
        <v/>
      </c>
      <c r="U1245" t="str">
        <f t="shared" si="137"/>
        <v/>
      </c>
      <c r="V1245">
        <v>0</v>
      </c>
      <c r="W1245" t="str">
        <f>IF(V1245&lt;&gt;0,VLOOKUP(VLOOKUP(V1245,Tbl_Effect[],3,FALSE),EffectName[],IFERROR(MATCH(UI!$B$1,EffectName[#Headers],0),2),FALSE),"")</f>
        <v/>
      </c>
      <c r="X1245" t="str">
        <f t="shared" si="138"/>
        <v/>
      </c>
      <c r="Y1245">
        <v>0</v>
      </c>
      <c r="Z1245" t="str">
        <f>IF(Y1245&lt;&gt;0,VLOOKUP(VLOOKUP(Y1245,Tbl_Effect[],3,FALSE),EffectName[],IFERROR(MATCH(UI!$B$1,EffectName[#Headers],0),2),FALSE),"")</f>
        <v/>
      </c>
      <c r="AA1245" t="str">
        <f t="shared" si="139"/>
        <v/>
      </c>
      <c r="AB1245">
        <v>0</v>
      </c>
      <c r="AC1245" t="str">
        <f>IF(AB1245&lt;&gt;0,VLOOKUP(VLOOKUP(AB1245,Tbl_Effect[],3,FALSE),EffectName[],IFERROR(MATCH(UI!$B$1,EffectName[#Headers],0),2),FALSE),"")</f>
        <v/>
      </c>
    </row>
    <row r="1246" spans="8:29" x14ac:dyDescent="0.4">
      <c r="H1246" t="str">
        <f t="shared" si="133"/>
        <v>7120400-Unset (紅)</v>
      </c>
      <c r="I1246">
        <v>7120400</v>
      </c>
      <c r="J1246" t="str">
        <f>_xlfn.IFNA(IF(I1246&lt;&gt;0,VLOOKUP(VLOOKUP(I1246,Tbl_Equip[],2,FALSE),Tbl_Color[],IFERROR(MATCH(UI!$B$1,Tbl_Color[#Headers],0),2),FALSE),""),"Unset")</f>
        <v>紅</v>
      </c>
      <c r="K1246" t="str">
        <f>_xlfn.IFNA(IF(I1246&lt;&gt;0,VLOOKUP(I1246,ItemText[],IFERROR(MATCH(UI!$B$1,ItemText[#Headers],0),2),FALSE),""),"Unset")</f>
        <v>Unset</v>
      </c>
      <c r="L1246" t="str">
        <f t="shared" si="134"/>
        <v/>
      </c>
      <c r="M1246">
        <v>0</v>
      </c>
      <c r="N1246" t="str">
        <f>IF(VALUE(M1246)=0,"",VLOOKUP(VLOOKUP(M1246,Tbl_Effect[],3,FALSE),EffectName[],IFERROR(MATCH(UI!$B$1,EffectName[#Headers],0),2),FALSE))</f>
        <v/>
      </c>
      <c r="O1246" t="str">
        <f t="shared" si="135"/>
        <v/>
      </c>
      <c r="P1246">
        <v>0</v>
      </c>
      <c r="Q1246" t="str">
        <f>IF(VALUE(P1246)=0,"",VLOOKUP(VLOOKUP(P1246,Tbl_Effect[],3,FALSE),EffectName[],IFERROR(MATCH(UI!$B$1,EffectName[#Headers],0),2),FALSE))</f>
        <v/>
      </c>
      <c r="R1246" t="str">
        <f t="shared" si="136"/>
        <v/>
      </c>
      <c r="S1246">
        <v>0</v>
      </c>
      <c r="T1246" t="str">
        <f>IF(VALUE(S1246)=0,"",VLOOKUP(VLOOKUP(S1246,Tbl_Effect[],3,FALSE),EffectName[],IFERROR(MATCH(UI!$B$1,EffectName[#Headers],0),2),FALSE))</f>
        <v/>
      </c>
      <c r="U1246" t="str">
        <f t="shared" si="137"/>
        <v/>
      </c>
      <c r="V1246">
        <v>0</v>
      </c>
      <c r="W1246" t="str">
        <f>IF(V1246&lt;&gt;0,VLOOKUP(VLOOKUP(V1246,Tbl_Effect[],3,FALSE),EffectName[],IFERROR(MATCH(UI!$B$1,EffectName[#Headers],0),2),FALSE),"")</f>
        <v/>
      </c>
      <c r="X1246" t="str">
        <f t="shared" si="138"/>
        <v/>
      </c>
      <c r="Y1246">
        <v>0</v>
      </c>
      <c r="Z1246" t="str">
        <f>IF(Y1246&lt;&gt;0,VLOOKUP(VLOOKUP(Y1246,Tbl_Effect[],3,FALSE),EffectName[],IFERROR(MATCH(UI!$B$1,EffectName[#Headers],0),2),FALSE),"")</f>
        <v/>
      </c>
      <c r="AA1246" t="str">
        <f t="shared" si="139"/>
        <v/>
      </c>
      <c r="AB1246">
        <v>0</v>
      </c>
      <c r="AC1246" t="str">
        <f>IF(AB1246&lt;&gt;0,VLOOKUP(VLOOKUP(AB1246,Tbl_Effect[],3,FALSE),EffectName[],IFERROR(MATCH(UI!$B$1,EffectName[#Headers],0),2),FALSE),"")</f>
        <v/>
      </c>
    </row>
    <row r="1247" spans="8:29" x14ac:dyDescent="0.4">
      <c r="H1247" t="str">
        <f t="shared" si="133"/>
        <v>7120500-Unset (紅)</v>
      </c>
      <c r="I1247">
        <v>7120500</v>
      </c>
      <c r="J1247" t="str">
        <f>_xlfn.IFNA(IF(I1247&lt;&gt;0,VLOOKUP(VLOOKUP(I1247,Tbl_Equip[],2,FALSE),Tbl_Color[],IFERROR(MATCH(UI!$B$1,Tbl_Color[#Headers],0),2),FALSE),""),"Unset")</f>
        <v>紅</v>
      </c>
      <c r="K1247" t="str">
        <f>_xlfn.IFNA(IF(I1247&lt;&gt;0,VLOOKUP(I1247,ItemText[],IFERROR(MATCH(UI!$B$1,ItemText[#Headers],0),2),FALSE),""),"Unset")</f>
        <v>Unset</v>
      </c>
      <c r="L1247" t="str">
        <f t="shared" si="134"/>
        <v/>
      </c>
      <c r="M1247">
        <v>0</v>
      </c>
      <c r="N1247" t="str">
        <f>IF(VALUE(M1247)=0,"",VLOOKUP(VLOOKUP(M1247,Tbl_Effect[],3,FALSE),EffectName[],IFERROR(MATCH(UI!$B$1,EffectName[#Headers],0),2),FALSE))</f>
        <v/>
      </c>
      <c r="O1247" t="str">
        <f t="shared" si="135"/>
        <v/>
      </c>
      <c r="P1247">
        <v>0</v>
      </c>
      <c r="Q1247" t="str">
        <f>IF(VALUE(P1247)=0,"",VLOOKUP(VLOOKUP(P1247,Tbl_Effect[],3,FALSE),EffectName[],IFERROR(MATCH(UI!$B$1,EffectName[#Headers],0),2),FALSE))</f>
        <v/>
      </c>
      <c r="R1247" t="str">
        <f t="shared" si="136"/>
        <v/>
      </c>
      <c r="S1247">
        <v>0</v>
      </c>
      <c r="T1247" t="str">
        <f>IF(VALUE(S1247)=0,"",VLOOKUP(VLOOKUP(S1247,Tbl_Effect[],3,FALSE),EffectName[],IFERROR(MATCH(UI!$B$1,EffectName[#Headers],0),2),FALSE))</f>
        <v/>
      </c>
      <c r="U1247" t="str">
        <f t="shared" si="137"/>
        <v/>
      </c>
      <c r="V1247">
        <v>0</v>
      </c>
      <c r="W1247" t="str">
        <f>IF(V1247&lt;&gt;0,VLOOKUP(VLOOKUP(V1247,Tbl_Effect[],3,FALSE),EffectName[],IFERROR(MATCH(UI!$B$1,EffectName[#Headers],0),2),FALSE),"")</f>
        <v/>
      </c>
      <c r="X1247" t="str">
        <f t="shared" si="138"/>
        <v/>
      </c>
      <c r="Y1247">
        <v>0</v>
      </c>
      <c r="Z1247" t="str">
        <f>IF(Y1247&lt;&gt;0,VLOOKUP(VLOOKUP(Y1247,Tbl_Effect[],3,FALSE),EffectName[],IFERROR(MATCH(UI!$B$1,EffectName[#Headers],0),2),FALSE),"")</f>
        <v/>
      </c>
      <c r="AA1247" t="str">
        <f t="shared" si="139"/>
        <v/>
      </c>
      <c r="AB1247">
        <v>0</v>
      </c>
      <c r="AC1247" t="str">
        <f>IF(AB1247&lt;&gt;0,VLOOKUP(VLOOKUP(AB1247,Tbl_Effect[],3,FALSE),EffectName[],IFERROR(MATCH(UI!$B$1,EffectName[#Headers],0),2),FALSE),"")</f>
        <v/>
      </c>
    </row>
    <row r="1248" spans="8:29" x14ac:dyDescent="0.4">
      <c r="H1248" t="str">
        <f t="shared" si="133"/>
        <v>7120600-Unset (紅)</v>
      </c>
      <c r="I1248">
        <v>7120600</v>
      </c>
      <c r="J1248" t="str">
        <f>_xlfn.IFNA(IF(I1248&lt;&gt;0,VLOOKUP(VLOOKUP(I1248,Tbl_Equip[],2,FALSE),Tbl_Color[],IFERROR(MATCH(UI!$B$1,Tbl_Color[#Headers],0),2),FALSE),""),"Unset")</f>
        <v>紅</v>
      </c>
      <c r="K1248" t="str">
        <f>_xlfn.IFNA(IF(I1248&lt;&gt;0,VLOOKUP(I1248,ItemText[],IFERROR(MATCH(UI!$B$1,ItemText[#Headers],0),2),FALSE),""),"Unset")</f>
        <v>Unset</v>
      </c>
      <c r="L1248" t="str">
        <f t="shared" si="134"/>
        <v/>
      </c>
      <c r="M1248">
        <v>0</v>
      </c>
      <c r="N1248" t="str">
        <f>IF(VALUE(M1248)=0,"",VLOOKUP(VLOOKUP(M1248,Tbl_Effect[],3,FALSE),EffectName[],IFERROR(MATCH(UI!$B$1,EffectName[#Headers],0),2),FALSE))</f>
        <v/>
      </c>
      <c r="O1248" t="str">
        <f t="shared" si="135"/>
        <v/>
      </c>
      <c r="P1248">
        <v>0</v>
      </c>
      <c r="Q1248" t="str">
        <f>IF(VALUE(P1248)=0,"",VLOOKUP(VLOOKUP(P1248,Tbl_Effect[],3,FALSE),EffectName[],IFERROR(MATCH(UI!$B$1,EffectName[#Headers],0),2),FALSE))</f>
        <v/>
      </c>
      <c r="R1248" t="str">
        <f t="shared" si="136"/>
        <v/>
      </c>
      <c r="S1248">
        <v>0</v>
      </c>
      <c r="T1248" t="str">
        <f>IF(VALUE(S1248)=0,"",VLOOKUP(VLOOKUP(S1248,Tbl_Effect[],3,FALSE),EffectName[],IFERROR(MATCH(UI!$B$1,EffectName[#Headers],0),2),FALSE))</f>
        <v/>
      </c>
      <c r="U1248" t="str">
        <f t="shared" si="137"/>
        <v/>
      </c>
      <c r="V1248">
        <v>0</v>
      </c>
      <c r="W1248" t="str">
        <f>IF(V1248&lt;&gt;0,VLOOKUP(VLOOKUP(V1248,Tbl_Effect[],3,FALSE),EffectName[],IFERROR(MATCH(UI!$B$1,EffectName[#Headers],0),2),FALSE),"")</f>
        <v/>
      </c>
      <c r="X1248" t="str">
        <f t="shared" si="138"/>
        <v/>
      </c>
      <c r="Y1248">
        <v>0</v>
      </c>
      <c r="Z1248" t="str">
        <f>IF(Y1248&lt;&gt;0,VLOOKUP(VLOOKUP(Y1248,Tbl_Effect[],3,FALSE),EffectName[],IFERROR(MATCH(UI!$B$1,EffectName[#Headers],0),2),FALSE),"")</f>
        <v/>
      </c>
      <c r="AA1248" t="str">
        <f t="shared" si="139"/>
        <v/>
      </c>
      <c r="AB1248">
        <v>0</v>
      </c>
      <c r="AC1248" t="str">
        <f>IF(AB1248&lt;&gt;0,VLOOKUP(VLOOKUP(AB1248,Tbl_Effect[],3,FALSE),EffectName[],IFERROR(MATCH(UI!$B$1,EffectName[#Headers],0),2),FALSE),"")</f>
        <v/>
      </c>
    </row>
    <row r="1249" spans="8:29" x14ac:dyDescent="0.4">
      <c r="H1249" t="str">
        <f t="shared" si="133"/>
        <v>7120900-Unset (紅)</v>
      </c>
      <c r="I1249">
        <v>7120900</v>
      </c>
      <c r="J1249" t="str">
        <f>_xlfn.IFNA(IF(I1249&lt;&gt;0,VLOOKUP(VLOOKUP(I1249,Tbl_Equip[],2,FALSE),Tbl_Color[],IFERROR(MATCH(UI!$B$1,Tbl_Color[#Headers],0),2),FALSE),""),"Unset")</f>
        <v>紅</v>
      </c>
      <c r="K1249" t="str">
        <f>_xlfn.IFNA(IF(I1249&lt;&gt;0,VLOOKUP(I1249,ItemText[],IFERROR(MATCH(UI!$B$1,ItemText[#Headers],0),2),FALSE),""),"Unset")</f>
        <v>Unset</v>
      </c>
      <c r="L1249" t="str">
        <f t="shared" si="134"/>
        <v/>
      </c>
      <c r="M1249">
        <v>0</v>
      </c>
      <c r="N1249" t="str">
        <f>IF(VALUE(M1249)=0,"",VLOOKUP(VLOOKUP(M1249,Tbl_Effect[],3,FALSE),EffectName[],IFERROR(MATCH(UI!$B$1,EffectName[#Headers],0),2),FALSE))</f>
        <v/>
      </c>
      <c r="O1249" t="str">
        <f t="shared" si="135"/>
        <v/>
      </c>
      <c r="P1249">
        <v>0</v>
      </c>
      <c r="Q1249" t="str">
        <f>IF(VALUE(P1249)=0,"",VLOOKUP(VLOOKUP(P1249,Tbl_Effect[],3,FALSE),EffectName[],IFERROR(MATCH(UI!$B$1,EffectName[#Headers],0),2),FALSE))</f>
        <v/>
      </c>
      <c r="R1249" t="str">
        <f t="shared" si="136"/>
        <v/>
      </c>
      <c r="S1249">
        <v>0</v>
      </c>
      <c r="T1249" t="str">
        <f>IF(VALUE(S1249)=0,"",VLOOKUP(VLOOKUP(S1249,Tbl_Effect[],3,FALSE),EffectName[],IFERROR(MATCH(UI!$B$1,EffectName[#Headers],0),2),FALSE))</f>
        <v/>
      </c>
      <c r="U1249" t="str">
        <f t="shared" si="137"/>
        <v/>
      </c>
      <c r="V1249">
        <v>0</v>
      </c>
      <c r="W1249" t="str">
        <f>IF(V1249&lt;&gt;0,VLOOKUP(VLOOKUP(V1249,Tbl_Effect[],3,FALSE),EffectName[],IFERROR(MATCH(UI!$B$1,EffectName[#Headers],0),2),FALSE),"")</f>
        <v/>
      </c>
      <c r="X1249" t="str">
        <f t="shared" si="138"/>
        <v/>
      </c>
      <c r="Y1249">
        <v>0</v>
      </c>
      <c r="Z1249" t="str">
        <f>IF(Y1249&lt;&gt;0,VLOOKUP(VLOOKUP(Y1249,Tbl_Effect[],3,FALSE),EffectName[],IFERROR(MATCH(UI!$B$1,EffectName[#Headers],0),2),FALSE),"")</f>
        <v/>
      </c>
      <c r="AA1249" t="str">
        <f t="shared" si="139"/>
        <v/>
      </c>
      <c r="AB1249">
        <v>0</v>
      </c>
      <c r="AC1249" t="str">
        <f>IF(AB1249&lt;&gt;0,VLOOKUP(VLOOKUP(AB1249,Tbl_Effect[],3,FALSE),EffectName[],IFERROR(MATCH(UI!$B$1,EffectName[#Headers],0),2),FALSE),"")</f>
        <v/>
      </c>
    </row>
    <row r="1250" spans="8:29" x14ac:dyDescent="0.4">
      <c r="H1250" t="str">
        <f t="shared" si="133"/>
        <v>7121000-Unset (紅)</v>
      </c>
      <c r="I1250">
        <v>7121000</v>
      </c>
      <c r="J1250" t="str">
        <f>_xlfn.IFNA(IF(I1250&lt;&gt;0,VLOOKUP(VLOOKUP(I1250,Tbl_Equip[],2,FALSE),Tbl_Color[],IFERROR(MATCH(UI!$B$1,Tbl_Color[#Headers],0),2),FALSE),""),"Unset")</f>
        <v>紅</v>
      </c>
      <c r="K1250" t="str">
        <f>_xlfn.IFNA(IF(I1250&lt;&gt;0,VLOOKUP(I1250,ItemText[],IFERROR(MATCH(UI!$B$1,ItemText[#Headers],0),2),FALSE),""),"Unset")</f>
        <v>Unset</v>
      </c>
      <c r="L1250" t="str">
        <f t="shared" si="134"/>
        <v/>
      </c>
      <c r="M1250">
        <v>0</v>
      </c>
      <c r="N1250" t="str">
        <f>IF(VALUE(M1250)=0,"",VLOOKUP(VLOOKUP(M1250,Tbl_Effect[],3,FALSE),EffectName[],IFERROR(MATCH(UI!$B$1,EffectName[#Headers],0),2),FALSE))</f>
        <v/>
      </c>
      <c r="O1250" t="str">
        <f t="shared" si="135"/>
        <v/>
      </c>
      <c r="P1250">
        <v>0</v>
      </c>
      <c r="Q1250" t="str">
        <f>IF(VALUE(P1250)=0,"",VLOOKUP(VLOOKUP(P1250,Tbl_Effect[],3,FALSE),EffectName[],IFERROR(MATCH(UI!$B$1,EffectName[#Headers],0),2),FALSE))</f>
        <v/>
      </c>
      <c r="R1250" t="str">
        <f t="shared" si="136"/>
        <v/>
      </c>
      <c r="S1250">
        <v>0</v>
      </c>
      <c r="T1250" t="str">
        <f>IF(VALUE(S1250)=0,"",VLOOKUP(VLOOKUP(S1250,Tbl_Effect[],3,FALSE),EffectName[],IFERROR(MATCH(UI!$B$1,EffectName[#Headers],0),2),FALSE))</f>
        <v/>
      </c>
      <c r="U1250" t="str">
        <f t="shared" si="137"/>
        <v/>
      </c>
      <c r="V1250">
        <v>0</v>
      </c>
      <c r="W1250" t="str">
        <f>IF(V1250&lt;&gt;0,VLOOKUP(VLOOKUP(V1250,Tbl_Effect[],3,FALSE),EffectName[],IFERROR(MATCH(UI!$B$1,EffectName[#Headers],0),2),FALSE),"")</f>
        <v/>
      </c>
      <c r="X1250" t="str">
        <f t="shared" si="138"/>
        <v/>
      </c>
      <c r="Y1250">
        <v>0</v>
      </c>
      <c r="Z1250" t="str">
        <f>IF(Y1250&lt;&gt;0,VLOOKUP(VLOOKUP(Y1250,Tbl_Effect[],3,FALSE),EffectName[],IFERROR(MATCH(UI!$B$1,EffectName[#Headers],0),2),FALSE),"")</f>
        <v/>
      </c>
      <c r="AA1250" t="str">
        <f t="shared" si="139"/>
        <v/>
      </c>
      <c r="AB1250">
        <v>0</v>
      </c>
      <c r="AC1250" t="str">
        <f>IF(AB1250&lt;&gt;0,VLOOKUP(VLOOKUP(AB1250,Tbl_Effect[],3,FALSE),EffectName[],IFERROR(MATCH(UI!$B$1,EffectName[#Headers],0),2),FALSE),"")</f>
        <v/>
      </c>
    </row>
    <row r="1251" spans="8:29" x14ac:dyDescent="0.4">
      <c r="H1251" t="str">
        <f t="shared" si="133"/>
        <v>7121100-Unset (紅)</v>
      </c>
      <c r="I1251">
        <v>7121100</v>
      </c>
      <c r="J1251" t="str">
        <f>_xlfn.IFNA(IF(I1251&lt;&gt;0,VLOOKUP(VLOOKUP(I1251,Tbl_Equip[],2,FALSE),Tbl_Color[],IFERROR(MATCH(UI!$B$1,Tbl_Color[#Headers],0),2),FALSE),""),"Unset")</f>
        <v>紅</v>
      </c>
      <c r="K1251" t="str">
        <f>_xlfn.IFNA(IF(I1251&lt;&gt;0,VLOOKUP(I1251,ItemText[],IFERROR(MATCH(UI!$B$1,ItemText[#Headers],0),2),FALSE),""),"Unset")</f>
        <v>Unset</v>
      </c>
      <c r="L1251" t="str">
        <f t="shared" si="134"/>
        <v/>
      </c>
      <c r="M1251">
        <v>0</v>
      </c>
      <c r="N1251" t="str">
        <f>IF(VALUE(M1251)=0,"",VLOOKUP(VLOOKUP(M1251,Tbl_Effect[],3,FALSE),EffectName[],IFERROR(MATCH(UI!$B$1,EffectName[#Headers],0),2),FALSE))</f>
        <v/>
      </c>
      <c r="O1251" t="str">
        <f t="shared" si="135"/>
        <v/>
      </c>
      <c r="P1251">
        <v>0</v>
      </c>
      <c r="Q1251" t="str">
        <f>IF(VALUE(P1251)=0,"",VLOOKUP(VLOOKUP(P1251,Tbl_Effect[],3,FALSE),EffectName[],IFERROR(MATCH(UI!$B$1,EffectName[#Headers],0),2),FALSE))</f>
        <v/>
      </c>
      <c r="R1251" t="str">
        <f t="shared" si="136"/>
        <v/>
      </c>
      <c r="S1251">
        <v>0</v>
      </c>
      <c r="T1251" t="str">
        <f>IF(VALUE(S1251)=0,"",VLOOKUP(VLOOKUP(S1251,Tbl_Effect[],3,FALSE),EffectName[],IFERROR(MATCH(UI!$B$1,EffectName[#Headers],0),2),FALSE))</f>
        <v/>
      </c>
      <c r="U1251" t="str">
        <f t="shared" si="137"/>
        <v/>
      </c>
      <c r="V1251">
        <v>0</v>
      </c>
      <c r="W1251" t="str">
        <f>IF(V1251&lt;&gt;0,VLOOKUP(VLOOKUP(V1251,Tbl_Effect[],3,FALSE),EffectName[],IFERROR(MATCH(UI!$B$1,EffectName[#Headers],0),2),FALSE),"")</f>
        <v/>
      </c>
      <c r="X1251" t="str">
        <f t="shared" si="138"/>
        <v/>
      </c>
      <c r="Y1251">
        <v>0</v>
      </c>
      <c r="Z1251" t="str">
        <f>IF(Y1251&lt;&gt;0,VLOOKUP(VLOOKUP(Y1251,Tbl_Effect[],3,FALSE),EffectName[],IFERROR(MATCH(UI!$B$1,EffectName[#Headers],0),2),FALSE),"")</f>
        <v/>
      </c>
      <c r="AA1251" t="str">
        <f t="shared" si="139"/>
        <v/>
      </c>
      <c r="AB1251">
        <v>0</v>
      </c>
      <c r="AC1251" t="str">
        <f>IF(AB1251&lt;&gt;0,VLOOKUP(VLOOKUP(AB1251,Tbl_Effect[],3,FALSE),EffectName[],IFERROR(MATCH(UI!$B$1,EffectName[#Headers],0),2),FALSE),"")</f>
        <v/>
      </c>
    </row>
    <row r="1252" spans="8:29" x14ac:dyDescent="0.4">
      <c r="H1252" t="str">
        <f t="shared" si="133"/>
        <v>7121200-Unset (紅)</v>
      </c>
      <c r="I1252">
        <v>7121200</v>
      </c>
      <c r="J1252" t="str">
        <f>_xlfn.IFNA(IF(I1252&lt;&gt;0,VLOOKUP(VLOOKUP(I1252,Tbl_Equip[],2,FALSE),Tbl_Color[],IFERROR(MATCH(UI!$B$1,Tbl_Color[#Headers],0),2),FALSE),""),"Unset")</f>
        <v>紅</v>
      </c>
      <c r="K1252" t="str">
        <f>_xlfn.IFNA(IF(I1252&lt;&gt;0,VLOOKUP(I1252,ItemText[],IFERROR(MATCH(UI!$B$1,ItemText[#Headers],0),2),FALSE),""),"Unset")</f>
        <v>Unset</v>
      </c>
      <c r="L1252" t="str">
        <f t="shared" si="134"/>
        <v/>
      </c>
      <c r="M1252">
        <v>0</v>
      </c>
      <c r="N1252" t="str">
        <f>IF(VALUE(M1252)=0,"",VLOOKUP(VLOOKUP(M1252,Tbl_Effect[],3,FALSE),EffectName[],IFERROR(MATCH(UI!$B$1,EffectName[#Headers],0),2),FALSE))</f>
        <v/>
      </c>
      <c r="O1252" t="str">
        <f t="shared" si="135"/>
        <v/>
      </c>
      <c r="P1252">
        <v>0</v>
      </c>
      <c r="Q1252" t="str">
        <f>IF(VALUE(P1252)=0,"",VLOOKUP(VLOOKUP(P1252,Tbl_Effect[],3,FALSE),EffectName[],IFERROR(MATCH(UI!$B$1,EffectName[#Headers],0),2),FALSE))</f>
        <v/>
      </c>
      <c r="R1252" t="str">
        <f t="shared" si="136"/>
        <v/>
      </c>
      <c r="S1252">
        <v>0</v>
      </c>
      <c r="T1252" t="str">
        <f>IF(VALUE(S1252)=0,"",VLOOKUP(VLOOKUP(S1252,Tbl_Effect[],3,FALSE),EffectName[],IFERROR(MATCH(UI!$B$1,EffectName[#Headers],0),2),FALSE))</f>
        <v/>
      </c>
      <c r="U1252" t="str">
        <f t="shared" si="137"/>
        <v/>
      </c>
      <c r="V1252">
        <v>0</v>
      </c>
      <c r="W1252" t="str">
        <f>IF(V1252&lt;&gt;0,VLOOKUP(VLOOKUP(V1252,Tbl_Effect[],3,FALSE),EffectName[],IFERROR(MATCH(UI!$B$1,EffectName[#Headers],0),2),FALSE),"")</f>
        <v/>
      </c>
      <c r="X1252" t="str">
        <f t="shared" si="138"/>
        <v/>
      </c>
      <c r="Y1252">
        <v>0</v>
      </c>
      <c r="Z1252" t="str">
        <f>IF(Y1252&lt;&gt;0,VLOOKUP(VLOOKUP(Y1252,Tbl_Effect[],3,FALSE),EffectName[],IFERROR(MATCH(UI!$B$1,EffectName[#Headers],0),2),FALSE),"")</f>
        <v/>
      </c>
      <c r="AA1252" t="str">
        <f t="shared" si="139"/>
        <v/>
      </c>
      <c r="AB1252">
        <v>0</v>
      </c>
      <c r="AC1252" t="str">
        <f>IF(AB1252&lt;&gt;0,VLOOKUP(VLOOKUP(AB1252,Tbl_Effect[],3,FALSE),EffectName[],IFERROR(MATCH(UI!$B$1,EffectName[#Headers],0),2),FALSE),"")</f>
        <v/>
      </c>
    </row>
    <row r="1253" spans="8:29" x14ac:dyDescent="0.4">
      <c r="H1253" t="str">
        <f t="shared" si="133"/>
        <v>7121300-Unset (紅)</v>
      </c>
      <c r="I1253">
        <v>7121300</v>
      </c>
      <c r="J1253" t="str">
        <f>_xlfn.IFNA(IF(I1253&lt;&gt;0,VLOOKUP(VLOOKUP(I1253,Tbl_Equip[],2,FALSE),Tbl_Color[],IFERROR(MATCH(UI!$B$1,Tbl_Color[#Headers],0),2),FALSE),""),"Unset")</f>
        <v>紅</v>
      </c>
      <c r="K1253" t="str">
        <f>_xlfn.IFNA(IF(I1253&lt;&gt;0,VLOOKUP(I1253,ItemText[],IFERROR(MATCH(UI!$B$1,ItemText[#Headers],0),2),FALSE),""),"Unset")</f>
        <v>Unset</v>
      </c>
      <c r="L1253" t="str">
        <f t="shared" si="134"/>
        <v/>
      </c>
      <c r="M1253">
        <v>0</v>
      </c>
      <c r="N1253" t="str">
        <f>IF(VALUE(M1253)=0,"",VLOOKUP(VLOOKUP(M1253,Tbl_Effect[],3,FALSE),EffectName[],IFERROR(MATCH(UI!$B$1,EffectName[#Headers],0),2),FALSE))</f>
        <v/>
      </c>
      <c r="O1253" t="str">
        <f t="shared" si="135"/>
        <v/>
      </c>
      <c r="P1253">
        <v>0</v>
      </c>
      <c r="Q1253" t="str">
        <f>IF(VALUE(P1253)=0,"",VLOOKUP(VLOOKUP(P1253,Tbl_Effect[],3,FALSE),EffectName[],IFERROR(MATCH(UI!$B$1,EffectName[#Headers],0),2),FALSE))</f>
        <v/>
      </c>
      <c r="R1253" t="str">
        <f t="shared" si="136"/>
        <v/>
      </c>
      <c r="S1253">
        <v>0</v>
      </c>
      <c r="T1253" t="str">
        <f>IF(VALUE(S1253)=0,"",VLOOKUP(VLOOKUP(S1253,Tbl_Effect[],3,FALSE),EffectName[],IFERROR(MATCH(UI!$B$1,EffectName[#Headers],0),2),FALSE))</f>
        <v/>
      </c>
      <c r="U1253" t="str">
        <f t="shared" si="137"/>
        <v/>
      </c>
      <c r="V1253">
        <v>0</v>
      </c>
      <c r="W1253" t="str">
        <f>IF(V1253&lt;&gt;0,VLOOKUP(VLOOKUP(V1253,Tbl_Effect[],3,FALSE),EffectName[],IFERROR(MATCH(UI!$B$1,EffectName[#Headers],0),2),FALSE),"")</f>
        <v/>
      </c>
      <c r="X1253" t="str">
        <f t="shared" si="138"/>
        <v/>
      </c>
      <c r="Y1253">
        <v>0</v>
      </c>
      <c r="Z1253" t="str">
        <f>IF(Y1253&lt;&gt;0,VLOOKUP(VLOOKUP(Y1253,Tbl_Effect[],3,FALSE),EffectName[],IFERROR(MATCH(UI!$B$1,EffectName[#Headers],0),2),FALSE),"")</f>
        <v/>
      </c>
      <c r="AA1253" t="str">
        <f t="shared" si="139"/>
        <v/>
      </c>
      <c r="AB1253">
        <v>0</v>
      </c>
      <c r="AC1253" t="str">
        <f>IF(AB1253&lt;&gt;0,VLOOKUP(VLOOKUP(AB1253,Tbl_Effect[],3,FALSE),EffectName[],IFERROR(MATCH(UI!$B$1,EffectName[#Headers],0),2),FALSE),"")</f>
        <v/>
      </c>
    </row>
    <row r="1254" spans="8:29" x14ac:dyDescent="0.4">
      <c r="H1254" t="str">
        <f t="shared" si="133"/>
        <v>7121400-Unset (紅)</v>
      </c>
      <c r="I1254">
        <v>7121400</v>
      </c>
      <c r="J1254" t="str">
        <f>_xlfn.IFNA(IF(I1254&lt;&gt;0,VLOOKUP(VLOOKUP(I1254,Tbl_Equip[],2,FALSE),Tbl_Color[],IFERROR(MATCH(UI!$B$1,Tbl_Color[#Headers],0),2),FALSE),""),"Unset")</f>
        <v>紅</v>
      </c>
      <c r="K1254" t="str">
        <f>_xlfn.IFNA(IF(I1254&lt;&gt;0,VLOOKUP(I1254,ItemText[],IFERROR(MATCH(UI!$B$1,ItemText[#Headers],0),2),FALSE),""),"Unset")</f>
        <v>Unset</v>
      </c>
      <c r="L1254" t="str">
        <f t="shared" si="134"/>
        <v/>
      </c>
      <c r="M1254">
        <v>0</v>
      </c>
      <c r="N1254" t="str">
        <f>IF(VALUE(M1254)=0,"",VLOOKUP(VLOOKUP(M1254,Tbl_Effect[],3,FALSE),EffectName[],IFERROR(MATCH(UI!$B$1,EffectName[#Headers],0),2),FALSE))</f>
        <v/>
      </c>
      <c r="O1254" t="str">
        <f t="shared" si="135"/>
        <v/>
      </c>
      <c r="P1254">
        <v>0</v>
      </c>
      <c r="Q1254" t="str">
        <f>IF(VALUE(P1254)=0,"",VLOOKUP(VLOOKUP(P1254,Tbl_Effect[],3,FALSE),EffectName[],IFERROR(MATCH(UI!$B$1,EffectName[#Headers],0),2),FALSE))</f>
        <v/>
      </c>
      <c r="R1254" t="str">
        <f t="shared" si="136"/>
        <v/>
      </c>
      <c r="S1254">
        <v>0</v>
      </c>
      <c r="T1254" t="str">
        <f>IF(VALUE(S1254)=0,"",VLOOKUP(VLOOKUP(S1254,Tbl_Effect[],3,FALSE),EffectName[],IFERROR(MATCH(UI!$B$1,EffectName[#Headers],0),2),FALSE))</f>
        <v/>
      </c>
      <c r="U1254" t="str">
        <f t="shared" si="137"/>
        <v/>
      </c>
      <c r="V1254">
        <v>0</v>
      </c>
      <c r="W1254" t="str">
        <f>IF(V1254&lt;&gt;0,VLOOKUP(VLOOKUP(V1254,Tbl_Effect[],3,FALSE),EffectName[],IFERROR(MATCH(UI!$B$1,EffectName[#Headers],0),2),FALSE),"")</f>
        <v/>
      </c>
      <c r="X1254" t="str">
        <f t="shared" si="138"/>
        <v/>
      </c>
      <c r="Y1254">
        <v>0</v>
      </c>
      <c r="Z1254" t="str">
        <f>IF(Y1254&lt;&gt;0,VLOOKUP(VLOOKUP(Y1254,Tbl_Effect[],3,FALSE),EffectName[],IFERROR(MATCH(UI!$B$1,EffectName[#Headers],0),2),FALSE),"")</f>
        <v/>
      </c>
      <c r="AA1254" t="str">
        <f t="shared" si="139"/>
        <v/>
      </c>
      <c r="AB1254">
        <v>0</v>
      </c>
      <c r="AC1254" t="str">
        <f>IF(AB1254&lt;&gt;0,VLOOKUP(VLOOKUP(AB1254,Tbl_Effect[],3,FALSE),EffectName[],IFERROR(MATCH(UI!$B$1,EffectName[#Headers],0),2),FALSE),"")</f>
        <v/>
      </c>
    </row>
    <row r="1255" spans="8:29" x14ac:dyDescent="0.4">
      <c r="H1255" t="str">
        <f t="shared" si="133"/>
        <v>7121500-Unset (紅)</v>
      </c>
      <c r="I1255">
        <v>7121500</v>
      </c>
      <c r="J1255" t="str">
        <f>_xlfn.IFNA(IF(I1255&lt;&gt;0,VLOOKUP(VLOOKUP(I1255,Tbl_Equip[],2,FALSE),Tbl_Color[],IFERROR(MATCH(UI!$B$1,Tbl_Color[#Headers],0),2),FALSE),""),"Unset")</f>
        <v>紅</v>
      </c>
      <c r="K1255" t="str">
        <f>_xlfn.IFNA(IF(I1255&lt;&gt;0,VLOOKUP(I1255,ItemText[],IFERROR(MATCH(UI!$B$1,ItemText[#Headers],0),2),FALSE),""),"Unset")</f>
        <v>Unset</v>
      </c>
      <c r="L1255" t="str">
        <f t="shared" si="134"/>
        <v/>
      </c>
      <c r="M1255">
        <v>0</v>
      </c>
      <c r="N1255" t="str">
        <f>IF(VALUE(M1255)=0,"",VLOOKUP(VLOOKUP(M1255,Tbl_Effect[],3,FALSE),EffectName[],IFERROR(MATCH(UI!$B$1,EffectName[#Headers],0),2),FALSE))</f>
        <v/>
      </c>
      <c r="O1255" t="str">
        <f t="shared" si="135"/>
        <v/>
      </c>
      <c r="P1255">
        <v>0</v>
      </c>
      <c r="Q1255" t="str">
        <f>IF(VALUE(P1255)=0,"",VLOOKUP(VLOOKUP(P1255,Tbl_Effect[],3,FALSE),EffectName[],IFERROR(MATCH(UI!$B$1,EffectName[#Headers],0),2),FALSE))</f>
        <v/>
      </c>
      <c r="R1255" t="str">
        <f t="shared" si="136"/>
        <v/>
      </c>
      <c r="S1255">
        <v>0</v>
      </c>
      <c r="T1255" t="str">
        <f>IF(VALUE(S1255)=0,"",VLOOKUP(VLOOKUP(S1255,Tbl_Effect[],3,FALSE),EffectName[],IFERROR(MATCH(UI!$B$1,EffectName[#Headers],0),2),FALSE))</f>
        <v/>
      </c>
      <c r="U1255" t="str">
        <f t="shared" si="137"/>
        <v/>
      </c>
      <c r="V1255">
        <v>0</v>
      </c>
      <c r="W1255" t="str">
        <f>IF(V1255&lt;&gt;0,VLOOKUP(VLOOKUP(V1255,Tbl_Effect[],3,FALSE),EffectName[],IFERROR(MATCH(UI!$B$1,EffectName[#Headers],0),2),FALSE),"")</f>
        <v/>
      </c>
      <c r="X1255" t="str">
        <f t="shared" si="138"/>
        <v/>
      </c>
      <c r="Y1255">
        <v>0</v>
      </c>
      <c r="Z1255" t="str">
        <f>IF(Y1255&lt;&gt;0,VLOOKUP(VLOOKUP(Y1255,Tbl_Effect[],3,FALSE),EffectName[],IFERROR(MATCH(UI!$B$1,EffectName[#Headers],0),2),FALSE),"")</f>
        <v/>
      </c>
      <c r="AA1255" t="str">
        <f t="shared" si="139"/>
        <v/>
      </c>
      <c r="AB1255">
        <v>0</v>
      </c>
      <c r="AC1255" t="str">
        <f>IF(AB1255&lt;&gt;0,VLOOKUP(VLOOKUP(AB1255,Tbl_Effect[],3,FALSE),EffectName[],IFERROR(MATCH(UI!$B$1,EffectName[#Headers],0),2),FALSE),"")</f>
        <v/>
      </c>
    </row>
    <row r="1256" spans="8:29" x14ac:dyDescent="0.4">
      <c r="H1256" t="str">
        <f t="shared" si="133"/>
        <v>7121600-Unset (紅)</v>
      </c>
      <c r="I1256">
        <v>7121600</v>
      </c>
      <c r="J1256" t="str">
        <f>_xlfn.IFNA(IF(I1256&lt;&gt;0,VLOOKUP(VLOOKUP(I1256,Tbl_Equip[],2,FALSE),Tbl_Color[],IFERROR(MATCH(UI!$B$1,Tbl_Color[#Headers],0),2),FALSE),""),"Unset")</f>
        <v>紅</v>
      </c>
      <c r="K1256" t="str">
        <f>_xlfn.IFNA(IF(I1256&lt;&gt;0,VLOOKUP(I1256,ItemText[],IFERROR(MATCH(UI!$B$1,ItemText[#Headers],0),2),FALSE),""),"Unset")</f>
        <v>Unset</v>
      </c>
      <c r="L1256" t="str">
        <f t="shared" si="134"/>
        <v/>
      </c>
      <c r="M1256">
        <v>0</v>
      </c>
      <c r="N1256" t="str">
        <f>IF(VALUE(M1256)=0,"",VLOOKUP(VLOOKUP(M1256,Tbl_Effect[],3,FALSE),EffectName[],IFERROR(MATCH(UI!$B$1,EffectName[#Headers],0),2),FALSE))</f>
        <v/>
      </c>
      <c r="O1256" t="str">
        <f t="shared" si="135"/>
        <v/>
      </c>
      <c r="P1256">
        <v>0</v>
      </c>
      <c r="Q1256" t="str">
        <f>IF(VALUE(P1256)=0,"",VLOOKUP(VLOOKUP(P1256,Tbl_Effect[],3,FALSE),EffectName[],IFERROR(MATCH(UI!$B$1,EffectName[#Headers],0),2),FALSE))</f>
        <v/>
      </c>
      <c r="R1256" t="str">
        <f t="shared" si="136"/>
        <v/>
      </c>
      <c r="S1256">
        <v>0</v>
      </c>
      <c r="T1256" t="str">
        <f>IF(VALUE(S1256)=0,"",VLOOKUP(VLOOKUP(S1256,Tbl_Effect[],3,FALSE),EffectName[],IFERROR(MATCH(UI!$B$1,EffectName[#Headers],0),2),FALSE))</f>
        <v/>
      </c>
      <c r="U1256" t="str">
        <f t="shared" si="137"/>
        <v/>
      </c>
      <c r="V1256">
        <v>0</v>
      </c>
      <c r="W1256" t="str">
        <f>IF(V1256&lt;&gt;0,VLOOKUP(VLOOKUP(V1256,Tbl_Effect[],3,FALSE),EffectName[],IFERROR(MATCH(UI!$B$1,EffectName[#Headers],0),2),FALSE),"")</f>
        <v/>
      </c>
      <c r="X1256" t="str">
        <f t="shared" si="138"/>
        <v/>
      </c>
      <c r="Y1256">
        <v>0</v>
      </c>
      <c r="Z1256" t="str">
        <f>IF(Y1256&lt;&gt;0,VLOOKUP(VLOOKUP(Y1256,Tbl_Effect[],3,FALSE),EffectName[],IFERROR(MATCH(UI!$B$1,EffectName[#Headers],0),2),FALSE),"")</f>
        <v/>
      </c>
      <c r="AA1256" t="str">
        <f t="shared" si="139"/>
        <v/>
      </c>
      <c r="AB1256">
        <v>0</v>
      </c>
      <c r="AC1256" t="str">
        <f>IF(AB1256&lt;&gt;0,VLOOKUP(VLOOKUP(AB1256,Tbl_Effect[],3,FALSE),EffectName[],IFERROR(MATCH(UI!$B$1,EffectName[#Headers],0),2),FALSE),"")</f>
        <v/>
      </c>
    </row>
    <row r="1257" spans="8:29" x14ac:dyDescent="0.4">
      <c r="H1257" t="str">
        <f t="shared" si="133"/>
        <v>7121700-Unset (紅)</v>
      </c>
      <c r="I1257">
        <v>7121700</v>
      </c>
      <c r="J1257" t="str">
        <f>_xlfn.IFNA(IF(I1257&lt;&gt;0,VLOOKUP(VLOOKUP(I1257,Tbl_Equip[],2,FALSE),Tbl_Color[],IFERROR(MATCH(UI!$B$1,Tbl_Color[#Headers],0),2),FALSE),""),"Unset")</f>
        <v>紅</v>
      </c>
      <c r="K1257" t="str">
        <f>_xlfn.IFNA(IF(I1257&lt;&gt;0,VLOOKUP(I1257,ItemText[],IFERROR(MATCH(UI!$B$1,ItemText[#Headers],0),2),FALSE),""),"Unset")</f>
        <v>Unset</v>
      </c>
      <c r="L1257" t="str">
        <f t="shared" si="134"/>
        <v/>
      </c>
      <c r="M1257">
        <v>0</v>
      </c>
      <c r="N1257" t="str">
        <f>IF(VALUE(M1257)=0,"",VLOOKUP(VLOOKUP(M1257,Tbl_Effect[],3,FALSE),EffectName[],IFERROR(MATCH(UI!$B$1,EffectName[#Headers],0),2),FALSE))</f>
        <v/>
      </c>
      <c r="O1257" t="str">
        <f t="shared" si="135"/>
        <v/>
      </c>
      <c r="P1257">
        <v>0</v>
      </c>
      <c r="Q1257" t="str">
        <f>IF(VALUE(P1257)=0,"",VLOOKUP(VLOOKUP(P1257,Tbl_Effect[],3,FALSE),EffectName[],IFERROR(MATCH(UI!$B$1,EffectName[#Headers],0),2),FALSE))</f>
        <v/>
      </c>
      <c r="R1257" t="str">
        <f t="shared" si="136"/>
        <v/>
      </c>
      <c r="S1257">
        <v>0</v>
      </c>
      <c r="T1257" t="str">
        <f>IF(VALUE(S1257)=0,"",VLOOKUP(VLOOKUP(S1257,Tbl_Effect[],3,FALSE),EffectName[],IFERROR(MATCH(UI!$B$1,EffectName[#Headers],0),2),FALSE))</f>
        <v/>
      </c>
      <c r="U1257" t="str">
        <f t="shared" si="137"/>
        <v/>
      </c>
      <c r="V1257">
        <v>0</v>
      </c>
      <c r="W1257" t="str">
        <f>IF(V1257&lt;&gt;0,VLOOKUP(VLOOKUP(V1257,Tbl_Effect[],3,FALSE),EffectName[],IFERROR(MATCH(UI!$B$1,EffectName[#Headers],0),2),FALSE),"")</f>
        <v/>
      </c>
      <c r="X1257" t="str">
        <f t="shared" si="138"/>
        <v/>
      </c>
      <c r="Y1257">
        <v>0</v>
      </c>
      <c r="Z1257" t="str">
        <f>IF(Y1257&lt;&gt;0,VLOOKUP(VLOOKUP(Y1257,Tbl_Effect[],3,FALSE),EffectName[],IFERROR(MATCH(UI!$B$1,EffectName[#Headers],0),2),FALSE),"")</f>
        <v/>
      </c>
      <c r="AA1257" t="str">
        <f t="shared" si="139"/>
        <v/>
      </c>
      <c r="AB1257">
        <v>0</v>
      </c>
      <c r="AC1257" t="str">
        <f>IF(AB1257&lt;&gt;0,VLOOKUP(VLOOKUP(AB1257,Tbl_Effect[],3,FALSE),EffectName[],IFERROR(MATCH(UI!$B$1,EffectName[#Headers],0),2),FALSE),"")</f>
        <v/>
      </c>
    </row>
    <row r="1258" spans="8:29" x14ac:dyDescent="0.4">
      <c r="H1258" t="str">
        <f t="shared" si="133"/>
        <v>7121800-Unset (紅)</v>
      </c>
      <c r="I1258">
        <v>7121800</v>
      </c>
      <c r="J1258" t="str">
        <f>_xlfn.IFNA(IF(I1258&lt;&gt;0,VLOOKUP(VLOOKUP(I1258,Tbl_Equip[],2,FALSE),Tbl_Color[],IFERROR(MATCH(UI!$B$1,Tbl_Color[#Headers],0),2),FALSE),""),"Unset")</f>
        <v>紅</v>
      </c>
      <c r="K1258" t="str">
        <f>_xlfn.IFNA(IF(I1258&lt;&gt;0,VLOOKUP(I1258,ItemText[],IFERROR(MATCH(UI!$B$1,ItemText[#Headers],0),2),FALSE),""),"Unset")</f>
        <v>Unset</v>
      </c>
      <c r="L1258" t="str">
        <f t="shared" si="134"/>
        <v/>
      </c>
      <c r="M1258">
        <v>0</v>
      </c>
      <c r="N1258" t="str">
        <f>IF(VALUE(M1258)=0,"",VLOOKUP(VLOOKUP(M1258,Tbl_Effect[],3,FALSE),EffectName[],IFERROR(MATCH(UI!$B$1,EffectName[#Headers],0),2),FALSE))</f>
        <v/>
      </c>
      <c r="O1258" t="str">
        <f t="shared" si="135"/>
        <v/>
      </c>
      <c r="P1258">
        <v>0</v>
      </c>
      <c r="Q1258" t="str">
        <f>IF(VALUE(P1258)=0,"",VLOOKUP(VLOOKUP(P1258,Tbl_Effect[],3,FALSE),EffectName[],IFERROR(MATCH(UI!$B$1,EffectName[#Headers],0),2),FALSE))</f>
        <v/>
      </c>
      <c r="R1258" t="str">
        <f t="shared" si="136"/>
        <v/>
      </c>
      <c r="S1258">
        <v>0</v>
      </c>
      <c r="T1258" t="str">
        <f>IF(VALUE(S1258)=0,"",VLOOKUP(VLOOKUP(S1258,Tbl_Effect[],3,FALSE),EffectName[],IFERROR(MATCH(UI!$B$1,EffectName[#Headers],0),2),FALSE))</f>
        <v/>
      </c>
      <c r="U1258" t="str">
        <f t="shared" si="137"/>
        <v/>
      </c>
      <c r="V1258">
        <v>0</v>
      </c>
      <c r="W1258" t="str">
        <f>IF(V1258&lt;&gt;0,VLOOKUP(VLOOKUP(V1258,Tbl_Effect[],3,FALSE),EffectName[],IFERROR(MATCH(UI!$B$1,EffectName[#Headers],0),2),FALSE),"")</f>
        <v/>
      </c>
      <c r="X1258" t="str">
        <f t="shared" si="138"/>
        <v/>
      </c>
      <c r="Y1258">
        <v>0</v>
      </c>
      <c r="Z1258" t="str">
        <f>IF(Y1258&lt;&gt;0,VLOOKUP(VLOOKUP(Y1258,Tbl_Effect[],3,FALSE),EffectName[],IFERROR(MATCH(UI!$B$1,EffectName[#Headers],0),2),FALSE),"")</f>
        <v/>
      </c>
      <c r="AA1258" t="str">
        <f t="shared" si="139"/>
        <v/>
      </c>
      <c r="AB1258">
        <v>0</v>
      </c>
      <c r="AC1258" t="str">
        <f>IF(AB1258&lt;&gt;0,VLOOKUP(VLOOKUP(AB1258,Tbl_Effect[],3,FALSE),EffectName[],IFERROR(MATCH(UI!$B$1,EffectName[#Headers],0),2),FALSE),"")</f>
        <v/>
      </c>
    </row>
    <row r="1259" spans="8:29" x14ac:dyDescent="0.4">
      <c r="H1259" t="str">
        <f t="shared" si="133"/>
        <v>7121900-Unset (紅)</v>
      </c>
      <c r="I1259">
        <v>7121900</v>
      </c>
      <c r="J1259" t="str">
        <f>_xlfn.IFNA(IF(I1259&lt;&gt;0,VLOOKUP(VLOOKUP(I1259,Tbl_Equip[],2,FALSE),Tbl_Color[],IFERROR(MATCH(UI!$B$1,Tbl_Color[#Headers],0),2),FALSE),""),"Unset")</f>
        <v>紅</v>
      </c>
      <c r="K1259" t="str">
        <f>_xlfn.IFNA(IF(I1259&lt;&gt;0,VLOOKUP(I1259,ItemText[],IFERROR(MATCH(UI!$B$1,ItemText[#Headers],0),2),FALSE),""),"Unset")</f>
        <v>Unset</v>
      </c>
      <c r="L1259" t="str">
        <f t="shared" si="134"/>
        <v/>
      </c>
      <c r="M1259">
        <v>0</v>
      </c>
      <c r="N1259" t="str">
        <f>IF(VALUE(M1259)=0,"",VLOOKUP(VLOOKUP(M1259,Tbl_Effect[],3,FALSE),EffectName[],IFERROR(MATCH(UI!$B$1,EffectName[#Headers],0),2),FALSE))</f>
        <v/>
      </c>
      <c r="O1259" t="str">
        <f t="shared" si="135"/>
        <v/>
      </c>
      <c r="P1259">
        <v>0</v>
      </c>
      <c r="Q1259" t="str">
        <f>IF(VALUE(P1259)=0,"",VLOOKUP(VLOOKUP(P1259,Tbl_Effect[],3,FALSE),EffectName[],IFERROR(MATCH(UI!$B$1,EffectName[#Headers],0),2),FALSE))</f>
        <v/>
      </c>
      <c r="R1259" t="str">
        <f t="shared" si="136"/>
        <v/>
      </c>
      <c r="S1259">
        <v>0</v>
      </c>
      <c r="T1259" t="str">
        <f>IF(VALUE(S1259)=0,"",VLOOKUP(VLOOKUP(S1259,Tbl_Effect[],3,FALSE),EffectName[],IFERROR(MATCH(UI!$B$1,EffectName[#Headers],0),2),FALSE))</f>
        <v/>
      </c>
      <c r="U1259" t="str">
        <f t="shared" si="137"/>
        <v/>
      </c>
      <c r="V1259">
        <v>0</v>
      </c>
      <c r="W1259" t="str">
        <f>IF(V1259&lt;&gt;0,VLOOKUP(VLOOKUP(V1259,Tbl_Effect[],3,FALSE),EffectName[],IFERROR(MATCH(UI!$B$1,EffectName[#Headers],0),2),FALSE),"")</f>
        <v/>
      </c>
      <c r="X1259" t="str">
        <f t="shared" si="138"/>
        <v/>
      </c>
      <c r="Y1259">
        <v>0</v>
      </c>
      <c r="Z1259" t="str">
        <f>IF(Y1259&lt;&gt;0,VLOOKUP(VLOOKUP(Y1259,Tbl_Effect[],3,FALSE),EffectName[],IFERROR(MATCH(UI!$B$1,EffectName[#Headers],0),2),FALSE),"")</f>
        <v/>
      </c>
      <c r="AA1259" t="str">
        <f t="shared" si="139"/>
        <v/>
      </c>
      <c r="AB1259">
        <v>0</v>
      </c>
      <c r="AC1259" t="str">
        <f>IF(AB1259&lt;&gt;0,VLOOKUP(VLOOKUP(AB1259,Tbl_Effect[],3,FALSE),EffectName[],IFERROR(MATCH(UI!$B$1,EffectName[#Headers],0),2),FALSE),"")</f>
        <v/>
      </c>
    </row>
    <row r="1260" spans="8:29" x14ac:dyDescent="0.4">
      <c r="H1260" t="str">
        <f t="shared" si="133"/>
        <v>7122000-Unset (紅)</v>
      </c>
      <c r="I1260">
        <v>7122000</v>
      </c>
      <c r="J1260" t="str">
        <f>_xlfn.IFNA(IF(I1260&lt;&gt;0,VLOOKUP(VLOOKUP(I1260,Tbl_Equip[],2,FALSE),Tbl_Color[],IFERROR(MATCH(UI!$B$1,Tbl_Color[#Headers],0),2),FALSE),""),"Unset")</f>
        <v>紅</v>
      </c>
      <c r="K1260" t="str">
        <f>_xlfn.IFNA(IF(I1260&lt;&gt;0,VLOOKUP(I1260,ItemText[],IFERROR(MATCH(UI!$B$1,ItemText[#Headers],0),2),FALSE),""),"Unset")</f>
        <v>Unset</v>
      </c>
      <c r="L1260" t="str">
        <f t="shared" si="134"/>
        <v/>
      </c>
      <c r="M1260">
        <v>0</v>
      </c>
      <c r="N1260" t="str">
        <f>IF(VALUE(M1260)=0,"",VLOOKUP(VLOOKUP(M1260,Tbl_Effect[],3,FALSE),EffectName[],IFERROR(MATCH(UI!$B$1,EffectName[#Headers],0),2),FALSE))</f>
        <v/>
      </c>
      <c r="O1260" t="str">
        <f t="shared" si="135"/>
        <v/>
      </c>
      <c r="P1260">
        <v>0</v>
      </c>
      <c r="Q1260" t="str">
        <f>IF(VALUE(P1260)=0,"",VLOOKUP(VLOOKUP(P1260,Tbl_Effect[],3,FALSE),EffectName[],IFERROR(MATCH(UI!$B$1,EffectName[#Headers],0),2),FALSE))</f>
        <v/>
      </c>
      <c r="R1260" t="str">
        <f t="shared" si="136"/>
        <v/>
      </c>
      <c r="S1260">
        <v>0</v>
      </c>
      <c r="T1260" t="str">
        <f>IF(VALUE(S1260)=0,"",VLOOKUP(VLOOKUP(S1260,Tbl_Effect[],3,FALSE),EffectName[],IFERROR(MATCH(UI!$B$1,EffectName[#Headers],0),2),FALSE))</f>
        <v/>
      </c>
      <c r="U1260" t="str">
        <f t="shared" si="137"/>
        <v/>
      </c>
      <c r="V1260">
        <v>0</v>
      </c>
      <c r="W1260" t="str">
        <f>IF(V1260&lt;&gt;0,VLOOKUP(VLOOKUP(V1260,Tbl_Effect[],3,FALSE),EffectName[],IFERROR(MATCH(UI!$B$1,EffectName[#Headers],0),2),FALSE),"")</f>
        <v/>
      </c>
      <c r="X1260" t="str">
        <f t="shared" si="138"/>
        <v/>
      </c>
      <c r="Y1260">
        <v>0</v>
      </c>
      <c r="Z1260" t="str">
        <f>IF(Y1260&lt;&gt;0,VLOOKUP(VLOOKUP(Y1260,Tbl_Effect[],3,FALSE),EffectName[],IFERROR(MATCH(UI!$B$1,EffectName[#Headers],0),2),FALSE),"")</f>
        <v/>
      </c>
      <c r="AA1260" t="str">
        <f t="shared" si="139"/>
        <v/>
      </c>
      <c r="AB1260">
        <v>0</v>
      </c>
      <c r="AC1260" t="str">
        <f>IF(AB1260&lt;&gt;0,VLOOKUP(VLOOKUP(AB1260,Tbl_Effect[],3,FALSE),EffectName[],IFERROR(MATCH(UI!$B$1,EffectName[#Headers],0),2),FALSE),"")</f>
        <v/>
      </c>
    </row>
    <row r="1261" spans="8:29" x14ac:dyDescent="0.4">
      <c r="H1261" t="str">
        <f t="shared" si="133"/>
        <v>7122100-Unset (紅)</v>
      </c>
      <c r="I1261">
        <v>7122100</v>
      </c>
      <c r="J1261" t="str">
        <f>_xlfn.IFNA(IF(I1261&lt;&gt;0,VLOOKUP(VLOOKUP(I1261,Tbl_Equip[],2,FALSE),Tbl_Color[],IFERROR(MATCH(UI!$B$1,Tbl_Color[#Headers],0),2),FALSE),""),"Unset")</f>
        <v>紅</v>
      </c>
      <c r="K1261" t="str">
        <f>_xlfn.IFNA(IF(I1261&lt;&gt;0,VLOOKUP(I1261,ItemText[],IFERROR(MATCH(UI!$B$1,ItemText[#Headers],0),2),FALSE),""),"Unset")</f>
        <v>Unset</v>
      </c>
      <c r="L1261" t="str">
        <f t="shared" si="134"/>
        <v/>
      </c>
      <c r="M1261">
        <v>0</v>
      </c>
      <c r="N1261" t="str">
        <f>IF(VALUE(M1261)=0,"",VLOOKUP(VLOOKUP(M1261,Tbl_Effect[],3,FALSE),EffectName[],IFERROR(MATCH(UI!$B$1,EffectName[#Headers],0),2),FALSE))</f>
        <v/>
      </c>
      <c r="O1261" t="str">
        <f t="shared" si="135"/>
        <v/>
      </c>
      <c r="P1261">
        <v>0</v>
      </c>
      <c r="Q1261" t="str">
        <f>IF(VALUE(P1261)=0,"",VLOOKUP(VLOOKUP(P1261,Tbl_Effect[],3,FALSE),EffectName[],IFERROR(MATCH(UI!$B$1,EffectName[#Headers],0),2),FALSE))</f>
        <v/>
      </c>
      <c r="R1261" t="str">
        <f t="shared" si="136"/>
        <v/>
      </c>
      <c r="S1261">
        <v>0</v>
      </c>
      <c r="T1261" t="str">
        <f>IF(VALUE(S1261)=0,"",VLOOKUP(VLOOKUP(S1261,Tbl_Effect[],3,FALSE),EffectName[],IFERROR(MATCH(UI!$B$1,EffectName[#Headers],0),2),FALSE))</f>
        <v/>
      </c>
      <c r="U1261" t="str">
        <f t="shared" si="137"/>
        <v/>
      </c>
      <c r="V1261">
        <v>0</v>
      </c>
      <c r="W1261" t="str">
        <f>IF(V1261&lt;&gt;0,VLOOKUP(VLOOKUP(V1261,Tbl_Effect[],3,FALSE),EffectName[],IFERROR(MATCH(UI!$B$1,EffectName[#Headers],0),2),FALSE),"")</f>
        <v/>
      </c>
      <c r="X1261" t="str">
        <f t="shared" si="138"/>
        <v/>
      </c>
      <c r="Y1261">
        <v>0</v>
      </c>
      <c r="Z1261" t="str">
        <f>IF(Y1261&lt;&gt;0,VLOOKUP(VLOOKUP(Y1261,Tbl_Effect[],3,FALSE),EffectName[],IFERROR(MATCH(UI!$B$1,EffectName[#Headers],0),2),FALSE),"")</f>
        <v/>
      </c>
      <c r="AA1261" t="str">
        <f t="shared" si="139"/>
        <v/>
      </c>
      <c r="AB1261">
        <v>0</v>
      </c>
      <c r="AC1261" t="str">
        <f>IF(AB1261&lt;&gt;0,VLOOKUP(VLOOKUP(AB1261,Tbl_Effect[],3,FALSE),EffectName[],IFERROR(MATCH(UI!$B$1,EffectName[#Headers],0),2),FALSE),"")</f>
        <v/>
      </c>
    </row>
    <row r="1262" spans="8:29" x14ac:dyDescent="0.4">
      <c r="H1262" t="str">
        <f t="shared" si="133"/>
        <v>7122200-Unset (紅)</v>
      </c>
      <c r="I1262">
        <v>7122200</v>
      </c>
      <c r="J1262" t="str">
        <f>_xlfn.IFNA(IF(I1262&lt;&gt;0,VLOOKUP(VLOOKUP(I1262,Tbl_Equip[],2,FALSE),Tbl_Color[],IFERROR(MATCH(UI!$B$1,Tbl_Color[#Headers],0),2),FALSE),""),"Unset")</f>
        <v>紅</v>
      </c>
      <c r="K1262" t="str">
        <f>_xlfn.IFNA(IF(I1262&lt;&gt;0,VLOOKUP(I1262,ItemText[],IFERROR(MATCH(UI!$B$1,ItemText[#Headers],0),2),FALSE),""),"Unset")</f>
        <v>Unset</v>
      </c>
      <c r="L1262" t="str">
        <f t="shared" si="134"/>
        <v/>
      </c>
      <c r="M1262">
        <v>0</v>
      </c>
      <c r="N1262" t="str">
        <f>IF(VALUE(M1262)=0,"",VLOOKUP(VLOOKUP(M1262,Tbl_Effect[],3,FALSE),EffectName[],IFERROR(MATCH(UI!$B$1,EffectName[#Headers],0),2),FALSE))</f>
        <v/>
      </c>
      <c r="O1262" t="str">
        <f t="shared" si="135"/>
        <v/>
      </c>
      <c r="P1262">
        <v>0</v>
      </c>
      <c r="Q1262" t="str">
        <f>IF(VALUE(P1262)=0,"",VLOOKUP(VLOOKUP(P1262,Tbl_Effect[],3,FALSE),EffectName[],IFERROR(MATCH(UI!$B$1,EffectName[#Headers],0),2),FALSE))</f>
        <v/>
      </c>
      <c r="R1262" t="str">
        <f t="shared" si="136"/>
        <v/>
      </c>
      <c r="S1262">
        <v>0</v>
      </c>
      <c r="T1262" t="str">
        <f>IF(VALUE(S1262)=0,"",VLOOKUP(VLOOKUP(S1262,Tbl_Effect[],3,FALSE),EffectName[],IFERROR(MATCH(UI!$B$1,EffectName[#Headers],0),2),FALSE))</f>
        <v/>
      </c>
      <c r="U1262" t="str">
        <f t="shared" si="137"/>
        <v/>
      </c>
      <c r="V1262">
        <v>0</v>
      </c>
      <c r="W1262" t="str">
        <f>IF(V1262&lt;&gt;0,VLOOKUP(VLOOKUP(V1262,Tbl_Effect[],3,FALSE),EffectName[],IFERROR(MATCH(UI!$B$1,EffectName[#Headers],0),2),FALSE),"")</f>
        <v/>
      </c>
      <c r="X1262" t="str">
        <f t="shared" si="138"/>
        <v/>
      </c>
      <c r="Y1262">
        <v>0</v>
      </c>
      <c r="Z1262" t="str">
        <f>IF(Y1262&lt;&gt;0,VLOOKUP(VLOOKUP(Y1262,Tbl_Effect[],3,FALSE),EffectName[],IFERROR(MATCH(UI!$B$1,EffectName[#Headers],0),2),FALSE),"")</f>
        <v/>
      </c>
      <c r="AA1262" t="str">
        <f t="shared" si="139"/>
        <v/>
      </c>
      <c r="AB1262">
        <v>0</v>
      </c>
      <c r="AC1262" t="str">
        <f>IF(AB1262&lt;&gt;0,VLOOKUP(VLOOKUP(AB1262,Tbl_Effect[],3,FALSE),EffectName[],IFERROR(MATCH(UI!$B$1,EffectName[#Headers],0),2),FALSE),"")</f>
        <v/>
      </c>
    </row>
    <row r="1263" spans="8:29" x14ac:dyDescent="0.4">
      <c r="H1263" t="str">
        <f t="shared" si="133"/>
        <v>7122300-Unset (紅)</v>
      </c>
      <c r="I1263">
        <v>7122300</v>
      </c>
      <c r="J1263" t="str">
        <f>_xlfn.IFNA(IF(I1263&lt;&gt;0,VLOOKUP(VLOOKUP(I1263,Tbl_Equip[],2,FALSE),Tbl_Color[],IFERROR(MATCH(UI!$B$1,Tbl_Color[#Headers],0),2),FALSE),""),"Unset")</f>
        <v>紅</v>
      </c>
      <c r="K1263" t="str">
        <f>_xlfn.IFNA(IF(I1263&lt;&gt;0,VLOOKUP(I1263,ItemText[],IFERROR(MATCH(UI!$B$1,ItemText[#Headers],0),2),FALSE),""),"Unset")</f>
        <v>Unset</v>
      </c>
      <c r="L1263" t="str">
        <f t="shared" si="134"/>
        <v/>
      </c>
      <c r="M1263">
        <v>0</v>
      </c>
      <c r="N1263" t="str">
        <f>IF(VALUE(M1263)=0,"",VLOOKUP(VLOOKUP(M1263,Tbl_Effect[],3,FALSE),EffectName[],IFERROR(MATCH(UI!$B$1,EffectName[#Headers],0),2),FALSE))</f>
        <v/>
      </c>
      <c r="O1263" t="str">
        <f t="shared" si="135"/>
        <v/>
      </c>
      <c r="P1263">
        <v>0</v>
      </c>
      <c r="Q1263" t="str">
        <f>IF(VALUE(P1263)=0,"",VLOOKUP(VLOOKUP(P1263,Tbl_Effect[],3,FALSE),EffectName[],IFERROR(MATCH(UI!$B$1,EffectName[#Headers],0),2),FALSE))</f>
        <v/>
      </c>
      <c r="R1263" t="str">
        <f t="shared" si="136"/>
        <v/>
      </c>
      <c r="S1263">
        <v>0</v>
      </c>
      <c r="T1263" t="str">
        <f>IF(VALUE(S1263)=0,"",VLOOKUP(VLOOKUP(S1263,Tbl_Effect[],3,FALSE),EffectName[],IFERROR(MATCH(UI!$B$1,EffectName[#Headers],0),2),FALSE))</f>
        <v/>
      </c>
      <c r="U1263" t="str">
        <f t="shared" si="137"/>
        <v/>
      </c>
      <c r="V1263">
        <v>0</v>
      </c>
      <c r="W1263" t="str">
        <f>IF(V1263&lt;&gt;0,VLOOKUP(VLOOKUP(V1263,Tbl_Effect[],3,FALSE),EffectName[],IFERROR(MATCH(UI!$B$1,EffectName[#Headers],0),2),FALSE),"")</f>
        <v/>
      </c>
      <c r="X1263" t="str">
        <f t="shared" si="138"/>
        <v/>
      </c>
      <c r="Y1263">
        <v>0</v>
      </c>
      <c r="Z1263" t="str">
        <f>IF(Y1263&lt;&gt;0,VLOOKUP(VLOOKUP(Y1263,Tbl_Effect[],3,FALSE),EffectName[],IFERROR(MATCH(UI!$B$1,EffectName[#Headers],0),2),FALSE),"")</f>
        <v/>
      </c>
      <c r="AA1263" t="str">
        <f t="shared" si="139"/>
        <v/>
      </c>
      <c r="AB1263">
        <v>0</v>
      </c>
      <c r="AC1263" t="str">
        <f>IF(AB1263&lt;&gt;0,VLOOKUP(VLOOKUP(AB1263,Tbl_Effect[],3,FALSE),EffectName[],IFERROR(MATCH(UI!$B$1,EffectName[#Headers],0),2),FALSE),"")</f>
        <v/>
      </c>
    </row>
    <row r="1264" spans="8:29" x14ac:dyDescent="0.4">
      <c r="H1264" t="str">
        <f t="shared" si="133"/>
        <v>7122400-Unset (紅)</v>
      </c>
      <c r="I1264">
        <v>7122400</v>
      </c>
      <c r="J1264" t="str">
        <f>_xlfn.IFNA(IF(I1264&lt;&gt;0,VLOOKUP(VLOOKUP(I1264,Tbl_Equip[],2,FALSE),Tbl_Color[],IFERROR(MATCH(UI!$B$1,Tbl_Color[#Headers],0),2),FALSE),""),"Unset")</f>
        <v>紅</v>
      </c>
      <c r="K1264" t="str">
        <f>_xlfn.IFNA(IF(I1264&lt;&gt;0,VLOOKUP(I1264,ItemText[],IFERROR(MATCH(UI!$B$1,ItemText[#Headers],0),2),FALSE),""),"Unset")</f>
        <v>Unset</v>
      </c>
      <c r="L1264" t="str">
        <f t="shared" si="134"/>
        <v/>
      </c>
      <c r="M1264">
        <v>0</v>
      </c>
      <c r="N1264" t="str">
        <f>IF(VALUE(M1264)=0,"",VLOOKUP(VLOOKUP(M1264,Tbl_Effect[],3,FALSE),EffectName[],IFERROR(MATCH(UI!$B$1,EffectName[#Headers],0),2),FALSE))</f>
        <v/>
      </c>
      <c r="O1264" t="str">
        <f t="shared" si="135"/>
        <v/>
      </c>
      <c r="P1264">
        <v>0</v>
      </c>
      <c r="Q1264" t="str">
        <f>IF(VALUE(P1264)=0,"",VLOOKUP(VLOOKUP(P1264,Tbl_Effect[],3,FALSE),EffectName[],IFERROR(MATCH(UI!$B$1,EffectName[#Headers],0),2),FALSE))</f>
        <v/>
      </c>
      <c r="R1264" t="str">
        <f t="shared" si="136"/>
        <v/>
      </c>
      <c r="S1264">
        <v>0</v>
      </c>
      <c r="T1264" t="str">
        <f>IF(VALUE(S1264)=0,"",VLOOKUP(VLOOKUP(S1264,Tbl_Effect[],3,FALSE),EffectName[],IFERROR(MATCH(UI!$B$1,EffectName[#Headers],0),2),FALSE))</f>
        <v/>
      </c>
      <c r="U1264" t="str">
        <f t="shared" si="137"/>
        <v/>
      </c>
      <c r="V1264">
        <v>0</v>
      </c>
      <c r="W1264" t="str">
        <f>IF(V1264&lt;&gt;0,VLOOKUP(VLOOKUP(V1264,Tbl_Effect[],3,FALSE),EffectName[],IFERROR(MATCH(UI!$B$1,EffectName[#Headers],0),2),FALSE),"")</f>
        <v/>
      </c>
      <c r="X1264" t="str">
        <f t="shared" si="138"/>
        <v/>
      </c>
      <c r="Y1264">
        <v>0</v>
      </c>
      <c r="Z1264" t="str">
        <f>IF(Y1264&lt;&gt;0,VLOOKUP(VLOOKUP(Y1264,Tbl_Effect[],3,FALSE),EffectName[],IFERROR(MATCH(UI!$B$1,EffectName[#Headers],0),2),FALSE),"")</f>
        <v/>
      </c>
      <c r="AA1264" t="str">
        <f t="shared" si="139"/>
        <v/>
      </c>
      <c r="AB1264">
        <v>0</v>
      </c>
      <c r="AC1264" t="str">
        <f>IF(AB1264&lt;&gt;0,VLOOKUP(VLOOKUP(AB1264,Tbl_Effect[],3,FALSE),EffectName[],IFERROR(MATCH(UI!$B$1,EffectName[#Headers],0),2),FALSE),"")</f>
        <v/>
      </c>
    </row>
    <row r="1265" spans="8:29" x14ac:dyDescent="0.4">
      <c r="H1265" t="str">
        <f t="shared" si="133"/>
        <v>7122500-Unset (紅)</v>
      </c>
      <c r="I1265">
        <v>7122500</v>
      </c>
      <c r="J1265" t="str">
        <f>_xlfn.IFNA(IF(I1265&lt;&gt;0,VLOOKUP(VLOOKUP(I1265,Tbl_Equip[],2,FALSE),Tbl_Color[],IFERROR(MATCH(UI!$B$1,Tbl_Color[#Headers],0),2),FALSE),""),"Unset")</f>
        <v>紅</v>
      </c>
      <c r="K1265" t="str">
        <f>_xlfn.IFNA(IF(I1265&lt;&gt;0,VLOOKUP(I1265,ItemText[],IFERROR(MATCH(UI!$B$1,ItemText[#Headers],0),2),FALSE),""),"Unset")</f>
        <v>Unset</v>
      </c>
      <c r="L1265" t="str">
        <f t="shared" si="134"/>
        <v/>
      </c>
      <c r="M1265">
        <v>0</v>
      </c>
      <c r="N1265" t="str">
        <f>IF(VALUE(M1265)=0,"",VLOOKUP(VLOOKUP(M1265,Tbl_Effect[],3,FALSE),EffectName[],IFERROR(MATCH(UI!$B$1,EffectName[#Headers],0),2),FALSE))</f>
        <v/>
      </c>
      <c r="O1265" t="str">
        <f t="shared" si="135"/>
        <v/>
      </c>
      <c r="P1265">
        <v>0</v>
      </c>
      <c r="Q1265" t="str">
        <f>IF(VALUE(P1265)=0,"",VLOOKUP(VLOOKUP(P1265,Tbl_Effect[],3,FALSE),EffectName[],IFERROR(MATCH(UI!$B$1,EffectName[#Headers],0),2),FALSE))</f>
        <v/>
      </c>
      <c r="R1265" t="str">
        <f t="shared" si="136"/>
        <v/>
      </c>
      <c r="S1265">
        <v>0</v>
      </c>
      <c r="T1265" t="str">
        <f>IF(VALUE(S1265)=0,"",VLOOKUP(VLOOKUP(S1265,Tbl_Effect[],3,FALSE),EffectName[],IFERROR(MATCH(UI!$B$1,EffectName[#Headers],0),2),FALSE))</f>
        <v/>
      </c>
      <c r="U1265" t="str">
        <f t="shared" si="137"/>
        <v/>
      </c>
      <c r="V1265">
        <v>0</v>
      </c>
      <c r="W1265" t="str">
        <f>IF(V1265&lt;&gt;0,VLOOKUP(VLOOKUP(V1265,Tbl_Effect[],3,FALSE),EffectName[],IFERROR(MATCH(UI!$B$1,EffectName[#Headers],0),2),FALSE),"")</f>
        <v/>
      </c>
      <c r="X1265" t="str">
        <f t="shared" si="138"/>
        <v/>
      </c>
      <c r="Y1265">
        <v>0</v>
      </c>
      <c r="Z1265" t="str">
        <f>IF(Y1265&lt;&gt;0,VLOOKUP(VLOOKUP(Y1265,Tbl_Effect[],3,FALSE),EffectName[],IFERROR(MATCH(UI!$B$1,EffectName[#Headers],0),2),FALSE),"")</f>
        <v/>
      </c>
      <c r="AA1265" t="str">
        <f t="shared" si="139"/>
        <v/>
      </c>
      <c r="AB1265">
        <v>0</v>
      </c>
      <c r="AC1265" t="str">
        <f>IF(AB1265&lt;&gt;0,VLOOKUP(VLOOKUP(AB1265,Tbl_Effect[],3,FALSE),EffectName[],IFERROR(MATCH(UI!$B$1,EffectName[#Headers],0),2),FALSE),"")</f>
        <v/>
      </c>
    </row>
    <row r="1266" spans="8:29" x14ac:dyDescent="0.4">
      <c r="H1266" t="str">
        <f t="shared" si="133"/>
        <v>7122600-Unset (紅)</v>
      </c>
      <c r="I1266">
        <v>7122600</v>
      </c>
      <c r="J1266" t="str">
        <f>_xlfn.IFNA(IF(I1266&lt;&gt;0,VLOOKUP(VLOOKUP(I1266,Tbl_Equip[],2,FALSE),Tbl_Color[],IFERROR(MATCH(UI!$B$1,Tbl_Color[#Headers],0),2),FALSE),""),"Unset")</f>
        <v>紅</v>
      </c>
      <c r="K1266" t="str">
        <f>_xlfn.IFNA(IF(I1266&lt;&gt;0,VLOOKUP(I1266,ItemText[],IFERROR(MATCH(UI!$B$1,ItemText[#Headers],0),2),FALSE),""),"Unset")</f>
        <v>Unset</v>
      </c>
      <c r="L1266" t="str">
        <f t="shared" si="134"/>
        <v/>
      </c>
      <c r="M1266">
        <v>0</v>
      </c>
      <c r="N1266" t="str">
        <f>IF(VALUE(M1266)=0,"",VLOOKUP(VLOOKUP(M1266,Tbl_Effect[],3,FALSE),EffectName[],IFERROR(MATCH(UI!$B$1,EffectName[#Headers],0),2),FALSE))</f>
        <v/>
      </c>
      <c r="O1266" t="str">
        <f t="shared" si="135"/>
        <v/>
      </c>
      <c r="P1266">
        <v>0</v>
      </c>
      <c r="Q1266" t="str">
        <f>IF(VALUE(P1266)=0,"",VLOOKUP(VLOOKUP(P1266,Tbl_Effect[],3,FALSE),EffectName[],IFERROR(MATCH(UI!$B$1,EffectName[#Headers],0),2),FALSE))</f>
        <v/>
      </c>
      <c r="R1266" t="str">
        <f t="shared" si="136"/>
        <v/>
      </c>
      <c r="S1266">
        <v>0</v>
      </c>
      <c r="T1266" t="str">
        <f>IF(VALUE(S1266)=0,"",VLOOKUP(VLOOKUP(S1266,Tbl_Effect[],3,FALSE),EffectName[],IFERROR(MATCH(UI!$B$1,EffectName[#Headers],0),2),FALSE))</f>
        <v/>
      </c>
      <c r="U1266" t="str">
        <f t="shared" si="137"/>
        <v/>
      </c>
      <c r="V1266">
        <v>0</v>
      </c>
      <c r="W1266" t="str">
        <f>IF(V1266&lt;&gt;0,VLOOKUP(VLOOKUP(V1266,Tbl_Effect[],3,FALSE),EffectName[],IFERROR(MATCH(UI!$B$1,EffectName[#Headers],0),2),FALSE),"")</f>
        <v/>
      </c>
      <c r="X1266" t="str">
        <f t="shared" si="138"/>
        <v/>
      </c>
      <c r="Y1266">
        <v>0</v>
      </c>
      <c r="Z1266" t="str">
        <f>IF(Y1266&lt;&gt;0,VLOOKUP(VLOOKUP(Y1266,Tbl_Effect[],3,FALSE),EffectName[],IFERROR(MATCH(UI!$B$1,EffectName[#Headers],0),2),FALSE),"")</f>
        <v/>
      </c>
      <c r="AA1266" t="str">
        <f t="shared" si="139"/>
        <v/>
      </c>
      <c r="AB1266">
        <v>0</v>
      </c>
      <c r="AC1266" t="str">
        <f>IF(AB1266&lt;&gt;0,VLOOKUP(VLOOKUP(AB1266,Tbl_Effect[],3,FALSE),EffectName[],IFERROR(MATCH(UI!$B$1,EffectName[#Headers],0),2),FALSE),"")</f>
        <v/>
      </c>
    </row>
    <row r="1267" spans="8:29" x14ac:dyDescent="0.4">
      <c r="H1267" t="str">
        <f t="shared" si="133"/>
        <v>7122700-Unset (紅)</v>
      </c>
      <c r="I1267">
        <v>7122700</v>
      </c>
      <c r="J1267" t="str">
        <f>_xlfn.IFNA(IF(I1267&lt;&gt;0,VLOOKUP(VLOOKUP(I1267,Tbl_Equip[],2,FALSE),Tbl_Color[],IFERROR(MATCH(UI!$B$1,Tbl_Color[#Headers],0),2),FALSE),""),"Unset")</f>
        <v>紅</v>
      </c>
      <c r="K1267" t="str">
        <f>_xlfn.IFNA(IF(I1267&lt;&gt;0,VLOOKUP(I1267,ItemText[],IFERROR(MATCH(UI!$B$1,ItemText[#Headers],0),2),FALSE),""),"Unset")</f>
        <v>Unset</v>
      </c>
      <c r="L1267" t="str">
        <f t="shared" si="134"/>
        <v/>
      </c>
      <c r="M1267">
        <v>0</v>
      </c>
      <c r="N1267" t="str">
        <f>IF(VALUE(M1267)=0,"",VLOOKUP(VLOOKUP(M1267,Tbl_Effect[],3,FALSE),EffectName[],IFERROR(MATCH(UI!$B$1,EffectName[#Headers],0),2),FALSE))</f>
        <v/>
      </c>
      <c r="O1267" t="str">
        <f t="shared" si="135"/>
        <v/>
      </c>
      <c r="P1267">
        <v>0</v>
      </c>
      <c r="Q1267" t="str">
        <f>IF(VALUE(P1267)=0,"",VLOOKUP(VLOOKUP(P1267,Tbl_Effect[],3,FALSE),EffectName[],IFERROR(MATCH(UI!$B$1,EffectName[#Headers],0),2),FALSE))</f>
        <v/>
      </c>
      <c r="R1267" t="str">
        <f t="shared" si="136"/>
        <v/>
      </c>
      <c r="S1267">
        <v>0</v>
      </c>
      <c r="T1267" t="str">
        <f>IF(VALUE(S1267)=0,"",VLOOKUP(VLOOKUP(S1267,Tbl_Effect[],3,FALSE),EffectName[],IFERROR(MATCH(UI!$B$1,EffectName[#Headers],0),2),FALSE))</f>
        <v/>
      </c>
      <c r="U1267" t="str">
        <f t="shared" si="137"/>
        <v/>
      </c>
      <c r="V1267">
        <v>0</v>
      </c>
      <c r="W1267" t="str">
        <f>IF(V1267&lt;&gt;0,VLOOKUP(VLOOKUP(V1267,Tbl_Effect[],3,FALSE),EffectName[],IFERROR(MATCH(UI!$B$1,EffectName[#Headers],0),2),FALSE),"")</f>
        <v/>
      </c>
      <c r="X1267" t="str">
        <f t="shared" si="138"/>
        <v/>
      </c>
      <c r="Y1267">
        <v>0</v>
      </c>
      <c r="Z1267" t="str">
        <f>IF(Y1267&lt;&gt;0,VLOOKUP(VLOOKUP(Y1267,Tbl_Effect[],3,FALSE),EffectName[],IFERROR(MATCH(UI!$B$1,EffectName[#Headers],0),2),FALSE),"")</f>
        <v/>
      </c>
      <c r="AA1267" t="str">
        <f t="shared" si="139"/>
        <v/>
      </c>
      <c r="AB1267">
        <v>0</v>
      </c>
      <c r="AC1267" t="str">
        <f>IF(AB1267&lt;&gt;0,VLOOKUP(VLOOKUP(AB1267,Tbl_Effect[],3,FALSE),EffectName[],IFERROR(MATCH(UI!$B$1,EffectName[#Headers],0),2),FALSE),"")</f>
        <v/>
      </c>
    </row>
    <row r="1268" spans="8:29" x14ac:dyDescent="0.4">
      <c r="H1268" t="str">
        <f t="shared" si="133"/>
        <v>7122800-Unset (紅)</v>
      </c>
      <c r="I1268">
        <v>7122800</v>
      </c>
      <c r="J1268" t="str">
        <f>_xlfn.IFNA(IF(I1268&lt;&gt;0,VLOOKUP(VLOOKUP(I1268,Tbl_Equip[],2,FALSE),Tbl_Color[],IFERROR(MATCH(UI!$B$1,Tbl_Color[#Headers],0),2),FALSE),""),"Unset")</f>
        <v>紅</v>
      </c>
      <c r="K1268" t="str">
        <f>_xlfn.IFNA(IF(I1268&lt;&gt;0,VLOOKUP(I1268,ItemText[],IFERROR(MATCH(UI!$B$1,ItemText[#Headers],0),2),FALSE),""),"Unset")</f>
        <v>Unset</v>
      </c>
      <c r="L1268" t="str">
        <f t="shared" si="134"/>
        <v/>
      </c>
      <c r="M1268">
        <v>0</v>
      </c>
      <c r="N1268" t="str">
        <f>IF(VALUE(M1268)=0,"",VLOOKUP(VLOOKUP(M1268,Tbl_Effect[],3,FALSE),EffectName[],IFERROR(MATCH(UI!$B$1,EffectName[#Headers],0),2),FALSE))</f>
        <v/>
      </c>
      <c r="O1268" t="str">
        <f t="shared" si="135"/>
        <v/>
      </c>
      <c r="P1268">
        <v>0</v>
      </c>
      <c r="Q1268" t="str">
        <f>IF(VALUE(P1268)=0,"",VLOOKUP(VLOOKUP(P1268,Tbl_Effect[],3,FALSE),EffectName[],IFERROR(MATCH(UI!$B$1,EffectName[#Headers],0),2),FALSE))</f>
        <v/>
      </c>
      <c r="R1268" t="str">
        <f t="shared" si="136"/>
        <v/>
      </c>
      <c r="S1268">
        <v>0</v>
      </c>
      <c r="T1268" t="str">
        <f>IF(VALUE(S1268)=0,"",VLOOKUP(VLOOKUP(S1268,Tbl_Effect[],3,FALSE),EffectName[],IFERROR(MATCH(UI!$B$1,EffectName[#Headers],0),2),FALSE))</f>
        <v/>
      </c>
      <c r="U1268" t="str">
        <f t="shared" si="137"/>
        <v/>
      </c>
      <c r="V1268">
        <v>0</v>
      </c>
      <c r="W1268" t="str">
        <f>IF(V1268&lt;&gt;0,VLOOKUP(VLOOKUP(V1268,Tbl_Effect[],3,FALSE),EffectName[],IFERROR(MATCH(UI!$B$1,EffectName[#Headers],0),2),FALSE),"")</f>
        <v/>
      </c>
      <c r="X1268" t="str">
        <f t="shared" si="138"/>
        <v/>
      </c>
      <c r="Y1268">
        <v>0</v>
      </c>
      <c r="Z1268" t="str">
        <f>IF(Y1268&lt;&gt;0,VLOOKUP(VLOOKUP(Y1268,Tbl_Effect[],3,FALSE),EffectName[],IFERROR(MATCH(UI!$B$1,EffectName[#Headers],0),2),FALSE),"")</f>
        <v/>
      </c>
      <c r="AA1268" t="str">
        <f t="shared" si="139"/>
        <v/>
      </c>
      <c r="AB1268">
        <v>0</v>
      </c>
      <c r="AC1268" t="str">
        <f>IF(AB1268&lt;&gt;0,VLOOKUP(VLOOKUP(AB1268,Tbl_Effect[],3,FALSE),EffectName[],IFERROR(MATCH(UI!$B$1,EffectName[#Headers],0),2),FALSE),"")</f>
        <v/>
      </c>
    </row>
    <row r="1269" spans="8:29" x14ac:dyDescent="0.4">
      <c r="H1269" t="str">
        <f t="shared" si="133"/>
        <v>7122900-Unset (紅)</v>
      </c>
      <c r="I1269">
        <v>7122900</v>
      </c>
      <c r="J1269" t="str">
        <f>_xlfn.IFNA(IF(I1269&lt;&gt;0,VLOOKUP(VLOOKUP(I1269,Tbl_Equip[],2,FALSE),Tbl_Color[],IFERROR(MATCH(UI!$B$1,Tbl_Color[#Headers],0),2),FALSE),""),"Unset")</f>
        <v>紅</v>
      </c>
      <c r="K1269" t="str">
        <f>_xlfn.IFNA(IF(I1269&lt;&gt;0,VLOOKUP(I1269,ItemText[],IFERROR(MATCH(UI!$B$1,ItemText[#Headers],0),2),FALSE),""),"Unset")</f>
        <v>Unset</v>
      </c>
      <c r="L1269" t="str">
        <f t="shared" si="134"/>
        <v/>
      </c>
      <c r="M1269">
        <v>0</v>
      </c>
      <c r="N1269" t="str">
        <f>IF(VALUE(M1269)=0,"",VLOOKUP(VLOOKUP(M1269,Tbl_Effect[],3,FALSE),EffectName[],IFERROR(MATCH(UI!$B$1,EffectName[#Headers],0),2),FALSE))</f>
        <v/>
      </c>
      <c r="O1269" t="str">
        <f t="shared" si="135"/>
        <v/>
      </c>
      <c r="P1269">
        <v>0</v>
      </c>
      <c r="Q1269" t="str">
        <f>IF(VALUE(P1269)=0,"",VLOOKUP(VLOOKUP(P1269,Tbl_Effect[],3,FALSE),EffectName[],IFERROR(MATCH(UI!$B$1,EffectName[#Headers],0),2),FALSE))</f>
        <v/>
      </c>
      <c r="R1269" t="str">
        <f t="shared" si="136"/>
        <v/>
      </c>
      <c r="S1269">
        <v>0</v>
      </c>
      <c r="T1269" t="str">
        <f>IF(VALUE(S1269)=0,"",VLOOKUP(VLOOKUP(S1269,Tbl_Effect[],3,FALSE),EffectName[],IFERROR(MATCH(UI!$B$1,EffectName[#Headers],0),2),FALSE))</f>
        <v/>
      </c>
      <c r="U1269" t="str">
        <f t="shared" si="137"/>
        <v/>
      </c>
      <c r="V1269">
        <v>0</v>
      </c>
      <c r="W1269" t="str">
        <f>IF(V1269&lt;&gt;0,VLOOKUP(VLOOKUP(V1269,Tbl_Effect[],3,FALSE),EffectName[],IFERROR(MATCH(UI!$B$1,EffectName[#Headers],0),2),FALSE),"")</f>
        <v/>
      </c>
      <c r="X1269" t="str">
        <f t="shared" si="138"/>
        <v/>
      </c>
      <c r="Y1269">
        <v>0</v>
      </c>
      <c r="Z1269" t="str">
        <f>IF(Y1269&lt;&gt;0,VLOOKUP(VLOOKUP(Y1269,Tbl_Effect[],3,FALSE),EffectName[],IFERROR(MATCH(UI!$B$1,EffectName[#Headers],0),2),FALSE),"")</f>
        <v/>
      </c>
      <c r="AA1269" t="str">
        <f t="shared" si="139"/>
        <v/>
      </c>
      <c r="AB1269">
        <v>0</v>
      </c>
      <c r="AC1269" t="str">
        <f>IF(AB1269&lt;&gt;0,VLOOKUP(VLOOKUP(AB1269,Tbl_Effect[],3,FALSE),EffectName[],IFERROR(MATCH(UI!$B$1,EffectName[#Headers],0),2),FALSE),"")</f>
        <v/>
      </c>
    </row>
    <row r="1270" spans="8:29" x14ac:dyDescent="0.4">
      <c r="H1270" t="str">
        <f t="shared" si="133"/>
        <v>7123000-Unset (紅)</v>
      </c>
      <c r="I1270">
        <v>7123000</v>
      </c>
      <c r="J1270" t="str">
        <f>_xlfn.IFNA(IF(I1270&lt;&gt;0,VLOOKUP(VLOOKUP(I1270,Tbl_Equip[],2,FALSE),Tbl_Color[],IFERROR(MATCH(UI!$B$1,Tbl_Color[#Headers],0),2),FALSE),""),"Unset")</f>
        <v>紅</v>
      </c>
      <c r="K1270" t="str">
        <f>_xlfn.IFNA(IF(I1270&lt;&gt;0,VLOOKUP(I1270,ItemText[],IFERROR(MATCH(UI!$B$1,ItemText[#Headers],0),2),FALSE),""),"Unset")</f>
        <v>Unset</v>
      </c>
      <c r="L1270" t="str">
        <f t="shared" si="134"/>
        <v/>
      </c>
      <c r="M1270">
        <v>0</v>
      </c>
      <c r="N1270" t="str">
        <f>IF(VALUE(M1270)=0,"",VLOOKUP(VLOOKUP(M1270,Tbl_Effect[],3,FALSE),EffectName[],IFERROR(MATCH(UI!$B$1,EffectName[#Headers],0),2),FALSE))</f>
        <v/>
      </c>
      <c r="O1270" t="str">
        <f t="shared" si="135"/>
        <v/>
      </c>
      <c r="P1270">
        <v>0</v>
      </c>
      <c r="Q1270" t="str">
        <f>IF(VALUE(P1270)=0,"",VLOOKUP(VLOOKUP(P1270,Tbl_Effect[],3,FALSE),EffectName[],IFERROR(MATCH(UI!$B$1,EffectName[#Headers],0),2),FALSE))</f>
        <v/>
      </c>
      <c r="R1270" t="str">
        <f t="shared" si="136"/>
        <v/>
      </c>
      <c r="S1270">
        <v>0</v>
      </c>
      <c r="T1270" t="str">
        <f>IF(VALUE(S1270)=0,"",VLOOKUP(VLOOKUP(S1270,Tbl_Effect[],3,FALSE),EffectName[],IFERROR(MATCH(UI!$B$1,EffectName[#Headers],0),2),FALSE))</f>
        <v/>
      </c>
      <c r="U1270" t="str">
        <f t="shared" si="137"/>
        <v/>
      </c>
      <c r="V1270">
        <v>0</v>
      </c>
      <c r="W1270" t="str">
        <f>IF(V1270&lt;&gt;0,VLOOKUP(VLOOKUP(V1270,Tbl_Effect[],3,FALSE),EffectName[],IFERROR(MATCH(UI!$B$1,EffectName[#Headers],0),2),FALSE),"")</f>
        <v/>
      </c>
      <c r="X1270" t="str">
        <f t="shared" si="138"/>
        <v/>
      </c>
      <c r="Y1270">
        <v>0</v>
      </c>
      <c r="Z1270" t="str">
        <f>IF(Y1270&lt;&gt;0,VLOOKUP(VLOOKUP(Y1270,Tbl_Effect[],3,FALSE),EffectName[],IFERROR(MATCH(UI!$B$1,EffectName[#Headers],0),2),FALSE),"")</f>
        <v/>
      </c>
      <c r="AA1270" t="str">
        <f t="shared" si="139"/>
        <v/>
      </c>
      <c r="AB1270">
        <v>0</v>
      </c>
      <c r="AC1270" t="str">
        <f>IF(AB1270&lt;&gt;0,VLOOKUP(VLOOKUP(AB1270,Tbl_Effect[],3,FALSE),EffectName[],IFERROR(MATCH(UI!$B$1,EffectName[#Headers],0),2),FALSE),"")</f>
        <v/>
      </c>
    </row>
    <row r="1271" spans="8:29" x14ac:dyDescent="0.4">
      <c r="H1271" t="str">
        <f t="shared" si="133"/>
        <v>7123100-Unset (紅)</v>
      </c>
      <c r="I1271">
        <v>7123100</v>
      </c>
      <c r="J1271" t="str">
        <f>_xlfn.IFNA(IF(I1271&lt;&gt;0,VLOOKUP(VLOOKUP(I1271,Tbl_Equip[],2,FALSE),Tbl_Color[],IFERROR(MATCH(UI!$B$1,Tbl_Color[#Headers],0),2),FALSE),""),"Unset")</f>
        <v>紅</v>
      </c>
      <c r="K1271" t="str">
        <f>_xlfn.IFNA(IF(I1271&lt;&gt;0,VLOOKUP(I1271,ItemText[],IFERROR(MATCH(UI!$B$1,ItemText[#Headers],0),2),FALSE),""),"Unset")</f>
        <v>Unset</v>
      </c>
      <c r="L1271" t="str">
        <f t="shared" si="134"/>
        <v/>
      </c>
      <c r="M1271">
        <v>0</v>
      </c>
      <c r="N1271" t="str">
        <f>IF(VALUE(M1271)=0,"",VLOOKUP(VLOOKUP(M1271,Tbl_Effect[],3,FALSE),EffectName[],IFERROR(MATCH(UI!$B$1,EffectName[#Headers],0),2),FALSE))</f>
        <v/>
      </c>
      <c r="O1271" t="str">
        <f t="shared" si="135"/>
        <v/>
      </c>
      <c r="P1271">
        <v>0</v>
      </c>
      <c r="Q1271" t="str">
        <f>IF(VALUE(P1271)=0,"",VLOOKUP(VLOOKUP(P1271,Tbl_Effect[],3,FALSE),EffectName[],IFERROR(MATCH(UI!$B$1,EffectName[#Headers],0),2),FALSE))</f>
        <v/>
      </c>
      <c r="R1271" t="str">
        <f t="shared" si="136"/>
        <v/>
      </c>
      <c r="S1271">
        <v>0</v>
      </c>
      <c r="T1271" t="str">
        <f>IF(VALUE(S1271)=0,"",VLOOKUP(VLOOKUP(S1271,Tbl_Effect[],3,FALSE),EffectName[],IFERROR(MATCH(UI!$B$1,EffectName[#Headers],0),2),FALSE))</f>
        <v/>
      </c>
      <c r="U1271" t="str">
        <f t="shared" si="137"/>
        <v/>
      </c>
      <c r="V1271">
        <v>0</v>
      </c>
      <c r="W1271" t="str">
        <f>IF(V1271&lt;&gt;0,VLOOKUP(VLOOKUP(V1271,Tbl_Effect[],3,FALSE),EffectName[],IFERROR(MATCH(UI!$B$1,EffectName[#Headers],0),2),FALSE),"")</f>
        <v/>
      </c>
      <c r="X1271" t="str">
        <f t="shared" si="138"/>
        <v/>
      </c>
      <c r="Y1271">
        <v>0</v>
      </c>
      <c r="Z1271" t="str">
        <f>IF(Y1271&lt;&gt;0,VLOOKUP(VLOOKUP(Y1271,Tbl_Effect[],3,FALSE),EffectName[],IFERROR(MATCH(UI!$B$1,EffectName[#Headers],0),2),FALSE),"")</f>
        <v/>
      </c>
      <c r="AA1271" t="str">
        <f t="shared" si="139"/>
        <v/>
      </c>
      <c r="AB1271">
        <v>0</v>
      </c>
      <c r="AC1271" t="str">
        <f>IF(AB1271&lt;&gt;0,VLOOKUP(VLOOKUP(AB1271,Tbl_Effect[],3,FALSE),EffectName[],IFERROR(MATCH(UI!$B$1,EffectName[#Headers],0),2),FALSE),"")</f>
        <v/>
      </c>
    </row>
    <row r="1272" spans="8:29" x14ac:dyDescent="0.4">
      <c r="H1272" t="str">
        <f t="shared" si="133"/>
        <v>7123200-Unset (紅)</v>
      </c>
      <c r="I1272">
        <v>7123200</v>
      </c>
      <c r="J1272" t="str">
        <f>_xlfn.IFNA(IF(I1272&lt;&gt;0,VLOOKUP(VLOOKUP(I1272,Tbl_Equip[],2,FALSE),Tbl_Color[],IFERROR(MATCH(UI!$B$1,Tbl_Color[#Headers],0),2),FALSE),""),"Unset")</f>
        <v>紅</v>
      </c>
      <c r="K1272" t="str">
        <f>_xlfn.IFNA(IF(I1272&lt;&gt;0,VLOOKUP(I1272,ItemText[],IFERROR(MATCH(UI!$B$1,ItemText[#Headers],0),2),FALSE),""),"Unset")</f>
        <v>Unset</v>
      </c>
      <c r="L1272" t="str">
        <f t="shared" si="134"/>
        <v/>
      </c>
      <c r="M1272">
        <v>0</v>
      </c>
      <c r="N1272" t="str">
        <f>IF(VALUE(M1272)=0,"",VLOOKUP(VLOOKUP(M1272,Tbl_Effect[],3,FALSE),EffectName[],IFERROR(MATCH(UI!$B$1,EffectName[#Headers],0),2),FALSE))</f>
        <v/>
      </c>
      <c r="O1272" t="str">
        <f t="shared" si="135"/>
        <v/>
      </c>
      <c r="P1272">
        <v>0</v>
      </c>
      <c r="Q1272" t="str">
        <f>IF(VALUE(P1272)=0,"",VLOOKUP(VLOOKUP(P1272,Tbl_Effect[],3,FALSE),EffectName[],IFERROR(MATCH(UI!$B$1,EffectName[#Headers],0),2),FALSE))</f>
        <v/>
      </c>
      <c r="R1272" t="str">
        <f t="shared" si="136"/>
        <v/>
      </c>
      <c r="S1272">
        <v>0</v>
      </c>
      <c r="T1272" t="str">
        <f>IF(VALUE(S1272)=0,"",VLOOKUP(VLOOKUP(S1272,Tbl_Effect[],3,FALSE),EffectName[],IFERROR(MATCH(UI!$B$1,EffectName[#Headers],0),2),FALSE))</f>
        <v/>
      </c>
      <c r="U1272" t="str">
        <f t="shared" si="137"/>
        <v/>
      </c>
      <c r="V1272">
        <v>0</v>
      </c>
      <c r="W1272" t="str">
        <f>IF(V1272&lt;&gt;0,VLOOKUP(VLOOKUP(V1272,Tbl_Effect[],3,FALSE),EffectName[],IFERROR(MATCH(UI!$B$1,EffectName[#Headers],0),2),FALSE),"")</f>
        <v/>
      </c>
      <c r="X1272" t="str">
        <f t="shared" si="138"/>
        <v/>
      </c>
      <c r="Y1272">
        <v>0</v>
      </c>
      <c r="Z1272" t="str">
        <f>IF(Y1272&lt;&gt;0,VLOOKUP(VLOOKUP(Y1272,Tbl_Effect[],3,FALSE),EffectName[],IFERROR(MATCH(UI!$B$1,EffectName[#Headers],0),2),FALSE),"")</f>
        <v/>
      </c>
      <c r="AA1272" t="str">
        <f t="shared" si="139"/>
        <v/>
      </c>
      <c r="AB1272">
        <v>0</v>
      </c>
      <c r="AC1272" t="str">
        <f>IF(AB1272&lt;&gt;0,VLOOKUP(VLOOKUP(AB1272,Tbl_Effect[],3,FALSE),EffectName[],IFERROR(MATCH(UI!$B$1,EffectName[#Headers],0),2),FALSE),"")</f>
        <v/>
      </c>
    </row>
    <row r="1273" spans="8:29" x14ac:dyDescent="0.4">
      <c r="H1273" t="str">
        <f t="shared" si="133"/>
        <v>7123300-Unset (紅)</v>
      </c>
      <c r="I1273">
        <v>7123300</v>
      </c>
      <c r="J1273" t="str">
        <f>_xlfn.IFNA(IF(I1273&lt;&gt;0,VLOOKUP(VLOOKUP(I1273,Tbl_Equip[],2,FALSE),Tbl_Color[],IFERROR(MATCH(UI!$B$1,Tbl_Color[#Headers],0),2),FALSE),""),"Unset")</f>
        <v>紅</v>
      </c>
      <c r="K1273" t="str">
        <f>_xlfn.IFNA(IF(I1273&lt;&gt;0,VLOOKUP(I1273,ItemText[],IFERROR(MATCH(UI!$B$1,ItemText[#Headers],0),2),FALSE),""),"Unset")</f>
        <v>Unset</v>
      </c>
      <c r="L1273" t="str">
        <f t="shared" si="134"/>
        <v/>
      </c>
      <c r="M1273">
        <v>0</v>
      </c>
      <c r="N1273" t="str">
        <f>IF(VALUE(M1273)=0,"",VLOOKUP(VLOOKUP(M1273,Tbl_Effect[],3,FALSE),EffectName[],IFERROR(MATCH(UI!$B$1,EffectName[#Headers],0),2),FALSE))</f>
        <v/>
      </c>
      <c r="O1273" t="str">
        <f t="shared" si="135"/>
        <v/>
      </c>
      <c r="P1273">
        <v>0</v>
      </c>
      <c r="Q1273" t="str">
        <f>IF(VALUE(P1273)=0,"",VLOOKUP(VLOOKUP(P1273,Tbl_Effect[],3,FALSE),EffectName[],IFERROR(MATCH(UI!$B$1,EffectName[#Headers],0),2),FALSE))</f>
        <v/>
      </c>
      <c r="R1273" t="str">
        <f t="shared" si="136"/>
        <v/>
      </c>
      <c r="S1273">
        <v>0</v>
      </c>
      <c r="T1273" t="str">
        <f>IF(VALUE(S1273)=0,"",VLOOKUP(VLOOKUP(S1273,Tbl_Effect[],3,FALSE),EffectName[],IFERROR(MATCH(UI!$B$1,EffectName[#Headers],0),2),FALSE))</f>
        <v/>
      </c>
      <c r="U1273" t="str">
        <f t="shared" si="137"/>
        <v/>
      </c>
      <c r="V1273">
        <v>0</v>
      </c>
      <c r="W1273" t="str">
        <f>IF(V1273&lt;&gt;0,VLOOKUP(VLOOKUP(V1273,Tbl_Effect[],3,FALSE),EffectName[],IFERROR(MATCH(UI!$B$1,EffectName[#Headers],0),2),FALSE),"")</f>
        <v/>
      </c>
      <c r="X1273" t="str">
        <f t="shared" si="138"/>
        <v/>
      </c>
      <c r="Y1273">
        <v>0</v>
      </c>
      <c r="Z1273" t="str">
        <f>IF(Y1273&lt;&gt;0,VLOOKUP(VLOOKUP(Y1273,Tbl_Effect[],3,FALSE),EffectName[],IFERROR(MATCH(UI!$B$1,EffectName[#Headers],0),2),FALSE),"")</f>
        <v/>
      </c>
      <c r="AA1273" t="str">
        <f t="shared" si="139"/>
        <v/>
      </c>
      <c r="AB1273">
        <v>0</v>
      </c>
      <c r="AC1273" t="str">
        <f>IF(AB1273&lt;&gt;0,VLOOKUP(VLOOKUP(AB1273,Tbl_Effect[],3,FALSE),EffectName[],IFERROR(MATCH(UI!$B$1,EffectName[#Headers],0),2),FALSE),"")</f>
        <v/>
      </c>
    </row>
    <row r="1274" spans="8:29" x14ac:dyDescent="0.4">
      <c r="H1274" t="str">
        <f t="shared" si="133"/>
        <v>7123400-Unset (紅)</v>
      </c>
      <c r="I1274">
        <v>7123400</v>
      </c>
      <c r="J1274" t="str">
        <f>_xlfn.IFNA(IF(I1274&lt;&gt;0,VLOOKUP(VLOOKUP(I1274,Tbl_Equip[],2,FALSE),Tbl_Color[],IFERROR(MATCH(UI!$B$1,Tbl_Color[#Headers],0),2),FALSE),""),"Unset")</f>
        <v>紅</v>
      </c>
      <c r="K1274" t="str">
        <f>_xlfn.IFNA(IF(I1274&lt;&gt;0,VLOOKUP(I1274,ItemText[],IFERROR(MATCH(UI!$B$1,ItemText[#Headers],0),2),FALSE),""),"Unset")</f>
        <v>Unset</v>
      </c>
      <c r="L1274" t="str">
        <f t="shared" si="134"/>
        <v/>
      </c>
      <c r="M1274">
        <v>0</v>
      </c>
      <c r="N1274" t="str">
        <f>IF(VALUE(M1274)=0,"",VLOOKUP(VLOOKUP(M1274,Tbl_Effect[],3,FALSE),EffectName[],IFERROR(MATCH(UI!$B$1,EffectName[#Headers],0),2),FALSE))</f>
        <v/>
      </c>
      <c r="O1274" t="str">
        <f t="shared" si="135"/>
        <v/>
      </c>
      <c r="P1274">
        <v>0</v>
      </c>
      <c r="Q1274" t="str">
        <f>IF(VALUE(P1274)=0,"",VLOOKUP(VLOOKUP(P1274,Tbl_Effect[],3,FALSE),EffectName[],IFERROR(MATCH(UI!$B$1,EffectName[#Headers],0),2),FALSE))</f>
        <v/>
      </c>
      <c r="R1274" t="str">
        <f t="shared" si="136"/>
        <v/>
      </c>
      <c r="S1274">
        <v>0</v>
      </c>
      <c r="T1274" t="str">
        <f>IF(VALUE(S1274)=0,"",VLOOKUP(VLOOKUP(S1274,Tbl_Effect[],3,FALSE),EffectName[],IFERROR(MATCH(UI!$B$1,EffectName[#Headers],0),2),FALSE))</f>
        <v/>
      </c>
      <c r="U1274" t="str">
        <f t="shared" si="137"/>
        <v/>
      </c>
      <c r="V1274">
        <v>0</v>
      </c>
      <c r="W1274" t="str">
        <f>IF(V1274&lt;&gt;0,VLOOKUP(VLOOKUP(V1274,Tbl_Effect[],3,FALSE),EffectName[],IFERROR(MATCH(UI!$B$1,EffectName[#Headers],0),2),FALSE),"")</f>
        <v/>
      </c>
      <c r="X1274" t="str">
        <f t="shared" si="138"/>
        <v/>
      </c>
      <c r="Y1274">
        <v>0</v>
      </c>
      <c r="Z1274" t="str">
        <f>IF(Y1274&lt;&gt;0,VLOOKUP(VLOOKUP(Y1274,Tbl_Effect[],3,FALSE),EffectName[],IFERROR(MATCH(UI!$B$1,EffectName[#Headers],0),2),FALSE),"")</f>
        <v/>
      </c>
      <c r="AA1274" t="str">
        <f t="shared" si="139"/>
        <v/>
      </c>
      <c r="AB1274">
        <v>0</v>
      </c>
      <c r="AC1274" t="str">
        <f>IF(AB1274&lt;&gt;0,VLOOKUP(VLOOKUP(AB1274,Tbl_Effect[],3,FALSE),EffectName[],IFERROR(MATCH(UI!$B$1,EffectName[#Headers],0),2),FALSE),"")</f>
        <v/>
      </c>
    </row>
    <row r="1275" spans="8:29" x14ac:dyDescent="0.4">
      <c r="H1275" t="str">
        <f t="shared" si="133"/>
        <v>7123500-Unset (紅)</v>
      </c>
      <c r="I1275">
        <v>7123500</v>
      </c>
      <c r="J1275" t="str">
        <f>_xlfn.IFNA(IF(I1275&lt;&gt;0,VLOOKUP(VLOOKUP(I1275,Tbl_Equip[],2,FALSE),Tbl_Color[],IFERROR(MATCH(UI!$B$1,Tbl_Color[#Headers],0),2),FALSE),""),"Unset")</f>
        <v>紅</v>
      </c>
      <c r="K1275" t="str">
        <f>_xlfn.IFNA(IF(I1275&lt;&gt;0,VLOOKUP(I1275,ItemText[],IFERROR(MATCH(UI!$B$1,ItemText[#Headers],0),2),FALSE),""),"Unset")</f>
        <v>Unset</v>
      </c>
      <c r="L1275" t="str">
        <f t="shared" si="134"/>
        <v/>
      </c>
      <c r="M1275">
        <v>0</v>
      </c>
      <c r="N1275" t="str">
        <f>IF(VALUE(M1275)=0,"",VLOOKUP(VLOOKUP(M1275,Tbl_Effect[],3,FALSE),EffectName[],IFERROR(MATCH(UI!$B$1,EffectName[#Headers],0),2),FALSE))</f>
        <v/>
      </c>
      <c r="O1275" t="str">
        <f t="shared" si="135"/>
        <v/>
      </c>
      <c r="P1275">
        <v>0</v>
      </c>
      <c r="Q1275" t="str">
        <f>IF(VALUE(P1275)=0,"",VLOOKUP(VLOOKUP(P1275,Tbl_Effect[],3,FALSE),EffectName[],IFERROR(MATCH(UI!$B$1,EffectName[#Headers],0),2),FALSE))</f>
        <v/>
      </c>
      <c r="R1275" t="str">
        <f t="shared" si="136"/>
        <v/>
      </c>
      <c r="S1275">
        <v>0</v>
      </c>
      <c r="T1275" t="str">
        <f>IF(VALUE(S1275)=0,"",VLOOKUP(VLOOKUP(S1275,Tbl_Effect[],3,FALSE),EffectName[],IFERROR(MATCH(UI!$B$1,EffectName[#Headers],0),2),FALSE))</f>
        <v/>
      </c>
      <c r="U1275" t="str">
        <f t="shared" si="137"/>
        <v/>
      </c>
      <c r="V1275">
        <v>0</v>
      </c>
      <c r="W1275" t="str">
        <f>IF(V1275&lt;&gt;0,VLOOKUP(VLOOKUP(V1275,Tbl_Effect[],3,FALSE),EffectName[],IFERROR(MATCH(UI!$B$1,EffectName[#Headers],0),2),FALSE),"")</f>
        <v/>
      </c>
      <c r="X1275" t="str">
        <f t="shared" si="138"/>
        <v/>
      </c>
      <c r="Y1275">
        <v>0</v>
      </c>
      <c r="Z1275" t="str">
        <f>IF(Y1275&lt;&gt;0,VLOOKUP(VLOOKUP(Y1275,Tbl_Effect[],3,FALSE),EffectName[],IFERROR(MATCH(UI!$B$1,EffectName[#Headers],0),2),FALSE),"")</f>
        <v/>
      </c>
      <c r="AA1275" t="str">
        <f t="shared" si="139"/>
        <v/>
      </c>
      <c r="AB1275">
        <v>0</v>
      </c>
      <c r="AC1275" t="str">
        <f>IF(AB1275&lt;&gt;0,VLOOKUP(VLOOKUP(AB1275,Tbl_Effect[],3,FALSE),EffectName[],IFERROR(MATCH(UI!$B$1,EffectName[#Headers],0),2),FALSE),"")</f>
        <v/>
      </c>
    </row>
    <row r="1276" spans="8:29" x14ac:dyDescent="0.4">
      <c r="H1276" t="str">
        <f t="shared" si="133"/>
        <v>7123600-Unset (紅)</v>
      </c>
      <c r="I1276">
        <v>7123600</v>
      </c>
      <c r="J1276" t="str">
        <f>_xlfn.IFNA(IF(I1276&lt;&gt;0,VLOOKUP(VLOOKUP(I1276,Tbl_Equip[],2,FALSE),Tbl_Color[],IFERROR(MATCH(UI!$B$1,Tbl_Color[#Headers],0),2),FALSE),""),"Unset")</f>
        <v>紅</v>
      </c>
      <c r="K1276" t="str">
        <f>_xlfn.IFNA(IF(I1276&lt;&gt;0,VLOOKUP(I1276,ItemText[],IFERROR(MATCH(UI!$B$1,ItemText[#Headers],0),2),FALSE),""),"Unset")</f>
        <v>Unset</v>
      </c>
      <c r="L1276" t="str">
        <f t="shared" si="134"/>
        <v/>
      </c>
      <c r="M1276">
        <v>0</v>
      </c>
      <c r="N1276" t="str">
        <f>IF(VALUE(M1276)=0,"",VLOOKUP(VLOOKUP(M1276,Tbl_Effect[],3,FALSE),EffectName[],IFERROR(MATCH(UI!$B$1,EffectName[#Headers],0),2),FALSE))</f>
        <v/>
      </c>
      <c r="O1276" t="str">
        <f t="shared" si="135"/>
        <v/>
      </c>
      <c r="P1276">
        <v>0</v>
      </c>
      <c r="Q1276" t="str">
        <f>IF(VALUE(P1276)=0,"",VLOOKUP(VLOOKUP(P1276,Tbl_Effect[],3,FALSE),EffectName[],IFERROR(MATCH(UI!$B$1,EffectName[#Headers],0),2),FALSE))</f>
        <v/>
      </c>
      <c r="R1276" t="str">
        <f t="shared" si="136"/>
        <v/>
      </c>
      <c r="S1276">
        <v>0</v>
      </c>
      <c r="T1276" t="str">
        <f>IF(VALUE(S1276)=0,"",VLOOKUP(VLOOKUP(S1276,Tbl_Effect[],3,FALSE),EffectName[],IFERROR(MATCH(UI!$B$1,EffectName[#Headers],0),2),FALSE))</f>
        <v/>
      </c>
      <c r="U1276" t="str">
        <f t="shared" si="137"/>
        <v/>
      </c>
      <c r="V1276">
        <v>0</v>
      </c>
      <c r="W1276" t="str">
        <f>IF(V1276&lt;&gt;0,VLOOKUP(VLOOKUP(V1276,Tbl_Effect[],3,FALSE),EffectName[],IFERROR(MATCH(UI!$B$1,EffectName[#Headers],0),2),FALSE),"")</f>
        <v/>
      </c>
      <c r="X1276" t="str">
        <f t="shared" si="138"/>
        <v/>
      </c>
      <c r="Y1276">
        <v>0</v>
      </c>
      <c r="Z1276" t="str">
        <f>IF(Y1276&lt;&gt;0,VLOOKUP(VLOOKUP(Y1276,Tbl_Effect[],3,FALSE),EffectName[],IFERROR(MATCH(UI!$B$1,EffectName[#Headers],0),2),FALSE),"")</f>
        <v/>
      </c>
      <c r="AA1276" t="str">
        <f t="shared" si="139"/>
        <v/>
      </c>
      <c r="AB1276">
        <v>0</v>
      </c>
      <c r="AC1276" t="str">
        <f>IF(AB1276&lt;&gt;0,VLOOKUP(VLOOKUP(AB1276,Tbl_Effect[],3,FALSE),EffectName[],IFERROR(MATCH(UI!$B$1,EffectName[#Headers],0),2),FALSE),"")</f>
        <v/>
      </c>
    </row>
    <row r="1277" spans="8:29" x14ac:dyDescent="0.4">
      <c r="H1277" t="str">
        <f t="shared" si="133"/>
        <v>7123700-Unset (紅)</v>
      </c>
      <c r="I1277">
        <v>7123700</v>
      </c>
      <c r="J1277" t="str">
        <f>_xlfn.IFNA(IF(I1277&lt;&gt;0,VLOOKUP(VLOOKUP(I1277,Tbl_Equip[],2,FALSE),Tbl_Color[],IFERROR(MATCH(UI!$B$1,Tbl_Color[#Headers],0),2),FALSE),""),"Unset")</f>
        <v>紅</v>
      </c>
      <c r="K1277" t="str">
        <f>_xlfn.IFNA(IF(I1277&lt;&gt;0,VLOOKUP(I1277,ItemText[],IFERROR(MATCH(UI!$B$1,ItemText[#Headers],0),2),FALSE),""),"Unset")</f>
        <v>Unset</v>
      </c>
      <c r="L1277" t="str">
        <f t="shared" si="134"/>
        <v/>
      </c>
      <c r="M1277">
        <v>0</v>
      </c>
      <c r="N1277" t="str">
        <f>IF(VALUE(M1277)=0,"",VLOOKUP(VLOOKUP(M1277,Tbl_Effect[],3,FALSE),EffectName[],IFERROR(MATCH(UI!$B$1,EffectName[#Headers],0),2),FALSE))</f>
        <v/>
      </c>
      <c r="O1277" t="str">
        <f t="shared" si="135"/>
        <v/>
      </c>
      <c r="P1277">
        <v>0</v>
      </c>
      <c r="Q1277" t="str">
        <f>IF(VALUE(P1277)=0,"",VLOOKUP(VLOOKUP(P1277,Tbl_Effect[],3,FALSE),EffectName[],IFERROR(MATCH(UI!$B$1,EffectName[#Headers],0),2),FALSE))</f>
        <v/>
      </c>
      <c r="R1277" t="str">
        <f t="shared" si="136"/>
        <v/>
      </c>
      <c r="S1277">
        <v>0</v>
      </c>
      <c r="T1277" t="str">
        <f>IF(VALUE(S1277)=0,"",VLOOKUP(VLOOKUP(S1277,Tbl_Effect[],3,FALSE),EffectName[],IFERROR(MATCH(UI!$B$1,EffectName[#Headers],0),2),FALSE))</f>
        <v/>
      </c>
      <c r="U1277" t="str">
        <f t="shared" si="137"/>
        <v/>
      </c>
      <c r="V1277">
        <v>0</v>
      </c>
      <c r="W1277" t="str">
        <f>IF(V1277&lt;&gt;0,VLOOKUP(VLOOKUP(V1277,Tbl_Effect[],3,FALSE),EffectName[],IFERROR(MATCH(UI!$B$1,EffectName[#Headers],0),2),FALSE),"")</f>
        <v/>
      </c>
      <c r="X1277" t="str">
        <f t="shared" si="138"/>
        <v/>
      </c>
      <c r="Y1277">
        <v>0</v>
      </c>
      <c r="Z1277" t="str">
        <f>IF(Y1277&lt;&gt;0,VLOOKUP(VLOOKUP(Y1277,Tbl_Effect[],3,FALSE),EffectName[],IFERROR(MATCH(UI!$B$1,EffectName[#Headers],0),2),FALSE),"")</f>
        <v/>
      </c>
      <c r="AA1277" t="str">
        <f t="shared" si="139"/>
        <v/>
      </c>
      <c r="AB1277">
        <v>0</v>
      </c>
      <c r="AC1277" t="str">
        <f>IF(AB1277&lt;&gt;0,VLOOKUP(VLOOKUP(AB1277,Tbl_Effect[],3,FALSE),EffectName[],IFERROR(MATCH(UI!$B$1,EffectName[#Headers],0),2),FALSE),"")</f>
        <v/>
      </c>
    </row>
    <row r="1278" spans="8:29" x14ac:dyDescent="0.4">
      <c r="H1278" t="str">
        <f t="shared" si="133"/>
        <v>7123800-Unset (紅)</v>
      </c>
      <c r="I1278">
        <v>7123800</v>
      </c>
      <c r="J1278" t="str">
        <f>_xlfn.IFNA(IF(I1278&lt;&gt;0,VLOOKUP(VLOOKUP(I1278,Tbl_Equip[],2,FALSE),Tbl_Color[],IFERROR(MATCH(UI!$B$1,Tbl_Color[#Headers],0),2),FALSE),""),"Unset")</f>
        <v>紅</v>
      </c>
      <c r="K1278" t="str">
        <f>_xlfn.IFNA(IF(I1278&lt;&gt;0,VLOOKUP(I1278,ItemText[],IFERROR(MATCH(UI!$B$1,ItemText[#Headers],0),2),FALSE),""),"Unset")</f>
        <v>Unset</v>
      </c>
      <c r="L1278" t="str">
        <f t="shared" si="134"/>
        <v/>
      </c>
      <c r="M1278">
        <v>0</v>
      </c>
      <c r="N1278" t="str">
        <f>IF(VALUE(M1278)=0,"",VLOOKUP(VLOOKUP(M1278,Tbl_Effect[],3,FALSE),EffectName[],IFERROR(MATCH(UI!$B$1,EffectName[#Headers],0),2),FALSE))</f>
        <v/>
      </c>
      <c r="O1278" t="str">
        <f t="shared" si="135"/>
        <v/>
      </c>
      <c r="P1278">
        <v>0</v>
      </c>
      <c r="Q1278" t="str">
        <f>IF(VALUE(P1278)=0,"",VLOOKUP(VLOOKUP(P1278,Tbl_Effect[],3,FALSE),EffectName[],IFERROR(MATCH(UI!$B$1,EffectName[#Headers],0),2),FALSE))</f>
        <v/>
      </c>
      <c r="R1278" t="str">
        <f t="shared" si="136"/>
        <v/>
      </c>
      <c r="S1278">
        <v>0</v>
      </c>
      <c r="T1278" t="str">
        <f>IF(VALUE(S1278)=0,"",VLOOKUP(VLOOKUP(S1278,Tbl_Effect[],3,FALSE),EffectName[],IFERROR(MATCH(UI!$B$1,EffectName[#Headers],0),2),FALSE))</f>
        <v/>
      </c>
      <c r="U1278" t="str">
        <f t="shared" si="137"/>
        <v/>
      </c>
      <c r="V1278">
        <v>0</v>
      </c>
      <c r="W1278" t="str">
        <f>IF(V1278&lt;&gt;0,VLOOKUP(VLOOKUP(V1278,Tbl_Effect[],3,FALSE),EffectName[],IFERROR(MATCH(UI!$B$1,EffectName[#Headers],0),2),FALSE),"")</f>
        <v/>
      </c>
      <c r="X1278" t="str">
        <f t="shared" si="138"/>
        <v/>
      </c>
      <c r="Y1278">
        <v>0</v>
      </c>
      <c r="Z1278" t="str">
        <f>IF(Y1278&lt;&gt;0,VLOOKUP(VLOOKUP(Y1278,Tbl_Effect[],3,FALSE),EffectName[],IFERROR(MATCH(UI!$B$1,EffectName[#Headers],0),2),FALSE),"")</f>
        <v/>
      </c>
      <c r="AA1278" t="str">
        <f t="shared" si="139"/>
        <v/>
      </c>
      <c r="AB1278">
        <v>0</v>
      </c>
      <c r="AC1278" t="str">
        <f>IF(AB1278&lt;&gt;0,VLOOKUP(VLOOKUP(AB1278,Tbl_Effect[],3,FALSE),EffectName[],IFERROR(MATCH(UI!$B$1,EffectName[#Headers],0),2),FALSE),"")</f>
        <v/>
      </c>
    </row>
    <row r="1279" spans="8:29" x14ac:dyDescent="0.4">
      <c r="H1279" t="str">
        <f t="shared" si="133"/>
        <v>7123900-Unset (紅)</v>
      </c>
      <c r="I1279">
        <v>7123900</v>
      </c>
      <c r="J1279" t="str">
        <f>_xlfn.IFNA(IF(I1279&lt;&gt;0,VLOOKUP(VLOOKUP(I1279,Tbl_Equip[],2,FALSE),Tbl_Color[],IFERROR(MATCH(UI!$B$1,Tbl_Color[#Headers],0),2),FALSE),""),"Unset")</f>
        <v>紅</v>
      </c>
      <c r="K1279" t="str">
        <f>_xlfn.IFNA(IF(I1279&lt;&gt;0,VLOOKUP(I1279,ItemText[],IFERROR(MATCH(UI!$B$1,ItemText[#Headers],0),2),FALSE),""),"Unset")</f>
        <v>Unset</v>
      </c>
      <c r="L1279" t="str">
        <f t="shared" si="134"/>
        <v/>
      </c>
      <c r="M1279">
        <v>0</v>
      </c>
      <c r="N1279" t="str">
        <f>IF(VALUE(M1279)=0,"",VLOOKUP(VLOOKUP(M1279,Tbl_Effect[],3,FALSE),EffectName[],IFERROR(MATCH(UI!$B$1,EffectName[#Headers],0),2),FALSE))</f>
        <v/>
      </c>
      <c r="O1279" t="str">
        <f t="shared" si="135"/>
        <v/>
      </c>
      <c r="P1279">
        <v>0</v>
      </c>
      <c r="Q1279" t="str">
        <f>IF(VALUE(P1279)=0,"",VLOOKUP(VLOOKUP(P1279,Tbl_Effect[],3,FALSE),EffectName[],IFERROR(MATCH(UI!$B$1,EffectName[#Headers],0),2),FALSE))</f>
        <v/>
      </c>
      <c r="R1279" t="str">
        <f t="shared" si="136"/>
        <v/>
      </c>
      <c r="S1279">
        <v>0</v>
      </c>
      <c r="T1279" t="str">
        <f>IF(VALUE(S1279)=0,"",VLOOKUP(VLOOKUP(S1279,Tbl_Effect[],3,FALSE),EffectName[],IFERROR(MATCH(UI!$B$1,EffectName[#Headers],0),2),FALSE))</f>
        <v/>
      </c>
      <c r="U1279" t="str">
        <f t="shared" si="137"/>
        <v/>
      </c>
      <c r="V1279">
        <v>0</v>
      </c>
      <c r="W1279" t="str">
        <f>IF(V1279&lt;&gt;0,VLOOKUP(VLOOKUP(V1279,Tbl_Effect[],3,FALSE),EffectName[],IFERROR(MATCH(UI!$B$1,EffectName[#Headers],0),2),FALSE),"")</f>
        <v/>
      </c>
      <c r="X1279" t="str">
        <f t="shared" si="138"/>
        <v/>
      </c>
      <c r="Y1279">
        <v>0</v>
      </c>
      <c r="Z1279" t="str">
        <f>IF(Y1279&lt;&gt;0,VLOOKUP(VLOOKUP(Y1279,Tbl_Effect[],3,FALSE),EffectName[],IFERROR(MATCH(UI!$B$1,EffectName[#Headers],0),2),FALSE),"")</f>
        <v/>
      </c>
      <c r="AA1279" t="str">
        <f t="shared" si="139"/>
        <v/>
      </c>
      <c r="AB1279">
        <v>0</v>
      </c>
      <c r="AC1279" t="str">
        <f>IF(AB1279&lt;&gt;0,VLOOKUP(VLOOKUP(AB1279,Tbl_Effect[],3,FALSE),EffectName[],IFERROR(MATCH(UI!$B$1,EffectName[#Headers],0),2),FALSE),"")</f>
        <v/>
      </c>
    </row>
    <row r="1280" spans="8:29" x14ac:dyDescent="0.4">
      <c r="H1280" t="str">
        <f t="shared" si="133"/>
        <v>7124000-Unset (紅)</v>
      </c>
      <c r="I1280">
        <v>7124000</v>
      </c>
      <c r="J1280" t="str">
        <f>_xlfn.IFNA(IF(I1280&lt;&gt;0,VLOOKUP(VLOOKUP(I1280,Tbl_Equip[],2,FALSE),Tbl_Color[],IFERROR(MATCH(UI!$B$1,Tbl_Color[#Headers],0),2),FALSE),""),"Unset")</f>
        <v>紅</v>
      </c>
      <c r="K1280" t="str">
        <f>_xlfn.IFNA(IF(I1280&lt;&gt;0,VLOOKUP(I1280,ItemText[],IFERROR(MATCH(UI!$B$1,ItemText[#Headers],0),2),FALSE),""),"Unset")</f>
        <v>Unset</v>
      </c>
      <c r="L1280" t="str">
        <f t="shared" si="134"/>
        <v/>
      </c>
      <c r="M1280">
        <v>0</v>
      </c>
      <c r="N1280" t="str">
        <f>IF(VALUE(M1280)=0,"",VLOOKUP(VLOOKUP(M1280,Tbl_Effect[],3,FALSE),EffectName[],IFERROR(MATCH(UI!$B$1,EffectName[#Headers],0),2),FALSE))</f>
        <v/>
      </c>
      <c r="O1280" t="str">
        <f t="shared" si="135"/>
        <v/>
      </c>
      <c r="P1280">
        <v>0</v>
      </c>
      <c r="Q1280" t="str">
        <f>IF(VALUE(P1280)=0,"",VLOOKUP(VLOOKUP(P1280,Tbl_Effect[],3,FALSE),EffectName[],IFERROR(MATCH(UI!$B$1,EffectName[#Headers],0),2),FALSE))</f>
        <v/>
      </c>
      <c r="R1280" t="str">
        <f t="shared" si="136"/>
        <v/>
      </c>
      <c r="S1280">
        <v>0</v>
      </c>
      <c r="T1280" t="str">
        <f>IF(VALUE(S1280)=0,"",VLOOKUP(VLOOKUP(S1280,Tbl_Effect[],3,FALSE),EffectName[],IFERROR(MATCH(UI!$B$1,EffectName[#Headers],0),2),FALSE))</f>
        <v/>
      </c>
      <c r="U1280" t="str">
        <f t="shared" si="137"/>
        <v/>
      </c>
      <c r="V1280">
        <v>0</v>
      </c>
      <c r="W1280" t="str">
        <f>IF(V1280&lt;&gt;0,VLOOKUP(VLOOKUP(V1280,Tbl_Effect[],3,FALSE),EffectName[],IFERROR(MATCH(UI!$B$1,EffectName[#Headers],0),2),FALSE),"")</f>
        <v/>
      </c>
      <c r="X1280" t="str">
        <f t="shared" si="138"/>
        <v/>
      </c>
      <c r="Y1280">
        <v>0</v>
      </c>
      <c r="Z1280" t="str">
        <f>IF(Y1280&lt;&gt;0,VLOOKUP(VLOOKUP(Y1280,Tbl_Effect[],3,FALSE),EffectName[],IFERROR(MATCH(UI!$B$1,EffectName[#Headers],0),2),FALSE),"")</f>
        <v/>
      </c>
      <c r="AA1280" t="str">
        <f t="shared" si="139"/>
        <v/>
      </c>
      <c r="AB1280">
        <v>0</v>
      </c>
      <c r="AC1280" t="str">
        <f>IF(AB1280&lt;&gt;0,VLOOKUP(VLOOKUP(AB1280,Tbl_Effect[],3,FALSE),EffectName[],IFERROR(MATCH(UI!$B$1,EffectName[#Headers],0),2),FALSE),"")</f>
        <v/>
      </c>
    </row>
    <row r="1281" spans="8:29" x14ac:dyDescent="0.4">
      <c r="H1281" t="str">
        <f t="shared" si="133"/>
        <v>7124100-Unset (紅)</v>
      </c>
      <c r="I1281">
        <v>7124100</v>
      </c>
      <c r="J1281" t="str">
        <f>_xlfn.IFNA(IF(I1281&lt;&gt;0,VLOOKUP(VLOOKUP(I1281,Tbl_Equip[],2,FALSE),Tbl_Color[],IFERROR(MATCH(UI!$B$1,Tbl_Color[#Headers],0),2),FALSE),""),"Unset")</f>
        <v>紅</v>
      </c>
      <c r="K1281" t="str">
        <f>_xlfn.IFNA(IF(I1281&lt;&gt;0,VLOOKUP(I1281,ItemText[],IFERROR(MATCH(UI!$B$1,ItemText[#Headers],0),2),FALSE),""),"Unset")</f>
        <v>Unset</v>
      </c>
      <c r="L1281" t="str">
        <f t="shared" si="134"/>
        <v/>
      </c>
      <c r="M1281">
        <v>0</v>
      </c>
      <c r="N1281" t="str">
        <f>IF(VALUE(M1281)=0,"",VLOOKUP(VLOOKUP(M1281,Tbl_Effect[],3,FALSE),EffectName[],IFERROR(MATCH(UI!$B$1,EffectName[#Headers],0),2),FALSE))</f>
        <v/>
      </c>
      <c r="O1281" t="str">
        <f t="shared" si="135"/>
        <v/>
      </c>
      <c r="P1281">
        <v>0</v>
      </c>
      <c r="Q1281" t="str">
        <f>IF(VALUE(P1281)=0,"",VLOOKUP(VLOOKUP(P1281,Tbl_Effect[],3,FALSE),EffectName[],IFERROR(MATCH(UI!$B$1,EffectName[#Headers],0),2),FALSE))</f>
        <v/>
      </c>
      <c r="R1281" t="str">
        <f t="shared" si="136"/>
        <v/>
      </c>
      <c r="S1281">
        <v>0</v>
      </c>
      <c r="T1281" t="str">
        <f>IF(VALUE(S1281)=0,"",VLOOKUP(VLOOKUP(S1281,Tbl_Effect[],3,FALSE),EffectName[],IFERROR(MATCH(UI!$B$1,EffectName[#Headers],0),2),FALSE))</f>
        <v/>
      </c>
      <c r="U1281" t="str">
        <f t="shared" si="137"/>
        <v/>
      </c>
      <c r="V1281">
        <v>0</v>
      </c>
      <c r="W1281" t="str">
        <f>IF(V1281&lt;&gt;0,VLOOKUP(VLOOKUP(V1281,Tbl_Effect[],3,FALSE),EffectName[],IFERROR(MATCH(UI!$B$1,EffectName[#Headers],0),2),FALSE),"")</f>
        <v/>
      </c>
      <c r="X1281" t="str">
        <f t="shared" si="138"/>
        <v/>
      </c>
      <c r="Y1281">
        <v>0</v>
      </c>
      <c r="Z1281" t="str">
        <f>IF(Y1281&lt;&gt;0,VLOOKUP(VLOOKUP(Y1281,Tbl_Effect[],3,FALSE),EffectName[],IFERROR(MATCH(UI!$B$1,EffectName[#Headers],0),2),FALSE),"")</f>
        <v/>
      </c>
      <c r="AA1281" t="str">
        <f t="shared" si="139"/>
        <v/>
      </c>
      <c r="AB1281">
        <v>0</v>
      </c>
      <c r="AC1281" t="str">
        <f>IF(AB1281&lt;&gt;0,VLOOKUP(VLOOKUP(AB1281,Tbl_Effect[],3,FALSE),EffectName[],IFERROR(MATCH(UI!$B$1,EffectName[#Headers],0),2),FALSE),"")</f>
        <v/>
      </c>
    </row>
    <row r="1282" spans="8:29" x14ac:dyDescent="0.4">
      <c r="H1282" t="str">
        <f t="shared" si="133"/>
        <v>7124300-Unset (紅)</v>
      </c>
      <c r="I1282">
        <v>7124300</v>
      </c>
      <c r="J1282" t="str">
        <f>_xlfn.IFNA(IF(I1282&lt;&gt;0,VLOOKUP(VLOOKUP(I1282,Tbl_Equip[],2,FALSE),Tbl_Color[],IFERROR(MATCH(UI!$B$1,Tbl_Color[#Headers],0),2),FALSE),""),"Unset")</f>
        <v>紅</v>
      </c>
      <c r="K1282" t="str">
        <f>_xlfn.IFNA(IF(I1282&lt;&gt;0,VLOOKUP(I1282,ItemText[],IFERROR(MATCH(UI!$B$1,ItemText[#Headers],0),2),FALSE),""),"Unset")</f>
        <v>Unset</v>
      </c>
      <c r="L1282" t="str">
        <f t="shared" si="134"/>
        <v/>
      </c>
      <c r="M1282">
        <v>0</v>
      </c>
      <c r="N1282" t="str">
        <f>IF(VALUE(M1282)=0,"",VLOOKUP(VLOOKUP(M1282,Tbl_Effect[],3,FALSE),EffectName[],IFERROR(MATCH(UI!$B$1,EffectName[#Headers],0),2),FALSE))</f>
        <v/>
      </c>
      <c r="O1282" t="str">
        <f t="shared" si="135"/>
        <v/>
      </c>
      <c r="P1282">
        <v>0</v>
      </c>
      <c r="Q1282" t="str">
        <f>IF(VALUE(P1282)=0,"",VLOOKUP(VLOOKUP(P1282,Tbl_Effect[],3,FALSE),EffectName[],IFERROR(MATCH(UI!$B$1,EffectName[#Headers],0),2),FALSE))</f>
        <v/>
      </c>
      <c r="R1282" t="str">
        <f t="shared" si="136"/>
        <v/>
      </c>
      <c r="S1282">
        <v>0</v>
      </c>
      <c r="T1282" t="str">
        <f>IF(VALUE(S1282)=0,"",VLOOKUP(VLOOKUP(S1282,Tbl_Effect[],3,FALSE),EffectName[],IFERROR(MATCH(UI!$B$1,EffectName[#Headers],0),2),FALSE))</f>
        <v/>
      </c>
      <c r="U1282" t="str">
        <f t="shared" si="137"/>
        <v/>
      </c>
      <c r="V1282">
        <v>0</v>
      </c>
      <c r="W1282" t="str">
        <f>IF(V1282&lt;&gt;0,VLOOKUP(VLOOKUP(V1282,Tbl_Effect[],3,FALSE),EffectName[],IFERROR(MATCH(UI!$B$1,EffectName[#Headers],0),2),FALSE),"")</f>
        <v/>
      </c>
      <c r="X1282" t="str">
        <f t="shared" si="138"/>
        <v/>
      </c>
      <c r="Y1282">
        <v>0</v>
      </c>
      <c r="Z1282" t="str">
        <f>IF(Y1282&lt;&gt;0,VLOOKUP(VLOOKUP(Y1282,Tbl_Effect[],3,FALSE),EffectName[],IFERROR(MATCH(UI!$B$1,EffectName[#Headers],0),2),FALSE),"")</f>
        <v/>
      </c>
      <c r="AA1282" t="str">
        <f t="shared" si="139"/>
        <v/>
      </c>
      <c r="AB1282">
        <v>0</v>
      </c>
      <c r="AC1282" t="str">
        <f>IF(AB1282&lt;&gt;0,VLOOKUP(VLOOKUP(AB1282,Tbl_Effect[],3,FALSE),EffectName[],IFERROR(MATCH(UI!$B$1,EffectName[#Headers],0),2),FALSE),"")</f>
        <v/>
      </c>
    </row>
    <row r="1283" spans="8:29" x14ac:dyDescent="0.4">
      <c r="H1283" t="str">
        <f t="shared" ref="H1283:H1346" si="140">IF(VALUE(I1283)&lt;&gt;0,I1283&amp;"-"&amp;K1283&amp;" ("&amp;J1283&amp;")","")</f>
        <v>7124400-Unset (紅)</v>
      </c>
      <c r="I1283">
        <v>7124400</v>
      </c>
      <c r="J1283" t="str">
        <f>_xlfn.IFNA(IF(I1283&lt;&gt;0,VLOOKUP(VLOOKUP(I1283,Tbl_Equip[],2,FALSE),Tbl_Color[],IFERROR(MATCH(UI!$B$1,Tbl_Color[#Headers],0),2),FALSE),""),"Unset")</f>
        <v>紅</v>
      </c>
      <c r="K1283" t="str">
        <f>_xlfn.IFNA(IF(I1283&lt;&gt;0,VLOOKUP(I1283,ItemText[],IFERROR(MATCH(UI!$B$1,ItemText[#Headers],0),2),FALSE),""),"Unset")</f>
        <v>Unset</v>
      </c>
      <c r="L1283" t="str">
        <f t="shared" ref="L1283:L1346" si="141">IF(VALUE(M1283)=0,"",M1283&amp;"-"&amp;N1283)</f>
        <v/>
      </c>
      <c r="M1283">
        <v>0</v>
      </c>
      <c r="N1283" t="str">
        <f>IF(VALUE(M1283)=0,"",VLOOKUP(VLOOKUP(M1283,Tbl_Effect[],3,FALSE),EffectName[],IFERROR(MATCH(UI!$B$1,EffectName[#Headers],0),2),FALSE))</f>
        <v/>
      </c>
      <c r="O1283" t="str">
        <f t="shared" ref="O1283:O1346" si="142">IF(VALUE(P1283)=0,"",P1283&amp;"-"&amp;Q1283)</f>
        <v/>
      </c>
      <c r="P1283">
        <v>0</v>
      </c>
      <c r="Q1283" t="str">
        <f>IF(VALUE(P1283)=0,"",VLOOKUP(VLOOKUP(P1283,Tbl_Effect[],3,FALSE),EffectName[],IFERROR(MATCH(UI!$B$1,EffectName[#Headers],0),2),FALSE))</f>
        <v/>
      </c>
      <c r="R1283" t="str">
        <f t="shared" ref="R1283:R1346" si="143">IF(VALUE(S1283)=0,"",S1283&amp;"-"&amp;T1283)</f>
        <v/>
      </c>
      <c r="S1283">
        <v>0</v>
      </c>
      <c r="T1283" t="str">
        <f>IF(VALUE(S1283)=0,"",VLOOKUP(VLOOKUP(S1283,Tbl_Effect[],3,FALSE),EffectName[],IFERROR(MATCH(UI!$B$1,EffectName[#Headers],0),2),FALSE))</f>
        <v/>
      </c>
      <c r="U1283" t="str">
        <f t="shared" ref="U1283:U1346" si="144">IF(VALUE(V1283)=0,"",V1283&amp;"-"&amp;W1283)</f>
        <v/>
      </c>
      <c r="V1283">
        <v>0</v>
      </c>
      <c r="W1283" t="str">
        <f>IF(V1283&lt;&gt;0,VLOOKUP(VLOOKUP(V1283,Tbl_Effect[],3,FALSE),EffectName[],IFERROR(MATCH(UI!$B$1,EffectName[#Headers],0),2),FALSE),"")</f>
        <v/>
      </c>
      <c r="X1283" t="str">
        <f t="shared" ref="X1283:X1346" si="145">IF(VALUE(Y1283)=0,"",Y1283&amp;"-"&amp;Z1283)</f>
        <v/>
      </c>
      <c r="Y1283">
        <v>0</v>
      </c>
      <c r="Z1283" t="str">
        <f>IF(Y1283&lt;&gt;0,VLOOKUP(VLOOKUP(Y1283,Tbl_Effect[],3,FALSE),EffectName[],IFERROR(MATCH(UI!$B$1,EffectName[#Headers],0),2),FALSE),"")</f>
        <v/>
      </c>
      <c r="AA1283" t="str">
        <f t="shared" ref="AA1283:AA1346" si="146">IF(VALUE(AB1283)=0,"",AB1283&amp;"-"&amp;AC1283)</f>
        <v/>
      </c>
      <c r="AB1283">
        <v>0</v>
      </c>
      <c r="AC1283" t="str">
        <f>IF(AB1283&lt;&gt;0,VLOOKUP(VLOOKUP(AB1283,Tbl_Effect[],3,FALSE),EffectName[],IFERROR(MATCH(UI!$B$1,EffectName[#Headers],0),2),FALSE),"")</f>
        <v/>
      </c>
    </row>
    <row r="1284" spans="8:29" x14ac:dyDescent="0.4">
      <c r="H1284" t="str">
        <f t="shared" si="140"/>
        <v>7124500-Unset (紅)</v>
      </c>
      <c r="I1284">
        <v>7124500</v>
      </c>
      <c r="J1284" t="str">
        <f>_xlfn.IFNA(IF(I1284&lt;&gt;0,VLOOKUP(VLOOKUP(I1284,Tbl_Equip[],2,FALSE),Tbl_Color[],IFERROR(MATCH(UI!$B$1,Tbl_Color[#Headers],0),2),FALSE),""),"Unset")</f>
        <v>紅</v>
      </c>
      <c r="K1284" t="str">
        <f>_xlfn.IFNA(IF(I1284&lt;&gt;0,VLOOKUP(I1284,ItemText[],IFERROR(MATCH(UI!$B$1,ItemText[#Headers],0),2),FALSE),""),"Unset")</f>
        <v>Unset</v>
      </c>
      <c r="L1284" t="str">
        <f t="shared" si="141"/>
        <v/>
      </c>
      <c r="M1284">
        <v>0</v>
      </c>
      <c r="N1284" t="str">
        <f>IF(VALUE(M1284)=0,"",VLOOKUP(VLOOKUP(M1284,Tbl_Effect[],3,FALSE),EffectName[],IFERROR(MATCH(UI!$B$1,EffectName[#Headers],0),2),FALSE))</f>
        <v/>
      </c>
      <c r="O1284" t="str">
        <f t="shared" si="142"/>
        <v/>
      </c>
      <c r="P1284">
        <v>0</v>
      </c>
      <c r="Q1284" t="str">
        <f>IF(VALUE(P1284)=0,"",VLOOKUP(VLOOKUP(P1284,Tbl_Effect[],3,FALSE),EffectName[],IFERROR(MATCH(UI!$B$1,EffectName[#Headers],0),2),FALSE))</f>
        <v/>
      </c>
      <c r="R1284" t="str">
        <f t="shared" si="143"/>
        <v/>
      </c>
      <c r="S1284">
        <v>0</v>
      </c>
      <c r="T1284" t="str">
        <f>IF(VALUE(S1284)=0,"",VLOOKUP(VLOOKUP(S1284,Tbl_Effect[],3,FALSE),EffectName[],IFERROR(MATCH(UI!$B$1,EffectName[#Headers],0),2),FALSE))</f>
        <v/>
      </c>
      <c r="U1284" t="str">
        <f t="shared" si="144"/>
        <v/>
      </c>
      <c r="V1284">
        <v>0</v>
      </c>
      <c r="W1284" t="str">
        <f>IF(V1284&lt;&gt;0,VLOOKUP(VLOOKUP(V1284,Tbl_Effect[],3,FALSE),EffectName[],IFERROR(MATCH(UI!$B$1,EffectName[#Headers],0),2),FALSE),"")</f>
        <v/>
      </c>
      <c r="X1284" t="str">
        <f t="shared" si="145"/>
        <v/>
      </c>
      <c r="Y1284">
        <v>0</v>
      </c>
      <c r="Z1284" t="str">
        <f>IF(Y1284&lt;&gt;0,VLOOKUP(VLOOKUP(Y1284,Tbl_Effect[],3,FALSE),EffectName[],IFERROR(MATCH(UI!$B$1,EffectName[#Headers],0),2),FALSE),"")</f>
        <v/>
      </c>
      <c r="AA1284" t="str">
        <f t="shared" si="146"/>
        <v/>
      </c>
      <c r="AB1284">
        <v>0</v>
      </c>
      <c r="AC1284" t="str">
        <f>IF(AB1284&lt;&gt;0,VLOOKUP(VLOOKUP(AB1284,Tbl_Effect[],3,FALSE),EffectName[],IFERROR(MATCH(UI!$B$1,EffectName[#Headers],0),2),FALSE),"")</f>
        <v/>
      </c>
    </row>
    <row r="1285" spans="8:29" x14ac:dyDescent="0.4">
      <c r="H1285" t="str">
        <f t="shared" si="140"/>
        <v>7124600-Unset (紅)</v>
      </c>
      <c r="I1285">
        <v>7124600</v>
      </c>
      <c r="J1285" t="str">
        <f>_xlfn.IFNA(IF(I1285&lt;&gt;0,VLOOKUP(VLOOKUP(I1285,Tbl_Equip[],2,FALSE),Tbl_Color[],IFERROR(MATCH(UI!$B$1,Tbl_Color[#Headers],0),2),FALSE),""),"Unset")</f>
        <v>紅</v>
      </c>
      <c r="K1285" t="str">
        <f>_xlfn.IFNA(IF(I1285&lt;&gt;0,VLOOKUP(I1285,ItemText[],IFERROR(MATCH(UI!$B$1,ItemText[#Headers],0),2),FALSE),""),"Unset")</f>
        <v>Unset</v>
      </c>
      <c r="L1285" t="str">
        <f t="shared" si="141"/>
        <v/>
      </c>
      <c r="M1285">
        <v>0</v>
      </c>
      <c r="N1285" t="str">
        <f>IF(VALUE(M1285)=0,"",VLOOKUP(VLOOKUP(M1285,Tbl_Effect[],3,FALSE),EffectName[],IFERROR(MATCH(UI!$B$1,EffectName[#Headers],0),2),FALSE))</f>
        <v/>
      </c>
      <c r="O1285" t="str">
        <f t="shared" si="142"/>
        <v/>
      </c>
      <c r="P1285">
        <v>0</v>
      </c>
      <c r="Q1285" t="str">
        <f>IF(VALUE(P1285)=0,"",VLOOKUP(VLOOKUP(P1285,Tbl_Effect[],3,FALSE),EffectName[],IFERROR(MATCH(UI!$B$1,EffectName[#Headers],0),2),FALSE))</f>
        <v/>
      </c>
      <c r="R1285" t="str">
        <f t="shared" si="143"/>
        <v/>
      </c>
      <c r="S1285">
        <v>0</v>
      </c>
      <c r="T1285" t="str">
        <f>IF(VALUE(S1285)=0,"",VLOOKUP(VLOOKUP(S1285,Tbl_Effect[],3,FALSE),EffectName[],IFERROR(MATCH(UI!$B$1,EffectName[#Headers],0),2),FALSE))</f>
        <v/>
      </c>
      <c r="U1285" t="str">
        <f t="shared" si="144"/>
        <v/>
      </c>
      <c r="V1285">
        <v>0</v>
      </c>
      <c r="W1285" t="str">
        <f>IF(V1285&lt;&gt;0,VLOOKUP(VLOOKUP(V1285,Tbl_Effect[],3,FALSE),EffectName[],IFERROR(MATCH(UI!$B$1,EffectName[#Headers],0),2),FALSE),"")</f>
        <v/>
      </c>
      <c r="X1285" t="str">
        <f t="shared" si="145"/>
        <v/>
      </c>
      <c r="Y1285">
        <v>0</v>
      </c>
      <c r="Z1285" t="str">
        <f>IF(Y1285&lt;&gt;0,VLOOKUP(VLOOKUP(Y1285,Tbl_Effect[],3,FALSE),EffectName[],IFERROR(MATCH(UI!$B$1,EffectName[#Headers],0),2),FALSE),"")</f>
        <v/>
      </c>
      <c r="AA1285" t="str">
        <f t="shared" si="146"/>
        <v/>
      </c>
      <c r="AB1285">
        <v>0</v>
      </c>
      <c r="AC1285" t="str">
        <f>IF(AB1285&lt;&gt;0,VLOOKUP(VLOOKUP(AB1285,Tbl_Effect[],3,FALSE),EffectName[],IFERROR(MATCH(UI!$B$1,EffectName[#Headers],0),2),FALSE),"")</f>
        <v/>
      </c>
    </row>
    <row r="1286" spans="8:29" x14ac:dyDescent="0.4">
      <c r="H1286" t="str">
        <f t="shared" si="140"/>
        <v>7124700-Unset (紅)</v>
      </c>
      <c r="I1286">
        <v>7124700</v>
      </c>
      <c r="J1286" t="str">
        <f>_xlfn.IFNA(IF(I1286&lt;&gt;0,VLOOKUP(VLOOKUP(I1286,Tbl_Equip[],2,FALSE),Tbl_Color[],IFERROR(MATCH(UI!$B$1,Tbl_Color[#Headers],0),2),FALSE),""),"Unset")</f>
        <v>紅</v>
      </c>
      <c r="K1286" t="str">
        <f>_xlfn.IFNA(IF(I1286&lt;&gt;0,VLOOKUP(I1286,ItemText[],IFERROR(MATCH(UI!$B$1,ItemText[#Headers],0),2),FALSE),""),"Unset")</f>
        <v>Unset</v>
      </c>
      <c r="L1286" t="str">
        <f t="shared" si="141"/>
        <v/>
      </c>
      <c r="M1286">
        <v>0</v>
      </c>
      <c r="N1286" t="str">
        <f>IF(VALUE(M1286)=0,"",VLOOKUP(VLOOKUP(M1286,Tbl_Effect[],3,FALSE),EffectName[],IFERROR(MATCH(UI!$B$1,EffectName[#Headers],0),2),FALSE))</f>
        <v/>
      </c>
      <c r="O1286" t="str">
        <f t="shared" si="142"/>
        <v/>
      </c>
      <c r="P1286">
        <v>0</v>
      </c>
      <c r="Q1286" t="str">
        <f>IF(VALUE(P1286)=0,"",VLOOKUP(VLOOKUP(P1286,Tbl_Effect[],3,FALSE),EffectName[],IFERROR(MATCH(UI!$B$1,EffectName[#Headers],0),2),FALSE))</f>
        <v/>
      </c>
      <c r="R1286" t="str">
        <f t="shared" si="143"/>
        <v/>
      </c>
      <c r="S1286">
        <v>0</v>
      </c>
      <c r="T1286" t="str">
        <f>IF(VALUE(S1286)=0,"",VLOOKUP(VLOOKUP(S1286,Tbl_Effect[],3,FALSE),EffectName[],IFERROR(MATCH(UI!$B$1,EffectName[#Headers],0),2),FALSE))</f>
        <v/>
      </c>
      <c r="U1286" t="str">
        <f t="shared" si="144"/>
        <v/>
      </c>
      <c r="V1286">
        <v>0</v>
      </c>
      <c r="W1286" t="str">
        <f>IF(V1286&lt;&gt;0,VLOOKUP(VLOOKUP(V1286,Tbl_Effect[],3,FALSE),EffectName[],IFERROR(MATCH(UI!$B$1,EffectName[#Headers],0),2),FALSE),"")</f>
        <v/>
      </c>
      <c r="X1286" t="str">
        <f t="shared" si="145"/>
        <v/>
      </c>
      <c r="Y1286">
        <v>0</v>
      </c>
      <c r="Z1286" t="str">
        <f>IF(Y1286&lt;&gt;0,VLOOKUP(VLOOKUP(Y1286,Tbl_Effect[],3,FALSE),EffectName[],IFERROR(MATCH(UI!$B$1,EffectName[#Headers],0),2),FALSE),"")</f>
        <v/>
      </c>
      <c r="AA1286" t="str">
        <f t="shared" si="146"/>
        <v/>
      </c>
      <c r="AB1286">
        <v>0</v>
      </c>
      <c r="AC1286" t="str">
        <f>IF(AB1286&lt;&gt;0,VLOOKUP(VLOOKUP(AB1286,Tbl_Effect[],3,FALSE),EffectName[],IFERROR(MATCH(UI!$B$1,EffectName[#Headers],0),2),FALSE),"")</f>
        <v/>
      </c>
    </row>
    <row r="1287" spans="8:29" x14ac:dyDescent="0.4">
      <c r="H1287" t="str">
        <f t="shared" si="140"/>
        <v>7126000-Unset (紅)</v>
      </c>
      <c r="I1287">
        <v>7126000</v>
      </c>
      <c r="J1287" t="str">
        <f>_xlfn.IFNA(IF(I1287&lt;&gt;0,VLOOKUP(VLOOKUP(I1287,Tbl_Equip[],2,FALSE),Tbl_Color[],IFERROR(MATCH(UI!$B$1,Tbl_Color[#Headers],0),2),FALSE),""),"Unset")</f>
        <v>紅</v>
      </c>
      <c r="K1287" t="str">
        <f>_xlfn.IFNA(IF(I1287&lt;&gt;0,VLOOKUP(I1287,ItemText[],IFERROR(MATCH(UI!$B$1,ItemText[#Headers],0),2),FALSE),""),"Unset")</f>
        <v>Unset</v>
      </c>
      <c r="L1287" t="str">
        <f t="shared" si="141"/>
        <v/>
      </c>
      <c r="M1287">
        <v>0</v>
      </c>
      <c r="N1287" t="str">
        <f>IF(VALUE(M1287)=0,"",VLOOKUP(VLOOKUP(M1287,Tbl_Effect[],3,FALSE),EffectName[],IFERROR(MATCH(UI!$B$1,EffectName[#Headers],0),2),FALSE))</f>
        <v/>
      </c>
      <c r="O1287" t="str">
        <f t="shared" si="142"/>
        <v/>
      </c>
      <c r="P1287">
        <v>0</v>
      </c>
      <c r="Q1287" t="str">
        <f>IF(VALUE(P1287)=0,"",VLOOKUP(VLOOKUP(P1287,Tbl_Effect[],3,FALSE),EffectName[],IFERROR(MATCH(UI!$B$1,EffectName[#Headers],0),2),FALSE))</f>
        <v/>
      </c>
      <c r="R1287" t="str">
        <f t="shared" si="143"/>
        <v/>
      </c>
      <c r="S1287">
        <v>0</v>
      </c>
      <c r="T1287" t="str">
        <f>IF(VALUE(S1287)=0,"",VLOOKUP(VLOOKUP(S1287,Tbl_Effect[],3,FALSE),EffectName[],IFERROR(MATCH(UI!$B$1,EffectName[#Headers],0),2),FALSE))</f>
        <v/>
      </c>
      <c r="U1287" t="str">
        <f t="shared" si="144"/>
        <v/>
      </c>
      <c r="V1287">
        <v>0</v>
      </c>
      <c r="W1287" t="str">
        <f>IF(V1287&lt;&gt;0,VLOOKUP(VLOOKUP(V1287,Tbl_Effect[],3,FALSE),EffectName[],IFERROR(MATCH(UI!$B$1,EffectName[#Headers],0),2),FALSE),"")</f>
        <v/>
      </c>
      <c r="X1287" t="str">
        <f t="shared" si="145"/>
        <v/>
      </c>
      <c r="Y1287">
        <v>0</v>
      </c>
      <c r="Z1287" t="str">
        <f>IF(Y1287&lt;&gt;0,VLOOKUP(VLOOKUP(Y1287,Tbl_Effect[],3,FALSE),EffectName[],IFERROR(MATCH(UI!$B$1,EffectName[#Headers],0),2),FALSE),"")</f>
        <v/>
      </c>
      <c r="AA1287" t="str">
        <f t="shared" si="146"/>
        <v/>
      </c>
      <c r="AB1287">
        <v>0</v>
      </c>
      <c r="AC1287" t="str">
        <f>IF(AB1287&lt;&gt;0,VLOOKUP(VLOOKUP(AB1287,Tbl_Effect[],3,FALSE),EffectName[],IFERROR(MATCH(UI!$B$1,EffectName[#Headers],0),2),FALSE),"")</f>
        <v/>
      </c>
    </row>
    <row r="1288" spans="8:29" x14ac:dyDescent="0.4">
      <c r="H1288" t="str">
        <f t="shared" si="140"/>
        <v>7150000-Unset (紅)</v>
      </c>
      <c r="I1288">
        <v>7150000</v>
      </c>
      <c r="J1288" t="str">
        <f>_xlfn.IFNA(IF(I1288&lt;&gt;0,VLOOKUP(VLOOKUP(I1288,Tbl_Equip[],2,FALSE),Tbl_Color[],IFERROR(MATCH(UI!$B$1,Tbl_Color[#Headers],0),2),FALSE),""),"Unset")</f>
        <v>紅</v>
      </c>
      <c r="K1288" t="str">
        <f>_xlfn.IFNA(IF(I1288&lt;&gt;0,VLOOKUP(I1288,ItemText[],IFERROR(MATCH(UI!$B$1,ItemText[#Headers],0),2),FALSE),""),"Unset")</f>
        <v>Unset</v>
      </c>
      <c r="L1288" t="str">
        <f t="shared" si="141"/>
        <v/>
      </c>
      <c r="M1288">
        <v>0</v>
      </c>
      <c r="N1288" t="str">
        <f>IF(VALUE(M1288)=0,"",VLOOKUP(VLOOKUP(M1288,Tbl_Effect[],3,FALSE),EffectName[],IFERROR(MATCH(UI!$B$1,EffectName[#Headers],0),2),FALSE))</f>
        <v/>
      </c>
      <c r="O1288" t="str">
        <f t="shared" si="142"/>
        <v/>
      </c>
      <c r="P1288">
        <v>0</v>
      </c>
      <c r="Q1288" t="str">
        <f>IF(VALUE(P1288)=0,"",VLOOKUP(VLOOKUP(P1288,Tbl_Effect[],3,FALSE),EffectName[],IFERROR(MATCH(UI!$B$1,EffectName[#Headers],0),2),FALSE))</f>
        <v/>
      </c>
      <c r="R1288" t="str">
        <f t="shared" si="143"/>
        <v/>
      </c>
      <c r="S1288">
        <v>0</v>
      </c>
      <c r="T1288" t="str">
        <f>IF(VALUE(S1288)=0,"",VLOOKUP(VLOOKUP(S1288,Tbl_Effect[],3,FALSE),EffectName[],IFERROR(MATCH(UI!$B$1,EffectName[#Headers],0),2),FALSE))</f>
        <v/>
      </c>
      <c r="U1288" t="str">
        <f t="shared" si="144"/>
        <v/>
      </c>
      <c r="V1288">
        <v>0</v>
      </c>
      <c r="W1288" t="str">
        <f>IF(V1288&lt;&gt;0,VLOOKUP(VLOOKUP(V1288,Tbl_Effect[],3,FALSE),EffectName[],IFERROR(MATCH(UI!$B$1,EffectName[#Headers],0),2),FALSE),"")</f>
        <v/>
      </c>
      <c r="X1288" t="str">
        <f t="shared" si="145"/>
        <v/>
      </c>
      <c r="Y1288">
        <v>0</v>
      </c>
      <c r="Z1288" t="str">
        <f>IF(Y1288&lt;&gt;0,VLOOKUP(VLOOKUP(Y1288,Tbl_Effect[],3,FALSE),EffectName[],IFERROR(MATCH(UI!$B$1,EffectName[#Headers],0),2),FALSE),"")</f>
        <v/>
      </c>
      <c r="AA1288" t="str">
        <f t="shared" si="146"/>
        <v/>
      </c>
      <c r="AB1288">
        <v>0</v>
      </c>
      <c r="AC1288" t="str">
        <f>IF(AB1288&lt;&gt;0,VLOOKUP(VLOOKUP(AB1288,Tbl_Effect[],3,FALSE),EffectName[],IFERROR(MATCH(UI!$B$1,EffectName[#Headers],0),2),FALSE),"")</f>
        <v/>
      </c>
    </row>
    <row r="1289" spans="8:29" x14ac:dyDescent="0.4">
      <c r="H1289" t="str">
        <f t="shared" si="140"/>
        <v>7160000-Unset (紅)</v>
      </c>
      <c r="I1289">
        <v>7160000</v>
      </c>
      <c r="J1289" t="str">
        <f>_xlfn.IFNA(IF(I1289&lt;&gt;0,VLOOKUP(VLOOKUP(I1289,Tbl_Equip[],2,FALSE),Tbl_Color[],IFERROR(MATCH(UI!$B$1,Tbl_Color[#Headers],0),2),FALSE),""),"Unset")</f>
        <v>紅</v>
      </c>
      <c r="K1289" t="str">
        <f>_xlfn.IFNA(IF(I1289&lt;&gt;0,VLOOKUP(I1289,ItemText[],IFERROR(MATCH(UI!$B$1,ItemText[#Headers],0),2),FALSE),""),"Unset")</f>
        <v>Unset</v>
      </c>
      <c r="L1289" t="str">
        <f t="shared" si="141"/>
        <v/>
      </c>
      <c r="M1289">
        <v>0</v>
      </c>
      <c r="N1289" t="str">
        <f>IF(VALUE(M1289)=0,"",VLOOKUP(VLOOKUP(M1289,Tbl_Effect[],3,FALSE),EffectName[],IFERROR(MATCH(UI!$B$1,EffectName[#Headers],0),2),FALSE))</f>
        <v/>
      </c>
      <c r="O1289" t="str">
        <f t="shared" si="142"/>
        <v/>
      </c>
      <c r="P1289">
        <v>0</v>
      </c>
      <c r="Q1289" t="str">
        <f>IF(VALUE(P1289)=0,"",VLOOKUP(VLOOKUP(P1289,Tbl_Effect[],3,FALSE),EffectName[],IFERROR(MATCH(UI!$B$1,EffectName[#Headers],0),2),FALSE))</f>
        <v/>
      </c>
      <c r="R1289" t="str">
        <f t="shared" si="143"/>
        <v/>
      </c>
      <c r="S1289">
        <v>0</v>
      </c>
      <c r="T1289" t="str">
        <f>IF(VALUE(S1289)=0,"",VLOOKUP(VLOOKUP(S1289,Tbl_Effect[],3,FALSE),EffectName[],IFERROR(MATCH(UI!$B$1,EffectName[#Headers],0),2),FALSE))</f>
        <v/>
      </c>
      <c r="U1289" t="str">
        <f t="shared" si="144"/>
        <v/>
      </c>
      <c r="V1289">
        <v>0</v>
      </c>
      <c r="W1289" t="str">
        <f>IF(V1289&lt;&gt;0,VLOOKUP(VLOOKUP(V1289,Tbl_Effect[],3,FALSE),EffectName[],IFERROR(MATCH(UI!$B$1,EffectName[#Headers],0),2),FALSE),"")</f>
        <v/>
      </c>
      <c r="X1289" t="str">
        <f t="shared" si="145"/>
        <v/>
      </c>
      <c r="Y1289">
        <v>0</v>
      </c>
      <c r="Z1289" t="str">
        <f>IF(Y1289&lt;&gt;0,VLOOKUP(VLOOKUP(Y1289,Tbl_Effect[],3,FALSE),EffectName[],IFERROR(MATCH(UI!$B$1,EffectName[#Headers],0),2),FALSE),"")</f>
        <v/>
      </c>
      <c r="AA1289" t="str">
        <f t="shared" si="146"/>
        <v/>
      </c>
      <c r="AB1289">
        <v>0</v>
      </c>
      <c r="AC1289" t="str">
        <f>IF(AB1289&lt;&gt;0,VLOOKUP(VLOOKUP(AB1289,Tbl_Effect[],3,FALSE),EffectName[],IFERROR(MATCH(UI!$B$1,EffectName[#Headers],0),2),FALSE),"")</f>
        <v/>
      </c>
    </row>
    <row r="1290" spans="8:29" x14ac:dyDescent="0.4">
      <c r="H1290" t="str">
        <f t="shared" si="140"/>
        <v>7220000-Unset (紅)</v>
      </c>
      <c r="I1290">
        <v>7220000</v>
      </c>
      <c r="J1290" t="str">
        <f>_xlfn.IFNA(IF(I1290&lt;&gt;0,VLOOKUP(VLOOKUP(I1290,Tbl_Equip[],2,FALSE),Tbl_Color[],IFERROR(MATCH(UI!$B$1,Tbl_Color[#Headers],0),2),FALSE),""),"Unset")</f>
        <v>紅</v>
      </c>
      <c r="K1290" t="str">
        <f>_xlfn.IFNA(IF(I1290&lt;&gt;0,VLOOKUP(I1290,ItemText[],IFERROR(MATCH(UI!$B$1,ItemText[#Headers],0),2),FALSE),""),"Unset")</f>
        <v>Unset</v>
      </c>
      <c r="L1290" t="str">
        <f t="shared" si="141"/>
        <v/>
      </c>
      <c r="M1290">
        <v>0</v>
      </c>
      <c r="N1290" t="str">
        <f>IF(VALUE(M1290)=0,"",VLOOKUP(VLOOKUP(M1290,Tbl_Effect[],3,FALSE),EffectName[],IFERROR(MATCH(UI!$B$1,EffectName[#Headers],0),2),FALSE))</f>
        <v/>
      </c>
      <c r="O1290" t="str">
        <f t="shared" si="142"/>
        <v/>
      </c>
      <c r="P1290">
        <v>0</v>
      </c>
      <c r="Q1290" t="str">
        <f>IF(VALUE(P1290)=0,"",VLOOKUP(VLOOKUP(P1290,Tbl_Effect[],3,FALSE),EffectName[],IFERROR(MATCH(UI!$B$1,EffectName[#Headers],0),2),FALSE))</f>
        <v/>
      </c>
      <c r="R1290" t="str">
        <f t="shared" si="143"/>
        <v/>
      </c>
      <c r="S1290">
        <v>0</v>
      </c>
      <c r="T1290" t="str">
        <f>IF(VALUE(S1290)=0,"",VLOOKUP(VLOOKUP(S1290,Tbl_Effect[],3,FALSE),EffectName[],IFERROR(MATCH(UI!$B$1,EffectName[#Headers],0),2),FALSE))</f>
        <v/>
      </c>
      <c r="U1290" t="str">
        <f t="shared" si="144"/>
        <v/>
      </c>
      <c r="V1290">
        <v>0</v>
      </c>
      <c r="W1290" t="str">
        <f>IF(V1290&lt;&gt;0,VLOOKUP(VLOOKUP(V1290,Tbl_Effect[],3,FALSE),EffectName[],IFERROR(MATCH(UI!$B$1,EffectName[#Headers],0),2),FALSE),"")</f>
        <v/>
      </c>
      <c r="X1290" t="str">
        <f t="shared" si="145"/>
        <v/>
      </c>
      <c r="Y1290">
        <v>0</v>
      </c>
      <c r="Z1290" t="str">
        <f>IF(Y1290&lt;&gt;0,VLOOKUP(VLOOKUP(Y1290,Tbl_Effect[],3,FALSE),EffectName[],IFERROR(MATCH(UI!$B$1,EffectName[#Headers],0),2),FALSE),"")</f>
        <v/>
      </c>
      <c r="AA1290" t="str">
        <f t="shared" si="146"/>
        <v/>
      </c>
      <c r="AB1290">
        <v>0</v>
      </c>
      <c r="AC1290" t="str">
        <f>IF(AB1290&lt;&gt;0,VLOOKUP(VLOOKUP(AB1290,Tbl_Effect[],3,FALSE),EffectName[],IFERROR(MATCH(UI!$B$1,EffectName[#Headers],0),2),FALSE),"")</f>
        <v/>
      </c>
    </row>
    <row r="1291" spans="8:29" x14ac:dyDescent="0.4">
      <c r="H1291" t="str">
        <f t="shared" si="140"/>
        <v>7230000-Unset (紅)</v>
      </c>
      <c r="I1291">
        <v>7230000</v>
      </c>
      <c r="J1291" t="str">
        <f>_xlfn.IFNA(IF(I1291&lt;&gt;0,VLOOKUP(VLOOKUP(I1291,Tbl_Equip[],2,FALSE),Tbl_Color[],IFERROR(MATCH(UI!$B$1,Tbl_Color[#Headers],0),2),FALSE),""),"Unset")</f>
        <v>紅</v>
      </c>
      <c r="K1291" t="str">
        <f>_xlfn.IFNA(IF(I1291&lt;&gt;0,VLOOKUP(I1291,ItemText[],IFERROR(MATCH(UI!$B$1,ItemText[#Headers],0),2),FALSE),""),"Unset")</f>
        <v>Unset</v>
      </c>
      <c r="L1291" t="str">
        <f t="shared" si="141"/>
        <v/>
      </c>
      <c r="M1291">
        <v>0</v>
      </c>
      <c r="N1291" t="str">
        <f>IF(VALUE(M1291)=0,"",VLOOKUP(VLOOKUP(M1291,Tbl_Effect[],3,FALSE),EffectName[],IFERROR(MATCH(UI!$B$1,EffectName[#Headers],0),2),FALSE))</f>
        <v/>
      </c>
      <c r="O1291" t="str">
        <f t="shared" si="142"/>
        <v/>
      </c>
      <c r="P1291">
        <v>0</v>
      </c>
      <c r="Q1291" t="str">
        <f>IF(VALUE(P1291)=0,"",VLOOKUP(VLOOKUP(P1291,Tbl_Effect[],3,FALSE),EffectName[],IFERROR(MATCH(UI!$B$1,EffectName[#Headers],0),2),FALSE))</f>
        <v/>
      </c>
      <c r="R1291" t="str">
        <f t="shared" si="143"/>
        <v/>
      </c>
      <c r="S1291">
        <v>0</v>
      </c>
      <c r="T1291" t="str">
        <f>IF(VALUE(S1291)=0,"",VLOOKUP(VLOOKUP(S1291,Tbl_Effect[],3,FALSE),EffectName[],IFERROR(MATCH(UI!$B$1,EffectName[#Headers],0),2),FALSE))</f>
        <v/>
      </c>
      <c r="U1291" t="str">
        <f t="shared" si="144"/>
        <v/>
      </c>
      <c r="V1291">
        <v>0</v>
      </c>
      <c r="W1291" t="str">
        <f>IF(V1291&lt;&gt;0,VLOOKUP(VLOOKUP(V1291,Tbl_Effect[],3,FALSE),EffectName[],IFERROR(MATCH(UI!$B$1,EffectName[#Headers],0),2),FALSE),"")</f>
        <v/>
      </c>
      <c r="X1291" t="str">
        <f t="shared" si="145"/>
        <v/>
      </c>
      <c r="Y1291">
        <v>0</v>
      </c>
      <c r="Z1291" t="str">
        <f>IF(Y1291&lt;&gt;0,VLOOKUP(VLOOKUP(Y1291,Tbl_Effect[],3,FALSE),EffectName[],IFERROR(MATCH(UI!$B$1,EffectName[#Headers],0),2),FALSE),"")</f>
        <v/>
      </c>
      <c r="AA1291" t="str">
        <f t="shared" si="146"/>
        <v/>
      </c>
      <c r="AB1291">
        <v>0</v>
      </c>
      <c r="AC1291" t="str">
        <f>IF(AB1291&lt;&gt;0,VLOOKUP(VLOOKUP(AB1291,Tbl_Effect[],3,FALSE),EffectName[],IFERROR(MATCH(UI!$B$1,EffectName[#Headers],0),2),FALSE),"")</f>
        <v/>
      </c>
    </row>
    <row r="1292" spans="8:29" x14ac:dyDescent="0.4">
      <c r="H1292" t="str">
        <f t="shared" si="140"/>
        <v>7230001-Unset (紅)</v>
      </c>
      <c r="I1292">
        <v>7230001</v>
      </c>
      <c r="J1292" t="str">
        <f>_xlfn.IFNA(IF(I1292&lt;&gt;0,VLOOKUP(VLOOKUP(I1292,Tbl_Equip[],2,FALSE),Tbl_Color[],IFERROR(MATCH(UI!$B$1,Tbl_Color[#Headers],0),2),FALSE),""),"Unset")</f>
        <v>紅</v>
      </c>
      <c r="K1292" t="str">
        <f>_xlfn.IFNA(IF(I1292&lt;&gt;0,VLOOKUP(I1292,ItemText[],IFERROR(MATCH(UI!$B$1,ItemText[#Headers],0),2),FALSE),""),"Unset")</f>
        <v>Unset</v>
      </c>
      <c r="L1292" t="str">
        <f t="shared" si="141"/>
        <v/>
      </c>
      <c r="M1292">
        <v>0</v>
      </c>
      <c r="N1292" t="str">
        <f>IF(VALUE(M1292)=0,"",VLOOKUP(VLOOKUP(M1292,Tbl_Effect[],3,FALSE),EffectName[],IFERROR(MATCH(UI!$B$1,EffectName[#Headers],0),2),FALSE))</f>
        <v/>
      </c>
      <c r="O1292" t="str">
        <f t="shared" si="142"/>
        <v/>
      </c>
      <c r="P1292">
        <v>0</v>
      </c>
      <c r="Q1292" t="str">
        <f>IF(VALUE(P1292)=0,"",VLOOKUP(VLOOKUP(P1292,Tbl_Effect[],3,FALSE),EffectName[],IFERROR(MATCH(UI!$B$1,EffectName[#Headers],0),2),FALSE))</f>
        <v/>
      </c>
      <c r="R1292" t="str">
        <f t="shared" si="143"/>
        <v/>
      </c>
      <c r="S1292">
        <v>0</v>
      </c>
      <c r="T1292" t="str">
        <f>IF(VALUE(S1292)=0,"",VLOOKUP(VLOOKUP(S1292,Tbl_Effect[],3,FALSE),EffectName[],IFERROR(MATCH(UI!$B$1,EffectName[#Headers],0),2),FALSE))</f>
        <v/>
      </c>
      <c r="U1292" t="str">
        <f t="shared" si="144"/>
        <v/>
      </c>
      <c r="V1292">
        <v>0</v>
      </c>
      <c r="W1292" t="str">
        <f>IF(V1292&lt;&gt;0,VLOOKUP(VLOOKUP(V1292,Tbl_Effect[],3,FALSE),EffectName[],IFERROR(MATCH(UI!$B$1,EffectName[#Headers],0),2),FALSE),"")</f>
        <v/>
      </c>
      <c r="X1292" t="str">
        <f t="shared" si="145"/>
        <v/>
      </c>
      <c r="Y1292">
        <v>0</v>
      </c>
      <c r="Z1292" t="str">
        <f>IF(Y1292&lt;&gt;0,VLOOKUP(VLOOKUP(Y1292,Tbl_Effect[],3,FALSE),EffectName[],IFERROR(MATCH(UI!$B$1,EffectName[#Headers],0),2),FALSE),"")</f>
        <v/>
      </c>
      <c r="AA1292" t="str">
        <f t="shared" si="146"/>
        <v/>
      </c>
      <c r="AB1292">
        <v>0</v>
      </c>
      <c r="AC1292" t="str">
        <f>IF(AB1292&lt;&gt;0,VLOOKUP(VLOOKUP(AB1292,Tbl_Effect[],3,FALSE),EffectName[],IFERROR(MATCH(UI!$B$1,EffectName[#Headers],0),2),FALSE),"")</f>
        <v/>
      </c>
    </row>
    <row r="1293" spans="8:29" x14ac:dyDescent="0.4">
      <c r="H1293" t="str">
        <f t="shared" si="140"/>
        <v>7240000-Unset (紅)</v>
      </c>
      <c r="I1293">
        <v>7240000</v>
      </c>
      <c r="J1293" t="str">
        <f>_xlfn.IFNA(IF(I1293&lt;&gt;0,VLOOKUP(VLOOKUP(I1293,Tbl_Equip[],2,FALSE),Tbl_Color[],IFERROR(MATCH(UI!$B$1,Tbl_Color[#Headers],0),2),FALSE),""),"Unset")</f>
        <v>紅</v>
      </c>
      <c r="K1293" t="str">
        <f>_xlfn.IFNA(IF(I1293&lt;&gt;0,VLOOKUP(I1293,ItemText[],IFERROR(MATCH(UI!$B$1,ItemText[#Headers],0),2),FALSE),""),"Unset")</f>
        <v>Unset</v>
      </c>
      <c r="L1293" t="str">
        <f t="shared" si="141"/>
        <v/>
      </c>
      <c r="M1293">
        <v>0</v>
      </c>
      <c r="N1293" t="str">
        <f>IF(VALUE(M1293)=0,"",VLOOKUP(VLOOKUP(M1293,Tbl_Effect[],3,FALSE),EffectName[],IFERROR(MATCH(UI!$B$1,EffectName[#Headers],0),2),FALSE))</f>
        <v/>
      </c>
      <c r="O1293" t="str">
        <f t="shared" si="142"/>
        <v/>
      </c>
      <c r="P1293">
        <v>0</v>
      </c>
      <c r="Q1293" t="str">
        <f>IF(VALUE(P1293)=0,"",VLOOKUP(VLOOKUP(P1293,Tbl_Effect[],3,FALSE),EffectName[],IFERROR(MATCH(UI!$B$1,EffectName[#Headers],0),2),FALSE))</f>
        <v/>
      </c>
      <c r="R1293" t="str">
        <f t="shared" si="143"/>
        <v/>
      </c>
      <c r="S1293">
        <v>0</v>
      </c>
      <c r="T1293" t="str">
        <f>IF(VALUE(S1293)=0,"",VLOOKUP(VLOOKUP(S1293,Tbl_Effect[],3,FALSE),EffectName[],IFERROR(MATCH(UI!$B$1,EffectName[#Headers],0),2),FALSE))</f>
        <v/>
      </c>
      <c r="U1293" t="str">
        <f t="shared" si="144"/>
        <v/>
      </c>
      <c r="V1293">
        <v>0</v>
      </c>
      <c r="W1293" t="str">
        <f>IF(V1293&lt;&gt;0,VLOOKUP(VLOOKUP(V1293,Tbl_Effect[],3,FALSE),EffectName[],IFERROR(MATCH(UI!$B$1,EffectName[#Headers],0),2),FALSE),"")</f>
        <v/>
      </c>
      <c r="X1293" t="str">
        <f t="shared" si="145"/>
        <v/>
      </c>
      <c r="Y1293">
        <v>0</v>
      </c>
      <c r="Z1293" t="str">
        <f>IF(Y1293&lt;&gt;0,VLOOKUP(VLOOKUP(Y1293,Tbl_Effect[],3,FALSE),EffectName[],IFERROR(MATCH(UI!$B$1,EffectName[#Headers],0),2),FALSE),"")</f>
        <v/>
      </c>
      <c r="AA1293" t="str">
        <f t="shared" si="146"/>
        <v/>
      </c>
      <c r="AB1293">
        <v>0</v>
      </c>
      <c r="AC1293" t="str">
        <f>IF(AB1293&lt;&gt;0,VLOOKUP(VLOOKUP(AB1293,Tbl_Effect[],3,FALSE),EffectName[],IFERROR(MATCH(UI!$B$1,EffectName[#Headers],0),2),FALSE),"")</f>
        <v/>
      </c>
    </row>
    <row r="1294" spans="8:29" x14ac:dyDescent="0.4">
      <c r="H1294" t="str">
        <f t="shared" si="140"/>
        <v>7260000-Unset (紅)</v>
      </c>
      <c r="I1294">
        <v>7260000</v>
      </c>
      <c r="J1294" t="str">
        <f>_xlfn.IFNA(IF(I1294&lt;&gt;0,VLOOKUP(VLOOKUP(I1294,Tbl_Equip[],2,FALSE),Tbl_Color[],IFERROR(MATCH(UI!$B$1,Tbl_Color[#Headers],0),2),FALSE),""),"Unset")</f>
        <v>紅</v>
      </c>
      <c r="K1294" t="str">
        <f>_xlfn.IFNA(IF(I1294&lt;&gt;0,VLOOKUP(I1294,ItemText[],IFERROR(MATCH(UI!$B$1,ItemText[#Headers],0),2),FALSE),""),"Unset")</f>
        <v>Unset</v>
      </c>
      <c r="L1294" t="str">
        <f t="shared" si="141"/>
        <v/>
      </c>
      <c r="M1294">
        <v>0</v>
      </c>
      <c r="N1294" t="str">
        <f>IF(VALUE(M1294)=0,"",VLOOKUP(VLOOKUP(M1294,Tbl_Effect[],3,FALSE),EffectName[],IFERROR(MATCH(UI!$B$1,EffectName[#Headers],0),2),FALSE))</f>
        <v/>
      </c>
      <c r="O1294" t="str">
        <f t="shared" si="142"/>
        <v/>
      </c>
      <c r="P1294">
        <v>0</v>
      </c>
      <c r="Q1294" t="str">
        <f>IF(VALUE(P1294)=0,"",VLOOKUP(VLOOKUP(P1294,Tbl_Effect[],3,FALSE),EffectName[],IFERROR(MATCH(UI!$B$1,EffectName[#Headers],0),2),FALSE))</f>
        <v/>
      </c>
      <c r="R1294" t="str">
        <f t="shared" si="143"/>
        <v/>
      </c>
      <c r="S1294">
        <v>0</v>
      </c>
      <c r="T1294" t="str">
        <f>IF(VALUE(S1294)=0,"",VLOOKUP(VLOOKUP(S1294,Tbl_Effect[],3,FALSE),EffectName[],IFERROR(MATCH(UI!$B$1,EffectName[#Headers],0),2),FALSE))</f>
        <v/>
      </c>
      <c r="U1294" t="str">
        <f t="shared" si="144"/>
        <v/>
      </c>
      <c r="V1294">
        <v>0</v>
      </c>
      <c r="W1294" t="str">
        <f>IF(V1294&lt;&gt;0,VLOOKUP(VLOOKUP(V1294,Tbl_Effect[],3,FALSE),EffectName[],IFERROR(MATCH(UI!$B$1,EffectName[#Headers],0),2),FALSE),"")</f>
        <v/>
      </c>
      <c r="X1294" t="str">
        <f t="shared" si="145"/>
        <v/>
      </c>
      <c r="Y1294">
        <v>0</v>
      </c>
      <c r="Z1294" t="str">
        <f>IF(Y1294&lt;&gt;0,VLOOKUP(VLOOKUP(Y1294,Tbl_Effect[],3,FALSE),EffectName[],IFERROR(MATCH(UI!$B$1,EffectName[#Headers],0),2),FALSE),"")</f>
        <v/>
      </c>
      <c r="AA1294" t="str">
        <f t="shared" si="146"/>
        <v/>
      </c>
      <c r="AB1294">
        <v>0</v>
      </c>
      <c r="AC1294" t="str">
        <f>IF(AB1294&lt;&gt;0,VLOOKUP(VLOOKUP(AB1294,Tbl_Effect[],3,FALSE),EffectName[],IFERROR(MATCH(UI!$B$1,EffectName[#Headers],0),2),FALSE),"")</f>
        <v/>
      </c>
    </row>
    <row r="1295" spans="8:29" x14ac:dyDescent="0.4">
      <c r="H1295" t="str">
        <f t="shared" si="140"/>
        <v>7260300-Unset (紅)</v>
      </c>
      <c r="I1295">
        <v>7260300</v>
      </c>
      <c r="J1295" t="str">
        <f>_xlfn.IFNA(IF(I1295&lt;&gt;0,VLOOKUP(VLOOKUP(I1295,Tbl_Equip[],2,FALSE),Tbl_Color[],IFERROR(MATCH(UI!$B$1,Tbl_Color[#Headers],0),2),FALSE),""),"Unset")</f>
        <v>紅</v>
      </c>
      <c r="K1295" t="str">
        <f>_xlfn.IFNA(IF(I1295&lt;&gt;0,VLOOKUP(I1295,ItemText[],IFERROR(MATCH(UI!$B$1,ItemText[#Headers],0),2),FALSE),""),"Unset")</f>
        <v>Unset</v>
      </c>
      <c r="L1295" t="str">
        <f t="shared" si="141"/>
        <v/>
      </c>
      <c r="M1295">
        <v>0</v>
      </c>
      <c r="N1295" t="str">
        <f>IF(VALUE(M1295)=0,"",VLOOKUP(VLOOKUP(M1295,Tbl_Effect[],3,FALSE),EffectName[],IFERROR(MATCH(UI!$B$1,EffectName[#Headers],0),2),FALSE))</f>
        <v/>
      </c>
      <c r="O1295" t="str">
        <f t="shared" si="142"/>
        <v/>
      </c>
      <c r="P1295">
        <v>0</v>
      </c>
      <c r="Q1295" t="str">
        <f>IF(VALUE(P1295)=0,"",VLOOKUP(VLOOKUP(P1295,Tbl_Effect[],3,FALSE),EffectName[],IFERROR(MATCH(UI!$B$1,EffectName[#Headers],0),2),FALSE))</f>
        <v/>
      </c>
      <c r="R1295" t="str">
        <f t="shared" si="143"/>
        <v/>
      </c>
      <c r="S1295">
        <v>0</v>
      </c>
      <c r="T1295" t="str">
        <f>IF(VALUE(S1295)=0,"",VLOOKUP(VLOOKUP(S1295,Tbl_Effect[],3,FALSE),EffectName[],IFERROR(MATCH(UI!$B$1,EffectName[#Headers],0),2),FALSE))</f>
        <v/>
      </c>
      <c r="U1295" t="str">
        <f t="shared" si="144"/>
        <v/>
      </c>
      <c r="V1295">
        <v>0</v>
      </c>
      <c r="W1295" t="str">
        <f>IF(V1295&lt;&gt;0,VLOOKUP(VLOOKUP(V1295,Tbl_Effect[],3,FALSE),EffectName[],IFERROR(MATCH(UI!$B$1,EffectName[#Headers],0),2),FALSE),"")</f>
        <v/>
      </c>
      <c r="X1295" t="str">
        <f t="shared" si="145"/>
        <v/>
      </c>
      <c r="Y1295">
        <v>0</v>
      </c>
      <c r="Z1295" t="str">
        <f>IF(Y1295&lt;&gt;0,VLOOKUP(VLOOKUP(Y1295,Tbl_Effect[],3,FALSE),EffectName[],IFERROR(MATCH(UI!$B$1,EffectName[#Headers],0),2),FALSE),"")</f>
        <v/>
      </c>
      <c r="AA1295" t="str">
        <f t="shared" si="146"/>
        <v/>
      </c>
      <c r="AB1295">
        <v>0</v>
      </c>
      <c r="AC1295" t="str">
        <f>IF(AB1295&lt;&gt;0,VLOOKUP(VLOOKUP(AB1295,Tbl_Effect[],3,FALSE),EffectName[],IFERROR(MATCH(UI!$B$1,EffectName[#Headers],0),2),FALSE),"")</f>
        <v/>
      </c>
    </row>
    <row r="1296" spans="8:29" x14ac:dyDescent="0.4">
      <c r="H1296" t="str">
        <f t="shared" si="140"/>
        <v>7260400-Unset (紅)</v>
      </c>
      <c r="I1296">
        <v>7260400</v>
      </c>
      <c r="J1296" t="str">
        <f>_xlfn.IFNA(IF(I1296&lt;&gt;0,VLOOKUP(VLOOKUP(I1296,Tbl_Equip[],2,FALSE),Tbl_Color[],IFERROR(MATCH(UI!$B$1,Tbl_Color[#Headers],0),2),FALSE),""),"Unset")</f>
        <v>紅</v>
      </c>
      <c r="K1296" t="str">
        <f>_xlfn.IFNA(IF(I1296&lt;&gt;0,VLOOKUP(I1296,ItemText[],IFERROR(MATCH(UI!$B$1,ItemText[#Headers],0),2),FALSE),""),"Unset")</f>
        <v>Unset</v>
      </c>
      <c r="L1296" t="str">
        <f t="shared" si="141"/>
        <v/>
      </c>
      <c r="M1296">
        <v>0</v>
      </c>
      <c r="N1296" t="str">
        <f>IF(VALUE(M1296)=0,"",VLOOKUP(VLOOKUP(M1296,Tbl_Effect[],3,FALSE),EffectName[],IFERROR(MATCH(UI!$B$1,EffectName[#Headers],0),2),FALSE))</f>
        <v/>
      </c>
      <c r="O1296" t="str">
        <f t="shared" si="142"/>
        <v/>
      </c>
      <c r="P1296">
        <v>0</v>
      </c>
      <c r="Q1296" t="str">
        <f>IF(VALUE(P1296)=0,"",VLOOKUP(VLOOKUP(P1296,Tbl_Effect[],3,FALSE),EffectName[],IFERROR(MATCH(UI!$B$1,EffectName[#Headers],0),2),FALSE))</f>
        <v/>
      </c>
      <c r="R1296" t="str">
        <f t="shared" si="143"/>
        <v/>
      </c>
      <c r="S1296">
        <v>0</v>
      </c>
      <c r="T1296" t="str">
        <f>IF(VALUE(S1296)=0,"",VLOOKUP(VLOOKUP(S1296,Tbl_Effect[],3,FALSE),EffectName[],IFERROR(MATCH(UI!$B$1,EffectName[#Headers],0),2),FALSE))</f>
        <v/>
      </c>
      <c r="U1296" t="str">
        <f t="shared" si="144"/>
        <v/>
      </c>
      <c r="V1296">
        <v>0</v>
      </c>
      <c r="W1296" t="str">
        <f>IF(V1296&lt;&gt;0,VLOOKUP(VLOOKUP(V1296,Tbl_Effect[],3,FALSE),EffectName[],IFERROR(MATCH(UI!$B$1,EffectName[#Headers],0),2),FALSE),"")</f>
        <v/>
      </c>
      <c r="X1296" t="str">
        <f t="shared" si="145"/>
        <v/>
      </c>
      <c r="Y1296">
        <v>0</v>
      </c>
      <c r="Z1296" t="str">
        <f>IF(Y1296&lt;&gt;0,VLOOKUP(VLOOKUP(Y1296,Tbl_Effect[],3,FALSE),EffectName[],IFERROR(MATCH(UI!$B$1,EffectName[#Headers],0),2),FALSE),"")</f>
        <v/>
      </c>
      <c r="AA1296" t="str">
        <f t="shared" si="146"/>
        <v/>
      </c>
      <c r="AB1296">
        <v>0</v>
      </c>
      <c r="AC1296" t="str">
        <f>IF(AB1296&lt;&gt;0,VLOOKUP(VLOOKUP(AB1296,Tbl_Effect[],3,FALSE),EffectName[],IFERROR(MATCH(UI!$B$1,EffectName[#Headers],0),2),FALSE),"")</f>
        <v/>
      </c>
    </row>
    <row r="1297" spans="8:29" x14ac:dyDescent="0.4">
      <c r="H1297" t="str">
        <f t="shared" si="140"/>
        <v>7260700-Unset (紅)</v>
      </c>
      <c r="I1297">
        <v>7260700</v>
      </c>
      <c r="J1297" t="str">
        <f>_xlfn.IFNA(IF(I1297&lt;&gt;0,VLOOKUP(VLOOKUP(I1297,Tbl_Equip[],2,FALSE),Tbl_Color[],IFERROR(MATCH(UI!$B$1,Tbl_Color[#Headers],0),2),FALSE),""),"Unset")</f>
        <v>紅</v>
      </c>
      <c r="K1297" t="str">
        <f>_xlfn.IFNA(IF(I1297&lt;&gt;0,VLOOKUP(I1297,ItemText[],IFERROR(MATCH(UI!$B$1,ItemText[#Headers],0),2),FALSE),""),"Unset")</f>
        <v>Unset</v>
      </c>
      <c r="L1297" t="str">
        <f t="shared" si="141"/>
        <v/>
      </c>
      <c r="M1297">
        <v>0</v>
      </c>
      <c r="N1297" t="str">
        <f>IF(VALUE(M1297)=0,"",VLOOKUP(VLOOKUP(M1297,Tbl_Effect[],3,FALSE),EffectName[],IFERROR(MATCH(UI!$B$1,EffectName[#Headers],0),2),FALSE))</f>
        <v/>
      </c>
      <c r="O1297" t="str">
        <f t="shared" si="142"/>
        <v/>
      </c>
      <c r="P1297">
        <v>0</v>
      </c>
      <c r="Q1297" t="str">
        <f>IF(VALUE(P1297)=0,"",VLOOKUP(VLOOKUP(P1297,Tbl_Effect[],3,FALSE),EffectName[],IFERROR(MATCH(UI!$B$1,EffectName[#Headers],0),2),FALSE))</f>
        <v/>
      </c>
      <c r="R1297" t="str">
        <f t="shared" si="143"/>
        <v/>
      </c>
      <c r="S1297">
        <v>0</v>
      </c>
      <c r="T1297" t="str">
        <f>IF(VALUE(S1297)=0,"",VLOOKUP(VLOOKUP(S1297,Tbl_Effect[],3,FALSE),EffectName[],IFERROR(MATCH(UI!$B$1,EffectName[#Headers],0),2),FALSE))</f>
        <v/>
      </c>
      <c r="U1297" t="str">
        <f t="shared" si="144"/>
        <v/>
      </c>
      <c r="V1297">
        <v>0</v>
      </c>
      <c r="W1297" t="str">
        <f>IF(V1297&lt;&gt;0,VLOOKUP(VLOOKUP(V1297,Tbl_Effect[],3,FALSE),EffectName[],IFERROR(MATCH(UI!$B$1,EffectName[#Headers],0),2),FALSE),"")</f>
        <v/>
      </c>
      <c r="X1297" t="str">
        <f t="shared" si="145"/>
        <v/>
      </c>
      <c r="Y1297">
        <v>0</v>
      </c>
      <c r="Z1297" t="str">
        <f>IF(Y1297&lt;&gt;0,VLOOKUP(VLOOKUP(Y1297,Tbl_Effect[],3,FALSE),EffectName[],IFERROR(MATCH(UI!$B$1,EffectName[#Headers],0),2),FALSE),"")</f>
        <v/>
      </c>
      <c r="AA1297" t="str">
        <f t="shared" si="146"/>
        <v/>
      </c>
      <c r="AB1297">
        <v>0</v>
      </c>
      <c r="AC1297" t="str">
        <f>IF(AB1297&lt;&gt;0,VLOOKUP(VLOOKUP(AB1297,Tbl_Effect[],3,FALSE),EffectName[],IFERROR(MATCH(UI!$B$1,EffectName[#Headers],0),2),FALSE),"")</f>
        <v/>
      </c>
    </row>
    <row r="1298" spans="8:29" x14ac:dyDescent="0.4">
      <c r="H1298" t="str">
        <f t="shared" si="140"/>
        <v>7260800-Unset (紅)</v>
      </c>
      <c r="I1298">
        <v>7260800</v>
      </c>
      <c r="J1298" t="str">
        <f>_xlfn.IFNA(IF(I1298&lt;&gt;0,VLOOKUP(VLOOKUP(I1298,Tbl_Equip[],2,FALSE),Tbl_Color[],IFERROR(MATCH(UI!$B$1,Tbl_Color[#Headers],0),2),FALSE),""),"Unset")</f>
        <v>紅</v>
      </c>
      <c r="K1298" t="str">
        <f>_xlfn.IFNA(IF(I1298&lt;&gt;0,VLOOKUP(I1298,ItemText[],IFERROR(MATCH(UI!$B$1,ItemText[#Headers],0),2),FALSE),""),"Unset")</f>
        <v>Unset</v>
      </c>
      <c r="L1298" t="str">
        <f t="shared" si="141"/>
        <v/>
      </c>
      <c r="M1298">
        <v>0</v>
      </c>
      <c r="N1298" t="str">
        <f>IF(VALUE(M1298)=0,"",VLOOKUP(VLOOKUP(M1298,Tbl_Effect[],3,FALSE),EffectName[],IFERROR(MATCH(UI!$B$1,EffectName[#Headers],0),2),FALSE))</f>
        <v/>
      </c>
      <c r="O1298" t="str">
        <f t="shared" si="142"/>
        <v/>
      </c>
      <c r="P1298">
        <v>0</v>
      </c>
      <c r="Q1298" t="str">
        <f>IF(VALUE(P1298)=0,"",VLOOKUP(VLOOKUP(P1298,Tbl_Effect[],3,FALSE),EffectName[],IFERROR(MATCH(UI!$B$1,EffectName[#Headers],0),2),FALSE))</f>
        <v/>
      </c>
      <c r="R1298" t="str">
        <f t="shared" si="143"/>
        <v/>
      </c>
      <c r="S1298">
        <v>0</v>
      </c>
      <c r="T1298" t="str">
        <f>IF(VALUE(S1298)=0,"",VLOOKUP(VLOOKUP(S1298,Tbl_Effect[],3,FALSE),EffectName[],IFERROR(MATCH(UI!$B$1,EffectName[#Headers],0),2),FALSE))</f>
        <v/>
      </c>
      <c r="U1298" t="str">
        <f t="shared" si="144"/>
        <v/>
      </c>
      <c r="V1298">
        <v>0</v>
      </c>
      <c r="W1298" t="str">
        <f>IF(V1298&lt;&gt;0,VLOOKUP(VLOOKUP(V1298,Tbl_Effect[],3,FALSE),EffectName[],IFERROR(MATCH(UI!$B$1,EffectName[#Headers],0),2),FALSE),"")</f>
        <v/>
      </c>
      <c r="X1298" t="str">
        <f t="shared" si="145"/>
        <v/>
      </c>
      <c r="Y1298">
        <v>0</v>
      </c>
      <c r="Z1298" t="str">
        <f>IF(Y1298&lt;&gt;0,VLOOKUP(VLOOKUP(Y1298,Tbl_Effect[],3,FALSE),EffectName[],IFERROR(MATCH(UI!$B$1,EffectName[#Headers],0),2),FALSE),"")</f>
        <v/>
      </c>
      <c r="AA1298" t="str">
        <f t="shared" si="146"/>
        <v/>
      </c>
      <c r="AB1298">
        <v>0</v>
      </c>
      <c r="AC1298" t="str">
        <f>IF(AB1298&lt;&gt;0,VLOOKUP(VLOOKUP(AB1298,Tbl_Effect[],3,FALSE),EffectName[],IFERROR(MATCH(UI!$B$1,EffectName[#Headers],0),2),FALSE),"")</f>
        <v/>
      </c>
    </row>
    <row r="1299" spans="8:29" x14ac:dyDescent="0.4">
      <c r="H1299" t="str">
        <f t="shared" si="140"/>
        <v>7260900-Unset (紅)</v>
      </c>
      <c r="I1299">
        <v>7260900</v>
      </c>
      <c r="J1299" t="str">
        <f>_xlfn.IFNA(IF(I1299&lt;&gt;0,VLOOKUP(VLOOKUP(I1299,Tbl_Equip[],2,FALSE),Tbl_Color[],IFERROR(MATCH(UI!$B$1,Tbl_Color[#Headers],0),2),FALSE),""),"Unset")</f>
        <v>紅</v>
      </c>
      <c r="K1299" t="str">
        <f>_xlfn.IFNA(IF(I1299&lt;&gt;0,VLOOKUP(I1299,ItemText[],IFERROR(MATCH(UI!$B$1,ItemText[#Headers],0),2),FALSE),""),"Unset")</f>
        <v>Unset</v>
      </c>
      <c r="L1299" t="str">
        <f t="shared" si="141"/>
        <v/>
      </c>
      <c r="M1299">
        <v>0</v>
      </c>
      <c r="N1299" t="str">
        <f>IF(VALUE(M1299)=0,"",VLOOKUP(VLOOKUP(M1299,Tbl_Effect[],3,FALSE),EffectName[],IFERROR(MATCH(UI!$B$1,EffectName[#Headers],0),2),FALSE))</f>
        <v/>
      </c>
      <c r="O1299" t="str">
        <f t="shared" si="142"/>
        <v/>
      </c>
      <c r="P1299">
        <v>0</v>
      </c>
      <c r="Q1299" t="str">
        <f>IF(VALUE(P1299)=0,"",VLOOKUP(VLOOKUP(P1299,Tbl_Effect[],3,FALSE),EffectName[],IFERROR(MATCH(UI!$B$1,EffectName[#Headers],0),2),FALSE))</f>
        <v/>
      </c>
      <c r="R1299" t="str">
        <f t="shared" si="143"/>
        <v/>
      </c>
      <c r="S1299">
        <v>0</v>
      </c>
      <c r="T1299" t="str">
        <f>IF(VALUE(S1299)=0,"",VLOOKUP(VLOOKUP(S1299,Tbl_Effect[],3,FALSE),EffectName[],IFERROR(MATCH(UI!$B$1,EffectName[#Headers],0),2),FALSE))</f>
        <v/>
      </c>
      <c r="U1299" t="str">
        <f t="shared" si="144"/>
        <v/>
      </c>
      <c r="V1299">
        <v>0</v>
      </c>
      <c r="W1299" t="str">
        <f>IF(V1299&lt;&gt;0,VLOOKUP(VLOOKUP(V1299,Tbl_Effect[],3,FALSE),EffectName[],IFERROR(MATCH(UI!$B$1,EffectName[#Headers],0),2),FALSE),"")</f>
        <v/>
      </c>
      <c r="X1299" t="str">
        <f t="shared" si="145"/>
        <v/>
      </c>
      <c r="Y1299">
        <v>0</v>
      </c>
      <c r="Z1299" t="str">
        <f>IF(Y1299&lt;&gt;0,VLOOKUP(VLOOKUP(Y1299,Tbl_Effect[],3,FALSE),EffectName[],IFERROR(MATCH(UI!$B$1,EffectName[#Headers],0),2),FALSE),"")</f>
        <v/>
      </c>
      <c r="AA1299" t="str">
        <f t="shared" si="146"/>
        <v/>
      </c>
      <c r="AB1299">
        <v>0</v>
      </c>
      <c r="AC1299" t="str">
        <f>IF(AB1299&lt;&gt;0,VLOOKUP(VLOOKUP(AB1299,Tbl_Effect[],3,FALSE),EffectName[],IFERROR(MATCH(UI!$B$1,EffectName[#Headers],0),2),FALSE),"")</f>
        <v/>
      </c>
    </row>
    <row r="1300" spans="8:29" x14ac:dyDescent="0.4">
      <c r="H1300" t="str">
        <f t="shared" si="140"/>
        <v>7270100-Unset (紅)</v>
      </c>
      <c r="I1300">
        <v>7270100</v>
      </c>
      <c r="J1300" t="str">
        <f>_xlfn.IFNA(IF(I1300&lt;&gt;0,VLOOKUP(VLOOKUP(I1300,Tbl_Equip[],2,FALSE),Tbl_Color[],IFERROR(MATCH(UI!$B$1,Tbl_Color[#Headers],0),2),FALSE),""),"Unset")</f>
        <v>紅</v>
      </c>
      <c r="K1300" t="str">
        <f>_xlfn.IFNA(IF(I1300&lt;&gt;0,VLOOKUP(I1300,ItemText[],IFERROR(MATCH(UI!$B$1,ItemText[#Headers],0),2),FALSE),""),"Unset")</f>
        <v>Unset</v>
      </c>
      <c r="L1300" t="str">
        <f t="shared" si="141"/>
        <v/>
      </c>
      <c r="M1300">
        <v>0</v>
      </c>
      <c r="N1300" t="str">
        <f>IF(VALUE(M1300)=0,"",VLOOKUP(VLOOKUP(M1300,Tbl_Effect[],3,FALSE),EffectName[],IFERROR(MATCH(UI!$B$1,EffectName[#Headers],0),2),FALSE))</f>
        <v/>
      </c>
      <c r="O1300" t="str">
        <f t="shared" si="142"/>
        <v/>
      </c>
      <c r="P1300">
        <v>0</v>
      </c>
      <c r="Q1300" t="str">
        <f>IF(VALUE(P1300)=0,"",VLOOKUP(VLOOKUP(P1300,Tbl_Effect[],3,FALSE),EffectName[],IFERROR(MATCH(UI!$B$1,EffectName[#Headers],0),2),FALSE))</f>
        <v/>
      </c>
      <c r="R1300" t="str">
        <f t="shared" si="143"/>
        <v/>
      </c>
      <c r="S1300">
        <v>0</v>
      </c>
      <c r="T1300" t="str">
        <f>IF(VALUE(S1300)=0,"",VLOOKUP(VLOOKUP(S1300,Tbl_Effect[],3,FALSE),EffectName[],IFERROR(MATCH(UI!$B$1,EffectName[#Headers],0),2),FALSE))</f>
        <v/>
      </c>
      <c r="U1300" t="str">
        <f t="shared" si="144"/>
        <v/>
      </c>
      <c r="V1300">
        <v>0</v>
      </c>
      <c r="W1300" t="str">
        <f>IF(V1300&lt;&gt;0,VLOOKUP(VLOOKUP(V1300,Tbl_Effect[],3,FALSE),EffectName[],IFERROR(MATCH(UI!$B$1,EffectName[#Headers],0),2),FALSE),"")</f>
        <v/>
      </c>
      <c r="X1300" t="str">
        <f t="shared" si="145"/>
        <v/>
      </c>
      <c r="Y1300">
        <v>0</v>
      </c>
      <c r="Z1300" t="str">
        <f>IF(Y1300&lt;&gt;0,VLOOKUP(VLOOKUP(Y1300,Tbl_Effect[],3,FALSE),EffectName[],IFERROR(MATCH(UI!$B$1,EffectName[#Headers],0),2),FALSE),"")</f>
        <v/>
      </c>
      <c r="AA1300" t="str">
        <f t="shared" si="146"/>
        <v/>
      </c>
      <c r="AB1300">
        <v>0</v>
      </c>
      <c r="AC1300" t="str">
        <f>IF(AB1300&lt;&gt;0,VLOOKUP(VLOOKUP(AB1300,Tbl_Effect[],3,FALSE),EffectName[],IFERROR(MATCH(UI!$B$1,EffectName[#Headers],0),2),FALSE),"")</f>
        <v/>
      </c>
    </row>
    <row r="1301" spans="8:29" x14ac:dyDescent="0.4">
      <c r="H1301" t="str">
        <f t="shared" si="140"/>
        <v>7280000-Unset (紅)</v>
      </c>
      <c r="I1301">
        <v>7280000</v>
      </c>
      <c r="J1301" t="str">
        <f>_xlfn.IFNA(IF(I1301&lt;&gt;0,VLOOKUP(VLOOKUP(I1301,Tbl_Equip[],2,FALSE),Tbl_Color[],IFERROR(MATCH(UI!$B$1,Tbl_Color[#Headers],0),2),FALSE),""),"Unset")</f>
        <v>紅</v>
      </c>
      <c r="K1301" t="str">
        <f>_xlfn.IFNA(IF(I1301&lt;&gt;0,VLOOKUP(I1301,ItemText[],IFERROR(MATCH(UI!$B$1,ItemText[#Headers],0),2),FALSE),""),"Unset")</f>
        <v>Unset</v>
      </c>
      <c r="L1301" t="str">
        <f t="shared" si="141"/>
        <v/>
      </c>
      <c r="M1301">
        <v>0</v>
      </c>
      <c r="N1301" t="str">
        <f>IF(VALUE(M1301)=0,"",VLOOKUP(VLOOKUP(M1301,Tbl_Effect[],3,FALSE),EffectName[],IFERROR(MATCH(UI!$B$1,EffectName[#Headers],0),2),FALSE))</f>
        <v/>
      </c>
      <c r="O1301" t="str">
        <f t="shared" si="142"/>
        <v/>
      </c>
      <c r="P1301">
        <v>0</v>
      </c>
      <c r="Q1301" t="str">
        <f>IF(VALUE(P1301)=0,"",VLOOKUP(VLOOKUP(P1301,Tbl_Effect[],3,FALSE),EffectName[],IFERROR(MATCH(UI!$B$1,EffectName[#Headers],0),2),FALSE))</f>
        <v/>
      </c>
      <c r="R1301" t="str">
        <f t="shared" si="143"/>
        <v/>
      </c>
      <c r="S1301">
        <v>0</v>
      </c>
      <c r="T1301" t="str">
        <f>IF(VALUE(S1301)=0,"",VLOOKUP(VLOOKUP(S1301,Tbl_Effect[],3,FALSE),EffectName[],IFERROR(MATCH(UI!$B$1,EffectName[#Headers],0),2),FALSE))</f>
        <v/>
      </c>
      <c r="U1301" t="str">
        <f t="shared" si="144"/>
        <v/>
      </c>
      <c r="V1301">
        <v>0</v>
      </c>
      <c r="W1301" t="str">
        <f>IF(V1301&lt;&gt;0,VLOOKUP(VLOOKUP(V1301,Tbl_Effect[],3,FALSE),EffectName[],IFERROR(MATCH(UI!$B$1,EffectName[#Headers],0),2),FALSE),"")</f>
        <v/>
      </c>
      <c r="X1301" t="str">
        <f t="shared" si="145"/>
        <v/>
      </c>
      <c r="Y1301">
        <v>0</v>
      </c>
      <c r="Z1301" t="str">
        <f>IF(Y1301&lt;&gt;0,VLOOKUP(VLOOKUP(Y1301,Tbl_Effect[],3,FALSE),EffectName[],IFERROR(MATCH(UI!$B$1,EffectName[#Headers],0),2),FALSE),"")</f>
        <v/>
      </c>
      <c r="AA1301" t="str">
        <f t="shared" si="146"/>
        <v/>
      </c>
      <c r="AB1301">
        <v>0</v>
      </c>
      <c r="AC1301" t="str">
        <f>IF(AB1301&lt;&gt;0,VLOOKUP(VLOOKUP(AB1301,Tbl_Effect[],3,FALSE),EffectName[],IFERROR(MATCH(UI!$B$1,EffectName[#Headers],0),2),FALSE),"")</f>
        <v/>
      </c>
    </row>
    <row r="1302" spans="8:29" x14ac:dyDescent="0.4">
      <c r="H1302" t="str">
        <f t="shared" si="140"/>
        <v>7290000-Unset (紅)</v>
      </c>
      <c r="I1302">
        <v>7290000</v>
      </c>
      <c r="J1302" t="str">
        <f>_xlfn.IFNA(IF(I1302&lt;&gt;0,VLOOKUP(VLOOKUP(I1302,Tbl_Equip[],2,FALSE),Tbl_Color[],IFERROR(MATCH(UI!$B$1,Tbl_Color[#Headers],0),2),FALSE),""),"Unset")</f>
        <v>紅</v>
      </c>
      <c r="K1302" t="str">
        <f>_xlfn.IFNA(IF(I1302&lt;&gt;0,VLOOKUP(I1302,ItemText[],IFERROR(MATCH(UI!$B$1,ItemText[#Headers],0),2),FALSE),""),"Unset")</f>
        <v>Unset</v>
      </c>
      <c r="L1302" t="str">
        <f t="shared" si="141"/>
        <v/>
      </c>
      <c r="M1302">
        <v>0</v>
      </c>
      <c r="N1302" t="str">
        <f>IF(VALUE(M1302)=0,"",VLOOKUP(VLOOKUP(M1302,Tbl_Effect[],3,FALSE),EffectName[],IFERROR(MATCH(UI!$B$1,EffectName[#Headers],0),2),FALSE))</f>
        <v/>
      </c>
      <c r="O1302" t="str">
        <f t="shared" si="142"/>
        <v/>
      </c>
      <c r="P1302">
        <v>0</v>
      </c>
      <c r="Q1302" t="str">
        <f>IF(VALUE(P1302)=0,"",VLOOKUP(VLOOKUP(P1302,Tbl_Effect[],3,FALSE),EffectName[],IFERROR(MATCH(UI!$B$1,EffectName[#Headers],0),2),FALSE))</f>
        <v/>
      </c>
      <c r="R1302" t="str">
        <f t="shared" si="143"/>
        <v/>
      </c>
      <c r="S1302">
        <v>0</v>
      </c>
      <c r="T1302" t="str">
        <f>IF(VALUE(S1302)=0,"",VLOOKUP(VLOOKUP(S1302,Tbl_Effect[],3,FALSE),EffectName[],IFERROR(MATCH(UI!$B$1,EffectName[#Headers],0),2),FALSE))</f>
        <v/>
      </c>
      <c r="U1302" t="str">
        <f t="shared" si="144"/>
        <v/>
      </c>
      <c r="V1302">
        <v>0</v>
      </c>
      <c r="W1302" t="str">
        <f>IF(V1302&lt;&gt;0,VLOOKUP(VLOOKUP(V1302,Tbl_Effect[],3,FALSE),EffectName[],IFERROR(MATCH(UI!$B$1,EffectName[#Headers],0),2),FALSE),"")</f>
        <v/>
      </c>
      <c r="X1302" t="str">
        <f t="shared" si="145"/>
        <v/>
      </c>
      <c r="Y1302">
        <v>0</v>
      </c>
      <c r="Z1302" t="str">
        <f>IF(Y1302&lt;&gt;0,VLOOKUP(VLOOKUP(Y1302,Tbl_Effect[],3,FALSE),EffectName[],IFERROR(MATCH(UI!$B$1,EffectName[#Headers],0),2),FALSE),"")</f>
        <v/>
      </c>
      <c r="AA1302" t="str">
        <f t="shared" si="146"/>
        <v/>
      </c>
      <c r="AB1302">
        <v>0</v>
      </c>
      <c r="AC1302" t="str">
        <f>IF(AB1302&lt;&gt;0,VLOOKUP(VLOOKUP(AB1302,Tbl_Effect[],3,FALSE),EffectName[],IFERROR(MATCH(UI!$B$1,EffectName[#Headers],0),2),FALSE),"")</f>
        <v/>
      </c>
    </row>
    <row r="1303" spans="8:29" x14ac:dyDescent="0.4">
      <c r="H1303" t="str">
        <f t="shared" si="140"/>
        <v>7310000-Unset (紅)</v>
      </c>
      <c r="I1303">
        <v>7310000</v>
      </c>
      <c r="J1303" t="str">
        <f>_xlfn.IFNA(IF(I1303&lt;&gt;0,VLOOKUP(VLOOKUP(I1303,Tbl_Equip[],2,FALSE),Tbl_Color[],IFERROR(MATCH(UI!$B$1,Tbl_Color[#Headers],0),2),FALSE),""),"Unset")</f>
        <v>紅</v>
      </c>
      <c r="K1303" t="str">
        <f>_xlfn.IFNA(IF(I1303&lt;&gt;0,VLOOKUP(I1303,ItemText[],IFERROR(MATCH(UI!$B$1,ItemText[#Headers],0),2),FALSE),""),"Unset")</f>
        <v>Unset</v>
      </c>
      <c r="L1303" t="str">
        <f t="shared" si="141"/>
        <v/>
      </c>
      <c r="M1303">
        <v>0</v>
      </c>
      <c r="N1303" t="str">
        <f>IF(VALUE(M1303)=0,"",VLOOKUP(VLOOKUP(M1303,Tbl_Effect[],3,FALSE),EffectName[],IFERROR(MATCH(UI!$B$1,EffectName[#Headers],0),2),FALSE))</f>
        <v/>
      </c>
      <c r="O1303" t="str">
        <f t="shared" si="142"/>
        <v/>
      </c>
      <c r="P1303">
        <v>0</v>
      </c>
      <c r="Q1303" t="str">
        <f>IF(VALUE(P1303)=0,"",VLOOKUP(VLOOKUP(P1303,Tbl_Effect[],3,FALSE),EffectName[],IFERROR(MATCH(UI!$B$1,EffectName[#Headers],0),2),FALSE))</f>
        <v/>
      </c>
      <c r="R1303" t="str">
        <f t="shared" si="143"/>
        <v/>
      </c>
      <c r="S1303">
        <v>0</v>
      </c>
      <c r="T1303" t="str">
        <f>IF(VALUE(S1303)=0,"",VLOOKUP(VLOOKUP(S1303,Tbl_Effect[],3,FALSE),EffectName[],IFERROR(MATCH(UI!$B$1,EffectName[#Headers],0),2),FALSE))</f>
        <v/>
      </c>
      <c r="U1303" t="str">
        <f t="shared" si="144"/>
        <v/>
      </c>
      <c r="V1303">
        <v>0</v>
      </c>
      <c r="W1303" t="str">
        <f>IF(V1303&lt;&gt;0,VLOOKUP(VLOOKUP(V1303,Tbl_Effect[],3,FALSE),EffectName[],IFERROR(MATCH(UI!$B$1,EffectName[#Headers],0),2),FALSE),"")</f>
        <v/>
      </c>
      <c r="X1303" t="str">
        <f t="shared" si="145"/>
        <v/>
      </c>
      <c r="Y1303">
        <v>0</v>
      </c>
      <c r="Z1303" t="str">
        <f>IF(Y1303&lt;&gt;0,VLOOKUP(VLOOKUP(Y1303,Tbl_Effect[],3,FALSE),EffectName[],IFERROR(MATCH(UI!$B$1,EffectName[#Headers],0),2),FALSE),"")</f>
        <v/>
      </c>
      <c r="AA1303" t="str">
        <f t="shared" si="146"/>
        <v/>
      </c>
      <c r="AB1303">
        <v>0</v>
      </c>
      <c r="AC1303" t="str">
        <f>IF(AB1303&lt;&gt;0,VLOOKUP(VLOOKUP(AB1303,Tbl_Effect[],3,FALSE),EffectName[],IFERROR(MATCH(UI!$B$1,EffectName[#Headers],0),2),FALSE),"")</f>
        <v/>
      </c>
    </row>
    <row r="1304" spans="8:29" x14ac:dyDescent="0.4">
      <c r="H1304" t="str">
        <f t="shared" si="140"/>
        <v>7330000-Unset (紅)</v>
      </c>
      <c r="I1304">
        <v>7330000</v>
      </c>
      <c r="J1304" t="str">
        <f>_xlfn.IFNA(IF(I1304&lt;&gt;0,VLOOKUP(VLOOKUP(I1304,Tbl_Equip[],2,FALSE),Tbl_Color[],IFERROR(MATCH(UI!$B$1,Tbl_Color[#Headers],0),2),FALSE),""),"Unset")</f>
        <v>紅</v>
      </c>
      <c r="K1304" t="str">
        <f>_xlfn.IFNA(IF(I1304&lt;&gt;0,VLOOKUP(I1304,ItemText[],IFERROR(MATCH(UI!$B$1,ItemText[#Headers],0),2),FALSE),""),"Unset")</f>
        <v>Unset</v>
      </c>
      <c r="L1304" t="str">
        <f t="shared" si="141"/>
        <v/>
      </c>
      <c r="M1304">
        <v>0</v>
      </c>
      <c r="N1304" t="str">
        <f>IF(VALUE(M1304)=0,"",VLOOKUP(VLOOKUP(M1304,Tbl_Effect[],3,FALSE),EffectName[],IFERROR(MATCH(UI!$B$1,EffectName[#Headers],0),2),FALSE))</f>
        <v/>
      </c>
      <c r="O1304" t="str">
        <f t="shared" si="142"/>
        <v/>
      </c>
      <c r="P1304">
        <v>0</v>
      </c>
      <c r="Q1304" t="str">
        <f>IF(VALUE(P1304)=0,"",VLOOKUP(VLOOKUP(P1304,Tbl_Effect[],3,FALSE),EffectName[],IFERROR(MATCH(UI!$B$1,EffectName[#Headers],0),2),FALSE))</f>
        <v/>
      </c>
      <c r="R1304" t="str">
        <f t="shared" si="143"/>
        <v/>
      </c>
      <c r="S1304">
        <v>0</v>
      </c>
      <c r="T1304" t="str">
        <f>IF(VALUE(S1304)=0,"",VLOOKUP(VLOOKUP(S1304,Tbl_Effect[],3,FALSE),EffectName[],IFERROR(MATCH(UI!$B$1,EffectName[#Headers],0),2),FALSE))</f>
        <v/>
      </c>
      <c r="U1304" t="str">
        <f t="shared" si="144"/>
        <v/>
      </c>
      <c r="V1304">
        <v>0</v>
      </c>
      <c r="W1304" t="str">
        <f>IF(V1304&lt;&gt;0,VLOOKUP(VLOOKUP(V1304,Tbl_Effect[],3,FALSE),EffectName[],IFERROR(MATCH(UI!$B$1,EffectName[#Headers],0),2),FALSE),"")</f>
        <v/>
      </c>
      <c r="X1304" t="str">
        <f t="shared" si="145"/>
        <v/>
      </c>
      <c r="Y1304">
        <v>0</v>
      </c>
      <c r="Z1304" t="str">
        <f>IF(Y1304&lt;&gt;0,VLOOKUP(VLOOKUP(Y1304,Tbl_Effect[],3,FALSE),EffectName[],IFERROR(MATCH(UI!$B$1,EffectName[#Headers],0),2),FALSE),"")</f>
        <v/>
      </c>
      <c r="AA1304" t="str">
        <f t="shared" si="146"/>
        <v/>
      </c>
      <c r="AB1304">
        <v>0</v>
      </c>
      <c r="AC1304" t="str">
        <f>IF(AB1304&lt;&gt;0,VLOOKUP(VLOOKUP(AB1304,Tbl_Effect[],3,FALSE),EffectName[],IFERROR(MATCH(UI!$B$1,EffectName[#Headers],0),2),FALSE),"")</f>
        <v/>
      </c>
    </row>
    <row r="1305" spans="8:29" x14ac:dyDescent="0.4">
      <c r="H1305" t="str">
        <f t="shared" si="140"/>
        <v>7330100-Unset (紅)</v>
      </c>
      <c r="I1305">
        <v>7330100</v>
      </c>
      <c r="J1305" t="str">
        <f>_xlfn.IFNA(IF(I1305&lt;&gt;0,VLOOKUP(VLOOKUP(I1305,Tbl_Equip[],2,FALSE),Tbl_Color[],IFERROR(MATCH(UI!$B$1,Tbl_Color[#Headers],0),2),FALSE),""),"Unset")</f>
        <v>紅</v>
      </c>
      <c r="K1305" t="str">
        <f>_xlfn.IFNA(IF(I1305&lt;&gt;0,VLOOKUP(I1305,ItemText[],IFERROR(MATCH(UI!$B$1,ItemText[#Headers],0),2),FALSE),""),"Unset")</f>
        <v>Unset</v>
      </c>
      <c r="L1305" t="str">
        <f t="shared" si="141"/>
        <v/>
      </c>
      <c r="M1305">
        <v>0</v>
      </c>
      <c r="N1305" t="str">
        <f>IF(VALUE(M1305)=0,"",VLOOKUP(VLOOKUP(M1305,Tbl_Effect[],3,FALSE),EffectName[],IFERROR(MATCH(UI!$B$1,EffectName[#Headers],0),2),FALSE))</f>
        <v/>
      </c>
      <c r="O1305" t="str">
        <f t="shared" si="142"/>
        <v/>
      </c>
      <c r="P1305">
        <v>0</v>
      </c>
      <c r="Q1305" t="str">
        <f>IF(VALUE(P1305)=0,"",VLOOKUP(VLOOKUP(P1305,Tbl_Effect[],3,FALSE),EffectName[],IFERROR(MATCH(UI!$B$1,EffectName[#Headers],0),2),FALSE))</f>
        <v/>
      </c>
      <c r="R1305" t="str">
        <f t="shared" si="143"/>
        <v/>
      </c>
      <c r="S1305">
        <v>0</v>
      </c>
      <c r="T1305" t="str">
        <f>IF(VALUE(S1305)=0,"",VLOOKUP(VLOOKUP(S1305,Tbl_Effect[],3,FALSE),EffectName[],IFERROR(MATCH(UI!$B$1,EffectName[#Headers],0),2),FALSE))</f>
        <v/>
      </c>
      <c r="U1305" t="str">
        <f t="shared" si="144"/>
        <v/>
      </c>
      <c r="V1305">
        <v>0</v>
      </c>
      <c r="W1305" t="str">
        <f>IF(V1305&lt;&gt;0,VLOOKUP(VLOOKUP(V1305,Tbl_Effect[],3,FALSE),EffectName[],IFERROR(MATCH(UI!$B$1,EffectName[#Headers],0),2),FALSE),"")</f>
        <v/>
      </c>
      <c r="X1305" t="str">
        <f t="shared" si="145"/>
        <v/>
      </c>
      <c r="Y1305">
        <v>0</v>
      </c>
      <c r="Z1305" t="str">
        <f>IF(Y1305&lt;&gt;0,VLOOKUP(VLOOKUP(Y1305,Tbl_Effect[],3,FALSE),EffectName[],IFERROR(MATCH(UI!$B$1,EffectName[#Headers],0),2),FALSE),"")</f>
        <v/>
      </c>
      <c r="AA1305" t="str">
        <f t="shared" si="146"/>
        <v/>
      </c>
      <c r="AB1305">
        <v>0</v>
      </c>
      <c r="AC1305" t="str">
        <f>IF(AB1305&lt;&gt;0,VLOOKUP(VLOOKUP(AB1305,Tbl_Effect[],3,FALSE),EffectName[],IFERROR(MATCH(UI!$B$1,EffectName[#Headers],0),2),FALSE),"")</f>
        <v/>
      </c>
    </row>
    <row r="1306" spans="8:29" x14ac:dyDescent="0.4">
      <c r="H1306" t="str">
        <f t="shared" si="140"/>
        <v>7330200-Unset (紅)</v>
      </c>
      <c r="I1306">
        <v>7330200</v>
      </c>
      <c r="J1306" t="str">
        <f>_xlfn.IFNA(IF(I1306&lt;&gt;0,VLOOKUP(VLOOKUP(I1306,Tbl_Equip[],2,FALSE),Tbl_Color[],IFERROR(MATCH(UI!$B$1,Tbl_Color[#Headers],0),2),FALSE),""),"Unset")</f>
        <v>紅</v>
      </c>
      <c r="K1306" t="str">
        <f>_xlfn.IFNA(IF(I1306&lt;&gt;0,VLOOKUP(I1306,ItemText[],IFERROR(MATCH(UI!$B$1,ItemText[#Headers],0),2),FALSE),""),"Unset")</f>
        <v>Unset</v>
      </c>
      <c r="L1306" t="str">
        <f t="shared" si="141"/>
        <v/>
      </c>
      <c r="M1306">
        <v>0</v>
      </c>
      <c r="N1306" t="str">
        <f>IF(VALUE(M1306)=0,"",VLOOKUP(VLOOKUP(M1306,Tbl_Effect[],3,FALSE),EffectName[],IFERROR(MATCH(UI!$B$1,EffectName[#Headers],0),2),FALSE))</f>
        <v/>
      </c>
      <c r="O1306" t="str">
        <f t="shared" si="142"/>
        <v/>
      </c>
      <c r="P1306">
        <v>0</v>
      </c>
      <c r="Q1306" t="str">
        <f>IF(VALUE(P1306)=0,"",VLOOKUP(VLOOKUP(P1306,Tbl_Effect[],3,FALSE),EffectName[],IFERROR(MATCH(UI!$B$1,EffectName[#Headers],0),2),FALSE))</f>
        <v/>
      </c>
      <c r="R1306" t="str">
        <f t="shared" si="143"/>
        <v/>
      </c>
      <c r="S1306">
        <v>0</v>
      </c>
      <c r="T1306" t="str">
        <f>IF(VALUE(S1306)=0,"",VLOOKUP(VLOOKUP(S1306,Tbl_Effect[],3,FALSE),EffectName[],IFERROR(MATCH(UI!$B$1,EffectName[#Headers],0),2),FALSE))</f>
        <v/>
      </c>
      <c r="U1306" t="str">
        <f t="shared" si="144"/>
        <v/>
      </c>
      <c r="V1306">
        <v>0</v>
      </c>
      <c r="W1306" t="str">
        <f>IF(V1306&lt;&gt;0,VLOOKUP(VLOOKUP(V1306,Tbl_Effect[],3,FALSE),EffectName[],IFERROR(MATCH(UI!$B$1,EffectName[#Headers],0),2),FALSE),"")</f>
        <v/>
      </c>
      <c r="X1306" t="str">
        <f t="shared" si="145"/>
        <v/>
      </c>
      <c r="Y1306">
        <v>0</v>
      </c>
      <c r="Z1306" t="str">
        <f>IF(Y1306&lt;&gt;0,VLOOKUP(VLOOKUP(Y1306,Tbl_Effect[],3,FALSE),EffectName[],IFERROR(MATCH(UI!$B$1,EffectName[#Headers],0),2),FALSE),"")</f>
        <v/>
      </c>
      <c r="AA1306" t="str">
        <f t="shared" si="146"/>
        <v/>
      </c>
      <c r="AB1306">
        <v>0</v>
      </c>
      <c r="AC1306" t="str">
        <f>IF(AB1306&lt;&gt;0,VLOOKUP(VLOOKUP(AB1306,Tbl_Effect[],3,FALSE),EffectName[],IFERROR(MATCH(UI!$B$1,EffectName[#Headers],0),2),FALSE),"")</f>
        <v/>
      </c>
    </row>
    <row r="1307" spans="8:29" x14ac:dyDescent="0.4">
      <c r="H1307" t="str">
        <f t="shared" si="140"/>
        <v>7330300-Unset (紅)</v>
      </c>
      <c r="I1307">
        <v>7330300</v>
      </c>
      <c r="J1307" t="str">
        <f>_xlfn.IFNA(IF(I1307&lt;&gt;0,VLOOKUP(VLOOKUP(I1307,Tbl_Equip[],2,FALSE),Tbl_Color[],IFERROR(MATCH(UI!$B$1,Tbl_Color[#Headers],0),2),FALSE),""),"Unset")</f>
        <v>紅</v>
      </c>
      <c r="K1307" t="str">
        <f>_xlfn.IFNA(IF(I1307&lt;&gt;0,VLOOKUP(I1307,ItemText[],IFERROR(MATCH(UI!$B$1,ItemText[#Headers],0),2),FALSE),""),"Unset")</f>
        <v>Unset</v>
      </c>
      <c r="L1307" t="str">
        <f t="shared" si="141"/>
        <v/>
      </c>
      <c r="M1307">
        <v>0</v>
      </c>
      <c r="N1307" t="str">
        <f>IF(VALUE(M1307)=0,"",VLOOKUP(VLOOKUP(M1307,Tbl_Effect[],3,FALSE),EffectName[],IFERROR(MATCH(UI!$B$1,EffectName[#Headers],0),2),FALSE))</f>
        <v/>
      </c>
      <c r="O1307" t="str">
        <f t="shared" si="142"/>
        <v/>
      </c>
      <c r="P1307">
        <v>0</v>
      </c>
      <c r="Q1307" t="str">
        <f>IF(VALUE(P1307)=0,"",VLOOKUP(VLOOKUP(P1307,Tbl_Effect[],3,FALSE),EffectName[],IFERROR(MATCH(UI!$B$1,EffectName[#Headers],0),2),FALSE))</f>
        <v/>
      </c>
      <c r="R1307" t="str">
        <f t="shared" si="143"/>
        <v/>
      </c>
      <c r="S1307">
        <v>0</v>
      </c>
      <c r="T1307" t="str">
        <f>IF(VALUE(S1307)=0,"",VLOOKUP(VLOOKUP(S1307,Tbl_Effect[],3,FALSE),EffectName[],IFERROR(MATCH(UI!$B$1,EffectName[#Headers],0),2),FALSE))</f>
        <v/>
      </c>
      <c r="U1307" t="str">
        <f t="shared" si="144"/>
        <v/>
      </c>
      <c r="V1307">
        <v>0</v>
      </c>
      <c r="W1307" t="str">
        <f>IF(V1307&lt;&gt;0,VLOOKUP(VLOOKUP(V1307,Tbl_Effect[],3,FALSE),EffectName[],IFERROR(MATCH(UI!$B$1,EffectName[#Headers],0),2),FALSE),"")</f>
        <v/>
      </c>
      <c r="X1307" t="str">
        <f t="shared" si="145"/>
        <v/>
      </c>
      <c r="Y1307">
        <v>0</v>
      </c>
      <c r="Z1307" t="str">
        <f>IF(Y1307&lt;&gt;0,VLOOKUP(VLOOKUP(Y1307,Tbl_Effect[],3,FALSE),EffectName[],IFERROR(MATCH(UI!$B$1,EffectName[#Headers],0),2),FALSE),"")</f>
        <v/>
      </c>
      <c r="AA1307" t="str">
        <f t="shared" si="146"/>
        <v/>
      </c>
      <c r="AB1307">
        <v>0</v>
      </c>
      <c r="AC1307" t="str">
        <f>IF(AB1307&lt;&gt;0,VLOOKUP(VLOOKUP(AB1307,Tbl_Effect[],3,FALSE),EffectName[],IFERROR(MATCH(UI!$B$1,EffectName[#Headers],0),2),FALSE),"")</f>
        <v/>
      </c>
    </row>
    <row r="1308" spans="8:29" x14ac:dyDescent="0.4">
      <c r="H1308" t="str">
        <f t="shared" si="140"/>
        <v>7330400-Unset (紅)</v>
      </c>
      <c r="I1308">
        <v>7330400</v>
      </c>
      <c r="J1308" t="str">
        <f>_xlfn.IFNA(IF(I1308&lt;&gt;0,VLOOKUP(VLOOKUP(I1308,Tbl_Equip[],2,FALSE),Tbl_Color[],IFERROR(MATCH(UI!$B$1,Tbl_Color[#Headers],0),2),FALSE),""),"Unset")</f>
        <v>紅</v>
      </c>
      <c r="K1308" t="str">
        <f>_xlfn.IFNA(IF(I1308&lt;&gt;0,VLOOKUP(I1308,ItemText[],IFERROR(MATCH(UI!$B$1,ItemText[#Headers],0),2),FALSE),""),"Unset")</f>
        <v>Unset</v>
      </c>
      <c r="L1308" t="str">
        <f t="shared" si="141"/>
        <v/>
      </c>
      <c r="M1308">
        <v>0</v>
      </c>
      <c r="N1308" t="str">
        <f>IF(VALUE(M1308)=0,"",VLOOKUP(VLOOKUP(M1308,Tbl_Effect[],3,FALSE),EffectName[],IFERROR(MATCH(UI!$B$1,EffectName[#Headers],0),2),FALSE))</f>
        <v/>
      </c>
      <c r="O1308" t="str">
        <f t="shared" si="142"/>
        <v/>
      </c>
      <c r="P1308">
        <v>0</v>
      </c>
      <c r="Q1308" t="str">
        <f>IF(VALUE(P1308)=0,"",VLOOKUP(VLOOKUP(P1308,Tbl_Effect[],3,FALSE),EffectName[],IFERROR(MATCH(UI!$B$1,EffectName[#Headers],0),2),FALSE))</f>
        <v/>
      </c>
      <c r="R1308" t="str">
        <f t="shared" si="143"/>
        <v/>
      </c>
      <c r="S1308">
        <v>0</v>
      </c>
      <c r="T1308" t="str">
        <f>IF(VALUE(S1308)=0,"",VLOOKUP(VLOOKUP(S1308,Tbl_Effect[],3,FALSE),EffectName[],IFERROR(MATCH(UI!$B$1,EffectName[#Headers],0),2),FALSE))</f>
        <v/>
      </c>
      <c r="U1308" t="str">
        <f t="shared" si="144"/>
        <v/>
      </c>
      <c r="V1308">
        <v>0</v>
      </c>
      <c r="W1308" t="str">
        <f>IF(V1308&lt;&gt;0,VLOOKUP(VLOOKUP(V1308,Tbl_Effect[],3,FALSE),EffectName[],IFERROR(MATCH(UI!$B$1,EffectName[#Headers],0),2),FALSE),"")</f>
        <v/>
      </c>
      <c r="X1308" t="str">
        <f t="shared" si="145"/>
        <v/>
      </c>
      <c r="Y1308">
        <v>0</v>
      </c>
      <c r="Z1308" t="str">
        <f>IF(Y1308&lt;&gt;0,VLOOKUP(VLOOKUP(Y1308,Tbl_Effect[],3,FALSE),EffectName[],IFERROR(MATCH(UI!$B$1,EffectName[#Headers],0),2),FALSE),"")</f>
        <v/>
      </c>
      <c r="AA1308" t="str">
        <f t="shared" si="146"/>
        <v/>
      </c>
      <c r="AB1308">
        <v>0</v>
      </c>
      <c r="AC1308" t="str">
        <f>IF(AB1308&lt;&gt;0,VLOOKUP(VLOOKUP(AB1308,Tbl_Effect[],3,FALSE),EffectName[],IFERROR(MATCH(UI!$B$1,EffectName[#Headers],0),2),FALSE),"")</f>
        <v/>
      </c>
    </row>
    <row r="1309" spans="8:29" x14ac:dyDescent="0.4">
      <c r="H1309" t="str">
        <f t="shared" si="140"/>
        <v>7330500-Unset (紅)</v>
      </c>
      <c r="I1309">
        <v>7330500</v>
      </c>
      <c r="J1309" t="str">
        <f>_xlfn.IFNA(IF(I1309&lt;&gt;0,VLOOKUP(VLOOKUP(I1309,Tbl_Equip[],2,FALSE),Tbl_Color[],IFERROR(MATCH(UI!$B$1,Tbl_Color[#Headers],0),2),FALSE),""),"Unset")</f>
        <v>紅</v>
      </c>
      <c r="K1309" t="str">
        <f>_xlfn.IFNA(IF(I1309&lt;&gt;0,VLOOKUP(I1309,ItemText[],IFERROR(MATCH(UI!$B$1,ItemText[#Headers],0),2),FALSE),""),"Unset")</f>
        <v>Unset</v>
      </c>
      <c r="L1309" t="str">
        <f t="shared" si="141"/>
        <v/>
      </c>
      <c r="M1309">
        <v>0</v>
      </c>
      <c r="N1309" t="str">
        <f>IF(VALUE(M1309)=0,"",VLOOKUP(VLOOKUP(M1309,Tbl_Effect[],3,FALSE),EffectName[],IFERROR(MATCH(UI!$B$1,EffectName[#Headers],0),2),FALSE))</f>
        <v/>
      </c>
      <c r="O1309" t="str">
        <f t="shared" si="142"/>
        <v/>
      </c>
      <c r="P1309">
        <v>0</v>
      </c>
      <c r="Q1309" t="str">
        <f>IF(VALUE(P1309)=0,"",VLOOKUP(VLOOKUP(P1309,Tbl_Effect[],3,FALSE),EffectName[],IFERROR(MATCH(UI!$B$1,EffectName[#Headers],0),2),FALSE))</f>
        <v/>
      </c>
      <c r="R1309" t="str">
        <f t="shared" si="143"/>
        <v/>
      </c>
      <c r="S1309">
        <v>0</v>
      </c>
      <c r="T1309" t="str">
        <f>IF(VALUE(S1309)=0,"",VLOOKUP(VLOOKUP(S1309,Tbl_Effect[],3,FALSE),EffectName[],IFERROR(MATCH(UI!$B$1,EffectName[#Headers],0),2),FALSE))</f>
        <v/>
      </c>
      <c r="U1309" t="str">
        <f t="shared" si="144"/>
        <v/>
      </c>
      <c r="V1309">
        <v>0</v>
      </c>
      <c r="W1309" t="str">
        <f>IF(V1309&lt;&gt;0,VLOOKUP(VLOOKUP(V1309,Tbl_Effect[],3,FALSE),EffectName[],IFERROR(MATCH(UI!$B$1,EffectName[#Headers],0),2),FALSE),"")</f>
        <v/>
      </c>
      <c r="X1309" t="str">
        <f t="shared" si="145"/>
        <v/>
      </c>
      <c r="Y1309">
        <v>0</v>
      </c>
      <c r="Z1309" t="str">
        <f>IF(Y1309&lt;&gt;0,VLOOKUP(VLOOKUP(Y1309,Tbl_Effect[],3,FALSE),EffectName[],IFERROR(MATCH(UI!$B$1,EffectName[#Headers],0),2),FALSE),"")</f>
        <v/>
      </c>
      <c r="AA1309" t="str">
        <f t="shared" si="146"/>
        <v/>
      </c>
      <c r="AB1309">
        <v>0</v>
      </c>
      <c r="AC1309" t="str">
        <f>IF(AB1309&lt;&gt;0,VLOOKUP(VLOOKUP(AB1309,Tbl_Effect[],3,FALSE),EffectName[],IFERROR(MATCH(UI!$B$1,EffectName[#Headers],0),2),FALSE),"")</f>
        <v/>
      </c>
    </row>
    <row r="1310" spans="8:29" x14ac:dyDescent="0.4">
      <c r="H1310" t="str">
        <f t="shared" si="140"/>
        <v>7330600-Unset (紅)</v>
      </c>
      <c r="I1310">
        <v>7330600</v>
      </c>
      <c r="J1310" t="str">
        <f>_xlfn.IFNA(IF(I1310&lt;&gt;0,VLOOKUP(VLOOKUP(I1310,Tbl_Equip[],2,FALSE),Tbl_Color[],IFERROR(MATCH(UI!$B$1,Tbl_Color[#Headers],0),2),FALSE),""),"Unset")</f>
        <v>紅</v>
      </c>
      <c r="K1310" t="str">
        <f>_xlfn.IFNA(IF(I1310&lt;&gt;0,VLOOKUP(I1310,ItemText[],IFERROR(MATCH(UI!$B$1,ItemText[#Headers],0),2),FALSE),""),"Unset")</f>
        <v>Unset</v>
      </c>
      <c r="L1310" t="str">
        <f t="shared" si="141"/>
        <v/>
      </c>
      <c r="M1310">
        <v>0</v>
      </c>
      <c r="N1310" t="str">
        <f>IF(VALUE(M1310)=0,"",VLOOKUP(VLOOKUP(M1310,Tbl_Effect[],3,FALSE),EffectName[],IFERROR(MATCH(UI!$B$1,EffectName[#Headers],0),2),FALSE))</f>
        <v/>
      </c>
      <c r="O1310" t="str">
        <f t="shared" si="142"/>
        <v/>
      </c>
      <c r="P1310">
        <v>0</v>
      </c>
      <c r="Q1310" t="str">
        <f>IF(VALUE(P1310)=0,"",VLOOKUP(VLOOKUP(P1310,Tbl_Effect[],3,FALSE),EffectName[],IFERROR(MATCH(UI!$B$1,EffectName[#Headers],0),2),FALSE))</f>
        <v/>
      </c>
      <c r="R1310" t="str">
        <f t="shared" si="143"/>
        <v/>
      </c>
      <c r="S1310">
        <v>0</v>
      </c>
      <c r="T1310" t="str">
        <f>IF(VALUE(S1310)=0,"",VLOOKUP(VLOOKUP(S1310,Tbl_Effect[],3,FALSE),EffectName[],IFERROR(MATCH(UI!$B$1,EffectName[#Headers],0),2),FALSE))</f>
        <v/>
      </c>
      <c r="U1310" t="str">
        <f t="shared" si="144"/>
        <v/>
      </c>
      <c r="V1310">
        <v>0</v>
      </c>
      <c r="W1310" t="str">
        <f>IF(V1310&lt;&gt;0,VLOOKUP(VLOOKUP(V1310,Tbl_Effect[],3,FALSE),EffectName[],IFERROR(MATCH(UI!$B$1,EffectName[#Headers],0),2),FALSE),"")</f>
        <v/>
      </c>
      <c r="X1310" t="str">
        <f t="shared" si="145"/>
        <v/>
      </c>
      <c r="Y1310">
        <v>0</v>
      </c>
      <c r="Z1310" t="str">
        <f>IF(Y1310&lt;&gt;0,VLOOKUP(VLOOKUP(Y1310,Tbl_Effect[],3,FALSE),EffectName[],IFERROR(MATCH(UI!$B$1,EffectName[#Headers],0),2),FALSE),"")</f>
        <v/>
      </c>
      <c r="AA1310" t="str">
        <f t="shared" si="146"/>
        <v/>
      </c>
      <c r="AB1310">
        <v>0</v>
      </c>
      <c r="AC1310" t="str">
        <f>IF(AB1310&lt;&gt;0,VLOOKUP(VLOOKUP(AB1310,Tbl_Effect[],3,FALSE),EffectName[],IFERROR(MATCH(UI!$B$1,EffectName[#Headers],0),2),FALSE),"")</f>
        <v/>
      </c>
    </row>
    <row r="1311" spans="8:29" x14ac:dyDescent="0.4">
      <c r="H1311" t="str">
        <f t="shared" si="140"/>
        <v>7330700-Unset (紅)</v>
      </c>
      <c r="I1311">
        <v>7330700</v>
      </c>
      <c r="J1311" t="str">
        <f>_xlfn.IFNA(IF(I1311&lt;&gt;0,VLOOKUP(VLOOKUP(I1311,Tbl_Equip[],2,FALSE),Tbl_Color[],IFERROR(MATCH(UI!$B$1,Tbl_Color[#Headers],0),2),FALSE),""),"Unset")</f>
        <v>紅</v>
      </c>
      <c r="K1311" t="str">
        <f>_xlfn.IFNA(IF(I1311&lt;&gt;0,VLOOKUP(I1311,ItemText[],IFERROR(MATCH(UI!$B$1,ItemText[#Headers],0),2),FALSE),""),"Unset")</f>
        <v>Unset</v>
      </c>
      <c r="L1311" t="str">
        <f t="shared" si="141"/>
        <v/>
      </c>
      <c r="M1311">
        <v>0</v>
      </c>
      <c r="N1311" t="str">
        <f>IF(VALUE(M1311)=0,"",VLOOKUP(VLOOKUP(M1311,Tbl_Effect[],3,FALSE),EffectName[],IFERROR(MATCH(UI!$B$1,EffectName[#Headers],0),2),FALSE))</f>
        <v/>
      </c>
      <c r="O1311" t="str">
        <f t="shared" si="142"/>
        <v/>
      </c>
      <c r="P1311">
        <v>0</v>
      </c>
      <c r="Q1311" t="str">
        <f>IF(VALUE(P1311)=0,"",VLOOKUP(VLOOKUP(P1311,Tbl_Effect[],3,FALSE),EffectName[],IFERROR(MATCH(UI!$B$1,EffectName[#Headers],0),2),FALSE))</f>
        <v/>
      </c>
      <c r="R1311" t="str">
        <f t="shared" si="143"/>
        <v/>
      </c>
      <c r="S1311">
        <v>0</v>
      </c>
      <c r="T1311" t="str">
        <f>IF(VALUE(S1311)=0,"",VLOOKUP(VLOOKUP(S1311,Tbl_Effect[],3,FALSE),EffectName[],IFERROR(MATCH(UI!$B$1,EffectName[#Headers],0),2),FALSE))</f>
        <v/>
      </c>
      <c r="U1311" t="str">
        <f t="shared" si="144"/>
        <v/>
      </c>
      <c r="V1311">
        <v>0</v>
      </c>
      <c r="W1311" t="str">
        <f>IF(V1311&lt;&gt;0,VLOOKUP(VLOOKUP(V1311,Tbl_Effect[],3,FALSE),EffectName[],IFERROR(MATCH(UI!$B$1,EffectName[#Headers],0),2),FALSE),"")</f>
        <v/>
      </c>
      <c r="X1311" t="str">
        <f t="shared" si="145"/>
        <v/>
      </c>
      <c r="Y1311">
        <v>0</v>
      </c>
      <c r="Z1311" t="str">
        <f>IF(Y1311&lt;&gt;0,VLOOKUP(VLOOKUP(Y1311,Tbl_Effect[],3,FALSE),EffectName[],IFERROR(MATCH(UI!$B$1,EffectName[#Headers],0),2),FALSE),"")</f>
        <v/>
      </c>
      <c r="AA1311" t="str">
        <f t="shared" si="146"/>
        <v/>
      </c>
      <c r="AB1311">
        <v>0</v>
      </c>
      <c r="AC1311" t="str">
        <f>IF(AB1311&lt;&gt;0,VLOOKUP(VLOOKUP(AB1311,Tbl_Effect[],3,FALSE),EffectName[],IFERROR(MATCH(UI!$B$1,EffectName[#Headers],0),2),FALSE),"")</f>
        <v/>
      </c>
    </row>
    <row r="1312" spans="8:29" x14ac:dyDescent="0.4">
      <c r="H1312" t="str">
        <f t="shared" si="140"/>
        <v>7330800-Unset (紅)</v>
      </c>
      <c r="I1312">
        <v>7330800</v>
      </c>
      <c r="J1312" t="str">
        <f>_xlfn.IFNA(IF(I1312&lt;&gt;0,VLOOKUP(VLOOKUP(I1312,Tbl_Equip[],2,FALSE),Tbl_Color[],IFERROR(MATCH(UI!$B$1,Tbl_Color[#Headers],0),2),FALSE),""),"Unset")</f>
        <v>紅</v>
      </c>
      <c r="K1312" t="str">
        <f>_xlfn.IFNA(IF(I1312&lt;&gt;0,VLOOKUP(I1312,ItemText[],IFERROR(MATCH(UI!$B$1,ItemText[#Headers],0),2),FALSE),""),"Unset")</f>
        <v>Unset</v>
      </c>
      <c r="L1312" t="str">
        <f t="shared" si="141"/>
        <v/>
      </c>
      <c r="M1312">
        <v>0</v>
      </c>
      <c r="N1312" t="str">
        <f>IF(VALUE(M1312)=0,"",VLOOKUP(VLOOKUP(M1312,Tbl_Effect[],3,FALSE),EffectName[],IFERROR(MATCH(UI!$B$1,EffectName[#Headers],0),2),FALSE))</f>
        <v/>
      </c>
      <c r="O1312" t="str">
        <f t="shared" si="142"/>
        <v/>
      </c>
      <c r="P1312">
        <v>0</v>
      </c>
      <c r="Q1312" t="str">
        <f>IF(VALUE(P1312)=0,"",VLOOKUP(VLOOKUP(P1312,Tbl_Effect[],3,FALSE),EffectName[],IFERROR(MATCH(UI!$B$1,EffectName[#Headers],0),2),FALSE))</f>
        <v/>
      </c>
      <c r="R1312" t="str">
        <f t="shared" si="143"/>
        <v/>
      </c>
      <c r="S1312">
        <v>0</v>
      </c>
      <c r="T1312" t="str">
        <f>IF(VALUE(S1312)=0,"",VLOOKUP(VLOOKUP(S1312,Tbl_Effect[],3,FALSE),EffectName[],IFERROR(MATCH(UI!$B$1,EffectName[#Headers],0),2),FALSE))</f>
        <v/>
      </c>
      <c r="U1312" t="str">
        <f t="shared" si="144"/>
        <v/>
      </c>
      <c r="V1312">
        <v>0</v>
      </c>
      <c r="W1312" t="str">
        <f>IF(V1312&lt;&gt;0,VLOOKUP(VLOOKUP(V1312,Tbl_Effect[],3,FALSE),EffectName[],IFERROR(MATCH(UI!$B$1,EffectName[#Headers],0),2),FALSE),"")</f>
        <v/>
      </c>
      <c r="X1312" t="str">
        <f t="shared" si="145"/>
        <v/>
      </c>
      <c r="Y1312">
        <v>0</v>
      </c>
      <c r="Z1312" t="str">
        <f>IF(Y1312&lt;&gt;0,VLOOKUP(VLOOKUP(Y1312,Tbl_Effect[],3,FALSE),EffectName[],IFERROR(MATCH(UI!$B$1,EffectName[#Headers],0),2),FALSE),"")</f>
        <v/>
      </c>
      <c r="AA1312" t="str">
        <f t="shared" si="146"/>
        <v/>
      </c>
      <c r="AB1312">
        <v>0</v>
      </c>
      <c r="AC1312" t="str">
        <f>IF(AB1312&lt;&gt;0,VLOOKUP(VLOOKUP(AB1312,Tbl_Effect[],3,FALSE),EffectName[],IFERROR(MATCH(UI!$B$1,EffectName[#Headers],0),2),FALSE),"")</f>
        <v/>
      </c>
    </row>
    <row r="1313" spans="8:29" x14ac:dyDescent="0.4">
      <c r="H1313" t="str">
        <f t="shared" si="140"/>
        <v>7330900-Unset (紅)</v>
      </c>
      <c r="I1313">
        <v>7330900</v>
      </c>
      <c r="J1313" t="str">
        <f>_xlfn.IFNA(IF(I1313&lt;&gt;0,VLOOKUP(VLOOKUP(I1313,Tbl_Equip[],2,FALSE),Tbl_Color[],IFERROR(MATCH(UI!$B$1,Tbl_Color[#Headers],0),2),FALSE),""),"Unset")</f>
        <v>紅</v>
      </c>
      <c r="K1313" t="str">
        <f>_xlfn.IFNA(IF(I1313&lt;&gt;0,VLOOKUP(I1313,ItemText[],IFERROR(MATCH(UI!$B$1,ItemText[#Headers],0),2),FALSE),""),"Unset")</f>
        <v>Unset</v>
      </c>
      <c r="L1313" t="str">
        <f t="shared" si="141"/>
        <v/>
      </c>
      <c r="M1313">
        <v>0</v>
      </c>
      <c r="N1313" t="str">
        <f>IF(VALUE(M1313)=0,"",VLOOKUP(VLOOKUP(M1313,Tbl_Effect[],3,FALSE),EffectName[],IFERROR(MATCH(UI!$B$1,EffectName[#Headers],0),2),FALSE))</f>
        <v/>
      </c>
      <c r="O1313" t="str">
        <f t="shared" si="142"/>
        <v/>
      </c>
      <c r="P1313">
        <v>0</v>
      </c>
      <c r="Q1313" t="str">
        <f>IF(VALUE(P1313)=0,"",VLOOKUP(VLOOKUP(P1313,Tbl_Effect[],3,FALSE),EffectName[],IFERROR(MATCH(UI!$B$1,EffectName[#Headers],0),2),FALSE))</f>
        <v/>
      </c>
      <c r="R1313" t="str">
        <f t="shared" si="143"/>
        <v/>
      </c>
      <c r="S1313">
        <v>0</v>
      </c>
      <c r="T1313" t="str">
        <f>IF(VALUE(S1313)=0,"",VLOOKUP(VLOOKUP(S1313,Tbl_Effect[],3,FALSE),EffectName[],IFERROR(MATCH(UI!$B$1,EffectName[#Headers],0),2),FALSE))</f>
        <v/>
      </c>
      <c r="U1313" t="str">
        <f t="shared" si="144"/>
        <v/>
      </c>
      <c r="V1313">
        <v>0</v>
      </c>
      <c r="W1313" t="str">
        <f>IF(V1313&lt;&gt;0,VLOOKUP(VLOOKUP(V1313,Tbl_Effect[],3,FALSE),EffectName[],IFERROR(MATCH(UI!$B$1,EffectName[#Headers],0),2),FALSE),"")</f>
        <v/>
      </c>
      <c r="X1313" t="str">
        <f t="shared" si="145"/>
        <v/>
      </c>
      <c r="Y1313">
        <v>0</v>
      </c>
      <c r="Z1313" t="str">
        <f>IF(Y1313&lt;&gt;0,VLOOKUP(VLOOKUP(Y1313,Tbl_Effect[],3,FALSE),EffectName[],IFERROR(MATCH(UI!$B$1,EffectName[#Headers],0),2),FALSE),"")</f>
        <v/>
      </c>
      <c r="AA1313" t="str">
        <f t="shared" si="146"/>
        <v/>
      </c>
      <c r="AB1313">
        <v>0</v>
      </c>
      <c r="AC1313" t="str">
        <f>IF(AB1313&lt;&gt;0,VLOOKUP(VLOOKUP(AB1313,Tbl_Effect[],3,FALSE),EffectName[],IFERROR(MATCH(UI!$B$1,EffectName[#Headers],0),2),FALSE),"")</f>
        <v/>
      </c>
    </row>
    <row r="1314" spans="8:29" x14ac:dyDescent="0.4">
      <c r="H1314" t="str">
        <f t="shared" si="140"/>
        <v>7331000-Unset (紅)</v>
      </c>
      <c r="I1314">
        <v>7331000</v>
      </c>
      <c r="J1314" t="str">
        <f>_xlfn.IFNA(IF(I1314&lt;&gt;0,VLOOKUP(VLOOKUP(I1314,Tbl_Equip[],2,FALSE),Tbl_Color[],IFERROR(MATCH(UI!$B$1,Tbl_Color[#Headers],0),2),FALSE),""),"Unset")</f>
        <v>紅</v>
      </c>
      <c r="K1314" t="str">
        <f>_xlfn.IFNA(IF(I1314&lt;&gt;0,VLOOKUP(I1314,ItemText[],IFERROR(MATCH(UI!$B$1,ItemText[#Headers],0),2),FALSE),""),"Unset")</f>
        <v>Unset</v>
      </c>
      <c r="L1314" t="str">
        <f t="shared" si="141"/>
        <v/>
      </c>
      <c r="M1314">
        <v>0</v>
      </c>
      <c r="N1314" t="str">
        <f>IF(VALUE(M1314)=0,"",VLOOKUP(VLOOKUP(M1314,Tbl_Effect[],3,FALSE),EffectName[],IFERROR(MATCH(UI!$B$1,EffectName[#Headers],0),2),FALSE))</f>
        <v/>
      </c>
      <c r="O1314" t="str">
        <f t="shared" si="142"/>
        <v/>
      </c>
      <c r="P1314">
        <v>0</v>
      </c>
      <c r="Q1314" t="str">
        <f>IF(VALUE(P1314)=0,"",VLOOKUP(VLOOKUP(P1314,Tbl_Effect[],3,FALSE),EffectName[],IFERROR(MATCH(UI!$B$1,EffectName[#Headers],0),2),FALSE))</f>
        <v/>
      </c>
      <c r="R1314" t="str">
        <f t="shared" si="143"/>
        <v/>
      </c>
      <c r="S1314">
        <v>0</v>
      </c>
      <c r="T1314" t="str">
        <f>IF(VALUE(S1314)=0,"",VLOOKUP(VLOOKUP(S1314,Tbl_Effect[],3,FALSE),EffectName[],IFERROR(MATCH(UI!$B$1,EffectName[#Headers],0),2),FALSE))</f>
        <v/>
      </c>
      <c r="U1314" t="str">
        <f t="shared" si="144"/>
        <v/>
      </c>
      <c r="V1314">
        <v>0</v>
      </c>
      <c r="W1314" t="str">
        <f>IF(V1314&lt;&gt;0,VLOOKUP(VLOOKUP(V1314,Tbl_Effect[],3,FALSE),EffectName[],IFERROR(MATCH(UI!$B$1,EffectName[#Headers],0),2),FALSE),"")</f>
        <v/>
      </c>
      <c r="X1314" t="str">
        <f t="shared" si="145"/>
        <v/>
      </c>
      <c r="Y1314">
        <v>0</v>
      </c>
      <c r="Z1314" t="str">
        <f>IF(Y1314&lt;&gt;0,VLOOKUP(VLOOKUP(Y1314,Tbl_Effect[],3,FALSE),EffectName[],IFERROR(MATCH(UI!$B$1,EffectName[#Headers],0),2),FALSE),"")</f>
        <v/>
      </c>
      <c r="AA1314" t="str">
        <f t="shared" si="146"/>
        <v/>
      </c>
      <c r="AB1314">
        <v>0</v>
      </c>
      <c r="AC1314" t="str">
        <f>IF(AB1314&lt;&gt;0,VLOOKUP(VLOOKUP(AB1314,Tbl_Effect[],3,FALSE),EffectName[],IFERROR(MATCH(UI!$B$1,EffectName[#Headers],0),2),FALSE),"")</f>
        <v/>
      </c>
    </row>
    <row r="1315" spans="8:29" x14ac:dyDescent="0.4">
      <c r="H1315" t="str">
        <f t="shared" si="140"/>
        <v>7331100-Unset (紅)</v>
      </c>
      <c r="I1315">
        <v>7331100</v>
      </c>
      <c r="J1315" t="str">
        <f>_xlfn.IFNA(IF(I1315&lt;&gt;0,VLOOKUP(VLOOKUP(I1315,Tbl_Equip[],2,FALSE),Tbl_Color[],IFERROR(MATCH(UI!$B$1,Tbl_Color[#Headers],0),2),FALSE),""),"Unset")</f>
        <v>紅</v>
      </c>
      <c r="K1315" t="str">
        <f>_xlfn.IFNA(IF(I1315&lt;&gt;0,VLOOKUP(I1315,ItemText[],IFERROR(MATCH(UI!$B$1,ItemText[#Headers],0),2),FALSE),""),"Unset")</f>
        <v>Unset</v>
      </c>
      <c r="L1315" t="str">
        <f t="shared" si="141"/>
        <v/>
      </c>
      <c r="M1315">
        <v>0</v>
      </c>
      <c r="N1315" t="str">
        <f>IF(VALUE(M1315)=0,"",VLOOKUP(VLOOKUP(M1315,Tbl_Effect[],3,FALSE),EffectName[],IFERROR(MATCH(UI!$B$1,EffectName[#Headers],0),2),FALSE))</f>
        <v/>
      </c>
      <c r="O1315" t="str">
        <f t="shared" si="142"/>
        <v/>
      </c>
      <c r="P1315">
        <v>0</v>
      </c>
      <c r="Q1315" t="str">
        <f>IF(VALUE(P1315)=0,"",VLOOKUP(VLOOKUP(P1315,Tbl_Effect[],3,FALSE),EffectName[],IFERROR(MATCH(UI!$B$1,EffectName[#Headers],0),2),FALSE))</f>
        <v/>
      </c>
      <c r="R1315" t="str">
        <f t="shared" si="143"/>
        <v/>
      </c>
      <c r="S1315">
        <v>0</v>
      </c>
      <c r="T1315" t="str">
        <f>IF(VALUE(S1315)=0,"",VLOOKUP(VLOOKUP(S1315,Tbl_Effect[],3,FALSE),EffectName[],IFERROR(MATCH(UI!$B$1,EffectName[#Headers],0),2),FALSE))</f>
        <v/>
      </c>
      <c r="U1315" t="str">
        <f t="shared" si="144"/>
        <v/>
      </c>
      <c r="V1315">
        <v>0</v>
      </c>
      <c r="W1315" t="str">
        <f>IF(V1315&lt;&gt;0,VLOOKUP(VLOOKUP(V1315,Tbl_Effect[],3,FALSE),EffectName[],IFERROR(MATCH(UI!$B$1,EffectName[#Headers],0),2),FALSE),"")</f>
        <v/>
      </c>
      <c r="X1315" t="str">
        <f t="shared" si="145"/>
        <v/>
      </c>
      <c r="Y1315">
        <v>0</v>
      </c>
      <c r="Z1315" t="str">
        <f>IF(Y1315&lt;&gt;0,VLOOKUP(VLOOKUP(Y1315,Tbl_Effect[],3,FALSE),EffectName[],IFERROR(MATCH(UI!$B$1,EffectName[#Headers],0),2),FALSE),"")</f>
        <v/>
      </c>
      <c r="AA1315" t="str">
        <f t="shared" si="146"/>
        <v/>
      </c>
      <c r="AB1315">
        <v>0</v>
      </c>
      <c r="AC1315" t="str">
        <f>IF(AB1315&lt;&gt;0,VLOOKUP(VLOOKUP(AB1315,Tbl_Effect[],3,FALSE),EffectName[],IFERROR(MATCH(UI!$B$1,EffectName[#Headers],0),2),FALSE),"")</f>
        <v/>
      </c>
    </row>
    <row r="1316" spans="8:29" x14ac:dyDescent="0.4">
      <c r="H1316" t="str">
        <f t="shared" si="140"/>
        <v>7331200-Unset (紅)</v>
      </c>
      <c r="I1316">
        <v>7331200</v>
      </c>
      <c r="J1316" t="str">
        <f>_xlfn.IFNA(IF(I1316&lt;&gt;0,VLOOKUP(VLOOKUP(I1316,Tbl_Equip[],2,FALSE),Tbl_Color[],IFERROR(MATCH(UI!$B$1,Tbl_Color[#Headers],0),2),FALSE),""),"Unset")</f>
        <v>紅</v>
      </c>
      <c r="K1316" t="str">
        <f>_xlfn.IFNA(IF(I1316&lt;&gt;0,VLOOKUP(I1316,ItemText[],IFERROR(MATCH(UI!$B$1,ItemText[#Headers],0),2),FALSE),""),"Unset")</f>
        <v>Unset</v>
      </c>
      <c r="L1316" t="str">
        <f t="shared" si="141"/>
        <v/>
      </c>
      <c r="M1316">
        <v>0</v>
      </c>
      <c r="N1316" t="str">
        <f>IF(VALUE(M1316)=0,"",VLOOKUP(VLOOKUP(M1316,Tbl_Effect[],3,FALSE),EffectName[],IFERROR(MATCH(UI!$B$1,EffectName[#Headers],0),2),FALSE))</f>
        <v/>
      </c>
      <c r="O1316" t="str">
        <f t="shared" si="142"/>
        <v/>
      </c>
      <c r="P1316">
        <v>0</v>
      </c>
      <c r="Q1316" t="str">
        <f>IF(VALUE(P1316)=0,"",VLOOKUP(VLOOKUP(P1316,Tbl_Effect[],3,FALSE),EffectName[],IFERROR(MATCH(UI!$B$1,EffectName[#Headers],0),2),FALSE))</f>
        <v/>
      </c>
      <c r="R1316" t="str">
        <f t="shared" si="143"/>
        <v/>
      </c>
      <c r="S1316">
        <v>0</v>
      </c>
      <c r="T1316" t="str">
        <f>IF(VALUE(S1316)=0,"",VLOOKUP(VLOOKUP(S1316,Tbl_Effect[],3,FALSE),EffectName[],IFERROR(MATCH(UI!$B$1,EffectName[#Headers],0),2),FALSE))</f>
        <v/>
      </c>
      <c r="U1316" t="str">
        <f t="shared" si="144"/>
        <v/>
      </c>
      <c r="V1316">
        <v>0</v>
      </c>
      <c r="W1316" t="str">
        <f>IF(V1316&lt;&gt;0,VLOOKUP(VLOOKUP(V1316,Tbl_Effect[],3,FALSE),EffectName[],IFERROR(MATCH(UI!$B$1,EffectName[#Headers],0),2),FALSE),"")</f>
        <v/>
      </c>
      <c r="X1316" t="str">
        <f t="shared" si="145"/>
        <v/>
      </c>
      <c r="Y1316">
        <v>0</v>
      </c>
      <c r="Z1316" t="str">
        <f>IF(Y1316&lt;&gt;0,VLOOKUP(VLOOKUP(Y1316,Tbl_Effect[],3,FALSE),EffectName[],IFERROR(MATCH(UI!$B$1,EffectName[#Headers],0),2),FALSE),"")</f>
        <v/>
      </c>
      <c r="AA1316" t="str">
        <f t="shared" si="146"/>
        <v/>
      </c>
      <c r="AB1316">
        <v>0</v>
      </c>
      <c r="AC1316" t="str">
        <f>IF(AB1316&lt;&gt;0,VLOOKUP(VLOOKUP(AB1316,Tbl_Effect[],3,FALSE),EffectName[],IFERROR(MATCH(UI!$B$1,EffectName[#Headers],0),2),FALSE),"")</f>
        <v/>
      </c>
    </row>
    <row r="1317" spans="8:29" x14ac:dyDescent="0.4">
      <c r="H1317" t="str">
        <f t="shared" si="140"/>
        <v>7331300-Unset (紅)</v>
      </c>
      <c r="I1317">
        <v>7331300</v>
      </c>
      <c r="J1317" t="str">
        <f>_xlfn.IFNA(IF(I1317&lt;&gt;0,VLOOKUP(VLOOKUP(I1317,Tbl_Equip[],2,FALSE),Tbl_Color[],IFERROR(MATCH(UI!$B$1,Tbl_Color[#Headers],0),2),FALSE),""),"Unset")</f>
        <v>紅</v>
      </c>
      <c r="K1317" t="str">
        <f>_xlfn.IFNA(IF(I1317&lt;&gt;0,VLOOKUP(I1317,ItemText[],IFERROR(MATCH(UI!$B$1,ItemText[#Headers],0),2),FALSE),""),"Unset")</f>
        <v>Unset</v>
      </c>
      <c r="L1317" t="str">
        <f t="shared" si="141"/>
        <v/>
      </c>
      <c r="M1317">
        <v>0</v>
      </c>
      <c r="N1317" t="str">
        <f>IF(VALUE(M1317)=0,"",VLOOKUP(VLOOKUP(M1317,Tbl_Effect[],3,FALSE),EffectName[],IFERROR(MATCH(UI!$B$1,EffectName[#Headers],0),2),FALSE))</f>
        <v/>
      </c>
      <c r="O1317" t="str">
        <f t="shared" si="142"/>
        <v/>
      </c>
      <c r="P1317">
        <v>0</v>
      </c>
      <c r="Q1317" t="str">
        <f>IF(VALUE(P1317)=0,"",VLOOKUP(VLOOKUP(P1317,Tbl_Effect[],3,FALSE),EffectName[],IFERROR(MATCH(UI!$B$1,EffectName[#Headers],0),2),FALSE))</f>
        <v/>
      </c>
      <c r="R1317" t="str">
        <f t="shared" si="143"/>
        <v/>
      </c>
      <c r="S1317">
        <v>0</v>
      </c>
      <c r="T1317" t="str">
        <f>IF(VALUE(S1317)=0,"",VLOOKUP(VLOOKUP(S1317,Tbl_Effect[],3,FALSE),EffectName[],IFERROR(MATCH(UI!$B$1,EffectName[#Headers],0),2),FALSE))</f>
        <v/>
      </c>
      <c r="U1317" t="str">
        <f t="shared" si="144"/>
        <v/>
      </c>
      <c r="V1317">
        <v>0</v>
      </c>
      <c r="W1317" t="str">
        <f>IF(V1317&lt;&gt;0,VLOOKUP(VLOOKUP(V1317,Tbl_Effect[],3,FALSE),EffectName[],IFERROR(MATCH(UI!$B$1,EffectName[#Headers],0),2),FALSE),"")</f>
        <v/>
      </c>
      <c r="X1317" t="str">
        <f t="shared" si="145"/>
        <v/>
      </c>
      <c r="Y1317">
        <v>0</v>
      </c>
      <c r="Z1317" t="str">
        <f>IF(Y1317&lt;&gt;0,VLOOKUP(VLOOKUP(Y1317,Tbl_Effect[],3,FALSE),EffectName[],IFERROR(MATCH(UI!$B$1,EffectName[#Headers],0),2),FALSE),"")</f>
        <v/>
      </c>
      <c r="AA1317" t="str">
        <f t="shared" si="146"/>
        <v/>
      </c>
      <c r="AB1317">
        <v>0</v>
      </c>
      <c r="AC1317" t="str">
        <f>IF(AB1317&lt;&gt;0,VLOOKUP(VLOOKUP(AB1317,Tbl_Effect[],3,FALSE),EffectName[],IFERROR(MATCH(UI!$B$1,EffectName[#Headers],0),2),FALSE),"")</f>
        <v/>
      </c>
    </row>
    <row r="1318" spans="8:29" x14ac:dyDescent="0.4">
      <c r="H1318" t="str">
        <f t="shared" si="140"/>
        <v>7331400-Unset (紅)</v>
      </c>
      <c r="I1318">
        <v>7331400</v>
      </c>
      <c r="J1318" t="str">
        <f>_xlfn.IFNA(IF(I1318&lt;&gt;0,VLOOKUP(VLOOKUP(I1318,Tbl_Equip[],2,FALSE),Tbl_Color[],IFERROR(MATCH(UI!$B$1,Tbl_Color[#Headers],0),2),FALSE),""),"Unset")</f>
        <v>紅</v>
      </c>
      <c r="K1318" t="str">
        <f>_xlfn.IFNA(IF(I1318&lt;&gt;0,VLOOKUP(I1318,ItemText[],IFERROR(MATCH(UI!$B$1,ItemText[#Headers],0),2),FALSE),""),"Unset")</f>
        <v>Unset</v>
      </c>
      <c r="L1318" t="str">
        <f t="shared" si="141"/>
        <v/>
      </c>
      <c r="M1318">
        <v>0</v>
      </c>
      <c r="N1318" t="str">
        <f>IF(VALUE(M1318)=0,"",VLOOKUP(VLOOKUP(M1318,Tbl_Effect[],3,FALSE),EffectName[],IFERROR(MATCH(UI!$B$1,EffectName[#Headers],0),2),FALSE))</f>
        <v/>
      </c>
      <c r="O1318" t="str">
        <f t="shared" si="142"/>
        <v/>
      </c>
      <c r="P1318">
        <v>0</v>
      </c>
      <c r="Q1318" t="str">
        <f>IF(VALUE(P1318)=0,"",VLOOKUP(VLOOKUP(P1318,Tbl_Effect[],3,FALSE),EffectName[],IFERROR(MATCH(UI!$B$1,EffectName[#Headers],0),2),FALSE))</f>
        <v/>
      </c>
      <c r="R1318" t="str">
        <f t="shared" si="143"/>
        <v/>
      </c>
      <c r="S1318">
        <v>0</v>
      </c>
      <c r="T1318" t="str">
        <f>IF(VALUE(S1318)=0,"",VLOOKUP(VLOOKUP(S1318,Tbl_Effect[],3,FALSE),EffectName[],IFERROR(MATCH(UI!$B$1,EffectName[#Headers],0),2),FALSE))</f>
        <v/>
      </c>
      <c r="U1318" t="str">
        <f t="shared" si="144"/>
        <v/>
      </c>
      <c r="V1318">
        <v>0</v>
      </c>
      <c r="W1318" t="str">
        <f>IF(V1318&lt;&gt;0,VLOOKUP(VLOOKUP(V1318,Tbl_Effect[],3,FALSE),EffectName[],IFERROR(MATCH(UI!$B$1,EffectName[#Headers],0),2),FALSE),"")</f>
        <v/>
      </c>
      <c r="X1318" t="str">
        <f t="shared" si="145"/>
        <v/>
      </c>
      <c r="Y1318">
        <v>0</v>
      </c>
      <c r="Z1318" t="str">
        <f>IF(Y1318&lt;&gt;0,VLOOKUP(VLOOKUP(Y1318,Tbl_Effect[],3,FALSE),EffectName[],IFERROR(MATCH(UI!$B$1,EffectName[#Headers],0),2),FALSE),"")</f>
        <v/>
      </c>
      <c r="AA1318" t="str">
        <f t="shared" si="146"/>
        <v/>
      </c>
      <c r="AB1318">
        <v>0</v>
      </c>
      <c r="AC1318" t="str">
        <f>IF(AB1318&lt;&gt;0,VLOOKUP(VLOOKUP(AB1318,Tbl_Effect[],3,FALSE),EffectName[],IFERROR(MATCH(UI!$B$1,EffectName[#Headers],0),2),FALSE),"")</f>
        <v/>
      </c>
    </row>
    <row r="1319" spans="8:29" x14ac:dyDescent="0.4">
      <c r="H1319" t="str">
        <f t="shared" si="140"/>
        <v>7331500-Unset (紅)</v>
      </c>
      <c r="I1319">
        <v>7331500</v>
      </c>
      <c r="J1319" t="str">
        <f>_xlfn.IFNA(IF(I1319&lt;&gt;0,VLOOKUP(VLOOKUP(I1319,Tbl_Equip[],2,FALSE),Tbl_Color[],IFERROR(MATCH(UI!$B$1,Tbl_Color[#Headers],0),2),FALSE),""),"Unset")</f>
        <v>紅</v>
      </c>
      <c r="K1319" t="str">
        <f>_xlfn.IFNA(IF(I1319&lt;&gt;0,VLOOKUP(I1319,ItemText[],IFERROR(MATCH(UI!$B$1,ItemText[#Headers],0),2),FALSE),""),"Unset")</f>
        <v>Unset</v>
      </c>
      <c r="L1319" t="str">
        <f t="shared" si="141"/>
        <v/>
      </c>
      <c r="M1319">
        <v>0</v>
      </c>
      <c r="N1319" t="str">
        <f>IF(VALUE(M1319)=0,"",VLOOKUP(VLOOKUP(M1319,Tbl_Effect[],3,FALSE),EffectName[],IFERROR(MATCH(UI!$B$1,EffectName[#Headers],0),2),FALSE))</f>
        <v/>
      </c>
      <c r="O1319" t="str">
        <f t="shared" si="142"/>
        <v/>
      </c>
      <c r="P1319">
        <v>0</v>
      </c>
      <c r="Q1319" t="str">
        <f>IF(VALUE(P1319)=0,"",VLOOKUP(VLOOKUP(P1319,Tbl_Effect[],3,FALSE),EffectName[],IFERROR(MATCH(UI!$B$1,EffectName[#Headers],0),2),FALSE))</f>
        <v/>
      </c>
      <c r="R1319" t="str">
        <f t="shared" si="143"/>
        <v/>
      </c>
      <c r="S1319">
        <v>0</v>
      </c>
      <c r="T1319" t="str">
        <f>IF(VALUE(S1319)=0,"",VLOOKUP(VLOOKUP(S1319,Tbl_Effect[],3,FALSE),EffectName[],IFERROR(MATCH(UI!$B$1,EffectName[#Headers],0),2),FALSE))</f>
        <v/>
      </c>
      <c r="U1319" t="str">
        <f t="shared" si="144"/>
        <v/>
      </c>
      <c r="V1319">
        <v>0</v>
      </c>
      <c r="W1319" t="str">
        <f>IF(V1319&lt;&gt;0,VLOOKUP(VLOOKUP(V1319,Tbl_Effect[],3,FALSE),EffectName[],IFERROR(MATCH(UI!$B$1,EffectName[#Headers],0),2),FALSE),"")</f>
        <v/>
      </c>
      <c r="X1319" t="str">
        <f t="shared" si="145"/>
        <v/>
      </c>
      <c r="Y1319">
        <v>0</v>
      </c>
      <c r="Z1319" t="str">
        <f>IF(Y1319&lt;&gt;0,VLOOKUP(VLOOKUP(Y1319,Tbl_Effect[],3,FALSE),EffectName[],IFERROR(MATCH(UI!$B$1,EffectName[#Headers],0),2),FALSE),"")</f>
        <v/>
      </c>
      <c r="AA1319" t="str">
        <f t="shared" si="146"/>
        <v/>
      </c>
      <c r="AB1319">
        <v>0</v>
      </c>
      <c r="AC1319" t="str">
        <f>IF(AB1319&lt;&gt;0,VLOOKUP(VLOOKUP(AB1319,Tbl_Effect[],3,FALSE),EffectName[],IFERROR(MATCH(UI!$B$1,EffectName[#Headers],0),2),FALSE),"")</f>
        <v/>
      </c>
    </row>
    <row r="1320" spans="8:29" x14ac:dyDescent="0.4">
      <c r="H1320" t="str">
        <f t="shared" si="140"/>
        <v>7331700-Unset (紅)</v>
      </c>
      <c r="I1320">
        <v>7331700</v>
      </c>
      <c r="J1320" t="str">
        <f>_xlfn.IFNA(IF(I1320&lt;&gt;0,VLOOKUP(VLOOKUP(I1320,Tbl_Equip[],2,FALSE),Tbl_Color[],IFERROR(MATCH(UI!$B$1,Tbl_Color[#Headers],0),2),FALSE),""),"Unset")</f>
        <v>紅</v>
      </c>
      <c r="K1320" t="str">
        <f>_xlfn.IFNA(IF(I1320&lt;&gt;0,VLOOKUP(I1320,ItemText[],IFERROR(MATCH(UI!$B$1,ItemText[#Headers],0),2),FALSE),""),"Unset")</f>
        <v>Unset</v>
      </c>
      <c r="L1320" t="str">
        <f t="shared" si="141"/>
        <v/>
      </c>
      <c r="M1320">
        <v>0</v>
      </c>
      <c r="N1320" t="str">
        <f>IF(VALUE(M1320)=0,"",VLOOKUP(VLOOKUP(M1320,Tbl_Effect[],3,FALSE),EffectName[],IFERROR(MATCH(UI!$B$1,EffectName[#Headers],0),2),FALSE))</f>
        <v/>
      </c>
      <c r="O1320" t="str">
        <f t="shared" si="142"/>
        <v/>
      </c>
      <c r="P1320">
        <v>0</v>
      </c>
      <c r="Q1320" t="str">
        <f>IF(VALUE(P1320)=0,"",VLOOKUP(VLOOKUP(P1320,Tbl_Effect[],3,FALSE),EffectName[],IFERROR(MATCH(UI!$B$1,EffectName[#Headers],0),2),FALSE))</f>
        <v/>
      </c>
      <c r="R1320" t="str">
        <f t="shared" si="143"/>
        <v/>
      </c>
      <c r="S1320">
        <v>0</v>
      </c>
      <c r="T1320" t="str">
        <f>IF(VALUE(S1320)=0,"",VLOOKUP(VLOOKUP(S1320,Tbl_Effect[],3,FALSE),EffectName[],IFERROR(MATCH(UI!$B$1,EffectName[#Headers],0),2),FALSE))</f>
        <v/>
      </c>
      <c r="U1320" t="str">
        <f t="shared" si="144"/>
        <v/>
      </c>
      <c r="V1320">
        <v>0</v>
      </c>
      <c r="W1320" t="str">
        <f>IF(V1320&lt;&gt;0,VLOOKUP(VLOOKUP(V1320,Tbl_Effect[],3,FALSE),EffectName[],IFERROR(MATCH(UI!$B$1,EffectName[#Headers],0),2),FALSE),"")</f>
        <v/>
      </c>
      <c r="X1320" t="str">
        <f t="shared" si="145"/>
        <v/>
      </c>
      <c r="Y1320">
        <v>0</v>
      </c>
      <c r="Z1320" t="str">
        <f>IF(Y1320&lt;&gt;0,VLOOKUP(VLOOKUP(Y1320,Tbl_Effect[],3,FALSE),EffectName[],IFERROR(MATCH(UI!$B$1,EffectName[#Headers],0),2),FALSE),"")</f>
        <v/>
      </c>
      <c r="AA1320" t="str">
        <f t="shared" si="146"/>
        <v/>
      </c>
      <c r="AB1320">
        <v>0</v>
      </c>
      <c r="AC1320" t="str">
        <f>IF(AB1320&lt;&gt;0,VLOOKUP(VLOOKUP(AB1320,Tbl_Effect[],3,FALSE),EffectName[],IFERROR(MATCH(UI!$B$1,EffectName[#Headers],0),2),FALSE),"")</f>
        <v/>
      </c>
    </row>
    <row r="1321" spans="8:29" x14ac:dyDescent="0.4">
      <c r="H1321" t="str">
        <f t="shared" si="140"/>
        <v>7331800-Unset (紅)</v>
      </c>
      <c r="I1321">
        <v>7331800</v>
      </c>
      <c r="J1321" t="str">
        <f>_xlfn.IFNA(IF(I1321&lt;&gt;0,VLOOKUP(VLOOKUP(I1321,Tbl_Equip[],2,FALSE),Tbl_Color[],IFERROR(MATCH(UI!$B$1,Tbl_Color[#Headers],0),2),FALSE),""),"Unset")</f>
        <v>紅</v>
      </c>
      <c r="K1321" t="str">
        <f>_xlfn.IFNA(IF(I1321&lt;&gt;0,VLOOKUP(I1321,ItemText[],IFERROR(MATCH(UI!$B$1,ItemText[#Headers],0),2),FALSE),""),"Unset")</f>
        <v>Unset</v>
      </c>
      <c r="L1321" t="str">
        <f t="shared" si="141"/>
        <v/>
      </c>
      <c r="M1321">
        <v>0</v>
      </c>
      <c r="N1321" t="str">
        <f>IF(VALUE(M1321)=0,"",VLOOKUP(VLOOKUP(M1321,Tbl_Effect[],3,FALSE),EffectName[],IFERROR(MATCH(UI!$B$1,EffectName[#Headers],0),2),FALSE))</f>
        <v/>
      </c>
      <c r="O1321" t="str">
        <f t="shared" si="142"/>
        <v/>
      </c>
      <c r="P1321">
        <v>0</v>
      </c>
      <c r="Q1321" t="str">
        <f>IF(VALUE(P1321)=0,"",VLOOKUP(VLOOKUP(P1321,Tbl_Effect[],3,FALSE),EffectName[],IFERROR(MATCH(UI!$B$1,EffectName[#Headers],0),2),FALSE))</f>
        <v/>
      </c>
      <c r="R1321" t="str">
        <f t="shared" si="143"/>
        <v/>
      </c>
      <c r="S1321">
        <v>0</v>
      </c>
      <c r="T1321" t="str">
        <f>IF(VALUE(S1321)=0,"",VLOOKUP(VLOOKUP(S1321,Tbl_Effect[],3,FALSE),EffectName[],IFERROR(MATCH(UI!$B$1,EffectName[#Headers],0),2),FALSE))</f>
        <v/>
      </c>
      <c r="U1321" t="str">
        <f t="shared" si="144"/>
        <v/>
      </c>
      <c r="V1321">
        <v>0</v>
      </c>
      <c r="W1321" t="str">
        <f>IF(V1321&lt;&gt;0,VLOOKUP(VLOOKUP(V1321,Tbl_Effect[],3,FALSE),EffectName[],IFERROR(MATCH(UI!$B$1,EffectName[#Headers],0),2),FALSE),"")</f>
        <v/>
      </c>
      <c r="X1321" t="str">
        <f t="shared" si="145"/>
        <v/>
      </c>
      <c r="Y1321">
        <v>0</v>
      </c>
      <c r="Z1321" t="str">
        <f>IF(Y1321&lt;&gt;0,VLOOKUP(VLOOKUP(Y1321,Tbl_Effect[],3,FALSE),EffectName[],IFERROR(MATCH(UI!$B$1,EffectName[#Headers],0),2),FALSE),"")</f>
        <v/>
      </c>
      <c r="AA1321" t="str">
        <f t="shared" si="146"/>
        <v/>
      </c>
      <c r="AB1321">
        <v>0</v>
      </c>
      <c r="AC1321" t="str">
        <f>IF(AB1321&lt;&gt;0,VLOOKUP(VLOOKUP(AB1321,Tbl_Effect[],3,FALSE),EffectName[],IFERROR(MATCH(UI!$B$1,EffectName[#Headers],0),2),FALSE),"")</f>
        <v/>
      </c>
    </row>
    <row r="1322" spans="8:29" x14ac:dyDescent="0.4">
      <c r="H1322" t="str">
        <f t="shared" si="140"/>
        <v>7331900-Unset (紅)</v>
      </c>
      <c r="I1322">
        <v>7331900</v>
      </c>
      <c r="J1322" t="str">
        <f>_xlfn.IFNA(IF(I1322&lt;&gt;0,VLOOKUP(VLOOKUP(I1322,Tbl_Equip[],2,FALSE),Tbl_Color[],IFERROR(MATCH(UI!$B$1,Tbl_Color[#Headers],0),2),FALSE),""),"Unset")</f>
        <v>紅</v>
      </c>
      <c r="K1322" t="str">
        <f>_xlfn.IFNA(IF(I1322&lt;&gt;0,VLOOKUP(I1322,ItemText[],IFERROR(MATCH(UI!$B$1,ItemText[#Headers],0),2),FALSE),""),"Unset")</f>
        <v>Unset</v>
      </c>
      <c r="L1322" t="str">
        <f t="shared" si="141"/>
        <v/>
      </c>
      <c r="M1322">
        <v>0</v>
      </c>
      <c r="N1322" t="str">
        <f>IF(VALUE(M1322)=0,"",VLOOKUP(VLOOKUP(M1322,Tbl_Effect[],3,FALSE),EffectName[],IFERROR(MATCH(UI!$B$1,EffectName[#Headers],0),2),FALSE))</f>
        <v/>
      </c>
      <c r="O1322" t="str">
        <f t="shared" si="142"/>
        <v/>
      </c>
      <c r="P1322">
        <v>0</v>
      </c>
      <c r="Q1322" t="str">
        <f>IF(VALUE(P1322)=0,"",VLOOKUP(VLOOKUP(P1322,Tbl_Effect[],3,FALSE),EffectName[],IFERROR(MATCH(UI!$B$1,EffectName[#Headers],0),2),FALSE))</f>
        <v/>
      </c>
      <c r="R1322" t="str">
        <f t="shared" si="143"/>
        <v/>
      </c>
      <c r="S1322">
        <v>0</v>
      </c>
      <c r="T1322" t="str">
        <f>IF(VALUE(S1322)=0,"",VLOOKUP(VLOOKUP(S1322,Tbl_Effect[],3,FALSE),EffectName[],IFERROR(MATCH(UI!$B$1,EffectName[#Headers],0),2),FALSE))</f>
        <v/>
      </c>
      <c r="U1322" t="str">
        <f t="shared" si="144"/>
        <v/>
      </c>
      <c r="V1322">
        <v>0</v>
      </c>
      <c r="W1322" t="str">
        <f>IF(V1322&lt;&gt;0,VLOOKUP(VLOOKUP(V1322,Tbl_Effect[],3,FALSE),EffectName[],IFERROR(MATCH(UI!$B$1,EffectName[#Headers],0),2),FALSE),"")</f>
        <v/>
      </c>
      <c r="X1322" t="str">
        <f t="shared" si="145"/>
        <v/>
      </c>
      <c r="Y1322">
        <v>0</v>
      </c>
      <c r="Z1322" t="str">
        <f>IF(Y1322&lt;&gt;0,VLOOKUP(VLOOKUP(Y1322,Tbl_Effect[],3,FALSE),EffectName[],IFERROR(MATCH(UI!$B$1,EffectName[#Headers],0),2),FALSE),"")</f>
        <v/>
      </c>
      <c r="AA1322" t="str">
        <f t="shared" si="146"/>
        <v/>
      </c>
      <c r="AB1322">
        <v>0</v>
      </c>
      <c r="AC1322" t="str">
        <f>IF(AB1322&lt;&gt;0,VLOOKUP(VLOOKUP(AB1322,Tbl_Effect[],3,FALSE),EffectName[],IFERROR(MATCH(UI!$B$1,EffectName[#Headers],0),2),FALSE),"")</f>
        <v/>
      </c>
    </row>
    <row r="1323" spans="8:29" x14ac:dyDescent="0.4">
      <c r="H1323" t="str">
        <f t="shared" si="140"/>
        <v>7332000-Unset (紅)</v>
      </c>
      <c r="I1323">
        <v>7332000</v>
      </c>
      <c r="J1323" t="str">
        <f>_xlfn.IFNA(IF(I1323&lt;&gt;0,VLOOKUP(VLOOKUP(I1323,Tbl_Equip[],2,FALSE),Tbl_Color[],IFERROR(MATCH(UI!$B$1,Tbl_Color[#Headers],0),2),FALSE),""),"Unset")</f>
        <v>紅</v>
      </c>
      <c r="K1323" t="str">
        <f>_xlfn.IFNA(IF(I1323&lt;&gt;0,VLOOKUP(I1323,ItemText[],IFERROR(MATCH(UI!$B$1,ItemText[#Headers],0),2),FALSE),""),"Unset")</f>
        <v>Unset</v>
      </c>
      <c r="L1323" t="str">
        <f t="shared" si="141"/>
        <v/>
      </c>
      <c r="M1323">
        <v>0</v>
      </c>
      <c r="N1323" t="str">
        <f>IF(VALUE(M1323)=0,"",VLOOKUP(VLOOKUP(M1323,Tbl_Effect[],3,FALSE),EffectName[],IFERROR(MATCH(UI!$B$1,EffectName[#Headers],0),2),FALSE))</f>
        <v/>
      </c>
      <c r="O1323" t="str">
        <f t="shared" si="142"/>
        <v/>
      </c>
      <c r="P1323">
        <v>0</v>
      </c>
      <c r="Q1323" t="str">
        <f>IF(VALUE(P1323)=0,"",VLOOKUP(VLOOKUP(P1323,Tbl_Effect[],3,FALSE),EffectName[],IFERROR(MATCH(UI!$B$1,EffectName[#Headers],0),2),FALSE))</f>
        <v/>
      </c>
      <c r="R1323" t="str">
        <f t="shared" si="143"/>
        <v/>
      </c>
      <c r="S1323">
        <v>0</v>
      </c>
      <c r="T1323" t="str">
        <f>IF(VALUE(S1323)=0,"",VLOOKUP(VLOOKUP(S1323,Tbl_Effect[],3,FALSE),EffectName[],IFERROR(MATCH(UI!$B$1,EffectName[#Headers],0),2),FALSE))</f>
        <v/>
      </c>
      <c r="U1323" t="str">
        <f t="shared" si="144"/>
        <v/>
      </c>
      <c r="V1323">
        <v>0</v>
      </c>
      <c r="W1323" t="str">
        <f>IF(V1323&lt;&gt;0,VLOOKUP(VLOOKUP(V1323,Tbl_Effect[],3,FALSE),EffectName[],IFERROR(MATCH(UI!$B$1,EffectName[#Headers],0),2),FALSE),"")</f>
        <v/>
      </c>
      <c r="X1323" t="str">
        <f t="shared" si="145"/>
        <v/>
      </c>
      <c r="Y1323">
        <v>0</v>
      </c>
      <c r="Z1323" t="str">
        <f>IF(Y1323&lt;&gt;0,VLOOKUP(VLOOKUP(Y1323,Tbl_Effect[],3,FALSE),EffectName[],IFERROR(MATCH(UI!$B$1,EffectName[#Headers],0),2),FALSE),"")</f>
        <v/>
      </c>
      <c r="AA1323" t="str">
        <f t="shared" si="146"/>
        <v/>
      </c>
      <c r="AB1323">
        <v>0</v>
      </c>
      <c r="AC1323" t="str">
        <f>IF(AB1323&lt;&gt;0,VLOOKUP(VLOOKUP(AB1323,Tbl_Effect[],3,FALSE),EffectName[],IFERROR(MATCH(UI!$B$1,EffectName[#Headers],0),2),FALSE),"")</f>
        <v/>
      </c>
    </row>
    <row r="1324" spans="8:29" x14ac:dyDescent="0.4">
      <c r="H1324" t="str">
        <f t="shared" si="140"/>
        <v>7332100-Unset (紅)</v>
      </c>
      <c r="I1324">
        <v>7332100</v>
      </c>
      <c r="J1324" t="str">
        <f>_xlfn.IFNA(IF(I1324&lt;&gt;0,VLOOKUP(VLOOKUP(I1324,Tbl_Equip[],2,FALSE),Tbl_Color[],IFERROR(MATCH(UI!$B$1,Tbl_Color[#Headers],0),2),FALSE),""),"Unset")</f>
        <v>紅</v>
      </c>
      <c r="K1324" t="str">
        <f>_xlfn.IFNA(IF(I1324&lt;&gt;0,VLOOKUP(I1324,ItemText[],IFERROR(MATCH(UI!$B$1,ItemText[#Headers],0),2),FALSE),""),"Unset")</f>
        <v>Unset</v>
      </c>
      <c r="L1324" t="str">
        <f t="shared" si="141"/>
        <v/>
      </c>
      <c r="M1324">
        <v>0</v>
      </c>
      <c r="N1324" t="str">
        <f>IF(VALUE(M1324)=0,"",VLOOKUP(VLOOKUP(M1324,Tbl_Effect[],3,FALSE),EffectName[],IFERROR(MATCH(UI!$B$1,EffectName[#Headers],0),2),FALSE))</f>
        <v/>
      </c>
      <c r="O1324" t="str">
        <f t="shared" si="142"/>
        <v/>
      </c>
      <c r="P1324">
        <v>0</v>
      </c>
      <c r="Q1324" t="str">
        <f>IF(VALUE(P1324)=0,"",VLOOKUP(VLOOKUP(P1324,Tbl_Effect[],3,FALSE),EffectName[],IFERROR(MATCH(UI!$B$1,EffectName[#Headers],0),2),FALSE))</f>
        <v/>
      </c>
      <c r="R1324" t="str">
        <f t="shared" si="143"/>
        <v/>
      </c>
      <c r="S1324">
        <v>0</v>
      </c>
      <c r="T1324" t="str">
        <f>IF(VALUE(S1324)=0,"",VLOOKUP(VLOOKUP(S1324,Tbl_Effect[],3,FALSE),EffectName[],IFERROR(MATCH(UI!$B$1,EffectName[#Headers],0),2),FALSE))</f>
        <v/>
      </c>
      <c r="U1324" t="str">
        <f t="shared" si="144"/>
        <v/>
      </c>
      <c r="V1324">
        <v>0</v>
      </c>
      <c r="W1324" t="str">
        <f>IF(V1324&lt;&gt;0,VLOOKUP(VLOOKUP(V1324,Tbl_Effect[],3,FALSE),EffectName[],IFERROR(MATCH(UI!$B$1,EffectName[#Headers],0),2),FALSE),"")</f>
        <v/>
      </c>
      <c r="X1324" t="str">
        <f t="shared" si="145"/>
        <v/>
      </c>
      <c r="Y1324">
        <v>0</v>
      </c>
      <c r="Z1324" t="str">
        <f>IF(Y1324&lt;&gt;0,VLOOKUP(VLOOKUP(Y1324,Tbl_Effect[],3,FALSE),EffectName[],IFERROR(MATCH(UI!$B$1,EffectName[#Headers],0),2),FALSE),"")</f>
        <v/>
      </c>
      <c r="AA1324" t="str">
        <f t="shared" si="146"/>
        <v/>
      </c>
      <c r="AB1324">
        <v>0</v>
      </c>
      <c r="AC1324" t="str">
        <f>IF(AB1324&lt;&gt;0,VLOOKUP(VLOOKUP(AB1324,Tbl_Effect[],3,FALSE),EffectName[],IFERROR(MATCH(UI!$B$1,EffectName[#Headers],0),2),FALSE),"")</f>
        <v/>
      </c>
    </row>
    <row r="1325" spans="8:29" x14ac:dyDescent="0.4">
      <c r="H1325" t="str">
        <f t="shared" si="140"/>
        <v>7332200-Unset (紅)</v>
      </c>
      <c r="I1325">
        <v>7332200</v>
      </c>
      <c r="J1325" t="str">
        <f>_xlfn.IFNA(IF(I1325&lt;&gt;0,VLOOKUP(VLOOKUP(I1325,Tbl_Equip[],2,FALSE),Tbl_Color[],IFERROR(MATCH(UI!$B$1,Tbl_Color[#Headers],0),2),FALSE),""),"Unset")</f>
        <v>紅</v>
      </c>
      <c r="K1325" t="str">
        <f>_xlfn.IFNA(IF(I1325&lt;&gt;0,VLOOKUP(I1325,ItemText[],IFERROR(MATCH(UI!$B$1,ItemText[#Headers],0),2),FALSE),""),"Unset")</f>
        <v>Unset</v>
      </c>
      <c r="L1325" t="str">
        <f t="shared" si="141"/>
        <v/>
      </c>
      <c r="M1325">
        <v>0</v>
      </c>
      <c r="N1325" t="str">
        <f>IF(VALUE(M1325)=0,"",VLOOKUP(VLOOKUP(M1325,Tbl_Effect[],3,FALSE),EffectName[],IFERROR(MATCH(UI!$B$1,EffectName[#Headers],0),2),FALSE))</f>
        <v/>
      </c>
      <c r="O1325" t="str">
        <f t="shared" si="142"/>
        <v/>
      </c>
      <c r="P1325">
        <v>0</v>
      </c>
      <c r="Q1325" t="str">
        <f>IF(VALUE(P1325)=0,"",VLOOKUP(VLOOKUP(P1325,Tbl_Effect[],3,FALSE),EffectName[],IFERROR(MATCH(UI!$B$1,EffectName[#Headers],0),2),FALSE))</f>
        <v/>
      </c>
      <c r="R1325" t="str">
        <f t="shared" si="143"/>
        <v/>
      </c>
      <c r="S1325">
        <v>0</v>
      </c>
      <c r="T1325" t="str">
        <f>IF(VALUE(S1325)=0,"",VLOOKUP(VLOOKUP(S1325,Tbl_Effect[],3,FALSE),EffectName[],IFERROR(MATCH(UI!$B$1,EffectName[#Headers],0),2),FALSE))</f>
        <v/>
      </c>
      <c r="U1325" t="str">
        <f t="shared" si="144"/>
        <v/>
      </c>
      <c r="V1325">
        <v>0</v>
      </c>
      <c r="W1325" t="str">
        <f>IF(V1325&lt;&gt;0,VLOOKUP(VLOOKUP(V1325,Tbl_Effect[],3,FALSE),EffectName[],IFERROR(MATCH(UI!$B$1,EffectName[#Headers],0),2),FALSE),"")</f>
        <v/>
      </c>
      <c r="X1325" t="str">
        <f t="shared" si="145"/>
        <v/>
      </c>
      <c r="Y1325">
        <v>0</v>
      </c>
      <c r="Z1325" t="str">
        <f>IF(Y1325&lt;&gt;0,VLOOKUP(VLOOKUP(Y1325,Tbl_Effect[],3,FALSE),EffectName[],IFERROR(MATCH(UI!$B$1,EffectName[#Headers],0),2),FALSE),"")</f>
        <v/>
      </c>
      <c r="AA1325" t="str">
        <f t="shared" si="146"/>
        <v/>
      </c>
      <c r="AB1325">
        <v>0</v>
      </c>
      <c r="AC1325" t="str">
        <f>IF(AB1325&lt;&gt;0,VLOOKUP(VLOOKUP(AB1325,Tbl_Effect[],3,FALSE),EffectName[],IFERROR(MATCH(UI!$B$1,EffectName[#Headers],0),2),FALSE),"")</f>
        <v/>
      </c>
    </row>
    <row r="1326" spans="8:29" x14ac:dyDescent="0.4">
      <c r="H1326" t="str">
        <f t="shared" si="140"/>
        <v>7332300-Unset (紅)</v>
      </c>
      <c r="I1326">
        <v>7332300</v>
      </c>
      <c r="J1326" t="str">
        <f>_xlfn.IFNA(IF(I1326&lt;&gt;0,VLOOKUP(VLOOKUP(I1326,Tbl_Equip[],2,FALSE),Tbl_Color[],IFERROR(MATCH(UI!$B$1,Tbl_Color[#Headers],0),2),FALSE),""),"Unset")</f>
        <v>紅</v>
      </c>
      <c r="K1326" t="str">
        <f>_xlfn.IFNA(IF(I1326&lt;&gt;0,VLOOKUP(I1326,ItemText[],IFERROR(MATCH(UI!$B$1,ItemText[#Headers],0),2),FALSE),""),"Unset")</f>
        <v>Unset</v>
      </c>
      <c r="L1326" t="str">
        <f t="shared" si="141"/>
        <v/>
      </c>
      <c r="M1326">
        <v>0</v>
      </c>
      <c r="N1326" t="str">
        <f>IF(VALUE(M1326)=0,"",VLOOKUP(VLOOKUP(M1326,Tbl_Effect[],3,FALSE),EffectName[],IFERROR(MATCH(UI!$B$1,EffectName[#Headers],0),2),FALSE))</f>
        <v/>
      </c>
      <c r="O1326" t="str">
        <f t="shared" si="142"/>
        <v/>
      </c>
      <c r="P1326">
        <v>0</v>
      </c>
      <c r="Q1326" t="str">
        <f>IF(VALUE(P1326)=0,"",VLOOKUP(VLOOKUP(P1326,Tbl_Effect[],3,FALSE),EffectName[],IFERROR(MATCH(UI!$B$1,EffectName[#Headers],0),2),FALSE))</f>
        <v/>
      </c>
      <c r="R1326" t="str">
        <f t="shared" si="143"/>
        <v/>
      </c>
      <c r="S1326">
        <v>0</v>
      </c>
      <c r="T1326" t="str">
        <f>IF(VALUE(S1326)=0,"",VLOOKUP(VLOOKUP(S1326,Tbl_Effect[],3,FALSE),EffectName[],IFERROR(MATCH(UI!$B$1,EffectName[#Headers],0),2),FALSE))</f>
        <v/>
      </c>
      <c r="U1326" t="str">
        <f t="shared" si="144"/>
        <v/>
      </c>
      <c r="V1326">
        <v>0</v>
      </c>
      <c r="W1326" t="str">
        <f>IF(V1326&lt;&gt;0,VLOOKUP(VLOOKUP(V1326,Tbl_Effect[],3,FALSE),EffectName[],IFERROR(MATCH(UI!$B$1,EffectName[#Headers],0),2),FALSE),"")</f>
        <v/>
      </c>
      <c r="X1326" t="str">
        <f t="shared" si="145"/>
        <v/>
      </c>
      <c r="Y1326">
        <v>0</v>
      </c>
      <c r="Z1326" t="str">
        <f>IF(Y1326&lt;&gt;0,VLOOKUP(VLOOKUP(Y1326,Tbl_Effect[],3,FALSE),EffectName[],IFERROR(MATCH(UI!$B$1,EffectName[#Headers],0),2),FALSE),"")</f>
        <v/>
      </c>
      <c r="AA1326" t="str">
        <f t="shared" si="146"/>
        <v/>
      </c>
      <c r="AB1326">
        <v>0</v>
      </c>
      <c r="AC1326" t="str">
        <f>IF(AB1326&lt;&gt;0,VLOOKUP(VLOOKUP(AB1326,Tbl_Effect[],3,FALSE),EffectName[],IFERROR(MATCH(UI!$B$1,EffectName[#Headers],0),2),FALSE),"")</f>
        <v/>
      </c>
    </row>
    <row r="1327" spans="8:29" x14ac:dyDescent="0.4">
      <c r="H1327" t="str">
        <f t="shared" si="140"/>
        <v>7332400-Unset (紅)</v>
      </c>
      <c r="I1327">
        <v>7332400</v>
      </c>
      <c r="J1327" t="str">
        <f>_xlfn.IFNA(IF(I1327&lt;&gt;0,VLOOKUP(VLOOKUP(I1327,Tbl_Equip[],2,FALSE),Tbl_Color[],IFERROR(MATCH(UI!$B$1,Tbl_Color[#Headers],0),2),FALSE),""),"Unset")</f>
        <v>紅</v>
      </c>
      <c r="K1327" t="str">
        <f>_xlfn.IFNA(IF(I1327&lt;&gt;0,VLOOKUP(I1327,ItemText[],IFERROR(MATCH(UI!$B$1,ItemText[#Headers],0),2),FALSE),""),"Unset")</f>
        <v>Unset</v>
      </c>
      <c r="L1327" t="str">
        <f t="shared" si="141"/>
        <v/>
      </c>
      <c r="M1327">
        <v>0</v>
      </c>
      <c r="N1327" t="str">
        <f>IF(VALUE(M1327)=0,"",VLOOKUP(VLOOKUP(M1327,Tbl_Effect[],3,FALSE),EffectName[],IFERROR(MATCH(UI!$B$1,EffectName[#Headers],0),2),FALSE))</f>
        <v/>
      </c>
      <c r="O1327" t="str">
        <f t="shared" si="142"/>
        <v/>
      </c>
      <c r="P1327">
        <v>0</v>
      </c>
      <c r="Q1327" t="str">
        <f>IF(VALUE(P1327)=0,"",VLOOKUP(VLOOKUP(P1327,Tbl_Effect[],3,FALSE),EffectName[],IFERROR(MATCH(UI!$B$1,EffectName[#Headers],0),2),FALSE))</f>
        <v/>
      </c>
      <c r="R1327" t="str">
        <f t="shared" si="143"/>
        <v/>
      </c>
      <c r="S1327">
        <v>0</v>
      </c>
      <c r="T1327" t="str">
        <f>IF(VALUE(S1327)=0,"",VLOOKUP(VLOOKUP(S1327,Tbl_Effect[],3,FALSE),EffectName[],IFERROR(MATCH(UI!$B$1,EffectName[#Headers],0),2),FALSE))</f>
        <v/>
      </c>
      <c r="U1327" t="str">
        <f t="shared" si="144"/>
        <v/>
      </c>
      <c r="V1327">
        <v>0</v>
      </c>
      <c r="W1327" t="str">
        <f>IF(V1327&lt;&gt;0,VLOOKUP(VLOOKUP(V1327,Tbl_Effect[],3,FALSE),EffectName[],IFERROR(MATCH(UI!$B$1,EffectName[#Headers],0),2),FALSE),"")</f>
        <v/>
      </c>
      <c r="X1327" t="str">
        <f t="shared" si="145"/>
        <v/>
      </c>
      <c r="Y1327">
        <v>0</v>
      </c>
      <c r="Z1327" t="str">
        <f>IF(Y1327&lt;&gt;0,VLOOKUP(VLOOKUP(Y1327,Tbl_Effect[],3,FALSE),EffectName[],IFERROR(MATCH(UI!$B$1,EffectName[#Headers],0),2),FALSE),"")</f>
        <v/>
      </c>
      <c r="AA1327" t="str">
        <f t="shared" si="146"/>
        <v/>
      </c>
      <c r="AB1327">
        <v>0</v>
      </c>
      <c r="AC1327" t="str">
        <f>IF(AB1327&lt;&gt;0,VLOOKUP(VLOOKUP(AB1327,Tbl_Effect[],3,FALSE),EffectName[],IFERROR(MATCH(UI!$B$1,EffectName[#Headers],0),2),FALSE),"")</f>
        <v/>
      </c>
    </row>
    <row r="1328" spans="8:29" x14ac:dyDescent="0.4">
      <c r="H1328" t="str">
        <f t="shared" si="140"/>
        <v>7340000-Unset (紅)</v>
      </c>
      <c r="I1328">
        <v>7340000</v>
      </c>
      <c r="J1328" t="str">
        <f>_xlfn.IFNA(IF(I1328&lt;&gt;0,VLOOKUP(VLOOKUP(I1328,Tbl_Equip[],2,FALSE),Tbl_Color[],IFERROR(MATCH(UI!$B$1,Tbl_Color[#Headers],0),2),FALSE),""),"Unset")</f>
        <v>紅</v>
      </c>
      <c r="K1328" t="str">
        <f>_xlfn.IFNA(IF(I1328&lt;&gt;0,VLOOKUP(I1328,ItemText[],IFERROR(MATCH(UI!$B$1,ItemText[#Headers],0),2),FALSE),""),"Unset")</f>
        <v>Unset</v>
      </c>
      <c r="L1328" t="str">
        <f t="shared" si="141"/>
        <v/>
      </c>
      <c r="M1328">
        <v>0</v>
      </c>
      <c r="N1328" t="str">
        <f>IF(VALUE(M1328)=0,"",VLOOKUP(VLOOKUP(M1328,Tbl_Effect[],3,FALSE),EffectName[],IFERROR(MATCH(UI!$B$1,EffectName[#Headers],0),2),FALSE))</f>
        <v/>
      </c>
      <c r="O1328" t="str">
        <f t="shared" si="142"/>
        <v/>
      </c>
      <c r="P1328">
        <v>0</v>
      </c>
      <c r="Q1328" t="str">
        <f>IF(VALUE(P1328)=0,"",VLOOKUP(VLOOKUP(P1328,Tbl_Effect[],3,FALSE),EffectName[],IFERROR(MATCH(UI!$B$1,EffectName[#Headers],0),2),FALSE))</f>
        <v/>
      </c>
      <c r="R1328" t="str">
        <f t="shared" si="143"/>
        <v/>
      </c>
      <c r="S1328">
        <v>0</v>
      </c>
      <c r="T1328" t="str">
        <f>IF(VALUE(S1328)=0,"",VLOOKUP(VLOOKUP(S1328,Tbl_Effect[],3,FALSE),EffectName[],IFERROR(MATCH(UI!$B$1,EffectName[#Headers],0),2),FALSE))</f>
        <v/>
      </c>
      <c r="U1328" t="str">
        <f t="shared" si="144"/>
        <v/>
      </c>
      <c r="V1328">
        <v>0</v>
      </c>
      <c r="W1328" t="str">
        <f>IF(V1328&lt;&gt;0,VLOOKUP(VLOOKUP(V1328,Tbl_Effect[],3,FALSE),EffectName[],IFERROR(MATCH(UI!$B$1,EffectName[#Headers],0),2),FALSE),"")</f>
        <v/>
      </c>
      <c r="X1328" t="str">
        <f t="shared" si="145"/>
        <v/>
      </c>
      <c r="Y1328">
        <v>0</v>
      </c>
      <c r="Z1328" t="str">
        <f>IF(Y1328&lt;&gt;0,VLOOKUP(VLOOKUP(Y1328,Tbl_Effect[],3,FALSE),EffectName[],IFERROR(MATCH(UI!$B$1,EffectName[#Headers],0),2),FALSE),"")</f>
        <v/>
      </c>
      <c r="AA1328" t="str">
        <f t="shared" si="146"/>
        <v/>
      </c>
      <c r="AB1328">
        <v>0</v>
      </c>
      <c r="AC1328" t="str">
        <f>IF(AB1328&lt;&gt;0,VLOOKUP(VLOOKUP(AB1328,Tbl_Effect[],3,FALSE),EffectName[],IFERROR(MATCH(UI!$B$1,EffectName[#Headers],0),2),FALSE),"")</f>
        <v/>
      </c>
    </row>
    <row r="1329" spans="8:29" x14ac:dyDescent="0.4">
      <c r="H1329" t="str">
        <f t="shared" si="140"/>
        <v>7340100-Unset (紅)</v>
      </c>
      <c r="I1329">
        <v>7340100</v>
      </c>
      <c r="J1329" t="str">
        <f>_xlfn.IFNA(IF(I1329&lt;&gt;0,VLOOKUP(VLOOKUP(I1329,Tbl_Equip[],2,FALSE),Tbl_Color[],IFERROR(MATCH(UI!$B$1,Tbl_Color[#Headers],0),2),FALSE),""),"Unset")</f>
        <v>紅</v>
      </c>
      <c r="K1329" t="str">
        <f>_xlfn.IFNA(IF(I1329&lt;&gt;0,VLOOKUP(I1329,ItemText[],IFERROR(MATCH(UI!$B$1,ItemText[#Headers],0),2),FALSE),""),"Unset")</f>
        <v>Unset</v>
      </c>
      <c r="L1329" t="str">
        <f t="shared" si="141"/>
        <v/>
      </c>
      <c r="M1329">
        <v>0</v>
      </c>
      <c r="N1329" t="str">
        <f>IF(VALUE(M1329)=0,"",VLOOKUP(VLOOKUP(M1329,Tbl_Effect[],3,FALSE),EffectName[],IFERROR(MATCH(UI!$B$1,EffectName[#Headers],0),2),FALSE))</f>
        <v/>
      </c>
      <c r="O1329" t="str">
        <f t="shared" si="142"/>
        <v/>
      </c>
      <c r="P1329">
        <v>0</v>
      </c>
      <c r="Q1329" t="str">
        <f>IF(VALUE(P1329)=0,"",VLOOKUP(VLOOKUP(P1329,Tbl_Effect[],3,FALSE),EffectName[],IFERROR(MATCH(UI!$B$1,EffectName[#Headers],0),2),FALSE))</f>
        <v/>
      </c>
      <c r="R1329" t="str">
        <f t="shared" si="143"/>
        <v/>
      </c>
      <c r="S1329">
        <v>0</v>
      </c>
      <c r="T1329" t="str">
        <f>IF(VALUE(S1329)=0,"",VLOOKUP(VLOOKUP(S1329,Tbl_Effect[],3,FALSE),EffectName[],IFERROR(MATCH(UI!$B$1,EffectName[#Headers],0),2),FALSE))</f>
        <v/>
      </c>
      <c r="U1329" t="str">
        <f t="shared" si="144"/>
        <v/>
      </c>
      <c r="V1329">
        <v>0</v>
      </c>
      <c r="W1329" t="str">
        <f>IF(V1329&lt;&gt;0,VLOOKUP(VLOOKUP(V1329,Tbl_Effect[],3,FALSE),EffectName[],IFERROR(MATCH(UI!$B$1,EffectName[#Headers],0),2),FALSE),"")</f>
        <v/>
      </c>
      <c r="X1329" t="str">
        <f t="shared" si="145"/>
        <v/>
      </c>
      <c r="Y1329">
        <v>0</v>
      </c>
      <c r="Z1329" t="str">
        <f>IF(Y1329&lt;&gt;0,VLOOKUP(VLOOKUP(Y1329,Tbl_Effect[],3,FALSE),EffectName[],IFERROR(MATCH(UI!$B$1,EffectName[#Headers],0),2),FALSE),"")</f>
        <v/>
      </c>
      <c r="AA1329" t="str">
        <f t="shared" si="146"/>
        <v/>
      </c>
      <c r="AB1329">
        <v>0</v>
      </c>
      <c r="AC1329" t="str">
        <f>IF(AB1329&lt;&gt;0,VLOOKUP(VLOOKUP(AB1329,Tbl_Effect[],3,FALSE),EffectName[],IFERROR(MATCH(UI!$B$1,EffectName[#Headers],0),2),FALSE),"")</f>
        <v/>
      </c>
    </row>
    <row r="1330" spans="8:29" x14ac:dyDescent="0.4">
      <c r="H1330" t="str">
        <f t="shared" si="140"/>
        <v>7340200-Unset (紅)</v>
      </c>
      <c r="I1330">
        <v>7340200</v>
      </c>
      <c r="J1330" t="str">
        <f>_xlfn.IFNA(IF(I1330&lt;&gt;0,VLOOKUP(VLOOKUP(I1330,Tbl_Equip[],2,FALSE),Tbl_Color[],IFERROR(MATCH(UI!$B$1,Tbl_Color[#Headers],0),2),FALSE),""),"Unset")</f>
        <v>紅</v>
      </c>
      <c r="K1330" t="str">
        <f>_xlfn.IFNA(IF(I1330&lt;&gt;0,VLOOKUP(I1330,ItemText[],IFERROR(MATCH(UI!$B$1,ItemText[#Headers],0),2),FALSE),""),"Unset")</f>
        <v>Unset</v>
      </c>
      <c r="L1330" t="str">
        <f t="shared" si="141"/>
        <v/>
      </c>
      <c r="M1330">
        <v>0</v>
      </c>
      <c r="N1330" t="str">
        <f>IF(VALUE(M1330)=0,"",VLOOKUP(VLOOKUP(M1330,Tbl_Effect[],3,FALSE),EffectName[],IFERROR(MATCH(UI!$B$1,EffectName[#Headers],0),2),FALSE))</f>
        <v/>
      </c>
      <c r="O1330" t="str">
        <f t="shared" si="142"/>
        <v/>
      </c>
      <c r="P1330">
        <v>0</v>
      </c>
      <c r="Q1330" t="str">
        <f>IF(VALUE(P1330)=0,"",VLOOKUP(VLOOKUP(P1330,Tbl_Effect[],3,FALSE),EffectName[],IFERROR(MATCH(UI!$B$1,EffectName[#Headers],0),2),FALSE))</f>
        <v/>
      </c>
      <c r="R1330" t="str">
        <f t="shared" si="143"/>
        <v/>
      </c>
      <c r="S1330">
        <v>0</v>
      </c>
      <c r="T1330" t="str">
        <f>IF(VALUE(S1330)=0,"",VLOOKUP(VLOOKUP(S1330,Tbl_Effect[],3,FALSE),EffectName[],IFERROR(MATCH(UI!$B$1,EffectName[#Headers],0),2),FALSE))</f>
        <v/>
      </c>
      <c r="U1330" t="str">
        <f t="shared" si="144"/>
        <v/>
      </c>
      <c r="V1330">
        <v>0</v>
      </c>
      <c r="W1330" t="str">
        <f>IF(V1330&lt;&gt;0,VLOOKUP(VLOOKUP(V1330,Tbl_Effect[],3,FALSE),EffectName[],IFERROR(MATCH(UI!$B$1,EffectName[#Headers],0),2),FALSE),"")</f>
        <v/>
      </c>
      <c r="X1330" t="str">
        <f t="shared" si="145"/>
        <v/>
      </c>
      <c r="Y1330">
        <v>0</v>
      </c>
      <c r="Z1330" t="str">
        <f>IF(Y1330&lt;&gt;0,VLOOKUP(VLOOKUP(Y1330,Tbl_Effect[],3,FALSE),EffectName[],IFERROR(MATCH(UI!$B$1,EffectName[#Headers],0),2),FALSE),"")</f>
        <v/>
      </c>
      <c r="AA1330" t="str">
        <f t="shared" si="146"/>
        <v/>
      </c>
      <c r="AB1330">
        <v>0</v>
      </c>
      <c r="AC1330" t="str">
        <f>IF(AB1330&lt;&gt;0,VLOOKUP(VLOOKUP(AB1330,Tbl_Effect[],3,FALSE),EffectName[],IFERROR(MATCH(UI!$B$1,EffectName[#Headers],0),2),FALSE),"")</f>
        <v/>
      </c>
    </row>
    <row r="1331" spans="8:29" x14ac:dyDescent="0.4">
      <c r="H1331" t="str">
        <f t="shared" si="140"/>
        <v>7340300-Unset (紅)</v>
      </c>
      <c r="I1331">
        <v>7340300</v>
      </c>
      <c r="J1331" t="str">
        <f>_xlfn.IFNA(IF(I1331&lt;&gt;0,VLOOKUP(VLOOKUP(I1331,Tbl_Equip[],2,FALSE),Tbl_Color[],IFERROR(MATCH(UI!$B$1,Tbl_Color[#Headers],0),2),FALSE),""),"Unset")</f>
        <v>紅</v>
      </c>
      <c r="K1331" t="str">
        <f>_xlfn.IFNA(IF(I1331&lt;&gt;0,VLOOKUP(I1331,ItemText[],IFERROR(MATCH(UI!$B$1,ItemText[#Headers],0),2),FALSE),""),"Unset")</f>
        <v>Unset</v>
      </c>
      <c r="L1331" t="str">
        <f t="shared" si="141"/>
        <v/>
      </c>
      <c r="M1331">
        <v>0</v>
      </c>
      <c r="N1331" t="str">
        <f>IF(VALUE(M1331)=0,"",VLOOKUP(VLOOKUP(M1331,Tbl_Effect[],3,FALSE),EffectName[],IFERROR(MATCH(UI!$B$1,EffectName[#Headers],0),2),FALSE))</f>
        <v/>
      </c>
      <c r="O1331" t="str">
        <f t="shared" si="142"/>
        <v/>
      </c>
      <c r="P1331">
        <v>0</v>
      </c>
      <c r="Q1331" t="str">
        <f>IF(VALUE(P1331)=0,"",VLOOKUP(VLOOKUP(P1331,Tbl_Effect[],3,FALSE),EffectName[],IFERROR(MATCH(UI!$B$1,EffectName[#Headers],0),2),FALSE))</f>
        <v/>
      </c>
      <c r="R1331" t="str">
        <f t="shared" si="143"/>
        <v/>
      </c>
      <c r="S1331">
        <v>0</v>
      </c>
      <c r="T1331" t="str">
        <f>IF(VALUE(S1331)=0,"",VLOOKUP(VLOOKUP(S1331,Tbl_Effect[],3,FALSE),EffectName[],IFERROR(MATCH(UI!$B$1,EffectName[#Headers],0),2),FALSE))</f>
        <v/>
      </c>
      <c r="U1331" t="str">
        <f t="shared" si="144"/>
        <v/>
      </c>
      <c r="V1331">
        <v>0</v>
      </c>
      <c r="W1331" t="str">
        <f>IF(V1331&lt;&gt;0,VLOOKUP(VLOOKUP(V1331,Tbl_Effect[],3,FALSE),EffectName[],IFERROR(MATCH(UI!$B$1,EffectName[#Headers],0),2),FALSE),"")</f>
        <v/>
      </c>
      <c r="X1331" t="str">
        <f t="shared" si="145"/>
        <v/>
      </c>
      <c r="Y1331">
        <v>0</v>
      </c>
      <c r="Z1331" t="str">
        <f>IF(Y1331&lt;&gt;0,VLOOKUP(VLOOKUP(Y1331,Tbl_Effect[],3,FALSE),EffectName[],IFERROR(MATCH(UI!$B$1,EffectName[#Headers],0),2),FALSE),"")</f>
        <v/>
      </c>
      <c r="AA1331" t="str">
        <f t="shared" si="146"/>
        <v/>
      </c>
      <c r="AB1331">
        <v>0</v>
      </c>
      <c r="AC1331" t="str">
        <f>IF(AB1331&lt;&gt;0,VLOOKUP(VLOOKUP(AB1331,Tbl_Effect[],3,FALSE),EffectName[],IFERROR(MATCH(UI!$B$1,EffectName[#Headers],0),2),FALSE),"")</f>
        <v/>
      </c>
    </row>
    <row r="1332" spans="8:29" x14ac:dyDescent="0.4">
      <c r="H1332" t="str">
        <f t="shared" si="140"/>
        <v>7340400-Unset (紅)</v>
      </c>
      <c r="I1332">
        <v>7340400</v>
      </c>
      <c r="J1332" t="str">
        <f>_xlfn.IFNA(IF(I1332&lt;&gt;0,VLOOKUP(VLOOKUP(I1332,Tbl_Equip[],2,FALSE),Tbl_Color[],IFERROR(MATCH(UI!$B$1,Tbl_Color[#Headers],0),2),FALSE),""),"Unset")</f>
        <v>紅</v>
      </c>
      <c r="K1332" t="str">
        <f>_xlfn.IFNA(IF(I1332&lt;&gt;0,VLOOKUP(I1332,ItemText[],IFERROR(MATCH(UI!$B$1,ItemText[#Headers],0),2),FALSE),""),"Unset")</f>
        <v>Unset</v>
      </c>
      <c r="L1332" t="str">
        <f t="shared" si="141"/>
        <v/>
      </c>
      <c r="M1332">
        <v>0</v>
      </c>
      <c r="N1332" t="str">
        <f>IF(VALUE(M1332)=0,"",VLOOKUP(VLOOKUP(M1332,Tbl_Effect[],3,FALSE),EffectName[],IFERROR(MATCH(UI!$B$1,EffectName[#Headers],0),2),FALSE))</f>
        <v/>
      </c>
      <c r="O1332" t="str">
        <f t="shared" si="142"/>
        <v/>
      </c>
      <c r="P1332">
        <v>0</v>
      </c>
      <c r="Q1332" t="str">
        <f>IF(VALUE(P1332)=0,"",VLOOKUP(VLOOKUP(P1332,Tbl_Effect[],3,FALSE),EffectName[],IFERROR(MATCH(UI!$B$1,EffectName[#Headers],0),2),FALSE))</f>
        <v/>
      </c>
      <c r="R1332" t="str">
        <f t="shared" si="143"/>
        <v/>
      </c>
      <c r="S1332">
        <v>0</v>
      </c>
      <c r="T1332" t="str">
        <f>IF(VALUE(S1332)=0,"",VLOOKUP(VLOOKUP(S1332,Tbl_Effect[],3,FALSE),EffectName[],IFERROR(MATCH(UI!$B$1,EffectName[#Headers],0),2),FALSE))</f>
        <v/>
      </c>
      <c r="U1332" t="str">
        <f t="shared" si="144"/>
        <v/>
      </c>
      <c r="V1332">
        <v>0</v>
      </c>
      <c r="W1332" t="str">
        <f>IF(V1332&lt;&gt;0,VLOOKUP(VLOOKUP(V1332,Tbl_Effect[],3,FALSE),EffectName[],IFERROR(MATCH(UI!$B$1,EffectName[#Headers],0),2),FALSE),"")</f>
        <v/>
      </c>
      <c r="X1332" t="str">
        <f t="shared" si="145"/>
        <v/>
      </c>
      <c r="Y1332">
        <v>0</v>
      </c>
      <c r="Z1332" t="str">
        <f>IF(Y1332&lt;&gt;0,VLOOKUP(VLOOKUP(Y1332,Tbl_Effect[],3,FALSE),EffectName[],IFERROR(MATCH(UI!$B$1,EffectName[#Headers],0),2),FALSE),"")</f>
        <v/>
      </c>
      <c r="AA1332" t="str">
        <f t="shared" si="146"/>
        <v/>
      </c>
      <c r="AB1332">
        <v>0</v>
      </c>
      <c r="AC1332" t="str">
        <f>IF(AB1332&lt;&gt;0,VLOOKUP(VLOOKUP(AB1332,Tbl_Effect[],3,FALSE),EffectName[],IFERROR(MATCH(UI!$B$1,EffectName[#Headers],0),2),FALSE),"")</f>
        <v/>
      </c>
    </row>
    <row r="1333" spans="8:29" x14ac:dyDescent="0.4">
      <c r="H1333" t="str">
        <f t="shared" si="140"/>
        <v>7340500-Unset (紅)</v>
      </c>
      <c r="I1333">
        <v>7340500</v>
      </c>
      <c r="J1333" t="str">
        <f>_xlfn.IFNA(IF(I1333&lt;&gt;0,VLOOKUP(VLOOKUP(I1333,Tbl_Equip[],2,FALSE),Tbl_Color[],IFERROR(MATCH(UI!$B$1,Tbl_Color[#Headers],0),2),FALSE),""),"Unset")</f>
        <v>紅</v>
      </c>
      <c r="K1333" t="str">
        <f>_xlfn.IFNA(IF(I1333&lt;&gt;0,VLOOKUP(I1333,ItemText[],IFERROR(MATCH(UI!$B$1,ItemText[#Headers],0),2),FALSE),""),"Unset")</f>
        <v>Unset</v>
      </c>
      <c r="L1333" t="str">
        <f t="shared" si="141"/>
        <v/>
      </c>
      <c r="M1333">
        <v>0</v>
      </c>
      <c r="N1333" t="str">
        <f>IF(VALUE(M1333)=0,"",VLOOKUP(VLOOKUP(M1333,Tbl_Effect[],3,FALSE),EffectName[],IFERROR(MATCH(UI!$B$1,EffectName[#Headers],0),2),FALSE))</f>
        <v/>
      </c>
      <c r="O1333" t="str">
        <f t="shared" si="142"/>
        <v/>
      </c>
      <c r="P1333">
        <v>0</v>
      </c>
      <c r="Q1333" t="str">
        <f>IF(VALUE(P1333)=0,"",VLOOKUP(VLOOKUP(P1333,Tbl_Effect[],3,FALSE),EffectName[],IFERROR(MATCH(UI!$B$1,EffectName[#Headers],0),2),FALSE))</f>
        <v/>
      </c>
      <c r="R1333" t="str">
        <f t="shared" si="143"/>
        <v/>
      </c>
      <c r="S1333">
        <v>0</v>
      </c>
      <c r="T1333" t="str">
        <f>IF(VALUE(S1333)=0,"",VLOOKUP(VLOOKUP(S1333,Tbl_Effect[],3,FALSE),EffectName[],IFERROR(MATCH(UI!$B$1,EffectName[#Headers],0),2),FALSE))</f>
        <v/>
      </c>
      <c r="U1333" t="str">
        <f t="shared" si="144"/>
        <v/>
      </c>
      <c r="V1333">
        <v>0</v>
      </c>
      <c r="W1333" t="str">
        <f>IF(V1333&lt;&gt;0,VLOOKUP(VLOOKUP(V1333,Tbl_Effect[],3,FALSE),EffectName[],IFERROR(MATCH(UI!$B$1,EffectName[#Headers],0),2),FALSE),"")</f>
        <v/>
      </c>
      <c r="X1333" t="str">
        <f t="shared" si="145"/>
        <v/>
      </c>
      <c r="Y1333">
        <v>0</v>
      </c>
      <c r="Z1333" t="str">
        <f>IF(Y1333&lt;&gt;0,VLOOKUP(VLOOKUP(Y1333,Tbl_Effect[],3,FALSE),EffectName[],IFERROR(MATCH(UI!$B$1,EffectName[#Headers],0),2),FALSE),"")</f>
        <v/>
      </c>
      <c r="AA1333" t="str">
        <f t="shared" si="146"/>
        <v/>
      </c>
      <c r="AB1333">
        <v>0</v>
      </c>
      <c r="AC1333" t="str">
        <f>IF(AB1333&lt;&gt;0,VLOOKUP(VLOOKUP(AB1333,Tbl_Effect[],3,FALSE),EffectName[],IFERROR(MATCH(UI!$B$1,EffectName[#Headers],0),2),FALSE),"")</f>
        <v/>
      </c>
    </row>
    <row r="1334" spans="8:29" x14ac:dyDescent="0.4">
      <c r="H1334" t="str">
        <f t="shared" si="140"/>
        <v>7340600-Unset (紅)</v>
      </c>
      <c r="I1334">
        <v>7340600</v>
      </c>
      <c r="J1334" t="str">
        <f>_xlfn.IFNA(IF(I1334&lt;&gt;0,VLOOKUP(VLOOKUP(I1334,Tbl_Equip[],2,FALSE),Tbl_Color[],IFERROR(MATCH(UI!$B$1,Tbl_Color[#Headers],0),2),FALSE),""),"Unset")</f>
        <v>紅</v>
      </c>
      <c r="K1334" t="str">
        <f>_xlfn.IFNA(IF(I1334&lt;&gt;0,VLOOKUP(I1334,ItemText[],IFERROR(MATCH(UI!$B$1,ItemText[#Headers],0),2),FALSE),""),"Unset")</f>
        <v>Unset</v>
      </c>
      <c r="L1334" t="str">
        <f t="shared" si="141"/>
        <v/>
      </c>
      <c r="M1334">
        <v>0</v>
      </c>
      <c r="N1334" t="str">
        <f>IF(VALUE(M1334)=0,"",VLOOKUP(VLOOKUP(M1334,Tbl_Effect[],3,FALSE),EffectName[],IFERROR(MATCH(UI!$B$1,EffectName[#Headers],0),2),FALSE))</f>
        <v/>
      </c>
      <c r="O1334" t="str">
        <f t="shared" si="142"/>
        <v/>
      </c>
      <c r="P1334">
        <v>0</v>
      </c>
      <c r="Q1334" t="str">
        <f>IF(VALUE(P1334)=0,"",VLOOKUP(VLOOKUP(P1334,Tbl_Effect[],3,FALSE),EffectName[],IFERROR(MATCH(UI!$B$1,EffectName[#Headers],0),2),FALSE))</f>
        <v/>
      </c>
      <c r="R1334" t="str">
        <f t="shared" si="143"/>
        <v/>
      </c>
      <c r="S1334">
        <v>0</v>
      </c>
      <c r="T1334" t="str">
        <f>IF(VALUE(S1334)=0,"",VLOOKUP(VLOOKUP(S1334,Tbl_Effect[],3,FALSE),EffectName[],IFERROR(MATCH(UI!$B$1,EffectName[#Headers],0),2),FALSE))</f>
        <v/>
      </c>
      <c r="U1334" t="str">
        <f t="shared" si="144"/>
        <v/>
      </c>
      <c r="V1334">
        <v>0</v>
      </c>
      <c r="W1334" t="str">
        <f>IF(V1334&lt;&gt;0,VLOOKUP(VLOOKUP(V1334,Tbl_Effect[],3,FALSE),EffectName[],IFERROR(MATCH(UI!$B$1,EffectName[#Headers],0),2),FALSE),"")</f>
        <v/>
      </c>
      <c r="X1334" t="str">
        <f t="shared" si="145"/>
        <v/>
      </c>
      <c r="Y1334">
        <v>0</v>
      </c>
      <c r="Z1334" t="str">
        <f>IF(Y1334&lt;&gt;0,VLOOKUP(VLOOKUP(Y1334,Tbl_Effect[],3,FALSE),EffectName[],IFERROR(MATCH(UI!$B$1,EffectName[#Headers],0),2),FALSE),"")</f>
        <v/>
      </c>
      <c r="AA1334" t="str">
        <f t="shared" si="146"/>
        <v/>
      </c>
      <c r="AB1334">
        <v>0</v>
      </c>
      <c r="AC1334" t="str">
        <f>IF(AB1334&lt;&gt;0,VLOOKUP(VLOOKUP(AB1334,Tbl_Effect[],3,FALSE),EffectName[],IFERROR(MATCH(UI!$B$1,EffectName[#Headers],0),2),FALSE),"")</f>
        <v/>
      </c>
    </row>
    <row r="1335" spans="8:29" x14ac:dyDescent="0.4">
      <c r="H1335" t="str">
        <f t="shared" si="140"/>
        <v>7340700-Unset (紅)</v>
      </c>
      <c r="I1335">
        <v>7340700</v>
      </c>
      <c r="J1335" t="str">
        <f>_xlfn.IFNA(IF(I1335&lt;&gt;0,VLOOKUP(VLOOKUP(I1335,Tbl_Equip[],2,FALSE),Tbl_Color[],IFERROR(MATCH(UI!$B$1,Tbl_Color[#Headers],0),2),FALSE),""),"Unset")</f>
        <v>紅</v>
      </c>
      <c r="K1335" t="str">
        <f>_xlfn.IFNA(IF(I1335&lt;&gt;0,VLOOKUP(I1335,ItemText[],IFERROR(MATCH(UI!$B$1,ItemText[#Headers],0),2),FALSE),""),"Unset")</f>
        <v>Unset</v>
      </c>
      <c r="L1335" t="str">
        <f t="shared" si="141"/>
        <v/>
      </c>
      <c r="M1335">
        <v>0</v>
      </c>
      <c r="N1335" t="str">
        <f>IF(VALUE(M1335)=0,"",VLOOKUP(VLOOKUP(M1335,Tbl_Effect[],3,FALSE),EffectName[],IFERROR(MATCH(UI!$B$1,EffectName[#Headers],0),2),FALSE))</f>
        <v/>
      </c>
      <c r="O1335" t="str">
        <f t="shared" si="142"/>
        <v/>
      </c>
      <c r="P1335">
        <v>0</v>
      </c>
      <c r="Q1335" t="str">
        <f>IF(VALUE(P1335)=0,"",VLOOKUP(VLOOKUP(P1335,Tbl_Effect[],3,FALSE),EffectName[],IFERROR(MATCH(UI!$B$1,EffectName[#Headers],0),2),FALSE))</f>
        <v/>
      </c>
      <c r="R1335" t="str">
        <f t="shared" si="143"/>
        <v/>
      </c>
      <c r="S1335">
        <v>0</v>
      </c>
      <c r="T1335" t="str">
        <f>IF(VALUE(S1335)=0,"",VLOOKUP(VLOOKUP(S1335,Tbl_Effect[],3,FALSE),EffectName[],IFERROR(MATCH(UI!$B$1,EffectName[#Headers],0),2),FALSE))</f>
        <v/>
      </c>
      <c r="U1335" t="str">
        <f t="shared" si="144"/>
        <v/>
      </c>
      <c r="V1335">
        <v>0</v>
      </c>
      <c r="W1335" t="str">
        <f>IF(V1335&lt;&gt;0,VLOOKUP(VLOOKUP(V1335,Tbl_Effect[],3,FALSE),EffectName[],IFERROR(MATCH(UI!$B$1,EffectName[#Headers],0),2),FALSE),"")</f>
        <v/>
      </c>
      <c r="X1335" t="str">
        <f t="shared" si="145"/>
        <v/>
      </c>
      <c r="Y1335">
        <v>0</v>
      </c>
      <c r="Z1335" t="str">
        <f>IF(Y1335&lt;&gt;0,VLOOKUP(VLOOKUP(Y1335,Tbl_Effect[],3,FALSE),EffectName[],IFERROR(MATCH(UI!$B$1,EffectName[#Headers],0),2),FALSE),"")</f>
        <v/>
      </c>
      <c r="AA1335" t="str">
        <f t="shared" si="146"/>
        <v/>
      </c>
      <c r="AB1335">
        <v>0</v>
      </c>
      <c r="AC1335" t="str">
        <f>IF(AB1335&lt;&gt;0,VLOOKUP(VLOOKUP(AB1335,Tbl_Effect[],3,FALSE),EffectName[],IFERROR(MATCH(UI!$B$1,EffectName[#Headers],0),2),FALSE),"")</f>
        <v/>
      </c>
    </row>
    <row r="1336" spans="8:29" x14ac:dyDescent="0.4">
      <c r="H1336" t="str">
        <f t="shared" si="140"/>
        <v>7340800-Unset (紅)</v>
      </c>
      <c r="I1336">
        <v>7340800</v>
      </c>
      <c r="J1336" t="str">
        <f>_xlfn.IFNA(IF(I1336&lt;&gt;0,VLOOKUP(VLOOKUP(I1336,Tbl_Equip[],2,FALSE),Tbl_Color[],IFERROR(MATCH(UI!$B$1,Tbl_Color[#Headers],0),2),FALSE),""),"Unset")</f>
        <v>紅</v>
      </c>
      <c r="K1336" t="str">
        <f>_xlfn.IFNA(IF(I1336&lt;&gt;0,VLOOKUP(I1336,ItemText[],IFERROR(MATCH(UI!$B$1,ItemText[#Headers],0),2),FALSE),""),"Unset")</f>
        <v>Unset</v>
      </c>
      <c r="L1336" t="str">
        <f t="shared" si="141"/>
        <v/>
      </c>
      <c r="M1336">
        <v>0</v>
      </c>
      <c r="N1336" t="str">
        <f>IF(VALUE(M1336)=0,"",VLOOKUP(VLOOKUP(M1336,Tbl_Effect[],3,FALSE),EffectName[],IFERROR(MATCH(UI!$B$1,EffectName[#Headers],0),2),FALSE))</f>
        <v/>
      </c>
      <c r="O1336" t="str">
        <f t="shared" si="142"/>
        <v/>
      </c>
      <c r="P1336">
        <v>0</v>
      </c>
      <c r="Q1336" t="str">
        <f>IF(VALUE(P1336)=0,"",VLOOKUP(VLOOKUP(P1336,Tbl_Effect[],3,FALSE),EffectName[],IFERROR(MATCH(UI!$B$1,EffectName[#Headers],0),2),FALSE))</f>
        <v/>
      </c>
      <c r="R1336" t="str">
        <f t="shared" si="143"/>
        <v/>
      </c>
      <c r="S1336">
        <v>0</v>
      </c>
      <c r="T1336" t="str">
        <f>IF(VALUE(S1336)=0,"",VLOOKUP(VLOOKUP(S1336,Tbl_Effect[],3,FALSE),EffectName[],IFERROR(MATCH(UI!$B$1,EffectName[#Headers],0),2),FALSE))</f>
        <v/>
      </c>
      <c r="U1336" t="str">
        <f t="shared" si="144"/>
        <v/>
      </c>
      <c r="V1336">
        <v>0</v>
      </c>
      <c r="W1336" t="str">
        <f>IF(V1336&lt;&gt;0,VLOOKUP(VLOOKUP(V1336,Tbl_Effect[],3,FALSE),EffectName[],IFERROR(MATCH(UI!$B$1,EffectName[#Headers],0),2),FALSE),"")</f>
        <v/>
      </c>
      <c r="X1336" t="str">
        <f t="shared" si="145"/>
        <v/>
      </c>
      <c r="Y1336">
        <v>0</v>
      </c>
      <c r="Z1336" t="str">
        <f>IF(Y1336&lt;&gt;0,VLOOKUP(VLOOKUP(Y1336,Tbl_Effect[],3,FALSE),EffectName[],IFERROR(MATCH(UI!$B$1,EffectName[#Headers],0),2),FALSE),"")</f>
        <v/>
      </c>
      <c r="AA1336" t="str">
        <f t="shared" si="146"/>
        <v/>
      </c>
      <c r="AB1336">
        <v>0</v>
      </c>
      <c r="AC1336" t="str">
        <f>IF(AB1336&lt;&gt;0,VLOOKUP(VLOOKUP(AB1336,Tbl_Effect[],3,FALSE),EffectName[],IFERROR(MATCH(UI!$B$1,EffectName[#Headers],0),2),FALSE),"")</f>
        <v/>
      </c>
    </row>
    <row r="1337" spans="8:29" x14ac:dyDescent="0.4">
      <c r="H1337" t="str">
        <f t="shared" si="140"/>
        <v>7340900-Unset (紅)</v>
      </c>
      <c r="I1337">
        <v>7340900</v>
      </c>
      <c r="J1337" t="str">
        <f>_xlfn.IFNA(IF(I1337&lt;&gt;0,VLOOKUP(VLOOKUP(I1337,Tbl_Equip[],2,FALSE),Tbl_Color[],IFERROR(MATCH(UI!$B$1,Tbl_Color[#Headers],0),2),FALSE),""),"Unset")</f>
        <v>紅</v>
      </c>
      <c r="K1337" t="str">
        <f>_xlfn.IFNA(IF(I1337&lt;&gt;0,VLOOKUP(I1337,ItemText[],IFERROR(MATCH(UI!$B$1,ItemText[#Headers],0),2),FALSE),""),"Unset")</f>
        <v>Unset</v>
      </c>
      <c r="L1337" t="str">
        <f t="shared" si="141"/>
        <v/>
      </c>
      <c r="M1337">
        <v>0</v>
      </c>
      <c r="N1337" t="str">
        <f>IF(VALUE(M1337)=0,"",VLOOKUP(VLOOKUP(M1337,Tbl_Effect[],3,FALSE),EffectName[],IFERROR(MATCH(UI!$B$1,EffectName[#Headers],0),2),FALSE))</f>
        <v/>
      </c>
      <c r="O1337" t="str">
        <f t="shared" si="142"/>
        <v/>
      </c>
      <c r="P1337">
        <v>0</v>
      </c>
      <c r="Q1337" t="str">
        <f>IF(VALUE(P1337)=0,"",VLOOKUP(VLOOKUP(P1337,Tbl_Effect[],3,FALSE),EffectName[],IFERROR(MATCH(UI!$B$1,EffectName[#Headers],0),2),FALSE))</f>
        <v/>
      </c>
      <c r="R1337" t="str">
        <f t="shared" si="143"/>
        <v/>
      </c>
      <c r="S1337">
        <v>0</v>
      </c>
      <c r="T1337" t="str">
        <f>IF(VALUE(S1337)=0,"",VLOOKUP(VLOOKUP(S1337,Tbl_Effect[],3,FALSE),EffectName[],IFERROR(MATCH(UI!$B$1,EffectName[#Headers],0),2),FALSE))</f>
        <v/>
      </c>
      <c r="U1337" t="str">
        <f t="shared" si="144"/>
        <v/>
      </c>
      <c r="V1337">
        <v>0</v>
      </c>
      <c r="W1337" t="str">
        <f>IF(V1337&lt;&gt;0,VLOOKUP(VLOOKUP(V1337,Tbl_Effect[],3,FALSE),EffectName[],IFERROR(MATCH(UI!$B$1,EffectName[#Headers],0),2),FALSE),"")</f>
        <v/>
      </c>
      <c r="X1337" t="str">
        <f t="shared" si="145"/>
        <v/>
      </c>
      <c r="Y1337">
        <v>0</v>
      </c>
      <c r="Z1337" t="str">
        <f>IF(Y1337&lt;&gt;0,VLOOKUP(VLOOKUP(Y1337,Tbl_Effect[],3,FALSE),EffectName[],IFERROR(MATCH(UI!$B$1,EffectName[#Headers],0),2),FALSE),"")</f>
        <v/>
      </c>
      <c r="AA1337" t="str">
        <f t="shared" si="146"/>
        <v/>
      </c>
      <c r="AB1337">
        <v>0</v>
      </c>
      <c r="AC1337" t="str">
        <f>IF(AB1337&lt;&gt;0,VLOOKUP(VLOOKUP(AB1337,Tbl_Effect[],3,FALSE),EffectName[],IFERROR(MATCH(UI!$B$1,EffectName[#Headers],0),2),FALSE),"")</f>
        <v/>
      </c>
    </row>
    <row r="1338" spans="8:29" x14ac:dyDescent="0.4">
      <c r="H1338" t="str">
        <f t="shared" si="140"/>
        <v>7341000-Unset (紅)</v>
      </c>
      <c r="I1338">
        <v>7341000</v>
      </c>
      <c r="J1338" t="str">
        <f>_xlfn.IFNA(IF(I1338&lt;&gt;0,VLOOKUP(VLOOKUP(I1338,Tbl_Equip[],2,FALSE),Tbl_Color[],IFERROR(MATCH(UI!$B$1,Tbl_Color[#Headers],0),2),FALSE),""),"Unset")</f>
        <v>紅</v>
      </c>
      <c r="K1338" t="str">
        <f>_xlfn.IFNA(IF(I1338&lt;&gt;0,VLOOKUP(I1338,ItemText[],IFERROR(MATCH(UI!$B$1,ItemText[#Headers],0),2),FALSE),""),"Unset")</f>
        <v>Unset</v>
      </c>
      <c r="L1338" t="str">
        <f t="shared" si="141"/>
        <v/>
      </c>
      <c r="M1338">
        <v>0</v>
      </c>
      <c r="N1338" t="str">
        <f>IF(VALUE(M1338)=0,"",VLOOKUP(VLOOKUP(M1338,Tbl_Effect[],3,FALSE),EffectName[],IFERROR(MATCH(UI!$B$1,EffectName[#Headers],0),2),FALSE))</f>
        <v/>
      </c>
      <c r="O1338" t="str">
        <f t="shared" si="142"/>
        <v/>
      </c>
      <c r="P1338">
        <v>0</v>
      </c>
      <c r="Q1338" t="str">
        <f>IF(VALUE(P1338)=0,"",VLOOKUP(VLOOKUP(P1338,Tbl_Effect[],3,FALSE),EffectName[],IFERROR(MATCH(UI!$B$1,EffectName[#Headers],0),2),FALSE))</f>
        <v/>
      </c>
      <c r="R1338" t="str">
        <f t="shared" si="143"/>
        <v/>
      </c>
      <c r="S1338">
        <v>0</v>
      </c>
      <c r="T1338" t="str">
        <f>IF(VALUE(S1338)=0,"",VLOOKUP(VLOOKUP(S1338,Tbl_Effect[],3,FALSE),EffectName[],IFERROR(MATCH(UI!$B$1,EffectName[#Headers],0),2),FALSE))</f>
        <v/>
      </c>
      <c r="U1338" t="str">
        <f t="shared" si="144"/>
        <v/>
      </c>
      <c r="V1338">
        <v>0</v>
      </c>
      <c r="W1338" t="str">
        <f>IF(V1338&lt;&gt;0,VLOOKUP(VLOOKUP(V1338,Tbl_Effect[],3,FALSE),EffectName[],IFERROR(MATCH(UI!$B$1,EffectName[#Headers],0),2),FALSE),"")</f>
        <v/>
      </c>
      <c r="X1338" t="str">
        <f t="shared" si="145"/>
        <v/>
      </c>
      <c r="Y1338">
        <v>0</v>
      </c>
      <c r="Z1338" t="str">
        <f>IF(Y1338&lt;&gt;0,VLOOKUP(VLOOKUP(Y1338,Tbl_Effect[],3,FALSE),EffectName[],IFERROR(MATCH(UI!$B$1,EffectName[#Headers],0),2),FALSE),"")</f>
        <v/>
      </c>
      <c r="AA1338" t="str">
        <f t="shared" si="146"/>
        <v/>
      </c>
      <c r="AB1338">
        <v>0</v>
      </c>
      <c r="AC1338" t="str">
        <f>IF(AB1338&lt;&gt;0,VLOOKUP(VLOOKUP(AB1338,Tbl_Effect[],3,FALSE),EffectName[],IFERROR(MATCH(UI!$B$1,EffectName[#Headers],0),2),FALSE),"")</f>
        <v/>
      </c>
    </row>
    <row r="1339" spans="8:29" x14ac:dyDescent="0.4">
      <c r="H1339" t="str">
        <f t="shared" si="140"/>
        <v>7341100-Unset (紅)</v>
      </c>
      <c r="I1339">
        <v>7341100</v>
      </c>
      <c r="J1339" t="str">
        <f>_xlfn.IFNA(IF(I1339&lt;&gt;0,VLOOKUP(VLOOKUP(I1339,Tbl_Equip[],2,FALSE),Tbl_Color[],IFERROR(MATCH(UI!$B$1,Tbl_Color[#Headers],0),2),FALSE),""),"Unset")</f>
        <v>紅</v>
      </c>
      <c r="K1339" t="str">
        <f>_xlfn.IFNA(IF(I1339&lt;&gt;0,VLOOKUP(I1339,ItemText[],IFERROR(MATCH(UI!$B$1,ItemText[#Headers],0),2),FALSE),""),"Unset")</f>
        <v>Unset</v>
      </c>
      <c r="L1339" t="str">
        <f t="shared" si="141"/>
        <v/>
      </c>
      <c r="M1339">
        <v>0</v>
      </c>
      <c r="N1339" t="str">
        <f>IF(VALUE(M1339)=0,"",VLOOKUP(VLOOKUP(M1339,Tbl_Effect[],3,FALSE),EffectName[],IFERROR(MATCH(UI!$B$1,EffectName[#Headers],0),2),FALSE))</f>
        <v/>
      </c>
      <c r="O1339" t="str">
        <f t="shared" si="142"/>
        <v/>
      </c>
      <c r="P1339">
        <v>0</v>
      </c>
      <c r="Q1339" t="str">
        <f>IF(VALUE(P1339)=0,"",VLOOKUP(VLOOKUP(P1339,Tbl_Effect[],3,FALSE),EffectName[],IFERROR(MATCH(UI!$B$1,EffectName[#Headers],0),2),FALSE))</f>
        <v/>
      </c>
      <c r="R1339" t="str">
        <f t="shared" si="143"/>
        <v/>
      </c>
      <c r="S1339">
        <v>0</v>
      </c>
      <c r="T1339" t="str">
        <f>IF(VALUE(S1339)=0,"",VLOOKUP(VLOOKUP(S1339,Tbl_Effect[],3,FALSE),EffectName[],IFERROR(MATCH(UI!$B$1,EffectName[#Headers],0),2),FALSE))</f>
        <v/>
      </c>
      <c r="U1339" t="str">
        <f t="shared" si="144"/>
        <v/>
      </c>
      <c r="V1339">
        <v>0</v>
      </c>
      <c r="W1339" t="str">
        <f>IF(V1339&lt;&gt;0,VLOOKUP(VLOOKUP(V1339,Tbl_Effect[],3,FALSE),EffectName[],IFERROR(MATCH(UI!$B$1,EffectName[#Headers],0),2),FALSE),"")</f>
        <v/>
      </c>
      <c r="X1339" t="str">
        <f t="shared" si="145"/>
        <v/>
      </c>
      <c r="Y1339">
        <v>0</v>
      </c>
      <c r="Z1339" t="str">
        <f>IF(Y1339&lt;&gt;0,VLOOKUP(VLOOKUP(Y1339,Tbl_Effect[],3,FALSE),EffectName[],IFERROR(MATCH(UI!$B$1,EffectName[#Headers],0),2),FALSE),"")</f>
        <v/>
      </c>
      <c r="AA1339" t="str">
        <f t="shared" si="146"/>
        <v/>
      </c>
      <c r="AB1339">
        <v>0</v>
      </c>
      <c r="AC1339" t="str">
        <f>IF(AB1339&lt;&gt;0,VLOOKUP(VLOOKUP(AB1339,Tbl_Effect[],3,FALSE),EffectName[],IFERROR(MATCH(UI!$B$1,EffectName[#Headers],0),2),FALSE),"")</f>
        <v/>
      </c>
    </row>
    <row r="1340" spans="8:29" x14ac:dyDescent="0.4">
      <c r="H1340" t="str">
        <f t="shared" si="140"/>
        <v>7341200-Unset (紅)</v>
      </c>
      <c r="I1340">
        <v>7341200</v>
      </c>
      <c r="J1340" t="str">
        <f>_xlfn.IFNA(IF(I1340&lt;&gt;0,VLOOKUP(VLOOKUP(I1340,Tbl_Equip[],2,FALSE),Tbl_Color[],IFERROR(MATCH(UI!$B$1,Tbl_Color[#Headers],0),2),FALSE),""),"Unset")</f>
        <v>紅</v>
      </c>
      <c r="K1340" t="str">
        <f>_xlfn.IFNA(IF(I1340&lt;&gt;0,VLOOKUP(I1340,ItemText[],IFERROR(MATCH(UI!$B$1,ItemText[#Headers],0),2),FALSE),""),"Unset")</f>
        <v>Unset</v>
      </c>
      <c r="L1340" t="str">
        <f t="shared" si="141"/>
        <v/>
      </c>
      <c r="M1340">
        <v>0</v>
      </c>
      <c r="N1340" t="str">
        <f>IF(VALUE(M1340)=0,"",VLOOKUP(VLOOKUP(M1340,Tbl_Effect[],3,FALSE),EffectName[],IFERROR(MATCH(UI!$B$1,EffectName[#Headers],0),2),FALSE))</f>
        <v/>
      </c>
      <c r="O1340" t="str">
        <f t="shared" si="142"/>
        <v/>
      </c>
      <c r="P1340">
        <v>0</v>
      </c>
      <c r="Q1340" t="str">
        <f>IF(VALUE(P1340)=0,"",VLOOKUP(VLOOKUP(P1340,Tbl_Effect[],3,FALSE),EffectName[],IFERROR(MATCH(UI!$B$1,EffectName[#Headers],0),2),FALSE))</f>
        <v/>
      </c>
      <c r="R1340" t="str">
        <f t="shared" si="143"/>
        <v/>
      </c>
      <c r="S1340">
        <v>0</v>
      </c>
      <c r="T1340" t="str">
        <f>IF(VALUE(S1340)=0,"",VLOOKUP(VLOOKUP(S1340,Tbl_Effect[],3,FALSE),EffectName[],IFERROR(MATCH(UI!$B$1,EffectName[#Headers],0),2),FALSE))</f>
        <v/>
      </c>
      <c r="U1340" t="str">
        <f t="shared" si="144"/>
        <v/>
      </c>
      <c r="V1340">
        <v>0</v>
      </c>
      <c r="W1340" t="str">
        <f>IF(V1340&lt;&gt;0,VLOOKUP(VLOOKUP(V1340,Tbl_Effect[],3,FALSE),EffectName[],IFERROR(MATCH(UI!$B$1,EffectName[#Headers],0),2),FALSE),"")</f>
        <v/>
      </c>
      <c r="X1340" t="str">
        <f t="shared" si="145"/>
        <v/>
      </c>
      <c r="Y1340">
        <v>0</v>
      </c>
      <c r="Z1340" t="str">
        <f>IF(Y1340&lt;&gt;0,VLOOKUP(VLOOKUP(Y1340,Tbl_Effect[],3,FALSE),EffectName[],IFERROR(MATCH(UI!$B$1,EffectName[#Headers],0),2),FALSE),"")</f>
        <v/>
      </c>
      <c r="AA1340" t="str">
        <f t="shared" si="146"/>
        <v/>
      </c>
      <c r="AB1340">
        <v>0</v>
      </c>
      <c r="AC1340" t="str">
        <f>IF(AB1340&lt;&gt;0,VLOOKUP(VLOOKUP(AB1340,Tbl_Effect[],3,FALSE),EffectName[],IFERROR(MATCH(UI!$B$1,EffectName[#Headers],0),2),FALSE),"")</f>
        <v/>
      </c>
    </row>
    <row r="1341" spans="8:29" x14ac:dyDescent="0.4">
      <c r="H1341" t="str">
        <f t="shared" si="140"/>
        <v>7341300-Unset (紅)</v>
      </c>
      <c r="I1341">
        <v>7341300</v>
      </c>
      <c r="J1341" t="str">
        <f>_xlfn.IFNA(IF(I1341&lt;&gt;0,VLOOKUP(VLOOKUP(I1341,Tbl_Equip[],2,FALSE),Tbl_Color[],IFERROR(MATCH(UI!$B$1,Tbl_Color[#Headers],0),2),FALSE),""),"Unset")</f>
        <v>紅</v>
      </c>
      <c r="K1341" t="str">
        <f>_xlfn.IFNA(IF(I1341&lt;&gt;0,VLOOKUP(I1341,ItemText[],IFERROR(MATCH(UI!$B$1,ItemText[#Headers],0),2),FALSE),""),"Unset")</f>
        <v>Unset</v>
      </c>
      <c r="L1341" t="str">
        <f t="shared" si="141"/>
        <v/>
      </c>
      <c r="M1341">
        <v>0</v>
      </c>
      <c r="N1341" t="str">
        <f>IF(VALUE(M1341)=0,"",VLOOKUP(VLOOKUP(M1341,Tbl_Effect[],3,FALSE),EffectName[],IFERROR(MATCH(UI!$B$1,EffectName[#Headers],0),2),FALSE))</f>
        <v/>
      </c>
      <c r="O1341" t="str">
        <f t="shared" si="142"/>
        <v/>
      </c>
      <c r="P1341">
        <v>0</v>
      </c>
      <c r="Q1341" t="str">
        <f>IF(VALUE(P1341)=0,"",VLOOKUP(VLOOKUP(P1341,Tbl_Effect[],3,FALSE),EffectName[],IFERROR(MATCH(UI!$B$1,EffectName[#Headers],0),2),FALSE))</f>
        <v/>
      </c>
      <c r="R1341" t="str">
        <f t="shared" si="143"/>
        <v/>
      </c>
      <c r="S1341">
        <v>0</v>
      </c>
      <c r="T1341" t="str">
        <f>IF(VALUE(S1341)=0,"",VLOOKUP(VLOOKUP(S1341,Tbl_Effect[],3,FALSE),EffectName[],IFERROR(MATCH(UI!$B$1,EffectName[#Headers],0),2),FALSE))</f>
        <v/>
      </c>
      <c r="U1341" t="str">
        <f t="shared" si="144"/>
        <v/>
      </c>
      <c r="V1341">
        <v>0</v>
      </c>
      <c r="W1341" t="str">
        <f>IF(V1341&lt;&gt;0,VLOOKUP(VLOOKUP(V1341,Tbl_Effect[],3,FALSE),EffectName[],IFERROR(MATCH(UI!$B$1,EffectName[#Headers],0),2),FALSE),"")</f>
        <v/>
      </c>
      <c r="X1341" t="str">
        <f t="shared" si="145"/>
        <v/>
      </c>
      <c r="Y1341">
        <v>0</v>
      </c>
      <c r="Z1341" t="str">
        <f>IF(Y1341&lt;&gt;0,VLOOKUP(VLOOKUP(Y1341,Tbl_Effect[],3,FALSE),EffectName[],IFERROR(MATCH(UI!$B$1,EffectName[#Headers],0),2),FALSE),"")</f>
        <v/>
      </c>
      <c r="AA1341" t="str">
        <f t="shared" si="146"/>
        <v/>
      </c>
      <c r="AB1341">
        <v>0</v>
      </c>
      <c r="AC1341" t="str">
        <f>IF(AB1341&lt;&gt;0,VLOOKUP(VLOOKUP(AB1341,Tbl_Effect[],3,FALSE),EffectName[],IFERROR(MATCH(UI!$B$1,EffectName[#Headers],0),2),FALSE),"")</f>
        <v/>
      </c>
    </row>
    <row r="1342" spans="8:29" x14ac:dyDescent="0.4">
      <c r="H1342" t="str">
        <f t="shared" si="140"/>
        <v>7341400-Unset (紅)</v>
      </c>
      <c r="I1342">
        <v>7341400</v>
      </c>
      <c r="J1342" t="str">
        <f>_xlfn.IFNA(IF(I1342&lt;&gt;0,VLOOKUP(VLOOKUP(I1342,Tbl_Equip[],2,FALSE),Tbl_Color[],IFERROR(MATCH(UI!$B$1,Tbl_Color[#Headers],0),2),FALSE),""),"Unset")</f>
        <v>紅</v>
      </c>
      <c r="K1342" t="str">
        <f>_xlfn.IFNA(IF(I1342&lt;&gt;0,VLOOKUP(I1342,ItemText[],IFERROR(MATCH(UI!$B$1,ItemText[#Headers],0),2),FALSE),""),"Unset")</f>
        <v>Unset</v>
      </c>
      <c r="L1342" t="str">
        <f t="shared" si="141"/>
        <v/>
      </c>
      <c r="M1342">
        <v>0</v>
      </c>
      <c r="N1342" t="str">
        <f>IF(VALUE(M1342)=0,"",VLOOKUP(VLOOKUP(M1342,Tbl_Effect[],3,FALSE),EffectName[],IFERROR(MATCH(UI!$B$1,EffectName[#Headers],0),2),FALSE))</f>
        <v/>
      </c>
      <c r="O1342" t="str">
        <f t="shared" si="142"/>
        <v/>
      </c>
      <c r="P1342">
        <v>0</v>
      </c>
      <c r="Q1342" t="str">
        <f>IF(VALUE(P1342)=0,"",VLOOKUP(VLOOKUP(P1342,Tbl_Effect[],3,FALSE),EffectName[],IFERROR(MATCH(UI!$B$1,EffectName[#Headers],0),2),FALSE))</f>
        <v/>
      </c>
      <c r="R1342" t="str">
        <f t="shared" si="143"/>
        <v/>
      </c>
      <c r="S1342">
        <v>0</v>
      </c>
      <c r="T1342" t="str">
        <f>IF(VALUE(S1342)=0,"",VLOOKUP(VLOOKUP(S1342,Tbl_Effect[],3,FALSE),EffectName[],IFERROR(MATCH(UI!$B$1,EffectName[#Headers],0),2),FALSE))</f>
        <v/>
      </c>
      <c r="U1342" t="str">
        <f t="shared" si="144"/>
        <v/>
      </c>
      <c r="V1342">
        <v>0</v>
      </c>
      <c r="W1342" t="str">
        <f>IF(V1342&lt;&gt;0,VLOOKUP(VLOOKUP(V1342,Tbl_Effect[],3,FALSE),EffectName[],IFERROR(MATCH(UI!$B$1,EffectName[#Headers],0),2),FALSE),"")</f>
        <v/>
      </c>
      <c r="X1342" t="str">
        <f t="shared" si="145"/>
        <v/>
      </c>
      <c r="Y1342">
        <v>0</v>
      </c>
      <c r="Z1342" t="str">
        <f>IF(Y1342&lt;&gt;0,VLOOKUP(VLOOKUP(Y1342,Tbl_Effect[],3,FALSE),EffectName[],IFERROR(MATCH(UI!$B$1,EffectName[#Headers],0),2),FALSE),"")</f>
        <v/>
      </c>
      <c r="AA1342" t="str">
        <f t="shared" si="146"/>
        <v/>
      </c>
      <c r="AB1342">
        <v>0</v>
      </c>
      <c r="AC1342" t="str">
        <f>IF(AB1342&lt;&gt;0,VLOOKUP(VLOOKUP(AB1342,Tbl_Effect[],3,FALSE),EffectName[],IFERROR(MATCH(UI!$B$1,EffectName[#Headers],0),2),FALSE),"")</f>
        <v/>
      </c>
    </row>
    <row r="1343" spans="8:29" x14ac:dyDescent="0.4">
      <c r="H1343" t="str">
        <f t="shared" si="140"/>
        <v>7341500-Unset (紅)</v>
      </c>
      <c r="I1343">
        <v>7341500</v>
      </c>
      <c r="J1343" t="str">
        <f>_xlfn.IFNA(IF(I1343&lt;&gt;0,VLOOKUP(VLOOKUP(I1343,Tbl_Equip[],2,FALSE),Tbl_Color[],IFERROR(MATCH(UI!$B$1,Tbl_Color[#Headers],0),2),FALSE),""),"Unset")</f>
        <v>紅</v>
      </c>
      <c r="K1343" t="str">
        <f>_xlfn.IFNA(IF(I1343&lt;&gt;0,VLOOKUP(I1343,ItemText[],IFERROR(MATCH(UI!$B$1,ItemText[#Headers],0),2),FALSE),""),"Unset")</f>
        <v>Unset</v>
      </c>
      <c r="L1343" t="str">
        <f t="shared" si="141"/>
        <v/>
      </c>
      <c r="M1343">
        <v>0</v>
      </c>
      <c r="N1343" t="str">
        <f>IF(VALUE(M1343)=0,"",VLOOKUP(VLOOKUP(M1343,Tbl_Effect[],3,FALSE),EffectName[],IFERROR(MATCH(UI!$B$1,EffectName[#Headers],0),2),FALSE))</f>
        <v/>
      </c>
      <c r="O1343" t="str">
        <f t="shared" si="142"/>
        <v/>
      </c>
      <c r="P1343">
        <v>0</v>
      </c>
      <c r="Q1343" t="str">
        <f>IF(VALUE(P1343)=0,"",VLOOKUP(VLOOKUP(P1343,Tbl_Effect[],3,FALSE),EffectName[],IFERROR(MATCH(UI!$B$1,EffectName[#Headers],0),2),FALSE))</f>
        <v/>
      </c>
      <c r="R1343" t="str">
        <f t="shared" si="143"/>
        <v/>
      </c>
      <c r="S1343">
        <v>0</v>
      </c>
      <c r="T1343" t="str">
        <f>IF(VALUE(S1343)=0,"",VLOOKUP(VLOOKUP(S1343,Tbl_Effect[],3,FALSE),EffectName[],IFERROR(MATCH(UI!$B$1,EffectName[#Headers],0),2),FALSE))</f>
        <v/>
      </c>
      <c r="U1343" t="str">
        <f t="shared" si="144"/>
        <v/>
      </c>
      <c r="V1343">
        <v>0</v>
      </c>
      <c r="W1343" t="str">
        <f>IF(V1343&lt;&gt;0,VLOOKUP(VLOOKUP(V1343,Tbl_Effect[],3,FALSE),EffectName[],IFERROR(MATCH(UI!$B$1,EffectName[#Headers],0),2),FALSE),"")</f>
        <v/>
      </c>
      <c r="X1343" t="str">
        <f t="shared" si="145"/>
        <v/>
      </c>
      <c r="Y1343">
        <v>0</v>
      </c>
      <c r="Z1343" t="str">
        <f>IF(Y1343&lt;&gt;0,VLOOKUP(VLOOKUP(Y1343,Tbl_Effect[],3,FALSE),EffectName[],IFERROR(MATCH(UI!$B$1,EffectName[#Headers],0),2),FALSE),"")</f>
        <v/>
      </c>
      <c r="AA1343" t="str">
        <f t="shared" si="146"/>
        <v/>
      </c>
      <c r="AB1343">
        <v>0</v>
      </c>
      <c r="AC1343" t="str">
        <f>IF(AB1343&lt;&gt;0,VLOOKUP(VLOOKUP(AB1343,Tbl_Effect[],3,FALSE),EffectName[],IFERROR(MATCH(UI!$B$1,EffectName[#Headers],0),2),FALSE),"")</f>
        <v/>
      </c>
    </row>
    <row r="1344" spans="8:29" x14ac:dyDescent="0.4">
      <c r="H1344" t="str">
        <f t="shared" si="140"/>
        <v>7341700-Unset (紅)</v>
      </c>
      <c r="I1344">
        <v>7341700</v>
      </c>
      <c r="J1344" t="str">
        <f>_xlfn.IFNA(IF(I1344&lt;&gt;0,VLOOKUP(VLOOKUP(I1344,Tbl_Equip[],2,FALSE),Tbl_Color[],IFERROR(MATCH(UI!$B$1,Tbl_Color[#Headers],0),2),FALSE),""),"Unset")</f>
        <v>紅</v>
      </c>
      <c r="K1344" t="str">
        <f>_xlfn.IFNA(IF(I1344&lt;&gt;0,VLOOKUP(I1344,ItemText[],IFERROR(MATCH(UI!$B$1,ItemText[#Headers],0),2),FALSE),""),"Unset")</f>
        <v>Unset</v>
      </c>
      <c r="L1344" t="str">
        <f t="shared" si="141"/>
        <v/>
      </c>
      <c r="M1344">
        <v>0</v>
      </c>
      <c r="N1344" t="str">
        <f>IF(VALUE(M1344)=0,"",VLOOKUP(VLOOKUP(M1344,Tbl_Effect[],3,FALSE),EffectName[],IFERROR(MATCH(UI!$B$1,EffectName[#Headers],0),2),FALSE))</f>
        <v/>
      </c>
      <c r="O1344" t="str">
        <f t="shared" si="142"/>
        <v/>
      </c>
      <c r="P1344">
        <v>0</v>
      </c>
      <c r="Q1344" t="str">
        <f>IF(VALUE(P1344)=0,"",VLOOKUP(VLOOKUP(P1344,Tbl_Effect[],3,FALSE),EffectName[],IFERROR(MATCH(UI!$B$1,EffectName[#Headers],0),2),FALSE))</f>
        <v/>
      </c>
      <c r="R1344" t="str">
        <f t="shared" si="143"/>
        <v/>
      </c>
      <c r="S1344">
        <v>0</v>
      </c>
      <c r="T1344" t="str">
        <f>IF(VALUE(S1344)=0,"",VLOOKUP(VLOOKUP(S1344,Tbl_Effect[],3,FALSE),EffectName[],IFERROR(MATCH(UI!$B$1,EffectName[#Headers],0),2),FALSE))</f>
        <v/>
      </c>
      <c r="U1344" t="str">
        <f t="shared" si="144"/>
        <v/>
      </c>
      <c r="V1344">
        <v>0</v>
      </c>
      <c r="W1344" t="str">
        <f>IF(V1344&lt;&gt;0,VLOOKUP(VLOOKUP(V1344,Tbl_Effect[],3,FALSE),EffectName[],IFERROR(MATCH(UI!$B$1,EffectName[#Headers],0),2),FALSE),"")</f>
        <v/>
      </c>
      <c r="X1344" t="str">
        <f t="shared" si="145"/>
        <v/>
      </c>
      <c r="Y1344">
        <v>0</v>
      </c>
      <c r="Z1344" t="str">
        <f>IF(Y1344&lt;&gt;0,VLOOKUP(VLOOKUP(Y1344,Tbl_Effect[],3,FALSE),EffectName[],IFERROR(MATCH(UI!$B$1,EffectName[#Headers],0),2),FALSE),"")</f>
        <v/>
      </c>
      <c r="AA1344" t="str">
        <f t="shared" si="146"/>
        <v/>
      </c>
      <c r="AB1344">
        <v>0</v>
      </c>
      <c r="AC1344" t="str">
        <f>IF(AB1344&lt;&gt;0,VLOOKUP(VLOOKUP(AB1344,Tbl_Effect[],3,FALSE),EffectName[],IFERROR(MATCH(UI!$B$1,EffectName[#Headers],0),2),FALSE),"")</f>
        <v/>
      </c>
    </row>
    <row r="1345" spans="8:29" x14ac:dyDescent="0.4">
      <c r="H1345" t="str">
        <f t="shared" si="140"/>
        <v>7341800-Unset (紅)</v>
      </c>
      <c r="I1345">
        <v>7341800</v>
      </c>
      <c r="J1345" t="str">
        <f>_xlfn.IFNA(IF(I1345&lt;&gt;0,VLOOKUP(VLOOKUP(I1345,Tbl_Equip[],2,FALSE),Tbl_Color[],IFERROR(MATCH(UI!$B$1,Tbl_Color[#Headers],0),2),FALSE),""),"Unset")</f>
        <v>紅</v>
      </c>
      <c r="K1345" t="str">
        <f>_xlfn.IFNA(IF(I1345&lt;&gt;0,VLOOKUP(I1345,ItemText[],IFERROR(MATCH(UI!$B$1,ItemText[#Headers],0),2),FALSE),""),"Unset")</f>
        <v>Unset</v>
      </c>
      <c r="L1345" t="str">
        <f t="shared" si="141"/>
        <v/>
      </c>
      <c r="M1345">
        <v>0</v>
      </c>
      <c r="N1345" t="str">
        <f>IF(VALUE(M1345)=0,"",VLOOKUP(VLOOKUP(M1345,Tbl_Effect[],3,FALSE),EffectName[],IFERROR(MATCH(UI!$B$1,EffectName[#Headers],0),2),FALSE))</f>
        <v/>
      </c>
      <c r="O1345" t="str">
        <f t="shared" si="142"/>
        <v/>
      </c>
      <c r="P1345">
        <v>0</v>
      </c>
      <c r="Q1345" t="str">
        <f>IF(VALUE(P1345)=0,"",VLOOKUP(VLOOKUP(P1345,Tbl_Effect[],3,FALSE),EffectName[],IFERROR(MATCH(UI!$B$1,EffectName[#Headers],0),2),FALSE))</f>
        <v/>
      </c>
      <c r="R1345" t="str">
        <f t="shared" si="143"/>
        <v/>
      </c>
      <c r="S1345">
        <v>0</v>
      </c>
      <c r="T1345" t="str">
        <f>IF(VALUE(S1345)=0,"",VLOOKUP(VLOOKUP(S1345,Tbl_Effect[],3,FALSE),EffectName[],IFERROR(MATCH(UI!$B$1,EffectName[#Headers],0),2),FALSE))</f>
        <v/>
      </c>
      <c r="U1345" t="str">
        <f t="shared" si="144"/>
        <v/>
      </c>
      <c r="V1345">
        <v>0</v>
      </c>
      <c r="W1345" t="str">
        <f>IF(V1345&lt;&gt;0,VLOOKUP(VLOOKUP(V1345,Tbl_Effect[],3,FALSE),EffectName[],IFERROR(MATCH(UI!$B$1,EffectName[#Headers],0),2),FALSE),"")</f>
        <v/>
      </c>
      <c r="X1345" t="str">
        <f t="shared" si="145"/>
        <v/>
      </c>
      <c r="Y1345">
        <v>0</v>
      </c>
      <c r="Z1345" t="str">
        <f>IF(Y1345&lt;&gt;0,VLOOKUP(VLOOKUP(Y1345,Tbl_Effect[],3,FALSE),EffectName[],IFERROR(MATCH(UI!$B$1,EffectName[#Headers],0),2),FALSE),"")</f>
        <v/>
      </c>
      <c r="AA1345" t="str">
        <f t="shared" si="146"/>
        <v/>
      </c>
      <c r="AB1345">
        <v>0</v>
      </c>
      <c r="AC1345" t="str">
        <f>IF(AB1345&lt;&gt;0,VLOOKUP(VLOOKUP(AB1345,Tbl_Effect[],3,FALSE),EffectName[],IFERROR(MATCH(UI!$B$1,EffectName[#Headers],0),2),FALSE),"")</f>
        <v/>
      </c>
    </row>
    <row r="1346" spans="8:29" x14ac:dyDescent="0.4">
      <c r="H1346" t="str">
        <f t="shared" si="140"/>
        <v>7341900-Unset (紅)</v>
      </c>
      <c r="I1346">
        <v>7341900</v>
      </c>
      <c r="J1346" t="str">
        <f>_xlfn.IFNA(IF(I1346&lt;&gt;0,VLOOKUP(VLOOKUP(I1346,Tbl_Equip[],2,FALSE),Tbl_Color[],IFERROR(MATCH(UI!$B$1,Tbl_Color[#Headers],0),2),FALSE),""),"Unset")</f>
        <v>紅</v>
      </c>
      <c r="K1346" t="str">
        <f>_xlfn.IFNA(IF(I1346&lt;&gt;0,VLOOKUP(I1346,ItemText[],IFERROR(MATCH(UI!$B$1,ItemText[#Headers],0),2),FALSE),""),"Unset")</f>
        <v>Unset</v>
      </c>
      <c r="L1346" t="str">
        <f t="shared" si="141"/>
        <v/>
      </c>
      <c r="M1346">
        <v>0</v>
      </c>
      <c r="N1346" t="str">
        <f>IF(VALUE(M1346)=0,"",VLOOKUP(VLOOKUP(M1346,Tbl_Effect[],3,FALSE),EffectName[],IFERROR(MATCH(UI!$B$1,EffectName[#Headers],0),2),FALSE))</f>
        <v/>
      </c>
      <c r="O1346" t="str">
        <f t="shared" si="142"/>
        <v/>
      </c>
      <c r="P1346">
        <v>0</v>
      </c>
      <c r="Q1346" t="str">
        <f>IF(VALUE(P1346)=0,"",VLOOKUP(VLOOKUP(P1346,Tbl_Effect[],3,FALSE),EffectName[],IFERROR(MATCH(UI!$B$1,EffectName[#Headers],0),2),FALSE))</f>
        <v/>
      </c>
      <c r="R1346" t="str">
        <f t="shared" si="143"/>
        <v/>
      </c>
      <c r="S1346">
        <v>0</v>
      </c>
      <c r="T1346" t="str">
        <f>IF(VALUE(S1346)=0,"",VLOOKUP(VLOOKUP(S1346,Tbl_Effect[],3,FALSE),EffectName[],IFERROR(MATCH(UI!$B$1,EffectName[#Headers],0),2),FALSE))</f>
        <v/>
      </c>
      <c r="U1346" t="str">
        <f t="shared" si="144"/>
        <v/>
      </c>
      <c r="V1346">
        <v>0</v>
      </c>
      <c r="W1346" t="str">
        <f>IF(V1346&lt;&gt;0,VLOOKUP(VLOOKUP(V1346,Tbl_Effect[],3,FALSE),EffectName[],IFERROR(MATCH(UI!$B$1,EffectName[#Headers],0),2),FALSE),"")</f>
        <v/>
      </c>
      <c r="X1346" t="str">
        <f t="shared" si="145"/>
        <v/>
      </c>
      <c r="Y1346">
        <v>0</v>
      </c>
      <c r="Z1346" t="str">
        <f>IF(Y1346&lt;&gt;0,VLOOKUP(VLOOKUP(Y1346,Tbl_Effect[],3,FALSE),EffectName[],IFERROR(MATCH(UI!$B$1,EffectName[#Headers],0),2),FALSE),"")</f>
        <v/>
      </c>
      <c r="AA1346" t="str">
        <f t="shared" si="146"/>
        <v/>
      </c>
      <c r="AB1346">
        <v>0</v>
      </c>
      <c r="AC1346" t="str">
        <f>IF(AB1346&lt;&gt;0,VLOOKUP(VLOOKUP(AB1346,Tbl_Effect[],3,FALSE),EffectName[],IFERROR(MATCH(UI!$B$1,EffectName[#Headers],0),2),FALSE),"")</f>
        <v/>
      </c>
    </row>
    <row r="1347" spans="8:29" x14ac:dyDescent="0.4">
      <c r="H1347" t="str">
        <f t="shared" ref="H1347:H1410" si="147">IF(VALUE(I1347)&lt;&gt;0,I1347&amp;"-"&amp;K1347&amp;" ("&amp;J1347&amp;")","")</f>
        <v>7342000-Unset (紅)</v>
      </c>
      <c r="I1347">
        <v>7342000</v>
      </c>
      <c r="J1347" t="str">
        <f>_xlfn.IFNA(IF(I1347&lt;&gt;0,VLOOKUP(VLOOKUP(I1347,Tbl_Equip[],2,FALSE),Tbl_Color[],IFERROR(MATCH(UI!$B$1,Tbl_Color[#Headers],0),2),FALSE),""),"Unset")</f>
        <v>紅</v>
      </c>
      <c r="K1347" t="str">
        <f>_xlfn.IFNA(IF(I1347&lt;&gt;0,VLOOKUP(I1347,ItemText[],IFERROR(MATCH(UI!$B$1,ItemText[#Headers],0),2),FALSE),""),"Unset")</f>
        <v>Unset</v>
      </c>
      <c r="L1347" t="str">
        <f t="shared" ref="L1347:L1386" si="148">IF(VALUE(M1347)=0,"",M1347&amp;"-"&amp;N1347)</f>
        <v/>
      </c>
      <c r="M1347">
        <v>0</v>
      </c>
      <c r="N1347" t="str">
        <f>IF(VALUE(M1347)=0,"",VLOOKUP(VLOOKUP(M1347,Tbl_Effect[],3,FALSE),EffectName[],IFERROR(MATCH(UI!$B$1,EffectName[#Headers],0),2),FALSE))</f>
        <v/>
      </c>
      <c r="O1347" t="str">
        <f t="shared" ref="O1347:O1386" si="149">IF(VALUE(P1347)=0,"",P1347&amp;"-"&amp;Q1347)</f>
        <v/>
      </c>
      <c r="P1347">
        <v>0</v>
      </c>
      <c r="Q1347" t="str">
        <f>IF(VALUE(P1347)=0,"",VLOOKUP(VLOOKUP(P1347,Tbl_Effect[],3,FALSE),EffectName[],IFERROR(MATCH(UI!$B$1,EffectName[#Headers],0),2),FALSE))</f>
        <v/>
      </c>
      <c r="R1347" t="str">
        <f t="shared" ref="R1347:R1386" si="150">IF(VALUE(S1347)=0,"",S1347&amp;"-"&amp;T1347)</f>
        <v/>
      </c>
      <c r="S1347">
        <v>0</v>
      </c>
      <c r="T1347" t="str">
        <f>IF(VALUE(S1347)=0,"",VLOOKUP(VLOOKUP(S1347,Tbl_Effect[],3,FALSE),EffectName[],IFERROR(MATCH(UI!$B$1,EffectName[#Headers],0),2),FALSE))</f>
        <v/>
      </c>
      <c r="U1347" t="str">
        <f t="shared" ref="U1347:U1410" si="151">IF(VALUE(V1347)=0,"",V1347&amp;"-"&amp;W1347)</f>
        <v/>
      </c>
      <c r="V1347">
        <v>0</v>
      </c>
      <c r="W1347" t="str">
        <f>IF(V1347&lt;&gt;0,VLOOKUP(VLOOKUP(V1347,Tbl_Effect[],3,FALSE),EffectName[],IFERROR(MATCH(UI!$B$1,EffectName[#Headers],0),2),FALSE),"")</f>
        <v/>
      </c>
      <c r="X1347" t="str">
        <f t="shared" ref="X1347:X1410" si="152">IF(VALUE(Y1347)=0,"",Y1347&amp;"-"&amp;Z1347)</f>
        <v/>
      </c>
      <c r="Y1347">
        <v>0</v>
      </c>
      <c r="Z1347" t="str">
        <f>IF(Y1347&lt;&gt;0,VLOOKUP(VLOOKUP(Y1347,Tbl_Effect[],3,FALSE),EffectName[],IFERROR(MATCH(UI!$B$1,EffectName[#Headers],0),2),FALSE),"")</f>
        <v/>
      </c>
      <c r="AA1347" t="str">
        <f t="shared" ref="AA1347:AA1410" si="153">IF(VALUE(AB1347)=0,"",AB1347&amp;"-"&amp;AC1347)</f>
        <v/>
      </c>
      <c r="AB1347">
        <v>0</v>
      </c>
      <c r="AC1347" t="str">
        <f>IF(AB1347&lt;&gt;0,VLOOKUP(VLOOKUP(AB1347,Tbl_Effect[],3,FALSE),EffectName[],IFERROR(MATCH(UI!$B$1,EffectName[#Headers],0),2),FALSE),"")</f>
        <v/>
      </c>
    </row>
    <row r="1348" spans="8:29" x14ac:dyDescent="0.4">
      <c r="H1348" t="str">
        <f t="shared" si="147"/>
        <v>7342100-Unset (紅)</v>
      </c>
      <c r="I1348">
        <v>7342100</v>
      </c>
      <c r="J1348" t="str">
        <f>_xlfn.IFNA(IF(I1348&lt;&gt;0,VLOOKUP(VLOOKUP(I1348,Tbl_Equip[],2,FALSE),Tbl_Color[],IFERROR(MATCH(UI!$B$1,Tbl_Color[#Headers],0),2),FALSE),""),"Unset")</f>
        <v>紅</v>
      </c>
      <c r="K1348" t="str">
        <f>_xlfn.IFNA(IF(I1348&lt;&gt;0,VLOOKUP(I1348,ItemText[],IFERROR(MATCH(UI!$B$1,ItemText[#Headers],0),2),FALSE),""),"Unset")</f>
        <v>Unset</v>
      </c>
      <c r="L1348" t="str">
        <f t="shared" si="148"/>
        <v/>
      </c>
      <c r="M1348">
        <v>0</v>
      </c>
      <c r="N1348" t="str">
        <f>IF(VALUE(M1348)=0,"",VLOOKUP(VLOOKUP(M1348,Tbl_Effect[],3,FALSE),EffectName[],IFERROR(MATCH(UI!$B$1,EffectName[#Headers],0),2),FALSE))</f>
        <v/>
      </c>
      <c r="O1348" t="str">
        <f t="shared" si="149"/>
        <v/>
      </c>
      <c r="P1348">
        <v>0</v>
      </c>
      <c r="Q1348" t="str">
        <f>IF(VALUE(P1348)=0,"",VLOOKUP(VLOOKUP(P1348,Tbl_Effect[],3,FALSE),EffectName[],IFERROR(MATCH(UI!$B$1,EffectName[#Headers],0),2),FALSE))</f>
        <v/>
      </c>
      <c r="R1348" t="str">
        <f t="shared" si="150"/>
        <v/>
      </c>
      <c r="S1348">
        <v>0</v>
      </c>
      <c r="T1348" t="str">
        <f>IF(VALUE(S1348)=0,"",VLOOKUP(VLOOKUP(S1348,Tbl_Effect[],3,FALSE),EffectName[],IFERROR(MATCH(UI!$B$1,EffectName[#Headers],0),2),FALSE))</f>
        <v/>
      </c>
      <c r="U1348" t="str">
        <f t="shared" si="151"/>
        <v/>
      </c>
      <c r="V1348">
        <v>0</v>
      </c>
      <c r="W1348" t="str">
        <f>IF(V1348&lt;&gt;0,VLOOKUP(VLOOKUP(V1348,Tbl_Effect[],3,FALSE),EffectName[],IFERROR(MATCH(UI!$B$1,EffectName[#Headers],0),2),FALSE),"")</f>
        <v/>
      </c>
      <c r="X1348" t="str">
        <f t="shared" si="152"/>
        <v/>
      </c>
      <c r="Y1348">
        <v>0</v>
      </c>
      <c r="Z1348" t="str">
        <f>IF(Y1348&lt;&gt;0,VLOOKUP(VLOOKUP(Y1348,Tbl_Effect[],3,FALSE),EffectName[],IFERROR(MATCH(UI!$B$1,EffectName[#Headers],0),2),FALSE),"")</f>
        <v/>
      </c>
      <c r="AA1348" t="str">
        <f t="shared" si="153"/>
        <v/>
      </c>
      <c r="AB1348">
        <v>0</v>
      </c>
      <c r="AC1348" t="str">
        <f>IF(AB1348&lt;&gt;0,VLOOKUP(VLOOKUP(AB1348,Tbl_Effect[],3,FALSE),EffectName[],IFERROR(MATCH(UI!$B$1,EffectName[#Headers],0),2),FALSE),"")</f>
        <v/>
      </c>
    </row>
    <row r="1349" spans="8:29" x14ac:dyDescent="0.4">
      <c r="H1349" t="str">
        <f t="shared" si="147"/>
        <v>7342200-Unset (紅)</v>
      </c>
      <c r="I1349">
        <v>7342200</v>
      </c>
      <c r="J1349" t="str">
        <f>_xlfn.IFNA(IF(I1349&lt;&gt;0,VLOOKUP(VLOOKUP(I1349,Tbl_Equip[],2,FALSE),Tbl_Color[],IFERROR(MATCH(UI!$B$1,Tbl_Color[#Headers],0),2),FALSE),""),"Unset")</f>
        <v>紅</v>
      </c>
      <c r="K1349" t="str">
        <f>_xlfn.IFNA(IF(I1349&lt;&gt;0,VLOOKUP(I1349,ItemText[],IFERROR(MATCH(UI!$B$1,ItemText[#Headers],0),2),FALSE),""),"Unset")</f>
        <v>Unset</v>
      </c>
      <c r="L1349" t="str">
        <f t="shared" si="148"/>
        <v/>
      </c>
      <c r="M1349">
        <v>0</v>
      </c>
      <c r="N1349" t="str">
        <f>IF(VALUE(M1349)=0,"",VLOOKUP(VLOOKUP(M1349,Tbl_Effect[],3,FALSE),EffectName[],IFERROR(MATCH(UI!$B$1,EffectName[#Headers],0),2),FALSE))</f>
        <v/>
      </c>
      <c r="O1349" t="str">
        <f t="shared" si="149"/>
        <v/>
      </c>
      <c r="P1349">
        <v>0</v>
      </c>
      <c r="Q1349" t="str">
        <f>IF(VALUE(P1349)=0,"",VLOOKUP(VLOOKUP(P1349,Tbl_Effect[],3,FALSE),EffectName[],IFERROR(MATCH(UI!$B$1,EffectName[#Headers],0),2),FALSE))</f>
        <v/>
      </c>
      <c r="R1349" t="str">
        <f t="shared" si="150"/>
        <v/>
      </c>
      <c r="S1349">
        <v>0</v>
      </c>
      <c r="T1349" t="str">
        <f>IF(VALUE(S1349)=0,"",VLOOKUP(VLOOKUP(S1349,Tbl_Effect[],3,FALSE),EffectName[],IFERROR(MATCH(UI!$B$1,EffectName[#Headers],0),2),FALSE))</f>
        <v/>
      </c>
      <c r="U1349" t="str">
        <f t="shared" si="151"/>
        <v/>
      </c>
      <c r="V1349">
        <v>0</v>
      </c>
      <c r="W1349" t="str">
        <f>IF(V1349&lt;&gt;0,VLOOKUP(VLOOKUP(V1349,Tbl_Effect[],3,FALSE),EffectName[],IFERROR(MATCH(UI!$B$1,EffectName[#Headers],0),2),FALSE),"")</f>
        <v/>
      </c>
      <c r="X1349" t="str">
        <f t="shared" si="152"/>
        <v/>
      </c>
      <c r="Y1349">
        <v>0</v>
      </c>
      <c r="Z1349" t="str">
        <f>IF(Y1349&lt;&gt;0,VLOOKUP(VLOOKUP(Y1349,Tbl_Effect[],3,FALSE),EffectName[],IFERROR(MATCH(UI!$B$1,EffectName[#Headers],0),2),FALSE),"")</f>
        <v/>
      </c>
      <c r="AA1349" t="str">
        <f t="shared" si="153"/>
        <v/>
      </c>
      <c r="AB1349">
        <v>0</v>
      </c>
      <c r="AC1349" t="str">
        <f>IF(AB1349&lt;&gt;0,VLOOKUP(VLOOKUP(AB1349,Tbl_Effect[],3,FALSE),EffectName[],IFERROR(MATCH(UI!$B$1,EffectName[#Headers],0),2),FALSE),"")</f>
        <v/>
      </c>
    </row>
    <row r="1350" spans="8:29" x14ac:dyDescent="0.4">
      <c r="H1350" t="str">
        <f t="shared" si="147"/>
        <v>7342300-Unset (紅)</v>
      </c>
      <c r="I1350">
        <v>7342300</v>
      </c>
      <c r="J1350" t="str">
        <f>_xlfn.IFNA(IF(I1350&lt;&gt;0,VLOOKUP(VLOOKUP(I1350,Tbl_Equip[],2,FALSE),Tbl_Color[],IFERROR(MATCH(UI!$B$1,Tbl_Color[#Headers],0),2),FALSE),""),"Unset")</f>
        <v>紅</v>
      </c>
      <c r="K1350" t="str">
        <f>_xlfn.IFNA(IF(I1350&lt;&gt;0,VLOOKUP(I1350,ItemText[],IFERROR(MATCH(UI!$B$1,ItemText[#Headers],0),2),FALSE),""),"Unset")</f>
        <v>Unset</v>
      </c>
      <c r="L1350" t="str">
        <f t="shared" si="148"/>
        <v/>
      </c>
      <c r="M1350">
        <v>0</v>
      </c>
      <c r="N1350" t="str">
        <f>IF(VALUE(M1350)=0,"",VLOOKUP(VLOOKUP(M1350,Tbl_Effect[],3,FALSE),EffectName[],IFERROR(MATCH(UI!$B$1,EffectName[#Headers],0),2),FALSE))</f>
        <v/>
      </c>
      <c r="O1350" t="str">
        <f t="shared" si="149"/>
        <v/>
      </c>
      <c r="P1350">
        <v>0</v>
      </c>
      <c r="Q1350" t="str">
        <f>IF(VALUE(P1350)=0,"",VLOOKUP(VLOOKUP(P1350,Tbl_Effect[],3,FALSE),EffectName[],IFERROR(MATCH(UI!$B$1,EffectName[#Headers],0),2),FALSE))</f>
        <v/>
      </c>
      <c r="R1350" t="str">
        <f t="shared" si="150"/>
        <v/>
      </c>
      <c r="S1350">
        <v>0</v>
      </c>
      <c r="T1350" t="str">
        <f>IF(VALUE(S1350)=0,"",VLOOKUP(VLOOKUP(S1350,Tbl_Effect[],3,FALSE),EffectName[],IFERROR(MATCH(UI!$B$1,EffectName[#Headers],0),2),FALSE))</f>
        <v/>
      </c>
      <c r="U1350" t="str">
        <f t="shared" si="151"/>
        <v/>
      </c>
      <c r="V1350">
        <v>0</v>
      </c>
      <c r="W1350" t="str">
        <f>IF(V1350&lt;&gt;0,VLOOKUP(VLOOKUP(V1350,Tbl_Effect[],3,FALSE),EffectName[],IFERROR(MATCH(UI!$B$1,EffectName[#Headers],0),2),FALSE),"")</f>
        <v/>
      </c>
      <c r="X1350" t="str">
        <f t="shared" si="152"/>
        <v/>
      </c>
      <c r="Y1350">
        <v>0</v>
      </c>
      <c r="Z1350" t="str">
        <f>IF(Y1350&lt;&gt;0,VLOOKUP(VLOOKUP(Y1350,Tbl_Effect[],3,FALSE),EffectName[],IFERROR(MATCH(UI!$B$1,EffectName[#Headers],0),2),FALSE),"")</f>
        <v/>
      </c>
      <c r="AA1350" t="str">
        <f t="shared" si="153"/>
        <v/>
      </c>
      <c r="AB1350">
        <v>0</v>
      </c>
      <c r="AC1350" t="str">
        <f>IF(AB1350&lt;&gt;0,VLOOKUP(VLOOKUP(AB1350,Tbl_Effect[],3,FALSE),EffectName[],IFERROR(MATCH(UI!$B$1,EffectName[#Headers],0),2),FALSE),"")</f>
        <v/>
      </c>
    </row>
    <row r="1351" spans="8:29" x14ac:dyDescent="0.4">
      <c r="H1351" t="str">
        <f t="shared" si="147"/>
        <v>7342400-Unset (紅)</v>
      </c>
      <c r="I1351">
        <v>7342400</v>
      </c>
      <c r="J1351" t="str">
        <f>_xlfn.IFNA(IF(I1351&lt;&gt;0,VLOOKUP(VLOOKUP(I1351,Tbl_Equip[],2,FALSE),Tbl_Color[],IFERROR(MATCH(UI!$B$1,Tbl_Color[#Headers],0),2),FALSE),""),"Unset")</f>
        <v>紅</v>
      </c>
      <c r="K1351" t="str">
        <f>_xlfn.IFNA(IF(I1351&lt;&gt;0,VLOOKUP(I1351,ItemText[],IFERROR(MATCH(UI!$B$1,ItemText[#Headers],0),2),FALSE),""),"Unset")</f>
        <v>Unset</v>
      </c>
      <c r="L1351" t="str">
        <f t="shared" si="148"/>
        <v/>
      </c>
      <c r="M1351">
        <v>0</v>
      </c>
      <c r="N1351" t="str">
        <f>IF(VALUE(M1351)=0,"",VLOOKUP(VLOOKUP(M1351,Tbl_Effect[],3,FALSE),EffectName[],IFERROR(MATCH(UI!$B$1,EffectName[#Headers],0),2),FALSE))</f>
        <v/>
      </c>
      <c r="O1351" t="str">
        <f t="shared" si="149"/>
        <v/>
      </c>
      <c r="P1351">
        <v>0</v>
      </c>
      <c r="Q1351" t="str">
        <f>IF(VALUE(P1351)=0,"",VLOOKUP(VLOOKUP(P1351,Tbl_Effect[],3,FALSE),EffectName[],IFERROR(MATCH(UI!$B$1,EffectName[#Headers],0),2),FALSE))</f>
        <v/>
      </c>
      <c r="R1351" t="str">
        <f t="shared" si="150"/>
        <v/>
      </c>
      <c r="S1351">
        <v>0</v>
      </c>
      <c r="T1351" t="str">
        <f>IF(VALUE(S1351)=0,"",VLOOKUP(VLOOKUP(S1351,Tbl_Effect[],3,FALSE),EffectName[],IFERROR(MATCH(UI!$B$1,EffectName[#Headers],0),2),FALSE))</f>
        <v/>
      </c>
      <c r="U1351" t="str">
        <f t="shared" si="151"/>
        <v/>
      </c>
      <c r="V1351">
        <v>0</v>
      </c>
      <c r="W1351" t="str">
        <f>IF(V1351&lt;&gt;0,VLOOKUP(VLOOKUP(V1351,Tbl_Effect[],3,FALSE),EffectName[],IFERROR(MATCH(UI!$B$1,EffectName[#Headers],0),2),FALSE),"")</f>
        <v/>
      </c>
      <c r="X1351" t="str">
        <f t="shared" si="152"/>
        <v/>
      </c>
      <c r="Y1351">
        <v>0</v>
      </c>
      <c r="Z1351" t="str">
        <f>IF(Y1351&lt;&gt;0,VLOOKUP(VLOOKUP(Y1351,Tbl_Effect[],3,FALSE),EffectName[],IFERROR(MATCH(UI!$B$1,EffectName[#Headers],0),2),FALSE),"")</f>
        <v/>
      </c>
      <c r="AA1351" t="str">
        <f t="shared" si="153"/>
        <v/>
      </c>
      <c r="AB1351">
        <v>0</v>
      </c>
      <c r="AC1351" t="str">
        <f>IF(AB1351&lt;&gt;0,VLOOKUP(VLOOKUP(AB1351,Tbl_Effect[],3,FALSE),EffectName[],IFERROR(MATCH(UI!$B$1,EffectName[#Headers],0),2),FALSE),"")</f>
        <v/>
      </c>
    </row>
    <row r="1352" spans="8:29" x14ac:dyDescent="0.4">
      <c r="H1352" t="str">
        <f t="shared" si="147"/>
        <v>7350000-Unset (紅)</v>
      </c>
      <c r="I1352">
        <v>7350000</v>
      </c>
      <c r="J1352" t="str">
        <f>_xlfn.IFNA(IF(I1352&lt;&gt;0,VLOOKUP(VLOOKUP(I1352,Tbl_Equip[],2,FALSE),Tbl_Color[],IFERROR(MATCH(UI!$B$1,Tbl_Color[#Headers],0),2),FALSE),""),"Unset")</f>
        <v>紅</v>
      </c>
      <c r="K1352" t="str">
        <f>_xlfn.IFNA(IF(I1352&lt;&gt;0,VLOOKUP(I1352,ItemText[],IFERROR(MATCH(UI!$B$1,ItemText[#Headers],0),2),FALSE),""),"Unset")</f>
        <v>Unset</v>
      </c>
      <c r="L1352" t="str">
        <f t="shared" si="148"/>
        <v/>
      </c>
      <c r="M1352">
        <v>0</v>
      </c>
      <c r="N1352" t="str">
        <f>IF(VALUE(M1352)=0,"",VLOOKUP(VLOOKUP(M1352,Tbl_Effect[],3,FALSE),EffectName[],IFERROR(MATCH(UI!$B$1,EffectName[#Headers],0),2),FALSE))</f>
        <v/>
      </c>
      <c r="O1352" t="str">
        <f t="shared" si="149"/>
        <v/>
      </c>
      <c r="P1352">
        <v>0</v>
      </c>
      <c r="Q1352" t="str">
        <f>IF(VALUE(P1352)=0,"",VLOOKUP(VLOOKUP(P1352,Tbl_Effect[],3,FALSE),EffectName[],IFERROR(MATCH(UI!$B$1,EffectName[#Headers],0),2),FALSE))</f>
        <v/>
      </c>
      <c r="R1352" t="str">
        <f t="shared" si="150"/>
        <v/>
      </c>
      <c r="S1352">
        <v>0</v>
      </c>
      <c r="T1352" t="str">
        <f>IF(VALUE(S1352)=0,"",VLOOKUP(VLOOKUP(S1352,Tbl_Effect[],3,FALSE),EffectName[],IFERROR(MATCH(UI!$B$1,EffectName[#Headers],0),2),FALSE))</f>
        <v/>
      </c>
      <c r="U1352" t="str">
        <f t="shared" si="151"/>
        <v/>
      </c>
      <c r="V1352">
        <v>0</v>
      </c>
      <c r="W1352" t="str">
        <f>IF(V1352&lt;&gt;0,VLOOKUP(VLOOKUP(V1352,Tbl_Effect[],3,FALSE),EffectName[],IFERROR(MATCH(UI!$B$1,EffectName[#Headers],0),2),FALSE),"")</f>
        <v/>
      </c>
      <c r="X1352" t="str">
        <f t="shared" si="152"/>
        <v/>
      </c>
      <c r="Y1352">
        <v>0</v>
      </c>
      <c r="Z1352" t="str">
        <f>IF(Y1352&lt;&gt;0,VLOOKUP(VLOOKUP(Y1352,Tbl_Effect[],3,FALSE),EffectName[],IFERROR(MATCH(UI!$B$1,EffectName[#Headers],0),2),FALSE),"")</f>
        <v/>
      </c>
      <c r="AA1352" t="str">
        <f t="shared" si="153"/>
        <v/>
      </c>
      <c r="AB1352">
        <v>0</v>
      </c>
      <c r="AC1352" t="str">
        <f>IF(AB1352&lt;&gt;0,VLOOKUP(VLOOKUP(AB1352,Tbl_Effect[],3,FALSE),EffectName[],IFERROR(MATCH(UI!$B$1,EffectName[#Headers],0),2),FALSE),"")</f>
        <v/>
      </c>
    </row>
    <row r="1353" spans="8:29" x14ac:dyDescent="0.4">
      <c r="H1353" t="str">
        <f t="shared" si="147"/>
        <v>7350100-Unset (紅)</v>
      </c>
      <c r="I1353">
        <v>7350100</v>
      </c>
      <c r="J1353" t="str">
        <f>_xlfn.IFNA(IF(I1353&lt;&gt;0,VLOOKUP(VLOOKUP(I1353,Tbl_Equip[],2,FALSE),Tbl_Color[],IFERROR(MATCH(UI!$B$1,Tbl_Color[#Headers],0),2),FALSE),""),"Unset")</f>
        <v>紅</v>
      </c>
      <c r="K1353" t="str">
        <f>_xlfn.IFNA(IF(I1353&lt;&gt;0,VLOOKUP(I1353,ItemText[],IFERROR(MATCH(UI!$B$1,ItemText[#Headers],0),2),FALSE),""),"Unset")</f>
        <v>Unset</v>
      </c>
      <c r="L1353" t="str">
        <f t="shared" si="148"/>
        <v/>
      </c>
      <c r="M1353">
        <v>0</v>
      </c>
      <c r="N1353" t="str">
        <f>IF(VALUE(M1353)=0,"",VLOOKUP(VLOOKUP(M1353,Tbl_Effect[],3,FALSE),EffectName[],IFERROR(MATCH(UI!$B$1,EffectName[#Headers],0),2),FALSE))</f>
        <v/>
      </c>
      <c r="O1353" t="str">
        <f t="shared" si="149"/>
        <v/>
      </c>
      <c r="P1353">
        <v>0</v>
      </c>
      <c r="Q1353" t="str">
        <f>IF(VALUE(P1353)=0,"",VLOOKUP(VLOOKUP(P1353,Tbl_Effect[],3,FALSE),EffectName[],IFERROR(MATCH(UI!$B$1,EffectName[#Headers],0),2),FALSE))</f>
        <v/>
      </c>
      <c r="R1353" t="str">
        <f t="shared" si="150"/>
        <v/>
      </c>
      <c r="S1353">
        <v>0</v>
      </c>
      <c r="T1353" t="str">
        <f>IF(VALUE(S1353)=0,"",VLOOKUP(VLOOKUP(S1353,Tbl_Effect[],3,FALSE),EffectName[],IFERROR(MATCH(UI!$B$1,EffectName[#Headers],0),2),FALSE))</f>
        <v/>
      </c>
      <c r="U1353" t="str">
        <f t="shared" si="151"/>
        <v/>
      </c>
      <c r="V1353">
        <v>0</v>
      </c>
      <c r="W1353" t="str">
        <f>IF(V1353&lt;&gt;0,VLOOKUP(VLOOKUP(V1353,Tbl_Effect[],3,FALSE),EffectName[],IFERROR(MATCH(UI!$B$1,EffectName[#Headers],0),2),FALSE),"")</f>
        <v/>
      </c>
      <c r="X1353" t="str">
        <f t="shared" si="152"/>
        <v/>
      </c>
      <c r="Y1353">
        <v>0</v>
      </c>
      <c r="Z1353" t="str">
        <f>IF(Y1353&lt;&gt;0,VLOOKUP(VLOOKUP(Y1353,Tbl_Effect[],3,FALSE),EffectName[],IFERROR(MATCH(UI!$B$1,EffectName[#Headers],0),2),FALSE),"")</f>
        <v/>
      </c>
      <c r="AA1353" t="str">
        <f t="shared" si="153"/>
        <v/>
      </c>
      <c r="AB1353">
        <v>0</v>
      </c>
      <c r="AC1353" t="str">
        <f>IF(AB1353&lt;&gt;0,VLOOKUP(VLOOKUP(AB1353,Tbl_Effect[],3,FALSE),EffectName[],IFERROR(MATCH(UI!$B$1,EffectName[#Headers],0),2),FALSE),"")</f>
        <v/>
      </c>
    </row>
    <row r="1354" spans="8:29" x14ac:dyDescent="0.4">
      <c r="H1354" t="str">
        <f t="shared" si="147"/>
        <v>7350200-Unset (紅)</v>
      </c>
      <c r="I1354">
        <v>7350200</v>
      </c>
      <c r="J1354" t="str">
        <f>_xlfn.IFNA(IF(I1354&lt;&gt;0,VLOOKUP(VLOOKUP(I1354,Tbl_Equip[],2,FALSE),Tbl_Color[],IFERROR(MATCH(UI!$B$1,Tbl_Color[#Headers],0),2),FALSE),""),"Unset")</f>
        <v>紅</v>
      </c>
      <c r="K1354" t="str">
        <f>_xlfn.IFNA(IF(I1354&lt;&gt;0,VLOOKUP(I1354,ItemText[],IFERROR(MATCH(UI!$B$1,ItemText[#Headers],0),2),FALSE),""),"Unset")</f>
        <v>Unset</v>
      </c>
      <c r="L1354" t="str">
        <f t="shared" si="148"/>
        <v/>
      </c>
      <c r="M1354">
        <v>0</v>
      </c>
      <c r="N1354" t="str">
        <f>IF(VALUE(M1354)=0,"",VLOOKUP(VLOOKUP(M1354,Tbl_Effect[],3,FALSE),EffectName[],IFERROR(MATCH(UI!$B$1,EffectName[#Headers],0),2),FALSE))</f>
        <v/>
      </c>
      <c r="O1354" t="str">
        <f t="shared" si="149"/>
        <v/>
      </c>
      <c r="P1354">
        <v>0</v>
      </c>
      <c r="Q1354" t="str">
        <f>IF(VALUE(P1354)=0,"",VLOOKUP(VLOOKUP(P1354,Tbl_Effect[],3,FALSE),EffectName[],IFERROR(MATCH(UI!$B$1,EffectName[#Headers],0),2),FALSE))</f>
        <v/>
      </c>
      <c r="R1354" t="str">
        <f t="shared" si="150"/>
        <v/>
      </c>
      <c r="S1354">
        <v>0</v>
      </c>
      <c r="T1354" t="str">
        <f>IF(VALUE(S1354)=0,"",VLOOKUP(VLOOKUP(S1354,Tbl_Effect[],3,FALSE),EffectName[],IFERROR(MATCH(UI!$B$1,EffectName[#Headers],0),2),FALSE))</f>
        <v/>
      </c>
      <c r="U1354" t="str">
        <f t="shared" si="151"/>
        <v/>
      </c>
      <c r="V1354">
        <v>0</v>
      </c>
      <c r="W1354" t="str">
        <f>IF(V1354&lt;&gt;0,VLOOKUP(VLOOKUP(V1354,Tbl_Effect[],3,FALSE),EffectName[],IFERROR(MATCH(UI!$B$1,EffectName[#Headers],0),2),FALSE),"")</f>
        <v/>
      </c>
      <c r="X1354" t="str">
        <f t="shared" si="152"/>
        <v/>
      </c>
      <c r="Y1354">
        <v>0</v>
      </c>
      <c r="Z1354" t="str">
        <f>IF(Y1354&lt;&gt;0,VLOOKUP(VLOOKUP(Y1354,Tbl_Effect[],3,FALSE),EffectName[],IFERROR(MATCH(UI!$B$1,EffectName[#Headers],0),2),FALSE),"")</f>
        <v/>
      </c>
      <c r="AA1354" t="str">
        <f t="shared" si="153"/>
        <v/>
      </c>
      <c r="AB1354">
        <v>0</v>
      </c>
      <c r="AC1354" t="str">
        <f>IF(AB1354&lt;&gt;0,VLOOKUP(VLOOKUP(AB1354,Tbl_Effect[],3,FALSE),EffectName[],IFERROR(MATCH(UI!$B$1,EffectName[#Headers],0),2),FALSE),"")</f>
        <v/>
      </c>
    </row>
    <row r="1355" spans="8:29" x14ac:dyDescent="0.4">
      <c r="H1355" t="str">
        <f t="shared" si="147"/>
        <v>7350300-Unset (紅)</v>
      </c>
      <c r="I1355">
        <v>7350300</v>
      </c>
      <c r="J1355" t="str">
        <f>_xlfn.IFNA(IF(I1355&lt;&gt;0,VLOOKUP(VLOOKUP(I1355,Tbl_Equip[],2,FALSE),Tbl_Color[],IFERROR(MATCH(UI!$B$1,Tbl_Color[#Headers],0),2),FALSE),""),"Unset")</f>
        <v>紅</v>
      </c>
      <c r="K1355" t="str">
        <f>_xlfn.IFNA(IF(I1355&lt;&gt;0,VLOOKUP(I1355,ItemText[],IFERROR(MATCH(UI!$B$1,ItemText[#Headers],0),2),FALSE),""),"Unset")</f>
        <v>Unset</v>
      </c>
      <c r="L1355" t="str">
        <f t="shared" si="148"/>
        <v/>
      </c>
      <c r="M1355">
        <v>0</v>
      </c>
      <c r="N1355" t="str">
        <f>IF(VALUE(M1355)=0,"",VLOOKUP(VLOOKUP(M1355,Tbl_Effect[],3,FALSE),EffectName[],IFERROR(MATCH(UI!$B$1,EffectName[#Headers],0),2),FALSE))</f>
        <v/>
      </c>
      <c r="O1355" t="str">
        <f t="shared" si="149"/>
        <v/>
      </c>
      <c r="P1355">
        <v>0</v>
      </c>
      <c r="Q1355" t="str">
        <f>IF(VALUE(P1355)=0,"",VLOOKUP(VLOOKUP(P1355,Tbl_Effect[],3,FALSE),EffectName[],IFERROR(MATCH(UI!$B$1,EffectName[#Headers],0),2),FALSE))</f>
        <v/>
      </c>
      <c r="R1355" t="str">
        <f t="shared" si="150"/>
        <v/>
      </c>
      <c r="S1355">
        <v>0</v>
      </c>
      <c r="T1355" t="str">
        <f>IF(VALUE(S1355)=0,"",VLOOKUP(VLOOKUP(S1355,Tbl_Effect[],3,FALSE),EffectName[],IFERROR(MATCH(UI!$B$1,EffectName[#Headers],0),2),FALSE))</f>
        <v/>
      </c>
      <c r="U1355" t="str">
        <f t="shared" si="151"/>
        <v/>
      </c>
      <c r="V1355">
        <v>0</v>
      </c>
      <c r="W1355" t="str">
        <f>IF(V1355&lt;&gt;0,VLOOKUP(VLOOKUP(V1355,Tbl_Effect[],3,FALSE),EffectName[],IFERROR(MATCH(UI!$B$1,EffectName[#Headers],0),2),FALSE),"")</f>
        <v/>
      </c>
      <c r="X1355" t="str">
        <f t="shared" si="152"/>
        <v/>
      </c>
      <c r="Y1355">
        <v>0</v>
      </c>
      <c r="Z1355" t="str">
        <f>IF(Y1355&lt;&gt;0,VLOOKUP(VLOOKUP(Y1355,Tbl_Effect[],3,FALSE),EffectName[],IFERROR(MATCH(UI!$B$1,EffectName[#Headers],0),2),FALSE),"")</f>
        <v/>
      </c>
      <c r="AA1355" t="str">
        <f t="shared" si="153"/>
        <v/>
      </c>
      <c r="AB1355">
        <v>0</v>
      </c>
      <c r="AC1355" t="str">
        <f>IF(AB1355&lt;&gt;0,VLOOKUP(VLOOKUP(AB1355,Tbl_Effect[],3,FALSE),EffectName[],IFERROR(MATCH(UI!$B$1,EffectName[#Headers],0),2),FALSE),"")</f>
        <v/>
      </c>
    </row>
    <row r="1356" spans="8:29" x14ac:dyDescent="0.4">
      <c r="H1356" t="str">
        <f t="shared" si="147"/>
        <v>7350400-Unset (紅)</v>
      </c>
      <c r="I1356">
        <v>7350400</v>
      </c>
      <c r="J1356" t="str">
        <f>_xlfn.IFNA(IF(I1356&lt;&gt;0,VLOOKUP(VLOOKUP(I1356,Tbl_Equip[],2,FALSE),Tbl_Color[],IFERROR(MATCH(UI!$B$1,Tbl_Color[#Headers],0),2),FALSE),""),"Unset")</f>
        <v>紅</v>
      </c>
      <c r="K1356" t="str">
        <f>_xlfn.IFNA(IF(I1356&lt;&gt;0,VLOOKUP(I1356,ItemText[],IFERROR(MATCH(UI!$B$1,ItemText[#Headers],0),2),FALSE),""),"Unset")</f>
        <v>Unset</v>
      </c>
      <c r="L1356" t="str">
        <f t="shared" si="148"/>
        <v/>
      </c>
      <c r="M1356">
        <v>0</v>
      </c>
      <c r="N1356" t="str">
        <f>IF(VALUE(M1356)=0,"",VLOOKUP(VLOOKUP(M1356,Tbl_Effect[],3,FALSE),EffectName[],IFERROR(MATCH(UI!$B$1,EffectName[#Headers],0),2),FALSE))</f>
        <v/>
      </c>
      <c r="O1356" t="str">
        <f t="shared" si="149"/>
        <v/>
      </c>
      <c r="P1356">
        <v>0</v>
      </c>
      <c r="Q1356" t="str">
        <f>IF(VALUE(P1356)=0,"",VLOOKUP(VLOOKUP(P1356,Tbl_Effect[],3,FALSE),EffectName[],IFERROR(MATCH(UI!$B$1,EffectName[#Headers],0),2),FALSE))</f>
        <v/>
      </c>
      <c r="R1356" t="str">
        <f t="shared" si="150"/>
        <v/>
      </c>
      <c r="S1356">
        <v>0</v>
      </c>
      <c r="T1356" t="str">
        <f>IF(VALUE(S1356)=0,"",VLOOKUP(VLOOKUP(S1356,Tbl_Effect[],3,FALSE),EffectName[],IFERROR(MATCH(UI!$B$1,EffectName[#Headers],0),2),FALSE))</f>
        <v/>
      </c>
      <c r="U1356" t="str">
        <f t="shared" si="151"/>
        <v/>
      </c>
      <c r="V1356">
        <v>0</v>
      </c>
      <c r="W1356" t="str">
        <f>IF(V1356&lt;&gt;0,VLOOKUP(VLOOKUP(V1356,Tbl_Effect[],3,FALSE),EffectName[],IFERROR(MATCH(UI!$B$1,EffectName[#Headers],0),2),FALSE),"")</f>
        <v/>
      </c>
      <c r="X1356" t="str">
        <f t="shared" si="152"/>
        <v/>
      </c>
      <c r="Y1356">
        <v>0</v>
      </c>
      <c r="Z1356" t="str">
        <f>IF(Y1356&lt;&gt;0,VLOOKUP(VLOOKUP(Y1356,Tbl_Effect[],3,FALSE),EffectName[],IFERROR(MATCH(UI!$B$1,EffectName[#Headers],0),2),FALSE),"")</f>
        <v/>
      </c>
      <c r="AA1356" t="str">
        <f t="shared" si="153"/>
        <v/>
      </c>
      <c r="AB1356">
        <v>0</v>
      </c>
      <c r="AC1356" t="str">
        <f>IF(AB1356&lt;&gt;0,VLOOKUP(VLOOKUP(AB1356,Tbl_Effect[],3,FALSE),EffectName[],IFERROR(MATCH(UI!$B$1,EffectName[#Headers],0),2),FALSE),"")</f>
        <v/>
      </c>
    </row>
    <row r="1357" spans="8:29" x14ac:dyDescent="0.4">
      <c r="H1357" t="str">
        <f t="shared" si="147"/>
        <v>7350500-Unset (紅)</v>
      </c>
      <c r="I1357">
        <v>7350500</v>
      </c>
      <c r="J1357" t="str">
        <f>_xlfn.IFNA(IF(I1357&lt;&gt;0,VLOOKUP(VLOOKUP(I1357,Tbl_Equip[],2,FALSE),Tbl_Color[],IFERROR(MATCH(UI!$B$1,Tbl_Color[#Headers],0),2),FALSE),""),"Unset")</f>
        <v>紅</v>
      </c>
      <c r="K1357" t="str">
        <f>_xlfn.IFNA(IF(I1357&lt;&gt;0,VLOOKUP(I1357,ItemText[],IFERROR(MATCH(UI!$B$1,ItemText[#Headers],0),2),FALSE),""),"Unset")</f>
        <v>Unset</v>
      </c>
      <c r="L1357" t="str">
        <f t="shared" si="148"/>
        <v/>
      </c>
      <c r="M1357">
        <v>0</v>
      </c>
      <c r="N1357" t="str">
        <f>IF(VALUE(M1357)=0,"",VLOOKUP(VLOOKUP(M1357,Tbl_Effect[],3,FALSE),EffectName[],IFERROR(MATCH(UI!$B$1,EffectName[#Headers],0),2),FALSE))</f>
        <v/>
      </c>
      <c r="O1357" t="str">
        <f t="shared" si="149"/>
        <v/>
      </c>
      <c r="P1357">
        <v>0</v>
      </c>
      <c r="Q1357" t="str">
        <f>IF(VALUE(P1357)=0,"",VLOOKUP(VLOOKUP(P1357,Tbl_Effect[],3,FALSE),EffectName[],IFERROR(MATCH(UI!$B$1,EffectName[#Headers],0),2),FALSE))</f>
        <v/>
      </c>
      <c r="R1357" t="str">
        <f t="shared" si="150"/>
        <v/>
      </c>
      <c r="S1357">
        <v>0</v>
      </c>
      <c r="T1357" t="str">
        <f>IF(VALUE(S1357)=0,"",VLOOKUP(VLOOKUP(S1357,Tbl_Effect[],3,FALSE),EffectName[],IFERROR(MATCH(UI!$B$1,EffectName[#Headers],0),2),FALSE))</f>
        <v/>
      </c>
      <c r="U1357" t="str">
        <f t="shared" si="151"/>
        <v/>
      </c>
      <c r="V1357">
        <v>0</v>
      </c>
      <c r="W1357" t="str">
        <f>IF(V1357&lt;&gt;0,VLOOKUP(VLOOKUP(V1357,Tbl_Effect[],3,FALSE),EffectName[],IFERROR(MATCH(UI!$B$1,EffectName[#Headers],0),2),FALSE),"")</f>
        <v/>
      </c>
      <c r="X1357" t="str">
        <f t="shared" si="152"/>
        <v/>
      </c>
      <c r="Y1357">
        <v>0</v>
      </c>
      <c r="Z1357" t="str">
        <f>IF(Y1357&lt;&gt;0,VLOOKUP(VLOOKUP(Y1357,Tbl_Effect[],3,FALSE),EffectName[],IFERROR(MATCH(UI!$B$1,EffectName[#Headers],0),2),FALSE),"")</f>
        <v/>
      </c>
      <c r="AA1357" t="str">
        <f t="shared" si="153"/>
        <v/>
      </c>
      <c r="AB1357">
        <v>0</v>
      </c>
      <c r="AC1357" t="str">
        <f>IF(AB1357&lt;&gt;0,VLOOKUP(VLOOKUP(AB1357,Tbl_Effect[],3,FALSE),EffectName[],IFERROR(MATCH(UI!$B$1,EffectName[#Headers],0),2),FALSE),"")</f>
        <v/>
      </c>
    </row>
    <row r="1358" spans="8:29" x14ac:dyDescent="0.4">
      <c r="H1358" t="str">
        <f t="shared" si="147"/>
        <v>7350600-Unset (紅)</v>
      </c>
      <c r="I1358">
        <v>7350600</v>
      </c>
      <c r="J1358" t="str">
        <f>_xlfn.IFNA(IF(I1358&lt;&gt;0,VLOOKUP(VLOOKUP(I1358,Tbl_Equip[],2,FALSE),Tbl_Color[],IFERROR(MATCH(UI!$B$1,Tbl_Color[#Headers],0),2),FALSE),""),"Unset")</f>
        <v>紅</v>
      </c>
      <c r="K1358" t="str">
        <f>_xlfn.IFNA(IF(I1358&lt;&gt;0,VLOOKUP(I1358,ItemText[],IFERROR(MATCH(UI!$B$1,ItemText[#Headers],0),2),FALSE),""),"Unset")</f>
        <v>Unset</v>
      </c>
      <c r="L1358" t="str">
        <f t="shared" si="148"/>
        <v/>
      </c>
      <c r="M1358">
        <v>0</v>
      </c>
      <c r="N1358" t="str">
        <f>IF(VALUE(M1358)=0,"",VLOOKUP(VLOOKUP(M1358,Tbl_Effect[],3,FALSE),EffectName[],IFERROR(MATCH(UI!$B$1,EffectName[#Headers],0),2),FALSE))</f>
        <v/>
      </c>
      <c r="O1358" t="str">
        <f t="shared" si="149"/>
        <v/>
      </c>
      <c r="P1358">
        <v>0</v>
      </c>
      <c r="Q1358" t="str">
        <f>IF(VALUE(P1358)=0,"",VLOOKUP(VLOOKUP(P1358,Tbl_Effect[],3,FALSE),EffectName[],IFERROR(MATCH(UI!$B$1,EffectName[#Headers],0),2),FALSE))</f>
        <v/>
      </c>
      <c r="R1358" t="str">
        <f t="shared" si="150"/>
        <v/>
      </c>
      <c r="S1358">
        <v>0</v>
      </c>
      <c r="T1358" t="str">
        <f>IF(VALUE(S1358)=0,"",VLOOKUP(VLOOKUP(S1358,Tbl_Effect[],3,FALSE),EffectName[],IFERROR(MATCH(UI!$B$1,EffectName[#Headers],0),2),FALSE))</f>
        <v/>
      </c>
      <c r="U1358" t="str">
        <f t="shared" si="151"/>
        <v/>
      </c>
      <c r="V1358">
        <v>0</v>
      </c>
      <c r="W1358" t="str">
        <f>IF(V1358&lt;&gt;0,VLOOKUP(VLOOKUP(V1358,Tbl_Effect[],3,FALSE),EffectName[],IFERROR(MATCH(UI!$B$1,EffectName[#Headers],0),2),FALSE),"")</f>
        <v/>
      </c>
      <c r="X1358" t="str">
        <f t="shared" si="152"/>
        <v/>
      </c>
      <c r="Y1358">
        <v>0</v>
      </c>
      <c r="Z1358" t="str">
        <f>IF(Y1358&lt;&gt;0,VLOOKUP(VLOOKUP(Y1358,Tbl_Effect[],3,FALSE),EffectName[],IFERROR(MATCH(UI!$B$1,EffectName[#Headers],0),2),FALSE),"")</f>
        <v/>
      </c>
      <c r="AA1358" t="str">
        <f t="shared" si="153"/>
        <v/>
      </c>
      <c r="AB1358">
        <v>0</v>
      </c>
      <c r="AC1358" t="str">
        <f>IF(AB1358&lt;&gt;0,VLOOKUP(VLOOKUP(AB1358,Tbl_Effect[],3,FALSE),EffectName[],IFERROR(MATCH(UI!$B$1,EffectName[#Headers],0),2),FALSE),"")</f>
        <v/>
      </c>
    </row>
    <row r="1359" spans="8:29" x14ac:dyDescent="0.4">
      <c r="H1359" t="str">
        <f t="shared" si="147"/>
        <v>7350700-Unset (紅)</v>
      </c>
      <c r="I1359">
        <v>7350700</v>
      </c>
      <c r="J1359" t="str">
        <f>_xlfn.IFNA(IF(I1359&lt;&gt;0,VLOOKUP(VLOOKUP(I1359,Tbl_Equip[],2,FALSE),Tbl_Color[],IFERROR(MATCH(UI!$B$1,Tbl_Color[#Headers],0),2),FALSE),""),"Unset")</f>
        <v>紅</v>
      </c>
      <c r="K1359" t="str">
        <f>_xlfn.IFNA(IF(I1359&lt;&gt;0,VLOOKUP(I1359,ItemText[],IFERROR(MATCH(UI!$B$1,ItemText[#Headers],0),2),FALSE),""),"Unset")</f>
        <v>Unset</v>
      </c>
      <c r="L1359" t="str">
        <f t="shared" si="148"/>
        <v/>
      </c>
      <c r="M1359">
        <v>0</v>
      </c>
      <c r="N1359" t="str">
        <f>IF(VALUE(M1359)=0,"",VLOOKUP(VLOOKUP(M1359,Tbl_Effect[],3,FALSE),EffectName[],IFERROR(MATCH(UI!$B$1,EffectName[#Headers],0),2),FALSE))</f>
        <v/>
      </c>
      <c r="O1359" t="str">
        <f t="shared" si="149"/>
        <v/>
      </c>
      <c r="P1359">
        <v>0</v>
      </c>
      <c r="Q1359" t="str">
        <f>IF(VALUE(P1359)=0,"",VLOOKUP(VLOOKUP(P1359,Tbl_Effect[],3,FALSE),EffectName[],IFERROR(MATCH(UI!$B$1,EffectName[#Headers],0),2),FALSE))</f>
        <v/>
      </c>
      <c r="R1359" t="str">
        <f t="shared" si="150"/>
        <v/>
      </c>
      <c r="S1359">
        <v>0</v>
      </c>
      <c r="T1359" t="str">
        <f>IF(VALUE(S1359)=0,"",VLOOKUP(VLOOKUP(S1359,Tbl_Effect[],3,FALSE),EffectName[],IFERROR(MATCH(UI!$B$1,EffectName[#Headers],0),2),FALSE))</f>
        <v/>
      </c>
      <c r="U1359" t="str">
        <f t="shared" si="151"/>
        <v/>
      </c>
      <c r="V1359">
        <v>0</v>
      </c>
      <c r="W1359" t="str">
        <f>IF(V1359&lt;&gt;0,VLOOKUP(VLOOKUP(V1359,Tbl_Effect[],3,FALSE),EffectName[],IFERROR(MATCH(UI!$B$1,EffectName[#Headers],0),2),FALSE),"")</f>
        <v/>
      </c>
      <c r="X1359" t="str">
        <f t="shared" si="152"/>
        <v/>
      </c>
      <c r="Y1359">
        <v>0</v>
      </c>
      <c r="Z1359" t="str">
        <f>IF(Y1359&lt;&gt;0,VLOOKUP(VLOOKUP(Y1359,Tbl_Effect[],3,FALSE),EffectName[],IFERROR(MATCH(UI!$B$1,EffectName[#Headers],0),2),FALSE),"")</f>
        <v/>
      </c>
      <c r="AA1359" t="str">
        <f t="shared" si="153"/>
        <v/>
      </c>
      <c r="AB1359">
        <v>0</v>
      </c>
      <c r="AC1359" t="str">
        <f>IF(AB1359&lt;&gt;0,VLOOKUP(VLOOKUP(AB1359,Tbl_Effect[],3,FALSE),EffectName[],IFERROR(MATCH(UI!$B$1,EffectName[#Headers],0),2),FALSE),"")</f>
        <v/>
      </c>
    </row>
    <row r="1360" spans="8:29" x14ac:dyDescent="0.4">
      <c r="H1360" t="str">
        <f t="shared" si="147"/>
        <v>7350800-Unset (紅)</v>
      </c>
      <c r="I1360">
        <v>7350800</v>
      </c>
      <c r="J1360" t="str">
        <f>_xlfn.IFNA(IF(I1360&lt;&gt;0,VLOOKUP(VLOOKUP(I1360,Tbl_Equip[],2,FALSE),Tbl_Color[],IFERROR(MATCH(UI!$B$1,Tbl_Color[#Headers],0),2),FALSE),""),"Unset")</f>
        <v>紅</v>
      </c>
      <c r="K1360" t="str">
        <f>_xlfn.IFNA(IF(I1360&lt;&gt;0,VLOOKUP(I1360,ItemText[],IFERROR(MATCH(UI!$B$1,ItemText[#Headers],0),2),FALSE),""),"Unset")</f>
        <v>Unset</v>
      </c>
      <c r="L1360" t="str">
        <f t="shared" si="148"/>
        <v/>
      </c>
      <c r="M1360">
        <v>0</v>
      </c>
      <c r="N1360" t="str">
        <f>IF(VALUE(M1360)=0,"",VLOOKUP(VLOOKUP(M1360,Tbl_Effect[],3,FALSE),EffectName[],IFERROR(MATCH(UI!$B$1,EffectName[#Headers],0),2),FALSE))</f>
        <v/>
      </c>
      <c r="O1360" t="str">
        <f t="shared" si="149"/>
        <v/>
      </c>
      <c r="P1360">
        <v>0</v>
      </c>
      <c r="Q1360" t="str">
        <f>IF(VALUE(P1360)=0,"",VLOOKUP(VLOOKUP(P1360,Tbl_Effect[],3,FALSE),EffectName[],IFERROR(MATCH(UI!$B$1,EffectName[#Headers],0),2),FALSE))</f>
        <v/>
      </c>
      <c r="R1360" t="str">
        <f t="shared" si="150"/>
        <v/>
      </c>
      <c r="S1360">
        <v>0</v>
      </c>
      <c r="T1360" t="str">
        <f>IF(VALUE(S1360)=0,"",VLOOKUP(VLOOKUP(S1360,Tbl_Effect[],3,FALSE),EffectName[],IFERROR(MATCH(UI!$B$1,EffectName[#Headers],0),2),FALSE))</f>
        <v/>
      </c>
      <c r="U1360" t="str">
        <f t="shared" si="151"/>
        <v/>
      </c>
      <c r="V1360">
        <v>0</v>
      </c>
      <c r="W1360" t="str">
        <f>IF(V1360&lt;&gt;0,VLOOKUP(VLOOKUP(V1360,Tbl_Effect[],3,FALSE),EffectName[],IFERROR(MATCH(UI!$B$1,EffectName[#Headers],0),2),FALSE),"")</f>
        <v/>
      </c>
      <c r="X1360" t="str">
        <f t="shared" si="152"/>
        <v/>
      </c>
      <c r="Y1360">
        <v>0</v>
      </c>
      <c r="Z1360" t="str">
        <f>IF(Y1360&lt;&gt;0,VLOOKUP(VLOOKUP(Y1360,Tbl_Effect[],3,FALSE),EffectName[],IFERROR(MATCH(UI!$B$1,EffectName[#Headers],0),2),FALSE),"")</f>
        <v/>
      </c>
      <c r="AA1360" t="str">
        <f t="shared" si="153"/>
        <v/>
      </c>
      <c r="AB1360">
        <v>0</v>
      </c>
      <c r="AC1360" t="str">
        <f>IF(AB1360&lt;&gt;0,VLOOKUP(VLOOKUP(AB1360,Tbl_Effect[],3,FALSE),EffectName[],IFERROR(MATCH(UI!$B$1,EffectName[#Headers],0),2),FALSE),"")</f>
        <v/>
      </c>
    </row>
    <row r="1361" spans="8:29" x14ac:dyDescent="0.4">
      <c r="H1361" t="str">
        <f t="shared" si="147"/>
        <v>7350900-Unset (紅)</v>
      </c>
      <c r="I1361">
        <v>7350900</v>
      </c>
      <c r="J1361" t="str">
        <f>_xlfn.IFNA(IF(I1361&lt;&gt;0,VLOOKUP(VLOOKUP(I1361,Tbl_Equip[],2,FALSE),Tbl_Color[],IFERROR(MATCH(UI!$B$1,Tbl_Color[#Headers],0),2),FALSE),""),"Unset")</f>
        <v>紅</v>
      </c>
      <c r="K1361" t="str">
        <f>_xlfn.IFNA(IF(I1361&lt;&gt;0,VLOOKUP(I1361,ItemText[],IFERROR(MATCH(UI!$B$1,ItemText[#Headers],0),2),FALSE),""),"Unset")</f>
        <v>Unset</v>
      </c>
      <c r="L1361" t="str">
        <f t="shared" si="148"/>
        <v/>
      </c>
      <c r="M1361">
        <v>0</v>
      </c>
      <c r="N1361" t="str">
        <f>IF(VALUE(M1361)=0,"",VLOOKUP(VLOOKUP(M1361,Tbl_Effect[],3,FALSE),EffectName[],IFERROR(MATCH(UI!$B$1,EffectName[#Headers],0),2),FALSE))</f>
        <v/>
      </c>
      <c r="O1361" t="str">
        <f t="shared" si="149"/>
        <v/>
      </c>
      <c r="P1361">
        <v>0</v>
      </c>
      <c r="Q1361" t="str">
        <f>IF(VALUE(P1361)=0,"",VLOOKUP(VLOOKUP(P1361,Tbl_Effect[],3,FALSE),EffectName[],IFERROR(MATCH(UI!$B$1,EffectName[#Headers],0),2),FALSE))</f>
        <v/>
      </c>
      <c r="R1361" t="str">
        <f t="shared" si="150"/>
        <v/>
      </c>
      <c r="S1361">
        <v>0</v>
      </c>
      <c r="T1361" t="str">
        <f>IF(VALUE(S1361)=0,"",VLOOKUP(VLOOKUP(S1361,Tbl_Effect[],3,FALSE),EffectName[],IFERROR(MATCH(UI!$B$1,EffectName[#Headers],0),2),FALSE))</f>
        <v/>
      </c>
      <c r="U1361" t="str">
        <f t="shared" si="151"/>
        <v/>
      </c>
      <c r="V1361">
        <v>0</v>
      </c>
      <c r="W1361" t="str">
        <f>IF(V1361&lt;&gt;0,VLOOKUP(VLOOKUP(V1361,Tbl_Effect[],3,FALSE),EffectName[],IFERROR(MATCH(UI!$B$1,EffectName[#Headers],0),2),FALSE),"")</f>
        <v/>
      </c>
      <c r="X1361" t="str">
        <f t="shared" si="152"/>
        <v/>
      </c>
      <c r="Y1361">
        <v>0</v>
      </c>
      <c r="Z1361" t="str">
        <f>IF(Y1361&lt;&gt;0,VLOOKUP(VLOOKUP(Y1361,Tbl_Effect[],3,FALSE),EffectName[],IFERROR(MATCH(UI!$B$1,EffectName[#Headers],0),2),FALSE),"")</f>
        <v/>
      </c>
      <c r="AA1361" t="str">
        <f t="shared" si="153"/>
        <v/>
      </c>
      <c r="AB1361">
        <v>0</v>
      </c>
      <c r="AC1361" t="str">
        <f>IF(AB1361&lt;&gt;0,VLOOKUP(VLOOKUP(AB1361,Tbl_Effect[],3,FALSE),EffectName[],IFERROR(MATCH(UI!$B$1,EffectName[#Headers],0),2),FALSE),"")</f>
        <v/>
      </c>
    </row>
    <row r="1362" spans="8:29" x14ac:dyDescent="0.4">
      <c r="H1362" t="str">
        <f t="shared" si="147"/>
        <v>7351000-Unset (紅)</v>
      </c>
      <c r="I1362">
        <v>7351000</v>
      </c>
      <c r="J1362" t="str">
        <f>_xlfn.IFNA(IF(I1362&lt;&gt;0,VLOOKUP(VLOOKUP(I1362,Tbl_Equip[],2,FALSE),Tbl_Color[],IFERROR(MATCH(UI!$B$1,Tbl_Color[#Headers],0),2),FALSE),""),"Unset")</f>
        <v>紅</v>
      </c>
      <c r="K1362" t="str">
        <f>_xlfn.IFNA(IF(I1362&lt;&gt;0,VLOOKUP(I1362,ItemText[],IFERROR(MATCH(UI!$B$1,ItemText[#Headers],0),2),FALSE),""),"Unset")</f>
        <v>Unset</v>
      </c>
      <c r="L1362" t="str">
        <f t="shared" si="148"/>
        <v/>
      </c>
      <c r="M1362">
        <v>0</v>
      </c>
      <c r="N1362" t="str">
        <f>IF(VALUE(M1362)=0,"",VLOOKUP(VLOOKUP(M1362,Tbl_Effect[],3,FALSE),EffectName[],IFERROR(MATCH(UI!$B$1,EffectName[#Headers],0),2),FALSE))</f>
        <v/>
      </c>
      <c r="O1362" t="str">
        <f t="shared" si="149"/>
        <v/>
      </c>
      <c r="P1362">
        <v>0</v>
      </c>
      <c r="Q1362" t="str">
        <f>IF(VALUE(P1362)=0,"",VLOOKUP(VLOOKUP(P1362,Tbl_Effect[],3,FALSE),EffectName[],IFERROR(MATCH(UI!$B$1,EffectName[#Headers],0),2),FALSE))</f>
        <v/>
      </c>
      <c r="R1362" t="str">
        <f t="shared" si="150"/>
        <v/>
      </c>
      <c r="S1362">
        <v>0</v>
      </c>
      <c r="T1362" t="str">
        <f>IF(VALUE(S1362)=0,"",VLOOKUP(VLOOKUP(S1362,Tbl_Effect[],3,FALSE),EffectName[],IFERROR(MATCH(UI!$B$1,EffectName[#Headers],0),2),FALSE))</f>
        <v/>
      </c>
      <c r="U1362" t="str">
        <f t="shared" si="151"/>
        <v/>
      </c>
      <c r="V1362">
        <v>0</v>
      </c>
      <c r="W1362" t="str">
        <f>IF(V1362&lt;&gt;0,VLOOKUP(VLOOKUP(V1362,Tbl_Effect[],3,FALSE),EffectName[],IFERROR(MATCH(UI!$B$1,EffectName[#Headers],0),2),FALSE),"")</f>
        <v/>
      </c>
      <c r="X1362" t="str">
        <f t="shared" si="152"/>
        <v/>
      </c>
      <c r="Y1362">
        <v>0</v>
      </c>
      <c r="Z1362" t="str">
        <f>IF(Y1362&lt;&gt;0,VLOOKUP(VLOOKUP(Y1362,Tbl_Effect[],3,FALSE),EffectName[],IFERROR(MATCH(UI!$B$1,EffectName[#Headers],0),2),FALSE),"")</f>
        <v/>
      </c>
      <c r="AA1362" t="str">
        <f t="shared" si="153"/>
        <v/>
      </c>
      <c r="AB1362">
        <v>0</v>
      </c>
      <c r="AC1362" t="str">
        <f>IF(AB1362&lt;&gt;0,VLOOKUP(VLOOKUP(AB1362,Tbl_Effect[],3,FALSE),EffectName[],IFERROR(MATCH(UI!$B$1,EffectName[#Headers],0),2),FALSE),"")</f>
        <v/>
      </c>
    </row>
    <row r="1363" spans="8:29" x14ac:dyDescent="0.4">
      <c r="H1363" t="str">
        <f t="shared" si="147"/>
        <v>7351100-Unset (紅)</v>
      </c>
      <c r="I1363">
        <v>7351100</v>
      </c>
      <c r="J1363" t="str">
        <f>_xlfn.IFNA(IF(I1363&lt;&gt;0,VLOOKUP(VLOOKUP(I1363,Tbl_Equip[],2,FALSE),Tbl_Color[],IFERROR(MATCH(UI!$B$1,Tbl_Color[#Headers],0),2),FALSE),""),"Unset")</f>
        <v>紅</v>
      </c>
      <c r="K1363" t="str">
        <f>_xlfn.IFNA(IF(I1363&lt;&gt;0,VLOOKUP(I1363,ItemText[],IFERROR(MATCH(UI!$B$1,ItemText[#Headers],0),2),FALSE),""),"Unset")</f>
        <v>Unset</v>
      </c>
      <c r="L1363" t="str">
        <f t="shared" si="148"/>
        <v/>
      </c>
      <c r="M1363">
        <v>0</v>
      </c>
      <c r="N1363" t="str">
        <f>IF(VALUE(M1363)=0,"",VLOOKUP(VLOOKUP(M1363,Tbl_Effect[],3,FALSE),EffectName[],IFERROR(MATCH(UI!$B$1,EffectName[#Headers],0),2),FALSE))</f>
        <v/>
      </c>
      <c r="O1363" t="str">
        <f t="shared" si="149"/>
        <v/>
      </c>
      <c r="P1363">
        <v>0</v>
      </c>
      <c r="Q1363" t="str">
        <f>IF(VALUE(P1363)=0,"",VLOOKUP(VLOOKUP(P1363,Tbl_Effect[],3,FALSE),EffectName[],IFERROR(MATCH(UI!$B$1,EffectName[#Headers],0),2),FALSE))</f>
        <v/>
      </c>
      <c r="R1363" t="str">
        <f t="shared" si="150"/>
        <v/>
      </c>
      <c r="S1363">
        <v>0</v>
      </c>
      <c r="T1363" t="str">
        <f>IF(VALUE(S1363)=0,"",VLOOKUP(VLOOKUP(S1363,Tbl_Effect[],3,FALSE),EffectName[],IFERROR(MATCH(UI!$B$1,EffectName[#Headers],0),2),FALSE))</f>
        <v/>
      </c>
      <c r="U1363" t="str">
        <f t="shared" si="151"/>
        <v/>
      </c>
      <c r="V1363">
        <v>0</v>
      </c>
      <c r="W1363" t="str">
        <f>IF(V1363&lt;&gt;0,VLOOKUP(VLOOKUP(V1363,Tbl_Effect[],3,FALSE),EffectName[],IFERROR(MATCH(UI!$B$1,EffectName[#Headers],0),2),FALSE),"")</f>
        <v/>
      </c>
      <c r="X1363" t="str">
        <f t="shared" si="152"/>
        <v/>
      </c>
      <c r="Y1363">
        <v>0</v>
      </c>
      <c r="Z1363" t="str">
        <f>IF(Y1363&lt;&gt;0,VLOOKUP(VLOOKUP(Y1363,Tbl_Effect[],3,FALSE),EffectName[],IFERROR(MATCH(UI!$B$1,EffectName[#Headers],0),2),FALSE),"")</f>
        <v/>
      </c>
      <c r="AA1363" t="str">
        <f t="shared" si="153"/>
        <v/>
      </c>
      <c r="AB1363">
        <v>0</v>
      </c>
      <c r="AC1363" t="str">
        <f>IF(AB1363&lt;&gt;0,VLOOKUP(VLOOKUP(AB1363,Tbl_Effect[],3,FALSE),EffectName[],IFERROR(MATCH(UI!$B$1,EffectName[#Headers],0),2),FALSE),"")</f>
        <v/>
      </c>
    </row>
    <row r="1364" spans="8:29" x14ac:dyDescent="0.4">
      <c r="H1364" t="str">
        <f t="shared" si="147"/>
        <v>7351200-Unset (紅)</v>
      </c>
      <c r="I1364">
        <v>7351200</v>
      </c>
      <c r="J1364" t="str">
        <f>_xlfn.IFNA(IF(I1364&lt;&gt;0,VLOOKUP(VLOOKUP(I1364,Tbl_Equip[],2,FALSE),Tbl_Color[],IFERROR(MATCH(UI!$B$1,Tbl_Color[#Headers],0),2),FALSE),""),"Unset")</f>
        <v>紅</v>
      </c>
      <c r="K1364" t="str">
        <f>_xlfn.IFNA(IF(I1364&lt;&gt;0,VLOOKUP(I1364,ItemText[],IFERROR(MATCH(UI!$B$1,ItemText[#Headers],0),2),FALSE),""),"Unset")</f>
        <v>Unset</v>
      </c>
      <c r="L1364" t="str">
        <f t="shared" si="148"/>
        <v/>
      </c>
      <c r="M1364">
        <v>0</v>
      </c>
      <c r="N1364" t="str">
        <f>IF(VALUE(M1364)=0,"",VLOOKUP(VLOOKUP(M1364,Tbl_Effect[],3,FALSE),EffectName[],IFERROR(MATCH(UI!$B$1,EffectName[#Headers],0),2),FALSE))</f>
        <v/>
      </c>
      <c r="O1364" t="str">
        <f t="shared" si="149"/>
        <v/>
      </c>
      <c r="P1364">
        <v>0</v>
      </c>
      <c r="Q1364" t="str">
        <f>IF(VALUE(P1364)=0,"",VLOOKUP(VLOOKUP(P1364,Tbl_Effect[],3,FALSE),EffectName[],IFERROR(MATCH(UI!$B$1,EffectName[#Headers],0),2),FALSE))</f>
        <v/>
      </c>
      <c r="R1364" t="str">
        <f t="shared" si="150"/>
        <v/>
      </c>
      <c r="S1364">
        <v>0</v>
      </c>
      <c r="T1364" t="str">
        <f>IF(VALUE(S1364)=0,"",VLOOKUP(VLOOKUP(S1364,Tbl_Effect[],3,FALSE),EffectName[],IFERROR(MATCH(UI!$B$1,EffectName[#Headers],0),2),FALSE))</f>
        <v/>
      </c>
      <c r="U1364" t="str">
        <f t="shared" si="151"/>
        <v/>
      </c>
      <c r="V1364">
        <v>0</v>
      </c>
      <c r="W1364" t="str">
        <f>IF(V1364&lt;&gt;0,VLOOKUP(VLOOKUP(V1364,Tbl_Effect[],3,FALSE),EffectName[],IFERROR(MATCH(UI!$B$1,EffectName[#Headers],0),2),FALSE),"")</f>
        <v/>
      </c>
      <c r="X1364" t="str">
        <f t="shared" si="152"/>
        <v/>
      </c>
      <c r="Y1364">
        <v>0</v>
      </c>
      <c r="Z1364" t="str">
        <f>IF(Y1364&lt;&gt;0,VLOOKUP(VLOOKUP(Y1364,Tbl_Effect[],3,FALSE),EffectName[],IFERROR(MATCH(UI!$B$1,EffectName[#Headers],0),2),FALSE),"")</f>
        <v/>
      </c>
      <c r="AA1364" t="str">
        <f t="shared" si="153"/>
        <v/>
      </c>
      <c r="AB1364">
        <v>0</v>
      </c>
      <c r="AC1364" t="str">
        <f>IF(AB1364&lt;&gt;0,VLOOKUP(VLOOKUP(AB1364,Tbl_Effect[],3,FALSE),EffectName[],IFERROR(MATCH(UI!$B$1,EffectName[#Headers],0),2),FALSE),"")</f>
        <v/>
      </c>
    </row>
    <row r="1365" spans="8:29" x14ac:dyDescent="0.4">
      <c r="H1365" t="str">
        <f t="shared" si="147"/>
        <v>7351300-Unset (紅)</v>
      </c>
      <c r="I1365">
        <v>7351300</v>
      </c>
      <c r="J1365" t="str">
        <f>_xlfn.IFNA(IF(I1365&lt;&gt;0,VLOOKUP(VLOOKUP(I1365,Tbl_Equip[],2,FALSE),Tbl_Color[],IFERROR(MATCH(UI!$B$1,Tbl_Color[#Headers],0),2),FALSE),""),"Unset")</f>
        <v>紅</v>
      </c>
      <c r="K1365" t="str">
        <f>_xlfn.IFNA(IF(I1365&lt;&gt;0,VLOOKUP(I1365,ItemText[],IFERROR(MATCH(UI!$B$1,ItemText[#Headers],0),2),FALSE),""),"Unset")</f>
        <v>Unset</v>
      </c>
      <c r="L1365" t="str">
        <f t="shared" si="148"/>
        <v/>
      </c>
      <c r="M1365">
        <v>0</v>
      </c>
      <c r="N1365" t="str">
        <f>IF(VALUE(M1365)=0,"",VLOOKUP(VLOOKUP(M1365,Tbl_Effect[],3,FALSE),EffectName[],IFERROR(MATCH(UI!$B$1,EffectName[#Headers],0),2),FALSE))</f>
        <v/>
      </c>
      <c r="O1365" t="str">
        <f t="shared" si="149"/>
        <v/>
      </c>
      <c r="P1365">
        <v>0</v>
      </c>
      <c r="Q1365" t="str">
        <f>IF(VALUE(P1365)=0,"",VLOOKUP(VLOOKUP(P1365,Tbl_Effect[],3,FALSE),EffectName[],IFERROR(MATCH(UI!$B$1,EffectName[#Headers],0),2),FALSE))</f>
        <v/>
      </c>
      <c r="R1365" t="str">
        <f t="shared" si="150"/>
        <v/>
      </c>
      <c r="S1365">
        <v>0</v>
      </c>
      <c r="T1365" t="str">
        <f>IF(VALUE(S1365)=0,"",VLOOKUP(VLOOKUP(S1365,Tbl_Effect[],3,FALSE),EffectName[],IFERROR(MATCH(UI!$B$1,EffectName[#Headers],0),2),FALSE))</f>
        <v/>
      </c>
      <c r="U1365" t="str">
        <f t="shared" si="151"/>
        <v/>
      </c>
      <c r="V1365">
        <v>0</v>
      </c>
      <c r="W1365" t="str">
        <f>IF(V1365&lt;&gt;0,VLOOKUP(VLOOKUP(V1365,Tbl_Effect[],3,FALSE),EffectName[],IFERROR(MATCH(UI!$B$1,EffectName[#Headers],0),2),FALSE),"")</f>
        <v/>
      </c>
      <c r="X1365" t="str">
        <f t="shared" si="152"/>
        <v/>
      </c>
      <c r="Y1365">
        <v>0</v>
      </c>
      <c r="Z1365" t="str">
        <f>IF(Y1365&lt;&gt;0,VLOOKUP(VLOOKUP(Y1365,Tbl_Effect[],3,FALSE),EffectName[],IFERROR(MATCH(UI!$B$1,EffectName[#Headers],0),2),FALSE),"")</f>
        <v/>
      </c>
      <c r="AA1365" t="str">
        <f t="shared" si="153"/>
        <v/>
      </c>
      <c r="AB1365">
        <v>0</v>
      </c>
      <c r="AC1365" t="str">
        <f>IF(AB1365&lt;&gt;0,VLOOKUP(VLOOKUP(AB1365,Tbl_Effect[],3,FALSE),EffectName[],IFERROR(MATCH(UI!$B$1,EffectName[#Headers],0),2),FALSE),"")</f>
        <v/>
      </c>
    </row>
    <row r="1366" spans="8:29" x14ac:dyDescent="0.4">
      <c r="H1366" t="str">
        <f t="shared" si="147"/>
        <v>7351400-Unset (紅)</v>
      </c>
      <c r="I1366">
        <v>7351400</v>
      </c>
      <c r="J1366" t="str">
        <f>_xlfn.IFNA(IF(I1366&lt;&gt;0,VLOOKUP(VLOOKUP(I1366,Tbl_Equip[],2,FALSE),Tbl_Color[],IFERROR(MATCH(UI!$B$1,Tbl_Color[#Headers],0),2),FALSE),""),"Unset")</f>
        <v>紅</v>
      </c>
      <c r="K1366" t="str">
        <f>_xlfn.IFNA(IF(I1366&lt;&gt;0,VLOOKUP(I1366,ItemText[],IFERROR(MATCH(UI!$B$1,ItemText[#Headers],0),2),FALSE),""),"Unset")</f>
        <v>Unset</v>
      </c>
      <c r="L1366" t="str">
        <f t="shared" si="148"/>
        <v/>
      </c>
      <c r="M1366">
        <v>0</v>
      </c>
      <c r="N1366" t="str">
        <f>IF(VALUE(M1366)=0,"",VLOOKUP(VLOOKUP(M1366,Tbl_Effect[],3,FALSE),EffectName[],IFERROR(MATCH(UI!$B$1,EffectName[#Headers],0),2),FALSE))</f>
        <v/>
      </c>
      <c r="O1366" t="str">
        <f t="shared" si="149"/>
        <v/>
      </c>
      <c r="P1366">
        <v>0</v>
      </c>
      <c r="Q1366" t="str">
        <f>IF(VALUE(P1366)=0,"",VLOOKUP(VLOOKUP(P1366,Tbl_Effect[],3,FALSE),EffectName[],IFERROR(MATCH(UI!$B$1,EffectName[#Headers],0),2),FALSE))</f>
        <v/>
      </c>
      <c r="R1366" t="str">
        <f t="shared" si="150"/>
        <v/>
      </c>
      <c r="S1366">
        <v>0</v>
      </c>
      <c r="T1366" t="str">
        <f>IF(VALUE(S1366)=0,"",VLOOKUP(VLOOKUP(S1366,Tbl_Effect[],3,FALSE),EffectName[],IFERROR(MATCH(UI!$B$1,EffectName[#Headers],0),2),FALSE))</f>
        <v/>
      </c>
      <c r="U1366" t="str">
        <f t="shared" si="151"/>
        <v/>
      </c>
      <c r="V1366">
        <v>0</v>
      </c>
      <c r="W1366" t="str">
        <f>IF(V1366&lt;&gt;0,VLOOKUP(VLOOKUP(V1366,Tbl_Effect[],3,FALSE),EffectName[],IFERROR(MATCH(UI!$B$1,EffectName[#Headers],0),2),FALSE),"")</f>
        <v/>
      </c>
      <c r="X1366" t="str">
        <f t="shared" si="152"/>
        <v/>
      </c>
      <c r="Y1366">
        <v>0</v>
      </c>
      <c r="Z1366" t="str">
        <f>IF(Y1366&lt;&gt;0,VLOOKUP(VLOOKUP(Y1366,Tbl_Effect[],3,FALSE),EffectName[],IFERROR(MATCH(UI!$B$1,EffectName[#Headers],0),2),FALSE),"")</f>
        <v/>
      </c>
      <c r="AA1366" t="str">
        <f t="shared" si="153"/>
        <v/>
      </c>
      <c r="AB1366">
        <v>0</v>
      </c>
      <c r="AC1366" t="str">
        <f>IF(AB1366&lt;&gt;0,VLOOKUP(VLOOKUP(AB1366,Tbl_Effect[],3,FALSE),EffectName[],IFERROR(MATCH(UI!$B$1,EffectName[#Headers],0),2),FALSE),"")</f>
        <v/>
      </c>
    </row>
    <row r="1367" spans="8:29" x14ac:dyDescent="0.4">
      <c r="H1367" t="str">
        <f t="shared" si="147"/>
        <v>7351500-Unset (紅)</v>
      </c>
      <c r="I1367">
        <v>7351500</v>
      </c>
      <c r="J1367" t="str">
        <f>_xlfn.IFNA(IF(I1367&lt;&gt;0,VLOOKUP(VLOOKUP(I1367,Tbl_Equip[],2,FALSE),Tbl_Color[],IFERROR(MATCH(UI!$B$1,Tbl_Color[#Headers],0),2),FALSE),""),"Unset")</f>
        <v>紅</v>
      </c>
      <c r="K1367" t="str">
        <f>_xlfn.IFNA(IF(I1367&lt;&gt;0,VLOOKUP(I1367,ItemText[],IFERROR(MATCH(UI!$B$1,ItemText[#Headers],0),2),FALSE),""),"Unset")</f>
        <v>Unset</v>
      </c>
      <c r="L1367" t="str">
        <f t="shared" si="148"/>
        <v/>
      </c>
      <c r="M1367">
        <v>0</v>
      </c>
      <c r="N1367" t="str">
        <f>IF(VALUE(M1367)=0,"",VLOOKUP(VLOOKUP(M1367,Tbl_Effect[],3,FALSE),EffectName[],IFERROR(MATCH(UI!$B$1,EffectName[#Headers],0),2),FALSE))</f>
        <v/>
      </c>
      <c r="O1367" t="str">
        <f t="shared" si="149"/>
        <v/>
      </c>
      <c r="P1367">
        <v>0</v>
      </c>
      <c r="Q1367" t="str">
        <f>IF(VALUE(P1367)=0,"",VLOOKUP(VLOOKUP(P1367,Tbl_Effect[],3,FALSE),EffectName[],IFERROR(MATCH(UI!$B$1,EffectName[#Headers],0),2),FALSE))</f>
        <v/>
      </c>
      <c r="R1367" t="str">
        <f t="shared" si="150"/>
        <v/>
      </c>
      <c r="S1367">
        <v>0</v>
      </c>
      <c r="T1367" t="str">
        <f>IF(VALUE(S1367)=0,"",VLOOKUP(VLOOKUP(S1367,Tbl_Effect[],3,FALSE),EffectName[],IFERROR(MATCH(UI!$B$1,EffectName[#Headers],0),2),FALSE))</f>
        <v/>
      </c>
      <c r="U1367" t="str">
        <f t="shared" si="151"/>
        <v/>
      </c>
      <c r="V1367">
        <v>0</v>
      </c>
      <c r="W1367" t="str">
        <f>IF(V1367&lt;&gt;0,VLOOKUP(VLOOKUP(V1367,Tbl_Effect[],3,FALSE),EffectName[],IFERROR(MATCH(UI!$B$1,EffectName[#Headers],0),2),FALSE),"")</f>
        <v/>
      </c>
      <c r="X1367" t="str">
        <f t="shared" si="152"/>
        <v/>
      </c>
      <c r="Y1367">
        <v>0</v>
      </c>
      <c r="Z1367" t="str">
        <f>IF(Y1367&lt;&gt;0,VLOOKUP(VLOOKUP(Y1367,Tbl_Effect[],3,FALSE),EffectName[],IFERROR(MATCH(UI!$B$1,EffectName[#Headers],0),2),FALSE),"")</f>
        <v/>
      </c>
      <c r="AA1367" t="str">
        <f t="shared" si="153"/>
        <v/>
      </c>
      <c r="AB1367">
        <v>0</v>
      </c>
      <c r="AC1367" t="str">
        <f>IF(AB1367&lt;&gt;0,VLOOKUP(VLOOKUP(AB1367,Tbl_Effect[],3,FALSE),EffectName[],IFERROR(MATCH(UI!$B$1,EffectName[#Headers],0),2),FALSE),"")</f>
        <v/>
      </c>
    </row>
    <row r="1368" spans="8:29" x14ac:dyDescent="0.4">
      <c r="H1368" t="str">
        <f t="shared" si="147"/>
        <v>7351700-Unset (紅)</v>
      </c>
      <c r="I1368">
        <v>7351700</v>
      </c>
      <c r="J1368" t="str">
        <f>_xlfn.IFNA(IF(I1368&lt;&gt;0,VLOOKUP(VLOOKUP(I1368,Tbl_Equip[],2,FALSE),Tbl_Color[],IFERROR(MATCH(UI!$B$1,Tbl_Color[#Headers],0),2),FALSE),""),"Unset")</f>
        <v>紅</v>
      </c>
      <c r="K1368" t="str">
        <f>_xlfn.IFNA(IF(I1368&lt;&gt;0,VLOOKUP(I1368,ItemText[],IFERROR(MATCH(UI!$B$1,ItemText[#Headers],0),2),FALSE),""),"Unset")</f>
        <v>Unset</v>
      </c>
      <c r="L1368" t="str">
        <f t="shared" si="148"/>
        <v/>
      </c>
      <c r="M1368">
        <v>0</v>
      </c>
      <c r="N1368" t="str">
        <f>IF(VALUE(M1368)=0,"",VLOOKUP(VLOOKUP(M1368,Tbl_Effect[],3,FALSE),EffectName[],IFERROR(MATCH(UI!$B$1,EffectName[#Headers],0),2),FALSE))</f>
        <v/>
      </c>
      <c r="O1368" t="str">
        <f t="shared" si="149"/>
        <v/>
      </c>
      <c r="P1368">
        <v>0</v>
      </c>
      <c r="Q1368" t="str">
        <f>IF(VALUE(P1368)=0,"",VLOOKUP(VLOOKUP(P1368,Tbl_Effect[],3,FALSE),EffectName[],IFERROR(MATCH(UI!$B$1,EffectName[#Headers],0),2),FALSE))</f>
        <v/>
      </c>
      <c r="R1368" t="str">
        <f t="shared" si="150"/>
        <v/>
      </c>
      <c r="S1368">
        <v>0</v>
      </c>
      <c r="T1368" t="str">
        <f>IF(VALUE(S1368)=0,"",VLOOKUP(VLOOKUP(S1368,Tbl_Effect[],3,FALSE),EffectName[],IFERROR(MATCH(UI!$B$1,EffectName[#Headers],0),2),FALSE))</f>
        <v/>
      </c>
      <c r="U1368" t="str">
        <f t="shared" si="151"/>
        <v/>
      </c>
      <c r="V1368">
        <v>0</v>
      </c>
      <c r="W1368" t="str">
        <f>IF(V1368&lt;&gt;0,VLOOKUP(VLOOKUP(V1368,Tbl_Effect[],3,FALSE),EffectName[],IFERROR(MATCH(UI!$B$1,EffectName[#Headers],0),2),FALSE),"")</f>
        <v/>
      </c>
      <c r="X1368" t="str">
        <f t="shared" si="152"/>
        <v/>
      </c>
      <c r="Y1368">
        <v>0</v>
      </c>
      <c r="Z1368" t="str">
        <f>IF(Y1368&lt;&gt;0,VLOOKUP(VLOOKUP(Y1368,Tbl_Effect[],3,FALSE),EffectName[],IFERROR(MATCH(UI!$B$1,EffectName[#Headers],0),2),FALSE),"")</f>
        <v/>
      </c>
      <c r="AA1368" t="str">
        <f t="shared" si="153"/>
        <v/>
      </c>
      <c r="AB1368">
        <v>0</v>
      </c>
      <c r="AC1368" t="str">
        <f>IF(AB1368&lt;&gt;0,VLOOKUP(VLOOKUP(AB1368,Tbl_Effect[],3,FALSE),EffectName[],IFERROR(MATCH(UI!$B$1,EffectName[#Headers],0),2),FALSE),"")</f>
        <v/>
      </c>
    </row>
    <row r="1369" spans="8:29" x14ac:dyDescent="0.4">
      <c r="H1369" t="str">
        <f t="shared" si="147"/>
        <v>7351800-Unset (紅)</v>
      </c>
      <c r="I1369">
        <v>7351800</v>
      </c>
      <c r="J1369" t="str">
        <f>_xlfn.IFNA(IF(I1369&lt;&gt;0,VLOOKUP(VLOOKUP(I1369,Tbl_Equip[],2,FALSE),Tbl_Color[],IFERROR(MATCH(UI!$B$1,Tbl_Color[#Headers],0),2),FALSE),""),"Unset")</f>
        <v>紅</v>
      </c>
      <c r="K1369" t="str">
        <f>_xlfn.IFNA(IF(I1369&lt;&gt;0,VLOOKUP(I1369,ItemText[],IFERROR(MATCH(UI!$B$1,ItemText[#Headers],0),2),FALSE),""),"Unset")</f>
        <v>Unset</v>
      </c>
      <c r="L1369" t="str">
        <f t="shared" si="148"/>
        <v/>
      </c>
      <c r="M1369">
        <v>0</v>
      </c>
      <c r="N1369" t="str">
        <f>IF(VALUE(M1369)=0,"",VLOOKUP(VLOOKUP(M1369,Tbl_Effect[],3,FALSE),EffectName[],IFERROR(MATCH(UI!$B$1,EffectName[#Headers],0),2),FALSE))</f>
        <v/>
      </c>
      <c r="O1369" t="str">
        <f t="shared" si="149"/>
        <v/>
      </c>
      <c r="P1369">
        <v>0</v>
      </c>
      <c r="Q1369" t="str">
        <f>IF(VALUE(P1369)=0,"",VLOOKUP(VLOOKUP(P1369,Tbl_Effect[],3,FALSE),EffectName[],IFERROR(MATCH(UI!$B$1,EffectName[#Headers],0),2),FALSE))</f>
        <v/>
      </c>
      <c r="R1369" t="str">
        <f t="shared" si="150"/>
        <v/>
      </c>
      <c r="S1369">
        <v>0</v>
      </c>
      <c r="T1369" t="str">
        <f>IF(VALUE(S1369)=0,"",VLOOKUP(VLOOKUP(S1369,Tbl_Effect[],3,FALSE),EffectName[],IFERROR(MATCH(UI!$B$1,EffectName[#Headers],0),2),FALSE))</f>
        <v/>
      </c>
      <c r="U1369" t="str">
        <f t="shared" si="151"/>
        <v/>
      </c>
      <c r="V1369">
        <v>0</v>
      </c>
      <c r="W1369" t="str">
        <f>IF(V1369&lt;&gt;0,VLOOKUP(VLOOKUP(V1369,Tbl_Effect[],3,FALSE),EffectName[],IFERROR(MATCH(UI!$B$1,EffectName[#Headers],0),2),FALSE),"")</f>
        <v/>
      </c>
      <c r="X1369" t="str">
        <f t="shared" si="152"/>
        <v/>
      </c>
      <c r="Y1369">
        <v>0</v>
      </c>
      <c r="Z1369" t="str">
        <f>IF(Y1369&lt;&gt;0,VLOOKUP(VLOOKUP(Y1369,Tbl_Effect[],3,FALSE),EffectName[],IFERROR(MATCH(UI!$B$1,EffectName[#Headers],0),2),FALSE),"")</f>
        <v/>
      </c>
      <c r="AA1369" t="str">
        <f t="shared" si="153"/>
        <v/>
      </c>
      <c r="AB1369">
        <v>0</v>
      </c>
      <c r="AC1369" t="str">
        <f>IF(AB1369&lt;&gt;0,VLOOKUP(VLOOKUP(AB1369,Tbl_Effect[],3,FALSE),EffectName[],IFERROR(MATCH(UI!$B$1,EffectName[#Headers],0),2),FALSE),"")</f>
        <v/>
      </c>
    </row>
    <row r="1370" spans="8:29" x14ac:dyDescent="0.4">
      <c r="H1370" t="str">
        <f t="shared" si="147"/>
        <v>7351900-Unset (紅)</v>
      </c>
      <c r="I1370">
        <v>7351900</v>
      </c>
      <c r="J1370" t="str">
        <f>_xlfn.IFNA(IF(I1370&lt;&gt;0,VLOOKUP(VLOOKUP(I1370,Tbl_Equip[],2,FALSE),Tbl_Color[],IFERROR(MATCH(UI!$B$1,Tbl_Color[#Headers],0),2),FALSE),""),"Unset")</f>
        <v>紅</v>
      </c>
      <c r="K1370" t="str">
        <f>_xlfn.IFNA(IF(I1370&lt;&gt;0,VLOOKUP(I1370,ItemText[],IFERROR(MATCH(UI!$B$1,ItemText[#Headers],0),2),FALSE),""),"Unset")</f>
        <v>Unset</v>
      </c>
      <c r="L1370" t="str">
        <f t="shared" si="148"/>
        <v/>
      </c>
      <c r="M1370">
        <v>0</v>
      </c>
      <c r="N1370" t="str">
        <f>IF(VALUE(M1370)=0,"",VLOOKUP(VLOOKUP(M1370,Tbl_Effect[],3,FALSE),EffectName[],IFERROR(MATCH(UI!$B$1,EffectName[#Headers],0),2),FALSE))</f>
        <v/>
      </c>
      <c r="O1370" t="str">
        <f t="shared" si="149"/>
        <v/>
      </c>
      <c r="P1370">
        <v>0</v>
      </c>
      <c r="Q1370" t="str">
        <f>IF(VALUE(P1370)=0,"",VLOOKUP(VLOOKUP(P1370,Tbl_Effect[],3,FALSE),EffectName[],IFERROR(MATCH(UI!$B$1,EffectName[#Headers],0),2),FALSE))</f>
        <v/>
      </c>
      <c r="R1370" t="str">
        <f t="shared" si="150"/>
        <v/>
      </c>
      <c r="S1370">
        <v>0</v>
      </c>
      <c r="T1370" t="str">
        <f>IF(VALUE(S1370)=0,"",VLOOKUP(VLOOKUP(S1370,Tbl_Effect[],3,FALSE),EffectName[],IFERROR(MATCH(UI!$B$1,EffectName[#Headers],0),2),FALSE))</f>
        <v/>
      </c>
      <c r="U1370" t="str">
        <f t="shared" si="151"/>
        <v/>
      </c>
      <c r="V1370">
        <v>0</v>
      </c>
      <c r="W1370" t="str">
        <f>IF(V1370&lt;&gt;0,VLOOKUP(VLOOKUP(V1370,Tbl_Effect[],3,FALSE),EffectName[],IFERROR(MATCH(UI!$B$1,EffectName[#Headers],0),2),FALSE),"")</f>
        <v/>
      </c>
      <c r="X1370" t="str">
        <f t="shared" si="152"/>
        <v/>
      </c>
      <c r="Y1370">
        <v>0</v>
      </c>
      <c r="Z1370" t="str">
        <f>IF(Y1370&lt;&gt;0,VLOOKUP(VLOOKUP(Y1370,Tbl_Effect[],3,FALSE),EffectName[],IFERROR(MATCH(UI!$B$1,EffectName[#Headers],0),2),FALSE),"")</f>
        <v/>
      </c>
      <c r="AA1370" t="str">
        <f t="shared" si="153"/>
        <v/>
      </c>
      <c r="AB1370">
        <v>0</v>
      </c>
      <c r="AC1370" t="str">
        <f>IF(AB1370&lt;&gt;0,VLOOKUP(VLOOKUP(AB1370,Tbl_Effect[],3,FALSE),EffectName[],IFERROR(MATCH(UI!$B$1,EffectName[#Headers],0),2),FALSE),"")</f>
        <v/>
      </c>
    </row>
    <row r="1371" spans="8:29" x14ac:dyDescent="0.4">
      <c r="H1371" t="str">
        <f t="shared" si="147"/>
        <v>7352000-Unset (紅)</v>
      </c>
      <c r="I1371">
        <v>7352000</v>
      </c>
      <c r="J1371" t="str">
        <f>_xlfn.IFNA(IF(I1371&lt;&gt;0,VLOOKUP(VLOOKUP(I1371,Tbl_Equip[],2,FALSE),Tbl_Color[],IFERROR(MATCH(UI!$B$1,Tbl_Color[#Headers],0),2),FALSE),""),"Unset")</f>
        <v>紅</v>
      </c>
      <c r="K1371" t="str">
        <f>_xlfn.IFNA(IF(I1371&lt;&gt;0,VLOOKUP(I1371,ItemText[],IFERROR(MATCH(UI!$B$1,ItemText[#Headers],0),2),FALSE),""),"Unset")</f>
        <v>Unset</v>
      </c>
      <c r="L1371" t="str">
        <f t="shared" si="148"/>
        <v/>
      </c>
      <c r="M1371">
        <v>0</v>
      </c>
      <c r="N1371" t="str">
        <f>IF(VALUE(M1371)=0,"",VLOOKUP(VLOOKUP(M1371,Tbl_Effect[],3,FALSE),EffectName[],IFERROR(MATCH(UI!$B$1,EffectName[#Headers],0),2),FALSE))</f>
        <v/>
      </c>
      <c r="O1371" t="str">
        <f t="shared" si="149"/>
        <v/>
      </c>
      <c r="P1371">
        <v>0</v>
      </c>
      <c r="Q1371" t="str">
        <f>IF(VALUE(P1371)=0,"",VLOOKUP(VLOOKUP(P1371,Tbl_Effect[],3,FALSE),EffectName[],IFERROR(MATCH(UI!$B$1,EffectName[#Headers],0),2),FALSE))</f>
        <v/>
      </c>
      <c r="R1371" t="str">
        <f t="shared" si="150"/>
        <v/>
      </c>
      <c r="S1371">
        <v>0</v>
      </c>
      <c r="T1371" t="str">
        <f>IF(VALUE(S1371)=0,"",VLOOKUP(VLOOKUP(S1371,Tbl_Effect[],3,FALSE),EffectName[],IFERROR(MATCH(UI!$B$1,EffectName[#Headers],0),2),FALSE))</f>
        <v/>
      </c>
      <c r="U1371" t="str">
        <f t="shared" si="151"/>
        <v/>
      </c>
      <c r="V1371">
        <v>0</v>
      </c>
      <c r="W1371" t="str">
        <f>IF(V1371&lt;&gt;0,VLOOKUP(VLOOKUP(V1371,Tbl_Effect[],3,FALSE),EffectName[],IFERROR(MATCH(UI!$B$1,EffectName[#Headers],0),2),FALSE),"")</f>
        <v/>
      </c>
      <c r="X1371" t="str">
        <f t="shared" si="152"/>
        <v/>
      </c>
      <c r="Y1371">
        <v>0</v>
      </c>
      <c r="Z1371" t="str">
        <f>IF(Y1371&lt;&gt;0,VLOOKUP(VLOOKUP(Y1371,Tbl_Effect[],3,FALSE),EffectName[],IFERROR(MATCH(UI!$B$1,EffectName[#Headers],0),2),FALSE),"")</f>
        <v/>
      </c>
      <c r="AA1371" t="str">
        <f t="shared" si="153"/>
        <v/>
      </c>
      <c r="AB1371">
        <v>0</v>
      </c>
      <c r="AC1371" t="str">
        <f>IF(AB1371&lt;&gt;0,VLOOKUP(VLOOKUP(AB1371,Tbl_Effect[],3,FALSE),EffectName[],IFERROR(MATCH(UI!$B$1,EffectName[#Headers],0),2),FALSE),"")</f>
        <v/>
      </c>
    </row>
    <row r="1372" spans="8:29" x14ac:dyDescent="0.4">
      <c r="H1372" t="str">
        <f t="shared" si="147"/>
        <v>7352100-Unset (紅)</v>
      </c>
      <c r="I1372">
        <v>7352100</v>
      </c>
      <c r="J1372" t="str">
        <f>_xlfn.IFNA(IF(I1372&lt;&gt;0,VLOOKUP(VLOOKUP(I1372,Tbl_Equip[],2,FALSE),Tbl_Color[],IFERROR(MATCH(UI!$B$1,Tbl_Color[#Headers],0),2),FALSE),""),"Unset")</f>
        <v>紅</v>
      </c>
      <c r="K1372" t="str">
        <f>_xlfn.IFNA(IF(I1372&lt;&gt;0,VLOOKUP(I1372,ItemText[],IFERROR(MATCH(UI!$B$1,ItemText[#Headers],0),2),FALSE),""),"Unset")</f>
        <v>Unset</v>
      </c>
      <c r="L1372" t="str">
        <f t="shared" si="148"/>
        <v/>
      </c>
      <c r="M1372">
        <v>0</v>
      </c>
      <c r="N1372" t="str">
        <f>IF(VALUE(M1372)=0,"",VLOOKUP(VLOOKUP(M1372,Tbl_Effect[],3,FALSE),EffectName[],IFERROR(MATCH(UI!$B$1,EffectName[#Headers],0),2),FALSE))</f>
        <v/>
      </c>
      <c r="O1372" t="str">
        <f t="shared" si="149"/>
        <v/>
      </c>
      <c r="P1372">
        <v>0</v>
      </c>
      <c r="Q1372" t="str">
        <f>IF(VALUE(P1372)=0,"",VLOOKUP(VLOOKUP(P1372,Tbl_Effect[],3,FALSE),EffectName[],IFERROR(MATCH(UI!$B$1,EffectName[#Headers],0),2),FALSE))</f>
        <v/>
      </c>
      <c r="R1372" t="str">
        <f t="shared" si="150"/>
        <v/>
      </c>
      <c r="S1372">
        <v>0</v>
      </c>
      <c r="T1372" t="str">
        <f>IF(VALUE(S1372)=0,"",VLOOKUP(VLOOKUP(S1372,Tbl_Effect[],3,FALSE),EffectName[],IFERROR(MATCH(UI!$B$1,EffectName[#Headers],0),2),FALSE))</f>
        <v/>
      </c>
      <c r="U1372" t="str">
        <f t="shared" si="151"/>
        <v/>
      </c>
      <c r="V1372">
        <v>0</v>
      </c>
      <c r="W1372" t="str">
        <f>IF(V1372&lt;&gt;0,VLOOKUP(VLOOKUP(V1372,Tbl_Effect[],3,FALSE),EffectName[],IFERROR(MATCH(UI!$B$1,EffectName[#Headers],0),2),FALSE),"")</f>
        <v/>
      </c>
      <c r="X1372" t="str">
        <f t="shared" si="152"/>
        <v/>
      </c>
      <c r="Y1372">
        <v>0</v>
      </c>
      <c r="Z1372" t="str">
        <f>IF(Y1372&lt;&gt;0,VLOOKUP(VLOOKUP(Y1372,Tbl_Effect[],3,FALSE),EffectName[],IFERROR(MATCH(UI!$B$1,EffectName[#Headers],0),2),FALSE),"")</f>
        <v/>
      </c>
      <c r="AA1372" t="str">
        <f t="shared" si="153"/>
        <v/>
      </c>
      <c r="AB1372">
        <v>0</v>
      </c>
      <c r="AC1372" t="str">
        <f>IF(AB1372&lt;&gt;0,VLOOKUP(VLOOKUP(AB1372,Tbl_Effect[],3,FALSE),EffectName[],IFERROR(MATCH(UI!$B$1,EffectName[#Headers],0),2),FALSE),"")</f>
        <v/>
      </c>
    </row>
    <row r="1373" spans="8:29" x14ac:dyDescent="0.4">
      <c r="H1373" t="str">
        <f t="shared" si="147"/>
        <v>7352200-Unset (紅)</v>
      </c>
      <c r="I1373">
        <v>7352200</v>
      </c>
      <c r="J1373" t="str">
        <f>_xlfn.IFNA(IF(I1373&lt;&gt;0,VLOOKUP(VLOOKUP(I1373,Tbl_Equip[],2,FALSE),Tbl_Color[],IFERROR(MATCH(UI!$B$1,Tbl_Color[#Headers],0),2),FALSE),""),"Unset")</f>
        <v>紅</v>
      </c>
      <c r="K1373" t="str">
        <f>_xlfn.IFNA(IF(I1373&lt;&gt;0,VLOOKUP(I1373,ItemText[],IFERROR(MATCH(UI!$B$1,ItemText[#Headers],0),2),FALSE),""),"Unset")</f>
        <v>Unset</v>
      </c>
      <c r="L1373" t="str">
        <f t="shared" si="148"/>
        <v/>
      </c>
      <c r="M1373">
        <v>0</v>
      </c>
      <c r="N1373" t="str">
        <f>IF(VALUE(M1373)=0,"",VLOOKUP(VLOOKUP(M1373,Tbl_Effect[],3,FALSE),EffectName[],IFERROR(MATCH(UI!$B$1,EffectName[#Headers],0),2),FALSE))</f>
        <v/>
      </c>
      <c r="O1373" t="str">
        <f t="shared" si="149"/>
        <v/>
      </c>
      <c r="P1373">
        <v>0</v>
      </c>
      <c r="Q1373" t="str">
        <f>IF(VALUE(P1373)=0,"",VLOOKUP(VLOOKUP(P1373,Tbl_Effect[],3,FALSE),EffectName[],IFERROR(MATCH(UI!$B$1,EffectName[#Headers],0),2),FALSE))</f>
        <v/>
      </c>
      <c r="R1373" t="str">
        <f t="shared" si="150"/>
        <v/>
      </c>
      <c r="S1373">
        <v>0</v>
      </c>
      <c r="T1373" t="str">
        <f>IF(VALUE(S1373)=0,"",VLOOKUP(VLOOKUP(S1373,Tbl_Effect[],3,FALSE),EffectName[],IFERROR(MATCH(UI!$B$1,EffectName[#Headers],0),2),FALSE))</f>
        <v/>
      </c>
      <c r="U1373" t="str">
        <f t="shared" si="151"/>
        <v/>
      </c>
      <c r="V1373">
        <v>0</v>
      </c>
      <c r="W1373" t="str">
        <f>IF(V1373&lt;&gt;0,VLOOKUP(VLOOKUP(V1373,Tbl_Effect[],3,FALSE),EffectName[],IFERROR(MATCH(UI!$B$1,EffectName[#Headers],0),2),FALSE),"")</f>
        <v/>
      </c>
      <c r="X1373" t="str">
        <f t="shared" si="152"/>
        <v/>
      </c>
      <c r="Y1373">
        <v>0</v>
      </c>
      <c r="Z1373" t="str">
        <f>IF(Y1373&lt;&gt;0,VLOOKUP(VLOOKUP(Y1373,Tbl_Effect[],3,FALSE),EffectName[],IFERROR(MATCH(UI!$B$1,EffectName[#Headers],0),2),FALSE),"")</f>
        <v/>
      </c>
      <c r="AA1373" t="str">
        <f t="shared" si="153"/>
        <v/>
      </c>
      <c r="AB1373">
        <v>0</v>
      </c>
      <c r="AC1373" t="str">
        <f>IF(AB1373&lt;&gt;0,VLOOKUP(VLOOKUP(AB1373,Tbl_Effect[],3,FALSE),EffectName[],IFERROR(MATCH(UI!$B$1,EffectName[#Headers],0),2),FALSE),"")</f>
        <v/>
      </c>
    </row>
    <row r="1374" spans="8:29" x14ac:dyDescent="0.4">
      <c r="H1374" t="str">
        <f t="shared" si="147"/>
        <v>7352300-Unset (紅)</v>
      </c>
      <c r="I1374">
        <v>7352300</v>
      </c>
      <c r="J1374" t="str">
        <f>_xlfn.IFNA(IF(I1374&lt;&gt;0,VLOOKUP(VLOOKUP(I1374,Tbl_Equip[],2,FALSE),Tbl_Color[],IFERROR(MATCH(UI!$B$1,Tbl_Color[#Headers],0),2),FALSE),""),"Unset")</f>
        <v>紅</v>
      </c>
      <c r="K1374" t="str">
        <f>_xlfn.IFNA(IF(I1374&lt;&gt;0,VLOOKUP(I1374,ItemText[],IFERROR(MATCH(UI!$B$1,ItemText[#Headers],0),2),FALSE),""),"Unset")</f>
        <v>Unset</v>
      </c>
      <c r="L1374" t="str">
        <f t="shared" si="148"/>
        <v/>
      </c>
      <c r="M1374">
        <v>0</v>
      </c>
      <c r="N1374" t="str">
        <f>IF(VALUE(M1374)=0,"",VLOOKUP(VLOOKUP(M1374,Tbl_Effect[],3,FALSE),EffectName[],IFERROR(MATCH(UI!$B$1,EffectName[#Headers],0),2),FALSE))</f>
        <v/>
      </c>
      <c r="O1374" t="str">
        <f t="shared" si="149"/>
        <v/>
      </c>
      <c r="P1374">
        <v>0</v>
      </c>
      <c r="Q1374" t="str">
        <f>IF(VALUE(P1374)=0,"",VLOOKUP(VLOOKUP(P1374,Tbl_Effect[],3,FALSE),EffectName[],IFERROR(MATCH(UI!$B$1,EffectName[#Headers],0),2),FALSE))</f>
        <v/>
      </c>
      <c r="R1374" t="str">
        <f t="shared" si="150"/>
        <v/>
      </c>
      <c r="S1374">
        <v>0</v>
      </c>
      <c r="T1374" t="str">
        <f>IF(VALUE(S1374)=0,"",VLOOKUP(VLOOKUP(S1374,Tbl_Effect[],3,FALSE),EffectName[],IFERROR(MATCH(UI!$B$1,EffectName[#Headers],0),2),FALSE))</f>
        <v/>
      </c>
      <c r="U1374" t="str">
        <f t="shared" si="151"/>
        <v/>
      </c>
      <c r="V1374">
        <v>0</v>
      </c>
      <c r="W1374" t="str">
        <f>IF(V1374&lt;&gt;0,VLOOKUP(VLOOKUP(V1374,Tbl_Effect[],3,FALSE),EffectName[],IFERROR(MATCH(UI!$B$1,EffectName[#Headers],0),2),FALSE),"")</f>
        <v/>
      </c>
      <c r="X1374" t="str">
        <f t="shared" si="152"/>
        <v/>
      </c>
      <c r="Y1374">
        <v>0</v>
      </c>
      <c r="Z1374" t="str">
        <f>IF(Y1374&lt;&gt;0,VLOOKUP(VLOOKUP(Y1374,Tbl_Effect[],3,FALSE),EffectName[],IFERROR(MATCH(UI!$B$1,EffectName[#Headers],0),2),FALSE),"")</f>
        <v/>
      </c>
      <c r="AA1374" t="str">
        <f t="shared" si="153"/>
        <v/>
      </c>
      <c r="AB1374">
        <v>0</v>
      </c>
      <c r="AC1374" t="str">
        <f>IF(AB1374&lt;&gt;0,VLOOKUP(VLOOKUP(AB1374,Tbl_Effect[],3,FALSE),EffectName[],IFERROR(MATCH(UI!$B$1,EffectName[#Headers],0),2),FALSE),"")</f>
        <v/>
      </c>
    </row>
    <row r="1375" spans="8:29" x14ac:dyDescent="0.4">
      <c r="H1375" t="str">
        <f t="shared" si="147"/>
        <v>7352400-Unset (紅)</v>
      </c>
      <c r="I1375">
        <v>7352400</v>
      </c>
      <c r="J1375" t="str">
        <f>_xlfn.IFNA(IF(I1375&lt;&gt;0,VLOOKUP(VLOOKUP(I1375,Tbl_Equip[],2,FALSE),Tbl_Color[],IFERROR(MATCH(UI!$B$1,Tbl_Color[#Headers],0),2),FALSE),""),"Unset")</f>
        <v>紅</v>
      </c>
      <c r="K1375" t="str">
        <f>_xlfn.IFNA(IF(I1375&lt;&gt;0,VLOOKUP(I1375,ItemText[],IFERROR(MATCH(UI!$B$1,ItemText[#Headers],0),2),FALSE),""),"Unset")</f>
        <v>Unset</v>
      </c>
      <c r="L1375" t="str">
        <f t="shared" si="148"/>
        <v/>
      </c>
      <c r="M1375">
        <v>0</v>
      </c>
      <c r="N1375" t="str">
        <f>IF(VALUE(M1375)=0,"",VLOOKUP(VLOOKUP(M1375,Tbl_Effect[],3,FALSE),EffectName[],IFERROR(MATCH(UI!$B$1,EffectName[#Headers],0),2),FALSE))</f>
        <v/>
      </c>
      <c r="O1375" t="str">
        <f t="shared" si="149"/>
        <v/>
      </c>
      <c r="P1375">
        <v>0</v>
      </c>
      <c r="Q1375" t="str">
        <f>IF(VALUE(P1375)=0,"",VLOOKUP(VLOOKUP(P1375,Tbl_Effect[],3,FALSE),EffectName[],IFERROR(MATCH(UI!$B$1,EffectName[#Headers],0),2),FALSE))</f>
        <v/>
      </c>
      <c r="R1375" t="str">
        <f t="shared" si="150"/>
        <v/>
      </c>
      <c r="S1375">
        <v>0</v>
      </c>
      <c r="T1375" t="str">
        <f>IF(VALUE(S1375)=0,"",VLOOKUP(VLOOKUP(S1375,Tbl_Effect[],3,FALSE),EffectName[],IFERROR(MATCH(UI!$B$1,EffectName[#Headers],0),2),FALSE))</f>
        <v/>
      </c>
      <c r="U1375" t="str">
        <f t="shared" si="151"/>
        <v/>
      </c>
      <c r="V1375">
        <v>0</v>
      </c>
      <c r="W1375" t="str">
        <f>IF(V1375&lt;&gt;0,VLOOKUP(VLOOKUP(V1375,Tbl_Effect[],3,FALSE),EffectName[],IFERROR(MATCH(UI!$B$1,EffectName[#Headers],0),2),FALSE),"")</f>
        <v/>
      </c>
      <c r="X1375" t="str">
        <f t="shared" si="152"/>
        <v/>
      </c>
      <c r="Y1375">
        <v>0</v>
      </c>
      <c r="Z1375" t="str">
        <f>IF(Y1375&lt;&gt;0,VLOOKUP(VLOOKUP(Y1375,Tbl_Effect[],3,FALSE),EffectName[],IFERROR(MATCH(UI!$B$1,EffectName[#Headers],0),2),FALSE),"")</f>
        <v/>
      </c>
      <c r="AA1375" t="str">
        <f t="shared" si="153"/>
        <v/>
      </c>
      <c r="AB1375">
        <v>0</v>
      </c>
      <c r="AC1375" t="str">
        <f>IF(AB1375&lt;&gt;0,VLOOKUP(VLOOKUP(AB1375,Tbl_Effect[],3,FALSE),EffectName[],IFERROR(MATCH(UI!$B$1,EffectName[#Headers],0),2),FALSE),"")</f>
        <v/>
      </c>
    </row>
    <row r="1376" spans="8:29" x14ac:dyDescent="0.4">
      <c r="H1376" t="str">
        <f t="shared" si="147"/>
        <v>7360600-Unset (紅)</v>
      </c>
      <c r="I1376">
        <v>7360600</v>
      </c>
      <c r="J1376" t="str">
        <f>_xlfn.IFNA(IF(I1376&lt;&gt;0,VLOOKUP(VLOOKUP(I1376,Tbl_Equip[],2,FALSE),Tbl_Color[],IFERROR(MATCH(UI!$B$1,Tbl_Color[#Headers],0),2),FALSE),""),"Unset")</f>
        <v>紅</v>
      </c>
      <c r="K1376" t="str">
        <f>_xlfn.IFNA(IF(I1376&lt;&gt;0,VLOOKUP(I1376,ItemText[],IFERROR(MATCH(UI!$B$1,ItemText[#Headers],0),2),FALSE),""),"Unset")</f>
        <v>Unset</v>
      </c>
      <c r="L1376" t="str">
        <f t="shared" si="148"/>
        <v/>
      </c>
      <c r="M1376">
        <v>0</v>
      </c>
      <c r="N1376" t="str">
        <f>IF(VALUE(M1376)=0,"",VLOOKUP(VLOOKUP(M1376,Tbl_Effect[],3,FALSE),EffectName[],IFERROR(MATCH(UI!$B$1,EffectName[#Headers],0),2),FALSE))</f>
        <v/>
      </c>
      <c r="O1376" t="str">
        <f t="shared" si="149"/>
        <v/>
      </c>
      <c r="P1376">
        <v>0</v>
      </c>
      <c r="Q1376" t="str">
        <f>IF(VALUE(P1376)=0,"",VLOOKUP(VLOOKUP(P1376,Tbl_Effect[],3,FALSE),EffectName[],IFERROR(MATCH(UI!$B$1,EffectName[#Headers],0),2),FALSE))</f>
        <v/>
      </c>
      <c r="R1376" t="str">
        <f t="shared" si="150"/>
        <v/>
      </c>
      <c r="S1376">
        <v>0</v>
      </c>
      <c r="T1376" t="str">
        <f>IF(VALUE(S1376)=0,"",VLOOKUP(VLOOKUP(S1376,Tbl_Effect[],3,FALSE),EffectName[],IFERROR(MATCH(UI!$B$1,EffectName[#Headers],0),2),FALSE))</f>
        <v/>
      </c>
      <c r="U1376" t="str">
        <f t="shared" si="151"/>
        <v/>
      </c>
      <c r="V1376">
        <v>0</v>
      </c>
      <c r="W1376" t="str">
        <f>IF(V1376&lt;&gt;0,VLOOKUP(VLOOKUP(V1376,Tbl_Effect[],3,FALSE),EffectName[],IFERROR(MATCH(UI!$B$1,EffectName[#Headers],0),2),FALSE),"")</f>
        <v/>
      </c>
      <c r="X1376" t="str">
        <f t="shared" si="152"/>
        <v/>
      </c>
      <c r="Y1376">
        <v>0</v>
      </c>
      <c r="Z1376" t="str">
        <f>IF(Y1376&lt;&gt;0,VLOOKUP(VLOOKUP(Y1376,Tbl_Effect[],3,FALSE),EffectName[],IFERROR(MATCH(UI!$B$1,EffectName[#Headers],0),2),FALSE),"")</f>
        <v/>
      </c>
      <c r="AA1376" t="str">
        <f t="shared" si="153"/>
        <v/>
      </c>
      <c r="AB1376">
        <v>0</v>
      </c>
      <c r="AC1376" t="str">
        <f>IF(AB1376&lt;&gt;0,VLOOKUP(VLOOKUP(AB1376,Tbl_Effect[],3,FALSE),EffectName[],IFERROR(MATCH(UI!$B$1,EffectName[#Headers],0),2),FALSE),"")</f>
        <v/>
      </c>
    </row>
    <row r="1377" spans="8:29" x14ac:dyDescent="0.4">
      <c r="H1377" t="str">
        <f t="shared" si="147"/>
        <v>7360900-Unset (紅)</v>
      </c>
      <c r="I1377">
        <v>7360900</v>
      </c>
      <c r="J1377" t="str">
        <f>_xlfn.IFNA(IF(I1377&lt;&gt;0,VLOOKUP(VLOOKUP(I1377,Tbl_Equip[],2,FALSE),Tbl_Color[],IFERROR(MATCH(UI!$B$1,Tbl_Color[#Headers],0),2),FALSE),""),"Unset")</f>
        <v>紅</v>
      </c>
      <c r="K1377" t="str">
        <f>_xlfn.IFNA(IF(I1377&lt;&gt;0,VLOOKUP(I1377,ItemText[],IFERROR(MATCH(UI!$B$1,ItemText[#Headers],0),2),FALSE),""),"Unset")</f>
        <v>Unset</v>
      </c>
      <c r="L1377" t="str">
        <f t="shared" si="148"/>
        <v/>
      </c>
      <c r="M1377">
        <v>0</v>
      </c>
      <c r="N1377" t="str">
        <f>IF(VALUE(M1377)=0,"",VLOOKUP(VLOOKUP(M1377,Tbl_Effect[],3,FALSE),EffectName[],IFERROR(MATCH(UI!$B$1,EffectName[#Headers],0),2),FALSE))</f>
        <v/>
      </c>
      <c r="O1377" t="str">
        <f t="shared" si="149"/>
        <v/>
      </c>
      <c r="P1377">
        <v>0</v>
      </c>
      <c r="Q1377" t="str">
        <f>IF(VALUE(P1377)=0,"",VLOOKUP(VLOOKUP(P1377,Tbl_Effect[],3,FALSE),EffectName[],IFERROR(MATCH(UI!$B$1,EffectName[#Headers],0),2),FALSE))</f>
        <v/>
      </c>
      <c r="R1377" t="str">
        <f t="shared" si="150"/>
        <v/>
      </c>
      <c r="S1377">
        <v>0</v>
      </c>
      <c r="T1377" t="str">
        <f>IF(VALUE(S1377)=0,"",VLOOKUP(VLOOKUP(S1377,Tbl_Effect[],3,FALSE),EffectName[],IFERROR(MATCH(UI!$B$1,EffectName[#Headers],0),2),FALSE))</f>
        <v/>
      </c>
      <c r="U1377" t="str">
        <f t="shared" si="151"/>
        <v/>
      </c>
      <c r="V1377">
        <v>0</v>
      </c>
      <c r="W1377" t="str">
        <f>IF(V1377&lt;&gt;0,VLOOKUP(VLOOKUP(V1377,Tbl_Effect[],3,FALSE),EffectName[],IFERROR(MATCH(UI!$B$1,EffectName[#Headers],0),2),FALSE),"")</f>
        <v/>
      </c>
      <c r="X1377" t="str">
        <f t="shared" si="152"/>
        <v/>
      </c>
      <c r="Y1377">
        <v>0</v>
      </c>
      <c r="Z1377" t="str">
        <f>IF(Y1377&lt;&gt;0,VLOOKUP(VLOOKUP(Y1377,Tbl_Effect[],3,FALSE),EffectName[],IFERROR(MATCH(UI!$B$1,EffectName[#Headers],0),2),FALSE),"")</f>
        <v/>
      </c>
      <c r="AA1377" t="str">
        <f t="shared" si="153"/>
        <v/>
      </c>
      <c r="AB1377">
        <v>0</v>
      </c>
      <c r="AC1377" t="str">
        <f>IF(AB1377&lt;&gt;0,VLOOKUP(VLOOKUP(AB1377,Tbl_Effect[],3,FALSE),EffectName[],IFERROR(MATCH(UI!$B$1,EffectName[#Headers],0),2),FALSE),"")</f>
        <v/>
      </c>
    </row>
    <row r="1378" spans="8:29" x14ac:dyDescent="0.4">
      <c r="H1378" t="str">
        <f t="shared" si="147"/>
        <v>7361200-Unset (紅)</v>
      </c>
      <c r="I1378">
        <v>7361200</v>
      </c>
      <c r="J1378" t="str">
        <f>_xlfn.IFNA(IF(I1378&lt;&gt;0,VLOOKUP(VLOOKUP(I1378,Tbl_Equip[],2,FALSE),Tbl_Color[],IFERROR(MATCH(UI!$B$1,Tbl_Color[#Headers],0),2),FALSE),""),"Unset")</f>
        <v>紅</v>
      </c>
      <c r="K1378" t="str">
        <f>_xlfn.IFNA(IF(I1378&lt;&gt;0,VLOOKUP(I1378,ItemText[],IFERROR(MATCH(UI!$B$1,ItemText[#Headers],0),2),FALSE),""),"Unset")</f>
        <v>Unset</v>
      </c>
      <c r="L1378" t="str">
        <f t="shared" si="148"/>
        <v/>
      </c>
      <c r="M1378">
        <v>0</v>
      </c>
      <c r="N1378" t="str">
        <f>IF(VALUE(M1378)=0,"",VLOOKUP(VLOOKUP(M1378,Tbl_Effect[],3,FALSE),EffectName[],IFERROR(MATCH(UI!$B$1,EffectName[#Headers],0),2),FALSE))</f>
        <v/>
      </c>
      <c r="O1378" t="str">
        <f t="shared" si="149"/>
        <v/>
      </c>
      <c r="P1378">
        <v>0</v>
      </c>
      <c r="Q1378" t="str">
        <f>IF(VALUE(P1378)=0,"",VLOOKUP(VLOOKUP(P1378,Tbl_Effect[],3,FALSE),EffectName[],IFERROR(MATCH(UI!$B$1,EffectName[#Headers],0),2),FALSE))</f>
        <v/>
      </c>
      <c r="R1378" t="str">
        <f t="shared" si="150"/>
        <v/>
      </c>
      <c r="S1378">
        <v>0</v>
      </c>
      <c r="T1378" t="str">
        <f>IF(VALUE(S1378)=0,"",VLOOKUP(VLOOKUP(S1378,Tbl_Effect[],3,FALSE),EffectName[],IFERROR(MATCH(UI!$B$1,EffectName[#Headers],0),2),FALSE))</f>
        <v/>
      </c>
      <c r="U1378" t="str">
        <f t="shared" si="151"/>
        <v/>
      </c>
      <c r="V1378">
        <v>0</v>
      </c>
      <c r="W1378" t="str">
        <f>IF(V1378&lt;&gt;0,VLOOKUP(VLOOKUP(V1378,Tbl_Effect[],3,FALSE),EffectName[],IFERROR(MATCH(UI!$B$1,EffectName[#Headers],0),2),FALSE),"")</f>
        <v/>
      </c>
      <c r="X1378" t="str">
        <f t="shared" si="152"/>
        <v/>
      </c>
      <c r="Y1378">
        <v>0</v>
      </c>
      <c r="Z1378" t="str">
        <f>IF(Y1378&lt;&gt;0,VLOOKUP(VLOOKUP(Y1378,Tbl_Effect[],3,FALSE),EffectName[],IFERROR(MATCH(UI!$B$1,EffectName[#Headers],0),2),FALSE),"")</f>
        <v/>
      </c>
      <c r="AA1378" t="str">
        <f t="shared" si="153"/>
        <v/>
      </c>
      <c r="AB1378">
        <v>0</v>
      </c>
      <c r="AC1378" t="str">
        <f>IF(AB1378&lt;&gt;0,VLOOKUP(VLOOKUP(AB1378,Tbl_Effect[],3,FALSE),EffectName[],IFERROR(MATCH(UI!$B$1,EffectName[#Headers],0),2),FALSE),"")</f>
        <v/>
      </c>
    </row>
    <row r="1379" spans="8:29" x14ac:dyDescent="0.4">
      <c r="H1379" t="str">
        <f t="shared" si="147"/>
        <v>7361300-Unset (紅)</v>
      </c>
      <c r="I1379">
        <v>7361300</v>
      </c>
      <c r="J1379" t="str">
        <f>_xlfn.IFNA(IF(I1379&lt;&gt;0,VLOOKUP(VLOOKUP(I1379,Tbl_Equip[],2,FALSE),Tbl_Color[],IFERROR(MATCH(UI!$B$1,Tbl_Color[#Headers],0),2),FALSE),""),"Unset")</f>
        <v>紅</v>
      </c>
      <c r="K1379" t="str">
        <f>_xlfn.IFNA(IF(I1379&lt;&gt;0,VLOOKUP(I1379,ItemText[],IFERROR(MATCH(UI!$B$1,ItemText[#Headers],0),2),FALSE),""),"Unset")</f>
        <v>Unset</v>
      </c>
      <c r="L1379" t="str">
        <f t="shared" si="148"/>
        <v/>
      </c>
      <c r="M1379">
        <v>0</v>
      </c>
      <c r="N1379" t="str">
        <f>IF(VALUE(M1379)=0,"",VLOOKUP(VLOOKUP(M1379,Tbl_Effect[],3,FALSE),EffectName[],IFERROR(MATCH(UI!$B$1,EffectName[#Headers],0),2),FALSE))</f>
        <v/>
      </c>
      <c r="O1379" t="str">
        <f t="shared" si="149"/>
        <v/>
      </c>
      <c r="P1379">
        <v>0</v>
      </c>
      <c r="Q1379" t="str">
        <f>IF(VALUE(P1379)=0,"",VLOOKUP(VLOOKUP(P1379,Tbl_Effect[],3,FALSE),EffectName[],IFERROR(MATCH(UI!$B$1,EffectName[#Headers],0),2),FALSE))</f>
        <v/>
      </c>
      <c r="R1379" t="str">
        <f t="shared" si="150"/>
        <v/>
      </c>
      <c r="S1379">
        <v>0</v>
      </c>
      <c r="T1379" t="str">
        <f>IF(VALUE(S1379)=0,"",VLOOKUP(VLOOKUP(S1379,Tbl_Effect[],3,FALSE),EffectName[],IFERROR(MATCH(UI!$B$1,EffectName[#Headers],0),2),FALSE))</f>
        <v/>
      </c>
      <c r="U1379" t="str">
        <f t="shared" si="151"/>
        <v/>
      </c>
      <c r="V1379">
        <v>0</v>
      </c>
      <c r="W1379" t="str">
        <f>IF(V1379&lt;&gt;0,VLOOKUP(VLOOKUP(V1379,Tbl_Effect[],3,FALSE),EffectName[],IFERROR(MATCH(UI!$B$1,EffectName[#Headers],0),2),FALSE),"")</f>
        <v/>
      </c>
      <c r="X1379" t="str">
        <f t="shared" si="152"/>
        <v/>
      </c>
      <c r="Y1379">
        <v>0</v>
      </c>
      <c r="Z1379" t="str">
        <f>IF(Y1379&lt;&gt;0,VLOOKUP(VLOOKUP(Y1379,Tbl_Effect[],3,FALSE),EffectName[],IFERROR(MATCH(UI!$B$1,EffectName[#Headers],0),2),FALSE),"")</f>
        <v/>
      </c>
      <c r="AA1379" t="str">
        <f t="shared" si="153"/>
        <v/>
      </c>
      <c r="AB1379">
        <v>0</v>
      </c>
      <c r="AC1379" t="str">
        <f>IF(AB1379&lt;&gt;0,VLOOKUP(VLOOKUP(AB1379,Tbl_Effect[],3,FALSE),EffectName[],IFERROR(MATCH(UI!$B$1,EffectName[#Headers],0),2),FALSE),"")</f>
        <v/>
      </c>
    </row>
    <row r="1380" spans="8:29" x14ac:dyDescent="0.4">
      <c r="H1380" t="str">
        <f t="shared" si="147"/>
        <v>7362100-Unset (紅)</v>
      </c>
      <c r="I1380">
        <v>7362100</v>
      </c>
      <c r="J1380" t="str">
        <f>_xlfn.IFNA(IF(I1380&lt;&gt;0,VLOOKUP(VLOOKUP(I1380,Tbl_Equip[],2,FALSE),Tbl_Color[],IFERROR(MATCH(UI!$B$1,Tbl_Color[#Headers],0),2),FALSE),""),"Unset")</f>
        <v>紅</v>
      </c>
      <c r="K1380" t="str">
        <f>_xlfn.IFNA(IF(I1380&lt;&gt;0,VLOOKUP(I1380,ItemText[],IFERROR(MATCH(UI!$B$1,ItemText[#Headers],0),2),FALSE),""),"Unset")</f>
        <v>Unset</v>
      </c>
      <c r="L1380" t="str">
        <f t="shared" si="148"/>
        <v/>
      </c>
      <c r="M1380">
        <v>0</v>
      </c>
      <c r="N1380" t="str">
        <f>IF(VALUE(M1380)=0,"",VLOOKUP(VLOOKUP(M1380,Tbl_Effect[],3,FALSE),EffectName[],IFERROR(MATCH(UI!$B$1,EffectName[#Headers],0),2),FALSE))</f>
        <v/>
      </c>
      <c r="O1380" t="str">
        <f t="shared" si="149"/>
        <v/>
      </c>
      <c r="P1380">
        <v>0</v>
      </c>
      <c r="Q1380" t="str">
        <f>IF(VALUE(P1380)=0,"",VLOOKUP(VLOOKUP(P1380,Tbl_Effect[],3,FALSE),EffectName[],IFERROR(MATCH(UI!$B$1,EffectName[#Headers],0),2),FALSE))</f>
        <v/>
      </c>
      <c r="R1380" t="str">
        <f t="shared" si="150"/>
        <v/>
      </c>
      <c r="S1380">
        <v>0</v>
      </c>
      <c r="T1380" t="str">
        <f>IF(VALUE(S1380)=0,"",VLOOKUP(VLOOKUP(S1380,Tbl_Effect[],3,FALSE),EffectName[],IFERROR(MATCH(UI!$B$1,EffectName[#Headers],0),2),FALSE))</f>
        <v/>
      </c>
      <c r="U1380" t="str">
        <f t="shared" si="151"/>
        <v/>
      </c>
      <c r="V1380">
        <v>0</v>
      </c>
      <c r="W1380" t="str">
        <f>IF(V1380&lt;&gt;0,VLOOKUP(VLOOKUP(V1380,Tbl_Effect[],3,FALSE),EffectName[],IFERROR(MATCH(UI!$B$1,EffectName[#Headers],0),2),FALSE),"")</f>
        <v/>
      </c>
      <c r="X1380" t="str">
        <f t="shared" si="152"/>
        <v/>
      </c>
      <c r="Y1380">
        <v>0</v>
      </c>
      <c r="Z1380" t="str">
        <f>IF(Y1380&lt;&gt;0,VLOOKUP(VLOOKUP(Y1380,Tbl_Effect[],3,FALSE),EffectName[],IFERROR(MATCH(UI!$B$1,EffectName[#Headers],0),2),FALSE),"")</f>
        <v/>
      </c>
      <c r="AA1380" t="str">
        <f t="shared" si="153"/>
        <v/>
      </c>
      <c r="AB1380">
        <v>0</v>
      </c>
      <c r="AC1380" t="str">
        <f>IF(AB1380&lt;&gt;0,VLOOKUP(VLOOKUP(AB1380,Tbl_Effect[],3,FALSE),EffectName[],IFERROR(MATCH(UI!$B$1,EffectName[#Headers],0),2),FALSE),"")</f>
        <v/>
      </c>
    </row>
    <row r="1381" spans="8:29" x14ac:dyDescent="0.4">
      <c r="H1381" t="str">
        <f t="shared" si="147"/>
        <v>7370300-Unset (紅)</v>
      </c>
      <c r="I1381">
        <v>7370300</v>
      </c>
      <c r="J1381" t="str">
        <f>_xlfn.IFNA(IF(I1381&lt;&gt;0,VLOOKUP(VLOOKUP(I1381,Tbl_Equip[],2,FALSE),Tbl_Color[],IFERROR(MATCH(UI!$B$1,Tbl_Color[#Headers],0),2),FALSE),""),"Unset")</f>
        <v>紅</v>
      </c>
      <c r="K1381" t="str">
        <f>_xlfn.IFNA(IF(I1381&lt;&gt;0,VLOOKUP(I1381,ItemText[],IFERROR(MATCH(UI!$B$1,ItemText[#Headers],0),2),FALSE),""),"Unset")</f>
        <v>Unset</v>
      </c>
      <c r="L1381" t="str">
        <f t="shared" si="148"/>
        <v/>
      </c>
      <c r="M1381">
        <v>0</v>
      </c>
      <c r="N1381" t="str">
        <f>IF(VALUE(M1381)=0,"",VLOOKUP(VLOOKUP(M1381,Tbl_Effect[],3,FALSE),EffectName[],IFERROR(MATCH(UI!$B$1,EffectName[#Headers],0),2),FALSE))</f>
        <v/>
      </c>
      <c r="O1381" t="str">
        <f t="shared" si="149"/>
        <v/>
      </c>
      <c r="P1381">
        <v>0</v>
      </c>
      <c r="Q1381" t="str">
        <f>IF(VALUE(P1381)=0,"",VLOOKUP(VLOOKUP(P1381,Tbl_Effect[],3,FALSE),EffectName[],IFERROR(MATCH(UI!$B$1,EffectName[#Headers],0),2),FALSE))</f>
        <v/>
      </c>
      <c r="R1381" t="str">
        <f t="shared" si="150"/>
        <v/>
      </c>
      <c r="S1381">
        <v>0</v>
      </c>
      <c r="T1381" t="str">
        <f>IF(VALUE(S1381)=0,"",VLOOKUP(VLOOKUP(S1381,Tbl_Effect[],3,FALSE),EffectName[],IFERROR(MATCH(UI!$B$1,EffectName[#Headers],0),2),FALSE))</f>
        <v/>
      </c>
      <c r="U1381" t="str">
        <f t="shared" si="151"/>
        <v/>
      </c>
      <c r="V1381">
        <v>0</v>
      </c>
      <c r="W1381" t="str">
        <f>IF(V1381&lt;&gt;0,VLOOKUP(VLOOKUP(V1381,Tbl_Effect[],3,FALSE),EffectName[],IFERROR(MATCH(UI!$B$1,EffectName[#Headers],0),2),FALSE),"")</f>
        <v/>
      </c>
      <c r="X1381" t="str">
        <f t="shared" si="152"/>
        <v/>
      </c>
      <c r="Y1381">
        <v>0</v>
      </c>
      <c r="Z1381" t="str">
        <f>IF(Y1381&lt;&gt;0,VLOOKUP(VLOOKUP(Y1381,Tbl_Effect[],3,FALSE),EffectName[],IFERROR(MATCH(UI!$B$1,EffectName[#Headers],0),2),FALSE),"")</f>
        <v/>
      </c>
      <c r="AA1381" t="str">
        <f t="shared" si="153"/>
        <v/>
      </c>
      <c r="AB1381">
        <v>0</v>
      </c>
      <c r="AC1381" t="str">
        <f>IF(AB1381&lt;&gt;0,VLOOKUP(VLOOKUP(AB1381,Tbl_Effect[],3,FALSE),EffectName[],IFERROR(MATCH(UI!$B$1,EffectName[#Headers],0),2),FALSE),"")</f>
        <v/>
      </c>
    </row>
    <row r="1382" spans="8:29" x14ac:dyDescent="0.4">
      <c r="H1382" t="str">
        <f t="shared" si="147"/>
        <v>7370400-Unset (紅)</v>
      </c>
      <c r="I1382">
        <v>7370400</v>
      </c>
      <c r="J1382" t="str">
        <f>_xlfn.IFNA(IF(I1382&lt;&gt;0,VLOOKUP(VLOOKUP(I1382,Tbl_Equip[],2,FALSE),Tbl_Color[],IFERROR(MATCH(UI!$B$1,Tbl_Color[#Headers],0),2),FALSE),""),"Unset")</f>
        <v>紅</v>
      </c>
      <c r="K1382" t="str">
        <f>_xlfn.IFNA(IF(I1382&lt;&gt;0,VLOOKUP(I1382,ItemText[],IFERROR(MATCH(UI!$B$1,ItemText[#Headers],0),2),FALSE),""),"Unset")</f>
        <v>Unset</v>
      </c>
      <c r="L1382" t="str">
        <f t="shared" si="148"/>
        <v/>
      </c>
      <c r="M1382">
        <v>0</v>
      </c>
      <c r="N1382" t="str">
        <f>IF(VALUE(M1382)=0,"",VLOOKUP(VLOOKUP(M1382,Tbl_Effect[],3,FALSE),EffectName[],IFERROR(MATCH(UI!$B$1,EffectName[#Headers],0),2),FALSE))</f>
        <v/>
      </c>
      <c r="O1382" t="str">
        <f t="shared" si="149"/>
        <v/>
      </c>
      <c r="P1382">
        <v>0</v>
      </c>
      <c r="Q1382" t="str">
        <f>IF(VALUE(P1382)=0,"",VLOOKUP(VLOOKUP(P1382,Tbl_Effect[],3,FALSE),EffectName[],IFERROR(MATCH(UI!$B$1,EffectName[#Headers],0),2),FALSE))</f>
        <v/>
      </c>
      <c r="R1382" t="str">
        <f t="shared" si="150"/>
        <v/>
      </c>
      <c r="S1382">
        <v>0</v>
      </c>
      <c r="T1382" t="str">
        <f>IF(VALUE(S1382)=0,"",VLOOKUP(VLOOKUP(S1382,Tbl_Effect[],3,FALSE),EffectName[],IFERROR(MATCH(UI!$B$1,EffectName[#Headers],0),2),FALSE))</f>
        <v/>
      </c>
      <c r="U1382" t="str">
        <f t="shared" si="151"/>
        <v/>
      </c>
      <c r="V1382">
        <v>0</v>
      </c>
      <c r="W1382" t="str">
        <f>IF(V1382&lt;&gt;0,VLOOKUP(VLOOKUP(V1382,Tbl_Effect[],3,FALSE),EffectName[],IFERROR(MATCH(UI!$B$1,EffectName[#Headers],0),2),FALSE),"")</f>
        <v/>
      </c>
      <c r="X1382" t="str">
        <f t="shared" si="152"/>
        <v/>
      </c>
      <c r="Y1382">
        <v>0</v>
      </c>
      <c r="Z1382" t="str">
        <f>IF(Y1382&lt;&gt;0,VLOOKUP(VLOOKUP(Y1382,Tbl_Effect[],3,FALSE),EffectName[],IFERROR(MATCH(UI!$B$1,EffectName[#Headers],0),2),FALSE),"")</f>
        <v/>
      </c>
      <c r="AA1382" t="str">
        <f t="shared" si="153"/>
        <v/>
      </c>
      <c r="AB1382">
        <v>0</v>
      </c>
      <c r="AC1382" t="str">
        <f>IF(AB1382&lt;&gt;0,VLOOKUP(VLOOKUP(AB1382,Tbl_Effect[],3,FALSE),EffectName[],IFERROR(MATCH(UI!$B$1,EffectName[#Headers],0),2),FALSE),"")</f>
        <v/>
      </c>
    </row>
    <row r="1383" spans="8:29" x14ac:dyDescent="0.4">
      <c r="H1383" t="str">
        <f t="shared" si="147"/>
        <v>7370600-Unset (紅)</v>
      </c>
      <c r="I1383">
        <v>7370600</v>
      </c>
      <c r="J1383" t="str">
        <f>_xlfn.IFNA(IF(I1383&lt;&gt;0,VLOOKUP(VLOOKUP(I1383,Tbl_Equip[],2,FALSE),Tbl_Color[],IFERROR(MATCH(UI!$B$1,Tbl_Color[#Headers],0),2),FALSE),""),"Unset")</f>
        <v>紅</v>
      </c>
      <c r="K1383" t="str">
        <f>_xlfn.IFNA(IF(I1383&lt;&gt;0,VLOOKUP(I1383,ItemText[],IFERROR(MATCH(UI!$B$1,ItemText[#Headers],0),2),FALSE),""),"Unset")</f>
        <v>Unset</v>
      </c>
      <c r="L1383" t="str">
        <f t="shared" si="148"/>
        <v/>
      </c>
      <c r="M1383">
        <v>0</v>
      </c>
      <c r="N1383" t="str">
        <f>IF(VALUE(M1383)=0,"",VLOOKUP(VLOOKUP(M1383,Tbl_Effect[],3,FALSE),EffectName[],IFERROR(MATCH(UI!$B$1,EffectName[#Headers],0),2),FALSE))</f>
        <v/>
      </c>
      <c r="O1383" t="str">
        <f t="shared" si="149"/>
        <v/>
      </c>
      <c r="P1383">
        <v>0</v>
      </c>
      <c r="Q1383" t="str">
        <f>IF(VALUE(P1383)=0,"",VLOOKUP(VLOOKUP(P1383,Tbl_Effect[],3,FALSE),EffectName[],IFERROR(MATCH(UI!$B$1,EffectName[#Headers],0),2),FALSE))</f>
        <v/>
      </c>
      <c r="R1383" t="str">
        <f t="shared" si="150"/>
        <v/>
      </c>
      <c r="S1383">
        <v>0</v>
      </c>
      <c r="T1383" t="str">
        <f>IF(VALUE(S1383)=0,"",VLOOKUP(VLOOKUP(S1383,Tbl_Effect[],3,FALSE),EffectName[],IFERROR(MATCH(UI!$B$1,EffectName[#Headers],0),2),FALSE))</f>
        <v/>
      </c>
      <c r="U1383" t="str">
        <f t="shared" si="151"/>
        <v/>
      </c>
      <c r="V1383">
        <v>0</v>
      </c>
      <c r="W1383" t="str">
        <f>IF(V1383&lt;&gt;0,VLOOKUP(VLOOKUP(V1383,Tbl_Effect[],3,FALSE),EffectName[],IFERROR(MATCH(UI!$B$1,EffectName[#Headers],0),2),FALSE),"")</f>
        <v/>
      </c>
      <c r="X1383" t="str">
        <f t="shared" si="152"/>
        <v/>
      </c>
      <c r="Y1383">
        <v>0</v>
      </c>
      <c r="Z1383" t="str">
        <f>IF(Y1383&lt;&gt;0,VLOOKUP(VLOOKUP(Y1383,Tbl_Effect[],3,FALSE),EffectName[],IFERROR(MATCH(UI!$B$1,EffectName[#Headers],0),2),FALSE),"")</f>
        <v/>
      </c>
      <c r="AA1383" t="str">
        <f t="shared" si="153"/>
        <v/>
      </c>
      <c r="AB1383">
        <v>0</v>
      </c>
      <c r="AC1383" t="str">
        <f>IF(AB1383&lt;&gt;0,VLOOKUP(VLOOKUP(AB1383,Tbl_Effect[],3,FALSE),EffectName[],IFERROR(MATCH(UI!$B$1,EffectName[#Headers],0),2),FALSE),"")</f>
        <v/>
      </c>
    </row>
    <row r="1384" spans="8:29" x14ac:dyDescent="0.4">
      <c r="H1384" t="str">
        <f t="shared" si="147"/>
        <v>7370900-Unset (紅)</v>
      </c>
      <c r="I1384">
        <v>7370900</v>
      </c>
      <c r="J1384" t="str">
        <f>_xlfn.IFNA(IF(I1384&lt;&gt;0,VLOOKUP(VLOOKUP(I1384,Tbl_Equip[],2,FALSE),Tbl_Color[],IFERROR(MATCH(UI!$B$1,Tbl_Color[#Headers],0),2),FALSE),""),"Unset")</f>
        <v>紅</v>
      </c>
      <c r="K1384" t="str">
        <f>_xlfn.IFNA(IF(I1384&lt;&gt;0,VLOOKUP(I1384,ItemText[],IFERROR(MATCH(UI!$B$1,ItemText[#Headers],0),2),FALSE),""),"Unset")</f>
        <v>Unset</v>
      </c>
      <c r="L1384" t="str">
        <f t="shared" si="148"/>
        <v/>
      </c>
      <c r="M1384">
        <v>0</v>
      </c>
      <c r="N1384" t="str">
        <f>IF(VALUE(M1384)=0,"",VLOOKUP(VLOOKUP(M1384,Tbl_Effect[],3,FALSE),EffectName[],IFERROR(MATCH(UI!$B$1,EffectName[#Headers],0),2),FALSE))</f>
        <v/>
      </c>
      <c r="O1384" t="str">
        <f t="shared" si="149"/>
        <v/>
      </c>
      <c r="P1384">
        <v>0</v>
      </c>
      <c r="Q1384" t="str">
        <f>IF(VALUE(P1384)=0,"",VLOOKUP(VLOOKUP(P1384,Tbl_Effect[],3,FALSE),EffectName[],IFERROR(MATCH(UI!$B$1,EffectName[#Headers],0),2),FALSE))</f>
        <v/>
      </c>
      <c r="R1384" t="str">
        <f t="shared" si="150"/>
        <v/>
      </c>
      <c r="S1384">
        <v>0</v>
      </c>
      <c r="T1384" t="str">
        <f>IF(VALUE(S1384)=0,"",VLOOKUP(VLOOKUP(S1384,Tbl_Effect[],3,FALSE),EffectName[],IFERROR(MATCH(UI!$B$1,EffectName[#Headers],0),2),FALSE))</f>
        <v/>
      </c>
      <c r="U1384" t="str">
        <f t="shared" si="151"/>
        <v/>
      </c>
      <c r="V1384">
        <v>0</v>
      </c>
      <c r="W1384" t="str">
        <f>IF(V1384&lt;&gt;0,VLOOKUP(VLOOKUP(V1384,Tbl_Effect[],3,FALSE),EffectName[],IFERROR(MATCH(UI!$B$1,EffectName[#Headers],0),2),FALSE),"")</f>
        <v/>
      </c>
      <c r="X1384" t="str">
        <f t="shared" si="152"/>
        <v/>
      </c>
      <c r="Y1384">
        <v>0</v>
      </c>
      <c r="Z1384" t="str">
        <f>IF(Y1384&lt;&gt;0,VLOOKUP(VLOOKUP(Y1384,Tbl_Effect[],3,FALSE),EffectName[],IFERROR(MATCH(UI!$B$1,EffectName[#Headers],0),2),FALSE),"")</f>
        <v/>
      </c>
      <c r="AA1384" t="str">
        <f t="shared" si="153"/>
        <v/>
      </c>
      <c r="AB1384">
        <v>0</v>
      </c>
      <c r="AC1384" t="str">
        <f>IF(AB1384&lt;&gt;0,VLOOKUP(VLOOKUP(AB1384,Tbl_Effect[],3,FALSE),EffectName[],IFERROR(MATCH(UI!$B$1,EffectName[#Headers],0),2),FALSE),"")</f>
        <v/>
      </c>
    </row>
    <row r="1385" spans="8:29" x14ac:dyDescent="0.4">
      <c r="H1385" t="str">
        <f t="shared" si="147"/>
        <v>7371500-Unset (紅)</v>
      </c>
      <c r="I1385">
        <v>7371500</v>
      </c>
      <c r="J1385" t="str">
        <f>_xlfn.IFNA(IF(I1385&lt;&gt;0,VLOOKUP(VLOOKUP(I1385,Tbl_Equip[],2,FALSE),Tbl_Color[],IFERROR(MATCH(UI!$B$1,Tbl_Color[#Headers],0),2),FALSE),""),"Unset")</f>
        <v>紅</v>
      </c>
      <c r="K1385" t="str">
        <f>_xlfn.IFNA(IF(I1385&lt;&gt;0,VLOOKUP(I1385,ItemText[],IFERROR(MATCH(UI!$B$1,ItemText[#Headers],0),2),FALSE),""),"Unset")</f>
        <v>Unset</v>
      </c>
      <c r="L1385" t="str">
        <f t="shared" si="148"/>
        <v/>
      </c>
      <c r="M1385">
        <v>0</v>
      </c>
      <c r="N1385" t="str">
        <f>IF(VALUE(M1385)=0,"",VLOOKUP(VLOOKUP(M1385,Tbl_Effect[],3,FALSE),EffectName[],IFERROR(MATCH(UI!$B$1,EffectName[#Headers],0),2),FALSE))</f>
        <v/>
      </c>
      <c r="O1385" t="str">
        <f t="shared" si="149"/>
        <v/>
      </c>
      <c r="P1385">
        <v>0</v>
      </c>
      <c r="Q1385" t="str">
        <f>IF(VALUE(P1385)=0,"",VLOOKUP(VLOOKUP(P1385,Tbl_Effect[],3,FALSE),EffectName[],IFERROR(MATCH(UI!$B$1,EffectName[#Headers],0),2),FALSE))</f>
        <v/>
      </c>
      <c r="R1385" t="str">
        <f t="shared" si="150"/>
        <v/>
      </c>
      <c r="S1385">
        <v>0</v>
      </c>
      <c r="T1385" t="str">
        <f>IF(VALUE(S1385)=0,"",VLOOKUP(VLOOKUP(S1385,Tbl_Effect[],3,FALSE),EffectName[],IFERROR(MATCH(UI!$B$1,EffectName[#Headers],0),2),FALSE))</f>
        <v/>
      </c>
      <c r="U1385" t="str">
        <f t="shared" si="151"/>
        <v/>
      </c>
      <c r="V1385">
        <v>0</v>
      </c>
      <c r="W1385" t="str">
        <f>IF(V1385&lt;&gt;0,VLOOKUP(VLOOKUP(V1385,Tbl_Effect[],3,FALSE),EffectName[],IFERROR(MATCH(UI!$B$1,EffectName[#Headers],0),2),FALSE),"")</f>
        <v/>
      </c>
      <c r="X1385" t="str">
        <f t="shared" si="152"/>
        <v/>
      </c>
      <c r="Y1385">
        <v>0</v>
      </c>
      <c r="Z1385" t="str">
        <f>IF(Y1385&lt;&gt;0,VLOOKUP(VLOOKUP(Y1385,Tbl_Effect[],3,FALSE),EffectName[],IFERROR(MATCH(UI!$B$1,EffectName[#Headers],0),2),FALSE),"")</f>
        <v/>
      </c>
      <c r="AA1385" t="str">
        <f t="shared" si="153"/>
        <v/>
      </c>
      <c r="AB1385">
        <v>0</v>
      </c>
      <c r="AC1385" t="str">
        <f>IF(AB1385&lt;&gt;0,VLOOKUP(VLOOKUP(AB1385,Tbl_Effect[],3,FALSE),EffectName[],IFERROR(MATCH(UI!$B$1,EffectName[#Headers],0),2),FALSE),"")</f>
        <v/>
      </c>
    </row>
    <row r="1386" spans="8:29" x14ac:dyDescent="0.4">
      <c r="H1386" t="str">
        <f t="shared" si="147"/>
        <v>7999999-Unset (紅)</v>
      </c>
      <c r="I1386">
        <v>7999999</v>
      </c>
      <c r="J1386" t="str">
        <f>_xlfn.IFNA(IF(I1386&lt;&gt;0,VLOOKUP(VLOOKUP(I1386,Tbl_Equip[],2,FALSE),Tbl_Color[],IFERROR(MATCH(UI!$B$1,Tbl_Color[#Headers],0),2),FALSE),""),"Unset")</f>
        <v>紅</v>
      </c>
      <c r="K1386" t="str">
        <f>_xlfn.IFNA(IF(I1386&lt;&gt;0,VLOOKUP(I1386,ItemText[],IFERROR(MATCH(UI!$B$1,ItemText[#Headers],0),2),FALSE),""),"Unset")</f>
        <v>Unset</v>
      </c>
      <c r="L1386" t="str">
        <f t="shared" si="148"/>
        <v/>
      </c>
      <c r="M1386">
        <v>0</v>
      </c>
      <c r="N1386" t="str">
        <f>IF(VALUE(M1386)=0,"",VLOOKUP(VLOOKUP(M1386,Tbl_Effect[],3,FALSE),EffectName[],IFERROR(MATCH(UI!$B$1,EffectName[#Headers],0),2),FALSE))</f>
        <v/>
      </c>
      <c r="O1386" t="str">
        <f t="shared" si="149"/>
        <v/>
      </c>
      <c r="P1386">
        <v>0</v>
      </c>
      <c r="Q1386" t="str">
        <f>IF(VALUE(P1386)=0,"",VLOOKUP(VLOOKUP(P1386,Tbl_Effect[],3,FALSE),EffectName[],IFERROR(MATCH(UI!$B$1,EffectName[#Headers],0),2),FALSE))</f>
        <v/>
      </c>
      <c r="R1386" t="str">
        <f t="shared" si="150"/>
        <v/>
      </c>
      <c r="S1386">
        <v>0</v>
      </c>
      <c r="T1386" t="str">
        <f>IF(VALUE(S1386)=0,"",VLOOKUP(VLOOKUP(S1386,Tbl_Effect[],3,FALSE),EffectName[],IFERROR(MATCH(UI!$B$1,EffectName[#Headers],0),2),FALSE))</f>
        <v/>
      </c>
      <c r="U1386" t="str">
        <f t="shared" si="151"/>
        <v/>
      </c>
      <c r="V1386">
        <v>0</v>
      </c>
      <c r="W1386" t="str">
        <f>IF(V1386&lt;&gt;0,VLOOKUP(VLOOKUP(V1386,Tbl_Effect[],3,FALSE),EffectName[],IFERROR(MATCH(UI!$B$1,EffectName[#Headers],0),2),FALSE),"")</f>
        <v/>
      </c>
      <c r="X1386" t="str">
        <f t="shared" si="152"/>
        <v/>
      </c>
      <c r="Y1386">
        <v>0</v>
      </c>
      <c r="Z1386" t="str">
        <f>IF(Y1386&lt;&gt;0,VLOOKUP(VLOOKUP(Y1386,Tbl_Effect[],3,FALSE),EffectName[],IFERROR(MATCH(UI!$B$1,EffectName[#Headers],0),2),FALSE),"")</f>
        <v/>
      </c>
      <c r="AA1386" t="str">
        <f t="shared" si="153"/>
        <v/>
      </c>
      <c r="AB1386">
        <v>0</v>
      </c>
      <c r="AC1386" t="str">
        <f>IF(AB1386&lt;&gt;0,VLOOKUP(VLOOKUP(AB1386,Tbl_Effect[],3,FALSE),EffectName[],IFERROR(MATCH(UI!$B$1,EffectName[#Headers],0),2),FALSE),"")</f>
        <v/>
      </c>
    </row>
    <row r="1387" spans="8:29" x14ac:dyDescent="0.4">
      <c r="H1387" t="str">
        <f t="shared" si="147"/>
        <v/>
      </c>
      <c r="I1387">
        <v>0</v>
      </c>
      <c r="J1387" t="str">
        <f>_xlfn.IFNA(IF(I1387&lt;&gt;0,VLOOKUP(VLOOKUP(I1387,Tbl_Equip[],2,FALSE),Tbl_Color[],IFERROR(MATCH(UI!$B$1,Tbl_Color[#Headers],0),2),FALSE),""),"Unset")</f>
        <v/>
      </c>
      <c r="K1387" t="str">
        <f>_xlfn.IFNA(IF(I1387&lt;&gt;0,VLOOKUP(I1387,ItemText[],IFERROR(MATCH(UI!$B$1,ItemText[#Headers],0),2),FALSE),""),"Unset")</f>
        <v/>
      </c>
      <c r="M1387">
        <v>0</v>
      </c>
      <c r="P1387">
        <v>0</v>
      </c>
      <c r="S1387">
        <v>0</v>
      </c>
      <c r="T1387" t="str">
        <f>IF(VALUE(S1387)=0,"",VLOOKUP(VLOOKUP(S1387,Tbl_Effect[],3,FALSE),EffectName[],IFERROR(MATCH(UI!$B$1,EffectName[#Headers],0),2),FALSE))</f>
        <v/>
      </c>
      <c r="U1387" t="str">
        <f t="shared" si="151"/>
        <v/>
      </c>
      <c r="V1387">
        <v>0</v>
      </c>
      <c r="W1387" t="str">
        <f>IF(V1387&lt;&gt;0,VLOOKUP(VLOOKUP(V1387,Tbl_Effect[],3,FALSE),EffectName[],IFERROR(MATCH(UI!$B$1,EffectName[#Headers],0),2),FALSE),"")</f>
        <v/>
      </c>
      <c r="X1387" t="str">
        <f t="shared" si="152"/>
        <v/>
      </c>
      <c r="Y1387">
        <v>0</v>
      </c>
      <c r="Z1387" t="str">
        <f>IF(Y1387&lt;&gt;0,VLOOKUP(VLOOKUP(Y1387,Tbl_Effect[],3,FALSE),EffectName[],IFERROR(MATCH(UI!$B$1,EffectName[#Headers],0),2),FALSE),"")</f>
        <v/>
      </c>
      <c r="AA1387" t="str">
        <f t="shared" si="153"/>
        <v/>
      </c>
      <c r="AB1387">
        <v>0</v>
      </c>
      <c r="AC1387" t="str">
        <f>IF(AB1387&lt;&gt;0,VLOOKUP(VLOOKUP(AB1387,Tbl_Effect[],3,FALSE),EffectName[],IFERROR(MATCH(UI!$B$1,EffectName[#Headers],0),2),FALSE),"")</f>
        <v/>
      </c>
    </row>
    <row r="1388" spans="8:29" x14ac:dyDescent="0.4">
      <c r="H1388" t="str">
        <f t="shared" si="147"/>
        <v/>
      </c>
      <c r="I1388">
        <v>0</v>
      </c>
      <c r="J1388" t="str">
        <f>_xlfn.IFNA(IF(I1388&lt;&gt;0,VLOOKUP(VLOOKUP(I1388,Tbl_Equip[],2,FALSE),Tbl_Color[],IFERROR(MATCH(UI!$B$1,Tbl_Color[#Headers],0),2),FALSE),""),"Unset")</f>
        <v/>
      </c>
      <c r="K1388" t="str">
        <f>_xlfn.IFNA(IF(I1388&lt;&gt;0,VLOOKUP(I1388,ItemText[],IFERROR(MATCH(UI!$B$1,ItemText[#Headers],0),2),FALSE),""),"Unset")</f>
        <v/>
      </c>
      <c r="M1388">
        <v>0</v>
      </c>
      <c r="P1388">
        <v>0</v>
      </c>
      <c r="S1388">
        <v>0</v>
      </c>
      <c r="T1388" t="str">
        <f>IF(VALUE(S1388)=0,"",VLOOKUP(VLOOKUP(S1388,Tbl_Effect[],3,FALSE),EffectName[],IFERROR(MATCH(UI!$B$1,EffectName[#Headers],0),2),FALSE))</f>
        <v/>
      </c>
      <c r="U1388" t="str">
        <f t="shared" si="151"/>
        <v/>
      </c>
      <c r="V1388">
        <v>0</v>
      </c>
      <c r="W1388" t="str">
        <f>IF(V1388&lt;&gt;0,VLOOKUP(VLOOKUP(V1388,Tbl_Effect[],3,FALSE),EffectName[],IFERROR(MATCH(UI!$B$1,EffectName[#Headers],0),2),FALSE),"")</f>
        <v/>
      </c>
      <c r="X1388" t="str">
        <f t="shared" si="152"/>
        <v/>
      </c>
      <c r="Y1388">
        <v>0</v>
      </c>
      <c r="Z1388" t="str">
        <f>IF(Y1388&lt;&gt;0,VLOOKUP(VLOOKUP(Y1388,Tbl_Effect[],3,FALSE),EffectName[],IFERROR(MATCH(UI!$B$1,EffectName[#Headers],0),2),FALSE),"")</f>
        <v/>
      </c>
      <c r="AA1388" t="str">
        <f t="shared" si="153"/>
        <v/>
      </c>
      <c r="AB1388">
        <v>0</v>
      </c>
      <c r="AC1388" t="str">
        <f>IF(AB1388&lt;&gt;0,VLOOKUP(VLOOKUP(AB1388,Tbl_Effect[],3,FALSE),EffectName[],IFERROR(MATCH(UI!$B$1,EffectName[#Headers],0),2),FALSE),"")</f>
        <v/>
      </c>
    </row>
    <row r="1389" spans="8:29" x14ac:dyDescent="0.4">
      <c r="H1389" t="str">
        <f t="shared" si="147"/>
        <v/>
      </c>
      <c r="I1389">
        <v>0</v>
      </c>
      <c r="J1389" t="str">
        <f>_xlfn.IFNA(IF(I1389&lt;&gt;0,VLOOKUP(VLOOKUP(I1389,Tbl_Equip[],2,FALSE),Tbl_Color[],IFERROR(MATCH(UI!$B$1,Tbl_Color[#Headers],0),2),FALSE),""),"Unset")</f>
        <v/>
      </c>
      <c r="K1389" t="str">
        <f>_xlfn.IFNA(IF(I1389&lt;&gt;0,VLOOKUP(I1389,ItemText[],IFERROR(MATCH(UI!$B$1,ItemText[#Headers],0),2),FALSE),""),"Unset")</f>
        <v/>
      </c>
      <c r="M1389">
        <v>0</v>
      </c>
      <c r="P1389">
        <v>0</v>
      </c>
      <c r="S1389">
        <v>0</v>
      </c>
      <c r="T1389" t="str">
        <f>IF(VALUE(S1389)=0,"",VLOOKUP(VLOOKUP(S1389,Tbl_Effect[],3,FALSE),EffectName[],IFERROR(MATCH(UI!$B$1,EffectName[#Headers],0),2),FALSE))</f>
        <v/>
      </c>
      <c r="U1389" t="str">
        <f t="shared" si="151"/>
        <v/>
      </c>
      <c r="V1389">
        <v>0</v>
      </c>
      <c r="W1389" t="str">
        <f>IF(V1389&lt;&gt;0,VLOOKUP(VLOOKUP(V1389,Tbl_Effect[],3,FALSE),EffectName[],IFERROR(MATCH(UI!$B$1,EffectName[#Headers],0),2),FALSE),"")</f>
        <v/>
      </c>
      <c r="X1389" t="str">
        <f t="shared" si="152"/>
        <v/>
      </c>
      <c r="Y1389">
        <v>0</v>
      </c>
      <c r="Z1389" t="str">
        <f>IF(Y1389&lt;&gt;0,VLOOKUP(VLOOKUP(Y1389,Tbl_Effect[],3,FALSE),EffectName[],IFERROR(MATCH(UI!$B$1,EffectName[#Headers],0),2),FALSE),"")</f>
        <v/>
      </c>
      <c r="AA1389" t="str">
        <f t="shared" si="153"/>
        <v/>
      </c>
      <c r="AB1389">
        <v>0</v>
      </c>
      <c r="AC1389" t="str">
        <f>IF(AB1389&lt;&gt;0,VLOOKUP(VLOOKUP(AB1389,Tbl_Effect[],3,FALSE),EffectName[],IFERROR(MATCH(UI!$B$1,EffectName[#Headers],0),2),FALSE),"")</f>
        <v/>
      </c>
    </row>
    <row r="1390" spans="8:29" x14ac:dyDescent="0.4">
      <c r="H1390" t="str">
        <f t="shared" si="147"/>
        <v/>
      </c>
      <c r="I1390">
        <v>0</v>
      </c>
      <c r="J1390" t="str">
        <f>_xlfn.IFNA(IF(I1390&lt;&gt;0,VLOOKUP(VLOOKUP(I1390,Tbl_Equip[],2,FALSE),Tbl_Color[],IFERROR(MATCH(UI!$B$1,Tbl_Color[#Headers],0),2),FALSE),""),"Unset")</f>
        <v/>
      </c>
      <c r="K1390" t="str">
        <f>_xlfn.IFNA(IF(I1390&lt;&gt;0,VLOOKUP(I1390,ItemText[],IFERROR(MATCH(UI!$B$1,ItemText[#Headers],0),2),FALSE),""),"Unset")</f>
        <v/>
      </c>
      <c r="M1390">
        <v>0</v>
      </c>
      <c r="P1390">
        <v>0</v>
      </c>
      <c r="S1390">
        <v>0</v>
      </c>
      <c r="T1390" t="str">
        <f>IF(VALUE(S1390)=0,"",VLOOKUP(VLOOKUP(S1390,Tbl_Effect[],3,FALSE),EffectName[],IFERROR(MATCH(UI!$B$1,EffectName[#Headers],0),2),FALSE))</f>
        <v/>
      </c>
      <c r="U1390" t="str">
        <f t="shared" si="151"/>
        <v/>
      </c>
      <c r="V1390">
        <v>0</v>
      </c>
      <c r="W1390" t="str">
        <f>IF(V1390&lt;&gt;0,VLOOKUP(VLOOKUP(V1390,Tbl_Effect[],3,FALSE),EffectName[],IFERROR(MATCH(UI!$B$1,EffectName[#Headers],0),2),FALSE),"")</f>
        <v/>
      </c>
      <c r="X1390" t="str">
        <f t="shared" si="152"/>
        <v/>
      </c>
      <c r="Y1390">
        <v>0</v>
      </c>
      <c r="Z1390" t="str">
        <f>IF(Y1390&lt;&gt;0,VLOOKUP(VLOOKUP(Y1390,Tbl_Effect[],3,FALSE),EffectName[],IFERROR(MATCH(UI!$B$1,EffectName[#Headers],0),2),FALSE),"")</f>
        <v/>
      </c>
      <c r="AA1390" t="str">
        <f t="shared" si="153"/>
        <v/>
      </c>
      <c r="AB1390">
        <v>0</v>
      </c>
      <c r="AC1390" t="str">
        <f>IF(AB1390&lt;&gt;0,VLOOKUP(VLOOKUP(AB1390,Tbl_Effect[],3,FALSE),EffectName[],IFERROR(MATCH(UI!$B$1,EffectName[#Headers],0),2),FALSE),"")</f>
        <v/>
      </c>
    </row>
    <row r="1391" spans="8:29" x14ac:dyDescent="0.4">
      <c r="H1391" t="str">
        <f t="shared" si="147"/>
        <v/>
      </c>
      <c r="I1391">
        <v>0</v>
      </c>
      <c r="J1391" t="str">
        <f>_xlfn.IFNA(IF(I1391&lt;&gt;0,VLOOKUP(VLOOKUP(I1391,Tbl_Equip[],2,FALSE),Tbl_Color[],IFERROR(MATCH(UI!$B$1,Tbl_Color[#Headers],0),2),FALSE),""),"Unset")</f>
        <v/>
      </c>
      <c r="K1391" t="str">
        <f>_xlfn.IFNA(IF(I1391&lt;&gt;0,VLOOKUP(I1391,ItemText[],IFERROR(MATCH(UI!$B$1,ItemText[#Headers],0),2),FALSE),""),"Unset")</f>
        <v/>
      </c>
      <c r="M1391">
        <v>0</v>
      </c>
      <c r="P1391">
        <v>0</v>
      </c>
      <c r="S1391">
        <v>0</v>
      </c>
      <c r="T1391" t="str">
        <f>IF(VALUE(S1391)=0,"",VLOOKUP(VLOOKUP(S1391,Tbl_Effect[],3,FALSE),EffectName[],IFERROR(MATCH(UI!$B$1,EffectName[#Headers],0),2),FALSE))</f>
        <v/>
      </c>
      <c r="U1391" t="str">
        <f t="shared" si="151"/>
        <v/>
      </c>
      <c r="V1391">
        <v>0</v>
      </c>
      <c r="W1391" t="str">
        <f>IF(V1391&lt;&gt;0,VLOOKUP(VLOOKUP(V1391,Tbl_Effect[],3,FALSE),EffectName[],IFERROR(MATCH(UI!$B$1,EffectName[#Headers],0),2),FALSE),"")</f>
        <v/>
      </c>
      <c r="X1391" t="str">
        <f t="shared" si="152"/>
        <v/>
      </c>
      <c r="Y1391">
        <v>0</v>
      </c>
      <c r="Z1391" t="str">
        <f>IF(Y1391&lt;&gt;0,VLOOKUP(VLOOKUP(Y1391,Tbl_Effect[],3,FALSE),EffectName[],IFERROR(MATCH(UI!$B$1,EffectName[#Headers],0),2),FALSE),"")</f>
        <v/>
      </c>
      <c r="AA1391" t="str">
        <f t="shared" si="153"/>
        <v/>
      </c>
      <c r="AB1391">
        <v>0</v>
      </c>
      <c r="AC1391" t="str">
        <f>IF(AB1391&lt;&gt;0,VLOOKUP(VLOOKUP(AB1391,Tbl_Effect[],3,FALSE),EffectName[],IFERROR(MATCH(UI!$B$1,EffectName[#Headers],0),2),FALSE),"")</f>
        <v/>
      </c>
    </row>
    <row r="1392" spans="8:29" x14ac:dyDescent="0.4">
      <c r="H1392" t="str">
        <f t="shared" si="147"/>
        <v/>
      </c>
      <c r="I1392">
        <v>0</v>
      </c>
      <c r="J1392" t="str">
        <f>_xlfn.IFNA(IF(I1392&lt;&gt;0,VLOOKUP(VLOOKUP(I1392,Tbl_Equip[],2,FALSE),Tbl_Color[],IFERROR(MATCH(UI!$B$1,Tbl_Color[#Headers],0),2),FALSE),""),"Unset")</f>
        <v/>
      </c>
      <c r="K1392" t="str">
        <f>_xlfn.IFNA(IF(I1392&lt;&gt;0,VLOOKUP(I1392,ItemText[],IFERROR(MATCH(UI!$B$1,ItemText[#Headers],0),2),FALSE),""),"Unset")</f>
        <v/>
      </c>
      <c r="M1392">
        <v>0</v>
      </c>
      <c r="P1392">
        <v>0</v>
      </c>
      <c r="S1392">
        <v>0</v>
      </c>
      <c r="T1392" t="str">
        <f>IF(VALUE(S1392)=0,"",VLOOKUP(VLOOKUP(S1392,Tbl_Effect[],3,FALSE),EffectName[],IFERROR(MATCH(UI!$B$1,EffectName[#Headers],0),2),FALSE))</f>
        <v/>
      </c>
      <c r="U1392" t="str">
        <f t="shared" si="151"/>
        <v/>
      </c>
      <c r="V1392">
        <v>0</v>
      </c>
      <c r="W1392" t="str">
        <f>IF(V1392&lt;&gt;0,VLOOKUP(VLOOKUP(V1392,Tbl_Effect[],3,FALSE),EffectName[],IFERROR(MATCH(UI!$B$1,EffectName[#Headers],0),2),FALSE),"")</f>
        <v/>
      </c>
      <c r="X1392" t="str">
        <f t="shared" si="152"/>
        <v/>
      </c>
      <c r="Y1392">
        <v>0</v>
      </c>
      <c r="Z1392" t="str">
        <f>IF(Y1392&lt;&gt;0,VLOOKUP(VLOOKUP(Y1392,Tbl_Effect[],3,FALSE),EffectName[],IFERROR(MATCH(UI!$B$1,EffectName[#Headers],0),2),FALSE),"")</f>
        <v/>
      </c>
      <c r="AA1392" t="str">
        <f t="shared" si="153"/>
        <v/>
      </c>
      <c r="AB1392">
        <v>0</v>
      </c>
      <c r="AC1392" t="str">
        <f>IF(AB1392&lt;&gt;0,VLOOKUP(VLOOKUP(AB1392,Tbl_Effect[],3,FALSE),EffectName[],IFERROR(MATCH(UI!$B$1,EffectName[#Headers],0),2),FALSE),"")</f>
        <v/>
      </c>
    </row>
    <row r="1393" spans="8:29" x14ac:dyDescent="0.4">
      <c r="H1393" t="str">
        <f t="shared" si="147"/>
        <v/>
      </c>
      <c r="I1393">
        <v>0</v>
      </c>
      <c r="J1393" t="str">
        <f>_xlfn.IFNA(IF(I1393&lt;&gt;0,VLOOKUP(VLOOKUP(I1393,Tbl_Equip[],2,FALSE),Tbl_Color[],IFERROR(MATCH(UI!$B$1,Tbl_Color[#Headers],0),2),FALSE),""),"Unset")</f>
        <v/>
      </c>
      <c r="K1393" t="str">
        <f>_xlfn.IFNA(IF(I1393&lt;&gt;0,VLOOKUP(I1393,ItemText[],IFERROR(MATCH(UI!$B$1,ItemText[#Headers],0),2),FALSE),""),"Unset")</f>
        <v/>
      </c>
      <c r="M1393">
        <v>0</v>
      </c>
      <c r="P1393">
        <v>0</v>
      </c>
      <c r="S1393">
        <v>0</v>
      </c>
      <c r="T1393" t="str">
        <f>IF(VALUE(S1393)=0,"",VLOOKUP(VLOOKUP(S1393,Tbl_Effect[],3,FALSE),EffectName[],IFERROR(MATCH(UI!$B$1,EffectName[#Headers],0),2),FALSE))</f>
        <v/>
      </c>
      <c r="U1393" t="str">
        <f t="shared" si="151"/>
        <v/>
      </c>
      <c r="V1393">
        <v>0</v>
      </c>
      <c r="W1393" t="str">
        <f>IF(V1393&lt;&gt;0,VLOOKUP(VLOOKUP(V1393,Tbl_Effect[],3,FALSE),EffectName[],IFERROR(MATCH(UI!$B$1,EffectName[#Headers],0),2),FALSE),"")</f>
        <v/>
      </c>
      <c r="X1393" t="str">
        <f t="shared" si="152"/>
        <v/>
      </c>
      <c r="Y1393">
        <v>0</v>
      </c>
      <c r="Z1393" t="str">
        <f>IF(Y1393&lt;&gt;0,VLOOKUP(VLOOKUP(Y1393,Tbl_Effect[],3,FALSE),EffectName[],IFERROR(MATCH(UI!$B$1,EffectName[#Headers],0),2),FALSE),"")</f>
        <v/>
      </c>
      <c r="AA1393" t="str">
        <f t="shared" si="153"/>
        <v/>
      </c>
      <c r="AB1393">
        <v>0</v>
      </c>
      <c r="AC1393" t="str">
        <f>IF(AB1393&lt;&gt;0,VLOOKUP(VLOOKUP(AB1393,Tbl_Effect[],3,FALSE),EffectName[],IFERROR(MATCH(UI!$B$1,EffectName[#Headers],0),2),FALSE),"")</f>
        <v/>
      </c>
    </row>
    <row r="1394" spans="8:29" x14ac:dyDescent="0.4">
      <c r="H1394" t="str">
        <f t="shared" si="147"/>
        <v/>
      </c>
      <c r="I1394">
        <v>0</v>
      </c>
      <c r="J1394" t="str">
        <f>_xlfn.IFNA(IF(I1394&lt;&gt;0,VLOOKUP(VLOOKUP(I1394,Tbl_Equip[],2,FALSE),Tbl_Color[],IFERROR(MATCH(UI!$B$1,Tbl_Color[#Headers],0),2),FALSE),""),"Unset")</f>
        <v/>
      </c>
      <c r="K1394" t="str">
        <f>_xlfn.IFNA(IF(I1394&lt;&gt;0,VLOOKUP(I1394,ItemText[],IFERROR(MATCH(UI!$B$1,ItemText[#Headers],0),2),FALSE),""),"Unset")</f>
        <v/>
      </c>
      <c r="M1394">
        <v>0</v>
      </c>
      <c r="P1394">
        <v>0</v>
      </c>
      <c r="S1394">
        <v>0</v>
      </c>
      <c r="T1394" t="str">
        <f>IF(VALUE(S1394)=0,"",VLOOKUP(VLOOKUP(S1394,Tbl_Effect[],3,FALSE),EffectName[],IFERROR(MATCH(UI!$B$1,EffectName[#Headers],0),2),FALSE))</f>
        <v/>
      </c>
      <c r="U1394" t="str">
        <f t="shared" si="151"/>
        <v/>
      </c>
      <c r="V1394">
        <v>0</v>
      </c>
      <c r="W1394" t="str">
        <f>IF(V1394&lt;&gt;0,VLOOKUP(VLOOKUP(V1394,Tbl_Effect[],3,FALSE),EffectName[],IFERROR(MATCH(UI!$B$1,EffectName[#Headers],0),2),FALSE),"")</f>
        <v/>
      </c>
      <c r="X1394" t="str">
        <f t="shared" si="152"/>
        <v/>
      </c>
      <c r="Y1394">
        <v>0</v>
      </c>
      <c r="Z1394" t="str">
        <f>IF(Y1394&lt;&gt;0,VLOOKUP(VLOOKUP(Y1394,Tbl_Effect[],3,FALSE),EffectName[],IFERROR(MATCH(UI!$B$1,EffectName[#Headers],0),2),FALSE),"")</f>
        <v/>
      </c>
      <c r="AA1394" t="str">
        <f t="shared" si="153"/>
        <v/>
      </c>
      <c r="AB1394">
        <v>0</v>
      </c>
      <c r="AC1394" t="str">
        <f>IF(AB1394&lt;&gt;0,VLOOKUP(VLOOKUP(AB1394,Tbl_Effect[],3,FALSE),EffectName[],IFERROR(MATCH(UI!$B$1,EffectName[#Headers],0),2),FALSE),"")</f>
        <v/>
      </c>
    </row>
    <row r="1395" spans="8:29" x14ac:dyDescent="0.4">
      <c r="H1395" t="str">
        <f t="shared" si="147"/>
        <v/>
      </c>
      <c r="I1395">
        <v>0</v>
      </c>
      <c r="J1395" t="str">
        <f>_xlfn.IFNA(IF(I1395&lt;&gt;0,VLOOKUP(VLOOKUP(I1395,Tbl_Equip[],2,FALSE),Tbl_Color[],IFERROR(MATCH(UI!$B$1,Tbl_Color[#Headers],0),2),FALSE),""),"Unset")</f>
        <v/>
      </c>
      <c r="K1395" t="str">
        <f>_xlfn.IFNA(IF(I1395&lt;&gt;0,VLOOKUP(I1395,ItemText[],IFERROR(MATCH(UI!$B$1,ItemText[#Headers],0),2),FALSE),""),"Unset")</f>
        <v/>
      </c>
      <c r="M1395">
        <v>0</v>
      </c>
      <c r="P1395">
        <v>0</v>
      </c>
      <c r="S1395">
        <v>0</v>
      </c>
      <c r="T1395" t="str">
        <f>IF(VALUE(S1395)=0,"",VLOOKUP(VLOOKUP(S1395,Tbl_Effect[],3,FALSE),EffectName[],IFERROR(MATCH(UI!$B$1,EffectName[#Headers],0),2),FALSE))</f>
        <v/>
      </c>
      <c r="U1395" t="str">
        <f t="shared" si="151"/>
        <v/>
      </c>
      <c r="V1395">
        <v>0</v>
      </c>
      <c r="W1395" t="str">
        <f>IF(V1395&lt;&gt;0,VLOOKUP(VLOOKUP(V1395,Tbl_Effect[],3,FALSE),EffectName[],IFERROR(MATCH(UI!$B$1,EffectName[#Headers],0),2),FALSE),"")</f>
        <v/>
      </c>
      <c r="X1395" t="str">
        <f t="shared" si="152"/>
        <v/>
      </c>
      <c r="Y1395">
        <v>0</v>
      </c>
      <c r="Z1395" t="str">
        <f>IF(Y1395&lt;&gt;0,VLOOKUP(VLOOKUP(Y1395,Tbl_Effect[],3,FALSE),EffectName[],IFERROR(MATCH(UI!$B$1,EffectName[#Headers],0),2),FALSE),"")</f>
        <v/>
      </c>
      <c r="AA1395" t="str">
        <f t="shared" si="153"/>
        <v/>
      </c>
      <c r="AB1395">
        <v>0</v>
      </c>
      <c r="AC1395" t="str">
        <f>IF(AB1395&lt;&gt;0,VLOOKUP(VLOOKUP(AB1395,Tbl_Effect[],3,FALSE),EffectName[],IFERROR(MATCH(UI!$B$1,EffectName[#Headers],0),2),FALSE),"")</f>
        <v/>
      </c>
    </row>
    <row r="1396" spans="8:29" x14ac:dyDescent="0.4">
      <c r="H1396" t="str">
        <f t="shared" si="147"/>
        <v/>
      </c>
      <c r="I1396">
        <v>0</v>
      </c>
      <c r="J1396" t="str">
        <f>_xlfn.IFNA(IF(I1396&lt;&gt;0,VLOOKUP(VLOOKUP(I1396,Tbl_Equip[],2,FALSE),Tbl_Color[],IFERROR(MATCH(UI!$B$1,Tbl_Color[#Headers],0),2),FALSE),""),"Unset")</f>
        <v/>
      </c>
      <c r="K1396" t="str">
        <f>_xlfn.IFNA(IF(I1396&lt;&gt;0,VLOOKUP(I1396,ItemText[],IFERROR(MATCH(UI!$B$1,ItemText[#Headers],0),2),FALSE),""),"Unset")</f>
        <v/>
      </c>
      <c r="M1396">
        <v>0</v>
      </c>
      <c r="P1396">
        <v>0</v>
      </c>
      <c r="S1396">
        <v>0</v>
      </c>
      <c r="T1396" t="str">
        <f>IF(VALUE(S1396)=0,"",VLOOKUP(VLOOKUP(S1396,Tbl_Effect[],3,FALSE),EffectName[],IFERROR(MATCH(UI!$B$1,EffectName[#Headers],0),2),FALSE))</f>
        <v/>
      </c>
      <c r="U1396" t="str">
        <f t="shared" si="151"/>
        <v/>
      </c>
      <c r="V1396">
        <v>0</v>
      </c>
      <c r="W1396" t="str">
        <f>IF(V1396&lt;&gt;0,VLOOKUP(VLOOKUP(V1396,Tbl_Effect[],3,FALSE),EffectName[],IFERROR(MATCH(UI!$B$1,EffectName[#Headers],0),2),FALSE),"")</f>
        <v/>
      </c>
      <c r="X1396" t="str">
        <f t="shared" si="152"/>
        <v/>
      </c>
      <c r="Y1396">
        <v>0</v>
      </c>
      <c r="Z1396" t="str">
        <f>IF(Y1396&lt;&gt;0,VLOOKUP(VLOOKUP(Y1396,Tbl_Effect[],3,FALSE),EffectName[],IFERROR(MATCH(UI!$B$1,EffectName[#Headers],0),2),FALSE),"")</f>
        <v/>
      </c>
      <c r="AA1396" t="str">
        <f t="shared" si="153"/>
        <v/>
      </c>
      <c r="AB1396">
        <v>0</v>
      </c>
      <c r="AC1396" t="str">
        <f>IF(AB1396&lt;&gt;0,VLOOKUP(VLOOKUP(AB1396,Tbl_Effect[],3,FALSE),EffectName[],IFERROR(MATCH(UI!$B$1,EffectName[#Headers],0),2),FALSE),"")</f>
        <v/>
      </c>
    </row>
    <row r="1397" spans="8:29" x14ac:dyDescent="0.4">
      <c r="H1397" t="str">
        <f t="shared" si="147"/>
        <v/>
      </c>
      <c r="I1397">
        <v>0</v>
      </c>
      <c r="J1397" t="str">
        <f>_xlfn.IFNA(IF(I1397&lt;&gt;0,VLOOKUP(VLOOKUP(I1397,Tbl_Equip[],2,FALSE),Tbl_Color[],IFERROR(MATCH(UI!$B$1,Tbl_Color[#Headers],0),2),FALSE),""),"Unset")</f>
        <v/>
      </c>
      <c r="K1397" t="str">
        <f>_xlfn.IFNA(IF(I1397&lt;&gt;0,VLOOKUP(I1397,ItemText[],IFERROR(MATCH(UI!$B$1,ItemText[#Headers],0),2),FALSE),""),"Unset")</f>
        <v/>
      </c>
      <c r="M1397">
        <v>0</v>
      </c>
      <c r="P1397">
        <v>0</v>
      </c>
      <c r="S1397">
        <v>0</v>
      </c>
      <c r="T1397" t="str">
        <f>IF(VALUE(S1397)=0,"",VLOOKUP(VLOOKUP(S1397,Tbl_Effect[],3,FALSE),EffectName[],IFERROR(MATCH(UI!$B$1,EffectName[#Headers],0),2),FALSE))</f>
        <v/>
      </c>
      <c r="U1397" t="str">
        <f t="shared" si="151"/>
        <v/>
      </c>
      <c r="V1397">
        <v>0</v>
      </c>
      <c r="W1397" t="str">
        <f>IF(V1397&lt;&gt;0,VLOOKUP(VLOOKUP(V1397,Tbl_Effect[],3,FALSE),EffectName[],IFERROR(MATCH(UI!$B$1,EffectName[#Headers],0),2),FALSE),"")</f>
        <v/>
      </c>
      <c r="X1397" t="str">
        <f t="shared" si="152"/>
        <v/>
      </c>
      <c r="Y1397">
        <v>0</v>
      </c>
      <c r="Z1397" t="str">
        <f>IF(Y1397&lt;&gt;0,VLOOKUP(VLOOKUP(Y1397,Tbl_Effect[],3,FALSE),EffectName[],IFERROR(MATCH(UI!$B$1,EffectName[#Headers],0),2),FALSE),"")</f>
        <v/>
      </c>
      <c r="AA1397" t="str">
        <f t="shared" si="153"/>
        <v/>
      </c>
      <c r="AB1397">
        <v>0</v>
      </c>
      <c r="AC1397" t="str">
        <f>IF(AB1397&lt;&gt;0,VLOOKUP(VLOOKUP(AB1397,Tbl_Effect[],3,FALSE),EffectName[],IFERROR(MATCH(UI!$B$1,EffectName[#Headers],0),2),FALSE),"")</f>
        <v/>
      </c>
    </row>
    <row r="1398" spans="8:29" x14ac:dyDescent="0.4">
      <c r="H1398" t="str">
        <f t="shared" si="147"/>
        <v/>
      </c>
      <c r="I1398">
        <v>0</v>
      </c>
      <c r="J1398" t="str">
        <f>_xlfn.IFNA(IF(I1398&lt;&gt;0,VLOOKUP(VLOOKUP(I1398,Tbl_Equip[],2,FALSE),Tbl_Color[],IFERROR(MATCH(UI!$B$1,Tbl_Color[#Headers],0),2),FALSE),""),"Unset")</f>
        <v/>
      </c>
      <c r="K1398" t="str">
        <f>_xlfn.IFNA(IF(I1398&lt;&gt;0,VLOOKUP(I1398,ItemText[],IFERROR(MATCH(UI!$B$1,ItemText[#Headers],0),2),FALSE),""),"Unset")</f>
        <v/>
      </c>
      <c r="M1398">
        <v>0</v>
      </c>
      <c r="P1398">
        <v>0</v>
      </c>
      <c r="S1398">
        <v>0</v>
      </c>
      <c r="T1398" t="str">
        <f>IF(VALUE(S1398)=0,"",VLOOKUP(VLOOKUP(S1398,Tbl_Effect[],3,FALSE),EffectName[],IFERROR(MATCH(UI!$B$1,EffectName[#Headers],0),2),FALSE))</f>
        <v/>
      </c>
      <c r="U1398" t="str">
        <f t="shared" si="151"/>
        <v/>
      </c>
      <c r="V1398">
        <v>0</v>
      </c>
      <c r="W1398" t="str">
        <f>IF(V1398&lt;&gt;0,VLOOKUP(VLOOKUP(V1398,Tbl_Effect[],3,FALSE),EffectName[],IFERROR(MATCH(UI!$B$1,EffectName[#Headers],0),2),FALSE),"")</f>
        <v/>
      </c>
      <c r="X1398" t="str">
        <f t="shared" si="152"/>
        <v/>
      </c>
      <c r="Y1398">
        <v>0</v>
      </c>
      <c r="Z1398" t="str">
        <f>IF(Y1398&lt;&gt;0,VLOOKUP(VLOOKUP(Y1398,Tbl_Effect[],3,FALSE),EffectName[],IFERROR(MATCH(UI!$B$1,EffectName[#Headers],0),2),FALSE),"")</f>
        <v/>
      </c>
      <c r="AA1398" t="str">
        <f t="shared" si="153"/>
        <v/>
      </c>
      <c r="AB1398">
        <v>0</v>
      </c>
      <c r="AC1398" t="str">
        <f>IF(AB1398&lt;&gt;0,VLOOKUP(VLOOKUP(AB1398,Tbl_Effect[],3,FALSE),EffectName[],IFERROR(MATCH(UI!$B$1,EffectName[#Headers],0),2),FALSE),"")</f>
        <v/>
      </c>
    </row>
    <row r="1399" spans="8:29" x14ac:dyDescent="0.4">
      <c r="H1399" t="str">
        <f t="shared" si="147"/>
        <v/>
      </c>
      <c r="I1399">
        <v>0</v>
      </c>
      <c r="J1399" t="str">
        <f>_xlfn.IFNA(IF(I1399&lt;&gt;0,VLOOKUP(VLOOKUP(I1399,Tbl_Equip[],2,FALSE),Tbl_Color[],IFERROR(MATCH(UI!$B$1,Tbl_Color[#Headers],0),2),FALSE),""),"Unset")</f>
        <v/>
      </c>
      <c r="K1399" t="str">
        <f>_xlfn.IFNA(IF(I1399&lt;&gt;0,VLOOKUP(I1399,ItemText[],IFERROR(MATCH(UI!$B$1,ItemText[#Headers],0),2),FALSE),""),"Unset")</f>
        <v/>
      </c>
      <c r="M1399">
        <v>0</v>
      </c>
      <c r="P1399">
        <v>0</v>
      </c>
      <c r="S1399">
        <v>0</v>
      </c>
      <c r="T1399" t="str">
        <f>IF(VALUE(S1399)=0,"",VLOOKUP(VLOOKUP(S1399,Tbl_Effect[],3,FALSE),EffectName[],IFERROR(MATCH(UI!$B$1,EffectName[#Headers],0),2),FALSE))</f>
        <v/>
      </c>
      <c r="U1399" t="str">
        <f t="shared" si="151"/>
        <v/>
      </c>
      <c r="V1399">
        <v>0</v>
      </c>
      <c r="W1399" t="str">
        <f>IF(V1399&lt;&gt;0,VLOOKUP(VLOOKUP(V1399,Tbl_Effect[],3,FALSE),EffectName[],IFERROR(MATCH(UI!$B$1,EffectName[#Headers],0),2),FALSE),"")</f>
        <v/>
      </c>
      <c r="X1399" t="str">
        <f t="shared" si="152"/>
        <v/>
      </c>
      <c r="Y1399">
        <v>0</v>
      </c>
      <c r="Z1399" t="str">
        <f>IF(Y1399&lt;&gt;0,VLOOKUP(VLOOKUP(Y1399,Tbl_Effect[],3,FALSE),EffectName[],IFERROR(MATCH(UI!$B$1,EffectName[#Headers],0),2),FALSE),"")</f>
        <v/>
      </c>
      <c r="AA1399" t="str">
        <f t="shared" si="153"/>
        <v/>
      </c>
      <c r="AB1399">
        <v>0</v>
      </c>
      <c r="AC1399" t="str">
        <f>IF(AB1399&lt;&gt;0,VLOOKUP(VLOOKUP(AB1399,Tbl_Effect[],3,FALSE),EffectName[],IFERROR(MATCH(UI!$B$1,EffectName[#Headers],0),2),FALSE),"")</f>
        <v/>
      </c>
    </row>
    <row r="1400" spans="8:29" x14ac:dyDescent="0.4">
      <c r="H1400" t="str">
        <f t="shared" si="147"/>
        <v/>
      </c>
      <c r="I1400">
        <v>0</v>
      </c>
      <c r="J1400" t="str">
        <f>_xlfn.IFNA(IF(I1400&lt;&gt;0,VLOOKUP(VLOOKUP(I1400,Tbl_Equip[],2,FALSE),Tbl_Color[],IFERROR(MATCH(UI!$B$1,Tbl_Color[#Headers],0),2),FALSE),""),"Unset")</f>
        <v/>
      </c>
      <c r="K1400" t="str">
        <f>_xlfn.IFNA(IF(I1400&lt;&gt;0,VLOOKUP(I1400,ItemText[],IFERROR(MATCH(UI!$B$1,ItemText[#Headers],0),2),FALSE),""),"Unset")</f>
        <v/>
      </c>
      <c r="M1400">
        <v>0</v>
      </c>
      <c r="P1400">
        <v>0</v>
      </c>
      <c r="S1400">
        <v>0</v>
      </c>
      <c r="T1400" t="str">
        <f>IF(VALUE(S1400)=0,"",VLOOKUP(VLOOKUP(S1400,Tbl_Effect[],3,FALSE),EffectName[],IFERROR(MATCH(UI!$B$1,EffectName[#Headers],0),2),FALSE))</f>
        <v/>
      </c>
      <c r="U1400" t="str">
        <f t="shared" si="151"/>
        <v/>
      </c>
      <c r="V1400">
        <v>0</v>
      </c>
      <c r="W1400" t="str">
        <f>IF(V1400&lt;&gt;0,VLOOKUP(VLOOKUP(V1400,Tbl_Effect[],3,FALSE),EffectName[],IFERROR(MATCH(UI!$B$1,EffectName[#Headers],0),2),FALSE),"")</f>
        <v/>
      </c>
      <c r="X1400" t="str">
        <f t="shared" si="152"/>
        <v/>
      </c>
      <c r="Y1400">
        <v>0</v>
      </c>
      <c r="Z1400" t="str">
        <f>IF(Y1400&lt;&gt;0,VLOOKUP(VLOOKUP(Y1400,Tbl_Effect[],3,FALSE),EffectName[],IFERROR(MATCH(UI!$B$1,EffectName[#Headers],0),2),FALSE),"")</f>
        <v/>
      </c>
      <c r="AA1400" t="str">
        <f t="shared" si="153"/>
        <v/>
      </c>
      <c r="AB1400">
        <v>0</v>
      </c>
      <c r="AC1400" t="str">
        <f>IF(AB1400&lt;&gt;0,VLOOKUP(VLOOKUP(AB1400,Tbl_Effect[],3,FALSE),EffectName[],IFERROR(MATCH(UI!$B$1,EffectName[#Headers],0),2),FALSE),"")</f>
        <v/>
      </c>
    </row>
    <row r="1401" spans="8:29" x14ac:dyDescent="0.4">
      <c r="H1401" t="str">
        <f t="shared" si="147"/>
        <v/>
      </c>
      <c r="I1401">
        <v>0</v>
      </c>
      <c r="J1401" t="str">
        <f>_xlfn.IFNA(IF(I1401&lt;&gt;0,VLOOKUP(VLOOKUP(I1401,Tbl_Equip[],2,FALSE),Tbl_Color[],IFERROR(MATCH(UI!$B$1,Tbl_Color[#Headers],0),2),FALSE),""),"Unset")</f>
        <v/>
      </c>
      <c r="K1401" t="str">
        <f>_xlfn.IFNA(IF(I1401&lt;&gt;0,VLOOKUP(I1401,ItemText[],IFERROR(MATCH(UI!$B$1,ItemText[#Headers],0),2),FALSE),""),"Unset")</f>
        <v/>
      </c>
      <c r="M1401">
        <v>0</v>
      </c>
      <c r="P1401">
        <v>0</v>
      </c>
      <c r="S1401">
        <v>0</v>
      </c>
      <c r="T1401" t="str">
        <f>IF(VALUE(S1401)=0,"",VLOOKUP(VLOOKUP(S1401,Tbl_Effect[],3,FALSE),EffectName[],IFERROR(MATCH(UI!$B$1,EffectName[#Headers],0),2),FALSE))</f>
        <v/>
      </c>
      <c r="U1401" t="str">
        <f t="shared" si="151"/>
        <v/>
      </c>
      <c r="V1401">
        <v>0</v>
      </c>
      <c r="W1401" t="str">
        <f>IF(V1401&lt;&gt;0,VLOOKUP(VLOOKUP(V1401,Tbl_Effect[],3,FALSE),EffectName[],IFERROR(MATCH(UI!$B$1,EffectName[#Headers],0),2),FALSE),"")</f>
        <v/>
      </c>
      <c r="X1401" t="str">
        <f t="shared" si="152"/>
        <v/>
      </c>
      <c r="Y1401">
        <v>0</v>
      </c>
      <c r="Z1401" t="str">
        <f>IF(Y1401&lt;&gt;0,VLOOKUP(VLOOKUP(Y1401,Tbl_Effect[],3,FALSE),EffectName[],IFERROR(MATCH(UI!$B$1,EffectName[#Headers],0),2),FALSE),"")</f>
        <v/>
      </c>
      <c r="AA1401" t="str">
        <f t="shared" si="153"/>
        <v/>
      </c>
      <c r="AB1401">
        <v>0</v>
      </c>
      <c r="AC1401" t="str">
        <f>IF(AB1401&lt;&gt;0,VLOOKUP(VLOOKUP(AB1401,Tbl_Effect[],3,FALSE),EffectName[],IFERROR(MATCH(UI!$B$1,EffectName[#Headers],0),2),FALSE),"")</f>
        <v/>
      </c>
    </row>
    <row r="1402" spans="8:29" x14ac:dyDescent="0.4">
      <c r="H1402" t="str">
        <f t="shared" si="147"/>
        <v/>
      </c>
      <c r="I1402">
        <v>0</v>
      </c>
      <c r="J1402" t="str">
        <f>_xlfn.IFNA(IF(I1402&lt;&gt;0,VLOOKUP(VLOOKUP(I1402,Tbl_Equip[],2,FALSE),Tbl_Color[],IFERROR(MATCH(UI!$B$1,Tbl_Color[#Headers],0),2),FALSE),""),"Unset")</f>
        <v/>
      </c>
      <c r="K1402" t="str">
        <f>_xlfn.IFNA(IF(I1402&lt;&gt;0,VLOOKUP(I1402,ItemText[],IFERROR(MATCH(UI!$B$1,ItemText[#Headers],0),2),FALSE),""),"Unset")</f>
        <v/>
      </c>
      <c r="M1402">
        <v>0</v>
      </c>
      <c r="P1402">
        <v>0</v>
      </c>
      <c r="S1402">
        <v>0</v>
      </c>
      <c r="T1402" t="str">
        <f>IF(VALUE(S1402)=0,"",VLOOKUP(VLOOKUP(S1402,Tbl_Effect[],3,FALSE),EffectName[],IFERROR(MATCH(UI!$B$1,EffectName[#Headers],0),2),FALSE))</f>
        <v/>
      </c>
      <c r="U1402" t="str">
        <f t="shared" si="151"/>
        <v/>
      </c>
      <c r="V1402">
        <v>0</v>
      </c>
      <c r="W1402" t="str">
        <f>IF(V1402&lt;&gt;0,VLOOKUP(VLOOKUP(V1402,Tbl_Effect[],3,FALSE),EffectName[],IFERROR(MATCH(UI!$B$1,EffectName[#Headers],0),2),FALSE),"")</f>
        <v/>
      </c>
      <c r="X1402" t="str">
        <f t="shared" si="152"/>
        <v/>
      </c>
      <c r="Y1402">
        <v>0</v>
      </c>
      <c r="Z1402" t="str">
        <f>IF(Y1402&lt;&gt;0,VLOOKUP(VLOOKUP(Y1402,Tbl_Effect[],3,FALSE),EffectName[],IFERROR(MATCH(UI!$B$1,EffectName[#Headers],0),2),FALSE),"")</f>
        <v/>
      </c>
      <c r="AA1402" t="str">
        <f t="shared" si="153"/>
        <v/>
      </c>
      <c r="AB1402">
        <v>0</v>
      </c>
      <c r="AC1402" t="str">
        <f>IF(AB1402&lt;&gt;0,VLOOKUP(VLOOKUP(AB1402,Tbl_Effect[],3,FALSE),EffectName[],IFERROR(MATCH(UI!$B$1,EffectName[#Headers],0),2),FALSE),"")</f>
        <v/>
      </c>
    </row>
    <row r="1403" spans="8:29" x14ac:dyDescent="0.4">
      <c r="H1403" t="str">
        <f t="shared" si="147"/>
        <v/>
      </c>
      <c r="I1403">
        <v>0</v>
      </c>
      <c r="J1403" t="str">
        <f>_xlfn.IFNA(IF(I1403&lt;&gt;0,VLOOKUP(VLOOKUP(I1403,Tbl_Equip[],2,FALSE),Tbl_Color[],IFERROR(MATCH(UI!$B$1,Tbl_Color[#Headers],0),2),FALSE),""),"Unset")</f>
        <v/>
      </c>
      <c r="K1403" t="str">
        <f>_xlfn.IFNA(IF(I1403&lt;&gt;0,VLOOKUP(I1403,ItemText[],IFERROR(MATCH(UI!$B$1,ItemText[#Headers],0),2),FALSE),""),"Unset")</f>
        <v/>
      </c>
      <c r="M1403">
        <v>0</v>
      </c>
      <c r="P1403">
        <v>0</v>
      </c>
      <c r="S1403">
        <v>0</v>
      </c>
      <c r="T1403" t="str">
        <f>IF(VALUE(S1403)=0,"",VLOOKUP(VLOOKUP(S1403,Tbl_Effect[],3,FALSE),EffectName[],IFERROR(MATCH(UI!$B$1,EffectName[#Headers],0),2),FALSE))</f>
        <v/>
      </c>
      <c r="U1403" t="str">
        <f t="shared" si="151"/>
        <v/>
      </c>
      <c r="V1403">
        <v>0</v>
      </c>
      <c r="W1403" t="str">
        <f>IF(V1403&lt;&gt;0,VLOOKUP(VLOOKUP(V1403,Tbl_Effect[],3,FALSE),EffectName[],IFERROR(MATCH(UI!$B$1,EffectName[#Headers],0),2),FALSE),"")</f>
        <v/>
      </c>
      <c r="X1403" t="str">
        <f t="shared" si="152"/>
        <v/>
      </c>
      <c r="Y1403">
        <v>0</v>
      </c>
      <c r="Z1403" t="str">
        <f>IF(Y1403&lt;&gt;0,VLOOKUP(VLOOKUP(Y1403,Tbl_Effect[],3,FALSE),EffectName[],IFERROR(MATCH(UI!$B$1,EffectName[#Headers],0),2),FALSE),"")</f>
        <v/>
      </c>
      <c r="AA1403" t="str">
        <f t="shared" si="153"/>
        <v/>
      </c>
      <c r="AB1403">
        <v>0</v>
      </c>
      <c r="AC1403" t="str">
        <f>IF(AB1403&lt;&gt;0,VLOOKUP(VLOOKUP(AB1403,Tbl_Effect[],3,FALSE),EffectName[],IFERROR(MATCH(UI!$B$1,EffectName[#Headers],0),2),FALSE),"")</f>
        <v/>
      </c>
    </row>
    <row r="1404" spans="8:29" x14ac:dyDescent="0.4">
      <c r="H1404" t="str">
        <f t="shared" si="147"/>
        <v/>
      </c>
      <c r="I1404">
        <v>0</v>
      </c>
      <c r="J1404" t="str">
        <f>_xlfn.IFNA(IF(I1404&lt;&gt;0,VLOOKUP(VLOOKUP(I1404,Tbl_Equip[],2,FALSE),Tbl_Color[],IFERROR(MATCH(UI!$B$1,Tbl_Color[#Headers],0),2),FALSE),""),"Unset")</f>
        <v/>
      </c>
      <c r="K1404" t="str">
        <f>_xlfn.IFNA(IF(I1404&lt;&gt;0,VLOOKUP(I1404,ItemText[],IFERROR(MATCH(UI!$B$1,ItemText[#Headers],0),2),FALSE),""),"Unset")</f>
        <v/>
      </c>
      <c r="M1404">
        <v>0</v>
      </c>
      <c r="P1404">
        <v>0</v>
      </c>
      <c r="S1404">
        <v>0</v>
      </c>
      <c r="T1404" t="str">
        <f>IF(VALUE(S1404)=0,"",VLOOKUP(VLOOKUP(S1404,Tbl_Effect[],3,FALSE),EffectName[],IFERROR(MATCH(UI!$B$1,EffectName[#Headers],0),2),FALSE))</f>
        <v/>
      </c>
      <c r="U1404" t="str">
        <f t="shared" si="151"/>
        <v/>
      </c>
      <c r="V1404">
        <v>0</v>
      </c>
      <c r="W1404" t="str">
        <f>IF(V1404&lt;&gt;0,VLOOKUP(VLOOKUP(V1404,Tbl_Effect[],3,FALSE),EffectName[],IFERROR(MATCH(UI!$B$1,EffectName[#Headers],0),2),FALSE),"")</f>
        <v/>
      </c>
      <c r="X1404" t="str">
        <f t="shared" si="152"/>
        <v/>
      </c>
      <c r="Y1404">
        <v>0</v>
      </c>
      <c r="Z1404" t="str">
        <f>IF(Y1404&lt;&gt;0,VLOOKUP(VLOOKUP(Y1404,Tbl_Effect[],3,FALSE),EffectName[],IFERROR(MATCH(UI!$B$1,EffectName[#Headers],0),2),FALSE),"")</f>
        <v/>
      </c>
      <c r="AA1404" t="str">
        <f t="shared" si="153"/>
        <v/>
      </c>
      <c r="AB1404">
        <v>0</v>
      </c>
      <c r="AC1404" t="str">
        <f>IF(AB1404&lt;&gt;0,VLOOKUP(VLOOKUP(AB1404,Tbl_Effect[],3,FALSE),EffectName[],IFERROR(MATCH(UI!$B$1,EffectName[#Headers],0),2),FALSE),"")</f>
        <v/>
      </c>
    </row>
    <row r="1405" spans="8:29" x14ac:dyDescent="0.4">
      <c r="H1405" t="str">
        <f t="shared" si="147"/>
        <v/>
      </c>
      <c r="I1405">
        <v>0</v>
      </c>
      <c r="J1405" t="str">
        <f>_xlfn.IFNA(IF(I1405&lt;&gt;0,VLOOKUP(VLOOKUP(I1405,Tbl_Equip[],2,FALSE),Tbl_Color[],IFERROR(MATCH(UI!$B$1,Tbl_Color[#Headers],0),2),FALSE),""),"Unset")</f>
        <v/>
      </c>
      <c r="K1405" t="str">
        <f>_xlfn.IFNA(IF(I1405&lt;&gt;0,VLOOKUP(I1405,ItemText[],IFERROR(MATCH(UI!$B$1,ItemText[#Headers],0),2),FALSE),""),"Unset")</f>
        <v/>
      </c>
      <c r="M1405">
        <v>0</v>
      </c>
      <c r="P1405">
        <v>0</v>
      </c>
      <c r="S1405">
        <v>0</v>
      </c>
      <c r="T1405" t="str">
        <f>IF(VALUE(S1405)=0,"",VLOOKUP(VLOOKUP(S1405,Tbl_Effect[],3,FALSE),EffectName[],IFERROR(MATCH(UI!$B$1,EffectName[#Headers],0),2),FALSE))</f>
        <v/>
      </c>
      <c r="U1405" t="str">
        <f t="shared" si="151"/>
        <v/>
      </c>
      <c r="V1405">
        <v>0</v>
      </c>
      <c r="W1405" t="str">
        <f>IF(V1405&lt;&gt;0,VLOOKUP(VLOOKUP(V1405,Tbl_Effect[],3,FALSE),EffectName[],IFERROR(MATCH(UI!$B$1,EffectName[#Headers],0),2),FALSE),"")</f>
        <v/>
      </c>
      <c r="X1405" t="str">
        <f t="shared" si="152"/>
        <v/>
      </c>
      <c r="Y1405">
        <v>0</v>
      </c>
      <c r="Z1405" t="str">
        <f>IF(Y1405&lt;&gt;0,VLOOKUP(VLOOKUP(Y1405,Tbl_Effect[],3,FALSE),EffectName[],IFERROR(MATCH(UI!$B$1,EffectName[#Headers],0),2),FALSE),"")</f>
        <v/>
      </c>
      <c r="AA1405" t="str">
        <f t="shared" si="153"/>
        <v/>
      </c>
      <c r="AB1405">
        <v>0</v>
      </c>
      <c r="AC1405" t="str">
        <f>IF(AB1405&lt;&gt;0,VLOOKUP(VLOOKUP(AB1405,Tbl_Effect[],3,FALSE),EffectName[],IFERROR(MATCH(UI!$B$1,EffectName[#Headers],0),2),FALSE),"")</f>
        <v/>
      </c>
    </row>
    <row r="1406" spans="8:29" x14ac:dyDescent="0.4">
      <c r="H1406" t="str">
        <f t="shared" si="147"/>
        <v/>
      </c>
      <c r="I1406">
        <v>0</v>
      </c>
      <c r="J1406" t="str">
        <f>_xlfn.IFNA(IF(I1406&lt;&gt;0,VLOOKUP(VLOOKUP(I1406,Tbl_Equip[],2,FALSE),Tbl_Color[],IFERROR(MATCH(UI!$B$1,Tbl_Color[#Headers],0),2),FALSE),""),"Unset")</f>
        <v/>
      </c>
      <c r="K1406" t="str">
        <f>_xlfn.IFNA(IF(I1406&lt;&gt;0,VLOOKUP(I1406,ItemText[],IFERROR(MATCH(UI!$B$1,ItemText[#Headers],0),2),FALSE),""),"Unset")</f>
        <v/>
      </c>
      <c r="M1406">
        <v>0</v>
      </c>
      <c r="P1406">
        <v>0</v>
      </c>
      <c r="S1406">
        <v>0</v>
      </c>
      <c r="T1406" t="str">
        <f>IF(VALUE(S1406)=0,"",VLOOKUP(VLOOKUP(S1406,Tbl_Effect[],3,FALSE),EffectName[],IFERROR(MATCH(UI!$B$1,EffectName[#Headers],0),2),FALSE))</f>
        <v/>
      </c>
      <c r="U1406" t="str">
        <f t="shared" si="151"/>
        <v/>
      </c>
      <c r="V1406">
        <v>0</v>
      </c>
      <c r="W1406" t="str">
        <f>IF(V1406&lt;&gt;0,VLOOKUP(VLOOKUP(V1406,Tbl_Effect[],3,FALSE),EffectName[],IFERROR(MATCH(UI!$B$1,EffectName[#Headers],0),2),FALSE),"")</f>
        <v/>
      </c>
      <c r="X1406" t="str">
        <f t="shared" si="152"/>
        <v/>
      </c>
      <c r="Y1406">
        <v>0</v>
      </c>
      <c r="Z1406" t="str">
        <f>IF(Y1406&lt;&gt;0,VLOOKUP(VLOOKUP(Y1406,Tbl_Effect[],3,FALSE),EffectName[],IFERROR(MATCH(UI!$B$1,EffectName[#Headers],0),2),FALSE),"")</f>
        <v/>
      </c>
      <c r="AA1406" t="str">
        <f t="shared" si="153"/>
        <v/>
      </c>
      <c r="AB1406">
        <v>0</v>
      </c>
      <c r="AC1406" t="str">
        <f>IF(AB1406&lt;&gt;0,VLOOKUP(VLOOKUP(AB1406,Tbl_Effect[],3,FALSE),EffectName[],IFERROR(MATCH(UI!$B$1,EffectName[#Headers],0),2),FALSE),"")</f>
        <v/>
      </c>
    </row>
    <row r="1407" spans="8:29" x14ac:dyDescent="0.4">
      <c r="H1407" t="str">
        <f t="shared" si="147"/>
        <v/>
      </c>
      <c r="I1407">
        <v>0</v>
      </c>
      <c r="J1407" t="str">
        <f>_xlfn.IFNA(IF(I1407&lt;&gt;0,VLOOKUP(VLOOKUP(I1407,Tbl_Equip[],2,FALSE),Tbl_Color[],IFERROR(MATCH(UI!$B$1,Tbl_Color[#Headers],0),2),FALSE),""),"Unset")</f>
        <v/>
      </c>
      <c r="K1407" t="str">
        <f>_xlfn.IFNA(IF(I1407&lt;&gt;0,VLOOKUP(I1407,ItemText[],IFERROR(MATCH(UI!$B$1,ItemText[#Headers],0),2),FALSE),""),"Unset")</f>
        <v/>
      </c>
      <c r="M1407">
        <v>0</v>
      </c>
      <c r="P1407">
        <v>0</v>
      </c>
      <c r="S1407">
        <v>0</v>
      </c>
      <c r="T1407" t="str">
        <f>IF(VALUE(S1407)=0,"",VLOOKUP(VLOOKUP(S1407,Tbl_Effect[],3,FALSE),EffectName[],IFERROR(MATCH(UI!$B$1,EffectName[#Headers],0),2),FALSE))</f>
        <v/>
      </c>
      <c r="U1407" t="str">
        <f t="shared" si="151"/>
        <v/>
      </c>
      <c r="V1407">
        <v>0</v>
      </c>
      <c r="W1407" t="str">
        <f>IF(V1407&lt;&gt;0,VLOOKUP(VLOOKUP(V1407,Tbl_Effect[],3,FALSE),EffectName[],IFERROR(MATCH(UI!$B$1,EffectName[#Headers],0),2),FALSE),"")</f>
        <v/>
      </c>
      <c r="X1407" t="str">
        <f t="shared" si="152"/>
        <v/>
      </c>
      <c r="Y1407">
        <v>0</v>
      </c>
      <c r="Z1407" t="str">
        <f>IF(Y1407&lt;&gt;0,VLOOKUP(VLOOKUP(Y1407,Tbl_Effect[],3,FALSE),EffectName[],IFERROR(MATCH(UI!$B$1,EffectName[#Headers],0),2),FALSE),"")</f>
        <v/>
      </c>
      <c r="AA1407" t="str">
        <f t="shared" si="153"/>
        <v/>
      </c>
      <c r="AB1407">
        <v>0</v>
      </c>
      <c r="AC1407" t="str">
        <f>IF(AB1407&lt;&gt;0,VLOOKUP(VLOOKUP(AB1407,Tbl_Effect[],3,FALSE),EffectName[],IFERROR(MATCH(UI!$B$1,EffectName[#Headers],0),2),FALSE),"")</f>
        <v/>
      </c>
    </row>
    <row r="1408" spans="8:29" x14ac:dyDescent="0.4">
      <c r="H1408" t="str">
        <f t="shared" si="147"/>
        <v/>
      </c>
      <c r="I1408">
        <v>0</v>
      </c>
      <c r="J1408" t="str">
        <f>_xlfn.IFNA(IF(I1408&lt;&gt;0,VLOOKUP(VLOOKUP(I1408,Tbl_Equip[],2,FALSE),Tbl_Color[],IFERROR(MATCH(UI!$B$1,Tbl_Color[#Headers],0),2),FALSE),""),"Unset")</f>
        <v/>
      </c>
      <c r="K1408" t="str">
        <f>_xlfn.IFNA(IF(I1408&lt;&gt;0,VLOOKUP(I1408,ItemText[],IFERROR(MATCH(UI!$B$1,ItemText[#Headers],0),2),FALSE),""),"Unset")</f>
        <v/>
      </c>
      <c r="M1408">
        <v>0</v>
      </c>
      <c r="P1408">
        <v>0</v>
      </c>
      <c r="S1408">
        <v>0</v>
      </c>
      <c r="T1408" t="str">
        <f>IF(VALUE(S1408)=0,"",VLOOKUP(VLOOKUP(S1408,Tbl_Effect[],3,FALSE),EffectName[],IFERROR(MATCH(UI!$B$1,EffectName[#Headers],0),2),FALSE))</f>
        <v/>
      </c>
      <c r="U1408" t="str">
        <f t="shared" si="151"/>
        <v/>
      </c>
      <c r="V1408">
        <v>0</v>
      </c>
      <c r="W1408" t="str">
        <f>IF(V1408&lt;&gt;0,VLOOKUP(VLOOKUP(V1408,Tbl_Effect[],3,FALSE),EffectName[],IFERROR(MATCH(UI!$B$1,EffectName[#Headers],0),2),FALSE),"")</f>
        <v/>
      </c>
      <c r="X1408" t="str">
        <f t="shared" si="152"/>
        <v/>
      </c>
      <c r="Y1408">
        <v>0</v>
      </c>
      <c r="Z1408" t="str">
        <f>IF(Y1408&lt;&gt;0,VLOOKUP(VLOOKUP(Y1408,Tbl_Effect[],3,FALSE),EffectName[],IFERROR(MATCH(UI!$B$1,EffectName[#Headers],0),2),FALSE),"")</f>
        <v/>
      </c>
      <c r="AA1408" t="str">
        <f t="shared" si="153"/>
        <v/>
      </c>
      <c r="AB1408">
        <v>0</v>
      </c>
      <c r="AC1408" t="str">
        <f>IF(AB1408&lt;&gt;0,VLOOKUP(VLOOKUP(AB1408,Tbl_Effect[],3,FALSE),EffectName[],IFERROR(MATCH(UI!$B$1,EffectName[#Headers],0),2),FALSE),"")</f>
        <v/>
      </c>
    </row>
    <row r="1409" spans="8:29" x14ac:dyDescent="0.4">
      <c r="H1409" t="str">
        <f t="shared" si="147"/>
        <v/>
      </c>
      <c r="I1409">
        <v>0</v>
      </c>
      <c r="J1409" t="str">
        <f>_xlfn.IFNA(IF(I1409&lt;&gt;0,VLOOKUP(VLOOKUP(I1409,Tbl_Equip[],2,FALSE),Tbl_Color[],IFERROR(MATCH(UI!$B$1,Tbl_Color[#Headers],0),2),FALSE),""),"Unset")</f>
        <v/>
      </c>
      <c r="K1409" t="str">
        <f>_xlfn.IFNA(IF(I1409&lt;&gt;0,VLOOKUP(I1409,ItemText[],IFERROR(MATCH(UI!$B$1,ItemText[#Headers],0),2),FALSE),""),"Unset")</f>
        <v/>
      </c>
      <c r="M1409">
        <v>0</v>
      </c>
      <c r="P1409">
        <v>0</v>
      </c>
      <c r="S1409">
        <v>0</v>
      </c>
      <c r="T1409" t="str">
        <f>IF(VALUE(S1409)=0,"",VLOOKUP(VLOOKUP(S1409,Tbl_Effect[],3,FALSE),EffectName[],IFERROR(MATCH(UI!$B$1,EffectName[#Headers],0),2),FALSE))</f>
        <v/>
      </c>
      <c r="U1409" t="str">
        <f t="shared" si="151"/>
        <v/>
      </c>
      <c r="V1409">
        <v>0</v>
      </c>
      <c r="W1409" t="str">
        <f>IF(V1409&lt;&gt;0,VLOOKUP(VLOOKUP(V1409,Tbl_Effect[],3,FALSE),EffectName[],IFERROR(MATCH(UI!$B$1,EffectName[#Headers],0),2),FALSE),"")</f>
        <v/>
      </c>
      <c r="X1409" t="str">
        <f t="shared" si="152"/>
        <v/>
      </c>
      <c r="Y1409">
        <v>0</v>
      </c>
      <c r="Z1409" t="str">
        <f>IF(Y1409&lt;&gt;0,VLOOKUP(VLOOKUP(Y1409,Tbl_Effect[],3,FALSE),EffectName[],IFERROR(MATCH(UI!$B$1,EffectName[#Headers],0),2),FALSE),"")</f>
        <v/>
      </c>
      <c r="AA1409" t="str">
        <f t="shared" si="153"/>
        <v/>
      </c>
      <c r="AB1409">
        <v>0</v>
      </c>
      <c r="AC1409" t="str">
        <f>IF(AB1409&lt;&gt;0,VLOOKUP(VLOOKUP(AB1409,Tbl_Effect[],3,FALSE),EffectName[],IFERROR(MATCH(UI!$B$1,EffectName[#Headers],0),2),FALSE),"")</f>
        <v/>
      </c>
    </row>
    <row r="1410" spans="8:29" x14ac:dyDescent="0.4">
      <c r="H1410" t="str">
        <f t="shared" si="147"/>
        <v/>
      </c>
      <c r="I1410">
        <v>0</v>
      </c>
      <c r="J1410" t="str">
        <f>_xlfn.IFNA(IF(I1410&lt;&gt;0,VLOOKUP(VLOOKUP(I1410,Tbl_Equip[],2,FALSE),Tbl_Color[],IFERROR(MATCH(UI!$B$1,Tbl_Color[#Headers],0),2),FALSE),""),"Unset")</f>
        <v/>
      </c>
      <c r="K1410" t="str">
        <f>_xlfn.IFNA(IF(I1410&lt;&gt;0,VLOOKUP(I1410,ItemText[],IFERROR(MATCH(UI!$B$1,ItemText[#Headers],0),2),FALSE),""),"Unset")</f>
        <v/>
      </c>
      <c r="M1410">
        <v>0</v>
      </c>
      <c r="P1410">
        <v>0</v>
      </c>
      <c r="S1410">
        <v>0</v>
      </c>
      <c r="T1410" t="str">
        <f>IF(VALUE(S1410)=0,"",VLOOKUP(VLOOKUP(S1410,Tbl_Effect[],3,FALSE),EffectName[],IFERROR(MATCH(UI!$B$1,EffectName[#Headers],0),2),FALSE))</f>
        <v/>
      </c>
      <c r="U1410" t="str">
        <f t="shared" si="151"/>
        <v/>
      </c>
      <c r="V1410">
        <v>0</v>
      </c>
      <c r="W1410" t="str">
        <f>IF(V1410&lt;&gt;0,VLOOKUP(VLOOKUP(V1410,Tbl_Effect[],3,FALSE),EffectName[],IFERROR(MATCH(UI!$B$1,EffectName[#Headers],0),2),FALSE),"")</f>
        <v/>
      </c>
      <c r="X1410" t="str">
        <f t="shared" si="152"/>
        <v/>
      </c>
      <c r="Y1410">
        <v>0</v>
      </c>
      <c r="Z1410" t="str">
        <f>IF(Y1410&lt;&gt;0,VLOOKUP(VLOOKUP(Y1410,Tbl_Effect[],3,FALSE),EffectName[],IFERROR(MATCH(UI!$B$1,EffectName[#Headers],0),2),FALSE),"")</f>
        <v/>
      </c>
      <c r="AA1410" t="str">
        <f t="shared" si="153"/>
        <v/>
      </c>
      <c r="AB1410">
        <v>0</v>
      </c>
      <c r="AC1410" t="str">
        <f>IF(AB1410&lt;&gt;0,VLOOKUP(VLOOKUP(AB1410,Tbl_Effect[],3,FALSE),EffectName[],IFERROR(MATCH(UI!$B$1,EffectName[#Headers],0),2),FALSE),"")</f>
        <v/>
      </c>
    </row>
    <row r="1411" spans="8:29" x14ac:dyDescent="0.4">
      <c r="H1411" t="str">
        <f t="shared" ref="H1411:H1474" si="154">IF(VALUE(I1411)&lt;&gt;0,I1411&amp;"-"&amp;K1411&amp;" ("&amp;J1411&amp;")","")</f>
        <v/>
      </c>
      <c r="I1411">
        <v>0</v>
      </c>
      <c r="J1411" t="str">
        <f>_xlfn.IFNA(IF(I1411&lt;&gt;0,VLOOKUP(VLOOKUP(I1411,Tbl_Equip[],2,FALSE),Tbl_Color[],IFERROR(MATCH(UI!$B$1,Tbl_Color[#Headers],0),2),FALSE),""),"Unset")</f>
        <v/>
      </c>
      <c r="K1411" t="str">
        <f>_xlfn.IFNA(IF(I1411&lt;&gt;0,VLOOKUP(I1411,ItemText[],IFERROR(MATCH(UI!$B$1,ItemText[#Headers],0),2),FALSE),""),"Unset")</f>
        <v/>
      </c>
      <c r="M1411">
        <v>0</v>
      </c>
      <c r="P1411">
        <v>0</v>
      </c>
      <c r="S1411">
        <v>0</v>
      </c>
      <c r="T1411" t="str">
        <f>IF(VALUE(S1411)=0,"",VLOOKUP(VLOOKUP(S1411,Tbl_Effect[],3,FALSE),EffectName[],IFERROR(MATCH(UI!$B$1,EffectName[#Headers],0),2),FALSE))</f>
        <v/>
      </c>
      <c r="U1411" t="str">
        <f t="shared" ref="U1411:U1474" si="155">IF(VALUE(V1411)=0,"",V1411&amp;"-"&amp;W1411)</f>
        <v/>
      </c>
      <c r="V1411">
        <v>0</v>
      </c>
      <c r="W1411" t="str">
        <f>IF(V1411&lt;&gt;0,VLOOKUP(VLOOKUP(V1411,Tbl_Effect[],3,FALSE),EffectName[],IFERROR(MATCH(UI!$B$1,EffectName[#Headers],0),2),FALSE),"")</f>
        <v/>
      </c>
      <c r="X1411" t="str">
        <f t="shared" ref="X1411:X1474" si="156">IF(VALUE(Y1411)=0,"",Y1411&amp;"-"&amp;Z1411)</f>
        <v/>
      </c>
      <c r="Y1411">
        <v>0</v>
      </c>
      <c r="Z1411" t="str">
        <f>IF(Y1411&lt;&gt;0,VLOOKUP(VLOOKUP(Y1411,Tbl_Effect[],3,FALSE),EffectName[],IFERROR(MATCH(UI!$B$1,EffectName[#Headers],0),2),FALSE),"")</f>
        <v/>
      </c>
      <c r="AA1411" t="str">
        <f t="shared" ref="AA1411:AA1474" si="157">IF(VALUE(AB1411)=0,"",AB1411&amp;"-"&amp;AC1411)</f>
        <v/>
      </c>
      <c r="AB1411">
        <v>0</v>
      </c>
      <c r="AC1411" t="str">
        <f>IF(AB1411&lt;&gt;0,VLOOKUP(VLOOKUP(AB1411,Tbl_Effect[],3,FALSE),EffectName[],IFERROR(MATCH(UI!$B$1,EffectName[#Headers],0),2),FALSE),"")</f>
        <v/>
      </c>
    </row>
    <row r="1412" spans="8:29" x14ac:dyDescent="0.4">
      <c r="H1412" t="str">
        <f t="shared" si="154"/>
        <v/>
      </c>
      <c r="I1412">
        <v>0</v>
      </c>
      <c r="J1412" t="str">
        <f>_xlfn.IFNA(IF(I1412&lt;&gt;0,VLOOKUP(VLOOKUP(I1412,Tbl_Equip[],2,FALSE),Tbl_Color[],IFERROR(MATCH(UI!$B$1,Tbl_Color[#Headers],0),2),FALSE),""),"Unset")</f>
        <v/>
      </c>
      <c r="K1412" t="str">
        <f>_xlfn.IFNA(IF(I1412&lt;&gt;0,VLOOKUP(I1412,ItemText[],IFERROR(MATCH(UI!$B$1,ItemText[#Headers],0),2),FALSE),""),"Unset")</f>
        <v/>
      </c>
      <c r="M1412">
        <v>0</v>
      </c>
      <c r="P1412">
        <v>0</v>
      </c>
      <c r="S1412">
        <v>0</v>
      </c>
      <c r="T1412" t="str">
        <f>IF(VALUE(S1412)=0,"",VLOOKUP(VLOOKUP(S1412,Tbl_Effect[],3,FALSE),EffectName[],IFERROR(MATCH(UI!$B$1,EffectName[#Headers],0),2),FALSE))</f>
        <v/>
      </c>
      <c r="U1412" t="str">
        <f t="shared" si="155"/>
        <v/>
      </c>
      <c r="V1412">
        <v>0</v>
      </c>
      <c r="W1412" t="str">
        <f>IF(V1412&lt;&gt;0,VLOOKUP(VLOOKUP(V1412,Tbl_Effect[],3,FALSE),EffectName[],IFERROR(MATCH(UI!$B$1,EffectName[#Headers],0),2),FALSE),"")</f>
        <v/>
      </c>
      <c r="X1412" t="str">
        <f t="shared" si="156"/>
        <v/>
      </c>
      <c r="Y1412">
        <v>0</v>
      </c>
      <c r="Z1412" t="str">
        <f>IF(Y1412&lt;&gt;0,VLOOKUP(VLOOKUP(Y1412,Tbl_Effect[],3,FALSE),EffectName[],IFERROR(MATCH(UI!$B$1,EffectName[#Headers],0),2),FALSE),"")</f>
        <v/>
      </c>
      <c r="AA1412" t="str">
        <f t="shared" si="157"/>
        <v/>
      </c>
      <c r="AB1412">
        <v>0</v>
      </c>
      <c r="AC1412" t="str">
        <f>IF(AB1412&lt;&gt;0,VLOOKUP(VLOOKUP(AB1412,Tbl_Effect[],3,FALSE),EffectName[],IFERROR(MATCH(UI!$B$1,EffectName[#Headers],0),2),FALSE),"")</f>
        <v/>
      </c>
    </row>
    <row r="1413" spans="8:29" x14ac:dyDescent="0.4">
      <c r="H1413" t="str">
        <f t="shared" si="154"/>
        <v/>
      </c>
      <c r="I1413">
        <v>0</v>
      </c>
      <c r="J1413" t="str">
        <f>_xlfn.IFNA(IF(I1413&lt;&gt;0,VLOOKUP(VLOOKUP(I1413,Tbl_Equip[],2,FALSE),Tbl_Color[],IFERROR(MATCH(UI!$B$1,Tbl_Color[#Headers],0),2),FALSE),""),"Unset")</f>
        <v/>
      </c>
      <c r="K1413" t="str">
        <f>_xlfn.IFNA(IF(I1413&lt;&gt;0,VLOOKUP(I1413,ItemText[],IFERROR(MATCH(UI!$B$1,ItemText[#Headers],0),2),FALSE),""),"Unset")</f>
        <v/>
      </c>
      <c r="M1413">
        <v>0</v>
      </c>
      <c r="P1413">
        <v>0</v>
      </c>
      <c r="S1413">
        <v>0</v>
      </c>
      <c r="T1413" t="str">
        <f>IF(VALUE(S1413)=0,"",VLOOKUP(VLOOKUP(S1413,Tbl_Effect[],3,FALSE),EffectName[],IFERROR(MATCH(UI!$B$1,EffectName[#Headers],0),2),FALSE))</f>
        <v/>
      </c>
      <c r="U1413" t="str">
        <f t="shared" si="155"/>
        <v/>
      </c>
      <c r="V1413">
        <v>0</v>
      </c>
      <c r="W1413" t="str">
        <f>IF(V1413&lt;&gt;0,VLOOKUP(VLOOKUP(V1413,Tbl_Effect[],3,FALSE),EffectName[],IFERROR(MATCH(UI!$B$1,EffectName[#Headers],0),2),FALSE),"")</f>
        <v/>
      </c>
      <c r="X1413" t="str">
        <f t="shared" si="156"/>
        <v/>
      </c>
      <c r="Y1413">
        <v>0</v>
      </c>
      <c r="Z1413" t="str">
        <f>IF(Y1413&lt;&gt;0,VLOOKUP(VLOOKUP(Y1413,Tbl_Effect[],3,FALSE),EffectName[],IFERROR(MATCH(UI!$B$1,EffectName[#Headers],0),2),FALSE),"")</f>
        <v/>
      </c>
      <c r="AA1413" t="str">
        <f t="shared" si="157"/>
        <v/>
      </c>
      <c r="AB1413">
        <v>0</v>
      </c>
      <c r="AC1413" t="str">
        <f>IF(AB1413&lt;&gt;0,VLOOKUP(VLOOKUP(AB1413,Tbl_Effect[],3,FALSE),EffectName[],IFERROR(MATCH(UI!$B$1,EffectName[#Headers],0),2),FALSE),"")</f>
        <v/>
      </c>
    </row>
    <row r="1414" spans="8:29" x14ac:dyDescent="0.4">
      <c r="H1414" t="str">
        <f t="shared" si="154"/>
        <v/>
      </c>
      <c r="I1414">
        <v>0</v>
      </c>
      <c r="J1414" t="str">
        <f>_xlfn.IFNA(IF(I1414&lt;&gt;0,VLOOKUP(VLOOKUP(I1414,Tbl_Equip[],2,FALSE),Tbl_Color[],IFERROR(MATCH(UI!$B$1,Tbl_Color[#Headers],0),2),FALSE),""),"Unset")</f>
        <v/>
      </c>
      <c r="K1414" t="str">
        <f>_xlfn.IFNA(IF(I1414&lt;&gt;0,VLOOKUP(I1414,ItemText[],IFERROR(MATCH(UI!$B$1,ItemText[#Headers],0),2),FALSE),""),"Unset")</f>
        <v/>
      </c>
      <c r="M1414">
        <v>0</v>
      </c>
      <c r="P1414">
        <v>0</v>
      </c>
      <c r="S1414">
        <v>0</v>
      </c>
      <c r="T1414" t="str">
        <f>IF(VALUE(S1414)=0,"",VLOOKUP(VLOOKUP(S1414,Tbl_Effect[],3,FALSE),EffectName[],IFERROR(MATCH(UI!$B$1,EffectName[#Headers],0),2),FALSE))</f>
        <v/>
      </c>
      <c r="U1414" t="str">
        <f t="shared" si="155"/>
        <v/>
      </c>
      <c r="V1414">
        <v>0</v>
      </c>
      <c r="W1414" t="str">
        <f>IF(V1414&lt;&gt;0,VLOOKUP(VLOOKUP(V1414,Tbl_Effect[],3,FALSE),EffectName[],IFERROR(MATCH(UI!$B$1,EffectName[#Headers],0),2),FALSE),"")</f>
        <v/>
      </c>
      <c r="X1414" t="str">
        <f t="shared" si="156"/>
        <v/>
      </c>
      <c r="Y1414">
        <v>0</v>
      </c>
      <c r="Z1414" t="str">
        <f>IF(Y1414&lt;&gt;0,VLOOKUP(VLOOKUP(Y1414,Tbl_Effect[],3,FALSE),EffectName[],IFERROR(MATCH(UI!$B$1,EffectName[#Headers],0),2),FALSE),"")</f>
        <v/>
      </c>
      <c r="AA1414" t="str">
        <f t="shared" si="157"/>
        <v/>
      </c>
      <c r="AB1414">
        <v>0</v>
      </c>
      <c r="AC1414" t="str">
        <f>IF(AB1414&lt;&gt;0,VLOOKUP(VLOOKUP(AB1414,Tbl_Effect[],3,FALSE),EffectName[],IFERROR(MATCH(UI!$B$1,EffectName[#Headers],0),2),FALSE),"")</f>
        <v/>
      </c>
    </row>
    <row r="1415" spans="8:29" x14ac:dyDescent="0.4">
      <c r="H1415" t="str">
        <f t="shared" si="154"/>
        <v/>
      </c>
      <c r="I1415">
        <v>0</v>
      </c>
      <c r="J1415" t="str">
        <f>_xlfn.IFNA(IF(I1415&lt;&gt;0,VLOOKUP(VLOOKUP(I1415,Tbl_Equip[],2,FALSE),Tbl_Color[],IFERROR(MATCH(UI!$B$1,Tbl_Color[#Headers],0),2),FALSE),""),"Unset")</f>
        <v/>
      </c>
      <c r="K1415" t="str">
        <f>_xlfn.IFNA(IF(I1415&lt;&gt;0,VLOOKUP(I1415,ItemText[],IFERROR(MATCH(UI!$B$1,ItemText[#Headers],0),2),FALSE),""),"Unset")</f>
        <v/>
      </c>
      <c r="M1415">
        <v>0</v>
      </c>
      <c r="P1415">
        <v>0</v>
      </c>
      <c r="S1415">
        <v>0</v>
      </c>
      <c r="T1415" t="str">
        <f>IF(VALUE(S1415)=0,"",VLOOKUP(VLOOKUP(S1415,Tbl_Effect[],3,FALSE),EffectName[],IFERROR(MATCH(UI!$B$1,EffectName[#Headers],0),2),FALSE))</f>
        <v/>
      </c>
      <c r="U1415" t="str">
        <f t="shared" si="155"/>
        <v/>
      </c>
      <c r="V1415">
        <v>0</v>
      </c>
      <c r="W1415" t="str">
        <f>IF(V1415&lt;&gt;0,VLOOKUP(VLOOKUP(V1415,Tbl_Effect[],3,FALSE),EffectName[],IFERROR(MATCH(UI!$B$1,EffectName[#Headers],0),2),FALSE),"")</f>
        <v/>
      </c>
      <c r="X1415" t="str">
        <f t="shared" si="156"/>
        <v/>
      </c>
      <c r="Y1415">
        <v>0</v>
      </c>
      <c r="Z1415" t="str">
        <f>IF(Y1415&lt;&gt;0,VLOOKUP(VLOOKUP(Y1415,Tbl_Effect[],3,FALSE),EffectName[],IFERROR(MATCH(UI!$B$1,EffectName[#Headers],0),2),FALSE),"")</f>
        <v/>
      </c>
      <c r="AA1415" t="str">
        <f t="shared" si="157"/>
        <v/>
      </c>
      <c r="AB1415">
        <v>0</v>
      </c>
      <c r="AC1415" t="str">
        <f>IF(AB1415&lt;&gt;0,VLOOKUP(VLOOKUP(AB1415,Tbl_Effect[],3,FALSE),EffectName[],IFERROR(MATCH(UI!$B$1,EffectName[#Headers],0),2),FALSE),"")</f>
        <v/>
      </c>
    </row>
    <row r="1416" spans="8:29" x14ac:dyDescent="0.4">
      <c r="H1416" t="str">
        <f t="shared" si="154"/>
        <v/>
      </c>
      <c r="I1416">
        <v>0</v>
      </c>
      <c r="J1416" t="str">
        <f>_xlfn.IFNA(IF(I1416&lt;&gt;0,VLOOKUP(VLOOKUP(I1416,Tbl_Equip[],2,FALSE),Tbl_Color[],IFERROR(MATCH(UI!$B$1,Tbl_Color[#Headers],0),2),FALSE),""),"Unset")</f>
        <v/>
      </c>
      <c r="K1416" t="str">
        <f>_xlfn.IFNA(IF(I1416&lt;&gt;0,VLOOKUP(I1416,ItemText[],IFERROR(MATCH(UI!$B$1,ItemText[#Headers],0),2),FALSE),""),"Unset")</f>
        <v/>
      </c>
      <c r="M1416">
        <v>0</v>
      </c>
      <c r="P1416">
        <v>0</v>
      </c>
      <c r="S1416">
        <v>0</v>
      </c>
      <c r="T1416" t="str">
        <f>IF(VALUE(S1416)=0,"",VLOOKUP(VLOOKUP(S1416,Tbl_Effect[],3,FALSE),EffectName[],IFERROR(MATCH(UI!$B$1,EffectName[#Headers],0),2),FALSE))</f>
        <v/>
      </c>
      <c r="U1416" t="str">
        <f t="shared" si="155"/>
        <v/>
      </c>
      <c r="V1416">
        <v>0</v>
      </c>
      <c r="W1416" t="str">
        <f>IF(V1416&lt;&gt;0,VLOOKUP(VLOOKUP(V1416,Tbl_Effect[],3,FALSE),EffectName[],IFERROR(MATCH(UI!$B$1,EffectName[#Headers],0),2),FALSE),"")</f>
        <v/>
      </c>
      <c r="X1416" t="str">
        <f t="shared" si="156"/>
        <v/>
      </c>
      <c r="Y1416">
        <v>0</v>
      </c>
      <c r="Z1416" t="str">
        <f>IF(Y1416&lt;&gt;0,VLOOKUP(VLOOKUP(Y1416,Tbl_Effect[],3,FALSE),EffectName[],IFERROR(MATCH(UI!$B$1,EffectName[#Headers],0),2),FALSE),"")</f>
        <v/>
      </c>
      <c r="AA1416" t="str">
        <f t="shared" si="157"/>
        <v/>
      </c>
      <c r="AB1416">
        <v>0</v>
      </c>
      <c r="AC1416" t="str">
        <f>IF(AB1416&lt;&gt;0,VLOOKUP(VLOOKUP(AB1416,Tbl_Effect[],3,FALSE),EffectName[],IFERROR(MATCH(UI!$B$1,EffectName[#Headers],0),2),FALSE),"")</f>
        <v/>
      </c>
    </row>
    <row r="1417" spans="8:29" x14ac:dyDescent="0.4">
      <c r="H1417" t="str">
        <f t="shared" si="154"/>
        <v/>
      </c>
      <c r="I1417">
        <v>0</v>
      </c>
      <c r="J1417" t="str">
        <f>_xlfn.IFNA(IF(I1417&lt;&gt;0,VLOOKUP(VLOOKUP(I1417,Tbl_Equip[],2,FALSE),Tbl_Color[],IFERROR(MATCH(UI!$B$1,Tbl_Color[#Headers],0),2),FALSE),""),"Unset")</f>
        <v/>
      </c>
      <c r="K1417" t="str">
        <f>_xlfn.IFNA(IF(I1417&lt;&gt;0,VLOOKUP(I1417,ItemText[],IFERROR(MATCH(UI!$B$1,ItemText[#Headers],0),2),FALSE),""),"Unset")</f>
        <v/>
      </c>
      <c r="M1417">
        <v>0</v>
      </c>
      <c r="P1417">
        <v>0</v>
      </c>
      <c r="S1417">
        <v>0</v>
      </c>
      <c r="T1417" t="str">
        <f>IF(VALUE(S1417)=0,"",VLOOKUP(VLOOKUP(S1417,Tbl_Effect[],3,FALSE),EffectName[],IFERROR(MATCH(UI!$B$1,EffectName[#Headers],0),2),FALSE))</f>
        <v/>
      </c>
      <c r="U1417" t="str">
        <f t="shared" si="155"/>
        <v/>
      </c>
      <c r="V1417">
        <v>0</v>
      </c>
      <c r="W1417" t="str">
        <f>IF(V1417&lt;&gt;0,VLOOKUP(VLOOKUP(V1417,Tbl_Effect[],3,FALSE),EffectName[],IFERROR(MATCH(UI!$B$1,EffectName[#Headers],0),2),FALSE),"")</f>
        <v/>
      </c>
      <c r="X1417" t="str">
        <f t="shared" si="156"/>
        <v/>
      </c>
      <c r="Y1417">
        <v>0</v>
      </c>
      <c r="Z1417" t="str">
        <f>IF(Y1417&lt;&gt;0,VLOOKUP(VLOOKUP(Y1417,Tbl_Effect[],3,FALSE),EffectName[],IFERROR(MATCH(UI!$B$1,EffectName[#Headers],0),2),FALSE),"")</f>
        <v/>
      </c>
      <c r="AA1417" t="str">
        <f t="shared" si="157"/>
        <v/>
      </c>
      <c r="AB1417">
        <v>0</v>
      </c>
      <c r="AC1417" t="str">
        <f>IF(AB1417&lt;&gt;0,VLOOKUP(VLOOKUP(AB1417,Tbl_Effect[],3,FALSE),EffectName[],IFERROR(MATCH(UI!$B$1,EffectName[#Headers],0),2),FALSE),"")</f>
        <v/>
      </c>
    </row>
    <row r="1418" spans="8:29" x14ac:dyDescent="0.4">
      <c r="H1418" t="str">
        <f t="shared" si="154"/>
        <v/>
      </c>
      <c r="I1418">
        <v>0</v>
      </c>
      <c r="J1418" t="str">
        <f>_xlfn.IFNA(IF(I1418&lt;&gt;0,VLOOKUP(VLOOKUP(I1418,Tbl_Equip[],2,FALSE),Tbl_Color[],IFERROR(MATCH(UI!$B$1,Tbl_Color[#Headers],0),2),FALSE),""),"Unset")</f>
        <v/>
      </c>
      <c r="K1418" t="str">
        <f>_xlfn.IFNA(IF(I1418&lt;&gt;0,VLOOKUP(I1418,ItemText[],IFERROR(MATCH(UI!$B$1,ItemText[#Headers],0),2),FALSE),""),"Unset")</f>
        <v/>
      </c>
      <c r="M1418">
        <v>0</v>
      </c>
      <c r="P1418">
        <v>0</v>
      </c>
      <c r="S1418">
        <v>0</v>
      </c>
      <c r="T1418" t="str">
        <f>IF(VALUE(S1418)=0,"",VLOOKUP(VLOOKUP(S1418,Tbl_Effect[],3,FALSE),EffectName[],IFERROR(MATCH(UI!$B$1,EffectName[#Headers],0),2),FALSE))</f>
        <v/>
      </c>
      <c r="U1418" t="str">
        <f t="shared" si="155"/>
        <v/>
      </c>
      <c r="V1418">
        <v>0</v>
      </c>
      <c r="W1418" t="str">
        <f>IF(V1418&lt;&gt;0,VLOOKUP(VLOOKUP(V1418,Tbl_Effect[],3,FALSE),EffectName[],IFERROR(MATCH(UI!$B$1,EffectName[#Headers],0),2),FALSE),"")</f>
        <v/>
      </c>
      <c r="X1418" t="str">
        <f t="shared" si="156"/>
        <v/>
      </c>
      <c r="Y1418">
        <v>0</v>
      </c>
      <c r="Z1418" t="str">
        <f>IF(Y1418&lt;&gt;0,VLOOKUP(VLOOKUP(Y1418,Tbl_Effect[],3,FALSE),EffectName[],IFERROR(MATCH(UI!$B$1,EffectName[#Headers],0),2),FALSE),"")</f>
        <v/>
      </c>
      <c r="AA1418" t="str">
        <f t="shared" si="157"/>
        <v/>
      </c>
      <c r="AB1418">
        <v>0</v>
      </c>
      <c r="AC1418" t="str">
        <f>IF(AB1418&lt;&gt;0,VLOOKUP(VLOOKUP(AB1418,Tbl_Effect[],3,FALSE),EffectName[],IFERROR(MATCH(UI!$B$1,EffectName[#Headers],0),2),FALSE),"")</f>
        <v/>
      </c>
    </row>
    <row r="1419" spans="8:29" x14ac:dyDescent="0.4">
      <c r="H1419" t="str">
        <f t="shared" si="154"/>
        <v/>
      </c>
      <c r="I1419">
        <v>0</v>
      </c>
      <c r="J1419" t="str">
        <f>_xlfn.IFNA(IF(I1419&lt;&gt;0,VLOOKUP(VLOOKUP(I1419,Tbl_Equip[],2,FALSE),Tbl_Color[],IFERROR(MATCH(UI!$B$1,Tbl_Color[#Headers],0),2),FALSE),""),"Unset")</f>
        <v/>
      </c>
      <c r="K1419" t="str">
        <f>_xlfn.IFNA(IF(I1419&lt;&gt;0,VLOOKUP(I1419,ItemText[],IFERROR(MATCH(UI!$B$1,ItemText[#Headers],0),2),FALSE),""),"Unset")</f>
        <v/>
      </c>
      <c r="M1419">
        <v>0</v>
      </c>
      <c r="P1419">
        <v>0</v>
      </c>
      <c r="S1419">
        <v>0</v>
      </c>
      <c r="T1419" t="str">
        <f>IF(VALUE(S1419)=0,"",VLOOKUP(VLOOKUP(S1419,Tbl_Effect[],3,FALSE),EffectName[],IFERROR(MATCH(UI!$B$1,EffectName[#Headers],0),2),FALSE))</f>
        <v/>
      </c>
      <c r="U1419" t="str">
        <f t="shared" si="155"/>
        <v/>
      </c>
      <c r="V1419">
        <v>0</v>
      </c>
      <c r="W1419" t="str">
        <f>IF(V1419&lt;&gt;0,VLOOKUP(VLOOKUP(V1419,Tbl_Effect[],3,FALSE),EffectName[],IFERROR(MATCH(UI!$B$1,EffectName[#Headers],0),2),FALSE),"")</f>
        <v/>
      </c>
      <c r="X1419" t="str">
        <f t="shared" si="156"/>
        <v/>
      </c>
      <c r="Y1419">
        <v>0</v>
      </c>
      <c r="Z1419" t="str">
        <f>IF(Y1419&lt;&gt;0,VLOOKUP(VLOOKUP(Y1419,Tbl_Effect[],3,FALSE),EffectName[],IFERROR(MATCH(UI!$B$1,EffectName[#Headers],0),2),FALSE),"")</f>
        <v/>
      </c>
      <c r="AA1419" t="str">
        <f t="shared" si="157"/>
        <v/>
      </c>
      <c r="AB1419">
        <v>0</v>
      </c>
      <c r="AC1419" t="str">
        <f>IF(AB1419&lt;&gt;0,VLOOKUP(VLOOKUP(AB1419,Tbl_Effect[],3,FALSE),EffectName[],IFERROR(MATCH(UI!$B$1,EffectName[#Headers],0),2),FALSE),"")</f>
        <v/>
      </c>
    </row>
    <row r="1420" spans="8:29" x14ac:dyDescent="0.4">
      <c r="H1420" t="str">
        <f t="shared" si="154"/>
        <v/>
      </c>
      <c r="I1420">
        <v>0</v>
      </c>
      <c r="J1420" t="str">
        <f>_xlfn.IFNA(IF(I1420&lt;&gt;0,VLOOKUP(VLOOKUP(I1420,Tbl_Equip[],2,FALSE),Tbl_Color[],IFERROR(MATCH(UI!$B$1,Tbl_Color[#Headers],0),2),FALSE),""),"Unset")</f>
        <v/>
      </c>
      <c r="K1420" t="str">
        <f>_xlfn.IFNA(IF(I1420&lt;&gt;0,VLOOKUP(I1420,ItemText[],IFERROR(MATCH(UI!$B$1,ItemText[#Headers],0),2),FALSE),""),"Unset")</f>
        <v/>
      </c>
      <c r="M1420">
        <v>0</v>
      </c>
      <c r="P1420">
        <v>0</v>
      </c>
      <c r="S1420">
        <v>0</v>
      </c>
      <c r="T1420" t="str">
        <f>IF(VALUE(S1420)=0,"",VLOOKUP(VLOOKUP(S1420,Tbl_Effect[],3,FALSE),EffectName[],IFERROR(MATCH(UI!$B$1,EffectName[#Headers],0),2),FALSE))</f>
        <v/>
      </c>
      <c r="U1420" t="str">
        <f t="shared" si="155"/>
        <v/>
      </c>
      <c r="V1420">
        <v>0</v>
      </c>
      <c r="W1420" t="str">
        <f>IF(V1420&lt;&gt;0,VLOOKUP(VLOOKUP(V1420,Tbl_Effect[],3,FALSE),EffectName[],IFERROR(MATCH(UI!$B$1,EffectName[#Headers],0),2),FALSE),"")</f>
        <v/>
      </c>
      <c r="X1420" t="str">
        <f t="shared" si="156"/>
        <v/>
      </c>
      <c r="Y1420">
        <v>0</v>
      </c>
      <c r="Z1420" t="str">
        <f>IF(Y1420&lt;&gt;0,VLOOKUP(VLOOKUP(Y1420,Tbl_Effect[],3,FALSE),EffectName[],IFERROR(MATCH(UI!$B$1,EffectName[#Headers],0),2),FALSE),"")</f>
        <v/>
      </c>
      <c r="AA1420" t="str">
        <f t="shared" si="157"/>
        <v/>
      </c>
      <c r="AB1420">
        <v>0</v>
      </c>
      <c r="AC1420" t="str">
        <f>IF(AB1420&lt;&gt;0,VLOOKUP(VLOOKUP(AB1420,Tbl_Effect[],3,FALSE),EffectName[],IFERROR(MATCH(UI!$B$1,EffectName[#Headers],0),2),FALSE),"")</f>
        <v/>
      </c>
    </row>
    <row r="1421" spans="8:29" x14ac:dyDescent="0.4">
      <c r="H1421" t="str">
        <f t="shared" si="154"/>
        <v/>
      </c>
      <c r="I1421">
        <v>0</v>
      </c>
      <c r="J1421" t="str">
        <f>_xlfn.IFNA(IF(I1421&lt;&gt;0,VLOOKUP(VLOOKUP(I1421,Tbl_Equip[],2,FALSE),Tbl_Color[],IFERROR(MATCH(UI!$B$1,Tbl_Color[#Headers],0),2),FALSE),""),"Unset")</f>
        <v/>
      </c>
      <c r="K1421" t="str">
        <f>_xlfn.IFNA(IF(I1421&lt;&gt;0,VLOOKUP(I1421,ItemText[],IFERROR(MATCH(UI!$B$1,ItemText[#Headers],0),2),FALSE),""),"Unset")</f>
        <v/>
      </c>
      <c r="M1421">
        <v>0</v>
      </c>
      <c r="P1421">
        <v>0</v>
      </c>
      <c r="S1421">
        <v>0</v>
      </c>
      <c r="T1421" t="str">
        <f>IF(VALUE(S1421)=0,"",VLOOKUP(VLOOKUP(S1421,Tbl_Effect[],3,FALSE),EffectName[],IFERROR(MATCH(UI!$B$1,EffectName[#Headers],0),2),FALSE))</f>
        <v/>
      </c>
      <c r="U1421" t="str">
        <f t="shared" si="155"/>
        <v/>
      </c>
      <c r="V1421">
        <v>0</v>
      </c>
      <c r="W1421" t="str">
        <f>IF(V1421&lt;&gt;0,VLOOKUP(VLOOKUP(V1421,Tbl_Effect[],3,FALSE),EffectName[],IFERROR(MATCH(UI!$B$1,EffectName[#Headers],0),2),FALSE),"")</f>
        <v/>
      </c>
      <c r="X1421" t="str">
        <f t="shared" si="156"/>
        <v/>
      </c>
      <c r="Y1421">
        <v>0</v>
      </c>
      <c r="Z1421" t="str">
        <f>IF(Y1421&lt;&gt;0,VLOOKUP(VLOOKUP(Y1421,Tbl_Effect[],3,FALSE),EffectName[],IFERROR(MATCH(UI!$B$1,EffectName[#Headers],0),2),FALSE),"")</f>
        <v/>
      </c>
      <c r="AA1421" t="str">
        <f t="shared" si="157"/>
        <v/>
      </c>
      <c r="AB1421">
        <v>0</v>
      </c>
      <c r="AC1421" t="str">
        <f>IF(AB1421&lt;&gt;0,VLOOKUP(VLOOKUP(AB1421,Tbl_Effect[],3,FALSE),EffectName[],IFERROR(MATCH(UI!$B$1,EffectName[#Headers],0),2),FALSE),"")</f>
        <v/>
      </c>
    </row>
    <row r="1422" spans="8:29" x14ac:dyDescent="0.4">
      <c r="H1422" t="str">
        <f t="shared" si="154"/>
        <v/>
      </c>
      <c r="I1422">
        <v>0</v>
      </c>
      <c r="J1422" t="str">
        <f>_xlfn.IFNA(IF(I1422&lt;&gt;0,VLOOKUP(VLOOKUP(I1422,Tbl_Equip[],2,FALSE),Tbl_Color[],IFERROR(MATCH(UI!$B$1,Tbl_Color[#Headers],0),2),FALSE),""),"Unset")</f>
        <v/>
      </c>
      <c r="K1422" t="str">
        <f>_xlfn.IFNA(IF(I1422&lt;&gt;0,VLOOKUP(I1422,ItemText[],IFERROR(MATCH(UI!$B$1,ItemText[#Headers],0),2),FALSE),""),"Unset")</f>
        <v/>
      </c>
      <c r="M1422">
        <v>0</v>
      </c>
      <c r="P1422">
        <v>0</v>
      </c>
      <c r="S1422">
        <v>0</v>
      </c>
      <c r="T1422" t="str">
        <f>IF(VALUE(S1422)=0,"",VLOOKUP(VLOOKUP(S1422,Tbl_Effect[],3,FALSE),EffectName[],IFERROR(MATCH(UI!$B$1,EffectName[#Headers],0),2),FALSE))</f>
        <v/>
      </c>
      <c r="U1422" t="str">
        <f t="shared" si="155"/>
        <v/>
      </c>
      <c r="V1422">
        <v>0</v>
      </c>
      <c r="W1422" t="str">
        <f>IF(V1422&lt;&gt;0,VLOOKUP(VLOOKUP(V1422,Tbl_Effect[],3,FALSE),EffectName[],IFERROR(MATCH(UI!$B$1,EffectName[#Headers],0),2),FALSE),"")</f>
        <v/>
      </c>
      <c r="X1422" t="str">
        <f t="shared" si="156"/>
        <v/>
      </c>
      <c r="Y1422">
        <v>0</v>
      </c>
      <c r="Z1422" t="str">
        <f>IF(Y1422&lt;&gt;0,VLOOKUP(VLOOKUP(Y1422,Tbl_Effect[],3,FALSE),EffectName[],IFERROR(MATCH(UI!$B$1,EffectName[#Headers],0),2),FALSE),"")</f>
        <v/>
      </c>
      <c r="AA1422" t="str">
        <f t="shared" si="157"/>
        <v/>
      </c>
      <c r="AB1422">
        <v>0</v>
      </c>
      <c r="AC1422" t="str">
        <f>IF(AB1422&lt;&gt;0,VLOOKUP(VLOOKUP(AB1422,Tbl_Effect[],3,FALSE),EffectName[],IFERROR(MATCH(UI!$B$1,EffectName[#Headers],0),2),FALSE),"")</f>
        <v/>
      </c>
    </row>
    <row r="1423" spans="8:29" x14ac:dyDescent="0.4">
      <c r="H1423" t="str">
        <f t="shared" si="154"/>
        <v/>
      </c>
      <c r="I1423">
        <v>0</v>
      </c>
      <c r="J1423" t="str">
        <f>_xlfn.IFNA(IF(I1423&lt;&gt;0,VLOOKUP(VLOOKUP(I1423,Tbl_Equip[],2,FALSE),Tbl_Color[],IFERROR(MATCH(UI!$B$1,Tbl_Color[#Headers],0),2),FALSE),""),"Unset")</f>
        <v/>
      </c>
      <c r="K1423" t="str">
        <f>_xlfn.IFNA(IF(I1423&lt;&gt;0,VLOOKUP(I1423,ItemText[],IFERROR(MATCH(UI!$B$1,ItemText[#Headers],0),2),FALSE),""),"Unset")</f>
        <v/>
      </c>
      <c r="M1423">
        <v>0</v>
      </c>
      <c r="P1423">
        <v>0</v>
      </c>
      <c r="S1423">
        <v>0</v>
      </c>
      <c r="T1423" t="str">
        <f>IF(VALUE(S1423)=0,"",VLOOKUP(VLOOKUP(S1423,Tbl_Effect[],3,FALSE),EffectName[],IFERROR(MATCH(UI!$B$1,EffectName[#Headers],0),2),FALSE))</f>
        <v/>
      </c>
      <c r="U1423" t="str">
        <f t="shared" si="155"/>
        <v/>
      </c>
      <c r="V1423">
        <v>0</v>
      </c>
      <c r="W1423" t="str">
        <f>IF(V1423&lt;&gt;0,VLOOKUP(VLOOKUP(V1423,Tbl_Effect[],3,FALSE),EffectName[],IFERROR(MATCH(UI!$B$1,EffectName[#Headers],0),2),FALSE),"")</f>
        <v/>
      </c>
      <c r="X1423" t="str">
        <f t="shared" si="156"/>
        <v/>
      </c>
      <c r="Y1423">
        <v>0</v>
      </c>
      <c r="Z1423" t="str">
        <f>IF(Y1423&lt;&gt;0,VLOOKUP(VLOOKUP(Y1423,Tbl_Effect[],3,FALSE),EffectName[],IFERROR(MATCH(UI!$B$1,EffectName[#Headers],0),2),FALSE),"")</f>
        <v/>
      </c>
      <c r="AA1423" t="str">
        <f t="shared" si="157"/>
        <v/>
      </c>
      <c r="AB1423">
        <v>0</v>
      </c>
      <c r="AC1423" t="str">
        <f>IF(AB1423&lt;&gt;0,VLOOKUP(VLOOKUP(AB1423,Tbl_Effect[],3,FALSE),EffectName[],IFERROR(MATCH(UI!$B$1,EffectName[#Headers],0),2),FALSE),"")</f>
        <v/>
      </c>
    </row>
    <row r="1424" spans="8:29" x14ac:dyDescent="0.4">
      <c r="H1424" t="str">
        <f t="shared" si="154"/>
        <v/>
      </c>
      <c r="I1424">
        <v>0</v>
      </c>
      <c r="J1424" t="str">
        <f>_xlfn.IFNA(IF(I1424&lt;&gt;0,VLOOKUP(VLOOKUP(I1424,Tbl_Equip[],2,FALSE),Tbl_Color[],IFERROR(MATCH(UI!$B$1,Tbl_Color[#Headers],0),2),FALSE),""),"Unset")</f>
        <v/>
      </c>
      <c r="K1424" t="str">
        <f>_xlfn.IFNA(IF(I1424&lt;&gt;0,VLOOKUP(I1424,ItemText[],IFERROR(MATCH(UI!$B$1,ItemText[#Headers],0),2),FALSE),""),"Unset")</f>
        <v/>
      </c>
      <c r="M1424">
        <v>0</v>
      </c>
      <c r="P1424">
        <v>0</v>
      </c>
      <c r="S1424">
        <v>0</v>
      </c>
      <c r="T1424" t="str">
        <f>IF(VALUE(S1424)=0,"",VLOOKUP(VLOOKUP(S1424,Tbl_Effect[],3,FALSE),EffectName[],IFERROR(MATCH(UI!$B$1,EffectName[#Headers],0),2),FALSE))</f>
        <v/>
      </c>
      <c r="U1424" t="str">
        <f t="shared" si="155"/>
        <v/>
      </c>
      <c r="V1424">
        <v>0</v>
      </c>
      <c r="W1424" t="str">
        <f>IF(V1424&lt;&gt;0,VLOOKUP(VLOOKUP(V1424,Tbl_Effect[],3,FALSE),EffectName[],IFERROR(MATCH(UI!$B$1,EffectName[#Headers],0),2),FALSE),"")</f>
        <v/>
      </c>
      <c r="X1424" t="str">
        <f t="shared" si="156"/>
        <v/>
      </c>
      <c r="Y1424">
        <v>0</v>
      </c>
      <c r="Z1424" t="str">
        <f>IF(Y1424&lt;&gt;0,VLOOKUP(VLOOKUP(Y1424,Tbl_Effect[],3,FALSE),EffectName[],IFERROR(MATCH(UI!$B$1,EffectName[#Headers],0),2),FALSE),"")</f>
        <v/>
      </c>
      <c r="AA1424" t="str">
        <f t="shared" si="157"/>
        <v/>
      </c>
      <c r="AB1424">
        <v>0</v>
      </c>
      <c r="AC1424" t="str">
        <f>IF(AB1424&lt;&gt;0,VLOOKUP(VLOOKUP(AB1424,Tbl_Effect[],3,FALSE),EffectName[],IFERROR(MATCH(UI!$B$1,EffectName[#Headers],0),2),FALSE),"")</f>
        <v/>
      </c>
    </row>
    <row r="1425" spans="8:29" x14ac:dyDescent="0.4">
      <c r="H1425" t="str">
        <f t="shared" si="154"/>
        <v/>
      </c>
      <c r="I1425">
        <v>0</v>
      </c>
      <c r="J1425" t="str">
        <f>_xlfn.IFNA(IF(I1425&lt;&gt;0,VLOOKUP(VLOOKUP(I1425,Tbl_Equip[],2,FALSE),Tbl_Color[],IFERROR(MATCH(UI!$B$1,Tbl_Color[#Headers],0),2),FALSE),""),"Unset")</f>
        <v/>
      </c>
      <c r="K1425" t="str">
        <f>_xlfn.IFNA(IF(I1425&lt;&gt;0,VLOOKUP(I1425,ItemText[],IFERROR(MATCH(UI!$B$1,ItemText[#Headers],0),2),FALSE),""),"Unset")</f>
        <v/>
      </c>
      <c r="M1425">
        <v>0</v>
      </c>
      <c r="P1425">
        <v>0</v>
      </c>
      <c r="S1425">
        <v>0</v>
      </c>
      <c r="T1425" t="str">
        <f>IF(VALUE(S1425)=0,"",VLOOKUP(VLOOKUP(S1425,Tbl_Effect[],3,FALSE),EffectName[],IFERROR(MATCH(UI!$B$1,EffectName[#Headers],0),2),FALSE))</f>
        <v/>
      </c>
      <c r="U1425" t="str">
        <f t="shared" si="155"/>
        <v/>
      </c>
      <c r="V1425">
        <v>0</v>
      </c>
      <c r="W1425" t="str">
        <f>IF(V1425&lt;&gt;0,VLOOKUP(VLOOKUP(V1425,Tbl_Effect[],3,FALSE),EffectName[],IFERROR(MATCH(UI!$B$1,EffectName[#Headers],0),2),FALSE),"")</f>
        <v/>
      </c>
      <c r="X1425" t="str">
        <f t="shared" si="156"/>
        <v/>
      </c>
      <c r="Y1425">
        <v>0</v>
      </c>
      <c r="Z1425" t="str">
        <f>IF(Y1425&lt;&gt;0,VLOOKUP(VLOOKUP(Y1425,Tbl_Effect[],3,FALSE),EffectName[],IFERROR(MATCH(UI!$B$1,EffectName[#Headers],0),2),FALSE),"")</f>
        <v/>
      </c>
      <c r="AA1425" t="str">
        <f t="shared" si="157"/>
        <v/>
      </c>
      <c r="AB1425">
        <v>0</v>
      </c>
      <c r="AC1425" t="str">
        <f>IF(AB1425&lt;&gt;0,VLOOKUP(VLOOKUP(AB1425,Tbl_Effect[],3,FALSE),EffectName[],IFERROR(MATCH(UI!$B$1,EffectName[#Headers],0),2),FALSE),"")</f>
        <v/>
      </c>
    </row>
    <row r="1426" spans="8:29" x14ac:dyDescent="0.4">
      <c r="H1426" t="str">
        <f t="shared" si="154"/>
        <v/>
      </c>
      <c r="I1426">
        <v>0</v>
      </c>
      <c r="J1426" t="str">
        <f>_xlfn.IFNA(IF(I1426&lt;&gt;0,VLOOKUP(VLOOKUP(I1426,Tbl_Equip[],2,FALSE),Tbl_Color[],IFERROR(MATCH(UI!$B$1,Tbl_Color[#Headers],0),2),FALSE),""),"Unset")</f>
        <v/>
      </c>
      <c r="K1426" t="str">
        <f>_xlfn.IFNA(IF(I1426&lt;&gt;0,VLOOKUP(I1426,ItemText[],IFERROR(MATCH(UI!$B$1,ItemText[#Headers],0),2),FALSE),""),"Unset")</f>
        <v/>
      </c>
      <c r="M1426">
        <v>0</v>
      </c>
      <c r="P1426">
        <v>0</v>
      </c>
      <c r="S1426">
        <v>0</v>
      </c>
      <c r="T1426" t="str">
        <f>IF(VALUE(S1426)=0,"",VLOOKUP(VLOOKUP(S1426,Tbl_Effect[],3,FALSE),EffectName[],IFERROR(MATCH(UI!$B$1,EffectName[#Headers],0),2),FALSE))</f>
        <v/>
      </c>
      <c r="U1426" t="str">
        <f t="shared" si="155"/>
        <v/>
      </c>
      <c r="V1426">
        <v>0</v>
      </c>
      <c r="W1426" t="str">
        <f>IF(V1426&lt;&gt;0,VLOOKUP(VLOOKUP(V1426,Tbl_Effect[],3,FALSE),EffectName[],IFERROR(MATCH(UI!$B$1,EffectName[#Headers],0),2),FALSE),"")</f>
        <v/>
      </c>
      <c r="X1426" t="str">
        <f t="shared" si="156"/>
        <v/>
      </c>
      <c r="Y1426">
        <v>0</v>
      </c>
      <c r="Z1426" t="str">
        <f>IF(Y1426&lt;&gt;0,VLOOKUP(VLOOKUP(Y1426,Tbl_Effect[],3,FALSE),EffectName[],IFERROR(MATCH(UI!$B$1,EffectName[#Headers],0),2),FALSE),"")</f>
        <v/>
      </c>
      <c r="AA1426" t="str">
        <f t="shared" si="157"/>
        <v/>
      </c>
      <c r="AB1426">
        <v>0</v>
      </c>
      <c r="AC1426" t="str">
        <f>IF(AB1426&lt;&gt;0,VLOOKUP(VLOOKUP(AB1426,Tbl_Effect[],3,FALSE),EffectName[],IFERROR(MATCH(UI!$B$1,EffectName[#Headers],0),2),FALSE),"")</f>
        <v/>
      </c>
    </row>
    <row r="1427" spans="8:29" x14ac:dyDescent="0.4">
      <c r="H1427" t="str">
        <f t="shared" si="154"/>
        <v/>
      </c>
      <c r="I1427">
        <v>0</v>
      </c>
      <c r="J1427" t="str">
        <f>_xlfn.IFNA(IF(I1427&lt;&gt;0,VLOOKUP(VLOOKUP(I1427,Tbl_Equip[],2,FALSE),Tbl_Color[],IFERROR(MATCH(UI!$B$1,Tbl_Color[#Headers],0),2),FALSE),""),"Unset")</f>
        <v/>
      </c>
      <c r="K1427" t="str">
        <f>_xlfn.IFNA(IF(I1427&lt;&gt;0,VLOOKUP(I1427,ItemText[],IFERROR(MATCH(UI!$B$1,ItemText[#Headers],0),2),FALSE),""),"Unset")</f>
        <v/>
      </c>
      <c r="M1427">
        <v>0</v>
      </c>
      <c r="P1427">
        <v>0</v>
      </c>
      <c r="S1427">
        <v>0</v>
      </c>
      <c r="T1427" t="str">
        <f>IF(VALUE(S1427)=0,"",VLOOKUP(VLOOKUP(S1427,Tbl_Effect[],3,FALSE),EffectName[],IFERROR(MATCH(UI!$B$1,EffectName[#Headers],0),2),FALSE))</f>
        <v/>
      </c>
      <c r="U1427" t="str">
        <f t="shared" si="155"/>
        <v/>
      </c>
      <c r="V1427">
        <v>0</v>
      </c>
      <c r="W1427" t="str">
        <f>IF(V1427&lt;&gt;0,VLOOKUP(VLOOKUP(V1427,Tbl_Effect[],3,FALSE),EffectName[],IFERROR(MATCH(UI!$B$1,EffectName[#Headers],0),2),FALSE),"")</f>
        <v/>
      </c>
      <c r="X1427" t="str">
        <f t="shared" si="156"/>
        <v/>
      </c>
      <c r="Y1427">
        <v>0</v>
      </c>
      <c r="Z1427" t="str">
        <f>IF(Y1427&lt;&gt;0,VLOOKUP(VLOOKUP(Y1427,Tbl_Effect[],3,FALSE),EffectName[],IFERROR(MATCH(UI!$B$1,EffectName[#Headers],0),2),FALSE),"")</f>
        <v/>
      </c>
      <c r="AA1427" t="str">
        <f t="shared" si="157"/>
        <v/>
      </c>
      <c r="AB1427">
        <v>0</v>
      </c>
      <c r="AC1427" t="str">
        <f>IF(AB1427&lt;&gt;0,VLOOKUP(VLOOKUP(AB1427,Tbl_Effect[],3,FALSE),EffectName[],IFERROR(MATCH(UI!$B$1,EffectName[#Headers],0),2),FALSE),"")</f>
        <v/>
      </c>
    </row>
    <row r="1428" spans="8:29" x14ac:dyDescent="0.4">
      <c r="H1428" t="str">
        <f t="shared" si="154"/>
        <v/>
      </c>
      <c r="I1428">
        <v>0</v>
      </c>
      <c r="J1428" t="str">
        <f>_xlfn.IFNA(IF(I1428&lt;&gt;0,VLOOKUP(VLOOKUP(I1428,Tbl_Equip[],2,FALSE),Tbl_Color[],IFERROR(MATCH(UI!$B$1,Tbl_Color[#Headers],0),2),FALSE),""),"Unset")</f>
        <v/>
      </c>
      <c r="K1428" t="str">
        <f>_xlfn.IFNA(IF(I1428&lt;&gt;0,VLOOKUP(I1428,ItemText[],IFERROR(MATCH(UI!$B$1,ItemText[#Headers],0),2),FALSE),""),"Unset")</f>
        <v/>
      </c>
      <c r="M1428">
        <v>0</v>
      </c>
      <c r="P1428">
        <v>0</v>
      </c>
      <c r="S1428">
        <v>0</v>
      </c>
      <c r="T1428" t="str">
        <f>IF(VALUE(S1428)=0,"",VLOOKUP(VLOOKUP(S1428,Tbl_Effect[],3,FALSE),EffectName[],IFERROR(MATCH(UI!$B$1,EffectName[#Headers],0),2),FALSE))</f>
        <v/>
      </c>
      <c r="U1428" t="str">
        <f t="shared" si="155"/>
        <v/>
      </c>
      <c r="V1428">
        <v>0</v>
      </c>
      <c r="W1428" t="str">
        <f>IF(V1428&lt;&gt;0,VLOOKUP(VLOOKUP(V1428,Tbl_Effect[],3,FALSE),EffectName[],IFERROR(MATCH(UI!$B$1,EffectName[#Headers],0),2),FALSE),"")</f>
        <v/>
      </c>
      <c r="X1428" t="str">
        <f t="shared" si="156"/>
        <v/>
      </c>
      <c r="Y1428">
        <v>0</v>
      </c>
      <c r="Z1428" t="str">
        <f>IF(Y1428&lt;&gt;0,VLOOKUP(VLOOKUP(Y1428,Tbl_Effect[],3,FALSE),EffectName[],IFERROR(MATCH(UI!$B$1,EffectName[#Headers],0),2),FALSE),"")</f>
        <v/>
      </c>
      <c r="AA1428" t="str">
        <f t="shared" si="157"/>
        <v/>
      </c>
      <c r="AB1428">
        <v>0</v>
      </c>
      <c r="AC1428" t="str">
        <f>IF(AB1428&lt;&gt;0,VLOOKUP(VLOOKUP(AB1428,Tbl_Effect[],3,FALSE),EffectName[],IFERROR(MATCH(UI!$B$1,EffectName[#Headers],0),2),FALSE),"")</f>
        <v/>
      </c>
    </row>
    <row r="1429" spans="8:29" x14ac:dyDescent="0.4">
      <c r="H1429" t="str">
        <f t="shared" si="154"/>
        <v/>
      </c>
      <c r="I1429">
        <v>0</v>
      </c>
      <c r="J1429" t="str">
        <f>_xlfn.IFNA(IF(I1429&lt;&gt;0,VLOOKUP(VLOOKUP(I1429,Tbl_Equip[],2,FALSE),Tbl_Color[],IFERROR(MATCH(UI!$B$1,Tbl_Color[#Headers],0),2),FALSE),""),"Unset")</f>
        <v/>
      </c>
      <c r="K1429" t="str">
        <f>_xlfn.IFNA(IF(I1429&lt;&gt;0,VLOOKUP(I1429,ItemText[],IFERROR(MATCH(UI!$B$1,ItemText[#Headers],0),2),FALSE),""),"Unset")</f>
        <v/>
      </c>
      <c r="M1429">
        <v>0</v>
      </c>
      <c r="P1429">
        <v>0</v>
      </c>
      <c r="S1429">
        <v>0</v>
      </c>
      <c r="T1429" t="str">
        <f>IF(VALUE(S1429)=0,"",VLOOKUP(VLOOKUP(S1429,Tbl_Effect[],3,FALSE),EffectName[],IFERROR(MATCH(UI!$B$1,EffectName[#Headers],0),2),FALSE))</f>
        <v/>
      </c>
      <c r="U1429" t="str">
        <f t="shared" si="155"/>
        <v/>
      </c>
      <c r="V1429">
        <v>0</v>
      </c>
      <c r="W1429" t="str">
        <f>IF(V1429&lt;&gt;0,VLOOKUP(VLOOKUP(V1429,Tbl_Effect[],3,FALSE),EffectName[],IFERROR(MATCH(UI!$B$1,EffectName[#Headers],0),2),FALSE),"")</f>
        <v/>
      </c>
      <c r="X1429" t="str">
        <f t="shared" si="156"/>
        <v/>
      </c>
      <c r="Y1429">
        <v>0</v>
      </c>
      <c r="Z1429" t="str">
        <f>IF(Y1429&lt;&gt;0,VLOOKUP(VLOOKUP(Y1429,Tbl_Effect[],3,FALSE),EffectName[],IFERROR(MATCH(UI!$B$1,EffectName[#Headers],0),2),FALSE),"")</f>
        <v/>
      </c>
      <c r="AA1429" t="str">
        <f t="shared" si="157"/>
        <v/>
      </c>
      <c r="AB1429">
        <v>0</v>
      </c>
      <c r="AC1429" t="str">
        <f>IF(AB1429&lt;&gt;0,VLOOKUP(VLOOKUP(AB1429,Tbl_Effect[],3,FALSE),EffectName[],IFERROR(MATCH(UI!$B$1,EffectName[#Headers],0),2),FALSE),"")</f>
        <v/>
      </c>
    </row>
    <row r="1430" spans="8:29" x14ac:dyDescent="0.4">
      <c r="H1430" t="str">
        <f t="shared" si="154"/>
        <v/>
      </c>
      <c r="I1430">
        <v>0</v>
      </c>
      <c r="J1430" t="str">
        <f>_xlfn.IFNA(IF(I1430&lt;&gt;0,VLOOKUP(VLOOKUP(I1430,Tbl_Equip[],2,FALSE),Tbl_Color[],IFERROR(MATCH(UI!$B$1,Tbl_Color[#Headers],0),2),FALSE),""),"Unset")</f>
        <v/>
      </c>
      <c r="K1430" t="str">
        <f>_xlfn.IFNA(IF(I1430&lt;&gt;0,VLOOKUP(I1430,ItemText[],IFERROR(MATCH(UI!$B$1,ItemText[#Headers],0),2),FALSE),""),"Unset")</f>
        <v/>
      </c>
      <c r="M1430">
        <v>0</v>
      </c>
      <c r="P1430">
        <v>0</v>
      </c>
      <c r="S1430">
        <v>0</v>
      </c>
      <c r="T1430" t="str">
        <f>IF(VALUE(S1430)=0,"",VLOOKUP(VLOOKUP(S1430,Tbl_Effect[],3,FALSE),EffectName[],IFERROR(MATCH(UI!$B$1,EffectName[#Headers],0),2),FALSE))</f>
        <v/>
      </c>
      <c r="U1430" t="str">
        <f t="shared" si="155"/>
        <v/>
      </c>
      <c r="V1430">
        <v>0</v>
      </c>
      <c r="W1430" t="str">
        <f>IF(V1430&lt;&gt;0,VLOOKUP(VLOOKUP(V1430,Tbl_Effect[],3,FALSE),EffectName[],IFERROR(MATCH(UI!$B$1,EffectName[#Headers],0),2),FALSE),"")</f>
        <v/>
      </c>
      <c r="X1430" t="str">
        <f t="shared" si="156"/>
        <v/>
      </c>
      <c r="Y1430">
        <v>0</v>
      </c>
      <c r="Z1430" t="str">
        <f>IF(Y1430&lt;&gt;0,VLOOKUP(VLOOKUP(Y1430,Tbl_Effect[],3,FALSE),EffectName[],IFERROR(MATCH(UI!$B$1,EffectName[#Headers],0),2),FALSE),"")</f>
        <v/>
      </c>
      <c r="AA1430" t="str">
        <f t="shared" si="157"/>
        <v/>
      </c>
      <c r="AB1430">
        <v>0</v>
      </c>
      <c r="AC1430" t="str">
        <f>IF(AB1430&lt;&gt;0,VLOOKUP(VLOOKUP(AB1430,Tbl_Effect[],3,FALSE),EffectName[],IFERROR(MATCH(UI!$B$1,EffectName[#Headers],0),2),FALSE),"")</f>
        <v/>
      </c>
    </row>
    <row r="1431" spans="8:29" x14ac:dyDescent="0.4">
      <c r="H1431" t="str">
        <f t="shared" si="154"/>
        <v/>
      </c>
      <c r="I1431">
        <v>0</v>
      </c>
      <c r="J1431" t="str">
        <f>_xlfn.IFNA(IF(I1431&lt;&gt;0,VLOOKUP(VLOOKUP(I1431,Tbl_Equip[],2,FALSE),Tbl_Color[],IFERROR(MATCH(UI!$B$1,Tbl_Color[#Headers],0),2),FALSE),""),"Unset")</f>
        <v/>
      </c>
      <c r="K1431" t="str">
        <f>_xlfn.IFNA(IF(I1431&lt;&gt;0,VLOOKUP(I1431,ItemText[],IFERROR(MATCH(UI!$B$1,ItemText[#Headers],0),2),FALSE),""),"Unset")</f>
        <v/>
      </c>
      <c r="M1431">
        <v>0</v>
      </c>
      <c r="P1431">
        <v>0</v>
      </c>
      <c r="S1431">
        <v>0</v>
      </c>
      <c r="T1431" t="str">
        <f>IF(VALUE(S1431)=0,"",VLOOKUP(VLOOKUP(S1431,Tbl_Effect[],3,FALSE),EffectName[],IFERROR(MATCH(UI!$B$1,EffectName[#Headers],0),2),FALSE))</f>
        <v/>
      </c>
      <c r="U1431" t="str">
        <f t="shared" si="155"/>
        <v/>
      </c>
      <c r="V1431">
        <v>0</v>
      </c>
      <c r="W1431" t="str">
        <f>IF(V1431&lt;&gt;0,VLOOKUP(VLOOKUP(V1431,Tbl_Effect[],3,FALSE),EffectName[],IFERROR(MATCH(UI!$B$1,EffectName[#Headers],0),2),FALSE),"")</f>
        <v/>
      </c>
      <c r="X1431" t="str">
        <f t="shared" si="156"/>
        <v/>
      </c>
      <c r="Y1431">
        <v>0</v>
      </c>
      <c r="Z1431" t="str">
        <f>IF(Y1431&lt;&gt;0,VLOOKUP(VLOOKUP(Y1431,Tbl_Effect[],3,FALSE),EffectName[],IFERROR(MATCH(UI!$B$1,EffectName[#Headers],0),2),FALSE),"")</f>
        <v/>
      </c>
      <c r="AA1431" t="str">
        <f t="shared" si="157"/>
        <v/>
      </c>
      <c r="AB1431">
        <v>0</v>
      </c>
      <c r="AC1431" t="str">
        <f>IF(AB1431&lt;&gt;0,VLOOKUP(VLOOKUP(AB1431,Tbl_Effect[],3,FALSE),EffectName[],IFERROR(MATCH(UI!$B$1,EffectName[#Headers],0),2),FALSE),"")</f>
        <v/>
      </c>
    </row>
    <row r="1432" spans="8:29" x14ac:dyDescent="0.4">
      <c r="H1432" t="str">
        <f t="shared" si="154"/>
        <v/>
      </c>
      <c r="I1432">
        <v>0</v>
      </c>
      <c r="J1432" t="str">
        <f>_xlfn.IFNA(IF(I1432&lt;&gt;0,VLOOKUP(VLOOKUP(I1432,Tbl_Equip[],2,FALSE),Tbl_Color[],IFERROR(MATCH(UI!$B$1,Tbl_Color[#Headers],0),2),FALSE),""),"Unset")</f>
        <v/>
      </c>
      <c r="K1432" t="str">
        <f>_xlfn.IFNA(IF(I1432&lt;&gt;0,VLOOKUP(I1432,ItemText[],IFERROR(MATCH(UI!$B$1,ItemText[#Headers],0),2),FALSE),""),"Unset")</f>
        <v/>
      </c>
      <c r="M1432">
        <v>0</v>
      </c>
      <c r="P1432">
        <v>0</v>
      </c>
      <c r="S1432">
        <v>0</v>
      </c>
      <c r="T1432" t="str">
        <f>IF(VALUE(S1432)=0,"",VLOOKUP(VLOOKUP(S1432,Tbl_Effect[],3,FALSE),EffectName[],IFERROR(MATCH(UI!$B$1,EffectName[#Headers],0),2),FALSE))</f>
        <v/>
      </c>
      <c r="U1432" t="str">
        <f t="shared" si="155"/>
        <v/>
      </c>
      <c r="V1432">
        <v>0</v>
      </c>
      <c r="W1432" t="str">
        <f>IF(V1432&lt;&gt;0,VLOOKUP(VLOOKUP(V1432,Tbl_Effect[],3,FALSE),EffectName[],IFERROR(MATCH(UI!$B$1,EffectName[#Headers],0),2),FALSE),"")</f>
        <v/>
      </c>
      <c r="X1432" t="str">
        <f t="shared" si="156"/>
        <v/>
      </c>
      <c r="Y1432">
        <v>0</v>
      </c>
      <c r="Z1432" t="str">
        <f>IF(Y1432&lt;&gt;0,VLOOKUP(VLOOKUP(Y1432,Tbl_Effect[],3,FALSE),EffectName[],IFERROR(MATCH(UI!$B$1,EffectName[#Headers],0),2),FALSE),"")</f>
        <v/>
      </c>
      <c r="AA1432" t="str">
        <f t="shared" si="157"/>
        <v/>
      </c>
      <c r="AB1432">
        <v>0</v>
      </c>
      <c r="AC1432" t="str">
        <f>IF(AB1432&lt;&gt;0,VLOOKUP(VLOOKUP(AB1432,Tbl_Effect[],3,FALSE),EffectName[],IFERROR(MATCH(UI!$B$1,EffectName[#Headers],0),2),FALSE),"")</f>
        <v/>
      </c>
    </row>
    <row r="1433" spans="8:29" x14ac:dyDescent="0.4">
      <c r="H1433" t="str">
        <f t="shared" si="154"/>
        <v/>
      </c>
      <c r="I1433">
        <v>0</v>
      </c>
      <c r="J1433" t="str">
        <f>_xlfn.IFNA(IF(I1433&lt;&gt;0,VLOOKUP(VLOOKUP(I1433,Tbl_Equip[],2,FALSE),Tbl_Color[],IFERROR(MATCH(UI!$B$1,Tbl_Color[#Headers],0),2),FALSE),""),"Unset")</f>
        <v/>
      </c>
      <c r="K1433" t="str">
        <f>_xlfn.IFNA(IF(I1433&lt;&gt;0,VLOOKUP(I1433,ItemText[],IFERROR(MATCH(UI!$B$1,ItemText[#Headers],0),2),FALSE),""),"Unset")</f>
        <v/>
      </c>
      <c r="M1433">
        <v>0</v>
      </c>
      <c r="P1433">
        <v>0</v>
      </c>
      <c r="S1433">
        <v>0</v>
      </c>
      <c r="T1433" t="str">
        <f>IF(VALUE(S1433)=0,"",VLOOKUP(VLOOKUP(S1433,Tbl_Effect[],3,FALSE),EffectName[],IFERROR(MATCH(UI!$B$1,EffectName[#Headers],0),2),FALSE))</f>
        <v/>
      </c>
      <c r="U1433" t="str">
        <f t="shared" si="155"/>
        <v/>
      </c>
      <c r="V1433">
        <v>0</v>
      </c>
      <c r="W1433" t="str">
        <f>IF(V1433&lt;&gt;0,VLOOKUP(VLOOKUP(V1433,Tbl_Effect[],3,FALSE),EffectName[],IFERROR(MATCH(UI!$B$1,EffectName[#Headers],0),2),FALSE),"")</f>
        <v/>
      </c>
      <c r="X1433" t="str">
        <f t="shared" si="156"/>
        <v/>
      </c>
      <c r="Y1433">
        <v>0</v>
      </c>
      <c r="Z1433" t="str">
        <f>IF(Y1433&lt;&gt;0,VLOOKUP(VLOOKUP(Y1433,Tbl_Effect[],3,FALSE),EffectName[],IFERROR(MATCH(UI!$B$1,EffectName[#Headers],0),2),FALSE),"")</f>
        <v/>
      </c>
      <c r="AA1433" t="str">
        <f t="shared" si="157"/>
        <v/>
      </c>
      <c r="AB1433">
        <v>0</v>
      </c>
      <c r="AC1433" t="str">
        <f>IF(AB1433&lt;&gt;0,VLOOKUP(VLOOKUP(AB1433,Tbl_Effect[],3,FALSE),EffectName[],IFERROR(MATCH(UI!$B$1,EffectName[#Headers],0),2),FALSE),"")</f>
        <v/>
      </c>
    </row>
    <row r="1434" spans="8:29" x14ac:dyDescent="0.4">
      <c r="H1434" t="str">
        <f t="shared" si="154"/>
        <v/>
      </c>
      <c r="I1434">
        <v>0</v>
      </c>
      <c r="J1434" t="str">
        <f>_xlfn.IFNA(IF(I1434&lt;&gt;0,VLOOKUP(VLOOKUP(I1434,Tbl_Equip[],2,FALSE),Tbl_Color[],IFERROR(MATCH(UI!$B$1,Tbl_Color[#Headers],0),2),FALSE),""),"Unset")</f>
        <v/>
      </c>
      <c r="K1434" t="str">
        <f>_xlfn.IFNA(IF(I1434&lt;&gt;0,VLOOKUP(I1434,ItemText[],IFERROR(MATCH(UI!$B$1,ItemText[#Headers],0),2),FALSE),""),"Unset")</f>
        <v/>
      </c>
      <c r="M1434">
        <v>0</v>
      </c>
      <c r="P1434">
        <v>0</v>
      </c>
      <c r="S1434">
        <v>0</v>
      </c>
      <c r="T1434" t="str">
        <f>IF(VALUE(S1434)=0,"",VLOOKUP(VLOOKUP(S1434,Tbl_Effect[],3,FALSE),EffectName[],IFERROR(MATCH(UI!$B$1,EffectName[#Headers],0),2),FALSE))</f>
        <v/>
      </c>
      <c r="U1434" t="str">
        <f t="shared" si="155"/>
        <v/>
      </c>
      <c r="V1434">
        <v>0</v>
      </c>
      <c r="W1434" t="str">
        <f>IF(V1434&lt;&gt;0,VLOOKUP(VLOOKUP(V1434,Tbl_Effect[],3,FALSE),EffectName[],IFERROR(MATCH(UI!$B$1,EffectName[#Headers],0),2),FALSE),"")</f>
        <v/>
      </c>
      <c r="X1434" t="str">
        <f t="shared" si="156"/>
        <v/>
      </c>
      <c r="Y1434">
        <v>0</v>
      </c>
      <c r="Z1434" t="str">
        <f>IF(Y1434&lt;&gt;0,VLOOKUP(VLOOKUP(Y1434,Tbl_Effect[],3,FALSE),EffectName[],IFERROR(MATCH(UI!$B$1,EffectName[#Headers],0),2),FALSE),"")</f>
        <v/>
      </c>
      <c r="AA1434" t="str">
        <f t="shared" si="157"/>
        <v/>
      </c>
      <c r="AB1434">
        <v>0</v>
      </c>
      <c r="AC1434" t="str">
        <f>IF(AB1434&lt;&gt;0,VLOOKUP(VLOOKUP(AB1434,Tbl_Effect[],3,FALSE),EffectName[],IFERROR(MATCH(UI!$B$1,EffectName[#Headers],0),2),FALSE),"")</f>
        <v/>
      </c>
    </row>
    <row r="1435" spans="8:29" x14ac:dyDescent="0.4">
      <c r="H1435" t="str">
        <f t="shared" si="154"/>
        <v/>
      </c>
      <c r="I1435">
        <v>0</v>
      </c>
      <c r="J1435" t="str">
        <f>_xlfn.IFNA(IF(I1435&lt;&gt;0,VLOOKUP(VLOOKUP(I1435,Tbl_Equip[],2,FALSE),Tbl_Color[],IFERROR(MATCH(UI!$B$1,Tbl_Color[#Headers],0),2),FALSE),""),"Unset")</f>
        <v/>
      </c>
      <c r="K1435" t="str">
        <f>_xlfn.IFNA(IF(I1435&lt;&gt;0,VLOOKUP(I1435,ItemText[],IFERROR(MATCH(UI!$B$1,ItemText[#Headers],0),2),FALSE),""),"Unset")</f>
        <v/>
      </c>
      <c r="M1435">
        <v>0</v>
      </c>
      <c r="P1435">
        <v>0</v>
      </c>
      <c r="S1435">
        <v>0</v>
      </c>
      <c r="T1435" t="str">
        <f>IF(VALUE(S1435)=0,"",VLOOKUP(VLOOKUP(S1435,Tbl_Effect[],3,FALSE),EffectName[],IFERROR(MATCH(UI!$B$1,EffectName[#Headers],0),2),FALSE))</f>
        <v/>
      </c>
      <c r="U1435" t="str">
        <f t="shared" si="155"/>
        <v/>
      </c>
      <c r="V1435">
        <v>0</v>
      </c>
      <c r="W1435" t="str">
        <f>IF(V1435&lt;&gt;0,VLOOKUP(VLOOKUP(V1435,Tbl_Effect[],3,FALSE),EffectName[],IFERROR(MATCH(UI!$B$1,EffectName[#Headers],0),2),FALSE),"")</f>
        <v/>
      </c>
      <c r="X1435" t="str">
        <f t="shared" si="156"/>
        <v/>
      </c>
      <c r="Y1435">
        <v>0</v>
      </c>
      <c r="Z1435" t="str">
        <f>IF(Y1435&lt;&gt;0,VLOOKUP(VLOOKUP(Y1435,Tbl_Effect[],3,FALSE),EffectName[],IFERROR(MATCH(UI!$B$1,EffectName[#Headers],0),2),FALSE),"")</f>
        <v/>
      </c>
      <c r="AA1435" t="str">
        <f t="shared" si="157"/>
        <v/>
      </c>
      <c r="AB1435">
        <v>0</v>
      </c>
      <c r="AC1435" t="str">
        <f>IF(AB1435&lt;&gt;0,VLOOKUP(VLOOKUP(AB1435,Tbl_Effect[],3,FALSE),EffectName[],IFERROR(MATCH(UI!$B$1,EffectName[#Headers],0),2),FALSE),"")</f>
        <v/>
      </c>
    </row>
    <row r="1436" spans="8:29" x14ac:dyDescent="0.4">
      <c r="H1436" t="str">
        <f t="shared" si="154"/>
        <v/>
      </c>
      <c r="I1436">
        <v>0</v>
      </c>
      <c r="J1436" t="str">
        <f>_xlfn.IFNA(IF(I1436&lt;&gt;0,VLOOKUP(VLOOKUP(I1436,Tbl_Equip[],2,FALSE),Tbl_Color[],IFERROR(MATCH(UI!$B$1,Tbl_Color[#Headers],0),2),FALSE),""),"Unset")</f>
        <v/>
      </c>
      <c r="K1436" t="str">
        <f>_xlfn.IFNA(IF(I1436&lt;&gt;0,VLOOKUP(I1436,ItemText[],IFERROR(MATCH(UI!$B$1,ItemText[#Headers],0),2),FALSE),""),"Unset")</f>
        <v/>
      </c>
      <c r="M1436">
        <v>0</v>
      </c>
      <c r="P1436">
        <v>0</v>
      </c>
      <c r="S1436">
        <v>0</v>
      </c>
      <c r="T1436" t="str">
        <f>IF(VALUE(S1436)=0,"",VLOOKUP(VLOOKUP(S1436,Tbl_Effect[],3,FALSE),EffectName[],IFERROR(MATCH(UI!$B$1,EffectName[#Headers],0),2),FALSE))</f>
        <v/>
      </c>
      <c r="U1436" t="str">
        <f t="shared" si="155"/>
        <v/>
      </c>
      <c r="V1436">
        <v>0</v>
      </c>
      <c r="W1436" t="str">
        <f>IF(V1436&lt;&gt;0,VLOOKUP(VLOOKUP(V1436,Tbl_Effect[],3,FALSE),EffectName[],IFERROR(MATCH(UI!$B$1,EffectName[#Headers],0),2),FALSE),"")</f>
        <v/>
      </c>
      <c r="X1436" t="str">
        <f t="shared" si="156"/>
        <v/>
      </c>
      <c r="Y1436">
        <v>0</v>
      </c>
      <c r="Z1436" t="str">
        <f>IF(Y1436&lt;&gt;0,VLOOKUP(VLOOKUP(Y1436,Tbl_Effect[],3,FALSE),EffectName[],IFERROR(MATCH(UI!$B$1,EffectName[#Headers],0),2),FALSE),"")</f>
        <v/>
      </c>
      <c r="AA1436" t="str">
        <f t="shared" si="157"/>
        <v/>
      </c>
      <c r="AB1436">
        <v>0</v>
      </c>
      <c r="AC1436" t="str">
        <f>IF(AB1436&lt;&gt;0,VLOOKUP(VLOOKUP(AB1436,Tbl_Effect[],3,FALSE),EffectName[],IFERROR(MATCH(UI!$B$1,EffectName[#Headers],0),2),FALSE),"")</f>
        <v/>
      </c>
    </row>
    <row r="1437" spans="8:29" x14ac:dyDescent="0.4">
      <c r="H1437" t="str">
        <f t="shared" si="154"/>
        <v/>
      </c>
      <c r="I1437">
        <v>0</v>
      </c>
      <c r="J1437" t="str">
        <f>_xlfn.IFNA(IF(I1437&lt;&gt;0,VLOOKUP(VLOOKUP(I1437,Tbl_Equip[],2,FALSE),Tbl_Color[],IFERROR(MATCH(UI!$B$1,Tbl_Color[#Headers],0),2),FALSE),""),"Unset")</f>
        <v/>
      </c>
      <c r="K1437" t="str">
        <f>_xlfn.IFNA(IF(I1437&lt;&gt;0,VLOOKUP(I1437,ItemText[],IFERROR(MATCH(UI!$B$1,ItemText[#Headers],0),2),FALSE),""),"Unset")</f>
        <v/>
      </c>
      <c r="M1437">
        <v>0</v>
      </c>
      <c r="P1437">
        <v>0</v>
      </c>
      <c r="S1437">
        <v>0</v>
      </c>
      <c r="T1437" t="str">
        <f>IF(VALUE(S1437)=0,"",VLOOKUP(VLOOKUP(S1437,Tbl_Effect[],3,FALSE),EffectName[],IFERROR(MATCH(UI!$B$1,EffectName[#Headers],0),2),FALSE))</f>
        <v/>
      </c>
      <c r="U1437" t="str">
        <f t="shared" si="155"/>
        <v/>
      </c>
      <c r="V1437">
        <v>0</v>
      </c>
      <c r="W1437" t="str">
        <f>IF(V1437&lt;&gt;0,VLOOKUP(VLOOKUP(V1437,Tbl_Effect[],3,FALSE),EffectName[],IFERROR(MATCH(UI!$B$1,EffectName[#Headers],0),2),FALSE),"")</f>
        <v/>
      </c>
      <c r="X1437" t="str">
        <f t="shared" si="156"/>
        <v/>
      </c>
      <c r="Y1437">
        <v>0</v>
      </c>
      <c r="Z1437" t="str">
        <f>IF(Y1437&lt;&gt;0,VLOOKUP(VLOOKUP(Y1437,Tbl_Effect[],3,FALSE),EffectName[],IFERROR(MATCH(UI!$B$1,EffectName[#Headers],0),2),FALSE),"")</f>
        <v/>
      </c>
      <c r="AA1437" t="str">
        <f t="shared" si="157"/>
        <v/>
      </c>
      <c r="AB1437">
        <v>0</v>
      </c>
      <c r="AC1437" t="str">
        <f>IF(AB1437&lt;&gt;0,VLOOKUP(VLOOKUP(AB1437,Tbl_Effect[],3,FALSE),EffectName[],IFERROR(MATCH(UI!$B$1,EffectName[#Headers],0),2),FALSE),"")</f>
        <v/>
      </c>
    </row>
    <row r="1438" spans="8:29" x14ac:dyDescent="0.4">
      <c r="H1438" t="str">
        <f t="shared" si="154"/>
        <v/>
      </c>
      <c r="I1438">
        <v>0</v>
      </c>
      <c r="J1438" t="str">
        <f>_xlfn.IFNA(IF(I1438&lt;&gt;0,VLOOKUP(VLOOKUP(I1438,Tbl_Equip[],2,FALSE),Tbl_Color[],IFERROR(MATCH(UI!$B$1,Tbl_Color[#Headers],0),2),FALSE),""),"Unset")</f>
        <v/>
      </c>
      <c r="K1438" t="str">
        <f>_xlfn.IFNA(IF(I1438&lt;&gt;0,VLOOKUP(I1438,ItemText[],IFERROR(MATCH(UI!$B$1,ItemText[#Headers],0),2),FALSE),""),"Unset")</f>
        <v/>
      </c>
      <c r="M1438">
        <v>0</v>
      </c>
      <c r="P1438">
        <v>0</v>
      </c>
      <c r="S1438">
        <v>0</v>
      </c>
      <c r="T1438" t="str">
        <f>IF(VALUE(S1438)=0,"",VLOOKUP(VLOOKUP(S1438,Tbl_Effect[],3,FALSE),EffectName[],IFERROR(MATCH(UI!$B$1,EffectName[#Headers],0),2),FALSE))</f>
        <v/>
      </c>
      <c r="U1438" t="str">
        <f t="shared" si="155"/>
        <v/>
      </c>
      <c r="V1438">
        <v>0</v>
      </c>
      <c r="W1438" t="str">
        <f>IF(V1438&lt;&gt;0,VLOOKUP(VLOOKUP(V1438,Tbl_Effect[],3,FALSE),EffectName[],IFERROR(MATCH(UI!$B$1,EffectName[#Headers],0),2),FALSE),"")</f>
        <v/>
      </c>
      <c r="X1438" t="str">
        <f t="shared" si="156"/>
        <v/>
      </c>
      <c r="Y1438">
        <v>0</v>
      </c>
      <c r="Z1438" t="str">
        <f>IF(Y1438&lt;&gt;0,VLOOKUP(VLOOKUP(Y1438,Tbl_Effect[],3,FALSE),EffectName[],IFERROR(MATCH(UI!$B$1,EffectName[#Headers],0),2),FALSE),"")</f>
        <v/>
      </c>
      <c r="AA1438" t="str">
        <f t="shared" si="157"/>
        <v/>
      </c>
      <c r="AB1438">
        <v>0</v>
      </c>
      <c r="AC1438" t="str">
        <f>IF(AB1438&lt;&gt;0,VLOOKUP(VLOOKUP(AB1438,Tbl_Effect[],3,FALSE),EffectName[],IFERROR(MATCH(UI!$B$1,EffectName[#Headers],0),2),FALSE),"")</f>
        <v/>
      </c>
    </row>
    <row r="1439" spans="8:29" x14ac:dyDescent="0.4">
      <c r="H1439" t="str">
        <f t="shared" si="154"/>
        <v/>
      </c>
      <c r="I1439">
        <v>0</v>
      </c>
      <c r="J1439" t="str">
        <f>_xlfn.IFNA(IF(I1439&lt;&gt;0,VLOOKUP(VLOOKUP(I1439,Tbl_Equip[],2,FALSE),Tbl_Color[],IFERROR(MATCH(UI!$B$1,Tbl_Color[#Headers],0),2),FALSE),""),"Unset")</f>
        <v/>
      </c>
      <c r="K1439" t="str">
        <f>_xlfn.IFNA(IF(I1439&lt;&gt;0,VLOOKUP(I1439,ItemText[],IFERROR(MATCH(UI!$B$1,ItemText[#Headers],0),2),FALSE),""),"Unset")</f>
        <v/>
      </c>
      <c r="M1439">
        <v>0</v>
      </c>
      <c r="P1439">
        <v>0</v>
      </c>
      <c r="S1439">
        <v>0</v>
      </c>
      <c r="T1439" t="str">
        <f>IF(VALUE(S1439)=0,"",VLOOKUP(VLOOKUP(S1439,Tbl_Effect[],3,FALSE),EffectName[],IFERROR(MATCH(UI!$B$1,EffectName[#Headers],0),2),FALSE))</f>
        <v/>
      </c>
      <c r="U1439" t="str">
        <f t="shared" si="155"/>
        <v/>
      </c>
      <c r="V1439">
        <v>0</v>
      </c>
      <c r="W1439" t="str">
        <f>IF(V1439&lt;&gt;0,VLOOKUP(VLOOKUP(V1439,Tbl_Effect[],3,FALSE),EffectName[],IFERROR(MATCH(UI!$B$1,EffectName[#Headers],0),2),FALSE),"")</f>
        <v/>
      </c>
      <c r="X1439" t="str">
        <f t="shared" si="156"/>
        <v/>
      </c>
      <c r="Y1439">
        <v>0</v>
      </c>
      <c r="Z1439" t="str">
        <f>IF(Y1439&lt;&gt;0,VLOOKUP(VLOOKUP(Y1439,Tbl_Effect[],3,FALSE),EffectName[],IFERROR(MATCH(UI!$B$1,EffectName[#Headers],0),2),FALSE),"")</f>
        <v/>
      </c>
      <c r="AA1439" t="str">
        <f t="shared" si="157"/>
        <v/>
      </c>
      <c r="AB1439">
        <v>0</v>
      </c>
      <c r="AC1439" t="str">
        <f>IF(AB1439&lt;&gt;0,VLOOKUP(VLOOKUP(AB1439,Tbl_Effect[],3,FALSE),EffectName[],IFERROR(MATCH(UI!$B$1,EffectName[#Headers],0),2),FALSE),"")</f>
        <v/>
      </c>
    </row>
    <row r="1440" spans="8:29" x14ac:dyDescent="0.4">
      <c r="H1440" t="str">
        <f t="shared" si="154"/>
        <v/>
      </c>
      <c r="I1440">
        <v>0</v>
      </c>
      <c r="J1440" t="str">
        <f>_xlfn.IFNA(IF(I1440&lt;&gt;0,VLOOKUP(VLOOKUP(I1440,Tbl_Equip[],2,FALSE),Tbl_Color[],IFERROR(MATCH(UI!$B$1,Tbl_Color[#Headers],0),2),FALSE),""),"Unset")</f>
        <v/>
      </c>
      <c r="K1440" t="str">
        <f>_xlfn.IFNA(IF(I1440&lt;&gt;0,VLOOKUP(I1440,ItemText[],IFERROR(MATCH(UI!$B$1,ItemText[#Headers],0),2),FALSE),""),"Unset")</f>
        <v/>
      </c>
      <c r="M1440">
        <v>0</v>
      </c>
      <c r="P1440">
        <v>0</v>
      </c>
      <c r="S1440">
        <v>0</v>
      </c>
      <c r="T1440" t="str">
        <f>IF(VALUE(S1440)=0,"",VLOOKUP(VLOOKUP(S1440,Tbl_Effect[],3,FALSE),EffectName[],IFERROR(MATCH(UI!$B$1,EffectName[#Headers],0),2),FALSE))</f>
        <v/>
      </c>
      <c r="U1440" t="str">
        <f t="shared" si="155"/>
        <v/>
      </c>
      <c r="V1440">
        <v>0</v>
      </c>
      <c r="W1440" t="str">
        <f>IF(V1440&lt;&gt;0,VLOOKUP(VLOOKUP(V1440,Tbl_Effect[],3,FALSE),EffectName[],IFERROR(MATCH(UI!$B$1,EffectName[#Headers],0),2),FALSE),"")</f>
        <v/>
      </c>
      <c r="X1440" t="str">
        <f t="shared" si="156"/>
        <v/>
      </c>
      <c r="Y1440">
        <v>0</v>
      </c>
      <c r="Z1440" t="str">
        <f>IF(Y1440&lt;&gt;0,VLOOKUP(VLOOKUP(Y1440,Tbl_Effect[],3,FALSE),EffectName[],IFERROR(MATCH(UI!$B$1,EffectName[#Headers],0),2),FALSE),"")</f>
        <v/>
      </c>
      <c r="AA1440" t="str">
        <f t="shared" si="157"/>
        <v/>
      </c>
      <c r="AB1440">
        <v>0</v>
      </c>
      <c r="AC1440" t="str">
        <f>IF(AB1440&lt;&gt;0,VLOOKUP(VLOOKUP(AB1440,Tbl_Effect[],3,FALSE),EffectName[],IFERROR(MATCH(UI!$B$1,EffectName[#Headers],0),2),FALSE),"")</f>
        <v/>
      </c>
    </row>
    <row r="1441" spans="8:29" x14ac:dyDescent="0.4">
      <c r="H1441" t="str">
        <f t="shared" si="154"/>
        <v/>
      </c>
      <c r="I1441">
        <v>0</v>
      </c>
      <c r="J1441" t="str">
        <f>_xlfn.IFNA(IF(I1441&lt;&gt;0,VLOOKUP(VLOOKUP(I1441,Tbl_Equip[],2,FALSE),Tbl_Color[],IFERROR(MATCH(UI!$B$1,Tbl_Color[#Headers],0),2),FALSE),""),"Unset")</f>
        <v/>
      </c>
      <c r="K1441" t="str">
        <f>_xlfn.IFNA(IF(I1441&lt;&gt;0,VLOOKUP(I1441,ItemText[],IFERROR(MATCH(UI!$B$1,ItemText[#Headers],0),2),FALSE),""),"Unset")</f>
        <v/>
      </c>
      <c r="M1441">
        <v>0</v>
      </c>
      <c r="P1441">
        <v>0</v>
      </c>
      <c r="S1441">
        <v>0</v>
      </c>
      <c r="T1441" t="str">
        <f>IF(VALUE(S1441)=0,"",VLOOKUP(VLOOKUP(S1441,Tbl_Effect[],3,FALSE),EffectName[],IFERROR(MATCH(UI!$B$1,EffectName[#Headers],0),2),FALSE))</f>
        <v/>
      </c>
      <c r="U1441" t="str">
        <f t="shared" si="155"/>
        <v/>
      </c>
      <c r="V1441">
        <v>0</v>
      </c>
      <c r="W1441" t="str">
        <f>IF(V1441&lt;&gt;0,VLOOKUP(VLOOKUP(V1441,Tbl_Effect[],3,FALSE),EffectName[],IFERROR(MATCH(UI!$B$1,EffectName[#Headers],0),2),FALSE),"")</f>
        <v/>
      </c>
      <c r="X1441" t="str">
        <f t="shared" si="156"/>
        <v/>
      </c>
      <c r="Y1441">
        <v>0</v>
      </c>
      <c r="Z1441" t="str">
        <f>IF(Y1441&lt;&gt;0,VLOOKUP(VLOOKUP(Y1441,Tbl_Effect[],3,FALSE),EffectName[],IFERROR(MATCH(UI!$B$1,EffectName[#Headers],0),2),FALSE),"")</f>
        <v/>
      </c>
      <c r="AA1441" t="str">
        <f t="shared" si="157"/>
        <v/>
      </c>
      <c r="AB1441">
        <v>0</v>
      </c>
      <c r="AC1441" t="str">
        <f>IF(AB1441&lt;&gt;0,VLOOKUP(VLOOKUP(AB1441,Tbl_Effect[],3,FALSE),EffectName[],IFERROR(MATCH(UI!$B$1,EffectName[#Headers],0),2),FALSE),"")</f>
        <v/>
      </c>
    </row>
    <row r="1442" spans="8:29" x14ac:dyDescent="0.4">
      <c r="H1442" t="str">
        <f t="shared" si="154"/>
        <v/>
      </c>
      <c r="I1442">
        <v>0</v>
      </c>
      <c r="J1442" t="str">
        <f>_xlfn.IFNA(IF(I1442&lt;&gt;0,VLOOKUP(VLOOKUP(I1442,Tbl_Equip[],2,FALSE),Tbl_Color[],IFERROR(MATCH(UI!$B$1,Tbl_Color[#Headers],0),2),FALSE),""),"Unset")</f>
        <v/>
      </c>
      <c r="K1442" t="str">
        <f>_xlfn.IFNA(IF(I1442&lt;&gt;0,VLOOKUP(I1442,ItemText[],IFERROR(MATCH(UI!$B$1,ItemText[#Headers],0),2),FALSE),""),"Unset")</f>
        <v/>
      </c>
      <c r="M1442">
        <v>0</v>
      </c>
      <c r="P1442">
        <v>0</v>
      </c>
      <c r="S1442">
        <v>0</v>
      </c>
      <c r="T1442" t="str">
        <f>IF(VALUE(S1442)=0,"",VLOOKUP(VLOOKUP(S1442,Tbl_Effect[],3,FALSE),EffectName[],IFERROR(MATCH(UI!$B$1,EffectName[#Headers],0),2),FALSE))</f>
        <v/>
      </c>
      <c r="U1442" t="str">
        <f t="shared" si="155"/>
        <v/>
      </c>
      <c r="V1442">
        <v>0</v>
      </c>
      <c r="W1442" t="str">
        <f>IF(V1442&lt;&gt;0,VLOOKUP(VLOOKUP(V1442,Tbl_Effect[],3,FALSE),EffectName[],IFERROR(MATCH(UI!$B$1,EffectName[#Headers],0),2),FALSE),"")</f>
        <v/>
      </c>
      <c r="X1442" t="str">
        <f t="shared" si="156"/>
        <v/>
      </c>
      <c r="Y1442">
        <v>0</v>
      </c>
      <c r="Z1442" t="str">
        <f>IF(Y1442&lt;&gt;0,VLOOKUP(VLOOKUP(Y1442,Tbl_Effect[],3,FALSE),EffectName[],IFERROR(MATCH(UI!$B$1,EffectName[#Headers],0),2),FALSE),"")</f>
        <v/>
      </c>
      <c r="AA1442" t="str">
        <f t="shared" si="157"/>
        <v/>
      </c>
      <c r="AB1442">
        <v>0</v>
      </c>
      <c r="AC1442" t="str">
        <f>IF(AB1442&lt;&gt;0,VLOOKUP(VLOOKUP(AB1442,Tbl_Effect[],3,FALSE),EffectName[],IFERROR(MATCH(UI!$B$1,EffectName[#Headers],0),2),FALSE),"")</f>
        <v/>
      </c>
    </row>
    <row r="1443" spans="8:29" x14ac:dyDescent="0.4">
      <c r="H1443" t="str">
        <f t="shared" si="154"/>
        <v/>
      </c>
      <c r="I1443">
        <v>0</v>
      </c>
      <c r="J1443" t="str">
        <f>_xlfn.IFNA(IF(I1443&lt;&gt;0,VLOOKUP(VLOOKUP(I1443,Tbl_Equip[],2,FALSE),Tbl_Color[],IFERROR(MATCH(UI!$B$1,Tbl_Color[#Headers],0),2),FALSE),""),"Unset")</f>
        <v/>
      </c>
      <c r="K1443" t="str">
        <f>_xlfn.IFNA(IF(I1443&lt;&gt;0,VLOOKUP(I1443,ItemText[],IFERROR(MATCH(UI!$B$1,ItemText[#Headers],0),2),FALSE),""),"Unset")</f>
        <v/>
      </c>
      <c r="M1443">
        <v>0</v>
      </c>
      <c r="P1443">
        <v>0</v>
      </c>
      <c r="S1443">
        <v>0</v>
      </c>
      <c r="T1443" t="str">
        <f>IF(VALUE(S1443)=0,"",VLOOKUP(VLOOKUP(S1443,Tbl_Effect[],3,FALSE),EffectName[],IFERROR(MATCH(UI!$B$1,EffectName[#Headers],0),2),FALSE))</f>
        <v/>
      </c>
      <c r="U1443" t="str">
        <f t="shared" si="155"/>
        <v/>
      </c>
      <c r="V1443">
        <v>0</v>
      </c>
      <c r="W1443" t="str">
        <f>IF(V1443&lt;&gt;0,VLOOKUP(VLOOKUP(V1443,Tbl_Effect[],3,FALSE),EffectName[],IFERROR(MATCH(UI!$B$1,EffectName[#Headers],0),2),FALSE),"")</f>
        <v/>
      </c>
      <c r="X1443" t="str">
        <f t="shared" si="156"/>
        <v/>
      </c>
      <c r="Y1443">
        <v>0</v>
      </c>
      <c r="Z1443" t="str">
        <f>IF(Y1443&lt;&gt;0,VLOOKUP(VLOOKUP(Y1443,Tbl_Effect[],3,FALSE),EffectName[],IFERROR(MATCH(UI!$B$1,EffectName[#Headers],0),2),FALSE),"")</f>
        <v/>
      </c>
      <c r="AA1443" t="str">
        <f t="shared" si="157"/>
        <v/>
      </c>
      <c r="AB1443">
        <v>0</v>
      </c>
      <c r="AC1443" t="str">
        <f>IF(AB1443&lt;&gt;0,VLOOKUP(VLOOKUP(AB1443,Tbl_Effect[],3,FALSE),EffectName[],IFERROR(MATCH(UI!$B$1,EffectName[#Headers],0),2),FALSE),"")</f>
        <v/>
      </c>
    </row>
    <row r="1444" spans="8:29" x14ac:dyDescent="0.4">
      <c r="H1444" t="str">
        <f t="shared" si="154"/>
        <v/>
      </c>
      <c r="I1444">
        <v>0</v>
      </c>
      <c r="J1444" t="str">
        <f>_xlfn.IFNA(IF(I1444&lt;&gt;0,VLOOKUP(VLOOKUP(I1444,Tbl_Equip[],2,FALSE),Tbl_Color[],IFERROR(MATCH(UI!$B$1,Tbl_Color[#Headers],0),2),FALSE),""),"Unset")</f>
        <v/>
      </c>
      <c r="K1444" t="str">
        <f>_xlfn.IFNA(IF(I1444&lt;&gt;0,VLOOKUP(I1444,ItemText[],IFERROR(MATCH(UI!$B$1,ItemText[#Headers],0),2),FALSE),""),"Unset")</f>
        <v/>
      </c>
      <c r="M1444">
        <v>0</v>
      </c>
      <c r="P1444">
        <v>0</v>
      </c>
      <c r="S1444">
        <v>0</v>
      </c>
      <c r="T1444" t="str">
        <f>IF(VALUE(S1444)=0,"",VLOOKUP(VLOOKUP(S1444,Tbl_Effect[],3,FALSE),EffectName[],IFERROR(MATCH(UI!$B$1,EffectName[#Headers],0),2),FALSE))</f>
        <v/>
      </c>
      <c r="U1444" t="str">
        <f t="shared" si="155"/>
        <v/>
      </c>
      <c r="V1444">
        <v>0</v>
      </c>
      <c r="W1444" t="str">
        <f>IF(V1444&lt;&gt;0,VLOOKUP(VLOOKUP(V1444,Tbl_Effect[],3,FALSE),EffectName[],IFERROR(MATCH(UI!$B$1,EffectName[#Headers],0),2),FALSE),"")</f>
        <v/>
      </c>
      <c r="X1444" t="str">
        <f t="shared" si="156"/>
        <v/>
      </c>
      <c r="Y1444">
        <v>0</v>
      </c>
      <c r="Z1444" t="str">
        <f>IF(Y1444&lt;&gt;0,VLOOKUP(VLOOKUP(Y1444,Tbl_Effect[],3,FALSE),EffectName[],IFERROR(MATCH(UI!$B$1,EffectName[#Headers],0),2),FALSE),"")</f>
        <v/>
      </c>
      <c r="AA1444" t="str">
        <f t="shared" si="157"/>
        <v/>
      </c>
      <c r="AB1444">
        <v>0</v>
      </c>
      <c r="AC1444" t="str">
        <f>IF(AB1444&lt;&gt;0,VLOOKUP(VLOOKUP(AB1444,Tbl_Effect[],3,FALSE),EffectName[],IFERROR(MATCH(UI!$B$1,EffectName[#Headers],0),2),FALSE),"")</f>
        <v/>
      </c>
    </row>
    <row r="1445" spans="8:29" x14ac:dyDescent="0.4">
      <c r="H1445" t="str">
        <f t="shared" si="154"/>
        <v/>
      </c>
      <c r="I1445">
        <v>0</v>
      </c>
      <c r="J1445" t="str">
        <f>_xlfn.IFNA(IF(I1445&lt;&gt;0,VLOOKUP(VLOOKUP(I1445,Tbl_Equip[],2,FALSE),Tbl_Color[],IFERROR(MATCH(UI!$B$1,Tbl_Color[#Headers],0),2),FALSE),""),"Unset")</f>
        <v/>
      </c>
      <c r="K1445" t="str">
        <f>_xlfn.IFNA(IF(I1445&lt;&gt;0,VLOOKUP(I1445,ItemText[],IFERROR(MATCH(UI!$B$1,ItemText[#Headers],0),2),FALSE),""),"Unset")</f>
        <v/>
      </c>
      <c r="M1445">
        <v>0</v>
      </c>
      <c r="P1445">
        <v>0</v>
      </c>
      <c r="S1445">
        <v>0</v>
      </c>
      <c r="T1445" t="str">
        <f>IF(VALUE(S1445)=0,"",VLOOKUP(VLOOKUP(S1445,Tbl_Effect[],3,FALSE),EffectName[],IFERROR(MATCH(UI!$B$1,EffectName[#Headers],0),2),FALSE))</f>
        <v/>
      </c>
      <c r="U1445" t="str">
        <f t="shared" si="155"/>
        <v/>
      </c>
      <c r="V1445">
        <v>0</v>
      </c>
      <c r="W1445" t="str">
        <f>IF(V1445&lt;&gt;0,VLOOKUP(VLOOKUP(V1445,Tbl_Effect[],3,FALSE),EffectName[],IFERROR(MATCH(UI!$B$1,EffectName[#Headers],0),2),FALSE),"")</f>
        <v/>
      </c>
      <c r="X1445" t="str">
        <f t="shared" si="156"/>
        <v/>
      </c>
      <c r="Y1445">
        <v>0</v>
      </c>
      <c r="Z1445" t="str">
        <f>IF(Y1445&lt;&gt;0,VLOOKUP(VLOOKUP(Y1445,Tbl_Effect[],3,FALSE),EffectName[],IFERROR(MATCH(UI!$B$1,EffectName[#Headers],0),2),FALSE),"")</f>
        <v/>
      </c>
      <c r="AA1445" t="str">
        <f t="shared" si="157"/>
        <v/>
      </c>
      <c r="AB1445">
        <v>0</v>
      </c>
      <c r="AC1445" t="str">
        <f>IF(AB1445&lt;&gt;0,VLOOKUP(VLOOKUP(AB1445,Tbl_Effect[],3,FALSE),EffectName[],IFERROR(MATCH(UI!$B$1,EffectName[#Headers],0),2),FALSE),"")</f>
        <v/>
      </c>
    </row>
    <row r="1446" spans="8:29" x14ac:dyDescent="0.4">
      <c r="H1446" t="str">
        <f t="shared" si="154"/>
        <v/>
      </c>
      <c r="I1446">
        <v>0</v>
      </c>
      <c r="J1446" t="str">
        <f>_xlfn.IFNA(IF(I1446&lt;&gt;0,VLOOKUP(VLOOKUP(I1446,Tbl_Equip[],2,FALSE),Tbl_Color[],IFERROR(MATCH(UI!$B$1,Tbl_Color[#Headers],0),2),FALSE),""),"Unset")</f>
        <v/>
      </c>
      <c r="K1446" t="str">
        <f>_xlfn.IFNA(IF(I1446&lt;&gt;0,VLOOKUP(I1446,ItemText[],IFERROR(MATCH(UI!$B$1,ItemText[#Headers],0),2),FALSE),""),"Unset")</f>
        <v/>
      </c>
      <c r="M1446">
        <v>0</v>
      </c>
      <c r="P1446">
        <v>0</v>
      </c>
      <c r="S1446">
        <v>0</v>
      </c>
      <c r="T1446" t="str">
        <f>IF(VALUE(S1446)=0,"",VLOOKUP(VLOOKUP(S1446,Tbl_Effect[],3,FALSE),EffectName[],IFERROR(MATCH(UI!$B$1,EffectName[#Headers],0),2),FALSE))</f>
        <v/>
      </c>
      <c r="U1446" t="str">
        <f t="shared" si="155"/>
        <v/>
      </c>
      <c r="V1446">
        <v>0</v>
      </c>
      <c r="W1446" t="str">
        <f>IF(V1446&lt;&gt;0,VLOOKUP(VLOOKUP(V1446,Tbl_Effect[],3,FALSE),EffectName[],IFERROR(MATCH(UI!$B$1,EffectName[#Headers],0),2),FALSE),"")</f>
        <v/>
      </c>
      <c r="X1446" t="str">
        <f t="shared" si="156"/>
        <v/>
      </c>
      <c r="Y1446">
        <v>0</v>
      </c>
      <c r="Z1446" t="str">
        <f>IF(Y1446&lt;&gt;0,VLOOKUP(VLOOKUP(Y1446,Tbl_Effect[],3,FALSE),EffectName[],IFERROR(MATCH(UI!$B$1,EffectName[#Headers],0),2),FALSE),"")</f>
        <v/>
      </c>
      <c r="AA1446" t="str">
        <f t="shared" si="157"/>
        <v/>
      </c>
      <c r="AB1446">
        <v>0</v>
      </c>
      <c r="AC1446" t="str">
        <f>IF(AB1446&lt;&gt;0,VLOOKUP(VLOOKUP(AB1446,Tbl_Effect[],3,FALSE),EffectName[],IFERROR(MATCH(UI!$B$1,EffectName[#Headers],0),2),FALSE),"")</f>
        <v/>
      </c>
    </row>
    <row r="1447" spans="8:29" x14ac:dyDescent="0.4">
      <c r="H1447" t="str">
        <f t="shared" si="154"/>
        <v/>
      </c>
      <c r="I1447">
        <v>0</v>
      </c>
      <c r="J1447" t="str">
        <f>_xlfn.IFNA(IF(I1447&lt;&gt;0,VLOOKUP(VLOOKUP(I1447,Tbl_Equip[],2,FALSE),Tbl_Color[],IFERROR(MATCH(UI!$B$1,Tbl_Color[#Headers],0),2),FALSE),""),"Unset")</f>
        <v/>
      </c>
      <c r="K1447" t="str">
        <f>_xlfn.IFNA(IF(I1447&lt;&gt;0,VLOOKUP(I1447,ItemText[],IFERROR(MATCH(UI!$B$1,ItemText[#Headers],0),2),FALSE),""),"Unset")</f>
        <v/>
      </c>
      <c r="M1447">
        <v>0</v>
      </c>
      <c r="P1447">
        <v>0</v>
      </c>
      <c r="S1447">
        <v>0</v>
      </c>
      <c r="T1447" t="str">
        <f>IF(VALUE(S1447)=0,"",VLOOKUP(VLOOKUP(S1447,Tbl_Effect[],3,FALSE),EffectName[],IFERROR(MATCH(UI!$B$1,EffectName[#Headers],0),2),FALSE))</f>
        <v/>
      </c>
      <c r="U1447" t="str">
        <f t="shared" si="155"/>
        <v/>
      </c>
      <c r="V1447">
        <v>0</v>
      </c>
      <c r="W1447" t="str">
        <f>IF(V1447&lt;&gt;0,VLOOKUP(VLOOKUP(V1447,Tbl_Effect[],3,FALSE),EffectName[],IFERROR(MATCH(UI!$B$1,EffectName[#Headers],0),2),FALSE),"")</f>
        <v/>
      </c>
      <c r="X1447" t="str">
        <f t="shared" si="156"/>
        <v/>
      </c>
      <c r="Y1447">
        <v>0</v>
      </c>
      <c r="Z1447" t="str">
        <f>IF(Y1447&lt;&gt;0,VLOOKUP(VLOOKUP(Y1447,Tbl_Effect[],3,FALSE),EffectName[],IFERROR(MATCH(UI!$B$1,EffectName[#Headers],0),2),FALSE),"")</f>
        <v/>
      </c>
      <c r="AA1447" t="str">
        <f t="shared" si="157"/>
        <v/>
      </c>
      <c r="AB1447">
        <v>0</v>
      </c>
      <c r="AC1447" t="str">
        <f>IF(AB1447&lt;&gt;0,VLOOKUP(VLOOKUP(AB1447,Tbl_Effect[],3,FALSE),EffectName[],IFERROR(MATCH(UI!$B$1,EffectName[#Headers],0),2),FALSE),"")</f>
        <v/>
      </c>
    </row>
    <row r="1448" spans="8:29" x14ac:dyDescent="0.4">
      <c r="H1448" t="str">
        <f t="shared" si="154"/>
        <v/>
      </c>
      <c r="I1448">
        <v>0</v>
      </c>
      <c r="J1448" t="str">
        <f>_xlfn.IFNA(IF(I1448&lt;&gt;0,VLOOKUP(VLOOKUP(I1448,Tbl_Equip[],2,FALSE),Tbl_Color[],IFERROR(MATCH(UI!$B$1,Tbl_Color[#Headers],0),2),FALSE),""),"Unset")</f>
        <v/>
      </c>
      <c r="K1448" t="str">
        <f>_xlfn.IFNA(IF(I1448&lt;&gt;0,VLOOKUP(I1448,ItemText[],IFERROR(MATCH(UI!$B$1,ItemText[#Headers],0),2),FALSE),""),"Unset")</f>
        <v/>
      </c>
      <c r="M1448">
        <v>0</v>
      </c>
      <c r="P1448">
        <v>0</v>
      </c>
      <c r="S1448">
        <v>0</v>
      </c>
      <c r="T1448" t="str">
        <f>IF(VALUE(S1448)=0,"",VLOOKUP(VLOOKUP(S1448,Tbl_Effect[],3,FALSE),EffectName[],IFERROR(MATCH(UI!$B$1,EffectName[#Headers],0),2),FALSE))</f>
        <v/>
      </c>
      <c r="U1448" t="str">
        <f t="shared" si="155"/>
        <v/>
      </c>
      <c r="V1448">
        <v>0</v>
      </c>
      <c r="W1448" t="str">
        <f>IF(V1448&lt;&gt;0,VLOOKUP(VLOOKUP(V1448,Tbl_Effect[],3,FALSE),EffectName[],IFERROR(MATCH(UI!$B$1,EffectName[#Headers],0),2),FALSE),"")</f>
        <v/>
      </c>
      <c r="X1448" t="str">
        <f t="shared" si="156"/>
        <v/>
      </c>
      <c r="Y1448">
        <v>0</v>
      </c>
      <c r="Z1448" t="str">
        <f>IF(Y1448&lt;&gt;0,VLOOKUP(VLOOKUP(Y1448,Tbl_Effect[],3,FALSE),EffectName[],IFERROR(MATCH(UI!$B$1,EffectName[#Headers],0),2),FALSE),"")</f>
        <v/>
      </c>
      <c r="AA1448" t="str">
        <f t="shared" si="157"/>
        <v/>
      </c>
      <c r="AB1448">
        <v>0</v>
      </c>
      <c r="AC1448" t="str">
        <f>IF(AB1448&lt;&gt;0,VLOOKUP(VLOOKUP(AB1448,Tbl_Effect[],3,FALSE),EffectName[],IFERROR(MATCH(UI!$B$1,EffectName[#Headers],0),2),FALSE),"")</f>
        <v/>
      </c>
    </row>
    <row r="1449" spans="8:29" x14ac:dyDescent="0.4">
      <c r="H1449" t="str">
        <f t="shared" si="154"/>
        <v/>
      </c>
      <c r="I1449">
        <v>0</v>
      </c>
      <c r="J1449" t="str">
        <f>_xlfn.IFNA(IF(I1449&lt;&gt;0,VLOOKUP(VLOOKUP(I1449,Tbl_Equip[],2,FALSE),Tbl_Color[],IFERROR(MATCH(UI!$B$1,Tbl_Color[#Headers],0),2),FALSE),""),"Unset")</f>
        <v/>
      </c>
      <c r="K1449" t="str">
        <f>_xlfn.IFNA(IF(I1449&lt;&gt;0,VLOOKUP(I1449,ItemText[],IFERROR(MATCH(UI!$B$1,ItemText[#Headers],0),2),FALSE),""),"Unset")</f>
        <v/>
      </c>
      <c r="M1449">
        <v>0</v>
      </c>
      <c r="P1449">
        <v>0</v>
      </c>
      <c r="S1449">
        <v>0</v>
      </c>
      <c r="T1449" t="str">
        <f>IF(VALUE(S1449)=0,"",VLOOKUP(VLOOKUP(S1449,Tbl_Effect[],3,FALSE),EffectName[],IFERROR(MATCH(UI!$B$1,EffectName[#Headers],0),2),FALSE))</f>
        <v/>
      </c>
      <c r="U1449" t="str">
        <f t="shared" si="155"/>
        <v/>
      </c>
      <c r="V1449">
        <v>0</v>
      </c>
      <c r="W1449" t="str">
        <f>IF(V1449&lt;&gt;0,VLOOKUP(VLOOKUP(V1449,Tbl_Effect[],3,FALSE),EffectName[],IFERROR(MATCH(UI!$B$1,EffectName[#Headers],0),2),FALSE),"")</f>
        <v/>
      </c>
      <c r="X1449" t="str">
        <f t="shared" si="156"/>
        <v/>
      </c>
      <c r="Y1449">
        <v>0</v>
      </c>
      <c r="Z1449" t="str">
        <f>IF(Y1449&lt;&gt;0,VLOOKUP(VLOOKUP(Y1449,Tbl_Effect[],3,FALSE),EffectName[],IFERROR(MATCH(UI!$B$1,EffectName[#Headers],0),2),FALSE),"")</f>
        <v/>
      </c>
      <c r="AA1449" t="str">
        <f t="shared" si="157"/>
        <v/>
      </c>
      <c r="AB1449">
        <v>0</v>
      </c>
      <c r="AC1449" t="str">
        <f>IF(AB1449&lt;&gt;0,VLOOKUP(VLOOKUP(AB1449,Tbl_Effect[],3,FALSE),EffectName[],IFERROR(MATCH(UI!$B$1,EffectName[#Headers],0),2),FALSE),"")</f>
        <v/>
      </c>
    </row>
    <row r="1450" spans="8:29" x14ac:dyDescent="0.4">
      <c r="H1450" t="str">
        <f t="shared" si="154"/>
        <v/>
      </c>
      <c r="I1450">
        <v>0</v>
      </c>
      <c r="J1450" t="str">
        <f>_xlfn.IFNA(IF(I1450&lt;&gt;0,VLOOKUP(VLOOKUP(I1450,Tbl_Equip[],2,FALSE),Tbl_Color[],IFERROR(MATCH(UI!$B$1,Tbl_Color[#Headers],0),2),FALSE),""),"Unset")</f>
        <v/>
      </c>
      <c r="K1450" t="str">
        <f>_xlfn.IFNA(IF(I1450&lt;&gt;0,VLOOKUP(I1450,ItemText[],IFERROR(MATCH(UI!$B$1,ItemText[#Headers],0),2),FALSE),""),"Unset")</f>
        <v/>
      </c>
      <c r="M1450">
        <v>0</v>
      </c>
      <c r="P1450">
        <v>0</v>
      </c>
      <c r="S1450">
        <v>0</v>
      </c>
      <c r="T1450" t="str">
        <f>IF(VALUE(S1450)=0,"",VLOOKUP(VLOOKUP(S1450,Tbl_Effect[],3,FALSE),EffectName[],IFERROR(MATCH(UI!$B$1,EffectName[#Headers],0),2),FALSE))</f>
        <v/>
      </c>
      <c r="U1450" t="str">
        <f t="shared" si="155"/>
        <v/>
      </c>
      <c r="V1450">
        <v>0</v>
      </c>
      <c r="W1450" t="str">
        <f>IF(V1450&lt;&gt;0,VLOOKUP(VLOOKUP(V1450,Tbl_Effect[],3,FALSE),EffectName[],IFERROR(MATCH(UI!$B$1,EffectName[#Headers],0),2),FALSE),"")</f>
        <v/>
      </c>
      <c r="X1450" t="str">
        <f t="shared" si="156"/>
        <v/>
      </c>
      <c r="Y1450">
        <v>0</v>
      </c>
      <c r="Z1450" t="str">
        <f>IF(Y1450&lt;&gt;0,VLOOKUP(VLOOKUP(Y1450,Tbl_Effect[],3,FALSE),EffectName[],IFERROR(MATCH(UI!$B$1,EffectName[#Headers],0),2),FALSE),"")</f>
        <v/>
      </c>
      <c r="AA1450" t="str">
        <f t="shared" si="157"/>
        <v/>
      </c>
      <c r="AB1450">
        <v>0</v>
      </c>
      <c r="AC1450" t="str">
        <f>IF(AB1450&lt;&gt;0,VLOOKUP(VLOOKUP(AB1450,Tbl_Effect[],3,FALSE),EffectName[],IFERROR(MATCH(UI!$B$1,EffectName[#Headers],0),2),FALSE),"")</f>
        <v/>
      </c>
    </row>
    <row r="1451" spans="8:29" x14ac:dyDescent="0.4">
      <c r="H1451" t="str">
        <f t="shared" si="154"/>
        <v/>
      </c>
      <c r="I1451">
        <v>0</v>
      </c>
      <c r="J1451" t="str">
        <f>_xlfn.IFNA(IF(I1451&lt;&gt;0,VLOOKUP(VLOOKUP(I1451,Tbl_Equip[],2,FALSE),Tbl_Color[],IFERROR(MATCH(UI!$B$1,Tbl_Color[#Headers],0),2),FALSE),""),"Unset")</f>
        <v/>
      </c>
      <c r="K1451" t="str">
        <f>_xlfn.IFNA(IF(I1451&lt;&gt;0,VLOOKUP(I1451,ItemText[],IFERROR(MATCH(UI!$B$1,ItemText[#Headers],0),2),FALSE),""),"Unset")</f>
        <v/>
      </c>
      <c r="M1451">
        <v>0</v>
      </c>
      <c r="P1451">
        <v>0</v>
      </c>
      <c r="S1451">
        <v>0</v>
      </c>
      <c r="T1451" t="str">
        <f>IF(VALUE(S1451)=0,"",VLOOKUP(VLOOKUP(S1451,Tbl_Effect[],3,FALSE),EffectName[],IFERROR(MATCH(UI!$B$1,EffectName[#Headers],0),2),FALSE))</f>
        <v/>
      </c>
      <c r="U1451" t="str">
        <f t="shared" si="155"/>
        <v/>
      </c>
      <c r="V1451">
        <v>0</v>
      </c>
      <c r="W1451" t="str">
        <f>IF(V1451&lt;&gt;0,VLOOKUP(VLOOKUP(V1451,Tbl_Effect[],3,FALSE),EffectName[],IFERROR(MATCH(UI!$B$1,EffectName[#Headers],0),2),FALSE),"")</f>
        <v/>
      </c>
      <c r="X1451" t="str">
        <f t="shared" si="156"/>
        <v/>
      </c>
      <c r="Y1451">
        <v>0</v>
      </c>
      <c r="Z1451" t="str">
        <f>IF(Y1451&lt;&gt;0,VLOOKUP(VLOOKUP(Y1451,Tbl_Effect[],3,FALSE),EffectName[],IFERROR(MATCH(UI!$B$1,EffectName[#Headers],0),2),FALSE),"")</f>
        <v/>
      </c>
      <c r="AA1451" t="str">
        <f t="shared" si="157"/>
        <v/>
      </c>
      <c r="AB1451">
        <v>0</v>
      </c>
      <c r="AC1451" t="str">
        <f>IF(AB1451&lt;&gt;0,VLOOKUP(VLOOKUP(AB1451,Tbl_Effect[],3,FALSE),EffectName[],IFERROR(MATCH(UI!$B$1,EffectName[#Headers],0),2),FALSE),"")</f>
        <v/>
      </c>
    </row>
    <row r="1452" spans="8:29" x14ac:dyDescent="0.4">
      <c r="H1452" t="str">
        <f t="shared" si="154"/>
        <v/>
      </c>
      <c r="I1452">
        <v>0</v>
      </c>
      <c r="J1452" t="str">
        <f>_xlfn.IFNA(IF(I1452&lt;&gt;0,VLOOKUP(VLOOKUP(I1452,Tbl_Equip[],2,FALSE),Tbl_Color[],IFERROR(MATCH(UI!$B$1,Tbl_Color[#Headers],0),2),FALSE),""),"Unset")</f>
        <v/>
      </c>
      <c r="K1452" t="str">
        <f>_xlfn.IFNA(IF(I1452&lt;&gt;0,VLOOKUP(I1452,ItemText[],IFERROR(MATCH(UI!$B$1,ItemText[#Headers],0),2),FALSE),""),"Unset")</f>
        <v/>
      </c>
      <c r="M1452">
        <v>0</v>
      </c>
      <c r="P1452">
        <v>0</v>
      </c>
      <c r="S1452">
        <v>0</v>
      </c>
      <c r="T1452" t="str">
        <f>IF(VALUE(S1452)=0,"",VLOOKUP(VLOOKUP(S1452,Tbl_Effect[],3,FALSE),EffectName[],IFERROR(MATCH(UI!$B$1,EffectName[#Headers],0),2),FALSE))</f>
        <v/>
      </c>
      <c r="U1452" t="str">
        <f t="shared" si="155"/>
        <v/>
      </c>
      <c r="V1452">
        <v>0</v>
      </c>
      <c r="W1452" t="str">
        <f>IF(V1452&lt;&gt;0,VLOOKUP(VLOOKUP(V1452,Tbl_Effect[],3,FALSE),EffectName[],IFERROR(MATCH(UI!$B$1,EffectName[#Headers],0),2),FALSE),"")</f>
        <v/>
      </c>
      <c r="X1452" t="str">
        <f t="shared" si="156"/>
        <v/>
      </c>
      <c r="Y1452">
        <v>0</v>
      </c>
      <c r="Z1452" t="str">
        <f>IF(Y1452&lt;&gt;0,VLOOKUP(VLOOKUP(Y1452,Tbl_Effect[],3,FALSE),EffectName[],IFERROR(MATCH(UI!$B$1,EffectName[#Headers],0),2),FALSE),"")</f>
        <v/>
      </c>
      <c r="AA1452" t="str">
        <f t="shared" si="157"/>
        <v/>
      </c>
      <c r="AB1452">
        <v>0</v>
      </c>
      <c r="AC1452" t="str">
        <f>IF(AB1452&lt;&gt;0,VLOOKUP(VLOOKUP(AB1452,Tbl_Effect[],3,FALSE),EffectName[],IFERROR(MATCH(UI!$B$1,EffectName[#Headers],0),2),FALSE),"")</f>
        <v/>
      </c>
    </row>
    <row r="1453" spans="8:29" x14ac:dyDescent="0.4">
      <c r="H1453" t="str">
        <f t="shared" si="154"/>
        <v/>
      </c>
      <c r="I1453">
        <v>0</v>
      </c>
      <c r="J1453" t="str">
        <f>_xlfn.IFNA(IF(I1453&lt;&gt;0,VLOOKUP(VLOOKUP(I1453,Tbl_Equip[],2,FALSE),Tbl_Color[],IFERROR(MATCH(UI!$B$1,Tbl_Color[#Headers],0),2),FALSE),""),"Unset")</f>
        <v/>
      </c>
      <c r="K1453" t="str">
        <f>_xlfn.IFNA(IF(I1453&lt;&gt;0,VLOOKUP(I1453,ItemText[],IFERROR(MATCH(UI!$B$1,ItemText[#Headers],0),2),FALSE),""),"Unset")</f>
        <v/>
      </c>
      <c r="M1453">
        <v>0</v>
      </c>
      <c r="P1453">
        <v>0</v>
      </c>
      <c r="S1453">
        <v>0</v>
      </c>
      <c r="T1453" t="str">
        <f>IF(VALUE(S1453)=0,"",VLOOKUP(VLOOKUP(S1453,Tbl_Effect[],3,FALSE),EffectName[],IFERROR(MATCH(UI!$B$1,EffectName[#Headers],0),2),FALSE))</f>
        <v/>
      </c>
      <c r="U1453" t="str">
        <f t="shared" si="155"/>
        <v/>
      </c>
      <c r="V1453">
        <v>0</v>
      </c>
      <c r="W1453" t="str">
        <f>IF(V1453&lt;&gt;0,VLOOKUP(VLOOKUP(V1453,Tbl_Effect[],3,FALSE),EffectName[],IFERROR(MATCH(UI!$B$1,EffectName[#Headers],0),2),FALSE),"")</f>
        <v/>
      </c>
      <c r="X1453" t="str">
        <f t="shared" si="156"/>
        <v/>
      </c>
      <c r="Y1453">
        <v>0</v>
      </c>
      <c r="Z1453" t="str">
        <f>IF(Y1453&lt;&gt;0,VLOOKUP(VLOOKUP(Y1453,Tbl_Effect[],3,FALSE),EffectName[],IFERROR(MATCH(UI!$B$1,EffectName[#Headers],0),2),FALSE),"")</f>
        <v/>
      </c>
      <c r="AA1453" t="str">
        <f t="shared" si="157"/>
        <v/>
      </c>
      <c r="AB1453">
        <v>0</v>
      </c>
      <c r="AC1453" t="str">
        <f>IF(AB1453&lt;&gt;0,VLOOKUP(VLOOKUP(AB1453,Tbl_Effect[],3,FALSE),EffectName[],IFERROR(MATCH(UI!$B$1,EffectName[#Headers],0),2),FALSE),"")</f>
        <v/>
      </c>
    </row>
    <row r="1454" spans="8:29" x14ac:dyDescent="0.4">
      <c r="H1454" t="str">
        <f t="shared" si="154"/>
        <v/>
      </c>
      <c r="I1454">
        <v>0</v>
      </c>
      <c r="J1454" t="str">
        <f>_xlfn.IFNA(IF(I1454&lt;&gt;0,VLOOKUP(VLOOKUP(I1454,Tbl_Equip[],2,FALSE),Tbl_Color[],IFERROR(MATCH(UI!$B$1,Tbl_Color[#Headers],0),2),FALSE),""),"Unset")</f>
        <v/>
      </c>
      <c r="K1454" t="str">
        <f>_xlfn.IFNA(IF(I1454&lt;&gt;0,VLOOKUP(I1454,ItemText[],IFERROR(MATCH(UI!$B$1,ItemText[#Headers],0),2),FALSE),""),"Unset")</f>
        <v/>
      </c>
      <c r="M1454">
        <v>0</v>
      </c>
      <c r="P1454">
        <v>0</v>
      </c>
      <c r="S1454">
        <v>0</v>
      </c>
      <c r="T1454" t="str">
        <f>IF(VALUE(S1454)=0,"",VLOOKUP(VLOOKUP(S1454,Tbl_Effect[],3,FALSE),EffectName[],IFERROR(MATCH(UI!$B$1,EffectName[#Headers],0),2),FALSE))</f>
        <v/>
      </c>
      <c r="U1454" t="str">
        <f t="shared" si="155"/>
        <v/>
      </c>
      <c r="V1454">
        <v>0</v>
      </c>
      <c r="W1454" t="str">
        <f>IF(V1454&lt;&gt;0,VLOOKUP(VLOOKUP(V1454,Tbl_Effect[],3,FALSE),EffectName[],IFERROR(MATCH(UI!$B$1,EffectName[#Headers],0),2),FALSE),"")</f>
        <v/>
      </c>
      <c r="X1454" t="str">
        <f t="shared" si="156"/>
        <v/>
      </c>
      <c r="Y1454">
        <v>0</v>
      </c>
      <c r="Z1454" t="str">
        <f>IF(Y1454&lt;&gt;0,VLOOKUP(VLOOKUP(Y1454,Tbl_Effect[],3,FALSE),EffectName[],IFERROR(MATCH(UI!$B$1,EffectName[#Headers],0),2),FALSE),"")</f>
        <v/>
      </c>
      <c r="AA1454" t="str">
        <f t="shared" si="157"/>
        <v/>
      </c>
      <c r="AB1454">
        <v>0</v>
      </c>
      <c r="AC1454" t="str">
        <f>IF(AB1454&lt;&gt;0,VLOOKUP(VLOOKUP(AB1454,Tbl_Effect[],3,FALSE),EffectName[],IFERROR(MATCH(UI!$B$1,EffectName[#Headers],0),2),FALSE),"")</f>
        <v/>
      </c>
    </row>
    <row r="1455" spans="8:29" x14ac:dyDescent="0.4">
      <c r="H1455" t="str">
        <f t="shared" si="154"/>
        <v/>
      </c>
      <c r="I1455">
        <v>0</v>
      </c>
      <c r="J1455" t="str">
        <f>_xlfn.IFNA(IF(I1455&lt;&gt;0,VLOOKUP(VLOOKUP(I1455,Tbl_Equip[],2,FALSE),Tbl_Color[],IFERROR(MATCH(UI!$B$1,Tbl_Color[#Headers],0),2),FALSE),""),"Unset")</f>
        <v/>
      </c>
      <c r="K1455" t="str">
        <f>_xlfn.IFNA(IF(I1455&lt;&gt;0,VLOOKUP(I1455,ItemText[],IFERROR(MATCH(UI!$B$1,ItemText[#Headers],0),2),FALSE),""),"Unset")</f>
        <v/>
      </c>
      <c r="M1455">
        <v>0</v>
      </c>
      <c r="P1455">
        <v>0</v>
      </c>
      <c r="S1455">
        <v>0</v>
      </c>
      <c r="T1455" t="str">
        <f>IF(VALUE(S1455)=0,"",VLOOKUP(VLOOKUP(S1455,Tbl_Effect[],3,FALSE),EffectName[],IFERROR(MATCH(UI!$B$1,EffectName[#Headers],0),2),FALSE))</f>
        <v/>
      </c>
      <c r="U1455" t="str">
        <f t="shared" si="155"/>
        <v/>
      </c>
      <c r="V1455">
        <v>0</v>
      </c>
      <c r="W1455" t="str">
        <f>IF(V1455&lt;&gt;0,VLOOKUP(VLOOKUP(V1455,Tbl_Effect[],3,FALSE),EffectName[],IFERROR(MATCH(UI!$B$1,EffectName[#Headers],0),2),FALSE),"")</f>
        <v/>
      </c>
      <c r="X1455" t="str">
        <f t="shared" si="156"/>
        <v/>
      </c>
      <c r="Y1455">
        <v>0</v>
      </c>
      <c r="Z1455" t="str">
        <f>IF(Y1455&lt;&gt;0,VLOOKUP(VLOOKUP(Y1455,Tbl_Effect[],3,FALSE),EffectName[],IFERROR(MATCH(UI!$B$1,EffectName[#Headers],0),2),FALSE),"")</f>
        <v/>
      </c>
      <c r="AA1455" t="str">
        <f t="shared" si="157"/>
        <v/>
      </c>
      <c r="AB1455">
        <v>0</v>
      </c>
      <c r="AC1455" t="str">
        <f>IF(AB1455&lt;&gt;0,VLOOKUP(VLOOKUP(AB1455,Tbl_Effect[],3,FALSE),EffectName[],IFERROR(MATCH(UI!$B$1,EffectName[#Headers],0),2),FALSE),"")</f>
        <v/>
      </c>
    </row>
    <row r="1456" spans="8:29" x14ac:dyDescent="0.4">
      <c r="H1456" t="str">
        <f t="shared" si="154"/>
        <v/>
      </c>
      <c r="I1456">
        <v>0</v>
      </c>
      <c r="J1456" t="str">
        <f>_xlfn.IFNA(IF(I1456&lt;&gt;0,VLOOKUP(VLOOKUP(I1456,Tbl_Equip[],2,FALSE),Tbl_Color[],IFERROR(MATCH(UI!$B$1,Tbl_Color[#Headers],0),2),FALSE),""),"Unset")</f>
        <v/>
      </c>
      <c r="K1456" t="str">
        <f>_xlfn.IFNA(IF(I1456&lt;&gt;0,VLOOKUP(I1456,ItemText[],IFERROR(MATCH(UI!$B$1,ItemText[#Headers],0),2),FALSE),""),"Unset")</f>
        <v/>
      </c>
      <c r="M1456">
        <v>0</v>
      </c>
      <c r="P1456">
        <v>0</v>
      </c>
      <c r="S1456">
        <v>0</v>
      </c>
      <c r="T1456" t="str">
        <f>IF(VALUE(S1456)=0,"",VLOOKUP(VLOOKUP(S1456,Tbl_Effect[],3,FALSE),EffectName[],IFERROR(MATCH(UI!$B$1,EffectName[#Headers],0),2),FALSE))</f>
        <v/>
      </c>
      <c r="U1456" t="str">
        <f t="shared" si="155"/>
        <v/>
      </c>
      <c r="V1456">
        <v>0</v>
      </c>
      <c r="W1456" t="str">
        <f>IF(V1456&lt;&gt;0,VLOOKUP(VLOOKUP(V1456,Tbl_Effect[],3,FALSE),EffectName[],IFERROR(MATCH(UI!$B$1,EffectName[#Headers],0),2),FALSE),"")</f>
        <v/>
      </c>
      <c r="X1456" t="str">
        <f t="shared" si="156"/>
        <v/>
      </c>
      <c r="Y1456">
        <v>0</v>
      </c>
      <c r="Z1456" t="str">
        <f>IF(Y1456&lt;&gt;0,VLOOKUP(VLOOKUP(Y1456,Tbl_Effect[],3,FALSE),EffectName[],IFERROR(MATCH(UI!$B$1,EffectName[#Headers],0),2),FALSE),"")</f>
        <v/>
      </c>
      <c r="AA1456" t="str">
        <f t="shared" si="157"/>
        <v/>
      </c>
      <c r="AB1456">
        <v>0</v>
      </c>
      <c r="AC1456" t="str">
        <f>IF(AB1456&lt;&gt;0,VLOOKUP(VLOOKUP(AB1456,Tbl_Effect[],3,FALSE),EffectName[],IFERROR(MATCH(UI!$B$1,EffectName[#Headers],0),2),FALSE),"")</f>
        <v/>
      </c>
    </row>
    <row r="1457" spans="8:29" x14ac:dyDescent="0.4">
      <c r="H1457" t="str">
        <f t="shared" si="154"/>
        <v/>
      </c>
      <c r="I1457">
        <v>0</v>
      </c>
      <c r="J1457" t="str">
        <f>_xlfn.IFNA(IF(I1457&lt;&gt;0,VLOOKUP(VLOOKUP(I1457,Tbl_Equip[],2,FALSE),Tbl_Color[],IFERROR(MATCH(UI!$B$1,Tbl_Color[#Headers],0),2),FALSE),""),"Unset")</f>
        <v/>
      </c>
      <c r="K1457" t="str">
        <f>_xlfn.IFNA(IF(I1457&lt;&gt;0,VLOOKUP(I1457,ItemText[],IFERROR(MATCH(UI!$B$1,ItemText[#Headers],0),2),FALSE),""),"Unset")</f>
        <v/>
      </c>
      <c r="M1457">
        <v>0</v>
      </c>
      <c r="P1457">
        <v>0</v>
      </c>
      <c r="S1457">
        <v>0</v>
      </c>
      <c r="T1457" t="str">
        <f>IF(VALUE(S1457)=0,"",VLOOKUP(VLOOKUP(S1457,Tbl_Effect[],3,FALSE),EffectName[],IFERROR(MATCH(UI!$B$1,EffectName[#Headers],0),2),FALSE))</f>
        <v/>
      </c>
      <c r="U1457" t="str">
        <f t="shared" si="155"/>
        <v/>
      </c>
      <c r="V1457">
        <v>0</v>
      </c>
      <c r="W1457" t="str">
        <f>IF(V1457&lt;&gt;0,VLOOKUP(VLOOKUP(V1457,Tbl_Effect[],3,FALSE),EffectName[],IFERROR(MATCH(UI!$B$1,EffectName[#Headers],0),2),FALSE),"")</f>
        <v/>
      </c>
      <c r="X1457" t="str">
        <f t="shared" si="156"/>
        <v/>
      </c>
      <c r="Y1457">
        <v>0</v>
      </c>
      <c r="Z1457" t="str">
        <f>IF(Y1457&lt;&gt;0,VLOOKUP(VLOOKUP(Y1457,Tbl_Effect[],3,FALSE),EffectName[],IFERROR(MATCH(UI!$B$1,EffectName[#Headers],0),2),FALSE),"")</f>
        <v/>
      </c>
      <c r="AA1457" t="str">
        <f t="shared" si="157"/>
        <v/>
      </c>
      <c r="AB1457">
        <v>0</v>
      </c>
      <c r="AC1457" t="str">
        <f>IF(AB1457&lt;&gt;0,VLOOKUP(VLOOKUP(AB1457,Tbl_Effect[],3,FALSE),EffectName[],IFERROR(MATCH(UI!$B$1,EffectName[#Headers],0),2),FALSE),"")</f>
        <v/>
      </c>
    </row>
    <row r="1458" spans="8:29" x14ac:dyDescent="0.4">
      <c r="H1458" t="str">
        <f t="shared" si="154"/>
        <v/>
      </c>
      <c r="I1458">
        <v>0</v>
      </c>
      <c r="J1458" t="str">
        <f>_xlfn.IFNA(IF(I1458&lt;&gt;0,VLOOKUP(VLOOKUP(I1458,Tbl_Equip[],2,FALSE),Tbl_Color[],IFERROR(MATCH(UI!$B$1,Tbl_Color[#Headers],0),2),FALSE),""),"Unset")</f>
        <v/>
      </c>
      <c r="K1458" t="str">
        <f>_xlfn.IFNA(IF(I1458&lt;&gt;0,VLOOKUP(I1458,ItemText[],IFERROR(MATCH(UI!$B$1,ItemText[#Headers],0),2),FALSE),""),"Unset")</f>
        <v/>
      </c>
      <c r="M1458">
        <v>0</v>
      </c>
      <c r="P1458">
        <v>0</v>
      </c>
      <c r="S1458">
        <v>0</v>
      </c>
      <c r="T1458" t="str">
        <f>IF(VALUE(S1458)=0,"",VLOOKUP(VLOOKUP(S1458,Tbl_Effect[],3,FALSE),EffectName[],IFERROR(MATCH(UI!$B$1,EffectName[#Headers],0),2),FALSE))</f>
        <v/>
      </c>
      <c r="U1458" t="str">
        <f t="shared" si="155"/>
        <v/>
      </c>
      <c r="V1458">
        <v>0</v>
      </c>
      <c r="W1458" t="str">
        <f>IF(V1458&lt;&gt;0,VLOOKUP(VLOOKUP(V1458,Tbl_Effect[],3,FALSE),EffectName[],IFERROR(MATCH(UI!$B$1,EffectName[#Headers],0),2),FALSE),"")</f>
        <v/>
      </c>
      <c r="X1458" t="str">
        <f t="shared" si="156"/>
        <v/>
      </c>
      <c r="Y1458">
        <v>0</v>
      </c>
      <c r="Z1458" t="str">
        <f>IF(Y1458&lt;&gt;0,VLOOKUP(VLOOKUP(Y1458,Tbl_Effect[],3,FALSE),EffectName[],IFERROR(MATCH(UI!$B$1,EffectName[#Headers],0),2),FALSE),"")</f>
        <v/>
      </c>
      <c r="AA1458" t="str">
        <f t="shared" si="157"/>
        <v/>
      </c>
      <c r="AB1458">
        <v>0</v>
      </c>
      <c r="AC1458" t="str">
        <f>IF(AB1458&lt;&gt;0,VLOOKUP(VLOOKUP(AB1458,Tbl_Effect[],3,FALSE),EffectName[],IFERROR(MATCH(UI!$B$1,EffectName[#Headers],0),2),FALSE),"")</f>
        <v/>
      </c>
    </row>
    <row r="1459" spans="8:29" x14ac:dyDescent="0.4">
      <c r="H1459" t="str">
        <f t="shared" si="154"/>
        <v/>
      </c>
      <c r="I1459">
        <v>0</v>
      </c>
      <c r="J1459" t="str">
        <f>_xlfn.IFNA(IF(I1459&lt;&gt;0,VLOOKUP(VLOOKUP(I1459,Tbl_Equip[],2,FALSE),Tbl_Color[],IFERROR(MATCH(UI!$B$1,Tbl_Color[#Headers],0),2),FALSE),""),"Unset")</f>
        <v/>
      </c>
      <c r="K1459" t="str">
        <f>_xlfn.IFNA(IF(I1459&lt;&gt;0,VLOOKUP(I1459,ItemText[],IFERROR(MATCH(UI!$B$1,ItemText[#Headers],0),2),FALSE),""),"Unset")</f>
        <v/>
      </c>
      <c r="M1459">
        <v>0</v>
      </c>
      <c r="P1459">
        <v>0</v>
      </c>
      <c r="S1459">
        <v>0</v>
      </c>
      <c r="T1459" t="str">
        <f>IF(VALUE(S1459)=0,"",VLOOKUP(VLOOKUP(S1459,Tbl_Effect[],3,FALSE),EffectName[],IFERROR(MATCH(UI!$B$1,EffectName[#Headers],0),2),FALSE))</f>
        <v/>
      </c>
      <c r="U1459" t="str">
        <f t="shared" si="155"/>
        <v/>
      </c>
      <c r="V1459">
        <v>0</v>
      </c>
      <c r="W1459" t="str">
        <f>IF(V1459&lt;&gt;0,VLOOKUP(VLOOKUP(V1459,Tbl_Effect[],3,FALSE),EffectName[],IFERROR(MATCH(UI!$B$1,EffectName[#Headers],0),2),FALSE),"")</f>
        <v/>
      </c>
      <c r="X1459" t="str">
        <f t="shared" si="156"/>
        <v/>
      </c>
      <c r="Y1459">
        <v>0</v>
      </c>
      <c r="Z1459" t="str">
        <f>IF(Y1459&lt;&gt;0,VLOOKUP(VLOOKUP(Y1459,Tbl_Effect[],3,FALSE),EffectName[],IFERROR(MATCH(UI!$B$1,EffectName[#Headers],0),2),FALSE),"")</f>
        <v/>
      </c>
      <c r="AA1459" t="str">
        <f t="shared" si="157"/>
        <v/>
      </c>
      <c r="AB1459">
        <v>0</v>
      </c>
      <c r="AC1459" t="str">
        <f>IF(AB1459&lt;&gt;0,VLOOKUP(VLOOKUP(AB1459,Tbl_Effect[],3,FALSE),EffectName[],IFERROR(MATCH(UI!$B$1,EffectName[#Headers],0),2),FALSE),"")</f>
        <v/>
      </c>
    </row>
    <row r="1460" spans="8:29" x14ac:dyDescent="0.4">
      <c r="H1460" t="str">
        <f t="shared" si="154"/>
        <v/>
      </c>
      <c r="I1460">
        <v>0</v>
      </c>
      <c r="J1460" t="str">
        <f>_xlfn.IFNA(IF(I1460&lt;&gt;0,VLOOKUP(VLOOKUP(I1460,Tbl_Equip[],2,FALSE),Tbl_Color[],IFERROR(MATCH(UI!$B$1,Tbl_Color[#Headers],0),2),FALSE),""),"Unset")</f>
        <v/>
      </c>
      <c r="K1460" t="str">
        <f>_xlfn.IFNA(IF(I1460&lt;&gt;0,VLOOKUP(I1460,ItemText[],IFERROR(MATCH(UI!$B$1,ItemText[#Headers],0),2),FALSE),""),"Unset")</f>
        <v/>
      </c>
      <c r="M1460">
        <v>0</v>
      </c>
      <c r="P1460">
        <v>0</v>
      </c>
      <c r="S1460">
        <v>0</v>
      </c>
      <c r="T1460" t="str">
        <f>IF(VALUE(S1460)=0,"",VLOOKUP(VLOOKUP(S1460,Tbl_Effect[],3,FALSE),EffectName[],IFERROR(MATCH(UI!$B$1,EffectName[#Headers],0),2),FALSE))</f>
        <v/>
      </c>
      <c r="U1460" t="str">
        <f t="shared" si="155"/>
        <v/>
      </c>
      <c r="V1460">
        <v>0</v>
      </c>
      <c r="W1460" t="str">
        <f>IF(V1460&lt;&gt;0,VLOOKUP(VLOOKUP(V1460,Tbl_Effect[],3,FALSE),EffectName[],IFERROR(MATCH(UI!$B$1,EffectName[#Headers],0),2),FALSE),"")</f>
        <v/>
      </c>
      <c r="X1460" t="str">
        <f t="shared" si="156"/>
        <v/>
      </c>
      <c r="Y1460">
        <v>0</v>
      </c>
      <c r="Z1460" t="str">
        <f>IF(Y1460&lt;&gt;0,VLOOKUP(VLOOKUP(Y1460,Tbl_Effect[],3,FALSE),EffectName[],IFERROR(MATCH(UI!$B$1,EffectName[#Headers],0),2),FALSE),"")</f>
        <v/>
      </c>
      <c r="AA1460" t="str">
        <f t="shared" si="157"/>
        <v/>
      </c>
      <c r="AB1460">
        <v>0</v>
      </c>
      <c r="AC1460" t="str">
        <f>IF(AB1460&lt;&gt;0,VLOOKUP(VLOOKUP(AB1460,Tbl_Effect[],3,FALSE),EffectName[],IFERROR(MATCH(UI!$B$1,EffectName[#Headers],0),2),FALSE),"")</f>
        <v/>
      </c>
    </row>
    <row r="1461" spans="8:29" x14ac:dyDescent="0.4">
      <c r="H1461" t="str">
        <f t="shared" si="154"/>
        <v/>
      </c>
      <c r="I1461">
        <v>0</v>
      </c>
      <c r="J1461" t="str">
        <f>_xlfn.IFNA(IF(I1461&lt;&gt;0,VLOOKUP(VLOOKUP(I1461,Tbl_Equip[],2,FALSE),Tbl_Color[],IFERROR(MATCH(UI!$B$1,Tbl_Color[#Headers],0),2),FALSE),""),"Unset")</f>
        <v/>
      </c>
      <c r="K1461" t="str">
        <f>_xlfn.IFNA(IF(I1461&lt;&gt;0,VLOOKUP(I1461,ItemText[],IFERROR(MATCH(UI!$B$1,ItemText[#Headers],0),2),FALSE),""),"Unset")</f>
        <v/>
      </c>
      <c r="M1461">
        <v>0</v>
      </c>
      <c r="P1461">
        <v>0</v>
      </c>
      <c r="S1461">
        <v>0</v>
      </c>
      <c r="T1461" t="str">
        <f>IF(VALUE(S1461)=0,"",VLOOKUP(VLOOKUP(S1461,Tbl_Effect[],3,FALSE),EffectName[],IFERROR(MATCH(UI!$B$1,EffectName[#Headers],0),2),FALSE))</f>
        <v/>
      </c>
      <c r="U1461" t="str">
        <f t="shared" si="155"/>
        <v/>
      </c>
      <c r="V1461">
        <v>0</v>
      </c>
      <c r="W1461" t="str">
        <f>IF(V1461&lt;&gt;0,VLOOKUP(VLOOKUP(V1461,Tbl_Effect[],3,FALSE),EffectName[],IFERROR(MATCH(UI!$B$1,EffectName[#Headers],0),2),FALSE),"")</f>
        <v/>
      </c>
      <c r="X1461" t="str">
        <f t="shared" si="156"/>
        <v/>
      </c>
      <c r="Y1461">
        <v>0</v>
      </c>
      <c r="Z1461" t="str">
        <f>IF(Y1461&lt;&gt;0,VLOOKUP(VLOOKUP(Y1461,Tbl_Effect[],3,FALSE),EffectName[],IFERROR(MATCH(UI!$B$1,EffectName[#Headers],0),2),FALSE),"")</f>
        <v/>
      </c>
      <c r="AA1461" t="str">
        <f t="shared" si="157"/>
        <v/>
      </c>
      <c r="AB1461">
        <v>0</v>
      </c>
      <c r="AC1461" t="str">
        <f>IF(AB1461&lt;&gt;0,VLOOKUP(VLOOKUP(AB1461,Tbl_Effect[],3,FALSE),EffectName[],IFERROR(MATCH(UI!$B$1,EffectName[#Headers],0),2),FALSE),"")</f>
        <v/>
      </c>
    </row>
    <row r="1462" spans="8:29" x14ac:dyDescent="0.4">
      <c r="H1462" t="str">
        <f t="shared" si="154"/>
        <v/>
      </c>
      <c r="I1462">
        <v>0</v>
      </c>
      <c r="J1462" t="str">
        <f>_xlfn.IFNA(IF(I1462&lt;&gt;0,VLOOKUP(VLOOKUP(I1462,Tbl_Equip[],2,FALSE),Tbl_Color[],IFERROR(MATCH(UI!$B$1,Tbl_Color[#Headers],0),2),FALSE),""),"Unset")</f>
        <v/>
      </c>
      <c r="K1462" t="str">
        <f>_xlfn.IFNA(IF(I1462&lt;&gt;0,VLOOKUP(I1462,ItemText[],IFERROR(MATCH(UI!$B$1,ItemText[#Headers],0),2),FALSE),""),"Unset")</f>
        <v/>
      </c>
      <c r="M1462">
        <v>0</v>
      </c>
      <c r="P1462">
        <v>0</v>
      </c>
      <c r="S1462">
        <v>0</v>
      </c>
      <c r="T1462" t="str">
        <f>IF(VALUE(S1462)=0,"",VLOOKUP(VLOOKUP(S1462,Tbl_Effect[],3,FALSE),EffectName[],IFERROR(MATCH(UI!$B$1,EffectName[#Headers],0),2),FALSE))</f>
        <v/>
      </c>
      <c r="U1462" t="str">
        <f t="shared" si="155"/>
        <v/>
      </c>
      <c r="V1462">
        <v>0</v>
      </c>
      <c r="W1462" t="str">
        <f>IF(V1462&lt;&gt;0,VLOOKUP(VLOOKUP(V1462,Tbl_Effect[],3,FALSE),EffectName[],IFERROR(MATCH(UI!$B$1,EffectName[#Headers],0),2),FALSE),"")</f>
        <v/>
      </c>
      <c r="X1462" t="str">
        <f t="shared" si="156"/>
        <v/>
      </c>
      <c r="Y1462">
        <v>0</v>
      </c>
      <c r="Z1462" t="str">
        <f>IF(Y1462&lt;&gt;0,VLOOKUP(VLOOKUP(Y1462,Tbl_Effect[],3,FALSE),EffectName[],IFERROR(MATCH(UI!$B$1,EffectName[#Headers],0),2),FALSE),"")</f>
        <v/>
      </c>
      <c r="AA1462" t="str">
        <f t="shared" si="157"/>
        <v/>
      </c>
      <c r="AB1462">
        <v>0</v>
      </c>
      <c r="AC1462" t="str">
        <f>IF(AB1462&lt;&gt;0,VLOOKUP(VLOOKUP(AB1462,Tbl_Effect[],3,FALSE),EffectName[],IFERROR(MATCH(UI!$B$1,EffectName[#Headers],0),2),FALSE),"")</f>
        <v/>
      </c>
    </row>
    <row r="1463" spans="8:29" x14ac:dyDescent="0.4">
      <c r="H1463" t="str">
        <f t="shared" si="154"/>
        <v/>
      </c>
      <c r="I1463">
        <v>0</v>
      </c>
      <c r="J1463" t="str">
        <f>_xlfn.IFNA(IF(I1463&lt;&gt;0,VLOOKUP(VLOOKUP(I1463,Tbl_Equip[],2,FALSE),Tbl_Color[],IFERROR(MATCH(UI!$B$1,Tbl_Color[#Headers],0),2),FALSE),""),"Unset")</f>
        <v/>
      </c>
      <c r="K1463" t="str">
        <f>_xlfn.IFNA(IF(I1463&lt;&gt;0,VLOOKUP(I1463,ItemText[],IFERROR(MATCH(UI!$B$1,ItemText[#Headers],0),2),FALSE),""),"Unset")</f>
        <v/>
      </c>
      <c r="M1463">
        <v>0</v>
      </c>
      <c r="P1463">
        <v>0</v>
      </c>
      <c r="S1463">
        <v>0</v>
      </c>
      <c r="T1463" t="str">
        <f>IF(VALUE(S1463)=0,"",VLOOKUP(VLOOKUP(S1463,Tbl_Effect[],3,FALSE),EffectName[],IFERROR(MATCH(UI!$B$1,EffectName[#Headers],0),2),FALSE))</f>
        <v/>
      </c>
      <c r="U1463" t="str">
        <f t="shared" si="155"/>
        <v/>
      </c>
      <c r="V1463">
        <v>0</v>
      </c>
      <c r="W1463" t="str">
        <f>IF(V1463&lt;&gt;0,VLOOKUP(VLOOKUP(V1463,Tbl_Effect[],3,FALSE),EffectName[],IFERROR(MATCH(UI!$B$1,EffectName[#Headers],0),2),FALSE),"")</f>
        <v/>
      </c>
      <c r="X1463" t="str">
        <f t="shared" si="156"/>
        <v/>
      </c>
      <c r="Y1463">
        <v>0</v>
      </c>
      <c r="Z1463" t="str">
        <f>IF(Y1463&lt;&gt;0,VLOOKUP(VLOOKUP(Y1463,Tbl_Effect[],3,FALSE),EffectName[],IFERROR(MATCH(UI!$B$1,EffectName[#Headers],0),2),FALSE),"")</f>
        <v/>
      </c>
      <c r="AA1463" t="str">
        <f t="shared" si="157"/>
        <v/>
      </c>
      <c r="AB1463">
        <v>0</v>
      </c>
      <c r="AC1463" t="str">
        <f>IF(AB1463&lt;&gt;0,VLOOKUP(VLOOKUP(AB1463,Tbl_Effect[],3,FALSE),EffectName[],IFERROR(MATCH(UI!$B$1,EffectName[#Headers],0),2),FALSE),"")</f>
        <v/>
      </c>
    </row>
    <row r="1464" spans="8:29" x14ac:dyDescent="0.4">
      <c r="H1464" t="str">
        <f t="shared" si="154"/>
        <v/>
      </c>
      <c r="I1464">
        <v>0</v>
      </c>
      <c r="J1464" t="str">
        <f>_xlfn.IFNA(IF(I1464&lt;&gt;0,VLOOKUP(VLOOKUP(I1464,Tbl_Equip[],2,FALSE),Tbl_Color[],IFERROR(MATCH(UI!$B$1,Tbl_Color[#Headers],0),2),FALSE),""),"Unset")</f>
        <v/>
      </c>
      <c r="K1464" t="str">
        <f>_xlfn.IFNA(IF(I1464&lt;&gt;0,VLOOKUP(I1464,ItemText[],IFERROR(MATCH(UI!$B$1,ItemText[#Headers],0),2),FALSE),""),"Unset")</f>
        <v/>
      </c>
      <c r="M1464">
        <v>0</v>
      </c>
      <c r="P1464">
        <v>0</v>
      </c>
      <c r="S1464">
        <v>0</v>
      </c>
      <c r="T1464" t="str">
        <f>IF(VALUE(S1464)=0,"",VLOOKUP(VLOOKUP(S1464,Tbl_Effect[],3,FALSE),EffectName[],IFERROR(MATCH(UI!$B$1,EffectName[#Headers],0),2),FALSE))</f>
        <v/>
      </c>
      <c r="U1464" t="str">
        <f t="shared" si="155"/>
        <v/>
      </c>
      <c r="V1464">
        <v>0</v>
      </c>
      <c r="W1464" t="str">
        <f>IF(V1464&lt;&gt;0,VLOOKUP(VLOOKUP(V1464,Tbl_Effect[],3,FALSE),EffectName[],IFERROR(MATCH(UI!$B$1,EffectName[#Headers],0),2),FALSE),"")</f>
        <v/>
      </c>
      <c r="X1464" t="str">
        <f t="shared" si="156"/>
        <v/>
      </c>
      <c r="Y1464">
        <v>0</v>
      </c>
      <c r="Z1464" t="str">
        <f>IF(Y1464&lt;&gt;0,VLOOKUP(VLOOKUP(Y1464,Tbl_Effect[],3,FALSE),EffectName[],IFERROR(MATCH(UI!$B$1,EffectName[#Headers],0),2),FALSE),"")</f>
        <v/>
      </c>
      <c r="AA1464" t="str">
        <f t="shared" si="157"/>
        <v/>
      </c>
      <c r="AB1464">
        <v>0</v>
      </c>
      <c r="AC1464" t="str">
        <f>IF(AB1464&lt;&gt;0,VLOOKUP(VLOOKUP(AB1464,Tbl_Effect[],3,FALSE),EffectName[],IFERROR(MATCH(UI!$B$1,EffectName[#Headers],0),2),FALSE),"")</f>
        <v/>
      </c>
    </row>
    <row r="1465" spans="8:29" x14ac:dyDescent="0.4">
      <c r="H1465" t="str">
        <f t="shared" si="154"/>
        <v/>
      </c>
      <c r="I1465">
        <v>0</v>
      </c>
      <c r="J1465" t="str">
        <f>_xlfn.IFNA(IF(I1465&lt;&gt;0,VLOOKUP(VLOOKUP(I1465,Tbl_Equip[],2,FALSE),Tbl_Color[],IFERROR(MATCH(UI!$B$1,Tbl_Color[#Headers],0),2),FALSE),""),"Unset")</f>
        <v/>
      </c>
      <c r="K1465" t="str">
        <f>_xlfn.IFNA(IF(I1465&lt;&gt;0,VLOOKUP(I1465,ItemText[],IFERROR(MATCH(UI!$B$1,ItemText[#Headers],0),2),FALSE),""),"Unset")</f>
        <v/>
      </c>
      <c r="M1465">
        <v>0</v>
      </c>
      <c r="P1465">
        <v>0</v>
      </c>
      <c r="S1465">
        <v>0</v>
      </c>
      <c r="T1465" t="str">
        <f>IF(VALUE(S1465)=0,"",VLOOKUP(VLOOKUP(S1465,Tbl_Effect[],3,FALSE),EffectName[],IFERROR(MATCH(UI!$B$1,EffectName[#Headers],0),2),FALSE))</f>
        <v/>
      </c>
      <c r="U1465" t="str">
        <f t="shared" si="155"/>
        <v/>
      </c>
      <c r="V1465">
        <v>0</v>
      </c>
      <c r="W1465" t="str">
        <f>IF(V1465&lt;&gt;0,VLOOKUP(VLOOKUP(V1465,Tbl_Effect[],3,FALSE),EffectName[],IFERROR(MATCH(UI!$B$1,EffectName[#Headers],0),2),FALSE),"")</f>
        <v/>
      </c>
      <c r="X1465" t="str">
        <f t="shared" si="156"/>
        <v/>
      </c>
      <c r="Y1465">
        <v>0</v>
      </c>
      <c r="Z1465" t="str">
        <f>IF(Y1465&lt;&gt;0,VLOOKUP(VLOOKUP(Y1465,Tbl_Effect[],3,FALSE),EffectName[],IFERROR(MATCH(UI!$B$1,EffectName[#Headers],0),2),FALSE),"")</f>
        <v/>
      </c>
      <c r="AA1465" t="str">
        <f t="shared" si="157"/>
        <v/>
      </c>
      <c r="AB1465">
        <v>0</v>
      </c>
      <c r="AC1465" t="str">
        <f>IF(AB1465&lt;&gt;0,VLOOKUP(VLOOKUP(AB1465,Tbl_Effect[],3,FALSE),EffectName[],IFERROR(MATCH(UI!$B$1,EffectName[#Headers],0),2),FALSE),"")</f>
        <v/>
      </c>
    </row>
    <row r="1466" spans="8:29" x14ac:dyDescent="0.4">
      <c r="H1466" t="str">
        <f t="shared" si="154"/>
        <v/>
      </c>
      <c r="I1466">
        <v>0</v>
      </c>
      <c r="J1466" t="str">
        <f>_xlfn.IFNA(IF(I1466&lt;&gt;0,VLOOKUP(VLOOKUP(I1466,Tbl_Equip[],2,FALSE),Tbl_Color[],IFERROR(MATCH(UI!$B$1,Tbl_Color[#Headers],0),2),FALSE),""),"Unset")</f>
        <v/>
      </c>
      <c r="K1466" t="str">
        <f>_xlfn.IFNA(IF(I1466&lt;&gt;0,VLOOKUP(I1466,ItemText[],IFERROR(MATCH(UI!$B$1,ItemText[#Headers],0),2),FALSE),""),"Unset")</f>
        <v/>
      </c>
      <c r="M1466">
        <v>0</v>
      </c>
      <c r="P1466">
        <v>0</v>
      </c>
      <c r="S1466">
        <v>0</v>
      </c>
      <c r="T1466" t="str">
        <f>IF(VALUE(S1466)=0,"",VLOOKUP(VLOOKUP(S1466,Tbl_Effect[],3,FALSE),EffectName[],IFERROR(MATCH(UI!$B$1,EffectName[#Headers],0),2),FALSE))</f>
        <v/>
      </c>
      <c r="U1466" t="str">
        <f t="shared" si="155"/>
        <v/>
      </c>
      <c r="V1466">
        <v>0</v>
      </c>
      <c r="W1466" t="str">
        <f>IF(V1466&lt;&gt;0,VLOOKUP(VLOOKUP(V1466,Tbl_Effect[],3,FALSE),EffectName[],IFERROR(MATCH(UI!$B$1,EffectName[#Headers],0),2),FALSE),"")</f>
        <v/>
      </c>
      <c r="X1466" t="str">
        <f t="shared" si="156"/>
        <v/>
      </c>
      <c r="Y1466">
        <v>0</v>
      </c>
      <c r="Z1466" t="str">
        <f>IF(Y1466&lt;&gt;0,VLOOKUP(VLOOKUP(Y1466,Tbl_Effect[],3,FALSE),EffectName[],IFERROR(MATCH(UI!$B$1,EffectName[#Headers],0),2),FALSE),"")</f>
        <v/>
      </c>
      <c r="AA1466" t="str">
        <f t="shared" si="157"/>
        <v/>
      </c>
      <c r="AB1466">
        <v>0</v>
      </c>
      <c r="AC1466" t="str">
        <f>IF(AB1466&lt;&gt;0,VLOOKUP(VLOOKUP(AB1466,Tbl_Effect[],3,FALSE),EffectName[],IFERROR(MATCH(UI!$B$1,EffectName[#Headers],0),2),FALSE),"")</f>
        <v/>
      </c>
    </row>
    <row r="1467" spans="8:29" x14ac:dyDescent="0.4">
      <c r="H1467" t="str">
        <f t="shared" si="154"/>
        <v/>
      </c>
      <c r="I1467">
        <v>0</v>
      </c>
      <c r="J1467" t="str">
        <f>_xlfn.IFNA(IF(I1467&lt;&gt;0,VLOOKUP(VLOOKUP(I1467,Tbl_Equip[],2,FALSE),Tbl_Color[],IFERROR(MATCH(UI!$B$1,Tbl_Color[#Headers],0),2),FALSE),""),"Unset")</f>
        <v/>
      </c>
      <c r="K1467" t="str">
        <f>_xlfn.IFNA(IF(I1467&lt;&gt;0,VLOOKUP(I1467,ItemText[],IFERROR(MATCH(UI!$B$1,ItemText[#Headers],0),2),FALSE),""),"Unset")</f>
        <v/>
      </c>
      <c r="M1467">
        <v>0</v>
      </c>
      <c r="P1467">
        <v>0</v>
      </c>
      <c r="S1467">
        <v>0</v>
      </c>
      <c r="T1467" t="str">
        <f>IF(VALUE(S1467)=0,"",VLOOKUP(VLOOKUP(S1467,Tbl_Effect[],3,FALSE),EffectName[],IFERROR(MATCH(UI!$B$1,EffectName[#Headers],0),2),FALSE))</f>
        <v/>
      </c>
      <c r="U1467" t="str">
        <f t="shared" si="155"/>
        <v/>
      </c>
      <c r="V1467">
        <v>0</v>
      </c>
      <c r="W1467" t="str">
        <f>IF(V1467&lt;&gt;0,VLOOKUP(VLOOKUP(V1467,Tbl_Effect[],3,FALSE),EffectName[],IFERROR(MATCH(UI!$B$1,EffectName[#Headers],0),2),FALSE),"")</f>
        <v/>
      </c>
      <c r="X1467" t="str">
        <f t="shared" si="156"/>
        <v/>
      </c>
      <c r="Y1467">
        <v>0</v>
      </c>
      <c r="Z1467" t="str">
        <f>IF(Y1467&lt;&gt;0,VLOOKUP(VLOOKUP(Y1467,Tbl_Effect[],3,FALSE),EffectName[],IFERROR(MATCH(UI!$B$1,EffectName[#Headers],0),2),FALSE),"")</f>
        <v/>
      </c>
      <c r="AA1467" t="str">
        <f t="shared" si="157"/>
        <v/>
      </c>
      <c r="AB1467">
        <v>0</v>
      </c>
      <c r="AC1467" t="str">
        <f>IF(AB1467&lt;&gt;0,VLOOKUP(VLOOKUP(AB1467,Tbl_Effect[],3,FALSE),EffectName[],IFERROR(MATCH(UI!$B$1,EffectName[#Headers],0),2),FALSE),"")</f>
        <v/>
      </c>
    </row>
    <row r="1468" spans="8:29" x14ac:dyDescent="0.4">
      <c r="H1468" t="str">
        <f t="shared" si="154"/>
        <v/>
      </c>
      <c r="I1468">
        <v>0</v>
      </c>
      <c r="J1468" t="str">
        <f>_xlfn.IFNA(IF(I1468&lt;&gt;0,VLOOKUP(VLOOKUP(I1468,Tbl_Equip[],2,FALSE),Tbl_Color[],IFERROR(MATCH(UI!$B$1,Tbl_Color[#Headers],0),2),FALSE),""),"Unset")</f>
        <v/>
      </c>
      <c r="K1468" t="str">
        <f>_xlfn.IFNA(IF(I1468&lt;&gt;0,VLOOKUP(I1468,ItemText[],IFERROR(MATCH(UI!$B$1,ItemText[#Headers],0),2),FALSE),""),"Unset")</f>
        <v/>
      </c>
      <c r="M1468">
        <v>0</v>
      </c>
      <c r="P1468">
        <v>0</v>
      </c>
      <c r="S1468">
        <v>0</v>
      </c>
      <c r="T1468" t="str">
        <f>IF(VALUE(S1468)=0,"",VLOOKUP(VLOOKUP(S1468,Tbl_Effect[],3,FALSE),EffectName[],IFERROR(MATCH(UI!$B$1,EffectName[#Headers],0),2),FALSE))</f>
        <v/>
      </c>
      <c r="U1468" t="str">
        <f t="shared" si="155"/>
        <v/>
      </c>
      <c r="V1468">
        <v>0</v>
      </c>
      <c r="W1468" t="str">
        <f>IF(V1468&lt;&gt;0,VLOOKUP(VLOOKUP(V1468,Tbl_Effect[],3,FALSE),EffectName[],IFERROR(MATCH(UI!$B$1,EffectName[#Headers],0),2),FALSE),"")</f>
        <v/>
      </c>
      <c r="X1468" t="str">
        <f t="shared" si="156"/>
        <v/>
      </c>
      <c r="Y1468">
        <v>0</v>
      </c>
      <c r="Z1468" t="str">
        <f>IF(Y1468&lt;&gt;0,VLOOKUP(VLOOKUP(Y1468,Tbl_Effect[],3,FALSE),EffectName[],IFERROR(MATCH(UI!$B$1,EffectName[#Headers],0),2),FALSE),"")</f>
        <v/>
      </c>
      <c r="AA1468" t="str">
        <f t="shared" si="157"/>
        <v/>
      </c>
      <c r="AB1468">
        <v>0</v>
      </c>
      <c r="AC1468" t="str">
        <f>IF(AB1468&lt;&gt;0,VLOOKUP(VLOOKUP(AB1468,Tbl_Effect[],3,FALSE),EffectName[],IFERROR(MATCH(UI!$B$1,EffectName[#Headers],0),2),FALSE),"")</f>
        <v/>
      </c>
    </row>
    <row r="1469" spans="8:29" x14ac:dyDescent="0.4">
      <c r="H1469" t="str">
        <f t="shared" si="154"/>
        <v/>
      </c>
      <c r="I1469">
        <v>0</v>
      </c>
      <c r="J1469" t="str">
        <f>_xlfn.IFNA(IF(I1469&lt;&gt;0,VLOOKUP(VLOOKUP(I1469,Tbl_Equip[],2,FALSE),Tbl_Color[],IFERROR(MATCH(UI!$B$1,Tbl_Color[#Headers],0),2),FALSE),""),"Unset")</f>
        <v/>
      </c>
      <c r="K1469" t="str">
        <f>_xlfn.IFNA(IF(I1469&lt;&gt;0,VLOOKUP(I1469,ItemText[],IFERROR(MATCH(UI!$B$1,ItemText[#Headers],0),2),FALSE),""),"Unset")</f>
        <v/>
      </c>
      <c r="M1469">
        <v>0</v>
      </c>
      <c r="P1469">
        <v>0</v>
      </c>
      <c r="S1469">
        <v>0</v>
      </c>
      <c r="T1469" t="str">
        <f>IF(VALUE(S1469)=0,"",VLOOKUP(VLOOKUP(S1469,Tbl_Effect[],3,FALSE),EffectName[],IFERROR(MATCH(UI!$B$1,EffectName[#Headers],0),2),FALSE))</f>
        <v/>
      </c>
      <c r="U1469" t="str">
        <f t="shared" si="155"/>
        <v/>
      </c>
      <c r="V1469">
        <v>0</v>
      </c>
      <c r="W1469" t="str">
        <f>IF(V1469&lt;&gt;0,VLOOKUP(VLOOKUP(V1469,Tbl_Effect[],3,FALSE),EffectName[],IFERROR(MATCH(UI!$B$1,EffectName[#Headers],0),2),FALSE),"")</f>
        <v/>
      </c>
      <c r="X1469" t="str">
        <f t="shared" si="156"/>
        <v/>
      </c>
      <c r="Y1469">
        <v>0</v>
      </c>
      <c r="Z1469" t="str">
        <f>IF(Y1469&lt;&gt;0,VLOOKUP(VLOOKUP(Y1469,Tbl_Effect[],3,FALSE),EffectName[],IFERROR(MATCH(UI!$B$1,EffectName[#Headers],0),2),FALSE),"")</f>
        <v/>
      </c>
      <c r="AA1469" t="str">
        <f t="shared" si="157"/>
        <v/>
      </c>
      <c r="AB1469">
        <v>0</v>
      </c>
      <c r="AC1469" t="str">
        <f>IF(AB1469&lt;&gt;0,VLOOKUP(VLOOKUP(AB1469,Tbl_Effect[],3,FALSE),EffectName[],IFERROR(MATCH(UI!$B$1,EffectName[#Headers],0),2),FALSE),"")</f>
        <v/>
      </c>
    </row>
    <row r="1470" spans="8:29" x14ac:dyDescent="0.4">
      <c r="H1470" t="str">
        <f t="shared" si="154"/>
        <v/>
      </c>
      <c r="I1470">
        <v>0</v>
      </c>
      <c r="J1470" t="str">
        <f>_xlfn.IFNA(IF(I1470&lt;&gt;0,VLOOKUP(VLOOKUP(I1470,Tbl_Equip[],2,FALSE),Tbl_Color[],IFERROR(MATCH(UI!$B$1,Tbl_Color[#Headers],0),2),FALSE),""),"Unset")</f>
        <v/>
      </c>
      <c r="K1470" t="str">
        <f>_xlfn.IFNA(IF(I1470&lt;&gt;0,VLOOKUP(I1470,ItemText[],IFERROR(MATCH(UI!$B$1,ItemText[#Headers],0),2),FALSE),""),"Unset")</f>
        <v/>
      </c>
      <c r="M1470">
        <v>0</v>
      </c>
      <c r="P1470">
        <v>0</v>
      </c>
      <c r="S1470">
        <v>0</v>
      </c>
      <c r="T1470" t="str">
        <f>IF(VALUE(S1470)=0,"",VLOOKUP(VLOOKUP(S1470,Tbl_Effect[],3,FALSE),EffectName[],IFERROR(MATCH(UI!$B$1,EffectName[#Headers],0),2),FALSE))</f>
        <v/>
      </c>
      <c r="U1470" t="str">
        <f t="shared" si="155"/>
        <v/>
      </c>
      <c r="V1470">
        <v>0</v>
      </c>
      <c r="W1470" t="str">
        <f>IF(V1470&lt;&gt;0,VLOOKUP(VLOOKUP(V1470,Tbl_Effect[],3,FALSE),EffectName[],IFERROR(MATCH(UI!$B$1,EffectName[#Headers],0),2),FALSE),"")</f>
        <v/>
      </c>
      <c r="X1470" t="str">
        <f t="shared" si="156"/>
        <v/>
      </c>
      <c r="Y1470">
        <v>0</v>
      </c>
      <c r="Z1470" t="str">
        <f>IF(Y1470&lt;&gt;0,VLOOKUP(VLOOKUP(Y1470,Tbl_Effect[],3,FALSE),EffectName[],IFERROR(MATCH(UI!$B$1,EffectName[#Headers],0),2),FALSE),"")</f>
        <v/>
      </c>
      <c r="AA1470" t="str">
        <f t="shared" si="157"/>
        <v/>
      </c>
      <c r="AB1470">
        <v>0</v>
      </c>
      <c r="AC1470" t="str">
        <f>IF(AB1470&lt;&gt;0,VLOOKUP(VLOOKUP(AB1470,Tbl_Effect[],3,FALSE),EffectName[],IFERROR(MATCH(UI!$B$1,EffectName[#Headers],0),2),FALSE),"")</f>
        <v/>
      </c>
    </row>
    <row r="1471" spans="8:29" x14ac:dyDescent="0.4">
      <c r="H1471" t="str">
        <f t="shared" si="154"/>
        <v/>
      </c>
      <c r="I1471">
        <v>0</v>
      </c>
      <c r="J1471" t="str">
        <f>_xlfn.IFNA(IF(I1471&lt;&gt;0,VLOOKUP(VLOOKUP(I1471,Tbl_Equip[],2,FALSE),Tbl_Color[],IFERROR(MATCH(UI!$B$1,Tbl_Color[#Headers],0),2),FALSE),""),"Unset")</f>
        <v/>
      </c>
      <c r="K1471" t="str">
        <f>_xlfn.IFNA(IF(I1471&lt;&gt;0,VLOOKUP(I1471,ItemText[],IFERROR(MATCH(UI!$B$1,ItemText[#Headers],0),2),FALSE),""),"Unset")</f>
        <v/>
      </c>
      <c r="M1471">
        <v>0</v>
      </c>
      <c r="P1471">
        <v>0</v>
      </c>
      <c r="S1471">
        <v>0</v>
      </c>
      <c r="T1471" t="str">
        <f>IF(VALUE(S1471)=0,"",VLOOKUP(VLOOKUP(S1471,Tbl_Effect[],3,FALSE),EffectName[],IFERROR(MATCH(UI!$B$1,EffectName[#Headers],0),2),FALSE))</f>
        <v/>
      </c>
      <c r="U1471" t="str">
        <f t="shared" si="155"/>
        <v/>
      </c>
      <c r="V1471">
        <v>0</v>
      </c>
      <c r="W1471" t="str">
        <f>IF(V1471&lt;&gt;0,VLOOKUP(VLOOKUP(V1471,Tbl_Effect[],3,FALSE),EffectName[],IFERROR(MATCH(UI!$B$1,EffectName[#Headers],0),2),FALSE),"")</f>
        <v/>
      </c>
      <c r="X1471" t="str">
        <f t="shared" si="156"/>
        <v/>
      </c>
      <c r="Y1471">
        <v>0</v>
      </c>
      <c r="Z1471" t="str">
        <f>IF(Y1471&lt;&gt;0,VLOOKUP(VLOOKUP(Y1471,Tbl_Effect[],3,FALSE),EffectName[],IFERROR(MATCH(UI!$B$1,EffectName[#Headers],0),2),FALSE),"")</f>
        <v/>
      </c>
      <c r="AA1471" t="str">
        <f t="shared" si="157"/>
        <v/>
      </c>
      <c r="AB1471">
        <v>0</v>
      </c>
      <c r="AC1471" t="str">
        <f>IF(AB1471&lt;&gt;0,VLOOKUP(VLOOKUP(AB1471,Tbl_Effect[],3,FALSE),EffectName[],IFERROR(MATCH(UI!$B$1,EffectName[#Headers],0),2),FALSE),"")</f>
        <v/>
      </c>
    </row>
    <row r="1472" spans="8:29" x14ac:dyDescent="0.4">
      <c r="H1472" t="str">
        <f t="shared" si="154"/>
        <v/>
      </c>
      <c r="I1472">
        <v>0</v>
      </c>
      <c r="J1472" t="str">
        <f>_xlfn.IFNA(IF(I1472&lt;&gt;0,VLOOKUP(VLOOKUP(I1472,Tbl_Equip[],2,FALSE),Tbl_Color[],IFERROR(MATCH(UI!$B$1,Tbl_Color[#Headers],0),2),FALSE),""),"Unset")</f>
        <v/>
      </c>
      <c r="K1472" t="str">
        <f>_xlfn.IFNA(IF(I1472&lt;&gt;0,VLOOKUP(I1472,ItemText[],IFERROR(MATCH(UI!$B$1,ItemText[#Headers],0),2),FALSE),""),"Unset")</f>
        <v/>
      </c>
      <c r="M1472">
        <v>0</v>
      </c>
      <c r="P1472">
        <v>0</v>
      </c>
      <c r="S1472">
        <v>0</v>
      </c>
      <c r="T1472" t="str">
        <f>IF(VALUE(S1472)=0,"",VLOOKUP(VLOOKUP(S1472,Tbl_Effect[],3,FALSE),EffectName[],IFERROR(MATCH(UI!$B$1,EffectName[#Headers],0),2),FALSE))</f>
        <v/>
      </c>
      <c r="U1472" t="str">
        <f t="shared" si="155"/>
        <v/>
      </c>
      <c r="V1472">
        <v>0</v>
      </c>
      <c r="W1472" t="str">
        <f>IF(V1472&lt;&gt;0,VLOOKUP(VLOOKUP(V1472,Tbl_Effect[],3,FALSE),EffectName[],IFERROR(MATCH(UI!$B$1,EffectName[#Headers],0),2),FALSE),"")</f>
        <v/>
      </c>
      <c r="X1472" t="str">
        <f t="shared" si="156"/>
        <v/>
      </c>
      <c r="Y1472">
        <v>0</v>
      </c>
      <c r="Z1472" t="str">
        <f>IF(Y1472&lt;&gt;0,VLOOKUP(VLOOKUP(Y1472,Tbl_Effect[],3,FALSE),EffectName[],IFERROR(MATCH(UI!$B$1,EffectName[#Headers],0),2),FALSE),"")</f>
        <v/>
      </c>
      <c r="AA1472" t="str">
        <f t="shared" si="157"/>
        <v/>
      </c>
      <c r="AB1472">
        <v>0</v>
      </c>
      <c r="AC1472" t="str">
        <f>IF(AB1472&lt;&gt;0,VLOOKUP(VLOOKUP(AB1472,Tbl_Effect[],3,FALSE),EffectName[],IFERROR(MATCH(UI!$B$1,EffectName[#Headers],0),2),FALSE),"")</f>
        <v/>
      </c>
    </row>
    <row r="1473" spans="8:29" x14ac:dyDescent="0.4">
      <c r="H1473" t="str">
        <f t="shared" si="154"/>
        <v/>
      </c>
      <c r="I1473">
        <v>0</v>
      </c>
      <c r="J1473" t="str">
        <f>_xlfn.IFNA(IF(I1473&lt;&gt;0,VLOOKUP(VLOOKUP(I1473,Tbl_Equip[],2,FALSE),Tbl_Color[],IFERROR(MATCH(UI!$B$1,Tbl_Color[#Headers],0),2),FALSE),""),"Unset")</f>
        <v/>
      </c>
      <c r="K1473" t="str">
        <f>_xlfn.IFNA(IF(I1473&lt;&gt;0,VLOOKUP(I1473,ItemText[],IFERROR(MATCH(UI!$B$1,ItemText[#Headers],0),2),FALSE),""),"Unset")</f>
        <v/>
      </c>
      <c r="M1473">
        <v>0</v>
      </c>
      <c r="P1473">
        <v>0</v>
      </c>
      <c r="S1473">
        <v>0</v>
      </c>
      <c r="T1473" t="str">
        <f>IF(VALUE(S1473)=0,"",VLOOKUP(VLOOKUP(S1473,Tbl_Effect[],3,FALSE),EffectName[],IFERROR(MATCH(UI!$B$1,EffectName[#Headers],0),2),FALSE))</f>
        <v/>
      </c>
      <c r="U1473" t="str">
        <f t="shared" si="155"/>
        <v/>
      </c>
      <c r="V1473">
        <v>0</v>
      </c>
      <c r="W1473" t="str">
        <f>IF(V1473&lt;&gt;0,VLOOKUP(VLOOKUP(V1473,Tbl_Effect[],3,FALSE),EffectName[],IFERROR(MATCH(UI!$B$1,EffectName[#Headers],0),2),FALSE),"")</f>
        <v/>
      </c>
      <c r="X1473" t="str">
        <f t="shared" si="156"/>
        <v/>
      </c>
      <c r="Y1473">
        <v>0</v>
      </c>
      <c r="Z1473" t="str">
        <f>IF(Y1473&lt;&gt;0,VLOOKUP(VLOOKUP(Y1473,Tbl_Effect[],3,FALSE),EffectName[],IFERROR(MATCH(UI!$B$1,EffectName[#Headers],0),2),FALSE),"")</f>
        <v/>
      </c>
      <c r="AA1473" t="str">
        <f t="shared" si="157"/>
        <v/>
      </c>
      <c r="AB1473">
        <v>0</v>
      </c>
      <c r="AC1473" t="str">
        <f>IF(AB1473&lt;&gt;0,VLOOKUP(VLOOKUP(AB1473,Tbl_Effect[],3,FALSE),EffectName[],IFERROR(MATCH(UI!$B$1,EffectName[#Headers],0),2),FALSE),"")</f>
        <v/>
      </c>
    </row>
    <row r="1474" spans="8:29" x14ac:dyDescent="0.4">
      <c r="H1474" t="str">
        <f t="shared" si="154"/>
        <v/>
      </c>
      <c r="I1474">
        <v>0</v>
      </c>
      <c r="J1474" t="str">
        <f>_xlfn.IFNA(IF(I1474&lt;&gt;0,VLOOKUP(VLOOKUP(I1474,Tbl_Equip[],2,FALSE),Tbl_Color[],IFERROR(MATCH(UI!$B$1,Tbl_Color[#Headers],0),2),FALSE),""),"Unset")</f>
        <v/>
      </c>
      <c r="K1474" t="str">
        <f>_xlfn.IFNA(IF(I1474&lt;&gt;0,VLOOKUP(I1474,ItemText[],IFERROR(MATCH(UI!$B$1,ItemText[#Headers],0),2),FALSE),""),"Unset")</f>
        <v/>
      </c>
      <c r="M1474">
        <v>0</v>
      </c>
      <c r="P1474">
        <v>0</v>
      </c>
      <c r="S1474">
        <v>0</v>
      </c>
      <c r="T1474" t="str">
        <f>IF(VALUE(S1474)=0,"",VLOOKUP(VLOOKUP(S1474,Tbl_Effect[],3,FALSE),EffectName[],IFERROR(MATCH(UI!$B$1,EffectName[#Headers],0),2),FALSE))</f>
        <v/>
      </c>
      <c r="U1474" t="str">
        <f t="shared" si="155"/>
        <v/>
      </c>
      <c r="V1474">
        <v>0</v>
      </c>
      <c r="W1474" t="str">
        <f>IF(V1474&lt;&gt;0,VLOOKUP(VLOOKUP(V1474,Tbl_Effect[],3,FALSE),EffectName[],IFERROR(MATCH(UI!$B$1,EffectName[#Headers],0),2),FALSE),"")</f>
        <v/>
      </c>
      <c r="X1474" t="str">
        <f t="shared" si="156"/>
        <v/>
      </c>
      <c r="Y1474">
        <v>0</v>
      </c>
      <c r="Z1474" t="str">
        <f>IF(Y1474&lt;&gt;0,VLOOKUP(VLOOKUP(Y1474,Tbl_Effect[],3,FALSE),EffectName[],IFERROR(MATCH(UI!$B$1,EffectName[#Headers],0),2),FALSE),"")</f>
        <v/>
      </c>
      <c r="AA1474" t="str">
        <f t="shared" si="157"/>
        <v/>
      </c>
      <c r="AB1474">
        <v>0</v>
      </c>
      <c r="AC1474" t="str">
        <f>IF(AB1474&lt;&gt;0,VLOOKUP(VLOOKUP(AB1474,Tbl_Effect[],3,FALSE),EffectName[],IFERROR(MATCH(UI!$B$1,EffectName[#Headers],0),2),FALSE),"")</f>
        <v/>
      </c>
    </row>
    <row r="1475" spans="8:29" x14ac:dyDescent="0.4">
      <c r="H1475" t="str">
        <f t="shared" ref="H1475:H1538" si="158">IF(VALUE(I1475)&lt;&gt;0,I1475&amp;"-"&amp;K1475&amp;" ("&amp;J1475&amp;")","")</f>
        <v/>
      </c>
      <c r="I1475">
        <v>0</v>
      </c>
      <c r="J1475" t="str">
        <f>_xlfn.IFNA(IF(I1475&lt;&gt;0,VLOOKUP(VLOOKUP(I1475,Tbl_Equip[],2,FALSE),Tbl_Color[],IFERROR(MATCH(UI!$B$1,Tbl_Color[#Headers],0),2),FALSE),""),"Unset")</f>
        <v/>
      </c>
      <c r="K1475" t="str">
        <f>_xlfn.IFNA(IF(I1475&lt;&gt;0,VLOOKUP(I1475,ItemText[],IFERROR(MATCH(UI!$B$1,ItemText[#Headers],0),2),FALSE),""),"Unset")</f>
        <v/>
      </c>
      <c r="M1475">
        <v>0</v>
      </c>
      <c r="P1475">
        <v>0</v>
      </c>
      <c r="S1475">
        <v>0</v>
      </c>
      <c r="T1475" t="str">
        <f>IF(VALUE(S1475)=0,"",VLOOKUP(VLOOKUP(S1475,Tbl_Effect[],3,FALSE),EffectName[],IFERROR(MATCH(UI!$B$1,EffectName[#Headers],0),2),FALSE))</f>
        <v/>
      </c>
      <c r="U1475" t="str">
        <f t="shared" ref="U1475:U1538" si="159">IF(VALUE(V1475)=0,"",V1475&amp;"-"&amp;W1475)</f>
        <v/>
      </c>
      <c r="V1475">
        <v>0</v>
      </c>
      <c r="W1475" t="str">
        <f>IF(V1475&lt;&gt;0,VLOOKUP(VLOOKUP(V1475,Tbl_Effect[],3,FALSE),EffectName[],IFERROR(MATCH(UI!$B$1,EffectName[#Headers],0),2),FALSE),"")</f>
        <v/>
      </c>
      <c r="X1475" t="str">
        <f t="shared" ref="X1475:X1538" si="160">IF(VALUE(Y1475)=0,"",Y1475&amp;"-"&amp;Z1475)</f>
        <v/>
      </c>
      <c r="Y1475">
        <v>0</v>
      </c>
      <c r="Z1475" t="str">
        <f>IF(Y1475&lt;&gt;0,VLOOKUP(VLOOKUP(Y1475,Tbl_Effect[],3,FALSE),EffectName[],IFERROR(MATCH(UI!$B$1,EffectName[#Headers],0),2),FALSE),"")</f>
        <v/>
      </c>
      <c r="AA1475" t="str">
        <f t="shared" ref="AA1475:AA1538" si="161">IF(VALUE(AB1475)=0,"",AB1475&amp;"-"&amp;AC1475)</f>
        <v/>
      </c>
      <c r="AB1475">
        <v>0</v>
      </c>
      <c r="AC1475" t="str">
        <f>IF(AB1475&lt;&gt;0,VLOOKUP(VLOOKUP(AB1475,Tbl_Effect[],3,FALSE),EffectName[],IFERROR(MATCH(UI!$B$1,EffectName[#Headers],0),2),FALSE),"")</f>
        <v/>
      </c>
    </row>
    <row r="1476" spans="8:29" x14ac:dyDescent="0.4">
      <c r="H1476" t="str">
        <f t="shared" si="158"/>
        <v/>
      </c>
      <c r="I1476">
        <v>0</v>
      </c>
      <c r="J1476" t="str">
        <f>_xlfn.IFNA(IF(I1476&lt;&gt;0,VLOOKUP(VLOOKUP(I1476,Tbl_Equip[],2,FALSE),Tbl_Color[],IFERROR(MATCH(UI!$B$1,Tbl_Color[#Headers],0),2),FALSE),""),"Unset")</f>
        <v/>
      </c>
      <c r="K1476" t="str">
        <f>_xlfn.IFNA(IF(I1476&lt;&gt;0,VLOOKUP(I1476,ItemText[],IFERROR(MATCH(UI!$B$1,ItemText[#Headers],0),2),FALSE),""),"Unset")</f>
        <v/>
      </c>
      <c r="M1476">
        <v>0</v>
      </c>
      <c r="P1476">
        <v>0</v>
      </c>
      <c r="S1476">
        <v>0</v>
      </c>
      <c r="T1476" t="str">
        <f>IF(VALUE(S1476)=0,"",VLOOKUP(VLOOKUP(S1476,Tbl_Effect[],3,FALSE),EffectName[],IFERROR(MATCH(UI!$B$1,EffectName[#Headers],0),2),FALSE))</f>
        <v/>
      </c>
      <c r="U1476" t="str">
        <f t="shared" si="159"/>
        <v/>
      </c>
      <c r="V1476">
        <v>0</v>
      </c>
      <c r="W1476" t="str">
        <f>IF(V1476&lt;&gt;0,VLOOKUP(VLOOKUP(V1476,Tbl_Effect[],3,FALSE),EffectName[],IFERROR(MATCH(UI!$B$1,EffectName[#Headers],0),2),FALSE),"")</f>
        <v/>
      </c>
      <c r="X1476" t="str">
        <f t="shared" si="160"/>
        <v/>
      </c>
      <c r="Y1476">
        <v>0</v>
      </c>
      <c r="Z1476" t="str">
        <f>IF(Y1476&lt;&gt;0,VLOOKUP(VLOOKUP(Y1476,Tbl_Effect[],3,FALSE),EffectName[],IFERROR(MATCH(UI!$B$1,EffectName[#Headers],0),2),FALSE),"")</f>
        <v/>
      </c>
      <c r="AA1476" t="str">
        <f t="shared" si="161"/>
        <v/>
      </c>
      <c r="AB1476">
        <v>0</v>
      </c>
      <c r="AC1476" t="str">
        <f>IF(AB1476&lt;&gt;0,VLOOKUP(VLOOKUP(AB1476,Tbl_Effect[],3,FALSE),EffectName[],IFERROR(MATCH(UI!$B$1,EffectName[#Headers],0),2),FALSE),"")</f>
        <v/>
      </c>
    </row>
    <row r="1477" spans="8:29" x14ac:dyDescent="0.4">
      <c r="H1477" t="str">
        <f t="shared" si="158"/>
        <v/>
      </c>
      <c r="I1477">
        <v>0</v>
      </c>
      <c r="J1477" t="str">
        <f>_xlfn.IFNA(IF(I1477&lt;&gt;0,VLOOKUP(VLOOKUP(I1477,Tbl_Equip[],2,FALSE),Tbl_Color[],IFERROR(MATCH(UI!$B$1,Tbl_Color[#Headers],0),2),FALSE),""),"Unset")</f>
        <v/>
      </c>
      <c r="K1477" t="str">
        <f>_xlfn.IFNA(IF(I1477&lt;&gt;0,VLOOKUP(I1477,ItemText[],IFERROR(MATCH(UI!$B$1,ItemText[#Headers],0),2),FALSE),""),"Unset")</f>
        <v/>
      </c>
      <c r="M1477">
        <v>0</v>
      </c>
      <c r="P1477">
        <v>0</v>
      </c>
      <c r="S1477">
        <v>0</v>
      </c>
      <c r="T1477" t="str">
        <f>IF(VALUE(S1477)=0,"",VLOOKUP(VLOOKUP(S1477,Tbl_Effect[],3,FALSE),EffectName[],IFERROR(MATCH(UI!$B$1,EffectName[#Headers],0),2),FALSE))</f>
        <v/>
      </c>
      <c r="U1477" t="str">
        <f t="shared" si="159"/>
        <v/>
      </c>
      <c r="V1477">
        <v>0</v>
      </c>
      <c r="W1477" t="str">
        <f>IF(V1477&lt;&gt;0,VLOOKUP(VLOOKUP(V1477,Tbl_Effect[],3,FALSE),EffectName[],IFERROR(MATCH(UI!$B$1,EffectName[#Headers],0),2),FALSE),"")</f>
        <v/>
      </c>
      <c r="X1477" t="str">
        <f t="shared" si="160"/>
        <v/>
      </c>
      <c r="Y1477">
        <v>0</v>
      </c>
      <c r="Z1477" t="str">
        <f>IF(Y1477&lt;&gt;0,VLOOKUP(VLOOKUP(Y1477,Tbl_Effect[],3,FALSE),EffectName[],IFERROR(MATCH(UI!$B$1,EffectName[#Headers],0),2),FALSE),"")</f>
        <v/>
      </c>
      <c r="AA1477" t="str">
        <f t="shared" si="161"/>
        <v/>
      </c>
      <c r="AB1477">
        <v>0</v>
      </c>
      <c r="AC1477" t="str">
        <f>IF(AB1477&lt;&gt;0,VLOOKUP(VLOOKUP(AB1477,Tbl_Effect[],3,FALSE),EffectName[],IFERROR(MATCH(UI!$B$1,EffectName[#Headers],0),2),FALSE),"")</f>
        <v/>
      </c>
    </row>
    <row r="1478" spans="8:29" x14ac:dyDescent="0.4">
      <c r="H1478" t="str">
        <f t="shared" si="158"/>
        <v/>
      </c>
      <c r="I1478">
        <v>0</v>
      </c>
      <c r="J1478" t="str">
        <f>_xlfn.IFNA(IF(I1478&lt;&gt;0,VLOOKUP(VLOOKUP(I1478,Tbl_Equip[],2,FALSE),Tbl_Color[],IFERROR(MATCH(UI!$B$1,Tbl_Color[#Headers],0),2),FALSE),""),"Unset")</f>
        <v/>
      </c>
      <c r="K1478" t="str">
        <f>_xlfn.IFNA(IF(I1478&lt;&gt;0,VLOOKUP(I1478,ItemText[],IFERROR(MATCH(UI!$B$1,ItemText[#Headers],0),2),FALSE),""),"Unset")</f>
        <v/>
      </c>
      <c r="M1478">
        <v>0</v>
      </c>
      <c r="P1478">
        <v>0</v>
      </c>
      <c r="S1478">
        <v>0</v>
      </c>
      <c r="T1478" t="str">
        <f>IF(VALUE(S1478)=0,"",VLOOKUP(VLOOKUP(S1478,Tbl_Effect[],3,FALSE),EffectName[],IFERROR(MATCH(UI!$B$1,EffectName[#Headers],0),2),FALSE))</f>
        <v/>
      </c>
      <c r="U1478" t="str">
        <f t="shared" si="159"/>
        <v/>
      </c>
      <c r="V1478">
        <v>0</v>
      </c>
      <c r="W1478" t="str">
        <f>IF(V1478&lt;&gt;0,VLOOKUP(VLOOKUP(V1478,Tbl_Effect[],3,FALSE),EffectName[],IFERROR(MATCH(UI!$B$1,EffectName[#Headers],0),2),FALSE),"")</f>
        <v/>
      </c>
      <c r="X1478" t="str">
        <f t="shared" si="160"/>
        <v/>
      </c>
      <c r="Y1478">
        <v>0</v>
      </c>
      <c r="Z1478" t="str">
        <f>IF(Y1478&lt;&gt;0,VLOOKUP(VLOOKUP(Y1478,Tbl_Effect[],3,FALSE),EffectName[],IFERROR(MATCH(UI!$B$1,EffectName[#Headers],0),2),FALSE),"")</f>
        <v/>
      </c>
      <c r="AA1478" t="str">
        <f t="shared" si="161"/>
        <v/>
      </c>
      <c r="AB1478">
        <v>0</v>
      </c>
      <c r="AC1478" t="str">
        <f>IF(AB1478&lt;&gt;0,VLOOKUP(VLOOKUP(AB1478,Tbl_Effect[],3,FALSE),EffectName[],IFERROR(MATCH(UI!$B$1,EffectName[#Headers],0),2),FALSE),"")</f>
        <v/>
      </c>
    </row>
    <row r="1479" spans="8:29" x14ac:dyDescent="0.4">
      <c r="H1479" t="str">
        <f t="shared" si="158"/>
        <v/>
      </c>
      <c r="I1479">
        <v>0</v>
      </c>
      <c r="J1479" t="str">
        <f>_xlfn.IFNA(IF(I1479&lt;&gt;0,VLOOKUP(VLOOKUP(I1479,Tbl_Equip[],2,FALSE),Tbl_Color[],IFERROR(MATCH(UI!$B$1,Tbl_Color[#Headers],0),2),FALSE),""),"Unset")</f>
        <v/>
      </c>
      <c r="K1479" t="str">
        <f>_xlfn.IFNA(IF(I1479&lt;&gt;0,VLOOKUP(I1479,ItemText[],IFERROR(MATCH(UI!$B$1,ItemText[#Headers],0),2),FALSE),""),"Unset")</f>
        <v/>
      </c>
      <c r="M1479">
        <v>0</v>
      </c>
      <c r="P1479">
        <v>0</v>
      </c>
      <c r="S1479">
        <v>0</v>
      </c>
      <c r="T1479" t="str">
        <f>IF(VALUE(S1479)=0,"",VLOOKUP(VLOOKUP(S1479,Tbl_Effect[],3,FALSE),EffectName[],IFERROR(MATCH(UI!$B$1,EffectName[#Headers],0),2),FALSE))</f>
        <v/>
      </c>
      <c r="U1479" t="str">
        <f t="shared" si="159"/>
        <v/>
      </c>
      <c r="V1479">
        <v>0</v>
      </c>
      <c r="W1479" t="str">
        <f>IF(V1479&lt;&gt;0,VLOOKUP(VLOOKUP(V1479,Tbl_Effect[],3,FALSE),EffectName[],IFERROR(MATCH(UI!$B$1,EffectName[#Headers],0),2),FALSE),"")</f>
        <v/>
      </c>
      <c r="X1479" t="str">
        <f t="shared" si="160"/>
        <v/>
      </c>
      <c r="Y1479">
        <v>0</v>
      </c>
      <c r="Z1479" t="str">
        <f>IF(Y1479&lt;&gt;0,VLOOKUP(VLOOKUP(Y1479,Tbl_Effect[],3,FALSE),EffectName[],IFERROR(MATCH(UI!$B$1,EffectName[#Headers],0),2),FALSE),"")</f>
        <v/>
      </c>
      <c r="AA1479" t="str">
        <f t="shared" si="161"/>
        <v/>
      </c>
      <c r="AB1479">
        <v>0</v>
      </c>
      <c r="AC1479" t="str">
        <f>IF(AB1479&lt;&gt;0,VLOOKUP(VLOOKUP(AB1479,Tbl_Effect[],3,FALSE),EffectName[],IFERROR(MATCH(UI!$B$1,EffectName[#Headers],0),2),FALSE),"")</f>
        <v/>
      </c>
    </row>
    <row r="1480" spans="8:29" x14ac:dyDescent="0.4">
      <c r="H1480" t="str">
        <f t="shared" si="158"/>
        <v/>
      </c>
      <c r="I1480">
        <v>0</v>
      </c>
      <c r="J1480" t="str">
        <f>_xlfn.IFNA(IF(I1480&lt;&gt;0,VLOOKUP(VLOOKUP(I1480,Tbl_Equip[],2,FALSE),Tbl_Color[],IFERROR(MATCH(UI!$B$1,Tbl_Color[#Headers],0),2),FALSE),""),"Unset")</f>
        <v/>
      </c>
      <c r="K1480" t="str">
        <f>_xlfn.IFNA(IF(I1480&lt;&gt;0,VLOOKUP(I1480,ItemText[],IFERROR(MATCH(UI!$B$1,ItemText[#Headers],0),2),FALSE),""),"Unset")</f>
        <v/>
      </c>
      <c r="M1480">
        <v>0</v>
      </c>
      <c r="P1480">
        <v>0</v>
      </c>
      <c r="S1480">
        <v>0</v>
      </c>
      <c r="T1480" t="str">
        <f>IF(VALUE(S1480)=0,"",VLOOKUP(VLOOKUP(S1480,Tbl_Effect[],3,FALSE),EffectName[],IFERROR(MATCH(UI!$B$1,EffectName[#Headers],0),2),FALSE))</f>
        <v/>
      </c>
      <c r="U1480" t="str">
        <f t="shared" si="159"/>
        <v/>
      </c>
      <c r="V1480">
        <v>0</v>
      </c>
      <c r="W1480" t="str">
        <f>IF(V1480&lt;&gt;0,VLOOKUP(VLOOKUP(V1480,Tbl_Effect[],3,FALSE),EffectName[],IFERROR(MATCH(UI!$B$1,EffectName[#Headers],0),2),FALSE),"")</f>
        <v/>
      </c>
      <c r="X1480" t="str">
        <f t="shared" si="160"/>
        <v/>
      </c>
      <c r="Y1480">
        <v>0</v>
      </c>
      <c r="Z1480" t="str">
        <f>IF(Y1480&lt;&gt;0,VLOOKUP(VLOOKUP(Y1480,Tbl_Effect[],3,FALSE),EffectName[],IFERROR(MATCH(UI!$B$1,EffectName[#Headers],0),2),FALSE),"")</f>
        <v/>
      </c>
      <c r="AA1480" t="str">
        <f t="shared" si="161"/>
        <v/>
      </c>
      <c r="AB1480">
        <v>0</v>
      </c>
      <c r="AC1480" t="str">
        <f>IF(AB1480&lt;&gt;0,VLOOKUP(VLOOKUP(AB1480,Tbl_Effect[],3,FALSE),EffectName[],IFERROR(MATCH(UI!$B$1,EffectName[#Headers],0),2),FALSE),"")</f>
        <v/>
      </c>
    </row>
    <row r="1481" spans="8:29" x14ac:dyDescent="0.4">
      <c r="H1481" t="str">
        <f t="shared" si="158"/>
        <v/>
      </c>
      <c r="I1481">
        <v>0</v>
      </c>
      <c r="J1481" t="str">
        <f>_xlfn.IFNA(IF(I1481&lt;&gt;0,VLOOKUP(VLOOKUP(I1481,Tbl_Equip[],2,FALSE),Tbl_Color[],IFERROR(MATCH(UI!$B$1,Tbl_Color[#Headers],0),2),FALSE),""),"Unset")</f>
        <v/>
      </c>
      <c r="K1481" t="str">
        <f>_xlfn.IFNA(IF(I1481&lt;&gt;0,VLOOKUP(I1481,ItemText[],IFERROR(MATCH(UI!$B$1,ItemText[#Headers],0),2),FALSE),""),"Unset")</f>
        <v/>
      </c>
      <c r="M1481">
        <v>0</v>
      </c>
      <c r="P1481">
        <v>0</v>
      </c>
      <c r="S1481">
        <v>0</v>
      </c>
      <c r="T1481" t="str">
        <f>IF(VALUE(S1481)=0,"",VLOOKUP(VLOOKUP(S1481,Tbl_Effect[],3,FALSE),EffectName[],IFERROR(MATCH(UI!$B$1,EffectName[#Headers],0),2),FALSE))</f>
        <v/>
      </c>
      <c r="U1481" t="str">
        <f t="shared" si="159"/>
        <v/>
      </c>
      <c r="V1481">
        <v>0</v>
      </c>
      <c r="W1481" t="str">
        <f>IF(V1481&lt;&gt;0,VLOOKUP(VLOOKUP(V1481,Tbl_Effect[],3,FALSE),EffectName[],IFERROR(MATCH(UI!$B$1,EffectName[#Headers],0),2),FALSE),"")</f>
        <v/>
      </c>
      <c r="X1481" t="str">
        <f t="shared" si="160"/>
        <v/>
      </c>
      <c r="Y1481">
        <v>0</v>
      </c>
      <c r="Z1481" t="str">
        <f>IF(Y1481&lt;&gt;0,VLOOKUP(VLOOKUP(Y1481,Tbl_Effect[],3,FALSE),EffectName[],IFERROR(MATCH(UI!$B$1,EffectName[#Headers],0),2),FALSE),"")</f>
        <v/>
      </c>
      <c r="AA1481" t="str">
        <f t="shared" si="161"/>
        <v/>
      </c>
      <c r="AB1481">
        <v>0</v>
      </c>
      <c r="AC1481" t="str">
        <f>IF(AB1481&lt;&gt;0,VLOOKUP(VLOOKUP(AB1481,Tbl_Effect[],3,FALSE),EffectName[],IFERROR(MATCH(UI!$B$1,EffectName[#Headers],0),2),FALSE),"")</f>
        <v/>
      </c>
    </row>
    <row r="1482" spans="8:29" x14ac:dyDescent="0.4">
      <c r="H1482" t="str">
        <f t="shared" si="158"/>
        <v/>
      </c>
      <c r="I1482">
        <v>0</v>
      </c>
      <c r="J1482" t="str">
        <f>_xlfn.IFNA(IF(I1482&lt;&gt;0,VLOOKUP(VLOOKUP(I1482,Tbl_Equip[],2,FALSE),Tbl_Color[],IFERROR(MATCH(UI!$B$1,Tbl_Color[#Headers],0),2),FALSE),""),"Unset")</f>
        <v/>
      </c>
      <c r="K1482" t="str">
        <f>_xlfn.IFNA(IF(I1482&lt;&gt;0,VLOOKUP(I1482,ItemText[],IFERROR(MATCH(UI!$B$1,ItemText[#Headers],0),2),FALSE),""),"Unset")</f>
        <v/>
      </c>
      <c r="M1482">
        <v>0</v>
      </c>
      <c r="P1482">
        <v>0</v>
      </c>
      <c r="S1482">
        <v>0</v>
      </c>
      <c r="T1482" t="str">
        <f>IF(VALUE(S1482)=0,"",VLOOKUP(VLOOKUP(S1482,Tbl_Effect[],3,FALSE),EffectName[],IFERROR(MATCH(UI!$B$1,EffectName[#Headers],0),2),FALSE))</f>
        <v/>
      </c>
      <c r="U1482" t="str">
        <f t="shared" si="159"/>
        <v/>
      </c>
      <c r="V1482">
        <v>0</v>
      </c>
      <c r="W1482" t="str">
        <f>IF(V1482&lt;&gt;0,VLOOKUP(VLOOKUP(V1482,Tbl_Effect[],3,FALSE),EffectName[],IFERROR(MATCH(UI!$B$1,EffectName[#Headers],0),2),FALSE),"")</f>
        <v/>
      </c>
      <c r="X1482" t="str">
        <f t="shared" si="160"/>
        <v/>
      </c>
      <c r="Y1482">
        <v>0</v>
      </c>
      <c r="Z1482" t="str">
        <f>IF(Y1482&lt;&gt;0,VLOOKUP(VLOOKUP(Y1482,Tbl_Effect[],3,FALSE),EffectName[],IFERROR(MATCH(UI!$B$1,EffectName[#Headers],0),2),FALSE),"")</f>
        <v/>
      </c>
      <c r="AA1482" t="str">
        <f t="shared" si="161"/>
        <v/>
      </c>
      <c r="AB1482">
        <v>0</v>
      </c>
      <c r="AC1482" t="str">
        <f>IF(AB1482&lt;&gt;0,VLOOKUP(VLOOKUP(AB1482,Tbl_Effect[],3,FALSE),EffectName[],IFERROR(MATCH(UI!$B$1,EffectName[#Headers],0),2),FALSE),"")</f>
        <v/>
      </c>
    </row>
    <row r="1483" spans="8:29" x14ac:dyDescent="0.4">
      <c r="H1483" t="str">
        <f t="shared" si="158"/>
        <v/>
      </c>
      <c r="I1483">
        <v>0</v>
      </c>
      <c r="J1483" t="str">
        <f>_xlfn.IFNA(IF(I1483&lt;&gt;0,VLOOKUP(VLOOKUP(I1483,Tbl_Equip[],2,FALSE),Tbl_Color[],IFERROR(MATCH(UI!$B$1,Tbl_Color[#Headers],0),2),FALSE),""),"Unset")</f>
        <v/>
      </c>
      <c r="K1483" t="str">
        <f>_xlfn.IFNA(IF(I1483&lt;&gt;0,VLOOKUP(I1483,ItemText[],IFERROR(MATCH(UI!$B$1,ItemText[#Headers],0),2),FALSE),""),"Unset")</f>
        <v/>
      </c>
      <c r="M1483">
        <v>0</v>
      </c>
      <c r="P1483">
        <v>0</v>
      </c>
      <c r="S1483">
        <v>0</v>
      </c>
      <c r="T1483" t="str">
        <f>IF(VALUE(S1483)=0,"",VLOOKUP(VLOOKUP(S1483,Tbl_Effect[],3,FALSE),EffectName[],IFERROR(MATCH(UI!$B$1,EffectName[#Headers],0),2),FALSE))</f>
        <v/>
      </c>
      <c r="U1483" t="str">
        <f t="shared" si="159"/>
        <v/>
      </c>
      <c r="V1483">
        <v>0</v>
      </c>
      <c r="W1483" t="str">
        <f>IF(V1483&lt;&gt;0,VLOOKUP(VLOOKUP(V1483,Tbl_Effect[],3,FALSE),EffectName[],IFERROR(MATCH(UI!$B$1,EffectName[#Headers],0),2),FALSE),"")</f>
        <v/>
      </c>
      <c r="X1483" t="str">
        <f t="shared" si="160"/>
        <v/>
      </c>
      <c r="Y1483">
        <v>0</v>
      </c>
      <c r="Z1483" t="str">
        <f>IF(Y1483&lt;&gt;0,VLOOKUP(VLOOKUP(Y1483,Tbl_Effect[],3,FALSE),EffectName[],IFERROR(MATCH(UI!$B$1,EffectName[#Headers],0),2),FALSE),"")</f>
        <v/>
      </c>
      <c r="AA1483" t="str">
        <f t="shared" si="161"/>
        <v/>
      </c>
      <c r="AB1483">
        <v>0</v>
      </c>
      <c r="AC1483" t="str">
        <f>IF(AB1483&lt;&gt;0,VLOOKUP(VLOOKUP(AB1483,Tbl_Effect[],3,FALSE),EffectName[],IFERROR(MATCH(UI!$B$1,EffectName[#Headers],0),2),FALSE),"")</f>
        <v/>
      </c>
    </row>
    <row r="1484" spans="8:29" x14ac:dyDescent="0.4">
      <c r="H1484" t="str">
        <f t="shared" si="158"/>
        <v/>
      </c>
      <c r="I1484">
        <v>0</v>
      </c>
      <c r="J1484" t="str">
        <f>_xlfn.IFNA(IF(I1484&lt;&gt;0,VLOOKUP(VLOOKUP(I1484,Tbl_Equip[],2,FALSE),Tbl_Color[],IFERROR(MATCH(UI!$B$1,Tbl_Color[#Headers],0),2),FALSE),""),"Unset")</f>
        <v/>
      </c>
      <c r="K1484" t="str">
        <f>_xlfn.IFNA(IF(I1484&lt;&gt;0,VLOOKUP(I1484,ItemText[],IFERROR(MATCH(UI!$B$1,ItemText[#Headers],0),2),FALSE),""),"Unset")</f>
        <v/>
      </c>
      <c r="M1484">
        <v>0</v>
      </c>
      <c r="P1484">
        <v>0</v>
      </c>
      <c r="S1484">
        <v>0</v>
      </c>
      <c r="T1484" t="str">
        <f>IF(VALUE(S1484)=0,"",VLOOKUP(VLOOKUP(S1484,Tbl_Effect[],3,FALSE),EffectName[],IFERROR(MATCH(UI!$B$1,EffectName[#Headers],0),2),FALSE))</f>
        <v/>
      </c>
      <c r="U1484" t="str">
        <f t="shared" si="159"/>
        <v/>
      </c>
      <c r="V1484">
        <v>0</v>
      </c>
      <c r="W1484" t="str">
        <f>IF(V1484&lt;&gt;0,VLOOKUP(VLOOKUP(V1484,Tbl_Effect[],3,FALSE),EffectName[],IFERROR(MATCH(UI!$B$1,EffectName[#Headers],0),2),FALSE),"")</f>
        <v/>
      </c>
      <c r="X1484" t="str">
        <f t="shared" si="160"/>
        <v/>
      </c>
      <c r="Y1484">
        <v>0</v>
      </c>
      <c r="Z1484" t="str">
        <f>IF(Y1484&lt;&gt;0,VLOOKUP(VLOOKUP(Y1484,Tbl_Effect[],3,FALSE),EffectName[],IFERROR(MATCH(UI!$B$1,EffectName[#Headers],0),2),FALSE),"")</f>
        <v/>
      </c>
      <c r="AA1484" t="str">
        <f t="shared" si="161"/>
        <v/>
      </c>
      <c r="AB1484">
        <v>0</v>
      </c>
      <c r="AC1484" t="str">
        <f>IF(AB1484&lt;&gt;0,VLOOKUP(VLOOKUP(AB1484,Tbl_Effect[],3,FALSE),EffectName[],IFERROR(MATCH(UI!$B$1,EffectName[#Headers],0),2),FALSE),"")</f>
        <v/>
      </c>
    </row>
    <row r="1485" spans="8:29" x14ac:dyDescent="0.4">
      <c r="H1485" t="str">
        <f t="shared" si="158"/>
        <v/>
      </c>
      <c r="I1485">
        <v>0</v>
      </c>
      <c r="J1485" t="str">
        <f>_xlfn.IFNA(IF(I1485&lt;&gt;0,VLOOKUP(VLOOKUP(I1485,Tbl_Equip[],2,FALSE),Tbl_Color[],IFERROR(MATCH(UI!$B$1,Tbl_Color[#Headers],0),2),FALSE),""),"Unset")</f>
        <v/>
      </c>
      <c r="K1485" t="str">
        <f>_xlfn.IFNA(IF(I1485&lt;&gt;0,VLOOKUP(I1485,ItemText[],IFERROR(MATCH(UI!$B$1,ItemText[#Headers],0),2),FALSE),""),"Unset")</f>
        <v/>
      </c>
      <c r="M1485">
        <v>0</v>
      </c>
      <c r="P1485">
        <v>0</v>
      </c>
      <c r="S1485">
        <v>0</v>
      </c>
      <c r="T1485" t="str">
        <f>IF(VALUE(S1485)=0,"",VLOOKUP(VLOOKUP(S1485,Tbl_Effect[],3,FALSE),EffectName[],IFERROR(MATCH(UI!$B$1,EffectName[#Headers],0),2),FALSE))</f>
        <v/>
      </c>
      <c r="U1485" t="str">
        <f t="shared" si="159"/>
        <v/>
      </c>
      <c r="V1485">
        <v>0</v>
      </c>
      <c r="W1485" t="str">
        <f>IF(V1485&lt;&gt;0,VLOOKUP(VLOOKUP(V1485,Tbl_Effect[],3,FALSE),EffectName[],IFERROR(MATCH(UI!$B$1,EffectName[#Headers],0),2),FALSE),"")</f>
        <v/>
      </c>
      <c r="X1485" t="str">
        <f t="shared" si="160"/>
        <v/>
      </c>
      <c r="Y1485">
        <v>0</v>
      </c>
      <c r="Z1485" t="str">
        <f>IF(Y1485&lt;&gt;0,VLOOKUP(VLOOKUP(Y1485,Tbl_Effect[],3,FALSE),EffectName[],IFERROR(MATCH(UI!$B$1,EffectName[#Headers],0),2),FALSE),"")</f>
        <v/>
      </c>
      <c r="AA1485" t="str">
        <f t="shared" si="161"/>
        <v/>
      </c>
      <c r="AB1485">
        <v>0</v>
      </c>
      <c r="AC1485" t="str">
        <f>IF(AB1485&lt;&gt;0,VLOOKUP(VLOOKUP(AB1485,Tbl_Effect[],3,FALSE),EffectName[],IFERROR(MATCH(UI!$B$1,EffectName[#Headers],0),2),FALSE),"")</f>
        <v/>
      </c>
    </row>
    <row r="1486" spans="8:29" x14ac:dyDescent="0.4">
      <c r="H1486" t="str">
        <f t="shared" si="158"/>
        <v/>
      </c>
      <c r="I1486">
        <v>0</v>
      </c>
      <c r="J1486" t="str">
        <f>_xlfn.IFNA(IF(I1486&lt;&gt;0,VLOOKUP(VLOOKUP(I1486,Tbl_Equip[],2,FALSE),Tbl_Color[],IFERROR(MATCH(UI!$B$1,Tbl_Color[#Headers],0),2),FALSE),""),"Unset")</f>
        <v/>
      </c>
      <c r="K1486" t="str">
        <f>_xlfn.IFNA(IF(I1486&lt;&gt;0,VLOOKUP(I1486,ItemText[],IFERROR(MATCH(UI!$B$1,ItemText[#Headers],0),2),FALSE),""),"Unset")</f>
        <v/>
      </c>
      <c r="M1486">
        <v>0</v>
      </c>
      <c r="P1486">
        <v>0</v>
      </c>
      <c r="S1486">
        <v>0</v>
      </c>
      <c r="T1486" t="str">
        <f>IF(VALUE(S1486)=0,"",VLOOKUP(VLOOKUP(S1486,Tbl_Effect[],3,FALSE),EffectName[],IFERROR(MATCH(UI!$B$1,EffectName[#Headers],0),2),FALSE))</f>
        <v/>
      </c>
      <c r="U1486" t="str">
        <f t="shared" si="159"/>
        <v/>
      </c>
      <c r="V1486">
        <v>0</v>
      </c>
      <c r="W1486" t="str">
        <f>IF(V1486&lt;&gt;0,VLOOKUP(VLOOKUP(V1486,Tbl_Effect[],3,FALSE),EffectName[],IFERROR(MATCH(UI!$B$1,EffectName[#Headers],0),2),FALSE),"")</f>
        <v/>
      </c>
      <c r="X1486" t="str">
        <f t="shared" si="160"/>
        <v/>
      </c>
      <c r="Y1486">
        <v>0</v>
      </c>
      <c r="Z1486" t="str">
        <f>IF(Y1486&lt;&gt;0,VLOOKUP(VLOOKUP(Y1486,Tbl_Effect[],3,FALSE),EffectName[],IFERROR(MATCH(UI!$B$1,EffectName[#Headers],0),2),FALSE),"")</f>
        <v/>
      </c>
      <c r="AA1486" t="str">
        <f t="shared" si="161"/>
        <v/>
      </c>
      <c r="AB1486">
        <v>0</v>
      </c>
      <c r="AC1486" t="str">
        <f>IF(AB1486&lt;&gt;0,VLOOKUP(VLOOKUP(AB1486,Tbl_Effect[],3,FALSE),EffectName[],IFERROR(MATCH(UI!$B$1,EffectName[#Headers],0),2),FALSE),"")</f>
        <v/>
      </c>
    </row>
    <row r="1487" spans="8:29" x14ac:dyDescent="0.4">
      <c r="H1487" t="str">
        <f t="shared" si="158"/>
        <v/>
      </c>
      <c r="I1487">
        <v>0</v>
      </c>
      <c r="J1487" t="str">
        <f>_xlfn.IFNA(IF(I1487&lt;&gt;0,VLOOKUP(VLOOKUP(I1487,Tbl_Equip[],2,FALSE),Tbl_Color[],IFERROR(MATCH(UI!$B$1,Tbl_Color[#Headers],0),2),FALSE),""),"Unset")</f>
        <v/>
      </c>
      <c r="K1487" t="str">
        <f>_xlfn.IFNA(IF(I1487&lt;&gt;0,VLOOKUP(I1487,ItemText[],IFERROR(MATCH(UI!$B$1,ItemText[#Headers],0),2),FALSE),""),"Unset")</f>
        <v/>
      </c>
      <c r="M1487">
        <v>0</v>
      </c>
      <c r="P1487">
        <v>0</v>
      </c>
      <c r="S1487">
        <v>0</v>
      </c>
      <c r="T1487" t="str">
        <f>IF(VALUE(S1487)=0,"",VLOOKUP(VLOOKUP(S1487,Tbl_Effect[],3,FALSE),EffectName[],IFERROR(MATCH(UI!$B$1,EffectName[#Headers],0),2),FALSE))</f>
        <v/>
      </c>
      <c r="U1487" t="str">
        <f t="shared" si="159"/>
        <v/>
      </c>
      <c r="V1487">
        <v>0</v>
      </c>
      <c r="W1487" t="str">
        <f>IF(V1487&lt;&gt;0,VLOOKUP(VLOOKUP(V1487,Tbl_Effect[],3,FALSE),EffectName[],IFERROR(MATCH(UI!$B$1,EffectName[#Headers],0),2),FALSE),"")</f>
        <v/>
      </c>
      <c r="X1487" t="str">
        <f t="shared" si="160"/>
        <v/>
      </c>
      <c r="Y1487">
        <v>0</v>
      </c>
      <c r="Z1487" t="str">
        <f>IF(Y1487&lt;&gt;0,VLOOKUP(VLOOKUP(Y1487,Tbl_Effect[],3,FALSE),EffectName[],IFERROR(MATCH(UI!$B$1,EffectName[#Headers],0),2),FALSE),"")</f>
        <v/>
      </c>
      <c r="AA1487" t="str">
        <f t="shared" si="161"/>
        <v/>
      </c>
      <c r="AB1487">
        <v>0</v>
      </c>
      <c r="AC1487" t="str">
        <f>IF(AB1487&lt;&gt;0,VLOOKUP(VLOOKUP(AB1487,Tbl_Effect[],3,FALSE),EffectName[],IFERROR(MATCH(UI!$B$1,EffectName[#Headers],0),2),FALSE),"")</f>
        <v/>
      </c>
    </row>
    <row r="1488" spans="8:29" x14ac:dyDescent="0.4">
      <c r="H1488" t="str">
        <f t="shared" si="158"/>
        <v/>
      </c>
      <c r="I1488">
        <v>0</v>
      </c>
      <c r="J1488" t="str">
        <f>_xlfn.IFNA(IF(I1488&lt;&gt;0,VLOOKUP(VLOOKUP(I1488,Tbl_Equip[],2,FALSE),Tbl_Color[],IFERROR(MATCH(UI!$B$1,Tbl_Color[#Headers],0),2),FALSE),""),"Unset")</f>
        <v/>
      </c>
      <c r="K1488" t="str">
        <f>_xlfn.IFNA(IF(I1488&lt;&gt;0,VLOOKUP(I1488,ItemText[],IFERROR(MATCH(UI!$B$1,ItemText[#Headers],0),2),FALSE),""),"Unset")</f>
        <v/>
      </c>
      <c r="M1488">
        <v>0</v>
      </c>
      <c r="P1488">
        <v>0</v>
      </c>
      <c r="S1488">
        <v>0</v>
      </c>
      <c r="T1488" t="str">
        <f>IF(VALUE(S1488)=0,"",VLOOKUP(VLOOKUP(S1488,Tbl_Effect[],3,FALSE),EffectName[],IFERROR(MATCH(UI!$B$1,EffectName[#Headers],0),2),FALSE))</f>
        <v/>
      </c>
      <c r="U1488" t="str">
        <f t="shared" si="159"/>
        <v/>
      </c>
      <c r="V1488">
        <v>0</v>
      </c>
      <c r="W1488" t="str">
        <f>IF(V1488&lt;&gt;0,VLOOKUP(VLOOKUP(V1488,Tbl_Effect[],3,FALSE),EffectName[],IFERROR(MATCH(UI!$B$1,EffectName[#Headers],0),2),FALSE),"")</f>
        <v/>
      </c>
      <c r="X1488" t="str">
        <f t="shared" si="160"/>
        <v/>
      </c>
      <c r="Y1488">
        <v>0</v>
      </c>
      <c r="Z1488" t="str">
        <f>IF(Y1488&lt;&gt;0,VLOOKUP(VLOOKUP(Y1488,Tbl_Effect[],3,FALSE),EffectName[],IFERROR(MATCH(UI!$B$1,EffectName[#Headers],0),2),FALSE),"")</f>
        <v/>
      </c>
      <c r="AA1488" t="str">
        <f t="shared" si="161"/>
        <v/>
      </c>
      <c r="AB1488">
        <v>0</v>
      </c>
      <c r="AC1488" t="str">
        <f>IF(AB1488&lt;&gt;0,VLOOKUP(VLOOKUP(AB1488,Tbl_Effect[],3,FALSE),EffectName[],IFERROR(MATCH(UI!$B$1,EffectName[#Headers],0),2),FALSE),"")</f>
        <v/>
      </c>
    </row>
    <row r="1489" spans="8:29" x14ac:dyDescent="0.4">
      <c r="H1489" t="str">
        <f t="shared" si="158"/>
        <v/>
      </c>
      <c r="I1489">
        <v>0</v>
      </c>
      <c r="J1489" t="str">
        <f>_xlfn.IFNA(IF(I1489&lt;&gt;0,VLOOKUP(VLOOKUP(I1489,Tbl_Equip[],2,FALSE),Tbl_Color[],IFERROR(MATCH(UI!$B$1,Tbl_Color[#Headers],0),2),FALSE),""),"Unset")</f>
        <v/>
      </c>
      <c r="K1489" t="str">
        <f>_xlfn.IFNA(IF(I1489&lt;&gt;0,VLOOKUP(I1489,ItemText[],IFERROR(MATCH(UI!$B$1,ItemText[#Headers],0),2),FALSE),""),"Unset")</f>
        <v/>
      </c>
      <c r="M1489">
        <v>0</v>
      </c>
      <c r="P1489">
        <v>0</v>
      </c>
      <c r="S1489">
        <v>0</v>
      </c>
      <c r="T1489" t="str">
        <f>IF(VALUE(S1489)=0,"",VLOOKUP(VLOOKUP(S1489,Tbl_Effect[],3,FALSE),EffectName[],IFERROR(MATCH(UI!$B$1,EffectName[#Headers],0),2),FALSE))</f>
        <v/>
      </c>
      <c r="U1489" t="str">
        <f t="shared" si="159"/>
        <v/>
      </c>
      <c r="V1489">
        <v>0</v>
      </c>
      <c r="W1489" t="str">
        <f>IF(V1489&lt;&gt;0,VLOOKUP(VLOOKUP(V1489,Tbl_Effect[],3,FALSE),EffectName[],IFERROR(MATCH(UI!$B$1,EffectName[#Headers],0),2),FALSE),"")</f>
        <v/>
      </c>
      <c r="X1489" t="str">
        <f t="shared" si="160"/>
        <v/>
      </c>
      <c r="Y1489">
        <v>0</v>
      </c>
      <c r="Z1489" t="str">
        <f>IF(Y1489&lt;&gt;0,VLOOKUP(VLOOKUP(Y1489,Tbl_Effect[],3,FALSE),EffectName[],IFERROR(MATCH(UI!$B$1,EffectName[#Headers],0),2),FALSE),"")</f>
        <v/>
      </c>
      <c r="AA1489" t="str">
        <f t="shared" si="161"/>
        <v/>
      </c>
      <c r="AB1489">
        <v>0</v>
      </c>
      <c r="AC1489" t="str">
        <f>IF(AB1489&lt;&gt;0,VLOOKUP(VLOOKUP(AB1489,Tbl_Effect[],3,FALSE),EffectName[],IFERROR(MATCH(UI!$B$1,EffectName[#Headers],0),2),FALSE),"")</f>
        <v/>
      </c>
    </row>
    <row r="1490" spans="8:29" x14ac:dyDescent="0.4">
      <c r="H1490" t="str">
        <f t="shared" si="158"/>
        <v/>
      </c>
      <c r="I1490">
        <v>0</v>
      </c>
      <c r="J1490" t="str">
        <f>_xlfn.IFNA(IF(I1490&lt;&gt;0,VLOOKUP(VLOOKUP(I1490,Tbl_Equip[],2,FALSE),Tbl_Color[],IFERROR(MATCH(UI!$B$1,Tbl_Color[#Headers],0),2),FALSE),""),"Unset")</f>
        <v/>
      </c>
      <c r="K1490" t="str">
        <f>_xlfn.IFNA(IF(I1490&lt;&gt;0,VLOOKUP(I1490,ItemText[],IFERROR(MATCH(UI!$B$1,ItemText[#Headers],0),2),FALSE),""),"Unset")</f>
        <v/>
      </c>
      <c r="M1490">
        <v>0</v>
      </c>
      <c r="P1490">
        <v>0</v>
      </c>
      <c r="S1490">
        <v>0</v>
      </c>
      <c r="T1490" t="str">
        <f>IF(VALUE(S1490)=0,"",VLOOKUP(VLOOKUP(S1490,Tbl_Effect[],3,FALSE),EffectName[],IFERROR(MATCH(UI!$B$1,EffectName[#Headers],0),2),FALSE))</f>
        <v/>
      </c>
      <c r="U1490" t="str">
        <f t="shared" si="159"/>
        <v/>
      </c>
      <c r="V1490">
        <v>0</v>
      </c>
      <c r="W1490" t="str">
        <f>IF(V1490&lt;&gt;0,VLOOKUP(VLOOKUP(V1490,Tbl_Effect[],3,FALSE),EffectName[],IFERROR(MATCH(UI!$B$1,EffectName[#Headers],0),2),FALSE),"")</f>
        <v/>
      </c>
      <c r="X1490" t="str">
        <f t="shared" si="160"/>
        <v/>
      </c>
      <c r="Y1490">
        <v>0</v>
      </c>
      <c r="Z1490" t="str">
        <f>IF(Y1490&lt;&gt;0,VLOOKUP(VLOOKUP(Y1490,Tbl_Effect[],3,FALSE),EffectName[],IFERROR(MATCH(UI!$B$1,EffectName[#Headers],0),2),FALSE),"")</f>
        <v/>
      </c>
      <c r="AA1490" t="str">
        <f t="shared" si="161"/>
        <v/>
      </c>
      <c r="AB1490">
        <v>0</v>
      </c>
      <c r="AC1490" t="str">
        <f>IF(AB1490&lt;&gt;0,VLOOKUP(VLOOKUP(AB1490,Tbl_Effect[],3,FALSE),EffectName[],IFERROR(MATCH(UI!$B$1,EffectName[#Headers],0),2),FALSE),"")</f>
        <v/>
      </c>
    </row>
    <row r="1491" spans="8:29" x14ac:dyDescent="0.4">
      <c r="H1491" t="str">
        <f t="shared" si="158"/>
        <v/>
      </c>
      <c r="I1491">
        <v>0</v>
      </c>
      <c r="J1491" t="str">
        <f>_xlfn.IFNA(IF(I1491&lt;&gt;0,VLOOKUP(VLOOKUP(I1491,Tbl_Equip[],2,FALSE),Tbl_Color[],IFERROR(MATCH(UI!$B$1,Tbl_Color[#Headers],0),2),FALSE),""),"Unset")</f>
        <v/>
      </c>
      <c r="K1491" t="str">
        <f>_xlfn.IFNA(IF(I1491&lt;&gt;0,VLOOKUP(I1491,ItemText[],IFERROR(MATCH(UI!$B$1,ItemText[#Headers],0),2),FALSE),""),"Unset")</f>
        <v/>
      </c>
      <c r="M1491">
        <v>0</v>
      </c>
      <c r="P1491">
        <v>0</v>
      </c>
      <c r="S1491">
        <v>0</v>
      </c>
      <c r="T1491" t="str">
        <f>IF(VALUE(S1491)=0,"",VLOOKUP(VLOOKUP(S1491,Tbl_Effect[],3,FALSE),EffectName[],IFERROR(MATCH(UI!$B$1,EffectName[#Headers],0),2),FALSE))</f>
        <v/>
      </c>
      <c r="U1491" t="str">
        <f t="shared" si="159"/>
        <v/>
      </c>
      <c r="V1491">
        <v>0</v>
      </c>
      <c r="W1491" t="str">
        <f>IF(V1491&lt;&gt;0,VLOOKUP(VLOOKUP(V1491,Tbl_Effect[],3,FALSE),EffectName[],IFERROR(MATCH(UI!$B$1,EffectName[#Headers],0),2),FALSE),"")</f>
        <v/>
      </c>
      <c r="X1491" t="str">
        <f t="shared" si="160"/>
        <v/>
      </c>
      <c r="Y1491">
        <v>0</v>
      </c>
      <c r="Z1491" t="str">
        <f>IF(Y1491&lt;&gt;0,VLOOKUP(VLOOKUP(Y1491,Tbl_Effect[],3,FALSE),EffectName[],IFERROR(MATCH(UI!$B$1,EffectName[#Headers],0),2),FALSE),"")</f>
        <v/>
      </c>
      <c r="AA1491" t="str">
        <f t="shared" si="161"/>
        <v/>
      </c>
      <c r="AB1491">
        <v>0</v>
      </c>
      <c r="AC1491" t="str">
        <f>IF(AB1491&lt;&gt;0,VLOOKUP(VLOOKUP(AB1491,Tbl_Effect[],3,FALSE),EffectName[],IFERROR(MATCH(UI!$B$1,EffectName[#Headers],0),2),FALSE),"")</f>
        <v/>
      </c>
    </row>
    <row r="1492" spans="8:29" x14ac:dyDescent="0.4">
      <c r="H1492" t="str">
        <f t="shared" si="158"/>
        <v/>
      </c>
      <c r="I1492">
        <v>0</v>
      </c>
      <c r="J1492" t="str">
        <f>_xlfn.IFNA(IF(I1492&lt;&gt;0,VLOOKUP(VLOOKUP(I1492,Tbl_Equip[],2,FALSE),Tbl_Color[],IFERROR(MATCH(UI!$B$1,Tbl_Color[#Headers],0),2),FALSE),""),"Unset")</f>
        <v/>
      </c>
      <c r="K1492" t="str">
        <f>_xlfn.IFNA(IF(I1492&lt;&gt;0,VLOOKUP(I1492,ItemText[],IFERROR(MATCH(UI!$B$1,ItemText[#Headers],0),2),FALSE),""),"Unset")</f>
        <v/>
      </c>
      <c r="M1492">
        <v>0</v>
      </c>
      <c r="P1492">
        <v>0</v>
      </c>
      <c r="S1492">
        <v>0</v>
      </c>
      <c r="T1492" t="str">
        <f>IF(VALUE(S1492)=0,"",VLOOKUP(VLOOKUP(S1492,Tbl_Effect[],3,FALSE),EffectName[],IFERROR(MATCH(UI!$B$1,EffectName[#Headers],0),2),FALSE))</f>
        <v/>
      </c>
      <c r="U1492" t="str">
        <f t="shared" si="159"/>
        <v/>
      </c>
      <c r="V1492">
        <v>0</v>
      </c>
      <c r="W1492" t="str">
        <f>IF(V1492&lt;&gt;0,VLOOKUP(VLOOKUP(V1492,Tbl_Effect[],3,FALSE),EffectName[],IFERROR(MATCH(UI!$B$1,EffectName[#Headers],0),2),FALSE),"")</f>
        <v/>
      </c>
      <c r="X1492" t="str">
        <f t="shared" si="160"/>
        <v/>
      </c>
      <c r="Y1492">
        <v>0</v>
      </c>
      <c r="Z1492" t="str">
        <f>IF(Y1492&lt;&gt;0,VLOOKUP(VLOOKUP(Y1492,Tbl_Effect[],3,FALSE),EffectName[],IFERROR(MATCH(UI!$B$1,EffectName[#Headers],0),2),FALSE),"")</f>
        <v/>
      </c>
      <c r="AA1492" t="str">
        <f t="shared" si="161"/>
        <v/>
      </c>
      <c r="AB1492">
        <v>0</v>
      </c>
      <c r="AC1492" t="str">
        <f>IF(AB1492&lt;&gt;0,VLOOKUP(VLOOKUP(AB1492,Tbl_Effect[],3,FALSE),EffectName[],IFERROR(MATCH(UI!$B$1,EffectName[#Headers],0),2),FALSE),"")</f>
        <v/>
      </c>
    </row>
    <row r="1493" spans="8:29" x14ac:dyDescent="0.4">
      <c r="H1493" t="str">
        <f t="shared" si="158"/>
        <v/>
      </c>
      <c r="I1493">
        <v>0</v>
      </c>
      <c r="J1493" t="str">
        <f>_xlfn.IFNA(IF(I1493&lt;&gt;0,VLOOKUP(VLOOKUP(I1493,Tbl_Equip[],2,FALSE),Tbl_Color[],IFERROR(MATCH(UI!$B$1,Tbl_Color[#Headers],0),2),FALSE),""),"Unset")</f>
        <v/>
      </c>
      <c r="K1493" t="str">
        <f>_xlfn.IFNA(IF(I1493&lt;&gt;0,VLOOKUP(I1493,ItemText[],IFERROR(MATCH(UI!$B$1,ItemText[#Headers],0),2),FALSE),""),"Unset")</f>
        <v/>
      </c>
      <c r="M1493">
        <v>0</v>
      </c>
      <c r="P1493">
        <v>0</v>
      </c>
      <c r="S1493">
        <v>0</v>
      </c>
      <c r="T1493" t="str">
        <f>IF(VALUE(S1493)=0,"",VLOOKUP(VLOOKUP(S1493,Tbl_Effect[],3,FALSE),EffectName[],IFERROR(MATCH(UI!$B$1,EffectName[#Headers],0),2),FALSE))</f>
        <v/>
      </c>
      <c r="U1493" t="str">
        <f t="shared" si="159"/>
        <v/>
      </c>
      <c r="V1493">
        <v>0</v>
      </c>
      <c r="W1493" t="str">
        <f>IF(V1493&lt;&gt;0,VLOOKUP(VLOOKUP(V1493,Tbl_Effect[],3,FALSE),EffectName[],IFERROR(MATCH(UI!$B$1,EffectName[#Headers],0),2),FALSE),"")</f>
        <v/>
      </c>
      <c r="X1493" t="str">
        <f t="shared" si="160"/>
        <v/>
      </c>
      <c r="Y1493">
        <v>0</v>
      </c>
      <c r="Z1493" t="str">
        <f>IF(Y1493&lt;&gt;0,VLOOKUP(VLOOKUP(Y1493,Tbl_Effect[],3,FALSE),EffectName[],IFERROR(MATCH(UI!$B$1,EffectName[#Headers],0),2),FALSE),"")</f>
        <v/>
      </c>
      <c r="AA1493" t="str">
        <f t="shared" si="161"/>
        <v/>
      </c>
      <c r="AB1493">
        <v>0</v>
      </c>
      <c r="AC1493" t="str">
        <f>IF(AB1493&lt;&gt;0,VLOOKUP(VLOOKUP(AB1493,Tbl_Effect[],3,FALSE),EffectName[],IFERROR(MATCH(UI!$B$1,EffectName[#Headers],0),2),FALSE),"")</f>
        <v/>
      </c>
    </row>
    <row r="1494" spans="8:29" x14ac:dyDescent="0.4">
      <c r="H1494" t="str">
        <f t="shared" si="158"/>
        <v/>
      </c>
      <c r="I1494">
        <v>0</v>
      </c>
      <c r="J1494" t="str">
        <f>_xlfn.IFNA(IF(I1494&lt;&gt;0,VLOOKUP(VLOOKUP(I1494,Tbl_Equip[],2,FALSE),Tbl_Color[],IFERROR(MATCH(UI!$B$1,Tbl_Color[#Headers],0),2),FALSE),""),"Unset")</f>
        <v/>
      </c>
      <c r="K1494" t="str">
        <f>_xlfn.IFNA(IF(I1494&lt;&gt;0,VLOOKUP(I1494,ItemText[],IFERROR(MATCH(UI!$B$1,ItemText[#Headers],0),2),FALSE),""),"Unset")</f>
        <v/>
      </c>
      <c r="M1494">
        <v>0</v>
      </c>
      <c r="P1494">
        <v>0</v>
      </c>
      <c r="S1494">
        <v>0</v>
      </c>
      <c r="T1494" t="str">
        <f>IF(VALUE(S1494)=0,"",VLOOKUP(VLOOKUP(S1494,Tbl_Effect[],3,FALSE),EffectName[],IFERROR(MATCH(UI!$B$1,EffectName[#Headers],0),2),FALSE))</f>
        <v/>
      </c>
      <c r="U1494" t="str">
        <f t="shared" si="159"/>
        <v/>
      </c>
      <c r="V1494">
        <v>0</v>
      </c>
      <c r="W1494" t="str">
        <f>IF(V1494&lt;&gt;0,VLOOKUP(VLOOKUP(V1494,Tbl_Effect[],3,FALSE),EffectName[],IFERROR(MATCH(UI!$B$1,EffectName[#Headers],0),2),FALSE),"")</f>
        <v/>
      </c>
      <c r="X1494" t="str">
        <f t="shared" si="160"/>
        <v/>
      </c>
      <c r="Y1494">
        <v>0</v>
      </c>
      <c r="Z1494" t="str">
        <f>IF(Y1494&lt;&gt;0,VLOOKUP(VLOOKUP(Y1494,Tbl_Effect[],3,FALSE),EffectName[],IFERROR(MATCH(UI!$B$1,EffectName[#Headers],0),2),FALSE),"")</f>
        <v/>
      </c>
      <c r="AA1494" t="str">
        <f t="shared" si="161"/>
        <v/>
      </c>
      <c r="AB1494">
        <v>0</v>
      </c>
      <c r="AC1494" t="str">
        <f>IF(AB1494&lt;&gt;0,VLOOKUP(VLOOKUP(AB1494,Tbl_Effect[],3,FALSE),EffectName[],IFERROR(MATCH(UI!$B$1,EffectName[#Headers],0),2),FALSE),"")</f>
        <v/>
      </c>
    </row>
    <row r="1495" spans="8:29" x14ac:dyDescent="0.4">
      <c r="H1495" t="str">
        <f t="shared" si="158"/>
        <v/>
      </c>
      <c r="I1495">
        <v>0</v>
      </c>
      <c r="J1495" t="str">
        <f>_xlfn.IFNA(IF(I1495&lt;&gt;0,VLOOKUP(VLOOKUP(I1495,Tbl_Equip[],2,FALSE),Tbl_Color[],IFERROR(MATCH(UI!$B$1,Tbl_Color[#Headers],0),2),FALSE),""),"Unset")</f>
        <v/>
      </c>
      <c r="K1495" t="str">
        <f>_xlfn.IFNA(IF(I1495&lt;&gt;0,VLOOKUP(I1495,ItemText[],IFERROR(MATCH(UI!$B$1,ItemText[#Headers],0),2),FALSE),""),"Unset")</f>
        <v/>
      </c>
      <c r="M1495">
        <v>0</v>
      </c>
      <c r="P1495">
        <v>0</v>
      </c>
      <c r="S1495">
        <v>0</v>
      </c>
      <c r="T1495" t="str">
        <f>IF(VALUE(S1495)=0,"",VLOOKUP(VLOOKUP(S1495,Tbl_Effect[],3,FALSE),EffectName[],IFERROR(MATCH(UI!$B$1,EffectName[#Headers],0),2),FALSE))</f>
        <v/>
      </c>
      <c r="U1495" t="str">
        <f t="shared" si="159"/>
        <v/>
      </c>
      <c r="V1495">
        <v>0</v>
      </c>
      <c r="W1495" t="str">
        <f>IF(V1495&lt;&gt;0,VLOOKUP(VLOOKUP(V1495,Tbl_Effect[],3,FALSE),EffectName[],IFERROR(MATCH(UI!$B$1,EffectName[#Headers],0),2),FALSE),"")</f>
        <v/>
      </c>
      <c r="X1495" t="str">
        <f t="shared" si="160"/>
        <v/>
      </c>
      <c r="Y1495">
        <v>0</v>
      </c>
      <c r="Z1495" t="str">
        <f>IF(Y1495&lt;&gt;0,VLOOKUP(VLOOKUP(Y1495,Tbl_Effect[],3,FALSE),EffectName[],IFERROR(MATCH(UI!$B$1,EffectName[#Headers],0),2),FALSE),"")</f>
        <v/>
      </c>
      <c r="AA1495" t="str">
        <f t="shared" si="161"/>
        <v/>
      </c>
      <c r="AB1495">
        <v>0</v>
      </c>
      <c r="AC1495" t="str">
        <f>IF(AB1495&lt;&gt;0,VLOOKUP(VLOOKUP(AB1495,Tbl_Effect[],3,FALSE),EffectName[],IFERROR(MATCH(UI!$B$1,EffectName[#Headers],0),2),FALSE),"")</f>
        <v/>
      </c>
    </row>
    <row r="1496" spans="8:29" x14ac:dyDescent="0.4">
      <c r="H1496" t="str">
        <f t="shared" si="158"/>
        <v/>
      </c>
      <c r="I1496">
        <v>0</v>
      </c>
      <c r="J1496" t="str">
        <f>_xlfn.IFNA(IF(I1496&lt;&gt;0,VLOOKUP(VLOOKUP(I1496,Tbl_Equip[],2,FALSE),Tbl_Color[],IFERROR(MATCH(UI!$B$1,Tbl_Color[#Headers],0),2),FALSE),""),"Unset")</f>
        <v/>
      </c>
      <c r="K1496" t="str">
        <f>_xlfn.IFNA(IF(I1496&lt;&gt;0,VLOOKUP(I1496,ItemText[],IFERROR(MATCH(UI!$B$1,ItemText[#Headers],0),2),FALSE),""),"Unset")</f>
        <v/>
      </c>
      <c r="M1496">
        <v>0</v>
      </c>
      <c r="P1496">
        <v>0</v>
      </c>
      <c r="S1496">
        <v>0</v>
      </c>
      <c r="T1496" t="str">
        <f>IF(VALUE(S1496)=0,"",VLOOKUP(VLOOKUP(S1496,Tbl_Effect[],3,FALSE),EffectName[],IFERROR(MATCH(UI!$B$1,EffectName[#Headers],0),2),FALSE))</f>
        <v/>
      </c>
      <c r="U1496" t="str">
        <f t="shared" si="159"/>
        <v/>
      </c>
      <c r="V1496">
        <v>0</v>
      </c>
      <c r="W1496" t="str">
        <f>IF(V1496&lt;&gt;0,VLOOKUP(VLOOKUP(V1496,Tbl_Effect[],3,FALSE),EffectName[],IFERROR(MATCH(UI!$B$1,EffectName[#Headers],0),2),FALSE),"")</f>
        <v/>
      </c>
      <c r="X1496" t="str">
        <f t="shared" si="160"/>
        <v/>
      </c>
      <c r="Y1496">
        <v>0</v>
      </c>
      <c r="Z1496" t="str">
        <f>IF(Y1496&lt;&gt;0,VLOOKUP(VLOOKUP(Y1496,Tbl_Effect[],3,FALSE),EffectName[],IFERROR(MATCH(UI!$B$1,EffectName[#Headers],0),2),FALSE),"")</f>
        <v/>
      </c>
      <c r="AA1496" t="str">
        <f t="shared" si="161"/>
        <v/>
      </c>
      <c r="AB1496">
        <v>0</v>
      </c>
      <c r="AC1496" t="str">
        <f>IF(AB1496&lt;&gt;0,VLOOKUP(VLOOKUP(AB1496,Tbl_Effect[],3,FALSE),EffectName[],IFERROR(MATCH(UI!$B$1,EffectName[#Headers],0),2),FALSE),"")</f>
        <v/>
      </c>
    </row>
    <row r="1497" spans="8:29" x14ac:dyDescent="0.4">
      <c r="H1497" t="str">
        <f t="shared" si="158"/>
        <v/>
      </c>
      <c r="I1497">
        <v>0</v>
      </c>
      <c r="J1497" t="str">
        <f>_xlfn.IFNA(IF(I1497&lt;&gt;0,VLOOKUP(VLOOKUP(I1497,Tbl_Equip[],2,FALSE),Tbl_Color[],IFERROR(MATCH(UI!$B$1,Tbl_Color[#Headers],0),2),FALSE),""),"Unset")</f>
        <v/>
      </c>
      <c r="K1497" t="str">
        <f>_xlfn.IFNA(IF(I1497&lt;&gt;0,VLOOKUP(I1497,ItemText[],IFERROR(MATCH(UI!$B$1,ItemText[#Headers],0),2),FALSE),""),"Unset")</f>
        <v/>
      </c>
      <c r="M1497">
        <v>0</v>
      </c>
      <c r="P1497">
        <v>0</v>
      </c>
      <c r="S1497">
        <v>0</v>
      </c>
      <c r="T1497" t="str">
        <f>IF(VALUE(S1497)=0,"",VLOOKUP(VLOOKUP(S1497,Tbl_Effect[],3,FALSE),EffectName[],IFERROR(MATCH(UI!$B$1,EffectName[#Headers],0),2),FALSE))</f>
        <v/>
      </c>
      <c r="U1497" t="str">
        <f t="shared" si="159"/>
        <v/>
      </c>
      <c r="V1497">
        <v>0</v>
      </c>
      <c r="W1497" t="str">
        <f>IF(V1497&lt;&gt;0,VLOOKUP(VLOOKUP(V1497,Tbl_Effect[],3,FALSE),EffectName[],IFERROR(MATCH(UI!$B$1,EffectName[#Headers],0),2),FALSE),"")</f>
        <v/>
      </c>
      <c r="X1497" t="str">
        <f t="shared" si="160"/>
        <v/>
      </c>
      <c r="Y1497">
        <v>0</v>
      </c>
      <c r="Z1497" t="str">
        <f>IF(Y1497&lt;&gt;0,VLOOKUP(VLOOKUP(Y1497,Tbl_Effect[],3,FALSE),EffectName[],IFERROR(MATCH(UI!$B$1,EffectName[#Headers],0),2),FALSE),"")</f>
        <v/>
      </c>
      <c r="AA1497" t="str">
        <f t="shared" si="161"/>
        <v/>
      </c>
      <c r="AB1497">
        <v>0</v>
      </c>
      <c r="AC1497" t="str">
        <f>IF(AB1497&lt;&gt;0,VLOOKUP(VLOOKUP(AB1497,Tbl_Effect[],3,FALSE),EffectName[],IFERROR(MATCH(UI!$B$1,EffectName[#Headers],0),2),FALSE),"")</f>
        <v/>
      </c>
    </row>
    <row r="1498" spans="8:29" x14ac:dyDescent="0.4">
      <c r="H1498" t="str">
        <f t="shared" si="158"/>
        <v/>
      </c>
      <c r="I1498">
        <v>0</v>
      </c>
      <c r="J1498" t="str">
        <f>_xlfn.IFNA(IF(I1498&lt;&gt;0,VLOOKUP(VLOOKUP(I1498,Tbl_Equip[],2,FALSE),Tbl_Color[],IFERROR(MATCH(UI!$B$1,Tbl_Color[#Headers],0),2),FALSE),""),"Unset")</f>
        <v/>
      </c>
      <c r="K1498" t="str">
        <f>_xlfn.IFNA(IF(I1498&lt;&gt;0,VLOOKUP(I1498,ItemText[],IFERROR(MATCH(UI!$B$1,ItemText[#Headers],0),2),FALSE),""),"Unset")</f>
        <v/>
      </c>
      <c r="M1498">
        <v>0</v>
      </c>
      <c r="P1498">
        <v>0</v>
      </c>
      <c r="S1498">
        <v>0</v>
      </c>
      <c r="T1498" t="str">
        <f>IF(VALUE(S1498)=0,"",VLOOKUP(VLOOKUP(S1498,Tbl_Effect[],3,FALSE),EffectName[],IFERROR(MATCH(UI!$B$1,EffectName[#Headers],0),2),FALSE))</f>
        <v/>
      </c>
      <c r="U1498" t="str">
        <f t="shared" si="159"/>
        <v/>
      </c>
      <c r="V1498">
        <v>0</v>
      </c>
      <c r="W1498" t="str">
        <f>IF(V1498&lt;&gt;0,VLOOKUP(VLOOKUP(V1498,Tbl_Effect[],3,FALSE),EffectName[],IFERROR(MATCH(UI!$B$1,EffectName[#Headers],0),2),FALSE),"")</f>
        <v/>
      </c>
      <c r="X1498" t="str">
        <f t="shared" si="160"/>
        <v/>
      </c>
      <c r="Y1498">
        <v>0</v>
      </c>
      <c r="Z1498" t="str">
        <f>IF(Y1498&lt;&gt;0,VLOOKUP(VLOOKUP(Y1498,Tbl_Effect[],3,FALSE),EffectName[],IFERROR(MATCH(UI!$B$1,EffectName[#Headers],0),2),FALSE),"")</f>
        <v/>
      </c>
      <c r="AA1498" t="str">
        <f t="shared" si="161"/>
        <v/>
      </c>
      <c r="AB1498">
        <v>0</v>
      </c>
      <c r="AC1498" t="str">
        <f>IF(AB1498&lt;&gt;0,VLOOKUP(VLOOKUP(AB1498,Tbl_Effect[],3,FALSE),EffectName[],IFERROR(MATCH(UI!$B$1,EffectName[#Headers],0),2),FALSE),"")</f>
        <v/>
      </c>
    </row>
    <row r="1499" spans="8:29" x14ac:dyDescent="0.4">
      <c r="H1499" t="str">
        <f t="shared" si="158"/>
        <v/>
      </c>
      <c r="I1499">
        <v>0</v>
      </c>
      <c r="J1499" t="str">
        <f>_xlfn.IFNA(IF(I1499&lt;&gt;0,VLOOKUP(VLOOKUP(I1499,Tbl_Equip[],2,FALSE),Tbl_Color[],IFERROR(MATCH(UI!$B$1,Tbl_Color[#Headers],0),2),FALSE),""),"Unset")</f>
        <v/>
      </c>
      <c r="K1499" t="str">
        <f>_xlfn.IFNA(IF(I1499&lt;&gt;0,VLOOKUP(I1499,ItemText[],IFERROR(MATCH(UI!$B$1,ItemText[#Headers],0),2),FALSE),""),"Unset")</f>
        <v/>
      </c>
      <c r="M1499">
        <v>0</v>
      </c>
      <c r="P1499">
        <v>0</v>
      </c>
      <c r="S1499">
        <v>0</v>
      </c>
      <c r="T1499" t="str">
        <f>IF(VALUE(S1499)=0,"",VLOOKUP(VLOOKUP(S1499,Tbl_Effect[],3,FALSE),EffectName[],IFERROR(MATCH(UI!$B$1,EffectName[#Headers],0),2),FALSE))</f>
        <v/>
      </c>
      <c r="U1499" t="str">
        <f t="shared" si="159"/>
        <v/>
      </c>
      <c r="V1499">
        <v>0</v>
      </c>
      <c r="W1499" t="str">
        <f>IF(V1499&lt;&gt;0,VLOOKUP(VLOOKUP(V1499,Tbl_Effect[],3,FALSE),EffectName[],IFERROR(MATCH(UI!$B$1,EffectName[#Headers],0),2),FALSE),"")</f>
        <v/>
      </c>
      <c r="X1499" t="str">
        <f t="shared" si="160"/>
        <v/>
      </c>
      <c r="Y1499">
        <v>0</v>
      </c>
      <c r="Z1499" t="str">
        <f>IF(Y1499&lt;&gt;0,VLOOKUP(VLOOKUP(Y1499,Tbl_Effect[],3,FALSE),EffectName[],IFERROR(MATCH(UI!$B$1,EffectName[#Headers],0),2),FALSE),"")</f>
        <v/>
      </c>
      <c r="AA1499" t="str">
        <f t="shared" si="161"/>
        <v/>
      </c>
      <c r="AB1499">
        <v>0</v>
      </c>
      <c r="AC1499" t="str">
        <f>IF(AB1499&lt;&gt;0,VLOOKUP(VLOOKUP(AB1499,Tbl_Effect[],3,FALSE),EffectName[],IFERROR(MATCH(UI!$B$1,EffectName[#Headers],0),2),FALSE),"")</f>
        <v/>
      </c>
    </row>
    <row r="1500" spans="8:29" x14ac:dyDescent="0.4">
      <c r="H1500" t="str">
        <f t="shared" si="158"/>
        <v/>
      </c>
      <c r="I1500">
        <v>0</v>
      </c>
      <c r="J1500" t="str">
        <f>_xlfn.IFNA(IF(I1500&lt;&gt;0,VLOOKUP(VLOOKUP(I1500,Tbl_Equip[],2,FALSE),Tbl_Color[],IFERROR(MATCH(UI!$B$1,Tbl_Color[#Headers],0),2),FALSE),""),"Unset")</f>
        <v/>
      </c>
      <c r="K1500" t="str">
        <f>_xlfn.IFNA(IF(I1500&lt;&gt;0,VLOOKUP(I1500,ItemText[],IFERROR(MATCH(UI!$B$1,ItemText[#Headers],0),2),FALSE),""),"Unset")</f>
        <v/>
      </c>
      <c r="M1500">
        <v>0</v>
      </c>
      <c r="P1500">
        <v>0</v>
      </c>
      <c r="S1500">
        <v>0</v>
      </c>
      <c r="T1500" t="str">
        <f>IF(VALUE(S1500)=0,"",VLOOKUP(VLOOKUP(S1500,Tbl_Effect[],3,FALSE),EffectName[],IFERROR(MATCH(UI!$B$1,EffectName[#Headers],0),2),FALSE))</f>
        <v/>
      </c>
      <c r="U1500" t="str">
        <f t="shared" si="159"/>
        <v/>
      </c>
      <c r="V1500">
        <v>0</v>
      </c>
      <c r="W1500" t="str">
        <f>IF(V1500&lt;&gt;0,VLOOKUP(VLOOKUP(V1500,Tbl_Effect[],3,FALSE),EffectName[],IFERROR(MATCH(UI!$B$1,EffectName[#Headers],0),2),FALSE),"")</f>
        <v/>
      </c>
      <c r="X1500" t="str">
        <f t="shared" si="160"/>
        <v/>
      </c>
      <c r="Y1500">
        <v>0</v>
      </c>
      <c r="Z1500" t="str">
        <f>IF(Y1500&lt;&gt;0,VLOOKUP(VLOOKUP(Y1500,Tbl_Effect[],3,FALSE),EffectName[],IFERROR(MATCH(UI!$B$1,EffectName[#Headers],0),2),FALSE),"")</f>
        <v/>
      </c>
      <c r="AA1500" t="str">
        <f t="shared" si="161"/>
        <v/>
      </c>
      <c r="AB1500">
        <v>0</v>
      </c>
      <c r="AC1500" t="str">
        <f>IF(AB1500&lt;&gt;0,VLOOKUP(VLOOKUP(AB1500,Tbl_Effect[],3,FALSE),EffectName[],IFERROR(MATCH(UI!$B$1,EffectName[#Headers],0),2),FALSE),"")</f>
        <v/>
      </c>
    </row>
    <row r="1501" spans="8:29" x14ac:dyDescent="0.4">
      <c r="H1501" t="str">
        <f t="shared" si="158"/>
        <v/>
      </c>
      <c r="I1501">
        <v>0</v>
      </c>
      <c r="J1501" t="str">
        <f>_xlfn.IFNA(IF(I1501&lt;&gt;0,VLOOKUP(VLOOKUP(I1501,Tbl_Equip[],2,FALSE),Tbl_Color[],IFERROR(MATCH(UI!$B$1,Tbl_Color[#Headers],0),2),FALSE),""),"Unset")</f>
        <v/>
      </c>
      <c r="K1501" t="str">
        <f>_xlfn.IFNA(IF(I1501&lt;&gt;0,VLOOKUP(I1501,ItemText[],IFERROR(MATCH(UI!$B$1,ItemText[#Headers],0),2),FALSE),""),"Unset")</f>
        <v/>
      </c>
      <c r="M1501">
        <v>0</v>
      </c>
      <c r="P1501">
        <v>0</v>
      </c>
      <c r="S1501">
        <v>0</v>
      </c>
      <c r="T1501" t="str">
        <f>IF(VALUE(S1501)=0,"",VLOOKUP(VLOOKUP(S1501,Tbl_Effect[],3,FALSE),EffectName[],IFERROR(MATCH(UI!$B$1,EffectName[#Headers],0),2),FALSE))</f>
        <v/>
      </c>
      <c r="U1501" t="str">
        <f t="shared" si="159"/>
        <v/>
      </c>
      <c r="V1501">
        <v>0</v>
      </c>
      <c r="W1501" t="str">
        <f>IF(V1501&lt;&gt;0,VLOOKUP(VLOOKUP(V1501,Tbl_Effect[],3,FALSE),EffectName[],IFERROR(MATCH(UI!$B$1,EffectName[#Headers],0),2),FALSE),"")</f>
        <v/>
      </c>
      <c r="X1501" t="str">
        <f t="shared" si="160"/>
        <v/>
      </c>
      <c r="Y1501">
        <v>0</v>
      </c>
      <c r="Z1501" t="str">
        <f>IF(Y1501&lt;&gt;0,VLOOKUP(VLOOKUP(Y1501,Tbl_Effect[],3,FALSE),EffectName[],IFERROR(MATCH(UI!$B$1,EffectName[#Headers],0),2),FALSE),"")</f>
        <v/>
      </c>
      <c r="AA1501" t="str">
        <f t="shared" si="161"/>
        <v/>
      </c>
      <c r="AB1501">
        <v>0</v>
      </c>
      <c r="AC1501" t="str">
        <f>IF(AB1501&lt;&gt;0,VLOOKUP(VLOOKUP(AB1501,Tbl_Effect[],3,FALSE),EffectName[],IFERROR(MATCH(UI!$B$1,EffectName[#Headers],0),2),FALSE),"")</f>
        <v/>
      </c>
    </row>
    <row r="1502" spans="8:29" x14ac:dyDescent="0.4">
      <c r="H1502" t="str">
        <f t="shared" si="158"/>
        <v/>
      </c>
      <c r="I1502">
        <v>0</v>
      </c>
      <c r="J1502" t="str">
        <f>_xlfn.IFNA(IF(I1502&lt;&gt;0,VLOOKUP(VLOOKUP(I1502,Tbl_Equip[],2,FALSE),Tbl_Color[],IFERROR(MATCH(UI!$B$1,Tbl_Color[#Headers],0),2),FALSE),""),"Unset")</f>
        <v/>
      </c>
      <c r="K1502" t="str">
        <f>_xlfn.IFNA(IF(I1502&lt;&gt;0,VLOOKUP(I1502,ItemText[],IFERROR(MATCH(UI!$B$1,ItemText[#Headers],0),2),FALSE),""),"Unset")</f>
        <v/>
      </c>
      <c r="M1502">
        <v>0</v>
      </c>
      <c r="P1502">
        <v>0</v>
      </c>
      <c r="S1502">
        <v>0</v>
      </c>
      <c r="T1502" t="str">
        <f>IF(VALUE(S1502)=0,"",VLOOKUP(VLOOKUP(S1502,Tbl_Effect[],3,FALSE),EffectName[],IFERROR(MATCH(UI!$B$1,EffectName[#Headers],0),2),FALSE))</f>
        <v/>
      </c>
      <c r="U1502" t="str">
        <f t="shared" si="159"/>
        <v/>
      </c>
      <c r="V1502">
        <v>0</v>
      </c>
      <c r="W1502" t="str">
        <f>IF(V1502&lt;&gt;0,VLOOKUP(VLOOKUP(V1502,Tbl_Effect[],3,FALSE),EffectName[],IFERROR(MATCH(UI!$B$1,EffectName[#Headers],0),2),FALSE),"")</f>
        <v/>
      </c>
      <c r="X1502" t="str">
        <f t="shared" si="160"/>
        <v/>
      </c>
      <c r="Y1502">
        <v>0</v>
      </c>
      <c r="Z1502" t="str">
        <f>IF(Y1502&lt;&gt;0,VLOOKUP(VLOOKUP(Y1502,Tbl_Effect[],3,FALSE),EffectName[],IFERROR(MATCH(UI!$B$1,EffectName[#Headers],0),2),FALSE),"")</f>
        <v/>
      </c>
      <c r="AA1502" t="str">
        <f t="shared" si="161"/>
        <v/>
      </c>
      <c r="AB1502">
        <v>0</v>
      </c>
      <c r="AC1502" t="str">
        <f>IF(AB1502&lt;&gt;0,VLOOKUP(VLOOKUP(AB1502,Tbl_Effect[],3,FALSE),EffectName[],IFERROR(MATCH(UI!$B$1,EffectName[#Headers],0),2),FALSE),"")</f>
        <v/>
      </c>
    </row>
    <row r="1503" spans="8:29" x14ac:dyDescent="0.4">
      <c r="H1503" t="str">
        <f t="shared" si="158"/>
        <v/>
      </c>
      <c r="I1503">
        <v>0</v>
      </c>
      <c r="J1503" t="str">
        <f>_xlfn.IFNA(IF(I1503&lt;&gt;0,VLOOKUP(VLOOKUP(I1503,Tbl_Equip[],2,FALSE),Tbl_Color[],IFERROR(MATCH(UI!$B$1,Tbl_Color[#Headers],0),2),FALSE),""),"Unset")</f>
        <v/>
      </c>
      <c r="K1503" t="str">
        <f>_xlfn.IFNA(IF(I1503&lt;&gt;0,VLOOKUP(I1503,ItemText[],IFERROR(MATCH(UI!$B$1,ItemText[#Headers],0),2),FALSE),""),"Unset")</f>
        <v/>
      </c>
      <c r="M1503">
        <v>0</v>
      </c>
      <c r="P1503">
        <v>0</v>
      </c>
      <c r="S1503">
        <v>0</v>
      </c>
      <c r="T1503" t="str">
        <f>IF(VALUE(S1503)=0,"",VLOOKUP(VLOOKUP(S1503,Tbl_Effect[],3,FALSE),EffectName[],IFERROR(MATCH(UI!$B$1,EffectName[#Headers],0),2),FALSE))</f>
        <v/>
      </c>
      <c r="U1503" t="str">
        <f t="shared" si="159"/>
        <v/>
      </c>
      <c r="V1503">
        <v>0</v>
      </c>
      <c r="W1503" t="str">
        <f>IF(V1503&lt;&gt;0,VLOOKUP(VLOOKUP(V1503,Tbl_Effect[],3,FALSE),EffectName[],IFERROR(MATCH(UI!$B$1,EffectName[#Headers],0),2),FALSE),"")</f>
        <v/>
      </c>
      <c r="X1503" t="str">
        <f t="shared" si="160"/>
        <v/>
      </c>
      <c r="Y1503">
        <v>0</v>
      </c>
      <c r="Z1503" t="str">
        <f>IF(Y1503&lt;&gt;0,VLOOKUP(VLOOKUP(Y1503,Tbl_Effect[],3,FALSE),EffectName[],IFERROR(MATCH(UI!$B$1,EffectName[#Headers],0),2),FALSE),"")</f>
        <v/>
      </c>
      <c r="AA1503" t="str">
        <f t="shared" si="161"/>
        <v/>
      </c>
      <c r="AB1503">
        <v>0</v>
      </c>
      <c r="AC1503" t="str">
        <f>IF(AB1503&lt;&gt;0,VLOOKUP(VLOOKUP(AB1503,Tbl_Effect[],3,FALSE),EffectName[],IFERROR(MATCH(UI!$B$1,EffectName[#Headers],0),2),FALSE),"")</f>
        <v/>
      </c>
    </row>
    <row r="1504" spans="8:29" x14ac:dyDescent="0.4">
      <c r="H1504" t="str">
        <f t="shared" si="158"/>
        <v/>
      </c>
      <c r="I1504">
        <v>0</v>
      </c>
      <c r="J1504" t="str">
        <f>_xlfn.IFNA(IF(I1504&lt;&gt;0,VLOOKUP(VLOOKUP(I1504,Tbl_Equip[],2,FALSE),Tbl_Color[],IFERROR(MATCH(UI!$B$1,Tbl_Color[#Headers],0),2),FALSE),""),"Unset")</f>
        <v/>
      </c>
      <c r="K1504" t="str">
        <f>_xlfn.IFNA(IF(I1504&lt;&gt;0,VLOOKUP(I1504,ItemText[],IFERROR(MATCH(UI!$B$1,ItemText[#Headers],0),2),FALSE),""),"Unset")</f>
        <v/>
      </c>
      <c r="M1504">
        <v>0</v>
      </c>
      <c r="P1504">
        <v>0</v>
      </c>
      <c r="S1504">
        <v>0</v>
      </c>
      <c r="T1504" t="str">
        <f>IF(VALUE(S1504)=0,"",VLOOKUP(VLOOKUP(S1504,Tbl_Effect[],3,FALSE),EffectName[],IFERROR(MATCH(UI!$B$1,EffectName[#Headers],0),2),FALSE))</f>
        <v/>
      </c>
      <c r="U1504" t="str">
        <f t="shared" si="159"/>
        <v/>
      </c>
      <c r="V1504">
        <v>0</v>
      </c>
      <c r="W1504" t="str">
        <f>IF(V1504&lt;&gt;0,VLOOKUP(VLOOKUP(V1504,Tbl_Effect[],3,FALSE),EffectName[],IFERROR(MATCH(UI!$B$1,EffectName[#Headers],0),2),FALSE),"")</f>
        <v/>
      </c>
      <c r="X1504" t="str">
        <f t="shared" si="160"/>
        <v/>
      </c>
      <c r="Y1504">
        <v>0</v>
      </c>
      <c r="Z1504" t="str">
        <f>IF(Y1504&lt;&gt;0,VLOOKUP(VLOOKUP(Y1504,Tbl_Effect[],3,FALSE),EffectName[],IFERROR(MATCH(UI!$B$1,EffectName[#Headers],0),2),FALSE),"")</f>
        <v/>
      </c>
      <c r="AA1504" t="str">
        <f t="shared" si="161"/>
        <v/>
      </c>
      <c r="AB1504">
        <v>0</v>
      </c>
      <c r="AC1504" t="str">
        <f>IF(AB1504&lt;&gt;0,VLOOKUP(VLOOKUP(AB1504,Tbl_Effect[],3,FALSE),EffectName[],IFERROR(MATCH(UI!$B$1,EffectName[#Headers],0),2),FALSE),"")</f>
        <v/>
      </c>
    </row>
    <row r="1505" spans="8:29" x14ac:dyDescent="0.4">
      <c r="H1505" t="str">
        <f t="shared" si="158"/>
        <v/>
      </c>
      <c r="I1505">
        <v>0</v>
      </c>
      <c r="J1505" t="str">
        <f>_xlfn.IFNA(IF(I1505&lt;&gt;0,VLOOKUP(VLOOKUP(I1505,Tbl_Equip[],2,FALSE),Tbl_Color[],IFERROR(MATCH(UI!$B$1,Tbl_Color[#Headers],0),2),FALSE),""),"Unset")</f>
        <v/>
      </c>
      <c r="K1505" t="str">
        <f>_xlfn.IFNA(IF(I1505&lt;&gt;0,VLOOKUP(I1505,ItemText[],IFERROR(MATCH(UI!$B$1,ItemText[#Headers],0),2),FALSE),""),"Unset")</f>
        <v/>
      </c>
      <c r="M1505">
        <v>0</v>
      </c>
      <c r="P1505">
        <v>0</v>
      </c>
      <c r="S1505">
        <v>0</v>
      </c>
      <c r="T1505" t="str">
        <f>IF(VALUE(S1505)=0,"",VLOOKUP(VLOOKUP(S1505,Tbl_Effect[],3,FALSE),EffectName[],IFERROR(MATCH(UI!$B$1,EffectName[#Headers],0),2),FALSE))</f>
        <v/>
      </c>
      <c r="U1505" t="str">
        <f t="shared" si="159"/>
        <v/>
      </c>
      <c r="V1505">
        <v>0</v>
      </c>
      <c r="W1505" t="str">
        <f>IF(V1505&lt;&gt;0,VLOOKUP(VLOOKUP(V1505,Tbl_Effect[],3,FALSE),EffectName[],IFERROR(MATCH(UI!$B$1,EffectName[#Headers],0),2),FALSE),"")</f>
        <v/>
      </c>
      <c r="X1505" t="str">
        <f t="shared" si="160"/>
        <v/>
      </c>
      <c r="Y1505">
        <v>0</v>
      </c>
      <c r="Z1505" t="str">
        <f>IF(Y1505&lt;&gt;0,VLOOKUP(VLOOKUP(Y1505,Tbl_Effect[],3,FALSE),EffectName[],IFERROR(MATCH(UI!$B$1,EffectName[#Headers],0),2),FALSE),"")</f>
        <v/>
      </c>
      <c r="AA1505" t="str">
        <f t="shared" si="161"/>
        <v/>
      </c>
      <c r="AB1505">
        <v>0</v>
      </c>
      <c r="AC1505" t="str">
        <f>IF(AB1505&lt;&gt;0,VLOOKUP(VLOOKUP(AB1505,Tbl_Effect[],3,FALSE),EffectName[],IFERROR(MATCH(UI!$B$1,EffectName[#Headers],0),2),FALSE),"")</f>
        <v/>
      </c>
    </row>
    <row r="1506" spans="8:29" x14ac:dyDescent="0.4">
      <c r="H1506" t="str">
        <f t="shared" si="158"/>
        <v/>
      </c>
      <c r="I1506">
        <v>0</v>
      </c>
      <c r="J1506" t="str">
        <f>_xlfn.IFNA(IF(I1506&lt;&gt;0,VLOOKUP(VLOOKUP(I1506,Tbl_Equip[],2,FALSE),Tbl_Color[],IFERROR(MATCH(UI!$B$1,Tbl_Color[#Headers],0),2),FALSE),""),"Unset")</f>
        <v/>
      </c>
      <c r="K1506" t="str">
        <f>_xlfn.IFNA(IF(I1506&lt;&gt;0,VLOOKUP(I1506,ItemText[],IFERROR(MATCH(UI!$B$1,ItemText[#Headers],0),2),FALSE),""),"Unset")</f>
        <v/>
      </c>
      <c r="M1506">
        <v>0</v>
      </c>
      <c r="P1506">
        <v>0</v>
      </c>
      <c r="S1506">
        <v>0</v>
      </c>
      <c r="T1506" t="str">
        <f>IF(VALUE(S1506)=0,"",VLOOKUP(VLOOKUP(S1506,Tbl_Effect[],3,FALSE),EffectName[],IFERROR(MATCH(UI!$B$1,EffectName[#Headers],0),2),FALSE))</f>
        <v/>
      </c>
      <c r="U1506" t="str">
        <f t="shared" si="159"/>
        <v/>
      </c>
      <c r="V1506">
        <v>0</v>
      </c>
      <c r="W1506" t="str">
        <f>IF(V1506&lt;&gt;0,VLOOKUP(VLOOKUP(V1506,Tbl_Effect[],3,FALSE),EffectName[],IFERROR(MATCH(UI!$B$1,EffectName[#Headers],0),2),FALSE),"")</f>
        <v/>
      </c>
      <c r="X1506" t="str">
        <f t="shared" si="160"/>
        <v/>
      </c>
      <c r="Y1506">
        <v>0</v>
      </c>
      <c r="Z1506" t="str">
        <f>IF(Y1506&lt;&gt;0,VLOOKUP(VLOOKUP(Y1506,Tbl_Effect[],3,FALSE),EffectName[],IFERROR(MATCH(UI!$B$1,EffectName[#Headers],0),2),FALSE),"")</f>
        <v/>
      </c>
      <c r="AA1506" t="str">
        <f t="shared" si="161"/>
        <v/>
      </c>
      <c r="AB1506">
        <v>0</v>
      </c>
      <c r="AC1506" t="str">
        <f>IF(AB1506&lt;&gt;0,VLOOKUP(VLOOKUP(AB1506,Tbl_Effect[],3,FALSE),EffectName[],IFERROR(MATCH(UI!$B$1,EffectName[#Headers],0),2),FALSE),"")</f>
        <v/>
      </c>
    </row>
    <row r="1507" spans="8:29" x14ac:dyDescent="0.4">
      <c r="H1507" t="str">
        <f t="shared" si="158"/>
        <v/>
      </c>
      <c r="I1507">
        <v>0</v>
      </c>
      <c r="J1507" t="str">
        <f>_xlfn.IFNA(IF(I1507&lt;&gt;0,VLOOKUP(VLOOKUP(I1507,Tbl_Equip[],2,FALSE),Tbl_Color[],IFERROR(MATCH(UI!$B$1,Tbl_Color[#Headers],0),2),FALSE),""),"Unset")</f>
        <v/>
      </c>
      <c r="K1507" t="str">
        <f>_xlfn.IFNA(IF(I1507&lt;&gt;0,VLOOKUP(I1507,ItemText[],IFERROR(MATCH(UI!$B$1,ItemText[#Headers],0),2),FALSE),""),"Unset")</f>
        <v/>
      </c>
      <c r="M1507">
        <v>0</v>
      </c>
      <c r="P1507">
        <v>0</v>
      </c>
      <c r="S1507">
        <v>0</v>
      </c>
      <c r="T1507" t="str">
        <f>IF(VALUE(S1507)=0,"",VLOOKUP(VLOOKUP(S1507,Tbl_Effect[],3,FALSE),EffectName[],IFERROR(MATCH(UI!$B$1,EffectName[#Headers],0),2),FALSE))</f>
        <v/>
      </c>
      <c r="U1507" t="str">
        <f t="shared" si="159"/>
        <v/>
      </c>
      <c r="V1507">
        <v>0</v>
      </c>
      <c r="W1507" t="str">
        <f>IF(V1507&lt;&gt;0,VLOOKUP(VLOOKUP(V1507,Tbl_Effect[],3,FALSE),EffectName[],IFERROR(MATCH(UI!$B$1,EffectName[#Headers],0),2),FALSE),"")</f>
        <v/>
      </c>
      <c r="X1507" t="str">
        <f t="shared" si="160"/>
        <v/>
      </c>
      <c r="Y1507">
        <v>0</v>
      </c>
      <c r="Z1507" t="str">
        <f>IF(Y1507&lt;&gt;0,VLOOKUP(VLOOKUP(Y1507,Tbl_Effect[],3,FALSE),EffectName[],IFERROR(MATCH(UI!$B$1,EffectName[#Headers],0),2),FALSE),"")</f>
        <v/>
      </c>
      <c r="AA1507" t="str">
        <f t="shared" si="161"/>
        <v/>
      </c>
      <c r="AB1507">
        <v>0</v>
      </c>
      <c r="AC1507" t="str">
        <f>IF(AB1507&lt;&gt;0,VLOOKUP(VLOOKUP(AB1507,Tbl_Effect[],3,FALSE),EffectName[],IFERROR(MATCH(UI!$B$1,EffectName[#Headers],0),2),FALSE),"")</f>
        <v/>
      </c>
    </row>
    <row r="1508" spans="8:29" x14ac:dyDescent="0.4">
      <c r="H1508" t="str">
        <f t="shared" si="158"/>
        <v/>
      </c>
      <c r="I1508">
        <v>0</v>
      </c>
      <c r="J1508" t="str">
        <f>_xlfn.IFNA(IF(I1508&lt;&gt;0,VLOOKUP(VLOOKUP(I1508,Tbl_Equip[],2,FALSE),Tbl_Color[],IFERROR(MATCH(UI!$B$1,Tbl_Color[#Headers],0),2),FALSE),""),"Unset")</f>
        <v/>
      </c>
      <c r="K1508" t="str">
        <f>_xlfn.IFNA(IF(I1508&lt;&gt;0,VLOOKUP(I1508,ItemText[],IFERROR(MATCH(UI!$B$1,ItemText[#Headers],0),2),FALSE),""),"Unset")</f>
        <v/>
      </c>
      <c r="M1508">
        <v>0</v>
      </c>
      <c r="P1508">
        <v>0</v>
      </c>
      <c r="S1508">
        <v>0</v>
      </c>
      <c r="T1508" t="str">
        <f>IF(VALUE(S1508)=0,"",VLOOKUP(VLOOKUP(S1508,Tbl_Effect[],3,FALSE),EffectName[],IFERROR(MATCH(UI!$B$1,EffectName[#Headers],0),2),FALSE))</f>
        <v/>
      </c>
      <c r="U1508" t="str">
        <f t="shared" si="159"/>
        <v/>
      </c>
      <c r="V1508">
        <v>0</v>
      </c>
      <c r="W1508" t="str">
        <f>IF(V1508&lt;&gt;0,VLOOKUP(VLOOKUP(V1508,Tbl_Effect[],3,FALSE),EffectName[],IFERROR(MATCH(UI!$B$1,EffectName[#Headers],0),2),FALSE),"")</f>
        <v/>
      </c>
      <c r="X1508" t="str">
        <f t="shared" si="160"/>
        <v/>
      </c>
      <c r="Y1508">
        <v>0</v>
      </c>
      <c r="Z1508" t="str">
        <f>IF(Y1508&lt;&gt;0,VLOOKUP(VLOOKUP(Y1508,Tbl_Effect[],3,FALSE),EffectName[],IFERROR(MATCH(UI!$B$1,EffectName[#Headers],0),2),FALSE),"")</f>
        <v/>
      </c>
      <c r="AA1508" t="str">
        <f t="shared" si="161"/>
        <v/>
      </c>
      <c r="AB1508">
        <v>0</v>
      </c>
      <c r="AC1508" t="str">
        <f>IF(AB1508&lt;&gt;0,VLOOKUP(VLOOKUP(AB1508,Tbl_Effect[],3,FALSE),EffectName[],IFERROR(MATCH(UI!$B$1,EffectName[#Headers],0),2),FALSE),"")</f>
        <v/>
      </c>
    </row>
    <row r="1509" spans="8:29" x14ac:dyDescent="0.4">
      <c r="H1509" t="str">
        <f t="shared" si="158"/>
        <v/>
      </c>
      <c r="I1509">
        <v>0</v>
      </c>
      <c r="J1509" t="str">
        <f>_xlfn.IFNA(IF(I1509&lt;&gt;0,VLOOKUP(VLOOKUP(I1509,Tbl_Equip[],2,FALSE),Tbl_Color[],IFERROR(MATCH(UI!$B$1,Tbl_Color[#Headers],0),2),FALSE),""),"Unset")</f>
        <v/>
      </c>
      <c r="K1509" t="str">
        <f>_xlfn.IFNA(IF(I1509&lt;&gt;0,VLOOKUP(I1509,ItemText[],IFERROR(MATCH(UI!$B$1,ItemText[#Headers],0),2),FALSE),""),"Unset")</f>
        <v/>
      </c>
      <c r="M1509">
        <v>0</v>
      </c>
      <c r="P1509">
        <v>0</v>
      </c>
      <c r="S1509">
        <v>0</v>
      </c>
      <c r="T1509" t="str">
        <f>IF(VALUE(S1509)=0,"",VLOOKUP(VLOOKUP(S1509,Tbl_Effect[],3,FALSE),EffectName[],IFERROR(MATCH(UI!$B$1,EffectName[#Headers],0),2),FALSE))</f>
        <v/>
      </c>
      <c r="U1509" t="str">
        <f t="shared" si="159"/>
        <v/>
      </c>
      <c r="V1509">
        <v>0</v>
      </c>
      <c r="W1509" t="str">
        <f>IF(V1509&lt;&gt;0,VLOOKUP(VLOOKUP(V1509,Tbl_Effect[],3,FALSE),EffectName[],IFERROR(MATCH(UI!$B$1,EffectName[#Headers],0),2),FALSE),"")</f>
        <v/>
      </c>
      <c r="X1509" t="str">
        <f t="shared" si="160"/>
        <v/>
      </c>
      <c r="Y1509">
        <v>0</v>
      </c>
      <c r="Z1509" t="str">
        <f>IF(Y1509&lt;&gt;0,VLOOKUP(VLOOKUP(Y1509,Tbl_Effect[],3,FALSE),EffectName[],IFERROR(MATCH(UI!$B$1,EffectName[#Headers],0),2),FALSE),"")</f>
        <v/>
      </c>
      <c r="AA1509" t="str">
        <f t="shared" si="161"/>
        <v/>
      </c>
      <c r="AB1509">
        <v>0</v>
      </c>
      <c r="AC1509" t="str">
        <f>IF(AB1509&lt;&gt;0,VLOOKUP(VLOOKUP(AB1509,Tbl_Effect[],3,FALSE),EffectName[],IFERROR(MATCH(UI!$B$1,EffectName[#Headers],0),2),FALSE),"")</f>
        <v/>
      </c>
    </row>
    <row r="1510" spans="8:29" x14ac:dyDescent="0.4">
      <c r="H1510" t="str">
        <f t="shared" si="158"/>
        <v/>
      </c>
      <c r="I1510">
        <v>0</v>
      </c>
      <c r="J1510" t="str">
        <f>_xlfn.IFNA(IF(I1510&lt;&gt;0,VLOOKUP(VLOOKUP(I1510,Tbl_Equip[],2,FALSE),Tbl_Color[],IFERROR(MATCH(UI!$B$1,Tbl_Color[#Headers],0),2),FALSE),""),"Unset")</f>
        <v/>
      </c>
      <c r="K1510" t="str">
        <f>_xlfn.IFNA(IF(I1510&lt;&gt;0,VLOOKUP(I1510,ItemText[],IFERROR(MATCH(UI!$B$1,ItemText[#Headers],0),2),FALSE),""),"Unset")</f>
        <v/>
      </c>
      <c r="M1510">
        <v>0</v>
      </c>
      <c r="P1510">
        <v>0</v>
      </c>
      <c r="S1510">
        <v>0</v>
      </c>
      <c r="T1510" t="str">
        <f>IF(VALUE(S1510)=0,"",VLOOKUP(VLOOKUP(S1510,Tbl_Effect[],3,FALSE),EffectName[],IFERROR(MATCH(UI!$B$1,EffectName[#Headers],0),2),FALSE))</f>
        <v/>
      </c>
      <c r="U1510" t="str">
        <f t="shared" si="159"/>
        <v/>
      </c>
      <c r="V1510">
        <v>0</v>
      </c>
      <c r="W1510" t="str">
        <f>IF(V1510&lt;&gt;0,VLOOKUP(VLOOKUP(V1510,Tbl_Effect[],3,FALSE),EffectName[],IFERROR(MATCH(UI!$B$1,EffectName[#Headers],0),2),FALSE),"")</f>
        <v/>
      </c>
      <c r="X1510" t="str">
        <f t="shared" si="160"/>
        <v/>
      </c>
      <c r="Y1510">
        <v>0</v>
      </c>
      <c r="Z1510" t="str">
        <f>IF(Y1510&lt;&gt;0,VLOOKUP(VLOOKUP(Y1510,Tbl_Effect[],3,FALSE),EffectName[],IFERROR(MATCH(UI!$B$1,EffectName[#Headers],0),2),FALSE),"")</f>
        <v/>
      </c>
      <c r="AA1510" t="str">
        <f t="shared" si="161"/>
        <v/>
      </c>
      <c r="AB1510">
        <v>0</v>
      </c>
      <c r="AC1510" t="str">
        <f>IF(AB1510&lt;&gt;0,VLOOKUP(VLOOKUP(AB1510,Tbl_Effect[],3,FALSE),EffectName[],IFERROR(MATCH(UI!$B$1,EffectName[#Headers],0),2),FALSE),"")</f>
        <v/>
      </c>
    </row>
    <row r="1511" spans="8:29" x14ac:dyDescent="0.4">
      <c r="H1511" t="str">
        <f t="shared" si="158"/>
        <v/>
      </c>
      <c r="I1511">
        <v>0</v>
      </c>
      <c r="J1511" t="str">
        <f>_xlfn.IFNA(IF(I1511&lt;&gt;0,VLOOKUP(VLOOKUP(I1511,Tbl_Equip[],2,FALSE),Tbl_Color[],IFERROR(MATCH(UI!$B$1,Tbl_Color[#Headers],0),2),FALSE),""),"Unset")</f>
        <v/>
      </c>
      <c r="K1511" t="str">
        <f>_xlfn.IFNA(IF(I1511&lt;&gt;0,VLOOKUP(I1511,ItemText[],IFERROR(MATCH(UI!$B$1,ItemText[#Headers],0),2),FALSE),""),"Unset")</f>
        <v/>
      </c>
      <c r="M1511">
        <v>0</v>
      </c>
      <c r="P1511">
        <v>0</v>
      </c>
      <c r="S1511">
        <v>0</v>
      </c>
      <c r="T1511" t="str">
        <f>IF(VALUE(S1511)=0,"",VLOOKUP(VLOOKUP(S1511,Tbl_Effect[],3,FALSE),EffectName[],IFERROR(MATCH(UI!$B$1,EffectName[#Headers],0),2),FALSE))</f>
        <v/>
      </c>
      <c r="U1511" t="str">
        <f t="shared" si="159"/>
        <v/>
      </c>
      <c r="V1511">
        <v>0</v>
      </c>
      <c r="W1511" t="str">
        <f>IF(V1511&lt;&gt;0,VLOOKUP(VLOOKUP(V1511,Tbl_Effect[],3,FALSE),EffectName[],IFERROR(MATCH(UI!$B$1,EffectName[#Headers],0),2),FALSE),"")</f>
        <v/>
      </c>
      <c r="X1511" t="str">
        <f t="shared" si="160"/>
        <v/>
      </c>
      <c r="Y1511">
        <v>0</v>
      </c>
      <c r="Z1511" t="str">
        <f>IF(Y1511&lt;&gt;0,VLOOKUP(VLOOKUP(Y1511,Tbl_Effect[],3,FALSE),EffectName[],IFERROR(MATCH(UI!$B$1,EffectName[#Headers],0),2),FALSE),"")</f>
        <v/>
      </c>
      <c r="AA1511" t="str">
        <f t="shared" si="161"/>
        <v/>
      </c>
      <c r="AB1511">
        <v>0</v>
      </c>
      <c r="AC1511" t="str">
        <f>IF(AB1511&lt;&gt;0,VLOOKUP(VLOOKUP(AB1511,Tbl_Effect[],3,FALSE),EffectName[],IFERROR(MATCH(UI!$B$1,EffectName[#Headers],0),2),FALSE),"")</f>
        <v/>
      </c>
    </row>
    <row r="1512" spans="8:29" x14ac:dyDescent="0.4">
      <c r="H1512" t="str">
        <f t="shared" si="158"/>
        <v/>
      </c>
      <c r="I1512">
        <v>0</v>
      </c>
      <c r="J1512" t="str">
        <f>_xlfn.IFNA(IF(I1512&lt;&gt;0,VLOOKUP(VLOOKUP(I1512,Tbl_Equip[],2,FALSE),Tbl_Color[],IFERROR(MATCH(UI!$B$1,Tbl_Color[#Headers],0),2),FALSE),""),"Unset")</f>
        <v/>
      </c>
      <c r="K1512" t="str">
        <f>_xlfn.IFNA(IF(I1512&lt;&gt;0,VLOOKUP(I1512,ItemText[],IFERROR(MATCH(UI!$B$1,ItemText[#Headers],0),2),FALSE),""),"Unset")</f>
        <v/>
      </c>
      <c r="M1512">
        <v>0</v>
      </c>
      <c r="P1512">
        <v>0</v>
      </c>
      <c r="S1512">
        <v>0</v>
      </c>
      <c r="T1512" t="str">
        <f>IF(VALUE(S1512)=0,"",VLOOKUP(VLOOKUP(S1512,Tbl_Effect[],3,FALSE),EffectName[],IFERROR(MATCH(UI!$B$1,EffectName[#Headers],0),2),FALSE))</f>
        <v/>
      </c>
      <c r="U1512" t="str">
        <f t="shared" si="159"/>
        <v/>
      </c>
      <c r="V1512">
        <v>0</v>
      </c>
      <c r="W1512" t="str">
        <f>IF(V1512&lt;&gt;0,VLOOKUP(VLOOKUP(V1512,Tbl_Effect[],3,FALSE),EffectName[],IFERROR(MATCH(UI!$B$1,EffectName[#Headers],0),2),FALSE),"")</f>
        <v/>
      </c>
      <c r="X1512" t="str">
        <f t="shared" si="160"/>
        <v/>
      </c>
      <c r="Y1512">
        <v>0</v>
      </c>
      <c r="Z1512" t="str">
        <f>IF(Y1512&lt;&gt;0,VLOOKUP(VLOOKUP(Y1512,Tbl_Effect[],3,FALSE),EffectName[],IFERROR(MATCH(UI!$B$1,EffectName[#Headers],0),2),FALSE),"")</f>
        <v/>
      </c>
      <c r="AA1512" t="str">
        <f t="shared" si="161"/>
        <v/>
      </c>
      <c r="AB1512">
        <v>0</v>
      </c>
      <c r="AC1512" t="str">
        <f>IF(AB1512&lt;&gt;0,VLOOKUP(VLOOKUP(AB1512,Tbl_Effect[],3,FALSE),EffectName[],IFERROR(MATCH(UI!$B$1,EffectName[#Headers],0),2),FALSE),"")</f>
        <v/>
      </c>
    </row>
    <row r="1513" spans="8:29" x14ac:dyDescent="0.4">
      <c r="H1513" t="str">
        <f t="shared" si="158"/>
        <v/>
      </c>
      <c r="I1513">
        <v>0</v>
      </c>
      <c r="J1513" t="str">
        <f>_xlfn.IFNA(IF(I1513&lt;&gt;0,VLOOKUP(VLOOKUP(I1513,Tbl_Equip[],2,FALSE),Tbl_Color[],IFERROR(MATCH(UI!$B$1,Tbl_Color[#Headers],0),2),FALSE),""),"Unset")</f>
        <v/>
      </c>
      <c r="K1513" t="str">
        <f>_xlfn.IFNA(IF(I1513&lt;&gt;0,VLOOKUP(I1513,ItemText[],IFERROR(MATCH(UI!$B$1,ItemText[#Headers],0),2),FALSE),""),"Unset")</f>
        <v/>
      </c>
      <c r="M1513">
        <v>0</v>
      </c>
      <c r="P1513">
        <v>0</v>
      </c>
      <c r="S1513">
        <v>0</v>
      </c>
      <c r="T1513" t="str">
        <f>IF(VALUE(S1513)=0,"",VLOOKUP(VLOOKUP(S1513,Tbl_Effect[],3,FALSE),EffectName[],IFERROR(MATCH(UI!$B$1,EffectName[#Headers],0),2),FALSE))</f>
        <v/>
      </c>
      <c r="U1513" t="str">
        <f t="shared" si="159"/>
        <v/>
      </c>
      <c r="V1513">
        <v>0</v>
      </c>
      <c r="W1513" t="str">
        <f>IF(V1513&lt;&gt;0,VLOOKUP(VLOOKUP(V1513,Tbl_Effect[],3,FALSE),EffectName[],IFERROR(MATCH(UI!$B$1,EffectName[#Headers],0),2),FALSE),"")</f>
        <v/>
      </c>
      <c r="X1513" t="str">
        <f t="shared" si="160"/>
        <v/>
      </c>
      <c r="Y1513">
        <v>0</v>
      </c>
      <c r="Z1513" t="str">
        <f>IF(Y1513&lt;&gt;0,VLOOKUP(VLOOKUP(Y1513,Tbl_Effect[],3,FALSE),EffectName[],IFERROR(MATCH(UI!$B$1,EffectName[#Headers],0),2),FALSE),"")</f>
        <v/>
      </c>
      <c r="AA1513" t="str">
        <f t="shared" si="161"/>
        <v/>
      </c>
      <c r="AB1513">
        <v>0</v>
      </c>
      <c r="AC1513" t="str">
        <f>IF(AB1513&lt;&gt;0,VLOOKUP(VLOOKUP(AB1513,Tbl_Effect[],3,FALSE),EffectName[],IFERROR(MATCH(UI!$B$1,EffectName[#Headers],0),2),FALSE),"")</f>
        <v/>
      </c>
    </row>
    <row r="1514" spans="8:29" x14ac:dyDescent="0.4">
      <c r="H1514" t="str">
        <f t="shared" si="158"/>
        <v/>
      </c>
      <c r="I1514">
        <v>0</v>
      </c>
      <c r="J1514" t="str">
        <f>_xlfn.IFNA(IF(I1514&lt;&gt;0,VLOOKUP(VLOOKUP(I1514,Tbl_Equip[],2,FALSE),Tbl_Color[],IFERROR(MATCH(UI!$B$1,Tbl_Color[#Headers],0),2),FALSE),""),"Unset")</f>
        <v/>
      </c>
      <c r="K1514" t="str">
        <f>_xlfn.IFNA(IF(I1514&lt;&gt;0,VLOOKUP(I1514,ItemText[],IFERROR(MATCH(UI!$B$1,ItemText[#Headers],0),2),FALSE),""),"Unset")</f>
        <v/>
      </c>
      <c r="M1514">
        <v>0</v>
      </c>
      <c r="P1514">
        <v>0</v>
      </c>
      <c r="S1514">
        <v>0</v>
      </c>
      <c r="T1514" t="str">
        <f>IF(VALUE(S1514)=0,"",VLOOKUP(VLOOKUP(S1514,Tbl_Effect[],3,FALSE),EffectName[],IFERROR(MATCH(UI!$B$1,EffectName[#Headers],0),2),FALSE))</f>
        <v/>
      </c>
      <c r="U1514" t="str">
        <f t="shared" si="159"/>
        <v/>
      </c>
      <c r="V1514">
        <v>0</v>
      </c>
      <c r="W1514" t="str">
        <f>IF(V1514&lt;&gt;0,VLOOKUP(VLOOKUP(V1514,Tbl_Effect[],3,FALSE),EffectName[],IFERROR(MATCH(UI!$B$1,EffectName[#Headers],0),2),FALSE),"")</f>
        <v/>
      </c>
      <c r="X1514" t="str">
        <f t="shared" si="160"/>
        <v/>
      </c>
      <c r="Y1514">
        <v>0</v>
      </c>
      <c r="Z1514" t="str">
        <f>IF(Y1514&lt;&gt;0,VLOOKUP(VLOOKUP(Y1514,Tbl_Effect[],3,FALSE),EffectName[],IFERROR(MATCH(UI!$B$1,EffectName[#Headers],0),2),FALSE),"")</f>
        <v/>
      </c>
      <c r="AA1514" t="str">
        <f t="shared" si="161"/>
        <v/>
      </c>
      <c r="AB1514">
        <v>0</v>
      </c>
      <c r="AC1514" t="str">
        <f>IF(AB1514&lt;&gt;0,VLOOKUP(VLOOKUP(AB1514,Tbl_Effect[],3,FALSE),EffectName[],IFERROR(MATCH(UI!$B$1,EffectName[#Headers],0),2),FALSE),"")</f>
        <v/>
      </c>
    </row>
    <row r="1515" spans="8:29" x14ac:dyDescent="0.4">
      <c r="H1515" t="str">
        <f t="shared" si="158"/>
        <v/>
      </c>
      <c r="I1515">
        <v>0</v>
      </c>
      <c r="J1515" t="str">
        <f>_xlfn.IFNA(IF(I1515&lt;&gt;0,VLOOKUP(VLOOKUP(I1515,Tbl_Equip[],2,FALSE),Tbl_Color[],IFERROR(MATCH(UI!$B$1,Tbl_Color[#Headers],0),2),FALSE),""),"Unset")</f>
        <v/>
      </c>
      <c r="K1515" t="str">
        <f>_xlfn.IFNA(IF(I1515&lt;&gt;0,VLOOKUP(I1515,ItemText[],IFERROR(MATCH(UI!$B$1,ItemText[#Headers],0),2),FALSE),""),"Unset")</f>
        <v/>
      </c>
      <c r="M1515">
        <v>0</v>
      </c>
      <c r="P1515">
        <v>0</v>
      </c>
      <c r="S1515">
        <v>0</v>
      </c>
      <c r="T1515" t="str">
        <f>IF(VALUE(S1515)=0,"",VLOOKUP(VLOOKUP(S1515,Tbl_Effect[],3,FALSE),EffectName[],IFERROR(MATCH(UI!$B$1,EffectName[#Headers],0),2),FALSE))</f>
        <v/>
      </c>
      <c r="U1515" t="str">
        <f t="shared" si="159"/>
        <v/>
      </c>
      <c r="V1515">
        <v>0</v>
      </c>
      <c r="W1515" t="str">
        <f>IF(V1515&lt;&gt;0,VLOOKUP(VLOOKUP(V1515,Tbl_Effect[],3,FALSE),EffectName[],IFERROR(MATCH(UI!$B$1,EffectName[#Headers],0),2),FALSE),"")</f>
        <v/>
      </c>
      <c r="X1515" t="str">
        <f t="shared" si="160"/>
        <v/>
      </c>
      <c r="Y1515">
        <v>0</v>
      </c>
      <c r="Z1515" t="str">
        <f>IF(Y1515&lt;&gt;0,VLOOKUP(VLOOKUP(Y1515,Tbl_Effect[],3,FALSE),EffectName[],IFERROR(MATCH(UI!$B$1,EffectName[#Headers],0),2),FALSE),"")</f>
        <v/>
      </c>
      <c r="AA1515" t="str">
        <f t="shared" si="161"/>
        <v/>
      </c>
      <c r="AB1515">
        <v>0</v>
      </c>
      <c r="AC1515" t="str">
        <f>IF(AB1515&lt;&gt;0,VLOOKUP(VLOOKUP(AB1515,Tbl_Effect[],3,FALSE),EffectName[],IFERROR(MATCH(UI!$B$1,EffectName[#Headers],0),2),FALSE),"")</f>
        <v/>
      </c>
    </row>
    <row r="1516" spans="8:29" x14ac:dyDescent="0.4">
      <c r="H1516" t="str">
        <f t="shared" si="158"/>
        <v/>
      </c>
      <c r="I1516">
        <v>0</v>
      </c>
      <c r="J1516" t="str">
        <f>_xlfn.IFNA(IF(I1516&lt;&gt;0,VLOOKUP(VLOOKUP(I1516,Tbl_Equip[],2,FALSE),Tbl_Color[],IFERROR(MATCH(UI!$B$1,Tbl_Color[#Headers],0),2),FALSE),""),"Unset")</f>
        <v/>
      </c>
      <c r="K1516" t="str">
        <f>_xlfn.IFNA(IF(I1516&lt;&gt;0,VLOOKUP(I1516,ItemText[],IFERROR(MATCH(UI!$B$1,ItemText[#Headers],0),2),FALSE),""),"Unset")</f>
        <v/>
      </c>
      <c r="M1516">
        <v>0</v>
      </c>
      <c r="P1516">
        <v>0</v>
      </c>
      <c r="S1516">
        <v>0</v>
      </c>
      <c r="T1516" t="str">
        <f>IF(VALUE(S1516)=0,"",VLOOKUP(VLOOKUP(S1516,Tbl_Effect[],3,FALSE),EffectName[],IFERROR(MATCH(UI!$B$1,EffectName[#Headers],0),2),FALSE))</f>
        <v/>
      </c>
      <c r="U1516" t="str">
        <f t="shared" si="159"/>
        <v/>
      </c>
      <c r="V1516">
        <v>0</v>
      </c>
      <c r="W1516" t="str">
        <f>IF(V1516&lt;&gt;0,VLOOKUP(VLOOKUP(V1516,Tbl_Effect[],3,FALSE),EffectName[],IFERROR(MATCH(UI!$B$1,EffectName[#Headers],0),2),FALSE),"")</f>
        <v/>
      </c>
      <c r="X1516" t="str">
        <f t="shared" si="160"/>
        <v/>
      </c>
      <c r="Y1516">
        <v>0</v>
      </c>
      <c r="Z1516" t="str">
        <f>IF(Y1516&lt;&gt;0,VLOOKUP(VLOOKUP(Y1516,Tbl_Effect[],3,FALSE),EffectName[],IFERROR(MATCH(UI!$B$1,EffectName[#Headers],0),2),FALSE),"")</f>
        <v/>
      </c>
      <c r="AA1516" t="str">
        <f t="shared" si="161"/>
        <v/>
      </c>
      <c r="AB1516">
        <v>0</v>
      </c>
      <c r="AC1516" t="str">
        <f>IF(AB1516&lt;&gt;0,VLOOKUP(VLOOKUP(AB1516,Tbl_Effect[],3,FALSE),EffectName[],IFERROR(MATCH(UI!$B$1,EffectName[#Headers],0),2),FALSE),"")</f>
        <v/>
      </c>
    </row>
    <row r="1517" spans="8:29" x14ac:dyDescent="0.4">
      <c r="H1517" t="str">
        <f t="shared" si="158"/>
        <v/>
      </c>
      <c r="I1517">
        <v>0</v>
      </c>
      <c r="J1517" t="str">
        <f>_xlfn.IFNA(IF(I1517&lt;&gt;0,VLOOKUP(VLOOKUP(I1517,Tbl_Equip[],2,FALSE),Tbl_Color[],IFERROR(MATCH(UI!$B$1,Tbl_Color[#Headers],0),2),FALSE),""),"Unset")</f>
        <v/>
      </c>
      <c r="K1517" t="str">
        <f>_xlfn.IFNA(IF(I1517&lt;&gt;0,VLOOKUP(I1517,ItemText[],IFERROR(MATCH(UI!$B$1,ItemText[#Headers],0),2),FALSE),""),"Unset")</f>
        <v/>
      </c>
      <c r="M1517">
        <v>0</v>
      </c>
      <c r="P1517">
        <v>0</v>
      </c>
      <c r="S1517">
        <v>0</v>
      </c>
      <c r="T1517" t="str">
        <f>IF(VALUE(S1517)=0,"",VLOOKUP(VLOOKUP(S1517,Tbl_Effect[],3,FALSE),EffectName[],IFERROR(MATCH(UI!$B$1,EffectName[#Headers],0),2),FALSE))</f>
        <v/>
      </c>
      <c r="U1517" t="str">
        <f t="shared" si="159"/>
        <v/>
      </c>
      <c r="V1517">
        <v>0</v>
      </c>
      <c r="W1517" t="str">
        <f>IF(V1517&lt;&gt;0,VLOOKUP(VLOOKUP(V1517,Tbl_Effect[],3,FALSE),EffectName[],IFERROR(MATCH(UI!$B$1,EffectName[#Headers],0),2),FALSE),"")</f>
        <v/>
      </c>
      <c r="X1517" t="str">
        <f t="shared" si="160"/>
        <v/>
      </c>
      <c r="Y1517">
        <v>0</v>
      </c>
      <c r="Z1517" t="str">
        <f>IF(Y1517&lt;&gt;0,VLOOKUP(VLOOKUP(Y1517,Tbl_Effect[],3,FALSE),EffectName[],IFERROR(MATCH(UI!$B$1,EffectName[#Headers],0),2),FALSE),"")</f>
        <v/>
      </c>
      <c r="AA1517" t="str">
        <f t="shared" si="161"/>
        <v/>
      </c>
      <c r="AB1517">
        <v>0</v>
      </c>
      <c r="AC1517" t="str">
        <f>IF(AB1517&lt;&gt;0,VLOOKUP(VLOOKUP(AB1517,Tbl_Effect[],3,FALSE),EffectName[],IFERROR(MATCH(UI!$B$1,EffectName[#Headers],0),2),FALSE),"")</f>
        <v/>
      </c>
    </row>
    <row r="1518" spans="8:29" x14ac:dyDescent="0.4">
      <c r="H1518" t="str">
        <f t="shared" si="158"/>
        <v/>
      </c>
      <c r="I1518">
        <v>0</v>
      </c>
      <c r="J1518" t="str">
        <f>_xlfn.IFNA(IF(I1518&lt;&gt;0,VLOOKUP(VLOOKUP(I1518,Tbl_Equip[],2,FALSE),Tbl_Color[],IFERROR(MATCH(UI!$B$1,Tbl_Color[#Headers],0),2),FALSE),""),"Unset")</f>
        <v/>
      </c>
      <c r="K1518" t="str">
        <f>_xlfn.IFNA(IF(I1518&lt;&gt;0,VLOOKUP(I1518,ItemText[],IFERROR(MATCH(UI!$B$1,ItemText[#Headers],0),2),FALSE),""),"Unset")</f>
        <v/>
      </c>
      <c r="M1518">
        <v>0</v>
      </c>
      <c r="P1518">
        <v>0</v>
      </c>
      <c r="S1518">
        <v>0</v>
      </c>
      <c r="T1518" t="str">
        <f>IF(VALUE(S1518)=0,"",VLOOKUP(VLOOKUP(S1518,Tbl_Effect[],3,FALSE),EffectName[],IFERROR(MATCH(UI!$B$1,EffectName[#Headers],0),2),FALSE))</f>
        <v/>
      </c>
      <c r="U1518" t="str">
        <f t="shared" si="159"/>
        <v/>
      </c>
      <c r="V1518">
        <v>0</v>
      </c>
      <c r="W1518" t="str">
        <f>IF(V1518&lt;&gt;0,VLOOKUP(VLOOKUP(V1518,Tbl_Effect[],3,FALSE),EffectName[],IFERROR(MATCH(UI!$B$1,EffectName[#Headers],0),2),FALSE),"")</f>
        <v/>
      </c>
      <c r="X1518" t="str">
        <f t="shared" si="160"/>
        <v/>
      </c>
      <c r="Y1518">
        <v>0</v>
      </c>
      <c r="Z1518" t="str">
        <f>IF(Y1518&lt;&gt;0,VLOOKUP(VLOOKUP(Y1518,Tbl_Effect[],3,FALSE),EffectName[],IFERROR(MATCH(UI!$B$1,EffectName[#Headers],0),2),FALSE),"")</f>
        <v/>
      </c>
      <c r="AA1518" t="str">
        <f t="shared" si="161"/>
        <v/>
      </c>
      <c r="AB1518">
        <v>0</v>
      </c>
      <c r="AC1518" t="str">
        <f>IF(AB1518&lt;&gt;0,VLOOKUP(VLOOKUP(AB1518,Tbl_Effect[],3,FALSE),EffectName[],IFERROR(MATCH(UI!$B$1,EffectName[#Headers],0),2),FALSE),"")</f>
        <v/>
      </c>
    </row>
    <row r="1519" spans="8:29" x14ac:dyDescent="0.4">
      <c r="H1519" t="str">
        <f t="shared" si="158"/>
        <v/>
      </c>
      <c r="I1519">
        <v>0</v>
      </c>
      <c r="J1519" t="str">
        <f>_xlfn.IFNA(IF(I1519&lt;&gt;0,VLOOKUP(VLOOKUP(I1519,Tbl_Equip[],2,FALSE),Tbl_Color[],IFERROR(MATCH(UI!$B$1,Tbl_Color[#Headers],0),2),FALSE),""),"Unset")</f>
        <v/>
      </c>
      <c r="K1519" t="str">
        <f>_xlfn.IFNA(IF(I1519&lt;&gt;0,VLOOKUP(I1519,ItemText[],IFERROR(MATCH(UI!$B$1,ItemText[#Headers],0),2),FALSE),""),"Unset")</f>
        <v/>
      </c>
      <c r="M1519">
        <v>0</v>
      </c>
      <c r="P1519">
        <v>0</v>
      </c>
      <c r="S1519">
        <v>0</v>
      </c>
      <c r="T1519" t="str">
        <f>IF(VALUE(S1519)=0,"",VLOOKUP(VLOOKUP(S1519,Tbl_Effect[],3,FALSE),EffectName[],IFERROR(MATCH(UI!$B$1,EffectName[#Headers],0),2),FALSE))</f>
        <v/>
      </c>
      <c r="U1519" t="str">
        <f t="shared" si="159"/>
        <v/>
      </c>
      <c r="V1519">
        <v>0</v>
      </c>
      <c r="W1519" t="str">
        <f>IF(V1519&lt;&gt;0,VLOOKUP(VLOOKUP(V1519,Tbl_Effect[],3,FALSE),EffectName[],IFERROR(MATCH(UI!$B$1,EffectName[#Headers],0),2),FALSE),"")</f>
        <v/>
      </c>
      <c r="X1519" t="str">
        <f t="shared" si="160"/>
        <v/>
      </c>
      <c r="Y1519">
        <v>0</v>
      </c>
      <c r="Z1519" t="str">
        <f>IF(Y1519&lt;&gt;0,VLOOKUP(VLOOKUP(Y1519,Tbl_Effect[],3,FALSE),EffectName[],IFERROR(MATCH(UI!$B$1,EffectName[#Headers],0),2),FALSE),"")</f>
        <v/>
      </c>
      <c r="AA1519" t="str">
        <f t="shared" si="161"/>
        <v/>
      </c>
      <c r="AB1519">
        <v>0</v>
      </c>
      <c r="AC1519" t="str">
        <f>IF(AB1519&lt;&gt;0,VLOOKUP(VLOOKUP(AB1519,Tbl_Effect[],3,FALSE),EffectName[],IFERROR(MATCH(UI!$B$1,EffectName[#Headers],0),2),FALSE),"")</f>
        <v/>
      </c>
    </row>
    <row r="1520" spans="8:29" x14ac:dyDescent="0.4">
      <c r="H1520" t="str">
        <f t="shared" si="158"/>
        <v/>
      </c>
      <c r="I1520">
        <v>0</v>
      </c>
      <c r="J1520" t="str">
        <f>_xlfn.IFNA(IF(I1520&lt;&gt;0,VLOOKUP(VLOOKUP(I1520,Tbl_Equip[],2,FALSE),Tbl_Color[],IFERROR(MATCH(UI!$B$1,Tbl_Color[#Headers],0),2),FALSE),""),"Unset")</f>
        <v/>
      </c>
      <c r="K1520" t="str">
        <f>_xlfn.IFNA(IF(I1520&lt;&gt;0,VLOOKUP(I1520,ItemText[],IFERROR(MATCH(UI!$B$1,ItemText[#Headers],0),2),FALSE),""),"Unset")</f>
        <v/>
      </c>
      <c r="M1520">
        <v>0</v>
      </c>
      <c r="P1520">
        <v>0</v>
      </c>
      <c r="S1520">
        <v>0</v>
      </c>
      <c r="T1520" t="str">
        <f>IF(VALUE(S1520)=0,"",VLOOKUP(VLOOKUP(S1520,Tbl_Effect[],3,FALSE),EffectName[],IFERROR(MATCH(UI!$B$1,EffectName[#Headers],0),2),FALSE))</f>
        <v/>
      </c>
      <c r="U1520" t="str">
        <f t="shared" si="159"/>
        <v/>
      </c>
      <c r="V1520">
        <v>0</v>
      </c>
      <c r="W1520" t="str">
        <f>IF(V1520&lt;&gt;0,VLOOKUP(VLOOKUP(V1520,Tbl_Effect[],3,FALSE),EffectName[],IFERROR(MATCH(UI!$B$1,EffectName[#Headers],0),2),FALSE),"")</f>
        <v/>
      </c>
      <c r="X1520" t="str">
        <f t="shared" si="160"/>
        <v/>
      </c>
      <c r="Y1520">
        <v>0</v>
      </c>
      <c r="Z1520" t="str">
        <f>IF(Y1520&lt;&gt;0,VLOOKUP(VLOOKUP(Y1520,Tbl_Effect[],3,FALSE),EffectName[],IFERROR(MATCH(UI!$B$1,EffectName[#Headers],0),2),FALSE),"")</f>
        <v/>
      </c>
      <c r="AA1520" t="str">
        <f t="shared" si="161"/>
        <v/>
      </c>
      <c r="AB1520">
        <v>0</v>
      </c>
      <c r="AC1520" t="str">
        <f>IF(AB1520&lt;&gt;0,VLOOKUP(VLOOKUP(AB1520,Tbl_Effect[],3,FALSE),EffectName[],IFERROR(MATCH(UI!$B$1,EffectName[#Headers],0),2),FALSE),"")</f>
        <v/>
      </c>
    </row>
    <row r="1521" spans="8:29" x14ac:dyDescent="0.4">
      <c r="H1521" t="str">
        <f t="shared" si="158"/>
        <v/>
      </c>
      <c r="I1521">
        <v>0</v>
      </c>
      <c r="J1521" t="str">
        <f>_xlfn.IFNA(IF(I1521&lt;&gt;0,VLOOKUP(VLOOKUP(I1521,Tbl_Equip[],2,FALSE),Tbl_Color[],IFERROR(MATCH(UI!$B$1,Tbl_Color[#Headers],0),2),FALSE),""),"Unset")</f>
        <v/>
      </c>
      <c r="K1521" t="str">
        <f>_xlfn.IFNA(IF(I1521&lt;&gt;0,VLOOKUP(I1521,ItemText[],IFERROR(MATCH(UI!$B$1,ItemText[#Headers],0),2),FALSE),""),"Unset")</f>
        <v/>
      </c>
      <c r="M1521">
        <v>0</v>
      </c>
      <c r="P1521">
        <v>0</v>
      </c>
      <c r="S1521">
        <v>0</v>
      </c>
      <c r="T1521" t="str">
        <f>IF(VALUE(S1521)=0,"",VLOOKUP(VLOOKUP(S1521,Tbl_Effect[],3,FALSE),EffectName[],IFERROR(MATCH(UI!$B$1,EffectName[#Headers],0),2),FALSE))</f>
        <v/>
      </c>
      <c r="U1521" t="str">
        <f t="shared" si="159"/>
        <v/>
      </c>
      <c r="V1521">
        <v>0</v>
      </c>
      <c r="W1521" t="str">
        <f>IF(V1521&lt;&gt;0,VLOOKUP(VLOOKUP(V1521,Tbl_Effect[],3,FALSE),EffectName[],IFERROR(MATCH(UI!$B$1,EffectName[#Headers],0),2),FALSE),"")</f>
        <v/>
      </c>
      <c r="X1521" t="str">
        <f t="shared" si="160"/>
        <v/>
      </c>
      <c r="Y1521">
        <v>0</v>
      </c>
      <c r="Z1521" t="str">
        <f>IF(Y1521&lt;&gt;0,VLOOKUP(VLOOKUP(Y1521,Tbl_Effect[],3,FALSE),EffectName[],IFERROR(MATCH(UI!$B$1,EffectName[#Headers],0),2),FALSE),"")</f>
        <v/>
      </c>
      <c r="AA1521" t="str">
        <f t="shared" si="161"/>
        <v/>
      </c>
      <c r="AB1521">
        <v>0</v>
      </c>
      <c r="AC1521" t="str">
        <f>IF(AB1521&lt;&gt;0,VLOOKUP(VLOOKUP(AB1521,Tbl_Effect[],3,FALSE),EffectName[],IFERROR(MATCH(UI!$B$1,EffectName[#Headers],0),2),FALSE),"")</f>
        <v/>
      </c>
    </row>
    <row r="1522" spans="8:29" x14ac:dyDescent="0.4">
      <c r="H1522" t="str">
        <f t="shared" si="158"/>
        <v/>
      </c>
      <c r="I1522">
        <v>0</v>
      </c>
      <c r="J1522" t="str">
        <f>_xlfn.IFNA(IF(I1522&lt;&gt;0,VLOOKUP(VLOOKUP(I1522,Tbl_Equip[],2,FALSE),Tbl_Color[],IFERROR(MATCH(UI!$B$1,Tbl_Color[#Headers],0),2),FALSE),""),"Unset")</f>
        <v/>
      </c>
      <c r="K1522" t="str">
        <f>_xlfn.IFNA(IF(I1522&lt;&gt;0,VLOOKUP(I1522,ItemText[],IFERROR(MATCH(UI!$B$1,ItemText[#Headers],0),2),FALSE),""),"Unset")</f>
        <v/>
      </c>
      <c r="M1522">
        <v>0</v>
      </c>
      <c r="P1522">
        <v>0</v>
      </c>
      <c r="S1522">
        <v>0</v>
      </c>
      <c r="T1522" t="str">
        <f>IF(VALUE(S1522)=0,"",VLOOKUP(VLOOKUP(S1522,Tbl_Effect[],3,FALSE),EffectName[],IFERROR(MATCH(UI!$B$1,EffectName[#Headers],0),2),FALSE))</f>
        <v/>
      </c>
      <c r="U1522" t="str">
        <f t="shared" si="159"/>
        <v/>
      </c>
      <c r="V1522">
        <v>0</v>
      </c>
      <c r="W1522" t="str">
        <f>IF(V1522&lt;&gt;0,VLOOKUP(VLOOKUP(V1522,Tbl_Effect[],3,FALSE),EffectName[],IFERROR(MATCH(UI!$B$1,EffectName[#Headers],0),2),FALSE),"")</f>
        <v/>
      </c>
      <c r="X1522" t="str">
        <f t="shared" si="160"/>
        <v/>
      </c>
      <c r="Y1522">
        <v>0</v>
      </c>
      <c r="Z1522" t="str">
        <f>IF(Y1522&lt;&gt;0,VLOOKUP(VLOOKUP(Y1522,Tbl_Effect[],3,FALSE),EffectName[],IFERROR(MATCH(UI!$B$1,EffectName[#Headers],0),2),FALSE),"")</f>
        <v/>
      </c>
      <c r="AA1522" t="str">
        <f t="shared" si="161"/>
        <v/>
      </c>
      <c r="AB1522">
        <v>0</v>
      </c>
      <c r="AC1522" t="str">
        <f>IF(AB1522&lt;&gt;0,VLOOKUP(VLOOKUP(AB1522,Tbl_Effect[],3,FALSE),EffectName[],IFERROR(MATCH(UI!$B$1,EffectName[#Headers],0),2),FALSE),"")</f>
        <v/>
      </c>
    </row>
    <row r="1523" spans="8:29" x14ac:dyDescent="0.4">
      <c r="H1523" t="str">
        <f t="shared" si="158"/>
        <v/>
      </c>
      <c r="I1523">
        <v>0</v>
      </c>
      <c r="J1523" t="str">
        <f>_xlfn.IFNA(IF(I1523&lt;&gt;0,VLOOKUP(VLOOKUP(I1523,Tbl_Equip[],2,FALSE),Tbl_Color[],IFERROR(MATCH(UI!$B$1,Tbl_Color[#Headers],0),2),FALSE),""),"Unset")</f>
        <v/>
      </c>
      <c r="K1523" t="str">
        <f>_xlfn.IFNA(IF(I1523&lt;&gt;0,VLOOKUP(I1523,ItemText[],IFERROR(MATCH(UI!$B$1,ItemText[#Headers],0),2),FALSE),""),"Unset")</f>
        <v/>
      </c>
      <c r="M1523">
        <v>0</v>
      </c>
      <c r="P1523">
        <v>0</v>
      </c>
      <c r="S1523">
        <v>0</v>
      </c>
      <c r="T1523" t="str">
        <f>IF(VALUE(S1523)=0,"",VLOOKUP(VLOOKUP(S1523,Tbl_Effect[],3,FALSE),EffectName[],IFERROR(MATCH(UI!$B$1,EffectName[#Headers],0),2),FALSE))</f>
        <v/>
      </c>
      <c r="U1523" t="str">
        <f t="shared" si="159"/>
        <v/>
      </c>
      <c r="V1523">
        <v>0</v>
      </c>
      <c r="W1523" t="str">
        <f>IF(V1523&lt;&gt;0,VLOOKUP(VLOOKUP(V1523,Tbl_Effect[],3,FALSE),EffectName[],IFERROR(MATCH(UI!$B$1,EffectName[#Headers],0),2),FALSE),"")</f>
        <v/>
      </c>
      <c r="X1523" t="str">
        <f t="shared" si="160"/>
        <v/>
      </c>
      <c r="Y1523">
        <v>0</v>
      </c>
      <c r="Z1523" t="str">
        <f>IF(Y1523&lt;&gt;0,VLOOKUP(VLOOKUP(Y1523,Tbl_Effect[],3,FALSE),EffectName[],IFERROR(MATCH(UI!$B$1,EffectName[#Headers],0),2),FALSE),"")</f>
        <v/>
      </c>
      <c r="AA1523" t="str">
        <f t="shared" si="161"/>
        <v/>
      </c>
      <c r="AB1523">
        <v>0</v>
      </c>
      <c r="AC1523" t="str">
        <f>IF(AB1523&lt;&gt;0,VLOOKUP(VLOOKUP(AB1523,Tbl_Effect[],3,FALSE),EffectName[],IFERROR(MATCH(UI!$B$1,EffectName[#Headers],0),2),FALSE),"")</f>
        <v/>
      </c>
    </row>
    <row r="1524" spans="8:29" x14ac:dyDescent="0.4">
      <c r="H1524" t="str">
        <f t="shared" si="158"/>
        <v/>
      </c>
      <c r="I1524">
        <v>0</v>
      </c>
      <c r="J1524" t="str">
        <f>_xlfn.IFNA(IF(I1524&lt;&gt;0,VLOOKUP(VLOOKUP(I1524,Tbl_Equip[],2,FALSE),Tbl_Color[],IFERROR(MATCH(UI!$B$1,Tbl_Color[#Headers],0),2),FALSE),""),"Unset")</f>
        <v/>
      </c>
      <c r="K1524" t="str">
        <f>_xlfn.IFNA(IF(I1524&lt;&gt;0,VLOOKUP(I1524,ItemText[],IFERROR(MATCH(UI!$B$1,ItemText[#Headers],0),2),FALSE),""),"Unset")</f>
        <v/>
      </c>
      <c r="M1524">
        <v>0</v>
      </c>
      <c r="P1524">
        <v>0</v>
      </c>
      <c r="S1524">
        <v>0</v>
      </c>
      <c r="T1524" t="str">
        <f>IF(VALUE(S1524)=0,"",VLOOKUP(VLOOKUP(S1524,Tbl_Effect[],3,FALSE),EffectName[],IFERROR(MATCH(UI!$B$1,EffectName[#Headers],0),2),FALSE))</f>
        <v/>
      </c>
      <c r="U1524" t="str">
        <f t="shared" si="159"/>
        <v/>
      </c>
      <c r="V1524">
        <v>0</v>
      </c>
      <c r="W1524" t="str">
        <f>IF(V1524&lt;&gt;0,VLOOKUP(VLOOKUP(V1524,Tbl_Effect[],3,FALSE),EffectName[],IFERROR(MATCH(UI!$B$1,EffectName[#Headers],0),2),FALSE),"")</f>
        <v/>
      </c>
      <c r="X1524" t="str">
        <f t="shared" si="160"/>
        <v/>
      </c>
      <c r="Y1524">
        <v>0</v>
      </c>
      <c r="Z1524" t="str">
        <f>IF(Y1524&lt;&gt;0,VLOOKUP(VLOOKUP(Y1524,Tbl_Effect[],3,FALSE),EffectName[],IFERROR(MATCH(UI!$B$1,EffectName[#Headers],0),2),FALSE),"")</f>
        <v/>
      </c>
      <c r="AA1524" t="str">
        <f t="shared" si="161"/>
        <v/>
      </c>
      <c r="AB1524">
        <v>0</v>
      </c>
      <c r="AC1524" t="str">
        <f>IF(AB1524&lt;&gt;0,VLOOKUP(VLOOKUP(AB1524,Tbl_Effect[],3,FALSE),EffectName[],IFERROR(MATCH(UI!$B$1,EffectName[#Headers],0),2),FALSE),"")</f>
        <v/>
      </c>
    </row>
    <row r="1525" spans="8:29" x14ac:dyDescent="0.4">
      <c r="H1525" t="str">
        <f t="shared" si="158"/>
        <v/>
      </c>
      <c r="I1525">
        <v>0</v>
      </c>
      <c r="J1525" t="str">
        <f>_xlfn.IFNA(IF(I1525&lt;&gt;0,VLOOKUP(VLOOKUP(I1525,Tbl_Equip[],2,FALSE),Tbl_Color[],IFERROR(MATCH(UI!$B$1,Tbl_Color[#Headers],0),2),FALSE),""),"Unset")</f>
        <v/>
      </c>
      <c r="K1525" t="str">
        <f>_xlfn.IFNA(IF(I1525&lt;&gt;0,VLOOKUP(I1525,ItemText[],IFERROR(MATCH(UI!$B$1,ItemText[#Headers],0),2),FALSE),""),"Unset")</f>
        <v/>
      </c>
      <c r="M1525">
        <v>0</v>
      </c>
      <c r="P1525">
        <v>0</v>
      </c>
      <c r="S1525">
        <v>0</v>
      </c>
      <c r="T1525" t="str">
        <f>IF(VALUE(S1525)=0,"",VLOOKUP(VLOOKUP(S1525,Tbl_Effect[],3,FALSE),EffectName[],IFERROR(MATCH(UI!$B$1,EffectName[#Headers],0),2),FALSE))</f>
        <v/>
      </c>
      <c r="U1525" t="str">
        <f t="shared" si="159"/>
        <v/>
      </c>
      <c r="V1525">
        <v>0</v>
      </c>
      <c r="W1525" t="str">
        <f>IF(V1525&lt;&gt;0,VLOOKUP(VLOOKUP(V1525,Tbl_Effect[],3,FALSE),EffectName[],IFERROR(MATCH(UI!$B$1,EffectName[#Headers],0),2),FALSE),"")</f>
        <v/>
      </c>
      <c r="X1525" t="str">
        <f t="shared" si="160"/>
        <v/>
      </c>
      <c r="Y1525">
        <v>0</v>
      </c>
      <c r="Z1525" t="str">
        <f>IF(Y1525&lt;&gt;0,VLOOKUP(VLOOKUP(Y1525,Tbl_Effect[],3,FALSE),EffectName[],IFERROR(MATCH(UI!$B$1,EffectName[#Headers],0),2),FALSE),"")</f>
        <v/>
      </c>
      <c r="AA1525" t="str">
        <f t="shared" si="161"/>
        <v/>
      </c>
      <c r="AB1525">
        <v>0</v>
      </c>
      <c r="AC1525" t="str">
        <f>IF(AB1525&lt;&gt;0,VLOOKUP(VLOOKUP(AB1525,Tbl_Effect[],3,FALSE),EffectName[],IFERROR(MATCH(UI!$B$1,EffectName[#Headers],0),2),FALSE),"")</f>
        <v/>
      </c>
    </row>
    <row r="1526" spans="8:29" x14ac:dyDescent="0.4">
      <c r="H1526" t="str">
        <f t="shared" si="158"/>
        <v/>
      </c>
      <c r="I1526">
        <v>0</v>
      </c>
      <c r="J1526" t="str">
        <f>_xlfn.IFNA(IF(I1526&lt;&gt;0,VLOOKUP(VLOOKUP(I1526,Tbl_Equip[],2,FALSE),Tbl_Color[],IFERROR(MATCH(UI!$B$1,Tbl_Color[#Headers],0),2),FALSE),""),"Unset")</f>
        <v/>
      </c>
      <c r="K1526" t="str">
        <f>_xlfn.IFNA(IF(I1526&lt;&gt;0,VLOOKUP(I1526,ItemText[],IFERROR(MATCH(UI!$B$1,ItemText[#Headers],0),2),FALSE),""),"Unset")</f>
        <v/>
      </c>
      <c r="M1526">
        <v>0</v>
      </c>
      <c r="P1526">
        <v>0</v>
      </c>
      <c r="S1526">
        <v>0</v>
      </c>
      <c r="T1526" t="str">
        <f>IF(VALUE(S1526)=0,"",VLOOKUP(VLOOKUP(S1526,Tbl_Effect[],3,FALSE),EffectName[],IFERROR(MATCH(UI!$B$1,EffectName[#Headers],0),2),FALSE))</f>
        <v/>
      </c>
      <c r="U1526" t="str">
        <f t="shared" si="159"/>
        <v/>
      </c>
      <c r="V1526">
        <v>0</v>
      </c>
      <c r="W1526" t="str">
        <f>IF(V1526&lt;&gt;0,VLOOKUP(VLOOKUP(V1526,Tbl_Effect[],3,FALSE),EffectName[],IFERROR(MATCH(UI!$B$1,EffectName[#Headers],0),2),FALSE),"")</f>
        <v/>
      </c>
      <c r="X1526" t="str">
        <f t="shared" si="160"/>
        <v/>
      </c>
      <c r="Y1526">
        <v>0</v>
      </c>
      <c r="Z1526" t="str">
        <f>IF(Y1526&lt;&gt;0,VLOOKUP(VLOOKUP(Y1526,Tbl_Effect[],3,FALSE),EffectName[],IFERROR(MATCH(UI!$B$1,EffectName[#Headers],0),2),FALSE),"")</f>
        <v/>
      </c>
      <c r="AA1526" t="str">
        <f t="shared" si="161"/>
        <v/>
      </c>
      <c r="AB1526">
        <v>0</v>
      </c>
      <c r="AC1526" t="str">
        <f>IF(AB1526&lt;&gt;0,VLOOKUP(VLOOKUP(AB1526,Tbl_Effect[],3,FALSE),EffectName[],IFERROR(MATCH(UI!$B$1,EffectName[#Headers],0),2),FALSE),"")</f>
        <v/>
      </c>
    </row>
    <row r="1527" spans="8:29" x14ac:dyDescent="0.4">
      <c r="H1527" t="str">
        <f t="shared" si="158"/>
        <v/>
      </c>
      <c r="I1527">
        <v>0</v>
      </c>
      <c r="J1527" t="str">
        <f>_xlfn.IFNA(IF(I1527&lt;&gt;0,VLOOKUP(VLOOKUP(I1527,Tbl_Equip[],2,FALSE),Tbl_Color[],IFERROR(MATCH(UI!$B$1,Tbl_Color[#Headers],0),2),FALSE),""),"Unset")</f>
        <v/>
      </c>
      <c r="K1527" t="str">
        <f>_xlfn.IFNA(IF(I1527&lt;&gt;0,VLOOKUP(I1527,ItemText[],IFERROR(MATCH(UI!$B$1,ItemText[#Headers],0),2),FALSE),""),"Unset")</f>
        <v/>
      </c>
      <c r="M1527">
        <v>0</v>
      </c>
      <c r="P1527">
        <v>0</v>
      </c>
      <c r="S1527">
        <v>0</v>
      </c>
      <c r="T1527" t="str">
        <f>IF(VALUE(S1527)=0,"",VLOOKUP(VLOOKUP(S1527,Tbl_Effect[],3,FALSE),EffectName[],IFERROR(MATCH(UI!$B$1,EffectName[#Headers],0),2),FALSE))</f>
        <v/>
      </c>
      <c r="U1527" t="str">
        <f t="shared" si="159"/>
        <v/>
      </c>
      <c r="V1527">
        <v>0</v>
      </c>
      <c r="W1527" t="str">
        <f>IF(V1527&lt;&gt;0,VLOOKUP(VLOOKUP(V1527,Tbl_Effect[],3,FALSE),EffectName[],IFERROR(MATCH(UI!$B$1,EffectName[#Headers],0),2),FALSE),"")</f>
        <v/>
      </c>
      <c r="X1527" t="str">
        <f t="shared" si="160"/>
        <v/>
      </c>
      <c r="Y1527">
        <v>0</v>
      </c>
      <c r="Z1527" t="str">
        <f>IF(Y1527&lt;&gt;0,VLOOKUP(VLOOKUP(Y1527,Tbl_Effect[],3,FALSE),EffectName[],IFERROR(MATCH(UI!$B$1,EffectName[#Headers],0),2),FALSE),"")</f>
        <v/>
      </c>
      <c r="AA1527" t="str">
        <f t="shared" si="161"/>
        <v/>
      </c>
      <c r="AB1527">
        <v>0</v>
      </c>
      <c r="AC1527" t="str">
        <f>IF(AB1527&lt;&gt;0,VLOOKUP(VLOOKUP(AB1527,Tbl_Effect[],3,FALSE),EffectName[],IFERROR(MATCH(UI!$B$1,EffectName[#Headers],0),2),FALSE),"")</f>
        <v/>
      </c>
    </row>
    <row r="1528" spans="8:29" x14ac:dyDescent="0.4">
      <c r="H1528" t="str">
        <f t="shared" si="158"/>
        <v/>
      </c>
      <c r="I1528">
        <v>0</v>
      </c>
      <c r="J1528" t="str">
        <f>_xlfn.IFNA(IF(I1528&lt;&gt;0,VLOOKUP(VLOOKUP(I1528,Tbl_Equip[],2,FALSE),Tbl_Color[],IFERROR(MATCH(UI!$B$1,Tbl_Color[#Headers],0),2),FALSE),""),"Unset")</f>
        <v/>
      </c>
      <c r="K1528" t="str">
        <f>_xlfn.IFNA(IF(I1528&lt;&gt;0,VLOOKUP(I1528,ItemText[],IFERROR(MATCH(UI!$B$1,ItemText[#Headers],0),2),FALSE),""),"Unset")</f>
        <v/>
      </c>
      <c r="M1528">
        <v>0</v>
      </c>
      <c r="P1528">
        <v>0</v>
      </c>
      <c r="S1528">
        <v>0</v>
      </c>
      <c r="T1528" t="str">
        <f>IF(VALUE(S1528)=0,"",VLOOKUP(VLOOKUP(S1528,Tbl_Effect[],3,FALSE),EffectName[],IFERROR(MATCH(UI!$B$1,EffectName[#Headers],0),2),FALSE))</f>
        <v/>
      </c>
      <c r="U1528" t="str">
        <f t="shared" si="159"/>
        <v/>
      </c>
      <c r="V1528">
        <v>0</v>
      </c>
      <c r="W1528" t="str">
        <f>IF(V1528&lt;&gt;0,VLOOKUP(VLOOKUP(V1528,Tbl_Effect[],3,FALSE),EffectName[],IFERROR(MATCH(UI!$B$1,EffectName[#Headers],0),2),FALSE),"")</f>
        <v/>
      </c>
      <c r="X1528" t="str">
        <f t="shared" si="160"/>
        <v/>
      </c>
      <c r="Y1528">
        <v>0</v>
      </c>
      <c r="Z1528" t="str">
        <f>IF(Y1528&lt;&gt;0,VLOOKUP(VLOOKUP(Y1528,Tbl_Effect[],3,FALSE),EffectName[],IFERROR(MATCH(UI!$B$1,EffectName[#Headers],0),2),FALSE),"")</f>
        <v/>
      </c>
      <c r="AA1528" t="str">
        <f t="shared" si="161"/>
        <v/>
      </c>
      <c r="AB1528">
        <v>0</v>
      </c>
      <c r="AC1528" t="str">
        <f>IF(AB1528&lt;&gt;0,VLOOKUP(VLOOKUP(AB1528,Tbl_Effect[],3,FALSE),EffectName[],IFERROR(MATCH(UI!$B$1,EffectName[#Headers],0),2),FALSE),"")</f>
        <v/>
      </c>
    </row>
    <row r="1529" spans="8:29" x14ac:dyDescent="0.4">
      <c r="H1529" t="str">
        <f t="shared" si="158"/>
        <v/>
      </c>
      <c r="I1529">
        <v>0</v>
      </c>
      <c r="J1529" t="str">
        <f>_xlfn.IFNA(IF(I1529&lt;&gt;0,VLOOKUP(VLOOKUP(I1529,Tbl_Equip[],2,FALSE),Tbl_Color[],IFERROR(MATCH(UI!$B$1,Tbl_Color[#Headers],0),2),FALSE),""),"Unset")</f>
        <v/>
      </c>
      <c r="K1529" t="str">
        <f>_xlfn.IFNA(IF(I1529&lt;&gt;0,VLOOKUP(I1529,ItemText[],IFERROR(MATCH(UI!$B$1,ItemText[#Headers],0),2),FALSE),""),"Unset")</f>
        <v/>
      </c>
      <c r="M1529">
        <v>0</v>
      </c>
      <c r="P1529">
        <v>0</v>
      </c>
      <c r="S1529">
        <v>0</v>
      </c>
      <c r="T1529" t="str">
        <f>IF(VALUE(S1529)=0,"",VLOOKUP(VLOOKUP(S1529,Tbl_Effect[],3,FALSE),EffectName[],IFERROR(MATCH(UI!$B$1,EffectName[#Headers],0),2),FALSE))</f>
        <v/>
      </c>
      <c r="U1529" t="str">
        <f t="shared" si="159"/>
        <v/>
      </c>
      <c r="V1529">
        <v>0</v>
      </c>
      <c r="W1529" t="str">
        <f>IF(V1529&lt;&gt;0,VLOOKUP(VLOOKUP(V1529,Tbl_Effect[],3,FALSE),EffectName[],IFERROR(MATCH(UI!$B$1,EffectName[#Headers],0),2),FALSE),"")</f>
        <v/>
      </c>
      <c r="X1529" t="str">
        <f t="shared" si="160"/>
        <v/>
      </c>
      <c r="Y1529">
        <v>0</v>
      </c>
      <c r="Z1529" t="str">
        <f>IF(Y1529&lt;&gt;0,VLOOKUP(VLOOKUP(Y1529,Tbl_Effect[],3,FALSE),EffectName[],IFERROR(MATCH(UI!$B$1,EffectName[#Headers],0),2),FALSE),"")</f>
        <v/>
      </c>
      <c r="AA1529" t="str">
        <f t="shared" si="161"/>
        <v/>
      </c>
      <c r="AB1529">
        <v>0</v>
      </c>
      <c r="AC1529" t="str">
        <f>IF(AB1529&lt;&gt;0,VLOOKUP(VLOOKUP(AB1529,Tbl_Effect[],3,FALSE),EffectName[],IFERROR(MATCH(UI!$B$1,EffectName[#Headers],0),2),FALSE),"")</f>
        <v/>
      </c>
    </row>
    <row r="1530" spans="8:29" x14ac:dyDescent="0.4">
      <c r="H1530" t="str">
        <f t="shared" si="158"/>
        <v/>
      </c>
      <c r="I1530">
        <v>0</v>
      </c>
      <c r="J1530" t="str">
        <f>_xlfn.IFNA(IF(I1530&lt;&gt;0,VLOOKUP(VLOOKUP(I1530,Tbl_Equip[],2,FALSE),Tbl_Color[],IFERROR(MATCH(UI!$B$1,Tbl_Color[#Headers],0),2),FALSE),""),"Unset")</f>
        <v/>
      </c>
      <c r="K1530" t="str">
        <f>_xlfn.IFNA(IF(I1530&lt;&gt;0,VLOOKUP(I1530,ItemText[],IFERROR(MATCH(UI!$B$1,ItemText[#Headers],0),2),FALSE),""),"Unset")</f>
        <v/>
      </c>
      <c r="M1530">
        <v>0</v>
      </c>
      <c r="P1530">
        <v>0</v>
      </c>
      <c r="S1530">
        <v>0</v>
      </c>
      <c r="T1530" t="str">
        <f>IF(VALUE(S1530)=0,"",VLOOKUP(VLOOKUP(S1530,Tbl_Effect[],3,FALSE),EffectName[],IFERROR(MATCH(UI!$B$1,EffectName[#Headers],0),2),FALSE))</f>
        <v/>
      </c>
      <c r="U1530" t="str">
        <f t="shared" si="159"/>
        <v/>
      </c>
      <c r="V1530">
        <v>0</v>
      </c>
      <c r="W1530" t="str">
        <f>IF(V1530&lt;&gt;0,VLOOKUP(VLOOKUP(V1530,Tbl_Effect[],3,FALSE),EffectName[],IFERROR(MATCH(UI!$B$1,EffectName[#Headers],0),2),FALSE),"")</f>
        <v/>
      </c>
      <c r="X1530" t="str">
        <f t="shared" si="160"/>
        <v/>
      </c>
      <c r="Y1530">
        <v>0</v>
      </c>
      <c r="Z1530" t="str">
        <f>IF(Y1530&lt;&gt;0,VLOOKUP(VLOOKUP(Y1530,Tbl_Effect[],3,FALSE),EffectName[],IFERROR(MATCH(UI!$B$1,EffectName[#Headers],0),2),FALSE),"")</f>
        <v/>
      </c>
      <c r="AA1530" t="str">
        <f t="shared" si="161"/>
        <v/>
      </c>
      <c r="AB1530">
        <v>0</v>
      </c>
      <c r="AC1530" t="str">
        <f>IF(AB1530&lt;&gt;0,VLOOKUP(VLOOKUP(AB1530,Tbl_Effect[],3,FALSE),EffectName[],IFERROR(MATCH(UI!$B$1,EffectName[#Headers],0),2),FALSE),"")</f>
        <v/>
      </c>
    </row>
    <row r="1531" spans="8:29" x14ac:dyDescent="0.4">
      <c r="H1531" t="str">
        <f t="shared" si="158"/>
        <v/>
      </c>
      <c r="I1531">
        <v>0</v>
      </c>
      <c r="J1531" t="str">
        <f>_xlfn.IFNA(IF(I1531&lt;&gt;0,VLOOKUP(VLOOKUP(I1531,Tbl_Equip[],2,FALSE),Tbl_Color[],IFERROR(MATCH(UI!$B$1,Tbl_Color[#Headers],0),2),FALSE),""),"Unset")</f>
        <v/>
      </c>
      <c r="K1531" t="str">
        <f>_xlfn.IFNA(IF(I1531&lt;&gt;0,VLOOKUP(I1531,ItemText[],IFERROR(MATCH(UI!$B$1,ItemText[#Headers],0),2),FALSE),""),"Unset")</f>
        <v/>
      </c>
      <c r="M1531">
        <v>0</v>
      </c>
      <c r="P1531">
        <v>0</v>
      </c>
      <c r="S1531">
        <v>0</v>
      </c>
      <c r="T1531" t="str">
        <f>IF(VALUE(S1531)=0,"",VLOOKUP(VLOOKUP(S1531,Tbl_Effect[],3,FALSE),EffectName[],IFERROR(MATCH(UI!$B$1,EffectName[#Headers],0),2),FALSE))</f>
        <v/>
      </c>
      <c r="U1531" t="str">
        <f t="shared" si="159"/>
        <v/>
      </c>
      <c r="V1531">
        <v>0</v>
      </c>
      <c r="W1531" t="str">
        <f>IF(V1531&lt;&gt;0,VLOOKUP(VLOOKUP(V1531,Tbl_Effect[],3,FALSE),EffectName[],IFERROR(MATCH(UI!$B$1,EffectName[#Headers],0),2),FALSE),"")</f>
        <v/>
      </c>
      <c r="X1531" t="str">
        <f t="shared" si="160"/>
        <v/>
      </c>
      <c r="Y1531">
        <v>0</v>
      </c>
      <c r="Z1531" t="str">
        <f>IF(Y1531&lt;&gt;0,VLOOKUP(VLOOKUP(Y1531,Tbl_Effect[],3,FALSE),EffectName[],IFERROR(MATCH(UI!$B$1,EffectName[#Headers],0),2),FALSE),"")</f>
        <v/>
      </c>
      <c r="AA1531" t="str">
        <f t="shared" si="161"/>
        <v/>
      </c>
      <c r="AB1531">
        <v>0</v>
      </c>
      <c r="AC1531" t="str">
        <f>IF(AB1531&lt;&gt;0,VLOOKUP(VLOOKUP(AB1531,Tbl_Effect[],3,FALSE),EffectName[],IFERROR(MATCH(UI!$B$1,EffectName[#Headers],0),2),FALSE),"")</f>
        <v/>
      </c>
    </row>
    <row r="1532" spans="8:29" x14ac:dyDescent="0.4">
      <c r="H1532" t="str">
        <f t="shared" si="158"/>
        <v/>
      </c>
      <c r="I1532">
        <v>0</v>
      </c>
      <c r="J1532" t="str">
        <f>_xlfn.IFNA(IF(I1532&lt;&gt;0,VLOOKUP(VLOOKUP(I1532,Tbl_Equip[],2,FALSE),Tbl_Color[],IFERROR(MATCH(UI!$B$1,Tbl_Color[#Headers],0),2),FALSE),""),"Unset")</f>
        <v/>
      </c>
      <c r="K1532" t="str">
        <f>_xlfn.IFNA(IF(I1532&lt;&gt;0,VLOOKUP(I1532,ItemText[],IFERROR(MATCH(UI!$B$1,ItemText[#Headers],0),2),FALSE),""),"Unset")</f>
        <v/>
      </c>
      <c r="M1532">
        <v>0</v>
      </c>
      <c r="P1532">
        <v>0</v>
      </c>
      <c r="S1532">
        <v>0</v>
      </c>
      <c r="T1532" t="str">
        <f>IF(VALUE(S1532)=0,"",VLOOKUP(VLOOKUP(S1532,Tbl_Effect[],3,FALSE),EffectName[],IFERROR(MATCH(UI!$B$1,EffectName[#Headers],0),2),FALSE))</f>
        <v/>
      </c>
      <c r="U1532" t="str">
        <f t="shared" si="159"/>
        <v/>
      </c>
      <c r="V1532">
        <v>0</v>
      </c>
      <c r="W1532" t="str">
        <f>IF(V1532&lt;&gt;0,VLOOKUP(VLOOKUP(V1532,Tbl_Effect[],3,FALSE),EffectName[],IFERROR(MATCH(UI!$B$1,EffectName[#Headers],0),2),FALSE),"")</f>
        <v/>
      </c>
      <c r="X1532" t="str">
        <f t="shared" si="160"/>
        <v/>
      </c>
      <c r="Y1532">
        <v>0</v>
      </c>
      <c r="Z1532" t="str">
        <f>IF(Y1532&lt;&gt;0,VLOOKUP(VLOOKUP(Y1532,Tbl_Effect[],3,FALSE),EffectName[],IFERROR(MATCH(UI!$B$1,EffectName[#Headers],0),2),FALSE),"")</f>
        <v/>
      </c>
      <c r="AA1532" t="str">
        <f t="shared" si="161"/>
        <v/>
      </c>
      <c r="AB1532">
        <v>0</v>
      </c>
      <c r="AC1532" t="str">
        <f>IF(AB1532&lt;&gt;0,VLOOKUP(VLOOKUP(AB1532,Tbl_Effect[],3,FALSE),EffectName[],IFERROR(MATCH(UI!$B$1,EffectName[#Headers],0),2),FALSE),"")</f>
        <v/>
      </c>
    </row>
    <row r="1533" spans="8:29" x14ac:dyDescent="0.4">
      <c r="H1533" t="str">
        <f t="shared" si="158"/>
        <v/>
      </c>
      <c r="I1533">
        <v>0</v>
      </c>
      <c r="J1533" t="str">
        <f>_xlfn.IFNA(IF(I1533&lt;&gt;0,VLOOKUP(VLOOKUP(I1533,Tbl_Equip[],2,FALSE),Tbl_Color[],IFERROR(MATCH(UI!$B$1,Tbl_Color[#Headers],0),2),FALSE),""),"Unset")</f>
        <v/>
      </c>
      <c r="K1533" t="str">
        <f>_xlfn.IFNA(IF(I1533&lt;&gt;0,VLOOKUP(I1533,ItemText[],IFERROR(MATCH(UI!$B$1,ItemText[#Headers],0),2),FALSE),""),"Unset")</f>
        <v/>
      </c>
      <c r="M1533">
        <v>0</v>
      </c>
      <c r="P1533">
        <v>0</v>
      </c>
      <c r="S1533">
        <v>0</v>
      </c>
      <c r="T1533" t="str">
        <f>IF(VALUE(S1533)=0,"",VLOOKUP(VLOOKUP(S1533,Tbl_Effect[],3,FALSE),EffectName[],IFERROR(MATCH(UI!$B$1,EffectName[#Headers],0),2),FALSE))</f>
        <v/>
      </c>
      <c r="U1533" t="str">
        <f t="shared" si="159"/>
        <v/>
      </c>
      <c r="V1533">
        <v>0</v>
      </c>
      <c r="W1533" t="str">
        <f>IF(V1533&lt;&gt;0,VLOOKUP(VLOOKUP(V1533,Tbl_Effect[],3,FALSE),EffectName[],IFERROR(MATCH(UI!$B$1,EffectName[#Headers],0),2),FALSE),"")</f>
        <v/>
      </c>
      <c r="X1533" t="str">
        <f t="shared" si="160"/>
        <v/>
      </c>
      <c r="Y1533">
        <v>0</v>
      </c>
      <c r="Z1533" t="str">
        <f>IF(Y1533&lt;&gt;0,VLOOKUP(VLOOKUP(Y1533,Tbl_Effect[],3,FALSE),EffectName[],IFERROR(MATCH(UI!$B$1,EffectName[#Headers],0),2),FALSE),"")</f>
        <v/>
      </c>
      <c r="AA1533" t="str">
        <f t="shared" si="161"/>
        <v/>
      </c>
      <c r="AB1533">
        <v>0</v>
      </c>
      <c r="AC1533" t="str">
        <f>IF(AB1533&lt;&gt;0,VLOOKUP(VLOOKUP(AB1533,Tbl_Effect[],3,FALSE),EffectName[],IFERROR(MATCH(UI!$B$1,EffectName[#Headers],0),2),FALSE),"")</f>
        <v/>
      </c>
    </row>
    <row r="1534" spans="8:29" x14ac:dyDescent="0.4">
      <c r="H1534" t="str">
        <f t="shared" si="158"/>
        <v/>
      </c>
      <c r="I1534">
        <v>0</v>
      </c>
      <c r="J1534" t="str">
        <f>_xlfn.IFNA(IF(I1534&lt;&gt;0,VLOOKUP(VLOOKUP(I1534,Tbl_Equip[],2,FALSE),Tbl_Color[],IFERROR(MATCH(UI!$B$1,Tbl_Color[#Headers],0),2),FALSE),""),"Unset")</f>
        <v/>
      </c>
      <c r="K1534" t="str">
        <f>_xlfn.IFNA(IF(I1534&lt;&gt;0,VLOOKUP(I1534,ItemText[],IFERROR(MATCH(UI!$B$1,ItemText[#Headers],0),2),FALSE),""),"Unset")</f>
        <v/>
      </c>
      <c r="M1534">
        <v>0</v>
      </c>
      <c r="P1534">
        <v>0</v>
      </c>
      <c r="S1534">
        <v>0</v>
      </c>
      <c r="T1534" t="str">
        <f>IF(VALUE(S1534)=0,"",VLOOKUP(VLOOKUP(S1534,Tbl_Effect[],3,FALSE),EffectName[],IFERROR(MATCH(UI!$B$1,EffectName[#Headers],0),2),FALSE))</f>
        <v/>
      </c>
      <c r="U1534" t="str">
        <f t="shared" si="159"/>
        <v/>
      </c>
      <c r="V1534">
        <v>0</v>
      </c>
      <c r="W1534" t="str">
        <f>IF(V1534&lt;&gt;0,VLOOKUP(VLOOKUP(V1534,Tbl_Effect[],3,FALSE),EffectName[],IFERROR(MATCH(UI!$B$1,EffectName[#Headers],0),2),FALSE),"")</f>
        <v/>
      </c>
      <c r="X1534" t="str">
        <f t="shared" si="160"/>
        <v/>
      </c>
      <c r="Y1534">
        <v>0</v>
      </c>
      <c r="Z1534" t="str">
        <f>IF(Y1534&lt;&gt;0,VLOOKUP(VLOOKUP(Y1534,Tbl_Effect[],3,FALSE),EffectName[],IFERROR(MATCH(UI!$B$1,EffectName[#Headers],0),2),FALSE),"")</f>
        <v/>
      </c>
      <c r="AA1534" t="str">
        <f t="shared" si="161"/>
        <v/>
      </c>
      <c r="AB1534">
        <v>0</v>
      </c>
      <c r="AC1534" t="str">
        <f>IF(AB1534&lt;&gt;0,VLOOKUP(VLOOKUP(AB1534,Tbl_Effect[],3,FALSE),EffectName[],IFERROR(MATCH(UI!$B$1,EffectName[#Headers],0),2),FALSE),"")</f>
        <v/>
      </c>
    </row>
    <row r="1535" spans="8:29" x14ac:dyDescent="0.4">
      <c r="H1535" t="str">
        <f t="shared" si="158"/>
        <v/>
      </c>
      <c r="I1535">
        <v>0</v>
      </c>
      <c r="J1535" t="str">
        <f>_xlfn.IFNA(IF(I1535&lt;&gt;0,VLOOKUP(VLOOKUP(I1535,Tbl_Equip[],2,FALSE),Tbl_Color[],IFERROR(MATCH(UI!$B$1,Tbl_Color[#Headers],0),2),FALSE),""),"Unset")</f>
        <v/>
      </c>
      <c r="K1535" t="str">
        <f>_xlfn.IFNA(IF(I1535&lt;&gt;0,VLOOKUP(I1535,ItemText[],IFERROR(MATCH(UI!$B$1,ItemText[#Headers],0),2),FALSE),""),"Unset")</f>
        <v/>
      </c>
      <c r="M1535">
        <v>0</v>
      </c>
      <c r="P1535">
        <v>0</v>
      </c>
      <c r="S1535">
        <v>0</v>
      </c>
      <c r="T1535" t="str">
        <f>IF(VALUE(S1535)=0,"",VLOOKUP(VLOOKUP(S1535,Tbl_Effect[],3,FALSE),EffectName[],IFERROR(MATCH(UI!$B$1,EffectName[#Headers],0),2),FALSE))</f>
        <v/>
      </c>
      <c r="U1535" t="str">
        <f t="shared" si="159"/>
        <v/>
      </c>
      <c r="V1535">
        <v>0</v>
      </c>
      <c r="W1535" t="str">
        <f>IF(V1535&lt;&gt;0,VLOOKUP(VLOOKUP(V1535,Tbl_Effect[],3,FALSE),EffectName[],IFERROR(MATCH(UI!$B$1,EffectName[#Headers],0),2),FALSE),"")</f>
        <v/>
      </c>
      <c r="X1535" t="str">
        <f t="shared" si="160"/>
        <v/>
      </c>
      <c r="Y1535">
        <v>0</v>
      </c>
      <c r="Z1535" t="str">
        <f>IF(Y1535&lt;&gt;0,VLOOKUP(VLOOKUP(Y1535,Tbl_Effect[],3,FALSE),EffectName[],IFERROR(MATCH(UI!$B$1,EffectName[#Headers],0),2),FALSE),"")</f>
        <v/>
      </c>
      <c r="AA1535" t="str">
        <f t="shared" si="161"/>
        <v/>
      </c>
      <c r="AB1535">
        <v>0</v>
      </c>
      <c r="AC1535" t="str">
        <f>IF(AB1535&lt;&gt;0,VLOOKUP(VLOOKUP(AB1535,Tbl_Effect[],3,FALSE),EffectName[],IFERROR(MATCH(UI!$B$1,EffectName[#Headers],0),2),FALSE),"")</f>
        <v/>
      </c>
    </row>
    <row r="1536" spans="8:29" x14ac:dyDescent="0.4">
      <c r="H1536" t="str">
        <f t="shared" si="158"/>
        <v/>
      </c>
      <c r="I1536">
        <v>0</v>
      </c>
      <c r="J1536" t="str">
        <f>_xlfn.IFNA(IF(I1536&lt;&gt;0,VLOOKUP(VLOOKUP(I1536,Tbl_Equip[],2,FALSE),Tbl_Color[],IFERROR(MATCH(UI!$B$1,Tbl_Color[#Headers],0),2),FALSE),""),"Unset")</f>
        <v/>
      </c>
      <c r="K1536" t="str">
        <f>_xlfn.IFNA(IF(I1536&lt;&gt;0,VLOOKUP(I1536,ItemText[],IFERROR(MATCH(UI!$B$1,ItemText[#Headers],0),2),FALSE),""),"Unset")</f>
        <v/>
      </c>
      <c r="M1536">
        <v>0</v>
      </c>
      <c r="P1536">
        <v>0</v>
      </c>
      <c r="S1536">
        <v>0</v>
      </c>
      <c r="T1536" t="str">
        <f>IF(VALUE(S1536)=0,"",VLOOKUP(VLOOKUP(S1536,Tbl_Effect[],3,FALSE),EffectName[],IFERROR(MATCH(UI!$B$1,EffectName[#Headers],0),2),FALSE))</f>
        <v/>
      </c>
      <c r="U1536" t="str">
        <f t="shared" si="159"/>
        <v/>
      </c>
      <c r="V1536">
        <v>0</v>
      </c>
      <c r="W1536" t="str">
        <f>IF(V1536&lt;&gt;0,VLOOKUP(VLOOKUP(V1536,Tbl_Effect[],3,FALSE),EffectName[],IFERROR(MATCH(UI!$B$1,EffectName[#Headers],0),2),FALSE),"")</f>
        <v/>
      </c>
      <c r="X1536" t="str">
        <f t="shared" si="160"/>
        <v/>
      </c>
      <c r="Y1536">
        <v>0</v>
      </c>
      <c r="Z1536" t="str">
        <f>IF(Y1536&lt;&gt;0,VLOOKUP(VLOOKUP(Y1536,Tbl_Effect[],3,FALSE),EffectName[],IFERROR(MATCH(UI!$B$1,EffectName[#Headers],0),2),FALSE),"")</f>
        <v/>
      </c>
      <c r="AA1536" t="str">
        <f t="shared" si="161"/>
        <v/>
      </c>
      <c r="AB1536">
        <v>0</v>
      </c>
      <c r="AC1536" t="str">
        <f>IF(AB1536&lt;&gt;0,VLOOKUP(VLOOKUP(AB1536,Tbl_Effect[],3,FALSE),EffectName[],IFERROR(MATCH(UI!$B$1,EffectName[#Headers],0),2),FALSE),"")</f>
        <v/>
      </c>
    </row>
    <row r="1537" spans="8:29" x14ac:dyDescent="0.4">
      <c r="H1537" t="str">
        <f t="shared" si="158"/>
        <v/>
      </c>
      <c r="I1537">
        <v>0</v>
      </c>
      <c r="J1537" t="str">
        <f>_xlfn.IFNA(IF(I1537&lt;&gt;0,VLOOKUP(VLOOKUP(I1537,Tbl_Equip[],2,FALSE),Tbl_Color[],IFERROR(MATCH(UI!$B$1,Tbl_Color[#Headers],0),2),FALSE),""),"Unset")</f>
        <v/>
      </c>
      <c r="K1537" t="str">
        <f>_xlfn.IFNA(IF(I1537&lt;&gt;0,VLOOKUP(I1537,ItemText[],IFERROR(MATCH(UI!$B$1,ItemText[#Headers],0),2),FALSE),""),"Unset")</f>
        <v/>
      </c>
      <c r="M1537">
        <v>0</v>
      </c>
      <c r="P1537">
        <v>0</v>
      </c>
      <c r="S1537">
        <v>0</v>
      </c>
      <c r="T1537" t="str">
        <f>IF(VALUE(S1537)=0,"",VLOOKUP(VLOOKUP(S1537,Tbl_Effect[],3,FALSE),EffectName[],IFERROR(MATCH(UI!$B$1,EffectName[#Headers],0),2),FALSE))</f>
        <v/>
      </c>
      <c r="U1537" t="str">
        <f t="shared" si="159"/>
        <v/>
      </c>
      <c r="V1537">
        <v>0</v>
      </c>
      <c r="W1537" t="str">
        <f>IF(V1537&lt;&gt;0,VLOOKUP(VLOOKUP(V1537,Tbl_Effect[],3,FALSE),EffectName[],IFERROR(MATCH(UI!$B$1,EffectName[#Headers],0),2),FALSE),"")</f>
        <v/>
      </c>
      <c r="X1537" t="str">
        <f t="shared" si="160"/>
        <v/>
      </c>
      <c r="Y1537">
        <v>0</v>
      </c>
      <c r="Z1537" t="str">
        <f>IF(Y1537&lt;&gt;0,VLOOKUP(VLOOKUP(Y1537,Tbl_Effect[],3,FALSE),EffectName[],IFERROR(MATCH(UI!$B$1,EffectName[#Headers],0),2),FALSE),"")</f>
        <v/>
      </c>
      <c r="AA1537" t="str">
        <f t="shared" si="161"/>
        <v/>
      </c>
      <c r="AB1537">
        <v>0</v>
      </c>
      <c r="AC1537" t="str">
        <f>IF(AB1537&lt;&gt;0,VLOOKUP(VLOOKUP(AB1537,Tbl_Effect[],3,FALSE),EffectName[],IFERROR(MATCH(UI!$B$1,EffectName[#Headers],0),2),FALSE),"")</f>
        <v/>
      </c>
    </row>
    <row r="1538" spans="8:29" x14ac:dyDescent="0.4">
      <c r="H1538" t="str">
        <f t="shared" si="158"/>
        <v/>
      </c>
      <c r="I1538">
        <v>0</v>
      </c>
      <c r="J1538" t="str">
        <f>_xlfn.IFNA(IF(I1538&lt;&gt;0,VLOOKUP(VLOOKUP(I1538,Tbl_Equip[],2,FALSE),Tbl_Color[],IFERROR(MATCH(UI!$B$1,Tbl_Color[#Headers],0),2),FALSE),""),"Unset")</f>
        <v/>
      </c>
      <c r="K1538" t="str">
        <f>_xlfn.IFNA(IF(I1538&lt;&gt;0,VLOOKUP(I1538,ItemText[],IFERROR(MATCH(UI!$B$1,ItemText[#Headers],0),2),FALSE),""),"Unset")</f>
        <v/>
      </c>
      <c r="M1538">
        <v>0</v>
      </c>
      <c r="P1538">
        <v>0</v>
      </c>
      <c r="S1538">
        <v>0</v>
      </c>
      <c r="T1538" t="str">
        <f>IF(VALUE(S1538)=0,"",VLOOKUP(VLOOKUP(S1538,Tbl_Effect[],3,FALSE),EffectName[],IFERROR(MATCH(UI!$B$1,EffectName[#Headers],0),2),FALSE))</f>
        <v/>
      </c>
      <c r="U1538" t="str">
        <f t="shared" si="159"/>
        <v/>
      </c>
      <c r="V1538">
        <v>0</v>
      </c>
      <c r="W1538" t="str">
        <f>IF(V1538&lt;&gt;0,VLOOKUP(VLOOKUP(V1538,Tbl_Effect[],3,FALSE),EffectName[],IFERROR(MATCH(UI!$B$1,EffectName[#Headers],0),2),FALSE),"")</f>
        <v/>
      </c>
      <c r="X1538" t="str">
        <f t="shared" si="160"/>
        <v/>
      </c>
      <c r="Y1538">
        <v>0</v>
      </c>
      <c r="Z1538" t="str">
        <f>IF(Y1538&lt;&gt;0,VLOOKUP(VLOOKUP(Y1538,Tbl_Effect[],3,FALSE),EffectName[],IFERROR(MATCH(UI!$B$1,EffectName[#Headers],0),2),FALSE),"")</f>
        <v/>
      </c>
      <c r="AA1538" t="str">
        <f t="shared" si="161"/>
        <v/>
      </c>
      <c r="AB1538">
        <v>0</v>
      </c>
      <c r="AC1538" t="str">
        <f>IF(AB1538&lt;&gt;0,VLOOKUP(VLOOKUP(AB1538,Tbl_Effect[],3,FALSE),EffectName[],IFERROR(MATCH(UI!$B$1,EffectName[#Headers],0),2),FALSE),"")</f>
        <v/>
      </c>
    </row>
    <row r="1539" spans="8:29" x14ac:dyDescent="0.4">
      <c r="H1539" t="str">
        <f t="shared" ref="H1539:H1602" si="162">IF(VALUE(I1539)&lt;&gt;0,I1539&amp;"-"&amp;K1539&amp;" ("&amp;J1539&amp;")","")</f>
        <v/>
      </c>
      <c r="I1539">
        <v>0</v>
      </c>
      <c r="J1539" t="str">
        <f>_xlfn.IFNA(IF(I1539&lt;&gt;0,VLOOKUP(VLOOKUP(I1539,Tbl_Equip[],2,FALSE),Tbl_Color[],IFERROR(MATCH(UI!$B$1,Tbl_Color[#Headers],0),2),FALSE),""),"Unset")</f>
        <v/>
      </c>
      <c r="K1539" t="str">
        <f>_xlfn.IFNA(IF(I1539&lt;&gt;0,VLOOKUP(I1539,ItemText[],IFERROR(MATCH(UI!$B$1,ItemText[#Headers],0),2),FALSE),""),"Unset")</f>
        <v/>
      </c>
      <c r="M1539">
        <v>0</v>
      </c>
      <c r="P1539">
        <v>0</v>
      </c>
      <c r="S1539">
        <v>0</v>
      </c>
      <c r="T1539" t="str">
        <f>IF(VALUE(S1539)=0,"",VLOOKUP(VLOOKUP(S1539,Tbl_Effect[],3,FALSE),EffectName[],IFERROR(MATCH(UI!$B$1,EffectName[#Headers],0),2),FALSE))</f>
        <v/>
      </c>
      <c r="U1539" t="str">
        <f t="shared" ref="U1539:U1602" si="163">IF(VALUE(V1539)=0,"",V1539&amp;"-"&amp;W1539)</f>
        <v/>
      </c>
      <c r="V1539">
        <v>0</v>
      </c>
      <c r="W1539" t="str">
        <f>IF(V1539&lt;&gt;0,VLOOKUP(VLOOKUP(V1539,Tbl_Effect[],3,FALSE),EffectName[],IFERROR(MATCH(UI!$B$1,EffectName[#Headers],0),2),FALSE),"")</f>
        <v/>
      </c>
      <c r="X1539" t="str">
        <f t="shared" ref="X1539:X1602" si="164">IF(VALUE(Y1539)=0,"",Y1539&amp;"-"&amp;Z1539)</f>
        <v/>
      </c>
      <c r="Y1539">
        <v>0</v>
      </c>
      <c r="Z1539" t="str">
        <f>IF(Y1539&lt;&gt;0,VLOOKUP(VLOOKUP(Y1539,Tbl_Effect[],3,FALSE),EffectName[],IFERROR(MATCH(UI!$B$1,EffectName[#Headers],0),2),FALSE),"")</f>
        <v/>
      </c>
      <c r="AA1539" t="str">
        <f t="shared" ref="AA1539:AA1602" si="165">IF(VALUE(AB1539)=0,"",AB1539&amp;"-"&amp;AC1539)</f>
        <v/>
      </c>
      <c r="AB1539">
        <v>0</v>
      </c>
      <c r="AC1539" t="str">
        <f>IF(AB1539&lt;&gt;0,VLOOKUP(VLOOKUP(AB1539,Tbl_Effect[],3,FALSE),EffectName[],IFERROR(MATCH(UI!$B$1,EffectName[#Headers],0),2),FALSE),"")</f>
        <v/>
      </c>
    </row>
    <row r="1540" spans="8:29" x14ac:dyDescent="0.4">
      <c r="H1540" t="str">
        <f t="shared" si="162"/>
        <v/>
      </c>
      <c r="I1540">
        <v>0</v>
      </c>
      <c r="J1540" t="str">
        <f>_xlfn.IFNA(IF(I1540&lt;&gt;0,VLOOKUP(VLOOKUP(I1540,Tbl_Equip[],2,FALSE),Tbl_Color[],IFERROR(MATCH(UI!$B$1,Tbl_Color[#Headers],0),2),FALSE),""),"Unset")</f>
        <v/>
      </c>
      <c r="K1540" t="str">
        <f>_xlfn.IFNA(IF(I1540&lt;&gt;0,VLOOKUP(I1540,ItemText[],IFERROR(MATCH(UI!$B$1,ItemText[#Headers],0),2),FALSE),""),"Unset")</f>
        <v/>
      </c>
      <c r="M1540">
        <v>0</v>
      </c>
      <c r="P1540">
        <v>0</v>
      </c>
      <c r="S1540">
        <v>0</v>
      </c>
      <c r="T1540" t="str">
        <f>IF(VALUE(S1540)=0,"",VLOOKUP(VLOOKUP(S1540,Tbl_Effect[],3,FALSE),EffectName[],IFERROR(MATCH(UI!$B$1,EffectName[#Headers],0),2),FALSE))</f>
        <v/>
      </c>
      <c r="U1540" t="str">
        <f t="shared" si="163"/>
        <v/>
      </c>
      <c r="V1540">
        <v>0</v>
      </c>
      <c r="W1540" t="str">
        <f>IF(V1540&lt;&gt;0,VLOOKUP(VLOOKUP(V1540,Tbl_Effect[],3,FALSE),EffectName[],IFERROR(MATCH(UI!$B$1,EffectName[#Headers],0),2),FALSE),"")</f>
        <v/>
      </c>
      <c r="X1540" t="str">
        <f t="shared" si="164"/>
        <v/>
      </c>
      <c r="Y1540">
        <v>0</v>
      </c>
      <c r="Z1540" t="str">
        <f>IF(Y1540&lt;&gt;0,VLOOKUP(VLOOKUP(Y1540,Tbl_Effect[],3,FALSE),EffectName[],IFERROR(MATCH(UI!$B$1,EffectName[#Headers],0),2),FALSE),"")</f>
        <v/>
      </c>
      <c r="AA1540" t="str">
        <f t="shared" si="165"/>
        <v/>
      </c>
      <c r="AB1540">
        <v>0</v>
      </c>
      <c r="AC1540" t="str">
        <f>IF(AB1540&lt;&gt;0,VLOOKUP(VLOOKUP(AB1540,Tbl_Effect[],3,FALSE),EffectName[],IFERROR(MATCH(UI!$B$1,EffectName[#Headers],0),2),FALSE),"")</f>
        <v/>
      </c>
    </row>
    <row r="1541" spans="8:29" x14ac:dyDescent="0.4">
      <c r="H1541" t="str">
        <f t="shared" si="162"/>
        <v/>
      </c>
      <c r="I1541">
        <v>0</v>
      </c>
      <c r="J1541" t="str">
        <f>_xlfn.IFNA(IF(I1541&lt;&gt;0,VLOOKUP(VLOOKUP(I1541,Tbl_Equip[],2,FALSE),Tbl_Color[],IFERROR(MATCH(UI!$B$1,Tbl_Color[#Headers],0),2),FALSE),""),"Unset")</f>
        <v/>
      </c>
      <c r="K1541" t="str">
        <f>_xlfn.IFNA(IF(I1541&lt;&gt;0,VLOOKUP(I1541,ItemText[],IFERROR(MATCH(UI!$B$1,ItemText[#Headers],0),2),FALSE),""),"Unset")</f>
        <v/>
      </c>
      <c r="M1541">
        <v>0</v>
      </c>
      <c r="P1541">
        <v>0</v>
      </c>
      <c r="S1541">
        <v>0</v>
      </c>
      <c r="T1541" t="str">
        <f>IF(VALUE(S1541)=0,"",VLOOKUP(VLOOKUP(S1541,Tbl_Effect[],3,FALSE),EffectName[],IFERROR(MATCH(UI!$B$1,EffectName[#Headers],0),2),FALSE))</f>
        <v/>
      </c>
      <c r="U1541" t="str">
        <f t="shared" si="163"/>
        <v/>
      </c>
      <c r="V1541">
        <v>0</v>
      </c>
      <c r="W1541" t="str">
        <f>IF(V1541&lt;&gt;0,VLOOKUP(VLOOKUP(V1541,Tbl_Effect[],3,FALSE),EffectName[],IFERROR(MATCH(UI!$B$1,EffectName[#Headers],0),2),FALSE),"")</f>
        <v/>
      </c>
      <c r="X1541" t="str">
        <f t="shared" si="164"/>
        <v/>
      </c>
      <c r="Y1541">
        <v>0</v>
      </c>
      <c r="Z1541" t="str">
        <f>IF(Y1541&lt;&gt;0,VLOOKUP(VLOOKUP(Y1541,Tbl_Effect[],3,FALSE),EffectName[],IFERROR(MATCH(UI!$B$1,EffectName[#Headers],0),2),FALSE),"")</f>
        <v/>
      </c>
      <c r="AA1541" t="str">
        <f t="shared" si="165"/>
        <v/>
      </c>
      <c r="AB1541">
        <v>0</v>
      </c>
      <c r="AC1541" t="str">
        <f>IF(AB1541&lt;&gt;0,VLOOKUP(VLOOKUP(AB1541,Tbl_Effect[],3,FALSE),EffectName[],IFERROR(MATCH(UI!$B$1,EffectName[#Headers],0),2),FALSE),"")</f>
        <v/>
      </c>
    </row>
    <row r="1542" spans="8:29" x14ac:dyDescent="0.4">
      <c r="H1542" t="str">
        <f t="shared" si="162"/>
        <v/>
      </c>
      <c r="I1542">
        <v>0</v>
      </c>
      <c r="J1542" t="str">
        <f>_xlfn.IFNA(IF(I1542&lt;&gt;0,VLOOKUP(VLOOKUP(I1542,Tbl_Equip[],2,FALSE),Tbl_Color[],IFERROR(MATCH(UI!$B$1,Tbl_Color[#Headers],0),2),FALSE),""),"Unset")</f>
        <v/>
      </c>
      <c r="K1542" t="str">
        <f>_xlfn.IFNA(IF(I1542&lt;&gt;0,VLOOKUP(I1542,ItemText[],IFERROR(MATCH(UI!$B$1,ItemText[#Headers],0),2),FALSE),""),"Unset")</f>
        <v/>
      </c>
      <c r="M1542">
        <v>0</v>
      </c>
      <c r="P1542">
        <v>0</v>
      </c>
      <c r="S1542">
        <v>0</v>
      </c>
      <c r="T1542" t="str">
        <f>IF(VALUE(S1542)=0,"",VLOOKUP(VLOOKUP(S1542,Tbl_Effect[],3,FALSE),EffectName[],IFERROR(MATCH(UI!$B$1,EffectName[#Headers],0),2),FALSE))</f>
        <v/>
      </c>
      <c r="U1542" t="str">
        <f t="shared" si="163"/>
        <v/>
      </c>
      <c r="V1542">
        <v>0</v>
      </c>
      <c r="W1542" t="str">
        <f>IF(V1542&lt;&gt;0,VLOOKUP(VLOOKUP(V1542,Tbl_Effect[],3,FALSE),EffectName[],IFERROR(MATCH(UI!$B$1,EffectName[#Headers],0),2),FALSE),"")</f>
        <v/>
      </c>
      <c r="X1542" t="str">
        <f t="shared" si="164"/>
        <v/>
      </c>
      <c r="Y1542">
        <v>0</v>
      </c>
      <c r="Z1542" t="str">
        <f>IF(Y1542&lt;&gt;0,VLOOKUP(VLOOKUP(Y1542,Tbl_Effect[],3,FALSE),EffectName[],IFERROR(MATCH(UI!$B$1,EffectName[#Headers],0),2),FALSE),"")</f>
        <v/>
      </c>
      <c r="AA1542" t="str">
        <f t="shared" si="165"/>
        <v/>
      </c>
      <c r="AB1542">
        <v>0</v>
      </c>
      <c r="AC1542" t="str">
        <f>IF(AB1542&lt;&gt;0,VLOOKUP(VLOOKUP(AB1542,Tbl_Effect[],3,FALSE),EffectName[],IFERROR(MATCH(UI!$B$1,EffectName[#Headers],0),2),FALSE),"")</f>
        <v/>
      </c>
    </row>
    <row r="1543" spans="8:29" x14ac:dyDescent="0.4">
      <c r="H1543" t="str">
        <f t="shared" si="162"/>
        <v/>
      </c>
      <c r="I1543">
        <v>0</v>
      </c>
      <c r="J1543" t="str">
        <f>_xlfn.IFNA(IF(I1543&lt;&gt;0,VLOOKUP(VLOOKUP(I1543,Tbl_Equip[],2,FALSE),Tbl_Color[],IFERROR(MATCH(UI!$B$1,Tbl_Color[#Headers],0),2),FALSE),""),"Unset")</f>
        <v/>
      </c>
      <c r="K1543" t="str">
        <f>_xlfn.IFNA(IF(I1543&lt;&gt;0,VLOOKUP(I1543,ItemText[],IFERROR(MATCH(UI!$B$1,ItemText[#Headers],0),2),FALSE),""),"Unset")</f>
        <v/>
      </c>
      <c r="M1543">
        <v>0</v>
      </c>
      <c r="P1543">
        <v>0</v>
      </c>
      <c r="S1543">
        <v>0</v>
      </c>
      <c r="T1543" t="str">
        <f>IF(VALUE(S1543)=0,"",VLOOKUP(VLOOKUP(S1543,Tbl_Effect[],3,FALSE),EffectName[],IFERROR(MATCH(UI!$B$1,EffectName[#Headers],0),2),FALSE))</f>
        <v/>
      </c>
      <c r="U1543" t="str">
        <f t="shared" si="163"/>
        <v/>
      </c>
      <c r="V1543">
        <v>0</v>
      </c>
      <c r="W1543" t="str">
        <f>IF(V1543&lt;&gt;0,VLOOKUP(VLOOKUP(V1543,Tbl_Effect[],3,FALSE),EffectName[],IFERROR(MATCH(UI!$B$1,EffectName[#Headers],0),2),FALSE),"")</f>
        <v/>
      </c>
      <c r="X1543" t="str">
        <f t="shared" si="164"/>
        <v/>
      </c>
      <c r="Y1543">
        <v>0</v>
      </c>
      <c r="Z1543" t="str">
        <f>IF(Y1543&lt;&gt;0,VLOOKUP(VLOOKUP(Y1543,Tbl_Effect[],3,FALSE),EffectName[],IFERROR(MATCH(UI!$B$1,EffectName[#Headers],0),2),FALSE),"")</f>
        <v/>
      </c>
      <c r="AA1543" t="str">
        <f t="shared" si="165"/>
        <v/>
      </c>
      <c r="AB1543">
        <v>0</v>
      </c>
      <c r="AC1543" t="str">
        <f>IF(AB1543&lt;&gt;0,VLOOKUP(VLOOKUP(AB1543,Tbl_Effect[],3,FALSE),EffectName[],IFERROR(MATCH(UI!$B$1,EffectName[#Headers],0),2),FALSE),"")</f>
        <v/>
      </c>
    </row>
    <row r="1544" spans="8:29" x14ac:dyDescent="0.4">
      <c r="H1544" t="str">
        <f t="shared" si="162"/>
        <v/>
      </c>
      <c r="I1544">
        <v>0</v>
      </c>
      <c r="J1544" t="str">
        <f>_xlfn.IFNA(IF(I1544&lt;&gt;0,VLOOKUP(VLOOKUP(I1544,Tbl_Equip[],2,FALSE),Tbl_Color[],IFERROR(MATCH(UI!$B$1,Tbl_Color[#Headers],0),2),FALSE),""),"Unset")</f>
        <v/>
      </c>
      <c r="K1544" t="str">
        <f>_xlfn.IFNA(IF(I1544&lt;&gt;0,VLOOKUP(I1544,ItemText[],IFERROR(MATCH(UI!$B$1,ItemText[#Headers],0),2),FALSE),""),"Unset")</f>
        <v/>
      </c>
      <c r="M1544">
        <v>0</v>
      </c>
      <c r="P1544">
        <v>0</v>
      </c>
      <c r="S1544">
        <v>0</v>
      </c>
      <c r="T1544" t="str">
        <f>IF(VALUE(S1544)=0,"",VLOOKUP(VLOOKUP(S1544,Tbl_Effect[],3,FALSE),EffectName[],IFERROR(MATCH(UI!$B$1,EffectName[#Headers],0),2),FALSE))</f>
        <v/>
      </c>
      <c r="U1544" t="str">
        <f t="shared" si="163"/>
        <v/>
      </c>
      <c r="V1544">
        <v>0</v>
      </c>
      <c r="W1544" t="str">
        <f>IF(V1544&lt;&gt;0,VLOOKUP(VLOOKUP(V1544,Tbl_Effect[],3,FALSE),EffectName[],IFERROR(MATCH(UI!$B$1,EffectName[#Headers],0),2),FALSE),"")</f>
        <v/>
      </c>
      <c r="X1544" t="str">
        <f t="shared" si="164"/>
        <v/>
      </c>
      <c r="Y1544">
        <v>0</v>
      </c>
      <c r="Z1544" t="str">
        <f>IF(Y1544&lt;&gt;0,VLOOKUP(VLOOKUP(Y1544,Tbl_Effect[],3,FALSE),EffectName[],IFERROR(MATCH(UI!$B$1,EffectName[#Headers],0),2),FALSE),"")</f>
        <v/>
      </c>
      <c r="AA1544" t="str">
        <f t="shared" si="165"/>
        <v/>
      </c>
      <c r="AB1544">
        <v>0</v>
      </c>
      <c r="AC1544" t="str">
        <f>IF(AB1544&lt;&gt;0,VLOOKUP(VLOOKUP(AB1544,Tbl_Effect[],3,FALSE),EffectName[],IFERROR(MATCH(UI!$B$1,EffectName[#Headers],0),2),FALSE),"")</f>
        <v/>
      </c>
    </row>
    <row r="1545" spans="8:29" x14ac:dyDescent="0.4">
      <c r="H1545" t="str">
        <f t="shared" si="162"/>
        <v/>
      </c>
      <c r="I1545">
        <v>0</v>
      </c>
      <c r="J1545" t="str">
        <f>_xlfn.IFNA(IF(I1545&lt;&gt;0,VLOOKUP(VLOOKUP(I1545,Tbl_Equip[],2,FALSE),Tbl_Color[],IFERROR(MATCH(UI!$B$1,Tbl_Color[#Headers],0),2),FALSE),""),"Unset")</f>
        <v/>
      </c>
      <c r="K1545" t="str">
        <f>_xlfn.IFNA(IF(I1545&lt;&gt;0,VLOOKUP(I1545,ItemText[],IFERROR(MATCH(UI!$B$1,ItemText[#Headers],0),2),FALSE),""),"Unset")</f>
        <v/>
      </c>
      <c r="M1545">
        <v>0</v>
      </c>
      <c r="P1545">
        <v>0</v>
      </c>
      <c r="S1545">
        <v>0</v>
      </c>
      <c r="T1545" t="str">
        <f>IF(VALUE(S1545)=0,"",VLOOKUP(VLOOKUP(S1545,Tbl_Effect[],3,FALSE),EffectName[],IFERROR(MATCH(UI!$B$1,EffectName[#Headers],0),2),FALSE))</f>
        <v/>
      </c>
      <c r="U1545" t="str">
        <f t="shared" si="163"/>
        <v/>
      </c>
      <c r="V1545">
        <v>0</v>
      </c>
      <c r="W1545" t="str">
        <f>IF(V1545&lt;&gt;0,VLOOKUP(VLOOKUP(V1545,Tbl_Effect[],3,FALSE),EffectName[],IFERROR(MATCH(UI!$B$1,EffectName[#Headers],0),2),FALSE),"")</f>
        <v/>
      </c>
      <c r="X1545" t="str">
        <f t="shared" si="164"/>
        <v/>
      </c>
      <c r="Y1545">
        <v>0</v>
      </c>
      <c r="Z1545" t="str">
        <f>IF(Y1545&lt;&gt;0,VLOOKUP(VLOOKUP(Y1545,Tbl_Effect[],3,FALSE),EffectName[],IFERROR(MATCH(UI!$B$1,EffectName[#Headers],0),2),FALSE),"")</f>
        <v/>
      </c>
      <c r="AA1545" t="str">
        <f t="shared" si="165"/>
        <v/>
      </c>
      <c r="AB1545">
        <v>0</v>
      </c>
      <c r="AC1545" t="str">
        <f>IF(AB1545&lt;&gt;0,VLOOKUP(VLOOKUP(AB1545,Tbl_Effect[],3,FALSE),EffectName[],IFERROR(MATCH(UI!$B$1,EffectName[#Headers],0),2),FALSE),"")</f>
        <v/>
      </c>
    </row>
    <row r="1546" spans="8:29" x14ac:dyDescent="0.4">
      <c r="H1546" t="str">
        <f t="shared" si="162"/>
        <v/>
      </c>
      <c r="I1546">
        <v>0</v>
      </c>
      <c r="J1546" t="str">
        <f>_xlfn.IFNA(IF(I1546&lt;&gt;0,VLOOKUP(VLOOKUP(I1546,Tbl_Equip[],2,FALSE),Tbl_Color[],IFERROR(MATCH(UI!$B$1,Tbl_Color[#Headers],0),2),FALSE),""),"Unset")</f>
        <v/>
      </c>
      <c r="K1546" t="str">
        <f>_xlfn.IFNA(IF(I1546&lt;&gt;0,VLOOKUP(I1546,ItemText[],IFERROR(MATCH(UI!$B$1,ItemText[#Headers],0),2),FALSE),""),"Unset")</f>
        <v/>
      </c>
      <c r="M1546">
        <v>0</v>
      </c>
      <c r="P1546">
        <v>0</v>
      </c>
      <c r="S1546">
        <v>0</v>
      </c>
      <c r="T1546" t="str">
        <f>IF(VALUE(S1546)=0,"",VLOOKUP(VLOOKUP(S1546,Tbl_Effect[],3,FALSE),EffectName[],IFERROR(MATCH(UI!$B$1,EffectName[#Headers],0),2),FALSE))</f>
        <v/>
      </c>
      <c r="U1546" t="str">
        <f t="shared" si="163"/>
        <v/>
      </c>
      <c r="V1546">
        <v>0</v>
      </c>
      <c r="W1546" t="str">
        <f>IF(V1546&lt;&gt;0,VLOOKUP(VLOOKUP(V1546,Tbl_Effect[],3,FALSE),EffectName[],IFERROR(MATCH(UI!$B$1,EffectName[#Headers],0),2),FALSE),"")</f>
        <v/>
      </c>
      <c r="X1546" t="str">
        <f t="shared" si="164"/>
        <v/>
      </c>
      <c r="Y1546">
        <v>0</v>
      </c>
      <c r="Z1546" t="str">
        <f>IF(Y1546&lt;&gt;0,VLOOKUP(VLOOKUP(Y1546,Tbl_Effect[],3,FALSE),EffectName[],IFERROR(MATCH(UI!$B$1,EffectName[#Headers],0),2),FALSE),"")</f>
        <v/>
      </c>
      <c r="AA1546" t="str">
        <f t="shared" si="165"/>
        <v/>
      </c>
      <c r="AB1546">
        <v>0</v>
      </c>
      <c r="AC1546" t="str">
        <f>IF(AB1546&lt;&gt;0,VLOOKUP(VLOOKUP(AB1546,Tbl_Effect[],3,FALSE),EffectName[],IFERROR(MATCH(UI!$B$1,EffectName[#Headers],0),2),FALSE),"")</f>
        <v/>
      </c>
    </row>
    <row r="1547" spans="8:29" x14ac:dyDescent="0.4">
      <c r="H1547" t="str">
        <f t="shared" si="162"/>
        <v/>
      </c>
      <c r="I1547">
        <v>0</v>
      </c>
      <c r="J1547" t="str">
        <f>_xlfn.IFNA(IF(I1547&lt;&gt;0,VLOOKUP(VLOOKUP(I1547,Tbl_Equip[],2,FALSE),Tbl_Color[],IFERROR(MATCH(UI!$B$1,Tbl_Color[#Headers],0),2),FALSE),""),"Unset")</f>
        <v/>
      </c>
      <c r="K1547" t="str">
        <f>_xlfn.IFNA(IF(I1547&lt;&gt;0,VLOOKUP(I1547,ItemText[],IFERROR(MATCH(UI!$B$1,ItemText[#Headers],0),2),FALSE),""),"Unset")</f>
        <v/>
      </c>
      <c r="M1547">
        <v>0</v>
      </c>
      <c r="P1547">
        <v>0</v>
      </c>
      <c r="S1547">
        <v>0</v>
      </c>
      <c r="T1547" t="str">
        <f>IF(VALUE(S1547)=0,"",VLOOKUP(VLOOKUP(S1547,Tbl_Effect[],3,FALSE),EffectName[],IFERROR(MATCH(UI!$B$1,EffectName[#Headers],0),2),FALSE))</f>
        <v/>
      </c>
      <c r="U1547" t="str">
        <f t="shared" si="163"/>
        <v/>
      </c>
      <c r="V1547">
        <v>0</v>
      </c>
      <c r="W1547" t="str">
        <f>IF(V1547&lt;&gt;0,VLOOKUP(VLOOKUP(V1547,Tbl_Effect[],3,FALSE),EffectName[],IFERROR(MATCH(UI!$B$1,EffectName[#Headers],0),2),FALSE),"")</f>
        <v/>
      </c>
      <c r="X1547" t="str">
        <f t="shared" si="164"/>
        <v/>
      </c>
      <c r="Y1547">
        <v>0</v>
      </c>
      <c r="Z1547" t="str">
        <f>IF(Y1547&lt;&gt;0,VLOOKUP(VLOOKUP(Y1547,Tbl_Effect[],3,FALSE),EffectName[],IFERROR(MATCH(UI!$B$1,EffectName[#Headers],0),2),FALSE),"")</f>
        <v/>
      </c>
      <c r="AA1547" t="str">
        <f t="shared" si="165"/>
        <v/>
      </c>
      <c r="AB1547">
        <v>0</v>
      </c>
      <c r="AC1547" t="str">
        <f>IF(AB1547&lt;&gt;0,VLOOKUP(VLOOKUP(AB1547,Tbl_Effect[],3,FALSE),EffectName[],IFERROR(MATCH(UI!$B$1,EffectName[#Headers],0),2),FALSE),"")</f>
        <v/>
      </c>
    </row>
    <row r="1548" spans="8:29" x14ac:dyDescent="0.4">
      <c r="H1548" t="str">
        <f t="shared" si="162"/>
        <v/>
      </c>
      <c r="I1548">
        <v>0</v>
      </c>
      <c r="J1548" t="str">
        <f>_xlfn.IFNA(IF(I1548&lt;&gt;0,VLOOKUP(VLOOKUP(I1548,Tbl_Equip[],2,FALSE),Tbl_Color[],IFERROR(MATCH(UI!$B$1,Tbl_Color[#Headers],0),2),FALSE),""),"Unset")</f>
        <v/>
      </c>
      <c r="K1548" t="str">
        <f>_xlfn.IFNA(IF(I1548&lt;&gt;0,VLOOKUP(I1548,ItemText[],IFERROR(MATCH(UI!$B$1,ItemText[#Headers],0),2),FALSE),""),"Unset")</f>
        <v/>
      </c>
      <c r="M1548">
        <v>0</v>
      </c>
      <c r="P1548">
        <v>0</v>
      </c>
      <c r="S1548">
        <v>0</v>
      </c>
      <c r="T1548" t="str">
        <f>IF(VALUE(S1548)=0,"",VLOOKUP(VLOOKUP(S1548,Tbl_Effect[],3,FALSE),EffectName[],IFERROR(MATCH(UI!$B$1,EffectName[#Headers],0),2),FALSE))</f>
        <v/>
      </c>
      <c r="U1548" t="str">
        <f t="shared" si="163"/>
        <v/>
      </c>
      <c r="V1548">
        <v>0</v>
      </c>
      <c r="W1548" t="str">
        <f>IF(V1548&lt;&gt;0,VLOOKUP(VLOOKUP(V1548,Tbl_Effect[],3,FALSE),EffectName[],IFERROR(MATCH(UI!$B$1,EffectName[#Headers],0),2),FALSE),"")</f>
        <v/>
      </c>
      <c r="X1548" t="str">
        <f t="shared" si="164"/>
        <v/>
      </c>
      <c r="Y1548">
        <v>0</v>
      </c>
      <c r="Z1548" t="str">
        <f>IF(Y1548&lt;&gt;0,VLOOKUP(VLOOKUP(Y1548,Tbl_Effect[],3,FALSE),EffectName[],IFERROR(MATCH(UI!$B$1,EffectName[#Headers],0),2),FALSE),"")</f>
        <v/>
      </c>
      <c r="AA1548" t="str">
        <f t="shared" si="165"/>
        <v/>
      </c>
      <c r="AB1548">
        <v>0</v>
      </c>
      <c r="AC1548" t="str">
        <f>IF(AB1548&lt;&gt;0,VLOOKUP(VLOOKUP(AB1548,Tbl_Effect[],3,FALSE),EffectName[],IFERROR(MATCH(UI!$B$1,EffectName[#Headers],0),2),FALSE),"")</f>
        <v/>
      </c>
    </row>
    <row r="1549" spans="8:29" x14ac:dyDescent="0.4">
      <c r="H1549" t="str">
        <f t="shared" si="162"/>
        <v/>
      </c>
      <c r="I1549">
        <v>0</v>
      </c>
      <c r="J1549" t="str">
        <f>_xlfn.IFNA(IF(I1549&lt;&gt;0,VLOOKUP(VLOOKUP(I1549,Tbl_Equip[],2,FALSE),Tbl_Color[],IFERROR(MATCH(UI!$B$1,Tbl_Color[#Headers],0),2),FALSE),""),"Unset")</f>
        <v/>
      </c>
      <c r="K1549" t="str">
        <f>_xlfn.IFNA(IF(I1549&lt;&gt;0,VLOOKUP(I1549,ItemText[],IFERROR(MATCH(UI!$B$1,ItemText[#Headers],0),2),FALSE),""),"Unset")</f>
        <v/>
      </c>
      <c r="M1549">
        <v>0</v>
      </c>
      <c r="P1549">
        <v>0</v>
      </c>
      <c r="S1549">
        <v>0</v>
      </c>
      <c r="T1549" t="str">
        <f>IF(VALUE(S1549)=0,"",VLOOKUP(VLOOKUP(S1549,Tbl_Effect[],3,FALSE),EffectName[],IFERROR(MATCH(UI!$B$1,EffectName[#Headers],0),2),FALSE))</f>
        <v/>
      </c>
      <c r="U1549" t="str">
        <f t="shared" si="163"/>
        <v/>
      </c>
      <c r="V1549">
        <v>0</v>
      </c>
      <c r="W1549" t="str">
        <f>IF(V1549&lt;&gt;0,VLOOKUP(VLOOKUP(V1549,Tbl_Effect[],3,FALSE),EffectName[],IFERROR(MATCH(UI!$B$1,EffectName[#Headers],0),2),FALSE),"")</f>
        <v/>
      </c>
      <c r="X1549" t="str">
        <f t="shared" si="164"/>
        <v/>
      </c>
      <c r="Y1549">
        <v>0</v>
      </c>
      <c r="Z1549" t="str">
        <f>IF(Y1549&lt;&gt;0,VLOOKUP(VLOOKUP(Y1549,Tbl_Effect[],3,FALSE),EffectName[],IFERROR(MATCH(UI!$B$1,EffectName[#Headers],0),2),FALSE),"")</f>
        <v/>
      </c>
      <c r="AA1549" t="str">
        <f t="shared" si="165"/>
        <v/>
      </c>
      <c r="AB1549">
        <v>0</v>
      </c>
      <c r="AC1549" t="str">
        <f>IF(AB1549&lt;&gt;0,VLOOKUP(VLOOKUP(AB1549,Tbl_Effect[],3,FALSE),EffectName[],IFERROR(MATCH(UI!$B$1,EffectName[#Headers],0),2),FALSE),"")</f>
        <v/>
      </c>
    </row>
    <row r="1550" spans="8:29" x14ac:dyDescent="0.4">
      <c r="H1550" t="str">
        <f t="shared" si="162"/>
        <v/>
      </c>
      <c r="I1550">
        <v>0</v>
      </c>
      <c r="J1550" t="str">
        <f>_xlfn.IFNA(IF(I1550&lt;&gt;0,VLOOKUP(VLOOKUP(I1550,Tbl_Equip[],2,FALSE),Tbl_Color[],IFERROR(MATCH(UI!$B$1,Tbl_Color[#Headers],0),2),FALSE),""),"Unset")</f>
        <v/>
      </c>
      <c r="K1550" t="str">
        <f>_xlfn.IFNA(IF(I1550&lt;&gt;0,VLOOKUP(I1550,ItemText[],IFERROR(MATCH(UI!$B$1,ItemText[#Headers],0),2),FALSE),""),"Unset")</f>
        <v/>
      </c>
      <c r="M1550">
        <v>0</v>
      </c>
      <c r="P1550">
        <v>0</v>
      </c>
      <c r="S1550">
        <v>0</v>
      </c>
      <c r="T1550" t="str">
        <f>IF(VALUE(S1550)=0,"",VLOOKUP(VLOOKUP(S1550,Tbl_Effect[],3,FALSE),EffectName[],IFERROR(MATCH(UI!$B$1,EffectName[#Headers],0),2),FALSE))</f>
        <v/>
      </c>
      <c r="U1550" t="str">
        <f t="shared" si="163"/>
        <v/>
      </c>
      <c r="V1550">
        <v>0</v>
      </c>
      <c r="W1550" t="str">
        <f>IF(V1550&lt;&gt;0,VLOOKUP(VLOOKUP(V1550,Tbl_Effect[],3,FALSE),EffectName[],IFERROR(MATCH(UI!$B$1,EffectName[#Headers],0),2),FALSE),"")</f>
        <v/>
      </c>
      <c r="X1550" t="str">
        <f t="shared" si="164"/>
        <v/>
      </c>
      <c r="Y1550">
        <v>0</v>
      </c>
      <c r="Z1550" t="str">
        <f>IF(Y1550&lt;&gt;0,VLOOKUP(VLOOKUP(Y1550,Tbl_Effect[],3,FALSE),EffectName[],IFERROR(MATCH(UI!$B$1,EffectName[#Headers],0),2),FALSE),"")</f>
        <v/>
      </c>
      <c r="AA1550" t="str">
        <f t="shared" si="165"/>
        <v/>
      </c>
      <c r="AB1550">
        <v>0</v>
      </c>
      <c r="AC1550" t="str">
        <f>IF(AB1550&lt;&gt;0,VLOOKUP(VLOOKUP(AB1550,Tbl_Effect[],3,FALSE),EffectName[],IFERROR(MATCH(UI!$B$1,EffectName[#Headers],0),2),FALSE),"")</f>
        <v/>
      </c>
    </row>
    <row r="1551" spans="8:29" x14ac:dyDescent="0.4">
      <c r="H1551" t="str">
        <f t="shared" si="162"/>
        <v/>
      </c>
      <c r="I1551">
        <v>0</v>
      </c>
      <c r="J1551" t="str">
        <f>_xlfn.IFNA(IF(I1551&lt;&gt;0,VLOOKUP(VLOOKUP(I1551,Tbl_Equip[],2,FALSE),Tbl_Color[],IFERROR(MATCH(UI!$B$1,Tbl_Color[#Headers],0),2),FALSE),""),"Unset")</f>
        <v/>
      </c>
      <c r="K1551" t="str">
        <f>_xlfn.IFNA(IF(I1551&lt;&gt;0,VLOOKUP(I1551,ItemText[],IFERROR(MATCH(UI!$B$1,ItemText[#Headers],0),2),FALSE),""),"Unset")</f>
        <v/>
      </c>
      <c r="M1551">
        <v>0</v>
      </c>
      <c r="P1551">
        <v>0</v>
      </c>
      <c r="S1551">
        <v>0</v>
      </c>
      <c r="T1551" t="str">
        <f>IF(VALUE(S1551)=0,"",VLOOKUP(VLOOKUP(S1551,Tbl_Effect[],3,FALSE),EffectName[],IFERROR(MATCH(UI!$B$1,EffectName[#Headers],0),2),FALSE))</f>
        <v/>
      </c>
      <c r="U1551" t="str">
        <f t="shared" si="163"/>
        <v/>
      </c>
      <c r="V1551">
        <v>0</v>
      </c>
      <c r="W1551" t="str">
        <f>IF(V1551&lt;&gt;0,VLOOKUP(VLOOKUP(V1551,Tbl_Effect[],3,FALSE),EffectName[],IFERROR(MATCH(UI!$B$1,EffectName[#Headers],0),2),FALSE),"")</f>
        <v/>
      </c>
      <c r="X1551" t="str">
        <f t="shared" si="164"/>
        <v/>
      </c>
      <c r="Y1551">
        <v>0</v>
      </c>
      <c r="Z1551" t="str">
        <f>IF(Y1551&lt;&gt;0,VLOOKUP(VLOOKUP(Y1551,Tbl_Effect[],3,FALSE),EffectName[],IFERROR(MATCH(UI!$B$1,EffectName[#Headers],0),2),FALSE),"")</f>
        <v/>
      </c>
      <c r="AA1551" t="str">
        <f t="shared" si="165"/>
        <v/>
      </c>
      <c r="AB1551">
        <v>0</v>
      </c>
      <c r="AC1551" t="str">
        <f>IF(AB1551&lt;&gt;0,VLOOKUP(VLOOKUP(AB1551,Tbl_Effect[],3,FALSE),EffectName[],IFERROR(MATCH(UI!$B$1,EffectName[#Headers],0),2),FALSE),"")</f>
        <v/>
      </c>
    </row>
    <row r="1552" spans="8:29" x14ac:dyDescent="0.4">
      <c r="H1552" t="str">
        <f t="shared" si="162"/>
        <v/>
      </c>
      <c r="I1552">
        <v>0</v>
      </c>
      <c r="J1552" t="str">
        <f>_xlfn.IFNA(IF(I1552&lt;&gt;0,VLOOKUP(VLOOKUP(I1552,Tbl_Equip[],2,FALSE),Tbl_Color[],IFERROR(MATCH(UI!$B$1,Tbl_Color[#Headers],0),2),FALSE),""),"Unset")</f>
        <v/>
      </c>
      <c r="K1552" t="str">
        <f>_xlfn.IFNA(IF(I1552&lt;&gt;0,VLOOKUP(I1552,ItemText[],IFERROR(MATCH(UI!$B$1,ItemText[#Headers],0),2),FALSE),""),"Unset")</f>
        <v/>
      </c>
      <c r="M1552">
        <v>0</v>
      </c>
      <c r="P1552">
        <v>0</v>
      </c>
      <c r="S1552">
        <v>0</v>
      </c>
      <c r="T1552" t="str">
        <f>IF(VALUE(S1552)=0,"",VLOOKUP(VLOOKUP(S1552,Tbl_Effect[],3,FALSE),EffectName[],IFERROR(MATCH(UI!$B$1,EffectName[#Headers],0),2),FALSE))</f>
        <v/>
      </c>
      <c r="U1552" t="str">
        <f t="shared" si="163"/>
        <v/>
      </c>
      <c r="V1552">
        <v>0</v>
      </c>
      <c r="W1552" t="str">
        <f>IF(V1552&lt;&gt;0,VLOOKUP(VLOOKUP(V1552,Tbl_Effect[],3,FALSE),EffectName[],IFERROR(MATCH(UI!$B$1,EffectName[#Headers],0),2),FALSE),"")</f>
        <v/>
      </c>
      <c r="X1552" t="str">
        <f t="shared" si="164"/>
        <v/>
      </c>
      <c r="Y1552">
        <v>0</v>
      </c>
      <c r="Z1552" t="str">
        <f>IF(Y1552&lt;&gt;0,VLOOKUP(VLOOKUP(Y1552,Tbl_Effect[],3,FALSE),EffectName[],IFERROR(MATCH(UI!$B$1,EffectName[#Headers],0),2),FALSE),"")</f>
        <v/>
      </c>
      <c r="AA1552" t="str">
        <f t="shared" si="165"/>
        <v/>
      </c>
      <c r="AB1552">
        <v>0</v>
      </c>
      <c r="AC1552" t="str">
        <f>IF(AB1552&lt;&gt;0,VLOOKUP(VLOOKUP(AB1552,Tbl_Effect[],3,FALSE),EffectName[],IFERROR(MATCH(UI!$B$1,EffectName[#Headers],0),2),FALSE),"")</f>
        <v/>
      </c>
    </row>
    <row r="1553" spans="8:29" x14ac:dyDescent="0.4">
      <c r="H1553" t="str">
        <f t="shared" si="162"/>
        <v/>
      </c>
      <c r="I1553">
        <v>0</v>
      </c>
      <c r="J1553" t="str">
        <f>_xlfn.IFNA(IF(I1553&lt;&gt;0,VLOOKUP(VLOOKUP(I1553,Tbl_Equip[],2,FALSE),Tbl_Color[],IFERROR(MATCH(UI!$B$1,Tbl_Color[#Headers],0),2),FALSE),""),"Unset")</f>
        <v/>
      </c>
      <c r="K1553" t="str">
        <f>_xlfn.IFNA(IF(I1553&lt;&gt;0,VLOOKUP(I1553,ItemText[],IFERROR(MATCH(UI!$B$1,ItemText[#Headers],0),2),FALSE),""),"Unset")</f>
        <v/>
      </c>
      <c r="M1553">
        <v>0</v>
      </c>
      <c r="P1553">
        <v>0</v>
      </c>
      <c r="S1553">
        <v>0</v>
      </c>
      <c r="T1553" t="str">
        <f>IF(VALUE(S1553)=0,"",VLOOKUP(VLOOKUP(S1553,Tbl_Effect[],3,FALSE),EffectName[],IFERROR(MATCH(UI!$B$1,EffectName[#Headers],0),2),FALSE))</f>
        <v/>
      </c>
      <c r="U1553" t="str">
        <f t="shared" si="163"/>
        <v/>
      </c>
      <c r="V1553">
        <v>0</v>
      </c>
      <c r="W1553" t="str">
        <f>IF(V1553&lt;&gt;0,VLOOKUP(VLOOKUP(V1553,Tbl_Effect[],3,FALSE),EffectName[],IFERROR(MATCH(UI!$B$1,EffectName[#Headers],0),2),FALSE),"")</f>
        <v/>
      </c>
      <c r="X1553" t="str">
        <f t="shared" si="164"/>
        <v/>
      </c>
      <c r="Y1553">
        <v>0</v>
      </c>
      <c r="Z1553" t="str">
        <f>IF(Y1553&lt;&gt;0,VLOOKUP(VLOOKUP(Y1553,Tbl_Effect[],3,FALSE),EffectName[],IFERROR(MATCH(UI!$B$1,EffectName[#Headers],0),2),FALSE),"")</f>
        <v/>
      </c>
      <c r="AA1553" t="str">
        <f t="shared" si="165"/>
        <v/>
      </c>
      <c r="AB1553">
        <v>0</v>
      </c>
      <c r="AC1553" t="str">
        <f>IF(AB1553&lt;&gt;0,VLOOKUP(VLOOKUP(AB1553,Tbl_Effect[],3,FALSE),EffectName[],IFERROR(MATCH(UI!$B$1,EffectName[#Headers],0),2),FALSE),"")</f>
        <v/>
      </c>
    </row>
    <row r="1554" spans="8:29" x14ac:dyDescent="0.4">
      <c r="H1554" t="str">
        <f t="shared" si="162"/>
        <v/>
      </c>
      <c r="I1554">
        <v>0</v>
      </c>
      <c r="J1554" t="str">
        <f>_xlfn.IFNA(IF(I1554&lt;&gt;0,VLOOKUP(VLOOKUP(I1554,Tbl_Equip[],2,FALSE),Tbl_Color[],IFERROR(MATCH(UI!$B$1,Tbl_Color[#Headers],0),2),FALSE),""),"Unset")</f>
        <v/>
      </c>
      <c r="K1554" t="str">
        <f>_xlfn.IFNA(IF(I1554&lt;&gt;0,VLOOKUP(I1554,ItemText[],IFERROR(MATCH(UI!$B$1,ItemText[#Headers],0),2),FALSE),""),"Unset")</f>
        <v/>
      </c>
      <c r="M1554">
        <v>0</v>
      </c>
      <c r="P1554">
        <v>0</v>
      </c>
      <c r="S1554">
        <v>0</v>
      </c>
      <c r="T1554" t="str">
        <f>IF(VALUE(S1554)=0,"",VLOOKUP(VLOOKUP(S1554,Tbl_Effect[],3,FALSE),EffectName[],IFERROR(MATCH(UI!$B$1,EffectName[#Headers],0),2),FALSE))</f>
        <v/>
      </c>
      <c r="U1554" t="str">
        <f t="shared" si="163"/>
        <v/>
      </c>
      <c r="V1554">
        <v>0</v>
      </c>
      <c r="W1554" t="str">
        <f>IF(V1554&lt;&gt;0,VLOOKUP(VLOOKUP(V1554,Tbl_Effect[],3,FALSE),EffectName[],IFERROR(MATCH(UI!$B$1,EffectName[#Headers],0),2),FALSE),"")</f>
        <v/>
      </c>
      <c r="X1554" t="str">
        <f t="shared" si="164"/>
        <v/>
      </c>
      <c r="Y1554">
        <v>0</v>
      </c>
      <c r="Z1554" t="str">
        <f>IF(Y1554&lt;&gt;0,VLOOKUP(VLOOKUP(Y1554,Tbl_Effect[],3,FALSE),EffectName[],IFERROR(MATCH(UI!$B$1,EffectName[#Headers],0),2),FALSE),"")</f>
        <v/>
      </c>
      <c r="AA1554" t="str">
        <f t="shared" si="165"/>
        <v/>
      </c>
      <c r="AB1554">
        <v>0</v>
      </c>
      <c r="AC1554" t="str">
        <f>IF(AB1554&lt;&gt;0,VLOOKUP(VLOOKUP(AB1554,Tbl_Effect[],3,FALSE),EffectName[],IFERROR(MATCH(UI!$B$1,EffectName[#Headers],0),2),FALSE),"")</f>
        <v/>
      </c>
    </row>
    <row r="1555" spans="8:29" x14ac:dyDescent="0.4">
      <c r="H1555" t="str">
        <f t="shared" si="162"/>
        <v/>
      </c>
      <c r="I1555">
        <v>0</v>
      </c>
      <c r="J1555" t="str">
        <f>_xlfn.IFNA(IF(I1555&lt;&gt;0,VLOOKUP(VLOOKUP(I1555,Tbl_Equip[],2,FALSE),Tbl_Color[],IFERROR(MATCH(UI!$B$1,Tbl_Color[#Headers],0),2),FALSE),""),"Unset")</f>
        <v/>
      </c>
      <c r="K1555" t="str">
        <f>_xlfn.IFNA(IF(I1555&lt;&gt;0,VLOOKUP(I1555,ItemText[],IFERROR(MATCH(UI!$B$1,ItemText[#Headers],0),2),FALSE),""),"Unset")</f>
        <v/>
      </c>
      <c r="M1555">
        <v>0</v>
      </c>
      <c r="P1555">
        <v>0</v>
      </c>
      <c r="S1555">
        <v>0</v>
      </c>
      <c r="T1555" t="str">
        <f>IF(VALUE(S1555)=0,"",VLOOKUP(VLOOKUP(S1555,Tbl_Effect[],3,FALSE),EffectName[],IFERROR(MATCH(UI!$B$1,EffectName[#Headers],0),2),FALSE))</f>
        <v/>
      </c>
      <c r="U1555" t="str">
        <f t="shared" si="163"/>
        <v/>
      </c>
      <c r="V1555">
        <v>0</v>
      </c>
      <c r="W1555" t="str">
        <f>IF(V1555&lt;&gt;0,VLOOKUP(VLOOKUP(V1555,Tbl_Effect[],3,FALSE),EffectName[],IFERROR(MATCH(UI!$B$1,EffectName[#Headers],0),2),FALSE),"")</f>
        <v/>
      </c>
      <c r="X1555" t="str">
        <f t="shared" si="164"/>
        <v/>
      </c>
      <c r="Y1555">
        <v>0</v>
      </c>
      <c r="Z1555" t="str">
        <f>IF(Y1555&lt;&gt;0,VLOOKUP(VLOOKUP(Y1555,Tbl_Effect[],3,FALSE),EffectName[],IFERROR(MATCH(UI!$B$1,EffectName[#Headers],0),2),FALSE),"")</f>
        <v/>
      </c>
      <c r="AA1555" t="str">
        <f t="shared" si="165"/>
        <v/>
      </c>
      <c r="AB1555">
        <v>0</v>
      </c>
      <c r="AC1555" t="str">
        <f>IF(AB1555&lt;&gt;0,VLOOKUP(VLOOKUP(AB1555,Tbl_Effect[],3,FALSE),EffectName[],IFERROR(MATCH(UI!$B$1,EffectName[#Headers],0),2),FALSE),"")</f>
        <v/>
      </c>
    </row>
    <row r="1556" spans="8:29" x14ac:dyDescent="0.4">
      <c r="H1556" t="str">
        <f t="shared" si="162"/>
        <v/>
      </c>
      <c r="I1556">
        <v>0</v>
      </c>
      <c r="J1556" t="str">
        <f>_xlfn.IFNA(IF(I1556&lt;&gt;0,VLOOKUP(VLOOKUP(I1556,Tbl_Equip[],2,FALSE),Tbl_Color[],IFERROR(MATCH(UI!$B$1,Tbl_Color[#Headers],0),2),FALSE),""),"Unset")</f>
        <v/>
      </c>
      <c r="K1556" t="str">
        <f>_xlfn.IFNA(IF(I1556&lt;&gt;0,VLOOKUP(I1556,ItemText[],IFERROR(MATCH(UI!$B$1,ItemText[#Headers],0),2),FALSE),""),"Unset")</f>
        <v/>
      </c>
      <c r="M1556">
        <v>0</v>
      </c>
      <c r="P1556">
        <v>0</v>
      </c>
      <c r="S1556">
        <v>0</v>
      </c>
      <c r="T1556" t="str">
        <f>IF(VALUE(S1556)=0,"",VLOOKUP(VLOOKUP(S1556,Tbl_Effect[],3,FALSE),EffectName[],IFERROR(MATCH(UI!$B$1,EffectName[#Headers],0),2),FALSE))</f>
        <v/>
      </c>
      <c r="U1556" t="str">
        <f t="shared" si="163"/>
        <v/>
      </c>
      <c r="V1556">
        <v>0</v>
      </c>
      <c r="W1556" t="str">
        <f>IF(V1556&lt;&gt;0,VLOOKUP(VLOOKUP(V1556,Tbl_Effect[],3,FALSE),EffectName[],IFERROR(MATCH(UI!$B$1,EffectName[#Headers],0),2),FALSE),"")</f>
        <v/>
      </c>
      <c r="X1556" t="str">
        <f t="shared" si="164"/>
        <v/>
      </c>
      <c r="Y1556">
        <v>0</v>
      </c>
      <c r="Z1556" t="str">
        <f>IF(Y1556&lt;&gt;0,VLOOKUP(VLOOKUP(Y1556,Tbl_Effect[],3,FALSE),EffectName[],IFERROR(MATCH(UI!$B$1,EffectName[#Headers],0),2),FALSE),"")</f>
        <v/>
      </c>
      <c r="AA1556" t="str">
        <f t="shared" si="165"/>
        <v/>
      </c>
      <c r="AB1556">
        <v>0</v>
      </c>
      <c r="AC1556" t="str">
        <f>IF(AB1556&lt;&gt;0,VLOOKUP(VLOOKUP(AB1556,Tbl_Effect[],3,FALSE),EffectName[],IFERROR(MATCH(UI!$B$1,EffectName[#Headers],0),2),FALSE),"")</f>
        <v/>
      </c>
    </row>
    <row r="1557" spans="8:29" x14ac:dyDescent="0.4">
      <c r="H1557" t="str">
        <f t="shared" si="162"/>
        <v/>
      </c>
      <c r="I1557">
        <v>0</v>
      </c>
      <c r="J1557" t="str">
        <f>_xlfn.IFNA(IF(I1557&lt;&gt;0,VLOOKUP(VLOOKUP(I1557,Tbl_Equip[],2,FALSE),Tbl_Color[],IFERROR(MATCH(UI!$B$1,Tbl_Color[#Headers],0),2),FALSE),""),"Unset")</f>
        <v/>
      </c>
      <c r="K1557" t="str">
        <f>_xlfn.IFNA(IF(I1557&lt;&gt;0,VLOOKUP(I1557,ItemText[],IFERROR(MATCH(UI!$B$1,ItemText[#Headers],0),2),FALSE),""),"Unset")</f>
        <v/>
      </c>
      <c r="M1557">
        <v>0</v>
      </c>
      <c r="P1557">
        <v>0</v>
      </c>
      <c r="S1557">
        <v>0</v>
      </c>
      <c r="T1557" t="str">
        <f>IF(VALUE(S1557)=0,"",VLOOKUP(VLOOKUP(S1557,Tbl_Effect[],3,FALSE),EffectName[],IFERROR(MATCH(UI!$B$1,EffectName[#Headers],0),2),FALSE))</f>
        <v/>
      </c>
      <c r="U1557" t="str">
        <f t="shared" si="163"/>
        <v/>
      </c>
      <c r="V1557">
        <v>0</v>
      </c>
      <c r="W1557" t="str">
        <f>IF(V1557&lt;&gt;0,VLOOKUP(VLOOKUP(V1557,Tbl_Effect[],3,FALSE),EffectName[],IFERROR(MATCH(UI!$B$1,EffectName[#Headers],0),2),FALSE),"")</f>
        <v/>
      </c>
      <c r="X1557" t="str">
        <f t="shared" si="164"/>
        <v/>
      </c>
      <c r="Y1557">
        <v>0</v>
      </c>
      <c r="Z1557" t="str">
        <f>IF(Y1557&lt;&gt;0,VLOOKUP(VLOOKUP(Y1557,Tbl_Effect[],3,FALSE),EffectName[],IFERROR(MATCH(UI!$B$1,EffectName[#Headers],0),2),FALSE),"")</f>
        <v/>
      </c>
      <c r="AA1557" t="str">
        <f t="shared" si="165"/>
        <v/>
      </c>
      <c r="AB1557">
        <v>0</v>
      </c>
      <c r="AC1557" t="str">
        <f>IF(AB1557&lt;&gt;0,VLOOKUP(VLOOKUP(AB1557,Tbl_Effect[],3,FALSE),EffectName[],IFERROR(MATCH(UI!$B$1,EffectName[#Headers],0),2),FALSE),"")</f>
        <v/>
      </c>
    </row>
    <row r="1558" spans="8:29" x14ac:dyDescent="0.4">
      <c r="H1558" t="str">
        <f t="shared" si="162"/>
        <v/>
      </c>
      <c r="I1558">
        <v>0</v>
      </c>
      <c r="J1558" t="str">
        <f>_xlfn.IFNA(IF(I1558&lt;&gt;0,VLOOKUP(VLOOKUP(I1558,Tbl_Equip[],2,FALSE),Tbl_Color[],IFERROR(MATCH(UI!$B$1,Tbl_Color[#Headers],0),2),FALSE),""),"Unset")</f>
        <v/>
      </c>
      <c r="K1558" t="str">
        <f>_xlfn.IFNA(IF(I1558&lt;&gt;0,VLOOKUP(I1558,ItemText[],IFERROR(MATCH(UI!$B$1,ItemText[#Headers],0),2),FALSE),""),"Unset")</f>
        <v/>
      </c>
      <c r="M1558">
        <v>0</v>
      </c>
      <c r="P1558">
        <v>0</v>
      </c>
      <c r="S1558">
        <v>0</v>
      </c>
      <c r="T1558" t="str">
        <f>IF(VALUE(S1558)=0,"",VLOOKUP(VLOOKUP(S1558,Tbl_Effect[],3,FALSE),EffectName[],IFERROR(MATCH(UI!$B$1,EffectName[#Headers],0),2),FALSE))</f>
        <v/>
      </c>
      <c r="U1558" t="str">
        <f t="shared" si="163"/>
        <v/>
      </c>
      <c r="V1558">
        <v>0</v>
      </c>
      <c r="W1558" t="str">
        <f>IF(V1558&lt;&gt;0,VLOOKUP(VLOOKUP(V1558,Tbl_Effect[],3,FALSE),EffectName[],IFERROR(MATCH(UI!$B$1,EffectName[#Headers],0),2),FALSE),"")</f>
        <v/>
      </c>
      <c r="X1558" t="str">
        <f t="shared" si="164"/>
        <v/>
      </c>
      <c r="Y1558">
        <v>0</v>
      </c>
      <c r="Z1558" t="str">
        <f>IF(Y1558&lt;&gt;0,VLOOKUP(VLOOKUP(Y1558,Tbl_Effect[],3,FALSE),EffectName[],IFERROR(MATCH(UI!$B$1,EffectName[#Headers],0),2),FALSE),"")</f>
        <v/>
      </c>
      <c r="AA1558" t="str">
        <f t="shared" si="165"/>
        <v/>
      </c>
      <c r="AB1558">
        <v>0</v>
      </c>
      <c r="AC1558" t="str">
        <f>IF(AB1558&lt;&gt;0,VLOOKUP(VLOOKUP(AB1558,Tbl_Effect[],3,FALSE),EffectName[],IFERROR(MATCH(UI!$B$1,EffectName[#Headers],0),2),FALSE),"")</f>
        <v/>
      </c>
    </row>
    <row r="1559" spans="8:29" x14ac:dyDescent="0.4">
      <c r="H1559" t="str">
        <f t="shared" si="162"/>
        <v/>
      </c>
      <c r="I1559">
        <v>0</v>
      </c>
      <c r="J1559" t="str">
        <f>_xlfn.IFNA(IF(I1559&lt;&gt;0,VLOOKUP(VLOOKUP(I1559,Tbl_Equip[],2,FALSE),Tbl_Color[],IFERROR(MATCH(UI!$B$1,Tbl_Color[#Headers],0),2),FALSE),""),"Unset")</f>
        <v/>
      </c>
      <c r="K1559" t="str">
        <f>_xlfn.IFNA(IF(I1559&lt;&gt;0,VLOOKUP(I1559,ItemText[],IFERROR(MATCH(UI!$B$1,ItemText[#Headers],0),2),FALSE),""),"Unset")</f>
        <v/>
      </c>
      <c r="M1559">
        <v>0</v>
      </c>
      <c r="P1559">
        <v>0</v>
      </c>
      <c r="S1559">
        <v>0</v>
      </c>
      <c r="T1559" t="str">
        <f>IF(VALUE(S1559)=0,"",VLOOKUP(VLOOKUP(S1559,Tbl_Effect[],3,FALSE),EffectName[],IFERROR(MATCH(UI!$B$1,EffectName[#Headers],0),2),FALSE))</f>
        <v/>
      </c>
      <c r="U1559" t="str">
        <f t="shared" si="163"/>
        <v/>
      </c>
      <c r="V1559">
        <v>0</v>
      </c>
      <c r="W1559" t="str">
        <f>IF(V1559&lt;&gt;0,VLOOKUP(VLOOKUP(V1559,Tbl_Effect[],3,FALSE),EffectName[],IFERROR(MATCH(UI!$B$1,EffectName[#Headers],0),2),FALSE),"")</f>
        <v/>
      </c>
      <c r="X1559" t="str">
        <f t="shared" si="164"/>
        <v/>
      </c>
      <c r="Y1559">
        <v>0</v>
      </c>
      <c r="Z1559" t="str">
        <f>IF(Y1559&lt;&gt;0,VLOOKUP(VLOOKUP(Y1559,Tbl_Effect[],3,FALSE),EffectName[],IFERROR(MATCH(UI!$B$1,EffectName[#Headers],0),2),FALSE),"")</f>
        <v/>
      </c>
      <c r="AA1559" t="str">
        <f t="shared" si="165"/>
        <v/>
      </c>
      <c r="AB1559">
        <v>0</v>
      </c>
      <c r="AC1559" t="str">
        <f>IF(AB1559&lt;&gt;0,VLOOKUP(VLOOKUP(AB1559,Tbl_Effect[],3,FALSE),EffectName[],IFERROR(MATCH(UI!$B$1,EffectName[#Headers],0),2),FALSE),"")</f>
        <v/>
      </c>
    </row>
    <row r="1560" spans="8:29" x14ac:dyDescent="0.4">
      <c r="H1560" t="str">
        <f t="shared" si="162"/>
        <v/>
      </c>
      <c r="I1560">
        <v>0</v>
      </c>
      <c r="J1560" t="str">
        <f>_xlfn.IFNA(IF(I1560&lt;&gt;0,VLOOKUP(VLOOKUP(I1560,Tbl_Equip[],2,FALSE),Tbl_Color[],IFERROR(MATCH(UI!$B$1,Tbl_Color[#Headers],0),2),FALSE),""),"Unset")</f>
        <v/>
      </c>
      <c r="K1560" t="str">
        <f>_xlfn.IFNA(IF(I1560&lt;&gt;0,VLOOKUP(I1560,ItemText[],IFERROR(MATCH(UI!$B$1,ItemText[#Headers],0),2),FALSE),""),"Unset")</f>
        <v/>
      </c>
      <c r="M1560">
        <v>0</v>
      </c>
      <c r="P1560">
        <v>0</v>
      </c>
      <c r="S1560">
        <v>0</v>
      </c>
      <c r="T1560" t="str">
        <f>IF(VALUE(S1560)=0,"",VLOOKUP(VLOOKUP(S1560,Tbl_Effect[],3,FALSE),EffectName[],IFERROR(MATCH(UI!$B$1,EffectName[#Headers],0),2),FALSE))</f>
        <v/>
      </c>
      <c r="U1560" t="str">
        <f t="shared" si="163"/>
        <v/>
      </c>
      <c r="V1560">
        <v>0</v>
      </c>
      <c r="W1560" t="str">
        <f>IF(V1560&lt;&gt;0,VLOOKUP(VLOOKUP(V1560,Tbl_Effect[],3,FALSE),EffectName[],IFERROR(MATCH(UI!$B$1,EffectName[#Headers],0),2),FALSE),"")</f>
        <v/>
      </c>
      <c r="X1560" t="str">
        <f t="shared" si="164"/>
        <v/>
      </c>
      <c r="Y1560">
        <v>0</v>
      </c>
      <c r="Z1560" t="str">
        <f>IF(Y1560&lt;&gt;0,VLOOKUP(VLOOKUP(Y1560,Tbl_Effect[],3,FALSE),EffectName[],IFERROR(MATCH(UI!$B$1,EffectName[#Headers],0),2),FALSE),"")</f>
        <v/>
      </c>
      <c r="AA1560" t="str">
        <f t="shared" si="165"/>
        <v/>
      </c>
      <c r="AB1560">
        <v>0</v>
      </c>
      <c r="AC1560" t="str">
        <f>IF(AB1560&lt;&gt;0,VLOOKUP(VLOOKUP(AB1560,Tbl_Effect[],3,FALSE),EffectName[],IFERROR(MATCH(UI!$B$1,EffectName[#Headers],0),2),FALSE),"")</f>
        <v/>
      </c>
    </row>
    <row r="1561" spans="8:29" x14ac:dyDescent="0.4">
      <c r="H1561" t="str">
        <f t="shared" si="162"/>
        <v/>
      </c>
      <c r="I1561">
        <v>0</v>
      </c>
      <c r="J1561" t="str">
        <f>_xlfn.IFNA(IF(I1561&lt;&gt;0,VLOOKUP(VLOOKUP(I1561,Tbl_Equip[],2,FALSE),Tbl_Color[],IFERROR(MATCH(UI!$B$1,Tbl_Color[#Headers],0),2),FALSE),""),"Unset")</f>
        <v/>
      </c>
      <c r="K1561" t="str">
        <f>_xlfn.IFNA(IF(I1561&lt;&gt;0,VLOOKUP(I1561,ItemText[],IFERROR(MATCH(UI!$B$1,ItemText[#Headers],0),2),FALSE),""),"Unset")</f>
        <v/>
      </c>
      <c r="M1561">
        <v>0</v>
      </c>
      <c r="P1561">
        <v>0</v>
      </c>
      <c r="S1561">
        <v>0</v>
      </c>
      <c r="T1561" t="str">
        <f>IF(VALUE(S1561)=0,"",VLOOKUP(VLOOKUP(S1561,Tbl_Effect[],3,FALSE),EffectName[],IFERROR(MATCH(UI!$B$1,EffectName[#Headers],0),2),FALSE))</f>
        <v/>
      </c>
      <c r="U1561" t="str">
        <f t="shared" si="163"/>
        <v/>
      </c>
      <c r="V1561">
        <v>0</v>
      </c>
      <c r="W1561" t="str">
        <f>IF(V1561&lt;&gt;0,VLOOKUP(VLOOKUP(V1561,Tbl_Effect[],3,FALSE),EffectName[],IFERROR(MATCH(UI!$B$1,EffectName[#Headers],0),2),FALSE),"")</f>
        <v/>
      </c>
      <c r="X1561" t="str">
        <f t="shared" si="164"/>
        <v/>
      </c>
      <c r="Y1561">
        <v>0</v>
      </c>
      <c r="Z1561" t="str">
        <f>IF(Y1561&lt;&gt;0,VLOOKUP(VLOOKUP(Y1561,Tbl_Effect[],3,FALSE),EffectName[],IFERROR(MATCH(UI!$B$1,EffectName[#Headers],0),2),FALSE),"")</f>
        <v/>
      </c>
      <c r="AA1561" t="str">
        <f t="shared" si="165"/>
        <v/>
      </c>
      <c r="AB1561">
        <v>0</v>
      </c>
      <c r="AC1561" t="str">
        <f>IF(AB1561&lt;&gt;0,VLOOKUP(VLOOKUP(AB1561,Tbl_Effect[],3,FALSE),EffectName[],IFERROR(MATCH(UI!$B$1,EffectName[#Headers],0),2),FALSE),"")</f>
        <v/>
      </c>
    </row>
    <row r="1562" spans="8:29" x14ac:dyDescent="0.4">
      <c r="H1562" t="str">
        <f t="shared" si="162"/>
        <v/>
      </c>
      <c r="I1562">
        <v>0</v>
      </c>
      <c r="J1562" t="str">
        <f>_xlfn.IFNA(IF(I1562&lt;&gt;0,VLOOKUP(VLOOKUP(I1562,Tbl_Equip[],2,FALSE),Tbl_Color[],IFERROR(MATCH(UI!$B$1,Tbl_Color[#Headers],0),2),FALSE),""),"Unset")</f>
        <v/>
      </c>
      <c r="K1562" t="str">
        <f>_xlfn.IFNA(IF(I1562&lt;&gt;0,VLOOKUP(I1562,ItemText[],IFERROR(MATCH(UI!$B$1,ItemText[#Headers],0),2),FALSE),""),"Unset")</f>
        <v/>
      </c>
      <c r="M1562">
        <v>0</v>
      </c>
      <c r="P1562">
        <v>0</v>
      </c>
      <c r="S1562">
        <v>0</v>
      </c>
      <c r="T1562" t="str">
        <f>IF(VALUE(S1562)=0,"",VLOOKUP(VLOOKUP(S1562,Tbl_Effect[],3,FALSE),EffectName[],IFERROR(MATCH(UI!$B$1,EffectName[#Headers],0),2),FALSE))</f>
        <v/>
      </c>
      <c r="U1562" t="str">
        <f t="shared" si="163"/>
        <v/>
      </c>
      <c r="V1562">
        <v>0</v>
      </c>
      <c r="W1562" t="str">
        <f>IF(V1562&lt;&gt;0,VLOOKUP(VLOOKUP(V1562,Tbl_Effect[],3,FALSE),EffectName[],IFERROR(MATCH(UI!$B$1,EffectName[#Headers],0),2),FALSE),"")</f>
        <v/>
      </c>
      <c r="X1562" t="str">
        <f t="shared" si="164"/>
        <v/>
      </c>
      <c r="Y1562">
        <v>0</v>
      </c>
      <c r="Z1562" t="str">
        <f>IF(Y1562&lt;&gt;0,VLOOKUP(VLOOKUP(Y1562,Tbl_Effect[],3,FALSE),EffectName[],IFERROR(MATCH(UI!$B$1,EffectName[#Headers],0),2),FALSE),"")</f>
        <v/>
      </c>
      <c r="AA1562" t="str">
        <f t="shared" si="165"/>
        <v/>
      </c>
      <c r="AB1562">
        <v>0</v>
      </c>
      <c r="AC1562" t="str">
        <f>IF(AB1562&lt;&gt;0,VLOOKUP(VLOOKUP(AB1562,Tbl_Effect[],3,FALSE),EffectName[],IFERROR(MATCH(UI!$B$1,EffectName[#Headers],0),2),FALSE),"")</f>
        <v/>
      </c>
    </row>
    <row r="1563" spans="8:29" x14ac:dyDescent="0.4">
      <c r="H1563" t="str">
        <f t="shared" si="162"/>
        <v/>
      </c>
      <c r="I1563">
        <v>0</v>
      </c>
      <c r="J1563" t="str">
        <f>_xlfn.IFNA(IF(I1563&lt;&gt;0,VLOOKUP(VLOOKUP(I1563,Tbl_Equip[],2,FALSE),Tbl_Color[],IFERROR(MATCH(UI!$B$1,Tbl_Color[#Headers],0),2),FALSE),""),"Unset")</f>
        <v/>
      </c>
      <c r="K1563" t="str">
        <f>_xlfn.IFNA(IF(I1563&lt;&gt;0,VLOOKUP(I1563,ItemText[],IFERROR(MATCH(UI!$B$1,ItemText[#Headers],0),2),FALSE),""),"Unset")</f>
        <v/>
      </c>
      <c r="M1563">
        <v>0</v>
      </c>
      <c r="P1563">
        <v>0</v>
      </c>
      <c r="S1563">
        <v>0</v>
      </c>
      <c r="T1563" t="str">
        <f>IF(VALUE(S1563)=0,"",VLOOKUP(VLOOKUP(S1563,Tbl_Effect[],3,FALSE),EffectName[],IFERROR(MATCH(UI!$B$1,EffectName[#Headers],0),2),FALSE))</f>
        <v/>
      </c>
      <c r="U1563" t="str">
        <f t="shared" si="163"/>
        <v/>
      </c>
      <c r="V1563">
        <v>0</v>
      </c>
      <c r="W1563" t="str">
        <f>IF(V1563&lt;&gt;0,VLOOKUP(VLOOKUP(V1563,Tbl_Effect[],3,FALSE),EffectName[],IFERROR(MATCH(UI!$B$1,EffectName[#Headers],0),2),FALSE),"")</f>
        <v/>
      </c>
      <c r="X1563" t="str">
        <f t="shared" si="164"/>
        <v/>
      </c>
      <c r="Y1563">
        <v>0</v>
      </c>
      <c r="Z1563" t="str">
        <f>IF(Y1563&lt;&gt;0,VLOOKUP(VLOOKUP(Y1563,Tbl_Effect[],3,FALSE),EffectName[],IFERROR(MATCH(UI!$B$1,EffectName[#Headers],0),2),FALSE),"")</f>
        <v/>
      </c>
      <c r="AA1563" t="str">
        <f t="shared" si="165"/>
        <v/>
      </c>
      <c r="AB1563">
        <v>0</v>
      </c>
      <c r="AC1563" t="str">
        <f>IF(AB1563&lt;&gt;0,VLOOKUP(VLOOKUP(AB1563,Tbl_Effect[],3,FALSE),EffectName[],IFERROR(MATCH(UI!$B$1,EffectName[#Headers],0),2),FALSE),"")</f>
        <v/>
      </c>
    </row>
    <row r="1564" spans="8:29" x14ac:dyDescent="0.4">
      <c r="H1564" t="str">
        <f t="shared" si="162"/>
        <v/>
      </c>
      <c r="I1564">
        <v>0</v>
      </c>
      <c r="J1564" t="str">
        <f>_xlfn.IFNA(IF(I1564&lt;&gt;0,VLOOKUP(VLOOKUP(I1564,Tbl_Equip[],2,FALSE),Tbl_Color[],IFERROR(MATCH(UI!$B$1,Tbl_Color[#Headers],0),2),FALSE),""),"Unset")</f>
        <v/>
      </c>
      <c r="K1564" t="str">
        <f>_xlfn.IFNA(IF(I1564&lt;&gt;0,VLOOKUP(I1564,ItemText[],IFERROR(MATCH(UI!$B$1,ItemText[#Headers],0),2),FALSE),""),"Unset")</f>
        <v/>
      </c>
      <c r="M1564">
        <v>0</v>
      </c>
      <c r="P1564">
        <v>0</v>
      </c>
      <c r="S1564">
        <v>0</v>
      </c>
      <c r="T1564" t="str">
        <f>IF(VALUE(S1564)=0,"",VLOOKUP(VLOOKUP(S1564,Tbl_Effect[],3,FALSE),EffectName[],IFERROR(MATCH(UI!$B$1,EffectName[#Headers],0),2),FALSE))</f>
        <v/>
      </c>
      <c r="U1564" t="str">
        <f t="shared" si="163"/>
        <v/>
      </c>
      <c r="V1564">
        <v>0</v>
      </c>
      <c r="W1564" t="str">
        <f>IF(V1564&lt;&gt;0,VLOOKUP(VLOOKUP(V1564,Tbl_Effect[],3,FALSE),EffectName[],IFERROR(MATCH(UI!$B$1,EffectName[#Headers],0),2),FALSE),"")</f>
        <v/>
      </c>
      <c r="X1564" t="str">
        <f t="shared" si="164"/>
        <v/>
      </c>
      <c r="Y1564">
        <v>0</v>
      </c>
      <c r="Z1564" t="str">
        <f>IF(Y1564&lt;&gt;0,VLOOKUP(VLOOKUP(Y1564,Tbl_Effect[],3,FALSE),EffectName[],IFERROR(MATCH(UI!$B$1,EffectName[#Headers],0),2),FALSE),"")</f>
        <v/>
      </c>
      <c r="AA1564" t="str">
        <f t="shared" si="165"/>
        <v/>
      </c>
      <c r="AB1564">
        <v>0</v>
      </c>
      <c r="AC1564" t="str">
        <f>IF(AB1564&lt;&gt;0,VLOOKUP(VLOOKUP(AB1564,Tbl_Effect[],3,FALSE),EffectName[],IFERROR(MATCH(UI!$B$1,EffectName[#Headers],0),2),FALSE),"")</f>
        <v/>
      </c>
    </row>
    <row r="1565" spans="8:29" x14ac:dyDescent="0.4">
      <c r="H1565" t="str">
        <f t="shared" si="162"/>
        <v/>
      </c>
      <c r="I1565">
        <v>0</v>
      </c>
      <c r="J1565" t="str">
        <f>_xlfn.IFNA(IF(I1565&lt;&gt;0,VLOOKUP(VLOOKUP(I1565,Tbl_Equip[],2,FALSE),Tbl_Color[],IFERROR(MATCH(UI!$B$1,Tbl_Color[#Headers],0),2),FALSE),""),"Unset")</f>
        <v/>
      </c>
      <c r="K1565" t="str">
        <f>_xlfn.IFNA(IF(I1565&lt;&gt;0,VLOOKUP(I1565,ItemText[],IFERROR(MATCH(UI!$B$1,ItemText[#Headers],0),2),FALSE),""),"Unset")</f>
        <v/>
      </c>
      <c r="M1565">
        <v>0</v>
      </c>
      <c r="P1565">
        <v>0</v>
      </c>
      <c r="S1565">
        <v>0</v>
      </c>
      <c r="T1565" t="str">
        <f>IF(VALUE(S1565)=0,"",VLOOKUP(VLOOKUP(S1565,Tbl_Effect[],3,FALSE),EffectName[],IFERROR(MATCH(UI!$B$1,EffectName[#Headers],0),2),FALSE))</f>
        <v/>
      </c>
      <c r="U1565" t="str">
        <f t="shared" si="163"/>
        <v/>
      </c>
      <c r="V1565">
        <v>0</v>
      </c>
      <c r="W1565" t="str">
        <f>IF(V1565&lt;&gt;0,VLOOKUP(VLOOKUP(V1565,Tbl_Effect[],3,FALSE),EffectName[],IFERROR(MATCH(UI!$B$1,EffectName[#Headers],0),2),FALSE),"")</f>
        <v/>
      </c>
      <c r="X1565" t="str">
        <f t="shared" si="164"/>
        <v/>
      </c>
      <c r="Y1565">
        <v>0</v>
      </c>
      <c r="Z1565" t="str">
        <f>IF(Y1565&lt;&gt;0,VLOOKUP(VLOOKUP(Y1565,Tbl_Effect[],3,FALSE),EffectName[],IFERROR(MATCH(UI!$B$1,EffectName[#Headers],0),2),FALSE),"")</f>
        <v/>
      </c>
      <c r="AA1565" t="str">
        <f t="shared" si="165"/>
        <v/>
      </c>
      <c r="AB1565">
        <v>0</v>
      </c>
      <c r="AC1565" t="str">
        <f>IF(AB1565&lt;&gt;0,VLOOKUP(VLOOKUP(AB1565,Tbl_Effect[],3,FALSE),EffectName[],IFERROR(MATCH(UI!$B$1,EffectName[#Headers],0),2),FALSE),"")</f>
        <v/>
      </c>
    </row>
    <row r="1566" spans="8:29" x14ac:dyDescent="0.4">
      <c r="H1566" t="str">
        <f t="shared" si="162"/>
        <v/>
      </c>
      <c r="I1566">
        <v>0</v>
      </c>
      <c r="J1566" t="str">
        <f>_xlfn.IFNA(IF(I1566&lt;&gt;0,VLOOKUP(VLOOKUP(I1566,Tbl_Equip[],2,FALSE),Tbl_Color[],IFERROR(MATCH(UI!$B$1,Tbl_Color[#Headers],0),2),FALSE),""),"Unset")</f>
        <v/>
      </c>
      <c r="K1566" t="str">
        <f>_xlfn.IFNA(IF(I1566&lt;&gt;0,VLOOKUP(I1566,ItemText[],IFERROR(MATCH(UI!$B$1,ItemText[#Headers],0),2),FALSE),""),"Unset")</f>
        <v/>
      </c>
      <c r="M1566">
        <v>0</v>
      </c>
      <c r="P1566">
        <v>0</v>
      </c>
      <c r="S1566">
        <v>0</v>
      </c>
      <c r="T1566" t="str">
        <f>IF(VALUE(S1566)=0,"",VLOOKUP(VLOOKUP(S1566,Tbl_Effect[],3,FALSE),EffectName[],IFERROR(MATCH(UI!$B$1,EffectName[#Headers],0),2),FALSE))</f>
        <v/>
      </c>
      <c r="U1566" t="str">
        <f t="shared" si="163"/>
        <v/>
      </c>
      <c r="V1566">
        <v>0</v>
      </c>
      <c r="W1566" t="str">
        <f>IF(V1566&lt;&gt;0,VLOOKUP(VLOOKUP(V1566,Tbl_Effect[],3,FALSE),EffectName[],IFERROR(MATCH(UI!$B$1,EffectName[#Headers],0),2),FALSE),"")</f>
        <v/>
      </c>
      <c r="X1566" t="str">
        <f t="shared" si="164"/>
        <v/>
      </c>
      <c r="Y1566">
        <v>0</v>
      </c>
      <c r="Z1566" t="str">
        <f>IF(Y1566&lt;&gt;0,VLOOKUP(VLOOKUP(Y1566,Tbl_Effect[],3,FALSE),EffectName[],IFERROR(MATCH(UI!$B$1,EffectName[#Headers],0),2),FALSE),"")</f>
        <v/>
      </c>
      <c r="AA1566" t="str">
        <f t="shared" si="165"/>
        <v/>
      </c>
      <c r="AB1566">
        <v>0</v>
      </c>
      <c r="AC1566" t="str">
        <f>IF(AB1566&lt;&gt;0,VLOOKUP(VLOOKUP(AB1566,Tbl_Effect[],3,FALSE),EffectName[],IFERROR(MATCH(UI!$B$1,EffectName[#Headers],0),2),FALSE),"")</f>
        <v/>
      </c>
    </row>
    <row r="1567" spans="8:29" x14ac:dyDescent="0.4">
      <c r="H1567" t="str">
        <f t="shared" si="162"/>
        <v/>
      </c>
      <c r="I1567">
        <v>0</v>
      </c>
      <c r="J1567" t="str">
        <f>_xlfn.IFNA(IF(I1567&lt;&gt;0,VLOOKUP(VLOOKUP(I1567,Tbl_Equip[],2,FALSE),Tbl_Color[],IFERROR(MATCH(UI!$B$1,Tbl_Color[#Headers],0),2),FALSE),""),"Unset")</f>
        <v/>
      </c>
      <c r="K1567" t="str">
        <f>_xlfn.IFNA(IF(I1567&lt;&gt;0,VLOOKUP(I1567,ItemText[],IFERROR(MATCH(UI!$B$1,ItemText[#Headers],0),2),FALSE),""),"Unset")</f>
        <v/>
      </c>
      <c r="M1567">
        <v>0</v>
      </c>
      <c r="P1567">
        <v>0</v>
      </c>
      <c r="S1567">
        <v>0</v>
      </c>
      <c r="T1567" t="str">
        <f>IF(VALUE(S1567)=0,"",VLOOKUP(VLOOKUP(S1567,Tbl_Effect[],3,FALSE),EffectName[],IFERROR(MATCH(UI!$B$1,EffectName[#Headers],0),2),FALSE))</f>
        <v/>
      </c>
      <c r="U1567" t="str">
        <f t="shared" si="163"/>
        <v/>
      </c>
      <c r="V1567">
        <v>0</v>
      </c>
      <c r="W1567" t="str">
        <f>IF(V1567&lt;&gt;0,VLOOKUP(VLOOKUP(V1567,Tbl_Effect[],3,FALSE),EffectName[],IFERROR(MATCH(UI!$B$1,EffectName[#Headers],0),2),FALSE),"")</f>
        <v/>
      </c>
      <c r="X1567" t="str">
        <f t="shared" si="164"/>
        <v/>
      </c>
      <c r="Y1567">
        <v>0</v>
      </c>
      <c r="Z1567" t="str">
        <f>IF(Y1567&lt;&gt;0,VLOOKUP(VLOOKUP(Y1567,Tbl_Effect[],3,FALSE),EffectName[],IFERROR(MATCH(UI!$B$1,EffectName[#Headers],0),2),FALSE),"")</f>
        <v/>
      </c>
      <c r="AA1567" t="str">
        <f t="shared" si="165"/>
        <v/>
      </c>
      <c r="AB1567">
        <v>0</v>
      </c>
      <c r="AC1567" t="str">
        <f>IF(AB1567&lt;&gt;0,VLOOKUP(VLOOKUP(AB1567,Tbl_Effect[],3,FALSE),EffectName[],IFERROR(MATCH(UI!$B$1,EffectName[#Headers],0),2),FALSE),"")</f>
        <v/>
      </c>
    </row>
    <row r="1568" spans="8:29" x14ac:dyDescent="0.4">
      <c r="H1568" t="str">
        <f t="shared" si="162"/>
        <v/>
      </c>
      <c r="I1568">
        <v>0</v>
      </c>
      <c r="J1568" t="str">
        <f>_xlfn.IFNA(IF(I1568&lt;&gt;0,VLOOKUP(VLOOKUP(I1568,Tbl_Equip[],2,FALSE),Tbl_Color[],IFERROR(MATCH(UI!$B$1,Tbl_Color[#Headers],0),2),FALSE),""),"Unset")</f>
        <v/>
      </c>
      <c r="K1568" t="str">
        <f>_xlfn.IFNA(IF(I1568&lt;&gt;0,VLOOKUP(I1568,ItemText[],IFERROR(MATCH(UI!$B$1,ItemText[#Headers],0),2),FALSE),""),"Unset")</f>
        <v/>
      </c>
      <c r="M1568">
        <v>0</v>
      </c>
      <c r="P1568">
        <v>0</v>
      </c>
      <c r="S1568">
        <v>0</v>
      </c>
      <c r="T1568" t="str">
        <f>IF(VALUE(S1568)=0,"",VLOOKUP(VLOOKUP(S1568,Tbl_Effect[],3,FALSE),EffectName[],IFERROR(MATCH(UI!$B$1,EffectName[#Headers],0),2),FALSE))</f>
        <v/>
      </c>
      <c r="U1568" t="str">
        <f t="shared" si="163"/>
        <v/>
      </c>
      <c r="V1568">
        <v>0</v>
      </c>
      <c r="W1568" t="str">
        <f>IF(V1568&lt;&gt;0,VLOOKUP(VLOOKUP(V1568,Tbl_Effect[],3,FALSE),EffectName[],IFERROR(MATCH(UI!$B$1,EffectName[#Headers],0),2),FALSE),"")</f>
        <v/>
      </c>
      <c r="X1568" t="str">
        <f t="shared" si="164"/>
        <v/>
      </c>
      <c r="Y1568">
        <v>0</v>
      </c>
      <c r="Z1568" t="str">
        <f>IF(Y1568&lt;&gt;0,VLOOKUP(VLOOKUP(Y1568,Tbl_Effect[],3,FALSE),EffectName[],IFERROR(MATCH(UI!$B$1,EffectName[#Headers],0),2),FALSE),"")</f>
        <v/>
      </c>
      <c r="AA1568" t="str">
        <f t="shared" si="165"/>
        <v/>
      </c>
      <c r="AB1568">
        <v>0</v>
      </c>
      <c r="AC1568" t="str">
        <f>IF(AB1568&lt;&gt;0,VLOOKUP(VLOOKUP(AB1568,Tbl_Effect[],3,FALSE),EffectName[],IFERROR(MATCH(UI!$B$1,EffectName[#Headers],0),2),FALSE),"")</f>
        <v/>
      </c>
    </row>
    <row r="1569" spans="8:29" x14ac:dyDescent="0.4">
      <c r="H1569" t="str">
        <f t="shared" si="162"/>
        <v/>
      </c>
      <c r="I1569">
        <v>0</v>
      </c>
      <c r="J1569" t="str">
        <f>_xlfn.IFNA(IF(I1569&lt;&gt;0,VLOOKUP(VLOOKUP(I1569,Tbl_Equip[],2,FALSE),Tbl_Color[],IFERROR(MATCH(UI!$B$1,Tbl_Color[#Headers],0),2),FALSE),""),"Unset")</f>
        <v/>
      </c>
      <c r="K1569" t="str">
        <f>_xlfn.IFNA(IF(I1569&lt;&gt;0,VLOOKUP(I1569,ItemText[],IFERROR(MATCH(UI!$B$1,ItemText[#Headers],0),2),FALSE),""),"Unset")</f>
        <v/>
      </c>
      <c r="M1569">
        <v>0</v>
      </c>
      <c r="P1569">
        <v>0</v>
      </c>
      <c r="S1569">
        <v>0</v>
      </c>
      <c r="T1569" t="str">
        <f>IF(VALUE(S1569)=0,"",VLOOKUP(VLOOKUP(S1569,Tbl_Effect[],3,FALSE),EffectName[],IFERROR(MATCH(UI!$B$1,EffectName[#Headers],0),2),FALSE))</f>
        <v/>
      </c>
      <c r="U1569" t="str">
        <f t="shared" si="163"/>
        <v/>
      </c>
      <c r="V1569">
        <v>0</v>
      </c>
      <c r="W1569" t="str">
        <f>IF(V1569&lt;&gt;0,VLOOKUP(VLOOKUP(V1569,Tbl_Effect[],3,FALSE),EffectName[],IFERROR(MATCH(UI!$B$1,EffectName[#Headers],0),2),FALSE),"")</f>
        <v/>
      </c>
      <c r="X1569" t="str">
        <f t="shared" si="164"/>
        <v/>
      </c>
      <c r="Y1569">
        <v>0</v>
      </c>
      <c r="Z1569" t="str">
        <f>IF(Y1569&lt;&gt;0,VLOOKUP(VLOOKUP(Y1569,Tbl_Effect[],3,FALSE),EffectName[],IFERROR(MATCH(UI!$B$1,EffectName[#Headers],0),2),FALSE),"")</f>
        <v/>
      </c>
      <c r="AA1569" t="str">
        <f t="shared" si="165"/>
        <v/>
      </c>
      <c r="AB1569">
        <v>0</v>
      </c>
      <c r="AC1569" t="str">
        <f>IF(AB1569&lt;&gt;0,VLOOKUP(VLOOKUP(AB1569,Tbl_Effect[],3,FALSE),EffectName[],IFERROR(MATCH(UI!$B$1,EffectName[#Headers],0),2),FALSE),"")</f>
        <v/>
      </c>
    </row>
    <row r="1570" spans="8:29" x14ac:dyDescent="0.4">
      <c r="H1570" t="str">
        <f t="shared" si="162"/>
        <v/>
      </c>
      <c r="I1570">
        <v>0</v>
      </c>
      <c r="J1570" t="str">
        <f>_xlfn.IFNA(IF(I1570&lt;&gt;0,VLOOKUP(VLOOKUP(I1570,Tbl_Equip[],2,FALSE),Tbl_Color[],IFERROR(MATCH(UI!$B$1,Tbl_Color[#Headers],0),2),FALSE),""),"Unset")</f>
        <v/>
      </c>
      <c r="K1570" t="str">
        <f>_xlfn.IFNA(IF(I1570&lt;&gt;0,VLOOKUP(I1570,ItemText[],IFERROR(MATCH(UI!$B$1,ItemText[#Headers],0),2),FALSE),""),"Unset")</f>
        <v/>
      </c>
      <c r="M1570">
        <v>0</v>
      </c>
      <c r="P1570">
        <v>0</v>
      </c>
      <c r="S1570">
        <v>0</v>
      </c>
      <c r="T1570" t="str">
        <f>IF(VALUE(S1570)=0,"",VLOOKUP(VLOOKUP(S1570,Tbl_Effect[],3,FALSE),EffectName[],IFERROR(MATCH(UI!$B$1,EffectName[#Headers],0),2),FALSE))</f>
        <v/>
      </c>
      <c r="U1570" t="str">
        <f t="shared" si="163"/>
        <v/>
      </c>
      <c r="V1570">
        <v>0</v>
      </c>
      <c r="W1570" t="str">
        <f>IF(V1570&lt;&gt;0,VLOOKUP(VLOOKUP(V1570,Tbl_Effect[],3,FALSE),EffectName[],IFERROR(MATCH(UI!$B$1,EffectName[#Headers],0),2),FALSE),"")</f>
        <v/>
      </c>
      <c r="X1570" t="str">
        <f t="shared" si="164"/>
        <v/>
      </c>
      <c r="Y1570">
        <v>0</v>
      </c>
      <c r="Z1570" t="str">
        <f>IF(Y1570&lt;&gt;0,VLOOKUP(VLOOKUP(Y1570,Tbl_Effect[],3,FALSE),EffectName[],IFERROR(MATCH(UI!$B$1,EffectName[#Headers],0),2),FALSE),"")</f>
        <v/>
      </c>
      <c r="AA1570" t="str">
        <f t="shared" si="165"/>
        <v/>
      </c>
      <c r="AB1570">
        <v>0</v>
      </c>
      <c r="AC1570" t="str">
        <f>IF(AB1570&lt;&gt;0,VLOOKUP(VLOOKUP(AB1570,Tbl_Effect[],3,FALSE),EffectName[],IFERROR(MATCH(UI!$B$1,EffectName[#Headers],0),2),FALSE),"")</f>
        <v/>
      </c>
    </row>
    <row r="1571" spans="8:29" x14ac:dyDescent="0.4">
      <c r="H1571" t="str">
        <f t="shared" si="162"/>
        <v/>
      </c>
      <c r="I1571">
        <v>0</v>
      </c>
      <c r="J1571" t="str">
        <f>_xlfn.IFNA(IF(I1571&lt;&gt;0,VLOOKUP(VLOOKUP(I1571,Tbl_Equip[],2,FALSE),Tbl_Color[],IFERROR(MATCH(UI!$B$1,Tbl_Color[#Headers],0),2),FALSE),""),"Unset")</f>
        <v/>
      </c>
      <c r="K1571" t="str">
        <f>_xlfn.IFNA(IF(I1571&lt;&gt;0,VLOOKUP(I1571,ItemText[],IFERROR(MATCH(UI!$B$1,ItemText[#Headers],0),2),FALSE),""),"Unset")</f>
        <v/>
      </c>
      <c r="M1571">
        <v>0</v>
      </c>
      <c r="P1571">
        <v>0</v>
      </c>
      <c r="S1571">
        <v>0</v>
      </c>
      <c r="T1571" t="str">
        <f>IF(VALUE(S1571)=0,"",VLOOKUP(VLOOKUP(S1571,Tbl_Effect[],3,FALSE),EffectName[],IFERROR(MATCH(UI!$B$1,EffectName[#Headers],0),2),FALSE))</f>
        <v/>
      </c>
      <c r="U1571" t="str">
        <f t="shared" si="163"/>
        <v/>
      </c>
      <c r="V1571">
        <v>0</v>
      </c>
      <c r="W1571" t="str">
        <f>IF(V1571&lt;&gt;0,VLOOKUP(VLOOKUP(V1571,Tbl_Effect[],3,FALSE),EffectName[],IFERROR(MATCH(UI!$B$1,EffectName[#Headers],0),2),FALSE),"")</f>
        <v/>
      </c>
      <c r="X1571" t="str">
        <f t="shared" si="164"/>
        <v/>
      </c>
      <c r="Y1571">
        <v>0</v>
      </c>
      <c r="Z1571" t="str">
        <f>IF(Y1571&lt;&gt;0,VLOOKUP(VLOOKUP(Y1571,Tbl_Effect[],3,FALSE),EffectName[],IFERROR(MATCH(UI!$B$1,EffectName[#Headers],0),2),FALSE),"")</f>
        <v/>
      </c>
      <c r="AA1571" t="str">
        <f t="shared" si="165"/>
        <v/>
      </c>
      <c r="AB1571">
        <v>0</v>
      </c>
      <c r="AC1571" t="str">
        <f>IF(AB1571&lt;&gt;0,VLOOKUP(VLOOKUP(AB1571,Tbl_Effect[],3,FALSE),EffectName[],IFERROR(MATCH(UI!$B$1,EffectName[#Headers],0),2),FALSE),"")</f>
        <v/>
      </c>
    </row>
    <row r="1572" spans="8:29" x14ac:dyDescent="0.4">
      <c r="H1572" t="str">
        <f t="shared" si="162"/>
        <v/>
      </c>
      <c r="I1572">
        <v>0</v>
      </c>
      <c r="J1572" t="str">
        <f>_xlfn.IFNA(IF(I1572&lt;&gt;0,VLOOKUP(VLOOKUP(I1572,Tbl_Equip[],2,FALSE),Tbl_Color[],IFERROR(MATCH(UI!$B$1,Tbl_Color[#Headers],0),2),FALSE),""),"Unset")</f>
        <v/>
      </c>
      <c r="K1572" t="str">
        <f>_xlfn.IFNA(IF(I1572&lt;&gt;0,VLOOKUP(I1572,ItemText[],IFERROR(MATCH(UI!$B$1,ItemText[#Headers],0),2),FALSE),""),"Unset")</f>
        <v/>
      </c>
      <c r="M1572">
        <v>0</v>
      </c>
      <c r="P1572">
        <v>0</v>
      </c>
      <c r="S1572">
        <v>0</v>
      </c>
      <c r="T1572" t="str">
        <f>IF(VALUE(S1572)=0,"",VLOOKUP(VLOOKUP(S1572,Tbl_Effect[],3,FALSE),EffectName[],IFERROR(MATCH(UI!$B$1,EffectName[#Headers],0),2),FALSE))</f>
        <v/>
      </c>
      <c r="U1572" t="str">
        <f t="shared" si="163"/>
        <v/>
      </c>
      <c r="V1572">
        <v>0</v>
      </c>
      <c r="W1572" t="str">
        <f>IF(V1572&lt;&gt;0,VLOOKUP(VLOOKUP(V1572,Tbl_Effect[],3,FALSE),EffectName[],IFERROR(MATCH(UI!$B$1,EffectName[#Headers],0),2),FALSE),"")</f>
        <v/>
      </c>
      <c r="X1572" t="str">
        <f t="shared" si="164"/>
        <v/>
      </c>
      <c r="Y1572">
        <v>0</v>
      </c>
      <c r="Z1572" t="str">
        <f>IF(Y1572&lt;&gt;0,VLOOKUP(VLOOKUP(Y1572,Tbl_Effect[],3,FALSE),EffectName[],IFERROR(MATCH(UI!$B$1,EffectName[#Headers],0),2),FALSE),"")</f>
        <v/>
      </c>
      <c r="AA1572" t="str">
        <f t="shared" si="165"/>
        <v/>
      </c>
      <c r="AB1572">
        <v>0</v>
      </c>
      <c r="AC1572" t="str">
        <f>IF(AB1572&lt;&gt;0,VLOOKUP(VLOOKUP(AB1572,Tbl_Effect[],3,FALSE),EffectName[],IFERROR(MATCH(UI!$B$1,EffectName[#Headers],0),2),FALSE),"")</f>
        <v/>
      </c>
    </row>
    <row r="1573" spans="8:29" x14ac:dyDescent="0.4">
      <c r="H1573" t="str">
        <f t="shared" si="162"/>
        <v/>
      </c>
      <c r="I1573">
        <v>0</v>
      </c>
      <c r="J1573" t="str">
        <f>_xlfn.IFNA(IF(I1573&lt;&gt;0,VLOOKUP(VLOOKUP(I1573,Tbl_Equip[],2,FALSE),Tbl_Color[],IFERROR(MATCH(UI!$B$1,Tbl_Color[#Headers],0),2),FALSE),""),"Unset")</f>
        <v/>
      </c>
      <c r="K1573" t="str">
        <f>_xlfn.IFNA(IF(I1573&lt;&gt;0,VLOOKUP(I1573,ItemText[],IFERROR(MATCH(UI!$B$1,ItemText[#Headers],0),2),FALSE),""),"Unset")</f>
        <v/>
      </c>
      <c r="M1573">
        <v>0</v>
      </c>
      <c r="P1573">
        <v>0</v>
      </c>
      <c r="S1573">
        <v>0</v>
      </c>
      <c r="T1573" t="str">
        <f>IF(VALUE(S1573)=0,"",VLOOKUP(VLOOKUP(S1573,Tbl_Effect[],3,FALSE),EffectName[],IFERROR(MATCH(UI!$B$1,EffectName[#Headers],0),2),FALSE))</f>
        <v/>
      </c>
      <c r="U1573" t="str">
        <f t="shared" si="163"/>
        <v/>
      </c>
      <c r="V1573">
        <v>0</v>
      </c>
      <c r="W1573" t="str">
        <f>IF(V1573&lt;&gt;0,VLOOKUP(VLOOKUP(V1573,Tbl_Effect[],3,FALSE),EffectName[],IFERROR(MATCH(UI!$B$1,EffectName[#Headers],0),2),FALSE),"")</f>
        <v/>
      </c>
      <c r="X1573" t="str">
        <f t="shared" si="164"/>
        <v/>
      </c>
      <c r="Y1573">
        <v>0</v>
      </c>
      <c r="Z1573" t="str">
        <f>IF(Y1573&lt;&gt;0,VLOOKUP(VLOOKUP(Y1573,Tbl_Effect[],3,FALSE),EffectName[],IFERROR(MATCH(UI!$B$1,EffectName[#Headers],0),2),FALSE),"")</f>
        <v/>
      </c>
      <c r="AA1573" t="str">
        <f t="shared" si="165"/>
        <v/>
      </c>
      <c r="AB1573">
        <v>0</v>
      </c>
      <c r="AC1573" t="str">
        <f>IF(AB1573&lt;&gt;0,VLOOKUP(VLOOKUP(AB1573,Tbl_Effect[],3,FALSE),EffectName[],IFERROR(MATCH(UI!$B$1,EffectName[#Headers],0),2),FALSE),"")</f>
        <v/>
      </c>
    </row>
    <row r="1574" spans="8:29" x14ac:dyDescent="0.4">
      <c r="H1574" t="str">
        <f t="shared" si="162"/>
        <v/>
      </c>
      <c r="I1574">
        <v>0</v>
      </c>
      <c r="J1574" t="str">
        <f>_xlfn.IFNA(IF(I1574&lt;&gt;0,VLOOKUP(VLOOKUP(I1574,Tbl_Equip[],2,FALSE),Tbl_Color[],IFERROR(MATCH(UI!$B$1,Tbl_Color[#Headers],0),2),FALSE),""),"Unset")</f>
        <v/>
      </c>
      <c r="K1574" t="str">
        <f>_xlfn.IFNA(IF(I1574&lt;&gt;0,VLOOKUP(I1574,ItemText[],IFERROR(MATCH(UI!$B$1,ItemText[#Headers],0),2),FALSE),""),"Unset")</f>
        <v/>
      </c>
      <c r="M1574">
        <v>0</v>
      </c>
      <c r="P1574">
        <v>0</v>
      </c>
      <c r="S1574">
        <v>0</v>
      </c>
      <c r="T1574" t="str">
        <f>IF(VALUE(S1574)=0,"",VLOOKUP(VLOOKUP(S1574,Tbl_Effect[],3,FALSE),EffectName[],IFERROR(MATCH(UI!$B$1,EffectName[#Headers],0),2),FALSE))</f>
        <v/>
      </c>
      <c r="U1574" t="str">
        <f t="shared" si="163"/>
        <v/>
      </c>
      <c r="V1574">
        <v>0</v>
      </c>
      <c r="W1574" t="str">
        <f>IF(V1574&lt;&gt;0,VLOOKUP(VLOOKUP(V1574,Tbl_Effect[],3,FALSE),EffectName[],IFERROR(MATCH(UI!$B$1,EffectName[#Headers],0),2),FALSE),"")</f>
        <v/>
      </c>
      <c r="X1574" t="str">
        <f t="shared" si="164"/>
        <v/>
      </c>
      <c r="Y1574">
        <v>0</v>
      </c>
      <c r="Z1574" t="str">
        <f>IF(Y1574&lt;&gt;0,VLOOKUP(VLOOKUP(Y1574,Tbl_Effect[],3,FALSE),EffectName[],IFERROR(MATCH(UI!$B$1,EffectName[#Headers],0),2),FALSE),"")</f>
        <v/>
      </c>
      <c r="AA1574" t="str">
        <f t="shared" si="165"/>
        <v/>
      </c>
      <c r="AB1574">
        <v>0</v>
      </c>
      <c r="AC1574" t="str">
        <f>IF(AB1574&lt;&gt;0,VLOOKUP(VLOOKUP(AB1574,Tbl_Effect[],3,FALSE),EffectName[],IFERROR(MATCH(UI!$B$1,EffectName[#Headers],0),2),FALSE),"")</f>
        <v/>
      </c>
    </row>
    <row r="1575" spans="8:29" x14ac:dyDescent="0.4">
      <c r="H1575" t="str">
        <f t="shared" si="162"/>
        <v/>
      </c>
      <c r="I1575">
        <v>0</v>
      </c>
      <c r="J1575" t="str">
        <f>_xlfn.IFNA(IF(I1575&lt;&gt;0,VLOOKUP(VLOOKUP(I1575,Tbl_Equip[],2,FALSE),Tbl_Color[],IFERROR(MATCH(UI!$B$1,Tbl_Color[#Headers],0),2),FALSE),""),"Unset")</f>
        <v/>
      </c>
      <c r="K1575" t="str">
        <f>_xlfn.IFNA(IF(I1575&lt;&gt;0,VLOOKUP(I1575,ItemText[],IFERROR(MATCH(UI!$B$1,ItemText[#Headers],0),2),FALSE),""),"Unset")</f>
        <v/>
      </c>
      <c r="M1575">
        <v>0</v>
      </c>
      <c r="P1575">
        <v>0</v>
      </c>
      <c r="S1575">
        <v>0</v>
      </c>
      <c r="T1575" t="str">
        <f>IF(VALUE(S1575)=0,"",VLOOKUP(VLOOKUP(S1575,Tbl_Effect[],3,FALSE),EffectName[],IFERROR(MATCH(UI!$B$1,EffectName[#Headers],0),2),FALSE))</f>
        <v/>
      </c>
      <c r="U1575" t="str">
        <f t="shared" si="163"/>
        <v/>
      </c>
      <c r="V1575">
        <v>0</v>
      </c>
      <c r="W1575" t="str">
        <f>IF(V1575&lt;&gt;0,VLOOKUP(VLOOKUP(V1575,Tbl_Effect[],3,FALSE),EffectName[],IFERROR(MATCH(UI!$B$1,EffectName[#Headers],0),2),FALSE),"")</f>
        <v/>
      </c>
      <c r="X1575" t="str">
        <f t="shared" si="164"/>
        <v/>
      </c>
      <c r="Y1575">
        <v>0</v>
      </c>
      <c r="Z1575" t="str">
        <f>IF(Y1575&lt;&gt;0,VLOOKUP(VLOOKUP(Y1575,Tbl_Effect[],3,FALSE),EffectName[],IFERROR(MATCH(UI!$B$1,EffectName[#Headers],0),2),FALSE),"")</f>
        <v/>
      </c>
      <c r="AA1575" t="str">
        <f t="shared" si="165"/>
        <v/>
      </c>
      <c r="AB1575">
        <v>0</v>
      </c>
      <c r="AC1575" t="str">
        <f>IF(AB1575&lt;&gt;0,VLOOKUP(VLOOKUP(AB1575,Tbl_Effect[],3,FALSE),EffectName[],IFERROR(MATCH(UI!$B$1,EffectName[#Headers],0),2),FALSE),"")</f>
        <v/>
      </c>
    </row>
    <row r="1576" spans="8:29" x14ac:dyDescent="0.4">
      <c r="H1576" t="str">
        <f t="shared" si="162"/>
        <v/>
      </c>
      <c r="I1576">
        <v>0</v>
      </c>
      <c r="J1576" t="str">
        <f>_xlfn.IFNA(IF(I1576&lt;&gt;0,VLOOKUP(VLOOKUP(I1576,Tbl_Equip[],2,FALSE),Tbl_Color[],IFERROR(MATCH(UI!$B$1,Tbl_Color[#Headers],0),2),FALSE),""),"Unset")</f>
        <v/>
      </c>
      <c r="K1576" t="str">
        <f>_xlfn.IFNA(IF(I1576&lt;&gt;0,VLOOKUP(I1576,ItemText[],IFERROR(MATCH(UI!$B$1,ItemText[#Headers],0),2),FALSE),""),"Unset")</f>
        <v/>
      </c>
      <c r="M1576">
        <v>0</v>
      </c>
      <c r="P1576">
        <v>0</v>
      </c>
      <c r="S1576">
        <v>0</v>
      </c>
      <c r="T1576" t="str">
        <f>IF(VALUE(S1576)=0,"",VLOOKUP(VLOOKUP(S1576,Tbl_Effect[],3,FALSE),EffectName[],IFERROR(MATCH(UI!$B$1,EffectName[#Headers],0),2),FALSE))</f>
        <v/>
      </c>
      <c r="U1576" t="str">
        <f t="shared" si="163"/>
        <v/>
      </c>
      <c r="V1576">
        <v>0</v>
      </c>
      <c r="W1576" t="str">
        <f>IF(V1576&lt;&gt;0,VLOOKUP(VLOOKUP(V1576,Tbl_Effect[],3,FALSE),EffectName[],IFERROR(MATCH(UI!$B$1,EffectName[#Headers],0),2),FALSE),"")</f>
        <v/>
      </c>
      <c r="X1576" t="str">
        <f t="shared" si="164"/>
        <v/>
      </c>
      <c r="Y1576">
        <v>0</v>
      </c>
      <c r="Z1576" t="str">
        <f>IF(Y1576&lt;&gt;0,VLOOKUP(VLOOKUP(Y1576,Tbl_Effect[],3,FALSE),EffectName[],IFERROR(MATCH(UI!$B$1,EffectName[#Headers],0),2),FALSE),"")</f>
        <v/>
      </c>
      <c r="AA1576" t="str">
        <f t="shared" si="165"/>
        <v/>
      </c>
      <c r="AB1576">
        <v>0</v>
      </c>
      <c r="AC1576" t="str">
        <f>IF(AB1576&lt;&gt;0,VLOOKUP(VLOOKUP(AB1576,Tbl_Effect[],3,FALSE),EffectName[],IFERROR(MATCH(UI!$B$1,EffectName[#Headers],0),2),FALSE),"")</f>
        <v/>
      </c>
    </row>
    <row r="1577" spans="8:29" x14ac:dyDescent="0.4">
      <c r="H1577" t="str">
        <f t="shared" si="162"/>
        <v/>
      </c>
      <c r="I1577">
        <v>0</v>
      </c>
      <c r="J1577" t="str">
        <f>_xlfn.IFNA(IF(I1577&lt;&gt;0,VLOOKUP(VLOOKUP(I1577,Tbl_Equip[],2,FALSE),Tbl_Color[],IFERROR(MATCH(UI!$B$1,Tbl_Color[#Headers],0),2),FALSE),""),"Unset")</f>
        <v/>
      </c>
      <c r="K1577" t="str">
        <f>_xlfn.IFNA(IF(I1577&lt;&gt;0,VLOOKUP(I1577,ItemText[],IFERROR(MATCH(UI!$B$1,ItemText[#Headers],0),2),FALSE),""),"Unset")</f>
        <v/>
      </c>
      <c r="M1577">
        <v>0</v>
      </c>
      <c r="P1577">
        <v>0</v>
      </c>
      <c r="S1577">
        <v>0</v>
      </c>
      <c r="T1577" t="str">
        <f>IF(VALUE(S1577)=0,"",VLOOKUP(VLOOKUP(S1577,Tbl_Effect[],3,FALSE),EffectName[],IFERROR(MATCH(UI!$B$1,EffectName[#Headers],0),2),FALSE))</f>
        <v/>
      </c>
      <c r="U1577" t="str">
        <f t="shared" si="163"/>
        <v/>
      </c>
      <c r="V1577">
        <v>0</v>
      </c>
      <c r="W1577" t="str">
        <f>IF(V1577&lt;&gt;0,VLOOKUP(VLOOKUP(V1577,Tbl_Effect[],3,FALSE),EffectName[],IFERROR(MATCH(UI!$B$1,EffectName[#Headers],0),2),FALSE),"")</f>
        <v/>
      </c>
      <c r="X1577" t="str">
        <f t="shared" si="164"/>
        <v/>
      </c>
      <c r="Y1577">
        <v>0</v>
      </c>
      <c r="Z1577" t="str">
        <f>IF(Y1577&lt;&gt;0,VLOOKUP(VLOOKUP(Y1577,Tbl_Effect[],3,FALSE),EffectName[],IFERROR(MATCH(UI!$B$1,EffectName[#Headers],0),2),FALSE),"")</f>
        <v/>
      </c>
      <c r="AA1577" t="str">
        <f t="shared" si="165"/>
        <v/>
      </c>
      <c r="AB1577">
        <v>0</v>
      </c>
      <c r="AC1577" t="str">
        <f>IF(AB1577&lt;&gt;0,VLOOKUP(VLOOKUP(AB1577,Tbl_Effect[],3,FALSE),EffectName[],IFERROR(MATCH(UI!$B$1,EffectName[#Headers],0),2),FALSE),"")</f>
        <v/>
      </c>
    </row>
    <row r="1578" spans="8:29" x14ac:dyDescent="0.4">
      <c r="H1578" t="str">
        <f t="shared" si="162"/>
        <v/>
      </c>
      <c r="I1578">
        <v>0</v>
      </c>
      <c r="J1578" t="str">
        <f>_xlfn.IFNA(IF(I1578&lt;&gt;0,VLOOKUP(VLOOKUP(I1578,Tbl_Equip[],2,FALSE),Tbl_Color[],IFERROR(MATCH(UI!$B$1,Tbl_Color[#Headers],0),2),FALSE),""),"Unset")</f>
        <v/>
      </c>
      <c r="K1578" t="str">
        <f>_xlfn.IFNA(IF(I1578&lt;&gt;0,VLOOKUP(I1578,ItemText[],IFERROR(MATCH(UI!$B$1,ItemText[#Headers],0),2),FALSE),""),"Unset")</f>
        <v/>
      </c>
      <c r="M1578">
        <v>0</v>
      </c>
      <c r="P1578">
        <v>0</v>
      </c>
      <c r="S1578">
        <v>0</v>
      </c>
      <c r="T1578" t="str">
        <f>IF(VALUE(S1578)=0,"",VLOOKUP(VLOOKUP(S1578,Tbl_Effect[],3,FALSE),EffectName[],IFERROR(MATCH(UI!$B$1,EffectName[#Headers],0),2),FALSE))</f>
        <v/>
      </c>
      <c r="U1578" t="str">
        <f t="shared" si="163"/>
        <v/>
      </c>
      <c r="V1578">
        <v>0</v>
      </c>
      <c r="W1578" t="str">
        <f>IF(V1578&lt;&gt;0,VLOOKUP(VLOOKUP(V1578,Tbl_Effect[],3,FALSE),EffectName[],IFERROR(MATCH(UI!$B$1,EffectName[#Headers],0),2),FALSE),"")</f>
        <v/>
      </c>
      <c r="X1578" t="str">
        <f t="shared" si="164"/>
        <v/>
      </c>
      <c r="Y1578">
        <v>0</v>
      </c>
      <c r="Z1578" t="str">
        <f>IF(Y1578&lt;&gt;0,VLOOKUP(VLOOKUP(Y1578,Tbl_Effect[],3,FALSE),EffectName[],IFERROR(MATCH(UI!$B$1,EffectName[#Headers],0),2),FALSE),"")</f>
        <v/>
      </c>
      <c r="AA1578" t="str">
        <f t="shared" si="165"/>
        <v/>
      </c>
      <c r="AB1578">
        <v>0</v>
      </c>
      <c r="AC1578" t="str">
        <f>IF(AB1578&lt;&gt;0,VLOOKUP(VLOOKUP(AB1578,Tbl_Effect[],3,FALSE),EffectName[],IFERROR(MATCH(UI!$B$1,EffectName[#Headers],0),2),FALSE),"")</f>
        <v/>
      </c>
    </row>
    <row r="1579" spans="8:29" x14ac:dyDescent="0.4">
      <c r="H1579" t="str">
        <f t="shared" si="162"/>
        <v/>
      </c>
      <c r="I1579">
        <v>0</v>
      </c>
      <c r="J1579" t="str">
        <f>_xlfn.IFNA(IF(I1579&lt;&gt;0,VLOOKUP(VLOOKUP(I1579,Tbl_Equip[],2,FALSE),Tbl_Color[],IFERROR(MATCH(UI!$B$1,Tbl_Color[#Headers],0),2),FALSE),""),"Unset")</f>
        <v/>
      </c>
      <c r="K1579" t="str">
        <f>_xlfn.IFNA(IF(I1579&lt;&gt;0,VLOOKUP(I1579,ItemText[],IFERROR(MATCH(UI!$B$1,ItemText[#Headers],0),2),FALSE),""),"Unset")</f>
        <v/>
      </c>
      <c r="M1579">
        <v>0</v>
      </c>
      <c r="P1579">
        <v>0</v>
      </c>
      <c r="S1579">
        <v>0</v>
      </c>
      <c r="T1579" t="str">
        <f>IF(VALUE(S1579)=0,"",VLOOKUP(VLOOKUP(S1579,Tbl_Effect[],3,FALSE),EffectName[],IFERROR(MATCH(UI!$B$1,EffectName[#Headers],0),2),FALSE))</f>
        <v/>
      </c>
      <c r="U1579" t="str">
        <f t="shared" si="163"/>
        <v/>
      </c>
      <c r="V1579">
        <v>0</v>
      </c>
      <c r="W1579" t="str">
        <f>IF(V1579&lt;&gt;0,VLOOKUP(VLOOKUP(V1579,Tbl_Effect[],3,FALSE),EffectName[],IFERROR(MATCH(UI!$B$1,EffectName[#Headers],0),2),FALSE),"")</f>
        <v/>
      </c>
      <c r="X1579" t="str">
        <f t="shared" si="164"/>
        <v/>
      </c>
      <c r="Y1579">
        <v>0</v>
      </c>
      <c r="Z1579" t="str">
        <f>IF(Y1579&lt;&gt;0,VLOOKUP(VLOOKUP(Y1579,Tbl_Effect[],3,FALSE),EffectName[],IFERROR(MATCH(UI!$B$1,EffectName[#Headers],0),2),FALSE),"")</f>
        <v/>
      </c>
      <c r="AA1579" t="str">
        <f t="shared" si="165"/>
        <v/>
      </c>
      <c r="AB1579">
        <v>0</v>
      </c>
      <c r="AC1579" t="str">
        <f>IF(AB1579&lt;&gt;0,VLOOKUP(VLOOKUP(AB1579,Tbl_Effect[],3,FALSE),EffectName[],IFERROR(MATCH(UI!$B$1,EffectName[#Headers],0),2),FALSE),"")</f>
        <v/>
      </c>
    </row>
    <row r="1580" spans="8:29" x14ac:dyDescent="0.4">
      <c r="H1580" t="str">
        <f t="shared" si="162"/>
        <v/>
      </c>
      <c r="I1580">
        <v>0</v>
      </c>
      <c r="J1580" t="str">
        <f>_xlfn.IFNA(IF(I1580&lt;&gt;0,VLOOKUP(VLOOKUP(I1580,Tbl_Equip[],2,FALSE),Tbl_Color[],IFERROR(MATCH(UI!$B$1,Tbl_Color[#Headers],0),2),FALSE),""),"Unset")</f>
        <v/>
      </c>
      <c r="K1580" t="str">
        <f>_xlfn.IFNA(IF(I1580&lt;&gt;0,VLOOKUP(I1580,ItemText[],IFERROR(MATCH(UI!$B$1,ItemText[#Headers],0),2),FALSE),""),"Unset")</f>
        <v/>
      </c>
      <c r="M1580">
        <v>0</v>
      </c>
      <c r="P1580">
        <v>0</v>
      </c>
      <c r="S1580">
        <v>0</v>
      </c>
      <c r="T1580" t="str">
        <f>IF(VALUE(S1580)=0,"",VLOOKUP(VLOOKUP(S1580,Tbl_Effect[],3,FALSE),EffectName[],IFERROR(MATCH(UI!$B$1,EffectName[#Headers],0),2),FALSE))</f>
        <v/>
      </c>
      <c r="U1580" t="str">
        <f t="shared" si="163"/>
        <v/>
      </c>
      <c r="V1580">
        <v>0</v>
      </c>
      <c r="W1580" t="str">
        <f>IF(V1580&lt;&gt;0,VLOOKUP(VLOOKUP(V1580,Tbl_Effect[],3,FALSE),EffectName[],IFERROR(MATCH(UI!$B$1,EffectName[#Headers],0),2),FALSE),"")</f>
        <v/>
      </c>
      <c r="X1580" t="str">
        <f t="shared" si="164"/>
        <v/>
      </c>
      <c r="Y1580">
        <v>0</v>
      </c>
      <c r="Z1580" t="str">
        <f>IF(Y1580&lt;&gt;0,VLOOKUP(VLOOKUP(Y1580,Tbl_Effect[],3,FALSE),EffectName[],IFERROR(MATCH(UI!$B$1,EffectName[#Headers],0),2),FALSE),"")</f>
        <v/>
      </c>
      <c r="AA1580" t="str">
        <f t="shared" si="165"/>
        <v/>
      </c>
      <c r="AB1580">
        <v>0</v>
      </c>
      <c r="AC1580" t="str">
        <f>IF(AB1580&lt;&gt;0,VLOOKUP(VLOOKUP(AB1580,Tbl_Effect[],3,FALSE),EffectName[],IFERROR(MATCH(UI!$B$1,EffectName[#Headers],0),2),FALSE),"")</f>
        <v/>
      </c>
    </row>
    <row r="1581" spans="8:29" x14ac:dyDescent="0.4">
      <c r="H1581" t="str">
        <f t="shared" si="162"/>
        <v/>
      </c>
      <c r="I1581">
        <v>0</v>
      </c>
      <c r="J1581" t="str">
        <f>_xlfn.IFNA(IF(I1581&lt;&gt;0,VLOOKUP(VLOOKUP(I1581,Tbl_Equip[],2,FALSE),Tbl_Color[],IFERROR(MATCH(UI!$B$1,Tbl_Color[#Headers],0),2),FALSE),""),"Unset")</f>
        <v/>
      </c>
      <c r="K1581" t="str">
        <f>_xlfn.IFNA(IF(I1581&lt;&gt;0,VLOOKUP(I1581,ItemText[],IFERROR(MATCH(UI!$B$1,ItemText[#Headers],0),2),FALSE),""),"Unset")</f>
        <v/>
      </c>
      <c r="M1581">
        <v>0</v>
      </c>
      <c r="P1581">
        <v>0</v>
      </c>
      <c r="S1581">
        <v>0</v>
      </c>
      <c r="T1581" t="str">
        <f>IF(VALUE(S1581)=0,"",VLOOKUP(VLOOKUP(S1581,Tbl_Effect[],3,FALSE),EffectName[],IFERROR(MATCH(UI!$B$1,EffectName[#Headers],0),2),FALSE))</f>
        <v/>
      </c>
      <c r="U1581" t="str">
        <f t="shared" si="163"/>
        <v/>
      </c>
      <c r="V1581">
        <v>0</v>
      </c>
      <c r="W1581" t="str">
        <f>IF(V1581&lt;&gt;0,VLOOKUP(VLOOKUP(V1581,Tbl_Effect[],3,FALSE),EffectName[],IFERROR(MATCH(UI!$B$1,EffectName[#Headers],0),2),FALSE),"")</f>
        <v/>
      </c>
      <c r="X1581" t="str">
        <f t="shared" si="164"/>
        <v/>
      </c>
      <c r="Y1581">
        <v>0</v>
      </c>
      <c r="Z1581" t="str">
        <f>IF(Y1581&lt;&gt;0,VLOOKUP(VLOOKUP(Y1581,Tbl_Effect[],3,FALSE),EffectName[],IFERROR(MATCH(UI!$B$1,EffectName[#Headers],0),2),FALSE),"")</f>
        <v/>
      </c>
      <c r="AA1581" t="str">
        <f t="shared" si="165"/>
        <v/>
      </c>
      <c r="AB1581">
        <v>0</v>
      </c>
      <c r="AC1581" t="str">
        <f>IF(AB1581&lt;&gt;0,VLOOKUP(VLOOKUP(AB1581,Tbl_Effect[],3,FALSE),EffectName[],IFERROR(MATCH(UI!$B$1,EffectName[#Headers],0),2),FALSE),"")</f>
        <v/>
      </c>
    </row>
    <row r="1582" spans="8:29" x14ac:dyDescent="0.4">
      <c r="H1582" t="str">
        <f t="shared" si="162"/>
        <v/>
      </c>
      <c r="I1582">
        <v>0</v>
      </c>
      <c r="J1582" t="str">
        <f>_xlfn.IFNA(IF(I1582&lt;&gt;0,VLOOKUP(VLOOKUP(I1582,Tbl_Equip[],2,FALSE),Tbl_Color[],IFERROR(MATCH(UI!$B$1,Tbl_Color[#Headers],0),2),FALSE),""),"Unset")</f>
        <v/>
      </c>
      <c r="K1582" t="str">
        <f>_xlfn.IFNA(IF(I1582&lt;&gt;0,VLOOKUP(I1582,ItemText[],IFERROR(MATCH(UI!$B$1,ItemText[#Headers],0),2),FALSE),""),"Unset")</f>
        <v/>
      </c>
      <c r="M1582">
        <v>0</v>
      </c>
      <c r="P1582">
        <v>0</v>
      </c>
      <c r="S1582">
        <v>0</v>
      </c>
      <c r="T1582" t="str">
        <f>IF(VALUE(S1582)=0,"",VLOOKUP(VLOOKUP(S1582,Tbl_Effect[],3,FALSE),EffectName[],IFERROR(MATCH(UI!$B$1,EffectName[#Headers],0),2),FALSE))</f>
        <v/>
      </c>
      <c r="U1582" t="str">
        <f t="shared" si="163"/>
        <v/>
      </c>
      <c r="V1582">
        <v>0</v>
      </c>
      <c r="W1582" t="str">
        <f>IF(V1582&lt;&gt;0,VLOOKUP(VLOOKUP(V1582,Tbl_Effect[],3,FALSE),EffectName[],IFERROR(MATCH(UI!$B$1,EffectName[#Headers],0),2),FALSE),"")</f>
        <v/>
      </c>
      <c r="X1582" t="str">
        <f t="shared" si="164"/>
        <v/>
      </c>
      <c r="Y1582">
        <v>0</v>
      </c>
      <c r="Z1582" t="str">
        <f>IF(Y1582&lt;&gt;0,VLOOKUP(VLOOKUP(Y1582,Tbl_Effect[],3,FALSE),EffectName[],IFERROR(MATCH(UI!$B$1,EffectName[#Headers],0),2),FALSE),"")</f>
        <v/>
      </c>
      <c r="AA1582" t="str">
        <f t="shared" si="165"/>
        <v/>
      </c>
      <c r="AB1582">
        <v>0</v>
      </c>
      <c r="AC1582" t="str">
        <f>IF(AB1582&lt;&gt;0,VLOOKUP(VLOOKUP(AB1582,Tbl_Effect[],3,FALSE),EffectName[],IFERROR(MATCH(UI!$B$1,EffectName[#Headers],0),2),FALSE),"")</f>
        <v/>
      </c>
    </row>
    <row r="1583" spans="8:29" x14ac:dyDescent="0.4">
      <c r="H1583" t="str">
        <f t="shared" si="162"/>
        <v/>
      </c>
      <c r="I1583">
        <v>0</v>
      </c>
      <c r="J1583" t="str">
        <f>_xlfn.IFNA(IF(I1583&lt;&gt;0,VLOOKUP(VLOOKUP(I1583,Tbl_Equip[],2,FALSE),Tbl_Color[],IFERROR(MATCH(UI!$B$1,Tbl_Color[#Headers],0),2),FALSE),""),"Unset")</f>
        <v/>
      </c>
      <c r="K1583" t="str">
        <f>_xlfn.IFNA(IF(I1583&lt;&gt;0,VLOOKUP(I1583,ItemText[],IFERROR(MATCH(UI!$B$1,ItemText[#Headers],0),2),FALSE),""),"Unset")</f>
        <v/>
      </c>
      <c r="M1583">
        <v>0</v>
      </c>
      <c r="P1583">
        <v>0</v>
      </c>
      <c r="S1583">
        <v>0</v>
      </c>
      <c r="T1583" t="str">
        <f>IF(VALUE(S1583)=0,"",VLOOKUP(VLOOKUP(S1583,Tbl_Effect[],3,FALSE),EffectName[],IFERROR(MATCH(UI!$B$1,EffectName[#Headers],0),2),FALSE))</f>
        <v/>
      </c>
      <c r="U1583" t="str">
        <f t="shared" si="163"/>
        <v/>
      </c>
      <c r="V1583">
        <v>0</v>
      </c>
      <c r="W1583" t="str">
        <f>IF(V1583&lt;&gt;0,VLOOKUP(VLOOKUP(V1583,Tbl_Effect[],3,FALSE),EffectName[],IFERROR(MATCH(UI!$B$1,EffectName[#Headers],0),2),FALSE),"")</f>
        <v/>
      </c>
      <c r="X1583" t="str">
        <f t="shared" si="164"/>
        <v/>
      </c>
      <c r="Y1583">
        <v>0</v>
      </c>
      <c r="Z1583" t="str">
        <f>IF(Y1583&lt;&gt;0,VLOOKUP(VLOOKUP(Y1583,Tbl_Effect[],3,FALSE),EffectName[],IFERROR(MATCH(UI!$B$1,EffectName[#Headers],0),2),FALSE),"")</f>
        <v/>
      </c>
      <c r="AA1583" t="str">
        <f t="shared" si="165"/>
        <v/>
      </c>
      <c r="AB1583">
        <v>0</v>
      </c>
      <c r="AC1583" t="str">
        <f>IF(AB1583&lt;&gt;0,VLOOKUP(VLOOKUP(AB1583,Tbl_Effect[],3,FALSE),EffectName[],IFERROR(MATCH(UI!$B$1,EffectName[#Headers],0),2),FALSE),"")</f>
        <v/>
      </c>
    </row>
    <row r="1584" spans="8:29" x14ac:dyDescent="0.4">
      <c r="H1584" t="str">
        <f t="shared" si="162"/>
        <v/>
      </c>
      <c r="I1584">
        <v>0</v>
      </c>
      <c r="J1584" t="str">
        <f>_xlfn.IFNA(IF(I1584&lt;&gt;0,VLOOKUP(VLOOKUP(I1584,Tbl_Equip[],2,FALSE),Tbl_Color[],IFERROR(MATCH(UI!$B$1,Tbl_Color[#Headers],0),2),FALSE),""),"Unset")</f>
        <v/>
      </c>
      <c r="K1584" t="str">
        <f>_xlfn.IFNA(IF(I1584&lt;&gt;0,VLOOKUP(I1584,ItemText[],IFERROR(MATCH(UI!$B$1,ItemText[#Headers],0),2),FALSE),""),"Unset")</f>
        <v/>
      </c>
      <c r="M1584">
        <v>0</v>
      </c>
      <c r="P1584">
        <v>0</v>
      </c>
      <c r="S1584">
        <v>0</v>
      </c>
      <c r="T1584" t="str">
        <f>IF(VALUE(S1584)=0,"",VLOOKUP(VLOOKUP(S1584,Tbl_Effect[],3,FALSE),EffectName[],IFERROR(MATCH(UI!$B$1,EffectName[#Headers],0),2),FALSE))</f>
        <v/>
      </c>
      <c r="U1584" t="str">
        <f t="shared" si="163"/>
        <v/>
      </c>
      <c r="V1584">
        <v>0</v>
      </c>
      <c r="W1584" t="str">
        <f>IF(V1584&lt;&gt;0,VLOOKUP(VLOOKUP(V1584,Tbl_Effect[],3,FALSE),EffectName[],IFERROR(MATCH(UI!$B$1,EffectName[#Headers],0),2),FALSE),"")</f>
        <v/>
      </c>
      <c r="X1584" t="str">
        <f t="shared" si="164"/>
        <v/>
      </c>
      <c r="Y1584">
        <v>0</v>
      </c>
      <c r="Z1584" t="str">
        <f>IF(Y1584&lt;&gt;0,VLOOKUP(VLOOKUP(Y1584,Tbl_Effect[],3,FALSE),EffectName[],IFERROR(MATCH(UI!$B$1,EffectName[#Headers],0),2),FALSE),"")</f>
        <v/>
      </c>
      <c r="AA1584" t="str">
        <f t="shared" si="165"/>
        <v/>
      </c>
      <c r="AB1584">
        <v>0</v>
      </c>
      <c r="AC1584" t="str">
        <f>IF(AB1584&lt;&gt;0,VLOOKUP(VLOOKUP(AB1584,Tbl_Effect[],3,FALSE),EffectName[],IFERROR(MATCH(UI!$B$1,EffectName[#Headers],0),2),FALSE),"")</f>
        <v/>
      </c>
    </row>
    <row r="1585" spans="8:29" x14ac:dyDescent="0.4">
      <c r="H1585" t="str">
        <f t="shared" si="162"/>
        <v/>
      </c>
      <c r="I1585">
        <v>0</v>
      </c>
      <c r="J1585" t="str">
        <f>_xlfn.IFNA(IF(I1585&lt;&gt;0,VLOOKUP(VLOOKUP(I1585,Tbl_Equip[],2,FALSE),Tbl_Color[],IFERROR(MATCH(UI!$B$1,Tbl_Color[#Headers],0),2),FALSE),""),"Unset")</f>
        <v/>
      </c>
      <c r="K1585" t="str">
        <f>_xlfn.IFNA(IF(I1585&lt;&gt;0,VLOOKUP(I1585,ItemText[],IFERROR(MATCH(UI!$B$1,ItemText[#Headers],0),2),FALSE),""),"Unset")</f>
        <v/>
      </c>
      <c r="M1585">
        <v>0</v>
      </c>
      <c r="P1585">
        <v>0</v>
      </c>
      <c r="S1585">
        <v>0</v>
      </c>
      <c r="T1585" t="str">
        <f>IF(VALUE(S1585)=0,"",VLOOKUP(VLOOKUP(S1585,Tbl_Effect[],3,FALSE),EffectName[],IFERROR(MATCH(UI!$B$1,EffectName[#Headers],0),2),FALSE))</f>
        <v/>
      </c>
      <c r="U1585" t="str">
        <f t="shared" si="163"/>
        <v/>
      </c>
      <c r="V1585">
        <v>0</v>
      </c>
      <c r="W1585" t="str">
        <f>IF(V1585&lt;&gt;0,VLOOKUP(VLOOKUP(V1585,Tbl_Effect[],3,FALSE),EffectName[],IFERROR(MATCH(UI!$B$1,EffectName[#Headers],0),2),FALSE),"")</f>
        <v/>
      </c>
      <c r="X1585" t="str">
        <f t="shared" si="164"/>
        <v/>
      </c>
      <c r="Y1585">
        <v>0</v>
      </c>
      <c r="Z1585" t="str">
        <f>IF(Y1585&lt;&gt;0,VLOOKUP(VLOOKUP(Y1585,Tbl_Effect[],3,FALSE),EffectName[],IFERROR(MATCH(UI!$B$1,EffectName[#Headers],0),2),FALSE),"")</f>
        <v/>
      </c>
      <c r="AA1585" t="str">
        <f t="shared" si="165"/>
        <v/>
      </c>
      <c r="AB1585">
        <v>0</v>
      </c>
      <c r="AC1585" t="str">
        <f>IF(AB1585&lt;&gt;0,VLOOKUP(VLOOKUP(AB1585,Tbl_Effect[],3,FALSE),EffectName[],IFERROR(MATCH(UI!$B$1,EffectName[#Headers],0),2),FALSE),"")</f>
        <v/>
      </c>
    </row>
    <row r="1586" spans="8:29" x14ac:dyDescent="0.4">
      <c r="H1586" t="str">
        <f t="shared" si="162"/>
        <v/>
      </c>
      <c r="I1586">
        <v>0</v>
      </c>
      <c r="J1586" t="str">
        <f>_xlfn.IFNA(IF(I1586&lt;&gt;0,VLOOKUP(VLOOKUP(I1586,Tbl_Equip[],2,FALSE),Tbl_Color[],IFERROR(MATCH(UI!$B$1,Tbl_Color[#Headers],0),2),FALSE),""),"Unset")</f>
        <v/>
      </c>
      <c r="K1586" t="str">
        <f>_xlfn.IFNA(IF(I1586&lt;&gt;0,VLOOKUP(I1586,ItemText[],IFERROR(MATCH(UI!$B$1,ItemText[#Headers],0),2),FALSE),""),"Unset")</f>
        <v/>
      </c>
      <c r="M1586">
        <v>0</v>
      </c>
      <c r="P1586">
        <v>0</v>
      </c>
      <c r="S1586">
        <v>0</v>
      </c>
      <c r="T1586" t="str">
        <f>IF(VALUE(S1586)=0,"",VLOOKUP(VLOOKUP(S1586,Tbl_Effect[],3,FALSE),EffectName[],IFERROR(MATCH(UI!$B$1,EffectName[#Headers],0),2),FALSE))</f>
        <v/>
      </c>
      <c r="U1586" t="str">
        <f t="shared" si="163"/>
        <v/>
      </c>
      <c r="V1586">
        <v>0</v>
      </c>
      <c r="W1586" t="str">
        <f>IF(V1586&lt;&gt;0,VLOOKUP(VLOOKUP(V1586,Tbl_Effect[],3,FALSE),EffectName[],IFERROR(MATCH(UI!$B$1,EffectName[#Headers],0),2),FALSE),"")</f>
        <v/>
      </c>
      <c r="X1586" t="str">
        <f t="shared" si="164"/>
        <v/>
      </c>
      <c r="Y1586">
        <v>0</v>
      </c>
      <c r="Z1586" t="str">
        <f>IF(Y1586&lt;&gt;0,VLOOKUP(VLOOKUP(Y1586,Tbl_Effect[],3,FALSE),EffectName[],IFERROR(MATCH(UI!$B$1,EffectName[#Headers],0),2),FALSE),"")</f>
        <v/>
      </c>
      <c r="AA1586" t="str">
        <f t="shared" si="165"/>
        <v/>
      </c>
      <c r="AB1586">
        <v>0</v>
      </c>
      <c r="AC1586" t="str">
        <f>IF(AB1586&lt;&gt;0,VLOOKUP(VLOOKUP(AB1586,Tbl_Effect[],3,FALSE),EffectName[],IFERROR(MATCH(UI!$B$1,EffectName[#Headers],0),2),FALSE),"")</f>
        <v/>
      </c>
    </row>
    <row r="1587" spans="8:29" x14ac:dyDescent="0.4">
      <c r="H1587" t="str">
        <f t="shared" si="162"/>
        <v/>
      </c>
      <c r="I1587">
        <v>0</v>
      </c>
      <c r="J1587" t="str">
        <f>_xlfn.IFNA(IF(I1587&lt;&gt;0,VLOOKUP(VLOOKUP(I1587,Tbl_Equip[],2,FALSE),Tbl_Color[],IFERROR(MATCH(UI!$B$1,Tbl_Color[#Headers],0),2),FALSE),""),"Unset")</f>
        <v/>
      </c>
      <c r="K1587" t="str">
        <f>_xlfn.IFNA(IF(I1587&lt;&gt;0,VLOOKUP(I1587,ItemText[],IFERROR(MATCH(UI!$B$1,ItemText[#Headers],0),2),FALSE),""),"Unset")</f>
        <v/>
      </c>
      <c r="M1587">
        <v>0</v>
      </c>
      <c r="P1587">
        <v>0</v>
      </c>
      <c r="S1587">
        <v>0</v>
      </c>
      <c r="T1587" t="str">
        <f>IF(VALUE(S1587)=0,"",VLOOKUP(VLOOKUP(S1587,Tbl_Effect[],3,FALSE),EffectName[],IFERROR(MATCH(UI!$B$1,EffectName[#Headers],0),2),FALSE))</f>
        <v/>
      </c>
      <c r="U1587" t="str">
        <f t="shared" si="163"/>
        <v/>
      </c>
      <c r="V1587">
        <v>0</v>
      </c>
      <c r="W1587" t="str">
        <f>IF(V1587&lt;&gt;0,VLOOKUP(VLOOKUP(V1587,Tbl_Effect[],3,FALSE),EffectName[],IFERROR(MATCH(UI!$B$1,EffectName[#Headers],0),2),FALSE),"")</f>
        <v/>
      </c>
      <c r="X1587" t="str">
        <f t="shared" si="164"/>
        <v/>
      </c>
      <c r="Y1587">
        <v>0</v>
      </c>
      <c r="Z1587" t="str">
        <f>IF(Y1587&lt;&gt;0,VLOOKUP(VLOOKUP(Y1587,Tbl_Effect[],3,FALSE),EffectName[],IFERROR(MATCH(UI!$B$1,EffectName[#Headers],0),2),FALSE),"")</f>
        <v/>
      </c>
      <c r="AA1587" t="str">
        <f t="shared" si="165"/>
        <v/>
      </c>
      <c r="AB1587">
        <v>0</v>
      </c>
      <c r="AC1587" t="str">
        <f>IF(AB1587&lt;&gt;0,VLOOKUP(VLOOKUP(AB1587,Tbl_Effect[],3,FALSE),EffectName[],IFERROR(MATCH(UI!$B$1,EffectName[#Headers],0),2),FALSE),"")</f>
        <v/>
      </c>
    </row>
    <row r="1588" spans="8:29" x14ac:dyDescent="0.4">
      <c r="H1588" t="str">
        <f t="shared" si="162"/>
        <v/>
      </c>
      <c r="I1588">
        <v>0</v>
      </c>
      <c r="J1588" t="str">
        <f>_xlfn.IFNA(IF(I1588&lt;&gt;0,VLOOKUP(VLOOKUP(I1588,Tbl_Equip[],2,FALSE),Tbl_Color[],IFERROR(MATCH(UI!$B$1,Tbl_Color[#Headers],0),2),FALSE),""),"Unset")</f>
        <v/>
      </c>
      <c r="K1588" t="str">
        <f>_xlfn.IFNA(IF(I1588&lt;&gt;0,VLOOKUP(I1588,ItemText[],IFERROR(MATCH(UI!$B$1,ItemText[#Headers],0),2),FALSE),""),"Unset")</f>
        <v/>
      </c>
      <c r="M1588">
        <v>0</v>
      </c>
      <c r="P1588">
        <v>0</v>
      </c>
      <c r="S1588">
        <v>0</v>
      </c>
      <c r="T1588" t="str">
        <f>IF(VALUE(S1588)=0,"",VLOOKUP(VLOOKUP(S1588,Tbl_Effect[],3,FALSE),EffectName[],IFERROR(MATCH(UI!$B$1,EffectName[#Headers],0),2),FALSE))</f>
        <v/>
      </c>
      <c r="U1588" t="str">
        <f t="shared" si="163"/>
        <v/>
      </c>
      <c r="V1588">
        <v>0</v>
      </c>
      <c r="W1588" t="str">
        <f>IF(V1588&lt;&gt;0,VLOOKUP(VLOOKUP(V1588,Tbl_Effect[],3,FALSE),EffectName[],IFERROR(MATCH(UI!$B$1,EffectName[#Headers],0),2),FALSE),"")</f>
        <v/>
      </c>
      <c r="X1588" t="str">
        <f t="shared" si="164"/>
        <v/>
      </c>
      <c r="Y1588">
        <v>0</v>
      </c>
      <c r="Z1588" t="str">
        <f>IF(Y1588&lt;&gt;0,VLOOKUP(VLOOKUP(Y1588,Tbl_Effect[],3,FALSE),EffectName[],IFERROR(MATCH(UI!$B$1,EffectName[#Headers],0),2),FALSE),"")</f>
        <v/>
      </c>
      <c r="AA1588" t="str">
        <f t="shared" si="165"/>
        <v/>
      </c>
      <c r="AB1588">
        <v>0</v>
      </c>
      <c r="AC1588" t="str">
        <f>IF(AB1588&lt;&gt;0,VLOOKUP(VLOOKUP(AB1588,Tbl_Effect[],3,FALSE),EffectName[],IFERROR(MATCH(UI!$B$1,EffectName[#Headers],0),2),FALSE),"")</f>
        <v/>
      </c>
    </row>
    <row r="1589" spans="8:29" x14ac:dyDescent="0.4">
      <c r="H1589" t="str">
        <f t="shared" si="162"/>
        <v/>
      </c>
      <c r="I1589">
        <v>0</v>
      </c>
      <c r="J1589" t="str">
        <f>_xlfn.IFNA(IF(I1589&lt;&gt;0,VLOOKUP(VLOOKUP(I1589,Tbl_Equip[],2,FALSE),Tbl_Color[],IFERROR(MATCH(UI!$B$1,Tbl_Color[#Headers],0),2),FALSE),""),"Unset")</f>
        <v/>
      </c>
      <c r="K1589" t="str">
        <f>_xlfn.IFNA(IF(I1589&lt;&gt;0,VLOOKUP(I1589,ItemText[],IFERROR(MATCH(UI!$B$1,ItemText[#Headers],0),2),FALSE),""),"Unset")</f>
        <v/>
      </c>
      <c r="M1589">
        <v>0</v>
      </c>
      <c r="P1589">
        <v>0</v>
      </c>
      <c r="S1589">
        <v>0</v>
      </c>
      <c r="T1589" t="str">
        <f>IF(VALUE(S1589)=0,"",VLOOKUP(VLOOKUP(S1589,Tbl_Effect[],3,FALSE),EffectName[],IFERROR(MATCH(UI!$B$1,EffectName[#Headers],0),2),FALSE))</f>
        <v/>
      </c>
      <c r="U1589" t="str">
        <f t="shared" si="163"/>
        <v/>
      </c>
      <c r="V1589">
        <v>0</v>
      </c>
      <c r="W1589" t="str">
        <f>IF(V1589&lt;&gt;0,VLOOKUP(VLOOKUP(V1589,Tbl_Effect[],3,FALSE),EffectName[],IFERROR(MATCH(UI!$B$1,EffectName[#Headers],0),2),FALSE),"")</f>
        <v/>
      </c>
      <c r="X1589" t="str">
        <f t="shared" si="164"/>
        <v/>
      </c>
      <c r="Y1589">
        <v>0</v>
      </c>
      <c r="Z1589" t="str">
        <f>IF(Y1589&lt;&gt;0,VLOOKUP(VLOOKUP(Y1589,Tbl_Effect[],3,FALSE),EffectName[],IFERROR(MATCH(UI!$B$1,EffectName[#Headers],0),2),FALSE),"")</f>
        <v/>
      </c>
      <c r="AA1589" t="str">
        <f t="shared" si="165"/>
        <v/>
      </c>
      <c r="AB1589">
        <v>0</v>
      </c>
      <c r="AC1589" t="str">
        <f>IF(AB1589&lt;&gt;0,VLOOKUP(VLOOKUP(AB1589,Tbl_Effect[],3,FALSE),EffectName[],IFERROR(MATCH(UI!$B$1,EffectName[#Headers],0),2),FALSE),"")</f>
        <v/>
      </c>
    </row>
    <row r="1590" spans="8:29" x14ac:dyDescent="0.4">
      <c r="H1590" t="str">
        <f t="shared" si="162"/>
        <v/>
      </c>
      <c r="I1590">
        <v>0</v>
      </c>
      <c r="J1590" t="str">
        <f>_xlfn.IFNA(IF(I1590&lt;&gt;0,VLOOKUP(VLOOKUP(I1590,Tbl_Equip[],2,FALSE),Tbl_Color[],IFERROR(MATCH(UI!$B$1,Tbl_Color[#Headers],0),2),FALSE),""),"Unset")</f>
        <v/>
      </c>
      <c r="K1590" t="str">
        <f>_xlfn.IFNA(IF(I1590&lt;&gt;0,VLOOKUP(I1590,ItemText[],IFERROR(MATCH(UI!$B$1,ItemText[#Headers],0),2),FALSE),""),"Unset")</f>
        <v/>
      </c>
      <c r="M1590">
        <v>0</v>
      </c>
      <c r="P1590">
        <v>0</v>
      </c>
      <c r="S1590">
        <v>0</v>
      </c>
      <c r="T1590" t="str">
        <f>IF(VALUE(S1590)=0,"",VLOOKUP(VLOOKUP(S1590,Tbl_Effect[],3,FALSE),EffectName[],IFERROR(MATCH(UI!$B$1,EffectName[#Headers],0),2),FALSE))</f>
        <v/>
      </c>
      <c r="U1590" t="str">
        <f t="shared" si="163"/>
        <v/>
      </c>
      <c r="V1590">
        <v>0</v>
      </c>
      <c r="W1590" t="str">
        <f>IF(V1590&lt;&gt;0,VLOOKUP(VLOOKUP(V1590,Tbl_Effect[],3,FALSE),EffectName[],IFERROR(MATCH(UI!$B$1,EffectName[#Headers],0),2),FALSE),"")</f>
        <v/>
      </c>
      <c r="X1590" t="str">
        <f t="shared" si="164"/>
        <v/>
      </c>
      <c r="Y1590">
        <v>0</v>
      </c>
      <c r="Z1590" t="str">
        <f>IF(Y1590&lt;&gt;0,VLOOKUP(VLOOKUP(Y1590,Tbl_Effect[],3,FALSE),EffectName[],IFERROR(MATCH(UI!$B$1,EffectName[#Headers],0),2),FALSE),"")</f>
        <v/>
      </c>
      <c r="AA1590" t="str">
        <f t="shared" si="165"/>
        <v/>
      </c>
      <c r="AB1590">
        <v>0</v>
      </c>
      <c r="AC1590" t="str">
        <f>IF(AB1590&lt;&gt;0,VLOOKUP(VLOOKUP(AB1590,Tbl_Effect[],3,FALSE),EffectName[],IFERROR(MATCH(UI!$B$1,EffectName[#Headers],0),2),FALSE),"")</f>
        <v/>
      </c>
    </row>
    <row r="1591" spans="8:29" x14ac:dyDescent="0.4">
      <c r="H1591" t="str">
        <f t="shared" si="162"/>
        <v/>
      </c>
      <c r="I1591">
        <v>0</v>
      </c>
      <c r="J1591" t="str">
        <f>_xlfn.IFNA(IF(I1591&lt;&gt;0,VLOOKUP(VLOOKUP(I1591,Tbl_Equip[],2,FALSE),Tbl_Color[],IFERROR(MATCH(UI!$B$1,Tbl_Color[#Headers],0),2),FALSE),""),"Unset")</f>
        <v/>
      </c>
      <c r="K1591" t="str">
        <f>_xlfn.IFNA(IF(I1591&lt;&gt;0,VLOOKUP(I1591,ItemText[],IFERROR(MATCH(UI!$B$1,ItemText[#Headers],0),2),FALSE),""),"Unset")</f>
        <v/>
      </c>
      <c r="M1591">
        <v>0</v>
      </c>
      <c r="P1591">
        <v>0</v>
      </c>
      <c r="S1591">
        <v>0</v>
      </c>
      <c r="T1591" t="str">
        <f>IF(VALUE(S1591)=0,"",VLOOKUP(VLOOKUP(S1591,Tbl_Effect[],3,FALSE),EffectName[],IFERROR(MATCH(UI!$B$1,EffectName[#Headers],0),2),FALSE))</f>
        <v/>
      </c>
      <c r="U1591" t="str">
        <f t="shared" si="163"/>
        <v/>
      </c>
      <c r="V1591">
        <v>0</v>
      </c>
      <c r="W1591" t="str">
        <f>IF(V1591&lt;&gt;0,VLOOKUP(VLOOKUP(V1591,Tbl_Effect[],3,FALSE),EffectName[],IFERROR(MATCH(UI!$B$1,EffectName[#Headers],0),2),FALSE),"")</f>
        <v/>
      </c>
      <c r="X1591" t="str">
        <f t="shared" si="164"/>
        <v/>
      </c>
      <c r="Y1591">
        <v>0</v>
      </c>
      <c r="Z1591" t="str">
        <f>IF(Y1591&lt;&gt;0,VLOOKUP(VLOOKUP(Y1591,Tbl_Effect[],3,FALSE),EffectName[],IFERROR(MATCH(UI!$B$1,EffectName[#Headers],0),2),FALSE),"")</f>
        <v/>
      </c>
      <c r="AA1591" t="str">
        <f t="shared" si="165"/>
        <v/>
      </c>
      <c r="AB1591">
        <v>0</v>
      </c>
      <c r="AC1591" t="str">
        <f>IF(AB1591&lt;&gt;0,VLOOKUP(VLOOKUP(AB1591,Tbl_Effect[],3,FALSE),EffectName[],IFERROR(MATCH(UI!$B$1,EffectName[#Headers],0),2),FALSE),"")</f>
        <v/>
      </c>
    </row>
    <row r="1592" spans="8:29" x14ac:dyDescent="0.4">
      <c r="H1592" t="str">
        <f t="shared" si="162"/>
        <v/>
      </c>
      <c r="I1592">
        <v>0</v>
      </c>
      <c r="J1592" t="str">
        <f>_xlfn.IFNA(IF(I1592&lt;&gt;0,VLOOKUP(VLOOKUP(I1592,Tbl_Equip[],2,FALSE),Tbl_Color[],IFERROR(MATCH(UI!$B$1,Tbl_Color[#Headers],0),2),FALSE),""),"Unset")</f>
        <v/>
      </c>
      <c r="K1592" t="str">
        <f>_xlfn.IFNA(IF(I1592&lt;&gt;0,VLOOKUP(I1592,ItemText[],IFERROR(MATCH(UI!$B$1,ItemText[#Headers],0),2),FALSE),""),"Unset")</f>
        <v/>
      </c>
      <c r="M1592">
        <v>0</v>
      </c>
      <c r="P1592">
        <v>0</v>
      </c>
      <c r="S1592">
        <v>0</v>
      </c>
      <c r="T1592" t="str">
        <f>IF(VALUE(S1592)=0,"",VLOOKUP(VLOOKUP(S1592,Tbl_Effect[],3,FALSE),EffectName[],IFERROR(MATCH(UI!$B$1,EffectName[#Headers],0),2),FALSE))</f>
        <v/>
      </c>
      <c r="U1592" t="str">
        <f t="shared" si="163"/>
        <v/>
      </c>
      <c r="V1592">
        <v>0</v>
      </c>
      <c r="W1592" t="str">
        <f>IF(V1592&lt;&gt;0,VLOOKUP(VLOOKUP(V1592,Tbl_Effect[],3,FALSE),EffectName[],IFERROR(MATCH(UI!$B$1,EffectName[#Headers],0),2),FALSE),"")</f>
        <v/>
      </c>
      <c r="X1592" t="str">
        <f t="shared" si="164"/>
        <v/>
      </c>
      <c r="Y1592">
        <v>0</v>
      </c>
      <c r="Z1592" t="str">
        <f>IF(Y1592&lt;&gt;0,VLOOKUP(VLOOKUP(Y1592,Tbl_Effect[],3,FALSE),EffectName[],IFERROR(MATCH(UI!$B$1,EffectName[#Headers],0),2),FALSE),"")</f>
        <v/>
      </c>
      <c r="AA1592" t="str">
        <f t="shared" si="165"/>
        <v/>
      </c>
      <c r="AB1592">
        <v>0</v>
      </c>
      <c r="AC1592" t="str">
        <f>IF(AB1592&lt;&gt;0,VLOOKUP(VLOOKUP(AB1592,Tbl_Effect[],3,FALSE),EffectName[],IFERROR(MATCH(UI!$B$1,EffectName[#Headers],0),2),FALSE),"")</f>
        <v/>
      </c>
    </row>
    <row r="1593" spans="8:29" x14ac:dyDescent="0.4">
      <c r="H1593" t="str">
        <f t="shared" si="162"/>
        <v/>
      </c>
      <c r="I1593">
        <v>0</v>
      </c>
      <c r="J1593" t="str">
        <f>_xlfn.IFNA(IF(I1593&lt;&gt;0,VLOOKUP(VLOOKUP(I1593,Tbl_Equip[],2,FALSE),Tbl_Color[],IFERROR(MATCH(UI!$B$1,Tbl_Color[#Headers],0),2),FALSE),""),"Unset")</f>
        <v/>
      </c>
      <c r="K1593" t="str">
        <f>_xlfn.IFNA(IF(I1593&lt;&gt;0,VLOOKUP(I1593,ItemText[],IFERROR(MATCH(UI!$B$1,ItemText[#Headers],0),2),FALSE),""),"Unset")</f>
        <v/>
      </c>
      <c r="M1593">
        <v>0</v>
      </c>
      <c r="P1593">
        <v>0</v>
      </c>
      <c r="S1593">
        <v>0</v>
      </c>
      <c r="T1593" t="str">
        <f>IF(VALUE(S1593)=0,"",VLOOKUP(VLOOKUP(S1593,Tbl_Effect[],3,FALSE),EffectName[],IFERROR(MATCH(UI!$B$1,EffectName[#Headers],0),2),FALSE))</f>
        <v/>
      </c>
      <c r="U1593" t="str">
        <f t="shared" si="163"/>
        <v/>
      </c>
      <c r="V1593">
        <v>0</v>
      </c>
      <c r="W1593" t="str">
        <f>IF(V1593&lt;&gt;0,VLOOKUP(VLOOKUP(V1593,Tbl_Effect[],3,FALSE),EffectName[],IFERROR(MATCH(UI!$B$1,EffectName[#Headers],0),2),FALSE),"")</f>
        <v/>
      </c>
      <c r="X1593" t="str">
        <f t="shared" si="164"/>
        <v/>
      </c>
      <c r="Y1593">
        <v>0</v>
      </c>
      <c r="Z1593" t="str">
        <f>IF(Y1593&lt;&gt;0,VLOOKUP(VLOOKUP(Y1593,Tbl_Effect[],3,FALSE),EffectName[],IFERROR(MATCH(UI!$B$1,EffectName[#Headers],0),2),FALSE),"")</f>
        <v/>
      </c>
      <c r="AA1593" t="str">
        <f t="shared" si="165"/>
        <v/>
      </c>
      <c r="AB1593">
        <v>0</v>
      </c>
      <c r="AC1593" t="str">
        <f>IF(AB1593&lt;&gt;0,VLOOKUP(VLOOKUP(AB1593,Tbl_Effect[],3,FALSE),EffectName[],IFERROR(MATCH(UI!$B$1,EffectName[#Headers],0),2),FALSE),"")</f>
        <v/>
      </c>
    </row>
    <row r="1594" spans="8:29" x14ac:dyDescent="0.4">
      <c r="H1594" t="str">
        <f t="shared" si="162"/>
        <v/>
      </c>
      <c r="I1594">
        <v>0</v>
      </c>
      <c r="J1594" t="str">
        <f>_xlfn.IFNA(IF(I1594&lt;&gt;0,VLOOKUP(VLOOKUP(I1594,Tbl_Equip[],2,FALSE),Tbl_Color[],IFERROR(MATCH(UI!$B$1,Tbl_Color[#Headers],0),2),FALSE),""),"Unset")</f>
        <v/>
      </c>
      <c r="K1594" t="str">
        <f>_xlfn.IFNA(IF(I1594&lt;&gt;0,VLOOKUP(I1594,ItemText[],IFERROR(MATCH(UI!$B$1,ItemText[#Headers],0),2),FALSE),""),"Unset")</f>
        <v/>
      </c>
      <c r="M1594">
        <v>0</v>
      </c>
      <c r="P1594">
        <v>0</v>
      </c>
      <c r="S1594">
        <v>0</v>
      </c>
      <c r="T1594" t="str">
        <f>IF(VALUE(S1594)=0,"",VLOOKUP(VLOOKUP(S1594,Tbl_Effect[],3,FALSE),EffectName[],IFERROR(MATCH(UI!$B$1,EffectName[#Headers],0),2),FALSE))</f>
        <v/>
      </c>
      <c r="U1594" t="str">
        <f t="shared" si="163"/>
        <v/>
      </c>
      <c r="V1594">
        <v>0</v>
      </c>
      <c r="W1594" t="str">
        <f>IF(V1594&lt;&gt;0,VLOOKUP(VLOOKUP(V1594,Tbl_Effect[],3,FALSE),EffectName[],IFERROR(MATCH(UI!$B$1,EffectName[#Headers],0),2),FALSE),"")</f>
        <v/>
      </c>
      <c r="X1594" t="str">
        <f t="shared" si="164"/>
        <v/>
      </c>
      <c r="Y1594">
        <v>0</v>
      </c>
      <c r="Z1594" t="str">
        <f>IF(Y1594&lt;&gt;0,VLOOKUP(VLOOKUP(Y1594,Tbl_Effect[],3,FALSE),EffectName[],IFERROR(MATCH(UI!$B$1,EffectName[#Headers],0),2),FALSE),"")</f>
        <v/>
      </c>
      <c r="AA1594" t="str">
        <f t="shared" si="165"/>
        <v/>
      </c>
      <c r="AB1594">
        <v>0</v>
      </c>
      <c r="AC1594" t="str">
        <f>IF(AB1594&lt;&gt;0,VLOOKUP(VLOOKUP(AB1594,Tbl_Effect[],3,FALSE),EffectName[],IFERROR(MATCH(UI!$B$1,EffectName[#Headers],0),2),FALSE),"")</f>
        <v/>
      </c>
    </row>
    <row r="1595" spans="8:29" x14ac:dyDescent="0.4">
      <c r="H1595" t="str">
        <f t="shared" si="162"/>
        <v/>
      </c>
      <c r="I1595">
        <v>0</v>
      </c>
      <c r="J1595" t="str">
        <f>_xlfn.IFNA(IF(I1595&lt;&gt;0,VLOOKUP(VLOOKUP(I1595,Tbl_Equip[],2,FALSE),Tbl_Color[],IFERROR(MATCH(UI!$B$1,Tbl_Color[#Headers],0),2),FALSE),""),"Unset")</f>
        <v/>
      </c>
      <c r="K1595" t="str">
        <f>_xlfn.IFNA(IF(I1595&lt;&gt;0,VLOOKUP(I1595,ItemText[],IFERROR(MATCH(UI!$B$1,ItemText[#Headers],0),2),FALSE),""),"Unset")</f>
        <v/>
      </c>
      <c r="M1595">
        <v>0</v>
      </c>
      <c r="P1595">
        <v>0</v>
      </c>
      <c r="S1595">
        <v>0</v>
      </c>
      <c r="T1595" t="str">
        <f>IF(VALUE(S1595)=0,"",VLOOKUP(VLOOKUP(S1595,Tbl_Effect[],3,FALSE),EffectName[],IFERROR(MATCH(UI!$B$1,EffectName[#Headers],0),2),FALSE))</f>
        <v/>
      </c>
      <c r="U1595" t="str">
        <f t="shared" si="163"/>
        <v/>
      </c>
      <c r="V1595">
        <v>0</v>
      </c>
      <c r="W1595" t="str">
        <f>IF(V1595&lt;&gt;0,VLOOKUP(VLOOKUP(V1595,Tbl_Effect[],3,FALSE),EffectName[],IFERROR(MATCH(UI!$B$1,EffectName[#Headers],0),2),FALSE),"")</f>
        <v/>
      </c>
      <c r="X1595" t="str">
        <f t="shared" si="164"/>
        <v/>
      </c>
      <c r="Y1595">
        <v>0</v>
      </c>
      <c r="Z1595" t="str">
        <f>IF(Y1595&lt;&gt;0,VLOOKUP(VLOOKUP(Y1595,Tbl_Effect[],3,FALSE),EffectName[],IFERROR(MATCH(UI!$B$1,EffectName[#Headers],0),2),FALSE),"")</f>
        <v/>
      </c>
      <c r="AA1595" t="str">
        <f t="shared" si="165"/>
        <v/>
      </c>
      <c r="AB1595">
        <v>0</v>
      </c>
      <c r="AC1595" t="str">
        <f>IF(AB1595&lt;&gt;0,VLOOKUP(VLOOKUP(AB1595,Tbl_Effect[],3,FALSE),EffectName[],IFERROR(MATCH(UI!$B$1,EffectName[#Headers],0),2),FALSE),"")</f>
        <v/>
      </c>
    </row>
    <row r="1596" spans="8:29" x14ac:dyDescent="0.4">
      <c r="H1596" t="str">
        <f t="shared" si="162"/>
        <v/>
      </c>
      <c r="I1596">
        <v>0</v>
      </c>
      <c r="J1596" t="str">
        <f>_xlfn.IFNA(IF(I1596&lt;&gt;0,VLOOKUP(VLOOKUP(I1596,Tbl_Equip[],2,FALSE),Tbl_Color[],IFERROR(MATCH(UI!$B$1,Tbl_Color[#Headers],0),2),FALSE),""),"Unset")</f>
        <v/>
      </c>
      <c r="K1596" t="str">
        <f>_xlfn.IFNA(IF(I1596&lt;&gt;0,VLOOKUP(I1596,ItemText[],IFERROR(MATCH(UI!$B$1,ItemText[#Headers],0),2),FALSE),""),"Unset")</f>
        <v/>
      </c>
      <c r="M1596">
        <v>0</v>
      </c>
      <c r="P1596">
        <v>0</v>
      </c>
      <c r="S1596">
        <v>0</v>
      </c>
      <c r="T1596" t="str">
        <f>IF(VALUE(S1596)=0,"",VLOOKUP(VLOOKUP(S1596,Tbl_Effect[],3,FALSE),EffectName[],IFERROR(MATCH(UI!$B$1,EffectName[#Headers],0),2),FALSE))</f>
        <v/>
      </c>
      <c r="U1596" t="str">
        <f t="shared" si="163"/>
        <v/>
      </c>
      <c r="V1596">
        <v>0</v>
      </c>
      <c r="W1596" t="str">
        <f>IF(V1596&lt;&gt;0,VLOOKUP(VLOOKUP(V1596,Tbl_Effect[],3,FALSE),EffectName[],IFERROR(MATCH(UI!$B$1,EffectName[#Headers],0),2),FALSE),"")</f>
        <v/>
      </c>
      <c r="X1596" t="str">
        <f t="shared" si="164"/>
        <v/>
      </c>
      <c r="Y1596">
        <v>0</v>
      </c>
      <c r="Z1596" t="str">
        <f>IF(Y1596&lt;&gt;0,VLOOKUP(VLOOKUP(Y1596,Tbl_Effect[],3,FALSE),EffectName[],IFERROR(MATCH(UI!$B$1,EffectName[#Headers],0),2),FALSE),"")</f>
        <v/>
      </c>
      <c r="AA1596" t="str">
        <f t="shared" si="165"/>
        <v/>
      </c>
      <c r="AB1596">
        <v>0</v>
      </c>
      <c r="AC1596" t="str">
        <f>IF(AB1596&lt;&gt;0,VLOOKUP(VLOOKUP(AB1596,Tbl_Effect[],3,FALSE),EffectName[],IFERROR(MATCH(UI!$B$1,EffectName[#Headers],0),2),FALSE),"")</f>
        <v/>
      </c>
    </row>
    <row r="1597" spans="8:29" x14ac:dyDescent="0.4">
      <c r="H1597" t="str">
        <f t="shared" si="162"/>
        <v/>
      </c>
      <c r="I1597">
        <v>0</v>
      </c>
      <c r="J1597" t="str">
        <f>_xlfn.IFNA(IF(I1597&lt;&gt;0,VLOOKUP(VLOOKUP(I1597,Tbl_Equip[],2,FALSE),Tbl_Color[],IFERROR(MATCH(UI!$B$1,Tbl_Color[#Headers],0),2),FALSE),""),"Unset")</f>
        <v/>
      </c>
      <c r="K1597" t="str">
        <f>_xlfn.IFNA(IF(I1597&lt;&gt;0,VLOOKUP(I1597,ItemText[],IFERROR(MATCH(UI!$B$1,ItemText[#Headers],0),2),FALSE),""),"Unset")</f>
        <v/>
      </c>
      <c r="M1597">
        <v>0</v>
      </c>
      <c r="P1597">
        <v>0</v>
      </c>
      <c r="S1597">
        <v>0</v>
      </c>
      <c r="T1597" t="str">
        <f>IF(VALUE(S1597)=0,"",VLOOKUP(VLOOKUP(S1597,Tbl_Effect[],3,FALSE),EffectName[],IFERROR(MATCH(UI!$B$1,EffectName[#Headers],0),2),FALSE))</f>
        <v/>
      </c>
      <c r="U1597" t="str">
        <f t="shared" si="163"/>
        <v/>
      </c>
      <c r="V1597">
        <v>0</v>
      </c>
      <c r="W1597" t="str">
        <f>IF(V1597&lt;&gt;0,VLOOKUP(VLOOKUP(V1597,Tbl_Effect[],3,FALSE),EffectName[],IFERROR(MATCH(UI!$B$1,EffectName[#Headers],0),2),FALSE),"")</f>
        <v/>
      </c>
      <c r="X1597" t="str">
        <f t="shared" si="164"/>
        <v/>
      </c>
      <c r="Y1597">
        <v>0</v>
      </c>
      <c r="Z1597" t="str">
        <f>IF(Y1597&lt;&gt;0,VLOOKUP(VLOOKUP(Y1597,Tbl_Effect[],3,FALSE),EffectName[],IFERROR(MATCH(UI!$B$1,EffectName[#Headers],0),2),FALSE),"")</f>
        <v/>
      </c>
      <c r="AA1597" t="str">
        <f t="shared" si="165"/>
        <v/>
      </c>
      <c r="AB1597">
        <v>0</v>
      </c>
      <c r="AC1597" t="str">
        <f>IF(AB1597&lt;&gt;0,VLOOKUP(VLOOKUP(AB1597,Tbl_Effect[],3,FALSE),EffectName[],IFERROR(MATCH(UI!$B$1,EffectName[#Headers],0),2),FALSE),"")</f>
        <v/>
      </c>
    </row>
    <row r="1598" spans="8:29" x14ac:dyDescent="0.4">
      <c r="H1598" t="str">
        <f t="shared" si="162"/>
        <v/>
      </c>
      <c r="I1598">
        <v>0</v>
      </c>
      <c r="J1598" t="str">
        <f>_xlfn.IFNA(IF(I1598&lt;&gt;0,VLOOKUP(VLOOKUP(I1598,Tbl_Equip[],2,FALSE),Tbl_Color[],IFERROR(MATCH(UI!$B$1,Tbl_Color[#Headers],0),2),FALSE),""),"Unset")</f>
        <v/>
      </c>
      <c r="K1598" t="str">
        <f>_xlfn.IFNA(IF(I1598&lt;&gt;0,VLOOKUP(I1598,ItemText[],IFERROR(MATCH(UI!$B$1,ItemText[#Headers],0),2),FALSE),""),"Unset")</f>
        <v/>
      </c>
      <c r="M1598">
        <v>0</v>
      </c>
      <c r="P1598">
        <v>0</v>
      </c>
      <c r="S1598">
        <v>0</v>
      </c>
      <c r="T1598" t="str">
        <f>IF(VALUE(S1598)=0,"",VLOOKUP(VLOOKUP(S1598,Tbl_Effect[],3,FALSE),EffectName[],IFERROR(MATCH(UI!$B$1,EffectName[#Headers],0),2),FALSE))</f>
        <v/>
      </c>
      <c r="U1598" t="str">
        <f t="shared" si="163"/>
        <v/>
      </c>
      <c r="V1598">
        <v>0</v>
      </c>
      <c r="W1598" t="str">
        <f>IF(V1598&lt;&gt;0,VLOOKUP(VLOOKUP(V1598,Tbl_Effect[],3,FALSE),EffectName[],IFERROR(MATCH(UI!$B$1,EffectName[#Headers],0),2),FALSE),"")</f>
        <v/>
      </c>
      <c r="X1598" t="str">
        <f t="shared" si="164"/>
        <v/>
      </c>
      <c r="Y1598">
        <v>0</v>
      </c>
      <c r="Z1598" t="str">
        <f>IF(Y1598&lt;&gt;0,VLOOKUP(VLOOKUP(Y1598,Tbl_Effect[],3,FALSE),EffectName[],IFERROR(MATCH(UI!$B$1,EffectName[#Headers],0),2),FALSE),"")</f>
        <v/>
      </c>
      <c r="AA1598" t="str">
        <f t="shared" si="165"/>
        <v/>
      </c>
      <c r="AB1598">
        <v>0</v>
      </c>
      <c r="AC1598" t="str">
        <f>IF(AB1598&lt;&gt;0,VLOOKUP(VLOOKUP(AB1598,Tbl_Effect[],3,FALSE),EffectName[],IFERROR(MATCH(UI!$B$1,EffectName[#Headers],0),2),FALSE),"")</f>
        <v/>
      </c>
    </row>
    <row r="1599" spans="8:29" x14ac:dyDescent="0.4">
      <c r="H1599" t="str">
        <f t="shared" si="162"/>
        <v/>
      </c>
      <c r="I1599">
        <v>0</v>
      </c>
      <c r="J1599" t="str">
        <f>_xlfn.IFNA(IF(I1599&lt;&gt;0,VLOOKUP(VLOOKUP(I1599,Tbl_Equip[],2,FALSE),Tbl_Color[],IFERROR(MATCH(UI!$B$1,Tbl_Color[#Headers],0),2),FALSE),""),"Unset")</f>
        <v/>
      </c>
      <c r="K1599" t="str">
        <f>_xlfn.IFNA(IF(I1599&lt;&gt;0,VLOOKUP(I1599,ItemText[],IFERROR(MATCH(UI!$B$1,ItemText[#Headers],0),2),FALSE),""),"Unset")</f>
        <v/>
      </c>
      <c r="M1599">
        <v>0</v>
      </c>
      <c r="P1599">
        <v>0</v>
      </c>
      <c r="S1599">
        <v>0</v>
      </c>
      <c r="T1599" t="str">
        <f>IF(VALUE(S1599)=0,"",VLOOKUP(VLOOKUP(S1599,Tbl_Effect[],3,FALSE),EffectName[],IFERROR(MATCH(UI!$B$1,EffectName[#Headers],0),2),FALSE))</f>
        <v/>
      </c>
      <c r="U1599" t="str">
        <f t="shared" si="163"/>
        <v/>
      </c>
      <c r="V1599">
        <v>0</v>
      </c>
      <c r="W1599" t="str">
        <f>IF(V1599&lt;&gt;0,VLOOKUP(VLOOKUP(V1599,Tbl_Effect[],3,FALSE),EffectName[],IFERROR(MATCH(UI!$B$1,EffectName[#Headers],0),2),FALSE),"")</f>
        <v/>
      </c>
      <c r="X1599" t="str">
        <f t="shared" si="164"/>
        <v/>
      </c>
      <c r="Y1599">
        <v>0</v>
      </c>
      <c r="Z1599" t="str">
        <f>IF(Y1599&lt;&gt;0,VLOOKUP(VLOOKUP(Y1599,Tbl_Effect[],3,FALSE),EffectName[],IFERROR(MATCH(UI!$B$1,EffectName[#Headers],0),2),FALSE),"")</f>
        <v/>
      </c>
      <c r="AA1599" t="str">
        <f t="shared" si="165"/>
        <v/>
      </c>
      <c r="AB1599">
        <v>0</v>
      </c>
      <c r="AC1599" t="str">
        <f>IF(AB1599&lt;&gt;0,VLOOKUP(VLOOKUP(AB1599,Tbl_Effect[],3,FALSE),EffectName[],IFERROR(MATCH(UI!$B$1,EffectName[#Headers],0),2),FALSE),"")</f>
        <v/>
      </c>
    </row>
    <row r="1600" spans="8:29" x14ac:dyDescent="0.4">
      <c r="H1600" t="str">
        <f t="shared" si="162"/>
        <v/>
      </c>
      <c r="I1600">
        <v>0</v>
      </c>
      <c r="J1600" t="str">
        <f>_xlfn.IFNA(IF(I1600&lt;&gt;0,VLOOKUP(VLOOKUP(I1600,Tbl_Equip[],2,FALSE),Tbl_Color[],IFERROR(MATCH(UI!$B$1,Tbl_Color[#Headers],0),2),FALSE),""),"Unset")</f>
        <v/>
      </c>
      <c r="K1600" t="str">
        <f>_xlfn.IFNA(IF(I1600&lt;&gt;0,VLOOKUP(I1600,ItemText[],IFERROR(MATCH(UI!$B$1,ItemText[#Headers],0),2),FALSE),""),"Unset")</f>
        <v/>
      </c>
      <c r="M1600">
        <v>0</v>
      </c>
      <c r="P1600">
        <v>0</v>
      </c>
      <c r="S1600">
        <v>0</v>
      </c>
      <c r="T1600" t="str">
        <f>IF(VALUE(S1600)=0,"",VLOOKUP(VLOOKUP(S1600,Tbl_Effect[],3,FALSE),EffectName[],IFERROR(MATCH(UI!$B$1,EffectName[#Headers],0),2),FALSE))</f>
        <v/>
      </c>
      <c r="U1600" t="str">
        <f t="shared" si="163"/>
        <v/>
      </c>
      <c r="V1600">
        <v>0</v>
      </c>
      <c r="W1600" t="str">
        <f>IF(V1600&lt;&gt;0,VLOOKUP(VLOOKUP(V1600,Tbl_Effect[],3,FALSE),EffectName[],IFERROR(MATCH(UI!$B$1,EffectName[#Headers],0),2),FALSE),"")</f>
        <v/>
      </c>
      <c r="X1600" t="str">
        <f t="shared" si="164"/>
        <v/>
      </c>
      <c r="Y1600">
        <v>0</v>
      </c>
      <c r="Z1600" t="str">
        <f>IF(Y1600&lt;&gt;0,VLOOKUP(VLOOKUP(Y1600,Tbl_Effect[],3,FALSE),EffectName[],IFERROR(MATCH(UI!$B$1,EffectName[#Headers],0),2),FALSE),"")</f>
        <v/>
      </c>
      <c r="AA1600" t="str">
        <f t="shared" si="165"/>
        <v/>
      </c>
      <c r="AB1600">
        <v>0</v>
      </c>
      <c r="AC1600" t="str">
        <f>IF(AB1600&lt;&gt;0,VLOOKUP(VLOOKUP(AB1600,Tbl_Effect[],3,FALSE),EffectName[],IFERROR(MATCH(UI!$B$1,EffectName[#Headers],0),2),FALSE),"")</f>
        <v/>
      </c>
    </row>
    <row r="1601" spans="8:29" x14ac:dyDescent="0.4">
      <c r="H1601" t="str">
        <f t="shared" si="162"/>
        <v/>
      </c>
      <c r="I1601">
        <v>0</v>
      </c>
      <c r="J1601" t="str">
        <f>_xlfn.IFNA(IF(I1601&lt;&gt;0,VLOOKUP(VLOOKUP(I1601,Tbl_Equip[],2,FALSE),Tbl_Color[],IFERROR(MATCH(UI!$B$1,Tbl_Color[#Headers],0),2),FALSE),""),"Unset")</f>
        <v/>
      </c>
      <c r="K1601" t="str">
        <f>_xlfn.IFNA(IF(I1601&lt;&gt;0,VLOOKUP(I1601,ItemText[],IFERROR(MATCH(UI!$B$1,ItemText[#Headers],0),2),FALSE),""),"Unset")</f>
        <v/>
      </c>
      <c r="M1601">
        <v>0</v>
      </c>
      <c r="P1601">
        <v>0</v>
      </c>
      <c r="S1601">
        <v>0</v>
      </c>
      <c r="T1601" t="str">
        <f>IF(VALUE(S1601)=0,"",VLOOKUP(VLOOKUP(S1601,Tbl_Effect[],3,FALSE),EffectName[],IFERROR(MATCH(UI!$B$1,EffectName[#Headers],0),2),FALSE))</f>
        <v/>
      </c>
      <c r="U1601" t="str">
        <f t="shared" si="163"/>
        <v/>
      </c>
      <c r="V1601">
        <v>0</v>
      </c>
      <c r="W1601" t="str">
        <f>IF(V1601&lt;&gt;0,VLOOKUP(VLOOKUP(V1601,Tbl_Effect[],3,FALSE),EffectName[],IFERROR(MATCH(UI!$B$1,EffectName[#Headers],0),2),FALSE),"")</f>
        <v/>
      </c>
      <c r="X1601" t="str">
        <f t="shared" si="164"/>
        <v/>
      </c>
      <c r="Y1601">
        <v>0</v>
      </c>
      <c r="Z1601" t="str">
        <f>IF(Y1601&lt;&gt;0,VLOOKUP(VLOOKUP(Y1601,Tbl_Effect[],3,FALSE),EffectName[],IFERROR(MATCH(UI!$B$1,EffectName[#Headers],0),2),FALSE),"")</f>
        <v/>
      </c>
      <c r="AA1601" t="str">
        <f t="shared" si="165"/>
        <v/>
      </c>
      <c r="AB1601">
        <v>0</v>
      </c>
      <c r="AC1601" t="str">
        <f>IF(AB1601&lt;&gt;0,VLOOKUP(VLOOKUP(AB1601,Tbl_Effect[],3,FALSE),EffectName[],IFERROR(MATCH(UI!$B$1,EffectName[#Headers],0),2),FALSE),"")</f>
        <v/>
      </c>
    </row>
    <row r="1602" spans="8:29" x14ac:dyDescent="0.4">
      <c r="H1602" t="str">
        <f t="shared" si="162"/>
        <v/>
      </c>
      <c r="I1602">
        <v>0</v>
      </c>
      <c r="J1602" t="str">
        <f>_xlfn.IFNA(IF(I1602&lt;&gt;0,VLOOKUP(VLOOKUP(I1602,Tbl_Equip[],2,FALSE),Tbl_Color[],IFERROR(MATCH(UI!$B$1,Tbl_Color[#Headers],0),2),FALSE),""),"Unset")</f>
        <v/>
      </c>
      <c r="K1602" t="str">
        <f>_xlfn.IFNA(IF(I1602&lt;&gt;0,VLOOKUP(I1602,ItemText[],IFERROR(MATCH(UI!$B$1,ItemText[#Headers],0),2),FALSE),""),"Unset")</f>
        <v/>
      </c>
      <c r="M1602">
        <v>0</v>
      </c>
      <c r="P1602">
        <v>0</v>
      </c>
      <c r="S1602">
        <v>0</v>
      </c>
      <c r="T1602" t="str">
        <f>IF(VALUE(S1602)=0,"",VLOOKUP(VLOOKUP(S1602,Tbl_Effect[],3,FALSE),EffectName[],IFERROR(MATCH(UI!$B$1,EffectName[#Headers],0),2),FALSE))</f>
        <v/>
      </c>
      <c r="U1602" t="str">
        <f t="shared" si="163"/>
        <v/>
      </c>
      <c r="V1602">
        <v>0</v>
      </c>
      <c r="W1602" t="str">
        <f>IF(V1602&lt;&gt;0,VLOOKUP(VLOOKUP(V1602,Tbl_Effect[],3,FALSE),EffectName[],IFERROR(MATCH(UI!$B$1,EffectName[#Headers],0),2),FALSE),"")</f>
        <v/>
      </c>
      <c r="X1602" t="str">
        <f t="shared" si="164"/>
        <v/>
      </c>
      <c r="Y1602">
        <v>0</v>
      </c>
      <c r="Z1602" t="str">
        <f>IF(Y1602&lt;&gt;0,VLOOKUP(VLOOKUP(Y1602,Tbl_Effect[],3,FALSE),EffectName[],IFERROR(MATCH(UI!$B$1,EffectName[#Headers],0),2),FALSE),"")</f>
        <v/>
      </c>
      <c r="AA1602" t="str">
        <f t="shared" si="165"/>
        <v/>
      </c>
      <c r="AB1602">
        <v>0</v>
      </c>
      <c r="AC1602" t="str">
        <f>IF(AB1602&lt;&gt;0,VLOOKUP(VLOOKUP(AB1602,Tbl_Effect[],3,FALSE),EffectName[],IFERROR(MATCH(UI!$B$1,EffectName[#Headers],0),2),FALSE),"")</f>
        <v/>
      </c>
    </row>
    <row r="1603" spans="8:29" x14ac:dyDescent="0.4">
      <c r="H1603" t="str">
        <f t="shared" ref="H1603:H1666" si="166">IF(VALUE(I1603)&lt;&gt;0,I1603&amp;"-"&amp;K1603&amp;" ("&amp;J1603&amp;")","")</f>
        <v/>
      </c>
      <c r="I1603">
        <v>0</v>
      </c>
      <c r="J1603" t="str">
        <f>_xlfn.IFNA(IF(I1603&lt;&gt;0,VLOOKUP(VLOOKUP(I1603,Tbl_Equip[],2,FALSE),Tbl_Color[],IFERROR(MATCH(UI!$B$1,Tbl_Color[#Headers],0),2),FALSE),""),"Unset")</f>
        <v/>
      </c>
      <c r="K1603" t="str">
        <f>_xlfn.IFNA(IF(I1603&lt;&gt;0,VLOOKUP(I1603,ItemText[],IFERROR(MATCH(UI!$B$1,ItemText[#Headers],0),2),FALSE),""),"Unset")</f>
        <v/>
      </c>
      <c r="M1603">
        <v>0</v>
      </c>
      <c r="P1603">
        <v>0</v>
      </c>
      <c r="S1603">
        <v>0</v>
      </c>
      <c r="T1603" t="str">
        <f>IF(VALUE(S1603)=0,"",VLOOKUP(VLOOKUP(S1603,Tbl_Effect[],3,FALSE),EffectName[],IFERROR(MATCH(UI!$B$1,EffectName[#Headers],0),2),FALSE))</f>
        <v/>
      </c>
      <c r="U1603" t="str">
        <f t="shared" ref="U1603:U1666" si="167">IF(VALUE(V1603)=0,"",V1603&amp;"-"&amp;W1603)</f>
        <v/>
      </c>
      <c r="V1603">
        <v>0</v>
      </c>
      <c r="W1603" t="str">
        <f>IF(V1603&lt;&gt;0,VLOOKUP(VLOOKUP(V1603,Tbl_Effect[],3,FALSE),EffectName[],IFERROR(MATCH(UI!$B$1,EffectName[#Headers],0),2),FALSE),"")</f>
        <v/>
      </c>
      <c r="X1603" t="str">
        <f t="shared" ref="X1603:X1666" si="168">IF(VALUE(Y1603)=0,"",Y1603&amp;"-"&amp;Z1603)</f>
        <v/>
      </c>
      <c r="Y1603">
        <v>0</v>
      </c>
      <c r="Z1603" t="str">
        <f>IF(Y1603&lt;&gt;0,VLOOKUP(VLOOKUP(Y1603,Tbl_Effect[],3,FALSE),EffectName[],IFERROR(MATCH(UI!$B$1,EffectName[#Headers],0),2),FALSE),"")</f>
        <v/>
      </c>
      <c r="AA1603" t="str">
        <f t="shared" ref="AA1603:AA1666" si="169">IF(VALUE(AB1603)=0,"",AB1603&amp;"-"&amp;AC1603)</f>
        <v/>
      </c>
      <c r="AB1603">
        <v>0</v>
      </c>
      <c r="AC1603" t="str">
        <f>IF(AB1603&lt;&gt;0,VLOOKUP(VLOOKUP(AB1603,Tbl_Effect[],3,FALSE),EffectName[],IFERROR(MATCH(UI!$B$1,EffectName[#Headers],0),2),FALSE),"")</f>
        <v/>
      </c>
    </row>
    <row r="1604" spans="8:29" x14ac:dyDescent="0.4">
      <c r="H1604" t="str">
        <f t="shared" si="166"/>
        <v/>
      </c>
      <c r="I1604">
        <v>0</v>
      </c>
      <c r="J1604" t="str">
        <f>_xlfn.IFNA(IF(I1604&lt;&gt;0,VLOOKUP(VLOOKUP(I1604,Tbl_Equip[],2,FALSE),Tbl_Color[],IFERROR(MATCH(UI!$B$1,Tbl_Color[#Headers],0),2),FALSE),""),"Unset")</f>
        <v/>
      </c>
      <c r="K1604" t="str">
        <f>_xlfn.IFNA(IF(I1604&lt;&gt;0,VLOOKUP(I1604,ItemText[],IFERROR(MATCH(UI!$B$1,ItemText[#Headers],0),2),FALSE),""),"Unset")</f>
        <v/>
      </c>
      <c r="M1604">
        <v>0</v>
      </c>
      <c r="P1604">
        <v>0</v>
      </c>
      <c r="S1604">
        <v>0</v>
      </c>
      <c r="T1604" t="str">
        <f>IF(VALUE(S1604)=0,"",VLOOKUP(VLOOKUP(S1604,Tbl_Effect[],3,FALSE),EffectName[],IFERROR(MATCH(UI!$B$1,EffectName[#Headers],0),2),FALSE))</f>
        <v/>
      </c>
      <c r="U1604" t="str">
        <f t="shared" si="167"/>
        <v/>
      </c>
      <c r="V1604">
        <v>0</v>
      </c>
      <c r="W1604" t="str">
        <f>IF(V1604&lt;&gt;0,VLOOKUP(VLOOKUP(V1604,Tbl_Effect[],3,FALSE),EffectName[],IFERROR(MATCH(UI!$B$1,EffectName[#Headers],0),2),FALSE),"")</f>
        <v/>
      </c>
      <c r="X1604" t="str">
        <f t="shared" si="168"/>
        <v/>
      </c>
      <c r="Y1604">
        <v>0</v>
      </c>
      <c r="Z1604" t="str">
        <f>IF(Y1604&lt;&gt;0,VLOOKUP(VLOOKUP(Y1604,Tbl_Effect[],3,FALSE),EffectName[],IFERROR(MATCH(UI!$B$1,EffectName[#Headers],0),2),FALSE),"")</f>
        <v/>
      </c>
      <c r="AA1604" t="str">
        <f t="shared" si="169"/>
        <v/>
      </c>
      <c r="AB1604">
        <v>0</v>
      </c>
      <c r="AC1604" t="str">
        <f>IF(AB1604&lt;&gt;0,VLOOKUP(VLOOKUP(AB1604,Tbl_Effect[],3,FALSE),EffectName[],IFERROR(MATCH(UI!$B$1,EffectName[#Headers],0),2),FALSE),"")</f>
        <v/>
      </c>
    </row>
    <row r="1605" spans="8:29" x14ac:dyDescent="0.4">
      <c r="H1605" t="str">
        <f t="shared" si="166"/>
        <v/>
      </c>
      <c r="I1605">
        <v>0</v>
      </c>
      <c r="J1605" t="str">
        <f>_xlfn.IFNA(IF(I1605&lt;&gt;0,VLOOKUP(VLOOKUP(I1605,Tbl_Equip[],2,FALSE),Tbl_Color[],IFERROR(MATCH(UI!$B$1,Tbl_Color[#Headers],0),2),FALSE),""),"Unset")</f>
        <v/>
      </c>
      <c r="K1605" t="str">
        <f>_xlfn.IFNA(IF(I1605&lt;&gt;0,VLOOKUP(I1605,ItemText[],IFERROR(MATCH(UI!$B$1,ItemText[#Headers],0),2),FALSE),""),"Unset")</f>
        <v/>
      </c>
      <c r="M1605">
        <v>0</v>
      </c>
      <c r="P1605">
        <v>0</v>
      </c>
      <c r="S1605">
        <v>0</v>
      </c>
      <c r="T1605" t="str">
        <f>IF(VALUE(S1605)=0,"",VLOOKUP(VLOOKUP(S1605,Tbl_Effect[],3,FALSE),EffectName[],IFERROR(MATCH(UI!$B$1,EffectName[#Headers],0),2),FALSE))</f>
        <v/>
      </c>
      <c r="U1605" t="str">
        <f t="shared" si="167"/>
        <v/>
      </c>
      <c r="V1605">
        <v>0</v>
      </c>
      <c r="W1605" t="str">
        <f>IF(V1605&lt;&gt;0,VLOOKUP(VLOOKUP(V1605,Tbl_Effect[],3,FALSE),EffectName[],IFERROR(MATCH(UI!$B$1,EffectName[#Headers],0),2),FALSE),"")</f>
        <v/>
      </c>
      <c r="X1605" t="str">
        <f t="shared" si="168"/>
        <v/>
      </c>
      <c r="Y1605">
        <v>0</v>
      </c>
      <c r="Z1605" t="str">
        <f>IF(Y1605&lt;&gt;0,VLOOKUP(VLOOKUP(Y1605,Tbl_Effect[],3,FALSE),EffectName[],IFERROR(MATCH(UI!$B$1,EffectName[#Headers],0),2),FALSE),"")</f>
        <v/>
      </c>
      <c r="AA1605" t="str">
        <f t="shared" si="169"/>
        <v/>
      </c>
      <c r="AB1605">
        <v>0</v>
      </c>
      <c r="AC1605" t="str">
        <f>IF(AB1605&lt;&gt;0,VLOOKUP(VLOOKUP(AB1605,Tbl_Effect[],3,FALSE),EffectName[],IFERROR(MATCH(UI!$B$1,EffectName[#Headers],0),2),FALSE),"")</f>
        <v/>
      </c>
    </row>
    <row r="1606" spans="8:29" x14ac:dyDescent="0.4">
      <c r="H1606" t="str">
        <f t="shared" si="166"/>
        <v/>
      </c>
      <c r="I1606">
        <v>0</v>
      </c>
      <c r="J1606" t="str">
        <f>_xlfn.IFNA(IF(I1606&lt;&gt;0,VLOOKUP(VLOOKUP(I1606,Tbl_Equip[],2,FALSE),Tbl_Color[],IFERROR(MATCH(UI!$B$1,Tbl_Color[#Headers],0),2),FALSE),""),"Unset")</f>
        <v/>
      </c>
      <c r="K1606" t="str">
        <f>_xlfn.IFNA(IF(I1606&lt;&gt;0,VLOOKUP(I1606,ItemText[],IFERROR(MATCH(UI!$B$1,ItemText[#Headers],0),2),FALSE),""),"Unset")</f>
        <v/>
      </c>
      <c r="M1606">
        <v>0</v>
      </c>
      <c r="P1606">
        <v>0</v>
      </c>
      <c r="S1606">
        <v>0</v>
      </c>
      <c r="T1606" t="str">
        <f>IF(VALUE(S1606)=0,"",VLOOKUP(VLOOKUP(S1606,Tbl_Effect[],3,FALSE),EffectName[],IFERROR(MATCH(UI!$B$1,EffectName[#Headers],0),2),FALSE))</f>
        <v/>
      </c>
      <c r="U1606" t="str">
        <f t="shared" si="167"/>
        <v/>
      </c>
      <c r="V1606">
        <v>0</v>
      </c>
      <c r="W1606" t="str">
        <f>IF(V1606&lt;&gt;0,VLOOKUP(VLOOKUP(V1606,Tbl_Effect[],3,FALSE),EffectName[],IFERROR(MATCH(UI!$B$1,EffectName[#Headers],0),2),FALSE),"")</f>
        <v/>
      </c>
      <c r="X1606" t="str">
        <f t="shared" si="168"/>
        <v/>
      </c>
      <c r="Y1606">
        <v>0</v>
      </c>
      <c r="Z1606" t="str">
        <f>IF(Y1606&lt;&gt;0,VLOOKUP(VLOOKUP(Y1606,Tbl_Effect[],3,FALSE),EffectName[],IFERROR(MATCH(UI!$B$1,EffectName[#Headers],0),2),FALSE),"")</f>
        <v/>
      </c>
      <c r="AA1606" t="str">
        <f t="shared" si="169"/>
        <v/>
      </c>
      <c r="AB1606">
        <v>0</v>
      </c>
      <c r="AC1606" t="str">
        <f>IF(AB1606&lt;&gt;0,VLOOKUP(VLOOKUP(AB1606,Tbl_Effect[],3,FALSE),EffectName[],IFERROR(MATCH(UI!$B$1,EffectName[#Headers],0),2),FALSE),"")</f>
        <v/>
      </c>
    </row>
    <row r="1607" spans="8:29" x14ac:dyDescent="0.4">
      <c r="H1607" t="str">
        <f t="shared" si="166"/>
        <v/>
      </c>
      <c r="I1607">
        <v>0</v>
      </c>
      <c r="J1607" t="str">
        <f>_xlfn.IFNA(IF(I1607&lt;&gt;0,VLOOKUP(VLOOKUP(I1607,Tbl_Equip[],2,FALSE),Tbl_Color[],IFERROR(MATCH(UI!$B$1,Tbl_Color[#Headers],0),2),FALSE),""),"Unset")</f>
        <v/>
      </c>
      <c r="K1607" t="str">
        <f>_xlfn.IFNA(IF(I1607&lt;&gt;0,VLOOKUP(I1607,ItemText[],IFERROR(MATCH(UI!$B$1,ItemText[#Headers],0),2),FALSE),""),"Unset")</f>
        <v/>
      </c>
      <c r="M1607">
        <v>0</v>
      </c>
      <c r="P1607">
        <v>0</v>
      </c>
      <c r="S1607">
        <v>0</v>
      </c>
      <c r="T1607" t="str">
        <f>IF(VALUE(S1607)=0,"",VLOOKUP(VLOOKUP(S1607,Tbl_Effect[],3,FALSE),EffectName[],IFERROR(MATCH(UI!$B$1,EffectName[#Headers],0),2),FALSE))</f>
        <v/>
      </c>
      <c r="U1607" t="str">
        <f t="shared" si="167"/>
        <v/>
      </c>
      <c r="V1607">
        <v>0</v>
      </c>
      <c r="W1607" t="str">
        <f>IF(V1607&lt;&gt;0,VLOOKUP(VLOOKUP(V1607,Tbl_Effect[],3,FALSE),EffectName[],IFERROR(MATCH(UI!$B$1,EffectName[#Headers],0),2),FALSE),"")</f>
        <v/>
      </c>
      <c r="X1607" t="str">
        <f t="shared" si="168"/>
        <v/>
      </c>
      <c r="Y1607">
        <v>0</v>
      </c>
      <c r="Z1607" t="str">
        <f>IF(Y1607&lt;&gt;0,VLOOKUP(VLOOKUP(Y1607,Tbl_Effect[],3,FALSE),EffectName[],IFERROR(MATCH(UI!$B$1,EffectName[#Headers],0),2),FALSE),"")</f>
        <v/>
      </c>
      <c r="AA1607" t="str">
        <f t="shared" si="169"/>
        <v/>
      </c>
      <c r="AB1607">
        <v>0</v>
      </c>
      <c r="AC1607" t="str">
        <f>IF(AB1607&lt;&gt;0,VLOOKUP(VLOOKUP(AB1607,Tbl_Effect[],3,FALSE),EffectName[],IFERROR(MATCH(UI!$B$1,EffectName[#Headers],0),2),FALSE),"")</f>
        <v/>
      </c>
    </row>
    <row r="1608" spans="8:29" x14ac:dyDescent="0.4">
      <c r="H1608" t="str">
        <f t="shared" si="166"/>
        <v/>
      </c>
      <c r="I1608">
        <v>0</v>
      </c>
      <c r="J1608" t="str">
        <f>_xlfn.IFNA(IF(I1608&lt;&gt;0,VLOOKUP(VLOOKUP(I1608,Tbl_Equip[],2,FALSE),Tbl_Color[],IFERROR(MATCH(UI!$B$1,Tbl_Color[#Headers],0),2),FALSE),""),"Unset")</f>
        <v/>
      </c>
      <c r="K1608" t="str">
        <f>_xlfn.IFNA(IF(I1608&lt;&gt;0,VLOOKUP(I1608,ItemText[],IFERROR(MATCH(UI!$B$1,ItemText[#Headers],0),2),FALSE),""),"Unset")</f>
        <v/>
      </c>
      <c r="M1608">
        <v>0</v>
      </c>
      <c r="P1608">
        <v>0</v>
      </c>
      <c r="S1608">
        <v>0</v>
      </c>
      <c r="T1608" t="str">
        <f>IF(VALUE(S1608)=0,"",VLOOKUP(VLOOKUP(S1608,Tbl_Effect[],3,FALSE),EffectName[],IFERROR(MATCH(UI!$B$1,EffectName[#Headers],0),2),FALSE))</f>
        <v/>
      </c>
      <c r="U1608" t="str">
        <f t="shared" si="167"/>
        <v/>
      </c>
      <c r="V1608">
        <v>0</v>
      </c>
      <c r="W1608" t="str">
        <f>IF(V1608&lt;&gt;0,VLOOKUP(VLOOKUP(V1608,Tbl_Effect[],3,FALSE),EffectName[],IFERROR(MATCH(UI!$B$1,EffectName[#Headers],0),2),FALSE),"")</f>
        <v/>
      </c>
      <c r="X1608" t="str">
        <f t="shared" si="168"/>
        <v/>
      </c>
      <c r="Y1608">
        <v>0</v>
      </c>
      <c r="Z1608" t="str">
        <f>IF(Y1608&lt;&gt;0,VLOOKUP(VLOOKUP(Y1608,Tbl_Effect[],3,FALSE),EffectName[],IFERROR(MATCH(UI!$B$1,EffectName[#Headers],0),2),FALSE),"")</f>
        <v/>
      </c>
      <c r="AA1608" t="str">
        <f t="shared" si="169"/>
        <v/>
      </c>
      <c r="AB1608">
        <v>0</v>
      </c>
      <c r="AC1608" t="str">
        <f>IF(AB1608&lt;&gt;0,VLOOKUP(VLOOKUP(AB1608,Tbl_Effect[],3,FALSE),EffectName[],IFERROR(MATCH(UI!$B$1,EffectName[#Headers],0),2),FALSE),"")</f>
        <v/>
      </c>
    </row>
    <row r="1609" spans="8:29" x14ac:dyDescent="0.4">
      <c r="H1609" t="str">
        <f t="shared" si="166"/>
        <v/>
      </c>
      <c r="I1609">
        <v>0</v>
      </c>
      <c r="J1609" t="str">
        <f>_xlfn.IFNA(IF(I1609&lt;&gt;0,VLOOKUP(VLOOKUP(I1609,Tbl_Equip[],2,FALSE),Tbl_Color[],IFERROR(MATCH(UI!$B$1,Tbl_Color[#Headers],0),2),FALSE),""),"Unset")</f>
        <v/>
      </c>
      <c r="K1609" t="str">
        <f>_xlfn.IFNA(IF(I1609&lt;&gt;0,VLOOKUP(I1609,ItemText[],IFERROR(MATCH(UI!$B$1,ItemText[#Headers],0),2),FALSE),""),"Unset")</f>
        <v/>
      </c>
      <c r="M1609">
        <v>0</v>
      </c>
      <c r="P1609">
        <v>0</v>
      </c>
      <c r="S1609">
        <v>0</v>
      </c>
      <c r="T1609" t="str">
        <f>IF(VALUE(S1609)=0,"",VLOOKUP(VLOOKUP(S1609,Tbl_Effect[],3,FALSE),EffectName[],IFERROR(MATCH(UI!$B$1,EffectName[#Headers],0),2),FALSE))</f>
        <v/>
      </c>
      <c r="U1609" t="str">
        <f t="shared" si="167"/>
        <v/>
      </c>
      <c r="V1609">
        <v>0</v>
      </c>
      <c r="W1609" t="str">
        <f>IF(V1609&lt;&gt;0,VLOOKUP(VLOOKUP(V1609,Tbl_Effect[],3,FALSE),EffectName[],IFERROR(MATCH(UI!$B$1,EffectName[#Headers],0),2),FALSE),"")</f>
        <v/>
      </c>
      <c r="X1609" t="str">
        <f t="shared" si="168"/>
        <v/>
      </c>
      <c r="Y1609">
        <v>0</v>
      </c>
      <c r="Z1609" t="str">
        <f>IF(Y1609&lt;&gt;0,VLOOKUP(VLOOKUP(Y1609,Tbl_Effect[],3,FALSE),EffectName[],IFERROR(MATCH(UI!$B$1,EffectName[#Headers],0),2),FALSE),"")</f>
        <v/>
      </c>
      <c r="AA1609" t="str">
        <f t="shared" si="169"/>
        <v/>
      </c>
      <c r="AB1609">
        <v>0</v>
      </c>
      <c r="AC1609" t="str">
        <f>IF(AB1609&lt;&gt;0,VLOOKUP(VLOOKUP(AB1609,Tbl_Effect[],3,FALSE),EffectName[],IFERROR(MATCH(UI!$B$1,EffectName[#Headers],0),2),FALSE),"")</f>
        <v/>
      </c>
    </row>
    <row r="1610" spans="8:29" x14ac:dyDescent="0.4">
      <c r="H1610" t="str">
        <f t="shared" si="166"/>
        <v/>
      </c>
      <c r="I1610">
        <v>0</v>
      </c>
      <c r="J1610" t="str">
        <f>_xlfn.IFNA(IF(I1610&lt;&gt;0,VLOOKUP(VLOOKUP(I1610,Tbl_Equip[],2,FALSE),Tbl_Color[],IFERROR(MATCH(UI!$B$1,Tbl_Color[#Headers],0),2),FALSE),""),"Unset")</f>
        <v/>
      </c>
      <c r="K1610" t="str">
        <f>_xlfn.IFNA(IF(I1610&lt;&gt;0,VLOOKUP(I1610,ItemText[],IFERROR(MATCH(UI!$B$1,ItemText[#Headers],0),2),FALSE),""),"Unset")</f>
        <v/>
      </c>
      <c r="M1610">
        <v>0</v>
      </c>
      <c r="P1610">
        <v>0</v>
      </c>
      <c r="S1610">
        <v>0</v>
      </c>
      <c r="T1610" t="str">
        <f>IF(VALUE(S1610)=0,"",VLOOKUP(VLOOKUP(S1610,Tbl_Effect[],3,FALSE),EffectName[],IFERROR(MATCH(UI!$B$1,EffectName[#Headers],0),2),FALSE))</f>
        <v/>
      </c>
      <c r="U1610" t="str">
        <f t="shared" si="167"/>
        <v/>
      </c>
      <c r="V1610">
        <v>0</v>
      </c>
      <c r="W1610" t="str">
        <f>IF(V1610&lt;&gt;0,VLOOKUP(VLOOKUP(V1610,Tbl_Effect[],3,FALSE),EffectName[],IFERROR(MATCH(UI!$B$1,EffectName[#Headers],0),2),FALSE),"")</f>
        <v/>
      </c>
      <c r="X1610" t="str">
        <f t="shared" si="168"/>
        <v/>
      </c>
      <c r="Y1610">
        <v>0</v>
      </c>
      <c r="Z1610" t="str">
        <f>IF(Y1610&lt;&gt;0,VLOOKUP(VLOOKUP(Y1610,Tbl_Effect[],3,FALSE),EffectName[],IFERROR(MATCH(UI!$B$1,EffectName[#Headers],0),2),FALSE),"")</f>
        <v/>
      </c>
      <c r="AA1610" t="str">
        <f t="shared" si="169"/>
        <v/>
      </c>
      <c r="AB1610">
        <v>0</v>
      </c>
      <c r="AC1610" t="str">
        <f>IF(AB1610&lt;&gt;0,VLOOKUP(VLOOKUP(AB1610,Tbl_Effect[],3,FALSE),EffectName[],IFERROR(MATCH(UI!$B$1,EffectName[#Headers],0),2),FALSE),"")</f>
        <v/>
      </c>
    </row>
    <row r="1611" spans="8:29" x14ac:dyDescent="0.4">
      <c r="H1611" t="str">
        <f t="shared" si="166"/>
        <v/>
      </c>
      <c r="I1611">
        <v>0</v>
      </c>
      <c r="J1611" t="str">
        <f>_xlfn.IFNA(IF(I1611&lt;&gt;0,VLOOKUP(VLOOKUP(I1611,Tbl_Equip[],2,FALSE),Tbl_Color[],IFERROR(MATCH(UI!$B$1,Tbl_Color[#Headers],0),2),FALSE),""),"Unset")</f>
        <v/>
      </c>
      <c r="K1611" t="str">
        <f>_xlfn.IFNA(IF(I1611&lt;&gt;0,VLOOKUP(I1611,ItemText[],IFERROR(MATCH(UI!$B$1,ItemText[#Headers],0),2),FALSE),""),"Unset")</f>
        <v/>
      </c>
      <c r="M1611">
        <v>0</v>
      </c>
      <c r="P1611">
        <v>0</v>
      </c>
      <c r="S1611">
        <v>0</v>
      </c>
      <c r="T1611" t="str">
        <f>IF(VALUE(S1611)=0,"",VLOOKUP(VLOOKUP(S1611,Tbl_Effect[],3,FALSE),EffectName[],IFERROR(MATCH(UI!$B$1,EffectName[#Headers],0),2),FALSE))</f>
        <v/>
      </c>
      <c r="U1611" t="str">
        <f t="shared" si="167"/>
        <v/>
      </c>
      <c r="V1611">
        <v>0</v>
      </c>
      <c r="W1611" t="str">
        <f>IF(V1611&lt;&gt;0,VLOOKUP(VLOOKUP(V1611,Tbl_Effect[],3,FALSE),EffectName[],IFERROR(MATCH(UI!$B$1,EffectName[#Headers],0),2),FALSE),"")</f>
        <v/>
      </c>
      <c r="X1611" t="str">
        <f t="shared" si="168"/>
        <v/>
      </c>
      <c r="Y1611">
        <v>0</v>
      </c>
      <c r="Z1611" t="str">
        <f>IF(Y1611&lt;&gt;0,VLOOKUP(VLOOKUP(Y1611,Tbl_Effect[],3,FALSE),EffectName[],IFERROR(MATCH(UI!$B$1,EffectName[#Headers],0),2),FALSE),"")</f>
        <v/>
      </c>
      <c r="AA1611" t="str">
        <f t="shared" si="169"/>
        <v/>
      </c>
      <c r="AB1611">
        <v>0</v>
      </c>
      <c r="AC1611" t="str">
        <f>IF(AB1611&lt;&gt;0,VLOOKUP(VLOOKUP(AB1611,Tbl_Effect[],3,FALSE),EffectName[],IFERROR(MATCH(UI!$B$1,EffectName[#Headers],0),2),FALSE),"")</f>
        <v/>
      </c>
    </row>
    <row r="1612" spans="8:29" x14ac:dyDescent="0.4">
      <c r="H1612" t="str">
        <f t="shared" si="166"/>
        <v/>
      </c>
      <c r="I1612">
        <v>0</v>
      </c>
      <c r="J1612" t="str">
        <f>_xlfn.IFNA(IF(I1612&lt;&gt;0,VLOOKUP(VLOOKUP(I1612,Tbl_Equip[],2,FALSE),Tbl_Color[],IFERROR(MATCH(UI!$B$1,Tbl_Color[#Headers],0),2),FALSE),""),"Unset")</f>
        <v/>
      </c>
      <c r="K1612" t="str">
        <f>_xlfn.IFNA(IF(I1612&lt;&gt;0,VLOOKUP(I1612,ItemText[],IFERROR(MATCH(UI!$B$1,ItemText[#Headers],0),2),FALSE),""),"Unset")</f>
        <v/>
      </c>
      <c r="M1612">
        <v>0</v>
      </c>
      <c r="P1612">
        <v>0</v>
      </c>
      <c r="S1612">
        <v>0</v>
      </c>
      <c r="T1612" t="str">
        <f>IF(VALUE(S1612)=0,"",VLOOKUP(VLOOKUP(S1612,Tbl_Effect[],3,FALSE),EffectName[],IFERROR(MATCH(UI!$B$1,EffectName[#Headers],0),2),FALSE))</f>
        <v/>
      </c>
      <c r="U1612" t="str">
        <f t="shared" si="167"/>
        <v/>
      </c>
      <c r="V1612">
        <v>0</v>
      </c>
      <c r="W1612" t="str">
        <f>IF(V1612&lt;&gt;0,VLOOKUP(VLOOKUP(V1612,Tbl_Effect[],3,FALSE),EffectName[],IFERROR(MATCH(UI!$B$1,EffectName[#Headers],0),2),FALSE),"")</f>
        <v/>
      </c>
      <c r="X1612" t="str">
        <f t="shared" si="168"/>
        <v/>
      </c>
      <c r="Y1612">
        <v>0</v>
      </c>
      <c r="Z1612" t="str">
        <f>IF(Y1612&lt;&gt;0,VLOOKUP(VLOOKUP(Y1612,Tbl_Effect[],3,FALSE),EffectName[],IFERROR(MATCH(UI!$B$1,EffectName[#Headers],0),2),FALSE),"")</f>
        <v/>
      </c>
      <c r="AA1612" t="str">
        <f t="shared" si="169"/>
        <v/>
      </c>
      <c r="AB1612">
        <v>0</v>
      </c>
      <c r="AC1612" t="str">
        <f>IF(AB1612&lt;&gt;0,VLOOKUP(VLOOKUP(AB1612,Tbl_Effect[],3,FALSE),EffectName[],IFERROR(MATCH(UI!$B$1,EffectName[#Headers],0),2),FALSE),"")</f>
        <v/>
      </c>
    </row>
    <row r="1613" spans="8:29" x14ac:dyDescent="0.4">
      <c r="H1613" t="str">
        <f t="shared" si="166"/>
        <v/>
      </c>
      <c r="I1613">
        <v>0</v>
      </c>
      <c r="J1613" t="str">
        <f>_xlfn.IFNA(IF(I1613&lt;&gt;0,VLOOKUP(VLOOKUP(I1613,Tbl_Equip[],2,FALSE),Tbl_Color[],IFERROR(MATCH(UI!$B$1,Tbl_Color[#Headers],0),2),FALSE),""),"Unset")</f>
        <v/>
      </c>
      <c r="K1613" t="str">
        <f>_xlfn.IFNA(IF(I1613&lt;&gt;0,VLOOKUP(I1613,ItemText[],IFERROR(MATCH(UI!$B$1,ItemText[#Headers],0),2),FALSE),""),"Unset")</f>
        <v/>
      </c>
      <c r="M1613">
        <v>0</v>
      </c>
      <c r="P1613">
        <v>0</v>
      </c>
      <c r="S1613">
        <v>0</v>
      </c>
      <c r="T1613" t="str">
        <f>IF(VALUE(S1613)=0,"",VLOOKUP(VLOOKUP(S1613,Tbl_Effect[],3,FALSE),EffectName[],IFERROR(MATCH(UI!$B$1,EffectName[#Headers],0),2),FALSE))</f>
        <v/>
      </c>
      <c r="U1613" t="str">
        <f t="shared" si="167"/>
        <v/>
      </c>
      <c r="V1613">
        <v>0</v>
      </c>
      <c r="W1613" t="str">
        <f>IF(V1613&lt;&gt;0,VLOOKUP(VLOOKUP(V1613,Tbl_Effect[],3,FALSE),EffectName[],IFERROR(MATCH(UI!$B$1,EffectName[#Headers],0),2),FALSE),"")</f>
        <v/>
      </c>
      <c r="X1613" t="str">
        <f t="shared" si="168"/>
        <v/>
      </c>
      <c r="Y1613">
        <v>0</v>
      </c>
      <c r="Z1613" t="str">
        <f>IF(Y1613&lt;&gt;0,VLOOKUP(VLOOKUP(Y1613,Tbl_Effect[],3,FALSE),EffectName[],IFERROR(MATCH(UI!$B$1,EffectName[#Headers],0),2),FALSE),"")</f>
        <v/>
      </c>
      <c r="AA1613" t="str">
        <f t="shared" si="169"/>
        <v/>
      </c>
      <c r="AB1613">
        <v>0</v>
      </c>
      <c r="AC1613" t="str">
        <f>IF(AB1613&lt;&gt;0,VLOOKUP(VLOOKUP(AB1613,Tbl_Effect[],3,FALSE),EffectName[],IFERROR(MATCH(UI!$B$1,EffectName[#Headers],0),2),FALSE),"")</f>
        <v/>
      </c>
    </row>
    <row r="1614" spans="8:29" x14ac:dyDescent="0.4">
      <c r="H1614" t="str">
        <f t="shared" si="166"/>
        <v/>
      </c>
      <c r="I1614">
        <v>0</v>
      </c>
      <c r="J1614" t="str">
        <f>_xlfn.IFNA(IF(I1614&lt;&gt;0,VLOOKUP(VLOOKUP(I1614,Tbl_Equip[],2,FALSE),Tbl_Color[],IFERROR(MATCH(UI!$B$1,Tbl_Color[#Headers],0),2),FALSE),""),"Unset")</f>
        <v/>
      </c>
      <c r="K1614" t="str">
        <f>_xlfn.IFNA(IF(I1614&lt;&gt;0,VLOOKUP(I1614,ItemText[],IFERROR(MATCH(UI!$B$1,ItemText[#Headers],0),2),FALSE),""),"Unset")</f>
        <v/>
      </c>
      <c r="M1614">
        <v>0</v>
      </c>
      <c r="P1614">
        <v>0</v>
      </c>
      <c r="S1614">
        <v>0</v>
      </c>
      <c r="T1614" t="str">
        <f>IF(VALUE(S1614)=0,"",VLOOKUP(VLOOKUP(S1614,Tbl_Effect[],3,FALSE),EffectName[],IFERROR(MATCH(UI!$B$1,EffectName[#Headers],0),2),FALSE))</f>
        <v/>
      </c>
      <c r="U1614" t="str">
        <f t="shared" si="167"/>
        <v/>
      </c>
      <c r="V1614">
        <v>0</v>
      </c>
      <c r="W1614" t="str">
        <f>IF(V1614&lt;&gt;0,VLOOKUP(VLOOKUP(V1614,Tbl_Effect[],3,FALSE),EffectName[],IFERROR(MATCH(UI!$B$1,EffectName[#Headers],0),2),FALSE),"")</f>
        <v/>
      </c>
      <c r="X1614" t="str">
        <f t="shared" si="168"/>
        <v/>
      </c>
      <c r="Y1614">
        <v>0</v>
      </c>
      <c r="Z1614" t="str">
        <f>IF(Y1614&lt;&gt;0,VLOOKUP(VLOOKUP(Y1614,Tbl_Effect[],3,FALSE),EffectName[],IFERROR(MATCH(UI!$B$1,EffectName[#Headers],0),2),FALSE),"")</f>
        <v/>
      </c>
      <c r="AA1614" t="str">
        <f t="shared" si="169"/>
        <v/>
      </c>
      <c r="AB1614">
        <v>0</v>
      </c>
      <c r="AC1614" t="str">
        <f>IF(AB1614&lt;&gt;0,VLOOKUP(VLOOKUP(AB1614,Tbl_Effect[],3,FALSE),EffectName[],IFERROR(MATCH(UI!$B$1,EffectName[#Headers],0),2),FALSE),"")</f>
        <v/>
      </c>
    </row>
    <row r="1615" spans="8:29" x14ac:dyDescent="0.4">
      <c r="H1615" t="str">
        <f t="shared" si="166"/>
        <v/>
      </c>
      <c r="I1615">
        <v>0</v>
      </c>
      <c r="J1615" t="str">
        <f>_xlfn.IFNA(IF(I1615&lt;&gt;0,VLOOKUP(VLOOKUP(I1615,Tbl_Equip[],2,FALSE),Tbl_Color[],IFERROR(MATCH(UI!$B$1,Tbl_Color[#Headers],0),2),FALSE),""),"Unset")</f>
        <v/>
      </c>
      <c r="K1615" t="str">
        <f>_xlfn.IFNA(IF(I1615&lt;&gt;0,VLOOKUP(I1615,ItemText[],IFERROR(MATCH(UI!$B$1,ItemText[#Headers],0),2),FALSE),""),"Unset")</f>
        <v/>
      </c>
      <c r="M1615">
        <v>0</v>
      </c>
      <c r="P1615">
        <v>0</v>
      </c>
      <c r="S1615">
        <v>0</v>
      </c>
      <c r="T1615" t="str">
        <f>IF(VALUE(S1615)=0,"",VLOOKUP(VLOOKUP(S1615,Tbl_Effect[],3,FALSE),EffectName[],IFERROR(MATCH(UI!$B$1,EffectName[#Headers],0),2),FALSE))</f>
        <v/>
      </c>
      <c r="U1615" t="str">
        <f t="shared" si="167"/>
        <v/>
      </c>
      <c r="V1615">
        <v>0</v>
      </c>
      <c r="W1615" t="str">
        <f>IF(V1615&lt;&gt;0,VLOOKUP(VLOOKUP(V1615,Tbl_Effect[],3,FALSE),EffectName[],IFERROR(MATCH(UI!$B$1,EffectName[#Headers],0),2),FALSE),"")</f>
        <v/>
      </c>
      <c r="X1615" t="str">
        <f t="shared" si="168"/>
        <v/>
      </c>
      <c r="Y1615">
        <v>0</v>
      </c>
      <c r="Z1615" t="str">
        <f>IF(Y1615&lt;&gt;0,VLOOKUP(VLOOKUP(Y1615,Tbl_Effect[],3,FALSE),EffectName[],IFERROR(MATCH(UI!$B$1,EffectName[#Headers],0),2),FALSE),"")</f>
        <v/>
      </c>
      <c r="AA1615" t="str">
        <f t="shared" si="169"/>
        <v/>
      </c>
      <c r="AB1615">
        <v>0</v>
      </c>
      <c r="AC1615" t="str">
        <f>IF(AB1615&lt;&gt;0,VLOOKUP(VLOOKUP(AB1615,Tbl_Effect[],3,FALSE),EffectName[],IFERROR(MATCH(UI!$B$1,EffectName[#Headers],0),2),FALSE),"")</f>
        <v/>
      </c>
    </row>
    <row r="1616" spans="8:29" x14ac:dyDescent="0.4">
      <c r="H1616" t="str">
        <f t="shared" si="166"/>
        <v/>
      </c>
      <c r="I1616">
        <v>0</v>
      </c>
      <c r="J1616" t="str">
        <f>_xlfn.IFNA(IF(I1616&lt;&gt;0,VLOOKUP(VLOOKUP(I1616,Tbl_Equip[],2,FALSE),Tbl_Color[],IFERROR(MATCH(UI!$B$1,Tbl_Color[#Headers],0),2),FALSE),""),"Unset")</f>
        <v/>
      </c>
      <c r="K1616" t="str">
        <f>_xlfn.IFNA(IF(I1616&lt;&gt;0,VLOOKUP(I1616,ItemText[],IFERROR(MATCH(UI!$B$1,ItemText[#Headers],0),2),FALSE),""),"Unset")</f>
        <v/>
      </c>
      <c r="M1616">
        <v>0</v>
      </c>
      <c r="P1616">
        <v>0</v>
      </c>
      <c r="S1616">
        <v>0</v>
      </c>
      <c r="T1616" t="str">
        <f>IF(VALUE(S1616)=0,"",VLOOKUP(VLOOKUP(S1616,Tbl_Effect[],3,FALSE),EffectName[],IFERROR(MATCH(UI!$B$1,EffectName[#Headers],0),2),FALSE))</f>
        <v/>
      </c>
      <c r="U1616" t="str">
        <f t="shared" si="167"/>
        <v/>
      </c>
      <c r="V1616">
        <v>0</v>
      </c>
      <c r="W1616" t="str">
        <f>IF(V1616&lt;&gt;0,VLOOKUP(VLOOKUP(V1616,Tbl_Effect[],3,FALSE),EffectName[],IFERROR(MATCH(UI!$B$1,EffectName[#Headers],0),2),FALSE),"")</f>
        <v/>
      </c>
      <c r="X1616" t="str">
        <f t="shared" si="168"/>
        <v/>
      </c>
      <c r="Y1616">
        <v>0</v>
      </c>
      <c r="Z1616" t="str">
        <f>IF(Y1616&lt;&gt;0,VLOOKUP(VLOOKUP(Y1616,Tbl_Effect[],3,FALSE),EffectName[],IFERROR(MATCH(UI!$B$1,EffectName[#Headers],0),2),FALSE),"")</f>
        <v/>
      </c>
      <c r="AA1616" t="str">
        <f t="shared" si="169"/>
        <v/>
      </c>
      <c r="AB1616">
        <v>0</v>
      </c>
      <c r="AC1616" t="str">
        <f>IF(AB1616&lt;&gt;0,VLOOKUP(VLOOKUP(AB1616,Tbl_Effect[],3,FALSE),EffectName[],IFERROR(MATCH(UI!$B$1,EffectName[#Headers],0),2),FALSE),"")</f>
        <v/>
      </c>
    </row>
    <row r="1617" spans="8:29" x14ac:dyDescent="0.4">
      <c r="H1617" t="str">
        <f t="shared" si="166"/>
        <v/>
      </c>
      <c r="I1617">
        <v>0</v>
      </c>
      <c r="J1617" t="str">
        <f>_xlfn.IFNA(IF(I1617&lt;&gt;0,VLOOKUP(VLOOKUP(I1617,Tbl_Equip[],2,FALSE),Tbl_Color[],IFERROR(MATCH(UI!$B$1,Tbl_Color[#Headers],0),2),FALSE),""),"Unset")</f>
        <v/>
      </c>
      <c r="K1617" t="str">
        <f>_xlfn.IFNA(IF(I1617&lt;&gt;0,VLOOKUP(I1617,ItemText[],IFERROR(MATCH(UI!$B$1,ItemText[#Headers],0),2),FALSE),""),"Unset")</f>
        <v/>
      </c>
      <c r="M1617">
        <v>0</v>
      </c>
      <c r="P1617">
        <v>0</v>
      </c>
      <c r="S1617">
        <v>0</v>
      </c>
      <c r="T1617" t="str">
        <f>IF(VALUE(S1617)=0,"",VLOOKUP(VLOOKUP(S1617,Tbl_Effect[],3,FALSE),EffectName[],IFERROR(MATCH(UI!$B$1,EffectName[#Headers],0),2),FALSE))</f>
        <v/>
      </c>
      <c r="U1617" t="str">
        <f t="shared" si="167"/>
        <v/>
      </c>
      <c r="V1617">
        <v>0</v>
      </c>
      <c r="W1617" t="str">
        <f>IF(V1617&lt;&gt;0,VLOOKUP(VLOOKUP(V1617,Tbl_Effect[],3,FALSE),EffectName[],IFERROR(MATCH(UI!$B$1,EffectName[#Headers],0),2),FALSE),"")</f>
        <v/>
      </c>
      <c r="X1617" t="str">
        <f t="shared" si="168"/>
        <v/>
      </c>
      <c r="Y1617">
        <v>0</v>
      </c>
      <c r="Z1617" t="str">
        <f>IF(Y1617&lt;&gt;0,VLOOKUP(VLOOKUP(Y1617,Tbl_Effect[],3,FALSE),EffectName[],IFERROR(MATCH(UI!$B$1,EffectName[#Headers],0),2),FALSE),"")</f>
        <v/>
      </c>
      <c r="AA1617" t="str">
        <f t="shared" si="169"/>
        <v/>
      </c>
      <c r="AB1617">
        <v>0</v>
      </c>
      <c r="AC1617" t="str">
        <f>IF(AB1617&lt;&gt;0,VLOOKUP(VLOOKUP(AB1617,Tbl_Effect[],3,FALSE),EffectName[],IFERROR(MATCH(UI!$B$1,EffectName[#Headers],0),2),FALSE),"")</f>
        <v/>
      </c>
    </row>
    <row r="1618" spans="8:29" x14ac:dyDescent="0.4">
      <c r="H1618" t="str">
        <f t="shared" si="166"/>
        <v/>
      </c>
      <c r="I1618">
        <v>0</v>
      </c>
      <c r="J1618" t="str">
        <f>_xlfn.IFNA(IF(I1618&lt;&gt;0,VLOOKUP(VLOOKUP(I1618,Tbl_Equip[],2,FALSE),Tbl_Color[],IFERROR(MATCH(UI!$B$1,Tbl_Color[#Headers],0),2),FALSE),""),"Unset")</f>
        <v/>
      </c>
      <c r="K1618" t="str">
        <f>_xlfn.IFNA(IF(I1618&lt;&gt;0,VLOOKUP(I1618,ItemText[],IFERROR(MATCH(UI!$B$1,ItemText[#Headers],0),2),FALSE),""),"Unset")</f>
        <v/>
      </c>
      <c r="M1618">
        <v>0</v>
      </c>
      <c r="P1618">
        <v>0</v>
      </c>
      <c r="S1618">
        <v>0</v>
      </c>
      <c r="T1618" t="str">
        <f>IF(VALUE(S1618)=0,"",VLOOKUP(VLOOKUP(S1618,Tbl_Effect[],3,FALSE),EffectName[],IFERROR(MATCH(UI!$B$1,EffectName[#Headers],0),2),FALSE))</f>
        <v/>
      </c>
      <c r="U1618" t="str">
        <f t="shared" si="167"/>
        <v/>
      </c>
      <c r="V1618">
        <v>0</v>
      </c>
      <c r="W1618" t="str">
        <f>IF(V1618&lt;&gt;0,VLOOKUP(VLOOKUP(V1618,Tbl_Effect[],3,FALSE),EffectName[],IFERROR(MATCH(UI!$B$1,EffectName[#Headers],0),2),FALSE),"")</f>
        <v/>
      </c>
      <c r="X1618" t="str">
        <f t="shared" si="168"/>
        <v/>
      </c>
      <c r="Y1618">
        <v>0</v>
      </c>
      <c r="Z1618" t="str">
        <f>IF(Y1618&lt;&gt;0,VLOOKUP(VLOOKUP(Y1618,Tbl_Effect[],3,FALSE),EffectName[],IFERROR(MATCH(UI!$B$1,EffectName[#Headers],0),2),FALSE),"")</f>
        <v/>
      </c>
      <c r="AA1618" t="str">
        <f t="shared" si="169"/>
        <v/>
      </c>
      <c r="AB1618">
        <v>0</v>
      </c>
      <c r="AC1618" t="str">
        <f>IF(AB1618&lt;&gt;0,VLOOKUP(VLOOKUP(AB1618,Tbl_Effect[],3,FALSE),EffectName[],IFERROR(MATCH(UI!$B$1,EffectName[#Headers],0),2),FALSE),"")</f>
        <v/>
      </c>
    </row>
    <row r="1619" spans="8:29" x14ac:dyDescent="0.4">
      <c r="H1619" t="str">
        <f t="shared" si="166"/>
        <v/>
      </c>
      <c r="I1619">
        <v>0</v>
      </c>
      <c r="J1619" t="str">
        <f>_xlfn.IFNA(IF(I1619&lt;&gt;0,VLOOKUP(VLOOKUP(I1619,Tbl_Equip[],2,FALSE),Tbl_Color[],IFERROR(MATCH(UI!$B$1,Tbl_Color[#Headers],0),2),FALSE),""),"Unset")</f>
        <v/>
      </c>
      <c r="K1619" t="str">
        <f>_xlfn.IFNA(IF(I1619&lt;&gt;0,VLOOKUP(I1619,ItemText[],IFERROR(MATCH(UI!$B$1,ItemText[#Headers],0),2),FALSE),""),"Unset")</f>
        <v/>
      </c>
      <c r="M1619">
        <v>0</v>
      </c>
      <c r="P1619">
        <v>0</v>
      </c>
      <c r="S1619">
        <v>0</v>
      </c>
      <c r="T1619" t="str">
        <f>IF(VALUE(S1619)=0,"",VLOOKUP(VLOOKUP(S1619,Tbl_Effect[],3,FALSE),EffectName[],IFERROR(MATCH(UI!$B$1,EffectName[#Headers],0),2),FALSE))</f>
        <v/>
      </c>
      <c r="U1619" t="str">
        <f t="shared" si="167"/>
        <v/>
      </c>
      <c r="V1619">
        <v>0</v>
      </c>
      <c r="W1619" t="str">
        <f>IF(V1619&lt;&gt;0,VLOOKUP(VLOOKUP(V1619,Tbl_Effect[],3,FALSE),EffectName[],IFERROR(MATCH(UI!$B$1,EffectName[#Headers],0),2),FALSE),"")</f>
        <v/>
      </c>
      <c r="X1619" t="str">
        <f t="shared" si="168"/>
        <v/>
      </c>
      <c r="Y1619">
        <v>0</v>
      </c>
      <c r="Z1619" t="str">
        <f>IF(Y1619&lt;&gt;0,VLOOKUP(VLOOKUP(Y1619,Tbl_Effect[],3,FALSE),EffectName[],IFERROR(MATCH(UI!$B$1,EffectName[#Headers],0),2),FALSE),"")</f>
        <v/>
      </c>
      <c r="AA1619" t="str">
        <f t="shared" si="169"/>
        <v/>
      </c>
      <c r="AB1619">
        <v>0</v>
      </c>
      <c r="AC1619" t="str">
        <f>IF(AB1619&lt;&gt;0,VLOOKUP(VLOOKUP(AB1619,Tbl_Effect[],3,FALSE),EffectName[],IFERROR(MATCH(UI!$B$1,EffectName[#Headers],0),2),FALSE),"")</f>
        <v/>
      </c>
    </row>
    <row r="1620" spans="8:29" x14ac:dyDescent="0.4">
      <c r="H1620" t="str">
        <f t="shared" si="166"/>
        <v/>
      </c>
      <c r="I1620">
        <v>0</v>
      </c>
      <c r="J1620" t="str">
        <f>_xlfn.IFNA(IF(I1620&lt;&gt;0,VLOOKUP(VLOOKUP(I1620,Tbl_Equip[],2,FALSE),Tbl_Color[],IFERROR(MATCH(UI!$B$1,Tbl_Color[#Headers],0),2),FALSE),""),"Unset")</f>
        <v/>
      </c>
      <c r="K1620" t="str">
        <f>_xlfn.IFNA(IF(I1620&lt;&gt;0,VLOOKUP(I1620,ItemText[],IFERROR(MATCH(UI!$B$1,ItemText[#Headers],0),2),FALSE),""),"Unset")</f>
        <v/>
      </c>
      <c r="M1620">
        <v>0</v>
      </c>
      <c r="P1620">
        <v>0</v>
      </c>
      <c r="S1620">
        <v>0</v>
      </c>
      <c r="T1620" t="str">
        <f>IF(VALUE(S1620)=0,"",VLOOKUP(VLOOKUP(S1620,Tbl_Effect[],3,FALSE),EffectName[],IFERROR(MATCH(UI!$B$1,EffectName[#Headers],0),2),FALSE))</f>
        <v/>
      </c>
      <c r="U1620" t="str">
        <f t="shared" si="167"/>
        <v/>
      </c>
      <c r="V1620">
        <v>0</v>
      </c>
      <c r="W1620" t="str">
        <f>IF(V1620&lt;&gt;0,VLOOKUP(VLOOKUP(V1620,Tbl_Effect[],3,FALSE),EffectName[],IFERROR(MATCH(UI!$B$1,EffectName[#Headers],0),2),FALSE),"")</f>
        <v/>
      </c>
      <c r="X1620" t="str">
        <f t="shared" si="168"/>
        <v/>
      </c>
      <c r="Y1620">
        <v>0</v>
      </c>
      <c r="Z1620" t="str">
        <f>IF(Y1620&lt;&gt;0,VLOOKUP(VLOOKUP(Y1620,Tbl_Effect[],3,FALSE),EffectName[],IFERROR(MATCH(UI!$B$1,EffectName[#Headers],0),2),FALSE),"")</f>
        <v/>
      </c>
      <c r="AA1620" t="str">
        <f t="shared" si="169"/>
        <v/>
      </c>
      <c r="AB1620">
        <v>0</v>
      </c>
      <c r="AC1620" t="str">
        <f>IF(AB1620&lt;&gt;0,VLOOKUP(VLOOKUP(AB1620,Tbl_Effect[],3,FALSE),EffectName[],IFERROR(MATCH(UI!$B$1,EffectName[#Headers],0),2),FALSE),"")</f>
        <v/>
      </c>
    </row>
    <row r="1621" spans="8:29" x14ac:dyDescent="0.4">
      <c r="H1621" t="str">
        <f t="shared" si="166"/>
        <v/>
      </c>
      <c r="I1621">
        <v>0</v>
      </c>
      <c r="J1621" t="str">
        <f>_xlfn.IFNA(IF(I1621&lt;&gt;0,VLOOKUP(VLOOKUP(I1621,Tbl_Equip[],2,FALSE),Tbl_Color[],IFERROR(MATCH(UI!$B$1,Tbl_Color[#Headers],0),2),FALSE),""),"Unset")</f>
        <v/>
      </c>
      <c r="K1621" t="str">
        <f>_xlfn.IFNA(IF(I1621&lt;&gt;0,VLOOKUP(I1621,ItemText[],IFERROR(MATCH(UI!$B$1,ItemText[#Headers],0),2),FALSE),""),"Unset")</f>
        <v/>
      </c>
      <c r="M1621">
        <v>0</v>
      </c>
      <c r="P1621">
        <v>0</v>
      </c>
      <c r="S1621">
        <v>0</v>
      </c>
      <c r="T1621" t="str">
        <f>IF(VALUE(S1621)=0,"",VLOOKUP(VLOOKUP(S1621,Tbl_Effect[],3,FALSE),EffectName[],IFERROR(MATCH(UI!$B$1,EffectName[#Headers],0),2),FALSE))</f>
        <v/>
      </c>
      <c r="U1621" t="str">
        <f t="shared" si="167"/>
        <v/>
      </c>
      <c r="V1621">
        <v>0</v>
      </c>
      <c r="W1621" t="str">
        <f>IF(V1621&lt;&gt;0,VLOOKUP(VLOOKUP(V1621,Tbl_Effect[],3,FALSE),EffectName[],IFERROR(MATCH(UI!$B$1,EffectName[#Headers],0),2),FALSE),"")</f>
        <v/>
      </c>
      <c r="X1621" t="str">
        <f t="shared" si="168"/>
        <v/>
      </c>
      <c r="Y1621">
        <v>0</v>
      </c>
      <c r="Z1621" t="str">
        <f>IF(Y1621&lt;&gt;0,VLOOKUP(VLOOKUP(Y1621,Tbl_Effect[],3,FALSE),EffectName[],IFERROR(MATCH(UI!$B$1,EffectName[#Headers],0),2),FALSE),"")</f>
        <v/>
      </c>
      <c r="AA1621" t="str">
        <f t="shared" si="169"/>
        <v/>
      </c>
      <c r="AB1621">
        <v>0</v>
      </c>
      <c r="AC1621" t="str">
        <f>IF(AB1621&lt;&gt;0,VLOOKUP(VLOOKUP(AB1621,Tbl_Effect[],3,FALSE),EffectName[],IFERROR(MATCH(UI!$B$1,EffectName[#Headers],0),2),FALSE),"")</f>
        <v/>
      </c>
    </row>
    <row r="1622" spans="8:29" x14ac:dyDescent="0.4">
      <c r="H1622" t="str">
        <f t="shared" si="166"/>
        <v/>
      </c>
      <c r="I1622">
        <v>0</v>
      </c>
      <c r="J1622" t="str">
        <f>_xlfn.IFNA(IF(I1622&lt;&gt;0,VLOOKUP(VLOOKUP(I1622,Tbl_Equip[],2,FALSE),Tbl_Color[],IFERROR(MATCH(UI!$B$1,Tbl_Color[#Headers],0),2),FALSE),""),"Unset")</f>
        <v/>
      </c>
      <c r="K1622" t="str">
        <f>_xlfn.IFNA(IF(I1622&lt;&gt;0,VLOOKUP(I1622,ItemText[],IFERROR(MATCH(UI!$B$1,ItemText[#Headers],0),2),FALSE),""),"Unset")</f>
        <v/>
      </c>
      <c r="M1622">
        <v>0</v>
      </c>
      <c r="P1622">
        <v>0</v>
      </c>
      <c r="S1622">
        <v>0</v>
      </c>
      <c r="T1622" t="str">
        <f>IF(VALUE(S1622)=0,"",VLOOKUP(VLOOKUP(S1622,Tbl_Effect[],3,FALSE),EffectName[],IFERROR(MATCH(UI!$B$1,EffectName[#Headers],0),2),FALSE))</f>
        <v/>
      </c>
      <c r="U1622" t="str">
        <f t="shared" si="167"/>
        <v/>
      </c>
      <c r="V1622">
        <v>0</v>
      </c>
      <c r="W1622" t="str">
        <f>IF(V1622&lt;&gt;0,VLOOKUP(VLOOKUP(V1622,Tbl_Effect[],3,FALSE),EffectName[],IFERROR(MATCH(UI!$B$1,EffectName[#Headers],0),2),FALSE),"")</f>
        <v/>
      </c>
      <c r="X1622" t="str">
        <f t="shared" si="168"/>
        <v/>
      </c>
      <c r="Y1622">
        <v>0</v>
      </c>
      <c r="Z1622" t="str">
        <f>IF(Y1622&lt;&gt;0,VLOOKUP(VLOOKUP(Y1622,Tbl_Effect[],3,FALSE),EffectName[],IFERROR(MATCH(UI!$B$1,EffectName[#Headers],0),2),FALSE),"")</f>
        <v/>
      </c>
      <c r="AA1622" t="str">
        <f t="shared" si="169"/>
        <v/>
      </c>
      <c r="AB1622">
        <v>0</v>
      </c>
      <c r="AC1622" t="str">
        <f>IF(AB1622&lt;&gt;0,VLOOKUP(VLOOKUP(AB1622,Tbl_Effect[],3,FALSE),EffectName[],IFERROR(MATCH(UI!$B$1,EffectName[#Headers],0),2),FALSE),"")</f>
        <v/>
      </c>
    </row>
    <row r="1623" spans="8:29" x14ac:dyDescent="0.4">
      <c r="H1623" t="str">
        <f t="shared" si="166"/>
        <v/>
      </c>
      <c r="I1623">
        <v>0</v>
      </c>
      <c r="J1623" t="str">
        <f>_xlfn.IFNA(IF(I1623&lt;&gt;0,VLOOKUP(VLOOKUP(I1623,Tbl_Equip[],2,FALSE),Tbl_Color[],IFERROR(MATCH(UI!$B$1,Tbl_Color[#Headers],0),2),FALSE),""),"Unset")</f>
        <v/>
      </c>
      <c r="K1623" t="str">
        <f>_xlfn.IFNA(IF(I1623&lt;&gt;0,VLOOKUP(I1623,ItemText[],IFERROR(MATCH(UI!$B$1,ItemText[#Headers],0),2),FALSE),""),"Unset")</f>
        <v/>
      </c>
      <c r="M1623">
        <v>0</v>
      </c>
      <c r="P1623">
        <v>0</v>
      </c>
      <c r="S1623">
        <v>0</v>
      </c>
      <c r="T1623" t="str">
        <f>IF(VALUE(S1623)=0,"",VLOOKUP(VLOOKUP(S1623,Tbl_Effect[],3,FALSE),EffectName[],IFERROR(MATCH(UI!$B$1,EffectName[#Headers],0),2),FALSE))</f>
        <v/>
      </c>
      <c r="U1623" t="str">
        <f t="shared" si="167"/>
        <v/>
      </c>
      <c r="V1623">
        <v>0</v>
      </c>
      <c r="W1623" t="str">
        <f>IF(V1623&lt;&gt;0,VLOOKUP(VLOOKUP(V1623,Tbl_Effect[],3,FALSE),EffectName[],IFERROR(MATCH(UI!$B$1,EffectName[#Headers],0),2),FALSE),"")</f>
        <v/>
      </c>
      <c r="X1623" t="str">
        <f t="shared" si="168"/>
        <v/>
      </c>
      <c r="Y1623">
        <v>0</v>
      </c>
      <c r="Z1623" t="str">
        <f>IF(Y1623&lt;&gt;0,VLOOKUP(VLOOKUP(Y1623,Tbl_Effect[],3,FALSE),EffectName[],IFERROR(MATCH(UI!$B$1,EffectName[#Headers],0),2),FALSE),"")</f>
        <v/>
      </c>
      <c r="AA1623" t="str">
        <f t="shared" si="169"/>
        <v/>
      </c>
      <c r="AB1623">
        <v>0</v>
      </c>
      <c r="AC1623" t="str">
        <f>IF(AB1623&lt;&gt;0,VLOOKUP(VLOOKUP(AB1623,Tbl_Effect[],3,FALSE),EffectName[],IFERROR(MATCH(UI!$B$1,EffectName[#Headers],0),2),FALSE),"")</f>
        <v/>
      </c>
    </row>
    <row r="1624" spans="8:29" x14ac:dyDescent="0.4">
      <c r="H1624" t="str">
        <f t="shared" si="166"/>
        <v/>
      </c>
      <c r="I1624">
        <v>0</v>
      </c>
      <c r="J1624" t="str">
        <f>_xlfn.IFNA(IF(I1624&lt;&gt;0,VLOOKUP(VLOOKUP(I1624,Tbl_Equip[],2,FALSE),Tbl_Color[],IFERROR(MATCH(UI!$B$1,Tbl_Color[#Headers],0),2),FALSE),""),"Unset")</f>
        <v/>
      </c>
      <c r="K1624" t="str">
        <f>_xlfn.IFNA(IF(I1624&lt;&gt;0,VLOOKUP(I1624,ItemText[],IFERROR(MATCH(UI!$B$1,ItemText[#Headers],0),2),FALSE),""),"Unset")</f>
        <v/>
      </c>
      <c r="M1624">
        <v>0</v>
      </c>
      <c r="P1624">
        <v>0</v>
      </c>
      <c r="S1624">
        <v>0</v>
      </c>
      <c r="T1624" t="str">
        <f>IF(VALUE(S1624)=0,"",VLOOKUP(VLOOKUP(S1624,Tbl_Effect[],3,FALSE),EffectName[],IFERROR(MATCH(UI!$B$1,EffectName[#Headers],0),2),FALSE))</f>
        <v/>
      </c>
      <c r="U1624" t="str">
        <f t="shared" si="167"/>
        <v/>
      </c>
      <c r="V1624">
        <v>0</v>
      </c>
      <c r="W1624" t="str">
        <f>IF(V1624&lt;&gt;0,VLOOKUP(VLOOKUP(V1624,Tbl_Effect[],3,FALSE),EffectName[],IFERROR(MATCH(UI!$B$1,EffectName[#Headers],0),2),FALSE),"")</f>
        <v/>
      </c>
      <c r="X1624" t="str">
        <f t="shared" si="168"/>
        <v/>
      </c>
      <c r="Y1624">
        <v>0</v>
      </c>
      <c r="Z1624" t="str">
        <f>IF(Y1624&lt;&gt;0,VLOOKUP(VLOOKUP(Y1624,Tbl_Effect[],3,FALSE),EffectName[],IFERROR(MATCH(UI!$B$1,EffectName[#Headers],0),2),FALSE),"")</f>
        <v/>
      </c>
      <c r="AA1624" t="str">
        <f t="shared" si="169"/>
        <v/>
      </c>
      <c r="AB1624">
        <v>0</v>
      </c>
      <c r="AC1624" t="str">
        <f>IF(AB1624&lt;&gt;0,VLOOKUP(VLOOKUP(AB1624,Tbl_Effect[],3,FALSE),EffectName[],IFERROR(MATCH(UI!$B$1,EffectName[#Headers],0),2),FALSE),"")</f>
        <v/>
      </c>
    </row>
    <row r="1625" spans="8:29" x14ac:dyDescent="0.4">
      <c r="H1625" t="str">
        <f t="shared" si="166"/>
        <v/>
      </c>
      <c r="I1625">
        <v>0</v>
      </c>
      <c r="J1625" t="str">
        <f>_xlfn.IFNA(IF(I1625&lt;&gt;0,VLOOKUP(VLOOKUP(I1625,Tbl_Equip[],2,FALSE),Tbl_Color[],IFERROR(MATCH(UI!$B$1,Tbl_Color[#Headers],0),2),FALSE),""),"Unset")</f>
        <v/>
      </c>
      <c r="K1625" t="str">
        <f>_xlfn.IFNA(IF(I1625&lt;&gt;0,VLOOKUP(I1625,ItemText[],IFERROR(MATCH(UI!$B$1,ItemText[#Headers],0),2),FALSE),""),"Unset")</f>
        <v/>
      </c>
      <c r="M1625">
        <v>0</v>
      </c>
      <c r="P1625">
        <v>0</v>
      </c>
      <c r="S1625">
        <v>0</v>
      </c>
      <c r="T1625" t="str">
        <f>IF(VALUE(S1625)=0,"",VLOOKUP(VLOOKUP(S1625,Tbl_Effect[],3,FALSE),EffectName[],IFERROR(MATCH(UI!$B$1,EffectName[#Headers],0),2),FALSE))</f>
        <v/>
      </c>
      <c r="U1625" t="str">
        <f t="shared" si="167"/>
        <v/>
      </c>
      <c r="V1625">
        <v>0</v>
      </c>
      <c r="W1625" t="str">
        <f>IF(V1625&lt;&gt;0,VLOOKUP(VLOOKUP(V1625,Tbl_Effect[],3,FALSE),EffectName[],IFERROR(MATCH(UI!$B$1,EffectName[#Headers],0),2),FALSE),"")</f>
        <v/>
      </c>
      <c r="X1625" t="str">
        <f t="shared" si="168"/>
        <v/>
      </c>
      <c r="Y1625">
        <v>0</v>
      </c>
      <c r="Z1625" t="str">
        <f>IF(Y1625&lt;&gt;0,VLOOKUP(VLOOKUP(Y1625,Tbl_Effect[],3,FALSE),EffectName[],IFERROR(MATCH(UI!$B$1,EffectName[#Headers],0),2),FALSE),"")</f>
        <v/>
      </c>
      <c r="AA1625" t="str">
        <f t="shared" si="169"/>
        <v/>
      </c>
      <c r="AB1625">
        <v>0</v>
      </c>
      <c r="AC1625" t="str">
        <f>IF(AB1625&lt;&gt;0,VLOOKUP(VLOOKUP(AB1625,Tbl_Effect[],3,FALSE),EffectName[],IFERROR(MATCH(UI!$B$1,EffectName[#Headers],0),2),FALSE),"")</f>
        <v/>
      </c>
    </row>
    <row r="1626" spans="8:29" x14ac:dyDescent="0.4">
      <c r="H1626" t="str">
        <f t="shared" si="166"/>
        <v/>
      </c>
      <c r="I1626">
        <v>0</v>
      </c>
      <c r="J1626" t="str">
        <f>_xlfn.IFNA(IF(I1626&lt;&gt;0,VLOOKUP(VLOOKUP(I1626,Tbl_Equip[],2,FALSE),Tbl_Color[],IFERROR(MATCH(UI!$B$1,Tbl_Color[#Headers],0),2),FALSE),""),"Unset")</f>
        <v/>
      </c>
      <c r="K1626" t="str">
        <f>_xlfn.IFNA(IF(I1626&lt;&gt;0,VLOOKUP(I1626,ItemText[],IFERROR(MATCH(UI!$B$1,ItemText[#Headers],0),2),FALSE),""),"Unset")</f>
        <v/>
      </c>
      <c r="M1626">
        <v>0</v>
      </c>
      <c r="P1626">
        <v>0</v>
      </c>
      <c r="S1626">
        <v>0</v>
      </c>
      <c r="T1626" t="str">
        <f>IF(VALUE(S1626)=0,"",VLOOKUP(VLOOKUP(S1626,Tbl_Effect[],3,FALSE),EffectName[],IFERROR(MATCH(UI!$B$1,EffectName[#Headers],0),2),FALSE))</f>
        <v/>
      </c>
      <c r="U1626" t="str">
        <f t="shared" si="167"/>
        <v/>
      </c>
      <c r="V1626">
        <v>0</v>
      </c>
      <c r="W1626" t="str">
        <f>IF(V1626&lt;&gt;0,VLOOKUP(VLOOKUP(V1626,Tbl_Effect[],3,FALSE),EffectName[],IFERROR(MATCH(UI!$B$1,EffectName[#Headers],0),2),FALSE),"")</f>
        <v/>
      </c>
      <c r="X1626" t="str">
        <f t="shared" si="168"/>
        <v/>
      </c>
      <c r="Y1626">
        <v>0</v>
      </c>
      <c r="Z1626" t="str">
        <f>IF(Y1626&lt;&gt;0,VLOOKUP(VLOOKUP(Y1626,Tbl_Effect[],3,FALSE),EffectName[],IFERROR(MATCH(UI!$B$1,EffectName[#Headers],0),2),FALSE),"")</f>
        <v/>
      </c>
      <c r="AA1626" t="str">
        <f t="shared" si="169"/>
        <v/>
      </c>
      <c r="AB1626">
        <v>0</v>
      </c>
      <c r="AC1626" t="str">
        <f>IF(AB1626&lt;&gt;0,VLOOKUP(VLOOKUP(AB1626,Tbl_Effect[],3,FALSE),EffectName[],IFERROR(MATCH(UI!$B$1,EffectName[#Headers],0),2),FALSE),"")</f>
        <v/>
      </c>
    </row>
    <row r="1627" spans="8:29" x14ac:dyDescent="0.4">
      <c r="H1627" t="str">
        <f t="shared" si="166"/>
        <v/>
      </c>
      <c r="I1627">
        <v>0</v>
      </c>
      <c r="J1627" t="str">
        <f>_xlfn.IFNA(IF(I1627&lt;&gt;0,VLOOKUP(VLOOKUP(I1627,Tbl_Equip[],2,FALSE),Tbl_Color[],IFERROR(MATCH(UI!$B$1,Tbl_Color[#Headers],0),2),FALSE),""),"Unset")</f>
        <v/>
      </c>
      <c r="K1627" t="str">
        <f>_xlfn.IFNA(IF(I1627&lt;&gt;0,VLOOKUP(I1627,ItemText[],IFERROR(MATCH(UI!$B$1,ItemText[#Headers],0),2),FALSE),""),"Unset")</f>
        <v/>
      </c>
      <c r="M1627">
        <v>0</v>
      </c>
      <c r="P1627">
        <v>0</v>
      </c>
      <c r="S1627">
        <v>0</v>
      </c>
      <c r="T1627" t="str">
        <f>IF(VALUE(S1627)=0,"",VLOOKUP(VLOOKUP(S1627,Tbl_Effect[],3,FALSE),EffectName[],IFERROR(MATCH(UI!$B$1,EffectName[#Headers],0),2),FALSE))</f>
        <v/>
      </c>
      <c r="U1627" t="str">
        <f t="shared" si="167"/>
        <v/>
      </c>
      <c r="V1627">
        <v>0</v>
      </c>
      <c r="W1627" t="str">
        <f>IF(V1627&lt;&gt;0,VLOOKUP(VLOOKUP(V1627,Tbl_Effect[],3,FALSE),EffectName[],IFERROR(MATCH(UI!$B$1,EffectName[#Headers],0),2),FALSE),"")</f>
        <v/>
      </c>
      <c r="X1627" t="str">
        <f t="shared" si="168"/>
        <v/>
      </c>
      <c r="Y1627">
        <v>0</v>
      </c>
      <c r="Z1627" t="str">
        <f>IF(Y1627&lt;&gt;0,VLOOKUP(VLOOKUP(Y1627,Tbl_Effect[],3,FALSE),EffectName[],IFERROR(MATCH(UI!$B$1,EffectName[#Headers],0),2),FALSE),"")</f>
        <v/>
      </c>
      <c r="AA1627" t="str">
        <f t="shared" si="169"/>
        <v/>
      </c>
      <c r="AB1627">
        <v>0</v>
      </c>
      <c r="AC1627" t="str">
        <f>IF(AB1627&lt;&gt;0,VLOOKUP(VLOOKUP(AB1627,Tbl_Effect[],3,FALSE),EffectName[],IFERROR(MATCH(UI!$B$1,EffectName[#Headers],0),2),FALSE),"")</f>
        <v/>
      </c>
    </row>
    <row r="1628" spans="8:29" x14ac:dyDescent="0.4">
      <c r="H1628" t="str">
        <f t="shared" si="166"/>
        <v/>
      </c>
      <c r="I1628">
        <v>0</v>
      </c>
      <c r="J1628" t="str">
        <f>_xlfn.IFNA(IF(I1628&lt;&gt;0,VLOOKUP(VLOOKUP(I1628,Tbl_Equip[],2,FALSE),Tbl_Color[],IFERROR(MATCH(UI!$B$1,Tbl_Color[#Headers],0),2),FALSE),""),"Unset")</f>
        <v/>
      </c>
      <c r="K1628" t="str">
        <f>_xlfn.IFNA(IF(I1628&lt;&gt;0,VLOOKUP(I1628,ItemText[],IFERROR(MATCH(UI!$B$1,ItemText[#Headers],0),2),FALSE),""),"Unset")</f>
        <v/>
      </c>
      <c r="M1628">
        <v>0</v>
      </c>
      <c r="P1628">
        <v>0</v>
      </c>
      <c r="S1628">
        <v>0</v>
      </c>
      <c r="T1628" t="str">
        <f>IF(VALUE(S1628)=0,"",VLOOKUP(VLOOKUP(S1628,Tbl_Effect[],3,FALSE),EffectName[],IFERROR(MATCH(UI!$B$1,EffectName[#Headers],0),2),FALSE))</f>
        <v/>
      </c>
      <c r="U1628" t="str">
        <f t="shared" si="167"/>
        <v/>
      </c>
      <c r="V1628">
        <v>0</v>
      </c>
      <c r="W1628" t="str">
        <f>IF(V1628&lt;&gt;0,VLOOKUP(VLOOKUP(V1628,Tbl_Effect[],3,FALSE),EffectName[],IFERROR(MATCH(UI!$B$1,EffectName[#Headers],0),2),FALSE),"")</f>
        <v/>
      </c>
      <c r="X1628" t="str">
        <f t="shared" si="168"/>
        <v/>
      </c>
      <c r="Y1628">
        <v>0</v>
      </c>
      <c r="Z1628" t="str">
        <f>IF(Y1628&lt;&gt;0,VLOOKUP(VLOOKUP(Y1628,Tbl_Effect[],3,FALSE),EffectName[],IFERROR(MATCH(UI!$B$1,EffectName[#Headers],0),2),FALSE),"")</f>
        <v/>
      </c>
      <c r="AA1628" t="str">
        <f t="shared" si="169"/>
        <v/>
      </c>
      <c r="AB1628">
        <v>0</v>
      </c>
      <c r="AC1628" t="str">
        <f>IF(AB1628&lt;&gt;0,VLOOKUP(VLOOKUP(AB1628,Tbl_Effect[],3,FALSE),EffectName[],IFERROR(MATCH(UI!$B$1,EffectName[#Headers],0),2),FALSE),"")</f>
        <v/>
      </c>
    </row>
    <row r="1629" spans="8:29" x14ac:dyDescent="0.4">
      <c r="H1629" t="str">
        <f t="shared" si="166"/>
        <v/>
      </c>
      <c r="I1629">
        <v>0</v>
      </c>
      <c r="J1629" t="str">
        <f>_xlfn.IFNA(IF(I1629&lt;&gt;0,VLOOKUP(VLOOKUP(I1629,Tbl_Equip[],2,FALSE),Tbl_Color[],IFERROR(MATCH(UI!$B$1,Tbl_Color[#Headers],0),2),FALSE),""),"Unset")</f>
        <v/>
      </c>
      <c r="K1629" t="str">
        <f>_xlfn.IFNA(IF(I1629&lt;&gt;0,VLOOKUP(I1629,ItemText[],IFERROR(MATCH(UI!$B$1,ItemText[#Headers],0),2),FALSE),""),"Unset")</f>
        <v/>
      </c>
      <c r="M1629">
        <v>0</v>
      </c>
      <c r="P1629">
        <v>0</v>
      </c>
      <c r="S1629">
        <v>0</v>
      </c>
      <c r="T1629" t="str">
        <f>IF(VALUE(S1629)=0,"",VLOOKUP(VLOOKUP(S1629,Tbl_Effect[],3,FALSE),EffectName[],IFERROR(MATCH(UI!$B$1,EffectName[#Headers],0),2),FALSE))</f>
        <v/>
      </c>
      <c r="U1629" t="str">
        <f t="shared" si="167"/>
        <v/>
      </c>
      <c r="V1629">
        <v>0</v>
      </c>
      <c r="W1629" t="str">
        <f>IF(V1629&lt;&gt;0,VLOOKUP(VLOOKUP(V1629,Tbl_Effect[],3,FALSE),EffectName[],IFERROR(MATCH(UI!$B$1,EffectName[#Headers],0),2),FALSE),"")</f>
        <v/>
      </c>
      <c r="X1629" t="str">
        <f t="shared" si="168"/>
        <v/>
      </c>
      <c r="Y1629">
        <v>0</v>
      </c>
      <c r="Z1629" t="str">
        <f>IF(Y1629&lt;&gt;0,VLOOKUP(VLOOKUP(Y1629,Tbl_Effect[],3,FALSE),EffectName[],IFERROR(MATCH(UI!$B$1,EffectName[#Headers],0),2),FALSE),"")</f>
        <v/>
      </c>
      <c r="AA1629" t="str">
        <f t="shared" si="169"/>
        <v/>
      </c>
      <c r="AB1629">
        <v>0</v>
      </c>
      <c r="AC1629" t="str">
        <f>IF(AB1629&lt;&gt;0,VLOOKUP(VLOOKUP(AB1629,Tbl_Effect[],3,FALSE),EffectName[],IFERROR(MATCH(UI!$B$1,EffectName[#Headers],0),2),FALSE),"")</f>
        <v/>
      </c>
    </row>
    <row r="1630" spans="8:29" x14ac:dyDescent="0.4">
      <c r="H1630" t="str">
        <f t="shared" si="166"/>
        <v/>
      </c>
      <c r="I1630">
        <v>0</v>
      </c>
      <c r="J1630" t="str">
        <f>_xlfn.IFNA(IF(I1630&lt;&gt;0,VLOOKUP(VLOOKUP(I1630,Tbl_Equip[],2,FALSE),Tbl_Color[],IFERROR(MATCH(UI!$B$1,Tbl_Color[#Headers],0),2),FALSE),""),"Unset")</f>
        <v/>
      </c>
      <c r="K1630" t="str">
        <f>_xlfn.IFNA(IF(I1630&lt;&gt;0,VLOOKUP(I1630,ItemText[],IFERROR(MATCH(UI!$B$1,ItemText[#Headers],0),2),FALSE),""),"Unset")</f>
        <v/>
      </c>
      <c r="M1630">
        <v>0</v>
      </c>
      <c r="P1630">
        <v>0</v>
      </c>
      <c r="S1630">
        <v>0</v>
      </c>
      <c r="T1630" t="str">
        <f>IF(VALUE(S1630)=0,"",VLOOKUP(VLOOKUP(S1630,Tbl_Effect[],3,FALSE),EffectName[],IFERROR(MATCH(UI!$B$1,EffectName[#Headers],0),2),FALSE))</f>
        <v/>
      </c>
      <c r="U1630" t="str">
        <f t="shared" si="167"/>
        <v/>
      </c>
      <c r="V1630">
        <v>0</v>
      </c>
      <c r="W1630" t="str">
        <f>IF(V1630&lt;&gt;0,VLOOKUP(VLOOKUP(V1630,Tbl_Effect[],3,FALSE),EffectName[],IFERROR(MATCH(UI!$B$1,EffectName[#Headers],0),2),FALSE),"")</f>
        <v/>
      </c>
      <c r="X1630" t="str">
        <f t="shared" si="168"/>
        <v/>
      </c>
      <c r="Y1630">
        <v>0</v>
      </c>
      <c r="Z1630" t="str">
        <f>IF(Y1630&lt;&gt;0,VLOOKUP(VLOOKUP(Y1630,Tbl_Effect[],3,FALSE),EffectName[],IFERROR(MATCH(UI!$B$1,EffectName[#Headers],0),2),FALSE),"")</f>
        <v/>
      </c>
      <c r="AA1630" t="str">
        <f t="shared" si="169"/>
        <v/>
      </c>
      <c r="AB1630">
        <v>0</v>
      </c>
      <c r="AC1630" t="str">
        <f>IF(AB1630&lt;&gt;0,VLOOKUP(VLOOKUP(AB1630,Tbl_Effect[],3,FALSE),EffectName[],IFERROR(MATCH(UI!$B$1,EffectName[#Headers],0),2),FALSE),"")</f>
        <v/>
      </c>
    </row>
    <row r="1631" spans="8:29" x14ac:dyDescent="0.4">
      <c r="H1631" t="str">
        <f t="shared" si="166"/>
        <v/>
      </c>
      <c r="I1631">
        <v>0</v>
      </c>
      <c r="J1631" t="str">
        <f>_xlfn.IFNA(IF(I1631&lt;&gt;0,VLOOKUP(VLOOKUP(I1631,Tbl_Equip[],2,FALSE),Tbl_Color[],IFERROR(MATCH(UI!$B$1,Tbl_Color[#Headers],0),2),FALSE),""),"Unset")</f>
        <v/>
      </c>
      <c r="K1631" t="str">
        <f>_xlfn.IFNA(IF(I1631&lt;&gt;0,VLOOKUP(I1631,ItemText[],IFERROR(MATCH(UI!$B$1,ItemText[#Headers],0),2),FALSE),""),"Unset")</f>
        <v/>
      </c>
      <c r="M1631">
        <v>0</v>
      </c>
      <c r="P1631">
        <v>0</v>
      </c>
      <c r="S1631">
        <v>0</v>
      </c>
      <c r="T1631" t="str">
        <f>IF(VALUE(S1631)=0,"",VLOOKUP(VLOOKUP(S1631,Tbl_Effect[],3,FALSE),EffectName[],IFERROR(MATCH(UI!$B$1,EffectName[#Headers],0),2),FALSE))</f>
        <v/>
      </c>
      <c r="U1631" t="str">
        <f t="shared" si="167"/>
        <v/>
      </c>
      <c r="V1631">
        <v>0</v>
      </c>
      <c r="W1631" t="str">
        <f>IF(V1631&lt;&gt;0,VLOOKUP(VLOOKUP(V1631,Tbl_Effect[],3,FALSE),EffectName[],IFERROR(MATCH(UI!$B$1,EffectName[#Headers],0),2),FALSE),"")</f>
        <v/>
      </c>
      <c r="X1631" t="str">
        <f t="shared" si="168"/>
        <v/>
      </c>
      <c r="Y1631">
        <v>0</v>
      </c>
      <c r="Z1631" t="str">
        <f>IF(Y1631&lt;&gt;0,VLOOKUP(VLOOKUP(Y1631,Tbl_Effect[],3,FALSE),EffectName[],IFERROR(MATCH(UI!$B$1,EffectName[#Headers],0),2),FALSE),"")</f>
        <v/>
      </c>
      <c r="AA1631" t="str">
        <f t="shared" si="169"/>
        <v/>
      </c>
      <c r="AB1631">
        <v>0</v>
      </c>
      <c r="AC1631" t="str">
        <f>IF(AB1631&lt;&gt;0,VLOOKUP(VLOOKUP(AB1631,Tbl_Effect[],3,FALSE),EffectName[],IFERROR(MATCH(UI!$B$1,EffectName[#Headers],0),2),FALSE),"")</f>
        <v/>
      </c>
    </row>
    <row r="1632" spans="8:29" x14ac:dyDescent="0.4">
      <c r="H1632" t="str">
        <f t="shared" si="166"/>
        <v/>
      </c>
      <c r="I1632">
        <v>0</v>
      </c>
      <c r="J1632" t="str">
        <f>_xlfn.IFNA(IF(I1632&lt;&gt;0,VLOOKUP(VLOOKUP(I1632,Tbl_Equip[],2,FALSE),Tbl_Color[],IFERROR(MATCH(UI!$B$1,Tbl_Color[#Headers],0),2),FALSE),""),"Unset")</f>
        <v/>
      </c>
      <c r="K1632" t="str">
        <f>_xlfn.IFNA(IF(I1632&lt;&gt;0,VLOOKUP(I1632,ItemText[],IFERROR(MATCH(UI!$B$1,ItemText[#Headers],0),2),FALSE),""),"Unset")</f>
        <v/>
      </c>
      <c r="M1632">
        <v>0</v>
      </c>
      <c r="P1632">
        <v>0</v>
      </c>
      <c r="S1632">
        <v>0</v>
      </c>
      <c r="T1632" t="str">
        <f>IF(VALUE(S1632)=0,"",VLOOKUP(VLOOKUP(S1632,Tbl_Effect[],3,FALSE),EffectName[],IFERROR(MATCH(UI!$B$1,EffectName[#Headers],0),2),FALSE))</f>
        <v/>
      </c>
      <c r="U1632" t="str">
        <f t="shared" si="167"/>
        <v/>
      </c>
      <c r="V1632">
        <v>0</v>
      </c>
      <c r="W1632" t="str">
        <f>IF(V1632&lt;&gt;0,VLOOKUP(VLOOKUP(V1632,Tbl_Effect[],3,FALSE),EffectName[],IFERROR(MATCH(UI!$B$1,EffectName[#Headers],0),2),FALSE),"")</f>
        <v/>
      </c>
      <c r="X1632" t="str">
        <f t="shared" si="168"/>
        <v/>
      </c>
      <c r="Y1632">
        <v>0</v>
      </c>
      <c r="Z1632" t="str">
        <f>IF(Y1632&lt;&gt;0,VLOOKUP(VLOOKUP(Y1632,Tbl_Effect[],3,FALSE),EffectName[],IFERROR(MATCH(UI!$B$1,EffectName[#Headers],0),2),FALSE),"")</f>
        <v/>
      </c>
      <c r="AA1632" t="str">
        <f t="shared" si="169"/>
        <v/>
      </c>
      <c r="AB1632">
        <v>0</v>
      </c>
      <c r="AC1632" t="str">
        <f>IF(AB1632&lt;&gt;0,VLOOKUP(VLOOKUP(AB1632,Tbl_Effect[],3,FALSE),EffectName[],IFERROR(MATCH(UI!$B$1,EffectName[#Headers],0),2),FALSE),"")</f>
        <v/>
      </c>
    </row>
    <row r="1633" spans="8:29" x14ac:dyDescent="0.4">
      <c r="H1633" t="str">
        <f t="shared" si="166"/>
        <v/>
      </c>
      <c r="I1633">
        <v>0</v>
      </c>
      <c r="J1633" t="str">
        <f>_xlfn.IFNA(IF(I1633&lt;&gt;0,VLOOKUP(VLOOKUP(I1633,Tbl_Equip[],2,FALSE),Tbl_Color[],IFERROR(MATCH(UI!$B$1,Tbl_Color[#Headers],0),2),FALSE),""),"Unset")</f>
        <v/>
      </c>
      <c r="K1633" t="str">
        <f>_xlfn.IFNA(IF(I1633&lt;&gt;0,VLOOKUP(I1633,ItemText[],IFERROR(MATCH(UI!$B$1,ItemText[#Headers],0),2),FALSE),""),"Unset")</f>
        <v/>
      </c>
      <c r="M1633">
        <v>0</v>
      </c>
      <c r="P1633">
        <v>0</v>
      </c>
      <c r="S1633">
        <v>0</v>
      </c>
      <c r="T1633" t="str">
        <f>IF(VALUE(S1633)=0,"",VLOOKUP(VLOOKUP(S1633,Tbl_Effect[],3,FALSE),EffectName[],IFERROR(MATCH(UI!$B$1,EffectName[#Headers],0),2),FALSE))</f>
        <v/>
      </c>
      <c r="U1633" t="str">
        <f t="shared" si="167"/>
        <v/>
      </c>
      <c r="V1633">
        <v>0</v>
      </c>
      <c r="W1633" t="str">
        <f>IF(V1633&lt;&gt;0,VLOOKUP(VLOOKUP(V1633,Tbl_Effect[],3,FALSE),EffectName[],IFERROR(MATCH(UI!$B$1,EffectName[#Headers],0),2),FALSE),"")</f>
        <v/>
      </c>
      <c r="X1633" t="str">
        <f t="shared" si="168"/>
        <v/>
      </c>
      <c r="Y1633">
        <v>0</v>
      </c>
      <c r="Z1633" t="str">
        <f>IF(Y1633&lt;&gt;0,VLOOKUP(VLOOKUP(Y1633,Tbl_Effect[],3,FALSE),EffectName[],IFERROR(MATCH(UI!$B$1,EffectName[#Headers],0),2),FALSE),"")</f>
        <v/>
      </c>
      <c r="AA1633" t="str">
        <f t="shared" si="169"/>
        <v/>
      </c>
      <c r="AB1633">
        <v>0</v>
      </c>
      <c r="AC1633" t="str">
        <f>IF(AB1633&lt;&gt;0,VLOOKUP(VLOOKUP(AB1633,Tbl_Effect[],3,FALSE),EffectName[],IFERROR(MATCH(UI!$B$1,EffectName[#Headers],0),2),FALSE),"")</f>
        <v/>
      </c>
    </row>
    <row r="1634" spans="8:29" x14ac:dyDescent="0.4">
      <c r="H1634" t="str">
        <f t="shared" si="166"/>
        <v/>
      </c>
      <c r="I1634">
        <v>0</v>
      </c>
      <c r="J1634" t="str">
        <f>_xlfn.IFNA(IF(I1634&lt;&gt;0,VLOOKUP(VLOOKUP(I1634,Tbl_Equip[],2,FALSE),Tbl_Color[],IFERROR(MATCH(UI!$B$1,Tbl_Color[#Headers],0),2),FALSE),""),"Unset")</f>
        <v/>
      </c>
      <c r="K1634" t="str">
        <f>_xlfn.IFNA(IF(I1634&lt;&gt;0,VLOOKUP(I1634,ItemText[],IFERROR(MATCH(UI!$B$1,ItemText[#Headers],0),2),FALSE),""),"Unset")</f>
        <v/>
      </c>
      <c r="M1634">
        <v>0</v>
      </c>
      <c r="P1634">
        <v>0</v>
      </c>
      <c r="S1634">
        <v>0</v>
      </c>
      <c r="T1634" t="str">
        <f>IF(VALUE(S1634)=0,"",VLOOKUP(VLOOKUP(S1634,Tbl_Effect[],3,FALSE),EffectName[],IFERROR(MATCH(UI!$B$1,EffectName[#Headers],0),2),FALSE))</f>
        <v/>
      </c>
      <c r="U1634" t="str">
        <f t="shared" si="167"/>
        <v/>
      </c>
      <c r="V1634">
        <v>0</v>
      </c>
      <c r="W1634" t="str">
        <f>IF(V1634&lt;&gt;0,VLOOKUP(VLOOKUP(V1634,Tbl_Effect[],3,FALSE),EffectName[],IFERROR(MATCH(UI!$B$1,EffectName[#Headers],0),2),FALSE),"")</f>
        <v/>
      </c>
      <c r="X1634" t="str">
        <f t="shared" si="168"/>
        <v/>
      </c>
      <c r="Y1634">
        <v>0</v>
      </c>
      <c r="Z1634" t="str">
        <f>IF(Y1634&lt;&gt;0,VLOOKUP(VLOOKUP(Y1634,Tbl_Effect[],3,FALSE),EffectName[],IFERROR(MATCH(UI!$B$1,EffectName[#Headers],0),2),FALSE),"")</f>
        <v/>
      </c>
      <c r="AA1634" t="str">
        <f t="shared" si="169"/>
        <v/>
      </c>
      <c r="AB1634">
        <v>0</v>
      </c>
      <c r="AC1634" t="str">
        <f>IF(AB1634&lt;&gt;0,VLOOKUP(VLOOKUP(AB1634,Tbl_Effect[],3,FALSE),EffectName[],IFERROR(MATCH(UI!$B$1,EffectName[#Headers],0),2),FALSE),"")</f>
        <v/>
      </c>
    </row>
    <row r="1635" spans="8:29" x14ac:dyDescent="0.4">
      <c r="H1635" t="str">
        <f t="shared" si="166"/>
        <v/>
      </c>
      <c r="I1635">
        <v>0</v>
      </c>
      <c r="J1635" t="str">
        <f>_xlfn.IFNA(IF(I1635&lt;&gt;0,VLOOKUP(VLOOKUP(I1635,Tbl_Equip[],2,FALSE),Tbl_Color[],IFERROR(MATCH(UI!$B$1,Tbl_Color[#Headers],0),2),FALSE),""),"Unset")</f>
        <v/>
      </c>
      <c r="K1635" t="str">
        <f>_xlfn.IFNA(IF(I1635&lt;&gt;0,VLOOKUP(I1635,ItemText[],IFERROR(MATCH(UI!$B$1,ItemText[#Headers],0),2),FALSE),""),"Unset")</f>
        <v/>
      </c>
      <c r="M1635">
        <v>0</v>
      </c>
      <c r="P1635">
        <v>0</v>
      </c>
      <c r="S1635">
        <v>0</v>
      </c>
      <c r="T1635" t="str">
        <f>IF(VALUE(S1635)=0,"",VLOOKUP(VLOOKUP(S1635,Tbl_Effect[],3,FALSE),EffectName[],IFERROR(MATCH(UI!$B$1,EffectName[#Headers],0),2),FALSE))</f>
        <v/>
      </c>
      <c r="U1635" t="str">
        <f t="shared" si="167"/>
        <v/>
      </c>
      <c r="V1635">
        <v>0</v>
      </c>
      <c r="W1635" t="str">
        <f>IF(V1635&lt;&gt;0,VLOOKUP(VLOOKUP(V1635,Tbl_Effect[],3,FALSE),EffectName[],IFERROR(MATCH(UI!$B$1,EffectName[#Headers],0),2),FALSE),"")</f>
        <v/>
      </c>
      <c r="X1635" t="str">
        <f t="shared" si="168"/>
        <v/>
      </c>
      <c r="Y1635">
        <v>0</v>
      </c>
      <c r="Z1635" t="str">
        <f>IF(Y1635&lt;&gt;0,VLOOKUP(VLOOKUP(Y1635,Tbl_Effect[],3,FALSE),EffectName[],IFERROR(MATCH(UI!$B$1,EffectName[#Headers],0),2),FALSE),"")</f>
        <v/>
      </c>
      <c r="AA1635" t="str">
        <f t="shared" si="169"/>
        <v/>
      </c>
      <c r="AB1635">
        <v>0</v>
      </c>
      <c r="AC1635" t="str">
        <f>IF(AB1635&lt;&gt;0,VLOOKUP(VLOOKUP(AB1635,Tbl_Effect[],3,FALSE),EffectName[],IFERROR(MATCH(UI!$B$1,EffectName[#Headers],0),2),FALSE),"")</f>
        <v/>
      </c>
    </row>
    <row r="1636" spans="8:29" x14ac:dyDescent="0.4">
      <c r="H1636" t="str">
        <f t="shared" si="166"/>
        <v/>
      </c>
      <c r="I1636">
        <v>0</v>
      </c>
      <c r="J1636" t="str">
        <f>_xlfn.IFNA(IF(I1636&lt;&gt;0,VLOOKUP(VLOOKUP(I1636,Tbl_Equip[],2,FALSE),Tbl_Color[],IFERROR(MATCH(UI!$B$1,Tbl_Color[#Headers],0),2),FALSE),""),"Unset")</f>
        <v/>
      </c>
      <c r="K1636" t="str">
        <f>_xlfn.IFNA(IF(I1636&lt;&gt;0,VLOOKUP(I1636,ItemText[],IFERROR(MATCH(UI!$B$1,ItemText[#Headers],0),2),FALSE),""),"Unset")</f>
        <v/>
      </c>
      <c r="M1636">
        <v>0</v>
      </c>
      <c r="P1636">
        <v>0</v>
      </c>
      <c r="S1636">
        <v>0</v>
      </c>
      <c r="T1636" t="str">
        <f>IF(VALUE(S1636)=0,"",VLOOKUP(VLOOKUP(S1636,Tbl_Effect[],3,FALSE),EffectName[],IFERROR(MATCH(UI!$B$1,EffectName[#Headers],0),2),FALSE))</f>
        <v/>
      </c>
      <c r="U1636" t="str">
        <f t="shared" si="167"/>
        <v/>
      </c>
      <c r="V1636">
        <v>0</v>
      </c>
      <c r="W1636" t="str">
        <f>IF(V1636&lt;&gt;0,VLOOKUP(VLOOKUP(V1636,Tbl_Effect[],3,FALSE),EffectName[],IFERROR(MATCH(UI!$B$1,EffectName[#Headers],0),2),FALSE),"")</f>
        <v/>
      </c>
      <c r="X1636" t="str">
        <f t="shared" si="168"/>
        <v/>
      </c>
      <c r="Y1636">
        <v>0</v>
      </c>
      <c r="Z1636" t="str">
        <f>IF(Y1636&lt;&gt;0,VLOOKUP(VLOOKUP(Y1636,Tbl_Effect[],3,FALSE),EffectName[],IFERROR(MATCH(UI!$B$1,EffectName[#Headers],0),2),FALSE),"")</f>
        <v/>
      </c>
      <c r="AA1636" t="str">
        <f t="shared" si="169"/>
        <v/>
      </c>
      <c r="AB1636">
        <v>0</v>
      </c>
      <c r="AC1636" t="str">
        <f>IF(AB1636&lt;&gt;0,VLOOKUP(VLOOKUP(AB1636,Tbl_Effect[],3,FALSE),EffectName[],IFERROR(MATCH(UI!$B$1,EffectName[#Headers],0),2),FALSE),"")</f>
        <v/>
      </c>
    </row>
    <row r="1637" spans="8:29" x14ac:dyDescent="0.4">
      <c r="H1637" t="str">
        <f t="shared" si="166"/>
        <v/>
      </c>
      <c r="I1637">
        <v>0</v>
      </c>
      <c r="J1637" t="str">
        <f>_xlfn.IFNA(IF(I1637&lt;&gt;0,VLOOKUP(VLOOKUP(I1637,Tbl_Equip[],2,FALSE),Tbl_Color[],IFERROR(MATCH(UI!$B$1,Tbl_Color[#Headers],0),2),FALSE),""),"Unset")</f>
        <v/>
      </c>
      <c r="K1637" t="str">
        <f>_xlfn.IFNA(IF(I1637&lt;&gt;0,VLOOKUP(I1637,ItemText[],IFERROR(MATCH(UI!$B$1,ItemText[#Headers],0),2),FALSE),""),"Unset")</f>
        <v/>
      </c>
      <c r="M1637">
        <v>0</v>
      </c>
      <c r="P1637">
        <v>0</v>
      </c>
      <c r="S1637">
        <v>0</v>
      </c>
      <c r="T1637" t="str">
        <f>IF(VALUE(S1637)=0,"",VLOOKUP(VLOOKUP(S1637,Tbl_Effect[],3,FALSE),EffectName[],IFERROR(MATCH(UI!$B$1,EffectName[#Headers],0),2),FALSE))</f>
        <v/>
      </c>
      <c r="U1637" t="str">
        <f t="shared" si="167"/>
        <v/>
      </c>
      <c r="V1637">
        <v>0</v>
      </c>
      <c r="W1637" t="str">
        <f>IF(V1637&lt;&gt;0,VLOOKUP(VLOOKUP(V1637,Tbl_Effect[],3,FALSE),EffectName[],IFERROR(MATCH(UI!$B$1,EffectName[#Headers],0),2),FALSE),"")</f>
        <v/>
      </c>
      <c r="X1637" t="str">
        <f t="shared" si="168"/>
        <v/>
      </c>
      <c r="Y1637">
        <v>0</v>
      </c>
      <c r="Z1637" t="str">
        <f>IF(Y1637&lt;&gt;0,VLOOKUP(VLOOKUP(Y1637,Tbl_Effect[],3,FALSE),EffectName[],IFERROR(MATCH(UI!$B$1,EffectName[#Headers],0),2),FALSE),"")</f>
        <v/>
      </c>
      <c r="AA1637" t="str">
        <f t="shared" si="169"/>
        <v/>
      </c>
      <c r="AB1637">
        <v>0</v>
      </c>
      <c r="AC1637" t="str">
        <f>IF(AB1637&lt;&gt;0,VLOOKUP(VLOOKUP(AB1637,Tbl_Effect[],3,FALSE),EffectName[],IFERROR(MATCH(UI!$B$1,EffectName[#Headers],0),2),FALSE),"")</f>
        <v/>
      </c>
    </row>
    <row r="1638" spans="8:29" x14ac:dyDescent="0.4">
      <c r="H1638" t="str">
        <f t="shared" si="166"/>
        <v/>
      </c>
      <c r="I1638">
        <v>0</v>
      </c>
      <c r="J1638" t="str">
        <f>_xlfn.IFNA(IF(I1638&lt;&gt;0,VLOOKUP(VLOOKUP(I1638,Tbl_Equip[],2,FALSE),Tbl_Color[],IFERROR(MATCH(UI!$B$1,Tbl_Color[#Headers],0),2),FALSE),""),"Unset")</f>
        <v/>
      </c>
      <c r="K1638" t="str">
        <f>_xlfn.IFNA(IF(I1638&lt;&gt;0,VLOOKUP(I1638,ItemText[],IFERROR(MATCH(UI!$B$1,ItemText[#Headers],0),2),FALSE),""),"Unset")</f>
        <v/>
      </c>
      <c r="M1638">
        <v>0</v>
      </c>
      <c r="P1638">
        <v>0</v>
      </c>
      <c r="S1638">
        <v>0</v>
      </c>
      <c r="T1638" t="str">
        <f>IF(VALUE(S1638)=0,"",VLOOKUP(VLOOKUP(S1638,Tbl_Effect[],3,FALSE),EffectName[],IFERROR(MATCH(UI!$B$1,EffectName[#Headers],0),2),FALSE))</f>
        <v/>
      </c>
      <c r="U1638" t="str">
        <f t="shared" si="167"/>
        <v/>
      </c>
      <c r="V1638">
        <v>0</v>
      </c>
      <c r="W1638" t="str">
        <f>IF(V1638&lt;&gt;0,VLOOKUP(VLOOKUP(V1638,Tbl_Effect[],3,FALSE),EffectName[],IFERROR(MATCH(UI!$B$1,EffectName[#Headers],0),2),FALSE),"")</f>
        <v/>
      </c>
      <c r="X1638" t="str">
        <f t="shared" si="168"/>
        <v/>
      </c>
      <c r="Y1638">
        <v>0</v>
      </c>
      <c r="Z1638" t="str">
        <f>IF(Y1638&lt;&gt;0,VLOOKUP(VLOOKUP(Y1638,Tbl_Effect[],3,FALSE),EffectName[],IFERROR(MATCH(UI!$B$1,EffectName[#Headers],0),2),FALSE),"")</f>
        <v/>
      </c>
      <c r="AA1638" t="str">
        <f t="shared" si="169"/>
        <v/>
      </c>
      <c r="AB1638">
        <v>0</v>
      </c>
      <c r="AC1638" t="str">
        <f>IF(AB1638&lt;&gt;0,VLOOKUP(VLOOKUP(AB1638,Tbl_Effect[],3,FALSE),EffectName[],IFERROR(MATCH(UI!$B$1,EffectName[#Headers],0),2),FALSE),"")</f>
        <v/>
      </c>
    </row>
    <row r="1639" spans="8:29" x14ac:dyDescent="0.4">
      <c r="H1639" t="str">
        <f t="shared" si="166"/>
        <v/>
      </c>
      <c r="I1639">
        <v>0</v>
      </c>
      <c r="J1639" t="str">
        <f>_xlfn.IFNA(IF(I1639&lt;&gt;0,VLOOKUP(VLOOKUP(I1639,Tbl_Equip[],2,FALSE),Tbl_Color[],IFERROR(MATCH(UI!$B$1,Tbl_Color[#Headers],0),2),FALSE),""),"Unset")</f>
        <v/>
      </c>
      <c r="K1639" t="str">
        <f>_xlfn.IFNA(IF(I1639&lt;&gt;0,VLOOKUP(I1639,ItemText[],IFERROR(MATCH(UI!$B$1,ItemText[#Headers],0),2),FALSE),""),"Unset")</f>
        <v/>
      </c>
      <c r="M1639">
        <v>0</v>
      </c>
      <c r="P1639">
        <v>0</v>
      </c>
      <c r="S1639">
        <v>0</v>
      </c>
      <c r="T1639" t="str">
        <f>IF(VALUE(S1639)=0,"",VLOOKUP(VLOOKUP(S1639,Tbl_Effect[],3,FALSE),EffectName[],IFERROR(MATCH(UI!$B$1,EffectName[#Headers],0),2),FALSE))</f>
        <v/>
      </c>
      <c r="U1639" t="str">
        <f t="shared" si="167"/>
        <v/>
      </c>
      <c r="V1639">
        <v>0</v>
      </c>
      <c r="W1639" t="str">
        <f>IF(V1639&lt;&gt;0,VLOOKUP(VLOOKUP(V1639,Tbl_Effect[],3,FALSE),EffectName[],IFERROR(MATCH(UI!$B$1,EffectName[#Headers],0),2),FALSE),"")</f>
        <v/>
      </c>
      <c r="X1639" t="str">
        <f t="shared" si="168"/>
        <v/>
      </c>
      <c r="Y1639">
        <v>0</v>
      </c>
      <c r="Z1639" t="str">
        <f>IF(Y1639&lt;&gt;0,VLOOKUP(VLOOKUP(Y1639,Tbl_Effect[],3,FALSE),EffectName[],IFERROR(MATCH(UI!$B$1,EffectName[#Headers],0),2),FALSE),"")</f>
        <v/>
      </c>
      <c r="AA1639" t="str">
        <f t="shared" si="169"/>
        <v/>
      </c>
      <c r="AB1639">
        <v>0</v>
      </c>
      <c r="AC1639" t="str">
        <f>IF(AB1639&lt;&gt;0,VLOOKUP(VLOOKUP(AB1639,Tbl_Effect[],3,FALSE),EffectName[],IFERROR(MATCH(UI!$B$1,EffectName[#Headers],0),2),FALSE),"")</f>
        <v/>
      </c>
    </row>
    <row r="1640" spans="8:29" x14ac:dyDescent="0.4">
      <c r="H1640" t="str">
        <f t="shared" si="166"/>
        <v/>
      </c>
      <c r="I1640">
        <v>0</v>
      </c>
      <c r="J1640" t="str">
        <f>_xlfn.IFNA(IF(I1640&lt;&gt;0,VLOOKUP(VLOOKUP(I1640,Tbl_Equip[],2,FALSE),Tbl_Color[],IFERROR(MATCH(UI!$B$1,Tbl_Color[#Headers],0),2),FALSE),""),"Unset")</f>
        <v/>
      </c>
      <c r="K1640" t="str">
        <f>_xlfn.IFNA(IF(I1640&lt;&gt;0,VLOOKUP(I1640,ItemText[],IFERROR(MATCH(UI!$B$1,ItemText[#Headers],0),2),FALSE),""),"Unset")</f>
        <v/>
      </c>
      <c r="M1640">
        <v>0</v>
      </c>
      <c r="P1640">
        <v>0</v>
      </c>
      <c r="S1640">
        <v>0</v>
      </c>
      <c r="T1640" t="str">
        <f>IF(VALUE(S1640)=0,"",VLOOKUP(VLOOKUP(S1640,Tbl_Effect[],3,FALSE),EffectName[],IFERROR(MATCH(UI!$B$1,EffectName[#Headers],0),2),FALSE))</f>
        <v/>
      </c>
      <c r="U1640" t="str">
        <f t="shared" si="167"/>
        <v/>
      </c>
      <c r="V1640">
        <v>0</v>
      </c>
      <c r="W1640" t="str">
        <f>IF(V1640&lt;&gt;0,VLOOKUP(VLOOKUP(V1640,Tbl_Effect[],3,FALSE),EffectName[],IFERROR(MATCH(UI!$B$1,EffectName[#Headers],0),2),FALSE),"")</f>
        <v/>
      </c>
      <c r="X1640" t="str">
        <f t="shared" si="168"/>
        <v/>
      </c>
      <c r="Y1640">
        <v>0</v>
      </c>
      <c r="Z1640" t="str">
        <f>IF(Y1640&lt;&gt;0,VLOOKUP(VLOOKUP(Y1640,Tbl_Effect[],3,FALSE),EffectName[],IFERROR(MATCH(UI!$B$1,EffectName[#Headers],0),2),FALSE),"")</f>
        <v/>
      </c>
      <c r="AA1640" t="str">
        <f t="shared" si="169"/>
        <v/>
      </c>
      <c r="AB1640">
        <v>0</v>
      </c>
      <c r="AC1640" t="str">
        <f>IF(AB1640&lt;&gt;0,VLOOKUP(VLOOKUP(AB1640,Tbl_Effect[],3,FALSE),EffectName[],IFERROR(MATCH(UI!$B$1,EffectName[#Headers],0),2),FALSE),"")</f>
        <v/>
      </c>
    </row>
    <row r="1641" spans="8:29" x14ac:dyDescent="0.4">
      <c r="H1641" t="str">
        <f t="shared" si="166"/>
        <v/>
      </c>
      <c r="I1641">
        <v>0</v>
      </c>
      <c r="J1641" t="str">
        <f>_xlfn.IFNA(IF(I1641&lt;&gt;0,VLOOKUP(VLOOKUP(I1641,Tbl_Equip[],2,FALSE),Tbl_Color[],IFERROR(MATCH(UI!$B$1,Tbl_Color[#Headers],0),2),FALSE),""),"Unset")</f>
        <v/>
      </c>
      <c r="K1641" t="str">
        <f>_xlfn.IFNA(IF(I1641&lt;&gt;0,VLOOKUP(I1641,ItemText[],IFERROR(MATCH(UI!$B$1,ItemText[#Headers],0),2),FALSE),""),"Unset")</f>
        <v/>
      </c>
      <c r="M1641">
        <v>0</v>
      </c>
      <c r="P1641">
        <v>0</v>
      </c>
      <c r="S1641">
        <v>0</v>
      </c>
      <c r="T1641" t="str">
        <f>IF(VALUE(S1641)=0,"",VLOOKUP(VLOOKUP(S1641,Tbl_Effect[],3,FALSE),EffectName[],IFERROR(MATCH(UI!$B$1,EffectName[#Headers],0),2),FALSE))</f>
        <v/>
      </c>
      <c r="U1641" t="str">
        <f t="shared" si="167"/>
        <v/>
      </c>
      <c r="V1641">
        <v>0</v>
      </c>
      <c r="W1641" t="str">
        <f>IF(V1641&lt;&gt;0,VLOOKUP(VLOOKUP(V1641,Tbl_Effect[],3,FALSE),EffectName[],IFERROR(MATCH(UI!$B$1,EffectName[#Headers],0),2),FALSE),"")</f>
        <v/>
      </c>
      <c r="X1641" t="str">
        <f t="shared" si="168"/>
        <v/>
      </c>
      <c r="Y1641">
        <v>0</v>
      </c>
      <c r="Z1641" t="str">
        <f>IF(Y1641&lt;&gt;0,VLOOKUP(VLOOKUP(Y1641,Tbl_Effect[],3,FALSE),EffectName[],IFERROR(MATCH(UI!$B$1,EffectName[#Headers],0),2),FALSE),"")</f>
        <v/>
      </c>
      <c r="AA1641" t="str">
        <f t="shared" si="169"/>
        <v/>
      </c>
      <c r="AB1641">
        <v>0</v>
      </c>
      <c r="AC1641" t="str">
        <f>IF(AB1641&lt;&gt;0,VLOOKUP(VLOOKUP(AB1641,Tbl_Effect[],3,FALSE),EffectName[],IFERROR(MATCH(UI!$B$1,EffectName[#Headers],0),2),FALSE),"")</f>
        <v/>
      </c>
    </row>
    <row r="1642" spans="8:29" x14ac:dyDescent="0.4">
      <c r="H1642" t="str">
        <f t="shared" si="166"/>
        <v/>
      </c>
      <c r="I1642">
        <v>0</v>
      </c>
      <c r="J1642" t="str">
        <f>_xlfn.IFNA(IF(I1642&lt;&gt;0,VLOOKUP(VLOOKUP(I1642,Tbl_Equip[],2,FALSE),Tbl_Color[],IFERROR(MATCH(UI!$B$1,Tbl_Color[#Headers],0),2),FALSE),""),"Unset")</f>
        <v/>
      </c>
      <c r="K1642" t="str">
        <f>_xlfn.IFNA(IF(I1642&lt;&gt;0,VLOOKUP(I1642,ItemText[],IFERROR(MATCH(UI!$B$1,ItemText[#Headers],0),2),FALSE),""),"Unset")</f>
        <v/>
      </c>
      <c r="M1642">
        <v>0</v>
      </c>
      <c r="P1642">
        <v>0</v>
      </c>
      <c r="S1642">
        <v>0</v>
      </c>
      <c r="T1642" t="str">
        <f>IF(VALUE(S1642)=0,"",VLOOKUP(VLOOKUP(S1642,Tbl_Effect[],3,FALSE),EffectName[],IFERROR(MATCH(UI!$B$1,EffectName[#Headers],0),2),FALSE))</f>
        <v/>
      </c>
      <c r="U1642" t="str">
        <f t="shared" si="167"/>
        <v/>
      </c>
      <c r="V1642">
        <v>0</v>
      </c>
      <c r="W1642" t="str">
        <f>IF(V1642&lt;&gt;0,VLOOKUP(VLOOKUP(V1642,Tbl_Effect[],3,FALSE),EffectName[],IFERROR(MATCH(UI!$B$1,EffectName[#Headers],0),2),FALSE),"")</f>
        <v/>
      </c>
      <c r="X1642" t="str">
        <f t="shared" si="168"/>
        <v/>
      </c>
      <c r="Y1642">
        <v>0</v>
      </c>
      <c r="Z1642" t="str">
        <f>IF(Y1642&lt;&gt;0,VLOOKUP(VLOOKUP(Y1642,Tbl_Effect[],3,FALSE),EffectName[],IFERROR(MATCH(UI!$B$1,EffectName[#Headers],0),2),FALSE),"")</f>
        <v/>
      </c>
      <c r="AA1642" t="str">
        <f t="shared" si="169"/>
        <v/>
      </c>
      <c r="AB1642">
        <v>0</v>
      </c>
      <c r="AC1642" t="str">
        <f>IF(AB1642&lt;&gt;0,VLOOKUP(VLOOKUP(AB1642,Tbl_Effect[],3,FALSE),EffectName[],IFERROR(MATCH(UI!$B$1,EffectName[#Headers],0),2),FALSE),"")</f>
        <v/>
      </c>
    </row>
    <row r="1643" spans="8:29" x14ac:dyDescent="0.4">
      <c r="H1643" t="str">
        <f t="shared" si="166"/>
        <v/>
      </c>
      <c r="I1643">
        <v>0</v>
      </c>
      <c r="J1643" t="str">
        <f>_xlfn.IFNA(IF(I1643&lt;&gt;0,VLOOKUP(VLOOKUP(I1643,Tbl_Equip[],2,FALSE),Tbl_Color[],IFERROR(MATCH(UI!$B$1,Tbl_Color[#Headers],0),2),FALSE),""),"Unset")</f>
        <v/>
      </c>
      <c r="K1643" t="str">
        <f>_xlfn.IFNA(IF(I1643&lt;&gt;0,VLOOKUP(I1643,ItemText[],IFERROR(MATCH(UI!$B$1,ItemText[#Headers],0),2),FALSE),""),"Unset")</f>
        <v/>
      </c>
      <c r="M1643">
        <v>0</v>
      </c>
      <c r="P1643">
        <v>0</v>
      </c>
      <c r="S1643">
        <v>0</v>
      </c>
      <c r="T1643" t="str">
        <f>IF(VALUE(S1643)=0,"",VLOOKUP(VLOOKUP(S1643,Tbl_Effect[],3,FALSE),EffectName[],IFERROR(MATCH(UI!$B$1,EffectName[#Headers],0),2),FALSE))</f>
        <v/>
      </c>
      <c r="U1643" t="str">
        <f t="shared" si="167"/>
        <v/>
      </c>
      <c r="V1643">
        <v>0</v>
      </c>
      <c r="W1643" t="str">
        <f>IF(V1643&lt;&gt;0,VLOOKUP(VLOOKUP(V1643,Tbl_Effect[],3,FALSE),EffectName[],IFERROR(MATCH(UI!$B$1,EffectName[#Headers],0),2),FALSE),"")</f>
        <v/>
      </c>
      <c r="X1643" t="str">
        <f t="shared" si="168"/>
        <v/>
      </c>
      <c r="Y1643">
        <v>0</v>
      </c>
      <c r="Z1643" t="str">
        <f>IF(Y1643&lt;&gt;0,VLOOKUP(VLOOKUP(Y1643,Tbl_Effect[],3,FALSE),EffectName[],IFERROR(MATCH(UI!$B$1,EffectName[#Headers],0),2),FALSE),"")</f>
        <v/>
      </c>
      <c r="AA1643" t="str">
        <f t="shared" si="169"/>
        <v/>
      </c>
      <c r="AB1643">
        <v>0</v>
      </c>
      <c r="AC1643" t="str">
        <f>IF(AB1643&lt;&gt;0,VLOOKUP(VLOOKUP(AB1643,Tbl_Effect[],3,FALSE),EffectName[],IFERROR(MATCH(UI!$B$1,EffectName[#Headers],0),2),FALSE),"")</f>
        <v/>
      </c>
    </row>
    <row r="1644" spans="8:29" x14ac:dyDescent="0.4">
      <c r="H1644" t="str">
        <f t="shared" si="166"/>
        <v/>
      </c>
      <c r="I1644">
        <v>0</v>
      </c>
      <c r="J1644" t="str">
        <f>_xlfn.IFNA(IF(I1644&lt;&gt;0,VLOOKUP(VLOOKUP(I1644,Tbl_Equip[],2,FALSE),Tbl_Color[],IFERROR(MATCH(UI!$B$1,Tbl_Color[#Headers],0),2),FALSE),""),"Unset")</f>
        <v/>
      </c>
      <c r="K1644" t="str">
        <f>_xlfn.IFNA(IF(I1644&lt;&gt;0,VLOOKUP(I1644,ItemText[],IFERROR(MATCH(UI!$B$1,ItemText[#Headers],0),2),FALSE),""),"Unset")</f>
        <v/>
      </c>
      <c r="M1644">
        <v>0</v>
      </c>
      <c r="P1644">
        <v>0</v>
      </c>
      <c r="S1644">
        <v>0</v>
      </c>
      <c r="T1644" t="str">
        <f>IF(VALUE(S1644)=0,"",VLOOKUP(VLOOKUP(S1644,Tbl_Effect[],3,FALSE),EffectName[],IFERROR(MATCH(UI!$B$1,EffectName[#Headers],0),2),FALSE))</f>
        <v/>
      </c>
      <c r="U1644" t="str">
        <f t="shared" si="167"/>
        <v/>
      </c>
      <c r="V1644">
        <v>0</v>
      </c>
      <c r="W1644" t="str">
        <f>IF(V1644&lt;&gt;0,VLOOKUP(VLOOKUP(V1644,Tbl_Effect[],3,FALSE),EffectName[],IFERROR(MATCH(UI!$B$1,EffectName[#Headers],0),2),FALSE),"")</f>
        <v/>
      </c>
      <c r="X1644" t="str">
        <f t="shared" si="168"/>
        <v/>
      </c>
      <c r="Y1644">
        <v>0</v>
      </c>
      <c r="Z1644" t="str">
        <f>IF(Y1644&lt;&gt;0,VLOOKUP(VLOOKUP(Y1644,Tbl_Effect[],3,FALSE),EffectName[],IFERROR(MATCH(UI!$B$1,EffectName[#Headers],0),2),FALSE),"")</f>
        <v/>
      </c>
      <c r="AA1644" t="str">
        <f t="shared" si="169"/>
        <v/>
      </c>
      <c r="AB1644">
        <v>0</v>
      </c>
      <c r="AC1644" t="str">
        <f>IF(AB1644&lt;&gt;0,VLOOKUP(VLOOKUP(AB1644,Tbl_Effect[],3,FALSE),EffectName[],IFERROR(MATCH(UI!$B$1,EffectName[#Headers],0),2),FALSE),"")</f>
        <v/>
      </c>
    </row>
    <row r="1645" spans="8:29" x14ac:dyDescent="0.4">
      <c r="H1645" t="str">
        <f t="shared" si="166"/>
        <v/>
      </c>
      <c r="I1645">
        <v>0</v>
      </c>
      <c r="J1645" t="str">
        <f>_xlfn.IFNA(IF(I1645&lt;&gt;0,VLOOKUP(VLOOKUP(I1645,Tbl_Equip[],2,FALSE),Tbl_Color[],IFERROR(MATCH(UI!$B$1,Tbl_Color[#Headers],0),2),FALSE),""),"Unset")</f>
        <v/>
      </c>
      <c r="K1645" t="str">
        <f>_xlfn.IFNA(IF(I1645&lt;&gt;0,VLOOKUP(I1645,ItemText[],IFERROR(MATCH(UI!$B$1,ItemText[#Headers],0),2),FALSE),""),"Unset")</f>
        <v/>
      </c>
      <c r="M1645">
        <v>0</v>
      </c>
      <c r="P1645">
        <v>0</v>
      </c>
      <c r="S1645">
        <v>0</v>
      </c>
      <c r="T1645" t="str">
        <f>IF(VALUE(S1645)=0,"",VLOOKUP(VLOOKUP(S1645,Tbl_Effect[],3,FALSE),EffectName[],IFERROR(MATCH(UI!$B$1,EffectName[#Headers],0),2),FALSE))</f>
        <v/>
      </c>
      <c r="U1645" t="str">
        <f t="shared" si="167"/>
        <v/>
      </c>
      <c r="V1645">
        <v>0</v>
      </c>
      <c r="W1645" t="str">
        <f>IF(V1645&lt;&gt;0,VLOOKUP(VLOOKUP(V1645,Tbl_Effect[],3,FALSE),EffectName[],IFERROR(MATCH(UI!$B$1,EffectName[#Headers],0),2),FALSE),"")</f>
        <v/>
      </c>
      <c r="X1645" t="str">
        <f t="shared" si="168"/>
        <v/>
      </c>
      <c r="Y1645">
        <v>0</v>
      </c>
      <c r="Z1645" t="str">
        <f>IF(Y1645&lt;&gt;0,VLOOKUP(VLOOKUP(Y1645,Tbl_Effect[],3,FALSE),EffectName[],IFERROR(MATCH(UI!$B$1,EffectName[#Headers],0),2),FALSE),"")</f>
        <v/>
      </c>
      <c r="AA1645" t="str">
        <f t="shared" si="169"/>
        <v/>
      </c>
      <c r="AB1645">
        <v>0</v>
      </c>
      <c r="AC1645" t="str">
        <f>IF(AB1645&lt;&gt;0,VLOOKUP(VLOOKUP(AB1645,Tbl_Effect[],3,FALSE),EffectName[],IFERROR(MATCH(UI!$B$1,EffectName[#Headers],0),2),FALSE),"")</f>
        <v/>
      </c>
    </row>
    <row r="1646" spans="8:29" x14ac:dyDescent="0.4">
      <c r="H1646" t="str">
        <f t="shared" si="166"/>
        <v/>
      </c>
      <c r="I1646">
        <v>0</v>
      </c>
      <c r="J1646" t="str">
        <f>_xlfn.IFNA(IF(I1646&lt;&gt;0,VLOOKUP(VLOOKUP(I1646,Tbl_Equip[],2,FALSE),Tbl_Color[],IFERROR(MATCH(UI!$B$1,Tbl_Color[#Headers],0),2),FALSE),""),"Unset")</f>
        <v/>
      </c>
      <c r="K1646" t="str">
        <f>_xlfn.IFNA(IF(I1646&lt;&gt;0,VLOOKUP(I1646,ItemText[],IFERROR(MATCH(UI!$B$1,ItemText[#Headers],0),2),FALSE),""),"Unset")</f>
        <v/>
      </c>
      <c r="M1646">
        <v>0</v>
      </c>
      <c r="P1646">
        <v>0</v>
      </c>
      <c r="S1646">
        <v>0</v>
      </c>
      <c r="T1646" t="str">
        <f>IF(VALUE(S1646)=0,"",VLOOKUP(VLOOKUP(S1646,Tbl_Effect[],3,FALSE),EffectName[],IFERROR(MATCH(UI!$B$1,EffectName[#Headers],0),2),FALSE))</f>
        <v/>
      </c>
      <c r="U1646" t="str">
        <f t="shared" si="167"/>
        <v/>
      </c>
      <c r="V1646">
        <v>0</v>
      </c>
      <c r="W1646" t="str">
        <f>IF(V1646&lt;&gt;0,VLOOKUP(VLOOKUP(V1646,Tbl_Effect[],3,FALSE),EffectName[],IFERROR(MATCH(UI!$B$1,EffectName[#Headers],0),2),FALSE),"")</f>
        <v/>
      </c>
      <c r="X1646" t="str">
        <f t="shared" si="168"/>
        <v/>
      </c>
      <c r="Y1646">
        <v>0</v>
      </c>
      <c r="Z1646" t="str">
        <f>IF(Y1646&lt;&gt;0,VLOOKUP(VLOOKUP(Y1646,Tbl_Effect[],3,FALSE),EffectName[],IFERROR(MATCH(UI!$B$1,EffectName[#Headers],0),2),FALSE),"")</f>
        <v/>
      </c>
      <c r="AA1646" t="str">
        <f t="shared" si="169"/>
        <v/>
      </c>
      <c r="AB1646">
        <v>0</v>
      </c>
      <c r="AC1646" t="str">
        <f>IF(AB1646&lt;&gt;0,VLOOKUP(VLOOKUP(AB1646,Tbl_Effect[],3,FALSE),EffectName[],IFERROR(MATCH(UI!$B$1,EffectName[#Headers],0),2),FALSE),"")</f>
        <v/>
      </c>
    </row>
    <row r="1647" spans="8:29" x14ac:dyDescent="0.4">
      <c r="H1647" t="str">
        <f t="shared" si="166"/>
        <v/>
      </c>
      <c r="I1647">
        <v>0</v>
      </c>
      <c r="J1647" t="str">
        <f>_xlfn.IFNA(IF(I1647&lt;&gt;0,VLOOKUP(VLOOKUP(I1647,Tbl_Equip[],2,FALSE),Tbl_Color[],IFERROR(MATCH(UI!$B$1,Tbl_Color[#Headers],0),2),FALSE),""),"Unset")</f>
        <v/>
      </c>
      <c r="K1647" t="str">
        <f>_xlfn.IFNA(IF(I1647&lt;&gt;0,VLOOKUP(I1647,ItemText[],IFERROR(MATCH(UI!$B$1,ItemText[#Headers],0),2),FALSE),""),"Unset")</f>
        <v/>
      </c>
      <c r="M1647">
        <v>0</v>
      </c>
      <c r="P1647">
        <v>0</v>
      </c>
      <c r="S1647">
        <v>0</v>
      </c>
      <c r="T1647" t="str">
        <f>IF(VALUE(S1647)=0,"",VLOOKUP(VLOOKUP(S1647,Tbl_Effect[],3,FALSE),EffectName[],IFERROR(MATCH(UI!$B$1,EffectName[#Headers],0),2),FALSE))</f>
        <v/>
      </c>
      <c r="U1647" t="str">
        <f t="shared" si="167"/>
        <v/>
      </c>
      <c r="V1647">
        <v>0</v>
      </c>
      <c r="W1647" t="str">
        <f>IF(V1647&lt;&gt;0,VLOOKUP(VLOOKUP(V1647,Tbl_Effect[],3,FALSE),EffectName[],IFERROR(MATCH(UI!$B$1,EffectName[#Headers],0),2),FALSE),"")</f>
        <v/>
      </c>
      <c r="X1647" t="str">
        <f t="shared" si="168"/>
        <v/>
      </c>
      <c r="Y1647">
        <v>0</v>
      </c>
      <c r="Z1647" t="str">
        <f>IF(Y1647&lt;&gt;0,VLOOKUP(VLOOKUP(Y1647,Tbl_Effect[],3,FALSE),EffectName[],IFERROR(MATCH(UI!$B$1,EffectName[#Headers],0),2),FALSE),"")</f>
        <v/>
      </c>
      <c r="AA1647" t="str">
        <f t="shared" si="169"/>
        <v/>
      </c>
      <c r="AB1647">
        <v>0</v>
      </c>
      <c r="AC1647" t="str">
        <f>IF(AB1647&lt;&gt;0,VLOOKUP(VLOOKUP(AB1647,Tbl_Effect[],3,FALSE),EffectName[],IFERROR(MATCH(UI!$B$1,EffectName[#Headers],0),2),FALSE),"")</f>
        <v/>
      </c>
    </row>
    <row r="1648" spans="8:29" x14ac:dyDescent="0.4">
      <c r="H1648" t="str">
        <f t="shared" si="166"/>
        <v/>
      </c>
      <c r="I1648">
        <v>0</v>
      </c>
      <c r="J1648" t="str">
        <f>_xlfn.IFNA(IF(I1648&lt;&gt;0,VLOOKUP(VLOOKUP(I1648,Tbl_Equip[],2,FALSE),Tbl_Color[],IFERROR(MATCH(UI!$B$1,Tbl_Color[#Headers],0),2),FALSE),""),"Unset")</f>
        <v/>
      </c>
      <c r="K1648" t="str">
        <f>_xlfn.IFNA(IF(I1648&lt;&gt;0,VLOOKUP(I1648,ItemText[],IFERROR(MATCH(UI!$B$1,ItemText[#Headers],0),2),FALSE),""),"Unset")</f>
        <v/>
      </c>
      <c r="M1648">
        <v>0</v>
      </c>
      <c r="P1648">
        <v>0</v>
      </c>
      <c r="S1648">
        <v>0</v>
      </c>
      <c r="T1648" t="str">
        <f>IF(VALUE(S1648)=0,"",VLOOKUP(VLOOKUP(S1648,Tbl_Effect[],3,FALSE),EffectName[],IFERROR(MATCH(UI!$B$1,EffectName[#Headers],0),2),FALSE))</f>
        <v/>
      </c>
      <c r="U1648" t="str">
        <f t="shared" si="167"/>
        <v/>
      </c>
      <c r="V1648">
        <v>0</v>
      </c>
      <c r="W1648" t="str">
        <f>IF(V1648&lt;&gt;0,VLOOKUP(VLOOKUP(V1648,Tbl_Effect[],3,FALSE),EffectName[],IFERROR(MATCH(UI!$B$1,EffectName[#Headers],0),2),FALSE),"")</f>
        <v/>
      </c>
      <c r="X1648" t="str">
        <f t="shared" si="168"/>
        <v/>
      </c>
      <c r="Y1648">
        <v>0</v>
      </c>
      <c r="Z1648" t="str">
        <f>IF(Y1648&lt;&gt;0,VLOOKUP(VLOOKUP(Y1648,Tbl_Effect[],3,FALSE),EffectName[],IFERROR(MATCH(UI!$B$1,EffectName[#Headers],0),2),FALSE),"")</f>
        <v/>
      </c>
      <c r="AA1648" t="str">
        <f t="shared" si="169"/>
        <v/>
      </c>
      <c r="AB1648">
        <v>0</v>
      </c>
      <c r="AC1648" t="str">
        <f>IF(AB1648&lt;&gt;0,VLOOKUP(VLOOKUP(AB1648,Tbl_Effect[],3,FALSE),EffectName[],IFERROR(MATCH(UI!$B$1,EffectName[#Headers],0),2),FALSE),"")</f>
        <v/>
      </c>
    </row>
    <row r="1649" spans="8:29" x14ac:dyDescent="0.4">
      <c r="H1649" t="str">
        <f t="shared" si="166"/>
        <v/>
      </c>
      <c r="I1649">
        <v>0</v>
      </c>
      <c r="J1649" t="str">
        <f>_xlfn.IFNA(IF(I1649&lt;&gt;0,VLOOKUP(VLOOKUP(I1649,Tbl_Equip[],2,FALSE),Tbl_Color[],IFERROR(MATCH(UI!$B$1,Tbl_Color[#Headers],0),2),FALSE),""),"Unset")</f>
        <v/>
      </c>
      <c r="K1649" t="str">
        <f>_xlfn.IFNA(IF(I1649&lt;&gt;0,VLOOKUP(I1649,ItemText[],IFERROR(MATCH(UI!$B$1,ItemText[#Headers],0),2),FALSE),""),"Unset")</f>
        <v/>
      </c>
      <c r="M1649">
        <v>0</v>
      </c>
      <c r="P1649">
        <v>0</v>
      </c>
      <c r="S1649">
        <v>0</v>
      </c>
      <c r="T1649" t="str">
        <f>IF(VALUE(S1649)=0,"",VLOOKUP(VLOOKUP(S1649,Tbl_Effect[],3,FALSE),EffectName[],IFERROR(MATCH(UI!$B$1,EffectName[#Headers],0),2),FALSE))</f>
        <v/>
      </c>
      <c r="U1649" t="str">
        <f t="shared" si="167"/>
        <v/>
      </c>
      <c r="V1649">
        <v>0</v>
      </c>
      <c r="W1649" t="str">
        <f>IF(V1649&lt;&gt;0,VLOOKUP(VLOOKUP(V1649,Tbl_Effect[],3,FALSE),EffectName[],IFERROR(MATCH(UI!$B$1,EffectName[#Headers],0),2),FALSE),"")</f>
        <v/>
      </c>
      <c r="X1649" t="str">
        <f t="shared" si="168"/>
        <v/>
      </c>
      <c r="Y1649">
        <v>0</v>
      </c>
      <c r="Z1649" t="str">
        <f>IF(Y1649&lt;&gt;0,VLOOKUP(VLOOKUP(Y1649,Tbl_Effect[],3,FALSE),EffectName[],IFERROR(MATCH(UI!$B$1,EffectName[#Headers],0),2),FALSE),"")</f>
        <v/>
      </c>
      <c r="AA1649" t="str">
        <f t="shared" si="169"/>
        <v/>
      </c>
      <c r="AB1649">
        <v>0</v>
      </c>
      <c r="AC1649" t="str">
        <f>IF(AB1649&lt;&gt;0,VLOOKUP(VLOOKUP(AB1649,Tbl_Effect[],3,FALSE),EffectName[],IFERROR(MATCH(UI!$B$1,EffectName[#Headers],0),2),FALSE),"")</f>
        <v/>
      </c>
    </row>
    <row r="1650" spans="8:29" x14ac:dyDescent="0.4">
      <c r="H1650" t="str">
        <f t="shared" si="166"/>
        <v/>
      </c>
      <c r="I1650">
        <v>0</v>
      </c>
      <c r="J1650" t="str">
        <f>_xlfn.IFNA(IF(I1650&lt;&gt;0,VLOOKUP(VLOOKUP(I1650,Tbl_Equip[],2,FALSE),Tbl_Color[],IFERROR(MATCH(UI!$B$1,Tbl_Color[#Headers],0),2),FALSE),""),"Unset")</f>
        <v/>
      </c>
      <c r="K1650" t="str">
        <f>_xlfn.IFNA(IF(I1650&lt;&gt;0,VLOOKUP(I1650,ItemText[],IFERROR(MATCH(UI!$B$1,ItemText[#Headers],0),2),FALSE),""),"Unset")</f>
        <v/>
      </c>
      <c r="M1650">
        <v>0</v>
      </c>
      <c r="P1650">
        <v>0</v>
      </c>
      <c r="S1650">
        <v>0</v>
      </c>
      <c r="T1650" t="str">
        <f>IF(VALUE(S1650)=0,"",VLOOKUP(VLOOKUP(S1650,Tbl_Effect[],3,FALSE),EffectName[],IFERROR(MATCH(UI!$B$1,EffectName[#Headers],0),2),FALSE))</f>
        <v/>
      </c>
      <c r="U1650" t="str">
        <f t="shared" si="167"/>
        <v/>
      </c>
      <c r="V1650">
        <v>0</v>
      </c>
      <c r="W1650" t="str">
        <f>IF(V1650&lt;&gt;0,VLOOKUP(VLOOKUP(V1650,Tbl_Effect[],3,FALSE),EffectName[],IFERROR(MATCH(UI!$B$1,EffectName[#Headers],0),2),FALSE),"")</f>
        <v/>
      </c>
      <c r="X1650" t="str">
        <f t="shared" si="168"/>
        <v/>
      </c>
      <c r="Y1650">
        <v>0</v>
      </c>
      <c r="Z1650" t="str">
        <f>IF(Y1650&lt;&gt;0,VLOOKUP(VLOOKUP(Y1650,Tbl_Effect[],3,FALSE),EffectName[],IFERROR(MATCH(UI!$B$1,EffectName[#Headers],0),2),FALSE),"")</f>
        <v/>
      </c>
      <c r="AA1650" t="str">
        <f t="shared" si="169"/>
        <v/>
      </c>
      <c r="AB1650">
        <v>0</v>
      </c>
      <c r="AC1650" t="str">
        <f>IF(AB1650&lt;&gt;0,VLOOKUP(VLOOKUP(AB1650,Tbl_Effect[],3,FALSE),EffectName[],IFERROR(MATCH(UI!$B$1,EffectName[#Headers],0),2),FALSE),"")</f>
        <v/>
      </c>
    </row>
    <row r="1651" spans="8:29" x14ac:dyDescent="0.4">
      <c r="H1651" t="str">
        <f t="shared" si="166"/>
        <v/>
      </c>
      <c r="I1651">
        <v>0</v>
      </c>
      <c r="J1651" t="str">
        <f>_xlfn.IFNA(IF(I1651&lt;&gt;0,VLOOKUP(VLOOKUP(I1651,Tbl_Equip[],2,FALSE),Tbl_Color[],IFERROR(MATCH(UI!$B$1,Tbl_Color[#Headers],0),2),FALSE),""),"Unset")</f>
        <v/>
      </c>
      <c r="K1651" t="str">
        <f>_xlfn.IFNA(IF(I1651&lt;&gt;0,VLOOKUP(I1651,ItemText[],IFERROR(MATCH(UI!$B$1,ItemText[#Headers],0),2),FALSE),""),"Unset")</f>
        <v/>
      </c>
      <c r="M1651">
        <v>0</v>
      </c>
      <c r="P1651">
        <v>0</v>
      </c>
      <c r="S1651">
        <v>0</v>
      </c>
      <c r="T1651" t="str">
        <f>IF(VALUE(S1651)=0,"",VLOOKUP(VLOOKUP(S1651,Tbl_Effect[],3,FALSE),EffectName[],IFERROR(MATCH(UI!$B$1,EffectName[#Headers],0),2),FALSE))</f>
        <v/>
      </c>
      <c r="U1651" t="str">
        <f t="shared" si="167"/>
        <v/>
      </c>
      <c r="V1651">
        <v>0</v>
      </c>
      <c r="W1651" t="str">
        <f>IF(V1651&lt;&gt;0,VLOOKUP(VLOOKUP(V1651,Tbl_Effect[],3,FALSE),EffectName[],IFERROR(MATCH(UI!$B$1,EffectName[#Headers],0),2),FALSE),"")</f>
        <v/>
      </c>
      <c r="X1651" t="str">
        <f t="shared" si="168"/>
        <v/>
      </c>
      <c r="Y1651">
        <v>0</v>
      </c>
      <c r="Z1651" t="str">
        <f>IF(Y1651&lt;&gt;0,VLOOKUP(VLOOKUP(Y1651,Tbl_Effect[],3,FALSE),EffectName[],IFERROR(MATCH(UI!$B$1,EffectName[#Headers],0),2),FALSE),"")</f>
        <v/>
      </c>
      <c r="AA1651" t="str">
        <f t="shared" si="169"/>
        <v/>
      </c>
      <c r="AB1651">
        <v>0</v>
      </c>
      <c r="AC1651" t="str">
        <f>IF(AB1651&lt;&gt;0,VLOOKUP(VLOOKUP(AB1651,Tbl_Effect[],3,FALSE),EffectName[],IFERROR(MATCH(UI!$B$1,EffectName[#Headers],0),2),FALSE),"")</f>
        <v/>
      </c>
    </row>
    <row r="1652" spans="8:29" x14ac:dyDescent="0.4">
      <c r="H1652" t="str">
        <f t="shared" si="166"/>
        <v/>
      </c>
      <c r="I1652">
        <v>0</v>
      </c>
      <c r="J1652" t="str">
        <f>_xlfn.IFNA(IF(I1652&lt;&gt;0,VLOOKUP(VLOOKUP(I1652,Tbl_Equip[],2,FALSE),Tbl_Color[],IFERROR(MATCH(UI!$B$1,Tbl_Color[#Headers],0),2),FALSE),""),"Unset")</f>
        <v/>
      </c>
      <c r="K1652" t="str">
        <f>_xlfn.IFNA(IF(I1652&lt;&gt;0,VLOOKUP(I1652,ItemText[],IFERROR(MATCH(UI!$B$1,ItemText[#Headers],0),2),FALSE),""),"Unset")</f>
        <v/>
      </c>
      <c r="M1652">
        <v>0</v>
      </c>
      <c r="P1652">
        <v>0</v>
      </c>
      <c r="S1652">
        <v>0</v>
      </c>
      <c r="T1652" t="str">
        <f>IF(VALUE(S1652)=0,"",VLOOKUP(VLOOKUP(S1652,Tbl_Effect[],3,FALSE),EffectName[],IFERROR(MATCH(UI!$B$1,EffectName[#Headers],0),2),FALSE))</f>
        <v/>
      </c>
      <c r="U1652" t="str">
        <f t="shared" si="167"/>
        <v/>
      </c>
      <c r="V1652">
        <v>0</v>
      </c>
      <c r="W1652" t="str">
        <f>IF(V1652&lt;&gt;0,VLOOKUP(VLOOKUP(V1652,Tbl_Effect[],3,FALSE),EffectName[],IFERROR(MATCH(UI!$B$1,EffectName[#Headers],0),2),FALSE),"")</f>
        <v/>
      </c>
      <c r="X1652" t="str">
        <f t="shared" si="168"/>
        <v/>
      </c>
      <c r="Y1652">
        <v>0</v>
      </c>
      <c r="Z1652" t="str">
        <f>IF(Y1652&lt;&gt;0,VLOOKUP(VLOOKUP(Y1652,Tbl_Effect[],3,FALSE),EffectName[],IFERROR(MATCH(UI!$B$1,EffectName[#Headers],0),2),FALSE),"")</f>
        <v/>
      </c>
      <c r="AA1652" t="str">
        <f t="shared" si="169"/>
        <v/>
      </c>
      <c r="AB1652">
        <v>0</v>
      </c>
      <c r="AC1652" t="str">
        <f>IF(AB1652&lt;&gt;0,VLOOKUP(VLOOKUP(AB1652,Tbl_Effect[],3,FALSE),EffectName[],IFERROR(MATCH(UI!$B$1,EffectName[#Headers],0),2),FALSE),"")</f>
        <v/>
      </c>
    </row>
    <row r="1653" spans="8:29" x14ac:dyDescent="0.4">
      <c r="H1653" t="str">
        <f t="shared" si="166"/>
        <v/>
      </c>
      <c r="I1653">
        <v>0</v>
      </c>
      <c r="J1653" t="str">
        <f>_xlfn.IFNA(IF(I1653&lt;&gt;0,VLOOKUP(VLOOKUP(I1653,Tbl_Equip[],2,FALSE),Tbl_Color[],IFERROR(MATCH(UI!$B$1,Tbl_Color[#Headers],0),2),FALSE),""),"Unset")</f>
        <v/>
      </c>
      <c r="K1653" t="str">
        <f>_xlfn.IFNA(IF(I1653&lt;&gt;0,VLOOKUP(I1653,ItemText[],IFERROR(MATCH(UI!$B$1,ItemText[#Headers],0),2),FALSE),""),"Unset")</f>
        <v/>
      </c>
      <c r="M1653">
        <v>0</v>
      </c>
      <c r="P1653">
        <v>0</v>
      </c>
      <c r="S1653">
        <v>0</v>
      </c>
      <c r="T1653" t="str">
        <f>IF(VALUE(S1653)=0,"",VLOOKUP(VLOOKUP(S1653,Tbl_Effect[],3,FALSE),EffectName[],IFERROR(MATCH(UI!$B$1,EffectName[#Headers],0),2),FALSE))</f>
        <v/>
      </c>
      <c r="U1653" t="str">
        <f t="shared" si="167"/>
        <v/>
      </c>
      <c r="V1653">
        <v>0</v>
      </c>
      <c r="W1653" t="str">
        <f>IF(V1653&lt;&gt;0,VLOOKUP(VLOOKUP(V1653,Tbl_Effect[],3,FALSE),EffectName[],IFERROR(MATCH(UI!$B$1,EffectName[#Headers],0),2),FALSE),"")</f>
        <v/>
      </c>
      <c r="X1653" t="str">
        <f t="shared" si="168"/>
        <v/>
      </c>
      <c r="Y1653">
        <v>0</v>
      </c>
      <c r="Z1653" t="str">
        <f>IF(Y1653&lt;&gt;0,VLOOKUP(VLOOKUP(Y1653,Tbl_Effect[],3,FALSE),EffectName[],IFERROR(MATCH(UI!$B$1,EffectName[#Headers],0),2),FALSE),"")</f>
        <v/>
      </c>
      <c r="AA1653" t="str">
        <f t="shared" si="169"/>
        <v/>
      </c>
      <c r="AB1653">
        <v>0</v>
      </c>
      <c r="AC1653" t="str">
        <f>IF(AB1653&lt;&gt;0,VLOOKUP(VLOOKUP(AB1653,Tbl_Effect[],3,FALSE),EffectName[],IFERROR(MATCH(UI!$B$1,EffectName[#Headers],0),2),FALSE),"")</f>
        <v/>
      </c>
    </row>
    <row r="1654" spans="8:29" x14ac:dyDescent="0.4">
      <c r="H1654" t="str">
        <f t="shared" si="166"/>
        <v/>
      </c>
      <c r="I1654">
        <v>0</v>
      </c>
      <c r="J1654" t="str">
        <f>_xlfn.IFNA(IF(I1654&lt;&gt;0,VLOOKUP(VLOOKUP(I1654,Tbl_Equip[],2,FALSE),Tbl_Color[],IFERROR(MATCH(UI!$B$1,Tbl_Color[#Headers],0),2),FALSE),""),"Unset")</f>
        <v/>
      </c>
      <c r="K1654" t="str">
        <f>_xlfn.IFNA(IF(I1654&lt;&gt;0,VLOOKUP(I1654,ItemText[],IFERROR(MATCH(UI!$B$1,ItemText[#Headers],0),2),FALSE),""),"Unset")</f>
        <v/>
      </c>
      <c r="M1654">
        <v>0</v>
      </c>
      <c r="P1654">
        <v>0</v>
      </c>
      <c r="S1654">
        <v>0</v>
      </c>
      <c r="T1654" t="str">
        <f>IF(VALUE(S1654)=0,"",VLOOKUP(VLOOKUP(S1654,Tbl_Effect[],3,FALSE),EffectName[],IFERROR(MATCH(UI!$B$1,EffectName[#Headers],0),2),FALSE))</f>
        <v/>
      </c>
      <c r="U1654" t="str">
        <f t="shared" si="167"/>
        <v/>
      </c>
      <c r="V1654">
        <v>0</v>
      </c>
      <c r="W1654" t="str">
        <f>IF(V1654&lt;&gt;0,VLOOKUP(VLOOKUP(V1654,Tbl_Effect[],3,FALSE),EffectName[],IFERROR(MATCH(UI!$B$1,EffectName[#Headers],0),2),FALSE),"")</f>
        <v/>
      </c>
      <c r="X1654" t="str">
        <f t="shared" si="168"/>
        <v/>
      </c>
      <c r="Y1654">
        <v>0</v>
      </c>
      <c r="Z1654" t="str">
        <f>IF(Y1654&lt;&gt;0,VLOOKUP(VLOOKUP(Y1654,Tbl_Effect[],3,FALSE),EffectName[],IFERROR(MATCH(UI!$B$1,EffectName[#Headers],0),2),FALSE),"")</f>
        <v/>
      </c>
      <c r="AA1654" t="str">
        <f t="shared" si="169"/>
        <v/>
      </c>
      <c r="AB1654">
        <v>0</v>
      </c>
      <c r="AC1654" t="str">
        <f>IF(AB1654&lt;&gt;0,VLOOKUP(VLOOKUP(AB1654,Tbl_Effect[],3,FALSE),EffectName[],IFERROR(MATCH(UI!$B$1,EffectName[#Headers],0),2),FALSE),"")</f>
        <v/>
      </c>
    </row>
    <row r="1655" spans="8:29" x14ac:dyDescent="0.4">
      <c r="H1655" t="str">
        <f t="shared" si="166"/>
        <v/>
      </c>
      <c r="I1655">
        <v>0</v>
      </c>
      <c r="J1655" t="str">
        <f>_xlfn.IFNA(IF(I1655&lt;&gt;0,VLOOKUP(VLOOKUP(I1655,Tbl_Equip[],2,FALSE),Tbl_Color[],IFERROR(MATCH(UI!$B$1,Tbl_Color[#Headers],0),2),FALSE),""),"Unset")</f>
        <v/>
      </c>
      <c r="K1655" t="str">
        <f>_xlfn.IFNA(IF(I1655&lt;&gt;0,VLOOKUP(I1655,ItemText[],IFERROR(MATCH(UI!$B$1,ItemText[#Headers],0),2),FALSE),""),"Unset")</f>
        <v/>
      </c>
      <c r="M1655">
        <v>0</v>
      </c>
      <c r="P1655">
        <v>0</v>
      </c>
      <c r="S1655">
        <v>0</v>
      </c>
      <c r="T1655" t="str">
        <f>IF(VALUE(S1655)=0,"",VLOOKUP(VLOOKUP(S1655,Tbl_Effect[],3,FALSE),EffectName[],IFERROR(MATCH(UI!$B$1,EffectName[#Headers],0),2),FALSE))</f>
        <v/>
      </c>
      <c r="U1655" t="str">
        <f t="shared" si="167"/>
        <v/>
      </c>
      <c r="V1655">
        <v>0</v>
      </c>
      <c r="W1655" t="str">
        <f>IF(V1655&lt;&gt;0,VLOOKUP(VLOOKUP(V1655,Tbl_Effect[],3,FALSE),EffectName[],IFERROR(MATCH(UI!$B$1,EffectName[#Headers],0),2),FALSE),"")</f>
        <v/>
      </c>
      <c r="X1655" t="str">
        <f t="shared" si="168"/>
        <v/>
      </c>
      <c r="Y1655">
        <v>0</v>
      </c>
      <c r="Z1655" t="str">
        <f>IF(Y1655&lt;&gt;0,VLOOKUP(VLOOKUP(Y1655,Tbl_Effect[],3,FALSE),EffectName[],IFERROR(MATCH(UI!$B$1,EffectName[#Headers],0),2),FALSE),"")</f>
        <v/>
      </c>
      <c r="AA1655" t="str">
        <f t="shared" si="169"/>
        <v/>
      </c>
      <c r="AB1655">
        <v>0</v>
      </c>
      <c r="AC1655" t="str">
        <f>IF(AB1655&lt;&gt;0,VLOOKUP(VLOOKUP(AB1655,Tbl_Effect[],3,FALSE),EffectName[],IFERROR(MATCH(UI!$B$1,EffectName[#Headers],0),2),FALSE),"")</f>
        <v/>
      </c>
    </row>
    <row r="1656" spans="8:29" x14ac:dyDescent="0.4">
      <c r="H1656" t="str">
        <f t="shared" si="166"/>
        <v/>
      </c>
      <c r="I1656">
        <v>0</v>
      </c>
      <c r="J1656" t="str">
        <f>_xlfn.IFNA(IF(I1656&lt;&gt;0,VLOOKUP(VLOOKUP(I1656,Tbl_Equip[],2,FALSE),Tbl_Color[],IFERROR(MATCH(UI!$B$1,Tbl_Color[#Headers],0),2),FALSE),""),"Unset")</f>
        <v/>
      </c>
      <c r="K1656" t="str">
        <f>_xlfn.IFNA(IF(I1656&lt;&gt;0,VLOOKUP(I1656,ItemText[],IFERROR(MATCH(UI!$B$1,ItemText[#Headers],0),2),FALSE),""),"Unset")</f>
        <v/>
      </c>
      <c r="M1656">
        <v>0</v>
      </c>
      <c r="P1656">
        <v>0</v>
      </c>
      <c r="S1656">
        <v>0</v>
      </c>
      <c r="T1656" t="str">
        <f>IF(VALUE(S1656)=0,"",VLOOKUP(VLOOKUP(S1656,Tbl_Effect[],3,FALSE),EffectName[],IFERROR(MATCH(UI!$B$1,EffectName[#Headers],0),2),FALSE))</f>
        <v/>
      </c>
      <c r="U1656" t="str">
        <f t="shared" si="167"/>
        <v/>
      </c>
      <c r="V1656">
        <v>0</v>
      </c>
      <c r="W1656" t="str">
        <f>IF(V1656&lt;&gt;0,VLOOKUP(VLOOKUP(V1656,Tbl_Effect[],3,FALSE),EffectName[],IFERROR(MATCH(UI!$B$1,EffectName[#Headers],0),2),FALSE),"")</f>
        <v/>
      </c>
      <c r="X1656" t="str">
        <f t="shared" si="168"/>
        <v/>
      </c>
      <c r="Y1656">
        <v>0</v>
      </c>
      <c r="Z1656" t="str">
        <f>IF(Y1656&lt;&gt;0,VLOOKUP(VLOOKUP(Y1656,Tbl_Effect[],3,FALSE),EffectName[],IFERROR(MATCH(UI!$B$1,EffectName[#Headers],0),2),FALSE),"")</f>
        <v/>
      </c>
      <c r="AA1656" t="str">
        <f t="shared" si="169"/>
        <v/>
      </c>
      <c r="AB1656">
        <v>0</v>
      </c>
      <c r="AC1656" t="str">
        <f>IF(AB1656&lt;&gt;0,VLOOKUP(VLOOKUP(AB1656,Tbl_Effect[],3,FALSE),EffectName[],IFERROR(MATCH(UI!$B$1,EffectName[#Headers],0),2),FALSE),"")</f>
        <v/>
      </c>
    </row>
    <row r="1657" spans="8:29" x14ac:dyDescent="0.4">
      <c r="H1657" t="str">
        <f t="shared" si="166"/>
        <v/>
      </c>
      <c r="I1657">
        <v>0</v>
      </c>
      <c r="J1657" t="str">
        <f>_xlfn.IFNA(IF(I1657&lt;&gt;0,VLOOKUP(VLOOKUP(I1657,Tbl_Equip[],2,FALSE),Tbl_Color[],IFERROR(MATCH(UI!$B$1,Tbl_Color[#Headers],0),2),FALSE),""),"Unset")</f>
        <v/>
      </c>
      <c r="K1657" t="str">
        <f>_xlfn.IFNA(IF(I1657&lt;&gt;0,VLOOKUP(I1657,ItemText[],IFERROR(MATCH(UI!$B$1,ItemText[#Headers],0),2),FALSE),""),"Unset")</f>
        <v/>
      </c>
      <c r="M1657">
        <v>0</v>
      </c>
      <c r="P1657">
        <v>0</v>
      </c>
      <c r="S1657">
        <v>0</v>
      </c>
      <c r="T1657" t="str">
        <f>IF(VALUE(S1657)=0,"",VLOOKUP(VLOOKUP(S1657,Tbl_Effect[],3,FALSE),EffectName[],IFERROR(MATCH(UI!$B$1,EffectName[#Headers],0),2),FALSE))</f>
        <v/>
      </c>
      <c r="U1657" t="str">
        <f t="shared" si="167"/>
        <v/>
      </c>
      <c r="V1657">
        <v>0</v>
      </c>
      <c r="W1657" t="str">
        <f>IF(V1657&lt;&gt;0,VLOOKUP(VLOOKUP(V1657,Tbl_Effect[],3,FALSE),EffectName[],IFERROR(MATCH(UI!$B$1,EffectName[#Headers],0),2),FALSE),"")</f>
        <v/>
      </c>
      <c r="X1657" t="str">
        <f t="shared" si="168"/>
        <v/>
      </c>
      <c r="Y1657">
        <v>0</v>
      </c>
      <c r="Z1657" t="str">
        <f>IF(Y1657&lt;&gt;0,VLOOKUP(VLOOKUP(Y1657,Tbl_Effect[],3,FALSE),EffectName[],IFERROR(MATCH(UI!$B$1,EffectName[#Headers],0),2),FALSE),"")</f>
        <v/>
      </c>
      <c r="AA1657" t="str">
        <f t="shared" si="169"/>
        <v/>
      </c>
      <c r="AB1657">
        <v>0</v>
      </c>
      <c r="AC1657" t="str">
        <f>IF(AB1657&lt;&gt;0,VLOOKUP(VLOOKUP(AB1657,Tbl_Effect[],3,FALSE),EffectName[],IFERROR(MATCH(UI!$B$1,EffectName[#Headers],0),2),FALSE),"")</f>
        <v/>
      </c>
    </row>
    <row r="1658" spans="8:29" x14ac:dyDescent="0.4">
      <c r="H1658" t="str">
        <f t="shared" si="166"/>
        <v/>
      </c>
      <c r="I1658">
        <v>0</v>
      </c>
      <c r="J1658" t="str">
        <f>_xlfn.IFNA(IF(I1658&lt;&gt;0,VLOOKUP(VLOOKUP(I1658,Tbl_Equip[],2,FALSE),Tbl_Color[],IFERROR(MATCH(UI!$B$1,Tbl_Color[#Headers],0),2),FALSE),""),"Unset")</f>
        <v/>
      </c>
      <c r="K1658" t="str">
        <f>_xlfn.IFNA(IF(I1658&lt;&gt;0,VLOOKUP(I1658,ItemText[],IFERROR(MATCH(UI!$B$1,ItemText[#Headers],0),2),FALSE),""),"Unset")</f>
        <v/>
      </c>
      <c r="M1658">
        <v>0</v>
      </c>
      <c r="P1658">
        <v>0</v>
      </c>
      <c r="S1658">
        <v>0</v>
      </c>
      <c r="T1658" t="str">
        <f>IF(VALUE(S1658)=0,"",VLOOKUP(VLOOKUP(S1658,Tbl_Effect[],3,FALSE),EffectName[],IFERROR(MATCH(UI!$B$1,EffectName[#Headers],0),2),FALSE))</f>
        <v/>
      </c>
      <c r="U1658" t="str">
        <f t="shared" si="167"/>
        <v/>
      </c>
      <c r="V1658">
        <v>0</v>
      </c>
      <c r="W1658" t="str">
        <f>IF(V1658&lt;&gt;0,VLOOKUP(VLOOKUP(V1658,Tbl_Effect[],3,FALSE),EffectName[],IFERROR(MATCH(UI!$B$1,EffectName[#Headers],0),2),FALSE),"")</f>
        <v/>
      </c>
      <c r="X1658" t="str">
        <f t="shared" si="168"/>
        <v/>
      </c>
      <c r="Y1658">
        <v>0</v>
      </c>
      <c r="Z1658" t="str">
        <f>IF(Y1658&lt;&gt;0,VLOOKUP(VLOOKUP(Y1658,Tbl_Effect[],3,FALSE),EffectName[],IFERROR(MATCH(UI!$B$1,EffectName[#Headers],0),2),FALSE),"")</f>
        <v/>
      </c>
      <c r="AA1658" t="str">
        <f t="shared" si="169"/>
        <v/>
      </c>
      <c r="AB1658">
        <v>0</v>
      </c>
      <c r="AC1658" t="str">
        <f>IF(AB1658&lt;&gt;0,VLOOKUP(VLOOKUP(AB1658,Tbl_Effect[],3,FALSE),EffectName[],IFERROR(MATCH(UI!$B$1,EffectName[#Headers],0),2),FALSE),"")</f>
        <v/>
      </c>
    </row>
    <row r="1659" spans="8:29" x14ac:dyDescent="0.4">
      <c r="H1659" t="str">
        <f t="shared" si="166"/>
        <v/>
      </c>
      <c r="I1659">
        <v>0</v>
      </c>
      <c r="J1659" t="str">
        <f>_xlfn.IFNA(IF(I1659&lt;&gt;0,VLOOKUP(VLOOKUP(I1659,Tbl_Equip[],2,FALSE),Tbl_Color[],IFERROR(MATCH(UI!$B$1,Tbl_Color[#Headers],0),2),FALSE),""),"Unset")</f>
        <v/>
      </c>
      <c r="K1659" t="str">
        <f>_xlfn.IFNA(IF(I1659&lt;&gt;0,VLOOKUP(I1659,ItemText[],IFERROR(MATCH(UI!$B$1,ItemText[#Headers],0),2),FALSE),""),"Unset")</f>
        <v/>
      </c>
      <c r="M1659">
        <v>0</v>
      </c>
      <c r="P1659">
        <v>0</v>
      </c>
      <c r="S1659">
        <v>0</v>
      </c>
      <c r="T1659" t="str">
        <f>IF(VALUE(S1659)=0,"",VLOOKUP(VLOOKUP(S1659,Tbl_Effect[],3,FALSE),EffectName[],IFERROR(MATCH(UI!$B$1,EffectName[#Headers],0),2),FALSE))</f>
        <v/>
      </c>
      <c r="U1659" t="str">
        <f t="shared" si="167"/>
        <v/>
      </c>
      <c r="V1659">
        <v>0</v>
      </c>
      <c r="W1659" t="str">
        <f>IF(V1659&lt;&gt;0,VLOOKUP(VLOOKUP(V1659,Tbl_Effect[],3,FALSE),EffectName[],IFERROR(MATCH(UI!$B$1,EffectName[#Headers],0),2),FALSE),"")</f>
        <v/>
      </c>
      <c r="X1659" t="str">
        <f t="shared" si="168"/>
        <v/>
      </c>
      <c r="Y1659">
        <v>0</v>
      </c>
      <c r="Z1659" t="str">
        <f>IF(Y1659&lt;&gt;0,VLOOKUP(VLOOKUP(Y1659,Tbl_Effect[],3,FALSE),EffectName[],IFERROR(MATCH(UI!$B$1,EffectName[#Headers],0),2),FALSE),"")</f>
        <v/>
      </c>
      <c r="AA1659" t="str">
        <f t="shared" si="169"/>
        <v/>
      </c>
      <c r="AB1659">
        <v>0</v>
      </c>
      <c r="AC1659" t="str">
        <f>IF(AB1659&lt;&gt;0,VLOOKUP(VLOOKUP(AB1659,Tbl_Effect[],3,FALSE),EffectName[],IFERROR(MATCH(UI!$B$1,EffectName[#Headers],0),2),FALSE),"")</f>
        <v/>
      </c>
    </row>
    <row r="1660" spans="8:29" x14ac:dyDescent="0.4">
      <c r="H1660" t="str">
        <f t="shared" si="166"/>
        <v/>
      </c>
      <c r="I1660">
        <v>0</v>
      </c>
      <c r="J1660" t="str">
        <f>_xlfn.IFNA(IF(I1660&lt;&gt;0,VLOOKUP(VLOOKUP(I1660,Tbl_Equip[],2,FALSE),Tbl_Color[],IFERROR(MATCH(UI!$B$1,Tbl_Color[#Headers],0),2),FALSE),""),"Unset")</f>
        <v/>
      </c>
      <c r="K1660" t="str">
        <f>_xlfn.IFNA(IF(I1660&lt;&gt;0,VLOOKUP(I1660,ItemText[],IFERROR(MATCH(UI!$B$1,ItemText[#Headers],0),2),FALSE),""),"Unset")</f>
        <v/>
      </c>
      <c r="M1660">
        <v>0</v>
      </c>
      <c r="P1660">
        <v>0</v>
      </c>
      <c r="S1660">
        <v>0</v>
      </c>
      <c r="T1660" t="str">
        <f>IF(VALUE(S1660)=0,"",VLOOKUP(VLOOKUP(S1660,Tbl_Effect[],3,FALSE),EffectName[],IFERROR(MATCH(UI!$B$1,EffectName[#Headers],0),2),FALSE))</f>
        <v/>
      </c>
      <c r="U1660" t="str">
        <f t="shared" si="167"/>
        <v/>
      </c>
      <c r="V1660">
        <v>0</v>
      </c>
      <c r="W1660" t="str">
        <f>IF(V1660&lt;&gt;0,VLOOKUP(VLOOKUP(V1660,Tbl_Effect[],3,FALSE),EffectName[],IFERROR(MATCH(UI!$B$1,EffectName[#Headers],0),2),FALSE),"")</f>
        <v/>
      </c>
      <c r="X1660" t="str">
        <f t="shared" si="168"/>
        <v/>
      </c>
      <c r="Y1660">
        <v>0</v>
      </c>
      <c r="Z1660" t="str">
        <f>IF(Y1660&lt;&gt;0,VLOOKUP(VLOOKUP(Y1660,Tbl_Effect[],3,FALSE),EffectName[],IFERROR(MATCH(UI!$B$1,EffectName[#Headers],0),2),FALSE),"")</f>
        <v/>
      </c>
      <c r="AA1660" t="str">
        <f t="shared" si="169"/>
        <v/>
      </c>
      <c r="AB1660">
        <v>0</v>
      </c>
      <c r="AC1660" t="str">
        <f>IF(AB1660&lt;&gt;0,VLOOKUP(VLOOKUP(AB1660,Tbl_Effect[],3,FALSE),EffectName[],IFERROR(MATCH(UI!$B$1,EffectName[#Headers],0),2),FALSE),"")</f>
        <v/>
      </c>
    </row>
    <row r="1661" spans="8:29" x14ac:dyDescent="0.4">
      <c r="H1661" t="str">
        <f t="shared" si="166"/>
        <v/>
      </c>
      <c r="I1661">
        <v>0</v>
      </c>
      <c r="J1661" t="str">
        <f>_xlfn.IFNA(IF(I1661&lt;&gt;0,VLOOKUP(VLOOKUP(I1661,Tbl_Equip[],2,FALSE),Tbl_Color[],IFERROR(MATCH(UI!$B$1,Tbl_Color[#Headers],0),2),FALSE),""),"Unset")</f>
        <v/>
      </c>
      <c r="K1661" t="str">
        <f>_xlfn.IFNA(IF(I1661&lt;&gt;0,VLOOKUP(I1661,ItemText[],IFERROR(MATCH(UI!$B$1,ItemText[#Headers],0),2),FALSE),""),"Unset")</f>
        <v/>
      </c>
      <c r="M1661">
        <v>0</v>
      </c>
      <c r="P1661">
        <v>0</v>
      </c>
      <c r="S1661">
        <v>0</v>
      </c>
      <c r="T1661" t="str">
        <f>IF(VALUE(S1661)=0,"",VLOOKUP(VLOOKUP(S1661,Tbl_Effect[],3,FALSE),EffectName[],IFERROR(MATCH(UI!$B$1,EffectName[#Headers],0),2),FALSE))</f>
        <v/>
      </c>
      <c r="U1661" t="str">
        <f t="shared" si="167"/>
        <v/>
      </c>
      <c r="V1661">
        <v>0</v>
      </c>
      <c r="W1661" t="str">
        <f>IF(V1661&lt;&gt;0,VLOOKUP(VLOOKUP(V1661,Tbl_Effect[],3,FALSE),EffectName[],IFERROR(MATCH(UI!$B$1,EffectName[#Headers],0),2),FALSE),"")</f>
        <v/>
      </c>
      <c r="X1661" t="str">
        <f t="shared" si="168"/>
        <v/>
      </c>
      <c r="Y1661">
        <v>0</v>
      </c>
      <c r="Z1661" t="str">
        <f>IF(Y1661&lt;&gt;0,VLOOKUP(VLOOKUP(Y1661,Tbl_Effect[],3,FALSE),EffectName[],IFERROR(MATCH(UI!$B$1,EffectName[#Headers],0),2),FALSE),"")</f>
        <v/>
      </c>
      <c r="AA1661" t="str">
        <f t="shared" si="169"/>
        <v/>
      </c>
      <c r="AB1661">
        <v>0</v>
      </c>
      <c r="AC1661" t="str">
        <f>IF(AB1661&lt;&gt;0,VLOOKUP(VLOOKUP(AB1661,Tbl_Effect[],3,FALSE),EffectName[],IFERROR(MATCH(UI!$B$1,EffectName[#Headers],0),2),FALSE),"")</f>
        <v/>
      </c>
    </row>
    <row r="1662" spans="8:29" x14ac:dyDescent="0.4">
      <c r="H1662" t="str">
        <f t="shared" si="166"/>
        <v/>
      </c>
      <c r="I1662">
        <v>0</v>
      </c>
      <c r="J1662" t="str">
        <f>_xlfn.IFNA(IF(I1662&lt;&gt;0,VLOOKUP(VLOOKUP(I1662,Tbl_Equip[],2,FALSE),Tbl_Color[],IFERROR(MATCH(UI!$B$1,Tbl_Color[#Headers],0),2),FALSE),""),"Unset")</f>
        <v/>
      </c>
      <c r="K1662" t="str">
        <f>_xlfn.IFNA(IF(I1662&lt;&gt;0,VLOOKUP(I1662,ItemText[],IFERROR(MATCH(UI!$B$1,ItemText[#Headers],0),2),FALSE),""),"Unset")</f>
        <v/>
      </c>
      <c r="M1662">
        <v>0</v>
      </c>
      <c r="P1662">
        <v>0</v>
      </c>
      <c r="S1662">
        <v>0</v>
      </c>
      <c r="T1662" t="str">
        <f>IF(VALUE(S1662)=0,"",VLOOKUP(VLOOKUP(S1662,Tbl_Effect[],3,FALSE),EffectName[],IFERROR(MATCH(UI!$B$1,EffectName[#Headers],0),2),FALSE))</f>
        <v/>
      </c>
      <c r="U1662" t="str">
        <f t="shared" si="167"/>
        <v/>
      </c>
      <c r="V1662">
        <v>0</v>
      </c>
      <c r="W1662" t="str">
        <f>IF(V1662&lt;&gt;0,VLOOKUP(VLOOKUP(V1662,Tbl_Effect[],3,FALSE),EffectName[],IFERROR(MATCH(UI!$B$1,EffectName[#Headers],0),2),FALSE),"")</f>
        <v/>
      </c>
      <c r="X1662" t="str">
        <f t="shared" si="168"/>
        <v/>
      </c>
      <c r="Y1662">
        <v>0</v>
      </c>
      <c r="Z1662" t="str">
        <f>IF(Y1662&lt;&gt;0,VLOOKUP(VLOOKUP(Y1662,Tbl_Effect[],3,FALSE),EffectName[],IFERROR(MATCH(UI!$B$1,EffectName[#Headers],0),2),FALSE),"")</f>
        <v/>
      </c>
      <c r="AA1662" t="str">
        <f t="shared" si="169"/>
        <v/>
      </c>
      <c r="AB1662">
        <v>0</v>
      </c>
      <c r="AC1662" t="str">
        <f>IF(AB1662&lt;&gt;0,VLOOKUP(VLOOKUP(AB1662,Tbl_Effect[],3,FALSE),EffectName[],IFERROR(MATCH(UI!$B$1,EffectName[#Headers],0),2),FALSE),"")</f>
        <v/>
      </c>
    </row>
    <row r="1663" spans="8:29" x14ac:dyDescent="0.4">
      <c r="H1663" t="str">
        <f t="shared" si="166"/>
        <v/>
      </c>
      <c r="I1663">
        <v>0</v>
      </c>
      <c r="J1663" t="str">
        <f>_xlfn.IFNA(IF(I1663&lt;&gt;0,VLOOKUP(VLOOKUP(I1663,Tbl_Equip[],2,FALSE),Tbl_Color[],IFERROR(MATCH(UI!$B$1,Tbl_Color[#Headers],0),2),FALSE),""),"Unset")</f>
        <v/>
      </c>
      <c r="K1663" t="str">
        <f>_xlfn.IFNA(IF(I1663&lt;&gt;0,VLOOKUP(I1663,ItemText[],IFERROR(MATCH(UI!$B$1,ItemText[#Headers],0),2),FALSE),""),"Unset")</f>
        <v/>
      </c>
      <c r="M1663">
        <v>0</v>
      </c>
      <c r="P1663">
        <v>0</v>
      </c>
      <c r="S1663">
        <v>0</v>
      </c>
      <c r="T1663" t="str">
        <f>IF(VALUE(S1663)=0,"",VLOOKUP(VLOOKUP(S1663,Tbl_Effect[],3,FALSE),EffectName[],IFERROR(MATCH(UI!$B$1,EffectName[#Headers],0),2),FALSE))</f>
        <v/>
      </c>
      <c r="U1663" t="str">
        <f t="shared" si="167"/>
        <v/>
      </c>
      <c r="V1663">
        <v>0</v>
      </c>
      <c r="W1663" t="str">
        <f>IF(V1663&lt;&gt;0,VLOOKUP(VLOOKUP(V1663,Tbl_Effect[],3,FALSE),EffectName[],IFERROR(MATCH(UI!$B$1,EffectName[#Headers],0),2),FALSE),"")</f>
        <v/>
      </c>
      <c r="X1663" t="str">
        <f t="shared" si="168"/>
        <v/>
      </c>
      <c r="Y1663">
        <v>0</v>
      </c>
      <c r="Z1663" t="str">
        <f>IF(Y1663&lt;&gt;0,VLOOKUP(VLOOKUP(Y1663,Tbl_Effect[],3,FALSE),EffectName[],IFERROR(MATCH(UI!$B$1,EffectName[#Headers],0),2),FALSE),"")</f>
        <v/>
      </c>
      <c r="AA1663" t="str">
        <f t="shared" si="169"/>
        <v/>
      </c>
      <c r="AB1663">
        <v>0</v>
      </c>
      <c r="AC1663" t="str">
        <f>IF(AB1663&lt;&gt;0,VLOOKUP(VLOOKUP(AB1663,Tbl_Effect[],3,FALSE),EffectName[],IFERROR(MATCH(UI!$B$1,EffectName[#Headers],0),2),FALSE),"")</f>
        <v/>
      </c>
    </row>
    <row r="1664" spans="8:29" x14ac:dyDescent="0.4">
      <c r="H1664" t="str">
        <f t="shared" si="166"/>
        <v/>
      </c>
      <c r="I1664">
        <v>0</v>
      </c>
      <c r="J1664" t="str">
        <f>_xlfn.IFNA(IF(I1664&lt;&gt;0,VLOOKUP(VLOOKUP(I1664,Tbl_Equip[],2,FALSE),Tbl_Color[],IFERROR(MATCH(UI!$B$1,Tbl_Color[#Headers],0),2),FALSE),""),"Unset")</f>
        <v/>
      </c>
      <c r="K1664" t="str">
        <f>_xlfn.IFNA(IF(I1664&lt;&gt;0,VLOOKUP(I1664,ItemText[],IFERROR(MATCH(UI!$B$1,ItemText[#Headers],0),2),FALSE),""),"Unset")</f>
        <v/>
      </c>
      <c r="M1664">
        <v>0</v>
      </c>
      <c r="P1664">
        <v>0</v>
      </c>
      <c r="S1664">
        <v>0</v>
      </c>
      <c r="T1664" t="str">
        <f>IF(VALUE(S1664)=0,"",VLOOKUP(VLOOKUP(S1664,Tbl_Effect[],3,FALSE),EffectName[],IFERROR(MATCH(UI!$B$1,EffectName[#Headers],0),2),FALSE))</f>
        <v/>
      </c>
      <c r="U1664" t="str">
        <f t="shared" si="167"/>
        <v/>
      </c>
      <c r="V1664">
        <v>0</v>
      </c>
      <c r="W1664" t="str">
        <f>IF(V1664&lt;&gt;0,VLOOKUP(VLOOKUP(V1664,Tbl_Effect[],3,FALSE),EffectName[],IFERROR(MATCH(UI!$B$1,EffectName[#Headers],0),2),FALSE),"")</f>
        <v/>
      </c>
      <c r="X1664" t="str">
        <f t="shared" si="168"/>
        <v/>
      </c>
      <c r="Y1664">
        <v>0</v>
      </c>
      <c r="Z1664" t="str">
        <f>IF(Y1664&lt;&gt;0,VLOOKUP(VLOOKUP(Y1664,Tbl_Effect[],3,FALSE),EffectName[],IFERROR(MATCH(UI!$B$1,EffectName[#Headers],0),2),FALSE),"")</f>
        <v/>
      </c>
      <c r="AA1664" t="str">
        <f t="shared" si="169"/>
        <v/>
      </c>
      <c r="AB1664">
        <v>0</v>
      </c>
      <c r="AC1664" t="str">
        <f>IF(AB1664&lt;&gt;0,VLOOKUP(VLOOKUP(AB1664,Tbl_Effect[],3,FALSE),EffectName[],IFERROR(MATCH(UI!$B$1,EffectName[#Headers],0),2),FALSE),"")</f>
        <v/>
      </c>
    </row>
    <row r="1665" spans="8:29" x14ac:dyDescent="0.4">
      <c r="H1665" t="str">
        <f t="shared" si="166"/>
        <v/>
      </c>
      <c r="I1665">
        <v>0</v>
      </c>
      <c r="J1665" t="str">
        <f>_xlfn.IFNA(IF(I1665&lt;&gt;0,VLOOKUP(VLOOKUP(I1665,Tbl_Equip[],2,FALSE),Tbl_Color[],IFERROR(MATCH(UI!$B$1,Tbl_Color[#Headers],0),2),FALSE),""),"Unset")</f>
        <v/>
      </c>
      <c r="K1665" t="str">
        <f>_xlfn.IFNA(IF(I1665&lt;&gt;0,VLOOKUP(I1665,ItemText[],IFERROR(MATCH(UI!$B$1,ItemText[#Headers],0),2),FALSE),""),"Unset")</f>
        <v/>
      </c>
      <c r="M1665">
        <v>0</v>
      </c>
      <c r="P1665">
        <v>0</v>
      </c>
      <c r="S1665">
        <v>0</v>
      </c>
      <c r="T1665" t="str">
        <f>IF(VALUE(S1665)=0,"",VLOOKUP(VLOOKUP(S1665,Tbl_Effect[],3,FALSE),EffectName[],IFERROR(MATCH(UI!$B$1,EffectName[#Headers],0),2),FALSE))</f>
        <v/>
      </c>
      <c r="U1665" t="str">
        <f t="shared" si="167"/>
        <v/>
      </c>
      <c r="V1665">
        <v>0</v>
      </c>
      <c r="W1665" t="str">
        <f>IF(V1665&lt;&gt;0,VLOOKUP(VLOOKUP(V1665,Tbl_Effect[],3,FALSE),EffectName[],IFERROR(MATCH(UI!$B$1,EffectName[#Headers],0),2),FALSE),"")</f>
        <v/>
      </c>
      <c r="X1665" t="str">
        <f t="shared" si="168"/>
        <v/>
      </c>
      <c r="Y1665">
        <v>0</v>
      </c>
      <c r="Z1665" t="str">
        <f>IF(Y1665&lt;&gt;0,VLOOKUP(VLOOKUP(Y1665,Tbl_Effect[],3,FALSE),EffectName[],IFERROR(MATCH(UI!$B$1,EffectName[#Headers],0),2),FALSE),"")</f>
        <v/>
      </c>
      <c r="AA1665" t="str">
        <f t="shared" si="169"/>
        <v/>
      </c>
      <c r="AB1665">
        <v>0</v>
      </c>
      <c r="AC1665" t="str">
        <f>IF(AB1665&lt;&gt;0,VLOOKUP(VLOOKUP(AB1665,Tbl_Effect[],3,FALSE),EffectName[],IFERROR(MATCH(UI!$B$1,EffectName[#Headers],0),2),FALSE),"")</f>
        <v/>
      </c>
    </row>
    <row r="1666" spans="8:29" x14ac:dyDescent="0.4">
      <c r="H1666" t="str">
        <f t="shared" si="166"/>
        <v/>
      </c>
      <c r="I1666">
        <v>0</v>
      </c>
      <c r="J1666" t="str">
        <f>_xlfn.IFNA(IF(I1666&lt;&gt;0,VLOOKUP(VLOOKUP(I1666,Tbl_Equip[],2,FALSE),Tbl_Color[],IFERROR(MATCH(UI!$B$1,Tbl_Color[#Headers],0),2),FALSE),""),"Unset")</f>
        <v/>
      </c>
      <c r="K1666" t="str">
        <f>_xlfn.IFNA(IF(I1666&lt;&gt;0,VLOOKUP(I1666,ItemText[],IFERROR(MATCH(UI!$B$1,ItemText[#Headers],0),2),FALSE),""),"Unset")</f>
        <v/>
      </c>
      <c r="M1666">
        <v>0</v>
      </c>
      <c r="P1666">
        <v>0</v>
      </c>
      <c r="S1666">
        <v>0</v>
      </c>
      <c r="T1666" t="str">
        <f>IF(VALUE(S1666)=0,"",VLOOKUP(VLOOKUP(S1666,Tbl_Effect[],3,FALSE),EffectName[],IFERROR(MATCH(UI!$B$1,EffectName[#Headers],0),2),FALSE))</f>
        <v/>
      </c>
      <c r="U1666" t="str">
        <f t="shared" si="167"/>
        <v/>
      </c>
      <c r="V1666">
        <v>0</v>
      </c>
      <c r="W1666" t="str">
        <f>IF(V1666&lt;&gt;0,VLOOKUP(VLOOKUP(V1666,Tbl_Effect[],3,FALSE),EffectName[],IFERROR(MATCH(UI!$B$1,EffectName[#Headers],0),2),FALSE),"")</f>
        <v/>
      </c>
      <c r="X1666" t="str">
        <f t="shared" si="168"/>
        <v/>
      </c>
      <c r="Y1666">
        <v>0</v>
      </c>
      <c r="Z1666" t="str">
        <f>IF(Y1666&lt;&gt;0,VLOOKUP(VLOOKUP(Y1666,Tbl_Effect[],3,FALSE),EffectName[],IFERROR(MATCH(UI!$B$1,EffectName[#Headers],0),2),FALSE),"")</f>
        <v/>
      </c>
      <c r="AA1666" t="str">
        <f t="shared" si="169"/>
        <v/>
      </c>
      <c r="AB1666">
        <v>0</v>
      </c>
      <c r="AC1666" t="str">
        <f>IF(AB1666&lt;&gt;0,VLOOKUP(VLOOKUP(AB1666,Tbl_Effect[],3,FALSE),EffectName[],IFERROR(MATCH(UI!$B$1,EffectName[#Headers],0),2),FALSE),"")</f>
        <v/>
      </c>
    </row>
    <row r="1667" spans="8:29" x14ac:dyDescent="0.4">
      <c r="H1667" t="str">
        <f t="shared" ref="H1667:H1730" si="170">IF(VALUE(I1667)&lt;&gt;0,I1667&amp;"-"&amp;K1667&amp;" ("&amp;J1667&amp;")","")</f>
        <v/>
      </c>
      <c r="I1667">
        <v>0</v>
      </c>
      <c r="J1667" t="str">
        <f>_xlfn.IFNA(IF(I1667&lt;&gt;0,VLOOKUP(VLOOKUP(I1667,Tbl_Equip[],2,FALSE),Tbl_Color[],IFERROR(MATCH(UI!$B$1,Tbl_Color[#Headers],0),2),FALSE),""),"Unset")</f>
        <v/>
      </c>
      <c r="K1667" t="str">
        <f>_xlfn.IFNA(IF(I1667&lt;&gt;0,VLOOKUP(I1667,ItemText[],IFERROR(MATCH(UI!$B$1,ItemText[#Headers],0),2),FALSE),""),"Unset")</f>
        <v/>
      </c>
      <c r="M1667">
        <v>0</v>
      </c>
      <c r="P1667">
        <v>0</v>
      </c>
      <c r="S1667">
        <v>0</v>
      </c>
      <c r="T1667" t="str">
        <f>IF(VALUE(S1667)=0,"",VLOOKUP(VLOOKUP(S1667,Tbl_Effect[],3,FALSE),EffectName[],IFERROR(MATCH(UI!$B$1,EffectName[#Headers],0),2),FALSE))</f>
        <v/>
      </c>
      <c r="U1667" t="str">
        <f t="shared" ref="U1667:U1730" si="171">IF(VALUE(V1667)=0,"",V1667&amp;"-"&amp;W1667)</f>
        <v/>
      </c>
      <c r="V1667">
        <v>0</v>
      </c>
      <c r="W1667" t="str">
        <f>IF(V1667&lt;&gt;0,VLOOKUP(VLOOKUP(V1667,Tbl_Effect[],3,FALSE),EffectName[],IFERROR(MATCH(UI!$B$1,EffectName[#Headers],0),2),FALSE),"")</f>
        <v/>
      </c>
      <c r="X1667" t="str">
        <f t="shared" ref="X1667:X1730" si="172">IF(VALUE(Y1667)=0,"",Y1667&amp;"-"&amp;Z1667)</f>
        <v/>
      </c>
      <c r="Y1667">
        <v>0</v>
      </c>
      <c r="Z1667" t="str">
        <f>IF(Y1667&lt;&gt;0,VLOOKUP(VLOOKUP(Y1667,Tbl_Effect[],3,FALSE),EffectName[],IFERROR(MATCH(UI!$B$1,EffectName[#Headers],0),2),FALSE),"")</f>
        <v/>
      </c>
      <c r="AA1667" t="str">
        <f t="shared" ref="AA1667:AA1730" si="173">IF(VALUE(AB1667)=0,"",AB1667&amp;"-"&amp;AC1667)</f>
        <v/>
      </c>
      <c r="AB1667">
        <v>0</v>
      </c>
      <c r="AC1667" t="str">
        <f>IF(AB1667&lt;&gt;0,VLOOKUP(VLOOKUP(AB1667,Tbl_Effect[],3,FALSE),EffectName[],IFERROR(MATCH(UI!$B$1,EffectName[#Headers],0),2),FALSE),"")</f>
        <v/>
      </c>
    </row>
    <row r="1668" spans="8:29" x14ac:dyDescent="0.4">
      <c r="H1668" t="str">
        <f t="shared" si="170"/>
        <v/>
      </c>
      <c r="I1668">
        <v>0</v>
      </c>
      <c r="J1668" t="str">
        <f>_xlfn.IFNA(IF(I1668&lt;&gt;0,VLOOKUP(VLOOKUP(I1668,Tbl_Equip[],2,FALSE),Tbl_Color[],IFERROR(MATCH(UI!$B$1,Tbl_Color[#Headers],0),2),FALSE),""),"Unset")</f>
        <v/>
      </c>
      <c r="K1668" t="str">
        <f>_xlfn.IFNA(IF(I1668&lt;&gt;0,VLOOKUP(I1668,ItemText[],IFERROR(MATCH(UI!$B$1,ItemText[#Headers],0),2),FALSE),""),"Unset")</f>
        <v/>
      </c>
      <c r="M1668">
        <v>0</v>
      </c>
      <c r="P1668">
        <v>0</v>
      </c>
      <c r="S1668">
        <v>0</v>
      </c>
      <c r="T1668" t="str">
        <f>IF(VALUE(S1668)=0,"",VLOOKUP(VLOOKUP(S1668,Tbl_Effect[],3,FALSE),EffectName[],IFERROR(MATCH(UI!$B$1,EffectName[#Headers],0),2),FALSE))</f>
        <v/>
      </c>
      <c r="U1668" t="str">
        <f t="shared" si="171"/>
        <v/>
      </c>
      <c r="V1668">
        <v>0</v>
      </c>
      <c r="W1668" t="str">
        <f>IF(V1668&lt;&gt;0,VLOOKUP(VLOOKUP(V1668,Tbl_Effect[],3,FALSE),EffectName[],IFERROR(MATCH(UI!$B$1,EffectName[#Headers],0),2),FALSE),"")</f>
        <v/>
      </c>
      <c r="X1668" t="str">
        <f t="shared" si="172"/>
        <v/>
      </c>
      <c r="Y1668">
        <v>0</v>
      </c>
      <c r="Z1668" t="str">
        <f>IF(Y1668&lt;&gt;0,VLOOKUP(VLOOKUP(Y1668,Tbl_Effect[],3,FALSE),EffectName[],IFERROR(MATCH(UI!$B$1,EffectName[#Headers],0),2),FALSE),"")</f>
        <v/>
      </c>
      <c r="AA1668" t="str">
        <f t="shared" si="173"/>
        <v/>
      </c>
      <c r="AB1668">
        <v>0</v>
      </c>
      <c r="AC1668" t="str">
        <f>IF(AB1668&lt;&gt;0,VLOOKUP(VLOOKUP(AB1668,Tbl_Effect[],3,FALSE),EffectName[],IFERROR(MATCH(UI!$B$1,EffectName[#Headers],0),2),FALSE),"")</f>
        <v/>
      </c>
    </row>
    <row r="1669" spans="8:29" x14ac:dyDescent="0.4">
      <c r="H1669" t="str">
        <f t="shared" si="170"/>
        <v/>
      </c>
      <c r="I1669">
        <v>0</v>
      </c>
      <c r="J1669" t="str">
        <f>_xlfn.IFNA(IF(I1669&lt;&gt;0,VLOOKUP(VLOOKUP(I1669,Tbl_Equip[],2,FALSE),Tbl_Color[],IFERROR(MATCH(UI!$B$1,Tbl_Color[#Headers],0),2),FALSE),""),"Unset")</f>
        <v/>
      </c>
      <c r="K1669" t="str">
        <f>_xlfn.IFNA(IF(I1669&lt;&gt;0,VLOOKUP(I1669,ItemText[],IFERROR(MATCH(UI!$B$1,ItemText[#Headers],0),2),FALSE),""),"Unset")</f>
        <v/>
      </c>
      <c r="M1669">
        <v>0</v>
      </c>
      <c r="P1669">
        <v>0</v>
      </c>
      <c r="S1669">
        <v>0</v>
      </c>
      <c r="T1669" t="str">
        <f>IF(VALUE(S1669)=0,"",VLOOKUP(VLOOKUP(S1669,Tbl_Effect[],3,FALSE),EffectName[],IFERROR(MATCH(UI!$B$1,EffectName[#Headers],0),2),FALSE))</f>
        <v/>
      </c>
      <c r="U1669" t="str">
        <f t="shared" si="171"/>
        <v/>
      </c>
      <c r="V1669">
        <v>0</v>
      </c>
      <c r="W1669" t="str">
        <f>IF(V1669&lt;&gt;0,VLOOKUP(VLOOKUP(V1669,Tbl_Effect[],3,FALSE),EffectName[],IFERROR(MATCH(UI!$B$1,EffectName[#Headers],0),2),FALSE),"")</f>
        <v/>
      </c>
      <c r="X1669" t="str">
        <f t="shared" si="172"/>
        <v/>
      </c>
      <c r="Y1669">
        <v>0</v>
      </c>
      <c r="Z1669" t="str">
        <f>IF(Y1669&lt;&gt;0,VLOOKUP(VLOOKUP(Y1669,Tbl_Effect[],3,FALSE),EffectName[],IFERROR(MATCH(UI!$B$1,EffectName[#Headers],0),2),FALSE),"")</f>
        <v/>
      </c>
      <c r="AA1669" t="str">
        <f t="shared" si="173"/>
        <v/>
      </c>
      <c r="AB1669">
        <v>0</v>
      </c>
      <c r="AC1669" t="str">
        <f>IF(AB1669&lt;&gt;0,VLOOKUP(VLOOKUP(AB1669,Tbl_Effect[],3,FALSE),EffectName[],IFERROR(MATCH(UI!$B$1,EffectName[#Headers],0),2),FALSE),"")</f>
        <v/>
      </c>
    </row>
    <row r="1670" spans="8:29" x14ac:dyDescent="0.4">
      <c r="H1670" t="str">
        <f t="shared" si="170"/>
        <v/>
      </c>
      <c r="I1670">
        <v>0</v>
      </c>
      <c r="J1670" t="str">
        <f>_xlfn.IFNA(IF(I1670&lt;&gt;0,VLOOKUP(VLOOKUP(I1670,Tbl_Equip[],2,FALSE),Tbl_Color[],IFERROR(MATCH(UI!$B$1,Tbl_Color[#Headers],0),2),FALSE),""),"Unset")</f>
        <v/>
      </c>
      <c r="K1670" t="str">
        <f>_xlfn.IFNA(IF(I1670&lt;&gt;0,VLOOKUP(I1670,ItemText[],IFERROR(MATCH(UI!$B$1,ItemText[#Headers],0),2),FALSE),""),"Unset")</f>
        <v/>
      </c>
      <c r="M1670">
        <v>0</v>
      </c>
      <c r="P1670">
        <v>0</v>
      </c>
      <c r="S1670">
        <v>0</v>
      </c>
      <c r="T1670" t="str">
        <f>IF(VALUE(S1670)=0,"",VLOOKUP(VLOOKUP(S1670,Tbl_Effect[],3,FALSE),EffectName[],IFERROR(MATCH(UI!$B$1,EffectName[#Headers],0),2),FALSE))</f>
        <v/>
      </c>
      <c r="U1670" t="str">
        <f t="shared" si="171"/>
        <v/>
      </c>
      <c r="V1670">
        <v>0</v>
      </c>
      <c r="W1670" t="str">
        <f>IF(V1670&lt;&gt;0,VLOOKUP(VLOOKUP(V1670,Tbl_Effect[],3,FALSE),EffectName[],IFERROR(MATCH(UI!$B$1,EffectName[#Headers],0),2),FALSE),"")</f>
        <v/>
      </c>
      <c r="X1670" t="str">
        <f t="shared" si="172"/>
        <v/>
      </c>
      <c r="Y1670">
        <v>0</v>
      </c>
      <c r="Z1670" t="str">
        <f>IF(Y1670&lt;&gt;0,VLOOKUP(VLOOKUP(Y1670,Tbl_Effect[],3,FALSE),EffectName[],IFERROR(MATCH(UI!$B$1,EffectName[#Headers],0),2),FALSE),"")</f>
        <v/>
      </c>
      <c r="AA1670" t="str">
        <f t="shared" si="173"/>
        <v/>
      </c>
      <c r="AB1670">
        <v>0</v>
      </c>
      <c r="AC1670" t="str">
        <f>IF(AB1670&lt;&gt;0,VLOOKUP(VLOOKUP(AB1670,Tbl_Effect[],3,FALSE),EffectName[],IFERROR(MATCH(UI!$B$1,EffectName[#Headers],0),2),FALSE),"")</f>
        <v/>
      </c>
    </row>
    <row r="1671" spans="8:29" x14ac:dyDescent="0.4">
      <c r="H1671" t="str">
        <f t="shared" si="170"/>
        <v/>
      </c>
      <c r="I1671">
        <v>0</v>
      </c>
      <c r="J1671" t="str">
        <f>_xlfn.IFNA(IF(I1671&lt;&gt;0,VLOOKUP(VLOOKUP(I1671,Tbl_Equip[],2,FALSE),Tbl_Color[],IFERROR(MATCH(UI!$B$1,Tbl_Color[#Headers],0),2),FALSE),""),"Unset")</f>
        <v/>
      </c>
      <c r="K1671" t="str">
        <f>_xlfn.IFNA(IF(I1671&lt;&gt;0,VLOOKUP(I1671,ItemText[],IFERROR(MATCH(UI!$B$1,ItemText[#Headers],0),2),FALSE),""),"Unset")</f>
        <v/>
      </c>
      <c r="M1671">
        <v>0</v>
      </c>
      <c r="P1671">
        <v>0</v>
      </c>
      <c r="S1671">
        <v>0</v>
      </c>
      <c r="T1671" t="str">
        <f>IF(VALUE(S1671)=0,"",VLOOKUP(VLOOKUP(S1671,Tbl_Effect[],3,FALSE),EffectName[],IFERROR(MATCH(UI!$B$1,EffectName[#Headers],0),2),FALSE))</f>
        <v/>
      </c>
      <c r="U1671" t="str">
        <f t="shared" si="171"/>
        <v/>
      </c>
      <c r="V1671">
        <v>0</v>
      </c>
      <c r="W1671" t="str">
        <f>IF(V1671&lt;&gt;0,VLOOKUP(VLOOKUP(V1671,Tbl_Effect[],3,FALSE),EffectName[],IFERROR(MATCH(UI!$B$1,EffectName[#Headers],0),2),FALSE),"")</f>
        <v/>
      </c>
      <c r="X1671" t="str">
        <f t="shared" si="172"/>
        <v/>
      </c>
      <c r="Y1671">
        <v>0</v>
      </c>
      <c r="Z1671" t="str">
        <f>IF(Y1671&lt;&gt;0,VLOOKUP(VLOOKUP(Y1671,Tbl_Effect[],3,FALSE),EffectName[],IFERROR(MATCH(UI!$B$1,EffectName[#Headers],0),2),FALSE),"")</f>
        <v/>
      </c>
      <c r="AA1671" t="str">
        <f t="shared" si="173"/>
        <v/>
      </c>
      <c r="AB1671">
        <v>0</v>
      </c>
      <c r="AC1671" t="str">
        <f>IF(AB1671&lt;&gt;0,VLOOKUP(VLOOKUP(AB1671,Tbl_Effect[],3,FALSE),EffectName[],IFERROR(MATCH(UI!$B$1,EffectName[#Headers],0),2),FALSE),"")</f>
        <v/>
      </c>
    </row>
    <row r="1672" spans="8:29" x14ac:dyDescent="0.4">
      <c r="H1672" t="str">
        <f t="shared" si="170"/>
        <v/>
      </c>
      <c r="I1672">
        <v>0</v>
      </c>
      <c r="J1672" t="str">
        <f>_xlfn.IFNA(IF(I1672&lt;&gt;0,VLOOKUP(VLOOKUP(I1672,Tbl_Equip[],2,FALSE),Tbl_Color[],IFERROR(MATCH(UI!$B$1,Tbl_Color[#Headers],0),2),FALSE),""),"Unset")</f>
        <v/>
      </c>
      <c r="K1672" t="str">
        <f>_xlfn.IFNA(IF(I1672&lt;&gt;0,VLOOKUP(I1672,ItemText[],IFERROR(MATCH(UI!$B$1,ItemText[#Headers],0),2),FALSE),""),"Unset")</f>
        <v/>
      </c>
      <c r="M1672">
        <v>0</v>
      </c>
      <c r="P1672">
        <v>0</v>
      </c>
      <c r="S1672">
        <v>0</v>
      </c>
      <c r="T1672" t="str">
        <f>IF(VALUE(S1672)=0,"",VLOOKUP(VLOOKUP(S1672,Tbl_Effect[],3,FALSE),EffectName[],IFERROR(MATCH(UI!$B$1,EffectName[#Headers],0),2),FALSE))</f>
        <v/>
      </c>
      <c r="U1672" t="str">
        <f t="shared" si="171"/>
        <v/>
      </c>
      <c r="V1672">
        <v>0</v>
      </c>
      <c r="W1672" t="str">
        <f>IF(V1672&lt;&gt;0,VLOOKUP(VLOOKUP(V1672,Tbl_Effect[],3,FALSE),EffectName[],IFERROR(MATCH(UI!$B$1,EffectName[#Headers],0),2),FALSE),"")</f>
        <v/>
      </c>
      <c r="X1672" t="str">
        <f t="shared" si="172"/>
        <v/>
      </c>
      <c r="Y1672">
        <v>0</v>
      </c>
      <c r="Z1672" t="str">
        <f>IF(Y1672&lt;&gt;0,VLOOKUP(VLOOKUP(Y1672,Tbl_Effect[],3,FALSE),EffectName[],IFERROR(MATCH(UI!$B$1,EffectName[#Headers],0),2),FALSE),"")</f>
        <v/>
      </c>
      <c r="AA1672" t="str">
        <f t="shared" si="173"/>
        <v/>
      </c>
      <c r="AB1672">
        <v>0</v>
      </c>
      <c r="AC1672" t="str">
        <f>IF(AB1672&lt;&gt;0,VLOOKUP(VLOOKUP(AB1672,Tbl_Effect[],3,FALSE),EffectName[],IFERROR(MATCH(UI!$B$1,EffectName[#Headers],0),2),FALSE),"")</f>
        <v/>
      </c>
    </row>
    <row r="1673" spans="8:29" x14ac:dyDescent="0.4">
      <c r="H1673" t="str">
        <f t="shared" si="170"/>
        <v/>
      </c>
      <c r="I1673">
        <v>0</v>
      </c>
      <c r="J1673" t="str">
        <f>_xlfn.IFNA(IF(I1673&lt;&gt;0,VLOOKUP(VLOOKUP(I1673,Tbl_Equip[],2,FALSE),Tbl_Color[],IFERROR(MATCH(UI!$B$1,Tbl_Color[#Headers],0),2),FALSE),""),"Unset")</f>
        <v/>
      </c>
      <c r="K1673" t="str">
        <f>_xlfn.IFNA(IF(I1673&lt;&gt;0,VLOOKUP(I1673,ItemText[],IFERROR(MATCH(UI!$B$1,ItemText[#Headers],0),2),FALSE),""),"Unset")</f>
        <v/>
      </c>
      <c r="M1673">
        <v>0</v>
      </c>
      <c r="P1673">
        <v>0</v>
      </c>
      <c r="S1673">
        <v>0</v>
      </c>
      <c r="T1673" t="str">
        <f>IF(VALUE(S1673)=0,"",VLOOKUP(VLOOKUP(S1673,Tbl_Effect[],3,FALSE),EffectName[],IFERROR(MATCH(UI!$B$1,EffectName[#Headers],0),2),FALSE))</f>
        <v/>
      </c>
      <c r="U1673" t="str">
        <f t="shared" si="171"/>
        <v/>
      </c>
      <c r="V1673">
        <v>0</v>
      </c>
      <c r="W1673" t="str">
        <f>IF(V1673&lt;&gt;0,VLOOKUP(VLOOKUP(V1673,Tbl_Effect[],3,FALSE),EffectName[],IFERROR(MATCH(UI!$B$1,EffectName[#Headers],0),2),FALSE),"")</f>
        <v/>
      </c>
      <c r="X1673" t="str">
        <f t="shared" si="172"/>
        <v/>
      </c>
      <c r="Y1673">
        <v>0</v>
      </c>
      <c r="Z1673" t="str">
        <f>IF(Y1673&lt;&gt;0,VLOOKUP(VLOOKUP(Y1673,Tbl_Effect[],3,FALSE),EffectName[],IFERROR(MATCH(UI!$B$1,EffectName[#Headers],0),2),FALSE),"")</f>
        <v/>
      </c>
      <c r="AA1673" t="str">
        <f t="shared" si="173"/>
        <v/>
      </c>
      <c r="AB1673">
        <v>0</v>
      </c>
      <c r="AC1673" t="str">
        <f>IF(AB1673&lt;&gt;0,VLOOKUP(VLOOKUP(AB1673,Tbl_Effect[],3,FALSE),EffectName[],IFERROR(MATCH(UI!$B$1,EffectName[#Headers],0),2),FALSE),"")</f>
        <v/>
      </c>
    </row>
    <row r="1674" spans="8:29" x14ac:dyDescent="0.4">
      <c r="H1674" t="str">
        <f t="shared" si="170"/>
        <v/>
      </c>
      <c r="I1674">
        <v>0</v>
      </c>
      <c r="J1674" t="str">
        <f>_xlfn.IFNA(IF(I1674&lt;&gt;0,VLOOKUP(VLOOKUP(I1674,Tbl_Equip[],2,FALSE),Tbl_Color[],IFERROR(MATCH(UI!$B$1,Tbl_Color[#Headers],0),2),FALSE),""),"Unset")</f>
        <v/>
      </c>
      <c r="K1674" t="str">
        <f>_xlfn.IFNA(IF(I1674&lt;&gt;0,VLOOKUP(I1674,ItemText[],IFERROR(MATCH(UI!$B$1,ItemText[#Headers],0),2),FALSE),""),"Unset")</f>
        <v/>
      </c>
      <c r="M1674">
        <v>0</v>
      </c>
      <c r="P1674">
        <v>0</v>
      </c>
      <c r="S1674">
        <v>0</v>
      </c>
      <c r="T1674" t="str">
        <f>IF(VALUE(S1674)=0,"",VLOOKUP(VLOOKUP(S1674,Tbl_Effect[],3,FALSE),EffectName[],IFERROR(MATCH(UI!$B$1,EffectName[#Headers],0),2),FALSE))</f>
        <v/>
      </c>
      <c r="U1674" t="str">
        <f t="shared" si="171"/>
        <v/>
      </c>
      <c r="V1674">
        <v>0</v>
      </c>
      <c r="W1674" t="str">
        <f>IF(V1674&lt;&gt;0,VLOOKUP(VLOOKUP(V1674,Tbl_Effect[],3,FALSE),EffectName[],IFERROR(MATCH(UI!$B$1,EffectName[#Headers],0),2),FALSE),"")</f>
        <v/>
      </c>
      <c r="X1674" t="str">
        <f t="shared" si="172"/>
        <v/>
      </c>
      <c r="Y1674">
        <v>0</v>
      </c>
      <c r="Z1674" t="str">
        <f>IF(Y1674&lt;&gt;0,VLOOKUP(VLOOKUP(Y1674,Tbl_Effect[],3,FALSE),EffectName[],IFERROR(MATCH(UI!$B$1,EffectName[#Headers],0),2),FALSE),"")</f>
        <v/>
      </c>
      <c r="AA1674" t="str">
        <f t="shared" si="173"/>
        <v/>
      </c>
      <c r="AB1674">
        <v>0</v>
      </c>
      <c r="AC1674" t="str">
        <f>IF(AB1674&lt;&gt;0,VLOOKUP(VLOOKUP(AB1674,Tbl_Effect[],3,FALSE),EffectName[],IFERROR(MATCH(UI!$B$1,EffectName[#Headers],0),2),FALSE),"")</f>
        <v/>
      </c>
    </row>
    <row r="1675" spans="8:29" x14ac:dyDescent="0.4">
      <c r="H1675" t="str">
        <f t="shared" si="170"/>
        <v/>
      </c>
      <c r="I1675">
        <v>0</v>
      </c>
      <c r="J1675" t="str">
        <f>_xlfn.IFNA(IF(I1675&lt;&gt;0,VLOOKUP(VLOOKUP(I1675,Tbl_Equip[],2,FALSE),Tbl_Color[],IFERROR(MATCH(UI!$B$1,Tbl_Color[#Headers],0),2),FALSE),""),"Unset")</f>
        <v/>
      </c>
      <c r="K1675" t="str">
        <f>_xlfn.IFNA(IF(I1675&lt;&gt;0,VLOOKUP(I1675,ItemText[],IFERROR(MATCH(UI!$B$1,ItemText[#Headers],0),2),FALSE),""),"Unset")</f>
        <v/>
      </c>
      <c r="M1675">
        <v>0</v>
      </c>
      <c r="P1675">
        <v>0</v>
      </c>
      <c r="S1675">
        <v>0</v>
      </c>
      <c r="T1675" t="str">
        <f>IF(VALUE(S1675)=0,"",VLOOKUP(VLOOKUP(S1675,Tbl_Effect[],3,FALSE),EffectName[],IFERROR(MATCH(UI!$B$1,EffectName[#Headers],0),2),FALSE))</f>
        <v/>
      </c>
      <c r="U1675" t="str">
        <f t="shared" si="171"/>
        <v/>
      </c>
      <c r="V1675">
        <v>0</v>
      </c>
      <c r="W1675" t="str">
        <f>IF(V1675&lt;&gt;0,VLOOKUP(VLOOKUP(V1675,Tbl_Effect[],3,FALSE),EffectName[],IFERROR(MATCH(UI!$B$1,EffectName[#Headers],0),2),FALSE),"")</f>
        <v/>
      </c>
      <c r="X1675" t="str">
        <f t="shared" si="172"/>
        <v/>
      </c>
      <c r="Y1675">
        <v>0</v>
      </c>
      <c r="Z1675" t="str">
        <f>IF(Y1675&lt;&gt;0,VLOOKUP(VLOOKUP(Y1675,Tbl_Effect[],3,FALSE),EffectName[],IFERROR(MATCH(UI!$B$1,EffectName[#Headers],0),2),FALSE),"")</f>
        <v/>
      </c>
      <c r="AA1675" t="str">
        <f t="shared" si="173"/>
        <v/>
      </c>
      <c r="AB1675">
        <v>0</v>
      </c>
      <c r="AC1675" t="str">
        <f>IF(AB1675&lt;&gt;0,VLOOKUP(VLOOKUP(AB1675,Tbl_Effect[],3,FALSE),EffectName[],IFERROR(MATCH(UI!$B$1,EffectName[#Headers],0),2),FALSE),"")</f>
        <v/>
      </c>
    </row>
    <row r="1676" spans="8:29" x14ac:dyDescent="0.4">
      <c r="H1676" t="str">
        <f t="shared" si="170"/>
        <v/>
      </c>
      <c r="I1676">
        <v>0</v>
      </c>
      <c r="J1676" t="str">
        <f>_xlfn.IFNA(IF(I1676&lt;&gt;0,VLOOKUP(VLOOKUP(I1676,Tbl_Equip[],2,FALSE),Tbl_Color[],IFERROR(MATCH(UI!$B$1,Tbl_Color[#Headers],0),2),FALSE),""),"Unset")</f>
        <v/>
      </c>
      <c r="K1676" t="str">
        <f>_xlfn.IFNA(IF(I1676&lt;&gt;0,VLOOKUP(I1676,ItemText[],IFERROR(MATCH(UI!$B$1,ItemText[#Headers],0),2),FALSE),""),"Unset")</f>
        <v/>
      </c>
      <c r="M1676">
        <v>0</v>
      </c>
      <c r="P1676">
        <v>0</v>
      </c>
      <c r="S1676">
        <v>0</v>
      </c>
      <c r="T1676" t="str">
        <f>IF(VALUE(S1676)=0,"",VLOOKUP(VLOOKUP(S1676,Tbl_Effect[],3,FALSE),EffectName[],IFERROR(MATCH(UI!$B$1,EffectName[#Headers],0),2),FALSE))</f>
        <v/>
      </c>
      <c r="U1676" t="str">
        <f t="shared" si="171"/>
        <v/>
      </c>
      <c r="V1676">
        <v>0</v>
      </c>
      <c r="W1676" t="str">
        <f>IF(V1676&lt;&gt;0,VLOOKUP(VLOOKUP(V1676,Tbl_Effect[],3,FALSE),EffectName[],IFERROR(MATCH(UI!$B$1,EffectName[#Headers],0),2),FALSE),"")</f>
        <v/>
      </c>
      <c r="X1676" t="str">
        <f t="shared" si="172"/>
        <v/>
      </c>
      <c r="Y1676">
        <v>0</v>
      </c>
      <c r="Z1676" t="str">
        <f>IF(Y1676&lt;&gt;0,VLOOKUP(VLOOKUP(Y1676,Tbl_Effect[],3,FALSE),EffectName[],IFERROR(MATCH(UI!$B$1,EffectName[#Headers],0),2),FALSE),"")</f>
        <v/>
      </c>
      <c r="AA1676" t="str">
        <f t="shared" si="173"/>
        <v/>
      </c>
      <c r="AB1676">
        <v>0</v>
      </c>
      <c r="AC1676" t="str">
        <f>IF(AB1676&lt;&gt;0,VLOOKUP(VLOOKUP(AB1676,Tbl_Effect[],3,FALSE),EffectName[],IFERROR(MATCH(UI!$B$1,EffectName[#Headers],0),2),FALSE),"")</f>
        <v/>
      </c>
    </row>
    <row r="1677" spans="8:29" x14ac:dyDescent="0.4">
      <c r="H1677" t="str">
        <f t="shared" si="170"/>
        <v/>
      </c>
      <c r="I1677">
        <v>0</v>
      </c>
      <c r="J1677" t="str">
        <f>_xlfn.IFNA(IF(I1677&lt;&gt;0,VLOOKUP(VLOOKUP(I1677,Tbl_Equip[],2,FALSE),Tbl_Color[],IFERROR(MATCH(UI!$B$1,Tbl_Color[#Headers],0),2),FALSE),""),"Unset")</f>
        <v/>
      </c>
      <c r="K1677" t="str">
        <f>_xlfn.IFNA(IF(I1677&lt;&gt;0,VLOOKUP(I1677,ItemText[],IFERROR(MATCH(UI!$B$1,ItemText[#Headers],0),2),FALSE),""),"Unset")</f>
        <v/>
      </c>
      <c r="M1677">
        <v>0</v>
      </c>
      <c r="P1677">
        <v>0</v>
      </c>
      <c r="S1677">
        <v>0</v>
      </c>
      <c r="T1677" t="str">
        <f>IF(VALUE(S1677)=0,"",VLOOKUP(VLOOKUP(S1677,Tbl_Effect[],3,FALSE),EffectName[],IFERROR(MATCH(UI!$B$1,EffectName[#Headers],0),2),FALSE))</f>
        <v/>
      </c>
      <c r="U1677" t="str">
        <f t="shared" si="171"/>
        <v/>
      </c>
      <c r="V1677">
        <v>0</v>
      </c>
      <c r="W1677" t="str">
        <f>IF(V1677&lt;&gt;0,VLOOKUP(VLOOKUP(V1677,Tbl_Effect[],3,FALSE),EffectName[],IFERROR(MATCH(UI!$B$1,EffectName[#Headers],0),2),FALSE),"")</f>
        <v/>
      </c>
      <c r="X1677" t="str">
        <f t="shared" si="172"/>
        <v/>
      </c>
      <c r="Y1677">
        <v>0</v>
      </c>
      <c r="Z1677" t="str">
        <f>IF(Y1677&lt;&gt;0,VLOOKUP(VLOOKUP(Y1677,Tbl_Effect[],3,FALSE),EffectName[],IFERROR(MATCH(UI!$B$1,EffectName[#Headers],0),2),FALSE),"")</f>
        <v/>
      </c>
      <c r="AA1677" t="str">
        <f t="shared" si="173"/>
        <v/>
      </c>
      <c r="AB1677">
        <v>0</v>
      </c>
      <c r="AC1677" t="str">
        <f>IF(AB1677&lt;&gt;0,VLOOKUP(VLOOKUP(AB1677,Tbl_Effect[],3,FALSE),EffectName[],IFERROR(MATCH(UI!$B$1,EffectName[#Headers],0),2),FALSE),"")</f>
        <v/>
      </c>
    </row>
    <row r="1678" spans="8:29" x14ac:dyDescent="0.4">
      <c r="H1678" t="str">
        <f t="shared" si="170"/>
        <v/>
      </c>
      <c r="I1678">
        <v>0</v>
      </c>
      <c r="J1678" t="str">
        <f>_xlfn.IFNA(IF(I1678&lt;&gt;0,VLOOKUP(VLOOKUP(I1678,Tbl_Equip[],2,FALSE),Tbl_Color[],IFERROR(MATCH(UI!$B$1,Tbl_Color[#Headers],0),2),FALSE),""),"Unset")</f>
        <v/>
      </c>
      <c r="K1678" t="str">
        <f>_xlfn.IFNA(IF(I1678&lt;&gt;0,VLOOKUP(I1678,ItemText[],IFERROR(MATCH(UI!$B$1,ItemText[#Headers],0),2),FALSE),""),"Unset")</f>
        <v/>
      </c>
      <c r="M1678">
        <v>0</v>
      </c>
      <c r="P1678">
        <v>0</v>
      </c>
      <c r="S1678">
        <v>0</v>
      </c>
      <c r="T1678" t="str">
        <f>IF(VALUE(S1678)=0,"",VLOOKUP(VLOOKUP(S1678,Tbl_Effect[],3,FALSE),EffectName[],IFERROR(MATCH(UI!$B$1,EffectName[#Headers],0),2),FALSE))</f>
        <v/>
      </c>
      <c r="U1678" t="str">
        <f t="shared" si="171"/>
        <v/>
      </c>
      <c r="V1678">
        <v>0</v>
      </c>
      <c r="W1678" t="str">
        <f>IF(V1678&lt;&gt;0,VLOOKUP(VLOOKUP(V1678,Tbl_Effect[],3,FALSE),EffectName[],IFERROR(MATCH(UI!$B$1,EffectName[#Headers],0),2),FALSE),"")</f>
        <v/>
      </c>
      <c r="X1678" t="str">
        <f t="shared" si="172"/>
        <v/>
      </c>
      <c r="Y1678">
        <v>0</v>
      </c>
      <c r="Z1678" t="str">
        <f>IF(Y1678&lt;&gt;0,VLOOKUP(VLOOKUP(Y1678,Tbl_Effect[],3,FALSE),EffectName[],IFERROR(MATCH(UI!$B$1,EffectName[#Headers],0),2),FALSE),"")</f>
        <v/>
      </c>
      <c r="AA1678" t="str">
        <f t="shared" si="173"/>
        <v/>
      </c>
      <c r="AB1678">
        <v>0</v>
      </c>
      <c r="AC1678" t="str">
        <f>IF(AB1678&lt;&gt;0,VLOOKUP(VLOOKUP(AB1678,Tbl_Effect[],3,FALSE),EffectName[],IFERROR(MATCH(UI!$B$1,EffectName[#Headers],0),2),FALSE),"")</f>
        <v/>
      </c>
    </row>
    <row r="1679" spans="8:29" x14ac:dyDescent="0.4">
      <c r="H1679" t="str">
        <f t="shared" si="170"/>
        <v/>
      </c>
      <c r="I1679">
        <v>0</v>
      </c>
      <c r="J1679" t="str">
        <f>_xlfn.IFNA(IF(I1679&lt;&gt;0,VLOOKUP(VLOOKUP(I1679,Tbl_Equip[],2,FALSE),Tbl_Color[],IFERROR(MATCH(UI!$B$1,Tbl_Color[#Headers],0),2),FALSE),""),"Unset")</f>
        <v/>
      </c>
      <c r="K1679" t="str">
        <f>_xlfn.IFNA(IF(I1679&lt;&gt;0,VLOOKUP(I1679,ItemText[],IFERROR(MATCH(UI!$B$1,ItemText[#Headers],0),2),FALSE),""),"Unset")</f>
        <v/>
      </c>
      <c r="M1679">
        <v>0</v>
      </c>
      <c r="P1679">
        <v>0</v>
      </c>
      <c r="S1679">
        <v>0</v>
      </c>
      <c r="T1679" t="str">
        <f>IF(VALUE(S1679)=0,"",VLOOKUP(VLOOKUP(S1679,Tbl_Effect[],3,FALSE),EffectName[],IFERROR(MATCH(UI!$B$1,EffectName[#Headers],0),2),FALSE))</f>
        <v/>
      </c>
      <c r="U1679" t="str">
        <f t="shared" si="171"/>
        <v/>
      </c>
      <c r="V1679">
        <v>0</v>
      </c>
      <c r="W1679" t="str">
        <f>IF(V1679&lt;&gt;0,VLOOKUP(VLOOKUP(V1679,Tbl_Effect[],3,FALSE),EffectName[],IFERROR(MATCH(UI!$B$1,EffectName[#Headers],0),2),FALSE),"")</f>
        <v/>
      </c>
      <c r="X1679" t="str">
        <f t="shared" si="172"/>
        <v/>
      </c>
      <c r="Y1679">
        <v>0</v>
      </c>
      <c r="Z1679" t="str">
        <f>IF(Y1679&lt;&gt;0,VLOOKUP(VLOOKUP(Y1679,Tbl_Effect[],3,FALSE),EffectName[],IFERROR(MATCH(UI!$B$1,EffectName[#Headers],0),2),FALSE),"")</f>
        <v/>
      </c>
      <c r="AA1679" t="str">
        <f t="shared" si="173"/>
        <v/>
      </c>
      <c r="AB1679">
        <v>0</v>
      </c>
      <c r="AC1679" t="str">
        <f>IF(AB1679&lt;&gt;0,VLOOKUP(VLOOKUP(AB1679,Tbl_Effect[],3,FALSE),EffectName[],IFERROR(MATCH(UI!$B$1,EffectName[#Headers],0),2),FALSE),"")</f>
        <v/>
      </c>
    </row>
    <row r="1680" spans="8:29" x14ac:dyDescent="0.4">
      <c r="H1680" t="str">
        <f t="shared" si="170"/>
        <v/>
      </c>
      <c r="I1680">
        <v>0</v>
      </c>
      <c r="J1680" t="str">
        <f>_xlfn.IFNA(IF(I1680&lt;&gt;0,VLOOKUP(VLOOKUP(I1680,Tbl_Equip[],2,FALSE),Tbl_Color[],IFERROR(MATCH(UI!$B$1,Tbl_Color[#Headers],0),2),FALSE),""),"Unset")</f>
        <v/>
      </c>
      <c r="K1680" t="str">
        <f>_xlfn.IFNA(IF(I1680&lt;&gt;0,VLOOKUP(I1680,ItemText[],IFERROR(MATCH(UI!$B$1,ItemText[#Headers],0),2),FALSE),""),"Unset")</f>
        <v/>
      </c>
      <c r="M1680">
        <v>0</v>
      </c>
      <c r="P1680">
        <v>0</v>
      </c>
      <c r="S1680">
        <v>0</v>
      </c>
      <c r="T1680" t="str">
        <f>IF(VALUE(S1680)=0,"",VLOOKUP(VLOOKUP(S1680,Tbl_Effect[],3,FALSE),EffectName[],IFERROR(MATCH(UI!$B$1,EffectName[#Headers],0),2),FALSE))</f>
        <v/>
      </c>
      <c r="U1680" t="str">
        <f t="shared" si="171"/>
        <v/>
      </c>
      <c r="V1680">
        <v>0</v>
      </c>
      <c r="W1680" t="str">
        <f>IF(V1680&lt;&gt;0,VLOOKUP(VLOOKUP(V1680,Tbl_Effect[],3,FALSE),EffectName[],IFERROR(MATCH(UI!$B$1,EffectName[#Headers],0),2),FALSE),"")</f>
        <v/>
      </c>
      <c r="X1680" t="str">
        <f t="shared" si="172"/>
        <v/>
      </c>
      <c r="Y1680">
        <v>0</v>
      </c>
      <c r="Z1680" t="str">
        <f>IF(Y1680&lt;&gt;0,VLOOKUP(VLOOKUP(Y1680,Tbl_Effect[],3,FALSE),EffectName[],IFERROR(MATCH(UI!$B$1,EffectName[#Headers],0),2),FALSE),"")</f>
        <v/>
      </c>
      <c r="AA1680" t="str">
        <f t="shared" si="173"/>
        <v/>
      </c>
      <c r="AB1680">
        <v>0</v>
      </c>
      <c r="AC1680" t="str">
        <f>IF(AB1680&lt;&gt;0,VLOOKUP(VLOOKUP(AB1680,Tbl_Effect[],3,FALSE),EffectName[],IFERROR(MATCH(UI!$B$1,EffectName[#Headers],0),2),FALSE),"")</f>
        <v/>
      </c>
    </row>
    <row r="1681" spans="8:29" x14ac:dyDescent="0.4">
      <c r="H1681" t="str">
        <f t="shared" si="170"/>
        <v/>
      </c>
      <c r="I1681">
        <v>0</v>
      </c>
      <c r="J1681" t="str">
        <f>_xlfn.IFNA(IF(I1681&lt;&gt;0,VLOOKUP(VLOOKUP(I1681,Tbl_Equip[],2,FALSE),Tbl_Color[],IFERROR(MATCH(UI!$B$1,Tbl_Color[#Headers],0),2),FALSE),""),"Unset")</f>
        <v/>
      </c>
      <c r="K1681" t="str">
        <f>_xlfn.IFNA(IF(I1681&lt;&gt;0,VLOOKUP(I1681,ItemText[],IFERROR(MATCH(UI!$B$1,ItemText[#Headers],0),2),FALSE),""),"Unset")</f>
        <v/>
      </c>
      <c r="M1681">
        <v>0</v>
      </c>
      <c r="P1681">
        <v>0</v>
      </c>
      <c r="S1681">
        <v>0</v>
      </c>
      <c r="T1681" t="str">
        <f>IF(VALUE(S1681)=0,"",VLOOKUP(VLOOKUP(S1681,Tbl_Effect[],3,FALSE),EffectName[],IFERROR(MATCH(UI!$B$1,EffectName[#Headers],0),2),FALSE))</f>
        <v/>
      </c>
      <c r="U1681" t="str">
        <f t="shared" si="171"/>
        <v/>
      </c>
      <c r="V1681">
        <v>0</v>
      </c>
      <c r="W1681" t="str">
        <f>IF(V1681&lt;&gt;0,VLOOKUP(VLOOKUP(V1681,Tbl_Effect[],3,FALSE),EffectName[],IFERROR(MATCH(UI!$B$1,EffectName[#Headers],0),2),FALSE),"")</f>
        <v/>
      </c>
      <c r="X1681" t="str">
        <f t="shared" si="172"/>
        <v/>
      </c>
      <c r="Y1681">
        <v>0</v>
      </c>
      <c r="Z1681" t="str">
        <f>IF(Y1681&lt;&gt;0,VLOOKUP(VLOOKUP(Y1681,Tbl_Effect[],3,FALSE),EffectName[],IFERROR(MATCH(UI!$B$1,EffectName[#Headers],0),2),FALSE),"")</f>
        <v/>
      </c>
      <c r="AA1681" t="str">
        <f t="shared" si="173"/>
        <v/>
      </c>
      <c r="AB1681">
        <v>0</v>
      </c>
      <c r="AC1681" t="str">
        <f>IF(AB1681&lt;&gt;0,VLOOKUP(VLOOKUP(AB1681,Tbl_Effect[],3,FALSE),EffectName[],IFERROR(MATCH(UI!$B$1,EffectName[#Headers],0),2),FALSE),"")</f>
        <v/>
      </c>
    </row>
    <row r="1682" spans="8:29" x14ac:dyDescent="0.4">
      <c r="H1682" t="str">
        <f t="shared" si="170"/>
        <v/>
      </c>
      <c r="I1682">
        <v>0</v>
      </c>
      <c r="J1682" t="str">
        <f>_xlfn.IFNA(IF(I1682&lt;&gt;0,VLOOKUP(VLOOKUP(I1682,Tbl_Equip[],2,FALSE),Tbl_Color[],IFERROR(MATCH(UI!$B$1,Tbl_Color[#Headers],0),2),FALSE),""),"Unset")</f>
        <v/>
      </c>
      <c r="K1682" t="str">
        <f>_xlfn.IFNA(IF(I1682&lt;&gt;0,VLOOKUP(I1682,ItemText[],IFERROR(MATCH(UI!$B$1,ItemText[#Headers],0),2),FALSE),""),"Unset")</f>
        <v/>
      </c>
      <c r="M1682">
        <v>0</v>
      </c>
      <c r="P1682">
        <v>0</v>
      </c>
      <c r="S1682">
        <v>0</v>
      </c>
      <c r="T1682" t="str">
        <f>IF(VALUE(S1682)=0,"",VLOOKUP(VLOOKUP(S1682,Tbl_Effect[],3,FALSE),EffectName[],IFERROR(MATCH(UI!$B$1,EffectName[#Headers],0),2),FALSE))</f>
        <v/>
      </c>
      <c r="U1682" t="str">
        <f t="shared" si="171"/>
        <v/>
      </c>
      <c r="V1682">
        <v>0</v>
      </c>
      <c r="W1682" t="str">
        <f>IF(V1682&lt;&gt;0,VLOOKUP(VLOOKUP(V1682,Tbl_Effect[],3,FALSE),EffectName[],IFERROR(MATCH(UI!$B$1,EffectName[#Headers],0),2),FALSE),"")</f>
        <v/>
      </c>
      <c r="X1682" t="str">
        <f t="shared" si="172"/>
        <v/>
      </c>
      <c r="Y1682">
        <v>0</v>
      </c>
      <c r="Z1682" t="str">
        <f>IF(Y1682&lt;&gt;0,VLOOKUP(VLOOKUP(Y1682,Tbl_Effect[],3,FALSE),EffectName[],IFERROR(MATCH(UI!$B$1,EffectName[#Headers],0),2),FALSE),"")</f>
        <v/>
      </c>
      <c r="AA1682" t="str">
        <f t="shared" si="173"/>
        <v/>
      </c>
      <c r="AB1682">
        <v>0</v>
      </c>
      <c r="AC1682" t="str">
        <f>IF(AB1682&lt;&gt;0,VLOOKUP(VLOOKUP(AB1682,Tbl_Effect[],3,FALSE),EffectName[],IFERROR(MATCH(UI!$B$1,EffectName[#Headers],0),2),FALSE),"")</f>
        <v/>
      </c>
    </row>
    <row r="1683" spans="8:29" x14ac:dyDescent="0.4">
      <c r="H1683" t="str">
        <f t="shared" si="170"/>
        <v/>
      </c>
      <c r="I1683">
        <v>0</v>
      </c>
      <c r="J1683" t="str">
        <f>_xlfn.IFNA(IF(I1683&lt;&gt;0,VLOOKUP(VLOOKUP(I1683,Tbl_Equip[],2,FALSE),Tbl_Color[],IFERROR(MATCH(UI!$B$1,Tbl_Color[#Headers],0),2),FALSE),""),"Unset")</f>
        <v/>
      </c>
      <c r="K1683" t="str">
        <f>_xlfn.IFNA(IF(I1683&lt;&gt;0,VLOOKUP(I1683,ItemText[],IFERROR(MATCH(UI!$B$1,ItemText[#Headers],0),2),FALSE),""),"Unset")</f>
        <v/>
      </c>
      <c r="M1683">
        <v>0</v>
      </c>
      <c r="P1683">
        <v>0</v>
      </c>
      <c r="S1683">
        <v>0</v>
      </c>
      <c r="T1683" t="str">
        <f>IF(VALUE(S1683)=0,"",VLOOKUP(VLOOKUP(S1683,Tbl_Effect[],3,FALSE),EffectName[],IFERROR(MATCH(UI!$B$1,EffectName[#Headers],0),2),FALSE))</f>
        <v/>
      </c>
      <c r="U1683" t="str">
        <f t="shared" si="171"/>
        <v/>
      </c>
      <c r="V1683">
        <v>0</v>
      </c>
      <c r="W1683" t="str">
        <f>IF(V1683&lt;&gt;0,VLOOKUP(VLOOKUP(V1683,Tbl_Effect[],3,FALSE),EffectName[],IFERROR(MATCH(UI!$B$1,EffectName[#Headers],0),2),FALSE),"")</f>
        <v/>
      </c>
      <c r="X1683" t="str">
        <f t="shared" si="172"/>
        <v/>
      </c>
      <c r="Y1683">
        <v>0</v>
      </c>
      <c r="Z1683" t="str">
        <f>IF(Y1683&lt;&gt;0,VLOOKUP(VLOOKUP(Y1683,Tbl_Effect[],3,FALSE),EffectName[],IFERROR(MATCH(UI!$B$1,EffectName[#Headers],0),2),FALSE),"")</f>
        <v/>
      </c>
      <c r="AA1683" t="str">
        <f t="shared" si="173"/>
        <v/>
      </c>
      <c r="AB1683">
        <v>0</v>
      </c>
      <c r="AC1683" t="str">
        <f>IF(AB1683&lt;&gt;0,VLOOKUP(VLOOKUP(AB1683,Tbl_Effect[],3,FALSE),EffectName[],IFERROR(MATCH(UI!$B$1,EffectName[#Headers],0),2),FALSE),"")</f>
        <v/>
      </c>
    </row>
    <row r="1684" spans="8:29" x14ac:dyDescent="0.4">
      <c r="H1684" t="str">
        <f t="shared" si="170"/>
        <v/>
      </c>
      <c r="I1684">
        <v>0</v>
      </c>
      <c r="J1684" t="str">
        <f>_xlfn.IFNA(IF(I1684&lt;&gt;0,VLOOKUP(VLOOKUP(I1684,Tbl_Equip[],2,FALSE),Tbl_Color[],IFERROR(MATCH(UI!$B$1,Tbl_Color[#Headers],0),2),FALSE),""),"Unset")</f>
        <v/>
      </c>
      <c r="K1684" t="str">
        <f>_xlfn.IFNA(IF(I1684&lt;&gt;0,VLOOKUP(I1684,ItemText[],IFERROR(MATCH(UI!$B$1,ItemText[#Headers],0),2),FALSE),""),"Unset")</f>
        <v/>
      </c>
      <c r="M1684">
        <v>0</v>
      </c>
      <c r="P1684">
        <v>0</v>
      </c>
      <c r="S1684">
        <v>0</v>
      </c>
      <c r="T1684" t="str">
        <f>IF(VALUE(S1684)=0,"",VLOOKUP(VLOOKUP(S1684,Tbl_Effect[],3,FALSE),EffectName[],IFERROR(MATCH(UI!$B$1,EffectName[#Headers],0),2),FALSE))</f>
        <v/>
      </c>
      <c r="U1684" t="str">
        <f t="shared" si="171"/>
        <v/>
      </c>
      <c r="V1684">
        <v>0</v>
      </c>
      <c r="W1684" t="str">
        <f>IF(V1684&lt;&gt;0,VLOOKUP(VLOOKUP(V1684,Tbl_Effect[],3,FALSE),EffectName[],IFERROR(MATCH(UI!$B$1,EffectName[#Headers],0),2),FALSE),"")</f>
        <v/>
      </c>
      <c r="X1684" t="str">
        <f t="shared" si="172"/>
        <v/>
      </c>
      <c r="Y1684">
        <v>0</v>
      </c>
      <c r="Z1684" t="str">
        <f>IF(Y1684&lt;&gt;0,VLOOKUP(VLOOKUP(Y1684,Tbl_Effect[],3,FALSE),EffectName[],IFERROR(MATCH(UI!$B$1,EffectName[#Headers],0),2),FALSE),"")</f>
        <v/>
      </c>
      <c r="AA1684" t="str">
        <f t="shared" si="173"/>
        <v/>
      </c>
      <c r="AB1684">
        <v>0</v>
      </c>
      <c r="AC1684" t="str">
        <f>IF(AB1684&lt;&gt;0,VLOOKUP(VLOOKUP(AB1684,Tbl_Effect[],3,FALSE),EffectName[],IFERROR(MATCH(UI!$B$1,EffectName[#Headers],0),2),FALSE),"")</f>
        <v/>
      </c>
    </row>
    <row r="1685" spans="8:29" x14ac:dyDescent="0.4">
      <c r="H1685" t="str">
        <f t="shared" si="170"/>
        <v/>
      </c>
      <c r="I1685">
        <v>0</v>
      </c>
      <c r="J1685" t="str">
        <f>_xlfn.IFNA(IF(I1685&lt;&gt;0,VLOOKUP(VLOOKUP(I1685,Tbl_Equip[],2,FALSE),Tbl_Color[],IFERROR(MATCH(UI!$B$1,Tbl_Color[#Headers],0),2),FALSE),""),"Unset")</f>
        <v/>
      </c>
      <c r="K1685" t="str">
        <f>_xlfn.IFNA(IF(I1685&lt;&gt;0,VLOOKUP(I1685,ItemText[],IFERROR(MATCH(UI!$B$1,ItemText[#Headers],0),2),FALSE),""),"Unset")</f>
        <v/>
      </c>
      <c r="M1685">
        <v>0</v>
      </c>
      <c r="P1685">
        <v>0</v>
      </c>
      <c r="S1685">
        <v>0</v>
      </c>
      <c r="T1685" t="str">
        <f>IF(VALUE(S1685)=0,"",VLOOKUP(VLOOKUP(S1685,Tbl_Effect[],3,FALSE),EffectName[],IFERROR(MATCH(UI!$B$1,EffectName[#Headers],0),2),FALSE))</f>
        <v/>
      </c>
      <c r="U1685" t="str">
        <f t="shared" si="171"/>
        <v/>
      </c>
      <c r="V1685">
        <v>0</v>
      </c>
      <c r="W1685" t="str">
        <f>IF(V1685&lt;&gt;0,VLOOKUP(VLOOKUP(V1685,Tbl_Effect[],3,FALSE),EffectName[],IFERROR(MATCH(UI!$B$1,EffectName[#Headers],0),2),FALSE),"")</f>
        <v/>
      </c>
      <c r="X1685" t="str">
        <f t="shared" si="172"/>
        <v/>
      </c>
      <c r="Y1685">
        <v>0</v>
      </c>
      <c r="Z1685" t="str">
        <f>IF(Y1685&lt;&gt;0,VLOOKUP(VLOOKUP(Y1685,Tbl_Effect[],3,FALSE),EffectName[],IFERROR(MATCH(UI!$B$1,EffectName[#Headers],0),2),FALSE),"")</f>
        <v/>
      </c>
      <c r="AA1685" t="str">
        <f t="shared" si="173"/>
        <v/>
      </c>
      <c r="AB1685">
        <v>0</v>
      </c>
      <c r="AC1685" t="str">
        <f>IF(AB1685&lt;&gt;0,VLOOKUP(VLOOKUP(AB1685,Tbl_Effect[],3,FALSE),EffectName[],IFERROR(MATCH(UI!$B$1,EffectName[#Headers],0),2),FALSE),"")</f>
        <v/>
      </c>
    </row>
    <row r="1686" spans="8:29" x14ac:dyDescent="0.4">
      <c r="H1686" t="str">
        <f t="shared" si="170"/>
        <v/>
      </c>
      <c r="I1686">
        <v>0</v>
      </c>
      <c r="J1686" t="str">
        <f>_xlfn.IFNA(IF(I1686&lt;&gt;0,VLOOKUP(VLOOKUP(I1686,Tbl_Equip[],2,FALSE),Tbl_Color[],IFERROR(MATCH(UI!$B$1,Tbl_Color[#Headers],0),2),FALSE),""),"Unset")</f>
        <v/>
      </c>
      <c r="K1686" t="str">
        <f>_xlfn.IFNA(IF(I1686&lt;&gt;0,VLOOKUP(I1686,ItemText[],IFERROR(MATCH(UI!$B$1,ItemText[#Headers],0),2),FALSE),""),"Unset")</f>
        <v/>
      </c>
      <c r="M1686">
        <v>0</v>
      </c>
      <c r="P1686">
        <v>0</v>
      </c>
      <c r="S1686">
        <v>0</v>
      </c>
      <c r="T1686" t="str">
        <f>IF(VALUE(S1686)=0,"",VLOOKUP(VLOOKUP(S1686,Tbl_Effect[],3,FALSE),EffectName[],IFERROR(MATCH(UI!$B$1,EffectName[#Headers],0),2),FALSE))</f>
        <v/>
      </c>
      <c r="U1686" t="str">
        <f t="shared" si="171"/>
        <v/>
      </c>
      <c r="V1686">
        <v>0</v>
      </c>
      <c r="W1686" t="str">
        <f>IF(V1686&lt;&gt;0,VLOOKUP(VLOOKUP(V1686,Tbl_Effect[],3,FALSE),EffectName[],IFERROR(MATCH(UI!$B$1,EffectName[#Headers],0),2),FALSE),"")</f>
        <v/>
      </c>
      <c r="X1686" t="str">
        <f t="shared" si="172"/>
        <v/>
      </c>
      <c r="Y1686">
        <v>0</v>
      </c>
      <c r="Z1686" t="str">
        <f>IF(Y1686&lt;&gt;0,VLOOKUP(VLOOKUP(Y1686,Tbl_Effect[],3,FALSE),EffectName[],IFERROR(MATCH(UI!$B$1,EffectName[#Headers],0),2),FALSE),"")</f>
        <v/>
      </c>
      <c r="AA1686" t="str">
        <f t="shared" si="173"/>
        <v/>
      </c>
      <c r="AB1686">
        <v>0</v>
      </c>
      <c r="AC1686" t="str">
        <f>IF(AB1686&lt;&gt;0,VLOOKUP(VLOOKUP(AB1686,Tbl_Effect[],3,FALSE),EffectName[],IFERROR(MATCH(UI!$B$1,EffectName[#Headers],0),2),FALSE),"")</f>
        <v/>
      </c>
    </row>
    <row r="1687" spans="8:29" x14ac:dyDescent="0.4">
      <c r="H1687" t="str">
        <f t="shared" si="170"/>
        <v/>
      </c>
      <c r="I1687">
        <v>0</v>
      </c>
      <c r="J1687" t="str">
        <f>_xlfn.IFNA(IF(I1687&lt;&gt;0,VLOOKUP(VLOOKUP(I1687,Tbl_Equip[],2,FALSE),Tbl_Color[],IFERROR(MATCH(UI!$B$1,Tbl_Color[#Headers],0),2),FALSE),""),"Unset")</f>
        <v/>
      </c>
      <c r="K1687" t="str">
        <f>_xlfn.IFNA(IF(I1687&lt;&gt;0,VLOOKUP(I1687,ItemText[],IFERROR(MATCH(UI!$B$1,ItemText[#Headers],0),2),FALSE),""),"Unset")</f>
        <v/>
      </c>
      <c r="M1687">
        <v>0</v>
      </c>
      <c r="P1687">
        <v>0</v>
      </c>
      <c r="S1687">
        <v>0</v>
      </c>
      <c r="T1687" t="str">
        <f>IF(VALUE(S1687)=0,"",VLOOKUP(VLOOKUP(S1687,Tbl_Effect[],3,FALSE),EffectName[],IFERROR(MATCH(UI!$B$1,EffectName[#Headers],0),2),FALSE))</f>
        <v/>
      </c>
      <c r="U1687" t="str">
        <f t="shared" si="171"/>
        <v/>
      </c>
      <c r="V1687">
        <v>0</v>
      </c>
      <c r="W1687" t="str">
        <f>IF(V1687&lt;&gt;0,VLOOKUP(VLOOKUP(V1687,Tbl_Effect[],3,FALSE),EffectName[],IFERROR(MATCH(UI!$B$1,EffectName[#Headers],0),2),FALSE),"")</f>
        <v/>
      </c>
      <c r="X1687" t="str">
        <f t="shared" si="172"/>
        <v/>
      </c>
      <c r="Y1687">
        <v>0</v>
      </c>
      <c r="Z1687" t="str">
        <f>IF(Y1687&lt;&gt;0,VLOOKUP(VLOOKUP(Y1687,Tbl_Effect[],3,FALSE),EffectName[],IFERROR(MATCH(UI!$B$1,EffectName[#Headers],0),2),FALSE),"")</f>
        <v/>
      </c>
      <c r="AA1687" t="str">
        <f t="shared" si="173"/>
        <v/>
      </c>
      <c r="AB1687">
        <v>0</v>
      </c>
      <c r="AC1687" t="str">
        <f>IF(AB1687&lt;&gt;0,VLOOKUP(VLOOKUP(AB1687,Tbl_Effect[],3,FALSE),EffectName[],IFERROR(MATCH(UI!$B$1,EffectName[#Headers],0),2),FALSE),"")</f>
        <v/>
      </c>
    </row>
    <row r="1688" spans="8:29" x14ac:dyDescent="0.4">
      <c r="H1688" t="str">
        <f t="shared" si="170"/>
        <v/>
      </c>
      <c r="I1688">
        <v>0</v>
      </c>
      <c r="J1688" t="str">
        <f>_xlfn.IFNA(IF(I1688&lt;&gt;0,VLOOKUP(VLOOKUP(I1688,Tbl_Equip[],2,FALSE),Tbl_Color[],IFERROR(MATCH(UI!$B$1,Tbl_Color[#Headers],0),2),FALSE),""),"Unset")</f>
        <v/>
      </c>
      <c r="K1688" t="str">
        <f>_xlfn.IFNA(IF(I1688&lt;&gt;0,VLOOKUP(I1688,ItemText[],IFERROR(MATCH(UI!$B$1,ItemText[#Headers],0),2),FALSE),""),"Unset")</f>
        <v/>
      </c>
      <c r="M1688">
        <v>0</v>
      </c>
      <c r="P1688">
        <v>0</v>
      </c>
      <c r="S1688">
        <v>0</v>
      </c>
      <c r="T1688" t="str">
        <f>IF(VALUE(S1688)=0,"",VLOOKUP(VLOOKUP(S1688,Tbl_Effect[],3,FALSE),EffectName[],IFERROR(MATCH(UI!$B$1,EffectName[#Headers],0),2),FALSE))</f>
        <v/>
      </c>
      <c r="U1688" t="str">
        <f t="shared" si="171"/>
        <v/>
      </c>
      <c r="V1688">
        <v>0</v>
      </c>
      <c r="W1688" t="str">
        <f>IF(V1688&lt;&gt;0,VLOOKUP(VLOOKUP(V1688,Tbl_Effect[],3,FALSE),EffectName[],IFERROR(MATCH(UI!$B$1,EffectName[#Headers],0),2),FALSE),"")</f>
        <v/>
      </c>
      <c r="X1688" t="str">
        <f t="shared" si="172"/>
        <v/>
      </c>
      <c r="Y1688">
        <v>0</v>
      </c>
      <c r="Z1688" t="str">
        <f>IF(Y1688&lt;&gt;0,VLOOKUP(VLOOKUP(Y1688,Tbl_Effect[],3,FALSE),EffectName[],IFERROR(MATCH(UI!$B$1,EffectName[#Headers],0),2),FALSE),"")</f>
        <v/>
      </c>
      <c r="AA1688" t="str">
        <f t="shared" si="173"/>
        <v/>
      </c>
      <c r="AB1688">
        <v>0</v>
      </c>
      <c r="AC1688" t="str">
        <f>IF(AB1688&lt;&gt;0,VLOOKUP(VLOOKUP(AB1688,Tbl_Effect[],3,FALSE),EffectName[],IFERROR(MATCH(UI!$B$1,EffectName[#Headers],0),2),FALSE),"")</f>
        <v/>
      </c>
    </row>
    <row r="1689" spans="8:29" x14ac:dyDescent="0.4">
      <c r="H1689" t="str">
        <f t="shared" si="170"/>
        <v/>
      </c>
      <c r="I1689">
        <v>0</v>
      </c>
      <c r="J1689" t="str">
        <f>_xlfn.IFNA(IF(I1689&lt;&gt;0,VLOOKUP(VLOOKUP(I1689,Tbl_Equip[],2,FALSE),Tbl_Color[],IFERROR(MATCH(UI!$B$1,Tbl_Color[#Headers],0),2),FALSE),""),"Unset")</f>
        <v/>
      </c>
      <c r="K1689" t="str">
        <f>_xlfn.IFNA(IF(I1689&lt;&gt;0,VLOOKUP(I1689,ItemText[],IFERROR(MATCH(UI!$B$1,ItemText[#Headers],0),2),FALSE),""),"Unset")</f>
        <v/>
      </c>
      <c r="M1689">
        <v>0</v>
      </c>
      <c r="P1689">
        <v>0</v>
      </c>
      <c r="S1689">
        <v>0</v>
      </c>
      <c r="T1689" t="str">
        <f>IF(VALUE(S1689)=0,"",VLOOKUP(VLOOKUP(S1689,Tbl_Effect[],3,FALSE),EffectName[],IFERROR(MATCH(UI!$B$1,EffectName[#Headers],0),2),FALSE))</f>
        <v/>
      </c>
      <c r="U1689" t="str">
        <f t="shared" si="171"/>
        <v/>
      </c>
      <c r="V1689">
        <v>0</v>
      </c>
      <c r="W1689" t="str">
        <f>IF(V1689&lt;&gt;0,VLOOKUP(VLOOKUP(V1689,Tbl_Effect[],3,FALSE),EffectName[],IFERROR(MATCH(UI!$B$1,EffectName[#Headers],0),2),FALSE),"")</f>
        <v/>
      </c>
      <c r="X1689" t="str">
        <f t="shared" si="172"/>
        <v/>
      </c>
      <c r="Y1689">
        <v>0</v>
      </c>
      <c r="Z1689" t="str">
        <f>IF(Y1689&lt;&gt;0,VLOOKUP(VLOOKUP(Y1689,Tbl_Effect[],3,FALSE),EffectName[],IFERROR(MATCH(UI!$B$1,EffectName[#Headers],0),2),FALSE),"")</f>
        <v/>
      </c>
      <c r="AA1689" t="str">
        <f t="shared" si="173"/>
        <v/>
      </c>
      <c r="AB1689">
        <v>0</v>
      </c>
      <c r="AC1689" t="str">
        <f>IF(AB1689&lt;&gt;0,VLOOKUP(VLOOKUP(AB1689,Tbl_Effect[],3,FALSE),EffectName[],IFERROR(MATCH(UI!$B$1,EffectName[#Headers],0),2),FALSE),"")</f>
        <v/>
      </c>
    </row>
    <row r="1690" spans="8:29" x14ac:dyDescent="0.4">
      <c r="H1690" t="str">
        <f t="shared" si="170"/>
        <v/>
      </c>
      <c r="I1690">
        <v>0</v>
      </c>
      <c r="J1690" t="str">
        <f>_xlfn.IFNA(IF(I1690&lt;&gt;0,VLOOKUP(VLOOKUP(I1690,Tbl_Equip[],2,FALSE),Tbl_Color[],IFERROR(MATCH(UI!$B$1,Tbl_Color[#Headers],0),2),FALSE),""),"Unset")</f>
        <v/>
      </c>
      <c r="K1690" t="str">
        <f>_xlfn.IFNA(IF(I1690&lt;&gt;0,VLOOKUP(I1690,ItemText[],IFERROR(MATCH(UI!$B$1,ItemText[#Headers],0),2),FALSE),""),"Unset")</f>
        <v/>
      </c>
      <c r="M1690">
        <v>0</v>
      </c>
      <c r="P1690">
        <v>0</v>
      </c>
      <c r="S1690">
        <v>0</v>
      </c>
      <c r="T1690" t="str">
        <f>IF(VALUE(S1690)=0,"",VLOOKUP(VLOOKUP(S1690,Tbl_Effect[],3,FALSE),EffectName[],IFERROR(MATCH(UI!$B$1,EffectName[#Headers],0),2),FALSE))</f>
        <v/>
      </c>
      <c r="U1690" t="str">
        <f t="shared" si="171"/>
        <v/>
      </c>
      <c r="V1690">
        <v>0</v>
      </c>
      <c r="W1690" t="str">
        <f>IF(V1690&lt;&gt;0,VLOOKUP(VLOOKUP(V1690,Tbl_Effect[],3,FALSE),EffectName[],IFERROR(MATCH(UI!$B$1,EffectName[#Headers],0),2),FALSE),"")</f>
        <v/>
      </c>
      <c r="X1690" t="str">
        <f t="shared" si="172"/>
        <v/>
      </c>
      <c r="Y1690">
        <v>0</v>
      </c>
      <c r="Z1690" t="str">
        <f>IF(Y1690&lt;&gt;0,VLOOKUP(VLOOKUP(Y1690,Tbl_Effect[],3,FALSE),EffectName[],IFERROR(MATCH(UI!$B$1,EffectName[#Headers],0),2),FALSE),"")</f>
        <v/>
      </c>
      <c r="AA1690" t="str">
        <f t="shared" si="173"/>
        <v/>
      </c>
      <c r="AB1690">
        <v>0</v>
      </c>
      <c r="AC1690" t="str">
        <f>IF(AB1690&lt;&gt;0,VLOOKUP(VLOOKUP(AB1690,Tbl_Effect[],3,FALSE),EffectName[],IFERROR(MATCH(UI!$B$1,EffectName[#Headers],0),2),FALSE),"")</f>
        <v/>
      </c>
    </row>
    <row r="1691" spans="8:29" x14ac:dyDescent="0.4">
      <c r="H1691" t="str">
        <f t="shared" si="170"/>
        <v/>
      </c>
      <c r="I1691">
        <v>0</v>
      </c>
      <c r="J1691" t="str">
        <f>_xlfn.IFNA(IF(I1691&lt;&gt;0,VLOOKUP(VLOOKUP(I1691,Tbl_Equip[],2,FALSE),Tbl_Color[],IFERROR(MATCH(UI!$B$1,Tbl_Color[#Headers],0),2),FALSE),""),"Unset")</f>
        <v/>
      </c>
      <c r="K1691" t="str">
        <f>_xlfn.IFNA(IF(I1691&lt;&gt;0,VLOOKUP(I1691,ItemText[],IFERROR(MATCH(UI!$B$1,ItemText[#Headers],0),2),FALSE),""),"Unset")</f>
        <v/>
      </c>
      <c r="M1691">
        <v>0</v>
      </c>
      <c r="P1691">
        <v>0</v>
      </c>
      <c r="S1691">
        <v>0</v>
      </c>
      <c r="T1691" t="str">
        <f>IF(VALUE(S1691)=0,"",VLOOKUP(VLOOKUP(S1691,Tbl_Effect[],3,FALSE),EffectName[],IFERROR(MATCH(UI!$B$1,EffectName[#Headers],0),2),FALSE))</f>
        <v/>
      </c>
      <c r="U1691" t="str">
        <f t="shared" si="171"/>
        <v/>
      </c>
      <c r="V1691">
        <v>0</v>
      </c>
      <c r="W1691" t="str">
        <f>IF(V1691&lt;&gt;0,VLOOKUP(VLOOKUP(V1691,Tbl_Effect[],3,FALSE),EffectName[],IFERROR(MATCH(UI!$B$1,EffectName[#Headers],0),2),FALSE),"")</f>
        <v/>
      </c>
      <c r="X1691" t="str">
        <f t="shared" si="172"/>
        <v/>
      </c>
      <c r="Y1691">
        <v>0</v>
      </c>
      <c r="Z1691" t="str">
        <f>IF(Y1691&lt;&gt;0,VLOOKUP(VLOOKUP(Y1691,Tbl_Effect[],3,FALSE),EffectName[],IFERROR(MATCH(UI!$B$1,EffectName[#Headers],0),2),FALSE),"")</f>
        <v/>
      </c>
      <c r="AA1691" t="str">
        <f t="shared" si="173"/>
        <v/>
      </c>
      <c r="AB1691">
        <v>0</v>
      </c>
      <c r="AC1691" t="str">
        <f>IF(AB1691&lt;&gt;0,VLOOKUP(VLOOKUP(AB1691,Tbl_Effect[],3,FALSE),EffectName[],IFERROR(MATCH(UI!$B$1,EffectName[#Headers],0),2),FALSE),"")</f>
        <v/>
      </c>
    </row>
    <row r="1692" spans="8:29" x14ac:dyDescent="0.4">
      <c r="H1692" t="str">
        <f t="shared" si="170"/>
        <v/>
      </c>
      <c r="I1692">
        <v>0</v>
      </c>
      <c r="J1692" t="str">
        <f>_xlfn.IFNA(IF(I1692&lt;&gt;0,VLOOKUP(VLOOKUP(I1692,Tbl_Equip[],2,FALSE),Tbl_Color[],IFERROR(MATCH(UI!$B$1,Tbl_Color[#Headers],0),2),FALSE),""),"Unset")</f>
        <v/>
      </c>
      <c r="K1692" t="str">
        <f>_xlfn.IFNA(IF(I1692&lt;&gt;0,VLOOKUP(I1692,ItemText[],IFERROR(MATCH(UI!$B$1,ItemText[#Headers],0),2),FALSE),""),"Unset")</f>
        <v/>
      </c>
      <c r="M1692">
        <v>0</v>
      </c>
      <c r="P1692">
        <v>0</v>
      </c>
      <c r="S1692">
        <v>0</v>
      </c>
      <c r="T1692" t="str">
        <f>IF(VALUE(S1692)=0,"",VLOOKUP(VLOOKUP(S1692,Tbl_Effect[],3,FALSE),EffectName[],IFERROR(MATCH(UI!$B$1,EffectName[#Headers],0),2),FALSE))</f>
        <v/>
      </c>
      <c r="U1692" t="str">
        <f t="shared" si="171"/>
        <v/>
      </c>
      <c r="V1692">
        <v>0</v>
      </c>
      <c r="W1692" t="str">
        <f>IF(V1692&lt;&gt;0,VLOOKUP(VLOOKUP(V1692,Tbl_Effect[],3,FALSE),EffectName[],IFERROR(MATCH(UI!$B$1,EffectName[#Headers],0),2),FALSE),"")</f>
        <v/>
      </c>
      <c r="X1692" t="str">
        <f t="shared" si="172"/>
        <v/>
      </c>
      <c r="Y1692">
        <v>0</v>
      </c>
      <c r="Z1692" t="str">
        <f>IF(Y1692&lt;&gt;0,VLOOKUP(VLOOKUP(Y1692,Tbl_Effect[],3,FALSE),EffectName[],IFERROR(MATCH(UI!$B$1,EffectName[#Headers],0),2),FALSE),"")</f>
        <v/>
      </c>
      <c r="AA1692" t="str">
        <f t="shared" si="173"/>
        <v/>
      </c>
      <c r="AB1692">
        <v>0</v>
      </c>
      <c r="AC1692" t="str">
        <f>IF(AB1692&lt;&gt;0,VLOOKUP(VLOOKUP(AB1692,Tbl_Effect[],3,FALSE),EffectName[],IFERROR(MATCH(UI!$B$1,EffectName[#Headers],0),2),FALSE),"")</f>
        <v/>
      </c>
    </row>
    <row r="1693" spans="8:29" x14ac:dyDescent="0.4">
      <c r="H1693" t="str">
        <f t="shared" si="170"/>
        <v/>
      </c>
      <c r="I1693">
        <v>0</v>
      </c>
      <c r="J1693" t="str">
        <f>_xlfn.IFNA(IF(I1693&lt;&gt;0,VLOOKUP(VLOOKUP(I1693,Tbl_Equip[],2,FALSE),Tbl_Color[],IFERROR(MATCH(UI!$B$1,Tbl_Color[#Headers],0),2),FALSE),""),"Unset")</f>
        <v/>
      </c>
      <c r="K1693" t="str">
        <f>_xlfn.IFNA(IF(I1693&lt;&gt;0,VLOOKUP(I1693,ItemText[],IFERROR(MATCH(UI!$B$1,ItemText[#Headers],0),2),FALSE),""),"Unset")</f>
        <v/>
      </c>
      <c r="M1693">
        <v>0</v>
      </c>
      <c r="P1693">
        <v>0</v>
      </c>
      <c r="S1693">
        <v>0</v>
      </c>
      <c r="T1693" t="str">
        <f>IF(VALUE(S1693)=0,"",VLOOKUP(VLOOKUP(S1693,Tbl_Effect[],3,FALSE),EffectName[],IFERROR(MATCH(UI!$B$1,EffectName[#Headers],0),2),FALSE))</f>
        <v/>
      </c>
      <c r="U1693" t="str">
        <f t="shared" si="171"/>
        <v/>
      </c>
      <c r="V1693">
        <v>0</v>
      </c>
      <c r="W1693" t="str">
        <f>IF(V1693&lt;&gt;0,VLOOKUP(VLOOKUP(V1693,Tbl_Effect[],3,FALSE),EffectName[],IFERROR(MATCH(UI!$B$1,EffectName[#Headers],0),2),FALSE),"")</f>
        <v/>
      </c>
      <c r="X1693" t="str">
        <f t="shared" si="172"/>
        <v/>
      </c>
      <c r="Y1693">
        <v>0</v>
      </c>
      <c r="Z1693" t="str">
        <f>IF(Y1693&lt;&gt;0,VLOOKUP(VLOOKUP(Y1693,Tbl_Effect[],3,FALSE),EffectName[],IFERROR(MATCH(UI!$B$1,EffectName[#Headers],0),2),FALSE),"")</f>
        <v/>
      </c>
      <c r="AA1693" t="str">
        <f t="shared" si="173"/>
        <v/>
      </c>
      <c r="AB1693">
        <v>0</v>
      </c>
      <c r="AC1693" t="str">
        <f>IF(AB1693&lt;&gt;0,VLOOKUP(VLOOKUP(AB1693,Tbl_Effect[],3,FALSE),EffectName[],IFERROR(MATCH(UI!$B$1,EffectName[#Headers],0),2),FALSE),"")</f>
        <v/>
      </c>
    </row>
    <row r="1694" spans="8:29" x14ac:dyDescent="0.4">
      <c r="H1694" t="str">
        <f t="shared" si="170"/>
        <v/>
      </c>
      <c r="I1694">
        <v>0</v>
      </c>
      <c r="J1694" t="str">
        <f>_xlfn.IFNA(IF(I1694&lt;&gt;0,VLOOKUP(VLOOKUP(I1694,Tbl_Equip[],2,FALSE),Tbl_Color[],IFERROR(MATCH(UI!$B$1,Tbl_Color[#Headers],0),2),FALSE),""),"Unset")</f>
        <v/>
      </c>
      <c r="K1694" t="str">
        <f>_xlfn.IFNA(IF(I1694&lt;&gt;0,VLOOKUP(I1694,ItemText[],IFERROR(MATCH(UI!$B$1,ItemText[#Headers],0),2),FALSE),""),"Unset")</f>
        <v/>
      </c>
      <c r="M1694">
        <v>0</v>
      </c>
      <c r="P1694">
        <v>0</v>
      </c>
      <c r="S1694">
        <v>0</v>
      </c>
      <c r="T1694" t="str">
        <f>IF(VALUE(S1694)=0,"",VLOOKUP(VLOOKUP(S1694,Tbl_Effect[],3,FALSE),EffectName[],IFERROR(MATCH(UI!$B$1,EffectName[#Headers],0),2),FALSE))</f>
        <v/>
      </c>
      <c r="U1694" t="str">
        <f t="shared" si="171"/>
        <v/>
      </c>
      <c r="V1694">
        <v>0</v>
      </c>
      <c r="W1694" t="str">
        <f>IF(V1694&lt;&gt;0,VLOOKUP(VLOOKUP(V1694,Tbl_Effect[],3,FALSE),EffectName[],IFERROR(MATCH(UI!$B$1,EffectName[#Headers],0),2),FALSE),"")</f>
        <v/>
      </c>
      <c r="X1694" t="str">
        <f t="shared" si="172"/>
        <v/>
      </c>
      <c r="Y1694">
        <v>0</v>
      </c>
      <c r="Z1694" t="str">
        <f>IF(Y1694&lt;&gt;0,VLOOKUP(VLOOKUP(Y1694,Tbl_Effect[],3,FALSE),EffectName[],IFERROR(MATCH(UI!$B$1,EffectName[#Headers],0),2),FALSE),"")</f>
        <v/>
      </c>
      <c r="AA1694" t="str">
        <f t="shared" si="173"/>
        <v/>
      </c>
      <c r="AB1694">
        <v>0</v>
      </c>
      <c r="AC1694" t="str">
        <f>IF(AB1694&lt;&gt;0,VLOOKUP(VLOOKUP(AB1694,Tbl_Effect[],3,FALSE),EffectName[],IFERROR(MATCH(UI!$B$1,EffectName[#Headers],0),2),FALSE),"")</f>
        <v/>
      </c>
    </row>
    <row r="1695" spans="8:29" x14ac:dyDescent="0.4">
      <c r="H1695" t="str">
        <f t="shared" si="170"/>
        <v/>
      </c>
      <c r="I1695">
        <v>0</v>
      </c>
      <c r="J1695" t="str">
        <f>_xlfn.IFNA(IF(I1695&lt;&gt;0,VLOOKUP(VLOOKUP(I1695,Tbl_Equip[],2,FALSE),Tbl_Color[],IFERROR(MATCH(UI!$B$1,Tbl_Color[#Headers],0),2),FALSE),""),"Unset")</f>
        <v/>
      </c>
      <c r="K1695" t="str">
        <f>_xlfn.IFNA(IF(I1695&lt;&gt;0,VLOOKUP(I1695,ItemText[],IFERROR(MATCH(UI!$B$1,ItemText[#Headers],0),2),FALSE),""),"Unset")</f>
        <v/>
      </c>
      <c r="M1695">
        <v>0</v>
      </c>
      <c r="P1695">
        <v>0</v>
      </c>
      <c r="S1695">
        <v>0</v>
      </c>
      <c r="T1695" t="str">
        <f>IF(VALUE(S1695)=0,"",VLOOKUP(VLOOKUP(S1695,Tbl_Effect[],3,FALSE),EffectName[],IFERROR(MATCH(UI!$B$1,EffectName[#Headers],0),2),FALSE))</f>
        <v/>
      </c>
      <c r="U1695" t="str">
        <f t="shared" si="171"/>
        <v/>
      </c>
      <c r="V1695">
        <v>0</v>
      </c>
      <c r="W1695" t="str">
        <f>IF(V1695&lt;&gt;0,VLOOKUP(VLOOKUP(V1695,Tbl_Effect[],3,FALSE),EffectName[],IFERROR(MATCH(UI!$B$1,EffectName[#Headers],0),2),FALSE),"")</f>
        <v/>
      </c>
      <c r="X1695" t="str">
        <f t="shared" si="172"/>
        <v/>
      </c>
      <c r="Y1695">
        <v>0</v>
      </c>
      <c r="Z1695" t="str">
        <f>IF(Y1695&lt;&gt;0,VLOOKUP(VLOOKUP(Y1695,Tbl_Effect[],3,FALSE),EffectName[],IFERROR(MATCH(UI!$B$1,EffectName[#Headers],0),2),FALSE),"")</f>
        <v/>
      </c>
      <c r="AA1695" t="str">
        <f t="shared" si="173"/>
        <v/>
      </c>
      <c r="AB1695">
        <v>0</v>
      </c>
      <c r="AC1695" t="str">
        <f>IF(AB1695&lt;&gt;0,VLOOKUP(VLOOKUP(AB1695,Tbl_Effect[],3,FALSE),EffectName[],IFERROR(MATCH(UI!$B$1,EffectName[#Headers],0),2),FALSE),"")</f>
        <v/>
      </c>
    </row>
    <row r="1696" spans="8:29" x14ac:dyDescent="0.4">
      <c r="H1696" t="str">
        <f t="shared" si="170"/>
        <v/>
      </c>
      <c r="I1696">
        <v>0</v>
      </c>
      <c r="J1696" t="str">
        <f>_xlfn.IFNA(IF(I1696&lt;&gt;0,VLOOKUP(VLOOKUP(I1696,Tbl_Equip[],2,FALSE),Tbl_Color[],IFERROR(MATCH(UI!$B$1,Tbl_Color[#Headers],0),2),FALSE),""),"Unset")</f>
        <v/>
      </c>
      <c r="K1696" t="str">
        <f>_xlfn.IFNA(IF(I1696&lt;&gt;0,VLOOKUP(I1696,ItemText[],IFERROR(MATCH(UI!$B$1,ItemText[#Headers],0),2),FALSE),""),"Unset")</f>
        <v/>
      </c>
      <c r="M1696">
        <v>0</v>
      </c>
      <c r="P1696">
        <v>0</v>
      </c>
      <c r="S1696">
        <v>0</v>
      </c>
      <c r="T1696" t="str">
        <f>IF(VALUE(S1696)=0,"",VLOOKUP(VLOOKUP(S1696,Tbl_Effect[],3,FALSE),EffectName[],IFERROR(MATCH(UI!$B$1,EffectName[#Headers],0),2),FALSE))</f>
        <v/>
      </c>
      <c r="U1696" t="str">
        <f t="shared" si="171"/>
        <v/>
      </c>
      <c r="V1696">
        <v>0</v>
      </c>
      <c r="W1696" t="str">
        <f>IF(V1696&lt;&gt;0,VLOOKUP(VLOOKUP(V1696,Tbl_Effect[],3,FALSE),EffectName[],IFERROR(MATCH(UI!$B$1,EffectName[#Headers],0),2),FALSE),"")</f>
        <v/>
      </c>
      <c r="X1696" t="str">
        <f t="shared" si="172"/>
        <v/>
      </c>
      <c r="Y1696">
        <v>0</v>
      </c>
      <c r="Z1696" t="str">
        <f>IF(Y1696&lt;&gt;0,VLOOKUP(VLOOKUP(Y1696,Tbl_Effect[],3,FALSE),EffectName[],IFERROR(MATCH(UI!$B$1,EffectName[#Headers],0),2),FALSE),"")</f>
        <v/>
      </c>
      <c r="AA1696" t="str">
        <f t="shared" si="173"/>
        <v/>
      </c>
      <c r="AB1696">
        <v>0</v>
      </c>
      <c r="AC1696" t="str">
        <f>IF(AB1696&lt;&gt;0,VLOOKUP(VLOOKUP(AB1696,Tbl_Effect[],3,FALSE),EffectName[],IFERROR(MATCH(UI!$B$1,EffectName[#Headers],0),2),FALSE),"")</f>
        <v/>
      </c>
    </row>
    <row r="1697" spans="8:29" x14ac:dyDescent="0.4">
      <c r="H1697" t="str">
        <f t="shared" si="170"/>
        <v/>
      </c>
      <c r="I1697">
        <v>0</v>
      </c>
      <c r="J1697" t="str">
        <f>_xlfn.IFNA(IF(I1697&lt;&gt;0,VLOOKUP(VLOOKUP(I1697,Tbl_Equip[],2,FALSE),Tbl_Color[],IFERROR(MATCH(UI!$B$1,Tbl_Color[#Headers],0),2),FALSE),""),"Unset")</f>
        <v/>
      </c>
      <c r="K1697" t="str">
        <f>_xlfn.IFNA(IF(I1697&lt;&gt;0,VLOOKUP(I1697,ItemText[],IFERROR(MATCH(UI!$B$1,ItemText[#Headers],0),2),FALSE),""),"Unset")</f>
        <v/>
      </c>
      <c r="M1697">
        <v>0</v>
      </c>
      <c r="P1697">
        <v>0</v>
      </c>
      <c r="S1697">
        <v>0</v>
      </c>
      <c r="T1697" t="str">
        <f>IF(VALUE(S1697)=0,"",VLOOKUP(VLOOKUP(S1697,Tbl_Effect[],3,FALSE),EffectName[],IFERROR(MATCH(UI!$B$1,EffectName[#Headers],0),2),FALSE))</f>
        <v/>
      </c>
      <c r="U1697" t="str">
        <f t="shared" si="171"/>
        <v/>
      </c>
      <c r="V1697">
        <v>0</v>
      </c>
      <c r="W1697" t="str">
        <f>IF(V1697&lt;&gt;0,VLOOKUP(VLOOKUP(V1697,Tbl_Effect[],3,FALSE),EffectName[],IFERROR(MATCH(UI!$B$1,EffectName[#Headers],0),2),FALSE),"")</f>
        <v/>
      </c>
      <c r="X1697" t="str">
        <f t="shared" si="172"/>
        <v/>
      </c>
      <c r="Y1697">
        <v>0</v>
      </c>
      <c r="Z1697" t="str">
        <f>IF(Y1697&lt;&gt;0,VLOOKUP(VLOOKUP(Y1697,Tbl_Effect[],3,FALSE),EffectName[],IFERROR(MATCH(UI!$B$1,EffectName[#Headers],0),2),FALSE),"")</f>
        <v/>
      </c>
      <c r="AA1697" t="str">
        <f t="shared" si="173"/>
        <v/>
      </c>
      <c r="AB1697">
        <v>0</v>
      </c>
      <c r="AC1697" t="str">
        <f>IF(AB1697&lt;&gt;0,VLOOKUP(VLOOKUP(AB1697,Tbl_Effect[],3,FALSE),EffectName[],IFERROR(MATCH(UI!$B$1,EffectName[#Headers],0),2),FALSE),"")</f>
        <v/>
      </c>
    </row>
    <row r="1698" spans="8:29" x14ac:dyDescent="0.4">
      <c r="H1698" t="str">
        <f t="shared" si="170"/>
        <v/>
      </c>
      <c r="I1698">
        <v>0</v>
      </c>
      <c r="J1698" t="str">
        <f>_xlfn.IFNA(IF(I1698&lt;&gt;0,VLOOKUP(VLOOKUP(I1698,Tbl_Equip[],2,FALSE),Tbl_Color[],IFERROR(MATCH(UI!$B$1,Tbl_Color[#Headers],0),2),FALSE),""),"Unset")</f>
        <v/>
      </c>
      <c r="K1698" t="str">
        <f>_xlfn.IFNA(IF(I1698&lt;&gt;0,VLOOKUP(I1698,ItemText[],IFERROR(MATCH(UI!$B$1,ItemText[#Headers],0),2),FALSE),""),"Unset")</f>
        <v/>
      </c>
      <c r="M1698">
        <v>0</v>
      </c>
      <c r="P1698">
        <v>0</v>
      </c>
      <c r="S1698">
        <v>0</v>
      </c>
      <c r="T1698" t="str">
        <f>IF(VALUE(S1698)=0,"",VLOOKUP(VLOOKUP(S1698,Tbl_Effect[],3,FALSE),EffectName[],IFERROR(MATCH(UI!$B$1,EffectName[#Headers],0),2),FALSE))</f>
        <v/>
      </c>
      <c r="U1698" t="str">
        <f t="shared" si="171"/>
        <v/>
      </c>
      <c r="V1698">
        <v>0</v>
      </c>
      <c r="W1698" t="str">
        <f>IF(V1698&lt;&gt;0,VLOOKUP(VLOOKUP(V1698,Tbl_Effect[],3,FALSE),EffectName[],IFERROR(MATCH(UI!$B$1,EffectName[#Headers],0),2),FALSE),"")</f>
        <v/>
      </c>
      <c r="X1698" t="str">
        <f t="shared" si="172"/>
        <v/>
      </c>
      <c r="Y1698">
        <v>0</v>
      </c>
      <c r="Z1698" t="str">
        <f>IF(Y1698&lt;&gt;0,VLOOKUP(VLOOKUP(Y1698,Tbl_Effect[],3,FALSE),EffectName[],IFERROR(MATCH(UI!$B$1,EffectName[#Headers],0),2),FALSE),"")</f>
        <v/>
      </c>
      <c r="AA1698" t="str">
        <f t="shared" si="173"/>
        <v/>
      </c>
      <c r="AB1698">
        <v>0</v>
      </c>
      <c r="AC1698" t="str">
        <f>IF(AB1698&lt;&gt;0,VLOOKUP(VLOOKUP(AB1698,Tbl_Effect[],3,FALSE),EffectName[],IFERROR(MATCH(UI!$B$1,EffectName[#Headers],0),2),FALSE),"")</f>
        <v/>
      </c>
    </row>
    <row r="1699" spans="8:29" x14ac:dyDescent="0.4">
      <c r="H1699" t="str">
        <f t="shared" si="170"/>
        <v/>
      </c>
      <c r="I1699">
        <v>0</v>
      </c>
      <c r="J1699" t="str">
        <f>_xlfn.IFNA(IF(I1699&lt;&gt;0,VLOOKUP(VLOOKUP(I1699,Tbl_Equip[],2,FALSE),Tbl_Color[],IFERROR(MATCH(UI!$B$1,Tbl_Color[#Headers],0),2),FALSE),""),"Unset")</f>
        <v/>
      </c>
      <c r="K1699" t="str">
        <f>_xlfn.IFNA(IF(I1699&lt;&gt;0,VLOOKUP(I1699,ItemText[],IFERROR(MATCH(UI!$B$1,ItemText[#Headers],0),2),FALSE),""),"Unset")</f>
        <v/>
      </c>
      <c r="M1699">
        <v>0</v>
      </c>
      <c r="P1699">
        <v>0</v>
      </c>
      <c r="S1699">
        <v>0</v>
      </c>
      <c r="T1699" t="str">
        <f>IF(VALUE(S1699)=0,"",VLOOKUP(VLOOKUP(S1699,Tbl_Effect[],3,FALSE),EffectName[],IFERROR(MATCH(UI!$B$1,EffectName[#Headers],0),2),FALSE))</f>
        <v/>
      </c>
      <c r="U1699" t="str">
        <f t="shared" si="171"/>
        <v/>
      </c>
      <c r="V1699">
        <v>0</v>
      </c>
      <c r="W1699" t="str">
        <f>IF(V1699&lt;&gt;0,VLOOKUP(VLOOKUP(V1699,Tbl_Effect[],3,FALSE),EffectName[],IFERROR(MATCH(UI!$B$1,EffectName[#Headers],0),2),FALSE),"")</f>
        <v/>
      </c>
      <c r="X1699" t="str">
        <f t="shared" si="172"/>
        <v/>
      </c>
      <c r="Y1699">
        <v>0</v>
      </c>
      <c r="Z1699" t="str">
        <f>IF(Y1699&lt;&gt;0,VLOOKUP(VLOOKUP(Y1699,Tbl_Effect[],3,FALSE),EffectName[],IFERROR(MATCH(UI!$B$1,EffectName[#Headers],0),2),FALSE),"")</f>
        <v/>
      </c>
      <c r="AA1699" t="str">
        <f t="shared" si="173"/>
        <v/>
      </c>
      <c r="AB1699">
        <v>0</v>
      </c>
      <c r="AC1699" t="str">
        <f>IF(AB1699&lt;&gt;0,VLOOKUP(VLOOKUP(AB1699,Tbl_Effect[],3,FALSE),EffectName[],IFERROR(MATCH(UI!$B$1,EffectName[#Headers],0),2),FALSE),"")</f>
        <v/>
      </c>
    </row>
    <row r="1700" spans="8:29" x14ac:dyDescent="0.4">
      <c r="H1700" t="str">
        <f t="shared" si="170"/>
        <v/>
      </c>
      <c r="I1700">
        <v>0</v>
      </c>
      <c r="J1700" t="str">
        <f>_xlfn.IFNA(IF(I1700&lt;&gt;0,VLOOKUP(VLOOKUP(I1700,Tbl_Equip[],2,FALSE),Tbl_Color[],IFERROR(MATCH(UI!$B$1,Tbl_Color[#Headers],0),2),FALSE),""),"Unset")</f>
        <v/>
      </c>
      <c r="K1700" t="str">
        <f>_xlfn.IFNA(IF(I1700&lt;&gt;0,VLOOKUP(I1700,ItemText[],IFERROR(MATCH(UI!$B$1,ItemText[#Headers],0),2),FALSE),""),"Unset")</f>
        <v/>
      </c>
      <c r="M1700">
        <v>0</v>
      </c>
      <c r="P1700">
        <v>0</v>
      </c>
      <c r="S1700">
        <v>0</v>
      </c>
      <c r="T1700" t="str">
        <f>IF(VALUE(S1700)=0,"",VLOOKUP(VLOOKUP(S1700,Tbl_Effect[],3,FALSE),EffectName[],IFERROR(MATCH(UI!$B$1,EffectName[#Headers],0),2),FALSE))</f>
        <v/>
      </c>
      <c r="U1700" t="str">
        <f t="shared" si="171"/>
        <v/>
      </c>
      <c r="V1700">
        <v>0</v>
      </c>
      <c r="W1700" t="str">
        <f>IF(V1700&lt;&gt;0,VLOOKUP(VLOOKUP(V1700,Tbl_Effect[],3,FALSE),EffectName[],IFERROR(MATCH(UI!$B$1,EffectName[#Headers],0),2),FALSE),"")</f>
        <v/>
      </c>
      <c r="X1700" t="str">
        <f t="shared" si="172"/>
        <v/>
      </c>
      <c r="Y1700">
        <v>0</v>
      </c>
      <c r="Z1700" t="str">
        <f>IF(Y1700&lt;&gt;0,VLOOKUP(VLOOKUP(Y1700,Tbl_Effect[],3,FALSE),EffectName[],IFERROR(MATCH(UI!$B$1,EffectName[#Headers],0),2),FALSE),"")</f>
        <v/>
      </c>
      <c r="AA1700" t="str">
        <f t="shared" si="173"/>
        <v/>
      </c>
      <c r="AB1700">
        <v>0</v>
      </c>
      <c r="AC1700" t="str">
        <f>IF(AB1700&lt;&gt;0,VLOOKUP(VLOOKUP(AB1700,Tbl_Effect[],3,FALSE),EffectName[],IFERROR(MATCH(UI!$B$1,EffectName[#Headers],0),2),FALSE),"")</f>
        <v/>
      </c>
    </row>
    <row r="1701" spans="8:29" x14ac:dyDescent="0.4">
      <c r="H1701" t="str">
        <f t="shared" si="170"/>
        <v/>
      </c>
      <c r="I1701">
        <v>0</v>
      </c>
      <c r="J1701" t="str">
        <f>_xlfn.IFNA(IF(I1701&lt;&gt;0,VLOOKUP(VLOOKUP(I1701,Tbl_Equip[],2,FALSE),Tbl_Color[],IFERROR(MATCH(UI!$B$1,Tbl_Color[#Headers],0),2),FALSE),""),"Unset")</f>
        <v/>
      </c>
      <c r="K1701" t="str">
        <f>_xlfn.IFNA(IF(I1701&lt;&gt;0,VLOOKUP(I1701,ItemText[],IFERROR(MATCH(UI!$B$1,ItemText[#Headers],0),2),FALSE),""),"Unset")</f>
        <v/>
      </c>
      <c r="M1701">
        <v>0</v>
      </c>
      <c r="P1701">
        <v>0</v>
      </c>
      <c r="S1701">
        <v>0</v>
      </c>
      <c r="T1701" t="str">
        <f>IF(VALUE(S1701)=0,"",VLOOKUP(VLOOKUP(S1701,Tbl_Effect[],3,FALSE),EffectName[],IFERROR(MATCH(UI!$B$1,EffectName[#Headers],0),2),FALSE))</f>
        <v/>
      </c>
      <c r="U1701" t="str">
        <f t="shared" si="171"/>
        <v/>
      </c>
      <c r="V1701">
        <v>0</v>
      </c>
      <c r="W1701" t="str">
        <f>IF(V1701&lt;&gt;0,VLOOKUP(VLOOKUP(V1701,Tbl_Effect[],3,FALSE),EffectName[],IFERROR(MATCH(UI!$B$1,EffectName[#Headers],0),2),FALSE),"")</f>
        <v/>
      </c>
      <c r="X1701" t="str">
        <f t="shared" si="172"/>
        <v/>
      </c>
      <c r="Y1701">
        <v>0</v>
      </c>
      <c r="Z1701" t="str">
        <f>IF(Y1701&lt;&gt;0,VLOOKUP(VLOOKUP(Y1701,Tbl_Effect[],3,FALSE),EffectName[],IFERROR(MATCH(UI!$B$1,EffectName[#Headers],0),2),FALSE),"")</f>
        <v/>
      </c>
      <c r="AA1701" t="str">
        <f t="shared" si="173"/>
        <v/>
      </c>
      <c r="AB1701">
        <v>0</v>
      </c>
      <c r="AC1701" t="str">
        <f>IF(AB1701&lt;&gt;0,VLOOKUP(VLOOKUP(AB1701,Tbl_Effect[],3,FALSE),EffectName[],IFERROR(MATCH(UI!$B$1,EffectName[#Headers],0),2),FALSE),"")</f>
        <v/>
      </c>
    </row>
    <row r="1702" spans="8:29" x14ac:dyDescent="0.4">
      <c r="H1702" t="str">
        <f t="shared" si="170"/>
        <v/>
      </c>
      <c r="I1702">
        <v>0</v>
      </c>
      <c r="J1702" t="str">
        <f>_xlfn.IFNA(IF(I1702&lt;&gt;0,VLOOKUP(VLOOKUP(I1702,Tbl_Equip[],2,FALSE),Tbl_Color[],IFERROR(MATCH(UI!$B$1,Tbl_Color[#Headers],0),2),FALSE),""),"Unset")</f>
        <v/>
      </c>
      <c r="K1702" t="str">
        <f>_xlfn.IFNA(IF(I1702&lt;&gt;0,VLOOKUP(I1702,ItemText[],IFERROR(MATCH(UI!$B$1,ItemText[#Headers],0),2),FALSE),""),"Unset")</f>
        <v/>
      </c>
      <c r="M1702">
        <v>0</v>
      </c>
      <c r="P1702">
        <v>0</v>
      </c>
      <c r="S1702">
        <v>0</v>
      </c>
      <c r="T1702" t="str">
        <f>IF(VALUE(S1702)=0,"",VLOOKUP(VLOOKUP(S1702,Tbl_Effect[],3,FALSE),EffectName[],IFERROR(MATCH(UI!$B$1,EffectName[#Headers],0),2),FALSE))</f>
        <v/>
      </c>
      <c r="U1702" t="str">
        <f t="shared" si="171"/>
        <v/>
      </c>
      <c r="V1702">
        <v>0</v>
      </c>
      <c r="W1702" t="str">
        <f>IF(V1702&lt;&gt;0,VLOOKUP(VLOOKUP(V1702,Tbl_Effect[],3,FALSE),EffectName[],IFERROR(MATCH(UI!$B$1,EffectName[#Headers],0),2),FALSE),"")</f>
        <v/>
      </c>
      <c r="X1702" t="str">
        <f t="shared" si="172"/>
        <v/>
      </c>
      <c r="Y1702">
        <v>0</v>
      </c>
      <c r="Z1702" t="str">
        <f>IF(Y1702&lt;&gt;0,VLOOKUP(VLOOKUP(Y1702,Tbl_Effect[],3,FALSE),EffectName[],IFERROR(MATCH(UI!$B$1,EffectName[#Headers],0),2),FALSE),"")</f>
        <v/>
      </c>
      <c r="AA1702" t="str">
        <f t="shared" si="173"/>
        <v/>
      </c>
      <c r="AB1702">
        <v>0</v>
      </c>
      <c r="AC1702" t="str">
        <f>IF(AB1702&lt;&gt;0,VLOOKUP(VLOOKUP(AB1702,Tbl_Effect[],3,FALSE),EffectName[],IFERROR(MATCH(UI!$B$1,EffectName[#Headers],0),2),FALSE),"")</f>
        <v/>
      </c>
    </row>
    <row r="1703" spans="8:29" x14ac:dyDescent="0.4">
      <c r="H1703" t="str">
        <f t="shared" si="170"/>
        <v/>
      </c>
      <c r="I1703">
        <v>0</v>
      </c>
      <c r="J1703" t="str">
        <f>_xlfn.IFNA(IF(I1703&lt;&gt;0,VLOOKUP(VLOOKUP(I1703,Tbl_Equip[],2,FALSE),Tbl_Color[],IFERROR(MATCH(UI!$B$1,Tbl_Color[#Headers],0),2),FALSE),""),"Unset")</f>
        <v/>
      </c>
      <c r="K1703" t="str">
        <f>_xlfn.IFNA(IF(I1703&lt;&gt;0,VLOOKUP(I1703,ItemText[],IFERROR(MATCH(UI!$B$1,ItemText[#Headers],0),2),FALSE),""),"Unset")</f>
        <v/>
      </c>
      <c r="M1703">
        <v>0</v>
      </c>
      <c r="P1703">
        <v>0</v>
      </c>
      <c r="S1703">
        <v>0</v>
      </c>
      <c r="T1703" t="str">
        <f>IF(VALUE(S1703)=0,"",VLOOKUP(VLOOKUP(S1703,Tbl_Effect[],3,FALSE),EffectName[],IFERROR(MATCH(UI!$B$1,EffectName[#Headers],0),2),FALSE))</f>
        <v/>
      </c>
      <c r="U1703" t="str">
        <f t="shared" si="171"/>
        <v/>
      </c>
      <c r="V1703">
        <v>0</v>
      </c>
      <c r="W1703" t="str">
        <f>IF(V1703&lt;&gt;0,VLOOKUP(VLOOKUP(V1703,Tbl_Effect[],3,FALSE),EffectName[],IFERROR(MATCH(UI!$B$1,EffectName[#Headers],0),2),FALSE),"")</f>
        <v/>
      </c>
      <c r="X1703" t="str">
        <f t="shared" si="172"/>
        <v/>
      </c>
      <c r="Y1703">
        <v>0</v>
      </c>
      <c r="Z1703" t="str">
        <f>IF(Y1703&lt;&gt;0,VLOOKUP(VLOOKUP(Y1703,Tbl_Effect[],3,FALSE),EffectName[],IFERROR(MATCH(UI!$B$1,EffectName[#Headers],0),2),FALSE),"")</f>
        <v/>
      </c>
      <c r="AA1703" t="str">
        <f t="shared" si="173"/>
        <v/>
      </c>
      <c r="AB1703">
        <v>0</v>
      </c>
      <c r="AC1703" t="str">
        <f>IF(AB1703&lt;&gt;0,VLOOKUP(VLOOKUP(AB1703,Tbl_Effect[],3,FALSE),EffectName[],IFERROR(MATCH(UI!$B$1,EffectName[#Headers],0),2),FALSE),"")</f>
        <v/>
      </c>
    </row>
    <row r="1704" spans="8:29" x14ac:dyDescent="0.4">
      <c r="H1704" t="str">
        <f t="shared" si="170"/>
        <v/>
      </c>
      <c r="I1704">
        <v>0</v>
      </c>
      <c r="J1704" t="str">
        <f>_xlfn.IFNA(IF(I1704&lt;&gt;0,VLOOKUP(VLOOKUP(I1704,Tbl_Equip[],2,FALSE),Tbl_Color[],IFERROR(MATCH(UI!$B$1,Tbl_Color[#Headers],0),2),FALSE),""),"Unset")</f>
        <v/>
      </c>
      <c r="K1704" t="str">
        <f>_xlfn.IFNA(IF(I1704&lt;&gt;0,VLOOKUP(I1704,ItemText[],IFERROR(MATCH(UI!$B$1,ItemText[#Headers],0),2),FALSE),""),"Unset")</f>
        <v/>
      </c>
      <c r="M1704">
        <v>0</v>
      </c>
      <c r="P1704">
        <v>0</v>
      </c>
      <c r="S1704">
        <v>0</v>
      </c>
      <c r="T1704" t="str">
        <f>IF(VALUE(S1704)=0,"",VLOOKUP(VLOOKUP(S1704,Tbl_Effect[],3,FALSE),EffectName[],IFERROR(MATCH(UI!$B$1,EffectName[#Headers],0),2),FALSE))</f>
        <v/>
      </c>
      <c r="U1704" t="str">
        <f t="shared" si="171"/>
        <v/>
      </c>
      <c r="V1704">
        <v>0</v>
      </c>
      <c r="W1704" t="str">
        <f>IF(V1704&lt;&gt;0,VLOOKUP(VLOOKUP(V1704,Tbl_Effect[],3,FALSE),EffectName[],IFERROR(MATCH(UI!$B$1,EffectName[#Headers],0),2),FALSE),"")</f>
        <v/>
      </c>
      <c r="X1704" t="str">
        <f t="shared" si="172"/>
        <v/>
      </c>
      <c r="Y1704">
        <v>0</v>
      </c>
      <c r="Z1704" t="str">
        <f>IF(Y1704&lt;&gt;0,VLOOKUP(VLOOKUP(Y1704,Tbl_Effect[],3,FALSE),EffectName[],IFERROR(MATCH(UI!$B$1,EffectName[#Headers],0),2),FALSE),"")</f>
        <v/>
      </c>
      <c r="AA1704" t="str">
        <f t="shared" si="173"/>
        <v/>
      </c>
      <c r="AB1704">
        <v>0</v>
      </c>
      <c r="AC1704" t="str">
        <f>IF(AB1704&lt;&gt;0,VLOOKUP(VLOOKUP(AB1704,Tbl_Effect[],3,FALSE),EffectName[],IFERROR(MATCH(UI!$B$1,EffectName[#Headers],0),2),FALSE),"")</f>
        <v/>
      </c>
    </row>
    <row r="1705" spans="8:29" x14ac:dyDescent="0.4">
      <c r="H1705" t="str">
        <f t="shared" si="170"/>
        <v/>
      </c>
      <c r="I1705">
        <v>0</v>
      </c>
      <c r="J1705" t="str">
        <f>_xlfn.IFNA(IF(I1705&lt;&gt;0,VLOOKUP(VLOOKUP(I1705,Tbl_Equip[],2,FALSE),Tbl_Color[],IFERROR(MATCH(UI!$B$1,Tbl_Color[#Headers],0),2),FALSE),""),"Unset")</f>
        <v/>
      </c>
      <c r="K1705" t="str">
        <f>_xlfn.IFNA(IF(I1705&lt;&gt;0,VLOOKUP(I1705,ItemText[],IFERROR(MATCH(UI!$B$1,ItemText[#Headers],0),2),FALSE),""),"Unset")</f>
        <v/>
      </c>
      <c r="M1705">
        <v>0</v>
      </c>
      <c r="P1705">
        <v>0</v>
      </c>
      <c r="S1705">
        <v>0</v>
      </c>
      <c r="T1705" t="str">
        <f>IF(VALUE(S1705)=0,"",VLOOKUP(VLOOKUP(S1705,Tbl_Effect[],3,FALSE),EffectName[],IFERROR(MATCH(UI!$B$1,EffectName[#Headers],0),2),FALSE))</f>
        <v/>
      </c>
      <c r="U1705" t="str">
        <f t="shared" si="171"/>
        <v/>
      </c>
      <c r="V1705">
        <v>0</v>
      </c>
      <c r="W1705" t="str">
        <f>IF(V1705&lt;&gt;0,VLOOKUP(VLOOKUP(V1705,Tbl_Effect[],3,FALSE),EffectName[],IFERROR(MATCH(UI!$B$1,EffectName[#Headers],0),2),FALSE),"")</f>
        <v/>
      </c>
      <c r="X1705" t="str">
        <f t="shared" si="172"/>
        <v/>
      </c>
      <c r="Y1705">
        <v>0</v>
      </c>
      <c r="Z1705" t="str">
        <f>IF(Y1705&lt;&gt;0,VLOOKUP(VLOOKUP(Y1705,Tbl_Effect[],3,FALSE),EffectName[],IFERROR(MATCH(UI!$B$1,EffectName[#Headers],0),2),FALSE),"")</f>
        <v/>
      </c>
      <c r="AA1705" t="str">
        <f t="shared" si="173"/>
        <v/>
      </c>
      <c r="AB1705">
        <v>0</v>
      </c>
      <c r="AC1705" t="str">
        <f>IF(AB1705&lt;&gt;0,VLOOKUP(VLOOKUP(AB1705,Tbl_Effect[],3,FALSE),EffectName[],IFERROR(MATCH(UI!$B$1,EffectName[#Headers],0),2),FALSE),"")</f>
        <v/>
      </c>
    </row>
    <row r="1706" spans="8:29" x14ac:dyDescent="0.4">
      <c r="H1706" t="str">
        <f t="shared" si="170"/>
        <v/>
      </c>
      <c r="I1706">
        <v>0</v>
      </c>
      <c r="J1706" t="str">
        <f>_xlfn.IFNA(IF(I1706&lt;&gt;0,VLOOKUP(VLOOKUP(I1706,Tbl_Equip[],2,FALSE),Tbl_Color[],IFERROR(MATCH(UI!$B$1,Tbl_Color[#Headers],0),2),FALSE),""),"Unset")</f>
        <v/>
      </c>
      <c r="K1706" t="str">
        <f>_xlfn.IFNA(IF(I1706&lt;&gt;0,VLOOKUP(I1706,ItemText[],IFERROR(MATCH(UI!$B$1,ItemText[#Headers],0),2),FALSE),""),"Unset")</f>
        <v/>
      </c>
      <c r="M1706">
        <v>0</v>
      </c>
      <c r="P1706">
        <v>0</v>
      </c>
      <c r="S1706">
        <v>0</v>
      </c>
      <c r="T1706" t="str">
        <f>IF(VALUE(S1706)=0,"",VLOOKUP(VLOOKUP(S1706,Tbl_Effect[],3,FALSE),EffectName[],IFERROR(MATCH(UI!$B$1,EffectName[#Headers],0),2),FALSE))</f>
        <v/>
      </c>
      <c r="U1706" t="str">
        <f t="shared" si="171"/>
        <v/>
      </c>
      <c r="V1706">
        <v>0</v>
      </c>
      <c r="W1706" t="str">
        <f>IF(V1706&lt;&gt;0,VLOOKUP(VLOOKUP(V1706,Tbl_Effect[],3,FALSE),EffectName[],IFERROR(MATCH(UI!$B$1,EffectName[#Headers],0),2),FALSE),"")</f>
        <v/>
      </c>
      <c r="X1706" t="str">
        <f t="shared" si="172"/>
        <v/>
      </c>
      <c r="Y1706">
        <v>0</v>
      </c>
      <c r="Z1706" t="str">
        <f>IF(Y1706&lt;&gt;0,VLOOKUP(VLOOKUP(Y1706,Tbl_Effect[],3,FALSE),EffectName[],IFERROR(MATCH(UI!$B$1,EffectName[#Headers],0),2),FALSE),"")</f>
        <v/>
      </c>
      <c r="AA1706" t="str">
        <f t="shared" si="173"/>
        <v/>
      </c>
      <c r="AB1706">
        <v>0</v>
      </c>
      <c r="AC1706" t="str">
        <f>IF(AB1706&lt;&gt;0,VLOOKUP(VLOOKUP(AB1706,Tbl_Effect[],3,FALSE),EffectName[],IFERROR(MATCH(UI!$B$1,EffectName[#Headers],0),2),FALSE),"")</f>
        <v/>
      </c>
    </row>
    <row r="1707" spans="8:29" x14ac:dyDescent="0.4">
      <c r="H1707" t="str">
        <f t="shared" si="170"/>
        <v/>
      </c>
      <c r="I1707">
        <v>0</v>
      </c>
      <c r="J1707" t="str">
        <f>_xlfn.IFNA(IF(I1707&lt;&gt;0,VLOOKUP(VLOOKUP(I1707,Tbl_Equip[],2,FALSE),Tbl_Color[],IFERROR(MATCH(UI!$B$1,Tbl_Color[#Headers],0),2),FALSE),""),"Unset")</f>
        <v/>
      </c>
      <c r="K1707" t="str">
        <f>_xlfn.IFNA(IF(I1707&lt;&gt;0,VLOOKUP(I1707,ItemText[],IFERROR(MATCH(UI!$B$1,ItemText[#Headers],0),2),FALSE),""),"Unset")</f>
        <v/>
      </c>
      <c r="M1707">
        <v>0</v>
      </c>
      <c r="P1707">
        <v>0</v>
      </c>
      <c r="S1707">
        <v>0</v>
      </c>
      <c r="T1707" t="str">
        <f>IF(VALUE(S1707)=0,"",VLOOKUP(VLOOKUP(S1707,Tbl_Effect[],3,FALSE),EffectName[],IFERROR(MATCH(UI!$B$1,EffectName[#Headers],0),2),FALSE))</f>
        <v/>
      </c>
      <c r="U1707" t="str">
        <f t="shared" si="171"/>
        <v/>
      </c>
      <c r="V1707">
        <v>0</v>
      </c>
      <c r="W1707" t="str">
        <f>IF(V1707&lt;&gt;0,VLOOKUP(VLOOKUP(V1707,Tbl_Effect[],3,FALSE),EffectName[],IFERROR(MATCH(UI!$B$1,EffectName[#Headers],0),2),FALSE),"")</f>
        <v/>
      </c>
      <c r="X1707" t="str">
        <f t="shared" si="172"/>
        <v/>
      </c>
      <c r="Y1707">
        <v>0</v>
      </c>
      <c r="Z1707" t="str">
        <f>IF(Y1707&lt;&gt;0,VLOOKUP(VLOOKUP(Y1707,Tbl_Effect[],3,FALSE),EffectName[],IFERROR(MATCH(UI!$B$1,EffectName[#Headers],0),2),FALSE),"")</f>
        <v/>
      </c>
      <c r="AA1707" t="str">
        <f t="shared" si="173"/>
        <v/>
      </c>
      <c r="AB1707">
        <v>0</v>
      </c>
      <c r="AC1707" t="str">
        <f>IF(AB1707&lt;&gt;0,VLOOKUP(VLOOKUP(AB1707,Tbl_Effect[],3,FALSE),EffectName[],IFERROR(MATCH(UI!$B$1,EffectName[#Headers],0),2),FALSE),"")</f>
        <v/>
      </c>
    </row>
    <row r="1708" spans="8:29" x14ac:dyDescent="0.4">
      <c r="H1708" t="str">
        <f t="shared" si="170"/>
        <v/>
      </c>
      <c r="I1708">
        <v>0</v>
      </c>
      <c r="J1708" t="str">
        <f>_xlfn.IFNA(IF(I1708&lt;&gt;0,VLOOKUP(VLOOKUP(I1708,Tbl_Equip[],2,FALSE),Tbl_Color[],IFERROR(MATCH(UI!$B$1,Tbl_Color[#Headers],0),2),FALSE),""),"Unset")</f>
        <v/>
      </c>
      <c r="K1708" t="str">
        <f>_xlfn.IFNA(IF(I1708&lt;&gt;0,VLOOKUP(I1708,ItemText[],IFERROR(MATCH(UI!$B$1,ItemText[#Headers],0),2),FALSE),""),"Unset")</f>
        <v/>
      </c>
      <c r="M1708">
        <v>0</v>
      </c>
      <c r="P1708">
        <v>0</v>
      </c>
      <c r="S1708">
        <v>0</v>
      </c>
      <c r="T1708" t="str">
        <f>IF(VALUE(S1708)=0,"",VLOOKUP(VLOOKUP(S1708,Tbl_Effect[],3,FALSE),EffectName[],IFERROR(MATCH(UI!$B$1,EffectName[#Headers],0),2),FALSE))</f>
        <v/>
      </c>
      <c r="U1708" t="str">
        <f t="shared" si="171"/>
        <v/>
      </c>
      <c r="V1708">
        <v>0</v>
      </c>
      <c r="W1708" t="str">
        <f>IF(V1708&lt;&gt;0,VLOOKUP(VLOOKUP(V1708,Tbl_Effect[],3,FALSE),EffectName[],IFERROR(MATCH(UI!$B$1,EffectName[#Headers],0),2),FALSE),"")</f>
        <v/>
      </c>
      <c r="X1708" t="str">
        <f t="shared" si="172"/>
        <v/>
      </c>
      <c r="Y1708">
        <v>0</v>
      </c>
      <c r="Z1708" t="str">
        <f>IF(Y1708&lt;&gt;0,VLOOKUP(VLOOKUP(Y1708,Tbl_Effect[],3,FALSE),EffectName[],IFERROR(MATCH(UI!$B$1,EffectName[#Headers],0),2),FALSE),"")</f>
        <v/>
      </c>
      <c r="AA1708" t="str">
        <f t="shared" si="173"/>
        <v/>
      </c>
      <c r="AB1708">
        <v>0</v>
      </c>
      <c r="AC1708" t="str">
        <f>IF(AB1708&lt;&gt;0,VLOOKUP(VLOOKUP(AB1708,Tbl_Effect[],3,FALSE),EffectName[],IFERROR(MATCH(UI!$B$1,EffectName[#Headers],0),2),FALSE),"")</f>
        <v/>
      </c>
    </row>
    <row r="1709" spans="8:29" x14ac:dyDescent="0.4">
      <c r="H1709" t="str">
        <f t="shared" si="170"/>
        <v/>
      </c>
      <c r="I1709">
        <v>0</v>
      </c>
      <c r="J1709" t="str">
        <f>_xlfn.IFNA(IF(I1709&lt;&gt;0,VLOOKUP(VLOOKUP(I1709,Tbl_Equip[],2,FALSE),Tbl_Color[],IFERROR(MATCH(UI!$B$1,Tbl_Color[#Headers],0),2),FALSE),""),"Unset")</f>
        <v/>
      </c>
      <c r="K1709" t="str">
        <f>_xlfn.IFNA(IF(I1709&lt;&gt;0,VLOOKUP(I1709,ItemText[],IFERROR(MATCH(UI!$B$1,ItemText[#Headers],0),2),FALSE),""),"Unset")</f>
        <v/>
      </c>
      <c r="M1709">
        <v>0</v>
      </c>
      <c r="P1709">
        <v>0</v>
      </c>
      <c r="S1709">
        <v>0</v>
      </c>
      <c r="T1709" t="str">
        <f>IF(VALUE(S1709)=0,"",VLOOKUP(VLOOKUP(S1709,Tbl_Effect[],3,FALSE),EffectName[],IFERROR(MATCH(UI!$B$1,EffectName[#Headers],0),2),FALSE))</f>
        <v/>
      </c>
      <c r="U1709" t="str">
        <f t="shared" si="171"/>
        <v/>
      </c>
      <c r="V1709">
        <v>0</v>
      </c>
      <c r="W1709" t="str">
        <f>IF(V1709&lt;&gt;0,VLOOKUP(VLOOKUP(V1709,Tbl_Effect[],3,FALSE),EffectName[],IFERROR(MATCH(UI!$B$1,EffectName[#Headers],0),2),FALSE),"")</f>
        <v/>
      </c>
      <c r="X1709" t="str">
        <f t="shared" si="172"/>
        <v/>
      </c>
      <c r="Y1709">
        <v>0</v>
      </c>
      <c r="Z1709" t="str">
        <f>IF(Y1709&lt;&gt;0,VLOOKUP(VLOOKUP(Y1709,Tbl_Effect[],3,FALSE),EffectName[],IFERROR(MATCH(UI!$B$1,EffectName[#Headers],0),2),FALSE),"")</f>
        <v/>
      </c>
      <c r="AA1709" t="str">
        <f t="shared" si="173"/>
        <v/>
      </c>
      <c r="AB1709">
        <v>0</v>
      </c>
      <c r="AC1709" t="str">
        <f>IF(AB1709&lt;&gt;0,VLOOKUP(VLOOKUP(AB1709,Tbl_Effect[],3,FALSE),EffectName[],IFERROR(MATCH(UI!$B$1,EffectName[#Headers],0),2),FALSE),"")</f>
        <v/>
      </c>
    </row>
    <row r="1710" spans="8:29" x14ac:dyDescent="0.4">
      <c r="H1710" t="str">
        <f t="shared" si="170"/>
        <v/>
      </c>
      <c r="I1710">
        <v>0</v>
      </c>
      <c r="J1710" t="str">
        <f>_xlfn.IFNA(IF(I1710&lt;&gt;0,VLOOKUP(VLOOKUP(I1710,Tbl_Equip[],2,FALSE),Tbl_Color[],IFERROR(MATCH(UI!$B$1,Tbl_Color[#Headers],0),2),FALSE),""),"Unset")</f>
        <v/>
      </c>
      <c r="K1710" t="str">
        <f>_xlfn.IFNA(IF(I1710&lt;&gt;0,VLOOKUP(I1710,ItemText[],IFERROR(MATCH(UI!$B$1,ItemText[#Headers],0),2),FALSE),""),"Unset")</f>
        <v/>
      </c>
      <c r="M1710">
        <v>0</v>
      </c>
      <c r="P1710">
        <v>0</v>
      </c>
      <c r="S1710">
        <v>0</v>
      </c>
      <c r="T1710" t="str">
        <f>IF(VALUE(S1710)=0,"",VLOOKUP(VLOOKUP(S1710,Tbl_Effect[],3,FALSE),EffectName[],IFERROR(MATCH(UI!$B$1,EffectName[#Headers],0),2),FALSE))</f>
        <v/>
      </c>
      <c r="U1710" t="str">
        <f t="shared" si="171"/>
        <v/>
      </c>
      <c r="V1710">
        <v>0</v>
      </c>
      <c r="W1710" t="str">
        <f>IF(V1710&lt;&gt;0,VLOOKUP(VLOOKUP(V1710,Tbl_Effect[],3,FALSE),EffectName[],IFERROR(MATCH(UI!$B$1,EffectName[#Headers],0),2),FALSE),"")</f>
        <v/>
      </c>
      <c r="X1710" t="str">
        <f t="shared" si="172"/>
        <v/>
      </c>
      <c r="Y1710">
        <v>0</v>
      </c>
      <c r="Z1710" t="str">
        <f>IF(Y1710&lt;&gt;0,VLOOKUP(VLOOKUP(Y1710,Tbl_Effect[],3,FALSE),EffectName[],IFERROR(MATCH(UI!$B$1,EffectName[#Headers],0),2),FALSE),"")</f>
        <v/>
      </c>
      <c r="AA1710" t="str">
        <f t="shared" si="173"/>
        <v/>
      </c>
      <c r="AB1710">
        <v>0</v>
      </c>
      <c r="AC1710" t="str">
        <f>IF(AB1710&lt;&gt;0,VLOOKUP(VLOOKUP(AB1710,Tbl_Effect[],3,FALSE),EffectName[],IFERROR(MATCH(UI!$B$1,EffectName[#Headers],0),2),FALSE),"")</f>
        <v/>
      </c>
    </row>
    <row r="1711" spans="8:29" x14ac:dyDescent="0.4">
      <c r="H1711" t="str">
        <f t="shared" si="170"/>
        <v/>
      </c>
      <c r="I1711">
        <v>0</v>
      </c>
      <c r="J1711" t="str">
        <f>_xlfn.IFNA(IF(I1711&lt;&gt;0,VLOOKUP(VLOOKUP(I1711,Tbl_Equip[],2,FALSE),Tbl_Color[],IFERROR(MATCH(UI!$B$1,Tbl_Color[#Headers],0),2),FALSE),""),"Unset")</f>
        <v/>
      </c>
      <c r="K1711" t="str">
        <f>_xlfn.IFNA(IF(I1711&lt;&gt;0,VLOOKUP(I1711,ItemText[],IFERROR(MATCH(UI!$B$1,ItemText[#Headers],0),2),FALSE),""),"Unset")</f>
        <v/>
      </c>
      <c r="M1711">
        <v>0</v>
      </c>
      <c r="P1711">
        <v>0</v>
      </c>
      <c r="S1711">
        <v>0</v>
      </c>
      <c r="T1711" t="str">
        <f>IF(VALUE(S1711)=0,"",VLOOKUP(VLOOKUP(S1711,Tbl_Effect[],3,FALSE),EffectName[],IFERROR(MATCH(UI!$B$1,EffectName[#Headers],0),2),FALSE))</f>
        <v/>
      </c>
      <c r="U1711" t="str">
        <f t="shared" si="171"/>
        <v/>
      </c>
      <c r="V1711">
        <v>0</v>
      </c>
      <c r="W1711" t="str">
        <f>IF(V1711&lt;&gt;0,VLOOKUP(VLOOKUP(V1711,Tbl_Effect[],3,FALSE),EffectName[],IFERROR(MATCH(UI!$B$1,EffectName[#Headers],0),2),FALSE),"")</f>
        <v/>
      </c>
      <c r="X1711" t="str">
        <f t="shared" si="172"/>
        <v/>
      </c>
      <c r="Y1711">
        <v>0</v>
      </c>
      <c r="Z1711" t="str">
        <f>IF(Y1711&lt;&gt;0,VLOOKUP(VLOOKUP(Y1711,Tbl_Effect[],3,FALSE),EffectName[],IFERROR(MATCH(UI!$B$1,EffectName[#Headers],0),2),FALSE),"")</f>
        <v/>
      </c>
      <c r="AA1711" t="str">
        <f t="shared" si="173"/>
        <v/>
      </c>
      <c r="AB1711">
        <v>0</v>
      </c>
      <c r="AC1711" t="str">
        <f>IF(AB1711&lt;&gt;0,VLOOKUP(VLOOKUP(AB1711,Tbl_Effect[],3,FALSE),EffectName[],IFERROR(MATCH(UI!$B$1,EffectName[#Headers],0),2),FALSE),"")</f>
        <v/>
      </c>
    </row>
    <row r="1712" spans="8:29" x14ac:dyDescent="0.4">
      <c r="H1712" t="str">
        <f t="shared" si="170"/>
        <v/>
      </c>
      <c r="I1712">
        <v>0</v>
      </c>
      <c r="J1712" t="str">
        <f>_xlfn.IFNA(IF(I1712&lt;&gt;0,VLOOKUP(VLOOKUP(I1712,Tbl_Equip[],2,FALSE),Tbl_Color[],IFERROR(MATCH(UI!$B$1,Tbl_Color[#Headers],0),2),FALSE),""),"Unset")</f>
        <v/>
      </c>
      <c r="K1712" t="str">
        <f>_xlfn.IFNA(IF(I1712&lt;&gt;0,VLOOKUP(I1712,ItemText[],IFERROR(MATCH(UI!$B$1,ItemText[#Headers],0),2),FALSE),""),"Unset")</f>
        <v/>
      </c>
      <c r="M1712">
        <v>0</v>
      </c>
      <c r="P1712">
        <v>0</v>
      </c>
      <c r="S1712">
        <v>0</v>
      </c>
      <c r="T1712" t="str">
        <f>IF(VALUE(S1712)=0,"",VLOOKUP(VLOOKUP(S1712,Tbl_Effect[],3,FALSE),EffectName[],IFERROR(MATCH(UI!$B$1,EffectName[#Headers],0),2),FALSE))</f>
        <v/>
      </c>
      <c r="U1712" t="str">
        <f t="shared" si="171"/>
        <v/>
      </c>
      <c r="V1712">
        <v>0</v>
      </c>
      <c r="W1712" t="str">
        <f>IF(V1712&lt;&gt;0,VLOOKUP(VLOOKUP(V1712,Tbl_Effect[],3,FALSE),EffectName[],IFERROR(MATCH(UI!$B$1,EffectName[#Headers],0),2),FALSE),"")</f>
        <v/>
      </c>
      <c r="X1712" t="str">
        <f t="shared" si="172"/>
        <v/>
      </c>
      <c r="Y1712">
        <v>0</v>
      </c>
      <c r="Z1712" t="str">
        <f>IF(Y1712&lt;&gt;0,VLOOKUP(VLOOKUP(Y1712,Tbl_Effect[],3,FALSE),EffectName[],IFERROR(MATCH(UI!$B$1,EffectName[#Headers],0),2),FALSE),"")</f>
        <v/>
      </c>
      <c r="AA1712" t="str">
        <f t="shared" si="173"/>
        <v/>
      </c>
      <c r="AB1712">
        <v>0</v>
      </c>
      <c r="AC1712" t="str">
        <f>IF(AB1712&lt;&gt;0,VLOOKUP(VLOOKUP(AB1712,Tbl_Effect[],3,FALSE),EffectName[],IFERROR(MATCH(UI!$B$1,EffectName[#Headers],0),2),FALSE),"")</f>
        <v/>
      </c>
    </row>
    <row r="1713" spans="8:29" x14ac:dyDescent="0.4">
      <c r="H1713" t="str">
        <f t="shared" si="170"/>
        <v/>
      </c>
      <c r="I1713">
        <v>0</v>
      </c>
      <c r="J1713" t="str">
        <f>_xlfn.IFNA(IF(I1713&lt;&gt;0,VLOOKUP(VLOOKUP(I1713,Tbl_Equip[],2,FALSE),Tbl_Color[],IFERROR(MATCH(UI!$B$1,Tbl_Color[#Headers],0),2),FALSE),""),"Unset")</f>
        <v/>
      </c>
      <c r="K1713" t="str">
        <f>_xlfn.IFNA(IF(I1713&lt;&gt;0,VLOOKUP(I1713,ItemText[],IFERROR(MATCH(UI!$B$1,ItemText[#Headers],0),2),FALSE),""),"Unset")</f>
        <v/>
      </c>
      <c r="M1713">
        <v>0</v>
      </c>
      <c r="P1713">
        <v>0</v>
      </c>
      <c r="S1713">
        <v>0</v>
      </c>
      <c r="T1713" t="str">
        <f>IF(VALUE(S1713)=0,"",VLOOKUP(VLOOKUP(S1713,Tbl_Effect[],3,FALSE),EffectName[],IFERROR(MATCH(UI!$B$1,EffectName[#Headers],0),2),FALSE))</f>
        <v/>
      </c>
      <c r="U1713" t="str">
        <f t="shared" si="171"/>
        <v/>
      </c>
      <c r="V1713">
        <v>0</v>
      </c>
      <c r="W1713" t="str">
        <f>IF(V1713&lt;&gt;0,VLOOKUP(VLOOKUP(V1713,Tbl_Effect[],3,FALSE),EffectName[],IFERROR(MATCH(UI!$B$1,EffectName[#Headers],0),2),FALSE),"")</f>
        <v/>
      </c>
      <c r="X1713" t="str">
        <f t="shared" si="172"/>
        <v/>
      </c>
      <c r="Y1713">
        <v>0</v>
      </c>
      <c r="Z1713" t="str">
        <f>IF(Y1713&lt;&gt;0,VLOOKUP(VLOOKUP(Y1713,Tbl_Effect[],3,FALSE),EffectName[],IFERROR(MATCH(UI!$B$1,EffectName[#Headers],0),2),FALSE),"")</f>
        <v/>
      </c>
      <c r="AA1713" t="str">
        <f t="shared" si="173"/>
        <v/>
      </c>
      <c r="AB1713">
        <v>0</v>
      </c>
      <c r="AC1713" t="str">
        <f>IF(AB1713&lt;&gt;0,VLOOKUP(VLOOKUP(AB1713,Tbl_Effect[],3,FALSE),EffectName[],IFERROR(MATCH(UI!$B$1,EffectName[#Headers],0),2),FALSE),"")</f>
        <v/>
      </c>
    </row>
    <row r="1714" spans="8:29" x14ac:dyDescent="0.4">
      <c r="H1714" t="str">
        <f t="shared" si="170"/>
        <v/>
      </c>
      <c r="I1714">
        <v>0</v>
      </c>
      <c r="J1714" t="str">
        <f>_xlfn.IFNA(IF(I1714&lt;&gt;0,VLOOKUP(VLOOKUP(I1714,Tbl_Equip[],2,FALSE),Tbl_Color[],IFERROR(MATCH(UI!$B$1,Tbl_Color[#Headers],0),2),FALSE),""),"Unset")</f>
        <v/>
      </c>
      <c r="K1714" t="str">
        <f>_xlfn.IFNA(IF(I1714&lt;&gt;0,VLOOKUP(I1714,ItemText[],IFERROR(MATCH(UI!$B$1,ItemText[#Headers],0),2),FALSE),""),"Unset")</f>
        <v/>
      </c>
      <c r="M1714">
        <v>0</v>
      </c>
      <c r="P1714">
        <v>0</v>
      </c>
      <c r="S1714">
        <v>0</v>
      </c>
      <c r="T1714" t="str">
        <f>IF(VALUE(S1714)=0,"",VLOOKUP(VLOOKUP(S1714,Tbl_Effect[],3,FALSE),EffectName[],IFERROR(MATCH(UI!$B$1,EffectName[#Headers],0),2),FALSE))</f>
        <v/>
      </c>
      <c r="U1714" t="str">
        <f t="shared" si="171"/>
        <v/>
      </c>
      <c r="V1714">
        <v>0</v>
      </c>
      <c r="W1714" t="str">
        <f>IF(V1714&lt;&gt;0,VLOOKUP(VLOOKUP(V1714,Tbl_Effect[],3,FALSE),EffectName[],IFERROR(MATCH(UI!$B$1,EffectName[#Headers],0),2),FALSE),"")</f>
        <v/>
      </c>
      <c r="X1714" t="str">
        <f t="shared" si="172"/>
        <v/>
      </c>
      <c r="Y1714">
        <v>0</v>
      </c>
      <c r="Z1714" t="str">
        <f>IF(Y1714&lt;&gt;0,VLOOKUP(VLOOKUP(Y1714,Tbl_Effect[],3,FALSE),EffectName[],IFERROR(MATCH(UI!$B$1,EffectName[#Headers],0),2),FALSE),"")</f>
        <v/>
      </c>
      <c r="AA1714" t="str">
        <f t="shared" si="173"/>
        <v/>
      </c>
      <c r="AB1714">
        <v>0</v>
      </c>
      <c r="AC1714" t="str">
        <f>IF(AB1714&lt;&gt;0,VLOOKUP(VLOOKUP(AB1714,Tbl_Effect[],3,FALSE),EffectName[],IFERROR(MATCH(UI!$B$1,EffectName[#Headers],0),2),FALSE),"")</f>
        <v/>
      </c>
    </row>
    <row r="1715" spans="8:29" x14ac:dyDescent="0.4">
      <c r="H1715" t="str">
        <f t="shared" si="170"/>
        <v/>
      </c>
      <c r="I1715">
        <v>0</v>
      </c>
      <c r="J1715" t="str">
        <f>_xlfn.IFNA(IF(I1715&lt;&gt;0,VLOOKUP(VLOOKUP(I1715,Tbl_Equip[],2,FALSE),Tbl_Color[],IFERROR(MATCH(UI!$B$1,Tbl_Color[#Headers],0),2),FALSE),""),"Unset")</f>
        <v/>
      </c>
      <c r="K1715" t="str">
        <f>_xlfn.IFNA(IF(I1715&lt;&gt;0,VLOOKUP(I1715,ItemText[],IFERROR(MATCH(UI!$B$1,ItemText[#Headers],0),2),FALSE),""),"Unset")</f>
        <v/>
      </c>
      <c r="M1715">
        <v>0</v>
      </c>
      <c r="P1715">
        <v>0</v>
      </c>
      <c r="S1715">
        <v>0</v>
      </c>
      <c r="T1715" t="str">
        <f>IF(VALUE(S1715)=0,"",VLOOKUP(VLOOKUP(S1715,Tbl_Effect[],3,FALSE),EffectName[],IFERROR(MATCH(UI!$B$1,EffectName[#Headers],0),2),FALSE))</f>
        <v/>
      </c>
      <c r="U1715" t="str">
        <f t="shared" si="171"/>
        <v/>
      </c>
      <c r="V1715">
        <v>0</v>
      </c>
      <c r="W1715" t="str">
        <f>IF(V1715&lt;&gt;0,VLOOKUP(VLOOKUP(V1715,Tbl_Effect[],3,FALSE),EffectName[],IFERROR(MATCH(UI!$B$1,EffectName[#Headers],0),2),FALSE),"")</f>
        <v/>
      </c>
      <c r="X1715" t="str">
        <f t="shared" si="172"/>
        <v/>
      </c>
      <c r="Y1715">
        <v>0</v>
      </c>
      <c r="Z1715" t="str">
        <f>IF(Y1715&lt;&gt;0,VLOOKUP(VLOOKUP(Y1715,Tbl_Effect[],3,FALSE),EffectName[],IFERROR(MATCH(UI!$B$1,EffectName[#Headers],0),2),FALSE),"")</f>
        <v/>
      </c>
      <c r="AA1715" t="str">
        <f t="shared" si="173"/>
        <v/>
      </c>
      <c r="AB1715">
        <v>0</v>
      </c>
      <c r="AC1715" t="str">
        <f>IF(AB1715&lt;&gt;0,VLOOKUP(VLOOKUP(AB1715,Tbl_Effect[],3,FALSE),EffectName[],IFERROR(MATCH(UI!$B$1,EffectName[#Headers],0),2),FALSE),"")</f>
        <v/>
      </c>
    </row>
    <row r="1716" spans="8:29" x14ac:dyDescent="0.4">
      <c r="H1716" t="str">
        <f t="shared" si="170"/>
        <v/>
      </c>
      <c r="I1716">
        <v>0</v>
      </c>
      <c r="J1716" t="str">
        <f>_xlfn.IFNA(IF(I1716&lt;&gt;0,VLOOKUP(VLOOKUP(I1716,Tbl_Equip[],2,FALSE),Tbl_Color[],IFERROR(MATCH(UI!$B$1,Tbl_Color[#Headers],0),2),FALSE),""),"Unset")</f>
        <v/>
      </c>
      <c r="K1716" t="str">
        <f>_xlfn.IFNA(IF(I1716&lt;&gt;0,VLOOKUP(I1716,ItemText[],IFERROR(MATCH(UI!$B$1,ItemText[#Headers],0),2),FALSE),""),"Unset")</f>
        <v/>
      </c>
      <c r="M1716">
        <v>0</v>
      </c>
      <c r="P1716">
        <v>0</v>
      </c>
      <c r="S1716">
        <v>0</v>
      </c>
      <c r="T1716" t="str">
        <f>IF(VALUE(S1716)=0,"",VLOOKUP(VLOOKUP(S1716,Tbl_Effect[],3,FALSE),EffectName[],IFERROR(MATCH(UI!$B$1,EffectName[#Headers],0),2),FALSE))</f>
        <v/>
      </c>
      <c r="U1716" t="str">
        <f t="shared" si="171"/>
        <v/>
      </c>
      <c r="V1716">
        <v>0</v>
      </c>
      <c r="W1716" t="str">
        <f>IF(V1716&lt;&gt;0,VLOOKUP(VLOOKUP(V1716,Tbl_Effect[],3,FALSE),EffectName[],IFERROR(MATCH(UI!$B$1,EffectName[#Headers],0),2),FALSE),"")</f>
        <v/>
      </c>
      <c r="X1716" t="str">
        <f t="shared" si="172"/>
        <v/>
      </c>
      <c r="Y1716">
        <v>0</v>
      </c>
      <c r="Z1716" t="str">
        <f>IF(Y1716&lt;&gt;0,VLOOKUP(VLOOKUP(Y1716,Tbl_Effect[],3,FALSE),EffectName[],IFERROR(MATCH(UI!$B$1,EffectName[#Headers],0),2),FALSE),"")</f>
        <v/>
      </c>
      <c r="AA1716" t="str">
        <f t="shared" si="173"/>
        <v/>
      </c>
      <c r="AB1716">
        <v>0</v>
      </c>
      <c r="AC1716" t="str">
        <f>IF(AB1716&lt;&gt;0,VLOOKUP(VLOOKUP(AB1716,Tbl_Effect[],3,FALSE),EffectName[],IFERROR(MATCH(UI!$B$1,EffectName[#Headers],0),2),FALSE),"")</f>
        <v/>
      </c>
    </row>
    <row r="1717" spans="8:29" x14ac:dyDescent="0.4">
      <c r="H1717" t="str">
        <f t="shared" si="170"/>
        <v/>
      </c>
      <c r="I1717">
        <v>0</v>
      </c>
      <c r="J1717" t="str">
        <f>_xlfn.IFNA(IF(I1717&lt;&gt;0,VLOOKUP(VLOOKUP(I1717,Tbl_Equip[],2,FALSE),Tbl_Color[],IFERROR(MATCH(UI!$B$1,Tbl_Color[#Headers],0),2),FALSE),""),"Unset")</f>
        <v/>
      </c>
      <c r="K1717" t="str">
        <f>_xlfn.IFNA(IF(I1717&lt;&gt;0,VLOOKUP(I1717,ItemText[],IFERROR(MATCH(UI!$B$1,ItemText[#Headers],0),2),FALSE),""),"Unset")</f>
        <v/>
      </c>
      <c r="M1717">
        <v>0</v>
      </c>
      <c r="P1717">
        <v>0</v>
      </c>
      <c r="S1717">
        <v>0</v>
      </c>
      <c r="T1717" t="str">
        <f>IF(VALUE(S1717)=0,"",VLOOKUP(VLOOKUP(S1717,Tbl_Effect[],3,FALSE),EffectName[],IFERROR(MATCH(UI!$B$1,EffectName[#Headers],0),2),FALSE))</f>
        <v/>
      </c>
      <c r="U1717" t="str">
        <f t="shared" si="171"/>
        <v/>
      </c>
      <c r="V1717">
        <v>0</v>
      </c>
      <c r="W1717" t="str">
        <f>IF(V1717&lt;&gt;0,VLOOKUP(VLOOKUP(V1717,Tbl_Effect[],3,FALSE),EffectName[],IFERROR(MATCH(UI!$B$1,EffectName[#Headers],0),2),FALSE),"")</f>
        <v/>
      </c>
      <c r="X1717" t="str">
        <f t="shared" si="172"/>
        <v/>
      </c>
      <c r="Y1717">
        <v>0</v>
      </c>
      <c r="Z1717" t="str">
        <f>IF(Y1717&lt;&gt;0,VLOOKUP(VLOOKUP(Y1717,Tbl_Effect[],3,FALSE),EffectName[],IFERROR(MATCH(UI!$B$1,EffectName[#Headers],0),2),FALSE),"")</f>
        <v/>
      </c>
      <c r="AA1717" t="str">
        <f t="shared" si="173"/>
        <v/>
      </c>
      <c r="AB1717">
        <v>0</v>
      </c>
      <c r="AC1717" t="str">
        <f>IF(AB1717&lt;&gt;0,VLOOKUP(VLOOKUP(AB1717,Tbl_Effect[],3,FALSE),EffectName[],IFERROR(MATCH(UI!$B$1,EffectName[#Headers],0),2),FALSE),"")</f>
        <v/>
      </c>
    </row>
    <row r="1718" spans="8:29" x14ac:dyDescent="0.4">
      <c r="H1718" t="str">
        <f t="shared" si="170"/>
        <v/>
      </c>
      <c r="I1718">
        <v>0</v>
      </c>
      <c r="J1718" t="str">
        <f>_xlfn.IFNA(IF(I1718&lt;&gt;0,VLOOKUP(VLOOKUP(I1718,Tbl_Equip[],2,FALSE),Tbl_Color[],IFERROR(MATCH(UI!$B$1,Tbl_Color[#Headers],0),2),FALSE),""),"Unset")</f>
        <v/>
      </c>
      <c r="K1718" t="str">
        <f>_xlfn.IFNA(IF(I1718&lt;&gt;0,VLOOKUP(I1718,ItemText[],IFERROR(MATCH(UI!$B$1,ItemText[#Headers],0),2),FALSE),""),"Unset")</f>
        <v/>
      </c>
      <c r="M1718">
        <v>0</v>
      </c>
      <c r="P1718">
        <v>0</v>
      </c>
      <c r="S1718">
        <v>0</v>
      </c>
      <c r="T1718" t="str">
        <f>IF(VALUE(S1718)=0,"",VLOOKUP(VLOOKUP(S1718,Tbl_Effect[],3,FALSE),EffectName[],IFERROR(MATCH(UI!$B$1,EffectName[#Headers],0),2),FALSE))</f>
        <v/>
      </c>
      <c r="U1718" t="str">
        <f t="shared" si="171"/>
        <v/>
      </c>
      <c r="V1718">
        <v>0</v>
      </c>
      <c r="W1718" t="str">
        <f>IF(V1718&lt;&gt;0,VLOOKUP(VLOOKUP(V1718,Tbl_Effect[],3,FALSE),EffectName[],IFERROR(MATCH(UI!$B$1,EffectName[#Headers],0),2),FALSE),"")</f>
        <v/>
      </c>
      <c r="X1718" t="str">
        <f t="shared" si="172"/>
        <v/>
      </c>
      <c r="Y1718">
        <v>0</v>
      </c>
      <c r="Z1718" t="str">
        <f>IF(Y1718&lt;&gt;0,VLOOKUP(VLOOKUP(Y1718,Tbl_Effect[],3,FALSE),EffectName[],IFERROR(MATCH(UI!$B$1,EffectName[#Headers],0),2),FALSE),"")</f>
        <v/>
      </c>
      <c r="AA1718" t="str">
        <f t="shared" si="173"/>
        <v/>
      </c>
      <c r="AB1718">
        <v>0</v>
      </c>
      <c r="AC1718" t="str">
        <f>IF(AB1718&lt;&gt;0,VLOOKUP(VLOOKUP(AB1718,Tbl_Effect[],3,FALSE),EffectName[],IFERROR(MATCH(UI!$B$1,EffectName[#Headers],0),2),FALSE),"")</f>
        <v/>
      </c>
    </row>
    <row r="1719" spans="8:29" x14ac:dyDescent="0.4">
      <c r="H1719" t="str">
        <f t="shared" si="170"/>
        <v/>
      </c>
      <c r="I1719">
        <v>0</v>
      </c>
      <c r="J1719" t="str">
        <f>_xlfn.IFNA(IF(I1719&lt;&gt;0,VLOOKUP(VLOOKUP(I1719,Tbl_Equip[],2,FALSE),Tbl_Color[],IFERROR(MATCH(UI!$B$1,Tbl_Color[#Headers],0),2),FALSE),""),"Unset")</f>
        <v/>
      </c>
      <c r="K1719" t="str">
        <f>_xlfn.IFNA(IF(I1719&lt;&gt;0,VLOOKUP(I1719,ItemText[],IFERROR(MATCH(UI!$B$1,ItemText[#Headers],0),2),FALSE),""),"Unset")</f>
        <v/>
      </c>
      <c r="M1719">
        <v>0</v>
      </c>
      <c r="P1719">
        <v>0</v>
      </c>
      <c r="S1719">
        <v>0</v>
      </c>
      <c r="T1719" t="str">
        <f>IF(VALUE(S1719)=0,"",VLOOKUP(VLOOKUP(S1719,Tbl_Effect[],3,FALSE),EffectName[],IFERROR(MATCH(UI!$B$1,EffectName[#Headers],0),2),FALSE))</f>
        <v/>
      </c>
      <c r="U1719" t="str">
        <f t="shared" si="171"/>
        <v/>
      </c>
      <c r="V1719">
        <v>0</v>
      </c>
      <c r="W1719" t="str">
        <f>IF(V1719&lt;&gt;0,VLOOKUP(VLOOKUP(V1719,Tbl_Effect[],3,FALSE),EffectName[],IFERROR(MATCH(UI!$B$1,EffectName[#Headers],0),2),FALSE),"")</f>
        <v/>
      </c>
      <c r="X1719" t="str">
        <f t="shared" si="172"/>
        <v/>
      </c>
      <c r="Y1719">
        <v>0</v>
      </c>
      <c r="Z1719" t="str">
        <f>IF(Y1719&lt;&gt;0,VLOOKUP(VLOOKUP(Y1719,Tbl_Effect[],3,FALSE),EffectName[],IFERROR(MATCH(UI!$B$1,EffectName[#Headers],0),2),FALSE),"")</f>
        <v/>
      </c>
      <c r="AA1719" t="str">
        <f t="shared" si="173"/>
        <v/>
      </c>
      <c r="AB1719">
        <v>0</v>
      </c>
      <c r="AC1719" t="str">
        <f>IF(AB1719&lt;&gt;0,VLOOKUP(VLOOKUP(AB1719,Tbl_Effect[],3,FALSE),EffectName[],IFERROR(MATCH(UI!$B$1,EffectName[#Headers],0),2),FALSE),"")</f>
        <v/>
      </c>
    </row>
    <row r="1720" spans="8:29" x14ac:dyDescent="0.4">
      <c r="H1720" t="str">
        <f t="shared" si="170"/>
        <v/>
      </c>
      <c r="I1720">
        <v>0</v>
      </c>
      <c r="J1720" t="str">
        <f>_xlfn.IFNA(IF(I1720&lt;&gt;0,VLOOKUP(VLOOKUP(I1720,Tbl_Equip[],2,FALSE),Tbl_Color[],IFERROR(MATCH(UI!$B$1,Tbl_Color[#Headers],0),2),FALSE),""),"Unset")</f>
        <v/>
      </c>
      <c r="K1720" t="str">
        <f>_xlfn.IFNA(IF(I1720&lt;&gt;0,VLOOKUP(I1720,ItemText[],IFERROR(MATCH(UI!$B$1,ItemText[#Headers],0),2),FALSE),""),"Unset")</f>
        <v/>
      </c>
      <c r="M1720">
        <v>0</v>
      </c>
      <c r="P1720">
        <v>0</v>
      </c>
      <c r="S1720">
        <v>0</v>
      </c>
      <c r="T1720" t="str">
        <f>IF(VALUE(S1720)=0,"",VLOOKUP(VLOOKUP(S1720,Tbl_Effect[],3,FALSE),EffectName[],IFERROR(MATCH(UI!$B$1,EffectName[#Headers],0),2),FALSE))</f>
        <v/>
      </c>
      <c r="U1720" t="str">
        <f t="shared" si="171"/>
        <v/>
      </c>
      <c r="V1720">
        <v>0</v>
      </c>
      <c r="W1720" t="str">
        <f>IF(V1720&lt;&gt;0,VLOOKUP(VLOOKUP(V1720,Tbl_Effect[],3,FALSE),EffectName[],IFERROR(MATCH(UI!$B$1,EffectName[#Headers],0),2),FALSE),"")</f>
        <v/>
      </c>
      <c r="X1720" t="str">
        <f t="shared" si="172"/>
        <v/>
      </c>
      <c r="Y1720">
        <v>0</v>
      </c>
      <c r="Z1720" t="str">
        <f>IF(Y1720&lt;&gt;0,VLOOKUP(VLOOKUP(Y1720,Tbl_Effect[],3,FALSE),EffectName[],IFERROR(MATCH(UI!$B$1,EffectName[#Headers],0),2),FALSE),"")</f>
        <v/>
      </c>
      <c r="AA1720" t="str">
        <f t="shared" si="173"/>
        <v/>
      </c>
      <c r="AB1720">
        <v>0</v>
      </c>
      <c r="AC1720" t="str">
        <f>IF(AB1720&lt;&gt;0,VLOOKUP(VLOOKUP(AB1720,Tbl_Effect[],3,FALSE),EffectName[],IFERROR(MATCH(UI!$B$1,EffectName[#Headers],0),2),FALSE),"")</f>
        <v/>
      </c>
    </row>
    <row r="1721" spans="8:29" x14ac:dyDescent="0.4">
      <c r="H1721" t="str">
        <f t="shared" si="170"/>
        <v/>
      </c>
      <c r="I1721">
        <v>0</v>
      </c>
      <c r="J1721" t="str">
        <f>_xlfn.IFNA(IF(I1721&lt;&gt;0,VLOOKUP(VLOOKUP(I1721,Tbl_Equip[],2,FALSE),Tbl_Color[],IFERROR(MATCH(UI!$B$1,Tbl_Color[#Headers],0),2),FALSE),""),"Unset")</f>
        <v/>
      </c>
      <c r="K1721" t="str">
        <f>_xlfn.IFNA(IF(I1721&lt;&gt;0,VLOOKUP(I1721,ItemText[],IFERROR(MATCH(UI!$B$1,ItemText[#Headers],0),2),FALSE),""),"Unset")</f>
        <v/>
      </c>
      <c r="M1721">
        <v>0</v>
      </c>
      <c r="P1721">
        <v>0</v>
      </c>
      <c r="S1721">
        <v>0</v>
      </c>
      <c r="T1721" t="str">
        <f>IF(VALUE(S1721)=0,"",VLOOKUP(VLOOKUP(S1721,Tbl_Effect[],3,FALSE),EffectName[],IFERROR(MATCH(UI!$B$1,EffectName[#Headers],0),2),FALSE))</f>
        <v/>
      </c>
      <c r="U1721" t="str">
        <f t="shared" si="171"/>
        <v/>
      </c>
      <c r="V1721">
        <v>0</v>
      </c>
      <c r="W1721" t="str">
        <f>IF(V1721&lt;&gt;0,VLOOKUP(VLOOKUP(V1721,Tbl_Effect[],3,FALSE),EffectName[],IFERROR(MATCH(UI!$B$1,EffectName[#Headers],0),2),FALSE),"")</f>
        <v/>
      </c>
      <c r="X1721" t="str">
        <f t="shared" si="172"/>
        <v/>
      </c>
      <c r="Y1721">
        <v>0</v>
      </c>
      <c r="Z1721" t="str">
        <f>IF(Y1721&lt;&gt;0,VLOOKUP(VLOOKUP(Y1721,Tbl_Effect[],3,FALSE),EffectName[],IFERROR(MATCH(UI!$B$1,EffectName[#Headers],0),2),FALSE),"")</f>
        <v/>
      </c>
      <c r="AA1721" t="str">
        <f t="shared" si="173"/>
        <v/>
      </c>
      <c r="AB1721">
        <v>0</v>
      </c>
      <c r="AC1721" t="str">
        <f>IF(AB1721&lt;&gt;0,VLOOKUP(VLOOKUP(AB1721,Tbl_Effect[],3,FALSE),EffectName[],IFERROR(MATCH(UI!$B$1,EffectName[#Headers],0),2),FALSE),"")</f>
        <v/>
      </c>
    </row>
    <row r="1722" spans="8:29" x14ac:dyDescent="0.4">
      <c r="H1722" t="str">
        <f t="shared" si="170"/>
        <v/>
      </c>
      <c r="I1722">
        <v>0</v>
      </c>
      <c r="J1722" t="str">
        <f>_xlfn.IFNA(IF(I1722&lt;&gt;0,VLOOKUP(VLOOKUP(I1722,Tbl_Equip[],2,FALSE),Tbl_Color[],IFERROR(MATCH(UI!$B$1,Tbl_Color[#Headers],0),2),FALSE),""),"Unset")</f>
        <v/>
      </c>
      <c r="K1722" t="str">
        <f>_xlfn.IFNA(IF(I1722&lt;&gt;0,VLOOKUP(I1722,ItemText[],IFERROR(MATCH(UI!$B$1,ItemText[#Headers],0),2),FALSE),""),"Unset")</f>
        <v/>
      </c>
      <c r="M1722">
        <v>0</v>
      </c>
      <c r="P1722">
        <v>0</v>
      </c>
      <c r="S1722">
        <v>0</v>
      </c>
      <c r="T1722" t="str">
        <f>IF(VALUE(S1722)=0,"",VLOOKUP(VLOOKUP(S1722,Tbl_Effect[],3,FALSE),EffectName[],IFERROR(MATCH(UI!$B$1,EffectName[#Headers],0),2),FALSE))</f>
        <v/>
      </c>
      <c r="U1722" t="str">
        <f t="shared" si="171"/>
        <v/>
      </c>
      <c r="V1722">
        <v>0</v>
      </c>
      <c r="W1722" t="str">
        <f>IF(V1722&lt;&gt;0,VLOOKUP(VLOOKUP(V1722,Tbl_Effect[],3,FALSE),EffectName[],IFERROR(MATCH(UI!$B$1,EffectName[#Headers],0),2),FALSE),"")</f>
        <v/>
      </c>
      <c r="X1722" t="str">
        <f t="shared" si="172"/>
        <v/>
      </c>
      <c r="Y1722">
        <v>0</v>
      </c>
      <c r="Z1722" t="str">
        <f>IF(Y1722&lt;&gt;0,VLOOKUP(VLOOKUP(Y1722,Tbl_Effect[],3,FALSE),EffectName[],IFERROR(MATCH(UI!$B$1,EffectName[#Headers],0),2),FALSE),"")</f>
        <v/>
      </c>
      <c r="AA1722" t="str">
        <f t="shared" si="173"/>
        <v/>
      </c>
      <c r="AB1722">
        <v>0</v>
      </c>
      <c r="AC1722" t="str">
        <f>IF(AB1722&lt;&gt;0,VLOOKUP(VLOOKUP(AB1722,Tbl_Effect[],3,FALSE),EffectName[],IFERROR(MATCH(UI!$B$1,EffectName[#Headers],0),2),FALSE),"")</f>
        <v/>
      </c>
    </row>
    <row r="1723" spans="8:29" x14ac:dyDescent="0.4">
      <c r="H1723" t="str">
        <f t="shared" si="170"/>
        <v/>
      </c>
      <c r="I1723">
        <v>0</v>
      </c>
      <c r="J1723" t="str">
        <f>_xlfn.IFNA(IF(I1723&lt;&gt;0,VLOOKUP(VLOOKUP(I1723,Tbl_Equip[],2,FALSE),Tbl_Color[],IFERROR(MATCH(UI!$B$1,Tbl_Color[#Headers],0),2),FALSE),""),"Unset")</f>
        <v/>
      </c>
      <c r="K1723" t="str">
        <f>_xlfn.IFNA(IF(I1723&lt;&gt;0,VLOOKUP(I1723,ItemText[],IFERROR(MATCH(UI!$B$1,ItemText[#Headers],0),2),FALSE),""),"Unset")</f>
        <v/>
      </c>
      <c r="M1723">
        <v>0</v>
      </c>
      <c r="P1723">
        <v>0</v>
      </c>
      <c r="S1723">
        <v>0</v>
      </c>
      <c r="T1723" t="str">
        <f>IF(VALUE(S1723)=0,"",VLOOKUP(VLOOKUP(S1723,Tbl_Effect[],3,FALSE),EffectName[],IFERROR(MATCH(UI!$B$1,EffectName[#Headers],0),2),FALSE))</f>
        <v/>
      </c>
      <c r="U1723" t="str">
        <f t="shared" si="171"/>
        <v/>
      </c>
      <c r="V1723">
        <v>0</v>
      </c>
      <c r="W1723" t="str">
        <f>IF(V1723&lt;&gt;0,VLOOKUP(VLOOKUP(V1723,Tbl_Effect[],3,FALSE),EffectName[],IFERROR(MATCH(UI!$B$1,EffectName[#Headers],0),2),FALSE),"")</f>
        <v/>
      </c>
      <c r="X1723" t="str">
        <f t="shared" si="172"/>
        <v/>
      </c>
      <c r="Y1723">
        <v>0</v>
      </c>
      <c r="Z1723" t="str">
        <f>IF(Y1723&lt;&gt;0,VLOOKUP(VLOOKUP(Y1723,Tbl_Effect[],3,FALSE),EffectName[],IFERROR(MATCH(UI!$B$1,EffectName[#Headers],0),2),FALSE),"")</f>
        <v/>
      </c>
      <c r="AA1723" t="str">
        <f t="shared" si="173"/>
        <v/>
      </c>
      <c r="AB1723">
        <v>0</v>
      </c>
      <c r="AC1723" t="str">
        <f>IF(AB1723&lt;&gt;0,VLOOKUP(VLOOKUP(AB1723,Tbl_Effect[],3,FALSE),EffectName[],IFERROR(MATCH(UI!$B$1,EffectName[#Headers],0),2),FALSE),"")</f>
        <v/>
      </c>
    </row>
    <row r="1724" spans="8:29" x14ac:dyDescent="0.4">
      <c r="H1724" t="str">
        <f t="shared" si="170"/>
        <v/>
      </c>
      <c r="I1724">
        <v>0</v>
      </c>
      <c r="J1724" t="str">
        <f>_xlfn.IFNA(IF(I1724&lt;&gt;0,VLOOKUP(VLOOKUP(I1724,Tbl_Equip[],2,FALSE),Tbl_Color[],IFERROR(MATCH(UI!$B$1,Tbl_Color[#Headers],0),2),FALSE),""),"Unset")</f>
        <v/>
      </c>
      <c r="K1724" t="str">
        <f>_xlfn.IFNA(IF(I1724&lt;&gt;0,VLOOKUP(I1724,ItemText[],IFERROR(MATCH(UI!$B$1,ItemText[#Headers],0),2),FALSE),""),"Unset")</f>
        <v/>
      </c>
      <c r="M1724">
        <v>0</v>
      </c>
      <c r="P1724">
        <v>0</v>
      </c>
      <c r="S1724">
        <v>0</v>
      </c>
      <c r="T1724" t="str">
        <f>IF(VALUE(S1724)=0,"",VLOOKUP(VLOOKUP(S1724,Tbl_Effect[],3,FALSE),EffectName[],IFERROR(MATCH(UI!$B$1,EffectName[#Headers],0),2),FALSE))</f>
        <v/>
      </c>
      <c r="U1724" t="str">
        <f t="shared" si="171"/>
        <v/>
      </c>
      <c r="V1724">
        <v>0</v>
      </c>
      <c r="W1724" t="str">
        <f>IF(V1724&lt;&gt;0,VLOOKUP(VLOOKUP(V1724,Tbl_Effect[],3,FALSE),EffectName[],IFERROR(MATCH(UI!$B$1,EffectName[#Headers],0),2),FALSE),"")</f>
        <v/>
      </c>
      <c r="X1724" t="str">
        <f t="shared" si="172"/>
        <v/>
      </c>
      <c r="Y1724">
        <v>0</v>
      </c>
      <c r="Z1724" t="str">
        <f>IF(Y1724&lt;&gt;0,VLOOKUP(VLOOKUP(Y1724,Tbl_Effect[],3,FALSE),EffectName[],IFERROR(MATCH(UI!$B$1,EffectName[#Headers],0),2),FALSE),"")</f>
        <v/>
      </c>
      <c r="AA1724" t="str">
        <f t="shared" si="173"/>
        <v/>
      </c>
      <c r="AB1724">
        <v>0</v>
      </c>
      <c r="AC1724" t="str">
        <f>IF(AB1724&lt;&gt;0,VLOOKUP(VLOOKUP(AB1724,Tbl_Effect[],3,FALSE),EffectName[],IFERROR(MATCH(UI!$B$1,EffectName[#Headers],0),2),FALSE),"")</f>
        <v/>
      </c>
    </row>
    <row r="1725" spans="8:29" x14ac:dyDescent="0.4">
      <c r="H1725" t="str">
        <f t="shared" si="170"/>
        <v/>
      </c>
      <c r="I1725">
        <v>0</v>
      </c>
      <c r="J1725" t="str">
        <f>_xlfn.IFNA(IF(I1725&lt;&gt;0,VLOOKUP(VLOOKUP(I1725,Tbl_Equip[],2,FALSE),Tbl_Color[],IFERROR(MATCH(UI!$B$1,Tbl_Color[#Headers],0),2),FALSE),""),"Unset")</f>
        <v/>
      </c>
      <c r="K1725" t="str">
        <f>_xlfn.IFNA(IF(I1725&lt;&gt;0,VLOOKUP(I1725,ItemText[],IFERROR(MATCH(UI!$B$1,ItemText[#Headers],0),2),FALSE),""),"Unset")</f>
        <v/>
      </c>
      <c r="M1725">
        <v>0</v>
      </c>
      <c r="P1725">
        <v>0</v>
      </c>
      <c r="S1725">
        <v>0</v>
      </c>
      <c r="T1725" t="str">
        <f>IF(VALUE(S1725)=0,"",VLOOKUP(VLOOKUP(S1725,Tbl_Effect[],3,FALSE),EffectName[],IFERROR(MATCH(UI!$B$1,EffectName[#Headers],0),2),FALSE))</f>
        <v/>
      </c>
      <c r="U1725" t="str">
        <f t="shared" si="171"/>
        <v/>
      </c>
      <c r="V1725">
        <v>0</v>
      </c>
      <c r="W1725" t="str">
        <f>IF(V1725&lt;&gt;0,VLOOKUP(VLOOKUP(V1725,Tbl_Effect[],3,FALSE),EffectName[],IFERROR(MATCH(UI!$B$1,EffectName[#Headers],0),2),FALSE),"")</f>
        <v/>
      </c>
      <c r="X1725" t="str">
        <f t="shared" si="172"/>
        <v/>
      </c>
      <c r="Y1725">
        <v>0</v>
      </c>
      <c r="Z1725" t="str">
        <f>IF(Y1725&lt;&gt;0,VLOOKUP(VLOOKUP(Y1725,Tbl_Effect[],3,FALSE),EffectName[],IFERROR(MATCH(UI!$B$1,EffectName[#Headers],0),2),FALSE),"")</f>
        <v/>
      </c>
      <c r="AA1725" t="str">
        <f t="shared" si="173"/>
        <v/>
      </c>
      <c r="AB1725">
        <v>0</v>
      </c>
      <c r="AC1725" t="str">
        <f>IF(AB1725&lt;&gt;0,VLOOKUP(VLOOKUP(AB1725,Tbl_Effect[],3,FALSE),EffectName[],IFERROR(MATCH(UI!$B$1,EffectName[#Headers],0),2),FALSE),"")</f>
        <v/>
      </c>
    </row>
    <row r="1726" spans="8:29" x14ac:dyDescent="0.4">
      <c r="H1726" t="str">
        <f t="shared" si="170"/>
        <v/>
      </c>
      <c r="I1726">
        <v>0</v>
      </c>
      <c r="J1726" t="str">
        <f>_xlfn.IFNA(IF(I1726&lt;&gt;0,VLOOKUP(VLOOKUP(I1726,Tbl_Equip[],2,FALSE),Tbl_Color[],IFERROR(MATCH(UI!$B$1,Tbl_Color[#Headers],0),2),FALSE),""),"Unset")</f>
        <v/>
      </c>
      <c r="K1726" t="str">
        <f>_xlfn.IFNA(IF(I1726&lt;&gt;0,VLOOKUP(I1726,ItemText[],IFERROR(MATCH(UI!$B$1,ItemText[#Headers],0),2),FALSE),""),"Unset")</f>
        <v/>
      </c>
      <c r="M1726">
        <v>0</v>
      </c>
      <c r="P1726">
        <v>0</v>
      </c>
      <c r="S1726">
        <v>0</v>
      </c>
      <c r="T1726" t="str">
        <f>IF(VALUE(S1726)=0,"",VLOOKUP(VLOOKUP(S1726,Tbl_Effect[],3,FALSE),EffectName[],IFERROR(MATCH(UI!$B$1,EffectName[#Headers],0),2),FALSE))</f>
        <v/>
      </c>
      <c r="U1726" t="str">
        <f t="shared" si="171"/>
        <v/>
      </c>
      <c r="V1726">
        <v>0</v>
      </c>
      <c r="W1726" t="str">
        <f>IF(V1726&lt;&gt;0,VLOOKUP(VLOOKUP(V1726,Tbl_Effect[],3,FALSE),EffectName[],IFERROR(MATCH(UI!$B$1,EffectName[#Headers],0),2),FALSE),"")</f>
        <v/>
      </c>
      <c r="X1726" t="str">
        <f t="shared" si="172"/>
        <v/>
      </c>
      <c r="Y1726">
        <v>0</v>
      </c>
      <c r="Z1726" t="str">
        <f>IF(Y1726&lt;&gt;0,VLOOKUP(VLOOKUP(Y1726,Tbl_Effect[],3,FALSE),EffectName[],IFERROR(MATCH(UI!$B$1,EffectName[#Headers],0),2),FALSE),"")</f>
        <v/>
      </c>
      <c r="AA1726" t="str">
        <f t="shared" si="173"/>
        <v/>
      </c>
      <c r="AB1726">
        <v>0</v>
      </c>
      <c r="AC1726" t="str">
        <f>IF(AB1726&lt;&gt;0,VLOOKUP(VLOOKUP(AB1726,Tbl_Effect[],3,FALSE),EffectName[],IFERROR(MATCH(UI!$B$1,EffectName[#Headers],0),2),FALSE),"")</f>
        <v/>
      </c>
    </row>
    <row r="1727" spans="8:29" x14ac:dyDescent="0.4">
      <c r="H1727" t="str">
        <f t="shared" si="170"/>
        <v/>
      </c>
      <c r="I1727">
        <v>0</v>
      </c>
      <c r="J1727" t="str">
        <f>_xlfn.IFNA(IF(I1727&lt;&gt;0,VLOOKUP(VLOOKUP(I1727,Tbl_Equip[],2,FALSE),Tbl_Color[],IFERROR(MATCH(UI!$B$1,Tbl_Color[#Headers],0),2),FALSE),""),"Unset")</f>
        <v/>
      </c>
      <c r="K1727" t="str">
        <f>_xlfn.IFNA(IF(I1727&lt;&gt;0,VLOOKUP(I1727,ItemText[],IFERROR(MATCH(UI!$B$1,ItemText[#Headers],0),2),FALSE),""),"Unset")</f>
        <v/>
      </c>
      <c r="M1727">
        <v>0</v>
      </c>
      <c r="P1727">
        <v>0</v>
      </c>
      <c r="S1727">
        <v>0</v>
      </c>
      <c r="T1727" t="str">
        <f>IF(VALUE(S1727)=0,"",VLOOKUP(VLOOKUP(S1727,Tbl_Effect[],3,FALSE),EffectName[],IFERROR(MATCH(UI!$B$1,EffectName[#Headers],0),2),FALSE))</f>
        <v/>
      </c>
      <c r="U1727" t="str">
        <f t="shared" si="171"/>
        <v/>
      </c>
      <c r="V1727">
        <v>0</v>
      </c>
      <c r="W1727" t="str">
        <f>IF(V1727&lt;&gt;0,VLOOKUP(VLOOKUP(V1727,Tbl_Effect[],3,FALSE),EffectName[],IFERROR(MATCH(UI!$B$1,EffectName[#Headers],0),2),FALSE),"")</f>
        <v/>
      </c>
      <c r="X1727" t="str">
        <f t="shared" si="172"/>
        <v/>
      </c>
      <c r="Y1727">
        <v>0</v>
      </c>
      <c r="Z1727" t="str">
        <f>IF(Y1727&lt;&gt;0,VLOOKUP(VLOOKUP(Y1727,Tbl_Effect[],3,FALSE),EffectName[],IFERROR(MATCH(UI!$B$1,EffectName[#Headers],0),2),FALSE),"")</f>
        <v/>
      </c>
      <c r="AA1727" t="str">
        <f t="shared" si="173"/>
        <v/>
      </c>
      <c r="AB1727">
        <v>0</v>
      </c>
      <c r="AC1727" t="str">
        <f>IF(AB1727&lt;&gt;0,VLOOKUP(VLOOKUP(AB1727,Tbl_Effect[],3,FALSE),EffectName[],IFERROR(MATCH(UI!$B$1,EffectName[#Headers],0),2),FALSE),"")</f>
        <v/>
      </c>
    </row>
    <row r="1728" spans="8:29" x14ac:dyDescent="0.4">
      <c r="H1728" t="str">
        <f t="shared" si="170"/>
        <v/>
      </c>
      <c r="I1728">
        <v>0</v>
      </c>
      <c r="J1728" t="str">
        <f>_xlfn.IFNA(IF(I1728&lt;&gt;0,VLOOKUP(VLOOKUP(I1728,Tbl_Equip[],2,FALSE),Tbl_Color[],IFERROR(MATCH(UI!$B$1,Tbl_Color[#Headers],0),2),FALSE),""),"Unset")</f>
        <v/>
      </c>
      <c r="K1728" t="str">
        <f>_xlfn.IFNA(IF(I1728&lt;&gt;0,VLOOKUP(I1728,ItemText[],IFERROR(MATCH(UI!$B$1,ItemText[#Headers],0),2),FALSE),""),"Unset")</f>
        <v/>
      </c>
      <c r="M1728">
        <v>0</v>
      </c>
      <c r="P1728">
        <v>0</v>
      </c>
      <c r="S1728">
        <v>0</v>
      </c>
      <c r="T1728" t="str">
        <f>IF(VALUE(S1728)=0,"",VLOOKUP(VLOOKUP(S1728,Tbl_Effect[],3,FALSE),EffectName[],IFERROR(MATCH(UI!$B$1,EffectName[#Headers],0),2),FALSE))</f>
        <v/>
      </c>
      <c r="U1728" t="str">
        <f t="shared" si="171"/>
        <v/>
      </c>
      <c r="V1728">
        <v>0</v>
      </c>
      <c r="W1728" t="str">
        <f>IF(V1728&lt;&gt;0,VLOOKUP(VLOOKUP(V1728,Tbl_Effect[],3,FALSE),EffectName[],IFERROR(MATCH(UI!$B$1,EffectName[#Headers],0),2),FALSE),"")</f>
        <v/>
      </c>
      <c r="X1728" t="str">
        <f t="shared" si="172"/>
        <v/>
      </c>
      <c r="Y1728">
        <v>0</v>
      </c>
      <c r="Z1728" t="str">
        <f>IF(Y1728&lt;&gt;0,VLOOKUP(VLOOKUP(Y1728,Tbl_Effect[],3,FALSE),EffectName[],IFERROR(MATCH(UI!$B$1,EffectName[#Headers],0),2),FALSE),"")</f>
        <v/>
      </c>
      <c r="AA1728" t="str">
        <f t="shared" si="173"/>
        <v/>
      </c>
      <c r="AB1728">
        <v>0</v>
      </c>
      <c r="AC1728" t="str">
        <f>IF(AB1728&lt;&gt;0,VLOOKUP(VLOOKUP(AB1728,Tbl_Effect[],3,FALSE),EffectName[],IFERROR(MATCH(UI!$B$1,EffectName[#Headers],0),2),FALSE),"")</f>
        <v/>
      </c>
    </row>
    <row r="1729" spans="8:29" x14ac:dyDescent="0.4">
      <c r="H1729" t="str">
        <f t="shared" si="170"/>
        <v/>
      </c>
      <c r="I1729">
        <v>0</v>
      </c>
      <c r="J1729" t="str">
        <f>_xlfn.IFNA(IF(I1729&lt;&gt;0,VLOOKUP(VLOOKUP(I1729,Tbl_Equip[],2,FALSE),Tbl_Color[],IFERROR(MATCH(UI!$B$1,Tbl_Color[#Headers],0),2),FALSE),""),"Unset")</f>
        <v/>
      </c>
      <c r="K1729" t="str">
        <f>_xlfn.IFNA(IF(I1729&lt;&gt;0,VLOOKUP(I1729,ItemText[],IFERROR(MATCH(UI!$B$1,ItemText[#Headers],0),2),FALSE),""),"Unset")</f>
        <v/>
      </c>
      <c r="M1729">
        <v>0</v>
      </c>
      <c r="P1729">
        <v>0</v>
      </c>
      <c r="S1729">
        <v>0</v>
      </c>
      <c r="T1729" t="str">
        <f>IF(VALUE(S1729)=0,"",VLOOKUP(VLOOKUP(S1729,Tbl_Effect[],3,FALSE),EffectName[],IFERROR(MATCH(UI!$B$1,EffectName[#Headers],0),2),FALSE))</f>
        <v/>
      </c>
      <c r="U1729" t="str">
        <f t="shared" si="171"/>
        <v/>
      </c>
      <c r="V1729">
        <v>0</v>
      </c>
      <c r="W1729" t="str">
        <f>IF(V1729&lt;&gt;0,VLOOKUP(VLOOKUP(V1729,Tbl_Effect[],3,FALSE),EffectName[],IFERROR(MATCH(UI!$B$1,EffectName[#Headers],0),2),FALSE),"")</f>
        <v/>
      </c>
      <c r="X1729" t="str">
        <f t="shared" si="172"/>
        <v/>
      </c>
      <c r="Y1729">
        <v>0</v>
      </c>
      <c r="Z1729" t="str">
        <f>IF(Y1729&lt;&gt;0,VLOOKUP(VLOOKUP(Y1729,Tbl_Effect[],3,FALSE),EffectName[],IFERROR(MATCH(UI!$B$1,EffectName[#Headers],0),2),FALSE),"")</f>
        <v/>
      </c>
      <c r="AA1729" t="str">
        <f t="shared" si="173"/>
        <v/>
      </c>
      <c r="AB1729">
        <v>0</v>
      </c>
      <c r="AC1729" t="str">
        <f>IF(AB1729&lt;&gt;0,VLOOKUP(VLOOKUP(AB1729,Tbl_Effect[],3,FALSE),EffectName[],IFERROR(MATCH(UI!$B$1,EffectName[#Headers],0),2),FALSE),"")</f>
        <v/>
      </c>
    </row>
    <row r="1730" spans="8:29" x14ac:dyDescent="0.4">
      <c r="H1730" t="str">
        <f t="shared" si="170"/>
        <v/>
      </c>
      <c r="I1730">
        <v>0</v>
      </c>
      <c r="J1730" t="str">
        <f>_xlfn.IFNA(IF(I1730&lt;&gt;0,VLOOKUP(VLOOKUP(I1730,Tbl_Equip[],2,FALSE),Tbl_Color[],IFERROR(MATCH(UI!$B$1,Tbl_Color[#Headers],0),2),FALSE),""),"Unset")</f>
        <v/>
      </c>
      <c r="K1730" t="str">
        <f>_xlfn.IFNA(IF(I1730&lt;&gt;0,VLOOKUP(I1730,ItemText[],IFERROR(MATCH(UI!$B$1,ItemText[#Headers],0),2),FALSE),""),"Unset")</f>
        <v/>
      </c>
      <c r="M1730">
        <v>0</v>
      </c>
      <c r="P1730">
        <v>0</v>
      </c>
      <c r="S1730">
        <v>0</v>
      </c>
      <c r="T1730" t="str">
        <f>IF(VALUE(S1730)=0,"",VLOOKUP(VLOOKUP(S1730,Tbl_Effect[],3,FALSE),EffectName[],IFERROR(MATCH(UI!$B$1,EffectName[#Headers],0),2),FALSE))</f>
        <v/>
      </c>
      <c r="U1730" t="str">
        <f t="shared" si="171"/>
        <v/>
      </c>
      <c r="V1730">
        <v>0</v>
      </c>
      <c r="W1730" t="str">
        <f>IF(V1730&lt;&gt;0,VLOOKUP(VLOOKUP(V1730,Tbl_Effect[],3,FALSE),EffectName[],IFERROR(MATCH(UI!$B$1,EffectName[#Headers],0),2),FALSE),"")</f>
        <v/>
      </c>
      <c r="X1730" t="str">
        <f t="shared" si="172"/>
        <v/>
      </c>
      <c r="Y1730">
        <v>0</v>
      </c>
      <c r="Z1730" t="str">
        <f>IF(Y1730&lt;&gt;0,VLOOKUP(VLOOKUP(Y1730,Tbl_Effect[],3,FALSE),EffectName[],IFERROR(MATCH(UI!$B$1,EffectName[#Headers],0),2),FALSE),"")</f>
        <v/>
      </c>
      <c r="AA1730" t="str">
        <f t="shared" si="173"/>
        <v/>
      </c>
      <c r="AB1730">
        <v>0</v>
      </c>
      <c r="AC1730" t="str">
        <f>IF(AB1730&lt;&gt;0,VLOOKUP(VLOOKUP(AB1730,Tbl_Effect[],3,FALSE),EffectName[],IFERROR(MATCH(UI!$B$1,EffectName[#Headers],0),2),FALSE),"")</f>
        <v/>
      </c>
    </row>
    <row r="1731" spans="8:29" x14ac:dyDescent="0.4">
      <c r="H1731" t="str">
        <f t="shared" ref="H1731:H1794" si="174">IF(VALUE(I1731)&lt;&gt;0,I1731&amp;"-"&amp;K1731&amp;" ("&amp;J1731&amp;")","")</f>
        <v/>
      </c>
      <c r="I1731">
        <v>0</v>
      </c>
      <c r="J1731" t="str">
        <f>_xlfn.IFNA(IF(I1731&lt;&gt;0,VLOOKUP(VLOOKUP(I1731,Tbl_Equip[],2,FALSE),Tbl_Color[],IFERROR(MATCH(UI!$B$1,Tbl_Color[#Headers],0),2),FALSE),""),"Unset")</f>
        <v/>
      </c>
      <c r="K1731" t="str">
        <f>_xlfn.IFNA(IF(I1731&lt;&gt;0,VLOOKUP(I1731,ItemText[],IFERROR(MATCH(UI!$B$1,ItemText[#Headers],0),2),FALSE),""),"Unset")</f>
        <v/>
      </c>
      <c r="M1731">
        <v>0</v>
      </c>
      <c r="P1731">
        <v>0</v>
      </c>
      <c r="S1731">
        <v>0</v>
      </c>
      <c r="T1731" t="str">
        <f>IF(VALUE(S1731)=0,"",VLOOKUP(VLOOKUP(S1731,Tbl_Effect[],3,FALSE),EffectName[],IFERROR(MATCH(UI!$B$1,EffectName[#Headers],0),2),FALSE))</f>
        <v/>
      </c>
      <c r="U1731" t="str">
        <f t="shared" ref="U1731:U1794" si="175">IF(VALUE(V1731)=0,"",V1731&amp;"-"&amp;W1731)</f>
        <v/>
      </c>
      <c r="V1731">
        <v>0</v>
      </c>
      <c r="W1731" t="str">
        <f>IF(V1731&lt;&gt;0,VLOOKUP(VLOOKUP(V1731,Tbl_Effect[],3,FALSE),EffectName[],IFERROR(MATCH(UI!$B$1,EffectName[#Headers],0),2),FALSE),"")</f>
        <v/>
      </c>
      <c r="X1731" t="str">
        <f t="shared" ref="X1731:X1794" si="176">IF(VALUE(Y1731)=0,"",Y1731&amp;"-"&amp;Z1731)</f>
        <v/>
      </c>
      <c r="Y1731">
        <v>0</v>
      </c>
      <c r="Z1731" t="str">
        <f>IF(Y1731&lt;&gt;0,VLOOKUP(VLOOKUP(Y1731,Tbl_Effect[],3,FALSE),EffectName[],IFERROR(MATCH(UI!$B$1,EffectName[#Headers],0),2),FALSE),"")</f>
        <v/>
      </c>
      <c r="AA1731" t="str">
        <f t="shared" ref="AA1731:AA1794" si="177">IF(VALUE(AB1731)=0,"",AB1731&amp;"-"&amp;AC1731)</f>
        <v/>
      </c>
      <c r="AB1731">
        <v>0</v>
      </c>
      <c r="AC1731" t="str">
        <f>IF(AB1731&lt;&gt;0,VLOOKUP(VLOOKUP(AB1731,Tbl_Effect[],3,FALSE),EffectName[],IFERROR(MATCH(UI!$B$1,EffectName[#Headers],0),2),FALSE),"")</f>
        <v/>
      </c>
    </row>
    <row r="1732" spans="8:29" x14ac:dyDescent="0.4">
      <c r="H1732" t="str">
        <f t="shared" si="174"/>
        <v/>
      </c>
      <c r="I1732">
        <v>0</v>
      </c>
      <c r="J1732" t="str">
        <f>_xlfn.IFNA(IF(I1732&lt;&gt;0,VLOOKUP(VLOOKUP(I1732,Tbl_Equip[],2,FALSE),Tbl_Color[],IFERROR(MATCH(UI!$B$1,Tbl_Color[#Headers],0),2),FALSE),""),"Unset")</f>
        <v/>
      </c>
      <c r="K1732" t="str">
        <f>_xlfn.IFNA(IF(I1732&lt;&gt;0,VLOOKUP(I1732,ItemText[],IFERROR(MATCH(UI!$B$1,ItemText[#Headers],0),2),FALSE),""),"Unset")</f>
        <v/>
      </c>
      <c r="M1732">
        <v>0</v>
      </c>
      <c r="P1732">
        <v>0</v>
      </c>
      <c r="S1732">
        <v>0</v>
      </c>
      <c r="T1732" t="str">
        <f>IF(VALUE(S1732)=0,"",VLOOKUP(VLOOKUP(S1732,Tbl_Effect[],3,FALSE),EffectName[],IFERROR(MATCH(UI!$B$1,EffectName[#Headers],0),2),FALSE))</f>
        <v/>
      </c>
      <c r="U1732" t="str">
        <f t="shared" si="175"/>
        <v/>
      </c>
      <c r="V1732">
        <v>0</v>
      </c>
      <c r="W1732" t="str">
        <f>IF(V1732&lt;&gt;0,VLOOKUP(VLOOKUP(V1732,Tbl_Effect[],3,FALSE),EffectName[],IFERROR(MATCH(UI!$B$1,EffectName[#Headers],0),2),FALSE),"")</f>
        <v/>
      </c>
      <c r="X1732" t="str">
        <f t="shared" si="176"/>
        <v/>
      </c>
      <c r="Y1732">
        <v>0</v>
      </c>
      <c r="Z1732" t="str">
        <f>IF(Y1732&lt;&gt;0,VLOOKUP(VLOOKUP(Y1732,Tbl_Effect[],3,FALSE),EffectName[],IFERROR(MATCH(UI!$B$1,EffectName[#Headers],0),2),FALSE),"")</f>
        <v/>
      </c>
      <c r="AA1732" t="str">
        <f t="shared" si="177"/>
        <v/>
      </c>
      <c r="AB1732">
        <v>0</v>
      </c>
      <c r="AC1732" t="str">
        <f>IF(AB1732&lt;&gt;0,VLOOKUP(VLOOKUP(AB1732,Tbl_Effect[],3,FALSE),EffectName[],IFERROR(MATCH(UI!$B$1,EffectName[#Headers],0),2),FALSE),"")</f>
        <v/>
      </c>
    </row>
    <row r="1733" spans="8:29" x14ac:dyDescent="0.4">
      <c r="H1733" t="str">
        <f t="shared" si="174"/>
        <v/>
      </c>
      <c r="I1733">
        <v>0</v>
      </c>
      <c r="J1733" t="str">
        <f>_xlfn.IFNA(IF(I1733&lt;&gt;0,VLOOKUP(VLOOKUP(I1733,Tbl_Equip[],2,FALSE),Tbl_Color[],IFERROR(MATCH(UI!$B$1,Tbl_Color[#Headers],0),2),FALSE),""),"Unset")</f>
        <v/>
      </c>
      <c r="K1733" t="str">
        <f>_xlfn.IFNA(IF(I1733&lt;&gt;0,VLOOKUP(I1733,ItemText[],IFERROR(MATCH(UI!$B$1,ItemText[#Headers],0),2),FALSE),""),"Unset")</f>
        <v/>
      </c>
      <c r="M1733">
        <v>0</v>
      </c>
      <c r="P1733">
        <v>0</v>
      </c>
      <c r="S1733">
        <v>0</v>
      </c>
      <c r="T1733" t="str">
        <f>IF(VALUE(S1733)=0,"",VLOOKUP(VLOOKUP(S1733,Tbl_Effect[],3,FALSE),EffectName[],IFERROR(MATCH(UI!$B$1,EffectName[#Headers],0),2),FALSE))</f>
        <v/>
      </c>
      <c r="U1733" t="str">
        <f t="shared" si="175"/>
        <v/>
      </c>
      <c r="V1733">
        <v>0</v>
      </c>
      <c r="W1733" t="str">
        <f>IF(V1733&lt;&gt;0,VLOOKUP(VLOOKUP(V1733,Tbl_Effect[],3,FALSE),EffectName[],IFERROR(MATCH(UI!$B$1,EffectName[#Headers],0),2),FALSE),"")</f>
        <v/>
      </c>
      <c r="X1733" t="str">
        <f t="shared" si="176"/>
        <v/>
      </c>
      <c r="Y1733">
        <v>0</v>
      </c>
      <c r="Z1733" t="str">
        <f>IF(Y1733&lt;&gt;0,VLOOKUP(VLOOKUP(Y1733,Tbl_Effect[],3,FALSE),EffectName[],IFERROR(MATCH(UI!$B$1,EffectName[#Headers],0),2),FALSE),"")</f>
        <v/>
      </c>
      <c r="AA1733" t="str">
        <f t="shared" si="177"/>
        <v/>
      </c>
      <c r="AB1733">
        <v>0</v>
      </c>
      <c r="AC1733" t="str">
        <f>IF(AB1733&lt;&gt;0,VLOOKUP(VLOOKUP(AB1733,Tbl_Effect[],3,FALSE),EffectName[],IFERROR(MATCH(UI!$B$1,EffectName[#Headers],0),2),FALSE),"")</f>
        <v/>
      </c>
    </row>
    <row r="1734" spans="8:29" x14ac:dyDescent="0.4">
      <c r="H1734" t="str">
        <f t="shared" si="174"/>
        <v/>
      </c>
      <c r="I1734">
        <v>0</v>
      </c>
      <c r="J1734" t="str">
        <f>_xlfn.IFNA(IF(I1734&lt;&gt;0,VLOOKUP(VLOOKUP(I1734,Tbl_Equip[],2,FALSE),Tbl_Color[],IFERROR(MATCH(UI!$B$1,Tbl_Color[#Headers],0),2),FALSE),""),"Unset")</f>
        <v/>
      </c>
      <c r="K1734" t="str">
        <f>_xlfn.IFNA(IF(I1734&lt;&gt;0,VLOOKUP(I1734,ItemText[],IFERROR(MATCH(UI!$B$1,ItemText[#Headers],0),2),FALSE),""),"Unset")</f>
        <v/>
      </c>
      <c r="M1734">
        <v>0</v>
      </c>
      <c r="P1734">
        <v>0</v>
      </c>
      <c r="S1734">
        <v>0</v>
      </c>
      <c r="T1734" t="str">
        <f>IF(VALUE(S1734)=0,"",VLOOKUP(VLOOKUP(S1734,Tbl_Effect[],3,FALSE),EffectName[],IFERROR(MATCH(UI!$B$1,EffectName[#Headers],0),2),FALSE))</f>
        <v/>
      </c>
      <c r="U1734" t="str">
        <f t="shared" si="175"/>
        <v/>
      </c>
      <c r="V1734">
        <v>0</v>
      </c>
      <c r="W1734" t="str">
        <f>IF(V1734&lt;&gt;0,VLOOKUP(VLOOKUP(V1734,Tbl_Effect[],3,FALSE),EffectName[],IFERROR(MATCH(UI!$B$1,EffectName[#Headers],0),2),FALSE),"")</f>
        <v/>
      </c>
      <c r="X1734" t="str">
        <f t="shared" si="176"/>
        <v/>
      </c>
      <c r="Y1734">
        <v>0</v>
      </c>
      <c r="Z1734" t="str">
        <f>IF(Y1734&lt;&gt;0,VLOOKUP(VLOOKUP(Y1734,Tbl_Effect[],3,FALSE),EffectName[],IFERROR(MATCH(UI!$B$1,EffectName[#Headers],0),2),FALSE),"")</f>
        <v/>
      </c>
      <c r="AA1734" t="str">
        <f t="shared" si="177"/>
        <v/>
      </c>
      <c r="AB1734">
        <v>0</v>
      </c>
      <c r="AC1734" t="str">
        <f>IF(AB1734&lt;&gt;0,VLOOKUP(VLOOKUP(AB1734,Tbl_Effect[],3,FALSE),EffectName[],IFERROR(MATCH(UI!$B$1,EffectName[#Headers],0),2),FALSE),"")</f>
        <v/>
      </c>
    </row>
    <row r="1735" spans="8:29" x14ac:dyDescent="0.4">
      <c r="H1735" t="str">
        <f t="shared" si="174"/>
        <v/>
      </c>
      <c r="I1735">
        <v>0</v>
      </c>
      <c r="J1735" t="str">
        <f>_xlfn.IFNA(IF(I1735&lt;&gt;0,VLOOKUP(VLOOKUP(I1735,Tbl_Equip[],2,FALSE),Tbl_Color[],IFERROR(MATCH(UI!$B$1,Tbl_Color[#Headers],0),2),FALSE),""),"Unset")</f>
        <v/>
      </c>
      <c r="K1735" t="str">
        <f>_xlfn.IFNA(IF(I1735&lt;&gt;0,VLOOKUP(I1735,ItemText[],IFERROR(MATCH(UI!$B$1,ItemText[#Headers],0),2),FALSE),""),"Unset")</f>
        <v/>
      </c>
      <c r="M1735">
        <v>0</v>
      </c>
      <c r="P1735">
        <v>0</v>
      </c>
      <c r="S1735">
        <v>0</v>
      </c>
      <c r="T1735" t="str">
        <f>IF(VALUE(S1735)=0,"",VLOOKUP(VLOOKUP(S1735,Tbl_Effect[],3,FALSE),EffectName[],IFERROR(MATCH(UI!$B$1,EffectName[#Headers],0),2),FALSE))</f>
        <v/>
      </c>
      <c r="U1735" t="str">
        <f t="shared" si="175"/>
        <v/>
      </c>
      <c r="V1735">
        <v>0</v>
      </c>
      <c r="W1735" t="str">
        <f>IF(V1735&lt;&gt;0,VLOOKUP(VLOOKUP(V1735,Tbl_Effect[],3,FALSE),EffectName[],IFERROR(MATCH(UI!$B$1,EffectName[#Headers],0),2),FALSE),"")</f>
        <v/>
      </c>
      <c r="X1735" t="str">
        <f t="shared" si="176"/>
        <v/>
      </c>
      <c r="Y1735">
        <v>0</v>
      </c>
      <c r="Z1735" t="str">
        <f>IF(Y1735&lt;&gt;0,VLOOKUP(VLOOKUP(Y1735,Tbl_Effect[],3,FALSE),EffectName[],IFERROR(MATCH(UI!$B$1,EffectName[#Headers],0),2),FALSE),"")</f>
        <v/>
      </c>
      <c r="AA1735" t="str">
        <f t="shared" si="177"/>
        <v/>
      </c>
      <c r="AB1735">
        <v>0</v>
      </c>
      <c r="AC1735" t="str">
        <f>IF(AB1735&lt;&gt;0,VLOOKUP(VLOOKUP(AB1735,Tbl_Effect[],3,FALSE),EffectName[],IFERROR(MATCH(UI!$B$1,EffectName[#Headers],0),2),FALSE),"")</f>
        <v/>
      </c>
    </row>
    <row r="1736" spans="8:29" x14ac:dyDescent="0.4">
      <c r="H1736" t="str">
        <f t="shared" si="174"/>
        <v/>
      </c>
      <c r="I1736">
        <v>0</v>
      </c>
      <c r="J1736" t="str">
        <f>_xlfn.IFNA(IF(I1736&lt;&gt;0,VLOOKUP(VLOOKUP(I1736,Tbl_Equip[],2,FALSE),Tbl_Color[],IFERROR(MATCH(UI!$B$1,Tbl_Color[#Headers],0),2),FALSE),""),"Unset")</f>
        <v/>
      </c>
      <c r="K1736" t="str">
        <f>_xlfn.IFNA(IF(I1736&lt;&gt;0,VLOOKUP(I1736,ItemText[],IFERROR(MATCH(UI!$B$1,ItemText[#Headers],0),2),FALSE),""),"Unset")</f>
        <v/>
      </c>
      <c r="M1736">
        <v>0</v>
      </c>
      <c r="P1736">
        <v>0</v>
      </c>
      <c r="S1736">
        <v>0</v>
      </c>
      <c r="T1736" t="str">
        <f>IF(VALUE(S1736)=0,"",VLOOKUP(VLOOKUP(S1736,Tbl_Effect[],3,FALSE),EffectName[],IFERROR(MATCH(UI!$B$1,EffectName[#Headers],0),2),FALSE))</f>
        <v/>
      </c>
      <c r="U1736" t="str">
        <f t="shared" si="175"/>
        <v/>
      </c>
      <c r="V1736">
        <v>0</v>
      </c>
      <c r="W1736" t="str">
        <f>IF(V1736&lt;&gt;0,VLOOKUP(VLOOKUP(V1736,Tbl_Effect[],3,FALSE),EffectName[],IFERROR(MATCH(UI!$B$1,EffectName[#Headers],0),2),FALSE),"")</f>
        <v/>
      </c>
      <c r="X1736" t="str">
        <f t="shared" si="176"/>
        <v/>
      </c>
      <c r="Y1736">
        <v>0</v>
      </c>
      <c r="Z1736" t="str">
        <f>IF(Y1736&lt;&gt;0,VLOOKUP(VLOOKUP(Y1736,Tbl_Effect[],3,FALSE),EffectName[],IFERROR(MATCH(UI!$B$1,EffectName[#Headers],0),2),FALSE),"")</f>
        <v/>
      </c>
      <c r="AA1736" t="str">
        <f t="shared" si="177"/>
        <v/>
      </c>
      <c r="AB1736">
        <v>0</v>
      </c>
      <c r="AC1736" t="str">
        <f>IF(AB1736&lt;&gt;0,VLOOKUP(VLOOKUP(AB1736,Tbl_Effect[],3,FALSE),EffectName[],IFERROR(MATCH(UI!$B$1,EffectName[#Headers],0),2),FALSE),"")</f>
        <v/>
      </c>
    </row>
    <row r="1737" spans="8:29" x14ac:dyDescent="0.4">
      <c r="H1737" t="str">
        <f t="shared" si="174"/>
        <v/>
      </c>
      <c r="I1737">
        <v>0</v>
      </c>
      <c r="J1737" t="str">
        <f>_xlfn.IFNA(IF(I1737&lt;&gt;0,VLOOKUP(VLOOKUP(I1737,Tbl_Equip[],2,FALSE),Tbl_Color[],IFERROR(MATCH(UI!$B$1,Tbl_Color[#Headers],0),2),FALSE),""),"Unset")</f>
        <v/>
      </c>
      <c r="K1737" t="str">
        <f>_xlfn.IFNA(IF(I1737&lt;&gt;0,VLOOKUP(I1737,ItemText[],IFERROR(MATCH(UI!$B$1,ItemText[#Headers],0),2),FALSE),""),"Unset")</f>
        <v/>
      </c>
      <c r="M1737">
        <v>0</v>
      </c>
      <c r="P1737">
        <v>0</v>
      </c>
      <c r="S1737">
        <v>0</v>
      </c>
      <c r="T1737" t="str">
        <f>IF(VALUE(S1737)=0,"",VLOOKUP(VLOOKUP(S1737,Tbl_Effect[],3,FALSE),EffectName[],IFERROR(MATCH(UI!$B$1,EffectName[#Headers],0),2),FALSE))</f>
        <v/>
      </c>
      <c r="U1737" t="str">
        <f t="shared" si="175"/>
        <v/>
      </c>
      <c r="V1737">
        <v>0</v>
      </c>
      <c r="W1737" t="str">
        <f>IF(V1737&lt;&gt;0,VLOOKUP(VLOOKUP(V1737,Tbl_Effect[],3,FALSE),EffectName[],IFERROR(MATCH(UI!$B$1,EffectName[#Headers],0),2),FALSE),"")</f>
        <v/>
      </c>
      <c r="X1737" t="str">
        <f t="shared" si="176"/>
        <v/>
      </c>
      <c r="Y1737">
        <v>0</v>
      </c>
      <c r="Z1737" t="str">
        <f>IF(Y1737&lt;&gt;0,VLOOKUP(VLOOKUP(Y1737,Tbl_Effect[],3,FALSE),EffectName[],IFERROR(MATCH(UI!$B$1,EffectName[#Headers],0),2),FALSE),"")</f>
        <v/>
      </c>
      <c r="AA1737" t="str">
        <f t="shared" si="177"/>
        <v/>
      </c>
      <c r="AB1737">
        <v>0</v>
      </c>
      <c r="AC1737" t="str">
        <f>IF(AB1737&lt;&gt;0,VLOOKUP(VLOOKUP(AB1737,Tbl_Effect[],3,FALSE),EffectName[],IFERROR(MATCH(UI!$B$1,EffectName[#Headers],0),2),FALSE),"")</f>
        <v/>
      </c>
    </row>
    <row r="1738" spans="8:29" x14ac:dyDescent="0.4">
      <c r="H1738" t="str">
        <f t="shared" si="174"/>
        <v/>
      </c>
      <c r="I1738">
        <v>0</v>
      </c>
      <c r="J1738" t="str">
        <f>_xlfn.IFNA(IF(I1738&lt;&gt;0,VLOOKUP(VLOOKUP(I1738,Tbl_Equip[],2,FALSE),Tbl_Color[],IFERROR(MATCH(UI!$B$1,Tbl_Color[#Headers],0),2),FALSE),""),"Unset")</f>
        <v/>
      </c>
      <c r="K1738" t="str">
        <f>_xlfn.IFNA(IF(I1738&lt;&gt;0,VLOOKUP(I1738,ItemText[],IFERROR(MATCH(UI!$B$1,ItemText[#Headers],0),2),FALSE),""),"Unset")</f>
        <v/>
      </c>
      <c r="M1738">
        <v>0</v>
      </c>
      <c r="P1738">
        <v>0</v>
      </c>
      <c r="S1738">
        <v>0</v>
      </c>
      <c r="T1738" t="str">
        <f>IF(VALUE(S1738)=0,"",VLOOKUP(VLOOKUP(S1738,Tbl_Effect[],3,FALSE),EffectName[],IFERROR(MATCH(UI!$B$1,EffectName[#Headers],0),2),FALSE))</f>
        <v/>
      </c>
      <c r="U1738" t="str">
        <f t="shared" si="175"/>
        <v/>
      </c>
      <c r="V1738">
        <v>0</v>
      </c>
      <c r="W1738" t="str">
        <f>IF(V1738&lt;&gt;0,VLOOKUP(VLOOKUP(V1738,Tbl_Effect[],3,FALSE),EffectName[],IFERROR(MATCH(UI!$B$1,EffectName[#Headers],0),2),FALSE),"")</f>
        <v/>
      </c>
      <c r="X1738" t="str">
        <f t="shared" si="176"/>
        <v/>
      </c>
      <c r="Y1738">
        <v>0</v>
      </c>
      <c r="Z1738" t="str">
        <f>IF(Y1738&lt;&gt;0,VLOOKUP(VLOOKUP(Y1738,Tbl_Effect[],3,FALSE),EffectName[],IFERROR(MATCH(UI!$B$1,EffectName[#Headers],0),2),FALSE),"")</f>
        <v/>
      </c>
      <c r="AA1738" t="str">
        <f t="shared" si="177"/>
        <v/>
      </c>
      <c r="AB1738">
        <v>0</v>
      </c>
      <c r="AC1738" t="str">
        <f>IF(AB1738&lt;&gt;0,VLOOKUP(VLOOKUP(AB1738,Tbl_Effect[],3,FALSE),EffectName[],IFERROR(MATCH(UI!$B$1,EffectName[#Headers],0),2),FALSE),"")</f>
        <v/>
      </c>
    </row>
    <row r="1739" spans="8:29" x14ac:dyDescent="0.4">
      <c r="H1739" t="str">
        <f t="shared" si="174"/>
        <v/>
      </c>
      <c r="I1739">
        <v>0</v>
      </c>
      <c r="J1739" t="str">
        <f>_xlfn.IFNA(IF(I1739&lt;&gt;0,VLOOKUP(VLOOKUP(I1739,Tbl_Equip[],2,FALSE),Tbl_Color[],IFERROR(MATCH(UI!$B$1,Tbl_Color[#Headers],0),2),FALSE),""),"Unset")</f>
        <v/>
      </c>
      <c r="K1739" t="str">
        <f>_xlfn.IFNA(IF(I1739&lt;&gt;0,VLOOKUP(I1739,ItemText[],IFERROR(MATCH(UI!$B$1,ItemText[#Headers],0),2),FALSE),""),"Unset")</f>
        <v/>
      </c>
      <c r="M1739">
        <v>0</v>
      </c>
      <c r="P1739">
        <v>0</v>
      </c>
      <c r="S1739">
        <v>0</v>
      </c>
      <c r="T1739" t="str">
        <f>IF(VALUE(S1739)=0,"",VLOOKUP(VLOOKUP(S1739,Tbl_Effect[],3,FALSE),EffectName[],IFERROR(MATCH(UI!$B$1,EffectName[#Headers],0),2),FALSE))</f>
        <v/>
      </c>
      <c r="U1739" t="str">
        <f t="shared" si="175"/>
        <v/>
      </c>
      <c r="V1739">
        <v>0</v>
      </c>
      <c r="W1739" t="str">
        <f>IF(V1739&lt;&gt;0,VLOOKUP(VLOOKUP(V1739,Tbl_Effect[],3,FALSE),EffectName[],IFERROR(MATCH(UI!$B$1,EffectName[#Headers],0),2),FALSE),"")</f>
        <v/>
      </c>
      <c r="X1739" t="str">
        <f t="shared" si="176"/>
        <v/>
      </c>
      <c r="Y1739">
        <v>0</v>
      </c>
      <c r="Z1739" t="str">
        <f>IF(Y1739&lt;&gt;0,VLOOKUP(VLOOKUP(Y1739,Tbl_Effect[],3,FALSE),EffectName[],IFERROR(MATCH(UI!$B$1,EffectName[#Headers],0),2),FALSE),"")</f>
        <v/>
      </c>
      <c r="AA1739" t="str">
        <f t="shared" si="177"/>
        <v/>
      </c>
      <c r="AB1739">
        <v>0</v>
      </c>
      <c r="AC1739" t="str">
        <f>IF(AB1739&lt;&gt;0,VLOOKUP(VLOOKUP(AB1739,Tbl_Effect[],3,FALSE),EffectName[],IFERROR(MATCH(UI!$B$1,EffectName[#Headers],0),2),FALSE),"")</f>
        <v/>
      </c>
    </row>
    <row r="1740" spans="8:29" x14ac:dyDescent="0.4">
      <c r="H1740" t="str">
        <f t="shared" si="174"/>
        <v/>
      </c>
      <c r="I1740">
        <v>0</v>
      </c>
      <c r="J1740" t="str">
        <f>_xlfn.IFNA(IF(I1740&lt;&gt;0,VLOOKUP(VLOOKUP(I1740,Tbl_Equip[],2,FALSE),Tbl_Color[],IFERROR(MATCH(UI!$B$1,Tbl_Color[#Headers],0),2),FALSE),""),"Unset")</f>
        <v/>
      </c>
      <c r="K1740" t="str">
        <f>_xlfn.IFNA(IF(I1740&lt;&gt;0,VLOOKUP(I1740,ItemText[],IFERROR(MATCH(UI!$B$1,ItemText[#Headers],0),2),FALSE),""),"Unset")</f>
        <v/>
      </c>
      <c r="M1740">
        <v>0</v>
      </c>
      <c r="P1740">
        <v>0</v>
      </c>
      <c r="S1740">
        <v>0</v>
      </c>
      <c r="T1740" t="str">
        <f>IF(VALUE(S1740)=0,"",VLOOKUP(VLOOKUP(S1740,Tbl_Effect[],3,FALSE),EffectName[],IFERROR(MATCH(UI!$B$1,EffectName[#Headers],0),2),FALSE))</f>
        <v/>
      </c>
      <c r="U1740" t="str">
        <f t="shared" si="175"/>
        <v/>
      </c>
      <c r="V1740">
        <v>0</v>
      </c>
      <c r="W1740" t="str">
        <f>IF(V1740&lt;&gt;0,VLOOKUP(VLOOKUP(V1740,Tbl_Effect[],3,FALSE),EffectName[],IFERROR(MATCH(UI!$B$1,EffectName[#Headers],0),2),FALSE),"")</f>
        <v/>
      </c>
      <c r="X1740" t="str">
        <f t="shared" si="176"/>
        <v/>
      </c>
      <c r="Y1740">
        <v>0</v>
      </c>
      <c r="Z1740" t="str">
        <f>IF(Y1740&lt;&gt;0,VLOOKUP(VLOOKUP(Y1740,Tbl_Effect[],3,FALSE),EffectName[],IFERROR(MATCH(UI!$B$1,EffectName[#Headers],0),2),FALSE),"")</f>
        <v/>
      </c>
      <c r="AA1740" t="str">
        <f t="shared" si="177"/>
        <v/>
      </c>
      <c r="AB1740">
        <v>0</v>
      </c>
      <c r="AC1740" t="str">
        <f>IF(AB1740&lt;&gt;0,VLOOKUP(VLOOKUP(AB1740,Tbl_Effect[],3,FALSE),EffectName[],IFERROR(MATCH(UI!$B$1,EffectName[#Headers],0),2),FALSE),"")</f>
        <v/>
      </c>
    </row>
    <row r="1741" spans="8:29" x14ac:dyDescent="0.4">
      <c r="H1741" t="str">
        <f t="shared" si="174"/>
        <v/>
      </c>
      <c r="I1741">
        <v>0</v>
      </c>
      <c r="J1741" t="str">
        <f>_xlfn.IFNA(IF(I1741&lt;&gt;0,VLOOKUP(VLOOKUP(I1741,Tbl_Equip[],2,FALSE),Tbl_Color[],IFERROR(MATCH(UI!$B$1,Tbl_Color[#Headers],0),2),FALSE),""),"Unset")</f>
        <v/>
      </c>
      <c r="K1741" t="str">
        <f>_xlfn.IFNA(IF(I1741&lt;&gt;0,VLOOKUP(I1741,ItemText[],IFERROR(MATCH(UI!$B$1,ItemText[#Headers],0),2),FALSE),""),"Unset")</f>
        <v/>
      </c>
      <c r="M1741">
        <v>0</v>
      </c>
      <c r="P1741">
        <v>0</v>
      </c>
      <c r="S1741">
        <v>0</v>
      </c>
      <c r="T1741" t="str">
        <f>IF(VALUE(S1741)=0,"",VLOOKUP(VLOOKUP(S1741,Tbl_Effect[],3,FALSE),EffectName[],IFERROR(MATCH(UI!$B$1,EffectName[#Headers],0),2),FALSE))</f>
        <v/>
      </c>
      <c r="U1741" t="str">
        <f t="shared" si="175"/>
        <v/>
      </c>
      <c r="V1741">
        <v>0</v>
      </c>
      <c r="W1741" t="str">
        <f>IF(V1741&lt;&gt;0,VLOOKUP(VLOOKUP(V1741,Tbl_Effect[],3,FALSE),EffectName[],IFERROR(MATCH(UI!$B$1,EffectName[#Headers],0),2),FALSE),"")</f>
        <v/>
      </c>
      <c r="X1741" t="str">
        <f t="shared" si="176"/>
        <v/>
      </c>
      <c r="Y1741">
        <v>0</v>
      </c>
      <c r="Z1741" t="str">
        <f>IF(Y1741&lt;&gt;0,VLOOKUP(VLOOKUP(Y1741,Tbl_Effect[],3,FALSE),EffectName[],IFERROR(MATCH(UI!$B$1,EffectName[#Headers],0),2),FALSE),"")</f>
        <v/>
      </c>
      <c r="AA1741" t="str">
        <f t="shared" si="177"/>
        <v/>
      </c>
      <c r="AB1741">
        <v>0</v>
      </c>
      <c r="AC1741" t="str">
        <f>IF(AB1741&lt;&gt;0,VLOOKUP(VLOOKUP(AB1741,Tbl_Effect[],3,FALSE),EffectName[],IFERROR(MATCH(UI!$B$1,EffectName[#Headers],0),2),FALSE),"")</f>
        <v/>
      </c>
    </row>
    <row r="1742" spans="8:29" x14ac:dyDescent="0.4">
      <c r="H1742" t="str">
        <f t="shared" si="174"/>
        <v/>
      </c>
      <c r="I1742">
        <v>0</v>
      </c>
      <c r="J1742" t="str">
        <f>_xlfn.IFNA(IF(I1742&lt;&gt;0,VLOOKUP(VLOOKUP(I1742,Tbl_Equip[],2,FALSE),Tbl_Color[],IFERROR(MATCH(UI!$B$1,Tbl_Color[#Headers],0),2),FALSE),""),"Unset")</f>
        <v/>
      </c>
      <c r="K1742" t="str">
        <f>_xlfn.IFNA(IF(I1742&lt;&gt;0,VLOOKUP(I1742,ItemText[],IFERROR(MATCH(UI!$B$1,ItemText[#Headers],0),2),FALSE),""),"Unset")</f>
        <v/>
      </c>
      <c r="M1742">
        <v>0</v>
      </c>
      <c r="P1742">
        <v>0</v>
      </c>
      <c r="S1742">
        <v>0</v>
      </c>
      <c r="T1742" t="str">
        <f>IF(VALUE(S1742)=0,"",VLOOKUP(VLOOKUP(S1742,Tbl_Effect[],3,FALSE),EffectName[],IFERROR(MATCH(UI!$B$1,EffectName[#Headers],0),2),FALSE))</f>
        <v/>
      </c>
      <c r="U1742" t="str">
        <f t="shared" si="175"/>
        <v/>
      </c>
      <c r="V1742">
        <v>0</v>
      </c>
      <c r="W1742" t="str">
        <f>IF(V1742&lt;&gt;0,VLOOKUP(VLOOKUP(V1742,Tbl_Effect[],3,FALSE),EffectName[],IFERROR(MATCH(UI!$B$1,EffectName[#Headers],0),2),FALSE),"")</f>
        <v/>
      </c>
      <c r="X1742" t="str">
        <f t="shared" si="176"/>
        <v/>
      </c>
      <c r="Y1742">
        <v>0</v>
      </c>
      <c r="Z1742" t="str">
        <f>IF(Y1742&lt;&gt;0,VLOOKUP(VLOOKUP(Y1742,Tbl_Effect[],3,FALSE),EffectName[],IFERROR(MATCH(UI!$B$1,EffectName[#Headers],0),2),FALSE),"")</f>
        <v/>
      </c>
      <c r="AA1742" t="str">
        <f t="shared" si="177"/>
        <v/>
      </c>
      <c r="AB1742">
        <v>0</v>
      </c>
      <c r="AC1742" t="str">
        <f>IF(AB1742&lt;&gt;0,VLOOKUP(VLOOKUP(AB1742,Tbl_Effect[],3,FALSE),EffectName[],IFERROR(MATCH(UI!$B$1,EffectName[#Headers],0),2),FALSE),"")</f>
        <v/>
      </c>
    </row>
    <row r="1743" spans="8:29" x14ac:dyDescent="0.4">
      <c r="H1743" t="str">
        <f t="shared" si="174"/>
        <v/>
      </c>
      <c r="I1743">
        <v>0</v>
      </c>
      <c r="J1743" t="str">
        <f>_xlfn.IFNA(IF(I1743&lt;&gt;0,VLOOKUP(VLOOKUP(I1743,Tbl_Equip[],2,FALSE),Tbl_Color[],IFERROR(MATCH(UI!$B$1,Tbl_Color[#Headers],0),2),FALSE),""),"Unset")</f>
        <v/>
      </c>
      <c r="K1743" t="str">
        <f>_xlfn.IFNA(IF(I1743&lt;&gt;0,VLOOKUP(I1743,ItemText[],IFERROR(MATCH(UI!$B$1,ItemText[#Headers],0),2),FALSE),""),"Unset")</f>
        <v/>
      </c>
      <c r="M1743">
        <v>0</v>
      </c>
      <c r="P1743">
        <v>0</v>
      </c>
      <c r="S1743">
        <v>0</v>
      </c>
      <c r="T1743" t="str">
        <f>IF(VALUE(S1743)=0,"",VLOOKUP(VLOOKUP(S1743,Tbl_Effect[],3,FALSE),EffectName[],IFERROR(MATCH(UI!$B$1,EffectName[#Headers],0),2),FALSE))</f>
        <v/>
      </c>
      <c r="U1743" t="str">
        <f t="shared" si="175"/>
        <v/>
      </c>
      <c r="V1743">
        <v>0</v>
      </c>
      <c r="W1743" t="str">
        <f>IF(V1743&lt;&gt;0,VLOOKUP(VLOOKUP(V1743,Tbl_Effect[],3,FALSE),EffectName[],IFERROR(MATCH(UI!$B$1,EffectName[#Headers],0),2),FALSE),"")</f>
        <v/>
      </c>
      <c r="X1743" t="str">
        <f t="shared" si="176"/>
        <v/>
      </c>
      <c r="Y1743">
        <v>0</v>
      </c>
      <c r="Z1743" t="str">
        <f>IF(Y1743&lt;&gt;0,VLOOKUP(VLOOKUP(Y1743,Tbl_Effect[],3,FALSE),EffectName[],IFERROR(MATCH(UI!$B$1,EffectName[#Headers],0),2),FALSE),"")</f>
        <v/>
      </c>
      <c r="AA1743" t="str">
        <f t="shared" si="177"/>
        <v/>
      </c>
      <c r="AB1743">
        <v>0</v>
      </c>
      <c r="AC1743" t="str">
        <f>IF(AB1743&lt;&gt;0,VLOOKUP(VLOOKUP(AB1743,Tbl_Effect[],3,FALSE),EffectName[],IFERROR(MATCH(UI!$B$1,EffectName[#Headers],0),2),FALSE),"")</f>
        <v/>
      </c>
    </row>
    <row r="1744" spans="8:29" x14ac:dyDescent="0.4">
      <c r="H1744" t="str">
        <f t="shared" si="174"/>
        <v/>
      </c>
      <c r="I1744">
        <v>0</v>
      </c>
      <c r="J1744" t="str">
        <f>_xlfn.IFNA(IF(I1744&lt;&gt;0,VLOOKUP(VLOOKUP(I1744,Tbl_Equip[],2,FALSE),Tbl_Color[],IFERROR(MATCH(UI!$B$1,Tbl_Color[#Headers],0),2),FALSE),""),"Unset")</f>
        <v/>
      </c>
      <c r="K1744" t="str">
        <f>_xlfn.IFNA(IF(I1744&lt;&gt;0,VLOOKUP(I1744,ItemText[],IFERROR(MATCH(UI!$B$1,ItemText[#Headers],0),2),FALSE),""),"Unset")</f>
        <v/>
      </c>
      <c r="M1744">
        <v>0</v>
      </c>
      <c r="P1744">
        <v>0</v>
      </c>
      <c r="S1744">
        <v>0</v>
      </c>
      <c r="T1744" t="str">
        <f>IF(VALUE(S1744)=0,"",VLOOKUP(VLOOKUP(S1744,Tbl_Effect[],3,FALSE),EffectName[],IFERROR(MATCH(UI!$B$1,EffectName[#Headers],0),2),FALSE))</f>
        <v/>
      </c>
      <c r="U1744" t="str">
        <f t="shared" si="175"/>
        <v/>
      </c>
      <c r="V1744">
        <v>0</v>
      </c>
      <c r="W1744" t="str">
        <f>IF(V1744&lt;&gt;0,VLOOKUP(VLOOKUP(V1744,Tbl_Effect[],3,FALSE),EffectName[],IFERROR(MATCH(UI!$B$1,EffectName[#Headers],0),2),FALSE),"")</f>
        <v/>
      </c>
      <c r="X1744" t="str">
        <f t="shared" si="176"/>
        <v/>
      </c>
      <c r="Y1744">
        <v>0</v>
      </c>
      <c r="Z1744" t="str">
        <f>IF(Y1744&lt;&gt;0,VLOOKUP(VLOOKUP(Y1744,Tbl_Effect[],3,FALSE),EffectName[],IFERROR(MATCH(UI!$B$1,EffectName[#Headers],0),2),FALSE),"")</f>
        <v/>
      </c>
      <c r="AA1744" t="str">
        <f t="shared" si="177"/>
        <v/>
      </c>
      <c r="AB1744">
        <v>0</v>
      </c>
      <c r="AC1744" t="str">
        <f>IF(AB1744&lt;&gt;0,VLOOKUP(VLOOKUP(AB1744,Tbl_Effect[],3,FALSE),EffectName[],IFERROR(MATCH(UI!$B$1,EffectName[#Headers],0),2),FALSE),"")</f>
        <v/>
      </c>
    </row>
    <row r="1745" spans="8:29" x14ac:dyDescent="0.4">
      <c r="H1745" t="str">
        <f t="shared" si="174"/>
        <v/>
      </c>
      <c r="I1745">
        <v>0</v>
      </c>
      <c r="J1745" t="str">
        <f>_xlfn.IFNA(IF(I1745&lt;&gt;0,VLOOKUP(VLOOKUP(I1745,Tbl_Equip[],2,FALSE),Tbl_Color[],IFERROR(MATCH(UI!$B$1,Tbl_Color[#Headers],0),2),FALSE),""),"Unset")</f>
        <v/>
      </c>
      <c r="K1745" t="str">
        <f>_xlfn.IFNA(IF(I1745&lt;&gt;0,VLOOKUP(I1745,ItemText[],IFERROR(MATCH(UI!$B$1,ItemText[#Headers],0),2),FALSE),""),"Unset")</f>
        <v/>
      </c>
      <c r="M1745">
        <v>0</v>
      </c>
      <c r="P1745">
        <v>0</v>
      </c>
      <c r="S1745">
        <v>0</v>
      </c>
      <c r="T1745" t="str">
        <f>IF(VALUE(S1745)=0,"",VLOOKUP(VLOOKUP(S1745,Tbl_Effect[],3,FALSE),EffectName[],IFERROR(MATCH(UI!$B$1,EffectName[#Headers],0),2),FALSE))</f>
        <v/>
      </c>
      <c r="U1745" t="str">
        <f t="shared" si="175"/>
        <v/>
      </c>
      <c r="V1745">
        <v>0</v>
      </c>
      <c r="W1745" t="str">
        <f>IF(V1745&lt;&gt;0,VLOOKUP(VLOOKUP(V1745,Tbl_Effect[],3,FALSE),EffectName[],IFERROR(MATCH(UI!$B$1,EffectName[#Headers],0),2),FALSE),"")</f>
        <v/>
      </c>
      <c r="X1745" t="str">
        <f t="shared" si="176"/>
        <v/>
      </c>
      <c r="Y1745">
        <v>0</v>
      </c>
      <c r="Z1745" t="str">
        <f>IF(Y1745&lt;&gt;0,VLOOKUP(VLOOKUP(Y1745,Tbl_Effect[],3,FALSE),EffectName[],IFERROR(MATCH(UI!$B$1,EffectName[#Headers],0),2),FALSE),"")</f>
        <v/>
      </c>
      <c r="AA1745" t="str">
        <f t="shared" si="177"/>
        <v/>
      </c>
      <c r="AB1745">
        <v>0</v>
      </c>
      <c r="AC1745" t="str">
        <f>IF(AB1745&lt;&gt;0,VLOOKUP(VLOOKUP(AB1745,Tbl_Effect[],3,FALSE),EffectName[],IFERROR(MATCH(UI!$B$1,EffectName[#Headers],0),2),FALSE),"")</f>
        <v/>
      </c>
    </row>
    <row r="1746" spans="8:29" x14ac:dyDescent="0.4">
      <c r="H1746" t="str">
        <f t="shared" si="174"/>
        <v/>
      </c>
      <c r="I1746">
        <v>0</v>
      </c>
      <c r="J1746" t="str">
        <f>_xlfn.IFNA(IF(I1746&lt;&gt;0,VLOOKUP(VLOOKUP(I1746,Tbl_Equip[],2,FALSE),Tbl_Color[],IFERROR(MATCH(UI!$B$1,Tbl_Color[#Headers],0),2),FALSE),""),"Unset")</f>
        <v/>
      </c>
      <c r="K1746" t="str">
        <f>_xlfn.IFNA(IF(I1746&lt;&gt;0,VLOOKUP(I1746,ItemText[],IFERROR(MATCH(UI!$B$1,ItemText[#Headers],0),2),FALSE),""),"Unset")</f>
        <v/>
      </c>
      <c r="M1746">
        <v>0</v>
      </c>
      <c r="P1746">
        <v>0</v>
      </c>
      <c r="S1746">
        <v>0</v>
      </c>
      <c r="T1746" t="str">
        <f>IF(VALUE(S1746)=0,"",VLOOKUP(VLOOKUP(S1746,Tbl_Effect[],3,FALSE),EffectName[],IFERROR(MATCH(UI!$B$1,EffectName[#Headers],0),2),FALSE))</f>
        <v/>
      </c>
      <c r="U1746" t="str">
        <f t="shared" si="175"/>
        <v/>
      </c>
      <c r="V1746">
        <v>0</v>
      </c>
      <c r="W1746" t="str">
        <f>IF(V1746&lt;&gt;0,VLOOKUP(VLOOKUP(V1746,Tbl_Effect[],3,FALSE),EffectName[],IFERROR(MATCH(UI!$B$1,EffectName[#Headers],0),2),FALSE),"")</f>
        <v/>
      </c>
      <c r="X1746" t="str">
        <f t="shared" si="176"/>
        <v/>
      </c>
      <c r="Y1746">
        <v>0</v>
      </c>
      <c r="Z1746" t="str">
        <f>IF(Y1746&lt;&gt;0,VLOOKUP(VLOOKUP(Y1746,Tbl_Effect[],3,FALSE),EffectName[],IFERROR(MATCH(UI!$B$1,EffectName[#Headers],0),2),FALSE),"")</f>
        <v/>
      </c>
      <c r="AA1746" t="str">
        <f t="shared" si="177"/>
        <v/>
      </c>
      <c r="AB1746">
        <v>0</v>
      </c>
      <c r="AC1746" t="str">
        <f>IF(AB1746&lt;&gt;0,VLOOKUP(VLOOKUP(AB1746,Tbl_Effect[],3,FALSE),EffectName[],IFERROR(MATCH(UI!$B$1,EffectName[#Headers],0),2),FALSE),"")</f>
        <v/>
      </c>
    </row>
    <row r="1747" spans="8:29" x14ac:dyDescent="0.4">
      <c r="H1747" t="str">
        <f t="shared" si="174"/>
        <v/>
      </c>
      <c r="I1747">
        <v>0</v>
      </c>
      <c r="J1747" t="str">
        <f>_xlfn.IFNA(IF(I1747&lt;&gt;0,VLOOKUP(VLOOKUP(I1747,Tbl_Equip[],2,FALSE),Tbl_Color[],IFERROR(MATCH(UI!$B$1,Tbl_Color[#Headers],0),2),FALSE),""),"Unset")</f>
        <v/>
      </c>
      <c r="K1747" t="str">
        <f>_xlfn.IFNA(IF(I1747&lt;&gt;0,VLOOKUP(I1747,ItemText[],IFERROR(MATCH(UI!$B$1,ItemText[#Headers],0),2),FALSE),""),"Unset")</f>
        <v/>
      </c>
      <c r="M1747">
        <v>0</v>
      </c>
      <c r="P1747">
        <v>0</v>
      </c>
      <c r="S1747">
        <v>0</v>
      </c>
      <c r="T1747" t="str">
        <f>IF(VALUE(S1747)=0,"",VLOOKUP(VLOOKUP(S1747,Tbl_Effect[],3,FALSE),EffectName[],IFERROR(MATCH(UI!$B$1,EffectName[#Headers],0),2),FALSE))</f>
        <v/>
      </c>
      <c r="U1747" t="str">
        <f t="shared" si="175"/>
        <v/>
      </c>
      <c r="V1747">
        <v>0</v>
      </c>
      <c r="W1747" t="str">
        <f>IF(V1747&lt;&gt;0,VLOOKUP(VLOOKUP(V1747,Tbl_Effect[],3,FALSE),EffectName[],IFERROR(MATCH(UI!$B$1,EffectName[#Headers],0),2),FALSE),"")</f>
        <v/>
      </c>
      <c r="X1747" t="str">
        <f t="shared" si="176"/>
        <v/>
      </c>
      <c r="Y1747">
        <v>0</v>
      </c>
      <c r="Z1747" t="str">
        <f>IF(Y1747&lt;&gt;0,VLOOKUP(VLOOKUP(Y1747,Tbl_Effect[],3,FALSE),EffectName[],IFERROR(MATCH(UI!$B$1,EffectName[#Headers],0),2),FALSE),"")</f>
        <v/>
      </c>
      <c r="AA1747" t="str">
        <f t="shared" si="177"/>
        <v/>
      </c>
      <c r="AB1747">
        <v>0</v>
      </c>
      <c r="AC1747" t="str">
        <f>IF(AB1747&lt;&gt;0,VLOOKUP(VLOOKUP(AB1747,Tbl_Effect[],3,FALSE),EffectName[],IFERROR(MATCH(UI!$B$1,EffectName[#Headers],0),2),FALSE),"")</f>
        <v/>
      </c>
    </row>
    <row r="1748" spans="8:29" x14ac:dyDescent="0.4">
      <c r="H1748" t="str">
        <f t="shared" si="174"/>
        <v/>
      </c>
      <c r="I1748">
        <v>0</v>
      </c>
      <c r="J1748" t="str">
        <f>_xlfn.IFNA(IF(I1748&lt;&gt;0,VLOOKUP(VLOOKUP(I1748,Tbl_Equip[],2,FALSE),Tbl_Color[],IFERROR(MATCH(UI!$B$1,Tbl_Color[#Headers],0),2),FALSE),""),"Unset")</f>
        <v/>
      </c>
      <c r="K1748" t="str">
        <f>_xlfn.IFNA(IF(I1748&lt;&gt;0,VLOOKUP(I1748,ItemText[],IFERROR(MATCH(UI!$B$1,ItemText[#Headers],0),2),FALSE),""),"Unset")</f>
        <v/>
      </c>
      <c r="M1748">
        <v>0</v>
      </c>
      <c r="P1748">
        <v>0</v>
      </c>
      <c r="S1748">
        <v>0</v>
      </c>
      <c r="T1748" t="str">
        <f>IF(VALUE(S1748)=0,"",VLOOKUP(VLOOKUP(S1748,Tbl_Effect[],3,FALSE),EffectName[],IFERROR(MATCH(UI!$B$1,EffectName[#Headers],0),2),FALSE))</f>
        <v/>
      </c>
      <c r="U1748" t="str">
        <f t="shared" si="175"/>
        <v/>
      </c>
      <c r="V1748">
        <v>0</v>
      </c>
      <c r="W1748" t="str">
        <f>IF(V1748&lt;&gt;0,VLOOKUP(VLOOKUP(V1748,Tbl_Effect[],3,FALSE),EffectName[],IFERROR(MATCH(UI!$B$1,EffectName[#Headers],0),2),FALSE),"")</f>
        <v/>
      </c>
      <c r="X1748" t="str">
        <f t="shared" si="176"/>
        <v/>
      </c>
      <c r="Y1748">
        <v>0</v>
      </c>
      <c r="Z1748" t="str">
        <f>IF(Y1748&lt;&gt;0,VLOOKUP(VLOOKUP(Y1748,Tbl_Effect[],3,FALSE),EffectName[],IFERROR(MATCH(UI!$B$1,EffectName[#Headers],0),2),FALSE),"")</f>
        <v/>
      </c>
      <c r="AA1748" t="str">
        <f t="shared" si="177"/>
        <v/>
      </c>
      <c r="AB1748">
        <v>0</v>
      </c>
      <c r="AC1748" t="str">
        <f>IF(AB1748&lt;&gt;0,VLOOKUP(VLOOKUP(AB1748,Tbl_Effect[],3,FALSE),EffectName[],IFERROR(MATCH(UI!$B$1,EffectName[#Headers],0),2),FALSE),"")</f>
        <v/>
      </c>
    </row>
    <row r="1749" spans="8:29" x14ac:dyDescent="0.4">
      <c r="H1749" t="str">
        <f t="shared" si="174"/>
        <v/>
      </c>
      <c r="I1749">
        <v>0</v>
      </c>
      <c r="J1749" t="str">
        <f>_xlfn.IFNA(IF(I1749&lt;&gt;0,VLOOKUP(VLOOKUP(I1749,Tbl_Equip[],2,FALSE),Tbl_Color[],IFERROR(MATCH(UI!$B$1,Tbl_Color[#Headers],0),2),FALSE),""),"Unset")</f>
        <v/>
      </c>
      <c r="K1749" t="str">
        <f>_xlfn.IFNA(IF(I1749&lt;&gt;0,VLOOKUP(I1749,ItemText[],IFERROR(MATCH(UI!$B$1,ItemText[#Headers],0),2),FALSE),""),"Unset")</f>
        <v/>
      </c>
      <c r="M1749">
        <v>0</v>
      </c>
      <c r="P1749">
        <v>0</v>
      </c>
      <c r="S1749">
        <v>0</v>
      </c>
      <c r="T1749" t="str">
        <f>IF(VALUE(S1749)=0,"",VLOOKUP(VLOOKUP(S1749,Tbl_Effect[],3,FALSE),EffectName[],IFERROR(MATCH(UI!$B$1,EffectName[#Headers],0),2),FALSE))</f>
        <v/>
      </c>
      <c r="U1749" t="str">
        <f t="shared" si="175"/>
        <v/>
      </c>
      <c r="V1749">
        <v>0</v>
      </c>
      <c r="W1749" t="str">
        <f>IF(V1749&lt;&gt;0,VLOOKUP(VLOOKUP(V1749,Tbl_Effect[],3,FALSE),EffectName[],IFERROR(MATCH(UI!$B$1,EffectName[#Headers],0),2),FALSE),"")</f>
        <v/>
      </c>
      <c r="X1749" t="str">
        <f t="shared" si="176"/>
        <v/>
      </c>
      <c r="Y1749">
        <v>0</v>
      </c>
      <c r="Z1749" t="str">
        <f>IF(Y1749&lt;&gt;0,VLOOKUP(VLOOKUP(Y1749,Tbl_Effect[],3,FALSE),EffectName[],IFERROR(MATCH(UI!$B$1,EffectName[#Headers],0),2),FALSE),"")</f>
        <v/>
      </c>
      <c r="AA1749" t="str">
        <f t="shared" si="177"/>
        <v/>
      </c>
      <c r="AB1749">
        <v>0</v>
      </c>
      <c r="AC1749" t="str">
        <f>IF(AB1749&lt;&gt;0,VLOOKUP(VLOOKUP(AB1749,Tbl_Effect[],3,FALSE),EffectName[],IFERROR(MATCH(UI!$B$1,EffectName[#Headers],0),2),FALSE),"")</f>
        <v/>
      </c>
    </row>
    <row r="1750" spans="8:29" x14ac:dyDescent="0.4">
      <c r="H1750" t="str">
        <f t="shared" si="174"/>
        <v/>
      </c>
      <c r="I1750">
        <v>0</v>
      </c>
      <c r="J1750" t="str">
        <f>_xlfn.IFNA(IF(I1750&lt;&gt;0,VLOOKUP(VLOOKUP(I1750,Tbl_Equip[],2,FALSE),Tbl_Color[],IFERROR(MATCH(UI!$B$1,Tbl_Color[#Headers],0),2),FALSE),""),"Unset")</f>
        <v/>
      </c>
      <c r="K1750" t="str">
        <f>_xlfn.IFNA(IF(I1750&lt;&gt;0,VLOOKUP(I1750,ItemText[],IFERROR(MATCH(UI!$B$1,ItemText[#Headers],0),2),FALSE),""),"Unset")</f>
        <v/>
      </c>
      <c r="M1750">
        <v>0</v>
      </c>
      <c r="P1750">
        <v>0</v>
      </c>
      <c r="S1750">
        <v>0</v>
      </c>
      <c r="T1750" t="str">
        <f>IF(VALUE(S1750)=0,"",VLOOKUP(VLOOKUP(S1750,Tbl_Effect[],3,FALSE),EffectName[],IFERROR(MATCH(UI!$B$1,EffectName[#Headers],0),2),FALSE))</f>
        <v/>
      </c>
      <c r="U1750" t="str">
        <f t="shared" si="175"/>
        <v/>
      </c>
      <c r="V1750">
        <v>0</v>
      </c>
      <c r="W1750" t="str">
        <f>IF(V1750&lt;&gt;0,VLOOKUP(VLOOKUP(V1750,Tbl_Effect[],3,FALSE),EffectName[],IFERROR(MATCH(UI!$B$1,EffectName[#Headers],0),2),FALSE),"")</f>
        <v/>
      </c>
      <c r="X1750" t="str">
        <f t="shared" si="176"/>
        <v/>
      </c>
      <c r="Y1750">
        <v>0</v>
      </c>
      <c r="Z1750" t="str">
        <f>IF(Y1750&lt;&gt;0,VLOOKUP(VLOOKUP(Y1750,Tbl_Effect[],3,FALSE),EffectName[],IFERROR(MATCH(UI!$B$1,EffectName[#Headers],0),2),FALSE),"")</f>
        <v/>
      </c>
      <c r="AA1750" t="str">
        <f t="shared" si="177"/>
        <v/>
      </c>
      <c r="AB1750">
        <v>0</v>
      </c>
      <c r="AC1750" t="str">
        <f>IF(AB1750&lt;&gt;0,VLOOKUP(VLOOKUP(AB1750,Tbl_Effect[],3,FALSE),EffectName[],IFERROR(MATCH(UI!$B$1,EffectName[#Headers],0),2),FALSE),"")</f>
        <v/>
      </c>
    </row>
    <row r="1751" spans="8:29" x14ac:dyDescent="0.4">
      <c r="H1751" t="str">
        <f t="shared" si="174"/>
        <v/>
      </c>
      <c r="I1751">
        <v>0</v>
      </c>
      <c r="J1751" t="str">
        <f>_xlfn.IFNA(IF(I1751&lt;&gt;0,VLOOKUP(VLOOKUP(I1751,Tbl_Equip[],2,FALSE),Tbl_Color[],IFERROR(MATCH(UI!$B$1,Tbl_Color[#Headers],0),2),FALSE),""),"Unset")</f>
        <v/>
      </c>
      <c r="K1751" t="str">
        <f>_xlfn.IFNA(IF(I1751&lt;&gt;0,VLOOKUP(I1751,ItemText[],IFERROR(MATCH(UI!$B$1,ItemText[#Headers],0),2),FALSE),""),"Unset")</f>
        <v/>
      </c>
      <c r="M1751">
        <v>0</v>
      </c>
      <c r="P1751">
        <v>0</v>
      </c>
      <c r="S1751">
        <v>0</v>
      </c>
      <c r="T1751" t="str">
        <f>IF(VALUE(S1751)=0,"",VLOOKUP(VLOOKUP(S1751,Tbl_Effect[],3,FALSE),EffectName[],IFERROR(MATCH(UI!$B$1,EffectName[#Headers],0),2),FALSE))</f>
        <v/>
      </c>
      <c r="U1751" t="str">
        <f t="shared" si="175"/>
        <v/>
      </c>
      <c r="V1751">
        <v>0</v>
      </c>
      <c r="W1751" t="str">
        <f>IF(V1751&lt;&gt;0,VLOOKUP(VLOOKUP(V1751,Tbl_Effect[],3,FALSE),EffectName[],IFERROR(MATCH(UI!$B$1,EffectName[#Headers],0),2),FALSE),"")</f>
        <v/>
      </c>
      <c r="X1751" t="str">
        <f t="shared" si="176"/>
        <v/>
      </c>
      <c r="Y1751">
        <v>0</v>
      </c>
      <c r="Z1751" t="str">
        <f>IF(Y1751&lt;&gt;0,VLOOKUP(VLOOKUP(Y1751,Tbl_Effect[],3,FALSE),EffectName[],IFERROR(MATCH(UI!$B$1,EffectName[#Headers],0),2),FALSE),"")</f>
        <v/>
      </c>
      <c r="AA1751" t="str">
        <f t="shared" si="177"/>
        <v/>
      </c>
      <c r="AB1751">
        <v>0</v>
      </c>
      <c r="AC1751" t="str">
        <f>IF(AB1751&lt;&gt;0,VLOOKUP(VLOOKUP(AB1751,Tbl_Effect[],3,FALSE),EffectName[],IFERROR(MATCH(UI!$B$1,EffectName[#Headers],0),2),FALSE),"")</f>
        <v/>
      </c>
    </row>
    <row r="1752" spans="8:29" x14ac:dyDescent="0.4">
      <c r="H1752" t="str">
        <f t="shared" si="174"/>
        <v/>
      </c>
      <c r="I1752">
        <v>0</v>
      </c>
      <c r="J1752" t="str">
        <f>_xlfn.IFNA(IF(I1752&lt;&gt;0,VLOOKUP(VLOOKUP(I1752,Tbl_Equip[],2,FALSE),Tbl_Color[],IFERROR(MATCH(UI!$B$1,Tbl_Color[#Headers],0),2),FALSE),""),"Unset")</f>
        <v/>
      </c>
      <c r="K1752" t="str">
        <f>_xlfn.IFNA(IF(I1752&lt;&gt;0,VLOOKUP(I1752,ItemText[],IFERROR(MATCH(UI!$B$1,ItemText[#Headers],0),2),FALSE),""),"Unset")</f>
        <v/>
      </c>
      <c r="M1752">
        <v>0</v>
      </c>
      <c r="P1752">
        <v>0</v>
      </c>
      <c r="S1752">
        <v>0</v>
      </c>
      <c r="T1752" t="str">
        <f>IF(VALUE(S1752)=0,"",VLOOKUP(VLOOKUP(S1752,Tbl_Effect[],3,FALSE),EffectName[],IFERROR(MATCH(UI!$B$1,EffectName[#Headers],0),2),FALSE))</f>
        <v/>
      </c>
      <c r="U1752" t="str">
        <f t="shared" si="175"/>
        <v/>
      </c>
      <c r="V1752">
        <v>0</v>
      </c>
      <c r="W1752" t="str">
        <f>IF(V1752&lt;&gt;0,VLOOKUP(VLOOKUP(V1752,Tbl_Effect[],3,FALSE),EffectName[],IFERROR(MATCH(UI!$B$1,EffectName[#Headers],0),2),FALSE),"")</f>
        <v/>
      </c>
      <c r="X1752" t="str">
        <f t="shared" si="176"/>
        <v/>
      </c>
      <c r="Y1752">
        <v>0</v>
      </c>
      <c r="Z1752" t="str">
        <f>IF(Y1752&lt;&gt;0,VLOOKUP(VLOOKUP(Y1752,Tbl_Effect[],3,FALSE),EffectName[],IFERROR(MATCH(UI!$B$1,EffectName[#Headers],0),2),FALSE),"")</f>
        <v/>
      </c>
      <c r="AA1752" t="str">
        <f t="shared" si="177"/>
        <v/>
      </c>
      <c r="AB1752">
        <v>0</v>
      </c>
      <c r="AC1752" t="str">
        <f>IF(AB1752&lt;&gt;0,VLOOKUP(VLOOKUP(AB1752,Tbl_Effect[],3,FALSE),EffectName[],IFERROR(MATCH(UI!$B$1,EffectName[#Headers],0),2),FALSE),"")</f>
        <v/>
      </c>
    </row>
    <row r="1753" spans="8:29" x14ac:dyDescent="0.4">
      <c r="H1753" t="str">
        <f t="shared" si="174"/>
        <v/>
      </c>
      <c r="I1753">
        <v>0</v>
      </c>
      <c r="J1753" t="str">
        <f>_xlfn.IFNA(IF(I1753&lt;&gt;0,VLOOKUP(VLOOKUP(I1753,Tbl_Equip[],2,FALSE),Tbl_Color[],IFERROR(MATCH(UI!$B$1,Tbl_Color[#Headers],0),2),FALSE),""),"Unset")</f>
        <v/>
      </c>
      <c r="K1753" t="str">
        <f>_xlfn.IFNA(IF(I1753&lt;&gt;0,VLOOKUP(I1753,ItemText[],IFERROR(MATCH(UI!$B$1,ItemText[#Headers],0),2),FALSE),""),"Unset")</f>
        <v/>
      </c>
      <c r="M1753">
        <v>0</v>
      </c>
      <c r="P1753">
        <v>0</v>
      </c>
      <c r="S1753">
        <v>0</v>
      </c>
      <c r="T1753" t="str">
        <f>IF(VALUE(S1753)=0,"",VLOOKUP(VLOOKUP(S1753,Tbl_Effect[],3,FALSE),EffectName[],IFERROR(MATCH(UI!$B$1,EffectName[#Headers],0),2),FALSE))</f>
        <v/>
      </c>
      <c r="U1753" t="str">
        <f t="shared" si="175"/>
        <v/>
      </c>
      <c r="V1753">
        <v>0</v>
      </c>
      <c r="W1753" t="str">
        <f>IF(V1753&lt;&gt;0,VLOOKUP(VLOOKUP(V1753,Tbl_Effect[],3,FALSE),EffectName[],IFERROR(MATCH(UI!$B$1,EffectName[#Headers],0),2),FALSE),"")</f>
        <v/>
      </c>
      <c r="X1753" t="str">
        <f t="shared" si="176"/>
        <v/>
      </c>
      <c r="Y1753">
        <v>0</v>
      </c>
      <c r="Z1753" t="str">
        <f>IF(Y1753&lt;&gt;0,VLOOKUP(VLOOKUP(Y1753,Tbl_Effect[],3,FALSE),EffectName[],IFERROR(MATCH(UI!$B$1,EffectName[#Headers],0),2),FALSE),"")</f>
        <v/>
      </c>
      <c r="AA1753" t="str">
        <f t="shared" si="177"/>
        <v/>
      </c>
      <c r="AB1753">
        <v>0</v>
      </c>
      <c r="AC1753" t="str">
        <f>IF(AB1753&lt;&gt;0,VLOOKUP(VLOOKUP(AB1753,Tbl_Effect[],3,FALSE),EffectName[],IFERROR(MATCH(UI!$B$1,EffectName[#Headers],0),2),FALSE),"")</f>
        <v/>
      </c>
    </row>
    <row r="1754" spans="8:29" x14ac:dyDescent="0.4">
      <c r="H1754" t="str">
        <f t="shared" si="174"/>
        <v/>
      </c>
      <c r="I1754">
        <v>0</v>
      </c>
      <c r="J1754" t="str">
        <f>_xlfn.IFNA(IF(I1754&lt;&gt;0,VLOOKUP(VLOOKUP(I1754,Tbl_Equip[],2,FALSE),Tbl_Color[],IFERROR(MATCH(UI!$B$1,Tbl_Color[#Headers],0),2),FALSE),""),"Unset")</f>
        <v/>
      </c>
      <c r="K1754" t="str">
        <f>_xlfn.IFNA(IF(I1754&lt;&gt;0,VLOOKUP(I1754,ItemText[],IFERROR(MATCH(UI!$B$1,ItemText[#Headers],0),2),FALSE),""),"Unset")</f>
        <v/>
      </c>
      <c r="M1754">
        <v>0</v>
      </c>
      <c r="P1754">
        <v>0</v>
      </c>
      <c r="S1754">
        <v>0</v>
      </c>
      <c r="T1754" t="str">
        <f>IF(VALUE(S1754)=0,"",VLOOKUP(VLOOKUP(S1754,Tbl_Effect[],3,FALSE),EffectName[],IFERROR(MATCH(UI!$B$1,EffectName[#Headers],0),2),FALSE))</f>
        <v/>
      </c>
      <c r="U1754" t="str">
        <f t="shared" si="175"/>
        <v/>
      </c>
      <c r="V1754">
        <v>0</v>
      </c>
      <c r="W1754" t="str">
        <f>IF(V1754&lt;&gt;0,VLOOKUP(VLOOKUP(V1754,Tbl_Effect[],3,FALSE),EffectName[],IFERROR(MATCH(UI!$B$1,EffectName[#Headers],0),2),FALSE),"")</f>
        <v/>
      </c>
      <c r="X1754" t="str">
        <f t="shared" si="176"/>
        <v/>
      </c>
      <c r="Y1754">
        <v>0</v>
      </c>
      <c r="Z1754" t="str">
        <f>IF(Y1754&lt;&gt;0,VLOOKUP(VLOOKUP(Y1754,Tbl_Effect[],3,FALSE),EffectName[],IFERROR(MATCH(UI!$B$1,EffectName[#Headers],0),2),FALSE),"")</f>
        <v/>
      </c>
      <c r="AA1754" t="str">
        <f t="shared" si="177"/>
        <v/>
      </c>
      <c r="AB1754">
        <v>0</v>
      </c>
      <c r="AC1754" t="str">
        <f>IF(AB1754&lt;&gt;0,VLOOKUP(VLOOKUP(AB1754,Tbl_Effect[],3,FALSE),EffectName[],IFERROR(MATCH(UI!$B$1,EffectName[#Headers],0),2),FALSE),"")</f>
        <v/>
      </c>
    </row>
    <row r="1755" spans="8:29" x14ac:dyDescent="0.4">
      <c r="H1755" t="str">
        <f t="shared" si="174"/>
        <v/>
      </c>
      <c r="I1755">
        <v>0</v>
      </c>
      <c r="J1755" t="str">
        <f>_xlfn.IFNA(IF(I1755&lt;&gt;0,VLOOKUP(VLOOKUP(I1755,Tbl_Equip[],2,FALSE),Tbl_Color[],IFERROR(MATCH(UI!$B$1,Tbl_Color[#Headers],0),2),FALSE),""),"Unset")</f>
        <v/>
      </c>
      <c r="K1755" t="str">
        <f>_xlfn.IFNA(IF(I1755&lt;&gt;0,VLOOKUP(I1755,ItemText[],IFERROR(MATCH(UI!$B$1,ItemText[#Headers],0),2),FALSE),""),"Unset")</f>
        <v/>
      </c>
      <c r="M1755">
        <v>0</v>
      </c>
      <c r="P1755">
        <v>0</v>
      </c>
      <c r="S1755">
        <v>0</v>
      </c>
      <c r="T1755" t="str">
        <f>IF(VALUE(S1755)=0,"",VLOOKUP(VLOOKUP(S1755,Tbl_Effect[],3,FALSE),EffectName[],IFERROR(MATCH(UI!$B$1,EffectName[#Headers],0),2),FALSE))</f>
        <v/>
      </c>
      <c r="U1755" t="str">
        <f t="shared" si="175"/>
        <v/>
      </c>
      <c r="V1755">
        <v>0</v>
      </c>
      <c r="W1755" t="str">
        <f>IF(V1755&lt;&gt;0,VLOOKUP(VLOOKUP(V1755,Tbl_Effect[],3,FALSE),EffectName[],IFERROR(MATCH(UI!$B$1,EffectName[#Headers],0),2),FALSE),"")</f>
        <v/>
      </c>
      <c r="X1755" t="str">
        <f t="shared" si="176"/>
        <v/>
      </c>
      <c r="Y1755">
        <v>0</v>
      </c>
      <c r="Z1755" t="str">
        <f>IF(Y1755&lt;&gt;0,VLOOKUP(VLOOKUP(Y1755,Tbl_Effect[],3,FALSE),EffectName[],IFERROR(MATCH(UI!$B$1,EffectName[#Headers],0),2),FALSE),"")</f>
        <v/>
      </c>
      <c r="AA1755" t="str">
        <f t="shared" si="177"/>
        <v/>
      </c>
      <c r="AB1755">
        <v>0</v>
      </c>
      <c r="AC1755" t="str">
        <f>IF(AB1755&lt;&gt;0,VLOOKUP(VLOOKUP(AB1755,Tbl_Effect[],3,FALSE),EffectName[],IFERROR(MATCH(UI!$B$1,EffectName[#Headers],0),2),FALSE),"")</f>
        <v/>
      </c>
    </row>
    <row r="1756" spans="8:29" x14ac:dyDescent="0.4">
      <c r="H1756" t="str">
        <f t="shared" si="174"/>
        <v/>
      </c>
      <c r="I1756">
        <v>0</v>
      </c>
      <c r="J1756" t="str">
        <f>_xlfn.IFNA(IF(I1756&lt;&gt;0,VLOOKUP(VLOOKUP(I1756,Tbl_Equip[],2,FALSE),Tbl_Color[],IFERROR(MATCH(UI!$B$1,Tbl_Color[#Headers],0),2),FALSE),""),"Unset")</f>
        <v/>
      </c>
      <c r="K1756" t="str">
        <f>_xlfn.IFNA(IF(I1756&lt;&gt;0,VLOOKUP(I1756,ItemText[],IFERROR(MATCH(UI!$B$1,ItemText[#Headers],0),2),FALSE),""),"Unset")</f>
        <v/>
      </c>
      <c r="M1756">
        <v>0</v>
      </c>
      <c r="P1756">
        <v>0</v>
      </c>
      <c r="S1756">
        <v>0</v>
      </c>
      <c r="T1756" t="str">
        <f>IF(VALUE(S1756)=0,"",VLOOKUP(VLOOKUP(S1756,Tbl_Effect[],3,FALSE),EffectName[],IFERROR(MATCH(UI!$B$1,EffectName[#Headers],0),2),FALSE))</f>
        <v/>
      </c>
      <c r="U1756" t="str">
        <f t="shared" si="175"/>
        <v/>
      </c>
      <c r="V1756">
        <v>0</v>
      </c>
      <c r="W1756" t="str">
        <f>IF(V1756&lt;&gt;0,VLOOKUP(VLOOKUP(V1756,Tbl_Effect[],3,FALSE),EffectName[],IFERROR(MATCH(UI!$B$1,EffectName[#Headers],0),2),FALSE),"")</f>
        <v/>
      </c>
      <c r="X1756" t="str">
        <f t="shared" si="176"/>
        <v/>
      </c>
      <c r="Y1756">
        <v>0</v>
      </c>
      <c r="Z1756" t="str">
        <f>IF(Y1756&lt;&gt;0,VLOOKUP(VLOOKUP(Y1756,Tbl_Effect[],3,FALSE),EffectName[],IFERROR(MATCH(UI!$B$1,EffectName[#Headers],0),2),FALSE),"")</f>
        <v/>
      </c>
      <c r="AA1756" t="str">
        <f t="shared" si="177"/>
        <v/>
      </c>
      <c r="AB1756">
        <v>0</v>
      </c>
      <c r="AC1756" t="str">
        <f>IF(AB1756&lt;&gt;0,VLOOKUP(VLOOKUP(AB1756,Tbl_Effect[],3,FALSE),EffectName[],IFERROR(MATCH(UI!$B$1,EffectName[#Headers],0),2),FALSE),"")</f>
        <v/>
      </c>
    </row>
    <row r="1757" spans="8:29" x14ac:dyDescent="0.4">
      <c r="H1757" t="str">
        <f t="shared" si="174"/>
        <v/>
      </c>
      <c r="I1757">
        <v>0</v>
      </c>
      <c r="J1757" t="str">
        <f>_xlfn.IFNA(IF(I1757&lt;&gt;0,VLOOKUP(VLOOKUP(I1757,Tbl_Equip[],2,FALSE),Tbl_Color[],IFERROR(MATCH(UI!$B$1,Tbl_Color[#Headers],0),2),FALSE),""),"Unset")</f>
        <v/>
      </c>
      <c r="K1757" t="str">
        <f>_xlfn.IFNA(IF(I1757&lt;&gt;0,VLOOKUP(I1757,ItemText[],IFERROR(MATCH(UI!$B$1,ItemText[#Headers],0),2),FALSE),""),"Unset")</f>
        <v/>
      </c>
      <c r="M1757">
        <v>0</v>
      </c>
      <c r="P1757">
        <v>0</v>
      </c>
      <c r="S1757">
        <v>0</v>
      </c>
      <c r="T1757" t="str">
        <f>IF(VALUE(S1757)=0,"",VLOOKUP(VLOOKUP(S1757,Tbl_Effect[],3,FALSE),EffectName[],IFERROR(MATCH(UI!$B$1,EffectName[#Headers],0),2),FALSE))</f>
        <v/>
      </c>
      <c r="U1757" t="str">
        <f t="shared" si="175"/>
        <v/>
      </c>
      <c r="V1757">
        <v>0</v>
      </c>
      <c r="W1757" t="str">
        <f>IF(V1757&lt;&gt;0,VLOOKUP(VLOOKUP(V1757,Tbl_Effect[],3,FALSE),EffectName[],IFERROR(MATCH(UI!$B$1,EffectName[#Headers],0),2),FALSE),"")</f>
        <v/>
      </c>
      <c r="X1757" t="str">
        <f t="shared" si="176"/>
        <v/>
      </c>
      <c r="Y1757">
        <v>0</v>
      </c>
      <c r="Z1757" t="str">
        <f>IF(Y1757&lt;&gt;0,VLOOKUP(VLOOKUP(Y1757,Tbl_Effect[],3,FALSE),EffectName[],IFERROR(MATCH(UI!$B$1,EffectName[#Headers],0),2),FALSE),"")</f>
        <v/>
      </c>
      <c r="AA1757" t="str">
        <f t="shared" si="177"/>
        <v/>
      </c>
      <c r="AB1757">
        <v>0</v>
      </c>
      <c r="AC1757" t="str">
        <f>IF(AB1757&lt;&gt;0,VLOOKUP(VLOOKUP(AB1757,Tbl_Effect[],3,FALSE),EffectName[],IFERROR(MATCH(UI!$B$1,EffectName[#Headers],0),2),FALSE),"")</f>
        <v/>
      </c>
    </row>
    <row r="1758" spans="8:29" x14ac:dyDescent="0.4">
      <c r="H1758" t="str">
        <f t="shared" si="174"/>
        <v/>
      </c>
      <c r="I1758">
        <v>0</v>
      </c>
      <c r="J1758" t="str">
        <f>_xlfn.IFNA(IF(I1758&lt;&gt;0,VLOOKUP(VLOOKUP(I1758,Tbl_Equip[],2,FALSE),Tbl_Color[],IFERROR(MATCH(UI!$B$1,Tbl_Color[#Headers],0),2),FALSE),""),"Unset")</f>
        <v/>
      </c>
      <c r="K1758" t="str">
        <f>_xlfn.IFNA(IF(I1758&lt;&gt;0,VLOOKUP(I1758,ItemText[],IFERROR(MATCH(UI!$B$1,ItemText[#Headers],0),2),FALSE),""),"Unset")</f>
        <v/>
      </c>
      <c r="M1758">
        <v>0</v>
      </c>
      <c r="P1758">
        <v>0</v>
      </c>
      <c r="S1758">
        <v>0</v>
      </c>
      <c r="T1758" t="str">
        <f>IF(VALUE(S1758)=0,"",VLOOKUP(VLOOKUP(S1758,Tbl_Effect[],3,FALSE),EffectName[],IFERROR(MATCH(UI!$B$1,EffectName[#Headers],0),2),FALSE))</f>
        <v/>
      </c>
      <c r="U1758" t="str">
        <f t="shared" si="175"/>
        <v/>
      </c>
      <c r="V1758">
        <v>0</v>
      </c>
      <c r="W1758" t="str">
        <f>IF(V1758&lt;&gt;0,VLOOKUP(VLOOKUP(V1758,Tbl_Effect[],3,FALSE),EffectName[],IFERROR(MATCH(UI!$B$1,EffectName[#Headers],0),2),FALSE),"")</f>
        <v/>
      </c>
      <c r="X1758" t="str">
        <f t="shared" si="176"/>
        <v/>
      </c>
      <c r="Y1758">
        <v>0</v>
      </c>
      <c r="Z1758" t="str">
        <f>IF(Y1758&lt;&gt;0,VLOOKUP(VLOOKUP(Y1758,Tbl_Effect[],3,FALSE),EffectName[],IFERROR(MATCH(UI!$B$1,EffectName[#Headers],0),2),FALSE),"")</f>
        <v/>
      </c>
      <c r="AA1758" t="str">
        <f t="shared" si="177"/>
        <v/>
      </c>
      <c r="AB1758">
        <v>0</v>
      </c>
      <c r="AC1758" t="str">
        <f>IF(AB1758&lt;&gt;0,VLOOKUP(VLOOKUP(AB1758,Tbl_Effect[],3,FALSE),EffectName[],IFERROR(MATCH(UI!$B$1,EffectName[#Headers],0),2),FALSE),"")</f>
        <v/>
      </c>
    </row>
    <row r="1759" spans="8:29" x14ac:dyDescent="0.4">
      <c r="H1759" t="str">
        <f t="shared" si="174"/>
        <v/>
      </c>
      <c r="I1759">
        <v>0</v>
      </c>
      <c r="J1759" t="str">
        <f>_xlfn.IFNA(IF(I1759&lt;&gt;0,VLOOKUP(VLOOKUP(I1759,Tbl_Equip[],2,FALSE),Tbl_Color[],IFERROR(MATCH(UI!$B$1,Tbl_Color[#Headers],0),2),FALSE),""),"Unset")</f>
        <v/>
      </c>
      <c r="K1759" t="str">
        <f>_xlfn.IFNA(IF(I1759&lt;&gt;0,VLOOKUP(I1759,ItemText[],IFERROR(MATCH(UI!$B$1,ItemText[#Headers],0),2),FALSE),""),"Unset")</f>
        <v/>
      </c>
      <c r="M1759">
        <v>0</v>
      </c>
      <c r="P1759">
        <v>0</v>
      </c>
      <c r="S1759">
        <v>0</v>
      </c>
      <c r="T1759" t="str">
        <f>IF(VALUE(S1759)=0,"",VLOOKUP(VLOOKUP(S1759,Tbl_Effect[],3,FALSE),EffectName[],IFERROR(MATCH(UI!$B$1,EffectName[#Headers],0),2),FALSE))</f>
        <v/>
      </c>
      <c r="U1759" t="str">
        <f t="shared" si="175"/>
        <v/>
      </c>
      <c r="V1759">
        <v>0</v>
      </c>
      <c r="W1759" t="str">
        <f>IF(V1759&lt;&gt;0,VLOOKUP(VLOOKUP(V1759,Tbl_Effect[],3,FALSE),EffectName[],IFERROR(MATCH(UI!$B$1,EffectName[#Headers],0),2),FALSE),"")</f>
        <v/>
      </c>
      <c r="X1759" t="str">
        <f t="shared" si="176"/>
        <v/>
      </c>
      <c r="Y1759">
        <v>0</v>
      </c>
      <c r="Z1759" t="str">
        <f>IF(Y1759&lt;&gt;0,VLOOKUP(VLOOKUP(Y1759,Tbl_Effect[],3,FALSE),EffectName[],IFERROR(MATCH(UI!$B$1,EffectName[#Headers],0),2),FALSE),"")</f>
        <v/>
      </c>
      <c r="AA1759" t="str">
        <f t="shared" si="177"/>
        <v/>
      </c>
      <c r="AB1759">
        <v>0</v>
      </c>
      <c r="AC1759" t="str">
        <f>IF(AB1759&lt;&gt;0,VLOOKUP(VLOOKUP(AB1759,Tbl_Effect[],3,FALSE),EffectName[],IFERROR(MATCH(UI!$B$1,EffectName[#Headers],0),2),FALSE),"")</f>
        <v/>
      </c>
    </row>
    <row r="1760" spans="8:29" x14ac:dyDescent="0.4">
      <c r="H1760" t="str">
        <f t="shared" si="174"/>
        <v/>
      </c>
      <c r="I1760">
        <v>0</v>
      </c>
      <c r="J1760" t="str">
        <f>_xlfn.IFNA(IF(I1760&lt;&gt;0,VLOOKUP(VLOOKUP(I1760,Tbl_Equip[],2,FALSE),Tbl_Color[],IFERROR(MATCH(UI!$B$1,Tbl_Color[#Headers],0),2),FALSE),""),"Unset")</f>
        <v/>
      </c>
      <c r="K1760" t="str">
        <f>_xlfn.IFNA(IF(I1760&lt;&gt;0,VLOOKUP(I1760,ItemText[],IFERROR(MATCH(UI!$B$1,ItemText[#Headers],0),2),FALSE),""),"Unset")</f>
        <v/>
      </c>
      <c r="M1760">
        <v>0</v>
      </c>
      <c r="P1760">
        <v>0</v>
      </c>
      <c r="S1760">
        <v>0</v>
      </c>
      <c r="T1760" t="str">
        <f>IF(VALUE(S1760)=0,"",VLOOKUP(VLOOKUP(S1760,Tbl_Effect[],3,FALSE),EffectName[],IFERROR(MATCH(UI!$B$1,EffectName[#Headers],0),2),FALSE))</f>
        <v/>
      </c>
      <c r="U1760" t="str">
        <f t="shared" si="175"/>
        <v/>
      </c>
      <c r="V1760">
        <v>0</v>
      </c>
      <c r="W1760" t="str">
        <f>IF(V1760&lt;&gt;0,VLOOKUP(VLOOKUP(V1760,Tbl_Effect[],3,FALSE),EffectName[],IFERROR(MATCH(UI!$B$1,EffectName[#Headers],0),2),FALSE),"")</f>
        <v/>
      </c>
      <c r="X1760" t="str">
        <f t="shared" si="176"/>
        <v/>
      </c>
      <c r="Y1760">
        <v>0</v>
      </c>
      <c r="Z1760" t="str">
        <f>IF(Y1760&lt;&gt;0,VLOOKUP(VLOOKUP(Y1760,Tbl_Effect[],3,FALSE),EffectName[],IFERROR(MATCH(UI!$B$1,EffectName[#Headers],0),2),FALSE),"")</f>
        <v/>
      </c>
      <c r="AA1760" t="str">
        <f t="shared" si="177"/>
        <v/>
      </c>
      <c r="AB1760">
        <v>0</v>
      </c>
      <c r="AC1760" t="str">
        <f>IF(AB1760&lt;&gt;0,VLOOKUP(VLOOKUP(AB1760,Tbl_Effect[],3,FALSE),EffectName[],IFERROR(MATCH(UI!$B$1,EffectName[#Headers],0),2),FALSE),"")</f>
        <v/>
      </c>
    </row>
    <row r="1761" spans="8:29" x14ac:dyDescent="0.4">
      <c r="H1761" t="str">
        <f t="shared" si="174"/>
        <v/>
      </c>
      <c r="I1761">
        <v>0</v>
      </c>
      <c r="J1761" t="str">
        <f>_xlfn.IFNA(IF(I1761&lt;&gt;0,VLOOKUP(VLOOKUP(I1761,Tbl_Equip[],2,FALSE),Tbl_Color[],IFERROR(MATCH(UI!$B$1,Tbl_Color[#Headers],0),2),FALSE),""),"Unset")</f>
        <v/>
      </c>
      <c r="K1761" t="str">
        <f>_xlfn.IFNA(IF(I1761&lt;&gt;0,VLOOKUP(I1761,ItemText[],IFERROR(MATCH(UI!$B$1,ItemText[#Headers],0),2),FALSE),""),"Unset")</f>
        <v/>
      </c>
      <c r="M1761">
        <v>0</v>
      </c>
      <c r="P1761">
        <v>0</v>
      </c>
      <c r="S1761">
        <v>0</v>
      </c>
      <c r="T1761" t="str">
        <f>IF(VALUE(S1761)=0,"",VLOOKUP(VLOOKUP(S1761,Tbl_Effect[],3,FALSE),EffectName[],IFERROR(MATCH(UI!$B$1,EffectName[#Headers],0),2),FALSE))</f>
        <v/>
      </c>
      <c r="U1761" t="str">
        <f t="shared" si="175"/>
        <v/>
      </c>
      <c r="V1761">
        <v>0</v>
      </c>
      <c r="W1761" t="str">
        <f>IF(V1761&lt;&gt;0,VLOOKUP(VLOOKUP(V1761,Tbl_Effect[],3,FALSE),EffectName[],IFERROR(MATCH(UI!$B$1,EffectName[#Headers],0),2),FALSE),"")</f>
        <v/>
      </c>
      <c r="X1761" t="str">
        <f t="shared" si="176"/>
        <v/>
      </c>
      <c r="Y1761">
        <v>0</v>
      </c>
      <c r="Z1761" t="str">
        <f>IF(Y1761&lt;&gt;0,VLOOKUP(VLOOKUP(Y1761,Tbl_Effect[],3,FALSE),EffectName[],IFERROR(MATCH(UI!$B$1,EffectName[#Headers],0),2),FALSE),"")</f>
        <v/>
      </c>
      <c r="AA1761" t="str">
        <f t="shared" si="177"/>
        <v/>
      </c>
      <c r="AB1761">
        <v>0</v>
      </c>
      <c r="AC1761" t="str">
        <f>IF(AB1761&lt;&gt;0,VLOOKUP(VLOOKUP(AB1761,Tbl_Effect[],3,FALSE),EffectName[],IFERROR(MATCH(UI!$B$1,EffectName[#Headers],0),2),FALSE),"")</f>
        <v/>
      </c>
    </row>
    <row r="1762" spans="8:29" x14ac:dyDescent="0.4">
      <c r="H1762" t="str">
        <f t="shared" si="174"/>
        <v/>
      </c>
      <c r="I1762">
        <v>0</v>
      </c>
      <c r="J1762" t="str">
        <f>_xlfn.IFNA(IF(I1762&lt;&gt;0,VLOOKUP(VLOOKUP(I1762,Tbl_Equip[],2,FALSE),Tbl_Color[],IFERROR(MATCH(UI!$B$1,Tbl_Color[#Headers],0),2),FALSE),""),"Unset")</f>
        <v/>
      </c>
      <c r="K1762" t="str">
        <f>_xlfn.IFNA(IF(I1762&lt;&gt;0,VLOOKUP(I1762,ItemText[],IFERROR(MATCH(UI!$B$1,ItemText[#Headers],0),2),FALSE),""),"Unset")</f>
        <v/>
      </c>
      <c r="M1762">
        <v>0</v>
      </c>
      <c r="P1762">
        <v>0</v>
      </c>
      <c r="S1762">
        <v>0</v>
      </c>
      <c r="T1762" t="str">
        <f>IF(VALUE(S1762)=0,"",VLOOKUP(VLOOKUP(S1762,Tbl_Effect[],3,FALSE),EffectName[],IFERROR(MATCH(UI!$B$1,EffectName[#Headers],0),2),FALSE))</f>
        <v/>
      </c>
      <c r="U1762" t="str">
        <f t="shared" si="175"/>
        <v/>
      </c>
      <c r="V1762">
        <v>0</v>
      </c>
      <c r="W1762" t="str">
        <f>IF(V1762&lt;&gt;0,VLOOKUP(VLOOKUP(V1762,Tbl_Effect[],3,FALSE),EffectName[],IFERROR(MATCH(UI!$B$1,EffectName[#Headers],0),2),FALSE),"")</f>
        <v/>
      </c>
      <c r="X1762" t="str">
        <f t="shared" si="176"/>
        <v/>
      </c>
      <c r="Y1762">
        <v>0</v>
      </c>
      <c r="Z1762" t="str">
        <f>IF(Y1762&lt;&gt;0,VLOOKUP(VLOOKUP(Y1762,Tbl_Effect[],3,FALSE),EffectName[],IFERROR(MATCH(UI!$B$1,EffectName[#Headers],0),2),FALSE),"")</f>
        <v/>
      </c>
      <c r="AA1762" t="str">
        <f t="shared" si="177"/>
        <v/>
      </c>
      <c r="AB1762">
        <v>0</v>
      </c>
      <c r="AC1762" t="str">
        <f>IF(AB1762&lt;&gt;0,VLOOKUP(VLOOKUP(AB1762,Tbl_Effect[],3,FALSE),EffectName[],IFERROR(MATCH(UI!$B$1,EffectName[#Headers],0),2),FALSE),"")</f>
        <v/>
      </c>
    </row>
    <row r="1763" spans="8:29" x14ac:dyDescent="0.4">
      <c r="H1763" t="str">
        <f t="shared" si="174"/>
        <v/>
      </c>
      <c r="I1763">
        <v>0</v>
      </c>
      <c r="J1763" t="str">
        <f>_xlfn.IFNA(IF(I1763&lt;&gt;0,VLOOKUP(VLOOKUP(I1763,Tbl_Equip[],2,FALSE),Tbl_Color[],IFERROR(MATCH(UI!$B$1,Tbl_Color[#Headers],0),2),FALSE),""),"Unset")</f>
        <v/>
      </c>
      <c r="K1763" t="str">
        <f>_xlfn.IFNA(IF(I1763&lt;&gt;0,VLOOKUP(I1763,ItemText[],IFERROR(MATCH(UI!$B$1,ItemText[#Headers],0),2),FALSE),""),"Unset")</f>
        <v/>
      </c>
      <c r="M1763">
        <v>0</v>
      </c>
      <c r="P1763">
        <v>0</v>
      </c>
      <c r="S1763">
        <v>0</v>
      </c>
      <c r="T1763" t="str">
        <f>IF(VALUE(S1763)=0,"",VLOOKUP(VLOOKUP(S1763,Tbl_Effect[],3,FALSE),EffectName[],IFERROR(MATCH(UI!$B$1,EffectName[#Headers],0),2),FALSE))</f>
        <v/>
      </c>
      <c r="U1763" t="str">
        <f t="shared" si="175"/>
        <v/>
      </c>
      <c r="V1763">
        <v>0</v>
      </c>
      <c r="W1763" t="str">
        <f>IF(V1763&lt;&gt;0,VLOOKUP(VLOOKUP(V1763,Tbl_Effect[],3,FALSE),EffectName[],IFERROR(MATCH(UI!$B$1,EffectName[#Headers],0),2),FALSE),"")</f>
        <v/>
      </c>
      <c r="X1763" t="str">
        <f t="shared" si="176"/>
        <v/>
      </c>
      <c r="Y1763">
        <v>0</v>
      </c>
      <c r="Z1763" t="str">
        <f>IF(Y1763&lt;&gt;0,VLOOKUP(VLOOKUP(Y1763,Tbl_Effect[],3,FALSE),EffectName[],IFERROR(MATCH(UI!$B$1,EffectName[#Headers],0),2),FALSE),"")</f>
        <v/>
      </c>
      <c r="AA1763" t="str">
        <f t="shared" si="177"/>
        <v/>
      </c>
      <c r="AB1763">
        <v>0</v>
      </c>
      <c r="AC1763" t="str">
        <f>IF(AB1763&lt;&gt;0,VLOOKUP(VLOOKUP(AB1763,Tbl_Effect[],3,FALSE),EffectName[],IFERROR(MATCH(UI!$B$1,EffectName[#Headers],0),2),FALSE),"")</f>
        <v/>
      </c>
    </row>
    <row r="1764" spans="8:29" x14ac:dyDescent="0.4">
      <c r="H1764" t="str">
        <f t="shared" si="174"/>
        <v/>
      </c>
      <c r="I1764">
        <v>0</v>
      </c>
      <c r="J1764" t="str">
        <f>_xlfn.IFNA(IF(I1764&lt;&gt;0,VLOOKUP(VLOOKUP(I1764,Tbl_Equip[],2,FALSE),Tbl_Color[],IFERROR(MATCH(UI!$B$1,Tbl_Color[#Headers],0),2),FALSE),""),"Unset")</f>
        <v/>
      </c>
      <c r="K1764" t="str">
        <f>_xlfn.IFNA(IF(I1764&lt;&gt;0,VLOOKUP(I1764,ItemText[],IFERROR(MATCH(UI!$B$1,ItemText[#Headers],0),2),FALSE),""),"Unset")</f>
        <v/>
      </c>
      <c r="M1764">
        <v>0</v>
      </c>
      <c r="P1764">
        <v>0</v>
      </c>
      <c r="S1764">
        <v>0</v>
      </c>
      <c r="T1764" t="str">
        <f>IF(VALUE(S1764)=0,"",VLOOKUP(VLOOKUP(S1764,Tbl_Effect[],3,FALSE),EffectName[],IFERROR(MATCH(UI!$B$1,EffectName[#Headers],0),2),FALSE))</f>
        <v/>
      </c>
      <c r="U1764" t="str">
        <f t="shared" si="175"/>
        <v/>
      </c>
      <c r="V1764">
        <v>0</v>
      </c>
      <c r="W1764" t="str">
        <f>IF(V1764&lt;&gt;0,VLOOKUP(VLOOKUP(V1764,Tbl_Effect[],3,FALSE),EffectName[],IFERROR(MATCH(UI!$B$1,EffectName[#Headers],0),2),FALSE),"")</f>
        <v/>
      </c>
      <c r="X1764" t="str">
        <f t="shared" si="176"/>
        <v/>
      </c>
      <c r="Y1764">
        <v>0</v>
      </c>
      <c r="Z1764" t="str">
        <f>IF(Y1764&lt;&gt;0,VLOOKUP(VLOOKUP(Y1764,Tbl_Effect[],3,FALSE),EffectName[],IFERROR(MATCH(UI!$B$1,EffectName[#Headers],0),2),FALSE),"")</f>
        <v/>
      </c>
      <c r="AA1764" t="str">
        <f t="shared" si="177"/>
        <v/>
      </c>
      <c r="AB1764">
        <v>0</v>
      </c>
      <c r="AC1764" t="str">
        <f>IF(AB1764&lt;&gt;0,VLOOKUP(VLOOKUP(AB1764,Tbl_Effect[],3,FALSE),EffectName[],IFERROR(MATCH(UI!$B$1,EffectName[#Headers],0),2),FALSE),"")</f>
        <v/>
      </c>
    </row>
    <row r="1765" spans="8:29" x14ac:dyDescent="0.4">
      <c r="H1765" t="str">
        <f t="shared" si="174"/>
        <v/>
      </c>
      <c r="I1765">
        <v>0</v>
      </c>
      <c r="J1765" t="str">
        <f>_xlfn.IFNA(IF(I1765&lt;&gt;0,VLOOKUP(VLOOKUP(I1765,Tbl_Equip[],2,FALSE),Tbl_Color[],IFERROR(MATCH(UI!$B$1,Tbl_Color[#Headers],0),2),FALSE),""),"Unset")</f>
        <v/>
      </c>
      <c r="K1765" t="str">
        <f>_xlfn.IFNA(IF(I1765&lt;&gt;0,VLOOKUP(I1765,ItemText[],IFERROR(MATCH(UI!$B$1,ItemText[#Headers],0),2),FALSE),""),"Unset")</f>
        <v/>
      </c>
      <c r="M1765">
        <v>0</v>
      </c>
      <c r="P1765">
        <v>0</v>
      </c>
      <c r="S1765">
        <v>0</v>
      </c>
      <c r="T1765" t="str">
        <f>IF(VALUE(S1765)=0,"",VLOOKUP(VLOOKUP(S1765,Tbl_Effect[],3,FALSE),EffectName[],IFERROR(MATCH(UI!$B$1,EffectName[#Headers],0),2),FALSE))</f>
        <v/>
      </c>
      <c r="U1765" t="str">
        <f t="shared" si="175"/>
        <v/>
      </c>
      <c r="V1765">
        <v>0</v>
      </c>
      <c r="W1765" t="str">
        <f>IF(V1765&lt;&gt;0,VLOOKUP(VLOOKUP(V1765,Tbl_Effect[],3,FALSE),EffectName[],IFERROR(MATCH(UI!$B$1,EffectName[#Headers],0),2),FALSE),"")</f>
        <v/>
      </c>
      <c r="X1765" t="str">
        <f t="shared" si="176"/>
        <v/>
      </c>
      <c r="Y1765">
        <v>0</v>
      </c>
      <c r="Z1765" t="str">
        <f>IF(Y1765&lt;&gt;0,VLOOKUP(VLOOKUP(Y1765,Tbl_Effect[],3,FALSE),EffectName[],IFERROR(MATCH(UI!$B$1,EffectName[#Headers],0),2),FALSE),"")</f>
        <v/>
      </c>
      <c r="AA1765" t="str">
        <f t="shared" si="177"/>
        <v/>
      </c>
      <c r="AB1765">
        <v>0</v>
      </c>
      <c r="AC1765" t="str">
        <f>IF(AB1765&lt;&gt;0,VLOOKUP(VLOOKUP(AB1765,Tbl_Effect[],3,FALSE),EffectName[],IFERROR(MATCH(UI!$B$1,EffectName[#Headers],0),2),FALSE),"")</f>
        <v/>
      </c>
    </row>
    <row r="1766" spans="8:29" x14ac:dyDescent="0.4">
      <c r="H1766" t="str">
        <f t="shared" si="174"/>
        <v/>
      </c>
      <c r="I1766">
        <v>0</v>
      </c>
      <c r="J1766" t="str">
        <f>_xlfn.IFNA(IF(I1766&lt;&gt;0,VLOOKUP(VLOOKUP(I1766,Tbl_Equip[],2,FALSE),Tbl_Color[],IFERROR(MATCH(UI!$B$1,Tbl_Color[#Headers],0),2),FALSE),""),"Unset")</f>
        <v/>
      </c>
      <c r="K1766" t="str">
        <f>_xlfn.IFNA(IF(I1766&lt;&gt;0,VLOOKUP(I1766,ItemText[],IFERROR(MATCH(UI!$B$1,ItemText[#Headers],0),2),FALSE),""),"Unset")</f>
        <v/>
      </c>
      <c r="M1766">
        <v>0</v>
      </c>
      <c r="P1766">
        <v>0</v>
      </c>
      <c r="S1766">
        <v>0</v>
      </c>
      <c r="T1766" t="str">
        <f>IF(VALUE(S1766)=0,"",VLOOKUP(VLOOKUP(S1766,Tbl_Effect[],3,FALSE),EffectName[],IFERROR(MATCH(UI!$B$1,EffectName[#Headers],0),2),FALSE))</f>
        <v/>
      </c>
      <c r="U1766" t="str">
        <f t="shared" si="175"/>
        <v/>
      </c>
      <c r="V1766">
        <v>0</v>
      </c>
      <c r="W1766" t="str">
        <f>IF(V1766&lt;&gt;0,VLOOKUP(VLOOKUP(V1766,Tbl_Effect[],3,FALSE),EffectName[],IFERROR(MATCH(UI!$B$1,EffectName[#Headers],0),2),FALSE),"")</f>
        <v/>
      </c>
      <c r="X1766" t="str">
        <f t="shared" si="176"/>
        <v/>
      </c>
      <c r="Y1766">
        <v>0</v>
      </c>
      <c r="Z1766" t="str">
        <f>IF(Y1766&lt;&gt;0,VLOOKUP(VLOOKUP(Y1766,Tbl_Effect[],3,FALSE),EffectName[],IFERROR(MATCH(UI!$B$1,EffectName[#Headers],0),2),FALSE),"")</f>
        <v/>
      </c>
      <c r="AA1766" t="str">
        <f t="shared" si="177"/>
        <v/>
      </c>
      <c r="AB1766">
        <v>0</v>
      </c>
      <c r="AC1766" t="str">
        <f>IF(AB1766&lt;&gt;0,VLOOKUP(VLOOKUP(AB1766,Tbl_Effect[],3,FALSE),EffectName[],IFERROR(MATCH(UI!$B$1,EffectName[#Headers],0),2),FALSE),"")</f>
        <v/>
      </c>
    </row>
    <row r="1767" spans="8:29" x14ac:dyDescent="0.4">
      <c r="H1767" t="str">
        <f t="shared" si="174"/>
        <v/>
      </c>
      <c r="I1767">
        <v>0</v>
      </c>
      <c r="J1767" t="str">
        <f>_xlfn.IFNA(IF(I1767&lt;&gt;0,VLOOKUP(VLOOKUP(I1767,Tbl_Equip[],2,FALSE),Tbl_Color[],IFERROR(MATCH(UI!$B$1,Tbl_Color[#Headers],0),2),FALSE),""),"Unset")</f>
        <v/>
      </c>
      <c r="K1767" t="str">
        <f>_xlfn.IFNA(IF(I1767&lt;&gt;0,VLOOKUP(I1767,ItemText[],IFERROR(MATCH(UI!$B$1,ItemText[#Headers],0),2),FALSE),""),"Unset")</f>
        <v/>
      </c>
      <c r="M1767">
        <v>0</v>
      </c>
      <c r="P1767">
        <v>0</v>
      </c>
      <c r="S1767">
        <v>0</v>
      </c>
      <c r="T1767" t="str">
        <f>IF(VALUE(S1767)=0,"",VLOOKUP(VLOOKUP(S1767,Tbl_Effect[],3,FALSE),EffectName[],IFERROR(MATCH(UI!$B$1,EffectName[#Headers],0),2),FALSE))</f>
        <v/>
      </c>
      <c r="U1767" t="str">
        <f t="shared" si="175"/>
        <v/>
      </c>
      <c r="V1767">
        <v>0</v>
      </c>
      <c r="W1767" t="str">
        <f>IF(V1767&lt;&gt;0,VLOOKUP(VLOOKUP(V1767,Tbl_Effect[],3,FALSE),EffectName[],IFERROR(MATCH(UI!$B$1,EffectName[#Headers],0),2),FALSE),"")</f>
        <v/>
      </c>
      <c r="X1767" t="str">
        <f t="shared" si="176"/>
        <v/>
      </c>
      <c r="Y1767">
        <v>0</v>
      </c>
      <c r="Z1767" t="str">
        <f>IF(Y1767&lt;&gt;0,VLOOKUP(VLOOKUP(Y1767,Tbl_Effect[],3,FALSE),EffectName[],IFERROR(MATCH(UI!$B$1,EffectName[#Headers],0),2),FALSE),"")</f>
        <v/>
      </c>
      <c r="AA1767" t="str">
        <f t="shared" si="177"/>
        <v/>
      </c>
      <c r="AB1767">
        <v>0</v>
      </c>
      <c r="AC1767" t="str">
        <f>IF(AB1767&lt;&gt;0,VLOOKUP(VLOOKUP(AB1767,Tbl_Effect[],3,FALSE),EffectName[],IFERROR(MATCH(UI!$B$1,EffectName[#Headers],0),2),FALSE),"")</f>
        <v/>
      </c>
    </row>
    <row r="1768" spans="8:29" x14ac:dyDescent="0.4">
      <c r="H1768" t="str">
        <f t="shared" si="174"/>
        <v/>
      </c>
      <c r="I1768">
        <v>0</v>
      </c>
      <c r="J1768" t="str">
        <f>_xlfn.IFNA(IF(I1768&lt;&gt;0,VLOOKUP(VLOOKUP(I1768,Tbl_Equip[],2,FALSE),Tbl_Color[],IFERROR(MATCH(UI!$B$1,Tbl_Color[#Headers],0),2),FALSE),""),"Unset")</f>
        <v/>
      </c>
      <c r="K1768" t="str">
        <f>_xlfn.IFNA(IF(I1768&lt;&gt;0,VLOOKUP(I1768,ItemText[],IFERROR(MATCH(UI!$B$1,ItemText[#Headers],0),2),FALSE),""),"Unset")</f>
        <v/>
      </c>
      <c r="M1768">
        <v>0</v>
      </c>
      <c r="P1768">
        <v>0</v>
      </c>
      <c r="S1768">
        <v>0</v>
      </c>
      <c r="T1768" t="str">
        <f>IF(VALUE(S1768)=0,"",VLOOKUP(VLOOKUP(S1768,Tbl_Effect[],3,FALSE),EffectName[],IFERROR(MATCH(UI!$B$1,EffectName[#Headers],0),2),FALSE))</f>
        <v/>
      </c>
      <c r="U1768" t="str">
        <f t="shared" si="175"/>
        <v/>
      </c>
      <c r="V1768">
        <v>0</v>
      </c>
      <c r="W1768" t="str">
        <f>IF(V1768&lt;&gt;0,VLOOKUP(VLOOKUP(V1768,Tbl_Effect[],3,FALSE),EffectName[],IFERROR(MATCH(UI!$B$1,EffectName[#Headers],0),2),FALSE),"")</f>
        <v/>
      </c>
      <c r="X1768" t="str">
        <f t="shared" si="176"/>
        <v/>
      </c>
      <c r="Y1768">
        <v>0</v>
      </c>
      <c r="Z1768" t="str">
        <f>IF(Y1768&lt;&gt;0,VLOOKUP(VLOOKUP(Y1768,Tbl_Effect[],3,FALSE),EffectName[],IFERROR(MATCH(UI!$B$1,EffectName[#Headers],0),2),FALSE),"")</f>
        <v/>
      </c>
      <c r="AA1768" t="str">
        <f t="shared" si="177"/>
        <v/>
      </c>
      <c r="AB1768">
        <v>0</v>
      </c>
      <c r="AC1768" t="str">
        <f>IF(AB1768&lt;&gt;0,VLOOKUP(VLOOKUP(AB1768,Tbl_Effect[],3,FALSE),EffectName[],IFERROR(MATCH(UI!$B$1,EffectName[#Headers],0),2),FALSE),"")</f>
        <v/>
      </c>
    </row>
    <row r="1769" spans="8:29" x14ac:dyDescent="0.4">
      <c r="H1769" t="str">
        <f t="shared" si="174"/>
        <v/>
      </c>
      <c r="I1769">
        <v>0</v>
      </c>
      <c r="J1769" t="str">
        <f>_xlfn.IFNA(IF(I1769&lt;&gt;0,VLOOKUP(VLOOKUP(I1769,Tbl_Equip[],2,FALSE),Tbl_Color[],IFERROR(MATCH(UI!$B$1,Tbl_Color[#Headers],0),2),FALSE),""),"Unset")</f>
        <v/>
      </c>
      <c r="K1769" t="str">
        <f>_xlfn.IFNA(IF(I1769&lt;&gt;0,VLOOKUP(I1769,ItemText[],IFERROR(MATCH(UI!$B$1,ItemText[#Headers],0),2),FALSE),""),"Unset")</f>
        <v/>
      </c>
      <c r="M1769">
        <v>0</v>
      </c>
      <c r="P1769">
        <v>0</v>
      </c>
      <c r="S1769">
        <v>0</v>
      </c>
      <c r="T1769" t="str">
        <f>IF(VALUE(S1769)=0,"",VLOOKUP(VLOOKUP(S1769,Tbl_Effect[],3,FALSE),EffectName[],IFERROR(MATCH(UI!$B$1,EffectName[#Headers],0),2),FALSE))</f>
        <v/>
      </c>
      <c r="U1769" t="str">
        <f t="shared" si="175"/>
        <v/>
      </c>
      <c r="V1769">
        <v>0</v>
      </c>
      <c r="W1769" t="str">
        <f>IF(V1769&lt;&gt;0,VLOOKUP(VLOOKUP(V1769,Tbl_Effect[],3,FALSE),EffectName[],IFERROR(MATCH(UI!$B$1,EffectName[#Headers],0),2),FALSE),"")</f>
        <v/>
      </c>
      <c r="X1769" t="str">
        <f t="shared" si="176"/>
        <v/>
      </c>
      <c r="Y1769">
        <v>0</v>
      </c>
      <c r="Z1769" t="str">
        <f>IF(Y1769&lt;&gt;0,VLOOKUP(VLOOKUP(Y1769,Tbl_Effect[],3,FALSE),EffectName[],IFERROR(MATCH(UI!$B$1,EffectName[#Headers],0),2),FALSE),"")</f>
        <v/>
      </c>
      <c r="AA1769" t="str">
        <f t="shared" si="177"/>
        <v/>
      </c>
      <c r="AB1769">
        <v>0</v>
      </c>
      <c r="AC1769" t="str">
        <f>IF(AB1769&lt;&gt;0,VLOOKUP(VLOOKUP(AB1769,Tbl_Effect[],3,FALSE),EffectName[],IFERROR(MATCH(UI!$B$1,EffectName[#Headers],0),2),FALSE),"")</f>
        <v/>
      </c>
    </row>
    <row r="1770" spans="8:29" x14ac:dyDescent="0.4">
      <c r="H1770" t="str">
        <f t="shared" si="174"/>
        <v/>
      </c>
      <c r="I1770">
        <v>0</v>
      </c>
      <c r="J1770" t="str">
        <f>_xlfn.IFNA(IF(I1770&lt;&gt;0,VLOOKUP(VLOOKUP(I1770,Tbl_Equip[],2,FALSE),Tbl_Color[],IFERROR(MATCH(UI!$B$1,Tbl_Color[#Headers],0),2),FALSE),""),"Unset")</f>
        <v/>
      </c>
      <c r="K1770" t="str">
        <f>_xlfn.IFNA(IF(I1770&lt;&gt;0,VLOOKUP(I1770,ItemText[],IFERROR(MATCH(UI!$B$1,ItemText[#Headers],0),2),FALSE),""),"Unset")</f>
        <v/>
      </c>
      <c r="M1770">
        <v>0</v>
      </c>
      <c r="P1770">
        <v>0</v>
      </c>
      <c r="S1770">
        <v>0</v>
      </c>
      <c r="T1770" t="str">
        <f>IF(VALUE(S1770)=0,"",VLOOKUP(VLOOKUP(S1770,Tbl_Effect[],3,FALSE),EffectName[],IFERROR(MATCH(UI!$B$1,EffectName[#Headers],0),2),FALSE))</f>
        <v/>
      </c>
      <c r="U1770" t="str">
        <f t="shared" si="175"/>
        <v/>
      </c>
      <c r="V1770">
        <v>0</v>
      </c>
      <c r="W1770" t="str">
        <f>IF(V1770&lt;&gt;0,VLOOKUP(VLOOKUP(V1770,Tbl_Effect[],3,FALSE),EffectName[],IFERROR(MATCH(UI!$B$1,EffectName[#Headers],0),2),FALSE),"")</f>
        <v/>
      </c>
      <c r="X1770" t="str">
        <f t="shared" si="176"/>
        <v/>
      </c>
      <c r="Y1770">
        <v>0</v>
      </c>
      <c r="Z1770" t="str">
        <f>IF(Y1770&lt;&gt;0,VLOOKUP(VLOOKUP(Y1770,Tbl_Effect[],3,FALSE),EffectName[],IFERROR(MATCH(UI!$B$1,EffectName[#Headers],0),2),FALSE),"")</f>
        <v/>
      </c>
      <c r="AA1770" t="str">
        <f t="shared" si="177"/>
        <v/>
      </c>
      <c r="AB1770">
        <v>0</v>
      </c>
      <c r="AC1770" t="str">
        <f>IF(AB1770&lt;&gt;0,VLOOKUP(VLOOKUP(AB1770,Tbl_Effect[],3,FALSE),EffectName[],IFERROR(MATCH(UI!$B$1,EffectName[#Headers],0),2),FALSE),"")</f>
        <v/>
      </c>
    </row>
    <row r="1771" spans="8:29" x14ac:dyDescent="0.4">
      <c r="H1771" t="str">
        <f t="shared" si="174"/>
        <v/>
      </c>
      <c r="I1771">
        <v>0</v>
      </c>
      <c r="J1771" t="str">
        <f>_xlfn.IFNA(IF(I1771&lt;&gt;0,VLOOKUP(VLOOKUP(I1771,Tbl_Equip[],2,FALSE),Tbl_Color[],IFERROR(MATCH(UI!$B$1,Tbl_Color[#Headers],0),2),FALSE),""),"Unset")</f>
        <v/>
      </c>
      <c r="K1771" t="str">
        <f>_xlfn.IFNA(IF(I1771&lt;&gt;0,VLOOKUP(I1771,ItemText[],IFERROR(MATCH(UI!$B$1,ItemText[#Headers],0),2),FALSE),""),"Unset")</f>
        <v/>
      </c>
      <c r="M1771">
        <v>0</v>
      </c>
      <c r="P1771">
        <v>0</v>
      </c>
      <c r="S1771">
        <v>0</v>
      </c>
      <c r="T1771" t="str">
        <f>IF(VALUE(S1771)=0,"",VLOOKUP(VLOOKUP(S1771,Tbl_Effect[],3,FALSE),EffectName[],IFERROR(MATCH(UI!$B$1,EffectName[#Headers],0),2),FALSE))</f>
        <v/>
      </c>
      <c r="U1771" t="str">
        <f t="shared" si="175"/>
        <v/>
      </c>
      <c r="V1771">
        <v>0</v>
      </c>
      <c r="W1771" t="str">
        <f>IF(V1771&lt;&gt;0,VLOOKUP(VLOOKUP(V1771,Tbl_Effect[],3,FALSE),EffectName[],IFERROR(MATCH(UI!$B$1,EffectName[#Headers],0),2),FALSE),"")</f>
        <v/>
      </c>
      <c r="X1771" t="str">
        <f t="shared" si="176"/>
        <v/>
      </c>
      <c r="Y1771">
        <v>0</v>
      </c>
      <c r="Z1771" t="str">
        <f>IF(Y1771&lt;&gt;0,VLOOKUP(VLOOKUP(Y1771,Tbl_Effect[],3,FALSE),EffectName[],IFERROR(MATCH(UI!$B$1,EffectName[#Headers],0),2),FALSE),"")</f>
        <v/>
      </c>
      <c r="AA1771" t="str">
        <f t="shared" si="177"/>
        <v/>
      </c>
      <c r="AB1771">
        <v>0</v>
      </c>
      <c r="AC1771" t="str">
        <f>IF(AB1771&lt;&gt;0,VLOOKUP(VLOOKUP(AB1771,Tbl_Effect[],3,FALSE),EffectName[],IFERROR(MATCH(UI!$B$1,EffectName[#Headers],0),2),FALSE),"")</f>
        <v/>
      </c>
    </row>
    <row r="1772" spans="8:29" x14ac:dyDescent="0.4">
      <c r="H1772" t="str">
        <f t="shared" si="174"/>
        <v/>
      </c>
      <c r="I1772">
        <v>0</v>
      </c>
      <c r="J1772" t="str">
        <f>_xlfn.IFNA(IF(I1772&lt;&gt;0,VLOOKUP(VLOOKUP(I1772,Tbl_Equip[],2,FALSE),Tbl_Color[],IFERROR(MATCH(UI!$B$1,Tbl_Color[#Headers],0),2),FALSE),""),"Unset")</f>
        <v/>
      </c>
      <c r="K1772" t="str">
        <f>_xlfn.IFNA(IF(I1772&lt;&gt;0,VLOOKUP(I1772,ItemText[],IFERROR(MATCH(UI!$B$1,ItemText[#Headers],0),2),FALSE),""),"Unset")</f>
        <v/>
      </c>
      <c r="M1772">
        <v>0</v>
      </c>
      <c r="P1772">
        <v>0</v>
      </c>
      <c r="S1772">
        <v>0</v>
      </c>
      <c r="T1772" t="str">
        <f>IF(VALUE(S1772)=0,"",VLOOKUP(VLOOKUP(S1772,Tbl_Effect[],3,FALSE),EffectName[],IFERROR(MATCH(UI!$B$1,EffectName[#Headers],0),2),FALSE))</f>
        <v/>
      </c>
      <c r="U1772" t="str">
        <f t="shared" si="175"/>
        <v/>
      </c>
      <c r="V1772">
        <v>0</v>
      </c>
      <c r="W1772" t="str">
        <f>IF(V1772&lt;&gt;0,VLOOKUP(VLOOKUP(V1772,Tbl_Effect[],3,FALSE),EffectName[],IFERROR(MATCH(UI!$B$1,EffectName[#Headers],0),2),FALSE),"")</f>
        <v/>
      </c>
      <c r="X1772" t="str">
        <f t="shared" si="176"/>
        <v/>
      </c>
      <c r="Y1772">
        <v>0</v>
      </c>
      <c r="Z1772" t="str">
        <f>IF(Y1772&lt;&gt;0,VLOOKUP(VLOOKUP(Y1772,Tbl_Effect[],3,FALSE),EffectName[],IFERROR(MATCH(UI!$B$1,EffectName[#Headers],0),2),FALSE),"")</f>
        <v/>
      </c>
      <c r="AA1772" t="str">
        <f t="shared" si="177"/>
        <v/>
      </c>
      <c r="AB1772">
        <v>0</v>
      </c>
      <c r="AC1772" t="str">
        <f>IF(AB1772&lt;&gt;0,VLOOKUP(VLOOKUP(AB1772,Tbl_Effect[],3,FALSE),EffectName[],IFERROR(MATCH(UI!$B$1,EffectName[#Headers],0),2),FALSE),"")</f>
        <v/>
      </c>
    </row>
    <row r="1773" spans="8:29" x14ac:dyDescent="0.4">
      <c r="H1773" t="str">
        <f t="shared" si="174"/>
        <v/>
      </c>
      <c r="I1773">
        <v>0</v>
      </c>
      <c r="J1773" t="str">
        <f>_xlfn.IFNA(IF(I1773&lt;&gt;0,VLOOKUP(VLOOKUP(I1773,Tbl_Equip[],2,FALSE),Tbl_Color[],IFERROR(MATCH(UI!$B$1,Tbl_Color[#Headers],0),2),FALSE),""),"Unset")</f>
        <v/>
      </c>
      <c r="K1773" t="str">
        <f>_xlfn.IFNA(IF(I1773&lt;&gt;0,VLOOKUP(I1773,ItemText[],IFERROR(MATCH(UI!$B$1,ItemText[#Headers],0),2),FALSE),""),"Unset")</f>
        <v/>
      </c>
      <c r="M1773">
        <v>0</v>
      </c>
      <c r="P1773">
        <v>0</v>
      </c>
      <c r="S1773">
        <v>0</v>
      </c>
      <c r="T1773" t="str">
        <f>IF(VALUE(S1773)=0,"",VLOOKUP(VLOOKUP(S1773,Tbl_Effect[],3,FALSE),EffectName[],IFERROR(MATCH(UI!$B$1,EffectName[#Headers],0),2),FALSE))</f>
        <v/>
      </c>
      <c r="U1773" t="str">
        <f t="shared" si="175"/>
        <v/>
      </c>
      <c r="V1773">
        <v>0</v>
      </c>
      <c r="W1773" t="str">
        <f>IF(V1773&lt;&gt;0,VLOOKUP(VLOOKUP(V1773,Tbl_Effect[],3,FALSE),EffectName[],IFERROR(MATCH(UI!$B$1,EffectName[#Headers],0),2),FALSE),"")</f>
        <v/>
      </c>
      <c r="X1773" t="str">
        <f t="shared" si="176"/>
        <v/>
      </c>
      <c r="Y1773">
        <v>0</v>
      </c>
      <c r="Z1773" t="str">
        <f>IF(Y1773&lt;&gt;0,VLOOKUP(VLOOKUP(Y1773,Tbl_Effect[],3,FALSE),EffectName[],IFERROR(MATCH(UI!$B$1,EffectName[#Headers],0),2),FALSE),"")</f>
        <v/>
      </c>
      <c r="AA1773" t="str">
        <f t="shared" si="177"/>
        <v/>
      </c>
      <c r="AB1773">
        <v>0</v>
      </c>
      <c r="AC1773" t="str">
        <f>IF(AB1773&lt;&gt;0,VLOOKUP(VLOOKUP(AB1773,Tbl_Effect[],3,FALSE),EffectName[],IFERROR(MATCH(UI!$B$1,EffectName[#Headers],0),2),FALSE),"")</f>
        <v/>
      </c>
    </row>
    <row r="1774" spans="8:29" x14ac:dyDescent="0.4">
      <c r="H1774" t="str">
        <f t="shared" si="174"/>
        <v/>
      </c>
      <c r="I1774">
        <v>0</v>
      </c>
      <c r="J1774" t="str">
        <f>_xlfn.IFNA(IF(I1774&lt;&gt;0,VLOOKUP(VLOOKUP(I1774,Tbl_Equip[],2,FALSE),Tbl_Color[],IFERROR(MATCH(UI!$B$1,Tbl_Color[#Headers],0),2),FALSE),""),"Unset")</f>
        <v/>
      </c>
      <c r="K1774" t="str">
        <f>_xlfn.IFNA(IF(I1774&lt;&gt;0,VLOOKUP(I1774,ItemText[],IFERROR(MATCH(UI!$B$1,ItemText[#Headers],0),2),FALSE),""),"Unset")</f>
        <v/>
      </c>
      <c r="M1774">
        <v>0</v>
      </c>
      <c r="P1774">
        <v>0</v>
      </c>
      <c r="S1774">
        <v>0</v>
      </c>
      <c r="T1774" t="str">
        <f>IF(VALUE(S1774)=0,"",VLOOKUP(VLOOKUP(S1774,Tbl_Effect[],3,FALSE),EffectName[],IFERROR(MATCH(UI!$B$1,EffectName[#Headers],0),2),FALSE))</f>
        <v/>
      </c>
      <c r="U1774" t="str">
        <f t="shared" si="175"/>
        <v/>
      </c>
      <c r="V1774">
        <v>0</v>
      </c>
      <c r="W1774" t="str">
        <f>IF(V1774&lt;&gt;0,VLOOKUP(VLOOKUP(V1774,Tbl_Effect[],3,FALSE),EffectName[],IFERROR(MATCH(UI!$B$1,EffectName[#Headers],0),2),FALSE),"")</f>
        <v/>
      </c>
      <c r="X1774" t="str">
        <f t="shared" si="176"/>
        <v/>
      </c>
      <c r="Y1774">
        <v>0</v>
      </c>
      <c r="Z1774" t="str">
        <f>IF(Y1774&lt;&gt;0,VLOOKUP(VLOOKUP(Y1774,Tbl_Effect[],3,FALSE),EffectName[],IFERROR(MATCH(UI!$B$1,EffectName[#Headers],0),2),FALSE),"")</f>
        <v/>
      </c>
      <c r="AA1774" t="str">
        <f t="shared" si="177"/>
        <v/>
      </c>
      <c r="AB1774">
        <v>0</v>
      </c>
      <c r="AC1774" t="str">
        <f>IF(AB1774&lt;&gt;0,VLOOKUP(VLOOKUP(AB1774,Tbl_Effect[],3,FALSE),EffectName[],IFERROR(MATCH(UI!$B$1,EffectName[#Headers],0),2),FALSE),"")</f>
        <v/>
      </c>
    </row>
    <row r="1775" spans="8:29" x14ac:dyDescent="0.4">
      <c r="H1775" t="str">
        <f t="shared" si="174"/>
        <v/>
      </c>
      <c r="I1775">
        <v>0</v>
      </c>
      <c r="J1775" t="str">
        <f>_xlfn.IFNA(IF(I1775&lt;&gt;0,VLOOKUP(VLOOKUP(I1775,Tbl_Equip[],2,FALSE),Tbl_Color[],IFERROR(MATCH(UI!$B$1,Tbl_Color[#Headers],0),2),FALSE),""),"Unset")</f>
        <v/>
      </c>
      <c r="K1775" t="str">
        <f>_xlfn.IFNA(IF(I1775&lt;&gt;0,VLOOKUP(I1775,ItemText[],IFERROR(MATCH(UI!$B$1,ItemText[#Headers],0),2),FALSE),""),"Unset")</f>
        <v/>
      </c>
      <c r="M1775">
        <v>0</v>
      </c>
      <c r="P1775">
        <v>0</v>
      </c>
      <c r="S1775">
        <v>0</v>
      </c>
      <c r="T1775" t="str">
        <f>IF(VALUE(S1775)=0,"",VLOOKUP(VLOOKUP(S1775,Tbl_Effect[],3,FALSE),EffectName[],IFERROR(MATCH(UI!$B$1,EffectName[#Headers],0),2),FALSE))</f>
        <v/>
      </c>
      <c r="U1775" t="str">
        <f t="shared" si="175"/>
        <v/>
      </c>
      <c r="V1775">
        <v>0</v>
      </c>
      <c r="W1775" t="str">
        <f>IF(V1775&lt;&gt;0,VLOOKUP(VLOOKUP(V1775,Tbl_Effect[],3,FALSE),EffectName[],IFERROR(MATCH(UI!$B$1,EffectName[#Headers],0),2),FALSE),"")</f>
        <v/>
      </c>
      <c r="X1775" t="str">
        <f t="shared" si="176"/>
        <v/>
      </c>
      <c r="Y1775">
        <v>0</v>
      </c>
      <c r="Z1775" t="str">
        <f>IF(Y1775&lt;&gt;0,VLOOKUP(VLOOKUP(Y1775,Tbl_Effect[],3,FALSE),EffectName[],IFERROR(MATCH(UI!$B$1,EffectName[#Headers],0),2),FALSE),"")</f>
        <v/>
      </c>
      <c r="AA1775" t="str">
        <f t="shared" si="177"/>
        <v/>
      </c>
      <c r="AB1775">
        <v>0</v>
      </c>
      <c r="AC1775" t="str">
        <f>IF(AB1775&lt;&gt;0,VLOOKUP(VLOOKUP(AB1775,Tbl_Effect[],3,FALSE),EffectName[],IFERROR(MATCH(UI!$B$1,EffectName[#Headers],0),2),FALSE),"")</f>
        <v/>
      </c>
    </row>
    <row r="1776" spans="8:29" x14ac:dyDescent="0.4">
      <c r="H1776" t="str">
        <f t="shared" si="174"/>
        <v/>
      </c>
      <c r="I1776">
        <v>0</v>
      </c>
      <c r="J1776" t="str">
        <f>_xlfn.IFNA(IF(I1776&lt;&gt;0,VLOOKUP(VLOOKUP(I1776,Tbl_Equip[],2,FALSE),Tbl_Color[],IFERROR(MATCH(UI!$B$1,Tbl_Color[#Headers],0),2),FALSE),""),"Unset")</f>
        <v/>
      </c>
      <c r="K1776" t="str">
        <f>_xlfn.IFNA(IF(I1776&lt;&gt;0,VLOOKUP(I1776,ItemText[],IFERROR(MATCH(UI!$B$1,ItemText[#Headers],0),2),FALSE),""),"Unset")</f>
        <v/>
      </c>
      <c r="M1776">
        <v>0</v>
      </c>
      <c r="P1776">
        <v>0</v>
      </c>
      <c r="S1776">
        <v>0</v>
      </c>
      <c r="T1776" t="str">
        <f>IF(VALUE(S1776)=0,"",VLOOKUP(VLOOKUP(S1776,Tbl_Effect[],3,FALSE),EffectName[],IFERROR(MATCH(UI!$B$1,EffectName[#Headers],0),2),FALSE))</f>
        <v/>
      </c>
      <c r="U1776" t="str">
        <f t="shared" si="175"/>
        <v/>
      </c>
      <c r="V1776">
        <v>0</v>
      </c>
      <c r="W1776" t="str">
        <f>IF(V1776&lt;&gt;0,VLOOKUP(VLOOKUP(V1776,Tbl_Effect[],3,FALSE),EffectName[],IFERROR(MATCH(UI!$B$1,EffectName[#Headers],0),2),FALSE),"")</f>
        <v/>
      </c>
      <c r="X1776" t="str">
        <f t="shared" si="176"/>
        <v/>
      </c>
      <c r="Y1776">
        <v>0</v>
      </c>
      <c r="Z1776" t="str">
        <f>IF(Y1776&lt;&gt;0,VLOOKUP(VLOOKUP(Y1776,Tbl_Effect[],3,FALSE),EffectName[],IFERROR(MATCH(UI!$B$1,EffectName[#Headers],0),2),FALSE),"")</f>
        <v/>
      </c>
      <c r="AA1776" t="str">
        <f t="shared" si="177"/>
        <v/>
      </c>
      <c r="AB1776">
        <v>0</v>
      </c>
      <c r="AC1776" t="str">
        <f>IF(AB1776&lt;&gt;0,VLOOKUP(VLOOKUP(AB1776,Tbl_Effect[],3,FALSE),EffectName[],IFERROR(MATCH(UI!$B$1,EffectName[#Headers],0),2),FALSE),"")</f>
        <v/>
      </c>
    </row>
    <row r="1777" spans="8:29" x14ac:dyDescent="0.4">
      <c r="H1777" t="str">
        <f t="shared" si="174"/>
        <v/>
      </c>
      <c r="I1777">
        <v>0</v>
      </c>
      <c r="J1777" t="str">
        <f>_xlfn.IFNA(IF(I1777&lt;&gt;0,VLOOKUP(VLOOKUP(I1777,Tbl_Equip[],2,FALSE),Tbl_Color[],IFERROR(MATCH(UI!$B$1,Tbl_Color[#Headers],0),2),FALSE),""),"Unset")</f>
        <v/>
      </c>
      <c r="K1777" t="str">
        <f>_xlfn.IFNA(IF(I1777&lt;&gt;0,VLOOKUP(I1777,ItemText[],IFERROR(MATCH(UI!$B$1,ItemText[#Headers],0),2),FALSE),""),"Unset")</f>
        <v/>
      </c>
      <c r="M1777">
        <v>0</v>
      </c>
      <c r="P1777">
        <v>0</v>
      </c>
      <c r="S1777">
        <v>0</v>
      </c>
      <c r="T1777" t="str">
        <f>IF(VALUE(S1777)=0,"",VLOOKUP(VLOOKUP(S1777,Tbl_Effect[],3,FALSE),EffectName[],IFERROR(MATCH(UI!$B$1,EffectName[#Headers],0),2),FALSE))</f>
        <v/>
      </c>
      <c r="U1777" t="str">
        <f t="shared" si="175"/>
        <v/>
      </c>
      <c r="V1777">
        <v>0</v>
      </c>
      <c r="W1777" t="str">
        <f>IF(V1777&lt;&gt;0,VLOOKUP(VLOOKUP(V1777,Tbl_Effect[],3,FALSE),EffectName[],IFERROR(MATCH(UI!$B$1,EffectName[#Headers],0),2),FALSE),"")</f>
        <v/>
      </c>
      <c r="X1777" t="str">
        <f t="shared" si="176"/>
        <v/>
      </c>
      <c r="Y1777">
        <v>0</v>
      </c>
      <c r="Z1777" t="str">
        <f>IF(Y1777&lt;&gt;0,VLOOKUP(VLOOKUP(Y1777,Tbl_Effect[],3,FALSE),EffectName[],IFERROR(MATCH(UI!$B$1,EffectName[#Headers],0),2),FALSE),"")</f>
        <v/>
      </c>
      <c r="AA1777" t="str">
        <f t="shared" si="177"/>
        <v/>
      </c>
      <c r="AB1777">
        <v>0</v>
      </c>
      <c r="AC1777" t="str">
        <f>IF(AB1777&lt;&gt;0,VLOOKUP(VLOOKUP(AB1777,Tbl_Effect[],3,FALSE),EffectName[],IFERROR(MATCH(UI!$B$1,EffectName[#Headers],0),2),FALSE),"")</f>
        <v/>
      </c>
    </row>
    <row r="1778" spans="8:29" x14ac:dyDescent="0.4">
      <c r="H1778" t="str">
        <f t="shared" si="174"/>
        <v/>
      </c>
      <c r="I1778">
        <v>0</v>
      </c>
      <c r="J1778" t="str">
        <f>_xlfn.IFNA(IF(I1778&lt;&gt;0,VLOOKUP(VLOOKUP(I1778,Tbl_Equip[],2,FALSE),Tbl_Color[],IFERROR(MATCH(UI!$B$1,Tbl_Color[#Headers],0),2),FALSE),""),"Unset")</f>
        <v/>
      </c>
      <c r="K1778" t="str">
        <f>_xlfn.IFNA(IF(I1778&lt;&gt;0,VLOOKUP(I1778,ItemText[],IFERROR(MATCH(UI!$B$1,ItemText[#Headers],0),2),FALSE),""),"Unset")</f>
        <v/>
      </c>
      <c r="M1778">
        <v>0</v>
      </c>
      <c r="P1778">
        <v>0</v>
      </c>
      <c r="S1778">
        <v>0</v>
      </c>
      <c r="T1778" t="str">
        <f>IF(VALUE(S1778)=0,"",VLOOKUP(VLOOKUP(S1778,Tbl_Effect[],3,FALSE),EffectName[],IFERROR(MATCH(UI!$B$1,EffectName[#Headers],0),2),FALSE))</f>
        <v/>
      </c>
      <c r="U1778" t="str">
        <f t="shared" si="175"/>
        <v/>
      </c>
      <c r="V1778">
        <v>0</v>
      </c>
      <c r="W1778" t="str">
        <f>IF(V1778&lt;&gt;0,VLOOKUP(VLOOKUP(V1778,Tbl_Effect[],3,FALSE),EffectName[],IFERROR(MATCH(UI!$B$1,EffectName[#Headers],0),2),FALSE),"")</f>
        <v/>
      </c>
      <c r="X1778" t="str">
        <f t="shared" si="176"/>
        <v/>
      </c>
      <c r="Y1778">
        <v>0</v>
      </c>
      <c r="Z1778" t="str">
        <f>IF(Y1778&lt;&gt;0,VLOOKUP(VLOOKUP(Y1778,Tbl_Effect[],3,FALSE),EffectName[],IFERROR(MATCH(UI!$B$1,EffectName[#Headers],0),2),FALSE),"")</f>
        <v/>
      </c>
      <c r="AA1778" t="str">
        <f t="shared" si="177"/>
        <v/>
      </c>
      <c r="AB1778">
        <v>0</v>
      </c>
      <c r="AC1778" t="str">
        <f>IF(AB1778&lt;&gt;0,VLOOKUP(VLOOKUP(AB1778,Tbl_Effect[],3,FALSE),EffectName[],IFERROR(MATCH(UI!$B$1,EffectName[#Headers],0),2),FALSE),"")</f>
        <v/>
      </c>
    </row>
    <row r="1779" spans="8:29" x14ac:dyDescent="0.4">
      <c r="H1779" t="str">
        <f t="shared" si="174"/>
        <v/>
      </c>
      <c r="I1779">
        <v>0</v>
      </c>
      <c r="J1779" t="str">
        <f>_xlfn.IFNA(IF(I1779&lt;&gt;0,VLOOKUP(VLOOKUP(I1779,Tbl_Equip[],2,FALSE),Tbl_Color[],IFERROR(MATCH(UI!$B$1,Tbl_Color[#Headers],0),2),FALSE),""),"Unset")</f>
        <v/>
      </c>
      <c r="K1779" t="str">
        <f>_xlfn.IFNA(IF(I1779&lt;&gt;0,VLOOKUP(I1779,ItemText[],IFERROR(MATCH(UI!$B$1,ItemText[#Headers],0),2),FALSE),""),"Unset")</f>
        <v/>
      </c>
      <c r="M1779">
        <v>0</v>
      </c>
      <c r="P1779">
        <v>0</v>
      </c>
      <c r="S1779">
        <v>0</v>
      </c>
      <c r="T1779" t="str">
        <f>IF(VALUE(S1779)=0,"",VLOOKUP(VLOOKUP(S1779,Tbl_Effect[],3,FALSE),EffectName[],IFERROR(MATCH(UI!$B$1,EffectName[#Headers],0),2),FALSE))</f>
        <v/>
      </c>
      <c r="U1779" t="str">
        <f t="shared" si="175"/>
        <v/>
      </c>
      <c r="V1779">
        <v>0</v>
      </c>
      <c r="W1779" t="str">
        <f>IF(V1779&lt;&gt;0,VLOOKUP(VLOOKUP(V1779,Tbl_Effect[],3,FALSE),EffectName[],IFERROR(MATCH(UI!$B$1,EffectName[#Headers],0),2),FALSE),"")</f>
        <v/>
      </c>
      <c r="X1779" t="str">
        <f t="shared" si="176"/>
        <v/>
      </c>
      <c r="Y1779">
        <v>0</v>
      </c>
      <c r="Z1779" t="str">
        <f>IF(Y1779&lt;&gt;0,VLOOKUP(VLOOKUP(Y1779,Tbl_Effect[],3,FALSE),EffectName[],IFERROR(MATCH(UI!$B$1,EffectName[#Headers],0),2),FALSE),"")</f>
        <v/>
      </c>
      <c r="AA1779" t="str">
        <f t="shared" si="177"/>
        <v/>
      </c>
      <c r="AB1779">
        <v>0</v>
      </c>
      <c r="AC1779" t="str">
        <f>IF(AB1779&lt;&gt;0,VLOOKUP(VLOOKUP(AB1779,Tbl_Effect[],3,FALSE),EffectName[],IFERROR(MATCH(UI!$B$1,EffectName[#Headers],0),2),FALSE),"")</f>
        <v/>
      </c>
    </row>
    <row r="1780" spans="8:29" x14ac:dyDescent="0.4">
      <c r="H1780" t="str">
        <f t="shared" si="174"/>
        <v/>
      </c>
      <c r="I1780">
        <v>0</v>
      </c>
      <c r="J1780" t="str">
        <f>_xlfn.IFNA(IF(I1780&lt;&gt;0,VLOOKUP(VLOOKUP(I1780,Tbl_Equip[],2,FALSE),Tbl_Color[],IFERROR(MATCH(UI!$B$1,Tbl_Color[#Headers],0),2),FALSE),""),"Unset")</f>
        <v/>
      </c>
      <c r="K1780" t="str">
        <f>_xlfn.IFNA(IF(I1780&lt;&gt;0,VLOOKUP(I1780,ItemText[],IFERROR(MATCH(UI!$B$1,ItemText[#Headers],0),2),FALSE),""),"Unset")</f>
        <v/>
      </c>
      <c r="M1780">
        <v>0</v>
      </c>
      <c r="P1780">
        <v>0</v>
      </c>
      <c r="S1780">
        <v>0</v>
      </c>
      <c r="T1780" t="str">
        <f>IF(VALUE(S1780)=0,"",VLOOKUP(VLOOKUP(S1780,Tbl_Effect[],3,FALSE),EffectName[],IFERROR(MATCH(UI!$B$1,EffectName[#Headers],0),2),FALSE))</f>
        <v/>
      </c>
      <c r="U1780" t="str">
        <f t="shared" si="175"/>
        <v/>
      </c>
      <c r="V1780">
        <v>0</v>
      </c>
      <c r="W1780" t="str">
        <f>IF(V1780&lt;&gt;0,VLOOKUP(VLOOKUP(V1780,Tbl_Effect[],3,FALSE),EffectName[],IFERROR(MATCH(UI!$B$1,EffectName[#Headers],0),2),FALSE),"")</f>
        <v/>
      </c>
      <c r="X1780" t="str">
        <f t="shared" si="176"/>
        <v/>
      </c>
      <c r="Y1780">
        <v>0</v>
      </c>
      <c r="Z1780" t="str">
        <f>IF(Y1780&lt;&gt;0,VLOOKUP(VLOOKUP(Y1780,Tbl_Effect[],3,FALSE),EffectName[],IFERROR(MATCH(UI!$B$1,EffectName[#Headers],0),2),FALSE),"")</f>
        <v/>
      </c>
      <c r="AA1780" t="str">
        <f t="shared" si="177"/>
        <v/>
      </c>
      <c r="AB1780">
        <v>0</v>
      </c>
      <c r="AC1780" t="str">
        <f>IF(AB1780&lt;&gt;0,VLOOKUP(VLOOKUP(AB1780,Tbl_Effect[],3,FALSE),EffectName[],IFERROR(MATCH(UI!$B$1,EffectName[#Headers],0),2),FALSE),"")</f>
        <v/>
      </c>
    </row>
    <row r="1781" spans="8:29" x14ac:dyDescent="0.4">
      <c r="H1781" t="str">
        <f t="shared" si="174"/>
        <v/>
      </c>
      <c r="I1781">
        <v>0</v>
      </c>
      <c r="J1781" t="str">
        <f>_xlfn.IFNA(IF(I1781&lt;&gt;0,VLOOKUP(VLOOKUP(I1781,Tbl_Equip[],2,FALSE),Tbl_Color[],IFERROR(MATCH(UI!$B$1,Tbl_Color[#Headers],0),2),FALSE),""),"Unset")</f>
        <v/>
      </c>
      <c r="K1781" t="str">
        <f>_xlfn.IFNA(IF(I1781&lt;&gt;0,VLOOKUP(I1781,ItemText[],IFERROR(MATCH(UI!$B$1,ItemText[#Headers],0),2),FALSE),""),"Unset")</f>
        <v/>
      </c>
      <c r="M1781">
        <v>0</v>
      </c>
      <c r="P1781">
        <v>0</v>
      </c>
      <c r="S1781">
        <v>0</v>
      </c>
      <c r="T1781" t="str">
        <f>IF(VALUE(S1781)=0,"",VLOOKUP(VLOOKUP(S1781,Tbl_Effect[],3,FALSE),EffectName[],IFERROR(MATCH(UI!$B$1,EffectName[#Headers],0),2),FALSE))</f>
        <v/>
      </c>
      <c r="U1781" t="str">
        <f t="shared" si="175"/>
        <v/>
      </c>
      <c r="V1781">
        <v>0</v>
      </c>
      <c r="W1781" t="str">
        <f>IF(V1781&lt;&gt;0,VLOOKUP(VLOOKUP(V1781,Tbl_Effect[],3,FALSE),EffectName[],IFERROR(MATCH(UI!$B$1,EffectName[#Headers],0),2),FALSE),"")</f>
        <v/>
      </c>
      <c r="X1781" t="str">
        <f t="shared" si="176"/>
        <v/>
      </c>
      <c r="Y1781">
        <v>0</v>
      </c>
      <c r="Z1781" t="str">
        <f>IF(Y1781&lt;&gt;0,VLOOKUP(VLOOKUP(Y1781,Tbl_Effect[],3,FALSE),EffectName[],IFERROR(MATCH(UI!$B$1,EffectName[#Headers],0),2),FALSE),"")</f>
        <v/>
      </c>
      <c r="AA1781" t="str">
        <f t="shared" si="177"/>
        <v/>
      </c>
      <c r="AB1781">
        <v>0</v>
      </c>
      <c r="AC1781" t="str">
        <f>IF(AB1781&lt;&gt;0,VLOOKUP(VLOOKUP(AB1781,Tbl_Effect[],3,FALSE),EffectName[],IFERROR(MATCH(UI!$B$1,EffectName[#Headers],0),2),FALSE),"")</f>
        <v/>
      </c>
    </row>
    <row r="1782" spans="8:29" x14ac:dyDescent="0.4">
      <c r="H1782" t="str">
        <f t="shared" si="174"/>
        <v/>
      </c>
      <c r="I1782">
        <v>0</v>
      </c>
      <c r="J1782" t="str">
        <f>_xlfn.IFNA(IF(I1782&lt;&gt;0,VLOOKUP(VLOOKUP(I1782,Tbl_Equip[],2,FALSE),Tbl_Color[],IFERROR(MATCH(UI!$B$1,Tbl_Color[#Headers],0),2),FALSE),""),"Unset")</f>
        <v/>
      </c>
      <c r="K1782" t="str">
        <f>_xlfn.IFNA(IF(I1782&lt;&gt;0,VLOOKUP(I1782,ItemText[],IFERROR(MATCH(UI!$B$1,ItemText[#Headers],0),2),FALSE),""),"Unset")</f>
        <v/>
      </c>
      <c r="M1782">
        <v>0</v>
      </c>
      <c r="P1782">
        <v>0</v>
      </c>
      <c r="S1782">
        <v>0</v>
      </c>
      <c r="T1782" t="str">
        <f>IF(VALUE(S1782)=0,"",VLOOKUP(VLOOKUP(S1782,Tbl_Effect[],3,FALSE),EffectName[],IFERROR(MATCH(UI!$B$1,EffectName[#Headers],0),2),FALSE))</f>
        <v/>
      </c>
      <c r="U1782" t="str">
        <f t="shared" si="175"/>
        <v/>
      </c>
      <c r="V1782">
        <v>0</v>
      </c>
      <c r="W1782" t="str">
        <f>IF(V1782&lt;&gt;0,VLOOKUP(VLOOKUP(V1782,Tbl_Effect[],3,FALSE),EffectName[],IFERROR(MATCH(UI!$B$1,EffectName[#Headers],0),2),FALSE),"")</f>
        <v/>
      </c>
      <c r="X1782" t="str">
        <f t="shared" si="176"/>
        <v/>
      </c>
      <c r="Y1782">
        <v>0</v>
      </c>
      <c r="Z1782" t="str">
        <f>IF(Y1782&lt;&gt;0,VLOOKUP(VLOOKUP(Y1782,Tbl_Effect[],3,FALSE),EffectName[],IFERROR(MATCH(UI!$B$1,EffectName[#Headers],0),2),FALSE),"")</f>
        <v/>
      </c>
      <c r="AA1782" t="str">
        <f t="shared" si="177"/>
        <v/>
      </c>
      <c r="AB1782">
        <v>0</v>
      </c>
      <c r="AC1782" t="str">
        <f>IF(AB1782&lt;&gt;0,VLOOKUP(VLOOKUP(AB1782,Tbl_Effect[],3,FALSE),EffectName[],IFERROR(MATCH(UI!$B$1,EffectName[#Headers],0),2),FALSE),"")</f>
        <v/>
      </c>
    </row>
    <row r="1783" spans="8:29" x14ac:dyDescent="0.4">
      <c r="H1783" t="str">
        <f t="shared" si="174"/>
        <v/>
      </c>
      <c r="I1783">
        <v>0</v>
      </c>
      <c r="J1783" t="str">
        <f>_xlfn.IFNA(IF(I1783&lt;&gt;0,VLOOKUP(VLOOKUP(I1783,Tbl_Equip[],2,FALSE),Tbl_Color[],IFERROR(MATCH(UI!$B$1,Tbl_Color[#Headers],0),2),FALSE),""),"Unset")</f>
        <v/>
      </c>
      <c r="K1783" t="str">
        <f>_xlfn.IFNA(IF(I1783&lt;&gt;0,VLOOKUP(I1783,ItemText[],IFERROR(MATCH(UI!$B$1,ItemText[#Headers],0),2),FALSE),""),"Unset")</f>
        <v/>
      </c>
      <c r="M1783">
        <v>0</v>
      </c>
      <c r="P1783">
        <v>0</v>
      </c>
      <c r="S1783">
        <v>0</v>
      </c>
      <c r="T1783" t="str">
        <f>IF(VALUE(S1783)=0,"",VLOOKUP(VLOOKUP(S1783,Tbl_Effect[],3,FALSE),EffectName[],IFERROR(MATCH(UI!$B$1,EffectName[#Headers],0),2),FALSE))</f>
        <v/>
      </c>
      <c r="U1783" t="str">
        <f t="shared" si="175"/>
        <v/>
      </c>
      <c r="V1783">
        <v>0</v>
      </c>
      <c r="W1783" t="str">
        <f>IF(V1783&lt;&gt;0,VLOOKUP(VLOOKUP(V1783,Tbl_Effect[],3,FALSE),EffectName[],IFERROR(MATCH(UI!$B$1,EffectName[#Headers],0),2),FALSE),"")</f>
        <v/>
      </c>
      <c r="X1783" t="str">
        <f t="shared" si="176"/>
        <v/>
      </c>
      <c r="Y1783">
        <v>0</v>
      </c>
      <c r="Z1783" t="str">
        <f>IF(Y1783&lt;&gt;0,VLOOKUP(VLOOKUP(Y1783,Tbl_Effect[],3,FALSE),EffectName[],IFERROR(MATCH(UI!$B$1,EffectName[#Headers],0),2),FALSE),"")</f>
        <v/>
      </c>
      <c r="AA1783" t="str">
        <f t="shared" si="177"/>
        <v/>
      </c>
      <c r="AB1783">
        <v>0</v>
      </c>
      <c r="AC1783" t="str">
        <f>IF(AB1783&lt;&gt;0,VLOOKUP(VLOOKUP(AB1783,Tbl_Effect[],3,FALSE),EffectName[],IFERROR(MATCH(UI!$B$1,EffectName[#Headers],0),2),FALSE),"")</f>
        <v/>
      </c>
    </row>
    <row r="1784" spans="8:29" x14ac:dyDescent="0.4">
      <c r="H1784" t="str">
        <f t="shared" si="174"/>
        <v/>
      </c>
      <c r="I1784">
        <v>0</v>
      </c>
      <c r="J1784" t="str">
        <f>_xlfn.IFNA(IF(I1784&lt;&gt;0,VLOOKUP(VLOOKUP(I1784,Tbl_Equip[],2,FALSE),Tbl_Color[],IFERROR(MATCH(UI!$B$1,Tbl_Color[#Headers],0),2),FALSE),""),"Unset")</f>
        <v/>
      </c>
      <c r="K1784" t="str">
        <f>_xlfn.IFNA(IF(I1784&lt;&gt;0,VLOOKUP(I1784,ItemText[],IFERROR(MATCH(UI!$B$1,ItemText[#Headers],0),2),FALSE),""),"Unset")</f>
        <v/>
      </c>
      <c r="M1784">
        <v>0</v>
      </c>
      <c r="P1784">
        <v>0</v>
      </c>
      <c r="S1784">
        <v>0</v>
      </c>
      <c r="T1784" t="str">
        <f>IF(VALUE(S1784)=0,"",VLOOKUP(VLOOKUP(S1784,Tbl_Effect[],3,FALSE),EffectName[],IFERROR(MATCH(UI!$B$1,EffectName[#Headers],0),2),FALSE))</f>
        <v/>
      </c>
      <c r="U1784" t="str">
        <f t="shared" si="175"/>
        <v/>
      </c>
      <c r="V1784">
        <v>0</v>
      </c>
      <c r="W1784" t="str">
        <f>IF(V1784&lt;&gt;0,VLOOKUP(VLOOKUP(V1784,Tbl_Effect[],3,FALSE),EffectName[],IFERROR(MATCH(UI!$B$1,EffectName[#Headers],0),2),FALSE),"")</f>
        <v/>
      </c>
      <c r="X1784" t="str">
        <f t="shared" si="176"/>
        <v/>
      </c>
      <c r="Y1784">
        <v>0</v>
      </c>
      <c r="Z1784" t="str">
        <f>IF(Y1784&lt;&gt;0,VLOOKUP(VLOOKUP(Y1784,Tbl_Effect[],3,FALSE),EffectName[],IFERROR(MATCH(UI!$B$1,EffectName[#Headers],0),2),FALSE),"")</f>
        <v/>
      </c>
      <c r="AA1784" t="str">
        <f t="shared" si="177"/>
        <v/>
      </c>
      <c r="AB1784">
        <v>0</v>
      </c>
      <c r="AC1784" t="str">
        <f>IF(AB1784&lt;&gt;0,VLOOKUP(VLOOKUP(AB1784,Tbl_Effect[],3,FALSE),EffectName[],IFERROR(MATCH(UI!$B$1,EffectName[#Headers],0),2),FALSE),"")</f>
        <v/>
      </c>
    </row>
    <row r="1785" spans="8:29" x14ac:dyDescent="0.4">
      <c r="H1785" t="str">
        <f t="shared" si="174"/>
        <v/>
      </c>
      <c r="I1785">
        <v>0</v>
      </c>
      <c r="J1785" t="str">
        <f>_xlfn.IFNA(IF(I1785&lt;&gt;0,VLOOKUP(VLOOKUP(I1785,Tbl_Equip[],2,FALSE),Tbl_Color[],IFERROR(MATCH(UI!$B$1,Tbl_Color[#Headers],0),2),FALSE),""),"Unset")</f>
        <v/>
      </c>
      <c r="K1785" t="str">
        <f>_xlfn.IFNA(IF(I1785&lt;&gt;0,VLOOKUP(I1785,ItemText[],IFERROR(MATCH(UI!$B$1,ItemText[#Headers],0),2),FALSE),""),"Unset")</f>
        <v/>
      </c>
      <c r="M1785">
        <v>0</v>
      </c>
      <c r="P1785">
        <v>0</v>
      </c>
      <c r="S1785">
        <v>0</v>
      </c>
      <c r="T1785" t="str">
        <f>IF(VALUE(S1785)=0,"",VLOOKUP(VLOOKUP(S1785,Tbl_Effect[],3,FALSE),EffectName[],IFERROR(MATCH(UI!$B$1,EffectName[#Headers],0),2),FALSE))</f>
        <v/>
      </c>
      <c r="U1785" t="str">
        <f t="shared" si="175"/>
        <v/>
      </c>
      <c r="V1785">
        <v>0</v>
      </c>
      <c r="W1785" t="str">
        <f>IF(V1785&lt;&gt;0,VLOOKUP(VLOOKUP(V1785,Tbl_Effect[],3,FALSE),EffectName[],IFERROR(MATCH(UI!$B$1,EffectName[#Headers],0),2),FALSE),"")</f>
        <v/>
      </c>
      <c r="X1785" t="str">
        <f t="shared" si="176"/>
        <v/>
      </c>
      <c r="Y1785">
        <v>0</v>
      </c>
      <c r="Z1785" t="str">
        <f>IF(Y1785&lt;&gt;0,VLOOKUP(VLOOKUP(Y1785,Tbl_Effect[],3,FALSE),EffectName[],IFERROR(MATCH(UI!$B$1,EffectName[#Headers],0),2),FALSE),"")</f>
        <v/>
      </c>
      <c r="AA1785" t="str">
        <f t="shared" si="177"/>
        <v/>
      </c>
      <c r="AB1785">
        <v>0</v>
      </c>
      <c r="AC1785" t="str">
        <f>IF(AB1785&lt;&gt;0,VLOOKUP(VLOOKUP(AB1785,Tbl_Effect[],3,FALSE),EffectName[],IFERROR(MATCH(UI!$B$1,EffectName[#Headers],0),2),FALSE),"")</f>
        <v/>
      </c>
    </row>
    <row r="1786" spans="8:29" x14ac:dyDescent="0.4">
      <c r="H1786" t="str">
        <f t="shared" si="174"/>
        <v/>
      </c>
      <c r="I1786">
        <v>0</v>
      </c>
      <c r="J1786" t="str">
        <f>_xlfn.IFNA(IF(I1786&lt;&gt;0,VLOOKUP(VLOOKUP(I1786,Tbl_Equip[],2,FALSE),Tbl_Color[],IFERROR(MATCH(UI!$B$1,Tbl_Color[#Headers],0),2),FALSE),""),"Unset")</f>
        <v/>
      </c>
      <c r="K1786" t="str">
        <f>_xlfn.IFNA(IF(I1786&lt;&gt;0,VLOOKUP(I1786,ItemText[],IFERROR(MATCH(UI!$B$1,ItemText[#Headers],0),2),FALSE),""),"Unset")</f>
        <v/>
      </c>
      <c r="M1786">
        <v>0</v>
      </c>
      <c r="P1786">
        <v>0</v>
      </c>
      <c r="S1786">
        <v>0</v>
      </c>
      <c r="T1786" t="str">
        <f>IF(VALUE(S1786)=0,"",VLOOKUP(VLOOKUP(S1786,Tbl_Effect[],3,FALSE),EffectName[],IFERROR(MATCH(UI!$B$1,EffectName[#Headers],0),2),FALSE))</f>
        <v/>
      </c>
      <c r="U1786" t="str">
        <f t="shared" si="175"/>
        <v/>
      </c>
      <c r="V1786">
        <v>0</v>
      </c>
      <c r="W1786" t="str">
        <f>IF(V1786&lt;&gt;0,VLOOKUP(VLOOKUP(V1786,Tbl_Effect[],3,FALSE),EffectName[],IFERROR(MATCH(UI!$B$1,EffectName[#Headers],0),2),FALSE),"")</f>
        <v/>
      </c>
      <c r="X1786" t="str">
        <f t="shared" si="176"/>
        <v/>
      </c>
      <c r="Y1786">
        <v>0</v>
      </c>
      <c r="Z1786" t="str">
        <f>IF(Y1786&lt;&gt;0,VLOOKUP(VLOOKUP(Y1786,Tbl_Effect[],3,FALSE),EffectName[],IFERROR(MATCH(UI!$B$1,EffectName[#Headers],0),2),FALSE),"")</f>
        <v/>
      </c>
      <c r="AA1786" t="str">
        <f t="shared" si="177"/>
        <v/>
      </c>
      <c r="AB1786">
        <v>0</v>
      </c>
      <c r="AC1786" t="str">
        <f>IF(AB1786&lt;&gt;0,VLOOKUP(VLOOKUP(AB1786,Tbl_Effect[],3,FALSE),EffectName[],IFERROR(MATCH(UI!$B$1,EffectName[#Headers],0),2),FALSE),"")</f>
        <v/>
      </c>
    </row>
    <row r="1787" spans="8:29" x14ac:dyDescent="0.4">
      <c r="H1787" t="str">
        <f t="shared" si="174"/>
        <v/>
      </c>
      <c r="I1787">
        <v>0</v>
      </c>
      <c r="J1787" t="str">
        <f>_xlfn.IFNA(IF(I1787&lt;&gt;0,VLOOKUP(VLOOKUP(I1787,Tbl_Equip[],2,FALSE),Tbl_Color[],IFERROR(MATCH(UI!$B$1,Tbl_Color[#Headers],0),2),FALSE),""),"Unset")</f>
        <v/>
      </c>
      <c r="K1787" t="str">
        <f>_xlfn.IFNA(IF(I1787&lt;&gt;0,VLOOKUP(I1787,ItemText[],IFERROR(MATCH(UI!$B$1,ItemText[#Headers],0),2),FALSE),""),"Unset")</f>
        <v/>
      </c>
      <c r="M1787">
        <v>0</v>
      </c>
      <c r="P1787">
        <v>0</v>
      </c>
      <c r="S1787">
        <v>0</v>
      </c>
      <c r="T1787" t="str">
        <f>IF(VALUE(S1787)=0,"",VLOOKUP(VLOOKUP(S1787,Tbl_Effect[],3,FALSE),EffectName[],IFERROR(MATCH(UI!$B$1,EffectName[#Headers],0),2),FALSE))</f>
        <v/>
      </c>
      <c r="U1787" t="str">
        <f t="shared" si="175"/>
        <v/>
      </c>
      <c r="V1787">
        <v>0</v>
      </c>
      <c r="W1787" t="str">
        <f>IF(V1787&lt;&gt;0,VLOOKUP(VLOOKUP(V1787,Tbl_Effect[],3,FALSE),EffectName[],IFERROR(MATCH(UI!$B$1,EffectName[#Headers],0),2),FALSE),"")</f>
        <v/>
      </c>
      <c r="X1787" t="str">
        <f t="shared" si="176"/>
        <v/>
      </c>
      <c r="Y1787">
        <v>0</v>
      </c>
      <c r="Z1787" t="str">
        <f>IF(Y1787&lt;&gt;0,VLOOKUP(VLOOKUP(Y1787,Tbl_Effect[],3,FALSE),EffectName[],IFERROR(MATCH(UI!$B$1,EffectName[#Headers],0),2),FALSE),"")</f>
        <v/>
      </c>
      <c r="AA1787" t="str">
        <f t="shared" si="177"/>
        <v/>
      </c>
      <c r="AB1787">
        <v>0</v>
      </c>
      <c r="AC1787" t="str">
        <f>IF(AB1787&lt;&gt;0,VLOOKUP(VLOOKUP(AB1787,Tbl_Effect[],3,FALSE),EffectName[],IFERROR(MATCH(UI!$B$1,EffectName[#Headers],0),2),FALSE),"")</f>
        <v/>
      </c>
    </row>
    <row r="1788" spans="8:29" x14ac:dyDescent="0.4">
      <c r="H1788" t="str">
        <f t="shared" si="174"/>
        <v/>
      </c>
      <c r="I1788">
        <v>0</v>
      </c>
      <c r="J1788" t="str">
        <f>_xlfn.IFNA(IF(I1788&lt;&gt;0,VLOOKUP(VLOOKUP(I1788,Tbl_Equip[],2,FALSE),Tbl_Color[],IFERROR(MATCH(UI!$B$1,Tbl_Color[#Headers],0),2),FALSE),""),"Unset")</f>
        <v/>
      </c>
      <c r="K1788" t="str">
        <f>_xlfn.IFNA(IF(I1788&lt;&gt;0,VLOOKUP(I1788,ItemText[],IFERROR(MATCH(UI!$B$1,ItemText[#Headers],0),2),FALSE),""),"Unset")</f>
        <v/>
      </c>
      <c r="M1788">
        <v>0</v>
      </c>
      <c r="P1788">
        <v>0</v>
      </c>
      <c r="S1788">
        <v>0</v>
      </c>
      <c r="T1788" t="str">
        <f>IF(VALUE(S1788)=0,"",VLOOKUP(VLOOKUP(S1788,Tbl_Effect[],3,FALSE),EffectName[],IFERROR(MATCH(UI!$B$1,EffectName[#Headers],0),2),FALSE))</f>
        <v/>
      </c>
      <c r="U1788" t="str">
        <f t="shared" si="175"/>
        <v/>
      </c>
      <c r="V1788">
        <v>0</v>
      </c>
      <c r="W1788" t="str">
        <f>IF(V1788&lt;&gt;0,VLOOKUP(VLOOKUP(V1788,Tbl_Effect[],3,FALSE),EffectName[],IFERROR(MATCH(UI!$B$1,EffectName[#Headers],0),2),FALSE),"")</f>
        <v/>
      </c>
      <c r="X1788" t="str">
        <f t="shared" si="176"/>
        <v/>
      </c>
      <c r="Y1788">
        <v>0</v>
      </c>
      <c r="Z1788" t="str">
        <f>IF(Y1788&lt;&gt;0,VLOOKUP(VLOOKUP(Y1788,Tbl_Effect[],3,FALSE),EffectName[],IFERROR(MATCH(UI!$B$1,EffectName[#Headers],0),2),FALSE),"")</f>
        <v/>
      </c>
      <c r="AA1788" t="str">
        <f t="shared" si="177"/>
        <v/>
      </c>
      <c r="AB1788">
        <v>0</v>
      </c>
      <c r="AC1788" t="str">
        <f>IF(AB1788&lt;&gt;0,VLOOKUP(VLOOKUP(AB1788,Tbl_Effect[],3,FALSE),EffectName[],IFERROR(MATCH(UI!$B$1,EffectName[#Headers],0),2),FALSE),"")</f>
        <v/>
      </c>
    </row>
    <row r="1789" spans="8:29" x14ac:dyDescent="0.4">
      <c r="H1789" t="str">
        <f t="shared" si="174"/>
        <v/>
      </c>
      <c r="I1789">
        <v>0</v>
      </c>
      <c r="J1789" t="str">
        <f>_xlfn.IFNA(IF(I1789&lt;&gt;0,VLOOKUP(VLOOKUP(I1789,Tbl_Equip[],2,FALSE),Tbl_Color[],IFERROR(MATCH(UI!$B$1,Tbl_Color[#Headers],0),2),FALSE),""),"Unset")</f>
        <v/>
      </c>
      <c r="K1789" t="str">
        <f>_xlfn.IFNA(IF(I1789&lt;&gt;0,VLOOKUP(I1789,ItemText[],IFERROR(MATCH(UI!$B$1,ItemText[#Headers],0),2),FALSE),""),"Unset")</f>
        <v/>
      </c>
      <c r="M1789">
        <v>0</v>
      </c>
      <c r="P1789">
        <v>0</v>
      </c>
      <c r="S1789">
        <v>0</v>
      </c>
      <c r="T1789" t="str">
        <f>IF(VALUE(S1789)=0,"",VLOOKUP(VLOOKUP(S1789,Tbl_Effect[],3,FALSE),EffectName[],IFERROR(MATCH(UI!$B$1,EffectName[#Headers],0),2),FALSE))</f>
        <v/>
      </c>
      <c r="U1789" t="str">
        <f t="shared" si="175"/>
        <v/>
      </c>
      <c r="V1789">
        <v>0</v>
      </c>
      <c r="W1789" t="str">
        <f>IF(V1789&lt;&gt;0,VLOOKUP(VLOOKUP(V1789,Tbl_Effect[],3,FALSE),EffectName[],IFERROR(MATCH(UI!$B$1,EffectName[#Headers],0),2),FALSE),"")</f>
        <v/>
      </c>
      <c r="X1789" t="str">
        <f t="shared" si="176"/>
        <v/>
      </c>
      <c r="Y1789">
        <v>0</v>
      </c>
      <c r="Z1789" t="str">
        <f>IF(Y1789&lt;&gt;0,VLOOKUP(VLOOKUP(Y1789,Tbl_Effect[],3,FALSE),EffectName[],IFERROR(MATCH(UI!$B$1,EffectName[#Headers],0),2),FALSE),"")</f>
        <v/>
      </c>
      <c r="AA1789" t="str">
        <f t="shared" si="177"/>
        <v/>
      </c>
      <c r="AB1789">
        <v>0</v>
      </c>
      <c r="AC1789" t="str">
        <f>IF(AB1789&lt;&gt;0,VLOOKUP(VLOOKUP(AB1789,Tbl_Effect[],3,FALSE),EffectName[],IFERROR(MATCH(UI!$B$1,EffectName[#Headers],0),2),FALSE),"")</f>
        <v/>
      </c>
    </row>
    <row r="1790" spans="8:29" x14ac:dyDescent="0.4">
      <c r="H1790" t="str">
        <f t="shared" si="174"/>
        <v/>
      </c>
      <c r="I1790">
        <v>0</v>
      </c>
      <c r="J1790" t="str">
        <f>_xlfn.IFNA(IF(I1790&lt;&gt;0,VLOOKUP(VLOOKUP(I1790,Tbl_Equip[],2,FALSE),Tbl_Color[],IFERROR(MATCH(UI!$B$1,Tbl_Color[#Headers],0),2),FALSE),""),"Unset")</f>
        <v/>
      </c>
      <c r="K1790" t="str">
        <f>_xlfn.IFNA(IF(I1790&lt;&gt;0,VLOOKUP(I1790,ItemText[],IFERROR(MATCH(UI!$B$1,ItemText[#Headers],0),2),FALSE),""),"Unset")</f>
        <v/>
      </c>
      <c r="M1790">
        <v>0</v>
      </c>
      <c r="P1790">
        <v>0</v>
      </c>
      <c r="S1790">
        <v>0</v>
      </c>
      <c r="T1790" t="str">
        <f>IF(VALUE(S1790)=0,"",VLOOKUP(VLOOKUP(S1790,Tbl_Effect[],3,FALSE),EffectName[],IFERROR(MATCH(UI!$B$1,EffectName[#Headers],0),2),FALSE))</f>
        <v/>
      </c>
      <c r="U1790" t="str">
        <f t="shared" si="175"/>
        <v/>
      </c>
      <c r="V1790">
        <v>0</v>
      </c>
      <c r="W1790" t="str">
        <f>IF(V1790&lt;&gt;0,VLOOKUP(VLOOKUP(V1790,Tbl_Effect[],3,FALSE),EffectName[],IFERROR(MATCH(UI!$B$1,EffectName[#Headers],0),2),FALSE),"")</f>
        <v/>
      </c>
      <c r="X1790" t="str">
        <f t="shared" si="176"/>
        <v/>
      </c>
      <c r="Y1790">
        <v>0</v>
      </c>
      <c r="Z1790" t="str">
        <f>IF(Y1790&lt;&gt;0,VLOOKUP(VLOOKUP(Y1790,Tbl_Effect[],3,FALSE),EffectName[],IFERROR(MATCH(UI!$B$1,EffectName[#Headers],0),2),FALSE),"")</f>
        <v/>
      </c>
      <c r="AA1790" t="str">
        <f t="shared" si="177"/>
        <v/>
      </c>
      <c r="AB1790">
        <v>0</v>
      </c>
      <c r="AC1790" t="str">
        <f>IF(AB1790&lt;&gt;0,VLOOKUP(VLOOKUP(AB1790,Tbl_Effect[],3,FALSE),EffectName[],IFERROR(MATCH(UI!$B$1,EffectName[#Headers],0),2),FALSE),"")</f>
        <v/>
      </c>
    </row>
    <row r="1791" spans="8:29" x14ac:dyDescent="0.4">
      <c r="H1791" t="str">
        <f t="shared" si="174"/>
        <v/>
      </c>
      <c r="I1791">
        <v>0</v>
      </c>
      <c r="J1791" t="str">
        <f>_xlfn.IFNA(IF(I1791&lt;&gt;0,VLOOKUP(VLOOKUP(I1791,Tbl_Equip[],2,FALSE),Tbl_Color[],IFERROR(MATCH(UI!$B$1,Tbl_Color[#Headers],0),2),FALSE),""),"Unset")</f>
        <v/>
      </c>
      <c r="K1791" t="str">
        <f>_xlfn.IFNA(IF(I1791&lt;&gt;0,VLOOKUP(I1791,ItemText[],IFERROR(MATCH(UI!$B$1,ItemText[#Headers],0),2),FALSE),""),"Unset")</f>
        <v/>
      </c>
      <c r="M1791">
        <v>0</v>
      </c>
      <c r="P1791">
        <v>0</v>
      </c>
      <c r="S1791">
        <v>0</v>
      </c>
      <c r="T1791" t="str">
        <f>IF(VALUE(S1791)=0,"",VLOOKUP(VLOOKUP(S1791,Tbl_Effect[],3,FALSE),EffectName[],IFERROR(MATCH(UI!$B$1,EffectName[#Headers],0),2),FALSE))</f>
        <v/>
      </c>
      <c r="U1791" t="str">
        <f t="shared" si="175"/>
        <v/>
      </c>
      <c r="V1791">
        <v>0</v>
      </c>
      <c r="W1791" t="str">
        <f>IF(V1791&lt;&gt;0,VLOOKUP(VLOOKUP(V1791,Tbl_Effect[],3,FALSE),EffectName[],IFERROR(MATCH(UI!$B$1,EffectName[#Headers],0),2),FALSE),"")</f>
        <v/>
      </c>
      <c r="X1791" t="str">
        <f t="shared" si="176"/>
        <v/>
      </c>
      <c r="Y1791">
        <v>0</v>
      </c>
      <c r="Z1791" t="str">
        <f>IF(Y1791&lt;&gt;0,VLOOKUP(VLOOKUP(Y1791,Tbl_Effect[],3,FALSE),EffectName[],IFERROR(MATCH(UI!$B$1,EffectName[#Headers],0),2),FALSE),"")</f>
        <v/>
      </c>
      <c r="AA1791" t="str">
        <f t="shared" si="177"/>
        <v/>
      </c>
      <c r="AB1791">
        <v>0</v>
      </c>
      <c r="AC1791" t="str">
        <f>IF(AB1791&lt;&gt;0,VLOOKUP(VLOOKUP(AB1791,Tbl_Effect[],3,FALSE),EffectName[],IFERROR(MATCH(UI!$B$1,EffectName[#Headers],0),2),FALSE),"")</f>
        <v/>
      </c>
    </row>
    <row r="1792" spans="8:29" x14ac:dyDescent="0.4">
      <c r="H1792" t="str">
        <f t="shared" si="174"/>
        <v/>
      </c>
      <c r="I1792">
        <v>0</v>
      </c>
      <c r="J1792" t="str">
        <f>_xlfn.IFNA(IF(I1792&lt;&gt;0,VLOOKUP(VLOOKUP(I1792,Tbl_Equip[],2,FALSE),Tbl_Color[],IFERROR(MATCH(UI!$B$1,Tbl_Color[#Headers],0),2),FALSE),""),"Unset")</f>
        <v/>
      </c>
      <c r="K1792" t="str">
        <f>_xlfn.IFNA(IF(I1792&lt;&gt;0,VLOOKUP(I1792,ItemText[],IFERROR(MATCH(UI!$B$1,ItemText[#Headers],0),2),FALSE),""),"Unset")</f>
        <v/>
      </c>
      <c r="M1792">
        <v>0</v>
      </c>
      <c r="P1792">
        <v>0</v>
      </c>
      <c r="S1792">
        <v>0</v>
      </c>
      <c r="T1792" t="str">
        <f>IF(VALUE(S1792)=0,"",VLOOKUP(VLOOKUP(S1792,Tbl_Effect[],3,FALSE),EffectName[],IFERROR(MATCH(UI!$B$1,EffectName[#Headers],0),2),FALSE))</f>
        <v/>
      </c>
      <c r="U1792" t="str">
        <f t="shared" si="175"/>
        <v/>
      </c>
      <c r="V1792">
        <v>0</v>
      </c>
      <c r="W1792" t="str">
        <f>IF(V1792&lt;&gt;0,VLOOKUP(VLOOKUP(V1792,Tbl_Effect[],3,FALSE),EffectName[],IFERROR(MATCH(UI!$B$1,EffectName[#Headers],0),2),FALSE),"")</f>
        <v/>
      </c>
      <c r="X1792" t="str">
        <f t="shared" si="176"/>
        <v/>
      </c>
      <c r="Y1792">
        <v>0</v>
      </c>
      <c r="Z1792" t="str">
        <f>IF(Y1792&lt;&gt;0,VLOOKUP(VLOOKUP(Y1792,Tbl_Effect[],3,FALSE),EffectName[],IFERROR(MATCH(UI!$B$1,EffectName[#Headers],0),2),FALSE),"")</f>
        <v/>
      </c>
      <c r="AA1792" t="str">
        <f t="shared" si="177"/>
        <v/>
      </c>
      <c r="AB1792">
        <v>0</v>
      </c>
      <c r="AC1792" t="str">
        <f>IF(AB1792&lt;&gt;0,VLOOKUP(VLOOKUP(AB1792,Tbl_Effect[],3,FALSE),EffectName[],IFERROR(MATCH(UI!$B$1,EffectName[#Headers],0),2),FALSE),"")</f>
        <v/>
      </c>
    </row>
    <row r="1793" spans="8:29" x14ac:dyDescent="0.4">
      <c r="H1793" t="str">
        <f t="shared" si="174"/>
        <v/>
      </c>
      <c r="I1793">
        <v>0</v>
      </c>
      <c r="J1793" t="str">
        <f>_xlfn.IFNA(IF(I1793&lt;&gt;0,VLOOKUP(VLOOKUP(I1793,Tbl_Equip[],2,FALSE),Tbl_Color[],IFERROR(MATCH(UI!$B$1,Tbl_Color[#Headers],0),2),FALSE),""),"Unset")</f>
        <v/>
      </c>
      <c r="K1793" t="str">
        <f>_xlfn.IFNA(IF(I1793&lt;&gt;0,VLOOKUP(I1793,ItemText[],IFERROR(MATCH(UI!$B$1,ItemText[#Headers],0),2),FALSE),""),"Unset")</f>
        <v/>
      </c>
      <c r="M1793">
        <v>0</v>
      </c>
      <c r="P1793">
        <v>0</v>
      </c>
      <c r="S1793">
        <v>0</v>
      </c>
      <c r="T1793" t="str">
        <f>IF(VALUE(S1793)=0,"",VLOOKUP(VLOOKUP(S1793,Tbl_Effect[],3,FALSE),EffectName[],IFERROR(MATCH(UI!$B$1,EffectName[#Headers],0),2),FALSE))</f>
        <v/>
      </c>
      <c r="U1793" t="str">
        <f t="shared" si="175"/>
        <v/>
      </c>
      <c r="V1793">
        <v>0</v>
      </c>
      <c r="W1793" t="str">
        <f>IF(V1793&lt;&gt;0,VLOOKUP(VLOOKUP(V1793,Tbl_Effect[],3,FALSE),EffectName[],IFERROR(MATCH(UI!$B$1,EffectName[#Headers],0),2),FALSE),"")</f>
        <v/>
      </c>
      <c r="X1793" t="str">
        <f t="shared" si="176"/>
        <v/>
      </c>
      <c r="Y1793">
        <v>0</v>
      </c>
      <c r="Z1793" t="str">
        <f>IF(Y1793&lt;&gt;0,VLOOKUP(VLOOKUP(Y1793,Tbl_Effect[],3,FALSE),EffectName[],IFERROR(MATCH(UI!$B$1,EffectName[#Headers],0),2),FALSE),"")</f>
        <v/>
      </c>
      <c r="AA1793" t="str">
        <f t="shared" si="177"/>
        <v/>
      </c>
      <c r="AB1793">
        <v>0</v>
      </c>
      <c r="AC1793" t="str">
        <f>IF(AB1793&lt;&gt;0,VLOOKUP(VLOOKUP(AB1793,Tbl_Effect[],3,FALSE),EffectName[],IFERROR(MATCH(UI!$B$1,EffectName[#Headers],0),2),FALSE),"")</f>
        <v/>
      </c>
    </row>
    <row r="1794" spans="8:29" x14ac:dyDescent="0.4">
      <c r="H1794" t="str">
        <f t="shared" si="174"/>
        <v/>
      </c>
      <c r="I1794">
        <v>0</v>
      </c>
      <c r="J1794" t="str">
        <f>_xlfn.IFNA(IF(I1794&lt;&gt;0,VLOOKUP(VLOOKUP(I1794,Tbl_Equip[],2,FALSE),Tbl_Color[],IFERROR(MATCH(UI!$B$1,Tbl_Color[#Headers],0),2),FALSE),""),"Unset")</f>
        <v/>
      </c>
      <c r="K1794" t="str">
        <f>_xlfn.IFNA(IF(I1794&lt;&gt;0,VLOOKUP(I1794,ItemText[],IFERROR(MATCH(UI!$B$1,ItemText[#Headers],0),2),FALSE),""),"Unset")</f>
        <v/>
      </c>
      <c r="M1794">
        <v>0</v>
      </c>
      <c r="P1794">
        <v>0</v>
      </c>
      <c r="S1794">
        <v>0</v>
      </c>
      <c r="T1794" t="str">
        <f>IF(VALUE(S1794)=0,"",VLOOKUP(VLOOKUP(S1794,Tbl_Effect[],3,FALSE),EffectName[],IFERROR(MATCH(UI!$B$1,EffectName[#Headers],0),2),FALSE))</f>
        <v/>
      </c>
      <c r="U1794" t="str">
        <f t="shared" si="175"/>
        <v/>
      </c>
      <c r="V1794">
        <v>0</v>
      </c>
      <c r="W1794" t="str">
        <f>IF(V1794&lt;&gt;0,VLOOKUP(VLOOKUP(V1794,Tbl_Effect[],3,FALSE),EffectName[],IFERROR(MATCH(UI!$B$1,EffectName[#Headers],0),2),FALSE),"")</f>
        <v/>
      </c>
      <c r="X1794" t="str">
        <f t="shared" si="176"/>
        <v/>
      </c>
      <c r="Y1794">
        <v>0</v>
      </c>
      <c r="Z1794" t="str">
        <f>IF(Y1794&lt;&gt;0,VLOOKUP(VLOOKUP(Y1794,Tbl_Effect[],3,FALSE),EffectName[],IFERROR(MATCH(UI!$B$1,EffectName[#Headers],0),2),FALSE),"")</f>
        <v/>
      </c>
      <c r="AA1794" t="str">
        <f t="shared" si="177"/>
        <v/>
      </c>
      <c r="AB1794">
        <v>0</v>
      </c>
      <c r="AC1794" t="str">
        <f>IF(AB1794&lt;&gt;0,VLOOKUP(VLOOKUP(AB1794,Tbl_Effect[],3,FALSE),EffectName[],IFERROR(MATCH(UI!$B$1,EffectName[#Headers],0),2),FALSE),"")</f>
        <v/>
      </c>
    </row>
    <row r="1795" spans="8:29" x14ac:dyDescent="0.4">
      <c r="H1795" t="str">
        <f t="shared" ref="H1795:H1858" si="178">IF(VALUE(I1795)&lt;&gt;0,I1795&amp;"-"&amp;K1795&amp;" ("&amp;J1795&amp;")","")</f>
        <v/>
      </c>
      <c r="I1795">
        <v>0</v>
      </c>
      <c r="J1795" t="str">
        <f>_xlfn.IFNA(IF(I1795&lt;&gt;0,VLOOKUP(VLOOKUP(I1795,Tbl_Equip[],2,FALSE),Tbl_Color[],IFERROR(MATCH(UI!$B$1,Tbl_Color[#Headers],0),2),FALSE),""),"Unset")</f>
        <v/>
      </c>
      <c r="K1795" t="str">
        <f>_xlfn.IFNA(IF(I1795&lt;&gt;0,VLOOKUP(I1795,ItemText[],IFERROR(MATCH(UI!$B$1,ItemText[#Headers],0),2),FALSE),""),"Unset")</f>
        <v/>
      </c>
      <c r="M1795">
        <v>0</v>
      </c>
      <c r="P1795">
        <v>0</v>
      </c>
      <c r="S1795">
        <v>0</v>
      </c>
      <c r="T1795" t="str">
        <f>IF(VALUE(S1795)=0,"",VLOOKUP(VLOOKUP(S1795,Tbl_Effect[],3,FALSE),EffectName[],IFERROR(MATCH(UI!$B$1,EffectName[#Headers],0),2),FALSE))</f>
        <v/>
      </c>
      <c r="U1795" t="str">
        <f t="shared" ref="U1795:U1858" si="179">IF(VALUE(V1795)=0,"",V1795&amp;"-"&amp;W1795)</f>
        <v/>
      </c>
      <c r="V1795">
        <v>0</v>
      </c>
      <c r="W1795" t="str">
        <f>IF(V1795&lt;&gt;0,VLOOKUP(VLOOKUP(V1795,Tbl_Effect[],3,FALSE),EffectName[],IFERROR(MATCH(UI!$B$1,EffectName[#Headers],0),2),FALSE),"")</f>
        <v/>
      </c>
      <c r="X1795" t="str">
        <f t="shared" ref="X1795:X1858" si="180">IF(VALUE(Y1795)=0,"",Y1795&amp;"-"&amp;Z1795)</f>
        <v/>
      </c>
      <c r="Y1795">
        <v>0</v>
      </c>
      <c r="Z1795" t="str">
        <f>IF(Y1795&lt;&gt;0,VLOOKUP(VLOOKUP(Y1795,Tbl_Effect[],3,FALSE),EffectName[],IFERROR(MATCH(UI!$B$1,EffectName[#Headers],0),2),FALSE),"")</f>
        <v/>
      </c>
      <c r="AA1795" t="str">
        <f t="shared" ref="AA1795:AA1858" si="181">IF(VALUE(AB1795)=0,"",AB1795&amp;"-"&amp;AC1795)</f>
        <v/>
      </c>
      <c r="AB1795">
        <v>0</v>
      </c>
      <c r="AC1795" t="str">
        <f>IF(AB1795&lt;&gt;0,VLOOKUP(VLOOKUP(AB1795,Tbl_Effect[],3,FALSE),EffectName[],IFERROR(MATCH(UI!$B$1,EffectName[#Headers],0),2),FALSE),"")</f>
        <v/>
      </c>
    </row>
    <row r="1796" spans="8:29" x14ac:dyDescent="0.4">
      <c r="H1796" t="str">
        <f t="shared" si="178"/>
        <v/>
      </c>
      <c r="I1796">
        <v>0</v>
      </c>
      <c r="J1796" t="str">
        <f>_xlfn.IFNA(IF(I1796&lt;&gt;0,VLOOKUP(VLOOKUP(I1796,Tbl_Equip[],2,FALSE),Tbl_Color[],IFERROR(MATCH(UI!$B$1,Tbl_Color[#Headers],0),2),FALSE),""),"Unset")</f>
        <v/>
      </c>
      <c r="K1796" t="str">
        <f>_xlfn.IFNA(IF(I1796&lt;&gt;0,VLOOKUP(I1796,ItemText[],IFERROR(MATCH(UI!$B$1,ItemText[#Headers],0),2),FALSE),""),"Unset")</f>
        <v/>
      </c>
      <c r="M1796">
        <v>0</v>
      </c>
      <c r="P1796">
        <v>0</v>
      </c>
      <c r="S1796">
        <v>0</v>
      </c>
      <c r="T1796" t="str">
        <f>IF(VALUE(S1796)=0,"",VLOOKUP(VLOOKUP(S1796,Tbl_Effect[],3,FALSE),EffectName[],IFERROR(MATCH(UI!$B$1,EffectName[#Headers],0),2),FALSE))</f>
        <v/>
      </c>
      <c r="U1796" t="str">
        <f t="shared" si="179"/>
        <v/>
      </c>
      <c r="V1796">
        <v>0</v>
      </c>
      <c r="W1796" t="str">
        <f>IF(V1796&lt;&gt;0,VLOOKUP(VLOOKUP(V1796,Tbl_Effect[],3,FALSE),EffectName[],IFERROR(MATCH(UI!$B$1,EffectName[#Headers],0),2),FALSE),"")</f>
        <v/>
      </c>
      <c r="X1796" t="str">
        <f t="shared" si="180"/>
        <v/>
      </c>
      <c r="Y1796">
        <v>0</v>
      </c>
      <c r="Z1796" t="str">
        <f>IF(Y1796&lt;&gt;0,VLOOKUP(VLOOKUP(Y1796,Tbl_Effect[],3,FALSE),EffectName[],IFERROR(MATCH(UI!$B$1,EffectName[#Headers],0),2),FALSE),"")</f>
        <v/>
      </c>
      <c r="AA1796" t="str">
        <f t="shared" si="181"/>
        <v/>
      </c>
      <c r="AB1796">
        <v>0</v>
      </c>
      <c r="AC1796" t="str">
        <f>IF(AB1796&lt;&gt;0,VLOOKUP(VLOOKUP(AB1796,Tbl_Effect[],3,FALSE),EffectName[],IFERROR(MATCH(UI!$B$1,EffectName[#Headers],0),2),FALSE),"")</f>
        <v/>
      </c>
    </row>
    <row r="1797" spans="8:29" x14ac:dyDescent="0.4">
      <c r="H1797" t="str">
        <f t="shared" si="178"/>
        <v/>
      </c>
      <c r="I1797">
        <v>0</v>
      </c>
      <c r="J1797" t="str">
        <f>_xlfn.IFNA(IF(I1797&lt;&gt;0,VLOOKUP(VLOOKUP(I1797,Tbl_Equip[],2,FALSE),Tbl_Color[],IFERROR(MATCH(UI!$B$1,Tbl_Color[#Headers],0),2),FALSE),""),"Unset")</f>
        <v/>
      </c>
      <c r="K1797" t="str">
        <f>_xlfn.IFNA(IF(I1797&lt;&gt;0,VLOOKUP(I1797,ItemText[],IFERROR(MATCH(UI!$B$1,ItemText[#Headers],0),2),FALSE),""),"Unset")</f>
        <v/>
      </c>
      <c r="M1797">
        <v>0</v>
      </c>
      <c r="P1797">
        <v>0</v>
      </c>
      <c r="S1797">
        <v>0</v>
      </c>
      <c r="T1797" t="str">
        <f>IF(VALUE(S1797)=0,"",VLOOKUP(VLOOKUP(S1797,Tbl_Effect[],3,FALSE),EffectName[],IFERROR(MATCH(UI!$B$1,EffectName[#Headers],0),2),FALSE))</f>
        <v/>
      </c>
      <c r="U1797" t="str">
        <f t="shared" si="179"/>
        <v/>
      </c>
      <c r="V1797">
        <v>0</v>
      </c>
      <c r="W1797" t="str">
        <f>IF(V1797&lt;&gt;0,VLOOKUP(VLOOKUP(V1797,Tbl_Effect[],3,FALSE),EffectName[],IFERROR(MATCH(UI!$B$1,EffectName[#Headers],0),2),FALSE),"")</f>
        <v/>
      </c>
      <c r="X1797" t="str">
        <f t="shared" si="180"/>
        <v/>
      </c>
      <c r="Y1797">
        <v>0</v>
      </c>
      <c r="Z1797" t="str">
        <f>IF(Y1797&lt;&gt;0,VLOOKUP(VLOOKUP(Y1797,Tbl_Effect[],3,FALSE),EffectName[],IFERROR(MATCH(UI!$B$1,EffectName[#Headers],0),2),FALSE),"")</f>
        <v/>
      </c>
      <c r="AA1797" t="str">
        <f t="shared" si="181"/>
        <v/>
      </c>
      <c r="AB1797">
        <v>0</v>
      </c>
      <c r="AC1797" t="str">
        <f>IF(AB1797&lt;&gt;0,VLOOKUP(VLOOKUP(AB1797,Tbl_Effect[],3,FALSE),EffectName[],IFERROR(MATCH(UI!$B$1,EffectName[#Headers],0),2),FALSE),"")</f>
        <v/>
      </c>
    </row>
    <row r="1798" spans="8:29" x14ac:dyDescent="0.4">
      <c r="H1798" t="str">
        <f t="shared" si="178"/>
        <v/>
      </c>
      <c r="I1798">
        <v>0</v>
      </c>
      <c r="J1798" t="str">
        <f>_xlfn.IFNA(IF(I1798&lt;&gt;0,VLOOKUP(VLOOKUP(I1798,Tbl_Equip[],2,FALSE),Tbl_Color[],IFERROR(MATCH(UI!$B$1,Tbl_Color[#Headers],0),2),FALSE),""),"Unset")</f>
        <v/>
      </c>
      <c r="K1798" t="str">
        <f>_xlfn.IFNA(IF(I1798&lt;&gt;0,VLOOKUP(I1798,ItemText[],IFERROR(MATCH(UI!$B$1,ItemText[#Headers],0),2),FALSE),""),"Unset")</f>
        <v/>
      </c>
      <c r="M1798">
        <v>0</v>
      </c>
      <c r="P1798">
        <v>0</v>
      </c>
      <c r="S1798">
        <v>0</v>
      </c>
      <c r="T1798" t="str">
        <f>IF(VALUE(S1798)=0,"",VLOOKUP(VLOOKUP(S1798,Tbl_Effect[],3,FALSE),EffectName[],IFERROR(MATCH(UI!$B$1,EffectName[#Headers],0),2),FALSE))</f>
        <v/>
      </c>
      <c r="U1798" t="str">
        <f t="shared" si="179"/>
        <v/>
      </c>
      <c r="V1798">
        <v>0</v>
      </c>
      <c r="W1798" t="str">
        <f>IF(V1798&lt;&gt;0,VLOOKUP(VLOOKUP(V1798,Tbl_Effect[],3,FALSE),EffectName[],IFERROR(MATCH(UI!$B$1,EffectName[#Headers],0),2),FALSE),"")</f>
        <v/>
      </c>
      <c r="X1798" t="str">
        <f t="shared" si="180"/>
        <v/>
      </c>
      <c r="Y1798">
        <v>0</v>
      </c>
      <c r="Z1798" t="str">
        <f>IF(Y1798&lt;&gt;0,VLOOKUP(VLOOKUP(Y1798,Tbl_Effect[],3,FALSE),EffectName[],IFERROR(MATCH(UI!$B$1,EffectName[#Headers],0),2),FALSE),"")</f>
        <v/>
      </c>
      <c r="AA1798" t="str">
        <f t="shared" si="181"/>
        <v/>
      </c>
      <c r="AB1798">
        <v>0</v>
      </c>
      <c r="AC1798" t="str">
        <f>IF(AB1798&lt;&gt;0,VLOOKUP(VLOOKUP(AB1798,Tbl_Effect[],3,FALSE),EffectName[],IFERROR(MATCH(UI!$B$1,EffectName[#Headers],0),2),FALSE),"")</f>
        <v/>
      </c>
    </row>
    <row r="1799" spans="8:29" x14ac:dyDescent="0.4">
      <c r="H1799" t="str">
        <f t="shared" si="178"/>
        <v/>
      </c>
      <c r="I1799">
        <v>0</v>
      </c>
      <c r="J1799" t="str">
        <f>_xlfn.IFNA(IF(I1799&lt;&gt;0,VLOOKUP(VLOOKUP(I1799,Tbl_Equip[],2,FALSE),Tbl_Color[],IFERROR(MATCH(UI!$B$1,Tbl_Color[#Headers],0),2),FALSE),""),"Unset")</f>
        <v/>
      </c>
      <c r="K1799" t="str">
        <f>_xlfn.IFNA(IF(I1799&lt;&gt;0,VLOOKUP(I1799,ItemText[],IFERROR(MATCH(UI!$B$1,ItemText[#Headers],0),2),FALSE),""),"Unset")</f>
        <v/>
      </c>
      <c r="M1799">
        <v>0</v>
      </c>
      <c r="P1799">
        <v>0</v>
      </c>
      <c r="S1799">
        <v>0</v>
      </c>
      <c r="T1799" t="str">
        <f>IF(VALUE(S1799)=0,"",VLOOKUP(VLOOKUP(S1799,Tbl_Effect[],3,FALSE),EffectName[],IFERROR(MATCH(UI!$B$1,EffectName[#Headers],0),2),FALSE))</f>
        <v/>
      </c>
      <c r="U1799" t="str">
        <f t="shared" si="179"/>
        <v/>
      </c>
      <c r="V1799">
        <v>0</v>
      </c>
      <c r="W1799" t="str">
        <f>IF(V1799&lt;&gt;0,VLOOKUP(VLOOKUP(V1799,Tbl_Effect[],3,FALSE),EffectName[],IFERROR(MATCH(UI!$B$1,EffectName[#Headers],0),2),FALSE),"")</f>
        <v/>
      </c>
      <c r="X1799" t="str">
        <f t="shared" si="180"/>
        <v/>
      </c>
      <c r="Y1799">
        <v>0</v>
      </c>
      <c r="Z1799" t="str">
        <f>IF(Y1799&lt;&gt;0,VLOOKUP(VLOOKUP(Y1799,Tbl_Effect[],3,FALSE),EffectName[],IFERROR(MATCH(UI!$B$1,EffectName[#Headers],0),2),FALSE),"")</f>
        <v/>
      </c>
      <c r="AA1799" t="str">
        <f t="shared" si="181"/>
        <v/>
      </c>
      <c r="AB1799">
        <v>0</v>
      </c>
      <c r="AC1799" t="str">
        <f>IF(AB1799&lt;&gt;0,VLOOKUP(VLOOKUP(AB1799,Tbl_Effect[],3,FALSE),EffectName[],IFERROR(MATCH(UI!$B$1,EffectName[#Headers],0),2),FALSE),"")</f>
        <v/>
      </c>
    </row>
    <row r="1800" spans="8:29" x14ac:dyDescent="0.4">
      <c r="H1800" t="str">
        <f t="shared" si="178"/>
        <v/>
      </c>
      <c r="I1800">
        <v>0</v>
      </c>
      <c r="J1800" t="str">
        <f>_xlfn.IFNA(IF(I1800&lt;&gt;0,VLOOKUP(VLOOKUP(I1800,Tbl_Equip[],2,FALSE),Tbl_Color[],IFERROR(MATCH(UI!$B$1,Tbl_Color[#Headers],0),2),FALSE),""),"Unset")</f>
        <v/>
      </c>
      <c r="K1800" t="str">
        <f>_xlfn.IFNA(IF(I1800&lt;&gt;0,VLOOKUP(I1800,ItemText[],IFERROR(MATCH(UI!$B$1,ItemText[#Headers],0),2),FALSE),""),"Unset")</f>
        <v/>
      </c>
      <c r="M1800">
        <v>0</v>
      </c>
      <c r="P1800">
        <v>0</v>
      </c>
      <c r="S1800">
        <v>0</v>
      </c>
      <c r="T1800" t="str">
        <f>IF(VALUE(S1800)=0,"",VLOOKUP(VLOOKUP(S1800,Tbl_Effect[],3,FALSE),EffectName[],IFERROR(MATCH(UI!$B$1,EffectName[#Headers],0),2),FALSE))</f>
        <v/>
      </c>
      <c r="U1800" t="str">
        <f t="shared" si="179"/>
        <v/>
      </c>
      <c r="V1800">
        <v>0</v>
      </c>
      <c r="W1800" t="str">
        <f>IF(V1800&lt;&gt;0,VLOOKUP(VLOOKUP(V1800,Tbl_Effect[],3,FALSE),EffectName[],IFERROR(MATCH(UI!$B$1,EffectName[#Headers],0),2),FALSE),"")</f>
        <v/>
      </c>
      <c r="X1800" t="str">
        <f t="shared" si="180"/>
        <v/>
      </c>
      <c r="Y1800">
        <v>0</v>
      </c>
      <c r="Z1800" t="str">
        <f>IF(Y1800&lt;&gt;0,VLOOKUP(VLOOKUP(Y1800,Tbl_Effect[],3,FALSE),EffectName[],IFERROR(MATCH(UI!$B$1,EffectName[#Headers],0),2),FALSE),"")</f>
        <v/>
      </c>
      <c r="AA1800" t="str">
        <f t="shared" si="181"/>
        <v/>
      </c>
      <c r="AB1800">
        <v>0</v>
      </c>
      <c r="AC1800" t="str">
        <f>IF(AB1800&lt;&gt;0,VLOOKUP(VLOOKUP(AB1800,Tbl_Effect[],3,FALSE),EffectName[],IFERROR(MATCH(UI!$B$1,EffectName[#Headers],0),2),FALSE),"")</f>
        <v/>
      </c>
    </row>
    <row r="1801" spans="8:29" x14ac:dyDescent="0.4">
      <c r="H1801" t="str">
        <f t="shared" si="178"/>
        <v/>
      </c>
      <c r="I1801">
        <v>0</v>
      </c>
      <c r="J1801" t="str">
        <f>_xlfn.IFNA(IF(I1801&lt;&gt;0,VLOOKUP(VLOOKUP(I1801,Tbl_Equip[],2,FALSE),Tbl_Color[],IFERROR(MATCH(UI!$B$1,Tbl_Color[#Headers],0),2),FALSE),""),"Unset")</f>
        <v/>
      </c>
      <c r="K1801" t="str">
        <f>_xlfn.IFNA(IF(I1801&lt;&gt;0,VLOOKUP(I1801,ItemText[],IFERROR(MATCH(UI!$B$1,ItemText[#Headers],0),2),FALSE),""),"Unset")</f>
        <v/>
      </c>
      <c r="M1801">
        <v>0</v>
      </c>
      <c r="P1801">
        <v>0</v>
      </c>
      <c r="S1801">
        <v>0</v>
      </c>
      <c r="T1801" t="str">
        <f>IF(VALUE(S1801)=0,"",VLOOKUP(VLOOKUP(S1801,Tbl_Effect[],3,FALSE),EffectName[],IFERROR(MATCH(UI!$B$1,EffectName[#Headers],0),2),FALSE))</f>
        <v/>
      </c>
      <c r="U1801" t="str">
        <f t="shared" si="179"/>
        <v/>
      </c>
      <c r="V1801">
        <v>0</v>
      </c>
      <c r="W1801" t="str">
        <f>IF(V1801&lt;&gt;0,VLOOKUP(VLOOKUP(V1801,Tbl_Effect[],3,FALSE),EffectName[],IFERROR(MATCH(UI!$B$1,EffectName[#Headers],0),2),FALSE),"")</f>
        <v/>
      </c>
      <c r="X1801" t="str">
        <f t="shared" si="180"/>
        <v/>
      </c>
      <c r="Y1801">
        <v>0</v>
      </c>
      <c r="Z1801" t="str">
        <f>IF(Y1801&lt;&gt;0,VLOOKUP(VLOOKUP(Y1801,Tbl_Effect[],3,FALSE),EffectName[],IFERROR(MATCH(UI!$B$1,EffectName[#Headers],0),2),FALSE),"")</f>
        <v/>
      </c>
      <c r="AA1801" t="str">
        <f t="shared" si="181"/>
        <v/>
      </c>
      <c r="AB1801">
        <v>0</v>
      </c>
      <c r="AC1801" t="str">
        <f>IF(AB1801&lt;&gt;0,VLOOKUP(VLOOKUP(AB1801,Tbl_Effect[],3,FALSE),EffectName[],IFERROR(MATCH(UI!$B$1,EffectName[#Headers],0),2),FALSE),"")</f>
        <v/>
      </c>
    </row>
    <row r="1802" spans="8:29" x14ac:dyDescent="0.4">
      <c r="H1802" t="str">
        <f t="shared" si="178"/>
        <v/>
      </c>
      <c r="I1802">
        <v>0</v>
      </c>
      <c r="J1802" t="str">
        <f>_xlfn.IFNA(IF(I1802&lt;&gt;0,VLOOKUP(VLOOKUP(I1802,Tbl_Equip[],2,FALSE),Tbl_Color[],IFERROR(MATCH(UI!$B$1,Tbl_Color[#Headers],0),2),FALSE),""),"Unset")</f>
        <v/>
      </c>
      <c r="K1802" t="str">
        <f>_xlfn.IFNA(IF(I1802&lt;&gt;0,VLOOKUP(I1802,ItemText[],IFERROR(MATCH(UI!$B$1,ItemText[#Headers],0),2),FALSE),""),"Unset")</f>
        <v/>
      </c>
      <c r="M1802">
        <v>0</v>
      </c>
      <c r="P1802">
        <v>0</v>
      </c>
      <c r="S1802">
        <v>0</v>
      </c>
      <c r="T1802" t="str">
        <f>IF(VALUE(S1802)=0,"",VLOOKUP(VLOOKUP(S1802,Tbl_Effect[],3,FALSE),EffectName[],IFERROR(MATCH(UI!$B$1,EffectName[#Headers],0),2),FALSE))</f>
        <v/>
      </c>
      <c r="U1802" t="str">
        <f t="shared" si="179"/>
        <v/>
      </c>
      <c r="V1802">
        <v>0</v>
      </c>
      <c r="W1802" t="str">
        <f>IF(V1802&lt;&gt;0,VLOOKUP(VLOOKUP(V1802,Tbl_Effect[],3,FALSE),EffectName[],IFERROR(MATCH(UI!$B$1,EffectName[#Headers],0),2),FALSE),"")</f>
        <v/>
      </c>
      <c r="X1802" t="str">
        <f t="shared" si="180"/>
        <v/>
      </c>
      <c r="Y1802">
        <v>0</v>
      </c>
      <c r="Z1802" t="str">
        <f>IF(Y1802&lt;&gt;0,VLOOKUP(VLOOKUP(Y1802,Tbl_Effect[],3,FALSE),EffectName[],IFERROR(MATCH(UI!$B$1,EffectName[#Headers],0),2),FALSE),"")</f>
        <v/>
      </c>
      <c r="AA1802" t="str">
        <f t="shared" si="181"/>
        <v/>
      </c>
      <c r="AB1802">
        <v>0</v>
      </c>
      <c r="AC1802" t="str">
        <f>IF(AB1802&lt;&gt;0,VLOOKUP(VLOOKUP(AB1802,Tbl_Effect[],3,FALSE),EffectName[],IFERROR(MATCH(UI!$B$1,EffectName[#Headers],0),2),FALSE),"")</f>
        <v/>
      </c>
    </row>
    <row r="1803" spans="8:29" x14ac:dyDescent="0.4">
      <c r="H1803" t="str">
        <f t="shared" si="178"/>
        <v/>
      </c>
      <c r="I1803">
        <v>0</v>
      </c>
      <c r="J1803" t="str">
        <f>_xlfn.IFNA(IF(I1803&lt;&gt;0,VLOOKUP(VLOOKUP(I1803,Tbl_Equip[],2,FALSE),Tbl_Color[],IFERROR(MATCH(UI!$B$1,Tbl_Color[#Headers],0),2),FALSE),""),"Unset")</f>
        <v/>
      </c>
      <c r="K1803" t="str">
        <f>_xlfn.IFNA(IF(I1803&lt;&gt;0,VLOOKUP(I1803,ItemText[],IFERROR(MATCH(UI!$B$1,ItemText[#Headers],0),2),FALSE),""),"Unset")</f>
        <v/>
      </c>
      <c r="M1803">
        <v>0</v>
      </c>
      <c r="P1803">
        <v>0</v>
      </c>
      <c r="S1803">
        <v>0</v>
      </c>
      <c r="T1803" t="str">
        <f>IF(VALUE(S1803)=0,"",VLOOKUP(VLOOKUP(S1803,Tbl_Effect[],3,FALSE),EffectName[],IFERROR(MATCH(UI!$B$1,EffectName[#Headers],0),2),FALSE))</f>
        <v/>
      </c>
      <c r="U1803" t="str">
        <f t="shared" si="179"/>
        <v/>
      </c>
      <c r="V1803">
        <v>0</v>
      </c>
      <c r="W1803" t="str">
        <f>IF(V1803&lt;&gt;0,VLOOKUP(VLOOKUP(V1803,Tbl_Effect[],3,FALSE),EffectName[],IFERROR(MATCH(UI!$B$1,EffectName[#Headers],0),2),FALSE),"")</f>
        <v/>
      </c>
      <c r="X1803" t="str">
        <f t="shared" si="180"/>
        <v/>
      </c>
      <c r="Y1803">
        <v>0</v>
      </c>
      <c r="Z1803" t="str">
        <f>IF(Y1803&lt;&gt;0,VLOOKUP(VLOOKUP(Y1803,Tbl_Effect[],3,FALSE),EffectName[],IFERROR(MATCH(UI!$B$1,EffectName[#Headers],0),2),FALSE),"")</f>
        <v/>
      </c>
      <c r="AA1803" t="str">
        <f t="shared" si="181"/>
        <v/>
      </c>
      <c r="AB1803">
        <v>0</v>
      </c>
      <c r="AC1803" t="str">
        <f>IF(AB1803&lt;&gt;0,VLOOKUP(VLOOKUP(AB1803,Tbl_Effect[],3,FALSE),EffectName[],IFERROR(MATCH(UI!$B$1,EffectName[#Headers],0),2),FALSE),"")</f>
        <v/>
      </c>
    </row>
    <row r="1804" spans="8:29" x14ac:dyDescent="0.4">
      <c r="H1804" t="str">
        <f t="shared" si="178"/>
        <v/>
      </c>
      <c r="I1804">
        <v>0</v>
      </c>
      <c r="J1804" t="str">
        <f>_xlfn.IFNA(IF(I1804&lt;&gt;0,VLOOKUP(VLOOKUP(I1804,Tbl_Equip[],2,FALSE),Tbl_Color[],IFERROR(MATCH(UI!$B$1,Tbl_Color[#Headers],0),2),FALSE),""),"Unset")</f>
        <v/>
      </c>
      <c r="K1804" t="str">
        <f>_xlfn.IFNA(IF(I1804&lt;&gt;0,VLOOKUP(I1804,ItemText[],IFERROR(MATCH(UI!$B$1,ItemText[#Headers],0),2),FALSE),""),"Unset")</f>
        <v/>
      </c>
      <c r="M1804">
        <v>0</v>
      </c>
      <c r="P1804">
        <v>0</v>
      </c>
      <c r="S1804">
        <v>0</v>
      </c>
      <c r="T1804" t="str">
        <f>IF(VALUE(S1804)=0,"",VLOOKUP(VLOOKUP(S1804,Tbl_Effect[],3,FALSE),EffectName[],IFERROR(MATCH(UI!$B$1,EffectName[#Headers],0),2),FALSE))</f>
        <v/>
      </c>
      <c r="U1804" t="str">
        <f t="shared" si="179"/>
        <v/>
      </c>
      <c r="V1804">
        <v>0</v>
      </c>
      <c r="W1804" t="str">
        <f>IF(V1804&lt;&gt;0,VLOOKUP(VLOOKUP(V1804,Tbl_Effect[],3,FALSE),EffectName[],IFERROR(MATCH(UI!$B$1,EffectName[#Headers],0),2),FALSE),"")</f>
        <v/>
      </c>
      <c r="X1804" t="str">
        <f t="shared" si="180"/>
        <v/>
      </c>
      <c r="Y1804">
        <v>0</v>
      </c>
      <c r="Z1804" t="str">
        <f>IF(Y1804&lt;&gt;0,VLOOKUP(VLOOKUP(Y1804,Tbl_Effect[],3,FALSE),EffectName[],IFERROR(MATCH(UI!$B$1,EffectName[#Headers],0),2),FALSE),"")</f>
        <v/>
      </c>
      <c r="AA1804" t="str">
        <f t="shared" si="181"/>
        <v/>
      </c>
      <c r="AB1804">
        <v>0</v>
      </c>
      <c r="AC1804" t="str">
        <f>IF(AB1804&lt;&gt;0,VLOOKUP(VLOOKUP(AB1804,Tbl_Effect[],3,FALSE),EffectName[],IFERROR(MATCH(UI!$B$1,EffectName[#Headers],0),2),FALSE),"")</f>
        <v/>
      </c>
    </row>
    <row r="1805" spans="8:29" x14ac:dyDescent="0.4">
      <c r="H1805" t="str">
        <f t="shared" si="178"/>
        <v/>
      </c>
      <c r="I1805">
        <v>0</v>
      </c>
      <c r="J1805" t="str">
        <f>_xlfn.IFNA(IF(I1805&lt;&gt;0,VLOOKUP(VLOOKUP(I1805,Tbl_Equip[],2,FALSE),Tbl_Color[],IFERROR(MATCH(UI!$B$1,Tbl_Color[#Headers],0),2),FALSE),""),"Unset")</f>
        <v/>
      </c>
      <c r="K1805" t="str">
        <f>_xlfn.IFNA(IF(I1805&lt;&gt;0,VLOOKUP(I1805,ItemText[],IFERROR(MATCH(UI!$B$1,ItemText[#Headers],0),2),FALSE),""),"Unset")</f>
        <v/>
      </c>
      <c r="M1805">
        <v>0</v>
      </c>
      <c r="P1805">
        <v>0</v>
      </c>
      <c r="S1805">
        <v>0</v>
      </c>
      <c r="T1805" t="str">
        <f>IF(VALUE(S1805)=0,"",VLOOKUP(VLOOKUP(S1805,Tbl_Effect[],3,FALSE),EffectName[],IFERROR(MATCH(UI!$B$1,EffectName[#Headers],0),2),FALSE))</f>
        <v/>
      </c>
      <c r="U1805" t="str">
        <f t="shared" si="179"/>
        <v/>
      </c>
      <c r="V1805">
        <v>0</v>
      </c>
      <c r="W1805" t="str">
        <f>IF(V1805&lt;&gt;0,VLOOKUP(VLOOKUP(V1805,Tbl_Effect[],3,FALSE),EffectName[],IFERROR(MATCH(UI!$B$1,EffectName[#Headers],0),2),FALSE),"")</f>
        <v/>
      </c>
      <c r="X1805" t="str">
        <f t="shared" si="180"/>
        <v/>
      </c>
      <c r="Y1805">
        <v>0</v>
      </c>
      <c r="Z1805" t="str">
        <f>IF(Y1805&lt;&gt;0,VLOOKUP(VLOOKUP(Y1805,Tbl_Effect[],3,FALSE),EffectName[],IFERROR(MATCH(UI!$B$1,EffectName[#Headers],0),2),FALSE),"")</f>
        <v/>
      </c>
      <c r="AA1805" t="str">
        <f t="shared" si="181"/>
        <v/>
      </c>
      <c r="AB1805">
        <v>0</v>
      </c>
      <c r="AC1805" t="str">
        <f>IF(AB1805&lt;&gt;0,VLOOKUP(VLOOKUP(AB1805,Tbl_Effect[],3,FALSE),EffectName[],IFERROR(MATCH(UI!$B$1,EffectName[#Headers],0),2),FALSE),"")</f>
        <v/>
      </c>
    </row>
    <row r="1806" spans="8:29" x14ac:dyDescent="0.4">
      <c r="H1806" t="str">
        <f t="shared" si="178"/>
        <v/>
      </c>
      <c r="I1806">
        <v>0</v>
      </c>
      <c r="J1806" t="str">
        <f>_xlfn.IFNA(IF(I1806&lt;&gt;0,VLOOKUP(VLOOKUP(I1806,Tbl_Equip[],2,FALSE),Tbl_Color[],IFERROR(MATCH(UI!$B$1,Tbl_Color[#Headers],0),2),FALSE),""),"Unset")</f>
        <v/>
      </c>
      <c r="K1806" t="str">
        <f>_xlfn.IFNA(IF(I1806&lt;&gt;0,VLOOKUP(I1806,ItemText[],IFERROR(MATCH(UI!$B$1,ItemText[#Headers],0),2),FALSE),""),"Unset")</f>
        <v/>
      </c>
      <c r="M1806">
        <v>0</v>
      </c>
      <c r="P1806">
        <v>0</v>
      </c>
      <c r="S1806">
        <v>0</v>
      </c>
      <c r="T1806" t="str">
        <f>IF(VALUE(S1806)=0,"",VLOOKUP(VLOOKUP(S1806,Tbl_Effect[],3,FALSE),EffectName[],IFERROR(MATCH(UI!$B$1,EffectName[#Headers],0),2),FALSE))</f>
        <v/>
      </c>
      <c r="U1806" t="str">
        <f t="shared" si="179"/>
        <v/>
      </c>
      <c r="V1806">
        <v>0</v>
      </c>
      <c r="W1806" t="str">
        <f>IF(V1806&lt;&gt;0,VLOOKUP(VLOOKUP(V1806,Tbl_Effect[],3,FALSE),EffectName[],IFERROR(MATCH(UI!$B$1,EffectName[#Headers],0),2),FALSE),"")</f>
        <v/>
      </c>
      <c r="X1806" t="str">
        <f t="shared" si="180"/>
        <v/>
      </c>
      <c r="Y1806">
        <v>0</v>
      </c>
      <c r="Z1806" t="str">
        <f>IF(Y1806&lt;&gt;0,VLOOKUP(VLOOKUP(Y1806,Tbl_Effect[],3,FALSE),EffectName[],IFERROR(MATCH(UI!$B$1,EffectName[#Headers],0),2),FALSE),"")</f>
        <v/>
      </c>
      <c r="AA1806" t="str">
        <f t="shared" si="181"/>
        <v/>
      </c>
      <c r="AB1806">
        <v>0</v>
      </c>
      <c r="AC1806" t="str">
        <f>IF(AB1806&lt;&gt;0,VLOOKUP(VLOOKUP(AB1806,Tbl_Effect[],3,FALSE),EffectName[],IFERROR(MATCH(UI!$B$1,EffectName[#Headers],0),2),FALSE),"")</f>
        <v/>
      </c>
    </row>
    <row r="1807" spans="8:29" x14ac:dyDescent="0.4">
      <c r="H1807" t="str">
        <f t="shared" si="178"/>
        <v/>
      </c>
      <c r="I1807">
        <v>0</v>
      </c>
      <c r="J1807" t="str">
        <f>_xlfn.IFNA(IF(I1807&lt;&gt;0,VLOOKUP(VLOOKUP(I1807,Tbl_Equip[],2,FALSE),Tbl_Color[],IFERROR(MATCH(UI!$B$1,Tbl_Color[#Headers],0),2),FALSE),""),"Unset")</f>
        <v/>
      </c>
      <c r="K1807" t="str">
        <f>_xlfn.IFNA(IF(I1807&lt;&gt;0,VLOOKUP(I1807,ItemText[],IFERROR(MATCH(UI!$B$1,ItemText[#Headers],0),2),FALSE),""),"Unset")</f>
        <v/>
      </c>
      <c r="M1807">
        <v>0</v>
      </c>
      <c r="P1807">
        <v>0</v>
      </c>
      <c r="S1807">
        <v>0</v>
      </c>
      <c r="T1807" t="str">
        <f>IF(VALUE(S1807)=0,"",VLOOKUP(VLOOKUP(S1807,Tbl_Effect[],3,FALSE),EffectName[],IFERROR(MATCH(UI!$B$1,EffectName[#Headers],0),2),FALSE))</f>
        <v/>
      </c>
      <c r="U1807" t="str">
        <f t="shared" si="179"/>
        <v/>
      </c>
      <c r="V1807">
        <v>0</v>
      </c>
      <c r="W1807" t="str">
        <f>IF(V1807&lt;&gt;0,VLOOKUP(VLOOKUP(V1807,Tbl_Effect[],3,FALSE),EffectName[],IFERROR(MATCH(UI!$B$1,EffectName[#Headers],0),2),FALSE),"")</f>
        <v/>
      </c>
      <c r="X1807" t="str">
        <f t="shared" si="180"/>
        <v/>
      </c>
      <c r="Y1807">
        <v>0</v>
      </c>
      <c r="Z1807" t="str">
        <f>IF(Y1807&lt;&gt;0,VLOOKUP(VLOOKUP(Y1807,Tbl_Effect[],3,FALSE),EffectName[],IFERROR(MATCH(UI!$B$1,EffectName[#Headers],0),2),FALSE),"")</f>
        <v/>
      </c>
      <c r="AA1807" t="str">
        <f t="shared" si="181"/>
        <v/>
      </c>
      <c r="AB1807">
        <v>0</v>
      </c>
      <c r="AC1807" t="str">
        <f>IF(AB1807&lt;&gt;0,VLOOKUP(VLOOKUP(AB1807,Tbl_Effect[],3,FALSE),EffectName[],IFERROR(MATCH(UI!$B$1,EffectName[#Headers],0),2),FALSE),"")</f>
        <v/>
      </c>
    </row>
    <row r="1808" spans="8:29" x14ac:dyDescent="0.4">
      <c r="H1808" t="str">
        <f t="shared" si="178"/>
        <v/>
      </c>
      <c r="I1808">
        <v>0</v>
      </c>
      <c r="J1808" t="str">
        <f>_xlfn.IFNA(IF(I1808&lt;&gt;0,VLOOKUP(VLOOKUP(I1808,Tbl_Equip[],2,FALSE),Tbl_Color[],IFERROR(MATCH(UI!$B$1,Tbl_Color[#Headers],0),2),FALSE),""),"Unset")</f>
        <v/>
      </c>
      <c r="K1808" t="str">
        <f>_xlfn.IFNA(IF(I1808&lt;&gt;0,VLOOKUP(I1808,ItemText[],IFERROR(MATCH(UI!$B$1,ItemText[#Headers],0),2),FALSE),""),"Unset")</f>
        <v/>
      </c>
      <c r="M1808">
        <v>0</v>
      </c>
      <c r="P1808">
        <v>0</v>
      </c>
      <c r="S1808">
        <v>0</v>
      </c>
      <c r="T1808" t="str">
        <f>IF(VALUE(S1808)=0,"",VLOOKUP(VLOOKUP(S1808,Tbl_Effect[],3,FALSE),EffectName[],IFERROR(MATCH(UI!$B$1,EffectName[#Headers],0),2),FALSE))</f>
        <v/>
      </c>
      <c r="U1808" t="str">
        <f t="shared" si="179"/>
        <v/>
      </c>
      <c r="V1808">
        <v>0</v>
      </c>
      <c r="W1808" t="str">
        <f>IF(V1808&lt;&gt;0,VLOOKUP(VLOOKUP(V1808,Tbl_Effect[],3,FALSE),EffectName[],IFERROR(MATCH(UI!$B$1,EffectName[#Headers],0),2),FALSE),"")</f>
        <v/>
      </c>
      <c r="X1808" t="str">
        <f t="shared" si="180"/>
        <v/>
      </c>
      <c r="Y1808">
        <v>0</v>
      </c>
      <c r="Z1808" t="str">
        <f>IF(Y1808&lt;&gt;0,VLOOKUP(VLOOKUP(Y1808,Tbl_Effect[],3,FALSE),EffectName[],IFERROR(MATCH(UI!$B$1,EffectName[#Headers],0),2),FALSE),"")</f>
        <v/>
      </c>
      <c r="AA1808" t="str">
        <f t="shared" si="181"/>
        <v/>
      </c>
      <c r="AB1808">
        <v>0</v>
      </c>
      <c r="AC1808" t="str">
        <f>IF(AB1808&lt;&gt;0,VLOOKUP(VLOOKUP(AB1808,Tbl_Effect[],3,FALSE),EffectName[],IFERROR(MATCH(UI!$B$1,EffectName[#Headers],0),2),FALSE),"")</f>
        <v/>
      </c>
    </row>
    <row r="1809" spans="8:29" x14ac:dyDescent="0.4">
      <c r="H1809" t="str">
        <f t="shared" si="178"/>
        <v/>
      </c>
      <c r="I1809">
        <v>0</v>
      </c>
      <c r="J1809" t="str">
        <f>_xlfn.IFNA(IF(I1809&lt;&gt;0,VLOOKUP(VLOOKUP(I1809,Tbl_Equip[],2,FALSE),Tbl_Color[],IFERROR(MATCH(UI!$B$1,Tbl_Color[#Headers],0),2),FALSE),""),"Unset")</f>
        <v/>
      </c>
      <c r="K1809" t="str">
        <f>_xlfn.IFNA(IF(I1809&lt;&gt;0,VLOOKUP(I1809,ItemText[],IFERROR(MATCH(UI!$B$1,ItemText[#Headers],0),2),FALSE),""),"Unset")</f>
        <v/>
      </c>
      <c r="M1809">
        <v>0</v>
      </c>
      <c r="P1809">
        <v>0</v>
      </c>
      <c r="S1809">
        <v>0</v>
      </c>
      <c r="T1809" t="str">
        <f>IF(VALUE(S1809)=0,"",VLOOKUP(VLOOKUP(S1809,Tbl_Effect[],3,FALSE),EffectName[],IFERROR(MATCH(UI!$B$1,EffectName[#Headers],0),2),FALSE))</f>
        <v/>
      </c>
      <c r="U1809" t="str">
        <f t="shared" si="179"/>
        <v/>
      </c>
      <c r="V1809">
        <v>0</v>
      </c>
      <c r="W1809" t="str">
        <f>IF(V1809&lt;&gt;0,VLOOKUP(VLOOKUP(V1809,Tbl_Effect[],3,FALSE),EffectName[],IFERROR(MATCH(UI!$B$1,EffectName[#Headers],0),2),FALSE),"")</f>
        <v/>
      </c>
      <c r="X1809" t="str">
        <f t="shared" si="180"/>
        <v/>
      </c>
      <c r="Y1809">
        <v>0</v>
      </c>
      <c r="Z1809" t="str">
        <f>IF(Y1809&lt;&gt;0,VLOOKUP(VLOOKUP(Y1809,Tbl_Effect[],3,FALSE),EffectName[],IFERROR(MATCH(UI!$B$1,EffectName[#Headers],0),2),FALSE),"")</f>
        <v/>
      </c>
      <c r="AA1809" t="str">
        <f t="shared" si="181"/>
        <v/>
      </c>
      <c r="AB1809">
        <v>0</v>
      </c>
      <c r="AC1809" t="str">
        <f>IF(AB1809&lt;&gt;0,VLOOKUP(VLOOKUP(AB1809,Tbl_Effect[],3,FALSE),EffectName[],IFERROR(MATCH(UI!$B$1,EffectName[#Headers],0),2),FALSE),"")</f>
        <v/>
      </c>
    </row>
    <row r="1810" spans="8:29" x14ac:dyDescent="0.4">
      <c r="H1810" t="str">
        <f t="shared" si="178"/>
        <v/>
      </c>
      <c r="I1810">
        <v>0</v>
      </c>
      <c r="J1810" t="str">
        <f>_xlfn.IFNA(IF(I1810&lt;&gt;0,VLOOKUP(VLOOKUP(I1810,Tbl_Equip[],2,FALSE),Tbl_Color[],IFERROR(MATCH(UI!$B$1,Tbl_Color[#Headers],0),2),FALSE),""),"Unset")</f>
        <v/>
      </c>
      <c r="K1810" t="str">
        <f>_xlfn.IFNA(IF(I1810&lt;&gt;0,VLOOKUP(I1810,ItemText[],IFERROR(MATCH(UI!$B$1,ItemText[#Headers],0),2),FALSE),""),"Unset")</f>
        <v/>
      </c>
      <c r="M1810">
        <v>0</v>
      </c>
      <c r="P1810">
        <v>0</v>
      </c>
      <c r="S1810">
        <v>0</v>
      </c>
      <c r="T1810" t="str">
        <f>IF(VALUE(S1810)=0,"",VLOOKUP(VLOOKUP(S1810,Tbl_Effect[],3,FALSE),EffectName[],IFERROR(MATCH(UI!$B$1,EffectName[#Headers],0),2),FALSE))</f>
        <v/>
      </c>
      <c r="U1810" t="str">
        <f t="shared" si="179"/>
        <v/>
      </c>
      <c r="V1810">
        <v>0</v>
      </c>
      <c r="W1810" t="str">
        <f>IF(V1810&lt;&gt;0,VLOOKUP(VLOOKUP(V1810,Tbl_Effect[],3,FALSE),EffectName[],IFERROR(MATCH(UI!$B$1,EffectName[#Headers],0),2),FALSE),"")</f>
        <v/>
      </c>
      <c r="X1810" t="str">
        <f t="shared" si="180"/>
        <v/>
      </c>
      <c r="Y1810">
        <v>0</v>
      </c>
      <c r="Z1810" t="str">
        <f>IF(Y1810&lt;&gt;0,VLOOKUP(VLOOKUP(Y1810,Tbl_Effect[],3,FALSE),EffectName[],IFERROR(MATCH(UI!$B$1,EffectName[#Headers],0),2),FALSE),"")</f>
        <v/>
      </c>
      <c r="AA1810" t="str">
        <f t="shared" si="181"/>
        <v/>
      </c>
      <c r="AB1810">
        <v>0</v>
      </c>
      <c r="AC1810" t="str">
        <f>IF(AB1810&lt;&gt;0,VLOOKUP(VLOOKUP(AB1810,Tbl_Effect[],3,FALSE),EffectName[],IFERROR(MATCH(UI!$B$1,EffectName[#Headers],0),2),FALSE),"")</f>
        <v/>
      </c>
    </row>
    <row r="1811" spans="8:29" x14ac:dyDescent="0.4">
      <c r="H1811" t="str">
        <f t="shared" si="178"/>
        <v/>
      </c>
      <c r="I1811">
        <v>0</v>
      </c>
      <c r="J1811" t="str">
        <f>_xlfn.IFNA(IF(I1811&lt;&gt;0,VLOOKUP(VLOOKUP(I1811,Tbl_Equip[],2,FALSE),Tbl_Color[],IFERROR(MATCH(UI!$B$1,Tbl_Color[#Headers],0),2),FALSE),""),"Unset")</f>
        <v/>
      </c>
      <c r="K1811" t="str">
        <f>_xlfn.IFNA(IF(I1811&lt;&gt;0,VLOOKUP(I1811,ItemText[],IFERROR(MATCH(UI!$B$1,ItemText[#Headers],0),2),FALSE),""),"Unset")</f>
        <v/>
      </c>
      <c r="M1811">
        <v>0</v>
      </c>
      <c r="P1811">
        <v>0</v>
      </c>
      <c r="S1811">
        <v>0</v>
      </c>
      <c r="T1811" t="str">
        <f>IF(VALUE(S1811)=0,"",VLOOKUP(VLOOKUP(S1811,Tbl_Effect[],3,FALSE),EffectName[],IFERROR(MATCH(UI!$B$1,EffectName[#Headers],0),2),FALSE))</f>
        <v/>
      </c>
      <c r="U1811" t="str">
        <f t="shared" si="179"/>
        <v/>
      </c>
      <c r="V1811">
        <v>0</v>
      </c>
      <c r="W1811" t="str">
        <f>IF(V1811&lt;&gt;0,VLOOKUP(VLOOKUP(V1811,Tbl_Effect[],3,FALSE),EffectName[],IFERROR(MATCH(UI!$B$1,EffectName[#Headers],0),2),FALSE),"")</f>
        <v/>
      </c>
      <c r="X1811" t="str">
        <f t="shared" si="180"/>
        <v/>
      </c>
      <c r="Y1811">
        <v>0</v>
      </c>
      <c r="Z1811" t="str">
        <f>IF(Y1811&lt;&gt;0,VLOOKUP(VLOOKUP(Y1811,Tbl_Effect[],3,FALSE),EffectName[],IFERROR(MATCH(UI!$B$1,EffectName[#Headers],0),2),FALSE),"")</f>
        <v/>
      </c>
      <c r="AA1811" t="str">
        <f t="shared" si="181"/>
        <v/>
      </c>
      <c r="AB1811">
        <v>0</v>
      </c>
      <c r="AC1811" t="str">
        <f>IF(AB1811&lt;&gt;0,VLOOKUP(VLOOKUP(AB1811,Tbl_Effect[],3,FALSE),EffectName[],IFERROR(MATCH(UI!$B$1,EffectName[#Headers],0),2),FALSE),"")</f>
        <v/>
      </c>
    </row>
    <row r="1812" spans="8:29" x14ac:dyDescent="0.4">
      <c r="H1812" t="str">
        <f t="shared" si="178"/>
        <v/>
      </c>
      <c r="I1812">
        <v>0</v>
      </c>
      <c r="J1812" t="str">
        <f>_xlfn.IFNA(IF(I1812&lt;&gt;0,VLOOKUP(VLOOKUP(I1812,Tbl_Equip[],2,FALSE),Tbl_Color[],IFERROR(MATCH(UI!$B$1,Tbl_Color[#Headers],0),2),FALSE),""),"Unset")</f>
        <v/>
      </c>
      <c r="K1812" t="str">
        <f>_xlfn.IFNA(IF(I1812&lt;&gt;0,VLOOKUP(I1812,ItemText[],IFERROR(MATCH(UI!$B$1,ItemText[#Headers],0),2),FALSE),""),"Unset")</f>
        <v/>
      </c>
      <c r="M1812">
        <v>0</v>
      </c>
      <c r="P1812">
        <v>0</v>
      </c>
      <c r="S1812">
        <v>0</v>
      </c>
      <c r="T1812" t="str">
        <f>IF(VALUE(S1812)=0,"",VLOOKUP(VLOOKUP(S1812,Tbl_Effect[],3,FALSE),EffectName[],IFERROR(MATCH(UI!$B$1,EffectName[#Headers],0),2),FALSE))</f>
        <v/>
      </c>
      <c r="U1812" t="str">
        <f t="shared" si="179"/>
        <v/>
      </c>
      <c r="V1812">
        <v>0</v>
      </c>
      <c r="W1812" t="str">
        <f>IF(V1812&lt;&gt;0,VLOOKUP(VLOOKUP(V1812,Tbl_Effect[],3,FALSE),EffectName[],IFERROR(MATCH(UI!$B$1,EffectName[#Headers],0),2),FALSE),"")</f>
        <v/>
      </c>
      <c r="X1812" t="str">
        <f t="shared" si="180"/>
        <v/>
      </c>
      <c r="Y1812">
        <v>0</v>
      </c>
      <c r="Z1812" t="str">
        <f>IF(Y1812&lt;&gt;0,VLOOKUP(VLOOKUP(Y1812,Tbl_Effect[],3,FALSE),EffectName[],IFERROR(MATCH(UI!$B$1,EffectName[#Headers],0),2),FALSE),"")</f>
        <v/>
      </c>
      <c r="AA1812" t="str">
        <f t="shared" si="181"/>
        <v/>
      </c>
      <c r="AB1812">
        <v>0</v>
      </c>
      <c r="AC1812" t="str">
        <f>IF(AB1812&lt;&gt;0,VLOOKUP(VLOOKUP(AB1812,Tbl_Effect[],3,FALSE),EffectName[],IFERROR(MATCH(UI!$B$1,EffectName[#Headers],0),2),FALSE),"")</f>
        <v/>
      </c>
    </row>
    <row r="1813" spans="8:29" x14ac:dyDescent="0.4">
      <c r="H1813" t="str">
        <f t="shared" si="178"/>
        <v/>
      </c>
      <c r="I1813">
        <v>0</v>
      </c>
      <c r="J1813" t="str">
        <f>_xlfn.IFNA(IF(I1813&lt;&gt;0,VLOOKUP(VLOOKUP(I1813,Tbl_Equip[],2,FALSE),Tbl_Color[],IFERROR(MATCH(UI!$B$1,Tbl_Color[#Headers],0),2),FALSE),""),"Unset")</f>
        <v/>
      </c>
      <c r="K1813" t="str">
        <f>_xlfn.IFNA(IF(I1813&lt;&gt;0,VLOOKUP(I1813,ItemText[],IFERROR(MATCH(UI!$B$1,ItemText[#Headers],0),2),FALSE),""),"Unset")</f>
        <v/>
      </c>
      <c r="M1813">
        <v>0</v>
      </c>
      <c r="P1813">
        <v>0</v>
      </c>
      <c r="S1813">
        <v>0</v>
      </c>
      <c r="T1813" t="str">
        <f>IF(VALUE(S1813)=0,"",VLOOKUP(VLOOKUP(S1813,Tbl_Effect[],3,FALSE),EffectName[],IFERROR(MATCH(UI!$B$1,EffectName[#Headers],0),2),FALSE))</f>
        <v/>
      </c>
      <c r="U1813" t="str">
        <f t="shared" si="179"/>
        <v/>
      </c>
      <c r="V1813">
        <v>0</v>
      </c>
      <c r="W1813" t="str">
        <f>IF(V1813&lt;&gt;0,VLOOKUP(VLOOKUP(V1813,Tbl_Effect[],3,FALSE),EffectName[],IFERROR(MATCH(UI!$B$1,EffectName[#Headers],0),2),FALSE),"")</f>
        <v/>
      </c>
      <c r="X1813" t="str">
        <f t="shared" si="180"/>
        <v/>
      </c>
      <c r="Y1813">
        <v>0</v>
      </c>
      <c r="Z1813" t="str">
        <f>IF(Y1813&lt;&gt;0,VLOOKUP(VLOOKUP(Y1813,Tbl_Effect[],3,FALSE),EffectName[],IFERROR(MATCH(UI!$B$1,EffectName[#Headers],0),2),FALSE),"")</f>
        <v/>
      </c>
      <c r="AA1813" t="str">
        <f t="shared" si="181"/>
        <v/>
      </c>
      <c r="AB1813">
        <v>0</v>
      </c>
      <c r="AC1813" t="str">
        <f>IF(AB1813&lt;&gt;0,VLOOKUP(VLOOKUP(AB1813,Tbl_Effect[],3,FALSE),EffectName[],IFERROR(MATCH(UI!$B$1,EffectName[#Headers],0),2),FALSE),"")</f>
        <v/>
      </c>
    </row>
    <row r="1814" spans="8:29" x14ac:dyDescent="0.4">
      <c r="H1814" t="str">
        <f t="shared" si="178"/>
        <v/>
      </c>
      <c r="I1814">
        <v>0</v>
      </c>
      <c r="J1814" t="str">
        <f>_xlfn.IFNA(IF(I1814&lt;&gt;0,VLOOKUP(VLOOKUP(I1814,Tbl_Equip[],2,FALSE),Tbl_Color[],IFERROR(MATCH(UI!$B$1,Tbl_Color[#Headers],0),2),FALSE),""),"Unset")</f>
        <v/>
      </c>
      <c r="K1814" t="str">
        <f>_xlfn.IFNA(IF(I1814&lt;&gt;0,VLOOKUP(I1814,ItemText[],IFERROR(MATCH(UI!$B$1,ItemText[#Headers],0),2),FALSE),""),"Unset")</f>
        <v/>
      </c>
      <c r="M1814">
        <v>0</v>
      </c>
      <c r="P1814">
        <v>0</v>
      </c>
      <c r="S1814">
        <v>0</v>
      </c>
      <c r="T1814" t="str">
        <f>IF(VALUE(S1814)=0,"",VLOOKUP(VLOOKUP(S1814,Tbl_Effect[],3,FALSE),EffectName[],IFERROR(MATCH(UI!$B$1,EffectName[#Headers],0),2),FALSE))</f>
        <v/>
      </c>
      <c r="U1814" t="str">
        <f t="shared" si="179"/>
        <v/>
      </c>
      <c r="V1814">
        <v>0</v>
      </c>
      <c r="W1814" t="str">
        <f>IF(V1814&lt;&gt;0,VLOOKUP(VLOOKUP(V1814,Tbl_Effect[],3,FALSE),EffectName[],IFERROR(MATCH(UI!$B$1,EffectName[#Headers],0),2),FALSE),"")</f>
        <v/>
      </c>
      <c r="X1814" t="str">
        <f t="shared" si="180"/>
        <v/>
      </c>
      <c r="Y1814">
        <v>0</v>
      </c>
      <c r="Z1814" t="str">
        <f>IF(Y1814&lt;&gt;0,VLOOKUP(VLOOKUP(Y1814,Tbl_Effect[],3,FALSE),EffectName[],IFERROR(MATCH(UI!$B$1,EffectName[#Headers],0),2),FALSE),"")</f>
        <v/>
      </c>
      <c r="AA1814" t="str">
        <f t="shared" si="181"/>
        <v/>
      </c>
      <c r="AB1814">
        <v>0</v>
      </c>
      <c r="AC1814" t="str">
        <f>IF(AB1814&lt;&gt;0,VLOOKUP(VLOOKUP(AB1814,Tbl_Effect[],3,FALSE),EffectName[],IFERROR(MATCH(UI!$B$1,EffectName[#Headers],0),2),FALSE),"")</f>
        <v/>
      </c>
    </row>
    <row r="1815" spans="8:29" x14ac:dyDescent="0.4">
      <c r="H1815" t="str">
        <f t="shared" si="178"/>
        <v/>
      </c>
      <c r="I1815">
        <v>0</v>
      </c>
      <c r="J1815" t="str">
        <f>_xlfn.IFNA(IF(I1815&lt;&gt;0,VLOOKUP(VLOOKUP(I1815,Tbl_Equip[],2,FALSE),Tbl_Color[],IFERROR(MATCH(UI!$B$1,Tbl_Color[#Headers],0),2),FALSE),""),"Unset")</f>
        <v/>
      </c>
      <c r="K1815" t="str">
        <f>_xlfn.IFNA(IF(I1815&lt;&gt;0,VLOOKUP(I1815,ItemText[],IFERROR(MATCH(UI!$B$1,ItemText[#Headers],0),2),FALSE),""),"Unset")</f>
        <v/>
      </c>
      <c r="M1815">
        <v>0</v>
      </c>
      <c r="P1815">
        <v>0</v>
      </c>
      <c r="S1815">
        <v>0</v>
      </c>
      <c r="T1815" t="str">
        <f>IF(VALUE(S1815)=0,"",VLOOKUP(VLOOKUP(S1815,Tbl_Effect[],3,FALSE),EffectName[],IFERROR(MATCH(UI!$B$1,EffectName[#Headers],0),2),FALSE))</f>
        <v/>
      </c>
      <c r="U1815" t="str">
        <f t="shared" si="179"/>
        <v/>
      </c>
      <c r="V1815">
        <v>0</v>
      </c>
      <c r="W1815" t="str">
        <f>IF(V1815&lt;&gt;0,VLOOKUP(VLOOKUP(V1815,Tbl_Effect[],3,FALSE),EffectName[],IFERROR(MATCH(UI!$B$1,EffectName[#Headers],0),2),FALSE),"")</f>
        <v/>
      </c>
      <c r="X1815" t="str">
        <f t="shared" si="180"/>
        <v/>
      </c>
      <c r="Y1815">
        <v>0</v>
      </c>
      <c r="Z1815" t="str">
        <f>IF(Y1815&lt;&gt;0,VLOOKUP(VLOOKUP(Y1815,Tbl_Effect[],3,FALSE),EffectName[],IFERROR(MATCH(UI!$B$1,EffectName[#Headers],0),2),FALSE),"")</f>
        <v/>
      </c>
      <c r="AA1815" t="str">
        <f t="shared" si="181"/>
        <v/>
      </c>
      <c r="AB1815">
        <v>0</v>
      </c>
      <c r="AC1815" t="str">
        <f>IF(AB1815&lt;&gt;0,VLOOKUP(VLOOKUP(AB1815,Tbl_Effect[],3,FALSE),EffectName[],IFERROR(MATCH(UI!$B$1,EffectName[#Headers],0),2),FALSE),"")</f>
        <v/>
      </c>
    </row>
    <row r="1816" spans="8:29" x14ac:dyDescent="0.4">
      <c r="H1816" t="str">
        <f t="shared" si="178"/>
        <v/>
      </c>
      <c r="I1816">
        <v>0</v>
      </c>
      <c r="J1816" t="str">
        <f>_xlfn.IFNA(IF(I1816&lt;&gt;0,VLOOKUP(VLOOKUP(I1816,Tbl_Equip[],2,FALSE),Tbl_Color[],IFERROR(MATCH(UI!$B$1,Tbl_Color[#Headers],0),2),FALSE),""),"Unset")</f>
        <v/>
      </c>
      <c r="K1816" t="str">
        <f>_xlfn.IFNA(IF(I1816&lt;&gt;0,VLOOKUP(I1816,ItemText[],IFERROR(MATCH(UI!$B$1,ItemText[#Headers],0),2),FALSE),""),"Unset")</f>
        <v/>
      </c>
      <c r="M1816">
        <v>0</v>
      </c>
      <c r="P1816">
        <v>0</v>
      </c>
      <c r="S1816">
        <v>0</v>
      </c>
      <c r="T1816" t="str">
        <f>IF(VALUE(S1816)=0,"",VLOOKUP(VLOOKUP(S1816,Tbl_Effect[],3,FALSE),EffectName[],IFERROR(MATCH(UI!$B$1,EffectName[#Headers],0),2),FALSE))</f>
        <v/>
      </c>
      <c r="U1816" t="str">
        <f t="shared" si="179"/>
        <v/>
      </c>
      <c r="V1816">
        <v>0</v>
      </c>
      <c r="W1816" t="str">
        <f>IF(V1816&lt;&gt;0,VLOOKUP(VLOOKUP(V1816,Tbl_Effect[],3,FALSE),EffectName[],IFERROR(MATCH(UI!$B$1,EffectName[#Headers],0),2),FALSE),"")</f>
        <v/>
      </c>
      <c r="X1816" t="str">
        <f t="shared" si="180"/>
        <v/>
      </c>
      <c r="Y1816">
        <v>0</v>
      </c>
      <c r="Z1816" t="str">
        <f>IF(Y1816&lt;&gt;0,VLOOKUP(VLOOKUP(Y1816,Tbl_Effect[],3,FALSE),EffectName[],IFERROR(MATCH(UI!$B$1,EffectName[#Headers],0),2),FALSE),"")</f>
        <v/>
      </c>
      <c r="AA1816" t="str">
        <f t="shared" si="181"/>
        <v/>
      </c>
      <c r="AB1816">
        <v>0</v>
      </c>
      <c r="AC1816" t="str">
        <f>IF(AB1816&lt;&gt;0,VLOOKUP(VLOOKUP(AB1816,Tbl_Effect[],3,FALSE),EffectName[],IFERROR(MATCH(UI!$B$1,EffectName[#Headers],0),2),FALSE),"")</f>
        <v/>
      </c>
    </row>
    <row r="1817" spans="8:29" x14ac:dyDescent="0.4">
      <c r="H1817" t="str">
        <f t="shared" si="178"/>
        <v/>
      </c>
      <c r="I1817">
        <v>0</v>
      </c>
      <c r="J1817" t="str">
        <f>_xlfn.IFNA(IF(I1817&lt;&gt;0,VLOOKUP(VLOOKUP(I1817,Tbl_Equip[],2,FALSE),Tbl_Color[],IFERROR(MATCH(UI!$B$1,Tbl_Color[#Headers],0),2),FALSE),""),"Unset")</f>
        <v/>
      </c>
      <c r="K1817" t="str">
        <f>_xlfn.IFNA(IF(I1817&lt;&gt;0,VLOOKUP(I1817,ItemText[],IFERROR(MATCH(UI!$B$1,ItemText[#Headers],0),2),FALSE),""),"Unset")</f>
        <v/>
      </c>
      <c r="M1817">
        <v>0</v>
      </c>
      <c r="P1817">
        <v>0</v>
      </c>
      <c r="S1817">
        <v>0</v>
      </c>
      <c r="T1817" t="str">
        <f>IF(VALUE(S1817)=0,"",VLOOKUP(VLOOKUP(S1817,Tbl_Effect[],3,FALSE),EffectName[],IFERROR(MATCH(UI!$B$1,EffectName[#Headers],0),2),FALSE))</f>
        <v/>
      </c>
      <c r="U1817" t="str">
        <f t="shared" si="179"/>
        <v/>
      </c>
      <c r="V1817">
        <v>0</v>
      </c>
      <c r="W1817" t="str">
        <f>IF(V1817&lt;&gt;0,VLOOKUP(VLOOKUP(V1817,Tbl_Effect[],3,FALSE),EffectName[],IFERROR(MATCH(UI!$B$1,EffectName[#Headers],0),2),FALSE),"")</f>
        <v/>
      </c>
      <c r="X1817" t="str">
        <f t="shared" si="180"/>
        <v/>
      </c>
      <c r="Y1817">
        <v>0</v>
      </c>
      <c r="Z1817" t="str">
        <f>IF(Y1817&lt;&gt;0,VLOOKUP(VLOOKUP(Y1817,Tbl_Effect[],3,FALSE),EffectName[],IFERROR(MATCH(UI!$B$1,EffectName[#Headers],0),2),FALSE),"")</f>
        <v/>
      </c>
      <c r="AA1817" t="str">
        <f t="shared" si="181"/>
        <v/>
      </c>
      <c r="AB1817">
        <v>0</v>
      </c>
      <c r="AC1817" t="str">
        <f>IF(AB1817&lt;&gt;0,VLOOKUP(VLOOKUP(AB1817,Tbl_Effect[],3,FALSE),EffectName[],IFERROR(MATCH(UI!$B$1,EffectName[#Headers],0),2),FALSE),"")</f>
        <v/>
      </c>
    </row>
    <row r="1818" spans="8:29" x14ac:dyDescent="0.4">
      <c r="H1818" t="str">
        <f t="shared" si="178"/>
        <v/>
      </c>
      <c r="I1818">
        <v>0</v>
      </c>
      <c r="J1818" t="str">
        <f>_xlfn.IFNA(IF(I1818&lt;&gt;0,VLOOKUP(VLOOKUP(I1818,Tbl_Equip[],2,FALSE),Tbl_Color[],IFERROR(MATCH(UI!$B$1,Tbl_Color[#Headers],0),2),FALSE),""),"Unset")</f>
        <v/>
      </c>
      <c r="K1818" t="str">
        <f>_xlfn.IFNA(IF(I1818&lt;&gt;0,VLOOKUP(I1818,ItemText[],IFERROR(MATCH(UI!$B$1,ItemText[#Headers],0),2),FALSE),""),"Unset")</f>
        <v/>
      </c>
      <c r="M1818">
        <v>0</v>
      </c>
      <c r="P1818">
        <v>0</v>
      </c>
      <c r="S1818">
        <v>0</v>
      </c>
      <c r="T1818" t="str">
        <f>IF(VALUE(S1818)=0,"",VLOOKUP(VLOOKUP(S1818,Tbl_Effect[],3,FALSE),EffectName[],IFERROR(MATCH(UI!$B$1,EffectName[#Headers],0),2),FALSE))</f>
        <v/>
      </c>
      <c r="U1818" t="str">
        <f t="shared" si="179"/>
        <v/>
      </c>
      <c r="V1818">
        <v>0</v>
      </c>
      <c r="W1818" t="str">
        <f>IF(V1818&lt;&gt;0,VLOOKUP(VLOOKUP(V1818,Tbl_Effect[],3,FALSE),EffectName[],IFERROR(MATCH(UI!$B$1,EffectName[#Headers],0),2),FALSE),"")</f>
        <v/>
      </c>
      <c r="X1818" t="str">
        <f t="shared" si="180"/>
        <v/>
      </c>
      <c r="Y1818">
        <v>0</v>
      </c>
      <c r="Z1818" t="str">
        <f>IF(Y1818&lt;&gt;0,VLOOKUP(VLOOKUP(Y1818,Tbl_Effect[],3,FALSE),EffectName[],IFERROR(MATCH(UI!$B$1,EffectName[#Headers],0),2),FALSE),"")</f>
        <v/>
      </c>
      <c r="AA1818" t="str">
        <f t="shared" si="181"/>
        <v/>
      </c>
      <c r="AB1818">
        <v>0</v>
      </c>
      <c r="AC1818" t="str">
        <f>IF(AB1818&lt;&gt;0,VLOOKUP(VLOOKUP(AB1818,Tbl_Effect[],3,FALSE),EffectName[],IFERROR(MATCH(UI!$B$1,EffectName[#Headers],0),2),FALSE),"")</f>
        <v/>
      </c>
    </row>
    <row r="1819" spans="8:29" x14ac:dyDescent="0.4">
      <c r="H1819" t="str">
        <f t="shared" si="178"/>
        <v/>
      </c>
      <c r="I1819">
        <v>0</v>
      </c>
      <c r="J1819" t="str">
        <f>_xlfn.IFNA(IF(I1819&lt;&gt;0,VLOOKUP(VLOOKUP(I1819,Tbl_Equip[],2,FALSE),Tbl_Color[],IFERROR(MATCH(UI!$B$1,Tbl_Color[#Headers],0),2),FALSE),""),"Unset")</f>
        <v/>
      </c>
      <c r="K1819" t="str">
        <f>_xlfn.IFNA(IF(I1819&lt;&gt;0,VLOOKUP(I1819,ItemText[],IFERROR(MATCH(UI!$B$1,ItemText[#Headers],0),2),FALSE),""),"Unset")</f>
        <v/>
      </c>
      <c r="M1819">
        <v>0</v>
      </c>
      <c r="P1819">
        <v>0</v>
      </c>
      <c r="S1819">
        <v>0</v>
      </c>
      <c r="T1819" t="str">
        <f>IF(VALUE(S1819)=0,"",VLOOKUP(VLOOKUP(S1819,Tbl_Effect[],3,FALSE),EffectName[],IFERROR(MATCH(UI!$B$1,EffectName[#Headers],0),2),FALSE))</f>
        <v/>
      </c>
      <c r="U1819" t="str">
        <f t="shared" si="179"/>
        <v/>
      </c>
      <c r="V1819">
        <v>0</v>
      </c>
      <c r="W1819" t="str">
        <f>IF(V1819&lt;&gt;0,VLOOKUP(VLOOKUP(V1819,Tbl_Effect[],3,FALSE),EffectName[],IFERROR(MATCH(UI!$B$1,EffectName[#Headers],0),2),FALSE),"")</f>
        <v/>
      </c>
      <c r="X1819" t="str">
        <f t="shared" si="180"/>
        <v/>
      </c>
      <c r="Y1819">
        <v>0</v>
      </c>
      <c r="Z1819" t="str">
        <f>IF(Y1819&lt;&gt;0,VLOOKUP(VLOOKUP(Y1819,Tbl_Effect[],3,FALSE),EffectName[],IFERROR(MATCH(UI!$B$1,EffectName[#Headers],0),2),FALSE),"")</f>
        <v/>
      </c>
      <c r="AA1819" t="str">
        <f t="shared" si="181"/>
        <v/>
      </c>
      <c r="AB1819">
        <v>0</v>
      </c>
      <c r="AC1819" t="str">
        <f>IF(AB1819&lt;&gt;0,VLOOKUP(VLOOKUP(AB1819,Tbl_Effect[],3,FALSE),EffectName[],IFERROR(MATCH(UI!$B$1,EffectName[#Headers],0),2),FALSE),"")</f>
        <v/>
      </c>
    </row>
    <row r="1820" spans="8:29" x14ac:dyDescent="0.4">
      <c r="H1820" t="str">
        <f t="shared" si="178"/>
        <v/>
      </c>
      <c r="I1820">
        <v>0</v>
      </c>
      <c r="J1820" t="str">
        <f>_xlfn.IFNA(IF(I1820&lt;&gt;0,VLOOKUP(VLOOKUP(I1820,Tbl_Equip[],2,FALSE),Tbl_Color[],IFERROR(MATCH(UI!$B$1,Tbl_Color[#Headers],0),2),FALSE),""),"Unset")</f>
        <v/>
      </c>
      <c r="K1820" t="str">
        <f>_xlfn.IFNA(IF(I1820&lt;&gt;0,VLOOKUP(I1820,ItemText[],IFERROR(MATCH(UI!$B$1,ItemText[#Headers],0),2),FALSE),""),"Unset")</f>
        <v/>
      </c>
      <c r="M1820">
        <v>0</v>
      </c>
      <c r="P1820">
        <v>0</v>
      </c>
      <c r="S1820">
        <v>0</v>
      </c>
      <c r="T1820" t="str">
        <f>IF(VALUE(S1820)=0,"",VLOOKUP(VLOOKUP(S1820,Tbl_Effect[],3,FALSE),EffectName[],IFERROR(MATCH(UI!$B$1,EffectName[#Headers],0),2),FALSE))</f>
        <v/>
      </c>
      <c r="U1820" t="str">
        <f t="shared" si="179"/>
        <v/>
      </c>
      <c r="V1820">
        <v>0</v>
      </c>
      <c r="W1820" t="str">
        <f>IF(V1820&lt;&gt;0,VLOOKUP(VLOOKUP(V1820,Tbl_Effect[],3,FALSE),EffectName[],IFERROR(MATCH(UI!$B$1,EffectName[#Headers],0),2),FALSE),"")</f>
        <v/>
      </c>
      <c r="X1820" t="str">
        <f t="shared" si="180"/>
        <v/>
      </c>
      <c r="Y1820">
        <v>0</v>
      </c>
      <c r="Z1820" t="str">
        <f>IF(Y1820&lt;&gt;0,VLOOKUP(VLOOKUP(Y1820,Tbl_Effect[],3,FALSE),EffectName[],IFERROR(MATCH(UI!$B$1,EffectName[#Headers],0),2),FALSE),"")</f>
        <v/>
      </c>
      <c r="AA1820" t="str">
        <f t="shared" si="181"/>
        <v/>
      </c>
      <c r="AB1820">
        <v>0</v>
      </c>
      <c r="AC1820" t="str">
        <f>IF(AB1820&lt;&gt;0,VLOOKUP(VLOOKUP(AB1820,Tbl_Effect[],3,FALSE),EffectName[],IFERROR(MATCH(UI!$B$1,EffectName[#Headers],0),2),FALSE),"")</f>
        <v/>
      </c>
    </row>
    <row r="1821" spans="8:29" x14ac:dyDescent="0.4">
      <c r="H1821" t="str">
        <f t="shared" si="178"/>
        <v/>
      </c>
      <c r="I1821">
        <v>0</v>
      </c>
      <c r="J1821" t="str">
        <f>_xlfn.IFNA(IF(I1821&lt;&gt;0,VLOOKUP(VLOOKUP(I1821,Tbl_Equip[],2,FALSE),Tbl_Color[],IFERROR(MATCH(UI!$B$1,Tbl_Color[#Headers],0),2),FALSE),""),"Unset")</f>
        <v/>
      </c>
      <c r="K1821" t="str">
        <f>_xlfn.IFNA(IF(I1821&lt;&gt;0,VLOOKUP(I1821,ItemText[],IFERROR(MATCH(UI!$B$1,ItemText[#Headers],0),2),FALSE),""),"Unset")</f>
        <v/>
      </c>
      <c r="M1821">
        <v>0</v>
      </c>
      <c r="P1821">
        <v>0</v>
      </c>
      <c r="S1821">
        <v>0</v>
      </c>
      <c r="T1821" t="str">
        <f>IF(VALUE(S1821)=0,"",VLOOKUP(VLOOKUP(S1821,Tbl_Effect[],3,FALSE),EffectName[],IFERROR(MATCH(UI!$B$1,EffectName[#Headers],0),2),FALSE))</f>
        <v/>
      </c>
      <c r="U1821" t="str">
        <f t="shared" si="179"/>
        <v/>
      </c>
      <c r="V1821">
        <v>0</v>
      </c>
      <c r="W1821" t="str">
        <f>IF(V1821&lt;&gt;0,VLOOKUP(VLOOKUP(V1821,Tbl_Effect[],3,FALSE),EffectName[],IFERROR(MATCH(UI!$B$1,EffectName[#Headers],0),2),FALSE),"")</f>
        <v/>
      </c>
      <c r="X1821" t="str">
        <f t="shared" si="180"/>
        <v/>
      </c>
      <c r="Y1821">
        <v>0</v>
      </c>
      <c r="Z1821" t="str">
        <f>IF(Y1821&lt;&gt;0,VLOOKUP(VLOOKUP(Y1821,Tbl_Effect[],3,FALSE),EffectName[],IFERROR(MATCH(UI!$B$1,EffectName[#Headers],0),2),FALSE),"")</f>
        <v/>
      </c>
      <c r="AA1821" t="str">
        <f t="shared" si="181"/>
        <v/>
      </c>
      <c r="AB1821">
        <v>0</v>
      </c>
      <c r="AC1821" t="str">
        <f>IF(AB1821&lt;&gt;0,VLOOKUP(VLOOKUP(AB1821,Tbl_Effect[],3,FALSE),EffectName[],IFERROR(MATCH(UI!$B$1,EffectName[#Headers],0),2),FALSE),"")</f>
        <v/>
      </c>
    </row>
    <row r="1822" spans="8:29" x14ac:dyDescent="0.4">
      <c r="H1822" t="str">
        <f t="shared" si="178"/>
        <v/>
      </c>
      <c r="I1822">
        <v>0</v>
      </c>
      <c r="J1822" t="str">
        <f>_xlfn.IFNA(IF(I1822&lt;&gt;0,VLOOKUP(VLOOKUP(I1822,Tbl_Equip[],2,FALSE),Tbl_Color[],IFERROR(MATCH(UI!$B$1,Tbl_Color[#Headers],0),2),FALSE),""),"Unset")</f>
        <v/>
      </c>
      <c r="K1822" t="str">
        <f>_xlfn.IFNA(IF(I1822&lt;&gt;0,VLOOKUP(I1822,ItemText[],IFERROR(MATCH(UI!$B$1,ItemText[#Headers],0),2),FALSE),""),"Unset")</f>
        <v/>
      </c>
      <c r="M1822">
        <v>0</v>
      </c>
      <c r="P1822">
        <v>0</v>
      </c>
      <c r="S1822">
        <v>0</v>
      </c>
      <c r="T1822" t="str">
        <f>IF(VALUE(S1822)=0,"",VLOOKUP(VLOOKUP(S1822,Tbl_Effect[],3,FALSE),EffectName[],IFERROR(MATCH(UI!$B$1,EffectName[#Headers],0),2),FALSE))</f>
        <v/>
      </c>
      <c r="U1822" t="str">
        <f t="shared" si="179"/>
        <v/>
      </c>
      <c r="V1822">
        <v>0</v>
      </c>
      <c r="W1822" t="str">
        <f>IF(V1822&lt;&gt;0,VLOOKUP(VLOOKUP(V1822,Tbl_Effect[],3,FALSE),EffectName[],IFERROR(MATCH(UI!$B$1,EffectName[#Headers],0),2),FALSE),"")</f>
        <v/>
      </c>
      <c r="X1822" t="str">
        <f t="shared" si="180"/>
        <v/>
      </c>
      <c r="Y1822">
        <v>0</v>
      </c>
      <c r="Z1822" t="str">
        <f>IF(Y1822&lt;&gt;0,VLOOKUP(VLOOKUP(Y1822,Tbl_Effect[],3,FALSE),EffectName[],IFERROR(MATCH(UI!$B$1,EffectName[#Headers],0),2),FALSE),"")</f>
        <v/>
      </c>
      <c r="AA1822" t="str">
        <f t="shared" si="181"/>
        <v/>
      </c>
      <c r="AB1822">
        <v>0</v>
      </c>
      <c r="AC1822" t="str">
        <f>IF(AB1822&lt;&gt;0,VLOOKUP(VLOOKUP(AB1822,Tbl_Effect[],3,FALSE),EffectName[],IFERROR(MATCH(UI!$B$1,EffectName[#Headers],0),2),FALSE),"")</f>
        <v/>
      </c>
    </row>
    <row r="1823" spans="8:29" x14ac:dyDescent="0.4">
      <c r="H1823" t="str">
        <f t="shared" si="178"/>
        <v/>
      </c>
      <c r="I1823">
        <v>0</v>
      </c>
      <c r="J1823" t="str">
        <f>_xlfn.IFNA(IF(I1823&lt;&gt;0,VLOOKUP(VLOOKUP(I1823,Tbl_Equip[],2,FALSE),Tbl_Color[],IFERROR(MATCH(UI!$B$1,Tbl_Color[#Headers],0),2),FALSE),""),"Unset")</f>
        <v/>
      </c>
      <c r="K1823" t="str">
        <f>_xlfn.IFNA(IF(I1823&lt;&gt;0,VLOOKUP(I1823,ItemText[],IFERROR(MATCH(UI!$B$1,ItemText[#Headers],0),2),FALSE),""),"Unset")</f>
        <v/>
      </c>
      <c r="M1823">
        <v>0</v>
      </c>
      <c r="P1823">
        <v>0</v>
      </c>
      <c r="S1823">
        <v>0</v>
      </c>
      <c r="T1823" t="str">
        <f>IF(VALUE(S1823)=0,"",VLOOKUP(VLOOKUP(S1823,Tbl_Effect[],3,FALSE),EffectName[],IFERROR(MATCH(UI!$B$1,EffectName[#Headers],0),2),FALSE))</f>
        <v/>
      </c>
      <c r="U1823" t="str">
        <f t="shared" si="179"/>
        <v/>
      </c>
      <c r="V1823">
        <v>0</v>
      </c>
      <c r="W1823" t="str">
        <f>IF(V1823&lt;&gt;0,VLOOKUP(VLOOKUP(V1823,Tbl_Effect[],3,FALSE),EffectName[],IFERROR(MATCH(UI!$B$1,EffectName[#Headers],0),2),FALSE),"")</f>
        <v/>
      </c>
      <c r="X1823" t="str">
        <f t="shared" si="180"/>
        <v/>
      </c>
      <c r="Y1823">
        <v>0</v>
      </c>
      <c r="Z1823" t="str">
        <f>IF(Y1823&lt;&gt;0,VLOOKUP(VLOOKUP(Y1823,Tbl_Effect[],3,FALSE),EffectName[],IFERROR(MATCH(UI!$B$1,EffectName[#Headers],0),2),FALSE),"")</f>
        <v/>
      </c>
      <c r="AA1823" t="str">
        <f t="shared" si="181"/>
        <v/>
      </c>
      <c r="AB1823">
        <v>0</v>
      </c>
      <c r="AC1823" t="str">
        <f>IF(AB1823&lt;&gt;0,VLOOKUP(VLOOKUP(AB1823,Tbl_Effect[],3,FALSE),EffectName[],IFERROR(MATCH(UI!$B$1,EffectName[#Headers],0),2),FALSE),"")</f>
        <v/>
      </c>
    </row>
    <row r="1824" spans="8:29" x14ac:dyDescent="0.4">
      <c r="H1824" t="str">
        <f t="shared" si="178"/>
        <v/>
      </c>
      <c r="I1824">
        <v>0</v>
      </c>
      <c r="J1824" t="str">
        <f>_xlfn.IFNA(IF(I1824&lt;&gt;0,VLOOKUP(VLOOKUP(I1824,Tbl_Equip[],2,FALSE),Tbl_Color[],IFERROR(MATCH(UI!$B$1,Tbl_Color[#Headers],0),2),FALSE),""),"Unset")</f>
        <v/>
      </c>
      <c r="K1824" t="str">
        <f>_xlfn.IFNA(IF(I1824&lt;&gt;0,VLOOKUP(I1824,ItemText[],IFERROR(MATCH(UI!$B$1,ItemText[#Headers],0),2),FALSE),""),"Unset")</f>
        <v/>
      </c>
      <c r="M1824">
        <v>0</v>
      </c>
      <c r="P1824">
        <v>0</v>
      </c>
      <c r="S1824">
        <v>0</v>
      </c>
      <c r="T1824" t="str">
        <f>IF(VALUE(S1824)=0,"",VLOOKUP(VLOOKUP(S1824,Tbl_Effect[],3,FALSE),EffectName[],IFERROR(MATCH(UI!$B$1,EffectName[#Headers],0),2),FALSE))</f>
        <v/>
      </c>
      <c r="U1824" t="str">
        <f t="shared" si="179"/>
        <v/>
      </c>
      <c r="V1824">
        <v>0</v>
      </c>
      <c r="W1824" t="str">
        <f>IF(V1824&lt;&gt;0,VLOOKUP(VLOOKUP(V1824,Tbl_Effect[],3,FALSE),EffectName[],IFERROR(MATCH(UI!$B$1,EffectName[#Headers],0),2),FALSE),"")</f>
        <v/>
      </c>
      <c r="X1824" t="str">
        <f t="shared" si="180"/>
        <v/>
      </c>
      <c r="Y1824">
        <v>0</v>
      </c>
      <c r="Z1824" t="str">
        <f>IF(Y1824&lt;&gt;0,VLOOKUP(VLOOKUP(Y1824,Tbl_Effect[],3,FALSE),EffectName[],IFERROR(MATCH(UI!$B$1,EffectName[#Headers],0),2),FALSE),"")</f>
        <v/>
      </c>
      <c r="AA1824" t="str">
        <f t="shared" si="181"/>
        <v/>
      </c>
      <c r="AB1824">
        <v>0</v>
      </c>
      <c r="AC1824" t="str">
        <f>IF(AB1824&lt;&gt;0,VLOOKUP(VLOOKUP(AB1824,Tbl_Effect[],3,FALSE),EffectName[],IFERROR(MATCH(UI!$B$1,EffectName[#Headers],0),2),FALSE),"")</f>
        <v/>
      </c>
    </row>
    <row r="1825" spans="8:29" x14ac:dyDescent="0.4">
      <c r="H1825" t="str">
        <f t="shared" si="178"/>
        <v/>
      </c>
      <c r="I1825">
        <v>0</v>
      </c>
      <c r="J1825" t="str">
        <f>_xlfn.IFNA(IF(I1825&lt;&gt;0,VLOOKUP(VLOOKUP(I1825,Tbl_Equip[],2,FALSE),Tbl_Color[],IFERROR(MATCH(UI!$B$1,Tbl_Color[#Headers],0),2),FALSE),""),"Unset")</f>
        <v/>
      </c>
      <c r="K1825" t="str">
        <f>_xlfn.IFNA(IF(I1825&lt;&gt;0,VLOOKUP(I1825,ItemText[],IFERROR(MATCH(UI!$B$1,ItemText[#Headers],0),2),FALSE),""),"Unset")</f>
        <v/>
      </c>
      <c r="M1825">
        <v>0</v>
      </c>
      <c r="P1825">
        <v>0</v>
      </c>
      <c r="S1825">
        <v>0</v>
      </c>
      <c r="T1825" t="str">
        <f>IF(VALUE(S1825)=0,"",VLOOKUP(VLOOKUP(S1825,Tbl_Effect[],3,FALSE),EffectName[],IFERROR(MATCH(UI!$B$1,EffectName[#Headers],0),2),FALSE))</f>
        <v/>
      </c>
      <c r="U1825" t="str">
        <f t="shared" si="179"/>
        <v/>
      </c>
      <c r="V1825">
        <v>0</v>
      </c>
      <c r="W1825" t="str">
        <f>IF(V1825&lt;&gt;0,VLOOKUP(VLOOKUP(V1825,Tbl_Effect[],3,FALSE),EffectName[],IFERROR(MATCH(UI!$B$1,EffectName[#Headers],0),2),FALSE),"")</f>
        <v/>
      </c>
      <c r="X1825" t="str">
        <f t="shared" si="180"/>
        <v/>
      </c>
      <c r="Y1825">
        <v>0</v>
      </c>
      <c r="Z1825" t="str">
        <f>IF(Y1825&lt;&gt;0,VLOOKUP(VLOOKUP(Y1825,Tbl_Effect[],3,FALSE),EffectName[],IFERROR(MATCH(UI!$B$1,EffectName[#Headers],0),2),FALSE),"")</f>
        <v/>
      </c>
      <c r="AA1825" t="str">
        <f t="shared" si="181"/>
        <v/>
      </c>
      <c r="AB1825">
        <v>0</v>
      </c>
      <c r="AC1825" t="str">
        <f>IF(AB1825&lt;&gt;0,VLOOKUP(VLOOKUP(AB1825,Tbl_Effect[],3,FALSE),EffectName[],IFERROR(MATCH(UI!$B$1,EffectName[#Headers],0),2),FALSE),"")</f>
        <v/>
      </c>
    </row>
    <row r="1826" spans="8:29" x14ac:dyDescent="0.4">
      <c r="H1826" t="str">
        <f t="shared" si="178"/>
        <v/>
      </c>
      <c r="I1826">
        <v>0</v>
      </c>
      <c r="J1826" t="str">
        <f>_xlfn.IFNA(IF(I1826&lt;&gt;0,VLOOKUP(VLOOKUP(I1826,Tbl_Equip[],2,FALSE),Tbl_Color[],IFERROR(MATCH(UI!$B$1,Tbl_Color[#Headers],0),2),FALSE),""),"Unset")</f>
        <v/>
      </c>
      <c r="K1826" t="str">
        <f>_xlfn.IFNA(IF(I1826&lt;&gt;0,VLOOKUP(I1826,ItemText[],IFERROR(MATCH(UI!$B$1,ItemText[#Headers],0),2),FALSE),""),"Unset")</f>
        <v/>
      </c>
      <c r="M1826">
        <v>0</v>
      </c>
      <c r="P1826">
        <v>0</v>
      </c>
      <c r="S1826">
        <v>0</v>
      </c>
      <c r="T1826" t="str">
        <f>IF(VALUE(S1826)=0,"",VLOOKUP(VLOOKUP(S1826,Tbl_Effect[],3,FALSE),EffectName[],IFERROR(MATCH(UI!$B$1,EffectName[#Headers],0),2),FALSE))</f>
        <v/>
      </c>
      <c r="U1826" t="str">
        <f t="shared" si="179"/>
        <v/>
      </c>
      <c r="V1826">
        <v>0</v>
      </c>
      <c r="W1826" t="str">
        <f>IF(V1826&lt;&gt;0,VLOOKUP(VLOOKUP(V1826,Tbl_Effect[],3,FALSE),EffectName[],IFERROR(MATCH(UI!$B$1,EffectName[#Headers],0),2),FALSE),"")</f>
        <v/>
      </c>
      <c r="X1826" t="str">
        <f t="shared" si="180"/>
        <v/>
      </c>
      <c r="Y1826">
        <v>0</v>
      </c>
      <c r="Z1826" t="str">
        <f>IF(Y1826&lt;&gt;0,VLOOKUP(VLOOKUP(Y1826,Tbl_Effect[],3,FALSE),EffectName[],IFERROR(MATCH(UI!$B$1,EffectName[#Headers],0),2),FALSE),"")</f>
        <v/>
      </c>
      <c r="AA1826" t="str">
        <f t="shared" si="181"/>
        <v/>
      </c>
      <c r="AB1826">
        <v>0</v>
      </c>
      <c r="AC1826" t="str">
        <f>IF(AB1826&lt;&gt;0,VLOOKUP(VLOOKUP(AB1826,Tbl_Effect[],3,FALSE),EffectName[],IFERROR(MATCH(UI!$B$1,EffectName[#Headers],0),2),FALSE),"")</f>
        <v/>
      </c>
    </row>
    <row r="1827" spans="8:29" x14ac:dyDescent="0.4">
      <c r="H1827" t="str">
        <f t="shared" si="178"/>
        <v/>
      </c>
      <c r="I1827">
        <v>0</v>
      </c>
      <c r="J1827" t="str">
        <f>_xlfn.IFNA(IF(I1827&lt;&gt;0,VLOOKUP(VLOOKUP(I1827,Tbl_Equip[],2,FALSE),Tbl_Color[],IFERROR(MATCH(UI!$B$1,Tbl_Color[#Headers],0),2),FALSE),""),"Unset")</f>
        <v/>
      </c>
      <c r="K1827" t="str">
        <f>_xlfn.IFNA(IF(I1827&lt;&gt;0,VLOOKUP(I1827,ItemText[],IFERROR(MATCH(UI!$B$1,ItemText[#Headers],0),2),FALSE),""),"Unset")</f>
        <v/>
      </c>
      <c r="M1827">
        <v>0</v>
      </c>
      <c r="P1827">
        <v>0</v>
      </c>
      <c r="S1827">
        <v>0</v>
      </c>
      <c r="T1827" t="str">
        <f>IF(VALUE(S1827)=0,"",VLOOKUP(VLOOKUP(S1827,Tbl_Effect[],3,FALSE),EffectName[],IFERROR(MATCH(UI!$B$1,EffectName[#Headers],0),2),FALSE))</f>
        <v/>
      </c>
      <c r="U1827" t="str">
        <f t="shared" si="179"/>
        <v/>
      </c>
      <c r="V1827">
        <v>0</v>
      </c>
      <c r="W1827" t="str">
        <f>IF(V1827&lt;&gt;0,VLOOKUP(VLOOKUP(V1827,Tbl_Effect[],3,FALSE),EffectName[],IFERROR(MATCH(UI!$B$1,EffectName[#Headers],0),2),FALSE),"")</f>
        <v/>
      </c>
      <c r="X1827" t="str">
        <f t="shared" si="180"/>
        <v/>
      </c>
      <c r="Y1827">
        <v>0</v>
      </c>
      <c r="Z1827" t="str">
        <f>IF(Y1827&lt;&gt;0,VLOOKUP(VLOOKUP(Y1827,Tbl_Effect[],3,FALSE),EffectName[],IFERROR(MATCH(UI!$B$1,EffectName[#Headers],0),2),FALSE),"")</f>
        <v/>
      </c>
      <c r="AA1827" t="str">
        <f t="shared" si="181"/>
        <v/>
      </c>
      <c r="AB1827">
        <v>0</v>
      </c>
      <c r="AC1827" t="str">
        <f>IF(AB1827&lt;&gt;0,VLOOKUP(VLOOKUP(AB1827,Tbl_Effect[],3,FALSE),EffectName[],IFERROR(MATCH(UI!$B$1,EffectName[#Headers],0),2),FALSE),"")</f>
        <v/>
      </c>
    </row>
    <row r="1828" spans="8:29" x14ac:dyDescent="0.4">
      <c r="H1828" t="str">
        <f t="shared" si="178"/>
        <v/>
      </c>
      <c r="I1828">
        <v>0</v>
      </c>
      <c r="J1828" t="str">
        <f>_xlfn.IFNA(IF(I1828&lt;&gt;0,VLOOKUP(VLOOKUP(I1828,Tbl_Equip[],2,FALSE),Tbl_Color[],IFERROR(MATCH(UI!$B$1,Tbl_Color[#Headers],0),2),FALSE),""),"Unset")</f>
        <v/>
      </c>
      <c r="K1828" t="str">
        <f>_xlfn.IFNA(IF(I1828&lt;&gt;0,VLOOKUP(I1828,ItemText[],IFERROR(MATCH(UI!$B$1,ItemText[#Headers],0),2),FALSE),""),"Unset")</f>
        <v/>
      </c>
      <c r="M1828">
        <v>0</v>
      </c>
      <c r="P1828">
        <v>0</v>
      </c>
      <c r="S1828">
        <v>0</v>
      </c>
      <c r="T1828" t="str">
        <f>IF(VALUE(S1828)=0,"",VLOOKUP(VLOOKUP(S1828,Tbl_Effect[],3,FALSE),EffectName[],IFERROR(MATCH(UI!$B$1,EffectName[#Headers],0),2),FALSE))</f>
        <v/>
      </c>
      <c r="U1828" t="str">
        <f t="shared" si="179"/>
        <v/>
      </c>
      <c r="V1828">
        <v>0</v>
      </c>
      <c r="W1828" t="str">
        <f>IF(V1828&lt;&gt;0,VLOOKUP(VLOOKUP(V1828,Tbl_Effect[],3,FALSE),EffectName[],IFERROR(MATCH(UI!$B$1,EffectName[#Headers],0),2),FALSE),"")</f>
        <v/>
      </c>
      <c r="X1828" t="str">
        <f t="shared" si="180"/>
        <v/>
      </c>
      <c r="Y1828">
        <v>0</v>
      </c>
      <c r="Z1828" t="str">
        <f>IF(Y1828&lt;&gt;0,VLOOKUP(VLOOKUP(Y1828,Tbl_Effect[],3,FALSE),EffectName[],IFERROR(MATCH(UI!$B$1,EffectName[#Headers],0),2),FALSE),"")</f>
        <v/>
      </c>
      <c r="AA1828" t="str">
        <f t="shared" si="181"/>
        <v/>
      </c>
      <c r="AB1828">
        <v>0</v>
      </c>
      <c r="AC1828" t="str">
        <f>IF(AB1828&lt;&gt;0,VLOOKUP(VLOOKUP(AB1828,Tbl_Effect[],3,FALSE),EffectName[],IFERROR(MATCH(UI!$B$1,EffectName[#Headers],0),2),FALSE),"")</f>
        <v/>
      </c>
    </row>
    <row r="1829" spans="8:29" x14ac:dyDescent="0.4">
      <c r="H1829" t="str">
        <f t="shared" si="178"/>
        <v/>
      </c>
      <c r="I1829">
        <v>0</v>
      </c>
      <c r="J1829" t="str">
        <f>_xlfn.IFNA(IF(I1829&lt;&gt;0,VLOOKUP(VLOOKUP(I1829,Tbl_Equip[],2,FALSE),Tbl_Color[],IFERROR(MATCH(UI!$B$1,Tbl_Color[#Headers],0),2),FALSE),""),"Unset")</f>
        <v/>
      </c>
      <c r="K1829" t="str">
        <f>_xlfn.IFNA(IF(I1829&lt;&gt;0,VLOOKUP(I1829,ItemText[],IFERROR(MATCH(UI!$B$1,ItemText[#Headers],0),2),FALSE),""),"Unset")</f>
        <v/>
      </c>
      <c r="M1829">
        <v>0</v>
      </c>
      <c r="P1829">
        <v>0</v>
      </c>
      <c r="S1829">
        <v>0</v>
      </c>
      <c r="T1829" t="str">
        <f>IF(VALUE(S1829)=0,"",VLOOKUP(VLOOKUP(S1829,Tbl_Effect[],3,FALSE),EffectName[],IFERROR(MATCH(UI!$B$1,EffectName[#Headers],0),2),FALSE))</f>
        <v/>
      </c>
      <c r="U1829" t="str">
        <f t="shared" si="179"/>
        <v/>
      </c>
      <c r="V1829">
        <v>0</v>
      </c>
      <c r="W1829" t="str">
        <f>IF(V1829&lt;&gt;0,VLOOKUP(VLOOKUP(V1829,Tbl_Effect[],3,FALSE),EffectName[],IFERROR(MATCH(UI!$B$1,EffectName[#Headers],0),2),FALSE),"")</f>
        <v/>
      </c>
      <c r="X1829" t="str">
        <f t="shared" si="180"/>
        <v/>
      </c>
      <c r="Y1829">
        <v>0</v>
      </c>
      <c r="Z1829" t="str">
        <f>IF(Y1829&lt;&gt;0,VLOOKUP(VLOOKUP(Y1829,Tbl_Effect[],3,FALSE),EffectName[],IFERROR(MATCH(UI!$B$1,EffectName[#Headers],0),2),FALSE),"")</f>
        <v/>
      </c>
      <c r="AA1829" t="str">
        <f t="shared" si="181"/>
        <v/>
      </c>
      <c r="AB1829">
        <v>0</v>
      </c>
      <c r="AC1829" t="str">
        <f>IF(AB1829&lt;&gt;0,VLOOKUP(VLOOKUP(AB1829,Tbl_Effect[],3,FALSE),EffectName[],IFERROR(MATCH(UI!$B$1,EffectName[#Headers],0),2),FALSE),"")</f>
        <v/>
      </c>
    </row>
    <row r="1830" spans="8:29" x14ac:dyDescent="0.4">
      <c r="H1830" t="str">
        <f t="shared" si="178"/>
        <v/>
      </c>
      <c r="I1830">
        <v>0</v>
      </c>
      <c r="J1830" t="str">
        <f>_xlfn.IFNA(IF(I1830&lt;&gt;0,VLOOKUP(VLOOKUP(I1830,Tbl_Equip[],2,FALSE),Tbl_Color[],IFERROR(MATCH(UI!$B$1,Tbl_Color[#Headers],0),2),FALSE),""),"Unset")</f>
        <v/>
      </c>
      <c r="K1830" t="str">
        <f>_xlfn.IFNA(IF(I1830&lt;&gt;0,VLOOKUP(I1830,ItemText[],IFERROR(MATCH(UI!$B$1,ItemText[#Headers],0),2),FALSE),""),"Unset")</f>
        <v/>
      </c>
      <c r="M1830">
        <v>0</v>
      </c>
      <c r="P1830">
        <v>0</v>
      </c>
      <c r="S1830">
        <v>0</v>
      </c>
      <c r="T1830" t="str">
        <f>IF(VALUE(S1830)=0,"",VLOOKUP(VLOOKUP(S1830,Tbl_Effect[],3,FALSE),EffectName[],IFERROR(MATCH(UI!$B$1,EffectName[#Headers],0),2),FALSE))</f>
        <v/>
      </c>
      <c r="U1830" t="str">
        <f t="shared" si="179"/>
        <v/>
      </c>
      <c r="V1830">
        <v>0</v>
      </c>
      <c r="W1830" t="str">
        <f>IF(V1830&lt;&gt;0,VLOOKUP(VLOOKUP(V1830,Tbl_Effect[],3,FALSE),EffectName[],IFERROR(MATCH(UI!$B$1,EffectName[#Headers],0),2),FALSE),"")</f>
        <v/>
      </c>
      <c r="X1830" t="str">
        <f t="shared" si="180"/>
        <v/>
      </c>
      <c r="Y1830">
        <v>0</v>
      </c>
      <c r="Z1830" t="str">
        <f>IF(Y1830&lt;&gt;0,VLOOKUP(VLOOKUP(Y1830,Tbl_Effect[],3,FALSE),EffectName[],IFERROR(MATCH(UI!$B$1,EffectName[#Headers],0),2),FALSE),"")</f>
        <v/>
      </c>
      <c r="AA1830" t="str">
        <f t="shared" si="181"/>
        <v/>
      </c>
      <c r="AB1830">
        <v>0</v>
      </c>
      <c r="AC1830" t="str">
        <f>IF(AB1830&lt;&gt;0,VLOOKUP(VLOOKUP(AB1830,Tbl_Effect[],3,FALSE),EffectName[],IFERROR(MATCH(UI!$B$1,EffectName[#Headers],0),2),FALSE),"")</f>
        <v/>
      </c>
    </row>
    <row r="1831" spans="8:29" x14ac:dyDescent="0.4">
      <c r="H1831" t="str">
        <f t="shared" si="178"/>
        <v/>
      </c>
      <c r="I1831">
        <v>0</v>
      </c>
      <c r="J1831" t="str">
        <f>_xlfn.IFNA(IF(I1831&lt;&gt;0,VLOOKUP(VLOOKUP(I1831,Tbl_Equip[],2,FALSE),Tbl_Color[],IFERROR(MATCH(UI!$B$1,Tbl_Color[#Headers],0),2),FALSE),""),"Unset")</f>
        <v/>
      </c>
      <c r="K1831" t="str">
        <f>_xlfn.IFNA(IF(I1831&lt;&gt;0,VLOOKUP(I1831,ItemText[],IFERROR(MATCH(UI!$B$1,ItemText[#Headers],0),2),FALSE),""),"Unset")</f>
        <v/>
      </c>
      <c r="M1831">
        <v>0</v>
      </c>
      <c r="P1831">
        <v>0</v>
      </c>
      <c r="S1831">
        <v>0</v>
      </c>
      <c r="T1831" t="str">
        <f>IF(VALUE(S1831)=0,"",VLOOKUP(VLOOKUP(S1831,Tbl_Effect[],3,FALSE),EffectName[],IFERROR(MATCH(UI!$B$1,EffectName[#Headers],0),2),FALSE))</f>
        <v/>
      </c>
      <c r="U1831" t="str">
        <f t="shared" si="179"/>
        <v/>
      </c>
      <c r="V1831">
        <v>0</v>
      </c>
      <c r="W1831" t="str">
        <f>IF(V1831&lt;&gt;0,VLOOKUP(VLOOKUP(V1831,Tbl_Effect[],3,FALSE),EffectName[],IFERROR(MATCH(UI!$B$1,EffectName[#Headers],0),2),FALSE),"")</f>
        <v/>
      </c>
      <c r="X1831" t="str">
        <f t="shared" si="180"/>
        <v/>
      </c>
      <c r="Y1831">
        <v>0</v>
      </c>
      <c r="Z1831" t="str">
        <f>IF(Y1831&lt;&gt;0,VLOOKUP(VLOOKUP(Y1831,Tbl_Effect[],3,FALSE),EffectName[],IFERROR(MATCH(UI!$B$1,EffectName[#Headers],0),2),FALSE),"")</f>
        <v/>
      </c>
      <c r="AA1831" t="str">
        <f t="shared" si="181"/>
        <v/>
      </c>
      <c r="AB1831">
        <v>0</v>
      </c>
      <c r="AC1831" t="str">
        <f>IF(AB1831&lt;&gt;0,VLOOKUP(VLOOKUP(AB1831,Tbl_Effect[],3,FALSE),EffectName[],IFERROR(MATCH(UI!$B$1,EffectName[#Headers],0),2),FALSE),"")</f>
        <v/>
      </c>
    </row>
    <row r="1832" spans="8:29" x14ac:dyDescent="0.4">
      <c r="H1832" t="str">
        <f t="shared" si="178"/>
        <v/>
      </c>
      <c r="I1832">
        <v>0</v>
      </c>
      <c r="J1832" t="str">
        <f>_xlfn.IFNA(IF(I1832&lt;&gt;0,VLOOKUP(VLOOKUP(I1832,Tbl_Equip[],2,FALSE),Tbl_Color[],IFERROR(MATCH(UI!$B$1,Tbl_Color[#Headers],0),2),FALSE),""),"Unset")</f>
        <v/>
      </c>
      <c r="K1832" t="str">
        <f>_xlfn.IFNA(IF(I1832&lt;&gt;0,VLOOKUP(I1832,ItemText[],IFERROR(MATCH(UI!$B$1,ItemText[#Headers],0),2),FALSE),""),"Unset")</f>
        <v/>
      </c>
      <c r="M1832">
        <v>0</v>
      </c>
      <c r="P1832">
        <v>0</v>
      </c>
      <c r="S1832">
        <v>0</v>
      </c>
      <c r="T1832" t="str">
        <f>IF(VALUE(S1832)=0,"",VLOOKUP(VLOOKUP(S1832,Tbl_Effect[],3,FALSE),EffectName[],IFERROR(MATCH(UI!$B$1,EffectName[#Headers],0),2),FALSE))</f>
        <v/>
      </c>
      <c r="U1832" t="str">
        <f t="shared" si="179"/>
        <v/>
      </c>
      <c r="V1832">
        <v>0</v>
      </c>
      <c r="W1832" t="str">
        <f>IF(V1832&lt;&gt;0,VLOOKUP(VLOOKUP(V1832,Tbl_Effect[],3,FALSE),EffectName[],IFERROR(MATCH(UI!$B$1,EffectName[#Headers],0),2),FALSE),"")</f>
        <v/>
      </c>
      <c r="X1832" t="str">
        <f t="shared" si="180"/>
        <v/>
      </c>
      <c r="Y1832">
        <v>0</v>
      </c>
      <c r="Z1832" t="str">
        <f>IF(Y1832&lt;&gt;0,VLOOKUP(VLOOKUP(Y1832,Tbl_Effect[],3,FALSE),EffectName[],IFERROR(MATCH(UI!$B$1,EffectName[#Headers],0),2),FALSE),"")</f>
        <v/>
      </c>
      <c r="AA1832" t="str">
        <f t="shared" si="181"/>
        <v/>
      </c>
      <c r="AB1832">
        <v>0</v>
      </c>
      <c r="AC1832" t="str">
        <f>IF(AB1832&lt;&gt;0,VLOOKUP(VLOOKUP(AB1832,Tbl_Effect[],3,FALSE),EffectName[],IFERROR(MATCH(UI!$B$1,EffectName[#Headers],0),2),FALSE),"")</f>
        <v/>
      </c>
    </row>
    <row r="1833" spans="8:29" x14ac:dyDescent="0.4">
      <c r="H1833" t="str">
        <f t="shared" si="178"/>
        <v/>
      </c>
      <c r="I1833">
        <v>0</v>
      </c>
      <c r="J1833" t="str">
        <f>_xlfn.IFNA(IF(I1833&lt;&gt;0,VLOOKUP(VLOOKUP(I1833,Tbl_Equip[],2,FALSE),Tbl_Color[],IFERROR(MATCH(UI!$B$1,Tbl_Color[#Headers],0),2),FALSE),""),"Unset")</f>
        <v/>
      </c>
      <c r="K1833" t="str">
        <f>_xlfn.IFNA(IF(I1833&lt;&gt;0,VLOOKUP(I1833,ItemText[],IFERROR(MATCH(UI!$B$1,ItemText[#Headers],0),2),FALSE),""),"Unset")</f>
        <v/>
      </c>
      <c r="M1833">
        <v>0</v>
      </c>
      <c r="P1833">
        <v>0</v>
      </c>
      <c r="S1833">
        <v>0</v>
      </c>
      <c r="T1833" t="str">
        <f>IF(VALUE(S1833)=0,"",VLOOKUP(VLOOKUP(S1833,Tbl_Effect[],3,FALSE),EffectName[],IFERROR(MATCH(UI!$B$1,EffectName[#Headers],0),2),FALSE))</f>
        <v/>
      </c>
      <c r="U1833" t="str">
        <f t="shared" si="179"/>
        <v/>
      </c>
      <c r="V1833">
        <v>0</v>
      </c>
      <c r="W1833" t="str">
        <f>IF(V1833&lt;&gt;0,VLOOKUP(VLOOKUP(V1833,Tbl_Effect[],3,FALSE),EffectName[],IFERROR(MATCH(UI!$B$1,EffectName[#Headers],0),2),FALSE),"")</f>
        <v/>
      </c>
      <c r="X1833" t="str">
        <f t="shared" si="180"/>
        <v/>
      </c>
      <c r="Y1833">
        <v>0</v>
      </c>
      <c r="Z1833" t="str">
        <f>IF(Y1833&lt;&gt;0,VLOOKUP(VLOOKUP(Y1833,Tbl_Effect[],3,FALSE),EffectName[],IFERROR(MATCH(UI!$B$1,EffectName[#Headers],0),2),FALSE),"")</f>
        <v/>
      </c>
      <c r="AA1833" t="str">
        <f t="shared" si="181"/>
        <v/>
      </c>
      <c r="AB1833">
        <v>0</v>
      </c>
      <c r="AC1833" t="str">
        <f>IF(AB1833&lt;&gt;0,VLOOKUP(VLOOKUP(AB1833,Tbl_Effect[],3,FALSE),EffectName[],IFERROR(MATCH(UI!$B$1,EffectName[#Headers],0),2),FALSE),"")</f>
        <v/>
      </c>
    </row>
    <row r="1834" spans="8:29" x14ac:dyDescent="0.4">
      <c r="H1834" t="str">
        <f t="shared" si="178"/>
        <v/>
      </c>
      <c r="I1834">
        <v>0</v>
      </c>
      <c r="J1834" t="str">
        <f>_xlfn.IFNA(IF(I1834&lt;&gt;0,VLOOKUP(VLOOKUP(I1834,Tbl_Equip[],2,FALSE),Tbl_Color[],IFERROR(MATCH(UI!$B$1,Tbl_Color[#Headers],0),2),FALSE),""),"Unset")</f>
        <v/>
      </c>
      <c r="K1834" t="str">
        <f>_xlfn.IFNA(IF(I1834&lt;&gt;0,VLOOKUP(I1834,ItemText[],IFERROR(MATCH(UI!$B$1,ItemText[#Headers],0),2),FALSE),""),"Unset")</f>
        <v/>
      </c>
      <c r="M1834">
        <v>0</v>
      </c>
      <c r="P1834">
        <v>0</v>
      </c>
      <c r="S1834">
        <v>0</v>
      </c>
      <c r="T1834" t="str">
        <f>IF(VALUE(S1834)=0,"",VLOOKUP(VLOOKUP(S1834,Tbl_Effect[],3,FALSE),EffectName[],IFERROR(MATCH(UI!$B$1,EffectName[#Headers],0),2),FALSE))</f>
        <v/>
      </c>
      <c r="U1834" t="str">
        <f t="shared" si="179"/>
        <v/>
      </c>
      <c r="V1834">
        <v>0</v>
      </c>
      <c r="W1834" t="str">
        <f>IF(V1834&lt;&gt;0,VLOOKUP(VLOOKUP(V1834,Tbl_Effect[],3,FALSE),EffectName[],IFERROR(MATCH(UI!$B$1,EffectName[#Headers],0),2),FALSE),"")</f>
        <v/>
      </c>
      <c r="X1834" t="str">
        <f t="shared" si="180"/>
        <v/>
      </c>
      <c r="Y1834">
        <v>0</v>
      </c>
      <c r="Z1834" t="str">
        <f>IF(Y1834&lt;&gt;0,VLOOKUP(VLOOKUP(Y1834,Tbl_Effect[],3,FALSE),EffectName[],IFERROR(MATCH(UI!$B$1,EffectName[#Headers],0),2),FALSE),"")</f>
        <v/>
      </c>
      <c r="AA1834" t="str">
        <f t="shared" si="181"/>
        <v/>
      </c>
      <c r="AB1834">
        <v>0</v>
      </c>
      <c r="AC1834" t="str">
        <f>IF(AB1834&lt;&gt;0,VLOOKUP(VLOOKUP(AB1834,Tbl_Effect[],3,FALSE),EffectName[],IFERROR(MATCH(UI!$B$1,EffectName[#Headers],0),2),FALSE),"")</f>
        <v/>
      </c>
    </row>
    <row r="1835" spans="8:29" x14ac:dyDescent="0.4">
      <c r="H1835" t="str">
        <f t="shared" si="178"/>
        <v/>
      </c>
      <c r="I1835">
        <v>0</v>
      </c>
      <c r="J1835" t="str">
        <f>_xlfn.IFNA(IF(I1835&lt;&gt;0,VLOOKUP(VLOOKUP(I1835,Tbl_Equip[],2,FALSE),Tbl_Color[],IFERROR(MATCH(UI!$B$1,Tbl_Color[#Headers],0),2),FALSE),""),"Unset")</f>
        <v/>
      </c>
      <c r="K1835" t="str">
        <f>_xlfn.IFNA(IF(I1835&lt;&gt;0,VLOOKUP(I1835,ItemText[],IFERROR(MATCH(UI!$B$1,ItemText[#Headers],0),2),FALSE),""),"Unset")</f>
        <v/>
      </c>
      <c r="M1835">
        <v>0</v>
      </c>
      <c r="P1835">
        <v>0</v>
      </c>
      <c r="S1835">
        <v>0</v>
      </c>
      <c r="T1835" t="str">
        <f>IF(VALUE(S1835)=0,"",VLOOKUP(VLOOKUP(S1835,Tbl_Effect[],3,FALSE),EffectName[],IFERROR(MATCH(UI!$B$1,EffectName[#Headers],0),2),FALSE))</f>
        <v/>
      </c>
      <c r="U1835" t="str">
        <f t="shared" si="179"/>
        <v/>
      </c>
      <c r="V1835">
        <v>0</v>
      </c>
      <c r="W1835" t="str">
        <f>IF(V1835&lt;&gt;0,VLOOKUP(VLOOKUP(V1835,Tbl_Effect[],3,FALSE),EffectName[],IFERROR(MATCH(UI!$B$1,EffectName[#Headers],0),2),FALSE),"")</f>
        <v/>
      </c>
      <c r="X1835" t="str">
        <f t="shared" si="180"/>
        <v/>
      </c>
      <c r="Y1835">
        <v>0</v>
      </c>
      <c r="Z1835" t="str">
        <f>IF(Y1835&lt;&gt;0,VLOOKUP(VLOOKUP(Y1835,Tbl_Effect[],3,FALSE),EffectName[],IFERROR(MATCH(UI!$B$1,EffectName[#Headers],0),2),FALSE),"")</f>
        <v/>
      </c>
      <c r="AA1835" t="str">
        <f t="shared" si="181"/>
        <v/>
      </c>
      <c r="AB1835">
        <v>0</v>
      </c>
      <c r="AC1835" t="str">
        <f>IF(AB1835&lt;&gt;0,VLOOKUP(VLOOKUP(AB1835,Tbl_Effect[],3,FALSE),EffectName[],IFERROR(MATCH(UI!$B$1,EffectName[#Headers],0),2),FALSE),"")</f>
        <v/>
      </c>
    </row>
    <row r="1836" spans="8:29" x14ac:dyDescent="0.4">
      <c r="H1836" t="str">
        <f t="shared" si="178"/>
        <v/>
      </c>
      <c r="I1836">
        <v>0</v>
      </c>
      <c r="J1836" t="str">
        <f>_xlfn.IFNA(IF(I1836&lt;&gt;0,VLOOKUP(VLOOKUP(I1836,Tbl_Equip[],2,FALSE),Tbl_Color[],IFERROR(MATCH(UI!$B$1,Tbl_Color[#Headers],0),2),FALSE),""),"Unset")</f>
        <v/>
      </c>
      <c r="K1836" t="str">
        <f>_xlfn.IFNA(IF(I1836&lt;&gt;0,VLOOKUP(I1836,ItemText[],IFERROR(MATCH(UI!$B$1,ItemText[#Headers],0),2),FALSE),""),"Unset")</f>
        <v/>
      </c>
      <c r="M1836">
        <v>0</v>
      </c>
      <c r="P1836">
        <v>0</v>
      </c>
      <c r="S1836">
        <v>0</v>
      </c>
      <c r="T1836" t="str">
        <f>IF(VALUE(S1836)=0,"",VLOOKUP(VLOOKUP(S1836,Tbl_Effect[],3,FALSE),EffectName[],IFERROR(MATCH(UI!$B$1,EffectName[#Headers],0),2),FALSE))</f>
        <v/>
      </c>
      <c r="U1836" t="str">
        <f t="shared" si="179"/>
        <v/>
      </c>
      <c r="V1836">
        <v>0</v>
      </c>
      <c r="W1836" t="str">
        <f>IF(V1836&lt;&gt;0,VLOOKUP(VLOOKUP(V1836,Tbl_Effect[],3,FALSE),EffectName[],IFERROR(MATCH(UI!$B$1,EffectName[#Headers],0),2),FALSE),"")</f>
        <v/>
      </c>
      <c r="X1836" t="str">
        <f t="shared" si="180"/>
        <v/>
      </c>
      <c r="Y1836">
        <v>0</v>
      </c>
      <c r="Z1836" t="str">
        <f>IF(Y1836&lt;&gt;0,VLOOKUP(VLOOKUP(Y1836,Tbl_Effect[],3,FALSE),EffectName[],IFERROR(MATCH(UI!$B$1,EffectName[#Headers],0),2),FALSE),"")</f>
        <v/>
      </c>
      <c r="AA1836" t="str">
        <f t="shared" si="181"/>
        <v/>
      </c>
      <c r="AB1836">
        <v>0</v>
      </c>
      <c r="AC1836" t="str">
        <f>IF(AB1836&lt;&gt;0,VLOOKUP(VLOOKUP(AB1836,Tbl_Effect[],3,FALSE),EffectName[],IFERROR(MATCH(UI!$B$1,EffectName[#Headers],0),2),FALSE),"")</f>
        <v/>
      </c>
    </row>
    <row r="1837" spans="8:29" x14ac:dyDescent="0.4">
      <c r="H1837" t="str">
        <f t="shared" si="178"/>
        <v/>
      </c>
      <c r="I1837">
        <v>0</v>
      </c>
      <c r="J1837" t="str">
        <f>_xlfn.IFNA(IF(I1837&lt;&gt;0,VLOOKUP(VLOOKUP(I1837,Tbl_Equip[],2,FALSE),Tbl_Color[],IFERROR(MATCH(UI!$B$1,Tbl_Color[#Headers],0),2),FALSE),""),"Unset")</f>
        <v/>
      </c>
      <c r="K1837" t="str">
        <f>_xlfn.IFNA(IF(I1837&lt;&gt;0,VLOOKUP(I1837,ItemText[],IFERROR(MATCH(UI!$B$1,ItemText[#Headers],0),2),FALSE),""),"Unset")</f>
        <v/>
      </c>
      <c r="M1837">
        <v>0</v>
      </c>
      <c r="P1837">
        <v>0</v>
      </c>
      <c r="S1837">
        <v>0</v>
      </c>
      <c r="T1837" t="str">
        <f>IF(VALUE(S1837)=0,"",VLOOKUP(VLOOKUP(S1837,Tbl_Effect[],3,FALSE),EffectName[],IFERROR(MATCH(UI!$B$1,EffectName[#Headers],0),2),FALSE))</f>
        <v/>
      </c>
      <c r="U1837" t="str">
        <f t="shared" si="179"/>
        <v/>
      </c>
      <c r="V1837">
        <v>0</v>
      </c>
      <c r="W1837" t="str">
        <f>IF(V1837&lt;&gt;0,VLOOKUP(VLOOKUP(V1837,Tbl_Effect[],3,FALSE),EffectName[],IFERROR(MATCH(UI!$B$1,EffectName[#Headers],0),2),FALSE),"")</f>
        <v/>
      </c>
      <c r="X1837" t="str">
        <f t="shared" si="180"/>
        <v/>
      </c>
      <c r="Y1837">
        <v>0</v>
      </c>
      <c r="Z1837" t="str">
        <f>IF(Y1837&lt;&gt;0,VLOOKUP(VLOOKUP(Y1837,Tbl_Effect[],3,FALSE),EffectName[],IFERROR(MATCH(UI!$B$1,EffectName[#Headers],0),2),FALSE),"")</f>
        <v/>
      </c>
      <c r="AA1837" t="str">
        <f t="shared" si="181"/>
        <v/>
      </c>
      <c r="AB1837">
        <v>0</v>
      </c>
      <c r="AC1837" t="str">
        <f>IF(AB1837&lt;&gt;0,VLOOKUP(VLOOKUP(AB1837,Tbl_Effect[],3,FALSE),EffectName[],IFERROR(MATCH(UI!$B$1,EffectName[#Headers],0),2),FALSE),"")</f>
        <v/>
      </c>
    </row>
    <row r="1838" spans="8:29" x14ac:dyDescent="0.4">
      <c r="H1838" t="str">
        <f t="shared" si="178"/>
        <v/>
      </c>
      <c r="I1838">
        <v>0</v>
      </c>
      <c r="J1838" t="str">
        <f>_xlfn.IFNA(IF(I1838&lt;&gt;0,VLOOKUP(VLOOKUP(I1838,Tbl_Equip[],2,FALSE),Tbl_Color[],IFERROR(MATCH(UI!$B$1,Tbl_Color[#Headers],0),2),FALSE),""),"Unset")</f>
        <v/>
      </c>
      <c r="K1838" t="str">
        <f>_xlfn.IFNA(IF(I1838&lt;&gt;0,VLOOKUP(I1838,ItemText[],IFERROR(MATCH(UI!$B$1,ItemText[#Headers],0),2),FALSE),""),"Unset")</f>
        <v/>
      </c>
      <c r="M1838">
        <v>0</v>
      </c>
      <c r="P1838">
        <v>0</v>
      </c>
      <c r="S1838">
        <v>0</v>
      </c>
      <c r="T1838" t="str">
        <f>IF(VALUE(S1838)=0,"",VLOOKUP(VLOOKUP(S1838,Tbl_Effect[],3,FALSE),EffectName[],IFERROR(MATCH(UI!$B$1,EffectName[#Headers],0),2),FALSE))</f>
        <v/>
      </c>
      <c r="U1838" t="str">
        <f t="shared" si="179"/>
        <v/>
      </c>
      <c r="V1838">
        <v>0</v>
      </c>
      <c r="W1838" t="str">
        <f>IF(V1838&lt;&gt;0,VLOOKUP(VLOOKUP(V1838,Tbl_Effect[],3,FALSE),EffectName[],IFERROR(MATCH(UI!$B$1,EffectName[#Headers],0),2),FALSE),"")</f>
        <v/>
      </c>
      <c r="X1838" t="str">
        <f t="shared" si="180"/>
        <v/>
      </c>
      <c r="Y1838">
        <v>0</v>
      </c>
      <c r="Z1838" t="str">
        <f>IF(Y1838&lt;&gt;0,VLOOKUP(VLOOKUP(Y1838,Tbl_Effect[],3,FALSE),EffectName[],IFERROR(MATCH(UI!$B$1,EffectName[#Headers],0),2),FALSE),"")</f>
        <v/>
      </c>
      <c r="AA1838" t="str">
        <f t="shared" si="181"/>
        <v/>
      </c>
      <c r="AB1838">
        <v>0</v>
      </c>
      <c r="AC1838" t="str">
        <f>IF(AB1838&lt;&gt;0,VLOOKUP(VLOOKUP(AB1838,Tbl_Effect[],3,FALSE),EffectName[],IFERROR(MATCH(UI!$B$1,EffectName[#Headers],0),2),FALSE),"")</f>
        <v/>
      </c>
    </row>
    <row r="1839" spans="8:29" x14ac:dyDescent="0.4">
      <c r="H1839" t="str">
        <f t="shared" si="178"/>
        <v/>
      </c>
      <c r="I1839">
        <v>0</v>
      </c>
      <c r="J1839" t="str">
        <f>_xlfn.IFNA(IF(I1839&lt;&gt;0,VLOOKUP(VLOOKUP(I1839,Tbl_Equip[],2,FALSE),Tbl_Color[],IFERROR(MATCH(UI!$B$1,Tbl_Color[#Headers],0),2),FALSE),""),"Unset")</f>
        <v/>
      </c>
      <c r="K1839" t="str">
        <f>_xlfn.IFNA(IF(I1839&lt;&gt;0,VLOOKUP(I1839,ItemText[],IFERROR(MATCH(UI!$B$1,ItemText[#Headers],0),2),FALSE),""),"Unset")</f>
        <v/>
      </c>
      <c r="M1839">
        <v>0</v>
      </c>
      <c r="P1839">
        <v>0</v>
      </c>
      <c r="S1839">
        <v>0</v>
      </c>
      <c r="T1839" t="str">
        <f>IF(VALUE(S1839)=0,"",VLOOKUP(VLOOKUP(S1839,Tbl_Effect[],3,FALSE),EffectName[],IFERROR(MATCH(UI!$B$1,EffectName[#Headers],0),2),FALSE))</f>
        <v/>
      </c>
      <c r="U1839" t="str">
        <f t="shared" si="179"/>
        <v/>
      </c>
      <c r="V1839">
        <v>0</v>
      </c>
      <c r="W1839" t="str">
        <f>IF(V1839&lt;&gt;0,VLOOKUP(VLOOKUP(V1839,Tbl_Effect[],3,FALSE),EffectName[],IFERROR(MATCH(UI!$B$1,EffectName[#Headers],0),2),FALSE),"")</f>
        <v/>
      </c>
      <c r="X1839" t="str">
        <f t="shared" si="180"/>
        <v/>
      </c>
      <c r="Y1839">
        <v>0</v>
      </c>
      <c r="Z1839" t="str">
        <f>IF(Y1839&lt;&gt;0,VLOOKUP(VLOOKUP(Y1839,Tbl_Effect[],3,FALSE),EffectName[],IFERROR(MATCH(UI!$B$1,EffectName[#Headers],0),2),FALSE),"")</f>
        <v/>
      </c>
      <c r="AA1839" t="str">
        <f t="shared" si="181"/>
        <v/>
      </c>
      <c r="AB1839">
        <v>0</v>
      </c>
      <c r="AC1839" t="str">
        <f>IF(AB1839&lt;&gt;0,VLOOKUP(VLOOKUP(AB1839,Tbl_Effect[],3,FALSE),EffectName[],IFERROR(MATCH(UI!$B$1,EffectName[#Headers],0),2),FALSE),"")</f>
        <v/>
      </c>
    </row>
    <row r="1840" spans="8:29" x14ac:dyDescent="0.4">
      <c r="H1840" t="str">
        <f t="shared" si="178"/>
        <v/>
      </c>
      <c r="I1840">
        <v>0</v>
      </c>
      <c r="J1840" t="str">
        <f>_xlfn.IFNA(IF(I1840&lt;&gt;0,VLOOKUP(VLOOKUP(I1840,Tbl_Equip[],2,FALSE),Tbl_Color[],IFERROR(MATCH(UI!$B$1,Tbl_Color[#Headers],0),2),FALSE),""),"Unset")</f>
        <v/>
      </c>
      <c r="K1840" t="str">
        <f>_xlfn.IFNA(IF(I1840&lt;&gt;0,VLOOKUP(I1840,ItemText[],IFERROR(MATCH(UI!$B$1,ItemText[#Headers],0),2),FALSE),""),"Unset")</f>
        <v/>
      </c>
      <c r="M1840">
        <v>0</v>
      </c>
      <c r="P1840">
        <v>0</v>
      </c>
      <c r="S1840">
        <v>0</v>
      </c>
      <c r="T1840" t="str">
        <f>IF(VALUE(S1840)=0,"",VLOOKUP(VLOOKUP(S1840,Tbl_Effect[],3,FALSE),EffectName[],IFERROR(MATCH(UI!$B$1,EffectName[#Headers],0),2),FALSE))</f>
        <v/>
      </c>
      <c r="U1840" t="str">
        <f t="shared" si="179"/>
        <v/>
      </c>
      <c r="V1840">
        <v>0</v>
      </c>
      <c r="W1840" t="str">
        <f>IF(V1840&lt;&gt;0,VLOOKUP(VLOOKUP(V1840,Tbl_Effect[],3,FALSE),EffectName[],IFERROR(MATCH(UI!$B$1,EffectName[#Headers],0),2),FALSE),"")</f>
        <v/>
      </c>
      <c r="X1840" t="str">
        <f t="shared" si="180"/>
        <v/>
      </c>
      <c r="Y1840">
        <v>0</v>
      </c>
      <c r="Z1840" t="str">
        <f>IF(Y1840&lt;&gt;0,VLOOKUP(VLOOKUP(Y1840,Tbl_Effect[],3,FALSE),EffectName[],IFERROR(MATCH(UI!$B$1,EffectName[#Headers],0),2),FALSE),"")</f>
        <v/>
      </c>
      <c r="AA1840" t="str">
        <f t="shared" si="181"/>
        <v/>
      </c>
      <c r="AB1840">
        <v>0</v>
      </c>
      <c r="AC1840" t="str">
        <f>IF(AB1840&lt;&gt;0,VLOOKUP(VLOOKUP(AB1840,Tbl_Effect[],3,FALSE),EffectName[],IFERROR(MATCH(UI!$B$1,EffectName[#Headers],0),2),FALSE),"")</f>
        <v/>
      </c>
    </row>
    <row r="1841" spans="8:29" x14ac:dyDescent="0.4">
      <c r="H1841" t="str">
        <f t="shared" si="178"/>
        <v/>
      </c>
      <c r="I1841">
        <v>0</v>
      </c>
      <c r="J1841" t="str">
        <f>_xlfn.IFNA(IF(I1841&lt;&gt;0,VLOOKUP(VLOOKUP(I1841,Tbl_Equip[],2,FALSE),Tbl_Color[],IFERROR(MATCH(UI!$B$1,Tbl_Color[#Headers],0),2),FALSE),""),"Unset")</f>
        <v/>
      </c>
      <c r="K1841" t="str">
        <f>_xlfn.IFNA(IF(I1841&lt;&gt;0,VLOOKUP(I1841,ItemText[],IFERROR(MATCH(UI!$B$1,ItemText[#Headers],0),2),FALSE),""),"Unset")</f>
        <v/>
      </c>
      <c r="M1841">
        <v>0</v>
      </c>
      <c r="P1841">
        <v>0</v>
      </c>
      <c r="S1841">
        <v>0</v>
      </c>
      <c r="T1841" t="str">
        <f>IF(VALUE(S1841)=0,"",VLOOKUP(VLOOKUP(S1841,Tbl_Effect[],3,FALSE),EffectName[],IFERROR(MATCH(UI!$B$1,EffectName[#Headers],0),2),FALSE))</f>
        <v/>
      </c>
      <c r="U1841" t="str">
        <f t="shared" si="179"/>
        <v/>
      </c>
      <c r="V1841">
        <v>0</v>
      </c>
      <c r="W1841" t="str">
        <f>IF(V1841&lt;&gt;0,VLOOKUP(VLOOKUP(V1841,Tbl_Effect[],3,FALSE),EffectName[],IFERROR(MATCH(UI!$B$1,EffectName[#Headers],0),2),FALSE),"")</f>
        <v/>
      </c>
      <c r="X1841" t="str">
        <f t="shared" si="180"/>
        <v/>
      </c>
      <c r="Y1841">
        <v>0</v>
      </c>
      <c r="Z1841" t="str">
        <f>IF(Y1841&lt;&gt;0,VLOOKUP(VLOOKUP(Y1841,Tbl_Effect[],3,FALSE),EffectName[],IFERROR(MATCH(UI!$B$1,EffectName[#Headers],0),2),FALSE),"")</f>
        <v/>
      </c>
      <c r="AA1841" t="str">
        <f t="shared" si="181"/>
        <v/>
      </c>
      <c r="AB1841">
        <v>0</v>
      </c>
      <c r="AC1841" t="str">
        <f>IF(AB1841&lt;&gt;0,VLOOKUP(VLOOKUP(AB1841,Tbl_Effect[],3,FALSE),EffectName[],IFERROR(MATCH(UI!$B$1,EffectName[#Headers],0),2),FALSE),"")</f>
        <v/>
      </c>
    </row>
    <row r="1842" spans="8:29" x14ac:dyDescent="0.4">
      <c r="H1842" t="str">
        <f t="shared" si="178"/>
        <v/>
      </c>
      <c r="I1842">
        <v>0</v>
      </c>
      <c r="J1842" t="str">
        <f>_xlfn.IFNA(IF(I1842&lt;&gt;0,VLOOKUP(VLOOKUP(I1842,Tbl_Equip[],2,FALSE),Tbl_Color[],IFERROR(MATCH(UI!$B$1,Tbl_Color[#Headers],0),2),FALSE),""),"Unset")</f>
        <v/>
      </c>
      <c r="K1842" t="str">
        <f>_xlfn.IFNA(IF(I1842&lt;&gt;0,VLOOKUP(I1842,ItemText[],IFERROR(MATCH(UI!$B$1,ItemText[#Headers],0),2),FALSE),""),"Unset")</f>
        <v/>
      </c>
      <c r="M1842">
        <v>0</v>
      </c>
      <c r="P1842">
        <v>0</v>
      </c>
      <c r="S1842">
        <v>0</v>
      </c>
      <c r="T1842" t="str">
        <f>IF(VALUE(S1842)=0,"",VLOOKUP(VLOOKUP(S1842,Tbl_Effect[],3,FALSE),EffectName[],IFERROR(MATCH(UI!$B$1,EffectName[#Headers],0),2),FALSE))</f>
        <v/>
      </c>
      <c r="U1842" t="str">
        <f t="shared" si="179"/>
        <v/>
      </c>
      <c r="V1842">
        <v>0</v>
      </c>
      <c r="W1842" t="str">
        <f>IF(V1842&lt;&gt;0,VLOOKUP(VLOOKUP(V1842,Tbl_Effect[],3,FALSE),EffectName[],IFERROR(MATCH(UI!$B$1,EffectName[#Headers],0),2),FALSE),"")</f>
        <v/>
      </c>
      <c r="X1842" t="str">
        <f t="shared" si="180"/>
        <v/>
      </c>
      <c r="Y1842">
        <v>0</v>
      </c>
      <c r="Z1842" t="str">
        <f>IF(Y1842&lt;&gt;0,VLOOKUP(VLOOKUP(Y1842,Tbl_Effect[],3,FALSE),EffectName[],IFERROR(MATCH(UI!$B$1,EffectName[#Headers],0),2),FALSE),"")</f>
        <v/>
      </c>
      <c r="AA1842" t="str">
        <f t="shared" si="181"/>
        <v/>
      </c>
      <c r="AB1842">
        <v>0</v>
      </c>
      <c r="AC1842" t="str">
        <f>IF(AB1842&lt;&gt;0,VLOOKUP(VLOOKUP(AB1842,Tbl_Effect[],3,FALSE),EffectName[],IFERROR(MATCH(UI!$B$1,EffectName[#Headers],0),2),FALSE),"")</f>
        <v/>
      </c>
    </row>
    <row r="1843" spans="8:29" x14ac:dyDescent="0.4">
      <c r="H1843" t="str">
        <f t="shared" si="178"/>
        <v/>
      </c>
      <c r="I1843">
        <v>0</v>
      </c>
      <c r="J1843" t="str">
        <f>_xlfn.IFNA(IF(I1843&lt;&gt;0,VLOOKUP(VLOOKUP(I1843,Tbl_Equip[],2,FALSE),Tbl_Color[],IFERROR(MATCH(UI!$B$1,Tbl_Color[#Headers],0),2),FALSE),""),"Unset")</f>
        <v/>
      </c>
      <c r="K1843" t="str">
        <f>_xlfn.IFNA(IF(I1843&lt;&gt;0,VLOOKUP(I1843,ItemText[],IFERROR(MATCH(UI!$B$1,ItemText[#Headers],0),2),FALSE),""),"Unset")</f>
        <v/>
      </c>
      <c r="M1843">
        <v>0</v>
      </c>
      <c r="P1843">
        <v>0</v>
      </c>
      <c r="S1843">
        <v>0</v>
      </c>
      <c r="T1843" t="str">
        <f>IF(VALUE(S1843)=0,"",VLOOKUP(VLOOKUP(S1843,Tbl_Effect[],3,FALSE),EffectName[],IFERROR(MATCH(UI!$B$1,EffectName[#Headers],0),2),FALSE))</f>
        <v/>
      </c>
      <c r="U1843" t="str">
        <f t="shared" si="179"/>
        <v/>
      </c>
      <c r="V1843">
        <v>0</v>
      </c>
      <c r="W1843" t="str">
        <f>IF(V1843&lt;&gt;0,VLOOKUP(VLOOKUP(V1843,Tbl_Effect[],3,FALSE),EffectName[],IFERROR(MATCH(UI!$B$1,EffectName[#Headers],0),2),FALSE),"")</f>
        <v/>
      </c>
      <c r="X1843" t="str">
        <f t="shared" si="180"/>
        <v/>
      </c>
      <c r="Y1843">
        <v>0</v>
      </c>
      <c r="Z1843" t="str">
        <f>IF(Y1843&lt;&gt;0,VLOOKUP(VLOOKUP(Y1843,Tbl_Effect[],3,FALSE),EffectName[],IFERROR(MATCH(UI!$B$1,EffectName[#Headers],0),2),FALSE),"")</f>
        <v/>
      </c>
      <c r="AA1843" t="str">
        <f t="shared" si="181"/>
        <v/>
      </c>
      <c r="AB1843">
        <v>0</v>
      </c>
      <c r="AC1843" t="str">
        <f>IF(AB1843&lt;&gt;0,VLOOKUP(VLOOKUP(AB1843,Tbl_Effect[],3,FALSE),EffectName[],IFERROR(MATCH(UI!$B$1,EffectName[#Headers],0),2),FALSE),"")</f>
        <v/>
      </c>
    </row>
    <row r="1844" spans="8:29" x14ac:dyDescent="0.4">
      <c r="H1844" t="str">
        <f t="shared" si="178"/>
        <v/>
      </c>
      <c r="I1844">
        <v>0</v>
      </c>
      <c r="J1844" t="str">
        <f>_xlfn.IFNA(IF(I1844&lt;&gt;0,VLOOKUP(VLOOKUP(I1844,Tbl_Equip[],2,FALSE),Tbl_Color[],IFERROR(MATCH(UI!$B$1,Tbl_Color[#Headers],0),2),FALSE),""),"Unset")</f>
        <v/>
      </c>
      <c r="K1844" t="str">
        <f>_xlfn.IFNA(IF(I1844&lt;&gt;0,VLOOKUP(I1844,ItemText[],IFERROR(MATCH(UI!$B$1,ItemText[#Headers],0),2),FALSE),""),"Unset")</f>
        <v/>
      </c>
      <c r="M1844">
        <v>0</v>
      </c>
      <c r="P1844">
        <v>0</v>
      </c>
      <c r="S1844">
        <v>0</v>
      </c>
      <c r="T1844" t="str">
        <f>IF(VALUE(S1844)=0,"",VLOOKUP(VLOOKUP(S1844,Tbl_Effect[],3,FALSE),EffectName[],IFERROR(MATCH(UI!$B$1,EffectName[#Headers],0),2),FALSE))</f>
        <v/>
      </c>
      <c r="U1844" t="str">
        <f t="shared" si="179"/>
        <v/>
      </c>
      <c r="V1844">
        <v>0</v>
      </c>
      <c r="W1844" t="str">
        <f>IF(V1844&lt;&gt;0,VLOOKUP(VLOOKUP(V1844,Tbl_Effect[],3,FALSE),EffectName[],IFERROR(MATCH(UI!$B$1,EffectName[#Headers],0),2),FALSE),"")</f>
        <v/>
      </c>
      <c r="X1844" t="str">
        <f t="shared" si="180"/>
        <v/>
      </c>
      <c r="Y1844">
        <v>0</v>
      </c>
      <c r="Z1844" t="str">
        <f>IF(Y1844&lt;&gt;0,VLOOKUP(VLOOKUP(Y1844,Tbl_Effect[],3,FALSE),EffectName[],IFERROR(MATCH(UI!$B$1,EffectName[#Headers],0),2),FALSE),"")</f>
        <v/>
      </c>
      <c r="AA1844" t="str">
        <f t="shared" si="181"/>
        <v/>
      </c>
      <c r="AB1844">
        <v>0</v>
      </c>
      <c r="AC1844" t="str">
        <f>IF(AB1844&lt;&gt;0,VLOOKUP(VLOOKUP(AB1844,Tbl_Effect[],3,FALSE),EffectName[],IFERROR(MATCH(UI!$B$1,EffectName[#Headers],0),2),FALSE),"")</f>
        <v/>
      </c>
    </row>
    <row r="1845" spans="8:29" x14ac:dyDescent="0.4">
      <c r="H1845" t="str">
        <f t="shared" si="178"/>
        <v/>
      </c>
      <c r="I1845">
        <v>0</v>
      </c>
      <c r="J1845" t="str">
        <f>_xlfn.IFNA(IF(I1845&lt;&gt;0,VLOOKUP(VLOOKUP(I1845,Tbl_Equip[],2,FALSE),Tbl_Color[],IFERROR(MATCH(UI!$B$1,Tbl_Color[#Headers],0),2),FALSE),""),"Unset")</f>
        <v/>
      </c>
      <c r="K1845" t="str">
        <f>_xlfn.IFNA(IF(I1845&lt;&gt;0,VLOOKUP(I1845,ItemText[],IFERROR(MATCH(UI!$B$1,ItemText[#Headers],0),2),FALSE),""),"Unset")</f>
        <v/>
      </c>
      <c r="M1845">
        <v>0</v>
      </c>
      <c r="P1845">
        <v>0</v>
      </c>
      <c r="S1845">
        <v>0</v>
      </c>
      <c r="T1845" t="str">
        <f>IF(VALUE(S1845)=0,"",VLOOKUP(VLOOKUP(S1845,Tbl_Effect[],3,FALSE),EffectName[],IFERROR(MATCH(UI!$B$1,EffectName[#Headers],0),2),FALSE))</f>
        <v/>
      </c>
      <c r="U1845" t="str">
        <f t="shared" si="179"/>
        <v/>
      </c>
      <c r="V1845">
        <v>0</v>
      </c>
      <c r="W1845" t="str">
        <f>IF(V1845&lt;&gt;0,VLOOKUP(VLOOKUP(V1845,Tbl_Effect[],3,FALSE),EffectName[],IFERROR(MATCH(UI!$B$1,EffectName[#Headers],0),2),FALSE),"")</f>
        <v/>
      </c>
      <c r="X1845" t="str">
        <f t="shared" si="180"/>
        <v/>
      </c>
      <c r="Y1845">
        <v>0</v>
      </c>
      <c r="Z1845" t="str">
        <f>IF(Y1845&lt;&gt;0,VLOOKUP(VLOOKUP(Y1845,Tbl_Effect[],3,FALSE),EffectName[],IFERROR(MATCH(UI!$B$1,EffectName[#Headers],0),2),FALSE),"")</f>
        <v/>
      </c>
      <c r="AA1845" t="str">
        <f t="shared" si="181"/>
        <v/>
      </c>
      <c r="AB1845">
        <v>0</v>
      </c>
      <c r="AC1845" t="str">
        <f>IF(AB1845&lt;&gt;0,VLOOKUP(VLOOKUP(AB1845,Tbl_Effect[],3,FALSE),EffectName[],IFERROR(MATCH(UI!$B$1,EffectName[#Headers],0),2),FALSE),"")</f>
        <v/>
      </c>
    </row>
    <row r="1846" spans="8:29" x14ac:dyDescent="0.4">
      <c r="H1846" t="str">
        <f t="shared" si="178"/>
        <v/>
      </c>
      <c r="I1846">
        <v>0</v>
      </c>
      <c r="J1846" t="str">
        <f>_xlfn.IFNA(IF(I1846&lt;&gt;0,VLOOKUP(VLOOKUP(I1846,Tbl_Equip[],2,FALSE),Tbl_Color[],IFERROR(MATCH(UI!$B$1,Tbl_Color[#Headers],0),2),FALSE),""),"Unset")</f>
        <v/>
      </c>
      <c r="K1846" t="str">
        <f>_xlfn.IFNA(IF(I1846&lt;&gt;0,VLOOKUP(I1846,ItemText[],IFERROR(MATCH(UI!$B$1,ItemText[#Headers],0),2),FALSE),""),"Unset")</f>
        <v/>
      </c>
      <c r="M1846">
        <v>0</v>
      </c>
      <c r="P1846">
        <v>0</v>
      </c>
      <c r="S1846">
        <v>0</v>
      </c>
      <c r="T1846" t="str">
        <f>IF(VALUE(S1846)=0,"",VLOOKUP(VLOOKUP(S1846,Tbl_Effect[],3,FALSE),EffectName[],IFERROR(MATCH(UI!$B$1,EffectName[#Headers],0),2),FALSE))</f>
        <v/>
      </c>
      <c r="U1846" t="str">
        <f t="shared" si="179"/>
        <v/>
      </c>
      <c r="V1846">
        <v>0</v>
      </c>
      <c r="W1846" t="str">
        <f>IF(V1846&lt;&gt;0,VLOOKUP(VLOOKUP(V1846,Tbl_Effect[],3,FALSE),EffectName[],IFERROR(MATCH(UI!$B$1,EffectName[#Headers],0),2),FALSE),"")</f>
        <v/>
      </c>
      <c r="X1846" t="str">
        <f t="shared" si="180"/>
        <v/>
      </c>
      <c r="Y1846">
        <v>0</v>
      </c>
      <c r="Z1846" t="str">
        <f>IF(Y1846&lt;&gt;0,VLOOKUP(VLOOKUP(Y1846,Tbl_Effect[],3,FALSE),EffectName[],IFERROR(MATCH(UI!$B$1,EffectName[#Headers],0),2),FALSE),"")</f>
        <v/>
      </c>
      <c r="AA1846" t="str">
        <f t="shared" si="181"/>
        <v/>
      </c>
      <c r="AB1846">
        <v>0</v>
      </c>
      <c r="AC1846" t="str">
        <f>IF(AB1846&lt;&gt;0,VLOOKUP(VLOOKUP(AB1846,Tbl_Effect[],3,FALSE),EffectName[],IFERROR(MATCH(UI!$B$1,EffectName[#Headers],0),2),FALSE),"")</f>
        <v/>
      </c>
    </row>
    <row r="1847" spans="8:29" x14ac:dyDescent="0.4">
      <c r="H1847" t="str">
        <f t="shared" si="178"/>
        <v/>
      </c>
      <c r="I1847">
        <v>0</v>
      </c>
      <c r="J1847" t="str">
        <f>_xlfn.IFNA(IF(I1847&lt;&gt;0,VLOOKUP(VLOOKUP(I1847,Tbl_Equip[],2,FALSE),Tbl_Color[],IFERROR(MATCH(UI!$B$1,Tbl_Color[#Headers],0),2),FALSE),""),"Unset")</f>
        <v/>
      </c>
      <c r="K1847" t="str">
        <f>_xlfn.IFNA(IF(I1847&lt;&gt;0,VLOOKUP(I1847,ItemText[],IFERROR(MATCH(UI!$B$1,ItemText[#Headers],0),2),FALSE),""),"Unset")</f>
        <v/>
      </c>
      <c r="M1847">
        <v>0</v>
      </c>
      <c r="P1847">
        <v>0</v>
      </c>
      <c r="S1847">
        <v>0</v>
      </c>
      <c r="T1847" t="str">
        <f>IF(VALUE(S1847)=0,"",VLOOKUP(VLOOKUP(S1847,Tbl_Effect[],3,FALSE),EffectName[],IFERROR(MATCH(UI!$B$1,EffectName[#Headers],0),2),FALSE))</f>
        <v/>
      </c>
      <c r="U1847" t="str">
        <f t="shared" si="179"/>
        <v/>
      </c>
      <c r="V1847">
        <v>0</v>
      </c>
      <c r="W1847" t="str">
        <f>IF(V1847&lt;&gt;0,VLOOKUP(VLOOKUP(V1847,Tbl_Effect[],3,FALSE),EffectName[],IFERROR(MATCH(UI!$B$1,EffectName[#Headers],0),2),FALSE),"")</f>
        <v/>
      </c>
      <c r="X1847" t="str">
        <f t="shared" si="180"/>
        <v/>
      </c>
      <c r="Y1847">
        <v>0</v>
      </c>
      <c r="Z1847" t="str">
        <f>IF(Y1847&lt;&gt;0,VLOOKUP(VLOOKUP(Y1847,Tbl_Effect[],3,FALSE),EffectName[],IFERROR(MATCH(UI!$B$1,EffectName[#Headers],0),2),FALSE),"")</f>
        <v/>
      </c>
      <c r="AA1847" t="str">
        <f t="shared" si="181"/>
        <v/>
      </c>
      <c r="AB1847">
        <v>0</v>
      </c>
      <c r="AC1847" t="str">
        <f>IF(AB1847&lt;&gt;0,VLOOKUP(VLOOKUP(AB1847,Tbl_Effect[],3,FALSE),EffectName[],IFERROR(MATCH(UI!$B$1,EffectName[#Headers],0),2),FALSE),"")</f>
        <v/>
      </c>
    </row>
    <row r="1848" spans="8:29" x14ac:dyDescent="0.4">
      <c r="H1848" t="str">
        <f t="shared" si="178"/>
        <v/>
      </c>
      <c r="I1848">
        <v>0</v>
      </c>
      <c r="J1848" t="str">
        <f>_xlfn.IFNA(IF(I1848&lt;&gt;0,VLOOKUP(VLOOKUP(I1848,Tbl_Equip[],2,FALSE),Tbl_Color[],IFERROR(MATCH(UI!$B$1,Tbl_Color[#Headers],0),2),FALSE),""),"Unset")</f>
        <v/>
      </c>
      <c r="K1848" t="str">
        <f>_xlfn.IFNA(IF(I1848&lt;&gt;0,VLOOKUP(I1848,ItemText[],IFERROR(MATCH(UI!$B$1,ItemText[#Headers],0),2),FALSE),""),"Unset")</f>
        <v/>
      </c>
      <c r="M1848">
        <v>0</v>
      </c>
      <c r="P1848">
        <v>0</v>
      </c>
      <c r="S1848">
        <v>0</v>
      </c>
      <c r="T1848" t="str">
        <f>IF(VALUE(S1848)=0,"",VLOOKUP(VLOOKUP(S1848,Tbl_Effect[],3,FALSE),EffectName[],IFERROR(MATCH(UI!$B$1,EffectName[#Headers],0),2),FALSE))</f>
        <v/>
      </c>
      <c r="U1848" t="str">
        <f t="shared" si="179"/>
        <v/>
      </c>
      <c r="V1848">
        <v>0</v>
      </c>
      <c r="W1848" t="str">
        <f>IF(V1848&lt;&gt;0,VLOOKUP(VLOOKUP(V1848,Tbl_Effect[],3,FALSE),EffectName[],IFERROR(MATCH(UI!$B$1,EffectName[#Headers],0),2),FALSE),"")</f>
        <v/>
      </c>
      <c r="X1848" t="str">
        <f t="shared" si="180"/>
        <v/>
      </c>
      <c r="Y1848">
        <v>0</v>
      </c>
      <c r="Z1848" t="str">
        <f>IF(Y1848&lt;&gt;0,VLOOKUP(VLOOKUP(Y1848,Tbl_Effect[],3,FALSE),EffectName[],IFERROR(MATCH(UI!$B$1,EffectName[#Headers],0),2),FALSE),"")</f>
        <v/>
      </c>
      <c r="AA1848" t="str">
        <f t="shared" si="181"/>
        <v/>
      </c>
      <c r="AB1848">
        <v>0</v>
      </c>
      <c r="AC1848" t="str">
        <f>IF(AB1848&lt;&gt;0,VLOOKUP(VLOOKUP(AB1848,Tbl_Effect[],3,FALSE),EffectName[],IFERROR(MATCH(UI!$B$1,EffectName[#Headers],0),2),FALSE),"")</f>
        <v/>
      </c>
    </row>
    <row r="1849" spans="8:29" x14ac:dyDescent="0.4">
      <c r="H1849" t="str">
        <f t="shared" si="178"/>
        <v/>
      </c>
      <c r="I1849">
        <v>0</v>
      </c>
      <c r="J1849" t="str">
        <f>_xlfn.IFNA(IF(I1849&lt;&gt;0,VLOOKUP(VLOOKUP(I1849,Tbl_Equip[],2,FALSE),Tbl_Color[],IFERROR(MATCH(UI!$B$1,Tbl_Color[#Headers],0),2),FALSE),""),"Unset")</f>
        <v/>
      </c>
      <c r="K1849" t="str">
        <f>_xlfn.IFNA(IF(I1849&lt;&gt;0,VLOOKUP(I1849,ItemText[],IFERROR(MATCH(UI!$B$1,ItemText[#Headers],0),2),FALSE),""),"Unset")</f>
        <v/>
      </c>
      <c r="M1849">
        <v>0</v>
      </c>
      <c r="P1849">
        <v>0</v>
      </c>
      <c r="S1849">
        <v>0</v>
      </c>
      <c r="T1849" t="str">
        <f>IF(VALUE(S1849)=0,"",VLOOKUP(VLOOKUP(S1849,Tbl_Effect[],3,FALSE),EffectName[],IFERROR(MATCH(UI!$B$1,EffectName[#Headers],0),2),FALSE))</f>
        <v/>
      </c>
      <c r="U1849" t="str">
        <f t="shared" si="179"/>
        <v/>
      </c>
      <c r="V1849">
        <v>0</v>
      </c>
      <c r="W1849" t="str">
        <f>IF(V1849&lt;&gt;0,VLOOKUP(VLOOKUP(V1849,Tbl_Effect[],3,FALSE),EffectName[],IFERROR(MATCH(UI!$B$1,EffectName[#Headers],0),2),FALSE),"")</f>
        <v/>
      </c>
      <c r="X1849" t="str">
        <f t="shared" si="180"/>
        <v/>
      </c>
      <c r="Y1849">
        <v>0</v>
      </c>
      <c r="Z1849" t="str">
        <f>IF(Y1849&lt;&gt;0,VLOOKUP(VLOOKUP(Y1849,Tbl_Effect[],3,FALSE),EffectName[],IFERROR(MATCH(UI!$B$1,EffectName[#Headers],0),2),FALSE),"")</f>
        <v/>
      </c>
      <c r="AA1849" t="str">
        <f t="shared" si="181"/>
        <v/>
      </c>
      <c r="AB1849">
        <v>0</v>
      </c>
      <c r="AC1849" t="str">
        <f>IF(AB1849&lt;&gt;0,VLOOKUP(VLOOKUP(AB1849,Tbl_Effect[],3,FALSE),EffectName[],IFERROR(MATCH(UI!$B$1,EffectName[#Headers],0),2),FALSE),"")</f>
        <v/>
      </c>
    </row>
    <row r="1850" spans="8:29" x14ac:dyDescent="0.4">
      <c r="H1850" t="str">
        <f t="shared" si="178"/>
        <v/>
      </c>
      <c r="I1850">
        <v>0</v>
      </c>
      <c r="J1850" t="str">
        <f>_xlfn.IFNA(IF(I1850&lt;&gt;0,VLOOKUP(VLOOKUP(I1850,Tbl_Equip[],2,FALSE),Tbl_Color[],IFERROR(MATCH(UI!$B$1,Tbl_Color[#Headers],0),2),FALSE),""),"Unset")</f>
        <v/>
      </c>
      <c r="K1850" t="str">
        <f>_xlfn.IFNA(IF(I1850&lt;&gt;0,VLOOKUP(I1850,ItemText[],IFERROR(MATCH(UI!$B$1,ItemText[#Headers],0),2),FALSE),""),"Unset")</f>
        <v/>
      </c>
      <c r="M1850">
        <v>0</v>
      </c>
      <c r="P1850">
        <v>0</v>
      </c>
      <c r="S1850">
        <v>0</v>
      </c>
      <c r="T1850" t="str">
        <f>IF(VALUE(S1850)=0,"",VLOOKUP(VLOOKUP(S1850,Tbl_Effect[],3,FALSE),EffectName[],IFERROR(MATCH(UI!$B$1,EffectName[#Headers],0),2),FALSE))</f>
        <v/>
      </c>
      <c r="U1850" t="str">
        <f t="shared" si="179"/>
        <v/>
      </c>
      <c r="V1850">
        <v>0</v>
      </c>
      <c r="W1850" t="str">
        <f>IF(V1850&lt;&gt;0,VLOOKUP(VLOOKUP(V1850,Tbl_Effect[],3,FALSE),EffectName[],IFERROR(MATCH(UI!$B$1,EffectName[#Headers],0),2),FALSE),"")</f>
        <v/>
      </c>
      <c r="X1850" t="str">
        <f t="shared" si="180"/>
        <v/>
      </c>
      <c r="Y1850">
        <v>0</v>
      </c>
      <c r="Z1850" t="str">
        <f>IF(Y1850&lt;&gt;0,VLOOKUP(VLOOKUP(Y1850,Tbl_Effect[],3,FALSE),EffectName[],IFERROR(MATCH(UI!$B$1,EffectName[#Headers],0),2),FALSE),"")</f>
        <v/>
      </c>
      <c r="AA1850" t="str">
        <f t="shared" si="181"/>
        <v/>
      </c>
      <c r="AB1850">
        <v>0</v>
      </c>
      <c r="AC1850" t="str">
        <f>IF(AB1850&lt;&gt;0,VLOOKUP(VLOOKUP(AB1850,Tbl_Effect[],3,FALSE),EffectName[],IFERROR(MATCH(UI!$B$1,EffectName[#Headers],0),2),FALSE),"")</f>
        <v/>
      </c>
    </row>
    <row r="1851" spans="8:29" x14ac:dyDescent="0.4">
      <c r="H1851" t="str">
        <f t="shared" si="178"/>
        <v/>
      </c>
      <c r="I1851">
        <v>0</v>
      </c>
      <c r="J1851" t="str">
        <f>_xlfn.IFNA(IF(I1851&lt;&gt;0,VLOOKUP(VLOOKUP(I1851,Tbl_Equip[],2,FALSE),Tbl_Color[],IFERROR(MATCH(UI!$B$1,Tbl_Color[#Headers],0),2),FALSE),""),"Unset")</f>
        <v/>
      </c>
      <c r="K1851" t="str">
        <f>_xlfn.IFNA(IF(I1851&lt;&gt;0,VLOOKUP(I1851,ItemText[],IFERROR(MATCH(UI!$B$1,ItemText[#Headers],0),2),FALSE),""),"Unset")</f>
        <v/>
      </c>
      <c r="M1851">
        <v>0</v>
      </c>
      <c r="P1851">
        <v>0</v>
      </c>
      <c r="S1851">
        <v>0</v>
      </c>
      <c r="T1851" t="str">
        <f>IF(VALUE(S1851)=0,"",VLOOKUP(VLOOKUP(S1851,Tbl_Effect[],3,FALSE),EffectName[],IFERROR(MATCH(UI!$B$1,EffectName[#Headers],0),2),FALSE))</f>
        <v/>
      </c>
      <c r="U1851" t="str">
        <f t="shared" si="179"/>
        <v/>
      </c>
      <c r="V1851">
        <v>0</v>
      </c>
      <c r="W1851" t="str">
        <f>IF(V1851&lt;&gt;0,VLOOKUP(VLOOKUP(V1851,Tbl_Effect[],3,FALSE),EffectName[],IFERROR(MATCH(UI!$B$1,EffectName[#Headers],0),2),FALSE),"")</f>
        <v/>
      </c>
      <c r="X1851" t="str">
        <f t="shared" si="180"/>
        <v/>
      </c>
      <c r="Y1851">
        <v>0</v>
      </c>
      <c r="Z1851" t="str">
        <f>IF(Y1851&lt;&gt;0,VLOOKUP(VLOOKUP(Y1851,Tbl_Effect[],3,FALSE),EffectName[],IFERROR(MATCH(UI!$B$1,EffectName[#Headers],0),2),FALSE),"")</f>
        <v/>
      </c>
      <c r="AA1851" t="str">
        <f t="shared" si="181"/>
        <v/>
      </c>
      <c r="AB1851">
        <v>0</v>
      </c>
      <c r="AC1851" t="str">
        <f>IF(AB1851&lt;&gt;0,VLOOKUP(VLOOKUP(AB1851,Tbl_Effect[],3,FALSE),EffectName[],IFERROR(MATCH(UI!$B$1,EffectName[#Headers],0),2),FALSE),"")</f>
        <v/>
      </c>
    </row>
    <row r="1852" spans="8:29" x14ac:dyDescent="0.4">
      <c r="H1852" t="str">
        <f t="shared" si="178"/>
        <v/>
      </c>
      <c r="I1852">
        <v>0</v>
      </c>
      <c r="J1852" t="str">
        <f>_xlfn.IFNA(IF(I1852&lt;&gt;0,VLOOKUP(VLOOKUP(I1852,Tbl_Equip[],2,FALSE),Tbl_Color[],IFERROR(MATCH(UI!$B$1,Tbl_Color[#Headers],0),2),FALSE),""),"Unset")</f>
        <v/>
      </c>
      <c r="K1852" t="str">
        <f>_xlfn.IFNA(IF(I1852&lt;&gt;0,VLOOKUP(I1852,ItemText[],IFERROR(MATCH(UI!$B$1,ItemText[#Headers],0),2),FALSE),""),"Unset")</f>
        <v/>
      </c>
      <c r="M1852">
        <v>0</v>
      </c>
      <c r="P1852">
        <v>0</v>
      </c>
      <c r="S1852">
        <v>0</v>
      </c>
      <c r="T1852" t="str">
        <f>IF(VALUE(S1852)=0,"",VLOOKUP(VLOOKUP(S1852,Tbl_Effect[],3,FALSE),EffectName[],IFERROR(MATCH(UI!$B$1,EffectName[#Headers],0),2),FALSE))</f>
        <v/>
      </c>
      <c r="U1852" t="str">
        <f t="shared" si="179"/>
        <v/>
      </c>
      <c r="V1852">
        <v>0</v>
      </c>
      <c r="W1852" t="str">
        <f>IF(V1852&lt;&gt;0,VLOOKUP(VLOOKUP(V1852,Tbl_Effect[],3,FALSE),EffectName[],IFERROR(MATCH(UI!$B$1,EffectName[#Headers],0),2),FALSE),"")</f>
        <v/>
      </c>
      <c r="X1852" t="str">
        <f t="shared" si="180"/>
        <v/>
      </c>
      <c r="Y1852">
        <v>0</v>
      </c>
      <c r="Z1852" t="str">
        <f>IF(Y1852&lt;&gt;0,VLOOKUP(VLOOKUP(Y1852,Tbl_Effect[],3,FALSE),EffectName[],IFERROR(MATCH(UI!$B$1,EffectName[#Headers],0),2),FALSE),"")</f>
        <v/>
      </c>
      <c r="AA1852" t="str">
        <f t="shared" si="181"/>
        <v/>
      </c>
      <c r="AB1852">
        <v>0</v>
      </c>
      <c r="AC1852" t="str">
        <f>IF(AB1852&lt;&gt;0,VLOOKUP(VLOOKUP(AB1852,Tbl_Effect[],3,FALSE),EffectName[],IFERROR(MATCH(UI!$B$1,EffectName[#Headers],0),2),FALSE),"")</f>
        <v/>
      </c>
    </row>
    <row r="1853" spans="8:29" x14ac:dyDescent="0.4">
      <c r="H1853" t="str">
        <f t="shared" si="178"/>
        <v/>
      </c>
      <c r="I1853">
        <v>0</v>
      </c>
      <c r="J1853" t="str">
        <f>_xlfn.IFNA(IF(I1853&lt;&gt;0,VLOOKUP(VLOOKUP(I1853,Tbl_Equip[],2,FALSE),Tbl_Color[],IFERROR(MATCH(UI!$B$1,Tbl_Color[#Headers],0),2),FALSE),""),"Unset")</f>
        <v/>
      </c>
      <c r="K1853" t="str">
        <f>_xlfn.IFNA(IF(I1853&lt;&gt;0,VLOOKUP(I1853,ItemText[],IFERROR(MATCH(UI!$B$1,ItemText[#Headers],0),2),FALSE),""),"Unset")</f>
        <v/>
      </c>
      <c r="M1853">
        <v>0</v>
      </c>
      <c r="P1853">
        <v>0</v>
      </c>
      <c r="S1853">
        <v>0</v>
      </c>
      <c r="T1853" t="str">
        <f>IF(VALUE(S1853)=0,"",VLOOKUP(VLOOKUP(S1853,Tbl_Effect[],3,FALSE),EffectName[],IFERROR(MATCH(UI!$B$1,EffectName[#Headers],0),2),FALSE))</f>
        <v/>
      </c>
      <c r="U1853" t="str">
        <f t="shared" si="179"/>
        <v/>
      </c>
      <c r="V1853">
        <v>0</v>
      </c>
      <c r="W1853" t="str">
        <f>IF(V1853&lt;&gt;0,VLOOKUP(VLOOKUP(V1853,Tbl_Effect[],3,FALSE),EffectName[],IFERROR(MATCH(UI!$B$1,EffectName[#Headers],0),2),FALSE),"")</f>
        <v/>
      </c>
      <c r="X1853" t="str">
        <f t="shared" si="180"/>
        <v/>
      </c>
      <c r="Y1853">
        <v>0</v>
      </c>
      <c r="Z1853" t="str">
        <f>IF(Y1853&lt;&gt;0,VLOOKUP(VLOOKUP(Y1853,Tbl_Effect[],3,FALSE),EffectName[],IFERROR(MATCH(UI!$B$1,EffectName[#Headers],0),2),FALSE),"")</f>
        <v/>
      </c>
      <c r="AA1853" t="str">
        <f t="shared" si="181"/>
        <v/>
      </c>
      <c r="AB1853">
        <v>0</v>
      </c>
      <c r="AC1853" t="str">
        <f>IF(AB1853&lt;&gt;0,VLOOKUP(VLOOKUP(AB1853,Tbl_Effect[],3,FALSE),EffectName[],IFERROR(MATCH(UI!$B$1,EffectName[#Headers],0),2),FALSE),"")</f>
        <v/>
      </c>
    </row>
    <row r="1854" spans="8:29" x14ac:dyDescent="0.4">
      <c r="H1854" t="str">
        <f t="shared" si="178"/>
        <v/>
      </c>
      <c r="I1854">
        <v>0</v>
      </c>
      <c r="J1854" t="str">
        <f>_xlfn.IFNA(IF(I1854&lt;&gt;0,VLOOKUP(VLOOKUP(I1854,Tbl_Equip[],2,FALSE),Tbl_Color[],IFERROR(MATCH(UI!$B$1,Tbl_Color[#Headers],0),2),FALSE),""),"Unset")</f>
        <v/>
      </c>
      <c r="K1854" t="str">
        <f>_xlfn.IFNA(IF(I1854&lt;&gt;0,VLOOKUP(I1854,ItemText[],IFERROR(MATCH(UI!$B$1,ItemText[#Headers],0),2),FALSE),""),"Unset")</f>
        <v/>
      </c>
      <c r="M1854">
        <v>0</v>
      </c>
      <c r="P1854">
        <v>0</v>
      </c>
      <c r="S1854">
        <v>0</v>
      </c>
      <c r="T1854" t="str">
        <f>IF(VALUE(S1854)=0,"",VLOOKUP(VLOOKUP(S1854,Tbl_Effect[],3,FALSE),EffectName[],IFERROR(MATCH(UI!$B$1,EffectName[#Headers],0),2),FALSE))</f>
        <v/>
      </c>
      <c r="U1854" t="str">
        <f t="shared" si="179"/>
        <v/>
      </c>
      <c r="V1854">
        <v>0</v>
      </c>
      <c r="W1854" t="str">
        <f>IF(V1854&lt;&gt;0,VLOOKUP(VLOOKUP(V1854,Tbl_Effect[],3,FALSE),EffectName[],IFERROR(MATCH(UI!$B$1,EffectName[#Headers],0),2),FALSE),"")</f>
        <v/>
      </c>
      <c r="X1854" t="str">
        <f t="shared" si="180"/>
        <v/>
      </c>
      <c r="Y1854">
        <v>0</v>
      </c>
      <c r="Z1854" t="str">
        <f>IF(Y1854&lt;&gt;0,VLOOKUP(VLOOKUP(Y1854,Tbl_Effect[],3,FALSE),EffectName[],IFERROR(MATCH(UI!$B$1,EffectName[#Headers],0),2),FALSE),"")</f>
        <v/>
      </c>
      <c r="AA1854" t="str">
        <f t="shared" si="181"/>
        <v/>
      </c>
      <c r="AB1854">
        <v>0</v>
      </c>
      <c r="AC1854" t="str">
        <f>IF(AB1854&lt;&gt;0,VLOOKUP(VLOOKUP(AB1854,Tbl_Effect[],3,FALSE),EffectName[],IFERROR(MATCH(UI!$B$1,EffectName[#Headers],0),2),FALSE),"")</f>
        <v/>
      </c>
    </row>
    <row r="1855" spans="8:29" x14ac:dyDescent="0.4">
      <c r="H1855" t="str">
        <f t="shared" si="178"/>
        <v/>
      </c>
      <c r="I1855">
        <v>0</v>
      </c>
      <c r="J1855" t="str">
        <f>_xlfn.IFNA(IF(I1855&lt;&gt;0,VLOOKUP(VLOOKUP(I1855,Tbl_Equip[],2,FALSE),Tbl_Color[],IFERROR(MATCH(UI!$B$1,Tbl_Color[#Headers],0),2),FALSE),""),"Unset")</f>
        <v/>
      </c>
      <c r="K1855" t="str">
        <f>_xlfn.IFNA(IF(I1855&lt;&gt;0,VLOOKUP(I1855,ItemText[],IFERROR(MATCH(UI!$B$1,ItemText[#Headers],0),2),FALSE),""),"Unset")</f>
        <v/>
      </c>
      <c r="M1855">
        <v>0</v>
      </c>
      <c r="P1855">
        <v>0</v>
      </c>
      <c r="S1855">
        <v>0</v>
      </c>
      <c r="T1855" t="str">
        <f>IF(VALUE(S1855)=0,"",VLOOKUP(VLOOKUP(S1855,Tbl_Effect[],3,FALSE),EffectName[],IFERROR(MATCH(UI!$B$1,EffectName[#Headers],0),2),FALSE))</f>
        <v/>
      </c>
      <c r="U1855" t="str">
        <f t="shared" si="179"/>
        <v/>
      </c>
      <c r="V1855">
        <v>0</v>
      </c>
      <c r="W1855" t="str">
        <f>IF(V1855&lt;&gt;0,VLOOKUP(VLOOKUP(V1855,Tbl_Effect[],3,FALSE),EffectName[],IFERROR(MATCH(UI!$B$1,EffectName[#Headers],0),2),FALSE),"")</f>
        <v/>
      </c>
      <c r="X1855" t="str">
        <f t="shared" si="180"/>
        <v/>
      </c>
      <c r="Y1855">
        <v>0</v>
      </c>
      <c r="Z1855" t="str">
        <f>IF(Y1855&lt;&gt;0,VLOOKUP(VLOOKUP(Y1855,Tbl_Effect[],3,FALSE),EffectName[],IFERROR(MATCH(UI!$B$1,EffectName[#Headers],0),2),FALSE),"")</f>
        <v/>
      </c>
      <c r="AA1855" t="str">
        <f t="shared" si="181"/>
        <v/>
      </c>
      <c r="AB1855">
        <v>0</v>
      </c>
      <c r="AC1855" t="str">
        <f>IF(AB1855&lt;&gt;0,VLOOKUP(VLOOKUP(AB1855,Tbl_Effect[],3,FALSE),EffectName[],IFERROR(MATCH(UI!$B$1,EffectName[#Headers],0),2),FALSE),"")</f>
        <v/>
      </c>
    </row>
    <row r="1856" spans="8:29" x14ac:dyDescent="0.4">
      <c r="H1856" t="str">
        <f t="shared" si="178"/>
        <v/>
      </c>
      <c r="I1856">
        <v>0</v>
      </c>
      <c r="J1856" t="str">
        <f>_xlfn.IFNA(IF(I1856&lt;&gt;0,VLOOKUP(VLOOKUP(I1856,Tbl_Equip[],2,FALSE),Tbl_Color[],IFERROR(MATCH(UI!$B$1,Tbl_Color[#Headers],0),2),FALSE),""),"Unset")</f>
        <v/>
      </c>
      <c r="K1856" t="str">
        <f>_xlfn.IFNA(IF(I1856&lt;&gt;0,VLOOKUP(I1856,ItemText[],IFERROR(MATCH(UI!$B$1,ItemText[#Headers],0),2),FALSE),""),"Unset")</f>
        <v/>
      </c>
      <c r="M1856">
        <v>0</v>
      </c>
      <c r="P1856">
        <v>0</v>
      </c>
      <c r="S1856">
        <v>0</v>
      </c>
      <c r="T1856" t="str">
        <f>IF(VALUE(S1856)=0,"",VLOOKUP(VLOOKUP(S1856,Tbl_Effect[],3,FALSE),EffectName[],IFERROR(MATCH(UI!$B$1,EffectName[#Headers],0),2),FALSE))</f>
        <v/>
      </c>
      <c r="U1856" t="str">
        <f t="shared" si="179"/>
        <v/>
      </c>
      <c r="V1856">
        <v>0</v>
      </c>
      <c r="W1856" t="str">
        <f>IF(V1856&lt;&gt;0,VLOOKUP(VLOOKUP(V1856,Tbl_Effect[],3,FALSE),EffectName[],IFERROR(MATCH(UI!$B$1,EffectName[#Headers],0),2),FALSE),"")</f>
        <v/>
      </c>
      <c r="X1856" t="str">
        <f t="shared" si="180"/>
        <v/>
      </c>
      <c r="Y1856">
        <v>0</v>
      </c>
      <c r="Z1856" t="str">
        <f>IF(Y1856&lt;&gt;0,VLOOKUP(VLOOKUP(Y1856,Tbl_Effect[],3,FALSE),EffectName[],IFERROR(MATCH(UI!$B$1,EffectName[#Headers],0),2),FALSE),"")</f>
        <v/>
      </c>
      <c r="AA1856" t="str">
        <f t="shared" si="181"/>
        <v/>
      </c>
      <c r="AB1856">
        <v>0</v>
      </c>
      <c r="AC1856" t="str">
        <f>IF(AB1856&lt;&gt;0,VLOOKUP(VLOOKUP(AB1856,Tbl_Effect[],3,FALSE),EffectName[],IFERROR(MATCH(UI!$B$1,EffectName[#Headers],0),2),FALSE),"")</f>
        <v/>
      </c>
    </row>
    <row r="1857" spans="8:29" x14ac:dyDescent="0.4">
      <c r="H1857" t="str">
        <f t="shared" si="178"/>
        <v/>
      </c>
      <c r="I1857">
        <v>0</v>
      </c>
      <c r="J1857" t="str">
        <f>_xlfn.IFNA(IF(I1857&lt;&gt;0,VLOOKUP(VLOOKUP(I1857,Tbl_Equip[],2,FALSE),Tbl_Color[],IFERROR(MATCH(UI!$B$1,Tbl_Color[#Headers],0),2),FALSE),""),"Unset")</f>
        <v/>
      </c>
      <c r="K1857" t="str">
        <f>_xlfn.IFNA(IF(I1857&lt;&gt;0,VLOOKUP(I1857,ItemText[],IFERROR(MATCH(UI!$B$1,ItemText[#Headers],0),2),FALSE),""),"Unset")</f>
        <v/>
      </c>
      <c r="M1857">
        <v>0</v>
      </c>
      <c r="P1857">
        <v>0</v>
      </c>
      <c r="S1857">
        <v>0</v>
      </c>
      <c r="T1857" t="str">
        <f>IF(VALUE(S1857)=0,"",VLOOKUP(VLOOKUP(S1857,Tbl_Effect[],3,FALSE),EffectName[],IFERROR(MATCH(UI!$B$1,EffectName[#Headers],0),2),FALSE))</f>
        <v/>
      </c>
      <c r="U1857" t="str">
        <f t="shared" si="179"/>
        <v/>
      </c>
      <c r="V1857">
        <v>0</v>
      </c>
      <c r="W1857" t="str">
        <f>IF(V1857&lt;&gt;0,VLOOKUP(VLOOKUP(V1857,Tbl_Effect[],3,FALSE),EffectName[],IFERROR(MATCH(UI!$B$1,EffectName[#Headers],0),2),FALSE),"")</f>
        <v/>
      </c>
      <c r="X1857" t="str">
        <f t="shared" si="180"/>
        <v/>
      </c>
      <c r="Y1857">
        <v>0</v>
      </c>
      <c r="Z1857" t="str">
        <f>IF(Y1857&lt;&gt;0,VLOOKUP(VLOOKUP(Y1857,Tbl_Effect[],3,FALSE),EffectName[],IFERROR(MATCH(UI!$B$1,EffectName[#Headers],0),2),FALSE),"")</f>
        <v/>
      </c>
      <c r="AA1857" t="str">
        <f t="shared" si="181"/>
        <v/>
      </c>
      <c r="AB1857">
        <v>0</v>
      </c>
      <c r="AC1857" t="str">
        <f>IF(AB1857&lt;&gt;0,VLOOKUP(VLOOKUP(AB1857,Tbl_Effect[],3,FALSE),EffectName[],IFERROR(MATCH(UI!$B$1,EffectName[#Headers],0),2),FALSE),"")</f>
        <v/>
      </c>
    </row>
    <row r="1858" spans="8:29" x14ac:dyDescent="0.4">
      <c r="H1858" t="str">
        <f t="shared" si="178"/>
        <v/>
      </c>
      <c r="I1858">
        <v>0</v>
      </c>
      <c r="J1858" t="str">
        <f>_xlfn.IFNA(IF(I1858&lt;&gt;0,VLOOKUP(VLOOKUP(I1858,Tbl_Equip[],2,FALSE),Tbl_Color[],IFERROR(MATCH(UI!$B$1,Tbl_Color[#Headers],0),2),FALSE),""),"Unset")</f>
        <v/>
      </c>
      <c r="K1858" t="str">
        <f>_xlfn.IFNA(IF(I1858&lt;&gt;0,VLOOKUP(I1858,ItemText[],IFERROR(MATCH(UI!$B$1,ItemText[#Headers],0),2),FALSE),""),"Unset")</f>
        <v/>
      </c>
      <c r="M1858">
        <v>0</v>
      </c>
      <c r="P1858">
        <v>0</v>
      </c>
      <c r="S1858">
        <v>0</v>
      </c>
      <c r="T1858" t="str">
        <f>IF(VALUE(S1858)=0,"",VLOOKUP(VLOOKUP(S1858,Tbl_Effect[],3,FALSE),EffectName[],IFERROR(MATCH(UI!$B$1,EffectName[#Headers],0),2),FALSE))</f>
        <v/>
      </c>
      <c r="U1858" t="str">
        <f t="shared" si="179"/>
        <v/>
      </c>
      <c r="V1858">
        <v>0</v>
      </c>
      <c r="W1858" t="str">
        <f>IF(V1858&lt;&gt;0,VLOOKUP(VLOOKUP(V1858,Tbl_Effect[],3,FALSE),EffectName[],IFERROR(MATCH(UI!$B$1,EffectName[#Headers],0),2),FALSE),"")</f>
        <v/>
      </c>
      <c r="X1858" t="str">
        <f t="shared" si="180"/>
        <v/>
      </c>
      <c r="Y1858">
        <v>0</v>
      </c>
      <c r="Z1858" t="str">
        <f>IF(Y1858&lt;&gt;0,VLOOKUP(VLOOKUP(Y1858,Tbl_Effect[],3,FALSE),EffectName[],IFERROR(MATCH(UI!$B$1,EffectName[#Headers],0),2),FALSE),"")</f>
        <v/>
      </c>
      <c r="AA1858" t="str">
        <f t="shared" si="181"/>
        <v/>
      </c>
      <c r="AB1858">
        <v>0</v>
      </c>
      <c r="AC1858" t="str">
        <f>IF(AB1858&lt;&gt;0,VLOOKUP(VLOOKUP(AB1858,Tbl_Effect[],3,FALSE),EffectName[],IFERROR(MATCH(UI!$B$1,EffectName[#Headers],0),2),FALSE),"")</f>
        <v/>
      </c>
    </row>
    <row r="1859" spans="8:29" x14ac:dyDescent="0.4">
      <c r="H1859" t="str">
        <f t="shared" ref="H1859:H1922" si="182">IF(VALUE(I1859)&lt;&gt;0,I1859&amp;"-"&amp;K1859&amp;" ("&amp;J1859&amp;")","")</f>
        <v/>
      </c>
      <c r="I1859">
        <v>0</v>
      </c>
      <c r="J1859" t="str">
        <f>_xlfn.IFNA(IF(I1859&lt;&gt;0,VLOOKUP(VLOOKUP(I1859,Tbl_Equip[],2,FALSE),Tbl_Color[],IFERROR(MATCH(UI!$B$1,Tbl_Color[#Headers],0),2),FALSE),""),"Unset")</f>
        <v/>
      </c>
      <c r="K1859" t="str">
        <f>_xlfn.IFNA(IF(I1859&lt;&gt;0,VLOOKUP(I1859,ItemText[],IFERROR(MATCH(UI!$B$1,ItemText[#Headers],0),2),FALSE),""),"Unset")</f>
        <v/>
      </c>
      <c r="M1859">
        <v>0</v>
      </c>
      <c r="P1859">
        <v>0</v>
      </c>
      <c r="S1859">
        <v>0</v>
      </c>
      <c r="T1859" t="str">
        <f>IF(VALUE(S1859)=0,"",VLOOKUP(VLOOKUP(S1859,Tbl_Effect[],3,FALSE),EffectName[],IFERROR(MATCH(UI!$B$1,EffectName[#Headers],0),2),FALSE))</f>
        <v/>
      </c>
      <c r="U1859" t="str">
        <f t="shared" ref="U1859:U1922" si="183">IF(VALUE(V1859)=0,"",V1859&amp;"-"&amp;W1859)</f>
        <v/>
      </c>
      <c r="V1859">
        <v>0</v>
      </c>
      <c r="W1859" t="str">
        <f>IF(V1859&lt;&gt;0,VLOOKUP(VLOOKUP(V1859,Tbl_Effect[],3,FALSE),EffectName[],IFERROR(MATCH(UI!$B$1,EffectName[#Headers],0),2),FALSE),"")</f>
        <v/>
      </c>
      <c r="X1859" t="str">
        <f t="shared" ref="X1859:X1922" si="184">IF(VALUE(Y1859)=0,"",Y1859&amp;"-"&amp;Z1859)</f>
        <v/>
      </c>
      <c r="Y1859">
        <v>0</v>
      </c>
      <c r="Z1859" t="str">
        <f>IF(Y1859&lt;&gt;0,VLOOKUP(VLOOKUP(Y1859,Tbl_Effect[],3,FALSE),EffectName[],IFERROR(MATCH(UI!$B$1,EffectName[#Headers],0),2),FALSE),"")</f>
        <v/>
      </c>
      <c r="AA1859" t="str">
        <f t="shared" ref="AA1859:AA1922" si="185">IF(VALUE(AB1859)=0,"",AB1859&amp;"-"&amp;AC1859)</f>
        <v/>
      </c>
      <c r="AB1859">
        <v>0</v>
      </c>
      <c r="AC1859" t="str">
        <f>IF(AB1859&lt;&gt;0,VLOOKUP(VLOOKUP(AB1859,Tbl_Effect[],3,FALSE),EffectName[],IFERROR(MATCH(UI!$B$1,EffectName[#Headers],0),2),FALSE),"")</f>
        <v/>
      </c>
    </row>
    <row r="1860" spans="8:29" x14ac:dyDescent="0.4">
      <c r="H1860" t="str">
        <f t="shared" si="182"/>
        <v/>
      </c>
      <c r="I1860">
        <v>0</v>
      </c>
      <c r="J1860" t="str">
        <f>_xlfn.IFNA(IF(I1860&lt;&gt;0,VLOOKUP(VLOOKUP(I1860,Tbl_Equip[],2,FALSE),Tbl_Color[],IFERROR(MATCH(UI!$B$1,Tbl_Color[#Headers],0),2),FALSE),""),"Unset")</f>
        <v/>
      </c>
      <c r="K1860" t="str">
        <f>_xlfn.IFNA(IF(I1860&lt;&gt;0,VLOOKUP(I1860,ItemText[],IFERROR(MATCH(UI!$B$1,ItemText[#Headers],0),2),FALSE),""),"Unset")</f>
        <v/>
      </c>
      <c r="M1860">
        <v>0</v>
      </c>
      <c r="P1860">
        <v>0</v>
      </c>
      <c r="S1860">
        <v>0</v>
      </c>
      <c r="T1860" t="str">
        <f>IF(VALUE(S1860)=0,"",VLOOKUP(VLOOKUP(S1860,Tbl_Effect[],3,FALSE),EffectName[],IFERROR(MATCH(UI!$B$1,EffectName[#Headers],0),2),FALSE))</f>
        <v/>
      </c>
      <c r="U1860" t="str">
        <f t="shared" si="183"/>
        <v/>
      </c>
      <c r="V1860">
        <v>0</v>
      </c>
      <c r="W1860" t="str">
        <f>IF(V1860&lt;&gt;0,VLOOKUP(VLOOKUP(V1860,Tbl_Effect[],3,FALSE),EffectName[],IFERROR(MATCH(UI!$B$1,EffectName[#Headers],0),2),FALSE),"")</f>
        <v/>
      </c>
      <c r="X1860" t="str">
        <f t="shared" si="184"/>
        <v/>
      </c>
      <c r="Y1860">
        <v>0</v>
      </c>
      <c r="Z1860" t="str">
        <f>IF(Y1860&lt;&gt;0,VLOOKUP(VLOOKUP(Y1860,Tbl_Effect[],3,FALSE),EffectName[],IFERROR(MATCH(UI!$B$1,EffectName[#Headers],0),2),FALSE),"")</f>
        <v/>
      </c>
      <c r="AA1860" t="str">
        <f t="shared" si="185"/>
        <v/>
      </c>
      <c r="AB1860">
        <v>0</v>
      </c>
      <c r="AC1860" t="str">
        <f>IF(AB1860&lt;&gt;0,VLOOKUP(VLOOKUP(AB1860,Tbl_Effect[],3,FALSE),EffectName[],IFERROR(MATCH(UI!$B$1,EffectName[#Headers],0),2),FALSE),"")</f>
        <v/>
      </c>
    </row>
    <row r="1861" spans="8:29" x14ac:dyDescent="0.4">
      <c r="H1861" t="str">
        <f t="shared" si="182"/>
        <v/>
      </c>
      <c r="I1861">
        <v>0</v>
      </c>
      <c r="J1861" t="str">
        <f>_xlfn.IFNA(IF(I1861&lt;&gt;0,VLOOKUP(VLOOKUP(I1861,Tbl_Equip[],2,FALSE),Tbl_Color[],IFERROR(MATCH(UI!$B$1,Tbl_Color[#Headers],0),2),FALSE),""),"Unset")</f>
        <v/>
      </c>
      <c r="K1861" t="str">
        <f>_xlfn.IFNA(IF(I1861&lt;&gt;0,VLOOKUP(I1861,ItemText[],IFERROR(MATCH(UI!$B$1,ItemText[#Headers],0),2),FALSE),""),"Unset")</f>
        <v/>
      </c>
      <c r="M1861">
        <v>0</v>
      </c>
      <c r="P1861">
        <v>0</v>
      </c>
      <c r="S1861">
        <v>0</v>
      </c>
      <c r="T1861" t="str">
        <f>IF(VALUE(S1861)=0,"",VLOOKUP(VLOOKUP(S1861,Tbl_Effect[],3,FALSE),EffectName[],IFERROR(MATCH(UI!$B$1,EffectName[#Headers],0),2),FALSE))</f>
        <v/>
      </c>
      <c r="U1861" t="str">
        <f t="shared" si="183"/>
        <v/>
      </c>
      <c r="V1861">
        <v>0</v>
      </c>
      <c r="W1861" t="str">
        <f>IF(V1861&lt;&gt;0,VLOOKUP(VLOOKUP(V1861,Tbl_Effect[],3,FALSE),EffectName[],IFERROR(MATCH(UI!$B$1,EffectName[#Headers],0),2),FALSE),"")</f>
        <v/>
      </c>
      <c r="X1861" t="str">
        <f t="shared" si="184"/>
        <v/>
      </c>
      <c r="Y1861">
        <v>0</v>
      </c>
      <c r="Z1861" t="str">
        <f>IF(Y1861&lt;&gt;0,VLOOKUP(VLOOKUP(Y1861,Tbl_Effect[],3,FALSE),EffectName[],IFERROR(MATCH(UI!$B$1,EffectName[#Headers],0),2),FALSE),"")</f>
        <v/>
      </c>
      <c r="AA1861" t="str">
        <f t="shared" si="185"/>
        <v/>
      </c>
      <c r="AB1861">
        <v>0</v>
      </c>
      <c r="AC1861" t="str">
        <f>IF(AB1861&lt;&gt;0,VLOOKUP(VLOOKUP(AB1861,Tbl_Effect[],3,FALSE),EffectName[],IFERROR(MATCH(UI!$B$1,EffectName[#Headers],0),2),FALSE),"")</f>
        <v/>
      </c>
    </row>
    <row r="1862" spans="8:29" x14ac:dyDescent="0.4">
      <c r="H1862" t="str">
        <f t="shared" si="182"/>
        <v/>
      </c>
      <c r="I1862">
        <v>0</v>
      </c>
      <c r="J1862" t="str">
        <f>_xlfn.IFNA(IF(I1862&lt;&gt;0,VLOOKUP(VLOOKUP(I1862,Tbl_Equip[],2,FALSE),Tbl_Color[],IFERROR(MATCH(UI!$B$1,Tbl_Color[#Headers],0),2),FALSE),""),"Unset")</f>
        <v/>
      </c>
      <c r="K1862" t="str">
        <f>_xlfn.IFNA(IF(I1862&lt;&gt;0,VLOOKUP(I1862,ItemText[],IFERROR(MATCH(UI!$B$1,ItemText[#Headers],0),2),FALSE),""),"Unset")</f>
        <v/>
      </c>
      <c r="M1862">
        <v>0</v>
      </c>
      <c r="P1862">
        <v>0</v>
      </c>
      <c r="S1862">
        <v>0</v>
      </c>
      <c r="T1862" t="str">
        <f>IF(VALUE(S1862)=0,"",VLOOKUP(VLOOKUP(S1862,Tbl_Effect[],3,FALSE),EffectName[],IFERROR(MATCH(UI!$B$1,EffectName[#Headers],0),2),FALSE))</f>
        <v/>
      </c>
      <c r="U1862" t="str">
        <f t="shared" si="183"/>
        <v/>
      </c>
      <c r="V1862">
        <v>0</v>
      </c>
      <c r="W1862" t="str">
        <f>IF(V1862&lt;&gt;0,VLOOKUP(VLOOKUP(V1862,Tbl_Effect[],3,FALSE),EffectName[],IFERROR(MATCH(UI!$B$1,EffectName[#Headers],0),2),FALSE),"")</f>
        <v/>
      </c>
      <c r="X1862" t="str">
        <f t="shared" si="184"/>
        <v/>
      </c>
      <c r="Y1862">
        <v>0</v>
      </c>
      <c r="Z1862" t="str">
        <f>IF(Y1862&lt;&gt;0,VLOOKUP(VLOOKUP(Y1862,Tbl_Effect[],3,FALSE),EffectName[],IFERROR(MATCH(UI!$B$1,EffectName[#Headers],0),2),FALSE),"")</f>
        <v/>
      </c>
      <c r="AA1862" t="str">
        <f t="shared" si="185"/>
        <v/>
      </c>
      <c r="AB1862">
        <v>0</v>
      </c>
      <c r="AC1862" t="str">
        <f>IF(AB1862&lt;&gt;0,VLOOKUP(VLOOKUP(AB1862,Tbl_Effect[],3,FALSE),EffectName[],IFERROR(MATCH(UI!$B$1,EffectName[#Headers],0),2),FALSE),"")</f>
        <v/>
      </c>
    </row>
    <row r="1863" spans="8:29" x14ac:dyDescent="0.4">
      <c r="H1863" t="str">
        <f t="shared" si="182"/>
        <v/>
      </c>
      <c r="I1863">
        <v>0</v>
      </c>
      <c r="J1863" t="str">
        <f>_xlfn.IFNA(IF(I1863&lt;&gt;0,VLOOKUP(VLOOKUP(I1863,Tbl_Equip[],2,FALSE),Tbl_Color[],IFERROR(MATCH(UI!$B$1,Tbl_Color[#Headers],0),2),FALSE),""),"Unset")</f>
        <v/>
      </c>
      <c r="K1863" t="str">
        <f>_xlfn.IFNA(IF(I1863&lt;&gt;0,VLOOKUP(I1863,ItemText[],IFERROR(MATCH(UI!$B$1,ItemText[#Headers],0),2),FALSE),""),"Unset")</f>
        <v/>
      </c>
      <c r="M1863">
        <v>0</v>
      </c>
      <c r="P1863">
        <v>0</v>
      </c>
      <c r="S1863">
        <v>0</v>
      </c>
      <c r="T1863" t="str">
        <f>IF(VALUE(S1863)=0,"",VLOOKUP(VLOOKUP(S1863,Tbl_Effect[],3,FALSE),EffectName[],IFERROR(MATCH(UI!$B$1,EffectName[#Headers],0),2),FALSE))</f>
        <v/>
      </c>
      <c r="U1863" t="str">
        <f t="shared" si="183"/>
        <v/>
      </c>
      <c r="V1863">
        <v>0</v>
      </c>
      <c r="W1863" t="str">
        <f>IF(V1863&lt;&gt;0,VLOOKUP(VLOOKUP(V1863,Tbl_Effect[],3,FALSE),EffectName[],IFERROR(MATCH(UI!$B$1,EffectName[#Headers],0),2),FALSE),"")</f>
        <v/>
      </c>
      <c r="X1863" t="str">
        <f t="shared" si="184"/>
        <v/>
      </c>
      <c r="Y1863">
        <v>0</v>
      </c>
      <c r="Z1863" t="str">
        <f>IF(Y1863&lt;&gt;0,VLOOKUP(VLOOKUP(Y1863,Tbl_Effect[],3,FALSE),EffectName[],IFERROR(MATCH(UI!$B$1,EffectName[#Headers],0),2),FALSE),"")</f>
        <v/>
      </c>
      <c r="AA1863" t="str">
        <f t="shared" si="185"/>
        <v/>
      </c>
      <c r="AB1863">
        <v>0</v>
      </c>
      <c r="AC1863" t="str">
        <f>IF(AB1863&lt;&gt;0,VLOOKUP(VLOOKUP(AB1863,Tbl_Effect[],3,FALSE),EffectName[],IFERROR(MATCH(UI!$B$1,EffectName[#Headers],0),2),FALSE),"")</f>
        <v/>
      </c>
    </row>
    <row r="1864" spans="8:29" x14ac:dyDescent="0.4">
      <c r="H1864" t="str">
        <f t="shared" si="182"/>
        <v/>
      </c>
      <c r="I1864">
        <v>0</v>
      </c>
      <c r="J1864" t="str">
        <f>_xlfn.IFNA(IF(I1864&lt;&gt;0,VLOOKUP(VLOOKUP(I1864,Tbl_Equip[],2,FALSE),Tbl_Color[],IFERROR(MATCH(UI!$B$1,Tbl_Color[#Headers],0),2),FALSE),""),"Unset")</f>
        <v/>
      </c>
      <c r="K1864" t="str">
        <f>_xlfn.IFNA(IF(I1864&lt;&gt;0,VLOOKUP(I1864,ItemText[],IFERROR(MATCH(UI!$B$1,ItemText[#Headers],0),2),FALSE),""),"Unset")</f>
        <v/>
      </c>
      <c r="M1864">
        <v>0</v>
      </c>
      <c r="P1864">
        <v>0</v>
      </c>
      <c r="S1864">
        <v>0</v>
      </c>
      <c r="T1864" t="str">
        <f>IF(VALUE(S1864)=0,"",VLOOKUP(VLOOKUP(S1864,Tbl_Effect[],3,FALSE),EffectName[],IFERROR(MATCH(UI!$B$1,EffectName[#Headers],0),2),FALSE))</f>
        <v/>
      </c>
      <c r="U1864" t="str">
        <f t="shared" si="183"/>
        <v/>
      </c>
      <c r="V1864">
        <v>0</v>
      </c>
      <c r="W1864" t="str">
        <f>IF(V1864&lt;&gt;0,VLOOKUP(VLOOKUP(V1864,Tbl_Effect[],3,FALSE),EffectName[],IFERROR(MATCH(UI!$B$1,EffectName[#Headers],0),2),FALSE),"")</f>
        <v/>
      </c>
      <c r="X1864" t="str">
        <f t="shared" si="184"/>
        <v/>
      </c>
      <c r="Y1864">
        <v>0</v>
      </c>
      <c r="Z1864" t="str">
        <f>IF(Y1864&lt;&gt;0,VLOOKUP(VLOOKUP(Y1864,Tbl_Effect[],3,FALSE),EffectName[],IFERROR(MATCH(UI!$B$1,EffectName[#Headers],0),2),FALSE),"")</f>
        <v/>
      </c>
      <c r="AA1864" t="str">
        <f t="shared" si="185"/>
        <v/>
      </c>
      <c r="AB1864">
        <v>0</v>
      </c>
      <c r="AC1864" t="str">
        <f>IF(AB1864&lt;&gt;0,VLOOKUP(VLOOKUP(AB1864,Tbl_Effect[],3,FALSE),EffectName[],IFERROR(MATCH(UI!$B$1,EffectName[#Headers],0),2),FALSE),"")</f>
        <v/>
      </c>
    </row>
    <row r="1865" spans="8:29" x14ac:dyDescent="0.4">
      <c r="H1865" t="str">
        <f t="shared" si="182"/>
        <v/>
      </c>
      <c r="I1865">
        <v>0</v>
      </c>
      <c r="J1865" t="str">
        <f>_xlfn.IFNA(IF(I1865&lt;&gt;0,VLOOKUP(VLOOKUP(I1865,Tbl_Equip[],2,FALSE),Tbl_Color[],IFERROR(MATCH(UI!$B$1,Tbl_Color[#Headers],0),2),FALSE),""),"Unset")</f>
        <v/>
      </c>
      <c r="K1865" t="str">
        <f>_xlfn.IFNA(IF(I1865&lt;&gt;0,VLOOKUP(I1865,ItemText[],IFERROR(MATCH(UI!$B$1,ItemText[#Headers],0),2),FALSE),""),"Unset")</f>
        <v/>
      </c>
      <c r="M1865">
        <v>0</v>
      </c>
      <c r="P1865">
        <v>0</v>
      </c>
      <c r="S1865">
        <v>0</v>
      </c>
      <c r="T1865" t="str">
        <f>IF(VALUE(S1865)=0,"",VLOOKUP(VLOOKUP(S1865,Tbl_Effect[],3,FALSE),EffectName[],IFERROR(MATCH(UI!$B$1,EffectName[#Headers],0),2),FALSE))</f>
        <v/>
      </c>
      <c r="U1865" t="str">
        <f t="shared" si="183"/>
        <v/>
      </c>
      <c r="V1865">
        <v>0</v>
      </c>
      <c r="W1865" t="str">
        <f>IF(V1865&lt;&gt;0,VLOOKUP(VLOOKUP(V1865,Tbl_Effect[],3,FALSE),EffectName[],IFERROR(MATCH(UI!$B$1,EffectName[#Headers],0),2),FALSE),"")</f>
        <v/>
      </c>
      <c r="X1865" t="str">
        <f t="shared" si="184"/>
        <v/>
      </c>
      <c r="Y1865">
        <v>0</v>
      </c>
      <c r="Z1865" t="str">
        <f>IF(Y1865&lt;&gt;0,VLOOKUP(VLOOKUP(Y1865,Tbl_Effect[],3,FALSE),EffectName[],IFERROR(MATCH(UI!$B$1,EffectName[#Headers],0),2),FALSE),"")</f>
        <v/>
      </c>
      <c r="AA1865" t="str">
        <f t="shared" si="185"/>
        <v/>
      </c>
      <c r="AB1865">
        <v>0</v>
      </c>
      <c r="AC1865" t="str">
        <f>IF(AB1865&lt;&gt;0,VLOOKUP(VLOOKUP(AB1865,Tbl_Effect[],3,FALSE),EffectName[],IFERROR(MATCH(UI!$B$1,EffectName[#Headers],0),2),FALSE),"")</f>
        <v/>
      </c>
    </row>
    <row r="1866" spans="8:29" x14ac:dyDescent="0.4">
      <c r="H1866" t="str">
        <f t="shared" si="182"/>
        <v/>
      </c>
      <c r="I1866">
        <v>0</v>
      </c>
      <c r="J1866" t="str">
        <f>_xlfn.IFNA(IF(I1866&lt;&gt;0,VLOOKUP(VLOOKUP(I1866,Tbl_Equip[],2,FALSE),Tbl_Color[],IFERROR(MATCH(UI!$B$1,Tbl_Color[#Headers],0),2),FALSE),""),"Unset")</f>
        <v/>
      </c>
      <c r="K1866" t="str">
        <f>_xlfn.IFNA(IF(I1866&lt;&gt;0,VLOOKUP(I1866,ItemText[],IFERROR(MATCH(UI!$B$1,ItemText[#Headers],0),2),FALSE),""),"Unset")</f>
        <v/>
      </c>
      <c r="M1866">
        <v>0</v>
      </c>
      <c r="P1866">
        <v>0</v>
      </c>
      <c r="S1866">
        <v>0</v>
      </c>
      <c r="T1866" t="str">
        <f>IF(VALUE(S1866)=0,"",VLOOKUP(VLOOKUP(S1866,Tbl_Effect[],3,FALSE),EffectName[],IFERROR(MATCH(UI!$B$1,EffectName[#Headers],0),2),FALSE))</f>
        <v/>
      </c>
      <c r="U1866" t="str">
        <f t="shared" si="183"/>
        <v/>
      </c>
      <c r="V1866">
        <v>0</v>
      </c>
      <c r="W1866" t="str">
        <f>IF(V1866&lt;&gt;0,VLOOKUP(VLOOKUP(V1866,Tbl_Effect[],3,FALSE),EffectName[],IFERROR(MATCH(UI!$B$1,EffectName[#Headers],0),2),FALSE),"")</f>
        <v/>
      </c>
      <c r="X1866" t="str">
        <f t="shared" si="184"/>
        <v/>
      </c>
      <c r="Y1866">
        <v>0</v>
      </c>
      <c r="Z1866" t="str">
        <f>IF(Y1866&lt;&gt;0,VLOOKUP(VLOOKUP(Y1866,Tbl_Effect[],3,FALSE),EffectName[],IFERROR(MATCH(UI!$B$1,EffectName[#Headers],0),2),FALSE),"")</f>
        <v/>
      </c>
      <c r="AA1866" t="str">
        <f t="shared" si="185"/>
        <v/>
      </c>
      <c r="AB1866">
        <v>0</v>
      </c>
      <c r="AC1866" t="str">
        <f>IF(AB1866&lt;&gt;0,VLOOKUP(VLOOKUP(AB1866,Tbl_Effect[],3,FALSE),EffectName[],IFERROR(MATCH(UI!$B$1,EffectName[#Headers],0),2),FALSE),"")</f>
        <v/>
      </c>
    </row>
    <row r="1867" spans="8:29" x14ac:dyDescent="0.4">
      <c r="H1867" t="str">
        <f t="shared" si="182"/>
        <v/>
      </c>
      <c r="I1867">
        <v>0</v>
      </c>
      <c r="J1867" t="str">
        <f>_xlfn.IFNA(IF(I1867&lt;&gt;0,VLOOKUP(VLOOKUP(I1867,Tbl_Equip[],2,FALSE),Tbl_Color[],IFERROR(MATCH(UI!$B$1,Tbl_Color[#Headers],0),2),FALSE),""),"Unset")</f>
        <v/>
      </c>
      <c r="K1867" t="str">
        <f>_xlfn.IFNA(IF(I1867&lt;&gt;0,VLOOKUP(I1867,ItemText[],IFERROR(MATCH(UI!$B$1,ItemText[#Headers],0),2),FALSE),""),"Unset")</f>
        <v/>
      </c>
      <c r="M1867">
        <v>0</v>
      </c>
      <c r="P1867">
        <v>0</v>
      </c>
      <c r="S1867">
        <v>0</v>
      </c>
      <c r="T1867" t="str">
        <f>IF(VALUE(S1867)=0,"",VLOOKUP(VLOOKUP(S1867,Tbl_Effect[],3,FALSE),EffectName[],IFERROR(MATCH(UI!$B$1,EffectName[#Headers],0),2),FALSE))</f>
        <v/>
      </c>
      <c r="U1867" t="str">
        <f t="shared" si="183"/>
        <v/>
      </c>
      <c r="V1867">
        <v>0</v>
      </c>
      <c r="W1867" t="str">
        <f>IF(V1867&lt;&gt;0,VLOOKUP(VLOOKUP(V1867,Tbl_Effect[],3,FALSE),EffectName[],IFERROR(MATCH(UI!$B$1,EffectName[#Headers],0),2),FALSE),"")</f>
        <v/>
      </c>
      <c r="X1867" t="str">
        <f t="shared" si="184"/>
        <v/>
      </c>
      <c r="Y1867">
        <v>0</v>
      </c>
      <c r="Z1867" t="str">
        <f>IF(Y1867&lt;&gt;0,VLOOKUP(VLOOKUP(Y1867,Tbl_Effect[],3,FALSE),EffectName[],IFERROR(MATCH(UI!$B$1,EffectName[#Headers],0),2),FALSE),"")</f>
        <v/>
      </c>
      <c r="AA1867" t="str">
        <f t="shared" si="185"/>
        <v/>
      </c>
      <c r="AB1867">
        <v>0</v>
      </c>
      <c r="AC1867" t="str">
        <f>IF(AB1867&lt;&gt;0,VLOOKUP(VLOOKUP(AB1867,Tbl_Effect[],3,FALSE),EffectName[],IFERROR(MATCH(UI!$B$1,EffectName[#Headers],0),2),FALSE),"")</f>
        <v/>
      </c>
    </row>
    <row r="1868" spans="8:29" x14ac:dyDescent="0.4">
      <c r="H1868" t="str">
        <f t="shared" si="182"/>
        <v/>
      </c>
      <c r="I1868">
        <v>0</v>
      </c>
      <c r="J1868" t="str">
        <f>_xlfn.IFNA(IF(I1868&lt;&gt;0,VLOOKUP(VLOOKUP(I1868,Tbl_Equip[],2,FALSE),Tbl_Color[],IFERROR(MATCH(UI!$B$1,Tbl_Color[#Headers],0),2),FALSE),""),"Unset")</f>
        <v/>
      </c>
      <c r="K1868" t="str">
        <f>_xlfn.IFNA(IF(I1868&lt;&gt;0,VLOOKUP(I1868,ItemText[],IFERROR(MATCH(UI!$B$1,ItemText[#Headers],0),2),FALSE),""),"Unset")</f>
        <v/>
      </c>
      <c r="M1868">
        <v>0</v>
      </c>
      <c r="P1868">
        <v>0</v>
      </c>
      <c r="S1868">
        <v>0</v>
      </c>
      <c r="T1868" t="str">
        <f>IF(VALUE(S1868)=0,"",VLOOKUP(VLOOKUP(S1868,Tbl_Effect[],3,FALSE),EffectName[],IFERROR(MATCH(UI!$B$1,EffectName[#Headers],0),2),FALSE))</f>
        <v/>
      </c>
      <c r="U1868" t="str">
        <f t="shared" si="183"/>
        <v/>
      </c>
      <c r="V1868">
        <v>0</v>
      </c>
      <c r="W1868" t="str">
        <f>IF(V1868&lt;&gt;0,VLOOKUP(VLOOKUP(V1868,Tbl_Effect[],3,FALSE),EffectName[],IFERROR(MATCH(UI!$B$1,EffectName[#Headers],0),2),FALSE),"")</f>
        <v/>
      </c>
      <c r="X1868" t="str">
        <f t="shared" si="184"/>
        <v/>
      </c>
      <c r="Y1868">
        <v>0</v>
      </c>
      <c r="Z1868" t="str">
        <f>IF(Y1868&lt;&gt;0,VLOOKUP(VLOOKUP(Y1868,Tbl_Effect[],3,FALSE),EffectName[],IFERROR(MATCH(UI!$B$1,EffectName[#Headers],0),2),FALSE),"")</f>
        <v/>
      </c>
      <c r="AA1868" t="str">
        <f t="shared" si="185"/>
        <v/>
      </c>
      <c r="AB1868">
        <v>0</v>
      </c>
      <c r="AC1868" t="str">
        <f>IF(AB1868&lt;&gt;0,VLOOKUP(VLOOKUP(AB1868,Tbl_Effect[],3,FALSE),EffectName[],IFERROR(MATCH(UI!$B$1,EffectName[#Headers],0),2),FALSE),"")</f>
        <v/>
      </c>
    </row>
    <row r="1869" spans="8:29" x14ac:dyDescent="0.4">
      <c r="H1869" t="str">
        <f t="shared" si="182"/>
        <v/>
      </c>
      <c r="I1869">
        <v>0</v>
      </c>
      <c r="J1869" t="str">
        <f>_xlfn.IFNA(IF(I1869&lt;&gt;0,VLOOKUP(VLOOKUP(I1869,Tbl_Equip[],2,FALSE),Tbl_Color[],IFERROR(MATCH(UI!$B$1,Tbl_Color[#Headers],0),2),FALSE),""),"Unset")</f>
        <v/>
      </c>
      <c r="K1869" t="str">
        <f>_xlfn.IFNA(IF(I1869&lt;&gt;0,VLOOKUP(I1869,ItemText[],IFERROR(MATCH(UI!$B$1,ItemText[#Headers],0),2),FALSE),""),"Unset")</f>
        <v/>
      </c>
      <c r="M1869">
        <v>0</v>
      </c>
      <c r="P1869">
        <v>0</v>
      </c>
      <c r="S1869">
        <v>0</v>
      </c>
      <c r="T1869" t="str">
        <f>IF(VALUE(S1869)=0,"",VLOOKUP(VLOOKUP(S1869,Tbl_Effect[],3,FALSE),EffectName[],IFERROR(MATCH(UI!$B$1,EffectName[#Headers],0),2),FALSE))</f>
        <v/>
      </c>
      <c r="U1869" t="str">
        <f t="shared" si="183"/>
        <v/>
      </c>
      <c r="V1869">
        <v>0</v>
      </c>
      <c r="W1869" t="str">
        <f>IF(V1869&lt;&gt;0,VLOOKUP(VLOOKUP(V1869,Tbl_Effect[],3,FALSE),EffectName[],IFERROR(MATCH(UI!$B$1,EffectName[#Headers],0),2),FALSE),"")</f>
        <v/>
      </c>
      <c r="X1869" t="str">
        <f t="shared" si="184"/>
        <v/>
      </c>
      <c r="Y1869">
        <v>0</v>
      </c>
      <c r="Z1869" t="str">
        <f>IF(Y1869&lt;&gt;0,VLOOKUP(VLOOKUP(Y1869,Tbl_Effect[],3,FALSE),EffectName[],IFERROR(MATCH(UI!$B$1,EffectName[#Headers],0),2),FALSE),"")</f>
        <v/>
      </c>
      <c r="AA1869" t="str">
        <f t="shared" si="185"/>
        <v/>
      </c>
      <c r="AB1869">
        <v>0</v>
      </c>
      <c r="AC1869" t="str">
        <f>IF(AB1869&lt;&gt;0,VLOOKUP(VLOOKUP(AB1869,Tbl_Effect[],3,FALSE),EffectName[],IFERROR(MATCH(UI!$B$1,EffectName[#Headers],0),2),FALSE),"")</f>
        <v/>
      </c>
    </row>
    <row r="1870" spans="8:29" x14ac:dyDescent="0.4">
      <c r="H1870" t="str">
        <f t="shared" si="182"/>
        <v/>
      </c>
      <c r="I1870">
        <v>0</v>
      </c>
      <c r="J1870" t="str">
        <f>_xlfn.IFNA(IF(I1870&lt;&gt;0,VLOOKUP(VLOOKUP(I1870,Tbl_Equip[],2,FALSE),Tbl_Color[],IFERROR(MATCH(UI!$B$1,Tbl_Color[#Headers],0),2),FALSE),""),"Unset")</f>
        <v/>
      </c>
      <c r="K1870" t="str">
        <f>_xlfn.IFNA(IF(I1870&lt;&gt;0,VLOOKUP(I1870,ItemText[],IFERROR(MATCH(UI!$B$1,ItemText[#Headers],0),2),FALSE),""),"Unset")</f>
        <v/>
      </c>
      <c r="M1870">
        <v>0</v>
      </c>
      <c r="P1870">
        <v>0</v>
      </c>
      <c r="S1870">
        <v>0</v>
      </c>
      <c r="T1870" t="str">
        <f>IF(VALUE(S1870)=0,"",VLOOKUP(VLOOKUP(S1870,Tbl_Effect[],3,FALSE),EffectName[],IFERROR(MATCH(UI!$B$1,EffectName[#Headers],0),2),FALSE))</f>
        <v/>
      </c>
      <c r="U1870" t="str">
        <f t="shared" si="183"/>
        <v/>
      </c>
      <c r="V1870">
        <v>0</v>
      </c>
      <c r="W1870" t="str">
        <f>IF(V1870&lt;&gt;0,VLOOKUP(VLOOKUP(V1870,Tbl_Effect[],3,FALSE),EffectName[],IFERROR(MATCH(UI!$B$1,EffectName[#Headers],0),2),FALSE),"")</f>
        <v/>
      </c>
      <c r="X1870" t="str">
        <f t="shared" si="184"/>
        <v/>
      </c>
      <c r="Y1870">
        <v>0</v>
      </c>
      <c r="Z1870" t="str">
        <f>IF(Y1870&lt;&gt;0,VLOOKUP(VLOOKUP(Y1870,Tbl_Effect[],3,FALSE),EffectName[],IFERROR(MATCH(UI!$B$1,EffectName[#Headers],0),2),FALSE),"")</f>
        <v/>
      </c>
      <c r="AA1870" t="str">
        <f t="shared" si="185"/>
        <v/>
      </c>
      <c r="AB1870">
        <v>0</v>
      </c>
      <c r="AC1870" t="str">
        <f>IF(AB1870&lt;&gt;0,VLOOKUP(VLOOKUP(AB1870,Tbl_Effect[],3,FALSE),EffectName[],IFERROR(MATCH(UI!$B$1,EffectName[#Headers],0),2),FALSE),"")</f>
        <v/>
      </c>
    </row>
    <row r="1871" spans="8:29" x14ac:dyDescent="0.4">
      <c r="H1871" t="str">
        <f t="shared" si="182"/>
        <v/>
      </c>
      <c r="I1871">
        <v>0</v>
      </c>
      <c r="J1871" t="str">
        <f>_xlfn.IFNA(IF(I1871&lt;&gt;0,VLOOKUP(VLOOKUP(I1871,Tbl_Equip[],2,FALSE),Tbl_Color[],IFERROR(MATCH(UI!$B$1,Tbl_Color[#Headers],0),2),FALSE),""),"Unset")</f>
        <v/>
      </c>
      <c r="K1871" t="str">
        <f>_xlfn.IFNA(IF(I1871&lt;&gt;0,VLOOKUP(I1871,ItemText[],IFERROR(MATCH(UI!$B$1,ItemText[#Headers],0),2),FALSE),""),"Unset")</f>
        <v/>
      </c>
      <c r="M1871">
        <v>0</v>
      </c>
      <c r="P1871">
        <v>0</v>
      </c>
      <c r="S1871">
        <v>0</v>
      </c>
      <c r="T1871" t="str">
        <f>IF(VALUE(S1871)=0,"",VLOOKUP(VLOOKUP(S1871,Tbl_Effect[],3,FALSE),EffectName[],IFERROR(MATCH(UI!$B$1,EffectName[#Headers],0),2),FALSE))</f>
        <v/>
      </c>
      <c r="U1871" t="str">
        <f t="shared" si="183"/>
        <v/>
      </c>
      <c r="V1871">
        <v>0</v>
      </c>
      <c r="W1871" t="str">
        <f>IF(V1871&lt;&gt;0,VLOOKUP(VLOOKUP(V1871,Tbl_Effect[],3,FALSE),EffectName[],IFERROR(MATCH(UI!$B$1,EffectName[#Headers],0),2),FALSE),"")</f>
        <v/>
      </c>
      <c r="X1871" t="str">
        <f t="shared" si="184"/>
        <v/>
      </c>
      <c r="Y1871">
        <v>0</v>
      </c>
      <c r="Z1871" t="str">
        <f>IF(Y1871&lt;&gt;0,VLOOKUP(VLOOKUP(Y1871,Tbl_Effect[],3,FALSE),EffectName[],IFERROR(MATCH(UI!$B$1,EffectName[#Headers],0),2),FALSE),"")</f>
        <v/>
      </c>
      <c r="AA1871" t="str">
        <f t="shared" si="185"/>
        <v/>
      </c>
      <c r="AB1871">
        <v>0</v>
      </c>
      <c r="AC1871" t="str">
        <f>IF(AB1871&lt;&gt;0,VLOOKUP(VLOOKUP(AB1871,Tbl_Effect[],3,FALSE),EffectName[],IFERROR(MATCH(UI!$B$1,EffectName[#Headers],0),2),FALSE),"")</f>
        <v/>
      </c>
    </row>
    <row r="1872" spans="8:29" x14ac:dyDescent="0.4">
      <c r="H1872" t="str">
        <f t="shared" si="182"/>
        <v/>
      </c>
      <c r="I1872">
        <v>0</v>
      </c>
      <c r="J1872" t="str">
        <f>_xlfn.IFNA(IF(I1872&lt;&gt;0,VLOOKUP(VLOOKUP(I1872,Tbl_Equip[],2,FALSE),Tbl_Color[],IFERROR(MATCH(UI!$B$1,Tbl_Color[#Headers],0),2),FALSE),""),"Unset")</f>
        <v/>
      </c>
      <c r="K1872" t="str">
        <f>_xlfn.IFNA(IF(I1872&lt;&gt;0,VLOOKUP(I1872,ItemText[],IFERROR(MATCH(UI!$B$1,ItemText[#Headers],0),2),FALSE),""),"Unset")</f>
        <v/>
      </c>
      <c r="M1872">
        <v>0</v>
      </c>
      <c r="P1872">
        <v>0</v>
      </c>
      <c r="S1872">
        <v>0</v>
      </c>
      <c r="T1872" t="str">
        <f>IF(VALUE(S1872)=0,"",VLOOKUP(VLOOKUP(S1872,Tbl_Effect[],3,FALSE),EffectName[],IFERROR(MATCH(UI!$B$1,EffectName[#Headers],0),2),FALSE))</f>
        <v/>
      </c>
      <c r="U1872" t="str">
        <f t="shared" si="183"/>
        <v/>
      </c>
      <c r="V1872">
        <v>0</v>
      </c>
      <c r="W1872" t="str">
        <f>IF(V1872&lt;&gt;0,VLOOKUP(VLOOKUP(V1872,Tbl_Effect[],3,FALSE),EffectName[],IFERROR(MATCH(UI!$B$1,EffectName[#Headers],0),2),FALSE),"")</f>
        <v/>
      </c>
      <c r="X1872" t="str">
        <f t="shared" si="184"/>
        <v/>
      </c>
      <c r="Y1872">
        <v>0</v>
      </c>
      <c r="Z1872" t="str">
        <f>IF(Y1872&lt;&gt;0,VLOOKUP(VLOOKUP(Y1872,Tbl_Effect[],3,FALSE),EffectName[],IFERROR(MATCH(UI!$B$1,EffectName[#Headers],0),2),FALSE),"")</f>
        <v/>
      </c>
      <c r="AA1872" t="str">
        <f t="shared" si="185"/>
        <v/>
      </c>
      <c r="AB1872">
        <v>0</v>
      </c>
      <c r="AC1872" t="str">
        <f>IF(AB1872&lt;&gt;0,VLOOKUP(VLOOKUP(AB1872,Tbl_Effect[],3,FALSE),EffectName[],IFERROR(MATCH(UI!$B$1,EffectName[#Headers],0),2),FALSE),"")</f>
        <v/>
      </c>
    </row>
    <row r="1873" spans="8:29" x14ac:dyDescent="0.4">
      <c r="H1873" t="str">
        <f t="shared" si="182"/>
        <v/>
      </c>
      <c r="I1873">
        <v>0</v>
      </c>
      <c r="J1873" t="str">
        <f>_xlfn.IFNA(IF(I1873&lt;&gt;0,VLOOKUP(VLOOKUP(I1873,Tbl_Equip[],2,FALSE),Tbl_Color[],IFERROR(MATCH(UI!$B$1,Tbl_Color[#Headers],0),2),FALSE),""),"Unset")</f>
        <v/>
      </c>
      <c r="K1873" t="str">
        <f>_xlfn.IFNA(IF(I1873&lt;&gt;0,VLOOKUP(I1873,ItemText[],IFERROR(MATCH(UI!$B$1,ItemText[#Headers],0),2),FALSE),""),"Unset")</f>
        <v/>
      </c>
      <c r="M1873">
        <v>0</v>
      </c>
      <c r="P1873">
        <v>0</v>
      </c>
      <c r="S1873">
        <v>0</v>
      </c>
      <c r="T1873" t="str">
        <f>IF(VALUE(S1873)=0,"",VLOOKUP(VLOOKUP(S1873,Tbl_Effect[],3,FALSE),EffectName[],IFERROR(MATCH(UI!$B$1,EffectName[#Headers],0),2),FALSE))</f>
        <v/>
      </c>
      <c r="U1873" t="str">
        <f t="shared" si="183"/>
        <v/>
      </c>
      <c r="V1873">
        <v>0</v>
      </c>
      <c r="W1873" t="str">
        <f>IF(V1873&lt;&gt;0,VLOOKUP(VLOOKUP(V1873,Tbl_Effect[],3,FALSE),EffectName[],IFERROR(MATCH(UI!$B$1,EffectName[#Headers],0),2),FALSE),"")</f>
        <v/>
      </c>
      <c r="X1873" t="str">
        <f t="shared" si="184"/>
        <v/>
      </c>
      <c r="Y1873">
        <v>0</v>
      </c>
      <c r="Z1873" t="str">
        <f>IF(Y1873&lt;&gt;0,VLOOKUP(VLOOKUP(Y1873,Tbl_Effect[],3,FALSE),EffectName[],IFERROR(MATCH(UI!$B$1,EffectName[#Headers],0),2),FALSE),"")</f>
        <v/>
      </c>
      <c r="AA1873" t="str">
        <f t="shared" si="185"/>
        <v/>
      </c>
      <c r="AB1873">
        <v>0</v>
      </c>
      <c r="AC1873" t="str">
        <f>IF(AB1873&lt;&gt;0,VLOOKUP(VLOOKUP(AB1873,Tbl_Effect[],3,FALSE),EffectName[],IFERROR(MATCH(UI!$B$1,EffectName[#Headers],0),2),FALSE),"")</f>
        <v/>
      </c>
    </row>
    <row r="1874" spans="8:29" x14ac:dyDescent="0.4">
      <c r="H1874" t="str">
        <f t="shared" si="182"/>
        <v/>
      </c>
      <c r="I1874">
        <v>0</v>
      </c>
      <c r="J1874" t="str">
        <f>_xlfn.IFNA(IF(I1874&lt;&gt;0,VLOOKUP(VLOOKUP(I1874,Tbl_Equip[],2,FALSE),Tbl_Color[],IFERROR(MATCH(UI!$B$1,Tbl_Color[#Headers],0),2),FALSE),""),"Unset")</f>
        <v/>
      </c>
      <c r="K1874" t="str">
        <f>_xlfn.IFNA(IF(I1874&lt;&gt;0,VLOOKUP(I1874,ItemText[],IFERROR(MATCH(UI!$B$1,ItemText[#Headers],0),2),FALSE),""),"Unset")</f>
        <v/>
      </c>
      <c r="M1874">
        <v>0</v>
      </c>
      <c r="P1874">
        <v>0</v>
      </c>
      <c r="S1874">
        <v>0</v>
      </c>
      <c r="T1874" t="str">
        <f>IF(VALUE(S1874)=0,"",VLOOKUP(VLOOKUP(S1874,Tbl_Effect[],3,FALSE),EffectName[],IFERROR(MATCH(UI!$B$1,EffectName[#Headers],0),2),FALSE))</f>
        <v/>
      </c>
      <c r="U1874" t="str">
        <f t="shared" si="183"/>
        <v/>
      </c>
      <c r="V1874">
        <v>0</v>
      </c>
      <c r="W1874" t="str">
        <f>IF(V1874&lt;&gt;0,VLOOKUP(VLOOKUP(V1874,Tbl_Effect[],3,FALSE),EffectName[],IFERROR(MATCH(UI!$B$1,EffectName[#Headers],0),2),FALSE),"")</f>
        <v/>
      </c>
      <c r="X1874" t="str">
        <f t="shared" si="184"/>
        <v/>
      </c>
      <c r="Y1874">
        <v>0</v>
      </c>
      <c r="Z1874" t="str">
        <f>IF(Y1874&lt;&gt;0,VLOOKUP(VLOOKUP(Y1874,Tbl_Effect[],3,FALSE),EffectName[],IFERROR(MATCH(UI!$B$1,EffectName[#Headers],0),2),FALSE),"")</f>
        <v/>
      </c>
      <c r="AA1874" t="str">
        <f t="shared" si="185"/>
        <v/>
      </c>
      <c r="AB1874">
        <v>0</v>
      </c>
      <c r="AC1874" t="str">
        <f>IF(AB1874&lt;&gt;0,VLOOKUP(VLOOKUP(AB1874,Tbl_Effect[],3,FALSE),EffectName[],IFERROR(MATCH(UI!$B$1,EffectName[#Headers],0),2),FALSE),"")</f>
        <v/>
      </c>
    </row>
    <row r="1875" spans="8:29" x14ac:dyDescent="0.4">
      <c r="H1875" t="str">
        <f t="shared" si="182"/>
        <v/>
      </c>
      <c r="I1875">
        <v>0</v>
      </c>
      <c r="J1875" t="str">
        <f>_xlfn.IFNA(IF(I1875&lt;&gt;0,VLOOKUP(VLOOKUP(I1875,Tbl_Equip[],2,FALSE),Tbl_Color[],IFERROR(MATCH(UI!$B$1,Tbl_Color[#Headers],0),2),FALSE),""),"Unset")</f>
        <v/>
      </c>
      <c r="K1875" t="str">
        <f>_xlfn.IFNA(IF(I1875&lt;&gt;0,VLOOKUP(I1875,ItemText[],IFERROR(MATCH(UI!$B$1,ItemText[#Headers],0),2),FALSE),""),"Unset")</f>
        <v/>
      </c>
      <c r="M1875">
        <v>0</v>
      </c>
      <c r="P1875">
        <v>0</v>
      </c>
      <c r="S1875">
        <v>0</v>
      </c>
      <c r="T1875" t="str">
        <f>IF(VALUE(S1875)=0,"",VLOOKUP(VLOOKUP(S1875,Tbl_Effect[],3,FALSE),EffectName[],IFERROR(MATCH(UI!$B$1,EffectName[#Headers],0),2),FALSE))</f>
        <v/>
      </c>
      <c r="U1875" t="str">
        <f t="shared" si="183"/>
        <v/>
      </c>
      <c r="V1875">
        <v>0</v>
      </c>
      <c r="W1875" t="str">
        <f>IF(V1875&lt;&gt;0,VLOOKUP(VLOOKUP(V1875,Tbl_Effect[],3,FALSE),EffectName[],IFERROR(MATCH(UI!$B$1,EffectName[#Headers],0),2),FALSE),"")</f>
        <v/>
      </c>
      <c r="X1875" t="str">
        <f t="shared" si="184"/>
        <v/>
      </c>
      <c r="Y1875">
        <v>0</v>
      </c>
      <c r="Z1875" t="str">
        <f>IF(Y1875&lt;&gt;0,VLOOKUP(VLOOKUP(Y1875,Tbl_Effect[],3,FALSE),EffectName[],IFERROR(MATCH(UI!$B$1,EffectName[#Headers],0),2),FALSE),"")</f>
        <v/>
      </c>
      <c r="AA1875" t="str">
        <f t="shared" si="185"/>
        <v/>
      </c>
      <c r="AB1875">
        <v>0</v>
      </c>
      <c r="AC1875" t="str">
        <f>IF(AB1875&lt;&gt;0,VLOOKUP(VLOOKUP(AB1875,Tbl_Effect[],3,FALSE),EffectName[],IFERROR(MATCH(UI!$B$1,EffectName[#Headers],0),2),FALSE),"")</f>
        <v/>
      </c>
    </row>
    <row r="1876" spans="8:29" x14ac:dyDescent="0.4">
      <c r="H1876" t="str">
        <f t="shared" si="182"/>
        <v/>
      </c>
      <c r="I1876">
        <v>0</v>
      </c>
      <c r="J1876" t="str">
        <f>_xlfn.IFNA(IF(I1876&lt;&gt;0,VLOOKUP(VLOOKUP(I1876,Tbl_Equip[],2,FALSE),Tbl_Color[],IFERROR(MATCH(UI!$B$1,Tbl_Color[#Headers],0),2),FALSE),""),"Unset")</f>
        <v/>
      </c>
      <c r="K1876" t="str">
        <f>_xlfn.IFNA(IF(I1876&lt;&gt;0,VLOOKUP(I1876,ItemText[],IFERROR(MATCH(UI!$B$1,ItemText[#Headers],0),2),FALSE),""),"Unset")</f>
        <v/>
      </c>
      <c r="M1876">
        <v>0</v>
      </c>
      <c r="P1876">
        <v>0</v>
      </c>
      <c r="S1876">
        <v>0</v>
      </c>
      <c r="T1876" t="str">
        <f>IF(VALUE(S1876)=0,"",VLOOKUP(VLOOKUP(S1876,Tbl_Effect[],3,FALSE),EffectName[],IFERROR(MATCH(UI!$B$1,EffectName[#Headers],0),2),FALSE))</f>
        <v/>
      </c>
      <c r="U1876" t="str">
        <f t="shared" si="183"/>
        <v/>
      </c>
      <c r="V1876">
        <v>0</v>
      </c>
      <c r="W1876" t="str">
        <f>IF(V1876&lt;&gt;0,VLOOKUP(VLOOKUP(V1876,Tbl_Effect[],3,FALSE),EffectName[],IFERROR(MATCH(UI!$B$1,EffectName[#Headers],0),2),FALSE),"")</f>
        <v/>
      </c>
      <c r="X1876" t="str">
        <f t="shared" si="184"/>
        <v/>
      </c>
      <c r="Y1876">
        <v>0</v>
      </c>
      <c r="Z1876" t="str">
        <f>IF(Y1876&lt;&gt;0,VLOOKUP(VLOOKUP(Y1876,Tbl_Effect[],3,FALSE),EffectName[],IFERROR(MATCH(UI!$B$1,EffectName[#Headers],0),2),FALSE),"")</f>
        <v/>
      </c>
      <c r="AA1876" t="str">
        <f t="shared" si="185"/>
        <v/>
      </c>
      <c r="AB1876">
        <v>0</v>
      </c>
      <c r="AC1876" t="str">
        <f>IF(AB1876&lt;&gt;0,VLOOKUP(VLOOKUP(AB1876,Tbl_Effect[],3,FALSE),EffectName[],IFERROR(MATCH(UI!$B$1,EffectName[#Headers],0),2),FALSE),"")</f>
        <v/>
      </c>
    </row>
    <row r="1877" spans="8:29" x14ac:dyDescent="0.4">
      <c r="H1877" t="str">
        <f t="shared" si="182"/>
        <v/>
      </c>
      <c r="I1877">
        <v>0</v>
      </c>
      <c r="J1877" t="str">
        <f>_xlfn.IFNA(IF(I1877&lt;&gt;0,VLOOKUP(VLOOKUP(I1877,Tbl_Equip[],2,FALSE),Tbl_Color[],IFERROR(MATCH(UI!$B$1,Tbl_Color[#Headers],0),2),FALSE),""),"Unset")</f>
        <v/>
      </c>
      <c r="K1877" t="str">
        <f>_xlfn.IFNA(IF(I1877&lt;&gt;0,VLOOKUP(I1877,ItemText[],IFERROR(MATCH(UI!$B$1,ItemText[#Headers],0),2),FALSE),""),"Unset")</f>
        <v/>
      </c>
      <c r="M1877">
        <v>0</v>
      </c>
      <c r="P1877">
        <v>0</v>
      </c>
      <c r="S1877">
        <v>0</v>
      </c>
      <c r="T1877" t="str">
        <f>IF(VALUE(S1877)=0,"",VLOOKUP(VLOOKUP(S1877,Tbl_Effect[],3,FALSE),EffectName[],IFERROR(MATCH(UI!$B$1,EffectName[#Headers],0),2),FALSE))</f>
        <v/>
      </c>
      <c r="U1877" t="str">
        <f t="shared" si="183"/>
        <v/>
      </c>
      <c r="V1877">
        <v>0</v>
      </c>
      <c r="W1877" t="str">
        <f>IF(V1877&lt;&gt;0,VLOOKUP(VLOOKUP(V1877,Tbl_Effect[],3,FALSE),EffectName[],IFERROR(MATCH(UI!$B$1,EffectName[#Headers],0),2),FALSE),"")</f>
        <v/>
      </c>
      <c r="X1877" t="str">
        <f t="shared" si="184"/>
        <v/>
      </c>
      <c r="Y1877">
        <v>0</v>
      </c>
      <c r="Z1877" t="str">
        <f>IF(Y1877&lt;&gt;0,VLOOKUP(VLOOKUP(Y1877,Tbl_Effect[],3,FALSE),EffectName[],IFERROR(MATCH(UI!$B$1,EffectName[#Headers],0),2),FALSE),"")</f>
        <v/>
      </c>
      <c r="AA1877" t="str">
        <f t="shared" si="185"/>
        <v/>
      </c>
      <c r="AB1877">
        <v>0</v>
      </c>
      <c r="AC1877" t="str">
        <f>IF(AB1877&lt;&gt;0,VLOOKUP(VLOOKUP(AB1877,Tbl_Effect[],3,FALSE),EffectName[],IFERROR(MATCH(UI!$B$1,EffectName[#Headers],0),2),FALSE),"")</f>
        <v/>
      </c>
    </row>
    <row r="1878" spans="8:29" x14ac:dyDescent="0.4">
      <c r="H1878" t="str">
        <f t="shared" si="182"/>
        <v/>
      </c>
      <c r="I1878">
        <v>0</v>
      </c>
      <c r="J1878" t="str">
        <f>_xlfn.IFNA(IF(I1878&lt;&gt;0,VLOOKUP(VLOOKUP(I1878,Tbl_Equip[],2,FALSE),Tbl_Color[],IFERROR(MATCH(UI!$B$1,Tbl_Color[#Headers],0),2),FALSE),""),"Unset")</f>
        <v/>
      </c>
      <c r="K1878" t="str">
        <f>_xlfn.IFNA(IF(I1878&lt;&gt;0,VLOOKUP(I1878,ItemText[],IFERROR(MATCH(UI!$B$1,ItemText[#Headers],0),2),FALSE),""),"Unset")</f>
        <v/>
      </c>
      <c r="M1878">
        <v>0</v>
      </c>
      <c r="P1878">
        <v>0</v>
      </c>
      <c r="S1878">
        <v>0</v>
      </c>
      <c r="T1878" t="str">
        <f>IF(VALUE(S1878)=0,"",VLOOKUP(VLOOKUP(S1878,Tbl_Effect[],3,FALSE),EffectName[],IFERROR(MATCH(UI!$B$1,EffectName[#Headers],0),2),FALSE))</f>
        <v/>
      </c>
      <c r="U1878" t="str">
        <f t="shared" si="183"/>
        <v/>
      </c>
      <c r="V1878">
        <v>0</v>
      </c>
      <c r="W1878" t="str">
        <f>IF(V1878&lt;&gt;0,VLOOKUP(VLOOKUP(V1878,Tbl_Effect[],3,FALSE),EffectName[],IFERROR(MATCH(UI!$B$1,EffectName[#Headers],0),2),FALSE),"")</f>
        <v/>
      </c>
      <c r="X1878" t="str">
        <f t="shared" si="184"/>
        <v/>
      </c>
      <c r="Y1878">
        <v>0</v>
      </c>
      <c r="Z1878" t="str">
        <f>IF(Y1878&lt;&gt;0,VLOOKUP(VLOOKUP(Y1878,Tbl_Effect[],3,FALSE),EffectName[],IFERROR(MATCH(UI!$B$1,EffectName[#Headers],0),2),FALSE),"")</f>
        <v/>
      </c>
      <c r="AA1878" t="str">
        <f t="shared" si="185"/>
        <v/>
      </c>
      <c r="AB1878">
        <v>0</v>
      </c>
      <c r="AC1878" t="str">
        <f>IF(AB1878&lt;&gt;0,VLOOKUP(VLOOKUP(AB1878,Tbl_Effect[],3,FALSE),EffectName[],IFERROR(MATCH(UI!$B$1,EffectName[#Headers],0),2),FALSE),"")</f>
        <v/>
      </c>
    </row>
    <row r="1879" spans="8:29" x14ac:dyDescent="0.4">
      <c r="H1879" t="str">
        <f t="shared" si="182"/>
        <v/>
      </c>
      <c r="I1879">
        <v>0</v>
      </c>
      <c r="J1879" t="str">
        <f>_xlfn.IFNA(IF(I1879&lt;&gt;0,VLOOKUP(VLOOKUP(I1879,Tbl_Equip[],2,FALSE),Tbl_Color[],IFERROR(MATCH(UI!$B$1,Tbl_Color[#Headers],0),2),FALSE),""),"Unset")</f>
        <v/>
      </c>
      <c r="K1879" t="str">
        <f>_xlfn.IFNA(IF(I1879&lt;&gt;0,VLOOKUP(I1879,ItemText[],IFERROR(MATCH(UI!$B$1,ItemText[#Headers],0),2),FALSE),""),"Unset")</f>
        <v/>
      </c>
      <c r="M1879">
        <v>0</v>
      </c>
      <c r="P1879">
        <v>0</v>
      </c>
      <c r="S1879">
        <v>0</v>
      </c>
      <c r="T1879" t="str">
        <f>IF(VALUE(S1879)=0,"",VLOOKUP(VLOOKUP(S1879,Tbl_Effect[],3,FALSE),EffectName[],IFERROR(MATCH(UI!$B$1,EffectName[#Headers],0),2),FALSE))</f>
        <v/>
      </c>
      <c r="U1879" t="str">
        <f t="shared" si="183"/>
        <v/>
      </c>
      <c r="V1879">
        <v>0</v>
      </c>
      <c r="W1879" t="str">
        <f>IF(V1879&lt;&gt;0,VLOOKUP(VLOOKUP(V1879,Tbl_Effect[],3,FALSE),EffectName[],IFERROR(MATCH(UI!$B$1,EffectName[#Headers],0),2),FALSE),"")</f>
        <v/>
      </c>
      <c r="X1879" t="str">
        <f t="shared" si="184"/>
        <v/>
      </c>
      <c r="Y1879">
        <v>0</v>
      </c>
      <c r="Z1879" t="str">
        <f>IF(Y1879&lt;&gt;0,VLOOKUP(VLOOKUP(Y1879,Tbl_Effect[],3,FALSE),EffectName[],IFERROR(MATCH(UI!$B$1,EffectName[#Headers],0),2),FALSE),"")</f>
        <v/>
      </c>
      <c r="AA1879" t="str">
        <f t="shared" si="185"/>
        <v/>
      </c>
      <c r="AB1879">
        <v>0</v>
      </c>
      <c r="AC1879" t="str">
        <f>IF(AB1879&lt;&gt;0,VLOOKUP(VLOOKUP(AB1879,Tbl_Effect[],3,FALSE),EffectName[],IFERROR(MATCH(UI!$B$1,EffectName[#Headers],0),2),FALSE),"")</f>
        <v/>
      </c>
    </row>
    <row r="1880" spans="8:29" x14ac:dyDescent="0.4">
      <c r="H1880" t="str">
        <f t="shared" si="182"/>
        <v/>
      </c>
      <c r="I1880">
        <v>0</v>
      </c>
      <c r="J1880" t="str">
        <f>_xlfn.IFNA(IF(I1880&lt;&gt;0,VLOOKUP(VLOOKUP(I1880,Tbl_Equip[],2,FALSE),Tbl_Color[],IFERROR(MATCH(UI!$B$1,Tbl_Color[#Headers],0),2),FALSE),""),"Unset")</f>
        <v/>
      </c>
      <c r="K1880" t="str">
        <f>_xlfn.IFNA(IF(I1880&lt;&gt;0,VLOOKUP(I1880,ItemText[],IFERROR(MATCH(UI!$B$1,ItemText[#Headers],0),2),FALSE),""),"Unset")</f>
        <v/>
      </c>
      <c r="M1880">
        <v>0</v>
      </c>
      <c r="P1880">
        <v>0</v>
      </c>
      <c r="S1880">
        <v>0</v>
      </c>
      <c r="T1880" t="str">
        <f>IF(VALUE(S1880)=0,"",VLOOKUP(VLOOKUP(S1880,Tbl_Effect[],3,FALSE),EffectName[],IFERROR(MATCH(UI!$B$1,EffectName[#Headers],0),2),FALSE))</f>
        <v/>
      </c>
      <c r="U1880" t="str">
        <f t="shared" si="183"/>
        <v/>
      </c>
      <c r="V1880">
        <v>0</v>
      </c>
      <c r="W1880" t="str">
        <f>IF(V1880&lt;&gt;0,VLOOKUP(VLOOKUP(V1880,Tbl_Effect[],3,FALSE),EffectName[],IFERROR(MATCH(UI!$B$1,EffectName[#Headers],0),2),FALSE),"")</f>
        <v/>
      </c>
      <c r="X1880" t="str">
        <f t="shared" si="184"/>
        <v/>
      </c>
      <c r="Y1880">
        <v>0</v>
      </c>
      <c r="Z1880" t="str">
        <f>IF(Y1880&lt;&gt;0,VLOOKUP(VLOOKUP(Y1880,Tbl_Effect[],3,FALSE),EffectName[],IFERROR(MATCH(UI!$B$1,EffectName[#Headers],0),2),FALSE),"")</f>
        <v/>
      </c>
      <c r="AA1880" t="str">
        <f t="shared" si="185"/>
        <v/>
      </c>
      <c r="AB1880">
        <v>0</v>
      </c>
      <c r="AC1880" t="str">
        <f>IF(AB1880&lt;&gt;0,VLOOKUP(VLOOKUP(AB1880,Tbl_Effect[],3,FALSE),EffectName[],IFERROR(MATCH(UI!$B$1,EffectName[#Headers],0),2),FALSE),"")</f>
        <v/>
      </c>
    </row>
    <row r="1881" spans="8:29" x14ac:dyDescent="0.4">
      <c r="H1881" t="str">
        <f t="shared" si="182"/>
        <v/>
      </c>
      <c r="I1881">
        <v>0</v>
      </c>
      <c r="J1881" t="str">
        <f>_xlfn.IFNA(IF(I1881&lt;&gt;0,VLOOKUP(VLOOKUP(I1881,Tbl_Equip[],2,FALSE),Tbl_Color[],IFERROR(MATCH(UI!$B$1,Tbl_Color[#Headers],0),2),FALSE),""),"Unset")</f>
        <v/>
      </c>
      <c r="K1881" t="str">
        <f>_xlfn.IFNA(IF(I1881&lt;&gt;0,VLOOKUP(I1881,ItemText[],IFERROR(MATCH(UI!$B$1,ItemText[#Headers],0),2),FALSE),""),"Unset")</f>
        <v/>
      </c>
      <c r="M1881">
        <v>0</v>
      </c>
      <c r="P1881">
        <v>0</v>
      </c>
      <c r="S1881">
        <v>0</v>
      </c>
      <c r="T1881" t="str">
        <f>IF(VALUE(S1881)=0,"",VLOOKUP(VLOOKUP(S1881,Tbl_Effect[],3,FALSE),EffectName[],IFERROR(MATCH(UI!$B$1,EffectName[#Headers],0),2),FALSE))</f>
        <v/>
      </c>
      <c r="U1881" t="str">
        <f t="shared" si="183"/>
        <v/>
      </c>
      <c r="V1881">
        <v>0</v>
      </c>
      <c r="W1881" t="str">
        <f>IF(V1881&lt;&gt;0,VLOOKUP(VLOOKUP(V1881,Tbl_Effect[],3,FALSE),EffectName[],IFERROR(MATCH(UI!$B$1,EffectName[#Headers],0),2),FALSE),"")</f>
        <v/>
      </c>
      <c r="X1881" t="str">
        <f t="shared" si="184"/>
        <v/>
      </c>
      <c r="Y1881">
        <v>0</v>
      </c>
      <c r="Z1881" t="str">
        <f>IF(Y1881&lt;&gt;0,VLOOKUP(VLOOKUP(Y1881,Tbl_Effect[],3,FALSE),EffectName[],IFERROR(MATCH(UI!$B$1,EffectName[#Headers],0),2),FALSE),"")</f>
        <v/>
      </c>
      <c r="AA1881" t="str">
        <f t="shared" si="185"/>
        <v/>
      </c>
      <c r="AB1881">
        <v>0</v>
      </c>
      <c r="AC1881" t="str">
        <f>IF(AB1881&lt;&gt;0,VLOOKUP(VLOOKUP(AB1881,Tbl_Effect[],3,FALSE),EffectName[],IFERROR(MATCH(UI!$B$1,EffectName[#Headers],0),2),FALSE),"")</f>
        <v/>
      </c>
    </row>
    <row r="1882" spans="8:29" x14ac:dyDescent="0.4">
      <c r="H1882" t="str">
        <f t="shared" si="182"/>
        <v/>
      </c>
      <c r="I1882">
        <v>0</v>
      </c>
      <c r="J1882" t="str">
        <f>_xlfn.IFNA(IF(I1882&lt;&gt;0,VLOOKUP(VLOOKUP(I1882,Tbl_Equip[],2,FALSE),Tbl_Color[],IFERROR(MATCH(UI!$B$1,Tbl_Color[#Headers],0),2),FALSE),""),"Unset")</f>
        <v/>
      </c>
      <c r="K1882" t="str">
        <f>_xlfn.IFNA(IF(I1882&lt;&gt;0,VLOOKUP(I1882,ItemText[],IFERROR(MATCH(UI!$B$1,ItemText[#Headers],0),2),FALSE),""),"Unset")</f>
        <v/>
      </c>
      <c r="M1882">
        <v>0</v>
      </c>
      <c r="P1882">
        <v>0</v>
      </c>
      <c r="S1882">
        <v>0</v>
      </c>
      <c r="T1882" t="str">
        <f>IF(VALUE(S1882)=0,"",VLOOKUP(VLOOKUP(S1882,Tbl_Effect[],3,FALSE),EffectName[],IFERROR(MATCH(UI!$B$1,EffectName[#Headers],0),2),FALSE))</f>
        <v/>
      </c>
      <c r="U1882" t="str">
        <f t="shared" si="183"/>
        <v/>
      </c>
      <c r="V1882">
        <v>0</v>
      </c>
      <c r="W1882" t="str">
        <f>IF(V1882&lt;&gt;0,VLOOKUP(VLOOKUP(V1882,Tbl_Effect[],3,FALSE),EffectName[],IFERROR(MATCH(UI!$B$1,EffectName[#Headers],0),2),FALSE),"")</f>
        <v/>
      </c>
      <c r="X1882" t="str">
        <f t="shared" si="184"/>
        <v/>
      </c>
      <c r="Y1882">
        <v>0</v>
      </c>
      <c r="Z1882" t="str">
        <f>IF(Y1882&lt;&gt;0,VLOOKUP(VLOOKUP(Y1882,Tbl_Effect[],3,FALSE),EffectName[],IFERROR(MATCH(UI!$B$1,EffectName[#Headers],0),2),FALSE),"")</f>
        <v/>
      </c>
      <c r="AA1882" t="str">
        <f t="shared" si="185"/>
        <v/>
      </c>
      <c r="AB1882">
        <v>0</v>
      </c>
      <c r="AC1882" t="str">
        <f>IF(AB1882&lt;&gt;0,VLOOKUP(VLOOKUP(AB1882,Tbl_Effect[],3,FALSE),EffectName[],IFERROR(MATCH(UI!$B$1,EffectName[#Headers],0),2),FALSE),"")</f>
        <v/>
      </c>
    </row>
    <row r="1883" spans="8:29" x14ac:dyDescent="0.4">
      <c r="H1883" t="str">
        <f t="shared" si="182"/>
        <v/>
      </c>
      <c r="I1883">
        <v>0</v>
      </c>
      <c r="J1883" t="str">
        <f>_xlfn.IFNA(IF(I1883&lt;&gt;0,VLOOKUP(VLOOKUP(I1883,Tbl_Equip[],2,FALSE),Tbl_Color[],IFERROR(MATCH(UI!$B$1,Tbl_Color[#Headers],0),2),FALSE),""),"Unset")</f>
        <v/>
      </c>
      <c r="K1883" t="str">
        <f>_xlfn.IFNA(IF(I1883&lt;&gt;0,VLOOKUP(I1883,ItemText[],IFERROR(MATCH(UI!$B$1,ItemText[#Headers],0),2),FALSE),""),"Unset")</f>
        <v/>
      </c>
      <c r="M1883">
        <v>0</v>
      </c>
      <c r="P1883">
        <v>0</v>
      </c>
      <c r="S1883">
        <v>0</v>
      </c>
      <c r="T1883" t="str">
        <f>IF(VALUE(S1883)=0,"",VLOOKUP(VLOOKUP(S1883,Tbl_Effect[],3,FALSE),EffectName[],IFERROR(MATCH(UI!$B$1,EffectName[#Headers],0),2),FALSE))</f>
        <v/>
      </c>
      <c r="U1883" t="str">
        <f t="shared" si="183"/>
        <v/>
      </c>
      <c r="V1883">
        <v>0</v>
      </c>
      <c r="W1883" t="str">
        <f>IF(V1883&lt;&gt;0,VLOOKUP(VLOOKUP(V1883,Tbl_Effect[],3,FALSE),EffectName[],IFERROR(MATCH(UI!$B$1,EffectName[#Headers],0),2),FALSE),"")</f>
        <v/>
      </c>
      <c r="X1883" t="str">
        <f t="shared" si="184"/>
        <v/>
      </c>
      <c r="Y1883">
        <v>0</v>
      </c>
      <c r="Z1883" t="str">
        <f>IF(Y1883&lt;&gt;0,VLOOKUP(VLOOKUP(Y1883,Tbl_Effect[],3,FALSE),EffectName[],IFERROR(MATCH(UI!$B$1,EffectName[#Headers],0),2),FALSE),"")</f>
        <v/>
      </c>
      <c r="AA1883" t="str">
        <f t="shared" si="185"/>
        <v/>
      </c>
      <c r="AB1883">
        <v>0</v>
      </c>
      <c r="AC1883" t="str">
        <f>IF(AB1883&lt;&gt;0,VLOOKUP(VLOOKUP(AB1883,Tbl_Effect[],3,FALSE),EffectName[],IFERROR(MATCH(UI!$B$1,EffectName[#Headers],0),2),FALSE),"")</f>
        <v/>
      </c>
    </row>
    <row r="1884" spans="8:29" x14ac:dyDescent="0.4">
      <c r="H1884" t="str">
        <f t="shared" si="182"/>
        <v/>
      </c>
      <c r="I1884">
        <v>0</v>
      </c>
      <c r="J1884" t="str">
        <f>_xlfn.IFNA(IF(I1884&lt;&gt;0,VLOOKUP(VLOOKUP(I1884,Tbl_Equip[],2,FALSE),Tbl_Color[],IFERROR(MATCH(UI!$B$1,Tbl_Color[#Headers],0),2),FALSE),""),"Unset")</f>
        <v/>
      </c>
      <c r="K1884" t="str">
        <f>_xlfn.IFNA(IF(I1884&lt;&gt;0,VLOOKUP(I1884,ItemText[],IFERROR(MATCH(UI!$B$1,ItemText[#Headers],0),2),FALSE),""),"Unset")</f>
        <v/>
      </c>
      <c r="M1884">
        <v>0</v>
      </c>
      <c r="P1884">
        <v>0</v>
      </c>
      <c r="S1884">
        <v>0</v>
      </c>
      <c r="T1884" t="str">
        <f>IF(VALUE(S1884)=0,"",VLOOKUP(VLOOKUP(S1884,Tbl_Effect[],3,FALSE),EffectName[],IFERROR(MATCH(UI!$B$1,EffectName[#Headers],0),2),FALSE))</f>
        <v/>
      </c>
      <c r="U1884" t="str">
        <f t="shared" si="183"/>
        <v/>
      </c>
      <c r="V1884">
        <v>0</v>
      </c>
      <c r="W1884" t="str">
        <f>IF(V1884&lt;&gt;0,VLOOKUP(VLOOKUP(V1884,Tbl_Effect[],3,FALSE),EffectName[],IFERROR(MATCH(UI!$B$1,EffectName[#Headers],0),2),FALSE),"")</f>
        <v/>
      </c>
      <c r="X1884" t="str">
        <f t="shared" si="184"/>
        <v/>
      </c>
      <c r="Y1884">
        <v>0</v>
      </c>
      <c r="Z1884" t="str">
        <f>IF(Y1884&lt;&gt;0,VLOOKUP(VLOOKUP(Y1884,Tbl_Effect[],3,FALSE),EffectName[],IFERROR(MATCH(UI!$B$1,EffectName[#Headers],0),2),FALSE),"")</f>
        <v/>
      </c>
      <c r="AA1884" t="str">
        <f t="shared" si="185"/>
        <v/>
      </c>
      <c r="AB1884">
        <v>0</v>
      </c>
      <c r="AC1884" t="str">
        <f>IF(AB1884&lt;&gt;0,VLOOKUP(VLOOKUP(AB1884,Tbl_Effect[],3,FALSE),EffectName[],IFERROR(MATCH(UI!$B$1,EffectName[#Headers],0),2),FALSE),"")</f>
        <v/>
      </c>
    </row>
    <row r="1885" spans="8:29" x14ac:dyDescent="0.4">
      <c r="H1885" t="str">
        <f t="shared" si="182"/>
        <v/>
      </c>
      <c r="I1885">
        <v>0</v>
      </c>
      <c r="J1885" t="str">
        <f>_xlfn.IFNA(IF(I1885&lt;&gt;0,VLOOKUP(VLOOKUP(I1885,Tbl_Equip[],2,FALSE),Tbl_Color[],IFERROR(MATCH(UI!$B$1,Tbl_Color[#Headers],0),2),FALSE),""),"Unset")</f>
        <v/>
      </c>
      <c r="K1885" t="str">
        <f>_xlfn.IFNA(IF(I1885&lt;&gt;0,VLOOKUP(I1885,ItemText[],IFERROR(MATCH(UI!$B$1,ItemText[#Headers],0),2),FALSE),""),"Unset")</f>
        <v/>
      </c>
      <c r="M1885">
        <v>0</v>
      </c>
      <c r="P1885">
        <v>0</v>
      </c>
      <c r="S1885">
        <v>0</v>
      </c>
      <c r="T1885" t="str">
        <f>IF(VALUE(S1885)=0,"",VLOOKUP(VLOOKUP(S1885,Tbl_Effect[],3,FALSE),EffectName[],IFERROR(MATCH(UI!$B$1,EffectName[#Headers],0),2),FALSE))</f>
        <v/>
      </c>
      <c r="U1885" t="str">
        <f t="shared" si="183"/>
        <v/>
      </c>
      <c r="V1885">
        <v>0</v>
      </c>
      <c r="W1885" t="str">
        <f>IF(V1885&lt;&gt;0,VLOOKUP(VLOOKUP(V1885,Tbl_Effect[],3,FALSE),EffectName[],IFERROR(MATCH(UI!$B$1,EffectName[#Headers],0),2),FALSE),"")</f>
        <v/>
      </c>
      <c r="X1885" t="str">
        <f t="shared" si="184"/>
        <v/>
      </c>
      <c r="Y1885">
        <v>0</v>
      </c>
      <c r="Z1885" t="str">
        <f>IF(Y1885&lt;&gt;0,VLOOKUP(VLOOKUP(Y1885,Tbl_Effect[],3,FALSE),EffectName[],IFERROR(MATCH(UI!$B$1,EffectName[#Headers],0),2),FALSE),"")</f>
        <v/>
      </c>
      <c r="AA1885" t="str">
        <f t="shared" si="185"/>
        <v/>
      </c>
      <c r="AB1885">
        <v>0</v>
      </c>
      <c r="AC1885" t="str">
        <f>IF(AB1885&lt;&gt;0,VLOOKUP(VLOOKUP(AB1885,Tbl_Effect[],3,FALSE),EffectName[],IFERROR(MATCH(UI!$B$1,EffectName[#Headers],0),2),FALSE),"")</f>
        <v/>
      </c>
    </row>
    <row r="1886" spans="8:29" x14ac:dyDescent="0.4">
      <c r="H1886" t="str">
        <f t="shared" si="182"/>
        <v/>
      </c>
      <c r="I1886">
        <v>0</v>
      </c>
      <c r="J1886" t="str">
        <f>_xlfn.IFNA(IF(I1886&lt;&gt;0,VLOOKUP(VLOOKUP(I1886,Tbl_Equip[],2,FALSE),Tbl_Color[],IFERROR(MATCH(UI!$B$1,Tbl_Color[#Headers],0),2),FALSE),""),"Unset")</f>
        <v/>
      </c>
      <c r="K1886" t="str">
        <f>_xlfn.IFNA(IF(I1886&lt;&gt;0,VLOOKUP(I1886,ItemText[],IFERROR(MATCH(UI!$B$1,ItemText[#Headers],0),2),FALSE),""),"Unset")</f>
        <v/>
      </c>
      <c r="M1886">
        <v>0</v>
      </c>
      <c r="P1886">
        <v>0</v>
      </c>
      <c r="S1886">
        <v>0</v>
      </c>
      <c r="T1886" t="str">
        <f>IF(VALUE(S1886)=0,"",VLOOKUP(VLOOKUP(S1886,Tbl_Effect[],3,FALSE),EffectName[],IFERROR(MATCH(UI!$B$1,EffectName[#Headers],0),2),FALSE))</f>
        <v/>
      </c>
      <c r="U1886" t="str">
        <f t="shared" si="183"/>
        <v/>
      </c>
      <c r="V1886">
        <v>0</v>
      </c>
      <c r="W1886" t="str">
        <f>IF(V1886&lt;&gt;0,VLOOKUP(VLOOKUP(V1886,Tbl_Effect[],3,FALSE),EffectName[],IFERROR(MATCH(UI!$B$1,EffectName[#Headers],0),2),FALSE),"")</f>
        <v/>
      </c>
      <c r="X1886" t="str">
        <f t="shared" si="184"/>
        <v/>
      </c>
      <c r="Y1886">
        <v>0</v>
      </c>
      <c r="Z1886" t="str">
        <f>IF(Y1886&lt;&gt;0,VLOOKUP(VLOOKUP(Y1886,Tbl_Effect[],3,FALSE),EffectName[],IFERROR(MATCH(UI!$B$1,EffectName[#Headers],0),2),FALSE),"")</f>
        <v/>
      </c>
      <c r="AA1886" t="str">
        <f t="shared" si="185"/>
        <v/>
      </c>
      <c r="AB1886">
        <v>0</v>
      </c>
      <c r="AC1886" t="str">
        <f>IF(AB1886&lt;&gt;0,VLOOKUP(VLOOKUP(AB1886,Tbl_Effect[],3,FALSE),EffectName[],IFERROR(MATCH(UI!$B$1,EffectName[#Headers],0),2),FALSE),"")</f>
        <v/>
      </c>
    </row>
    <row r="1887" spans="8:29" x14ac:dyDescent="0.4">
      <c r="H1887" t="str">
        <f t="shared" si="182"/>
        <v/>
      </c>
      <c r="I1887">
        <v>0</v>
      </c>
      <c r="J1887" t="str">
        <f>_xlfn.IFNA(IF(I1887&lt;&gt;0,VLOOKUP(VLOOKUP(I1887,Tbl_Equip[],2,FALSE),Tbl_Color[],IFERROR(MATCH(UI!$B$1,Tbl_Color[#Headers],0),2),FALSE),""),"Unset")</f>
        <v/>
      </c>
      <c r="K1887" t="str">
        <f>_xlfn.IFNA(IF(I1887&lt;&gt;0,VLOOKUP(I1887,ItemText[],IFERROR(MATCH(UI!$B$1,ItemText[#Headers],0),2),FALSE),""),"Unset")</f>
        <v/>
      </c>
      <c r="M1887">
        <v>0</v>
      </c>
      <c r="P1887">
        <v>0</v>
      </c>
      <c r="S1887">
        <v>0</v>
      </c>
      <c r="T1887" t="str">
        <f>IF(VALUE(S1887)=0,"",VLOOKUP(VLOOKUP(S1887,Tbl_Effect[],3,FALSE),EffectName[],IFERROR(MATCH(UI!$B$1,EffectName[#Headers],0),2),FALSE))</f>
        <v/>
      </c>
      <c r="U1887" t="str">
        <f t="shared" si="183"/>
        <v/>
      </c>
      <c r="V1887">
        <v>0</v>
      </c>
      <c r="W1887" t="str">
        <f>IF(V1887&lt;&gt;0,VLOOKUP(VLOOKUP(V1887,Tbl_Effect[],3,FALSE),EffectName[],IFERROR(MATCH(UI!$B$1,EffectName[#Headers],0),2),FALSE),"")</f>
        <v/>
      </c>
      <c r="X1887" t="str">
        <f t="shared" si="184"/>
        <v/>
      </c>
      <c r="Y1887">
        <v>0</v>
      </c>
      <c r="Z1887" t="str">
        <f>IF(Y1887&lt;&gt;0,VLOOKUP(VLOOKUP(Y1887,Tbl_Effect[],3,FALSE),EffectName[],IFERROR(MATCH(UI!$B$1,EffectName[#Headers],0),2),FALSE),"")</f>
        <v/>
      </c>
      <c r="AA1887" t="str">
        <f t="shared" si="185"/>
        <v/>
      </c>
      <c r="AB1887">
        <v>0</v>
      </c>
      <c r="AC1887" t="str">
        <f>IF(AB1887&lt;&gt;0,VLOOKUP(VLOOKUP(AB1887,Tbl_Effect[],3,FALSE),EffectName[],IFERROR(MATCH(UI!$B$1,EffectName[#Headers],0),2),FALSE),"")</f>
        <v/>
      </c>
    </row>
    <row r="1888" spans="8:29" x14ac:dyDescent="0.4">
      <c r="H1888" t="str">
        <f t="shared" si="182"/>
        <v/>
      </c>
      <c r="I1888">
        <v>0</v>
      </c>
      <c r="J1888" t="str">
        <f>_xlfn.IFNA(IF(I1888&lt;&gt;0,VLOOKUP(VLOOKUP(I1888,Tbl_Equip[],2,FALSE),Tbl_Color[],IFERROR(MATCH(UI!$B$1,Tbl_Color[#Headers],0),2),FALSE),""),"Unset")</f>
        <v/>
      </c>
      <c r="K1888" t="str">
        <f>_xlfn.IFNA(IF(I1888&lt;&gt;0,VLOOKUP(I1888,ItemText[],IFERROR(MATCH(UI!$B$1,ItemText[#Headers],0),2),FALSE),""),"Unset")</f>
        <v/>
      </c>
      <c r="M1888">
        <v>0</v>
      </c>
      <c r="P1888">
        <v>0</v>
      </c>
      <c r="S1888">
        <v>0</v>
      </c>
      <c r="T1888" t="str">
        <f>IF(VALUE(S1888)=0,"",VLOOKUP(VLOOKUP(S1888,Tbl_Effect[],3,FALSE),EffectName[],IFERROR(MATCH(UI!$B$1,EffectName[#Headers],0),2),FALSE))</f>
        <v/>
      </c>
      <c r="U1888" t="str">
        <f t="shared" si="183"/>
        <v/>
      </c>
      <c r="V1888">
        <v>0</v>
      </c>
      <c r="W1888" t="str">
        <f>IF(V1888&lt;&gt;0,VLOOKUP(VLOOKUP(V1888,Tbl_Effect[],3,FALSE),EffectName[],IFERROR(MATCH(UI!$B$1,EffectName[#Headers],0),2),FALSE),"")</f>
        <v/>
      </c>
      <c r="X1888" t="str">
        <f t="shared" si="184"/>
        <v/>
      </c>
      <c r="Y1888">
        <v>0</v>
      </c>
      <c r="Z1888" t="str">
        <f>IF(Y1888&lt;&gt;0,VLOOKUP(VLOOKUP(Y1888,Tbl_Effect[],3,FALSE),EffectName[],IFERROR(MATCH(UI!$B$1,EffectName[#Headers],0),2),FALSE),"")</f>
        <v/>
      </c>
      <c r="AA1888" t="str">
        <f t="shared" si="185"/>
        <v/>
      </c>
      <c r="AB1888">
        <v>0</v>
      </c>
      <c r="AC1888" t="str">
        <f>IF(AB1888&lt;&gt;0,VLOOKUP(VLOOKUP(AB1888,Tbl_Effect[],3,FALSE),EffectName[],IFERROR(MATCH(UI!$B$1,EffectName[#Headers],0),2),FALSE),"")</f>
        <v/>
      </c>
    </row>
    <row r="1889" spans="8:29" x14ac:dyDescent="0.4">
      <c r="H1889" t="str">
        <f t="shared" si="182"/>
        <v/>
      </c>
      <c r="I1889">
        <v>0</v>
      </c>
      <c r="J1889" t="str">
        <f>_xlfn.IFNA(IF(I1889&lt;&gt;0,VLOOKUP(VLOOKUP(I1889,Tbl_Equip[],2,FALSE),Tbl_Color[],IFERROR(MATCH(UI!$B$1,Tbl_Color[#Headers],0),2),FALSE),""),"Unset")</f>
        <v/>
      </c>
      <c r="K1889" t="str">
        <f>_xlfn.IFNA(IF(I1889&lt;&gt;0,VLOOKUP(I1889,ItemText[],IFERROR(MATCH(UI!$B$1,ItemText[#Headers],0),2),FALSE),""),"Unset")</f>
        <v/>
      </c>
      <c r="M1889">
        <v>0</v>
      </c>
      <c r="P1889">
        <v>0</v>
      </c>
      <c r="S1889">
        <v>0</v>
      </c>
      <c r="T1889" t="str">
        <f>IF(VALUE(S1889)=0,"",VLOOKUP(VLOOKUP(S1889,Tbl_Effect[],3,FALSE),EffectName[],IFERROR(MATCH(UI!$B$1,EffectName[#Headers],0),2),FALSE))</f>
        <v/>
      </c>
      <c r="U1889" t="str">
        <f t="shared" si="183"/>
        <v/>
      </c>
      <c r="V1889">
        <v>0</v>
      </c>
      <c r="W1889" t="str">
        <f>IF(V1889&lt;&gt;0,VLOOKUP(VLOOKUP(V1889,Tbl_Effect[],3,FALSE),EffectName[],IFERROR(MATCH(UI!$B$1,EffectName[#Headers],0),2),FALSE),"")</f>
        <v/>
      </c>
      <c r="X1889" t="str">
        <f t="shared" si="184"/>
        <v/>
      </c>
      <c r="Y1889">
        <v>0</v>
      </c>
      <c r="Z1889" t="str">
        <f>IF(Y1889&lt;&gt;0,VLOOKUP(VLOOKUP(Y1889,Tbl_Effect[],3,FALSE),EffectName[],IFERROR(MATCH(UI!$B$1,EffectName[#Headers],0),2),FALSE),"")</f>
        <v/>
      </c>
      <c r="AA1889" t="str">
        <f t="shared" si="185"/>
        <v/>
      </c>
      <c r="AB1889">
        <v>0</v>
      </c>
      <c r="AC1889" t="str">
        <f>IF(AB1889&lt;&gt;0,VLOOKUP(VLOOKUP(AB1889,Tbl_Effect[],3,FALSE),EffectName[],IFERROR(MATCH(UI!$B$1,EffectName[#Headers],0),2),FALSE),"")</f>
        <v/>
      </c>
    </row>
    <row r="1890" spans="8:29" x14ac:dyDescent="0.4">
      <c r="H1890" t="str">
        <f t="shared" si="182"/>
        <v/>
      </c>
      <c r="I1890">
        <v>0</v>
      </c>
      <c r="J1890" t="str">
        <f>_xlfn.IFNA(IF(I1890&lt;&gt;0,VLOOKUP(VLOOKUP(I1890,Tbl_Equip[],2,FALSE),Tbl_Color[],IFERROR(MATCH(UI!$B$1,Tbl_Color[#Headers],0),2),FALSE),""),"Unset")</f>
        <v/>
      </c>
      <c r="K1890" t="str">
        <f>_xlfn.IFNA(IF(I1890&lt;&gt;0,VLOOKUP(I1890,ItemText[],IFERROR(MATCH(UI!$B$1,ItemText[#Headers],0),2),FALSE),""),"Unset")</f>
        <v/>
      </c>
      <c r="M1890">
        <v>0</v>
      </c>
      <c r="P1890">
        <v>0</v>
      </c>
      <c r="S1890">
        <v>0</v>
      </c>
      <c r="T1890" t="str">
        <f>IF(VALUE(S1890)=0,"",VLOOKUP(VLOOKUP(S1890,Tbl_Effect[],3,FALSE),EffectName[],IFERROR(MATCH(UI!$B$1,EffectName[#Headers],0),2),FALSE))</f>
        <v/>
      </c>
      <c r="U1890" t="str">
        <f t="shared" si="183"/>
        <v/>
      </c>
      <c r="V1890">
        <v>0</v>
      </c>
      <c r="W1890" t="str">
        <f>IF(V1890&lt;&gt;0,VLOOKUP(VLOOKUP(V1890,Tbl_Effect[],3,FALSE),EffectName[],IFERROR(MATCH(UI!$B$1,EffectName[#Headers],0),2),FALSE),"")</f>
        <v/>
      </c>
      <c r="X1890" t="str">
        <f t="shared" si="184"/>
        <v/>
      </c>
      <c r="Y1890">
        <v>0</v>
      </c>
      <c r="Z1890" t="str">
        <f>IF(Y1890&lt;&gt;0,VLOOKUP(VLOOKUP(Y1890,Tbl_Effect[],3,FALSE),EffectName[],IFERROR(MATCH(UI!$B$1,EffectName[#Headers],0),2),FALSE),"")</f>
        <v/>
      </c>
      <c r="AA1890" t="str">
        <f t="shared" si="185"/>
        <v/>
      </c>
      <c r="AB1890">
        <v>0</v>
      </c>
      <c r="AC1890" t="str">
        <f>IF(AB1890&lt;&gt;0,VLOOKUP(VLOOKUP(AB1890,Tbl_Effect[],3,FALSE),EffectName[],IFERROR(MATCH(UI!$B$1,EffectName[#Headers],0),2),FALSE),"")</f>
        <v/>
      </c>
    </row>
    <row r="1891" spans="8:29" x14ac:dyDescent="0.4">
      <c r="H1891" t="str">
        <f t="shared" si="182"/>
        <v/>
      </c>
      <c r="I1891">
        <v>0</v>
      </c>
      <c r="J1891" t="str">
        <f>_xlfn.IFNA(IF(I1891&lt;&gt;0,VLOOKUP(VLOOKUP(I1891,Tbl_Equip[],2,FALSE),Tbl_Color[],IFERROR(MATCH(UI!$B$1,Tbl_Color[#Headers],0),2),FALSE),""),"Unset")</f>
        <v/>
      </c>
      <c r="K1891" t="str">
        <f>_xlfn.IFNA(IF(I1891&lt;&gt;0,VLOOKUP(I1891,ItemText[],IFERROR(MATCH(UI!$B$1,ItemText[#Headers],0),2),FALSE),""),"Unset")</f>
        <v/>
      </c>
      <c r="M1891">
        <v>0</v>
      </c>
      <c r="P1891">
        <v>0</v>
      </c>
      <c r="S1891">
        <v>0</v>
      </c>
      <c r="T1891" t="str">
        <f>IF(VALUE(S1891)=0,"",VLOOKUP(VLOOKUP(S1891,Tbl_Effect[],3,FALSE),EffectName[],IFERROR(MATCH(UI!$B$1,EffectName[#Headers],0),2),FALSE))</f>
        <v/>
      </c>
      <c r="U1891" t="str">
        <f t="shared" si="183"/>
        <v/>
      </c>
      <c r="V1891">
        <v>0</v>
      </c>
      <c r="W1891" t="str">
        <f>IF(V1891&lt;&gt;0,VLOOKUP(VLOOKUP(V1891,Tbl_Effect[],3,FALSE),EffectName[],IFERROR(MATCH(UI!$B$1,EffectName[#Headers],0),2),FALSE),"")</f>
        <v/>
      </c>
      <c r="X1891" t="str">
        <f t="shared" si="184"/>
        <v/>
      </c>
      <c r="Y1891">
        <v>0</v>
      </c>
      <c r="Z1891" t="str">
        <f>IF(Y1891&lt;&gt;0,VLOOKUP(VLOOKUP(Y1891,Tbl_Effect[],3,FALSE),EffectName[],IFERROR(MATCH(UI!$B$1,EffectName[#Headers],0),2),FALSE),"")</f>
        <v/>
      </c>
      <c r="AA1891" t="str">
        <f t="shared" si="185"/>
        <v/>
      </c>
      <c r="AB1891">
        <v>0</v>
      </c>
      <c r="AC1891" t="str">
        <f>IF(AB1891&lt;&gt;0,VLOOKUP(VLOOKUP(AB1891,Tbl_Effect[],3,FALSE),EffectName[],IFERROR(MATCH(UI!$B$1,EffectName[#Headers],0),2),FALSE),"")</f>
        <v/>
      </c>
    </row>
    <row r="1892" spans="8:29" x14ac:dyDescent="0.4">
      <c r="H1892" t="str">
        <f t="shared" si="182"/>
        <v/>
      </c>
      <c r="I1892">
        <v>0</v>
      </c>
      <c r="J1892" t="str">
        <f>_xlfn.IFNA(IF(I1892&lt;&gt;0,VLOOKUP(VLOOKUP(I1892,Tbl_Equip[],2,FALSE),Tbl_Color[],IFERROR(MATCH(UI!$B$1,Tbl_Color[#Headers],0),2),FALSE),""),"Unset")</f>
        <v/>
      </c>
      <c r="K1892" t="str">
        <f>_xlfn.IFNA(IF(I1892&lt;&gt;0,VLOOKUP(I1892,ItemText[],IFERROR(MATCH(UI!$B$1,ItemText[#Headers],0),2),FALSE),""),"Unset")</f>
        <v/>
      </c>
      <c r="M1892">
        <v>0</v>
      </c>
      <c r="P1892">
        <v>0</v>
      </c>
      <c r="S1892">
        <v>0</v>
      </c>
      <c r="T1892" t="str">
        <f>IF(VALUE(S1892)=0,"",VLOOKUP(VLOOKUP(S1892,Tbl_Effect[],3,FALSE),EffectName[],IFERROR(MATCH(UI!$B$1,EffectName[#Headers],0),2),FALSE))</f>
        <v/>
      </c>
      <c r="U1892" t="str">
        <f t="shared" si="183"/>
        <v/>
      </c>
      <c r="V1892">
        <v>0</v>
      </c>
      <c r="W1892" t="str">
        <f>IF(V1892&lt;&gt;0,VLOOKUP(VLOOKUP(V1892,Tbl_Effect[],3,FALSE),EffectName[],IFERROR(MATCH(UI!$B$1,EffectName[#Headers],0),2),FALSE),"")</f>
        <v/>
      </c>
      <c r="X1892" t="str">
        <f t="shared" si="184"/>
        <v/>
      </c>
      <c r="Y1892">
        <v>0</v>
      </c>
      <c r="Z1892" t="str">
        <f>IF(Y1892&lt;&gt;0,VLOOKUP(VLOOKUP(Y1892,Tbl_Effect[],3,FALSE),EffectName[],IFERROR(MATCH(UI!$B$1,EffectName[#Headers],0),2),FALSE),"")</f>
        <v/>
      </c>
      <c r="AA1892" t="str">
        <f t="shared" si="185"/>
        <v/>
      </c>
      <c r="AB1892">
        <v>0</v>
      </c>
      <c r="AC1892" t="str">
        <f>IF(AB1892&lt;&gt;0,VLOOKUP(VLOOKUP(AB1892,Tbl_Effect[],3,FALSE),EffectName[],IFERROR(MATCH(UI!$B$1,EffectName[#Headers],0),2),FALSE),"")</f>
        <v/>
      </c>
    </row>
    <row r="1893" spans="8:29" x14ac:dyDescent="0.4">
      <c r="H1893" t="str">
        <f t="shared" si="182"/>
        <v/>
      </c>
      <c r="I1893">
        <v>0</v>
      </c>
      <c r="J1893" t="str">
        <f>_xlfn.IFNA(IF(I1893&lt;&gt;0,VLOOKUP(VLOOKUP(I1893,Tbl_Equip[],2,FALSE),Tbl_Color[],IFERROR(MATCH(UI!$B$1,Tbl_Color[#Headers],0),2),FALSE),""),"Unset")</f>
        <v/>
      </c>
      <c r="K1893" t="str">
        <f>_xlfn.IFNA(IF(I1893&lt;&gt;0,VLOOKUP(I1893,ItemText[],IFERROR(MATCH(UI!$B$1,ItemText[#Headers],0),2),FALSE),""),"Unset")</f>
        <v/>
      </c>
      <c r="M1893">
        <v>0</v>
      </c>
      <c r="P1893">
        <v>0</v>
      </c>
      <c r="S1893">
        <v>0</v>
      </c>
      <c r="T1893" t="str">
        <f>IF(VALUE(S1893)=0,"",VLOOKUP(VLOOKUP(S1893,Tbl_Effect[],3,FALSE),EffectName[],IFERROR(MATCH(UI!$B$1,EffectName[#Headers],0),2),FALSE))</f>
        <v/>
      </c>
      <c r="U1893" t="str">
        <f t="shared" si="183"/>
        <v/>
      </c>
      <c r="V1893">
        <v>0</v>
      </c>
      <c r="W1893" t="str">
        <f>IF(V1893&lt;&gt;0,VLOOKUP(VLOOKUP(V1893,Tbl_Effect[],3,FALSE),EffectName[],IFERROR(MATCH(UI!$B$1,EffectName[#Headers],0),2),FALSE),"")</f>
        <v/>
      </c>
      <c r="X1893" t="str">
        <f t="shared" si="184"/>
        <v/>
      </c>
      <c r="Y1893">
        <v>0</v>
      </c>
      <c r="Z1893" t="str">
        <f>IF(Y1893&lt;&gt;0,VLOOKUP(VLOOKUP(Y1893,Tbl_Effect[],3,FALSE),EffectName[],IFERROR(MATCH(UI!$B$1,EffectName[#Headers],0),2),FALSE),"")</f>
        <v/>
      </c>
      <c r="AA1893" t="str">
        <f t="shared" si="185"/>
        <v/>
      </c>
      <c r="AB1893">
        <v>0</v>
      </c>
      <c r="AC1893" t="str">
        <f>IF(AB1893&lt;&gt;0,VLOOKUP(VLOOKUP(AB1893,Tbl_Effect[],3,FALSE),EffectName[],IFERROR(MATCH(UI!$B$1,EffectName[#Headers],0),2),FALSE),"")</f>
        <v/>
      </c>
    </row>
    <row r="1894" spans="8:29" x14ac:dyDescent="0.4">
      <c r="H1894" t="str">
        <f t="shared" si="182"/>
        <v/>
      </c>
      <c r="I1894">
        <v>0</v>
      </c>
      <c r="J1894" t="str">
        <f>_xlfn.IFNA(IF(I1894&lt;&gt;0,VLOOKUP(VLOOKUP(I1894,Tbl_Equip[],2,FALSE),Tbl_Color[],IFERROR(MATCH(UI!$B$1,Tbl_Color[#Headers],0),2),FALSE),""),"Unset")</f>
        <v/>
      </c>
      <c r="K1894" t="str">
        <f>_xlfn.IFNA(IF(I1894&lt;&gt;0,VLOOKUP(I1894,ItemText[],IFERROR(MATCH(UI!$B$1,ItemText[#Headers],0),2),FALSE),""),"Unset")</f>
        <v/>
      </c>
      <c r="M1894">
        <v>0</v>
      </c>
      <c r="P1894">
        <v>0</v>
      </c>
      <c r="S1894">
        <v>0</v>
      </c>
      <c r="T1894" t="str">
        <f>IF(VALUE(S1894)=0,"",VLOOKUP(VLOOKUP(S1894,Tbl_Effect[],3,FALSE),EffectName[],IFERROR(MATCH(UI!$B$1,EffectName[#Headers],0),2),FALSE))</f>
        <v/>
      </c>
      <c r="U1894" t="str">
        <f t="shared" si="183"/>
        <v/>
      </c>
      <c r="V1894">
        <v>0</v>
      </c>
      <c r="W1894" t="str">
        <f>IF(V1894&lt;&gt;0,VLOOKUP(VLOOKUP(V1894,Tbl_Effect[],3,FALSE),EffectName[],IFERROR(MATCH(UI!$B$1,EffectName[#Headers],0),2),FALSE),"")</f>
        <v/>
      </c>
      <c r="X1894" t="str">
        <f t="shared" si="184"/>
        <v/>
      </c>
      <c r="Y1894">
        <v>0</v>
      </c>
      <c r="Z1894" t="str">
        <f>IF(Y1894&lt;&gt;0,VLOOKUP(VLOOKUP(Y1894,Tbl_Effect[],3,FALSE),EffectName[],IFERROR(MATCH(UI!$B$1,EffectName[#Headers],0),2),FALSE),"")</f>
        <v/>
      </c>
      <c r="AA1894" t="str">
        <f t="shared" si="185"/>
        <v/>
      </c>
      <c r="AB1894">
        <v>0</v>
      </c>
      <c r="AC1894" t="str">
        <f>IF(AB1894&lt;&gt;0,VLOOKUP(VLOOKUP(AB1894,Tbl_Effect[],3,FALSE),EffectName[],IFERROR(MATCH(UI!$B$1,EffectName[#Headers],0),2),FALSE),"")</f>
        <v/>
      </c>
    </row>
    <row r="1895" spans="8:29" x14ac:dyDescent="0.4">
      <c r="H1895" t="str">
        <f t="shared" si="182"/>
        <v/>
      </c>
      <c r="I1895">
        <v>0</v>
      </c>
      <c r="J1895" t="str">
        <f>_xlfn.IFNA(IF(I1895&lt;&gt;0,VLOOKUP(VLOOKUP(I1895,Tbl_Equip[],2,FALSE),Tbl_Color[],IFERROR(MATCH(UI!$B$1,Tbl_Color[#Headers],0),2),FALSE),""),"Unset")</f>
        <v/>
      </c>
      <c r="K1895" t="str">
        <f>_xlfn.IFNA(IF(I1895&lt;&gt;0,VLOOKUP(I1895,ItemText[],IFERROR(MATCH(UI!$B$1,ItemText[#Headers],0),2),FALSE),""),"Unset")</f>
        <v/>
      </c>
      <c r="M1895">
        <v>0</v>
      </c>
      <c r="P1895">
        <v>0</v>
      </c>
      <c r="S1895">
        <v>0</v>
      </c>
      <c r="T1895" t="str">
        <f>IF(VALUE(S1895)=0,"",VLOOKUP(VLOOKUP(S1895,Tbl_Effect[],3,FALSE),EffectName[],IFERROR(MATCH(UI!$B$1,EffectName[#Headers],0),2),FALSE))</f>
        <v/>
      </c>
      <c r="U1895" t="str">
        <f t="shared" si="183"/>
        <v/>
      </c>
      <c r="V1895">
        <v>0</v>
      </c>
      <c r="W1895" t="str">
        <f>IF(V1895&lt;&gt;0,VLOOKUP(VLOOKUP(V1895,Tbl_Effect[],3,FALSE),EffectName[],IFERROR(MATCH(UI!$B$1,EffectName[#Headers],0),2),FALSE),"")</f>
        <v/>
      </c>
      <c r="X1895" t="str">
        <f t="shared" si="184"/>
        <v/>
      </c>
      <c r="Y1895">
        <v>0</v>
      </c>
      <c r="Z1895" t="str">
        <f>IF(Y1895&lt;&gt;0,VLOOKUP(VLOOKUP(Y1895,Tbl_Effect[],3,FALSE),EffectName[],IFERROR(MATCH(UI!$B$1,EffectName[#Headers],0),2),FALSE),"")</f>
        <v/>
      </c>
      <c r="AA1895" t="str">
        <f t="shared" si="185"/>
        <v/>
      </c>
      <c r="AB1895">
        <v>0</v>
      </c>
      <c r="AC1895" t="str">
        <f>IF(AB1895&lt;&gt;0,VLOOKUP(VLOOKUP(AB1895,Tbl_Effect[],3,FALSE),EffectName[],IFERROR(MATCH(UI!$B$1,EffectName[#Headers],0),2),FALSE),"")</f>
        <v/>
      </c>
    </row>
    <row r="1896" spans="8:29" x14ac:dyDescent="0.4">
      <c r="H1896" t="str">
        <f t="shared" si="182"/>
        <v/>
      </c>
      <c r="I1896">
        <v>0</v>
      </c>
      <c r="J1896" t="str">
        <f>_xlfn.IFNA(IF(I1896&lt;&gt;0,VLOOKUP(VLOOKUP(I1896,Tbl_Equip[],2,FALSE),Tbl_Color[],IFERROR(MATCH(UI!$B$1,Tbl_Color[#Headers],0),2),FALSE),""),"Unset")</f>
        <v/>
      </c>
      <c r="K1896" t="str">
        <f>_xlfn.IFNA(IF(I1896&lt;&gt;0,VLOOKUP(I1896,ItemText[],IFERROR(MATCH(UI!$B$1,ItemText[#Headers],0),2),FALSE),""),"Unset")</f>
        <v/>
      </c>
      <c r="M1896">
        <v>0</v>
      </c>
      <c r="P1896">
        <v>0</v>
      </c>
      <c r="S1896">
        <v>0</v>
      </c>
      <c r="T1896" t="str">
        <f>IF(VALUE(S1896)=0,"",VLOOKUP(VLOOKUP(S1896,Tbl_Effect[],3,FALSE),EffectName[],IFERROR(MATCH(UI!$B$1,EffectName[#Headers],0),2),FALSE))</f>
        <v/>
      </c>
      <c r="U1896" t="str">
        <f t="shared" si="183"/>
        <v/>
      </c>
      <c r="V1896">
        <v>0</v>
      </c>
      <c r="W1896" t="str">
        <f>IF(V1896&lt;&gt;0,VLOOKUP(VLOOKUP(V1896,Tbl_Effect[],3,FALSE),EffectName[],IFERROR(MATCH(UI!$B$1,EffectName[#Headers],0),2),FALSE),"")</f>
        <v/>
      </c>
      <c r="X1896" t="str">
        <f t="shared" si="184"/>
        <v/>
      </c>
      <c r="Y1896">
        <v>0</v>
      </c>
      <c r="Z1896" t="str">
        <f>IF(Y1896&lt;&gt;0,VLOOKUP(VLOOKUP(Y1896,Tbl_Effect[],3,FALSE),EffectName[],IFERROR(MATCH(UI!$B$1,EffectName[#Headers],0),2),FALSE),"")</f>
        <v/>
      </c>
      <c r="AA1896" t="str">
        <f t="shared" si="185"/>
        <v/>
      </c>
      <c r="AB1896">
        <v>0</v>
      </c>
      <c r="AC1896" t="str">
        <f>IF(AB1896&lt;&gt;0,VLOOKUP(VLOOKUP(AB1896,Tbl_Effect[],3,FALSE),EffectName[],IFERROR(MATCH(UI!$B$1,EffectName[#Headers],0),2),FALSE),"")</f>
        <v/>
      </c>
    </row>
    <row r="1897" spans="8:29" x14ac:dyDescent="0.4">
      <c r="H1897" t="str">
        <f t="shared" si="182"/>
        <v/>
      </c>
      <c r="I1897">
        <v>0</v>
      </c>
      <c r="J1897" t="str">
        <f>_xlfn.IFNA(IF(I1897&lt;&gt;0,VLOOKUP(VLOOKUP(I1897,Tbl_Equip[],2,FALSE),Tbl_Color[],IFERROR(MATCH(UI!$B$1,Tbl_Color[#Headers],0),2),FALSE),""),"Unset")</f>
        <v/>
      </c>
      <c r="K1897" t="str">
        <f>_xlfn.IFNA(IF(I1897&lt;&gt;0,VLOOKUP(I1897,ItemText[],IFERROR(MATCH(UI!$B$1,ItemText[#Headers],0),2),FALSE),""),"Unset")</f>
        <v/>
      </c>
      <c r="M1897">
        <v>0</v>
      </c>
      <c r="P1897">
        <v>0</v>
      </c>
      <c r="S1897">
        <v>0</v>
      </c>
      <c r="T1897" t="str">
        <f>IF(VALUE(S1897)=0,"",VLOOKUP(VLOOKUP(S1897,Tbl_Effect[],3,FALSE),EffectName[],IFERROR(MATCH(UI!$B$1,EffectName[#Headers],0),2),FALSE))</f>
        <v/>
      </c>
      <c r="U1897" t="str">
        <f t="shared" si="183"/>
        <v/>
      </c>
      <c r="V1897">
        <v>0</v>
      </c>
      <c r="W1897" t="str">
        <f>IF(V1897&lt;&gt;0,VLOOKUP(VLOOKUP(V1897,Tbl_Effect[],3,FALSE),EffectName[],IFERROR(MATCH(UI!$B$1,EffectName[#Headers],0),2),FALSE),"")</f>
        <v/>
      </c>
      <c r="X1897" t="str">
        <f t="shared" si="184"/>
        <v/>
      </c>
      <c r="Y1897">
        <v>0</v>
      </c>
      <c r="Z1897" t="str">
        <f>IF(Y1897&lt;&gt;0,VLOOKUP(VLOOKUP(Y1897,Tbl_Effect[],3,FALSE),EffectName[],IFERROR(MATCH(UI!$B$1,EffectName[#Headers],0),2),FALSE),"")</f>
        <v/>
      </c>
      <c r="AA1897" t="str">
        <f t="shared" si="185"/>
        <v/>
      </c>
      <c r="AB1897">
        <v>0</v>
      </c>
      <c r="AC1897" t="str">
        <f>IF(AB1897&lt;&gt;0,VLOOKUP(VLOOKUP(AB1897,Tbl_Effect[],3,FALSE),EffectName[],IFERROR(MATCH(UI!$B$1,EffectName[#Headers],0),2),FALSE),"")</f>
        <v/>
      </c>
    </row>
    <row r="1898" spans="8:29" x14ac:dyDescent="0.4">
      <c r="H1898" t="str">
        <f t="shared" si="182"/>
        <v/>
      </c>
      <c r="I1898">
        <v>0</v>
      </c>
      <c r="J1898" t="str">
        <f>_xlfn.IFNA(IF(I1898&lt;&gt;0,VLOOKUP(VLOOKUP(I1898,Tbl_Equip[],2,FALSE),Tbl_Color[],IFERROR(MATCH(UI!$B$1,Tbl_Color[#Headers],0),2),FALSE),""),"Unset")</f>
        <v/>
      </c>
      <c r="K1898" t="str">
        <f>_xlfn.IFNA(IF(I1898&lt;&gt;0,VLOOKUP(I1898,ItemText[],IFERROR(MATCH(UI!$B$1,ItemText[#Headers],0),2),FALSE),""),"Unset")</f>
        <v/>
      </c>
      <c r="M1898">
        <v>0</v>
      </c>
      <c r="P1898">
        <v>0</v>
      </c>
      <c r="S1898">
        <v>0</v>
      </c>
      <c r="T1898" t="str">
        <f>IF(VALUE(S1898)=0,"",VLOOKUP(VLOOKUP(S1898,Tbl_Effect[],3,FALSE),EffectName[],IFERROR(MATCH(UI!$B$1,EffectName[#Headers],0),2),FALSE))</f>
        <v/>
      </c>
      <c r="U1898" t="str">
        <f t="shared" si="183"/>
        <v/>
      </c>
      <c r="V1898">
        <v>0</v>
      </c>
      <c r="W1898" t="str">
        <f>IF(V1898&lt;&gt;0,VLOOKUP(VLOOKUP(V1898,Tbl_Effect[],3,FALSE),EffectName[],IFERROR(MATCH(UI!$B$1,EffectName[#Headers],0),2),FALSE),"")</f>
        <v/>
      </c>
      <c r="X1898" t="str">
        <f t="shared" si="184"/>
        <v/>
      </c>
      <c r="Y1898">
        <v>0</v>
      </c>
      <c r="Z1898" t="str">
        <f>IF(Y1898&lt;&gt;0,VLOOKUP(VLOOKUP(Y1898,Tbl_Effect[],3,FALSE),EffectName[],IFERROR(MATCH(UI!$B$1,EffectName[#Headers],0),2),FALSE),"")</f>
        <v/>
      </c>
      <c r="AA1898" t="str">
        <f t="shared" si="185"/>
        <v/>
      </c>
      <c r="AB1898">
        <v>0</v>
      </c>
      <c r="AC1898" t="str">
        <f>IF(AB1898&lt;&gt;0,VLOOKUP(VLOOKUP(AB1898,Tbl_Effect[],3,FALSE),EffectName[],IFERROR(MATCH(UI!$B$1,EffectName[#Headers],0),2),FALSE),"")</f>
        <v/>
      </c>
    </row>
    <row r="1899" spans="8:29" x14ac:dyDescent="0.4">
      <c r="H1899" t="str">
        <f t="shared" si="182"/>
        <v/>
      </c>
      <c r="I1899">
        <v>0</v>
      </c>
      <c r="J1899" t="str">
        <f>_xlfn.IFNA(IF(I1899&lt;&gt;0,VLOOKUP(VLOOKUP(I1899,Tbl_Equip[],2,FALSE),Tbl_Color[],IFERROR(MATCH(UI!$B$1,Tbl_Color[#Headers],0),2),FALSE),""),"Unset")</f>
        <v/>
      </c>
      <c r="K1899" t="str">
        <f>_xlfn.IFNA(IF(I1899&lt;&gt;0,VLOOKUP(I1899,ItemText[],IFERROR(MATCH(UI!$B$1,ItemText[#Headers],0),2),FALSE),""),"Unset")</f>
        <v/>
      </c>
      <c r="M1899">
        <v>0</v>
      </c>
      <c r="P1899">
        <v>0</v>
      </c>
      <c r="S1899">
        <v>0</v>
      </c>
      <c r="T1899" t="str">
        <f>IF(VALUE(S1899)=0,"",VLOOKUP(VLOOKUP(S1899,Tbl_Effect[],3,FALSE),EffectName[],IFERROR(MATCH(UI!$B$1,EffectName[#Headers],0),2),FALSE))</f>
        <v/>
      </c>
      <c r="U1899" t="str">
        <f t="shared" si="183"/>
        <v/>
      </c>
      <c r="V1899">
        <v>0</v>
      </c>
      <c r="W1899" t="str">
        <f>IF(V1899&lt;&gt;0,VLOOKUP(VLOOKUP(V1899,Tbl_Effect[],3,FALSE),EffectName[],IFERROR(MATCH(UI!$B$1,EffectName[#Headers],0),2),FALSE),"")</f>
        <v/>
      </c>
      <c r="X1899" t="str">
        <f t="shared" si="184"/>
        <v/>
      </c>
      <c r="Y1899">
        <v>0</v>
      </c>
      <c r="Z1899" t="str">
        <f>IF(Y1899&lt;&gt;0,VLOOKUP(VLOOKUP(Y1899,Tbl_Effect[],3,FALSE),EffectName[],IFERROR(MATCH(UI!$B$1,EffectName[#Headers],0),2),FALSE),"")</f>
        <v/>
      </c>
      <c r="AA1899" t="str">
        <f t="shared" si="185"/>
        <v/>
      </c>
      <c r="AB1899">
        <v>0</v>
      </c>
      <c r="AC1899" t="str">
        <f>IF(AB1899&lt;&gt;0,VLOOKUP(VLOOKUP(AB1899,Tbl_Effect[],3,FALSE),EffectName[],IFERROR(MATCH(UI!$B$1,EffectName[#Headers],0),2),FALSE),"")</f>
        <v/>
      </c>
    </row>
    <row r="1900" spans="8:29" x14ac:dyDescent="0.4">
      <c r="H1900" t="str">
        <f t="shared" si="182"/>
        <v/>
      </c>
      <c r="I1900">
        <v>0</v>
      </c>
      <c r="J1900" t="str">
        <f>_xlfn.IFNA(IF(I1900&lt;&gt;0,VLOOKUP(VLOOKUP(I1900,Tbl_Equip[],2,FALSE),Tbl_Color[],IFERROR(MATCH(UI!$B$1,Tbl_Color[#Headers],0),2),FALSE),""),"Unset")</f>
        <v/>
      </c>
      <c r="K1900" t="str">
        <f>_xlfn.IFNA(IF(I1900&lt;&gt;0,VLOOKUP(I1900,ItemText[],IFERROR(MATCH(UI!$B$1,ItemText[#Headers],0),2),FALSE),""),"Unset")</f>
        <v/>
      </c>
      <c r="M1900">
        <v>0</v>
      </c>
      <c r="P1900">
        <v>0</v>
      </c>
      <c r="S1900">
        <v>0</v>
      </c>
      <c r="T1900" t="str">
        <f>IF(VALUE(S1900)=0,"",VLOOKUP(VLOOKUP(S1900,Tbl_Effect[],3,FALSE),EffectName[],IFERROR(MATCH(UI!$B$1,EffectName[#Headers],0),2),FALSE))</f>
        <v/>
      </c>
      <c r="U1900" t="str">
        <f t="shared" si="183"/>
        <v/>
      </c>
      <c r="V1900">
        <v>0</v>
      </c>
      <c r="W1900" t="str">
        <f>IF(V1900&lt;&gt;0,VLOOKUP(VLOOKUP(V1900,Tbl_Effect[],3,FALSE),EffectName[],IFERROR(MATCH(UI!$B$1,EffectName[#Headers],0),2),FALSE),"")</f>
        <v/>
      </c>
      <c r="X1900" t="str">
        <f t="shared" si="184"/>
        <v/>
      </c>
      <c r="Y1900">
        <v>0</v>
      </c>
      <c r="Z1900" t="str">
        <f>IF(Y1900&lt;&gt;0,VLOOKUP(VLOOKUP(Y1900,Tbl_Effect[],3,FALSE),EffectName[],IFERROR(MATCH(UI!$B$1,EffectName[#Headers],0),2),FALSE),"")</f>
        <v/>
      </c>
      <c r="AA1900" t="str">
        <f t="shared" si="185"/>
        <v/>
      </c>
      <c r="AB1900">
        <v>0</v>
      </c>
      <c r="AC1900" t="str">
        <f>IF(AB1900&lt;&gt;0,VLOOKUP(VLOOKUP(AB1900,Tbl_Effect[],3,FALSE),EffectName[],IFERROR(MATCH(UI!$B$1,EffectName[#Headers],0),2),FALSE),"")</f>
        <v/>
      </c>
    </row>
    <row r="1901" spans="8:29" x14ac:dyDescent="0.4">
      <c r="H1901" t="str">
        <f t="shared" si="182"/>
        <v/>
      </c>
      <c r="I1901">
        <v>0</v>
      </c>
      <c r="J1901" t="str">
        <f>_xlfn.IFNA(IF(I1901&lt;&gt;0,VLOOKUP(VLOOKUP(I1901,Tbl_Equip[],2,FALSE),Tbl_Color[],IFERROR(MATCH(UI!$B$1,Tbl_Color[#Headers],0),2),FALSE),""),"Unset")</f>
        <v/>
      </c>
      <c r="K1901" t="str">
        <f>_xlfn.IFNA(IF(I1901&lt;&gt;0,VLOOKUP(I1901,ItemText[],IFERROR(MATCH(UI!$B$1,ItemText[#Headers],0),2),FALSE),""),"Unset")</f>
        <v/>
      </c>
      <c r="M1901">
        <v>0</v>
      </c>
      <c r="P1901">
        <v>0</v>
      </c>
      <c r="S1901">
        <v>0</v>
      </c>
      <c r="T1901" t="str">
        <f>IF(VALUE(S1901)=0,"",VLOOKUP(VLOOKUP(S1901,Tbl_Effect[],3,FALSE),EffectName[],IFERROR(MATCH(UI!$B$1,EffectName[#Headers],0),2),FALSE))</f>
        <v/>
      </c>
      <c r="U1901" t="str">
        <f t="shared" si="183"/>
        <v/>
      </c>
      <c r="V1901">
        <v>0</v>
      </c>
      <c r="W1901" t="str">
        <f>IF(V1901&lt;&gt;0,VLOOKUP(VLOOKUP(V1901,Tbl_Effect[],3,FALSE),EffectName[],IFERROR(MATCH(UI!$B$1,EffectName[#Headers],0),2),FALSE),"")</f>
        <v/>
      </c>
      <c r="X1901" t="str">
        <f t="shared" si="184"/>
        <v/>
      </c>
      <c r="Y1901">
        <v>0</v>
      </c>
      <c r="Z1901" t="str">
        <f>IF(Y1901&lt;&gt;0,VLOOKUP(VLOOKUP(Y1901,Tbl_Effect[],3,FALSE),EffectName[],IFERROR(MATCH(UI!$B$1,EffectName[#Headers],0),2),FALSE),"")</f>
        <v/>
      </c>
      <c r="AA1901" t="str">
        <f t="shared" si="185"/>
        <v/>
      </c>
      <c r="AB1901">
        <v>0</v>
      </c>
      <c r="AC1901" t="str">
        <f>IF(AB1901&lt;&gt;0,VLOOKUP(VLOOKUP(AB1901,Tbl_Effect[],3,FALSE),EffectName[],IFERROR(MATCH(UI!$B$1,EffectName[#Headers],0),2),FALSE),"")</f>
        <v/>
      </c>
    </row>
    <row r="1902" spans="8:29" x14ac:dyDescent="0.4">
      <c r="H1902" t="str">
        <f t="shared" si="182"/>
        <v/>
      </c>
      <c r="I1902">
        <v>0</v>
      </c>
      <c r="J1902" t="str">
        <f>_xlfn.IFNA(IF(I1902&lt;&gt;0,VLOOKUP(VLOOKUP(I1902,Tbl_Equip[],2,FALSE),Tbl_Color[],IFERROR(MATCH(UI!$B$1,Tbl_Color[#Headers],0),2),FALSE),""),"Unset")</f>
        <v/>
      </c>
      <c r="K1902" t="str">
        <f>_xlfn.IFNA(IF(I1902&lt;&gt;0,VLOOKUP(I1902,ItemText[],IFERROR(MATCH(UI!$B$1,ItemText[#Headers],0),2),FALSE),""),"Unset")</f>
        <v/>
      </c>
      <c r="M1902">
        <v>0</v>
      </c>
      <c r="P1902">
        <v>0</v>
      </c>
      <c r="S1902">
        <v>0</v>
      </c>
      <c r="T1902" t="str">
        <f>IF(VALUE(S1902)=0,"",VLOOKUP(VLOOKUP(S1902,Tbl_Effect[],3,FALSE),EffectName[],IFERROR(MATCH(UI!$B$1,EffectName[#Headers],0),2),FALSE))</f>
        <v/>
      </c>
      <c r="U1902" t="str">
        <f t="shared" si="183"/>
        <v/>
      </c>
      <c r="V1902">
        <v>0</v>
      </c>
      <c r="W1902" t="str">
        <f>IF(V1902&lt;&gt;0,VLOOKUP(VLOOKUP(V1902,Tbl_Effect[],3,FALSE),EffectName[],IFERROR(MATCH(UI!$B$1,EffectName[#Headers],0),2),FALSE),"")</f>
        <v/>
      </c>
      <c r="X1902" t="str">
        <f t="shared" si="184"/>
        <v/>
      </c>
      <c r="Y1902">
        <v>0</v>
      </c>
      <c r="Z1902" t="str">
        <f>IF(Y1902&lt;&gt;0,VLOOKUP(VLOOKUP(Y1902,Tbl_Effect[],3,FALSE),EffectName[],IFERROR(MATCH(UI!$B$1,EffectName[#Headers],0),2),FALSE),"")</f>
        <v/>
      </c>
      <c r="AA1902" t="str">
        <f t="shared" si="185"/>
        <v/>
      </c>
      <c r="AB1902">
        <v>0</v>
      </c>
      <c r="AC1902" t="str">
        <f>IF(AB1902&lt;&gt;0,VLOOKUP(VLOOKUP(AB1902,Tbl_Effect[],3,FALSE),EffectName[],IFERROR(MATCH(UI!$B$1,EffectName[#Headers],0),2),FALSE),"")</f>
        <v/>
      </c>
    </row>
    <row r="1903" spans="8:29" x14ac:dyDescent="0.4">
      <c r="H1903" t="str">
        <f t="shared" si="182"/>
        <v/>
      </c>
      <c r="I1903">
        <v>0</v>
      </c>
      <c r="J1903" t="str">
        <f>_xlfn.IFNA(IF(I1903&lt;&gt;0,VLOOKUP(VLOOKUP(I1903,Tbl_Equip[],2,FALSE),Tbl_Color[],IFERROR(MATCH(UI!$B$1,Tbl_Color[#Headers],0),2),FALSE),""),"Unset")</f>
        <v/>
      </c>
      <c r="K1903" t="str">
        <f>_xlfn.IFNA(IF(I1903&lt;&gt;0,VLOOKUP(I1903,ItemText[],IFERROR(MATCH(UI!$B$1,ItemText[#Headers],0),2),FALSE),""),"Unset")</f>
        <v/>
      </c>
      <c r="M1903">
        <v>0</v>
      </c>
      <c r="P1903">
        <v>0</v>
      </c>
      <c r="S1903">
        <v>0</v>
      </c>
      <c r="T1903" t="str">
        <f>IF(VALUE(S1903)=0,"",VLOOKUP(VLOOKUP(S1903,Tbl_Effect[],3,FALSE),EffectName[],IFERROR(MATCH(UI!$B$1,EffectName[#Headers],0),2),FALSE))</f>
        <v/>
      </c>
      <c r="U1903" t="str">
        <f t="shared" si="183"/>
        <v/>
      </c>
      <c r="V1903">
        <v>0</v>
      </c>
      <c r="W1903" t="str">
        <f>IF(V1903&lt;&gt;0,VLOOKUP(VLOOKUP(V1903,Tbl_Effect[],3,FALSE),EffectName[],IFERROR(MATCH(UI!$B$1,EffectName[#Headers],0),2),FALSE),"")</f>
        <v/>
      </c>
      <c r="X1903" t="str">
        <f t="shared" si="184"/>
        <v/>
      </c>
      <c r="Y1903">
        <v>0</v>
      </c>
      <c r="Z1903" t="str">
        <f>IF(Y1903&lt;&gt;0,VLOOKUP(VLOOKUP(Y1903,Tbl_Effect[],3,FALSE),EffectName[],IFERROR(MATCH(UI!$B$1,EffectName[#Headers],0),2),FALSE),"")</f>
        <v/>
      </c>
      <c r="AA1903" t="str">
        <f t="shared" si="185"/>
        <v/>
      </c>
      <c r="AB1903">
        <v>0</v>
      </c>
      <c r="AC1903" t="str">
        <f>IF(AB1903&lt;&gt;0,VLOOKUP(VLOOKUP(AB1903,Tbl_Effect[],3,FALSE),EffectName[],IFERROR(MATCH(UI!$B$1,EffectName[#Headers],0),2),FALSE),"")</f>
        <v/>
      </c>
    </row>
    <row r="1904" spans="8:29" x14ac:dyDescent="0.4">
      <c r="H1904" t="str">
        <f t="shared" si="182"/>
        <v/>
      </c>
      <c r="I1904">
        <v>0</v>
      </c>
      <c r="J1904" t="str">
        <f>_xlfn.IFNA(IF(I1904&lt;&gt;0,VLOOKUP(VLOOKUP(I1904,Tbl_Equip[],2,FALSE),Tbl_Color[],IFERROR(MATCH(UI!$B$1,Tbl_Color[#Headers],0),2),FALSE),""),"Unset")</f>
        <v/>
      </c>
      <c r="K1904" t="str">
        <f>_xlfn.IFNA(IF(I1904&lt;&gt;0,VLOOKUP(I1904,ItemText[],IFERROR(MATCH(UI!$B$1,ItemText[#Headers],0),2),FALSE),""),"Unset")</f>
        <v/>
      </c>
      <c r="M1904">
        <v>0</v>
      </c>
      <c r="P1904">
        <v>0</v>
      </c>
      <c r="S1904">
        <v>0</v>
      </c>
      <c r="T1904" t="str">
        <f>IF(VALUE(S1904)=0,"",VLOOKUP(VLOOKUP(S1904,Tbl_Effect[],3,FALSE),EffectName[],IFERROR(MATCH(UI!$B$1,EffectName[#Headers],0),2),FALSE))</f>
        <v/>
      </c>
      <c r="U1904" t="str">
        <f t="shared" si="183"/>
        <v/>
      </c>
      <c r="V1904">
        <v>0</v>
      </c>
      <c r="W1904" t="str">
        <f>IF(V1904&lt;&gt;0,VLOOKUP(VLOOKUP(V1904,Tbl_Effect[],3,FALSE),EffectName[],IFERROR(MATCH(UI!$B$1,EffectName[#Headers],0),2),FALSE),"")</f>
        <v/>
      </c>
      <c r="X1904" t="str">
        <f t="shared" si="184"/>
        <v/>
      </c>
      <c r="Y1904">
        <v>0</v>
      </c>
      <c r="Z1904" t="str">
        <f>IF(Y1904&lt;&gt;0,VLOOKUP(VLOOKUP(Y1904,Tbl_Effect[],3,FALSE),EffectName[],IFERROR(MATCH(UI!$B$1,EffectName[#Headers],0),2),FALSE),"")</f>
        <v/>
      </c>
      <c r="AA1904" t="str">
        <f t="shared" si="185"/>
        <v/>
      </c>
      <c r="AB1904">
        <v>0</v>
      </c>
      <c r="AC1904" t="str">
        <f>IF(AB1904&lt;&gt;0,VLOOKUP(VLOOKUP(AB1904,Tbl_Effect[],3,FALSE),EffectName[],IFERROR(MATCH(UI!$B$1,EffectName[#Headers],0),2),FALSE),"")</f>
        <v/>
      </c>
    </row>
    <row r="1905" spans="8:29" x14ac:dyDescent="0.4">
      <c r="H1905" t="str">
        <f t="shared" si="182"/>
        <v/>
      </c>
      <c r="I1905">
        <v>0</v>
      </c>
      <c r="J1905" t="str">
        <f>_xlfn.IFNA(IF(I1905&lt;&gt;0,VLOOKUP(VLOOKUP(I1905,Tbl_Equip[],2,FALSE),Tbl_Color[],IFERROR(MATCH(UI!$B$1,Tbl_Color[#Headers],0),2),FALSE),""),"Unset")</f>
        <v/>
      </c>
      <c r="K1905" t="str">
        <f>_xlfn.IFNA(IF(I1905&lt;&gt;0,VLOOKUP(I1905,ItemText[],IFERROR(MATCH(UI!$B$1,ItemText[#Headers],0),2),FALSE),""),"Unset")</f>
        <v/>
      </c>
      <c r="M1905">
        <v>0</v>
      </c>
      <c r="P1905">
        <v>0</v>
      </c>
      <c r="S1905">
        <v>0</v>
      </c>
      <c r="T1905" t="str">
        <f>IF(VALUE(S1905)=0,"",VLOOKUP(VLOOKUP(S1905,Tbl_Effect[],3,FALSE),EffectName[],IFERROR(MATCH(UI!$B$1,EffectName[#Headers],0),2),FALSE))</f>
        <v/>
      </c>
      <c r="U1905" t="str">
        <f t="shared" si="183"/>
        <v/>
      </c>
      <c r="V1905">
        <v>0</v>
      </c>
      <c r="W1905" t="str">
        <f>IF(V1905&lt;&gt;0,VLOOKUP(VLOOKUP(V1905,Tbl_Effect[],3,FALSE),EffectName[],IFERROR(MATCH(UI!$B$1,EffectName[#Headers],0),2),FALSE),"")</f>
        <v/>
      </c>
      <c r="X1905" t="str">
        <f t="shared" si="184"/>
        <v/>
      </c>
      <c r="Y1905">
        <v>0</v>
      </c>
      <c r="Z1905" t="str">
        <f>IF(Y1905&lt;&gt;0,VLOOKUP(VLOOKUP(Y1905,Tbl_Effect[],3,FALSE),EffectName[],IFERROR(MATCH(UI!$B$1,EffectName[#Headers],0),2),FALSE),"")</f>
        <v/>
      </c>
      <c r="AA1905" t="str">
        <f t="shared" si="185"/>
        <v/>
      </c>
      <c r="AB1905">
        <v>0</v>
      </c>
      <c r="AC1905" t="str">
        <f>IF(AB1905&lt;&gt;0,VLOOKUP(VLOOKUP(AB1905,Tbl_Effect[],3,FALSE),EffectName[],IFERROR(MATCH(UI!$B$1,EffectName[#Headers],0),2),FALSE),"")</f>
        <v/>
      </c>
    </row>
    <row r="1906" spans="8:29" x14ac:dyDescent="0.4">
      <c r="H1906" t="str">
        <f t="shared" si="182"/>
        <v/>
      </c>
      <c r="I1906">
        <v>0</v>
      </c>
      <c r="J1906" t="str">
        <f>_xlfn.IFNA(IF(I1906&lt;&gt;0,VLOOKUP(VLOOKUP(I1906,Tbl_Equip[],2,FALSE),Tbl_Color[],IFERROR(MATCH(UI!$B$1,Tbl_Color[#Headers],0),2),FALSE),""),"Unset")</f>
        <v/>
      </c>
      <c r="K1906" t="str">
        <f>_xlfn.IFNA(IF(I1906&lt;&gt;0,VLOOKUP(I1906,ItemText[],IFERROR(MATCH(UI!$B$1,ItemText[#Headers],0),2),FALSE),""),"Unset")</f>
        <v/>
      </c>
      <c r="M1906">
        <v>0</v>
      </c>
      <c r="P1906">
        <v>0</v>
      </c>
      <c r="S1906">
        <v>0</v>
      </c>
      <c r="T1906" t="str">
        <f>IF(VALUE(S1906)=0,"",VLOOKUP(VLOOKUP(S1906,Tbl_Effect[],3,FALSE),EffectName[],IFERROR(MATCH(UI!$B$1,EffectName[#Headers],0),2),FALSE))</f>
        <v/>
      </c>
      <c r="U1906" t="str">
        <f t="shared" si="183"/>
        <v/>
      </c>
      <c r="V1906">
        <v>0</v>
      </c>
      <c r="W1906" t="str">
        <f>IF(V1906&lt;&gt;0,VLOOKUP(VLOOKUP(V1906,Tbl_Effect[],3,FALSE),EffectName[],IFERROR(MATCH(UI!$B$1,EffectName[#Headers],0),2),FALSE),"")</f>
        <v/>
      </c>
      <c r="X1906" t="str">
        <f t="shared" si="184"/>
        <v/>
      </c>
      <c r="Y1906">
        <v>0</v>
      </c>
      <c r="Z1906" t="str">
        <f>IF(Y1906&lt;&gt;0,VLOOKUP(VLOOKUP(Y1906,Tbl_Effect[],3,FALSE),EffectName[],IFERROR(MATCH(UI!$B$1,EffectName[#Headers],0),2),FALSE),"")</f>
        <v/>
      </c>
      <c r="AA1906" t="str">
        <f t="shared" si="185"/>
        <v/>
      </c>
      <c r="AB1906">
        <v>0</v>
      </c>
      <c r="AC1906" t="str">
        <f>IF(AB1906&lt;&gt;0,VLOOKUP(VLOOKUP(AB1906,Tbl_Effect[],3,FALSE),EffectName[],IFERROR(MATCH(UI!$B$1,EffectName[#Headers],0),2),FALSE),"")</f>
        <v/>
      </c>
    </row>
    <row r="1907" spans="8:29" x14ac:dyDescent="0.4">
      <c r="H1907" t="str">
        <f t="shared" si="182"/>
        <v/>
      </c>
      <c r="I1907">
        <v>0</v>
      </c>
      <c r="J1907" t="str">
        <f>_xlfn.IFNA(IF(I1907&lt;&gt;0,VLOOKUP(VLOOKUP(I1907,Tbl_Equip[],2,FALSE),Tbl_Color[],IFERROR(MATCH(UI!$B$1,Tbl_Color[#Headers],0),2),FALSE),""),"Unset")</f>
        <v/>
      </c>
      <c r="K1907" t="str">
        <f>_xlfn.IFNA(IF(I1907&lt;&gt;0,VLOOKUP(I1907,ItemText[],IFERROR(MATCH(UI!$B$1,ItemText[#Headers],0),2),FALSE),""),"Unset")</f>
        <v/>
      </c>
      <c r="M1907">
        <v>0</v>
      </c>
      <c r="P1907">
        <v>0</v>
      </c>
      <c r="S1907">
        <v>0</v>
      </c>
      <c r="T1907" t="str">
        <f>IF(VALUE(S1907)=0,"",VLOOKUP(VLOOKUP(S1907,Tbl_Effect[],3,FALSE),EffectName[],IFERROR(MATCH(UI!$B$1,EffectName[#Headers],0),2),FALSE))</f>
        <v/>
      </c>
      <c r="U1907" t="str">
        <f t="shared" si="183"/>
        <v/>
      </c>
      <c r="V1907">
        <v>0</v>
      </c>
      <c r="W1907" t="str">
        <f>IF(V1907&lt;&gt;0,VLOOKUP(VLOOKUP(V1907,Tbl_Effect[],3,FALSE),EffectName[],IFERROR(MATCH(UI!$B$1,EffectName[#Headers],0),2),FALSE),"")</f>
        <v/>
      </c>
      <c r="X1907" t="str">
        <f t="shared" si="184"/>
        <v/>
      </c>
      <c r="Y1907">
        <v>0</v>
      </c>
      <c r="Z1907" t="str">
        <f>IF(Y1907&lt;&gt;0,VLOOKUP(VLOOKUP(Y1907,Tbl_Effect[],3,FALSE),EffectName[],IFERROR(MATCH(UI!$B$1,EffectName[#Headers],0),2),FALSE),"")</f>
        <v/>
      </c>
      <c r="AA1907" t="str">
        <f t="shared" si="185"/>
        <v/>
      </c>
      <c r="AB1907">
        <v>0</v>
      </c>
      <c r="AC1907" t="str">
        <f>IF(AB1907&lt;&gt;0,VLOOKUP(VLOOKUP(AB1907,Tbl_Effect[],3,FALSE),EffectName[],IFERROR(MATCH(UI!$B$1,EffectName[#Headers],0),2),FALSE),"")</f>
        <v/>
      </c>
    </row>
    <row r="1908" spans="8:29" x14ac:dyDescent="0.4">
      <c r="H1908" t="str">
        <f t="shared" si="182"/>
        <v/>
      </c>
      <c r="I1908">
        <v>0</v>
      </c>
      <c r="J1908" t="str">
        <f>_xlfn.IFNA(IF(I1908&lt;&gt;0,VLOOKUP(VLOOKUP(I1908,Tbl_Equip[],2,FALSE),Tbl_Color[],IFERROR(MATCH(UI!$B$1,Tbl_Color[#Headers],0),2),FALSE),""),"Unset")</f>
        <v/>
      </c>
      <c r="K1908" t="str">
        <f>_xlfn.IFNA(IF(I1908&lt;&gt;0,VLOOKUP(I1908,ItemText[],IFERROR(MATCH(UI!$B$1,ItemText[#Headers],0),2),FALSE),""),"Unset")</f>
        <v/>
      </c>
      <c r="M1908">
        <v>0</v>
      </c>
      <c r="P1908">
        <v>0</v>
      </c>
      <c r="S1908">
        <v>0</v>
      </c>
      <c r="T1908" t="str">
        <f>IF(VALUE(S1908)=0,"",VLOOKUP(VLOOKUP(S1908,Tbl_Effect[],3,FALSE),EffectName[],IFERROR(MATCH(UI!$B$1,EffectName[#Headers],0),2),FALSE))</f>
        <v/>
      </c>
      <c r="U1908" t="str">
        <f t="shared" si="183"/>
        <v/>
      </c>
      <c r="V1908">
        <v>0</v>
      </c>
      <c r="W1908" t="str">
        <f>IF(V1908&lt;&gt;0,VLOOKUP(VLOOKUP(V1908,Tbl_Effect[],3,FALSE),EffectName[],IFERROR(MATCH(UI!$B$1,EffectName[#Headers],0),2),FALSE),"")</f>
        <v/>
      </c>
      <c r="X1908" t="str">
        <f t="shared" si="184"/>
        <v/>
      </c>
      <c r="Y1908">
        <v>0</v>
      </c>
      <c r="Z1908" t="str">
        <f>IF(Y1908&lt;&gt;0,VLOOKUP(VLOOKUP(Y1908,Tbl_Effect[],3,FALSE),EffectName[],IFERROR(MATCH(UI!$B$1,EffectName[#Headers],0),2),FALSE),"")</f>
        <v/>
      </c>
      <c r="AA1908" t="str">
        <f t="shared" si="185"/>
        <v/>
      </c>
      <c r="AB1908">
        <v>0</v>
      </c>
      <c r="AC1908" t="str">
        <f>IF(AB1908&lt;&gt;0,VLOOKUP(VLOOKUP(AB1908,Tbl_Effect[],3,FALSE),EffectName[],IFERROR(MATCH(UI!$B$1,EffectName[#Headers],0),2),FALSE),"")</f>
        <v/>
      </c>
    </row>
    <row r="1909" spans="8:29" x14ac:dyDescent="0.4">
      <c r="H1909" t="str">
        <f t="shared" si="182"/>
        <v/>
      </c>
      <c r="I1909">
        <v>0</v>
      </c>
      <c r="J1909" t="str">
        <f>_xlfn.IFNA(IF(I1909&lt;&gt;0,VLOOKUP(VLOOKUP(I1909,Tbl_Equip[],2,FALSE),Tbl_Color[],IFERROR(MATCH(UI!$B$1,Tbl_Color[#Headers],0),2),FALSE),""),"Unset")</f>
        <v/>
      </c>
      <c r="K1909" t="str">
        <f>_xlfn.IFNA(IF(I1909&lt;&gt;0,VLOOKUP(I1909,ItemText[],IFERROR(MATCH(UI!$B$1,ItemText[#Headers],0),2),FALSE),""),"Unset")</f>
        <v/>
      </c>
      <c r="M1909">
        <v>0</v>
      </c>
      <c r="P1909">
        <v>0</v>
      </c>
      <c r="S1909">
        <v>0</v>
      </c>
      <c r="T1909" t="str">
        <f>IF(VALUE(S1909)=0,"",VLOOKUP(VLOOKUP(S1909,Tbl_Effect[],3,FALSE),EffectName[],IFERROR(MATCH(UI!$B$1,EffectName[#Headers],0),2),FALSE))</f>
        <v/>
      </c>
      <c r="U1909" t="str">
        <f t="shared" si="183"/>
        <v/>
      </c>
      <c r="V1909">
        <v>0</v>
      </c>
      <c r="W1909" t="str">
        <f>IF(V1909&lt;&gt;0,VLOOKUP(VLOOKUP(V1909,Tbl_Effect[],3,FALSE),EffectName[],IFERROR(MATCH(UI!$B$1,EffectName[#Headers],0),2),FALSE),"")</f>
        <v/>
      </c>
      <c r="X1909" t="str">
        <f t="shared" si="184"/>
        <v/>
      </c>
      <c r="Y1909">
        <v>0</v>
      </c>
      <c r="Z1909" t="str">
        <f>IF(Y1909&lt;&gt;0,VLOOKUP(VLOOKUP(Y1909,Tbl_Effect[],3,FALSE),EffectName[],IFERROR(MATCH(UI!$B$1,EffectName[#Headers],0),2),FALSE),"")</f>
        <v/>
      </c>
      <c r="AA1909" t="str">
        <f t="shared" si="185"/>
        <v/>
      </c>
      <c r="AB1909">
        <v>0</v>
      </c>
      <c r="AC1909" t="str">
        <f>IF(AB1909&lt;&gt;0,VLOOKUP(VLOOKUP(AB1909,Tbl_Effect[],3,FALSE),EffectName[],IFERROR(MATCH(UI!$B$1,EffectName[#Headers],0),2),FALSE),"")</f>
        <v/>
      </c>
    </row>
    <row r="1910" spans="8:29" x14ac:dyDescent="0.4">
      <c r="H1910" t="str">
        <f t="shared" si="182"/>
        <v/>
      </c>
      <c r="I1910">
        <v>0</v>
      </c>
      <c r="J1910" t="str">
        <f>_xlfn.IFNA(IF(I1910&lt;&gt;0,VLOOKUP(VLOOKUP(I1910,Tbl_Equip[],2,FALSE),Tbl_Color[],IFERROR(MATCH(UI!$B$1,Tbl_Color[#Headers],0),2),FALSE),""),"Unset")</f>
        <v/>
      </c>
      <c r="K1910" t="str">
        <f>_xlfn.IFNA(IF(I1910&lt;&gt;0,VLOOKUP(I1910,ItemText[],IFERROR(MATCH(UI!$B$1,ItemText[#Headers],0),2),FALSE),""),"Unset")</f>
        <v/>
      </c>
      <c r="M1910">
        <v>0</v>
      </c>
      <c r="P1910">
        <v>0</v>
      </c>
      <c r="S1910">
        <v>0</v>
      </c>
      <c r="T1910" t="str">
        <f>IF(VALUE(S1910)=0,"",VLOOKUP(VLOOKUP(S1910,Tbl_Effect[],3,FALSE),EffectName[],IFERROR(MATCH(UI!$B$1,EffectName[#Headers],0),2),FALSE))</f>
        <v/>
      </c>
      <c r="U1910" t="str">
        <f t="shared" si="183"/>
        <v/>
      </c>
      <c r="V1910">
        <v>0</v>
      </c>
      <c r="W1910" t="str">
        <f>IF(V1910&lt;&gt;0,VLOOKUP(VLOOKUP(V1910,Tbl_Effect[],3,FALSE),EffectName[],IFERROR(MATCH(UI!$B$1,EffectName[#Headers],0),2),FALSE),"")</f>
        <v/>
      </c>
      <c r="X1910" t="str">
        <f t="shared" si="184"/>
        <v/>
      </c>
      <c r="Y1910">
        <v>0</v>
      </c>
      <c r="Z1910" t="str">
        <f>IF(Y1910&lt;&gt;0,VLOOKUP(VLOOKUP(Y1910,Tbl_Effect[],3,FALSE),EffectName[],IFERROR(MATCH(UI!$B$1,EffectName[#Headers],0),2),FALSE),"")</f>
        <v/>
      </c>
      <c r="AA1910" t="str">
        <f t="shared" si="185"/>
        <v/>
      </c>
      <c r="AB1910">
        <v>0</v>
      </c>
      <c r="AC1910" t="str">
        <f>IF(AB1910&lt;&gt;0,VLOOKUP(VLOOKUP(AB1910,Tbl_Effect[],3,FALSE),EffectName[],IFERROR(MATCH(UI!$B$1,EffectName[#Headers],0),2),FALSE),"")</f>
        <v/>
      </c>
    </row>
    <row r="1911" spans="8:29" x14ac:dyDescent="0.4">
      <c r="H1911" t="str">
        <f t="shared" si="182"/>
        <v/>
      </c>
      <c r="I1911">
        <v>0</v>
      </c>
      <c r="J1911" t="str">
        <f>_xlfn.IFNA(IF(I1911&lt;&gt;0,VLOOKUP(VLOOKUP(I1911,Tbl_Equip[],2,FALSE),Tbl_Color[],IFERROR(MATCH(UI!$B$1,Tbl_Color[#Headers],0),2),FALSE),""),"Unset")</f>
        <v/>
      </c>
      <c r="K1911" t="str">
        <f>_xlfn.IFNA(IF(I1911&lt;&gt;0,VLOOKUP(I1911,ItemText[],IFERROR(MATCH(UI!$B$1,ItemText[#Headers],0),2),FALSE),""),"Unset")</f>
        <v/>
      </c>
      <c r="M1911">
        <v>0</v>
      </c>
      <c r="P1911">
        <v>0</v>
      </c>
      <c r="S1911">
        <v>0</v>
      </c>
      <c r="T1911" t="str">
        <f>IF(VALUE(S1911)=0,"",VLOOKUP(VLOOKUP(S1911,Tbl_Effect[],3,FALSE),EffectName[],IFERROR(MATCH(UI!$B$1,EffectName[#Headers],0),2),FALSE))</f>
        <v/>
      </c>
      <c r="U1911" t="str">
        <f t="shared" si="183"/>
        <v/>
      </c>
      <c r="V1911">
        <v>0</v>
      </c>
      <c r="W1911" t="str">
        <f>IF(V1911&lt;&gt;0,VLOOKUP(VLOOKUP(V1911,Tbl_Effect[],3,FALSE),EffectName[],IFERROR(MATCH(UI!$B$1,EffectName[#Headers],0),2),FALSE),"")</f>
        <v/>
      </c>
      <c r="X1911" t="str">
        <f t="shared" si="184"/>
        <v/>
      </c>
      <c r="Y1911">
        <v>0</v>
      </c>
      <c r="Z1911" t="str">
        <f>IF(Y1911&lt;&gt;0,VLOOKUP(VLOOKUP(Y1911,Tbl_Effect[],3,FALSE),EffectName[],IFERROR(MATCH(UI!$B$1,EffectName[#Headers],0),2),FALSE),"")</f>
        <v/>
      </c>
      <c r="AA1911" t="str">
        <f t="shared" si="185"/>
        <v/>
      </c>
      <c r="AB1911">
        <v>0</v>
      </c>
      <c r="AC1911" t="str">
        <f>IF(AB1911&lt;&gt;0,VLOOKUP(VLOOKUP(AB1911,Tbl_Effect[],3,FALSE),EffectName[],IFERROR(MATCH(UI!$B$1,EffectName[#Headers],0),2),FALSE),"")</f>
        <v/>
      </c>
    </row>
    <row r="1912" spans="8:29" x14ac:dyDescent="0.4">
      <c r="H1912" t="str">
        <f t="shared" si="182"/>
        <v/>
      </c>
      <c r="I1912">
        <v>0</v>
      </c>
      <c r="J1912" t="str">
        <f>_xlfn.IFNA(IF(I1912&lt;&gt;0,VLOOKUP(VLOOKUP(I1912,Tbl_Equip[],2,FALSE),Tbl_Color[],IFERROR(MATCH(UI!$B$1,Tbl_Color[#Headers],0),2),FALSE),""),"Unset")</f>
        <v/>
      </c>
      <c r="K1912" t="str">
        <f>_xlfn.IFNA(IF(I1912&lt;&gt;0,VLOOKUP(I1912,ItemText[],IFERROR(MATCH(UI!$B$1,ItemText[#Headers],0),2),FALSE),""),"Unset")</f>
        <v/>
      </c>
      <c r="M1912">
        <v>0</v>
      </c>
      <c r="P1912">
        <v>0</v>
      </c>
      <c r="S1912">
        <v>0</v>
      </c>
      <c r="T1912" t="str">
        <f>IF(VALUE(S1912)=0,"",VLOOKUP(VLOOKUP(S1912,Tbl_Effect[],3,FALSE),EffectName[],IFERROR(MATCH(UI!$B$1,EffectName[#Headers],0),2),FALSE))</f>
        <v/>
      </c>
      <c r="U1912" t="str">
        <f t="shared" si="183"/>
        <v/>
      </c>
      <c r="V1912">
        <v>0</v>
      </c>
      <c r="W1912" t="str">
        <f>IF(V1912&lt;&gt;0,VLOOKUP(VLOOKUP(V1912,Tbl_Effect[],3,FALSE),EffectName[],IFERROR(MATCH(UI!$B$1,EffectName[#Headers],0),2),FALSE),"")</f>
        <v/>
      </c>
      <c r="X1912" t="str">
        <f t="shared" si="184"/>
        <v/>
      </c>
      <c r="Y1912">
        <v>0</v>
      </c>
      <c r="Z1912" t="str">
        <f>IF(Y1912&lt;&gt;0,VLOOKUP(VLOOKUP(Y1912,Tbl_Effect[],3,FALSE),EffectName[],IFERROR(MATCH(UI!$B$1,EffectName[#Headers],0),2),FALSE),"")</f>
        <v/>
      </c>
      <c r="AA1912" t="str">
        <f t="shared" si="185"/>
        <v/>
      </c>
      <c r="AB1912">
        <v>0</v>
      </c>
      <c r="AC1912" t="str">
        <f>IF(AB1912&lt;&gt;0,VLOOKUP(VLOOKUP(AB1912,Tbl_Effect[],3,FALSE),EffectName[],IFERROR(MATCH(UI!$B$1,EffectName[#Headers],0),2),FALSE),"")</f>
        <v/>
      </c>
    </row>
    <row r="1913" spans="8:29" x14ac:dyDescent="0.4">
      <c r="H1913" t="str">
        <f t="shared" si="182"/>
        <v/>
      </c>
      <c r="I1913">
        <v>0</v>
      </c>
      <c r="J1913" t="str">
        <f>_xlfn.IFNA(IF(I1913&lt;&gt;0,VLOOKUP(VLOOKUP(I1913,Tbl_Equip[],2,FALSE),Tbl_Color[],IFERROR(MATCH(UI!$B$1,Tbl_Color[#Headers],0),2),FALSE),""),"Unset")</f>
        <v/>
      </c>
      <c r="K1913" t="str">
        <f>_xlfn.IFNA(IF(I1913&lt;&gt;0,VLOOKUP(I1913,ItemText[],IFERROR(MATCH(UI!$B$1,ItemText[#Headers],0),2),FALSE),""),"Unset")</f>
        <v/>
      </c>
      <c r="M1913">
        <v>0</v>
      </c>
      <c r="P1913">
        <v>0</v>
      </c>
      <c r="S1913">
        <v>0</v>
      </c>
      <c r="T1913" t="str">
        <f>IF(VALUE(S1913)=0,"",VLOOKUP(VLOOKUP(S1913,Tbl_Effect[],3,FALSE),EffectName[],IFERROR(MATCH(UI!$B$1,EffectName[#Headers],0),2),FALSE))</f>
        <v/>
      </c>
      <c r="U1913" t="str">
        <f t="shared" si="183"/>
        <v/>
      </c>
      <c r="V1913">
        <v>0</v>
      </c>
      <c r="W1913" t="str">
        <f>IF(V1913&lt;&gt;0,VLOOKUP(VLOOKUP(V1913,Tbl_Effect[],3,FALSE),EffectName[],IFERROR(MATCH(UI!$B$1,EffectName[#Headers],0),2),FALSE),"")</f>
        <v/>
      </c>
      <c r="X1913" t="str">
        <f t="shared" si="184"/>
        <v/>
      </c>
      <c r="Y1913">
        <v>0</v>
      </c>
      <c r="Z1913" t="str">
        <f>IF(Y1913&lt;&gt;0,VLOOKUP(VLOOKUP(Y1913,Tbl_Effect[],3,FALSE),EffectName[],IFERROR(MATCH(UI!$B$1,EffectName[#Headers],0),2),FALSE),"")</f>
        <v/>
      </c>
      <c r="AA1913" t="str">
        <f t="shared" si="185"/>
        <v/>
      </c>
      <c r="AB1913">
        <v>0</v>
      </c>
      <c r="AC1913" t="str">
        <f>IF(AB1913&lt;&gt;0,VLOOKUP(VLOOKUP(AB1913,Tbl_Effect[],3,FALSE),EffectName[],IFERROR(MATCH(UI!$B$1,EffectName[#Headers],0),2),FALSE),"")</f>
        <v/>
      </c>
    </row>
    <row r="1914" spans="8:29" x14ac:dyDescent="0.4">
      <c r="H1914" t="str">
        <f t="shared" si="182"/>
        <v/>
      </c>
      <c r="I1914">
        <v>0</v>
      </c>
      <c r="J1914" t="str">
        <f>_xlfn.IFNA(IF(I1914&lt;&gt;0,VLOOKUP(VLOOKUP(I1914,Tbl_Equip[],2,FALSE),Tbl_Color[],IFERROR(MATCH(UI!$B$1,Tbl_Color[#Headers],0),2),FALSE),""),"Unset")</f>
        <v/>
      </c>
      <c r="K1914" t="str">
        <f>_xlfn.IFNA(IF(I1914&lt;&gt;0,VLOOKUP(I1914,ItemText[],IFERROR(MATCH(UI!$B$1,ItemText[#Headers],0),2),FALSE),""),"Unset")</f>
        <v/>
      </c>
      <c r="M1914">
        <v>0</v>
      </c>
      <c r="P1914">
        <v>0</v>
      </c>
      <c r="S1914">
        <v>0</v>
      </c>
      <c r="T1914" t="str">
        <f>IF(VALUE(S1914)=0,"",VLOOKUP(VLOOKUP(S1914,Tbl_Effect[],3,FALSE),EffectName[],IFERROR(MATCH(UI!$B$1,EffectName[#Headers],0),2),FALSE))</f>
        <v/>
      </c>
      <c r="U1914" t="str">
        <f t="shared" si="183"/>
        <v/>
      </c>
      <c r="V1914">
        <v>0</v>
      </c>
      <c r="W1914" t="str">
        <f>IF(V1914&lt;&gt;0,VLOOKUP(VLOOKUP(V1914,Tbl_Effect[],3,FALSE),EffectName[],IFERROR(MATCH(UI!$B$1,EffectName[#Headers],0),2),FALSE),"")</f>
        <v/>
      </c>
      <c r="X1914" t="str">
        <f t="shared" si="184"/>
        <v/>
      </c>
      <c r="Y1914">
        <v>0</v>
      </c>
      <c r="Z1914" t="str">
        <f>IF(Y1914&lt;&gt;0,VLOOKUP(VLOOKUP(Y1914,Tbl_Effect[],3,FALSE),EffectName[],IFERROR(MATCH(UI!$B$1,EffectName[#Headers],0),2),FALSE),"")</f>
        <v/>
      </c>
      <c r="AA1914" t="str">
        <f t="shared" si="185"/>
        <v/>
      </c>
      <c r="AB1914">
        <v>0</v>
      </c>
      <c r="AC1914" t="str">
        <f>IF(AB1914&lt;&gt;0,VLOOKUP(VLOOKUP(AB1914,Tbl_Effect[],3,FALSE),EffectName[],IFERROR(MATCH(UI!$B$1,EffectName[#Headers],0),2),FALSE),"")</f>
        <v/>
      </c>
    </row>
    <row r="1915" spans="8:29" x14ac:dyDescent="0.4">
      <c r="H1915" t="str">
        <f t="shared" si="182"/>
        <v/>
      </c>
      <c r="I1915">
        <v>0</v>
      </c>
      <c r="J1915" t="str">
        <f>_xlfn.IFNA(IF(I1915&lt;&gt;0,VLOOKUP(VLOOKUP(I1915,Tbl_Equip[],2,FALSE),Tbl_Color[],IFERROR(MATCH(UI!$B$1,Tbl_Color[#Headers],0),2),FALSE),""),"Unset")</f>
        <v/>
      </c>
      <c r="K1915" t="str">
        <f>_xlfn.IFNA(IF(I1915&lt;&gt;0,VLOOKUP(I1915,ItemText[],IFERROR(MATCH(UI!$B$1,ItemText[#Headers],0),2),FALSE),""),"Unset")</f>
        <v/>
      </c>
      <c r="M1915">
        <v>0</v>
      </c>
      <c r="P1915">
        <v>0</v>
      </c>
      <c r="S1915">
        <v>0</v>
      </c>
      <c r="T1915" t="str">
        <f>IF(VALUE(S1915)=0,"",VLOOKUP(VLOOKUP(S1915,Tbl_Effect[],3,FALSE),EffectName[],IFERROR(MATCH(UI!$B$1,EffectName[#Headers],0),2),FALSE))</f>
        <v/>
      </c>
      <c r="U1915" t="str">
        <f t="shared" si="183"/>
        <v/>
      </c>
      <c r="V1915">
        <v>0</v>
      </c>
      <c r="W1915" t="str">
        <f>IF(V1915&lt;&gt;0,VLOOKUP(VLOOKUP(V1915,Tbl_Effect[],3,FALSE),EffectName[],IFERROR(MATCH(UI!$B$1,EffectName[#Headers],0),2),FALSE),"")</f>
        <v/>
      </c>
      <c r="X1915" t="str">
        <f t="shared" si="184"/>
        <v/>
      </c>
      <c r="Y1915">
        <v>0</v>
      </c>
      <c r="Z1915" t="str">
        <f>IF(Y1915&lt;&gt;0,VLOOKUP(VLOOKUP(Y1915,Tbl_Effect[],3,FALSE),EffectName[],IFERROR(MATCH(UI!$B$1,EffectName[#Headers],0),2),FALSE),"")</f>
        <v/>
      </c>
      <c r="AA1915" t="str">
        <f t="shared" si="185"/>
        <v/>
      </c>
      <c r="AB1915">
        <v>0</v>
      </c>
      <c r="AC1915" t="str">
        <f>IF(AB1915&lt;&gt;0,VLOOKUP(VLOOKUP(AB1915,Tbl_Effect[],3,FALSE),EffectName[],IFERROR(MATCH(UI!$B$1,EffectName[#Headers],0),2),FALSE),"")</f>
        <v/>
      </c>
    </row>
    <row r="1916" spans="8:29" x14ac:dyDescent="0.4">
      <c r="H1916" t="str">
        <f t="shared" si="182"/>
        <v/>
      </c>
      <c r="I1916">
        <v>0</v>
      </c>
      <c r="J1916" t="str">
        <f>_xlfn.IFNA(IF(I1916&lt;&gt;0,VLOOKUP(VLOOKUP(I1916,Tbl_Equip[],2,FALSE),Tbl_Color[],IFERROR(MATCH(UI!$B$1,Tbl_Color[#Headers],0),2),FALSE),""),"Unset")</f>
        <v/>
      </c>
      <c r="K1916" t="str">
        <f>_xlfn.IFNA(IF(I1916&lt;&gt;0,VLOOKUP(I1916,ItemText[],IFERROR(MATCH(UI!$B$1,ItemText[#Headers],0),2),FALSE),""),"Unset")</f>
        <v/>
      </c>
      <c r="M1916">
        <v>0</v>
      </c>
      <c r="P1916">
        <v>0</v>
      </c>
      <c r="S1916">
        <v>0</v>
      </c>
      <c r="T1916" t="str">
        <f>IF(VALUE(S1916)=0,"",VLOOKUP(VLOOKUP(S1916,Tbl_Effect[],3,FALSE),EffectName[],IFERROR(MATCH(UI!$B$1,EffectName[#Headers],0),2),FALSE))</f>
        <v/>
      </c>
      <c r="U1916" t="str">
        <f t="shared" si="183"/>
        <v/>
      </c>
      <c r="V1916">
        <v>0</v>
      </c>
      <c r="W1916" t="str">
        <f>IF(V1916&lt;&gt;0,VLOOKUP(VLOOKUP(V1916,Tbl_Effect[],3,FALSE),EffectName[],IFERROR(MATCH(UI!$B$1,EffectName[#Headers],0),2),FALSE),"")</f>
        <v/>
      </c>
      <c r="X1916" t="str">
        <f t="shared" si="184"/>
        <v/>
      </c>
      <c r="Y1916">
        <v>0</v>
      </c>
      <c r="Z1916" t="str">
        <f>IF(Y1916&lt;&gt;0,VLOOKUP(VLOOKUP(Y1916,Tbl_Effect[],3,FALSE),EffectName[],IFERROR(MATCH(UI!$B$1,EffectName[#Headers],0),2),FALSE),"")</f>
        <v/>
      </c>
      <c r="AA1916" t="str">
        <f t="shared" si="185"/>
        <v/>
      </c>
      <c r="AB1916">
        <v>0</v>
      </c>
      <c r="AC1916" t="str">
        <f>IF(AB1916&lt;&gt;0,VLOOKUP(VLOOKUP(AB1916,Tbl_Effect[],3,FALSE),EffectName[],IFERROR(MATCH(UI!$B$1,EffectName[#Headers],0),2),FALSE),"")</f>
        <v/>
      </c>
    </row>
    <row r="1917" spans="8:29" x14ac:dyDescent="0.4">
      <c r="H1917" t="str">
        <f t="shared" si="182"/>
        <v/>
      </c>
      <c r="I1917">
        <v>0</v>
      </c>
      <c r="J1917" t="str">
        <f>_xlfn.IFNA(IF(I1917&lt;&gt;0,VLOOKUP(VLOOKUP(I1917,Tbl_Equip[],2,FALSE),Tbl_Color[],IFERROR(MATCH(UI!$B$1,Tbl_Color[#Headers],0),2),FALSE),""),"Unset")</f>
        <v/>
      </c>
      <c r="K1917" t="str">
        <f>_xlfn.IFNA(IF(I1917&lt;&gt;0,VLOOKUP(I1917,ItemText[],IFERROR(MATCH(UI!$B$1,ItemText[#Headers],0),2),FALSE),""),"Unset")</f>
        <v/>
      </c>
      <c r="M1917">
        <v>0</v>
      </c>
      <c r="P1917">
        <v>0</v>
      </c>
      <c r="S1917">
        <v>0</v>
      </c>
      <c r="T1917" t="str">
        <f>IF(VALUE(S1917)=0,"",VLOOKUP(VLOOKUP(S1917,Tbl_Effect[],3,FALSE),EffectName[],IFERROR(MATCH(UI!$B$1,EffectName[#Headers],0),2),FALSE))</f>
        <v/>
      </c>
      <c r="U1917" t="str">
        <f t="shared" si="183"/>
        <v/>
      </c>
      <c r="V1917">
        <v>0</v>
      </c>
      <c r="W1917" t="str">
        <f>IF(V1917&lt;&gt;0,VLOOKUP(VLOOKUP(V1917,Tbl_Effect[],3,FALSE),EffectName[],IFERROR(MATCH(UI!$B$1,EffectName[#Headers],0),2),FALSE),"")</f>
        <v/>
      </c>
      <c r="X1917" t="str">
        <f t="shared" si="184"/>
        <v/>
      </c>
      <c r="Y1917">
        <v>0</v>
      </c>
      <c r="Z1917" t="str">
        <f>IF(Y1917&lt;&gt;0,VLOOKUP(VLOOKUP(Y1917,Tbl_Effect[],3,FALSE),EffectName[],IFERROR(MATCH(UI!$B$1,EffectName[#Headers],0),2),FALSE),"")</f>
        <v/>
      </c>
      <c r="AA1917" t="str">
        <f t="shared" si="185"/>
        <v/>
      </c>
      <c r="AB1917">
        <v>0</v>
      </c>
      <c r="AC1917" t="str">
        <f>IF(AB1917&lt;&gt;0,VLOOKUP(VLOOKUP(AB1917,Tbl_Effect[],3,FALSE),EffectName[],IFERROR(MATCH(UI!$B$1,EffectName[#Headers],0),2),FALSE),"")</f>
        <v/>
      </c>
    </row>
    <row r="1918" spans="8:29" x14ac:dyDescent="0.4">
      <c r="H1918" t="str">
        <f t="shared" si="182"/>
        <v/>
      </c>
      <c r="I1918">
        <v>0</v>
      </c>
      <c r="J1918" t="str">
        <f>_xlfn.IFNA(IF(I1918&lt;&gt;0,VLOOKUP(VLOOKUP(I1918,Tbl_Equip[],2,FALSE),Tbl_Color[],IFERROR(MATCH(UI!$B$1,Tbl_Color[#Headers],0),2),FALSE),""),"Unset")</f>
        <v/>
      </c>
      <c r="K1918" t="str">
        <f>_xlfn.IFNA(IF(I1918&lt;&gt;0,VLOOKUP(I1918,ItemText[],IFERROR(MATCH(UI!$B$1,ItemText[#Headers],0),2),FALSE),""),"Unset")</f>
        <v/>
      </c>
      <c r="M1918">
        <v>0</v>
      </c>
      <c r="P1918">
        <v>0</v>
      </c>
      <c r="S1918">
        <v>0</v>
      </c>
      <c r="T1918" t="str">
        <f>IF(VALUE(S1918)=0,"",VLOOKUP(VLOOKUP(S1918,Tbl_Effect[],3,FALSE),EffectName[],IFERROR(MATCH(UI!$B$1,EffectName[#Headers],0),2),FALSE))</f>
        <v/>
      </c>
      <c r="U1918" t="str">
        <f t="shared" si="183"/>
        <v/>
      </c>
      <c r="V1918">
        <v>0</v>
      </c>
      <c r="W1918" t="str">
        <f>IF(V1918&lt;&gt;0,VLOOKUP(VLOOKUP(V1918,Tbl_Effect[],3,FALSE),EffectName[],IFERROR(MATCH(UI!$B$1,EffectName[#Headers],0),2),FALSE),"")</f>
        <v/>
      </c>
      <c r="X1918" t="str">
        <f t="shared" si="184"/>
        <v/>
      </c>
      <c r="Y1918">
        <v>0</v>
      </c>
      <c r="Z1918" t="str">
        <f>IF(Y1918&lt;&gt;0,VLOOKUP(VLOOKUP(Y1918,Tbl_Effect[],3,FALSE),EffectName[],IFERROR(MATCH(UI!$B$1,EffectName[#Headers],0),2),FALSE),"")</f>
        <v/>
      </c>
      <c r="AA1918" t="str">
        <f t="shared" si="185"/>
        <v/>
      </c>
      <c r="AB1918">
        <v>0</v>
      </c>
      <c r="AC1918" t="str">
        <f>IF(AB1918&lt;&gt;0,VLOOKUP(VLOOKUP(AB1918,Tbl_Effect[],3,FALSE),EffectName[],IFERROR(MATCH(UI!$B$1,EffectName[#Headers],0),2),FALSE),"")</f>
        <v/>
      </c>
    </row>
    <row r="1919" spans="8:29" x14ac:dyDescent="0.4">
      <c r="H1919" t="str">
        <f t="shared" si="182"/>
        <v/>
      </c>
      <c r="I1919">
        <v>0</v>
      </c>
      <c r="J1919" t="str">
        <f>_xlfn.IFNA(IF(I1919&lt;&gt;0,VLOOKUP(VLOOKUP(I1919,Tbl_Equip[],2,FALSE),Tbl_Color[],IFERROR(MATCH(UI!$B$1,Tbl_Color[#Headers],0),2),FALSE),""),"Unset")</f>
        <v/>
      </c>
      <c r="K1919" t="str">
        <f>_xlfn.IFNA(IF(I1919&lt;&gt;0,VLOOKUP(I1919,ItemText[],IFERROR(MATCH(UI!$B$1,ItemText[#Headers],0),2),FALSE),""),"Unset")</f>
        <v/>
      </c>
      <c r="M1919">
        <v>0</v>
      </c>
      <c r="P1919">
        <v>0</v>
      </c>
      <c r="S1919">
        <v>0</v>
      </c>
      <c r="T1919" t="str">
        <f>IF(VALUE(S1919)=0,"",VLOOKUP(VLOOKUP(S1919,Tbl_Effect[],3,FALSE),EffectName[],IFERROR(MATCH(UI!$B$1,EffectName[#Headers],0),2),FALSE))</f>
        <v/>
      </c>
      <c r="U1919" t="str">
        <f t="shared" si="183"/>
        <v/>
      </c>
      <c r="V1919">
        <v>0</v>
      </c>
      <c r="W1919" t="str">
        <f>IF(V1919&lt;&gt;0,VLOOKUP(VLOOKUP(V1919,Tbl_Effect[],3,FALSE),EffectName[],IFERROR(MATCH(UI!$B$1,EffectName[#Headers],0),2),FALSE),"")</f>
        <v/>
      </c>
      <c r="X1919" t="str">
        <f t="shared" si="184"/>
        <v/>
      </c>
      <c r="Y1919">
        <v>0</v>
      </c>
      <c r="Z1919" t="str">
        <f>IF(Y1919&lt;&gt;0,VLOOKUP(VLOOKUP(Y1919,Tbl_Effect[],3,FALSE),EffectName[],IFERROR(MATCH(UI!$B$1,EffectName[#Headers],0),2),FALSE),"")</f>
        <v/>
      </c>
      <c r="AA1919" t="str">
        <f t="shared" si="185"/>
        <v/>
      </c>
      <c r="AB1919">
        <v>0</v>
      </c>
      <c r="AC1919" t="str">
        <f>IF(AB1919&lt;&gt;0,VLOOKUP(VLOOKUP(AB1919,Tbl_Effect[],3,FALSE),EffectName[],IFERROR(MATCH(UI!$B$1,EffectName[#Headers],0),2),FALSE),"")</f>
        <v/>
      </c>
    </row>
    <row r="1920" spans="8:29" x14ac:dyDescent="0.4">
      <c r="H1920" t="str">
        <f t="shared" si="182"/>
        <v/>
      </c>
      <c r="I1920">
        <v>0</v>
      </c>
      <c r="J1920" t="str">
        <f>_xlfn.IFNA(IF(I1920&lt;&gt;0,VLOOKUP(VLOOKUP(I1920,Tbl_Equip[],2,FALSE),Tbl_Color[],IFERROR(MATCH(UI!$B$1,Tbl_Color[#Headers],0),2),FALSE),""),"Unset")</f>
        <v/>
      </c>
      <c r="K1920" t="str">
        <f>_xlfn.IFNA(IF(I1920&lt;&gt;0,VLOOKUP(I1920,ItemText[],IFERROR(MATCH(UI!$B$1,ItemText[#Headers],0),2),FALSE),""),"Unset")</f>
        <v/>
      </c>
      <c r="M1920">
        <v>0</v>
      </c>
      <c r="P1920">
        <v>0</v>
      </c>
      <c r="S1920">
        <v>0</v>
      </c>
      <c r="T1920" t="str">
        <f>IF(VALUE(S1920)=0,"",VLOOKUP(VLOOKUP(S1920,Tbl_Effect[],3,FALSE),EffectName[],IFERROR(MATCH(UI!$B$1,EffectName[#Headers],0),2),FALSE))</f>
        <v/>
      </c>
      <c r="U1920" t="str">
        <f t="shared" si="183"/>
        <v/>
      </c>
      <c r="V1920">
        <v>0</v>
      </c>
      <c r="W1920" t="str">
        <f>IF(V1920&lt;&gt;0,VLOOKUP(VLOOKUP(V1920,Tbl_Effect[],3,FALSE),EffectName[],IFERROR(MATCH(UI!$B$1,EffectName[#Headers],0),2),FALSE),"")</f>
        <v/>
      </c>
      <c r="X1920" t="str">
        <f t="shared" si="184"/>
        <v/>
      </c>
      <c r="Y1920">
        <v>0</v>
      </c>
      <c r="Z1920" t="str">
        <f>IF(Y1920&lt;&gt;0,VLOOKUP(VLOOKUP(Y1920,Tbl_Effect[],3,FALSE),EffectName[],IFERROR(MATCH(UI!$B$1,EffectName[#Headers],0),2),FALSE),"")</f>
        <v/>
      </c>
      <c r="AA1920" t="str">
        <f t="shared" si="185"/>
        <v/>
      </c>
      <c r="AB1920">
        <v>0</v>
      </c>
      <c r="AC1920" t="str">
        <f>IF(AB1920&lt;&gt;0,VLOOKUP(VLOOKUP(AB1920,Tbl_Effect[],3,FALSE),EffectName[],IFERROR(MATCH(UI!$B$1,EffectName[#Headers],0),2),FALSE),"")</f>
        <v/>
      </c>
    </row>
    <row r="1921" spans="8:29" x14ac:dyDescent="0.4">
      <c r="H1921" t="str">
        <f t="shared" si="182"/>
        <v/>
      </c>
      <c r="I1921">
        <v>0</v>
      </c>
      <c r="J1921" t="str">
        <f>_xlfn.IFNA(IF(I1921&lt;&gt;0,VLOOKUP(VLOOKUP(I1921,Tbl_Equip[],2,FALSE),Tbl_Color[],IFERROR(MATCH(UI!$B$1,Tbl_Color[#Headers],0),2),FALSE),""),"Unset")</f>
        <v/>
      </c>
      <c r="K1921" t="str">
        <f>_xlfn.IFNA(IF(I1921&lt;&gt;0,VLOOKUP(I1921,ItemText[],IFERROR(MATCH(UI!$B$1,ItemText[#Headers],0),2),FALSE),""),"Unset")</f>
        <v/>
      </c>
      <c r="M1921">
        <v>0</v>
      </c>
      <c r="P1921">
        <v>0</v>
      </c>
      <c r="S1921">
        <v>0</v>
      </c>
      <c r="T1921" t="str">
        <f>IF(VALUE(S1921)=0,"",VLOOKUP(VLOOKUP(S1921,Tbl_Effect[],3,FALSE),EffectName[],IFERROR(MATCH(UI!$B$1,EffectName[#Headers],0),2),FALSE))</f>
        <v/>
      </c>
      <c r="U1921" t="str">
        <f t="shared" si="183"/>
        <v/>
      </c>
      <c r="V1921">
        <v>0</v>
      </c>
      <c r="W1921" t="str">
        <f>IF(V1921&lt;&gt;0,VLOOKUP(VLOOKUP(V1921,Tbl_Effect[],3,FALSE),EffectName[],IFERROR(MATCH(UI!$B$1,EffectName[#Headers],0),2),FALSE),"")</f>
        <v/>
      </c>
      <c r="X1921" t="str">
        <f t="shared" si="184"/>
        <v/>
      </c>
      <c r="Y1921">
        <v>0</v>
      </c>
      <c r="Z1921" t="str">
        <f>IF(Y1921&lt;&gt;0,VLOOKUP(VLOOKUP(Y1921,Tbl_Effect[],3,FALSE),EffectName[],IFERROR(MATCH(UI!$B$1,EffectName[#Headers],0),2),FALSE),"")</f>
        <v/>
      </c>
      <c r="AA1921" t="str">
        <f t="shared" si="185"/>
        <v/>
      </c>
      <c r="AB1921">
        <v>0</v>
      </c>
      <c r="AC1921" t="str">
        <f>IF(AB1921&lt;&gt;0,VLOOKUP(VLOOKUP(AB1921,Tbl_Effect[],3,FALSE),EffectName[],IFERROR(MATCH(UI!$B$1,EffectName[#Headers],0),2),FALSE),"")</f>
        <v/>
      </c>
    </row>
    <row r="1922" spans="8:29" x14ac:dyDescent="0.4">
      <c r="H1922" t="str">
        <f t="shared" si="182"/>
        <v/>
      </c>
      <c r="I1922">
        <v>0</v>
      </c>
      <c r="J1922" t="str">
        <f>_xlfn.IFNA(IF(I1922&lt;&gt;0,VLOOKUP(VLOOKUP(I1922,Tbl_Equip[],2,FALSE),Tbl_Color[],IFERROR(MATCH(UI!$B$1,Tbl_Color[#Headers],0),2),FALSE),""),"Unset")</f>
        <v/>
      </c>
      <c r="K1922" t="str">
        <f>_xlfn.IFNA(IF(I1922&lt;&gt;0,VLOOKUP(I1922,ItemText[],IFERROR(MATCH(UI!$B$1,ItemText[#Headers],0),2),FALSE),""),"Unset")</f>
        <v/>
      </c>
      <c r="M1922">
        <v>0</v>
      </c>
      <c r="P1922">
        <v>0</v>
      </c>
      <c r="S1922">
        <v>0</v>
      </c>
      <c r="T1922" t="str">
        <f>IF(VALUE(S1922)=0,"",VLOOKUP(VLOOKUP(S1922,Tbl_Effect[],3,FALSE),EffectName[],IFERROR(MATCH(UI!$B$1,EffectName[#Headers],0),2),FALSE))</f>
        <v/>
      </c>
      <c r="U1922" t="str">
        <f t="shared" si="183"/>
        <v/>
      </c>
      <c r="V1922">
        <v>0</v>
      </c>
      <c r="W1922" t="str">
        <f>IF(V1922&lt;&gt;0,VLOOKUP(VLOOKUP(V1922,Tbl_Effect[],3,FALSE),EffectName[],IFERROR(MATCH(UI!$B$1,EffectName[#Headers],0),2),FALSE),"")</f>
        <v/>
      </c>
      <c r="X1922" t="str">
        <f t="shared" si="184"/>
        <v/>
      </c>
      <c r="Y1922">
        <v>0</v>
      </c>
      <c r="Z1922" t="str">
        <f>IF(Y1922&lt;&gt;0,VLOOKUP(VLOOKUP(Y1922,Tbl_Effect[],3,FALSE),EffectName[],IFERROR(MATCH(UI!$B$1,EffectName[#Headers],0),2),FALSE),"")</f>
        <v/>
      </c>
      <c r="AA1922" t="str">
        <f t="shared" si="185"/>
        <v/>
      </c>
      <c r="AB1922">
        <v>0</v>
      </c>
      <c r="AC1922" t="str">
        <f>IF(AB1922&lt;&gt;0,VLOOKUP(VLOOKUP(AB1922,Tbl_Effect[],3,FALSE),EffectName[],IFERROR(MATCH(UI!$B$1,EffectName[#Headers],0),2),FALSE),"")</f>
        <v/>
      </c>
    </row>
    <row r="1923" spans="8:29" x14ac:dyDescent="0.4">
      <c r="H1923" t="str">
        <f t="shared" ref="H1923:H1986" si="186">IF(VALUE(I1923)&lt;&gt;0,I1923&amp;"-"&amp;K1923&amp;" ("&amp;J1923&amp;")","")</f>
        <v/>
      </c>
      <c r="I1923">
        <v>0</v>
      </c>
      <c r="J1923" t="str">
        <f>_xlfn.IFNA(IF(I1923&lt;&gt;0,VLOOKUP(VLOOKUP(I1923,Tbl_Equip[],2,FALSE),Tbl_Color[],IFERROR(MATCH(UI!$B$1,Tbl_Color[#Headers],0),2),FALSE),""),"Unset")</f>
        <v/>
      </c>
      <c r="K1923" t="str">
        <f>_xlfn.IFNA(IF(I1923&lt;&gt;0,VLOOKUP(I1923,ItemText[],IFERROR(MATCH(UI!$B$1,ItemText[#Headers],0),2),FALSE),""),"Unset")</f>
        <v/>
      </c>
      <c r="M1923">
        <v>0</v>
      </c>
      <c r="P1923">
        <v>0</v>
      </c>
      <c r="S1923">
        <v>0</v>
      </c>
      <c r="T1923" t="str">
        <f>IF(VALUE(S1923)=0,"",VLOOKUP(VLOOKUP(S1923,Tbl_Effect[],3,FALSE),EffectName[],IFERROR(MATCH(UI!$B$1,EffectName[#Headers],0),2),FALSE))</f>
        <v/>
      </c>
      <c r="U1923" t="str">
        <f t="shared" ref="U1923:U1986" si="187">IF(VALUE(V1923)=0,"",V1923&amp;"-"&amp;W1923)</f>
        <v/>
      </c>
      <c r="V1923">
        <v>0</v>
      </c>
      <c r="W1923" t="str">
        <f>IF(V1923&lt;&gt;0,VLOOKUP(VLOOKUP(V1923,Tbl_Effect[],3,FALSE),EffectName[],IFERROR(MATCH(UI!$B$1,EffectName[#Headers],0),2),FALSE),"")</f>
        <v/>
      </c>
      <c r="X1923" t="str">
        <f t="shared" ref="X1923:X1986" si="188">IF(VALUE(Y1923)=0,"",Y1923&amp;"-"&amp;Z1923)</f>
        <v/>
      </c>
      <c r="Y1923">
        <v>0</v>
      </c>
      <c r="Z1923" t="str">
        <f>IF(Y1923&lt;&gt;0,VLOOKUP(VLOOKUP(Y1923,Tbl_Effect[],3,FALSE),EffectName[],IFERROR(MATCH(UI!$B$1,EffectName[#Headers],0),2),FALSE),"")</f>
        <v/>
      </c>
      <c r="AA1923" t="str">
        <f t="shared" ref="AA1923:AA1986" si="189">IF(VALUE(AB1923)=0,"",AB1923&amp;"-"&amp;AC1923)</f>
        <v/>
      </c>
      <c r="AB1923">
        <v>0</v>
      </c>
      <c r="AC1923" t="str">
        <f>IF(AB1923&lt;&gt;0,VLOOKUP(VLOOKUP(AB1923,Tbl_Effect[],3,FALSE),EffectName[],IFERROR(MATCH(UI!$B$1,EffectName[#Headers],0),2),FALSE),"")</f>
        <v/>
      </c>
    </row>
    <row r="1924" spans="8:29" x14ac:dyDescent="0.4">
      <c r="H1924" t="str">
        <f t="shared" si="186"/>
        <v/>
      </c>
      <c r="I1924">
        <v>0</v>
      </c>
      <c r="J1924" t="str">
        <f>_xlfn.IFNA(IF(I1924&lt;&gt;0,VLOOKUP(VLOOKUP(I1924,Tbl_Equip[],2,FALSE),Tbl_Color[],IFERROR(MATCH(UI!$B$1,Tbl_Color[#Headers],0),2),FALSE),""),"Unset")</f>
        <v/>
      </c>
      <c r="K1924" t="str">
        <f>_xlfn.IFNA(IF(I1924&lt;&gt;0,VLOOKUP(I1924,ItemText[],IFERROR(MATCH(UI!$B$1,ItemText[#Headers],0),2),FALSE),""),"Unset")</f>
        <v/>
      </c>
      <c r="M1924">
        <v>0</v>
      </c>
      <c r="P1924">
        <v>0</v>
      </c>
      <c r="S1924">
        <v>0</v>
      </c>
      <c r="T1924" t="str">
        <f>IF(VALUE(S1924)=0,"",VLOOKUP(VLOOKUP(S1924,Tbl_Effect[],3,FALSE),EffectName[],IFERROR(MATCH(UI!$B$1,EffectName[#Headers],0),2),FALSE))</f>
        <v/>
      </c>
      <c r="U1924" t="str">
        <f t="shared" si="187"/>
        <v/>
      </c>
      <c r="V1924">
        <v>0</v>
      </c>
      <c r="W1924" t="str">
        <f>IF(V1924&lt;&gt;0,VLOOKUP(VLOOKUP(V1924,Tbl_Effect[],3,FALSE),EffectName[],IFERROR(MATCH(UI!$B$1,EffectName[#Headers],0),2),FALSE),"")</f>
        <v/>
      </c>
      <c r="X1924" t="str">
        <f t="shared" si="188"/>
        <v/>
      </c>
      <c r="Y1924">
        <v>0</v>
      </c>
      <c r="Z1924" t="str">
        <f>IF(Y1924&lt;&gt;0,VLOOKUP(VLOOKUP(Y1924,Tbl_Effect[],3,FALSE),EffectName[],IFERROR(MATCH(UI!$B$1,EffectName[#Headers],0),2),FALSE),"")</f>
        <v/>
      </c>
      <c r="AA1924" t="str">
        <f t="shared" si="189"/>
        <v/>
      </c>
      <c r="AB1924">
        <v>0</v>
      </c>
      <c r="AC1924" t="str">
        <f>IF(AB1924&lt;&gt;0,VLOOKUP(VLOOKUP(AB1924,Tbl_Effect[],3,FALSE),EffectName[],IFERROR(MATCH(UI!$B$1,EffectName[#Headers],0),2),FALSE),"")</f>
        <v/>
      </c>
    </row>
    <row r="1925" spans="8:29" x14ac:dyDescent="0.4">
      <c r="H1925" t="str">
        <f t="shared" si="186"/>
        <v/>
      </c>
      <c r="I1925">
        <v>0</v>
      </c>
      <c r="J1925" t="str">
        <f>_xlfn.IFNA(IF(I1925&lt;&gt;0,VLOOKUP(VLOOKUP(I1925,Tbl_Equip[],2,FALSE),Tbl_Color[],IFERROR(MATCH(UI!$B$1,Tbl_Color[#Headers],0),2),FALSE),""),"Unset")</f>
        <v/>
      </c>
      <c r="K1925" t="str">
        <f>_xlfn.IFNA(IF(I1925&lt;&gt;0,VLOOKUP(I1925,ItemText[],IFERROR(MATCH(UI!$B$1,ItemText[#Headers],0),2),FALSE),""),"Unset")</f>
        <v/>
      </c>
      <c r="M1925">
        <v>0</v>
      </c>
      <c r="P1925">
        <v>0</v>
      </c>
      <c r="S1925">
        <v>0</v>
      </c>
      <c r="T1925" t="str">
        <f>IF(VALUE(S1925)=0,"",VLOOKUP(VLOOKUP(S1925,Tbl_Effect[],3,FALSE),EffectName[],IFERROR(MATCH(UI!$B$1,EffectName[#Headers],0),2),FALSE))</f>
        <v/>
      </c>
      <c r="U1925" t="str">
        <f t="shared" si="187"/>
        <v/>
      </c>
      <c r="V1925">
        <v>0</v>
      </c>
      <c r="W1925" t="str">
        <f>IF(V1925&lt;&gt;0,VLOOKUP(VLOOKUP(V1925,Tbl_Effect[],3,FALSE),EffectName[],IFERROR(MATCH(UI!$B$1,EffectName[#Headers],0),2),FALSE),"")</f>
        <v/>
      </c>
      <c r="X1925" t="str">
        <f t="shared" si="188"/>
        <v/>
      </c>
      <c r="Y1925">
        <v>0</v>
      </c>
      <c r="Z1925" t="str">
        <f>IF(Y1925&lt;&gt;0,VLOOKUP(VLOOKUP(Y1925,Tbl_Effect[],3,FALSE),EffectName[],IFERROR(MATCH(UI!$B$1,EffectName[#Headers],0),2),FALSE),"")</f>
        <v/>
      </c>
      <c r="AA1925" t="str">
        <f t="shared" si="189"/>
        <v/>
      </c>
      <c r="AB1925">
        <v>0</v>
      </c>
      <c r="AC1925" t="str">
        <f>IF(AB1925&lt;&gt;0,VLOOKUP(VLOOKUP(AB1925,Tbl_Effect[],3,FALSE),EffectName[],IFERROR(MATCH(UI!$B$1,EffectName[#Headers],0),2),FALSE),"")</f>
        <v/>
      </c>
    </row>
    <row r="1926" spans="8:29" x14ac:dyDescent="0.4">
      <c r="H1926" t="str">
        <f t="shared" si="186"/>
        <v/>
      </c>
      <c r="I1926">
        <v>0</v>
      </c>
      <c r="J1926" t="str">
        <f>_xlfn.IFNA(IF(I1926&lt;&gt;0,VLOOKUP(VLOOKUP(I1926,Tbl_Equip[],2,FALSE),Tbl_Color[],IFERROR(MATCH(UI!$B$1,Tbl_Color[#Headers],0),2),FALSE),""),"Unset")</f>
        <v/>
      </c>
      <c r="K1926" t="str">
        <f>_xlfn.IFNA(IF(I1926&lt;&gt;0,VLOOKUP(I1926,ItemText[],IFERROR(MATCH(UI!$B$1,ItemText[#Headers],0),2),FALSE),""),"Unset")</f>
        <v/>
      </c>
      <c r="M1926">
        <v>0</v>
      </c>
      <c r="P1926">
        <v>0</v>
      </c>
      <c r="S1926">
        <v>0</v>
      </c>
      <c r="T1926" t="str">
        <f>IF(VALUE(S1926)=0,"",VLOOKUP(VLOOKUP(S1926,Tbl_Effect[],3,FALSE),EffectName[],IFERROR(MATCH(UI!$B$1,EffectName[#Headers],0),2),FALSE))</f>
        <v/>
      </c>
      <c r="U1926" t="str">
        <f t="shared" si="187"/>
        <v/>
      </c>
      <c r="V1926">
        <v>0</v>
      </c>
      <c r="W1926" t="str">
        <f>IF(V1926&lt;&gt;0,VLOOKUP(VLOOKUP(V1926,Tbl_Effect[],3,FALSE),EffectName[],IFERROR(MATCH(UI!$B$1,EffectName[#Headers],0),2),FALSE),"")</f>
        <v/>
      </c>
      <c r="X1926" t="str">
        <f t="shared" si="188"/>
        <v/>
      </c>
      <c r="Y1926">
        <v>0</v>
      </c>
      <c r="Z1926" t="str">
        <f>IF(Y1926&lt;&gt;0,VLOOKUP(VLOOKUP(Y1926,Tbl_Effect[],3,FALSE),EffectName[],IFERROR(MATCH(UI!$B$1,EffectName[#Headers],0),2),FALSE),"")</f>
        <v/>
      </c>
      <c r="AA1926" t="str">
        <f t="shared" si="189"/>
        <v/>
      </c>
      <c r="AB1926">
        <v>0</v>
      </c>
      <c r="AC1926" t="str">
        <f>IF(AB1926&lt;&gt;0,VLOOKUP(VLOOKUP(AB1926,Tbl_Effect[],3,FALSE),EffectName[],IFERROR(MATCH(UI!$B$1,EffectName[#Headers],0),2),FALSE),"")</f>
        <v/>
      </c>
    </row>
    <row r="1927" spans="8:29" x14ac:dyDescent="0.4">
      <c r="H1927" t="str">
        <f t="shared" si="186"/>
        <v/>
      </c>
      <c r="I1927">
        <v>0</v>
      </c>
      <c r="J1927" t="str">
        <f>_xlfn.IFNA(IF(I1927&lt;&gt;0,VLOOKUP(VLOOKUP(I1927,Tbl_Equip[],2,FALSE),Tbl_Color[],IFERROR(MATCH(UI!$B$1,Tbl_Color[#Headers],0),2),FALSE),""),"Unset")</f>
        <v/>
      </c>
      <c r="K1927" t="str">
        <f>_xlfn.IFNA(IF(I1927&lt;&gt;0,VLOOKUP(I1927,ItemText[],IFERROR(MATCH(UI!$B$1,ItemText[#Headers],0),2),FALSE),""),"Unset")</f>
        <v/>
      </c>
      <c r="M1927">
        <v>0</v>
      </c>
      <c r="P1927">
        <v>0</v>
      </c>
      <c r="S1927">
        <v>0</v>
      </c>
      <c r="T1927" t="str">
        <f>IF(VALUE(S1927)=0,"",VLOOKUP(VLOOKUP(S1927,Tbl_Effect[],3,FALSE),EffectName[],IFERROR(MATCH(UI!$B$1,EffectName[#Headers],0),2),FALSE))</f>
        <v/>
      </c>
      <c r="U1927" t="str">
        <f t="shared" si="187"/>
        <v/>
      </c>
      <c r="V1927">
        <v>0</v>
      </c>
      <c r="W1927" t="str">
        <f>IF(V1927&lt;&gt;0,VLOOKUP(VLOOKUP(V1927,Tbl_Effect[],3,FALSE),EffectName[],IFERROR(MATCH(UI!$B$1,EffectName[#Headers],0),2),FALSE),"")</f>
        <v/>
      </c>
      <c r="X1927" t="str">
        <f t="shared" si="188"/>
        <v/>
      </c>
      <c r="Y1927">
        <v>0</v>
      </c>
      <c r="Z1927" t="str">
        <f>IF(Y1927&lt;&gt;0,VLOOKUP(VLOOKUP(Y1927,Tbl_Effect[],3,FALSE),EffectName[],IFERROR(MATCH(UI!$B$1,EffectName[#Headers],0),2),FALSE),"")</f>
        <v/>
      </c>
      <c r="AA1927" t="str">
        <f t="shared" si="189"/>
        <v/>
      </c>
      <c r="AB1927">
        <v>0</v>
      </c>
      <c r="AC1927" t="str">
        <f>IF(AB1927&lt;&gt;0,VLOOKUP(VLOOKUP(AB1927,Tbl_Effect[],3,FALSE),EffectName[],IFERROR(MATCH(UI!$B$1,EffectName[#Headers],0),2),FALSE),"")</f>
        <v/>
      </c>
    </row>
    <row r="1928" spans="8:29" x14ac:dyDescent="0.4">
      <c r="H1928" t="str">
        <f t="shared" si="186"/>
        <v/>
      </c>
      <c r="I1928">
        <v>0</v>
      </c>
      <c r="J1928" t="str">
        <f>_xlfn.IFNA(IF(I1928&lt;&gt;0,VLOOKUP(VLOOKUP(I1928,Tbl_Equip[],2,FALSE),Tbl_Color[],IFERROR(MATCH(UI!$B$1,Tbl_Color[#Headers],0),2),FALSE),""),"Unset")</f>
        <v/>
      </c>
      <c r="K1928" t="str">
        <f>_xlfn.IFNA(IF(I1928&lt;&gt;0,VLOOKUP(I1928,ItemText[],IFERROR(MATCH(UI!$B$1,ItemText[#Headers],0),2),FALSE),""),"Unset")</f>
        <v/>
      </c>
      <c r="M1928">
        <v>0</v>
      </c>
      <c r="P1928">
        <v>0</v>
      </c>
      <c r="S1928">
        <v>0</v>
      </c>
      <c r="T1928" t="str">
        <f>IF(VALUE(S1928)=0,"",VLOOKUP(VLOOKUP(S1928,Tbl_Effect[],3,FALSE),EffectName[],IFERROR(MATCH(UI!$B$1,EffectName[#Headers],0),2),FALSE))</f>
        <v/>
      </c>
      <c r="U1928" t="str">
        <f t="shared" si="187"/>
        <v/>
      </c>
      <c r="V1928">
        <v>0</v>
      </c>
      <c r="W1928" t="str">
        <f>IF(V1928&lt;&gt;0,VLOOKUP(VLOOKUP(V1928,Tbl_Effect[],3,FALSE),EffectName[],IFERROR(MATCH(UI!$B$1,EffectName[#Headers],0),2),FALSE),"")</f>
        <v/>
      </c>
      <c r="X1928" t="str">
        <f t="shared" si="188"/>
        <v/>
      </c>
      <c r="Y1928">
        <v>0</v>
      </c>
      <c r="Z1928" t="str">
        <f>IF(Y1928&lt;&gt;0,VLOOKUP(VLOOKUP(Y1928,Tbl_Effect[],3,FALSE),EffectName[],IFERROR(MATCH(UI!$B$1,EffectName[#Headers],0),2),FALSE),"")</f>
        <v/>
      </c>
      <c r="AA1928" t="str">
        <f t="shared" si="189"/>
        <v/>
      </c>
      <c r="AB1928">
        <v>0</v>
      </c>
      <c r="AC1928" t="str">
        <f>IF(AB1928&lt;&gt;0,VLOOKUP(VLOOKUP(AB1928,Tbl_Effect[],3,FALSE),EffectName[],IFERROR(MATCH(UI!$B$1,EffectName[#Headers],0),2),FALSE),"")</f>
        <v/>
      </c>
    </row>
    <row r="1929" spans="8:29" x14ac:dyDescent="0.4">
      <c r="H1929" t="str">
        <f t="shared" si="186"/>
        <v/>
      </c>
      <c r="I1929">
        <v>0</v>
      </c>
      <c r="J1929" t="str">
        <f>_xlfn.IFNA(IF(I1929&lt;&gt;0,VLOOKUP(VLOOKUP(I1929,Tbl_Equip[],2,FALSE),Tbl_Color[],IFERROR(MATCH(UI!$B$1,Tbl_Color[#Headers],0),2),FALSE),""),"Unset")</f>
        <v/>
      </c>
      <c r="K1929" t="str">
        <f>_xlfn.IFNA(IF(I1929&lt;&gt;0,VLOOKUP(I1929,ItemText[],IFERROR(MATCH(UI!$B$1,ItemText[#Headers],0),2),FALSE),""),"Unset")</f>
        <v/>
      </c>
      <c r="M1929">
        <v>0</v>
      </c>
      <c r="P1929">
        <v>0</v>
      </c>
      <c r="S1929">
        <v>0</v>
      </c>
      <c r="T1929" t="str">
        <f>IF(VALUE(S1929)=0,"",VLOOKUP(VLOOKUP(S1929,Tbl_Effect[],3,FALSE),EffectName[],IFERROR(MATCH(UI!$B$1,EffectName[#Headers],0),2),FALSE))</f>
        <v/>
      </c>
      <c r="U1929" t="str">
        <f t="shared" si="187"/>
        <v/>
      </c>
      <c r="V1929">
        <v>0</v>
      </c>
      <c r="W1929" t="str">
        <f>IF(V1929&lt;&gt;0,VLOOKUP(VLOOKUP(V1929,Tbl_Effect[],3,FALSE),EffectName[],IFERROR(MATCH(UI!$B$1,EffectName[#Headers],0),2),FALSE),"")</f>
        <v/>
      </c>
      <c r="X1929" t="str">
        <f t="shared" si="188"/>
        <v/>
      </c>
      <c r="Y1929">
        <v>0</v>
      </c>
      <c r="Z1929" t="str">
        <f>IF(Y1929&lt;&gt;0,VLOOKUP(VLOOKUP(Y1929,Tbl_Effect[],3,FALSE),EffectName[],IFERROR(MATCH(UI!$B$1,EffectName[#Headers],0),2),FALSE),"")</f>
        <v/>
      </c>
      <c r="AA1929" t="str">
        <f t="shared" si="189"/>
        <v/>
      </c>
      <c r="AB1929">
        <v>0</v>
      </c>
      <c r="AC1929" t="str">
        <f>IF(AB1929&lt;&gt;0,VLOOKUP(VLOOKUP(AB1929,Tbl_Effect[],3,FALSE),EffectName[],IFERROR(MATCH(UI!$B$1,EffectName[#Headers],0),2),FALSE),"")</f>
        <v/>
      </c>
    </row>
    <row r="1930" spans="8:29" x14ac:dyDescent="0.4">
      <c r="H1930" t="str">
        <f t="shared" si="186"/>
        <v/>
      </c>
      <c r="I1930">
        <v>0</v>
      </c>
      <c r="J1930" t="str">
        <f>_xlfn.IFNA(IF(I1930&lt;&gt;0,VLOOKUP(VLOOKUP(I1930,Tbl_Equip[],2,FALSE),Tbl_Color[],IFERROR(MATCH(UI!$B$1,Tbl_Color[#Headers],0),2),FALSE),""),"Unset")</f>
        <v/>
      </c>
      <c r="K1930" t="str">
        <f>_xlfn.IFNA(IF(I1930&lt;&gt;0,VLOOKUP(I1930,ItemText[],IFERROR(MATCH(UI!$B$1,ItemText[#Headers],0),2),FALSE),""),"Unset")</f>
        <v/>
      </c>
      <c r="M1930">
        <v>0</v>
      </c>
      <c r="P1930">
        <v>0</v>
      </c>
      <c r="S1930">
        <v>0</v>
      </c>
      <c r="T1930" t="str">
        <f>IF(VALUE(S1930)=0,"",VLOOKUP(VLOOKUP(S1930,Tbl_Effect[],3,FALSE),EffectName[],IFERROR(MATCH(UI!$B$1,EffectName[#Headers],0),2),FALSE))</f>
        <v/>
      </c>
      <c r="U1930" t="str">
        <f t="shared" si="187"/>
        <v/>
      </c>
      <c r="V1930">
        <v>0</v>
      </c>
      <c r="W1930" t="str">
        <f>IF(V1930&lt;&gt;0,VLOOKUP(VLOOKUP(V1930,Tbl_Effect[],3,FALSE),EffectName[],IFERROR(MATCH(UI!$B$1,EffectName[#Headers],0),2),FALSE),"")</f>
        <v/>
      </c>
      <c r="X1930" t="str">
        <f t="shared" si="188"/>
        <v/>
      </c>
      <c r="Y1930">
        <v>0</v>
      </c>
      <c r="Z1930" t="str">
        <f>IF(Y1930&lt;&gt;0,VLOOKUP(VLOOKUP(Y1930,Tbl_Effect[],3,FALSE),EffectName[],IFERROR(MATCH(UI!$B$1,EffectName[#Headers],0),2),FALSE),"")</f>
        <v/>
      </c>
      <c r="AA1930" t="str">
        <f t="shared" si="189"/>
        <v/>
      </c>
      <c r="AB1930">
        <v>0</v>
      </c>
      <c r="AC1930" t="str">
        <f>IF(AB1930&lt;&gt;0,VLOOKUP(VLOOKUP(AB1930,Tbl_Effect[],3,FALSE),EffectName[],IFERROR(MATCH(UI!$B$1,EffectName[#Headers],0),2),FALSE),"")</f>
        <v/>
      </c>
    </row>
    <row r="1931" spans="8:29" x14ac:dyDescent="0.4">
      <c r="H1931" t="str">
        <f t="shared" si="186"/>
        <v/>
      </c>
      <c r="I1931">
        <v>0</v>
      </c>
      <c r="J1931" t="str">
        <f>_xlfn.IFNA(IF(I1931&lt;&gt;0,VLOOKUP(VLOOKUP(I1931,Tbl_Equip[],2,FALSE),Tbl_Color[],IFERROR(MATCH(UI!$B$1,Tbl_Color[#Headers],0),2),FALSE),""),"Unset")</f>
        <v/>
      </c>
      <c r="K1931" t="str">
        <f>_xlfn.IFNA(IF(I1931&lt;&gt;0,VLOOKUP(I1931,ItemText[],IFERROR(MATCH(UI!$B$1,ItemText[#Headers],0),2),FALSE),""),"Unset")</f>
        <v/>
      </c>
      <c r="M1931">
        <v>0</v>
      </c>
      <c r="P1931">
        <v>0</v>
      </c>
      <c r="S1931">
        <v>0</v>
      </c>
      <c r="T1931" t="str">
        <f>IF(VALUE(S1931)=0,"",VLOOKUP(VLOOKUP(S1931,Tbl_Effect[],3,FALSE),EffectName[],IFERROR(MATCH(UI!$B$1,EffectName[#Headers],0),2),FALSE))</f>
        <v/>
      </c>
      <c r="U1931" t="str">
        <f t="shared" si="187"/>
        <v/>
      </c>
      <c r="V1931">
        <v>0</v>
      </c>
      <c r="W1931" t="str">
        <f>IF(V1931&lt;&gt;0,VLOOKUP(VLOOKUP(V1931,Tbl_Effect[],3,FALSE),EffectName[],IFERROR(MATCH(UI!$B$1,EffectName[#Headers],0),2),FALSE),"")</f>
        <v/>
      </c>
      <c r="X1931" t="str">
        <f t="shared" si="188"/>
        <v/>
      </c>
      <c r="Y1931">
        <v>0</v>
      </c>
      <c r="Z1931" t="str">
        <f>IF(Y1931&lt;&gt;0,VLOOKUP(VLOOKUP(Y1931,Tbl_Effect[],3,FALSE),EffectName[],IFERROR(MATCH(UI!$B$1,EffectName[#Headers],0),2),FALSE),"")</f>
        <v/>
      </c>
      <c r="AA1931" t="str">
        <f t="shared" si="189"/>
        <v/>
      </c>
      <c r="AB1931">
        <v>0</v>
      </c>
      <c r="AC1931" t="str">
        <f>IF(AB1931&lt;&gt;0,VLOOKUP(VLOOKUP(AB1931,Tbl_Effect[],3,FALSE),EffectName[],IFERROR(MATCH(UI!$B$1,EffectName[#Headers],0),2),FALSE),"")</f>
        <v/>
      </c>
    </row>
    <row r="1932" spans="8:29" x14ac:dyDescent="0.4">
      <c r="H1932" t="str">
        <f t="shared" si="186"/>
        <v/>
      </c>
      <c r="I1932">
        <v>0</v>
      </c>
      <c r="J1932" t="str">
        <f>_xlfn.IFNA(IF(I1932&lt;&gt;0,VLOOKUP(VLOOKUP(I1932,Tbl_Equip[],2,FALSE),Tbl_Color[],IFERROR(MATCH(UI!$B$1,Tbl_Color[#Headers],0),2),FALSE),""),"Unset")</f>
        <v/>
      </c>
      <c r="K1932" t="str">
        <f>_xlfn.IFNA(IF(I1932&lt;&gt;0,VLOOKUP(I1932,ItemText[],IFERROR(MATCH(UI!$B$1,ItemText[#Headers],0),2),FALSE),""),"Unset")</f>
        <v/>
      </c>
      <c r="M1932">
        <v>0</v>
      </c>
      <c r="P1932">
        <v>0</v>
      </c>
      <c r="S1932">
        <v>0</v>
      </c>
      <c r="T1932" t="str">
        <f>IF(VALUE(S1932)=0,"",VLOOKUP(VLOOKUP(S1932,Tbl_Effect[],3,FALSE),EffectName[],IFERROR(MATCH(UI!$B$1,EffectName[#Headers],0),2),FALSE))</f>
        <v/>
      </c>
      <c r="U1932" t="str">
        <f t="shared" si="187"/>
        <v/>
      </c>
      <c r="V1932">
        <v>0</v>
      </c>
      <c r="W1932" t="str">
        <f>IF(V1932&lt;&gt;0,VLOOKUP(VLOOKUP(V1932,Tbl_Effect[],3,FALSE),EffectName[],IFERROR(MATCH(UI!$B$1,EffectName[#Headers],0),2),FALSE),"")</f>
        <v/>
      </c>
      <c r="X1932" t="str">
        <f t="shared" si="188"/>
        <v/>
      </c>
      <c r="Y1932">
        <v>0</v>
      </c>
      <c r="Z1932" t="str">
        <f>IF(Y1932&lt;&gt;0,VLOOKUP(VLOOKUP(Y1932,Tbl_Effect[],3,FALSE),EffectName[],IFERROR(MATCH(UI!$B$1,EffectName[#Headers],0),2),FALSE),"")</f>
        <v/>
      </c>
      <c r="AA1932" t="str">
        <f t="shared" si="189"/>
        <v/>
      </c>
      <c r="AB1932">
        <v>0</v>
      </c>
      <c r="AC1932" t="str">
        <f>IF(AB1932&lt;&gt;0,VLOOKUP(VLOOKUP(AB1932,Tbl_Effect[],3,FALSE),EffectName[],IFERROR(MATCH(UI!$B$1,EffectName[#Headers],0),2),FALSE),"")</f>
        <v/>
      </c>
    </row>
    <row r="1933" spans="8:29" x14ac:dyDescent="0.4">
      <c r="H1933" t="str">
        <f t="shared" si="186"/>
        <v/>
      </c>
      <c r="I1933">
        <v>0</v>
      </c>
      <c r="J1933" t="str">
        <f>_xlfn.IFNA(IF(I1933&lt;&gt;0,VLOOKUP(VLOOKUP(I1933,Tbl_Equip[],2,FALSE),Tbl_Color[],IFERROR(MATCH(UI!$B$1,Tbl_Color[#Headers],0),2),FALSE),""),"Unset")</f>
        <v/>
      </c>
      <c r="K1933" t="str">
        <f>_xlfn.IFNA(IF(I1933&lt;&gt;0,VLOOKUP(I1933,ItemText[],IFERROR(MATCH(UI!$B$1,ItemText[#Headers],0),2),FALSE),""),"Unset")</f>
        <v/>
      </c>
      <c r="M1933">
        <v>0</v>
      </c>
      <c r="P1933">
        <v>0</v>
      </c>
      <c r="S1933">
        <v>0</v>
      </c>
      <c r="T1933" t="str">
        <f>IF(VALUE(S1933)=0,"",VLOOKUP(VLOOKUP(S1933,Tbl_Effect[],3,FALSE),EffectName[],IFERROR(MATCH(UI!$B$1,EffectName[#Headers],0),2),FALSE))</f>
        <v/>
      </c>
      <c r="U1933" t="str">
        <f t="shared" si="187"/>
        <v/>
      </c>
      <c r="V1933">
        <v>0</v>
      </c>
      <c r="W1933" t="str">
        <f>IF(V1933&lt;&gt;0,VLOOKUP(VLOOKUP(V1933,Tbl_Effect[],3,FALSE),EffectName[],IFERROR(MATCH(UI!$B$1,EffectName[#Headers],0),2),FALSE),"")</f>
        <v/>
      </c>
      <c r="X1933" t="str">
        <f t="shared" si="188"/>
        <v/>
      </c>
      <c r="Y1933">
        <v>0</v>
      </c>
      <c r="Z1933" t="str">
        <f>IF(Y1933&lt;&gt;0,VLOOKUP(VLOOKUP(Y1933,Tbl_Effect[],3,FALSE),EffectName[],IFERROR(MATCH(UI!$B$1,EffectName[#Headers],0),2),FALSE),"")</f>
        <v/>
      </c>
      <c r="AA1933" t="str">
        <f t="shared" si="189"/>
        <v/>
      </c>
      <c r="AB1933">
        <v>0</v>
      </c>
      <c r="AC1933" t="str">
        <f>IF(AB1933&lt;&gt;0,VLOOKUP(VLOOKUP(AB1933,Tbl_Effect[],3,FALSE),EffectName[],IFERROR(MATCH(UI!$B$1,EffectName[#Headers],0),2),FALSE),"")</f>
        <v/>
      </c>
    </row>
    <row r="1934" spans="8:29" x14ac:dyDescent="0.4">
      <c r="H1934" t="str">
        <f t="shared" si="186"/>
        <v/>
      </c>
      <c r="I1934">
        <v>0</v>
      </c>
      <c r="J1934" t="str">
        <f>_xlfn.IFNA(IF(I1934&lt;&gt;0,VLOOKUP(VLOOKUP(I1934,Tbl_Equip[],2,FALSE),Tbl_Color[],IFERROR(MATCH(UI!$B$1,Tbl_Color[#Headers],0),2),FALSE),""),"Unset")</f>
        <v/>
      </c>
      <c r="K1934" t="str">
        <f>_xlfn.IFNA(IF(I1934&lt;&gt;0,VLOOKUP(I1934,ItemText[],IFERROR(MATCH(UI!$B$1,ItemText[#Headers],0),2),FALSE),""),"Unset")</f>
        <v/>
      </c>
      <c r="M1934">
        <v>0</v>
      </c>
      <c r="P1934">
        <v>0</v>
      </c>
      <c r="S1934">
        <v>0</v>
      </c>
      <c r="T1934" t="str">
        <f>IF(VALUE(S1934)=0,"",VLOOKUP(VLOOKUP(S1934,Tbl_Effect[],3,FALSE),EffectName[],IFERROR(MATCH(UI!$B$1,EffectName[#Headers],0),2),FALSE))</f>
        <v/>
      </c>
      <c r="U1934" t="str">
        <f t="shared" si="187"/>
        <v/>
      </c>
      <c r="V1934">
        <v>0</v>
      </c>
      <c r="W1934" t="str">
        <f>IF(V1934&lt;&gt;0,VLOOKUP(VLOOKUP(V1934,Tbl_Effect[],3,FALSE),EffectName[],IFERROR(MATCH(UI!$B$1,EffectName[#Headers],0),2),FALSE),"")</f>
        <v/>
      </c>
      <c r="X1934" t="str">
        <f t="shared" si="188"/>
        <v/>
      </c>
      <c r="Y1934">
        <v>0</v>
      </c>
      <c r="Z1934" t="str">
        <f>IF(Y1934&lt;&gt;0,VLOOKUP(VLOOKUP(Y1934,Tbl_Effect[],3,FALSE),EffectName[],IFERROR(MATCH(UI!$B$1,EffectName[#Headers],0),2),FALSE),"")</f>
        <v/>
      </c>
      <c r="AA1934" t="str">
        <f t="shared" si="189"/>
        <v/>
      </c>
      <c r="AB1934">
        <v>0</v>
      </c>
      <c r="AC1934" t="str">
        <f>IF(AB1934&lt;&gt;0,VLOOKUP(VLOOKUP(AB1934,Tbl_Effect[],3,FALSE),EffectName[],IFERROR(MATCH(UI!$B$1,EffectName[#Headers],0),2),FALSE),"")</f>
        <v/>
      </c>
    </row>
    <row r="1935" spans="8:29" x14ac:dyDescent="0.4">
      <c r="H1935" t="str">
        <f t="shared" si="186"/>
        <v/>
      </c>
      <c r="I1935">
        <v>0</v>
      </c>
      <c r="J1935" t="str">
        <f>_xlfn.IFNA(IF(I1935&lt;&gt;0,VLOOKUP(VLOOKUP(I1935,Tbl_Equip[],2,FALSE),Tbl_Color[],IFERROR(MATCH(UI!$B$1,Tbl_Color[#Headers],0),2),FALSE),""),"Unset")</f>
        <v/>
      </c>
      <c r="K1935" t="str">
        <f>_xlfn.IFNA(IF(I1935&lt;&gt;0,VLOOKUP(I1935,ItemText[],IFERROR(MATCH(UI!$B$1,ItemText[#Headers],0),2),FALSE),""),"Unset")</f>
        <v/>
      </c>
      <c r="M1935">
        <v>0</v>
      </c>
      <c r="P1935">
        <v>0</v>
      </c>
      <c r="S1935">
        <v>0</v>
      </c>
      <c r="T1935" t="str">
        <f>IF(VALUE(S1935)=0,"",VLOOKUP(VLOOKUP(S1935,Tbl_Effect[],3,FALSE),EffectName[],IFERROR(MATCH(UI!$B$1,EffectName[#Headers],0),2),FALSE))</f>
        <v/>
      </c>
      <c r="U1935" t="str">
        <f t="shared" si="187"/>
        <v/>
      </c>
      <c r="V1935">
        <v>0</v>
      </c>
      <c r="W1935" t="str">
        <f>IF(V1935&lt;&gt;0,VLOOKUP(VLOOKUP(V1935,Tbl_Effect[],3,FALSE),EffectName[],IFERROR(MATCH(UI!$B$1,EffectName[#Headers],0),2),FALSE),"")</f>
        <v/>
      </c>
      <c r="X1935" t="str">
        <f t="shared" si="188"/>
        <v/>
      </c>
      <c r="Y1935">
        <v>0</v>
      </c>
      <c r="Z1935" t="str">
        <f>IF(Y1935&lt;&gt;0,VLOOKUP(VLOOKUP(Y1935,Tbl_Effect[],3,FALSE),EffectName[],IFERROR(MATCH(UI!$B$1,EffectName[#Headers],0),2),FALSE),"")</f>
        <v/>
      </c>
      <c r="AA1935" t="str">
        <f t="shared" si="189"/>
        <v/>
      </c>
      <c r="AB1935">
        <v>0</v>
      </c>
      <c r="AC1935" t="str">
        <f>IF(AB1935&lt;&gt;0,VLOOKUP(VLOOKUP(AB1935,Tbl_Effect[],3,FALSE),EffectName[],IFERROR(MATCH(UI!$B$1,EffectName[#Headers],0),2),FALSE),"")</f>
        <v/>
      </c>
    </row>
    <row r="1936" spans="8:29" x14ac:dyDescent="0.4">
      <c r="H1936" t="str">
        <f t="shared" si="186"/>
        <v/>
      </c>
      <c r="I1936">
        <v>0</v>
      </c>
      <c r="J1936" t="str">
        <f>_xlfn.IFNA(IF(I1936&lt;&gt;0,VLOOKUP(VLOOKUP(I1936,Tbl_Equip[],2,FALSE),Tbl_Color[],IFERROR(MATCH(UI!$B$1,Tbl_Color[#Headers],0),2),FALSE),""),"Unset")</f>
        <v/>
      </c>
      <c r="K1936" t="str">
        <f>_xlfn.IFNA(IF(I1936&lt;&gt;0,VLOOKUP(I1936,ItemText[],IFERROR(MATCH(UI!$B$1,ItemText[#Headers],0),2),FALSE),""),"Unset")</f>
        <v/>
      </c>
      <c r="M1936">
        <v>0</v>
      </c>
      <c r="P1936">
        <v>0</v>
      </c>
      <c r="S1936">
        <v>0</v>
      </c>
      <c r="T1936" t="str">
        <f>IF(VALUE(S1936)=0,"",VLOOKUP(VLOOKUP(S1936,Tbl_Effect[],3,FALSE),EffectName[],IFERROR(MATCH(UI!$B$1,EffectName[#Headers],0),2),FALSE))</f>
        <v/>
      </c>
      <c r="U1936" t="str">
        <f t="shared" si="187"/>
        <v/>
      </c>
      <c r="V1936">
        <v>0</v>
      </c>
      <c r="W1936" t="str">
        <f>IF(V1936&lt;&gt;0,VLOOKUP(VLOOKUP(V1936,Tbl_Effect[],3,FALSE),EffectName[],IFERROR(MATCH(UI!$B$1,EffectName[#Headers],0),2),FALSE),"")</f>
        <v/>
      </c>
      <c r="X1936" t="str">
        <f t="shared" si="188"/>
        <v/>
      </c>
      <c r="Y1936">
        <v>0</v>
      </c>
      <c r="Z1936" t="str">
        <f>IF(Y1936&lt;&gt;0,VLOOKUP(VLOOKUP(Y1936,Tbl_Effect[],3,FALSE),EffectName[],IFERROR(MATCH(UI!$B$1,EffectName[#Headers],0),2),FALSE),"")</f>
        <v/>
      </c>
      <c r="AA1936" t="str">
        <f t="shared" si="189"/>
        <v/>
      </c>
      <c r="AB1936">
        <v>0</v>
      </c>
      <c r="AC1936" t="str">
        <f>IF(AB1936&lt;&gt;0,VLOOKUP(VLOOKUP(AB1936,Tbl_Effect[],3,FALSE),EffectName[],IFERROR(MATCH(UI!$B$1,EffectName[#Headers],0),2),FALSE),"")</f>
        <v/>
      </c>
    </row>
    <row r="1937" spans="8:29" x14ac:dyDescent="0.4">
      <c r="H1937" t="str">
        <f t="shared" si="186"/>
        <v/>
      </c>
      <c r="I1937">
        <v>0</v>
      </c>
      <c r="J1937" t="str">
        <f>_xlfn.IFNA(IF(I1937&lt;&gt;0,VLOOKUP(VLOOKUP(I1937,Tbl_Equip[],2,FALSE),Tbl_Color[],IFERROR(MATCH(UI!$B$1,Tbl_Color[#Headers],0),2),FALSE),""),"Unset")</f>
        <v/>
      </c>
      <c r="K1937" t="str">
        <f>_xlfn.IFNA(IF(I1937&lt;&gt;0,VLOOKUP(I1937,ItemText[],IFERROR(MATCH(UI!$B$1,ItemText[#Headers],0),2),FALSE),""),"Unset")</f>
        <v/>
      </c>
      <c r="M1937">
        <v>0</v>
      </c>
      <c r="P1937">
        <v>0</v>
      </c>
      <c r="S1937">
        <v>0</v>
      </c>
      <c r="T1937" t="str">
        <f>IF(VALUE(S1937)=0,"",VLOOKUP(VLOOKUP(S1937,Tbl_Effect[],3,FALSE),EffectName[],IFERROR(MATCH(UI!$B$1,EffectName[#Headers],0),2),FALSE))</f>
        <v/>
      </c>
      <c r="U1937" t="str">
        <f t="shared" si="187"/>
        <v/>
      </c>
      <c r="V1937">
        <v>0</v>
      </c>
      <c r="W1937" t="str">
        <f>IF(V1937&lt;&gt;0,VLOOKUP(VLOOKUP(V1937,Tbl_Effect[],3,FALSE),EffectName[],IFERROR(MATCH(UI!$B$1,EffectName[#Headers],0),2),FALSE),"")</f>
        <v/>
      </c>
      <c r="X1937" t="str">
        <f t="shared" si="188"/>
        <v/>
      </c>
      <c r="Y1937">
        <v>0</v>
      </c>
      <c r="Z1937" t="str">
        <f>IF(Y1937&lt;&gt;0,VLOOKUP(VLOOKUP(Y1937,Tbl_Effect[],3,FALSE),EffectName[],IFERROR(MATCH(UI!$B$1,EffectName[#Headers],0),2),FALSE),"")</f>
        <v/>
      </c>
      <c r="AA1937" t="str">
        <f t="shared" si="189"/>
        <v/>
      </c>
      <c r="AB1937">
        <v>0</v>
      </c>
      <c r="AC1937" t="str">
        <f>IF(AB1937&lt;&gt;0,VLOOKUP(VLOOKUP(AB1937,Tbl_Effect[],3,FALSE),EffectName[],IFERROR(MATCH(UI!$B$1,EffectName[#Headers],0),2),FALSE),"")</f>
        <v/>
      </c>
    </row>
    <row r="1938" spans="8:29" x14ac:dyDescent="0.4">
      <c r="H1938" t="str">
        <f t="shared" si="186"/>
        <v/>
      </c>
      <c r="I1938">
        <v>0</v>
      </c>
      <c r="J1938" t="str">
        <f>_xlfn.IFNA(IF(I1938&lt;&gt;0,VLOOKUP(VLOOKUP(I1938,Tbl_Equip[],2,FALSE),Tbl_Color[],IFERROR(MATCH(UI!$B$1,Tbl_Color[#Headers],0),2),FALSE),""),"Unset")</f>
        <v/>
      </c>
      <c r="K1938" t="str">
        <f>_xlfn.IFNA(IF(I1938&lt;&gt;0,VLOOKUP(I1938,ItemText[],IFERROR(MATCH(UI!$B$1,ItemText[#Headers],0),2),FALSE),""),"Unset")</f>
        <v/>
      </c>
      <c r="M1938">
        <v>0</v>
      </c>
      <c r="P1938">
        <v>0</v>
      </c>
      <c r="S1938">
        <v>0</v>
      </c>
      <c r="T1938" t="str">
        <f>IF(VALUE(S1938)=0,"",VLOOKUP(VLOOKUP(S1938,Tbl_Effect[],3,FALSE),EffectName[],IFERROR(MATCH(UI!$B$1,EffectName[#Headers],0),2),FALSE))</f>
        <v/>
      </c>
      <c r="U1938" t="str">
        <f t="shared" si="187"/>
        <v/>
      </c>
      <c r="V1938">
        <v>0</v>
      </c>
      <c r="W1938" t="str">
        <f>IF(V1938&lt;&gt;0,VLOOKUP(VLOOKUP(V1938,Tbl_Effect[],3,FALSE),EffectName[],IFERROR(MATCH(UI!$B$1,EffectName[#Headers],0),2),FALSE),"")</f>
        <v/>
      </c>
      <c r="X1938" t="str">
        <f t="shared" si="188"/>
        <v/>
      </c>
      <c r="Y1938">
        <v>0</v>
      </c>
      <c r="Z1938" t="str">
        <f>IF(Y1938&lt;&gt;0,VLOOKUP(VLOOKUP(Y1938,Tbl_Effect[],3,FALSE),EffectName[],IFERROR(MATCH(UI!$B$1,EffectName[#Headers],0),2),FALSE),"")</f>
        <v/>
      </c>
      <c r="AA1938" t="str">
        <f t="shared" si="189"/>
        <v/>
      </c>
      <c r="AB1938">
        <v>0</v>
      </c>
      <c r="AC1938" t="str">
        <f>IF(AB1938&lt;&gt;0,VLOOKUP(VLOOKUP(AB1938,Tbl_Effect[],3,FALSE),EffectName[],IFERROR(MATCH(UI!$B$1,EffectName[#Headers],0),2),FALSE),"")</f>
        <v/>
      </c>
    </row>
    <row r="1939" spans="8:29" x14ac:dyDescent="0.4">
      <c r="H1939" t="str">
        <f t="shared" si="186"/>
        <v/>
      </c>
      <c r="I1939">
        <v>0</v>
      </c>
      <c r="J1939" t="str">
        <f>_xlfn.IFNA(IF(I1939&lt;&gt;0,VLOOKUP(VLOOKUP(I1939,Tbl_Equip[],2,FALSE),Tbl_Color[],IFERROR(MATCH(UI!$B$1,Tbl_Color[#Headers],0),2),FALSE),""),"Unset")</f>
        <v/>
      </c>
      <c r="K1939" t="str">
        <f>_xlfn.IFNA(IF(I1939&lt;&gt;0,VLOOKUP(I1939,ItemText[],IFERROR(MATCH(UI!$B$1,ItemText[#Headers],0),2),FALSE),""),"Unset")</f>
        <v/>
      </c>
      <c r="M1939">
        <v>0</v>
      </c>
      <c r="P1939">
        <v>0</v>
      </c>
      <c r="S1939">
        <v>0</v>
      </c>
      <c r="T1939" t="str">
        <f>IF(VALUE(S1939)=0,"",VLOOKUP(VLOOKUP(S1939,Tbl_Effect[],3,FALSE),EffectName[],IFERROR(MATCH(UI!$B$1,EffectName[#Headers],0),2),FALSE))</f>
        <v/>
      </c>
      <c r="U1939" t="str">
        <f t="shared" si="187"/>
        <v/>
      </c>
      <c r="V1939">
        <v>0</v>
      </c>
      <c r="W1939" t="str">
        <f>IF(V1939&lt;&gt;0,VLOOKUP(VLOOKUP(V1939,Tbl_Effect[],3,FALSE),EffectName[],IFERROR(MATCH(UI!$B$1,EffectName[#Headers],0),2),FALSE),"")</f>
        <v/>
      </c>
      <c r="X1939" t="str">
        <f t="shared" si="188"/>
        <v/>
      </c>
      <c r="Y1939">
        <v>0</v>
      </c>
      <c r="Z1939" t="str">
        <f>IF(Y1939&lt;&gt;0,VLOOKUP(VLOOKUP(Y1939,Tbl_Effect[],3,FALSE),EffectName[],IFERROR(MATCH(UI!$B$1,EffectName[#Headers],0),2),FALSE),"")</f>
        <v/>
      </c>
      <c r="AA1939" t="str">
        <f t="shared" si="189"/>
        <v/>
      </c>
      <c r="AB1939">
        <v>0</v>
      </c>
      <c r="AC1939" t="str">
        <f>IF(AB1939&lt;&gt;0,VLOOKUP(VLOOKUP(AB1939,Tbl_Effect[],3,FALSE),EffectName[],IFERROR(MATCH(UI!$B$1,EffectName[#Headers],0),2),FALSE),"")</f>
        <v/>
      </c>
    </row>
    <row r="1940" spans="8:29" x14ac:dyDescent="0.4">
      <c r="H1940" t="str">
        <f t="shared" si="186"/>
        <v/>
      </c>
      <c r="I1940">
        <v>0</v>
      </c>
      <c r="J1940" t="str">
        <f>_xlfn.IFNA(IF(I1940&lt;&gt;0,VLOOKUP(VLOOKUP(I1940,Tbl_Equip[],2,FALSE),Tbl_Color[],IFERROR(MATCH(UI!$B$1,Tbl_Color[#Headers],0),2),FALSE),""),"Unset")</f>
        <v/>
      </c>
      <c r="K1940" t="str">
        <f>_xlfn.IFNA(IF(I1940&lt;&gt;0,VLOOKUP(I1940,ItemText[],IFERROR(MATCH(UI!$B$1,ItemText[#Headers],0),2),FALSE),""),"Unset")</f>
        <v/>
      </c>
      <c r="M1940">
        <v>0</v>
      </c>
      <c r="P1940">
        <v>0</v>
      </c>
      <c r="S1940">
        <v>0</v>
      </c>
      <c r="T1940" t="str">
        <f>IF(VALUE(S1940)=0,"",VLOOKUP(VLOOKUP(S1940,Tbl_Effect[],3,FALSE),EffectName[],IFERROR(MATCH(UI!$B$1,EffectName[#Headers],0),2),FALSE))</f>
        <v/>
      </c>
      <c r="U1940" t="str">
        <f t="shared" si="187"/>
        <v/>
      </c>
      <c r="V1940">
        <v>0</v>
      </c>
      <c r="W1940" t="str">
        <f>IF(V1940&lt;&gt;0,VLOOKUP(VLOOKUP(V1940,Tbl_Effect[],3,FALSE),EffectName[],IFERROR(MATCH(UI!$B$1,EffectName[#Headers],0),2),FALSE),"")</f>
        <v/>
      </c>
      <c r="X1940" t="str">
        <f t="shared" si="188"/>
        <v/>
      </c>
      <c r="Y1940">
        <v>0</v>
      </c>
      <c r="Z1940" t="str">
        <f>IF(Y1940&lt;&gt;0,VLOOKUP(VLOOKUP(Y1940,Tbl_Effect[],3,FALSE),EffectName[],IFERROR(MATCH(UI!$B$1,EffectName[#Headers],0),2),FALSE),"")</f>
        <v/>
      </c>
      <c r="AA1940" t="str">
        <f t="shared" si="189"/>
        <v/>
      </c>
      <c r="AB1940">
        <v>0</v>
      </c>
      <c r="AC1940" t="str">
        <f>IF(AB1940&lt;&gt;0,VLOOKUP(VLOOKUP(AB1940,Tbl_Effect[],3,FALSE),EffectName[],IFERROR(MATCH(UI!$B$1,EffectName[#Headers],0),2),FALSE),"")</f>
        <v/>
      </c>
    </row>
    <row r="1941" spans="8:29" x14ac:dyDescent="0.4">
      <c r="H1941" t="str">
        <f t="shared" si="186"/>
        <v/>
      </c>
      <c r="I1941">
        <v>0</v>
      </c>
      <c r="J1941" t="str">
        <f>_xlfn.IFNA(IF(I1941&lt;&gt;0,VLOOKUP(VLOOKUP(I1941,Tbl_Equip[],2,FALSE),Tbl_Color[],IFERROR(MATCH(UI!$B$1,Tbl_Color[#Headers],0),2),FALSE),""),"Unset")</f>
        <v/>
      </c>
      <c r="K1941" t="str">
        <f>_xlfn.IFNA(IF(I1941&lt;&gt;0,VLOOKUP(I1941,ItemText[],IFERROR(MATCH(UI!$B$1,ItemText[#Headers],0),2),FALSE),""),"Unset")</f>
        <v/>
      </c>
      <c r="M1941">
        <v>0</v>
      </c>
      <c r="P1941">
        <v>0</v>
      </c>
      <c r="S1941">
        <v>0</v>
      </c>
      <c r="T1941" t="str">
        <f>IF(VALUE(S1941)=0,"",VLOOKUP(VLOOKUP(S1941,Tbl_Effect[],3,FALSE),EffectName[],IFERROR(MATCH(UI!$B$1,EffectName[#Headers],0),2),FALSE))</f>
        <v/>
      </c>
      <c r="U1941" t="str">
        <f t="shared" si="187"/>
        <v/>
      </c>
      <c r="V1941">
        <v>0</v>
      </c>
      <c r="W1941" t="str">
        <f>IF(V1941&lt;&gt;0,VLOOKUP(VLOOKUP(V1941,Tbl_Effect[],3,FALSE),EffectName[],IFERROR(MATCH(UI!$B$1,EffectName[#Headers],0),2),FALSE),"")</f>
        <v/>
      </c>
      <c r="X1941" t="str">
        <f t="shared" si="188"/>
        <v/>
      </c>
      <c r="Y1941">
        <v>0</v>
      </c>
      <c r="Z1941" t="str">
        <f>IF(Y1941&lt;&gt;0,VLOOKUP(VLOOKUP(Y1941,Tbl_Effect[],3,FALSE),EffectName[],IFERROR(MATCH(UI!$B$1,EffectName[#Headers],0),2),FALSE),"")</f>
        <v/>
      </c>
      <c r="AA1941" t="str">
        <f t="shared" si="189"/>
        <v/>
      </c>
      <c r="AB1941">
        <v>0</v>
      </c>
      <c r="AC1941" t="str">
        <f>IF(AB1941&lt;&gt;0,VLOOKUP(VLOOKUP(AB1941,Tbl_Effect[],3,FALSE),EffectName[],IFERROR(MATCH(UI!$B$1,EffectName[#Headers],0),2),FALSE),"")</f>
        <v/>
      </c>
    </row>
    <row r="1942" spans="8:29" x14ac:dyDescent="0.4">
      <c r="H1942" t="str">
        <f t="shared" si="186"/>
        <v/>
      </c>
      <c r="I1942">
        <v>0</v>
      </c>
      <c r="J1942" t="str">
        <f>_xlfn.IFNA(IF(I1942&lt;&gt;0,VLOOKUP(VLOOKUP(I1942,Tbl_Equip[],2,FALSE),Tbl_Color[],IFERROR(MATCH(UI!$B$1,Tbl_Color[#Headers],0),2),FALSE),""),"Unset")</f>
        <v/>
      </c>
      <c r="K1942" t="str">
        <f>_xlfn.IFNA(IF(I1942&lt;&gt;0,VLOOKUP(I1942,ItemText[],IFERROR(MATCH(UI!$B$1,ItemText[#Headers],0),2),FALSE),""),"Unset")</f>
        <v/>
      </c>
      <c r="M1942">
        <v>0</v>
      </c>
      <c r="P1942">
        <v>0</v>
      </c>
      <c r="S1942">
        <v>0</v>
      </c>
      <c r="T1942" t="str">
        <f>IF(VALUE(S1942)=0,"",VLOOKUP(VLOOKUP(S1942,Tbl_Effect[],3,FALSE),EffectName[],IFERROR(MATCH(UI!$B$1,EffectName[#Headers],0),2),FALSE))</f>
        <v/>
      </c>
      <c r="U1942" t="str">
        <f t="shared" si="187"/>
        <v/>
      </c>
      <c r="V1942">
        <v>0</v>
      </c>
      <c r="W1942" t="str">
        <f>IF(V1942&lt;&gt;0,VLOOKUP(VLOOKUP(V1942,Tbl_Effect[],3,FALSE),EffectName[],IFERROR(MATCH(UI!$B$1,EffectName[#Headers],0),2),FALSE),"")</f>
        <v/>
      </c>
      <c r="X1942" t="str">
        <f t="shared" si="188"/>
        <v/>
      </c>
      <c r="Y1942">
        <v>0</v>
      </c>
      <c r="Z1942" t="str">
        <f>IF(Y1942&lt;&gt;0,VLOOKUP(VLOOKUP(Y1942,Tbl_Effect[],3,FALSE),EffectName[],IFERROR(MATCH(UI!$B$1,EffectName[#Headers],0),2),FALSE),"")</f>
        <v/>
      </c>
      <c r="AA1942" t="str">
        <f t="shared" si="189"/>
        <v/>
      </c>
      <c r="AB1942">
        <v>0</v>
      </c>
      <c r="AC1942" t="str">
        <f>IF(AB1942&lt;&gt;0,VLOOKUP(VLOOKUP(AB1942,Tbl_Effect[],3,FALSE),EffectName[],IFERROR(MATCH(UI!$B$1,EffectName[#Headers],0),2),FALSE),"")</f>
        <v/>
      </c>
    </row>
    <row r="1943" spans="8:29" x14ac:dyDescent="0.4">
      <c r="H1943" t="str">
        <f t="shared" si="186"/>
        <v/>
      </c>
      <c r="I1943">
        <v>0</v>
      </c>
      <c r="J1943" t="str">
        <f>_xlfn.IFNA(IF(I1943&lt;&gt;0,VLOOKUP(VLOOKUP(I1943,Tbl_Equip[],2,FALSE),Tbl_Color[],IFERROR(MATCH(UI!$B$1,Tbl_Color[#Headers],0),2),FALSE),""),"Unset")</f>
        <v/>
      </c>
      <c r="K1943" t="str">
        <f>_xlfn.IFNA(IF(I1943&lt;&gt;0,VLOOKUP(I1943,ItemText[],IFERROR(MATCH(UI!$B$1,ItemText[#Headers],0),2),FALSE),""),"Unset")</f>
        <v/>
      </c>
      <c r="M1943">
        <v>0</v>
      </c>
      <c r="P1943">
        <v>0</v>
      </c>
      <c r="S1943">
        <v>0</v>
      </c>
      <c r="T1943" t="str">
        <f>IF(VALUE(S1943)=0,"",VLOOKUP(VLOOKUP(S1943,Tbl_Effect[],3,FALSE),EffectName[],IFERROR(MATCH(UI!$B$1,EffectName[#Headers],0),2),FALSE))</f>
        <v/>
      </c>
      <c r="U1943" t="str">
        <f t="shared" si="187"/>
        <v/>
      </c>
      <c r="V1943">
        <v>0</v>
      </c>
      <c r="W1943" t="str">
        <f>IF(V1943&lt;&gt;0,VLOOKUP(VLOOKUP(V1943,Tbl_Effect[],3,FALSE),EffectName[],IFERROR(MATCH(UI!$B$1,EffectName[#Headers],0),2),FALSE),"")</f>
        <v/>
      </c>
      <c r="X1943" t="str">
        <f t="shared" si="188"/>
        <v/>
      </c>
      <c r="Y1943">
        <v>0</v>
      </c>
      <c r="Z1943" t="str">
        <f>IF(Y1943&lt;&gt;0,VLOOKUP(VLOOKUP(Y1943,Tbl_Effect[],3,FALSE),EffectName[],IFERROR(MATCH(UI!$B$1,EffectName[#Headers],0),2),FALSE),"")</f>
        <v/>
      </c>
      <c r="AA1943" t="str">
        <f t="shared" si="189"/>
        <v/>
      </c>
      <c r="AB1943">
        <v>0</v>
      </c>
      <c r="AC1943" t="str">
        <f>IF(AB1943&lt;&gt;0,VLOOKUP(VLOOKUP(AB1943,Tbl_Effect[],3,FALSE),EffectName[],IFERROR(MATCH(UI!$B$1,EffectName[#Headers],0),2),FALSE),"")</f>
        <v/>
      </c>
    </row>
    <row r="1944" spans="8:29" x14ac:dyDescent="0.4">
      <c r="H1944" t="str">
        <f t="shared" si="186"/>
        <v/>
      </c>
      <c r="I1944">
        <v>0</v>
      </c>
      <c r="J1944" t="str">
        <f>_xlfn.IFNA(IF(I1944&lt;&gt;0,VLOOKUP(VLOOKUP(I1944,Tbl_Equip[],2,FALSE),Tbl_Color[],IFERROR(MATCH(UI!$B$1,Tbl_Color[#Headers],0),2),FALSE),""),"Unset")</f>
        <v/>
      </c>
      <c r="K1944" t="str">
        <f>_xlfn.IFNA(IF(I1944&lt;&gt;0,VLOOKUP(I1944,ItemText[],IFERROR(MATCH(UI!$B$1,ItemText[#Headers],0),2),FALSE),""),"Unset")</f>
        <v/>
      </c>
      <c r="M1944">
        <v>0</v>
      </c>
      <c r="P1944">
        <v>0</v>
      </c>
      <c r="S1944">
        <v>0</v>
      </c>
      <c r="T1944" t="str">
        <f>IF(VALUE(S1944)=0,"",VLOOKUP(VLOOKUP(S1944,Tbl_Effect[],3,FALSE),EffectName[],IFERROR(MATCH(UI!$B$1,EffectName[#Headers],0),2),FALSE))</f>
        <v/>
      </c>
      <c r="U1944" t="str">
        <f t="shared" si="187"/>
        <v/>
      </c>
      <c r="V1944">
        <v>0</v>
      </c>
      <c r="W1944" t="str">
        <f>IF(V1944&lt;&gt;0,VLOOKUP(VLOOKUP(V1944,Tbl_Effect[],3,FALSE),EffectName[],IFERROR(MATCH(UI!$B$1,EffectName[#Headers],0),2),FALSE),"")</f>
        <v/>
      </c>
      <c r="X1944" t="str">
        <f t="shared" si="188"/>
        <v/>
      </c>
      <c r="Y1944">
        <v>0</v>
      </c>
      <c r="Z1944" t="str">
        <f>IF(Y1944&lt;&gt;0,VLOOKUP(VLOOKUP(Y1944,Tbl_Effect[],3,FALSE),EffectName[],IFERROR(MATCH(UI!$B$1,EffectName[#Headers],0),2),FALSE),"")</f>
        <v/>
      </c>
      <c r="AA1944" t="str">
        <f t="shared" si="189"/>
        <v/>
      </c>
      <c r="AB1944">
        <v>0</v>
      </c>
      <c r="AC1944" t="str">
        <f>IF(AB1944&lt;&gt;0,VLOOKUP(VLOOKUP(AB1944,Tbl_Effect[],3,FALSE),EffectName[],IFERROR(MATCH(UI!$B$1,EffectName[#Headers],0),2),FALSE),"")</f>
        <v/>
      </c>
    </row>
    <row r="1945" spans="8:29" x14ac:dyDescent="0.4">
      <c r="H1945" t="str">
        <f t="shared" si="186"/>
        <v/>
      </c>
      <c r="I1945">
        <v>0</v>
      </c>
      <c r="J1945" t="str">
        <f>_xlfn.IFNA(IF(I1945&lt;&gt;0,VLOOKUP(VLOOKUP(I1945,Tbl_Equip[],2,FALSE),Tbl_Color[],IFERROR(MATCH(UI!$B$1,Tbl_Color[#Headers],0),2),FALSE),""),"Unset")</f>
        <v/>
      </c>
      <c r="K1945" t="str">
        <f>_xlfn.IFNA(IF(I1945&lt;&gt;0,VLOOKUP(I1945,ItemText[],IFERROR(MATCH(UI!$B$1,ItemText[#Headers],0),2),FALSE),""),"Unset")</f>
        <v/>
      </c>
      <c r="M1945">
        <v>0</v>
      </c>
      <c r="P1945">
        <v>0</v>
      </c>
      <c r="S1945">
        <v>0</v>
      </c>
      <c r="T1945" t="str">
        <f>IF(VALUE(S1945)=0,"",VLOOKUP(VLOOKUP(S1945,Tbl_Effect[],3,FALSE),EffectName[],IFERROR(MATCH(UI!$B$1,EffectName[#Headers],0),2),FALSE))</f>
        <v/>
      </c>
      <c r="U1945" t="str">
        <f t="shared" si="187"/>
        <v/>
      </c>
      <c r="V1945">
        <v>0</v>
      </c>
      <c r="W1945" t="str">
        <f>IF(V1945&lt;&gt;0,VLOOKUP(VLOOKUP(V1945,Tbl_Effect[],3,FALSE),EffectName[],IFERROR(MATCH(UI!$B$1,EffectName[#Headers],0),2),FALSE),"")</f>
        <v/>
      </c>
      <c r="X1945" t="str">
        <f t="shared" si="188"/>
        <v/>
      </c>
      <c r="Y1945">
        <v>0</v>
      </c>
      <c r="Z1945" t="str">
        <f>IF(Y1945&lt;&gt;0,VLOOKUP(VLOOKUP(Y1945,Tbl_Effect[],3,FALSE),EffectName[],IFERROR(MATCH(UI!$B$1,EffectName[#Headers],0),2),FALSE),"")</f>
        <v/>
      </c>
      <c r="AA1945" t="str">
        <f t="shared" si="189"/>
        <v/>
      </c>
      <c r="AB1945">
        <v>0</v>
      </c>
      <c r="AC1945" t="str">
        <f>IF(AB1945&lt;&gt;0,VLOOKUP(VLOOKUP(AB1945,Tbl_Effect[],3,FALSE),EffectName[],IFERROR(MATCH(UI!$B$1,EffectName[#Headers],0),2),FALSE),"")</f>
        <v/>
      </c>
    </row>
    <row r="1946" spans="8:29" x14ac:dyDescent="0.4">
      <c r="H1946" t="str">
        <f t="shared" si="186"/>
        <v/>
      </c>
      <c r="I1946">
        <v>0</v>
      </c>
      <c r="J1946" t="str">
        <f>_xlfn.IFNA(IF(I1946&lt;&gt;0,VLOOKUP(VLOOKUP(I1946,Tbl_Equip[],2,FALSE),Tbl_Color[],IFERROR(MATCH(UI!$B$1,Tbl_Color[#Headers],0),2),FALSE),""),"Unset")</f>
        <v/>
      </c>
      <c r="K1946" t="str">
        <f>_xlfn.IFNA(IF(I1946&lt;&gt;0,VLOOKUP(I1946,ItemText[],IFERROR(MATCH(UI!$B$1,ItemText[#Headers],0),2),FALSE),""),"Unset")</f>
        <v/>
      </c>
      <c r="M1946">
        <v>0</v>
      </c>
      <c r="P1946">
        <v>0</v>
      </c>
      <c r="S1946">
        <v>0</v>
      </c>
      <c r="T1946" t="str">
        <f>IF(VALUE(S1946)=0,"",VLOOKUP(VLOOKUP(S1946,Tbl_Effect[],3,FALSE),EffectName[],IFERROR(MATCH(UI!$B$1,EffectName[#Headers],0),2),FALSE))</f>
        <v/>
      </c>
      <c r="U1946" t="str">
        <f t="shared" si="187"/>
        <v/>
      </c>
      <c r="V1946">
        <v>0</v>
      </c>
      <c r="W1946" t="str">
        <f>IF(V1946&lt;&gt;0,VLOOKUP(VLOOKUP(V1946,Tbl_Effect[],3,FALSE),EffectName[],IFERROR(MATCH(UI!$B$1,EffectName[#Headers],0),2),FALSE),"")</f>
        <v/>
      </c>
      <c r="X1946" t="str">
        <f t="shared" si="188"/>
        <v/>
      </c>
      <c r="Y1946">
        <v>0</v>
      </c>
      <c r="Z1946" t="str">
        <f>IF(Y1946&lt;&gt;0,VLOOKUP(VLOOKUP(Y1946,Tbl_Effect[],3,FALSE),EffectName[],IFERROR(MATCH(UI!$B$1,EffectName[#Headers],0),2),FALSE),"")</f>
        <v/>
      </c>
      <c r="AA1946" t="str">
        <f t="shared" si="189"/>
        <v/>
      </c>
      <c r="AB1946">
        <v>0</v>
      </c>
      <c r="AC1946" t="str">
        <f>IF(AB1946&lt;&gt;0,VLOOKUP(VLOOKUP(AB1946,Tbl_Effect[],3,FALSE),EffectName[],IFERROR(MATCH(UI!$B$1,EffectName[#Headers],0),2),FALSE),"")</f>
        <v/>
      </c>
    </row>
    <row r="1947" spans="8:29" x14ac:dyDescent="0.4">
      <c r="H1947" t="str">
        <f t="shared" si="186"/>
        <v/>
      </c>
      <c r="I1947">
        <v>0</v>
      </c>
      <c r="J1947" t="str">
        <f>_xlfn.IFNA(IF(I1947&lt;&gt;0,VLOOKUP(VLOOKUP(I1947,Tbl_Equip[],2,FALSE),Tbl_Color[],IFERROR(MATCH(UI!$B$1,Tbl_Color[#Headers],0),2),FALSE),""),"Unset")</f>
        <v/>
      </c>
      <c r="K1947" t="str">
        <f>_xlfn.IFNA(IF(I1947&lt;&gt;0,VLOOKUP(I1947,ItemText[],IFERROR(MATCH(UI!$B$1,ItemText[#Headers],0),2),FALSE),""),"Unset")</f>
        <v/>
      </c>
      <c r="M1947">
        <v>0</v>
      </c>
      <c r="P1947">
        <v>0</v>
      </c>
      <c r="S1947">
        <v>0</v>
      </c>
      <c r="T1947" t="str">
        <f>IF(VALUE(S1947)=0,"",VLOOKUP(VLOOKUP(S1947,Tbl_Effect[],3,FALSE),EffectName[],IFERROR(MATCH(UI!$B$1,EffectName[#Headers],0),2),FALSE))</f>
        <v/>
      </c>
      <c r="U1947" t="str">
        <f t="shared" si="187"/>
        <v/>
      </c>
      <c r="V1947">
        <v>0</v>
      </c>
      <c r="W1947" t="str">
        <f>IF(V1947&lt;&gt;0,VLOOKUP(VLOOKUP(V1947,Tbl_Effect[],3,FALSE),EffectName[],IFERROR(MATCH(UI!$B$1,EffectName[#Headers],0),2),FALSE),"")</f>
        <v/>
      </c>
      <c r="X1947" t="str">
        <f t="shared" si="188"/>
        <v/>
      </c>
      <c r="Y1947">
        <v>0</v>
      </c>
      <c r="Z1947" t="str">
        <f>IF(Y1947&lt;&gt;0,VLOOKUP(VLOOKUP(Y1947,Tbl_Effect[],3,FALSE),EffectName[],IFERROR(MATCH(UI!$B$1,EffectName[#Headers],0),2),FALSE),"")</f>
        <v/>
      </c>
      <c r="AA1947" t="str">
        <f t="shared" si="189"/>
        <v/>
      </c>
      <c r="AB1947">
        <v>0</v>
      </c>
      <c r="AC1947" t="str">
        <f>IF(AB1947&lt;&gt;0,VLOOKUP(VLOOKUP(AB1947,Tbl_Effect[],3,FALSE),EffectName[],IFERROR(MATCH(UI!$B$1,EffectName[#Headers],0),2),FALSE),"")</f>
        <v/>
      </c>
    </row>
    <row r="1948" spans="8:29" x14ac:dyDescent="0.4">
      <c r="H1948" t="str">
        <f t="shared" si="186"/>
        <v/>
      </c>
      <c r="I1948">
        <v>0</v>
      </c>
      <c r="J1948" t="str">
        <f>_xlfn.IFNA(IF(I1948&lt;&gt;0,VLOOKUP(VLOOKUP(I1948,Tbl_Equip[],2,FALSE),Tbl_Color[],IFERROR(MATCH(UI!$B$1,Tbl_Color[#Headers],0),2),FALSE),""),"Unset")</f>
        <v/>
      </c>
      <c r="K1948" t="str">
        <f>_xlfn.IFNA(IF(I1948&lt;&gt;0,VLOOKUP(I1948,ItemText[],IFERROR(MATCH(UI!$B$1,ItemText[#Headers],0),2),FALSE),""),"Unset")</f>
        <v/>
      </c>
      <c r="M1948">
        <v>0</v>
      </c>
      <c r="P1948">
        <v>0</v>
      </c>
      <c r="S1948">
        <v>0</v>
      </c>
      <c r="T1948" t="str">
        <f>IF(VALUE(S1948)=0,"",VLOOKUP(VLOOKUP(S1948,Tbl_Effect[],3,FALSE),EffectName[],IFERROR(MATCH(UI!$B$1,EffectName[#Headers],0),2),FALSE))</f>
        <v/>
      </c>
      <c r="U1948" t="str">
        <f t="shared" si="187"/>
        <v/>
      </c>
      <c r="V1948">
        <v>0</v>
      </c>
      <c r="W1948" t="str">
        <f>IF(V1948&lt;&gt;0,VLOOKUP(VLOOKUP(V1948,Tbl_Effect[],3,FALSE),EffectName[],IFERROR(MATCH(UI!$B$1,EffectName[#Headers],0),2),FALSE),"")</f>
        <v/>
      </c>
      <c r="X1948" t="str">
        <f t="shared" si="188"/>
        <v/>
      </c>
      <c r="Y1948">
        <v>0</v>
      </c>
      <c r="Z1948" t="str">
        <f>IF(Y1948&lt;&gt;0,VLOOKUP(VLOOKUP(Y1948,Tbl_Effect[],3,FALSE),EffectName[],IFERROR(MATCH(UI!$B$1,EffectName[#Headers],0),2),FALSE),"")</f>
        <v/>
      </c>
      <c r="AA1948" t="str">
        <f t="shared" si="189"/>
        <v/>
      </c>
      <c r="AB1948">
        <v>0</v>
      </c>
      <c r="AC1948" t="str">
        <f>IF(AB1948&lt;&gt;0,VLOOKUP(VLOOKUP(AB1948,Tbl_Effect[],3,FALSE),EffectName[],IFERROR(MATCH(UI!$B$1,EffectName[#Headers],0),2),FALSE),"")</f>
        <v/>
      </c>
    </row>
    <row r="1949" spans="8:29" x14ac:dyDescent="0.4">
      <c r="H1949" t="str">
        <f t="shared" si="186"/>
        <v/>
      </c>
      <c r="I1949">
        <v>0</v>
      </c>
      <c r="J1949" t="str">
        <f>_xlfn.IFNA(IF(I1949&lt;&gt;0,VLOOKUP(VLOOKUP(I1949,Tbl_Equip[],2,FALSE),Tbl_Color[],IFERROR(MATCH(UI!$B$1,Tbl_Color[#Headers],0),2),FALSE),""),"Unset")</f>
        <v/>
      </c>
      <c r="K1949" t="str">
        <f>_xlfn.IFNA(IF(I1949&lt;&gt;0,VLOOKUP(I1949,ItemText[],IFERROR(MATCH(UI!$B$1,ItemText[#Headers],0),2),FALSE),""),"Unset")</f>
        <v/>
      </c>
      <c r="M1949">
        <v>0</v>
      </c>
      <c r="P1949">
        <v>0</v>
      </c>
      <c r="S1949">
        <v>0</v>
      </c>
      <c r="T1949" t="str">
        <f>IF(VALUE(S1949)=0,"",VLOOKUP(VLOOKUP(S1949,Tbl_Effect[],3,FALSE),EffectName[],IFERROR(MATCH(UI!$B$1,EffectName[#Headers],0),2),FALSE))</f>
        <v/>
      </c>
      <c r="U1949" t="str">
        <f t="shared" si="187"/>
        <v/>
      </c>
      <c r="V1949">
        <v>0</v>
      </c>
      <c r="W1949" t="str">
        <f>IF(V1949&lt;&gt;0,VLOOKUP(VLOOKUP(V1949,Tbl_Effect[],3,FALSE),EffectName[],IFERROR(MATCH(UI!$B$1,EffectName[#Headers],0),2),FALSE),"")</f>
        <v/>
      </c>
      <c r="X1949" t="str">
        <f t="shared" si="188"/>
        <v/>
      </c>
      <c r="Y1949">
        <v>0</v>
      </c>
      <c r="Z1949" t="str">
        <f>IF(Y1949&lt;&gt;0,VLOOKUP(VLOOKUP(Y1949,Tbl_Effect[],3,FALSE),EffectName[],IFERROR(MATCH(UI!$B$1,EffectName[#Headers],0),2),FALSE),"")</f>
        <v/>
      </c>
      <c r="AA1949" t="str">
        <f t="shared" si="189"/>
        <v/>
      </c>
      <c r="AB1949">
        <v>0</v>
      </c>
      <c r="AC1949" t="str">
        <f>IF(AB1949&lt;&gt;0,VLOOKUP(VLOOKUP(AB1949,Tbl_Effect[],3,FALSE),EffectName[],IFERROR(MATCH(UI!$B$1,EffectName[#Headers],0),2),FALSE),"")</f>
        <v/>
      </c>
    </row>
    <row r="1950" spans="8:29" x14ac:dyDescent="0.4">
      <c r="H1950" t="str">
        <f t="shared" si="186"/>
        <v/>
      </c>
      <c r="I1950">
        <v>0</v>
      </c>
      <c r="J1950" t="str">
        <f>_xlfn.IFNA(IF(I1950&lt;&gt;0,VLOOKUP(VLOOKUP(I1950,Tbl_Equip[],2,FALSE),Tbl_Color[],IFERROR(MATCH(UI!$B$1,Tbl_Color[#Headers],0),2),FALSE),""),"Unset")</f>
        <v/>
      </c>
      <c r="K1950" t="str">
        <f>_xlfn.IFNA(IF(I1950&lt;&gt;0,VLOOKUP(I1950,ItemText[],IFERROR(MATCH(UI!$B$1,ItemText[#Headers],0),2),FALSE),""),"Unset")</f>
        <v/>
      </c>
      <c r="M1950">
        <v>0</v>
      </c>
      <c r="P1950">
        <v>0</v>
      </c>
      <c r="S1950">
        <v>0</v>
      </c>
      <c r="T1950" t="str">
        <f>IF(VALUE(S1950)=0,"",VLOOKUP(VLOOKUP(S1950,Tbl_Effect[],3,FALSE),EffectName[],IFERROR(MATCH(UI!$B$1,EffectName[#Headers],0),2),FALSE))</f>
        <v/>
      </c>
      <c r="U1950" t="str">
        <f t="shared" si="187"/>
        <v/>
      </c>
      <c r="V1950">
        <v>0</v>
      </c>
      <c r="W1950" t="str">
        <f>IF(V1950&lt;&gt;0,VLOOKUP(VLOOKUP(V1950,Tbl_Effect[],3,FALSE),EffectName[],IFERROR(MATCH(UI!$B$1,EffectName[#Headers],0),2),FALSE),"")</f>
        <v/>
      </c>
      <c r="X1950" t="str">
        <f t="shared" si="188"/>
        <v/>
      </c>
      <c r="Y1950">
        <v>0</v>
      </c>
      <c r="Z1950" t="str">
        <f>IF(Y1950&lt;&gt;0,VLOOKUP(VLOOKUP(Y1950,Tbl_Effect[],3,FALSE),EffectName[],IFERROR(MATCH(UI!$B$1,EffectName[#Headers],0),2),FALSE),"")</f>
        <v/>
      </c>
      <c r="AA1950" t="str">
        <f t="shared" si="189"/>
        <v/>
      </c>
      <c r="AB1950">
        <v>0</v>
      </c>
      <c r="AC1950" t="str">
        <f>IF(AB1950&lt;&gt;0,VLOOKUP(VLOOKUP(AB1950,Tbl_Effect[],3,FALSE),EffectName[],IFERROR(MATCH(UI!$B$1,EffectName[#Headers],0),2),FALSE),"")</f>
        <v/>
      </c>
    </row>
    <row r="1951" spans="8:29" x14ac:dyDescent="0.4">
      <c r="H1951" t="str">
        <f t="shared" si="186"/>
        <v/>
      </c>
      <c r="I1951">
        <v>0</v>
      </c>
      <c r="J1951" t="str">
        <f>_xlfn.IFNA(IF(I1951&lt;&gt;0,VLOOKUP(VLOOKUP(I1951,Tbl_Equip[],2,FALSE),Tbl_Color[],IFERROR(MATCH(UI!$B$1,Tbl_Color[#Headers],0),2),FALSE),""),"Unset")</f>
        <v/>
      </c>
      <c r="K1951" t="str">
        <f>_xlfn.IFNA(IF(I1951&lt;&gt;0,VLOOKUP(I1951,ItemText[],IFERROR(MATCH(UI!$B$1,ItemText[#Headers],0),2),FALSE),""),"Unset")</f>
        <v/>
      </c>
      <c r="M1951">
        <v>0</v>
      </c>
      <c r="P1951">
        <v>0</v>
      </c>
      <c r="S1951">
        <v>0</v>
      </c>
      <c r="T1951" t="str">
        <f>IF(VALUE(S1951)=0,"",VLOOKUP(VLOOKUP(S1951,Tbl_Effect[],3,FALSE),EffectName[],IFERROR(MATCH(UI!$B$1,EffectName[#Headers],0),2),FALSE))</f>
        <v/>
      </c>
      <c r="U1951" t="str">
        <f t="shared" si="187"/>
        <v/>
      </c>
      <c r="V1951">
        <v>0</v>
      </c>
      <c r="W1951" t="str">
        <f>IF(V1951&lt;&gt;0,VLOOKUP(VLOOKUP(V1951,Tbl_Effect[],3,FALSE),EffectName[],IFERROR(MATCH(UI!$B$1,EffectName[#Headers],0),2),FALSE),"")</f>
        <v/>
      </c>
      <c r="X1951" t="str">
        <f t="shared" si="188"/>
        <v/>
      </c>
      <c r="Y1951">
        <v>0</v>
      </c>
      <c r="Z1951" t="str">
        <f>IF(Y1951&lt;&gt;0,VLOOKUP(VLOOKUP(Y1951,Tbl_Effect[],3,FALSE),EffectName[],IFERROR(MATCH(UI!$B$1,EffectName[#Headers],0),2),FALSE),"")</f>
        <v/>
      </c>
      <c r="AA1951" t="str">
        <f t="shared" si="189"/>
        <v/>
      </c>
      <c r="AB1951">
        <v>0</v>
      </c>
      <c r="AC1951" t="str">
        <f>IF(AB1951&lt;&gt;0,VLOOKUP(VLOOKUP(AB1951,Tbl_Effect[],3,FALSE),EffectName[],IFERROR(MATCH(UI!$B$1,EffectName[#Headers],0),2),FALSE),"")</f>
        <v/>
      </c>
    </row>
    <row r="1952" spans="8:29" x14ac:dyDescent="0.4">
      <c r="H1952" t="str">
        <f t="shared" si="186"/>
        <v/>
      </c>
      <c r="I1952">
        <v>0</v>
      </c>
      <c r="J1952" t="str">
        <f>_xlfn.IFNA(IF(I1952&lt;&gt;0,VLOOKUP(VLOOKUP(I1952,Tbl_Equip[],2,FALSE),Tbl_Color[],IFERROR(MATCH(UI!$B$1,Tbl_Color[#Headers],0),2),FALSE),""),"Unset")</f>
        <v/>
      </c>
      <c r="K1952" t="str">
        <f>_xlfn.IFNA(IF(I1952&lt;&gt;0,VLOOKUP(I1952,ItemText[],IFERROR(MATCH(UI!$B$1,ItemText[#Headers],0),2),FALSE),""),"Unset")</f>
        <v/>
      </c>
      <c r="M1952">
        <v>0</v>
      </c>
      <c r="P1952">
        <v>0</v>
      </c>
      <c r="S1952">
        <v>0</v>
      </c>
      <c r="T1952" t="str">
        <f>IF(VALUE(S1952)=0,"",VLOOKUP(VLOOKUP(S1952,Tbl_Effect[],3,FALSE),EffectName[],IFERROR(MATCH(UI!$B$1,EffectName[#Headers],0),2),FALSE))</f>
        <v/>
      </c>
      <c r="U1952" t="str">
        <f t="shared" si="187"/>
        <v/>
      </c>
      <c r="V1952">
        <v>0</v>
      </c>
      <c r="W1952" t="str">
        <f>IF(V1952&lt;&gt;0,VLOOKUP(VLOOKUP(V1952,Tbl_Effect[],3,FALSE),EffectName[],IFERROR(MATCH(UI!$B$1,EffectName[#Headers],0),2),FALSE),"")</f>
        <v/>
      </c>
      <c r="X1952" t="str">
        <f t="shared" si="188"/>
        <v/>
      </c>
      <c r="Y1952">
        <v>0</v>
      </c>
      <c r="Z1952" t="str">
        <f>IF(Y1952&lt;&gt;0,VLOOKUP(VLOOKUP(Y1952,Tbl_Effect[],3,FALSE),EffectName[],IFERROR(MATCH(UI!$B$1,EffectName[#Headers],0),2),FALSE),"")</f>
        <v/>
      </c>
      <c r="AA1952" t="str">
        <f t="shared" si="189"/>
        <v/>
      </c>
      <c r="AB1952">
        <v>0</v>
      </c>
      <c r="AC1952" t="str">
        <f>IF(AB1952&lt;&gt;0,VLOOKUP(VLOOKUP(AB1952,Tbl_Effect[],3,FALSE),EffectName[],IFERROR(MATCH(UI!$B$1,EffectName[#Headers],0),2),FALSE),"")</f>
        <v/>
      </c>
    </row>
    <row r="1953" spans="8:29" x14ac:dyDescent="0.4">
      <c r="H1953" t="str">
        <f t="shared" si="186"/>
        <v/>
      </c>
      <c r="I1953">
        <v>0</v>
      </c>
      <c r="J1953" t="str">
        <f>_xlfn.IFNA(IF(I1953&lt;&gt;0,VLOOKUP(VLOOKUP(I1953,Tbl_Equip[],2,FALSE),Tbl_Color[],IFERROR(MATCH(UI!$B$1,Tbl_Color[#Headers],0),2),FALSE),""),"Unset")</f>
        <v/>
      </c>
      <c r="K1953" t="str">
        <f>_xlfn.IFNA(IF(I1953&lt;&gt;0,VLOOKUP(I1953,ItemText[],IFERROR(MATCH(UI!$B$1,ItemText[#Headers],0),2),FALSE),""),"Unset")</f>
        <v/>
      </c>
      <c r="M1953">
        <v>0</v>
      </c>
      <c r="P1953">
        <v>0</v>
      </c>
      <c r="S1953">
        <v>0</v>
      </c>
      <c r="T1953" t="str">
        <f>IF(VALUE(S1953)=0,"",VLOOKUP(VLOOKUP(S1953,Tbl_Effect[],3,FALSE),EffectName[],IFERROR(MATCH(UI!$B$1,EffectName[#Headers],0),2),FALSE))</f>
        <v/>
      </c>
      <c r="U1953" t="str">
        <f t="shared" si="187"/>
        <v/>
      </c>
      <c r="V1953">
        <v>0</v>
      </c>
      <c r="W1953" t="str">
        <f>IF(V1953&lt;&gt;0,VLOOKUP(VLOOKUP(V1953,Tbl_Effect[],3,FALSE),EffectName[],IFERROR(MATCH(UI!$B$1,EffectName[#Headers],0),2),FALSE),"")</f>
        <v/>
      </c>
      <c r="X1953" t="str">
        <f t="shared" si="188"/>
        <v/>
      </c>
      <c r="Y1953">
        <v>0</v>
      </c>
      <c r="Z1953" t="str">
        <f>IF(Y1953&lt;&gt;0,VLOOKUP(VLOOKUP(Y1953,Tbl_Effect[],3,FALSE),EffectName[],IFERROR(MATCH(UI!$B$1,EffectName[#Headers],0),2),FALSE),"")</f>
        <v/>
      </c>
      <c r="AA1953" t="str">
        <f t="shared" si="189"/>
        <v/>
      </c>
      <c r="AB1953">
        <v>0</v>
      </c>
      <c r="AC1953" t="str">
        <f>IF(AB1953&lt;&gt;0,VLOOKUP(VLOOKUP(AB1953,Tbl_Effect[],3,FALSE),EffectName[],IFERROR(MATCH(UI!$B$1,EffectName[#Headers],0),2),FALSE),"")</f>
        <v/>
      </c>
    </row>
    <row r="1954" spans="8:29" x14ac:dyDescent="0.4">
      <c r="H1954" t="str">
        <f t="shared" si="186"/>
        <v/>
      </c>
      <c r="I1954">
        <v>0</v>
      </c>
      <c r="J1954" t="str">
        <f>_xlfn.IFNA(IF(I1954&lt;&gt;0,VLOOKUP(VLOOKUP(I1954,Tbl_Equip[],2,FALSE),Tbl_Color[],IFERROR(MATCH(UI!$B$1,Tbl_Color[#Headers],0),2),FALSE),""),"Unset")</f>
        <v/>
      </c>
      <c r="K1954" t="str">
        <f>_xlfn.IFNA(IF(I1954&lt;&gt;0,VLOOKUP(I1954,ItemText[],IFERROR(MATCH(UI!$B$1,ItemText[#Headers],0),2),FALSE),""),"Unset")</f>
        <v/>
      </c>
      <c r="M1954">
        <v>0</v>
      </c>
      <c r="P1954">
        <v>0</v>
      </c>
      <c r="S1954">
        <v>0</v>
      </c>
      <c r="T1954" t="str">
        <f>IF(VALUE(S1954)=0,"",VLOOKUP(VLOOKUP(S1954,Tbl_Effect[],3,FALSE),EffectName[],IFERROR(MATCH(UI!$B$1,EffectName[#Headers],0),2),FALSE))</f>
        <v/>
      </c>
      <c r="U1954" t="str">
        <f t="shared" si="187"/>
        <v/>
      </c>
      <c r="V1954">
        <v>0</v>
      </c>
      <c r="W1954" t="str">
        <f>IF(V1954&lt;&gt;0,VLOOKUP(VLOOKUP(V1954,Tbl_Effect[],3,FALSE),EffectName[],IFERROR(MATCH(UI!$B$1,EffectName[#Headers],0),2),FALSE),"")</f>
        <v/>
      </c>
      <c r="X1954" t="str">
        <f t="shared" si="188"/>
        <v/>
      </c>
      <c r="Y1954">
        <v>0</v>
      </c>
      <c r="Z1954" t="str">
        <f>IF(Y1954&lt;&gt;0,VLOOKUP(VLOOKUP(Y1954,Tbl_Effect[],3,FALSE),EffectName[],IFERROR(MATCH(UI!$B$1,EffectName[#Headers],0),2),FALSE),"")</f>
        <v/>
      </c>
      <c r="AA1954" t="str">
        <f t="shared" si="189"/>
        <v/>
      </c>
      <c r="AB1954">
        <v>0</v>
      </c>
      <c r="AC1954" t="str">
        <f>IF(AB1954&lt;&gt;0,VLOOKUP(VLOOKUP(AB1954,Tbl_Effect[],3,FALSE),EffectName[],IFERROR(MATCH(UI!$B$1,EffectName[#Headers],0),2),FALSE),"")</f>
        <v/>
      </c>
    </row>
    <row r="1955" spans="8:29" x14ac:dyDescent="0.4">
      <c r="H1955" t="str">
        <f t="shared" si="186"/>
        <v/>
      </c>
      <c r="I1955">
        <v>0</v>
      </c>
      <c r="J1955" t="str">
        <f>_xlfn.IFNA(IF(I1955&lt;&gt;0,VLOOKUP(VLOOKUP(I1955,Tbl_Equip[],2,FALSE),Tbl_Color[],IFERROR(MATCH(UI!$B$1,Tbl_Color[#Headers],0),2),FALSE),""),"Unset")</f>
        <v/>
      </c>
      <c r="K1955" t="str">
        <f>_xlfn.IFNA(IF(I1955&lt;&gt;0,VLOOKUP(I1955,ItemText[],IFERROR(MATCH(UI!$B$1,ItemText[#Headers],0),2),FALSE),""),"Unset")</f>
        <v/>
      </c>
      <c r="M1955">
        <v>0</v>
      </c>
      <c r="P1955">
        <v>0</v>
      </c>
      <c r="S1955">
        <v>0</v>
      </c>
      <c r="T1955" t="str">
        <f>IF(VALUE(S1955)=0,"",VLOOKUP(VLOOKUP(S1955,Tbl_Effect[],3,FALSE),EffectName[],IFERROR(MATCH(UI!$B$1,EffectName[#Headers],0),2),FALSE))</f>
        <v/>
      </c>
      <c r="U1955" t="str">
        <f t="shared" si="187"/>
        <v/>
      </c>
      <c r="V1955">
        <v>0</v>
      </c>
      <c r="W1955" t="str">
        <f>IF(V1955&lt;&gt;0,VLOOKUP(VLOOKUP(V1955,Tbl_Effect[],3,FALSE),EffectName[],IFERROR(MATCH(UI!$B$1,EffectName[#Headers],0),2),FALSE),"")</f>
        <v/>
      </c>
      <c r="X1955" t="str">
        <f t="shared" si="188"/>
        <v/>
      </c>
      <c r="Y1955">
        <v>0</v>
      </c>
      <c r="Z1955" t="str">
        <f>IF(Y1955&lt;&gt;0,VLOOKUP(VLOOKUP(Y1955,Tbl_Effect[],3,FALSE),EffectName[],IFERROR(MATCH(UI!$B$1,EffectName[#Headers],0),2),FALSE),"")</f>
        <v/>
      </c>
      <c r="AA1955" t="str">
        <f t="shared" si="189"/>
        <v/>
      </c>
      <c r="AB1955">
        <v>0</v>
      </c>
      <c r="AC1955" t="str">
        <f>IF(AB1955&lt;&gt;0,VLOOKUP(VLOOKUP(AB1955,Tbl_Effect[],3,FALSE),EffectName[],IFERROR(MATCH(UI!$B$1,EffectName[#Headers],0),2),FALSE),"")</f>
        <v/>
      </c>
    </row>
    <row r="1956" spans="8:29" x14ac:dyDescent="0.4">
      <c r="H1956" t="str">
        <f t="shared" si="186"/>
        <v/>
      </c>
      <c r="I1956">
        <v>0</v>
      </c>
      <c r="J1956" t="str">
        <f>_xlfn.IFNA(IF(I1956&lt;&gt;0,VLOOKUP(VLOOKUP(I1956,Tbl_Equip[],2,FALSE),Tbl_Color[],IFERROR(MATCH(UI!$B$1,Tbl_Color[#Headers],0),2),FALSE),""),"Unset")</f>
        <v/>
      </c>
      <c r="K1956" t="str">
        <f>_xlfn.IFNA(IF(I1956&lt;&gt;0,VLOOKUP(I1956,ItemText[],IFERROR(MATCH(UI!$B$1,ItemText[#Headers],0),2),FALSE),""),"Unset")</f>
        <v/>
      </c>
      <c r="M1956">
        <v>0</v>
      </c>
      <c r="P1956">
        <v>0</v>
      </c>
      <c r="S1956">
        <v>0</v>
      </c>
      <c r="T1956" t="str">
        <f>IF(VALUE(S1956)=0,"",VLOOKUP(VLOOKUP(S1956,Tbl_Effect[],3,FALSE),EffectName[],IFERROR(MATCH(UI!$B$1,EffectName[#Headers],0),2),FALSE))</f>
        <v/>
      </c>
      <c r="U1956" t="str">
        <f t="shared" si="187"/>
        <v/>
      </c>
      <c r="V1956">
        <v>0</v>
      </c>
      <c r="W1956" t="str">
        <f>IF(V1956&lt;&gt;0,VLOOKUP(VLOOKUP(V1956,Tbl_Effect[],3,FALSE),EffectName[],IFERROR(MATCH(UI!$B$1,EffectName[#Headers],0),2),FALSE),"")</f>
        <v/>
      </c>
      <c r="X1956" t="str">
        <f t="shared" si="188"/>
        <v/>
      </c>
      <c r="Y1956">
        <v>0</v>
      </c>
      <c r="Z1956" t="str">
        <f>IF(Y1956&lt;&gt;0,VLOOKUP(VLOOKUP(Y1956,Tbl_Effect[],3,FALSE),EffectName[],IFERROR(MATCH(UI!$B$1,EffectName[#Headers],0),2),FALSE),"")</f>
        <v/>
      </c>
      <c r="AA1956" t="str">
        <f t="shared" si="189"/>
        <v/>
      </c>
      <c r="AB1956">
        <v>0</v>
      </c>
      <c r="AC1956" t="str">
        <f>IF(AB1956&lt;&gt;0,VLOOKUP(VLOOKUP(AB1956,Tbl_Effect[],3,FALSE),EffectName[],IFERROR(MATCH(UI!$B$1,EffectName[#Headers],0),2),FALSE),"")</f>
        <v/>
      </c>
    </row>
    <row r="1957" spans="8:29" x14ac:dyDescent="0.4">
      <c r="H1957" t="str">
        <f t="shared" si="186"/>
        <v/>
      </c>
      <c r="I1957">
        <v>0</v>
      </c>
      <c r="J1957" t="str">
        <f>_xlfn.IFNA(IF(I1957&lt;&gt;0,VLOOKUP(VLOOKUP(I1957,Tbl_Equip[],2,FALSE),Tbl_Color[],IFERROR(MATCH(UI!$B$1,Tbl_Color[#Headers],0),2),FALSE),""),"Unset")</f>
        <v/>
      </c>
      <c r="K1957" t="str">
        <f>_xlfn.IFNA(IF(I1957&lt;&gt;0,VLOOKUP(I1957,ItemText[],IFERROR(MATCH(UI!$B$1,ItemText[#Headers],0),2),FALSE),""),"Unset")</f>
        <v/>
      </c>
      <c r="M1957">
        <v>0</v>
      </c>
      <c r="P1957">
        <v>0</v>
      </c>
      <c r="S1957">
        <v>0</v>
      </c>
      <c r="T1957" t="str">
        <f>IF(VALUE(S1957)=0,"",VLOOKUP(VLOOKUP(S1957,Tbl_Effect[],3,FALSE),EffectName[],IFERROR(MATCH(UI!$B$1,EffectName[#Headers],0),2),FALSE))</f>
        <v/>
      </c>
      <c r="U1957" t="str">
        <f t="shared" si="187"/>
        <v/>
      </c>
      <c r="V1957">
        <v>0</v>
      </c>
      <c r="W1957" t="str">
        <f>IF(V1957&lt;&gt;0,VLOOKUP(VLOOKUP(V1957,Tbl_Effect[],3,FALSE),EffectName[],IFERROR(MATCH(UI!$B$1,EffectName[#Headers],0),2),FALSE),"")</f>
        <v/>
      </c>
      <c r="X1957" t="str">
        <f t="shared" si="188"/>
        <v/>
      </c>
      <c r="Y1957">
        <v>0</v>
      </c>
      <c r="Z1957" t="str">
        <f>IF(Y1957&lt;&gt;0,VLOOKUP(VLOOKUP(Y1957,Tbl_Effect[],3,FALSE),EffectName[],IFERROR(MATCH(UI!$B$1,EffectName[#Headers],0),2),FALSE),"")</f>
        <v/>
      </c>
      <c r="AA1957" t="str">
        <f t="shared" si="189"/>
        <v/>
      </c>
      <c r="AB1957">
        <v>0</v>
      </c>
      <c r="AC1957" t="str">
        <f>IF(AB1957&lt;&gt;0,VLOOKUP(VLOOKUP(AB1957,Tbl_Effect[],3,FALSE),EffectName[],IFERROR(MATCH(UI!$B$1,EffectName[#Headers],0),2),FALSE),"")</f>
        <v/>
      </c>
    </row>
    <row r="1958" spans="8:29" x14ac:dyDescent="0.4">
      <c r="H1958" t="str">
        <f t="shared" si="186"/>
        <v/>
      </c>
      <c r="I1958">
        <v>0</v>
      </c>
      <c r="J1958" t="str">
        <f>_xlfn.IFNA(IF(I1958&lt;&gt;0,VLOOKUP(VLOOKUP(I1958,Tbl_Equip[],2,FALSE),Tbl_Color[],IFERROR(MATCH(UI!$B$1,Tbl_Color[#Headers],0),2),FALSE),""),"Unset")</f>
        <v/>
      </c>
      <c r="K1958" t="str">
        <f>_xlfn.IFNA(IF(I1958&lt;&gt;0,VLOOKUP(I1958,ItemText[],IFERROR(MATCH(UI!$B$1,ItemText[#Headers],0),2),FALSE),""),"Unset")</f>
        <v/>
      </c>
      <c r="M1958">
        <v>0</v>
      </c>
      <c r="P1958">
        <v>0</v>
      </c>
      <c r="S1958">
        <v>0</v>
      </c>
      <c r="T1958" t="str">
        <f>IF(VALUE(S1958)=0,"",VLOOKUP(VLOOKUP(S1958,Tbl_Effect[],3,FALSE),EffectName[],IFERROR(MATCH(UI!$B$1,EffectName[#Headers],0),2),FALSE))</f>
        <v/>
      </c>
      <c r="U1958" t="str">
        <f t="shared" si="187"/>
        <v/>
      </c>
      <c r="V1958">
        <v>0</v>
      </c>
      <c r="W1958" t="str">
        <f>IF(V1958&lt;&gt;0,VLOOKUP(VLOOKUP(V1958,Tbl_Effect[],3,FALSE),EffectName[],IFERROR(MATCH(UI!$B$1,EffectName[#Headers],0),2),FALSE),"")</f>
        <v/>
      </c>
      <c r="X1958" t="str">
        <f t="shared" si="188"/>
        <v/>
      </c>
      <c r="Y1958">
        <v>0</v>
      </c>
      <c r="Z1958" t="str">
        <f>IF(Y1958&lt;&gt;0,VLOOKUP(VLOOKUP(Y1958,Tbl_Effect[],3,FALSE),EffectName[],IFERROR(MATCH(UI!$B$1,EffectName[#Headers],0),2),FALSE),"")</f>
        <v/>
      </c>
      <c r="AA1958" t="str">
        <f t="shared" si="189"/>
        <v/>
      </c>
      <c r="AB1958">
        <v>0</v>
      </c>
      <c r="AC1958" t="str">
        <f>IF(AB1958&lt;&gt;0,VLOOKUP(VLOOKUP(AB1958,Tbl_Effect[],3,FALSE),EffectName[],IFERROR(MATCH(UI!$B$1,EffectName[#Headers],0),2),FALSE),"")</f>
        <v/>
      </c>
    </row>
    <row r="1959" spans="8:29" x14ac:dyDescent="0.4">
      <c r="H1959" t="str">
        <f t="shared" si="186"/>
        <v/>
      </c>
      <c r="I1959">
        <v>0</v>
      </c>
      <c r="J1959" t="str">
        <f>_xlfn.IFNA(IF(I1959&lt;&gt;0,VLOOKUP(VLOOKUP(I1959,Tbl_Equip[],2,FALSE),Tbl_Color[],IFERROR(MATCH(UI!$B$1,Tbl_Color[#Headers],0),2),FALSE),""),"Unset")</f>
        <v/>
      </c>
      <c r="K1959" t="str">
        <f>_xlfn.IFNA(IF(I1959&lt;&gt;0,VLOOKUP(I1959,ItemText[],IFERROR(MATCH(UI!$B$1,ItemText[#Headers],0),2),FALSE),""),"Unset")</f>
        <v/>
      </c>
      <c r="M1959">
        <v>0</v>
      </c>
      <c r="P1959">
        <v>0</v>
      </c>
      <c r="S1959">
        <v>0</v>
      </c>
      <c r="T1959" t="str">
        <f>IF(VALUE(S1959)=0,"",VLOOKUP(VLOOKUP(S1959,Tbl_Effect[],3,FALSE),EffectName[],IFERROR(MATCH(UI!$B$1,EffectName[#Headers],0),2),FALSE))</f>
        <v/>
      </c>
      <c r="U1959" t="str">
        <f t="shared" si="187"/>
        <v/>
      </c>
      <c r="V1959">
        <v>0</v>
      </c>
      <c r="W1959" t="str">
        <f>IF(V1959&lt;&gt;0,VLOOKUP(VLOOKUP(V1959,Tbl_Effect[],3,FALSE),EffectName[],IFERROR(MATCH(UI!$B$1,EffectName[#Headers],0),2),FALSE),"")</f>
        <v/>
      </c>
      <c r="X1959" t="str">
        <f t="shared" si="188"/>
        <v/>
      </c>
      <c r="Y1959">
        <v>0</v>
      </c>
      <c r="Z1959" t="str">
        <f>IF(Y1959&lt;&gt;0,VLOOKUP(VLOOKUP(Y1959,Tbl_Effect[],3,FALSE),EffectName[],IFERROR(MATCH(UI!$B$1,EffectName[#Headers],0),2),FALSE),"")</f>
        <v/>
      </c>
      <c r="AA1959" t="str">
        <f t="shared" si="189"/>
        <v/>
      </c>
      <c r="AB1959">
        <v>0</v>
      </c>
      <c r="AC1959" t="str">
        <f>IF(AB1959&lt;&gt;0,VLOOKUP(VLOOKUP(AB1959,Tbl_Effect[],3,FALSE),EffectName[],IFERROR(MATCH(UI!$B$1,EffectName[#Headers],0),2),FALSE),"")</f>
        <v/>
      </c>
    </row>
    <row r="1960" spans="8:29" x14ac:dyDescent="0.4">
      <c r="H1960" t="str">
        <f t="shared" si="186"/>
        <v/>
      </c>
      <c r="I1960">
        <v>0</v>
      </c>
      <c r="J1960" t="str">
        <f>_xlfn.IFNA(IF(I1960&lt;&gt;0,VLOOKUP(VLOOKUP(I1960,Tbl_Equip[],2,FALSE),Tbl_Color[],IFERROR(MATCH(UI!$B$1,Tbl_Color[#Headers],0),2),FALSE),""),"Unset")</f>
        <v/>
      </c>
      <c r="K1960" t="str">
        <f>_xlfn.IFNA(IF(I1960&lt;&gt;0,VLOOKUP(I1960,ItemText[],IFERROR(MATCH(UI!$B$1,ItemText[#Headers],0),2),FALSE),""),"Unset")</f>
        <v/>
      </c>
      <c r="M1960">
        <v>0</v>
      </c>
      <c r="P1960">
        <v>0</v>
      </c>
      <c r="S1960">
        <v>0</v>
      </c>
      <c r="T1960" t="str">
        <f>IF(VALUE(S1960)=0,"",VLOOKUP(VLOOKUP(S1960,Tbl_Effect[],3,FALSE),EffectName[],IFERROR(MATCH(UI!$B$1,EffectName[#Headers],0),2),FALSE))</f>
        <v/>
      </c>
      <c r="U1960" t="str">
        <f t="shared" si="187"/>
        <v/>
      </c>
      <c r="V1960">
        <v>0</v>
      </c>
      <c r="W1960" t="str">
        <f>IF(V1960&lt;&gt;0,VLOOKUP(VLOOKUP(V1960,Tbl_Effect[],3,FALSE),EffectName[],IFERROR(MATCH(UI!$B$1,EffectName[#Headers],0),2),FALSE),"")</f>
        <v/>
      </c>
      <c r="X1960" t="str">
        <f t="shared" si="188"/>
        <v/>
      </c>
      <c r="Y1960">
        <v>0</v>
      </c>
      <c r="Z1960" t="str">
        <f>IF(Y1960&lt;&gt;0,VLOOKUP(VLOOKUP(Y1960,Tbl_Effect[],3,FALSE),EffectName[],IFERROR(MATCH(UI!$B$1,EffectName[#Headers],0),2),FALSE),"")</f>
        <v/>
      </c>
      <c r="AA1960" t="str">
        <f t="shared" si="189"/>
        <v/>
      </c>
      <c r="AB1960">
        <v>0</v>
      </c>
      <c r="AC1960" t="str">
        <f>IF(AB1960&lt;&gt;0,VLOOKUP(VLOOKUP(AB1960,Tbl_Effect[],3,FALSE),EffectName[],IFERROR(MATCH(UI!$B$1,EffectName[#Headers],0),2),FALSE),"")</f>
        <v/>
      </c>
    </row>
    <row r="1961" spans="8:29" x14ac:dyDescent="0.4">
      <c r="H1961" t="str">
        <f t="shared" si="186"/>
        <v/>
      </c>
      <c r="I1961">
        <v>0</v>
      </c>
      <c r="J1961" t="str">
        <f>_xlfn.IFNA(IF(I1961&lt;&gt;0,VLOOKUP(VLOOKUP(I1961,Tbl_Equip[],2,FALSE),Tbl_Color[],IFERROR(MATCH(UI!$B$1,Tbl_Color[#Headers],0),2),FALSE),""),"Unset")</f>
        <v/>
      </c>
      <c r="K1961" t="str">
        <f>_xlfn.IFNA(IF(I1961&lt;&gt;0,VLOOKUP(I1961,ItemText[],IFERROR(MATCH(UI!$B$1,ItemText[#Headers],0),2),FALSE),""),"Unset")</f>
        <v/>
      </c>
      <c r="M1961">
        <v>0</v>
      </c>
      <c r="P1961">
        <v>0</v>
      </c>
      <c r="S1961">
        <v>0</v>
      </c>
      <c r="T1961" t="str">
        <f>IF(VALUE(S1961)=0,"",VLOOKUP(VLOOKUP(S1961,Tbl_Effect[],3,FALSE),EffectName[],IFERROR(MATCH(UI!$B$1,EffectName[#Headers],0),2),FALSE))</f>
        <v/>
      </c>
      <c r="U1961" t="str">
        <f t="shared" si="187"/>
        <v/>
      </c>
      <c r="V1961">
        <v>0</v>
      </c>
      <c r="W1961" t="str">
        <f>IF(V1961&lt;&gt;0,VLOOKUP(VLOOKUP(V1961,Tbl_Effect[],3,FALSE),EffectName[],IFERROR(MATCH(UI!$B$1,EffectName[#Headers],0),2),FALSE),"")</f>
        <v/>
      </c>
      <c r="X1961" t="str">
        <f t="shared" si="188"/>
        <v/>
      </c>
      <c r="Y1961">
        <v>0</v>
      </c>
      <c r="Z1961" t="str">
        <f>IF(Y1961&lt;&gt;0,VLOOKUP(VLOOKUP(Y1961,Tbl_Effect[],3,FALSE),EffectName[],IFERROR(MATCH(UI!$B$1,EffectName[#Headers],0),2),FALSE),"")</f>
        <v/>
      </c>
      <c r="AA1961" t="str">
        <f t="shared" si="189"/>
        <v/>
      </c>
      <c r="AB1961">
        <v>0</v>
      </c>
      <c r="AC1961" t="str">
        <f>IF(AB1961&lt;&gt;0,VLOOKUP(VLOOKUP(AB1961,Tbl_Effect[],3,FALSE),EffectName[],IFERROR(MATCH(UI!$B$1,EffectName[#Headers],0),2),FALSE),"")</f>
        <v/>
      </c>
    </row>
    <row r="1962" spans="8:29" x14ac:dyDescent="0.4">
      <c r="H1962" t="str">
        <f t="shared" si="186"/>
        <v/>
      </c>
      <c r="I1962">
        <v>0</v>
      </c>
      <c r="J1962" t="str">
        <f>_xlfn.IFNA(IF(I1962&lt;&gt;0,VLOOKUP(VLOOKUP(I1962,Tbl_Equip[],2,FALSE),Tbl_Color[],IFERROR(MATCH(UI!$B$1,Tbl_Color[#Headers],0),2),FALSE),""),"Unset")</f>
        <v/>
      </c>
      <c r="K1962" t="str">
        <f>_xlfn.IFNA(IF(I1962&lt;&gt;0,VLOOKUP(I1962,ItemText[],IFERROR(MATCH(UI!$B$1,ItemText[#Headers],0),2),FALSE),""),"Unset")</f>
        <v/>
      </c>
      <c r="M1962">
        <v>0</v>
      </c>
      <c r="P1962">
        <v>0</v>
      </c>
      <c r="S1962">
        <v>0</v>
      </c>
      <c r="T1962" t="str">
        <f>IF(VALUE(S1962)=0,"",VLOOKUP(VLOOKUP(S1962,Tbl_Effect[],3,FALSE),EffectName[],IFERROR(MATCH(UI!$B$1,EffectName[#Headers],0),2),FALSE))</f>
        <v/>
      </c>
      <c r="U1962" t="str">
        <f t="shared" si="187"/>
        <v/>
      </c>
      <c r="V1962">
        <v>0</v>
      </c>
      <c r="W1962" t="str">
        <f>IF(V1962&lt;&gt;0,VLOOKUP(VLOOKUP(V1962,Tbl_Effect[],3,FALSE),EffectName[],IFERROR(MATCH(UI!$B$1,EffectName[#Headers],0),2),FALSE),"")</f>
        <v/>
      </c>
      <c r="X1962" t="str">
        <f t="shared" si="188"/>
        <v/>
      </c>
      <c r="Y1962">
        <v>0</v>
      </c>
      <c r="Z1962" t="str">
        <f>IF(Y1962&lt;&gt;0,VLOOKUP(VLOOKUP(Y1962,Tbl_Effect[],3,FALSE),EffectName[],IFERROR(MATCH(UI!$B$1,EffectName[#Headers],0),2),FALSE),"")</f>
        <v/>
      </c>
      <c r="AA1962" t="str">
        <f t="shared" si="189"/>
        <v/>
      </c>
      <c r="AB1962">
        <v>0</v>
      </c>
      <c r="AC1962" t="str">
        <f>IF(AB1962&lt;&gt;0,VLOOKUP(VLOOKUP(AB1962,Tbl_Effect[],3,FALSE),EffectName[],IFERROR(MATCH(UI!$B$1,EffectName[#Headers],0),2),FALSE),"")</f>
        <v/>
      </c>
    </row>
    <row r="1963" spans="8:29" x14ac:dyDescent="0.4">
      <c r="H1963" t="str">
        <f t="shared" si="186"/>
        <v/>
      </c>
      <c r="I1963">
        <v>0</v>
      </c>
      <c r="J1963" t="str">
        <f>_xlfn.IFNA(IF(I1963&lt;&gt;0,VLOOKUP(VLOOKUP(I1963,Tbl_Equip[],2,FALSE),Tbl_Color[],IFERROR(MATCH(UI!$B$1,Tbl_Color[#Headers],0),2),FALSE),""),"Unset")</f>
        <v/>
      </c>
      <c r="K1963" t="str">
        <f>_xlfn.IFNA(IF(I1963&lt;&gt;0,VLOOKUP(I1963,ItemText[],IFERROR(MATCH(UI!$B$1,ItemText[#Headers],0),2),FALSE),""),"Unset")</f>
        <v/>
      </c>
      <c r="M1963">
        <v>0</v>
      </c>
      <c r="P1963">
        <v>0</v>
      </c>
      <c r="S1963">
        <v>0</v>
      </c>
      <c r="T1963" t="str">
        <f>IF(VALUE(S1963)=0,"",VLOOKUP(VLOOKUP(S1963,Tbl_Effect[],3,FALSE),EffectName[],IFERROR(MATCH(UI!$B$1,EffectName[#Headers],0),2),FALSE))</f>
        <v/>
      </c>
      <c r="U1963" t="str">
        <f t="shared" si="187"/>
        <v/>
      </c>
      <c r="V1963">
        <v>0</v>
      </c>
      <c r="W1963" t="str">
        <f>IF(V1963&lt;&gt;0,VLOOKUP(VLOOKUP(V1963,Tbl_Effect[],3,FALSE),EffectName[],IFERROR(MATCH(UI!$B$1,EffectName[#Headers],0),2),FALSE),"")</f>
        <v/>
      </c>
      <c r="X1963" t="str">
        <f t="shared" si="188"/>
        <v/>
      </c>
      <c r="Y1963">
        <v>0</v>
      </c>
      <c r="Z1963" t="str">
        <f>IF(Y1963&lt;&gt;0,VLOOKUP(VLOOKUP(Y1963,Tbl_Effect[],3,FALSE),EffectName[],IFERROR(MATCH(UI!$B$1,EffectName[#Headers],0),2),FALSE),"")</f>
        <v/>
      </c>
      <c r="AA1963" t="str">
        <f t="shared" si="189"/>
        <v/>
      </c>
      <c r="AB1963">
        <v>0</v>
      </c>
      <c r="AC1963" t="str">
        <f>IF(AB1963&lt;&gt;0,VLOOKUP(VLOOKUP(AB1963,Tbl_Effect[],3,FALSE),EffectName[],IFERROR(MATCH(UI!$B$1,EffectName[#Headers],0),2),FALSE),"")</f>
        <v/>
      </c>
    </row>
    <row r="1964" spans="8:29" x14ac:dyDescent="0.4">
      <c r="H1964" t="str">
        <f t="shared" si="186"/>
        <v/>
      </c>
      <c r="I1964">
        <v>0</v>
      </c>
      <c r="J1964" t="str">
        <f>_xlfn.IFNA(IF(I1964&lt;&gt;0,VLOOKUP(VLOOKUP(I1964,Tbl_Equip[],2,FALSE),Tbl_Color[],IFERROR(MATCH(UI!$B$1,Tbl_Color[#Headers],0),2),FALSE),""),"Unset")</f>
        <v/>
      </c>
      <c r="K1964" t="str">
        <f>_xlfn.IFNA(IF(I1964&lt;&gt;0,VLOOKUP(I1964,ItemText[],IFERROR(MATCH(UI!$B$1,ItemText[#Headers],0),2),FALSE),""),"Unset")</f>
        <v/>
      </c>
      <c r="M1964">
        <v>0</v>
      </c>
      <c r="P1964">
        <v>0</v>
      </c>
      <c r="S1964">
        <v>0</v>
      </c>
      <c r="T1964" t="str">
        <f>IF(VALUE(S1964)=0,"",VLOOKUP(VLOOKUP(S1964,Tbl_Effect[],3,FALSE),EffectName[],IFERROR(MATCH(UI!$B$1,EffectName[#Headers],0),2),FALSE))</f>
        <v/>
      </c>
      <c r="U1964" t="str">
        <f t="shared" si="187"/>
        <v/>
      </c>
      <c r="V1964">
        <v>0</v>
      </c>
      <c r="W1964" t="str">
        <f>IF(V1964&lt;&gt;0,VLOOKUP(VLOOKUP(V1964,Tbl_Effect[],3,FALSE),EffectName[],IFERROR(MATCH(UI!$B$1,EffectName[#Headers],0),2),FALSE),"")</f>
        <v/>
      </c>
      <c r="X1964" t="str">
        <f t="shared" si="188"/>
        <v/>
      </c>
      <c r="Y1964">
        <v>0</v>
      </c>
      <c r="Z1964" t="str">
        <f>IF(Y1964&lt;&gt;0,VLOOKUP(VLOOKUP(Y1964,Tbl_Effect[],3,FALSE),EffectName[],IFERROR(MATCH(UI!$B$1,EffectName[#Headers],0),2),FALSE),"")</f>
        <v/>
      </c>
      <c r="AA1964" t="str">
        <f t="shared" si="189"/>
        <v/>
      </c>
      <c r="AB1964">
        <v>0</v>
      </c>
      <c r="AC1964" t="str">
        <f>IF(AB1964&lt;&gt;0,VLOOKUP(VLOOKUP(AB1964,Tbl_Effect[],3,FALSE),EffectName[],IFERROR(MATCH(UI!$B$1,EffectName[#Headers],0),2),FALSE),"")</f>
        <v/>
      </c>
    </row>
    <row r="1965" spans="8:29" x14ac:dyDescent="0.4">
      <c r="H1965" t="str">
        <f t="shared" si="186"/>
        <v/>
      </c>
      <c r="I1965">
        <v>0</v>
      </c>
      <c r="J1965" t="str">
        <f>_xlfn.IFNA(IF(I1965&lt;&gt;0,VLOOKUP(VLOOKUP(I1965,Tbl_Equip[],2,FALSE),Tbl_Color[],IFERROR(MATCH(UI!$B$1,Tbl_Color[#Headers],0),2),FALSE),""),"Unset")</f>
        <v/>
      </c>
      <c r="K1965" t="str">
        <f>_xlfn.IFNA(IF(I1965&lt;&gt;0,VLOOKUP(I1965,ItemText[],IFERROR(MATCH(UI!$B$1,ItemText[#Headers],0),2),FALSE),""),"Unset")</f>
        <v/>
      </c>
      <c r="M1965">
        <v>0</v>
      </c>
      <c r="P1965">
        <v>0</v>
      </c>
      <c r="S1965">
        <v>0</v>
      </c>
      <c r="T1965" t="str">
        <f>IF(VALUE(S1965)=0,"",VLOOKUP(VLOOKUP(S1965,Tbl_Effect[],3,FALSE),EffectName[],IFERROR(MATCH(UI!$B$1,EffectName[#Headers],0),2),FALSE))</f>
        <v/>
      </c>
      <c r="U1965" t="str">
        <f t="shared" si="187"/>
        <v/>
      </c>
      <c r="V1965">
        <v>0</v>
      </c>
      <c r="W1965" t="str">
        <f>IF(V1965&lt;&gt;0,VLOOKUP(VLOOKUP(V1965,Tbl_Effect[],3,FALSE),EffectName[],IFERROR(MATCH(UI!$B$1,EffectName[#Headers],0),2),FALSE),"")</f>
        <v/>
      </c>
      <c r="X1965" t="str">
        <f t="shared" si="188"/>
        <v/>
      </c>
      <c r="Y1965">
        <v>0</v>
      </c>
      <c r="Z1965" t="str">
        <f>IF(Y1965&lt;&gt;0,VLOOKUP(VLOOKUP(Y1965,Tbl_Effect[],3,FALSE),EffectName[],IFERROR(MATCH(UI!$B$1,EffectName[#Headers],0),2),FALSE),"")</f>
        <v/>
      </c>
      <c r="AA1965" t="str">
        <f t="shared" si="189"/>
        <v/>
      </c>
      <c r="AB1965">
        <v>0</v>
      </c>
      <c r="AC1965" t="str">
        <f>IF(AB1965&lt;&gt;0,VLOOKUP(VLOOKUP(AB1965,Tbl_Effect[],3,FALSE),EffectName[],IFERROR(MATCH(UI!$B$1,EffectName[#Headers],0),2),FALSE),"")</f>
        <v/>
      </c>
    </row>
    <row r="1966" spans="8:29" x14ac:dyDescent="0.4">
      <c r="H1966" t="str">
        <f t="shared" si="186"/>
        <v/>
      </c>
      <c r="I1966">
        <v>0</v>
      </c>
      <c r="J1966" t="str">
        <f>_xlfn.IFNA(IF(I1966&lt;&gt;0,VLOOKUP(VLOOKUP(I1966,Tbl_Equip[],2,FALSE),Tbl_Color[],IFERROR(MATCH(UI!$B$1,Tbl_Color[#Headers],0),2),FALSE),""),"Unset")</f>
        <v/>
      </c>
      <c r="K1966" t="str">
        <f>_xlfn.IFNA(IF(I1966&lt;&gt;0,VLOOKUP(I1966,ItemText[],IFERROR(MATCH(UI!$B$1,ItemText[#Headers],0),2),FALSE),""),"Unset")</f>
        <v/>
      </c>
      <c r="M1966">
        <v>0</v>
      </c>
      <c r="P1966">
        <v>0</v>
      </c>
      <c r="S1966">
        <v>0</v>
      </c>
      <c r="T1966" t="str">
        <f>IF(VALUE(S1966)=0,"",VLOOKUP(VLOOKUP(S1966,Tbl_Effect[],3,FALSE),EffectName[],IFERROR(MATCH(UI!$B$1,EffectName[#Headers],0),2),FALSE))</f>
        <v/>
      </c>
      <c r="U1966" t="str">
        <f t="shared" si="187"/>
        <v/>
      </c>
      <c r="V1966">
        <v>0</v>
      </c>
      <c r="W1966" t="str">
        <f>IF(V1966&lt;&gt;0,VLOOKUP(VLOOKUP(V1966,Tbl_Effect[],3,FALSE),EffectName[],IFERROR(MATCH(UI!$B$1,EffectName[#Headers],0),2),FALSE),"")</f>
        <v/>
      </c>
      <c r="X1966" t="str">
        <f t="shared" si="188"/>
        <v/>
      </c>
      <c r="Y1966">
        <v>0</v>
      </c>
      <c r="Z1966" t="str">
        <f>IF(Y1966&lt;&gt;0,VLOOKUP(VLOOKUP(Y1966,Tbl_Effect[],3,FALSE),EffectName[],IFERROR(MATCH(UI!$B$1,EffectName[#Headers],0),2),FALSE),"")</f>
        <v/>
      </c>
      <c r="AA1966" t="str">
        <f t="shared" si="189"/>
        <v/>
      </c>
      <c r="AB1966">
        <v>0</v>
      </c>
      <c r="AC1966" t="str">
        <f>IF(AB1966&lt;&gt;0,VLOOKUP(VLOOKUP(AB1966,Tbl_Effect[],3,FALSE),EffectName[],IFERROR(MATCH(UI!$B$1,EffectName[#Headers],0),2),FALSE),"")</f>
        <v/>
      </c>
    </row>
    <row r="1967" spans="8:29" x14ac:dyDescent="0.4">
      <c r="H1967" t="str">
        <f t="shared" si="186"/>
        <v/>
      </c>
      <c r="I1967">
        <v>0</v>
      </c>
      <c r="J1967" t="str">
        <f>_xlfn.IFNA(IF(I1967&lt;&gt;0,VLOOKUP(VLOOKUP(I1967,Tbl_Equip[],2,FALSE),Tbl_Color[],IFERROR(MATCH(UI!$B$1,Tbl_Color[#Headers],0),2),FALSE),""),"Unset")</f>
        <v/>
      </c>
      <c r="K1967" t="str">
        <f>_xlfn.IFNA(IF(I1967&lt;&gt;0,VLOOKUP(I1967,ItemText[],IFERROR(MATCH(UI!$B$1,ItemText[#Headers],0),2),FALSE),""),"Unset")</f>
        <v/>
      </c>
      <c r="M1967">
        <v>0</v>
      </c>
      <c r="P1967">
        <v>0</v>
      </c>
      <c r="S1967">
        <v>0</v>
      </c>
      <c r="T1967" t="str">
        <f>IF(VALUE(S1967)=0,"",VLOOKUP(VLOOKUP(S1967,Tbl_Effect[],3,FALSE),EffectName[],IFERROR(MATCH(UI!$B$1,EffectName[#Headers],0),2),FALSE))</f>
        <v/>
      </c>
      <c r="U1967" t="str">
        <f t="shared" si="187"/>
        <v/>
      </c>
      <c r="V1967">
        <v>0</v>
      </c>
      <c r="W1967" t="str">
        <f>IF(V1967&lt;&gt;0,VLOOKUP(VLOOKUP(V1967,Tbl_Effect[],3,FALSE),EffectName[],IFERROR(MATCH(UI!$B$1,EffectName[#Headers],0),2),FALSE),"")</f>
        <v/>
      </c>
      <c r="X1967" t="str">
        <f t="shared" si="188"/>
        <v/>
      </c>
      <c r="Y1967">
        <v>0</v>
      </c>
      <c r="Z1967" t="str">
        <f>IF(Y1967&lt;&gt;0,VLOOKUP(VLOOKUP(Y1967,Tbl_Effect[],3,FALSE),EffectName[],IFERROR(MATCH(UI!$B$1,EffectName[#Headers],0),2),FALSE),"")</f>
        <v/>
      </c>
      <c r="AA1967" t="str">
        <f t="shared" si="189"/>
        <v/>
      </c>
      <c r="AB1967">
        <v>0</v>
      </c>
      <c r="AC1967" t="str">
        <f>IF(AB1967&lt;&gt;0,VLOOKUP(VLOOKUP(AB1967,Tbl_Effect[],3,FALSE),EffectName[],IFERROR(MATCH(UI!$B$1,EffectName[#Headers],0),2),FALSE),"")</f>
        <v/>
      </c>
    </row>
    <row r="1968" spans="8:29" x14ac:dyDescent="0.4">
      <c r="H1968" t="str">
        <f t="shared" si="186"/>
        <v/>
      </c>
      <c r="I1968">
        <v>0</v>
      </c>
      <c r="J1968" t="str">
        <f>_xlfn.IFNA(IF(I1968&lt;&gt;0,VLOOKUP(VLOOKUP(I1968,Tbl_Equip[],2,FALSE),Tbl_Color[],IFERROR(MATCH(UI!$B$1,Tbl_Color[#Headers],0),2),FALSE),""),"Unset")</f>
        <v/>
      </c>
      <c r="K1968" t="str">
        <f>_xlfn.IFNA(IF(I1968&lt;&gt;0,VLOOKUP(I1968,ItemText[],IFERROR(MATCH(UI!$B$1,ItemText[#Headers],0),2),FALSE),""),"Unset")</f>
        <v/>
      </c>
      <c r="M1968">
        <v>0</v>
      </c>
      <c r="P1968">
        <v>0</v>
      </c>
      <c r="S1968">
        <v>0</v>
      </c>
      <c r="T1968" t="str">
        <f>IF(VALUE(S1968)=0,"",VLOOKUP(VLOOKUP(S1968,Tbl_Effect[],3,FALSE),EffectName[],IFERROR(MATCH(UI!$B$1,EffectName[#Headers],0),2),FALSE))</f>
        <v/>
      </c>
      <c r="U1968" t="str">
        <f t="shared" si="187"/>
        <v/>
      </c>
      <c r="V1968">
        <v>0</v>
      </c>
      <c r="W1968" t="str">
        <f>IF(V1968&lt;&gt;0,VLOOKUP(VLOOKUP(V1968,Tbl_Effect[],3,FALSE),EffectName[],IFERROR(MATCH(UI!$B$1,EffectName[#Headers],0),2),FALSE),"")</f>
        <v/>
      </c>
      <c r="X1968" t="str">
        <f t="shared" si="188"/>
        <v/>
      </c>
      <c r="Y1968">
        <v>0</v>
      </c>
      <c r="Z1968" t="str">
        <f>IF(Y1968&lt;&gt;0,VLOOKUP(VLOOKUP(Y1968,Tbl_Effect[],3,FALSE),EffectName[],IFERROR(MATCH(UI!$B$1,EffectName[#Headers],0),2),FALSE),"")</f>
        <v/>
      </c>
      <c r="AA1968" t="str">
        <f t="shared" si="189"/>
        <v/>
      </c>
      <c r="AB1968">
        <v>0</v>
      </c>
      <c r="AC1968" t="str">
        <f>IF(AB1968&lt;&gt;0,VLOOKUP(VLOOKUP(AB1968,Tbl_Effect[],3,FALSE),EffectName[],IFERROR(MATCH(UI!$B$1,EffectName[#Headers],0),2),FALSE),"")</f>
        <v/>
      </c>
    </row>
    <row r="1969" spans="8:29" x14ac:dyDescent="0.4">
      <c r="H1969" t="str">
        <f t="shared" si="186"/>
        <v/>
      </c>
      <c r="I1969">
        <v>0</v>
      </c>
      <c r="J1969" t="str">
        <f>_xlfn.IFNA(IF(I1969&lt;&gt;0,VLOOKUP(VLOOKUP(I1969,Tbl_Equip[],2,FALSE),Tbl_Color[],IFERROR(MATCH(UI!$B$1,Tbl_Color[#Headers],0),2),FALSE),""),"Unset")</f>
        <v/>
      </c>
      <c r="K1969" t="str">
        <f>_xlfn.IFNA(IF(I1969&lt;&gt;0,VLOOKUP(I1969,ItemText[],IFERROR(MATCH(UI!$B$1,ItemText[#Headers],0),2),FALSE),""),"Unset")</f>
        <v/>
      </c>
      <c r="M1969">
        <v>0</v>
      </c>
      <c r="P1969">
        <v>0</v>
      </c>
      <c r="S1969">
        <v>0</v>
      </c>
      <c r="T1969" t="str">
        <f>IF(VALUE(S1969)=0,"",VLOOKUP(VLOOKUP(S1969,Tbl_Effect[],3,FALSE),EffectName[],IFERROR(MATCH(UI!$B$1,EffectName[#Headers],0),2),FALSE))</f>
        <v/>
      </c>
      <c r="U1969" t="str">
        <f t="shared" si="187"/>
        <v/>
      </c>
      <c r="V1969">
        <v>0</v>
      </c>
      <c r="W1969" t="str">
        <f>IF(V1969&lt;&gt;0,VLOOKUP(VLOOKUP(V1969,Tbl_Effect[],3,FALSE),EffectName[],IFERROR(MATCH(UI!$B$1,EffectName[#Headers],0),2),FALSE),"")</f>
        <v/>
      </c>
      <c r="X1969" t="str">
        <f t="shared" si="188"/>
        <v/>
      </c>
      <c r="Y1969">
        <v>0</v>
      </c>
      <c r="Z1969" t="str">
        <f>IF(Y1969&lt;&gt;0,VLOOKUP(VLOOKUP(Y1969,Tbl_Effect[],3,FALSE),EffectName[],IFERROR(MATCH(UI!$B$1,EffectName[#Headers],0),2),FALSE),"")</f>
        <v/>
      </c>
      <c r="AA1969" t="str">
        <f t="shared" si="189"/>
        <v/>
      </c>
      <c r="AB1969">
        <v>0</v>
      </c>
      <c r="AC1969" t="str">
        <f>IF(AB1969&lt;&gt;0,VLOOKUP(VLOOKUP(AB1969,Tbl_Effect[],3,FALSE),EffectName[],IFERROR(MATCH(UI!$B$1,EffectName[#Headers],0),2),FALSE),"")</f>
        <v/>
      </c>
    </row>
    <row r="1970" spans="8:29" x14ac:dyDescent="0.4">
      <c r="H1970" t="str">
        <f t="shared" si="186"/>
        <v/>
      </c>
      <c r="I1970">
        <v>0</v>
      </c>
      <c r="J1970" t="str">
        <f>_xlfn.IFNA(IF(I1970&lt;&gt;0,VLOOKUP(VLOOKUP(I1970,Tbl_Equip[],2,FALSE),Tbl_Color[],IFERROR(MATCH(UI!$B$1,Tbl_Color[#Headers],0),2),FALSE),""),"Unset")</f>
        <v/>
      </c>
      <c r="K1970" t="str">
        <f>_xlfn.IFNA(IF(I1970&lt;&gt;0,VLOOKUP(I1970,ItemText[],IFERROR(MATCH(UI!$B$1,ItemText[#Headers],0),2),FALSE),""),"Unset")</f>
        <v/>
      </c>
      <c r="M1970">
        <v>0</v>
      </c>
      <c r="P1970">
        <v>0</v>
      </c>
      <c r="S1970">
        <v>0</v>
      </c>
      <c r="T1970" t="str">
        <f>IF(VALUE(S1970)=0,"",VLOOKUP(VLOOKUP(S1970,Tbl_Effect[],3,FALSE),EffectName[],IFERROR(MATCH(UI!$B$1,EffectName[#Headers],0),2),FALSE))</f>
        <v/>
      </c>
      <c r="U1970" t="str">
        <f t="shared" si="187"/>
        <v/>
      </c>
      <c r="V1970">
        <v>0</v>
      </c>
      <c r="W1970" t="str">
        <f>IF(V1970&lt;&gt;0,VLOOKUP(VLOOKUP(V1970,Tbl_Effect[],3,FALSE),EffectName[],IFERROR(MATCH(UI!$B$1,EffectName[#Headers],0),2),FALSE),"")</f>
        <v/>
      </c>
      <c r="X1970" t="str">
        <f t="shared" si="188"/>
        <v/>
      </c>
      <c r="Y1970">
        <v>0</v>
      </c>
      <c r="Z1970" t="str">
        <f>IF(Y1970&lt;&gt;0,VLOOKUP(VLOOKUP(Y1970,Tbl_Effect[],3,FALSE),EffectName[],IFERROR(MATCH(UI!$B$1,EffectName[#Headers],0),2),FALSE),"")</f>
        <v/>
      </c>
      <c r="AA1970" t="str">
        <f t="shared" si="189"/>
        <v/>
      </c>
      <c r="AB1970">
        <v>0</v>
      </c>
      <c r="AC1970" t="str">
        <f>IF(AB1970&lt;&gt;0,VLOOKUP(VLOOKUP(AB1970,Tbl_Effect[],3,FALSE),EffectName[],IFERROR(MATCH(UI!$B$1,EffectName[#Headers],0),2),FALSE),"")</f>
        <v/>
      </c>
    </row>
    <row r="1971" spans="8:29" x14ac:dyDescent="0.4">
      <c r="H1971" t="str">
        <f t="shared" si="186"/>
        <v/>
      </c>
      <c r="I1971">
        <v>0</v>
      </c>
      <c r="J1971" t="str">
        <f>_xlfn.IFNA(IF(I1971&lt;&gt;0,VLOOKUP(VLOOKUP(I1971,Tbl_Equip[],2,FALSE),Tbl_Color[],IFERROR(MATCH(UI!$B$1,Tbl_Color[#Headers],0),2),FALSE),""),"Unset")</f>
        <v/>
      </c>
      <c r="K1971" t="str">
        <f>_xlfn.IFNA(IF(I1971&lt;&gt;0,VLOOKUP(I1971,ItemText[],IFERROR(MATCH(UI!$B$1,ItemText[#Headers],0),2),FALSE),""),"Unset")</f>
        <v/>
      </c>
      <c r="M1971">
        <v>0</v>
      </c>
      <c r="P1971">
        <v>0</v>
      </c>
      <c r="S1971">
        <v>0</v>
      </c>
      <c r="T1971" t="str">
        <f>IF(VALUE(S1971)=0,"",VLOOKUP(VLOOKUP(S1971,Tbl_Effect[],3,FALSE),EffectName[],IFERROR(MATCH(UI!$B$1,EffectName[#Headers],0),2),FALSE))</f>
        <v/>
      </c>
      <c r="U1971" t="str">
        <f t="shared" si="187"/>
        <v/>
      </c>
      <c r="V1971">
        <v>0</v>
      </c>
      <c r="W1971" t="str">
        <f>IF(V1971&lt;&gt;0,VLOOKUP(VLOOKUP(V1971,Tbl_Effect[],3,FALSE),EffectName[],IFERROR(MATCH(UI!$B$1,EffectName[#Headers],0),2),FALSE),"")</f>
        <v/>
      </c>
      <c r="X1971" t="str">
        <f t="shared" si="188"/>
        <v/>
      </c>
      <c r="Y1971">
        <v>0</v>
      </c>
      <c r="Z1971" t="str">
        <f>IF(Y1971&lt;&gt;0,VLOOKUP(VLOOKUP(Y1971,Tbl_Effect[],3,FALSE),EffectName[],IFERROR(MATCH(UI!$B$1,EffectName[#Headers],0),2),FALSE),"")</f>
        <v/>
      </c>
      <c r="AA1971" t="str">
        <f t="shared" si="189"/>
        <v/>
      </c>
      <c r="AB1971">
        <v>0</v>
      </c>
      <c r="AC1971" t="str">
        <f>IF(AB1971&lt;&gt;0,VLOOKUP(VLOOKUP(AB1971,Tbl_Effect[],3,FALSE),EffectName[],IFERROR(MATCH(UI!$B$1,EffectName[#Headers],0),2),FALSE),"")</f>
        <v/>
      </c>
    </row>
    <row r="1972" spans="8:29" x14ac:dyDescent="0.4">
      <c r="H1972" t="str">
        <f t="shared" si="186"/>
        <v/>
      </c>
      <c r="I1972">
        <v>0</v>
      </c>
      <c r="J1972" t="str">
        <f>_xlfn.IFNA(IF(I1972&lt;&gt;0,VLOOKUP(VLOOKUP(I1972,Tbl_Equip[],2,FALSE),Tbl_Color[],IFERROR(MATCH(UI!$B$1,Tbl_Color[#Headers],0),2),FALSE),""),"Unset")</f>
        <v/>
      </c>
      <c r="K1972" t="str">
        <f>_xlfn.IFNA(IF(I1972&lt;&gt;0,VLOOKUP(I1972,ItemText[],IFERROR(MATCH(UI!$B$1,ItemText[#Headers],0),2),FALSE),""),"Unset")</f>
        <v/>
      </c>
      <c r="M1972">
        <v>0</v>
      </c>
      <c r="P1972">
        <v>0</v>
      </c>
      <c r="S1972">
        <v>0</v>
      </c>
      <c r="T1972" t="str">
        <f>IF(VALUE(S1972)=0,"",VLOOKUP(VLOOKUP(S1972,Tbl_Effect[],3,FALSE),EffectName[],IFERROR(MATCH(UI!$B$1,EffectName[#Headers],0),2),FALSE))</f>
        <v/>
      </c>
      <c r="U1972" t="str">
        <f t="shared" si="187"/>
        <v/>
      </c>
      <c r="V1972">
        <v>0</v>
      </c>
      <c r="W1972" t="str">
        <f>IF(V1972&lt;&gt;0,VLOOKUP(VLOOKUP(V1972,Tbl_Effect[],3,FALSE),EffectName[],IFERROR(MATCH(UI!$B$1,EffectName[#Headers],0),2),FALSE),"")</f>
        <v/>
      </c>
      <c r="X1972" t="str">
        <f t="shared" si="188"/>
        <v/>
      </c>
      <c r="Y1972">
        <v>0</v>
      </c>
      <c r="Z1972" t="str">
        <f>IF(Y1972&lt;&gt;0,VLOOKUP(VLOOKUP(Y1972,Tbl_Effect[],3,FALSE),EffectName[],IFERROR(MATCH(UI!$B$1,EffectName[#Headers],0),2),FALSE),"")</f>
        <v/>
      </c>
      <c r="AA1972" t="str">
        <f t="shared" si="189"/>
        <v/>
      </c>
      <c r="AB1972">
        <v>0</v>
      </c>
      <c r="AC1972" t="str">
        <f>IF(AB1972&lt;&gt;0,VLOOKUP(VLOOKUP(AB1972,Tbl_Effect[],3,FALSE),EffectName[],IFERROR(MATCH(UI!$B$1,EffectName[#Headers],0),2),FALSE),"")</f>
        <v/>
      </c>
    </row>
    <row r="1973" spans="8:29" x14ac:dyDescent="0.4">
      <c r="H1973" t="str">
        <f t="shared" si="186"/>
        <v/>
      </c>
      <c r="I1973">
        <v>0</v>
      </c>
      <c r="J1973" t="str">
        <f>_xlfn.IFNA(IF(I1973&lt;&gt;0,VLOOKUP(VLOOKUP(I1973,Tbl_Equip[],2,FALSE),Tbl_Color[],IFERROR(MATCH(UI!$B$1,Tbl_Color[#Headers],0),2),FALSE),""),"Unset")</f>
        <v/>
      </c>
      <c r="K1973" t="str">
        <f>_xlfn.IFNA(IF(I1973&lt;&gt;0,VLOOKUP(I1973,ItemText[],IFERROR(MATCH(UI!$B$1,ItemText[#Headers],0),2),FALSE),""),"Unset")</f>
        <v/>
      </c>
      <c r="M1973">
        <v>0</v>
      </c>
      <c r="P1973">
        <v>0</v>
      </c>
      <c r="S1973">
        <v>0</v>
      </c>
      <c r="T1973" t="str">
        <f>IF(VALUE(S1973)=0,"",VLOOKUP(VLOOKUP(S1973,Tbl_Effect[],3,FALSE),EffectName[],IFERROR(MATCH(UI!$B$1,EffectName[#Headers],0),2),FALSE))</f>
        <v/>
      </c>
      <c r="U1973" t="str">
        <f t="shared" si="187"/>
        <v/>
      </c>
      <c r="V1973">
        <v>0</v>
      </c>
      <c r="W1973" t="str">
        <f>IF(V1973&lt;&gt;0,VLOOKUP(VLOOKUP(V1973,Tbl_Effect[],3,FALSE),EffectName[],IFERROR(MATCH(UI!$B$1,EffectName[#Headers],0),2),FALSE),"")</f>
        <v/>
      </c>
      <c r="X1973" t="str">
        <f t="shared" si="188"/>
        <v/>
      </c>
      <c r="Y1973">
        <v>0</v>
      </c>
      <c r="Z1973" t="str">
        <f>IF(Y1973&lt;&gt;0,VLOOKUP(VLOOKUP(Y1973,Tbl_Effect[],3,FALSE),EffectName[],IFERROR(MATCH(UI!$B$1,EffectName[#Headers],0),2),FALSE),"")</f>
        <v/>
      </c>
      <c r="AA1973" t="str">
        <f t="shared" si="189"/>
        <v/>
      </c>
      <c r="AB1973">
        <v>0</v>
      </c>
      <c r="AC1973" t="str">
        <f>IF(AB1973&lt;&gt;0,VLOOKUP(VLOOKUP(AB1973,Tbl_Effect[],3,FALSE),EffectName[],IFERROR(MATCH(UI!$B$1,EffectName[#Headers],0),2),FALSE),"")</f>
        <v/>
      </c>
    </row>
    <row r="1974" spans="8:29" x14ac:dyDescent="0.4">
      <c r="H1974" t="str">
        <f t="shared" si="186"/>
        <v/>
      </c>
      <c r="I1974">
        <v>0</v>
      </c>
      <c r="J1974" t="str">
        <f>_xlfn.IFNA(IF(I1974&lt;&gt;0,VLOOKUP(VLOOKUP(I1974,Tbl_Equip[],2,FALSE),Tbl_Color[],IFERROR(MATCH(UI!$B$1,Tbl_Color[#Headers],0),2),FALSE),""),"Unset")</f>
        <v/>
      </c>
      <c r="K1974" t="str">
        <f>_xlfn.IFNA(IF(I1974&lt;&gt;0,VLOOKUP(I1974,ItemText[],IFERROR(MATCH(UI!$B$1,ItemText[#Headers],0),2),FALSE),""),"Unset")</f>
        <v/>
      </c>
      <c r="M1974">
        <v>0</v>
      </c>
      <c r="P1974">
        <v>0</v>
      </c>
      <c r="S1974">
        <v>0</v>
      </c>
      <c r="T1974" t="str">
        <f>IF(VALUE(S1974)=0,"",VLOOKUP(VLOOKUP(S1974,Tbl_Effect[],3,FALSE),EffectName[],IFERROR(MATCH(UI!$B$1,EffectName[#Headers],0),2),FALSE))</f>
        <v/>
      </c>
      <c r="U1974" t="str">
        <f t="shared" si="187"/>
        <v/>
      </c>
      <c r="V1974">
        <v>0</v>
      </c>
      <c r="W1974" t="str">
        <f>IF(V1974&lt;&gt;0,VLOOKUP(VLOOKUP(V1974,Tbl_Effect[],3,FALSE),EffectName[],IFERROR(MATCH(UI!$B$1,EffectName[#Headers],0),2),FALSE),"")</f>
        <v/>
      </c>
      <c r="X1974" t="str">
        <f t="shared" si="188"/>
        <v/>
      </c>
      <c r="Y1974">
        <v>0</v>
      </c>
      <c r="Z1974" t="str">
        <f>IF(Y1974&lt;&gt;0,VLOOKUP(VLOOKUP(Y1974,Tbl_Effect[],3,FALSE),EffectName[],IFERROR(MATCH(UI!$B$1,EffectName[#Headers],0),2),FALSE),"")</f>
        <v/>
      </c>
      <c r="AA1974" t="str">
        <f t="shared" si="189"/>
        <v/>
      </c>
      <c r="AB1974">
        <v>0</v>
      </c>
      <c r="AC1974" t="str">
        <f>IF(AB1974&lt;&gt;0,VLOOKUP(VLOOKUP(AB1974,Tbl_Effect[],3,FALSE),EffectName[],IFERROR(MATCH(UI!$B$1,EffectName[#Headers],0),2),FALSE),"")</f>
        <v/>
      </c>
    </row>
    <row r="1975" spans="8:29" x14ac:dyDescent="0.4">
      <c r="H1975" t="str">
        <f t="shared" si="186"/>
        <v/>
      </c>
      <c r="I1975">
        <v>0</v>
      </c>
      <c r="J1975" t="str">
        <f>_xlfn.IFNA(IF(I1975&lt;&gt;0,VLOOKUP(VLOOKUP(I1975,Tbl_Equip[],2,FALSE),Tbl_Color[],IFERROR(MATCH(UI!$B$1,Tbl_Color[#Headers],0),2),FALSE),""),"Unset")</f>
        <v/>
      </c>
      <c r="K1975" t="str">
        <f>_xlfn.IFNA(IF(I1975&lt;&gt;0,VLOOKUP(I1975,ItemText[],IFERROR(MATCH(UI!$B$1,ItemText[#Headers],0),2),FALSE),""),"Unset")</f>
        <v/>
      </c>
      <c r="M1975">
        <v>0</v>
      </c>
      <c r="P1975">
        <v>0</v>
      </c>
      <c r="S1975">
        <v>0</v>
      </c>
      <c r="T1975" t="str">
        <f>IF(VALUE(S1975)=0,"",VLOOKUP(VLOOKUP(S1975,Tbl_Effect[],3,FALSE),EffectName[],IFERROR(MATCH(UI!$B$1,EffectName[#Headers],0),2),FALSE))</f>
        <v/>
      </c>
      <c r="U1975" t="str">
        <f t="shared" si="187"/>
        <v/>
      </c>
      <c r="V1975">
        <v>0</v>
      </c>
      <c r="W1975" t="str">
        <f>IF(V1975&lt;&gt;0,VLOOKUP(VLOOKUP(V1975,Tbl_Effect[],3,FALSE),EffectName[],IFERROR(MATCH(UI!$B$1,EffectName[#Headers],0),2),FALSE),"")</f>
        <v/>
      </c>
      <c r="X1975" t="str">
        <f t="shared" si="188"/>
        <v/>
      </c>
      <c r="Y1975">
        <v>0</v>
      </c>
      <c r="Z1975" t="str">
        <f>IF(Y1975&lt;&gt;0,VLOOKUP(VLOOKUP(Y1975,Tbl_Effect[],3,FALSE),EffectName[],IFERROR(MATCH(UI!$B$1,EffectName[#Headers],0),2),FALSE),"")</f>
        <v/>
      </c>
      <c r="AA1975" t="str">
        <f t="shared" si="189"/>
        <v/>
      </c>
      <c r="AB1975">
        <v>0</v>
      </c>
      <c r="AC1975" t="str">
        <f>IF(AB1975&lt;&gt;0,VLOOKUP(VLOOKUP(AB1975,Tbl_Effect[],3,FALSE),EffectName[],IFERROR(MATCH(UI!$B$1,EffectName[#Headers],0),2),FALSE),"")</f>
        <v/>
      </c>
    </row>
    <row r="1976" spans="8:29" x14ac:dyDescent="0.4">
      <c r="H1976" t="str">
        <f t="shared" si="186"/>
        <v/>
      </c>
      <c r="I1976">
        <v>0</v>
      </c>
      <c r="J1976" t="str">
        <f>_xlfn.IFNA(IF(I1976&lt;&gt;0,VLOOKUP(VLOOKUP(I1976,Tbl_Equip[],2,FALSE),Tbl_Color[],IFERROR(MATCH(UI!$B$1,Tbl_Color[#Headers],0),2),FALSE),""),"Unset")</f>
        <v/>
      </c>
      <c r="K1976" t="str">
        <f>_xlfn.IFNA(IF(I1976&lt;&gt;0,VLOOKUP(I1976,ItemText[],IFERROR(MATCH(UI!$B$1,ItemText[#Headers],0),2),FALSE),""),"Unset")</f>
        <v/>
      </c>
      <c r="M1976">
        <v>0</v>
      </c>
      <c r="P1976">
        <v>0</v>
      </c>
      <c r="S1976">
        <v>0</v>
      </c>
      <c r="T1976" t="str">
        <f>IF(VALUE(S1976)=0,"",VLOOKUP(VLOOKUP(S1976,Tbl_Effect[],3,FALSE),EffectName[],IFERROR(MATCH(UI!$B$1,EffectName[#Headers],0),2),FALSE))</f>
        <v/>
      </c>
      <c r="U1976" t="str">
        <f t="shared" si="187"/>
        <v/>
      </c>
      <c r="V1976">
        <v>0</v>
      </c>
      <c r="W1976" t="str">
        <f>IF(V1976&lt;&gt;0,VLOOKUP(VLOOKUP(V1976,Tbl_Effect[],3,FALSE),EffectName[],IFERROR(MATCH(UI!$B$1,EffectName[#Headers],0),2),FALSE),"")</f>
        <v/>
      </c>
      <c r="X1976" t="str">
        <f t="shared" si="188"/>
        <v/>
      </c>
      <c r="Y1976">
        <v>0</v>
      </c>
      <c r="Z1976" t="str">
        <f>IF(Y1976&lt;&gt;0,VLOOKUP(VLOOKUP(Y1976,Tbl_Effect[],3,FALSE),EffectName[],IFERROR(MATCH(UI!$B$1,EffectName[#Headers],0),2),FALSE),"")</f>
        <v/>
      </c>
      <c r="AA1976" t="str">
        <f t="shared" si="189"/>
        <v/>
      </c>
      <c r="AB1976">
        <v>0</v>
      </c>
      <c r="AC1976" t="str">
        <f>IF(AB1976&lt;&gt;0,VLOOKUP(VLOOKUP(AB1976,Tbl_Effect[],3,FALSE),EffectName[],IFERROR(MATCH(UI!$B$1,EffectName[#Headers],0),2),FALSE),"")</f>
        <v/>
      </c>
    </row>
    <row r="1977" spans="8:29" x14ac:dyDescent="0.4">
      <c r="H1977" t="str">
        <f t="shared" si="186"/>
        <v/>
      </c>
      <c r="I1977">
        <v>0</v>
      </c>
      <c r="J1977" t="str">
        <f>_xlfn.IFNA(IF(I1977&lt;&gt;0,VLOOKUP(VLOOKUP(I1977,Tbl_Equip[],2,FALSE),Tbl_Color[],IFERROR(MATCH(UI!$B$1,Tbl_Color[#Headers],0),2),FALSE),""),"Unset")</f>
        <v/>
      </c>
      <c r="K1977" t="str">
        <f>_xlfn.IFNA(IF(I1977&lt;&gt;0,VLOOKUP(I1977,ItemText[],IFERROR(MATCH(UI!$B$1,ItemText[#Headers],0),2),FALSE),""),"Unset")</f>
        <v/>
      </c>
      <c r="M1977">
        <v>0</v>
      </c>
      <c r="P1977">
        <v>0</v>
      </c>
      <c r="S1977">
        <v>0</v>
      </c>
      <c r="T1977" t="str">
        <f>IF(VALUE(S1977)=0,"",VLOOKUP(VLOOKUP(S1977,Tbl_Effect[],3,FALSE),EffectName[],IFERROR(MATCH(UI!$B$1,EffectName[#Headers],0),2),FALSE))</f>
        <v/>
      </c>
      <c r="U1977" t="str">
        <f t="shared" si="187"/>
        <v/>
      </c>
      <c r="V1977">
        <v>0</v>
      </c>
      <c r="W1977" t="str">
        <f>IF(V1977&lt;&gt;0,VLOOKUP(VLOOKUP(V1977,Tbl_Effect[],3,FALSE),EffectName[],IFERROR(MATCH(UI!$B$1,EffectName[#Headers],0),2),FALSE),"")</f>
        <v/>
      </c>
      <c r="X1977" t="str">
        <f t="shared" si="188"/>
        <v/>
      </c>
      <c r="Y1977">
        <v>0</v>
      </c>
      <c r="Z1977" t="str">
        <f>IF(Y1977&lt;&gt;0,VLOOKUP(VLOOKUP(Y1977,Tbl_Effect[],3,FALSE),EffectName[],IFERROR(MATCH(UI!$B$1,EffectName[#Headers],0),2),FALSE),"")</f>
        <v/>
      </c>
      <c r="AA1977" t="str">
        <f t="shared" si="189"/>
        <v/>
      </c>
      <c r="AB1977">
        <v>0</v>
      </c>
      <c r="AC1977" t="str">
        <f>IF(AB1977&lt;&gt;0,VLOOKUP(VLOOKUP(AB1977,Tbl_Effect[],3,FALSE),EffectName[],IFERROR(MATCH(UI!$B$1,EffectName[#Headers],0),2),FALSE),"")</f>
        <v/>
      </c>
    </row>
    <row r="1978" spans="8:29" x14ac:dyDescent="0.4">
      <c r="H1978" t="str">
        <f t="shared" si="186"/>
        <v/>
      </c>
      <c r="I1978">
        <v>0</v>
      </c>
      <c r="J1978" t="str">
        <f>_xlfn.IFNA(IF(I1978&lt;&gt;0,VLOOKUP(VLOOKUP(I1978,Tbl_Equip[],2,FALSE),Tbl_Color[],IFERROR(MATCH(UI!$B$1,Tbl_Color[#Headers],0),2),FALSE),""),"Unset")</f>
        <v/>
      </c>
      <c r="K1978" t="str">
        <f>_xlfn.IFNA(IF(I1978&lt;&gt;0,VLOOKUP(I1978,ItemText[],IFERROR(MATCH(UI!$B$1,ItemText[#Headers],0),2),FALSE),""),"Unset")</f>
        <v/>
      </c>
      <c r="M1978">
        <v>0</v>
      </c>
      <c r="P1978">
        <v>0</v>
      </c>
      <c r="S1978">
        <v>0</v>
      </c>
      <c r="T1978" t="str">
        <f>IF(VALUE(S1978)=0,"",VLOOKUP(VLOOKUP(S1978,Tbl_Effect[],3,FALSE),EffectName[],IFERROR(MATCH(UI!$B$1,EffectName[#Headers],0),2),FALSE))</f>
        <v/>
      </c>
      <c r="U1978" t="str">
        <f t="shared" si="187"/>
        <v/>
      </c>
      <c r="V1978">
        <v>0</v>
      </c>
      <c r="W1978" t="str">
        <f>IF(V1978&lt;&gt;0,VLOOKUP(VLOOKUP(V1978,Tbl_Effect[],3,FALSE),EffectName[],IFERROR(MATCH(UI!$B$1,EffectName[#Headers],0),2),FALSE),"")</f>
        <v/>
      </c>
      <c r="X1978" t="str">
        <f t="shared" si="188"/>
        <v/>
      </c>
      <c r="Y1978">
        <v>0</v>
      </c>
      <c r="Z1978" t="str">
        <f>IF(Y1978&lt;&gt;0,VLOOKUP(VLOOKUP(Y1978,Tbl_Effect[],3,FALSE),EffectName[],IFERROR(MATCH(UI!$B$1,EffectName[#Headers],0),2),FALSE),"")</f>
        <v/>
      </c>
      <c r="AA1978" t="str">
        <f t="shared" si="189"/>
        <v/>
      </c>
      <c r="AB1978">
        <v>0</v>
      </c>
      <c r="AC1978" t="str">
        <f>IF(AB1978&lt;&gt;0,VLOOKUP(VLOOKUP(AB1978,Tbl_Effect[],3,FALSE),EffectName[],IFERROR(MATCH(UI!$B$1,EffectName[#Headers],0),2),FALSE),"")</f>
        <v/>
      </c>
    </row>
    <row r="1979" spans="8:29" x14ac:dyDescent="0.4">
      <c r="H1979" t="str">
        <f t="shared" si="186"/>
        <v/>
      </c>
      <c r="I1979">
        <v>0</v>
      </c>
      <c r="J1979" t="str">
        <f>_xlfn.IFNA(IF(I1979&lt;&gt;0,VLOOKUP(VLOOKUP(I1979,Tbl_Equip[],2,FALSE),Tbl_Color[],IFERROR(MATCH(UI!$B$1,Tbl_Color[#Headers],0),2),FALSE),""),"Unset")</f>
        <v/>
      </c>
      <c r="K1979" t="str">
        <f>_xlfn.IFNA(IF(I1979&lt;&gt;0,VLOOKUP(I1979,ItemText[],IFERROR(MATCH(UI!$B$1,ItemText[#Headers],0),2),FALSE),""),"Unset")</f>
        <v/>
      </c>
      <c r="M1979">
        <v>0</v>
      </c>
      <c r="P1979">
        <v>0</v>
      </c>
      <c r="S1979">
        <v>0</v>
      </c>
      <c r="T1979" t="str">
        <f>IF(VALUE(S1979)=0,"",VLOOKUP(VLOOKUP(S1979,Tbl_Effect[],3,FALSE),EffectName[],IFERROR(MATCH(UI!$B$1,EffectName[#Headers],0),2),FALSE))</f>
        <v/>
      </c>
      <c r="U1979" t="str">
        <f t="shared" si="187"/>
        <v/>
      </c>
      <c r="V1979">
        <v>0</v>
      </c>
      <c r="W1979" t="str">
        <f>IF(V1979&lt;&gt;0,VLOOKUP(VLOOKUP(V1979,Tbl_Effect[],3,FALSE),EffectName[],IFERROR(MATCH(UI!$B$1,EffectName[#Headers],0),2),FALSE),"")</f>
        <v/>
      </c>
      <c r="X1979" t="str">
        <f t="shared" si="188"/>
        <v/>
      </c>
      <c r="Y1979">
        <v>0</v>
      </c>
      <c r="Z1979" t="str">
        <f>IF(Y1979&lt;&gt;0,VLOOKUP(VLOOKUP(Y1979,Tbl_Effect[],3,FALSE),EffectName[],IFERROR(MATCH(UI!$B$1,EffectName[#Headers],0),2),FALSE),"")</f>
        <v/>
      </c>
      <c r="AA1979" t="str">
        <f t="shared" si="189"/>
        <v/>
      </c>
      <c r="AB1979">
        <v>0</v>
      </c>
      <c r="AC1979" t="str">
        <f>IF(AB1979&lt;&gt;0,VLOOKUP(VLOOKUP(AB1979,Tbl_Effect[],3,FALSE),EffectName[],IFERROR(MATCH(UI!$B$1,EffectName[#Headers],0),2),FALSE),"")</f>
        <v/>
      </c>
    </row>
    <row r="1980" spans="8:29" x14ac:dyDescent="0.4">
      <c r="H1980" t="str">
        <f t="shared" si="186"/>
        <v/>
      </c>
      <c r="I1980">
        <v>0</v>
      </c>
      <c r="J1980" t="str">
        <f>_xlfn.IFNA(IF(I1980&lt;&gt;0,VLOOKUP(VLOOKUP(I1980,Tbl_Equip[],2,FALSE),Tbl_Color[],IFERROR(MATCH(UI!$B$1,Tbl_Color[#Headers],0),2),FALSE),""),"Unset")</f>
        <v/>
      </c>
      <c r="K1980" t="str">
        <f>_xlfn.IFNA(IF(I1980&lt;&gt;0,VLOOKUP(I1980,ItemText[],IFERROR(MATCH(UI!$B$1,ItemText[#Headers],0),2),FALSE),""),"Unset")</f>
        <v/>
      </c>
      <c r="M1980">
        <v>0</v>
      </c>
      <c r="P1980">
        <v>0</v>
      </c>
      <c r="S1980">
        <v>0</v>
      </c>
      <c r="T1980" t="str">
        <f>IF(VALUE(S1980)=0,"",VLOOKUP(VLOOKUP(S1980,Tbl_Effect[],3,FALSE),EffectName[],IFERROR(MATCH(UI!$B$1,EffectName[#Headers],0),2),FALSE))</f>
        <v/>
      </c>
      <c r="U1980" t="str">
        <f t="shared" si="187"/>
        <v/>
      </c>
      <c r="V1980">
        <v>0</v>
      </c>
      <c r="W1980" t="str">
        <f>IF(V1980&lt;&gt;0,VLOOKUP(VLOOKUP(V1980,Tbl_Effect[],3,FALSE),EffectName[],IFERROR(MATCH(UI!$B$1,EffectName[#Headers],0),2),FALSE),"")</f>
        <v/>
      </c>
      <c r="X1980" t="str">
        <f t="shared" si="188"/>
        <v/>
      </c>
      <c r="Y1980">
        <v>0</v>
      </c>
      <c r="Z1980" t="str">
        <f>IF(Y1980&lt;&gt;0,VLOOKUP(VLOOKUP(Y1980,Tbl_Effect[],3,FALSE),EffectName[],IFERROR(MATCH(UI!$B$1,EffectName[#Headers],0),2),FALSE),"")</f>
        <v/>
      </c>
      <c r="AA1980" t="str">
        <f t="shared" si="189"/>
        <v/>
      </c>
      <c r="AB1980">
        <v>0</v>
      </c>
      <c r="AC1980" t="str">
        <f>IF(AB1980&lt;&gt;0,VLOOKUP(VLOOKUP(AB1980,Tbl_Effect[],3,FALSE),EffectName[],IFERROR(MATCH(UI!$B$1,EffectName[#Headers],0),2),FALSE),"")</f>
        <v/>
      </c>
    </row>
    <row r="1981" spans="8:29" x14ac:dyDescent="0.4">
      <c r="H1981" t="str">
        <f t="shared" si="186"/>
        <v/>
      </c>
      <c r="I1981">
        <v>0</v>
      </c>
      <c r="J1981" t="str">
        <f>_xlfn.IFNA(IF(I1981&lt;&gt;0,VLOOKUP(VLOOKUP(I1981,Tbl_Equip[],2,FALSE),Tbl_Color[],IFERROR(MATCH(UI!$B$1,Tbl_Color[#Headers],0),2),FALSE),""),"Unset")</f>
        <v/>
      </c>
      <c r="K1981" t="str">
        <f>_xlfn.IFNA(IF(I1981&lt;&gt;0,VLOOKUP(I1981,ItemText[],IFERROR(MATCH(UI!$B$1,ItemText[#Headers],0),2),FALSE),""),"Unset")</f>
        <v/>
      </c>
      <c r="M1981">
        <v>0</v>
      </c>
      <c r="P1981">
        <v>0</v>
      </c>
      <c r="S1981">
        <v>0</v>
      </c>
      <c r="T1981" t="str">
        <f>IF(VALUE(S1981)=0,"",VLOOKUP(VLOOKUP(S1981,Tbl_Effect[],3,FALSE),EffectName[],IFERROR(MATCH(UI!$B$1,EffectName[#Headers],0),2),FALSE))</f>
        <v/>
      </c>
      <c r="U1981" t="str">
        <f t="shared" si="187"/>
        <v/>
      </c>
      <c r="V1981">
        <v>0</v>
      </c>
      <c r="W1981" t="str">
        <f>IF(V1981&lt;&gt;0,VLOOKUP(VLOOKUP(V1981,Tbl_Effect[],3,FALSE),EffectName[],IFERROR(MATCH(UI!$B$1,EffectName[#Headers],0),2),FALSE),"")</f>
        <v/>
      </c>
      <c r="X1981" t="str">
        <f t="shared" si="188"/>
        <v/>
      </c>
      <c r="Y1981">
        <v>0</v>
      </c>
      <c r="Z1981" t="str">
        <f>IF(Y1981&lt;&gt;0,VLOOKUP(VLOOKUP(Y1981,Tbl_Effect[],3,FALSE),EffectName[],IFERROR(MATCH(UI!$B$1,EffectName[#Headers],0),2),FALSE),"")</f>
        <v/>
      </c>
      <c r="AA1981" t="str">
        <f t="shared" si="189"/>
        <v/>
      </c>
      <c r="AB1981">
        <v>0</v>
      </c>
      <c r="AC1981" t="str">
        <f>IF(AB1981&lt;&gt;0,VLOOKUP(VLOOKUP(AB1981,Tbl_Effect[],3,FALSE),EffectName[],IFERROR(MATCH(UI!$B$1,EffectName[#Headers],0),2),FALSE),"")</f>
        <v/>
      </c>
    </row>
    <row r="1982" spans="8:29" x14ac:dyDescent="0.4">
      <c r="H1982" t="str">
        <f t="shared" si="186"/>
        <v/>
      </c>
      <c r="I1982">
        <v>0</v>
      </c>
      <c r="J1982" t="str">
        <f>_xlfn.IFNA(IF(I1982&lt;&gt;0,VLOOKUP(VLOOKUP(I1982,Tbl_Equip[],2,FALSE),Tbl_Color[],IFERROR(MATCH(UI!$B$1,Tbl_Color[#Headers],0),2),FALSE),""),"Unset")</f>
        <v/>
      </c>
      <c r="K1982" t="str">
        <f>_xlfn.IFNA(IF(I1982&lt;&gt;0,VLOOKUP(I1982,ItemText[],IFERROR(MATCH(UI!$B$1,ItemText[#Headers],0),2),FALSE),""),"Unset")</f>
        <v/>
      </c>
      <c r="M1982">
        <v>0</v>
      </c>
      <c r="P1982">
        <v>0</v>
      </c>
      <c r="S1982">
        <v>0</v>
      </c>
      <c r="T1982" t="str">
        <f>IF(VALUE(S1982)=0,"",VLOOKUP(VLOOKUP(S1982,Tbl_Effect[],3,FALSE),EffectName[],IFERROR(MATCH(UI!$B$1,EffectName[#Headers],0),2),FALSE))</f>
        <v/>
      </c>
      <c r="U1982" t="str">
        <f t="shared" si="187"/>
        <v/>
      </c>
      <c r="V1982">
        <v>0</v>
      </c>
      <c r="W1982" t="str">
        <f>IF(V1982&lt;&gt;0,VLOOKUP(VLOOKUP(V1982,Tbl_Effect[],3,FALSE),EffectName[],IFERROR(MATCH(UI!$B$1,EffectName[#Headers],0),2),FALSE),"")</f>
        <v/>
      </c>
      <c r="X1982" t="str">
        <f t="shared" si="188"/>
        <v/>
      </c>
      <c r="Y1982">
        <v>0</v>
      </c>
      <c r="Z1982" t="str">
        <f>IF(Y1982&lt;&gt;0,VLOOKUP(VLOOKUP(Y1982,Tbl_Effect[],3,FALSE),EffectName[],IFERROR(MATCH(UI!$B$1,EffectName[#Headers],0),2),FALSE),"")</f>
        <v/>
      </c>
      <c r="AA1982" t="str">
        <f t="shared" si="189"/>
        <v/>
      </c>
      <c r="AB1982">
        <v>0</v>
      </c>
      <c r="AC1982" t="str">
        <f>IF(AB1982&lt;&gt;0,VLOOKUP(VLOOKUP(AB1982,Tbl_Effect[],3,FALSE),EffectName[],IFERROR(MATCH(UI!$B$1,EffectName[#Headers],0),2),FALSE),"")</f>
        <v/>
      </c>
    </row>
    <row r="1983" spans="8:29" x14ac:dyDescent="0.4">
      <c r="H1983" t="str">
        <f t="shared" si="186"/>
        <v/>
      </c>
      <c r="I1983">
        <v>0</v>
      </c>
      <c r="J1983" t="str">
        <f>_xlfn.IFNA(IF(I1983&lt;&gt;0,VLOOKUP(VLOOKUP(I1983,Tbl_Equip[],2,FALSE),Tbl_Color[],IFERROR(MATCH(UI!$B$1,Tbl_Color[#Headers],0),2),FALSE),""),"Unset")</f>
        <v/>
      </c>
      <c r="K1983" t="str">
        <f>_xlfn.IFNA(IF(I1983&lt;&gt;0,VLOOKUP(I1983,ItemText[],IFERROR(MATCH(UI!$B$1,ItemText[#Headers],0),2),FALSE),""),"Unset")</f>
        <v/>
      </c>
      <c r="M1983">
        <v>0</v>
      </c>
      <c r="P1983">
        <v>0</v>
      </c>
      <c r="S1983">
        <v>0</v>
      </c>
      <c r="T1983" t="str">
        <f>IF(VALUE(S1983)=0,"",VLOOKUP(VLOOKUP(S1983,Tbl_Effect[],3,FALSE),EffectName[],IFERROR(MATCH(UI!$B$1,EffectName[#Headers],0),2),FALSE))</f>
        <v/>
      </c>
      <c r="U1983" t="str">
        <f t="shared" si="187"/>
        <v/>
      </c>
      <c r="V1983">
        <v>0</v>
      </c>
      <c r="W1983" t="str">
        <f>IF(V1983&lt;&gt;0,VLOOKUP(VLOOKUP(V1983,Tbl_Effect[],3,FALSE),EffectName[],IFERROR(MATCH(UI!$B$1,EffectName[#Headers],0),2),FALSE),"")</f>
        <v/>
      </c>
      <c r="X1983" t="str">
        <f t="shared" si="188"/>
        <v/>
      </c>
      <c r="Y1983">
        <v>0</v>
      </c>
      <c r="Z1983" t="str">
        <f>IF(Y1983&lt;&gt;0,VLOOKUP(VLOOKUP(Y1983,Tbl_Effect[],3,FALSE),EffectName[],IFERROR(MATCH(UI!$B$1,EffectName[#Headers],0),2),FALSE),"")</f>
        <v/>
      </c>
      <c r="AA1983" t="str">
        <f t="shared" si="189"/>
        <v/>
      </c>
      <c r="AB1983">
        <v>0</v>
      </c>
      <c r="AC1983" t="str">
        <f>IF(AB1983&lt;&gt;0,VLOOKUP(VLOOKUP(AB1983,Tbl_Effect[],3,FALSE),EffectName[],IFERROR(MATCH(UI!$B$1,EffectName[#Headers],0),2),FALSE),"")</f>
        <v/>
      </c>
    </row>
    <row r="1984" spans="8:29" x14ac:dyDescent="0.4">
      <c r="H1984" t="str">
        <f t="shared" si="186"/>
        <v/>
      </c>
      <c r="I1984">
        <v>0</v>
      </c>
      <c r="J1984" t="str">
        <f>_xlfn.IFNA(IF(I1984&lt;&gt;0,VLOOKUP(VLOOKUP(I1984,Tbl_Equip[],2,FALSE),Tbl_Color[],IFERROR(MATCH(UI!$B$1,Tbl_Color[#Headers],0),2),FALSE),""),"Unset")</f>
        <v/>
      </c>
      <c r="K1984" t="str">
        <f>_xlfn.IFNA(IF(I1984&lt;&gt;0,VLOOKUP(I1984,ItemText[],IFERROR(MATCH(UI!$B$1,ItemText[#Headers],0),2),FALSE),""),"Unset")</f>
        <v/>
      </c>
      <c r="M1984">
        <v>0</v>
      </c>
      <c r="P1984">
        <v>0</v>
      </c>
      <c r="S1984">
        <v>0</v>
      </c>
      <c r="T1984" t="str">
        <f>IF(VALUE(S1984)=0,"",VLOOKUP(VLOOKUP(S1984,Tbl_Effect[],3,FALSE),EffectName[],IFERROR(MATCH(UI!$B$1,EffectName[#Headers],0),2),FALSE))</f>
        <v/>
      </c>
      <c r="U1984" t="str">
        <f t="shared" si="187"/>
        <v/>
      </c>
      <c r="V1984">
        <v>0</v>
      </c>
      <c r="W1984" t="str">
        <f>IF(V1984&lt;&gt;0,VLOOKUP(VLOOKUP(V1984,Tbl_Effect[],3,FALSE),EffectName[],IFERROR(MATCH(UI!$B$1,EffectName[#Headers],0),2),FALSE),"")</f>
        <v/>
      </c>
      <c r="X1984" t="str">
        <f t="shared" si="188"/>
        <v/>
      </c>
      <c r="Y1984">
        <v>0</v>
      </c>
      <c r="Z1984" t="str">
        <f>IF(Y1984&lt;&gt;0,VLOOKUP(VLOOKUP(Y1984,Tbl_Effect[],3,FALSE),EffectName[],IFERROR(MATCH(UI!$B$1,EffectName[#Headers],0),2),FALSE),"")</f>
        <v/>
      </c>
      <c r="AA1984" t="str">
        <f t="shared" si="189"/>
        <v/>
      </c>
      <c r="AB1984">
        <v>0</v>
      </c>
      <c r="AC1984" t="str">
        <f>IF(AB1984&lt;&gt;0,VLOOKUP(VLOOKUP(AB1984,Tbl_Effect[],3,FALSE),EffectName[],IFERROR(MATCH(UI!$B$1,EffectName[#Headers],0),2),FALSE),"")</f>
        <v/>
      </c>
    </row>
    <row r="1985" spans="8:29" x14ac:dyDescent="0.4">
      <c r="H1985" t="str">
        <f t="shared" si="186"/>
        <v/>
      </c>
      <c r="I1985">
        <v>0</v>
      </c>
      <c r="J1985" t="str">
        <f>_xlfn.IFNA(IF(I1985&lt;&gt;0,VLOOKUP(VLOOKUP(I1985,Tbl_Equip[],2,FALSE),Tbl_Color[],IFERROR(MATCH(UI!$B$1,Tbl_Color[#Headers],0),2),FALSE),""),"Unset")</f>
        <v/>
      </c>
      <c r="K1985" t="str">
        <f>_xlfn.IFNA(IF(I1985&lt;&gt;0,VLOOKUP(I1985,ItemText[],IFERROR(MATCH(UI!$B$1,ItemText[#Headers],0),2),FALSE),""),"Unset")</f>
        <v/>
      </c>
      <c r="M1985">
        <v>0</v>
      </c>
      <c r="P1985">
        <v>0</v>
      </c>
      <c r="S1985">
        <v>0</v>
      </c>
      <c r="T1985" t="str">
        <f>IF(VALUE(S1985)=0,"",VLOOKUP(VLOOKUP(S1985,Tbl_Effect[],3,FALSE),EffectName[],IFERROR(MATCH(UI!$B$1,EffectName[#Headers],0),2),FALSE))</f>
        <v/>
      </c>
      <c r="U1985" t="str">
        <f t="shared" si="187"/>
        <v/>
      </c>
      <c r="V1985">
        <v>0</v>
      </c>
      <c r="W1985" t="str">
        <f>IF(V1985&lt;&gt;0,VLOOKUP(VLOOKUP(V1985,Tbl_Effect[],3,FALSE),EffectName[],IFERROR(MATCH(UI!$B$1,EffectName[#Headers],0),2),FALSE),"")</f>
        <v/>
      </c>
      <c r="X1985" t="str">
        <f t="shared" si="188"/>
        <v/>
      </c>
      <c r="Y1985">
        <v>0</v>
      </c>
      <c r="Z1985" t="str">
        <f>IF(Y1985&lt;&gt;0,VLOOKUP(VLOOKUP(Y1985,Tbl_Effect[],3,FALSE),EffectName[],IFERROR(MATCH(UI!$B$1,EffectName[#Headers],0),2),FALSE),"")</f>
        <v/>
      </c>
      <c r="AA1985" t="str">
        <f t="shared" si="189"/>
        <v/>
      </c>
      <c r="AB1985">
        <v>0</v>
      </c>
      <c r="AC1985" t="str">
        <f>IF(AB1985&lt;&gt;0,VLOOKUP(VLOOKUP(AB1985,Tbl_Effect[],3,FALSE),EffectName[],IFERROR(MATCH(UI!$B$1,EffectName[#Headers],0),2),FALSE),"")</f>
        <v/>
      </c>
    </row>
    <row r="1986" spans="8:29" x14ac:dyDescent="0.4">
      <c r="H1986" t="str">
        <f t="shared" si="186"/>
        <v/>
      </c>
      <c r="I1986">
        <v>0</v>
      </c>
      <c r="J1986" t="str">
        <f>_xlfn.IFNA(IF(I1986&lt;&gt;0,VLOOKUP(VLOOKUP(I1986,Tbl_Equip[],2,FALSE),Tbl_Color[],IFERROR(MATCH(UI!$B$1,Tbl_Color[#Headers],0),2),FALSE),""),"Unset")</f>
        <v/>
      </c>
      <c r="K1986" t="str">
        <f>_xlfn.IFNA(IF(I1986&lt;&gt;0,VLOOKUP(I1986,ItemText[],IFERROR(MATCH(UI!$B$1,ItemText[#Headers],0),2),FALSE),""),"Unset")</f>
        <v/>
      </c>
      <c r="M1986">
        <v>0</v>
      </c>
      <c r="P1986">
        <v>0</v>
      </c>
      <c r="S1986">
        <v>0</v>
      </c>
      <c r="T1986" t="str">
        <f>IF(VALUE(S1986)=0,"",VLOOKUP(VLOOKUP(S1986,Tbl_Effect[],3,FALSE),EffectName[],IFERROR(MATCH(UI!$B$1,EffectName[#Headers],0),2),FALSE))</f>
        <v/>
      </c>
      <c r="U1986" t="str">
        <f t="shared" si="187"/>
        <v/>
      </c>
      <c r="V1986">
        <v>0</v>
      </c>
      <c r="W1986" t="str">
        <f>IF(V1986&lt;&gt;0,VLOOKUP(VLOOKUP(V1986,Tbl_Effect[],3,FALSE),EffectName[],IFERROR(MATCH(UI!$B$1,EffectName[#Headers],0),2),FALSE),"")</f>
        <v/>
      </c>
      <c r="X1986" t="str">
        <f t="shared" si="188"/>
        <v/>
      </c>
      <c r="Y1986">
        <v>0</v>
      </c>
      <c r="Z1986" t="str">
        <f>IF(Y1986&lt;&gt;0,VLOOKUP(VLOOKUP(Y1986,Tbl_Effect[],3,FALSE),EffectName[],IFERROR(MATCH(UI!$B$1,EffectName[#Headers],0),2),FALSE),"")</f>
        <v/>
      </c>
      <c r="AA1986" t="str">
        <f t="shared" si="189"/>
        <v/>
      </c>
      <c r="AB1986">
        <v>0</v>
      </c>
      <c r="AC1986" t="str">
        <f>IF(AB1986&lt;&gt;0,VLOOKUP(VLOOKUP(AB1986,Tbl_Effect[],3,FALSE),EffectName[],IFERROR(MATCH(UI!$B$1,EffectName[#Headers],0),2),FALSE),"")</f>
        <v/>
      </c>
    </row>
    <row r="1987" spans="8:29" x14ac:dyDescent="0.4">
      <c r="H1987" t="str">
        <f t="shared" ref="H1987:H2000" si="190">IF(VALUE(I1987)&lt;&gt;0,I1987&amp;"-"&amp;K1987&amp;" ("&amp;J1987&amp;")","")</f>
        <v/>
      </c>
      <c r="I1987">
        <v>0</v>
      </c>
      <c r="J1987" t="str">
        <f>_xlfn.IFNA(IF(I1987&lt;&gt;0,VLOOKUP(VLOOKUP(I1987,Tbl_Equip[],2,FALSE),Tbl_Color[],IFERROR(MATCH(UI!$B$1,Tbl_Color[#Headers],0),2),FALSE),""),"Unset")</f>
        <v/>
      </c>
      <c r="K1987" t="str">
        <f>_xlfn.IFNA(IF(I1987&lt;&gt;0,VLOOKUP(I1987,ItemText[],IFERROR(MATCH(UI!$B$1,ItemText[#Headers],0),2),FALSE),""),"Unset")</f>
        <v/>
      </c>
      <c r="M1987">
        <v>0</v>
      </c>
      <c r="P1987">
        <v>0</v>
      </c>
      <c r="S1987">
        <v>0</v>
      </c>
      <c r="T1987" t="str">
        <f>IF(VALUE(S1987)=0,"",VLOOKUP(VLOOKUP(S1987,Tbl_Effect[],3,FALSE),EffectName[],IFERROR(MATCH(UI!$B$1,EffectName[#Headers],0),2),FALSE))</f>
        <v/>
      </c>
      <c r="U1987" t="str">
        <f t="shared" ref="U1987:U2001" si="191">IF(VALUE(V1987)=0,"",V1987&amp;"-"&amp;W1987)</f>
        <v/>
      </c>
      <c r="V1987">
        <v>0</v>
      </c>
      <c r="W1987" t="str">
        <f>IF(V1987&lt;&gt;0,VLOOKUP(VLOOKUP(V1987,Tbl_Effect[],3,FALSE),EffectName[],IFERROR(MATCH(UI!$B$1,EffectName[#Headers],0),2),FALSE),"")</f>
        <v/>
      </c>
      <c r="X1987" t="str">
        <f t="shared" ref="X1987:X2001" si="192">IF(VALUE(Y1987)=0,"",Y1987&amp;"-"&amp;Z1987)</f>
        <v/>
      </c>
      <c r="Y1987">
        <v>0</v>
      </c>
      <c r="Z1987" t="str">
        <f>IF(Y1987&lt;&gt;0,VLOOKUP(VLOOKUP(Y1987,Tbl_Effect[],3,FALSE),EffectName[],IFERROR(MATCH(UI!$B$1,EffectName[#Headers],0),2),FALSE),"")</f>
        <v/>
      </c>
      <c r="AA1987" t="str">
        <f t="shared" ref="AA1987:AA2001" si="193">IF(VALUE(AB1987)=0,"",AB1987&amp;"-"&amp;AC1987)</f>
        <v/>
      </c>
      <c r="AB1987">
        <v>0</v>
      </c>
      <c r="AC1987" t="str">
        <f>IF(AB1987&lt;&gt;0,VLOOKUP(VLOOKUP(AB1987,Tbl_Effect[],3,FALSE),EffectName[],IFERROR(MATCH(UI!$B$1,EffectName[#Headers],0),2),FALSE),"")</f>
        <v/>
      </c>
    </row>
    <row r="1988" spans="8:29" x14ac:dyDescent="0.4">
      <c r="H1988" t="str">
        <f t="shared" si="190"/>
        <v/>
      </c>
      <c r="I1988">
        <v>0</v>
      </c>
      <c r="J1988" t="str">
        <f>_xlfn.IFNA(IF(I1988&lt;&gt;0,VLOOKUP(VLOOKUP(I1988,Tbl_Equip[],2,FALSE),Tbl_Color[],IFERROR(MATCH(UI!$B$1,Tbl_Color[#Headers],0),2),FALSE),""),"Unset")</f>
        <v/>
      </c>
      <c r="K1988" t="str">
        <f>_xlfn.IFNA(IF(I1988&lt;&gt;0,VLOOKUP(I1988,ItemText[],IFERROR(MATCH(UI!$B$1,ItemText[#Headers],0),2),FALSE),""),"Unset")</f>
        <v/>
      </c>
      <c r="M1988">
        <v>0</v>
      </c>
      <c r="P1988">
        <v>0</v>
      </c>
      <c r="S1988">
        <v>0</v>
      </c>
      <c r="T1988" t="str">
        <f>IF(VALUE(S1988)=0,"",VLOOKUP(VLOOKUP(S1988,Tbl_Effect[],3,FALSE),EffectName[],IFERROR(MATCH(UI!$B$1,EffectName[#Headers],0),2),FALSE))</f>
        <v/>
      </c>
      <c r="U1988" t="str">
        <f t="shared" si="191"/>
        <v/>
      </c>
      <c r="V1988">
        <v>0</v>
      </c>
      <c r="W1988" t="str">
        <f>IF(V1988&lt;&gt;0,VLOOKUP(VLOOKUP(V1988,Tbl_Effect[],3,FALSE),EffectName[],IFERROR(MATCH(UI!$B$1,EffectName[#Headers],0),2),FALSE),"")</f>
        <v/>
      </c>
      <c r="X1988" t="str">
        <f t="shared" si="192"/>
        <v/>
      </c>
      <c r="Y1988">
        <v>0</v>
      </c>
      <c r="Z1988" t="str">
        <f>IF(Y1988&lt;&gt;0,VLOOKUP(VLOOKUP(Y1988,Tbl_Effect[],3,FALSE),EffectName[],IFERROR(MATCH(UI!$B$1,EffectName[#Headers],0),2),FALSE),"")</f>
        <v/>
      </c>
      <c r="AA1988" t="str">
        <f t="shared" si="193"/>
        <v/>
      </c>
      <c r="AB1988">
        <v>0</v>
      </c>
      <c r="AC1988" t="str">
        <f>IF(AB1988&lt;&gt;0,VLOOKUP(VLOOKUP(AB1988,Tbl_Effect[],3,FALSE),EffectName[],IFERROR(MATCH(UI!$B$1,EffectName[#Headers],0),2),FALSE),"")</f>
        <v/>
      </c>
    </row>
    <row r="1989" spans="8:29" x14ac:dyDescent="0.4">
      <c r="H1989" t="str">
        <f t="shared" si="190"/>
        <v/>
      </c>
      <c r="I1989">
        <v>0</v>
      </c>
      <c r="J1989" t="str">
        <f>_xlfn.IFNA(IF(I1989&lt;&gt;0,VLOOKUP(VLOOKUP(I1989,Tbl_Equip[],2,FALSE),Tbl_Color[],IFERROR(MATCH(UI!$B$1,Tbl_Color[#Headers],0),2),FALSE),""),"Unset")</f>
        <v/>
      </c>
      <c r="K1989" t="str">
        <f>_xlfn.IFNA(IF(I1989&lt;&gt;0,VLOOKUP(I1989,ItemText[],IFERROR(MATCH(UI!$B$1,ItemText[#Headers],0),2),FALSE),""),"Unset")</f>
        <v/>
      </c>
      <c r="M1989">
        <v>0</v>
      </c>
      <c r="P1989">
        <v>0</v>
      </c>
      <c r="S1989">
        <v>0</v>
      </c>
      <c r="T1989" t="str">
        <f>IF(VALUE(S1989)=0,"",VLOOKUP(VLOOKUP(S1989,Tbl_Effect[],3,FALSE),EffectName[],IFERROR(MATCH(UI!$B$1,EffectName[#Headers],0),2),FALSE))</f>
        <v/>
      </c>
      <c r="U1989" t="str">
        <f t="shared" si="191"/>
        <v/>
      </c>
      <c r="V1989">
        <v>0</v>
      </c>
      <c r="W1989" t="str">
        <f>IF(V1989&lt;&gt;0,VLOOKUP(VLOOKUP(V1989,Tbl_Effect[],3,FALSE),EffectName[],IFERROR(MATCH(UI!$B$1,EffectName[#Headers],0),2),FALSE),"")</f>
        <v/>
      </c>
      <c r="X1989" t="str">
        <f t="shared" si="192"/>
        <v/>
      </c>
      <c r="Y1989">
        <v>0</v>
      </c>
      <c r="Z1989" t="str">
        <f>IF(Y1989&lt;&gt;0,VLOOKUP(VLOOKUP(Y1989,Tbl_Effect[],3,FALSE),EffectName[],IFERROR(MATCH(UI!$B$1,EffectName[#Headers],0),2),FALSE),"")</f>
        <v/>
      </c>
      <c r="AA1989" t="str">
        <f t="shared" si="193"/>
        <v/>
      </c>
      <c r="AB1989">
        <v>0</v>
      </c>
      <c r="AC1989" t="str">
        <f>IF(AB1989&lt;&gt;0,VLOOKUP(VLOOKUP(AB1989,Tbl_Effect[],3,FALSE),EffectName[],IFERROR(MATCH(UI!$B$1,EffectName[#Headers],0),2),FALSE),"")</f>
        <v/>
      </c>
    </row>
    <row r="1990" spans="8:29" x14ac:dyDescent="0.4">
      <c r="H1990" t="str">
        <f t="shared" si="190"/>
        <v/>
      </c>
      <c r="I1990">
        <v>0</v>
      </c>
      <c r="J1990" t="str">
        <f>_xlfn.IFNA(IF(I1990&lt;&gt;0,VLOOKUP(VLOOKUP(I1990,Tbl_Equip[],2,FALSE),Tbl_Color[],IFERROR(MATCH(UI!$B$1,Tbl_Color[#Headers],0),2),FALSE),""),"Unset")</f>
        <v/>
      </c>
      <c r="K1990" t="str">
        <f>_xlfn.IFNA(IF(I1990&lt;&gt;0,VLOOKUP(I1990,ItemText[],IFERROR(MATCH(UI!$B$1,ItemText[#Headers],0),2),FALSE),""),"Unset")</f>
        <v/>
      </c>
      <c r="M1990">
        <v>0</v>
      </c>
      <c r="P1990">
        <v>0</v>
      </c>
      <c r="S1990">
        <v>0</v>
      </c>
      <c r="T1990" t="str">
        <f>IF(VALUE(S1990)=0,"",VLOOKUP(VLOOKUP(S1990,Tbl_Effect[],3,FALSE),EffectName[],IFERROR(MATCH(UI!$B$1,EffectName[#Headers],0),2),FALSE))</f>
        <v/>
      </c>
      <c r="U1990" t="str">
        <f t="shared" si="191"/>
        <v/>
      </c>
      <c r="V1990">
        <v>0</v>
      </c>
      <c r="W1990" t="str">
        <f>IF(V1990&lt;&gt;0,VLOOKUP(VLOOKUP(V1990,Tbl_Effect[],3,FALSE),EffectName[],IFERROR(MATCH(UI!$B$1,EffectName[#Headers],0),2),FALSE),"")</f>
        <v/>
      </c>
      <c r="X1990" t="str">
        <f t="shared" si="192"/>
        <v/>
      </c>
      <c r="Y1990">
        <v>0</v>
      </c>
      <c r="Z1990" t="str">
        <f>IF(Y1990&lt;&gt;0,VLOOKUP(VLOOKUP(Y1990,Tbl_Effect[],3,FALSE),EffectName[],IFERROR(MATCH(UI!$B$1,EffectName[#Headers],0),2),FALSE),"")</f>
        <v/>
      </c>
      <c r="AA1990" t="str">
        <f t="shared" si="193"/>
        <v/>
      </c>
      <c r="AB1990">
        <v>0</v>
      </c>
      <c r="AC1990" t="str">
        <f>IF(AB1990&lt;&gt;0,VLOOKUP(VLOOKUP(AB1990,Tbl_Effect[],3,FALSE),EffectName[],IFERROR(MATCH(UI!$B$1,EffectName[#Headers],0),2),FALSE),"")</f>
        <v/>
      </c>
    </row>
    <row r="1991" spans="8:29" x14ac:dyDescent="0.4">
      <c r="H1991" t="str">
        <f t="shared" si="190"/>
        <v/>
      </c>
      <c r="I1991">
        <v>0</v>
      </c>
      <c r="J1991" t="str">
        <f>_xlfn.IFNA(IF(I1991&lt;&gt;0,VLOOKUP(VLOOKUP(I1991,Tbl_Equip[],2,FALSE),Tbl_Color[],IFERROR(MATCH(UI!$B$1,Tbl_Color[#Headers],0),2),FALSE),""),"Unset")</f>
        <v/>
      </c>
      <c r="K1991" t="str">
        <f>_xlfn.IFNA(IF(I1991&lt;&gt;0,VLOOKUP(I1991,ItemText[],IFERROR(MATCH(UI!$B$1,ItemText[#Headers],0),2),FALSE),""),"Unset")</f>
        <v/>
      </c>
      <c r="M1991">
        <v>0</v>
      </c>
      <c r="P1991">
        <v>0</v>
      </c>
      <c r="S1991">
        <v>0</v>
      </c>
      <c r="T1991" t="str">
        <f>IF(VALUE(S1991)=0,"",VLOOKUP(VLOOKUP(S1991,Tbl_Effect[],3,FALSE),EffectName[],IFERROR(MATCH(UI!$B$1,EffectName[#Headers],0),2),FALSE))</f>
        <v/>
      </c>
      <c r="U1991" t="str">
        <f t="shared" si="191"/>
        <v/>
      </c>
      <c r="V1991">
        <v>0</v>
      </c>
      <c r="W1991" t="str">
        <f>IF(V1991&lt;&gt;0,VLOOKUP(VLOOKUP(V1991,Tbl_Effect[],3,FALSE),EffectName[],IFERROR(MATCH(UI!$B$1,EffectName[#Headers],0),2),FALSE),"")</f>
        <v/>
      </c>
      <c r="X1991" t="str">
        <f t="shared" si="192"/>
        <v/>
      </c>
      <c r="Y1991">
        <v>0</v>
      </c>
      <c r="Z1991" t="str">
        <f>IF(Y1991&lt;&gt;0,VLOOKUP(VLOOKUP(Y1991,Tbl_Effect[],3,FALSE),EffectName[],IFERROR(MATCH(UI!$B$1,EffectName[#Headers],0),2),FALSE),"")</f>
        <v/>
      </c>
      <c r="AA1991" t="str">
        <f t="shared" si="193"/>
        <v/>
      </c>
      <c r="AB1991">
        <v>0</v>
      </c>
      <c r="AC1991" t="str">
        <f>IF(AB1991&lt;&gt;0,VLOOKUP(VLOOKUP(AB1991,Tbl_Effect[],3,FALSE),EffectName[],IFERROR(MATCH(UI!$B$1,EffectName[#Headers],0),2),FALSE),"")</f>
        <v/>
      </c>
    </row>
    <row r="1992" spans="8:29" x14ac:dyDescent="0.4">
      <c r="H1992" t="str">
        <f t="shared" si="190"/>
        <v/>
      </c>
      <c r="I1992">
        <v>0</v>
      </c>
      <c r="J1992" t="str">
        <f>_xlfn.IFNA(IF(I1992&lt;&gt;0,VLOOKUP(VLOOKUP(I1992,Tbl_Equip[],2,FALSE),Tbl_Color[],IFERROR(MATCH(UI!$B$1,Tbl_Color[#Headers],0),2),FALSE),""),"Unset")</f>
        <v/>
      </c>
      <c r="K1992" t="str">
        <f>_xlfn.IFNA(IF(I1992&lt;&gt;0,VLOOKUP(I1992,ItemText[],IFERROR(MATCH(UI!$B$1,ItemText[#Headers],0),2),FALSE),""),"Unset")</f>
        <v/>
      </c>
      <c r="M1992">
        <v>0</v>
      </c>
      <c r="P1992">
        <v>0</v>
      </c>
      <c r="S1992">
        <v>0</v>
      </c>
      <c r="T1992" t="str">
        <f>IF(VALUE(S1992)=0,"",VLOOKUP(VLOOKUP(S1992,Tbl_Effect[],3,FALSE),EffectName[],IFERROR(MATCH(UI!$B$1,EffectName[#Headers],0),2),FALSE))</f>
        <v/>
      </c>
      <c r="U1992" t="str">
        <f t="shared" si="191"/>
        <v/>
      </c>
      <c r="V1992">
        <v>0</v>
      </c>
      <c r="W1992" t="str">
        <f>IF(V1992&lt;&gt;0,VLOOKUP(VLOOKUP(V1992,Tbl_Effect[],3,FALSE),EffectName[],IFERROR(MATCH(UI!$B$1,EffectName[#Headers],0),2),FALSE),"")</f>
        <v/>
      </c>
      <c r="X1992" t="str">
        <f t="shared" si="192"/>
        <v/>
      </c>
      <c r="Y1992">
        <v>0</v>
      </c>
      <c r="Z1992" t="str">
        <f>IF(Y1992&lt;&gt;0,VLOOKUP(VLOOKUP(Y1992,Tbl_Effect[],3,FALSE),EffectName[],IFERROR(MATCH(UI!$B$1,EffectName[#Headers],0),2),FALSE),"")</f>
        <v/>
      </c>
      <c r="AA1992" t="str">
        <f t="shared" si="193"/>
        <v/>
      </c>
      <c r="AB1992">
        <v>0</v>
      </c>
      <c r="AC1992" t="str">
        <f>IF(AB1992&lt;&gt;0,VLOOKUP(VLOOKUP(AB1992,Tbl_Effect[],3,FALSE),EffectName[],IFERROR(MATCH(UI!$B$1,EffectName[#Headers],0),2),FALSE),"")</f>
        <v/>
      </c>
    </row>
    <row r="1993" spans="8:29" x14ac:dyDescent="0.4">
      <c r="H1993" t="str">
        <f t="shared" si="190"/>
        <v/>
      </c>
      <c r="I1993">
        <v>0</v>
      </c>
      <c r="J1993" t="str">
        <f>_xlfn.IFNA(IF(I1993&lt;&gt;0,VLOOKUP(VLOOKUP(I1993,Tbl_Equip[],2,FALSE),Tbl_Color[],IFERROR(MATCH(UI!$B$1,Tbl_Color[#Headers],0),2),FALSE),""),"Unset")</f>
        <v/>
      </c>
      <c r="K1993" t="str">
        <f>_xlfn.IFNA(IF(I1993&lt;&gt;0,VLOOKUP(I1993,ItemText[],IFERROR(MATCH(UI!$B$1,ItemText[#Headers],0),2),FALSE),""),"Unset")</f>
        <v/>
      </c>
      <c r="M1993">
        <v>0</v>
      </c>
      <c r="P1993">
        <v>0</v>
      </c>
      <c r="S1993">
        <v>0</v>
      </c>
      <c r="T1993" t="str">
        <f>IF(VALUE(S1993)=0,"",VLOOKUP(VLOOKUP(S1993,Tbl_Effect[],3,FALSE),EffectName[],IFERROR(MATCH(UI!$B$1,EffectName[#Headers],0),2),FALSE))</f>
        <v/>
      </c>
      <c r="U1993" t="str">
        <f t="shared" si="191"/>
        <v/>
      </c>
      <c r="V1993">
        <v>0</v>
      </c>
      <c r="W1993" t="str">
        <f>IF(V1993&lt;&gt;0,VLOOKUP(VLOOKUP(V1993,Tbl_Effect[],3,FALSE),EffectName[],IFERROR(MATCH(UI!$B$1,EffectName[#Headers],0),2),FALSE),"")</f>
        <v/>
      </c>
      <c r="X1993" t="str">
        <f t="shared" si="192"/>
        <v/>
      </c>
      <c r="Y1993">
        <v>0</v>
      </c>
      <c r="Z1993" t="str">
        <f>IF(Y1993&lt;&gt;0,VLOOKUP(VLOOKUP(Y1993,Tbl_Effect[],3,FALSE),EffectName[],IFERROR(MATCH(UI!$B$1,EffectName[#Headers],0),2),FALSE),"")</f>
        <v/>
      </c>
      <c r="AA1993" t="str">
        <f t="shared" si="193"/>
        <v/>
      </c>
      <c r="AB1993">
        <v>0</v>
      </c>
      <c r="AC1993" t="str">
        <f>IF(AB1993&lt;&gt;0,VLOOKUP(VLOOKUP(AB1993,Tbl_Effect[],3,FALSE),EffectName[],IFERROR(MATCH(UI!$B$1,EffectName[#Headers],0),2),FALSE),"")</f>
        <v/>
      </c>
    </row>
    <row r="1994" spans="8:29" x14ac:dyDescent="0.4">
      <c r="H1994" t="str">
        <f t="shared" si="190"/>
        <v/>
      </c>
      <c r="I1994">
        <v>0</v>
      </c>
      <c r="J1994" t="str">
        <f>_xlfn.IFNA(IF(I1994&lt;&gt;0,VLOOKUP(VLOOKUP(I1994,Tbl_Equip[],2,FALSE),Tbl_Color[],IFERROR(MATCH(UI!$B$1,Tbl_Color[#Headers],0),2),FALSE),""),"Unset")</f>
        <v/>
      </c>
      <c r="K1994" t="str">
        <f>_xlfn.IFNA(IF(I1994&lt;&gt;0,VLOOKUP(I1994,ItemText[],IFERROR(MATCH(UI!$B$1,ItemText[#Headers],0),2),FALSE),""),"Unset")</f>
        <v/>
      </c>
      <c r="M1994">
        <v>0</v>
      </c>
      <c r="P1994">
        <v>0</v>
      </c>
      <c r="S1994">
        <v>0</v>
      </c>
      <c r="T1994" t="str">
        <f>IF(VALUE(S1994)=0,"",VLOOKUP(VLOOKUP(S1994,Tbl_Effect[],3,FALSE),EffectName[],IFERROR(MATCH(UI!$B$1,EffectName[#Headers],0),2),FALSE))</f>
        <v/>
      </c>
      <c r="U1994" t="str">
        <f t="shared" si="191"/>
        <v/>
      </c>
      <c r="V1994">
        <v>0</v>
      </c>
      <c r="W1994" t="str">
        <f>IF(V1994&lt;&gt;0,VLOOKUP(VLOOKUP(V1994,Tbl_Effect[],3,FALSE),EffectName[],IFERROR(MATCH(UI!$B$1,EffectName[#Headers],0),2),FALSE),"")</f>
        <v/>
      </c>
      <c r="X1994" t="str">
        <f t="shared" si="192"/>
        <v/>
      </c>
      <c r="Y1994">
        <v>0</v>
      </c>
      <c r="Z1994" t="str">
        <f>IF(Y1994&lt;&gt;0,VLOOKUP(VLOOKUP(Y1994,Tbl_Effect[],3,FALSE),EffectName[],IFERROR(MATCH(UI!$B$1,EffectName[#Headers],0),2),FALSE),"")</f>
        <v/>
      </c>
      <c r="AA1994" t="str">
        <f t="shared" si="193"/>
        <v/>
      </c>
      <c r="AB1994">
        <v>0</v>
      </c>
      <c r="AC1994" t="str">
        <f>IF(AB1994&lt;&gt;0,VLOOKUP(VLOOKUP(AB1994,Tbl_Effect[],3,FALSE),EffectName[],IFERROR(MATCH(UI!$B$1,EffectName[#Headers],0),2),FALSE),"")</f>
        <v/>
      </c>
    </row>
    <row r="1995" spans="8:29" x14ac:dyDescent="0.4">
      <c r="H1995" t="str">
        <f t="shared" si="190"/>
        <v/>
      </c>
      <c r="I1995">
        <v>0</v>
      </c>
      <c r="J1995" t="str">
        <f>_xlfn.IFNA(IF(I1995&lt;&gt;0,VLOOKUP(VLOOKUP(I1995,Tbl_Equip[],2,FALSE),Tbl_Color[],IFERROR(MATCH(UI!$B$1,Tbl_Color[#Headers],0),2),FALSE),""),"Unset")</f>
        <v/>
      </c>
      <c r="K1995" t="str">
        <f>_xlfn.IFNA(IF(I1995&lt;&gt;0,VLOOKUP(I1995,ItemText[],IFERROR(MATCH(UI!$B$1,ItemText[#Headers],0),2),FALSE),""),"Unset")</f>
        <v/>
      </c>
      <c r="M1995">
        <v>0</v>
      </c>
      <c r="P1995">
        <v>0</v>
      </c>
      <c r="S1995">
        <v>0</v>
      </c>
      <c r="T1995" t="str">
        <f>IF(VALUE(S1995)=0,"",VLOOKUP(VLOOKUP(S1995,Tbl_Effect[],3,FALSE),EffectName[],IFERROR(MATCH(UI!$B$1,EffectName[#Headers],0),2),FALSE))</f>
        <v/>
      </c>
      <c r="U1995" t="str">
        <f t="shared" si="191"/>
        <v/>
      </c>
      <c r="V1995">
        <v>0</v>
      </c>
      <c r="W1995" t="str">
        <f>IF(V1995&lt;&gt;0,VLOOKUP(VLOOKUP(V1995,Tbl_Effect[],3,FALSE),EffectName[],IFERROR(MATCH(UI!$B$1,EffectName[#Headers],0),2),FALSE),"")</f>
        <v/>
      </c>
      <c r="X1995" t="str">
        <f t="shared" si="192"/>
        <v/>
      </c>
      <c r="Y1995">
        <v>0</v>
      </c>
      <c r="Z1995" t="str">
        <f>IF(Y1995&lt;&gt;0,VLOOKUP(VLOOKUP(Y1995,Tbl_Effect[],3,FALSE),EffectName[],IFERROR(MATCH(UI!$B$1,EffectName[#Headers],0),2),FALSE),"")</f>
        <v/>
      </c>
      <c r="AA1995" t="str">
        <f t="shared" si="193"/>
        <v/>
      </c>
      <c r="AB1995">
        <v>0</v>
      </c>
      <c r="AC1995" t="str">
        <f>IF(AB1995&lt;&gt;0,VLOOKUP(VLOOKUP(AB1995,Tbl_Effect[],3,FALSE),EffectName[],IFERROR(MATCH(UI!$B$1,EffectName[#Headers],0),2),FALSE),"")</f>
        <v/>
      </c>
    </row>
    <row r="1996" spans="8:29" x14ac:dyDescent="0.4">
      <c r="H1996" t="str">
        <f t="shared" si="190"/>
        <v/>
      </c>
      <c r="I1996">
        <v>0</v>
      </c>
      <c r="J1996" t="str">
        <f>_xlfn.IFNA(IF(I1996&lt;&gt;0,VLOOKUP(VLOOKUP(I1996,Tbl_Equip[],2,FALSE),Tbl_Color[],IFERROR(MATCH(UI!$B$1,Tbl_Color[#Headers],0),2),FALSE),""),"Unset")</f>
        <v/>
      </c>
      <c r="K1996" t="str">
        <f>_xlfn.IFNA(IF(I1996&lt;&gt;0,VLOOKUP(I1996,ItemText[],IFERROR(MATCH(UI!$B$1,ItemText[#Headers],0),2),FALSE),""),"Unset")</f>
        <v/>
      </c>
      <c r="M1996">
        <v>0</v>
      </c>
      <c r="P1996">
        <v>0</v>
      </c>
      <c r="S1996">
        <v>0</v>
      </c>
      <c r="T1996" t="str">
        <f>IF(VALUE(S1996)=0,"",VLOOKUP(VLOOKUP(S1996,Tbl_Effect[],3,FALSE),EffectName[],IFERROR(MATCH(UI!$B$1,EffectName[#Headers],0),2),FALSE))</f>
        <v/>
      </c>
      <c r="U1996" t="str">
        <f t="shared" si="191"/>
        <v/>
      </c>
      <c r="V1996">
        <v>0</v>
      </c>
      <c r="W1996" t="str">
        <f>IF(V1996&lt;&gt;0,VLOOKUP(VLOOKUP(V1996,Tbl_Effect[],3,FALSE),EffectName[],IFERROR(MATCH(UI!$B$1,EffectName[#Headers],0),2),FALSE),"")</f>
        <v/>
      </c>
      <c r="X1996" t="str">
        <f t="shared" si="192"/>
        <v/>
      </c>
      <c r="Y1996">
        <v>0</v>
      </c>
      <c r="Z1996" t="str">
        <f>IF(Y1996&lt;&gt;0,VLOOKUP(VLOOKUP(Y1996,Tbl_Effect[],3,FALSE),EffectName[],IFERROR(MATCH(UI!$B$1,EffectName[#Headers],0),2),FALSE),"")</f>
        <v/>
      </c>
      <c r="AA1996" t="str">
        <f t="shared" si="193"/>
        <v/>
      </c>
      <c r="AB1996">
        <v>0</v>
      </c>
      <c r="AC1996" t="str">
        <f>IF(AB1996&lt;&gt;0,VLOOKUP(VLOOKUP(AB1996,Tbl_Effect[],3,FALSE),EffectName[],IFERROR(MATCH(UI!$B$1,EffectName[#Headers],0),2),FALSE),"")</f>
        <v/>
      </c>
    </row>
    <row r="1997" spans="8:29" x14ac:dyDescent="0.4">
      <c r="H1997" t="str">
        <f t="shared" si="190"/>
        <v/>
      </c>
      <c r="I1997">
        <v>0</v>
      </c>
      <c r="J1997" t="str">
        <f>_xlfn.IFNA(IF(I1997&lt;&gt;0,VLOOKUP(VLOOKUP(I1997,Tbl_Equip[],2,FALSE),Tbl_Color[],IFERROR(MATCH(UI!$B$1,Tbl_Color[#Headers],0),2),FALSE),""),"Unset")</f>
        <v/>
      </c>
      <c r="K1997" t="str">
        <f>_xlfn.IFNA(IF(I1997&lt;&gt;0,VLOOKUP(I1997,ItemText[],IFERROR(MATCH(UI!$B$1,ItemText[#Headers],0),2),FALSE),""),"Unset")</f>
        <v/>
      </c>
      <c r="M1997">
        <v>0</v>
      </c>
      <c r="P1997">
        <v>0</v>
      </c>
      <c r="S1997">
        <v>0</v>
      </c>
      <c r="T1997" t="str">
        <f>IF(VALUE(S1997)=0,"",VLOOKUP(VLOOKUP(S1997,Tbl_Effect[],3,FALSE),EffectName[],IFERROR(MATCH(UI!$B$1,EffectName[#Headers],0),2),FALSE))</f>
        <v/>
      </c>
      <c r="U1997" t="str">
        <f t="shared" si="191"/>
        <v/>
      </c>
      <c r="V1997">
        <v>0</v>
      </c>
      <c r="W1997" t="str">
        <f>IF(V1997&lt;&gt;0,VLOOKUP(VLOOKUP(V1997,Tbl_Effect[],3,FALSE),EffectName[],IFERROR(MATCH(UI!$B$1,EffectName[#Headers],0),2),FALSE),"")</f>
        <v/>
      </c>
      <c r="X1997" t="str">
        <f t="shared" si="192"/>
        <v/>
      </c>
      <c r="Y1997">
        <v>0</v>
      </c>
      <c r="Z1997" t="str">
        <f>IF(Y1997&lt;&gt;0,VLOOKUP(VLOOKUP(Y1997,Tbl_Effect[],3,FALSE),EffectName[],IFERROR(MATCH(UI!$B$1,EffectName[#Headers],0),2),FALSE),"")</f>
        <v/>
      </c>
      <c r="AA1997" t="str">
        <f t="shared" si="193"/>
        <v/>
      </c>
      <c r="AB1997">
        <v>0</v>
      </c>
      <c r="AC1997" t="str">
        <f>IF(AB1997&lt;&gt;0,VLOOKUP(VLOOKUP(AB1997,Tbl_Effect[],3,FALSE),EffectName[],IFERROR(MATCH(UI!$B$1,EffectName[#Headers],0),2),FALSE),"")</f>
        <v/>
      </c>
    </row>
    <row r="1998" spans="8:29" x14ac:dyDescent="0.4">
      <c r="H1998" t="str">
        <f t="shared" si="190"/>
        <v/>
      </c>
      <c r="I1998">
        <v>0</v>
      </c>
      <c r="J1998" t="str">
        <f>_xlfn.IFNA(IF(I1998&lt;&gt;0,VLOOKUP(VLOOKUP(I1998,Tbl_Equip[],2,FALSE),Tbl_Color[],IFERROR(MATCH(UI!$B$1,Tbl_Color[#Headers],0),2),FALSE),""),"Unset")</f>
        <v/>
      </c>
      <c r="K1998" t="str">
        <f>_xlfn.IFNA(IF(I1998&lt;&gt;0,VLOOKUP(I1998,ItemText[],IFERROR(MATCH(UI!$B$1,ItemText[#Headers],0),2),FALSE),""),"Unset")</f>
        <v/>
      </c>
      <c r="M1998">
        <v>0</v>
      </c>
      <c r="P1998">
        <v>0</v>
      </c>
      <c r="S1998">
        <v>0</v>
      </c>
      <c r="T1998" t="str">
        <f>IF(VALUE(S1998)=0,"",VLOOKUP(VLOOKUP(S1998,Tbl_Effect[],3,FALSE),EffectName[],IFERROR(MATCH(UI!$B$1,EffectName[#Headers],0),2),FALSE))</f>
        <v/>
      </c>
      <c r="U1998" t="str">
        <f t="shared" si="191"/>
        <v/>
      </c>
      <c r="V1998">
        <v>0</v>
      </c>
      <c r="W1998" t="str">
        <f>IF(V1998&lt;&gt;0,VLOOKUP(VLOOKUP(V1998,Tbl_Effect[],3,FALSE),EffectName[],IFERROR(MATCH(UI!$B$1,EffectName[#Headers],0),2),FALSE),"")</f>
        <v/>
      </c>
      <c r="X1998" t="str">
        <f t="shared" si="192"/>
        <v/>
      </c>
      <c r="Y1998">
        <v>0</v>
      </c>
      <c r="Z1998" t="str">
        <f>IF(Y1998&lt;&gt;0,VLOOKUP(VLOOKUP(Y1998,Tbl_Effect[],3,FALSE),EffectName[],IFERROR(MATCH(UI!$B$1,EffectName[#Headers],0),2),FALSE),"")</f>
        <v/>
      </c>
      <c r="AA1998" t="str">
        <f t="shared" si="193"/>
        <v/>
      </c>
      <c r="AB1998">
        <v>0</v>
      </c>
      <c r="AC1998" t="str">
        <f>IF(AB1998&lt;&gt;0,VLOOKUP(VLOOKUP(AB1998,Tbl_Effect[],3,FALSE),EffectName[],IFERROR(MATCH(UI!$B$1,EffectName[#Headers],0),2),FALSE),"")</f>
        <v/>
      </c>
    </row>
    <row r="1999" spans="8:29" x14ac:dyDescent="0.4">
      <c r="H1999" t="str">
        <f t="shared" si="190"/>
        <v/>
      </c>
      <c r="I1999">
        <v>0</v>
      </c>
      <c r="J1999" t="str">
        <f>_xlfn.IFNA(IF(I1999&lt;&gt;0,VLOOKUP(VLOOKUP(I1999,Tbl_Equip[],2,FALSE),Tbl_Color[],IFERROR(MATCH(UI!$B$1,Tbl_Color[#Headers],0),2),FALSE),""),"Unset")</f>
        <v/>
      </c>
      <c r="K1999" t="str">
        <f>_xlfn.IFNA(IF(I1999&lt;&gt;0,VLOOKUP(I1999,ItemText[],IFERROR(MATCH(UI!$B$1,ItemText[#Headers],0),2),FALSE),""),"Unset")</f>
        <v/>
      </c>
      <c r="M1999">
        <v>0</v>
      </c>
      <c r="P1999">
        <v>0</v>
      </c>
      <c r="S1999">
        <v>0</v>
      </c>
      <c r="T1999" t="str">
        <f>IF(VALUE(S1999)=0,"",VLOOKUP(VLOOKUP(S1999,Tbl_Effect[],3,FALSE),EffectName[],IFERROR(MATCH(UI!$B$1,EffectName[#Headers],0),2),FALSE))</f>
        <v/>
      </c>
      <c r="U1999" t="str">
        <f t="shared" si="191"/>
        <v/>
      </c>
      <c r="V1999">
        <v>0</v>
      </c>
      <c r="W1999" t="str">
        <f>IF(V1999&lt;&gt;0,VLOOKUP(VLOOKUP(V1999,Tbl_Effect[],3,FALSE),EffectName[],IFERROR(MATCH(UI!$B$1,EffectName[#Headers],0),2),FALSE),"")</f>
        <v/>
      </c>
      <c r="X1999" t="str">
        <f t="shared" si="192"/>
        <v/>
      </c>
      <c r="Y1999">
        <v>0</v>
      </c>
      <c r="Z1999" t="str">
        <f>IF(Y1999&lt;&gt;0,VLOOKUP(VLOOKUP(Y1999,Tbl_Effect[],3,FALSE),EffectName[],IFERROR(MATCH(UI!$B$1,EffectName[#Headers],0),2),FALSE),"")</f>
        <v/>
      </c>
      <c r="AA1999" t="str">
        <f t="shared" si="193"/>
        <v/>
      </c>
      <c r="AB1999">
        <v>0</v>
      </c>
      <c r="AC1999" t="str">
        <f>IF(AB1999&lt;&gt;0,VLOOKUP(VLOOKUP(AB1999,Tbl_Effect[],3,FALSE),EffectName[],IFERROR(MATCH(UI!$B$1,EffectName[#Headers],0),2),FALSE),"")</f>
        <v/>
      </c>
    </row>
    <row r="2000" spans="8:29" x14ac:dyDescent="0.4">
      <c r="H2000" t="str">
        <f t="shared" si="190"/>
        <v/>
      </c>
      <c r="I2000">
        <v>0</v>
      </c>
      <c r="J2000" t="str">
        <f>_xlfn.IFNA(IF(I2000&lt;&gt;0,VLOOKUP(VLOOKUP(I2000,Tbl_Equip[],2,FALSE),Tbl_Color[],IFERROR(MATCH(UI!$B$1,Tbl_Color[#Headers],0),2),FALSE),""),"Unset")</f>
        <v/>
      </c>
      <c r="K2000" t="str">
        <f>_xlfn.IFNA(IF(I2000&lt;&gt;0,VLOOKUP(I2000,ItemText[],IFERROR(MATCH(UI!$B$1,ItemText[#Headers],0),2),FALSE),""),"Unset")</f>
        <v/>
      </c>
      <c r="M2000">
        <v>0</v>
      </c>
      <c r="P2000">
        <v>0</v>
      </c>
      <c r="S2000">
        <v>0</v>
      </c>
      <c r="T2000" t="str">
        <f>IF(VALUE(S2000)=0,"",VLOOKUP(VLOOKUP(S2000,Tbl_Effect[],3,FALSE),EffectName[],IFERROR(MATCH(UI!$B$1,EffectName[#Headers],0),2),FALSE))</f>
        <v/>
      </c>
      <c r="U2000" t="str">
        <f t="shared" si="191"/>
        <v/>
      </c>
      <c r="V2000">
        <v>0</v>
      </c>
      <c r="W2000" t="str">
        <f>IF(V2000&lt;&gt;0,VLOOKUP(VLOOKUP(V2000,Tbl_Effect[],3,FALSE),EffectName[],IFERROR(MATCH(UI!$B$1,EffectName[#Headers],0),2),FALSE),"")</f>
        <v/>
      </c>
      <c r="X2000" t="str">
        <f t="shared" si="192"/>
        <v/>
      </c>
      <c r="Y2000">
        <v>0</v>
      </c>
      <c r="Z2000" t="str">
        <f>IF(Y2000&lt;&gt;0,VLOOKUP(VLOOKUP(Y2000,Tbl_Effect[],3,FALSE),EffectName[],IFERROR(MATCH(UI!$B$1,EffectName[#Headers],0),2),FALSE),"")</f>
        <v/>
      </c>
      <c r="AA2000" t="str">
        <f t="shared" si="193"/>
        <v/>
      </c>
      <c r="AB2000">
        <v>0</v>
      </c>
      <c r="AC2000" t="str">
        <f>IF(AB2000&lt;&gt;0,VLOOKUP(VLOOKUP(AB2000,Tbl_Effect[],3,FALSE),EffectName[],IFERROR(MATCH(UI!$B$1,EffectName[#Headers],0),2),FALSE),"")</f>
        <v/>
      </c>
    </row>
    <row r="2001" spans="9:29" x14ac:dyDescent="0.4">
      <c r="I2001">
        <v>0</v>
      </c>
      <c r="J2001" t="str">
        <f>_xlfn.IFNA(IF(I2001&lt;&gt;0,VLOOKUP(VLOOKUP(I2001,Tbl_Equip[],2,FALSE),Tbl_Color[],IFERROR(MATCH(UI!$B$1,Tbl_Color[#Headers],0),2),FALSE),""),"Unset")</f>
        <v/>
      </c>
      <c r="K2001" t="str">
        <f>_xlfn.IFNA(IF(I2001&lt;&gt;0,VLOOKUP(I2001,ItemText[],IFERROR(MATCH(UI!$B$1,ItemText[#Headers],0),2),FALSE),""),"Unset")</f>
        <v/>
      </c>
      <c r="M2001">
        <v>0</v>
      </c>
      <c r="P2001">
        <v>0</v>
      </c>
      <c r="S2001">
        <v>0</v>
      </c>
      <c r="T2001" t="str">
        <f>IF(VALUE(S2001)=0,"",VLOOKUP(VLOOKUP(S2001,Tbl_Effect[],3,FALSE),EffectName[],IFERROR(MATCH(UI!$B$1,EffectName[#Headers],0),2),FALSE))</f>
        <v/>
      </c>
      <c r="U2001" t="str">
        <f t="shared" si="191"/>
        <v/>
      </c>
      <c r="V2001">
        <v>0</v>
      </c>
      <c r="W2001" t="str">
        <f>IF(V2001&lt;&gt;0,VLOOKUP(VLOOKUP(V2001,Tbl_Effect[],3,FALSE),EffectName[],IFERROR(MATCH(UI!$B$1,EffectName[#Headers],0),2),FALSE),"")</f>
        <v/>
      </c>
      <c r="X2001" t="str">
        <f t="shared" si="192"/>
        <v/>
      </c>
      <c r="Y2001">
        <v>0</v>
      </c>
      <c r="Z2001" t="str">
        <f>IF(Y2001&lt;&gt;0,VLOOKUP(VLOOKUP(Y2001,Tbl_Effect[],3,FALSE),EffectName[],IFERROR(MATCH(UI!$B$1,EffectName[#Headers],0),2),FALSE),"")</f>
        <v/>
      </c>
      <c r="AA2001" t="str">
        <f t="shared" si="193"/>
        <v/>
      </c>
      <c r="AB2001">
        <v>0</v>
      </c>
      <c r="AC2001" t="str">
        <f>IF(AB2001&lt;&gt;0,VLOOKUP(VLOOKUP(AB2001,Tbl_Effect[],3,FALSE),EffectName[],IFERROR(MATCH(UI!$B$1,EffectName[#Headers],0),2),FALSE),"")</f>
        <v/>
      </c>
    </row>
  </sheetData>
  <phoneticPr fontId="1" type="noConversion"/>
  <dataValidations disablePrompts="1" count="1">
    <dataValidation type="list" allowBlank="1" showInputMessage="1" showErrorMessage="1" sqref="I4" xr:uid="{6C7CA774-ECAB-44FD-AAED-35D7A08ABBA4}">
      <formula1>$AS:$AS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413C-4A3C-4385-AA7F-4AE3B81750ED}">
  <dimension ref="A1:I1386"/>
  <sheetViews>
    <sheetView workbookViewId="0">
      <selection sqref="A1:I1386"/>
    </sheetView>
  </sheetViews>
  <sheetFormatPr defaultRowHeight="17" x14ac:dyDescent="0.4"/>
  <cols>
    <col min="1" max="1" width="8.54296875" bestFit="1" customWidth="1"/>
    <col min="2" max="2" width="13.1796875" bestFit="1" customWidth="1"/>
    <col min="3" max="5" width="25.08984375" bestFit="1" customWidth="1"/>
    <col min="6" max="6" width="9.54296875" bestFit="1" customWidth="1"/>
    <col min="7" max="9" width="30.36328125" bestFit="1" customWidth="1"/>
    <col min="10" max="10" width="12.453125" bestFit="1" customWidth="1"/>
    <col min="11" max="11" width="14.54296875" bestFit="1" customWidth="1"/>
    <col min="12" max="12" width="9.08984375" bestFit="1" customWidth="1"/>
    <col min="13" max="13" width="11" bestFit="1" customWidth="1"/>
    <col min="14" max="14" width="13.6328125" bestFit="1" customWidth="1"/>
    <col min="15" max="17" width="25.08984375" bestFit="1" customWidth="1"/>
    <col min="18" max="18" width="9.54296875" bestFit="1" customWidth="1"/>
    <col min="19" max="21" width="30.36328125" bestFit="1" customWidth="1"/>
    <col min="22" max="22" width="14.54296875" bestFit="1" customWidth="1"/>
    <col min="23" max="23" width="12.1796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1</v>
      </c>
      <c r="B2">
        <v>0</v>
      </c>
      <c r="C2">
        <v>501100000</v>
      </c>
      <c r="D2">
        <v>-1</v>
      </c>
      <c r="E2">
        <v>-1</v>
      </c>
      <c r="F2">
        <v>416</v>
      </c>
      <c r="G2">
        <v>-1</v>
      </c>
      <c r="H2">
        <v>-1</v>
      </c>
      <c r="I2">
        <v>-1</v>
      </c>
    </row>
    <row r="3" spans="1:9" x14ac:dyDescent="0.4">
      <c r="A3">
        <v>2</v>
      </c>
      <c r="B3">
        <v>0</v>
      </c>
      <c r="C3">
        <v>501100000</v>
      </c>
      <c r="D3">
        <v>501200000</v>
      </c>
      <c r="E3">
        <v>-1</v>
      </c>
      <c r="F3">
        <v>416</v>
      </c>
      <c r="G3">
        <v>-1</v>
      </c>
      <c r="H3">
        <v>-1</v>
      </c>
      <c r="I3">
        <v>-1</v>
      </c>
    </row>
    <row r="4" spans="1:9" x14ac:dyDescent="0.4">
      <c r="A4">
        <v>3</v>
      </c>
      <c r="B4">
        <v>0</v>
      </c>
      <c r="C4">
        <v>501100000</v>
      </c>
      <c r="D4">
        <v>501200000</v>
      </c>
      <c r="E4">
        <v>501300000</v>
      </c>
      <c r="F4">
        <v>416</v>
      </c>
      <c r="G4">
        <v>-1</v>
      </c>
      <c r="H4">
        <v>-1</v>
      </c>
      <c r="I4">
        <v>-1</v>
      </c>
    </row>
    <row r="5" spans="1:9" x14ac:dyDescent="0.4">
      <c r="A5">
        <v>4</v>
      </c>
      <c r="B5">
        <v>0</v>
      </c>
      <c r="C5">
        <v>410000001</v>
      </c>
      <c r="D5">
        <v>-1</v>
      </c>
      <c r="E5">
        <v>-1</v>
      </c>
      <c r="F5">
        <v>416</v>
      </c>
      <c r="G5">
        <v>-1</v>
      </c>
      <c r="H5">
        <v>-1</v>
      </c>
      <c r="I5">
        <v>-1</v>
      </c>
    </row>
    <row r="6" spans="1:9" x14ac:dyDescent="0.4">
      <c r="A6">
        <v>5</v>
      </c>
      <c r="B6">
        <v>0</v>
      </c>
      <c r="C6">
        <v>410000002</v>
      </c>
      <c r="D6">
        <v>-1</v>
      </c>
      <c r="E6">
        <v>-1</v>
      </c>
      <c r="F6">
        <v>416</v>
      </c>
      <c r="G6">
        <v>-1</v>
      </c>
      <c r="H6">
        <v>-1</v>
      </c>
      <c r="I6">
        <v>-1</v>
      </c>
    </row>
    <row r="7" spans="1:9" x14ac:dyDescent="0.4">
      <c r="A7">
        <v>6</v>
      </c>
      <c r="B7">
        <v>0</v>
      </c>
      <c r="C7">
        <v>410000003</v>
      </c>
      <c r="D7">
        <v>410000003</v>
      </c>
      <c r="E7">
        <v>410000003</v>
      </c>
      <c r="F7">
        <v>416</v>
      </c>
      <c r="G7">
        <v>-1</v>
      </c>
      <c r="H7">
        <v>-1</v>
      </c>
      <c r="I7">
        <v>-1</v>
      </c>
    </row>
    <row r="8" spans="1:9" x14ac:dyDescent="0.4">
      <c r="A8">
        <v>10</v>
      </c>
      <c r="B8">
        <v>0</v>
      </c>
      <c r="C8">
        <v>-1</v>
      </c>
      <c r="D8">
        <v>-1</v>
      </c>
      <c r="E8">
        <v>-1</v>
      </c>
      <c r="F8">
        <v>19951</v>
      </c>
      <c r="G8">
        <v>-1</v>
      </c>
      <c r="H8">
        <v>-1</v>
      </c>
      <c r="I8">
        <v>-1</v>
      </c>
    </row>
    <row r="9" spans="1:9" x14ac:dyDescent="0.4">
      <c r="A9">
        <v>11</v>
      </c>
      <c r="B9">
        <v>0</v>
      </c>
      <c r="C9">
        <v>-1</v>
      </c>
      <c r="D9">
        <v>-1</v>
      </c>
      <c r="E9">
        <v>-1</v>
      </c>
      <c r="F9">
        <v>19952</v>
      </c>
      <c r="G9">
        <v>-1</v>
      </c>
      <c r="H9">
        <v>-1</v>
      </c>
      <c r="I9">
        <v>-1</v>
      </c>
    </row>
    <row r="10" spans="1:9" x14ac:dyDescent="0.4">
      <c r="A10">
        <v>20</v>
      </c>
      <c r="B10">
        <v>0</v>
      </c>
      <c r="C10">
        <v>-1</v>
      </c>
      <c r="D10">
        <v>-1</v>
      </c>
      <c r="E10">
        <v>-1</v>
      </c>
      <c r="F10">
        <v>19200</v>
      </c>
      <c r="G10">
        <v>-1</v>
      </c>
      <c r="H10">
        <v>-1</v>
      </c>
      <c r="I10">
        <v>-1</v>
      </c>
    </row>
    <row r="11" spans="1:9" x14ac:dyDescent="0.4">
      <c r="A11">
        <v>100</v>
      </c>
      <c r="B11">
        <v>0</v>
      </c>
      <c r="C11">
        <v>100</v>
      </c>
      <c r="D11">
        <v>-1</v>
      </c>
      <c r="E11">
        <v>-1</v>
      </c>
      <c r="F11">
        <v>19100</v>
      </c>
      <c r="G11">
        <v>-1</v>
      </c>
      <c r="H11">
        <v>-1</v>
      </c>
      <c r="I11">
        <v>-1</v>
      </c>
    </row>
    <row r="12" spans="1:9" x14ac:dyDescent="0.4">
      <c r="A12">
        <v>101</v>
      </c>
      <c r="B12">
        <v>0</v>
      </c>
      <c r="C12">
        <v>200</v>
      </c>
      <c r="D12">
        <v>100</v>
      </c>
      <c r="E12">
        <v>-1</v>
      </c>
      <c r="F12">
        <v>19104</v>
      </c>
      <c r="G12">
        <v>-1</v>
      </c>
      <c r="H12">
        <v>-1</v>
      </c>
      <c r="I12">
        <v>-1</v>
      </c>
    </row>
    <row r="13" spans="1:9" x14ac:dyDescent="0.4">
      <c r="A13">
        <v>102</v>
      </c>
      <c r="B13">
        <v>0</v>
      </c>
      <c r="C13">
        <v>300</v>
      </c>
      <c r="D13">
        <v>200</v>
      </c>
      <c r="E13">
        <v>100</v>
      </c>
      <c r="F13">
        <v>19108</v>
      </c>
      <c r="G13">
        <v>-1</v>
      </c>
      <c r="H13">
        <v>-1</v>
      </c>
      <c r="I13">
        <v>-1</v>
      </c>
    </row>
    <row r="14" spans="1:9" x14ac:dyDescent="0.4">
      <c r="A14">
        <v>103</v>
      </c>
      <c r="B14">
        <v>0</v>
      </c>
      <c r="C14">
        <v>100</v>
      </c>
      <c r="D14">
        <v>-1</v>
      </c>
      <c r="E14">
        <v>-1</v>
      </c>
      <c r="F14">
        <v>19112</v>
      </c>
      <c r="G14">
        <v>-1</v>
      </c>
      <c r="H14">
        <v>-1</v>
      </c>
      <c r="I14">
        <v>-1</v>
      </c>
    </row>
    <row r="15" spans="1:9" x14ac:dyDescent="0.4">
      <c r="A15">
        <v>104</v>
      </c>
      <c r="B15">
        <v>0</v>
      </c>
      <c r="C15">
        <v>200</v>
      </c>
      <c r="D15">
        <v>100</v>
      </c>
      <c r="E15">
        <v>-1</v>
      </c>
      <c r="F15">
        <v>19116</v>
      </c>
      <c r="G15">
        <v>-1</v>
      </c>
      <c r="H15">
        <v>-1</v>
      </c>
      <c r="I15">
        <v>-1</v>
      </c>
    </row>
    <row r="16" spans="1:9" x14ac:dyDescent="0.4">
      <c r="A16">
        <v>105</v>
      </c>
      <c r="B16">
        <v>0</v>
      </c>
      <c r="C16">
        <v>300</v>
      </c>
      <c r="D16">
        <v>200</v>
      </c>
      <c r="E16">
        <v>100</v>
      </c>
      <c r="F16">
        <v>19120</v>
      </c>
      <c r="G16">
        <v>-1</v>
      </c>
      <c r="H16">
        <v>-1</v>
      </c>
      <c r="I16">
        <v>-1</v>
      </c>
    </row>
    <row r="17" spans="1:9" x14ac:dyDescent="0.4">
      <c r="A17">
        <v>106</v>
      </c>
      <c r="B17">
        <v>0</v>
      </c>
      <c r="C17">
        <v>100</v>
      </c>
      <c r="D17">
        <v>-1</v>
      </c>
      <c r="E17">
        <v>-1</v>
      </c>
      <c r="F17">
        <v>19124</v>
      </c>
      <c r="G17">
        <v>-1</v>
      </c>
      <c r="H17">
        <v>-1</v>
      </c>
      <c r="I17">
        <v>-1</v>
      </c>
    </row>
    <row r="18" spans="1:9" x14ac:dyDescent="0.4">
      <c r="A18">
        <v>107</v>
      </c>
      <c r="B18">
        <v>0</v>
      </c>
      <c r="C18">
        <v>200</v>
      </c>
      <c r="D18">
        <v>100</v>
      </c>
      <c r="E18">
        <v>-1</v>
      </c>
      <c r="F18">
        <v>19128</v>
      </c>
      <c r="G18">
        <v>-1</v>
      </c>
      <c r="H18">
        <v>-1</v>
      </c>
      <c r="I18">
        <v>-1</v>
      </c>
    </row>
    <row r="19" spans="1:9" x14ac:dyDescent="0.4">
      <c r="A19">
        <v>108</v>
      </c>
      <c r="B19">
        <v>0</v>
      </c>
      <c r="C19">
        <v>300</v>
      </c>
      <c r="D19">
        <v>200</v>
      </c>
      <c r="E19">
        <v>100</v>
      </c>
      <c r="F19">
        <v>19132</v>
      </c>
      <c r="G19">
        <v>-1</v>
      </c>
      <c r="H19">
        <v>-1</v>
      </c>
      <c r="I19">
        <v>-1</v>
      </c>
    </row>
    <row r="20" spans="1:9" x14ac:dyDescent="0.4">
      <c r="A20">
        <v>109</v>
      </c>
      <c r="B20">
        <v>1</v>
      </c>
      <c r="C20">
        <v>100</v>
      </c>
      <c r="D20">
        <v>-1</v>
      </c>
      <c r="E20">
        <v>-1</v>
      </c>
      <c r="F20">
        <v>19101</v>
      </c>
      <c r="G20">
        <v>-1</v>
      </c>
      <c r="H20">
        <v>-1</v>
      </c>
      <c r="I20">
        <v>-1</v>
      </c>
    </row>
    <row r="21" spans="1:9" x14ac:dyDescent="0.4">
      <c r="A21">
        <v>110</v>
      </c>
      <c r="B21">
        <v>1</v>
      </c>
      <c r="C21">
        <v>200</v>
      </c>
      <c r="D21">
        <v>100</v>
      </c>
      <c r="E21">
        <v>-1</v>
      </c>
      <c r="F21">
        <v>19105</v>
      </c>
      <c r="G21">
        <v>-1</v>
      </c>
      <c r="H21">
        <v>-1</v>
      </c>
      <c r="I21">
        <v>-1</v>
      </c>
    </row>
    <row r="22" spans="1:9" x14ac:dyDescent="0.4">
      <c r="A22">
        <v>111</v>
      </c>
      <c r="B22">
        <v>1</v>
      </c>
      <c r="C22">
        <v>300</v>
      </c>
      <c r="D22">
        <v>200</v>
      </c>
      <c r="E22">
        <v>100</v>
      </c>
      <c r="F22">
        <v>19109</v>
      </c>
      <c r="G22">
        <v>-1</v>
      </c>
      <c r="H22">
        <v>-1</v>
      </c>
      <c r="I22">
        <v>-1</v>
      </c>
    </row>
    <row r="23" spans="1:9" x14ac:dyDescent="0.4">
      <c r="A23">
        <v>112</v>
      </c>
      <c r="B23">
        <v>1</v>
      </c>
      <c r="C23">
        <v>100</v>
      </c>
      <c r="D23">
        <v>-1</v>
      </c>
      <c r="E23">
        <v>-1</v>
      </c>
      <c r="F23">
        <v>19113</v>
      </c>
      <c r="G23">
        <v>-1</v>
      </c>
      <c r="H23">
        <v>-1</v>
      </c>
      <c r="I23">
        <v>-1</v>
      </c>
    </row>
    <row r="24" spans="1:9" x14ac:dyDescent="0.4">
      <c r="A24">
        <v>113</v>
      </c>
      <c r="B24">
        <v>1</v>
      </c>
      <c r="C24">
        <v>200</v>
      </c>
      <c r="D24">
        <v>100</v>
      </c>
      <c r="E24">
        <v>-1</v>
      </c>
      <c r="F24">
        <v>19117</v>
      </c>
      <c r="G24">
        <v>-1</v>
      </c>
      <c r="H24">
        <v>-1</v>
      </c>
      <c r="I24">
        <v>-1</v>
      </c>
    </row>
    <row r="25" spans="1:9" x14ac:dyDescent="0.4">
      <c r="A25">
        <v>114</v>
      </c>
      <c r="B25">
        <v>1</v>
      </c>
      <c r="C25">
        <v>300</v>
      </c>
      <c r="D25">
        <v>200</v>
      </c>
      <c r="E25">
        <v>100</v>
      </c>
      <c r="F25">
        <v>19121</v>
      </c>
      <c r="G25">
        <v>-1</v>
      </c>
      <c r="H25">
        <v>-1</v>
      </c>
      <c r="I25">
        <v>-1</v>
      </c>
    </row>
    <row r="26" spans="1:9" x14ac:dyDescent="0.4">
      <c r="A26">
        <v>115</v>
      </c>
      <c r="B26">
        <v>1</v>
      </c>
      <c r="C26">
        <v>100</v>
      </c>
      <c r="D26">
        <v>-1</v>
      </c>
      <c r="E26">
        <v>-1</v>
      </c>
      <c r="F26">
        <v>19125</v>
      </c>
      <c r="G26">
        <v>-1</v>
      </c>
      <c r="H26">
        <v>-1</v>
      </c>
      <c r="I26">
        <v>-1</v>
      </c>
    </row>
    <row r="27" spans="1:9" x14ac:dyDescent="0.4">
      <c r="A27">
        <v>116</v>
      </c>
      <c r="B27">
        <v>1</v>
      </c>
      <c r="C27">
        <v>200</v>
      </c>
      <c r="D27">
        <v>100</v>
      </c>
      <c r="E27">
        <v>-1</v>
      </c>
      <c r="F27">
        <v>19129</v>
      </c>
      <c r="G27">
        <v>-1</v>
      </c>
      <c r="H27">
        <v>-1</v>
      </c>
      <c r="I27">
        <v>-1</v>
      </c>
    </row>
    <row r="28" spans="1:9" x14ac:dyDescent="0.4">
      <c r="A28">
        <v>117</v>
      </c>
      <c r="B28">
        <v>1</v>
      </c>
      <c r="C28">
        <v>300</v>
      </c>
      <c r="D28">
        <v>200</v>
      </c>
      <c r="E28">
        <v>100</v>
      </c>
      <c r="F28">
        <v>19133</v>
      </c>
      <c r="G28">
        <v>-1</v>
      </c>
      <c r="H28">
        <v>-1</v>
      </c>
      <c r="I28">
        <v>-1</v>
      </c>
    </row>
    <row r="29" spans="1:9" x14ac:dyDescent="0.4">
      <c r="A29">
        <v>118</v>
      </c>
      <c r="B29">
        <v>2</v>
      </c>
      <c r="C29">
        <v>100</v>
      </c>
      <c r="D29">
        <v>-1</v>
      </c>
      <c r="E29">
        <v>-1</v>
      </c>
      <c r="F29">
        <v>19102</v>
      </c>
      <c r="G29">
        <v>-1</v>
      </c>
      <c r="H29">
        <v>-1</v>
      </c>
      <c r="I29">
        <v>-1</v>
      </c>
    </row>
    <row r="30" spans="1:9" x14ac:dyDescent="0.4">
      <c r="A30">
        <v>119</v>
      </c>
      <c r="B30">
        <v>2</v>
      </c>
      <c r="C30">
        <v>200</v>
      </c>
      <c r="D30">
        <v>100</v>
      </c>
      <c r="E30">
        <v>-1</v>
      </c>
      <c r="F30">
        <v>19106</v>
      </c>
      <c r="G30">
        <v>-1</v>
      </c>
      <c r="H30">
        <v>-1</v>
      </c>
      <c r="I30">
        <v>-1</v>
      </c>
    </row>
    <row r="31" spans="1:9" x14ac:dyDescent="0.4">
      <c r="A31">
        <v>120</v>
      </c>
      <c r="B31">
        <v>2</v>
      </c>
      <c r="C31">
        <v>300</v>
      </c>
      <c r="D31">
        <v>200</v>
      </c>
      <c r="E31">
        <v>100</v>
      </c>
      <c r="F31">
        <v>19110</v>
      </c>
      <c r="G31">
        <v>-1</v>
      </c>
      <c r="H31">
        <v>-1</v>
      </c>
      <c r="I31">
        <v>-1</v>
      </c>
    </row>
    <row r="32" spans="1:9" x14ac:dyDescent="0.4">
      <c r="A32">
        <v>121</v>
      </c>
      <c r="B32">
        <v>2</v>
      </c>
      <c r="C32">
        <v>100</v>
      </c>
      <c r="D32">
        <v>-1</v>
      </c>
      <c r="E32">
        <v>-1</v>
      </c>
      <c r="F32">
        <v>19114</v>
      </c>
      <c r="G32">
        <v>-1</v>
      </c>
      <c r="H32">
        <v>-1</v>
      </c>
      <c r="I32">
        <v>-1</v>
      </c>
    </row>
    <row r="33" spans="1:9" x14ac:dyDescent="0.4">
      <c r="A33">
        <v>122</v>
      </c>
      <c r="B33">
        <v>2</v>
      </c>
      <c r="C33">
        <v>200</v>
      </c>
      <c r="D33">
        <v>100</v>
      </c>
      <c r="E33">
        <v>-1</v>
      </c>
      <c r="F33">
        <v>19118</v>
      </c>
      <c r="G33">
        <v>-1</v>
      </c>
      <c r="H33">
        <v>-1</v>
      </c>
      <c r="I33">
        <v>-1</v>
      </c>
    </row>
    <row r="34" spans="1:9" x14ac:dyDescent="0.4">
      <c r="A34">
        <v>123</v>
      </c>
      <c r="B34">
        <v>2</v>
      </c>
      <c r="C34">
        <v>300</v>
      </c>
      <c r="D34">
        <v>200</v>
      </c>
      <c r="E34">
        <v>100</v>
      </c>
      <c r="F34">
        <v>19122</v>
      </c>
      <c r="G34">
        <v>-1</v>
      </c>
      <c r="H34">
        <v>-1</v>
      </c>
      <c r="I34">
        <v>-1</v>
      </c>
    </row>
    <row r="35" spans="1:9" x14ac:dyDescent="0.4">
      <c r="A35">
        <v>124</v>
      </c>
      <c r="B35">
        <v>2</v>
      </c>
      <c r="C35">
        <v>100</v>
      </c>
      <c r="D35">
        <v>-1</v>
      </c>
      <c r="E35">
        <v>-1</v>
      </c>
      <c r="F35">
        <v>19126</v>
      </c>
      <c r="G35">
        <v>-1</v>
      </c>
      <c r="H35">
        <v>-1</v>
      </c>
      <c r="I35">
        <v>-1</v>
      </c>
    </row>
    <row r="36" spans="1:9" x14ac:dyDescent="0.4">
      <c r="A36">
        <v>125</v>
      </c>
      <c r="B36">
        <v>2</v>
      </c>
      <c r="C36">
        <v>200</v>
      </c>
      <c r="D36">
        <v>100</v>
      </c>
      <c r="E36">
        <v>-1</v>
      </c>
      <c r="F36">
        <v>19130</v>
      </c>
      <c r="G36">
        <v>-1</v>
      </c>
      <c r="H36">
        <v>-1</v>
      </c>
      <c r="I36">
        <v>-1</v>
      </c>
    </row>
    <row r="37" spans="1:9" x14ac:dyDescent="0.4">
      <c r="A37">
        <v>126</v>
      </c>
      <c r="B37">
        <v>2</v>
      </c>
      <c r="C37">
        <v>300</v>
      </c>
      <c r="D37">
        <v>200</v>
      </c>
      <c r="E37">
        <v>100</v>
      </c>
      <c r="F37">
        <v>19134</v>
      </c>
      <c r="G37">
        <v>-1</v>
      </c>
      <c r="H37">
        <v>-1</v>
      </c>
      <c r="I37">
        <v>-1</v>
      </c>
    </row>
    <row r="38" spans="1:9" x14ac:dyDescent="0.4">
      <c r="A38">
        <v>127</v>
      </c>
      <c r="B38">
        <v>3</v>
      </c>
      <c r="C38">
        <v>100</v>
      </c>
      <c r="D38">
        <v>-1</v>
      </c>
      <c r="E38">
        <v>-1</v>
      </c>
      <c r="F38">
        <v>19103</v>
      </c>
      <c r="G38">
        <v>-1</v>
      </c>
      <c r="H38">
        <v>-1</v>
      </c>
      <c r="I38">
        <v>-1</v>
      </c>
    </row>
    <row r="39" spans="1:9" x14ac:dyDescent="0.4">
      <c r="A39">
        <v>128</v>
      </c>
      <c r="B39">
        <v>3</v>
      </c>
      <c r="C39">
        <v>200</v>
      </c>
      <c r="D39">
        <v>100</v>
      </c>
      <c r="E39">
        <v>-1</v>
      </c>
      <c r="F39">
        <v>19107</v>
      </c>
      <c r="G39">
        <v>-1</v>
      </c>
      <c r="H39">
        <v>-1</v>
      </c>
      <c r="I39">
        <v>-1</v>
      </c>
    </row>
    <row r="40" spans="1:9" x14ac:dyDescent="0.4">
      <c r="A40">
        <v>129</v>
      </c>
      <c r="B40">
        <v>3</v>
      </c>
      <c r="C40">
        <v>300</v>
      </c>
      <c r="D40">
        <v>200</v>
      </c>
      <c r="E40">
        <v>100</v>
      </c>
      <c r="F40">
        <v>19111</v>
      </c>
      <c r="G40">
        <v>-1</v>
      </c>
      <c r="H40">
        <v>-1</v>
      </c>
      <c r="I40">
        <v>-1</v>
      </c>
    </row>
    <row r="41" spans="1:9" x14ac:dyDescent="0.4">
      <c r="A41">
        <v>130</v>
      </c>
      <c r="B41">
        <v>3</v>
      </c>
      <c r="C41">
        <v>100</v>
      </c>
      <c r="D41">
        <v>-1</v>
      </c>
      <c r="E41">
        <v>-1</v>
      </c>
      <c r="F41">
        <v>19115</v>
      </c>
      <c r="G41">
        <v>-1</v>
      </c>
      <c r="H41">
        <v>-1</v>
      </c>
      <c r="I41">
        <v>-1</v>
      </c>
    </row>
    <row r="42" spans="1:9" x14ac:dyDescent="0.4">
      <c r="A42">
        <v>131</v>
      </c>
      <c r="B42">
        <v>3</v>
      </c>
      <c r="C42">
        <v>200</v>
      </c>
      <c r="D42">
        <v>100</v>
      </c>
      <c r="E42">
        <v>-1</v>
      </c>
      <c r="F42">
        <v>19119</v>
      </c>
      <c r="G42">
        <v>-1</v>
      </c>
      <c r="H42">
        <v>-1</v>
      </c>
      <c r="I42">
        <v>-1</v>
      </c>
    </row>
    <row r="43" spans="1:9" x14ac:dyDescent="0.4">
      <c r="A43">
        <v>132</v>
      </c>
      <c r="B43">
        <v>3</v>
      </c>
      <c r="C43">
        <v>300</v>
      </c>
      <c r="D43">
        <v>200</v>
      </c>
      <c r="E43">
        <v>100</v>
      </c>
      <c r="F43">
        <v>19123</v>
      </c>
      <c r="G43">
        <v>-1</v>
      </c>
      <c r="H43">
        <v>-1</v>
      </c>
      <c r="I43">
        <v>-1</v>
      </c>
    </row>
    <row r="44" spans="1:9" x14ac:dyDescent="0.4">
      <c r="A44">
        <v>133</v>
      </c>
      <c r="B44">
        <v>3</v>
      </c>
      <c r="C44">
        <v>100</v>
      </c>
      <c r="D44">
        <v>-1</v>
      </c>
      <c r="E44">
        <v>-1</v>
      </c>
      <c r="F44">
        <v>19127</v>
      </c>
      <c r="G44">
        <v>-1</v>
      </c>
      <c r="H44">
        <v>-1</v>
      </c>
      <c r="I44">
        <v>-1</v>
      </c>
    </row>
    <row r="45" spans="1:9" x14ac:dyDescent="0.4">
      <c r="A45">
        <v>134</v>
      </c>
      <c r="B45">
        <v>3</v>
      </c>
      <c r="C45">
        <v>200</v>
      </c>
      <c r="D45">
        <v>100</v>
      </c>
      <c r="E45">
        <v>-1</v>
      </c>
      <c r="F45">
        <v>19131</v>
      </c>
      <c r="G45">
        <v>-1</v>
      </c>
      <c r="H45">
        <v>-1</v>
      </c>
      <c r="I45">
        <v>-1</v>
      </c>
    </row>
    <row r="46" spans="1:9" x14ac:dyDescent="0.4">
      <c r="A46">
        <v>135</v>
      </c>
      <c r="B46">
        <v>3</v>
      </c>
      <c r="C46">
        <v>300</v>
      </c>
      <c r="D46">
        <v>200</v>
      </c>
      <c r="E46">
        <v>100</v>
      </c>
      <c r="F46">
        <v>19135</v>
      </c>
      <c r="G46">
        <v>-1</v>
      </c>
      <c r="H46">
        <v>-1</v>
      </c>
      <c r="I46">
        <v>-1</v>
      </c>
    </row>
    <row r="47" spans="1:9" x14ac:dyDescent="0.4">
      <c r="A47">
        <v>200</v>
      </c>
      <c r="B47">
        <v>0</v>
      </c>
      <c r="C47">
        <v>110</v>
      </c>
      <c r="D47">
        <v>-1</v>
      </c>
      <c r="E47">
        <v>-1</v>
      </c>
      <c r="F47">
        <v>19100</v>
      </c>
      <c r="G47">
        <v>-1</v>
      </c>
      <c r="H47">
        <v>-1</v>
      </c>
      <c r="I47">
        <v>-1</v>
      </c>
    </row>
    <row r="48" spans="1:9" x14ac:dyDescent="0.4">
      <c r="A48">
        <v>201</v>
      </c>
      <c r="B48">
        <v>0</v>
      </c>
      <c r="C48">
        <v>210</v>
      </c>
      <c r="D48">
        <v>110</v>
      </c>
      <c r="E48">
        <v>-1</v>
      </c>
      <c r="F48">
        <v>19104</v>
      </c>
      <c r="G48">
        <v>-1</v>
      </c>
      <c r="H48">
        <v>-1</v>
      </c>
      <c r="I48">
        <v>-1</v>
      </c>
    </row>
    <row r="49" spans="1:9" x14ac:dyDescent="0.4">
      <c r="A49">
        <v>202</v>
      </c>
      <c r="B49">
        <v>0</v>
      </c>
      <c r="C49">
        <v>310</v>
      </c>
      <c r="D49">
        <v>210</v>
      </c>
      <c r="E49">
        <v>110</v>
      </c>
      <c r="F49">
        <v>19108</v>
      </c>
      <c r="G49">
        <v>-1</v>
      </c>
      <c r="H49">
        <v>-1</v>
      </c>
      <c r="I49">
        <v>-1</v>
      </c>
    </row>
    <row r="50" spans="1:9" x14ac:dyDescent="0.4">
      <c r="A50">
        <v>203</v>
      </c>
      <c r="B50">
        <v>0</v>
      </c>
      <c r="C50">
        <v>110</v>
      </c>
      <c r="D50">
        <v>-1</v>
      </c>
      <c r="E50">
        <v>-1</v>
      </c>
      <c r="F50">
        <v>19112</v>
      </c>
      <c r="G50">
        <v>-1</v>
      </c>
      <c r="H50">
        <v>-1</v>
      </c>
      <c r="I50">
        <v>-1</v>
      </c>
    </row>
    <row r="51" spans="1:9" x14ac:dyDescent="0.4">
      <c r="A51">
        <v>204</v>
      </c>
      <c r="B51">
        <v>0</v>
      </c>
      <c r="C51">
        <v>210</v>
      </c>
      <c r="D51">
        <v>110</v>
      </c>
      <c r="E51">
        <v>-1</v>
      </c>
      <c r="F51">
        <v>19116</v>
      </c>
      <c r="G51">
        <v>-1</v>
      </c>
      <c r="H51">
        <v>-1</v>
      </c>
      <c r="I51">
        <v>-1</v>
      </c>
    </row>
    <row r="52" spans="1:9" x14ac:dyDescent="0.4">
      <c r="A52">
        <v>205</v>
      </c>
      <c r="B52">
        <v>0</v>
      </c>
      <c r="C52">
        <v>310</v>
      </c>
      <c r="D52">
        <v>210</v>
      </c>
      <c r="E52">
        <v>110</v>
      </c>
      <c r="F52">
        <v>19120</v>
      </c>
      <c r="G52">
        <v>-1</v>
      </c>
      <c r="H52">
        <v>-1</v>
      </c>
      <c r="I52">
        <v>-1</v>
      </c>
    </row>
    <row r="53" spans="1:9" x14ac:dyDescent="0.4">
      <c r="A53">
        <v>206</v>
      </c>
      <c r="B53">
        <v>0</v>
      </c>
      <c r="C53">
        <v>110</v>
      </c>
      <c r="D53">
        <v>-1</v>
      </c>
      <c r="E53">
        <v>-1</v>
      </c>
      <c r="F53">
        <v>19124</v>
      </c>
      <c r="G53">
        <v>-1</v>
      </c>
      <c r="H53">
        <v>-1</v>
      </c>
      <c r="I53">
        <v>-1</v>
      </c>
    </row>
    <row r="54" spans="1:9" x14ac:dyDescent="0.4">
      <c r="A54">
        <v>207</v>
      </c>
      <c r="B54">
        <v>0</v>
      </c>
      <c r="C54">
        <v>210</v>
      </c>
      <c r="D54">
        <v>110</v>
      </c>
      <c r="E54">
        <v>-1</v>
      </c>
      <c r="F54">
        <v>19128</v>
      </c>
      <c r="G54">
        <v>-1</v>
      </c>
      <c r="H54">
        <v>-1</v>
      </c>
      <c r="I54">
        <v>-1</v>
      </c>
    </row>
    <row r="55" spans="1:9" x14ac:dyDescent="0.4">
      <c r="A55">
        <v>208</v>
      </c>
      <c r="B55">
        <v>0</v>
      </c>
      <c r="C55">
        <v>310</v>
      </c>
      <c r="D55">
        <v>210</v>
      </c>
      <c r="E55">
        <v>110</v>
      </c>
      <c r="F55">
        <v>19132</v>
      </c>
      <c r="G55">
        <v>-1</v>
      </c>
      <c r="H55">
        <v>-1</v>
      </c>
      <c r="I55">
        <v>-1</v>
      </c>
    </row>
    <row r="56" spans="1:9" x14ac:dyDescent="0.4">
      <c r="A56">
        <v>209</v>
      </c>
      <c r="B56">
        <v>1</v>
      </c>
      <c r="C56">
        <v>110</v>
      </c>
      <c r="D56">
        <v>-1</v>
      </c>
      <c r="E56">
        <v>-1</v>
      </c>
      <c r="F56">
        <v>19101</v>
      </c>
      <c r="G56">
        <v>-1</v>
      </c>
      <c r="H56">
        <v>-1</v>
      </c>
      <c r="I56">
        <v>-1</v>
      </c>
    </row>
    <row r="57" spans="1:9" x14ac:dyDescent="0.4">
      <c r="A57">
        <v>210</v>
      </c>
      <c r="B57">
        <v>1</v>
      </c>
      <c r="C57">
        <v>210</v>
      </c>
      <c r="D57">
        <v>110</v>
      </c>
      <c r="E57">
        <v>-1</v>
      </c>
      <c r="F57">
        <v>19105</v>
      </c>
      <c r="G57">
        <v>-1</v>
      </c>
      <c r="H57">
        <v>-1</v>
      </c>
      <c r="I57">
        <v>-1</v>
      </c>
    </row>
    <row r="58" spans="1:9" x14ac:dyDescent="0.4">
      <c r="A58">
        <v>211</v>
      </c>
      <c r="B58">
        <v>1</v>
      </c>
      <c r="C58">
        <v>310</v>
      </c>
      <c r="D58">
        <v>210</v>
      </c>
      <c r="E58">
        <v>110</v>
      </c>
      <c r="F58">
        <v>19109</v>
      </c>
      <c r="G58">
        <v>-1</v>
      </c>
      <c r="H58">
        <v>-1</v>
      </c>
      <c r="I58">
        <v>-1</v>
      </c>
    </row>
    <row r="59" spans="1:9" x14ac:dyDescent="0.4">
      <c r="A59">
        <v>212</v>
      </c>
      <c r="B59">
        <v>1</v>
      </c>
      <c r="C59">
        <v>110</v>
      </c>
      <c r="D59">
        <v>-1</v>
      </c>
      <c r="E59">
        <v>-1</v>
      </c>
      <c r="F59">
        <v>19113</v>
      </c>
      <c r="G59">
        <v>-1</v>
      </c>
      <c r="H59">
        <v>-1</v>
      </c>
      <c r="I59">
        <v>-1</v>
      </c>
    </row>
    <row r="60" spans="1:9" x14ac:dyDescent="0.4">
      <c r="A60">
        <v>213</v>
      </c>
      <c r="B60">
        <v>1</v>
      </c>
      <c r="C60">
        <v>210</v>
      </c>
      <c r="D60">
        <v>110</v>
      </c>
      <c r="E60">
        <v>-1</v>
      </c>
      <c r="F60">
        <v>19117</v>
      </c>
      <c r="G60">
        <v>-1</v>
      </c>
      <c r="H60">
        <v>-1</v>
      </c>
      <c r="I60">
        <v>-1</v>
      </c>
    </row>
    <row r="61" spans="1:9" x14ac:dyDescent="0.4">
      <c r="A61">
        <v>214</v>
      </c>
      <c r="B61">
        <v>1</v>
      </c>
      <c r="C61">
        <v>310</v>
      </c>
      <c r="D61">
        <v>210</v>
      </c>
      <c r="E61">
        <v>110</v>
      </c>
      <c r="F61">
        <v>19121</v>
      </c>
      <c r="G61">
        <v>-1</v>
      </c>
      <c r="H61">
        <v>-1</v>
      </c>
      <c r="I61">
        <v>-1</v>
      </c>
    </row>
    <row r="62" spans="1:9" x14ac:dyDescent="0.4">
      <c r="A62">
        <v>215</v>
      </c>
      <c r="B62">
        <v>1</v>
      </c>
      <c r="C62">
        <v>110</v>
      </c>
      <c r="D62">
        <v>-1</v>
      </c>
      <c r="E62">
        <v>-1</v>
      </c>
      <c r="F62">
        <v>19125</v>
      </c>
      <c r="G62">
        <v>-1</v>
      </c>
      <c r="H62">
        <v>-1</v>
      </c>
      <c r="I62">
        <v>-1</v>
      </c>
    </row>
    <row r="63" spans="1:9" x14ac:dyDescent="0.4">
      <c r="A63">
        <v>216</v>
      </c>
      <c r="B63">
        <v>1</v>
      </c>
      <c r="C63">
        <v>210</v>
      </c>
      <c r="D63">
        <v>110</v>
      </c>
      <c r="E63">
        <v>-1</v>
      </c>
      <c r="F63">
        <v>19129</v>
      </c>
      <c r="G63">
        <v>-1</v>
      </c>
      <c r="H63">
        <v>-1</v>
      </c>
      <c r="I63">
        <v>-1</v>
      </c>
    </row>
    <row r="64" spans="1:9" x14ac:dyDescent="0.4">
      <c r="A64">
        <v>217</v>
      </c>
      <c r="B64">
        <v>1</v>
      </c>
      <c r="C64">
        <v>310</v>
      </c>
      <c r="D64">
        <v>210</v>
      </c>
      <c r="E64">
        <v>110</v>
      </c>
      <c r="F64">
        <v>19133</v>
      </c>
      <c r="G64">
        <v>-1</v>
      </c>
      <c r="H64">
        <v>-1</v>
      </c>
      <c r="I64">
        <v>-1</v>
      </c>
    </row>
    <row r="65" spans="1:9" x14ac:dyDescent="0.4">
      <c r="A65">
        <v>218</v>
      </c>
      <c r="B65">
        <v>2</v>
      </c>
      <c r="C65">
        <v>110</v>
      </c>
      <c r="D65">
        <v>-1</v>
      </c>
      <c r="E65">
        <v>-1</v>
      </c>
      <c r="F65">
        <v>19102</v>
      </c>
      <c r="G65">
        <v>-1</v>
      </c>
      <c r="H65">
        <v>-1</v>
      </c>
      <c r="I65">
        <v>-1</v>
      </c>
    </row>
    <row r="66" spans="1:9" x14ac:dyDescent="0.4">
      <c r="A66">
        <v>219</v>
      </c>
      <c r="B66">
        <v>2</v>
      </c>
      <c r="C66">
        <v>210</v>
      </c>
      <c r="D66">
        <v>110</v>
      </c>
      <c r="E66">
        <v>-1</v>
      </c>
      <c r="F66">
        <v>19106</v>
      </c>
      <c r="G66">
        <v>-1</v>
      </c>
      <c r="H66">
        <v>-1</v>
      </c>
      <c r="I66">
        <v>-1</v>
      </c>
    </row>
    <row r="67" spans="1:9" x14ac:dyDescent="0.4">
      <c r="A67">
        <v>220</v>
      </c>
      <c r="B67">
        <v>2</v>
      </c>
      <c r="C67">
        <v>310</v>
      </c>
      <c r="D67">
        <v>210</v>
      </c>
      <c r="E67">
        <v>110</v>
      </c>
      <c r="F67">
        <v>19110</v>
      </c>
      <c r="G67">
        <v>-1</v>
      </c>
      <c r="H67">
        <v>-1</v>
      </c>
      <c r="I67">
        <v>-1</v>
      </c>
    </row>
    <row r="68" spans="1:9" x14ac:dyDescent="0.4">
      <c r="A68">
        <v>221</v>
      </c>
      <c r="B68">
        <v>2</v>
      </c>
      <c r="C68">
        <v>110</v>
      </c>
      <c r="D68">
        <v>-1</v>
      </c>
      <c r="E68">
        <v>-1</v>
      </c>
      <c r="F68">
        <v>19114</v>
      </c>
      <c r="G68">
        <v>-1</v>
      </c>
      <c r="H68">
        <v>-1</v>
      </c>
      <c r="I68">
        <v>-1</v>
      </c>
    </row>
    <row r="69" spans="1:9" x14ac:dyDescent="0.4">
      <c r="A69">
        <v>222</v>
      </c>
      <c r="B69">
        <v>2</v>
      </c>
      <c r="C69">
        <v>210</v>
      </c>
      <c r="D69">
        <v>110</v>
      </c>
      <c r="E69">
        <v>-1</v>
      </c>
      <c r="F69">
        <v>19118</v>
      </c>
      <c r="G69">
        <v>-1</v>
      </c>
      <c r="H69">
        <v>-1</v>
      </c>
      <c r="I69">
        <v>-1</v>
      </c>
    </row>
    <row r="70" spans="1:9" x14ac:dyDescent="0.4">
      <c r="A70">
        <v>223</v>
      </c>
      <c r="B70">
        <v>2</v>
      </c>
      <c r="C70">
        <v>310</v>
      </c>
      <c r="D70">
        <v>210</v>
      </c>
      <c r="E70">
        <v>110</v>
      </c>
      <c r="F70">
        <v>19122</v>
      </c>
      <c r="G70">
        <v>-1</v>
      </c>
      <c r="H70">
        <v>-1</v>
      </c>
      <c r="I70">
        <v>-1</v>
      </c>
    </row>
    <row r="71" spans="1:9" x14ac:dyDescent="0.4">
      <c r="A71">
        <v>224</v>
      </c>
      <c r="B71">
        <v>2</v>
      </c>
      <c r="C71">
        <v>110</v>
      </c>
      <c r="D71">
        <v>-1</v>
      </c>
      <c r="E71">
        <v>-1</v>
      </c>
      <c r="F71">
        <v>19126</v>
      </c>
      <c r="G71">
        <v>-1</v>
      </c>
      <c r="H71">
        <v>-1</v>
      </c>
      <c r="I71">
        <v>-1</v>
      </c>
    </row>
    <row r="72" spans="1:9" x14ac:dyDescent="0.4">
      <c r="A72">
        <v>225</v>
      </c>
      <c r="B72">
        <v>2</v>
      </c>
      <c r="C72">
        <v>210</v>
      </c>
      <c r="D72">
        <v>110</v>
      </c>
      <c r="E72">
        <v>-1</v>
      </c>
      <c r="F72">
        <v>19130</v>
      </c>
      <c r="G72">
        <v>-1</v>
      </c>
      <c r="H72">
        <v>-1</v>
      </c>
      <c r="I72">
        <v>-1</v>
      </c>
    </row>
    <row r="73" spans="1:9" x14ac:dyDescent="0.4">
      <c r="A73">
        <v>226</v>
      </c>
      <c r="B73">
        <v>2</v>
      </c>
      <c r="C73">
        <v>310</v>
      </c>
      <c r="D73">
        <v>210</v>
      </c>
      <c r="E73">
        <v>110</v>
      </c>
      <c r="F73">
        <v>19134</v>
      </c>
      <c r="G73">
        <v>-1</v>
      </c>
      <c r="H73">
        <v>-1</v>
      </c>
      <c r="I73">
        <v>-1</v>
      </c>
    </row>
    <row r="74" spans="1:9" x14ac:dyDescent="0.4">
      <c r="A74">
        <v>227</v>
      </c>
      <c r="B74">
        <v>3</v>
      </c>
      <c r="C74">
        <v>110</v>
      </c>
      <c r="D74">
        <v>-1</v>
      </c>
      <c r="E74">
        <v>-1</v>
      </c>
      <c r="F74">
        <v>19103</v>
      </c>
      <c r="G74">
        <v>-1</v>
      </c>
      <c r="H74">
        <v>-1</v>
      </c>
      <c r="I74">
        <v>-1</v>
      </c>
    </row>
    <row r="75" spans="1:9" x14ac:dyDescent="0.4">
      <c r="A75">
        <v>228</v>
      </c>
      <c r="B75">
        <v>3</v>
      </c>
      <c r="C75">
        <v>210</v>
      </c>
      <c r="D75">
        <v>110</v>
      </c>
      <c r="E75">
        <v>-1</v>
      </c>
      <c r="F75">
        <v>19107</v>
      </c>
      <c r="G75">
        <v>-1</v>
      </c>
      <c r="H75">
        <v>-1</v>
      </c>
      <c r="I75">
        <v>-1</v>
      </c>
    </row>
    <row r="76" spans="1:9" x14ac:dyDescent="0.4">
      <c r="A76">
        <v>229</v>
      </c>
      <c r="B76">
        <v>3</v>
      </c>
      <c r="C76">
        <v>310</v>
      </c>
      <c r="D76">
        <v>210</v>
      </c>
      <c r="E76">
        <v>110</v>
      </c>
      <c r="F76">
        <v>19111</v>
      </c>
      <c r="G76">
        <v>-1</v>
      </c>
      <c r="H76">
        <v>-1</v>
      </c>
      <c r="I76">
        <v>-1</v>
      </c>
    </row>
    <row r="77" spans="1:9" x14ac:dyDescent="0.4">
      <c r="A77">
        <v>230</v>
      </c>
      <c r="B77">
        <v>3</v>
      </c>
      <c r="C77">
        <v>110</v>
      </c>
      <c r="D77">
        <v>-1</v>
      </c>
      <c r="E77">
        <v>-1</v>
      </c>
      <c r="F77">
        <v>19115</v>
      </c>
      <c r="G77">
        <v>-1</v>
      </c>
      <c r="H77">
        <v>-1</v>
      </c>
      <c r="I77">
        <v>-1</v>
      </c>
    </row>
    <row r="78" spans="1:9" x14ac:dyDescent="0.4">
      <c r="A78">
        <v>231</v>
      </c>
      <c r="B78">
        <v>3</v>
      </c>
      <c r="C78">
        <v>210</v>
      </c>
      <c r="D78">
        <v>110</v>
      </c>
      <c r="E78">
        <v>-1</v>
      </c>
      <c r="F78">
        <v>19119</v>
      </c>
      <c r="G78">
        <v>-1</v>
      </c>
      <c r="H78">
        <v>-1</v>
      </c>
      <c r="I78">
        <v>-1</v>
      </c>
    </row>
    <row r="79" spans="1:9" x14ac:dyDescent="0.4">
      <c r="A79">
        <v>232</v>
      </c>
      <c r="B79">
        <v>3</v>
      </c>
      <c r="C79">
        <v>310</v>
      </c>
      <c r="D79">
        <v>210</v>
      </c>
      <c r="E79">
        <v>110</v>
      </c>
      <c r="F79">
        <v>19123</v>
      </c>
      <c r="G79">
        <v>-1</v>
      </c>
      <c r="H79">
        <v>-1</v>
      </c>
      <c r="I79">
        <v>-1</v>
      </c>
    </row>
    <row r="80" spans="1:9" x14ac:dyDescent="0.4">
      <c r="A80">
        <v>233</v>
      </c>
      <c r="B80">
        <v>3</v>
      </c>
      <c r="C80">
        <v>110</v>
      </c>
      <c r="D80">
        <v>-1</v>
      </c>
      <c r="E80">
        <v>-1</v>
      </c>
      <c r="F80">
        <v>19127</v>
      </c>
      <c r="G80">
        <v>-1</v>
      </c>
      <c r="H80">
        <v>-1</v>
      </c>
      <c r="I80">
        <v>-1</v>
      </c>
    </row>
    <row r="81" spans="1:9" x14ac:dyDescent="0.4">
      <c r="A81">
        <v>234</v>
      </c>
      <c r="B81">
        <v>3</v>
      </c>
      <c r="C81">
        <v>210</v>
      </c>
      <c r="D81">
        <v>110</v>
      </c>
      <c r="E81">
        <v>-1</v>
      </c>
      <c r="F81">
        <v>19131</v>
      </c>
      <c r="G81">
        <v>-1</v>
      </c>
      <c r="H81">
        <v>-1</v>
      </c>
      <c r="I81">
        <v>-1</v>
      </c>
    </row>
    <row r="82" spans="1:9" x14ac:dyDescent="0.4">
      <c r="A82">
        <v>235</v>
      </c>
      <c r="B82">
        <v>3</v>
      </c>
      <c r="C82">
        <v>310</v>
      </c>
      <c r="D82">
        <v>210</v>
      </c>
      <c r="E82">
        <v>110</v>
      </c>
      <c r="F82">
        <v>19135</v>
      </c>
      <c r="G82">
        <v>-1</v>
      </c>
      <c r="H82">
        <v>-1</v>
      </c>
      <c r="I82">
        <v>-1</v>
      </c>
    </row>
    <row r="83" spans="1:9" x14ac:dyDescent="0.4">
      <c r="A83">
        <v>1000</v>
      </c>
      <c r="B83">
        <v>0</v>
      </c>
      <c r="C83">
        <v>707121100</v>
      </c>
      <c r="D83">
        <v>-1</v>
      </c>
      <c r="E83">
        <v>-1</v>
      </c>
      <c r="F83">
        <v>19100</v>
      </c>
      <c r="G83">
        <v>-1</v>
      </c>
      <c r="H83">
        <v>-1</v>
      </c>
      <c r="I83">
        <v>-1</v>
      </c>
    </row>
    <row r="84" spans="1:9" x14ac:dyDescent="0.4">
      <c r="A84">
        <v>1010</v>
      </c>
      <c r="B84">
        <v>1</v>
      </c>
      <c r="C84">
        <v>707120000</v>
      </c>
      <c r="D84">
        <v>-1</v>
      </c>
      <c r="E84">
        <v>-1</v>
      </c>
      <c r="F84">
        <v>19113</v>
      </c>
      <c r="G84">
        <v>-1</v>
      </c>
      <c r="H84">
        <v>-1</v>
      </c>
      <c r="I84">
        <v>-1</v>
      </c>
    </row>
    <row r="85" spans="1:9" x14ac:dyDescent="0.4">
      <c r="A85">
        <v>1020</v>
      </c>
      <c r="B85">
        <v>2</v>
      </c>
      <c r="C85">
        <v>707122400</v>
      </c>
      <c r="D85">
        <v>-1</v>
      </c>
      <c r="E85">
        <v>-1</v>
      </c>
      <c r="F85">
        <v>19102</v>
      </c>
      <c r="G85">
        <v>-1</v>
      </c>
      <c r="H85">
        <v>-1</v>
      </c>
      <c r="I85">
        <v>-1</v>
      </c>
    </row>
    <row r="86" spans="1:9" x14ac:dyDescent="0.4">
      <c r="A86">
        <v>1030</v>
      </c>
      <c r="B86">
        <v>3</v>
      </c>
      <c r="C86">
        <v>707123300</v>
      </c>
      <c r="D86">
        <v>-1</v>
      </c>
      <c r="E86">
        <v>-1</v>
      </c>
      <c r="F86">
        <v>19127</v>
      </c>
      <c r="G86">
        <v>-1</v>
      </c>
      <c r="H86">
        <v>-1</v>
      </c>
      <c r="I86">
        <v>-1</v>
      </c>
    </row>
    <row r="87" spans="1:9" x14ac:dyDescent="0.4">
      <c r="A87">
        <v>1040</v>
      </c>
      <c r="B87">
        <v>0</v>
      </c>
      <c r="C87">
        <v>707040300</v>
      </c>
      <c r="D87">
        <v>707040400</v>
      </c>
      <c r="E87">
        <v>-1</v>
      </c>
      <c r="F87">
        <v>19104</v>
      </c>
      <c r="G87">
        <v>-1</v>
      </c>
      <c r="H87">
        <v>-1</v>
      </c>
      <c r="I87">
        <v>-1</v>
      </c>
    </row>
    <row r="88" spans="1:9" x14ac:dyDescent="0.4">
      <c r="A88">
        <v>1050</v>
      </c>
      <c r="B88">
        <v>2</v>
      </c>
      <c r="C88">
        <v>707040200</v>
      </c>
      <c r="D88">
        <v>-1</v>
      </c>
      <c r="E88">
        <v>-1</v>
      </c>
      <c r="F88">
        <v>19114</v>
      </c>
      <c r="G88">
        <v>-1</v>
      </c>
      <c r="H88">
        <v>-1</v>
      </c>
      <c r="I88">
        <v>-1</v>
      </c>
    </row>
    <row r="89" spans="1:9" x14ac:dyDescent="0.4">
      <c r="A89">
        <v>1060</v>
      </c>
      <c r="B89">
        <v>3</v>
      </c>
      <c r="C89">
        <v>707030900</v>
      </c>
      <c r="D89">
        <v>707000202</v>
      </c>
      <c r="E89">
        <v>-1</v>
      </c>
      <c r="F89">
        <v>19131</v>
      </c>
      <c r="G89">
        <v>-1</v>
      </c>
      <c r="H89">
        <v>-1</v>
      </c>
      <c r="I89">
        <v>-1</v>
      </c>
    </row>
    <row r="90" spans="1:9" x14ac:dyDescent="0.4">
      <c r="A90">
        <v>1070</v>
      </c>
      <c r="B90">
        <v>1</v>
      </c>
      <c r="C90">
        <v>707030700</v>
      </c>
      <c r="D90">
        <v>707000002</v>
      </c>
      <c r="E90">
        <v>-1</v>
      </c>
      <c r="F90">
        <v>19117</v>
      </c>
      <c r="G90">
        <v>-1</v>
      </c>
      <c r="H90">
        <v>-1</v>
      </c>
      <c r="I90">
        <v>-1</v>
      </c>
    </row>
    <row r="91" spans="1:9" x14ac:dyDescent="0.4">
      <c r="A91">
        <v>1080</v>
      </c>
      <c r="B91">
        <v>0</v>
      </c>
      <c r="C91">
        <v>707002600</v>
      </c>
      <c r="D91">
        <v>707000901</v>
      </c>
      <c r="E91">
        <v>-1</v>
      </c>
      <c r="F91">
        <v>19116</v>
      </c>
      <c r="G91">
        <v>-1</v>
      </c>
      <c r="H91">
        <v>-1</v>
      </c>
      <c r="I91">
        <v>-1</v>
      </c>
    </row>
    <row r="92" spans="1:9" x14ac:dyDescent="0.4">
      <c r="A92">
        <v>1090</v>
      </c>
      <c r="B92">
        <v>3</v>
      </c>
      <c r="C92">
        <v>707002700</v>
      </c>
      <c r="D92">
        <v>707000801</v>
      </c>
      <c r="E92">
        <v>-1</v>
      </c>
      <c r="F92">
        <v>19107</v>
      </c>
      <c r="G92">
        <v>-1</v>
      </c>
      <c r="H92">
        <v>-1</v>
      </c>
      <c r="I92">
        <v>-1</v>
      </c>
    </row>
    <row r="93" spans="1:9" x14ac:dyDescent="0.4">
      <c r="A93">
        <v>1100</v>
      </c>
      <c r="B93">
        <v>3</v>
      </c>
      <c r="C93">
        <v>707002800</v>
      </c>
      <c r="D93">
        <v>707000801</v>
      </c>
      <c r="E93">
        <v>-1</v>
      </c>
      <c r="F93">
        <v>19119</v>
      </c>
      <c r="G93">
        <v>-1</v>
      </c>
      <c r="H93">
        <v>-1</v>
      </c>
      <c r="I93">
        <v>-1</v>
      </c>
    </row>
    <row r="94" spans="1:9" x14ac:dyDescent="0.4">
      <c r="A94">
        <v>1110</v>
      </c>
      <c r="B94">
        <v>0</v>
      </c>
      <c r="C94">
        <v>707002900</v>
      </c>
      <c r="D94">
        <v>707000901</v>
      </c>
      <c r="E94">
        <v>-1</v>
      </c>
      <c r="F94">
        <v>19128</v>
      </c>
      <c r="G94">
        <v>-1</v>
      </c>
      <c r="H94">
        <v>-1</v>
      </c>
      <c r="I94">
        <v>-1</v>
      </c>
    </row>
    <row r="95" spans="1:9" x14ac:dyDescent="0.4">
      <c r="A95">
        <v>1120</v>
      </c>
      <c r="B95">
        <v>0</v>
      </c>
      <c r="C95">
        <v>707121000</v>
      </c>
      <c r="D95">
        <v>707040500</v>
      </c>
      <c r="E95">
        <v>-1</v>
      </c>
      <c r="F95">
        <v>19104</v>
      </c>
      <c r="G95">
        <v>-1</v>
      </c>
      <c r="H95">
        <v>-1</v>
      </c>
      <c r="I95">
        <v>-1</v>
      </c>
    </row>
    <row r="96" spans="1:9" x14ac:dyDescent="0.4">
      <c r="A96">
        <v>1130</v>
      </c>
      <c r="B96">
        <v>3</v>
      </c>
      <c r="C96">
        <v>707010200</v>
      </c>
      <c r="D96">
        <v>707090100</v>
      </c>
      <c r="E96">
        <v>-1</v>
      </c>
      <c r="F96">
        <v>19119</v>
      </c>
      <c r="G96">
        <v>-1</v>
      </c>
      <c r="H96">
        <v>-1</v>
      </c>
      <c r="I96">
        <v>-1</v>
      </c>
    </row>
    <row r="97" spans="1:9" x14ac:dyDescent="0.4">
      <c r="A97">
        <v>1140</v>
      </c>
      <c r="B97">
        <v>2</v>
      </c>
      <c r="C97">
        <v>707003000</v>
      </c>
      <c r="D97">
        <v>707003400</v>
      </c>
      <c r="E97">
        <v>-1</v>
      </c>
      <c r="F97">
        <v>19106</v>
      </c>
      <c r="G97">
        <v>-1</v>
      </c>
      <c r="H97">
        <v>-1</v>
      </c>
      <c r="I97">
        <v>-1</v>
      </c>
    </row>
    <row r="98" spans="1:9" x14ac:dyDescent="0.4">
      <c r="A98">
        <v>1150</v>
      </c>
      <c r="B98">
        <v>2</v>
      </c>
      <c r="C98">
        <v>707003100</v>
      </c>
      <c r="D98">
        <v>707003500</v>
      </c>
      <c r="E98">
        <v>-1</v>
      </c>
      <c r="F98">
        <v>19118</v>
      </c>
      <c r="G98">
        <v>-1</v>
      </c>
      <c r="H98">
        <v>-1</v>
      </c>
      <c r="I98">
        <v>-1</v>
      </c>
    </row>
    <row r="99" spans="1:9" x14ac:dyDescent="0.4">
      <c r="A99">
        <v>1160</v>
      </c>
      <c r="B99">
        <v>1</v>
      </c>
      <c r="C99">
        <v>707003200</v>
      </c>
      <c r="D99">
        <v>707003600</v>
      </c>
      <c r="E99">
        <v>-1</v>
      </c>
      <c r="F99">
        <v>19105</v>
      </c>
      <c r="G99">
        <v>-1</v>
      </c>
      <c r="H99">
        <v>-1</v>
      </c>
      <c r="I99">
        <v>-1</v>
      </c>
    </row>
    <row r="100" spans="1:9" x14ac:dyDescent="0.4">
      <c r="A100">
        <v>1170</v>
      </c>
      <c r="B100">
        <v>1</v>
      </c>
      <c r="C100">
        <v>707003300</v>
      </c>
      <c r="D100">
        <v>707000102</v>
      </c>
      <c r="E100">
        <v>-1</v>
      </c>
      <c r="F100">
        <v>19117</v>
      </c>
      <c r="G100">
        <v>-1</v>
      </c>
      <c r="H100">
        <v>-1</v>
      </c>
      <c r="I100">
        <v>-1</v>
      </c>
    </row>
    <row r="101" spans="1:9" x14ac:dyDescent="0.4">
      <c r="A101">
        <v>1180</v>
      </c>
      <c r="B101">
        <v>0</v>
      </c>
      <c r="C101">
        <v>707010500</v>
      </c>
      <c r="D101">
        <v>707000301</v>
      </c>
      <c r="E101">
        <v>707000401</v>
      </c>
      <c r="F101">
        <v>19108</v>
      </c>
      <c r="G101">
        <v>-1</v>
      </c>
      <c r="H101">
        <v>-1</v>
      </c>
      <c r="I101">
        <v>-1</v>
      </c>
    </row>
    <row r="102" spans="1:9" x14ac:dyDescent="0.4">
      <c r="A102">
        <v>1190</v>
      </c>
      <c r="B102">
        <v>1</v>
      </c>
      <c r="C102">
        <v>707033400</v>
      </c>
      <c r="D102">
        <v>707000001</v>
      </c>
      <c r="E102">
        <v>707000201</v>
      </c>
      <c r="F102">
        <v>19121</v>
      </c>
      <c r="G102">
        <v>-1</v>
      </c>
      <c r="H102">
        <v>-1</v>
      </c>
      <c r="I102">
        <v>-1</v>
      </c>
    </row>
    <row r="103" spans="1:9" x14ac:dyDescent="0.4">
      <c r="A103">
        <v>1200</v>
      </c>
      <c r="B103">
        <v>3</v>
      </c>
      <c r="C103">
        <v>707290000</v>
      </c>
      <c r="D103">
        <v>707000401</v>
      </c>
      <c r="E103">
        <v>707000501</v>
      </c>
      <c r="F103">
        <v>19123</v>
      </c>
      <c r="G103">
        <v>-1</v>
      </c>
      <c r="H103">
        <v>-1</v>
      </c>
      <c r="I103">
        <v>-1</v>
      </c>
    </row>
    <row r="104" spans="1:9" x14ac:dyDescent="0.4">
      <c r="A104">
        <v>1210</v>
      </c>
      <c r="B104">
        <v>2</v>
      </c>
      <c r="C104">
        <v>707032900</v>
      </c>
      <c r="D104">
        <v>707000101</v>
      </c>
      <c r="E104">
        <v>707000501</v>
      </c>
      <c r="F104">
        <v>19134</v>
      </c>
      <c r="G104">
        <v>-1</v>
      </c>
      <c r="H104">
        <v>-1</v>
      </c>
      <c r="I104">
        <v>-1</v>
      </c>
    </row>
    <row r="105" spans="1:9" x14ac:dyDescent="0.4">
      <c r="A105">
        <v>1220</v>
      </c>
      <c r="B105">
        <v>2</v>
      </c>
      <c r="C105">
        <v>707280000</v>
      </c>
      <c r="D105">
        <v>707000201</v>
      </c>
      <c r="E105">
        <v>707000401</v>
      </c>
      <c r="F105">
        <v>19110</v>
      </c>
      <c r="G105">
        <v>-1</v>
      </c>
      <c r="H105">
        <v>-1</v>
      </c>
      <c r="I105">
        <v>-1</v>
      </c>
    </row>
    <row r="106" spans="1:9" x14ac:dyDescent="0.4">
      <c r="A106">
        <v>1230</v>
      </c>
      <c r="B106">
        <v>1</v>
      </c>
      <c r="C106">
        <v>707030000</v>
      </c>
      <c r="D106">
        <v>707000001</v>
      </c>
      <c r="E106">
        <v>707000301</v>
      </c>
      <c r="F106">
        <v>19133</v>
      </c>
      <c r="G106">
        <v>-1</v>
      </c>
      <c r="H106">
        <v>-1</v>
      </c>
      <c r="I106">
        <v>-1</v>
      </c>
    </row>
    <row r="107" spans="1:9" x14ac:dyDescent="0.4">
      <c r="A107">
        <v>1240</v>
      </c>
      <c r="B107">
        <v>1</v>
      </c>
      <c r="C107">
        <v>707011200</v>
      </c>
      <c r="D107">
        <v>707000601</v>
      </c>
      <c r="E107">
        <v>707000701</v>
      </c>
      <c r="F107">
        <v>19121</v>
      </c>
      <c r="G107">
        <v>-1</v>
      </c>
      <c r="H107">
        <v>-1</v>
      </c>
      <c r="I107">
        <v>-1</v>
      </c>
    </row>
    <row r="108" spans="1:9" x14ac:dyDescent="0.4">
      <c r="A108">
        <v>1250</v>
      </c>
      <c r="B108">
        <v>0</v>
      </c>
      <c r="C108">
        <v>707011700</v>
      </c>
      <c r="D108">
        <v>707000401</v>
      </c>
      <c r="E108">
        <v>707000701</v>
      </c>
      <c r="F108">
        <v>19108</v>
      </c>
      <c r="G108">
        <v>-1</v>
      </c>
      <c r="H108">
        <v>-1</v>
      </c>
      <c r="I108">
        <v>-1</v>
      </c>
    </row>
    <row r="109" spans="1:9" x14ac:dyDescent="0.4">
      <c r="A109">
        <v>1260</v>
      </c>
      <c r="B109">
        <v>0</v>
      </c>
      <c r="C109">
        <v>707110000</v>
      </c>
      <c r="D109">
        <v>707120900</v>
      </c>
      <c r="E109">
        <v>707230000</v>
      </c>
      <c r="F109">
        <v>19120</v>
      </c>
      <c r="G109">
        <v>-1</v>
      </c>
      <c r="H109">
        <v>-1</v>
      </c>
      <c r="I109">
        <v>-1</v>
      </c>
    </row>
    <row r="110" spans="1:9" x14ac:dyDescent="0.4">
      <c r="A110">
        <v>1270</v>
      </c>
      <c r="B110">
        <v>3</v>
      </c>
      <c r="C110">
        <v>707005600</v>
      </c>
      <c r="D110">
        <v>707000001</v>
      </c>
      <c r="E110">
        <v>707001001</v>
      </c>
      <c r="F110">
        <v>19135</v>
      </c>
      <c r="G110">
        <v>-1</v>
      </c>
      <c r="H110">
        <v>-1</v>
      </c>
      <c r="I110">
        <v>-1</v>
      </c>
    </row>
    <row r="111" spans="1:9" x14ac:dyDescent="0.4">
      <c r="A111">
        <v>1300</v>
      </c>
      <c r="B111">
        <v>0</v>
      </c>
      <c r="C111">
        <v>707036200</v>
      </c>
      <c r="D111">
        <v>707000501</v>
      </c>
      <c r="E111">
        <v>707000701</v>
      </c>
      <c r="F111">
        <v>19132</v>
      </c>
      <c r="G111">
        <v>-1</v>
      </c>
      <c r="H111">
        <v>-1</v>
      </c>
      <c r="I111">
        <v>-1</v>
      </c>
    </row>
    <row r="112" spans="1:9" x14ac:dyDescent="0.4">
      <c r="A112">
        <v>1310</v>
      </c>
      <c r="B112">
        <v>3</v>
      </c>
      <c r="C112">
        <v>707036900</v>
      </c>
      <c r="D112">
        <v>707000301</v>
      </c>
      <c r="E112">
        <v>707000601</v>
      </c>
      <c r="F112">
        <v>19111</v>
      </c>
      <c r="G112">
        <v>-1</v>
      </c>
      <c r="H112">
        <v>-1</v>
      </c>
      <c r="I112">
        <v>-1</v>
      </c>
    </row>
    <row r="113" spans="1:9" x14ac:dyDescent="0.4">
      <c r="A113">
        <v>1400</v>
      </c>
      <c r="B113">
        <v>1</v>
      </c>
      <c r="C113">
        <v>707010500</v>
      </c>
      <c r="D113">
        <v>707122900</v>
      </c>
      <c r="E113">
        <v>707001602</v>
      </c>
      <c r="F113">
        <v>19121</v>
      </c>
      <c r="G113">
        <v>-1</v>
      </c>
      <c r="H113">
        <v>-1</v>
      </c>
      <c r="I113">
        <v>-1</v>
      </c>
    </row>
    <row r="114" spans="1:9" x14ac:dyDescent="0.4">
      <c r="A114">
        <v>1410</v>
      </c>
      <c r="B114">
        <v>0</v>
      </c>
      <c r="C114">
        <v>707033400</v>
      </c>
      <c r="D114">
        <v>707030600</v>
      </c>
      <c r="E114">
        <v>707000202</v>
      </c>
      <c r="F114">
        <v>19108</v>
      </c>
      <c r="G114">
        <v>-1</v>
      </c>
      <c r="H114">
        <v>-1</v>
      </c>
      <c r="I114">
        <v>-1</v>
      </c>
    </row>
    <row r="115" spans="1:9" x14ac:dyDescent="0.4">
      <c r="A115">
        <v>1420</v>
      </c>
      <c r="B115">
        <v>3</v>
      </c>
      <c r="C115">
        <v>707031800</v>
      </c>
      <c r="D115">
        <v>707040200</v>
      </c>
      <c r="E115">
        <v>707000801</v>
      </c>
      <c r="F115">
        <v>19123</v>
      </c>
      <c r="G115">
        <v>-1</v>
      </c>
      <c r="H115">
        <v>-1</v>
      </c>
      <c r="I115">
        <v>-1</v>
      </c>
    </row>
    <row r="116" spans="1:9" x14ac:dyDescent="0.4">
      <c r="A116">
        <v>1430</v>
      </c>
      <c r="B116">
        <v>3</v>
      </c>
      <c r="C116">
        <v>707082500</v>
      </c>
      <c r="D116">
        <v>707060100</v>
      </c>
      <c r="E116">
        <v>707001500</v>
      </c>
      <c r="F116">
        <v>19123</v>
      </c>
      <c r="G116">
        <v>-1</v>
      </c>
      <c r="H116">
        <v>-1</v>
      </c>
      <c r="I116">
        <v>-1</v>
      </c>
    </row>
    <row r="117" spans="1:9" x14ac:dyDescent="0.4">
      <c r="A117">
        <v>1440</v>
      </c>
      <c r="B117">
        <v>0</v>
      </c>
      <c r="C117">
        <v>707034600</v>
      </c>
      <c r="D117">
        <v>707260000</v>
      </c>
      <c r="E117">
        <v>707000902</v>
      </c>
      <c r="F117">
        <v>19108</v>
      </c>
      <c r="G117">
        <v>-1</v>
      </c>
      <c r="H117">
        <v>-1</v>
      </c>
      <c r="I117">
        <v>-1</v>
      </c>
    </row>
    <row r="118" spans="1:9" x14ac:dyDescent="0.4">
      <c r="A118">
        <v>1450</v>
      </c>
      <c r="B118">
        <v>2</v>
      </c>
      <c r="C118">
        <v>707310000</v>
      </c>
      <c r="D118">
        <v>707332300</v>
      </c>
      <c r="E118">
        <v>707000202</v>
      </c>
      <c r="F118">
        <v>19134</v>
      </c>
      <c r="G118">
        <v>-1</v>
      </c>
      <c r="H118">
        <v>-1</v>
      </c>
      <c r="I118">
        <v>-1</v>
      </c>
    </row>
    <row r="119" spans="1:9" x14ac:dyDescent="0.4">
      <c r="A119">
        <v>1460</v>
      </c>
      <c r="B119">
        <v>1</v>
      </c>
      <c r="C119">
        <v>707031200</v>
      </c>
      <c r="D119">
        <v>707050100</v>
      </c>
      <c r="E119">
        <v>707126000</v>
      </c>
      <c r="F119">
        <v>19121</v>
      </c>
      <c r="G119">
        <v>-1</v>
      </c>
      <c r="H119">
        <v>-1</v>
      </c>
      <c r="I119">
        <v>-1</v>
      </c>
    </row>
    <row r="120" spans="1:9" x14ac:dyDescent="0.4">
      <c r="A120">
        <v>1470</v>
      </c>
      <c r="B120">
        <v>2</v>
      </c>
      <c r="C120">
        <v>707034400</v>
      </c>
      <c r="D120">
        <v>707036100</v>
      </c>
      <c r="E120">
        <v>707030600</v>
      </c>
      <c r="F120">
        <v>19134</v>
      </c>
      <c r="G120">
        <v>-1</v>
      </c>
      <c r="H120">
        <v>-1</v>
      </c>
      <c r="I120">
        <v>-1</v>
      </c>
    </row>
    <row r="121" spans="1:9" x14ac:dyDescent="0.4">
      <c r="A121">
        <v>1480</v>
      </c>
      <c r="B121">
        <v>0</v>
      </c>
      <c r="C121">
        <v>707012200</v>
      </c>
      <c r="D121">
        <v>707012300</v>
      </c>
      <c r="E121">
        <v>707000002</v>
      </c>
      <c r="F121">
        <v>19108</v>
      </c>
      <c r="G121">
        <v>-1</v>
      </c>
      <c r="H121">
        <v>-1</v>
      </c>
      <c r="I121">
        <v>-1</v>
      </c>
    </row>
    <row r="122" spans="1:9" x14ac:dyDescent="0.4">
      <c r="A122">
        <v>1490</v>
      </c>
      <c r="B122">
        <v>3</v>
      </c>
      <c r="C122">
        <v>707006001</v>
      </c>
      <c r="D122">
        <v>707040000</v>
      </c>
      <c r="E122">
        <v>707001002</v>
      </c>
      <c r="F122">
        <v>19123</v>
      </c>
      <c r="G122">
        <v>-1</v>
      </c>
      <c r="H122">
        <v>-1</v>
      </c>
      <c r="I122">
        <v>-1</v>
      </c>
    </row>
    <row r="123" spans="1:9" x14ac:dyDescent="0.4">
      <c r="A123">
        <v>1500</v>
      </c>
      <c r="B123">
        <v>0</v>
      </c>
      <c r="C123">
        <v>707006101</v>
      </c>
      <c r="D123">
        <v>707100100</v>
      </c>
      <c r="E123">
        <v>707000202</v>
      </c>
      <c r="F123">
        <v>19108</v>
      </c>
      <c r="G123">
        <v>-1</v>
      </c>
      <c r="H123">
        <v>-1</v>
      </c>
      <c r="I123">
        <v>-1</v>
      </c>
    </row>
    <row r="124" spans="1:9" x14ac:dyDescent="0.4">
      <c r="A124">
        <v>1510</v>
      </c>
      <c r="B124">
        <v>2</v>
      </c>
      <c r="C124">
        <v>707060000</v>
      </c>
      <c r="D124">
        <v>707120900</v>
      </c>
      <c r="E124">
        <v>707070000</v>
      </c>
      <c r="F124">
        <v>19134</v>
      </c>
      <c r="G124">
        <v>-1</v>
      </c>
      <c r="H124">
        <v>-1</v>
      </c>
      <c r="I124">
        <v>-1</v>
      </c>
    </row>
    <row r="125" spans="1:9" x14ac:dyDescent="0.4">
      <c r="A125">
        <v>1520</v>
      </c>
      <c r="B125">
        <v>1</v>
      </c>
      <c r="C125">
        <v>707126000</v>
      </c>
      <c r="D125">
        <v>707126001</v>
      </c>
      <c r="E125">
        <v>707126002</v>
      </c>
      <c r="F125">
        <v>19121</v>
      </c>
      <c r="G125">
        <v>-1</v>
      </c>
      <c r="H125">
        <v>-1</v>
      </c>
      <c r="I125">
        <v>-1</v>
      </c>
    </row>
    <row r="126" spans="1:9" x14ac:dyDescent="0.4">
      <c r="A126">
        <v>1600</v>
      </c>
      <c r="B126">
        <v>2</v>
      </c>
      <c r="C126">
        <v>707036500</v>
      </c>
      <c r="D126">
        <v>707121000</v>
      </c>
      <c r="E126">
        <v>707121001</v>
      </c>
      <c r="F126">
        <v>19122</v>
      </c>
      <c r="G126">
        <v>-1</v>
      </c>
      <c r="H126">
        <v>-1</v>
      </c>
      <c r="I126">
        <v>-1</v>
      </c>
    </row>
    <row r="127" spans="1:9" x14ac:dyDescent="0.4">
      <c r="A127">
        <v>1610</v>
      </c>
      <c r="B127">
        <v>1</v>
      </c>
      <c r="C127">
        <v>707037300</v>
      </c>
      <c r="D127">
        <v>707005600</v>
      </c>
      <c r="E127">
        <v>707090000</v>
      </c>
      <c r="F127">
        <v>19109</v>
      </c>
      <c r="G127">
        <v>-1</v>
      </c>
      <c r="H127">
        <v>-1</v>
      </c>
      <c r="I127">
        <v>-1</v>
      </c>
    </row>
    <row r="128" spans="1:9" x14ac:dyDescent="0.4">
      <c r="A128">
        <v>1620</v>
      </c>
      <c r="B128">
        <v>3</v>
      </c>
      <c r="C128">
        <v>6642000</v>
      </c>
      <c r="D128">
        <v>707000402</v>
      </c>
      <c r="E128">
        <v>707000702</v>
      </c>
      <c r="F128">
        <v>19135</v>
      </c>
      <c r="G128">
        <v>-1</v>
      </c>
      <c r="H128">
        <v>-1</v>
      </c>
      <c r="I128">
        <v>-1</v>
      </c>
    </row>
    <row r="129" spans="1:9" x14ac:dyDescent="0.4">
      <c r="A129">
        <v>1630</v>
      </c>
      <c r="B129">
        <v>2</v>
      </c>
      <c r="C129">
        <v>6641100</v>
      </c>
      <c r="D129">
        <v>707000102</v>
      </c>
      <c r="E129">
        <v>707000602</v>
      </c>
      <c r="F129">
        <v>19122</v>
      </c>
      <c r="G129">
        <v>-1</v>
      </c>
      <c r="H129">
        <v>-1</v>
      </c>
      <c r="I129">
        <v>-1</v>
      </c>
    </row>
    <row r="130" spans="1:9" x14ac:dyDescent="0.4">
      <c r="A130">
        <v>1640</v>
      </c>
      <c r="B130">
        <v>3</v>
      </c>
      <c r="C130">
        <v>6644100</v>
      </c>
      <c r="D130">
        <v>707000002</v>
      </c>
      <c r="E130">
        <v>707000702</v>
      </c>
      <c r="F130">
        <v>19111</v>
      </c>
      <c r="G130">
        <v>-1</v>
      </c>
      <c r="H130">
        <v>-1</v>
      </c>
      <c r="I130">
        <v>-1</v>
      </c>
    </row>
    <row r="131" spans="1:9" x14ac:dyDescent="0.4">
      <c r="A131">
        <v>1650</v>
      </c>
      <c r="B131">
        <v>0</v>
      </c>
      <c r="C131">
        <v>6640000</v>
      </c>
      <c r="D131">
        <v>707000002</v>
      </c>
      <c r="E131">
        <v>707000102</v>
      </c>
      <c r="F131">
        <v>19132</v>
      </c>
      <c r="G131">
        <v>-1</v>
      </c>
      <c r="H131">
        <v>-1</v>
      </c>
      <c r="I131">
        <v>-1</v>
      </c>
    </row>
    <row r="132" spans="1:9" x14ac:dyDescent="0.4">
      <c r="A132">
        <v>1660</v>
      </c>
      <c r="B132">
        <v>0</v>
      </c>
      <c r="C132">
        <v>6641000</v>
      </c>
      <c r="D132">
        <v>707000302</v>
      </c>
      <c r="E132">
        <v>707000402</v>
      </c>
      <c r="F132">
        <v>19120</v>
      </c>
      <c r="G132">
        <v>-1</v>
      </c>
      <c r="H132">
        <v>-1</v>
      </c>
      <c r="I132">
        <v>-1</v>
      </c>
    </row>
    <row r="133" spans="1:9" x14ac:dyDescent="0.4">
      <c r="A133">
        <v>1670</v>
      </c>
      <c r="B133">
        <v>2</v>
      </c>
      <c r="C133">
        <v>6642100</v>
      </c>
      <c r="D133">
        <v>707000002</v>
      </c>
      <c r="E133">
        <v>707000302</v>
      </c>
      <c r="F133">
        <v>19134</v>
      </c>
      <c r="G133">
        <v>-1</v>
      </c>
      <c r="H133">
        <v>-1</v>
      </c>
      <c r="I133">
        <v>-1</v>
      </c>
    </row>
    <row r="134" spans="1:9" x14ac:dyDescent="0.4">
      <c r="A134">
        <v>1680</v>
      </c>
      <c r="B134">
        <v>1</v>
      </c>
      <c r="C134">
        <v>6640100</v>
      </c>
      <c r="D134">
        <v>707000502</v>
      </c>
      <c r="E134">
        <v>707000602</v>
      </c>
      <c r="F134">
        <v>19133</v>
      </c>
      <c r="G134">
        <v>-1</v>
      </c>
      <c r="H134">
        <v>-1</v>
      </c>
      <c r="I134">
        <v>-1</v>
      </c>
    </row>
    <row r="135" spans="1:9" x14ac:dyDescent="0.4">
      <c r="A135">
        <v>1690</v>
      </c>
      <c r="B135">
        <v>3</v>
      </c>
      <c r="C135">
        <v>6646100</v>
      </c>
      <c r="D135">
        <v>707000502</v>
      </c>
      <c r="E135">
        <v>707000602</v>
      </c>
      <c r="F135">
        <v>19135</v>
      </c>
      <c r="G135">
        <v>-1</v>
      </c>
      <c r="H135">
        <v>-1</v>
      </c>
      <c r="I135">
        <v>-1</v>
      </c>
    </row>
    <row r="136" spans="1:9" x14ac:dyDescent="0.4">
      <c r="A136">
        <v>1700</v>
      </c>
      <c r="B136">
        <v>1</v>
      </c>
      <c r="C136">
        <v>6643100</v>
      </c>
      <c r="D136">
        <v>707000102</v>
      </c>
      <c r="E136">
        <v>707000602</v>
      </c>
      <c r="F136">
        <v>19109</v>
      </c>
      <c r="G136">
        <v>-1</v>
      </c>
      <c r="H136">
        <v>-1</v>
      </c>
      <c r="I136">
        <v>-1</v>
      </c>
    </row>
    <row r="137" spans="1:9" x14ac:dyDescent="0.4">
      <c r="A137">
        <v>1710</v>
      </c>
      <c r="B137">
        <v>0</v>
      </c>
      <c r="C137">
        <v>6643000</v>
      </c>
      <c r="D137">
        <v>707000002</v>
      </c>
      <c r="E137">
        <v>707000302</v>
      </c>
      <c r="F137">
        <v>19132</v>
      </c>
      <c r="G137">
        <v>-1</v>
      </c>
      <c r="H137">
        <v>-1</v>
      </c>
      <c r="I137">
        <v>-1</v>
      </c>
    </row>
    <row r="138" spans="1:9" x14ac:dyDescent="0.4">
      <c r="A138">
        <v>1720</v>
      </c>
      <c r="B138">
        <v>0</v>
      </c>
      <c r="C138">
        <v>707121000</v>
      </c>
      <c r="D138">
        <v>707050100</v>
      </c>
      <c r="E138">
        <v>707030200</v>
      </c>
      <c r="F138">
        <v>19120</v>
      </c>
      <c r="G138">
        <v>-1</v>
      </c>
      <c r="H138">
        <v>-1</v>
      </c>
      <c r="I138">
        <v>-1</v>
      </c>
    </row>
    <row r="139" spans="1:9" x14ac:dyDescent="0.4">
      <c r="A139">
        <v>1730</v>
      </c>
      <c r="B139">
        <v>1</v>
      </c>
      <c r="C139">
        <v>6060300</v>
      </c>
      <c r="D139">
        <v>707060100</v>
      </c>
      <c r="E139">
        <v>6060500</v>
      </c>
      <c r="F139">
        <v>19133</v>
      </c>
      <c r="G139">
        <v>-1</v>
      </c>
      <c r="H139">
        <v>-1</v>
      </c>
      <c r="I139">
        <v>-1</v>
      </c>
    </row>
    <row r="140" spans="1:9" x14ac:dyDescent="0.4">
      <c r="A140">
        <v>1740</v>
      </c>
      <c r="B140">
        <v>2</v>
      </c>
      <c r="C140">
        <v>707000902</v>
      </c>
      <c r="D140">
        <v>707030800</v>
      </c>
      <c r="E140">
        <v>707090000</v>
      </c>
      <c r="F140">
        <v>19110</v>
      </c>
      <c r="G140">
        <v>-1</v>
      </c>
      <c r="H140">
        <v>-1</v>
      </c>
      <c r="I140">
        <v>-1</v>
      </c>
    </row>
    <row r="141" spans="1:9" x14ac:dyDescent="0.4">
      <c r="A141">
        <v>1750</v>
      </c>
      <c r="B141">
        <v>3</v>
      </c>
      <c r="C141">
        <v>707240000</v>
      </c>
      <c r="D141">
        <v>707032200</v>
      </c>
      <c r="E141">
        <v>707001409</v>
      </c>
      <c r="F141">
        <v>19135</v>
      </c>
      <c r="G141">
        <v>-1</v>
      </c>
      <c r="H141">
        <v>-1</v>
      </c>
      <c r="I141">
        <v>-1</v>
      </c>
    </row>
    <row r="142" spans="1:9" x14ac:dyDescent="0.4">
      <c r="A142">
        <v>1800</v>
      </c>
      <c r="B142">
        <v>2</v>
      </c>
      <c r="C142">
        <v>6645100</v>
      </c>
      <c r="D142">
        <v>707000302</v>
      </c>
      <c r="E142">
        <v>707000602</v>
      </c>
      <c r="F142">
        <v>19110</v>
      </c>
      <c r="G142">
        <v>-1</v>
      </c>
      <c r="H142">
        <v>-1</v>
      </c>
      <c r="I142">
        <v>-1</v>
      </c>
    </row>
    <row r="143" spans="1:9" x14ac:dyDescent="0.4">
      <c r="A143">
        <v>1820</v>
      </c>
      <c r="B143">
        <v>1</v>
      </c>
      <c r="C143">
        <v>6645000</v>
      </c>
      <c r="D143">
        <v>707000002</v>
      </c>
      <c r="E143">
        <v>707000202</v>
      </c>
      <c r="F143">
        <v>19121</v>
      </c>
      <c r="G143">
        <v>-1</v>
      </c>
      <c r="H143">
        <v>-1</v>
      </c>
      <c r="I143">
        <v>-1</v>
      </c>
    </row>
    <row r="144" spans="1:9" x14ac:dyDescent="0.4">
      <c r="A144">
        <v>1830</v>
      </c>
      <c r="B144">
        <v>1</v>
      </c>
      <c r="C144">
        <v>6646000</v>
      </c>
      <c r="D144">
        <v>707000002</v>
      </c>
      <c r="E144">
        <v>707000202</v>
      </c>
      <c r="F144">
        <v>19133</v>
      </c>
      <c r="G144">
        <v>-1</v>
      </c>
      <c r="H144">
        <v>-1</v>
      </c>
      <c r="I144">
        <v>-1</v>
      </c>
    </row>
    <row r="145" spans="1:9" x14ac:dyDescent="0.4">
      <c r="A145">
        <v>1850</v>
      </c>
      <c r="B145">
        <v>0</v>
      </c>
      <c r="C145">
        <v>6644000</v>
      </c>
      <c r="D145">
        <v>707000102</v>
      </c>
      <c r="E145">
        <v>707000502</v>
      </c>
      <c r="F145">
        <v>19120</v>
      </c>
      <c r="G145">
        <v>-1</v>
      </c>
      <c r="H145">
        <v>-1</v>
      </c>
      <c r="I145">
        <v>-1</v>
      </c>
    </row>
    <row r="146" spans="1:9" x14ac:dyDescent="0.4">
      <c r="A146">
        <v>1860</v>
      </c>
      <c r="B146">
        <v>0</v>
      </c>
      <c r="C146">
        <v>6647000</v>
      </c>
      <c r="D146">
        <v>707000002</v>
      </c>
      <c r="E146">
        <v>707000202</v>
      </c>
      <c r="F146">
        <v>19132</v>
      </c>
      <c r="G146">
        <v>-1</v>
      </c>
      <c r="H146">
        <v>-1</v>
      </c>
      <c r="I146">
        <v>-1</v>
      </c>
    </row>
    <row r="147" spans="1:9" x14ac:dyDescent="0.4">
      <c r="A147">
        <v>1870</v>
      </c>
      <c r="B147">
        <v>1</v>
      </c>
      <c r="C147">
        <v>6647400</v>
      </c>
      <c r="D147">
        <v>707000002</v>
      </c>
      <c r="E147">
        <v>707000402</v>
      </c>
      <c r="F147">
        <v>19109</v>
      </c>
      <c r="G147">
        <v>-1</v>
      </c>
      <c r="H147">
        <v>-1</v>
      </c>
      <c r="I147">
        <v>-1</v>
      </c>
    </row>
    <row r="148" spans="1:9" x14ac:dyDescent="0.4">
      <c r="A148">
        <v>1880</v>
      </c>
      <c r="B148">
        <v>3</v>
      </c>
      <c r="C148">
        <v>6647500</v>
      </c>
      <c r="D148">
        <v>707000102</v>
      </c>
      <c r="E148">
        <v>707000602</v>
      </c>
      <c r="F148">
        <v>19111</v>
      </c>
      <c r="G148">
        <v>-1</v>
      </c>
      <c r="H148">
        <v>-1</v>
      </c>
      <c r="I148">
        <v>-1</v>
      </c>
    </row>
    <row r="149" spans="1:9" x14ac:dyDescent="0.4">
      <c r="A149">
        <v>1890</v>
      </c>
      <c r="B149">
        <v>2</v>
      </c>
      <c r="C149">
        <v>6647100</v>
      </c>
      <c r="D149">
        <v>707000402</v>
      </c>
      <c r="E149">
        <v>707000702</v>
      </c>
      <c r="F149">
        <v>19110</v>
      </c>
      <c r="G149">
        <v>-1</v>
      </c>
      <c r="H149">
        <v>-1</v>
      </c>
      <c r="I149">
        <v>-1</v>
      </c>
    </row>
    <row r="150" spans="1:9" x14ac:dyDescent="0.4">
      <c r="A150">
        <v>1900</v>
      </c>
      <c r="B150">
        <v>0</v>
      </c>
      <c r="C150">
        <v>6647200</v>
      </c>
      <c r="D150">
        <v>707000002</v>
      </c>
      <c r="E150">
        <v>707000102</v>
      </c>
      <c r="F150">
        <v>19108</v>
      </c>
      <c r="G150">
        <v>-1</v>
      </c>
      <c r="H150">
        <v>-1</v>
      </c>
      <c r="I150">
        <v>-1</v>
      </c>
    </row>
    <row r="151" spans="1:9" x14ac:dyDescent="0.4">
      <c r="A151">
        <v>1920</v>
      </c>
      <c r="B151">
        <v>2</v>
      </c>
      <c r="C151">
        <v>6647300</v>
      </c>
      <c r="D151">
        <v>707000202</v>
      </c>
      <c r="E151">
        <v>707000402</v>
      </c>
      <c r="F151">
        <v>19134</v>
      </c>
      <c r="G151">
        <v>-1</v>
      </c>
      <c r="H151">
        <v>-1</v>
      </c>
      <c r="I151">
        <v>-1</v>
      </c>
    </row>
    <row r="152" spans="1:9" x14ac:dyDescent="0.4">
      <c r="A152">
        <v>2000</v>
      </c>
      <c r="B152">
        <v>3</v>
      </c>
      <c r="C152">
        <v>707100110</v>
      </c>
      <c r="D152">
        <v>707120100</v>
      </c>
      <c r="E152">
        <v>-1</v>
      </c>
      <c r="F152">
        <v>19140</v>
      </c>
      <c r="G152">
        <v>-1</v>
      </c>
      <c r="H152">
        <v>-1</v>
      </c>
      <c r="I152">
        <v>-1</v>
      </c>
    </row>
    <row r="153" spans="1:9" x14ac:dyDescent="0.4">
      <c r="A153">
        <v>2001</v>
      </c>
      <c r="B153">
        <v>2</v>
      </c>
      <c r="C153">
        <v>707100110</v>
      </c>
      <c r="D153">
        <v>100000</v>
      </c>
      <c r="E153">
        <v>707001602</v>
      </c>
      <c r="F153">
        <v>19140</v>
      </c>
      <c r="G153">
        <v>-1</v>
      </c>
      <c r="H153">
        <v>-1</v>
      </c>
      <c r="I153">
        <v>-1</v>
      </c>
    </row>
    <row r="154" spans="1:9" x14ac:dyDescent="0.4">
      <c r="A154">
        <v>2010</v>
      </c>
      <c r="B154">
        <v>1</v>
      </c>
      <c r="C154">
        <v>707040201</v>
      </c>
      <c r="D154">
        <v>707030800</v>
      </c>
      <c r="E154">
        <v>707035100</v>
      </c>
      <c r="F154">
        <v>19141</v>
      </c>
      <c r="G154">
        <v>-1</v>
      </c>
      <c r="H154">
        <v>-1</v>
      </c>
      <c r="I154">
        <v>-1</v>
      </c>
    </row>
    <row r="155" spans="1:9" x14ac:dyDescent="0.4">
      <c r="A155">
        <v>2011</v>
      </c>
      <c r="B155">
        <v>0</v>
      </c>
      <c r="C155">
        <v>707040201</v>
      </c>
      <c r="D155">
        <v>707040200</v>
      </c>
      <c r="E155">
        <v>707031900</v>
      </c>
      <c r="F155">
        <v>19141</v>
      </c>
      <c r="G155">
        <v>-1</v>
      </c>
      <c r="H155">
        <v>-1</v>
      </c>
      <c r="I155">
        <v>-1</v>
      </c>
    </row>
    <row r="156" spans="1:9" x14ac:dyDescent="0.4">
      <c r="A156">
        <v>2020</v>
      </c>
      <c r="B156">
        <v>2</v>
      </c>
      <c r="C156">
        <v>707000190</v>
      </c>
      <c r="D156">
        <v>707120500</v>
      </c>
      <c r="E156">
        <v>707260800</v>
      </c>
      <c r="F156">
        <v>19142</v>
      </c>
      <c r="G156">
        <v>-1</v>
      </c>
      <c r="H156">
        <v>-1</v>
      </c>
      <c r="I156">
        <v>-1</v>
      </c>
    </row>
    <row r="157" spans="1:9" x14ac:dyDescent="0.4">
      <c r="A157">
        <v>2021</v>
      </c>
      <c r="B157">
        <v>3</v>
      </c>
      <c r="C157">
        <v>707000190</v>
      </c>
      <c r="D157">
        <v>707060100</v>
      </c>
      <c r="E157">
        <v>707036000</v>
      </c>
      <c r="F157">
        <v>19142</v>
      </c>
      <c r="G157">
        <v>-1</v>
      </c>
      <c r="H157">
        <v>-1</v>
      </c>
      <c r="I157">
        <v>-1</v>
      </c>
    </row>
    <row r="158" spans="1:9" x14ac:dyDescent="0.4">
      <c r="A158">
        <v>2030</v>
      </c>
      <c r="B158">
        <v>0</v>
      </c>
      <c r="C158">
        <v>707000090</v>
      </c>
      <c r="D158">
        <v>707010200</v>
      </c>
      <c r="E158">
        <v>707050100</v>
      </c>
      <c r="F158">
        <v>19143</v>
      </c>
      <c r="G158">
        <v>-1</v>
      </c>
      <c r="H158">
        <v>-1</v>
      </c>
      <c r="I158">
        <v>-1</v>
      </c>
    </row>
    <row r="159" spans="1:9" x14ac:dyDescent="0.4">
      <c r="A159">
        <v>2031</v>
      </c>
      <c r="B159">
        <v>1</v>
      </c>
      <c r="C159">
        <v>707000090</v>
      </c>
      <c r="D159">
        <v>707012200</v>
      </c>
      <c r="E159">
        <v>707001100</v>
      </c>
      <c r="F159">
        <v>19143</v>
      </c>
      <c r="G159">
        <v>-1</v>
      </c>
      <c r="H159">
        <v>-1</v>
      </c>
      <c r="I159">
        <v>-1</v>
      </c>
    </row>
    <row r="160" spans="1:9" x14ac:dyDescent="0.4">
      <c r="A160">
        <v>2040</v>
      </c>
      <c r="B160">
        <v>0</v>
      </c>
      <c r="C160">
        <v>707230001</v>
      </c>
      <c r="D160">
        <v>707035400</v>
      </c>
      <c r="E160">
        <v>707035500</v>
      </c>
      <c r="F160">
        <v>19144</v>
      </c>
      <c r="G160">
        <v>-1</v>
      </c>
      <c r="H160">
        <v>-1</v>
      </c>
      <c r="I160">
        <v>-1</v>
      </c>
    </row>
    <row r="161" spans="1:9" x14ac:dyDescent="0.4">
      <c r="A161">
        <v>2041</v>
      </c>
      <c r="B161">
        <v>1</v>
      </c>
      <c r="C161">
        <v>707032200</v>
      </c>
      <c r="D161">
        <v>707035410</v>
      </c>
      <c r="E161">
        <v>707035510</v>
      </c>
      <c r="F161">
        <v>19144</v>
      </c>
      <c r="G161">
        <v>-1</v>
      </c>
      <c r="H161">
        <v>-1</v>
      </c>
      <c r="I161">
        <v>-1</v>
      </c>
    </row>
    <row r="162" spans="1:9" x14ac:dyDescent="0.4">
      <c r="A162">
        <v>2050</v>
      </c>
      <c r="B162">
        <v>3</v>
      </c>
      <c r="C162">
        <v>707000290</v>
      </c>
      <c r="D162">
        <v>707150000</v>
      </c>
      <c r="E162">
        <v>707160000</v>
      </c>
      <c r="F162">
        <v>19145</v>
      </c>
      <c r="G162">
        <v>-1</v>
      </c>
      <c r="H162">
        <v>-1</v>
      </c>
      <c r="I162">
        <v>-1</v>
      </c>
    </row>
    <row r="163" spans="1:9" x14ac:dyDescent="0.4">
      <c r="A163">
        <v>2051</v>
      </c>
      <c r="B163">
        <v>2</v>
      </c>
      <c r="C163">
        <v>707000290</v>
      </c>
      <c r="D163">
        <v>707035800</v>
      </c>
      <c r="E163">
        <v>707090000</v>
      </c>
      <c r="F163">
        <v>19145</v>
      </c>
      <c r="G163">
        <v>-1</v>
      </c>
      <c r="H163">
        <v>-1</v>
      </c>
      <c r="I163">
        <v>-1</v>
      </c>
    </row>
    <row r="164" spans="1:9" x14ac:dyDescent="0.4">
      <c r="A164">
        <v>2060</v>
      </c>
      <c r="B164">
        <v>2</v>
      </c>
      <c r="C164">
        <v>707260700</v>
      </c>
      <c r="D164">
        <v>707123900</v>
      </c>
      <c r="E164">
        <v>707260400</v>
      </c>
      <c r="F164">
        <v>19146</v>
      </c>
      <c r="G164">
        <v>-1</v>
      </c>
      <c r="H164">
        <v>-1</v>
      </c>
      <c r="I164">
        <v>-1</v>
      </c>
    </row>
    <row r="165" spans="1:9" x14ac:dyDescent="0.4">
      <c r="A165">
        <v>2061</v>
      </c>
      <c r="B165">
        <v>3</v>
      </c>
      <c r="C165">
        <v>707260700</v>
      </c>
      <c r="D165">
        <v>707120400</v>
      </c>
      <c r="E165">
        <v>707006200</v>
      </c>
      <c r="F165">
        <v>19146</v>
      </c>
      <c r="G165">
        <v>-1</v>
      </c>
      <c r="H165">
        <v>-1</v>
      </c>
      <c r="I165">
        <v>-1</v>
      </c>
    </row>
    <row r="166" spans="1:9" x14ac:dyDescent="0.4">
      <c r="A166">
        <v>2070</v>
      </c>
      <c r="B166">
        <v>1</v>
      </c>
      <c r="C166">
        <v>707006600</v>
      </c>
      <c r="D166">
        <v>707006700</v>
      </c>
      <c r="E166">
        <v>707006500</v>
      </c>
      <c r="F166">
        <v>19148</v>
      </c>
      <c r="G166">
        <v>-1</v>
      </c>
      <c r="H166">
        <v>-1</v>
      </c>
      <c r="I166">
        <v>-1</v>
      </c>
    </row>
    <row r="167" spans="1:9" x14ac:dyDescent="0.4">
      <c r="A167">
        <v>2071</v>
      </c>
      <c r="B167">
        <v>0</v>
      </c>
      <c r="C167">
        <v>707006600</v>
      </c>
      <c r="D167">
        <v>707006700</v>
      </c>
      <c r="E167">
        <v>707037800</v>
      </c>
      <c r="F167">
        <v>19148</v>
      </c>
      <c r="G167">
        <v>-1</v>
      </c>
      <c r="H167">
        <v>-1</v>
      </c>
      <c r="I167">
        <v>-1</v>
      </c>
    </row>
    <row r="168" spans="1:9" x14ac:dyDescent="0.4">
      <c r="A168">
        <v>2080</v>
      </c>
      <c r="B168">
        <v>0</v>
      </c>
      <c r="C168">
        <v>707170100</v>
      </c>
      <c r="D168">
        <v>707260900</v>
      </c>
      <c r="E168">
        <v>707037700</v>
      </c>
      <c r="F168">
        <v>19149</v>
      </c>
      <c r="G168">
        <v>-1</v>
      </c>
      <c r="H168">
        <v>-1</v>
      </c>
      <c r="I168">
        <v>-1</v>
      </c>
    </row>
    <row r="169" spans="1:9" x14ac:dyDescent="0.4">
      <c r="A169">
        <v>2100</v>
      </c>
      <c r="B169">
        <v>1</v>
      </c>
      <c r="C169">
        <v>707035700</v>
      </c>
      <c r="D169">
        <v>707035800</v>
      </c>
      <c r="E169">
        <v>707035900</v>
      </c>
      <c r="F169">
        <v>19147</v>
      </c>
      <c r="G169">
        <v>-1</v>
      </c>
      <c r="H169">
        <v>-1</v>
      </c>
      <c r="I169">
        <v>-1</v>
      </c>
    </row>
    <row r="170" spans="1:9" x14ac:dyDescent="0.4">
      <c r="A170">
        <v>10000</v>
      </c>
      <c r="B170">
        <v>3</v>
      </c>
      <c r="C170">
        <v>10000</v>
      </c>
      <c r="D170">
        <v>707000402</v>
      </c>
      <c r="E170">
        <v>-1</v>
      </c>
      <c r="F170">
        <v>19150</v>
      </c>
      <c r="G170">
        <v>-1</v>
      </c>
      <c r="H170">
        <v>-1</v>
      </c>
      <c r="I170">
        <v>-1</v>
      </c>
    </row>
    <row r="171" spans="1:9" x14ac:dyDescent="0.4">
      <c r="A171">
        <v>10001</v>
      </c>
      <c r="B171">
        <v>1</v>
      </c>
      <c r="C171">
        <v>10001</v>
      </c>
      <c r="D171">
        <v>707000602</v>
      </c>
      <c r="E171">
        <v>-1</v>
      </c>
      <c r="F171">
        <v>19151</v>
      </c>
      <c r="G171">
        <v>-1</v>
      </c>
      <c r="H171">
        <v>-1</v>
      </c>
      <c r="I171">
        <v>-1</v>
      </c>
    </row>
    <row r="172" spans="1:9" x14ac:dyDescent="0.4">
      <c r="A172">
        <v>10002</v>
      </c>
      <c r="B172">
        <v>1</v>
      </c>
      <c r="C172">
        <v>10002</v>
      </c>
      <c r="D172">
        <v>707040400</v>
      </c>
      <c r="E172">
        <v>707000000</v>
      </c>
      <c r="F172">
        <v>19177</v>
      </c>
      <c r="G172">
        <v>-1</v>
      </c>
      <c r="H172">
        <v>-1</v>
      </c>
      <c r="I172">
        <v>-1</v>
      </c>
    </row>
    <row r="173" spans="1:9" x14ac:dyDescent="0.4">
      <c r="A173">
        <v>11000</v>
      </c>
      <c r="B173">
        <v>0</v>
      </c>
      <c r="C173">
        <v>707020000</v>
      </c>
      <c r="D173">
        <v>707001400</v>
      </c>
      <c r="E173">
        <v>-1</v>
      </c>
      <c r="F173">
        <v>19153</v>
      </c>
      <c r="G173">
        <v>-1</v>
      </c>
      <c r="H173">
        <v>-1</v>
      </c>
      <c r="I173">
        <v>-1</v>
      </c>
    </row>
    <row r="174" spans="1:9" x14ac:dyDescent="0.4">
      <c r="A174">
        <v>11001</v>
      </c>
      <c r="B174">
        <v>0</v>
      </c>
      <c r="C174">
        <v>707010500</v>
      </c>
      <c r="D174">
        <v>11000</v>
      </c>
      <c r="E174">
        <v>707100100</v>
      </c>
      <c r="F174">
        <v>19152</v>
      </c>
      <c r="G174">
        <v>-1</v>
      </c>
      <c r="H174">
        <v>-1</v>
      </c>
      <c r="I174">
        <v>-1</v>
      </c>
    </row>
    <row r="175" spans="1:9" x14ac:dyDescent="0.4">
      <c r="A175">
        <v>11002</v>
      </c>
      <c r="B175">
        <v>0</v>
      </c>
      <c r="C175">
        <v>11002</v>
      </c>
      <c r="D175">
        <v>707000902</v>
      </c>
      <c r="E175">
        <v>707000702</v>
      </c>
      <c r="F175">
        <v>19154</v>
      </c>
      <c r="G175">
        <v>-1</v>
      </c>
      <c r="H175">
        <v>-1</v>
      </c>
      <c r="I175">
        <v>-1</v>
      </c>
    </row>
    <row r="176" spans="1:9" x14ac:dyDescent="0.4">
      <c r="A176">
        <v>11003</v>
      </c>
      <c r="B176">
        <v>0</v>
      </c>
      <c r="C176">
        <v>707000000</v>
      </c>
      <c r="D176">
        <v>-1</v>
      </c>
      <c r="E176">
        <v>-1</v>
      </c>
      <c r="F176">
        <v>19100</v>
      </c>
      <c r="G176">
        <v>-1</v>
      </c>
      <c r="H176">
        <v>-1</v>
      </c>
      <c r="I176">
        <v>-1</v>
      </c>
    </row>
    <row r="177" spans="1:9" x14ac:dyDescent="0.4">
      <c r="A177">
        <v>11004</v>
      </c>
      <c r="B177">
        <v>0</v>
      </c>
      <c r="C177">
        <v>707000400</v>
      </c>
      <c r="D177">
        <v>-1</v>
      </c>
      <c r="E177">
        <v>-1</v>
      </c>
      <c r="F177">
        <v>19100</v>
      </c>
      <c r="G177">
        <v>-1</v>
      </c>
      <c r="H177">
        <v>-1</v>
      </c>
      <c r="I177">
        <v>-1</v>
      </c>
    </row>
    <row r="178" spans="1:9" x14ac:dyDescent="0.4">
      <c r="A178">
        <v>12000</v>
      </c>
      <c r="B178">
        <v>0</v>
      </c>
      <c r="C178">
        <v>707011600</v>
      </c>
      <c r="D178">
        <v>707341800</v>
      </c>
      <c r="E178">
        <v>-1</v>
      </c>
      <c r="F178">
        <v>21864</v>
      </c>
      <c r="G178">
        <v>-1</v>
      </c>
      <c r="H178">
        <v>-1</v>
      </c>
      <c r="I178">
        <v>-1</v>
      </c>
    </row>
    <row r="179" spans="1:9" x14ac:dyDescent="0.4">
      <c r="A179">
        <v>12001</v>
      </c>
      <c r="B179">
        <v>0</v>
      </c>
      <c r="C179">
        <v>707011000</v>
      </c>
      <c r="D179">
        <v>707000802</v>
      </c>
      <c r="E179">
        <v>-1</v>
      </c>
      <c r="F179">
        <v>19171</v>
      </c>
      <c r="G179">
        <v>-1</v>
      </c>
      <c r="H179">
        <v>-1</v>
      </c>
      <c r="I179">
        <v>-1</v>
      </c>
    </row>
    <row r="180" spans="1:9" x14ac:dyDescent="0.4">
      <c r="A180">
        <v>12002</v>
      </c>
      <c r="B180">
        <v>1</v>
      </c>
      <c r="C180">
        <v>12002</v>
      </c>
      <c r="D180">
        <v>707033400</v>
      </c>
      <c r="E180">
        <v>707000002</v>
      </c>
      <c r="F180">
        <v>19172</v>
      </c>
      <c r="G180">
        <v>-1</v>
      </c>
      <c r="H180">
        <v>-1</v>
      </c>
      <c r="I180">
        <v>-1</v>
      </c>
    </row>
    <row r="181" spans="1:9" x14ac:dyDescent="0.4">
      <c r="A181">
        <v>12003</v>
      </c>
      <c r="B181">
        <v>1</v>
      </c>
      <c r="C181">
        <v>12002</v>
      </c>
      <c r="D181">
        <v>707033400</v>
      </c>
      <c r="E181">
        <v>707000002</v>
      </c>
      <c r="F181">
        <v>19173</v>
      </c>
      <c r="G181">
        <v>-1</v>
      </c>
      <c r="H181">
        <v>-1</v>
      </c>
      <c r="I181">
        <v>-1</v>
      </c>
    </row>
    <row r="182" spans="1:9" x14ac:dyDescent="0.4">
      <c r="A182">
        <v>12004</v>
      </c>
      <c r="B182">
        <v>2</v>
      </c>
      <c r="C182">
        <v>707000200</v>
      </c>
      <c r="D182">
        <v>-1</v>
      </c>
      <c r="E182">
        <v>-1</v>
      </c>
      <c r="F182">
        <v>19102</v>
      </c>
      <c r="G182">
        <v>-1</v>
      </c>
      <c r="H182">
        <v>-1</v>
      </c>
      <c r="I182">
        <v>-1</v>
      </c>
    </row>
    <row r="183" spans="1:9" x14ac:dyDescent="0.4">
      <c r="A183">
        <v>12005</v>
      </c>
      <c r="B183">
        <v>1</v>
      </c>
      <c r="C183">
        <v>707000300</v>
      </c>
      <c r="D183">
        <v>-1</v>
      </c>
      <c r="E183">
        <v>-1</v>
      </c>
      <c r="F183">
        <v>19101</v>
      </c>
      <c r="G183">
        <v>-1</v>
      </c>
      <c r="H183">
        <v>-1</v>
      </c>
      <c r="I183">
        <v>-1</v>
      </c>
    </row>
    <row r="184" spans="1:9" x14ac:dyDescent="0.4">
      <c r="A184">
        <v>12006</v>
      </c>
      <c r="B184">
        <v>1</v>
      </c>
      <c r="C184">
        <v>707000500</v>
      </c>
      <c r="D184">
        <v>-1</v>
      </c>
      <c r="E184">
        <v>-1</v>
      </c>
      <c r="F184">
        <v>19101</v>
      </c>
      <c r="G184">
        <v>-1</v>
      </c>
      <c r="H184">
        <v>-1</v>
      </c>
      <c r="I184">
        <v>-1</v>
      </c>
    </row>
    <row r="185" spans="1:9" x14ac:dyDescent="0.4">
      <c r="A185">
        <v>12007</v>
      </c>
      <c r="B185">
        <v>3</v>
      </c>
      <c r="C185">
        <v>707000700</v>
      </c>
      <c r="D185">
        <v>-1</v>
      </c>
      <c r="E185">
        <v>-1</v>
      </c>
      <c r="F185">
        <v>19103</v>
      </c>
      <c r="G185">
        <v>-1</v>
      </c>
      <c r="H185">
        <v>-1</v>
      </c>
      <c r="I185">
        <v>-1</v>
      </c>
    </row>
    <row r="186" spans="1:9" x14ac:dyDescent="0.4">
      <c r="A186">
        <v>13001</v>
      </c>
      <c r="B186">
        <v>2</v>
      </c>
      <c r="C186">
        <v>707280000</v>
      </c>
      <c r="D186">
        <v>707031900</v>
      </c>
      <c r="E186">
        <v>-1</v>
      </c>
      <c r="F186">
        <v>19168</v>
      </c>
      <c r="G186">
        <v>-1</v>
      </c>
      <c r="H186">
        <v>-1</v>
      </c>
      <c r="I186">
        <v>-1</v>
      </c>
    </row>
    <row r="187" spans="1:9" x14ac:dyDescent="0.4">
      <c r="A187">
        <v>13002</v>
      </c>
      <c r="B187">
        <v>2</v>
      </c>
      <c r="C187">
        <v>707034700</v>
      </c>
      <c r="D187">
        <v>707120300</v>
      </c>
      <c r="E187">
        <v>707332400</v>
      </c>
      <c r="F187">
        <v>19169</v>
      </c>
      <c r="G187">
        <v>-1</v>
      </c>
      <c r="H187">
        <v>-1</v>
      </c>
      <c r="I187">
        <v>-1</v>
      </c>
    </row>
    <row r="188" spans="1:9" x14ac:dyDescent="0.4">
      <c r="A188">
        <v>14000</v>
      </c>
      <c r="B188">
        <v>2</v>
      </c>
      <c r="C188">
        <v>707290000</v>
      </c>
      <c r="D188">
        <v>707035800</v>
      </c>
      <c r="E188">
        <v>-1</v>
      </c>
      <c r="F188">
        <v>19155</v>
      </c>
      <c r="G188">
        <v>-1</v>
      </c>
      <c r="H188">
        <v>-1</v>
      </c>
      <c r="I188">
        <v>-1</v>
      </c>
    </row>
    <row r="189" spans="1:9" x14ac:dyDescent="0.4">
      <c r="A189">
        <v>14001</v>
      </c>
      <c r="B189">
        <v>3</v>
      </c>
      <c r="C189">
        <v>707010700</v>
      </c>
      <c r="D189">
        <v>707330000</v>
      </c>
      <c r="E189">
        <v>-1</v>
      </c>
      <c r="F189">
        <v>19156</v>
      </c>
      <c r="G189">
        <v>-1</v>
      </c>
      <c r="H189">
        <v>-1</v>
      </c>
      <c r="I189">
        <v>-1</v>
      </c>
    </row>
    <row r="190" spans="1:9" x14ac:dyDescent="0.4">
      <c r="A190">
        <v>14002</v>
      </c>
      <c r="B190">
        <v>3</v>
      </c>
      <c r="C190">
        <v>707032700</v>
      </c>
      <c r="D190">
        <v>707001100</v>
      </c>
      <c r="E190">
        <v>707000002</v>
      </c>
      <c r="F190">
        <v>19157</v>
      </c>
      <c r="G190">
        <v>-1</v>
      </c>
      <c r="H190">
        <v>-1</v>
      </c>
      <c r="I190">
        <v>-1</v>
      </c>
    </row>
    <row r="191" spans="1:9" x14ac:dyDescent="0.4">
      <c r="A191">
        <v>15000</v>
      </c>
      <c r="B191">
        <v>1</v>
      </c>
      <c r="C191">
        <v>707031300</v>
      </c>
      <c r="D191">
        <v>707000302</v>
      </c>
      <c r="E191">
        <v>-1</v>
      </c>
      <c r="F191">
        <v>19158</v>
      </c>
      <c r="G191">
        <v>-1</v>
      </c>
      <c r="H191">
        <v>-1</v>
      </c>
      <c r="I191">
        <v>-1</v>
      </c>
    </row>
    <row r="192" spans="1:9" x14ac:dyDescent="0.4">
      <c r="A192">
        <v>15002</v>
      </c>
      <c r="B192">
        <v>2</v>
      </c>
      <c r="C192">
        <v>707090300</v>
      </c>
      <c r="D192">
        <v>707090000</v>
      </c>
      <c r="E192">
        <v>707001002</v>
      </c>
      <c r="F192">
        <v>19160</v>
      </c>
      <c r="G192">
        <v>-1</v>
      </c>
      <c r="H192">
        <v>-1</v>
      </c>
      <c r="I192">
        <v>-1</v>
      </c>
    </row>
    <row r="193" spans="1:9" x14ac:dyDescent="0.4">
      <c r="A193">
        <v>16001</v>
      </c>
      <c r="B193">
        <v>1</v>
      </c>
      <c r="C193">
        <v>707220000</v>
      </c>
      <c r="D193">
        <v>707110000</v>
      </c>
      <c r="E193">
        <v>-1</v>
      </c>
      <c r="F193">
        <v>19175</v>
      </c>
      <c r="G193">
        <v>-1</v>
      </c>
      <c r="H193">
        <v>-1</v>
      </c>
      <c r="I193">
        <v>-1</v>
      </c>
    </row>
    <row r="194" spans="1:9" x14ac:dyDescent="0.4">
      <c r="A194">
        <v>16002</v>
      </c>
      <c r="B194">
        <v>1</v>
      </c>
      <c r="C194">
        <v>707011200</v>
      </c>
      <c r="D194">
        <v>16002</v>
      </c>
      <c r="E194">
        <v>707090000</v>
      </c>
      <c r="F194">
        <v>19176</v>
      </c>
      <c r="G194">
        <v>-1</v>
      </c>
      <c r="H194">
        <v>-1</v>
      </c>
      <c r="I194">
        <v>-1</v>
      </c>
    </row>
    <row r="195" spans="1:9" x14ac:dyDescent="0.4">
      <c r="A195">
        <v>17001</v>
      </c>
      <c r="B195">
        <v>3</v>
      </c>
      <c r="C195">
        <v>707032800</v>
      </c>
      <c r="D195">
        <v>707001502</v>
      </c>
      <c r="E195">
        <v>-1</v>
      </c>
      <c r="F195">
        <v>19165</v>
      </c>
      <c r="G195">
        <v>-1</v>
      </c>
      <c r="H195">
        <v>-1</v>
      </c>
      <c r="I195">
        <v>-1</v>
      </c>
    </row>
    <row r="196" spans="1:9" x14ac:dyDescent="0.4">
      <c r="A196">
        <v>17002</v>
      </c>
      <c r="B196">
        <v>3</v>
      </c>
      <c r="C196">
        <v>707034100</v>
      </c>
      <c r="D196">
        <v>17002</v>
      </c>
      <c r="E196">
        <v>707000502</v>
      </c>
      <c r="F196">
        <v>19166</v>
      </c>
      <c r="G196">
        <v>-1</v>
      </c>
      <c r="H196">
        <v>-1</v>
      </c>
      <c r="I196">
        <v>-1</v>
      </c>
    </row>
    <row r="197" spans="1:9" x14ac:dyDescent="0.4">
      <c r="A197">
        <v>18000</v>
      </c>
      <c r="B197">
        <v>3</v>
      </c>
      <c r="C197">
        <v>707034500</v>
      </c>
      <c r="D197">
        <v>707000402</v>
      </c>
      <c r="E197">
        <v>-1</v>
      </c>
      <c r="F197">
        <v>19161</v>
      </c>
      <c r="G197">
        <v>-1</v>
      </c>
      <c r="H197">
        <v>-1</v>
      </c>
      <c r="I197">
        <v>-1</v>
      </c>
    </row>
    <row r="198" spans="1:9" x14ac:dyDescent="0.4">
      <c r="A198">
        <v>18002</v>
      </c>
      <c r="B198">
        <v>0</v>
      </c>
      <c r="C198">
        <v>707011700</v>
      </c>
      <c r="D198">
        <v>707012200</v>
      </c>
      <c r="E198">
        <v>707036100</v>
      </c>
      <c r="F198">
        <v>19163</v>
      </c>
      <c r="G198">
        <v>-1</v>
      </c>
      <c r="H198">
        <v>-1</v>
      </c>
      <c r="I198">
        <v>-1</v>
      </c>
    </row>
    <row r="199" spans="1:9" x14ac:dyDescent="0.4">
      <c r="A199">
        <v>19000</v>
      </c>
      <c r="B199">
        <v>0</v>
      </c>
      <c r="C199">
        <v>707036400</v>
      </c>
      <c r="D199">
        <v>707090000</v>
      </c>
      <c r="E199">
        <v>707006300</v>
      </c>
      <c r="F199">
        <v>19182</v>
      </c>
      <c r="G199">
        <v>-1</v>
      </c>
      <c r="H199">
        <v>-1</v>
      </c>
      <c r="I199">
        <v>-1</v>
      </c>
    </row>
    <row r="200" spans="1:9" x14ac:dyDescent="0.4">
      <c r="A200">
        <v>19001</v>
      </c>
      <c r="B200">
        <v>2</v>
      </c>
      <c r="C200">
        <v>707036200</v>
      </c>
      <c r="D200">
        <v>19001</v>
      </c>
      <c r="E200">
        <v>707000802</v>
      </c>
      <c r="F200">
        <v>19183</v>
      </c>
      <c r="G200">
        <v>-1</v>
      </c>
      <c r="H200">
        <v>-1</v>
      </c>
      <c r="I200">
        <v>-1</v>
      </c>
    </row>
    <row r="201" spans="1:9" x14ac:dyDescent="0.4">
      <c r="A201">
        <v>19050</v>
      </c>
      <c r="B201">
        <v>1</v>
      </c>
      <c r="C201">
        <v>707037000</v>
      </c>
      <c r="D201">
        <v>707001402</v>
      </c>
      <c r="E201">
        <v>707006400</v>
      </c>
      <c r="F201">
        <v>19180</v>
      </c>
      <c r="G201">
        <v>-1</v>
      </c>
      <c r="H201">
        <v>-1</v>
      </c>
      <c r="I201">
        <v>-1</v>
      </c>
    </row>
    <row r="202" spans="1:9" x14ac:dyDescent="0.4">
      <c r="A202">
        <v>19051</v>
      </c>
      <c r="B202">
        <v>3</v>
      </c>
      <c r="C202">
        <v>707036800</v>
      </c>
      <c r="D202">
        <v>707000902</v>
      </c>
      <c r="E202">
        <v>707037600</v>
      </c>
      <c r="F202">
        <v>19181</v>
      </c>
      <c r="G202">
        <v>-1</v>
      </c>
      <c r="H202">
        <v>-1</v>
      </c>
      <c r="I202">
        <v>-1</v>
      </c>
    </row>
    <row r="203" spans="1:9" x14ac:dyDescent="0.4">
      <c r="A203">
        <v>20000</v>
      </c>
      <c r="B203">
        <v>0</v>
      </c>
      <c r="C203">
        <v>1</v>
      </c>
      <c r="D203">
        <v>-1</v>
      </c>
      <c r="E203">
        <v>-1</v>
      </c>
      <c r="F203">
        <v>19100</v>
      </c>
      <c r="G203">
        <v>-1</v>
      </c>
      <c r="H203">
        <v>-1</v>
      </c>
      <c r="I203">
        <v>-1</v>
      </c>
    </row>
    <row r="204" spans="1:9" x14ac:dyDescent="0.4">
      <c r="A204">
        <v>20001</v>
      </c>
      <c r="B204">
        <v>0</v>
      </c>
      <c r="C204">
        <v>1</v>
      </c>
      <c r="D204">
        <v>1</v>
      </c>
      <c r="E204">
        <v>-1</v>
      </c>
      <c r="F204">
        <v>19104</v>
      </c>
      <c r="G204">
        <v>-1</v>
      </c>
      <c r="H204">
        <v>-1</v>
      </c>
      <c r="I204">
        <v>-1</v>
      </c>
    </row>
    <row r="205" spans="1:9" x14ac:dyDescent="0.4">
      <c r="A205">
        <v>20002</v>
      </c>
      <c r="B205">
        <v>0</v>
      </c>
      <c r="C205">
        <v>1</v>
      </c>
      <c r="D205">
        <v>1</v>
      </c>
      <c r="E205">
        <v>1</v>
      </c>
      <c r="F205">
        <v>19108</v>
      </c>
      <c r="G205">
        <v>-1</v>
      </c>
      <c r="H205">
        <v>-1</v>
      </c>
      <c r="I205">
        <v>-1</v>
      </c>
    </row>
    <row r="206" spans="1:9" x14ac:dyDescent="0.4">
      <c r="A206">
        <v>20003</v>
      </c>
      <c r="B206">
        <v>0</v>
      </c>
      <c r="C206">
        <v>1</v>
      </c>
      <c r="D206">
        <v>-1</v>
      </c>
      <c r="E206">
        <v>-1</v>
      </c>
      <c r="F206">
        <v>19112</v>
      </c>
      <c r="G206">
        <v>-1</v>
      </c>
      <c r="H206">
        <v>-1</v>
      </c>
      <c r="I206">
        <v>-1</v>
      </c>
    </row>
    <row r="207" spans="1:9" x14ac:dyDescent="0.4">
      <c r="A207">
        <v>20004</v>
      </c>
      <c r="B207">
        <v>0</v>
      </c>
      <c r="C207">
        <v>1</v>
      </c>
      <c r="D207">
        <v>1</v>
      </c>
      <c r="E207">
        <v>-1</v>
      </c>
      <c r="F207">
        <v>19116</v>
      </c>
      <c r="G207">
        <v>-1</v>
      </c>
      <c r="H207">
        <v>-1</v>
      </c>
      <c r="I207">
        <v>-1</v>
      </c>
    </row>
    <row r="208" spans="1:9" x14ac:dyDescent="0.4">
      <c r="A208">
        <v>20005</v>
      </c>
      <c r="B208">
        <v>0</v>
      </c>
      <c r="C208">
        <v>1</v>
      </c>
      <c r="D208">
        <v>1</v>
      </c>
      <c r="E208">
        <v>1</v>
      </c>
      <c r="F208">
        <v>19120</v>
      </c>
      <c r="G208">
        <v>-1</v>
      </c>
      <c r="H208">
        <v>-1</v>
      </c>
      <c r="I208">
        <v>-1</v>
      </c>
    </row>
    <row r="209" spans="1:9" x14ac:dyDescent="0.4">
      <c r="A209">
        <v>20006</v>
      </c>
      <c r="B209">
        <v>0</v>
      </c>
      <c r="C209">
        <v>1</v>
      </c>
      <c r="D209">
        <v>-1</v>
      </c>
      <c r="E209">
        <v>-1</v>
      </c>
      <c r="F209">
        <v>19124</v>
      </c>
      <c r="G209">
        <v>-1</v>
      </c>
      <c r="H209">
        <v>-1</v>
      </c>
      <c r="I209">
        <v>-1</v>
      </c>
    </row>
    <row r="210" spans="1:9" x14ac:dyDescent="0.4">
      <c r="A210">
        <v>20007</v>
      </c>
      <c r="B210">
        <v>0</v>
      </c>
      <c r="C210">
        <v>1</v>
      </c>
      <c r="D210">
        <v>1</v>
      </c>
      <c r="E210">
        <v>-1</v>
      </c>
      <c r="F210">
        <v>19128</v>
      </c>
      <c r="G210">
        <v>-1</v>
      </c>
      <c r="H210">
        <v>-1</v>
      </c>
      <c r="I210">
        <v>-1</v>
      </c>
    </row>
    <row r="211" spans="1:9" x14ac:dyDescent="0.4">
      <c r="A211">
        <v>20008</v>
      </c>
      <c r="B211">
        <v>0</v>
      </c>
      <c r="C211">
        <v>1</v>
      </c>
      <c r="D211">
        <v>1</v>
      </c>
      <c r="E211">
        <v>1</v>
      </c>
      <c r="F211">
        <v>19132</v>
      </c>
      <c r="G211">
        <v>-1</v>
      </c>
      <c r="H211">
        <v>-1</v>
      </c>
      <c r="I211">
        <v>-1</v>
      </c>
    </row>
    <row r="212" spans="1:9" x14ac:dyDescent="0.4">
      <c r="A212">
        <v>20009</v>
      </c>
      <c r="B212">
        <v>1</v>
      </c>
      <c r="C212">
        <v>1</v>
      </c>
      <c r="D212">
        <v>-1</v>
      </c>
      <c r="E212">
        <v>-1</v>
      </c>
      <c r="F212">
        <v>19101</v>
      </c>
      <c r="G212">
        <v>-1</v>
      </c>
      <c r="H212">
        <v>-1</v>
      </c>
      <c r="I212">
        <v>-1</v>
      </c>
    </row>
    <row r="213" spans="1:9" x14ac:dyDescent="0.4">
      <c r="A213">
        <v>20010</v>
      </c>
      <c r="B213">
        <v>1</v>
      </c>
      <c r="C213">
        <v>1</v>
      </c>
      <c r="D213">
        <v>1</v>
      </c>
      <c r="E213">
        <v>-1</v>
      </c>
      <c r="F213">
        <v>19105</v>
      </c>
      <c r="G213">
        <v>-1</v>
      </c>
      <c r="H213">
        <v>-1</v>
      </c>
      <c r="I213">
        <v>-1</v>
      </c>
    </row>
    <row r="214" spans="1:9" x14ac:dyDescent="0.4">
      <c r="A214">
        <v>20011</v>
      </c>
      <c r="B214">
        <v>1</v>
      </c>
      <c r="C214">
        <v>1</v>
      </c>
      <c r="D214">
        <v>1</v>
      </c>
      <c r="E214">
        <v>1</v>
      </c>
      <c r="F214">
        <v>19109</v>
      </c>
      <c r="G214">
        <v>-1</v>
      </c>
      <c r="H214">
        <v>-1</v>
      </c>
      <c r="I214">
        <v>-1</v>
      </c>
    </row>
    <row r="215" spans="1:9" x14ac:dyDescent="0.4">
      <c r="A215">
        <v>20012</v>
      </c>
      <c r="B215">
        <v>1</v>
      </c>
      <c r="C215">
        <v>1</v>
      </c>
      <c r="D215">
        <v>-1</v>
      </c>
      <c r="E215">
        <v>-1</v>
      </c>
      <c r="F215">
        <v>19113</v>
      </c>
      <c r="G215">
        <v>-1</v>
      </c>
      <c r="H215">
        <v>-1</v>
      </c>
      <c r="I215">
        <v>-1</v>
      </c>
    </row>
    <row r="216" spans="1:9" x14ac:dyDescent="0.4">
      <c r="A216">
        <v>20013</v>
      </c>
      <c r="B216">
        <v>1</v>
      </c>
      <c r="C216">
        <v>1</v>
      </c>
      <c r="D216">
        <v>1</v>
      </c>
      <c r="E216">
        <v>-1</v>
      </c>
      <c r="F216">
        <v>19117</v>
      </c>
      <c r="G216">
        <v>-1</v>
      </c>
      <c r="H216">
        <v>-1</v>
      </c>
      <c r="I216">
        <v>-1</v>
      </c>
    </row>
    <row r="217" spans="1:9" x14ac:dyDescent="0.4">
      <c r="A217">
        <v>20014</v>
      </c>
      <c r="B217">
        <v>1</v>
      </c>
      <c r="C217">
        <v>1</v>
      </c>
      <c r="D217">
        <v>1</v>
      </c>
      <c r="E217">
        <v>1</v>
      </c>
      <c r="F217">
        <v>19121</v>
      </c>
      <c r="G217">
        <v>-1</v>
      </c>
      <c r="H217">
        <v>-1</v>
      </c>
      <c r="I217">
        <v>-1</v>
      </c>
    </row>
    <row r="218" spans="1:9" x14ac:dyDescent="0.4">
      <c r="A218">
        <v>20015</v>
      </c>
      <c r="B218">
        <v>1</v>
      </c>
      <c r="C218">
        <v>1</v>
      </c>
      <c r="D218">
        <v>-1</v>
      </c>
      <c r="E218">
        <v>-1</v>
      </c>
      <c r="F218">
        <v>19125</v>
      </c>
      <c r="G218">
        <v>-1</v>
      </c>
      <c r="H218">
        <v>-1</v>
      </c>
      <c r="I218">
        <v>-1</v>
      </c>
    </row>
    <row r="219" spans="1:9" x14ac:dyDescent="0.4">
      <c r="A219">
        <v>20016</v>
      </c>
      <c r="B219">
        <v>1</v>
      </c>
      <c r="C219">
        <v>1</v>
      </c>
      <c r="D219">
        <v>1</v>
      </c>
      <c r="E219">
        <v>-1</v>
      </c>
      <c r="F219">
        <v>19129</v>
      </c>
      <c r="G219">
        <v>-1</v>
      </c>
      <c r="H219">
        <v>-1</v>
      </c>
      <c r="I219">
        <v>-1</v>
      </c>
    </row>
    <row r="220" spans="1:9" x14ac:dyDescent="0.4">
      <c r="A220">
        <v>20017</v>
      </c>
      <c r="B220">
        <v>1</v>
      </c>
      <c r="C220">
        <v>1</v>
      </c>
      <c r="D220">
        <v>1</v>
      </c>
      <c r="E220">
        <v>1</v>
      </c>
      <c r="F220">
        <v>19133</v>
      </c>
      <c r="G220">
        <v>-1</v>
      </c>
      <c r="H220">
        <v>-1</v>
      </c>
      <c r="I220">
        <v>-1</v>
      </c>
    </row>
    <row r="221" spans="1:9" x14ac:dyDescent="0.4">
      <c r="A221">
        <v>20018</v>
      </c>
      <c r="B221">
        <v>2</v>
      </c>
      <c r="C221">
        <v>1</v>
      </c>
      <c r="D221">
        <v>-1</v>
      </c>
      <c r="E221">
        <v>-1</v>
      </c>
      <c r="F221">
        <v>19102</v>
      </c>
      <c r="G221">
        <v>-1</v>
      </c>
      <c r="H221">
        <v>-1</v>
      </c>
      <c r="I221">
        <v>-1</v>
      </c>
    </row>
    <row r="222" spans="1:9" x14ac:dyDescent="0.4">
      <c r="A222">
        <v>20019</v>
      </c>
      <c r="B222">
        <v>2</v>
      </c>
      <c r="C222">
        <v>1</v>
      </c>
      <c r="D222">
        <v>1</v>
      </c>
      <c r="E222">
        <v>-1</v>
      </c>
      <c r="F222">
        <v>19106</v>
      </c>
      <c r="G222">
        <v>-1</v>
      </c>
      <c r="H222">
        <v>-1</v>
      </c>
      <c r="I222">
        <v>-1</v>
      </c>
    </row>
    <row r="223" spans="1:9" x14ac:dyDescent="0.4">
      <c r="A223">
        <v>20020</v>
      </c>
      <c r="B223">
        <v>2</v>
      </c>
      <c r="C223">
        <v>1</v>
      </c>
      <c r="D223">
        <v>1</v>
      </c>
      <c r="E223">
        <v>1</v>
      </c>
      <c r="F223">
        <v>19110</v>
      </c>
      <c r="G223">
        <v>-1</v>
      </c>
      <c r="H223">
        <v>-1</v>
      </c>
      <c r="I223">
        <v>-1</v>
      </c>
    </row>
    <row r="224" spans="1:9" x14ac:dyDescent="0.4">
      <c r="A224">
        <v>20021</v>
      </c>
      <c r="B224">
        <v>2</v>
      </c>
      <c r="C224">
        <v>1</v>
      </c>
      <c r="D224">
        <v>-1</v>
      </c>
      <c r="E224">
        <v>-1</v>
      </c>
      <c r="F224">
        <v>19114</v>
      </c>
      <c r="G224">
        <v>-1</v>
      </c>
      <c r="H224">
        <v>-1</v>
      </c>
      <c r="I224">
        <v>-1</v>
      </c>
    </row>
    <row r="225" spans="1:9" x14ac:dyDescent="0.4">
      <c r="A225">
        <v>20022</v>
      </c>
      <c r="B225">
        <v>2</v>
      </c>
      <c r="C225">
        <v>1</v>
      </c>
      <c r="D225">
        <v>1</v>
      </c>
      <c r="E225">
        <v>-1</v>
      </c>
      <c r="F225">
        <v>19118</v>
      </c>
      <c r="G225">
        <v>-1</v>
      </c>
      <c r="H225">
        <v>-1</v>
      </c>
      <c r="I225">
        <v>-1</v>
      </c>
    </row>
    <row r="226" spans="1:9" x14ac:dyDescent="0.4">
      <c r="A226">
        <v>20023</v>
      </c>
      <c r="B226">
        <v>2</v>
      </c>
      <c r="C226">
        <v>1</v>
      </c>
      <c r="D226">
        <v>1</v>
      </c>
      <c r="E226">
        <v>1</v>
      </c>
      <c r="F226">
        <v>19122</v>
      </c>
      <c r="G226">
        <v>-1</v>
      </c>
      <c r="H226">
        <v>-1</v>
      </c>
      <c r="I226">
        <v>-1</v>
      </c>
    </row>
    <row r="227" spans="1:9" x14ac:dyDescent="0.4">
      <c r="A227">
        <v>20024</v>
      </c>
      <c r="B227">
        <v>2</v>
      </c>
      <c r="C227">
        <v>1</v>
      </c>
      <c r="D227">
        <v>-1</v>
      </c>
      <c r="E227">
        <v>-1</v>
      </c>
      <c r="F227">
        <v>19126</v>
      </c>
      <c r="G227">
        <v>-1</v>
      </c>
      <c r="H227">
        <v>-1</v>
      </c>
      <c r="I227">
        <v>-1</v>
      </c>
    </row>
    <row r="228" spans="1:9" x14ac:dyDescent="0.4">
      <c r="A228">
        <v>20025</v>
      </c>
      <c r="B228">
        <v>2</v>
      </c>
      <c r="C228">
        <v>1</v>
      </c>
      <c r="D228">
        <v>1</v>
      </c>
      <c r="E228">
        <v>-1</v>
      </c>
      <c r="F228">
        <v>19130</v>
      </c>
      <c r="G228">
        <v>-1</v>
      </c>
      <c r="H228">
        <v>-1</v>
      </c>
      <c r="I228">
        <v>-1</v>
      </c>
    </row>
    <row r="229" spans="1:9" x14ac:dyDescent="0.4">
      <c r="A229">
        <v>20026</v>
      </c>
      <c r="B229">
        <v>2</v>
      </c>
      <c r="C229">
        <v>1</v>
      </c>
      <c r="D229">
        <v>1</v>
      </c>
      <c r="E229">
        <v>1</v>
      </c>
      <c r="F229">
        <v>19134</v>
      </c>
      <c r="G229">
        <v>-1</v>
      </c>
      <c r="H229">
        <v>-1</v>
      </c>
      <c r="I229">
        <v>-1</v>
      </c>
    </row>
    <row r="230" spans="1:9" x14ac:dyDescent="0.4">
      <c r="A230">
        <v>20027</v>
      </c>
      <c r="B230">
        <v>3</v>
      </c>
      <c r="C230">
        <v>1</v>
      </c>
      <c r="D230">
        <v>-1</v>
      </c>
      <c r="E230">
        <v>-1</v>
      </c>
      <c r="F230">
        <v>19103</v>
      </c>
      <c r="G230">
        <v>-1</v>
      </c>
      <c r="H230">
        <v>-1</v>
      </c>
      <c r="I230">
        <v>-1</v>
      </c>
    </row>
    <row r="231" spans="1:9" x14ac:dyDescent="0.4">
      <c r="A231">
        <v>20028</v>
      </c>
      <c r="B231">
        <v>3</v>
      </c>
      <c r="C231">
        <v>1</v>
      </c>
      <c r="D231">
        <v>1</v>
      </c>
      <c r="E231">
        <v>-1</v>
      </c>
      <c r="F231">
        <v>19107</v>
      </c>
      <c r="G231">
        <v>-1</v>
      </c>
      <c r="H231">
        <v>-1</v>
      </c>
      <c r="I231">
        <v>-1</v>
      </c>
    </row>
    <row r="232" spans="1:9" x14ac:dyDescent="0.4">
      <c r="A232">
        <v>20029</v>
      </c>
      <c r="B232">
        <v>3</v>
      </c>
      <c r="C232">
        <v>1</v>
      </c>
      <c r="D232">
        <v>1</v>
      </c>
      <c r="E232">
        <v>1</v>
      </c>
      <c r="F232">
        <v>19111</v>
      </c>
      <c r="G232">
        <v>-1</v>
      </c>
      <c r="H232">
        <v>-1</v>
      </c>
      <c r="I232">
        <v>-1</v>
      </c>
    </row>
    <row r="233" spans="1:9" x14ac:dyDescent="0.4">
      <c r="A233">
        <v>20030</v>
      </c>
      <c r="B233">
        <v>3</v>
      </c>
      <c r="C233">
        <v>1</v>
      </c>
      <c r="D233">
        <v>-1</v>
      </c>
      <c r="E233">
        <v>-1</v>
      </c>
      <c r="F233">
        <v>19115</v>
      </c>
      <c r="G233">
        <v>-1</v>
      </c>
      <c r="H233">
        <v>-1</v>
      </c>
      <c r="I233">
        <v>-1</v>
      </c>
    </row>
    <row r="234" spans="1:9" x14ac:dyDescent="0.4">
      <c r="A234">
        <v>20031</v>
      </c>
      <c r="B234">
        <v>3</v>
      </c>
      <c r="C234">
        <v>1</v>
      </c>
      <c r="D234">
        <v>1</v>
      </c>
      <c r="E234">
        <v>-1</v>
      </c>
      <c r="F234">
        <v>19119</v>
      </c>
      <c r="G234">
        <v>-1</v>
      </c>
      <c r="H234">
        <v>-1</v>
      </c>
      <c r="I234">
        <v>-1</v>
      </c>
    </row>
    <row r="235" spans="1:9" x14ac:dyDescent="0.4">
      <c r="A235">
        <v>20032</v>
      </c>
      <c r="B235">
        <v>3</v>
      </c>
      <c r="C235">
        <v>1</v>
      </c>
      <c r="D235">
        <v>1</v>
      </c>
      <c r="E235">
        <v>1</v>
      </c>
      <c r="F235">
        <v>19123</v>
      </c>
      <c r="G235">
        <v>-1</v>
      </c>
      <c r="H235">
        <v>-1</v>
      </c>
      <c r="I235">
        <v>-1</v>
      </c>
    </row>
    <row r="236" spans="1:9" x14ac:dyDescent="0.4">
      <c r="A236">
        <v>20033</v>
      </c>
      <c r="B236">
        <v>3</v>
      </c>
      <c r="C236">
        <v>1</v>
      </c>
      <c r="D236">
        <v>-1</v>
      </c>
      <c r="E236">
        <v>-1</v>
      </c>
      <c r="F236">
        <v>19127</v>
      </c>
      <c r="G236">
        <v>-1</v>
      </c>
      <c r="H236">
        <v>-1</v>
      </c>
      <c r="I236">
        <v>-1</v>
      </c>
    </row>
    <row r="237" spans="1:9" x14ac:dyDescent="0.4">
      <c r="A237">
        <v>20034</v>
      </c>
      <c r="B237">
        <v>3</v>
      </c>
      <c r="C237">
        <v>1</v>
      </c>
      <c r="D237">
        <v>1</v>
      </c>
      <c r="E237">
        <v>-1</v>
      </c>
      <c r="F237">
        <v>19131</v>
      </c>
      <c r="G237">
        <v>-1</v>
      </c>
      <c r="H237">
        <v>-1</v>
      </c>
      <c r="I237">
        <v>-1</v>
      </c>
    </row>
    <row r="238" spans="1:9" x14ac:dyDescent="0.4">
      <c r="A238">
        <v>20035</v>
      </c>
      <c r="B238">
        <v>3</v>
      </c>
      <c r="C238">
        <v>1</v>
      </c>
      <c r="D238">
        <v>1</v>
      </c>
      <c r="E238">
        <v>1</v>
      </c>
      <c r="F238">
        <v>19135</v>
      </c>
      <c r="G238">
        <v>-1</v>
      </c>
      <c r="H238">
        <v>-1</v>
      </c>
      <c r="I238">
        <v>-1</v>
      </c>
    </row>
    <row r="239" spans="1:9" x14ac:dyDescent="0.4">
      <c r="A239">
        <v>30000</v>
      </c>
      <c r="B239">
        <v>0</v>
      </c>
      <c r="C239">
        <v>1</v>
      </c>
      <c r="D239">
        <v>-1</v>
      </c>
      <c r="E239">
        <v>-1</v>
      </c>
      <c r="F239">
        <v>19300</v>
      </c>
      <c r="G239">
        <v>-1</v>
      </c>
      <c r="H239">
        <v>-1</v>
      </c>
      <c r="I239">
        <v>-1</v>
      </c>
    </row>
    <row r="240" spans="1:9" x14ac:dyDescent="0.4">
      <c r="A240">
        <v>30001</v>
      </c>
      <c r="B240">
        <v>0</v>
      </c>
      <c r="C240">
        <v>1</v>
      </c>
      <c r="D240">
        <v>1</v>
      </c>
      <c r="E240">
        <v>-1</v>
      </c>
      <c r="F240">
        <v>19304</v>
      </c>
      <c r="G240">
        <v>-1</v>
      </c>
      <c r="H240">
        <v>-1</v>
      </c>
      <c r="I240">
        <v>-1</v>
      </c>
    </row>
    <row r="241" spans="1:9" x14ac:dyDescent="0.4">
      <c r="A241">
        <v>30002</v>
      </c>
      <c r="B241">
        <v>0</v>
      </c>
      <c r="C241">
        <v>1</v>
      </c>
      <c r="D241">
        <v>1</v>
      </c>
      <c r="E241">
        <v>1</v>
      </c>
      <c r="F241">
        <v>19308</v>
      </c>
      <c r="G241">
        <v>-1</v>
      </c>
      <c r="H241">
        <v>-1</v>
      </c>
      <c r="I241">
        <v>-1</v>
      </c>
    </row>
    <row r="242" spans="1:9" x14ac:dyDescent="0.4">
      <c r="A242">
        <v>30003</v>
      </c>
      <c r="B242">
        <v>0</v>
      </c>
      <c r="C242">
        <v>1</v>
      </c>
      <c r="D242">
        <v>-1</v>
      </c>
      <c r="E242">
        <v>-1</v>
      </c>
      <c r="F242">
        <v>19312</v>
      </c>
      <c r="G242">
        <v>-1</v>
      </c>
      <c r="H242">
        <v>-1</v>
      </c>
      <c r="I242">
        <v>-1</v>
      </c>
    </row>
    <row r="243" spans="1:9" x14ac:dyDescent="0.4">
      <c r="A243">
        <v>30004</v>
      </c>
      <c r="B243">
        <v>0</v>
      </c>
      <c r="C243">
        <v>1</v>
      </c>
      <c r="D243">
        <v>1</v>
      </c>
      <c r="E243">
        <v>-1</v>
      </c>
      <c r="F243">
        <v>19316</v>
      </c>
      <c r="G243">
        <v>-1</v>
      </c>
      <c r="H243">
        <v>-1</v>
      </c>
      <c r="I243">
        <v>-1</v>
      </c>
    </row>
    <row r="244" spans="1:9" x14ac:dyDescent="0.4">
      <c r="A244">
        <v>30005</v>
      </c>
      <c r="B244">
        <v>0</v>
      </c>
      <c r="C244">
        <v>1</v>
      </c>
      <c r="D244">
        <v>1</v>
      </c>
      <c r="E244">
        <v>1</v>
      </c>
      <c r="F244">
        <v>19320</v>
      </c>
      <c r="G244">
        <v>-1</v>
      </c>
      <c r="H244">
        <v>-1</v>
      </c>
      <c r="I244">
        <v>-1</v>
      </c>
    </row>
    <row r="245" spans="1:9" x14ac:dyDescent="0.4">
      <c r="A245">
        <v>30006</v>
      </c>
      <c r="B245">
        <v>0</v>
      </c>
      <c r="C245">
        <v>1</v>
      </c>
      <c r="D245">
        <v>-1</v>
      </c>
      <c r="E245">
        <v>-1</v>
      </c>
      <c r="F245">
        <v>19324</v>
      </c>
      <c r="G245">
        <v>-1</v>
      </c>
      <c r="H245">
        <v>-1</v>
      </c>
      <c r="I245">
        <v>-1</v>
      </c>
    </row>
    <row r="246" spans="1:9" x14ac:dyDescent="0.4">
      <c r="A246">
        <v>30007</v>
      </c>
      <c r="B246">
        <v>0</v>
      </c>
      <c r="C246">
        <v>1</v>
      </c>
      <c r="D246">
        <v>1</v>
      </c>
      <c r="E246">
        <v>-1</v>
      </c>
      <c r="F246">
        <v>19328</v>
      </c>
      <c r="G246">
        <v>-1</v>
      </c>
      <c r="H246">
        <v>-1</v>
      </c>
      <c r="I246">
        <v>-1</v>
      </c>
    </row>
    <row r="247" spans="1:9" x14ac:dyDescent="0.4">
      <c r="A247">
        <v>30008</v>
      </c>
      <c r="B247">
        <v>0</v>
      </c>
      <c r="C247">
        <v>1</v>
      </c>
      <c r="D247">
        <v>1</v>
      </c>
      <c r="E247">
        <v>1</v>
      </c>
      <c r="F247">
        <v>19332</v>
      </c>
      <c r="G247">
        <v>-1</v>
      </c>
      <c r="H247">
        <v>-1</v>
      </c>
      <c r="I247">
        <v>-1</v>
      </c>
    </row>
    <row r="248" spans="1:9" x14ac:dyDescent="0.4">
      <c r="A248">
        <v>30009</v>
      </c>
      <c r="B248">
        <v>1</v>
      </c>
      <c r="C248">
        <v>1</v>
      </c>
      <c r="D248">
        <v>-1</v>
      </c>
      <c r="E248">
        <v>-1</v>
      </c>
      <c r="F248">
        <v>19301</v>
      </c>
      <c r="G248">
        <v>-1</v>
      </c>
      <c r="H248">
        <v>-1</v>
      </c>
      <c r="I248">
        <v>-1</v>
      </c>
    </row>
    <row r="249" spans="1:9" x14ac:dyDescent="0.4">
      <c r="A249">
        <v>30010</v>
      </c>
      <c r="B249">
        <v>1</v>
      </c>
      <c r="C249">
        <v>1</v>
      </c>
      <c r="D249">
        <v>1</v>
      </c>
      <c r="E249">
        <v>-1</v>
      </c>
      <c r="F249">
        <v>19305</v>
      </c>
      <c r="G249">
        <v>-1</v>
      </c>
      <c r="H249">
        <v>-1</v>
      </c>
      <c r="I249">
        <v>-1</v>
      </c>
    </row>
    <row r="250" spans="1:9" x14ac:dyDescent="0.4">
      <c r="A250">
        <v>30011</v>
      </c>
      <c r="B250">
        <v>1</v>
      </c>
      <c r="C250">
        <v>1</v>
      </c>
      <c r="D250">
        <v>1</v>
      </c>
      <c r="E250">
        <v>1</v>
      </c>
      <c r="F250">
        <v>19309</v>
      </c>
      <c r="G250">
        <v>-1</v>
      </c>
      <c r="H250">
        <v>-1</v>
      </c>
      <c r="I250">
        <v>-1</v>
      </c>
    </row>
    <row r="251" spans="1:9" x14ac:dyDescent="0.4">
      <c r="A251">
        <v>30012</v>
      </c>
      <c r="B251">
        <v>1</v>
      </c>
      <c r="C251">
        <v>1</v>
      </c>
      <c r="D251">
        <v>-1</v>
      </c>
      <c r="E251">
        <v>-1</v>
      </c>
      <c r="F251">
        <v>19313</v>
      </c>
      <c r="G251">
        <v>-1</v>
      </c>
      <c r="H251">
        <v>-1</v>
      </c>
      <c r="I251">
        <v>-1</v>
      </c>
    </row>
    <row r="252" spans="1:9" x14ac:dyDescent="0.4">
      <c r="A252">
        <v>30013</v>
      </c>
      <c r="B252">
        <v>1</v>
      </c>
      <c r="C252">
        <v>1</v>
      </c>
      <c r="D252">
        <v>1</v>
      </c>
      <c r="E252">
        <v>-1</v>
      </c>
      <c r="F252">
        <v>19317</v>
      </c>
      <c r="G252">
        <v>-1</v>
      </c>
      <c r="H252">
        <v>-1</v>
      </c>
      <c r="I252">
        <v>-1</v>
      </c>
    </row>
    <row r="253" spans="1:9" x14ac:dyDescent="0.4">
      <c r="A253">
        <v>30014</v>
      </c>
      <c r="B253">
        <v>1</v>
      </c>
      <c r="C253">
        <v>1</v>
      </c>
      <c r="D253">
        <v>1</v>
      </c>
      <c r="E253">
        <v>1</v>
      </c>
      <c r="F253">
        <v>19321</v>
      </c>
      <c r="G253">
        <v>-1</v>
      </c>
      <c r="H253">
        <v>-1</v>
      </c>
      <c r="I253">
        <v>-1</v>
      </c>
    </row>
    <row r="254" spans="1:9" x14ac:dyDescent="0.4">
      <c r="A254">
        <v>30015</v>
      </c>
      <c r="B254">
        <v>1</v>
      </c>
      <c r="C254">
        <v>1</v>
      </c>
      <c r="D254">
        <v>-1</v>
      </c>
      <c r="E254">
        <v>-1</v>
      </c>
      <c r="F254">
        <v>19325</v>
      </c>
      <c r="G254">
        <v>-1</v>
      </c>
      <c r="H254">
        <v>-1</v>
      </c>
      <c r="I254">
        <v>-1</v>
      </c>
    </row>
    <row r="255" spans="1:9" x14ac:dyDescent="0.4">
      <c r="A255">
        <v>30016</v>
      </c>
      <c r="B255">
        <v>1</v>
      </c>
      <c r="C255">
        <v>1</v>
      </c>
      <c r="D255">
        <v>1</v>
      </c>
      <c r="E255">
        <v>-1</v>
      </c>
      <c r="F255">
        <v>19329</v>
      </c>
      <c r="G255">
        <v>-1</v>
      </c>
      <c r="H255">
        <v>-1</v>
      </c>
      <c r="I255">
        <v>-1</v>
      </c>
    </row>
    <row r="256" spans="1:9" x14ac:dyDescent="0.4">
      <c r="A256">
        <v>30017</v>
      </c>
      <c r="B256">
        <v>1</v>
      </c>
      <c r="C256">
        <v>1</v>
      </c>
      <c r="D256">
        <v>1</v>
      </c>
      <c r="E256">
        <v>1</v>
      </c>
      <c r="F256">
        <v>19333</v>
      </c>
      <c r="G256">
        <v>-1</v>
      </c>
      <c r="H256">
        <v>-1</v>
      </c>
      <c r="I256">
        <v>-1</v>
      </c>
    </row>
    <row r="257" spans="1:9" x14ac:dyDescent="0.4">
      <c r="A257">
        <v>30018</v>
      </c>
      <c r="B257">
        <v>2</v>
      </c>
      <c r="C257">
        <v>1</v>
      </c>
      <c r="D257">
        <v>-1</v>
      </c>
      <c r="E257">
        <v>-1</v>
      </c>
      <c r="F257">
        <v>19302</v>
      </c>
      <c r="G257">
        <v>-1</v>
      </c>
      <c r="H257">
        <v>-1</v>
      </c>
      <c r="I257">
        <v>-1</v>
      </c>
    </row>
    <row r="258" spans="1:9" x14ac:dyDescent="0.4">
      <c r="A258">
        <v>30019</v>
      </c>
      <c r="B258">
        <v>2</v>
      </c>
      <c r="C258">
        <v>1</v>
      </c>
      <c r="D258">
        <v>1</v>
      </c>
      <c r="E258">
        <v>-1</v>
      </c>
      <c r="F258">
        <v>19306</v>
      </c>
      <c r="G258">
        <v>-1</v>
      </c>
      <c r="H258">
        <v>-1</v>
      </c>
      <c r="I258">
        <v>-1</v>
      </c>
    </row>
    <row r="259" spans="1:9" x14ac:dyDescent="0.4">
      <c r="A259">
        <v>30020</v>
      </c>
      <c r="B259">
        <v>2</v>
      </c>
      <c r="C259">
        <v>1</v>
      </c>
      <c r="D259">
        <v>1</v>
      </c>
      <c r="E259">
        <v>1</v>
      </c>
      <c r="F259">
        <v>19310</v>
      </c>
      <c r="G259">
        <v>-1</v>
      </c>
      <c r="H259">
        <v>-1</v>
      </c>
      <c r="I259">
        <v>-1</v>
      </c>
    </row>
    <row r="260" spans="1:9" x14ac:dyDescent="0.4">
      <c r="A260">
        <v>30021</v>
      </c>
      <c r="B260">
        <v>2</v>
      </c>
      <c r="C260">
        <v>1</v>
      </c>
      <c r="D260">
        <v>-1</v>
      </c>
      <c r="E260">
        <v>-1</v>
      </c>
      <c r="F260">
        <v>19314</v>
      </c>
      <c r="G260">
        <v>-1</v>
      </c>
      <c r="H260">
        <v>-1</v>
      </c>
      <c r="I260">
        <v>-1</v>
      </c>
    </row>
    <row r="261" spans="1:9" x14ac:dyDescent="0.4">
      <c r="A261">
        <v>30022</v>
      </c>
      <c r="B261">
        <v>2</v>
      </c>
      <c r="C261">
        <v>1</v>
      </c>
      <c r="D261">
        <v>1</v>
      </c>
      <c r="E261">
        <v>-1</v>
      </c>
      <c r="F261">
        <v>19318</v>
      </c>
      <c r="G261">
        <v>-1</v>
      </c>
      <c r="H261">
        <v>-1</v>
      </c>
      <c r="I261">
        <v>-1</v>
      </c>
    </row>
    <row r="262" spans="1:9" x14ac:dyDescent="0.4">
      <c r="A262">
        <v>30023</v>
      </c>
      <c r="B262">
        <v>2</v>
      </c>
      <c r="C262">
        <v>1</v>
      </c>
      <c r="D262">
        <v>1</v>
      </c>
      <c r="E262">
        <v>1</v>
      </c>
      <c r="F262">
        <v>19322</v>
      </c>
      <c r="G262">
        <v>-1</v>
      </c>
      <c r="H262">
        <v>-1</v>
      </c>
      <c r="I262">
        <v>-1</v>
      </c>
    </row>
    <row r="263" spans="1:9" x14ac:dyDescent="0.4">
      <c r="A263">
        <v>30024</v>
      </c>
      <c r="B263">
        <v>2</v>
      </c>
      <c r="C263">
        <v>1</v>
      </c>
      <c r="D263">
        <v>-1</v>
      </c>
      <c r="E263">
        <v>-1</v>
      </c>
      <c r="F263">
        <v>19326</v>
      </c>
      <c r="G263">
        <v>-1</v>
      </c>
      <c r="H263">
        <v>-1</v>
      </c>
      <c r="I263">
        <v>-1</v>
      </c>
    </row>
    <row r="264" spans="1:9" x14ac:dyDescent="0.4">
      <c r="A264">
        <v>30025</v>
      </c>
      <c r="B264">
        <v>2</v>
      </c>
      <c r="C264">
        <v>1</v>
      </c>
      <c r="D264">
        <v>1</v>
      </c>
      <c r="E264">
        <v>-1</v>
      </c>
      <c r="F264">
        <v>19330</v>
      </c>
      <c r="G264">
        <v>-1</v>
      </c>
      <c r="H264">
        <v>-1</v>
      </c>
      <c r="I264">
        <v>-1</v>
      </c>
    </row>
    <row r="265" spans="1:9" x14ac:dyDescent="0.4">
      <c r="A265">
        <v>30026</v>
      </c>
      <c r="B265">
        <v>2</v>
      </c>
      <c r="C265">
        <v>1</v>
      </c>
      <c r="D265">
        <v>1</v>
      </c>
      <c r="E265">
        <v>1</v>
      </c>
      <c r="F265">
        <v>19334</v>
      </c>
      <c r="G265">
        <v>-1</v>
      </c>
      <c r="H265">
        <v>-1</v>
      </c>
      <c r="I265">
        <v>-1</v>
      </c>
    </row>
    <row r="266" spans="1:9" x14ac:dyDescent="0.4">
      <c r="A266">
        <v>30027</v>
      </c>
      <c r="B266">
        <v>3</v>
      </c>
      <c r="C266">
        <v>1</v>
      </c>
      <c r="D266">
        <v>-1</v>
      </c>
      <c r="E266">
        <v>-1</v>
      </c>
      <c r="F266">
        <v>19303</v>
      </c>
      <c r="G266">
        <v>-1</v>
      </c>
      <c r="H266">
        <v>-1</v>
      </c>
      <c r="I266">
        <v>-1</v>
      </c>
    </row>
    <row r="267" spans="1:9" x14ac:dyDescent="0.4">
      <c r="A267">
        <v>30028</v>
      </c>
      <c r="B267">
        <v>3</v>
      </c>
      <c r="C267">
        <v>1</v>
      </c>
      <c r="D267">
        <v>1</v>
      </c>
      <c r="E267">
        <v>-1</v>
      </c>
      <c r="F267">
        <v>19307</v>
      </c>
      <c r="G267">
        <v>-1</v>
      </c>
      <c r="H267">
        <v>-1</v>
      </c>
      <c r="I267">
        <v>-1</v>
      </c>
    </row>
    <row r="268" spans="1:9" x14ac:dyDescent="0.4">
      <c r="A268">
        <v>30029</v>
      </c>
      <c r="B268">
        <v>3</v>
      </c>
      <c r="C268">
        <v>1</v>
      </c>
      <c r="D268">
        <v>1</v>
      </c>
      <c r="E268">
        <v>1</v>
      </c>
      <c r="F268">
        <v>19311</v>
      </c>
      <c r="G268">
        <v>-1</v>
      </c>
      <c r="H268">
        <v>-1</v>
      </c>
      <c r="I268">
        <v>-1</v>
      </c>
    </row>
    <row r="269" spans="1:9" x14ac:dyDescent="0.4">
      <c r="A269">
        <v>30030</v>
      </c>
      <c r="B269">
        <v>3</v>
      </c>
      <c r="C269">
        <v>1</v>
      </c>
      <c r="D269">
        <v>-1</v>
      </c>
      <c r="E269">
        <v>-1</v>
      </c>
      <c r="F269">
        <v>19315</v>
      </c>
      <c r="G269">
        <v>-1</v>
      </c>
      <c r="H269">
        <v>-1</v>
      </c>
      <c r="I269">
        <v>-1</v>
      </c>
    </row>
    <row r="270" spans="1:9" x14ac:dyDescent="0.4">
      <c r="A270">
        <v>30031</v>
      </c>
      <c r="B270">
        <v>3</v>
      </c>
      <c r="C270">
        <v>1</v>
      </c>
      <c r="D270">
        <v>1</v>
      </c>
      <c r="E270">
        <v>-1</v>
      </c>
      <c r="F270">
        <v>19319</v>
      </c>
      <c r="G270">
        <v>-1</v>
      </c>
      <c r="H270">
        <v>-1</v>
      </c>
      <c r="I270">
        <v>-1</v>
      </c>
    </row>
    <row r="271" spans="1:9" x14ac:dyDescent="0.4">
      <c r="A271">
        <v>30032</v>
      </c>
      <c r="B271">
        <v>3</v>
      </c>
      <c r="C271">
        <v>1</v>
      </c>
      <c r="D271">
        <v>1</v>
      </c>
      <c r="E271">
        <v>1</v>
      </c>
      <c r="F271">
        <v>19323</v>
      </c>
      <c r="G271">
        <v>-1</v>
      </c>
      <c r="H271">
        <v>-1</v>
      </c>
      <c r="I271">
        <v>-1</v>
      </c>
    </row>
    <row r="272" spans="1:9" x14ac:dyDescent="0.4">
      <c r="A272">
        <v>30033</v>
      </c>
      <c r="B272">
        <v>3</v>
      </c>
      <c r="C272">
        <v>1</v>
      </c>
      <c r="D272">
        <v>-1</v>
      </c>
      <c r="E272">
        <v>-1</v>
      </c>
      <c r="F272">
        <v>19327</v>
      </c>
      <c r="G272">
        <v>-1</v>
      </c>
      <c r="H272">
        <v>-1</v>
      </c>
      <c r="I272">
        <v>-1</v>
      </c>
    </row>
    <row r="273" spans="1:9" x14ac:dyDescent="0.4">
      <c r="A273">
        <v>30034</v>
      </c>
      <c r="B273">
        <v>3</v>
      </c>
      <c r="C273">
        <v>1</v>
      </c>
      <c r="D273">
        <v>1</v>
      </c>
      <c r="E273">
        <v>-1</v>
      </c>
      <c r="F273">
        <v>19331</v>
      </c>
      <c r="G273">
        <v>-1</v>
      </c>
      <c r="H273">
        <v>-1</v>
      </c>
      <c r="I273">
        <v>-1</v>
      </c>
    </row>
    <row r="274" spans="1:9" x14ac:dyDescent="0.4">
      <c r="A274">
        <v>30035</v>
      </c>
      <c r="B274">
        <v>3</v>
      </c>
      <c r="C274">
        <v>1</v>
      </c>
      <c r="D274">
        <v>1</v>
      </c>
      <c r="E274">
        <v>1</v>
      </c>
      <c r="F274">
        <v>19335</v>
      </c>
      <c r="G274">
        <v>-1</v>
      </c>
      <c r="H274">
        <v>-1</v>
      </c>
      <c r="I274">
        <v>-1</v>
      </c>
    </row>
    <row r="275" spans="1:9" x14ac:dyDescent="0.4">
      <c r="A275">
        <v>1000000</v>
      </c>
      <c r="B275">
        <v>0</v>
      </c>
      <c r="C275">
        <v>1000000</v>
      </c>
      <c r="D275">
        <v>-1</v>
      </c>
      <c r="E275">
        <v>-1</v>
      </c>
      <c r="F275">
        <v>19100</v>
      </c>
      <c r="G275">
        <v>-1</v>
      </c>
      <c r="H275">
        <v>-1</v>
      </c>
      <c r="I275">
        <v>-1</v>
      </c>
    </row>
    <row r="276" spans="1:9" x14ac:dyDescent="0.4">
      <c r="A276">
        <v>1000001</v>
      </c>
      <c r="B276">
        <v>0</v>
      </c>
      <c r="C276">
        <v>1000001</v>
      </c>
      <c r="D276">
        <v>1000000</v>
      </c>
      <c r="E276">
        <v>-1</v>
      </c>
      <c r="F276">
        <v>19104</v>
      </c>
      <c r="G276">
        <v>-1</v>
      </c>
      <c r="H276">
        <v>-1</v>
      </c>
      <c r="I276">
        <v>-1</v>
      </c>
    </row>
    <row r="277" spans="1:9" x14ac:dyDescent="0.4">
      <c r="A277">
        <v>1000002</v>
      </c>
      <c r="B277">
        <v>0</v>
      </c>
      <c r="C277">
        <v>1000002</v>
      </c>
      <c r="D277">
        <v>1000001</v>
      </c>
      <c r="E277">
        <v>1000000</v>
      </c>
      <c r="F277">
        <v>19108</v>
      </c>
      <c r="G277">
        <v>-1</v>
      </c>
      <c r="H277">
        <v>-1</v>
      </c>
      <c r="I277">
        <v>-1</v>
      </c>
    </row>
    <row r="278" spans="1:9" x14ac:dyDescent="0.4">
      <c r="A278">
        <v>1000010</v>
      </c>
      <c r="B278">
        <v>0</v>
      </c>
      <c r="C278">
        <v>1000000</v>
      </c>
      <c r="D278">
        <v>-1</v>
      </c>
      <c r="E278">
        <v>-1</v>
      </c>
      <c r="F278">
        <v>19112</v>
      </c>
      <c r="G278">
        <v>-1</v>
      </c>
      <c r="H278">
        <v>-1</v>
      </c>
      <c r="I278">
        <v>-1</v>
      </c>
    </row>
    <row r="279" spans="1:9" x14ac:dyDescent="0.4">
      <c r="A279">
        <v>1000011</v>
      </c>
      <c r="B279">
        <v>0</v>
      </c>
      <c r="C279">
        <v>1000001</v>
      </c>
      <c r="D279">
        <v>1000000</v>
      </c>
      <c r="E279">
        <v>-1</v>
      </c>
      <c r="F279">
        <v>19116</v>
      </c>
      <c r="G279">
        <v>-1</v>
      </c>
      <c r="H279">
        <v>-1</v>
      </c>
      <c r="I279">
        <v>-1</v>
      </c>
    </row>
    <row r="280" spans="1:9" x14ac:dyDescent="0.4">
      <c r="A280">
        <v>1000012</v>
      </c>
      <c r="B280">
        <v>0</v>
      </c>
      <c r="C280">
        <v>1000002</v>
      </c>
      <c r="D280">
        <v>1000001</v>
      </c>
      <c r="E280">
        <v>1000000</v>
      </c>
      <c r="F280">
        <v>19120</v>
      </c>
      <c r="G280">
        <v>-1</v>
      </c>
      <c r="H280">
        <v>-1</v>
      </c>
      <c r="I280">
        <v>-1</v>
      </c>
    </row>
    <row r="281" spans="1:9" x14ac:dyDescent="0.4">
      <c r="A281">
        <v>1000020</v>
      </c>
      <c r="B281">
        <v>0</v>
      </c>
      <c r="C281">
        <v>1000000</v>
      </c>
      <c r="D281">
        <v>-1</v>
      </c>
      <c r="E281">
        <v>-1</v>
      </c>
      <c r="F281">
        <v>19124</v>
      </c>
      <c r="G281">
        <v>-1</v>
      </c>
      <c r="H281">
        <v>-1</v>
      </c>
      <c r="I281">
        <v>-1</v>
      </c>
    </row>
    <row r="282" spans="1:9" x14ac:dyDescent="0.4">
      <c r="A282">
        <v>1000021</v>
      </c>
      <c r="B282">
        <v>0</v>
      </c>
      <c r="C282">
        <v>1000001</v>
      </c>
      <c r="D282">
        <v>1000000</v>
      </c>
      <c r="E282">
        <v>-1</v>
      </c>
      <c r="F282">
        <v>19128</v>
      </c>
      <c r="G282">
        <v>-1</v>
      </c>
      <c r="H282">
        <v>-1</v>
      </c>
      <c r="I282">
        <v>-1</v>
      </c>
    </row>
    <row r="283" spans="1:9" x14ac:dyDescent="0.4">
      <c r="A283">
        <v>1000022</v>
      </c>
      <c r="B283">
        <v>0</v>
      </c>
      <c r="C283">
        <v>1000002</v>
      </c>
      <c r="D283">
        <v>1000001</v>
      </c>
      <c r="E283">
        <v>1000000</v>
      </c>
      <c r="F283">
        <v>19132</v>
      </c>
      <c r="G283">
        <v>-1</v>
      </c>
      <c r="H283">
        <v>-1</v>
      </c>
      <c r="I283">
        <v>-1</v>
      </c>
    </row>
    <row r="284" spans="1:9" x14ac:dyDescent="0.4">
      <c r="A284">
        <v>1000100</v>
      </c>
      <c r="B284">
        <v>1</v>
      </c>
      <c r="C284">
        <v>1000000</v>
      </c>
      <c r="D284">
        <v>-1</v>
      </c>
      <c r="E284">
        <v>-1</v>
      </c>
      <c r="F284">
        <v>19101</v>
      </c>
      <c r="G284">
        <v>-1</v>
      </c>
      <c r="H284">
        <v>-1</v>
      </c>
      <c r="I284">
        <v>-1</v>
      </c>
    </row>
    <row r="285" spans="1:9" x14ac:dyDescent="0.4">
      <c r="A285">
        <v>1000101</v>
      </c>
      <c r="B285">
        <v>1</v>
      </c>
      <c r="C285">
        <v>1000001</v>
      </c>
      <c r="D285">
        <v>1000000</v>
      </c>
      <c r="E285">
        <v>-1</v>
      </c>
      <c r="F285">
        <v>19105</v>
      </c>
      <c r="G285">
        <v>-1</v>
      </c>
      <c r="H285">
        <v>-1</v>
      </c>
      <c r="I285">
        <v>-1</v>
      </c>
    </row>
    <row r="286" spans="1:9" x14ac:dyDescent="0.4">
      <c r="A286">
        <v>1000102</v>
      </c>
      <c r="B286">
        <v>1</v>
      </c>
      <c r="C286">
        <v>1000002</v>
      </c>
      <c r="D286">
        <v>1000001</v>
      </c>
      <c r="E286">
        <v>1000000</v>
      </c>
      <c r="F286">
        <v>19109</v>
      </c>
      <c r="G286">
        <v>-1</v>
      </c>
      <c r="H286">
        <v>-1</v>
      </c>
      <c r="I286">
        <v>-1</v>
      </c>
    </row>
    <row r="287" spans="1:9" x14ac:dyDescent="0.4">
      <c r="A287">
        <v>1000110</v>
      </c>
      <c r="B287">
        <v>1</v>
      </c>
      <c r="C287">
        <v>1000000</v>
      </c>
      <c r="D287">
        <v>-1</v>
      </c>
      <c r="E287">
        <v>-1</v>
      </c>
      <c r="F287">
        <v>19113</v>
      </c>
      <c r="G287">
        <v>-1</v>
      </c>
      <c r="H287">
        <v>-1</v>
      </c>
      <c r="I287">
        <v>-1</v>
      </c>
    </row>
    <row r="288" spans="1:9" x14ac:dyDescent="0.4">
      <c r="A288">
        <v>1000111</v>
      </c>
      <c r="B288">
        <v>1</v>
      </c>
      <c r="C288">
        <v>1000001</v>
      </c>
      <c r="D288">
        <v>1000000</v>
      </c>
      <c r="E288">
        <v>-1</v>
      </c>
      <c r="F288">
        <v>19117</v>
      </c>
      <c r="G288">
        <v>-1</v>
      </c>
      <c r="H288">
        <v>-1</v>
      </c>
      <c r="I288">
        <v>-1</v>
      </c>
    </row>
    <row r="289" spans="1:9" x14ac:dyDescent="0.4">
      <c r="A289">
        <v>1000112</v>
      </c>
      <c r="B289">
        <v>1</v>
      </c>
      <c r="C289">
        <v>1000002</v>
      </c>
      <c r="D289">
        <v>1000001</v>
      </c>
      <c r="E289">
        <v>1000000</v>
      </c>
      <c r="F289">
        <v>19121</v>
      </c>
      <c r="G289">
        <v>-1</v>
      </c>
      <c r="H289">
        <v>-1</v>
      </c>
      <c r="I289">
        <v>-1</v>
      </c>
    </row>
    <row r="290" spans="1:9" x14ac:dyDescent="0.4">
      <c r="A290">
        <v>1000120</v>
      </c>
      <c r="B290">
        <v>1</v>
      </c>
      <c r="C290">
        <v>1000000</v>
      </c>
      <c r="D290">
        <v>-1</v>
      </c>
      <c r="E290">
        <v>-1</v>
      </c>
      <c r="F290">
        <v>19125</v>
      </c>
      <c r="G290">
        <v>-1</v>
      </c>
      <c r="H290">
        <v>-1</v>
      </c>
      <c r="I290">
        <v>-1</v>
      </c>
    </row>
    <row r="291" spans="1:9" x14ac:dyDescent="0.4">
      <c r="A291">
        <v>1000121</v>
      </c>
      <c r="B291">
        <v>1</v>
      </c>
      <c r="C291">
        <v>1000001</v>
      </c>
      <c r="D291">
        <v>1000000</v>
      </c>
      <c r="E291">
        <v>-1</v>
      </c>
      <c r="F291">
        <v>19129</v>
      </c>
      <c r="G291">
        <v>-1</v>
      </c>
      <c r="H291">
        <v>-1</v>
      </c>
      <c r="I291">
        <v>-1</v>
      </c>
    </row>
    <row r="292" spans="1:9" x14ac:dyDescent="0.4">
      <c r="A292">
        <v>1000122</v>
      </c>
      <c r="B292">
        <v>1</v>
      </c>
      <c r="C292">
        <v>1000002</v>
      </c>
      <c r="D292">
        <v>1000001</v>
      </c>
      <c r="E292">
        <v>1000000</v>
      </c>
      <c r="F292">
        <v>19133</v>
      </c>
      <c r="G292">
        <v>-1</v>
      </c>
      <c r="H292">
        <v>-1</v>
      </c>
      <c r="I292">
        <v>-1</v>
      </c>
    </row>
    <row r="293" spans="1:9" x14ac:dyDescent="0.4">
      <c r="A293">
        <v>1000200</v>
      </c>
      <c r="B293">
        <v>2</v>
      </c>
      <c r="C293">
        <v>1000000</v>
      </c>
      <c r="D293">
        <v>-1</v>
      </c>
      <c r="E293">
        <v>-1</v>
      </c>
      <c r="F293">
        <v>19102</v>
      </c>
      <c r="G293">
        <v>-1</v>
      </c>
      <c r="H293">
        <v>-1</v>
      </c>
      <c r="I293">
        <v>-1</v>
      </c>
    </row>
    <row r="294" spans="1:9" x14ac:dyDescent="0.4">
      <c r="A294">
        <v>1000201</v>
      </c>
      <c r="B294">
        <v>2</v>
      </c>
      <c r="C294">
        <v>1000001</v>
      </c>
      <c r="D294">
        <v>1000000</v>
      </c>
      <c r="E294">
        <v>-1</v>
      </c>
      <c r="F294">
        <v>19106</v>
      </c>
      <c r="G294">
        <v>-1</v>
      </c>
      <c r="H294">
        <v>-1</v>
      </c>
      <c r="I294">
        <v>-1</v>
      </c>
    </row>
    <row r="295" spans="1:9" x14ac:dyDescent="0.4">
      <c r="A295">
        <v>1000202</v>
      </c>
      <c r="B295">
        <v>2</v>
      </c>
      <c r="C295">
        <v>1000002</v>
      </c>
      <c r="D295">
        <v>1000001</v>
      </c>
      <c r="E295">
        <v>1000000</v>
      </c>
      <c r="F295">
        <v>19110</v>
      </c>
      <c r="G295">
        <v>-1</v>
      </c>
      <c r="H295">
        <v>-1</v>
      </c>
      <c r="I295">
        <v>-1</v>
      </c>
    </row>
    <row r="296" spans="1:9" x14ac:dyDescent="0.4">
      <c r="A296">
        <v>1000210</v>
      </c>
      <c r="B296">
        <v>2</v>
      </c>
      <c r="C296">
        <v>1000000</v>
      </c>
      <c r="D296">
        <v>-1</v>
      </c>
      <c r="E296">
        <v>-1</v>
      </c>
      <c r="F296">
        <v>19114</v>
      </c>
      <c r="G296">
        <v>-1</v>
      </c>
      <c r="H296">
        <v>-1</v>
      </c>
      <c r="I296">
        <v>-1</v>
      </c>
    </row>
    <row r="297" spans="1:9" x14ac:dyDescent="0.4">
      <c r="A297">
        <v>1000211</v>
      </c>
      <c r="B297">
        <v>2</v>
      </c>
      <c r="C297">
        <v>1000001</v>
      </c>
      <c r="D297">
        <v>1000000</v>
      </c>
      <c r="E297">
        <v>-1</v>
      </c>
      <c r="F297">
        <v>19118</v>
      </c>
      <c r="G297">
        <v>-1</v>
      </c>
      <c r="H297">
        <v>-1</v>
      </c>
      <c r="I297">
        <v>-1</v>
      </c>
    </row>
    <row r="298" spans="1:9" x14ac:dyDescent="0.4">
      <c r="A298">
        <v>1000212</v>
      </c>
      <c r="B298">
        <v>2</v>
      </c>
      <c r="C298">
        <v>1000002</v>
      </c>
      <c r="D298">
        <v>1000001</v>
      </c>
      <c r="E298">
        <v>1000000</v>
      </c>
      <c r="F298">
        <v>19122</v>
      </c>
      <c r="G298">
        <v>-1</v>
      </c>
      <c r="H298">
        <v>-1</v>
      </c>
      <c r="I298">
        <v>-1</v>
      </c>
    </row>
    <row r="299" spans="1:9" x14ac:dyDescent="0.4">
      <c r="A299">
        <v>1000220</v>
      </c>
      <c r="B299">
        <v>2</v>
      </c>
      <c r="C299">
        <v>1000000</v>
      </c>
      <c r="D299">
        <v>-1</v>
      </c>
      <c r="E299">
        <v>-1</v>
      </c>
      <c r="F299">
        <v>19126</v>
      </c>
      <c r="G299">
        <v>-1</v>
      </c>
      <c r="H299">
        <v>-1</v>
      </c>
      <c r="I299">
        <v>-1</v>
      </c>
    </row>
    <row r="300" spans="1:9" x14ac:dyDescent="0.4">
      <c r="A300">
        <v>1000221</v>
      </c>
      <c r="B300">
        <v>2</v>
      </c>
      <c r="C300">
        <v>1000001</v>
      </c>
      <c r="D300">
        <v>1000000</v>
      </c>
      <c r="E300">
        <v>-1</v>
      </c>
      <c r="F300">
        <v>19130</v>
      </c>
      <c r="G300">
        <v>-1</v>
      </c>
      <c r="H300">
        <v>-1</v>
      </c>
      <c r="I300">
        <v>-1</v>
      </c>
    </row>
    <row r="301" spans="1:9" x14ac:dyDescent="0.4">
      <c r="A301">
        <v>1000222</v>
      </c>
      <c r="B301">
        <v>2</v>
      </c>
      <c r="C301">
        <v>1000002</v>
      </c>
      <c r="D301">
        <v>1000001</v>
      </c>
      <c r="E301">
        <v>1000000</v>
      </c>
      <c r="F301">
        <v>19134</v>
      </c>
      <c r="G301">
        <v>-1</v>
      </c>
      <c r="H301">
        <v>-1</v>
      </c>
      <c r="I301">
        <v>-1</v>
      </c>
    </row>
    <row r="302" spans="1:9" x14ac:dyDescent="0.4">
      <c r="A302">
        <v>1000300</v>
      </c>
      <c r="B302">
        <v>3</v>
      </c>
      <c r="C302">
        <v>1000000</v>
      </c>
      <c r="D302">
        <v>-1</v>
      </c>
      <c r="E302">
        <v>-1</v>
      </c>
      <c r="F302">
        <v>19103</v>
      </c>
      <c r="G302">
        <v>-1</v>
      </c>
      <c r="H302">
        <v>-1</v>
      </c>
      <c r="I302">
        <v>-1</v>
      </c>
    </row>
    <row r="303" spans="1:9" x14ac:dyDescent="0.4">
      <c r="A303">
        <v>1000301</v>
      </c>
      <c r="B303">
        <v>3</v>
      </c>
      <c r="C303">
        <v>1000001</v>
      </c>
      <c r="D303">
        <v>1000000</v>
      </c>
      <c r="E303">
        <v>-1</v>
      </c>
      <c r="F303">
        <v>19107</v>
      </c>
      <c r="G303">
        <v>-1</v>
      </c>
      <c r="H303">
        <v>-1</v>
      </c>
      <c r="I303">
        <v>-1</v>
      </c>
    </row>
    <row r="304" spans="1:9" x14ac:dyDescent="0.4">
      <c r="A304">
        <v>1000302</v>
      </c>
      <c r="B304">
        <v>3</v>
      </c>
      <c r="C304">
        <v>1000002</v>
      </c>
      <c r="D304">
        <v>1000001</v>
      </c>
      <c r="E304">
        <v>1000000</v>
      </c>
      <c r="F304">
        <v>19111</v>
      </c>
      <c r="G304">
        <v>-1</v>
      </c>
      <c r="H304">
        <v>-1</v>
      </c>
      <c r="I304">
        <v>-1</v>
      </c>
    </row>
    <row r="305" spans="1:9" x14ac:dyDescent="0.4">
      <c r="A305">
        <v>1000310</v>
      </c>
      <c r="B305">
        <v>3</v>
      </c>
      <c r="C305">
        <v>1000000</v>
      </c>
      <c r="D305">
        <v>-1</v>
      </c>
      <c r="E305">
        <v>-1</v>
      </c>
      <c r="F305">
        <v>19115</v>
      </c>
      <c r="G305">
        <v>-1</v>
      </c>
      <c r="H305">
        <v>-1</v>
      </c>
      <c r="I305">
        <v>-1</v>
      </c>
    </row>
    <row r="306" spans="1:9" x14ac:dyDescent="0.4">
      <c r="A306">
        <v>1000311</v>
      </c>
      <c r="B306">
        <v>3</v>
      </c>
      <c r="C306">
        <v>1000001</v>
      </c>
      <c r="D306">
        <v>1000000</v>
      </c>
      <c r="E306">
        <v>-1</v>
      </c>
      <c r="F306">
        <v>19119</v>
      </c>
      <c r="G306">
        <v>-1</v>
      </c>
      <c r="H306">
        <v>-1</v>
      </c>
      <c r="I306">
        <v>-1</v>
      </c>
    </row>
    <row r="307" spans="1:9" x14ac:dyDescent="0.4">
      <c r="A307">
        <v>1000312</v>
      </c>
      <c r="B307">
        <v>3</v>
      </c>
      <c r="C307">
        <v>1000002</v>
      </c>
      <c r="D307">
        <v>1000001</v>
      </c>
      <c r="E307">
        <v>1000000</v>
      </c>
      <c r="F307">
        <v>19123</v>
      </c>
      <c r="G307">
        <v>-1</v>
      </c>
      <c r="H307">
        <v>-1</v>
      </c>
      <c r="I307">
        <v>-1</v>
      </c>
    </row>
    <row r="308" spans="1:9" x14ac:dyDescent="0.4">
      <c r="A308">
        <v>1000320</v>
      </c>
      <c r="B308">
        <v>3</v>
      </c>
      <c r="C308">
        <v>1000000</v>
      </c>
      <c r="D308">
        <v>-1</v>
      </c>
      <c r="E308">
        <v>-1</v>
      </c>
      <c r="F308">
        <v>19127</v>
      </c>
      <c r="G308">
        <v>-1</v>
      </c>
      <c r="H308">
        <v>-1</v>
      </c>
      <c r="I308">
        <v>-1</v>
      </c>
    </row>
    <row r="309" spans="1:9" x14ac:dyDescent="0.4">
      <c r="A309">
        <v>1000321</v>
      </c>
      <c r="B309">
        <v>3</v>
      </c>
      <c r="C309">
        <v>1000001</v>
      </c>
      <c r="D309">
        <v>1000000</v>
      </c>
      <c r="E309">
        <v>-1</v>
      </c>
      <c r="F309">
        <v>19131</v>
      </c>
      <c r="G309">
        <v>-1</v>
      </c>
      <c r="H309">
        <v>-1</v>
      </c>
      <c r="I309">
        <v>-1</v>
      </c>
    </row>
    <row r="310" spans="1:9" x14ac:dyDescent="0.4">
      <c r="A310">
        <v>1000322</v>
      </c>
      <c r="B310">
        <v>3</v>
      </c>
      <c r="C310">
        <v>1000002</v>
      </c>
      <c r="D310">
        <v>1000001</v>
      </c>
      <c r="E310">
        <v>1000000</v>
      </c>
      <c r="F310">
        <v>19135</v>
      </c>
      <c r="G310">
        <v>-1</v>
      </c>
      <c r="H310">
        <v>-1</v>
      </c>
      <c r="I310">
        <v>-1</v>
      </c>
    </row>
    <row r="311" spans="1:9" x14ac:dyDescent="0.4">
      <c r="A311">
        <v>1001000</v>
      </c>
      <c r="B311">
        <v>0</v>
      </c>
      <c r="C311">
        <v>1001000</v>
      </c>
      <c r="D311">
        <v>-1</v>
      </c>
      <c r="E311">
        <v>-1</v>
      </c>
      <c r="F311">
        <v>19100</v>
      </c>
      <c r="G311">
        <v>-1</v>
      </c>
      <c r="H311">
        <v>-1</v>
      </c>
      <c r="I311">
        <v>-1</v>
      </c>
    </row>
    <row r="312" spans="1:9" x14ac:dyDescent="0.4">
      <c r="A312">
        <v>1001001</v>
      </c>
      <c r="B312">
        <v>0</v>
      </c>
      <c r="C312">
        <v>1001001</v>
      </c>
      <c r="D312">
        <v>1001000</v>
      </c>
      <c r="E312">
        <v>-1</v>
      </c>
      <c r="F312">
        <v>19104</v>
      </c>
      <c r="G312">
        <v>-1</v>
      </c>
      <c r="H312">
        <v>-1</v>
      </c>
      <c r="I312">
        <v>-1</v>
      </c>
    </row>
    <row r="313" spans="1:9" x14ac:dyDescent="0.4">
      <c r="A313">
        <v>1001002</v>
      </c>
      <c r="B313">
        <v>0</v>
      </c>
      <c r="C313">
        <v>1001002</v>
      </c>
      <c r="D313">
        <v>1001001</v>
      </c>
      <c r="E313">
        <v>1001000</v>
      </c>
      <c r="F313">
        <v>19108</v>
      </c>
      <c r="G313">
        <v>-1</v>
      </c>
      <c r="H313">
        <v>-1</v>
      </c>
      <c r="I313">
        <v>-1</v>
      </c>
    </row>
    <row r="314" spans="1:9" x14ac:dyDescent="0.4">
      <c r="A314">
        <v>1001010</v>
      </c>
      <c r="B314">
        <v>0</v>
      </c>
      <c r="C314">
        <v>1001000</v>
      </c>
      <c r="D314">
        <v>-1</v>
      </c>
      <c r="E314">
        <v>-1</v>
      </c>
      <c r="F314">
        <v>19112</v>
      </c>
      <c r="G314">
        <v>-1</v>
      </c>
      <c r="H314">
        <v>-1</v>
      </c>
      <c r="I314">
        <v>-1</v>
      </c>
    </row>
    <row r="315" spans="1:9" x14ac:dyDescent="0.4">
      <c r="A315">
        <v>1001011</v>
      </c>
      <c r="B315">
        <v>0</v>
      </c>
      <c r="C315">
        <v>1001001</v>
      </c>
      <c r="D315">
        <v>1001000</v>
      </c>
      <c r="E315">
        <v>-1</v>
      </c>
      <c r="F315">
        <v>19116</v>
      </c>
      <c r="G315">
        <v>-1</v>
      </c>
      <c r="H315">
        <v>-1</v>
      </c>
      <c r="I315">
        <v>-1</v>
      </c>
    </row>
    <row r="316" spans="1:9" x14ac:dyDescent="0.4">
      <c r="A316">
        <v>1001012</v>
      </c>
      <c r="B316">
        <v>0</v>
      </c>
      <c r="C316">
        <v>1001002</v>
      </c>
      <c r="D316">
        <v>1001001</v>
      </c>
      <c r="E316">
        <v>1001000</v>
      </c>
      <c r="F316">
        <v>19120</v>
      </c>
      <c r="G316">
        <v>-1</v>
      </c>
      <c r="H316">
        <v>-1</v>
      </c>
      <c r="I316">
        <v>-1</v>
      </c>
    </row>
    <row r="317" spans="1:9" x14ac:dyDescent="0.4">
      <c r="A317">
        <v>1001020</v>
      </c>
      <c r="B317">
        <v>0</v>
      </c>
      <c r="C317">
        <v>1001000</v>
      </c>
      <c r="D317">
        <v>-1</v>
      </c>
      <c r="E317">
        <v>-1</v>
      </c>
      <c r="F317">
        <v>19124</v>
      </c>
      <c r="G317">
        <v>-1</v>
      </c>
      <c r="H317">
        <v>-1</v>
      </c>
      <c r="I317">
        <v>-1</v>
      </c>
    </row>
    <row r="318" spans="1:9" x14ac:dyDescent="0.4">
      <c r="A318">
        <v>1001021</v>
      </c>
      <c r="B318">
        <v>0</v>
      </c>
      <c r="C318">
        <v>1001001</v>
      </c>
      <c r="D318">
        <v>1001000</v>
      </c>
      <c r="E318">
        <v>-1</v>
      </c>
      <c r="F318">
        <v>19128</v>
      </c>
      <c r="G318">
        <v>-1</v>
      </c>
      <c r="H318">
        <v>-1</v>
      </c>
      <c r="I318">
        <v>-1</v>
      </c>
    </row>
    <row r="319" spans="1:9" x14ac:dyDescent="0.4">
      <c r="A319">
        <v>1001022</v>
      </c>
      <c r="B319">
        <v>0</v>
      </c>
      <c r="C319">
        <v>1001002</v>
      </c>
      <c r="D319">
        <v>1001001</v>
      </c>
      <c r="E319">
        <v>1001000</v>
      </c>
      <c r="F319">
        <v>19132</v>
      </c>
      <c r="G319">
        <v>-1</v>
      </c>
      <c r="H319">
        <v>-1</v>
      </c>
      <c r="I319">
        <v>-1</v>
      </c>
    </row>
    <row r="320" spans="1:9" x14ac:dyDescent="0.4">
      <c r="A320">
        <v>1001100</v>
      </c>
      <c r="B320">
        <v>1</v>
      </c>
      <c r="C320">
        <v>1001000</v>
      </c>
      <c r="D320">
        <v>-1</v>
      </c>
      <c r="E320">
        <v>-1</v>
      </c>
      <c r="F320">
        <v>19101</v>
      </c>
      <c r="G320">
        <v>-1</v>
      </c>
      <c r="H320">
        <v>-1</v>
      </c>
      <c r="I320">
        <v>-1</v>
      </c>
    </row>
    <row r="321" spans="1:9" x14ac:dyDescent="0.4">
      <c r="A321">
        <v>1001101</v>
      </c>
      <c r="B321">
        <v>1</v>
      </c>
      <c r="C321">
        <v>1001001</v>
      </c>
      <c r="D321">
        <v>1001000</v>
      </c>
      <c r="E321">
        <v>-1</v>
      </c>
      <c r="F321">
        <v>19105</v>
      </c>
      <c r="G321">
        <v>-1</v>
      </c>
      <c r="H321">
        <v>-1</v>
      </c>
      <c r="I321">
        <v>-1</v>
      </c>
    </row>
    <row r="322" spans="1:9" x14ac:dyDescent="0.4">
      <c r="A322">
        <v>1001102</v>
      </c>
      <c r="B322">
        <v>1</v>
      </c>
      <c r="C322">
        <v>1001002</v>
      </c>
      <c r="D322">
        <v>1001001</v>
      </c>
      <c r="E322">
        <v>1001000</v>
      </c>
      <c r="F322">
        <v>19109</v>
      </c>
      <c r="G322">
        <v>-1</v>
      </c>
      <c r="H322">
        <v>-1</v>
      </c>
      <c r="I322">
        <v>-1</v>
      </c>
    </row>
    <row r="323" spans="1:9" x14ac:dyDescent="0.4">
      <c r="A323">
        <v>1001110</v>
      </c>
      <c r="B323">
        <v>1</v>
      </c>
      <c r="C323">
        <v>1001000</v>
      </c>
      <c r="D323">
        <v>-1</v>
      </c>
      <c r="E323">
        <v>-1</v>
      </c>
      <c r="F323">
        <v>19113</v>
      </c>
      <c r="G323">
        <v>-1</v>
      </c>
      <c r="H323">
        <v>-1</v>
      </c>
      <c r="I323">
        <v>-1</v>
      </c>
    </row>
    <row r="324" spans="1:9" x14ac:dyDescent="0.4">
      <c r="A324">
        <v>1001111</v>
      </c>
      <c r="B324">
        <v>1</v>
      </c>
      <c r="C324">
        <v>1001001</v>
      </c>
      <c r="D324">
        <v>1001000</v>
      </c>
      <c r="E324">
        <v>-1</v>
      </c>
      <c r="F324">
        <v>19117</v>
      </c>
      <c r="G324">
        <v>-1</v>
      </c>
      <c r="H324">
        <v>-1</v>
      </c>
      <c r="I324">
        <v>-1</v>
      </c>
    </row>
    <row r="325" spans="1:9" x14ac:dyDescent="0.4">
      <c r="A325">
        <v>1001112</v>
      </c>
      <c r="B325">
        <v>1</v>
      </c>
      <c r="C325">
        <v>1001002</v>
      </c>
      <c r="D325">
        <v>1001001</v>
      </c>
      <c r="E325">
        <v>1001000</v>
      </c>
      <c r="F325">
        <v>19121</v>
      </c>
      <c r="G325">
        <v>-1</v>
      </c>
      <c r="H325">
        <v>-1</v>
      </c>
      <c r="I325">
        <v>-1</v>
      </c>
    </row>
    <row r="326" spans="1:9" x14ac:dyDescent="0.4">
      <c r="A326">
        <v>1001120</v>
      </c>
      <c r="B326">
        <v>1</v>
      </c>
      <c r="C326">
        <v>1001000</v>
      </c>
      <c r="D326">
        <v>-1</v>
      </c>
      <c r="E326">
        <v>-1</v>
      </c>
      <c r="F326">
        <v>19125</v>
      </c>
      <c r="G326">
        <v>-1</v>
      </c>
      <c r="H326">
        <v>-1</v>
      </c>
      <c r="I326">
        <v>-1</v>
      </c>
    </row>
    <row r="327" spans="1:9" x14ac:dyDescent="0.4">
      <c r="A327">
        <v>1001121</v>
      </c>
      <c r="B327">
        <v>1</v>
      </c>
      <c r="C327">
        <v>1001001</v>
      </c>
      <c r="D327">
        <v>1001000</v>
      </c>
      <c r="E327">
        <v>-1</v>
      </c>
      <c r="F327">
        <v>19129</v>
      </c>
      <c r="G327">
        <v>-1</v>
      </c>
      <c r="H327">
        <v>-1</v>
      </c>
      <c r="I327">
        <v>-1</v>
      </c>
    </row>
    <row r="328" spans="1:9" x14ac:dyDescent="0.4">
      <c r="A328">
        <v>1001122</v>
      </c>
      <c r="B328">
        <v>1</v>
      </c>
      <c r="C328">
        <v>1001002</v>
      </c>
      <c r="D328">
        <v>1001001</v>
      </c>
      <c r="E328">
        <v>1001000</v>
      </c>
      <c r="F328">
        <v>19133</v>
      </c>
      <c r="G328">
        <v>-1</v>
      </c>
      <c r="H328">
        <v>-1</v>
      </c>
      <c r="I328">
        <v>-1</v>
      </c>
    </row>
    <row r="329" spans="1:9" x14ac:dyDescent="0.4">
      <c r="A329">
        <v>1001200</v>
      </c>
      <c r="B329">
        <v>2</v>
      </c>
      <c r="C329">
        <v>1001000</v>
      </c>
      <c r="D329">
        <v>-1</v>
      </c>
      <c r="E329">
        <v>-1</v>
      </c>
      <c r="F329">
        <v>19102</v>
      </c>
      <c r="G329">
        <v>-1</v>
      </c>
      <c r="H329">
        <v>-1</v>
      </c>
      <c r="I329">
        <v>-1</v>
      </c>
    </row>
    <row r="330" spans="1:9" x14ac:dyDescent="0.4">
      <c r="A330">
        <v>1001201</v>
      </c>
      <c r="B330">
        <v>2</v>
      </c>
      <c r="C330">
        <v>1001001</v>
      </c>
      <c r="D330">
        <v>1001000</v>
      </c>
      <c r="E330">
        <v>-1</v>
      </c>
      <c r="F330">
        <v>19106</v>
      </c>
      <c r="G330">
        <v>-1</v>
      </c>
      <c r="H330">
        <v>-1</v>
      </c>
      <c r="I330">
        <v>-1</v>
      </c>
    </row>
    <row r="331" spans="1:9" x14ac:dyDescent="0.4">
      <c r="A331">
        <v>1001202</v>
      </c>
      <c r="B331">
        <v>2</v>
      </c>
      <c r="C331">
        <v>1001002</v>
      </c>
      <c r="D331">
        <v>1001001</v>
      </c>
      <c r="E331">
        <v>1001000</v>
      </c>
      <c r="F331">
        <v>19110</v>
      </c>
      <c r="G331">
        <v>-1</v>
      </c>
      <c r="H331">
        <v>-1</v>
      </c>
      <c r="I331">
        <v>-1</v>
      </c>
    </row>
    <row r="332" spans="1:9" x14ac:dyDescent="0.4">
      <c r="A332">
        <v>1001210</v>
      </c>
      <c r="B332">
        <v>2</v>
      </c>
      <c r="C332">
        <v>1001000</v>
      </c>
      <c r="D332">
        <v>-1</v>
      </c>
      <c r="E332">
        <v>-1</v>
      </c>
      <c r="F332">
        <v>19114</v>
      </c>
      <c r="G332">
        <v>-1</v>
      </c>
      <c r="H332">
        <v>-1</v>
      </c>
      <c r="I332">
        <v>-1</v>
      </c>
    </row>
    <row r="333" spans="1:9" x14ac:dyDescent="0.4">
      <c r="A333">
        <v>1001211</v>
      </c>
      <c r="B333">
        <v>2</v>
      </c>
      <c r="C333">
        <v>1001001</v>
      </c>
      <c r="D333">
        <v>1001000</v>
      </c>
      <c r="E333">
        <v>-1</v>
      </c>
      <c r="F333">
        <v>19118</v>
      </c>
      <c r="G333">
        <v>-1</v>
      </c>
      <c r="H333">
        <v>-1</v>
      </c>
      <c r="I333">
        <v>-1</v>
      </c>
    </row>
    <row r="334" spans="1:9" x14ac:dyDescent="0.4">
      <c r="A334">
        <v>1001212</v>
      </c>
      <c r="B334">
        <v>2</v>
      </c>
      <c r="C334">
        <v>1001002</v>
      </c>
      <c r="D334">
        <v>1001001</v>
      </c>
      <c r="E334">
        <v>1001000</v>
      </c>
      <c r="F334">
        <v>19122</v>
      </c>
      <c r="G334">
        <v>-1</v>
      </c>
      <c r="H334">
        <v>-1</v>
      </c>
      <c r="I334">
        <v>-1</v>
      </c>
    </row>
    <row r="335" spans="1:9" x14ac:dyDescent="0.4">
      <c r="A335">
        <v>1001220</v>
      </c>
      <c r="B335">
        <v>2</v>
      </c>
      <c r="C335">
        <v>1001000</v>
      </c>
      <c r="D335">
        <v>-1</v>
      </c>
      <c r="E335">
        <v>-1</v>
      </c>
      <c r="F335">
        <v>19126</v>
      </c>
      <c r="G335">
        <v>-1</v>
      </c>
      <c r="H335">
        <v>-1</v>
      </c>
      <c r="I335">
        <v>-1</v>
      </c>
    </row>
    <row r="336" spans="1:9" x14ac:dyDescent="0.4">
      <c r="A336">
        <v>1001221</v>
      </c>
      <c r="B336">
        <v>2</v>
      </c>
      <c r="C336">
        <v>1001001</v>
      </c>
      <c r="D336">
        <v>1001000</v>
      </c>
      <c r="E336">
        <v>-1</v>
      </c>
      <c r="F336">
        <v>19130</v>
      </c>
      <c r="G336">
        <v>-1</v>
      </c>
      <c r="H336">
        <v>-1</v>
      </c>
      <c r="I336">
        <v>-1</v>
      </c>
    </row>
    <row r="337" spans="1:9" x14ac:dyDescent="0.4">
      <c r="A337">
        <v>1001222</v>
      </c>
      <c r="B337">
        <v>2</v>
      </c>
      <c r="C337">
        <v>1001002</v>
      </c>
      <c r="D337">
        <v>1001001</v>
      </c>
      <c r="E337">
        <v>1001000</v>
      </c>
      <c r="F337">
        <v>19134</v>
      </c>
      <c r="G337">
        <v>-1</v>
      </c>
      <c r="H337">
        <v>-1</v>
      </c>
      <c r="I337">
        <v>-1</v>
      </c>
    </row>
    <row r="338" spans="1:9" x14ac:dyDescent="0.4">
      <c r="A338">
        <v>1001300</v>
      </c>
      <c r="B338">
        <v>3</v>
      </c>
      <c r="C338">
        <v>1001000</v>
      </c>
      <c r="D338">
        <v>-1</v>
      </c>
      <c r="E338">
        <v>-1</v>
      </c>
      <c r="F338">
        <v>19103</v>
      </c>
      <c r="G338">
        <v>-1</v>
      </c>
      <c r="H338">
        <v>-1</v>
      </c>
      <c r="I338">
        <v>-1</v>
      </c>
    </row>
    <row r="339" spans="1:9" x14ac:dyDescent="0.4">
      <c r="A339">
        <v>1001301</v>
      </c>
      <c r="B339">
        <v>3</v>
      </c>
      <c r="C339">
        <v>1001001</v>
      </c>
      <c r="D339">
        <v>1001000</v>
      </c>
      <c r="E339">
        <v>-1</v>
      </c>
      <c r="F339">
        <v>19107</v>
      </c>
      <c r="G339">
        <v>-1</v>
      </c>
      <c r="H339">
        <v>-1</v>
      </c>
      <c r="I339">
        <v>-1</v>
      </c>
    </row>
    <row r="340" spans="1:9" x14ac:dyDescent="0.4">
      <c r="A340">
        <v>1001302</v>
      </c>
      <c r="B340">
        <v>3</v>
      </c>
      <c r="C340">
        <v>1001002</v>
      </c>
      <c r="D340">
        <v>1001001</v>
      </c>
      <c r="E340">
        <v>1001000</v>
      </c>
      <c r="F340">
        <v>19111</v>
      </c>
      <c r="G340">
        <v>-1</v>
      </c>
      <c r="H340">
        <v>-1</v>
      </c>
      <c r="I340">
        <v>-1</v>
      </c>
    </row>
    <row r="341" spans="1:9" x14ac:dyDescent="0.4">
      <c r="A341">
        <v>1001310</v>
      </c>
      <c r="B341">
        <v>3</v>
      </c>
      <c r="C341">
        <v>1001000</v>
      </c>
      <c r="D341">
        <v>-1</v>
      </c>
      <c r="E341">
        <v>-1</v>
      </c>
      <c r="F341">
        <v>19115</v>
      </c>
      <c r="G341">
        <v>-1</v>
      </c>
      <c r="H341">
        <v>-1</v>
      </c>
      <c r="I341">
        <v>-1</v>
      </c>
    </row>
    <row r="342" spans="1:9" x14ac:dyDescent="0.4">
      <c r="A342">
        <v>1001311</v>
      </c>
      <c r="B342">
        <v>3</v>
      </c>
      <c r="C342">
        <v>1001001</v>
      </c>
      <c r="D342">
        <v>1001000</v>
      </c>
      <c r="E342">
        <v>-1</v>
      </c>
      <c r="F342">
        <v>19119</v>
      </c>
      <c r="G342">
        <v>-1</v>
      </c>
      <c r="H342">
        <v>-1</v>
      </c>
      <c r="I342">
        <v>-1</v>
      </c>
    </row>
    <row r="343" spans="1:9" x14ac:dyDescent="0.4">
      <c r="A343">
        <v>1001312</v>
      </c>
      <c r="B343">
        <v>3</v>
      </c>
      <c r="C343">
        <v>1001002</v>
      </c>
      <c r="D343">
        <v>1001001</v>
      </c>
      <c r="E343">
        <v>1001000</v>
      </c>
      <c r="F343">
        <v>19123</v>
      </c>
      <c r="G343">
        <v>-1</v>
      </c>
      <c r="H343">
        <v>-1</v>
      </c>
      <c r="I343">
        <v>-1</v>
      </c>
    </row>
    <row r="344" spans="1:9" x14ac:dyDescent="0.4">
      <c r="A344">
        <v>1001320</v>
      </c>
      <c r="B344">
        <v>3</v>
      </c>
      <c r="C344">
        <v>1001000</v>
      </c>
      <c r="D344">
        <v>-1</v>
      </c>
      <c r="E344">
        <v>-1</v>
      </c>
      <c r="F344">
        <v>19127</v>
      </c>
      <c r="G344">
        <v>-1</v>
      </c>
      <c r="H344">
        <v>-1</v>
      </c>
      <c r="I344">
        <v>-1</v>
      </c>
    </row>
    <row r="345" spans="1:9" x14ac:dyDescent="0.4">
      <c r="A345">
        <v>1001321</v>
      </c>
      <c r="B345">
        <v>3</v>
      </c>
      <c r="C345">
        <v>1001001</v>
      </c>
      <c r="D345">
        <v>1001000</v>
      </c>
      <c r="E345">
        <v>-1</v>
      </c>
      <c r="F345">
        <v>19131</v>
      </c>
      <c r="G345">
        <v>-1</v>
      </c>
      <c r="H345">
        <v>-1</v>
      </c>
      <c r="I345">
        <v>-1</v>
      </c>
    </row>
    <row r="346" spans="1:9" x14ac:dyDescent="0.4">
      <c r="A346">
        <v>1001322</v>
      </c>
      <c r="B346">
        <v>3</v>
      </c>
      <c r="C346">
        <v>1001002</v>
      </c>
      <c r="D346">
        <v>1001001</v>
      </c>
      <c r="E346">
        <v>1001000</v>
      </c>
      <c r="F346">
        <v>19135</v>
      </c>
      <c r="G346">
        <v>-1</v>
      </c>
      <c r="H346">
        <v>-1</v>
      </c>
      <c r="I346">
        <v>-1</v>
      </c>
    </row>
    <row r="347" spans="1:9" x14ac:dyDescent="0.4">
      <c r="A347">
        <v>1002000</v>
      </c>
      <c r="B347">
        <v>0</v>
      </c>
      <c r="C347">
        <v>1002000</v>
      </c>
      <c r="D347">
        <v>-1</v>
      </c>
      <c r="E347">
        <v>-1</v>
      </c>
      <c r="F347">
        <v>19100</v>
      </c>
      <c r="G347">
        <v>-1</v>
      </c>
      <c r="H347">
        <v>-1</v>
      </c>
      <c r="I347">
        <v>-1</v>
      </c>
    </row>
    <row r="348" spans="1:9" x14ac:dyDescent="0.4">
      <c r="A348">
        <v>1002001</v>
      </c>
      <c r="B348">
        <v>0</v>
      </c>
      <c r="C348">
        <v>1002001</v>
      </c>
      <c r="D348">
        <v>1002000</v>
      </c>
      <c r="E348">
        <v>-1</v>
      </c>
      <c r="F348">
        <v>19104</v>
      </c>
      <c r="G348">
        <v>-1</v>
      </c>
      <c r="H348">
        <v>-1</v>
      </c>
      <c r="I348">
        <v>-1</v>
      </c>
    </row>
    <row r="349" spans="1:9" x14ac:dyDescent="0.4">
      <c r="A349">
        <v>1002002</v>
      </c>
      <c r="B349">
        <v>0</v>
      </c>
      <c r="C349">
        <v>1002002</v>
      </c>
      <c r="D349">
        <v>1002001</v>
      </c>
      <c r="E349">
        <v>1002000</v>
      </c>
      <c r="F349">
        <v>19108</v>
      </c>
      <c r="G349">
        <v>-1</v>
      </c>
      <c r="H349">
        <v>-1</v>
      </c>
      <c r="I349">
        <v>-1</v>
      </c>
    </row>
    <row r="350" spans="1:9" x14ac:dyDescent="0.4">
      <c r="A350">
        <v>1002010</v>
      </c>
      <c r="B350">
        <v>0</v>
      </c>
      <c r="C350">
        <v>1002000</v>
      </c>
      <c r="D350">
        <v>-1</v>
      </c>
      <c r="E350">
        <v>-1</v>
      </c>
      <c r="F350">
        <v>19112</v>
      </c>
      <c r="G350">
        <v>-1</v>
      </c>
      <c r="H350">
        <v>-1</v>
      </c>
      <c r="I350">
        <v>-1</v>
      </c>
    </row>
    <row r="351" spans="1:9" x14ac:dyDescent="0.4">
      <c r="A351">
        <v>1002011</v>
      </c>
      <c r="B351">
        <v>0</v>
      </c>
      <c r="C351">
        <v>1002001</v>
      </c>
      <c r="D351">
        <v>1002000</v>
      </c>
      <c r="E351">
        <v>-1</v>
      </c>
      <c r="F351">
        <v>19116</v>
      </c>
      <c r="G351">
        <v>-1</v>
      </c>
      <c r="H351">
        <v>-1</v>
      </c>
      <c r="I351">
        <v>-1</v>
      </c>
    </row>
    <row r="352" spans="1:9" x14ac:dyDescent="0.4">
      <c r="A352">
        <v>1002012</v>
      </c>
      <c r="B352">
        <v>0</v>
      </c>
      <c r="C352">
        <v>1002002</v>
      </c>
      <c r="D352">
        <v>1002001</v>
      </c>
      <c r="E352">
        <v>1002000</v>
      </c>
      <c r="F352">
        <v>19120</v>
      </c>
      <c r="G352">
        <v>-1</v>
      </c>
      <c r="H352">
        <v>-1</v>
      </c>
      <c r="I352">
        <v>-1</v>
      </c>
    </row>
    <row r="353" spans="1:9" x14ac:dyDescent="0.4">
      <c r="A353">
        <v>1002020</v>
      </c>
      <c r="B353">
        <v>0</v>
      </c>
      <c r="C353">
        <v>1002000</v>
      </c>
      <c r="D353">
        <v>-1</v>
      </c>
      <c r="E353">
        <v>-1</v>
      </c>
      <c r="F353">
        <v>19124</v>
      </c>
      <c r="G353">
        <v>-1</v>
      </c>
      <c r="H353">
        <v>-1</v>
      </c>
      <c r="I353">
        <v>-1</v>
      </c>
    </row>
    <row r="354" spans="1:9" x14ac:dyDescent="0.4">
      <c r="A354">
        <v>1002021</v>
      </c>
      <c r="B354">
        <v>0</v>
      </c>
      <c r="C354">
        <v>1002001</v>
      </c>
      <c r="D354">
        <v>1002000</v>
      </c>
      <c r="E354">
        <v>-1</v>
      </c>
      <c r="F354">
        <v>19128</v>
      </c>
      <c r="G354">
        <v>-1</v>
      </c>
      <c r="H354">
        <v>-1</v>
      </c>
      <c r="I354">
        <v>-1</v>
      </c>
    </row>
    <row r="355" spans="1:9" x14ac:dyDescent="0.4">
      <c r="A355">
        <v>1002022</v>
      </c>
      <c r="B355">
        <v>0</v>
      </c>
      <c r="C355">
        <v>1002002</v>
      </c>
      <c r="D355">
        <v>1002001</v>
      </c>
      <c r="E355">
        <v>1002000</v>
      </c>
      <c r="F355">
        <v>19132</v>
      </c>
      <c r="G355">
        <v>-1</v>
      </c>
      <c r="H355">
        <v>-1</v>
      </c>
      <c r="I355">
        <v>-1</v>
      </c>
    </row>
    <row r="356" spans="1:9" x14ac:dyDescent="0.4">
      <c r="A356">
        <v>1002100</v>
      </c>
      <c r="B356">
        <v>1</v>
      </c>
      <c r="C356">
        <v>1002000</v>
      </c>
      <c r="D356">
        <v>-1</v>
      </c>
      <c r="E356">
        <v>-1</v>
      </c>
      <c r="F356">
        <v>19101</v>
      </c>
      <c r="G356">
        <v>-1</v>
      </c>
      <c r="H356">
        <v>-1</v>
      </c>
      <c r="I356">
        <v>-1</v>
      </c>
    </row>
    <row r="357" spans="1:9" x14ac:dyDescent="0.4">
      <c r="A357">
        <v>1002101</v>
      </c>
      <c r="B357">
        <v>1</v>
      </c>
      <c r="C357">
        <v>1002001</v>
      </c>
      <c r="D357">
        <v>1002000</v>
      </c>
      <c r="E357">
        <v>-1</v>
      </c>
      <c r="F357">
        <v>19105</v>
      </c>
      <c r="G357">
        <v>-1</v>
      </c>
      <c r="H357">
        <v>-1</v>
      </c>
      <c r="I357">
        <v>-1</v>
      </c>
    </row>
    <row r="358" spans="1:9" x14ac:dyDescent="0.4">
      <c r="A358">
        <v>1002102</v>
      </c>
      <c r="B358">
        <v>1</v>
      </c>
      <c r="C358">
        <v>1002002</v>
      </c>
      <c r="D358">
        <v>1002001</v>
      </c>
      <c r="E358">
        <v>1002000</v>
      </c>
      <c r="F358">
        <v>19109</v>
      </c>
      <c r="G358">
        <v>-1</v>
      </c>
      <c r="H358">
        <v>-1</v>
      </c>
      <c r="I358">
        <v>-1</v>
      </c>
    </row>
    <row r="359" spans="1:9" x14ac:dyDescent="0.4">
      <c r="A359">
        <v>1002110</v>
      </c>
      <c r="B359">
        <v>1</v>
      </c>
      <c r="C359">
        <v>1002000</v>
      </c>
      <c r="D359">
        <v>-1</v>
      </c>
      <c r="E359">
        <v>-1</v>
      </c>
      <c r="F359">
        <v>19113</v>
      </c>
      <c r="G359">
        <v>-1</v>
      </c>
      <c r="H359">
        <v>-1</v>
      </c>
      <c r="I359">
        <v>-1</v>
      </c>
    </row>
    <row r="360" spans="1:9" x14ac:dyDescent="0.4">
      <c r="A360">
        <v>1002111</v>
      </c>
      <c r="B360">
        <v>1</v>
      </c>
      <c r="C360">
        <v>1002001</v>
      </c>
      <c r="D360">
        <v>1002000</v>
      </c>
      <c r="E360">
        <v>-1</v>
      </c>
      <c r="F360">
        <v>19117</v>
      </c>
      <c r="G360">
        <v>-1</v>
      </c>
      <c r="H360">
        <v>-1</v>
      </c>
      <c r="I360">
        <v>-1</v>
      </c>
    </row>
    <row r="361" spans="1:9" x14ac:dyDescent="0.4">
      <c r="A361">
        <v>1002112</v>
      </c>
      <c r="B361">
        <v>1</v>
      </c>
      <c r="C361">
        <v>1002002</v>
      </c>
      <c r="D361">
        <v>1002001</v>
      </c>
      <c r="E361">
        <v>1002000</v>
      </c>
      <c r="F361">
        <v>19121</v>
      </c>
      <c r="G361">
        <v>-1</v>
      </c>
      <c r="H361">
        <v>-1</v>
      </c>
      <c r="I361">
        <v>-1</v>
      </c>
    </row>
    <row r="362" spans="1:9" x14ac:dyDescent="0.4">
      <c r="A362">
        <v>1002120</v>
      </c>
      <c r="B362">
        <v>1</v>
      </c>
      <c r="C362">
        <v>1002000</v>
      </c>
      <c r="D362">
        <v>-1</v>
      </c>
      <c r="E362">
        <v>-1</v>
      </c>
      <c r="F362">
        <v>19125</v>
      </c>
      <c r="G362">
        <v>-1</v>
      </c>
      <c r="H362">
        <v>-1</v>
      </c>
      <c r="I362">
        <v>-1</v>
      </c>
    </row>
    <row r="363" spans="1:9" x14ac:dyDescent="0.4">
      <c r="A363">
        <v>1002121</v>
      </c>
      <c r="B363">
        <v>1</v>
      </c>
      <c r="C363">
        <v>1002001</v>
      </c>
      <c r="D363">
        <v>1002000</v>
      </c>
      <c r="E363">
        <v>-1</v>
      </c>
      <c r="F363">
        <v>19129</v>
      </c>
      <c r="G363">
        <v>-1</v>
      </c>
      <c r="H363">
        <v>-1</v>
      </c>
      <c r="I363">
        <v>-1</v>
      </c>
    </row>
    <row r="364" spans="1:9" x14ac:dyDescent="0.4">
      <c r="A364">
        <v>1002122</v>
      </c>
      <c r="B364">
        <v>1</v>
      </c>
      <c r="C364">
        <v>1002002</v>
      </c>
      <c r="D364">
        <v>1002001</v>
      </c>
      <c r="E364">
        <v>1002000</v>
      </c>
      <c r="F364">
        <v>19133</v>
      </c>
      <c r="G364">
        <v>-1</v>
      </c>
      <c r="H364">
        <v>-1</v>
      </c>
      <c r="I364">
        <v>-1</v>
      </c>
    </row>
    <row r="365" spans="1:9" x14ac:dyDescent="0.4">
      <c r="A365">
        <v>1002200</v>
      </c>
      <c r="B365">
        <v>2</v>
      </c>
      <c r="C365">
        <v>1002000</v>
      </c>
      <c r="D365">
        <v>-1</v>
      </c>
      <c r="E365">
        <v>-1</v>
      </c>
      <c r="F365">
        <v>19102</v>
      </c>
      <c r="G365">
        <v>-1</v>
      </c>
      <c r="H365">
        <v>-1</v>
      </c>
      <c r="I365">
        <v>-1</v>
      </c>
    </row>
    <row r="366" spans="1:9" x14ac:dyDescent="0.4">
      <c r="A366">
        <v>1002201</v>
      </c>
      <c r="B366">
        <v>2</v>
      </c>
      <c r="C366">
        <v>1002001</v>
      </c>
      <c r="D366">
        <v>1002000</v>
      </c>
      <c r="E366">
        <v>-1</v>
      </c>
      <c r="F366">
        <v>19106</v>
      </c>
      <c r="G366">
        <v>-1</v>
      </c>
      <c r="H366">
        <v>-1</v>
      </c>
      <c r="I366">
        <v>-1</v>
      </c>
    </row>
    <row r="367" spans="1:9" x14ac:dyDescent="0.4">
      <c r="A367">
        <v>1002202</v>
      </c>
      <c r="B367">
        <v>2</v>
      </c>
      <c r="C367">
        <v>1002002</v>
      </c>
      <c r="D367">
        <v>1002001</v>
      </c>
      <c r="E367">
        <v>1002000</v>
      </c>
      <c r="F367">
        <v>19110</v>
      </c>
      <c r="G367">
        <v>-1</v>
      </c>
      <c r="H367">
        <v>-1</v>
      </c>
      <c r="I367">
        <v>-1</v>
      </c>
    </row>
    <row r="368" spans="1:9" x14ac:dyDescent="0.4">
      <c r="A368">
        <v>1002210</v>
      </c>
      <c r="B368">
        <v>2</v>
      </c>
      <c r="C368">
        <v>1002000</v>
      </c>
      <c r="D368">
        <v>-1</v>
      </c>
      <c r="E368">
        <v>-1</v>
      </c>
      <c r="F368">
        <v>19114</v>
      </c>
      <c r="G368">
        <v>-1</v>
      </c>
      <c r="H368">
        <v>-1</v>
      </c>
      <c r="I368">
        <v>-1</v>
      </c>
    </row>
    <row r="369" spans="1:9" x14ac:dyDescent="0.4">
      <c r="A369">
        <v>1002211</v>
      </c>
      <c r="B369">
        <v>2</v>
      </c>
      <c r="C369">
        <v>1002001</v>
      </c>
      <c r="D369">
        <v>1002000</v>
      </c>
      <c r="E369">
        <v>-1</v>
      </c>
      <c r="F369">
        <v>19118</v>
      </c>
      <c r="G369">
        <v>-1</v>
      </c>
      <c r="H369">
        <v>-1</v>
      </c>
      <c r="I369">
        <v>-1</v>
      </c>
    </row>
    <row r="370" spans="1:9" x14ac:dyDescent="0.4">
      <c r="A370">
        <v>1002212</v>
      </c>
      <c r="B370">
        <v>2</v>
      </c>
      <c r="C370">
        <v>1002002</v>
      </c>
      <c r="D370">
        <v>1002001</v>
      </c>
      <c r="E370">
        <v>1002000</v>
      </c>
      <c r="F370">
        <v>19122</v>
      </c>
      <c r="G370">
        <v>-1</v>
      </c>
      <c r="H370">
        <v>-1</v>
      </c>
      <c r="I370">
        <v>-1</v>
      </c>
    </row>
    <row r="371" spans="1:9" x14ac:dyDescent="0.4">
      <c r="A371">
        <v>1002220</v>
      </c>
      <c r="B371">
        <v>2</v>
      </c>
      <c r="C371">
        <v>1002000</v>
      </c>
      <c r="D371">
        <v>-1</v>
      </c>
      <c r="E371">
        <v>-1</v>
      </c>
      <c r="F371">
        <v>19126</v>
      </c>
      <c r="G371">
        <v>-1</v>
      </c>
      <c r="H371">
        <v>-1</v>
      </c>
      <c r="I371">
        <v>-1</v>
      </c>
    </row>
    <row r="372" spans="1:9" x14ac:dyDescent="0.4">
      <c r="A372">
        <v>1002221</v>
      </c>
      <c r="B372">
        <v>2</v>
      </c>
      <c r="C372">
        <v>1002001</v>
      </c>
      <c r="D372">
        <v>1002000</v>
      </c>
      <c r="E372">
        <v>-1</v>
      </c>
      <c r="F372">
        <v>19130</v>
      </c>
      <c r="G372">
        <v>-1</v>
      </c>
      <c r="H372">
        <v>-1</v>
      </c>
      <c r="I372">
        <v>-1</v>
      </c>
    </row>
    <row r="373" spans="1:9" x14ac:dyDescent="0.4">
      <c r="A373">
        <v>1002222</v>
      </c>
      <c r="B373">
        <v>2</v>
      </c>
      <c r="C373">
        <v>1002002</v>
      </c>
      <c r="D373">
        <v>1002001</v>
      </c>
      <c r="E373">
        <v>1002000</v>
      </c>
      <c r="F373">
        <v>19134</v>
      </c>
      <c r="G373">
        <v>-1</v>
      </c>
      <c r="H373">
        <v>-1</v>
      </c>
      <c r="I373">
        <v>-1</v>
      </c>
    </row>
    <row r="374" spans="1:9" x14ac:dyDescent="0.4">
      <c r="A374">
        <v>1002300</v>
      </c>
      <c r="B374">
        <v>3</v>
      </c>
      <c r="C374">
        <v>1002000</v>
      </c>
      <c r="D374">
        <v>-1</v>
      </c>
      <c r="E374">
        <v>-1</v>
      </c>
      <c r="F374">
        <v>19103</v>
      </c>
      <c r="G374">
        <v>-1</v>
      </c>
      <c r="H374">
        <v>-1</v>
      </c>
      <c r="I374">
        <v>-1</v>
      </c>
    </row>
    <row r="375" spans="1:9" x14ac:dyDescent="0.4">
      <c r="A375">
        <v>1002301</v>
      </c>
      <c r="B375">
        <v>3</v>
      </c>
      <c r="C375">
        <v>1002001</v>
      </c>
      <c r="D375">
        <v>1002000</v>
      </c>
      <c r="E375">
        <v>-1</v>
      </c>
      <c r="F375">
        <v>19107</v>
      </c>
      <c r="G375">
        <v>-1</v>
      </c>
      <c r="H375">
        <v>-1</v>
      </c>
      <c r="I375">
        <v>-1</v>
      </c>
    </row>
    <row r="376" spans="1:9" x14ac:dyDescent="0.4">
      <c r="A376">
        <v>1002302</v>
      </c>
      <c r="B376">
        <v>3</v>
      </c>
      <c r="C376">
        <v>1002002</v>
      </c>
      <c r="D376">
        <v>1002001</v>
      </c>
      <c r="E376">
        <v>1002000</v>
      </c>
      <c r="F376">
        <v>19111</v>
      </c>
      <c r="G376">
        <v>-1</v>
      </c>
      <c r="H376">
        <v>-1</v>
      </c>
      <c r="I376">
        <v>-1</v>
      </c>
    </row>
    <row r="377" spans="1:9" x14ac:dyDescent="0.4">
      <c r="A377">
        <v>1002310</v>
      </c>
      <c r="B377">
        <v>3</v>
      </c>
      <c r="C377">
        <v>1002000</v>
      </c>
      <c r="D377">
        <v>-1</v>
      </c>
      <c r="E377">
        <v>-1</v>
      </c>
      <c r="F377">
        <v>19115</v>
      </c>
      <c r="G377">
        <v>-1</v>
      </c>
      <c r="H377">
        <v>-1</v>
      </c>
      <c r="I377">
        <v>-1</v>
      </c>
    </row>
    <row r="378" spans="1:9" x14ac:dyDescent="0.4">
      <c r="A378">
        <v>1002311</v>
      </c>
      <c r="B378">
        <v>3</v>
      </c>
      <c r="C378">
        <v>1002001</v>
      </c>
      <c r="D378">
        <v>1002000</v>
      </c>
      <c r="E378">
        <v>-1</v>
      </c>
      <c r="F378">
        <v>19119</v>
      </c>
      <c r="G378">
        <v>-1</v>
      </c>
      <c r="H378">
        <v>-1</v>
      </c>
      <c r="I378">
        <v>-1</v>
      </c>
    </row>
    <row r="379" spans="1:9" x14ac:dyDescent="0.4">
      <c r="A379">
        <v>1002312</v>
      </c>
      <c r="B379">
        <v>3</v>
      </c>
      <c r="C379">
        <v>1002002</v>
      </c>
      <c r="D379">
        <v>1002001</v>
      </c>
      <c r="E379">
        <v>1002000</v>
      </c>
      <c r="F379">
        <v>19123</v>
      </c>
      <c r="G379">
        <v>-1</v>
      </c>
      <c r="H379">
        <v>-1</v>
      </c>
      <c r="I379">
        <v>-1</v>
      </c>
    </row>
    <row r="380" spans="1:9" x14ac:dyDescent="0.4">
      <c r="A380">
        <v>1002320</v>
      </c>
      <c r="B380">
        <v>3</v>
      </c>
      <c r="C380">
        <v>1002000</v>
      </c>
      <c r="D380">
        <v>-1</v>
      </c>
      <c r="E380">
        <v>-1</v>
      </c>
      <c r="F380">
        <v>19127</v>
      </c>
      <c r="G380">
        <v>-1</v>
      </c>
      <c r="H380">
        <v>-1</v>
      </c>
      <c r="I380">
        <v>-1</v>
      </c>
    </row>
    <row r="381" spans="1:9" x14ac:dyDescent="0.4">
      <c r="A381">
        <v>1002321</v>
      </c>
      <c r="B381">
        <v>3</v>
      </c>
      <c r="C381">
        <v>1002001</v>
      </c>
      <c r="D381">
        <v>1002000</v>
      </c>
      <c r="E381">
        <v>-1</v>
      </c>
      <c r="F381">
        <v>19131</v>
      </c>
      <c r="G381">
        <v>-1</v>
      </c>
      <c r="H381">
        <v>-1</v>
      </c>
      <c r="I381">
        <v>-1</v>
      </c>
    </row>
    <row r="382" spans="1:9" x14ac:dyDescent="0.4">
      <c r="A382">
        <v>1002322</v>
      </c>
      <c r="B382">
        <v>3</v>
      </c>
      <c r="C382">
        <v>1002002</v>
      </c>
      <c r="D382">
        <v>1002001</v>
      </c>
      <c r="E382">
        <v>1002000</v>
      </c>
      <c r="F382">
        <v>19135</v>
      </c>
      <c r="G382">
        <v>-1</v>
      </c>
      <c r="H382">
        <v>-1</v>
      </c>
      <c r="I382">
        <v>-1</v>
      </c>
    </row>
    <row r="383" spans="1:9" x14ac:dyDescent="0.4">
      <c r="A383">
        <v>1003000</v>
      </c>
      <c r="B383">
        <v>0</v>
      </c>
      <c r="C383">
        <v>1003000</v>
      </c>
      <c r="D383">
        <v>-1</v>
      </c>
      <c r="E383">
        <v>-1</v>
      </c>
      <c r="F383">
        <v>19100</v>
      </c>
      <c r="G383">
        <v>-1</v>
      </c>
      <c r="H383">
        <v>-1</v>
      </c>
      <c r="I383">
        <v>-1</v>
      </c>
    </row>
    <row r="384" spans="1:9" x14ac:dyDescent="0.4">
      <c r="A384">
        <v>1003001</v>
      </c>
      <c r="B384">
        <v>0</v>
      </c>
      <c r="C384">
        <v>1003001</v>
      </c>
      <c r="D384">
        <v>1003000</v>
      </c>
      <c r="E384">
        <v>-1</v>
      </c>
      <c r="F384">
        <v>19104</v>
      </c>
      <c r="G384">
        <v>-1</v>
      </c>
      <c r="H384">
        <v>-1</v>
      </c>
      <c r="I384">
        <v>-1</v>
      </c>
    </row>
    <row r="385" spans="1:9" x14ac:dyDescent="0.4">
      <c r="A385">
        <v>1003002</v>
      </c>
      <c r="B385">
        <v>0</v>
      </c>
      <c r="C385">
        <v>1003002</v>
      </c>
      <c r="D385">
        <v>1003001</v>
      </c>
      <c r="E385">
        <v>1003000</v>
      </c>
      <c r="F385">
        <v>19108</v>
      </c>
      <c r="G385">
        <v>-1</v>
      </c>
      <c r="H385">
        <v>-1</v>
      </c>
      <c r="I385">
        <v>-1</v>
      </c>
    </row>
    <row r="386" spans="1:9" x14ac:dyDescent="0.4">
      <c r="A386">
        <v>1003010</v>
      </c>
      <c r="B386">
        <v>0</v>
      </c>
      <c r="C386">
        <v>1003000</v>
      </c>
      <c r="D386">
        <v>-1</v>
      </c>
      <c r="E386">
        <v>-1</v>
      </c>
      <c r="F386">
        <v>19112</v>
      </c>
      <c r="G386">
        <v>-1</v>
      </c>
      <c r="H386">
        <v>-1</v>
      </c>
      <c r="I386">
        <v>-1</v>
      </c>
    </row>
    <row r="387" spans="1:9" x14ac:dyDescent="0.4">
      <c r="A387">
        <v>1003011</v>
      </c>
      <c r="B387">
        <v>0</v>
      </c>
      <c r="C387">
        <v>1003001</v>
      </c>
      <c r="D387">
        <v>1003000</v>
      </c>
      <c r="E387">
        <v>-1</v>
      </c>
      <c r="F387">
        <v>19116</v>
      </c>
      <c r="G387">
        <v>-1</v>
      </c>
      <c r="H387">
        <v>-1</v>
      </c>
      <c r="I387">
        <v>-1</v>
      </c>
    </row>
    <row r="388" spans="1:9" x14ac:dyDescent="0.4">
      <c r="A388">
        <v>1003012</v>
      </c>
      <c r="B388">
        <v>0</v>
      </c>
      <c r="C388">
        <v>1003002</v>
      </c>
      <c r="D388">
        <v>1003001</v>
      </c>
      <c r="E388">
        <v>1003000</v>
      </c>
      <c r="F388">
        <v>19120</v>
      </c>
      <c r="G388">
        <v>-1</v>
      </c>
      <c r="H388">
        <v>-1</v>
      </c>
      <c r="I388">
        <v>-1</v>
      </c>
    </row>
    <row r="389" spans="1:9" x14ac:dyDescent="0.4">
      <c r="A389">
        <v>1003020</v>
      </c>
      <c r="B389">
        <v>0</v>
      </c>
      <c r="C389">
        <v>1003000</v>
      </c>
      <c r="D389">
        <v>-1</v>
      </c>
      <c r="E389">
        <v>-1</v>
      </c>
      <c r="F389">
        <v>19124</v>
      </c>
      <c r="G389">
        <v>-1</v>
      </c>
      <c r="H389">
        <v>-1</v>
      </c>
      <c r="I389">
        <v>-1</v>
      </c>
    </row>
    <row r="390" spans="1:9" x14ac:dyDescent="0.4">
      <c r="A390">
        <v>1003021</v>
      </c>
      <c r="B390">
        <v>0</v>
      </c>
      <c r="C390">
        <v>1003001</v>
      </c>
      <c r="D390">
        <v>1003000</v>
      </c>
      <c r="E390">
        <v>-1</v>
      </c>
      <c r="F390">
        <v>19128</v>
      </c>
      <c r="G390">
        <v>-1</v>
      </c>
      <c r="H390">
        <v>-1</v>
      </c>
      <c r="I390">
        <v>-1</v>
      </c>
    </row>
    <row r="391" spans="1:9" x14ac:dyDescent="0.4">
      <c r="A391">
        <v>1003022</v>
      </c>
      <c r="B391">
        <v>0</v>
      </c>
      <c r="C391">
        <v>1003002</v>
      </c>
      <c r="D391">
        <v>1003001</v>
      </c>
      <c r="E391">
        <v>1003000</v>
      </c>
      <c r="F391">
        <v>19132</v>
      </c>
      <c r="G391">
        <v>-1</v>
      </c>
      <c r="H391">
        <v>-1</v>
      </c>
      <c r="I391">
        <v>-1</v>
      </c>
    </row>
    <row r="392" spans="1:9" x14ac:dyDescent="0.4">
      <c r="A392">
        <v>1003100</v>
      </c>
      <c r="B392">
        <v>1</v>
      </c>
      <c r="C392">
        <v>1003000</v>
      </c>
      <c r="D392">
        <v>-1</v>
      </c>
      <c r="E392">
        <v>-1</v>
      </c>
      <c r="F392">
        <v>19101</v>
      </c>
      <c r="G392">
        <v>-1</v>
      </c>
      <c r="H392">
        <v>-1</v>
      </c>
      <c r="I392">
        <v>-1</v>
      </c>
    </row>
    <row r="393" spans="1:9" x14ac:dyDescent="0.4">
      <c r="A393">
        <v>1003101</v>
      </c>
      <c r="B393">
        <v>1</v>
      </c>
      <c r="C393">
        <v>1003001</v>
      </c>
      <c r="D393">
        <v>1003000</v>
      </c>
      <c r="E393">
        <v>-1</v>
      </c>
      <c r="F393">
        <v>19105</v>
      </c>
      <c r="G393">
        <v>-1</v>
      </c>
      <c r="H393">
        <v>-1</v>
      </c>
      <c r="I393">
        <v>-1</v>
      </c>
    </row>
    <row r="394" spans="1:9" x14ac:dyDescent="0.4">
      <c r="A394">
        <v>1003102</v>
      </c>
      <c r="B394">
        <v>1</v>
      </c>
      <c r="C394">
        <v>1003002</v>
      </c>
      <c r="D394">
        <v>1003001</v>
      </c>
      <c r="E394">
        <v>1003000</v>
      </c>
      <c r="F394">
        <v>19109</v>
      </c>
      <c r="G394">
        <v>-1</v>
      </c>
      <c r="H394">
        <v>-1</v>
      </c>
      <c r="I394">
        <v>-1</v>
      </c>
    </row>
    <row r="395" spans="1:9" x14ac:dyDescent="0.4">
      <c r="A395">
        <v>1003110</v>
      </c>
      <c r="B395">
        <v>1</v>
      </c>
      <c r="C395">
        <v>1003000</v>
      </c>
      <c r="D395">
        <v>-1</v>
      </c>
      <c r="E395">
        <v>-1</v>
      </c>
      <c r="F395">
        <v>19113</v>
      </c>
      <c r="G395">
        <v>-1</v>
      </c>
      <c r="H395">
        <v>-1</v>
      </c>
      <c r="I395">
        <v>-1</v>
      </c>
    </row>
    <row r="396" spans="1:9" x14ac:dyDescent="0.4">
      <c r="A396">
        <v>1003111</v>
      </c>
      <c r="B396">
        <v>1</v>
      </c>
      <c r="C396">
        <v>1003001</v>
      </c>
      <c r="D396">
        <v>1003000</v>
      </c>
      <c r="E396">
        <v>-1</v>
      </c>
      <c r="F396">
        <v>19117</v>
      </c>
      <c r="G396">
        <v>-1</v>
      </c>
      <c r="H396">
        <v>-1</v>
      </c>
      <c r="I396">
        <v>-1</v>
      </c>
    </row>
    <row r="397" spans="1:9" x14ac:dyDescent="0.4">
      <c r="A397">
        <v>1003112</v>
      </c>
      <c r="B397">
        <v>1</v>
      </c>
      <c r="C397">
        <v>1003002</v>
      </c>
      <c r="D397">
        <v>1003001</v>
      </c>
      <c r="E397">
        <v>1003000</v>
      </c>
      <c r="F397">
        <v>19121</v>
      </c>
      <c r="G397">
        <v>-1</v>
      </c>
      <c r="H397">
        <v>-1</v>
      </c>
      <c r="I397">
        <v>-1</v>
      </c>
    </row>
    <row r="398" spans="1:9" x14ac:dyDescent="0.4">
      <c r="A398">
        <v>1003120</v>
      </c>
      <c r="B398">
        <v>1</v>
      </c>
      <c r="C398">
        <v>1003000</v>
      </c>
      <c r="D398">
        <v>-1</v>
      </c>
      <c r="E398">
        <v>-1</v>
      </c>
      <c r="F398">
        <v>19125</v>
      </c>
      <c r="G398">
        <v>-1</v>
      </c>
      <c r="H398">
        <v>-1</v>
      </c>
      <c r="I398">
        <v>-1</v>
      </c>
    </row>
    <row r="399" spans="1:9" x14ac:dyDescent="0.4">
      <c r="A399">
        <v>1003121</v>
      </c>
      <c r="B399">
        <v>1</v>
      </c>
      <c r="C399">
        <v>1003001</v>
      </c>
      <c r="D399">
        <v>1003000</v>
      </c>
      <c r="E399">
        <v>-1</v>
      </c>
      <c r="F399">
        <v>19129</v>
      </c>
      <c r="G399">
        <v>-1</v>
      </c>
      <c r="H399">
        <v>-1</v>
      </c>
      <c r="I399">
        <v>-1</v>
      </c>
    </row>
    <row r="400" spans="1:9" x14ac:dyDescent="0.4">
      <c r="A400">
        <v>1003122</v>
      </c>
      <c r="B400">
        <v>1</v>
      </c>
      <c r="C400">
        <v>1003002</v>
      </c>
      <c r="D400">
        <v>1003001</v>
      </c>
      <c r="E400">
        <v>1003000</v>
      </c>
      <c r="F400">
        <v>19133</v>
      </c>
      <c r="G400">
        <v>-1</v>
      </c>
      <c r="H400">
        <v>-1</v>
      </c>
      <c r="I400">
        <v>-1</v>
      </c>
    </row>
    <row r="401" spans="1:9" x14ac:dyDescent="0.4">
      <c r="A401">
        <v>1003200</v>
      </c>
      <c r="B401">
        <v>2</v>
      </c>
      <c r="C401">
        <v>1003000</v>
      </c>
      <c r="D401">
        <v>-1</v>
      </c>
      <c r="E401">
        <v>-1</v>
      </c>
      <c r="F401">
        <v>19102</v>
      </c>
      <c r="G401">
        <v>-1</v>
      </c>
      <c r="H401">
        <v>-1</v>
      </c>
      <c r="I401">
        <v>-1</v>
      </c>
    </row>
    <row r="402" spans="1:9" x14ac:dyDescent="0.4">
      <c r="A402">
        <v>1003201</v>
      </c>
      <c r="B402">
        <v>2</v>
      </c>
      <c r="C402">
        <v>1003001</v>
      </c>
      <c r="D402">
        <v>1003000</v>
      </c>
      <c r="E402">
        <v>-1</v>
      </c>
      <c r="F402">
        <v>19106</v>
      </c>
      <c r="G402">
        <v>-1</v>
      </c>
      <c r="H402">
        <v>-1</v>
      </c>
      <c r="I402">
        <v>-1</v>
      </c>
    </row>
    <row r="403" spans="1:9" x14ac:dyDescent="0.4">
      <c r="A403">
        <v>1003202</v>
      </c>
      <c r="B403">
        <v>2</v>
      </c>
      <c r="C403">
        <v>1003002</v>
      </c>
      <c r="D403">
        <v>1003001</v>
      </c>
      <c r="E403">
        <v>1003000</v>
      </c>
      <c r="F403">
        <v>19110</v>
      </c>
      <c r="G403">
        <v>-1</v>
      </c>
      <c r="H403">
        <v>-1</v>
      </c>
      <c r="I403">
        <v>-1</v>
      </c>
    </row>
    <row r="404" spans="1:9" x14ac:dyDescent="0.4">
      <c r="A404">
        <v>1003210</v>
      </c>
      <c r="B404">
        <v>2</v>
      </c>
      <c r="C404">
        <v>1003000</v>
      </c>
      <c r="D404">
        <v>-1</v>
      </c>
      <c r="E404">
        <v>-1</v>
      </c>
      <c r="F404">
        <v>19114</v>
      </c>
      <c r="G404">
        <v>-1</v>
      </c>
      <c r="H404">
        <v>-1</v>
      </c>
      <c r="I404">
        <v>-1</v>
      </c>
    </row>
    <row r="405" spans="1:9" x14ac:dyDescent="0.4">
      <c r="A405">
        <v>1003211</v>
      </c>
      <c r="B405">
        <v>2</v>
      </c>
      <c r="C405">
        <v>1003001</v>
      </c>
      <c r="D405">
        <v>1003000</v>
      </c>
      <c r="E405">
        <v>-1</v>
      </c>
      <c r="F405">
        <v>19118</v>
      </c>
      <c r="G405">
        <v>-1</v>
      </c>
      <c r="H405">
        <v>-1</v>
      </c>
      <c r="I405">
        <v>-1</v>
      </c>
    </row>
    <row r="406" spans="1:9" x14ac:dyDescent="0.4">
      <c r="A406">
        <v>1003212</v>
      </c>
      <c r="B406">
        <v>2</v>
      </c>
      <c r="C406">
        <v>1003002</v>
      </c>
      <c r="D406">
        <v>1003001</v>
      </c>
      <c r="E406">
        <v>1003000</v>
      </c>
      <c r="F406">
        <v>19122</v>
      </c>
      <c r="G406">
        <v>-1</v>
      </c>
      <c r="H406">
        <v>-1</v>
      </c>
      <c r="I406">
        <v>-1</v>
      </c>
    </row>
    <row r="407" spans="1:9" x14ac:dyDescent="0.4">
      <c r="A407">
        <v>1003220</v>
      </c>
      <c r="B407">
        <v>2</v>
      </c>
      <c r="C407">
        <v>1003000</v>
      </c>
      <c r="D407">
        <v>-1</v>
      </c>
      <c r="E407">
        <v>-1</v>
      </c>
      <c r="F407">
        <v>19126</v>
      </c>
      <c r="G407">
        <v>-1</v>
      </c>
      <c r="H407">
        <v>-1</v>
      </c>
      <c r="I407">
        <v>-1</v>
      </c>
    </row>
    <row r="408" spans="1:9" x14ac:dyDescent="0.4">
      <c r="A408">
        <v>1003221</v>
      </c>
      <c r="B408">
        <v>2</v>
      </c>
      <c r="C408">
        <v>1003001</v>
      </c>
      <c r="D408">
        <v>1003000</v>
      </c>
      <c r="E408">
        <v>-1</v>
      </c>
      <c r="F408">
        <v>19130</v>
      </c>
      <c r="G408">
        <v>-1</v>
      </c>
      <c r="H408">
        <v>-1</v>
      </c>
      <c r="I408">
        <v>-1</v>
      </c>
    </row>
    <row r="409" spans="1:9" x14ac:dyDescent="0.4">
      <c r="A409">
        <v>1003222</v>
      </c>
      <c r="B409">
        <v>2</v>
      </c>
      <c r="C409">
        <v>1003002</v>
      </c>
      <c r="D409">
        <v>1003001</v>
      </c>
      <c r="E409">
        <v>1003000</v>
      </c>
      <c r="F409">
        <v>19134</v>
      </c>
      <c r="G409">
        <v>-1</v>
      </c>
      <c r="H409">
        <v>-1</v>
      </c>
      <c r="I409">
        <v>-1</v>
      </c>
    </row>
    <row r="410" spans="1:9" x14ac:dyDescent="0.4">
      <c r="A410">
        <v>1003300</v>
      </c>
      <c r="B410">
        <v>3</v>
      </c>
      <c r="C410">
        <v>1003000</v>
      </c>
      <c r="D410">
        <v>-1</v>
      </c>
      <c r="E410">
        <v>-1</v>
      </c>
      <c r="F410">
        <v>19103</v>
      </c>
      <c r="G410">
        <v>-1</v>
      </c>
      <c r="H410">
        <v>-1</v>
      </c>
      <c r="I410">
        <v>-1</v>
      </c>
    </row>
    <row r="411" spans="1:9" x14ac:dyDescent="0.4">
      <c r="A411">
        <v>1003301</v>
      </c>
      <c r="B411">
        <v>3</v>
      </c>
      <c r="C411">
        <v>1003001</v>
      </c>
      <c r="D411">
        <v>1003000</v>
      </c>
      <c r="E411">
        <v>-1</v>
      </c>
      <c r="F411">
        <v>19107</v>
      </c>
      <c r="G411">
        <v>-1</v>
      </c>
      <c r="H411">
        <v>-1</v>
      </c>
      <c r="I411">
        <v>-1</v>
      </c>
    </row>
    <row r="412" spans="1:9" x14ac:dyDescent="0.4">
      <c r="A412">
        <v>1003302</v>
      </c>
      <c r="B412">
        <v>3</v>
      </c>
      <c r="C412">
        <v>1003002</v>
      </c>
      <c r="D412">
        <v>1003001</v>
      </c>
      <c r="E412">
        <v>1003000</v>
      </c>
      <c r="F412">
        <v>19111</v>
      </c>
      <c r="G412">
        <v>-1</v>
      </c>
      <c r="H412">
        <v>-1</v>
      </c>
      <c r="I412">
        <v>-1</v>
      </c>
    </row>
    <row r="413" spans="1:9" x14ac:dyDescent="0.4">
      <c r="A413">
        <v>1003310</v>
      </c>
      <c r="B413">
        <v>3</v>
      </c>
      <c r="C413">
        <v>1003000</v>
      </c>
      <c r="D413">
        <v>-1</v>
      </c>
      <c r="E413">
        <v>-1</v>
      </c>
      <c r="F413">
        <v>19115</v>
      </c>
      <c r="G413">
        <v>-1</v>
      </c>
      <c r="H413">
        <v>-1</v>
      </c>
      <c r="I413">
        <v>-1</v>
      </c>
    </row>
    <row r="414" spans="1:9" x14ac:dyDescent="0.4">
      <c r="A414">
        <v>1003311</v>
      </c>
      <c r="B414">
        <v>3</v>
      </c>
      <c r="C414">
        <v>1003001</v>
      </c>
      <c r="D414">
        <v>1003000</v>
      </c>
      <c r="E414">
        <v>-1</v>
      </c>
      <c r="F414">
        <v>19119</v>
      </c>
      <c r="G414">
        <v>-1</v>
      </c>
      <c r="H414">
        <v>-1</v>
      </c>
      <c r="I414">
        <v>-1</v>
      </c>
    </row>
    <row r="415" spans="1:9" x14ac:dyDescent="0.4">
      <c r="A415">
        <v>1003312</v>
      </c>
      <c r="B415">
        <v>3</v>
      </c>
      <c r="C415">
        <v>1003002</v>
      </c>
      <c r="D415">
        <v>1003001</v>
      </c>
      <c r="E415">
        <v>1003000</v>
      </c>
      <c r="F415">
        <v>19123</v>
      </c>
      <c r="G415">
        <v>-1</v>
      </c>
      <c r="H415">
        <v>-1</v>
      </c>
      <c r="I415">
        <v>-1</v>
      </c>
    </row>
    <row r="416" spans="1:9" x14ac:dyDescent="0.4">
      <c r="A416">
        <v>1003320</v>
      </c>
      <c r="B416">
        <v>3</v>
      </c>
      <c r="C416">
        <v>1003000</v>
      </c>
      <c r="D416">
        <v>-1</v>
      </c>
      <c r="E416">
        <v>-1</v>
      </c>
      <c r="F416">
        <v>19127</v>
      </c>
      <c r="G416">
        <v>-1</v>
      </c>
      <c r="H416">
        <v>-1</v>
      </c>
      <c r="I416">
        <v>-1</v>
      </c>
    </row>
    <row r="417" spans="1:9" x14ac:dyDescent="0.4">
      <c r="A417">
        <v>1003321</v>
      </c>
      <c r="B417">
        <v>3</v>
      </c>
      <c r="C417">
        <v>1003001</v>
      </c>
      <c r="D417">
        <v>1003000</v>
      </c>
      <c r="E417">
        <v>-1</v>
      </c>
      <c r="F417">
        <v>19131</v>
      </c>
      <c r="G417">
        <v>-1</v>
      </c>
      <c r="H417">
        <v>-1</v>
      </c>
      <c r="I417">
        <v>-1</v>
      </c>
    </row>
    <row r="418" spans="1:9" x14ac:dyDescent="0.4">
      <c r="A418">
        <v>1003322</v>
      </c>
      <c r="B418">
        <v>3</v>
      </c>
      <c r="C418">
        <v>1003002</v>
      </c>
      <c r="D418">
        <v>1003001</v>
      </c>
      <c r="E418">
        <v>1003000</v>
      </c>
      <c r="F418">
        <v>19135</v>
      </c>
      <c r="G418">
        <v>-1</v>
      </c>
      <c r="H418">
        <v>-1</v>
      </c>
      <c r="I418">
        <v>-1</v>
      </c>
    </row>
    <row r="419" spans="1:9" x14ac:dyDescent="0.4">
      <c r="A419">
        <v>1004000</v>
      </c>
      <c r="B419">
        <v>0</v>
      </c>
      <c r="C419">
        <v>1004000</v>
      </c>
      <c r="D419">
        <v>-1</v>
      </c>
      <c r="E419">
        <v>-1</v>
      </c>
      <c r="F419">
        <v>19100</v>
      </c>
      <c r="G419">
        <v>-1</v>
      </c>
      <c r="H419">
        <v>-1</v>
      </c>
      <c r="I419">
        <v>-1</v>
      </c>
    </row>
    <row r="420" spans="1:9" x14ac:dyDescent="0.4">
      <c r="A420">
        <v>1004001</v>
      </c>
      <c r="B420">
        <v>0</v>
      </c>
      <c r="C420">
        <v>1004001</v>
      </c>
      <c r="D420">
        <v>1004000</v>
      </c>
      <c r="E420">
        <v>-1</v>
      </c>
      <c r="F420">
        <v>19104</v>
      </c>
      <c r="G420">
        <v>-1</v>
      </c>
      <c r="H420">
        <v>-1</v>
      </c>
      <c r="I420">
        <v>-1</v>
      </c>
    </row>
    <row r="421" spans="1:9" x14ac:dyDescent="0.4">
      <c r="A421">
        <v>1004002</v>
      </c>
      <c r="B421">
        <v>0</v>
      </c>
      <c r="C421">
        <v>1004002</v>
      </c>
      <c r="D421">
        <v>1004001</v>
      </c>
      <c r="E421">
        <v>1004000</v>
      </c>
      <c r="F421">
        <v>19108</v>
      </c>
      <c r="G421">
        <v>-1</v>
      </c>
      <c r="H421">
        <v>-1</v>
      </c>
      <c r="I421">
        <v>-1</v>
      </c>
    </row>
    <row r="422" spans="1:9" x14ac:dyDescent="0.4">
      <c r="A422">
        <v>1004010</v>
      </c>
      <c r="B422">
        <v>0</v>
      </c>
      <c r="C422">
        <v>1004000</v>
      </c>
      <c r="D422">
        <v>-1</v>
      </c>
      <c r="E422">
        <v>-1</v>
      </c>
      <c r="F422">
        <v>19112</v>
      </c>
      <c r="G422">
        <v>-1</v>
      </c>
      <c r="H422">
        <v>-1</v>
      </c>
      <c r="I422">
        <v>-1</v>
      </c>
    </row>
    <row r="423" spans="1:9" x14ac:dyDescent="0.4">
      <c r="A423">
        <v>1004011</v>
      </c>
      <c r="B423">
        <v>0</v>
      </c>
      <c r="C423">
        <v>1004001</v>
      </c>
      <c r="D423">
        <v>1004000</v>
      </c>
      <c r="E423">
        <v>-1</v>
      </c>
      <c r="F423">
        <v>19116</v>
      </c>
      <c r="G423">
        <v>-1</v>
      </c>
      <c r="H423">
        <v>-1</v>
      </c>
      <c r="I423">
        <v>-1</v>
      </c>
    </row>
    <row r="424" spans="1:9" x14ac:dyDescent="0.4">
      <c r="A424">
        <v>1004012</v>
      </c>
      <c r="B424">
        <v>0</v>
      </c>
      <c r="C424">
        <v>1004002</v>
      </c>
      <c r="D424">
        <v>1004001</v>
      </c>
      <c r="E424">
        <v>1004000</v>
      </c>
      <c r="F424">
        <v>19120</v>
      </c>
      <c r="G424">
        <v>-1</v>
      </c>
      <c r="H424">
        <v>-1</v>
      </c>
      <c r="I424">
        <v>-1</v>
      </c>
    </row>
    <row r="425" spans="1:9" x14ac:dyDescent="0.4">
      <c r="A425">
        <v>1004020</v>
      </c>
      <c r="B425">
        <v>0</v>
      </c>
      <c r="C425">
        <v>1004000</v>
      </c>
      <c r="D425">
        <v>-1</v>
      </c>
      <c r="E425">
        <v>-1</v>
      </c>
      <c r="F425">
        <v>19124</v>
      </c>
      <c r="G425">
        <v>-1</v>
      </c>
      <c r="H425">
        <v>-1</v>
      </c>
      <c r="I425">
        <v>-1</v>
      </c>
    </row>
    <row r="426" spans="1:9" x14ac:dyDescent="0.4">
      <c r="A426">
        <v>1004021</v>
      </c>
      <c r="B426">
        <v>0</v>
      </c>
      <c r="C426">
        <v>1004001</v>
      </c>
      <c r="D426">
        <v>1004000</v>
      </c>
      <c r="E426">
        <v>-1</v>
      </c>
      <c r="F426">
        <v>19128</v>
      </c>
      <c r="G426">
        <v>-1</v>
      </c>
      <c r="H426">
        <v>-1</v>
      </c>
      <c r="I426">
        <v>-1</v>
      </c>
    </row>
    <row r="427" spans="1:9" x14ac:dyDescent="0.4">
      <c r="A427">
        <v>1004022</v>
      </c>
      <c r="B427">
        <v>0</v>
      </c>
      <c r="C427">
        <v>1004002</v>
      </c>
      <c r="D427">
        <v>1004001</v>
      </c>
      <c r="E427">
        <v>1004000</v>
      </c>
      <c r="F427">
        <v>19132</v>
      </c>
      <c r="G427">
        <v>-1</v>
      </c>
      <c r="H427">
        <v>-1</v>
      </c>
      <c r="I427">
        <v>-1</v>
      </c>
    </row>
    <row r="428" spans="1:9" x14ac:dyDescent="0.4">
      <c r="A428">
        <v>1004100</v>
      </c>
      <c r="B428">
        <v>1</v>
      </c>
      <c r="C428">
        <v>1004000</v>
      </c>
      <c r="D428">
        <v>-1</v>
      </c>
      <c r="E428">
        <v>-1</v>
      </c>
      <c r="F428">
        <v>19101</v>
      </c>
      <c r="G428">
        <v>-1</v>
      </c>
      <c r="H428">
        <v>-1</v>
      </c>
      <c r="I428">
        <v>-1</v>
      </c>
    </row>
    <row r="429" spans="1:9" x14ac:dyDescent="0.4">
      <c r="A429">
        <v>1004101</v>
      </c>
      <c r="B429">
        <v>1</v>
      </c>
      <c r="C429">
        <v>1004001</v>
      </c>
      <c r="D429">
        <v>1004000</v>
      </c>
      <c r="E429">
        <v>-1</v>
      </c>
      <c r="F429">
        <v>19105</v>
      </c>
      <c r="G429">
        <v>-1</v>
      </c>
      <c r="H429">
        <v>-1</v>
      </c>
      <c r="I429">
        <v>-1</v>
      </c>
    </row>
    <row r="430" spans="1:9" x14ac:dyDescent="0.4">
      <c r="A430">
        <v>1004102</v>
      </c>
      <c r="B430">
        <v>1</v>
      </c>
      <c r="C430">
        <v>1004002</v>
      </c>
      <c r="D430">
        <v>1004001</v>
      </c>
      <c r="E430">
        <v>1004000</v>
      </c>
      <c r="F430">
        <v>19109</v>
      </c>
      <c r="G430">
        <v>-1</v>
      </c>
      <c r="H430">
        <v>-1</v>
      </c>
      <c r="I430">
        <v>-1</v>
      </c>
    </row>
    <row r="431" spans="1:9" x14ac:dyDescent="0.4">
      <c r="A431">
        <v>1004110</v>
      </c>
      <c r="B431">
        <v>1</v>
      </c>
      <c r="C431">
        <v>1004000</v>
      </c>
      <c r="D431">
        <v>-1</v>
      </c>
      <c r="E431">
        <v>-1</v>
      </c>
      <c r="F431">
        <v>19113</v>
      </c>
      <c r="G431">
        <v>-1</v>
      </c>
      <c r="H431">
        <v>-1</v>
      </c>
      <c r="I431">
        <v>-1</v>
      </c>
    </row>
    <row r="432" spans="1:9" x14ac:dyDescent="0.4">
      <c r="A432">
        <v>1004111</v>
      </c>
      <c r="B432">
        <v>1</v>
      </c>
      <c r="C432">
        <v>1004001</v>
      </c>
      <c r="D432">
        <v>1004000</v>
      </c>
      <c r="E432">
        <v>-1</v>
      </c>
      <c r="F432">
        <v>19117</v>
      </c>
      <c r="G432">
        <v>-1</v>
      </c>
      <c r="H432">
        <v>-1</v>
      </c>
      <c r="I432">
        <v>-1</v>
      </c>
    </row>
    <row r="433" spans="1:9" x14ac:dyDescent="0.4">
      <c r="A433">
        <v>1004112</v>
      </c>
      <c r="B433">
        <v>1</v>
      </c>
      <c r="C433">
        <v>1004002</v>
      </c>
      <c r="D433">
        <v>1004001</v>
      </c>
      <c r="E433">
        <v>1004000</v>
      </c>
      <c r="F433">
        <v>19121</v>
      </c>
      <c r="G433">
        <v>-1</v>
      </c>
      <c r="H433">
        <v>-1</v>
      </c>
      <c r="I433">
        <v>-1</v>
      </c>
    </row>
    <row r="434" spans="1:9" x14ac:dyDescent="0.4">
      <c r="A434">
        <v>1004120</v>
      </c>
      <c r="B434">
        <v>1</v>
      </c>
      <c r="C434">
        <v>1004000</v>
      </c>
      <c r="D434">
        <v>-1</v>
      </c>
      <c r="E434">
        <v>-1</v>
      </c>
      <c r="F434">
        <v>19125</v>
      </c>
      <c r="G434">
        <v>-1</v>
      </c>
      <c r="H434">
        <v>-1</v>
      </c>
      <c r="I434">
        <v>-1</v>
      </c>
    </row>
    <row r="435" spans="1:9" x14ac:dyDescent="0.4">
      <c r="A435">
        <v>1004121</v>
      </c>
      <c r="B435">
        <v>1</v>
      </c>
      <c r="C435">
        <v>1004001</v>
      </c>
      <c r="D435">
        <v>1004000</v>
      </c>
      <c r="E435">
        <v>-1</v>
      </c>
      <c r="F435">
        <v>19129</v>
      </c>
      <c r="G435">
        <v>-1</v>
      </c>
      <c r="H435">
        <v>-1</v>
      </c>
      <c r="I435">
        <v>-1</v>
      </c>
    </row>
    <row r="436" spans="1:9" x14ac:dyDescent="0.4">
      <c r="A436">
        <v>1004122</v>
      </c>
      <c r="B436">
        <v>1</v>
      </c>
      <c r="C436">
        <v>1004002</v>
      </c>
      <c r="D436">
        <v>1004001</v>
      </c>
      <c r="E436">
        <v>1004000</v>
      </c>
      <c r="F436">
        <v>19133</v>
      </c>
      <c r="G436">
        <v>-1</v>
      </c>
      <c r="H436">
        <v>-1</v>
      </c>
      <c r="I436">
        <v>-1</v>
      </c>
    </row>
    <row r="437" spans="1:9" x14ac:dyDescent="0.4">
      <c r="A437">
        <v>1004200</v>
      </c>
      <c r="B437">
        <v>2</v>
      </c>
      <c r="C437">
        <v>1004000</v>
      </c>
      <c r="D437">
        <v>-1</v>
      </c>
      <c r="E437">
        <v>-1</v>
      </c>
      <c r="F437">
        <v>19102</v>
      </c>
      <c r="G437">
        <v>-1</v>
      </c>
      <c r="H437">
        <v>-1</v>
      </c>
      <c r="I437">
        <v>-1</v>
      </c>
    </row>
    <row r="438" spans="1:9" x14ac:dyDescent="0.4">
      <c r="A438">
        <v>1004201</v>
      </c>
      <c r="B438">
        <v>2</v>
      </c>
      <c r="C438">
        <v>1004001</v>
      </c>
      <c r="D438">
        <v>1004000</v>
      </c>
      <c r="E438">
        <v>-1</v>
      </c>
      <c r="F438">
        <v>19106</v>
      </c>
      <c r="G438">
        <v>-1</v>
      </c>
      <c r="H438">
        <v>-1</v>
      </c>
      <c r="I438">
        <v>-1</v>
      </c>
    </row>
    <row r="439" spans="1:9" x14ac:dyDescent="0.4">
      <c r="A439">
        <v>1004202</v>
      </c>
      <c r="B439">
        <v>2</v>
      </c>
      <c r="C439">
        <v>1004002</v>
      </c>
      <c r="D439">
        <v>1004001</v>
      </c>
      <c r="E439">
        <v>1004000</v>
      </c>
      <c r="F439">
        <v>19110</v>
      </c>
      <c r="G439">
        <v>-1</v>
      </c>
      <c r="H439">
        <v>-1</v>
      </c>
      <c r="I439">
        <v>-1</v>
      </c>
    </row>
    <row r="440" spans="1:9" x14ac:dyDescent="0.4">
      <c r="A440">
        <v>1004210</v>
      </c>
      <c r="B440">
        <v>2</v>
      </c>
      <c r="C440">
        <v>1004000</v>
      </c>
      <c r="D440">
        <v>-1</v>
      </c>
      <c r="E440">
        <v>-1</v>
      </c>
      <c r="F440">
        <v>19114</v>
      </c>
      <c r="G440">
        <v>-1</v>
      </c>
      <c r="H440">
        <v>-1</v>
      </c>
      <c r="I440">
        <v>-1</v>
      </c>
    </row>
    <row r="441" spans="1:9" x14ac:dyDescent="0.4">
      <c r="A441">
        <v>1004211</v>
      </c>
      <c r="B441">
        <v>2</v>
      </c>
      <c r="C441">
        <v>1004001</v>
      </c>
      <c r="D441">
        <v>1004000</v>
      </c>
      <c r="E441">
        <v>-1</v>
      </c>
      <c r="F441">
        <v>19118</v>
      </c>
      <c r="G441">
        <v>-1</v>
      </c>
      <c r="H441">
        <v>-1</v>
      </c>
      <c r="I441">
        <v>-1</v>
      </c>
    </row>
    <row r="442" spans="1:9" x14ac:dyDescent="0.4">
      <c r="A442">
        <v>1004212</v>
      </c>
      <c r="B442">
        <v>2</v>
      </c>
      <c r="C442">
        <v>1004002</v>
      </c>
      <c r="D442">
        <v>1004001</v>
      </c>
      <c r="E442">
        <v>1004000</v>
      </c>
      <c r="F442">
        <v>19122</v>
      </c>
      <c r="G442">
        <v>-1</v>
      </c>
      <c r="H442">
        <v>-1</v>
      </c>
      <c r="I442">
        <v>-1</v>
      </c>
    </row>
    <row r="443" spans="1:9" x14ac:dyDescent="0.4">
      <c r="A443">
        <v>1004220</v>
      </c>
      <c r="B443">
        <v>2</v>
      </c>
      <c r="C443">
        <v>1004000</v>
      </c>
      <c r="D443">
        <v>-1</v>
      </c>
      <c r="E443">
        <v>-1</v>
      </c>
      <c r="F443">
        <v>19126</v>
      </c>
      <c r="G443">
        <v>-1</v>
      </c>
      <c r="H443">
        <v>-1</v>
      </c>
      <c r="I443">
        <v>-1</v>
      </c>
    </row>
    <row r="444" spans="1:9" x14ac:dyDescent="0.4">
      <c r="A444">
        <v>1004221</v>
      </c>
      <c r="B444">
        <v>2</v>
      </c>
      <c r="C444">
        <v>1004001</v>
      </c>
      <c r="D444">
        <v>1004000</v>
      </c>
      <c r="E444">
        <v>-1</v>
      </c>
      <c r="F444">
        <v>19130</v>
      </c>
      <c r="G444">
        <v>-1</v>
      </c>
      <c r="H444">
        <v>-1</v>
      </c>
      <c r="I444">
        <v>-1</v>
      </c>
    </row>
    <row r="445" spans="1:9" x14ac:dyDescent="0.4">
      <c r="A445">
        <v>1004222</v>
      </c>
      <c r="B445">
        <v>2</v>
      </c>
      <c r="C445">
        <v>1004002</v>
      </c>
      <c r="D445">
        <v>1004001</v>
      </c>
      <c r="E445">
        <v>1004000</v>
      </c>
      <c r="F445">
        <v>19134</v>
      </c>
      <c r="G445">
        <v>-1</v>
      </c>
      <c r="H445">
        <v>-1</v>
      </c>
      <c r="I445">
        <v>-1</v>
      </c>
    </row>
    <row r="446" spans="1:9" x14ac:dyDescent="0.4">
      <c r="A446">
        <v>1004300</v>
      </c>
      <c r="B446">
        <v>3</v>
      </c>
      <c r="C446">
        <v>1004000</v>
      </c>
      <c r="D446">
        <v>-1</v>
      </c>
      <c r="E446">
        <v>-1</v>
      </c>
      <c r="F446">
        <v>19103</v>
      </c>
      <c r="G446">
        <v>-1</v>
      </c>
      <c r="H446">
        <v>-1</v>
      </c>
      <c r="I446">
        <v>-1</v>
      </c>
    </row>
    <row r="447" spans="1:9" x14ac:dyDescent="0.4">
      <c r="A447">
        <v>1004301</v>
      </c>
      <c r="B447">
        <v>3</v>
      </c>
      <c r="C447">
        <v>1004001</v>
      </c>
      <c r="D447">
        <v>1004000</v>
      </c>
      <c r="E447">
        <v>-1</v>
      </c>
      <c r="F447">
        <v>19107</v>
      </c>
      <c r="G447">
        <v>-1</v>
      </c>
      <c r="H447">
        <v>-1</v>
      </c>
      <c r="I447">
        <v>-1</v>
      </c>
    </row>
    <row r="448" spans="1:9" x14ac:dyDescent="0.4">
      <c r="A448">
        <v>1004302</v>
      </c>
      <c r="B448">
        <v>3</v>
      </c>
      <c r="C448">
        <v>1004002</v>
      </c>
      <c r="D448">
        <v>1004001</v>
      </c>
      <c r="E448">
        <v>1004000</v>
      </c>
      <c r="F448">
        <v>19111</v>
      </c>
      <c r="G448">
        <v>-1</v>
      </c>
      <c r="H448">
        <v>-1</v>
      </c>
      <c r="I448">
        <v>-1</v>
      </c>
    </row>
    <row r="449" spans="1:9" x14ac:dyDescent="0.4">
      <c r="A449">
        <v>1004310</v>
      </c>
      <c r="B449">
        <v>3</v>
      </c>
      <c r="C449">
        <v>1004000</v>
      </c>
      <c r="D449">
        <v>-1</v>
      </c>
      <c r="E449">
        <v>-1</v>
      </c>
      <c r="F449">
        <v>19115</v>
      </c>
      <c r="G449">
        <v>-1</v>
      </c>
      <c r="H449">
        <v>-1</v>
      </c>
      <c r="I449">
        <v>-1</v>
      </c>
    </row>
    <row r="450" spans="1:9" x14ac:dyDescent="0.4">
      <c r="A450">
        <v>1004311</v>
      </c>
      <c r="B450">
        <v>3</v>
      </c>
      <c r="C450">
        <v>1004001</v>
      </c>
      <c r="D450">
        <v>1004000</v>
      </c>
      <c r="E450">
        <v>-1</v>
      </c>
      <c r="F450">
        <v>19119</v>
      </c>
      <c r="G450">
        <v>-1</v>
      </c>
      <c r="H450">
        <v>-1</v>
      </c>
      <c r="I450">
        <v>-1</v>
      </c>
    </row>
    <row r="451" spans="1:9" x14ac:dyDescent="0.4">
      <c r="A451">
        <v>1004312</v>
      </c>
      <c r="B451">
        <v>3</v>
      </c>
      <c r="C451">
        <v>1004002</v>
      </c>
      <c r="D451">
        <v>1004001</v>
      </c>
      <c r="E451">
        <v>1004000</v>
      </c>
      <c r="F451">
        <v>19123</v>
      </c>
      <c r="G451">
        <v>-1</v>
      </c>
      <c r="H451">
        <v>-1</v>
      </c>
      <c r="I451">
        <v>-1</v>
      </c>
    </row>
    <row r="452" spans="1:9" x14ac:dyDescent="0.4">
      <c r="A452">
        <v>1004320</v>
      </c>
      <c r="B452">
        <v>3</v>
      </c>
      <c r="C452">
        <v>1004000</v>
      </c>
      <c r="D452">
        <v>-1</v>
      </c>
      <c r="E452">
        <v>-1</v>
      </c>
      <c r="F452">
        <v>19127</v>
      </c>
      <c r="G452">
        <v>-1</v>
      </c>
      <c r="H452">
        <v>-1</v>
      </c>
      <c r="I452">
        <v>-1</v>
      </c>
    </row>
    <row r="453" spans="1:9" x14ac:dyDescent="0.4">
      <c r="A453">
        <v>1004321</v>
      </c>
      <c r="B453">
        <v>3</v>
      </c>
      <c r="C453">
        <v>1004001</v>
      </c>
      <c r="D453">
        <v>1004000</v>
      </c>
      <c r="E453">
        <v>-1</v>
      </c>
      <c r="F453">
        <v>19131</v>
      </c>
      <c r="G453">
        <v>-1</v>
      </c>
      <c r="H453">
        <v>-1</v>
      </c>
      <c r="I453">
        <v>-1</v>
      </c>
    </row>
    <row r="454" spans="1:9" x14ac:dyDescent="0.4">
      <c r="A454">
        <v>1004322</v>
      </c>
      <c r="B454">
        <v>3</v>
      </c>
      <c r="C454">
        <v>1004002</v>
      </c>
      <c r="D454">
        <v>1004001</v>
      </c>
      <c r="E454">
        <v>1004000</v>
      </c>
      <c r="F454">
        <v>19135</v>
      </c>
      <c r="G454">
        <v>-1</v>
      </c>
      <c r="H454">
        <v>-1</v>
      </c>
      <c r="I454">
        <v>-1</v>
      </c>
    </row>
    <row r="455" spans="1:9" x14ac:dyDescent="0.4">
      <c r="A455">
        <v>1005000</v>
      </c>
      <c r="B455">
        <v>0</v>
      </c>
      <c r="C455">
        <v>1005000</v>
      </c>
      <c r="D455">
        <v>-1</v>
      </c>
      <c r="E455">
        <v>-1</v>
      </c>
      <c r="F455">
        <v>19100</v>
      </c>
      <c r="G455">
        <v>-1</v>
      </c>
      <c r="H455">
        <v>-1</v>
      </c>
      <c r="I455">
        <v>-1</v>
      </c>
    </row>
    <row r="456" spans="1:9" x14ac:dyDescent="0.4">
      <c r="A456">
        <v>1005001</v>
      </c>
      <c r="B456">
        <v>0</v>
      </c>
      <c r="C456">
        <v>1005001</v>
      </c>
      <c r="D456">
        <v>1005000</v>
      </c>
      <c r="E456">
        <v>-1</v>
      </c>
      <c r="F456">
        <v>19104</v>
      </c>
      <c r="G456">
        <v>-1</v>
      </c>
      <c r="H456">
        <v>-1</v>
      </c>
      <c r="I456">
        <v>-1</v>
      </c>
    </row>
    <row r="457" spans="1:9" x14ac:dyDescent="0.4">
      <c r="A457">
        <v>1005002</v>
      </c>
      <c r="B457">
        <v>0</v>
      </c>
      <c r="C457">
        <v>1005002</v>
      </c>
      <c r="D457">
        <v>1005001</v>
      </c>
      <c r="E457">
        <v>1005000</v>
      </c>
      <c r="F457">
        <v>19108</v>
      </c>
      <c r="G457">
        <v>-1</v>
      </c>
      <c r="H457">
        <v>-1</v>
      </c>
      <c r="I457">
        <v>-1</v>
      </c>
    </row>
    <row r="458" spans="1:9" x14ac:dyDescent="0.4">
      <c r="A458">
        <v>1005010</v>
      </c>
      <c r="B458">
        <v>0</v>
      </c>
      <c r="C458">
        <v>1005000</v>
      </c>
      <c r="D458">
        <v>-1</v>
      </c>
      <c r="E458">
        <v>-1</v>
      </c>
      <c r="F458">
        <v>19112</v>
      </c>
      <c r="G458">
        <v>-1</v>
      </c>
      <c r="H458">
        <v>-1</v>
      </c>
      <c r="I458">
        <v>-1</v>
      </c>
    </row>
    <row r="459" spans="1:9" x14ac:dyDescent="0.4">
      <c r="A459">
        <v>1005011</v>
      </c>
      <c r="B459">
        <v>0</v>
      </c>
      <c r="C459">
        <v>1005001</v>
      </c>
      <c r="D459">
        <v>1005000</v>
      </c>
      <c r="E459">
        <v>-1</v>
      </c>
      <c r="F459">
        <v>19116</v>
      </c>
      <c r="G459">
        <v>-1</v>
      </c>
      <c r="H459">
        <v>-1</v>
      </c>
      <c r="I459">
        <v>-1</v>
      </c>
    </row>
    <row r="460" spans="1:9" x14ac:dyDescent="0.4">
      <c r="A460">
        <v>1005012</v>
      </c>
      <c r="B460">
        <v>0</v>
      </c>
      <c r="C460">
        <v>1005002</v>
      </c>
      <c r="D460">
        <v>1005001</v>
      </c>
      <c r="E460">
        <v>1005000</v>
      </c>
      <c r="F460">
        <v>19120</v>
      </c>
      <c r="G460">
        <v>-1</v>
      </c>
      <c r="H460">
        <v>-1</v>
      </c>
      <c r="I460">
        <v>-1</v>
      </c>
    </row>
    <row r="461" spans="1:9" x14ac:dyDescent="0.4">
      <c r="A461">
        <v>1005020</v>
      </c>
      <c r="B461">
        <v>0</v>
      </c>
      <c r="C461">
        <v>1005000</v>
      </c>
      <c r="D461">
        <v>-1</v>
      </c>
      <c r="E461">
        <v>-1</v>
      </c>
      <c r="F461">
        <v>19124</v>
      </c>
      <c r="G461">
        <v>-1</v>
      </c>
      <c r="H461">
        <v>-1</v>
      </c>
      <c r="I461">
        <v>-1</v>
      </c>
    </row>
    <row r="462" spans="1:9" x14ac:dyDescent="0.4">
      <c r="A462">
        <v>1005021</v>
      </c>
      <c r="B462">
        <v>0</v>
      </c>
      <c r="C462">
        <v>1005001</v>
      </c>
      <c r="D462">
        <v>1005000</v>
      </c>
      <c r="E462">
        <v>-1</v>
      </c>
      <c r="F462">
        <v>19128</v>
      </c>
      <c r="G462">
        <v>-1</v>
      </c>
      <c r="H462">
        <v>-1</v>
      </c>
      <c r="I462">
        <v>-1</v>
      </c>
    </row>
    <row r="463" spans="1:9" x14ac:dyDescent="0.4">
      <c r="A463">
        <v>1005022</v>
      </c>
      <c r="B463">
        <v>0</v>
      </c>
      <c r="C463">
        <v>1005002</v>
      </c>
      <c r="D463">
        <v>1005001</v>
      </c>
      <c r="E463">
        <v>1005000</v>
      </c>
      <c r="F463">
        <v>19132</v>
      </c>
      <c r="G463">
        <v>-1</v>
      </c>
      <c r="H463">
        <v>-1</v>
      </c>
      <c r="I463">
        <v>-1</v>
      </c>
    </row>
    <row r="464" spans="1:9" x14ac:dyDescent="0.4">
      <c r="A464">
        <v>1005100</v>
      </c>
      <c r="B464">
        <v>1</v>
      </c>
      <c r="C464">
        <v>1005000</v>
      </c>
      <c r="D464">
        <v>-1</v>
      </c>
      <c r="E464">
        <v>-1</v>
      </c>
      <c r="F464">
        <v>19101</v>
      </c>
      <c r="G464">
        <v>-1</v>
      </c>
      <c r="H464">
        <v>-1</v>
      </c>
      <c r="I464">
        <v>-1</v>
      </c>
    </row>
    <row r="465" spans="1:9" x14ac:dyDescent="0.4">
      <c r="A465">
        <v>1005101</v>
      </c>
      <c r="B465">
        <v>1</v>
      </c>
      <c r="C465">
        <v>1005001</v>
      </c>
      <c r="D465">
        <v>1005000</v>
      </c>
      <c r="E465">
        <v>-1</v>
      </c>
      <c r="F465">
        <v>19105</v>
      </c>
      <c r="G465">
        <v>-1</v>
      </c>
      <c r="H465">
        <v>-1</v>
      </c>
      <c r="I465">
        <v>-1</v>
      </c>
    </row>
    <row r="466" spans="1:9" x14ac:dyDescent="0.4">
      <c r="A466">
        <v>1005102</v>
      </c>
      <c r="B466">
        <v>1</v>
      </c>
      <c r="C466">
        <v>1005002</v>
      </c>
      <c r="D466">
        <v>1005001</v>
      </c>
      <c r="E466">
        <v>1005000</v>
      </c>
      <c r="F466">
        <v>19109</v>
      </c>
      <c r="G466">
        <v>-1</v>
      </c>
      <c r="H466">
        <v>-1</v>
      </c>
      <c r="I466">
        <v>-1</v>
      </c>
    </row>
    <row r="467" spans="1:9" x14ac:dyDescent="0.4">
      <c r="A467">
        <v>1005110</v>
      </c>
      <c r="B467">
        <v>1</v>
      </c>
      <c r="C467">
        <v>1005000</v>
      </c>
      <c r="D467">
        <v>-1</v>
      </c>
      <c r="E467">
        <v>-1</v>
      </c>
      <c r="F467">
        <v>19113</v>
      </c>
      <c r="G467">
        <v>-1</v>
      </c>
      <c r="H467">
        <v>-1</v>
      </c>
      <c r="I467">
        <v>-1</v>
      </c>
    </row>
    <row r="468" spans="1:9" x14ac:dyDescent="0.4">
      <c r="A468">
        <v>1005111</v>
      </c>
      <c r="B468">
        <v>1</v>
      </c>
      <c r="C468">
        <v>1005001</v>
      </c>
      <c r="D468">
        <v>1005000</v>
      </c>
      <c r="E468">
        <v>-1</v>
      </c>
      <c r="F468">
        <v>19117</v>
      </c>
      <c r="G468">
        <v>-1</v>
      </c>
      <c r="H468">
        <v>-1</v>
      </c>
      <c r="I468">
        <v>-1</v>
      </c>
    </row>
    <row r="469" spans="1:9" x14ac:dyDescent="0.4">
      <c r="A469">
        <v>1005112</v>
      </c>
      <c r="B469">
        <v>1</v>
      </c>
      <c r="C469">
        <v>1005002</v>
      </c>
      <c r="D469">
        <v>1005001</v>
      </c>
      <c r="E469">
        <v>1005000</v>
      </c>
      <c r="F469">
        <v>19121</v>
      </c>
      <c r="G469">
        <v>-1</v>
      </c>
      <c r="H469">
        <v>-1</v>
      </c>
      <c r="I469">
        <v>-1</v>
      </c>
    </row>
    <row r="470" spans="1:9" x14ac:dyDescent="0.4">
      <c r="A470">
        <v>1005120</v>
      </c>
      <c r="B470">
        <v>1</v>
      </c>
      <c r="C470">
        <v>1005000</v>
      </c>
      <c r="D470">
        <v>-1</v>
      </c>
      <c r="E470">
        <v>-1</v>
      </c>
      <c r="F470">
        <v>19125</v>
      </c>
      <c r="G470">
        <v>-1</v>
      </c>
      <c r="H470">
        <v>-1</v>
      </c>
      <c r="I470">
        <v>-1</v>
      </c>
    </row>
    <row r="471" spans="1:9" x14ac:dyDescent="0.4">
      <c r="A471">
        <v>1005121</v>
      </c>
      <c r="B471">
        <v>1</v>
      </c>
      <c r="C471">
        <v>1005001</v>
      </c>
      <c r="D471">
        <v>1005000</v>
      </c>
      <c r="E471">
        <v>-1</v>
      </c>
      <c r="F471">
        <v>19129</v>
      </c>
      <c r="G471">
        <v>-1</v>
      </c>
      <c r="H471">
        <v>-1</v>
      </c>
      <c r="I471">
        <v>-1</v>
      </c>
    </row>
    <row r="472" spans="1:9" x14ac:dyDescent="0.4">
      <c r="A472">
        <v>1005122</v>
      </c>
      <c r="B472">
        <v>1</v>
      </c>
      <c r="C472">
        <v>1005002</v>
      </c>
      <c r="D472">
        <v>1005001</v>
      </c>
      <c r="E472">
        <v>1005000</v>
      </c>
      <c r="F472">
        <v>19133</v>
      </c>
      <c r="G472">
        <v>-1</v>
      </c>
      <c r="H472">
        <v>-1</v>
      </c>
      <c r="I472">
        <v>-1</v>
      </c>
    </row>
    <row r="473" spans="1:9" x14ac:dyDescent="0.4">
      <c r="A473">
        <v>1005200</v>
      </c>
      <c r="B473">
        <v>2</v>
      </c>
      <c r="C473">
        <v>1005000</v>
      </c>
      <c r="D473">
        <v>-1</v>
      </c>
      <c r="E473">
        <v>-1</v>
      </c>
      <c r="F473">
        <v>19102</v>
      </c>
      <c r="G473">
        <v>-1</v>
      </c>
      <c r="H473">
        <v>-1</v>
      </c>
      <c r="I473">
        <v>-1</v>
      </c>
    </row>
    <row r="474" spans="1:9" x14ac:dyDescent="0.4">
      <c r="A474">
        <v>1005201</v>
      </c>
      <c r="B474">
        <v>2</v>
      </c>
      <c r="C474">
        <v>1005001</v>
      </c>
      <c r="D474">
        <v>1005000</v>
      </c>
      <c r="E474">
        <v>-1</v>
      </c>
      <c r="F474">
        <v>19106</v>
      </c>
      <c r="G474">
        <v>-1</v>
      </c>
      <c r="H474">
        <v>-1</v>
      </c>
      <c r="I474">
        <v>-1</v>
      </c>
    </row>
    <row r="475" spans="1:9" x14ac:dyDescent="0.4">
      <c r="A475">
        <v>1005202</v>
      </c>
      <c r="B475">
        <v>2</v>
      </c>
      <c r="C475">
        <v>1005002</v>
      </c>
      <c r="D475">
        <v>1005001</v>
      </c>
      <c r="E475">
        <v>1005000</v>
      </c>
      <c r="F475">
        <v>19110</v>
      </c>
      <c r="G475">
        <v>-1</v>
      </c>
      <c r="H475">
        <v>-1</v>
      </c>
      <c r="I475">
        <v>-1</v>
      </c>
    </row>
    <row r="476" spans="1:9" x14ac:dyDescent="0.4">
      <c r="A476">
        <v>1005210</v>
      </c>
      <c r="B476">
        <v>2</v>
      </c>
      <c r="C476">
        <v>1005000</v>
      </c>
      <c r="D476">
        <v>-1</v>
      </c>
      <c r="E476">
        <v>-1</v>
      </c>
      <c r="F476">
        <v>19114</v>
      </c>
      <c r="G476">
        <v>-1</v>
      </c>
      <c r="H476">
        <v>-1</v>
      </c>
      <c r="I476">
        <v>-1</v>
      </c>
    </row>
    <row r="477" spans="1:9" x14ac:dyDescent="0.4">
      <c r="A477">
        <v>1005211</v>
      </c>
      <c r="B477">
        <v>2</v>
      </c>
      <c r="C477">
        <v>1005001</v>
      </c>
      <c r="D477">
        <v>1005000</v>
      </c>
      <c r="E477">
        <v>-1</v>
      </c>
      <c r="F477">
        <v>19118</v>
      </c>
      <c r="G477">
        <v>-1</v>
      </c>
      <c r="H477">
        <v>-1</v>
      </c>
      <c r="I477">
        <v>-1</v>
      </c>
    </row>
    <row r="478" spans="1:9" x14ac:dyDescent="0.4">
      <c r="A478">
        <v>1005212</v>
      </c>
      <c r="B478">
        <v>2</v>
      </c>
      <c r="C478">
        <v>1005002</v>
      </c>
      <c r="D478">
        <v>1005001</v>
      </c>
      <c r="E478">
        <v>1005000</v>
      </c>
      <c r="F478">
        <v>19122</v>
      </c>
      <c r="G478">
        <v>-1</v>
      </c>
      <c r="H478">
        <v>-1</v>
      </c>
      <c r="I478">
        <v>-1</v>
      </c>
    </row>
    <row r="479" spans="1:9" x14ac:dyDescent="0.4">
      <c r="A479">
        <v>1005220</v>
      </c>
      <c r="B479">
        <v>2</v>
      </c>
      <c r="C479">
        <v>1005000</v>
      </c>
      <c r="D479">
        <v>-1</v>
      </c>
      <c r="E479">
        <v>-1</v>
      </c>
      <c r="F479">
        <v>19126</v>
      </c>
      <c r="G479">
        <v>-1</v>
      </c>
      <c r="H479">
        <v>-1</v>
      </c>
      <c r="I479">
        <v>-1</v>
      </c>
    </row>
    <row r="480" spans="1:9" x14ac:dyDescent="0.4">
      <c r="A480">
        <v>1005221</v>
      </c>
      <c r="B480">
        <v>2</v>
      </c>
      <c r="C480">
        <v>1005001</v>
      </c>
      <c r="D480">
        <v>1005000</v>
      </c>
      <c r="E480">
        <v>-1</v>
      </c>
      <c r="F480">
        <v>19130</v>
      </c>
      <c r="G480">
        <v>-1</v>
      </c>
      <c r="H480">
        <v>-1</v>
      </c>
      <c r="I480">
        <v>-1</v>
      </c>
    </row>
    <row r="481" spans="1:9" x14ac:dyDescent="0.4">
      <c r="A481">
        <v>1005222</v>
      </c>
      <c r="B481">
        <v>2</v>
      </c>
      <c r="C481">
        <v>1005002</v>
      </c>
      <c r="D481">
        <v>1005001</v>
      </c>
      <c r="E481">
        <v>1005000</v>
      </c>
      <c r="F481">
        <v>19134</v>
      </c>
      <c r="G481">
        <v>-1</v>
      </c>
      <c r="H481">
        <v>-1</v>
      </c>
      <c r="I481">
        <v>-1</v>
      </c>
    </row>
    <row r="482" spans="1:9" x14ac:dyDescent="0.4">
      <c r="A482">
        <v>1005300</v>
      </c>
      <c r="B482">
        <v>3</v>
      </c>
      <c r="C482">
        <v>1005000</v>
      </c>
      <c r="D482">
        <v>-1</v>
      </c>
      <c r="E482">
        <v>-1</v>
      </c>
      <c r="F482">
        <v>19103</v>
      </c>
      <c r="G482">
        <v>-1</v>
      </c>
      <c r="H482">
        <v>-1</v>
      </c>
      <c r="I482">
        <v>-1</v>
      </c>
    </row>
    <row r="483" spans="1:9" x14ac:dyDescent="0.4">
      <c r="A483">
        <v>1005301</v>
      </c>
      <c r="B483">
        <v>3</v>
      </c>
      <c r="C483">
        <v>1005001</v>
      </c>
      <c r="D483">
        <v>1005000</v>
      </c>
      <c r="E483">
        <v>-1</v>
      </c>
      <c r="F483">
        <v>19107</v>
      </c>
      <c r="G483">
        <v>-1</v>
      </c>
      <c r="H483">
        <v>-1</v>
      </c>
      <c r="I483">
        <v>-1</v>
      </c>
    </row>
    <row r="484" spans="1:9" x14ac:dyDescent="0.4">
      <c r="A484">
        <v>1005302</v>
      </c>
      <c r="B484">
        <v>3</v>
      </c>
      <c r="C484">
        <v>1005002</v>
      </c>
      <c r="D484">
        <v>1005001</v>
      </c>
      <c r="E484">
        <v>1005000</v>
      </c>
      <c r="F484">
        <v>19111</v>
      </c>
      <c r="G484">
        <v>-1</v>
      </c>
      <c r="H484">
        <v>-1</v>
      </c>
      <c r="I484">
        <v>-1</v>
      </c>
    </row>
    <row r="485" spans="1:9" x14ac:dyDescent="0.4">
      <c r="A485">
        <v>1005310</v>
      </c>
      <c r="B485">
        <v>3</v>
      </c>
      <c r="C485">
        <v>1005000</v>
      </c>
      <c r="D485">
        <v>-1</v>
      </c>
      <c r="E485">
        <v>-1</v>
      </c>
      <c r="F485">
        <v>19115</v>
      </c>
      <c r="G485">
        <v>-1</v>
      </c>
      <c r="H485">
        <v>-1</v>
      </c>
      <c r="I485">
        <v>-1</v>
      </c>
    </row>
    <row r="486" spans="1:9" x14ac:dyDescent="0.4">
      <c r="A486">
        <v>1005311</v>
      </c>
      <c r="B486">
        <v>3</v>
      </c>
      <c r="C486">
        <v>1005001</v>
      </c>
      <c r="D486">
        <v>1005000</v>
      </c>
      <c r="E486">
        <v>-1</v>
      </c>
      <c r="F486">
        <v>19119</v>
      </c>
      <c r="G486">
        <v>-1</v>
      </c>
      <c r="H486">
        <v>-1</v>
      </c>
      <c r="I486">
        <v>-1</v>
      </c>
    </row>
    <row r="487" spans="1:9" x14ac:dyDescent="0.4">
      <c r="A487">
        <v>1005312</v>
      </c>
      <c r="B487">
        <v>3</v>
      </c>
      <c r="C487">
        <v>1005002</v>
      </c>
      <c r="D487">
        <v>1005001</v>
      </c>
      <c r="E487">
        <v>1005000</v>
      </c>
      <c r="F487">
        <v>19123</v>
      </c>
      <c r="G487">
        <v>-1</v>
      </c>
      <c r="H487">
        <v>-1</v>
      </c>
      <c r="I487">
        <v>-1</v>
      </c>
    </row>
    <row r="488" spans="1:9" x14ac:dyDescent="0.4">
      <c r="A488">
        <v>1005320</v>
      </c>
      <c r="B488">
        <v>3</v>
      </c>
      <c r="C488">
        <v>1005000</v>
      </c>
      <c r="D488">
        <v>-1</v>
      </c>
      <c r="E488">
        <v>-1</v>
      </c>
      <c r="F488">
        <v>19127</v>
      </c>
      <c r="G488">
        <v>-1</v>
      </c>
      <c r="H488">
        <v>-1</v>
      </c>
      <c r="I488">
        <v>-1</v>
      </c>
    </row>
    <row r="489" spans="1:9" x14ac:dyDescent="0.4">
      <c r="A489">
        <v>1005321</v>
      </c>
      <c r="B489">
        <v>3</v>
      </c>
      <c r="C489">
        <v>1005001</v>
      </c>
      <c r="D489">
        <v>1005000</v>
      </c>
      <c r="E489">
        <v>-1</v>
      </c>
      <c r="F489">
        <v>19131</v>
      </c>
      <c r="G489">
        <v>-1</v>
      </c>
      <c r="H489">
        <v>-1</v>
      </c>
      <c r="I489">
        <v>-1</v>
      </c>
    </row>
    <row r="490" spans="1:9" x14ac:dyDescent="0.4">
      <c r="A490">
        <v>1005322</v>
      </c>
      <c r="B490">
        <v>3</v>
      </c>
      <c r="C490">
        <v>1005002</v>
      </c>
      <c r="D490">
        <v>1005001</v>
      </c>
      <c r="E490">
        <v>1005000</v>
      </c>
      <c r="F490">
        <v>19135</v>
      </c>
      <c r="G490">
        <v>-1</v>
      </c>
      <c r="H490">
        <v>-1</v>
      </c>
      <c r="I490">
        <v>-1</v>
      </c>
    </row>
    <row r="491" spans="1:9" x14ac:dyDescent="0.4">
      <c r="A491">
        <v>1006000</v>
      </c>
      <c r="B491">
        <v>0</v>
      </c>
      <c r="C491">
        <v>1006000</v>
      </c>
      <c r="D491">
        <v>-1</v>
      </c>
      <c r="E491">
        <v>-1</v>
      </c>
      <c r="F491">
        <v>19100</v>
      </c>
      <c r="G491">
        <v>-1</v>
      </c>
      <c r="H491">
        <v>-1</v>
      </c>
      <c r="I491">
        <v>-1</v>
      </c>
    </row>
    <row r="492" spans="1:9" x14ac:dyDescent="0.4">
      <c r="A492">
        <v>1006001</v>
      </c>
      <c r="B492">
        <v>0</v>
      </c>
      <c r="C492">
        <v>1006001</v>
      </c>
      <c r="D492">
        <v>1006000</v>
      </c>
      <c r="E492">
        <v>-1</v>
      </c>
      <c r="F492">
        <v>19104</v>
      </c>
      <c r="G492">
        <v>-1</v>
      </c>
      <c r="H492">
        <v>-1</v>
      </c>
      <c r="I492">
        <v>-1</v>
      </c>
    </row>
    <row r="493" spans="1:9" x14ac:dyDescent="0.4">
      <c r="A493">
        <v>1006002</v>
      </c>
      <c r="B493">
        <v>0</v>
      </c>
      <c r="C493">
        <v>1006002</v>
      </c>
      <c r="D493">
        <v>1006001</v>
      </c>
      <c r="E493">
        <v>1006000</v>
      </c>
      <c r="F493">
        <v>19108</v>
      </c>
      <c r="G493">
        <v>-1</v>
      </c>
      <c r="H493">
        <v>-1</v>
      </c>
      <c r="I493">
        <v>-1</v>
      </c>
    </row>
    <row r="494" spans="1:9" x14ac:dyDescent="0.4">
      <c r="A494">
        <v>1006010</v>
      </c>
      <c r="B494">
        <v>0</v>
      </c>
      <c r="C494">
        <v>1006000</v>
      </c>
      <c r="D494">
        <v>-1</v>
      </c>
      <c r="E494">
        <v>-1</v>
      </c>
      <c r="F494">
        <v>19112</v>
      </c>
      <c r="G494">
        <v>-1</v>
      </c>
      <c r="H494">
        <v>-1</v>
      </c>
      <c r="I494">
        <v>-1</v>
      </c>
    </row>
    <row r="495" spans="1:9" x14ac:dyDescent="0.4">
      <c r="A495">
        <v>1006011</v>
      </c>
      <c r="B495">
        <v>0</v>
      </c>
      <c r="C495">
        <v>1006001</v>
      </c>
      <c r="D495">
        <v>1006000</v>
      </c>
      <c r="E495">
        <v>-1</v>
      </c>
      <c r="F495">
        <v>19116</v>
      </c>
      <c r="G495">
        <v>-1</v>
      </c>
      <c r="H495">
        <v>-1</v>
      </c>
      <c r="I495">
        <v>-1</v>
      </c>
    </row>
    <row r="496" spans="1:9" x14ac:dyDescent="0.4">
      <c r="A496">
        <v>1006012</v>
      </c>
      <c r="B496">
        <v>0</v>
      </c>
      <c r="C496">
        <v>1006002</v>
      </c>
      <c r="D496">
        <v>1006001</v>
      </c>
      <c r="E496">
        <v>1006000</v>
      </c>
      <c r="F496">
        <v>19120</v>
      </c>
      <c r="G496">
        <v>-1</v>
      </c>
      <c r="H496">
        <v>-1</v>
      </c>
      <c r="I496">
        <v>-1</v>
      </c>
    </row>
    <row r="497" spans="1:9" x14ac:dyDescent="0.4">
      <c r="A497">
        <v>1006020</v>
      </c>
      <c r="B497">
        <v>0</v>
      </c>
      <c r="C497">
        <v>1006000</v>
      </c>
      <c r="D497">
        <v>-1</v>
      </c>
      <c r="E497">
        <v>-1</v>
      </c>
      <c r="F497">
        <v>19124</v>
      </c>
      <c r="G497">
        <v>-1</v>
      </c>
      <c r="H497">
        <v>-1</v>
      </c>
      <c r="I497">
        <v>-1</v>
      </c>
    </row>
    <row r="498" spans="1:9" x14ac:dyDescent="0.4">
      <c r="A498">
        <v>1006021</v>
      </c>
      <c r="B498">
        <v>0</v>
      </c>
      <c r="C498">
        <v>1006001</v>
      </c>
      <c r="D498">
        <v>1006000</v>
      </c>
      <c r="E498">
        <v>-1</v>
      </c>
      <c r="F498">
        <v>19128</v>
      </c>
      <c r="G498">
        <v>-1</v>
      </c>
      <c r="H498">
        <v>-1</v>
      </c>
      <c r="I498">
        <v>-1</v>
      </c>
    </row>
    <row r="499" spans="1:9" x14ac:dyDescent="0.4">
      <c r="A499">
        <v>1006022</v>
      </c>
      <c r="B499">
        <v>0</v>
      </c>
      <c r="C499">
        <v>1006002</v>
      </c>
      <c r="D499">
        <v>1006001</v>
      </c>
      <c r="E499">
        <v>1006000</v>
      </c>
      <c r="F499">
        <v>19132</v>
      </c>
      <c r="G499">
        <v>-1</v>
      </c>
      <c r="H499">
        <v>-1</v>
      </c>
      <c r="I499">
        <v>-1</v>
      </c>
    </row>
    <row r="500" spans="1:9" x14ac:dyDescent="0.4">
      <c r="A500">
        <v>1006100</v>
      </c>
      <c r="B500">
        <v>1</v>
      </c>
      <c r="C500">
        <v>1006000</v>
      </c>
      <c r="D500">
        <v>-1</v>
      </c>
      <c r="E500">
        <v>-1</v>
      </c>
      <c r="F500">
        <v>19101</v>
      </c>
      <c r="G500">
        <v>-1</v>
      </c>
      <c r="H500">
        <v>-1</v>
      </c>
      <c r="I500">
        <v>-1</v>
      </c>
    </row>
    <row r="501" spans="1:9" x14ac:dyDescent="0.4">
      <c r="A501">
        <v>1006101</v>
      </c>
      <c r="B501">
        <v>1</v>
      </c>
      <c r="C501">
        <v>1006001</v>
      </c>
      <c r="D501">
        <v>1006000</v>
      </c>
      <c r="E501">
        <v>-1</v>
      </c>
      <c r="F501">
        <v>19105</v>
      </c>
      <c r="G501">
        <v>-1</v>
      </c>
      <c r="H501">
        <v>-1</v>
      </c>
      <c r="I501">
        <v>-1</v>
      </c>
    </row>
    <row r="502" spans="1:9" x14ac:dyDescent="0.4">
      <c r="A502">
        <v>1006102</v>
      </c>
      <c r="B502">
        <v>1</v>
      </c>
      <c r="C502">
        <v>1006002</v>
      </c>
      <c r="D502">
        <v>1006001</v>
      </c>
      <c r="E502">
        <v>1006000</v>
      </c>
      <c r="F502">
        <v>19109</v>
      </c>
      <c r="G502">
        <v>-1</v>
      </c>
      <c r="H502">
        <v>-1</v>
      </c>
      <c r="I502">
        <v>-1</v>
      </c>
    </row>
    <row r="503" spans="1:9" x14ac:dyDescent="0.4">
      <c r="A503">
        <v>1006110</v>
      </c>
      <c r="B503">
        <v>1</v>
      </c>
      <c r="C503">
        <v>1006000</v>
      </c>
      <c r="D503">
        <v>-1</v>
      </c>
      <c r="E503">
        <v>-1</v>
      </c>
      <c r="F503">
        <v>19113</v>
      </c>
      <c r="G503">
        <v>-1</v>
      </c>
      <c r="H503">
        <v>-1</v>
      </c>
      <c r="I503">
        <v>-1</v>
      </c>
    </row>
    <row r="504" spans="1:9" x14ac:dyDescent="0.4">
      <c r="A504">
        <v>1006111</v>
      </c>
      <c r="B504">
        <v>1</v>
      </c>
      <c r="C504">
        <v>1006001</v>
      </c>
      <c r="D504">
        <v>1006000</v>
      </c>
      <c r="E504">
        <v>-1</v>
      </c>
      <c r="F504">
        <v>19117</v>
      </c>
      <c r="G504">
        <v>-1</v>
      </c>
      <c r="H504">
        <v>-1</v>
      </c>
      <c r="I504">
        <v>-1</v>
      </c>
    </row>
    <row r="505" spans="1:9" x14ac:dyDescent="0.4">
      <c r="A505">
        <v>1006112</v>
      </c>
      <c r="B505">
        <v>1</v>
      </c>
      <c r="C505">
        <v>1006002</v>
      </c>
      <c r="D505">
        <v>1006001</v>
      </c>
      <c r="E505">
        <v>1006000</v>
      </c>
      <c r="F505">
        <v>19121</v>
      </c>
      <c r="G505">
        <v>-1</v>
      </c>
      <c r="H505">
        <v>-1</v>
      </c>
      <c r="I505">
        <v>-1</v>
      </c>
    </row>
    <row r="506" spans="1:9" x14ac:dyDescent="0.4">
      <c r="A506">
        <v>1006120</v>
      </c>
      <c r="B506">
        <v>1</v>
      </c>
      <c r="C506">
        <v>1006000</v>
      </c>
      <c r="D506">
        <v>-1</v>
      </c>
      <c r="E506">
        <v>-1</v>
      </c>
      <c r="F506">
        <v>19125</v>
      </c>
      <c r="G506">
        <v>-1</v>
      </c>
      <c r="H506">
        <v>-1</v>
      </c>
      <c r="I506">
        <v>-1</v>
      </c>
    </row>
    <row r="507" spans="1:9" x14ac:dyDescent="0.4">
      <c r="A507">
        <v>1006121</v>
      </c>
      <c r="B507">
        <v>1</v>
      </c>
      <c r="C507">
        <v>1006001</v>
      </c>
      <c r="D507">
        <v>1006000</v>
      </c>
      <c r="E507">
        <v>-1</v>
      </c>
      <c r="F507">
        <v>19129</v>
      </c>
      <c r="G507">
        <v>-1</v>
      </c>
      <c r="H507">
        <v>-1</v>
      </c>
      <c r="I507">
        <v>-1</v>
      </c>
    </row>
    <row r="508" spans="1:9" x14ac:dyDescent="0.4">
      <c r="A508">
        <v>1006122</v>
      </c>
      <c r="B508">
        <v>1</v>
      </c>
      <c r="C508">
        <v>1006002</v>
      </c>
      <c r="D508">
        <v>1006001</v>
      </c>
      <c r="E508">
        <v>1006000</v>
      </c>
      <c r="F508">
        <v>19133</v>
      </c>
      <c r="G508">
        <v>-1</v>
      </c>
      <c r="H508">
        <v>-1</v>
      </c>
      <c r="I508">
        <v>-1</v>
      </c>
    </row>
    <row r="509" spans="1:9" x14ac:dyDescent="0.4">
      <c r="A509">
        <v>1006200</v>
      </c>
      <c r="B509">
        <v>2</v>
      </c>
      <c r="C509">
        <v>1006000</v>
      </c>
      <c r="D509">
        <v>-1</v>
      </c>
      <c r="E509">
        <v>-1</v>
      </c>
      <c r="F509">
        <v>19102</v>
      </c>
      <c r="G509">
        <v>-1</v>
      </c>
      <c r="H509">
        <v>-1</v>
      </c>
      <c r="I509">
        <v>-1</v>
      </c>
    </row>
    <row r="510" spans="1:9" x14ac:dyDescent="0.4">
      <c r="A510">
        <v>1006201</v>
      </c>
      <c r="B510">
        <v>2</v>
      </c>
      <c r="C510">
        <v>1006001</v>
      </c>
      <c r="D510">
        <v>1006000</v>
      </c>
      <c r="E510">
        <v>-1</v>
      </c>
      <c r="F510">
        <v>19106</v>
      </c>
      <c r="G510">
        <v>-1</v>
      </c>
      <c r="H510">
        <v>-1</v>
      </c>
      <c r="I510">
        <v>-1</v>
      </c>
    </row>
    <row r="511" spans="1:9" x14ac:dyDescent="0.4">
      <c r="A511">
        <v>1006202</v>
      </c>
      <c r="B511">
        <v>2</v>
      </c>
      <c r="C511">
        <v>1006002</v>
      </c>
      <c r="D511">
        <v>1006001</v>
      </c>
      <c r="E511">
        <v>1006000</v>
      </c>
      <c r="F511">
        <v>19110</v>
      </c>
      <c r="G511">
        <v>-1</v>
      </c>
      <c r="H511">
        <v>-1</v>
      </c>
      <c r="I511">
        <v>-1</v>
      </c>
    </row>
    <row r="512" spans="1:9" x14ac:dyDescent="0.4">
      <c r="A512">
        <v>1006210</v>
      </c>
      <c r="B512">
        <v>2</v>
      </c>
      <c r="C512">
        <v>1006000</v>
      </c>
      <c r="D512">
        <v>-1</v>
      </c>
      <c r="E512">
        <v>-1</v>
      </c>
      <c r="F512">
        <v>19114</v>
      </c>
      <c r="G512">
        <v>-1</v>
      </c>
      <c r="H512">
        <v>-1</v>
      </c>
      <c r="I512">
        <v>-1</v>
      </c>
    </row>
    <row r="513" spans="1:9" x14ac:dyDescent="0.4">
      <c r="A513">
        <v>1006211</v>
      </c>
      <c r="B513">
        <v>2</v>
      </c>
      <c r="C513">
        <v>1006001</v>
      </c>
      <c r="D513">
        <v>1006000</v>
      </c>
      <c r="E513">
        <v>-1</v>
      </c>
      <c r="F513">
        <v>19118</v>
      </c>
      <c r="G513">
        <v>-1</v>
      </c>
      <c r="H513">
        <v>-1</v>
      </c>
      <c r="I513">
        <v>-1</v>
      </c>
    </row>
    <row r="514" spans="1:9" x14ac:dyDescent="0.4">
      <c r="A514">
        <v>1006212</v>
      </c>
      <c r="B514">
        <v>2</v>
      </c>
      <c r="C514">
        <v>1006002</v>
      </c>
      <c r="D514">
        <v>1006001</v>
      </c>
      <c r="E514">
        <v>1006000</v>
      </c>
      <c r="F514">
        <v>19122</v>
      </c>
      <c r="G514">
        <v>-1</v>
      </c>
      <c r="H514">
        <v>-1</v>
      </c>
      <c r="I514">
        <v>-1</v>
      </c>
    </row>
    <row r="515" spans="1:9" x14ac:dyDescent="0.4">
      <c r="A515">
        <v>1006220</v>
      </c>
      <c r="B515">
        <v>2</v>
      </c>
      <c r="C515">
        <v>1006000</v>
      </c>
      <c r="D515">
        <v>-1</v>
      </c>
      <c r="E515">
        <v>-1</v>
      </c>
      <c r="F515">
        <v>19126</v>
      </c>
      <c r="G515">
        <v>-1</v>
      </c>
      <c r="H515">
        <v>-1</v>
      </c>
      <c r="I515">
        <v>-1</v>
      </c>
    </row>
    <row r="516" spans="1:9" x14ac:dyDescent="0.4">
      <c r="A516">
        <v>1006221</v>
      </c>
      <c r="B516">
        <v>2</v>
      </c>
      <c r="C516">
        <v>1006001</v>
      </c>
      <c r="D516">
        <v>1006000</v>
      </c>
      <c r="E516">
        <v>-1</v>
      </c>
      <c r="F516">
        <v>19130</v>
      </c>
      <c r="G516">
        <v>-1</v>
      </c>
      <c r="H516">
        <v>-1</v>
      </c>
      <c r="I516">
        <v>-1</v>
      </c>
    </row>
    <row r="517" spans="1:9" x14ac:dyDescent="0.4">
      <c r="A517">
        <v>1006222</v>
      </c>
      <c r="B517">
        <v>2</v>
      </c>
      <c r="C517">
        <v>1006002</v>
      </c>
      <c r="D517">
        <v>1006001</v>
      </c>
      <c r="E517">
        <v>1006000</v>
      </c>
      <c r="F517">
        <v>19134</v>
      </c>
      <c r="G517">
        <v>-1</v>
      </c>
      <c r="H517">
        <v>-1</v>
      </c>
      <c r="I517">
        <v>-1</v>
      </c>
    </row>
    <row r="518" spans="1:9" x14ac:dyDescent="0.4">
      <c r="A518">
        <v>1006300</v>
      </c>
      <c r="B518">
        <v>3</v>
      </c>
      <c r="C518">
        <v>1006000</v>
      </c>
      <c r="D518">
        <v>-1</v>
      </c>
      <c r="E518">
        <v>-1</v>
      </c>
      <c r="F518">
        <v>19103</v>
      </c>
      <c r="G518">
        <v>-1</v>
      </c>
      <c r="H518">
        <v>-1</v>
      </c>
      <c r="I518">
        <v>-1</v>
      </c>
    </row>
    <row r="519" spans="1:9" x14ac:dyDescent="0.4">
      <c r="A519">
        <v>1006301</v>
      </c>
      <c r="B519">
        <v>3</v>
      </c>
      <c r="C519">
        <v>1006001</v>
      </c>
      <c r="D519">
        <v>1006000</v>
      </c>
      <c r="E519">
        <v>-1</v>
      </c>
      <c r="F519">
        <v>19107</v>
      </c>
      <c r="G519">
        <v>-1</v>
      </c>
      <c r="H519">
        <v>-1</v>
      </c>
      <c r="I519">
        <v>-1</v>
      </c>
    </row>
    <row r="520" spans="1:9" x14ac:dyDescent="0.4">
      <c r="A520">
        <v>1006302</v>
      </c>
      <c r="B520">
        <v>3</v>
      </c>
      <c r="C520">
        <v>1006002</v>
      </c>
      <c r="D520">
        <v>1006001</v>
      </c>
      <c r="E520">
        <v>1006000</v>
      </c>
      <c r="F520">
        <v>19111</v>
      </c>
      <c r="G520">
        <v>-1</v>
      </c>
      <c r="H520">
        <v>-1</v>
      </c>
      <c r="I520">
        <v>-1</v>
      </c>
    </row>
    <row r="521" spans="1:9" x14ac:dyDescent="0.4">
      <c r="A521">
        <v>1006310</v>
      </c>
      <c r="B521">
        <v>3</v>
      </c>
      <c r="C521">
        <v>1006000</v>
      </c>
      <c r="D521">
        <v>-1</v>
      </c>
      <c r="E521">
        <v>-1</v>
      </c>
      <c r="F521">
        <v>19115</v>
      </c>
      <c r="G521">
        <v>-1</v>
      </c>
      <c r="H521">
        <v>-1</v>
      </c>
      <c r="I521">
        <v>-1</v>
      </c>
    </row>
    <row r="522" spans="1:9" x14ac:dyDescent="0.4">
      <c r="A522">
        <v>1006311</v>
      </c>
      <c r="B522">
        <v>3</v>
      </c>
      <c r="C522">
        <v>1006001</v>
      </c>
      <c r="D522">
        <v>1006000</v>
      </c>
      <c r="E522">
        <v>-1</v>
      </c>
      <c r="F522">
        <v>19119</v>
      </c>
      <c r="G522">
        <v>-1</v>
      </c>
      <c r="H522">
        <v>-1</v>
      </c>
      <c r="I522">
        <v>-1</v>
      </c>
    </row>
    <row r="523" spans="1:9" x14ac:dyDescent="0.4">
      <c r="A523">
        <v>1006312</v>
      </c>
      <c r="B523">
        <v>3</v>
      </c>
      <c r="C523">
        <v>1006002</v>
      </c>
      <c r="D523">
        <v>1006001</v>
      </c>
      <c r="E523">
        <v>1006000</v>
      </c>
      <c r="F523">
        <v>19123</v>
      </c>
      <c r="G523">
        <v>-1</v>
      </c>
      <c r="H523">
        <v>-1</v>
      </c>
      <c r="I523">
        <v>-1</v>
      </c>
    </row>
    <row r="524" spans="1:9" x14ac:dyDescent="0.4">
      <c r="A524">
        <v>1006320</v>
      </c>
      <c r="B524">
        <v>3</v>
      </c>
      <c r="C524">
        <v>1006000</v>
      </c>
      <c r="D524">
        <v>-1</v>
      </c>
      <c r="E524">
        <v>-1</v>
      </c>
      <c r="F524">
        <v>19127</v>
      </c>
      <c r="G524">
        <v>-1</v>
      </c>
      <c r="H524">
        <v>-1</v>
      </c>
      <c r="I524">
        <v>-1</v>
      </c>
    </row>
    <row r="525" spans="1:9" x14ac:dyDescent="0.4">
      <c r="A525">
        <v>1006321</v>
      </c>
      <c r="B525">
        <v>3</v>
      </c>
      <c r="C525">
        <v>1006001</v>
      </c>
      <c r="D525">
        <v>1006000</v>
      </c>
      <c r="E525">
        <v>-1</v>
      </c>
      <c r="F525">
        <v>19131</v>
      </c>
      <c r="G525">
        <v>-1</v>
      </c>
      <c r="H525">
        <v>-1</v>
      </c>
      <c r="I525">
        <v>-1</v>
      </c>
    </row>
    <row r="526" spans="1:9" x14ac:dyDescent="0.4">
      <c r="A526">
        <v>1006322</v>
      </c>
      <c r="B526">
        <v>3</v>
      </c>
      <c r="C526">
        <v>1006002</v>
      </c>
      <c r="D526">
        <v>1006001</v>
      </c>
      <c r="E526">
        <v>1006000</v>
      </c>
      <c r="F526">
        <v>19135</v>
      </c>
      <c r="G526">
        <v>-1</v>
      </c>
      <c r="H526">
        <v>-1</v>
      </c>
      <c r="I526">
        <v>-1</v>
      </c>
    </row>
    <row r="527" spans="1:9" x14ac:dyDescent="0.4">
      <c r="A527">
        <v>1007000</v>
      </c>
      <c r="B527">
        <v>0</v>
      </c>
      <c r="C527">
        <v>1007000</v>
      </c>
      <c r="D527">
        <v>-1</v>
      </c>
      <c r="E527">
        <v>-1</v>
      </c>
      <c r="F527">
        <v>19100</v>
      </c>
      <c r="G527">
        <v>-1</v>
      </c>
      <c r="H527">
        <v>-1</v>
      </c>
      <c r="I527">
        <v>-1</v>
      </c>
    </row>
    <row r="528" spans="1:9" x14ac:dyDescent="0.4">
      <c r="A528">
        <v>1007001</v>
      </c>
      <c r="B528">
        <v>0</v>
      </c>
      <c r="C528">
        <v>1007001</v>
      </c>
      <c r="D528">
        <v>1007000</v>
      </c>
      <c r="E528">
        <v>-1</v>
      </c>
      <c r="F528">
        <v>19104</v>
      </c>
      <c r="G528">
        <v>-1</v>
      </c>
      <c r="H528">
        <v>-1</v>
      </c>
      <c r="I528">
        <v>-1</v>
      </c>
    </row>
    <row r="529" spans="1:9" x14ac:dyDescent="0.4">
      <c r="A529">
        <v>1007002</v>
      </c>
      <c r="B529">
        <v>0</v>
      </c>
      <c r="C529">
        <v>1007002</v>
      </c>
      <c r="D529">
        <v>1007001</v>
      </c>
      <c r="E529">
        <v>1007000</v>
      </c>
      <c r="F529">
        <v>19108</v>
      </c>
      <c r="G529">
        <v>-1</v>
      </c>
      <c r="H529">
        <v>-1</v>
      </c>
      <c r="I529">
        <v>-1</v>
      </c>
    </row>
    <row r="530" spans="1:9" x14ac:dyDescent="0.4">
      <c r="A530">
        <v>1007010</v>
      </c>
      <c r="B530">
        <v>0</v>
      </c>
      <c r="C530">
        <v>1007000</v>
      </c>
      <c r="D530">
        <v>-1</v>
      </c>
      <c r="E530">
        <v>-1</v>
      </c>
      <c r="F530">
        <v>19112</v>
      </c>
      <c r="G530">
        <v>-1</v>
      </c>
      <c r="H530">
        <v>-1</v>
      </c>
      <c r="I530">
        <v>-1</v>
      </c>
    </row>
    <row r="531" spans="1:9" x14ac:dyDescent="0.4">
      <c r="A531">
        <v>1007011</v>
      </c>
      <c r="B531">
        <v>0</v>
      </c>
      <c r="C531">
        <v>1007001</v>
      </c>
      <c r="D531">
        <v>1007000</v>
      </c>
      <c r="E531">
        <v>-1</v>
      </c>
      <c r="F531">
        <v>19116</v>
      </c>
      <c r="G531">
        <v>-1</v>
      </c>
      <c r="H531">
        <v>-1</v>
      </c>
      <c r="I531">
        <v>-1</v>
      </c>
    </row>
    <row r="532" spans="1:9" x14ac:dyDescent="0.4">
      <c r="A532">
        <v>1007012</v>
      </c>
      <c r="B532">
        <v>0</v>
      </c>
      <c r="C532">
        <v>1007002</v>
      </c>
      <c r="D532">
        <v>1007001</v>
      </c>
      <c r="E532">
        <v>1007000</v>
      </c>
      <c r="F532">
        <v>19120</v>
      </c>
      <c r="G532">
        <v>-1</v>
      </c>
      <c r="H532">
        <v>-1</v>
      </c>
      <c r="I532">
        <v>-1</v>
      </c>
    </row>
    <row r="533" spans="1:9" x14ac:dyDescent="0.4">
      <c r="A533">
        <v>1007020</v>
      </c>
      <c r="B533">
        <v>0</v>
      </c>
      <c r="C533">
        <v>1007000</v>
      </c>
      <c r="D533">
        <v>-1</v>
      </c>
      <c r="E533">
        <v>-1</v>
      </c>
      <c r="F533">
        <v>19124</v>
      </c>
      <c r="G533">
        <v>-1</v>
      </c>
      <c r="H533">
        <v>-1</v>
      </c>
      <c r="I533">
        <v>-1</v>
      </c>
    </row>
    <row r="534" spans="1:9" x14ac:dyDescent="0.4">
      <c r="A534">
        <v>1007021</v>
      </c>
      <c r="B534">
        <v>0</v>
      </c>
      <c r="C534">
        <v>1007001</v>
      </c>
      <c r="D534">
        <v>1007000</v>
      </c>
      <c r="E534">
        <v>-1</v>
      </c>
      <c r="F534">
        <v>19128</v>
      </c>
      <c r="G534">
        <v>-1</v>
      </c>
      <c r="H534">
        <v>-1</v>
      </c>
      <c r="I534">
        <v>-1</v>
      </c>
    </row>
    <row r="535" spans="1:9" x14ac:dyDescent="0.4">
      <c r="A535">
        <v>1007022</v>
      </c>
      <c r="B535">
        <v>0</v>
      </c>
      <c r="C535">
        <v>1007002</v>
      </c>
      <c r="D535">
        <v>1007001</v>
      </c>
      <c r="E535">
        <v>1007000</v>
      </c>
      <c r="F535">
        <v>19132</v>
      </c>
      <c r="G535">
        <v>-1</v>
      </c>
      <c r="H535">
        <v>-1</v>
      </c>
      <c r="I535">
        <v>-1</v>
      </c>
    </row>
    <row r="536" spans="1:9" x14ac:dyDescent="0.4">
      <c r="A536">
        <v>1007100</v>
      </c>
      <c r="B536">
        <v>1</v>
      </c>
      <c r="C536">
        <v>1007000</v>
      </c>
      <c r="D536">
        <v>-1</v>
      </c>
      <c r="E536">
        <v>-1</v>
      </c>
      <c r="F536">
        <v>19101</v>
      </c>
      <c r="G536">
        <v>-1</v>
      </c>
      <c r="H536">
        <v>-1</v>
      </c>
      <c r="I536">
        <v>-1</v>
      </c>
    </row>
    <row r="537" spans="1:9" x14ac:dyDescent="0.4">
      <c r="A537">
        <v>1007101</v>
      </c>
      <c r="B537">
        <v>1</v>
      </c>
      <c r="C537">
        <v>1007001</v>
      </c>
      <c r="D537">
        <v>1007000</v>
      </c>
      <c r="E537">
        <v>-1</v>
      </c>
      <c r="F537">
        <v>19105</v>
      </c>
      <c r="G537">
        <v>-1</v>
      </c>
      <c r="H537">
        <v>-1</v>
      </c>
      <c r="I537">
        <v>-1</v>
      </c>
    </row>
    <row r="538" spans="1:9" x14ac:dyDescent="0.4">
      <c r="A538">
        <v>1007102</v>
      </c>
      <c r="B538">
        <v>1</v>
      </c>
      <c r="C538">
        <v>1007002</v>
      </c>
      <c r="D538">
        <v>1007001</v>
      </c>
      <c r="E538">
        <v>1007000</v>
      </c>
      <c r="F538">
        <v>19109</v>
      </c>
      <c r="G538">
        <v>-1</v>
      </c>
      <c r="H538">
        <v>-1</v>
      </c>
      <c r="I538">
        <v>-1</v>
      </c>
    </row>
    <row r="539" spans="1:9" x14ac:dyDescent="0.4">
      <c r="A539">
        <v>1007110</v>
      </c>
      <c r="B539">
        <v>1</v>
      </c>
      <c r="C539">
        <v>1007000</v>
      </c>
      <c r="D539">
        <v>-1</v>
      </c>
      <c r="E539">
        <v>-1</v>
      </c>
      <c r="F539">
        <v>19113</v>
      </c>
      <c r="G539">
        <v>-1</v>
      </c>
      <c r="H539">
        <v>-1</v>
      </c>
      <c r="I539">
        <v>-1</v>
      </c>
    </row>
    <row r="540" spans="1:9" x14ac:dyDescent="0.4">
      <c r="A540">
        <v>1007111</v>
      </c>
      <c r="B540">
        <v>1</v>
      </c>
      <c r="C540">
        <v>1007001</v>
      </c>
      <c r="D540">
        <v>1007000</v>
      </c>
      <c r="E540">
        <v>-1</v>
      </c>
      <c r="F540">
        <v>19117</v>
      </c>
      <c r="G540">
        <v>-1</v>
      </c>
      <c r="H540">
        <v>-1</v>
      </c>
      <c r="I540">
        <v>-1</v>
      </c>
    </row>
    <row r="541" spans="1:9" x14ac:dyDescent="0.4">
      <c r="A541">
        <v>1007112</v>
      </c>
      <c r="B541">
        <v>1</v>
      </c>
      <c r="C541">
        <v>1007002</v>
      </c>
      <c r="D541">
        <v>1007001</v>
      </c>
      <c r="E541">
        <v>1007000</v>
      </c>
      <c r="F541">
        <v>19121</v>
      </c>
      <c r="G541">
        <v>-1</v>
      </c>
      <c r="H541">
        <v>-1</v>
      </c>
      <c r="I541">
        <v>-1</v>
      </c>
    </row>
    <row r="542" spans="1:9" x14ac:dyDescent="0.4">
      <c r="A542">
        <v>1007120</v>
      </c>
      <c r="B542">
        <v>1</v>
      </c>
      <c r="C542">
        <v>1007000</v>
      </c>
      <c r="D542">
        <v>-1</v>
      </c>
      <c r="E542">
        <v>-1</v>
      </c>
      <c r="F542">
        <v>19125</v>
      </c>
      <c r="G542">
        <v>-1</v>
      </c>
      <c r="H542">
        <v>-1</v>
      </c>
      <c r="I542">
        <v>-1</v>
      </c>
    </row>
    <row r="543" spans="1:9" x14ac:dyDescent="0.4">
      <c r="A543">
        <v>1007121</v>
      </c>
      <c r="B543">
        <v>1</v>
      </c>
      <c r="C543">
        <v>1007001</v>
      </c>
      <c r="D543">
        <v>1007000</v>
      </c>
      <c r="E543">
        <v>-1</v>
      </c>
      <c r="F543">
        <v>19129</v>
      </c>
      <c r="G543">
        <v>-1</v>
      </c>
      <c r="H543">
        <v>-1</v>
      </c>
      <c r="I543">
        <v>-1</v>
      </c>
    </row>
    <row r="544" spans="1:9" x14ac:dyDescent="0.4">
      <c r="A544">
        <v>1007122</v>
      </c>
      <c r="B544">
        <v>1</v>
      </c>
      <c r="C544">
        <v>1007002</v>
      </c>
      <c r="D544">
        <v>1007001</v>
      </c>
      <c r="E544">
        <v>1007000</v>
      </c>
      <c r="F544">
        <v>19133</v>
      </c>
      <c r="G544">
        <v>-1</v>
      </c>
      <c r="H544">
        <v>-1</v>
      </c>
      <c r="I544">
        <v>-1</v>
      </c>
    </row>
    <row r="545" spans="1:9" x14ac:dyDescent="0.4">
      <c r="A545">
        <v>1007200</v>
      </c>
      <c r="B545">
        <v>2</v>
      </c>
      <c r="C545">
        <v>1007000</v>
      </c>
      <c r="D545">
        <v>-1</v>
      </c>
      <c r="E545">
        <v>-1</v>
      </c>
      <c r="F545">
        <v>19102</v>
      </c>
      <c r="G545">
        <v>-1</v>
      </c>
      <c r="H545">
        <v>-1</v>
      </c>
      <c r="I545">
        <v>-1</v>
      </c>
    </row>
    <row r="546" spans="1:9" x14ac:dyDescent="0.4">
      <c r="A546">
        <v>1007201</v>
      </c>
      <c r="B546">
        <v>2</v>
      </c>
      <c r="C546">
        <v>1007001</v>
      </c>
      <c r="D546">
        <v>1007000</v>
      </c>
      <c r="E546">
        <v>-1</v>
      </c>
      <c r="F546">
        <v>19106</v>
      </c>
      <c r="G546">
        <v>-1</v>
      </c>
      <c r="H546">
        <v>-1</v>
      </c>
      <c r="I546">
        <v>-1</v>
      </c>
    </row>
    <row r="547" spans="1:9" x14ac:dyDescent="0.4">
      <c r="A547">
        <v>1007202</v>
      </c>
      <c r="B547">
        <v>2</v>
      </c>
      <c r="C547">
        <v>1007002</v>
      </c>
      <c r="D547">
        <v>1007001</v>
      </c>
      <c r="E547">
        <v>1007000</v>
      </c>
      <c r="F547">
        <v>19110</v>
      </c>
      <c r="G547">
        <v>-1</v>
      </c>
      <c r="H547">
        <v>-1</v>
      </c>
      <c r="I547">
        <v>-1</v>
      </c>
    </row>
    <row r="548" spans="1:9" x14ac:dyDescent="0.4">
      <c r="A548">
        <v>1007210</v>
      </c>
      <c r="B548">
        <v>2</v>
      </c>
      <c r="C548">
        <v>1007000</v>
      </c>
      <c r="D548">
        <v>-1</v>
      </c>
      <c r="E548">
        <v>-1</v>
      </c>
      <c r="F548">
        <v>19114</v>
      </c>
      <c r="G548">
        <v>-1</v>
      </c>
      <c r="H548">
        <v>-1</v>
      </c>
      <c r="I548">
        <v>-1</v>
      </c>
    </row>
    <row r="549" spans="1:9" x14ac:dyDescent="0.4">
      <c r="A549">
        <v>1007211</v>
      </c>
      <c r="B549">
        <v>2</v>
      </c>
      <c r="C549">
        <v>1007001</v>
      </c>
      <c r="D549">
        <v>1007000</v>
      </c>
      <c r="E549">
        <v>-1</v>
      </c>
      <c r="F549">
        <v>19118</v>
      </c>
      <c r="G549">
        <v>-1</v>
      </c>
      <c r="H549">
        <v>-1</v>
      </c>
      <c r="I549">
        <v>-1</v>
      </c>
    </row>
    <row r="550" spans="1:9" x14ac:dyDescent="0.4">
      <c r="A550">
        <v>1007212</v>
      </c>
      <c r="B550">
        <v>2</v>
      </c>
      <c r="C550">
        <v>1007002</v>
      </c>
      <c r="D550">
        <v>1007001</v>
      </c>
      <c r="E550">
        <v>1007000</v>
      </c>
      <c r="F550">
        <v>19122</v>
      </c>
      <c r="G550">
        <v>-1</v>
      </c>
      <c r="H550">
        <v>-1</v>
      </c>
      <c r="I550">
        <v>-1</v>
      </c>
    </row>
    <row r="551" spans="1:9" x14ac:dyDescent="0.4">
      <c r="A551">
        <v>1007220</v>
      </c>
      <c r="B551">
        <v>2</v>
      </c>
      <c r="C551">
        <v>1007000</v>
      </c>
      <c r="D551">
        <v>-1</v>
      </c>
      <c r="E551">
        <v>-1</v>
      </c>
      <c r="F551">
        <v>19126</v>
      </c>
      <c r="G551">
        <v>-1</v>
      </c>
      <c r="H551">
        <v>-1</v>
      </c>
      <c r="I551">
        <v>-1</v>
      </c>
    </row>
    <row r="552" spans="1:9" x14ac:dyDescent="0.4">
      <c r="A552">
        <v>1007221</v>
      </c>
      <c r="B552">
        <v>2</v>
      </c>
      <c r="C552">
        <v>1007001</v>
      </c>
      <c r="D552">
        <v>1007000</v>
      </c>
      <c r="E552">
        <v>-1</v>
      </c>
      <c r="F552">
        <v>19130</v>
      </c>
      <c r="G552">
        <v>-1</v>
      </c>
      <c r="H552">
        <v>-1</v>
      </c>
      <c r="I552">
        <v>-1</v>
      </c>
    </row>
    <row r="553" spans="1:9" x14ac:dyDescent="0.4">
      <c r="A553">
        <v>1007222</v>
      </c>
      <c r="B553">
        <v>2</v>
      </c>
      <c r="C553">
        <v>1007002</v>
      </c>
      <c r="D553">
        <v>1007001</v>
      </c>
      <c r="E553">
        <v>1007000</v>
      </c>
      <c r="F553">
        <v>19134</v>
      </c>
      <c r="G553">
        <v>-1</v>
      </c>
      <c r="H553">
        <v>-1</v>
      </c>
      <c r="I553">
        <v>-1</v>
      </c>
    </row>
    <row r="554" spans="1:9" x14ac:dyDescent="0.4">
      <c r="A554">
        <v>1007300</v>
      </c>
      <c r="B554">
        <v>3</v>
      </c>
      <c r="C554">
        <v>1007000</v>
      </c>
      <c r="D554">
        <v>-1</v>
      </c>
      <c r="E554">
        <v>-1</v>
      </c>
      <c r="F554">
        <v>19103</v>
      </c>
      <c r="G554">
        <v>-1</v>
      </c>
      <c r="H554">
        <v>-1</v>
      </c>
      <c r="I554">
        <v>-1</v>
      </c>
    </row>
    <row r="555" spans="1:9" x14ac:dyDescent="0.4">
      <c r="A555">
        <v>1007301</v>
      </c>
      <c r="B555">
        <v>3</v>
      </c>
      <c r="C555">
        <v>1007001</v>
      </c>
      <c r="D555">
        <v>1007000</v>
      </c>
      <c r="E555">
        <v>-1</v>
      </c>
      <c r="F555">
        <v>19107</v>
      </c>
      <c r="G555">
        <v>-1</v>
      </c>
      <c r="H555">
        <v>-1</v>
      </c>
      <c r="I555">
        <v>-1</v>
      </c>
    </row>
    <row r="556" spans="1:9" x14ac:dyDescent="0.4">
      <c r="A556">
        <v>1007302</v>
      </c>
      <c r="B556">
        <v>3</v>
      </c>
      <c r="C556">
        <v>1007002</v>
      </c>
      <c r="D556">
        <v>1007001</v>
      </c>
      <c r="E556">
        <v>1007000</v>
      </c>
      <c r="F556">
        <v>19111</v>
      </c>
      <c r="G556">
        <v>-1</v>
      </c>
      <c r="H556">
        <v>-1</v>
      </c>
      <c r="I556">
        <v>-1</v>
      </c>
    </row>
    <row r="557" spans="1:9" x14ac:dyDescent="0.4">
      <c r="A557">
        <v>1007310</v>
      </c>
      <c r="B557">
        <v>3</v>
      </c>
      <c r="C557">
        <v>1007000</v>
      </c>
      <c r="D557">
        <v>-1</v>
      </c>
      <c r="E557">
        <v>-1</v>
      </c>
      <c r="F557">
        <v>19115</v>
      </c>
      <c r="G557">
        <v>-1</v>
      </c>
      <c r="H557">
        <v>-1</v>
      </c>
      <c r="I557">
        <v>-1</v>
      </c>
    </row>
    <row r="558" spans="1:9" x14ac:dyDescent="0.4">
      <c r="A558">
        <v>1007311</v>
      </c>
      <c r="B558">
        <v>3</v>
      </c>
      <c r="C558">
        <v>1007001</v>
      </c>
      <c r="D558">
        <v>1007000</v>
      </c>
      <c r="E558">
        <v>-1</v>
      </c>
      <c r="F558">
        <v>19119</v>
      </c>
      <c r="G558">
        <v>-1</v>
      </c>
      <c r="H558">
        <v>-1</v>
      </c>
      <c r="I558">
        <v>-1</v>
      </c>
    </row>
    <row r="559" spans="1:9" x14ac:dyDescent="0.4">
      <c r="A559">
        <v>1007312</v>
      </c>
      <c r="B559">
        <v>3</v>
      </c>
      <c r="C559">
        <v>1007002</v>
      </c>
      <c r="D559">
        <v>1007001</v>
      </c>
      <c r="E559">
        <v>1007000</v>
      </c>
      <c r="F559">
        <v>19123</v>
      </c>
      <c r="G559">
        <v>-1</v>
      </c>
      <c r="H559">
        <v>-1</v>
      </c>
      <c r="I559">
        <v>-1</v>
      </c>
    </row>
    <row r="560" spans="1:9" x14ac:dyDescent="0.4">
      <c r="A560">
        <v>1007320</v>
      </c>
      <c r="B560">
        <v>3</v>
      </c>
      <c r="C560">
        <v>1007000</v>
      </c>
      <c r="D560">
        <v>-1</v>
      </c>
      <c r="E560">
        <v>-1</v>
      </c>
      <c r="F560">
        <v>19127</v>
      </c>
      <c r="G560">
        <v>-1</v>
      </c>
      <c r="H560">
        <v>-1</v>
      </c>
      <c r="I560">
        <v>-1</v>
      </c>
    </row>
    <row r="561" spans="1:9" x14ac:dyDescent="0.4">
      <c r="A561">
        <v>1007321</v>
      </c>
      <c r="B561">
        <v>3</v>
      </c>
      <c r="C561">
        <v>1007001</v>
      </c>
      <c r="D561">
        <v>1007000</v>
      </c>
      <c r="E561">
        <v>-1</v>
      </c>
      <c r="F561">
        <v>19131</v>
      </c>
      <c r="G561">
        <v>-1</v>
      </c>
      <c r="H561">
        <v>-1</v>
      </c>
      <c r="I561">
        <v>-1</v>
      </c>
    </row>
    <row r="562" spans="1:9" x14ac:dyDescent="0.4">
      <c r="A562">
        <v>1007322</v>
      </c>
      <c r="B562">
        <v>3</v>
      </c>
      <c r="C562">
        <v>1007002</v>
      </c>
      <c r="D562">
        <v>1007001</v>
      </c>
      <c r="E562">
        <v>1007000</v>
      </c>
      <c r="F562">
        <v>19135</v>
      </c>
      <c r="G562">
        <v>-1</v>
      </c>
      <c r="H562">
        <v>-1</v>
      </c>
      <c r="I562">
        <v>-1</v>
      </c>
    </row>
    <row r="563" spans="1:9" x14ac:dyDescent="0.4">
      <c r="A563">
        <v>1008000</v>
      </c>
      <c r="B563">
        <v>0</v>
      </c>
      <c r="C563">
        <v>1008000</v>
      </c>
      <c r="D563">
        <v>-1</v>
      </c>
      <c r="E563">
        <v>-1</v>
      </c>
      <c r="F563">
        <v>19100</v>
      </c>
      <c r="G563">
        <v>-1</v>
      </c>
      <c r="H563">
        <v>-1</v>
      </c>
      <c r="I563">
        <v>-1</v>
      </c>
    </row>
    <row r="564" spans="1:9" x14ac:dyDescent="0.4">
      <c r="A564">
        <v>1008001</v>
      </c>
      <c r="B564">
        <v>0</v>
      </c>
      <c r="C564">
        <v>1008001</v>
      </c>
      <c r="D564">
        <v>1008000</v>
      </c>
      <c r="E564">
        <v>-1</v>
      </c>
      <c r="F564">
        <v>19104</v>
      </c>
      <c r="G564">
        <v>-1</v>
      </c>
      <c r="H564">
        <v>-1</v>
      </c>
      <c r="I564">
        <v>-1</v>
      </c>
    </row>
    <row r="565" spans="1:9" x14ac:dyDescent="0.4">
      <c r="A565">
        <v>1008002</v>
      </c>
      <c r="B565">
        <v>0</v>
      </c>
      <c r="C565">
        <v>1008002</v>
      </c>
      <c r="D565">
        <v>1008001</v>
      </c>
      <c r="E565">
        <v>1008000</v>
      </c>
      <c r="F565">
        <v>19108</v>
      </c>
      <c r="G565">
        <v>-1</v>
      </c>
      <c r="H565">
        <v>-1</v>
      </c>
      <c r="I565">
        <v>-1</v>
      </c>
    </row>
    <row r="566" spans="1:9" x14ac:dyDescent="0.4">
      <c r="A566">
        <v>1008010</v>
      </c>
      <c r="B566">
        <v>0</v>
      </c>
      <c r="C566">
        <v>1008000</v>
      </c>
      <c r="D566">
        <v>-1</v>
      </c>
      <c r="E566">
        <v>-1</v>
      </c>
      <c r="F566">
        <v>19112</v>
      </c>
      <c r="G566">
        <v>-1</v>
      </c>
      <c r="H566">
        <v>-1</v>
      </c>
      <c r="I566">
        <v>-1</v>
      </c>
    </row>
    <row r="567" spans="1:9" x14ac:dyDescent="0.4">
      <c r="A567">
        <v>1008011</v>
      </c>
      <c r="B567">
        <v>0</v>
      </c>
      <c r="C567">
        <v>1008001</v>
      </c>
      <c r="D567">
        <v>1008000</v>
      </c>
      <c r="E567">
        <v>-1</v>
      </c>
      <c r="F567">
        <v>19116</v>
      </c>
      <c r="G567">
        <v>-1</v>
      </c>
      <c r="H567">
        <v>-1</v>
      </c>
      <c r="I567">
        <v>-1</v>
      </c>
    </row>
    <row r="568" spans="1:9" x14ac:dyDescent="0.4">
      <c r="A568">
        <v>1008012</v>
      </c>
      <c r="B568">
        <v>0</v>
      </c>
      <c r="C568">
        <v>1008002</v>
      </c>
      <c r="D568">
        <v>1008001</v>
      </c>
      <c r="E568">
        <v>1008000</v>
      </c>
      <c r="F568">
        <v>19120</v>
      </c>
      <c r="G568">
        <v>-1</v>
      </c>
      <c r="H568">
        <v>-1</v>
      </c>
      <c r="I568">
        <v>-1</v>
      </c>
    </row>
    <row r="569" spans="1:9" x14ac:dyDescent="0.4">
      <c r="A569">
        <v>1008020</v>
      </c>
      <c r="B569">
        <v>0</v>
      </c>
      <c r="C569">
        <v>1008000</v>
      </c>
      <c r="D569">
        <v>-1</v>
      </c>
      <c r="E569">
        <v>-1</v>
      </c>
      <c r="F569">
        <v>19124</v>
      </c>
      <c r="G569">
        <v>-1</v>
      </c>
      <c r="H569">
        <v>-1</v>
      </c>
      <c r="I569">
        <v>-1</v>
      </c>
    </row>
    <row r="570" spans="1:9" x14ac:dyDescent="0.4">
      <c r="A570">
        <v>1008021</v>
      </c>
      <c r="B570">
        <v>0</v>
      </c>
      <c r="C570">
        <v>1008001</v>
      </c>
      <c r="D570">
        <v>1008000</v>
      </c>
      <c r="E570">
        <v>-1</v>
      </c>
      <c r="F570">
        <v>19128</v>
      </c>
      <c r="G570">
        <v>-1</v>
      </c>
      <c r="H570">
        <v>-1</v>
      </c>
      <c r="I570">
        <v>-1</v>
      </c>
    </row>
    <row r="571" spans="1:9" x14ac:dyDescent="0.4">
      <c r="A571">
        <v>1008022</v>
      </c>
      <c r="B571">
        <v>0</v>
      </c>
      <c r="C571">
        <v>1008002</v>
      </c>
      <c r="D571">
        <v>1008001</v>
      </c>
      <c r="E571">
        <v>1008000</v>
      </c>
      <c r="F571">
        <v>19132</v>
      </c>
      <c r="G571">
        <v>-1</v>
      </c>
      <c r="H571">
        <v>-1</v>
      </c>
      <c r="I571">
        <v>-1</v>
      </c>
    </row>
    <row r="572" spans="1:9" x14ac:dyDescent="0.4">
      <c r="A572">
        <v>1008100</v>
      </c>
      <c r="B572">
        <v>1</v>
      </c>
      <c r="C572">
        <v>1008000</v>
      </c>
      <c r="D572">
        <v>-1</v>
      </c>
      <c r="E572">
        <v>-1</v>
      </c>
      <c r="F572">
        <v>19101</v>
      </c>
      <c r="G572">
        <v>-1</v>
      </c>
      <c r="H572">
        <v>-1</v>
      </c>
      <c r="I572">
        <v>-1</v>
      </c>
    </row>
    <row r="573" spans="1:9" x14ac:dyDescent="0.4">
      <c r="A573">
        <v>1008101</v>
      </c>
      <c r="B573">
        <v>1</v>
      </c>
      <c r="C573">
        <v>1008001</v>
      </c>
      <c r="D573">
        <v>1008000</v>
      </c>
      <c r="E573">
        <v>-1</v>
      </c>
      <c r="F573">
        <v>19105</v>
      </c>
      <c r="G573">
        <v>-1</v>
      </c>
      <c r="H573">
        <v>-1</v>
      </c>
      <c r="I573">
        <v>-1</v>
      </c>
    </row>
    <row r="574" spans="1:9" x14ac:dyDescent="0.4">
      <c r="A574">
        <v>1008102</v>
      </c>
      <c r="B574">
        <v>1</v>
      </c>
      <c r="C574">
        <v>1008002</v>
      </c>
      <c r="D574">
        <v>1008001</v>
      </c>
      <c r="E574">
        <v>1008000</v>
      </c>
      <c r="F574">
        <v>19109</v>
      </c>
      <c r="G574">
        <v>-1</v>
      </c>
      <c r="H574">
        <v>-1</v>
      </c>
      <c r="I574">
        <v>-1</v>
      </c>
    </row>
    <row r="575" spans="1:9" x14ac:dyDescent="0.4">
      <c r="A575">
        <v>1008110</v>
      </c>
      <c r="B575">
        <v>1</v>
      </c>
      <c r="C575">
        <v>1008000</v>
      </c>
      <c r="D575">
        <v>-1</v>
      </c>
      <c r="E575">
        <v>-1</v>
      </c>
      <c r="F575">
        <v>19113</v>
      </c>
      <c r="G575">
        <v>-1</v>
      </c>
      <c r="H575">
        <v>-1</v>
      </c>
      <c r="I575">
        <v>-1</v>
      </c>
    </row>
    <row r="576" spans="1:9" x14ac:dyDescent="0.4">
      <c r="A576">
        <v>1008111</v>
      </c>
      <c r="B576">
        <v>1</v>
      </c>
      <c r="C576">
        <v>1008001</v>
      </c>
      <c r="D576">
        <v>1008000</v>
      </c>
      <c r="E576">
        <v>-1</v>
      </c>
      <c r="F576">
        <v>19117</v>
      </c>
      <c r="G576">
        <v>-1</v>
      </c>
      <c r="H576">
        <v>-1</v>
      </c>
      <c r="I576">
        <v>-1</v>
      </c>
    </row>
    <row r="577" spans="1:9" x14ac:dyDescent="0.4">
      <c r="A577">
        <v>1008112</v>
      </c>
      <c r="B577">
        <v>1</v>
      </c>
      <c r="C577">
        <v>1008002</v>
      </c>
      <c r="D577">
        <v>1008001</v>
      </c>
      <c r="E577">
        <v>1008000</v>
      </c>
      <c r="F577">
        <v>19121</v>
      </c>
      <c r="G577">
        <v>-1</v>
      </c>
      <c r="H577">
        <v>-1</v>
      </c>
      <c r="I577">
        <v>-1</v>
      </c>
    </row>
    <row r="578" spans="1:9" x14ac:dyDescent="0.4">
      <c r="A578">
        <v>1008120</v>
      </c>
      <c r="B578">
        <v>1</v>
      </c>
      <c r="C578">
        <v>1008000</v>
      </c>
      <c r="D578">
        <v>-1</v>
      </c>
      <c r="E578">
        <v>-1</v>
      </c>
      <c r="F578">
        <v>19125</v>
      </c>
      <c r="G578">
        <v>-1</v>
      </c>
      <c r="H578">
        <v>-1</v>
      </c>
      <c r="I578">
        <v>-1</v>
      </c>
    </row>
    <row r="579" spans="1:9" x14ac:dyDescent="0.4">
      <c r="A579">
        <v>1008121</v>
      </c>
      <c r="B579">
        <v>1</v>
      </c>
      <c r="C579">
        <v>1008001</v>
      </c>
      <c r="D579">
        <v>1008000</v>
      </c>
      <c r="E579">
        <v>-1</v>
      </c>
      <c r="F579">
        <v>19129</v>
      </c>
      <c r="G579">
        <v>-1</v>
      </c>
      <c r="H579">
        <v>-1</v>
      </c>
      <c r="I579">
        <v>-1</v>
      </c>
    </row>
    <row r="580" spans="1:9" x14ac:dyDescent="0.4">
      <c r="A580">
        <v>1008122</v>
      </c>
      <c r="B580">
        <v>1</v>
      </c>
      <c r="C580">
        <v>1008002</v>
      </c>
      <c r="D580">
        <v>1008001</v>
      </c>
      <c r="E580">
        <v>1008000</v>
      </c>
      <c r="F580">
        <v>19133</v>
      </c>
      <c r="G580">
        <v>-1</v>
      </c>
      <c r="H580">
        <v>-1</v>
      </c>
      <c r="I580">
        <v>-1</v>
      </c>
    </row>
    <row r="581" spans="1:9" x14ac:dyDescent="0.4">
      <c r="A581">
        <v>1008200</v>
      </c>
      <c r="B581">
        <v>2</v>
      </c>
      <c r="C581">
        <v>1008000</v>
      </c>
      <c r="D581">
        <v>-1</v>
      </c>
      <c r="E581">
        <v>-1</v>
      </c>
      <c r="F581">
        <v>19102</v>
      </c>
      <c r="G581">
        <v>-1</v>
      </c>
      <c r="H581">
        <v>-1</v>
      </c>
      <c r="I581">
        <v>-1</v>
      </c>
    </row>
    <row r="582" spans="1:9" x14ac:dyDescent="0.4">
      <c r="A582">
        <v>1008201</v>
      </c>
      <c r="B582">
        <v>2</v>
      </c>
      <c r="C582">
        <v>1008001</v>
      </c>
      <c r="D582">
        <v>1008000</v>
      </c>
      <c r="E582">
        <v>-1</v>
      </c>
      <c r="F582">
        <v>19106</v>
      </c>
      <c r="G582">
        <v>-1</v>
      </c>
      <c r="H582">
        <v>-1</v>
      </c>
      <c r="I582">
        <v>-1</v>
      </c>
    </row>
    <row r="583" spans="1:9" x14ac:dyDescent="0.4">
      <c r="A583">
        <v>1008202</v>
      </c>
      <c r="B583">
        <v>2</v>
      </c>
      <c r="C583">
        <v>1008002</v>
      </c>
      <c r="D583">
        <v>1008001</v>
      </c>
      <c r="E583">
        <v>1008000</v>
      </c>
      <c r="F583">
        <v>19110</v>
      </c>
      <c r="G583">
        <v>-1</v>
      </c>
      <c r="H583">
        <v>-1</v>
      </c>
      <c r="I583">
        <v>-1</v>
      </c>
    </row>
    <row r="584" spans="1:9" x14ac:dyDescent="0.4">
      <c r="A584">
        <v>1008210</v>
      </c>
      <c r="B584">
        <v>2</v>
      </c>
      <c r="C584">
        <v>1008000</v>
      </c>
      <c r="D584">
        <v>-1</v>
      </c>
      <c r="E584">
        <v>-1</v>
      </c>
      <c r="F584">
        <v>19114</v>
      </c>
      <c r="G584">
        <v>-1</v>
      </c>
      <c r="H584">
        <v>-1</v>
      </c>
      <c r="I584">
        <v>-1</v>
      </c>
    </row>
    <row r="585" spans="1:9" x14ac:dyDescent="0.4">
      <c r="A585">
        <v>1008211</v>
      </c>
      <c r="B585">
        <v>2</v>
      </c>
      <c r="C585">
        <v>1008001</v>
      </c>
      <c r="D585">
        <v>1008000</v>
      </c>
      <c r="E585">
        <v>-1</v>
      </c>
      <c r="F585">
        <v>19118</v>
      </c>
      <c r="G585">
        <v>-1</v>
      </c>
      <c r="H585">
        <v>-1</v>
      </c>
      <c r="I585">
        <v>-1</v>
      </c>
    </row>
    <row r="586" spans="1:9" x14ac:dyDescent="0.4">
      <c r="A586">
        <v>1008212</v>
      </c>
      <c r="B586">
        <v>2</v>
      </c>
      <c r="C586">
        <v>1008002</v>
      </c>
      <c r="D586">
        <v>1008001</v>
      </c>
      <c r="E586">
        <v>1008000</v>
      </c>
      <c r="F586">
        <v>19122</v>
      </c>
      <c r="G586">
        <v>-1</v>
      </c>
      <c r="H586">
        <v>-1</v>
      </c>
      <c r="I586">
        <v>-1</v>
      </c>
    </row>
    <row r="587" spans="1:9" x14ac:dyDescent="0.4">
      <c r="A587">
        <v>1008220</v>
      </c>
      <c r="B587">
        <v>2</v>
      </c>
      <c r="C587">
        <v>1008000</v>
      </c>
      <c r="D587">
        <v>-1</v>
      </c>
      <c r="E587">
        <v>-1</v>
      </c>
      <c r="F587">
        <v>19126</v>
      </c>
      <c r="G587">
        <v>-1</v>
      </c>
      <c r="H587">
        <v>-1</v>
      </c>
      <c r="I587">
        <v>-1</v>
      </c>
    </row>
    <row r="588" spans="1:9" x14ac:dyDescent="0.4">
      <c r="A588">
        <v>1008221</v>
      </c>
      <c r="B588">
        <v>2</v>
      </c>
      <c r="C588">
        <v>1008001</v>
      </c>
      <c r="D588">
        <v>1008000</v>
      </c>
      <c r="E588">
        <v>-1</v>
      </c>
      <c r="F588">
        <v>19130</v>
      </c>
      <c r="G588">
        <v>-1</v>
      </c>
      <c r="H588">
        <v>-1</v>
      </c>
      <c r="I588">
        <v>-1</v>
      </c>
    </row>
    <row r="589" spans="1:9" x14ac:dyDescent="0.4">
      <c r="A589">
        <v>1008222</v>
      </c>
      <c r="B589">
        <v>2</v>
      </c>
      <c r="C589">
        <v>1008002</v>
      </c>
      <c r="D589">
        <v>1008001</v>
      </c>
      <c r="E589">
        <v>1008000</v>
      </c>
      <c r="F589">
        <v>19134</v>
      </c>
      <c r="G589">
        <v>-1</v>
      </c>
      <c r="H589">
        <v>-1</v>
      </c>
      <c r="I589">
        <v>-1</v>
      </c>
    </row>
    <row r="590" spans="1:9" x14ac:dyDescent="0.4">
      <c r="A590">
        <v>1008300</v>
      </c>
      <c r="B590">
        <v>3</v>
      </c>
      <c r="C590">
        <v>1008000</v>
      </c>
      <c r="D590">
        <v>-1</v>
      </c>
      <c r="E590">
        <v>-1</v>
      </c>
      <c r="F590">
        <v>19103</v>
      </c>
      <c r="G590">
        <v>-1</v>
      </c>
      <c r="H590">
        <v>-1</v>
      </c>
      <c r="I590">
        <v>-1</v>
      </c>
    </row>
    <row r="591" spans="1:9" x14ac:dyDescent="0.4">
      <c r="A591">
        <v>1008301</v>
      </c>
      <c r="B591">
        <v>3</v>
      </c>
      <c r="C591">
        <v>1008001</v>
      </c>
      <c r="D591">
        <v>1008000</v>
      </c>
      <c r="E591">
        <v>-1</v>
      </c>
      <c r="F591">
        <v>19107</v>
      </c>
      <c r="G591">
        <v>-1</v>
      </c>
      <c r="H591">
        <v>-1</v>
      </c>
      <c r="I591">
        <v>-1</v>
      </c>
    </row>
    <row r="592" spans="1:9" x14ac:dyDescent="0.4">
      <c r="A592">
        <v>1008302</v>
      </c>
      <c r="B592">
        <v>3</v>
      </c>
      <c r="C592">
        <v>1008002</v>
      </c>
      <c r="D592">
        <v>1008001</v>
      </c>
      <c r="E592">
        <v>1008000</v>
      </c>
      <c r="F592">
        <v>19111</v>
      </c>
      <c r="G592">
        <v>-1</v>
      </c>
      <c r="H592">
        <v>-1</v>
      </c>
      <c r="I592">
        <v>-1</v>
      </c>
    </row>
    <row r="593" spans="1:9" x14ac:dyDescent="0.4">
      <c r="A593">
        <v>1008310</v>
      </c>
      <c r="B593">
        <v>3</v>
      </c>
      <c r="C593">
        <v>1008000</v>
      </c>
      <c r="D593">
        <v>-1</v>
      </c>
      <c r="E593">
        <v>-1</v>
      </c>
      <c r="F593">
        <v>19115</v>
      </c>
      <c r="G593">
        <v>-1</v>
      </c>
      <c r="H593">
        <v>-1</v>
      </c>
      <c r="I593">
        <v>-1</v>
      </c>
    </row>
    <row r="594" spans="1:9" x14ac:dyDescent="0.4">
      <c r="A594">
        <v>1008311</v>
      </c>
      <c r="B594">
        <v>3</v>
      </c>
      <c r="C594">
        <v>1008001</v>
      </c>
      <c r="D594">
        <v>1008000</v>
      </c>
      <c r="E594">
        <v>-1</v>
      </c>
      <c r="F594">
        <v>19119</v>
      </c>
      <c r="G594">
        <v>-1</v>
      </c>
      <c r="H594">
        <v>-1</v>
      </c>
      <c r="I594">
        <v>-1</v>
      </c>
    </row>
    <row r="595" spans="1:9" x14ac:dyDescent="0.4">
      <c r="A595">
        <v>1008312</v>
      </c>
      <c r="B595">
        <v>3</v>
      </c>
      <c r="C595">
        <v>1008002</v>
      </c>
      <c r="D595">
        <v>1008001</v>
      </c>
      <c r="E595">
        <v>1008000</v>
      </c>
      <c r="F595">
        <v>19123</v>
      </c>
      <c r="G595">
        <v>-1</v>
      </c>
      <c r="H595">
        <v>-1</v>
      </c>
      <c r="I595">
        <v>-1</v>
      </c>
    </row>
    <row r="596" spans="1:9" x14ac:dyDescent="0.4">
      <c r="A596">
        <v>1008320</v>
      </c>
      <c r="B596">
        <v>3</v>
      </c>
      <c r="C596">
        <v>1008000</v>
      </c>
      <c r="D596">
        <v>-1</v>
      </c>
      <c r="E596">
        <v>-1</v>
      </c>
      <c r="F596">
        <v>19127</v>
      </c>
      <c r="G596">
        <v>-1</v>
      </c>
      <c r="H596">
        <v>-1</v>
      </c>
      <c r="I596">
        <v>-1</v>
      </c>
    </row>
    <row r="597" spans="1:9" x14ac:dyDescent="0.4">
      <c r="A597">
        <v>1008321</v>
      </c>
      <c r="B597">
        <v>3</v>
      </c>
      <c r="C597">
        <v>1008001</v>
      </c>
      <c r="D597">
        <v>1008000</v>
      </c>
      <c r="E597">
        <v>-1</v>
      </c>
      <c r="F597">
        <v>19131</v>
      </c>
      <c r="G597">
        <v>-1</v>
      </c>
      <c r="H597">
        <v>-1</v>
      </c>
      <c r="I597">
        <v>-1</v>
      </c>
    </row>
    <row r="598" spans="1:9" x14ac:dyDescent="0.4">
      <c r="A598">
        <v>1008322</v>
      </c>
      <c r="B598">
        <v>3</v>
      </c>
      <c r="C598">
        <v>1008002</v>
      </c>
      <c r="D598">
        <v>1008001</v>
      </c>
      <c r="E598">
        <v>1008000</v>
      </c>
      <c r="F598">
        <v>19135</v>
      </c>
      <c r="G598">
        <v>-1</v>
      </c>
      <c r="H598">
        <v>-1</v>
      </c>
      <c r="I598">
        <v>-1</v>
      </c>
    </row>
    <row r="599" spans="1:9" x14ac:dyDescent="0.4">
      <c r="A599">
        <v>1009000</v>
      </c>
      <c r="B599">
        <v>0</v>
      </c>
      <c r="C599">
        <v>1009000</v>
      </c>
      <c r="D599">
        <v>-1</v>
      </c>
      <c r="E599">
        <v>-1</v>
      </c>
      <c r="F599">
        <v>19100</v>
      </c>
      <c r="G599">
        <v>-1</v>
      </c>
      <c r="H599">
        <v>-1</v>
      </c>
      <c r="I599">
        <v>-1</v>
      </c>
    </row>
    <row r="600" spans="1:9" x14ac:dyDescent="0.4">
      <c r="A600">
        <v>1009001</v>
      </c>
      <c r="B600">
        <v>0</v>
      </c>
      <c r="C600">
        <v>1009001</v>
      </c>
      <c r="D600">
        <v>1009000</v>
      </c>
      <c r="E600">
        <v>-1</v>
      </c>
      <c r="F600">
        <v>19104</v>
      </c>
      <c r="G600">
        <v>-1</v>
      </c>
      <c r="H600">
        <v>-1</v>
      </c>
      <c r="I600">
        <v>-1</v>
      </c>
    </row>
    <row r="601" spans="1:9" x14ac:dyDescent="0.4">
      <c r="A601">
        <v>1009002</v>
      </c>
      <c r="B601">
        <v>0</v>
      </c>
      <c r="C601">
        <v>1009002</v>
      </c>
      <c r="D601">
        <v>1009001</v>
      </c>
      <c r="E601">
        <v>1009000</v>
      </c>
      <c r="F601">
        <v>19108</v>
      </c>
      <c r="G601">
        <v>-1</v>
      </c>
      <c r="H601">
        <v>-1</v>
      </c>
      <c r="I601">
        <v>-1</v>
      </c>
    </row>
    <row r="602" spans="1:9" x14ac:dyDescent="0.4">
      <c r="A602">
        <v>1009010</v>
      </c>
      <c r="B602">
        <v>0</v>
      </c>
      <c r="C602">
        <v>1009000</v>
      </c>
      <c r="D602">
        <v>-1</v>
      </c>
      <c r="E602">
        <v>-1</v>
      </c>
      <c r="F602">
        <v>19112</v>
      </c>
      <c r="G602">
        <v>-1</v>
      </c>
      <c r="H602">
        <v>-1</v>
      </c>
      <c r="I602">
        <v>-1</v>
      </c>
    </row>
    <row r="603" spans="1:9" x14ac:dyDescent="0.4">
      <c r="A603">
        <v>1009011</v>
      </c>
      <c r="B603">
        <v>0</v>
      </c>
      <c r="C603">
        <v>1009001</v>
      </c>
      <c r="D603">
        <v>1009000</v>
      </c>
      <c r="E603">
        <v>-1</v>
      </c>
      <c r="F603">
        <v>19116</v>
      </c>
      <c r="G603">
        <v>-1</v>
      </c>
      <c r="H603">
        <v>-1</v>
      </c>
      <c r="I603">
        <v>-1</v>
      </c>
    </row>
    <row r="604" spans="1:9" x14ac:dyDescent="0.4">
      <c r="A604">
        <v>1009012</v>
      </c>
      <c r="B604">
        <v>0</v>
      </c>
      <c r="C604">
        <v>1009002</v>
      </c>
      <c r="D604">
        <v>1009001</v>
      </c>
      <c r="E604">
        <v>1009000</v>
      </c>
      <c r="F604">
        <v>19120</v>
      </c>
      <c r="G604">
        <v>-1</v>
      </c>
      <c r="H604">
        <v>-1</v>
      </c>
      <c r="I604">
        <v>-1</v>
      </c>
    </row>
    <row r="605" spans="1:9" x14ac:dyDescent="0.4">
      <c r="A605">
        <v>1009020</v>
      </c>
      <c r="B605">
        <v>0</v>
      </c>
      <c r="C605">
        <v>1009000</v>
      </c>
      <c r="D605">
        <v>-1</v>
      </c>
      <c r="E605">
        <v>-1</v>
      </c>
      <c r="F605">
        <v>19124</v>
      </c>
      <c r="G605">
        <v>-1</v>
      </c>
      <c r="H605">
        <v>-1</v>
      </c>
      <c r="I605">
        <v>-1</v>
      </c>
    </row>
    <row r="606" spans="1:9" x14ac:dyDescent="0.4">
      <c r="A606">
        <v>1009021</v>
      </c>
      <c r="B606">
        <v>0</v>
      </c>
      <c r="C606">
        <v>1009001</v>
      </c>
      <c r="D606">
        <v>1009000</v>
      </c>
      <c r="E606">
        <v>-1</v>
      </c>
      <c r="F606">
        <v>19128</v>
      </c>
      <c r="G606">
        <v>-1</v>
      </c>
      <c r="H606">
        <v>-1</v>
      </c>
      <c r="I606">
        <v>-1</v>
      </c>
    </row>
    <row r="607" spans="1:9" x14ac:dyDescent="0.4">
      <c r="A607">
        <v>1009022</v>
      </c>
      <c r="B607">
        <v>0</v>
      </c>
      <c r="C607">
        <v>1009002</v>
      </c>
      <c r="D607">
        <v>1009001</v>
      </c>
      <c r="E607">
        <v>1009000</v>
      </c>
      <c r="F607">
        <v>19132</v>
      </c>
      <c r="G607">
        <v>-1</v>
      </c>
      <c r="H607">
        <v>-1</v>
      </c>
      <c r="I607">
        <v>-1</v>
      </c>
    </row>
    <row r="608" spans="1:9" x14ac:dyDescent="0.4">
      <c r="A608">
        <v>1009100</v>
      </c>
      <c r="B608">
        <v>1</v>
      </c>
      <c r="C608">
        <v>1009000</v>
      </c>
      <c r="D608">
        <v>-1</v>
      </c>
      <c r="E608">
        <v>-1</v>
      </c>
      <c r="F608">
        <v>19101</v>
      </c>
      <c r="G608">
        <v>-1</v>
      </c>
      <c r="H608">
        <v>-1</v>
      </c>
      <c r="I608">
        <v>-1</v>
      </c>
    </row>
    <row r="609" spans="1:9" x14ac:dyDescent="0.4">
      <c r="A609">
        <v>1009101</v>
      </c>
      <c r="B609">
        <v>1</v>
      </c>
      <c r="C609">
        <v>1009001</v>
      </c>
      <c r="D609">
        <v>1009000</v>
      </c>
      <c r="E609">
        <v>-1</v>
      </c>
      <c r="F609">
        <v>19105</v>
      </c>
      <c r="G609">
        <v>-1</v>
      </c>
      <c r="H609">
        <v>-1</v>
      </c>
      <c r="I609">
        <v>-1</v>
      </c>
    </row>
    <row r="610" spans="1:9" x14ac:dyDescent="0.4">
      <c r="A610">
        <v>1009102</v>
      </c>
      <c r="B610">
        <v>1</v>
      </c>
      <c r="C610">
        <v>1009002</v>
      </c>
      <c r="D610">
        <v>1009001</v>
      </c>
      <c r="E610">
        <v>1009000</v>
      </c>
      <c r="F610">
        <v>19109</v>
      </c>
      <c r="G610">
        <v>-1</v>
      </c>
      <c r="H610">
        <v>-1</v>
      </c>
      <c r="I610">
        <v>-1</v>
      </c>
    </row>
    <row r="611" spans="1:9" x14ac:dyDescent="0.4">
      <c r="A611">
        <v>1009110</v>
      </c>
      <c r="B611">
        <v>1</v>
      </c>
      <c r="C611">
        <v>1009000</v>
      </c>
      <c r="D611">
        <v>-1</v>
      </c>
      <c r="E611">
        <v>-1</v>
      </c>
      <c r="F611">
        <v>19113</v>
      </c>
      <c r="G611">
        <v>-1</v>
      </c>
      <c r="H611">
        <v>-1</v>
      </c>
      <c r="I611">
        <v>-1</v>
      </c>
    </row>
    <row r="612" spans="1:9" x14ac:dyDescent="0.4">
      <c r="A612">
        <v>1009111</v>
      </c>
      <c r="B612">
        <v>1</v>
      </c>
      <c r="C612">
        <v>1009001</v>
      </c>
      <c r="D612">
        <v>1009000</v>
      </c>
      <c r="E612">
        <v>-1</v>
      </c>
      <c r="F612">
        <v>19117</v>
      </c>
      <c r="G612">
        <v>-1</v>
      </c>
      <c r="H612">
        <v>-1</v>
      </c>
      <c r="I612">
        <v>-1</v>
      </c>
    </row>
    <row r="613" spans="1:9" x14ac:dyDescent="0.4">
      <c r="A613">
        <v>1009112</v>
      </c>
      <c r="B613">
        <v>1</v>
      </c>
      <c r="C613">
        <v>1009002</v>
      </c>
      <c r="D613">
        <v>1009001</v>
      </c>
      <c r="E613">
        <v>1009000</v>
      </c>
      <c r="F613">
        <v>19121</v>
      </c>
      <c r="G613">
        <v>-1</v>
      </c>
      <c r="H613">
        <v>-1</v>
      </c>
      <c r="I613">
        <v>-1</v>
      </c>
    </row>
    <row r="614" spans="1:9" x14ac:dyDescent="0.4">
      <c r="A614">
        <v>1009120</v>
      </c>
      <c r="B614">
        <v>1</v>
      </c>
      <c r="C614">
        <v>1009000</v>
      </c>
      <c r="D614">
        <v>-1</v>
      </c>
      <c r="E614">
        <v>-1</v>
      </c>
      <c r="F614">
        <v>19125</v>
      </c>
      <c r="G614">
        <v>-1</v>
      </c>
      <c r="H614">
        <v>-1</v>
      </c>
      <c r="I614">
        <v>-1</v>
      </c>
    </row>
    <row r="615" spans="1:9" x14ac:dyDescent="0.4">
      <c r="A615">
        <v>1009121</v>
      </c>
      <c r="B615">
        <v>1</v>
      </c>
      <c r="C615">
        <v>1009001</v>
      </c>
      <c r="D615">
        <v>1009000</v>
      </c>
      <c r="E615">
        <v>-1</v>
      </c>
      <c r="F615">
        <v>19129</v>
      </c>
      <c r="G615">
        <v>-1</v>
      </c>
      <c r="H615">
        <v>-1</v>
      </c>
      <c r="I615">
        <v>-1</v>
      </c>
    </row>
    <row r="616" spans="1:9" x14ac:dyDescent="0.4">
      <c r="A616">
        <v>1009122</v>
      </c>
      <c r="B616">
        <v>1</v>
      </c>
      <c r="C616">
        <v>1009002</v>
      </c>
      <c r="D616">
        <v>1009001</v>
      </c>
      <c r="E616">
        <v>1009000</v>
      </c>
      <c r="F616">
        <v>19133</v>
      </c>
      <c r="G616">
        <v>-1</v>
      </c>
      <c r="H616">
        <v>-1</v>
      </c>
      <c r="I616">
        <v>-1</v>
      </c>
    </row>
    <row r="617" spans="1:9" x14ac:dyDescent="0.4">
      <c r="A617">
        <v>1009200</v>
      </c>
      <c r="B617">
        <v>2</v>
      </c>
      <c r="C617">
        <v>1009000</v>
      </c>
      <c r="D617">
        <v>-1</v>
      </c>
      <c r="E617">
        <v>-1</v>
      </c>
      <c r="F617">
        <v>19102</v>
      </c>
      <c r="G617">
        <v>-1</v>
      </c>
      <c r="H617">
        <v>-1</v>
      </c>
      <c r="I617">
        <v>-1</v>
      </c>
    </row>
    <row r="618" spans="1:9" x14ac:dyDescent="0.4">
      <c r="A618">
        <v>1009201</v>
      </c>
      <c r="B618">
        <v>2</v>
      </c>
      <c r="C618">
        <v>1009001</v>
      </c>
      <c r="D618">
        <v>1009000</v>
      </c>
      <c r="E618">
        <v>-1</v>
      </c>
      <c r="F618">
        <v>19106</v>
      </c>
      <c r="G618">
        <v>-1</v>
      </c>
      <c r="H618">
        <v>-1</v>
      </c>
      <c r="I618">
        <v>-1</v>
      </c>
    </row>
    <row r="619" spans="1:9" x14ac:dyDescent="0.4">
      <c r="A619">
        <v>1009202</v>
      </c>
      <c r="B619">
        <v>2</v>
      </c>
      <c r="C619">
        <v>1009002</v>
      </c>
      <c r="D619">
        <v>1009001</v>
      </c>
      <c r="E619">
        <v>1009000</v>
      </c>
      <c r="F619">
        <v>19110</v>
      </c>
      <c r="G619">
        <v>-1</v>
      </c>
      <c r="H619">
        <v>-1</v>
      </c>
      <c r="I619">
        <v>-1</v>
      </c>
    </row>
    <row r="620" spans="1:9" x14ac:dyDescent="0.4">
      <c r="A620">
        <v>1009210</v>
      </c>
      <c r="B620">
        <v>2</v>
      </c>
      <c r="C620">
        <v>1009000</v>
      </c>
      <c r="D620">
        <v>-1</v>
      </c>
      <c r="E620">
        <v>-1</v>
      </c>
      <c r="F620">
        <v>19114</v>
      </c>
      <c r="G620">
        <v>-1</v>
      </c>
      <c r="H620">
        <v>-1</v>
      </c>
      <c r="I620">
        <v>-1</v>
      </c>
    </row>
    <row r="621" spans="1:9" x14ac:dyDescent="0.4">
      <c r="A621">
        <v>1009211</v>
      </c>
      <c r="B621">
        <v>2</v>
      </c>
      <c r="C621">
        <v>1009001</v>
      </c>
      <c r="D621">
        <v>1009000</v>
      </c>
      <c r="E621">
        <v>-1</v>
      </c>
      <c r="F621">
        <v>19118</v>
      </c>
      <c r="G621">
        <v>-1</v>
      </c>
      <c r="H621">
        <v>-1</v>
      </c>
      <c r="I621">
        <v>-1</v>
      </c>
    </row>
    <row r="622" spans="1:9" x14ac:dyDescent="0.4">
      <c r="A622">
        <v>1009212</v>
      </c>
      <c r="B622">
        <v>2</v>
      </c>
      <c r="C622">
        <v>1009002</v>
      </c>
      <c r="D622">
        <v>1009001</v>
      </c>
      <c r="E622">
        <v>1009000</v>
      </c>
      <c r="F622">
        <v>19122</v>
      </c>
      <c r="G622">
        <v>-1</v>
      </c>
      <c r="H622">
        <v>-1</v>
      </c>
      <c r="I622">
        <v>-1</v>
      </c>
    </row>
    <row r="623" spans="1:9" x14ac:dyDescent="0.4">
      <c r="A623">
        <v>1009220</v>
      </c>
      <c r="B623">
        <v>2</v>
      </c>
      <c r="C623">
        <v>1009000</v>
      </c>
      <c r="D623">
        <v>-1</v>
      </c>
      <c r="E623">
        <v>-1</v>
      </c>
      <c r="F623">
        <v>19126</v>
      </c>
      <c r="G623">
        <v>-1</v>
      </c>
      <c r="H623">
        <v>-1</v>
      </c>
      <c r="I623">
        <v>-1</v>
      </c>
    </row>
    <row r="624" spans="1:9" x14ac:dyDescent="0.4">
      <c r="A624">
        <v>1009221</v>
      </c>
      <c r="B624">
        <v>2</v>
      </c>
      <c r="C624">
        <v>1009001</v>
      </c>
      <c r="D624">
        <v>1009000</v>
      </c>
      <c r="E624">
        <v>-1</v>
      </c>
      <c r="F624">
        <v>19130</v>
      </c>
      <c r="G624">
        <v>-1</v>
      </c>
      <c r="H624">
        <v>-1</v>
      </c>
      <c r="I624">
        <v>-1</v>
      </c>
    </row>
    <row r="625" spans="1:9" x14ac:dyDescent="0.4">
      <c r="A625">
        <v>1009222</v>
      </c>
      <c r="B625">
        <v>2</v>
      </c>
      <c r="C625">
        <v>1009002</v>
      </c>
      <c r="D625">
        <v>1009001</v>
      </c>
      <c r="E625">
        <v>1009000</v>
      </c>
      <c r="F625">
        <v>19134</v>
      </c>
      <c r="G625">
        <v>-1</v>
      </c>
      <c r="H625">
        <v>-1</v>
      </c>
      <c r="I625">
        <v>-1</v>
      </c>
    </row>
    <row r="626" spans="1:9" x14ac:dyDescent="0.4">
      <c r="A626">
        <v>1009300</v>
      </c>
      <c r="B626">
        <v>3</v>
      </c>
      <c r="C626">
        <v>1009000</v>
      </c>
      <c r="D626">
        <v>-1</v>
      </c>
      <c r="E626">
        <v>-1</v>
      </c>
      <c r="F626">
        <v>19103</v>
      </c>
      <c r="G626">
        <v>-1</v>
      </c>
      <c r="H626">
        <v>-1</v>
      </c>
      <c r="I626">
        <v>-1</v>
      </c>
    </row>
    <row r="627" spans="1:9" x14ac:dyDescent="0.4">
      <c r="A627">
        <v>1009301</v>
      </c>
      <c r="B627">
        <v>3</v>
      </c>
      <c r="C627">
        <v>1009001</v>
      </c>
      <c r="D627">
        <v>1009000</v>
      </c>
      <c r="E627">
        <v>-1</v>
      </c>
      <c r="F627">
        <v>19107</v>
      </c>
      <c r="G627">
        <v>-1</v>
      </c>
      <c r="H627">
        <v>-1</v>
      </c>
      <c r="I627">
        <v>-1</v>
      </c>
    </row>
    <row r="628" spans="1:9" x14ac:dyDescent="0.4">
      <c r="A628">
        <v>1009302</v>
      </c>
      <c r="B628">
        <v>3</v>
      </c>
      <c r="C628">
        <v>1009002</v>
      </c>
      <c r="D628">
        <v>1009001</v>
      </c>
      <c r="E628">
        <v>1009000</v>
      </c>
      <c r="F628">
        <v>19111</v>
      </c>
      <c r="G628">
        <v>-1</v>
      </c>
      <c r="H628">
        <v>-1</v>
      </c>
      <c r="I628">
        <v>-1</v>
      </c>
    </row>
    <row r="629" spans="1:9" x14ac:dyDescent="0.4">
      <c r="A629">
        <v>1009310</v>
      </c>
      <c r="B629">
        <v>3</v>
      </c>
      <c r="C629">
        <v>1009000</v>
      </c>
      <c r="D629">
        <v>-1</v>
      </c>
      <c r="E629">
        <v>-1</v>
      </c>
      <c r="F629">
        <v>19115</v>
      </c>
      <c r="G629">
        <v>-1</v>
      </c>
      <c r="H629">
        <v>-1</v>
      </c>
      <c r="I629">
        <v>-1</v>
      </c>
    </row>
    <row r="630" spans="1:9" x14ac:dyDescent="0.4">
      <c r="A630">
        <v>1009311</v>
      </c>
      <c r="B630">
        <v>3</v>
      </c>
      <c r="C630">
        <v>1009001</v>
      </c>
      <c r="D630">
        <v>1009000</v>
      </c>
      <c r="E630">
        <v>-1</v>
      </c>
      <c r="F630">
        <v>19119</v>
      </c>
      <c r="G630">
        <v>-1</v>
      </c>
      <c r="H630">
        <v>-1</v>
      </c>
      <c r="I630">
        <v>-1</v>
      </c>
    </row>
    <row r="631" spans="1:9" x14ac:dyDescent="0.4">
      <c r="A631">
        <v>1009312</v>
      </c>
      <c r="B631">
        <v>3</v>
      </c>
      <c r="C631">
        <v>1009002</v>
      </c>
      <c r="D631">
        <v>1009001</v>
      </c>
      <c r="E631">
        <v>1009000</v>
      </c>
      <c r="F631">
        <v>19123</v>
      </c>
      <c r="G631">
        <v>-1</v>
      </c>
      <c r="H631">
        <v>-1</v>
      </c>
      <c r="I631">
        <v>-1</v>
      </c>
    </row>
    <row r="632" spans="1:9" x14ac:dyDescent="0.4">
      <c r="A632">
        <v>1009320</v>
      </c>
      <c r="B632">
        <v>3</v>
      </c>
      <c r="C632">
        <v>1009000</v>
      </c>
      <c r="D632">
        <v>-1</v>
      </c>
      <c r="E632">
        <v>-1</v>
      </c>
      <c r="F632">
        <v>19127</v>
      </c>
      <c r="G632">
        <v>-1</v>
      </c>
      <c r="H632">
        <v>-1</v>
      </c>
      <c r="I632">
        <v>-1</v>
      </c>
    </row>
    <row r="633" spans="1:9" x14ac:dyDescent="0.4">
      <c r="A633">
        <v>1009321</v>
      </c>
      <c r="B633">
        <v>3</v>
      </c>
      <c r="C633">
        <v>1009001</v>
      </c>
      <c r="D633">
        <v>1009000</v>
      </c>
      <c r="E633">
        <v>-1</v>
      </c>
      <c r="F633">
        <v>19131</v>
      </c>
      <c r="G633">
        <v>-1</v>
      </c>
      <c r="H633">
        <v>-1</v>
      </c>
      <c r="I633">
        <v>-1</v>
      </c>
    </row>
    <row r="634" spans="1:9" x14ac:dyDescent="0.4">
      <c r="A634">
        <v>1009322</v>
      </c>
      <c r="B634">
        <v>3</v>
      </c>
      <c r="C634">
        <v>1009002</v>
      </c>
      <c r="D634">
        <v>1009001</v>
      </c>
      <c r="E634">
        <v>1009000</v>
      </c>
      <c r="F634">
        <v>19135</v>
      </c>
      <c r="G634">
        <v>-1</v>
      </c>
      <c r="H634">
        <v>-1</v>
      </c>
      <c r="I634">
        <v>-1</v>
      </c>
    </row>
    <row r="635" spans="1:9" x14ac:dyDescent="0.4">
      <c r="A635">
        <v>2000000</v>
      </c>
      <c r="B635">
        <v>0</v>
      </c>
      <c r="C635">
        <v>2000000</v>
      </c>
      <c r="D635">
        <v>-1</v>
      </c>
      <c r="E635">
        <v>-1</v>
      </c>
      <c r="F635">
        <v>19300</v>
      </c>
      <c r="G635">
        <v>3000000</v>
      </c>
      <c r="H635">
        <v>-1</v>
      </c>
      <c r="I635">
        <v>-1</v>
      </c>
    </row>
    <row r="636" spans="1:9" x14ac:dyDescent="0.4">
      <c r="A636">
        <v>2000001</v>
      </c>
      <c r="B636">
        <v>0</v>
      </c>
      <c r="C636">
        <v>2000000</v>
      </c>
      <c r="D636">
        <v>2100000</v>
      </c>
      <c r="E636">
        <v>-1</v>
      </c>
      <c r="F636">
        <v>19304</v>
      </c>
      <c r="G636">
        <v>3000000</v>
      </c>
      <c r="H636">
        <v>-1</v>
      </c>
      <c r="I636">
        <v>-1</v>
      </c>
    </row>
    <row r="637" spans="1:9" x14ac:dyDescent="0.4">
      <c r="A637">
        <v>2000002</v>
      </c>
      <c r="B637">
        <v>0</v>
      </c>
      <c r="C637">
        <v>2000000</v>
      </c>
      <c r="D637">
        <v>2100000</v>
      </c>
      <c r="E637">
        <v>2100000</v>
      </c>
      <c r="F637">
        <v>19308</v>
      </c>
      <c r="G637">
        <v>3000000</v>
      </c>
      <c r="H637">
        <v>-1</v>
      </c>
      <c r="I637">
        <v>-1</v>
      </c>
    </row>
    <row r="638" spans="1:9" x14ac:dyDescent="0.4">
      <c r="A638">
        <v>2000010</v>
      </c>
      <c r="B638">
        <v>0</v>
      </c>
      <c r="C638">
        <v>2000000</v>
      </c>
      <c r="D638">
        <v>-1</v>
      </c>
      <c r="E638">
        <v>-1</v>
      </c>
      <c r="F638">
        <v>19312</v>
      </c>
      <c r="G638">
        <v>3000000</v>
      </c>
      <c r="H638">
        <v>-1</v>
      </c>
      <c r="I638">
        <v>-1</v>
      </c>
    </row>
    <row r="639" spans="1:9" x14ac:dyDescent="0.4">
      <c r="A639">
        <v>2000011</v>
      </c>
      <c r="B639">
        <v>0</v>
      </c>
      <c r="C639">
        <v>2000000</v>
      </c>
      <c r="D639">
        <v>2100000</v>
      </c>
      <c r="E639">
        <v>-1</v>
      </c>
      <c r="F639">
        <v>19316</v>
      </c>
      <c r="G639">
        <v>3000000</v>
      </c>
      <c r="H639">
        <v>-1</v>
      </c>
      <c r="I639">
        <v>-1</v>
      </c>
    </row>
    <row r="640" spans="1:9" x14ac:dyDescent="0.4">
      <c r="A640">
        <v>2000012</v>
      </c>
      <c r="B640">
        <v>0</v>
      </c>
      <c r="C640">
        <v>2000000</v>
      </c>
      <c r="D640">
        <v>2100000</v>
      </c>
      <c r="E640">
        <v>2100000</v>
      </c>
      <c r="F640">
        <v>19320</v>
      </c>
      <c r="G640">
        <v>3000000</v>
      </c>
      <c r="H640">
        <v>-1</v>
      </c>
      <c r="I640">
        <v>-1</v>
      </c>
    </row>
    <row r="641" spans="1:9" x14ac:dyDescent="0.4">
      <c r="A641">
        <v>2000020</v>
      </c>
      <c r="B641">
        <v>0</v>
      </c>
      <c r="C641">
        <v>2000000</v>
      </c>
      <c r="D641">
        <v>-1</v>
      </c>
      <c r="E641">
        <v>-1</v>
      </c>
      <c r="F641">
        <v>19324</v>
      </c>
      <c r="G641">
        <v>3000000</v>
      </c>
      <c r="H641">
        <v>-1</v>
      </c>
      <c r="I641">
        <v>-1</v>
      </c>
    </row>
    <row r="642" spans="1:9" x14ac:dyDescent="0.4">
      <c r="A642">
        <v>2000021</v>
      </c>
      <c r="B642">
        <v>0</v>
      </c>
      <c r="C642">
        <v>2000000</v>
      </c>
      <c r="D642">
        <v>2100000</v>
      </c>
      <c r="E642">
        <v>-1</v>
      </c>
      <c r="F642">
        <v>19328</v>
      </c>
      <c r="G642">
        <v>3000000</v>
      </c>
      <c r="H642">
        <v>-1</v>
      </c>
      <c r="I642">
        <v>-1</v>
      </c>
    </row>
    <row r="643" spans="1:9" x14ac:dyDescent="0.4">
      <c r="A643">
        <v>2000022</v>
      </c>
      <c r="B643">
        <v>0</v>
      </c>
      <c r="C643">
        <v>2000000</v>
      </c>
      <c r="D643">
        <v>2100000</v>
      </c>
      <c r="E643">
        <v>2100000</v>
      </c>
      <c r="F643">
        <v>19332</v>
      </c>
      <c r="G643">
        <v>3000000</v>
      </c>
      <c r="H643">
        <v>-1</v>
      </c>
      <c r="I643">
        <v>-1</v>
      </c>
    </row>
    <row r="644" spans="1:9" x14ac:dyDescent="0.4">
      <c r="A644">
        <v>2000100</v>
      </c>
      <c r="B644">
        <v>1</v>
      </c>
      <c r="C644">
        <v>2000000</v>
      </c>
      <c r="D644">
        <v>-1</v>
      </c>
      <c r="E644">
        <v>-1</v>
      </c>
      <c r="F644">
        <v>19301</v>
      </c>
      <c r="G644">
        <v>3000000</v>
      </c>
      <c r="H644">
        <v>-1</v>
      </c>
      <c r="I644">
        <v>-1</v>
      </c>
    </row>
    <row r="645" spans="1:9" x14ac:dyDescent="0.4">
      <c r="A645">
        <v>2000101</v>
      </c>
      <c r="B645">
        <v>1</v>
      </c>
      <c r="C645">
        <v>2000000</v>
      </c>
      <c r="D645">
        <v>2100000</v>
      </c>
      <c r="E645">
        <v>-1</v>
      </c>
      <c r="F645">
        <v>19305</v>
      </c>
      <c r="G645">
        <v>3000000</v>
      </c>
      <c r="H645">
        <v>-1</v>
      </c>
      <c r="I645">
        <v>-1</v>
      </c>
    </row>
    <row r="646" spans="1:9" x14ac:dyDescent="0.4">
      <c r="A646">
        <v>2000102</v>
      </c>
      <c r="B646">
        <v>1</v>
      </c>
      <c r="C646">
        <v>2000000</v>
      </c>
      <c r="D646">
        <v>2100000</v>
      </c>
      <c r="E646">
        <v>2100000</v>
      </c>
      <c r="F646">
        <v>19309</v>
      </c>
      <c r="G646">
        <v>3000000</v>
      </c>
      <c r="H646">
        <v>-1</v>
      </c>
      <c r="I646">
        <v>-1</v>
      </c>
    </row>
    <row r="647" spans="1:9" x14ac:dyDescent="0.4">
      <c r="A647">
        <v>2000110</v>
      </c>
      <c r="B647">
        <v>1</v>
      </c>
      <c r="C647">
        <v>2000000</v>
      </c>
      <c r="D647">
        <v>-1</v>
      </c>
      <c r="E647">
        <v>-1</v>
      </c>
      <c r="F647">
        <v>19313</v>
      </c>
      <c r="G647">
        <v>3000000</v>
      </c>
      <c r="H647">
        <v>-1</v>
      </c>
      <c r="I647">
        <v>-1</v>
      </c>
    </row>
    <row r="648" spans="1:9" x14ac:dyDescent="0.4">
      <c r="A648">
        <v>2000111</v>
      </c>
      <c r="B648">
        <v>1</v>
      </c>
      <c r="C648">
        <v>2000000</v>
      </c>
      <c r="D648">
        <v>2100000</v>
      </c>
      <c r="E648">
        <v>-1</v>
      </c>
      <c r="F648">
        <v>19317</v>
      </c>
      <c r="G648">
        <v>3000000</v>
      </c>
      <c r="H648">
        <v>-1</v>
      </c>
      <c r="I648">
        <v>-1</v>
      </c>
    </row>
    <row r="649" spans="1:9" x14ac:dyDescent="0.4">
      <c r="A649">
        <v>2000112</v>
      </c>
      <c r="B649">
        <v>1</v>
      </c>
      <c r="C649">
        <v>2000000</v>
      </c>
      <c r="D649">
        <v>2100000</v>
      </c>
      <c r="E649">
        <v>2100000</v>
      </c>
      <c r="F649">
        <v>19321</v>
      </c>
      <c r="G649">
        <v>3000000</v>
      </c>
      <c r="H649">
        <v>-1</v>
      </c>
      <c r="I649">
        <v>-1</v>
      </c>
    </row>
    <row r="650" spans="1:9" x14ac:dyDescent="0.4">
      <c r="A650">
        <v>2000120</v>
      </c>
      <c r="B650">
        <v>1</v>
      </c>
      <c r="C650">
        <v>2000000</v>
      </c>
      <c r="D650">
        <v>-1</v>
      </c>
      <c r="E650">
        <v>-1</v>
      </c>
      <c r="F650">
        <v>19325</v>
      </c>
      <c r="G650">
        <v>3000000</v>
      </c>
      <c r="H650">
        <v>-1</v>
      </c>
      <c r="I650">
        <v>-1</v>
      </c>
    </row>
    <row r="651" spans="1:9" x14ac:dyDescent="0.4">
      <c r="A651">
        <v>2000121</v>
      </c>
      <c r="B651">
        <v>1</v>
      </c>
      <c r="C651">
        <v>2000000</v>
      </c>
      <c r="D651">
        <v>2100000</v>
      </c>
      <c r="E651">
        <v>-1</v>
      </c>
      <c r="F651">
        <v>19329</v>
      </c>
      <c r="G651">
        <v>3000000</v>
      </c>
      <c r="H651">
        <v>-1</v>
      </c>
      <c r="I651">
        <v>-1</v>
      </c>
    </row>
    <row r="652" spans="1:9" x14ac:dyDescent="0.4">
      <c r="A652">
        <v>2000122</v>
      </c>
      <c r="B652">
        <v>1</v>
      </c>
      <c r="C652">
        <v>2000000</v>
      </c>
      <c r="D652">
        <v>2100000</v>
      </c>
      <c r="E652">
        <v>2100000</v>
      </c>
      <c r="F652">
        <v>19333</v>
      </c>
      <c r="G652">
        <v>3000000</v>
      </c>
      <c r="H652">
        <v>-1</v>
      </c>
      <c r="I652">
        <v>-1</v>
      </c>
    </row>
    <row r="653" spans="1:9" x14ac:dyDescent="0.4">
      <c r="A653">
        <v>2000200</v>
      </c>
      <c r="B653">
        <v>2</v>
      </c>
      <c r="C653">
        <v>2000000</v>
      </c>
      <c r="D653">
        <v>-1</v>
      </c>
      <c r="E653">
        <v>-1</v>
      </c>
      <c r="F653">
        <v>19302</v>
      </c>
      <c r="G653">
        <v>3000000</v>
      </c>
      <c r="H653">
        <v>-1</v>
      </c>
      <c r="I653">
        <v>-1</v>
      </c>
    </row>
    <row r="654" spans="1:9" x14ac:dyDescent="0.4">
      <c r="A654">
        <v>2000201</v>
      </c>
      <c r="B654">
        <v>2</v>
      </c>
      <c r="C654">
        <v>2000000</v>
      </c>
      <c r="D654">
        <v>2100000</v>
      </c>
      <c r="E654">
        <v>-1</v>
      </c>
      <c r="F654">
        <v>19306</v>
      </c>
      <c r="G654">
        <v>3000000</v>
      </c>
      <c r="H654">
        <v>-1</v>
      </c>
      <c r="I654">
        <v>-1</v>
      </c>
    </row>
    <row r="655" spans="1:9" x14ac:dyDescent="0.4">
      <c r="A655">
        <v>2000202</v>
      </c>
      <c r="B655">
        <v>2</v>
      </c>
      <c r="C655">
        <v>2000000</v>
      </c>
      <c r="D655">
        <v>2100000</v>
      </c>
      <c r="E655">
        <v>2100000</v>
      </c>
      <c r="F655">
        <v>19310</v>
      </c>
      <c r="G655">
        <v>3000000</v>
      </c>
      <c r="H655">
        <v>-1</v>
      </c>
      <c r="I655">
        <v>-1</v>
      </c>
    </row>
    <row r="656" spans="1:9" x14ac:dyDescent="0.4">
      <c r="A656">
        <v>2000210</v>
      </c>
      <c r="B656">
        <v>2</v>
      </c>
      <c r="C656">
        <v>2000000</v>
      </c>
      <c r="D656">
        <v>-1</v>
      </c>
      <c r="E656">
        <v>-1</v>
      </c>
      <c r="F656">
        <v>19314</v>
      </c>
      <c r="G656">
        <v>3000000</v>
      </c>
      <c r="H656">
        <v>-1</v>
      </c>
      <c r="I656">
        <v>-1</v>
      </c>
    </row>
    <row r="657" spans="1:9" x14ac:dyDescent="0.4">
      <c r="A657">
        <v>2000211</v>
      </c>
      <c r="B657">
        <v>2</v>
      </c>
      <c r="C657">
        <v>2000000</v>
      </c>
      <c r="D657">
        <v>2100000</v>
      </c>
      <c r="E657">
        <v>-1</v>
      </c>
      <c r="F657">
        <v>19318</v>
      </c>
      <c r="G657">
        <v>3000000</v>
      </c>
      <c r="H657">
        <v>-1</v>
      </c>
      <c r="I657">
        <v>-1</v>
      </c>
    </row>
    <row r="658" spans="1:9" x14ac:dyDescent="0.4">
      <c r="A658">
        <v>2000212</v>
      </c>
      <c r="B658">
        <v>2</v>
      </c>
      <c r="C658">
        <v>2000000</v>
      </c>
      <c r="D658">
        <v>2100000</v>
      </c>
      <c r="E658">
        <v>2100000</v>
      </c>
      <c r="F658">
        <v>19322</v>
      </c>
      <c r="G658">
        <v>3000000</v>
      </c>
      <c r="H658">
        <v>-1</v>
      </c>
      <c r="I658">
        <v>-1</v>
      </c>
    </row>
    <row r="659" spans="1:9" x14ac:dyDescent="0.4">
      <c r="A659">
        <v>2000220</v>
      </c>
      <c r="B659">
        <v>2</v>
      </c>
      <c r="C659">
        <v>2000000</v>
      </c>
      <c r="D659">
        <v>-1</v>
      </c>
      <c r="E659">
        <v>-1</v>
      </c>
      <c r="F659">
        <v>19326</v>
      </c>
      <c r="G659">
        <v>3000000</v>
      </c>
      <c r="H659">
        <v>-1</v>
      </c>
      <c r="I659">
        <v>-1</v>
      </c>
    </row>
    <row r="660" spans="1:9" x14ac:dyDescent="0.4">
      <c r="A660">
        <v>2000221</v>
      </c>
      <c r="B660">
        <v>2</v>
      </c>
      <c r="C660">
        <v>2000000</v>
      </c>
      <c r="D660">
        <v>2100000</v>
      </c>
      <c r="E660">
        <v>-1</v>
      </c>
      <c r="F660">
        <v>19330</v>
      </c>
      <c r="G660">
        <v>3000000</v>
      </c>
      <c r="H660">
        <v>-1</v>
      </c>
      <c r="I660">
        <v>-1</v>
      </c>
    </row>
    <row r="661" spans="1:9" x14ac:dyDescent="0.4">
      <c r="A661">
        <v>2000222</v>
      </c>
      <c r="B661">
        <v>2</v>
      </c>
      <c r="C661">
        <v>2000000</v>
      </c>
      <c r="D661">
        <v>2100000</v>
      </c>
      <c r="E661">
        <v>2100000</v>
      </c>
      <c r="F661">
        <v>19334</v>
      </c>
      <c r="G661">
        <v>3000000</v>
      </c>
      <c r="H661">
        <v>-1</v>
      </c>
      <c r="I661">
        <v>-1</v>
      </c>
    </row>
    <row r="662" spans="1:9" x14ac:dyDescent="0.4">
      <c r="A662">
        <v>2000300</v>
      </c>
      <c r="B662">
        <v>3</v>
      </c>
      <c r="C662">
        <v>2000000</v>
      </c>
      <c r="D662">
        <v>-1</v>
      </c>
      <c r="E662">
        <v>-1</v>
      </c>
      <c r="F662">
        <v>19303</v>
      </c>
      <c r="G662">
        <v>3000000</v>
      </c>
      <c r="H662">
        <v>-1</v>
      </c>
      <c r="I662">
        <v>-1</v>
      </c>
    </row>
    <row r="663" spans="1:9" x14ac:dyDescent="0.4">
      <c r="A663">
        <v>2000301</v>
      </c>
      <c r="B663">
        <v>3</v>
      </c>
      <c r="C663">
        <v>2000000</v>
      </c>
      <c r="D663">
        <v>2100000</v>
      </c>
      <c r="E663">
        <v>-1</v>
      </c>
      <c r="F663">
        <v>19307</v>
      </c>
      <c r="G663">
        <v>3000000</v>
      </c>
      <c r="H663">
        <v>-1</v>
      </c>
      <c r="I663">
        <v>-1</v>
      </c>
    </row>
    <row r="664" spans="1:9" x14ac:dyDescent="0.4">
      <c r="A664">
        <v>2000302</v>
      </c>
      <c r="B664">
        <v>3</v>
      </c>
      <c r="C664">
        <v>2000000</v>
      </c>
      <c r="D664">
        <v>2100000</v>
      </c>
      <c r="E664">
        <v>2100000</v>
      </c>
      <c r="F664">
        <v>19311</v>
      </c>
      <c r="G664">
        <v>3000000</v>
      </c>
      <c r="H664">
        <v>-1</v>
      </c>
      <c r="I664">
        <v>-1</v>
      </c>
    </row>
    <row r="665" spans="1:9" x14ac:dyDescent="0.4">
      <c r="A665">
        <v>2000310</v>
      </c>
      <c r="B665">
        <v>3</v>
      </c>
      <c r="C665">
        <v>2000000</v>
      </c>
      <c r="D665">
        <v>-1</v>
      </c>
      <c r="E665">
        <v>-1</v>
      </c>
      <c r="F665">
        <v>19315</v>
      </c>
      <c r="G665">
        <v>3000000</v>
      </c>
      <c r="H665">
        <v>-1</v>
      </c>
      <c r="I665">
        <v>-1</v>
      </c>
    </row>
    <row r="666" spans="1:9" x14ac:dyDescent="0.4">
      <c r="A666">
        <v>2000311</v>
      </c>
      <c r="B666">
        <v>3</v>
      </c>
      <c r="C666">
        <v>2000000</v>
      </c>
      <c r="D666">
        <v>2100000</v>
      </c>
      <c r="E666">
        <v>-1</v>
      </c>
      <c r="F666">
        <v>19319</v>
      </c>
      <c r="G666">
        <v>3000000</v>
      </c>
      <c r="H666">
        <v>-1</v>
      </c>
      <c r="I666">
        <v>-1</v>
      </c>
    </row>
    <row r="667" spans="1:9" x14ac:dyDescent="0.4">
      <c r="A667">
        <v>2000312</v>
      </c>
      <c r="B667">
        <v>3</v>
      </c>
      <c r="C667">
        <v>2000000</v>
      </c>
      <c r="D667">
        <v>2100000</v>
      </c>
      <c r="E667">
        <v>2100000</v>
      </c>
      <c r="F667">
        <v>19323</v>
      </c>
      <c r="G667">
        <v>3000000</v>
      </c>
      <c r="H667">
        <v>-1</v>
      </c>
      <c r="I667">
        <v>-1</v>
      </c>
    </row>
    <row r="668" spans="1:9" x14ac:dyDescent="0.4">
      <c r="A668">
        <v>2000320</v>
      </c>
      <c r="B668">
        <v>3</v>
      </c>
      <c r="C668">
        <v>2000000</v>
      </c>
      <c r="D668">
        <v>-1</v>
      </c>
      <c r="E668">
        <v>-1</v>
      </c>
      <c r="F668">
        <v>19327</v>
      </c>
      <c r="G668">
        <v>3000000</v>
      </c>
      <c r="H668">
        <v>-1</v>
      </c>
      <c r="I668">
        <v>-1</v>
      </c>
    </row>
    <row r="669" spans="1:9" x14ac:dyDescent="0.4">
      <c r="A669">
        <v>2000321</v>
      </c>
      <c r="B669">
        <v>3</v>
      </c>
      <c r="C669">
        <v>2000000</v>
      </c>
      <c r="D669">
        <v>2100000</v>
      </c>
      <c r="E669">
        <v>-1</v>
      </c>
      <c r="F669">
        <v>19331</v>
      </c>
      <c r="G669">
        <v>3000000</v>
      </c>
      <c r="H669">
        <v>-1</v>
      </c>
      <c r="I669">
        <v>-1</v>
      </c>
    </row>
    <row r="670" spans="1:9" x14ac:dyDescent="0.4">
      <c r="A670">
        <v>2000322</v>
      </c>
      <c r="B670">
        <v>3</v>
      </c>
      <c r="C670">
        <v>2000000</v>
      </c>
      <c r="D670">
        <v>2100000</v>
      </c>
      <c r="E670">
        <v>2100000</v>
      </c>
      <c r="F670">
        <v>19335</v>
      </c>
      <c r="G670">
        <v>3000000</v>
      </c>
      <c r="H670">
        <v>-1</v>
      </c>
      <c r="I670">
        <v>-1</v>
      </c>
    </row>
    <row r="671" spans="1:9" x14ac:dyDescent="0.4">
      <c r="A671">
        <v>2001001</v>
      </c>
      <c r="B671">
        <v>0</v>
      </c>
      <c r="C671">
        <v>2000000</v>
      </c>
      <c r="D671">
        <v>2000000</v>
      </c>
      <c r="E671">
        <v>-1</v>
      </c>
      <c r="F671">
        <v>19304</v>
      </c>
      <c r="G671">
        <v>3000000</v>
      </c>
      <c r="H671">
        <v>3000000</v>
      </c>
      <c r="I671">
        <v>-1</v>
      </c>
    </row>
    <row r="672" spans="1:9" x14ac:dyDescent="0.4">
      <c r="A672">
        <v>2001002</v>
      </c>
      <c r="B672">
        <v>0</v>
      </c>
      <c r="C672">
        <v>2000000</v>
      </c>
      <c r="D672">
        <v>2000000</v>
      </c>
      <c r="E672">
        <v>2100000</v>
      </c>
      <c r="F672">
        <v>19308</v>
      </c>
      <c r="G672">
        <v>3000000</v>
      </c>
      <c r="H672">
        <v>3000000</v>
      </c>
      <c r="I672">
        <v>-1</v>
      </c>
    </row>
    <row r="673" spans="1:9" x14ac:dyDescent="0.4">
      <c r="A673">
        <v>2001011</v>
      </c>
      <c r="B673">
        <v>0</v>
      </c>
      <c r="C673">
        <v>2000000</v>
      </c>
      <c r="D673">
        <v>2000000</v>
      </c>
      <c r="E673">
        <v>-1</v>
      </c>
      <c r="F673">
        <v>19316</v>
      </c>
      <c r="G673">
        <v>3000000</v>
      </c>
      <c r="H673">
        <v>3000000</v>
      </c>
      <c r="I673">
        <v>-1</v>
      </c>
    </row>
    <row r="674" spans="1:9" x14ac:dyDescent="0.4">
      <c r="A674">
        <v>2001012</v>
      </c>
      <c r="B674">
        <v>0</v>
      </c>
      <c r="C674">
        <v>2000000</v>
      </c>
      <c r="D674">
        <v>2000000</v>
      </c>
      <c r="E674">
        <v>2100000</v>
      </c>
      <c r="F674">
        <v>19320</v>
      </c>
      <c r="G674">
        <v>3000000</v>
      </c>
      <c r="H674">
        <v>3000000</v>
      </c>
      <c r="I674">
        <v>-1</v>
      </c>
    </row>
    <row r="675" spans="1:9" x14ac:dyDescent="0.4">
      <c r="A675">
        <v>2001021</v>
      </c>
      <c r="B675">
        <v>0</v>
      </c>
      <c r="C675">
        <v>2000000</v>
      </c>
      <c r="D675">
        <v>2000000</v>
      </c>
      <c r="E675">
        <v>-1</v>
      </c>
      <c r="F675">
        <v>19328</v>
      </c>
      <c r="G675">
        <v>3000000</v>
      </c>
      <c r="H675">
        <v>3000000</v>
      </c>
      <c r="I675">
        <v>-1</v>
      </c>
    </row>
    <row r="676" spans="1:9" x14ac:dyDescent="0.4">
      <c r="A676">
        <v>2001022</v>
      </c>
      <c r="B676">
        <v>0</v>
      </c>
      <c r="C676">
        <v>2000000</v>
      </c>
      <c r="D676">
        <v>2000000</v>
      </c>
      <c r="E676">
        <v>2100000</v>
      </c>
      <c r="F676">
        <v>19332</v>
      </c>
      <c r="G676">
        <v>3000000</v>
      </c>
      <c r="H676">
        <v>3000000</v>
      </c>
      <c r="I676">
        <v>-1</v>
      </c>
    </row>
    <row r="677" spans="1:9" x14ac:dyDescent="0.4">
      <c r="A677">
        <v>2001101</v>
      </c>
      <c r="B677">
        <v>1</v>
      </c>
      <c r="C677">
        <v>2000000</v>
      </c>
      <c r="D677">
        <v>2000000</v>
      </c>
      <c r="E677">
        <v>-1</v>
      </c>
      <c r="F677">
        <v>19305</v>
      </c>
      <c r="G677">
        <v>3000000</v>
      </c>
      <c r="H677">
        <v>3000000</v>
      </c>
      <c r="I677">
        <v>-1</v>
      </c>
    </row>
    <row r="678" spans="1:9" x14ac:dyDescent="0.4">
      <c r="A678">
        <v>2001102</v>
      </c>
      <c r="B678">
        <v>1</v>
      </c>
      <c r="C678">
        <v>2000000</v>
      </c>
      <c r="D678">
        <v>2000000</v>
      </c>
      <c r="E678">
        <v>2100000</v>
      </c>
      <c r="F678">
        <v>19309</v>
      </c>
      <c r="G678">
        <v>3000000</v>
      </c>
      <c r="H678">
        <v>3000000</v>
      </c>
      <c r="I678">
        <v>-1</v>
      </c>
    </row>
    <row r="679" spans="1:9" x14ac:dyDescent="0.4">
      <c r="A679">
        <v>2001111</v>
      </c>
      <c r="B679">
        <v>1</v>
      </c>
      <c r="C679">
        <v>2000000</v>
      </c>
      <c r="D679">
        <v>2000000</v>
      </c>
      <c r="E679">
        <v>-1</v>
      </c>
      <c r="F679">
        <v>19317</v>
      </c>
      <c r="G679">
        <v>3000000</v>
      </c>
      <c r="H679">
        <v>3000000</v>
      </c>
      <c r="I679">
        <v>-1</v>
      </c>
    </row>
    <row r="680" spans="1:9" x14ac:dyDescent="0.4">
      <c r="A680">
        <v>2001112</v>
      </c>
      <c r="B680">
        <v>1</v>
      </c>
      <c r="C680">
        <v>2000000</v>
      </c>
      <c r="D680">
        <v>2000000</v>
      </c>
      <c r="E680">
        <v>2100000</v>
      </c>
      <c r="F680">
        <v>19321</v>
      </c>
      <c r="G680">
        <v>3000000</v>
      </c>
      <c r="H680">
        <v>3000000</v>
      </c>
      <c r="I680">
        <v>-1</v>
      </c>
    </row>
    <row r="681" spans="1:9" x14ac:dyDescent="0.4">
      <c r="A681">
        <v>2001121</v>
      </c>
      <c r="B681">
        <v>1</v>
      </c>
      <c r="C681">
        <v>2000000</v>
      </c>
      <c r="D681">
        <v>2000000</v>
      </c>
      <c r="E681">
        <v>-1</v>
      </c>
      <c r="F681">
        <v>19329</v>
      </c>
      <c r="G681">
        <v>3000000</v>
      </c>
      <c r="H681">
        <v>3000000</v>
      </c>
      <c r="I681">
        <v>-1</v>
      </c>
    </row>
    <row r="682" spans="1:9" x14ac:dyDescent="0.4">
      <c r="A682">
        <v>2001122</v>
      </c>
      <c r="B682">
        <v>1</v>
      </c>
      <c r="C682">
        <v>2000000</v>
      </c>
      <c r="D682">
        <v>2000000</v>
      </c>
      <c r="E682">
        <v>2100000</v>
      </c>
      <c r="F682">
        <v>19333</v>
      </c>
      <c r="G682">
        <v>3000000</v>
      </c>
      <c r="H682">
        <v>3000000</v>
      </c>
      <c r="I682">
        <v>-1</v>
      </c>
    </row>
    <row r="683" spans="1:9" x14ac:dyDescent="0.4">
      <c r="A683">
        <v>2001201</v>
      </c>
      <c r="B683">
        <v>2</v>
      </c>
      <c r="C683">
        <v>2000000</v>
      </c>
      <c r="D683">
        <v>2000000</v>
      </c>
      <c r="E683">
        <v>-1</v>
      </c>
      <c r="F683">
        <v>19306</v>
      </c>
      <c r="G683">
        <v>3000000</v>
      </c>
      <c r="H683">
        <v>3000000</v>
      </c>
      <c r="I683">
        <v>-1</v>
      </c>
    </row>
    <row r="684" spans="1:9" x14ac:dyDescent="0.4">
      <c r="A684">
        <v>2001202</v>
      </c>
      <c r="B684">
        <v>2</v>
      </c>
      <c r="C684">
        <v>2000000</v>
      </c>
      <c r="D684">
        <v>2000000</v>
      </c>
      <c r="E684">
        <v>2100000</v>
      </c>
      <c r="F684">
        <v>19310</v>
      </c>
      <c r="G684">
        <v>3000000</v>
      </c>
      <c r="H684">
        <v>3000000</v>
      </c>
      <c r="I684">
        <v>-1</v>
      </c>
    </row>
    <row r="685" spans="1:9" x14ac:dyDescent="0.4">
      <c r="A685">
        <v>2001211</v>
      </c>
      <c r="B685">
        <v>2</v>
      </c>
      <c r="C685">
        <v>2000000</v>
      </c>
      <c r="D685">
        <v>2000000</v>
      </c>
      <c r="E685">
        <v>-1</v>
      </c>
      <c r="F685">
        <v>19318</v>
      </c>
      <c r="G685">
        <v>3000000</v>
      </c>
      <c r="H685">
        <v>3000000</v>
      </c>
      <c r="I685">
        <v>-1</v>
      </c>
    </row>
    <row r="686" spans="1:9" x14ac:dyDescent="0.4">
      <c r="A686">
        <v>2001212</v>
      </c>
      <c r="B686">
        <v>2</v>
      </c>
      <c r="C686">
        <v>2000000</v>
      </c>
      <c r="D686">
        <v>2000000</v>
      </c>
      <c r="E686">
        <v>2100000</v>
      </c>
      <c r="F686">
        <v>19322</v>
      </c>
      <c r="G686">
        <v>3000000</v>
      </c>
      <c r="H686">
        <v>3000000</v>
      </c>
      <c r="I686">
        <v>-1</v>
      </c>
    </row>
    <row r="687" spans="1:9" x14ac:dyDescent="0.4">
      <c r="A687">
        <v>2001221</v>
      </c>
      <c r="B687">
        <v>2</v>
      </c>
      <c r="C687">
        <v>2000000</v>
      </c>
      <c r="D687">
        <v>2000000</v>
      </c>
      <c r="E687">
        <v>-1</v>
      </c>
      <c r="F687">
        <v>19330</v>
      </c>
      <c r="G687">
        <v>3000000</v>
      </c>
      <c r="H687">
        <v>3000000</v>
      </c>
      <c r="I687">
        <v>-1</v>
      </c>
    </row>
    <row r="688" spans="1:9" x14ac:dyDescent="0.4">
      <c r="A688">
        <v>2001222</v>
      </c>
      <c r="B688">
        <v>2</v>
      </c>
      <c r="C688">
        <v>2000000</v>
      </c>
      <c r="D688">
        <v>2000000</v>
      </c>
      <c r="E688">
        <v>2100000</v>
      </c>
      <c r="F688">
        <v>19334</v>
      </c>
      <c r="G688">
        <v>3000000</v>
      </c>
      <c r="H688">
        <v>3000000</v>
      </c>
      <c r="I688">
        <v>-1</v>
      </c>
    </row>
    <row r="689" spans="1:9" x14ac:dyDescent="0.4">
      <c r="A689">
        <v>2001301</v>
      </c>
      <c r="B689">
        <v>3</v>
      </c>
      <c r="C689">
        <v>2000000</v>
      </c>
      <c r="D689">
        <v>2000000</v>
      </c>
      <c r="E689">
        <v>-1</v>
      </c>
      <c r="F689">
        <v>19307</v>
      </c>
      <c r="G689">
        <v>3000000</v>
      </c>
      <c r="H689">
        <v>3000000</v>
      </c>
      <c r="I689">
        <v>-1</v>
      </c>
    </row>
    <row r="690" spans="1:9" x14ac:dyDescent="0.4">
      <c r="A690">
        <v>2001302</v>
      </c>
      <c r="B690">
        <v>3</v>
      </c>
      <c r="C690">
        <v>2000000</v>
      </c>
      <c r="D690">
        <v>2000000</v>
      </c>
      <c r="E690">
        <v>2100000</v>
      </c>
      <c r="F690">
        <v>19311</v>
      </c>
      <c r="G690">
        <v>3000000</v>
      </c>
      <c r="H690">
        <v>3000000</v>
      </c>
      <c r="I690">
        <v>-1</v>
      </c>
    </row>
    <row r="691" spans="1:9" x14ac:dyDescent="0.4">
      <c r="A691">
        <v>2001311</v>
      </c>
      <c r="B691">
        <v>3</v>
      </c>
      <c r="C691">
        <v>2000000</v>
      </c>
      <c r="D691">
        <v>2000000</v>
      </c>
      <c r="E691">
        <v>-1</v>
      </c>
      <c r="F691">
        <v>19319</v>
      </c>
      <c r="G691">
        <v>3000000</v>
      </c>
      <c r="H691">
        <v>3000000</v>
      </c>
      <c r="I691">
        <v>-1</v>
      </c>
    </row>
    <row r="692" spans="1:9" x14ac:dyDescent="0.4">
      <c r="A692">
        <v>2001312</v>
      </c>
      <c r="B692">
        <v>3</v>
      </c>
      <c r="C692">
        <v>2000000</v>
      </c>
      <c r="D692">
        <v>2000000</v>
      </c>
      <c r="E692">
        <v>2100000</v>
      </c>
      <c r="F692">
        <v>19323</v>
      </c>
      <c r="G692">
        <v>3000000</v>
      </c>
      <c r="H692">
        <v>3000000</v>
      </c>
      <c r="I692">
        <v>-1</v>
      </c>
    </row>
    <row r="693" spans="1:9" x14ac:dyDescent="0.4">
      <c r="A693">
        <v>2001321</v>
      </c>
      <c r="B693">
        <v>3</v>
      </c>
      <c r="C693">
        <v>2000000</v>
      </c>
      <c r="D693">
        <v>2000000</v>
      </c>
      <c r="E693">
        <v>-1</v>
      </c>
      <c r="F693">
        <v>19331</v>
      </c>
      <c r="G693">
        <v>3000000</v>
      </c>
      <c r="H693">
        <v>3000000</v>
      </c>
      <c r="I693">
        <v>-1</v>
      </c>
    </row>
    <row r="694" spans="1:9" x14ac:dyDescent="0.4">
      <c r="A694">
        <v>2001322</v>
      </c>
      <c r="B694">
        <v>3</v>
      </c>
      <c r="C694">
        <v>2000000</v>
      </c>
      <c r="D694">
        <v>2000000</v>
      </c>
      <c r="E694">
        <v>2100000</v>
      </c>
      <c r="F694">
        <v>19335</v>
      </c>
      <c r="G694">
        <v>3000000</v>
      </c>
      <c r="H694">
        <v>3000000</v>
      </c>
      <c r="I694">
        <v>-1</v>
      </c>
    </row>
    <row r="695" spans="1:9" x14ac:dyDescent="0.4">
      <c r="A695">
        <v>2002002</v>
      </c>
      <c r="B695">
        <v>0</v>
      </c>
      <c r="C695">
        <v>2000000</v>
      </c>
      <c r="D695">
        <v>2000000</v>
      </c>
      <c r="E695">
        <v>2000000</v>
      </c>
      <c r="F695">
        <v>19308</v>
      </c>
      <c r="G695">
        <v>3000000</v>
      </c>
      <c r="H695">
        <v>3000000</v>
      </c>
      <c r="I695">
        <v>3000000</v>
      </c>
    </row>
    <row r="696" spans="1:9" x14ac:dyDescent="0.4">
      <c r="A696">
        <v>2002012</v>
      </c>
      <c r="B696">
        <v>0</v>
      </c>
      <c r="C696">
        <v>2000000</v>
      </c>
      <c r="D696">
        <v>2000000</v>
      </c>
      <c r="E696">
        <v>2000000</v>
      </c>
      <c r="F696">
        <v>19320</v>
      </c>
      <c r="G696">
        <v>3000000</v>
      </c>
      <c r="H696">
        <v>3000000</v>
      </c>
      <c r="I696">
        <v>3000000</v>
      </c>
    </row>
    <row r="697" spans="1:9" x14ac:dyDescent="0.4">
      <c r="A697">
        <v>2002022</v>
      </c>
      <c r="B697">
        <v>0</v>
      </c>
      <c r="C697">
        <v>2000000</v>
      </c>
      <c r="D697">
        <v>2000000</v>
      </c>
      <c r="E697">
        <v>2000000</v>
      </c>
      <c r="F697">
        <v>19332</v>
      </c>
      <c r="G697">
        <v>3000000</v>
      </c>
      <c r="H697">
        <v>3000000</v>
      </c>
      <c r="I697">
        <v>3000000</v>
      </c>
    </row>
    <row r="698" spans="1:9" x14ac:dyDescent="0.4">
      <c r="A698">
        <v>2002102</v>
      </c>
      <c r="B698">
        <v>1</v>
      </c>
      <c r="C698">
        <v>2000000</v>
      </c>
      <c r="D698">
        <v>2000000</v>
      </c>
      <c r="E698">
        <v>2000000</v>
      </c>
      <c r="F698">
        <v>19309</v>
      </c>
      <c r="G698">
        <v>3000000</v>
      </c>
      <c r="H698">
        <v>3000000</v>
      </c>
      <c r="I698">
        <v>3000000</v>
      </c>
    </row>
    <row r="699" spans="1:9" x14ac:dyDescent="0.4">
      <c r="A699">
        <v>2002112</v>
      </c>
      <c r="B699">
        <v>1</v>
      </c>
      <c r="C699">
        <v>2000000</v>
      </c>
      <c r="D699">
        <v>2000000</v>
      </c>
      <c r="E699">
        <v>2000000</v>
      </c>
      <c r="F699">
        <v>19321</v>
      </c>
      <c r="G699">
        <v>3000000</v>
      </c>
      <c r="H699">
        <v>3000000</v>
      </c>
      <c r="I699">
        <v>3000000</v>
      </c>
    </row>
    <row r="700" spans="1:9" x14ac:dyDescent="0.4">
      <c r="A700">
        <v>2002122</v>
      </c>
      <c r="B700">
        <v>1</v>
      </c>
      <c r="C700">
        <v>2000000</v>
      </c>
      <c r="D700">
        <v>2000000</v>
      </c>
      <c r="E700">
        <v>2000000</v>
      </c>
      <c r="F700">
        <v>19333</v>
      </c>
      <c r="G700">
        <v>3000000</v>
      </c>
      <c r="H700">
        <v>3000000</v>
      </c>
      <c r="I700">
        <v>3000000</v>
      </c>
    </row>
    <row r="701" spans="1:9" x14ac:dyDescent="0.4">
      <c r="A701">
        <v>2002202</v>
      </c>
      <c r="B701">
        <v>2</v>
      </c>
      <c r="C701">
        <v>2000000</v>
      </c>
      <c r="D701">
        <v>2000000</v>
      </c>
      <c r="E701">
        <v>2000000</v>
      </c>
      <c r="F701">
        <v>19310</v>
      </c>
      <c r="G701">
        <v>3000000</v>
      </c>
      <c r="H701">
        <v>3000000</v>
      </c>
      <c r="I701">
        <v>3000000</v>
      </c>
    </row>
    <row r="702" spans="1:9" x14ac:dyDescent="0.4">
      <c r="A702">
        <v>2002212</v>
      </c>
      <c r="B702">
        <v>2</v>
      </c>
      <c r="C702">
        <v>2000000</v>
      </c>
      <c r="D702">
        <v>2000000</v>
      </c>
      <c r="E702">
        <v>2000000</v>
      </c>
      <c r="F702">
        <v>19322</v>
      </c>
      <c r="G702">
        <v>3000000</v>
      </c>
      <c r="H702">
        <v>3000000</v>
      </c>
      <c r="I702">
        <v>3000000</v>
      </c>
    </row>
    <row r="703" spans="1:9" x14ac:dyDescent="0.4">
      <c r="A703">
        <v>2002222</v>
      </c>
      <c r="B703">
        <v>2</v>
      </c>
      <c r="C703">
        <v>2000000</v>
      </c>
      <c r="D703">
        <v>2000000</v>
      </c>
      <c r="E703">
        <v>2000000</v>
      </c>
      <c r="F703">
        <v>19334</v>
      </c>
      <c r="G703">
        <v>3000000</v>
      </c>
      <c r="H703">
        <v>3000000</v>
      </c>
      <c r="I703">
        <v>3000000</v>
      </c>
    </row>
    <row r="704" spans="1:9" x14ac:dyDescent="0.4">
      <c r="A704">
        <v>2002302</v>
      </c>
      <c r="B704">
        <v>3</v>
      </c>
      <c r="C704">
        <v>2000000</v>
      </c>
      <c r="D704">
        <v>2000000</v>
      </c>
      <c r="E704">
        <v>2000000</v>
      </c>
      <c r="F704">
        <v>19311</v>
      </c>
      <c r="G704">
        <v>3000000</v>
      </c>
      <c r="H704">
        <v>3000000</v>
      </c>
      <c r="I704">
        <v>3000000</v>
      </c>
    </row>
    <row r="705" spans="1:9" x14ac:dyDescent="0.4">
      <c r="A705">
        <v>2002312</v>
      </c>
      <c r="B705">
        <v>3</v>
      </c>
      <c r="C705">
        <v>2000000</v>
      </c>
      <c r="D705">
        <v>2000000</v>
      </c>
      <c r="E705">
        <v>2000000</v>
      </c>
      <c r="F705">
        <v>19323</v>
      </c>
      <c r="G705">
        <v>3000000</v>
      </c>
      <c r="H705">
        <v>3000000</v>
      </c>
      <c r="I705">
        <v>3000000</v>
      </c>
    </row>
    <row r="706" spans="1:9" x14ac:dyDescent="0.4">
      <c r="A706">
        <v>2002322</v>
      </c>
      <c r="B706">
        <v>3</v>
      </c>
      <c r="C706">
        <v>2000000</v>
      </c>
      <c r="D706">
        <v>2000000</v>
      </c>
      <c r="E706">
        <v>2000000</v>
      </c>
      <c r="F706">
        <v>19335</v>
      </c>
      <c r="G706">
        <v>3000000</v>
      </c>
      <c r="H706">
        <v>3000000</v>
      </c>
      <c r="I706">
        <v>3000000</v>
      </c>
    </row>
    <row r="707" spans="1:9" x14ac:dyDescent="0.4">
      <c r="A707">
        <v>2003000</v>
      </c>
      <c r="B707">
        <v>0</v>
      </c>
      <c r="C707">
        <v>2100000</v>
      </c>
      <c r="D707">
        <v>-1</v>
      </c>
      <c r="E707">
        <v>-1</v>
      </c>
      <c r="F707">
        <v>19300</v>
      </c>
      <c r="G707">
        <v>-1</v>
      </c>
      <c r="H707">
        <v>-1</v>
      </c>
      <c r="I707">
        <v>-1</v>
      </c>
    </row>
    <row r="708" spans="1:9" x14ac:dyDescent="0.4">
      <c r="A708">
        <v>2003001</v>
      </c>
      <c r="B708">
        <v>0</v>
      </c>
      <c r="C708">
        <v>2100000</v>
      </c>
      <c r="D708">
        <v>2100000</v>
      </c>
      <c r="E708">
        <v>-1</v>
      </c>
      <c r="F708">
        <v>19304</v>
      </c>
      <c r="G708">
        <v>-1</v>
      </c>
      <c r="H708">
        <v>-1</v>
      </c>
      <c r="I708">
        <v>-1</v>
      </c>
    </row>
    <row r="709" spans="1:9" x14ac:dyDescent="0.4">
      <c r="A709">
        <v>2003002</v>
      </c>
      <c r="B709">
        <v>0</v>
      </c>
      <c r="C709">
        <v>2100000</v>
      </c>
      <c r="D709">
        <v>2100000</v>
      </c>
      <c r="E709">
        <v>2100000</v>
      </c>
      <c r="F709">
        <v>19308</v>
      </c>
      <c r="G709">
        <v>-1</v>
      </c>
      <c r="H709">
        <v>-1</v>
      </c>
      <c r="I709">
        <v>-1</v>
      </c>
    </row>
    <row r="710" spans="1:9" x14ac:dyDescent="0.4">
      <c r="A710">
        <v>2003010</v>
      </c>
      <c r="B710">
        <v>0</v>
      </c>
      <c r="C710">
        <v>2100000</v>
      </c>
      <c r="D710">
        <v>-1</v>
      </c>
      <c r="E710">
        <v>-1</v>
      </c>
      <c r="F710">
        <v>19312</v>
      </c>
      <c r="G710">
        <v>-1</v>
      </c>
      <c r="H710">
        <v>-1</v>
      </c>
      <c r="I710">
        <v>-1</v>
      </c>
    </row>
    <row r="711" spans="1:9" x14ac:dyDescent="0.4">
      <c r="A711">
        <v>2003011</v>
      </c>
      <c r="B711">
        <v>0</v>
      </c>
      <c r="C711">
        <v>2100000</v>
      </c>
      <c r="D711">
        <v>2100000</v>
      </c>
      <c r="E711">
        <v>-1</v>
      </c>
      <c r="F711">
        <v>19316</v>
      </c>
      <c r="G711">
        <v>-1</v>
      </c>
      <c r="H711">
        <v>-1</v>
      </c>
      <c r="I711">
        <v>-1</v>
      </c>
    </row>
    <row r="712" spans="1:9" x14ac:dyDescent="0.4">
      <c r="A712">
        <v>2003012</v>
      </c>
      <c r="B712">
        <v>0</v>
      </c>
      <c r="C712">
        <v>2100000</v>
      </c>
      <c r="D712">
        <v>2100000</v>
      </c>
      <c r="E712">
        <v>2100000</v>
      </c>
      <c r="F712">
        <v>19320</v>
      </c>
      <c r="G712">
        <v>-1</v>
      </c>
      <c r="H712">
        <v>-1</v>
      </c>
      <c r="I712">
        <v>-1</v>
      </c>
    </row>
    <row r="713" spans="1:9" x14ac:dyDescent="0.4">
      <c r="A713">
        <v>2003020</v>
      </c>
      <c r="B713">
        <v>0</v>
      </c>
      <c r="C713">
        <v>2100000</v>
      </c>
      <c r="D713">
        <v>-1</v>
      </c>
      <c r="E713">
        <v>-1</v>
      </c>
      <c r="F713">
        <v>19324</v>
      </c>
      <c r="G713">
        <v>-1</v>
      </c>
      <c r="H713">
        <v>-1</v>
      </c>
      <c r="I713">
        <v>-1</v>
      </c>
    </row>
    <row r="714" spans="1:9" x14ac:dyDescent="0.4">
      <c r="A714">
        <v>2003021</v>
      </c>
      <c r="B714">
        <v>0</v>
      </c>
      <c r="C714">
        <v>2100000</v>
      </c>
      <c r="D714">
        <v>2100000</v>
      </c>
      <c r="E714">
        <v>-1</v>
      </c>
      <c r="F714">
        <v>19328</v>
      </c>
      <c r="G714">
        <v>-1</v>
      </c>
      <c r="H714">
        <v>-1</v>
      </c>
      <c r="I714">
        <v>-1</v>
      </c>
    </row>
    <row r="715" spans="1:9" x14ac:dyDescent="0.4">
      <c r="A715">
        <v>2003022</v>
      </c>
      <c r="B715">
        <v>0</v>
      </c>
      <c r="C715">
        <v>2100000</v>
      </c>
      <c r="D715">
        <v>2100000</v>
      </c>
      <c r="E715">
        <v>2100000</v>
      </c>
      <c r="F715">
        <v>19332</v>
      </c>
      <c r="G715">
        <v>-1</v>
      </c>
      <c r="H715">
        <v>-1</v>
      </c>
      <c r="I715">
        <v>-1</v>
      </c>
    </row>
    <row r="716" spans="1:9" x14ac:dyDescent="0.4">
      <c r="A716">
        <v>2003100</v>
      </c>
      <c r="B716">
        <v>1</v>
      </c>
      <c r="C716">
        <v>2100000</v>
      </c>
      <c r="D716">
        <v>-1</v>
      </c>
      <c r="E716">
        <v>-1</v>
      </c>
      <c r="F716">
        <v>19301</v>
      </c>
      <c r="G716">
        <v>-1</v>
      </c>
      <c r="H716">
        <v>-1</v>
      </c>
      <c r="I716">
        <v>-1</v>
      </c>
    </row>
    <row r="717" spans="1:9" x14ac:dyDescent="0.4">
      <c r="A717">
        <v>2003101</v>
      </c>
      <c r="B717">
        <v>1</v>
      </c>
      <c r="C717">
        <v>2100000</v>
      </c>
      <c r="D717">
        <v>2100000</v>
      </c>
      <c r="E717">
        <v>-1</v>
      </c>
      <c r="F717">
        <v>19305</v>
      </c>
      <c r="G717">
        <v>-1</v>
      </c>
      <c r="H717">
        <v>-1</v>
      </c>
      <c r="I717">
        <v>-1</v>
      </c>
    </row>
    <row r="718" spans="1:9" x14ac:dyDescent="0.4">
      <c r="A718">
        <v>2003102</v>
      </c>
      <c r="B718">
        <v>1</v>
      </c>
      <c r="C718">
        <v>2100000</v>
      </c>
      <c r="D718">
        <v>2100000</v>
      </c>
      <c r="E718">
        <v>2100000</v>
      </c>
      <c r="F718">
        <v>19309</v>
      </c>
      <c r="G718">
        <v>-1</v>
      </c>
      <c r="H718">
        <v>-1</v>
      </c>
      <c r="I718">
        <v>-1</v>
      </c>
    </row>
    <row r="719" spans="1:9" x14ac:dyDescent="0.4">
      <c r="A719">
        <v>2003110</v>
      </c>
      <c r="B719">
        <v>1</v>
      </c>
      <c r="C719">
        <v>2100000</v>
      </c>
      <c r="D719">
        <v>-1</v>
      </c>
      <c r="E719">
        <v>-1</v>
      </c>
      <c r="F719">
        <v>19313</v>
      </c>
      <c r="G719">
        <v>-1</v>
      </c>
      <c r="H719">
        <v>-1</v>
      </c>
      <c r="I719">
        <v>-1</v>
      </c>
    </row>
    <row r="720" spans="1:9" x14ac:dyDescent="0.4">
      <c r="A720">
        <v>2003111</v>
      </c>
      <c r="B720">
        <v>1</v>
      </c>
      <c r="C720">
        <v>2100000</v>
      </c>
      <c r="D720">
        <v>2100000</v>
      </c>
      <c r="E720">
        <v>-1</v>
      </c>
      <c r="F720">
        <v>19317</v>
      </c>
      <c r="G720">
        <v>-1</v>
      </c>
      <c r="H720">
        <v>-1</v>
      </c>
      <c r="I720">
        <v>-1</v>
      </c>
    </row>
    <row r="721" spans="1:9" x14ac:dyDescent="0.4">
      <c r="A721">
        <v>2003112</v>
      </c>
      <c r="B721">
        <v>1</v>
      </c>
      <c r="C721">
        <v>2100000</v>
      </c>
      <c r="D721">
        <v>2100000</v>
      </c>
      <c r="E721">
        <v>2100000</v>
      </c>
      <c r="F721">
        <v>19321</v>
      </c>
      <c r="G721">
        <v>-1</v>
      </c>
      <c r="H721">
        <v>-1</v>
      </c>
      <c r="I721">
        <v>-1</v>
      </c>
    </row>
    <row r="722" spans="1:9" x14ac:dyDescent="0.4">
      <c r="A722">
        <v>2003120</v>
      </c>
      <c r="B722">
        <v>1</v>
      </c>
      <c r="C722">
        <v>2100000</v>
      </c>
      <c r="D722">
        <v>-1</v>
      </c>
      <c r="E722">
        <v>-1</v>
      </c>
      <c r="F722">
        <v>19325</v>
      </c>
      <c r="G722">
        <v>-1</v>
      </c>
      <c r="H722">
        <v>-1</v>
      </c>
      <c r="I722">
        <v>-1</v>
      </c>
    </row>
    <row r="723" spans="1:9" x14ac:dyDescent="0.4">
      <c r="A723">
        <v>2003121</v>
      </c>
      <c r="B723">
        <v>1</v>
      </c>
      <c r="C723">
        <v>2100000</v>
      </c>
      <c r="D723">
        <v>2100000</v>
      </c>
      <c r="E723">
        <v>-1</v>
      </c>
      <c r="F723">
        <v>19329</v>
      </c>
      <c r="G723">
        <v>-1</v>
      </c>
      <c r="H723">
        <v>-1</v>
      </c>
      <c r="I723">
        <v>-1</v>
      </c>
    </row>
    <row r="724" spans="1:9" x14ac:dyDescent="0.4">
      <c r="A724">
        <v>2003122</v>
      </c>
      <c r="B724">
        <v>1</v>
      </c>
      <c r="C724">
        <v>2100000</v>
      </c>
      <c r="D724">
        <v>2100000</v>
      </c>
      <c r="E724">
        <v>2100000</v>
      </c>
      <c r="F724">
        <v>19333</v>
      </c>
      <c r="G724">
        <v>-1</v>
      </c>
      <c r="H724">
        <v>-1</v>
      </c>
      <c r="I724">
        <v>-1</v>
      </c>
    </row>
    <row r="725" spans="1:9" x14ac:dyDescent="0.4">
      <c r="A725">
        <v>2003200</v>
      </c>
      <c r="B725">
        <v>2</v>
      </c>
      <c r="C725">
        <v>2100000</v>
      </c>
      <c r="D725">
        <v>-1</v>
      </c>
      <c r="E725">
        <v>-1</v>
      </c>
      <c r="F725">
        <v>19302</v>
      </c>
      <c r="G725">
        <v>-1</v>
      </c>
      <c r="H725">
        <v>-1</v>
      </c>
      <c r="I725">
        <v>-1</v>
      </c>
    </row>
    <row r="726" spans="1:9" x14ac:dyDescent="0.4">
      <c r="A726">
        <v>2003201</v>
      </c>
      <c r="B726">
        <v>2</v>
      </c>
      <c r="C726">
        <v>2100000</v>
      </c>
      <c r="D726">
        <v>2100000</v>
      </c>
      <c r="E726">
        <v>-1</v>
      </c>
      <c r="F726">
        <v>19306</v>
      </c>
      <c r="G726">
        <v>-1</v>
      </c>
      <c r="H726">
        <v>-1</v>
      </c>
      <c r="I726">
        <v>-1</v>
      </c>
    </row>
    <row r="727" spans="1:9" x14ac:dyDescent="0.4">
      <c r="A727">
        <v>2003202</v>
      </c>
      <c r="B727">
        <v>2</v>
      </c>
      <c r="C727">
        <v>2100000</v>
      </c>
      <c r="D727">
        <v>2100000</v>
      </c>
      <c r="E727">
        <v>2100000</v>
      </c>
      <c r="F727">
        <v>19310</v>
      </c>
      <c r="G727">
        <v>-1</v>
      </c>
      <c r="H727">
        <v>-1</v>
      </c>
      <c r="I727">
        <v>-1</v>
      </c>
    </row>
    <row r="728" spans="1:9" x14ac:dyDescent="0.4">
      <c r="A728">
        <v>2003210</v>
      </c>
      <c r="B728">
        <v>2</v>
      </c>
      <c r="C728">
        <v>2100000</v>
      </c>
      <c r="D728">
        <v>-1</v>
      </c>
      <c r="E728">
        <v>-1</v>
      </c>
      <c r="F728">
        <v>19314</v>
      </c>
      <c r="G728">
        <v>-1</v>
      </c>
      <c r="H728">
        <v>-1</v>
      </c>
      <c r="I728">
        <v>-1</v>
      </c>
    </row>
    <row r="729" spans="1:9" x14ac:dyDescent="0.4">
      <c r="A729">
        <v>2003211</v>
      </c>
      <c r="B729">
        <v>2</v>
      </c>
      <c r="C729">
        <v>2100000</v>
      </c>
      <c r="D729">
        <v>2100000</v>
      </c>
      <c r="E729">
        <v>-1</v>
      </c>
      <c r="F729">
        <v>19318</v>
      </c>
      <c r="G729">
        <v>-1</v>
      </c>
      <c r="H729">
        <v>-1</v>
      </c>
      <c r="I729">
        <v>-1</v>
      </c>
    </row>
    <row r="730" spans="1:9" x14ac:dyDescent="0.4">
      <c r="A730">
        <v>2003212</v>
      </c>
      <c r="B730">
        <v>2</v>
      </c>
      <c r="C730">
        <v>2100000</v>
      </c>
      <c r="D730">
        <v>2100000</v>
      </c>
      <c r="E730">
        <v>2100000</v>
      </c>
      <c r="F730">
        <v>19322</v>
      </c>
      <c r="G730">
        <v>-1</v>
      </c>
      <c r="H730">
        <v>-1</v>
      </c>
      <c r="I730">
        <v>-1</v>
      </c>
    </row>
    <row r="731" spans="1:9" x14ac:dyDescent="0.4">
      <c r="A731">
        <v>2003220</v>
      </c>
      <c r="B731">
        <v>2</v>
      </c>
      <c r="C731">
        <v>2100000</v>
      </c>
      <c r="D731">
        <v>-1</v>
      </c>
      <c r="E731">
        <v>-1</v>
      </c>
      <c r="F731">
        <v>19326</v>
      </c>
      <c r="G731">
        <v>-1</v>
      </c>
      <c r="H731">
        <v>-1</v>
      </c>
      <c r="I731">
        <v>-1</v>
      </c>
    </row>
    <row r="732" spans="1:9" x14ac:dyDescent="0.4">
      <c r="A732">
        <v>2003221</v>
      </c>
      <c r="B732">
        <v>2</v>
      </c>
      <c r="C732">
        <v>2100000</v>
      </c>
      <c r="D732">
        <v>2100000</v>
      </c>
      <c r="E732">
        <v>-1</v>
      </c>
      <c r="F732">
        <v>19330</v>
      </c>
      <c r="G732">
        <v>-1</v>
      </c>
      <c r="H732">
        <v>-1</v>
      </c>
      <c r="I732">
        <v>-1</v>
      </c>
    </row>
    <row r="733" spans="1:9" x14ac:dyDescent="0.4">
      <c r="A733">
        <v>2003222</v>
      </c>
      <c r="B733">
        <v>2</v>
      </c>
      <c r="C733">
        <v>2100000</v>
      </c>
      <c r="D733">
        <v>2100000</v>
      </c>
      <c r="E733">
        <v>2100000</v>
      </c>
      <c r="F733">
        <v>19334</v>
      </c>
      <c r="G733">
        <v>-1</v>
      </c>
      <c r="H733">
        <v>-1</v>
      </c>
      <c r="I733">
        <v>-1</v>
      </c>
    </row>
    <row r="734" spans="1:9" x14ac:dyDescent="0.4">
      <c r="A734">
        <v>2003300</v>
      </c>
      <c r="B734">
        <v>3</v>
      </c>
      <c r="C734">
        <v>2100000</v>
      </c>
      <c r="D734">
        <v>-1</v>
      </c>
      <c r="E734">
        <v>-1</v>
      </c>
      <c r="F734">
        <v>19303</v>
      </c>
      <c r="G734">
        <v>-1</v>
      </c>
      <c r="H734">
        <v>-1</v>
      </c>
      <c r="I734">
        <v>-1</v>
      </c>
    </row>
    <row r="735" spans="1:9" x14ac:dyDescent="0.4">
      <c r="A735">
        <v>2003301</v>
      </c>
      <c r="B735">
        <v>3</v>
      </c>
      <c r="C735">
        <v>2100000</v>
      </c>
      <c r="D735">
        <v>2100000</v>
      </c>
      <c r="E735">
        <v>-1</v>
      </c>
      <c r="F735">
        <v>19307</v>
      </c>
      <c r="G735">
        <v>-1</v>
      </c>
      <c r="H735">
        <v>-1</v>
      </c>
      <c r="I735">
        <v>-1</v>
      </c>
    </row>
    <row r="736" spans="1:9" x14ac:dyDescent="0.4">
      <c r="A736">
        <v>2003302</v>
      </c>
      <c r="B736">
        <v>3</v>
      </c>
      <c r="C736">
        <v>2100000</v>
      </c>
      <c r="D736">
        <v>2100000</v>
      </c>
      <c r="E736">
        <v>2100000</v>
      </c>
      <c r="F736">
        <v>19311</v>
      </c>
      <c r="G736">
        <v>-1</v>
      </c>
      <c r="H736">
        <v>-1</v>
      </c>
      <c r="I736">
        <v>-1</v>
      </c>
    </row>
    <row r="737" spans="1:9" x14ac:dyDescent="0.4">
      <c r="A737">
        <v>2003310</v>
      </c>
      <c r="B737">
        <v>3</v>
      </c>
      <c r="C737">
        <v>2100000</v>
      </c>
      <c r="D737">
        <v>-1</v>
      </c>
      <c r="E737">
        <v>-1</v>
      </c>
      <c r="F737">
        <v>19315</v>
      </c>
      <c r="G737">
        <v>-1</v>
      </c>
      <c r="H737">
        <v>-1</v>
      </c>
      <c r="I737">
        <v>-1</v>
      </c>
    </row>
    <row r="738" spans="1:9" x14ac:dyDescent="0.4">
      <c r="A738">
        <v>2003311</v>
      </c>
      <c r="B738">
        <v>3</v>
      </c>
      <c r="C738">
        <v>2100000</v>
      </c>
      <c r="D738">
        <v>2100000</v>
      </c>
      <c r="E738">
        <v>-1</v>
      </c>
      <c r="F738">
        <v>19319</v>
      </c>
      <c r="G738">
        <v>-1</v>
      </c>
      <c r="H738">
        <v>-1</v>
      </c>
      <c r="I738">
        <v>-1</v>
      </c>
    </row>
    <row r="739" spans="1:9" x14ac:dyDescent="0.4">
      <c r="A739">
        <v>2003312</v>
      </c>
      <c r="B739">
        <v>3</v>
      </c>
      <c r="C739">
        <v>2100000</v>
      </c>
      <c r="D739">
        <v>2100000</v>
      </c>
      <c r="E739">
        <v>2100000</v>
      </c>
      <c r="F739">
        <v>19323</v>
      </c>
      <c r="G739">
        <v>-1</v>
      </c>
      <c r="H739">
        <v>-1</v>
      </c>
      <c r="I739">
        <v>-1</v>
      </c>
    </row>
    <row r="740" spans="1:9" x14ac:dyDescent="0.4">
      <c r="A740">
        <v>2003320</v>
      </c>
      <c r="B740">
        <v>3</v>
      </c>
      <c r="C740">
        <v>2100000</v>
      </c>
      <c r="D740">
        <v>-1</v>
      </c>
      <c r="E740">
        <v>-1</v>
      </c>
      <c r="F740">
        <v>19327</v>
      </c>
      <c r="G740">
        <v>-1</v>
      </c>
      <c r="H740">
        <v>-1</v>
      </c>
      <c r="I740">
        <v>-1</v>
      </c>
    </row>
    <row r="741" spans="1:9" x14ac:dyDescent="0.4">
      <c r="A741">
        <v>2003321</v>
      </c>
      <c r="B741">
        <v>3</v>
      </c>
      <c r="C741">
        <v>2100000</v>
      </c>
      <c r="D741">
        <v>2100000</v>
      </c>
      <c r="E741">
        <v>-1</v>
      </c>
      <c r="F741">
        <v>19331</v>
      </c>
      <c r="G741">
        <v>-1</v>
      </c>
      <c r="H741">
        <v>-1</v>
      </c>
      <c r="I741">
        <v>-1</v>
      </c>
    </row>
    <row r="742" spans="1:9" x14ac:dyDescent="0.4">
      <c r="A742">
        <v>2003322</v>
      </c>
      <c r="B742">
        <v>3</v>
      </c>
      <c r="C742">
        <v>2100000</v>
      </c>
      <c r="D742">
        <v>2100000</v>
      </c>
      <c r="E742">
        <v>2100000</v>
      </c>
      <c r="F742">
        <v>19335</v>
      </c>
      <c r="G742">
        <v>-1</v>
      </c>
      <c r="H742">
        <v>-1</v>
      </c>
      <c r="I742">
        <v>-1</v>
      </c>
    </row>
    <row r="743" spans="1:9" x14ac:dyDescent="0.4">
      <c r="A743">
        <v>2010000</v>
      </c>
      <c r="B743">
        <v>0</v>
      </c>
      <c r="C743">
        <v>2000000</v>
      </c>
      <c r="D743">
        <v>-1</v>
      </c>
      <c r="E743">
        <v>-1</v>
      </c>
      <c r="F743">
        <v>19300</v>
      </c>
      <c r="G743">
        <v>3000000</v>
      </c>
      <c r="H743">
        <v>-1</v>
      </c>
      <c r="I743">
        <v>-1</v>
      </c>
    </row>
    <row r="744" spans="1:9" x14ac:dyDescent="0.4">
      <c r="A744">
        <v>2010001</v>
      </c>
      <c r="B744">
        <v>0</v>
      </c>
      <c r="C744">
        <v>2000000</v>
      </c>
      <c r="D744">
        <v>2200000</v>
      </c>
      <c r="E744">
        <v>-1</v>
      </c>
      <c r="F744">
        <v>19304</v>
      </c>
      <c r="G744">
        <v>3000000</v>
      </c>
      <c r="H744">
        <v>-1</v>
      </c>
      <c r="I744">
        <v>-1</v>
      </c>
    </row>
    <row r="745" spans="1:9" x14ac:dyDescent="0.4">
      <c r="A745">
        <v>2010002</v>
      </c>
      <c r="B745">
        <v>0</v>
      </c>
      <c r="C745">
        <v>2000000</v>
      </c>
      <c r="D745">
        <v>2200000</v>
      </c>
      <c r="E745">
        <v>2200000</v>
      </c>
      <c r="F745">
        <v>19308</v>
      </c>
      <c r="G745">
        <v>3000000</v>
      </c>
      <c r="H745">
        <v>-1</v>
      </c>
      <c r="I745">
        <v>-1</v>
      </c>
    </row>
    <row r="746" spans="1:9" x14ac:dyDescent="0.4">
      <c r="A746">
        <v>2010010</v>
      </c>
      <c r="B746">
        <v>0</v>
      </c>
      <c r="C746">
        <v>2000000</v>
      </c>
      <c r="D746">
        <v>-1</v>
      </c>
      <c r="E746">
        <v>-1</v>
      </c>
      <c r="F746">
        <v>19312</v>
      </c>
      <c r="G746">
        <v>3000000</v>
      </c>
      <c r="H746">
        <v>-1</v>
      </c>
      <c r="I746">
        <v>-1</v>
      </c>
    </row>
    <row r="747" spans="1:9" x14ac:dyDescent="0.4">
      <c r="A747">
        <v>2010011</v>
      </c>
      <c r="B747">
        <v>0</v>
      </c>
      <c r="C747">
        <v>2000000</v>
      </c>
      <c r="D747">
        <v>2200000</v>
      </c>
      <c r="E747">
        <v>-1</v>
      </c>
      <c r="F747">
        <v>19316</v>
      </c>
      <c r="G747">
        <v>3000000</v>
      </c>
      <c r="H747">
        <v>-1</v>
      </c>
      <c r="I747">
        <v>-1</v>
      </c>
    </row>
    <row r="748" spans="1:9" x14ac:dyDescent="0.4">
      <c r="A748">
        <v>2010012</v>
      </c>
      <c r="B748">
        <v>0</v>
      </c>
      <c r="C748">
        <v>2000000</v>
      </c>
      <c r="D748">
        <v>2200000</v>
      </c>
      <c r="E748">
        <v>2200000</v>
      </c>
      <c r="F748">
        <v>19320</v>
      </c>
      <c r="G748">
        <v>3000000</v>
      </c>
      <c r="H748">
        <v>-1</v>
      </c>
      <c r="I748">
        <v>-1</v>
      </c>
    </row>
    <row r="749" spans="1:9" x14ac:dyDescent="0.4">
      <c r="A749">
        <v>2010020</v>
      </c>
      <c r="B749">
        <v>0</v>
      </c>
      <c r="C749">
        <v>2000000</v>
      </c>
      <c r="D749">
        <v>-1</v>
      </c>
      <c r="E749">
        <v>-1</v>
      </c>
      <c r="F749">
        <v>19324</v>
      </c>
      <c r="G749">
        <v>3000000</v>
      </c>
      <c r="H749">
        <v>-1</v>
      </c>
      <c r="I749">
        <v>-1</v>
      </c>
    </row>
    <row r="750" spans="1:9" x14ac:dyDescent="0.4">
      <c r="A750">
        <v>2010021</v>
      </c>
      <c r="B750">
        <v>0</v>
      </c>
      <c r="C750">
        <v>2000000</v>
      </c>
      <c r="D750">
        <v>2200000</v>
      </c>
      <c r="E750">
        <v>-1</v>
      </c>
      <c r="F750">
        <v>19328</v>
      </c>
      <c r="G750">
        <v>3000000</v>
      </c>
      <c r="H750">
        <v>-1</v>
      </c>
      <c r="I750">
        <v>-1</v>
      </c>
    </row>
    <row r="751" spans="1:9" x14ac:dyDescent="0.4">
      <c r="A751">
        <v>2010022</v>
      </c>
      <c r="B751">
        <v>0</v>
      </c>
      <c r="C751">
        <v>2000000</v>
      </c>
      <c r="D751">
        <v>2200000</v>
      </c>
      <c r="E751">
        <v>2200000</v>
      </c>
      <c r="F751">
        <v>19332</v>
      </c>
      <c r="G751">
        <v>3000000</v>
      </c>
      <c r="H751">
        <v>-1</v>
      </c>
      <c r="I751">
        <v>-1</v>
      </c>
    </row>
    <row r="752" spans="1:9" x14ac:dyDescent="0.4">
      <c r="A752">
        <v>2010100</v>
      </c>
      <c r="B752">
        <v>1</v>
      </c>
      <c r="C752">
        <v>2000000</v>
      </c>
      <c r="D752">
        <v>-1</v>
      </c>
      <c r="E752">
        <v>-1</v>
      </c>
      <c r="F752">
        <v>19301</v>
      </c>
      <c r="G752">
        <v>3000000</v>
      </c>
      <c r="H752">
        <v>-1</v>
      </c>
      <c r="I752">
        <v>-1</v>
      </c>
    </row>
    <row r="753" spans="1:9" x14ac:dyDescent="0.4">
      <c r="A753">
        <v>2010101</v>
      </c>
      <c r="B753">
        <v>1</v>
      </c>
      <c r="C753">
        <v>2000000</v>
      </c>
      <c r="D753">
        <v>2200000</v>
      </c>
      <c r="E753">
        <v>-1</v>
      </c>
      <c r="F753">
        <v>19305</v>
      </c>
      <c r="G753">
        <v>3000000</v>
      </c>
      <c r="H753">
        <v>-1</v>
      </c>
      <c r="I753">
        <v>-1</v>
      </c>
    </row>
    <row r="754" spans="1:9" x14ac:dyDescent="0.4">
      <c r="A754">
        <v>2010102</v>
      </c>
      <c r="B754">
        <v>1</v>
      </c>
      <c r="C754">
        <v>2000000</v>
      </c>
      <c r="D754">
        <v>2200000</v>
      </c>
      <c r="E754">
        <v>2200000</v>
      </c>
      <c r="F754">
        <v>19309</v>
      </c>
      <c r="G754">
        <v>3000000</v>
      </c>
      <c r="H754">
        <v>-1</v>
      </c>
      <c r="I754">
        <v>-1</v>
      </c>
    </row>
    <row r="755" spans="1:9" x14ac:dyDescent="0.4">
      <c r="A755">
        <v>2010110</v>
      </c>
      <c r="B755">
        <v>1</v>
      </c>
      <c r="C755">
        <v>2000000</v>
      </c>
      <c r="D755">
        <v>-1</v>
      </c>
      <c r="E755">
        <v>-1</v>
      </c>
      <c r="F755">
        <v>19313</v>
      </c>
      <c r="G755">
        <v>3000000</v>
      </c>
      <c r="H755">
        <v>-1</v>
      </c>
      <c r="I755">
        <v>-1</v>
      </c>
    </row>
    <row r="756" spans="1:9" x14ac:dyDescent="0.4">
      <c r="A756">
        <v>2010111</v>
      </c>
      <c r="B756">
        <v>1</v>
      </c>
      <c r="C756">
        <v>2000000</v>
      </c>
      <c r="D756">
        <v>2200000</v>
      </c>
      <c r="E756">
        <v>-1</v>
      </c>
      <c r="F756">
        <v>19317</v>
      </c>
      <c r="G756">
        <v>3000000</v>
      </c>
      <c r="H756">
        <v>-1</v>
      </c>
      <c r="I756">
        <v>-1</v>
      </c>
    </row>
    <row r="757" spans="1:9" x14ac:dyDescent="0.4">
      <c r="A757">
        <v>2010112</v>
      </c>
      <c r="B757">
        <v>1</v>
      </c>
      <c r="C757">
        <v>2000000</v>
      </c>
      <c r="D757">
        <v>2200000</v>
      </c>
      <c r="E757">
        <v>2200000</v>
      </c>
      <c r="F757">
        <v>19321</v>
      </c>
      <c r="G757">
        <v>3000000</v>
      </c>
      <c r="H757">
        <v>-1</v>
      </c>
      <c r="I757">
        <v>-1</v>
      </c>
    </row>
    <row r="758" spans="1:9" x14ac:dyDescent="0.4">
      <c r="A758">
        <v>2010120</v>
      </c>
      <c r="B758">
        <v>1</v>
      </c>
      <c r="C758">
        <v>2000000</v>
      </c>
      <c r="D758">
        <v>-1</v>
      </c>
      <c r="E758">
        <v>-1</v>
      </c>
      <c r="F758">
        <v>19325</v>
      </c>
      <c r="G758">
        <v>3000000</v>
      </c>
      <c r="H758">
        <v>-1</v>
      </c>
      <c r="I758">
        <v>-1</v>
      </c>
    </row>
    <row r="759" spans="1:9" x14ac:dyDescent="0.4">
      <c r="A759">
        <v>2010121</v>
      </c>
      <c r="B759">
        <v>1</v>
      </c>
      <c r="C759">
        <v>2000000</v>
      </c>
      <c r="D759">
        <v>2200000</v>
      </c>
      <c r="E759">
        <v>-1</v>
      </c>
      <c r="F759">
        <v>19329</v>
      </c>
      <c r="G759">
        <v>3000000</v>
      </c>
      <c r="H759">
        <v>-1</v>
      </c>
      <c r="I759">
        <v>-1</v>
      </c>
    </row>
    <row r="760" spans="1:9" x14ac:dyDescent="0.4">
      <c r="A760">
        <v>2010122</v>
      </c>
      <c r="B760">
        <v>1</v>
      </c>
      <c r="C760">
        <v>2000000</v>
      </c>
      <c r="D760">
        <v>2200000</v>
      </c>
      <c r="E760">
        <v>2200000</v>
      </c>
      <c r="F760">
        <v>19333</v>
      </c>
      <c r="G760">
        <v>3000000</v>
      </c>
      <c r="H760">
        <v>-1</v>
      </c>
      <c r="I760">
        <v>-1</v>
      </c>
    </row>
    <row r="761" spans="1:9" x14ac:dyDescent="0.4">
      <c r="A761">
        <v>2010200</v>
      </c>
      <c r="B761">
        <v>2</v>
      </c>
      <c r="C761">
        <v>2000000</v>
      </c>
      <c r="D761">
        <v>-1</v>
      </c>
      <c r="E761">
        <v>-1</v>
      </c>
      <c r="F761">
        <v>19302</v>
      </c>
      <c r="G761">
        <v>3000000</v>
      </c>
      <c r="H761">
        <v>-1</v>
      </c>
      <c r="I761">
        <v>-1</v>
      </c>
    </row>
    <row r="762" spans="1:9" x14ac:dyDescent="0.4">
      <c r="A762">
        <v>2010201</v>
      </c>
      <c r="B762">
        <v>2</v>
      </c>
      <c r="C762">
        <v>2000000</v>
      </c>
      <c r="D762">
        <v>2200000</v>
      </c>
      <c r="E762">
        <v>-1</v>
      </c>
      <c r="F762">
        <v>19306</v>
      </c>
      <c r="G762">
        <v>3000000</v>
      </c>
      <c r="H762">
        <v>-1</v>
      </c>
      <c r="I762">
        <v>-1</v>
      </c>
    </row>
    <row r="763" spans="1:9" x14ac:dyDescent="0.4">
      <c r="A763">
        <v>2010202</v>
      </c>
      <c r="B763">
        <v>2</v>
      </c>
      <c r="C763">
        <v>2000000</v>
      </c>
      <c r="D763">
        <v>2200000</v>
      </c>
      <c r="E763">
        <v>2200000</v>
      </c>
      <c r="F763">
        <v>19310</v>
      </c>
      <c r="G763">
        <v>3000000</v>
      </c>
      <c r="H763">
        <v>-1</v>
      </c>
      <c r="I763">
        <v>-1</v>
      </c>
    </row>
    <row r="764" spans="1:9" x14ac:dyDescent="0.4">
      <c r="A764">
        <v>2010210</v>
      </c>
      <c r="B764">
        <v>2</v>
      </c>
      <c r="C764">
        <v>2000000</v>
      </c>
      <c r="D764">
        <v>-1</v>
      </c>
      <c r="E764">
        <v>-1</v>
      </c>
      <c r="F764">
        <v>19314</v>
      </c>
      <c r="G764">
        <v>3000000</v>
      </c>
      <c r="H764">
        <v>-1</v>
      </c>
      <c r="I764">
        <v>-1</v>
      </c>
    </row>
    <row r="765" spans="1:9" x14ac:dyDescent="0.4">
      <c r="A765">
        <v>2010211</v>
      </c>
      <c r="B765">
        <v>2</v>
      </c>
      <c r="C765">
        <v>2000000</v>
      </c>
      <c r="D765">
        <v>2200000</v>
      </c>
      <c r="E765">
        <v>-1</v>
      </c>
      <c r="F765">
        <v>19318</v>
      </c>
      <c r="G765">
        <v>3000000</v>
      </c>
      <c r="H765">
        <v>-1</v>
      </c>
      <c r="I765">
        <v>-1</v>
      </c>
    </row>
    <row r="766" spans="1:9" x14ac:dyDescent="0.4">
      <c r="A766">
        <v>2010212</v>
      </c>
      <c r="B766">
        <v>2</v>
      </c>
      <c r="C766">
        <v>2000000</v>
      </c>
      <c r="D766">
        <v>2200000</v>
      </c>
      <c r="E766">
        <v>2200000</v>
      </c>
      <c r="F766">
        <v>19322</v>
      </c>
      <c r="G766">
        <v>3000000</v>
      </c>
      <c r="H766">
        <v>-1</v>
      </c>
      <c r="I766">
        <v>-1</v>
      </c>
    </row>
    <row r="767" spans="1:9" x14ac:dyDescent="0.4">
      <c r="A767">
        <v>2010220</v>
      </c>
      <c r="B767">
        <v>2</v>
      </c>
      <c r="C767">
        <v>2000000</v>
      </c>
      <c r="D767">
        <v>-1</v>
      </c>
      <c r="E767">
        <v>-1</v>
      </c>
      <c r="F767">
        <v>19326</v>
      </c>
      <c r="G767">
        <v>3000000</v>
      </c>
      <c r="H767">
        <v>-1</v>
      </c>
      <c r="I767">
        <v>-1</v>
      </c>
    </row>
    <row r="768" spans="1:9" x14ac:dyDescent="0.4">
      <c r="A768">
        <v>2010221</v>
      </c>
      <c r="B768">
        <v>2</v>
      </c>
      <c r="C768">
        <v>2000000</v>
      </c>
      <c r="D768">
        <v>2200000</v>
      </c>
      <c r="E768">
        <v>-1</v>
      </c>
      <c r="F768">
        <v>19330</v>
      </c>
      <c r="G768">
        <v>3000000</v>
      </c>
      <c r="H768">
        <v>-1</v>
      </c>
      <c r="I768">
        <v>-1</v>
      </c>
    </row>
    <row r="769" spans="1:9" x14ac:dyDescent="0.4">
      <c r="A769">
        <v>2010222</v>
      </c>
      <c r="B769">
        <v>2</v>
      </c>
      <c r="C769">
        <v>2000000</v>
      </c>
      <c r="D769">
        <v>2200000</v>
      </c>
      <c r="E769">
        <v>2200000</v>
      </c>
      <c r="F769">
        <v>19334</v>
      </c>
      <c r="G769">
        <v>3000000</v>
      </c>
      <c r="H769">
        <v>-1</v>
      </c>
      <c r="I769">
        <v>-1</v>
      </c>
    </row>
    <row r="770" spans="1:9" x14ac:dyDescent="0.4">
      <c r="A770">
        <v>2010300</v>
      </c>
      <c r="B770">
        <v>3</v>
      </c>
      <c r="C770">
        <v>2000000</v>
      </c>
      <c r="D770">
        <v>-1</v>
      </c>
      <c r="E770">
        <v>-1</v>
      </c>
      <c r="F770">
        <v>19303</v>
      </c>
      <c r="G770">
        <v>3000000</v>
      </c>
      <c r="H770">
        <v>-1</v>
      </c>
      <c r="I770">
        <v>-1</v>
      </c>
    </row>
    <row r="771" spans="1:9" x14ac:dyDescent="0.4">
      <c r="A771">
        <v>2010301</v>
      </c>
      <c r="B771">
        <v>3</v>
      </c>
      <c r="C771">
        <v>2000000</v>
      </c>
      <c r="D771">
        <v>2200000</v>
      </c>
      <c r="E771">
        <v>-1</v>
      </c>
      <c r="F771">
        <v>19307</v>
      </c>
      <c r="G771">
        <v>3000000</v>
      </c>
      <c r="H771">
        <v>-1</v>
      </c>
      <c r="I771">
        <v>-1</v>
      </c>
    </row>
    <row r="772" spans="1:9" x14ac:dyDescent="0.4">
      <c r="A772">
        <v>2010302</v>
      </c>
      <c r="B772">
        <v>3</v>
      </c>
      <c r="C772">
        <v>2000000</v>
      </c>
      <c r="D772">
        <v>2200000</v>
      </c>
      <c r="E772">
        <v>2200000</v>
      </c>
      <c r="F772">
        <v>19311</v>
      </c>
      <c r="G772">
        <v>3000000</v>
      </c>
      <c r="H772">
        <v>-1</v>
      </c>
      <c r="I772">
        <v>-1</v>
      </c>
    </row>
    <row r="773" spans="1:9" x14ac:dyDescent="0.4">
      <c r="A773">
        <v>2010310</v>
      </c>
      <c r="B773">
        <v>3</v>
      </c>
      <c r="C773">
        <v>2000000</v>
      </c>
      <c r="D773">
        <v>-1</v>
      </c>
      <c r="E773">
        <v>-1</v>
      </c>
      <c r="F773">
        <v>19315</v>
      </c>
      <c r="G773">
        <v>3000000</v>
      </c>
      <c r="H773">
        <v>-1</v>
      </c>
      <c r="I773">
        <v>-1</v>
      </c>
    </row>
    <row r="774" spans="1:9" x14ac:dyDescent="0.4">
      <c r="A774">
        <v>2010311</v>
      </c>
      <c r="B774">
        <v>3</v>
      </c>
      <c r="C774">
        <v>2000000</v>
      </c>
      <c r="D774">
        <v>2200000</v>
      </c>
      <c r="E774">
        <v>-1</v>
      </c>
      <c r="F774">
        <v>19319</v>
      </c>
      <c r="G774">
        <v>3000000</v>
      </c>
      <c r="H774">
        <v>-1</v>
      </c>
      <c r="I774">
        <v>-1</v>
      </c>
    </row>
    <row r="775" spans="1:9" x14ac:dyDescent="0.4">
      <c r="A775">
        <v>2010312</v>
      </c>
      <c r="B775">
        <v>3</v>
      </c>
      <c r="C775">
        <v>2000000</v>
      </c>
      <c r="D775">
        <v>2200000</v>
      </c>
      <c r="E775">
        <v>2200000</v>
      </c>
      <c r="F775">
        <v>19323</v>
      </c>
      <c r="G775">
        <v>3000000</v>
      </c>
      <c r="H775">
        <v>-1</v>
      </c>
      <c r="I775">
        <v>-1</v>
      </c>
    </row>
    <row r="776" spans="1:9" x14ac:dyDescent="0.4">
      <c r="A776">
        <v>2010320</v>
      </c>
      <c r="B776">
        <v>3</v>
      </c>
      <c r="C776">
        <v>2000000</v>
      </c>
      <c r="D776">
        <v>-1</v>
      </c>
      <c r="E776">
        <v>-1</v>
      </c>
      <c r="F776">
        <v>19327</v>
      </c>
      <c r="G776">
        <v>3000000</v>
      </c>
      <c r="H776">
        <v>-1</v>
      </c>
      <c r="I776">
        <v>-1</v>
      </c>
    </row>
    <row r="777" spans="1:9" x14ac:dyDescent="0.4">
      <c r="A777">
        <v>2010321</v>
      </c>
      <c r="B777">
        <v>3</v>
      </c>
      <c r="C777">
        <v>2000000</v>
      </c>
      <c r="D777">
        <v>2200000</v>
      </c>
      <c r="E777">
        <v>-1</v>
      </c>
      <c r="F777">
        <v>19331</v>
      </c>
      <c r="G777">
        <v>3000000</v>
      </c>
      <c r="H777">
        <v>-1</v>
      </c>
      <c r="I777">
        <v>-1</v>
      </c>
    </row>
    <row r="778" spans="1:9" x14ac:dyDescent="0.4">
      <c r="A778">
        <v>2010322</v>
      </c>
      <c r="B778">
        <v>3</v>
      </c>
      <c r="C778">
        <v>2000000</v>
      </c>
      <c r="D778">
        <v>2200000</v>
      </c>
      <c r="E778">
        <v>2200000</v>
      </c>
      <c r="F778">
        <v>19335</v>
      </c>
      <c r="G778">
        <v>3000000</v>
      </c>
      <c r="H778">
        <v>-1</v>
      </c>
      <c r="I778">
        <v>-1</v>
      </c>
    </row>
    <row r="779" spans="1:9" x14ac:dyDescent="0.4">
      <c r="A779">
        <v>2011001</v>
      </c>
      <c r="B779">
        <v>0</v>
      </c>
      <c r="C779">
        <v>2000000</v>
      </c>
      <c r="D779">
        <v>2000000</v>
      </c>
      <c r="E779">
        <v>-1</v>
      </c>
      <c r="F779">
        <v>19304</v>
      </c>
      <c r="G779">
        <v>3000000</v>
      </c>
      <c r="H779">
        <v>3000000</v>
      </c>
      <c r="I779">
        <v>-1</v>
      </c>
    </row>
    <row r="780" spans="1:9" x14ac:dyDescent="0.4">
      <c r="A780">
        <v>2011002</v>
      </c>
      <c r="B780">
        <v>0</v>
      </c>
      <c r="C780">
        <v>2000000</v>
      </c>
      <c r="D780">
        <v>2000000</v>
      </c>
      <c r="E780">
        <v>2200000</v>
      </c>
      <c r="F780">
        <v>19308</v>
      </c>
      <c r="G780">
        <v>3000000</v>
      </c>
      <c r="H780">
        <v>3000000</v>
      </c>
      <c r="I780">
        <v>-1</v>
      </c>
    </row>
    <row r="781" spans="1:9" x14ac:dyDescent="0.4">
      <c r="A781">
        <v>2011011</v>
      </c>
      <c r="B781">
        <v>0</v>
      </c>
      <c r="C781">
        <v>2000000</v>
      </c>
      <c r="D781">
        <v>2000000</v>
      </c>
      <c r="E781">
        <v>-1</v>
      </c>
      <c r="F781">
        <v>19316</v>
      </c>
      <c r="G781">
        <v>3000000</v>
      </c>
      <c r="H781">
        <v>3000000</v>
      </c>
      <c r="I781">
        <v>-1</v>
      </c>
    </row>
    <row r="782" spans="1:9" x14ac:dyDescent="0.4">
      <c r="A782">
        <v>2011012</v>
      </c>
      <c r="B782">
        <v>0</v>
      </c>
      <c r="C782">
        <v>2000000</v>
      </c>
      <c r="D782">
        <v>2000000</v>
      </c>
      <c r="E782">
        <v>2200000</v>
      </c>
      <c r="F782">
        <v>19320</v>
      </c>
      <c r="G782">
        <v>3000000</v>
      </c>
      <c r="H782">
        <v>3000000</v>
      </c>
      <c r="I782">
        <v>-1</v>
      </c>
    </row>
    <row r="783" spans="1:9" x14ac:dyDescent="0.4">
      <c r="A783">
        <v>2011021</v>
      </c>
      <c r="B783">
        <v>0</v>
      </c>
      <c r="C783">
        <v>2000000</v>
      </c>
      <c r="D783">
        <v>2000000</v>
      </c>
      <c r="E783">
        <v>-1</v>
      </c>
      <c r="F783">
        <v>19328</v>
      </c>
      <c r="G783">
        <v>3000000</v>
      </c>
      <c r="H783">
        <v>3000000</v>
      </c>
      <c r="I783">
        <v>-1</v>
      </c>
    </row>
    <row r="784" spans="1:9" x14ac:dyDescent="0.4">
      <c r="A784">
        <v>2011022</v>
      </c>
      <c r="B784">
        <v>0</v>
      </c>
      <c r="C784">
        <v>2000000</v>
      </c>
      <c r="D784">
        <v>2000000</v>
      </c>
      <c r="E784">
        <v>2200000</v>
      </c>
      <c r="F784">
        <v>19332</v>
      </c>
      <c r="G784">
        <v>3000000</v>
      </c>
      <c r="H784">
        <v>3000000</v>
      </c>
      <c r="I784">
        <v>-1</v>
      </c>
    </row>
    <row r="785" spans="1:9" x14ac:dyDescent="0.4">
      <c r="A785">
        <v>2011101</v>
      </c>
      <c r="B785">
        <v>1</v>
      </c>
      <c r="C785">
        <v>2000000</v>
      </c>
      <c r="D785">
        <v>2000000</v>
      </c>
      <c r="E785">
        <v>-1</v>
      </c>
      <c r="F785">
        <v>19305</v>
      </c>
      <c r="G785">
        <v>3000000</v>
      </c>
      <c r="H785">
        <v>3000000</v>
      </c>
      <c r="I785">
        <v>-1</v>
      </c>
    </row>
    <row r="786" spans="1:9" x14ac:dyDescent="0.4">
      <c r="A786">
        <v>2011102</v>
      </c>
      <c r="B786">
        <v>1</v>
      </c>
      <c r="C786">
        <v>2000000</v>
      </c>
      <c r="D786">
        <v>2000000</v>
      </c>
      <c r="E786">
        <v>2200000</v>
      </c>
      <c r="F786">
        <v>19309</v>
      </c>
      <c r="G786">
        <v>3000000</v>
      </c>
      <c r="H786">
        <v>3000000</v>
      </c>
      <c r="I786">
        <v>-1</v>
      </c>
    </row>
    <row r="787" spans="1:9" x14ac:dyDescent="0.4">
      <c r="A787">
        <v>2011111</v>
      </c>
      <c r="B787">
        <v>1</v>
      </c>
      <c r="C787">
        <v>2000000</v>
      </c>
      <c r="D787">
        <v>2000000</v>
      </c>
      <c r="E787">
        <v>-1</v>
      </c>
      <c r="F787">
        <v>19317</v>
      </c>
      <c r="G787">
        <v>3000000</v>
      </c>
      <c r="H787">
        <v>3000000</v>
      </c>
      <c r="I787">
        <v>-1</v>
      </c>
    </row>
    <row r="788" spans="1:9" x14ac:dyDescent="0.4">
      <c r="A788">
        <v>2011112</v>
      </c>
      <c r="B788">
        <v>1</v>
      </c>
      <c r="C788">
        <v>2000000</v>
      </c>
      <c r="D788">
        <v>2000000</v>
      </c>
      <c r="E788">
        <v>2200000</v>
      </c>
      <c r="F788">
        <v>19321</v>
      </c>
      <c r="G788">
        <v>3000000</v>
      </c>
      <c r="H788">
        <v>3000000</v>
      </c>
      <c r="I788">
        <v>-1</v>
      </c>
    </row>
    <row r="789" spans="1:9" x14ac:dyDescent="0.4">
      <c r="A789">
        <v>2011121</v>
      </c>
      <c r="B789">
        <v>1</v>
      </c>
      <c r="C789">
        <v>2000000</v>
      </c>
      <c r="D789">
        <v>2000000</v>
      </c>
      <c r="E789">
        <v>-1</v>
      </c>
      <c r="F789">
        <v>19329</v>
      </c>
      <c r="G789">
        <v>3000000</v>
      </c>
      <c r="H789">
        <v>3000000</v>
      </c>
      <c r="I789">
        <v>-1</v>
      </c>
    </row>
    <row r="790" spans="1:9" x14ac:dyDescent="0.4">
      <c r="A790">
        <v>2011122</v>
      </c>
      <c r="B790">
        <v>1</v>
      </c>
      <c r="C790">
        <v>2000000</v>
      </c>
      <c r="D790">
        <v>2000000</v>
      </c>
      <c r="E790">
        <v>2200000</v>
      </c>
      <c r="F790">
        <v>19333</v>
      </c>
      <c r="G790">
        <v>3000000</v>
      </c>
      <c r="H790">
        <v>3000000</v>
      </c>
      <c r="I790">
        <v>-1</v>
      </c>
    </row>
    <row r="791" spans="1:9" x14ac:dyDescent="0.4">
      <c r="A791">
        <v>2011201</v>
      </c>
      <c r="B791">
        <v>2</v>
      </c>
      <c r="C791">
        <v>2000000</v>
      </c>
      <c r="D791">
        <v>2000000</v>
      </c>
      <c r="E791">
        <v>-1</v>
      </c>
      <c r="F791">
        <v>19306</v>
      </c>
      <c r="G791">
        <v>3000000</v>
      </c>
      <c r="H791">
        <v>3000000</v>
      </c>
      <c r="I791">
        <v>-1</v>
      </c>
    </row>
    <row r="792" spans="1:9" x14ac:dyDescent="0.4">
      <c r="A792">
        <v>2011202</v>
      </c>
      <c r="B792">
        <v>2</v>
      </c>
      <c r="C792">
        <v>2000000</v>
      </c>
      <c r="D792">
        <v>2000000</v>
      </c>
      <c r="E792">
        <v>2200000</v>
      </c>
      <c r="F792">
        <v>19310</v>
      </c>
      <c r="G792">
        <v>3000000</v>
      </c>
      <c r="H792">
        <v>3000000</v>
      </c>
      <c r="I792">
        <v>-1</v>
      </c>
    </row>
    <row r="793" spans="1:9" x14ac:dyDescent="0.4">
      <c r="A793">
        <v>2011211</v>
      </c>
      <c r="B793">
        <v>2</v>
      </c>
      <c r="C793">
        <v>2000000</v>
      </c>
      <c r="D793">
        <v>2000000</v>
      </c>
      <c r="E793">
        <v>-1</v>
      </c>
      <c r="F793">
        <v>19318</v>
      </c>
      <c r="G793">
        <v>3000000</v>
      </c>
      <c r="H793">
        <v>3000000</v>
      </c>
      <c r="I793">
        <v>-1</v>
      </c>
    </row>
    <row r="794" spans="1:9" x14ac:dyDescent="0.4">
      <c r="A794">
        <v>2011212</v>
      </c>
      <c r="B794">
        <v>2</v>
      </c>
      <c r="C794">
        <v>2000000</v>
      </c>
      <c r="D794">
        <v>2000000</v>
      </c>
      <c r="E794">
        <v>2200000</v>
      </c>
      <c r="F794">
        <v>19322</v>
      </c>
      <c r="G794">
        <v>3000000</v>
      </c>
      <c r="H794">
        <v>3000000</v>
      </c>
      <c r="I794">
        <v>-1</v>
      </c>
    </row>
    <row r="795" spans="1:9" x14ac:dyDescent="0.4">
      <c r="A795">
        <v>2011221</v>
      </c>
      <c r="B795">
        <v>2</v>
      </c>
      <c r="C795">
        <v>2000000</v>
      </c>
      <c r="D795">
        <v>2000000</v>
      </c>
      <c r="E795">
        <v>-1</v>
      </c>
      <c r="F795">
        <v>19330</v>
      </c>
      <c r="G795">
        <v>3000000</v>
      </c>
      <c r="H795">
        <v>3000000</v>
      </c>
      <c r="I795">
        <v>-1</v>
      </c>
    </row>
    <row r="796" spans="1:9" x14ac:dyDescent="0.4">
      <c r="A796">
        <v>2011222</v>
      </c>
      <c r="B796">
        <v>2</v>
      </c>
      <c r="C796">
        <v>2000000</v>
      </c>
      <c r="D796">
        <v>2000000</v>
      </c>
      <c r="E796">
        <v>2200000</v>
      </c>
      <c r="F796">
        <v>19334</v>
      </c>
      <c r="G796">
        <v>3000000</v>
      </c>
      <c r="H796">
        <v>3000000</v>
      </c>
      <c r="I796">
        <v>-1</v>
      </c>
    </row>
    <row r="797" spans="1:9" x14ac:dyDescent="0.4">
      <c r="A797">
        <v>2011301</v>
      </c>
      <c r="B797">
        <v>3</v>
      </c>
      <c r="C797">
        <v>2000000</v>
      </c>
      <c r="D797">
        <v>2000000</v>
      </c>
      <c r="E797">
        <v>-1</v>
      </c>
      <c r="F797">
        <v>19307</v>
      </c>
      <c r="G797">
        <v>3000000</v>
      </c>
      <c r="H797">
        <v>3000000</v>
      </c>
      <c r="I797">
        <v>-1</v>
      </c>
    </row>
    <row r="798" spans="1:9" x14ac:dyDescent="0.4">
      <c r="A798">
        <v>2011302</v>
      </c>
      <c r="B798">
        <v>3</v>
      </c>
      <c r="C798">
        <v>2000000</v>
      </c>
      <c r="D798">
        <v>2000000</v>
      </c>
      <c r="E798">
        <v>2200000</v>
      </c>
      <c r="F798">
        <v>19311</v>
      </c>
      <c r="G798">
        <v>3000000</v>
      </c>
      <c r="H798">
        <v>3000000</v>
      </c>
      <c r="I798">
        <v>-1</v>
      </c>
    </row>
    <row r="799" spans="1:9" x14ac:dyDescent="0.4">
      <c r="A799">
        <v>2011311</v>
      </c>
      <c r="B799">
        <v>3</v>
      </c>
      <c r="C799">
        <v>2000000</v>
      </c>
      <c r="D799">
        <v>2000000</v>
      </c>
      <c r="E799">
        <v>-1</v>
      </c>
      <c r="F799">
        <v>19319</v>
      </c>
      <c r="G799">
        <v>3000000</v>
      </c>
      <c r="H799">
        <v>3000000</v>
      </c>
      <c r="I799">
        <v>-1</v>
      </c>
    </row>
    <row r="800" spans="1:9" x14ac:dyDescent="0.4">
      <c r="A800">
        <v>2011312</v>
      </c>
      <c r="B800">
        <v>3</v>
      </c>
      <c r="C800">
        <v>2000000</v>
      </c>
      <c r="D800">
        <v>2000000</v>
      </c>
      <c r="E800">
        <v>2200000</v>
      </c>
      <c r="F800">
        <v>19323</v>
      </c>
      <c r="G800">
        <v>3000000</v>
      </c>
      <c r="H800">
        <v>3000000</v>
      </c>
      <c r="I800">
        <v>-1</v>
      </c>
    </row>
    <row r="801" spans="1:9" x14ac:dyDescent="0.4">
      <c r="A801">
        <v>2011321</v>
      </c>
      <c r="B801">
        <v>3</v>
      </c>
      <c r="C801">
        <v>2000000</v>
      </c>
      <c r="D801">
        <v>2000000</v>
      </c>
      <c r="E801">
        <v>-1</v>
      </c>
      <c r="F801">
        <v>19331</v>
      </c>
      <c r="G801">
        <v>3000000</v>
      </c>
      <c r="H801">
        <v>3000000</v>
      </c>
      <c r="I801">
        <v>-1</v>
      </c>
    </row>
    <row r="802" spans="1:9" x14ac:dyDescent="0.4">
      <c r="A802">
        <v>2011322</v>
      </c>
      <c r="B802">
        <v>3</v>
      </c>
      <c r="C802">
        <v>2000000</v>
      </c>
      <c r="D802">
        <v>2000000</v>
      </c>
      <c r="E802">
        <v>2200000</v>
      </c>
      <c r="F802">
        <v>19335</v>
      </c>
      <c r="G802">
        <v>3000000</v>
      </c>
      <c r="H802">
        <v>3000000</v>
      </c>
      <c r="I802">
        <v>-1</v>
      </c>
    </row>
    <row r="803" spans="1:9" x14ac:dyDescent="0.4">
      <c r="A803">
        <v>2012002</v>
      </c>
      <c r="B803">
        <v>0</v>
      </c>
      <c r="C803">
        <v>2000000</v>
      </c>
      <c r="D803">
        <v>2000000</v>
      </c>
      <c r="E803">
        <v>2000000</v>
      </c>
      <c r="F803">
        <v>19308</v>
      </c>
      <c r="G803">
        <v>3000000</v>
      </c>
      <c r="H803">
        <v>3000000</v>
      </c>
      <c r="I803">
        <v>3000000</v>
      </c>
    </row>
    <row r="804" spans="1:9" x14ac:dyDescent="0.4">
      <c r="A804">
        <v>2012012</v>
      </c>
      <c r="B804">
        <v>0</v>
      </c>
      <c r="C804">
        <v>2000000</v>
      </c>
      <c r="D804">
        <v>2000000</v>
      </c>
      <c r="E804">
        <v>2000000</v>
      </c>
      <c r="F804">
        <v>19320</v>
      </c>
      <c r="G804">
        <v>3000000</v>
      </c>
      <c r="H804">
        <v>3000000</v>
      </c>
      <c r="I804">
        <v>3000000</v>
      </c>
    </row>
    <row r="805" spans="1:9" x14ac:dyDescent="0.4">
      <c r="A805">
        <v>2012022</v>
      </c>
      <c r="B805">
        <v>0</v>
      </c>
      <c r="C805">
        <v>2000000</v>
      </c>
      <c r="D805">
        <v>2000000</v>
      </c>
      <c r="E805">
        <v>2000000</v>
      </c>
      <c r="F805">
        <v>19332</v>
      </c>
      <c r="G805">
        <v>3000000</v>
      </c>
      <c r="H805">
        <v>3000000</v>
      </c>
      <c r="I805">
        <v>3000000</v>
      </c>
    </row>
    <row r="806" spans="1:9" x14ac:dyDescent="0.4">
      <c r="A806">
        <v>2012102</v>
      </c>
      <c r="B806">
        <v>1</v>
      </c>
      <c r="C806">
        <v>2000000</v>
      </c>
      <c r="D806">
        <v>2000000</v>
      </c>
      <c r="E806">
        <v>2000000</v>
      </c>
      <c r="F806">
        <v>19309</v>
      </c>
      <c r="G806">
        <v>3000000</v>
      </c>
      <c r="H806">
        <v>3000000</v>
      </c>
      <c r="I806">
        <v>3000000</v>
      </c>
    </row>
    <row r="807" spans="1:9" x14ac:dyDescent="0.4">
      <c r="A807">
        <v>2012112</v>
      </c>
      <c r="B807">
        <v>1</v>
      </c>
      <c r="C807">
        <v>2000000</v>
      </c>
      <c r="D807">
        <v>2000000</v>
      </c>
      <c r="E807">
        <v>2000000</v>
      </c>
      <c r="F807">
        <v>19321</v>
      </c>
      <c r="G807">
        <v>3000000</v>
      </c>
      <c r="H807">
        <v>3000000</v>
      </c>
      <c r="I807">
        <v>3000000</v>
      </c>
    </row>
    <row r="808" spans="1:9" x14ac:dyDescent="0.4">
      <c r="A808">
        <v>2012122</v>
      </c>
      <c r="B808">
        <v>1</v>
      </c>
      <c r="C808">
        <v>2000000</v>
      </c>
      <c r="D808">
        <v>2000000</v>
      </c>
      <c r="E808">
        <v>2000000</v>
      </c>
      <c r="F808">
        <v>19333</v>
      </c>
      <c r="G808">
        <v>3000000</v>
      </c>
      <c r="H808">
        <v>3000000</v>
      </c>
      <c r="I808">
        <v>3000000</v>
      </c>
    </row>
    <row r="809" spans="1:9" x14ac:dyDescent="0.4">
      <c r="A809">
        <v>2012202</v>
      </c>
      <c r="B809">
        <v>2</v>
      </c>
      <c r="C809">
        <v>2000000</v>
      </c>
      <c r="D809">
        <v>2000000</v>
      </c>
      <c r="E809">
        <v>2000000</v>
      </c>
      <c r="F809">
        <v>19310</v>
      </c>
      <c r="G809">
        <v>3000000</v>
      </c>
      <c r="H809">
        <v>3000000</v>
      </c>
      <c r="I809">
        <v>3000000</v>
      </c>
    </row>
    <row r="810" spans="1:9" x14ac:dyDescent="0.4">
      <c r="A810">
        <v>2012212</v>
      </c>
      <c r="B810">
        <v>2</v>
      </c>
      <c r="C810">
        <v>2000000</v>
      </c>
      <c r="D810">
        <v>2000000</v>
      </c>
      <c r="E810">
        <v>2000000</v>
      </c>
      <c r="F810">
        <v>19322</v>
      </c>
      <c r="G810">
        <v>3000000</v>
      </c>
      <c r="H810">
        <v>3000000</v>
      </c>
      <c r="I810">
        <v>3000000</v>
      </c>
    </row>
    <row r="811" spans="1:9" x14ac:dyDescent="0.4">
      <c r="A811">
        <v>2012222</v>
      </c>
      <c r="B811">
        <v>2</v>
      </c>
      <c r="C811">
        <v>2000000</v>
      </c>
      <c r="D811">
        <v>2000000</v>
      </c>
      <c r="E811">
        <v>2000000</v>
      </c>
      <c r="F811">
        <v>19334</v>
      </c>
      <c r="G811">
        <v>3000000</v>
      </c>
      <c r="H811">
        <v>3000000</v>
      </c>
      <c r="I811">
        <v>3000000</v>
      </c>
    </row>
    <row r="812" spans="1:9" x14ac:dyDescent="0.4">
      <c r="A812">
        <v>2012302</v>
      </c>
      <c r="B812">
        <v>3</v>
      </c>
      <c r="C812">
        <v>2000000</v>
      </c>
      <c r="D812">
        <v>2000000</v>
      </c>
      <c r="E812">
        <v>2000000</v>
      </c>
      <c r="F812">
        <v>19311</v>
      </c>
      <c r="G812">
        <v>3000000</v>
      </c>
      <c r="H812">
        <v>3000000</v>
      </c>
      <c r="I812">
        <v>3000000</v>
      </c>
    </row>
    <row r="813" spans="1:9" x14ac:dyDescent="0.4">
      <c r="A813">
        <v>2012312</v>
      </c>
      <c r="B813">
        <v>3</v>
      </c>
      <c r="C813">
        <v>2000000</v>
      </c>
      <c r="D813">
        <v>2000000</v>
      </c>
      <c r="E813">
        <v>2000000</v>
      </c>
      <c r="F813">
        <v>19323</v>
      </c>
      <c r="G813">
        <v>3000000</v>
      </c>
      <c r="H813">
        <v>3000000</v>
      </c>
      <c r="I813">
        <v>3000000</v>
      </c>
    </row>
    <row r="814" spans="1:9" x14ac:dyDescent="0.4">
      <c r="A814">
        <v>2012322</v>
      </c>
      <c r="B814">
        <v>3</v>
      </c>
      <c r="C814">
        <v>2000000</v>
      </c>
      <c r="D814">
        <v>2000000</v>
      </c>
      <c r="E814">
        <v>2000000</v>
      </c>
      <c r="F814">
        <v>19335</v>
      </c>
      <c r="G814">
        <v>3000000</v>
      </c>
      <c r="H814">
        <v>3000000</v>
      </c>
      <c r="I814">
        <v>3000000</v>
      </c>
    </row>
    <row r="815" spans="1:9" x14ac:dyDescent="0.4">
      <c r="A815">
        <v>2013000</v>
      </c>
      <c r="B815">
        <v>0</v>
      </c>
      <c r="C815">
        <v>2200000</v>
      </c>
      <c r="D815">
        <v>-1</v>
      </c>
      <c r="E815">
        <v>-1</v>
      </c>
      <c r="F815">
        <v>19300</v>
      </c>
      <c r="G815">
        <v>-1</v>
      </c>
      <c r="H815">
        <v>-1</v>
      </c>
      <c r="I815">
        <v>-1</v>
      </c>
    </row>
    <row r="816" spans="1:9" x14ac:dyDescent="0.4">
      <c r="A816">
        <v>2013001</v>
      </c>
      <c r="B816">
        <v>0</v>
      </c>
      <c r="C816">
        <v>2200000</v>
      </c>
      <c r="D816">
        <v>2200000</v>
      </c>
      <c r="E816">
        <v>-1</v>
      </c>
      <c r="F816">
        <v>19304</v>
      </c>
      <c r="G816">
        <v>-1</v>
      </c>
      <c r="H816">
        <v>-1</v>
      </c>
      <c r="I816">
        <v>-1</v>
      </c>
    </row>
    <row r="817" spans="1:9" x14ac:dyDescent="0.4">
      <c r="A817">
        <v>2013002</v>
      </c>
      <c r="B817">
        <v>0</v>
      </c>
      <c r="C817">
        <v>2200000</v>
      </c>
      <c r="D817">
        <v>2200000</v>
      </c>
      <c r="E817">
        <v>2200000</v>
      </c>
      <c r="F817">
        <v>19308</v>
      </c>
      <c r="G817">
        <v>-1</v>
      </c>
      <c r="H817">
        <v>-1</v>
      </c>
      <c r="I817">
        <v>-1</v>
      </c>
    </row>
    <row r="818" spans="1:9" x14ac:dyDescent="0.4">
      <c r="A818">
        <v>2013010</v>
      </c>
      <c r="B818">
        <v>0</v>
      </c>
      <c r="C818">
        <v>2200000</v>
      </c>
      <c r="D818">
        <v>-1</v>
      </c>
      <c r="E818">
        <v>-1</v>
      </c>
      <c r="F818">
        <v>19312</v>
      </c>
      <c r="G818">
        <v>-1</v>
      </c>
      <c r="H818">
        <v>-1</v>
      </c>
      <c r="I818">
        <v>-1</v>
      </c>
    </row>
    <row r="819" spans="1:9" x14ac:dyDescent="0.4">
      <c r="A819">
        <v>2013011</v>
      </c>
      <c r="B819">
        <v>0</v>
      </c>
      <c r="C819">
        <v>2200000</v>
      </c>
      <c r="D819">
        <v>2200000</v>
      </c>
      <c r="E819">
        <v>-1</v>
      </c>
      <c r="F819">
        <v>19316</v>
      </c>
      <c r="G819">
        <v>-1</v>
      </c>
      <c r="H819">
        <v>-1</v>
      </c>
      <c r="I819">
        <v>-1</v>
      </c>
    </row>
    <row r="820" spans="1:9" x14ac:dyDescent="0.4">
      <c r="A820">
        <v>2013012</v>
      </c>
      <c r="B820">
        <v>0</v>
      </c>
      <c r="C820">
        <v>2200000</v>
      </c>
      <c r="D820">
        <v>2200000</v>
      </c>
      <c r="E820">
        <v>2200000</v>
      </c>
      <c r="F820">
        <v>19320</v>
      </c>
      <c r="G820">
        <v>-1</v>
      </c>
      <c r="H820">
        <v>-1</v>
      </c>
      <c r="I820">
        <v>-1</v>
      </c>
    </row>
    <row r="821" spans="1:9" x14ac:dyDescent="0.4">
      <c r="A821">
        <v>2013020</v>
      </c>
      <c r="B821">
        <v>0</v>
      </c>
      <c r="C821">
        <v>2200000</v>
      </c>
      <c r="D821">
        <v>-1</v>
      </c>
      <c r="E821">
        <v>-1</v>
      </c>
      <c r="F821">
        <v>19324</v>
      </c>
      <c r="G821">
        <v>-1</v>
      </c>
      <c r="H821">
        <v>-1</v>
      </c>
      <c r="I821">
        <v>-1</v>
      </c>
    </row>
    <row r="822" spans="1:9" x14ac:dyDescent="0.4">
      <c r="A822">
        <v>2013021</v>
      </c>
      <c r="B822">
        <v>0</v>
      </c>
      <c r="C822">
        <v>2200000</v>
      </c>
      <c r="D822">
        <v>2200000</v>
      </c>
      <c r="E822">
        <v>-1</v>
      </c>
      <c r="F822">
        <v>19328</v>
      </c>
      <c r="G822">
        <v>-1</v>
      </c>
      <c r="H822">
        <v>-1</v>
      </c>
      <c r="I822">
        <v>-1</v>
      </c>
    </row>
    <row r="823" spans="1:9" x14ac:dyDescent="0.4">
      <c r="A823">
        <v>2013022</v>
      </c>
      <c r="B823">
        <v>0</v>
      </c>
      <c r="C823">
        <v>2200000</v>
      </c>
      <c r="D823">
        <v>2200000</v>
      </c>
      <c r="E823">
        <v>2200000</v>
      </c>
      <c r="F823">
        <v>19332</v>
      </c>
      <c r="G823">
        <v>-1</v>
      </c>
      <c r="H823">
        <v>-1</v>
      </c>
      <c r="I823">
        <v>-1</v>
      </c>
    </row>
    <row r="824" spans="1:9" x14ac:dyDescent="0.4">
      <c r="A824">
        <v>2013100</v>
      </c>
      <c r="B824">
        <v>1</v>
      </c>
      <c r="C824">
        <v>2200000</v>
      </c>
      <c r="D824">
        <v>-1</v>
      </c>
      <c r="E824">
        <v>-1</v>
      </c>
      <c r="F824">
        <v>19301</v>
      </c>
      <c r="G824">
        <v>-1</v>
      </c>
      <c r="H824">
        <v>-1</v>
      </c>
      <c r="I824">
        <v>-1</v>
      </c>
    </row>
    <row r="825" spans="1:9" x14ac:dyDescent="0.4">
      <c r="A825">
        <v>2013101</v>
      </c>
      <c r="B825">
        <v>1</v>
      </c>
      <c r="C825">
        <v>2200000</v>
      </c>
      <c r="D825">
        <v>2200000</v>
      </c>
      <c r="E825">
        <v>-1</v>
      </c>
      <c r="F825">
        <v>19305</v>
      </c>
      <c r="G825">
        <v>-1</v>
      </c>
      <c r="H825">
        <v>-1</v>
      </c>
      <c r="I825">
        <v>-1</v>
      </c>
    </row>
    <row r="826" spans="1:9" x14ac:dyDescent="0.4">
      <c r="A826">
        <v>2013102</v>
      </c>
      <c r="B826">
        <v>1</v>
      </c>
      <c r="C826">
        <v>2200000</v>
      </c>
      <c r="D826">
        <v>2200000</v>
      </c>
      <c r="E826">
        <v>2200000</v>
      </c>
      <c r="F826">
        <v>19309</v>
      </c>
      <c r="G826">
        <v>-1</v>
      </c>
      <c r="H826">
        <v>-1</v>
      </c>
      <c r="I826">
        <v>-1</v>
      </c>
    </row>
    <row r="827" spans="1:9" x14ac:dyDescent="0.4">
      <c r="A827">
        <v>2013110</v>
      </c>
      <c r="B827">
        <v>1</v>
      </c>
      <c r="C827">
        <v>2200000</v>
      </c>
      <c r="D827">
        <v>-1</v>
      </c>
      <c r="E827">
        <v>-1</v>
      </c>
      <c r="F827">
        <v>19313</v>
      </c>
      <c r="G827">
        <v>-1</v>
      </c>
      <c r="H827">
        <v>-1</v>
      </c>
      <c r="I827">
        <v>-1</v>
      </c>
    </row>
    <row r="828" spans="1:9" x14ac:dyDescent="0.4">
      <c r="A828">
        <v>2013111</v>
      </c>
      <c r="B828">
        <v>1</v>
      </c>
      <c r="C828">
        <v>2200000</v>
      </c>
      <c r="D828">
        <v>2200000</v>
      </c>
      <c r="E828">
        <v>-1</v>
      </c>
      <c r="F828">
        <v>19317</v>
      </c>
      <c r="G828">
        <v>-1</v>
      </c>
      <c r="H828">
        <v>-1</v>
      </c>
      <c r="I828">
        <v>-1</v>
      </c>
    </row>
    <row r="829" spans="1:9" x14ac:dyDescent="0.4">
      <c r="A829">
        <v>2013112</v>
      </c>
      <c r="B829">
        <v>1</v>
      </c>
      <c r="C829">
        <v>2200000</v>
      </c>
      <c r="D829">
        <v>2200000</v>
      </c>
      <c r="E829">
        <v>2200000</v>
      </c>
      <c r="F829">
        <v>19321</v>
      </c>
      <c r="G829">
        <v>-1</v>
      </c>
      <c r="H829">
        <v>-1</v>
      </c>
      <c r="I829">
        <v>-1</v>
      </c>
    </row>
    <row r="830" spans="1:9" x14ac:dyDescent="0.4">
      <c r="A830">
        <v>2013120</v>
      </c>
      <c r="B830">
        <v>1</v>
      </c>
      <c r="C830">
        <v>2200000</v>
      </c>
      <c r="D830">
        <v>-1</v>
      </c>
      <c r="E830">
        <v>-1</v>
      </c>
      <c r="F830">
        <v>19325</v>
      </c>
      <c r="G830">
        <v>-1</v>
      </c>
      <c r="H830">
        <v>-1</v>
      </c>
      <c r="I830">
        <v>-1</v>
      </c>
    </row>
    <row r="831" spans="1:9" x14ac:dyDescent="0.4">
      <c r="A831">
        <v>2013121</v>
      </c>
      <c r="B831">
        <v>1</v>
      </c>
      <c r="C831">
        <v>2200000</v>
      </c>
      <c r="D831">
        <v>2200000</v>
      </c>
      <c r="E831">
        <v>-1</v>
      </c>
      <c r="F831">
        <v>19329</v>
      </c>
      <c r="G831">
        <v>-1</v>
      </c>
      <c r="H831">
        <v>-1</v>
      </c>
      <c r="I831">
        <v>-1</v>
      </c>
    </row>
    <row r="832" spans="1:9" x14ac:dyDescent="0.4">
      <c r="A832">
        <v>2013122</v>
      </c>
      <c r="B832">
        <v>1</v>
      </c>
      <c r="C832">
        <v>2200000</v>
      </c>
      <c r="D832">
        <v>2200000</v>
      </c>
      <c r="E832">
        <v>2200000</v>
      </c>
      <c r="F832">
        <v>19333</v>
      </c>
      <c r="G832">
        <v>-1</v>
      </c>
      <c r="H832">
        <v>-1</v>
      </c>
      <c r="I832">
        <v>-1</v>
      </c>
    </row>
    <row r="833" spans="1:9" x14ac:dyDescent="0.4">
      <c r="A833">
        <v>2013200</v>
      </c>
      <c r="B833">
        <v>2</v>
      </c>
      <c r="C833">
        <v>2200000</v>
      </c>
      <c r="D833">
        <v>-1</v>
      </c>
      <c r="E833">
        <v>-1</v>
      </c>
      <c r="F833">
        <v>19302</v>
      </c>
      <c r="G833">
        <v>-1</v>
      </c>
      <c r="H833">
        <v>-1</v>
      </c>
      <c r="I833">
        <v>-1</v>
      </c>
    </row>
    <row r="834" spans="1:9" x14ac:dyDescent="0.4">
      <c r="A834">
        <v>2013201</v>
      </c>
      <c r="B834">
        <v>2</v>
      </c>
      <c r="C834">
        <v>2200000</v>
      </c>
      <c r="D834">
        <v>2200000</v>
      </c>
      <c r="E834">
        <v>-1</v>
      </c>
      <c r="F834">
        <v>19306</v>
      </c>
      <c r="G834">
        <v>-1</v>
      </c>
      <c r="H834">
        <v>-1</v>
      </c>
      <c r="I834">
        <v>-1</v>
      </c>
    </row>
    <row r="835" spans="1:9" x14ac:dyDescent="0.4">
      <c r="A835">
        <v>2013202</v>
      </c>
      <c r="B835">
        <v>2</v>
      </c>
      <c r="C835">
        <v>2200000</v>
      </c>
      <c r="D835">
        <v>2200000</v>
      </c>
      <c r="E835">
        <v>2200000</v>
      </c>
      <c r="F835">
        <v>19310</v>
      </c>
      <c r="G835">
        <v>-1</v>
      </c>
      <c r="H835">
        <v>-1</v>
      </c>
      <c r="I835">
        <v>-1</v>
      </c>
    </row>
    <row r="836" spans="1:9" x14ac:dyDescent="0.4">
      <c r="A836">
        <v>2013210</v>
      </c>
      <c r="B836">
        <v>2</v>
      </c>
      <c r="C836">
        <v>2200000</v>
      </c>
      <c r="D836">
        <v>-1</v>
      </c>
      <c r="E836">
        <v>-1</v>
      </c>
      <c r="F836">
        <v>19314</v>
      </c>
      <c r="G836">
        <v>-1</v>
      </c>
      <c r="H836">
        <v>-1</v>
      </c>
      <c r="I836">
        <v>-1</v>
      </c>
    </row>
    <row r="837" spans="1:9" x14ac:dyDescent="0.4">
      <c r="A837">
        <v>2013211</v>
      </c>
      <c r="B837">
        <v>2</v>
      </c>
      <c r="C837">
        <v>2200000</v>
      </c>
      <c r="D837">
        <v>2200000</v>
      </c>
      <c r="E837">
        <v>-1</v>
      </c>
      <c r="F837">
        <v>19318</v>
      </c>
      <c r="G837">
        <v>-1</v>
      </c>
      <c r="H837">
        <v>-1</v>
      </c>
      <c r="I837">
        <v>-1</v>
      </c>
    </row>
    <row r="838" spans="1:9" x14ac:dyDescent="0.4">
      <c r="A838">
        <v>2013212</v>
      </c>
      <c r="B838">
        <v>2</v>
      </c>
      <c r="C838">
        <v>2200000</v>
      </c>
      <c r="D838">
        <v>2200000</v>
      </c>
      <c r="E838">
        <v>2200000</v>
      </c>
      <c r="F838">
        <v>19322</v>
      </c>
      <c r="G838">
        <v>-1</v>
      </c>
      <c r="H838">
        <v>-1</v>
      </c>
      <c r="I838">
        <v>-1</v>
      </c>
    </row>
    <row r="839" spans="1:9" x14ac:dyDescent="0.4">
      <c r="A839">
        <v>2013220</v>
      </c>
      <c r="B839">
        <v>2</v>
      </c>
      <c r="C839">
        <v>2200000</v>
      </c>
      <c r="D839">
        <v>-1</v>
      </c>
      <c r="E839">
        <v>-1</v>
      </c>
      <c r="F839">
        <v>19326</v>
      </c>
      <c r="G839">
        <v>-1</v>
      </c>
      <c r="H839">
        <v>-1</v>
      </c>
      <c r="I839">
        <v>-1</v>
      </c>
    </row>
    <row r="840" spans="1:9" x14ac:dyDescent="0.4">
      <c r="A840">
        <v>2013221</v>
      </c>
      <c r="B840">
        <v>2</v>
      </c>
      <c r="C840">
        <v>2200000</v>
      </c>
      <c r="D840">
        <v>2200000</v>
      </c>
      <c r="E840">
        <v>-1</v>
      </c>
      <c r="F840">
        <v>19330</v>
      </c>
      <c r="G840">
        <v>-1</v>
      </c>
      <c r="H840">
        <v>-1</v>
      </c>
      <c r="I840">
        <v>-1</v>
      </c>
    </row>
    <row r="841" spans="1:9" x14ac:dyDescent="0.4">
      <c r="A841">
        <v>2013222</v>
      </c>
      <c r="B841">
        <v>2</v>
      </c>
      <c r="C841">
        <v>2200000</v>
      </c>
      <c r="D841">
        <v>2200000</v>
      </c>
      <c r="E841">
        <v>2200000</v>
      </c>
      <c r="F841">
        <v>19334</v>
      </c>
      <c r="G841">
        <v>-1</v>
      </c>
      <c r="H841">
        <v>-1</v>
      </c>
      <c r="I841">
        <v>-1</v>
      </c>
    </row>
    <row r="842" spans="1:9" x14ac:dyDescent="0.4">
      <c r="A842">
        <v>2013300</v>
      </c>
      <c r="B842">
        <v>3</v>
      </c>
      <c r="C842">
        <v>2200000</v>
      </c>
      <c r="D842">
        <v>-1</v>
      </c>
      <c r="E842">
        <v>-1</v>
      </c>
      <c r="F842">
        <v>19303</v>
      </c>
      <c r="G842">
        <v>-1</v>
      </c>
      <c r="H842">
        <v>-1</v>
      </c>
      <c r="I842">
        <v>-1</v>
      </c>
    </row>
    <row r="843" spans="1:9" x14ac:dyDescent="0.4">
      <c r="A843">
        <v>2013301</v>
      </c>
      <c r="B843">
        <v>3</v>
      </c>
      <c r="C843">
        <v>2200000</v>
      </c>
      <c r="D843">
        <v>2200000</v>
      </c>
      <c r="E843">
        <v>-1</v>
      </c>
      <c r="F843">
        <v>19307</v>
      </c>
      <c r="G843">
        <v>-1</v>
      </c>
      <c r="H843">
        <v>-1</v>
      </c>
      <c r="I843">
        <v>-1</v>
      </c>
    </row>
    <row r="844" spans="1:9" x14ac:dyDescent="0.4">
      <c r="A844">
        <v>2013302</v>
      </c>
      <c r="B844">
        <v>3</v>
      </c>
      <c r="C844">
        <v>2200000</v>
      </c>
      <c r="D844">
        <v>2200000</v>
      </c>
      <c r="E844">
        <v>2200000</v>
      </c>
      <c r="F844">
        <v>19311</v>
      </c>
      <c r="G844">
        <v>-1</v>
      </c>
      <c r="H844">
        <v>-1</v>
      </c>
      <c r="I844">
        <v>-1</v>
      </c>
    </row>
    <row r="845" spans="1:9" x14ac:dyDescent="0.4">
      <c r="A845">
        <v>2013310</v>
      </c>
      <c r="B845">
        <v>3</v>
      </c>
      <c r="C845">
        <v>2200000</v>
      </c>
      <c r="D845">
        <v>-1</v>
      </c>
      <c r="E845">
        <v>-1</v>
      </c>
      <c r="F845">
        <v>19315</v>
      </c>
      <c r="G845">
        <v>-1</v>
      </c>
      <c r="H845">
        <v>-1</v>
      </c>
      <c r="I845">
        <v>-1</v>
      </c>
    </row>
    <row r="846" spans="1:9" x14ac:dyDescent="0.4">
      <c r="A846">
        <v>2013311</v>
      </c>
      <c r="B846">
        <v>3</v>
      </c>
      <c r="C846">
        <v>2200000</v>
      </c>
      <c r="D846">
        <v>2200000</v>
      </c>
      <c r="E846">
        <v>-1</v>
      </c>
      <c r="F846">
        <v>19319</v>
      </c>
      <c r="G846">
        <v>-1</v>
      </c>
      <c r="H846">
        <v>-1</v>
      </c>
      <c r="I846">
        <v>-1</v>
      </c>
    </row>
    <row r="847" spans="1:9" x14ac:dyDescent="0.4">
      <c r="A847">
        <v>2013312</v>
      </c>
      <c r="B847">
        <v>3</v>
      </c>
      <c r="C847">
        <v>2200000</v>
      </c>
      <c r="D847">
        <v>2200000</v>
      </c>
      <c r="E847">
        <v>2200000</v>
      </c>
      <c r="F847">
        <v>19323</v>
      </c>
      <c r="G847">
        <v>-1</v>
      </c>
      <c r="H847">
        <v>-1</v>
      </c>
      <c r="I847">
        <v>-1</v>
      </c>
    </row>
    <row r="848" spans="1:9" x14ac:dyDescent="0.4">
      <c r="A848">
        <v>2013320</v>
      </c>
      <c r="B848">
        <v>3</v>
      </c>
      <c r="C848">
        <v>2200000</v>
      </c>
      <c r="D848">
        <v>-1</v>
      </c>
      <c r="E848">
        <v>-1</v>
      </c>
      <c r="F848">
        <v>19327</v>
      </c>
      <c r="G848">
        <v>-1</v>
      </c>
      <c r="H848">
        <v>-1</v>
      </c>
      <c r="I848">
        <v>-1</v>
      </c>
    </row>
    <row r="849" spans="1:9" x14ac:dyDescent="0.4">
      <c r="A849">
        <v>2013321</v>
      </c>
      <c r="B849">
        <v>3</v>
      </c>
      <c r="C849">
        <v>2200000</v>
      </c>
      <c r="D849">
        <v>2200000</v>
      </c>
      <c r="E849">
        <v>-1</v>
      </c>
      <c r="F849">
        <v>19331</v>
      </c>
      <c r="G849">
        <v>-1</v>
      </c>
      <c r="H849">
        <v>-1</v>
      </c>
      <c r="I849">
        <v>-1</v>
      </c>
    </row>
    <row r="850" spans="1:9" x14ac:dyDescent="0.4">
      <c r="A850">
        <v>2013322</v>
      </c>
      <c r="B850">
        <v>3</v>
      </c>
      <c r="C850">
        <v>2200000</v>
      </c>
      <c r="D850">
        <v>2200000</v>
      </c>
      <c r="E850">
        <v>2200000</v>
      </c>
      <c r="F850">
        <v>19335</v>
      </c>
      <c r="G850">
        <v>-1</v>
      </c>
      <c r="H850">
        <v>-1</v>
      </c>
      <c r="I850">
        <v>-1</v>
      </c>
    </row>
    <row r="851" spans="1:9" x14ac:dyDescent="0.4">
      <c r="A851">
        <v>6001400</v>
      </c>
      <c r="B851">
        <v>0</v>
      </c>
      <c r="C851">
        <v>6001400</v>
      </c>
      <c r="D851">
        <v>-1</v>
      </c>
      <c r="E851">
        <v>-1</v>
      </c>
      <c r="F851">
        <v>428</v>
      </c>
      <c r="G851">
        <v>-1</v>
      </c>
      <c r="H851">
        <v>-1</v>
      </c>
      <c r="I851">
        <v>-1</v>
      </c>
    </row>
    <row r="852" spans="1:9" x14ac:dyDescent="0.4">
      <c r="A852">
        <v>6001401</v>
      </c>
      <c r="B852">
        <v>0</v>
      </c>
      <c r="C852">
        <v>6001401</v>
      </c>
      <c r="D852">
        <v>-1</v>
      </c>
      <c r="E852">
        <v>-1</v>
      </c>
      <c r="F852">
        <v>428</v>
      </c>
      <c r="G852">
        <v>-1</v>
      </c>
      <c r="H852">
        <v>-1</v>
      </c>
      <c r="I852">
        <v>-1</v>
      </c>
    </row>
    <row r="853" spans="1:9" x14ac:dyDescent="0.4">
      <c r="A853">
        <v>6001500</v>
      </c>
      <c r="B853">
        <v>0</v>
      </c>
      <c r="C853">
        <v>6001500</v>
      </c>
      <c r="D853">
        <v>-1</v>
      </c>
      <c r="E853">
        <v>-1</v>
      </c>
      <c r="F853">
        <v>428</v>
      </c>
      <c r="G853">
        <v>-1</v>
      </c>
      <c r="H853">
        <v>-1</v>
      </c>
      <c r="I853">
        <v>-1</v>
      </c>
    </row>
    <row r="854" spans="1:9" x14ac:dyDescent="0.4">
      <c r="A854">
        <v>6001501</v>
      </c>
      <c r="B854">
        <v>0</v>
      </c>
      <c r="C854">
        <v>6001501</v>
      </c>
      <c r="D854">
        <v>-1</v>
      </c>
      <c r="E854">
        <v>-1</v>
      </c>
      <c r="F854">
        <v>428</v>
      </c>
      <c r="G854">
        <v>-1</v>
      </c>
      <c r="H854">
        <v>-1</v>
      </c>
      <c r="I854">
        <v>-1</v>
      </c>
    </row>
    <row r="855" spans="1:9" x14ac:dyDescent="0.4">
      <c r="A855">
        <v>6001600</v>
      </c>
      <c r="B855">
        <v>0</v>
      </c>
      <c r="C855">
        <v>6001600</v>
      </c>
      <c r="D855">
        <v>-1</v>
      </c>
      <c r="E855">
        <v>-1</v>
      </c>
      <c r="F855">
        <v>428</v>
      </c>
      <c r="G855">
        <v>-1</v>
      </c>
      <c r="H855">
        <v>-1</v>
      </c>
      <c r="I855">
        <v>-1</v>
      </c>
    </row>
    <row r="856" spans="1:9" x14ac:dyDescent="0.4">
      <c r="A856">
        <v>6001601</v>
      </c>
      <c r="B856">
        <v>0</v>
      </c>
      <c r="C856">
        <v>6001601</v>
      </c>
      <c r="D856">
        <v>-1</v>
      </c>
      <c r="E856">
        <v>-1</v>
      </c>
      <c r="F856">
        <v>428</v>
      </c>
      <c r="G856">
        <v>-1</v>
      </c>
      <c r="H856">
        <v>-1</v>
      </c>
      <c r="I856">
        <v>-1</v>
      </c>
    </row>
    <row r="857" spans="1:9" x14ac:dyDescent="0.4">
      <c r="A857">
        <v>6001700</v>
      </c>
      <c r="B857">
        <v>0</v>
      </c>
      <c r="C857">
        <v>6001700</v>
      </c>
      <c r="D857">
        <v>-1</v>
      </c>
      <c r="E857">
        <v>-1</v>
      </c>
      <c r="F857">
        <v>428</v>
      </c>
      <c r="G857">
        <v>-1</v>
      </c>
      <c r="H857">
        <v>-1</v>
      </c>
      <c r="I857">
        <v>-1</v>
      </c>
    </row>
    <row r="858" spans="1:9" x14ac:dyDescent="0.4">
      <c r="A858">
        <v>6001701</v>
      </c>
      <c r="B858">
        <v>0</v>
      </c>
      <c r="C858">
        <v>6001701</v>
      </c>
      <c r="D858">
        <v>-1</v>
      </c>
      <c r="E858">
        <v>-1</v>
      </c>
      <c r="F858">
        <v>428</v>
      </c>
      <c r="G858">
        <v>-1</v>
      </c>
      <c r="H858">
        <v>-1</v>
      </c>
      <c r="I858">
        <v>-1</v>
      </c>
    </row>
    <row r="859" spans="1:9" x14ac:dyDescent="0.4">
      <c r="A859">
        <v>6001800</v>
      </c>
      <c r="B859">
        <v>0</v>
      </c>
      <c r="C859">
        <v>6001800</v>
      </c>
      <c r="D859">
        <v>-1</v>
      </c>
      <c r="E859">
        <v>-1</v>
      </c>
      <c r="F859">
        <v>428</v>
      </c>
      <c r="G859">
        <v>-1</v>
      </c>
      <c r="H859">
        <v>-1</v>
      </c>
      <c r="I859">
        <v>-1</v>
      </c>
    </row>
    <row r="860" spans="1:9" x14ac:dyDescent="0.4">
      <c r="A860">
        <v>6001801</v>
      </c>
      <c r="B860">
        <v>0</v>
      </c>
      <c r="C860">
        <v>6001801</v>
      </c>
      <c r="D860">
        <v>-1</v>
      </c>
      <c r="E860">
        <v>-1</v>
      </c>
      <c r="F860">
        <v>428</v>
      </c>
      <c r="G860">
        <v>-1</v>
      </c>
      <c r="H860">
        <v>-1</v>
      </c>
      <c r="I860">
        <v>-1</v>
      </c>
    </row>
    <row r="861" spans="1:9" x14ac:dyDescent="0.4">
      <c r="A861">
        <v>6002600</v>
      </c>
      <c r="B861">
        <v>0</v>
      </c>
      <c r="C861">
        <v>6002600</v>
      </c>
      <c r="D861">
        <v>-1</v>
      </c>
      <c r="E861">
        <v>-1</v>
      </c>
      <c r="F861">
        <v>428</v>
      </c>
      <c r="G861">
        <v>-1</v>
      </c>
      <c r="H861">
        <v>-1</v>
      </c>
      <c r="I861">
        <v>-1</v>
      </c>
    </row>
    <row r="862" spans="1:9" x14ac:dyDescent="0.4">
      <c r="A862">
        <v>6002601</v>
      </c>
      <c r="B862">
        <v>0</v>
      </c>
      <c r="C862">
        <v>6002601</v>
      </c>
      <c r="D862">
        <v>-1</v>
      </c>
      <c r="E862">
        <v>-1</v>
      </c>
      <c r="F862">
        <v>428</v>
      </c>
      <c r="G862">
        <v>-1</v>
      </c>
      <c r="H862">
        <v>-1</v>
      </c>
      <c r="I862">
        <v>-1</v>
      </c>
    </row>
    <row r="863" spans="1:9" x14ac:dyDescent="0.4">
      <c r="A863">
        <v>6002700</v>
      </c>
      <c r="B863">
        <v>0</v>
      </c>
      <c r="C863">
        <v>6002700</v>
      </c>
      <c r="D863">
        <v>-1</v>
      </c>
      <c r="E863">
        <v>-1</v>
      </c>
      <c r="F863">
        <v>428</v>
      </c>
      <c r="G863">
        <v>-1</v>
      </c>
      <c r="H863">
        <v>-1</v>
      </c>
      <c r="I863">
        <v>-1</v>
      </c>
    </row>
    <row r="864" spans="1:9" x14ac:dyDescent="0.4">
      <c r="A864">
        <v>6002701</v>
      </c>
      <c r="B864">
        <v>0</v>
      </c>
      <c r="C864">
        <v>6002701</v>
      </c>
      <c r="D864">
        <v>-1</v>
      </c>
      <c r="E864">
        <v>-1</v>
      </c>
      <c r="F864">
        <v>428</v>
      </c>
      <c r="G864">
        <v>-1</v>
      </c>
      <c r="H864">
        <v>-1</v>
      </c>
      <c r="I864">
        <v>-1</v>
      </c>
    </row>
    <row r="865" spans="1:9" x14ac:dyDescent="0.4">
      <c r="A865">
        <v>6002800</v>
      </c>
      <c r="B865">
        <v>0</v>
      </c>
      <c r="C865">
        <v>6002800</v>
      </c>
      <c r="D865">
        <v>-1</v>
      </c>
      <c r="E865">
        <v>-1</v>
      </c>
      <c r="F865">
        <v>428</v>
      </c>
      <c r="G865">
        <v>-1</v>
      </c>
      <c r="H865">
        <v>-1</v>
      </c>
      <c r="I865">
        <v>-1</v>
      </c>
    </row>
    <row r="866" spans="1:9" x14ac:dyDescent="0.4">
      <c r="A866">
        <v>6002801</v>
      </c>
      <c r="B866">
        <v>0</v>
      </c>
      <c r="C866">
        <v>6002801</v>
      </c>
      <c r="D866">
        <v>-1</v>
      </c>
      <c r="E866">
        <v>-1</v>
      </c>
      <c r="F866">
        <v>428</v>
      </c>
      <c r="G866">
        <v>-1</v>
      </c>
      <c r="H866">
        <v>-1</v>
      </c>
      <c r="I866">
        <v>-1</v>
      </c>
    </row>
    <row r="867" spans="1:9" x14ac:dyDescent="0.4">
      <c r="A867">
        <v>6002900</v>
      </c>
      <c r="B867">
        <v>0</v>
      </c>
      <c r="C867">
        <v>6002900</v>
      </c>
      <c r="D867">
        <v>-1</v>
      </c>
      <c r="E867">
        <v>-1</v>
      </c>
      <c r="F867">
        <v>428</v>
      </c>
      <c r="G867">
        <v>-1</v>
      </c>
      <c r="H867">
        <v>-1</v>
      </c>
      <c r="I867">
        <v>-1</v>
      </c>
    </row>
    <row r="868" spans="1:9" x14ac:dyDescent="0.4">
      <c r="A868">
        <v>6002901</v>
      </c>
      <c r="B868">
        <v>0</v>
      </c>
      <c r="C868">
        <v>6002901</v>
      </c>
      <c r="D868">
        <v>-1</v>
      </c>
      <c r="E868">
        <v>-1</v>
      </c>
      <c r="F868">
        <v>428</v>
      </c>
      <c r="G868">
        <v>-1</v>
      </c>
      <c r="H868">
        <v>-1</v>
      </c>
      <c r="I868">
        <v>-1</v>
      </c>
    </row>
    <row r="869" spans="1:9" x14ac:dyDescent="0.4">
      <c r="A869">
        <v>6003000</v>
      </c>
      <c r="B869">
        <v>0</v>
      </c>
      <c r="C869">
        <v>6003000</v>
      </c>
      <c r="D869">
        <v>-1</v>
      </c>
      <c r="E869">
        <v>-1</v>
      </c>
      <c r="F869">
        <v>428</v>
      </c>
      <c r="G869">
        <v>-1</v>
      </c>
      <c r="H869">
        <v>-1</v>
      </c>
      <c r="I869">
        <v>-1</v>
      </c>
    </row>
    <row r="870" spans="1:9" x14ac:dyDescent="0.4">
      <c r="A870">
        <v>6003001</v>
      </c>
      <c r="B870">
        <v>0</v>
      </c>
      <c r="C870">
        <v>6003001</v>
      </c>
      <c r="D870">
        <v>-1</v>
      </c>
      <c r="E870">
        <v>-1</v>
      </c>
      <c r="F870">
        <v>428</v>
      </c>
      <c r="G870">
        <v>-1</v>
      </c>
      <c r="H870">
        <v>-1</v>
      </c>
      <c r="I870">
        <v>-1</v>
      </c>
    </row>
    <row r="871" spans="1:9" x14ac:dyDescent="0.4">
      <c r="A871">
        <v>6003100</v>
      </c>
      <c r="B871">
        <v>0</v>
      </c>
      <c r="C871">
        <v>6003100</v>
      </c>
      <c r="D871">
        <v>-1</v>
      </c>
      <c r="E871">
        <v>-1</v>
      </c>
      <c r="F871">
        <v>428</v>
      </c>
      <c r="G871">
        <v>-1</v>
      </c>
      <c r="H871">
        <v>-1</v>
      </c>
      <c r="I871">
        <v>-1</v>
      </c>
    </row>
    <row r="872" spans="1:9" x14ac:dyDescent="0.4">
      <c r="A872">
        <v>6003101</v>
      </c>
      <c r="B872">
        <v>0</v>
      </c>
      <c r="C872">
        <v>6003101</v>
      </c>
      <c r="D872">
        <v>-1</v>
      </c>
      <c r="E872">
        <v>-1</v>
      </c>
      <c r="F872">
        <v>428</v>
      </c>
      <c r="G872">
        <v>-1</v>
      </c>
      <c r="H872">
        <v>-1</v>
      </c>
      <c r="I872">
        <v>-1</v>
      </c>
    </row>
    <row r="873" spans="1:9" x14ac:dyDescent="0.4">
      <c r="A873">
        <v>6003200</v>
      </c>
      <c r="B873">
        <v>0</v>
      </c>
      <c r="C873">
        <v>6003200</v>
      </c>
      <c r="D873">
        <v>-1</v>
      </c>
      <c r="E873">
        <v>-1</v>
      </c>
      <c r="F873">
        <v>428</v>
      </c>
      <c r="G873">
        <v>-1</v>
      </c>
      <c r="H873">
        <v>-1</v>
      </c>
      <c r="I873">
        <v>-1</v>
      </c>
    </row>
    <row r="874" spans="1:9" x14ac:dyDescent="0.4">
      <c r="A874">
        <v>6003201</v>
      </c>
      <c r="B874">
        <v>0</v>
      </c>
      <c r="C874">
        <v>6003201</v>
      </c>
      <c r="D874">
        <v>-1</v>
      </c>
      <c r="E874">
        <v>-1</v>
      </c>
      <c r="F874">
        <v>428</v>
      </c>
      <c r="G874">
        <v>-1</v>
      </c>
      <c r="H874">
        <v>-1</v>
      </c>
      <c r="I874">
        <v>-1</v>
      </c>
    </row>
    <row r="875" spans="1:9" x14ac:dyDescent="0.4">
      <c r="A875">
        <v>6003300</v>
      </c>
      <c r="B875">
        <v>0</v>
      </c>
      <c r="C875">
        <v>6003300</v>
      </c>
      <c r="D875">
        <v>-1</v>
      </c>
      <c r="E875">
        <v>-1</v>
      </c>
      <c r="F875">
        <v>428</v>
      </c>
      <c r="G875">
        <v>-1</v>
      </c>
      <c r="H875">
        <v>-1</v>
      </c>
      <c r="I875">
        <v>-1</v>
      </c>
    </row>
    <row r="876" spans="1:9" x14ac:dyDescent="0.4">
      <c r="A876">
        <v>6003301</v>
      </c>
      <c r="B876">
        <v>0</v>
      </c>
      <c r="C876">
        <v>6003301</v>
      </c>
      <c r="D876">
        <v>-1</v>
      </c>
      <c r="E876">
        <v>-1</v>
      </c>
      <c r="F876">
        <v>428</v>
      </c>
      <c r="G876">
        <v>-1</v>
      </c>
      <c r="H876">
        <v>-1</v>
      </c>
      <c r="I876">
        <v>-1</v>
      </c>
    </row>
    <row r="877" spans="1:9" x14ac:dyDescent="0.4">
      <c r="A877">
        <v>6003400</v>
      </c>
      <c r="B877">
        <v>0</v>
      </c>
      <c r="C877">
        <v>6003400</v>
      </c>
      <c r="D877">
        <v>-1</v>
      </c>
      <c r="E877">
        <v>-1</v>
      </c>
      <c r="F877">
        <v>428</v>
      </c>
      <c r="G877">
        <v>-1</v>
      </c>
      <c r="H877">
        <v>-1</v>
      </c>
      <c r="I877">
        <v>-1</v>
      </c>
    </row>
    <row r="878" spans="1:9" x14ac:dyDescent="0.4">
      <c r="A878">
        <v>6003401</v>
      </c>
      <c r="B878">
        <v>0</v>
      </c>
      <c r="C878">
        <v>6003401</v>
      </c>
      <c r="D878">
        <v>-1</v>
      </c>
      <c r="E878">
        <v>-1</v>
      </c>
      <c r="F878">
        <v>428</v>
      </c>
      <c r="G878">
        <v>-1</v>
      </c>
      <c r="H878">
        <v>-1</v>
      </c>
      <c r="I878">
        <v>-1</v>
      </c>
    </row>
    <row r="879" spans="1:9" x14ac:dyDescent="0.4">
      <c r="A879">
        <v>6003500</v>
      </c>
      <c r="B879">
        <v>0</v>
      </c>
      <c r="C879">
        <v>6003500</v>
      </c>
      <c r="D879">
        <v>-1</v>
      </c>
      <c r="E879">
        <v>-1</v>
      </c>
      <c r="F879">
        <v>428</v>
      </c>
      <c r="G879">
        <v>-1</v>
      </c>
      <c r="H879">
        <v>-1</v>
      </c>
      <c r="I879">
        <v>-1</v>
      </c>
    </row>
    <row r="880" spans="1:9" x14ac:dyDescent="0.4">
      <c r="A880">
        <v>6003501</v>
      </c>
      <c r="B880">
        <v>0</v>
      </c>
      <c r="C880">
        <v>6003501</v>
      </c>
      <c r="D880">
        <v>-1</v>
      </c>
      <c r="E880">
        <v>-1</v>
      </c>
      <c r="F880">
        <v>428</v>
      </c>
      <c r="G880">
        <v>-1</v>
      </c>
      <c r="H880">
        <v>-1</v>
      </c>
      <c r="I880">
        <v>-1</v>
      </c>
    </row>
    <row r="881" spans="1:9" x14ac:dyDescent="0.4">
      <c r="A881">
        <v>6003600</v>
      </c>
      <c r="B881">
        <v>0</v>
      </c>
      <c r="C881">
        <v>6003600</v>
      </c>
      <c r="D881">
        <v>-1</v>
      </c>
      <c r="E881">
        <v>-1</v>
      </c>
      <c r="F881">
        <v>428</v>
      </c>
      <c r="G881">
        <v>-1</v>
      </c>
      <c r="H881">
        <v>-1</v>
      </c>
      <c r="I881">
        <v>-1</v>
      </c>
    </row>
    <row r="882" spans="1:9" x14ac:dyDescent="0.4">
      <c r="A882">
        <v>6003601</v>
      </c>
      <c r="B882">
        <v>0</v>
      </c>
      <c r="C882">
        <v>6003601</v>
      </c>
      <c r="D882">
        <v>-1</v>
      </c>
      <c r="E882">
        <v>-1</v>
      </c>
      <c r="F882">
        <v>428</v>
      </c>
      <c r="G882">
        <v>-1</v>
      </c>
      <c r="H882">
        <v>-1</v>
      </c>
      <c r="I882">
        <v>-1</v>
      </c>
    </row>
    <row r="883" spans="1:9" x14ac:dyDescent="0.4">
      <c r="A883">
        <v>6005600</v>
      </c>
      <c r="B883">
        <v>0</v>
      </c>
      <c r="C883">
        <v>6005600</v>
      </c>
      <c r="D883">
        <v>-1</v>
      </c>
      <c r="E883">
        <v>-1</v>
      </c>
      <c r="F883">
        <v>428</v>
      </c>
      <c r="G883">
        <v>-1</v>
      </c>
      <c r="H883">
        <v>-1</v>
      </c>
      <c r="I883">
        <v>-1</v>
      </c>
    </row>
    <row r="884" spans="1:9" x14ac:dyDescent="0.4">
      <c r="A884">
        <v>6005601</v>
      </c>
      <c r="B884">
        <v>0</v>
      </c>
      <c r="C884">
        <v>6005601</v>
      </c>
      <c r="D884">
        <v>-1</v>
      </c>
      <c r="E884">
        <v>-1</v>
      </c>
      <c r="F884">
        <v>428</v>
      </c>
      <c r="G884">
        <v>-1</v>
      </c>
      <c r="H884">
        <v>-1</v>
      </c>
      <c r="I884">
        <v>-1</v>
      </c>
    </row>
    <row r="885" spans="1:9" x14ac:dyDescent="0.4">
      <c r="A885">
        <v>6030200</v>
      </c>
      <c r="B885">
        <v>0</v>
      </c>
      <c r="C885">
        <v>6030200</v>
      </c>
      <c r="D885">
        <v>-1</v>
      </c>
      <c r="E885">
        <v>-1</v>
      </c>
      <c r="F885">
        <v>428</v>
      </c>
      <c r="G885">
        <v>-1</v>
      </c>
      <c r="H885">
        <v>-1</v>
      </c>
      <c r="I885">
        <v>-1</v>
      </c>
    </row>
    <row r="886" spans="1:9" x14ac:dyDescent="0.4">
      <c r="A886">
        <v>6030600</v>
      </c>
      <c r="B886">
        <v>0</v>
      </c>
      <c r="C886">
        <v>6030600</v>
      </c>
      <c r="D886">
        <v>-1</v>
      </c>
      <c r="E886">
        <v>-1</v>
      </c>
      <c r="F886">
        <v>428</v>
      </c>
      <c r="G886">
        <v>-1</v>
      </c>
      <c r="H886">
        <v>-1</v>
      </c>
      <c r="I886">
        <v>-1</v>
      </c>
    </row>
    <row r="887" spans="1:9" x14ac:dyDescent="0.4">
      <c r="A887">
        <v>6030800</v>
      </c>
      <c r="B887">
        <v>0</v>
      </c>
      <c r="C887">
        <v>6030800</v>
      </c>
      <c r="D887">
        <v>-1</v>
      </c>
      <c r="E887">
        <v>-1</v>
      </c>
      <c r="F887">
        <v>428</v>
      </c>
      <c r="G887">
        <v>-1</v>
      </c>
      <c r="H887">
        <v>-1</v>
      </c>
      <c r="I887">
        <v>-1</v>
      </c>
    </row>
    <row r="888" spans="1:9" x14ac:dyDescent="0.4">
      <c r="A888">
        <v>6030900</v>
      </c>
      <c r="B888">
        <v>0</v>
      </c>
      <c r="C888">
        <v>6030900</v>
      </c>
      <c r="D888">
        <v>-1</v>
      </c>
      <c r="E888">
        <v>-1</v>
      </c>
      <c r="F888">
        <v>428</v>
      </c>
      <c r="G888">
        <v>-1</v>
      </c>
      <c r="H888">
        <v>-1</v>
      </c>
      <c r="I888">
        <v>-1</v>
      </c>
    </row>
    <row r="889" spans="1:9" x14ac:dyDescent="0.4">
      <c r="A889">
        <v>6030901</v>
      </c>
      <c r="B889">
        <v>0</v>
      </c>
      <c r="C889">
        <v>6030901</v>
      </c>
      <c r="D889">
        <v>-1</v>
      </c>
      <c r="E889">
        <v>-1</v>
      </c>
      <c r="F889">
        <v>428</v>
      </c>
      <c r="G889">
        <v>-1</v>
      </c>
      <c r="H889">
        <v>-1</v>
      </c>
      <c r="I889">
        <v>-1</v>
      </c>
    </row>
    <row r="890" spans="1:9" x14ac:dyDescent="0.4">
      <c r="A890">
        <v>6035100</v>
      </c>
      <c r="B890">
        <v>0</v>
      </c>
      <c r="C890">
        <v>6035100</v>
      </c>
      <c r="D890">
        <v>-1</v>
      </c>
      <c r="E890">
        <v>-1</v>
      </c>
      <c r="F890">
        <v>428</v>
      </c>
      <c r="G890">
        <v>-1</v>
      </c>
      <c r="H890">
        <v>-1</v>
      </c>
      <c r="I890">
        <v>-1</v>
      </c>
    </row>
    <row r="891" spans="1:9" x14ac:dyDescent="0.4">
      <c r="A891">
        <v>6040100</v>
      </c>
      <c r="B891">
        <v>0</v>
      </c>
      <c r="C891">
        <v>6040100</v>
      </c>
      <c r="D891">
        <v>-1</v>
      </c>
      <c r="E891">
        <v>-1</v>
      </c>
      <c r="F891">
        <v>428</v>
      </c>
      <c r="G891">
        <v>-1</v>
      </c>
      <c r="H891">
        <v>-1</v>
      </c>
      <c r="I891">
        <v>-1</v>
      </c>
    </row>
    <row r="892" spans="1:9" x14ac:dyDescent="0.4">
      <c r="A892">
        <v>6040101</v>
      </c>
      <c r="B892">
        <v>0</v>
      </c>
      <c r="C892">
        <v>6040101</v>
      </c>
      <c r="D892">
        <v>-1</v>
      </c>
      <c r="E892">
        <v>-1</v>
      </c>
      <c r="F892">
        <v>428</v>
      </c>
      <c r="G892">
        <v>-1</v>
      </c>
      <c r="H892">
        <v>-1</v>
      </c>
      <c r="I892">
        <v>-1</v>
      </c>
    </row>
    <row r="893" spans="1:9" x14ac:dyDescent="0.4">
      <c r="A893">
        <v>6040300</v>
      </c>
      <c r="B893">
        <v>0</v>
      </c>
      <c r="C893">
        <v>6040300</v>
      </c>
      <c r="D893">
        <v>-1</v>
      </c>
      <c r="E893">
        <v>-1</v>
      </c>
      <c r="F893">
        <v>428</v>
      </c>
      <c r="G893">
        <v>-1</v>
      </c>
      <c r="H893">
        <v>-1</v>
      </c>
      <c r="I893">
        <v>-1</v>
      </c>
    </row>
    <row r="894" spans="1:9" x14ac:dyDescent="0.4">
      <c r="A894">
        <v>6040400</v>
      </c>
      <c r="B894">
        <v>0</v>
      </c>
      <c r="C894">
        <v>6040400</v>
      </c>
      <c r="D894">
        <v>-1</v>
      </c>
      <c r="E894">
        <v>-1</v>
      </c>
      <c r="F894">
        <v>428</v>
      </c>
      <c r="G894">
        <v>-1</v>
      </c>
      <c r="H894">
        <v>-1</v>
      </c>
      <c r="I894">
        <v>-1</v>
      </c>
    </row>
    <row r="895" spans="1:9" x14ac:dyDescent="0.4">
      <c r="A895">
        <v>6040500</v>
      </c>
      <c r="B895">
        <v>0</v>
      </c>
      <c r="C895">
        <v>6040500</v>
      </c>
      <c r="D895">
        <v>-1</v>
      </c>
      <c r="E895">
        <v>-1</v>
      </c>
      <c r="F895">
        <v>428</v>
      </c>
      <c r="G895">
        <v>-1</v>
      </c>
      <c r="H895">
        <v>-1</v>
      </c>
      <c r="I895">
        <v>-1</v>
      </c>
    </row>
    <row r="896" spans="1:9" x14ac:dyDescent="0.4">
      <c r="A896">
        <v>6043100</v>
      </c>
      <c r="B896">
        <v>0</v>
      </c>
      <c r="C896">
        <v>6043100</v>
      </c>
      <c r="D896">
        <v>-1</v>
      </c>
      <c r="E896">
        <v>-1</v>
      </c>
      <c r="F896">
        <v>428</v>
      </c>
      <c r="G896">
        <v>-1</v>
      </c>
      <c r="H896">
        <v>-1</v>
      </c>
      <c r="I896">
        <v>-1</v>
      </c>
    </row>
    <row r="897" spans="1:9" x14ac:dyDescent="0.4">
      <c r="A897">
        <v>6060300</v>
      </c>
      <c r="B897">
        <v>0</v>
      </c>
      <c r="C897">
        <v>6060300</v>
      </c>
      <c r="D897">
        <v>-1</v>
      </c>
      <c r="E897">
        <v>-1</v>
      </c>
      <c r="F897">
        <v>428</v>
      </c>
      <c r="G897">
        <v>-1</v>
      </c>
      <c r="H897">
        <v>-1</v>
      </c>
      <c r="I897">
        <v>-1</v>
      </c>
    </row>
    <row r="898" spans="1:9" x14ac:dyDescent="0.4">
      <c r="A898">
        <v>6060400</v>
      </c>
      <c r="B898">
        <v>0</v>
      </c>
      <c r="C898">
        <v>6060400</v>
      </c>
      <c r="D898">
        <v>-1</v>
      </c>
      <c r="E898">
        <v>-1</v>
      </c>
      <c r="F898">
        <v>428</v>
      </c>
      <c r="G898">
        <v>-1</v>
      </c>
      <c r="H898">
        <v>-1</v>
      </c>
      <c r="I898">
        <v>-1</v>
      </c>
    </row>
    <row r="899" spans="1:9" x14ac:dyDescent="0.4">
      <c r="A899">
        <v>6060500</v>
      </c>
      <c r="B899">
        <v>0</v>
      </c>
      <c r="C899">
        <v>6060500</v>
      </c>
      <c r="D899">
        <v>-1</v>
      </c>
      <c r="E899">
        <v>-1</v>
      </c>
      <c r="F899">
        <v>428</v>
      </c>
      <c r="G899">
        <v>-1</v>
      </c>
      <c r="H899">
        <v>-1</v>
      </c>
      <c r="I899">
        <v>-1</v>
      </c>
    </row>
    <row r="900" spans="1:9" x14ac:dyDescent="0.4">
      <c r="A900">
        <v>6060600</v>
      </c>
      <c r="B900">
        <v>0</v>
      </c>
      <c r="C900">
        <v>6060600</v>
      </c>
      <c r="D900">
        <v>-1</v>
      </c>
      <c r="E900">
        <v>-1</v>
      </c>
      <c r="F900">
        <v>428</v>
      </c>
      <c r="G900">
        <v>-1</v>
      </c>
      <c r="H900">
        <v>-1</v>
      </c>
      <c r="I900">
        <v>-1</v>
      </c>
    </row>
    <row r="901" spans="1:9" x14ac:dyDescent="0.4">
      <c r="A901">
        <v>6090000</v>
      </c>
      <c r="B901">
        <v>0</v>
      </c>
      <c r="C901">
        <v>6090000</v>
      </c>
      <c r="D901">
        <v>-1</v>
      </c>
      <c r="E901">
        <v>-1</v>
      </c>
      <c r="F901">
        <v>428</v>
      </c>
      <c r="G901">
        <v>-1</v>
      </c>
      <c r="H901">
        <v>-1</v>
      </c>
      <c r="I901">
        <v>-1</v>
      </c>
    </row>
    <row r="902" spans="1:9" x14ac:dyDescent="0.4">
      <c r="A902">
        <v>6160000</v>
      </c>
      <c r="B902">
        <v>0</v>
      </c>
      <c r="C902">
        <v>6160000</v>
      </c>
      <c r="D902">
        <v>-1</v>
      </c>
      <c r="E902">
        <v>-1</v>
      </c>
      <c r="F902">
        <v>428</v>
      </c>
      <c r="G902">
        <v>-1</v>
      </c>
      <c r="H902">
        <v>-1</v>
      </c>
      <c r="I902">
        <v>-1</v>
      </c>
    </row>
    <row r="903" spans="1:9" x14ac:dyDescent="0.4">
      <c r="A903">
        <v>6260000</v>
      </c>
      <c r="B903">
        <v>0</v>
      </c>
      <c r="C903">
        <v>6260000</v>
      </c>
      <c r="D903">
        <v>-1</v>
      </c>
      <c r="E903">
        <v>-1</v>
      </c>
      <c r="F903">
        <v>428</v>
      </c>
      <c r="G903">
        <v>-1</v>
      </c>
      <c r="H903">
        <v>-1</v>
      </c>
      <c r="I903">
        <v>-1</v>
      </c>
    </row>
    <row r="904" spans="1:9" x14ac:dyDescent="0.4">
      <c r="A904">
        <v>6260001</v>
      </c>
      <c r="B904">
        <v>0</v>
      </c>
      <c r="C904">
        <v>6260001</v>
      </c>
      <c r="D904">
        <v>-1</v>
      </c>
      <c r="E904">
        <v>-1</v>
      </c>
      <c r="F904">
        <v>428</v>
      </c>
      <c r="G904">
        <v>-1</v>
      </c>
      <c r="H904">
        <v>-1</v>
      </c>
      <c r="I904">
        <v>-1</v>
      </c>
    </row>
    <row r="905" spans="1:9" x14ac:dyDescent="0.4">
      <c r="A905">
        <v>6260300</v>
      </c>
      <c r="B905">
        <v>0</v>
      </c>
      <c r="C905">
        <v>6260300</v>
      </c>
      <c r="D905">
        <v>-1</v>
      </c>
      <c r="E905">
        <v>-1</v>
      </c>
      <c r="F905">
        <v>428</v>
      </c>
      <c r="G905">
        <v>-1</v>
      </c>
      <c r="H905">
        <v>-1</v>
      </c>
      <c r="I905">
        <v>-1</v>
      </c>
    </row>
    <row r="906" spans="1:9" x14ac:dyDescent="0.4">
      <c r="A906">
        <v>6260301</v>
      </c>
      <c r="B906">
        <v>0</v>
      </c>
      <c r="C906">
        <v>6260301</v>
      </c>
      <c r="D906">
        <v>-1</v>
      </c>
      <c r="E906">
        <v>-1</v>
      </c>
      <c r="F906">
        <v>428</v>
      </c>
      <c r="G906">
        <v>-1</v>
      </c>
      <c r="H906">
        <v>-1</v>
      </c>
      <c r="I906">
        <v>-1</v>
      </c>
    </row>
    <row r="907" spans="1:9" x14ac:dyDescent="0.4">
      <c r="A907">
        <v>6260400</v>
      </c>
      <c r="B907">
        <v>0</v>
      </c>
      <c r="C907">
        <v>6260400</v>
      </c>
      <c r="D907">
        <v>-1</v>
      </c>
      <c r="E907">
        <v>-1</v>
      </c>
      <c r="F907">
        <v>428</v>
      </c>
      <c r="G907">
        <v>-1</v>
      </c>
      <c r="H907">
        <v>-1</v>
      </c>
      <c r="I907">
        <v>-1</v>
      </c>
    </row>
    <row r="908" spans="1:9" x14ac:dyDescent="0.4">
      <c r="A908">
        <v>6260401</v>
      </c>
      <c r="B908">
        <v>0</v>
      </c>
      <c r="C908">
        <v>6260401</v>
      </c>
      <c r="D908">
        <v>-1</v>
      </c>
      <c r="E908">
        <v>-1</v>
      </c>
      <c r="F908">
        <v>428</v>
      </c>
      <c r="G908">
        <v>-1</v>
      </c>
      <c r="H908">
        <v>-1</v>
      </c>
      <c r="I908">
        <v>-1</v>
      </c>
    </row>
    <row r="909" spans="1:9" x14ac:dyDescent="0.4">
      <c r="A909">
        <v>6500000</v>
      </c>
      <c r="B909">
        <v>0</v>
      </c>
      <c r="C909">
        <v>6500000</v>
      </c>
      <c r="D909">
        <v>-1</v>
      </c>
      <c r="E909">
        <v>-1</v>
      </c>
      <c r="F909">
        <v>428</v>
      </c>
      <c r="G909">
        <v>-1</v>
      </c>
      <c r="H909">
        <v>-1</v>
      </c>
      <c r="I909">
        <v>-1</v>
      </c>
    </row>
    <row r="910" spans="1:9" x14ac:dyDescent="0.4">
      <c r="A910">
        <v>6500100</v>
      </c>
      <c r="B910">
        <v>0</v>
      </c>
      <c r="C910">
        <v>6500100</v>
      </c>
      <c r="D910">
        <v>-1</v>
      </c>
      <c r="E910">
        <v>-1</v>
      </c>
      <c r="F910">
        <v>428</v>
      </c>
      <c r="G910">
        <v>-1</v>
      </c>
      <c r="H910">
        <v>-1</v>
      </c>
      <c r="I910">
        <v>-1</v>
      </c>
    </row>
    <row r="911" spans="1:9" x14ac:dyDescent="0.4">
      <c r="A911">
        <v>6500200</v>
      </c>
      <c r="B911">
        <v>0</v>
      </c>
      <c r="C911">
        <v>6500200</v>
      </c>
      <c r="D911">
        <v>-1</v>
      </c>
      <c r="E911">
        <v>-1</v>
      </c>
      <c r="F911">
        <v>428</v>
      </c>
      <c r="G911">
        <v>-1</v>
      </c>
      <c r="H911">
        <v>-1</v>
      </c>
      <c r="I911">
        <v>-1</v>
      </c>
    </row>
    <row r="912" spans="1:9" x14ac:dyDescent="0.4">
      <c r="A912">
        <v>6500300</v>
      </c>
      <c r="B912">
        <v>0</v>
      </c>
      <c r="C912">
        <v>6500300</v>
      </c>
      <c r="D912">
        <v>-1</v>
      </c>
      <c r="E912">
        <v>-1</v>
      </c>
      <c r="F912">
        <v>428</v>
      </c>
      <c r="G912">
        <v>-1</v>
      </c>
      <c r="H912">
        <v>-1</v>
      </c>
      <c r="I912">
        <v>-1</v>
      </c>
    </row>
    <row r="913" spans="1:9" x14ac:dyDescent="0.4">
      <c r="A913">
        <v>6500400</v>
      </c>
      <c r="B913">
        <v>0</v>
      </c>
      <c r="C913">
        <v>6500400</v>
      </c>
      <c r="D913">
        <v>-1</v>
      </c>
      <c r="E913">
        <v>-1</v>
      </c>
      <c r="F913">
        <v>428</v>
      </c>
      <c r="G913">
        <v>-1</v>
      </c>
      <c r="H913">
        <v>-1</v>
      </c>
      <c r="I913">
        <v>-1</v>
      </c>
    </row>
    <row r="914" spans="1:9" x14ac:dyDescent="0.4">
      <c r="A914">
        <v>6500500</v>
      </c>
      <c r="B914">
        <v>0</v>
      </c>
      <c r="C914">
        <v>6500500</v>
      </c>
      <c r="D914">
        <v>-1</v>
      </c>
      <c r="E914">
        <v>-1</v>
      </c>
      <c r="F914">
        <v>428</v>
      </c>
      <c r="G914">
        <v>-1</v>
      </c>
      <c r="H914">
        <v>-1</v>
      </c>
      <c r="I914">
        <v>-1</v>
      </c>
    </row>
    <row r="915" spans="1:9" x14ac:dyDescent="0.4">
      <c r="A915">
        <v>6500600</v>
      </c>
      <c r="B915">
        <v>0</v>
      </c>
      <c r="C915">
        <v>6500600</v>
      </c>
      <c r="D915">
        <v>-1</v>
      </c>
      <c r="E915">
        <v>-1</v>
      </c>
      <c r="F915">
        <v>428</v>
      </c>
      <c r="G915">
        <v>-1</v>
      </c>
      <c r="H915">
        <v>-1</v>
      </c>
      <c r="I915">
        <v>-1</v>
      </c>
    </row>
    <row r="916" spans="1:9" x14ac:dyDescent="0.4">
      <c r="A916">
        <v>6500700</v>
      </c>
      <c r="B916">
        <v>0</v>
      </c>
      <c r="C916">
        <v>6500700</v>
      </c>
      <c r="D916">
        <v>-1</v>
      </c>
      <c r="E916">
        <v>-1</v>
      </c>
      <c r="F916">
        <v>428</v>
      </c>
      <c r="G916">
        <v>-1</v>
      </c>
      <c r="H916">
        <v>-1</v>
      </c>
      <c r="I916">
        <v>-1</v>
      </c>
    </row>
    <row r="917" spans="1:9" x14ac:dyDescent="0.4">
      <c r="A917">
        <v>6500800</v>
      </c>
      <c r="B917">
        <v>0</v>
      </c>
      <c r="C917">
        <v>6500800</v>
      </c>
      <c r="D917">
        <v>-1</v>
      </c>
      <c r="E917">
        <v>-1</v>
      </c>
      <c r="F917">
        <v>428</v>
      </c>
      <c r="G917">
        <v>-1</v>
      </c>
      <c r="H917">
        <v>-1</v>
      </c>
      <c r="I917">
        <v>-1</v>
      </c>
    </row>
    <row r="918" spans="1:9" x14ac:dyDescent="0.4">
      <c r="A918">
        <v>6500900</v>
      </c>
      <c r="B918">
        <v>0</v>
      </c>
      <c r="C918">
        <v>6500900</v>
      </c>
      <c r="D918">
        <v>-1</v>
      </c>
      <c r="E918">
        <v>-1</v>
      </c>
      <c r="F918">
        <v>428</v>
      </c>
      <c r="G918">
        <v>-1</v>
      </c>
      <c r="H918">
        <v>-1</v>
      </c>
      <c r="I918">
        <v>-1</v>
      </c>
    </row>
    <row r="919" spans="1:9" x14ac:dyDescent="0.4">
      <c r="A919">
        <v>6600000</v>
      </c>
      <c r="B919">
        <v>0</v>
      </c>
      <c r="C919">
        <v>6600000</v>
      </c>
      <c r="D919">
        <v>-1</v>
      </c>
      <c r="E919">
        <v>-1</v>
      </c>
      <c r="F919">
        <v>428</v>
      </c>
      <c r="G919">
        <v>-1</v>
      </c>
      <c r="H919">
        <v>-1</v>
      </c>
      <c r="I919">
        <v>-1</v>
      </c>
    </row>
    <row r="920" spans="1:9" x14ac:dyDescent="0.4">
      <c r="A920">
        <v>6600001</v>
      </c>
      <c r="B920">
        <v>0</v>
      </c>
      <c r="C920">
        <v>6600001</v>
      </c>
      <c r="D920">
        <v>-1</v>
      </c>
      <c r="E920">
        <v>-1</v>
      </c>
      <c r="F920">
        <v>428</v>
      </c>
      <c r="G920">
        <v>-1</v>
      </c>
      <c r="H920">
        <v>-1</v>
      </c>
      <c r="I920">
        <v>-1</v>
      </c>
    </row>
    <row r="921" spans="1:9" x14ac:dyDescent="0.4">
      <c r="A921">
        <v>6600100</v>
      </c>
      <c r="B921">
        <v>0</v>
      </c>
      <c r="C921">
        <v>6600100</v>
      </c>
      <c r="D921">
        <v>-1</v>
      </c>
      <c r="E921">
        <v>-1</v>
      </c>
      <c r="F921">
        <v>428</v>
      </c>
      <c r="G921">
        <v>-1</v>
      </c>
      <c r="H921">
        <v>-1</v>
      </c>
      <c r="I921">
        <v>-1</v>
      </c>
    </row>
    <row r="922" spans="1:9" x14ac:dyDescent="0.4">
      <c r="A922">
        <v>6600101</v>
      </c>
      <c r="B922">
        <v>0</v>
      </c>
      <c r="C922">
        <v>6600101</v>
      </c>
      <c r="D922">
        <v>-1</v>
      </c>
      <c r="E922">
        <v>-1</v>
      </c>
      <c r="F922">
        <v>428</v>
      </c>
      <c r="G922">
        <v>-1</v>
      </c>
      <c r="H922">
        <v>-1</v>
      </c>
      <c r="I922">
        <v>-1</v>
      </c>
    </row>
    <row r="923" spans="1:9" x14ac:dyDescent="0.4">
      <c r="A923">
        <v>6610400</v>
      </c>
      <c r="B923">
        <v>0</v>
      </c>
      <c r="C923">
        <v>6610400</v>
      </c>
      <c r="D923">
        <v>-1</v>
      </c>
      <c r="E923">
        <v>-1</v>
      </c>
      <c r="F923">
        <v>428</v>
      </c>
      <c r="G923">
        <v>-1</v>
      </c>
      <c r="H923">
        <v>-1</v>
      </c>
      <c r="I923">
        <v>-1</v>
      </c>
    </row>
    <row r="924" spans="1:9" x14ac:dyDescent="0.4">
      <c r="A924">
        <v>6610500</v>
      </c>
      <c r="B924">
        <v>0</v>
      </c>
      <c r="C924">
        <v>6610500</v>
      </c>
      <c r="D924">
        <v>-1</v>
      </c>
      <c r="E924">
        <v>-1</v>
      </c>
      <c r="F924">
        <v>428</v>
      </c>
      <c r="G924">
        <v>-1</v>
      </c>
      <c r="H924">
        <v>-1</v>
      </c>
      <c r="I924">
        <v>-1</v>
      </c>
    </row>
    <row r="925" spans="1:9" x14ac:dyDescent="0.4">
      <c r="A925">
        <v>6610600</v>
      </c>
      <c r="B925">
        <v>0</v>
      </c>
      <c r="C925">
        <v>6610600</v>
      </c>
      <c r="D925">
        <v>-1</v>
      </c>
      <c r="E925">
        <v>-1</v>
      </c>
      <c r="F925">
        <v>428</v>
      </c>
      <c r="G925">
        <v>-1</v>
      </c>
      <c r="H925">
        <v>-1</v>
      </c>
      <c r="I925">
        <v>-1</v>
      </c>
    </row>
    <row r="926" spans="1:9" x14ac:dyDescent="0.4">
      <c r="A926">
        <v>6610700</v>
      </c>
      <c r="B926">
        <v>0</v>
      </c>
      <c r="C926">
        <v>6610700</v>
      </c>
      <c r="D926">
        <v>-1</v>
      </c>
      <c r="E926">
        <v>-1</v>
      </c>
      <c r="F926">
        <v>428</v>
      </c>
      <c r="G926">
        <v>-1</v>
      </c>
      <c r="H926">
        <v>-1</v>
      </c>
      <c r="I926">
        <v>-1</v>
      </c>
    </row>
    <row r="927" spans="1:9" x14ac:dyDescent="0.4">
      <c r="A927">
        <v>6610800</v>
      </c>
      <c r="B927">
        <v>0</v>
      </c>
      <c r="C927">
        <v>6610800</v>
      </c>
      <c r="D927">
        <v>-1</v>
      </c>
      <c r="E927">
        <v>-1</v>
      </c>
      <c r="F927">
        <v>428</v>
      </c>
      <c r="G927">
        <v>-1</v>
      </c>
      <c r="H927">
        <v>-1</v>
      </c>
      <c r="I927">
        <v>-1</v>
      </c>
    </row>
    <row r="928" spans="1:9" x14ac:dyDescent="0.4">
      <c r="A928">
        <v>6610801</v>
      </c>
      <c r="B928">
        <v>0</v>
      </c>
      <c r="C928">
        <v>6610801</v>
      </c>
      <c r="D928">
        <v>-1</v>
      </c>
      <c r="E928">
        <v>-1</v>
      </c>
      <c r="F928">
        <v>428</v>
      </c>
      <c r="G928">
        <v>-1</v>
      </c>
      <c r="H928">
        <v>-1</v>
      </c>
      <c r="I928">
        <v>-1</v>
      </c>
    </row>
    <row r="929" spans="1:9" x14ac:dyDescent="0.4">
      <c r="A929">
        <v>6610802</v>
      </c>
      <c r="B929">
        <v>0</v>
      </c>
      <c r="C929">
        <v>6610802</v>
      </c>
      <c r="D929">
        <v>-1</v>
      </c>
      <c r="E929">
        <v>-1</v>
      </c>
      <c r="F929">
        <v>428</v>
      </c>
      <c r="G929">
        <v>-1</v>
      </c>
      <c r="H929">
        <v>-1</v>
      </c>
      <c r="I929">
        <v>-1</v>
      </c>
    </row>
    <row r="930" spans="1:9" x14ac:dyDescent="0.4">
      <c r="A930">
        <v>6611001</v>
      </c>
      <c r="B930">
        <v>0</v>
      </c>
      <c r="C930">
        <v>6611001</v>
      </c>
      <c r="D930">
        <v>-1</v>
      </c>
      <c r="E930">
        <v>-1</v>
      </c>
      <c r="F930">
        <v>428</v>
      </c>
      <c r="G930">
        <v>-1</v>
      </c>
      <c r="H930">
        <v>-1</v>
      </c>
      <c r="I930">
        <v>-1</v>
      </c>
    </row>
    <row r="931" spans="1:9" x14ac:dyDescent="0.4">
      <c r="A931">
        <v>6611002</v>
      </c>
      <c r="B931">
        <v>0</v>
      </c>
      <c r="C931">
        <v>6611002</v>
      </c>
      <c r="D931">
        <v>-1</v>
      </c>
      <c r="E931">
        <v>-1</v>
      </c>
      <c r="F931">
        <v>428</v>
      </c>
      <c r="G931">
        <v>-1</v>
      </c>
      <c r="H931">
        <v>-1</v>
      </c>
      <c r="I931">
        <v>-1</v>
      </c>
    </row>
    <row r="932" spans="1:9" x14ac:dyDescent="0.4">
      <c r="A932">
        <v>6611100</v>
      </c>
      <c r="B932">
        <v>0</v>
      </c>
      <c r="C932">
        <v>6611100</v>
      </c>
      <c r="D932">
        <v>-1</v>
      </c>
      <c r="E932">
        <v>-1</v>
      </c>
      <c r="F932">
        <v>428</v>
      </c>
      <c r="G932">
        <v>-1</v>
      </c>
      <c r="H932">
        <v>-1</v>
      </c>
      <c r="I932">
        <v>-1</v>
      </c>
    </row>
    <row r="933" spans="1:9" x14ac:dyDescent="0.4">
      <c r="A933">
        <v>6611101</v>
      </c>
      <c r="B933">
        <v>0</v>
      </c>
      <c r="C933">
        <v>6611101</v>
      </c>
      <c r="D933">
        <v>-1</v>
      </c>
      <c r="E933">
        <v>-1</v>
      </c>
      <c r="F933">
        <v>428</v>
      </c>
      <c r="G933">
        <v>-1</v>
      </c>
      <c r="H933">
        <v>-1</v>
      </c>
      <c r="I933">
        <v>-1</v>
      </c>
    </row>
    <row r="934" spans="1:9" x14ac:dyDescent="0.4">
      <c r="A934">
        <v>6611102</v>
      </c>
      <c r="B934">
        <v>0</v>
      </c>
      <c r="C934">
        <v>6611102</v>
      </c>
      <c r="D934">
        <v>-1</v>
      </c>
      <c r="E934">
        <v>-1</v>
      </c>
      <c r="F934">
        <v>428</v>
      </c>
      <c r="G934">
        <v>-1</v>
      </c>
      <c r="H934">
        <v>-1</v>
      </c>
      <c r="I934">
        <v>-1</v>
      </c>
    </row>
    <row r="935" spans="1:9" x14ac:dyDescent="0.4">
      <c r="A935">
        <v>6611200</v>
      </c>
      <c r="B935">
        <v>0</v>
      </c>
      <c r="C935">
        <v>6611200</v>
      </c>
      <c r="D935">
        <v>-1</v>
      </c>
      <c r="E935">
        <v>-1</v>
      </c>
      <c r="F935">
        <v>428</v>
      </c>
      <c r="G935">
        <v>-1</v>
      </c>
      <c r="H935">
        <v>-1</v>
      </c>
      <c r="I935">
        <v>-1</v>
      </c>
    </row>
    <row r="936" spans="1:9" x14ac:dyDescent="0.4">
      <c r="A936">
        <v>6611201</v>
      </c>
      <c r="B936">
        <v>0</v>
      </c>
      <c r="C936">
        <v>6611201</v>
      </c>
      <c r="D936">
        <v>-1</v>
      </c>
      <c r="E936">
        <v>-1</v>
      </c>
      <c r="F936">
        <v>428</v>
      </c>
      <c r="G936">
        <v>-1</v>
      </c>
      <c r="H936">
        <v>-1</v>
      </c>
      <c r="I936">
        <v>-1</v>
      </c>
    </row>
    <row r="937" spans="1:9" x14ac:dyDescent="0.4">
      <c r="A937">
        <v>6611202</v>
      </c>
      <c r="B937">
        <v>0</v>
      </c>
      <c r="C937">
        <v>6611202</v>
      </c>
      <c r="D937">
        <v>-1</v>
      </c>
      <c r="E937">
        <v>-1</v>
      </c>
      <c r="F937">
        <v>428</v>
      </c>
      <c r="G937">
        <v>-1</v>
      </c>
      <c r="H937">
        <v>-1</v>
      </c>
      <c r="I937">
        <v>-1</v>
      </c>
    </row>
    <row r="938" spans="1:9" x14ac:dyDescent="0.4">
      <c r="A938">
        <v>6611300</v>
      </c>
      <c r="B938">
        <v>0</v>
      </c>
      <c r="C938">
        <v>6611300</v>
      </c>
      <c r="D938">
        <v>-1</v>
      </c>
      <c r="E938">
        <v>-1</v>
      </c>
      <c r="F938">
        <v>428</v>
      </c>
      <c r="G938">
        <v>-1</v>
      </c>
      <c r="H938">
        <v>-1</v>
      </c>
      <c r="I938">
        <v>-1</v>
      </c>
    </row>
    <row r="939" spans="1:9" x14ac:dyDescent="0.4">
      <c r="A939">
        <v>6611301</v>
      </c>
      <c r="B939">
        <v>0</v>
      </c>
      <c r="C939">
        <v>6611301</v>
      </c>
      <c r="D939">
        <v>-1</v>
      </c>
      <c r="E939">
        <v>-1</v>
      </c>
      <c r="F939">
        <v>428</v>
      </c>
      <c r="G939">
        <v>-1</v>
      </c>
      <c r="H939">
        <v>-1</v>
      </c>
      <c r="I939">
        <v>-1</v>
      </c>
    </row>
    <row r="940" spans="1:9" x14ac:dyDescent="0.4">
      <c r="A940">
        <v>6611302</v>
      </c>
      <c r="B940">
        <v>0</v>
      </c>
      <c r="C940">
        <v>6611302</v>
      </c>
      <c r="D940">
        <v>-1</v>
      </c>
      <c r="E940">
        <v>-1</v>
      </c>
      <c r="F940">
        <v>428</v>
      </c>
      <c r="G940">
        <v>-1</v>
      </c>
      <c r="H940">
        <v>-1</v>
      </c>
      <c r="I940">
        <v>-1</v>
      </c>
    </row>
    <row r="941" spans="1:9" x14ac:dyDescent="0.4">
      <c r="A941">
        <v>6611400</v>
      </c>
      <c r="B941">
        <v>0</v>
      </c>
      <c r="C941">
        <v>6611400</v>
      </c>
      <c r="D941">
        <v>-1</v>
      </c>
      <c r="E941">
        <v>-1</v>
      </c>
      <c r="F941">
        <v>428</v>
      </c>
      <c r="G941">
        <v>-1</v>
      </c>
      <c r="H941">
        <v>-1</v>
      </c>
      <c r="I941">
        <v>-1</v>
      </c>
    </row>
    <row r="942" spans="1:9" x14ac:dyDescent="0.4">
      <c r="A942">
        <v>6621000</v>
      </c>
      <c r="B942">
        <v>0</v>
      </c>
      <c r="C942">
        <v>6621000</v>
      </c>
      <c r="D942">
        <v>-1</v>
      </c>
      <c r="E942">
        <v>-1</v>
      </c>
      <c r="F942">
        <v>428</v>
      </c>
      <c r="G942">
        <v>-1</v>
      </c>
      <c r="H942">
        <v>-1</v>
      </c>
      <c r="I942">
        <v>-1</v>
      </c>
    </row>
    <row r="943" spans="1:9" x14ac:dyDescent="0.4">
      <c r="A943">
        <v>6621100</v>
      </c>
      <c r="B943">
        <v>0</v>
      </c>
      <c r="C943">
        <v>6621100</v>
      </c>
      <c r="D943">
        <v>-1</v>
      </c>
      <c r="E943">
        <v>-1</v>
      </c>
      <c r="F943">
        <v>428</v>
      </c>
      <c r="G943">
        <v>-1</v>
      </c>
      <c r="H943">
        <v>-1</v>
      </c>
      <c r="I943">
        <v>-1</v>
      </c>
    </row>
    <row r="944" spans="1:9" x14ac:dyDescent="0.4">
      <c r="A944">
        <v>6621200</v>
      </c>
      <c r="B944">
        <v>0</v>
      </c>
      <c r="C944">
        <v>6621200</v>
      </c>
      <c r="D944">
        <v>-1</v>
      </c>
      <c r="E944">
        <v>-1</v>
      </c>
      <c r="F944">
        <v>428</v>
      </c>
      <c r="G944">
        <v>-1</v>
      </c>
      <c r="H944">
        <v>-1</v>
      </c>
      <c r="I944">
        <v>-1</v>
      </c>
    </row>
    <row r="945" spans="1:9" x14ac:dyDescent="0.4">
      <c r="A945">
        <v>6621300</v>
      </c>
      <c r="B945">
        <v>0</v>
      </c>
      <c r="C945">
        <v>6621300</v>
      </c>
      <c r="D945">
        <v>-1</v>
      </c>
      <c r="E945">
        <v>-1</v>
      </c>
      <c r="F945">
        <v>428</v>
      </c>
      <c r="G945">
        <v>-1</v>
      </c>
      <c r="H945">
        <v>-1</v>
      </c>
      <c r="I945">
        <v>-1</v>
      </c>
    </row>
    <row r="946" spans="1:9" x14ac:dyDescent="0.4">
      <c r="A946">
        <v>6621400</v>
      </c>
      <c r="B946">
        <v>0</v>
      </c>
      <c r="C946">
        <v>6621400</v>
      </c>
      <c r="D946">
        <v>-1</v>
      </c>
      <c r="E946">
        <v>-1</v>
      </c>
      <c r="F946">
        <v>428</v>
      </c>
      <c r="G946">
        <v>-1</v>
      </c>
      <c r="H946">
        <v>-1</v>
      </c>
      <c r="I946">
        <v>-1</v>
      </c>
    </row>
    <row r="947" spans="1:9" x14ac:dyDescent="0.4">
      <c r="A947">
        <v>6621500</v>
      </c>
      <c r="B947">
        <v>0</v>
      </c>
      <c r="C947">
        <v>6621500</v>
      </c>
      <c r="D947">
        <v>-1</v>
      </c>
      <c r="E947">
        <v>-1</v>
      </c>
      <c r="F947">
        <v>428</v>
      </c>
      <c r="G947">
        <v>-1</v>
      </c>
      <c r="H947">
        <v>-1</v>
      </c>
      <c r="I947">
        <v>-1</v>
      </c>
    </row>
    <row r="948" spans="1:9" x14ac:dyDescent="0.4">
      <c r="A948">
        <v>6621600</v>
      </c>
      <c r="B948">
        <v>0</v>
      </c>
      <c r="C948">
        <v>6621600</v>
      </c>
      <c r="D948">
        <v>-1</v>
      </c>
      <c r="E948">
        <v>-1</v>
      </c>
      <c r="F948">
        <v>428</v>
      </c>
      <c r="G948">
        <v>-1</v>
      </c>
      <c r="H948">
        <v>-1</v>
      </c>
      <c r="I948">
        <v>-1</v>
      </c>
    </row>
    <row r="949" spans="1:9" x14ac:dyDescent="0.4">
      <c r="A949">
        <v>6621700</v>
      </c>
      <c r="B949">
        <v>0</v>
      </c>
      <c r="C949">
        <v>6621700</v>
      </c>
      <c r="D949">
        <v>-1</v>
      </c>
      <c r="E949">
        <v>-1</v>
      </c>
      <c r="F949">
        <v>428</v>
      </c>
      <c r="G949">
        <v>-1</v>
      </c>
      <c r="H949">
        <v>-1</v>
      </c>
      <c r="I949">
        <v>-1</v>
      </c>
    </row>
    <row r="950" spans="1:9" x14ac:dyDescent="0.4">
      <c r="A950">
        <v>6621800</v>
      </c>
      <c r="B950">
        <v>0</v>
      </c>
      <c r="C950">
        <v>6621800</v>
      </c>
      <c r="D950">
        <v>-1</v>
      </c>
      <c r="E950">
        <v>-1</v>
      </c>
      <c r="F950">
        <v>428</v>
      </c>
      <c r="G950">
        <v>-1</v>
      </c>
      <c r="H950">
        <v>-1</v>
      </c>
      <c r="I950">
        <v>-1</v>
      </c>
    </row>
    <row r="951" spans="1:9" x14ac:dyDescent="0.4">
      <c r="A951">
        <v>6621900</v>
      </c>
      <c r="B951">
        <v>0</v>
      </c>
      <c r="C951">
        <v>6621900</v>
      </c>
      <c r="D951">
        <v>-1</v>
      </c>
      <c r="E951">
        <v>-1</v>
      </c>
      <c r="F951">
        <v>428</v>
      </c>
      <c r="G951">
        <v>-1</v>
      </c>
      <c r="H951">
        <v>-1</v>
      </c>
      <c r="I951">
        <v>-1</v>
      </c>
    </row>
    <row r="952" spans="1:9" x14ac:dyDescent="0.4">
      <c r="A952">
        <v>6622000</v>
      </c>
      <c r="B952">
        <v>0</v>
      </c>
      <c r="C952">
        <v>6622000</v>
      </c>
      <c r="D952">
        <v>-1</v>
      </c>
      <c r="E952">
        <v>-1</v>
      </c>
      <c r="F952">
        <v>428</v>
      </c>
      <c r="G952">
        <v>-1</v>
      </c>
      <c r="H952">
        <v>-1</v>
      </c>
      <c r="I952">
        <v>-1</v>
      </c>
    </row>
    <row r="953" spans="1:9" x14ac:dyDescent="0.4">
      <c r="A953">
        <v>6622100</v>
      </c>
      <c r="B953">
        <v>0</v>
      </c>
      <c r="C953">
        <v>6622100</v>
      </c>
      <c r="D953">
        <v>-1</v>
      </c>
      <c r="E953">
        <v>-1</v>
      </c>
      <c r="F953">
        <v>428</v>
      </c>
      <c r="G953">
        <v>-1</v>
      </c>
      <c r="H953">
        <v>-1</v>
      </c>
      <c r="I953">
        <v>-1</v>
      </c>
    </row>
    <row r="954" spans="1:9" x14ac:dyDescent="0.4">
      <c r="A954">
        <v>6622200</v>
      </c>
      <c r="B954">
        <v>0</v>
      </c>
      <c r="C954">
        <v>6622200</v>
      </c>
      <c r="D954">
        <v>-1</v>
      </c>
      <c r="E954">
        <v>-1</v>
      </c>
      <c r="F954">
        <v>428</v>
      </c>
      <c r="G954">
        <v>-1</v>
      </c>
      <c r="H954">
        <v>-1</v>
      </c>
      <c r="I954">
        <v>-1</v>
      </c>
    </row>
    <row r="955" spans="1:9" x14ac:dyDescent="0.4">
      <c r="A955">
        <v>6622300</v>
      </c>
      <c r="B955">
        <v>0</v>
      </c>
      <c r="C955">
        <v>6622300</v>
      </c>
      <c r="D955">
        <v>-1</v>
      </c>
      <c r="E955">
        <v>-1</v>
      </c>
      <c r="F955">
        <v>428</v>
      </c>
      <c r="G955">
        <v>-1</v>
      </c>
      <c r="H955">
        <v>-1</v>
      </c>
      <c r="I955">
        <v>-1</v>
      </c>
    </row>
    <row r="956" spans="1:9" x14ac:dyDescent="0.4">
      <c r="A956">
        <v>6622400</v>
      </c>
      <c r="B956">
        <v>0</v>
      </c>
      <c r="C956">
        <v>6622400</v>
      </c>
      <c r="D956">
        <v>-1</v>
      </c>
      <c r="E956">
        <v>-1</v>
      </c>
      <c r="F956">
        <v>428</v>
      </c>
      <c r="G956">
        <v>-1</v>
      </c>
      <c r="H956">
        <v>-1</v>
      </c>
      <c r="I956">
        <v>-1</v>
      </c>
    </row>
    <row r="957" spans="1:9" x14ac:dyDescent="0.4">
      <c r="A957">
        <v>6622500</v>
      </c>
      <c r="B957">
        <v>0</v>
      </c>
      <c r="C957">
        <v>6622500</v>
      </c>
      <c r="D957">
        <v>-1</v>
      </c>
      <c r="E957">
        <v>-1</v>
      </c>
      <c r="F957">
        <v>428</v>
      </c>
      <c r="G957">
        <v>-1</v>
      </c>
      <c r="H957">
        <v>-1</v>
      </c>
      <c r="I957">
        <v>-1</v>
      </c>
    </row>
    <row r="958" spans="1:9" x14ac:dyDescent="0.4">
      <c r="A958">
        <v>6622600</v>
      </c>
      <c r="B958">
        <v>0</v>
      </c>
      <c r="C958">
        <v>6622600</v>
      </c>
      <c r="D958">
        <v>-1</v>
      </c>
      <c r="E958">
        <v>-1</v>
      </c>
      <c r="F958">
        <v>428</v>
      </c>
      <c r="G958">
        <v>-1</v>
      </c>
      <c r="H958">
        <v>-1</v>
      </c>
      <c r="I958">
        <v>-1</v>
      </c>
    </row>
    <row r="959" spans="1:9" x14ac:dyDescent="0.4">
      <c r="A959">
        <v>6622700</v>
      </c>
      <c r="B959">
        <v>0</v>
      </c>
      <c r="C959">
        <v>6622700</v>
      </c>
      <c r="D959">
        <v>-1</v>
      </c>
      <c r="E959">
        <v>-1</v>
      </c>
      <c r="F959">
        <v>428</v>
      </c>
      <c r="G959">
        <v>-1</v>
      </c>
      <c r="H959">
        <v>-1</v>
      </c>
      <c r="I959">
        <v>-1</v>
      </c>
    </row>
    <row r="960" spans="1:9" x14ac:dyDescent="0.4">
      <c r="A960">
        <v>6622800</v>
      </c>
      <c r="B960">
        <v>0</v>
      </c>
      <c r="C960">
        <v>6622800</v>
      </c>
      <c r="D960">
        <v>-1</v>
      </c>
      <c r="E960">
        <v>-1</v>
      </c>
      <c r="F960">
        <v>428</v>
      </c>
      <c r="G960">
        <v>-1</v>
      </c>
      <c r="H960">
        <v>-1</v>
      </c>
      <c r="I960">
        <v>-1</v>
      </c>
    </row>
    <row r="961" spans="1:9" x14ac:dyDescent="0.4">
      <c r="A961">
        <v>6622900</v>
      </c>
      <c r="B961">
        <v>0</v>
      </c>
      <c r="C961">
        <v>6622900</v>
      </c>
      <c r="D961">
        <v>-1</v>
      </c>
      <c r="E961">
        <v>-1</v>
      </c>
      <c r="F961">
        <v>428</v>
      </c>
      <c r="G961">
        <v>-1</v>
      </c>
      <c r="H961">
        <v>-1</v>
      </c>
      <c r="I961">
        <v>-1</v>
      </c>
    </row>
    <row r="962" spans="1:9" x14ac:dyDescent="0.4">
      <c r="A962">
        <v>6623000</v>
      </c>
      <c r="B962">
        <v>0</v>
      </c>
      <c r="C962">
        <v>6623000</v>
      </c>
      <c r="D962">
        <v>-1</v>
      </c>
      <c r="E962">
        <v>-1</v>
      </c>
      <c r="F962">
        <v>428</v>
      </c>
      <c r="G962">
        <v>-1</v>
      </c>
      <c r="H962">
        <v>-1</v>
      </c>
      <c r="I962">
        <v>-1</v>
      </c>
    </row>
    <row r="963" spans="1:9" x14ac:dyDescent="0.4">
      <c r="A963">
        <v>6623100</v>
      </c>
      <c r="B963">
        <v>0</v>
      </c>
      <c r="C963">
        <v>6623100</v>
      </c>
      <c r="D963">
        <v>-1</v>
      </c>
      <c r="E963">
        <v>-1</v>
      </c>
      <c r="F963">
        <v>428</v>
      </c>
      <c r="G963">
        <v>-1</v>
      </c>
      <c r="H963">
        <v>-1</v>
      </c>
      <c r="I963">
        <v>-1</v>
      </c>
    </row>
    <row r="964" spans="1:9" x14ac:dyDescent="0.4">
      <c r="A964">
        <v>6623200</v>
      </c>
      <c r="B964">
        <v>0</v>
      </c>
      <c r="C964">
        <v>6623200</v>
      </c>
      <c r="D964">
        <v>-1</v>
      </c>
      <c r="E964">
        <v>-1</v>
      </c>
      <c r="F964">
        <v>428</v>
      </c>
      <c r="G964">
        <v>-1</v>
      </c>
      <c r="H964">
        <v>-1</v>
      </c>
      <c r="I964">
        <v>-1</v>
      </c>
    </row>
    <row r="965" spans="1:9" x14ac:dyDescent="0.4">
      <c r="A965">
        <v>6624000</v>
      </c>
      <c r="B965">
        <v>0</v>
      </c>
      <c r="C965">
        <v>6624000</v>
      </c>
      <c r="D965">
        <v>-1</v>
      </c>
      <c r="E965">
        <v>-1</v>
      </c>
      <c r="F965">
        <v>428</v>
      </c>
      <c r="G965">
        <v>-1</v>
      </c>
      <c r="H965">
        <v>-1</v>
      </c>
      <c r="I965">
        <v>-1</v>
      </c>
    </row>
    <row r="966" spans="1:9" x14ac:dyDescent="0.4">
      <c r="A966">
        <v>6624100</v>
      </c>
      <c r="B966">
        <v>0</v>
      </c>
      <c r="C966">
        <v>6624100</v>
      </c>
      <c r="D966">
        <v>-1</v>
      </c>
      <c r="E966">
        <v>-1</v>
      </c>
      <c r="F966">
        <v>428</v>
      </c>
      <c r="G966">
        <v>-1</v>
      </c>
      <c r="H966">
        <v>-1</v>
      </c>
      <c r="I966">
        <v>-1</v>
      </c>
    </row>
    <row r="967" spans="1:9" x14ac:dyDescent="0.4">
      <c r="A967">
        <v>6624200</v>
      </c>
      <c r="B967">
        <v>0</v>
      </c>
      <c r="C967">
        <v>6624200</v>
      </c>
      <c r="D967">
        <v>-1</v>
      </c>
      <c r="E967">
        <v>-1</v>
      </c>
      <c r="F967">
        <v>428</v>
      </c>
      <c r="G967">
        <v>-1</v>
      </c>
      <c r="H967">
        <v>-1</v>
      </c>
      <c r="I967">
        <v>-1</v>
      </c>
    </row>
    <row r="968" spans="1:9" x14ac:dyDescent="0.4">
      <c r="A968">
        <v>6624300</v>
      </c>
      <c r="B968">
        <v>0</v>
      </c>
      <c r="C968">
        <v>6624300</v>
      </c>
      <c r="D968">
        <v>-1</v>
      </c>
      <c r="E968">
        <v>-1</v>
      </c>
      <c r="F968">
        <v>428</v>
      </c>
      <c r="G968">
        <v>-1</v>
      </c>
      <c r="H968">
        <v>-1</v>
      </c>
      <c r="I968">
        <v>-1</v>
      </c>
    </row>
    <row r="969" spans="1:9" x14ac:dyDescent="0.4">
      <c r="A969">
        <v>6624400</v>
      </c>
      <c r="B969">
        <v>0</v>
      </c>
      <c r="C969">
        <v>6624400</v>
      </c>
      <c r="D969">
        <v>-1</v>
      </c>
      <c r="E969">
        <v>-1</v>
      </c>
      <c r="F969">
        <v>428</v>
      </c>
      <c r="G969">
        <v>-1</v>
      </c>
      <c r="H969">
        <v>-1</v>
      </c>
      <c r="I969">
        <v>-1</v>
      </c>
    </row>
    <row r="970" spans="1:9" x14ac:dyDescent="0.4">
      <c r="A970">
        <v>6624500</v>
      </c>
      <c r="B970">
        <v>0</v>
      </c>
      <c r="C970">
        <v>6624500</v>
      </c>
      <c r="D970">
        <v>-1</v>
      </c>
      <c r="E970">
        <v>-1</v>
      </c>
      <c r="F970">
        <v>428</v>
      </c>
      <c r="G970">
        <v>-1</v>
      </c>
      <c r="H970">
        <v>-1</v>
      </c>
      <c r="I970">
        <v>-1</v>
      </c>
    </row>
    <row r="971" spans="1:9" x14ac:dyDescent="0.4">
      <c r="A971">
        <v>6630000</v>
      </c>
      <c r="B971">
        <v>0</v>
      </c>
      <c r="C971">
        <v>6630000</v>
      </c>
      <c r="D971">
        <v>-1</v>
      </c>
      <c r="E971">
        <v>-1</v>
      </c>
      <c r="F971">
        <v>428</v>
      </c>
      <c r="G971">
        <v>-1</v>
      </c>
      <c r="H971">
        <v>-1</v>
      </c>
      <c r="I971">
        <v>-1</v>
      </c>
    </row>
    <row r="972" spans="1:9" x14ac:dyDescent="0.4">
      <c r="A972">
        <v>6630100</v>
      </c>
      <c r="B972">
        <v>0</v>
      </c>
      <c r="C972">
        <v>6630100</v>
      </c>
      <c r="D972">
        <v>-1</v>
      </c>
      <c r="E972">
        <v>-1</v>
      </c>
      <c r="F972">
        <v>428</v>
      </c>
      <c r="G972">
        <v>-1</v>
      </c>
      <c r="H972">
        <v>-1</v>
      </c>
      <c r="I972">
        <v>-1</v>
      </c>
    </row>
    <row r="973" spans="1:9" x14ac:dyDescent="0.4">
      <c r="A973">
        <v>6630200</v>
      </c>
      <c r="B973">
        <v>0</v>
      </c>
      <c r="C973">
        <v>6630200</v>
      </c>
      <c r="D973">
        <v>-1</v>
      </c>
      <c r="E973">
        <v>-1</v>
      </c>
      <c r="F973">
        <v>428</v>
      </c>
      <c r="G973">
        <v>-1</v>
      </c>
      <c r="H973">
        <v>-1</v>
      </c>
      <c r="I973">
        <v>-1</v>
      </c>
    </row>
    <row r="974" spans="1:9" x14ac:dyDescent="0.4">
      <c r="A974">
        <v>6630300</v>
      </c>
      <c r="B974">
        <v>0</v>
      </c>
      <c r="C974">
        <v>6630300</v>
      </c>
      <c r="D974">
        <v>-1</v>
      </c>
      <c r="E974">
        <v>-1</v>
      </c>
      <c r="F974">
        <v>428</v>
      </c>
      <c r="G974">
        <v>-1</v>
      </c>
      <c r="H974">
        <v>-1</v>
      </c>
      <c r="I974">
        <v>-1</v>
      </c>
    </row>
    <row r="975" spans="1:9" x14ac:dyDescent="0.4">
      <c r="A975">
        <v>6630400</v>
      </c>
      <c r="B975">
        <v>0</v>
      </c>
      <c r="C975">
        <v>6630400</v>
      </c>
      <c r="D975">
        <v>-1</v>
      </c>
      <c r="E975">
        <v>-1</v>
      </c>
      <c r="F975">
        <v>428</v>
      </c>
      <c r="G975">
        <v>-1</v>
      </c>
      <c r="H975">
        <v>-1</v>
      </c>
      <c r="I975">
        <v>-1</v>
      </c>
    </row>
    <row r="976" spans="1:9" x14ac:dyDescent="0.4">
      <c r="A976">
        <v>6630500</v>
      </c>
      <c r="B976">
        <v>0</v>
      </c>
      <c r="C976">
        <v>6630500</v>
      </c>
      <c r="D976">
        <v>-1</v>
      </c>
      <c r="E976">
        <v>-1</v>
      </c>
      <c r="F976">
        <v>428</v>
      </c>
      <c r="G976">
        <v>-1</v>
      </c>
      <c r="H976">
        <v>-1</v>
      </c>
      <c r="I976">
        <v>-1</v>
      </c>
    </row>
    <row r="977" spans="1:9" x14ac:dyDescent="0.4">
      <c r="A977">
        <v>6630600</v>
      </c>
      <c r="B977">
        <v>0</v>
      </c>
      <c r="C977">
        <v>6630600</v>
      </c>
      <c r="D977">
        <v>-1</v>
      </c>
      <c r="E977">
        <v>-1</v>
      </c>
      <c r="F977">
        <v>428</v>
      </c>
      <c r="G977">
        <v>-1</v>
      </c>
      <c r="H977">
        <v>-1</v>
      </c>
      <c r="I977">
        <v>-1</v>
      </c>
    </row>
    <row r="978" spans="1:9" x14ac:dyDescent="0.4">
      <c r="A978">
        <v>6630700</v>
      </c>
      <c r="B978">
        <v>0</v>
      </c>
      <c r="C978">
        <v>6630700</v>
      </c>
      <c r="D978">
        <v>-1</v>
      </c>
      <c r="E978">
        <v>-1</v>
      </c>
      <c r="F978">
        <v>428</v>
      </c>
      <c r="G978">
        <v>-1</v>
      </c>
      <c r="H978">
        <v>-1</v>
      </c>
      <c r="I978">
        <v>-1</v>
      </c>
    </row>
    <row r="979" spans="1:9" x14ac:dyDescent="0.4">
      <c r="A979">
        <v>6630800</v>
      </c>
      <c r="B979">
        <v>0</v>
      </c>
      <c r="C979">
        <v>6630800</v>
      </c>
      <c r="D979">
        <v>-1</v>
      </c>
      <c r="E979">
        <v>-1</v>
      </c>
      <c r="F979">
        <v>428</v>
      </c>
      <c r="G979">
        <v>-1</v>
      </c>
      <c r="H979">
        <v>-1</v>
      </c>
      <c r="I979">
        <v>-1</v>
      </c>
    </row>
    <row r="980" spans="1:9" x14ac:dyDescent="0.4">
      <c r="A980">
        <v>6630900</v>
      </c>
      <c r="B980">
        <v>0</v>
      </c>
      <c r="C980">
        <v>6630900</v>
      </c>
      <c r="D980">
        <v>-1</v>
      </c>
      <c r="E980">
        <v>-1</v>
      </c>
      <c r="F980">
        <v>428</v>
      </c>
      <c r="G980">
        <v>-1</v>
      </c>
      <c r="H980">
        <v>-1</v>
      </c>
      <c r="I980">
        <v>-1</v>
      </c>
    </row>
    <row r="981" spans="1:9" x14ac:dyDescent="0.4">
      <c r="A981">
        <v>6631000</v>
      </c>
      <c r="B981">
        <v>0</v>
      </c>
      <c r="C981">
        <v>6631000</v>
      </c>
      <c r="D981">
        <v>-1</v>
      </c>
      <c r="E981">
        <v>-1</v>
      </c>
      <c r="F981">
        <v>428</v>
      </c>
      <c r="G981">
        <v>-1</v>
      </c>
      <c r="H981">
        <v>-1</v>
      </c>
      <c r="I981">
        <v>-1</v>
      </c>
    </row>
    <row r="982" spans="1:9" x14ac:dyDescent="0.4">
      <c r="A982">
        <v>6631100</v>
      </c>
      <c r="B982">
        <v>0</v>
      </c>
      <c r="C982">
        <v>6631100</v>
      </c>
      <c r="D982">
        <v>-1</v>
      </c>
      <c r="E982">
        <v>-1</v>
      </c>
      <c r="F982">
        <v>428</v>
      </c>
      <c r="G982">
        <v>-1</v>
      </c>
      <c r="H982">
        <v>-1</v>
      </c>
      <c r="I982">
        <v>-1</v>
      </c>
    </row>
    <row r="983" spans="1:9" x14ac:dyDescent="0.4">
      <c r="A983">
        <v>6631200</v>
      </c>
      <c r="B983">
        <v>0</v>
      </c>
      <c r="C983">
        <v>6631200</v>
      </c>
      <c r="D983">
        <v>-1</v>
      </c>
      <c r="E983">
        <v>-1</v>
      </c>
      <c r="F983">
        <v>428</v>
      </c>
      <c r="G983">
        <v>-1</v>
      </c>
      <c r="H983">
        <v>-1</v>
      </c>
      <c r="I983">
        <v>-1</v>
      </c>
    </row>
    <row r="984" spans="1:9" x14ac:dyDescent="0.4">
      <c r="A984">
        <v>6631300</v>
      </c>
      <c r="B984">
        <v>0</v>
      </c>
      <c r="C984">
        <v>6631300</v>
      </c>
      <c r="D984">
        <v>-1</v>
      </c>
      <c r="E984">
        <v>-1</v>
      </c>
      <c r="F984">
        <v>428</v>
      </c>
      <c r="G984">
        <v>-1</v>
      </c>
      <c r="H984">
        <v>-1</v>
      </c>
      <c r="I984">
        <v>-1</v>
      </c>
    </row>
    <row r="985" spans="1:9" x14ac:dyDescent="0.4">
      <c r="A985">
        <v>6631400</v>
      </c>
      <c r="B985">
        <v>0</v>
      </c>
      <c r="C985">
        <v>6631400</v>
      </c>
      <c r="D985">
        <v>-1</v>
      </c>
      <c r="E985">
        <v>-1</v>
      </c>
      <c r="F985">
        <v>428</v>
      </c>
      <c r="G985">
        <v>-1</v>
      </c>
      <c r="H985">
        <v>-1</v>
      </c>
      <c r="I985">
        <v>-1</v>
      </c>
    </row>
    <row r="986" spans="1:9" x14ac:dyDescent="0.4">
      <c r="A986">
        <v>6631500</v>
      </c>
      <c r="B986">
        <v>0</v>
      </c>
      <c r="C986">
        <v>6631500</v>
      </c>
      <c r="D986">
        <v>-1</v>
      </c>
      <c r="E986">
        <v>-1</v>
      </c>
      <c r="F986">
        <v>428</v>
      </c>
      <c r="G986">
        <v>-1</v>
      </c>
      <c r="H986">
        <v>-1</v>
      </c>
      <c r="I986">
        <v>-1</v>
      </c>
    </row>
    <row r="987" spans="1:9" x14ac:dyDescent="0.4">
      <c r="A987">
        <v>6631600</v>
      </c>
      <c r="B987">
        <v>0</v>
      </c>
      <c r="C987">
        <v>6631600</v>
      </c>
      <c r="D987">
        <v>-1</v>
      </c>
      <c r="E987">
        <v>-1</v>
      </c>
      <c r="F987">
        <v>428</v>
      </c>
      <c r="G987">
        <v>-1</v>
      </c>
      <c r="H987">
        <v>-1</v>
      </c>
      <c r="I987">
        <v>-1</v>
      </c>
    </row>
    <row r="988" spans="1:9" x14ac:dyDescent="0.4">
      <c r="A988">
        <v>6631700</v>
      </c>
      <c r="B988">
        <v>0</v>
      </c>
      <c r="C988">
        <v>6631700</v>
      </c>
      <c r="D988">
        <v>-1</v>
      </c>
      <c r="E988">
        <v>-1</v>
      </c>
      <c r="F988">
        <v>428</v>
      </c>
      <c r="G988">
        <v>-1</v>
      </c>
      <c r="H988">
        <v>-1</v>
      </c>
      <c r="I988">
        <v>-1</v>
      </c>
    </row>
    <row r="989" spans="1:9" x14ac:dyDescent="0.4">
      <c r="A989">
        <v>6631800</v>
      </c>
      <c r="B989">
        <v>0</v>
      </c>
      <c r="C989">
        <v>6631800</v>
      </c>
      <c r="D989">
        <v>-1</v>
      </c>
      <c r="E989">
        <v>-1</v>
      </c>
      <c r="F989">
        <v>428</v>
      </c>
      <c r="G989">
        <v>-1</v>
      </c>
      <c r="H989">
        <v>-1</v>
      </c>
      <c r="I989">
        <v>-1</v>
      </c>
    </row>
    <row r="990" spans="1:9" x14ac:dyDescent="0.4">
      <c r="A990">
        <v>6631900</v>
      </c>
      <c r="B990">
        <v>0</v>
      </c>
      <c r="C990">
        <v>6631900</v>
      </c>
      <c r="D990">
        <v>-1</v>
      </c>
      <c r="E990">
        <v>-1</v>
      </c>
      <c r="F990">
        <v>428</v>
      </c>
      <c r="G990">
        <v>-1</v>
      </c>
      <c r="H990">
        <v>-1</v>
      </c>
      <c r="I990">
        <v>-1</v>
      </c>
    </row>
    <row r="991" spans="1:9" x14ac:dyDescent="0.4">
      <c r="A991">
        <v>6632000</v>
      </c>
      <c r="B991">
        <v>0</v>
      </c>
      <c r="C991">
        <v>6632000</v>
      </c>
      <c r="D991">
        <v>-1</v>
      </c>
      <c r="E991">
        <v>-1</v>
      </c>
      <c r="F991">
        <v>428</v>
      </c>
      <c r="G991">
        <v>-1</v>
      </c>
      <c r="H991">
        <v>-1</v>
      </c>
      <c r="I991">
        <v>-1</v>
      </c>
    </row>
    <row r="992" spans="1:9" x14ac:dyDescent="0.4">
      <c r="A992">
        <v>6632100</v>
      </c>
      <c r="B992">
        <v>0</v>
      </c>
      <c r="C992">
        <v>6632100</v>
      </c>
      <c r="D992">
        <v>-1</v>
      </c>
      <c r="E992">
        <v>-1</v>
      </c>
      <c r="F992">
        <v>428</v>
      </c>
      <c r="G992">
        <v>-1</v>
      </c>
      <c r="H992">
        <v>-1</v>
      </c>
      <c r="I992">
        <v>-1</v>
      </c>
    </row>
    <row r="993" spans="1:9" x14ac:dyDescent="0.4">
      <c r="A993">
        <v>6632200</v>
      </c>
      <c r="B993">
        <v>0</v>
      </c>
      <c r="C993">
        <v>6632200</v>
      </c>
      <c r="D993">
        <v>-1</v>
      </c>
      <c r="E993">
        <v>-1</v>
      </c>
      <c r="F993">
        <v>428</v>
      </c>
      <c r="G993">
        <v>-1</v>
      </c>
      <c r="H993">
        <v>-1</v>
      </c>
      <c r="I993">
        <v>-1</v>
      </c>
    </row>
    <row r="994" spans="1:9" x14ac:dyDescent="0.4">
      <c r="A994">
        <v>6632300</v>
      </c>
      <c r="B994">
        <v>0</v>
      </c>
      <c r="C994">
        <v>6632300</v>
      </c>
      <c r="D994">
        <v>-1</v>
      </c>
      <c r="E994">
        <v>-1</v>
      </c>
      <c r="F994">
        <v>428</v>
      </c>
      <c r="G994">
        <v>-1</v>
      </c>
      <c r="H994">
        <v>-1</v>
      </c>
      <c r="I994">
        <v>-1</v>
      </c>
    </row>
    <row r="995" spans="1:9" x14ac:dyDescent="0.4">
      <c r="A995">
        <v>6632400</v>
      </c>
      <c r="B995">
        <v>0</v>
      </c>
      <c r="C995">
        <v>6632400</v>
      </c>
      <c r="D995">
        <v>-1</v>
      </c>
      <c r="E995">
        <v>-1</v>
      </c>
      <c r="F995">
        <v>428</v>
      </c>
      <c r="G995">
        <v>-1</v>
      </c>
      <c r="H995">
        <v>-1</v>
      </c>
      <c r="I995">
        <v>-1</v>
      </c>
    </row>
    <row r="996" spans="1:9" x14ac:dyDescent="0.4">
      <c r="A996">
        <v>6632500</v>
      </c>
      <c r="B996">
        <v>0</v>
      </c>
      <c r="C996">
        <v>6632500</v>
      </c>
      <c r="D996">
        <v>-1</v>
      </c>
      <c r="E996">
        <v>-1</v>
      </c>
      <c r="F996">
        <v>428</v>
      </c>
      <c r="G996">
        <v>-1</v>
      </c>
      <c r="H996">
        <v>-1</v>
      </c>
      <c r="I996">
        <v>-1</v>
      </c>
    </row>
    <row r="997" spans="1:9" x14ac:dyDescent="0.4">
      <c r="A997">
        <v>6632600</v>
      </c>
      <c r="B997">
        <v>0</v>
      </c>
      <c r="C997">
        <v>6632600</v>
      </c>
      <c r="D997">
        <v>-1</v>
      </c>
      <c r="E997">
        <v>-1</v>
      </c>
      <c r="F997">
        <v>428</v>
      </c>
      <c r="G997">
        <v>-1</v>
      </c>
      <c r="H997">
        <v>-1</v>
      </c>
      <c r="I997">
        <v>-1</v>
      </c>
    </row>
    <row r="998" spans="1:9" x14ac:dyDescent="0.4">
      <c r="A998">
        <v>6632700</v>
      </c>
      <c r="B998">
        <v>0</v>
      </c>
      <c r="C998">
        <v>6632700</v>
      </c>
      <c r="D998">
        <v>-1</v>
      </c>
      <c r="E998">
        <v>-1</v>
      </c>
      <c r="F998">
        <v>428</v>
      </c>
      <c r="G998">
        <v>-1</v>
      </c>
      <c r="H998">
        <v>-1</v>
      </c>
      <c r="I998">
        <v>-1</v>
      </c>
    </row>
    <row r="999" spans="1:9" x14ac:dyDescent="0.4">
      <c r="A999">
        <v>6632800</v>
      </c>
      <c r="B999">
        <v>0</v>
      </c>
      <c r="C999">
        <v>6632800</v>
      </c>
      <c r="D999">
        <v>-1</v>
      </c>
      <c r="E999">
        <v>-1</v>
      </c>
      <c r="F999">
        <v>428</v>
      </c>
      <c r="G999">
        <v>-1</v>
      </c>
      <c r="H999">
        <v>-1</v>
      </c>
      <c r="I999">
        <v>-1</v>
      </c>
    </row>
    <row r="1000" spans="1:9" x14ac:dyDescent="0.4">
      <c r="A1000">
        <v>6632900</v>
      </c>
      <c r="B1000">
        <v>0</v>
      </c>
      <c r="C1000">
        <v>6632900</v>
      </c>
      <c r="D1000">
        <v>-1</v>
      </c>
      <c r="E1000">
        <v>-1</v>
      </c>
      <c r="F1000">
        <v>428</v>
      </c>
      <c r="G1000">
        <v>-1</v>
      </c>
      <c r="H1000">
        <v>-1</v>
      </c>
      <c r="I1000">
        <v>-1</v>
      </c>
    </row>
    <row r="1001" spans="1:9" x14ac:dyDescent="0.4">
      <c r="A1001">
        <v>6633000</v>
      </c>
      <c r="B1001">
        <v>0</v>
      </c>
      <c r="C1001">
        <v>6633000</v>
      </c>
      <c r="D1001">
        <v>-1</v>
      </c>
      <c r="E1001">
        <v>-1</v>
      </c>
      <c r="F1001">
        <v>428</v>
      </c>
      <c r="G1001">
        <v>-1</v>
      </c>
      <c r="H1001">
        <v>-1</v>
      </c>
      <c r="I1001">
        <v>-1</v>
      </c>
    </row>
    <row r="1002" spans="1:9" x14ac:dyDescent="0.4">
      <c r="A1002">
        <v>6633100</v>
      </c>
      <c r="B1002">
        <v>0</v>
      </c>
      <c r="C1002">
        <v>6633100</v>
      </c>
      <c r="D1002">
        <v>-1</v>
      </c>
      <c r="E1002">
        <v>-1</v>
      </c>
      <c r="F1002">
        <v>428</v>
      </c>
      <c r="G1002">
        <v>-1</v>
      </c>
      <c r="H1002">
        <v>-1</v>
      </c>
      <c r="I1002">
        <v>-1</v>
      </c>
    </row>
    <row r="1003" spans="1:9" x14ac:dyDescent="0.4">
      <c r="A1003">
        <v>6633200</v>
      </c>
      <c r="B1003">
        <v>0</v>
      </c>
      <c r="C1003">
        <v>6633200</v>
      </c>
      <c r="D1003">
        <v>-1</v>
      </c>
      <c r="E1003">
        <v>-1</v>
      </c>
      <c r="F1003">
        <v>428</v>
      </c>
      <c r="G1003">
        <v>-1</v>
      </c>
      <c r="H1003">
        <v>-1</v>
      </c>
      <c r="I1003">
        <v>-1</v>
      </c>
    </row>
    <row r="1004" spans="1:9" x14ac:dyDescent="0.4">
      <c r="A1004">
        <v>6640000</v>
      </c>
      <c r="B1004">
        <v>0</v>
      </c>
      <c r="C1004">
        <v>6640000</v>
      </c>
      <c r="D1004">
        <v>-1</v>
      </c>
      <c r="E1004">
        <v>-1</v>
      </c>
      <c r="F1004">
        <v>428</v>
      </c>
      <c r="G1004">
        <v>-1</v>
      </c>
      <c r="H1004">
        <v>-1</v>
      </c>
      <c r="I1004">
        <v>-1</v>
      </c>
    </row>
    <row r="1005" spans="1:9" x14ac:dyDescent="0.4">
      <c r="A1005">
        <v>6640100</v>
      </c>
      <c r="B1005">
        <v>0</v>
      </c>
      <c r="C1005">
        <v>6640100</v>
      </c>
      <c r="D1005">
        <v>-1</v>
      </c>
      <c r="E1005">
        <v>-1</v>
      </c>
      <c r="F1005">
        <v>428</v>
      </c>
      <c r="G1005">
        <v>-1</v>
      </c>
      <c r="H1005">
        <v>-1</v>
      </c>
      <c r="I1005">
        <v>-1</v>
      </c>
    </row>
    <row r="1006" spans="1:9" x14ac:dyDescent="0.4">
      <c r="A1006">
        <v>6641000</v>
      </c>
      <c r="B1006">
        <v>0</v>
      </c>
      <c r="C1006">
        <v>6641000</v>
      </c>
      <c r="D1006">
        <v>-1</v>
      </c>
      <c r="E1006">
        <v>-1</v>
      </c>
      <c r="F1006">
        <v>428</v>
      </c>
      <c r="G1006">
        <v>-1</v>
      </c>
      <c r="H1006">
        <v>-1</v>
      </c>
      <c r="I1006">
        <v>-1</v>
      </c>
    </row>
    <row r="1007" spans="1:9" x14ac:dyDescent="0.4">
      <c r="A1007">
        <v>6641100</v>
      </c>
      <c r="B1007">
        <v>0</v>
      </c>
      <c r="C1007">
        <v>6641100</v>
      </c>
      <c r="D1007">
        <v>-1</v>
      </c>
      <c r="E1007">
        <v>-1</v>
      </c>
      <c r="F1007">
        <v>428</v>
      </c>
      <c r="G1007">
        <v>-1</v>
      </c>
      <c r="H1007">
        <v>-1</v>
      </c>
      <c r="I1007">
        <v>-1</v>
      </c>
    </row>
    <row r="1008" spans="1:9" x14ac:dyDescent="0.4">
      <c r="A1008">
        <v>6642000</v>
      </c>
      <c r="B1008">
        <v>0</v>
      </c>
      <c r="C1008">
        <v>6642000</v>
      </c>
      <c r="D1008">
        <v>-1</v>
      </c>
      <c r="E1008">
        <v>-1</v>
      </c>
      <c r="F1008">
        <v>428</v>
      </c>
      <c r="G1008">
        <v>-1</v>
      </c>
      <c r="H1008">
        <v>-1</v>
      </c>
      <c r="I1008">
        <v>-1</v>
      </c>
    </row>
    <row r="1009" spans="1:9" x14ac:dyDescent="0.4">
      <c r="A1009">
        <v>6642100</v>
      </c>
      <c r="B1009">
        <v>0</v>
      </c>
      <c r="C1009">
        <v>6642100</v>
      </c>
      <c r="D1009">
        <v>-1</v>
      </c>
      <c r="E1009">
        <v>-1</v>
      </c>
      <c r="F1009">
        <v>428</v>
      </c>
      <c r="G1009">
        <v>-1</v>
      </c>
      <c r="H1009">
        <v>-1</v>
      </c>
      <c r="I1009">
        <v>-1</v>
      </c>
    </row>
    <row r="1010" spans="1:9" x14ac:dyDescent="0.4">
      <c r="A1010">
        <v>6643000</v>
      </c>
      <c r="B1010">
        <v>0</v>
      </c>
      <c r="C1010">
        <v>6643000</v>
      </c>
      <c r="D1010">
        <v>-1</v>
      </c>
      <c r="E1010">
        <v>-1</v>
      </c>
      <c r="F1010">
        <v>428</v>
      </c>
      <c r="G1010">
        <v>-1</v>
      </c>
      <c r="H1010">
        <v>-1</v>
      </c>
      <c r="I1010">
        <v>-1</v>
      </c>
    </row>
    <row r="1011" spans="1:9" x14ac:dyDescent="0.4">
      <c r="A1011">
        <v>6643100</v>
      </c>
      <c r="B1011">
        <v>0</v>
      </c>
      <c r="C1011">
        <v>6643100</v>
      </c>
      <c r="D1011">
        <v>-1</v>
      </c>
      <c r="E1011">
        <v>-1</v>
      </c>
      <c r="F1011">
        <v>428</v>
      </c>
      <c r="G1011">
        <v>-1</v>
      </c>
      <c r="H1011">
        <v>-1</v>
      </c>
      <c r="I1011">
        <v>-1</v>
      </c>
    </row>
    <row r="1012" spans="1:9" x14ac:dyDescent="0.4">
      <c r="A1012">
        <v>6644000</v>
      </c>
      <c r="B1012">
        <v>0</v>
      </c>
      <c r="C1012">
        <v>6644000</v>
      </c>
      <c r="D1012">
        <v>-1</v>
      </c>
      <c r="E1012">
        <v>-1</v>
      </c>
      <c r="F1012">
        <v>428</v>
      </c>
      <c r="G1012">
        <v>-1</v>
      </c>
      <c r="H1012">
        <v>-1</v>
      </c>
      <c r="I1012">
        <v>-1</v>
      </c>
    </row>
    <row r="1013" spans="1:9" x14ac:dyDescent="0.4">
      <c r="A1013">
        <v>6644100</v>
      </c>
      <c r="B1013">
        <v>0</v>
      </c>
      <c r="C1013">
        <v>6644100</v>
      </c>
      <c r="D1013">
        <v>-1</v>
      </c>
      <c r="E1013">
        <v>-1</v>
      </c>
      <c r="F1013">
        <v>428</v>
      </c>
      <c r="G1013">
        <v>-1</v>
      </c>
      <c r="H1013">
        <v>-1</v>
      </c>
      <c r="I1013">
        <v>-1</v>
      </c>
    </row>
    <row r="1014" spans="1:9" x14ac:dyDescent="0.4">
      <c r="A1014">
        <v>6645000</v>
      </c>
      <c r="B1014">
        <v>0</v>
      </c>
      <c r="C1014">
        <v>6645000</v>
      </c>
      <c r="D1014">
        <v>-1</v>
      </c>
      <c r="E1014">
        <v>-1</v>
      </c>
      <c r="F1014">
        <v>428</v>
      </c>
      <c r="G1014">
        <v>-1</v>
      </c>
      <c r="H1014">
        <v>-1</v>
      </c>
      <c r="I1014">
        <v>-1</v>
      </c>
    </row>
    <row r="1015" spans="1:9" x14ac:dyDescent="0.4">
      <c r="A1015">
        <v>6645100</v>
      </c>
      <c r="B1015">
        <v>0</v>
      </c>
      <c r="C1015">
        <v>6645100</v>
      </c>
      <c r="D1015">
        <v>-1</v>
      </c>
      <c r="E1015">
        <v>-1</v>
      </c>
      <c r="F1015">
        <v>428</v>
      </c>
      <c r="G1015">
        <v>-1</v>
      </c>
      <c r="H1015">
        <v>-1</v>
      </c>
      <c r="I1015">
        <v>-1</v>
      </c>
    </row>
    <row r="1016" spans="1:9" x14ac:dyDescent="0.4">
      <c r="A1016">
        <v>6646000</v>
      </c>
      <c r="B1016">
        <v>0</v>
      </c>
      <c r="C1016">
        <v>6646000</v>
      </c>
      <c r="D1016">
        <v>-1</v>
      </c>
      <c r="E1016">
        <v>-1</v>
      </c>
      <c r="F1016">
        <v>428</v>
      </c>
      <c r="G1016">
        <v>-1</v>
      </c>
      <c r="H1016">
        <v>-1</v>
      </c>
      <c r="I1016">
        <v>-1</v>
      </c>
    </row>
    <row r="1017" spans="1:9" x14ac:dyDescent="0.4">
      <c r="A1017">
        <v>6646100</v>
      </c>
      <c r="B1017">
        <v>0</v>
      </c>
      <c r="C1017">
        <v>6646100</v>
      </c>
      <c r="D1017">
        <v>-1</v>
      </c>
      <c r="E1017">
        <v>-1</v>
      </c>
      <c r="F1017">
        <v>428</v>
      </c>
      <c r="G1017">
        <v>-1</v>
      </c>
      <c r="H1017">
        <v>-1</v>
      </c>
      <c r="I1017">
        <v>-1</v>
      </c>
    </row>
    <row r="1018" spans="1:9" x14ac:dyDescent="0.4">
      <c r="A1018">
        <v>6647000</v>
      </c>
      <c r="B1018">
        <v>0</v>
      </c>
      <c r="C1018">
        <v>6647000</v>
      </c>
      <c r="D1018">
        <v>-1</v>
      </c>
      <c r="E1018">
        <v>-1</v>
      </c>
      <c r="F1018">
        <v>428</v>
      </c>
      <c r="G1018">
        <v>-1</v>
      </c>
      <c r="H1018">
        <v>-1</v>
      </c>
      <c r="I1018">
        <v>-1</v>
      </c>
    </row>
    <row r="1019" spans="1:9" x14ac:dyDescent="0.4">
      <c r="A1019">
        <v>6647100</v>
      </c>
      <c r="B1019">
        <v>0</v>
      </c>
      <c r="C1019">
        <v>6647100</v>
      </c>
      <c r="D1019">
        <v>-1</v>
      </c>
      <c r="E1019">
        <v>-1</v>
      </c>
      <c r="F1019">
        <v>428</v>
      </c>
      <c r="G1019">
        <v>-1</v>
      </c>
      <c r="H1019">
        <v>-1</v>
      </c>
      <c r="I1019">
        <v>-1</v>
      </c>
    </row>
    <row r="1020" spans="1:9" x14ac:dyDescent="0.4">
      <c r="A1020">
        <v>6647200</v>
      </c>
      <c r="B1020">
        <v>0</v>
      </c>
      <c r="C1020">
        <v>6647200</v>
      </c>
      <c r="D1020">
        <v>-1</v>
      </c>
      <c r="E1020">
        <v>-1</v>
      </c>
      <c r="F1020">
        <v>428</v>
      </c>
      <c r="G1020">
        <v>-1</v>
      </c>
      <c r="H1020">
        <v>-1</v>
      </c>
      <c r="I1020">
        <v>-1</v>
      </c>
    </row>
    <row r="1021" spans="1:9" x14ac:dyDescent="0.4">
      <c r="A1021">
        <v>6647300</v>
      </c>
      <c r="B1021">
        <v>0</v>
      </c>
      <c r="C1021">
        <v>6647300</v>
      </c>
      <c r="D1021">
        <v>-1</v>
      </c>
      <c r="E1021">
        <v>-1</v>
      </c>
      <c r="F1021">
        <v>428</v>
      </c>
      <c r="G1021">
        <v>-1</v>
      </c>
      <c r="H1021">
        <v>-1</v>
      </c>
      <c r="I1021">
        <v>-1</v>
      </c>
    </row>
    <row r="1022" spans="1:9" x14ac:dyDescent="0.4">
      <c r="A1022">
        <v>6647400</v>
      </c>
      <c r="B1022">
        <v>0</v>
      </c>
      <c r="C1022">
        <v>6647400</v>
      </c>
      <c r="D1022">
        <v>-1</v>
      </c>
      <c r="E1022">
        <v>-1</v>
      </c>
      <c r="F1022">
        <v>428</v>
      </c>
      <c r="G1022">
        <v>-1</v>
      </c>
      <c r="H1022">
        <v>-1</v>
      </c>
      <c r="I1022">
        <v>-1</v>
      </c>
    </row>
    <row r="1023" spans="1:9" x14ac:dyDescent="0.4">
      <c r="A1023">
        <v>6647500</v>
      </c>
      <c r="B1023">
        <v>0</v>
      </c>
      <c r="C1023">
        <v>6647500</v>
      </c>
      <c r="D1023">
        <v>-1</v>
      </c>
      <c r="E1023">
        <v>-1</v>
      </c>
      <c r="F1023">
        <v>428</v>
      </c>
      <c r="G1023">
        <v>-1</v>
      </c>
      <c r="H1023">
        <v>-1</v>
      </c>
      <c r="I1023">
        <v>-1</v>
      </c>
    </row>
    <row r="1024" spans="1:9" x14ac:dyDescent="0.4">
      <c r="A1024">
        <v>6820000</v>
      </c>
      <c r="B1024">
        <v>0</v>
      </c>
      <c r="C1024">
        <v>6820000</v>
      </c>
      <c r="D1024">
        <v>-1</v>
      </c>
      <c r="E1024">
        <v>-1</v>
      </c>
      <c r="F1024">
        <v>428</v>
      </c>
      <c r="G1024">
        <v>-1</v>
      </c>
      <c r="H1024">
        <v>-1</v>
      </c>
      <c r="I1024">
        <v>-1</v>
      </c>
    </row>
    <row r="1025" spans="1:9" x14ac:dyDescent="0.4">
      <c r="A1025">
        <v>6820100</v>
      </c>
      <c r="B1025">
        <v>0</v>
      </c>
      <c r="C1025">
        <v>6820100</v>
      </c>
      <c r="D1025">
        <v>-1</v>
      </c>
      <c r="E1025">
        <v>-1</v>
      </c>
      <c r="F1025">
        <v>428</v>
      </c>
      <c r="G1025">
        <v>-1</v>
      </c>
      <c r="H1025">
        <v>-1</v>
      </c>
      <c r="I1025">
        <v>-1</v>
      </c>
    </row>
    <row r="1026" spans="1:9" x14ac:dyDescent="0.4">
      <c r="A1026">
        <v>6820200</v>
      </c>
      <c r="B1026">
        <v>0</v>
      </c>
      <c r="C1026">
        <v>6820200</v>
      </c>
      <c r="D1026">
        <v>-1</v>
      </c>
      <c r="E1026">
        <v>-1</v>
      </c>
      <c r="F1026">
        <v>428</v>
      </c>
      <c r="G1026">
        <v>-1</v>
      </c>
      <c r="H1026">
        <v>-1</v>
      </c>
      <c r="I1026">
        <v>-1</v>
      </c>
    </row>
    <row r="1027" spans="1:9" x14ac:dyDescent="0.4">
      <c r="A1027">
        <v>6820300</v>
      </c>
      <c r="B1027">
        <v>0</v>
      </c>
      <c r="C1027">
        <v>6820300</v>
      </c>
      <c r="D1027">
        <v>-1</v>
      </c>
      <c r="E1027">
        <v>-1</v>
      </c>
      <c r="F1027">
        <v>428</v>
      </c>
      <c r="G1027">
        <v>-1</v>
      </c>
      <c r="H1027">
        <v>-1</v>
      </c>
      <c r="I1027">
        <v>-1</v>
      </c>
    </row>
    <row r="1028" spans="1:9" x14ac:dyDescent="0.4">
      <c r="A1028">
        <v>6820400</v>
      </c>
      <c r="B1028">
        <v>0</v>
      </c>
      <c r="C1028">
        <v>6820400</v>
      </c>
      <c r="D1028">
        <v>-1</v>
      </c>
      <c r="E1028">
        <v>-1</v>
      </c>
      <c r="F1028">
        <v>428</v>
      </c>
      <c r="G1028">
        <v>-1</v>
      </c>
      <c r="H1028">
        <v>-1</v>
      </c>
      <c r="I1028">
        <v>-1</v>
      </c>
    </row>
    <row r="1029" spans="1:9" x14ac:dyDescent="0.4">
      <c r="A1029">
        <v>6820500</v>
      </c>
      <c r="B1029">
        <v>0</v>
      </c>
      <c r="C1029">
        <v>6820500</v>
      </c>
      <c r="D1029">
        <v>-1</v>
      </c>
      <c r="E1029">
        <v>-1</v>
      </c>
      <c r="F1029">
        <v>428</v>
      </c>
      <c r="G1029">
        <v>-1</v>
      </c>
      <c r="H1029">
        <v>-1</v>
      </c>
      <c r="I1029">
        <v>-1</v>
      </c>
    </row>
    <row r="1030" spans="1:9" x14ac:dyDescent="0.4">
      <c r="A1030">
        <v>6820600</v>
      </c>
      <c r="B1030">
        <v>0</v>
      </c>
      <c r="C1030">
        <v>6820600</v>
      </c>
      <c r="D1030">
        <v>-1</v>
      </c>
      <c r="E1030">
        <v>-1</v>
      </c>
      <c r="F1030">
        <v>428</v>
      </c>
      <c r="G1030">
        <v>-1</v>
      </c>
      <c r="H1030">
        <v>-1</v>
      </c>
      <c r="I1030">
        <v>-1</v>
      </c>
    </row>
    <row r="1031" spans="1:9" x14ac:dyDescent="0.4">
      <c r="A1031">
        <v>6830000</v>
      </c>
      <c r="B1031">
        <v>0</v>
      </c>
      <c r="C1031">
        <v>6830000</v>
      </c>
      <c r="D1031">
        <v>-1</v>
      </c>
      <c r="E1031">
        <v>-1</v>
      </c>
      <c r="F1031">
        <v>428</v>
      </c>
      <c r="G1031">
        <v>-1</v>
      </c>
      <c r="H1031">
        <v>-1</v>
      </c>
      <c r="I1031">
        <v>-1</v>
      </c>
    </row>
    <row r="1032" spans="1:9" x14ac:dyDescent="0.4">
      <c r="A1032">
        <v>6830100</v>
      </c>
      <c r="B1032">
        <v>0</v>
      </c>
      <c r="C1032">
        <v>6830100</v>
      </c>
      <c r="D1032">
        <v>-1</v>
      </c>
      <c r="E1032">
        <v>-1</v>
      </c>
      <c r="F1032">
        <v>428</v>
      </c>
      <c r="G1032">
        <v>-1</v>
      </c>
      <c r="H1032">
        <v>-1</v>
      </c>
      <c r="I1032">
        <v>-1</v>
      </c>
    </row>
    <row r="1033" spans="1:9" x14ac:dyDescent="0.4">
      <c r="A1033">
        <v>6830200</v>
      </c>
      <c r="B1033">
        <v>0</v>
      </c>
      <c r="C1033">
        <v>6830200</v>
      </c>
      <c r="D1033">
        <v>-1</v>
      </c>
      <c r="E1033">
        <v>-1</v>
      </c>
      <c r="F1033">
        <v>428</v>
      </c>
      <c r="G1033">
        <v>-1</v>
      </c>
      <c r="H1033">
        <v>-1</v>
      </c>
      <c r="I1033">
        <v>-1</v>
      </c>
    </row>
    <row r="1034" spans="1:9" x14ac:dyDescent="0.4">
      <c r="A1034">
        <v>6830300</v>
      </c>
      <c r="B1034">
        <v>0</v>
      </c>
      <c r="C1034">
        <v>6830300</v>
      </c>
      <c r="D1034">
        <v>-1</v>
      </c>
      <c r="E1034">
        <v>-1</v>
      </c>
      <c r="F1034">
        <v>428</v>
      </c>
      <c r="G1034">
        <v>-1</v>
      </c>
      <c r="H1034">
        <v>-1</v>
      </c>
      <c r="I1034">
        <v>-1</v>
      </c>
    </row>
    <row r="1035" spans="1:9" x14ac:dyDescent="0.4">
      <c r="A1035">
        <v>6830400</v>
      </c>
      <c r="B1035">
        <v>0</v>
      </c>
      <c r="C1035">
        <v>6830400</v>
      </c>
      <c r="D1035">
        <v>-1</v>
      </c>
      <c r="E1035">
        <v>-1</v>
      </c>
      <c r="F1035">
        <v>428</v>
      </c>
      <c r="G1035">
        <v>-1</v>
      </c>
      <c r="H1035">
        <v>-1</v>
      </c>
      <c r="I1035">
        <v>-1</v>
      </c>
    </row>
    <row r="1036" spans="1:9" x14ac:dyDescent="0.4">
      <c r="A1036">
        <v>6840000</v>
      </c>
      <c r="B1036">
        <v>0</v>
      </c>
      <c r="C1036">
        <v>6840000</v>
      </c>
      <c r="D1036">
        <v>-1</v>
      </c>
      <c r="E1036">
        <v>-1</v>
      </c>
      <c r="F1036">
        <v>428</v>
      </c>
      <c r="G1036">
        <v>-1</v>
      </c>
      <c r="H1036">
        <v>-1</v>
      </c>
      <c r="I1036">
        <v>-1</v>
      </c>
    </row>
    <row r="1037" spans="1:9" x14ac:dyDescent="0.4">
      <c r="A1037">
        <v>6840100</v>
      </c>
      <c r="B1037">
        <v>0</v>
      </c>
      <c r="C1037">
        <v>6840100</v>
      </c>
      <c r="D1037">
        <v>-1</v>
      </c>
      <c r="E1037">
        <v>-1</v>
      </c>
      <c r="F1037">
        <v>428</v>
      </c>
      <c r="G1037">
        <v>-1</v>
      </c>
      <c r="H1037">
        <v>-1</v>
      </c>
      <c r="I1037">
        <v>-1</v>
      </c>
    </row>
    <row r="1038" spans="1:9" x14ac:dyDescent="0.4">
      <c r="A1038">
        <v>6840200</v>
      </c>
      <c r="B1038">
        <v>0</v>
      </c>
      <c r="C1038">
        <v>6840200</v>
      </c>
      <c r="D1038">
        <v>-1</v>
      </c>
      <c r="E1038">
        <v>-1</v>
      </c>
      <c r="F1038">
        <v>428</v>
      </c>
      <c r="G1038">
        <v>-1</v>
      </c>
      <c r="H1038">
        <v>-1</v>
      </c>
      <c r="I1038">
        <v>-1</v>
      </c>
    </row>
    <row r="1039" spans="1:9" x14ac:dyDescent="0.4">
      <c r="A1039">
        <v>6850200</v>
      </c>
      <c r="B1039">
        <v>0</v>
      </c>
      <c r="C1039">
        <v>6850200</v>
      </c>
      <c r="D1039">
        <v>-1</v>
      </c>
      <c r="E1039">
        <v>-1</v>
      </c>
      <c r="F1039">
        <v>428</v>
      </c>
      <c r="G1039">
        <v>-1</v>
      </c>
      <c r="H1039">
        <v>-1</v>
      </c>
      <c r="I1039">
        <v>-1</v>
      </c>
    </row>
    <row r="1040" spans="1:9" x14ac:dyDescent="0.4">
      <c r="A1040">
        <v>6850500</v>
      </c>
      <c r="B1040">
        <v>0</v>
      </c>
      <c r="C1040">
        <v>6850500</v>
      </c>
      <c r="D1040">
        <v>-1</v>
      </c>
      <c r="E1040">
        <v>-1</v>
      </c>
      <c r="F1040">
        <v>428</v>
      </c>
      <c r="G1040">
        <v>-1</v>
      </c>
      <c r="H1040">
        <v>-1</v>
      </c>
      <c r="I1040">
        <v>-1</v>
      </c>
    </row>
    <row r="1041" spans="1:9" x14ac:dyDescent="0.4">
      <c r="A1041">
        <v>6850700</v>
      </c>
      <c r="B1041">
        <v>0</v>
      </c>
      <c r="C1041">
        <v>6850700</v>
      </c>
      <c r="D1041">
        <v>-1</v>
      </c>
      <c r="E1041">
        <v>-1</v>
      </c>
      <c r="F1041">
        <v>428</v>
      </c>
      <c r="G1041">
        <v>-1</v>
      </c>
      <c r="H1041">
        <v>-1</v>
      </c>
      <c r="I1041">
        <v>-1</v>
      </c>
    </row>
    <row r="1042" spans="1:9" x14ac:dyDescent="0.4">
      <c r="A1042">
        <v>6850800</v>
      </c>
      <c r="B1042">
        <v>0</v>
      </c>
      <c r="C1042">
        <v>6850800</v>
      </c>
      <c r="D1042">
        <v>-1</v>
      </c>
      <c r="E1042">
        <v>-1</v>
      </c>
      <c r="F1042">
        <v>428</v>
      </c>
      <c r="G1042">
        <v>-1</v>
      </c>
      <c r="H1042">
        <v>-1</v>
      </c>
      <c r="I1042">
        <v>-1</v>
      </c>
    </row>
    <row r="1043" spans="1:9" x14ac:dyDescent="0.4">
      <c r="A1043">
        <v>6850900</v>
      </c>
      <c r="B1043">
        <v>0</v>
      </c>
      <c r="C1043">
        <v>6850900</v>
      </c>
      <c r="D1043">
        <v>-1</v>
      </c>
      <c r="E1043">
        <v>-1</v>
      </c>
      <c r="F1043">
        <v>428</v>
      </c>
      <c r="G1043">
        <v>-1</v>
      </c>
      <c r="H1043">
        <v>-1</v>
      </c>
      <c r="I1043">
        <v>-1</v>
      </c>
    </row>
    <row r="1044" spans="1:9" x14ac:dyDescent="0.4">
      <c r="A1044">
        <v>6851200</v>
      </c>
      <c r="B1044">
        <v>0</v>
      </c>
      <c r="C1044">
        <v>6851200</v>
      </c>
      <c r="D1044">
        <v>-1</v>
      </c>
      <c r="E1044">
        <v>-1</v>
      </c>
      <c r="F1044">
        <v>428</v>
      </c>
      <c r="G1044">
        <v>-1</v>
      </c>
      <c r="H1044">
        <v>-1</v>
      </c>
      <c r="I1044">
        <v>-1</v>
      </c>
    </row>
    <row r="1045" spans="1:9" x14ac:dyDescent="0.4">
      <c r="A1045">
        <v>6851300</v>
      </c>
      <c r="B1045">
        <v>0</v>
      </c>
      <c r="C1045">
        <v>6851300</v>
      </c>
      <c r="D1045">
        <v>-1</v>
      </c>
      <c r="E1045">
        <v>-1</v>
      </c>
      <c r="F1045">
        <v>428</v>
      </c>
      <c r="G1045">
        <v>-1</v>
      </c>
      <c r="H1045">
        <v>-1</v>
      </c>
      <c r="I1045">
        <v>-1</v>
      </c>
    </row>
    <row r="1046" spans="1:9" x14ac:dyDescent="0.4">
      <c r="A1046">
        <v>6851400</v>
      </c>
      <c r="B1046">
        <v>0</v>
      </c>
      <c r="C1046">
        <v>6851400</v>
      </c>
      <c r="D1046">
        <v>-1</v>
      </c>
      <c r="E1046">
        <v>-1</v>
      </c>
      <c r="F1046">
        <v>428</v>
      </c>
      <c r="G1046">
        <v>-1</v>
      </c>
      <c r="H1046">
        <v>-1</v>
      </c>
      <c r="I1046">
        <v>-1</v>
      </c>
    </row>
    <row r="1047" spans="1:9" x14ac:dyDescent="0.4">
      <c r="A1047">
        <v>6851700</v>
      </c>
      <c r="B1047">
        <v>0</v>
      </c>
      <c r="C1047">
        <v>6851700</v>
      </c>
      <c r="D1047">
        <v>-1</v>
      </c>
      <c r="E1047">
        <v>-1</v>
      </c>
      <c r="F1047">
        <v>428</v>
      </c>
      <c r="G1047">
        <v>-1</v>
      </c>
      <c r="H1047">
        <v>-1</v>
      </c>
      <c r="I1047">
        <v>-1</v>
      </c>
    </row>
    <row r="1048" spans="1:9" x14ac:dyDescent="0.4">
      <c r="A1048">
        <v>7000000</v>
      </c>
      <c r="B1048">
        <v>0</v>
      </c>
      <c r="C1048">
        <v>707000000</v>
      </c>
      <c r="D1048">
        <v>-1</v>
      </c>
      <c r="E1048">
        <v>-1</v>
      </c>
      <c r="F1048">
        <v>428</v>
      </c>
      <c r="G1048">
        <v>-1</v>
      </c>
      <c r="H1048">
        <v>-1</v>
      </c>
      <c r="I1048">
        <v>-1</v>
      </c>
    </row>
    <row r="1049" spans="1:9" x14ac:dyDescent="0.4">
      <c r="A1049">
        <v>7000001</v>
      </c>
      <c r="B1049">
        <v>0</v>
      </c>
      <c r="C1049">
        <v>707000001</v>
      </c>
      <c r="D1049">
        <v>-1</v>
      </c>
      <c r="E1049">
        <v>-1</v>
      </c>
      <c r="F1049">
        <v>428</v>
      </c>
      <c r="G1049">
        <v>-1</v>
      </c>
      <c r="H1049">
        <v>-1</v>
      </c>
      <c r="I1049">
        <v>-1</v>
      </c>
    </row>
    <row r="1050" spans="1:9" x14ac:dyDescent="0.4">
      <c r="A1050">
        <v>7000002</v>
      </c>
      <c r="B1050">
        <v>0</v>
      </c>
      <c r="C1050">
        <v>707000002</v>
      </c>
      <c r="D1050">
        <v>-1</v>
      </c>
      <c r="E1050">
        <v>-1</v>
      </c>
      <c r="F1050">
        <v>428</v>
      </c>
      <c r="G1050">
        <v>-1</v>
      </c>
      <c r="H1050">
        <v>-1</v>
      </c>
      <c r="I1050">
        <v>-1</v>
      </c>
    </row>
    <row r="1051" spans="1:9" x14ac:dyDescent="0.4">
      <c r="A1051">
        <v>7000090</v>
      </c>
      <c r="B1051">
        <v>0</v>
      </c>
      <c r="C1051">
        <v>707000090</v>
      </c>
      <c r="D1051">
        <v>-1</v>
      </c>
      <c r="E1051">
        <v>-1</v>
      </c>
      <c r="F1051">
        <v>428</v>
      </c>
      <c r="G1051">
        <v>-1</v>
      </c>
      <c r="H1051">
        <v>-1</v>
      </c>
      <c r="I1051">
        <v>-1</v>
      </c>
    </row>
    <row r="1052" spans="1:9" x14ac:dyDescent="0.4">
      <c r="A1052">
        <v>7000100</v>
      </c>
      <c r="B1052">
        <v>0</v>
      </c>
      <c r="C1052">
        <v>707000100</v>
      </c>
      <c r="D1052">
        <v>-1</v>
      </c>
      <c r="E1052">
        <v>-1</v>
      </c>
      <c r="F1052">
        <v>428</v>
      </c>
      <c r="G1052">
        <v>-1</v>
      </c>
      <c r="H1052">
        <v>-1</v>
      </c>
      <c r="I1052">
        <v>-1</v>
      </c>
    </row>
    <row r="1053" spans="1:9" x14ac:dyDescent="0.4">
      <c r="A1053">
        <v>7000101</v>
      </c>
      <c r="B1053">
        <v>0</v>
      </c>
      <c r="C1053">
        <v>707000101</v>
      </c>
      <c r="D1053">
        <v>-1</v>
      </c>
      <c r="E1053">
        <v>-1</v>
      </c>
      <c r="F1053">
        <v>428</v>
      </c>
      <c r="G1053">
        <v>-1</v>
      </c>
      <c r="H1053">
        <v>-1</v>
      </c>
      <c r="I1053">
        <v>-1</v>
      </c>
    </row>
    <row r="1054" spans="1:9" x14ac:dyDescent="0.4">
      <c r="A1054">
        <v>7000102</v>
      </c>
      <c r="B1054">
        <v>0</v>
      </c>
      <c r="C1054">
        <v>707000102</v>
      </c>
      <c r="D1054">
        <v>-1</v>
      </c>
      <c r="E1054">
        <v>-1</v>
      </c>
      <c r="F1054">
        <v>428</v>
      </c>
      <c r="G1054">
        <v>-1</v>
      </c>
      <c r="H1054">
        <v>-1</v>
      </c>
      <c r="I1054">
        <v>-1</v>
      </c>
    </row>
    <row r="1055" spans="1:9" x14ac:dyDescent="0.4">
      <c r="A1055">
        <v>7000190</v>
      </c>
      <c r="B1055">
        <v>0</v>
      </c>
      <c r="C1055">
        <v>707000190</v>
      </c>
      <c r="D1055">
        <v>-1</v>
      </c>
      <c r="E1055">
        <v>-1</v>
      </c>
      <c r="F1055">
        <v>428</v>
      </c>
      <c r="G1055">
        <v>-1</v>
      </c>
      <c r="H1055">
        <v>-1</v>
      </c>
      <c r="I1055">
        <v>-1</v>
      </c>
    </row>
    <row r="1056" spans="1:9" x14ac:dyDescent="0.4">
      <c r="A1056">
        <v>7000200</v>
      </c>
      <c r="B1056">
        <v>0</v>
      </c>
      <c r="C1056">
        <v>707000200</v>
      </c>
      <c r="D1056">
        <v>-1</v>
      </c>
      <c r="E1056">
        <v>-1</v>
      </c>
      <c r="F1056">
        <v>428</v>
      </c>
      <c r="G1056">
        <v>-1</v>
      </c>
      <c r="H1056">
        <v>-1</v>
      </c>
      <c r="I1056">
        <v>-1</v>
      </c>
    </row>
    <row r="1057" spans="1:9" x14ac:dyDescent="0.4">
      <c r="A1057">
        <v>7000201</v>
      </c>
      <c r="B1057">
        <v>0</v>
      </c>
      <c r="C1057">
        <v>707000201</v>
      </c>
      <c r="D1057">
        <v>-1</v>
      </c>
      <c r="E1057">
        <v>-1</v>
      </c>
      <c r="F1057">
        <v>428</v>
      </c>
      <c r="G1057">
        <v>-1</v>
      </c>
      <c r="H1057">
        <v>-1</v>
      </c>
      <c r="I1057">
        <v>-1</v>
      </c>
    </row>
    <row r="1058" spans="1:9" x14ac:dyDescent="0.4">
      <c r="A1058">
        <v>7000202</v>
      </c>
      <c r="B1058">
        <v>0</v>
      </c>
      <c r="C1058">
        <v>707000202</v>
      </c>
      <c r="D1058">
        <v>-1</v>
      </c>
      <c r="E1058">
        <v>-1</v>
      </c>
      <c r="F1058">
        <v>428</v>
      </c>
      <c r="G1058">
        <v>-1</v>
      </c>
      <c r="H1058">
        <v>-1</v>
      </c>
      <c r="I1058">
        <v>-1</v>
      </c>
    </row>
    <row r="1059" spans="1:9" x14ac:dyDescent="0.4">
      <c r="A1059">
        <v>7000290</v>
      </c>
      <c r="B1059">
        <v>0</v>
      </c>
      <c r="C1059">
        <v>707000290</v>
      </c>
      <c r="D1059">
        <v>-1</v>
      </c>
      <c r="E1059">
        <v>-1</v>
      </c>
      <c r="F1059">
        <v>428</v>
      </c>
      <c r="G1059">
        <v>-1</v>
      </c>
      <c r="H1059">
        <v>-1</v>
      </c>
      <c r="I1059">
        <v>-1</v>
      </c>
    </row>
    <row r="1060" spans="1:9" x14ac:dyDescent="0.4">
      <c r="A1060">
        <v>7000300</v>
      </c>
      <c r="B1060">
        <v>0</v>
      </c>
      <c r="C1060">
        <v>707000300</v>
      </c>
      <c r="D1060">
        <v>-1</v>
      </c>
      <c r="E1060">
        <v>-1</v>
      </c>
      <c r="F1060">
        <v>428</v>
      </c>
      <c r="G1060">
        <v>-1</v>
      </c>
      <c r="H1060">
        <v>-1</v>
      </c>
      <c r="I1060">
        <v>-1</v>
      </c>
    </row>
    <row r="1061" spans="1:9" x14ac:dyDescent="0.4">
      <c r="A1061">
        <v>7000301</v>
      </c>
      <c r="B1061">
        <v>0</v>
      </c>
      <c r="C1061">
        <v>707000301</v>
      </c>
      <c r="D1061">
        <v>-1</v>
      </c>
      <c r="E1061">
        <v>-1</v>
      </c>
      <c r="F1061">
        <v>428</v>
      </c>
      <c r="G1061">
        <v>-1</v>
      </c>
      <c r="H1061">
        <v>-1</v>
      </c>
      <c r="I1061">
        <v>-1</v>
      </c>
    </row>
    <row r="1062" spans="1:9" x14ac:dyDescent="0.4">
      <c r="A1062">
        <v>7000302</v>
      </c>
      <c r="B1062">
        <v>0</v>
      </c>
      <c r="C1062">
        <v>707000302</v>
      </c>
      <c r="D1062">
        <v>-1</v>
      </c>
      <c r="E1062">
        <v>-1</v>
      </c>
      <c r="F1062">
        <v>428</v>
      </c>
      <c r="G1062">
        <v>-1</v>
      </c>
      <c r="H1062">
        <v>-1</v>
      </c>
      <c r="I1062">
        <v>-1</v>
      </c>
    </row>
    <row r="1063" spans="1:9" x14ac:dyDescent="0.4">
      <c r="A1063">
        <v>7000400</v>
      </c>
      <c r="B1063">
        <v>0</v>
      </c>
      <c r="C1063">
        <v>707000400</v>
      </c>
      <c r="D1063">
        <v>-1</v>
      </c>
      <c r="E1063">
        <v>-1</v>
      </c>
      <c r="F1063">
        <v>428</v>
      </c>
      <c r="G1063">
        <v>-1</v>
      </c>
      <c r="H1063">
        <v>-1</v>
      </c>
      <c r="I1063">
        <v>-1</v>
      </c>
    </row>
    <row r="1064" spans="1:9" x14ac:dyDescent="0.4">
      <c r="A1064">
        <v>7000401</v>
      </c>
      <c r="B1064">
        <v>0</v>
      </c>
      <c r="C1064">
        <v>707000401</v>
      </c>
      <c r="D1064">
        <v>-1</v>
      </c>
      <c r="E1064">
        <v>-1</v>
      </c>
      <c r="F1064">
        <v>428</v>
      </c>
      <c r="G1064">
        <v>-1</v>
      </c>
      <c r="H1064">
        <v>-1</v>
      </c>
      <c r="I1064">
        <v>-1</v>
      </c>
    </row>
    <row r="1065" spans="1:9" x14ac:dyDescent="0.4">
      <c r="A1065">
        <v>7000402</v>
      </c>
      <c r="B1065">
        <v>0</v>
      </c>
      <c r="C1065">
        <v>707000402</v>
      </c>
      <c r="D1065">
        <v>-1</v>
      </c>
      <c r="E1065">
        <v>-1</v>
      </c>
      <c r="F1065">
        <v>428</v>
      </c>
      <c r="G1065">
        <v>-1</v>
      </c>
      <c r="H1065">
        <v>-1</v>
      </c>
      <c r="I1065">
        <v>-1</v>
      </c>
    </row>
    <row r="1066" spans="1:9" x14ac:dyDescent="0.4">
      <c r="A1066">
        <v>7000500</v>
      </c>
      <c r="B1066">
        <v>0</v>
      </c>
      <c r="C1066">
        <v>707000500</v>
      </c>
      <c r="D1066">
        <v>-1</v>
      </c>
      <c r="E1066">
        <v>-1</v>
      </c>
      <c r="F1066">
        <v>428</v>
      </c>
      <c r="G1066">
        <v>-1</v>
      </c>
      <c r="H1066">
        <v>-1</v>
      </c>
      <c r="I1066">
        <v>-1</v>
      </c>
    </row>
    <row r="1067" spans="1:9" x14ac:dyDescent="0.4">
      <c r="A1067">
        <v>7000501</v>
      </c>
      <c r="B1067">
        <v>0</v>
      </c>
      <c r="C1067">
        <v>707000501</v>
      </c>
      <c r="D1067">
        <v>-1</v>
      </c>
      <c r="E1067">
        <v>-1</v>
      </c>
      <c r="F1067">
        <v>428</v>
      </c>
      <c r="G1067">
        <v>-1</v>
      </c>
      <c r="H1067">
        <v>-1</v>
      </c>
      <c r="I1067">
        <v>-1</v>
      </c>
    </row>
    <row r="1068" spans="1:9" x14ac:dyDescent="0.4">
      <c r="A1068">
        <v>7000502</v>
      </c>
      <c r="B1068">
        <v>0</v>
      </c>
      <c r="C1068">
        <v>707000502</v>
      </c>
      <c r="D1068">
        <v>-1</v>
      </c>
      <c r="E1068">
        <v>-1</v>
      </c>
      <c r="F1068">
        <v>428</v>
      </c>
      <c r="G1068">
        <v>-1</v>
      </c>
      <c r="H1068">
        <v>-1</v>
      </c>
      <c r="I1068">
        <v>-1</v>
      </c>
    </row>
    <row r="1069" spans="1:9" x14ac:dyDescent="0.4">
      <c r="A1069">
        <v>7000600</v>
      </c>
      <c r="B1069">
        <v>0</v>
      </c>
      <c r="C1069">
        <v>707000600</v>
      </c>
      <c r="D1069">
        <v>-1</v>
      </c>
      <c r="E1069">
        <v>-1</v>
      </c>
      <c r="F1069">
        <v>428</v>
      </c>
      <c r="G1069">
        <v>-1</v>
      </c>
      <c r="H1069">
        <v>-1</v>
      </c>
      <c r="I1069">
        <v>-1</v>
      </c>
    </row>
    <row r="1070" spans="1:9" x14ac:dyDescent="0.4">
      <c r="A1070">
        <v>7000601</v>
      </c>
      <c r="B1070">
        <v>0</v>
      </c>
      <c r="C1070">
        <v>707000601</v>
      </c>
      <c r="D1070">
        <v>-1</v>
      </c>
      <c r="E1070">
        <v>-1</v>
      </c>
      <c r="F1070">
        <v>428</v>
      </c>
      <c r="G1070">
        <v>-1</v>
      </c>
      <c r="H1070">
        <v>-1</v>
      </c>
      <c r="I1070">
        <v>-1</v>
      </c>
    </row>
    <row r="1071" spans="1:9" x14ac:dyDescent="0.4">
      <c r="A1071">
        <v>7000602</v>
      </c>
      <c r="B1071">
        <v>0</v>
      </c>
      <c r="C1071">
        <v>707000602</v>
      </c>
      <c r="D1071">
        <v>-1</v>
      </c>
      <c r="E1071">
        <v>-1</v>
      </c>
      <c r="F1071">
        <v>428</v>
      </c>
      <c r="G1071">
        <v>-1</v>
      </c>
      <c r="H1071">
        <v>-1</v>
      </c>
      <c r="I1071">
        <v>-1</v>
      </c>
    </row>
    <row r="1072" spans="1:9" x14ac:dyDescent="0.4">
      <c r="A1072">
        <v>7000700</v>
      </c>
      <c r="B1072">
        <v>0</v>
      </c>
      <c r="C1072">
        <v>707000700</v>
      </c>
      <c r="D1072">
        <v>-1</v>
      </c>
      <c r="E1072">
        <v>-1</v>
      </c>
      <c r="F1072">
        <v>428</v>
      </c>
      <c r="G1072">
        <v>-1</v>
      </c>
      <c r="H1072">
        <v>-1</v>
      </c>
      <c r="I1072">
        <v>-1</v>
      </c>
    </row>
    <row r="1073" spans="1:9" x14ac:dyDescent="0.4">
      <c r="A1073">
        <v>7000701</v>
      </c>
      <c r="B1073">
        <v>0</v>
      </c>
      <c r="C1073">
        <v>707000701</v>
      </c>
      <c r="D1073">
        <v>-1</v>
      </c>
      <c r="E1073">
        <v>-1</v>
      </c>
      <c r="F1073">
        <v>428</v>
      </c>
      <c r="G1073">
        <v>-1</v>
      </c>
      <c r="H1073">
        <v>-1</v>
      </c>
      <c r="I1073">
        <v>-1</v>
      </c>
    </row>
    <row r="1074" spans="1:9" x14ac:dyDescent="0.4">
      <c r="A1074">
        <v>7000702</v>
      </c>
      <c r="B1074">
        <v>0</v>
      </c>
      <c r="C1074">
        <v>707000702</v>
      </c>
      <c r="D1074">
        <v>-1</v>
      </c>
      <c r="E1074">
        <v>-1</v>
      </c>
      <c r="F1074">
        <v>428</v>
      </c>
      <c r="G1074">
        <v>-1</v>
      </c>
      <c r="H1074">
        <v>-1</v>
      </c>
      <c r="I1074">
        <v>-1</v>
      </c>
    </row>
    <row r="1075" spans="1:9" x14ac:dyDescent="0.4">
      <c r="A1075">
        <v>7000800</v>
      </c>
      <c r="B1075">
        <v>0</v>
      </c>
      <c r="C1075">
        <v>707000800</v>
      </c>
      <c r="D1075">
        <v>-1</v>
      </c>
      <c r="E1075">
        <v>-1</v>
      </c>
      <c r="F1075">
        <v>428</v>
      </c>
      <c r="G1075">
        <v>-1</v>
      </c>
      <c r="H1075">
        <v>-1</v>
      </c>
      <c r="I1075">
        <v>-1</v>
      </c>
    </row>
    <row r="1076" spans="1:9" x14ac:dyDescent="0.4">
      <c r="A1076">
        <v>7000801</v>
      </c>
      <c r="B1076">
        <v>0</v>
      </c>
      <c r="C1076">
        <v>707000801</v>
      </c>
      <c r="D1076">
        <v>-1</v>
      </c>
      <c r="E1076">
        <v>-1</v>
      </c>
      <c r="F1076">
        <v>428</v>
      </c>
      <c r="G1076">
        <v>-1</v>
      </c>
      <c r="H1076">
        <v>-1</v>
      </c>
      <c r="I1076">
        <v>-1</v>
      </c>
    </row>
    <row r="1077" spans="1:9" x14ac:dyDescent="0.4">
      <c r="A1077">
        <v>7000802</v>
      </c>
      <c r="B1077">
        <v>0</v>
      </c>
      <c r="C1077">
        <v>707000802</v>
      </c>
      <c r="D1077">
        <v>-1</v>
      </c>
      <c r="E1077">
        <v>-1</v>
      </c>
      <c r="F1077">
        <v>428</v>
      </c>
      <c r="G1077">
        <v>-1</v>
      </c>
      <c r="H1077">
        <v>-1</v>
      </c>
      <c r="I1077">
        <v>-1</v>
      </c>
    </row>
    <row r="1078" spans="1:9" x14ac:dyDescent="0.4">
      <c r="A1078">
        <v>7000900</v>
      </c>
      <c r="B1078">
        <v>0</v>
      </c>
      <c r="C1078">
        <v>707000900</v>
      </c>
      <c r="D1078">
        <v>-1</v>
      </c>
      <c r="E1078">
        <v>-1</v>
      </c>
      <c r="F1078">
        <v>428</v>
      </c>
      <c r="G1078">
        <v>-1</v>
      </c>
      <c r="H1078">
        <v>-1</v>
      </c>
      <c r="I1078">
        <v>-1</v>
      </c>
    </row>
    <row r="1079" spans="1:9" x14ac:dyDescent="0.4">
      <c r="A1079">
        <v>7000901</v>
      </c>
      <c r="B1079">
        <v>0</v>
      </c>
      <c r="C1079">
        <v>707000901</v>
      </c>
      <c r="D1079">
        <v>-1</v>
      </c>
      <c r="E1079">
        <v>-1</v>
      </c>
      <c r="F1079">
        <v>428</v>
      </c>
      <c r="G1079">
        <v>-1</v>
      </c>
      <c r="H1079">
        <v>-1</v>
      </c>
      <c r="I1079">
        <v>-1</v>
      </c>
    </row>
    <row r="1080" spans="1:9" x14ac:dyDescent="0.4">
      <c r="A1080">
        <v>7000902</v>
      </c>
      <c r="B1080">
        <v>0</v>
      </c>
      <c r="C1080">
        <v>707000902</v>
      </c>
      <c r="D1080">
        <v>-1</v>
      </c>
      <c r="E1080">
        <v>-1</v>
      </c>
      <c r="F1080">
        <v>428</v>
      </c>
      <c r="G1080">
        <v>-1</v>
      </c>
      <c r="H1080">
        <v>-1</v>
      </c>
      <c r="I1080">
        <v>-1</v>
      </c>
    </row>
    <row r="1081" spans="1:9" x14ac:dyDescent="0.4">
      <c r="A1081">
        <v>7001000</v>
      </c>
      <c r="B1081">
        <v>0</v>
      </c>
      <c r="C1081">
        <v>707001000</v>
      </c>
      <c r="D1081">
        <v>-1</v>
      </c>
      <c r="E1081">
        <v>-1</v>
      </c>
      <c r="F1081">
        <v>428</v>
      </c>
      <c r="G1081">
        <v>-1</v>
      </c>
      <c r="H1081">
        <v>-1</v>
      </c>
      <c r="I1081">
        <v>-1</v>
      </c>
    </row>
    <row r="1082" spans="1:9" x14ac:dyDescent="0.4">
      <c r="A1082">
        <v>7001001</v>
      </c>
      <c r="B1082">
        <v>0</v>
      </c>
      <c r="C1082">
        <v>707001001</v>
      </c>
      <c r="D1082">
        <v>-1</v>
      </c>
      <c r="E1082">
        <v>-1</v>
      </c>
      <c r="F1082">
        <v>428</v>
      </c>
      <c r="G1082">
        <v>-1</v>
      </c>
      <c r="H1082">
        <v>-1</v>
      </c>
      <c r="I1082">
        <v>-1</v>
      </c>
    </row>
    <row r="1083" spans="1:9" x14ac:dyDescent="0.4">
      <c r="A1083">
        <v>7001002</v>
      </c>
      <c r="B1083">
        <v>0</v>
      </c>
      <c r="C1083">
        <v>707001002</v>
      </c>
      <c r="D1083">
        <v>-1</v>
      </c>
      <c r="E1083">
        <v>-1</v>
      </c>
      <c r="F1083">
        <v>428</v>
      </c>
      <c r="G1083">
        <v>-1</v>
      </c>
      <c r="H1083">
        <v>-1</v>
      </c>
      <c r="I1083">
        <v>-1</v>
      </c>
    </row>
    <row r="1084" spans="1:9" x14ac:dyDescent="0.4">
      <c r="A1084">
        <v>7001100</v>
      </c>
      <c r="B1084">
        <v>0</v>
      </c>
      <c r="C1084">
        <v>707001100</v>
      </c>
      <c r="D1084">
        <v>-1</v>
      </c>
      <c r="E1084">
        <v>-1</v>
      </c>
      <c r="F1084">
        <v>428</v>
      </c>
      <c r="G1084">
        <v>-1</v>
      </c>
      <c r="H1084">
        <v>-1</v>
      </c>
      <c r="I1084">
        <v>-1</v>
      </c>
    </row>
    <row r="1085" spans="1:9" x14ac:dyDescent="0.4">
      <c r="A1085">
        <v>7001400</v>
      </c>
      <c r="B1085">
        <v>0</v>
      </c>
      <c r="C1085">
        <v>707001400</v>
      </c>
      <c r="D1085">
        <v>-1</v>
      </c>
      <c r="E1085">
        <v>-1</v>
      </c>
      <c r="F1085">
        <v>428</v>
      </c>
      <c r="G1085">
        <v>-1</v>
      </c>
      <c r="H1085">
        <v>-1</v>
      </c>
      <c r="I1085">
        <v>-1</v>
      </c>
    </row>
    <row r="1086" spans="1:9" x14ac:dyDescent="0.4">
      <c r="A1086">
        <v>7001401</v>
      </c>
      <c r="B1086">
        <v>0</v>
      </c>
      <c r="C1086">
        <v>707001401</v>
      </c>
      <c r="D1086">
        <v>-1</v>
      </c>
      <c r="E1086">
        <v>-1</v>
      </c>
      <c r="F1086">
        <v>428</v>
      </c>
      <c r="G1086">
        <v>-1</v>
      </c>
      <c r="H1086">
        <v>-1</v>
      </c>
      <c r="I1086">
        <v>-1</v>
      </c>
    </row>
    <row r="1087" spans="1:9" x14ac:dyDescent="0.4">
      <c r="A1087">
        <v>7001402</v>
      </c>
      <c r="B1087">
        <v>0</v>
      </c>
      <c r="C1087">
        <v>707001402</v>
      </c>
      <c r="D1087">
        <v>-1</v>
      </c>
      <c r="E1087">
        <v>-1</v>
      </c>
      <c r="F1087">
        <v>428</v>
      </c>
      <c r="G1087">
        <v>-1</v>
      </c>
      <c r="H1087">
        <v>-1</v>
      </c>
      <c r="I1087">
        <v>-1</v>
      </c>
    </row>
    <row r="1088" spans="1:9" x14ac:dyDescent="0.4">
      <c r="A1088">
        <v>7001500</v>
      </c>
      <c r="B1088">
        <v>0</v>
      </c>
      <c r="C1088">
        <v>707001500</v>
      </c>
      <c r="D1088">
        <v>-1</v>
      </c>
      <c r="E1088">
        <v>-1</v>
      </c>
      <c r="F1088">
        <v>428</v>
      </c>
      <c r="G1088">
        <v>-1</v>
      </c>
      <c r="H1088">
        <v>-1</v>
      </c>
      <c r="I1088">
        <v>-1</v>
      </c>
    </row>
    <row r="1089" spans="1:9" x14ac:dyDescent="0.4">
      <c r="A1089">
        <v>7001501</v>
      </c>
      <c r="B1089">
        <v>0</v>
      </c>
      <c r="C1089">
        <v>707001501</v>
      </c>
      <c r="D1089">
        <v>-1</v>
      </c>
      <c r="E1089">
        <v>-1</v>
      </c>
      <c r="F1089">
        <v>428</v>
      </c>
      <c r="G1089">
        <v>-1</v>
      </c>
      <c r="H1089">
        <v>-1</v>
      </c>
      <c r="I1089">
        <v>-1</v>
      </c>
    </row>
    <row r="1090" spans="1:9" x14ac:dyDescent="0.4">
      <c r="A1090">
        <v>7001502</v>
      </c>
      <c r="B1090">
        <v>0</v>
      </c>
      <c r="C1090">
        <v>707001502</v>
      </c>
      <c r="D1090">
        <v>-1</v>
      </c>
      <c r="E1090">
        <v>-1</v>
      </c>
      <c r="F1090">
        <v>428</v>
      </c>
      <c r="G1090">
        <v>-1</v>
      </c>
      <c r="H1090">
        <v>-1</v>
      </c>
      <c r="I1090">
        <v>-1</v>
      </c>
    </row>
    <row r="1091" spans="1:9" x14ac:dyDescent="0.4">
      <c r="A1091">
        <v>7001600</v>
      </c>
      <c r="B1091">
        <v>0</v>
      </c>
      <c r="C1091">
        <v>707001600</v>
      </c>
      <c r="D1091">
        <v>-1</v>
      </c>
      <c r="E1091">
        <v>-1</v>
      </c>
      <c r="F1091">
        <v>428</v>
      </c>
      <c r="G1091">
        <v>-1</v>
      </c>
      <c r="H1091">
        <v>-1</v>
      </c>
      <c r="I1091">
        <v>-1</v>
      </c>
    </row>
    <row r="1092" spans="1:9" x14ac:dyDescent="0.4">
      <c r="A1092">
        <v>7001601</v>
      </c>
      <c r="B1092">
        <v>0</v>
      </c>
      <c r="C1092">
        <v>707001601</v>
      </c>
      <c r="D1092">
        <v>-1</v>
      </c>
      <c r="E1092">
        <v>-1</v>
      </c>
      <c r="F1092">
        <v>428</v>
      </c>
      <c r="G1092">
        <v>-1</v>
      </c>
      <c r="H1092">
        <v>-1</v>
      </c>
      <c r="I1092">
        <v>-1</v>
      </c>
    </row>
    <row r="1093" spans="1:9" x14ac:dyDescent="0.4">
      <c r="A1093">
        <v>7001602</v>
      </c>
      <c r="B1093">
        <v>0</v>
      </c>
      <c r="C1093">
        <v>707001602</v>
      </c>
      <c r="D1093">
        <v>-1</v>
      </c>
      <c r="E1093">
        <v>-1</v>
      </c>
      <c r="F1093">
        <v>428</v>
      </c>
      <c r="G1093">
        <v>-1</v>
      </c>
      <c r="H1093">
        <v>-1</v>
      </c>
      <c r="I1093">
        <v>-1</v>
      </c>
    </row>
    <row r="1094" spans="1:9" x14ac:dyDescent="0.4">
      <c r="A1094">
        <v>7001700</v>
      </c>
      <c r="B1094">
        <v>0</v>
      </c>
      <c r="C1094">
        <v>707001700</v>
      </c>
      <c r="D1094">
        <v>-1</v>
      </c>
      <c r="E1094">
        <v>-1</v>
      </c>
      <c r="F1094">
        <v>428</v>
      </c>
      <c r="G1094">
        <v>-1</v>
      </c>
      <c r="H1094">
        <v>-1</v>
      </c>
      <c r="I1094">
        <v>-1</v>
      </c>
    </row>
    <row r="1095" spans="1:9" x14ac:dyDescent="0.4">
      <c r="A1095">
        <v>7001701</v>
      </c>
      <c r="B1095">
        <v>0</v>
      </c>
      <c r="C1095">
        <v>707001701</v>
      </c>
      <c r="D1095">
        <v>-1</v>
      </c>
      <c r="E1095">
        <v>-1</v>
      </c>
      <c r="F1095">
        <v>428</v>
      </c>
      <c r="G1095">
        <v>-1</v>
      </c>
      <c r="H1095">
        <v>-1</v>
      </c>
      <c r="I1095">
        <v>-1</v>
      </c>
    </row>
    <row r="1096" spans="1:9" x14ac:dyDescent="0.4">
      <c r="A1096">
        <v>7001702</v>
      </c>
      <c r="B1096">
        <v>0</v>
      </c>
      <c r="C1096">
        <v>707001702</v>
      </c>
      <c r="D1096">
        <v>-1</v>
      </c>
      <c r="E1096">
        <v>-1</v>
      </c>
      <c r="F1096">
        <v>428</v>
      </c>
      <c r="G1096">
        <v>-1</v>
      </c>
      <c r="H1096">
        <v>-1</v>
      </c>
      <c r="I1096">
        <v>-1</v>
      </c>
    </row>
    <row r="1097" spans="1:9" x14ac:dyDescent="0.4">
      <c r="A1097">
        <v>7001800</v>
      </c>
      <c r="B1097">
        <v>0</v>
      </c>
      <c r="C1097">
        <v>707001800</v>
      </c>
      <c r="D1097">
        <v>-1</v>
      </c>
      <c r="E1097">
        <v>-1</v>
      </c>
      <c r="F1097">
        <v>428</v>
      </c>
      <c r="G1097">
        <v>-1</v>
      </c>
      <c r="H1097">
        <v>-1</v>
      </c>
      <c r="I1097">
        <v>-1</v>
      </c>
    </row>
    <row r="1098" spans="1:9" x14ac:dyDescent="0.4">
      <c r="A1098">
        <v>7001801</v>
      </c>
      <c r="B1098">
        <v>0</v>
      </c>
      <c r="C1098">
        <v>707001801</v>
      </c>
      <c r="D1098">
        <v>-1</v>
      </c>
      <c r="E1098">
        <v>-1</v>
      </c>
      <c r="F1098">
        <v>428</v>
      </c>
      <c r="G1098">
        <v>-1</v>
      </c>
      <c r="H1098">
        <v>-1</v>
      </c>
      <c r="I1098">
        <v>-1</v>
      </c>
    </row>
    <row r="1099" spans="1:9" x14ac:dyDescent="0.4">
      <c r="A1099">
        <v>7001802</v>
      </c>
      <c r="B1099">
        <v>0</v>
      </c>
      <c r="C1099">
        <v>707001802</v>
      </c>
      <c r="D1099">
        <v>-1</v>
      </c>
      <c r="E1099">
        <v>-1</v>
      </c>
      <c r="F1099">
        <v>428</v>
      </c>
      <c r="G1099">
        <v>-1</v>
      </c>
      <c r="H1099">
        <v>-1</v>
      </c>
      <c r="I1099">
        <v>-1</v>
      </c>
    </row>
    <row r="1100" spans="1:9" x14ac:dyDescent="0.4">
      <c r="A1100">
        <v>7002600</v>
      </c>
      <c r="B1100">
        <v>0</v>
      </c>
      <c r="C1100">
        <v>707002600</v>
      </c>
      <c r="D1100">
        <v>-1</v>
      </c>
      <c r="E1100">
        <v>-1</v>
      </c>
      <c r="F1100">
        <v>428</v>
      </c>
      <c r="G1100">
        <v>-1</v>
      </c>
      <c r="H1100">
        <v>-1</v>
      </c>
      <c r="I1100">
        <v>-1</v>
      </c>
    </row>
    <row r="1101" spans="1:9" x14ac:dyDescent="0.4">
      <c r="A1101">
        <v>7002700</v>
      </c>
      <c r="B1101">
        <v>0</v>
      </c>
      <c r="C1101">
        <v>707002700</v>
      </c>
      <c r="D1101">
        <v>-1</v>
      </c>
      <c r="E1101">
        <v>-1</v>
      </c>
      <c r="F1101">
        <v>428</v>
      </c>
      <c r="G1101">
        <v>-1</v>
      </c>
      <c r="H1101">
        <v>-1</v>
      </c>
      <c r="I1101">
        <v>-1</v>
      </c>
    </row>
    <row r="1102" spans="1:9" x14ac:dyDescent="0.4">
      <c r="A1102">
        <v>7002800</v>
      </c>
      <c r="B1102">
        <v>0</v>
      </c>
      <c r="C1102">
        <v>707002800</v>
      </c>
      <c r="D1102">
        <v>-1</v>
      </c>
      <c r="E1102">
        <v>-1</v>
      </c>
      <c r="F1102">
        <v>428</v>
      </c>
      <c r="G1102">
        <v>-1</v>
      </c>
      <c r="H1102">
        <v>-1</v>
      </c>
      <c r="I1102">
        <v>-1</v>
      </c>
    </row>
    <row r="1103" spans="1:9" x14ac:dyDescent="0.4">
      <c r="A1103">
        <v>7002900</v>
      </c>
      <c r="B1103">
        <v>0</v>
      </c>
      <c r="C1103">
        <v>707002900</v>
      </c>
      <c r="D1103">
        <v>-1</v>
      </c>
      <c r="E1103">
        <v>-1</v>
      </c>
      <c r="F1103">
        <v>428</v>
      </c>
      <c r="G1103">
        <v>-1</v>
      </c>
      <c r="H1103">
        <v>-1</v>
      </c>
      <c r="I1103">
        <v>-1</v>
      </c>
    </row>
    <row r="1104" spans="1:9" x14ac:dyDescent="0.4">
      <c r="A1104">
        <v>7003000</v>
      </c>
      <c r="B1104">
        <v>0</v>
      </c>
      <c r="C1104">
        <v>707003000</v>
      </c>
      <c r="D1104">
        <v>-1</v>
      </c>
      <c r="E1104">
        <v>-1</v>
      </c>
      <c r="F1104">
        <v>428</v>
      </c>
      <c r="G1104">
        <v>-1</v>
      </c>
      <c r="H1104">
        <v>-1</v>
      </c>
      <c r="I1104">
        <v>-1</v>
      </c>
    </row>
    <row r="1105" spans="1:9" x14ac:dyDescent="0.4">
      <c r="A1105">
        <v>7003100</v>
      </c>
      <c r="B1105">
        <v>0</v>
      </c>
      <c r="C1105">
        <v>707003100</v>
      </c>
      <c r="D1105">
        <v>-1</v>
      </c>
      <c r="E1105">
        <v>-1</v>
      </c>
      <c r="F1105">
        <v>428</v>
      </c>
      <c r="G1105">
        <v>-1</v>
      </c>
      <c r="H1105">
        <v>-1</v>
      </c>
      <c r="I1105">
        <v>-1</v>
      </c>
    </row>
    <row r="1106" spans="1:9" x14ac:dyDescent="0.4">
      <c r="A1106">
        <v>7003200</v>
      </c>
      <c r="B1106">
        <v>0</v>
      </c>
      <c r="C1106">
        <v>707003200</v>
      </c>
      <c r="D1106">
        <v>-1</v>
      </c>
      <c r="E1106">
        <v>-1</v>
      </c>
      <c r="F1106">
        <v>428</v>
      </c>
      <c r="G1106">
        <v>-1</v>
      </c>
      <c r="H1106">
        <v>-1</v>
      </c>
      <c r="I1106">
        <v>-1</v>
      </c>
    </row>
    <row r="1107" spans="1:9" x14ac:dyDescent="0.4">
      <c r="A1107">
        <v>7003300</v>
      </c>
      <c r="B1107">
        <v>0</v>
      </c>
      <c r="C1107">
        <v>707003300</v>
      </c>
      <c r="D1107">
        <v>-1</v>
      </c>
      <c r="E1107">
        <v>-1</v>
      </c>
      <c r="F1107">
        <v>428</v>
      </c>
      <c r="G1107">
        <v>-1</v>
      </c>
      <c r="H1107">
        <v>-1</v>
      </c>
      <c r="I1107">
        <v>-1</v>
      </c>
    </row>
    <row r="1108" spans="1:9" x14ac:dyDescent="0.4">
      <c r="A1108">
        <v>7003400</v>
      </c>
      <c r="B1108">
        <v>0</v>
      </c>
      <c r="C1108">
        <v>707003400</v>
      </c>
      <c r="D1108">
        <v>-1</v>
      </c>
      <c r="E1108">
        <v>-1</v>
      </c>
      <c r="F1108">
        <v>428</v>
      </c>
      <c r="G1108">
        <v>-1</v>
      </c>
      <c r="H1108">
        <v>-1</v>
      </c>
      <c r="I1108">
        <v>-1</v>
      </c>
    </row>
    <row r="1109" spans="1:9" x14ac:dyDescent="0.4">
      <c r="A1109">
        <v>7003500</v>
      </c>
      <c r="B1109">
        <v>0</v>
      </c>
      <c r="C1109">
        <v>707003500</v>
      </c>
      <c r="D1109">
        <v>-1</v>
      </c>
      <c r="E1109">
        <v>-1</v>
      </c>
      <c r="F1109">
        <v>428</v>
      </c>
      <c r="G1109">
        <v>-1</v>
      </c>
      <c r="H1109">
        <v>-1</v>
      </c>
      <c r="I1109">
        <v>-1</v>
      </c>
    </row>
    <row r="1110" spans="1:9" x14ac:dyDescent="0.4">
      <c r="A1110">
        <v>7003600</v>
      </c>
      <c r="B1110">
        <v>0</v>
      </c>
      <c r="C1110">
        <v>707003600</v>
      </c>
      <c r="D1110">
        <v>-1</v>
      </c>
      <c r="E1110">
        <v>-1</v>
      </c>
      <c r="F1110">
        <v>428</v>
      </c>
      <c r="G1110">
        <v>-1</v>
      </c>
      <c r="H1110">
        <v>-1</v>
      </c>
      <c r="I1110">
        <v>-1</v>
      </c>
    </row>
    <row r="1111" spans="1:9" x14ac:dyDescent="0.4">
      <c r="A1111">
        <v>7005600</v>
      </c>
      <c r="B1111">
        <v>0</v>
      </c>
      <c r="C1111">
        <v>707005600</v>
      </c>
      <c r="D1111">
        <v>-1</v>
      </c>
      <c r="E1111">
        <v>-1</v>
      </c>
      <c r="F1111">
        <v>428</v>
      </c>
      <c r="G1111">
        <v>-1</v>
      </c>
      <c r="H1111">
        <v>-1</v>
      </c>
      <c r="I1111">
        <v>-1</v>
      </c>
    </row>
    <row r="1112" spans="1:9" x14ac:dyDescent="0.4">
      <c r="A1112">
        <v>7006000</v>
      </c>
      <c r="B1112">
        <v>0</v>
      </c>
      <c r="C1112">
        <v>707006000</v>
      </c>
      <c r="D1112">
        <v>-1</v>
      </c>
      <c r="E1112">
        <v>-1</v>
      </c>
      <c r="F1112">
        <v>428</v>
      </c>
      <c r="G1112">
        <v>-1</v>
      </c>
      <c r="H1112">
        <v>-1</v>
      </c>
      <c r="I1112">
        <v>-1</v>
      </c>
    </row>
    <row r="1113" spans="1:9" x14ac:dyDescent="0.4">
      <c r="A1113">
        <v>7006001</v>
      </c>
      <c r="B1113">
        <v>0</v>
      </c>
      <c r="C1113">
        <v>707006001</v>
      </c>
      <c r="D1113">
        <v>-1</v>
      </c>
      <c r="E1113">
        <v>-1</v>
      </c>
      <c r="F1113">
        <v>428</v>
      </c>
      <c r="G1113">
        <v>-1</v>
      </c>
      <c r="H1113">
        <v>-1</v>
      </c>
      <c r="I1113">
        <v>-1</v>
      </c>
    </row>
    <row r="1114" spans="1:9" x14ac:dyDescent="0.4">
      <c r="A1114">
        <v>7006100</v>
      </c>
      <c r="B1114">
        <v>0</v>
      </c>
      <c r="C1114">
        <v>707006100</v>
      </c>
      <c r="D1114">
        <v>-1</v>
      </c>
      <c r="E1114">
        <v>-1</v>
      </c>
      <c r="F1114">
        <v>428</v>
      </c>
      <c r="G1114">
        <v>-1</v>
      </c>
      <c r="H1114">
        <v>-1</v>
      </c>
      <c r="I1114">
        <v>-1</v>
      </c>
    </row>
    <row r="1115" spans="1:9" x14ac:dyDescent="0.4">
      <c r="A1115">
        <v>7006101</v>
      </c>
      <c r="B1115">
        <v>0</v>
      </c>
      <c r="C1115">
        <v>707006101</v>
      </c>
      <c r="D1115">
        <v>-1</v>
      </c>
      <c r="E1115">
        <v>-1</v>
      </c>
      <c r="F1115">
        <v>428</v>
      </c>
      <c r="G1115">
        <v>-1</v>
      </c>
      <c r="H1115">
        <v>-1</v>
      </c>
      <c r="I1115">
        <v>-1</v>
      </c>
    </row>
    <row r="1116" spans="1:9" x14ac:dyDescent="0.4">
      <c r="A1116">
        <v>7006200</v>
      </c>
      <c r="B1116">
        <v>0</v>
      </c>
      <c r="C1116">
        <v>707006200</v>
      </c>
      <c r="D1116">
        <v>-1</v>
      </c>
      <c r="E1116">
        <v>-1</v>
      </c>
      <c r="F1116">
        <v>428</v>
      </c>
      <c r="G1116">
        <v>-1</v>
      </c>
      <c r="H1116">
        <v>-1</v>
      </c>
      <c r="I1116">
        <v>-1</v>
      </c>
    </row>
    <row r="1117" spans="1:9" x14ac:dyDescent="0.4">
      <c r="A1117">
        <v>7006300</v>
      </c>
      <c r="B1117">
        <v>0</v>
      </c>
      <c r="C1117">
        <v>707006300</v>
      </c>
      <c r="D1117">
        <v>-1</v>
      </c>
      <c r="E1117">
        <v>-1</v>
      </c>
      <c r="F1117">
        <v>428</v>
      </c>
      <c r="G1117">
        <v>-1</v>
      </c>
      <c r="H1117">
        <v>-1</v>
      </c>
      <c r="I1117">
        <v>-1</v>
      </c>
    </row>
    <row r="1118" spans="1:9" x14ac:dyDescent="0.4">
      <c r="A1118">
        <v>7006400</v>
      </c>
      <c r="B1118">
        <v>0</v>
      </c>
      <c r="C1118">
        <v>707006400</v>
      </c>
      <c r="D1118">
        <v>-1</v>
      </c>
      <c r="E1118">
        <v>-1</v>
      </c>
      <c r="F1118">
        <v>428</v>
      </c>
      <c r="G1118">
        <v>-1</v>
      </c>
      <c r="H1118">
        <v>-1</v>
      </c>
      <c r="I1118">
        <v>-1</v>
      </c>
    </row>
    <row r="1119" spans="1:9" x14ac:dyDescent="0.4">
      <c r="A1119">
        <v>7006500</v>
      </c>
      <c r="B1119">
        <v>0</v>
      </c>
      <c r="C1119">
        <v>707006500</v>
      </c>
      <c r="D1119">
        <v>-1</v>
      </c>
      <c r="E1119">
        <v>-1</v>
      </c>
      <c r="F1119">
        <v>428</v>
      </c>
      <c r="G1119">
        <v>-1</v>
      </c>
      <c r="H1119">
        <v>-1</v>
      </c>
      <c r="I1119">
        <v>-1</v>
      </c>
    </row>
    <row r="1120" spans="1:9" x14ac:dyDescent="0.4">
      <c r="A1120">
        <v>7006600</v>
      </c>
      <c r="B1120">
        <v>0</v>
      </c>
      <c r="C1120">
        <v>707006600</v>
      </c>
      <c r="D1120">
        <v>-1</v>
      </c>
      <c r="E1120">
        <v>-1</v>
      </c>
      <c r="F1120">
        <v>428</v>
      </c>
      <c r="G1120">
        <v>-1</v>
      </c>
      <c r="H1120">
        <v>-1</v>
      </c>
      <c r="I1120">
        <v>-1</v>
      </c>
    </row>
    <row r="1121" spans="1:9" x14ac:dyDescent="0.4">
      <c r="A1121">
        <v>7006700</v>
      </c>
      <c r="B1121">
        <v>0</v>
      </c>
      <c r="C1121">
        <v>707006700</v>
      </c>
      <c r="D1121">
        <v>-1</v>
      </c>
      <c r="E1121">
        <v>-1</v>
      </c>
      <c r="F1121">
        <v>428</v>
      </c>
      <c r="G1121">
        <v>-1</v>
      </c>
      <c r="H1121">
        <v>-1</v>
      </c>
      <c r="I1121">
        <v>-1</v>
      </c>
    </row>
    <row r="1122" spans="1:9" x14ac:dyDescent="0.4">
      <c r="A1122">
        <v>7010200</v>
      </c>
      <c r="B1122">
        <v>0</v>
      </c>
      <c r="C1122">
        <v>707010200</v>
      </c>
      <c r="D1122">
        <v>-1</v>
      </c>
      <c r="E1122">
        <v>-1</v>
      </c>
      <c r="F1122">
        <v>428</v>
      </c>
      <c r="G1122">
        <v>-1</v>
      </c>
      <c r="H1122">
        <v>-1</v>
      </c>
      <c r="I1122">
        <v>-1</v>
      </c>
    </row>
    <row r="1123" spans="1:9" x14ac:dyDescent="0.4">
      <c r="A1123">
        <v>7010500</v>
      </c>
      <c r="B1123">
        <v>0</v>
      </c>
      <c r="C1123">
        <v>707010500</v>
      </c>
      <c r="D1123">
        <v>-1</v>
      </c>
      <c r="E1123">
        <v>-1</v>
      </c>
      <c r="F1123">
        <v>428</v>
      </c>
      <c r="G1123">
        <v>-1</v>
      </c>
      <c r="H1123">
        <v>-1</v>
      </c>
      <c r="I1123">
        <v>-1</v>
      </c>
    </row>
    <row r="1124" spans="1:9" x14ac:dyDescent="0.4">
      <c r="A1124">
        <v>7010700</v>
      </c>
      <c r="B1124">
        <v>0</v>
      </c>
      <c r="C1124">
        <v>707010700</v>
      </c>
      <c r="D1124">
        <v>-1</v>
      </c>
      <c r="E1124">
        <v>-1</v>
      </c>
      <c r="F1124">
        <v>428</v>
      </c>
      <c r="G1124">
        <v>-1</v>
      </c>
      <c r="H1124">
        <v>-1</v>
      </c>
      <c r="I1124">
        <v>-1</v>
      </c>
    </row>
    <row r="1125" spans="1:9" x14ac:dyDescent="0.4">
      <c r="A1125">
        <v>7010900</v>
      </c>
      <c r="B1125">
        <v>0</v>
      </c>
      <c r="C1125">
        <v>707010900</v>
      </c>
      <c r="D1125">
        <v>-1</v>
      </c>
      <c r="E1125">
        <v>-1</v>
      </c>
      <c r="F1125">
        <v>428</v>
      </c>
      <c r="G1125">
        <v>-1</v>
      </c>
      <c r="H1125">
        <v>-1</v>
      </c>
      <c r="I1125">
        <v>-1</v>
      </c>
    </row>
    <row r="1126" spans="1:9" x14ac:dyDescent="0.4">
      <c r="A1126">
        <v>7011000</v>
      </c>
      <c r="B1126">
        <v>0</v>
      </c>
      <c r="C1126">
        <v>707011000</v>
      </c>
      <c r="D1126">
        <v>-1</v>
      </c>
      <c r="E1126">
        <v>-1</v>
      </c>
      <c r="F1126">
        <v>428</v>
      </c>
      <c r="G1126">
        <v>-1</v>
      </c>
      <c r="H1126">
        <v>-1</v>
      </c>
      <c r="I1126">
        <v>-1</v>
      </c>
    </row>
    <row r="1127" spans="1:9" x14ac:dyDescent="0.4">
      <c r="A1127">
        <v>7011200</v>
      </c>
      <c r="B1127">
        <v>0</v>
      </c>
      <c r="C1127">
        <v>707011200</v>
      </c>
      <c r="D1127">
        <v>-1</v>
      </c>
      <c r="E1127">
        <v>-1</v>
      </c>
      <c r="F1127">
        <v>428</v>
      </c>
      <c r="G1127">
        <v>-1</v>
      </c>
      <c r="H1127">
        <v>-1</v>
      </c>
      <c r="I1127">
        <v>-1</v>
      </c>
    </row>
    <row r="1128" spans="1:9" x14ac:dyDescent="0.4">
      <c r="A1128">
        <v>7011600</v>
      </c>
      <c r="B1128">
        <v>0</v>
      </c>
      <c r="C1128">
        <v>707011600</v>
      </c>
      <c r="D1128">
        <v>-1</v>
      </c>
      <c r="E1128">
        <v>-1</v>
      </c>
      <c r="F1128">
        <v>428</v>
      </c>
      <c r="G1128">
        <v>-1</v>
      </c>
      <c r="H1128">
        <v>-1</v>
      </c>
      <c r="I1128">
        <v>-1</v>
      </c>
    </row>
    <row r="1129" spans="1:9" x14ac:dyDescent="0.4">
      <c r="A1129">
        <v>7011700</v>
      </c>
      <c r="B1129">
        <v>0</v>
      </c>
      <c r="C1129">
        <v>707011700</v>
      </c>
      <c r="D1129">
        <v>-1</v>
      </c>
      <c r="E1129">
        <v>-1</v>
      </c>
      <c r="F1129">
        <v>428</v>
      </c>
      <c r="G1129">
        <v>-1</v>
      </c>
      <c r="H1129">
        <v>-1</v>
      </c>
      <c r="I1129">
        <v>-1</v>
      </c>
    </row>
    <row r="1130" spans="1:9" x14ac:dyDescent="0.4">
      <c r="A1130">
        <v>7012000</v>
      </c>
      <c r="B1130">
        <v>0</v>
      </c>
      <c r="C1130">
        <v>707012000</v>
      </c>
      <c r="D1130">
        <v>-1</v>
      </c>
      <c r="E1130">
        <v>-1</v>
      </c>
      <c r="F1130">
        <v>428</v>
      </c>
      <c r="G1130">
        <v>-1</v>
      </c>
      <c r="H1130">
        <v>-1</v>
      </c>
      <c r="I1130">
        <v>-1</v>
      </c>
    </row>
    <row r="1131" spans="1:9" x14ac:dyDescent="0.4">
      <c r="A1131">
        <v>7012200</v>
      </c>
      <c r="B1131">
        <v>0</v>
      </c>
      <c r="C1131">
        <v>707012200</v>
      </c>
      <c r="D1131">
        <v>-1</v>
      </c>
      <c r="E1131">
        <v>-1</v>
      </c>
      <c r="F1131">
        <v>428</v>
      </c>
      <c r="G1131">
        <v>-1</v>
      </c>
      <c r="H1131">
        <v>-1</v>
      </c>
      <c r="I1131">
        <v>-1</v>
      </c>
    </row>
    <row r="1132" spans="1:9" x14ac:dyDescent="0.4">
      <c r="A1132">
        <v>7012300</v>
      </c>
      <c r="B1132">
        <v>0</v>
      </c>
      <c r="C1132">
        <v>707012300</v>
      </c>
      <c r="D1132">
        <v>-1</v>
      </c>
      <c r="E1132">
        <v>-1</v>
      </c>
      <c r="F1132">
        <v>428</v>
      </c>
      <c r="G1132">
        <v>-1</v>
      </c>
      <c r="H1132">
        <v>-1</v>
      </c>
      <c r="I1132">
        <v>-1</v>
      </c>
    </row>
    <row r="1133" spans="1:9" x14ac:dyDescent="0.4">
      <c r="A1133">
        <v>7020000</v>
      </c>
      <c r="B1133">
        <v>0</v>
      </c>
      <c r="C1133">
        <v>707020000</v>
      </c>
      <c r="D1133">
        <v>-1</v>
      </c>
      <c r="E1133">
        <v>-1</v>
      </c>
      <c r="F1133">
        <v>428</v>
      </c>
      <c r="G1133">
        <v>-1</v>
      </c>
      <c r="H1133">
        <v>-1</v>
      </c>
      <c r="I1133">
        <v>-1</v>
      </c>
    </row>
    <row r="1134" spans="1:9" x14ac:dyDescent="0.4">
      <c r="A1134">
        <v>7030000</v>
      </c>
      <c r="B1134">
        <v>0</v>
      </c>
      <c r="C1134">
        <v>707030000</v>
      </c>
      <c r="D1134">
        <v>-1</v>
      </c>
      <c r="E1134">
        <v>-1</v>
      </c>
      <c r="F1134">
        <v>428</v>
      </c>
      <c r="G1134">
        <v>-1</v>
      </c>
      <c r="H1134">
        <v>-1</v>
      </c>
      <c r="I1134">
        <v>-1</v>
      </c>
    </row>
    <row r="1135" spans="1:9" x14ac:dyDescent="0.4">
      <c r="A1135">
        <v>7030200</v>
      </c>
      <c r="B1135">
        <v>0</v>
      </c>
      <c r="C1135">
        <v>707030200</v>
      </c>
      <c r="D1135">
        <v>-1</v>
      </c>
      <c r="E1135">
        <v>-1</v>
      </c>
      <c r="F1135">
        <v>428</v>
      </c>
      <c r="G1135">
        <v>-1</v>
      </c>
      <c r="H1135">
        <v>-1</v>
      </c>
      <c r="I1135">
        <v>-1</v>
      </c>
    </row>
    <row r="1136" spans="1:9" x14ac:dyDescent="0.4">
      <c r="A1136">
        <v>7030600</v>
      </c>
      <c r="B1136">
        <v>0</v>
      </c>
      <c r="C1136">
        <v>707030600</v>
      </c>
      <c r="D1136">
        <v>-1</v>
      </c>
      <c r="E1136">
        <v>-1</v>
      </c>
      <c r="F1136">
        <v>428</v>
      </c>
      <c r="G1136">
        <v>-1</v>
      </c>
      <c r="H1136">
        <v>-1</v>
      </c>
      <c r="I1136">
        <v>-1</v>
      </c>
    </row>
    <row r="1137" spans="1:9" x14ac:dyDescent="0.4">
      <c r="A1137">
        <v>7030700</v>
      </c>
      <c r="B1137">
        <v>0</v>
      </c>
      <c r="C1137">
        <v>707030700</v>
      </c>
      <c r="D1137">
        <v>-1</v>
      </c>
      <c r="E1137">
        <v>-1</v>
      </c>
      <c r="F1137">
        <v>428</v>
      </c>
      <c r="G1137">
        <v>-1</v>
      </c>
      <c r="H1137">
        <v>-1</v>
      </c>
      <c r="I1137">
        <v>-1</v>
      </c>
    </row>
    <row r="1138" spans="1:9" x14ac:dyDescent="0.4">
      <c r="A1138">
        <v>7030800</v>
      </c>
      <c r="B1138">
        <v>0</v>
      </c>
      <c r="C1138">
        <v>707030800</v>
      </c>
      <c r="D1138">
        <v>-1</v>
      </c>
      <c r="E1138">
        <v>-1</v>
      </c>
      <c r="F1138">
        <v>428</v>
      </c>
      <c r="G1138">
        <v>-1</v>
      </c>
      <c r="H1138">
        <v>-1</v>
      </c>
      <c r="I1138">
        <v>-1</v>
      </c>
    </row>
    <row r="1139" spans="1:9" x14ac:dyDescent="0.4">
      <c r="A1139">
        <v>7030900</v>
      </c>
      <c r="B1139">
        <v>0</v>
      </c>
      <c r="C1139">
        <v>707030900</v>
      </c>
      <c r="D1139">
        <v>-1</v>
      </c>
      <c r="E1139">
        <v>-1</v>
      </c>
      <c r="F1139">
        <v>428</v>
      </c>
      <c r="G1139">
        <v>-1</v>
      </c>
      <c r="H1139">
        <v>-1</v>
      </c>
      <c r="I1139">
        <v>-1</v>
      </c>
    </row>
    <row r="1140" spans="1:9" x14ac:dyDescent="0.4">
      <c r="A1140">
        <v>7031200</v>
      </c>
      <c r="B1140">
        <v>0</v>
      </c>
      <c r="C1140">
        <v>707031200</v>
      </c>
      <c r="D1140">
        <v>-1</v>
      </c>
      <c r="E1140">
        <v>-1</v>
      </c>
      <c r="F1140">
        <v>428</v>
      </c>
      <c r="G1140">
        <v>-1</v>
      </c>
      <c r="H1140">
        <v>-1</v>
      </c>
      <c r="I1140">
        <v>-1</v>
      </c>
    </row>
    <row r="1141" spans="1:9" x14ac:dyDescent="0.4">
      <c r="A1141">
        <v>7031300</v>
      </c>
      <c r="B1141">
        <v>0</v>
      </c>
      <c r="C1141">
        <v>707031300</v>
      </c>
      <c r="D1141">
        <v>-1</v>
      </c>
      <c r="E1141">
        <v>-1</v>
      </c>
      <c r="F1141">
        <v>428</v>
      </c>
      <c r="G1141">
        <v>-1</v>
      </c>
      <c r="H1141">
        <v>-1</v>
      </c>
      <c r="I1141">
        <v>-1</v>
      </c>
    </row>
    <row r="1142" spans="1:9" x14ac:dyDescent="0.4">
      <c r="A1142">
        <v>7031800</v>
      </c>
      <c r="B1142">
        <v>0</v>
      </c>
      <c r="C1142">
        <v>707031800</v>
      </c>
      <c r="D1142">
        <v>-1</v>
      </c>
      <c r="E1142">
        <v>-1</v>
      </c>
      <c r="F1142">
        <v>428</v>
      </c>
      <c r="G1142">
        <v>-1</v>
      </c>
      <c r="H1142">
        <v>-1</v>
      </c>
      <c r="I1142">
        <v>-1</v>
      </c>
    </row>
    <row r="1143" spans="1:9" x14ac:dyDescent="0.4">
      <c r="A1143">
        <v>7031900</v>
      </c>
      <c r="B1143">
        <v>0</v>
      </c>
      <c r="C1143">
        <v>707031900</v>
      </c>
      <c r="D1143">
        <v>-1</v>
      </c>
      <c r="E1143">
        <v>-1</v>
      </c>
      <c r="F1143">
        <v>428</v>
      </c>
      <c r="G1143">
        <v>-1</v>
      </c>
      <c r="H1143">
        <v>-1</v>
      </c>
      <c r="I1143">
        <v>-1</v>
      </c>
    </row>
    <row r="1144" spans="1:9" x14ac:dyDescent="0.4">
      <c r="A1144">
        <v>7032200</v>
      </c>
      <c r="B1144">
        <v>0</v>
      </c>
      <c r="C1144">
        <v>707032200</v>
      </c>
      <c r="D1144">
        <v>-1</v>
      </c>
      <c r="E1144">
        <v>-1</v>
      </c>
      <c r="F1144">
        <v>428</v>
      </c>
      <c r="G1144">
        <v>-1</v>
      </c>
      <c r="H1144">
        <v>-1</v>
      </c>
      <c r="I1144">
        <v>-1</v>
      </c>
    </row>
    <row r="1145" spans="1:9" x14ac:dyDescent="0.4">
      <c r="A1145">
        <v>7032400</v>
      </c>
      <c r="B1145">
        <v>0</v>
      </c>
      <c r="C1145">
        <v>707032400</v>
      </c>
      <c r="D1145">
        <v>-1</v>
      </c>
      <c r="E1145">
        <v>-1</v>
      </c>
      <c r="F1145">
        <v>428</v>
      </c>
      <c r="G1145">
        <v>-1</v>
      </c>
      <c r="H1145">
        <v>-1</v>
      </c>
      <c r="I1145">
        <v>-1</v>
      </c>
    </row>
    <row r="1146" spans="1:9" x14ac:dyDescent="0.4">
      <c r="A1146">
        <v>7032700</v>
      </c>
      <c r="B1146">
        <v>0</v>
      </c>
      <c r="C1146">
        <v>707032700</v>
      </c>
      <c r="D1146">
        <v>-1</v>
      </c>
      <c r="E1146">
        <v>-1</v>
      </c>
      <c r="F1146">
        <v>428</v>
      </c>
      <c r="G1146">
        <v>-1</v>
      </c>
      <c r="H1146">
        <v>-1</v>
      </c>
      <c r="I1146">
        <v>-1</v>
      </c>
    </row>
    <row r="1147" spans="1:9" x14ac:dyDescent="0.4">
      <c r="A1147">
        <v>7032800</v>
      </c>
      <c r="B1147">
        <v>0</v>
      </c>
      <c r="C1147">
        <v>707032800</v>
      </c>
      <c r="D1147">
        <v>-1</v>
      </c>
      <c r="E1147">
        <v>-1</v>
      </c>
      <c r="F1147">
        <v>428</v>
      </c>
      <c r="G1147">
        <v>-1</v>
      </c>
      <c r="H1147">
        <v>-1</v>
      </c>
      <c r="I1147">
        <v>-1</v>
      </c>
    </row>
    <row r="1148" spans="1:9" x14ac:dyDescent="0.4">
      <c r="A1148">
        <v>7032900</v>
      </c>
      <c r="B1148">
        <v>0</v>
      </c>
      <c r="C1148">
        <v>707032900</v>
      </c>
      <c r="D1148">
        <v>-1</v>
      </c>
      <c r="E1148">
        <v>-1</v>
      </c>
      <c r="F1148">
        <v>428</v>
      </c>
      <c r="G1148">
        <v>-1</v>
      </c>
      <c r="H1148">
        <v>-1</v>
      </c>
      <c r="I1148">
        <v>-1</v>
      </c>
    </row>
    <row r="1149" spans="1:9" x14ac:dyDescent="0.4">
      <c r="A1149">
        <v>7033200</v>
      </c>
      <c r="B1149">
        <v>0</v>
      </c>
      <c r="C1149">
        <v>707033200</v>
      </c>
      <c r="D1149">
        <v>-1</v>
      </c>
      <c r="E1149">
        <v>-1</v>
      </c>
      <c r="F1149">
        <v>428</v>
      </c>
      <c r="G1149">
        <v>-1</v>
      </c>
      <c r="H1149">
        <v>-1</v>
      </c>
      <c r="I1149">
        <v>-1</v>
      </c>
    </row>
    <row r="1150" spans="1:9" x14ac:dyDescent="0.4">
      <c r="A1150">
        <v>7033300</v>
      </c>
      <c r="B1150">
        <v>0</v>
      </c>
      <c r="C1150">
        <v>707033300</v>
      </c>
      <c r="D1150">
        <v>-1</v>
      </c>
      <c r="E1150">
        <v>-1</v>
      </c>
      <c r="F1150">
        <v>428</v>
      </c>
      <c r="G1150">
        <v>-1</v>
      </c>
      <c r="H1150">
        <v>-1</v>
      </c>
      <c r="I1150">
        <v>-1</v>
      </c>
    </row>
    <row r="1151" spans="1:9" x14ac:dyDescent="0.4">
      <c r="A1151">
        <v>7033400</v>
      </c>
      <c r="B1151">
        <v>0</v>
      </c>
      <c r="C1151">
        <v>707033400</v>
      </c>
      <c r="D1151">
        <v>-1</v>
      </c>
      <c r="E1151">
        <v>-1</v>
      </c>
      <c r="F1151">
        <v>428</v>
      </c>
      <c r="G1151">
        <v>-1</v>
      </c>
      <c r="H1151">
        <v>-1</v>
      </c>
      <c r="I1151">
        <v>-1</v>
      </c>
    </row>
    <row r="1152" spans="1:9" x14ac:dyDescent="0.4">
      <c r="A1152">
        <v>7034100</v>
      </c>
      <c r="B1152">
        <v>0</v>
      </c>
      <c r="C1152">
        <v>707034100</v>
      </c>
      <c r="D1152">
        <v>-1</v>
      </c>
      <c r="E1152">
        <v>-1</v>
      </c>
      <c r="F1152">
        <v>428</v>
      </c>
      <c r="G1152">
        <v>-1</v>
      </c>
      <c r="H1152">
        <v>-1</v>
      </c>
      <c r="I1152">
        <v>-1</v>
      </c>
    </row>
    <row r="1153" spans="1:9" x14ac:dyDescent="0.4">
      <c r="A1153">
        <v>7034400</v>
      </c>
      <c r="B1153">
        <v>0</v>
      </c>
      <c r="C1153">
        <v>707034400</v>
      </c>
      <c r="D1153">
        <v>-1</v>
      </c>
      <c r="E1153">
        <v>-1</v>
      </c>
      <c r="F1153">
        <v>428</v>
      </c>
      <c r="G1153">
        <v>-1</v>
      </c>
      <c r="H1153">
        <v>-1</v>
      </c>
      <c r="I1153">
        <v>-1</v>
      </c>
    </row>
    <row r="1154" spans="1:9" x14ac:dyDescent="0.4">
      <c r="A1154">
        <v>7034500</v>
      </c>
      <c r="B1154">
        <v>0</v>
      </c>
      <c r="C1154">
        <v>707034500</v>
      </c>
      <c r="D1154">
        <v>-1</v>
      </c>
      <c r="E1154">
        <v>-1</v>
      </c>
      <c r="F1154">
        <v>428</v>
      </c>
      <c r="G1154">
        <v>-1</v>
      </c>
      <c r="H1154">
        <v>-1</v>
      </c>
      <c r="I1154">
        <v>-1</v>
      </c>
    </row>
    <row r="1155" spans="1:9" x14ac:dyDescent="0.4">
      <c r="A1155">
        <v>7034600</v>
      </c>
      <c r="B1155">
        <v>0</v>
      </c>
      <c r="C1155">
        <v>707034600</v>
      </c>
      <c r="D1155">
        <v>-1</v>
      </c>
      <c r="E1155">
        <v>-1</v>
      </c>
      <c r="F1155">
        <v>428</v>
      </c>
      <c r="G1155">
        <v>-1</v>
      </c>
      <c r="H1155">
        <v>-1</v>
      </c>
      <c r="I1155">
        <v>-1</v>
      </c>
    </row>
    <row r="1156" spans="1:9" x14ac:dyDescent="0.4">
      <c r="A1156">
        <v>7034700</v>
      </c>
      <c r="B1156">
        <v>0</v>
      </c>
      <c r="C1156">
        <v>707034700</v>
      </c>
      <c r="D1156">
        <v>-1</v>
      </c>
      <c r="E1156">
        <v>-1</v>
      </c>
      <c r="F1156">
        <v>428</v>
      </c>
      <c r="G1156">
        <v>-1</v>
      </c>
      <c r="H1156">
        <v>-1</v>
      </c>
      <c r="I1156">
        <v>-1</v>
      </c>
    </row>
    <row r="1157" spans="1:9" x14ac:dyDescent="0.4">
      <c r="A1157">
        <v>7035100</v>
      </c>
      <c r="B1157">
        <v>0</v>
      </c>
      <c r="C1157">
        <v>707035100</v>
      </c>
      <c r="D1157">
        <v>-1</v>
      </c>
      <c r="E1157">
        <v>-1</v>
      </c>
      <c r="F1157">
        <v>428</v>
      </c>
      <c r="G1157">
        <v>-1</v>
      </c>
      <c r="H1157">
        <v>-1</v>
      </c>
      <c r="I1157">
        <v>-1</v>
      </c>
    </row>
    <row r="1158" spans="1:9" x14ac:dyDescent="0.4">
      <c r="A1158">
        <v>7035400</v>
      </c>
      <c r="B1158">
        <v>0</v>
      </c>
      <c r="C1158">
        <v>707035400</v>
      </c>
      <c r="D1158">
        <v>-1</v>
      </c>
      <c r="E1158">
        <v>-1</v>
      </c>
      <c r="F1158">
        <v>428</v>
      </c>
      <c r="G1158">
        <v>-1</v>
      </c>
      <c r="H1158">
        <v>-1</v>
      </c>
      <c r="I1158">
        <v>-1</v>
      </c>
    </row>
    <row r="1159" spans="1:9" x14ac:dyDescent="0.4">
      <c r="A1159">
        <v>7035410</v>
      </c>
      <c r="B1159">
        <v>0</v>
      </c>
      <c r="C1159">
        <v>707035410</v>
      </c>
      <c r="D1159">
        <v>-1</v>
      </c>
      <c r="E1159">
        <v>-1</v>
      </c>
      <c r="F1159">
        <v>428</v>
      </c>
      <c r="G1159">
        <v>-1</v>
      </c>
      <c r="H1159">
        <v>-1</v>
      </c>
      <c r="I1159">
        <v>-1</v>
      </c>
    </row>
    <row r="1160" spans="1:9" x14ac:dyDescent="0.4">
      <c r="A1160">
        <v>7035500</v>
      </c>
      <c r="B1160">
        <v>0</v>
      </c>
      <c r="C1160">
        <v>707035500</v>
      </c>
      <c r="D1160">
        <v>-1</v>
      </c>
      <c r="E1160">
        <v>-1</v>
      </c>
      <c r="F1160">
        <v>428</v>
      </c>
      <c r="G1160">
        <v>-1</v>
      </c>
      <c r="H1160">
        <v>-1</v>
      </c>
      <c r="I1160">
        <v>-1</v>
      </c>
    </row>
    <row r="1161" spans="1:9" x14ac:dyDescent="0.4">
      <c r="A1161">
        <v>7035510</v>
      </c>
      <c r="B1161">
        <v>0</v>
      </c>
      <c r="C1161">
        <v>707035510</v>
      </c>
      <c r="D1161">
        <v>-1</v>
      </c>
      <c r="E1161">
        <v>-1</v>
      </c>
      <c r="F1161">
        <v>428</v>
      </c>
      <c r="G1161">
        <v>-1</v>
      </c>
      <c r="H1161">
        <v>-1</v>
      </c>
      <c r="I1161">
        <v>-1</v>
      </c>
    </row>
    <row r="1162" spans="1:9" x14ac:dyDescent="0.4">
      <c r="A1162">
        <v>7035700</v>
      </c>
      <c r="B1162">
        <v>0</v>
      </c>
      <c r="C1162">
        <v>707035700</v>
      </c>
      <c r="D1162">
        <v>-1</v>
      </c>
      <c r="E1162">
        <v>-1</v>
      </c>
      <c r="F1162">
        <v>428</v>
      </c>
      <c r="G1162">
        <v>-1</v>
      </c>
      <c r="H1162">
        <v>-1</v>
      </c>
      <c r="I1162">
        <v>-1</v>
      </c>
    </row>
    <row r="1163" spans="1:9" x14ac:dyDescent="0.4">
      <c r="A1163">
        <v>7035800</v>
      </c>
      <c r="B1163">
        <v>0</v>
      </c>
      <c r="C1163">
        <v>707035800</v>
      </c>
      <c r="D1163">
        <v>-1</v>
      </c>
      <c r="E1163">
        <v>-1</v>
      </c>
      <c r="F1163">
        <v>428</v>
      </c>
      <c r="G1163">
        <v>-1</v>
      </c>
      <c r="H1163">
        <v>-1</v>
      </c>
      <c r="I1163">
        <v>-1</v>
      </c>
    </row>
    <row r="1164" spans="1:9" x14ac:dyDescent="0.4">
      <c r="A1164">
        <v>7035900</v>
      </c>
      <c r="B1164">
        <v>0</v>
      </c>
      <c r="C1164">
        <v>707035900</v>
      </c>
      <c r="D1164">
        <v>-1</v>
      </c>
      <c r="E1164">
        <v>-1</v>
      </c>
      <c r="F1164">
        <v>428</v>
      </c>
      <c r="G1164">
        <v>-1</v>
      </c>
      <c r="H1164">
        <v>-1</v>
      </c>
      <c r="I1164">
        <v>-1</v>
      </c>
    </row>
    <row r="1165" spans="1:9" x14ac:dyDescent="0.4">
      <c r="A1165">
        <v>7036000</v>
      </c>
      <c r="B1165">
        <v>0</v>
      </c>
      <c r="C1165">
        <v>707036000</v>
      </c>
      <c r="D1165">
        <v>-1</v>
      </c>
      <c r="E1165">
        <v>-1</v>
      </c>
      <c r="F1165">
        <v>428</v>
      </c>
      <c r="G1165">
        <v>-1</v>
      </c>
      <c r="H1165">
        <v>-1</v>
      </c>
      <c r="I1165">
        <v>-1</v>
      </c>
    </row>
    <row r="1166" spans="1:9" x14ac:dyDescent="0.4">
      <c r="A1166">
        <v>7036100</v>
      </c>
      <c r="B1166">
        <v>0</v>
      </c>
      <c r="C1166">
        <v>707036100</v>
      </c>
      <c r="D1166">
        <v>-1</v>
      </c>
      <c r="E1166">
        <v>-1</v>
      </c>
      <c r="F1166">
        <v>428</v>
      </c>
      <c r="G1166">
        <v>-1</v>
      </c>
      <c r="H1166">
        <v>-1</v>
      </c>
      <c r="I1166">
        <v>-1</v>
      </c>
    </row>
    <row r="1167" spans="1:9" x14ac:dyDescent="0.4">
      <c r="A1167">
        <v>7036200</v>
      </c>
      <c r="B1167">
        <v>0</v>
      </c>
      <c r="C1167">
        <v>707036200</v>
      </c>
      <c r="D1167">
        <v>-1</v>
      </c>
      <c r="E1167">
        <v>-1</v>
      </c>
      <c r="F1167">
        <v>428</v>
      </c>
      <c r="G1167">
        <v>-1</v>
      </c>
      <c r="H1167">
        <v>-1</v>
      </c>
      <c r="I1167">
        <v>-1</v>
      </c>
    </row>
    <row r="1168" spans="1:9" x14ac:dyDescent="0.4">
      <c r="A1168">
        <v>7036300</v>
      </c>
      <c r="B1168">
        <v>0</v>
      </c>
      <c r="C1168">
        <v>707036300</v>
      </c>
      <c r="D1168">
        <v>-1</v>
      </c>
      <c r="E1168">
        <v>-1</v>
      </c>
      <c r="F1168">
        <v>428</v>
      </c>
      <c r="G1168">
        <v>-1</v>
      </c>
      <c r="H1168">
        <v>-1</v>
      </c>
      <c r="I1168">
        <v>-1</v>
      </c>
    </row>
    <row r="1169" spans="1:9" x14ac:dyDescent="0.4">
      <c r="A1169">
        <v>7036400</v>
      </c>
      <c r="B1169">
        <v>0</v>
      </c>
      <c r="C1169">
        <v>707036400</v>
      </c>
      <c r="D1169">
        <v>-1</v>
      </c>
      <c r="E1169">
        <v>-1</v>
      </c>
      <c r="F1169">
        <v>428</v>
      </c>
      <c r="G1169">
        <v>-1</v>
      </c>
      <c r="H1169">
        <v>-1</v>
      </c>
      <c r="I1169">
        <v>-1</v>
      </c>
    </row>
    <row r="1170" spans="1:9" x14ac:dyDescent="0.4">
      <c r="A1170">
        <v>7036500</v>
      </c>
      <c r="B1170">
        <v>0</v>
      </c>
      <c r="C1170">
        <v>707036500</v>
      </c>
      <c r="D1170">
        <v>-1</v>
      </c>
      <c r="E1170">
        <v>-1</v>
      </c>
      <c r="F1170">
        <v>428</v>
      </c>
      <c r="G1170">
        <v>-1</v>
      </c>
      <c r="H1170">
        <v>-1</v>
      </c>
      <c r="I1170">
        <v>-1</v>
      </c>
    </row>
    <row r="1171" spans="1:9" x14ac:dyDescent="0.4">
      <c r="A1171">
        <v>7036800</v>
      </c>
      <c r="B1171">
        <v>0</v>
      </c>
      <c r="C1171">
        <v>707036800</v>
      </c>
      <c r="D1171">
        <v>-1</v>
      </c>
      <c r="E1171">
        <v>-1</v>
      </c>
      <c r="F1171">
        <v>428</v>
      </c>
      <c r="G1171">
        <v>-1</v>
      </c>
      <c r="H1171">
        <v>-1</v>
      </c>
      <c r="I1171">
        <v>-1</v>
      </c>
    </row>
    <row r="1172" spans="1:9" x14ac:dyDescent="0.4">
      <c r="A1172">
        <v>7036900</v>
      </c>
      <c r="B1172">
        <v>0</v>
      </c>
      <c r="C1172">
        <v>707036900</v>
      </c>
      <c r="D1172">
        <v>-1</v>
      </c>
      <c r="E1172">
        <v>-1</v>
      </c>
      <c r="F1172">
        <v>428</v>
      </c>
      <c r="G1172">
        <v>-1</v>
      </c>
      <c r="H1172">
        <v>-1</v>
      </c>
      <c r="I1172">
        <v>-1</v>
      </c>
    </row>
    <row r="1173" spans="1:9" x14ac:dyDescent="0.4">
      <c r="A1173">
        <v>7037000</v>
      </c>
      <c r="B1173">
        <v>0</v>
      </c>
      <c r="C1173">
        <v>707037000</v>
      </c>
      <c r="D1173">
        <v>-1</v>
      </c>
      <c r="E1173">
        <v>-1</v>
      </c>
      <c r="F1173">
        <v>428</v>
      </c>
      <c r="G1173">
        <v>-1</v>
      </c>
      <c r="H1173">
        <v>-1</v>
      </c>
      <c r="I1173">
        <v>-1</v>
      </c>
    </row>
    <row r="1174" spans="1:9" x14ac:dyDescent="0.4">
      <c r="A1174">
        <v>7037300</v>
      </c>
      <c r="B1174">
        <v>0</v>
      </c>
      <c r="C1174">
        <v>707037300</v>
      </c>
      <c r="D1174">
        <v>-1</v>
      </c>
      <c r="E1174">
        <v>-1</v>
      </c>
      <c r="F1174">
        <v>428</v>
      </c>
      <c r="G1174">
        <v>-1</v>
      </c>
      <c r="H1174">
        <v>-1</v>
      </c>
      <c r="I1174">
        <v>-1</v>
      </c>
    </row>
    <row r="1175" spans="1:9" x14ac:dyDescent="0.4">
      <c r="A1175">
        <v>7037600</v>
      </c>
      <c r="B1175">
        <v>0</v>
      </c>
      <c r="C1175">
        <v>707037600</v>
      </c>
      <c r="D1175">
        <v>-1</v>
      </c>
      <c r="E1175">
        <v>-1</v>
      </c>
      <c r="F1175">
        <v>428</v>
      </c>
      <c r="G1175">
        <v>-1</v>
      </c>
      <c r="H1175">
        <v>-1</v>
      </c>
      <c r="I1175">
        <v>-1</v>
      </c>
    </row>
    <row r="1176" spans="1:9" x14ac:dyDescent="0.4">
      <c r="A1176">
        <v>7037700</v>
      </c>
      <c r="B1176">
        <v>0</v>
      </c>
      <c r="C1176">
        <v>707037700</v>
      </c>
      <c r="D1176">
        <v>-1</v>
      </c>
      <c r="E1176">
        <v>-1</v>
      </c>
      <c r="F1176">
        <v>428</v>
      </c>
      <c r="G1176">
        <v>-1</v>
      </c>
      <c r="H1176">
        <v>-1</v>
      </c>
      <c r="I1176">
        <v>-1</v>
      </c>
    </row>
    <row r="1177" spans="1:9" x14ac:dyDescent="0.4">
      <c r="A1177">
        <v>7037800</v>
      </c>
      <c r="B1177">
        <v>0</v>
      </c>
      <c r="C1177">
        <v>707037800</v>
      </c>
      <c r="D1177">
        <v>-1</v>
      </c>
      <c r="E1177">
        <v>-1</v>
      </c>
      <c r="F1177">
        <v>428</v>
      </c>
      <c r="G1177">
        <v>-1</v>
      </c>
      <c r="H1177">
        <v>-1</v>
      </c>
      <c r="I1177">
        <v>-1</v>
      </c>
    </row>
    <row r="1178" spans="1:9" x14ac:dyDescent="0.4">
      <c r="A1178">
        <v>7040000</v>
      </c>
      <c r="B1178">
        <v>0</v>
      </c>
      <c r="C1178">
        <v>707040000</v>
      </c>
      <c r="D1178">
        <v>-1</v>
      </c>
      <c r="E1178">
        <v>-1</v>
      </c>
      <c r="F1178">
        <v>428</v>
      </c>
      <c r="G1178">
        <v>-1</v>
      </c>
      <c r="H1178">
        <v>-1</v>
      </c>
      <c r="I1178">
        <v>-1</v>
      </c>
    </row>
    <row r="1179" spans="1:9" x14ac:dyDescent="0.4">
      <c r="A1179">
        <v>7040100</v>
      </c>
      <c r="B1179">
        <v>0</v>
      </c>
      <c r="C1179">
        <v>707040100</v>
      </c>
      <c r="D1179">
        <v>-1</v>
      </c>
      <c r="E1179">
        <v>-1</v>
      </c>
      <c r="F1179">
        <v>428</v>
      </c>
      <c r="G1179">
        <v>-1</v>
      </c>
      <c r="H1179">
        <v>-1</v>
      </c>
      <c r="I1179">
        <v>-1</v>
      </c>
    </row>
    <row r="1180" spans="1:9" x14ac:dyDescent="0.4">
      <c r="A1180">
        <v>7040200</v>
      </c>
      <c r="B1180">
        <v>0</v>
      </c>
      <c r="C1180">
        <v>707040200</v>
      </c>
      <c r="D1180">
        <v>-1</v>
      </c>
      <c r="E1180">
        <v>-1</v>
      </c>
      <c r="F1180">
        <v>428</v>
      </c>
      <c r="G1180">
        <v>-1</v>
      </c>
      <c r="H1180">
        <v>-1</v>
      </c>
      <c r="I1180">
        <v>-1</v>
      </c>
    </row>
    <row r="1181" spans="1:9" x14ac:dyDescent="0.4">
      <c r="A1181">
        <v>7040201</v>
      </c>
      <c r="B1181">
        <v>0</v>
      </c>
      <c r="C1181">
        <v>707040201</v>
      </c>
      <c r="D1181">
        <v>-1</v>
      </c>
      <c r="E1181">
        <v>-1</v>
      </c>
      <c r="F1181">
        <v>428</v>
      </c>
      <c r="G1181">
        <v>-1</v>
      </c>
      <c r="H1181">
        <v>-1</v>
      </c>
      <c r="I1181">
        <v>-1</v>
      </c>
    </row>
    <row r="1182" spans="1:9" x14ac:dyDescent="0.4">
      <c r="A1182">
        <v>7040300</v>
      </c>
      <c r="B1182">
        <v>0</v>
      </c>
      <c r="C1182">
        <v>707040300</v>
      </c>
      <c r="D1182">
        <v>-1</v>
      </c>
      <c r="E1182">
        <v>-1</v>
      </c>
      <c r="F1182">
        <v>428</v>
      </c>
      <c r="G1182">
        <v>-1</v>
      </c>
      <c r="H1182">
        <v>-1</v>
      </c>
      <c r="I1182">
        <v>-1</v>
      </c>
    </row>
    <row r="1183" spans="1:9" x14ac:dyDescent="0.4">
      <c r="A1183">
        <v>7040400</v>
      </c>
      <c r="B1183">
        <v>0</v>
      </c>
      <c r="C1183">
        <v>707040400</v>
      </c>
      <c r="D1183">
        <v>-1</v>
      </c>
      <c r="E1183">
        <v>-1</v>
      </c>
      <c r="F1183">
        <v>428</v>
      </c>
      <c r="G1183">
        <v>-1</v>
      </c>
      <c r="H1183">
        <v>-1</v>
      </c>
      <c r="I1183">
        <v>-1</v>
      </c>
    </row>
    <row r="1184" spans="1:9" x14ac:dyDescent="0.4">
      <c r="A1184">
        <v>7040500</v>
      </c>
      <c r="B1184">
        <v>0</v>
      </c>
      <c r="C1184">
        <v>707040500</v>
      </c>
      <c r="D1184">
        <v>-1</v>
      </c>
      <c r="E1184">
        <v>-1</v>
      </c>
      <c r="F1184">
        <v>428</v>
      </c>
      <c r="G1184">
        <v>-1</v>
      </c>
      <c r="H1184">
        <v>-1</v>
      </c>
      <c r="I1184">
        <v>-1</v>
      </c>
    </row>
    <row r="1185" spans="1:9" x14ac:dyDescent="0.4">
      <c r="A1185">
        <v>7043000</v>
      </c>
      <c r="B1185">
        <v>0</v>
      </c>
      <c r="C1185">
        <v>707043000</v>
      </c>
      <c r="D1185">
        <v>-1</v>
      </c>
      <c r="E1185">
        <v>-1</v>
      </c>
      <c r="F1185">
        <v>428</v>
      </c>
      <c r="G1185">
        <v>-1</v>
      </c>
      <c r="H1185">
        <v>-1</v>
      </c>
      <c r="I1185">
        <v>-1</v>
      </c>
    </row>
    <row r="1186" spans="1:9" x14ac:dyDescent="0.4">
      <c r="A1186">
        <v>7043100</v>
      </c>
      <c r="B1186">
        <v>0</v>
      </c>
      <c r="C1186">
        <v>707043100</v>
      </c>
      <c r="D1186">
        <v>-1</v>
      </c>
      <c r="E1186">
        <v>-1</v>
      </c>
      <c r="F1186">
        <v>428</v>
      </c>
      <c r="G1186">
        <v>-1</v>
      </c>
      <c r="H1186">
        <v>-1</v>
      </c>
      <c r="I1186">
        <v>-1</v>
      </c>
    </row>
    <row r="1187" spans="1:9" x14ac:dyDescent="0.4">
      <c r="A1187">
        <v>7043200</v>
      </c>
      <c r="B1187">
        <v>0</v>
      </c>
      <c r="C1187">
        <v>707043200</v>
      </c>
      <c r="D1187">
        <v>-1</v>
      </c>
      <c r="E1187">
        <v>-1</v>
      </c>
      <c r="F1187">
        <v>428</v>
      </c>
      <c r="G1187">
        <v>-1</v>
      </c>
      <c r="H1187">
        <v>-1</v>
      </c>
      <c r="I1187">
        <v>-1</v>
      </c>
    </row>
    <row r="1188" spans="1:9" x14ac:dyDescent="0.4">
      <c r="A1188">
        <v>7043300</v>
      </c>
      <c r="B1188">
        <v>0</v>
      </c>
      <c r="C1188">
        <v>707043300</v>
      </c>
      <c r="D1188">
        <v>-1</v>
      </c>
      <c r="E1188">
        <v>-1</v>
      </c>
      <c r="F1188">
        <v>428</v>
      </c>
      <c r="G1188">
        <v>-1</v>
      </c>
      <c r="H1188">
        <v>-1</v>
      </c>
      <c r="I1188">
        <v>-1</v>
      </c>
    </row>
    <row r="1189" spans="1:9" x14ac:dyDescent="0.4">
      <c r="A1189">
        <v>7043400</v>
      </c>
      <c r="B1189">
        <v>0</v>
      </c>
      <c r="C1189">
        <v>707043400</v>
      </c>
      <c r="D1189">
        <v>-1</v>
      </c>
      <c r="E1189">
        <v>-1</v>
      </c>
      <c r="F1189">
        <v>428</v>
      </c>
      <c r="G1189">
        <v>-1</v>
      </c>
      <c r="H1189">
        <v>-1</v>
      </c>
      <c r="I1189">
        <v>-1</v>
      </c>
    </row>
    <row r="1190" spans="1:9" x14ac:dyDescent="0.4">
      <c r="A1190">
        <v>7043500</v>
      </c>
      <c r="B1190">
        <v>0</v>
      </c>
      <c r="C1190">
        <v>707043500</v>
      </c>
      <c r="D1190">
        <v>-1</v>
      </c>
      <c r="E1190">
        <v>-1</v>
      </c>
      <c r="F1190">
        <v>428</v>
      </c>
      <c r="G1190">
        <v>-1</v>
      </c>
      <c r="H1190">
        <v>-1</v>
      </c>
      <c r="I1190">
        <v>-1</v>
      </c>
    </row>
    <row r="1191" spans="1:9" x14ac:dyDescent="0.4">
      <c r="A1191">
        <v>7043600</v>
      </c>
      <c r="B1191">
        <v>0</v>
      </c>
      <c r="C1191">
        <v>707043600</v>
      </c>
      <c r="D1191">
        <v>-1</v>
      </c>
      <c r="E1191">
        <v>-1</v>
      </c>
      <c r="F1191">
        <v>428</v>
      </c>
      <c r="G1191">
        <v>-1</v>
      </c>
      <c r="H1191">
        <v>-1</v>
      </c>
      <c r="I1191">
        <v>-1</v>
      </c>
    </row>
    <row r="1192" spans="1:9" x14ac:dyDescent="0.4">
      <c r="A1192">
        <v>7043700</v>
      </c>
      <c r="B1192">
        <v>0</v>
      </c>
      <c r="C1192">
        <v>707043700</v>
      </c>
      <c r="D1192">
        <v>-1</v>
      </c>
      <c r="E1192">
        <v>-1</v>
      </c>
      <c r="F1192">
        <v>428</v>
      </c>
      <c r="G1192">
        <v>-1</v>
      </c>
      <c r="H1192">
        <v>-1</v>
      </c>
      <c r="I1192">
        <v>-1</v>
      </c>
    </row>
    <row r="1193" spans="1:9" x14ac:dyDescent="0.4">
      <c r="A1193">
        <v>7043800</v>
      </c>
      <c r="B1193">
        <v>0</v>
      </c>
      <c r="C1193">
        <v>707043800</v>
      </c>
      <c r="D1193">
        <v>-1</v>
      </c>
      <c r="E1193">
        <v>-1</v>
      </c>
      <c r="F1193">
        <v>428</v>
      </c>
      <c r="G1193">
        <v>-1</v>
      </c>
      <c r="H1193">
        <v>-1</v>
      </c>
      <c r="I1193">
        <v>-1</v>
      </c>
    </row>
    <row r="1194" spans="1:9" x14ac:dyDescent="0.4">
      <c r="A1194">
        <v>7044000</v>
      </c>
      <c r="B1194">
        <v>0</v>
      </c>
      <c r="C1194">
        <v>707044000</v>
      </c>
      <c r="D1194">
        <v>-1</v>
      </c>
      <c r="E1194">
        <v>-1</v>
      </c>
      <c r="F1194">
        <v>428</v>
      </c>
      <c r="G1194">
        <v>-1</v>
      </c>
      <c r="H1194">
        <v>-1</v>
      </c>
      <c r="I1194">
        <v>-1</v>
      </c>
    </row>
    <row r="1195" spans="1:9" x14ac:dyDescent="0.4">
      <c r="A1195">
        <v>7044100</v>
      </c>
      <c r="B1195">
        <v>0</v>
      </c>
      <c r="C1195">
        <v>707044100</v>
      </c>
      <c r="D1195">
        <v>-1</v>
      </c>
      <c r="E1195">
        <v>-1</v>
      </c>
      <c r="F1195">
        <v>428</v>
      </c>
      <c r="G1195">
        <v>-1</v>
      </c>
      <c r="H1195">
        <v>-1</v>
      </c>
      <c r="I1195">
        <v>-1</v>
      </c>
    </row>
    <row r="1196" spans="1:9" x14ac:dyDescent="0.4">
      <c r="A1196">
        <v>7044200</v>
      </c>
      <c r="B1196">
        <v>0</v>
      </c>
      <c r="C1196">
        <v>707044200</v>
      </c>
      <c r="D1196">
        <v>-1</v>
      </c>
      <c r="E1196">
        <v>-1</v>
      </c>
      <c r="F1196">
        <v>428</v>
      </c>
      <c r="G1196">
        <v>-1</v>
      </c>
      <c r="H1196">
        <v>-1</v>
      </c>
      <c r="I1196">
        <v>-1</v>
      </c>
    </row>
    <row r="1197" spans="1:9" x14ac:dyDescent="0.4">
      <c r="A1197">
        <v>7044300</v>
      </c>
      <c r="B1197">
        <v>0</v>
      </c>
      <c r="C1197">
        <v>707044300</v>
      </c>
      <c r="D1197">
        <v>-1</v>
      </c>
      <c r="E1197">
        <v>-1</v>
      </c>
      <c r="F1197">
        <v>428</v>
      </c>
      <c r="G1197">
        <v>-1</v>
      </c>
      <c r="H1197">
        <v>-1</v>
      </c>
      <c r="I1197">
        <v>-1</v>
      </c>
    </row>
    <row r="1198" spans="1:9" x14ac:dyDescent="0.4">
      <c r="A1198">
        <v>7044400</v>
      </c>
      <c r="B1198">
        <v>0</v>
      </c>
      <c r="C1198">
        <v>707044400</v>
      </c>
      <c r="D1198">
        <v>-1</v>
      </c>
      <c r="E1198">
        <v>-1</v>
      </c>
      <c r="F1198">
        <v>428</v>
      </c>
      <c r="G1198">
        <v>-1</v>
      </c>
      <c r="H1198">
        <v>-1</v>
      </c>
      <c r="I1198">
        <v>-1</v>
      </c>
    </row>
    <row r="1199" spans="1:9" x14ac:dyDescent="0.4">
      <c r="A1199">
        <v>7044500</v>
      </c>
      <c r="B1199">
        <v>0</v>
      </c>
      <c r="C1199">
        <v>707044500</v>
      </c>
      <c r="D1199">
        <v>-1</v>
      </c>
      <c r="E1199">
        <v>-1</v>
      </c>
      <c r="F1199">
        <v>428</v>
      </c>
      <c r="G1199">
        <v>-1</v>
      </c>
      <c r="H1199">
        <v>-1</v>
      </c>
      <c r="I1199">
        <v>-1</v>
      </c>
    </row>
    <row r="1200" spans="1:9" x14ac:dyDescent="0.4">
      <c r="A1200">
        <v>7044600</v>
      </c>
      <c r="B1200">
        <v>0</v>
      </c>
      <c r="C1200">
        <v>707044600</v>
      </c>
      <c r="D1200">
        <v>-1</v>
      </c>
      <c r="E1200">
        <v>-1</v>
      </c>
      <c r="F1200">
        <v>428</v>
      </c>
      <c r="G1200">
        <v>-1</v>
      </c>
      <c r="H1200">
        <v>-1</v>
      </c>
      <c r="I1200">
        <v>-1</v>
      </c>
    </row>
    <row r="1201" spans="1:9" x14ac:dyDescent="0.4">
      <c r="A1201">
        <v>7050000</v>
      </c>
      <c r="B1201">
        <v>0</v>
      </c>
      <c r="C1201">
        <v>707050000</v>
      </c>
      <c r="D1201">
        <v>-1</v>
      </c>
      <c r="E1201">
        <v>-1</v>
      </c>
      <c r="F1201">
        <v>428</v>
      </c>
      <c r="G1201">
        <v>-1</v>
      </c>
      <c r="H1201">
        <v>-1</v>
      </c>
      <c r="I1201">
        <v>-1</v>
      </c>
    </row>
    <row r="1202" spans="1:9" x14ac:dyDescent="0.4">
      <c r="A1202">
        <v>7050100</v>
      </c>
      <c r="B1202">
        <v>0</v>
      </c>
      <c r="C1202">
        <v>707050100</v>
      </c>
      <c r="D1202">
        <v>-1</v>
      </c>
      <c r="E1202">
        <v>-1</v>
      </c>
      <c r="F1202">
        <v>428</v>
      </c>
      <c r="G1202">
        <v>-1</v>
      </c>
      <c r="H1202">
        <v>-1</v>
      </c>
      <c r="I1202">
        <v>-1</v>
      </c>
    </row>
    <row r="1203" spans="1:9" x14ac:dyDescent="0.4">
      <c r="A1203">
        <v>7060000</v>
      </c>
      <c r="B1203">
        <v>0</v>
      </c>
      <c r="C1203">
        <v>707060000</v>
      </c>
      <c r="D1203">
        <v>-1</v>
      </c>
      <c r="E1203">
        <v>-1</v>
      </c>
      <c r="F1203">
        <v>428</v>
      </c>
      <c r="G1203">
        <v>-1</v>
      </c>
      <c r="H1203">
        <v>-1</v>
      </c>
      <c r="I1203">
        <v>-1</v>
      </c>
    </row>
    <row r="1204" spans="1:9" x14ac:dyDescent="0.4">
      <c r="A1204">
        <v>7060100</v>
      </c>
      <c r="B1204">
        <v>0</v>
      </c>
      <c r="C1204">
        <v>707060100</v>
      </c>
      <c r="D1204">
        <v>-1</v>
      </c>
      <c r="E1204">
        <v>-1</v>
      </c>
      <c r="F1204">
        <v>428</v>
      </c>
      <c r="G1204">
        <v>-1</v>
      </c>
      <c r="H1204">
        <v>-1</v>
      </c>
      <c r="I1204">
        <v>-1</v>
      </c>
    </row>
    <row r="1205" spans="1:9" x14ac:dyDescent="0.4">
      <c r="A1205">
        <v>7060200</v>
      </c>
      <c r="B1205">
        <v>0</v>
      </c>
      <c r="C1205">
        <v>707060200</v>
      </c>
      <c r="D1205">
        <v>-1</v>
      </c>
      <c r="E1205">
        <v>-1</v>
      </c>
      <c r="F1205">
        <v>428</v>
      </c>
      <c r="G1205">
        <v>-1</v>
      </c>
      <c r="H1205">
        <v>-1</v>
      </c>
      <c r="I1205">
        <v>-1</v>
      </c>
    </row>
    <row r="1206" spans="1:9" x14ac:dyDescent="0.4">
      <c r="A1206">
        <v>7070000</v>
      </c>
      <c r="B1206">
        <v>0</v>
      </c>
      <c r="C1206">
        <v>707070000</v>
      </c>
      <c r="D1206">
        <v>-1</v>
      </c>
      <c r="E1206">
        <v>-1</v>
      </c>
      <c r="F1206">
        <v>428</v>
      </c>
      <c r="G1206">
        <v>-1</v>
      </c>
      <c r="H1206">
        <v>-1</v>
      </c>
      <c r="I1206">
        <v>-1</v>
      </c>
    </row>
    <row r="1207" spans="1:9" x14ac:dyDescent="0.4">
      <c r="A1207">
        <v>7080000</v>
      </c>
      <c r="B1207">
        <v>0</v>
      </c>
      <c r="C1207">
        <v>707080000</v>
      </c>
      <c r="D1207">
        <v>-1</v>
      </c>
      <c r="E1207">
        <v>-1</v>
      </c>
      <c r="F1207">
        <v>428</v>
      </c>
      <c r="G1207">
        <v>-1</v>
      </c>
      <c r="H1207">
        <v>-1</v>
      </c>
      <c r="I1207">
        <v>-1</v>
      </c>
    </row>
    <row r="1208" spans="1:9" x14ac:dyDescent="0.4">
      <c r="A1208">
        <v>7080100</v>
      </c>
      <c r="B1208">
        <v>0</v>
      </c>
      <c r="C1208">
        <v>707080100</v>
      </c>
      <c r="D1208">
        <v>-1</v>
      </c>
      <c r="E1208">
        <v>-1</v>
      </c>
      <c r="F1208">
        <v>428</v>
      </c>
      <c r="G1208">
        <v>-1</v>
      </c>
      <c r="H1208">
        <v>-1</v>
      </c>
      <c r="I1208">
        <v>-1</v>
      </c>
    </row>
    <row r="1209" spans="1:9" x14ac:dyDescent="0.4">
      <c r="A1209">
        <v>7080200</v>
      </c>
      <c r="B1209">
        <v>0</v>
      </c>
      <c r="C1209">
        <v>707080200</v>
      </c>
      <c r="D1209">
        <v>-1</v>
      </c>
      <c r="E1209">
        <v>-1</v>
      </c>
      <c r="F1209">
        <v>428</v>
      </c>
      <c r="G1209">
        <v>-1</v>
      </c>
      <c r="H1209">
        <v>-1</v>
      </c>
      <c r="I1209">
        <v>-1</v>
      </c>
    </row>
    <row r="1210" spans="1:9" x14ac:dyDescent="0.4">
      <c r="A1210">
        <v>7080300</v>
      </c>
      <c r="B1210">
        <v>0</v>
      </c>
      <c r="C1210">
        <v>707080300</v>
      </c>
      <c r="D1210">
        <v>-1</v>
      </c>
      <c r="E1210">
        <v>-1</v>
      </c>
      <c r="F1210">
        <v>428</v>
      </c>
      <c r="G1210">
        <v>-1</v>
      </c>
      <c r="H1210">
        <v>-1</v>
      </c>
      <c r="I1210">
        <v>-1</v>
      </c>
    </row>
    <row r="1211" spans="1:9" x14ac:dyDescent="0.4">
      <c r="A1211">
        <v>7080400</v>
      </c>
      <c r="B1211">
        <v>0</v>
      </c>
      <c r="C1211">
        <v>707080400</v>
      </c>
      <c r="D1211">
        <v>-1</v>
      </c>
      <c r="E1211">
        <v>-1</v>
      </c>
      <c r="F1211">
        <v>428</v>
      </c>
      <c r="G1211">
        <v>-1</v>
      </c>
      <c r="H1211">
        <v>-1</v>
      </c>
      <c r="I1211">
        <v>-1</v>
      </c>
    </row>
    <row r="1212" spans="1:9" x14ac:dyDescent="0.4">
      <c r="A1212">
        <v>7080500</v>
      </c>
      <c r="B1212">
        <v>0</v>
      </c>
      <c r="C1212">
        <v>707080500</v>
      </c>
      <c r="D1212">
        <v>-1</v>
      </c>
      <c r="E1212">
        <v>-1</v>
      </c>
      <c r="F1212">
        <v>428</v>
      </c>
      <c r="G1212">
        <v>-1</v>
      </c>
      <c r="H1212">
        <v>-1</v>
      </c>
      <c r="I1212">
        <v>-1</v>
      </c>
    </row>
    <row r="1213" spans="1:9" x14ac:dyDescent="0.4">
      <c r="A1213">
        <v>7080600</v>
      </c>
      <c r="B1213">
        <v>0</v>
      </c>
      <c r="C1213">
        <v>707080600</v>
      </c>
      <c r="D1213">
        <v>-1</v>
      </c>
      <c r="E1213">
        <v>-1</v>
      </c>
      <c r="F1213">
        <v>428</v>
      </c>
      <c r="G1213">
        <v>-1</v>
      </c>
      <c r="H1213">
        <v>-1</v>
      </c>
      <c r="I1213">
        <v>-1</v>
      </c>
    </row>
    <row r="1214" spans="1:9" x14ac:dyDescent="0.4">
      <c r="A1214">
        <v>7080700</v>
      </c>
      <c r="B1214">
        <v>0</v>
      </c>
      <c r="C1214">
        <v>707080700</v>
      </c>
      <c r="D1214">
        <v>-1</v>
      </c>
      <c r="E1214">
        <v>-1</v>
      </c>
      <c r="F1214">
        <v>428</v>
      </c>
      <c r="G1214">
        <v>-1</v>
      </c>
      <c r="H1214">
        <v>-1</v>
      </c>
      <c r="I1214">
        <v>-1</v>
      </c>
    </row>
    <row r="1215" spans="1:9" x14ac:dyDescent="0.4">
      <c r="A1215">
        <v>7080800</v>
      </c>
      <c r="B1215">
        <v>0</v>
      </c>
      <c r="C1215">
        <v>707080800</v>
      </c>
      <c r="D1215">
        <v>-1</v>
      </c>
      <c r="E1215">
        <v>-1</v>
      </c>
      <c r="F1215">
        <v>428</v>
      </c>
      <c r="G1215">
        <v>-1</v>
      </c>
      <c r="H1215">
        <v>-1</v>
      </c>
      <c r="I1215">
        <v>-1</v>
      </c>
    </row>
    <row r="1216" spans="1:9" x14ac:dyDescent="0.4">
      <c r="A1216">
        <v>7080900</v>
      </c>
      <c r="B1216">
        <v>0</v>
      </c>
      <c r="C1216">
        <v>707080900</v>
      </c>
      <c r="D1216">
        <v>-1</v>
      </c>
      <c r="E1216">
        <v>-1</v>
      </c>
      <c r="F1216">
        <v>428</v>
      </c>
      <c r="G1216">
        <v>-1</v>
      </c>
      <c r="H1216">
        <v>-1</v>
      </c>
      <c r="I1216">
        <v>-1</v>
      </c>
    </row>
    <row r="1217" spans="1:9" x14ac:dyDescent="0.4">
      <c r="A1217">
        <v>7081000</v>
      </c>
      <c r="B1217">
        <v>0</v>
      </c>
      <c r="C1217">
        <v>707081000</v>
      </c>
      <c r="D1217">
        <v>-1</v>
      </c>
      <c r="E1217">
        <v>-1</v>
      </c>
      <c r="F1217">
        <v>428</v>
      </c>
      <c r="G1217">
        <v>-1</v>
      </c>
      <c r="H1217">
        <v>-1</v>
      </c>
      <c r="I1217">
        <v>-1</v>
      </c>
    </row>
    <row r="1218" spans="1:9" x14ac:dyDescent="0.4">
      <c r="A1218">
        <v>7081100</v>
      </c>
      <c r="B1218">
        <v>0</v>
      </c>
      <c r="C1218">
        <v>707081100</v>
      </c>
      <c r="D1218">
        <v>-1</v>
      </c>
      <c r="E1218">
        <v>-1</v>
      </c>
      <c r="F1218">
        <v>428</v>
      </c>
      <c r="G1218">
        <v>-1</v>
      </c>
      <c r="H1218">
        <v>-1</v>
      </c>
      <c r="I1218">
        <v>-1</v>
      </c>
    </row>
    <row r="1219" spans="1:9" x14ac:dyDescent="0.4">
      <c r="A1219">
        <v>7081200</v>
      </c>
      <c r="B1219">
        <v>0</v>
      </c>
      <c r="C1219">
        <v>707081200</v>
      </c>
      <c r="D1219">
        <v>-1</v>
      </c>
      <c r="E1219">
        <v>-1</v>
      </c>
      <c r="F1219">
        <v>428</v>
      </c>
      <c r="G1219">
        <v>-1</v>
      </c>
      <c r="H1219">
        <v>-1</v>
      </c>
      <c r="I1219">
        <v>-1</v>
      </c>
    </row>
    <row r="1220" spans="1:9" x14ac:dyDescent="0.4">
      <c r="A1220">
        <v>7081300</v>
      </c>
      <c r="B1220">
        <v>0</v>
      </c>
      <c r="C1220">
        <v>707081300</v>
      </c>
      <c r="D1220">
        <v>-1</v>
      </c>
      <c r="E1220">
        <v>-1</v>
      </c>
      <c r="F1220">
        <v>428</v>
      </c>
      <c r="G1220">
        <v>-1</v>
      </c>
      <c r="H1220">
        <v>-1</v>
      </c>
      <c r="I1220">
        <v>-1</v>
      </c>
    </row>
    <row r="1221" spans="1:9" x14ac:dyDescent="0.4">
      <c r="A1221">
        <v>7081400</v>
      </c>
      <c r="B1221">
        <v>0</v>
      </c>
      <c r="C1221">
        <v>707081400</v>
      </c>
      <c r="D1221">
        <v>-1</v>
      </c>
      <c r="E1221">
        <v>-1</v>
      </c>
      <c r="F1221">
        <v>428</v>
      </c>
      <c r="G1221">
        <v>-1</v>
      </c>
      <c r="H1221">
        <v>-1</v>
      </c>
      <c r="I1221">
        <v>-1</v>
      </c>
    </row>
    <row r="1222" spans="1:9" x14ac:dyDescent="0.4">
      <c r="A1222">
        <v>7081500</v>
      </c>
      <c r="B1222">
        <v>0</v>
      </c>
      <c r="C1222">
        <v>707081500</v>
      </c>
      <c r="D1222">
        <v>-1</v>
      </c>
      <c r="E1222">
        <v>-1</v>
      </c>
      <c r="F1222">
        <v>428</v>
      </c>
      <c r="G1222">
        <v>-1</v>
      </c>
      <c r="H1222">
        <v>-1</v>
      </c>
      <c r="I1222">
        <v>-1</v>
      </c>
    </row>
    <row r="1223" spans="1:9" x14ac:dyDescent="0.4">
      <c r="A1223">
        <v>7081700</v>
      </c>
      <c r="B1223">
        <v>0</v>
      </c>
      <c r="C1223">
        <v>707081700</v>
      </c>
      <c r="D1223">
        <v>-1</v>
      </c>
      <c r="E1223">
        <v>-1</v>
      </c>
      <c r="F1223">
        <v>428</v>
      </c>
      <c r="G1223">
        <v>-1</v>
      </c>
      <c r="H1223">
        <v>-1</v>
      </c>
      <c r="I1223">
        <v>-1</v>
      </c>
    </row>
    <row r="1224" spans="1:9" x14ac:dyDescent="0.4">
      <c r="A1224">
        <v>7081800</v>
      </c>
      <c r="B1224">
        <v>0</v>
      </c>
      <c r="C1224">
        <v>707081800</v>
      </c>
      <c r="D1224">
        <v>-1</v>
      </c>
      <c r="E1224">
        <v>-1</v>
      </c>
      <c r="F1224">
        <v>428</v>
      </c>
      <c r="G1224">
        <v>-1</v>
      </c>
      <c r="H1224">
        <v>-1</v>
      </c>
      <c r="I1224">
        <v>-1</v>
      </c>
    </row>
    <row r="1225" spans="1:9" x14ac:dyDescent="0.4">
      <c r="A1225">
        <v>7081900</v>
      </c>
      <c r="B1225">
        <v>0</v>
      </c>
      <c r="C1225">
        <v>707081900</v>
      </c>
      <c r="D1225">
        <v>-1</v>
      </c>
      <c r="E1225">
        <v>-1</v>
      </c>
      <c r="F1225">
        <v>428</v>
      </c>
      <c r="G1225">
        <v>-1</v>
      </c>
      <c r="H1225">
        <v>-1</v>
      </c>
      <c r="I1225">
        <v>-1</v>
      </c>
    </row>
    <row r="1226" spans="1:9" x14ac:dyDescent="0.4">
      <c r="A1226">
        <v>7082000</v>
      </c>
      <c r="B1226">
        <v>0</v>
      </c>
      <c r="C1226">
        <v>707082000</v>
      </c>
      <c r="D1226">
        <v>-1</v>
      </c>
      <c r="E1226">
        <v>-1</v>
      </c>
      <c r="F1226">
        <v>428</v>
      </c>
      <c r="G1226">
        <v>-1</v>
      </c>
      <c r="H1226">
        <v>-1</v>
      </c>
      <c r="I1226">
        <v>-1</v>
      </c>
    </row>
    <row r="1227" spans="1:9" x14ac:dyDescent="0.4">
      <c r="A1227">
        <v>7082100</v>
      </c>
      <c r="B1227">
        <v>0</v>
      </c>
      <c r="C1227">
        <v>707082100</v>
      </c>
      <c r="D1227">
        <v>-1</v>
      </c>
      <c r="E1227">
        <v>-1</v>
      </c>
      <c r="F1227">
        <v>428</v>
      </c>
      <c r="G1227">
        <v>-1</v>
      </c>
      <c r="H1227">
        <v>-1</v>
      </c>
      <c r="I1227">
        <v>-1</v>
      </c>
    </row>
    <row r="1228" spans="1:9" x14ac:dyDescent="0.4">
      <c r="A1228">
        <v>7082200</v>
      </c>
      <c r="B1228">
        <v>0</v>
      </c>
      <c r="C1228">
        <v>707082200</v>
      </c>
      <c r="D1228">
        <v>-1</v>
      </c>
      <c r="E1228">
        <v>-1</v>
      </c>
      <c r="F1228">
        <v>428</v>
      </c>
      <c r="G1228">
        <v>-1</v>
      </c>
      <c r="H1228">
        <v>-1</v>
      </c>
      <c r="I1228">
        <v>-1</v>
      </c>
    </row>
    <row r="1229" spans="1:9" x14ac:dyDescent="0.4">
      <c r="A1229">
        <v>7082300</v>
      </c>
      <c r="B1229">
        <v>0</v>
      </c>
      <c r="C1229">
        <v>707082300</v>
      </c>
      <c r="D1229">
        <v>-1</v>
      </c>
      <c r="E1229">
        <v>-1</v>
      </c>
      <c r="F1229">
        <v>428</v>
      </c>
      <c r="G1229">
        <v>-1</v>
      </c>
      <c r="H1229">
        <v>-1</v>
      </c>
      <c r="I1229">
        <v>-1</v>
      </c>
    </row>
    <row r="1230" spans="1:9" x14ac:dyDescent="0.4">
      <c r="A1230">
        <v>7082400</v>
      </c>
      <c r="B1230">
        <v>0</v>
      </c>
      <c r="C1230">
        <v>707082400</v>
      </c>
      <c r="D1230">
        <v>-1</v>
      </c>
      <c r="E1230">
        <v>-1</v>
      </c>
      <c r="F1230">
        <v>428</v>
      </c>
      <c r="G1230">
        <v>-1</v>
      </c>
      <c r="H1230">
        <v>-1</v>
      </c>
      <c r="I1230">
        <v>-1</v>
      </c>
    </row>
    <row r="1231" spans="1:9" x14ac:dyDescent="0.4">
      <c r="A1231">
        <v>7082500</v>
      </c>
      <c r="B1231">
        <v>0</v>
      </c>
      <c r="C1231">
        <v>707082500</v>
      </c>
      <c r="D1231">
        <v>-1</v>
      </c>
      <c r="E1231">
        <v>-1</v>
      </c>
      <c r="F1231">
        <v>428</v>
      </c>
      <c r="G1231">
        <v>-1</v>
      </c>
      <c r="H1231">
        <v>-1</v>
      </c>
      <c r="I1231">
        <v>-1</v>
      </c>
    </row>
    <row r="1232" spans="1:9" x14ac:dyDescent="0.4">
      <c r="A1232">
        <v>7082600</v>
      </c>
      <c r="B1232">
        <v>0</v>
      </c>
      <c r="C1232">
        <v>707082600</v>
      </c>
      <c r="D1232">
        <v>-1</v>
      </c>
      <c r="E1232">
        <v>-1</v>
      </c>
      <c r="F1232">
        <v>428</v>
      </c>
      <c r="G1232">
        <v>-1</v>
      </c>
      <c r="H1232">
        <v>-1</v>
      </c>
      <c r="I1232">
        <v>-1</v>
      </c>
    </row>
    <row r="1233" spans="1:9" x14ac:dyDescent="0.4">
      <c r="A1233">
        <v>7082700</v>
      </c>
      <c r="B1233">
        <v>0</v>
      </c>
      <c r="C1233">
        <v>707082700</v>
      </c>
      <c r="D1233">
        <v>-1</v>
      </c>
      <c r="E1233">
        <v>-1</v>
      </c>
      <c r="F1233">
        <v>428</v>
      </c>
      <c r="G1233">
        <v>-1</v>
      </c>
      <c r="H1233">
        <v>-1</v>
      </c>
      <c r="I1233">
        <v>-1</v>
      </c>
    </row>
    <row r="1234" spans="1:9" x14ac:dyDescent="0.4">
      <c r="A1234">
        <v>7082800</v>
      </c>
      <c r="B1234">
        <v>0</v>
      </c>
      <c r="C1234">
        <v>707082800</v>
      </c>
      <c r="D1234">
        <v>-1</v>
      </c>
      <c r="E1234">
        <v>-1</v>
      </c>
      <c r="F1234">
        <v>428</v>
      </c>
      <c r="G1234">
        <v>-1</v>
      </c>
      <c r="H1234">
        <v>-1</v>
      </c>
      <c r="I1234">
        <v>-1</v>
      </c>
    </row>
    <row r="1235" spans="1:9" x14ac:dyDescent="0.4">
      <c r="A1235">
        <v>7082900</v>
      </c>
      <c r="B1235">
        <v>0</v>
      </c>
      <c r="C1235">
        <v>707082900</v>
      </c>
      <c r="D1235">
        <v>-1</v>
      </c>
      <c r="E1235">
        <v>-1</v>
      </c>
      <c r="F1235">
        <v>428</v>
      </c>
      <c r="G1235">
        <v>-1</v>
      </c>
      <c r="H1235">
        <v>-1</v>
      </c>
      <c r="I1235">
        <v>-1</v>
      </c>
    </row>
    <row r="1236" spans="1:9" x14ac:dyDescent="0.4">
      <c r="A1236">
        <v>7090000</v>
      </c>
      <c r="B1236">
        <v>0</v>
      </c>
      <c r="C1236">
        <v>707090000</v>
      </c>
      <c r="D1236">
        <v>-1</v>
      </c>
      <c r="E1236">
        <v>-1</v>
      </c>
      <c r="F1236">
        <v>428</v>
      </c>
      <c r="G1236">
        <v>-1</v>
      </c>
      <c r="H1236">
        <v>-1</v>
      </c>
      <c r="I1236">
        <v>-1</v>
      </c>
    </row>
    <row r="1237" spans="1:9" x14ac:dyDescent="0.4">
      <c r="A1237">
        <v>7090100</v>
      </c>
      <c r="B1237">
        <v>0</v>
      </c>
      <c r="C1237">
        <v>707090100</v>
      </c>
      <c r="D1237">
        <v>-1</v>
      </c>
      <c r="E1237">
        <v>-1</v>
      </c>
      <c r="F1237">
        <v>428</v>
      </c>
      <c r="G1237">
        <v>-1</v>
      </c>
      <c r="H1237">
        <v>-1</v>
      </c>
      <c r="I1237">
        <v>-1</v>
      </c>
    </row>
    <row r="1238" spans="1:9" x14ac:dyDescent="0.4">
      <c r="A1238">
        <v>7090300</v>
      </c>
      <c r="B1238">
        <v>0</v>
      </c>
      <c r="C1238">
        <v>707090300</v>
      </c>
      <c r="D1238">
        <v>-1</v>
      </c>
      <c r="E1238">
        <v>-1</v>
      </c>
      <c r="F1238">
        <v>428</v>
      </c>
      <c r="G1238">
        <v>-1</v>
      </c>
      <c r="H1238">
        <v>-1</v>
      </c>
      <c r="I1238">
        <v>-1</v>
      </c>
    </row>
    <row r="1239" spans="1:9" x14ac:dyDescent="0.4">
      <c r="A1239">
        <v>7100100</v>
      </c>
      <c r="B1239">
        <v>0</v>
      </c>
      <c r="C1239">
        <v>707100100</v>
      </c>
      <c r="D1239">
        <v>-1</v>
      </c>
      <c r="E1239">
        <v>-1</v>
      </c>
      <c r="F1239">
        <v>428</v>
      </c>
      <c r="G1239">
        <v>-1</v>
      </c>
      <c r="H1239">
        <v>-1</v>
      </c>
      <c r="I1239">
        <v>-1</v>
      </c>
    </row>
    <row r="1240" spans="1:9" x14ac:dyDescent="0.4">
      <c r="A1240">
        <v>7100110</v>
      </c>
      <c r="B1240">
        <v>0</v>
      </c>
      <c r="C1240">
        <v>707100110</v>
      </c>
      <c r="D1240">
        <v>-1</v>
      </c>
      <c r="E1240">
        <v>-1</v>
      </c>
      <c r="F1240">
        <v>428</v>
      </c>
      <c r="G1240">
        <v>-1</v>
      </c>
      <c r="H1240">
        <v>-1</v>
      </c>
      <c r="I1240">
        <v>-1</v>
      </c>
    </row>
    <row r="1241" spans="1:9" x14ac:dyDescent="0.4">
      <c r="A1241">
        <v>7110000</v>
      </c>
      <c r="B1241">
        <v>0</v>
      </c>
      <c r="C1241">
        <v>707110000</v>
      </c>
      <c r="D1241">
        <v>-1</v>
      </c>
      <c r="E1241">
        <v>-1</v>
      </c>
      <c r="F1241">
        <v>428</v>
      </c>
      <c r="G1241">
        <v>-1</v>
      </c>
      <c r="H1241">
        <v>-1</v>
      </c>
      <c r="I1241">
        <v>-1</v>
      </c>
    </row>
    <row r="1242" spans="1:9" x14ac:dyDescent="0.4">
      <c r="A1242">
        <v>7120000</v>
      </c>
      <c r="B1242">
        <v>0</v>
      </c>
      <c r="C1242">
        <v>707120000</v>
      </c>
      <c r="D1242">
        <v>-1</v>
      </c>
      <c r="E1242">
        <v>-1</v>
      </c>
      <c r="F1242">
        <v>428</v>
      </c>
      <c r="G1242">
        <v>-1</v>
      </c>
      <c r="H1242">
        <v>-1</v>
      </c>
      <c r="I1242">
        <v>-1</v>
      </c>
    </row>
    <row r="1243" spans="1:9" x14ac:dyDescent="0.4">
      <c r="A1243">
        <v>7120100</v>
      </c>
      <c r="B1243">
        <v>0</v>
      </c>
      <c r="C1243">
        <v>707120100</v>
      </c>
      <c r="D1243">
        <v>-1</v>
      </c>
      <c r="E1243">
        <v>-1</v>
      </c>
      <c r="F1243">
        <v>428</v>
      </c>
      <c r="G1243">
        <v>-1</v>
      </c>
      <c r="H1243">
        <v>-1</v>
      </c>
      <c r="I1243">
        <v>-1</v>
      </c>
    </row>
    <row r="1244" spans="1:9" x14ac:dyDescent="0.4">
      <c r="A1244">
        <v>7120200</v>
      </c>
      <c r="B1244">
        <v>0</v>
      </c>
      <c r="C1244">
        <v>707120200</v>
      </c>
      <c r="D1244">
        <v>-1</v>
      </c>
      <c r="E1244">
        <v>-1</v>
      </c>
      <c r="F1244">
        <v>428</v>
      </c>
      <c r="G1244">
        <v>-1</v>
      </c>
      <c r="H1244">
        <v>-1</v>
      </c>
      <c r="I1244">
        <v>-1</v>
      </c>
    </row>
    <row r="1245" spans="1:9" x14ac:dyDescent="0.4">
      <c r="A1245">
        <v>7120300</v>
      </c>
      <c r="B1245">
        <v>0</v>
      </c>
      <c r="C1245">
        <v>707120300</v>
      </c>
      <c r="D1245">
        <v>-1</v>
      </c>
      <c r="E1245">
        <v>-1</v>
      </c>
      <c r="F1245">
        <v>428</v>
      </c>
      <c r="G1245">
        <v>-1</v>
      </c>
      <c r="H1245">
        <v>-1</v>
      </c>
      <c r="I1245">
        <v>-1</v>
      </c>
    </row>
    <row r="1246" spans="1:9" x14ac:dyDescent="0.4">
      <c r="A1246">
        <v>7120400</v>
      </c>
      <c r="B1246">
        <v>0</v>
      </c>
      <c r="C1246">
        <v>707120400</v>
      </c>
      <c r="D1246">
        <v>-1</v>
      </c>
      <c r="E1246">
        <v>-1</v>
      </c>
      <c r="F1246">
        <v>428</v>
      </c>
      <c r="G1246">
        <v>-1</v>
      </c>
      <c r="H1246">
        <v>-1</v>
      </c>
      <c r="I1246">
        <v>-1</v>
      </c>
    </row>
    <row r="1247" spans="1:9" x14ac:dyDescent="0.4">
      <c r="A1247">
        <v>7120500</v>
      </c>
      <c r="B1247">
        <v>0</v>
      </c>
      <c r="C1247">
        <v>707120500</v>
      </c>
      <c r="D1247">
        <v>-1</v>
      </c>
      <c r="E1247">
        <v>-1</v>
      </c>
      <c r="F1247">
        <v>428</v>
      </c>
      <c r="G1247">
        <v>-1</v>
      </c>
      <c r="H1247">
        <v>-1</v>
      </c>
      <c r="I1247">
        <v>-1</v>
      </c>
    </row>
    <row r="1248" spans="1:9" x14ac:dyDescent="0.4">
      <c r="A1248">
        <v>7120600</v>
      </c>
      <c r="B1248">
        <v>0</v>
      </c>
      <c r="C1248">
        <v>707120600</v>
      </c>
      <c r="D1248">
        <v>-1</v>
      </c>
      <c r="E1248">
        <v>-1</v>
      </c>
      <c r="F1248">
        <v>428</v>
      </c>
      <c r="G1248">
        <v>-1</v>
      </c>
      <c r="H1248">
        <v>-1</v>
      </c>
      <c r="I1248">
        <v>-1</v>
      </c>
    </row>
    <row r="1249" spans="1:9" x14ac:dyDescent="0.4">
      <c r="A1249">
        <v>7120900</v>
      </c>
      <c r="B1249">
        <v>0</v>
      </c>
      <c r="C1249">
        <v>707120900</v>
      </c>
      <c r="D1249">
        <v>-1</v>
      </c>
      <c r="E1249">
        <v>-1</v>
      </c>
      <c r="F1249">
        <v>428</v>
      </c>
      <c r="G1249">
        <v>-1</v>
      </c>
      <c r="H1249">
        <v>-1</v>
      </c>
      <c r="I1249">
        <v>-1</v>
      </c>
    </row>
    <row r="1250" spans="1:9" x14ac:dyDescent="0.4">
      <c r="A1250">
        <v>7121000</v>
      </c>
      <c r="B1250">
        <v>0</v>
      </c>
      <c r="C1250">
        <v>707121000</v>
      </c>
      <c r="D1250">
        <v>-1</v>
      </c>
      <c r="E1250">
        <v>-1</v>
      </c>
      <c r="F1250">
        <v>428</v>
      </c>
      <c r="G1250">
        <v>-1</v>
      </c>
      <c r="H1250">
        <v>-1</v>
      </c>
      <c r="I1250">
        <v>-1</v>
      </c>
    </row>
    <row r="1251" spans="1:9" x14ac:dyDescent="0.4">
      <c r="A1251">
        <v>7121100</v>
      </c>
      <c r="B1251">
        <v>0</v>
      </c>
      <c r="C1251">
        <v>707121100</v>
      </c>
      <c r="D1251">
        <v>-1</v>
      </c>
      <c r="E1251">
        <v>-1</v>
      </c>
      <c r="F1251">
        <v>428</v>
      </c>
      <c r="G1251">
        <v>-1</v>
      </c>
      <c r="H1251">
        <v>-1</v>
      </c>
      <c r="I1251">
        <v>-1</v>
      </c>
    </row>
    <row r="1252" spans="1:9" x14ac:dyDescent="0.4">
      <c r="A1252">
        <v>7121200</v>
      </c>
      <c r="B1252">
        <v>0</v>
      </c>
      <c r="C1252">
        <v>707121200</v>
      </c>
      <c r="D1252">
        <v>-1</v>
      </c>
      <c r="E1252">
        <v>-1</v>
      </c>
      <c r="F1252">
        <v>428</v>
      </c>
      <c r="G1252">
        <v>-1</v>
      </c>
      <c r="H1252">
        <v>-1</v>
      </c>
      <c r="I1252">
        <v>-1</v>
      </c>
    </row>
    <row r="1253" spans="1:9" x14ac:dyDescent="0.4">
      <c r="A1253">
        <v>7121300</v>
      </c>
      <c r="B1253">
        <v>0</v>
      </c>
      <c r="C1253">
        <v>707121300</v>
      </c>
      <c r="D1253">
        <v>-1</v>
      </c>
      <c r="E1253">
        <v>-1</v>
      </c>
      <c r="F1253">
        <v>428</v>
      </c>
      <c r="G1253">
        <v>-1</v>
      </c>
      <c r="H1253">
        <v>-1</v>
      </c>
      <c r="I1253">
        <v>-1</v>
      </c>
    </row>
    <row r="1254" spans="1:9" x14ac:dyDescent="0.4">
      <c r="A1254">
        <v>7121400</v>
      </c>
      <c r="B1254">
        <v>0</v>
      </c>
      <c r="C1254">
        <v>707121400</v>
      </c>
      <c r="D1254">
        <v>-1</v>
      </c>
      <c r="E1254">
        <v>-1</v>
      </c>
      <c r="F1254">
        <v>428</v>
      </c>
      <c r="G1254">
        <v>-1</v>
      </c>
      <c r="H1254">
        <v>-1</v>
      </c>
      <c r="I1254">
        <v>-1</v>
      </c>
    </row>
    <row r="1255" spans="1:9" x14ac:dyDescent="0.4">
      <c r="A1255">
        <v>7121500</v>
      </c>
      <c r="B1255">
        <v>0</v>
      </c>
      <c r="C1255">
        <v>707121500</v>
      </c>
      <c r="D1255">
        <v>-1</v>
      </c>
      <c r="E1255">
        <v>-1</v>
      </c>
      <c r="F1255">
        <v>428</v>
      </c>
      <c r="G1255">
        <v>-1</v>
      </c>
      <c r="H1255">
        <v>-1</v>
      </c>
      <c r="I1255">
        <v>-1</v>
      </c>
    </row>
    <row r="1256" spans="1:9" x14ac:dyDescent="0.4">
      <c r="A1256">
        <v>7121600</v>
      </c>
      <c r="B1256">
        <v>0</v>
      </c>
      <c r="C1256">
        <v>707121600</v>
      </c>
      <c r="D1256">
        <v>-1</v>
      </c>
      <c r="E1256">
        <v>-1</v>
      </c>
      <c r="F1256">
        <v>428</v>
      </c>
      <c r="G1256">
        <v>-1</v>
      </c>
      <c r="H1256">
        <v>-1</v>
      </c>
      <c r="I1256">
        <v>-1</v>
      </c>
    </row>
    <row r="1257" spans="1:9" x14ac:dyDescent="0.4">
      <c r="A1257">
        <v>7121700</v>
      </c>
      <c r="B1257">
        <v>0</v>
      </c>
      <c r="C1257">
        <v>707121700</v>
      </c>
      <c r="D1257">
        <v>-1</v>
      </c>
      <c r="E1257">
        <v>-1</v>
      </c>
      <c r="F1257">
        <v>428</v>
      </c>
      <c r="G1257">
        <v>-1</v>
      </c>
      <c r="H1257">
        <v>-1</v>
      </c>
      <c r="I1257">
        <v>-1</v>
      </c>
    </row>
    <row r="1258" spans="1:9" x14ac:dyDescent="0.4">
      <c r="A1258">
        <v>7121800</v>
      </c>
      <c r="B1258">
        <v>0</v>
      </c>
      <c r="C1258">
        <v>707121800</v>
      </c>
      <c r="D1258">
        <v>-1</v>
      </c>
      <c r="E1258">
        <v>-1</v>
      </c>
      <c r="F1258">
        <v>428</v>
      </c>
      <c r="G1258">
        <v>-1</v>
      </c>
      <c r="H1258">
        <v>-1</v>
      </c>
      <c r="I1258">
        <v>-1</v>
      </c>
    </row>
    <row r="1259" spans="1:9" x14ac:dyDescent="0.4">
      <c r="A1259">
        <v>7121900</v>
      </c>
      <c r="B1259">
        <v>0</v>
      </c>
      <c r="C1259">
        <v>707121900</v>
      </c>
      <c r="D1259">
        <v>-1</v>
      </c>
      <c r="E1259">
        <v>-1</v>
      </c>
      <c r="F1259">
        <v>428</v>
      </c>
      <c r="G1259">
        <v>-1</v>
      </c>
      <c r="H1259">
        <v>-1</v>
      </c>
      <c r="I1259">
        <v>-1</v>
      </c>
    </row>
    <row r="1260" spans="1:9" x14ac:dyDescent="0.4">
      <c r="A1260">
        <v>7122000</v>
      </c>
      <c r="B1260">
        <v>0</v>
      </c>
      <c r="C1260">
        <v>707122000</v>
      </c>
      <c r="D1260">
        <v>-1</v>
      </c>
      <c r="E1260">
        <v>-1</v>
      </c>
      <c r="F1260">
        <v>428</v>
      </c>
      <c r="G1260">
        <v>-1</v>
      </c>
      <c r="H1260">
        <v>-1</v>
      </c>
      <c r="I1260">
        <v>-1</v>
      </c>
    </row>
    <row r="1261" spans="1:9" x14ac:dyDescent="0.4">
      <c r="A1261">
        <v>7122100</v>
      </c>
      <c r="B1261">
        <v>0</v>
      </c>
      <c r="C1261">
        <v>707122100</v>
      </c>
      <c r="D1261">
        <v>-1</v>
      </c>
      <c r="E1261">
        <v>-1</v>
      </c>
      <c r="F1261">
        <v>428</v>
      </c>
      <c r="G1261">
        <v>-1</v>
      </c>
      <c r="H1261">
        <v>-1</v>
      </c>
      <c r="I1261">
        <v>-1</v>
      </c>
    </row>
    <row r="1262" spans="1:9" x14ac:dyDescent="0.4">
      <c r="A1262">
        <v>7122200</v>
      </c>
      <c r="B1262">
        <v>0</v>
      </c>
      <c r="C1262">
        <v>707122200</v>
      </c>
      <c r="D1262">
        <v>-1</v>
      </c>
      <c r="E1262">
        <v>-1</v>
      </c>
      <c r="F1262">
        <v>428</v>
      </c>
      <c r="G1262">
        <v>-1</v>
      </c>
      <c r="H1262">
        <v>-1</v>
      </c>
      <c r="I1262">
        <v>-1</v>
      </c>
    </row>
    <row r="1263" spans="1:9" x14ac:dyDescent="0.4">
      <c r="A1263">
        <v>7122300</v>
      </c>
      <c r="B1263">
        <v>0</v>
      </c>
      <c r="C1263">
        <v>707122300</v>
      </c>
      <c r="D1263">
        <v>-1</v>
      </c>
      <c r="E1263">
        <v>-1</v>
      </c>
      <c r="F1263">
        <v>428</v>
      </c>
      <c r="G1263">
        <v>-1</v>
      </c>
      <c r="H1263">
        <v>-1</v>
      </c>
      <c r="I1263">
        <v>-1</v>
      </c>
    </row>
    <row r="1264" spans="1:9" x14ac:dyDescent="0.4">
      <c r="A1264">
        <v>7122400</v>
      </c>
      <c r="B1264">
        <v>0</v>
      </c>
      <c r="C1264">
        <v>707122400</v>
      </c>
      <c r="D1264">
        <v>-1</v>
      </c>
      <c r="E1264">
        <v>-1</v>
      </c>
      <c r="F1264">
        <v>428</v>
      </c>
      <c r="G1264">
        <v>-1</v>
      </c>
      <c r="H1264">
        <v>-1</v>
      </c>
      <c r="I1264">
        <v>-1</v>
      </c>
    </row>
    <row r="1265" spans="1:9" x14ac:dyDescent="0.4">
      <c r="A1265">
        <v>7122500</v>
      </c>
      <c r="B1265">
        <v>0</v>
      </c>
      <c r="C1265">
        <v>707122500</v>
      </c>
      <c r="D1265">
        <v>-1</v>
      </c>
      <c r="E1265">
        <v>-1</v>
      </c>
      <c r="F1265">
        <v>428</v>
      </c>
      <c r="G1265">
        <v>-1</v>
      </c>
      <c r="H1265">
        <v>-1</v>
      </c>
      <c r="I1265">
        <v>-1</v>
      </c>
    </row>
    <row r="1266" spans="1:9" x14ac:dyDescent="0.4">
      <c r="A1266">
        <v>7122600</v>
      </c>
      <c r="B1266">
        <v>0</v>
      </c>
      <c r="C1266">
        <v>707122600</v>
      </c>
      <c r="D1266">
        <v>-1</v>
      </c>
      <c r="E1266">
        <v>-1</v>
      </c>
      <c r="F1266">
        <v>428</v>
      </c>
      <c r="G1266">
        <v>-1</v>
      </c>
      <c r="H1266">
        <v>-1</v>
      </c>
      <c r="I1266">
        <v>-1</v>
      </c>
    </row>
    <row r="1267" spans="1:9" x14ac:dyDescent="0.4">
      <c r="A1267">
        <v>7122700</v>
      </c>
      <c r="B1267">
        <v>0</v>
      </c>
      <c r="C1267">
        <v>707122700</v>
      </c>
      <c r="D1267">
        <v>-1</v>
      </c>
      <c r="E1267">
        <v>-1</v>
      </c>
      <c r="F1267">
        <v>428</v>
      </c>
      <c r="G1267">
        <v>-1</v>
      </c>
      <c r="H1267">
        <v>-1</v>
      </c>
      <c r="I1267">
        <v>-1</v>
      </c>
    </row>
    <row r="1268" spans="1:9" x14ac:dyDescent="0.4">
      <c r="A1268">
        <v>7122800</v>
      </c>
      <c r="B1268">
        <v>0</v>
      </c>
      <c r="C1268">
        <v>707122800</v>
      </c>
      <c r="D1268">
        <v>-1</v>
      </c>
      <c r="E1268">
        <v>-1</v>
      </c>
      <c r="F1268">
        <v>428</v>
      </c>
      <c r="G1268">
        <v>-1</v>
      </c>
      <c r="H1268">
        <v>-1</v>
      </c>
      <c r="I1268">
        <v>-1</v>
      </c>
    </row>
    <row r="1269" spans="1:9" x14ac:dyDescent="0.4">
      <c r="A1269">
        <v>7122900</v>
      </c>
      <c r="B1269">
        <v>0</v>
      </c>
      <c r="C1269">
        <v>707122900</v>
      </c>
      <c r="D1269">
        <v>-1</v>
      </c>
      <c r="E1269">
        <v>-1</v>
      </c>
      <c r="F1269">
        <v>428</v>
      </c>
      <c r="G1269">
        <v>-1</v>
      </c>
      <c r="H1269">
        <v>-1</v>
      </c>
      <c r="I1269">
        <v>-1</v>
      </c>
    </row>
    <row r="1270" spans="1:9" x14ac:dyDescent="0.4">
      <c r="A1270">
        <v>7123000</v>
      </c>
      <c r="B1270">
        <v>0</v>
      </c>
      <c r="C1270">
        <v>707123000</v>
      </c>
      <c r="D1270">
        <v>-1</v>
      </c>
      <c r="E1270">
        <v>-1</v>
      </c>
      <c r="F1270">
        <v>428</v>
      </c>
      <c r="G1270">
        <v>-1</v>
      </c>
      <c r="H1270">
        <v>-1</v>
      </c>
      <c r="I1270">
        <v>-1</v>
      </c>
    </row>
    <row r="1271" spans="1:9" x14ac:dyDescent="0.4">
      <c r="A1271">
        <v>7123100</v>
      </c>
      <c r="B1271">
        <v>0</v>
      </c>
      <c r="C1271">
        <v>707123100</v>
      </c>
      <c r="D1271">
        <v>-1</v>
      </c>
      <c r="E1271">
        <v>-1</v>
      </c>
      <c r="F1271">
        <v>428</v>
      </c>
      <c r="G1271">
        <v>-1</v>
      </c>
      <c r="H1271">
        <v>-1</v>
      </c>
      <c r="I1271">
        <v>-1</v>
      </c>
    </row>
    <row r="1272" spans="1:9" x14ac:dyDescent="0.4">
      <c r="A1272">
        <v>7123200</v>
      </c>
      <c r="B1272">
        <v>0</v>
      </c>
      <c r="C1272">
        <v>707123200</v>
      </c>
      <c r="D1272">
        <v>-1</v>
      </c>
      <c r="E1272">
        <v>-1</v>
      </c>
      <c r="F1272">
        <v>428</v>
      </c>
      <c r="G1272">
        <v>-1</v>
      </c>
      <c r="H1272">
        <v>-1</v>
      </c>
      <c r="I1272">
        <v>-1</v>
      </c>
    </row>
    <row r="1273" spans="1:9" x14ac:dyDescent="0.4">
      <c r="A1273">
        <v>7123300</v>
      </c>
      <c r="B1273">
        <v>0</v>
      </c>
      <c r="C1273">
        <v>707123300</v>
      </c>
      <c r="D1273">
        <v>-1</v>
      </c>
      <c r="E1273">
        <v>-1</v>
      </c>
      <c r="F1273">
        <v>428</v>
      </c>
      <c r="G1273">
        <v>-1</v>
      </c>
      <c r="H1273">
        <v>-1</v>
      </c>
      <c r="I1273">
        <v>-1</v>
      </c>
    </row>
    <row r="1274" spans="1:9" x14ac:dyDescent="0.4">
      <c r="A1274">
        <v>7123400</v>
      </c>
      <c r="B1274">
        <v>0</v>
      </c>
      <c r="C1274">
        <v>707123400</v>
      </c>
      <c r="D1274">
        <v>-1</v>
      </c>
      <c r="E1274">
        <v>-1</v>
      </c>
      <c r="F1274">
        <v>428</v>
      </c>
      <c r="G1274">
        <v>-1</v>
      </c>
      <c r="H1274">
        <v>-1</v>
      </c>
      <c r="I1274">
        <v>-1</v>
      </c>
    </row>
    <row r="1275" spans="1:9" x14ac:dyDescent="0.4">
      <c r="A1275">
        <v>7123500</v>
      </c>
      <c r="B1275">
        <v>0</v>
      </c>
      <c r="C1275">
        <v>707123500</v>
      </c>
      <c r="D1275">
        <v>-1</v>
      </c>
      <c r="E1275">
        <v>-1</v>
      </c>
      <c r="F1275">
        <v>428</v>
      </c>
      <c r="G1275">
        <v>-1</v>
      </c>
      <c r="H1275">
        <v>-1</v>
      </c>
      <c r="I1275">
        <v>-1</v>
      </c>
    </row>
    <row r="1276" spans="1:9" x14ac:dyDescent="0.4">
      <c r="A1276">
        <v>7123600</v>
      </c>
      <c r="B1276">
        <v>0</v>
      </c>
      <c r="C1276">
        <v>707123600</v>
      </c>
      <c r="D1276">
        <v>-1</v>
      </c>
      <c r="E1276">
        <v>-1</v>
      </c>
      <c r="F1276">
        <v>428</v>
      </c>
      <c r="G1276">
        <v>-1</v>
      </c>
      <c r="H1276">
        <v>-1</v>
      </c>
      <c r="I1276">
        <v>-1</v>
      </c>
    </row>
    <row r="1277" spans="1:9" x14ac:dyDescent="0.4">
      <c r="A1277">
        <v>7123700</v>
      </c>
      <c r="B1277">
        <v>0</v>
      </c>
      <c r="C1277">
        <v>707123700</v>
      </c>
      <c r="D1277">
        <v>-1</v>
      </c>
      <c r="E1277">
        <v>-1</v>
      </c>
      <c r="F1277">
        <v>428</v>
      </c>
      <c r="G1277">
        <v>-1</v>
      </c>
      <c r="H1277">
        <v>-1</v>
      </c>
      <c r="I1277">
        <v>-1</v>
      </c>
    </row>
    <row r="1278" spans="1:9" x14ac:dyDescent="0.4">
      <c r="A1278">
        <v>7123800</v>
      </c>
      <c r="B1278">
        <v>0</v>
      </c>
      <c r="C1278">
        <v>707123800</v>
      </c>
      <c r="D1278">
        <v>-1</v>
      </c>
      <c r="E1278">
        <v>-1</v>
      </c>
      <c r="F1278">
        <v>428</v>
      </c>
      <c r="G1278">
        <v>-1</v>
      </c>
      <c r="H1278">
        <v>-1</v>
      </c>
      <c r="I1278">
        <v>-1</v>
      </c>
    </row>
    <row r="1279" spans="1:9" x14ac:dyDescent="0.4">
      <c r="A1279">
        <v>7123900</v>
      </c>
      <c r="B1279">
        <v>0</v>
      </c>
      <c r="C1279">
        <v>707123900</v>
      </c>
      <c r="D1279">
        <v>-1</v>
      </c>
      <c r="E1279">
        <v>-1</v>
      </c>
      <c r="F1279">
        <v>428</v>
      </c>
      <c r="G1279">
        <v>-1</v>
      </c>
      <c r="H1279">
        <v>-1</v>
      </c>
      <c r="I1279">
        <v>-1</v>
      </c>
    </row>
    <row r="1280" spans="1:9" x14ac:dyDescent="0.4">
      <c r="A1280">
        <v>7124000</v>
      </c>
      <c r="B1280">
        <v>0</v>
      </c>
      <c r="C1280">
        <v>707124000</v>
      </c>
      <c r="D1280">
        <v>-1</v>
      </c>
      <c r="E1280">
        <v>-1</v>
      </c>
      <c r="F1280">
        <v>428</v>
      </c>
      <c r="G1280">
        <v>-1</v>
      </c>
      <c r="H1280">
        <v>-1</v>
      </c>
      <c r="I1280">
        <v>-1</v>
      </c>
    </row>
    <row r="1281" spans="1:9" x14ac:dyDescent="0.4">
      <c r="A1281">
        <v>7124100</v>
      </c>
      <c r="B1281">
        <v>0</v>
      </c>
      <c r="C1281">
        <v>707124100</v>
      </c>
      <c r="D1281">
        <v>-1</v>
      </c>
      <c r="E1281">
        <v>-1</v>
      </c>
      <c r="F1281">
        <v>428</v>
      </c>
      <c r="G1281">
        <v>-1</v>
      </c>
      <c r="H1281">
        <v>-1</v>
      </c>
      <c r="I1281">
        <v>-1</v>
      </c>
    </row>
    <row r="1282" spans="1:9" x14ac:dyDescent="0.4">
      <c r="A1282">
        <v>7124300</v>
      </c>
      <c r="B1282">
        <v>0</v>
      </c>
      <c r="C1282">
        <v>707124300</v>
      </c>
      <c r="D1282">
        <v>-1</v>
      </c>
      <c r="E1282">
        <v>-1</v>
      </c>
      <c r="F1282">
        <v>428</v>
      </c>
      <c r="G1282">
        <v>-1</v>
      </c>
      <c r="H1282">
        <v>-1</v>
      </c>
      <c r="I1282">
        <v>-1</v>
      </c>
    </row>
    <row r="1283" spans="1:9" x14ac:dyDescent="0.4">
      <c r="A1283">
        <v>7124400</v>
      </c>
      <c r="B1283">
        <v>0</v>
      </c>
      <c r="C1283">
        <v>707124400</v>
      </c>
      <c r="D1283">
        <v>-1</v>
      </c>
      <c r="E1283">
        <v>-1</v>
      </c>
      <c r="F1283">
        <v>428</v>
      </c>
      <c r="G1283">
        <v>-1</v>
      </c>
      <c r="H1283">
        <v>-1</v>
      </c>
      <c r="I1283">
        <v>-1</v>
      </c>
    </row>
    <row r="1284" spans="1:9" x14ac:dyDescent="0.4">
      <c r="A1284">
        <v>7124500</v>
      </c>
      <c r="B1284">
        <v>0</v>
      </c>
      <c r="C1284">
        <v>707124500</v>
      </c>
      <c r="D1284">
        <v>-1</v>
      </c>
      <c r="E1284">
        <v>-1</v>
      </c>
      <c r="F1284">
        <v>428</v>
      </c>
      <c r="G1284">
        <v>-1</v>
      </c>
      <c r="H1284">
        <v>-1</v>
      </c>
      <c r="I1284">
        <v>-1</v>
      </c>
    </row>
    <row r="1285" spans="1:9" x14ac:dyDescent="0.4">
      <c r="A1285">
        <v>7124600</v>
      </c>
      <c r="B1285">
        <v>0</v>
      </c>
      <c r="C1285">
        <v>707124600</v>
      </c>
      <c r="D1285">
        <v>-1</v>
      </c>
      <c r="E1285">
        <v>-1</v>
      </c>
      <c r="F1285">
        <v>428</v>
      </c>
      <c r="G1285">
        <v>-1</v>
      </c>
      <c r="H1285">
        <v>-1</v>
      </c>
      <c r="I1285">
        <v>-1</v>
      </c>
    </row>
    <row r="1286" spans="1:9" x14ac:dyDescent="0.4">
      <c r="A1286">
        <v>7124700</v>
      </c>
      <c r="B1286">
        <v>0</v>
      </c>
      <c r="C1286">
        <v>707124700</v>
      </c>
      <c r="D1286">
        <v>-1</v>
      </c>
      <c r="E1286">
        <v>-1</v>
      </c>
      <c r="F1286">
        <v>428</v>
      </c>
      <c r="G1286">
        <v>-1</v>
      </c>
      <c r="H1286">
        <v>-1</v>
      </c>
      <c r="I1286">
        <v>-1</v>
      </c>
    </row>
    <row r="1287" spans="1:9" x14ac:dyDescent="0.4">
      <c r="A1287">
        <v>7126000</v>
      </c>
      <c r="B1287">
        <v>0</v>
      </c>
      <c r="C1287">
        <v>707126000</v>
      </c>
      <c r="D1287">
        <v>-1</v>
      </c>
      <c r="E1287">
        <v>-1</v>
      </c>
      <c r="F1287">
        <v>428</v>
      </c>
      <c r="G1287">
        <v>-1</v>
      </c>
      <c r="H1287">
        <v>-1</v>
      </c>
      <c r="I1287">
        <v>-1</v>
      </c>
    </row>
    <row r="1288" spans="1:9" x14ac:dyDescent="0.4">
      <c r="A1288">
        <v>7150000</v>
      </c>
      <c r="B1288">
        <v>0</v>
      </c>
      <c r="C1288">
        <v>707150000</v>
      </c>
      <c r="D1288">
        <v>-1</v>
      </c>
      <c r="E1288">
        <v>-1</v>
      </c>
      <c r="F1288">
        <v>428</v>
      </c>
      <c r="G1288">
        <v>-1</v>
      </c>
      <c r="H1288">
        <v>-1</v>
      </c>
      <c r="I1288">
        <v>-1</v>
      </c>
    </row>
    <row r="1289" spans="1:9" x14ac:dyDescent="0.4">
      <c r="A1289">
        <v>7160000</v>
      </c>
      <c r="B1289">
        <v>0</v>
      </c>
      <c r="C1289">
        <v>707160000</v>
      </c>
      <c r="D1289">
        <v>-1</v>
      </c>
      <c r="E1289">
        <v>-1</v>
      </c>
      <c r="F1289">
        <v>428</v>
      </c>
      <c r="G1289">
        <v>-1</v>
      </c>
      <c r="H1289">
        <v>-1</v>
      </c>
      <c r="I1289">
        <v>-1</v>
      </c>
    </row>
    <row r="1290" spans="1:9" x14ac:dyDescent="0.4">
      <c r="A1290">
        <v>7220000</v>
      </c>
      <c r="B1290">
        <v>0</v>
      </c>
      <c r="C1290">
        <v>707220000</v>
      </c>
      <c r="D1290">
        <v>-1</v>
      </c>
      <c r="E1290">
        <v>-1</v>
      </c>
      <c r="F1290">
        <v>428</v>
      </c>
      <c r="G1290">
        <v>-1</v>
      </c>
      <c r="H1290">
        <v>-1</v>
      </c>
      <c r="I1290">
        <v>-1</v>
      </c>
    </row>
    <row r="1291" spans="1:9" x14ac:dyDescent="0.4">
      <c r="A1291">
        <v>7230000</v>
      </c>
      <c r="B1291">
        <v>0</v>
      </c>
      <c r="C1291">
        <v>707230000</v>
      </c>
      <c r="D1291">
        <v>-1</v>
      </c>
      <c r="E1291">
        <v>-1</v>
      </c>
      <c r="F1291">
        <v>428</v>
      </c>
      <c r="G1291">
        <v>-1</v>
      </c>
      <c r="H1291">
        <v>-1</v>
      </c>
      <c r="I1291">
        <v>-1</v>
      </c>
    </row>
    <row r="1292" spans="1:9" x14ac:dyDescent="0.4">
      <c r="A1292">
        <v>7230001</v>
      </c>
      <c r="B1292">
        <v>0</v>
      </c>
      <c r="C1292">
        <v>707230001</v>
      </c>
      <c r="D1292">
        <v>-1</v>
      </c>
      <c r="E1292">
        <v>-1</v>
      </c>
      <c r="F1292">
        <v>428</v>
      </c>
      <c r="G1292">
        <v>-1</v>
      </c>
      <c r="H1292">
        <v>-1</v>
      </c>
      <c r="I1292">
        <v>-1</v>
      </c>
    </row>
    <row r="1293" spans="1:9" x14ac:dyDescent="0.4">
      <c r="A1293">
        <v>7240000</v>
      </c>
      <c r="B1293">
        <v>0</v>
      </c>
      <c r="C1293">
        <v>707240000</v>
      </c>
      <c r="D1293">
        <v>-1</v>
      </c>
      <c r="E1293">
        <v>-1</v>
      </c>
      <c r="F1293">
        <v>428</v>
      </c>
      <c r="G1293">
        <v>-1</v>
      </c>
      <c r="H1293">
        <v>-1</v>
      </c>
      <c r="I1293">
        <v>-1</v>
      </c>
    </row>
    <row r="1294" spans="1:9" x14ac:dyDescent="0.4">
      <c r="A1294">
        <v>7260000</v>
      </c>
      <c r="B1294">
        <v>0</v>
      </c>
      <c r="C1294">
        <v>707260000</v>
      </c>
      <c r="D1294">
        <v>-1</v>
      </c>
      <c r="E1294">
        <v>-1</v>
      </c>
      <c r="F1294">
        <v>428</v>
      </c>
      <c r="G1294">
        <v>-1</v>
      </c>
      <c r="H1294">
        <v>-1</v>
      </c>
      <c r="I1294">
        <v>-1</v>
      </c>
    </row>
    <row r="1295" spans="1:9" x14ac:dyDescent="0.4">
      <c r="A1295">
        <v>7260300</v>
      </c>
      <c r="B1295">
        <v>0</v>
      </c>
      <c r="C1295">
        <v>707260300</v>
      </c>
      <c r="D1295">
        <v>-1</v>
      </c>
      <c r="E1295">
        <v>-1</v>
      </c>
      <c r="F1295">
        <v>428</v>
      </c>
      <c r="G1295">
        <v>-1</v>
      </c>
      <c r="H1295">
        <v>-1</v>
      </c>
      <c r="I1295">
        <v>-1</v>
      </c>
    </row>
    <row r="1296" spans="1:9" x14ac:dyDescent="0.4">
      <c r="A1296">
        <v>7260400</v>
      </c>
      <c r="B1296">
        <v>0</v>
      </c>
      <c r="C1296">
        <v>707260400</v>
      </c>
      <c r="D1296">
        <v>-1</v>
      </c>
      <c r="E1296">
        <v>-1</v>
      </c>
      <c r="F1296">
        <v>428</v>
      </c>
      <c r="G1296">
        <v>-1</v>
      </c>
      <c r="H1296">
        <v>-1</v>
      </c>
      <c r="I1296">
        <v>-1</v>
      </c>
    </row>
    <row r="1297" spans="1:9" x14ac:dyDescent="0.4">
      <c r="A1297">
        <v>7260700</v>
      </c>
      <c r="B1297">
        <v>0</v>
      </c>
      <c r="C1297">
        <v>707260700</v>
      </c>
      <c r="D1297">
        <v>-1</v>
      </c>
      <c r="E1297">
        <v>-1</v>
      </c>
      <c r="F1297">
        <v>428</v>
      </c>
      <c r="G1297">
        <v>-1</v>
      </c>
      <c r="H1297">
        <v>-1</v>
      </c>
      <c r="I1297">
        <v>-1</v>
      </c>
    </row>
    <row r="1298" spans="1:9" x14ac:dyDescent="0.4">
      <c r="A1298">
        <v>7260800</v>
      </c>
      <c r="B1298">
        <v>0</v>
      </c>
      <c r="C1298">
        <v>707260800</v>
      </c>
      <c r="D1298">
        <v>-1</v>
      </c>
      <c r="E1298">
        <v>-1</v>
      </c>
      <c r="F1298">
        <v>428</v>
      </c>
      <c r="G1298">
        <v>-1</v>
      </c>
      <c r="H1298">
        <v>-1</v>
      </c>
      <c r="I1298">
        <v>-1</v>
      </c>
    </row>
    <row r="1299" spans="1:9" x14ac:dyDescent="0.4">
      <c r="A1299">
        <v>7260900</v>
      </c>
      <c r="B1299">
        <v>0</v>
      </c>
      <c r="C1299">
        <v>707260900</v>
      </c>
      <c r="D1299">
        <v>-1</v>
      </c>
      <c r="E1299">
        <v>-1</v>
      </c>
      <c r="F1299">
        <v>428</v>
      </c>
      <c r="G1299">
        <v>-1</v>
      </c>
      <c r="H1299">
        <v>-1</v>
      </c>
      <c r="I1299">
        <v>-1</v>
      </c>
    </row>
    <row r="1300" spans="1:9" x14ac:dyDescent="0.4">
      <c r="A1300">
        <v>7270100</v>
      </c>
      <c r="B1300">
        <v>0</v>
      </c>
      <c r="C1300">
        <v>707270100</v>
      </c>
      <c r="D1300">
        <v>-1</v>
      </c>
      <c r="E1300">
        <v>-1</v>
      </c>
      <c r="F1300">
        <v>428</v>
      </c>
      <c r="G1300">
        <v>-1</v>
      </c>
      <c r="H1300">
        <v>-1</v>
      </c>
      <c r="I1300">
        <v>-1</v>
      </c>
    </row>
    <row r="1301" spans="1:9" x14ac:dyDescent="0.4">
      <c r="A1301">
        <v>7280000</v>
      </c>
      <c r="B1301">
        <v>0</v>
      </c>
      <c r="C1301">
        <v>707280000</v>
      </c>
      <c r="D1301">
        <v>-1</v>
      </c>
      <c r="E1301">
        <v>-1</v>
      </c>
      <c r="F1301">
        <v>428</v>
      </c>
      <c r="G1301">
        <v>-1</v>
      </c>
      <c r="H1301">
        <v>-1</v>
      </c>
      <c r="I1301">
        <v>-1</v>
      </c>
    </row>
    <row r="1302" spans="1:9" x14ac:dyDescent="0.4">
      <c r="A1302">
        <v>7290000</v>
      </c>
      <c r="B1302">
        <v>0</v>
      </c>
      <c r="C1302">
        <v>707290000</v>
      </c>
      <c r="D1302">
        <v>-1</v>
      </c>
      <c r="E1302">
        <v>-1</v>
      </c>
      <c r="F1302">
        <v>428</v>
      </c>
      <c r="G1302">
        <v>-1</v>
      </c>
      <c r="H1302">
        <v>-1</v>
      </c>
      <c r="I1302">
        <v>-1</v>
      </c>
    </row>
    <row r="1303" spans="1:9" x14ac:dyDescent="0.4">
      <c r="A1303">
        <v>7310000</v>
      </c>
      <c r="B1303">
        <v>0</v>
      </c>
      <c r="C1303">
        <v>707310000</v>
      </c>
      <c r="D1303">
        <v>-1</v>
      </c>
      <c r="E1303">
        <v>-1</v>
      </c>
      <c r="F1303">
        <v>428</v>
      </c>
      <c r="G1303">
        <v>-1</v>
      </c>
      <c r="H1303">
        <v>-1</v>
      </c>
      <c r="I1303">
        <v>-1</v>
      </c>
    </row>
    <row r="1304" spans="1:9" x14ac:dyDescent="0.4">
      <c r="A1304">
        <v>7330000</v>
      </c>
      <c r="B1304">
        <v>0</v>
      </c>
      <c r="C1304">
        <v>707330000</v>
      </c>
      <c r="D1304">
        <v>-1</v>
      </c>
      <c r="E1304">
        <v>-1</v>
      </c>
      <c r="F1304">
        <v>428</v>
      </c>
      <c r="G1304">
        <v>-1</v>
      </c>
      <c r="H1304">
        <v>-1</v>
      </c>
      <c r="I1304">
        <v>-1</v>
      </c>
    </row>
    <row r="1305" spans="1:9" x14ac:dyDescent="0.4">
      <c r="A1305">
        <v>7330100</v>
      </c>
      <c r="B1305">
        <v>0</v>
      </c>
      <c r="C1305">
        <v>707330100</v>
      </c>
      <c r="D1305">
        <v>-1</v>
      </c>
      <c r="E1305">
        <v>-1</v>
      </c>
      <c r="F1305">
        <v>428</v>
      </c>
      <c r="G1305">
        <v>-1</v>
      </c>
      <c r="H1305">
        <v>-1</v>
      </c>
      <c r="I1305">
        <v>-1</v>
      </c>
    </row>
    <row r="1306" spans="1:9" x14ac:dyDescent="0.4">
      <c r="A1306">
        <v>7330200</v>
      </c>
      <c r="B1306">
        <v>0</v>
      </c>
      <c r="C1306">
        <v>707330200</v>
      </c>
      <c r="D1306">
        <v>-1</v>
      </c>
      <c r="E1306">
        <v>-1</v>
      </c>
      <c r="F1306">
        <v>428</v>
      </c>
      <c r="G1306">
        <v>-1</v>
      </c>
      <c r="H1306">
        <v>-1</v>
      </c>
      <c r="I1306">
        <v>-1</v>
      </c>
    </row>
    <row r="1307" spans="1:9" x14ac:dyDescent="0.4">
      <c r="A1307">
        <v>7330300</v>
      </c>
      <c r="B1307">
        <v>0</v>
      </c>
      <c r="C1307">
        <v>707330300</v>
      </c>
      <c r="D1307">
        <v>-1</v>
      </c>
      <c r="E1307">
        <v>-1</v>
      </c>
      <c r="F1307">
        <v>428</v>
      </c>
      <c r="G1307">
        <v>-1</v>
      </c>
      <c r="H1307">
        <v>-1</v>
      </c>
      <c r="I1307">
        <v>-1</v>
      </c>
    </row>
    <row r="1308" spans="1:9" x14ac:dyDescent="0.4">
      <c r="A1308">
        <v>7330400</v>
      </c>
      <c r="B1308">
        <v>0</v>
      </c>
      <c r="C1308">
        <v>707330400</v>
      </c>
      <c r="D1308">
        <v>-1</v>
      </c>
      <c r="E1308">
        <v>-1</v>
      </c>
      <c r="F1308">
        <v>428</v>
      </c>
      <c r="G1308">
        <v>-1</v>
      </c>
      <c r="H1308">
        <v>-1</v>
      </c>
      <c r="I1308">
        <v>-1</v>
      </c>
    </row>
    <row r="1309" spans="1:9" x14ac:dyDescent="0.4">
      <c r="A1309">
        <v>7330500</v>
      </c>
      <c r="B1309">
        <v>0</v>
      </c>
      <c r="C1309">
        <v>707330500</v>
      </c>
      <c r="D1309">
        <v>-1</v>
      </c>
      <c r="E1309">
        <v>-1</v>
      </c>
      <c r="F1309">
        <v>428</v>
      </c>
      <c r="G1309">
        <v>-1</v>
      </c>
      <c r="H1309">
        <v>-1</v>
      </c>
      <c r="I1309">
        <v>-1</v>
      </c>
    </row>
    <row r="1310" spans="1:9" x14ac:dyDescent="0.4">
      <c r="A1310">
        <v>7330600</v>
      </c>
      <c r="B1310">
        <v>0</v>
      </c>
      <c r="C1310">
        <v>707330600</v>
      </c>
      <c r="D1310">
        <v>-1</v>
      </c>
      <c r="E1310">
        <v>-1</v>
      </c>
      <c r="F1310">
        <v>428</v>
      </c>
      <c r="G1310">
        <v>-1</v>
      </c>
      <c r="H1310">
        <v>-1</v>
      </c>
      <c r="I1310">
        <v>-1</v>
      </c>
    </row>
    <row r="1311" spans="1:9" x14ac:dyDescent="0.4">
      <c r="A1311">
        <v>7330700</v>
      </c>
      <c r="B1311">
        <v>0</v>
      </c>
      <c r="C1311">
        <v>707330700</v>
      </c>
      <c r="D1311">
        <v>-1</v>
      </c>
      <c r="E1311">
        <v>-1</v>
      </c>
      <c r="F1311">
        <v>428</v>
      </c>
      <c r="G1311">
        <v>-1</v>
      </c>
      <c r="H1311">
        <v>-1</v>
      </c>
      <c r="I1311">
        <v>-1</v>
      </c>
    </row>
    <row r="1312" spans="1:9" x14ac:dyDescent="0.4">
      <c r="A1312">
        <v>7330800</v>
      </c>
      <c r="B1312">
        <v>0</v>
      </c>
      <c r="C1312">
        <v>707330800</v>
      </c>
      <c r="D1312">
        <v>-1</v>
      </c>
      <c r="E1312">
        <v>-1</v>
      </c>
      <c r="F1312">
        <v>428</v>
      </c>
      <c r="G1312">
        <v>-1</v>
      </c>
      <c r="H1312">
        <v>-1</v>
      </c>
      <c r="I1312">
        <v>-1</v>
      </c>
    </row>
    <row r="1313" spans="1:9" x14ac:dyDescent="0.4">
      <c r="A1313">
        <v>7330900</v>
      </c>
      <c r="B1313">
        <v>0</v>
      </c>
      <c r="C1313">
        <v>707330900</v>
      </c>
      <c r="D1313">
        <v>-1</v>
      </c>
      <c r="E1313">
        <v>-1</v>
      </c>
      <c r="F1313">
        <v>428</v>
      </c>
      <c r="G1313">
        <v>-1</v>
      </c>
      <c r="H1313">
        <v>-1</v>
      </c>
      <c r="I1313">
        <v>-1</v>
      </c>
    </row>
    <row r="1314" spans="1:9" x14ac:dyDescent="0.4">
      <c r="A1314">
        <v>7331000</v>
      </c>
      <c r="B1314">
        <v>0</v>
      </c>
      <c r="C1314">
        <v>707331000</v>
      </c>
      <c r="D1314">
        <v>-1</v>
      </c>
      <c r="E1314">
        <v>-1</v>
      </c>
      <c r="F1314">
        <v>428</v>
      </c>
      <c r="G1314">
        <v>-1</v>
      </c>
      <c r="H1314">
        <v>-1</v>
      </c>
      <c r="I1314">
        <v>-1</v>
      </c>
    </row>
    <row r="1315" spans="1:9" x14ac:dyDescent="0.4">
      <c r="A1315">
        <v>7331100</v>
      </c>
      <c r="B1315">
        <v>0</v>
      </c>
      <c r="C1315">
        <v>707331100</v>
      </c>
      <c r="D1315">
        <v>-1</v>
      </c>
      <c r="E1315">
        <v>-1</v>
      </c>
      <c r="F1315">
        <v>428</v>
      </c>
      <c r="G1315">
        <v>-1</v>
      </c>
      <c r="H1315">
        <v>-1</v>
      </c>
      <c r="I1315">
        <v>-1</v>
      </c>
    </row>
    <row r="1316" spans="1:9" x14ac:dyDescent="0.4">
      <c r="A1316">
        <v>7331200</v>
      </c>
      <c r="B1316">
        <v>0</v>
      </c>
      <c r="C1316">
        <v>707331200</v>
      </c>
      <c r="D1316">
        <v>-1</v>
      </c>
      <c r="E1316">
        <v>-1</v>
      </c>
      <c r="F1316">
        <v>428</v>
      </c>
      <c r="G1316">
        <v>-1</v>
      </c>
      <c r="H1316">
        <v>-1</v>
      </c>
      <c r="I1316">
        <v>-1</v>
      </c>
    </row>
    <row r="1317" spans="1:9" x14ac:dyDescent="0.4">
      <c r="A1317">
        <v>7331300</v>
      </c>
      <c r="B1317">
        <v>0</v>
      </c>
      <c r="C1317">
        <v>707331300</v>
      </c>
      <c r="D1317">
        <v>-1</v>
      </c>
      <c r="E1317">
        <v>-1</v>
      </c>
      <c r="F1317">
        <v>428</v>
      </c>
      <c r="G1317">
        <v>-1</v>
      </c>
      <c r="H1317">
        <v>-1</v>
      </c>
      <c r="I1317">
        <v>-1</v>
      </c>
    </row>
    <row r="1318" spans="1:9" x14ac:dyDescent="0.4">
      <c r="A1318">
        <v>7331400</v>
      </c>
      <c r="B1318">
        <v>0</v>
      </c>
      <c r="C1318">
        <v>707331400</v>
      </c>
      <c r="D1318">
        <v>-1</v>
      </c>
      <c r="E1318">
        <v>-1</v>
      </c>
      <c r="F1318">
        <v>428</v>
      </c>
      <c r="G1318">
        <v>-1</v>
      </c>
      <c r="H1318">
        <v>-1</v>
      </c>
      <c r="I1318">
        <v>-1</v>
      </c>
    </row>
    <row r="1319" spans="1:9" x14ac:dyDescent="0.4">
      <c r="A1319">
        <v>7331500</v>
      </c>
      <c r="B1319">
        <v>0</v>
      </c>
      <c r="C1319">
        <v>707331500</v>
      </c>
      <c r="D1319">
        <v>-1</v>
      </c>
      <c r="E1319">
        <v>-1</v>
      </c>
      <c r="F1319">
        <v>428</v>
      </c>
      <c r="G1319">
        <v>-1</v>
      </c>
      <c r="H1319">
        <v>-1</v>
      </c>
      <c r="I1319">
        <v>-1</v>
      </c>
    </row>
    <row r="1320" spans="1:9" x14ac:dyDescent="0.4">
      <c r="A1320">
        <v>7331700</v>
      </c>
      <c r="B1320">
        <v>0</v>
      </c>
      <c r="C1320">
        <v>707331700</v>
      </c>
      <c r="D1320">
        <v>-1</v>
      </c>
      <c r="E1320">
        <v>-1</v>
      </c>
      <c r="F1320">
        <v>428</v>
      </c>
      <c r="G1320">
        <v>-1</v>
      </c>
      <c r="H1320">
        <v>-1</v>
      </c>
      <c r="I1320">
        <v>-1</v>
      </c>
    </row>
    <row r="1321" spans="1:9" x14ac:dyDescent="0.4">
      <c r="A1321">
        <v>7331800</v>
      </c>
      <c r="B1321">
        <v>0</v>
      </c>
      <c r="C1321">
        <v>707331800</v>
      </c>
      <c r="D1321">
        <v>-1</v>
      </c>
      <c r="E1321">
        <v>-1</v>
      </c>
      <c r="F1321">
        <v>428</v>
      </c>
      <c r="G1321">
        <v>-1</v>
      </c>
      <c r="H1321">
        <v>-1</v>
      </c>
      <c r="I1321">
        <v>-1</v>
      </c>
    </row>
    <row r="1322" spans="1:9" x14ac:dyDescent="0.4">
      <c r="A1322">
        <v>7331900</v>
      </c>
      <c r="B1322">
        <v>0</v>
      </c>
      <c r="C1322">
        <v>707331900</v>
      </c>
      <c r="D1322">
        <v>-1</v>
      </c>
      <c r="E1322">
        <v>-1</v>
      </c>
      <c r="F1322">
        <v>428</v>
      </c>
      <c r="G1322">
        <v>-1</v>
      </c>
      <c r="H1322">
        <v>-1</v>
      </c>
      <c r="I1322">
        <v>-1</v>
      </c>
    </row>
    <row r="1323" spans="1:9" x14ac:dyDescent="0.4">
      <c r="A1323">
        <v>7332000</v>
      </c>
      <c r="B1323">
        <v>0</v>
      </c>
      <c r="C1323">
        <v>707332000</v>
      </c>
      <c r="D1323">
        <v>-1</v>
      </c>
      <c r="E1323">
        <v>-1</v>
      </c>
      <c r="F1323">
        <v>428</v>
      </c>
      <c r="G1323">
        <v>-1</v>
      </c>
      <c r="H1323">
        <v>-1</v>
      </c>
      <c r="I1323">
        <v>-1</v>
      </c>
    </row>
    <row r="1324" spans="1:9" x14ac:dyDescent="0.4">
      <c r="A1324">
        <v>7332100</v>
      </c>
      <c r="B1324">
        <v>0</v>
      </c>
      <c r="C1324">
        <v>707332100</v>
      </c>
      <c r="D1324">
        <v>-1</v>
      </c>
      <c r="E1324">
        <v>-1</v>
      </c>
      <c r="F1324">
        <v>428</v>
      </c>
      <c r="G1324">
        <v>-1</v>
      </c>
      <c r="H1324">
        <v>-1</v>
      </c>
      <c r="I1324">
        <v>-1</v>
      </c>
    </row>
    <row r="1325" spans="1:9" x14ac:dyDescent="0.4">
      <c r="A1325">
        <v>7332200</v>
      </c>
      <c r="B1325">
        <v>0</v>
      </c>
      <c r="C1325">
        <v>707332200</v>
      </c>
      <c r="D1325">
        <v>-1</v>
      </c>
      <c r="E1325">
        <v>-1</v>
      </c>
      <c r="F1325">
        <v>428</v>
      </c>
      <c r="G1325">
        <v>-1</v>
      </c>
      <c r="H1325">
        <v>-1</v>
      </c>
      <c r="I1325">
        <v>-1</v>
      </c>
    </row>
    <row r="1326" spans="1:9" x14ac:dyDescent="0.4">
      <c r="A1326">
        <v>7332300</v>
      </c>
      <c r="B1326">
        <v>0</v>
      </c>
      <c r="C1326">
        <v>707332300</v>
      </c>
      <c r="D1326">
        <v>-1</v>
      </c>
      <c r="E1326">
        <v>-1</v>
      </c>
      <c r="F1326">
        <v>428</v>
      </c>
      <c r="G1326">
        <v>-1</v>
      </c>
      <c r="H1326">
        <v>-1</v>
      </c>
      <c r="I1326">
        <v>-1</v>
      </c>
    </row>
    <row r="1327" spans="1:9" x14ac:dyDescent="0.4">
      <c r="A1327">
        <v>7332400</v>
      </c>
      <c r="B1327">
        <v>0</v>
      </c>
      <c r="C1327">
        <v>707332400</v>
      </c>
      <c r="D1327">
        <v>-1</v>
      </c>
      <c r="E1327">
        <v>-1</v>
      </c>
      <c r="F1327">
        <v>428</v>
      </c>
      <c r="G1327">
        <v>-1</v>
      </c>
      <c r="H1327">
        <v>-1</v>
      </c>
      <c r="I1327">
        <v>-1</v>
      </c>
    </row>
    <row r="1328" spans="1:9" x14ac:dyDescent="0.4">
      <c r="A1328">
        <v>7340000</v>
      </c>
      <c r="B1328">
        <v>0</v>
      </c>
      <c r="C1328">
        <v>707340000</v>
      </c>
      <c r="D1328">
        <v>-1</v>
      </c>
      <c r="E1328">
        <v>-1</v>
      </c>
      <c r="F1328">
        <v>428</v>
      </c>
      <c r="G1328">
        <v>-1</v>
      </c>
      <c r="H1328">
        <v>-1</v>
      </c>
      <c r="I1328">
        <v>-1</v>
      </c>
    </row>
    <row r="1329" spans="1:9" x14ac:dyDescent="0.4">
      <c r="A1329">
        <v>7340100</v>
      </c>
      <c r="B1329">
        <v>0</v>
      </c>
      <c r="C1329">
        <v>707340100</v>
      </c>
      <c r="D1329">
        <v>-1</v>
      </c>
      <c r="E1329">
        <v>-1</v>
      </c>
      <c r="F1329">
        <v>428</v>
      </c>
      <c r="G1329">
        <v>-1</v>
      </c>
      <c r="H1329">
        <v>-1</v>
      </c>
      <c r="I1329">
        <v>-1</v>
      </c>
    </row>
    <row r="1330" spans="1:9" x14ac:dyDescent="0.4">
      <c r="A1330">
        <v>7340200</v>
      </c>
      <c r="B1330">
        <v>0</v>
      </c>
      <c r="C1330">
        <v>707340200</v>
      </c>
      <c r="D1330">
        <v>-1</v>
      </c>
      <c r="E1330">
        <v>-1</v>
      </c>
      <c r="F1330">
        <v>428</v>
      </c>
      <c r="G1330">
        <v>-1</v>
      </c>
      <c r="H1330">
        <v>-1</v>
      </c>
      <c r="I1330">
        <v>-1</v>
      </c>
    </row>
    <row r="1331" spans="1:9" x14ac:dyDescent="0.4">
      <c r="A1331">
        <v>7340300</v>
      </c>
      <c r="B1331">
        <v>0</v>
      </c>
      <c r="C1331">
        <v>707340300</v>
      </c>
      <c r="D1331">
        <v>-1</v>
      </c>
      <c r="E1331">
        <v>-1</v>
      </c>
      <c r="F1331">
        <v>428</v>
      </c>
      <c r="G1331">
        <v>-1</v>
      </c>
      <c r="H1331">
        <v>-1</v>
      </c>
      <c r="I1331">
        <v>-1</v>
      </c>
    </row>
    <row r="1332" spans="1:9" x14ac:dyDescent="0.4">
      <c r="A1332">
        <v>7340400</v>
      </c>
      <c r="B1332">
        <v>0</v>
      </c>
      <c r="C1332">
        <v>707340400</v>
      </c>
      <c r="D1332">
        <v>-1</v>
      </c>
      <c r="E1332">
        <v>-1</v>
      </c>
      <c r="F1332">
        <v>428</v>
      </c>
      <c r="G1332">
        <v>-1</v>
      </c>
      <c r="H1332">
        <v>-1</v>
      </c>
      <c r="I1332">
        <v>-1</v>
      </c>
    </row>
    <row r="1333" spans="1:9" x14ac:dyDescent="0.4">
      <c r="A1333">
        <v>7340500</v>
      </c>
      <c r="B1333">
        <v>0</v>
      </c>
      <c r="C1333">
        <v>707340500</v>
      </c>
      <c r="D1333">
        <v>-1</v>
      </c>
      <c r="E1333">
        <v>-1</v>
      </c>
      <c r="F1333">
        <v>428</v>
      </c>
      <c r="G1333">
        <v>-1</v>
      </c>
      <c r="H1333">
        <v>-1</v>
      </c>
      <c r="I1333">
        <v>-1</v>
      </c>
    </row>
    <row r="1334" spans="1:9" x14ac:dyDescent="0.4">
      <c r="A1334">
        <v>7340600</v>
      </c>
      <c r="B1334">
        <v>0</v>
      </c>
      <c r="C1334">
        <v>707340600</v>
      </c>
      <c r="D1334">
        <v>-1</v>
      </c>
      <c r="E1334">
        <v>-1</v>
      </c>
      <c r="F1334">
        <v>428</v>
      </c>
      <c r="G1334">
        <v>-1</v>
      </c>
      <c r="H1334">
        <v>-1</v>
      </c>
      <c r="I1334">
        <v>-1</v>
      </c>
    </row>
    <row r="1335" spans="1:9" x14ac:dyDescent="0.4">
      <c r="A1335">
        <v>7340700</v>
      </c>
      <c r="B1335">
        <v>0</v>
      </c>
      <c r="C1335">
        <v>707340700</v>
      </c>
      <c r="D1335">
        <v>-1</v>
      </c>
      <c r="E1335">
        <v>-1</v>
      </c>
      <c r="F1335">
        <v>428</v>
      </c>
      <c r="G1335">
        <v>-1</v>
      </c>
      <c r="H1335">
        <v>-1</v>
      </c>
      <c r="I1335">
        <v>-1</v>
      </c>
    </row>
    <row r="1336" spans="1:9" x14ac:dyDescent="0.4">
      <c r="A1336">
        <v>7340800</v>
      </c>
      <c r="B1336">
        <v>0</v>
      </c>
      <c r="C1336">
        <v>707340800</v>
      </c>
      <c r="D1336">
        <v>-1</v>
      </c>
      <c r="E1336">
        <v>-1</v>
      </c>
      <c r="F1336">
        <v>428</v>
      </c>
      <c r="G1336">
        <v>-1</v>
      </c>
      <c r="H1336">
        <v>-1</v>
      </c>
      <c r="I1336">
        <v>-1</v>
      </c>
    </row>
    <row r="1337" spans="1:9" x14ac:dyDescent="0.4">
      <c r="A1337">
        <v>7340900</v>
      </c>
      <c r="B1337">
        <v>0</v>
      </c>
      <c r="C1337">
        <v>707340900</v>
      </c>
      <c r="D1337">
        <v>-1</v>
      </c>
      <c r="E1337">
        <v>-1</v>
      </c>
      <c r="F1337">
        <v>428</v>
      </c>
      <c r="G1337">
        <v>-1</v>
      </c>
      <c r="H1337">
        <v>-1</v>
      </c>
      <c r="I1337">
        <v>-1</v>
      </c>
    </row>
    <row r="1338" spans="1:9" x14ac:dyDescent="0.4">
      <c r="A1338">
        <v>7341000</v>
      </c>
      <c r="B1338">
        <v>0</v>
      </c>
      <c r="C1338">
        <v>707341000</v>
      </c>
      <c r="D1338">
        <v>-1</v>
      </c>
      <c r="E1338">
        <v>-1</v>
      </c>
      <c r="F1338">
        <v>428</v>
      </c>
      <c r="G1338">
        <v>-1</v>
      </c>
      <c r="H1338">
        <v>-1</v>
      </c>
      <c r="I1338">
        <v>-1</v>
      </c>
    </row>
    <row r="1339" spans="1:9" x14ac:dyDescent="0.4">
      <c r="A1339">
        <v>7341100</v>
      </c>
      <c r="B1339">
        <v>0</v>
      </c>
      <c r="C1339">
        <v>707341100</v>
      </c>
      <c r="D1339">
        <v>-1</v>
      </c>
      <c r="E1339">
        <v>-1</v>
      </c>
      <c r="F1339">
        <v>428</v>
      </c>
      <c r="G1339">
        <v>-1</v>
      </c>
      <c r="H1339">
        <v>-1</v>
      </c>
      <c r="I1339">
        <v>-1</v>
      </c>
    </row>
    <row r="1340" spans="1:9" x14ac:dyDescent="0.4">
      <c r="A1340">
        <v>7341200</v>
      </c>
      <c r="B1340">
        <v>0</v>
      </c>
      <c r="C1340">
        <v>707341200</v>
      </c>
      <c r="D1340">
        <v>-1</v>
      </c>
      <c r="E1340">
        <v>-1</v>
      </c>
      <c r="F1340">
        <v>428</v>
      </c>
      <c r="G1340">
        <v>-1</v>
      </c>
      <c r="H1340">
        <v>-1</v>
      </c>
      <c r="I1340">
        <v>-1</v>
      </c>
    </row>
    <row r="1341" spans="1:9" x14ac:dyDescent="0.4">
      <c r="A1341">
        <v>7341300</v>
      </c>
      <c r="B1341">
        <v>0</v>
      </c>
      <c r="C1341">
        <v>707341300</v>
      </c>
      <c r="D1341">
        <v>-1</v>
      </c>
      <c r="E1341">
        <v>-1</v>
      </c>
      <c r="F1341">
        <v>428</v>
      </c>
      <c r="G1341">
        <v>-1</v>
      </c>
      <c r="H1341">
        <v>-1</v>
      </c>
      <c r="I1341">
        <v>-1</v>
      </c>
    </row>
    <row r="1342" spans="1:9" x14ac:dyDescent="0.4">
      <c r="A1342">
        <v>7341400</v>
      </c>
      <c r="B1342">
        <v>0</v>
      </c>
      <c r="C1342">
        <v>707341400</v>
      </c>
      <c r="D1342">
        <v>-1</v>
      </c>
      <c r="E1342">
        <v>-1</v>
      </c>
      <c r="F1342">
        <v>428</v>
      </c>
      <c r="G1342">
        <v>-1</v>
      </c>
      <c r="H1342">
        <v>-1</v>
      </c>
      <c r="I1342">
        <v>-1</v>
      </c>
    </row>
    <row r="1343" spans="1:9" x14ac:dyDescent="0.4">
      <c r="A1343">
        <v>7341500</v>
      </c>
      <c r="B1343">
        <v>0</v>
      </c>
      <c r="C1343">
        <v>707341500</v>
      </c>
      <c r="D1343">
        <v>-1</v>
      </c>
      <c r="E1343">
        <v>-1</v>
      </c>
      <c r="F1343">
        <v>428</v>
      </c>
      <c r="G1343">
        <v>-1</v>
      </c>
      <c r="H1343">
        <v>-1</v>
      </c>
      <c r="I1343">
        <v>-1</v>
      </c>
    </row>
    <row r="1344" spans="1:9" x14ac:dyDescent="0.4">
      <c r="A1344">
        <v>7341700</v>
      </c>
      <c r="B1344">
        <v>0</v>
      </c>
      <c r="C1344">
        <v>707341700</v>
      </c>
      <c r="D1344">
        <v>-1</v>
      </c>
      <c r="E1344">
        <v>-1</v>
      </c>
      <c r="F1344">
        <v>428</v>
      </c>
      <c r="G1344">
        <v>-1</v>
      </c>
      <c r="H1344">
        <v>-1</v>
      </c>
      <c r="I1344">
        <v>-1</v>
      </c>
    </row>
    <row r="1345" spans="1:9" x14ac:dyDescent="0.4">
      <c r="A1345">
        <v>7341800</v>
      </c>
      <c r="B1345">
        <v>0</v>
      </c>
      <c r="C1345">
        <v>707341800</v>
      </c>
      <c r="D1345">
        <v>-1</v>
      </c>
      <c r="E1345">
        <v>-1</v>
      </c>
      <c r="F1345">
        <v>428</v>
      </c>
      <c r="G1345">
        <v>-1</v>
      </c>
      <c r="H1345">
        <v>-1</v>
      </c>
      <c r="I1345">
        <v>-1</v>
      </c>
    </row>
    <row r="1346" spans="1:9" x14ac:dyDescent="0.4">
      <c r="A1346">
        <v>7341900</v>
      </c>
      <c r="B1346">
        <v>0</v>
      </c>
      <c r="C1346">
        <v>707341900</v>
      </c>
      <c r="D1346">
        <v>-1</v>
      </c>
      <c r="E1346">
        <v>-1</v>
      </c>
      <c r="F1346">
        <v>428</v>
      </c>
      <c r="G1346">
        <v>-1</v>
      </c>
      <c r="H1346">
        <v>-1</v>
      </c>
      <c r="I1346">
        <v>-1</v>
      </c>
    </row>
    <row r="1347" spans="1:9" x14ac:dyDescent="0.4">
      <c r="A1347">
        <v>7342000</v>
      </c>
      <c r="B1347">
        <v>0</v>
      </c>
      <c r="C1347">
        <v>707342000</v>
      </c>
      <c r="D1347">
        <v>-1</v>
      </c>
      <c r="E1347">
        <v>-1</v>
      </c>
      <c r="F1347">
        <v>428</v>
      </c>
      <c r="G1347">
        <v>-1</v>
      </c>
      <c r="H1347">
        <v>-1</v>
      </c>
      <c r="I1347">
        <v>-1</v>
      </c>
    </row>
    <row r="1348" spans="1:9" x14ac:dyDescent="0.4">
      <c r="A1348">
        <v>7342100</v>
      </c>
      <c r="B1348">
        <v>0</v>
      </c>
      <c r="C1348">
        <v>707342100</v>
      </c>
      <c r="D1348">
        <v>-1</v>
      </c>
      <c r="E1348">
        <v>-1</v>
      </c>
      <c r="F1348">
        <v>428</v>
      </c>
      <c r="G1348">
        <v>-1</v>
      </c>
      <c r="H1348">
        <v>-1</v>
      </c>
      <c r="I1348">
        <v>-1</v>
      </c>
    </row>
    <row r="1349" spans="1:9" x14ac:dyDescent="0.4">
      <c r="A1349">
        <v>7342200</v>
      </c>
      <c r="B1349">
        <v>0</v>
      </c>
      <c r="C1349">
        <v>707342200</v>
      </c>
      <c r="D1349">
        <v>-1</v>
      </c>
      <c r="E1349">
        <v>-1</v>
      </c>
      <c r="F1349">
        <v>428</v>
      </c>
      <c r="G1349">
        <v>-1</v>
      </c>
      <c r="H1349">
        <v>-1</v>
      </c>
      <c r="I1349">
        <v>-1</v>
      </c>
    </row>
    <row r="1350" spans="1:9" x14ac:dyDescent="0.4">
      <c r="A1350">
        <v>7342300</v>
      </c>
      <c r="B1350">
        <v>0</v>
      </c>
      <c r="C1350">
        <v>707342300</v>
      </c>
      <c r="D1350">
        <v>-1</v>
      </c>
      <c r="E1350">
        <v>-1</v>
      </c>
      <c r="F1350">
        <v>428</v>
      </c>
      <c r="G1350">
        <v>-1</v>
      </c>
      <c r="H1350">
        <v>-1</v>
      </c>
      <c r="I1350">
        <v>-1</v>
      </c>
    </row>
    <row r="1351" spans="1:9" x14ac:dyDescent="0.4">
      <c r="A1351">
        <v>7342400</v>
      </c>
      <c r="B1351">
        <v>0</v>
      </c>
      <c r="C1351">
        <v>707342400</v>
      </c>
      <c r="D1351">
        <v>-1</v>
      </c>
      <c r="E1351">
        <v>-1</v>
      </c>
      <c r="F1351">
        <v>428</v>
      </c>
      <c r="G1351">
        <v>-1</v>
      </c>
      <c r="H1351">
        <v>-1</v>
      </c>
      <c r="I1351">
        <v>-1</v>
      </c>
    </row>
    <row r="1352" spans="1:9" x14ac:dyDescent="0.4">
      <c r="A1352">
        <v>7350000</v>
      </c>
      <c r="B1352">
        <v>0</v>
      </c>
      <c r="C1352">
        <v>707350000</v>
      </c>
      <c r="D1352">
        <v>-1</v>
      </c>
      <c r="E1352">
        <v>-1</v>
      </c>
      <c r="F1352">
        <v>428</v>
      </c>
      <c r="G1352">
        <v>-1</v>
      </c>
      <c r="H1352">
        <v>-1</v>
      </c>
      <c r="I1352">
        <v>-1</v>
      </c>
    </row>
    <row r="1353" spans="1:9" x14ac:dyDescent="0.4">
      <c r="A1353">
        <v>7350100</v>
      </c>
      <c r="B1353">
        <v>0</v>
      </c>
      <c r="C1353">
        <v>707350100</v>
      </c>
      <c r="D1353">
        <v>-1</v>
      </c>
      <c r="E1353">
        <v>-1</v>
      </c>
      <c r="F1353">
        <v>428</v>
      </c>
      <c r="G1353">
        <v>-1</v>
      </c>
      <c r="H1353">
        <v>-1</v>
      </c>
      <c r="I1353">
        <v>-1</v>
      </c>
    </row>
    <row r="1354" spans="1:9" x14ac:dyDescent="0.4">
      <c r="A1354">
        <v>7350200</v>
      </c>
      <c r="B1354">
        <v>0</v>
      </c>
      <c r="C1354">
        <v>707350200</v>
      </c>
      <c r="D1354">
        <v>-1</v>
      </c>
      <c r="E1354">
        <v>-1</v>
      </c>
      <c r="F1354">
        <v>428</v>
      </c>
      <c r="G1354">
        <v>-1</v>
      </c>
      <c r="H1354">
        <v>-1</v>
      </c>
      <c r="I1354">
        <v>-1</v>
      </c>
    </row>
    <row r="1355" spans="1:9" x14ac:dyDescent="0.4">
      <c r="A1355">
        <v>7350300</v>
      </c>
      <c r="B1355">
        <v>0</v>
      </c>
      <c r="C1355">
        <v>707350300</v>
      </c>
      <c r="D1355">
        <v>-1</v>
      </c>
      <c r="E1355">
        <v>-1</v>
      </c>
      <c r="F1355">
        <v>428</v>
      </c>
      <c r="G1355">
        <v>-1</v>
      </c>
      <c r="H1355">
        <v>-1</v>
      </c>
      <c r="I1355">
        <v>-1</v>
      </c>
    </row>
    <row r="1356" spans="1:9" x14ac:dyDescent="0.4">
      <c r="A1356">
        <v>7350400</v>
      </c>
      <c r="B1356">
        <v>0</v>
      </c>
      <c r="C1356">
        <v>707350400</v>
      </c>
      <c r="D1356">
        <v>-1</v>
      </c>
      <c r="E1356">
        <v>-1</v>
      </c>
      <c r="F1356">
        <v>428</v>
      </c>
      <c r="G1356">
        <v>-1</v>
      </c>
      <c r="H1356">
        <v>-1</v>
      </c>
      <c r="I1356">
        <v>-1</v>
      </c>
    </row>
    <row r="1357" spans="1:9" x14ac:dyDescent="0.4">
      <c r="A1357">
        <v>7350500</v>
      </c>
      <c r="B1357">
        <v>0</v>
      </c>
      <c r="C1357">
        <v>707350500</v>
      </c>
      <c r="D1357">
        <v>-1</v>
      </c>
      <c r="E1357">
        <v>-1</v>
      </c>
      <c r="F1357">
        <v>428</v>
      </c>
      <c r="G1357">
        <v>-1</v>
      </c>
      <c r="H1357">
        <v>-1</v>
      </c>
      <c r="I1357">
        <v>-1</v>
      </c>
    </row>
    <row r="1358" spans="1:9" x14ac:dyDescent="0.4">
      <c r="A1358">
        <v>7350600</v>
      </c>
      <c r="B1358">
        <v>0</v>
      </c>
      <c r="C1358">
        <v>707350600</v>
      </c>
      <c r="D1358">
        <v>-1</v>
      </c>
      <c r="E1358">
        <v>-1</v>
      </c>
      <c r="F1358">
        <v>428</v>
      </c>
      <c r="G1358">
        <v>-1</v>
      </c>
      <c r="H1358">
        <v>-1</v>
      </c>
      <c r="I1358">
        <v>-1</v>
      </c>
    </row>
    <row r="1359" spans="1:9" x14ac:dyDescent="0.4">
      <c r="A1359">
        <v>7350700</v>
      </c>
      <c r="B1359">
        <v>0</v>
      </c>
      <c r="C1359">
        <v>707350700</v>
      </c>
      <c r="D1359">
        <v>-1</v>
      </c>
      <c r="E1359">
        <v>-1</v>
      </c>
      <c r="F1359">
        <v>428</v>
      </c>
      <c r="G1359">
        <v>-1</v>
      </c>
      <c r="H1359">
        <v>-1</v>
      </c>
      <c r="I1359">
        <v>-1</v>
      </c>
    </row>
    <row r="1360" spans="1:9" x14ac:dyDescent="0.4">
      <c r="A1360">
        <v>7350800</v>
      </c>
      <c r="B1360">
        <v>0</v>
      </c>
      <c r="C1360">
        <v>707350800</v>
      </c>
      <c r="D1360">
        <v>-1</v>
      </c>
      <c r="E1360">
        <v>-1</v>
      </c>
      <c r="F1360">
        <v>428</v>
      </c>
      <c r="G1360">
        <v>-1</v>
      </c>
      <c r="H1360">
        <v>-1</v>
      </c>
      <c r="I1360">
        <v>-1</v>
      </c>
    </row>
    <row r="1361" spans="1:9" x14ac:dyDescent="0.4">
      <c r="A1361">
        <v>7350900</v>
      </c>
      <c r="B1361">
        <v>0</v>
      </c>
      <c r="C1361">
        <v>707350900</v>
      </c>
      <c r="D1361">
        <v>-1</v>
      </c>
      <c r="E1361">
        <v>-1</v>
      </c>
      <c r="F1361">
        <v>428</v>
      </c>
      <c r="G1361">
        <v>-1</v>
      </c>
      <c r="H1361">
        <v>-1</v>
      </c>
      <c r="I1361">
        <v>-1</v>
      </c>
    </row>
    <row r="1362" spans="1:9" x14ac:dyDescent="0.4">
      <c r="A1362">
        <v>7351000</v>
      </c>
      <c r="B1362">
        <v>0</v>
      </c>
      <c r="C1362">
        <v>707351000</v>
      </c>
      <c r="D1362">
        <v>-1</v>
      </c>
      <c r="E1362">
        <v>-1</v>
      </c>
      <c r="F1362">
        <v>428</v>
      </c>
      <c r="G1362">
        <v>-1</v>
      </c>
      <c r="H1362">
        <v>-1</v>
      </c>
      <c r="I1362">
        <v>-1</v>
      </c>
    </row>
    <row r="1363" spans="1:9" x14ac:dyDescent="0.4">
      <c r="A1363">
        <v>7351100</v>
      </c>
      <c r="B1363">
        <v>0</v>
      </c>
      <c r="C1363">
        <v>707351100</v>
      </c>
      <c r="D1363">
        <v>-1</v>
      </c>
      <c r="E1363">
        <v>-1</v>
      </c>
      <c r="F1363">
        <v>428</v>
      </c>
      <c r="G1363">
        <v>-1</v>
      </c>
      <c r="H1363">
        <v>-1</v>
      </c>
      <c r="I1363">
        <v>-1</v>
      </c>
    </row>
    <row r="1364" spans="1:9" x14ac:dyDescent="0.4">
      <c r="A1364">
        <v>7351200</v>
      </c>
      <c r="B1364">
        <v>0</v>
      </c>
      <c r="C1364">
        <v>707351200</v>
      </c>
      <c r="D1364">
        <v>-1</v>
      </c>
      <c r="E1364">
        <v>-1</v>
      </c>
      <c r="F1364">
        <v>428</v>
      </c>
      <c r="G1364">
        <v>-1</v>
      </c>
      <c r="H1364">
        <v>-1</v>
      </c>
      <c r="I1364">
        <v>-1</v>
      </c>
    </row>
    <row r="1365" spans="1:9" x14ac:dyDescent="0.4">
      <c r="A1365">
        <v>7351300</v>
      </c>
      <c r="B1365">
        <v>0</v>
      </c>
      <c r="C1365">
        <v>707351300</v>
      </c>
      <c r="D1365">
        <v>-1</v>
      </c>
      <c r="E1365">
        <v>-1</v>
      </c>
      <c r="F1365">
        <v>428</v>
      </c>
      <c r="G1365">
        <v>-1</v>
      </c>
      <c r="H1365">
        <v>-1</v>
      </c>
      <c r="I1365">
        <v>-1</v>
      </c>
    </row>
    <row r="1366" spans="1:9" x14ac:dyDescent="0.4">
      <c r="A1366">
        <v>7351400</v>
      </c>
      <c r="B1366">
        <v>0</v>
      </c>
      <c r="C1366">
        <v>707351400</v>
      </c>
      <c r="D1366">
        <v>-1</v>
      </c>
      <c r="E1366">
        <v>-1</v>
      </c>
      <c r="F1366">
        <v>428</v>
      </c>
      <c r="G1366">
        <v>-1</v>
      </c>
      <c r="H1366">
        <v>-1</v>
      </c>
      <c r="I1366">
        <v>-1</v>
      </c>
    </row>
    <row r="1367" spans="1:9" x14ac:dyDescent="0.4">
      <c r="A1367">
        <v>7351500</v>
      </c>
      <c r="B1367">
        <v>0</v>
      </c>
      <c r="C1367">
        <v>707351500</v>
      </c>
      <c r="D1367">
        <v>-1</v>
      </c>
      <c r="E1367">
        <v>-1</v>
      </c>
      <c r="F1367">
        <v>428</v>
      </c>
      <c r="G1367">
        <v>-1</v>
      </c>
      <c r="H1367">
        <v>-1</v>
      </c>
      <c r="I1367">
        <v>-1</v>
      </c>
    </row>
    <row r="1368" spans="1:9" x14ac:dyDescent="0.4">
      <c r="A1368">
        <v>7351700</v>
      </c>
      <c r="B1368">
        <v>0</v>
      </c>
      <c r="C1368">
        <v>707351700</v>
      </c>
      <c r="D1368">
        <v>-1</v>
      </c>
      <c r="E1368">
        <v>-1</v>
      </c>
      <c r="F1368">
        <v>428</v>
      </c>
      <c r="G1368">
        <v>-1</v>
      </c>
      <c r="H1368">
        <v>-1</v>
      </c>
      <c r="I1368">
        <v>-1</v>
      </c>
    </row>
    <row r="1369" spans="1:9" x14ac:dyDescent="0.4">
      <c r="A1369">
        <v>7351800</v>
      </c>
      <c r="B1369">
        <v>0</v>
      </c>
      <c r="C1369">
        <v>707351800</v>
      </c>
      <c r="D1369">
        <v>-1</v>
      </c>
      <c r="E1369">
        <v>-1</v>
      </c>
      <c r="F1369">
        <v>428</v>
      </c>
      <c r="G1369">
        <v>-1</v>
      </c>
      <c r="H1369">
        <v>-1</v>
      </c>
      <c r="I1369">
        <v>-1</v>
      </c>
    </row>
    <row r="1370" spans="1:9" x14ac:dyDescent="0.4">
      <c r="A1370">
        <v>7351900</v>
      </c>
      <c r="B1370">
        <v>0</v>
      </c>
      <c r="C1370">
        <v>707351900</v>
      </c>
      <c r="D1370">
        <v>-1</v>
      </c>
      <c r="E1370">
        <v>-1</v>
      </c>
      <c r="F1370">
        <v>428</v>
      </c>
      <c r="G1370">
        <v>-1</v>
      </c>
      <c r="H1370">
        <v>-1</v>
      </c>
      <c r="I1370">
        <v>-1</v>
      </c>
    </row>
    <row r="1371" spans="1:9" x14ac:dyDescent="0.4">
      <c r="A1371">
        <v>7352000</v>
      </c>
      <c r="B1371">
        <v>0</v>
      </c>
      <c r="C1371">
        <v>707352000</v>
      </c>
      <c r="D1371">
        <v>-1</v>
      </c>
      <c r="E1371">
        <v>-1</v>
      </c>
      <c r="F1371">
        <v>428</v>
      </c>
      <c r="G1371">
        <v>-1</v>
      </c>
      <c r="H1371">
        <v>-1</v>
      </c>
      <c r="I1371">
        <v>-1</v>
      </c>
    </row>
    <row r="1372" spans="1:9" x14ac:dyDescent="0.4">
      <c r="A1372">
        <v>7352100</v>
      </c>
      <c r="B1372">
        <v>0</v>
      </c>
      <c r="C1372">
        <v>707352100</v>
      </c>
      <c r="D1372">
        <v>-1</v>
      </c>
      <c r="E1372">
        <v>-1</v>
      </c>
      <c r="F1372">
        <v>428</v>
      </c>
      <c r="G1372">
        <v>-1</v>
      </c>
      <c r="H1372">
        <v>-1</v>
      </c>
      <c r="I1372">
        <v>-1</v>
      </c>
    </row>
    <row r="1373" spans="1:9" x14ac:dyDescent="0.4">
      <c r="A1373">
        <v>7352200</v>
      </c>
      <c r="B1373">
        <v>0</v>
      </c>
      <c r="C1373">
        <v>707352200</v>
      </c>
      <c r="D1373">
        <v>-1</v>
      </c>
      <c r="E1373">
        <v>-1</v>
      </c>
      <c r="F1373">
        <v>428</v>
      </c>
      <c r="G1373">
        <v>-1</v>
      </c>
      <c r="H1373">
        <v>-1</v>
      </c>
      <c r="I1373">
        <v>-1</v>
      </c>
    </row>
    <row r="1374" spans="1:9" x14ac:dyDescent="0.4">
      <c r="A1374">
        <v>7352300</v>
      </c>
      <c r="B1374">
        <v>0</v>
      </c>
      <c r="C1374">
        <v>707352300</v>
      </c>
      <c r="D1374">
        <v>-1</v>
      </c>
      <c r="E1374">
        <v>-1</v>
      </c>
      <c r="F1374">
        <v>428</v>
      </c>
      <c r="G1374">
        <v>-1</v>
      </c>
      <c r="H1374">
        <v>-1</v>
      </c>
      <c r="I1374">
        <v>-1</v>
      </c>
    </row>
    <row r="1375" spans="1:9" x14ac:dyDescent="0.4">
      <c r="A1375">
        <v>7352400</v>
      </c>
      <c r="B1375">
        <v>0</v>
      </c>
      <c r="C1375">
        <v>707352400</v>
      </c>
      <c r="D1375">
        <v>-1</v>
      </c>
      <c r="E1375">
        <v>-1</v>
      </c>
      <c r="F1375">
        <v>428</v>
      </c>
      <c r="G1375">
        <v>-1</v>
      </c>
      <c r="H1375">
        <v>-1</v>
      </c>
      <c r="I1375">
        <v>-1</v>
      </c>
    </row>
    <row r="1376" spans="1:9" x14ac:dyDescent="0.4">
      <c r="A1376">
        <v>7360600</v>
      </c>
      <c r="B1376">
        <v>0</v>
      </c>
      <c r="C1376">
        <v>707360600</v>
      </c>
      <c r="D1376">
        <v>-1</v>
      </c>
      <c r="E1376">
        <v>-1</v>
      </c>
      <c r="F1376">
        <v>428</v>
      </c>
      <c r="G1376">
        <v>-1</v>
      </c>
      <c r="H1376">
        <v>-1</v>
      </c>
      <c r="I1376">
        <v>-1</v>
      </c>
    </row>
    <row r="1377" spans="1:9" x14ac:dyDescent="0.4">
      <c r="A1377">
        <v>7360900</v>
      </c>
      <c r="B1377">
        <v>0</v>
      </c>
      <c r="C1377">
        <v>707360900</v>
      </c>
      <c r="D1377">
        <v>-1</v>
      </c>
      <c r="E1377">
        <v>-1</v>
      </c>
      <c r="F1377">
        <v>428</v>
      </c>
      <c r="G1377">
        <v>-1</v>
      </c>
      <c r="H1377">
        <v>-1</v>
      </c>
      <c r="I1377">
        <v>-1</v>
      </c>
    </row>
    <row r="1378" spans="1:9" x14ac:dyDescent="0.4">
      <c r="A1378">
        <v>7361200</v>
      </c>
      <c r="B1378">
        <v>0</v>
      </c>
      <c r="C1378">
        <v>707361200</v>
      </c>
      <c r="D1378">
        <v>-1</v>
      </c>
      <c r="E1378">
        <v>-1</v>
      </c>
      <c r="F1378">
        <v>428</v>
      </c>
      <c r="G1378">
        <v>-1</v>
      </c>
      <c r="H1378">
        <v>-1</v>
      </c>
      <c r="I1378">
        <v>-1</v>
      </c>
    </row>
    <row r="1379" spans="1:9" x14ac:dyDescent="0.4">
      <c r="A1379">
        <v>7361300</v>
      </c>
      <c r="B1379">
        <v>0</v>
      </c>
      <c r="C1379">
        <v>707361300</v>
      </c>
      <c r="D1379">
        <v>-1</v>
      </c>
      <c r="E1379">
        <v>-1</v>
      </c>
      <c r="F1379">
        <v>428</v>
      </c>
      <c r="G1379">
        <v>-1</v>
      </c>
      <c r="H1379">
        <v>-1</v>
      </c>
      <c r="I1379">
        <v>-1</v>
      </c>
    </row>
    <row r="1380" spans="1:9" x14ac:dyDescent="0.4">
      <c r="A1380">
        <v>7362100</v>
      </c>
      <c r="B1380">
        <v>0</v>
      </c>
      <c r="C1380">
        <v>707362100</v>
      </c>
      <c r="D1380">
        <v>-1</v>
      </c>
      <c r="E1380">
        <v>-1</v>
      </c>
      <c r="F1380">
        <v>428</v>
      </c>
      <c r="G1380">
        <v>-1</v>
      </c>
      <c r="H1380">
        <v>-1</v>
      </c>
      <c r="I1380">
        <v>-1</v>
      </c>
    </row>
    <row r="1381" spans="1:9" x14ac:dyDescent="0.4">
      <c r="A1381">
        <v>7370300</v>
      </c>
      <c r="B1381">
        <v>0</v>
      </c>
      <c r="C1381">
        <v>707370300</v>
      </c>
      <c r="D1381">
        <v>-1</v>
      </c>
      <c r="E1381">
        <v>-1</v>
      </c>
      <c r="F1381">
        <v>428</v>
      </c>
      <c r="G1381">
        <v>-1</v>
      </c>
      <c r="H1381">
        <v>-1</v>
      </c>
      <c r="I1381">
        <v>-1</v>
      </c>
    </row>
    <row r="1382" spans="1:9" x14ac:dyDescent="0.4">
      <c r="A1382">
        <v>7370400</v>
      </c>
      <c r="B1382">
        <v>0</v>
      </c>
      <c r="C1382">
        <v>707370400</v>
      </c>
      <c r="D1382">
        <v>-1</v>
      </c>
      <c r="E1382">
        <v>-1</v>
      </c>
      <c r="F1382">
        <v>428</v>
      </c>
      <c r="G1382">
        <v>-1</v>
      </c>
      <c r="H1382">
        <v>-1</v>
      </c>
      <c r="I1382">
        <v>-1</v>
      </c>
    </row>
    <row r="1383" spans="1:9" x14ac:dyDescent="0.4">
      <c r="A1383">
        <v>7370600</v>
      </c>
      <c r="B1383">
        <v>0</v>
      </c>
      <c r="C1383">
        <v>707370600</v>
      </c>
      <c r="D1383">
        <v>-1</v>
      </c>
      <c r="E1383">
        <v>-1</v>
      </c>
      <c r="F1383">
        <v>428</v>
      </c>
      <c r="G1383">
        <v>-1</v>
      </c>
      <c r="H1383">
        <v>-1</v>
      </c>
      <c r="I1383">
        <v>-1</v>
      </c>
    </row>
    <row r="1384" spans="1:9" x14ac:dyDescent="0.4">
      <c r="A1384">
        <v>7370900</v>
      </c>
      <c r="B1384">
        <v>0</v>
      </c>
      <c r="C1384">
        <v>707370900</v>
      </c>
      <c r="D1384">
        <v>-1</v>
      </c>
      <c r="E1384">
        <v>-1</v>
      </c>
      <c r="F1384">
        <v>428</v>
      </c>
      <c r="G1384">
        <v>-1</v>
      </c>
      <c r="H1384">
        <v>-1</v>
      </c>
      <c r="I1384">
        <v>-1</v>
      </c>
    </row>
    <row r="1385" spans="1:9" x14ac:dyDescent="0.4">
      <c r="A1385">
        <v>7371500</v>
      </c>
      <c r="B1385">
        <v>0</v>
      </c>
      <c r="C1385">
        <v>707371500</v>
      </c>
      <c r="D1385">
        <v>-1</v>
      </c>
      <c r="E1385">
        <v>-1</v>
      </c>
      <c r="F1385">
        <v>428</v>
      </c>
      <c r="G1385">
        <v>-1</v>
      </c>
      <c r="H1385">
        <v>-1</v>
      </c>
      <c r="I1385">
        <v>-1</v>
      </c>
    </row>
    <row r="1386" spans="1:9" x14ac:dyDescent="0.4">
      <c r="A1386">
        <v>7999999</v>
      </c>
      <c r="B1386">
        <v>0</v>
      </c>
      <c r="C1386">
        <v>707999999</v>
      </c>
      <c r="D1386">
        <v>-1</v>
      </c>
      <c r="E1386">
        <v>-1</v>
      </c>
      <c r="F1386">
        <v>428</v>
      </c>
      <c r="G1386">
        <v>-1</v>
      </c>
      <c r="H1386">
        <v>-1</v>
      </c>
      <c r="I1386">
        <v>-1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FDE1-77F1-4D20-A9CD-FFE9AD3AFFC1}">
  <dimension ref="A1:B22089"/>
  <sheetViews>
    <sheetView topLeftCell="A21433" workbookViewId="0">
      <selection activeCell="A21451" sqref="A1:A1048576"/>
    </sheetView>
  </sheetViews>
  <sheetFormatPr defaultRowHeight="17" x14ac:dyDescent="0.4"/>
  <cols>
    <col min="1" max="1" width="13.81640625" style="4" bestFit="1" customWidth="1"/>
    <col min="2" max="3" width="17.08984375" bestFit="1" customWidth="1"/>
    <col min="4" max="4" width="14.54296875" bestFit="1" customWidth="1"/>
    <col min="5" max="6" width="17.08984375" bestFit="1" customWidth="1"/>
    <col min="7" max="7" width="12.1796875" bestFit="1" customWidth="1"/>
  </cols>
  <sheetData>
    <row r="1" spans="1:2" x14ac:dyDescent="0.4">
      <c r="A1" s="4" t="s">
        <v>0</v>
      </c>
      <c r="B1" t="s">
        <v>12</v>
      </c>
    </row>
    <row r="2" spans="1:2" x14ac:dyDescent="0.4">
      <c r="A2" s="4">
        <v>0</v>
      </c>
      <c r="B2">
        <v>-1</v>
      </c>
    </row>
    <row r="3" spans="1:2" x14ac:dyDescent="0.4">
      <c r="A3" s="4">
        <v>100</v>
      </c>
      <c r="B3">
        <v>7000000</v>
      </c>
    </row>
    <row r="4" spans="1:2" x14ac:dyDescent="0.4">
      <c r="A4" s="4">
        <v>100</v>
      </c>
      <c r="B4">
        <v>7000001</v>
      </c>
    </row>
    <row r="5" spans="1:2" x14ac:dyDescent="0.4">
      <c r="A5" s="4">
        <v>100</v>
      </c>
      <c r="B5">
        <v>7000002</v>
      </c>
    </row>
    <row r="6" spans="1:2" x14ac:dyDescent="0.4">
      <c r="A6" s="4">
        <v>100</v>
      </c>
      <c r="B6">
        <v>7000100</v>
      </c>
    </row>
    <row r="7" spans="1:2" x14ac:dyDescent="0.4">
      <c r="A7" s="4">
        <v>100</v>
      </c>
      <c r="B7">
        <v>7000101</v>
      </c>
    </row>
    <row r="8" spans="1:2" x14ac:dyDescent="0.4">
      <c r="A8" s="4">
        <v>100</v>
      </c>
      <c r="B8">
        <v>7000102</v>
      </c>
    </row>
    <row r="9" spans="1:2" x14ac:dyDescent="0.4">
      <c r="A9" s="4">
        <v>100</v>
      </c>
      <c r="B9">
        <v>7000200</v>
      </c>
    </row>
    <row r="10" spans="1:2" x14ac:dyDescent="0.4">
      <c r="A10" s="4">
        <v>100</v>
      </c>
      <c r="B10">
        <v>7000201</v>
      </c>
    </row>
    <row r="11" spans="1:2" x14ac:dyDescent="0.4">
      <c r="A11" s="4">
        <v>100</v>
      </c>
      <c r="B11">
        <v>7000202</v>
      </c>
    </row>
    <row r="12" spans="1:2" x14ac:dyDescent="0.4">
      <c r="A12" s="4">
        <v>100</v>
      </c>
      <c r="B12">
        <v>7000300</v>
      </c>
    </row>
    <row r="13" spans="1:2" x14ac:dyDescent="0.4">
      <c r="A13" s="4">
        <v>100</v>
      </c>
      <c r="B13">
        <v>7000301</v>
      </c>
    </row>
    <row r="14" spans="1:2" x14ac:dyDescent="0.4">
      <c r="A14" s="4">
        <v>100</v>
      </c>
      <c r="B14">
        <v>7000302</v>
      </c>
    </row>
    <row r="15" spans="1:2" x14ac:dyDescent="0.4">
      <c r="A15" s="4">
        <v>100</v>
      </c>
      <c r="B15">
        <v>7000400</v>
      </c>
    </row>
    <row r="16" spans="1:2" x14ac:dyDescent="0.4">
      <c r="A16" s="4">
        <v>100</v>
      </c>
      <c r="B16">
        <v>7000401</v>
      </c>
    </row>
    <row r="17" spans="1:2" x14ac:dyDescent="0.4">
      <c r="A17" s="4">
        <v>100</v>
      </c>
      <c r="B17">
        <v>7000402</v>
      </c>
    </row>
    <row r="18" spans="1:2" x14ac:dyDescent="0.4">
      <c r="A18" s="4">
        <v>100</v>
      </c>
      <c r="B18">
        <v>7000500</v>
      </c>
    </row>
    <row r="19" spans="1:2" x14ac:dyDescent="0.4">
      <c r="A19" s="4">
        <v>100</v>
      </c>
      <c r="B19">
        <v>7000501</v>
      </c>
    </row>
    <row r="20" spans="1:2" x14ac:dyDescent="0.4">
      <c r="A20" s="4">
        <v>100</v>
      </c>
      <c r="B20">
        <v>7000502</v>
      </c>
    </row>
    <row r="21" spans="1:2" x14ac:dyDescent="0.4">
      <c r="A21" s="4">
        <v>100</v>
      </c>
      <c r="B21">
        <v>7000600</v>
      </c>
    </row>
    <row r="22" spans="1:2" x14ac:dyDescent="0.4">
      <c r="A22" s="4">
        <v>100</v>
      </c>
      <c r="B22">
        <v>7000601</v>
      </c>
    </row>
    <row r="23" spans="1:2" x14ac:dyDescent="0.4">
      <c r="A23" s="4">
        <v>100</v>
      </c>
      <c r="B23">
        <v>7000602</v>
      </c>
    </row>
    <row r="24" spans="1:2" x14ac:dyDescent="0.4">
      <c r="A24" s="4">
        <v>100</v>
      </c>
      <c r="B24">
        <v>7000700</v>
      </c>
    </row>
    <row r="25" spans="1:2" x14ac:dyDescent="0.4">
      <c r="A25" s="4">
        <v>100</v>
      </c>
      <c r="B25">
        <v>7000701</v>
      </c>
    </row>
    <row r="26" spans="1:2" x14ac:dyDescent="0.4">
      <c r="A26" s="4">
        <v>100</v>
      </c>
      <c r="B26">
        <v>7000702</v>
      </c>
    </row>
    <row r="27" spans="1:2" x14ac:dyDescent="0.4">
      <c r="A27" s="4">
        <v>100</v>
      </c>
      <c r="B27">
        <v>7000800</v>
      </c>
    </row>
    <row r="28" spans="1:2" x14ac:dyDescent="0.4">
      <c r="A28" s="4">
        <v>100</v>
      </c>
      <c r="B28">
        <v>7000801</v>
      </c>
    </row>
    <row r="29" spans="1:2" x14ac:dyDescent="0.4">
      <c r="A29" s="4">
        <v>100</v>
      </c>
      <c r="B29">
        <v>7000802</v>
      </c>
    </row>
    <row r="30" spans="1:2" x14ac:dyDescent="0.4">
      <c r="A30" s="4">
        <v>100</v>
      </c>
      <c r="B30">
        <v>7000900</v>
      </c>
    </row>
    <row r="31" spans="1:2" x14ac:dyDescent="0.4">
      <c r="A31" s="4">
        <v>100</v>
      </c>
      <c r="B31">
        <v>7000901</v>
      </c>
    </row>
    <row r="32" spans="1:2" x14ac:dyDescent="0.4">
      <c r="A32" s="4">
        <v>100</v>
      </c>
      <c r="B32">
        <v>7000902</v>
      </c>
    </row>
    <row r="33" spans="1:2" x14ac:dyDescent="0.4">
      <c r="A33" s="4">
        <v>100</v>
      </c>
      <c r="B33">
        <v>7001000</v>
      </c>
    </row>
    <row r="34" spans="1:2" x14ac:dyDescent="0.4">
      <c r="A34" s="4">
        <v>100</v>
      </c>
      <c r="B34">
        <v>7001001</v>
      </c>
    </row>
    <row r="35" spans="1:2" x14ac:dyDescent="0.4">
      <c r="A35" s="4">
        <v>100</v>
      </c>
      <c r="B35">
        <v>7001002</v>
      </c>
    </row>
    <row r="36" spans="1:2" x14ac:dyDescent="0.4">
      <c r="A36" s="4">
        <v>100</v>
      </c>
      <c r="B36">
        <v>7001400</v>
      </c>
    </row>
    <row r="37" spans="1:2" x14ac:dyDescent="0.4">
      <c r="A37" s="4">
        <v>100</v>
      </c>
      <c r="B37">
        <v>7001401</v>
      </c>
    </row>
    <row r="38" spans="1:2" x14ac:dyDescent="0.4">
      <c r="A38" s="4">
        <v>100</v>
      </c>
      <c r="B38">
        <v>7001402</v>
      </c>
    </row>
    <row r="39" spans="1:2" x14ac:dyDescent="0.4">
      <c r="A39" s="4">
        <v>100</v>
      </c>
      <c r="B39">
        <v>7001500</v>
      </c>
    </row>
    <row r="40" spans="1:2" x14ac:dyDescent="0.4">
      <c r="A40" s="4">
        <v>100</v>
      </c>
      <c r="B40">
        <v>7001501</v>
      </c>
    </row>
    <row r="41" spans="1:2" x14ac:dyDescent="0.4">
      <c r="A41" s="4">
        <v>100</v>
      </c>
      <c r="B41">
        <v>7001502</v>
      </c>
    </row>
    <row r="42" spans="1:2" x14ac:dyDescent="0.4">
      <c r="A42" s="4">
        <v>100</v>
      </c>
      <c r="B42">
        <v>7001600</v>
      </c>
    </row>
    <row r="43" spans="1:2" x14ac:dyDescent="0.4">
      <c r="A43" s="4">
        <v>100</v>
      </c>
      <c r="B43">
        <v>7001601</v>
      </c>
    </row>
    <row r="44" spans="1:2" x14ac:dyDescent="0.4">
      <c r="A44" s="4">
        <v>100</v>
      </c>
      <c r="B44">
        <v>7001602</v>
      </c>
    </row>
    <row r="45" spans="1:2" x14ac:dyDescent="0.4">
      <c r="A45" s="4">
        <v>100</v>
      </c>
      <c r="B45">
        <v>7001700</v>
      </c>
    </row>
    <row r="46" spans="1:2" x14ac:dyDescent="0.4">
      <c r="A46" s="4">
        <v>100</v>
      </c>
      <c r="B46">
        <v>7001701</v>
      </c>
    </row>
    <row r="47" spans="1:2" x14ac:dyDescent="0.4">
      <c r="A47" s="4">
        <v>100</v>
      </c>
      <c r="B47">
        <v>7001702</v>
      </c>
    </row>
    <row r="48" spans="1:2" x14ac:dyDescent="0.4">
      <c r="A48" s="4">
        <v>100</v>
      </c>
      <c r="B48">
        <v>7001800</v>
      </c>
    </row>
    <row r="49" spans="1:2" x14ac:dyDescent="0.4">
      <c r="A49" s="4">
        <v>100</v>
      </c>
      <c r="B49">
        <v>7001801</v>
      </c>
    </row>
    <row r="50" spans="1:2" x14ac:dyDescent="0.4">
      <c r="A50" s="4">
        <v>100</v>
      </c>
      <c r="B50">
        <v>7001802</v>
      </c>
    </row>
    <row r="51" spans="1:2" x14ac:dyDescent="0.4">
      <c r="A51" s="4">
        <v>100</v>
      </c>
      <c r="B51">
        <v>7002600</v>
      </c>
    </row>
    <row r="52" spans="1:2" x14ac:dyDescent="0.4">
      <c r="A52" s="4">
        <v>100</v>
      </c>
      <c r="B52">
        <v>7002700</v>
      </c>
    </row>
    <row r="53" spans="1:2" x14ac:dyDescent="0.4">
      <c r="A53" s="4">
        <v>100</v>
      </c>
      <c r="B53">
        <v>7002800</v>
      </c>
    </row>
    <row r="54" spans="1:2" x14ac:dyDescent="0.4">
      <c r="A54" s="4">
        <v>100</v>
      </c>
      <c r="B54">
        <v>7002900</v>
      </c>
    </row>
    <row r="55" spans="1:2" x14ac:dyDescent="0.4">
      <c r="A55" s="4">
        <v>100</v>
      </c>
      <c r="B55">
        <v>7003000</v>
      </c>
    </row>
    <row r="56" spans="1:2" x14ac:dyDescent="0.4">
      <c r="A56" s="4">
        <v>100</v>
      </c>
      <c r="B56">
        <v>7003100</v>
      </c>
    </row>
    <row r="57" spans="1:2" x14ac:dyDescent="0.4">
      <c r="A57" s="4">
        <v>100</v>
      </c>
      <c r="B57">
        <v>7003200</v>
      </c>
    </row>
    <row r="58" spans="1:2" x14ac:dyDescent="0.4">
      <c r="A58" s="4">
        <v>100</v>
      </c>
      <c r="B58">
        <v>7003300</v>
      </c>
    </row>
    <row r="59" spans="1:2" x14ac:dyDescent="0.4">
      <c r="A59" s="4">
        <v>100</v>
      </c>
      <c r="B59">
        <v>7003400</v>
      </c>
    </row>
    <row r="60" spans="1:2" x14ac:dyDescent="0.4">
      <c r="A60" s="4">
        <v>100</v>
      </c>
      <c r="B60">
        <v>7003500</v>
      </c>
    </row>
    <row r="61" spans="1:2" x14ac:dyDescent="0.4">
      <c r="A61" s="4">
        <v>100</v>
      </c>
      <c r="B61">
        <v>7003600</v>
      </c>
    </row>
    <row r="62" spans="1:2" x14ac:dyDescent="0.4">
      <c r="A62" s="4">
        <v>100</v>
      </c>
      <c r="B62">
        <v>7005600</v>
      </c>
    </row>
    <row r="63" spans="1:2" x14ac:dyDescent="0.4">
      <c r="A63" s="4">
        <v>100</v>
      </c>
      <c r="B63">
        <v>7006000</v>
      </c>
    </row>
    <row r="64" spans="1:2" x14ac:dyDescent="0.4">
      <c r="A64" s="4">
        <v>100</v>
      </c>
      <c r="B64">
        <v>7006100</v>
      </c>
    </row>
    <row r="65" spans="1:2" x14ac:dyDescent="0.4">
      <c r="A65" s="4">
        <v>100</v>
      </c>
      <c r="B65">
        <v>7010200</v>
      </c>
    </row>
    <row r="66" spans="1:2" x14ac:dyDescent="0.4">
      <c r="A66" s="4">
        <v>100</v>
      </c>
      <c r="B66">
        <v>7010500</v>
      </c>
    </row>
    <row r="67" spans="1:2" x14ac:dyDescent="0.4">
      <c r="A67" s="4">
        <v>100</v>
      </c>
      <c r="B67">
        <v>7010700</v>
      </c>
    </row>
    <row r="68" spans="1:2" x14ac:dyDescent="0.4">
      <c r="A68" s="4">
        <v>100</v>
      </c>
      <c r="B68">
        <v>7010900</v>
      </c>
    </row>
    <row r="69" spans="1:2" x14ac:dyDescent="0.4">
      <c r="A69" s="4">
        <v>100</v>
      </c>
      <c r="B69">
        <v>7011000</v>
      </c>
    </row>
    <row r="70" spans="1:2" x14ac:dyDescent="0.4">
      <c r="A70" s="4">
        <v>100</v>
      </c>
      <c r="B70">
        <v>7011200</v>
      </c>
    </row>
    <row r="71" spans="1:2" x14ac:dyDescent="0.4">
      <c r="A71" s="4">
        <v>100</v>
      </c>
      <c r="B71">
        <v>7011600</v>
      </c>
    </row>
    <row r="72" spans="1:2" x14ac:dyDescent="0.4">
      <c r="A72" s="4">
        <v>100</v>
      </c>
      <c r="B72">
        <v>7011700</v>
      </c>
    </row>
    <row r="73" spans="1:2" x14ac:dyDescent="0.4">
      <c r="A73" s="4">
        <v>100</v>
      </c>
      <c r="B73">
        <v>7012000</v>
      </c>
    </row>
    <row r="74" spans="1:2" x14ac:dyDescent="0.4">
      <c r="A74" s="4">
        <v>100</v>
      </c>
      <c r="B74">
        <v>7012200</v>
      </c>
    </row>
    <row r="75" spans="1:2" x14ac:dyDescent="0.4">
      <c r="A75" s="4">
        <v>100</v>
      </c>
      <c r="B75">
        <v>7012300</v>
      </c>
    </row>
    <row r="76" spans="1:2" x14ac:dyDescent="0.4">
      <c r="A76" s="4">
        <v>100</v>
      </c>
      <c r="B76">
        <v>7020000</v>
      </c>
    </row>
    <row r="77" spans="1:2" x14ac:dyDescent="0.4">
      <c r="A77" s="4">
        <v>100</v>
      </c>
      <c r="B77">
        <v>7030000</v>
      </c>
    </row>
    <row r="78" spans="1:2" x14ac:dyDescent="0.4">
      <c r="A78" s="4">
        <v>100</v>
      </c>
      <c r="B78">
        <v>7030200</v>
      </c>
    </row>
    <row r="79" spans="1:2" x14ac:dyDescent="0.4">
      <c r="A79" s="4">
        <v>100</v>
      </c>
      <c r="B79">
        <v>7030600</v>
      </c>
    </row>
    <row r="80" spans="1:2" x14ac:dyDescent="0.4">
      <c r="A80" s="4">
        <v>100</v>
      </c>
      <c r="B80">
        <v>7030700</v>
      </c>
    </row>
    <row r="81" spans="1:2" x14ac:dyDescent="0.4">
      <c r="A81" s="4">
        <v>100</v>
      </c>
      <c r="B81">
        <v>7030800</v>
      </c>
    </row>
    <row r="82" spans="1:2" x14ac:dyDescent="0.4">
      <c r="A82" s="4">
        <v>100</v>
      </c>
      <c r="B82">
        <v>7030900</v>
      </c>
    </row>
    <row r="83" spans="1:2" x14ac:dyDescent="0.4">
      <c r="A83" s="4">
        <v>100</v>
      </c>
      <c r="B83">
        <v>7031200</v>
      </c>
    </row>
    <row r="84" spans="1:2" x14ac:dyDescent="0.4">
      <c r="A84" s="4">
        <v>100</v>
      </c>
      <c r="B84">
        <v>7031300</v>
      </c>
    </row>
    <row r="85" spans="1:2" x14ac:dyDescent="0.4">
      <c r="A85" s="4">
        <v>100</v>
      </c>
      <c r="B85">
        <v>7031800</v>
      </c>
    </row>
    <row r="86" spans="1:2" x14ac:dyDescent="0.4">
      <c r="A86" s="4">
        <v>100</v>
      </c>
      <c r="B86">
        <v>7031900</v>
      </c>
    </row>
    <row r="87" spans="1:2" x14ac:dyDescent="0.4">
      <c r="A87" s="4">
        <v>100</v>
      </c>
      <c r="B87">
        <v>7032200</v>
      </c>
    </row>
    <row r="88" spans="1:2" x14ac:dyDescent="0.4">
      <c r="A88" s="4">
        <v>100</v>
      </c>
      <c r="B88">
        <v>7032400</v>
      </c>
    </row>
    <row r="89" spans="1:2" x14ac:dyDescent="0.4">
      <c r="A89" s="4">
        <v>100</v>
      </c>
      <c r="B89">
        <v>7032700</v>
      </c>
    </row>
    <row r="90" spans="1:2" x14ac:dyDescent="0.4">
      <c r="A90" s="4">
        <v>100</v>
      </c>
      <c r="B90">
        <v>7032800</v>
      </c>
    </row>
    <row r="91" spans="1:2" x14ac:dyDescent="0.4">
      <c r="A91" s="4">
        <v>100</v>
      </c>
      <c r="B91">
        <v>7032900</v>
      </c>
    </row>
    <row r="92" spans="1:2" x14ac:dyDescent="0.4">
      <c r="A92" s="4">
        <v>100</v>
      </c>
      <c r="B92">
        <v>7033200</v>
      </c>
    </row>
    <row r="93" spans="1:2" x14ac:dyDescent="0.4">
      <c r="A93" s="4">
        <v>100</v>
      </c>
      <c r="B93">
        <v>7033400</v>
      </c>
    </row>
    <row r="94" spans="1:2" x14ac:dyDescent="0.4">
      <c r="A94" s="4">
        <v>100</v>
      </c>
      <c r="B94">
        <v>7034100</v>
      </c>
    </row>
    <row r="95" spans="1:2" x14ac:dyDescent="0.4">
      <c r="A95" s="4">
        <v>100</v>
      </c>
      <c r="B95">
        <v>7034400</v>
      </c>
    </row>
    <row r="96" spans="1:2" x14ac:dyDescent="0.4">
      <c r="A96" s="4">
        <v>100</v>
      </c>
      <c r="B96">
        <v>7034500</v>
      </c>
    </row>
    <row r="97" spans="1:2" x14ac:dyDescent="0.4">
      <c r="A97" s="4">
        <v>100</v>
      </c>
      <c r="B97">
        <v>7034600</v>
      </c>
    </row>
    <row r="98" spans="1:2" x14ac:dyDescent="0.4">
      <c r="A98" s="4">
        <v>100</v>
      </c>
      <c r="B98">
        <v>7034700</v>
      </c>
    </row>
    <row r="99" spans="1:2" x14ac:dyDescent="0.4">
      <c r="A99" s="4">
        <v>100</v>
      </c>
      <c r="B99">
        <v>7035100</v>
      </c>
    </row>
    <row r="100" spans="1:2" x14ac:dyDescent="0.4">
      <c r="A100" s="4">
        <v>100</v>
      </c>
      <c r="B100">
        <v>7036100</v>
      </c>
    </row>
    <row r="101" spans="1:2" x14ac:dyDescent="0.4">
      <c r="A101" s="4">
        <v>100</v>
      </c>
      <c r="B101">
        <v>7040000</v>
      </c>
    </row>
    <row r="102" spans="1:2" x14ac:dyDescent="0.4">
      <c r="A102" s="4">
        <v>100</v>
      </c>
      <c r="B102">
        <v>7040100</v>
      </c>
    </row>
    <row r="103" spans="1:2" x14ac:dyDescent="0.4">
      <c r="A103" s="4">
        <v>100</v>
      </c>
      <c r="B103">
        <v>7040200</v>
      </c>
    </row>
    <row r="104" spans="1:2" x14ac:dyDescent="0.4">
      <c r="A104" s="4">
        <v>100</v>
      </c>
      <c r="B104">
        <v>7040300</v>
      </c>
    </row>
    <row r="105" spans="1:2" x14ac:dyDescent="0.4">
      <c r="A105" s="4">
        <v>100</v>
      </c>
      <c r="B105">
        <v>7040400</v>
      </c>
    </row>
    <row r="106" spans="1:2" x14ac:dyDescent="0.4">
      <c r="A106" s="4">
        <v>100</v>
      </c>
      <c r="B106">
        <v>7040500</v>
      </c>
    </row>
    <row r="107" spans="1:2" x14ac:dyDescent="0.4">
      <c r="A107" s="4">
        <v>100</v>
      </c>
      <c r="B107">
        <v>7043000</v>
      </c>
    </row>
    <row r="108" spans="1:2" x14ac:dyDescent="0.4">
      <c r="A108" s="4">
        <v>100</v>
      </c>
      <c r="B108">
        <v>7043100</v>
      </c>
    </row>
    <row r="109" spans="1:2" x14ac:dyDescent="0.4">
      <c r="A109" s="4">
        <v>100</v>
      </c>
      <c r="B109">
        <v>7043200</v>
      </c>
    </row>
    <row r="110" spans="1:2" x14ac:dyDescent="0.4">
      <c r="A110" s="4">
        <v>100</v>
      </c>
      <c r="B110">
        <v>7043300</v>
      </c>
    </row>
    <row r="111" spans="1:2" x14ac:dyDescent="0.4">
      <c r="A111" s="4">
        <v>100</v>
      </c>
      <c r="B111">
        <v>7043400</v>
      </c>
    </row>
    <row r="112" spans="1:2" x14ac:dyDescent="0.4">
      <c r="A112" s="4">
        <v>100</v>
      </c>
      <c r="B112">
        <v>7043500</v>
      </c>
    </row>
    <row r="113" spans="1:2" x14ac:dyDescent="0.4">
      <c r="A113" s="4">
        <v>100</v>
      </c>
      <c r="B113">
        <v>7043600</v>
      </c>
    </row>
    <row r="114" spans="1:2" x14ac:dyDescent="0.4">
      <c r="A114" s="4">
        <v>100</v>
      </c>
      <c r="B114">
        <v>7043700</v>
      </c>
    </row>
    <row r="115" spans="1:2" x14ac:dyDescent="0.4">
      <c r="A115" s="4">
        <v>100</v>
      </c>
      <c r="B115">
        <v>7043800</v>
      </c>
    </row>
    <row r="116" spans="1:2" x14ac:dyDescent="0.4">
      <c r="A116" s="4">
        <v>100</v>
      </c>
      <c r="B116">
        <v>7044000</v>
      </c>
    </row>
    <row r="117" spans="1:2" x14ac:dyDescent="0.4">
      <c r="A117" s="4">
        <v>100</v>
      </c>
      <c r="B117">
        <v>7044100</v>
      </c>
    </row>
    <row r="118" spans="1:2" x14ac:dyDescent="0.4">
      <c r="A118" s="4">
        <v>100</v>
      </c>
      <c r="B118">
        <v>7044200</v>
      </c>
    </row>
    <row r="119" spans="1:2" x14ac:dyDescent="0.4">
      <c r="A119" s="4">
        <v>100</v>
      </c>
      <c r="B119">
        <v>7044300</v>
      </c>
    </row>
    <row r="120" spans="1:2" x14ac:dyDescent="0.4">
      <c r="A120" s="4">
        <v>100</v>
      </c>
      <c r="B120">
        <v>7044400</v>
      </c>
    </row>
    <row r="121" spans="1:2" x14ac:dyDescent="0.4">
      <c r="A121" s="4">
        <v>100</v>
      </c>
      <c r="B121">
        <v>7044500</v>
      </c>
    </row>
    <row r="122" spans="1:2" x14ac:dyDescent="0.4">
      <c r="A122" s="4">
        <v>100</v>
      </c>
      <c r="B122">
        <v>7044600</v>
      </c>
    </row>
    <row r="123" spans="1:2" x14ac:dyDescent="0.4">
      <c r="A123" s="4">
        <v>100</v>
      </c>
      <c r="B123">
        <v>7050000</v>
      </c>
    </row>
    <row r="124" spans="1:2" x14ac:dyDescent="0.4">
      <c r="A124" s="4">
        <v>100</v>
      </c>
      <c r="B124">
        <v>7050100</v>
      </c>
    </row>
    <row r="125" spans="1:2" x14ac:dyDescent="0.4">
      <c r="A125" s="4">
        <v>100</v>
      </c>
      <c r="B125">
        <v>7060000</v>
      </c>
    </row>
    <row r="126" spans="1:2" x14ac:dyDescent="0.4">
      <c r="A126" s="4">
        <v>100</v>
      </c>
      <c r="B126">
        <v>7060100</v>
      </c>
    </row>
    <row r="127" spans="1:2" x14ac:dyDescent="0.4">
      <c r="A127" s="4">
        <v>100</v>
      </c>
      <c r="B127">
        <v>7060200</v>
      </c>
    </row>
    <row r="128" spans="1:2" x14ac:dyDescent="0.4">
      <c r="A128" s="4">
        <v>100</v>
      </c>
      <c r="B128">
        <v>7070000</v>
      </c>
    </row>
    <row r="129" spans="1:2" x14ac:dyDescent="0.4">
      <c r="A129" s="4">
        <v>100</v>
      </c>
      <c r="B129">
        <v>7080000</v>
      </c>
    </row>
    <row r="130" spans="1:2" x14ac:dyDescent="0.4">
      <c r="A130" s="4">
        <v>100</v>
      </c>
      <c r="B130">
        <v>7080100</v>
      </c>
    </row>
    <row r="131" spans="1:2" x14ac:dyDescent="0.4">
      <c r="A131" s="4">
        <v>100</v>
      </c>
      <c r="B131">
        <v>7080200</v>
      </c>
    </row>
    <row r="132" spans="1:2" x14ac:dyDescent="0.4">
      <c r="A132" s="4">
        <v>100</v>
      </c>
      <c r="B132">
        <v>7080300</v>
      </c>
    </row>
    <row r="133" spans="1:2" x14ac:dyDescent="0.4">
      <c r="A133" s="4">
        <v>100</v>
      </c>
      <c r="B133">
        <v>7080400</v>
      </c>
    </row>
    <row r="134" spans="1:2" x14ac:dyDescent="0.4">
      <c r="A134" s="4">
        <v>100</v>
      </c>
      <c r="B134">
        <v>7080500</v>
      </c>
    </row>
    <row r="135" spans="1:2" x14ac:dyDescent="0.4">
      <c r="A135" s="4">
        <v>100</v>
      </c>
      <c r="B135">
        <v>7080600</v>
      </c>
    </row>
    <row r="136" spans="1:2" x14ac:dyDescent="0.4">
      <c r="A136" s="4">
        <v>100</v>
      </c>
      <c r="B136">
        <v>7080700</v>
      </c>
    </row>
    <row r="137" spans="1:2" x14ac:dyDescent="0.4">
      <c r="A137" s="4">
        <v>100</v>
      </c>
      <c r="B137">
        <v>7080800</v>
      </c>
    </row>
    <row r="138" spans="1:2" x14ac:dyDescent="0.4">
      <c r="A138" s="4">
        <v>100</v>
      </c>
      <c r="B138">
        <v>7080900</v>
      </c>
    </row>
    <row r="139" spans="1:2" x14ac:dyDescent="0.4">
      <c r="A139" s="4">
        <v>100</v>
      </c>
      <c r="B139">
        <v>7081000</v>
      </c>
    </row>
    <row r="140" spans="1:2" x14ac:dyDescent="0.4">
      <c r="A140" s="4">
        <v>100</v>
      </c>
      <c r="B140">
        <v>7081100</v>
      </c>
    </row>
    <row r="141" spans="1:2" x14ac:dyDescent="0.4">
      <c r="A141" s="4">
        <v>100</v>
      </c>
      <c r="B141">
        <v>7081200</v>
      </c>
    </row>
    <row r="142" spans="1:2" x14ac:dyDescent="0.4">
      <c r="A142" s="4">
        <v>100</v>
      </c>
      <c r="B142">
        <v>7081300</v>
      </c>
    </row>
    <row r="143" spans="1:2" x14ac:dyDescent="0.4">
      <c r="A143" s="4">
        <v>100</v>
      </c>
      <c r="B143">
        <v>7081400</v>
      </c>
    </row>
    <row r="144" spans="1:2" x14ac:dyDescent="0.4">
      <c r="A144" s="4">
        <v>100</v>
      </c>
      <c r="B144">
        <v>7081500</v>
      </c>
    </row>
    <row r="145" spans="1:2" x14ac:dyDescent="0.4">
      <c r="A145" s="4">
        <v>100</v>
      </c>
      <c r="B145">
        <v>7081700</v>
      </c>
    </row>
    <row r="146" spans="1:2" x14ac:dyDescent="0.4">
      <c r="A146" s="4">
        <v>100</v>
      </c>
      <c r="B146">
        <v>7081800</v>
      </c>
    </row>
    <row r="147" spans="1:2" x14ac:dyDescent="0.4">
      <c r="A147" s="4">
        <v>100</v>
      </c>
      <c r="B147">
        <v>7081900</v>
      </c>
    </row>
    <row r="148" spans="1:2" x14ac:dyDescent="0.4">
      <c r="A148" s="4">
        <v>100</v>
      </c>
      <c r="B148">
        <v>7082000</v>
      </c>
    </row>
    <row r="149" spans="1:2" x14ac:dyDescent="0.4">
      <c r="A149" s="4">
        <v>100</v>
      </c>
      <c r="B149">
        <v>7082100</v>
      </c>
    </row>
    <row r="150" spans="1:2" x14ac:dyDescent="0.4">
      <c r="A150" s="4">
        <v>100</v>
      </c>
      <c r="B150">
        <v>7082200</v>
      </c>
    </row>
    <row r="151" spans="1:2" x14ac:dyDescent="0.4">
      <c r="A151" s="4">
        <v>100</v>
      </c>
      <c r="B151">
        <v>7082300</v>
      </c>
    </row>
    <row r="152" spans="1:2" x14ac:dyDescent="0.4">
      <c r="A152" s="4">
        <v>100</v>
      </c>
      <c r="B152">
        <v>7082400</v>
      </c>
    </row>
    <row r="153" spans="1:2" x14ac:dyDescent="0.4">
      <c r="A153" s="4">
        <v>100</v>
      </c>
      <c r="B153">
        <v>7082500</v>
      </c>
    </row>
    <row r="154" spans="1:2" x14ac:dyDescent="0.4">
      <c r="A154" s="4">
        <v>100</v>
      </c>
      <c r="B154">
        <v>7082600</v>
      </c>
    </row>
    <row r="155" spans="1:2" x14ac:dyDescent="0.4">
      <c r="A155" s="4">
        <v>100</v>
      </c>
      <c r="B155">
        <v>7082700</v>
      </c>
    </row>
    <row r="156" spans="1:2" x14ac:dyDescent="0.4">
      <c r="A156" s="4">
        <v>100</v>
      </c>
      <c r="B156">
        <v>7082800</v>
      </c>
    </row>
    <row r="157" spans="1:2" x14ac:dyDescent="0.4">
      <c r="A157" s="4">
        <v>100</v>
      </c>
      <c r="B157">
        <v>7082900</v>
      </c>
    </row>
    <row r="158" spans="1:2" x14ac:dyDescent="0.4">
      <c r="A158" s="4">
        <v>100</v>
      </c>
      <c r="B158">
        <v>7090000</v>
      </c>
    </row>
    <row r="159" spans="1:2" x14ac:dyDescent="0.4">
      <c r="A159" s="4">
        <v>100</v>
      </c>
      <c r="B159">
        <v>7090100</v>
      </c>
    </row>
    <row r="160" spans="1:2" x14ac:dyDescent="0.4">
      <c r="A160" s="4">
        <v>100</v>
      </c>
      <c r="B160">
        <v>7090300</v>
      </c>
    </row>
    <row r="161" spans="1:2" x14ac:dyDescent="0.4">
      <c r="A161" s="4">
        <v>100</v>
      </c>
      <c r="B161">
        <v>7100100</v>
      </c>
    </row>
    <row r="162" spans="1:2" x14ac:dyDescent="0.4">
      <c r="A162" s="4">
        <v>100</v>
      </c>
      <c r="B162">
        <v>7110000</v>
      </c>
    </row>
    <row r="163" spans="1:2" x14ac:dyDescent="0.4">
      <c r="A163" s="4">
        <v>100</v>
      </c>
      <c r="B163">
        <v>7120000</v>
      </c>
    </row>
    <row r="164" spans="1:2" x14ac:dyDescent="0.4">
      <c r="A164" s="4">
        <v>100</v>
      </c>
      <c r="B164">
        <v>7120100</v>
      </c>
    </row>
    <row r="165" spans="1:2" x14ac:dyDescent="0.4">
      <c r="A165" s="4">
        <v>100</v>
      </c>
      <c r="B165">
        <v>7120200</v>
      </c>
    </row>
    <row r="166" spans="1:2" x14ac:dyDescent="0.4">
      <c r="A166" s="4">
        <v>100</v>
      </c>
      <c r="B166">
        <v>7120300</v>
      </c>
    </row>
    <row r="167" spans="1:2" x14ac:dyDescent="0.4">
      <c r="A167" s="4">
        <v>100</v>
      </c>
      <c r="B167">
        <v>7120400</v>
      </c>
    </row>
    <row r="168" spans="1:2" x14ac:dyDescent="0.4">
      <c r="A168" s="4">
        <v>100</v>
      </c>
      <c r="B168">
        <v>7120500</v>
      </c>
    </row>
    <row r="169" spans="1:2" x14ac:dyDescent="0.4">
      <c r="A169" s="4">
        <v>100</v>
      </c>
      <c r="B169">
        <v>7120600</v>
      </c>
    </row>
    <row r="170" spans="1:2" x14ac:dyDescent="0.4">
      <c r="A170" s="4">
        <v>100</v>
      </c>
      <c r="B170">
        <v>7120900</v>
      </c>
    </row>
    <row r="171" spans="1:2" x14ac:dyDescent="0.4">
      <c r="A171" s="4">
        <v>100</v>
      </c>
      <c r="B171">
        <v>7121000</v>
      </c>
    </row>
    <row r="172" spans="1:2" x14ac:dyDescent="0.4">
      <c r="A172" s="4">
        <v>100</v>
      </c>
      <c r="B172">
        <v>7121100</v>
      </c>
    </row>
    <row r="173" spans="1:2" x14ac:dyDescent="0.4">
      <c r="A173" s="4">
        <v>100</v>
      </c>
      <c r="B173">
        <v>7121200</v>
      </c>
    </row>
    <row r="174" spans="1:2" x14ac:dyDescent="0.4">
      <c r="A174" s="4">
        <v>100</v>
      </c>
      <c r="B174">
        <v>7121300</v>
      </c>
    </row>
    <row r="175" spans="1:2" x14ac:dyDescent="0.4">
      <c r="A175" s="4">
        <v>100</v>
      </c>
      <c r="B175">
        <v>7121400</v>
      </c>
    </row>
    <row r="176" spans="1:2" x14ac:dyDescent="0.4">
      <c r="A176" s="4">
        <v>100</v>
      </c>
      <c r="B176">
        <v>7121500</v>
      </c>
    </row>
    <row r="177" spans="1:2" x14ac:dyDescent="0.4">
      <c r="A177" s="4">
        <v>100</v>
      </c>
      <c r="B177">
        <v>7121600</v>
      </c>
    </row>
    <row r="178" spans="1:2" x14ac:dyDescent="0.4">
      <c r="A178" s="4">
        <v>100</v>
      </c>
      <c r="B178">
        <v>7121700</v>
      </c>
    </row>
    <row r="179" spans="1:2" x14ac:dyDescent="0.4">
      <c r="A179" s="4">
        <v>100</v>
      </c>
      <c r="B179">
        <v>7121800</v>
      </c>
    </row>
    <row r="180" spans="1:2" x14ac:dyDescent="0.4">
      <c r="A180" s="4">
        <v>100</v>
      </c>
      <c r="B180">
        <v>7121900</v>
      </c>
    </row>
    <row r="181" spans="1:2" x14ac:dyDescent="0.4">
      <c r="A181" s="4">
        <v>100</v>
      </c>
      <c r="B181">
        <v>7122000</v>
      </c>
    </row>
    <row r="182" spans="1:2" x14ac:dyDescent="0.4">
      <c r="A182" s="4">
        <v>100</v>
      </c>
      <c r="B182">
        <v>7122100</v>
      </c>
    </row>
    <row r="183" spans="1:2" x14ac:dyDescent="0.4">
      <c r="A183" s="4">
        <v>100</v>
      </c>
      <c r="B183">
        <v>7122200</v>
      </c>
    </row>
    <row r="184" spans="1:2" x14ac:dyDescent="0.4">
      <c r="A184" s="4">
        <v>100</v>
      </c>
      <c r="B184">
        <v>7122300</v>
      </c>
    </row>
    <row r="185" spans="1:2" x14ac:dyDescent="0.4">
      <c r="A185" s="4">
        <v>100</v>
      </c>
      <c r="B185">
        <v>7122400</v>
      </c>
    </row>
    <row r="186" spans="1:2" x14ac:dyDescent="0.4">
      <c r="A186" s="4">
        <v>100</v>
      </c>
      <c r="B186">
        <v>7122500</v>
      </c>
    </row>
    <row r="187" spans="1:2" x14ac:dyDescent="0.4">
      <c r="A187" s="4">
        <v>100</v>
      </c>
      <c r="B187">
        <v>7122600</v>
      </c>
    </row>
    <row r="188" spans="1:2" x14ac:dyDescent="0.4">
      <c r="A188" s="4">
        <v>100</v>
      </c>
      <c r="B188">
        <v>7122700</v>
      </c>
    </row>
    <row r="189" spans="1:2" x14ac:dyDescent="0.4">
      <c r="A189" s="4">
        <v>100</v>
      </c>
      <c r="B189">
        <v>7122800</v>
      </c>
    </row>
    <row r="190" spans="1:2" x14ac:dyDescent="0.4">
      <c r="A190" s="4">
        <v>100</v>
      </c>
      <c r="B190">
        <v>7122900</v>
      </c>
    </row>
    <row r="191" spans="1:2" x14ac:dyDescent="0.4">
      <c r="A191" s="4">
        <v>100</v>
      </c>
      <c r="B191">
        <v>7123000</v>
      </c>
    </row>
    <row r="192" spans="1:2" x14ac:dyDescent="0.4">
      <c r="A192" s="4">
        <v>100</v>
      </c>
      <c r="B192">
        <v>7123100</v>
      </c>
    </row>
    <row r="193" spans="1:2" x14ac:dyDescent="0.4">
      <c r="A193" s="4">
        <v>100</v>
      </c>
      <c r="B193">
        <v>7123200</v>
      </c>
    </row>
    <row r="194" spans="1:2" x14ac:dyDescent="0.4">
      <c r="A194" s="4">
        <v>100</v>
      </c>
      <c r="B194">
        <v>7123300</v>
      </c>
    </row>
    <row r="195" spans="1:2" x14ac:dyDescent="0.4">
      <c r="A195" s="4">
        <v>100</v>
      </c>
      <c r="B195">
        <v>7123400</v>
      </c>
    </row>
    <row r="196" spans="1:2" x14ac:dyDescent="0.4">
      <c r="A196" s="4">
        <v>100</v>
      </c>
      <c r="B196">
        <v>7123500</v>
      </c>
    </row>
    <row r="197" spans="1:2" x14ac:dyDescent="0.4">
      <c r="A197" s="4">
        <v>100</v>
      </c>
      <c r="B197">
        <v>7123600</v>
      </c>
    </row>
    <row r="198" spans="1:2" x14ac:dyDescent="0.4">
      <c r="A198" s="4">
        <v>100</v>
      </c>
      <c r="B198">
        <v>7123700</v>
      </c>
    </row>
    <row r="199" spans="1:2" x14ac:dyDescent="0.4">
      <c r="A199" s="4">
        <v>100</v>
      </c>
      <c r="B199">
        <v>7123800</v>
      </c>
    </row>
    <row r="200" spans="1:2" x14ac:dyDescent="0.4">
      <c r="A200" s="4">
        <v>100</v>
      </c>
      <c r="B200">
        <v>7123900</v>
      </c>
    </row>
    <row r="201" spans="1:2" x14ac:dyDescent="0.4">
      <c r="A201" s="4">
        <v>100</v>
      </c>
      <c r="B201">
        <v>7124000</v>
      </c>
    </row>
    <row r="202" spans="1:2" x14ac:dyDescent="0.4">
      <c r="A202" s="4">
        <v>100</v>
      </c>
      <c r="B202">
        <v>7124100</v>
      </c>
    </row>
    <row r="203" spans="1:2" x14ac:dyDescent="0.4">
      <c r="A203" s="4">
        <v>100</v>
      </c>
      <c r="B203">
        <v>7124300</v>
      </c>
    </row>
    <row r="204" spans="1:2" x14ac:dyDescent="0.4">
      <c r="A204" s="4">
        <v>100</v>
      </c>
      <c r="B204">
        <v>7124400</v>
      </c>
    </row>
    <row r="205" spans="1:2" x14ac:dyDescent="0.4">
      <c r="A205" s="4">
        <v>100</v>
      </c>
      <c r="B205">
        <v>7124500</v>
      </c>
    </row>
    <row r="206" spans="1:2" x14ac:dyDescent="0.4">
      <c r="A206" s="4">
        <v>100</v>
      </c>
      <c r="B206">
        <v>7124600</v>
      </c>
    </row>
    <row r="207" spans="1:2" x14ac:dyDescent="0.4">
      <c r="A207" s="4">
        <v>100</v>
      </c>
      <c r="B207">
        <v>7124700</v>
      </c>
    </row>
    <row r="208" spans="1:2" x14ac:dyDescent="0.4">
      <c r="A208" s="4">
        <v>100</v>
      </c>
      <c r="B208">
        <v>7126000</v>
      </c>
    </row>
    <row r="209" spans="1:2" x14ac:dyDescent="0.4">
      <c r="A209" s="4">
        <v>100</v>
      </c>
      <c r="B209">
        <v>7150000</v>
      </c>
    </row>
    <row r="210" spans="1:2" x14ac:dyDescent="0.4">
      <c r="A210" s="4">
        <v>100</v>
      </c>
      <c r="B210">
        <v>7160000</v>
      </c>
    </row>
    <row r="211" spans="1:2" x14ac:dyDescent="0.4">
      <c r="A211" s="4">
        <v>100</v>
      </c>
      <c r="B211">
        <v>7220000</v>
      </c>
    </row>
    <row r="212" spans="1:2" x14ac:dyDescent="0.4">
      <c r="A212" s="4">
        <v>100</v>
      </c>
      <c r="B212">
        <v>7230000</v>
      </c>
    </row>
    <row r="213" spans="1:2" x14ac:dyDescent="0.4">
      <c r="A213" s="4">
        <v>100</v>
      </c>
      <c r="B213">
        <v>7240000</v>
      </c>
    </row>
    <row r="214" spans="1:2" x14ac:dyDescent="0.4">
      <c r="A214" s="4">
        <v>100</v>
      </c>
      <c r="B214">
        <v>7260000</v>
      </c>
    </row>
    <row r="215" spans="1:2" x14ac:dyDescent="0.4">
      <c r="A215" s="4">
        <v>100</v>
      </c>
      <c r="B215">
        <v>7260300</v>
      </c>
    </row>
    <row r="216" spans="1:2" x14ac:dyDescent="0.4">
      <c r="A216" s="4">
        <v>100</v>
      </c>
      <c r="B216">
        <v>7260400</v>
      </c>
    </row>
    <row r="217" spans="1:2" x14ac:dyDescent="0.4">
      <c r="A217" s="4">
        <v>100</v>
      </c>
      <c r="B217">
        <v>7270100</v>
      </c>
    </row>
    <row r="218" spans="1:2" x14ac:dyDescent="0.4">
      <c r="A218" s="4">
        <v>100</v>
      </c>
      <c r="B218">
        <v>7280000</v>
      </c>
    </row>
    <row r="219" spans="1:2" x14ac:dyDescent="0.4">
      <c r="A219" s="4">
        <v>100</v>
      </c>
      <c r="B219">
        <v>7290000</v>
      </c>
    </row>
    <row r="220" spans="1:2" x14ac:dyDescent="0.4">
      <c r="A220" s="4">
        <v>100</v>
      </c>
      <c r="B220">
        <v>7310000</v>
      </c>
    </row>
    <row r="221" spans="1:2" x14ac:dyDescent="0.4">
      <c r="A221" s="4">
        <v>100</v>
      </c>
      <c r="B221">
        <v>7330000</v>
      </c>
    </row>
    <row r="222" spans="1:2" x14ac:dyDescent="0.4">
      <c r="A222" s="4">
        <v>100</v>
      </c>
      <c r="B222">
        <v>7330100</v>
      </c>
    </row>
    <row r="223" spans="1:2" x14ac:dyDescent="0.4">
      <c r="A223" s="4">
        <v>100</v>
      </c>
      <c r="B223">
        <v>7330200</v>
      </c>
    </row>
    <row r="224" spans="1:2" x14ac:dyDescent="0.4">
      <c r="A224" s="4">
        <v>100</v>
      </c>
      <c r="B224">
        <v>7330300</v>
      </c>
    </row>
    <row r="225" spans="1:2" x14ac:dyDescent="0.4">
      <c r="A225" s="4">
        <v>100</v>
      </c>
      <c r="B225">
        <v>7330400</v>
      </c>
    </row>
    <row r="226" spans="1:2" x14ac:dyDescent="0.4">
      <c r="A226" s="4">
        <v>100</v>
      </c>
      <c r="B226">
        <v>7330500</v>
      </c>
    </row>
    <row r="227" spans="1:2" x14ac:dyDescent="0.4">
      <c r="A227" s="4">
        <v>100</v>
      </c>
      <c r="B227">
        <v>7330600</v>
      </c>
    </row>
    <row r="228" spans="1:2" x14ac:dyDescent="0.4">
      <c r="A228" s="4">
        <v>100</v>
      </c>
      <c r="B228">
        <v>7330700</v>
      </c>
    </row>
    <row r="229" spans="1:2" x14ac:dyDescent="0.4">
      <c r="A229" s="4">
        <v>100</v>
      </c>
      <c r="B229">
        <v>7330800</v>
      </c>
    </row>
    <row r="230" spans="1:2" x14ac:dyDescent="0.4">
      <c r="A230" s="4">
        <v>100</v>
      </c>
      <c r="B230">
        <v>7330900</v>
      </c>
    </row>
    <row r="231" spans="1:2" x14ac:dyDescent="0.4">
      <c r="A231" s="4">
        <v>100</v>
      </c>
      <c r="B231">
        <v>7331000</v>
      </c>
    </row>
    <row r="232" spans="1:2" x14ac:dyDescent="0.4">
      <c r="A232" s="4">
        <v>100</v>
      </c>
      <c r="B232">
        <v>7331100</v>
      </c>
    </row>
    <row r="233" spans="1:2" x14ac:dyDescent="0.4">
      <c r="A233" s="4">
        <v>100</v>
      </c>
      <c r="B233">
        <v>7331200</v>
      </c>
    </row>
    <row r="234" spans="1:2" x14ac:dyDescent="0.4">
      <c r="A234" s="4">
        <v>100</v>
      </c>
      <c r="B234">
        <v>7331300</v>
      </c>
    </row>
    <row r="235" spans="1:2" x14ac:dyDescent="0.4">
      <c r="A235" s="4">
        <v>100</v>
      </c>
      <c r="B235">
        <v>7331400</v>
      </c>
    </row>
    <row r="236" spans="1:2" x14ac:dyDescent="0.4">
      <c r="A236" s="4">
        <v>100</v>
      </c>
      <c r="B236">
        <v>7331500</v>
      </c>
    </row>
    <row r="237" spans="1:2" x14ac:dyDescent="0.4">
      <c r="A237" s="4">
        <v>100</v>
      </c>
      <c r="B237">
        <v>7331700</v>
      </c>
    </row>
    <row r="238" spans="1:2" x14ac:dyDescent="0.4">
      <c r="A238" s="4">
        <v>100</v>
      </c>
      <c r="B238">
        <v>7331800</v>
      </c>
    </row>
    <row r="239" spans="1:2" x14ac:dyDescent="0.4">
      <c r="A239" s="4">
        <v>100</v>
      </c>
      <c r="B239">
        <v>7331900</v>
      </c>
    </row>
    <row r="240" spans="1:2" x14ac:dyDescent="0.4">
      <c r="A240" s="4">
        <v>100</v>
      </c>
      <c r="B240">
        <v>7332000</v>
      </c>
    </row>
    <row r="241" spans="1:2" x14ac:dyDescent="0.4">
      <c r="A241" s="4">
        <v>100</v>
      </c>
      <c r="B241">
        <v>7332100</v>
      </c>
    </row>
    <row r="242" spans="1:2" x14ac:dyDescent="0.4">
      <c r="A242" s="4">
        <v>100</v>
      </c>
      <c r="B242">
        <v>7332200</v>
      </c>
    </row>
    <row r="243" spans="1:2" x14ac:dyDescent="0.4">
      <c r="A243" s="4">
        <v>100</v>
      </c>
      <c r="B243">
        <v>7332300</v>
      </c>
    </row>
    <row r="244" spans="1:2" x14ac:dyDescent="0.4">
      <c r="A244" s="4">
        <v>100</v>
      </c>
      <c r="B244">
        <v>7332400</v>
      </c>
    </row>
    <row r="245" spans="1:2" x14ac:dyDescent="0.4">
      <c r="A245" s="4">
        <v>100</v>
      </c>
      <c r="B245">
        <v>7340000</v>
      </c>
    </row>
    <row r="246" spans="1:2" x14ac:dyDescent="0.4">
      <c r="A246" s="4">
        <v>100</v>
      </c>
      <c r="B246">
        <v>7340100</v>
      </c>
    </row>
    <row r="247" spans="1:2" x14ac:dyDescent="0.4">
      <c r="A247" s="4">
        <v>100</v>
      </c>
      <c r="B247">
        <v>7340200</v>
      </c>
    </row>
    <row r="248" spans="1:2" x14ac:dyDescent="0.4">
      <c r="A248" s="4">
        <v>100</v>
      </c>
      <c r="B248">
        <v>7340300</v>
      </c>
    </row>
    <row r="249" spans="1:2" x14ac:dyDescent="0.4">
      <c r="A249" s="4">
        <v>100</v>
      </c>
      <c r="B249">
        <v>7340400</v>
      </c>
    </row>
    <row r="250" spans="1:2" x14ac:dyDescent="0.4">
      <c r="A250" s="4">
        <v>100</v>
      </c>
      <c r="B250">
        <v>7340500</v>
      </c>
    </row>
    <row r="251" spans="1:2" x14ac:dyDescent="0.4">
      <c r="A251" s="4">
        <v>100</v>
      </c>
      <c r="B251">
        <v>7340600</v>
      </c>
    </row>
    <row r="252" spans="1:2" x14ac:dyDescent="0.4">
      <c r="A252" s="4">
        <v>100</v>
      </c>
      <c r="B252">
        <v>7340700</v>
      </c>
    </row>
    <row r="253" spans="1:2" x14ac:dyDescent="0.4">
      <c r="A253" s="4">
        <v>100</v>
      </c>
      <c r="B253">
        <v>7340800</v>
      </c>
    </row>
    <row r="254" spans="1:2" x14ac:dyDescent="0.4">
      <c r="A254" s="4">
        <v>100</v>
      </c>
      <c r="B254">
        <v>7340900</v>
      </c>
    </row>
    <row r="255" spans="1:2" x14ac:dyDescent="0.4">
      <c r="A255" s="4">
        <v>100</v>
      </c>
      <c r="B255">
        <v>7341000</v>
      </c>
    </row>
    <row r="256" spans="1:2" x14ac:dyDescent="0.4">
      <c r="A256" s="4">
        <v>100</v>
      </c>
      <c r="B256">
        <v>7341100</v>
      </c>
    </row>
    <row r="257" spans="1:2" x14ac:dyDescent="0.4">
      <c r="A257" s="4">
        <v>100</v>
      </c>
      <c r="B257">
        <v>7341200</v>
      </c>
    </row>
    <row r="258" spans="1:2" x14ac:dyDescent="0.4">
      <c r="A258" s="4">
        <v>100</v>
      </c>
      <c r="B258">
        <v>7341300</v>
      </c>
    </row>
    <row r="259" spans="1:2" x14ac:dyDescent="0.4">
      <c r="A259" s="4">
        <v>100</v>
      </c>
      <c r="B259">
        <v>7341400</v>
      </c>
    </row>
    <row r="260" spans="1:2" x14ac:dyDescent="0.4">
      <c r="A260" s="4">
        <v>100</v>
      </c>
      <c r="B260">
        <v>7341500</v>
      </c>
    </row>
    <row r="261" spans="1:2" x14ac:dyDescent="0.4">
      <c r="A261" s="4">
        <v>100</v>
      </c>
      <c r="B261">
        <v>7341700</v>
      </c>
    </row>
    <row r="262" spans="1:2" x14ac:dyDescent="0.4">
      <c r="A262" s="4">
        <v>100</v>
      </c>
      <c r="B262">
        <v>7341800</v>
      </c>
    </row>
    <row r="263" spans="1:2" x14ac:dyDescent="0.4">
      <c r="A263" s="4">
        <v>100</v>
      </c>
      <c r="B263">
        <v>7341900</v>
      </c>
    </row>
    <row r="264" spans="1:2" x14ac:dyDescent="0.4">
      <c r="A264" s="4">
        <v>100</v>
      </c>
      <c r="B264">
        <v>7342000</v>
      </c>
    </row>
    <row r="265" spans="1:2" x14ac:dyDescent="0.4">
      <c r="A265" s="4">
        <v>100</v>
      </c>
      <c r="B265">
        <v>7342100</v>
      </c>
    </row>
    <row r="266" spans="1:2" x14ac:dyDescent="0.4">
      <c r="A266" s="4">
        <v>100</v>
      </c>
      <c r="B266">
        <v>7342200</v>
      </c>
    </row>
    <row r="267" spans="1:2" x14ac:dyDescent="0.4">
      <c r="A267" s="4">
        <v>100</v>
      </c>
      <c r="B267">
        <v>7342300</v>
      </c>
    </row>
    <row r="268" spans="1:2" x14ac:dyDescent="0.4">
      <c r="A268" s="4">
        <v>100</v>
      </c>
      <c r="B268">
        <v>7342400</v>
      </c>
    </row>
    <row r="269" spans="1:2" x14ac:dyDescent="0.4">
      <c r="A269" s="4">
        <v>100</v>
      </c>
      <c r="B269">
        <v>7350000</v>
      </c>
    </row>
    <row r="270" spans="1:2" x14ac:dyDescent="0.4">
      <c r="A270" s="4">
        <v>100</v>
      </c>
      <c r="B270">
        <v>7350100</v>
      </c>
    </row>
    <row r="271" spans="1:2" x14ac:dyDescent="0.4">
      <c r="A271" s="4">
        <v>100</v>
      </c>
      <c r="B271">
        <v>7350200</v>
      </c>
    </row>
    <row r="272" spans="1:2" x14ac:dyDescent="0.4">
      <c r="A272" s="4">
        <v>100</v>
      </c>
      <c r="B272">
        <v>7350300</v>
      </c>
    </row>
    <row r="273" spans="1:2" x14ac:dyDescent="0.4">
      <c r="A273" s="4">
        <v>100</v>
      </c>
      <c r="B273">
        <v>7350400</v>
      </c>
    </row>
    <row r="274" spans="1:2" x14ac:dyDescent="0.4">
      <c r="A274" s="4">
        <v>100</v>
      </c>
      <c r="B274">
        <v>7350500</v>
      </c>
    </row>
    <row r="275" spans="1:2" x14ac:dyDescent="0.4">
      <c r="A275" s="4">
        <v>100</v>
      </c>
      <c r="B275">
        <v>7350600</v>
      </c>
    </row>
    <row r="276" spans="1:2" x14ac:dyDescent="0.4">
      <c r="A276" s="4">
        <v>100</v>
      </c>
      <c r="B276">
        <v>7350700</v>
      </c>
    </row>
    <row r="277" spans="1:2" x14ac:dyDescent="0.4">
      <c r="A277" s="4">
        <v>100</v>
      </c>
      <c r="B277">
        <v>7350800</v>
      </c>
    </row>
    <row r="278" spans="1:2" x14ac:dyDescent="0.4">
      <c r="A278" s="4">
        <v>100</v>
      </c>
      <c r="B278">
        <v>7350900</v>
      </c>
    </row>
    <row r="279" spans="1:2" x14ac:dyDescent="0.4">
      <c r="A279" s="4">
        <v>100</v>
      </c>
      <c r="B279">
        <v>7351000</v>
      </c>
    </row>
    <row r="280" spans="1:2" x14ac:dyDescent="0.4">
      <c r="A280" s="4">
        <v>100</v>
      </c>
      <c r="B280">
        <v>7351100</v>
      </c>
    </row>
    <row r="281" spans="1:2" x14ac:dyDescent="0.4">
      <c r="A281" s="4">
        <v>100</v>
      </c>
      <c r="B281">
        <v>7351200</v>
      </c>
    </row>
    <row r="282" spans="1:2" x14ac:dyDescent="0.4">
      <c r="A282" s="4">
        <v>100</v>
      </c>
      <c r="B282">
        <v>7351300</v>
      </c>
    </row>
    <row r="283" spans="1:2" x14ac:dyDescent="0.4">
      <c r="A283" s="4">
        <v>100</v>
      </c>
      <c r="B283">
        <v>7351400</v>
      </c>
    </row>
    <row r="284" spans="1:2" x14ac:dyDescent="0.4">
      <c r="A284" s="4">
        <v>100</v>
      </c>
      <c r="B284">
        <v>7351500</v>
      </c>
    </row>
    <row r="285" spans="1:2" x14ac:dyDescent="0.4">
      <c r="A285" s="4">
        <v>100</v>
      </c>
      <c r="B285">
        <v>7351700</v>
      </c>
    </row>
    <row r="286" spans="1:2" x14ac:dyDescent="0.4">
      <c r="A286" s="4">
        <v>100</v>
      </c>
      <c r="B286">
        <v>7351800</v>
      </c>
    </row>
    <row r="287" spans="1:2" x14ac:dyDescent="0.4">
      <c r="A287" s="4">
        <v>100</v>
      </c>
      <c r="B287">
        <v>7351900</v>
      </c>
    </row>
    <row r="288" spans="1:2" x14ac:dyDescent="0.4">
      <c r="A288" s="4">
        <v>100</v>
      </c>
      <c r="B288">
        <v>7352000</v>
      </c>
    </row>
    <row r="289" spans="1:2" x14ac:dyDescent="0.4">
      <c r="A289" s="4">
        <v>100</v>
      </c>
      <c r="B289">
        <v>7352100</v>
      </c>
    </row>
    <row r="290" spans="1:2" x14ac:dyDescent="0.4">
      <c r="A290" s="4">
        <v>100</v>
      </c>
      <c r="B290">
        <v>7352200</v>
      </c>
    </row>
    <row r="291" spans="1:2" x14ac:dyDescent="0.4">
      <c r="A291" s="4">
        <v>100</v>
      </c>
      <c r="B291">
        <v>7352300</v>
      </c>
    </row>
    <row r="292" spans="1:2" x14ac:dyDescent="0.4">
      <c r="A292" s="4">
        <v>100</v>
      </c>
      <c r="B292">
        <v>7352400</v>
      </c>
    </row>
    <row r="293" spans="1:2" x14ac:dyDescent="0.4">
      <c r="A293" s="4">
        <v>110</v>
      </c>
      <c r="B293">
        <v>7000000</v>
      </c>
    </row>
    <row r="294" spans="1:2" x14ac:dyDescent="0.4">
      <c r="A294" s="4">
        <v>110</v>
      </c>
      <c r="B294">
        <v>7000001</v>
      </c>
    </row>
    <row r="295" spans="1:2" x14ac:dyDescent="0.4">
      <c r="A295" s="4">
        <v>110</v>
      </c>
      <c r="B295">
        <v>7000002</v>
      </c>
    </row>
    <row r="296" spans="1:2" x14ac:dyDescent="0.4">
      <c r="A296" s="4">
        <v>110</v>
      </c>
      <c r="B296">
        <v>7000100</v>
      </c>
    </row>
    <row r="297" spans="1:2" x14ac:dyDescent="0.4">
      <c r="A297" s="4">
        <v>110</v>
      </c>
      <c r="B297">
        <v>7000101</v>
      </c>
    </row>
    <row r="298" spans="1:2" x14ac:dyDescent="0.4">
      <c r="A298" s="4">
        <v>110</v>
      </c>
      <c r="B298">
        <v>7000102</v>
      </c>
    </row>
    <row r="299" spans="1:2" x14ac:dyDescent="0.4">
      <c r="A299" s="4">
        <v>110</v>
      </c>
      <c r="B299">
        <v>7000200</v>
      </c>
    </row>
    <row r="300" spans="1:2" x14ac:dyDescent="0.4">
      <c r="A300" s="4">
        <v>110</v>
      </c>
      <c r="B300">
        <v>7000201</v>
      </c>
    </row>
    <row r="301" spans="1:2" x14ac:dyDescent="0.4">
      <c r="A301" s="4">
        <v>110</v>
      </c>
      <c r="B301">
        <v>7000202</v>
      </c>
    </row>
    <row r="302" spans="1:2" x14ac:dyDescent="0.4">
      <c r="A302" s="4">
        <v>110</v>
      </c>
      <c r="B302">
        <v>7000300</v>
      </c>
    </row>
    <row r="303" spans="1:2" x14ac:dyDescent="0.4">
      <c r="A303" s="4">
        <v>110</v>
      </c>
      <c r="B303">
        <v>7000301</v>
      </c>
    </row>
    <row r="304" spans="1:2" x14ac:dyDescent="0.4">
      <c r="A304" s="4">
        <v>110</v>
      </c>
      <c r="B304">
        <v>7000302</v>
      </c>
    </row>
    <row r="305" spans="1:2" x14ac:dyDescent="0.4">
      <c r="A305" s="4">
        <v>110</v>
      </c>
      <c r="B305">
        <v>7000400</v>
      </c>
    </row>
    <row r="306" spans="1:2" x14ac:dyDescent="0.4">
      <c r="A306" s="4">
        <v>110</v>
      </c>
      <c r="B306">
        <v>7000401</v>
      </c>
    </row>
    <row r="307" spans="1:2" x14ac:dyDescent="0.4">
      <c r="A307" s="4">
        <v>110</v>
      </c>
      <c r="B307">
        <v>7000402</v>
      </c>
    </row>
    <row r="308" spans="1:2" x14ac:dyDescent="0.4">
      <c r="A308" s="4">
        <v>110</v>
      </c>
      <c r="B308">
        <v>7000500</v>
      </c>
    </row>
    <row r="309" spans="1:2" x14ac:dyDescent="0.4">
      <c r="A309" s="4">
        <v>110</v>
      </c>
      <c r="B309">
        <v>7000501</v>
      </c>
    </row>
    <row r="310" spans="1:2" x14ac:dyDescent="0.4">
      <c r="A310" s="4">
        <v>110</v>
      </c>
      <c r="B310">
        <v>7000502</v>
      </c>
    </row>
    <row r="311" spans="1:2" x14ac:dyDescent="0.4">
      <c r="A311" s="4">
        <v>110</v>
      </c>
      <c r="B311">
        <v>7000600</v>
      </c>
    </row>
    <row r="312" spans="1:2" x14ac:dyDescent="0.4">
      <c r="A312" s="4">
        <v>110</v>
      </c>
      <c r="B312">
        <v>7000601</v>
      </c>
    </row>
    <row r="313" spans="1:2" x14ac:dyDescent="0.4">
      <c r="A313" s="4">
        <v>110</v>
      </c>
      <c r="B313">
        <v>7000602</v>
      </c>
    </row>
    <row r="314" spans="1:2" x14ac:dyDescent="0.4">
      <c r="A314" s="4">
        <v>110</v>
      </c>
      <c r="B314">
        <v>7000700</v>
      </c>
    </row>
    <row r="315" spans="1:2" x14ac:dyDescent="0.4">
      <c r="A315" s="4">
        <v>110</v>
      </c>
      <c r="B315">
        <v>7000701</v>
      </c>
    </row>
    <row r="316" spans="1:2" x14ac:dyDescent="0.4">
      <c r="A316" s="4">
        <v>110</v>
      </c>
      <c r="B316">
        <v>7000702</v>
      </c>
    </row>
    <row r="317" spans="1:2" x14ac:dyDescent="0.4">
      <c r="A317" s="4">
        <v>110</v>
      </c>
      <c r="B317">
        <v>7000800</v>
      </c>
    </row>
    <row r="318" spans="1:2" x14ac:dyDescent="0.4">
      <c r="A318" s="4">
        <v>110</v>
      </c>
      <c r="B318">
        <v>7000801</v>
      </c>
    </row>
    <row r="319" spans="1:2" x14ac:dyDescent="0.4">
      <c r="A319" s="4">
        <v>110</v>
      </c>
      <c r="B319">
        <v>7000802</v>
      </c>
    </row>
    <row r="320" spans="1:2" x14ac:dyDescent="0.4">
      <c r="A320" s="4">
        <v>110</v>
      </c>
      <c r="B320">
        <v>7000900</v>
      </c>
    </row>
    <row r="321" spans="1:2" x14ac:dyDescent="0.4">
      <c r="A321" s="4">
        <v>110</v>
      </c>
      <c r="B321">
        <v>7000901</v>
      </c>
    </row>
    <row r="322" spans="1:2" x14ac:dyDescent="0.4">
      <c r="A322" s="4">
        <v>110</v>
      </c>
      <c r="B322">
        <v>7000902</v>
      </c>
    </row>
    <row r="323" spans="1:2" x14ac:dyDescent="0.4">
      <c r="A323" s="4">
        <v>110</v>
      </c>
      <c r="B323">
        <v>7001000</v>
      </c>
    </row>
    <row r="324" spans="1:2" x14ac:dyDescent="0.4">
      <c r="A324" s="4">
        <v>110</v>
      </c>
      <c r="B324">
        <v>7001001</v>
      </c>
    </row>
    <row r="325" spans="1:2" x14ac:dyDescent="0.4">
      <c r="A325" s="4">
        <v>110</v>
      </c>
      <c r="B325">
        <v>7001002</v>
      </c>
    </row>
    <row r="326" spans="1:2" x14ac:dyDescent="0.4">
      <c r="A326" s="4">
        <v>110</v>
      </c>
      <c r="B326">
        <v>7001400</v>
      </c>
    </row>
    <row r="327" spans="1:2" x14ac:dyDescent="0.4">
      <c r="A327" s="4">
        <v>110</v>
      </c>
      <c r="B327">
        <v>7001401</v>
      </c>
    </row>
    <row r="328" spans="1:2" x14ac:dyDescent="0.4">
      <c r="A328" s="4">
        <v>110</v>
      </c>
      <c r="B328">
        <v>7001402</v>
      </c>
    </row>
    <row r="329" spans="1:2" x14ac:dyDescent="0.4">
      <c r="A329" s="4">
        <v>110</v>
      </c>
      <c r="B329">
        <v>7001500</v>
      </c>
    </row>
    <row r="330" spans="1:2" x14ac:dyDescent="0.4">
      <c r="A330" s="4">
        <v>110</v>
      </c>
      <c r="B330">
        <v>7001501</v>
      </c>
    </row>
    <row r="331" spans="1:2" x14ac:dyDescent="0.4">
      <c r="A331" s="4">
        <v>110</v>
      </c>
      <c r="B331">
        <v>7001502</v>
      </c>
    </row>
    <row r="332" spans="1:2" x14ac:dyDescent="0.4">
      <c r="A332" s="4">
        <v>110</v>
      </c>
      <c r="B332">
        <v>7001600</v>
      </c>
    </row>
    <row r="333" spans="1:2" x14ac:dyDescent="0.4">
      <c r="A333" s="4">
        <v>110</v>
      </c>
      <c r="B333">
        <v>7001601</v>
      </c>
    </row>
    <row r="334" spans="1:2" x14ac:dyDescent="0.4">
      <c r="A334" s="4">
        <v>110</v>
      </c>
      <c r="B334">
        <v>7001602</v>
      </c>
    </row>
    <row r="335" spans="1:2" x14ac:dyDescent="0.4">
      <c r="A335" s="4">
        <v>110</v>
      </c>
      <c r="B335">
        <v>7001700</v>
      </c>
    </row>
    <row r="336" spans="1:2" x14ac:dyDescent="0.4">
      <c r="A336" s="4">
        <v>110</v>
      </c>
      <c r="B336">
        <v>7001701</v>
      </c>
    </row>
    <row r="337" spans="1:2" x14ac:dyDescent="0.4">
      <c r="A337" s="4">
        <v>110</v>
      </c>
      <c r="B337">
        <v>7001702</v>
      </c>
    </row>
    <row r="338" spans="1:2" x14ac:dyDescent="0.4">
      <c r="A338" s="4">
        <v>110</v>
      </c>
      <c r="B338">
        <v>7001800</v>
      </c>
    </row>
    <row r="339" spans="1:2" x14ac:dyDescent="0.4">
      <c r="A339" s="4">
        <v>110</v>
      </c>
      <c r="B339">
        <v>7001801</v>
      </c>
    </row>
    <row r="340" spans="1:2" x14ac:dyDescent="0.4">
      <c r="A340" s="4">
        <v>110</v>
      </c>
      <c r="B340">
        <v>7001802</v>
      </c>
    </row>
    <row r="341" spans="1:2" x14ac:dyDescent="0.4">
      <c r="A341" s="4">
        <v>110</v>
      </c>
      <c r="B341">
        <v>7002600</v>
      </c>
    </row>
    <row r="342" spans="1:2" x14ac:dyDescent="0.4">
      <c r="A342" s="4">
        <v>110</v>
      </c>
      <c r="B342">
        <v>7002700</v>
      </c>
    </row>
    <row r="343" spans="1:2" x14ac:dyDescent="0.4">
      <c r="A343" s="4">
        <v>110</v>
      </c>
      <c r="B343">
        <v>7002800</v>
      </c>
    </row>
    <row r="344" spans="1:2" x14ac:dyDescent="0.4">
      <c r="A344" s="4">
        <v>110</v>
      </c>
      <c r="B344">
        <v>7002900</v>
      </c>
    </row>
    <row r="345" spans="1:2" x14ac:dyDescent="0.4">
      <c r="A345" s="4">
        <v>110</v>
      </c>
      <c r="B345">
        <v>7003000</v>
      </c>
    </row>
    <row r="346" spans="1:2" x14ac:dyDescent="0.4">
      <c r="A346" s="4">
        <v>110</v>
      </c>
      <c r="B346">
        <v>7003100</v>
      </c>
    </row>
    <row r="347" spans="1:2" x14ac:dyDescent="0.4">
      <c r="A347" s="4">
        <v>110</v>
      </c>
      <c r="B347">
        <v>7003200</v>
      </c>
    </row>
    <row r="348" spans="1:2" x14ac:dyDescent="0.4">
      <c r="A348" s="4">
        <v>110</v>
      </c>
      <c r="B348">
        <v>7003300</v>
      </c>
    </row>
    <row r="349" spans="1:2" x14ac:dyDescent="0.4">
      <c r="A349" s="4">
        <v>110</v>
      </c>
      <c r="B349">
        <v>7003400</v>
      </c>
    </row>
    <row r="350" spans="1:2" x14ac:dyDescent="0.4">
      <c r="A350" s="4">
        <v>110</v>
      </c>
      <c r="B350">
        <v>7003500</v>
      </c>
    </row>
    <row r="351" spans="1:2" x14ac:dyDescent="0.4">
      <c r="A351" s="4">
        <v>110</v>
      </c>
      <c r="B351">
        <v>7003600</v>
      </c>
    </row>
    <row r="352" spans="1:2" x14ac:dyDescent="0.4">
      <c r="A352" s="4">
        <v>110</v>
      </c>
      <c r="B352">
        <v>7005600</v>
      </c>
    </row>
    <row r="353" spans="1:2" x14ac:dyDescent="0.4">
      <c r="A353" s="4">
        <v>110</v>
      </c>
      <c r="B353">
        <v>7006000</v>
      </c>
    </row>
    <row r="354" spans="1:2" x14ac:dyDescent="0.4">
      <c r="A354" s="4">
        <v>110</v>
      </c>
      <c r="B354">
        <v>7006100</v>
      </c>
    </row>
    <row r="355" spans="1:2" x14ac:dyDescent="0.4">
      <c r="A355" s="4">
        <v>110</v>
      </c>
      <c r="B355">
        <v>7010200</v>
      </c>
    </row>
    <row r="356" spans="1:2" x14ac:dyDescent="0.4">
      <c r="A356" s="4">
        <v>110</v>
      </c>
      <c r="B356">
        <v>7010500</v>
      </c>
    </row>
    <row r="357" spans="1:2" x14ac:dyDescent="0.4">
      <c r="A357" s="4">
        <v>110</v>
      </c>
      <c r="B357">
        <v>7010700</v>
      </c>
    </row>
    <row r="358" spans="1:2" x14ac:dyDescent="0.4">
      <c r="A358" s="4">
        <v>110</v>
      </c>
      <c r="B358">
        <v>7010900</v>
      </c>
    </row>
    <row r="359" spans="1:2" x14ac:dyDescent="0.4">
      <c r="A359" s="4">
        <v>110</v>
      </c>
      <c r="B359">
        <v>7011000</v>
      </c>
    </row>
    <row r="360" spans="1:2" x14ac:dyDescent="0.4">
      <c r="A360" s="4">
        <v>110</v>
      </c>
      <c r="B360">
        <v>7011200</v>
      </c>
    </row>
    <row r="361" spans="1:2" x14ac:dyDescent="0.4">
      <c r="A361" s="4">
        <v>110</v>
      </c>
      <c r="B361">
        <v>7011600</v>
      </c>
    </row>
    <row r="362" spans="1:2" x14ac:dyDescent="0.4">
      <c r="A362" s="4">
        <v>110</v>
      </c>
      <c r="B362">
        <v>7011700</v>
      </c>
    </row>
    <row r="363" spans="1:2" x14ac:dyDescent="0.4">
      <c r="A363" s="4">
        <v>110</v>
      </c>
      <c r="B363">
        <v>7012000</v>
      </c>
    </row>
    <row r="364" spans="1:2" x14ac:dyDescent="0.4">
      <c r="A364" s="4">
        <v>110</v>
      </c>
      <c r="B364">
        <v>7012200</v>
      </c>
    </row>
    <row r="365" spans="1:2" x14ac:dyDescent="0.4">
      <c r="A365" s="4">
        <v>110</v>
      </c>
      <c r="B365">
        <v>7012300</v>
      </c>
    </row>
    <row r="366" spans="1:2" x14ac:dyDescent="0.4">
      <c r="A366" s="4">
        <v>110</v>
      </c>
      <c r="B366">
        <v>7020000</v>
      </c>
    </row>
    <row r="367" spans="1:2" x14ac:dyDescent="0.4">
      <c r="A367" s="4">
        <v>110</v>
      </c>
      <c r="B367">
        <v>7030000</v>
      </c>
    </row>
    <row r="368" spans="1:2" x14ac:dyDescent="0.4">
      <c r="A368" s="4">
        <v>110</v>
      </c>
      <c r="B368">
        <v>7030200</v>
      </c>
    </row>
    <row r="369" spans="1:2" x14ac:dyDescent="0.4">
      <c r="A369" s="4">
        <v>110</v>
      </c>
      <c r="B369">
        <v>7030600</v>
      </c>
    </row>
    <row r="370" spans="1:2" x14ac:dyDescent="0.4">
      <c r="A370" s="4">
        <v>110</v>
      </c>
      <c r="B370">
        <v>7030700</v>
      </c>
    </row>
    <row r="371" spans="1:2" x14ac:dyDescent="0.4">
      <c r="A371" s="4">
        <v>110</v>
      </c>
      <c r="B371">
        <v>7030800</v>
      </c>
    </row>
    <row r="372" spans="1:2" x14ac:dyDescent="0.4">
      <c r="A372" s="4">
        <v>110</v>
      </c>
      <c r="B372">
        <v>7030900</v>
      </c>
    </row>
    <row r="373" spans="1:2" x14ac:dyDescent="0.4">
      <c r="A373" s="4">
        <v>110</v>
      </c>
      <c r="B373">
        <v>7031200</v>
      </c>
    </row>
    <row r="374" spans="1:2" x14ac:dyDescent="0.4">
      <c r="A374" s="4">
        <v>110</v>
      </c>
      <c r="B374">
        <v>7031300</v>
      </c>
    </row>
    <row r="375" spans="1:2" x14ac:dyDescent="0.4">
      <c r="A375" s="4">
        <v>110</v>
      </c>
      <c r="B375">
        <v>7031800</v>
      </c>
    </row>
    <row r="376" spans="1:2" x14ac:dyDescent="0.4">
      <c r="A376" s="4">
        <v>110</v>
      </c>
      <c r="B376">
        <v>7031900</v>
      </c>
    </row>
    <row r="377" spans="1:2" x14ac:dyDescent="0.4">
      <c r="A377" s="4">
        <v>110</v>
      </c>
      <c r="B377">
        <v>7032200</v>
      </c>
    </row>
    <row r="378" spans="1:2" x14ac:dyDescent="0.4">
      <c r="A378" s="4">
        <v>110</v>
      </c>
      <c r="B378">
        <v>7032400</v>
      </c>
    </row>
    <row r="379" spans="1:2" x14ac:dyDescent="0.4">
      <c r="A379" s="4">
        <v>110</v>
      </c>
      <c r="B379">
        <v>7032700</v>
      </c>
    </row>
    <row r="380" spans="1:2" x14ac:dyDescent="0.4">
      <c r="A380" s="4">
        <v>110</v>
      </c>
      <c r="B380">
        <v>7032800</v>
      </c>
    </row>
    <row r="381" spans="1:2" x14ac:dyDescent="0.4">
      <c r="A381" s="4">
        <v>110</v>
      </c>
      <c r="B381">
        <v>7032900</v>
      </c>
    </row>
    <row r="382" spans="1:2" x14ac:dyDescent="0.4">
      <c r="A382" s="4">
        <v>110</v>
      </c>
      <c r="B382">
        <v>7033200</v>
      </c>
    </row>
    <row r="383" spans="1:2" x14ac:dyDescent="0.4">
      <c r="A383" s="4">
        <v>110</v>
      </c>
      <c r="B383">
        <v>7033400</v>
      </c>
    </row>
    <row r="384" spans="1:2" x14ac:dyDescent="0.4">
      <c r="A384" s="4">
        <v>110</v>
      </c>
      <c r="B384">
        <v>7034100</v>
      </c>
    </row>
    <row r="385" spans="1:2" x14ac:dyDescent="0.4">
      <c r="A385" s="4">
        <v>110</v>
      </c>
      <c r="B385">
        <v>7034400</v>
      </c>
    </row>
    <row r="386" spans="1:2" x14ac:dyDescent="0.4">
      <c r="A386" s="4">
        <v>110</v>
      </c>
      <c r="B386">
        <v>7034500</v>
      </c>
    </row>
    <row r="387" spans="1:2" x14ac:dyDescent="0.4">
      <c r="A387" s="4">
        <v>110</v>
      </c>
      <c r="B387">
        <v>7034600</v>
      </c>
    </row>
    <row r="388" spans="1:2" x14ac:dyDescent="0.4">
      <c r="A388" s="4">
        <v>110</v>
      </c>
      <c r="B388">
        <v>7034700</v>
      </c>
    </row>
    <row r="389" spans="1:2" x14ac:dyDescent="0.4">
      <c r="A389" s="4">
        <v>110</v>
      </c>
      <c r="B389">
        <v>7035100</v>
      </c>
    </row>
    <row r="390" spans="1:2" x14ac:dyDescent="0.4">
      <c r="A390" s="4">
        <v>110</v>
      </c>
      <c r="B390">
        <v>7036100</v>
      </c>
    </row>
    <row r="391" spans="1:2" x14ac:dyDescent="0.4">
      <c r="A391" s="4">
        <v>110</v>
      </c>
      <c r="B391">
        <v>7040000</v>
      </c>
    </row>
    <row r="392" spans="1:2" x14ac:dyDescent="0.4">
      <c r="A392" s="4">
        <v>110</v>
      </c>
      <c r="B392">
        <v>7040100</v>
      </c>
    </row>
    <row r="393" spans="1:2" x14ac:dyDescent="0.4">
      <c r="A393" s="4">
        <v>110</v>
      </c>
      <c r="B393">
        <v>7040200</v>
      </c>
    </row>
    <row r="394" spans="1:2" x14ac:dyDescent="0.4">
      <c r="A394" s="4">
        <v>110</v>
      </c>
      <c r="B394">
        <v>7040300</v>
      </c>
    </row>
    <row r="395" spans="1:2" x14ac:dyDescent="0.4">
      <c r="A395" s="4">
        <v>110</v>
      </c>
      <c r="B395">
        <v>7040400</v>
      </c>
    </row>
    <row r="396" spans="1:2" x14ac:dyDescent="0.4">
      <c r="A396" s="4">
        <v>110</v>
      </c>
      <c r="B396">
        <v>7040500</v>
      </c>
    </row>
    <row r="397" spans="1:2" x14ac:dyDescent="0.4">
      <c r="A397" s="4">
        <v>110</v>
      </c>
      <c r="B397">
        <v>7043000</v>
      </c>
    </row>
    <row r="398" spans="1:2" x14ac:dyDescent="0.4">
      <c r="A398" s="4">
        <v>110</v>
      </c>
      <c r="B398">
        <v>7043100</v>
      </c>
    </row>
    <row r="399" spans="1:2" x14ac:dyDescent="0.4">
      <c r="A399" s="4">
        <v>110</v>
      </c>
      <c r="B399">
        <v>7043200</v>
      </c>
    </row>
    <row r="400" spans="1:2" x14ac:dyDescent="0.4">
      <c r="A400" s="4">
        <v>110</v>
      </c>
      <c r="B400">
        <v>7043300</v>
      </c>
    </row>
    <row r="401" spans="1:2" x14ac:dyDescent="0.4">
      <c r="A401" s="4">
        <v>110</v>
      </c>
      <c r="B401">
        <v>7043400</v>
      </c>
    </row>
    <row r="402" spans="1:2" x14ac:dyDescent="0.4">
      <c r="A402" s="4">
        <v>110</v>
      </c>
      <c r="B402">
        <v>7043500</v>
      </c>
    </row>
    <row r="403" spans="1:2" x14ac:dyDescent="0.4">
      <c r="A403" s="4">
        <v>110</v>
      </c>
      <c r="B403">
        <v>7043600</v>
      </c>
    </row>
    <row r="404" spans="1:2" x14ac:dyDescent="0.4">
      <c r="A404" s="4">
        <v>110</v>
      </c>
      <c r="B404">
        <v>7043700</v>
      </c>
    </row>
    <row r="405" spans="1:2" x14ac:dyDescent="0.4">
      <c r="A405" s="4">
        <v>110</v>
      </c>
      <c r="B405">
        <v>7043800</v>
      </c>
    </row>
    <row r="406" spans="1:2" x14ac:dyDescent="0.4">
      <c r="A406" s="4">
        <v>110</v>
      </c>
      <c r="B406">
        <v>7044000</v>
      </c>
    </row>
    <row r="407" spans="1:2" x14ac:dyDescent="0.4">
      <c r="A407" s="4">
        <v>110</v>
      </c>
      <c r="B407">
        <v>7044100</v>
      </c>
    </row>
    <row r="408" spans="1:2" x14ac:dyDescent="0.4">
      <c r="A408" s="4">
        <v>110</v>
      </c>
      <c r="B408">
        <v>7044200</v>
      </c>
    </row>
    <row r="409" spans="1:2" x14ac:dyDescent="0.4">
      <c r="A409" s="4">
        <v>110</v>
      </c>
      <c r="B409">
        <v>7044300</v>
      </c>
    </row>
    <row r="410" spans="1:2" x14ac:dyDescent="0.4">
      <c r="A410" s="4">
        <v>110</v>
      </c>
      <c r="B410">
        <v>7044400</v>
      </c>
    </row>
    <row r="411" spans="1:2" x14ac:dyDescent="0.4">
      <c r="A411" s="4">
        <v>110</v>
      </c>
      <c r="B411">
        <v>7044500</v>
      </c>
    </row>
    <row r="412" spans="1:2" x14ac:dyDescent="0.4">
      <c r="A412" s="4">
        <v>110</v>
      </c>
      <c r="B412">
        <v>7044600</v>
      </c>
    </row>
    <row r="413" spans="1:2" x14ac:dyDescent="0.4">
      <c r="A413" s="4">
        <v>110</v>
      </c>
      <c r="B413">
        <v>7050000</v>
      </c>
    </row>
    <row r="414" spans="1:2" x14ac:dyDescent="0.4">
      <c r="A414" s="4">
        <v>110</v>
      </c>
      <c r="B414">
        <v>7050100</v>
      </c>
    </row>
    <row r="415" spans="1:2" x14ac:dyDescent="0.4">
      <c r="A415" s="4">
        <v>110</v>
      </c>
      <c r="B415">
        <v>7060000</v>
      </c>
    </row>
    <row r="416" spans="1:2" x14ac:dyDescent="0.4">
      <c r="A416" s="4">
        <v>110</v>
      </c>
      <c r="B416">
        <v>7060100</v>
      </c>
    </row>
    <row r="417" spans="1:2" x14ac:dyDescent="0.4">
      <c r="A417" s="4">
        <v>110</v>
      </c>
      <c r="B417">
        <v>7060200</v>
      </c>
    </row>
    <row r="418" spans="1:2" x14ac:dyDescent="0.4">
      <c r="A418" s="4">
        <v>110</v>
      </c>
      <c r="B418">
        <v>7070000</v>
      </c>
    </row>
    <row r="419" spans="1:2" x14ac:dyDescent="0.4">
      <c r="A419" s="4">
        <v>110</v>
      </c>
      <c r="B419">
        <v>7080000</v>
      </c>
    </row>
    <row r="420" spans="1:2" x14ac:dyDescent="0.4">
      <c r="A420" s="4">
        <v>110</v>
      </c>
      <c r="B420">
        <v>7080100</v>
      </c>
    </row>
    <row r="421" spans="1:2" x14ac:dyDescent="0.4">
      <c r="A421" s="4">
        <v>110</v>
      </c>
      <c r="B421">
        <v>7080200</v>
      </c>
    </row>
    <row r="422" spans="1:2" x14ac:dyDescent="0.4">
      <c r="A422" s="4">
        <v>110</v>
      </c>
      <c r="B422">
        <v>7080300</v>
      </c>
    </row>
    <row r="423" spans="1:2" x14ac:dyDescent="0.4">
      <c r="A423" s="4">
        <v>110</v>
      </c>
      <c r="B423">
        <v>7080400</v>
      </c>
    </row>
    <row r="424" spans="1:2" x14ac:dyDescent="0.4">
      <c r="A424" s="4">
        <v>110</v>
      </c>
      <c r="B424">
        <v>7080500</v>
      </c>
    </row>
    <row r="425" spans="1:2" x14ac:dyDescent="0.4">
      <c r="A425" s="4">
        <v>110</v>
      </c>
      <c r="B425">
        <v>7080600</v>
      </c>
    </row>
    <row r="426" spans="1:2" x14ac:dyDescent="0.4">
      <c r="A426" s="4">
        <v>110</v>
      </c>
      <c r="B426">
        <v>7080700</v>
      </c>
    </row>
    <row r="427" spans="1:2" x14ac:dyDescent="0.4">
      <c r="A427" s="4">
        <v>110</v>
      </c>
      <c r="B427">
        <v>7080800</v>
      </c>
    </row>
    <row r="428" spans="1:2" x14ac:dyDescent="0.4">
      <c r="A428" s="4">
        <v>110</v>
      </c>
      <c r="B428">
        <v>7080900</v>
      </c>
    </row>
    <row r="429" spans="1:2" x14ac:dyDescent="0.4">
      <c r="A429" s="4">
        <v>110</v>
      </c>
      <c r="B429">
        <v>7081000</v>
      </c>
    </row>
    <row r="430" spans="1:2" x14ac:dyDescent="0.4">
      <c r="A430" s="4">
        <v>110</v>
      </c>
      <c r="B430">
        <v>7081100</v>
      </c>
    </row>
    <row r="431" spans="1:2" x14ac:dyDescent="0.4">
      <c r="A431" s="4">
        <v>110</v>
      </c>
      <c r="B431">
        <v>7081200</v>
      </c>
    </row>
    <row r="432" spans="1:2" x14ac:dyDescent="0.4">
      <c r="A432" s="4">
        <v>110</v>
      </c>
      <c r="B432">
        <v>7081300</v>
      </c>
    </row>
    <row r="433" spans="1:2" x14ac:dyDescent="0.4">
      <c r="A433" s="4">
        <v>110</v>
      </c>
      <c r="B433">
        <v>7081400</v>
      </c>
    </row>
    <row r="434" spans="1:2" x14ac:dyDescent="0.4">
      <c r="A434" s="4">
        <v>110</v>
      </c>
      <c r="B434">
        <v>7081500</v>
      </c>
    </row>
    <row r="435" spans="1:2" x14ac:dyDescent="0.4">
      <c r="A435" s="4">
        <v>110</v>
      </c>
      <c r="B435">
        <v>7081700</v>
      </c>
    </row>
    <row r="436" spans="1:2" x14ac:dyDescent="0.4">
      <c r="A436" s="4">
        <v>110</v>
      </c>
      <c r="B436">
        <v>7081800</v>
      </c>
    </row>
    <row r="437" spans="1:2" x14ac:dyDescent="0.4">
      <c r="A437" s="4">
        <v>110</v>
      </c>
      <c r="B437">
        <v>7081900</v>
      </c>
    </row>
    <row r="438" spans="1:2" x14ac:dyDescent="0.4">
      <c r="A438" s="4">
        <v>110</v>
      </c>
      <c r="B438">
        <v>7082000</v>
      </c>
    </row>
    <row r="439" spans="1:2" x14ac:dyDescent="0.4">
      <c r="A439" s="4">
        <v>110</v>
      </c>
      <c r="B439">
        <v>7082100</v>
      </c>
    </row>
    <row r="440" spans="1:2" x14ac:dyDescent="0.4">
      <c r="A440" s="4">
        <v>110</v>
      </c>
      <c r="B440">
        <v>7082200</v>
      </c>
    </row>
    <row r="441" spans="1:2" x14ac:dyDescent="0.4">
      <c r="A441" s="4">
        <v>110</v>
      </c>
      <c r="B441">
        <v>7082300</v>
      </c>
    </row>
    <row r="442" spans="1:2" x14ac:dyDescent="0.4">
      <c r="A442" s="4">
        <v>110</v>
      </c>
      <c r="B442">
        <v>7082400</v>
      </c>
    </row>
    <row r="443" spans="1:2" x14ac:dyDescent="0.4">
      <c r="A443" s="4">
        <v>110</v>
      </c>
      <c r="B443">
        <v>7082500</v>
      </c>
    </row>
    <row r="444" spans="1:2" x14ac:dyDescent="0.4">
      <c r="A444" s="4">
        <v>110</v>
      </c>
      <c r="B444">
        <v>7082600</v>
      </c>
    </row>
    <row r="445" spans="1:2" x14ac:dyDescent="0.4">
      <c r="A445" s="4">
        <v>110</v>
      </c>
      <c r="B445">
        <v>7082700</v>
      </c>
    </row>
    <row r="446" spans="1:2" x14ac:dyDescent="0.4">
      <c r="A446" s="4">
        <v>110</v>
      </c>
      <c r="B446">
        <v>7082800</v>
      </c>
    </row>
    <row r="447" spans="1:2" x14ac:dyDescent="0.4">
      <c r="A447" s="4">
        <v>110</v>
      </c>
      <c r="B447">
        <v>7082900</v>
      </c>
    </row>
    <row r="448" spans="1:2" x14ac:dyDescent="0.4">
      <c r="A448" s="4">
        <v>110</v>
      </c>
      <c r="B448">
        <v>7090000</v>
      </c>
    </row>
    <row r="449" spans="1:2" x14ac:dyDescent="0.4">
      <c r="A449" s="4">
        <v>110</v>
      </c>
      <c r="B449">
        <v>7090100</v>
      </c>
    </row>
    <row r="450" spans="1:2" x14ac:dyDescent="0.4">
      <c r="A450" s="4">
        <v>110</v>
      </c>
      <c r="B450">
        <v>7090300</v>
      </c>
    </row>
    <row r="451" spans="1:2" x14ac:dyDescent="0.4">
      <c r="A451" s="4">
        <v>110</v>
      </c>
      <c r="B451">
        <v>7100100</v>
      </c>
    </row>
    <row r="452" spans="1:2" x14ac:dyDescent="0.4">
      <c r="A452" s="4">
        <v>110</v>
      </c>
      <c r="B452">
        <v>7110000</v>
      </c>
    </row>
    <row r="453" spans="1:2" x14ac:dyDescent="0.4">
      <c r="A453" s="4">
        <v>110</v>
      </c>
      <c r="B453">
        <v>7120000</v>
      </c>
    </row>
    <row r="454" spans="1:2" x14ac:dyDescent="0.4">
      <c r="A454" s="4">
        <v>110</v>
      </c>
      <c r="B454">
        <v>7120100</v>
      </c>
    </row>
    <row r="455" spans="1:2" x14ac:dyDescent="0.4">
      <c r="A455" s="4">
        <v>110</v>
      </c>
      <c r="B455">
        <v>7120200</v>
      </c>
    </row>
    <row r="456" spans="1:2" x14ac:dyDescent="0.4">
      <c r="A456" s="4">
        <v>110</v>
      </c>
      <c r="B456">
        <v>7120300</v>
      </c>
    </row>
    <row r="457" spans="1:2" x14ac:dyDescent="0.4">
      <c r="A457" s="4">
        <v>110</v>
      </c>
      <c r="B457">
        <v>7120400</v>
      </c>
    </row>
    <row r="458" spans="1:2" x14ac:dyDescent="0.4">
      <c r="A458" s="4">
        <v>110</v>
      </c>
      <c r="B458">
        <v>7120500</v>
      </c>
    </row>
    <row r="459" spans="1:2" x14ac:dyDescent="0.4">
      <c r="A459" s="4">
        <v>110</v>
      </c>
      <c r="B459">
        <v>7120600</v>
      </c>
    </row>
    <row r="460" spans="1:2" x14ac:dyDescent="0.4">
      <c r="A460" s="4">
        <v>110</v>
      </c>
      <c r="B460">
        <v>7120900</v>
      </c>
    </row>
    <row r="461" spans="1:2" x14ac:dyDescent="0.4">
      <c r="A461" s="4">
        <v>110</v>
      </c>
      <c r="B461">
        <v>7121000</v>
      </c>
    </row>
    <row r="462" spans="1:2" x14ac:dyDescent="0.4">
      <c r="A462" s="4">
        <v>110</v>
      </c>
      <c r="B462">
        <v>7121100</v>
      </c>
    </row>
    <row r="463" spans="1:2" x14ac:dyDescent="0.4">
      <c r="A463" s="4">
        <v>110</v>
      </c>
      <c r="B463">
        <v>7121200</v>
      </c>
    </row>
    <row r="464" spans="1:2" x14ac:dyDescent="0.4">
      <c r="A464" s="4">
        <v>110</v>
      </c>
      <c r="B464">
        <v>7121300</v>
      </c>
    </row>
    <row r="465" spans="1:2" x14ac:dyDescent="0.4">
      <c r="A465" s="4">
        <v>110</v>
      </c>
      <c r="B465">
        <v>7121400</v>
      </c>
    </row>
    <row r="466" spans="1:2" x14ac:dyDescent="0.4">
      <c r="A466" s="4">
        <v>110</v>
      </c>
      <c r="B466">
        <v>7121500</v>
      </c>
    </row>
    <row r="467" spans="1:2" x14ac:dyDescent="0.4">
      <c r="A467" s="4">
        <v>110</v>
      </c>
      <c r="B467">
        <v>7121600</v>
      </c>
    </row>
    <row r="468" spans="1:2" x14ac:dyDescent="0.4">
      <c r="A468" s="4">
        <v>110</v>
      </c>
      <c r="B468">
        <v>7121700</v>
      </c>
    </row>
    <row r="469" spans="1:2" x14ac:dyDescent="0.4">
      <c r="A469" s="4">
        <v>110</v>
      </c>
      <c r="B469">
        <v>7121800</v>
      </c>
    </row>
    <row r="470" spans="1:2" x14ac:dyDescent="0.4">
      <c r="A470" s="4">
        <v>110</v>
      </c>
      <c r="B470">
        <v>7121900</v>
      </c>
    </row>
    <row r="471" spans="1:2" x14ac:dyDescent="0.4">
      <c r="A471" s="4">
        <v>110</v>
      </c>
      <c r="B471">
        <v>7122000</v>
      </c>
    </row>
    <row r="472" spans="1:2" x14ac:dyDescent="0.4">
      <c r="A472" s="4">
        <v>110</v>
      </c>
      <c r="B472">
        <v>7122100</v>
      </c>
    </row>
    <row r="473" spans="1:2" x14ac:dyDescent="0.4">
      <c r="A473" s="4">
        <v>110</v>
      </c>
      <c r="B473">
        <v>7122200</v>
      </c>
    </row>
    <row r="474" spans="1:2" x14ac:dyDescent="0.4">
      <c r="A474" s="4">
        <v>110</v>
      </c>
      <c r="B474">
        <v>7122300</v>
      </c>
    </row>
    <row r="475" spans="1:2" x14ac:dyDescent="0.4">
      <c r="A475" s="4">
        <v>110</v>
      </c>
      <c r="B475">
        <v>7122400</v>
      </c>
    </row>
    <row r="476" spans="1:2" x14ac:dyDescent="0.4">
      <c r="A476" s="4">
        <v>110</v>
      </c>
      <c r="B476">
        <v>7122500</v>
      </c>
    </row>
    <row r="477" spans="1:2" x14ac:dyDescent="0.4">
      <c r="A477" s="4">
        <v>110</v>
      </c>
      <c r="B477">
        <v>7122600</v>
      </c>
    </row>
    <row r="478" spans="1:2" x14ac:dyDescent="0.4">
      <c r="A478" s="4">
        <v>110</v>
      </c>
      <c r="B478">
        <v>7122700</v>
      </c>
    </row>
    <row r="479" spans="1:2" x14ac:dyDescent="0.4">
      <c r="A479" s="4">
        <v>110</v>
      </c>
      <c r="B479">
        <v>7122800</v>
      </c>
    </row>
    <row r="480" spans="1:2" x14ac:dyDescent="0.4">
      <c r="A480" s="4">
        <v>110</v>
      </c>
      <c r="B480">
        <v>7122900</v>
      </c>
    </row>
    <row r="481" spans="1:2" x14ac:dyDescent="0.4">
      <c r="A481" s="4">
        <v>110</v>
      </c>
      <c r="B481">
        <v>7123000</v>
      </c>
    </row>
    <row r="482" spans="1:2" x14ac:dyDescent="0.4">
      <c r="A482" s="4">
        <v>110</v>
      </c>
      <c r="B482">
        <v>7123100</v>
      </c>
    </row>
    <row r="483" spans="1:2" x14ac:dyDescent="0.4">
      <c r="A483" s="4">
        <v>110</v>
      </c>
      <c r="B483">
        <v>7123200</v>
      </c>
    </row>
    <row r="484" spans="1:2" x14ac:dyDescent="0.4">
      <c r="A484" s="4">
        <v>110</v>
      </c>
      <c r="B484">
        <v>7123300</v>
      </c>
    </row>
    <row r="485" spans="1:2" x14ac:dyDescent="0.4">
      <c r="A485" s="4">
        <v>110</v>
      </c>
      <c r="B485">
        <v>7123400</v>
      </c>
    </row>
    <row r="486" spans="1:2" x14ac:dyDescent="0.4">
      <c r="A486" s="4">
        <v>110</v>
      </c>
      <c r="B486">
        <v>7123500</v>
      </c>
    </row>
    <row r="487" spans="1:2" x14ac:dyDescent="0.4">
      <c r="A487" s="4">
        <v>110</v>
      </c>
      <c r="B487">
        <v>7123600</v>
      </c>
    </row>
    <row r="488" spans="1:2" x14ac:dyDescent="0.4">
      <c r="A488" s="4">
        <v>110</v>
      </c>
      <c r="B488">
        <v>7123700</v>
      </c>
    </row>
    <row r="489" spans="1:2" x14ac:dyDescent="0.4">
      <c r="A489" s="4">
        <v>110</v>
      </c>
      <c r="B489">
        <v>7123800</v>
      </c>
    </row>
    <row r="490" spans="1:2" x14ac:dyDescent="0.4">
      <c r="A490" s="4">
        <v>110</v>
      </c>
      <c r="B490">
        <v>7123900</v>
      </c>
    </row>
    <row r="491" spans="1:2" x14ac:dyDescent="0.4">
      <c r="A491" s="4">
        <v>110</v>
      </c>
      <c r="B491">
        <v>7124000</v>
      </c>
    </row>
    <row r="492" spans="1:2" x14ac:dyDescent="0.4">
      <c r="A492" s="4">
        <v>110</v>
      </c>
      <c r="B492">
        <v>7124100</v>
      </c>
    </row>
    <row r="493" spans="1:2" x14ac:dyDescent="0.4">
      <c r="A493" s="4">
        <v>110</v>
      </c>
      <c r="B493">
        <v>7124300</v>
      </c>
    </row>
    <row r="494" spans="1:2" x14ac:dyDescent="0.4">
      <c r="A494" s="4">
        <v>110</v>
      </c>
      <c r="B494">
        <v>7124400</v>
      </c>
    </row>
    <row r="495" spans="1:2" x14ac:dyDescent="0.4">
      <c r="A495" s="4">
        <v>110</v>
      </c>
      <c r="B495">
        <v>7124500</v>
      </c>
    </row>
    <row r="496" spans="1:2" x14ac:dyDescent="0.4">
      <c r="A496" s="4">
        <v>110</v>
      </c>
      <c r="B496">
        <v>7124600</v>
      </c>
    </row>
    <row r="497" spans="1:2" x14ac:dyDescent="0.4">
      <c r="A497" s="4">
        <v>110</v>
      </c>
      <c r="B497">
        <v>7124700</v>
      </c>
    </row>
    <row r="498" spans="1:2" x14ac:dyDescent="0.4">
      <c r="A498" s="4">
        <v>110</v>
      </c>
      <c r="B498">
        <v>7126000</v>
      </c>
    </row>
    <row r="499" spans="1:2" x14ac:dyDescent="0.4">
      <c r="A499" s="4">
        <v>110</v>
      </c>
      <c r="B499">
        <v>7150000</v>
      </c>
    </row>
    <row r="500" spans="1:2" x14ac:dyDescent="0.4">
      <c r="A500" s="4">
        <v>110</v>
      </c>
      <c r="B500">
        <v>7160000</v>
      </c>
    </row>
    <row r="501" spans="1:2" x14ac:dyDescent="0.4">
      <c r="A501" s="4">
        <v>110</v>
      </c>
      <c r="B501">
        <v>7220000</v>
      </c>
    </row>
    <row r="502" spans="1:2" x14ac:dyDescent="0.4">
      <c r="A502" s="4">
        <v>110</v>
      </c>
      <c r="B502">
        <v>7230000</v>
      </c>
    </row>
    <row r="503" spans="1:2" x14ac:dyDescent="0.4">
      <c r="A503" s="4">
        <v>110</v>
      </c>
      <c r="B503">
        <v>7240000</v>
      </c>
    </row>
    <row r="504" spans="1:2" x14ac:dyDescent="0.4">
      <c r="A504" s="4">
        <v>110</v>
      </c>
      <c r="B504">
        <v>7260000</v>
      </c>
    </row>
    <row r="505" spans="1:2" x14ac:dyDescent="0.4">
      <c r="A505" s="4">
        <v>110</v>
      </c>
      <c r="B505">
        <v>7260300</v>
      </c>
    </row>
    <row r="506" spans="1:2" x14ac:dyDescent="0.4">
      <c r="A506" s="4">
        <v>110</v>
      </c>
      <c r="B506">
        <v>7260400</v>
      </c>
    </row>
    <row r="507" spans="1:2" x14ac:dyDescent="0.4">
      <c r="A507" s="4">
        <v>110</v>
      </c>
      <c r="B507">
        <v>7270100</v>
      </c>
    </row>
    <row r="508" spans="1:2" x14ac:dyDescent="0.4">
      <c r="A508" s="4">
        <v>110</v>
      </c>
      <c r="B508">
        <v>7280000</v>
      </c>
    </row>
    <row r="509" spans="1:2" x14ac:dyDescent="0.4">
      <c r="A509" s="4">
        <v>110</v>
      </c>
      <c r="B509">
        <v>7290000</v>
      </c>
    </row>
    <row r="510" spans="1:2" x14ac:dyDescent="0.4">
      <c r="A510" s="4">
        <v>110</v>
      </c>
      <c r="B510">
        <v>7310000</v>
      </c>
    </row>
    <row r="511" spans="1:2" x14ac:dyDescent="0.4">
      <c r="A511" s="4">
        <v>110</v>
      </c>
      <c r="B511">
        <v>7330000</v>
      </c>
    </row>
    <row r="512" spans="1:2" x14ac:dyDescent="0.4">
      <c r="A512" s="4">
        <v>110</v>
      </c>
      <c r="B512">
        <v>7330100</v>
      </c>
    </row>
    <row r="513" spans="1:2" x14ac:dyDescent="0.4">
      <c r="A513" s="4">
        <v>110</v>
      </c>
      <c r="B513">
        <v>7330200</v>
      </c>
    </row>
    <row r="514" spans="1:2" x14ac:dyDescent="0.4">
      <c r="A514" s="4">
        <v>110</v>
      </c>
      <c r="B514">
        <v>7330300</v>
      </c>
    </row>
    <row r="515" spans="1:2" x14ac:dyDescent="0.4">
      <c r="A515" s="4">
        <v>110</v>
      </c>
      <c r="B515">
        <v>7330400</v>
      </c>
    </row>
    <row r="516" spans="1:2" x14ac:dyDescent="0.4">
      <c r="A516" s="4">
        <v>110</v>
      </c>
      <c r="B516">
        <v>7330500</v>
      </c>
    </row>
    <row r="517" spans="1:2" x14ac:dyDescent="0.4">
      <c r="A517" s="4">
        <v>110</v>
      </c>
      <c r="B517">
        <v>7330600</v>
      </c>
    </row>
    <row r="518" spans="1:2" x14ac:dyDescent="0.4">
      <c r="A518" s="4">
        <v>110</v>
      </c>
      <c r="B518">
        <v>7330700</v>
      </c>
    </row>
    <row r="519" spans="1:2" x14ac:dyDescent="0.4">
      <c r="A519" s="4">
        <v>110</v>
      </c>
      <c r="B519">
        <v>7330800</v>
      </c>
    </row>
    <row r="520" spans="1:2" x14ac:dyDescent="0.4">
      <c r="A520" s="4">
        <v>110</v>
      </c>
      <c r="B520">
        <v>7330900</v>
      </c>
    </row>
    <row r="521" spans="1:2" x14ac:dyDescent="0.4">
      <c r="A521" s="4">
        <v>110</v>
      </c>
      <c r="B521">
        <v>7331000</v>
      </c>
    </row>
    <row r="522" spans="1:2" x14ac:dyDescent="0.4">
      <c r="A522" s="4">
        <v>110</v>
      </c>
      <c r="B522">
        <v>7331100</v>
      </c>
    </row>
    <row r="523" spans="1:2" x14ac:dyDescent="0.4">
      <c r="A523" s="4">
        <v>110</v>
      </c>
      <c r="B523">
        <v>7331200</v>
      </c>
    </row>
    <row r="524" spans="1:2" x14ac:dyDescent="0.4">
      <c r="A524" s="4">
        <v>110</v>
      </c>
      <c r="B524">
        <v>7331300</v>
      </c>
    </row>
    <row r="525" spans="1:2" x14ac:dyDescent="0.4">
      <c r="A525" s="4">
        <v>110</v>
      </c>
      <c r="B525">
        <v>7331400</v>
      </c>
    </row>
    <row r="526" spans="1:2" x14ac:dyDescent="0.4">
      <c r="A526" s="4">
        <v>110</v>
      </c>
      <c r="B526">
        <v>7331500</v>
      </c>
    </row>
    <row r="527" spans="1:2" x14ac:dyDescent="0.4">
      <c r="A527" s="4">
        <v>110</v>
      </c>
      <c r="B527">
        <v>7331700</v>
      </c>
    </row>
    <row r="528" spans="1:2" x14ac:dyDescent="0.4">
      <c r="A528" s="4">
        <v>110</v>
      </c>
      <c r="B528">
        <v>7331800</v>
      </c>
    </row>
    <row r="529" spans="1:2" x14ac:dyDescent="0.4">
      <c r="A529" s="4">
        <v>110</v>
      </c>
      <c r="B529">
        <v>7331900</v>
      </c>
    </row>
    <row r="530" spans="1:2" x14ac:dyDescent="0.4">
      <c r="A530" s="4">
        <v>110</v>
      </c>
      <c r="B530">
        <v>7332000</v>
      </c>
    </row>
    <row r="531" spans="1:2" x14ac:dyDescent="0.4">
      <c r="A531" s="4">
        <v>110</v>
      </c>
      <c r="B531">
        <v>7332100</v>
      </c>
    </row>
    <row r="532" spans="1:2" x14ac:dyDescent="0.4">
      <c r="A532" s="4">
        <v>110</v>
      </c>
      <c r="B532">
        <v>7332200</v>
      </c>
    </row>
    <row r="533" spans="1:2" x14ac:dyDescent="0.4">
      <c r="A533" s="4">
        <v>110</v>
      </c>
      <c r="B533">
        <v>7332300</v>
      </c>
    </row>
    <row r="534" spans="1:2" x14ac:dyDescent="0.4">
      <c r="A534" s="4">
        <v>110</v>
      </c>
      <c r="B534">
        <v>7332400</v>
      </c>
    </row>
    <row r="535" spans="1:2" x14ac:dyDescent="0.4">
      <c r="A535" s="4">
        <v>110</v>
      </c>
      <c r="B535">
        <v>7340000</v>
      </c>
    </row>
    <row r="536" spans="1:2" x14ac:dyDescent="0.4">
      <c r="A536" s="4">
        <v>110</v>
      </c>
      <c r="B536">
        <v>7340100</v>
      </c>
    </row>
    <row r="537" spans="1:2" x14ac:dyDescent="0.4">
      <c r="A537" s="4">
        <v>110</v>
      </c>
      <c r="B537">
        <v>7340200</v>
      </c>
    </row>
    <row r="538" spans="1:2" x14ac:dyDescent="0.4">
      <c r="A538" s="4">
        <v>110</v>
      </c>
      <c r="B538">
        <v>7340300</v>
      </c>
    </row>
    <row r="539" spans="1:2" x14ac:dyDescent="0.4">
      <c r="A539" s="4">
        <v>110</v>
      </c>
      <c r="B539">
        <v>7340400</v>
      </c>
    </row>
    <row r="540" spans="1:2" x14ac:dyDescent="0.4">
      <c r="A540" s="4">
        <v>110</v>
      </c>
      <c r="B540">
        <v>7340500</v>
      </c>
    </row>
    <row r="541" spans="1:2" x14ac:dyDescent="0.4">
      <c r="A541" s="4">
        <v>110</v>
      </c>
      <c r="B541">
        <v>7340600</v>
      </c>
    </row>
    <row r="542" spans="1:2" x14ac:dyDescent="0.4">
      <c r="A542" s="4">
        <v>110</v>
      </c>
      <c r="B542">
        <v>7340700</v>
      </c>
    </row>
    <row r="543" spans="1:2" x14ac:dyDescent="0.4">
      <c r="A543" s="4">
        <v>110</v>
      </c>
      <c r="B543">
        <v>7340800</v>
      </c>
    </row>
    <row r="544" spans="1:2" x14ac:dyDescent="0.4">
      <c r="A544" s="4">
        <v>110</v>
      </c>
      <c r="B544">
        <v>7340900</v>
      </c>
    </row>
    <row r="545" spans="1:2" x14ac:dyDescent="0.4">
      <c r="A545" s="4">
        <v>110</v>
      </c>
      <c r="B545">
        <v>7341000</v>
      </c>
    </row>
    <row r="546" spans="1:2" x14ac:dyDescent="0.4">
      <c r="A546" s="4">
        <v>110</v>
      </c>
      <c r="B546">
        <v>7341100</v>
      </c>
    </row>
    <row r="547" spans="1:2" x14ac:dyDescent="0.4">
      <c r="A547" s="4">
        <v>110</v>
      </c>
      <c r="B547">
        <v>7341200</v>
      </c>
    </row>
    <row r="548" spans="1:2" x14ac:dyDescent="0.4">
      <c r="A548" s="4">
        <v>110</v>
      </c>
      <c r="B548">
        <v>7341300</v>
      </c>
    </row>
    <row r="549" spans="1:2" x14ac:dyDescent="0.4">
      <c r="A549" s="4">
        <v>110</v>
      </c>
      <c r="B549">
        <v>7341400</v>
      </c>
    </row>
    <row r="550" spans="1:2" x14ac:dyDescent="0.4">
      <c r="A550" s="4">
        <v>110</v>
      </c>
      <c r="B550">
        <v>7341500</v>
      </c>
    </row>
    <row r="551" spans="1:2" x14ac:dyDescent="0.4">
      <c r="A551" s="4">
        <v>110</v>
      </c>
      <c r="B551">
        <v>7341700</v>
      </c>
    </row>
    <row r="552" spans="1:2" x14ac:dyDescent="0.4">
      <c r="A552" s="4">
        <v>110</v>
      </c>
      <c r="B552">
        <v>7341800</v>
      </c>
    </row>
    <row r="553" spans="1:2" x14ac:dyDescent="0.4">
      <c r="A553" s="4">
        <v>110</v>
      </c>
      <c r="B553">
        <v>7341900</v>
      </c>
    </row>
    <row r="554" spans="1:2" x14ac:dyDescent="0.4">
      <c r="A554" s="4">
        <v>110</v>
      </c>
      <c r="B554">
        <v>7342000</v>
      </c>
    </row>
    <row r="555" spans="1:2" x14ac:dyDescent="0.4">
      <c r="A555" s="4">
        <v>110</v>
      </c>
      <c r="B555">
        <v>7342100</v>
      </c>
    </row>
    <row r="556" spans="1:2" x14ac:dyDescent="0.4">
      <c r="A556" s="4">
        <v>110</v>
      </c>
      <c r="B556">
        <v>7342200</v>
      </c>
    </row>
    <row r="557" spans="1:2" x14ac:dyDescent="0.4">
      <c r="A557" s="4">
        <v>110</v>
      </c>
      <c r="B557">
        <v>7342300</v>
      </c>
    </row>
    <row r="558" spans="1:2" x14ac:dyDescent="0.4">
      <c r="A558" s="4">
        <v>110</v>
      </c>
      <c r="B558">
        <v>7342400</v>
      </c>
    </row>
    <row r="559" spans="1:2" x14ac:dyDescent="0.4">
      <c r="A559" s="4">
        <v>110</v>
      </c>
      <c r="B559">
        <v>7350000</v>
      </c>
    </row>
    <row r="560" spans="1:2" x14ac:dyDescent="0.4">
      <c r="A560" s="4">
        <v>110</v>
      </c>
      <c r="B560">
        <v>7350100</v>
      </c>
    </row>
    <row r="561" spans="1:2" x14ac:dyDescent="0.4">
      <c r="A561" s="4">
        <v>110</v>
      </c>
      <c r="B561">
        <v>7350200</v>
      </c>
    </row>
    <row r="562" spans="1:2" x14ac:dyDescent="0.4">
      <c r="A562" s="4">
        <v>110</v>
      </c>
      <c r="B562">
        <v>7350300</v>
      </c>
    </row>
    <row r="563" spans="1:2" x14ac:dyDescent="0.4">
      <c r="A563" s="4">
        <v>110</v>
      </c>
      <c r="B563">
        <v>7350400</v>
      </c>
    </row>
    <row r="564" spans="1:2" x14ac:dyDescent="0.4">
      <c r="A564" s="4">
        <v>110</v>
      </c>
      <c r="B564">
        <v>7350500</v>
      </c>
    </row>
    <row r="565" spans="1:2" x14ac:dyDescent="0.4">
      <c r="A565" s="4">
        <v>110</v>
      </c>
      <c r="B565">
        <v>7350600</v>
      </c>
    </row>
    <row r="566" spans="1:2" x14ac:dyDescent="0.4">
      <c r="A566" s="4">
        <v>110</v>
      </c>
      <c r="B566">
        <v>7350700</v>
      </c>
    </row>
    <row r="567" spans="1:2" x14ac:dyDescent="0.4">
      <c r="A567" s="4">
        <v>110</v>
      </c>
      <c r="B567">
        <v>7350800</v>
      </c>
    </row>
    <row r="568" spans="1:2" x14ac:dyDescent="0.4">
      <c r="A568" s="4">
        <v>110</v>
      </c>
      <c r="B568">
        <v>7350900</v>
      </c>
    </row>
    <row r="569" spans="1:2" x14ac:dyDescent="0.4">
      <c r="A569" s="4">
        <v>110</v>
      </c>
      <c r="B569">
        <v>7351000</v>
      </c>
    </row>
    <row r="570" spans="1:2" x14ac:dyDescent="0.4">
      <c r="A570" s="4">
        <v>110</v>
      </c>
      <c r="B570">
        <v>7351100</v>
      </c>
    </row>
    <row r="571" spans="1:2" x14ac:dyDescent="0.4">
      <c r="A571" s="4">
        <v>110</v>
      </c>
      <c r="B571">
        <v>7351200</v>
      </c>
    </row>
    <row r="572" spans="1:2" x14ac:dyDescent="0.4">
      <c r="A572" s="4">
        <v>110</v>
      </c>
      <c r="B572">
        <v>7351300</v>
      </c>
    </row>
    <row r="573" spans="1:2" x14ac:dyDescent="0.4">
      <c r="A573" s="4">
        <v>110</v>
      </c>
      <c r="B573">
        <v>7351400</v>
      </c>
    </row>
    <row r="574" spans="1:2" x14ac:dyDescent="0.4">
      <c r="A574" s="4">
        <v>110</v>
      </c>
      <c r="B574">
        <v>7351500</v>
      </c>
    </row>
    <row r="575" spans="1:2" x14ac:dyDescent="0.4">
      <c r="A575" s="4">
        <v>110</v>
      </c>
      <c r="B575">
        <v>7351700</v>
      </c>
    </row>
    <row r="576" spans="1:2" x14ac:dyDescent="0.4">
      <c r="A576" s="4">
        <v>110</v>
      </c>
      <c r="B576">
        <v>7351800</v>
      </c>
    </row>
    <row r="577" spans="1:2" x14ac:dyDescent="0.4">
      <c r="A577" s="4">
        <v>110</v>
      </c>
      <c r="B577">
        <v>7351900</v>
      </c>
    </row>
    <row r="578" spans="1:2" x14ac:dyDescent="0.4">
      <c r="A578" s="4">
        <v>110</v>
      </c>
      <c r="B578">
        <v>7352000</v>
      </c>
    </row>
    <row r="579" spans="1:2" x14ac:dyDescent="0.4">
      <c r="A579" s="4">
        <v>110</v>
      </c>
      <c r="B579">
        <v>7352100</v>
      </c>
    </row>
    <row r="580" spans="1:2" x14ac:dyDescent="0.4">
      <c r="A580" s="4">
        <v>110</v>
      </c>
      <c r="B580">
        <v>7352200</v>
      </c>
    </row>
    <row r="581" spans="1:2" x14ac:dyDescent="0.4">
      <c r="A581" s="4">
        <v>110</v>
      </c>
      <c r="B581">
        <v>7352300</v>
      </c>
    </row>
    <row r="582" spans="1:2" x14ac:dyDescent="0.4">
      <c r="A582" s="4">
        <v>110</v>
      </c>
      <c r="B582">
        <v>7352400</v>
      </c>
    </row>
    <row r="583" spans="1:2" x14ac:dyDescent="0.4">
      <c r="A583" s="4">
        <v>110</v>
      </c>
      <c r="B583">
        <v>7360600</v>
      </c>
    </row>
    <row r="584" spans="1:2" x14ac:dyDescent="0.4">
      <c r="A584" s="4">
        <v>110</v>
      </c>
      <c r="B584">
        <v>7360900</v>
      </c>
    </row>
    <row r="585" spans="1:2" x14ac:dyDescent="0.4">
      <c r="A585" s="4">
        <v>110</v>
      </c>
      <c r="B585">
        <v>7361200</v>
      </c>
    </row>
    <row r="586" spans="1:2" x14ac:dyDescent="0.4">
      <c r="A586" s="4">
        <v>110</v>
      </c>
      <c r="B586">
        <v>7361300</v>
      </c>
    </row>
    <row r="587" spans="1:2" x14ac:dyDescent="0.4">
      <c r="A587" s="4">
        <v>110</v>
      </c>
      <c r="B587">
        <v>7362100</v>
      </c>
    </row>
    <row r="588" spans="1:2" x14ac:dyDescent="0.4">
      <c r="A588" s="4">
        <v>110</v>
      </c>
      <c r="B588">
        <v>7370300</v>
      </c>
    </row>
    <row r="589" spans="1:2" x14ac:dyDescent="0.4">
      <c r="A589" s="4">
        <v>110</v>
      </c>
      <c r="B589">
        <v>7370400</v>
      </c>
    </row>
    <row r="590" spans="1:2" x14ac:dyDescent="0.4">
      <c r="A590" s="4">
        <v>110</v>
      </c>
      <c r="B590">
        <v>7370600</v>
      </c>
    </row>
    <row r="591" spans="1:2" x14ac:dyDescent="0.4">
      <c r="A591" s="4">
        <v>110</v>
      </c>
      <c r="B591">
        <v>7370900</v>
      </c>
    </row>
    <row r="592" spans="1:2" x14ac:dyDescent="0.4">
      <c r="A592" s="4">
        <v>110</v>
      </c>
      <c r="B592">
        <v>7371500</v>
      </c>
    </row>
    <row r="593" spans="1:2" x14ac:dyDescent="0.4">
      <c r="A593" s="4">
        <v>110</v>
      </c>
      <c r="B593">
        <v>7036200</v>
      </c>
    </row>
    <row r="594" spans="1:2" x14ac:dyDescent="0.4">
      <c r="A594" s="4">
        <v>110</v>
      </c>
      <c r="B594">
        <v>7036300</v>
      </c>
    </row>
    <row r="595" spans="1:2" x14ac:dyDescent="0.4">
      <c r="A595" s="4">
        <v>110</v>
      </c>
      <c r="B595">
        <v>7036400</v>
      </c>
    </row>
    <row r="596" spans="1:2" x14ac:dyDescent="0.4">
      <c r="A596" s="4">
        <v>110</v>
      </c>
      <c r="B596">
        <v>7036500</v>
      </c>
    </row>
    <row r="597" spans="1:2" x14ac:dyDescent="0.4">
      <c r="A597" s="4">
        <v>110</v>
      </c>
      <c r="B597">
        <v>7036800</v>
      </c>
    </row>
    <row r="598" spans="1:2" x14ac:dyDescent="0.4">
      <c r="A598" s="4">
        <v>110</v>
      </c>
      <c r="B598">
        <v>7036900</v>
      </c>
    </row>
    <row r="599" spans="1:2" x14ac:dyDescent="0.4">
      <c r="A599" s="4">
        <v>110</v>
      </c>
      <c r="B599">
        <v>7037000</v>
      </c>
    </row>
    <row r="600" spans="1:2" x14ac:dyDescent="0.4">
      <c r="A600" s="4">
        <v>110</v>
      </c>
      <c r="B600">
        <v>7037300</v>
      </c>
    </row>
    <row r="601" spans="1:2" x14ac:dyDescent="0.4">
      <c r="A601" s="4">
        <v>110</v>
      </c>
      <c r="B601">
        <v>6630000</v>
      </c>
    </row>
    <row r="602" spans="1:2" x14ac:dyDescent="0.4">
      <c r="A602" s="4">
        <v>110</v>
      </c>
      <c r="B602">
        <v>6630100</v>
      </c>
    </row>
    <row r="603" spans="1:2" x14ac:dyDescent="0.4">
      <c r="A603" s="4">
        <v>110</v>
      </c>
      <c r="B603">
        <v>6630200</v>
      </c>
    </row>
    <row r="604" spans="1:2" x14ac:dyDescent="0.4">
      <c r="A604" s="4">
        <v>110</v>
      </c>
      <c r="B604">
        <v>6630300</v>
      </c>
    </row>
    <row r="605" spans="1:2" x14ac:dyDescent="0.4">
      <c r="A605" s="4">
        <v>110</v>
      </c>
      <c r="B605">
        <v>6630400</v>
      </c>
    </row>
    <row r="606" spans="1:2" x14ac:dyDescent="0.4">
      <c r="A606" s="4">
        <v>110</v>
      </c>
      <c r="B606">
        <v>6630500</v>
      </c>
    </row>
    <row r="607" spans="1:2" x14ac:dyDescent="0.4">
      <c r="A607" s="4">
        <v>110</v>
      </c>
      <c r="B607">
        <v>6630600</v>
      </c>
    </row>
    <row r="608" spans="1:2" x14ac:dyDescent="0.4">
      <c r="A608" s="4">
        <v>110</v>
      </c>
      <c r="B608">
        <v>6630700</v>
      </c>
    </row>
    <row r="609" spans="1:2" x14ac:dyDescent="0.4">
      <c r="A609" s="4">
        <v>110</v>
      </c>
      <c r="B609">
        <v>6630800</v>
      </c>
    </row>
    <row r="610" spans="1:2" x14ac:dyDescent="0.4">
      <c r="A610" s="4">
        <v>110</v>
      </c>
      <c r="B610">
        <v>6630900</v>
      </c>
    </row>
    <row r="611" spans="1:2" x14ac:dyDescent="0.4">
      <c r="A611" s="4">
        <v>110</v>
      </c>
      <c r="B611">
        <v>6631000</v>
      </c>
    </row>
    <row r="612" spans="1:2" x14ac:dyDescent="0.4">
      <c r="A612" s="4">
        <v>110</v>
      </c>
      <c r="B612">
        <v>6631100</v>
      </c>
    </row>
    <row r="613" spans="1:2" x14ac:dyDescent="0.4">
      <c r="A613" s="4">
        <v>110</v>
      </c>
      <c r="B613">
        <v>6631200</v>
      </c>
    </row>
    <row r="614" spans="1:2" x14ac:dyDescent="0.4">
      <c r="A614" s="4">
        <v>110</v>
      </c>
      <c r="B614">
        <v>6631300</v>
      </c>
    </row>
    <row r="615" spans="1:2" x14ac:dyDescent="0.4">
      <c r="A615" s="4">
        <v>110</v>
      </c>
      <c r="B615">
        <v>6631400</v>
      </c>
    </row>
    <row r="616" spans="1:2" x14ac:dyDescent="0.4">
      <c r="A616" s="4">
        <v>110</v>
      </c>
      <c r="B616">
        <v>6631500</v>
      </c>
    </row>
    <row r="617" spans="1:2" x14ac:dyDescent="0.4">
      <c r="A617" s="4">
        <v>110</v>
      </c>
      <c r="B617">
        <v>6631600</v>
      </c>
    </row>
    <row r="618" spans="1:2" x14ac:dyDescent="0.4">
      <c r="A618" s="4">
        <v>110</v>
      </c>
      <c r="B618">
        <v>6631700</v>
      </c>
    </row>
    <row r="619" spans="1:2" x14ac:dyDescent="0.4">
      <c r="A619" s="4">
        <v>110</v>
      </c>
      <c r="B619">
        <v>6631800</v>
      </c>
    </row>
    <row r="620" spans="1:2" x14ac:dyDescent="0.4">
      <c r="A620" s="4">
        <v>110</v>
      </c>
      <c r="B620">
        <v>6631900</v>
      </c>
    </row>
    <row r="621" spans="1:2" x14ac:dyDescent="0.4">
      <c r="A621" s="4">
        <v>110</v>
      </c>
      <c r="B621">
        <v>6632000</v>
      </c>
    </row>
    <row r="622" spans="1:2" x14ac:dyDescent="0.4">
      <c r="A622" s="4">
        <v>110</v>
      </c>
      <c r="B622">
        <v>6632100</v>
      </c>
    </row>
    <row r="623" spans="1:2" x14ac:dyDescent="0.4">
      <c r="A623" s="4">
        <v>110</v>
      </c>
      <c r="B623">
        <v>6632200</v>
      </c>
    </row>
    <row r="624" spans="1:2" x14ac:dyDescent="0.4">
      <c r="A624" s="4">
        <v>110</v>
      </c>
      <c r="B624">
        <v>6632300</v>
      </c>
    </row>
    <row r="625" spans="1:2" x14ac:dyDescent="0.4">
      <c r="A625" s="4">
        <v>110</v>
      </c>
      <c r="B625">
        <v>6632400</v>
      </c>
    </row>
    <row r="626" spans="1:2" x14ac:dyDescent="0.4">
      <c r="A626" s="4">
        <v>110</v>
      </c>
      <c r="B626">
        <v>6632500</v>
      </c>
    </row>
    <row r="627" spans="1:2" x14ac:dyDescent="0.4">
      <c r="A627" s="4">
        <v>110</v>
      </c>
      <c r="B627">
        <v>6632600</v>
      </c>
    </row>
    <row r="628" spans="1:2" x14ac:dyDescent="0.4">
      <c r="A628" s="4">
        <v>110</v>
      </c>
      <c r="B628">
        <v>6632700</v>
      </c>
    </row>
    <row r="629" spans="1:2" x14ac:dyDescent="0.4">
      <c r="A629" s="4">
        <v>110</v>
      </c>
      <c r="B629">
        <v>6632800</v>
      </c>
    </row>
    <row r="630" spans="1:2" x14ac:dyDescent="0.4">
      <c r="A630" s="4">
        <v>110</v>
      </c>
      <c r="B630">
        <v>6632900</v>
      </c>
    </row>
    <row r="631" spans="1:2" x14ac:dyDescent="0.4">
      <c r="A631" s="4">
        <v>110</v>
      </c>
      <c r="B631">
        <v>6633000</v>
      </c>
    </row>
    <row r="632" spans="1:2" x14ac:dyDescent="0.4">
      <c r="A632" s="4">
        <v>110</v>
      </c>
      <c r="B632">
        <v>6633100</v>
      </c>
    </row>
    <row r="633" spans="1:2" x14ac:dyDescent="0.4">
      <c r="A633" s="4">
        <v>110</v>
      </c>
      <c r="B633">
        <v>6633200</v>
      </c>
    </row>
    <row r="634" spans="1:2" x14ac:dyDescent="0.4">
      <c r="A634" s="4">
        <v>110</v>
      </c>
      <c r="B634">
        <v>6647200</v>
      </c>
    </row>
    <row r="635" spans="1:2" x14ac:dyDescent="0.4">
      <c r="A635" s="4">
        <v>110</v>
      </c>
      <c r="B635">
        <v>6647300</v>
      </c>
    </row>
    <row r="636" spans="1:2" x14ac:dyDescent="0.4">
      <c r="A636" s="4">
        <v>110</v>
      </c>
      <c r="B636">
        <v>6647400</v>
      </c>
    </row>
    <row r="637" spans="1:2" x14ac:dyDescent="0.4">
      <c r="A637" s="4">
        <v>110</v>
      </c>
      <c r="B637">
        <v>6647500</v>
      </c>
    </row>
    <row r="638" spans="1:2" x14ac:dyDescent="0.4">
      <c r="A638" s="4">
        <v>110</v>
      </c>
      <c r="B638">
        <v>6640000</v>
      </c>
    </row>
    <row r="639" spans="1:2" x14ac:dyDescent="0.4">
      <c r="A639" s="4">
        <v>110</v>
      </c>
      <c r="B639">
        <v>6640100</v>
      </c>
    </row>
    <row r="640" spans="1:2" x14ac:dyDescent="0.4">
      <c r="A640" s="4">
        <v>110</v>
      </c>
      <c r="B640">
        <v>6641000</v>
      </c>
    </row>
    <row r="641" spans="1:2" x14ac:dyDescent="0.4">
      <c r="A641" s="4">
        <v>110</v>
      </c>
      <c r="B641">
        <v>6641100</v>
      </c>
    </row>
    <row r="642" spans="1:2" x14ac:dyDescent="0.4">
      <c r="A642" s="4">
        <v>110</v>
      </c>
      <c r="B642">
        <v>6642000</v>
      </c>
    </row>
    <row r="643" spans="1:2" x14ac:dyDescent="0.4">
      <c r="A643" s="4">
        <v>110</v>
      </c>
      <c r="B643">
        <v>6642100</v>
      </c>
    </row>
    <row r="644" spans="1:2" x14ac:dyDescent="0.4">
      <c r="A644" s="4">
        <v>110</v>
      </c>
      <c r="B644">
        <v>6643000</v>
      </c>
    </row>
    <row r="645" spans="1:2" x14ac:dyDescent="0.4">
      <c r="A645" s="4">
        <v>110</v>
      </c>
      <c r="B645">
        <v>6643100</v>
      </c>
    </row>
    <row r="646" spans="1:2" x14ac:dyDescent="0.4">
      <c r="A646" s="4">
        <v>110</v>
      </c>
      <c r="B646">
        <v>6644000</v>
      </c>
    </row>
    <row r="647" spans="1:2" x14ac:dyDescent="0.4">
      <c r="A647" s="4">
        <v>110</v>
      </c>
      <c r="B647">
        <v>6644100</v>
      </c>
    </row>
    <row r="648" spans="1:2" x14ac:dyDescent="0.4">
      <c r="A648" s="4">
        <v>110</v>
      </c>
      <c r="B648">
        <v>6645000</v>
      </c>
    </row>
    <row r="649" spans="1:2" x14ac:dyDescent="0.4">
      <c r="A649" s="4">
        <v>110</v>
      </c>
      <c r="B649">
        <v>6645100</v>
      </c>
    </row>
    <row r="650" spans="1:2" x14ac:dyDescent="0.4">
      <c r="A650" s="4">
        <v>110</v>
      </c>
      <c r="B650">
        <v>6646000</v>
      </c>
    </row>
    <row r="651" spans="1:2" x14ac:dyDescent="0.4">
      <c r="A651" s="4">
        <v>110</v>
      </c>
      <c r="B651">
        <v>6646100</v>
      </c>
    </row>
    <row r="652" spans="1:2" x14ac:dyDescent="0.4">
      <c r="A652" s="4">
        <v>110</v>
      </c>
      <c r="B652">
        <v>6647000</v>
      </c>
    </row>
    <row r="653" spans="1:2" x14ac:dyDescent="0.4">
      <c r="A653" s="4">
        <v>110</v>
      </c>
      <c r="B653">
        <v>6647100</v>
      </c>
    </row>
    <row r="654" spans="1:2" x14ac:dyDescent="0.4">
      <c r="A654" s="4">
        <v>200</v>
      </c>
      <c r="B654">
        <v>7000000</v>
      </c>
    </row>
    <row r="655" spans="1:2" x14ac:dyDescent="0.4">
      <c r="A655" s="4">
        <v>200</v>
      </c>
      <c r="B655">
        <v>7000001</v>
      </c>
    </row>
    <row r="656" spans="1:2" x14ac:dyDescent="0.4">
      <c r="A656" s="4">
        <v>200</v>
      </c>
      <c r="B656">
        <v>7000002</v>
      </c>
    </row>
    <row r="657" spans="1:2" x14ac:dyDescent="0.4">
      <c r="A657" s="4">
        <v>200</v>
      </c>
      <c r="B657">
        <v>7000100</v>
      </c>
    </row>
    <row r="658" spans="1:2" x14ac:dyDescent="0.4">
      <c r="A658" s="4">
        <v>200</v>
      </c>
      <c r="B658">
        <v>7000101</v>
      </c>
    </row>
    <row r="659" spans="1:2" x14ac:dyDescent="0.4">
      <c r="A659" s="4">
        <v>200</v>
      </c>
      <c r="B659">
        <v>7000102</v>
      </c>
    </row>
    <row r="660" spans="1:2" x14ac:dyDescent="0.4">
      <c r="A660" s="4">
        <v>200</v>
      </c>
      <c r="B660">
        <v>7000200</v>
      </c>
    </row>
    <row r="661" spans="1:2" x14ac:dyDescent="0.4">
      <c r="A661" s="4">
        <v>200</v>
      </c>
      <c r="B661">
        <v>7000201</v>
      </c>
    </row>
    <row r="662" spans="1:2" x14ac:dyDescent="0.4">
      <c r="A662" s="4">
        <v>200</v>
      </c>
      <c r="B662">
        <v>7000202</v>
      </c>
    </row>
    <row r="663" spans="1:2" x14ac:dyDescent="0.4">
      <c r="A663" s="4">
        <v>200</v>
      </c>
      <c r="B663">
        <v>7000300</v>
      </c>
    </row>
    <row r="664" spans="1:2" x14ac:dyDescent="0.4">
      <c r="A664" s="4">
        <v>200</v>
      </c>
      <c r="B664">
        <v>7000301</v>
      </c>
    </row>
    <row r="665" spans="1:2" x14ac:dyDescent="0.4">
      <c r="A665" s="4">
        <v>200</v>
      </c>
      <c r="B665">
        <v>7000302</v>
      </c>
    </row>
    <row r="666" spans="1:2" x14ac:dyDescent="0.4">
      <c r="A666" s="4">
        <v>200</v>
      </c>
      <c r="B666">
        <v>7000400</v>
      </c>
    </row>
    <row r="667" spans="1:2" x14ac:dyDescent="0.4">
      <c r="A667" s="4">
        <v>200</v>
      </c>
      <c r="B667">
        <v>7000401</v>
      </c>
    </row>
    <row r="668" spans="1:2" x14ac:dyDescent="0.4">
      <c r="A668" s="4">
        <v>200</v>
      </c>
      <c r="B668">
        <v>7000402</v>
      </c>
    </row>
    <row r="669" spans="1:2" x14ac:dyDescent="0.4">
      <c r="A669" s="4">
        <v>200</v>
      </c>
      <c r="B669">
        <v>7000500</v>
      </c>
    </row>
    <row r="670" spans="1:2" x14ac:dyDescent="0.4">
      <c r="A670" s="4">
        <v>200</v>
      </c>
      <c r="B670">
        <v>7000501</v>
      </c>
    </row>
    <row r="671" spans="1:2" x14ac:dyDescent="0.4">
      <c r="A671" s="4">
        <v>200</v>
      </c>
      <c r="B671">
        <v>7000502</v>
      </c>
    </row>
    <row r="672" spans="1:2" x14ac:dyDescent="0.4">
      <c r="A672" s="4">
        <v>200</v>
      </c>
      <c r="B672">
        <v>7000600</v>
      </c>
    </row>
    <row r="673" spans="1:2" x14ac:dyDescent="0.4">
      <c r="A673" s="4">
        <v>200</v>
      </c>
      <c r="B673">
        <v>7000601</v>
      </c>
    </row>
    <row r="674" spans="1:2" x14ac:dyDescent="0.4">
      <c r="A674" s="4">
        <v>200</v>
      </c>
      <c r="B674">
        <v>7000602</v>
      </c>
    </row>
    <row r="675" spans="1:2" x14ac:dyDescent="0.4">
      <c r="A675" s="4">
        <v>200</v>
      </c>
      <c r="B675">
        <v>7000700</v>
      </c>
    </row>
    <row r="676" spans="1:2" x14ac:dyDescent="0.4">
      <c r="A676" s="4">
        <v>200</v>
      </c>
      <c r="B676">
        <v>7000701</v>
      </c>
    </row>
    <row r="677" spans="1:2" x14ac:dyDescent="0.4">
      <c r="A677" s="4">
        <v>200</v>
      </c>
      <c r="B677">
        <v>7000702</v>
      </c>
    </row>
    <row r="678" spans="1:2" x14ac:dyDescent="0.4">
      <c r="A678" s="4">
        <v>200</v>
      </c>
      <c r="B678">
        <v>7000800</v>
      </c>
    </row>
    <row r="679" spans="1:2" x14ac:dyDescent="0.4">
      <c r="A679" s="4">
        <v>200</v>
      </c>
      <c r="B679">
        <v>7000801</v>
      </c>
    </row>
    <row r="680" spans="1:2" x14ac:dyDescent="0.4">
      <c r="A680" s="4">
        <v>200</v>
      </c>
      <c r="B680">
        <v>7000802</v>
      </c>
    </row>
    <row r="681" spans="1:2" x14ac:dyDescent="0.4">
      <c r="A681" s="4">
        <v>200</v>
      </c>
      <c r="B681">
        <v>7000900</v>
      </c>
    </row>
    <row r="682" spans="1:2" x14ac:dyDescent="0.4">
      <c r="A682" s="4">
        <v>200</v>
      </c>
      <c r="B682">
        <v>7000901</v>
      </c>
    </row>
    <row r="683" spans="1:2" x14ac:dyDescent="0.4">
      <c r="A683" s="4">
        <v>200</v>
      </c>
      <c r="B683">
        <v>7000902</v>
      </c>
    </row>
    <row r="684" spans="1:2" x14ac:dyDescent="0.4">
      <c r="A684" s="4">
        <v>200</v>
      </c>
      <c r="B684">
        <v>7001000</v>
      </c>
    </row>
    <row r="685" spans="1:2" x14ac:dyDescent="0.4">
      <c r="A685" s="4">
        <v>200</v>
      </c>
      <c r="B685">
        <v>7001001</v>
      </c>
    </row>
    <row r="686" spans="1:2" x14ac:dyDescent="0.4">
      <c r="A686" s="4">
        <v>200</v>
      </c>
      <c r="B686">
        <v>7001002</v>
      </c>
    </row>
    <row r="687" spans="1:2" x14ac:dyDescent="0.4">
      <c r="A687" s="4">
        <v>200</v>
      </c>
      <c r="B687">
        <v>7001400</v>
      </c>
    </row>
    <row r="688" spans="1:2" x14ac:dyDescent="0.4">
      <c r="A688" s="4">
        <v>200</v>
      </c>
      <c r="B688">
        <v>7001401</v>
      </c>
    </row>
    <row r="689" spans="1:2" x14ac:dyDescent="0.4">
      <c r="A689" s="4">
        <v>200</v>
      </c>
      <c r="B689">
        <v>7001402</v>
      </c>
    </row>
    <row r="690" spans="1:2" x14ac:dyDescent="0.4">
      <c r="A690" s="4">
        <v>200</v>
      </c>
      <c r="B690">
        <v>7001500</v>
      </c>
    </row>
    <row r="691" spans="1:2" x14ac:dyDescent="0.4">
      <c r="A691" s="4">
        <v>200</v>
      </c>
      <c r="B691">
        <v>7001501</v>
      </c>
    </row>
    <row r="692" spans="1:2" x14ac:dyDescent="0.4">
      <c r="A692" s="4">
        <v>200</v>
      </c>
      <c r="B692">
        <v>7001502</v>
      </c>
    </row>
    <row r="693" spans="1:2" x14ac:dyDescent="0.4">
      <c r="A693" s="4">
        <v>200</v>
      </c>
      <c r="B693">
        <v>7001600</v>
      </c>
    </row>
    <row r="694" spans="1:2" x14ac:dyDescent="0.4">
      <c r="A694" s="4">
        <v>200</v>
      </c>
      <c r="B694">
        <v>7001601</v>
      </c>
    </row>
    <row r="695" spans="1:2" x14ac:dyDescent="0.4">
      <c r="A695" s="4">
        <v>200</v>
      </c>
      <c r="B695">
        <v>7001602</v>
      </c>
    </row>
    <row r="696" spans="1:2" x14ac:dyDescent="0.4">
      <c r="A696" s="4">
        <v>200</v>
      </c>
      <c r="B696">
        <v>7001700</v>
      </c>
    </row>
    <row r="697" spans="1:2" x14ac:dyDescent="0.4">
      <c r="A697" s="4">
        <v>200</v>
      </c>
      <c r="B697">
        <v>7001701</v>
      </c>
    </row>
    <row r="698" spans="1:2" x14ac:dyDescent="0.4">
      <c r="A698" s="4">
        <v>200</v>
      </c>
      <c r="B698">
        <v>7001702</v>
      </c>
    </row>
    <row r="699" spans="1:2" x14ac:dyDescent="0.4">
      <c r="A699" s="4">
        <v>200</v>
      </c>
      <c r="B699">
        <v>7001800</v>
      </c>
    </row>
    <row r="700" spans="1:2" x14ac:dyDescent="0.4">
      <c r="A700" s="4">
        <v>200</v>
      </c>
      <c r="B700">
        <v>7001801</v>
      </c>
    </row>
    <row r="701" spans="1:2" x14ac:dyDescent="0.4">
      <c r="A701" s="4">
        <v>200</v>
      </c>
      <c r="B701">
        <v>7001802</v>
      </c>
    </row>
    <row r="702" spans="1:2" x14ac:dyDescent="0.4">
      <c r="A702" s="4">
        <v>200</v>
      </c>
      <c r="B702">
        <v>7002600</v>
      </c>
    </row>
    <row r="703" spans="1:2" x14ac:dyDescent="0.4">
      <c r="A703" s="4">
        <v>200</v>
      </c>
      <c r="B703">
        <v>7002700</v>
      </c>
    </row>
    <row r="704" spans="1:2" x14ac:dyDescent="0.4">
      <c r="A704" s="4">
        <v>200</v>
      </c>
      <c r="B704">
        <v>7002800</v>
      </c>
    </row>
    <row r="705" spans="1:2" x14ac:dyDescent="0.4">
      <c r="A705" s="4">
        <v>200</v>
      </c>
      <c r="B705">
        <v>7002900</v>
      </c>
    </row>
    <row r="706" spans="1:2" x14ac:dyDescent="0.4">
      <c r="A706" s="4">
        <v>200</v>
      </c>
      <c r="B706">
        <v>7003000</v>
      </c>
    </row>
    <row r="707" spans="1:2" x14ac:dyDescent="0.4">
      <c r="A707" s="4">
        <v>200</v>
      </c>
      <c r="B707">
        <v>7003100</v>
      </c>
    </row>
    <row r="708" spans="1:2" x14ac:dyDescent="0.4">
      <c r="A708" s="4">
        <v>200</v>
      </c>
      <c r="B708">
        <v>7003200</v>
      </c>
    </row>
    <row r="709" spans="1:2" x14ac:dyDescent="0.4">
      <c r="A709" s="4">
        <v>200</v>
      </c>
      <c r="B709">
        <v>7003300</v>
      </c>
    </row>
    <row r="710" spans="1:2" x14ac:dyDescent="0.4">
      <c r="A710" s="4">
        <v>200</v>
      </c>
      <c r="B710">
        <v>7003400</v>
      </c>
    </row>
    <row r="711" spans="1:2" x14ac:dyDescent="0.4">
      <c r="A711" s="4">
        <v>200</v>
      </c>
      <c r="B711">
        <v>7003500</v>
      </c>
    </row>
    <row r="712" spans="1:2" x14ac:dyDescent="0.4">
      <c r="A712" s="4">
        <v>200</v>
      </c>
      <c r="B712">
        <v>7003600</v>
      </c>
    </row>
    <row r="713" spans="1:2" x14ac:dyDescent="0.4">
      <c r="A713" s="4">
        <v>200</v>
      </c>
      <c r="B713">
        <v>7005600</v>
      </c>
    </row>
    <row r="714" spans="1:2" x14ac:dyDescent="0.4">
      <c r="A714" s="4">
        <v>200</v>
      </c>
      <c r="B714">
        <v>7006000</v>
      </c>
    </row>
    <row r="715" spans="1:2" x14ac:dyDescent="0.4">
      <c r="A715" s="4">
        <v>200</v>
      </c>
      <c r="B715">
        <v>7006100</v>
      </c>
    </row>
    <row r="716" spans="1:2" x14ac:dyDescent="0.4">
      <c r="A716" s="4">
        <v>200</v>
      </c>
      <c r="B716">
        <v>7010200</v>
      </c>
    </row>
    <row r="717" spans="1:2" x14ac:dyDescent="0.4">
      <c r="A717" s="4">
        <v>200</v>
      </c>
      <c r="B717">
        <v>7010500</v>
      </c>
    </row>
    <row r="718" spans="1:2" x14ac:dyDescent="0.4">
      <c r="A718" s="4">
        <v>200</v>
      </c>
      <c r="B718">
        <v>7010700</v>
      </c>
    </row>
    <row r="719" spans="1:2" x14ac:dyDescent="0.4">
      <c r="A719" s="4">
        <v>200</v>
      </c>
      <c r="B719">
        <v>7010900</v>
      </c>
    </row>
    <row r="720" spans="1:2" x14ac:dyDescent="0.4">
      <c r="A720" s="4">
        <v>200</v>
      </c>
      <c r="B720">
        <v>7011000</v>
      </c>
    </row>
    <row r="721" spans="1:2" x14ac:dyDescent="0.4">
      <c r="A721" s="4">
        <v>200</v>
      </c>
      <c r="B721">
        <v>7011200</v>
      </c>
    </row>
    <row r="722" spans="1:2" x14ac:dyDescent="0.4">
      <c r="A722" s="4">
        <v>200</v>
      </c>
      <c r="B722">
        <v>7011600</v>
      </c>
    </row>
    <row r="723" spans="1:2" x14ac:dyDescent="0.4">
      <c r="A723" s="4">
        <v>200</v>
      </c>
      <c r="B723">
        <v>7011700</v>
      </c>
    </row>
    <row r="724" spans="1:2" x14ac:dyDescent="0.4">
      <c r="A724" s="4">
        <v>200</v>
      </c>
      <c r="B724">
        <v>7012000</v>
      </c>
    </row>
    <row r="725" spans="1:2" x14ac:dyDescent="0.4">
      <c r="A725" s="4">
        <v>200</v>
      </c>
      <c r="B725">
        <v>7012200</v>
      </c>
    </row>
    <row r="726" spans="1:2" x14ac:dyDescent="0.4">
      <c r="A726" s="4">
        <v>200</v>
      </c>
      <c r="B726">
        <v>7012300</v>
      </c>
    </row>
    <row r="727" spans="1:2" x14ac:dyDescent="0.4">
      <c r="A727" s="4">
        <v>200</v>
      </c>
      <c r="B727">
        <v>7020000</v>
      </c>
    </row>
    <row r="728" spans="1:2" x14ac:dyDescent="0.4">
      <c r="A728" s="4">
        <v>200</v>
      </c>
      <c r="B728">
        <v>7030000</v>
      </c>
    </row>
    <row r="729" spans="1:2" x14ac:dyDescent="0.4">
      <c r="A729" s="4">
        <v>200</v>
      </c>
      <c r="B729">
        <v>7030200</v>
      </c>
    </row>
    <row r="730" spans="1:2" x14ac:dyDescent="0.4">
      <c r="A730" s="4">
        <v>200</v>
      </c>
      <c r="B730">
        <v>7030600</v>
      </c>
    </row>
    <row r="731" spans="1:2" x14ac:dyDescent="0.4">
      <c r="A731" s="4">
        <v>200</v>
      </c>
      <c r="B731">
        <v>7030700</v>
      </c>
    </row>
    <row r="732" spans="1:2" x14ac:dyDescent="0.4">
      <c r="A732" s="4">
        <v>200</v>
      </c>
      <c r="B732">
        <v>7030800</v>
      </c>
    </row>
    <row r="733" spans="1:2" x14ac:dyDescent="0.4">
      <c r="A733" s="4">
        <v>200</v>
      </c>
      <c r="B733">
        <v>7030900</v>
      </c>
    </row>
    <row r="734" spans="1:2" x14ac:dyDescent="0.4">
      <c r="A734" s="4">
        <v>200</v>
      </c>
      <c r="B734">
        <v>7031200</v>
      </c>
    </row>
    <row r="735" spans="1:2" x14ac:dyDescent="0.4">
      <c r="A735" s="4">
        <v>200</v>
      </c>
      <c r="B735">
        <v>7031300</v>
      </c>
    </row>
    <row r="736" spans="1:2" x14ac:dyDescent="0.4">
      <c r="A736" s="4">
        <v>200</v>
      </c>
      <c r="B736">
        <v>7031800</v>
      </c>
    </row>
    <row r="737" spans="1:2" x14ac:dyDescent="0.4">
      <c r="A737" s="4">
        <v>200</v>
      </c>
      <c r="B737">
        <v>7031900</v>
      </c>
    </row>
    <row r="738" spans="1:2" x14ac:dyDescent="0.4">
      <c r="A738" s="4">
        <v>200</v>
      </c>
      <c r="B738">
        <v>7032200</v>
      </c>
    </row>
    <row r="739" spans="1:2" x14ac:dyDescent="0.4">
      <c r="A739" s="4">
        <v>200</v>
      </c>
      <c r="B739">
        <v>7032400</v>
      </c>
    </row>
    <row r="740" spans="1:2" x14ac:dyDescent="0.4">
      <c r="A740" s="4">
        <v>200</v>
      </c>
      <c r="B740">
        <v>7032700</v>
      </c>
    </row>
    <row r="741" spans="1:2" x14ac:dyDescent="0.4">
      <c r="A741" s="4">
        <v>200</v>
      </c>
      <c r="B741">
        <v>7032800</v>
      </c>
    </row>
    <row r="742" spans="1:2" x14ac:dyDescent="0.4">
      <c r="A742" s="4">
        <v>200</v>
      </c>
      <c r="B742">
        <v>7032900</v>
      </c>
    </row>
    <row r="743" spans="1:2" x14ac:dyDescent="0.4">
      <c r="A743" s="4">
        <v>200</v>
      </c>
      <c r="B743">
        <v>7033200</v>
      </c>
    </row>
    <row r="744" spans="1:2" x14ac:dyDescent="0.4">
      <c r="A744" s="4">
        <v>200</v>
      </c>
      <c r="B744">
        <v>7033400</v>
      </c>
    </row>
    <row r="745" spans="1:2" x14ac:dyDescent="0.4">
      <c r="A745" s="4">
        <v>200</v>
      </c>
      <c r="B745">
        <v>7034100</v>
      </c>
    </row>
    <row r="746" spans="1:2" x14ac:dyDescent="0.4">
      <c r="A746" s="4">
        <v>200</v>
      </c>
      <c r="B746">
        <v>7034400</v>
      </c>
    </row>
    <row r="747" spans="1:2" x14ac:dyDescent="0.4">
      <c r="A747" s="4">
        <v>200</v>
      </c>
      <c r="B747">
        <v>7034500</v>
      </c>
    </row>
    <row r="748" spans="1:2" x14ac:dyDescent="0.4">
      <c r="A748" s="4">
        <v>200</v>
      </c>
      <c r="B748">
        <v>7034600</v>
      </c>
    </row>
    <row r="749" spans="1:2" x14ac:dyDescent="0.4">
      <c r="A749" s="4">
        <v>200</v>
      </c>
      <c r="B749">
        <v>7034700</v>
      </c>
    </row>
    <row r="750" spans="1:2" x14ac:dyDescent="0.4">
      <c r="A750" s="4">
        <v>200</v>
      </c>
      <c r="B750">
        <v>7035100</v>
      </c>
    </row>
    <row r="751" spans="1:2" x14ac:dyDescent="0.4">
      <c r="A751" s="4">
        <v>200</v>
      </c>
      <c r="B751">
        <v>7036100</v>
      </c>
    </row>
    <row r="752" spans="1:2" x14ac:dyDescent="0.4">
      <c r="A752" s="4">
        <v>200</v>
      </c>
      <c r="B752">
        <v>7040000</v>
      </c>
    </row>
    <row r="753" spans="1:2" x14ac:dyDescent="0.4">
      <c r="A753" s="4">
        <v>200</v>
      </c>
      <c r="B753">
        <v>7040100</v>
      </c>
    </row>
    <row r="754" spans="1:2" x14ac:dyDescent="0.4">
      <c r="A754" s="4">
        <v>200</v>
      </c>
      <c r="B754">
        <v>7040200</v>
      </c>
    </row>
    <row r="755" spans="1:2" x14ac:dyDescent="0.4">
      <c r="A755" s="4">
        <v>200</v>
      </c>
      <c r="B755">
        <v>7040300</v>
      </c>
    </row>
    <row r="756" spans="1:2" x14ac:dyDescent="0.4">
      <c r="A756" s="4">
        <v>200</v>
      </c>
      <c r="B756">
        <v>7040400</v>
      </c>
    </row>
    <row r="757" spans="1:2" x14ac:dyDescent="0.4">
      <c r="A757" s="4">
        <v>200</v>
      </c>
      <c r="B757">
        <v>7040500</v>
      </c>
    </row>
    <row r="758" spans="1:2" x14ac:dyDescent="0.4">
      <c r="A758" s="4">
        <v>200</v>
      </c>
      <c r="B758">
        <v>7043000</v>
      </c>
    </row>
    <row r="759" spans="1:2" x14ac:dyDescent="0.4">
      <c r="A759" s="4">
        <v>200</v>
      </c>
      <c r="B759">
        <v>7043100</v>
      </c>
    </row>
    <row r="760" spans="1:2" x14ac:dyDescent="0.4">
      <c r="A760" s="4">
        <v>200</v>
      </c>
      <c r="B760">
        <v>7043200</v>
      </c>
    </row>
    <row r="761" spans="1:2" x14ac:dyDescent="0.4">
      <c r="A761" s="4">
        <v>200</v>
      </c>
      <c r="B761">
        <v>7043300</v>
      </c>
    </row>
    <row r="762" spans="1:2" x14ac:dyDescent="0.4">
      <c r="A762" s="4">
        <v>200</v>
      </c>
      <c r="B762">
        <v>7043400</v>
      </c>
    </row>
    <row r="763" spans="1:2" x14ac:dyDescent="0.4">
      <c r="A763" s="4">
        <v>200</v>
      </c>
      <c r="B763">
        <v>7043500</v>
      </c>
    </row>
    <row r="764" spans="1:2" x14ac:dyDescent="0.4">
      <c r="A764" s="4">
        <v>200</v>
      </c>
      <c r="B764">
        <v>7043600</v>
      </c>
    </row>
    <row r="765" spans="1:2" x14ac:dyDescent="0.4">
      <c r="A765" s="4">
        <v>200</v>
      </c>
      <c r="B765">
        <v>7043700</v>
      </c>
    </row>
    <row r="766" spans="1:2" x14ac:dyDescent="0.4">
      <c r="A766" s="4">
        <v>200</v>
      </c>
      <c r="B766">
        <v>7043800</v>
      </c>
    </row>
    <row r="767" spans="1:2" x14ac:dyDescent="0.4">
      <c r="A767" s="4">
        <v>200</v>
      </c>
      <c r="B767">
        <v>7044000</v>
      </c>
    </row>
    <row r="768" spans="1:2" x14ac:dyDescent="0.4">
      <c r="A768" s="4">
        <v>200</v>
      </c>
      <c r="B768">
        <v>7044100</v>
      </c>
    </row>
    <row r="769" spans="1:2" x14ac:dyDescent="0.4">
      <c r="A769" s="4">
        <v>200</v>
      </c>
      <c r="B769">
        <v>7044200</v>
      </c>
    </row>
    <row r="770" spans="1:2" x14ac:dyDescent="0.4">
      <c r="A770" s="4">
        <v>200</v>
      </c>
      <c r="B770">
        <v>7044300</v>
      </c>
    </row>
    <row r="771" spans="1:2" x14ac:dyDescent="0.4">
      <c r="A771" s="4">
        <v>200</v>
      </c>
      <c r="B771">
        <v>7044400</v>
      </c>
    </row>
    <row r="772" spans="1:2" x14ac:dyDescent="0.4">
      <c r="A772" s="4">
        <v>200</v>
      </c>
      <c r="B772">
        <v>7044500</v>
      </c>
    </row>
    <row r="773" spans="1:2" x14ac:dyDescent="0.4">
      <c r="A773" s="4">
        <v>200</v>
      </c>
      <c r="B773">
        <v>7044600</v>
      </c>
    </row>
    <row r="774" spans="1:2" x14ac:dyDescent="0.4">
      <c r="A774" s="4">
        <v>200</v>
      </c>
      <c r="B774">
        <v>7050000</v>
      </c>
    </row>
    <row r="775" spans="1:2" x14ac:dyDescent="0.4">
      <c r="A775" s="4">
        <v>200</v>
      </c>
      <c r="B775">
        <v>7050100</v>
      </c>
    </row>
    <row r="776" spans="1:2" x14ac:dyDescent="0.4">
      <c r="A776" s="4">
        <v>200</v>
      </c>
      <c r="B776">
        <v>7060000</v>
      </c>
    </row>
    <row r="777" spans="1:2" x14ac:dyDescent="0.4">
      <c r="A777" s="4">
        <v>200</v>
      </c>
      <c r="B777">
        <v>7060100</v>
      </c>
    </row>
    <row r="778" spans="1:2" x14ac:dyDescent="0.4">
      <c r="A778" s="4">
        <v>200</v>
      </c>
      <c r="B778">
        <v>7060200</v>
      </c>
    </row>
    <row r="779" spans="1:2" x14ac:dyDescent="0.4">
      <c r="A779" s="4">
        <v>200</v>
      </c>
      <c r="B779">
        <v>7070000</v>
      </c>
    </row>
    <row r="780" spans="1:2" x14ac:dyDescent="0.4">
      <c r="A780" s="4">
        <v>200</v>
      </c>
      <c r="B780">
        <v>7080000</v>
      </c>
    </row>
    <row r="781" spans="1:2" x14ac:dyDescent="0.4">
      <c r="A781" s="4">
        <v>200</v>
      </c>
      <c r="B781">
        <v>7080100</v>
      </c>
    </row>
    <row r="782" spans="1:2" x14ac:dyDescent="0.4">
      <c r="A782" s="4">
        <v>200</v>
      </c>
      <c r="B782">
        <v>7080200</v>
      </c>
    </row>
    <row r="783" spans="1:2" x14ac:dyDescent="0.4">
      <c r="A783" s="4">
        <v>200</v>
      </c>
      <c r="B783">
        <v>7080300</v>
      </c>
    </row>
    <row r="784" spans="1:2" x14ac:dyDescent="0.4">
      <c r="A784" s="4">
        <v>200</v>
      </c>
      <c r="B784">
        <v>7080400</v>
      </c>
    </row>
    <row r="785" spans="1:2" x14ac:dyDescent="0.4">
      <c r="A785" s="4">
        <v>200</v>
      </c>
      <c r="B785">
        <v>7080500</v>
      </c>
    </row>
    <row r="786" spans="1:2" x14ac:dyDescent="0.4">
      <c r="A786" s="4">
        <v>200</v>
      </c>
      <c r="B786">
        <v>7080600</v>
      </c>
    </row>
    <row r="787" spans="1:2" x14ac:dyDescent="0.4">
      <c r="A787" s="4">
        <v>200</v>
      </c>
      <c r="B787">
        <v>7080700</v>
      </c>
    </row>
    <row r="788" spans="1:2" x14ac:dyDescent="0.4">
      <c r="A788" s="4">
        <v>200</v>
      </c>
      <c r="B788">
        <v>7080800</v>
      </c>
    </row>
    <row r="789" spans="1:2" x14ac:dyDescent="0.4">
      <c r="A789" s="4">
        <v>200</v>
      </c>
      <c r="B789">
        <v>7080900</v>
      </c>
    </row>
    <row r="790" spans="1:2" x14ac:dyDescent="0.4">
      <c r="A790" s="4">
        <v>200</v>
      </c>
      <c r="B790">
        <v>7081000</v>
      </c>
    </row>
    <row r="791" spans="1:2" x14ac:dyDescent="0.4">
      <c r="A791" s="4">
        <v>200</v>
      </c>
      <c r="B791">
        <v>7081100</v>
      </c>
    </row>
    <row r="792" spans="1:2" x14ac:dyDescent="0.4">
      <c r="A792" s="4">
        <v>200</v>
      </c>
      <c r="B792">
        <v>7081200</v>
      </c>
    </row>
    <row r="793" spans="1:2" x14ac:dyDescent="0.4">
      <c r="A793" s="4">
        <v>200</v>
      </c>
      <c r="B793">
        <v>7081300</v>
      </c>
    </row>
    <row r="794" spans="1:2" x14ac:dyDescent="0.4">
      <c r="A794" s="4">
        <v>200</v>
      </c>
      <c r="B794">
        <v>7081400</v>
      </c>
    </row>
    <row r="795" spans="1:2" x14ac:dyDescent="0.4">
      <c r="A795" s="4">
        <v>200</v>
      </c>
      <c r="B795">
        <v>7081500</v>
      </c>
    </row>
    <row r="796" spans="1:2" x14ac:dyDescent="0.4">
      <c r="A796" s="4">
        <v>200</v>
      </c>
      <c r="B796">
        <v>7081700</v>
      </c>
    </row>
    <row r="797" spans="1:2" x14ac:dyDescent="0.4">
      <c r="A797" s="4">
        <v>200</v>
      </c>
      <c r="B797">
        <v>7081800</v>
      </c>
    </row>
    <row r="798" spans="1:2" x14ac:dyDescent="0.4">
      <c r="A798" s="4">
        <v>200</v>
      </c>
      <c r="B798">
        <v>7081900</v>
      </c>
    </row>
    <row r="799" spans="1:2" x14ac:dyDescent="0.4">
      <c r="A799" s="4">
        <v>200</v>
      </c>
      <c r="B799">
        <v>7082000</v>
      </c>
    </row>
    <row r="800" spans="1:2" x14ac:dyDescent="0.4">
      <c r="A800" s="4">
        <v>200</v>
      </c>
      <c r="B800">
        <v>7082100</v>
      </c>
    </row>
    <row r="801" spans="1:2" x14ac:dyDescent="0.4">
      <c r="A801" s="4">
        <v>200</v>
      </c>
      <c r="B801">
        <v>7082200</v>
      </c>
    </row>
    <row r="802" spans="1:2" x14ac:dyDescent="0.4">
      <c r="A802" s="4">
        <v>200</v>
      </c>
      <c r="B802">
        <v>7082300</v>
      </c>
    </row>
    <row r="803" spans="1:2" x14ac:dyDescent="0.4">
      <c r="A803" s="4">
        <v>200</v>
      </c>
      <c r="B803">
        <v>7082400</v>
      </c>
    </row>
    <row r="804" spans="1:2" x14ac:dyDescent="0.4">
      <c r="A804" s="4">
        <v>200</v>
      </c>
      <c r="B804">
        <v>7082500</v>
      </c>
    </row>
    <row r="805" spans="1:2" x14ac:dyDescent="0.4">
      <c r="A805" s="4">
        <v>200</v>
      </c>
      <c r="B805">
        <v>7082600</v>
      </c>
    </row>
    <row r="806" spans="1:2" x14ac:dyDescent="0.4">
      <c r="A806" s="4">
        <v>200</v>
      </c>
      <c r="B806">
        <v>7082700</v>
      </c>
    </row>
    <row r="807" spans="1:2" x14ac:dyDescent="0.4">
      <c r="A807" s="4">
        <v>200</v>
      </c>
      <c r="B807">
        <v>7082800</v>
      </c>
    </row>
    <row r="808" spans="1:2" x14ac:dyDescent="0.4">
      <c r="A808" s="4">
        <v>200</v>
      </c>
      <c r="B808">
        <v>7082900</v>
      </c>
    </row>
    <row r="809" spans="1:2" x14ac:dyDescent="0.4">
      <c r="A809" s="4">
        <v>200</v>
      </c>
      <c r="B809">
        <v>7090000</v>
      </c>
    </row>
    <row r="810" spans="1:2" x14ac:dyDescent="0.4">
      <c r="A810" s="4">
        <v>200</v>
      </c>
      <c r="B810">
        <v>7090100</v>
      </c>
    </row>
    <row r="811" spans="1:2" x14ac:dyDescent="0.4">
      <c r="A811" s="4">
        <v>200</v>
      </c>
      <c r="B811">
        <v>7090300</v>
      </c>
    </row>
    <row r="812" spans="1:2" x14ac:dyDescent="0.4">
      <c r="A812" s="4">
        <v>200</v>
      </c>
      <c r="B812">
        <v>7100100</v>
      </c>
    </row>
    <row r="813" spans="1:2" x14ac:dyDescent="0.4">
      <c r="A813" s="4">
        <v>200</v>
      </c>
      <c r="B813">
        <v>7110000</v>
      </c>
    </row>
    <row r="814" spans="1:2" x14ac:dyDescent="0.4">
      <c r="A814" s="4">
        <v>200</v>
      </c>
      <c r="B814">
        <v>7120000</v>
      </c>
    </row>
    <row r="815" spans="1:2" x14ac:dyDescent="0.4">
      <c r="A815" s="4">
        <v>200</v>
      </c>
      <c r="B815">
        <v>7120100</v>
      </c>
    </row>
    <row r="816" spans="1:2" x14ac:dyDescent="0.4">
      <c r="A816" s="4">
        <v>200</v>
      </c>
      <c r="B816">
        <v>7120200</v>
      </c>
    </row>
    <row r="817" spans="1:2" x14ac:dyDescent="0.4">
      <c r="A817" s="4">
        <v>200</v>
      </c>
      <c r="B817">
        <v>7120300</v>
      </c>
    </row>
    <row r="818" spans="1:2" x14ac:dyDescent="0.4">
      <c r="A818" s="4">
        <v>200</v>
      </c>
      <c r="B818">
        <v>7120400</v>
      </c>
    </row>
    <row r="819" spans="1:2" x14ac:dyDescent="0.4">
      <c r="A819" s="4">
        <v>200</v>
      </c>
      <c r="B819">
        <v>7120500</v>
      </c>
    </row>
    <row r="820" spans="1:2" x14ac:dyDescent="0.4">
      <c r="A820" s="4">
        <v>200</v>
      </c>
      <c r="B820">
        <v>7120600</v>
      </c>
    </row>
    <row r="821" spans="1:2" x14ac:dyDescent="0.4">
      <c r="A821" s="4">
        <v>200</v>
      </c>
      <c r="B821">
        <v>7120900</v>
      </c>
    </row>
    <row r="822" spans="1:2" x14ac:dyDescent="0.4">
      <c r="A822" s="4">
        <v>200</v>
      </c>
      <c r="B822">
        <v>7121000</v>
      </c>
    </row>
    <row r="823" spans="1:2" x14ac:dyDescent="0.4">
      <c r="A823" s="4">
        <v>200</v>
      </c>
      <c r="B823">
        <v>7121100</v>
      </c>
    </row>
    <row r="824" spans="1:2" x14ac:dyDescent="0.4">
      <c r="A824" s="4">
        <v>200</v>
      </c>
      <c r="B824">
        <v>7121200</v>
      </c>
    </row>
    <row r="825" spans="1:2" x14ac:dyDescent="0.4">
      <c r="A825" s="4">
        <v>200</v>
      </c>
      <c r="B825">
        <v>7121300</v>
      </c>
    </row>
    <row r="826" spans="1:2" x14ac:dyDescent="0.4">
      <c r="A826" s="4">
        <v>200</v>
      </c>
      <c r="B826">
        <v>7121400</v>
      </c>
    </row>
    <row r="827" spans="1:2" x14ac:dyDescent="0.4">
      <c r="A827" s="4">
        <v>200</v>
      </c>
      <c r="B827">
        <v>7121500</v>
      </c>
    </row>
    <row r="828" spans="1:2" x14ac:dyDescent="0.4">
      <c r="A828" s="4">
        <v>200</v>
      </c>
      <c r="B828">
        <v>7121600</v>
      </c>
    </row>
    <row r="829" spans="1:2" x14ac:dyDescent="0.4">
      <c r="A829" s="4">
        <v>200</v>
      </c>
      <c r="B829">
        <v>7121700</v>
      </c>
    </row>
    <row r="830" spans="1:2" x14ac:dyDescent="0.4">
      <c r="A830" s="4">
        <v>200</v>
      </c>
      <c r="B830">
        <v>7121800</v>
      </c>
    </row>
    <row r="831" spans="1:2" x14ac:dyDescent="0.4">
      <c r="A831" s="4">
        <v>200</v>
      </c>
      <c r="B831">
        <v>7121900</v>
      </c>
    </row>
    <row r="832" spans="1:2" x14ac:dyDescent="0.4">
      <c r="A832" s="4">
        <v>200</v>
      </c>
      <c r="B832">
        <v>7122000</v>
      </c>
    </row>
    <row r="833" spans="1:2" x14ac:dyDescent="0.4">
      <c r="A833" s="4">
        <v>200</v>
      </c>
      <c r="B833">
        <v>7122100</v>
      </c>
    </row>
    <row r="834" spans="1:2" x14ac:dyDescent="0.4">
      <c r="A834" s="4">
        <v>200</v>
      </c>
      <c r="B834">
        <v>7122200</v>
      </c>
    </row>
    <row r="835" spans="1:2" x14ac:dyDescent="0.4">
      <c r="A835" s="4">
        <v>200</v>
      </c>
      <c r="B835">
        <v>7122300</v>
      </c>
    </row>
    <row r="836" spans="1:2" x14ac:dyDescent="0.4">
      <c r="A836" s="4">
        <v>200</v>
      </c>
      <c r="B836">
        <v>7122400</v>
      </c>
    </row>
    <row r="837" spans="1:2" x14ac:dyDescent="0.4">
      <c r="A837" s="4">
        <v>200</v>
      </c>
      <c r="B837">
        <v>7122500</v>
      </c>
    </row>
    <row r="838" spans="1:2" x14ac:dyDescent="0.4">
      <c r="A838" s="4">
        <v>200</v>
      </c>
      <c r="B838">
        <v>7122600</v>
      </c>
    </row>
    <row r="839" spans="1:2" x14ac:dyDescent="0.4">
      <c r="A839" s="4">
        <v>200</v>
      </c>
      <c r="B839">
        <v>7122700</v>
      </c>
    </row>
    <row r="840" spans="1:2" x14ac:dyDescent="0.4">
      <c r="A840" s="4">
        <v>200</v>
      </c>
      <c r="B840">
        <v>7122800</v>
      </c>
    </row>
    <row r="841" spans="1:2" x14ac:dyDescent="0.4">
      <c r="A841" s="4">
        <v>200</v>
      </c>
      <c r="B841">
        <v>7122900</v>
      </c>
    </row>
    <row r="842" spans="1:2" x14ac:dyDescent="0.4">
      <c r="A842" s="4">
        <v>200</v>
      </c>
      <c r="B842">
        <v>7123000</v>
      </c>
    </row>
    <row r="843" spans="1:2" x14ac:dyDescent="0.4">
      <c r="A843" s="4">
        <v>200</v>
      </c>
      <c r="B843">
        <v>7123100</v>
      </c>
    </row>
    <row r="844" spans="1:2" x14ac:dyDescent="0.4">
      <c r="A844" s="4">
        <v>200</v>
      </c>
      <c r="B844">
        <v>7123200</v>
      </c>
    </row>
    <row r="845" spans="1:2" x14ac:dyDescent="0.4">
      <c r="A845" s="4">
        <v>200</v>
      </c>
      <c r="B845">
        <v>7123300</v>
      </c>
    </row>
    <row r="846" spans="1:2" x14ac:dyDescent="0.4">
      <c r="A846" s="4">
        <v>200</v>
      </c>
      <c r="B846">
        <v>7123400</v>
      </c>
    </row>
    <row r="847" spans="1:2" x14ac:dyDescent="0.4">
      <c r="A847" s="4">
        <v>200</v>
      </c>
      <c r="B847">
        <v>7123500</v>
      </c>
    </row>
    <row r="848" spans="1:2" x14ac:dyDescent="0.4">
      <c r="A848" s="4">
        <v>200</v>
      </c>
      <c r="B848">
        <v>7123600</v>
      </c>
    </row>
    <row r="849" spans="1:2" x14ac:dyDescent="0.4">
      <c r="A849" s="4">
        <v>200</v>
      </c>
      <c r="B849">
        <v>7123700</v>
      </c>
    </row>
    <row r="850" spans="1:2" x14ac:dyDescent="0.4">
      <c r="A850" s="4">
        <v>200</v>
      </c>
      <c r="B850">
        <v>7123800</v>
      </c>
    </row>
    <row r="851" spans="1:2" x14ac:dyDescent="0.4">
      <c r="A851" s="4">
        <v>200</v>
      </c>
      <c r="B851">
        <v>7123900</v>
      </c>
    </row>
    <row r="852" spans="1:2" x14ac:dyDescent="0.4">
      <c r="A852" s="4">
        <v>200</v>
      </c>
      <c r="B852">
        <v>7124000</v>
      </c>
    </row>
    <row r="853" spans="1:2" x14ac:dyDescent="0.4">
      <c r="A853" s="4">
        <v>200</v>
      </c>
      <c r="B853">
        <v>7124100</v>
      </c>
    </row>
    <row r="854" spans="1:2" x14ac:dyDescent="0.4">
      <c r="A854" s="4">
        <v>200</v>
      </c>
      <c r="B854">
        <v>7124300</v>
      </c>
    </row>
    <row r="855" spans="1:2" x14ac:dyDescent="0.4">
      <c r="A855" s="4">
        <v>200</v>
      </c>
      <c r="B855">
        <v>7124400</v>
      </c>
    </row>
    <row r="856" spans="1:2" x14ac:dyDescent="0.4">
      <c r="A856" s="4">
        <v>200</v>
      </c>
      <c r="B856">
        <v>7124500</v>
      </c>
    </row>
    <row r="857" spans="1:2" x14ac:dyDescent="0.4">
      <c r="A857" s="4">
        <v>200</v>
      </c>
      <c r="B857">
        <v>7124600</v>
      </c>
    </row>
    <row r="858" spans="1:2" x14ac:dyDescent="0.4">
      <c r="A858" s="4">
        <v>200</v>
      </c>
      <c r="B858">
        <v>7124700</v>
      </c>
    </row>
    <row r="859" spans="1:2" x14ac:dyDescent="0.4">
      <c r="A859" s="4">
        <v>200</v>
      </c>
      <c r="B859">
        <v>7126000</v>
      </c>
    </row>
    <row r="860" spans="1:2" x14ac:dyDescent="0.4">
      <c r="A860" s="4">
        <v>200</v>
      </c>
      <c r="B860">
        <v>7150000</v>
      </c>
    </row>
    <row r="861" spans="1:2" x14ac:dyDescent="0.4">
      <c r="A861" s="4">
        <v>200</v>
      </c>
      <c r="B861">
        <v>7160000</v>
      </c>
    </row>
    <row r="862" spans="1:2" x14ac:dyDescent="0.4">
      <c r="A862" s="4">
        <v>200</v>
      </c>
      <c r="B862">
        <v>7220000</v>
      </c>
    </row>
    <row r="863" spans="1:2" x14ac:dyDescent="0.4">
      <c r="A863" s="4">
        <v>200</v>
      </c>
      <c r="B863">
        <v>7230000</v>
      </c>
    </row>
    <row r="864" spans="1:2" x14ac:dyDescent="0.4">
      <c r="A864" s="4">
        <v>200</v>
      </c>
      <c r="B864">
        <v>7240000</v>
      </c>
    </row>
    <row r="865" spans="1:2" x14ac:dyDescent="0.4">
      <c r="A865" s="4">
        <v>200</v>
      </c>
      <c r="B865">
        <v>7260000</v>
      </c>
    </row>
    <row r="866" spans="1:2" x14ac:dyDescent="0.4">
      <c r="A866" s="4">
        <v>200</v>
      </c>
      <c r="B866">
        <v>7260300</v>
      </c>
    </row>
    <row r="867" spans="1:2" x14ac:dyDescent="0.4">
      <c r="A867" s="4">
        <v>200</v>
      </c>
      <c r="B867">
        <v>7260400</v>
      </c>
    </row>
    <row r="868" spans="1:2" x14ac:dyDescent="0.4">
      <c r="A868" s="4">
        <v>200</v>
      </c>
      <c r="B868">
        <v>7270100</v>
      </c>
    </row>
    <row r="869" spans="1:2" x14ac:dyDescent="0.4">
      <c r="A869" s="4">
        <v>200</v>
      </c>
      <c r="B869">
        <v>7280000</v>
      </c>
    </row>
    <row r="870" spans="1:2" x14ac:dyDescent="0.4">
      <c r="A870" s="4">
        <v>200</v>
      </c>
      <c r="B870">
        <v>7290000</v>
      </c>
    </row>
    <row r="871" spans="1:2" x14ac:dyDescent="0.4">
      <c r="A871" s="4">
        <v>200</v>
      </c>
      <c r="B871">
        <v>7310000</v>
      </c>
    </row>
    <row r="872" spans="1:2" x14ac:dyDescent="0.4">
      <c r="A872" s="4">
        <v>200</v>
      </c>
      <c r="B872">
        <v>7330000</v>
      </c>
    </row>
    <row r="873" spans="1:2" x14ac:dyDescent="0.4">
      <c r="A873" s="4">
        <v>200</v>
      </c>
      <c r="B873">
        <v>7330100</v>
      </c>
    </row>
    <row r="874" spans="1:2" x14ac:dyDescent="0.4">
      <c r="A874" s="4">
        <v>200</v>
      </c>
      <c r="B874">
        <v>7330200</v>
      </c>
    </row>
    <row r="875" spans="1:2" x14ac:dyDescent="0.4">
      <c r="A875" s="4">
        <v>200</v>
      </c>
      <c r="B875">
        <v>7330300</v>
      </c>
    </row>
    <row r="876" spans="1:2" x14ac:dyDescent="0.4">
      <c r="A876" s="4">
        <v>200</v>
      </c>
      <c r="B876">
        <v>7330400</v>
      </c>
    </row>
    <row r="877" spans="1:2" x14ac:dyDescent="0.4">
      <c r="A877" s="4">
        <v>200</v>
      </c>
      <c r="B877">
        <v>7330500</v>
      </c>
    </row>
    <row r="878" spans="1:2" x14ac:dyDescent="0.4">
      <c r="A878" s="4">
        <v>200</v>
      </c>
      <c r="B878">
        <v>7330600</v>
      </c>
    </row>
    <row r="879" spans="1:2" x14ac:dyDescent="0.4">
      <c r="A879" s="4">
        <v>200</v>
      </c>
      <c r="B879">
        <v>7330700</v>
      </c>
    </row>
    <row r="880" spans="1:2" x14ac:dyDescent="0.4">
      <c r="A880" s="4">
        <v>200</v>
      </c>
      <c r="B880">
        <v>7330800</v>
      </c>
    </row>
    <row r="881" spans="1:2" x14ac:dyDescent="0.4">
      <c r="A881" s="4">
        <v>200</v>
      </c>
      <c r="B881">
        <v>7330900</v>
      </c>
    </row>
    <row r="882" spans="1:2" x14ac:dyDescent="0.4">
      <c r="A882" s="4">
        <v>200</v>
      </c>
      <c r="B882">
        <v>7331000</v>
      </c>
    </row>
    <row r="883" spans="1:2" x14ac:dyDescent="0.4">
      <c r="A883" s="4">
        <v>200</v>
      </c>
      <c r="B883">
        <v>7331100</v>
      </c>
    </row>
    <row r="884" spans="1:2" x14ac:dyDescent="0.4">
      <c r="A884" s="4">
        <v>200</v>
      </c>
      <c r="B884">
        <v>7331200</v>
      </c>
    </row>
    <row r="885" spans="1:2" x14ac:dyDescent="0.4">
      <c r="A885" s="4">
        <v>200</v>
      </c>
      <c r="B885">
        <v>7331300</v>
      </c>
    </row>
    <row r="886" spans="1:2" x14ac:dyDescent="0.4">
      <c r="A886" s="4">
        <v>200</v>
      </c>
      <c r="B886">
        <v>7331400</v>
      </c>
    </row>
    <row r="887" spans="1:2" x14ac:dyDescent="0.4">
      <c r="A887" s="4">
        <v>200</v>
      </c>
      <c r="B887">
        <v>7331500</v>
      </c>
    </row>
    <row r="888" spans="1:2" x14ac:dyDescent="0.4">
      <c r="A888" s="4">
        <v>200</v>
      </c>
      <c r="B888">
        <v>7331700</v>
      </c>
    </row>
    <row r="889" spans="1:2" x14ac:dyDescent="0.4">
      <c r="A889" s="4">
        <v>200</v>
      </c>
      <c r="B889">
        <v>7331800</v>
      </c>
    </row>
    <row r="890" spans="1:2" x14ac:dyDescent="0.4">
      <c r="A890" s="4">
        <v>200</v>
      </c>
      <c r="B890">
        <v>7331900</v>
      </c>
    </row>
    <row r="891" spans="1:2" x14ac:dyDescent="0.4">
      <c r="A891" s="4">
        <v>200</v>
      </c>
      <c r="B891">
        <v>7332000</v>
      </c>
    </row>
    <row r="892" spans="1:2" x14ac:dyDescent="0.4">
      <c r="A892" s="4">
        <v>200</v>
      </c>
      <c r="B892">
        <v>7332100</v>
      </c>
    </row>
    <row r="893" spans="1:2" x14ac:dyDescent="0.4">
      <c r="A893" s="4">
        <v>200</v>
      </c>
      <c r="B893">
        <v>7332200</v>
      </c>
    </row>
    <row r="894" spans="1:2" x14ac:dyDescent="0.4">
      <c r="A894" s="4">
        <v>200</v>
      </c>
      <c r="B894">
        <v>7332300</v>
      </c>
    </row>
    <row r="895" spans="1:2" x14ac:dyDescent="0.4">
      <c r="A895" s="4">
        <v>200</v>
      </c>
      <c r="B895">
        <v>7332400</v>
      </c>
    </row>
    <row r="896" spans="1:2" x14ac:dyDescent="0.4">
      <c r="A896" s="4">
        <v>200</v>
      </c>
      <c r="B896">
        <v>7340000</v>
      </c>
    </row>
    <row r="897" spans="1:2" x14ac:dyDescent="0.4">
      <c r="A897" s="4">
        <v>200</v>
      </c>
      <c r="B897">
        <v>7340100</v>
      </c>
    </row>
    <row r="898" spans="1:2" x14ac:dyDescent="0.4">
      <c r="A898" s="4">
        <v>200</v>
      </c>
      <c r="B898">
        <v>7340200</v>
      </c>
    </row>
    <row r="899" spans="1:2" x14ac:dyDescent="0.4">
      <c r="A899" s="4">
        <v>200</v>
      </c>
      <c r="B899">
        <v>7340300</v>
      </c>
    </row>
    <row r="900" spans="1:2" x14ac:dyDescent="0.4">
      <c r="A900" s="4">
        <v>200</v>
      </c>
      <c r="B900">
        <v>7340400</v>
      </c>
    </row>
    <row r="901" spans="1:2" x14ac:dyDescent="0.4">
      <c r="A901" s="4">
        <v>200</v>
      </c>
      <c r="B901">
        <v>7340500</v>
      </c>
    </row>
    <row r="902" spans="1:2" x14ac:dyDescent="0.4">
      <c r="A902" s="4">
        <v>200</v>
      </c>
      <c r="B902">
        <v>7340600</v>
      </c>
    </row>
    <row r="903" spans="1:2" x14ac:dyDescent="0.4">
      <c r="A903" s="4">
        <v>200</v>
      </c>
      <c r="B903">
        <v>7340700</v>
      </c>
    </row>
    <row r="904" spans="1:2" x14ac:dyDescent="0.4">
      <c r="A904" s="4">
        <v>200</v>
      </c>
      <c r="B904">
        <v>7340800</v>
      </c>
    </row>
    <row r="905" spans="1:2" x14ac:dyDescent="0.4">
      <c r="A905" s="4">
        <v>200</v>
      </c>
      <c r="B905">
        <v>7340900</v>
      </c>
    </row>
    <row r="906" spans="1:2" x14ac:dyDescent="0.4">
      <c r="A906" s="4">
        <v>200</v>
      </c>
      <c r="B906">
        <v>7341000</v>
      </c>
    </row>
    <row r="907" spans="1:2" x14ac:dyDescent="0.4">
      <c r="A907" s="4">
        <v>200</v>
      </c>
      <c r="B907">
        <v>7341100</v>
      </c>
    </row>
    <row r="908" spans="1:2" x14ac:dyDescent="0.4">
      <c r="A908" s="4">
        <v>200</v>
      </c>
      <c r="B908">
        <v>7341200</v>
      </c>
    </row>
    <row r="909" spans="1:2" x14ac:dyDescent="0.4">
      <c r="A909" s="4">
        <v>200</v>
      </c>
      <c r="B909">
        <v>7341300</v>
      </c>
    </row>
    <row r="910" spans="1:2" x14ac:dyDescent="0.4">
      <c r="A910" s="4">
        <v>200</v>
      </c>
      <c r="B910">
        <v>7341400</v>
      </c>
    </row>
    <row r="911" spans="1:2" x14ac:dyDescent="0.4">
      <c r="A911" s="4">
        <v>200</v>
      </c>
      <c r="B911">
        <v>7341500</v>
      </c>
    </row>
    <row r="912" spans="1:2" x14ac:dyDescent="0.4">
      <c r="A912" s="4">
        <v>200</v>
      </c>
      <c r="B912">
        <v>7341700</v>
      </c>
    </row>
    <row r="913" spans="1:2" x14ac:dyDescent="0.4">
      <c r="A913" s="4">
        <v>200</v>
      </c>
      <c r="B913">
        <v>7341800</v>
      </c>
    </row>
    <row r="914" spans="1:2" x14ac:dyDescent="0.4">
      <c r="A914" s="4">
        <v>200</v>
      </c>
      <c r="B914">
        <v>7341900</v>
      </c>
    </row>
    <row r="915" spans="1:2" x14ac:dyDescent="0.4">
      <c r="A915" s="4">
        <v>200</v>
      </c>
      <c r="B915">
        <v>7342000</v>
      </c>
    </row>
    <row r="916" spans="1:2" x14ac:dyDescent="0.4">
      <c r="A916" s="4">
        <v>200</v>
      </c>
      <c r="B916">
        <v>7342100</v>
      </c>
    </row>
    <row r="917" spans="1:2" x14ac:dyDescent="0.4">
      <c r="A917" s="4">
        <v>200</v>
      </c>
      <c r="B917">
        <v>7342200</v>
      </c>
    </row>
    <row r="918" spans="1:2" x14ac:dyDescent="0.4">
      <c r="A918" s="4">
        <v>200</v>
      </c>
      <c r="B918">
        <v>7342300</v>
      </c>
    </row>
    <row r="919" spans="1:2" x14ac:dyDescent="0.4">
      <c r="A919" s="4">
        <v>200</v>
      </c>
      <c r="B919">
        <v>7342400</v>
      </c>
    </row>
    <row r="920" spans="1:2" x14ac:dyDescent="0.4">
      <c r="A920" s="4">
        <v>200</v>
      </c>
      <c r="B920">
        <v>7350000</v>
      </c>
    </row>
    <row r="921" spans="1:2" x14ac:dyDescent="0.4">
      <c r="A921" s="4">
        <v>200</v>
      </c>
      <c r="B921">
        <v>7350100</v>
      </c>
    </row>
    <row r="922" spans="1:2" x14ac:dyDescent="0.4">
      <c r="A922" s="4">
        <v>200</v>
      </c>
      <c r="B922">
        <v>7350200</v>
      </c>
    </row>
    <row r="923" spans="1:2" x14ac:dyDescent="0.4">
      <c r="A923" s="4">
        <v>200</v>
      </c>
      <c r="B923">
        <v>7350300</v>
      </c>
    </row>
    <row r="924" spans="1:2" x14ac:dyDescent="0.4">
      <c r="A924" s="4">
        <v>200</v>
      </c>
      <c r="B924">
        <v>7350400</v>
      </c>
    </row>
    <row r="925" spans="1:2" x14ac:dyDescent="0.4">
      <c r="A925" s="4">
        <v>200</v>
      </c>
      <c r="B925">
        <v>7350500</v>
      </c>
    </row>
    <row r="926" spans="1:2" x14ac:dyDescent="0.4">
      <c r="A926" s="4">
        <v>200</v>
      </c>
      <c r="B926">
        <v>7350600</v>
      </c>
    </row>
    <row r="927" spans="1:2" x14ac:dyDescent="0.4">
      <c r="A927" s="4">
        <v>200</v>
      </c>
      <c r="B927">
        <v>7350700</v>
      </c>
    </row>
    <row r="928" spans="1:2" x14ac:dyDescent="0.4">
      <c r="A928" s="4">
        <v>200</v>
      </c>
      <c r="B928">
        <v>7350800</v>
      </c>
    </row>
    <row r="929" spans="1:2" x14ac:dyDescent="0.4">
      <c r="A929" s="4">
        <v>200</v>
      </c>
      <c r="B929">
        <v>7350900</v>
      </c>
    </row>
    <row r="930" spans="1:2" x14ac:dyDescent="0.4">
      <c r="A930" s="4">
        <v>200</v>
      </c>
      <c r="B930">
        <v>7351000</v>
      </c>
    </row>
    <row r="931" spans="1:2" x14ac:dyDescent="0.4">
      <c r="A931" s="4">
        <v>200</v>
      </c>
      <c r="B931">
        <v>7351100</v>
      </c>
    </row>
    <row r="932" spans="1:2" x14ac:dyDescent="0.4">
      <c r="A932" s="4">
        <v>200</v>
      </c>
      <c r="B932">
        <v>7351200</v>
      </c>
    </row>
    <row r="933" spans="1:2" x14ac:dyDescent="0.4">
      <c r="A933" s="4">
        <v>200</v>
      </c>
      <c r="B933">
        <v>7351300</v>
      </c>
    </row>
    <row r="934" spans="1:2" x14ac:dyDescent="0.4">
      <c r="A934" s="4">
        <v>200</v>
      </c>
      <c r="B934">
        <v>7351400</v>
      </c>
    </row>
    <row r="935" spans="1:2" x14ac:dyDescent="0.4">
      <c r="A935" s="4">
        <v>200</v>
      </c>
      <c r="B935">
        <v>7351500</v>
      </c>
    </row>
    <row r="936" spans="1:2" x14ac:dyDescent="0.4">
      <c r="A936" s="4">
        <v>200</v>
      </c>
      <c r="B936">
        <v>7351700</v>
      </c>
    </row>
    <row r="937" spans="1:2" x14ac:dyDescent="0.4">
      <c r="A937" s="4">
        <v>200</v>
      </c>
      <c r="B937">
        <v>7351800</v>
      </c>
    </row>
    <row r="938" spans="1:2" x14ac:dyDescent="0.4">
      <c r="A938" s="4">
        <v>200</v>
      </c>
      <c r="B938">
        <v>7351900</v>
      </c>
    </row>
    <row r="939" spans="1:2" x14ac:dyDescent="0.4">
      <c r="A939" s="4">
        <v>200</v>
      </c>
      <c r="B939">
        <v>7352000</v>
      </c>
    </row>
    <row r="940" spans="1:2" x14ac:dyDescent="0.4">
      <c r="A940" s="4">
        <v>200</v>
      </c>
      <c r="B940">
        <v>7352100</v>
      </c>
    </row>
    <row r="941" spans="1:2" x14ac:dyDescent="0.4">
      <c r="A941" s="4">
        <v>200</v>
      </c>
      <c r="B941">
        <v>7352200</v>
      </c>
    </row>
    <row r="942" spans="1:2" x14ac:dyDescent="0.4">
      <c r="A942" s="4">
        <v>200</v>
      </c>
      <c r="B942">
        <v>7352300</v>
      </c>
    </row>
    <row r="943" spans="1:2" x14ac:dyDescent="0.4">
      <c r="A943" s="4">
        <v>200</v>
      </c>
      <c r="B943">
        <v>7352400</v>
      </c>
    </row>
    <row r="944" spans="1:2" x14ac:dyDescent="0.4">
      <c r="A944" s="4">
        <v>210</v>
      </c>
      <c r="B944">
        <v>7000000</v>
      </c>
    </row>
    <row r="945" spans="1:2" x14ac:dyDescent="0.4">
      <c r="A945" s="4">
        <v>210</v>
      </c>
      <c r="B945">
        <v>7000001</v>
      </c>
    </row>
    <row r="946" spans="1:2" x14ac:dyDescent="0.4">
      <c r="A946" s="4">
        <v>210</v>
      </c>
      <c r="B946">
        <v>7000002</v>
      </c>
    </row>
    <row r="947" spans="1:2" x14ac:dyDescent="0.4">
      <c r="A947" s="4">
        <v>210</v>
      </c>
      <c r="B947">
        <v>7000100</v>
      </c>
    </row>
    <row r="948" spans="1:2" x14ac:dyDescent="0.4">
      <c r="A948" s="4">
        <v>210</v>
      </c>
      <c r="B948">
        <v>7000101</v>
      </c>
    </row>
    <row r="949" spans="1:2" x14ac:dyDescent="0.4">
      <c r="A949" s="4">
        <v>210</v>
      </c>
      <c r="B949">
        <v>7000102</v>
      </c>
    </row>
    <row r="950" spans="1:2" x14ac:dyDescent="0.4">
      <c r="A950" s="4">
        <v>210</v>
      </c>
      <c r="B950">
        <v>7000200</v>
      </c>
    </row>
    <row r="951" spans="1:2" x14ac:dyDescent="0.4">
      <c r="A951" s="4">
        <v>210</v>
      </c>
      <c r="B951">
        <v>7000201</v>
      </c>
    </row>
    <row r="952" spans="1:2" x14ac:dyDescent="0.4">
      <c r="A952" s="4">
        <v>210</v>
      </c>
      <c r="B952">
        <v>7000202</v>
      </c>
    </row>
    <row r="953" spans="1:2" x14ac:dyDescent="0.4">
      <c r="A953" s="4">
        <v>210</v>
      </c>
      <c r="B953">
        <v>7000300</v>
      </c>
    </row>
    <row r="954" spans="1:2" x14ac:dyDescent="0.4">
      <c r="A954" s="4">
        <v>210</v>
      </c>
      <c r="B954">
        <v>7000301</v>
      </c>
    </row>
    <row r="955" spans="1:2" x14ac:dyDescent="0.4">
      <c r="A955" s="4">
        <v>210</v>
      </c>
      <c r="B955">
        <v>7000302</v>
      </c>
    </row>
    <row r="956" spans="1:2" x14ac:dyDescent="0.4">
      <c r="A956" s="4">
        <v>210</v>
      </c>
      <c r="B956">
        <v>7000400</v>
      </c>
    </row>
    <row r="957" spans="1:2" x14ac:dyDescent="0.4">
      <c r="A957" s="4">
        <v>210</v>
      </c>
      <c r="B957">
        <v>7000401</v>
      </c>
    </row>
    <row r="958" spans="1:2" x14ac:dyDescent="0.4">
      <c r="A958" s="4">
        <v>210</v>
      </c>
      <c r="B958">
        <v>7000402</v>
      </c>
    </row>
    <row r="959" spans="1:2" x14ac:dyDescent="0.4">
      <c r="A959" s="4">
        <v>210</v>
      </c>
      <c r="B959">
        <v>7000500</v>
      </c>
    </row>
    <row r="960" spans="1:2" x14ac:dyDescent="0.4">
      <c r="A960" s="4">
        <v>210</v>
      </c>
      <c r="B960">
        <v>7000501</v>
      </c>
    </row>
    <row r="961" spans="1:2" x14ac:dyDescent="0.4">
      <c r="A961" s="4">
        <v>210</v>
      </c>
      <c r="B961">
        <v>7000502</v>
      </c>
    </row>
    <row r="962" spans="1:2" x14ac:dyDescent="0.4">
      <c r="A962" s="4">
        <v>210</v>
      </c>
      <c r="B962">
        <v>7000600</v>
      </c>
    </row>
    <row r="963" spans="1:2" x14ac:dyDescent="0.4">
      <c r="A963" s="4">
        <v>210</v>
      </c>
      <c r="B963">
        <v>7000601</v>
      </c>
    </row>
    <row r="964" spans="1:2" x14ac:dyDescent="0.4">
      <c r="A964" s="4">
        <v>210</v>
      </c>
      <c r="B964">
        <v>7000602</v>
      </c>
    </row>
    <row r="965" spans="1:2" x14ac:dyDescent="0.4">
      <c r="A965" s="4">
        <v>210</v>
      </c>
      <c r="B965">
        <v>7000700</v>
      </c>
    </row>
    <row r="966" spans="1:2" x14ac:dyDescent="0.4">
      <c r="A966" s="4">
        <v>210</v>
      </c>
      <c r="B966">
        <v>7000701</v>
      </c>
    </row>
    <row r="967" spans="1:2" x14ac:dyDescent="0.4">
      <c r="A967" s="4">
        <v>210</v>
      </c>
      <c r="B967">
        <v>7000702</v>
      </c>
    </row>
    <row r="968" spans="1:2" x14ac:dyDescent="0.4">
      <c r="A968" s="4">
        <v>210</v>
      </c>
      <c r="B968">
        <v>7000800</v>
      </c>
    </row>
    <row r="969" spans="1:2" x14ac:dyDescent="0.4">
      <c r="A969" s="4">
        <v>210</v>
      </c>
      <c r="B969">
        <v>7000801</v>
      </c>
    </row>
    <row r="970" spans="1:2" x14ac:dyDescent="0.4">
      <c r="A970" s="4">
        <v>210</v>
      </c>
      <c r="B970">
        <v>7000802</v>
      </c>
    </row>
    <row r="971" spans="1:2" x14ac:dyDescent="0.4">
      <c r="A971" s="4">
        <v>210</v>
      </c>
      <c r="B971">
        <v>7000900</v>
      </c>
    </row>
    <row r="972" spans="1:2" x14ac:dyDescent="0.4">
      <c r="A972" s="4">
        <v>210</v>
      </c>
      <c r="B972">
        <v>7000901</v>
      </c>
    </row>
    <row r="973" spans="1:2" x14ac:dyDescent="0.4">
      <c r="A973" s="4">
        <v>210</v>
      </c>
      <c r="B973">
        <v>7000902</v>
      </c>
    </row>
    <row r="974" spans="1:2" x14ac:dyDescent="0.4">
      <c r="A974" s="4">
        <v>210</v>
      </c>
      <c r="B974">
        <v>7001000</v>
      </c>
    </row>
    <row r="975" spans="1:2" x14ac:dyDescent="0.4">
      <c r="A975" s="4">
        <v>210</v>
      </c>
      <c r="B975">
        <v>7001001</v>
      </c>
    </row>
    <row r="976" spans="1:2" x14ac:dyDescent="0.4">
      <c r="A976" s="4">
        <v>210</v>
      </c>
      <c r="B976">
        <v>7001002</v>
      </c>
    </row>
    <row r="977" spans="1:2" x14ac:dyDescent="0.4">
      <c r="A977" s="4">
        <v>210</v>
      </c>
      <c r="B977">
        <v>7001400</v>
      </c>
    </row>
    <row r="978" spans="1:2" x14ac:dyDescent="0.4">
      <c r="A978" s="4">
        <v>210</v>
      </c>
      <c r="B978">
        <v>7001401</v>
      </c>
    </row>
    <row r="979" spans="1:2" x14ac:dyDescent="0.4">
      <c r="A979" s="4">
        <v>210</v>
      </c>
      <c r="B979">
        <v>7001402</v>
      </c>
    </row>
    <row r="980" spans="1:2" x14ac:dyDescent="0.4">
      <c r="A980" s="4">
        <v>210</v>
      </c>
      <c r="B980">
        <v>7001500</v>
      </c>
    </row>
    <row r="981" spans="1:2" x14ac:dyDescent="0.4">
      <c r="A981" s="4">
        <v>210</v>
      </c>
      <c r="B981">
        <v>7001501</v>
      </c>
    </row>
    <row r="982" spans="1:2" x14ac:dyDescent="0.4">
      <c r="A982" s="4">
        <v>210</v>
      </c>
      <c r="B982">
        <v>7001502</v>
      </c>
    </row>
    <row r="983" spans="1:2" x14ac:dyDescent="0.4">
      <c r="A983" s="4">
        <v>210</v>
      </c>
      <c r="B983">
        <v>7001600</v>
      </c>
    </row>
    <row r="984" spans="1:2" x14ac:dyDescent="0.4">
      <c r="A984" s="4">
        <v>210</v>
      </c>
      <c r="B984">
        <v>7001601</v>
      </c>
    </row>
    <row r="985" spans="1:2" x14ac:dyDescent="0.4">
      <c r="A985" s="4">
        <v>210</v>
      </c>
      <c r="B985">
        <v>7001602</v>
      </c>
    </row>
    <row r="986" spans="1:2" x14ac:dyDescent="0.4">
      <c r="A986" s="4">
        <v>210</v>
      </c>
      <c r="B986">
        <v>7001700</v>
      </c>
    </row>
    <row r="987" spans="1:2" x14ac:dyDescent="0.4">
      <c r="A987" s="4">
        <v>210</v>
      </c>
      <c r="B987">
        <v>7001701</v>
      </c>
    </row>
    <row r="988" spans="1:2" x14ac:dyDescent="0.4">
      <c r="A988" s="4">
        <v>210</v>
      </c>
      <c r="B988">
        <v>7001702</v>
      </c>
    </row>
    <row r="989" spans="1:2" x14ac:dyDescent="0.4">
      <c r="A989" s="4">
        <v>210</v>
      </c>
      <c r="B989">
        <v>7001800</v>
      </c>
    </row>
    <row r="990" spans="1:2" x14ac:dyDescent="0.4">
      <c r="A990" s="4">
        <v>210</v>
      </c>
      <c r="B990">
        <v>7001801</v>
      </c>
    </row>
    <row r="991" spans="1:2" x14ac:dyDescent="0.4">
      <c r="A991" s="4">
        <v>210</v>
      </c>
      <c r="B991">
        <v>7001802</v>
      </c>
    </row>
    <row r="992" spans="1:2" x14ac:dyDescent="0.4">
      <c r="A992" s="4">
        <v>210</v>
      </c>
      <c r="B992">
        <v>7002600</v>
      </c>
    </row>
    <row r="993" spans="1:2" x14ac:dyDescent="0.4">
      <c r="A993" s="4">
        <v>210</v>
      </c>
      <c r="B993">
        <v>7002700</v>
      </c>
    </row>
    <row r="994" spans="1:2" x14ac:dyDescent="0.4">
      <c r="A994" s="4">
        <v>210</v>
      </c>
      <c r="B994">
        <v>7002800</v>
      </c>
    </row>
    <row r="995" spans="1:2" x14ac:dyDescent="0.4">
      <c r="A995" s="4">
        <v>210</v>
      </c>
      <c r="B995">
        <v>7002900</v>
      </c>
    </row>
    <row r="996" spans="1:2" x14ac:dyDescent="0.4">
      <c r="A996" s="4">
        <v>210</v>
      </c>
      <c r="B996">
        <v>7003000</v>
      </c>
    </row>
    <row r="997" spans="1:2" x14ac:dyDescent="0.4">
      <c r="A997" s="4">
        <v>210</v>
      </c>
      <c r="B997">
        <v>7003100</v>
      </c>
    </row>
    <row r="998" spans="1:2" x14ac:dyDescent="0.4">
      <c r="A998" s="4">
        <v>210</v>
      </c>
      <c r="B998">
        <v>7003200</v>
      </c>
    </row>
    <row r="999" spans="1:2" x14ac:dyDescent="0.4">
      <c r="A999" s="4">
        <v>210</v>
      </c>
      <c r="B999">
        <v>7003300</v>
      </c>
    </row>
    <row r="1000" spans="1:2" x14ac:dyDescent="0.4">
      <c r="A1000" s="4">
        <v>210</v>
      </c>
      <c r="B1000">
        <v>7003400</v>
      </c>
    </row>
    <row r="1001" spans="1:2" x14ac:dyDescent="0.4">
      <c r="A1001" s="4">
        <v>210</v>
      </c>
      <c r="B1001">
        <v>7003500</v>
      </c>
    </row>
    <row r="1002" spans="1:2" x14ac:dyDescent="0.4">
      <c r="A1002" s="4">
        <v>210</v>
      </c>
      <c r="B1002">
        <v>7003600</v>
      </c>
    </row>
    <row r="1003" spans="1:2" x14ac:dyDescent="0.4">
      <c r="A1003" s="4">
        <v>210</v>
      </c>
      <c r="B1003">
        <v>7005600</v>
      </c>
    </row>
    <row r="1004" spans="1:2" x14ac:dyDescent="0.4">
      <c r="A1004" s="4">
        <v>210</v>
      </c>
      <c r="B1004">
        <v>7006000</v>
      </c>
    </row>
    <row r="1005" spans="1:2" x14ac:dyDescent="0.4">
      <c r="A1005" s="4">
        <v>210</v>
      </c>
      <c r="B1005">
        <v>7006100</v>
      </c>
    </row>
    <row r="1006" spans="1:2" x14ac:dyDescent="0.4">
      <c r="A1006" s="4">
        <v>210</v>
      </c>
      <c r="B1006">
        <v>7010200</v>
      </c>
    </row>
    <row r="1007" spans="1:2" x14ac:dyDescent="0.4">
      <c r="A1007" s="4">
        <v>210</v>
      </c>
      <c r="B1007">
        <v>7010500</v>
      </c>
    </row>
    <row r="1008" spans="1:2" x14ac:dyDescent="0.4">
      <c r="A1008" s="4">
        <v>210</v>
      </c>
      <c r="B1008">
        <v>7010700</v>
      </c>
    </row>
    <row r="1009" spans="1:2" x14ac:dyDescent="0.4">
      <c r="A1009" s="4">
        <v>210</v>
      </c>
      <c r="B1009">
        <v>7010900</v>
      </c>
    </row>
    <row r="1010" spans="1:2" x14ac:dyDescent="0.4">
      <c r="A1010" s="4">
        <v>210</v>
      </c>
      <c r="B1010">
        <v>7011000</v>
      </c>
    </row>
    <row r="1011" spans="1:2" x14ac:dyDescent="0.4">
      <c r="A1011" s="4">
        <v>210</v>
      </c>
      <c r="B1011">
        <v>7011200</v>
      </c>
    </row>
    <row r="1012" spans="1:2" x14ac:dyDescent="0.4">
      <c r="A1012" s="4">
        <v>210</v>
      </c>
      <c r="B1012">
        <v>7011600</v>
      </c>
    </row>
    <row r="1013" spans="1:2" x14ac:dyDescent="0.4">
      <c r="A1013" s="4">
        <v>210</v>
      </c>
      <c r="B1013">
        <v>7011700</v>
      </c>
    </row>
    <row r="1014" spans="1:2" x14ac:dyDescent="0.4">
      <c r="A1014" s="4">
        <v>210</v>
      </c>
      <c r="B1014">
        <v>7012000</v>
      </c>
    </row>
    <row r="1015" spans="1:2" x14ac:dyDescent="0.4">
      <c r="A1015" s="4">
        <v>210</v>
      </c>
      <c r="B1015">
        <v>7012200</v>
      </c>
    </row>
    <row r="1016" spans="1:2" x14ac:dyDescent="0.4">
      <c r="A1016" s="4">
        <v>210</v>
      </c>
      <c r="B1016">
        <v>7012300</v>
      </c>
    </row>
    <row r="1017" spans="1:2" x14ac:dyDescent="0.4">
      <c r="A1017" s="4">
        <v>210</v>
      </c>
      <c r="B1017">
        <v>7020000</v>
      </c>
    </row>
    <row r="1018" spans="1:2" x14ac:dyDescent="0.4">
      <c r="A1018" s="4">
        <v>210</v>
      </c>
      <c r="B1018">
        <v>7030000</v>
      </c>
    </row>
    <row r="1019" spans="1:2" x14ac:dyDescent="0.4">
      <c r="A1019" s="4">
        <v>210</v>
      </c>
      <c r="B1019">
        <v>7030200</v>
      </c>
    </row>
    <row r="1020" spans="1:2" x14ac:dyDescent="0.4">
      <c r="A1020" s="4">
        <v>210</v>
      </c>
      <c r="B1020">
        <v>7030600</v>
      </c>
    </row>
    <row r="1021" spans="1:2" x14ac:dyDescent="0.4">
      <c r="A1021" s="4">
        <v>210</v>
      </c>
      <c r="B1021">
        <v>7030700</v>
      </c>
    </row>
    <row r="1022" spans="1:2" x14ac:dyDescent="0.4">
      <c r="A1022" s="4">
        <v>210</v>
      </c>
      <c r="B1022">
        <v>7030800</v>
      </c>
    </row>
    <row r="1023" spans="1:2" x14ac:dyDescent="0.4">
      <c r="A1023" s="4">
        <v>210</v>
      </c>
      <c r="B1023">
        <v>7030900</v>
      </c>
    </row>
    <row r="1024" spans="1:2" x14ac:dyDescent="0.4">
      <c r="A1024" s="4">
        <v>210</v>
      </c>
      <c r="B1024">
        <v>7031200</v>
      </c>
    </row>
    <row r="1025" spans="1:2" x14ac:dyDescent="0.4">
      <c r="A1025" s="4">
        <v>210</v>
      </c>
      <c r="B1025">
        <v>7031300</v>
      </c>
    </row>
    <row r="1026" spans="1:2" x14ac:dyDescent="0.4">
      <c r="A1026" s="4">
        <v>210</v>
      </c>
      <c r="B1026">
        <v>7031800</v>
      </c>
    </row>
    <row r="1027" spans="1:2" x14ac:dyDescent="0.4">
      <c r="A1027" s="4">
        <v>210</v>
      </c>
      <c r="B1027">
        <v>7031900</v>
      </c>
    </row>
    <row r="1028" spans="1:2" x14ac:dyDescent="0.4">
      <c r="A1028" s="4">
        <v>210</v>
      </c>
      <c r="B1028">
        <v>7032200</v>
      </c>
    </row>
    <row r="1029" spans="1:2" x14ac:dyDescent="0.4">
      <c r="A1029" s="4">
        <v>210</v>
      </c>
      <c r="B1029">
        <v>7032400</v>
      </c>
    </row>
    <row r="1030" spans="1:2" x14ac:dyDescent="0.4">
      <c r="A1030" s="4">
        <v>210</v>
      </c>
      <c r="B1030">
        <v>7032700</v>
      </c>
    </row>
    <row r="1031" spans="1:2" x14ac:dyDescent="0.4">
      <c r="A1031" s="4">
        <v>210</v>
      </c>
      <c r="B1031">
        <v>7032800</v>
      </c>
    </row>
    <row r="1032" spans="1:2" x14ac:dyDescent="0.4">
      <c r="A1032" s="4">
        <v>210</v>
      </c>
      <c r="B1032">
        <v>7032900</v>
      </c>
    </row>
    <row r="1033" spans="1:2" x14ac:dyDescent="0.4">
      <c r="A1033" s="4">
        <v>210</v>
      </c>
      <c r="B1033">
        <v>7033200</v>
      </c>
    </row>
    <row r="1034" spans="1:2" x14ac:dyDescent="0.4">
      <c r="A1034" s="4">
        <v>210</v>
      </c>
      <c r="B1034">
        <v>7033400</v>
      </c>
    </row>
    <row r="1035" spans="1:2" x14ac:dyDescent="0.4">
      <c r="A1035" s="4">
        <v>210</v>
      </c>
      <c r="B1035">
        <v>7034100</v>
      </c>
    </row>
    <row r="1036" spans="1:2" x14ac:dyDescent="0.4">
      <c r="A1036" s="4">
        <v>210</v>
      </c>
      <c r="B1036">
        <v>7034400</v>
      </c>
    </row>
    <row r="1037" spans="1:2" x14ac:dyDescent="0.4">
      <c r="A1037" s="4">
        <v>210</v>
      </c>
      <c r="B1037">
        <v>7034500</v>
      </c>
    </row>
    <row r="1038" spans="1:2" x14ac:dyDescent="0.4">
      <c r="A1038" s="4">
        <v>210</v>
      </c>
      <c r="B1038">
        <v>7034600</v>
      </c>
    </row>
    <row r="1039" spans="1:2" x14ac:dyDescent="0.4">
      <c r="A1039" s="4">
        <v>210</v>
      </c>
      <c r="B1039">
        <v>7034700</v>
      </c>
    </row>
    <row r="1040" spans="1:2" x14ac:dyDescent="0.4">
      <c r="A1040" s="4">
        <v>210</v>
      </c>
      <c r="B1040">
        <v>7035100</v>
      </c>
    </row>
    <row r="1041" spans="1:2" x14ac:dyDescent="0.4">
      <c r="A1041" s="4">
        <v>210</v>
      </c>
      <c r="B1041">
        <v>7036100</v>
      </c>
    </row>
    <row r="1042" spans="1:2" x14ac:dyDescent="0.4">
      <c r="A1042" s="4">
        <v>210</v>
      </c>
      <c r="B1042">
        <v>7040000</v>
      </c>
    </row>
    <row r="1043" spans="1:2" x14ac:dyDescent="0.4">
      <c r="A1043" s="4">
        <v>210</v>
      </c>
      <c r="B1043">
        <v>7040100</v>
      </c>
    </row>
    <row r="1044" spans="1:2" x14ac:dyDescent="0.4">
      <c r="A1044" s="4">
        <v>210</v>
      </c>
      <c r="B1044">
        <v>7040200</v>
      </c>
    </row>
    <row r="1045" spans="1:2" x14ac:dyDescent="0.4">
      <c r="A1045" s="4">
        <v>210</v>
      </c>
      <c r="B1045">
        <v>7040300</v>
      </c>
    </row>
    <row r="1046" spans="1:2" x14ac:dyDescent="0.4">
      <c r="A1046" s="4">
        <v>210</v>
      </c>
      <c r="B1046">
        <v>7040400</v>
      </c>
    </row>
    <row r="1047" spans="1:2" x14ac:dyDescent="0.4">
      <c r="A1047" s="4">
        <v>210</v>
      </c>
      <c r="B1047">
        <v>7040500</v>
      </c>
    </row>
    <row r="1048" spans="1:2" x14ac:dyDescent="0.4">
      <c r="A1048" s="4">
        <v>210</v>
      </c>
      <c r="B1048">
        <v>7043000</v>
      </c>
    </row>
    <row r="1049" spans="1:2" x14ac:dyDescent="0.4">
      <c r="A1049" s="4">
        <v>210</v>
      </c>
      <c r="B1049">
        <v>7043100</v>
      </c>
    </row>
    <row r="1050" spans="1:2" x14ac:dyDescent="0.4">
      <c r="A1050" s="4">
        <v>210</v>
      </c>
      <c r="B1050">
        <v>7043200</v>
      </c>
    </row>
    <row r="1051" spans="1:2" x14ac:dyDescent="0.4">
      <c r="A1051" s="4">
        <v>210</v>
      </c>
      <c r="B1051">
        <v>7043300</v>
      </c>
    </row>
    <row r="1052" spans="1:2" x14ac:dyDescent="0.4">
      <c r="A1052" s="4">
        <v>210</v>
      </c>
      <c r="B1052">
        <v>7043400</v>
      </c>
    </row>
    <row r="1053" spans="1:2" x14ac:dyDescent="0.4">
      <c r="A1053" s="4">
        <v>210</v>
      </c>
      <c r="B1053">
        <v>7043500</v>
      </c>
    </row>
    <row r="1054" spans="1:2" x14ac:dyDescent="0.4">
      <c r="A1054" s="4">
        <v>210</v>
      </c>
      <c r="B1054">
        <v>7043600</v>
      </c>
    </row>
    <row r="1055" spans="1:2" x14ac:dyDescent="0.4">
      <c r="A1055" s="4">
        <v>210</v>
      </c>
      <c r="B1055">
        <v>7043700</v>
      </c>
    </row>
    <row r="1056" spans="1:2" x14ac:dyDescent="0.4">
      <c r="A1056" s="4">
        <v>210</v>
      </c>
      <c r="B1056">
        <v>7043800</v>
      </c>
    </row>
    <row r="1057" spans="1:2" x14ac:dyDescent="0.4">
      <c r="A1057" s="4">
        <v>210</v>
      </c>
      <c r="B1057">
        <v>7044000</v>
      </c>
    </row>
    <row r="1058" spans="1:2" x14ac:dyDescent="0.4">
      <c r="A1058" s="4">
        <v>210</v>
      </c>
      <c r="B1058">
        <v>7044100</v>
      </c>
    </row>
    <row r="1059" spans="1:2" x14ac:dyDescent="0.4">
      <c r="A1059" s="4">
        <v>210</v>
      </c>
      <c r="B1059">
        <v>7044200</v>
      </c>
    </row>
    <row r="1060" spans="1:2" x14ac:dyDescent="0.4">
      <c r="A1060" s="4">
        <v>210</v>
      </c>
      <c r="B1060">
        <v>7044300</v>
      </c>
    </row>
    <row r="1061" spans="1:2" x14ac:dyDescent="0.4">
      <c r="A1061" s="4">
        <v>210</v>
      </c>
      <c r="B1061">
        <v>7044400</v>
      </c>
    </row>
    <row r="1062" spans="1:2" x14ac:dyDescent="0.4">
      <c r="A1062" s="4">
        <v>210</v>
      </c>
      <c r="B1062">
        <v>7044500</v>
      </c>
    </row>
    <row r="1063" spans="1:2" x14ac:dyDescent="0.4">
      <c r="A1063" s="4">
        <v>210</v>
      </c>
      <c r="B1063">
        <v>7044600</v>
      </c>
    </row>
    <row r="1064" spans="1:2" x14ac:dyDescent="0.4">
      <c r="A1064" s="4">
        <v>210</v>
      </c>
      <c r="B1064">
        <v>7050000</v>
      </c>
    </row>
    <row r="1065" spans="1:2" x14ac:dyDescent="0.4">
      <c r="A1065" s="4">
        <v>210</v>
      </c>
      <c r="B1065">
        <v>7050100</v>
      </c>
    </row>
    <row r="1066" spans="1:2" x14ac:dyDescent="0.4">
      <c r="A1066" s="4">
        <v>210</v>
      </c>
      <c r="B1066">
        <v>7060000</v>
      </c>
    </row>
    <row r="1067" spans="1:2" x14ac:dyDescent="0.4">
      <c r="A1067" s="4">
        <v>210</v>
      </c>
      <c r="B1067">
        <v>7060100</v>
      </c>
    </row>
    <row r="1068" spans="1:2" x14ac:dyDescent="0.4">
      <c r="A1068" s="4">
        <v>210</v>
      </c>
      <c r="B1068">
        <v>7060200</v>
      </c>
    </row>
    <row r="1069" spans="1:2" x14ac:dyDescent="0.4">
      <c r="A1069" s="4">
        <v>210</v>
      </c>
      <c r="B1069">
        <v>7070000</v>
      </c>
    </row>
    <row r="1070" spans="1:2" x14ac:dyDescent="0.4">
      <c r="A1070" s="4">
        <v>210</v>
      </c>
      <c r="B1070">
        <v>7080000</v>
      </c>
    </row>
    <row r="1071" spans="1:2" x14ac:dyDescent="0.4">
      <c r="A1071" s="4">
        <v>210</v>
      </c>
      <c r="B1071">
        <v>7080100</v>
      </c>
    </row>
    <row r="1072" spans="1:2" x14ac:dyDescent="0.4">
      <c r="A1072" s="4">
        <v>210</v>
      </c>
      <c r="B1072">
        <v>7080200</v>
      </c>
    </row>
    <row r="1073" spans="1:2" x14ac:dyDescent="0.4">
      <c r="A1073" s="4">
        <v>210</v>
      </c>
      <c r="B1073">
        <v>7080300</v>
      </c>
    </row>
    <row r="1074" spans="1:2" x14ac:dyDescent="0.4">
      <c r="A1074" s="4">
        <v>210</v>
      </c>
      <c r="B1074">
        <v>7080400</v>
      </c>
    </row>
    <row r="1075" spans="1:2" x14ac:dyDescent="0.4">
      <c r="A1075" s="4">
        <v>210</v>
      </c>
      <c r="B1075">
        <v>7080500</v>
      </c>
    </row>
    <row r="1076" spans="1:2" x14ac:dyDescent="0.4">
      <c r="A1076" s="4">
        <v>210</v>
      </c>
      <c r="B1076">
        <v>7080600</v>
      </c>
    </row>
    <row r="1077" spans="1:2" x14ac:dyDescent="0.4">
      <c r="A1077" s="4">
        <v>210</v>
      </c>
      <c r="B1077">
        <v>7080700</v>
      </c>
    </row>
    <row r="1078" spans="1:2" x14ac:dyDescent="0.4">
      <c r="A1078" s="4">
        <v>210</v>
      </c>
      <c r="B1078">
        <v>7080800</v>
      </c>
    </row>
    <row r="1079" spans="1:2" x14ac:dyDescent="0.4">
      <c r="A1079" s="4">
        <v>210</v>
      </c>
      <c r="B1079">
        <v>7080900</v>
      </c>
    </row>
    <row r="1080" spans="1:2" x14ac:dyDescent="0.4">
      <c r="A1080" s="4">
        <v>210</v>
      </c>
      <c r="B1080">
        <v>7081000</v>
      </c>
    </row>
    <row r="1081" spans="1:2" x14ac:dyDescent="0.4">
      <c r="A1081" s="4">
        <v>210</v>
      </c>
      <c r="B1081">
        <v>7081100</v>
      </c>
    </row>
    <row r="1082" spans="1:2" x14ac:dyDescent="0.4">
      <c r="A1082" s="4">
        <v>210</v>
      </c>
      <c r="B1082">
        <v>7081200</v>
      </c>
    </row>
    <row r="1083" spans="1:2" x14ac:dyDescent="0.4">
      <c r="A1083" s="4">
        <v>210</v>
      </c>
      <c r="B1083">
        <v>7081300</v>
      </c>
    </row>
    <row r="1084" spans="1:2" x14ac:dyDescent="0.4">
      <c r="A1084" s="4">
        <v>210</v>
      </c>
      <c r="B1084">
        <v>7081400</v>
      </c>
    </row>
    <row r="1085" spans="1:2" x14ac:dyDescent="0.4">
      <c r="A1085" s="4">
        <v>210</v>
      </c>
      <c r="B1085">
        <v>7081500</v>
      </c>
    </row>
    <row r="1086" spans="1:2" x14ac:dyDescent="0.4">
      <c r="A1086" s="4">
        <v>210</v>
      </c>
      <c r="B1086">
        <v>7081700</v>
      </c>
    </row>
    <row r="1087" spans="1:2" x14ac:dyDescent="0.4">
      <c r="A1087" s="4">
        <v>210</v>
      </c>
      <c r="B1087">
        <v>7081800</v>
      </c>
    </row>
    <row r="1088" spans="1:2" x14ac:dyDescent="0.4">
      <c r="A1088" s="4">
        <v>210</v>
      </c>
      <c r="B1088">
        <v>7081900</v>
      </c>
    </row>
    <row r="1089" spans="1:2" x14ac:dyDescent="0.4">
      <c r="A1089" s="4">
        <v>210</v>
      </c>
      <c r="B1089">
        <v>7082000</v>
      </c>
    </row>
    <row r="1090" spans="1:2" x14ac:dyDescent="0.4">
      <c r="A1090" s="4">
        <v>210</v>
      </c>
      <c r="B1090">
        <v>7082100</v>
      </c>
    </row>
    <row r="1091" spans="1:2" x14ac:dyDescent="0.4">
      <c r="A1091" s="4">
        <v>210</v>
      </c>
      <c r="B1091">
        <v>7082200</v>
      </c>
    </row>
    <row r="1092" spans="1:2" x14ac:dyDescent="0.4">
      <c r="A1092" s="4">
        <v>210</v>
      </c>
      <c r="B1092">
        <v>7082300</v>
      </c>
    </row>
    <row r="1093" spans="1:2" x14ac:dyDescent="0.4">
      <c r="A1093" s="4">
        <v>210</v>
      </c>
      <c r="B1093">
        <v>7082400</v>
      </c>
    </row>
    <row r="1094" spans="1:2" x14ac:dyDescent="0.4">
      <c r="A1094" s="4">
        <v>210</v>
      </c>
      <c r="B1094">
        <v>7082500</v>
      </c>
    </row>
    <row r="1095" spans="1:2" x14ac:dyDescent="0.4">
      <c r="A1095" s="4">
        <v>210</v>
      </c>
      <c r="B1095">
        <v>7082600</v>
      </c>
    </row>
    <row r="1096" spans="1:2" x14ac:dyDescent="0.4">
      <c r="A1096" s="4">
        <v>210</v>
      </c>
      <c r="B1096">
        <v>7082700</v>
      </c>
    </row>
    <row r="1097" spans="1:2" x14ac:dyDescent="0.4">
      <c r="A1097" s="4">
        <v>210</v>
      </c>
      <c r="B1097">
        <v>7082800</v>
      </c>
    </row>
    <row r="1098" spans="1:2" x14ac:dyDescent="0.4">
      <c r="A1098" s="4">
        <v>210</v>
      </c>
      <c r="B1098">
        <v>7082900</v>
      </c>
    </row>
    <row r="1099" spans="1:2" x14ac:dyDescent="0.4">
      <c r="A1099" s="4">
        <v>210</v>
      </c>
      <c r="B1099">
        <v>7090000</v>
      </c>
    </row>
    <row r="1100" spans="1:2" x14ac:dyDescent="0.4">
      <c r="A1100" s="4">
        <v>210</v>
      </c>
      <c r="B1100">
        <v>7090100</v>
      </c>
    </row>
    <row r="1101" spans="1:2" x14ac:dyDescent="0.4">
      <c r="A1101" s="4">
        <v>210</v>
      </c>
      <c r="B1101">
        <v>7090300</v>
      </c>
    </row>
    <row r="1102" spans="1:2" x14ac:dyDescent="0.4">
      <c r="A1102" s="4">
        <v>210</v>
      </c>
      <c r="B1102">
        <v>7100100</v>
      </c>
    </row>
    <row r="1103" spans="1:2" x14ac:dyDescent="0.4">
      <c r="A1103" s="4">
        <v>210</v>
      </c>
      <c r="B1103">
        <v>7110000</v>
      </c>
    </row>
    <row r="1104" spans="1:2" x14ac:dyDescent="0.4">
      <c r="A1104" s="4">
        <v>210</v>
      </c>
      <c r="B1104">
        <v>7120000</v>
      </c>
    </row>
    <row r="1105" spans="1:2" x14ac:dyDescent="0.4">
      <c r="A1105" s="4">
        <v>210</v>
      </c>
      <c r="B1105">
        <v>7120100</v>
      </c>
    </row>
    <row r="1106" spans="1:2" x14ac:dyDescent="0.4">
      <c r="A1106" s="4">
        <v>210</v>
      </c>
      <c r="B1106">
        <v>7120200</v>
      </c>
    </row>
    <row r="1107" spans="1:2" x14ac:dyDescent="0.4">
      <c r="A1107" s="4">
        <v>210</v>
      </c>
      <c r="B1107">
        <v>7120300</v>
      </c>
    </row>
    <row r="1108" spans="1:2" x14ac:dyDescent="0.4">
      <c r="A1108" s="4">
        <v>210</v>
      </c>
      <c r="B1108">
        <v>7120400</v>
      </c>
    </row>
    <row r="1109" spans="1:2" x14ac:dyDescent="0.4">
      <c r="A1109" s="4">
        <v>210</v>
      </c>
      <c r="B1109">
        <v>7120500</v>
      </c>
    </row>
    <row r="1110" spans="1:2" x14ac:dyDescent="0.4">
      <c r="A1110" s="4">
        <v>210</v>
      </c>
      <c r="B1110">
        <v>7120600</v>
      </c>
    </row>
    <row r="1111" spans="1:2" x14ac:dyDescent="0.4">
      <c r="A1111" s="4">
        <v>210</v>
      </c>
      <c r="B1111">
        <v>7120900</v>
      </c>
    </row>
    <row r="1112" spans="1:2" x14ac:dyDescent="0.4">
      <c r="A1112" s="4">
        <v>210</v>
      </c>
      <c r="B1112">
        <v>7121000</v>
      </c>
    </row>
    <row r="1113" spans="1:2" x14ac:dyDescent="0.4">
      <c r="A1113" s="4">
        <v>210</v>
      </c>
      <c r="B1113">
        <v>7121100</v>
      </c>
    </row>
    <row r="1114" spans="1:2" x14ac:dyDescent="0.4">
      <c r="A1114" s="4">
        <v>210</v>
      </c>
      <c r="B1114">
        <v>7121200</v>
      </c>
    </row>
    <row r="1115" spans="1:2" x14ac:dyDescent="0.4">
      <c r="A1115" s="4">
        <v>210</v>
      </c>
      <c r="B1115">
        <v>7121300</v>
      </c>
    </row>
    <row r="1116" spans="1:2" x14ac:dyDescent="0.4">
      <c r="A1116" s="4">
        <v>210</v>
      </c>
      <c r="B1116">
        <v>7121400</v>
      </c>
    </row>
    <row r="1117" spans="1:2" x14ac:dyDescent="0.4">
      <c r="A1117" s="4">
        <v>210</v>
      </c>
      <c r="B1117">
        <v>7121500</v>
      </c>
    </row>
    <row r="1118" spans="1:2" x14ac:dyDescent="0.4">
      <c r="A1118" s="4">
        <v>210</v>
      </c>
      <c r="B1118">
        <v>7121600</v>
      </c>
    </row>
    <row r="1119" spans="1:2" x14ac:dyDescent="0.4">
      <c r="A1119" s="4">
        <v>210</v>
      </c>
      <c r="B1119">
        <v>7121700</v>
      </c>
    </row>
    <row r="1120" spans="1:2" x14ac:dyDescent="0.4">
      <c r="A1120" s="4">
        <v>210</v>
      </c>
      <c r="B1120">
        <v>7121800</v>
      </c>
    </row>
    <row r="1121" spans="1:2" x14ac:dyDescent="0.4">
      <c r="A1121" s="4">
        <v>210</v>
      </c>
      <c r="B1121">
        <v>7121900</v>
      </c>
    </row>
    <row r="1122" spans="1:2" x14ac:dyDescent="0.4">
      <c r="A1122" s="4">
        <v>210</v>
      </c>
      <c r="B1122">
        <v>7122000</v>
      </c>
    </row>
    <row r="1123" spans="1:2" x14ac:dyDescent="0.4">
      <c r="A1123" s="4">
        <v>210</v>
      </c>
      <c r="B1123">
        <v>7122100</v>
      </c>
    </row>
    <row r="1124" spans="1:2" x14ac:dyDescent="0.4">
      <c r="A1124" s="4">
        <v>210</v>
      </c>
      <c r="B1124">
        <v>7122200</v>
      </c>
    </row>
    <row r="1125" spans="1:2" x14ac:dyDescent="0.4">
      <c r="A1125" s="4">
        <v>210</v>
      </c>
      <c r="B1125">
        <v>7122300</v>
      </c>
    </row>
    <row r="1126" spans="1:2" x14ac:dyDescent="0.4">
      <c r="A1126" s="4">
        <v>210</v>
      </c>
      <c r="B1126">
        <v>7122400</v>
      </c>
    </row>
    <row r="1127" spans="1:2" x14ac:dyDescent="0.4">
      <c r="A1127" s="4">
        <v>210</v>
      </c>
      <c r="B1127">
        <v>7122500</v>
      </c>
    </row>
    <row r="1128" spans="1:2" x14ac:dyDescent="0.4">
      <c r="A1128" s="4">
        <v>210</v>
      </c>
      <c r="B1128">
        <v>7122600</v>
      </c>
    </row>
    <row r="1129" spans="1:2" x14ac:dyDescent="0.4">
      <c r="A1129" s="4">
        <v>210</v>
      </c>
      <c r="B1129">
        <v>7122700</v>
      </c>
    </row>
    <row r="1130" spans="1:2" x14ac:dyDescent="0.4">
      <c r="A1130" s="4">
        <v>210</v>
      </c>
      <c r="B1130">
        <v>7122800</v>
      </c>
    </row>
    <row r="1131" spans="1:2" x14ac:dyDescent="0.4">
      <c r="A1131" s="4">
        <v>210</v>
      </c>
      <c r="B1131">
        <v>7122900</v>
      </c>
    </row>
    <row r="1132" spans="1:2" x14ac:dyDescent="0.4">
      <c r="A1132" s="4">
        <v>210</v>
      </c>
      <c r="B1132">
        <v>7123000</v>
      </c>
    </row>
    <row r="1133" spans="1:2" x14ac:dyDescent="0.4">
      <c r="A1133" s="4">
        <v>210</v>
      </c>
      <c r="B1133">
        <v>7123100</v>
      </c>
    </row>
    <row r="1134" spans="1:2" x14ac:dyDescent="0.4">
      <c r="A1134" s="4">
        <v>210</v>
      </c>
      <c r="B1134">
        <v>7123200</v>
      </c>
    </row>
    <row r="1135" spans="1:2" x14ac:dyDescent="0.4">
      <c r="A1135" s="4">
        <v>210</v>
      </c>
      <c r="B1135">
        <v>7123300</v>
      </c>
    </row>
    <row r="1136" spans="1:2" x14ac:dyDescent="0.4">
      <c r="A1136" s="4">
        <v>210</v>
      </c>
      <c r="B1136">
        <v>7123400</v>
      </c>
    </row>
    <row r="1137" spans="1:2" x14ac:dyDescent="0.4">
      <c r="A1137" s="4">
        <v>210</v>
      </c>
      <c r="B1137">
        <v>7123500</v>
      </c>
    </row>
    <row r="1138" spans="1:2" x14ac:dyDescent="0.4">
      <c r="A1138" s="4">
        <v>210</v>
      </c>
      <c r="B1138">
        <v>7123600</v>
      </c>
    </row>
    <row r="1139" spans="1:2" x14ac:dyDescent="0.4">
      <c r="A1139" s="4">
        <v>210</v>
      </c>
      <c r="B1139">
        <v>7123700</v>
      </c>
    </row>
    <row r="1140" spans="1:2" x14ac:dyDescent="0.4">
      <c r="A1140" s="4">
        <v>210</v>
      </c>
      <c r="B1140">
        <v>7123800</v>
      </c>
    </row>
    <row r="1141" spans="1:2" x14ac:dyDescent="0.4">
      <c r="A1141" s="4">
        <v>210</v>
      </c>
      <c r="B1141">
        <v>7123900</v>
      </c>
    </row>
    <row r="1142" spans="1:2" x14ac:dyDescent="0.4">
      <c r="A1142" s="4">
        <v>210</v>
      </c>
      <c r="B1142">
        <v>7124000</v>
      </c>
    </row>
    <row r="1143" spans="1:2" x14ac:dyDescent="0.4">
      <c r="A1143" s="4">
        <v>210</v>
      </c>
      <c r="B1143">
        <v>7124100</v>
      </c>
    </row>
    <row r="1144" spans="1:2" x14ac:dyDescent="0.4">
      <c r="A1144" s="4">
        <v>210</v>
      </c>
      <c r="B1144">
        <v>7124300</v>
      </c>
    </row>
    <row r="1145" spans="1:2" x14ac:dyDescent="0.4">
      <c r="A1145" s="4">
        <v>210</v>
      </c>
      <c r="B1145">
        <v>7124400</v>
      </c>
    </row>
    <row r="1146" spans="1:2" x14ac:dyDescent="0.4">
      <c r="A1146" s="4">
        <v>210</v>
      </c>
      <c r="B1146">
        <v>7124500</v>
      </c>
    </row>
    <row r="1147" spans="1:2" x14ac:dyDescent="0.4">
      <c r="A1147" s="4">
        <v>210</v>
      </c>
      <c r="B1147">
        <v>7124600</v>
      </c>
    </row>
    <row r="1148" spans="1:2" x14ac:dyDescent="0.4">
      <c r="A1148" s="4">
        <v>210</v>
      </c>
      <c r="B1148">
        <v>7124700</v>
      </c>
    </row>
    <row r="1149" spans="1:2" x14ac:dyDescent="0.4">
      <c r="A1149" s="4">
        <v>210</v>
      </c>
      <c r="B1149">
        <v>7126000</v>
      </c>
    </row>
    <row r="1150" spans="1:2" x14ac:dyDescent="0.4">
      <c r="A1150" s="4">
        <v>210</v>
      </c>
      <c r="B1150">
        <v>7150000</v>
      </c>
    </row>
    <row r="1151" spans="1:2" x14ac:dyDescent="0.4">
      <c r="A1151" s="4">
        <v>210</v>
      </c>
      <c r="B1151">
        <v>7160000</v>
      </c>
    </row>
    <row r="1152" spans="1:2" x14ac:dyDescent="0.4">
      <c r="A1152" s="4">
        <v>210</v>
      </c>
      <c r="B1152">
        <v>7220000</v>
      </c>
    </row>
    <row r="1153" spans="1:2" x14ac:dyDescent="0.4">
      <c r="A1153" s="4">
        <v>210</v>
      </c>
      <c r="B1153">
        <v>7230000</v>
      </c>
    </row>
    <row r="1154" spans="1:2" x14ac:dyDescent="0.4">
      <c r="A1154" s="4">
        <v>210</v>
      </c>
      <c r="B1154">
        <v>7240000</v>
      </c>
    </row>
    <row r="1155" spans="1:2" x14ac:dyDescent="0.4">
      <c r="A1155" s="4">
        <v>210</v>
      </c>
      <c r="B1155">
        <v>7260000</v>
      </c>
    </row>
    <row r="1156" spans="1:2" x14ac:dyDescent="0.4">
      <c r="A1156" s="4">
        <v>210</v>
      </c>
      <c r="B1156">
        <v>7260300</v>
      </c>
    </row>
    <row r="1157" spans="1:2" x14ac:dyDescent="0.4">
      <c r="A1157" s="4">
        <v>210</v>
      </c>
      <c r="B1157">
        <v>7260400</v>
      </c>
    </row>
    <row r="1158" spans="1:2" x14ac:dyDescent="0.4">
      <c r="A1158" s="4">
        <v>210</v>
      </c>
      <c r="B1158">
        <v>7270100</v>
      </c>
    </row>
    <row r="1159" spans="1:2" x14ac:dyDescent="0.4">
      <c r="A1159" s="4">
        <v>210</v>
      </c>
      <c r="B1159">
        <v>7280000</v>
      </c>
    </row>
    <row r="1160" spans="1:2" x14ac:dyDescent="0.4">
      <c r="A1160" s="4">
        <v>210</v>
      </c>
      <c r="B1160">
        <v>7290000</v>
      </c>
    </row>
    <row r="1161" spans="1:2" x14ac:dyDescent="0.4">
      <c r="A1161" s="4">
        <v>210</v>
      </c>
      <c r="B1161">
        <v>7310000</v>
      </c>
    </row>
    <row r="1162" spans="1:2" x14ac:dyDescent="0.4">
      <c r="A1162" s="4">
        <v>210</v>
      </c>
      <c r="B1162">
        <v>7330000</v>
      </c>
    </row>
    <row r="1163" spans="1:2" x14ac:dyDescent="0.4">
      <c r="A1163" s="4">
        <v>210</v>
      </c>
      <c r="B1163">
        <v>7330100</v>
      </c>
    </row>
    <row r="1164" spans="1:2" x14ac:dyDescent="0.4">
      <c r="A1164" s="4">
        <v>210</v>
      </c>
      <c r="B1164">
        <v>7330200</v>
      </c>
    </row>
    <row r="1165" spans="1:2" x14ac:dyDescent="0.4">
      <c r="A1165" s="4">
        <v>210</v>
      </c>
      <c r="B1165">
        <v>7330300</v>
      </c>
    </row>
    <row r="1166" spans="1:2" x14ac:dyDescent="0.4">
      <c r="A1166" s="4">
        <v>210</v>
      </c>
      <c r="B1166">
        <v>7330400</v>
      </c>
    </row>
    <row r="1167" spans="1:2" x14ac:dyDescent="0.4">
      <c r="A1167" s="4">
        <v>210</v>
      </c>
      <c r="B1167">
        <v>7330500</v>
      </c>
    </row>
    <row r="1168" spans="1:2" x14ac:dyDescent="0.4">
      <c r="A1168" s="4">
        <v>210</v>
      </c>
      <c r="B1168">
        <v>7330600</v>
      </c>
    </row>
    <row r="1169" spans="1:2" x14ac:dyDescent="0.4">
      <c r="A1169" s="4">
        <v>210</v>
      </c>
      <c r="B1169">
        <v>7330700</v>
      </c>
    </row>
    <row r="1170" spans="1:2" x14ac:dyDescent="0.4">
      <c r="A1170" s="4">
        <v>210</v>
      </c>
      <c r="B1170">
        <v>7330800</v>
      </c>
    </row>
    <row r="1171" spans="1:2" x14ac:dyDescent="0.4">
      <c r="A1171" s="4">
        <v>210</v>
      </c>
      <c r="B1171">
        <v>7330900</v>
      </c>
    </row>
    <row r="1172" spans="1:2" x14ac:dyDescent="0.4">
      <c r="A1172" s="4">
        <v>210</v>
      </c>
      <c r="B1172">
        <v>7331000</v>
      </c>
    </row>
    <row r="1173" spans="1:2" x14ac:dyDescent="0.4">
      <c r="A1173" s="4">
        <v>210</v>
      </c>
      <c r="B1173">
        <v>7331100</v>
      </c>
    </row>
    <row r="1174" spans="1:2" x14ac:dyDescent="0.4">
      <c r="A1174" s="4">
        <v>210</v>
      </c>
      <c r="B1174">
        <v>7331200</v>
      </c>
    </row>
    <row r="1175" spans="1:2" x14ac:dyDescent="0.4">
      <c r="A1175" s="4">
        <v>210</v>
      </c>
      <c r="B1175">
        <v>7331300</v>
      </c>
    </row>
    <row r="1176" spans="1:2" x14ac:dyDescent="0.4">
      <c r="A1176" s="4">
        <v>210</v>
      </c>
      <c r="B1176">
        <v>7331400</v>
      </c>
    </row>
    <row r="1177" spans="1:2" x14ac:dyDescent="0.4">
      <c r="A1177" s="4">
        <v>210</v>
      </c>
      <c r="B1177">
        <v>7331500</v>
      </c>
    </row>
    <row r="1178" spans="1:2" x14ac:dyDescent="0.4">
      <c r="A1178" s="4">
        <v>210</v>
      </c>
      <c r="B1178">
        <v>7331700</v>
      </c>
    </row>
    <row r="1179" spans="1:2" x14ac:dyDescent="0.4">
      <c r="A1179" s="4">
        <v>210</v>
      </c>
      <c r="B1179">
        <v>7331800</v>
      </c>
    </row>
    <row r="1180" spans="1:2" x14ac:dyDescent="0.4">
      <c r="A1180" s="4">
        <v>210</v>
      </c>
      <c r="B1180">
        <v>7331900</v>
      </c>
    </row>
    <row r="1181" spans="1:2" x14ac:dyDescent="0.4">
      <c r="A1181" s="4">
        <v>210</v>
      </c>
      <c r="B1181">
        <v>7332000</v>
      </c>
    </row>
    <row r="1182" spans="1:2" x14ac:dyDescent="0.4">
      <c r="A1182" s="4">
        <v>210</v>
      </c>
      <c r="B1182">
        <v>7332100</v>
      </c>
    </row>
    <row r="1183" spans="1:2" x14ac:dyDescent="0.4">
      <c r="A1183" s="4">
        <v>210</v>
      </c>
      <c r="B1183">
        <v>7332200</v>
      </c>
    </row>
    <row r="1184" spans="1:2" x14ac:dyDescent="0.4">
      <c r="A1184" s="4">
        <v>210</v>
      </c>
      <c r="B1184">
        <v>7332300</v>
      </c>
    </row>
    <row r="1185" spans="1:2" x14ac:dyDescent="0.4">
      <c r="A1185" s="4">
        <v>210</v>
      </c>
      <c r="B1185">
        <v>7332400</v>
      </c>
    </row>
    <row r="1186" spans="1:2" x14ac:dyDescent="0.4">
      <c r="A1186" s="4">
        <v>210</v>
      </c>
      <c r="B1186">
        <v>7340000</v>
      </c>
    </row>
    <row r="1187" spans="1:2" x14ac:dyDescent="0.4">
      <c r="A1187" s="4">
        <v>210</v>
      </c>
      <c r="B1187">
        <v>7340100</v>
      </c>
    </row>
    <row r="1188" spans="1:2" x14ac:dyDescent="0.4">
      <c r="A1188" s="4">
        <v>210</v>
      </c>
      <c r="B1188">
        <v>7340200</v>
      </c>
    </row>
    <row r="1189" spans="1:2" x14ac:dyDescent="0.4">
      <c r="A1189" s="4">
        <v>210</v>
      </c>
      <c r="B1189">
        <v>7340300</v>
      </c>
    </row>
    <row r="1190" spans="1:2" x14ac:dyDescent="0.4">
      <c r="A1190" s="4">
        <v>210</v>
      </c>
      <c r="B1190">
        <v>7340400</v>
      </c>
    </row>
    <row r="1191" spans="1:2" x14ac:dyDescent="0.4">
      <c r="A1191" s="4">
        <v>210</v>
      </c>
      <c r="B1191">
        <v>7340500</v>
      </c>
    </row>
    <row r="1192" spans="1:2" x14ac:dyDescent="0.4">
      <c r="A1192" s="4">
        <v>210</v>
      </c>
      <c r="B1192">
        <v>7340600</v>
      </c>
    </row>
    <row r="1193" spans="1:2" x14ac:dyDescent="0.4">
      <c r="A1193" s="4">
        <v>210</v>
      </c>
      <c r="B1193">
        <v>7340700</v>
      </c>
    </row>
    <row r="1194" spans="1:2" x14ac:dyDescent="0.4">
      <c r="A1194" s="4">
        <v>210</v>
      </c>
      <c r="B1194">
        <v>7340800</v>
      </c>
    </row>
    <row r="1195" spans="1:2" x14ac:dyDescent="0.4">
      <c r="A1195" s="4">
        <v>210</v>
      </c>
      <c r="B1195">
        <v>7340900</v>
      </c>
    </row>
    <row r="1196" spans="1:2" x14ac:dyDescent="0.4">
      <c r="A1196" s="4">
        <v>210</v>
      </c>
      <c r="B1196">
        <v>7341000</v>
      </c>
    </row>
    <row r="1197" spans="1:2" x14ac:dyDescent="0.4">
      <c r="A1197" s="4">
        <v>210</v>
      </c>
      <c r="B1197">
        <v>7341100</v>
      </c>
    </row>
    <row r="1198" spans="1:2" x14ac:dyDescent="0.4">
      <c r="A1198" s="4">
        <v>210</v>
      </c>
      <c r="B1198">
        <v>7341200</v>
      </c>
    </row>
    <row r="1199" spans="1:2" x14ac:dyDescent="0.4">
      <c r="A1199" s="4">
        <v>210</v>
      </c>
      <c r="B1199">
        <v>7341300</v>
      </c>
    </row>
    <row r="1200" spans="1:2" x14ac:dyDescent="0.4">
      <c r="A1200" s="4">
        <v>210</v>
      </c>
      <c r="B1200">
        <v>7341400</v>
      </c>
    </row>
    <row r="1201" spans="1:2" x14ac:dyDescent="0.4">
      <c r="A1201" s="4">
        <v>210</v>
      </c>
      <c r="B1201">
        <v>7341500</v>
      </c>
    </row>
    <row r="1202" spans="1:2" x14ac:dyDescent="0.4">
      <c r="A1202" s="4">
        <v>210</v>
      </c>
      <c r="B1202">
        <v>7341700</v>
      </c>
    </row>
    <row r="1203" spans="1:2" x14ac:dyDescent="0.4">
      <c r="A1203" s="4">
        <v>210</v>
      </c>
      <c r="B1203">
        <v>7341800</v>
      </c>
    </row>
    <row r="1204" spans="1:2" x14ac:dyDescent="0.4">
      <c r="A1204" s="4">
        <v>210</v>
      </c>
      <c r="B1204">
        <v>7341900</v>
      </c>
    </row>
    <row r="1205" spans="1:2" x14ac:dyDescent="0.4">
      <c r="A1205" s="4">
        <v>210</v>
      </c>
      <c r="B1205">
        <v>7342000</v>
      </c>
    </row>
    <row r="1206" spans="1:2" x14ac:dyDescent="0.4">
      <c r="A1206" s="4">
        <v>210</v>
      </c>
      <c r="B1206">
        <v>7342100</v>
      </c>
    </row>
    <row r="1207" spans="1:2" x14ac:dyDescent="0.4">
      <c r="A1207" s="4">
        <v>210</v>
      </c>
      <c r="B1207">
        <v>7342200</v>
      </c>
    </row>
    <row r="1208" spans="1:2" x14ac:dyDescent="0.4">
      <c r="A1208" s="4">
        <v>210</v>
      </c>
      <c r="B1208">
        <v>7342300</v>
      </c>
    </row>
    <row r="1209" spans="1:2" x14ac:dyDescent="0.4">
      <c r="A1209" s="4">
        <v>210</v>
      </c>
      <c r="B1209">
        <v>7342400</v>
      </c>
    </row>
    <row r="1210" spans="1:2" x14ac:dyDescent="0.4">
      <c r="A1210" s="4">
        <v>210</v>
      </c>
      <c r="B1210">
        <v>7350000</v>
      </c>
    </row>
    <row r="1211" spans="1:2" x14ac:dyDescent="0.4">
      <c r="A1211" s="4">
        <v>210</v>
      </c>
      <c r="B1211">
        <v>7350100</v>
      </c>
    </row>
    <row r="1212" spans="1:2" x14ac:dyDescent="0.4">
      <c r="A1212" s="4">
        <v>210</v>
      </c>
      <c r="B1212">
        <v>7350200</v>
      </c>
    </row>
    <row r="1213" spans="1:2" x14ac:dyDescent="0.4">
      <c r="A1213" s="4">
        <v>210</v>
      </c>
      <c r="B1213">
        <v>7350300</v>
      </c>
    </row>
    <row r="1214" spans="1:2" x14ac:dyDescent="0.4">
      <c r="A1214" s="4">
        <v>210</v>
      </c>
      <c r="B1214">
        <v>7350400</v>
      </c>
    </row>
    <row r="1215" spans="1:2" x14ac:dyDescent="0.4">
      <c r="A1215" s="4">
        <v>210</v>
      </c>
      <c r="B1215">
        <v>7350500</v>
      </c>
    </row>
    <row r="1216" spans="1:2" x14ac:dyDescent="0.4">
      <c r="A1216" s="4">
        <v>210</v>
      </c>
      <c r="B1216">
        <v>7350600</v>
      </c>
    </row>
    <row r="1217" spans="1:2" x14ac:dyDescent="0.4">
      <c r="A1217" s="4">
        <v>210</v>
      </c>
      <c r="B1217">
        <v>7350700</v>
      </c>
    </row>
    <row r="1218" spans="1:2" x14ac:dyDescent="0.4">
      <c r="A1218" s="4">
        <v>210</v>
      </c>
      <c r="B1218">
        <v>7350800</v>
      </c>
    </row>
    <row r="1219" spans="1:2" x14ac:dyDescent="0.4">
      <c r="A1219" s="4">
        <v>210</v>
      </c>
      <c r="B1219">
        <v>7350900</v>
      </c>
    </row>
    <row r="1220" spans="1:2" x14ac:dyDescent="0.4">
      <c r="A1220" s="4">
        <v>210</v>
      </c>
      <c r="B1220">
        <v>7351000</v>
      </c>
    </row>
    <row r="1221" spans="1:2" x14ac:dyDescent="0.4">
      <c r="A1221" s="4">
        <v>210</v>
      </c>
      <c r="B1221">
        <v>7351100</v>
      </c>
    </row>
    <row r="1222" spans="1:2" x14ac:dyDescent="0.4">
      <c r="A1222" s="4">
        <v>210</v>
      </c>
      <c r="B1222">
        <v>7351200</v>
      </c>
    </row>
    <row r="1223" spans="1:2" x14ac:dyDescent="0.4">
      <c r="A1223" s="4">
        <v>210</v>
      </c>
      <c r="B1223">
        <v>7351300</v>
      </c>
    </row>
    <row r="1224" spans="1:2" x14ac:dyDescent="0.4">
      <c r="A1224" s="4">
        <v>210</v>
      </c>
      <c r="B1224">
        <v>7351400</v>
      </c>
    </row>
    <row r="1225" spans="1:2" x14ac:dyDescent="0.4">
      <c r="A1225" s="4">
        <v>210</v>
      </c>
      <c r="B1225">
        <v>7351500</v>
      </c>
    </row>
    <row r="1226" spans="1:2" x14ac:dyDescent="0.4">
      <c r="A1226" s="4">
        <v>210</v>
      </c>
      <c r="B1226">
        <v>7351700</v>
      </c>
    </row>
    <row r="1227" spans="1:2" x14ac:dyDescent="0.4">
      <c r="A1227" s="4">
        <v>210</v>
      </c>
      <c r="B1227">
        <v>7351800</v>
      </c>
    </row>
    <row r="1228" spans="1:2" x14ac:dyDescent="0.4">
      <c r="A1228" s="4">
        <v>210</v>
      </c>
      <c r="B1228">
        <v>7351900</v>
      </c>
    </row>
    <row r="1229" spans="1:2" x14ac:dyDescent="0.4">
      <c r="A1229" s="4">
        <v>210</v>
      </c>
      <c r="B1229">
        <v>7352000</v>
      </c>
    </row>
    <row r="1230" spans="1:2" x14ac:dyDescent="0.4">
      <c r="A1230" s="4">
        <v>210</v>
      </c>
      <c r="B1230">
        <v>7352100</v>
      </c>
    </row>
    <row r="1231" spans="1:2" x14ac:dyDescent="0.4">
      <c r="A1231" s="4">
        <v>210</v>
      </c>
      <c r="B1231">
        <v>7352200</v>
      </c>
    </row>
    <row r="1232" spans="1:2" x14ac:dyDescent="0.4">
      <c r="A1232" s="4">
        <v>210</v>
      </c>
      <c r="B1232">
        <v>7352300</v>
      </c>
    </row>
    <row r="1233" spans="1:2" x14ac:dyDescent="0.4">
      <c r="A1233" s="4">
        <v>210</v>
      </c>
      <c r="B1233">
        <v>7352400</v>
      </c>
    </row>
    <row r="1234" spans="1:2" x14ac:dyDescent="0.4">
      <c r="A1234" s="4">
        <v>210</v>
      </c>
      <c r="B1234">
        <v>7360600</v>
      </c>
    </row>
    <row r="1235" spans="1:2" x14ac:dyDescent="0.4">
      <c r="A1235" s="4">
        <v>210</v>
      </c>
      <c r="B1235">
        <v>7360900</v>
      </c>
    </row>
    <row r="1236" spans="1:2" x14ac:dyDescent="0.4">
      <c r="A1236" s="4">
        <v>210</v>
      </c>
      <c r="B1236">
        <v>7361200</v>
      </c>
    </row>
    <row r="1237" spans="1:2" x14ac:dyDescent="0.4">
      <c r="A1237" s="4">
        <v>210</v>
      </c>
      <c r="B1237">
        <v>7361300</v>
      </c>
    </row>
    <row r="1238" spans="1:2" x14ac:dyDescent="0.4">
      <c r="A1238" s="4">
        <v>210</v>
      </c>
      <c r="B1238">
        <v>7362100</v>
      </c>
    </row>
    <row r="1239" spans="1:2" x14ac:dyDescent="0.4">
      <c r="A1239" s="4">
        <v>210</v>
      </c>
      <c r="B1239">
        <v>7370300</v>
      </c>
    </row>
    <row r="1240" spans="1:2" x14ac:dyDescent="0.4">
      <c r="A1240" s="4">
        <v>210</v>
      </c>
      <c r="B1240">
        <v>7370400</v>
      </c>
    </row>
    <row r="1241" spans="1:2" x14ac:dyDescent="0.4">
      <c r="A1241" s="4">
        <v>210</v>
      </c>
      <c r="B1241">
        <v>7370600</v>
      </c>
    </row>
    <row r="1242" spans="1:2" x14ac:dyDescent="0.4">
      <c r="A1242" s="4">
        <v>210</v>
      </c>
      <c r="B1242">
        <v>7370900</v>
      </c>
    </row>
    <row r="1243" spans="1:2" x14ac:dyDescent="0.4">
      <c r="A1243" s="4">
        <v>210</v>
      </c>
      <c r="B1243">
        <v>7371500</v>
      </c>
    </row>
    <row r="1244" spans="1:2" x14ac:dyDescent="0.4">
      <c r="A1244" s="4">
        <v>210</v>
      </c>
      <c r="B1244">
        <v>7036200</v>
      </c>
    </row>
    <row r="1245" spans="1:2" x14ac:dyDescent="0.4">
      <c r="A1245" s="4">
        <v>210</v>
      </c>
      <c r="B1245">
        <v>7036300</v>
      </c>
    </row>
    <row r="1246" spans="1:2" x14ac:dyDescent="0.4">
      <c r="A1246" s="4">
        <v>210</v>
      </c>
      <c r="B1246">
        <v>7036400</v>
      </c>
    </row>
    <row r="1247" spans="1:2" x14ac:dyDescent="0.4">
      <c r="A1247" s="4">
        <v>210</v>
      </c>
      <c r="B1247">
        <v>7036500</v>
      </c>
    </row>
    <row r="1248" spans="1:2" x14ac:dyDescent="0.4">
      <c r="A1248" s="4">
        <v>210</v>
      </c>
      <c r="B1248">
        <v>7036800</v>
      </c>
    </row>
    <row r="1249" spans="1:2" x14ac:dyDescent="0.4">
      <c r="A1249" s="4">
        <v>210</v>
      </c>
      <c r="B1249">
        <v>7036900</v>
      </c>
    </row>
    <row r="1250" spans="1:2" x14ac:dyDescent="0.4">
      <c r="A1250" s="4">
        <v>210</v>
      </c>
      <c r="B1250">
        <v>7037000</v>
      </c>
    </row>
    <row r="1251" spans="1:2" x14ac:dyDescent="0.4">
      <c r="A1251" s="4">
        <v>210</v>
      </c>
      <c r="B1251">
        <v>7037300</v>
      </c>
    </row>
    <row r="1252" spans="1:2" x14ac:dyDescent="0.4">
      <c r="A1252" s="4">
        <v>210</v>
      </c>
      <c r="B1252">
        <v>6630000</v>
      </c>
    </row>
    <row r="1253" spans="1:2" x14ac:dyDescent="0.4">
      <c r="A1253" s="4">
        <v>210</v>
      </c>
      <c r="B1253">
        <v>6630100</v>
      </c>
    </row>
    <row r="1254" spans="1:2" x14ac:dyDescent="0.4">
      <c r="A1254" s="4">
        <v>210</v>
      </c>
      <c r="B1254">
        <v>6630200</v>
      </c>
    </row>
    <row r="1255" spans="1:2" x14ac:dyDescent="0.4">
      <c r="A1255" s="4">
        <v>210</v>
      </c>
      <c r="B1255">
        <v>6630300</v>
      </c>
    </row>
    <row r="1256" spans="1:2" x14ac:dyDescent="0.4">
      <c r="A1256" s="4">
        <v>210</v>
      </c>
      <c r="B1256">
        <v>6630400</v>
      </c>
    </row>
    <row r="1257" spans="1:2" x14ac:dyDescent="0.4">
      <c r="A1257" s="4">
        <v>210</v>
      </c>
      <c r="B1257">
        <v>6630500</v>
      </c>
    </row>
    <row r="1258" spans="1:2" x14ac:dyDescent="0.4">
      <c r="A1258" s="4">
        <v>210</v>
      </c>
      <c r="B1258">
        <v>6630600</v>
      </c>
    </row>
    <row r="1259" spans="1:2" x14ac:dyDescent="0.4">
      <c r="A1259" s="4">
        <v>210</v>
      </c>
      <c r="B1259">
        <v>6630700</v>
      </c>
    </row>
    <row r="1260" spans="1:2" x14ac:dyDescent="0.4">
      <c r="A1260" s="4">
        <v>210</v>
      </c>
      <c r="B1260">
        <v>6630800</v>
      </c>
    </row>
    <row r="1261" spans="1:2" x14ac:dyDescent="0.4">
      <c r="A1261" s="4">
        <v>210</v>
      </c>
      <c r="B1261">
        <v>6630900</v>
      </c>
    </row>
    <row r="1262" spans="1:2" x14ac:dyDescent="0.4">
      <c r="A1262" s="4">
        <v>210</v>
      </c>
      <c r="B1262">
        <v>6631000</v>
      </c>
    </row>
    <row r="1263" spans="1:2" x14ac:dyDescent="0.4">
      <c r="A1263" s="4">
        <v>210</v>
      </c>
      <c r="B1263">
        <v>6631100</v>
      </c>
    </row>
    <row r="1264" spans="1:2" x14ac:dyDescent="0.4">
      <c r="A1264" s="4">
        <v>210</v>
      </c>
      <c r="B1264">
        <v>6631200</v>
      </c>
    </row>
    <row r="1265" spans="1:2" x14ac:dyDescent="0.4">
      <c r="A1265" s="4">
        <v>210</v>
      </c>
      <c r="B1265">
        <v>6631300</v>
      </c>
    </row>
    <row r="1266" spans="1:2" x14ac:dyDescent="0.4">
      <c r="A1266" s="4">
        <v>210</v>
      </c>
      <c r="B1266">
        <v>6631400</v>
      </c>
    </row>
    <row r="1267" spans="1:2" x14ac:dyDescent="0.4">
      <c r="A1267" s="4">
        <v>210</v>
      </c>
      <c r="B1267">
        <v>6631500</v>
      </c>
    </row>
    <row r="1268" spans="1:2" x14ac:dyDescent="0.4">
      <c r="A1268" s="4">
        <v>210</v>
      </c>
      <c r="B1268">
        <v>6631600</v>
      </c>
    </row>
    <row r="1269" spans="1:2" x14ac:dyDescent="0.4">
      <c r="A1269" s="4">
        <v>210</v>
      </c>
      <c r="B1269">
        <v>6631700</v>
      </c>
    </row>
    <row r="1270" spans="1:2" x14ac:dyDescent="0.4">
      <c r="A1270" s="4">
        <v>210</v>
      </c>
      <c r="B1270">
        <v>6631800</v>
      </c>
    </row>
    <row r="1271" spans="1:2" x14ac:dyDescent="0.4">
      <c r="A1271" s="4">
        <v>210</v>
      </c>
      <c r="B1271">
        <v>6631900</v>
      </c>
    </row>
    <row r="1272" spans="1:2" x14ac:dyDescent="0.4">
      <c r="A1272" s="4">
        <v>210</v>
      </c>
      <c r="B1272">
        <v>6632000</v>
      </c>
    </row>
    <row r="1273" spans="1:2" x14ac:dyDescent="0.4">
      <c r="A1273" s="4">
        <v>210</v>
      </c>
      <c r="B1273">
        <v>6632100</v>
      </c>
    </row>
    <row r="1274" spans="1:2" x14ac:dyDescent="0.4">
      <c r="A1274" s="4">
        <v>210</v>
      </c>
      <c r="B1274">
        <v>6632200</v>
      </c>
    </row>
    <row r="1275" spans="1:2" x14ac:dyDescent="0.4">
      <c r="A1275" s="4">
        <v>210</v>
      </c>
      <c r="B1275">
        <v>6632300</v>
      </c>
    </row>
    <row r="1276" spans="1:2" x14ac:dyDescent="0.4">
      <c r="A1276" s="4">
        <v>210</v>
      </c>
      <c r="B1276">
        <v>6632400</v>
      </c>
    </row>
    <row r="1277" spans="1:2" x14ac:dyDescent="0.4">
      <c r="A1277" s="4">
        <v>210</v>
      </c>
      <c r="B1277">
        <v>6632500</v>
      </c>
    </row>
    <row r="1278" spans="1:2" x14ac:dyDescent="0.4">
      <c r="A1278" s="4">
        <v>210</v>
      </c>
      <c r="B1278">
        <v>6632600</v>
      </c>
    </row>
    <row r="1279" spans="1:2" x14ac:dyDescent="0.4">
      <c r="A1279" s="4">
        <v>210</v>
      </c>
      <c r="B1279">
        <v>6632700</v>
      </c>
    </row>
    <row r="1280" spans="1:2" x14ac:dyDescent="0.4">
      <c r="A1280" s="4">
        <v>210</v>
      </c>
      <c r="B1280">
        <v>6632800</v>
      </c>
    </row>
    <row r="1281" spans="1:2" x14ac:dyDescent="0.4">
      <c r="A1281" s="4">
        <v>210</v>
      </c>
      <c r="B1281">
        <v>6632900</v>
      </c>
    </row>
    <row r="1282" spans="1:2" x14ac:dyDescent="0.4">
      <c r="A1282" s="4">
        <v>210</v>
      </c>
      <c r="B1282">
        <v>6633000</v>
      </c>
    </row>
    <row r="1283" spans="1:2" x14ac:dyDescent="0.4">
      <c r="A1283" s="4">
        <v>210</v>
      </c>
      <c r="B1283">
        <v>6633100</v>
      </c>
    </row>
    <row r="1284" spans="1:2" x14ac:dyDescent="0.4">
      <c r="A1284" s="4">
        <v>210</v>
      </c>
      <c r="B1284">
        <v>6633200</v>
      </c>
    </row>
    <row r="1285" spans="1:2" x14ac:dyDescent="0.4">
      <c r="A1285" s="4">
        <v>210</v>
      </c>
      <c r="B1285">
        <v>6647200</v>
      </c>
    </row>
    <row r="1286" spans="1:2" x14ac:dyDescent="0.4">
      <c r="A1286" s="4">
        <v>210</v>
      </c>
      <c r="B1286">
        <v>6647300</v>
      </c>
    </row>
    <row r="1287" spans="1:2" x14ac:dyDescent="0.4">
      <c r="A1287" s="4">
        <v>210</v>
      </c>
      <c r="B1287">
        <v>6647400</v>
      </c>
    </row>
    <row r="1288" spans="1:2" x14ac:dyDescent="0.4">
      <c r="A1288" s="4">
        <v>210</v>
      </c>
      <c r="B1288">
        <v>6647500</v>
      </c>
    </row>
    <row r="1289" spans="1:2" x14ac:dyDescent="0.4">
      <c r="A1289" s="4">
        <v>210</v>
      </c>
      <c r="B1289">
        <v>6640000</v>
      </c>
    </row>
    <row r="1290" spans="1:2" x14ac:dyDescent="0.4">
      <c r="A1290" s="4">
        <v>210</v>
      </c>
      <c r="B1290">
        <v>6640100</v>
      </c>
    </row>
    <row r="1291" spans="1:2" x14ac:dyDescent="0.4">
      <c r="A1291" s="4">
        <v>210</v>
      </c>
      <c r="B1291">
        <v>6641000</v>
      </c>
    </row>
    <row r="1292" spans="1:2" x14ac:dyDescent="0.4">
      <c r="A1292" s="4">
        <v>210</v>
      </c>
      <c r="B1292">
        <v>6641100</v>
      </c>
    </row>
    <row r="1293" spans="1:2" x14ac:dyDescent="0.4">
      <c r="A1293" s="4">
        <v>210</v>
      </c>
      <c r="B1293">
        <v>6642000</v>
      </c>
    </row>
    <row r="1294" spans="1:2" x14ac:dyDescent="0.4">
      <c r="A1294" s="4">
        <v>210</v>
      </c>
      <c r="B1294">
        <v>6642100</v>
      </c>
    </row>
    <row r="1295" spans="1:2" x14ac:dyDescent="0.4">
      <c r="A1295" s="4">
        <v>210</v>
      </c>
      <c r="B1295">
        <v>6643000</v>
      </c>
    </row>
    <row r="1296" spans="1:2" x14ac:dyDescent="0.4">
      <c r="A1296" s="4">
        <v>210</v>
      </c>
      <c r="B1296">
        <v>6643100</v>
      </c>
    </row>
    <row r="1297" spans="1:2" x14ac:dyDescent="0.4">
      <c r="A1297" s="4">
        <v>210</v>
      </c>
      <c r="B1297">
        <v>6644000</v>
      </c>
    </row>
    <row r="1298" spans="1:2" x14ac:dyDescent="0.4">
      <c r="A1298" s="4">
        <v>210</v>
      </c>
      <c r="B1298">
        <v>6644100</v>
      </c>
    </row>
    <row r="1299" spans="1:2" x14ac:dyDescent="0.4">
      <c r="A1299" s="4">
        <v>210</v>
      </c>
      <c r="B1299">
        <v>6645000</v>
      </c>
    </row>
    <row r="1300" spans="1:2" x14ac:dyDescent="0.4">
      <c r="A1300" s="4">
        <v>210</v>
      </c>
      <c r="B1300">
        <v>6645100</v>
      </c>
    </row>
    <row r="1301" spans="1:2" x14ac:dyDescent="0.4">
      <c r="A1301" s="4">
        <v>210</v>
      </c>
      <c r="B1301">
        <v>6646000</v>
      </c>
    </row>
    <row r="1302" spans="1:2" x14ac:dyDescent="0.4">
      <c r="A1302" s="4">
        <v>210</v>
      </c>
      <c r="B1302">
        <v>6646100</v>
      </c>
    </row>
    <row r="1303" spans="1:2" x14ac:dyDescent="0.4">
      <c r="A1303" s="4">
        <v>210</v>
      </c>
      <c r="B1303">
        <v>6647000</v>
      </c>
    </row>
    <row r="1304" spans="1:2" x14ac:dyDescent="0.4">
      <c r="A1304" s="4">
        <v>210</v>
      </c>
      <c r="B1304">
        <v>6647100</v>
      </c>
    </row>
    <row r="1305" spans="1:2" x14ac:dyDescent="0.4">
      <c r="A1305" s="4">
        <v>300</v>
      </c>
      <c r="B1305">
        <v>7000000</v>
      </c>
    </row>
    <row r="1306" spans="1:2" x14ac:dyDescent="0.4">
      <c r="A1306" s="4">
        <v>300</v>
      </c>
      <c r="B1306">
        <v>7000001</v>
      </c>
    </row>
    <row r="1307" spans="1:2" x14ac:dyDescent="0.4">
      <c r="A1307" s="4">
        <v>300</v>
      </c>
      <c r="B1307">
        <v>7000002</v>
      </c>
    </row>
    <row r="1308" spans="1:2" x14ac:dyDescent="0.4">
      <c r="A1308" s="4">
        <v>300</v>
      </c>
      <c r="B1308">
        <v>7000100</v>
      </c>
    </row>
    <row r="1309" spans="1:2" x14ac:dyDescent="0.4">
      <c r="A1309" s="4">
        <v>300</v>
      </c>
      <c r="B1309">
        <v>7000101</v>
      </c>
    </row>
    <row r="1310" spans="1:2" x14ac:dyDescent="0.4">
      <c r="A1310" s="4">
        <v>300</v>
      </c>
      <c r="B1310">
        <v>7000102</v>
      </c>
    </row>
    <row r="1311" spans="1:2" x14ac:dyDescent="0.4">
      <c r="A1311" s="4">
        <v>300</v>
      </c>
      <c r="B1311">
        <v>7000200</v>
      </c>
    </row>
    <row r="1312" spans="1:2" x14ac:dyDescent="0.4">
      <c r="A1312" s="4">
        <v>300</v>
      </c>
      <c r="B1312">
        <v>7000201</v>
      </c>
    </row>
    <row r="1313" spans="1:2" x14ac:dyDescent="0.4">
      <c r="A1313" s="4">
        <v>300</v>
      </c>
      <c r="B1313">
        <v>7000202</v>
      </c>
    </row>
    <row r="1314" spans="1:2" x14ac:dyDescent="0.4">
      <c r="A1314" s="4">
        <v>300</v>
      </c>
      <c r="B1314">
        <v>7000300</v>
      </c>
    </row>
    <row r="1315" spans="1:2" x14ac:dyDescent="0.4">
      <c r="A1315" s="4">
        <v>300</v>
      </c>
      <c r="B1315">
        <v>7000301</v>
      </c>
    </row>
    <row r="1316" spans="1:2" x14ac:dyDescent="0.4">
      <c r="A1316" s="4">
        <v>300</v>
      </c>
      <c r="B1316">
        <v>7000302</v>
      </c>
    </row>
    <row r="1317" spans="1:2" x14ac:dyDescent="0.4">
      <c r="A1317" s="4">
        <v>300</v>
      </c>
      <c r="B1317">
        <v>7000400</v>
      </c>
    </row>
    <row r="1318" spans="1:2" x14ac:dyDescent="0.4">
      <c r="A1318" s="4">
        <v>300</v>
      </c>
      <c r="B1318">
        <v>7000401</v>
      </c>
    </row>
    <row r="1319" spans="1:2" x14ac:dyDescent="0.4">
      <c r="A1319" s="4">
        <v>300</v>
      </c>
      <c r="B1319">
        <v>7000402</v>
      </c>
    </row>
    <row r="1320" spans="1:2" x14ac:dyDescent="0.4">
      <c r="A1320" s="4">
        <v>300</v>
      </c>
      <c r="B1320">
        <v>7000500</v>
      </c>
    </row>
    <row r="1321" spans="1:2" x14ac:dyDescent="0.4">
      <c r="A1321" s="4">
        <v>300</v>
      </c>
      <c r="B1321">
        <v>7000501</v>
      </c>
    </row>
    <row r="1322" spans="1:2" x14ac:dyDescent="0.4">
      <c r="A1322" s="4">
        <v>300</v>
      </c>
      <c r="B1322">
        <v>7000502</v>
      </c>
    </row>
    <row r="1323" spans="1:2" x14ac:dyDescent="0.4">
      <c r="A1323" s="4">
        <v>300</v>
      </c>
      <c r="B1323">
        <v>7000600</v>
      </c>
    </row>
    <row r="1324" spans="1:2" x14ac:dyDescent="0.4">
      <c r="A1324" s="4">
        <v>300</v>
      </c>
      <c r="B1324">
        <v>7000601</v>
      </c>
    </row>
    <row r="1325" spans="1:2" x14ac:dyDescent="0.4">
      <c r="A1325" s="4">
        <v>300</v>
      </c>
      <c r="B1325">
        <v>7000602</v>
      </c>
    </row>
    <row r="1326" spans="1:2" x14ac:dyDescent="0.4">
      <c r="A1326" s="4">
        <v>300</v>
      </c>
      <c r="B1326">
        <v>7000700</v>
      </c>
    </row>
    <row r="1327" spans="1:2" x14ac:dyDescent="0.4">
      <c r="A1327" s="4">
        <v>300</v>
      </c>
      <c r="B1327">
        <v>7000701</v>
      </c>
    </row>
    <row r="1328" spans="1:2" x14ac:dyDescent="0.4">
      <c r="A1328" s="4">
        <v>300</v>
      </c>
      <c r="B1328">
        <v>7000702</v>
      </c>
    </row>
    <row r="1329" spans="1:2" x14ac:dyDescent="0.4">
      <c r="A1329" s="4">
        <v>300</v>
      </c>
      <c r="B1329">
        <v>7000800</v>
      </c>
    </row>
    <row r="1330" spans="1:2" x14ac:dyDescent="0.4">
      <c r="A1330" s="4">
        <v>300</v>
      </c>
      <c r="B1330">
        <v>7000801</v>
      </c>
    </row>
    <row r="1331" spans="1:2" x14ac:dyDescent="0.4">
      <c r="A1331" s="4">
        <v>300</v>
      </c>
      <c r="B1331">
        <v>7000802</v>
      </c>
    </row>
    <row r="1332" spans="1:2" x14ac:dyDescent="0.4">
      <c r="A1332" s="4">
        <v>300</v>
      </c>
      <c r="B1332">
        <v>7000900</v>
      </c>
    </row>
    <row r="1333" spans="1:2" x14ac:dyDescent="0.4">
      <c r="A1333" s="4">
        <v>300</v>
      </c>
      <c r="B1333">
        <v>7000901</v>
      </c>
    </row>
    <row r="1334" spans="1:2" x14ac:dyDescent="0.4">
      <c r="A1334" s="4">
        <v>300</v>
      </c>
      <c r="B1334">
        <v>7000902</v>
      </c>
    </row>
    <row r="1335" spans="1:2" x14ac:dyDescent="0.4">
      <c r="A1335" s="4">
        <v>300</v>
      </c>
      <c r="B1335">
        <v>7001000</v>
      </c>
    </row>
    <row r="1336" spans="1:2" x14ac:dyDescent="0.4">
      <c r="A1336" s="4">
        <v>300</v>
      </c>
      <c r="B1336">
        <v>7001001</v>
      </c>
    </row>
    <row r="1337" spans="1:2" x14ac:dyDescent="0.4">
      <c r="A1337" s="4">
        <v>300</v>
      </c>
      <c r="B1337">
        <v>7001002</v>
      </c>
    </row>
    <row r="1338" spans="1:2" x14ac:dyDescent="0.4">
      <c r="A1338" s="4">
        <v>300</v>
      </c>
      <c r="B1338">
        <v>7001400</v>
      </c>
    </row>
    <row r="1339" spans="1:2" x14ac:dyDescent="0.4">
      <c r="A1339" s="4">
        <v>300</v>
      </c>
      <c r="B1339">
        <v>7001401</v>
      </c>
    </row>
    <row r="1340" spans="1:2" x14ac:dyDescent="0.4">
      <c r="A1340" s="4">
        <v>300</v>
      </c>
      <c r="B1340">
        <v>7001402</v>
      </c>
    </row>
    <row r="1341" spans="1:2" x14ac:dyDescent="0.4">
      <c r="A1341" s="4">
        <v>300</v>
      </c>
      <c r="B1341">
        <v>7001500</v>
      </c>
    </row>
    <row r="1342" spans="1:2" x14ac:dyDescent="0.4">
      <c r="A1342" s="4">
        <v>300</v>
      </c>
      <c r="B1342">
        <v>7001501</v>
      </c>
    </row>
    <row r="1343" spans="1:2" x14ac:dyDescent="0.4">
      <c r="A1343" s="4">
        <v>300</v>
      </c>
      <c r="B1343">
        <v>7001502</v>
      </c>
    </row>
    <row r="1344" spans="1:2" x14ac:dyDescent="0.4">
      <c r="A1344" s="4">
        <v>300</v>
      </c>
      <c r="B1344">
        <v>7001600</v>
      </c>
    </row>
    <row r="1345" spans="1:2" x14ac:dyDescent="0.4">
      <c r="A1345" s="4">
        <v>300</v>
      </c>
      <c r="B1345">
        <v>7001601</v>
      </c>
    </row>
    <row r="1346" spans="1:2" x14ac:dyDescent="0.4">
      <c r="A1346" s="4">
        <v>300</v>
      </c>
      <c r="B1346">
        <v>7001602</v>
      </c>
    </row>
    <row r="1347" spans="1:2" x14ac:dyDescent="0.4">
      <c r="A1347" s="4">
        <v>300</v>
      </c>
      <c r="B1347">
        <v>7001700</v>
      </c>
    </row>
    <row r="1348" spans="1:2" x14ac:dyDescent="0.4">
      <c r="A1348" s="4">
        <v>300</v>
      </c>
      <c r="B1348">
        <v>7001701</v>
      </c>
    </row>
    <row r="1349" spans="1:2" x14ac:dyDescent="0.4">
      <c r="A1349" s="4">
        <v>300</v>
      </c>
      <c r="B1349">
        <v>7001702</v>
      </c>
    </row>
    <row r="1350" spans="1:2" x14ac:dyDescent="0.4">
      <c r="A1350" s="4">
        <v>300</v>
      </c>
      <c r="B1350">
        <v>7001800</v>
      </c>
    </row>
    <row r="1351" spans="1:2" x14ac:dyDescent="0.4">
      <c r="A1351" s="4">
        <v>300</v>
      </c>
      <c r="B1351">
        <v>7001801</v>
      </c>
    </row>
    <row r="1352" spans="1:2" x14ac:dyDescent="0.4">
      <c r="A1352" s="4">
        <v>300</v>
      </c>
      <c r="B1352">
        <v>7001802</v>
      </c>
    </row>
    <row r="1353" spans="1:2" x14ac:dyDescent="0.4">
      <c r="A1353" s="4">
        <v>300</v>
      </c>
      <c r="B1353">
        <v>7002600</v>
      </c>
    </row>
    <row r="1354" spans="1:2" x14ac:dyDescent="0.4">
      <c r="A1354" s="4">
        <v>300</v>
      </c>
      <c r="B1354">
        <v>7002700</v>
      </c>
    </row>
    <row r="1355" spans="1:2" x14ac:dyDescent="0.4">
      <c r="A1355" s="4">
        <v>300</v>
      </c>
      <c r="B1355">
        <v>7002800</v>
      </c>
    </row>
    <row r="1356" spans="1:2" x14ac:dyDescent="0.4">
      <c r="A1356" s="4">
        <v>300</v>
      </c>
      <c r="B1356">
        <v>7002900</v>
      </c>
    </row>
    <row r="1357" spans="1:2" x14ac:dyDescent="0.4">
      <c r="A1357" s="4">
        <v>300</v>
      </c>
      <c r="B1357">
        <v>7003000</v>
      </c>
    </row>
    <row r="1358" spans="1:2" x14ac:dyDescent="0.4">
      <c r="A1358" s="4">
        <v>300</v>
      </c>
      <c r="B1358">
        <v>7003100</v>
      </c>
    </row>
    <row r="1359" spans="1:2" x14ac:dyDescent="0.4">
      <c r="A1359" s="4">
        <v>300</v>
      </c>
      <c r="B1359">
        <v>7003200</v>
      </c>
    </row>
    <row r="1360" spans="1:2" x14ac:dyDescent="0.4">
      <c r="A1360" s="4">
        <v>300</v>
      </c>
      <c r="B1360">
        <v>7003300</v>
      </c>
    </row>
    <row r="1361" spans="1:2" x14ac:dyDescent="0.4">
      <c r="A1361" s="4">
        <v>300</v>
      </c>
      <c r="B1361">
        <v>7003400</v>
      </c>
    </row>
    <row r="1362" spans="1:2" x14ac:dyDescent="0.4">
      <c r="A1362" s="4">
        <v>300</v>
      </c>
      <c r="B1362">
        <v>7003500</v>
      </c>
    </row>
    <row r="1363" spans="1:2" x14ac:dyDescent="0.4">
      <c r="A1363" s="4">
        <v>300</v>
      </c>
      <c r="B1363">
        <v>7003600</v>
      </c>
    </row>
    <row r="1364" spans="1:2" x14ac:dyDescent="0.4">
      <c r="A1364" s="4">
        <v>300</v>
      </c>
      <c r="B1364">
        <v>7005600</v>
      </c>
    </row>
    <row r="1365" spans="1:2" x14ac:dyDescent="0.4">
      <c r="A1365" s="4">
        <v>300</v>
      </c>
      <c r="B1365">
        <v>7006000</v>
      </c>
    </row>
    <row r="1366" spans="1:2" x14ac:dyDescent="0.4">
      <c r="A1366" s="4">
        <v>300</v>
      </c>
      <c r="B1366">
        <v>7006100</v>
      </c>
    </row>
    <row r="1367" spans="1:2" x14ac:dyDescent="0.4">
      <c r="A1367" s="4">
        <v>300</v>
      </c>
      <c r="B1367">
        <v>7010200</v>
      </c>
    </row>
    <row r="1368" spans="1:2" x14ac:dyDescent="0.4">
      <c r="A1368" s="4">
        <v>300</v>
      </c>
      <c r="B1368">
        <v>7010500</v>
      </c>
    </row>
    <row r="1369" spans="1:2" x14ac:dyDescent="0.4">
      <c r="A1369" s="4">
        <v>300</v>
      </c>
      <c r="B1369">
        <v>7010700</v>
      </c>
    </row>
    <row r="1370" spans="1:2" x14ac:dyDescent="0.4">
      <c r="A1370" s="4">
        <v>300</v>
      </c>
      <c r="B1370">
        <v>7010900</v>
      </c>
    </row>
    <row r="1371" spans="1:2" x14ac:dyDescent="0.4">
      <c r="A1371" s="4">
        <v>300</v>
      </c>
      <c r="B1371">
        <v>7011000</v>
      </c>
    </row>
    <row r="1372" spans="1:2" x14ac:dyDescent="0.4">
      <c r="A1372" s="4">
        <v>300</v>
      </c>
      <c r="B1372">
        <v>7011200</v>
      </c>
    </row>
    <row r="1373" spans="1:2" x14ac:dyDescent="0.4">
      <c r="A1373" s="4">
        <v>300</v>
      </c>
      <c r="B1373">
        <v>7011600</v>
      </c>
    </row>
    <row r="1374" spans="1:2" x14ac:dyDescent="0.4">
      <c r="A1374" s="4">
        <v>300</v>
      </c>
      <c r="B1374">
        <v>7011700</v>
      </c>
    </row>
    <row r="1375" spans="1:2" x14ac:dyDescent="0.4">
      <c r="A1375" s="4">
        <v>300</v>
      </c>
      <c r="B1375">
        <v>7012000</v>
      </c>
    </row>
    <row r="1376" spans="1:2" x14ac:dyDescent="0.4">
      <c r="A1376" s="4">
        <v>300</v>
      </c>
      <c r="B1376">
        <v>7012200</v>
      </c>
    </row>
    <row r="1377" spans="1:2" x14ac:dyDescent="0.4">
      <c r="A1377" s="4">
        <v>300</v>
      </c>
      <c r="B1377">
        <v>7012300</v>
      </c>
    </row>
    <row r="1378" spans="1:2" x14ac:dyDescent="0.4">
      <c r="A1378" s="4">
        <v>300</v>
      </c>
      <c r="B1378">
        <v>7020000</v>
      </c>
    </row>
    <row r="1379" spans="1:2" x14ac:dyDescent="0.4">
      <c r="A1379" s="4">
        <v>300</v>
      </c>
      <c r="B1379">
        <v>7030000</v>
      </c>
    </row>
    <row r="1380" spans="1:2" x14ac:dyDescent="0.4">
      <c r="A1380" s="4">
        <v>300</v>
      </c>
      <c r="B1380">
        <v>7030200</v>
      </c>
    </row>
    <row r="1381" spans="1:2" x14ac:dyDescent="0.4">
      <c r="A1381" s="4">
        <v>300</v>
      </c>
      <c r="B1381">
        <v>7030600</v>
      </c>
    </row>
    <row r="1382" spans="1:2" x14ac:dyDescent="0.4">
      <c r="A1382" s="4">
        <v>300</v>
      </c>
      <c r="B1382">
        <v>7030700</v>
      </c>
    </row>
    <row r="1383" spans="1:2" x14ac:dyDescent="0.4">
      <c r="A1383" s="4">
        <v>300</v>
      </c>
      <c r="B1383">
        <v>7030800</v>
      </c>
    </row>
    <row r="1384" spans="1:2" x14ac:dyDescent="0.4">
      <c r="A1384" s="4">
        <v>300</v>
      </c>
      <c r="B1384">
        <v>7030900</v>
      </c>
    </row>
    <row r="1385" spans="1:2" x14ac:dyDescent="0.4">
      <c r="A1385" s="4">
        <v>300</v>
      </c>
      <c r="B1385">
        <v>7031200</v>
      </c>
    </row>
    <row r="1386" spans="1:2" x14ac:dyDescent="0.4">
      <c r="A1386" s="4">
        <v>300</v>
      </c>
      <c r="B1386">
        <v>7031300</v>
      </c>
    </row>
    <row r="1387" spans="1:2" x14ac:dyDescent="0.4">
      <c r="A1387" s="4">
        <v>300</v>
      </c>
      <c r="B1387">
        <v>7031800</v>
      </c>
    </row>
    <row r="1388" spans="1:2" x14ac:dyDescent="0.4">
      <c r="A1388" s="4">
        <v>300</v>
      </c>
      <c r="B1388">
        <v>7031900</v>
      </c>
    </row>
    <row r="1389" spans="1:2" x14ac:dyDescent="0.4">
      <c r="A1389" s="4">
        <v>300</v>
      </c>
      <c r="B1389">
        <v>7032200</v>
      </c>
    </row>
    <row r="1390" spans="1:2" x14ac:dyDescent="0.4">
      <c r="A1390" s="4">
        <v>300</v>
      </c>
      <c r="B1390">
        <v>7032400</v>
      </c>
    </row>
    <row r="1391" spans="1:2" x14ac:dyDescent="0.4">
      <c r="A1391" s="4">
        <v>300</v>
      </c>
      <c r="B1391">
        <v>7032700</v>
      </c>
    </row>
    <row r="1392" spans="1:2" x14ac:dyDescent="0.4">
      <c r="A1392" s="4">
        <v>300</v>
      </c>
      <c r="B1392">
        <v>7032800</v>
      </c>
    </row>
    <row r="1393" spans="1:2" x14ac:dyDescent="0.4">
      <c r="A1393" s="4">
        <v>300</v>
      </c>
      <c r="B1393">
        <v>7032900</v>
      </c>
    </row>
    <row r="1394" spans="1:2" x14ac:dyDescent="0.4">
      <c r="A1394" s="4">
        <v>300</v>
      </c>
      <c r="B1394">
        <v>7033200</v>
      </c>
    </row>
    <row r="1395" spans="1:2" x14ac:dyDescent="0.4">
      <c r="A1395" s="4">
        <v>300</v>
      </c>
      <c r="B1395">
        <v>7033400</v>
      </c>
    </row>
    <row r="1396" spans="1:2" x14ac:dyDescent="0.4">
      <c r="A1396" s="4">
        <v>300</v>
      </c>
      <c r="B1396">
        <v>7034100</v>
      </c>
    </row>
    <row r="1397" spans="1:2" x14ac:dyDescent="0.4">
      <c r="A1397" s="4">
        <v>300</v>
      </c>
      <c r="B1397">
        <v>7034400</v>
      </c>
    </row>
    <row r="1398" spans="1:2" x14ac:dyDescent="0.4">
      <c r="A1398" s="4">
        <v>300</v>
      </c>
      <c r="B1398">
        <v>7034500</v>
      </c>
    </row>
    <row r="1399" spans="1:2" x14ac:dyDescent="0.4">
      <c r="A1399" s="4">
        <v>300</v>
      </c>
      <c r="B1399">
        <v>7034600</v>
      </c>
    </row>
    <row r="1400" spans="1:2" x14ac:dyDescent="0.4">
      <c r="A1400" s="4">
        <v>300</v>
      </c>
      <c r="B1400">
        <v>7034700</v>
      </c>
    </row>
    <row r="1401" spans="1:2" x14ac:dyDescent="0.4">
      <c r="A1401" s="4">
        <v>300</v>
      </c>
      <c r="B1401">
        <v>7035100</v>
      </c>
    </row>
    <row r="1402" spans="1:2" x14ac:dyDescent="0.4">
      <c r="A1402" s="4">
        <v>300</v>
      </c>
      <c r="B1402">
        <v>7036100</v>
      </c>
    </row>
    <row r="1403" spans="1:2" x14ac:dyDescent="0.4">
      <c r="A1403" s="4">
        <v>300</v>
      </c>
      <c r="B1403">
        <v>7040000</v>
      </c>
    </row>
    <row r="1404" spans="1:2" x14ac:dyDescent="0.4">
      <c r="A1404" s="4">
        <v>300</v>
      </c>
      <c r="B1404">
        <v>7040100</v>
      </c>
    </row>
    <row r="1405" spans="1:2" x14ac:dyDescent="0.4">
      <c r="A1405" s="4">
        <v>300</v>
      </c>
      <c r="B1405">
        <v>7040200</v>
      </c>
    </row>
    <row r="1406" spans="1:2" x14ac:dyDescent="0.4">
      <c r="A1406" s="4">
        <v>300</v>
      </c>
      <c r="B1406">
        <v>7040300</v>
      </c>
    </row>
    <row r="1407" spans="1:2" x14ac:dyDescent="0.4">
      <c r="A1407" s="4">
        <v>300</v>
      </c>
      <c r="B1407">
        <v>7040400</v>
      </c>
    </row>
    <row r="1408" spans="1:2" x14ac:dyDescent="0.4">
      <c r="A1408" s="4">
        <v>300</v>
      </c>
      <c r="B1408">
        <v>7040500</v>
      </c>
    </row>
    <row r="1409" spans="1:2" x14ac:dyDescent="0.4">
      <c r="A1409" s="4">
        <v>300</v>
      </c>
      <c r="B1409">
        <v>7043000</v>
      </c>
    </row>
    <row r="1410" spans="1:2" x14ac:dyDescent="0.4">
      <c r="A1410" s="4">
        <v>300</v>
      </c>
      <c r="B1410">
        <v>7043100</v>
      </c>
    </row>
    <row r="1411" spans="1:2" x14ac:dyDescent="0.4">
      <c r="A1411" s="4">
        <v>300</v>
      </c>
      <c r="B1411">
        <v>7043200</v>
      </c>
    </row>
    <row r="1412" spans="1:2" x14ac:dyDescent="0.4">
      <c r="A1412" s="4">
        <v>300</v>
      </c>
      <c r="B1412">
        <v>7043300</v>
      </c>
    </row>
    <row r="1413" spans="1:2" x14ac:dyDescent="0.4">
      <c r="A1413" s="4">
        <v>300</v>
      </c>
      <c r="B1413">
        <v>7043400</v>
      </c>
    </row>
    <row r="1414" spans="1:2" x14ac:dyDescent="0.4">
      <c r="A1414" s="4">
        <v>300</v>
      </c>
      <c r="B1414">
        <v>7043500</v>
      </c>
    </row>
    <row r="1415" spans="1:2" x14ac:dyDescent="0.4">
      <c r="A1415" s="4">
        <v>300</v>
      </c>
      <c r="B1415">
        <v>7043600</v>
      </c>
    </row>
    <row r="1416" spans="1:2" x14ac:dyDescent="0.4">
      <c r="A1416" s="4">
        <v>300</v>
      </c>
      <c r="B1416">
        <v>7043700</v>
      </c>
    </row>
    <row r="1417" spans="1:2" x14ac:dyDescent="0.4">
      <c r="A1417" s="4">
        <v>300</v>
      </c>
      <c r="B1417">
        <v>7043800</v>
      </c>
    </row>
    <row r="1418" spans="1:2" x14ac:dyDescent="0.4">
      <c r="A1418" s="4">
        <v>300</v>
      </c>
      <c r="B1418">
        <v>7044000</v>
      </c>
    </row>
    <row r="1419" spans="1:2" x14ac:dyDescent="0.4">
      <c r="A1419" s="4">
        <v>300</v>
      </c>
      <c r="B1419">
        <v>7044100</v>
      </c>
    </row>
    <row r="1420" spans="1:2" x14ac:dyDescent="0.4">
      <c r="A1420" s="4">
        <v>300</v>
      </c>
      <c r="B1420">
        <v>7044200</v>
      </c>
    </row>
    <row r="1421" spans="1:2" x14ac:dyDescent="0.4">
      <c r="A1421" s="4">
        <v>300</v>
      </c>
      <c r="B1421">
        <v>7044300</v>
      </c>
    </row>
    <row r="1422" spans="1:2" x14ac:dyDescent="0.4">
      <c r="A1422" s="4">
        <v>300</v>
      </c>
      <c r="B1422">
        <v>7044400</v>
      </c>
    </row>
    <row r="1423" spans="1:2" x14ac:dyDescent="0.4">
      <c r="A1423" s="4">
        <v>300</v>
      </c>
      <c r="B1423">
        <v>7044500</v>
      </c>
    </row>
    <row r="1424" spans="1:2" x14ac:dyDescent="0.4">
      <c r="A1424" s="4">
        <v>300</v>
      </c>
      <c r="B1424">
        <v>7044600</v>
      </c>
    </row>
    <row r="1425" spans="1:2" x14ac:dyDescent="0.4">
      <c r="A1425" s="4">
        <v>300</v>
      </c>
      <c r="B1425">
        <v>7050000</v>
      </c>
    </row>
    <row r="1426" spans="1:2" x14ac:dyDescent="0.4">
      <c r="A1426" s="4">
        <v>300</v>
      </c>
      <c r="B1426">
        <v>7050100</v>
      </c>
    </row>
    <row r="1427" spans="1:2" x14ac:dyDescent="0.4">
      <c r="A1427" s="4">
        <v>300</v>
      </c>
      <c r="B1427">
        <v>7060000</v>
      </c>
    </row>
    <row r="1428" spans="1:2" x14ac:dyDescent="0.4">
      <c r="A1428" s="4">
        <v>300</v>
      </c>
      <c r="B1428">
        <v>7060100</v>
      </c>
    </row>
    <row r="1429" spans="1:2" x14ac:dyDescent="0.4">
      <c r="A1429" s="4">
        <v>300</v>
      </c>
      <c r="B1429">
        <v>7060200</v>
      </c>
    </row>
    <row r="1430" spans="1:2" x14ac:dyDescent="0.4">
      <c r="A1430" s="4">
        <v>300</v>
      </c>
      <c r="B1430">
        <v>7070000</v>
      </c>
    </row>
    <row r="1431" spans="1:2" x14ac:dyDescent="0.4">
      <c r="A1431" s="4">
        <v>300</v>
      </c>
      <c r="B1431">
        <v>7080000</v>
      </c>
    </row>
    <row r="1432" spans="1:2" x14ac:dyDescent="0.4">
      <c r="A1432" s="4">
        <v>300</v>
      </c>
      <c r="B1432">
        <v>7080100</v>
      </c>
    </row>
    <row r="1433" spans="1:2" x14ac:dyDescent="0.4">
      <c r="A1433" s="4">
        <v>300</v>
      </c>
      <c r="B1433">
        <v>7080200</v>
      </c>
    </row>
    <row r="1434" spans="1:2" x14ac:dyDescent="0.4">
      <c r="A1434" s="4">
        <v>300</v>
      </c>
      <c r="B1434">
        <v>7080300</v>
      </c>
    </row>
    <row r="1435" spans="1:2" x14ac:dyDescent="0.4">
      <c r="A1435" s="4">
        <v>300</v>
      </c>
      <c r="B1435">
        <v>7080400</v>
      </c>
    </row>
    <row r="1436" spans="1:2" x14ac:dyDescent="0.4">
      <c r="A1436" s="4">
        <v>300</v>
      </c>
      <c r="B1436">
        <v>7080500</v>
      </c>
    </row>
    <row r="1437" spans="1:2" x14ac:dyDescent="0.4">
      <c r="A1437" s="4">
        <v>300</v>
      </c>
      <c r="B1437">
        <v>7080600</v>
      </c>
    </row>
    <row r="1438" spans="1:2" x14ac:dyDescent="0.4">
      <c r="A1438" s="4">
        <v>300</v>
      </c>
      <c r="B1438">
        <v>7080700</v>
      </c>
    </row>
    <row r="1439" spans="1:2" x14ac:dyDescent="0.4">
      <c r="A1439" s="4">
        <v>300</v>
      </c>
      <c r="B1439">
        <v>7080800</v>
      </c>
    </row>
    <row r="1440" spans="1:2" x14ac:dyDescent="0.4">
      <c r="A1440" s="4">
        <v>300</v>
      </c>
      <c r="B1440">
        <v>7080900</v>
      </c>
    </row>
    <row r="1441" spans="1:2" x14ac:dyDescent="0.4">
      <c r="A1441" s="4">
        <v>300</v>
      </c>
      <c r="B1441">
        <v>7081000</v>
      </c>
    </row>
    <row r="1442" spans="1:2" x14ac:dyDescent="0.4">
      <c r="A1442" s="4">
        <v>300</v>
      </c>
      <c r="B1442">
        <v>7081100</v>
      </c>
    </row>
    <row r="1443" spans="1:2" x14ac:dyDescent="0.4">
      <c r="A1443" s="4">
        <v>300</v>
      </c>
      <c r="B1443">
        <v>7081200</v>
      </c>
    </row>
    <row r="1444" spans="1:2" x14ac:dyDescent="0.4">
      <c r="A1444" s="4">
        <v>300</v>
      </c>
      <c r="B1444">
        <v>7081300</v>
      </c>
    </row>
    <row r="1445" spans="1:2" x14ac:dyDescent="0.4">
      <c r="A1445" s="4">
        <v>300</v>
      </c>
      <c r="B1445">
        <v>7081400</v>
      </c>
    </row>
    <row r="1446" spans="1:2" x14ac:dyDescent="0.4">
      <c r="A1446" s="4">
        <v>300</v>
      </c>
      <c r="B1446">
        <v>7081500</v>
      </c>
    </row>
    <row r="1447" spans="1:2" x14ac:dyDescent="0.4">
      <c r="A1447" s="4">
        <v>300</v>
      </c>
      <c r="B1447">
        <v>7081700</v>
      </c>
    </row>
    <row r="1448" spans="1:2" x14ac:dyDescent="0.4">
      <c r="A1448" s="4">
        <v>300</v>
      </c>
      <c r="B1448">
        <v>7081800</v>
      </c>
    </row>
    <row r="1449" spans="1:2" x14ac:dyDescent="0.4">
      <c r="A1449" s="4">
        <v>300</v>
      </c>
      <c r="B1449">
        <v>7081900</v>
      </c>
    </row>
    <row r="1450" spans="1:2" x14ac:dyDescent="0.4">
      <c r="A1450" s="4">
        <v>300</v>
      </c>
      <c r="B1450">
        <v>7082000</v>
      </c>
    </row>
    <row r="1451" spans="1:2" x14ac:dyDescent="0.4">
      <c r="A1451" s="4">
        <v>300</v>
      </c>
      <c r="B1451">
        <v>7082100</v>
      </c>
    </row>
    <row r="1452" spans="1:2" x14ac:dyDescent="0.4">
      <c r="A1452" s="4">
        <v>300</v>
      </c>
      <c r="B1452">
        <v>7082200</v>
      </c>
    </row>
    <row r="1453" spans="1:2" x14ac:dyDescent="0.4">
      <c r="A1453" s="4">
        <v>300</v>
      </c>
      <c r="B1453">
        <v>7082300</v>
      </c>
    </row>
    <row r="1454" spans="1:2" x14ac:dyDescent="0.4">
      <c r="A1454" s="4">
        <v>300</v>
      </c>
      <c r="B1454">
        <v>7082400</v>
      </c>
    </row>
    <row r="1455" spans="1:2" x14ac:dyDescent="0.4">
      <c r="A1455" s="4">
        <v>300</v>
      </c>
      <c r="B1455">
        <v>7082500</v>
      </c>
    </row>
    <row r="1456" spans="1:2" x14ac:dyDescent="0.4">
      <c r="A1456" s="4">
        <v>300</v>
      </c>
      <c r="B1456">
        <v>7082600</v>
      </c>
    </row>
    <row r="1457" spans="1:2" x14ac:dyDescent="0.4">
      <c r="A1457" s="4">
        <v>300</v>
      </c>
      <c r="B1457">
        <v>7082700</v>
      </c>
    </row>
    <row r="1458" spans="1:2" x14ac:dyDescent="0.4">
      <c r="A1458" s="4">
        <v>300</v>
      </c>
      <c r="B1458">
        <v>7082800</v>
      </c>
    </row>
    <row r="1459" spans="1:2" x14ac:dyDescent="0.4">
      <c r="A1459" s="4">
        <v>300</v>
      </c>
      <c r="B1459">
        <v>7082900</v>
      </c>
    </row>
    <row r="1460" spans="1:2" x14ac:dyDescent="0.4">
      <c r="A1460" s="4">
        <v>300</v>
      </c>
      <c r="B1460">
        <v>7090000</v>
      </c>
    </row>
    <row r="1461" spans="1:2" x14ac:dyDescent="0.4">
      <c r="A1461" s="4">
        <v>300</v>
      </c>
      <c r="B1461">
        <v>7090100</v>
      </c>
    </row>
    <row r="1462" spans="1:2" x14ac:dyDescent="0.4">
      <c r="A1462" s="4">
        <v>300</v>
      </c>
      <c r="B1462">
        <v>7090300</v>
      </c>
    </row>
    <row r="1463" spans="1:2" x14ac:dyDescent="0.4">
      <c r="A1463" s="4">
        <v>300</v>
      </c>
      <c r="B1463">
        <v>7100100</v>
      </c>
    </row>
    <row r="1464" spans="1:2" x14ac:dyDescent="0.4">
      <c r="A1464" s="4">
        <v>300</v>
      </c>
      <c r="B1464">
        <v>7110000</v>
      </c>
    </row>
    <row r="1465" spans="1:2" x14ac:dyDescent="0.4">
      <c r="A1465" s="4">
        <v>300</v>
      </c>
      <c r="B1465">
        <v>7120000</v>
      </c>
    </row>
    <row r="1466" spans="1:2" x14ac:dyDescent="0.4">
      <c r="A1466" s="4">
        <v>300</v>
      </c>
      <c r="B1466">
        <v>7120100</v>
      </c>
    </row>
    <row r="1467" spans="1:2" x14ac:dyDescent="0.4">
      <c r="A1467" s="4">
        <v>300</v>
      </c>
      <c r="B1467">
        <v>7120200</v>
      </c>
    </row>
    <row r="1468" spans="1:2" x14ac:dyDescent="0.4">
      <c r="A1468" s="4">
        <v>300</v>
      </c>
      <c r="B1468">
        <v>7120300</v>
      </c>
    </row>
    <row r="1469" spans="1:2" x14ac:dyDescent="0.4">
      <c r="A1469" s="4">
        <v>300</v>
      </c>
      <c r="B1469">
        <v>7120400</v>
      </c>
    </row>
    <row r="1470" spans="1:2" x14ac:dyDescent="0.4">
      <c r="A1470" s="4">
        <v>300</v>
      </c>
      <c r="B1470">
        <v>7120500</v>
      </c>
    </row>
    <row r="1471" spans="1:2" x14ac:dyDescent="0.4">
      <c r="A1471" s="4">
        <v>300</v>
      </c>
      <c r="B1471">
        <v>7120600</v>
      </c>
    </row>
    <row r="1472" spans="1:2" x14ac:dyDescent="0.4">
      <c r="A1472" s="4">
        <v>300</v>
      </c>
      <c r="B1472">
        <v>7120900</v>
      </c>
    </row>
    <row r="1473" spans="1:2" x14ac:dyDescent="0.4">
      <c r="A1473" s="4">
        <v>300</v>
      </c>
      <c r="B1473">
        <v>7121000</v>
      </c>
    </row>
    <row r="1474" spans="1:2" x14ac:dyDescent="0.4">
      <c r="A1474" s="4">
        <v>300</v>
      </c>
      <c r="B1474">
        <v>7121100</v>
      </c>
    </row>
    <row r="1475" spans="1:2" x14ac:dyDescent="0.4">
      <c r="A1475" s="4">
        <v>300</v>
      </c>
      <c r="B1475">
        <v>7121200</v>
      </c>
    </row>
    <row r="1476" spans="1:2" x14ac:dyDescent="0.4">
      <c r="A1476" s="4">
        <v>300</v>
      </c>
      <c r="B1476">
        <v>7121300</v>
      </c>
    </row>
    <row r="1477" spans="1:2" x14ac:dyDescent="0.4">
      <c r="A1477" s="4">
        <v>300</v>
      </c>
      <c r="B1477">
        <v>7121400</v>
      </c>
    </row>
    <row r="1478" spans="1:2" x14ac:dyDescent="0.4">
      <c r="A1478" s="4">
        <v>300</v>
      </c>
      <c r="B1478">
        <v>7121500</v>
      </c>
    </row>
    <row r="1479" spans="1:2" x14ac:dyDescent="0.4">
      <c r="A1479" s="4">
        <v>300</v>
      </c>
      <c r="B1479">
        <v>7121600</v>
      </c>
    </row>
    <row r="1480" spans="1:2" x14ac:dyDescent="0.4">
      <c r="A1480" s="4">
        <v>300</v>
      </c>
      <c r="B1480">
        <v>7121700</v>
      </c>
    </row>
    <row r="1481" spans="1:2" x14ac:dyDescent="0.4">
      <c r="A1481" s="4">
        <v>300</v>
      </c>
      <c r="B1481">
        <v>7121800</v>
      </c>
    </row>
    <row r="1482" spans="1:2" x14ac:dyDescent="0.4">
      <c r="A1482" s="4">
        <v>300</v>
      </c>
      <c r="B1482">
        <v>7121900</v>
      </c>
    </row>
    <row r="1483" spans="1:2" x14ac:dyDescent="0.4">
      <c r="A1483" s="4">
        <v>300</v>
      </c>
      <c r="B1483">
        <v>7122000</v>
      </c>
    </row>
    <row r="1484" spans="1:2" x14ac:dyDescent="0.4">
      <c r="A1484" s="4">
        <v>300</v>
      </c>
      <c r="B1484">
        <v>7122100</v>
      </c>
    </row>
    <row r="1485" spans="1:2" x14ac:dyDescent="0.4">
      <c r="A1485" s="4">
        <v>300</v>
      </c>
      <c r="B1485">
        <v>7122200</v>
      </c>
    </row>
    <row r="1486" spans="1:2" x14ac:dyDescent="0.4">
      <c r="A1486" s="4">
        <v>300</v>
      </c>
      <c r="B1486">
        <v>7122300</v>
      </c>
    </row>
    <row r="1487" spans="1:2" x14ac:dyDescent="0.4">
      <c r="A1487" s="4">
        <v>300</v>
      </c>
      <c r="B1487">
        <v>7122400</v>
      </c>
    </row>
    <row r="1488" spans="1:2" x14ac:dyDescent="0.4">
      <c r="A1488" s="4">
        <v>300</v>
      </c>
      <c r="B1488">
        <v>7122500</v>
      </c>
    </row>
    <row r="1489" spans="1:2" x14ac:dyDescent="0.4">
      <c r="A1489" s="4">
        <v>300</v>
      </c>
      <c r="B1489">
        <v>7122600</v>
      </c>
    </row>
    <row r="1490" spans="1:2" x14ac:dyDescent="0.4">
      <c r="A1490" s="4">
        <v>300</v>
      </c>
      <c r="B1490">
        <v>7122700</v>
      </c>
    </row>
    <row r="1491" spans="1:2" x14ac:dyDescent="0.4">
      <c r="A1491" s="4">
        <v>300</v>
      </c>
      <c r="B1491">
        <v>7122800</v>
      </c>
    </row>
    <row r="1492" spans="1:2" x14ac:dyDescent="0.4">
      <c r="A1492" s="4">
        <v>300</v>
      </c>
      <c r="B1492">
        <v>7122900</v>
      </c>
    </row>
    <row r="1493" spans="1:2" x14ac:dyDescent="0.4">
      <c r="A1493" s="4">
        <v>300</v>
      </c>
      <c r="B1493">
        <v>7123000</v>
      </c>
    </row>
    <row r="1494" spans="1:2" x14ac:dyDescent="0.4">
      <c r="A1494" s="4">
        <v>300</v>
      </c>
      <c r="B1494">
        <v>7123100</v>
      </c>
    </row>
    <row r="1495" spans="1:2" x14ac:dyDescent="0.4">
      <c r="A1495" s="4">
        <v>300</v>
      </c>
      <c r="B1495">
        <v>7123200</v>
      </c>
    </row>
    <row r="1496" spans="1:2" x14ac:dyDescent="0.4">
      <c r="A1496" s="4">
        <v>300</v>
      </c>
      <c r="B1496">
        <v>7123300</v>
      </c>
    </row>
    <row r="1497" spans="1:2" x14ac:dyDescent="0.4">
      <c r="A1497" s="4">
        <v>300</v>
      </c>
      <c r="B1497">
        <v>7123400</v>
      </c>
    </row>
    <row r="1498" spans="1:2" x14ac:dyDescent="0.4">
      <c r="A1498" s="4">
        <v>300</v>
      </c>
      <c r="B1498">
        <v>7123500</v>
      </c>
    </row>
    <row r="1499" spans="1:2" x14ac:dyDescent="0.4">
      <c r="A1499" s="4">
        <v>300</v>
      </c>
      <c r="B1499">
        <v>7123600</v>
      </c>
    </row>
    <row r="1500" spans="1:2" x14ac:dyDescent="0.4">
      <c r="A1500" s="4">
        <v>300</v>
      </c>
      <c r="B1500">
        <v>7123700</v>
      </c>
    </row>
    <row r="1501" spans="1:2" x14ac:dyDescent="0.4">
      <c r="A1501" s="4">
        <v>300</v>
      </c>
      <c r="B1501">
        <v>7123800</v>
      </c>
    </row>
    <row r="1502" spans="1:2" x14ac:dyDescent="0.4">
      <c r="A1502" s="4">
        <v>300</v>
      </c>
      <c r="B1502">
        <v>7123900</v>
      </c>
    </row>
    <row r="1503" spans="1:2" x14ac:dyDescent="0.4">
      <c r="A1503" s="4">
        <v>300</v>
      </c>
      <c r="B1503">
        <v>7124000</v>
      </c>
    </row>
    <row r="1504" spans="1:2" x14ac:dyDescent="0.4">
      <c r="A1504" s="4">
        <v>300</v>
      </c>
      <c r="B1504">
        <v>7124100</v>
      </c>
    </row>
    <row r="1505" spans="1:2" x14ac:dyDescent="0.4">
      <c r="A1505" s="4">
        <v>300</v>
      </c>
      <c r="B1505">
        <v>7124300</v>
      </c>
    </row>
    <row r="1506" spans="1:2" x14ac:dyDescent="0.4">
      <c r="A1506" s="4">
        <v>300</v>
      </c>
      <c r="B1506">
        <v>7124400</v>
      </c>
    </row>
    <row r="1507" spans="1:2" x14ac:dyDescent="0.4">
      <c r="A1507" s="4">
        <v>300</v>
      </c>
      <c r="B1507">
        <v>7124500</v>
      </c>
    </row>
    <row r="1508" spans="1:2" x14ac:dyDescent="0.4">
      <c r="A1508" s="4">
        <v>300</v>
      </c>
      <c r="B1508">
        <v>7124600</v>
      </c>
    </row>
    <row r="1509" spans="1:2" x14ac:dyDescent="0.4">
      <c r="A1509" s="4">
        <v>300</v>
      </c>
      <c r="B1509">
        <v>7124700</v>
      </c>
    </row>
    <row r="1510" spans="1:2" x14ac:dyDescent="0.4">
      <c r="A1510" s="4">
        <v>300</v>
      </c>
      <c r="B1510">
        <v>7126000</v>
      </c>
    </row>
    <row r="1511" spans="1:2" x14ac:dyDescent="0.4">
      <c r="A1511" s="4">
        <v>300</v>
      </c>
      <c r="B1511">
        <v>7150000</v>
      </c>
    </row>
    <row r="1512" spans="1:2" x14ac:dyDescent="0.4">
      <c r="A1512" s="4">
        <v>300</v>
      </c>
      <c r="B1512">
        <v>7160000</v>
      </c>
    </row>
    <row r="1513" spans="1:2" x14ac:dyDescent="0.4">
      <c r="A1513" s="4">
        <v>300</v>
      </c>
      <c r="B1513">
        <v>7220000</v>
      </c>
    </row>
    <row r="1514" spans="1:2" x14ac:dyDescent="0.4">
      <c r="A1514" s="4">
        <v>300</v>
      </c>
      <c r="B1514">
        <v>7230000</v>
      </c>
    </row>
    <row r="1515" spans="1:2" x14ac:dyDescent="0.4">
      <c r="A1515" s="4">
        <v>300</v>
      </c>
      <c r="B1515">
        <v>7240000</v>
      </c>
    </row>
    <row r="1516" spans="1:2" x14ac:dyDescent="0.4">
      <c r="A1516" s="4">
        <v>300</v>
      </c>
      <c r="B1516">
        <v>7260000</v>
      </c>
    </row>
    <row r="1517" spans="1:2" x14ac:dyDescent="0.4">
      <c r="A1517" s="4">
        <v>300</v>
      </c>
      <c r="B1517">
        <v>7260300</v>
      </c>
    </row>
    <row r="1518" spans="1:2" x14ac:dyDescent="0.4">
      <c r="A1518" s="4">
        <v>300</v>
      </c>
      <c r="B1518">
        <v>7260400</v>
      </c>
    </row>
    <row r="1519" spans="1:2" x14ac:dyDescent="0.4">
      <c r="A1519" s="4">
        <v>300</v>
      </c>
      <c r="B1519">
        <v>7270100</v>
      </c>
    </row>
    <row r="1520" spans="1:2" x14ac:dyDescent="0.4">
      <c r="A1520" s="4">
        <v>300</v>
      </c>
      <c r="B1520">
        <v>7280000</v>
      </c>
    </row>
    <row r="1521" spans="1:2" x14ac:dyDescent="0.4">
      <c r="A1521" s="4">
        <v>300</v>
      </c>
      <c r="B1521">
        <v>7290000</v>
      </c>
    </row>
    <row r="1522" spans="1:2" x14ac:dyDescent="0.4">
      <c r="A1522" s="4">
        <v>300</v>
      </c>
      <c r="B1522">
        <v>7310000</v>
      </c>
    </row>
    <row r="1523" spans="1:2" x14ac:dyDescent="0.4">
      <c r="A1523" s="4">
        <v>300</v>
      </c>
      <c r="B1523">
        <v>7330000</v>
      </c>
    </row>
    <row r="1524" spans="1:2" x14ac:dyDescent="0.4">
      <c r="A1524" s="4">
        <v>300</v>
      </c>
      <c r="B1524">
        <v>7330100</v>
      </c>
    </row>
    <row r="1525" spans="1:2" x14ac:dyDescent="0.4">
      <c r="A1525" s="4">
        <v>300</v>
      </c>
      <c r="B1525">
        <v>7330200</v>
      </c>
    </row>
    <row r="1526" spans="1:2" x14ac:dyDescent="0.4">
      <c r="A1526" s="4">
        <v>300</v>
      </c>
      <c r="B1526">
        <v>7330300</v>
      </c>
    </row>
    <row r="1527" spans="1:2" x14ac:dyDescent="0.4">
      <c r="A1527" s="4">
        <v>300</v>
      </c>
      <c r="B1527">
        <v>7330400</v>
      </c>
    </row>
    <row r="1528" spans="1:2" x14ac:dyDescent="0.4">
      <c r="A1528" s="4">
        <v>300</v>
      </c>
      <c r="B1528">
        <v>7330500</v>
      </c>
    </row>
    <row r="1529" spans="1:2" x14ac:dyDescent="0.4">
      <c r="A1529" s="4">
        <v>300</v>
      </c>
      <c r="B1529">
        <v>7330600</v>
      </c>
    </row>
    <row r="1530" spans="1:2" x14ac:dyDescent="0.4">
      <c r="A1530" s="4">
        <v>300</v>
      </c>
      <c r="B1530">
        <v>7330700</v>
      </c>
    </row>
    <row r="1531" spans="1:2" x14ac:dyDescent="0.4">
      <c r="A1531" s="4">
        <v>300</v>
      </c>
      <c r="B1531">
        <v>7330800</v>
      </c>
    </row>
    <row r="1532" spans="1:2" x14ac:dyDescent="0.4">
      <c r="A1532" s="4">
        <v>300</v>
      </c>
      <c r="B1532">
        <v>7330900</v>
      </c>
    </row>
    <row r="1533" spans="1:2" x14ac:dyDescent="0.4">
      <c r="A1533" s="4">
        <v>300</v>
      </c>
      <c r="B1533">
        <v>7331000</v>
      </c>
    </row>
    <row r="1534" spans="1:2" x14ac:dyDescent="0.4">
      <c r="A1534" s="4">
        <v>300</v>
      </c>
      <c r="B1534">
        <v>7331100</v>
      </c>
    </row>
    <row r="1535" spans="1:2" x14ac:dyDescent="0.4">
      <c r="A1535" s="4">
        <v>300</v>
      </c>
      <c r="B1535">
        <v>7331200</v>
      </c>
    </row>
    <row r="1536" spans="1:2" x14ac:dyDescent="0.4">
      <c r="A1536" s="4">
        <v>300</v>
      </c>
      <c r="B1536">
        <v>7331300</v>
      </c>
    </row>
    <row r="1537" spans="1:2" x14ac:dyDescent="0.4">
      <c r="A1537" s="4">
        <v>300</v>
      </c>
      <c r="B1537">
        <v>7331400</v>
      </c>
    </row>
    <row r="1538" spans="1:2" x14ac:dyDescent="0.4">
      <c r="A1538" s="4">
        <v>300</v>
      </c>
      <c r="B1538">
        <v>7331500</v>
      </c>
    </row>
    <row r="1539" spans="1:2" x14ac:dyDescent="0.4">
      <c r="A1539" s="4">
        <v>300</v>
      </c>
      <c r="B1539">
        <v>7331700</v>
      </c>
    </row>
    <row r="1540" spans="1:2" x14ac:dyDescent="0.4">
      <c r="A1540" s="4">
        <v>300</v>
      </c>
      <c r="B1540">
        <v>7331800</v>
      </c>
    </row>
    <row r="1541" spans="1:2" x14ac:dyDescent="0.4">
      <c r="A1541" s="4">
        <v>300</v>
      </c>
      <c r="B1541">
        <v>7331900</v>
      </c>
    </row>
    <row r="1542" spans="1:2" x14ac:dyDescent="0.4">
      <c r="A1542" s="4">
        <v>300</v>
      </c>
      <c r="B1542">
        <v>7332000</v>
      </c>
    </row>
    <row r="1543" spans="1:2" x14ac:dyDescent="0.4">
      <c r="A1543" s="4">
        <v>300</v>
      </c>
      <c r="B1543">
        <v>7332100</v>
      </c>
    </row>
    <row r="1544" spans="1:2" x14ac:dyDescent="0.4">
      <c r="A1544" s="4">
        <v>300</v>
      </c>
      <c r="B1544">
        <v>7332200</v>
      </c>
    </row>
    <row r="1545" spans="1:2" x14ac:dyDescent="0.4">
      <c r="A1545" s="4">
        <v>300</v>
      </c>
      <c r="B1545">
        <v>7332300</v>
      </c>
    </row>
    <row r="1546" spans="1:2" x14ac:dyDescent="0.4">
      <c r="A1546" s="4">
        <v>300</v>
      </c>
      <c r="B1546">
        <v>7332400</v>
      </c>
    </row>
    <row r="1547" spans="1:2" x14ac:dyDescent="0.4">
      <c r="A1547" s="4">
        <v>300</v>
      </c>
      <c r="B1547">
        <v>7340000</v>
      </c>
    </row>
    <row r="1548" spans="1:2" x14ac:dyDescent="0.4">
      <c r="A1548" s="4">
        <v>300</v>
      </c>
      <c r="B1548">
        <v>7340100</v>
      </c>
    </row>
    <row r="1549" spans="1:2" x14ac:dyDescent="0.4">
      <c r="A1549" s="4">
        <v>300</v>
      </c>
      <c r="B1549">
        <v>7340200</v>
      </c>
    </row>
    <row r="1550" spans="1:2" x14ac:dyDescent="0.4">
      <c r="A1550" s="4">
        <v>300</v>
      </c>
      <c r="B1550">
        <v>7340300</v>
      </c>
    </row>
    <row r="1551" spans="1:2" x14ac:dyDescent="0.4">
      <c r="A1551" s="4">
        <v>300</v>
      </c>
      <c r="B1551">
        <v>7340400</v>
      </c>
    </row>
    <row r="1552" spans="1:2" x14ac:dyDescent="0.4">
      <c r="A1552" s="4">
        <v>300</v>
      </c>
      <c r="B1552">
        <v>7340500</v>
      </c>
    </row>
    <row r="1553" spans="1:2" x14ac:dyDescent="0.4">
      <c r="A1553" s="4">
        <v>300</v>
      </c>
      <c r="B1553">
        <v>7340600</v>
      </c>
    </row>
    <row r="1554" spans="1:2" x14ac:dyDescent="0.4">
      <c r="A1554" s="4">
        <v>300</v>
      </c>
      <c r="B1554">
        <v>7340700</v>
      </c>
    </row>
    <row r="1555" spans="1:2" x14ac:dyDescent="0.4">
      <c r="A1555" s="4">
        <v>300</v>
      </c>
      <c r="B1555">
        <v>7340800</v>
      </c>
    </row>
    <row r="1556" spans="1:2" x14ac:dyDescent="0.4">
      <c r="A1556" s="4">
        <v>300</v>
      </c>
      <c r="B1556">
        <v>7340900</v>
      </c>
    </row>
    <row r="1557" spans="1:2" x14ac:dyDescent="0.4">
      <c r="A1557" s="4">
        <v>300</v>
      </c>
      <c r="B1557">
        <v>7341000</v>
      </c>
    </row>
    <row r="1558" spans="1:2" x14ac:dyDescent="0.4">
      <c r="A1558" s="4">
        <v>300</v>
      </c>
      <c r="B1558">
        <v>7341100</v>
      </c>
    </row>
    <row r="1559" spans="1:2" x14ac:dyDescent="0.4">
      <c r="A1559" s="4">
        <v>300</v>
      </c>
      <c r="B1559">
        <v>7341200</v>
      </c>
    </row>
    <row r="1560" spans="1:2" x14ac:dyDescent="0.4">
      <c r="A1560" s="4">
        <v>300</v>
      </c>
      <c r="B1560">
        <v>7341300</v>
      </c>
    </row>
    <row r="1561" spans="1:2" x14ac:dyDescent="0.4">
      <c r="A1561" s="4">
        <v>300</v>
      </c>
      <c r="B1561">
        <v>7341400</v>
      </c>
    </row>
    <row r="1562" spans="1:2" x14ac:dyDescent="0.4">
      <c r="A1562" s="4">
        <v>300</v>
      </c>
      <c r="B1562">
        <v>7341500</v>
      </c>
    </row>
    <row r="1563" spans="1:2" x14ac:dyDescent="0.4">
      <c r="A1563" s="4">
        <v>300</v>
      </c>
      <c r="B1563">
        <v>7341700</v>
      </c>
    </row>
    <row r="1564" spans="1:2" x14ac:dyDescent="0.4">
      <c r="A1564" s="4">
        <v>300</v>
      </c>
      <c r="B1564">
        <v>7341800</v>
      </c>
    </row>
    <row r="1565" spans="1:2" x14ac:dyDescent="0.4">
      <c r="A1565" s="4">
        <v>300</v>
      </c>
      <c r="B1565">
        <v>7341900</v>
      </c>
    </row>
    <row r="1566" spans="1:2" x14ac:dyDescent="0.4">
      <c r="A1566" s="4">
        <v>300</v>
      </c>
      <c r="B1566">
        <v>7342000</v>
      </c>
    </row>
    <row r="1567" spans="1:2" x14ac:dyDescent="0.4">
      <c r="A1567" s="4">
        <v>300</v>
      </c>
      <c r="B1567">
        <v>7342100</v>
      </c>
    </row>
    <row r="1568" spans="1:2" x14ac:dyDescent="0.4">
      <c r="A1568" s="4">
        <v>300</v>
      </c>
      <c r="B1568">
        <v>7342200</v>
      </c>
    </row>
    <row r="1569" spans="1:2" x14ac:dyDescent="0.4">
      <c r="A1569" s="4">
        <v>300</v>
      </c>
      <c r="B1569">
        <v>7342300</v>
      </c>
    </row>
    <row r="1570" spans="1:2" x14ac:dyDescent="0.4">
      <c r="A1570" s="4">
        <v>300</v>
      </c>
      <c r="B1570">
        <v>7342400</v>
      </c>
    </row>
    <row r="1571" spans="1:2" x14ac:dyDescent="0.4">
      <c r="A1571" s="4">
        <v>300</v>
      </c>
      <c r="B1571">
        <v>7350000</v>
      </c>
    </row>
    <row r="1572" spans="1:2" x14ac:dyDescent="0.4">
      <c r="A1572" s="4">
        <v>300</v>
      </c>
      <c r="B1572">
        <v>7350100</v>
      </c>
    </row>
    <row r="1573" spans="1:2" x14ac:dyDescent="0.4">
      <c r="A1573" s="4">
        <v>300</v>
      </c>
      <c r="B1573">
        <v>7350200</v>
      </c>
    </row>
    <row r="1574" spans="1:2" x14ac:dyDescent="0.4">
      <c r="A1574" s="4">
        <v>300</v>
      </c>
      <c r="B1574">
        <v>7350300</v>
      </c>
    </row>
    <row r="1575" spans="1:2" x14ac:dyDescent="0.4">
      <c r="A1575" s="4">
        <v>300</v>
      </c>
      <c r="B1575">
        <v>7350400</v>
      </c>
    </row>
    <row r="1576" spans="1:2" x14ac:dyDescent="0.4">
      <c r="A1576" s="4">
        <v>300</v>
      </c>
      <c r="B1576">
        <v>7350500</v>
      </c>
    </row>
    <row r="1577" spans="1:2" x14ac:dyDescent="0.4">
      <c r="A1577" s="4">
        <v>300</v>
      </c>
      <c r="B1577">
        <v>7350600</v>
      </c>
    </row>
    <row r="1578" spans="1:2" x14ac:dyDescent="0.4">
      <c r="A1578" s="4">
        <v>300</v>
      </c>
      <c r="B1578">
        <v>7350700</v>
      </c>
    </row>
    <row r="1579" spans="1:2" x14ac:dyDescent="0.4">
      <c r="A1579" s="4">
        <v>300</v>
      </c>
      <c r="B1579">
        <v>7350800</v>
      </c>
    </row>
    <row r="1580" spans="1:2" x14ac:dyDescent="0.4">
      <c r="A1580" s="4">
        <v>300</v>
      </c>
      <c r="B1580">
        <v>7350900</v>
      </c>
    </row>
    <row r="1581" spans="1:2" x14ac:dyDescent="0.4">
      <c r="A1581" s="4">
        <v>300</v>
      </c>
      <c r="B1581">
        <v>7351000</v>
      </c>
    </row>
    <row r="1582" spans="1:2" x14ac:dyDescent="0.4">
      <c r="A1582" s="4">
        <v>300</v>
      </c>
      <c r="B1582">
        <v>7351100</v>
      </c>
    </row>
    <row r="1583" spans="1:2" x14ac:dyDescent="0.4">
      <c r="A1583" s="4">
        <v>300</v>
      </c>
      <c r="B1583">
        <v>7351200</v>
      </c>
    </row>
    <row r="1584" spans="1:2" x14ac:dyDescent="0.4">
      <c r="A1584" s="4">
        <v>300</v>
      </c>
      <c r="B1584">
        <v>7351300</v>
      </c>
    </row>
    <row r="1585" spans="1:2" x14ac:dyDescent="0.4">
      <c r="A1585" s="4">
        <v>300</v>
      </c>
      <c r="B1585">
        <v>7351400</v>
      </c>
    </row>
    <row r="1586" spans="1:2" x14ac:dyDescent="0.4">
      <c r="A1586" s="4">
        <v>300</v>
      </c>
      <c r="B1586">
        <v>7351500</v>
      </c>
    </row>
    <row r="1587" spans="1:2" x14ac:dyDescent="0.4">
      <c r="A1587" s="4">
        <v>300</v>
      </c>
      <c r="B1587">
        <v>7351700</v>
      </c>
    </row>
    <row r="1588" spans="1:2" x14ac:dyDescent="0.4">
      <c r="A1588" s="4">
        <v>300</v>
      </c>
      <c r="B1588">
        <v>7351800</v>
      </c>
    </row>
    <row r="1589" spans="1:2" x14ac:dyDescent="0.4">
      <c r="A1589" s="4">
        <v>300</v>
      </c>
      <c r="B1589">
        <v>7351900</v>
      </c>
    </row>
    <row r="1590" spans="1:2" x14ac:dyDescent="0.4">
      <c r="A1590" s="4">
        <v>300</v>
      </c>
      <c r="B1590">
        <v>7352000</v>
      </c>
    </row>
    <row r="1591" spans="1:2" x14ac:dyDescent="0.4">
      <c r="A1591" s="4">
        <v>300</v>
      </c>
      <c r="B1591">
        <v>7352100</v>
      </c>
    </row>
    <row r="1592" spans="1:2" x14ac:dyDescent="0.4">
      <c r="A1592" s="4">
        <v>300</v>
      </c>
      <c r="B1592">
        <v>7352200</v>
      </c>
    </row>
    <row r="1593" spans="1:2" x14ac:dyDescent="0.4">
      <c r="A1593" s="4">
        <v>300</v>
      </c>
      <c r="B1593">
        <v>7352300</v>
      </c>
    </row>
    <row r="1594" spans="1:2" x14ac:dyDescent="0.4">
      <c r="A1594" s="4">
        <v>300</v>
      </c>
      <c r="B1594">
        <v>7352400</v>
      </c>
    </row>
    <row r="1595" spans="1:2" x14ac:dyDescent="0.4">
      <c r="A1595" s="4">
        <v>310</v>
      </c>
      <c r="B1595">
        <v>7000000</v>
      </c>
    </row>
    <row r="1596" spans="1:2" x14ac:dyDescent="0.4">
      <c r="A1596" s="4">
        <v>310</v>
      </c>
      <c r="B1596">
        <v>7000001</v>
      </c>
    </row>
    <row r="1597" spans="1:2" x14ac:dyDescent="0.4">
      <c r="A1597" s="4">
        <v>310</v>
      </c>
      <c r="B1597">
        <v>7000002</v>
      </c>
    </row>
    <row r="1598" spans="1:2" x14ac:dyDescent="0.4">
      <c r="A1598" s="4">
        <v>310</v>
      </c>
      <c r="B1598">
        <v>7000100</v>
      </c>
    </row>
    <row r="1599" spans="1:2" x14ac:dyDescent="0.4">
      <c r="A1599" s="4">
        <v>310</v>
      </c>
      <c r="B1599">
        <v>7000101</v>
      </c>
    </row>
    <row r="1600" spans="1:2" x14ac:dyDescent="0.4">
      <c r="A1600" s="4">
        <v>310</v>
      </c>
      <c r="B1600">
        <v>7000102</v>
      </c>
    </row>
    <row r="1601" spans="1:2" x14ac:dyDescent="0.4">
      <c r="A1601" s="4">
        <v>310</v>
      </c>
      <c r="B1601">
        <v>7000200</v>
      </c>
    </row>
    <row r="1602" spans="1:2" x14ac:dyDescent="0.4">
      <c r="A1602" s="4">
        <v>310</v>
      </c>
      <c r="B1602">
        <v>7000201</v>
      </c>
    </row>
    <row r="1603" spans="1:2" x14ac:dyDescent="0.4">
      <c r="A1603" s="4">
        <v>310</v>
      </c>
      <c r="B1603">
        <v>7000202</v>
      </c>
    </row>
    <row r="1604" spans="1:2" x14ac:dyDescent="0.4">
      <c r="A1604" s="4">
        <v>310</v>
      </c>
      <c r="B1604">
        <v>7000300</v>
      </c>
    </row>
    <row r="1605" spans="1:2" x14ac:dyDescent="0.4">
      <c r="A1605" s="4">
        <v>310</v>
      </c>
      <c r="B1605">
        <v>7000301</v>
      </c>
    </row>
    <row r="1606" spans="1:2" x14ac:dyDescent="0.4">
      <c r="A1606" s="4">
        <v>310</v>
      </c>
      <c r="B1606">
        <v>7000302</v>
      </c>
    </row>
    <row r="1607" spans="1:2" x14ac:dyDescent="0.4">
      <c r="A1607" s="4">
        <v>310</v>
      </c>
      <c r="B1607">
        <v>7000400</v>
      </c>
    </row>
    <row r="1608" spans="1:2" x14ac:dyDescent="0.4">
      <c r="A1608" s="4">
        <v>310</v>
      </c>
      <c r="B1608">
        <v>7000401</v>
      </c>
    </row>
    <row r="1609" spans="1:2" x14ac:dyDescent="0.4">
      <c r="A1609" s="4">
        <v>310</v>
      </c>
      <c r="B1609">
        <v>7000402</v>
      </c>
    </row>
    <row r="1610" spans="1:2" x14ac:dyDescent="0.4">
      <c r="A1610" s="4">
        <v>310</v>
      </c>
      <c r="B1610">
        <v>7000500</v>
      </c>
    </row>
    <row r="1611" spans="1:2" x14ac:dyDescent="0.4">
      <c r="A1611" s="4">
        <v>310</v>
      </c>
      <c r="B1611">
        <v>7000501</v>
      </c>
    </row>
    <row r="1612" spans="1:2" x14ac:dyDescent="0.4">
      <c r="A1612" s="4">
        <v>310</v>
      </c>
      <c r="B1612">
        <v>7000502</v>
      </c>
    </row>
    <row r="1613" spans="1:2" x14ac:dyDescent="0.4">
      <c r="A1613" s="4">
        <v>310</v>
      </c>
      <c r="B1613">
        <v>7000600</v>
      </c>
    </row>
    <row r="1614" spans="1:2" x14ac:dyDescent="0.4">
      <c r="A1614" s="4">
        <v>310</v>
      </c>
      <c r="B1614">
        <v>7000601</v>
      </c>
    </row>
    <row r="1615" spans="1:2" x14ac:dyDescent="0.4">
      <c r="A1615" s="4">
        <v>310</v>
      </c>
      <c r="B1615">
        <v>7000602</v>
      </c>
    </row>
    <row r="1616" spans="1:2" x14ac:dyDescent="0.4">
      <c r="A1616" s="4">
        <v>310</v>
      </c>
      <c r="B1616">
        <v>7000700</v>
      </c>
    </row>
    <row r="1617" spans="1:2" x14ac:dyDescent="0.4">
      <c r="A1617" s="4">
        <v>310</v>
      </c>
      <c r="B1617">
        <v>7000701</v>
      </c>
    </row>
    <row r="1618" spans="1:2" x14ac:dyDescent="0.4">
      <c r="A1618" s="4">
        <v>310</v>
      </c>
      <c r="B1618">
        <v>7000702</v>
      </c>
    </row>
    <row r="1619" spans="1:2" x14ac:dyDescent="0.4">
      <c r="A1619" s="4">
        <v>310</v>
      </c>
      <c r="B1619">
        <v>7000800</v>
      </c>
    </row>
    <row r="1620" spans="1:2" x14ac:dyDescent="0.4">
      <c r="A1620" s="4">
        <v>310</v>
      </c>
      <c r="B1620">
        <v>7000801</v>
      </c>
    </row>
    <row r="1621" spans="1:2" x14ac:dyDescent="0.4">
      <c r="A1621" s="4">
        <v>310</v>
      </c>
      <c r="B1621">
        <v>7000802</v>
      </c>
    </row>
    <row r="1622" spans="1:2" x14ac:dyDescent="0.4">
      <c r="A1622" s="4">
        <v>310</v>
      </c>
      <c r="B1622">
        <v>7000900</v>
      </c>
    </row>
    <row r="1623" spans="1:2" x14ac:dyDescent="0.4">
      <c r="A1623" s="4">
        <v>310</v>
      </c>
      <c r="B1623">
        <v>7000901</v>
      </c>
    </row>
    <row r="1624" spans="1:2" x14ac:dyDescent="0.4">
      <c r="A1624" s="4">
        <v>310</v>
      </c>
      <c r="B1624">
        <v>7000902</v>
      </c>
    </row>
    <row r="1625" spans="1:2" x14ac:dyDescent="0.4">
      <c r="A1625" s="4">
        <v>310</v>
      </c>
      <c r="B1625">
        <v>7001000</v>
      </c>
    </row>
    <row r="1626" spans="1:2" x14ac:dyDescent="0.4">
      <c r="A1626" s="4">
        <v>310</v>
      </c>
      <c r="B1626">
        <v>7001001</v>
      </c>
    </row>
    <row r="1627" spans="1:2" x14ac:dyDescent="0.4">
      <c r="A1627" s="4">
        <v>310</v>
      </c>
      <c r="B1627">
        <v>7001002</v>
      </c>
    </row>
    <row r="1628" spans="1:2" x14ac:dyDescent="0.4">
      <c r="A1628" s="4">
        <v>310</v>
      </c>
      <c r="B1628">
        <v>7001400</v>
      </c>
    </row>
    <row r="1629" spans="1:2" x14ac:dyDescent="0.4">
      <c r="A1629" s="4">
        <v>310</v>
      </c>
      <c r="B1629">
        <v>7001401</v>
      </c>
    </row>
    <row r="1630" spans="1:2" x14ac:dyDescent="0.4">
      <c r="A1630" s="4">
        <v>310</v>
      </c>
      <c r="B1630">
        <v>7001402</v>
      </c>
    </row>
    <row r="1631" spans="1:2" x14ac:dyDescent="0.4">
      <c r="A1631" s="4">
        <v>310</v>
      </c>
      <c r="B1631">
        <v>7001500</v>
      </c>
    </row>
    <row r="1632" spans="1:2" x14ac:dyDescent="0.4">
      <c r="A1632" s="4">
        <v>310</v>
      </c>
      <c r="B1632">
        <v>7001501</v>
      </c>
    </row>
    <row r="1633" spans="1:2" x14ac:dyDescent="0.4">
      <c r="A1633" s="4">
        <v>310</v>
      </c>
      <c r="B1633">
        <v>7001502</v>
      </c>
    </row>
    <row r="1634" spans="1:2" x14ac:dyDescent="0.4">
      <c r="A1634" s="4">
        <v>310</v>
      </c>
      <c r="B1634">
        <v>7001600</v>
      </c>
    </row>
    <row r="1635" spans="1:2" x14ac:dyDescent="0.4">
      <c r="A1635" s="4">
        <v>310</v>
      </c>
      <c r="B1635">
        <v>7001601</v>
      </c>
    </row>
    <row r="1636" spans="1:2" x14ac:dyDescent="0.4">
      <c r="A1636" s="4">
        <v>310</v>
      </c>
      <c r="B1636">
        <v>7001602</v>
      </c>
    </row>
    <row r="1637" spans="1:2" x14ac:dyDescent="0.4">
      <c r="A1637" s="4">
        <v>310</v>
      </c>
      <c r="B1637">
        <v>7001700</v>
      </c>
    </row>
    <row r="1638" spans="1:2" x14ac:dyDescent="0.4">
      <c r="A1638" s="4">
        <v>310</v>
      </c>
      <c r="B1638">
        <v>7001701</v>
      </c>
    </row>
    <row r="1639" spans="1:2" x14ac:dyDescent="0.4">
      <c r="A1639" s="4">
        <v>310</v>
      </c>
      <c r="B1639">
        <v>7001702</v>
      </c>
    </row>
    <row r="1640" spans="1:2" x14ac:dyDescent="0.4">
      <c r="A1640" s="4">
        <v>310</v>
      </c>
      <c r="B1640">
        <v>7001800</v>
      </c>
    </row>
    <row r="1641" spans="1:2" x14ac:dyDescent="0.4">
      <c r="A1641" s="4">
        <v>310</v>
      </c>
      <c r="B1641">
        <v>7001801</v>
      </c>
    </row>
    <row r="1642" spans="1:2" x14ac:dyDescent="0.4">
      <c r="A1642" s="4">
        <v>310</v>
      </c>
      <c r="B1642">
        <v>7001802</v>
      </c>
    </row>
    <row r="1643" spans="1:2" x14ac:dyDescent="0.4">
      <c r="A1643" s="4">
        <v>310</v>
      </c>
      <c r="B1643">
        <v>7002600</v>
      </c>
    </row>
    <row r="1644" spans="1:2" x14ac:dyDescent="0.4">
      <c r="A1644" s="4">
        <v>310</v>
      </c>
      <c r="B1644">
        <v>7002700</v>
      </c>
    </row>
    <row r="1645" spans="1:2" x14ac:dyDescent="0.4">
      <c r="A1645" s="4">
        <v>310</v>
      </c>
      <c r="B1645">
        <v>7002800</v>
      </c>
    </row>
    <row r="1646" spans="1:2" x14ac:dyDescent="0.4">
      <c r="A1646" s="4">
        <v>310</v>
      </c>
      <c r="B1646">
        <v>7002900</v>
      </c>
    </row>
    <row r="1647" spans="1:2" x14ac:dyDescent="0.4">
      <c r="A1647" s="4">
        <v>310</v>
      </c>
      <c r="B1647">
        <v>7003000</v>
      </c>
    </row>
    <row r="1648" spans="1:2" x14ac:dyDescent="0.4">
      <c r="A1648" s="4">
        <v>310</v>
      </c>
      <c r="B1648">
        <v>7003100</v>
      </c>
    </row>
    <row r="1649" spans="1:2" x14ac:dyDescent="0.4">
      <c r="A1649" s="4">
        <v>310</v>
      </c>
      <c r="B1649">
        <v>7003200</v>
      </c>
    </row>
    <row r="1650" spans="1:2" x14ac:dyDescent="0.4">
      <c r="A1650" s="4">
        <v>310</v>
      </c>
      <c r="B1650">
        <v>7003300</v>
      </c>
    </row>
    <row r="1651" spans="1:2" x14ac:dyDescent="0.4">
      <c r="A1651" s="4">
        <v>310</v>
      </c>
      <c r="B1651">
        <v>7003400</v>
      </c>
    </row>
    <row r="1652" spans="1:2" x14ac:dyDescent="0.4">
      <c r="A1652" s="4">
        <v>310</v>
      </c>
      <c r="B1652">
        <v>7003500</v>
      </c>
    </row>
    <row r="1653" spans="1:2" x14ac:dyDescent="0.4">
      <c r="A1653" s="4">
        <v>310</v>
      </c>
      <c r="B1653">
        <v>7003600</v>
      </c>
    </row>
    <row r="1654" spans="1:2" x14ac:dyDescent="0.4">
      <c r="A1654" s="4">
        <v>310</v>
      </c>
      <c r="B1654">
        <v>7005600</v>
      </c>
    </row>
    <row r="1655" spans="1:2" x14ac:dyDescent="0.4">
      <c r="A1655" s="4">
        <v>310</v>
      </c>
      <c r="B1655">
        <v>7006000</v>
      </c>
    </row>
    <row r="1656" spans="1:2" x14ac:dyDescent="0.4">
      <c r="A1656" s="4">
        <v>310</v>
      </c>
      <c r="B1656">
        <v>7006100</v>
      </c>
    </row>
    <row r="1657" spans="1:2" x14ac:dyDescent="0.4">
      <c r="A1657" s="4">
        <v>310</v>
      </c>
      <c r="B1657">
        <v>7010200</v>
      </c>
    </row>
    <row r="1658" spans="1:2" x14ac:dyDescent="0.4">
      <c r="A1658" s="4">
        <v>310</v>
      </c>
      <c r="B1658">
        <v>7010500</v>
      </c>
    </row>
    <row r="1659" spans="1:2" x14ac:dyDescent="0.4">
      <c r="A1659" s="4">
        <v>310</v>
      </c>
      <c r="B1659">
        <v>7010700</v>
      </c>
    </row>
    <row r="1660" spans="1:2" x14ac:dyDescent="0.4">
      <c r="A1660" s="4">
        <v>310</v>
      </c>
      <c r="B1660">
        <v>7010900</v>
      </c>
    </row>
    <row r="1661" spans="1:2" x14ac:dyDescent="0.4">
      <c r="A1661" s="4">
        <v>310</v>
      </c>
      <c r="B1661">
        <v>7011000</v>
      </c>
    </row>
    <row r="1662" spans="1:2" x14ac:dyDescent="0.4">
      <c r="A1662" s="4">
        <v>310</v>
      </c>
      <c r="B1662">
        <v>7011200</v>
      </c>
    </row>
    <row r="1663" spans="1:2" x14ac:dyDescent="0.4">
      <c r="A1663" s="4">
        <v>310</v>
      </c>
      <c r="B1663">
        <v>7011600</v>
      </c>
    </row>
    <row r="1664" spans="1:2" x14ac:dyDescent="0.4">
      <c r="A1664" s="4">
        <v>310</v>
      </c>
      <c r="B1664">
        <v>7011700</v>
      </c>
    </row>
    <row r="1665" spans="1:2" x14ac:dyDescent="0.4">
      <c r="A1665" s="4">
        <v>310</v>
      </c>
      <c r="B1665">
        <v>7012000</v>
      </c>
    </row>
    <row r="1666" spans="1:2" x14ac:dyDescent="0.4">
      <c r="A1666" s="4">
        <v>310</v>
      </c>
      <c r="B1666">
        <v>7012200</v>
      </c>
    </row>
    <row r="1667" spans="1:2" x14ac:dyDescent="0.4">
      <c r="A1667" s="4">
        <v>310</v>
      </c>
      <c r="B1667">
        <v>7012300</v>
      </c>
    </row>
    <row r="1668" spans="1:2" x14ac:dyDescent="0.4">
      <c r="A1668" s="4">
        <v>310</v>
      </c>
      <c r="B1668">
        <v>7020000</v>
      </c>
    </row>
    <row r="1669" spans="1:2" x14ac:dyDescent="0.4">
      <c r="A1669" s="4">
        <v>310</v>
      </c>
      <c r="B1669">
        <v>7030000</v>
      </c>
    </row>
    <row r="1670" spans="1:2" x14ac:dyDescent="0.4">
      <c r="A1670" s="4">
        <v>310</v>
      </c>
      <c r="B1670">
        <v>7030200</v>
      </c>
    </row>
    <row r="1671" spans="1:2" x14ac:dyDescent="0.4">
      <c r="A1671" s="4">
        <v>310</v>
      </c>
      <c r="B1671">
        <v>7030600</v>
      </c>
    </row>
    <row r="1672" spans="1:2" x14ac:dyDescent="0.4">
      <c r="A1672" s="4">
        <v>310</v>
      </c>
      <c r="B1672">
        <v>7030700</v>
      </c>
    </row>
    <row r="1673" spans="1:2" x14ac:dyDescent="0.4">
      <c r="A1673" s="4">
        <v>310</v>
      </c>
      <c r="B1673">
        <v>7030800</v>
      </c>
    </row>
    <row r="1674" spans="1:2" x14ac:dyDescent="0.4">
      <c r="A1674" s="4">
        <v>310</v>
      </c>
      <c r="B1674">
        <v>7030900</v>
      </c>
    </row>
    <row r="1675" spans="1:2" x14ac:dyDescent="0.4">
      <c r="A1675" s="4">
        <v>310</v>
      </c>
      <c r="B1675">
        <v>7031200</v>
      </c>
    </row>
    <row r="1676" spans="1:2" x14ac:dyDescent="0.4">
      <c r="A1676" s="4">
        <v>310</v>
      </c>
      <c r="B1676">
        <v>7031300</v>
      </c>
    </row>
    <row r="1677" spans="1:2" x14ac:dyDescent="0.4">
      <c r="A1677" s="4">
        <v>310</v>
      </c>
      <c r="B1677">
        <v>7031800</v>
      </c>
    </row>
    <row r="1678" spans="1:2" x14ac:dyDescent="0.4">
      <c r="A1678" s="4">
        <v>310</v>
      </c>
      <c r="B1678">
        <v>7031900</v>
      </c>
    </row>
    <row r="1679" spans="1:2" x14ac:dyDescent="0.4">
      <c r="A1679" s="4">
        <v>310</v>
      </c>
      <c r="B1679">
        <v>7032200</v>
      </c>
    </row>
    <row r="1680" spans="1:2" x14ac:dyDescent="0.4">
      <c r="A1680" s="4">
        <v>310</v>
      </c>
      <c r="B1680">
        <v>7032400</v>
      </c>
    </row>
    <row r="1681" spans="1:2" x14ac:dyDescent="0.4">
      <c r="A1681" s="4">
        <v>310</v>
      </c>
      <c r="B1681">
        <v>7032700</v>
      </c>
    </row>
    <row r="1682" spans="1:2" x14ac:dyDescent="0.4">
      <c r="A1682" s="4">
        <v>310</v>
      </c>
      <c r="B1682">
        <v>7032800</v>
      </c>
    </row>
    <row r="1683" spans="1:2" x14ac:dyDescent="0.4">
      <c r="A1683" s="4">
        <v>310</v>
      </c>
      <c r="B1683">
        <v>7032900</v>
      </c>
    </row>
    <row r="1684" spans="1:2" x14ac:dyDescent="0.4">
      <c r="A1684" s="4">
        <v>310</v>
      </c>
      <c r="B1684">
        <v>7033200</v>
      </c>
    </row>
    <row r="1685" spans="1:2" x14ac:dyDescent="0.4">
      <c r="A1685" s="4">
        <v>310</v>
      </c>
      <c r="B1685">
        <v>7033400</v>
      </c>
    </row>
    <row r="1686" spans="1:2" x14ac:dyDescent="0.4">
      <c r="A1686" s="4">
        <v>310</v>
      </c>
      <c r="B1686">
        <v>7034100</v>
      </c>
    </row>
    <row r="1687" spans="1:2" x14ac:dyDescent="0.4">
      <c r="A1687" s="4">
        <v>310</v>
      </c>
      <c r="B1687">
        <v>7034400</v>
      </c>
    </row>
    <row r="1688" spans="1:2" x14ac:dyDescent="0.4">
      <c r="A1688" s="4">
        <v>310</v>
      </c>
      <c r="B1688">
        <v>7034500</v>
      </c>
    </row>
    <row r="1689" spans="1:2" x14ac:dyDescent="0.4">
      <c r="A1689" s="4">
        <v>310</v>
      </c>
      <c r="B1689">
        <v>7034600</v>
      </c>
    </row>
    <row r="1690" spans="1:2" x14ac:dyDescent="0.4">
      <c r="A1690" s="4">
        <v>310</v>
      </c>
      <c r="B1690">
        <v>7034700</v>
      </c>
    </row>
    <row r="1691" spans="1:2" x14ac:dyDescent="0.4">
      <c r="A1691" s="4">
        <v>310</v>
      </c>
      <c r="B1691">
        <v>7035100</v>
      </c>
    </row>
    <row r="1692" spans="1:2" x14ac:dyDescent="0.4">
      <c r="A1692" s="4">
        <v>310</v>
      </c>
      <c r="B1692">
        <v>7036100</v>
      </c>
    </row>
    <row r="1693" spans="1:2" x14ac:dyDescent="0.4">
      <c r="A1693" s="4">
        <v>310</v>
      </c>
      <c r="B1693">
        <v>7040000</v>
      </c>
    </row>
    <row r="1694" spans="1:2" x14ac:dyDescent="0.4">
      <c r="A1694" s="4">
        <v>310</v>
      </c>
      <c r="B1694">
        <v>7040100</v>
      </c>
    </row>
    <row r="1695" spans="1:2" x14ac:dyDescent="0.4">
      <c r="A1695" s="4">
        <v>310</v>
      </c>
      <c r="B1695">
        <v>7040200</v>
      </c>
    </row>
    <row r="1696" spans="1:2" x14ac:dyDescent="0.4">
      <c r="A1696" s="4">
        <v>310</v>
      </c>
      <c r="B1696">
        <v>7040300</v>
      </c>
    </row>
    <row r="1697" spans="1:2" x14ac:dyDescent="0.4">
      <c r="A1697" s="4">
        <v>310</v>
      </c>
      <c r="B1697">
        <v>7040400</v>
      </c>
    </row>
    <row r="1698" spans="1:2" x14ac:dyDescent="0.4">
      <c r="A1698" s="4">
        <v>310</v>
      </c>
      <c r="B1698">
        <v>7040500</v>
      </c>
    </row>
    <row r="1699" spans="1:2" x14ac:dyDescent="0.4">
      <c r="A1699" s="4">
        <v>310</v>
      </c>
      <c r="B1699">
        <v>7043000</v>
      </c>
    </row>
    <row r="1700" spans="1:2" x14ac:dyDescent="0.4">
      <c r="A1700" s="4">
        <v>310</v>
      </c>
      <c r="B1700">
        <v>7043100</v>
      </c>
    </row>
    <row r="1701" spans="1:2" x14ac:dyDescent="0.4">
      <c r="A1701" s="4">
        <v>310</v>
      </c>
      <c r="B1701">
        <v>7043200</v>
      </c>
    </row>
    <row r="1702" spans="1:2" x14ac:dyDescent="0.4">
      <c r="A1702" s="4">
        <v>310</v>
      </c>
      <c r="B1702">
        <v>7043300</v>
      </c>
    </row>
    <row r="1703" spans="1:2" x14ac:dyDescent="0.4">
      <c r="A1703" s="4">
        <v>310</v>
      </c>
      <c r="B1703">
        <v>7043400</v>
      </c>
    </row>
    <row r="1704" spans="1:2" x14ac:dyDescent="0.4">
      <c r="A1704" s="4">
        <v>310</v>
      </c>
      <c r="B1704">
        <v>7043500</v>
      </c>
    </row>
    <row r="1705" spans="1:2" x14ac:dyDescent="0.4">
      <c r="A1705" s="4">
        <v>310</v>
      </c>
      <c r="B1705">
        <v>7043600</v>
      </c>
    </row>
    <row r="1706" spans="1:2" x14ac:dyDescent="0.4">
      <c r="A1706" s="4">
        <v>310</v>
      </c>
      <c r="B1706">
        <v>7043700</v>
      </c>
    </row>
    <row r="1707" spans="1:2" x14ac:dyDescent="0.4">
      <c r="A1707" s="4">
        <v>310</v>
      </c>
      <c r="B1707">
        <v>7043800</v>
      </c>
    </row>
    <row r="1708" spans="1:2" x14ac:dyDescent="0.4">
      <c r="A1708" s="4">
        <v>310</v>
      </c>
      <c r="B1708">
        <v>7044000</v>
      </c>
    </row>
    <row r="1709" spans="1:2" x14ac:dyDescent="0.4">
      <c r="A1709" s="4">
        <v>310</v>
      </c>
      <c r="B1709">
        <v>7044100</v>
      </c>
    </row>
    <row r="1710" spans="1:2" x14ac:dyDescent="0.4">
      <c r="A1710" s="4">
        <v>310</v>
      </c>
      <c r="B1710">
        <v>7044200</v>
      </c>
    </row>
    <row r="1711" spans="1:2" x14ac:dyDescent="0.4">
      <c r="A1711" s="4">
        <v>310</v>
      </c>
      <c r="B1711">
        <v>7044300</v>
      </c>
    </row>
    <row r="1712" spans="1:2" x14ac:dyDescent="0.4">
      <c r="A1712" s="4">
        <v>310</v>
      </c>
      <c r="B1712">
        <v>7044400</v>
      </c>
    </row>
    <row r="1713" spans="1:2" x14ac:dyDescent="0.4">
      <c r="A1713" s="4">
        <v>310</v>
      </c>
      <c r="B1713">
        <v>7044500</v>
      </c>
    </row>
    <row r="1714" spans="1:2" x14ac:dyDescent="0.4">
      <c r="A1714" s="4">
        <v>310</v>
      </c>
      <c r="B1714">
        <v>7044600</v>
      </c>
    </row>
    <row r="1715" spans="1:2" x14ac:dyDescent="0.4">
      <c r="A1715" s="4">
        <v>310</v>
      </c>
      <c r="B1715">
        <v>7050000</v>
      </c>
    </row>
    <row r="1716" spans="1:2" x14ac:dyDescent="0.4">
      <c r="A1716" s="4">
        <v>310</v>
      </c>
      <c r="B1716">
        <v>7050100</v>
      </c>
    </row>
    <row r="1717" spans="1:2" x14ac:dyDescent="0.4">
      <c r="A1717" s="4">
        <v>310</v>
      </c>
      <c r="B1717">
        <v>7060000</v>
      </c>
    </row>
    <row r="1718" spans="1:2" x14ac:dyDescent="0.4">
      <c r="A1718" s="4">
        <v>310</v>
      </c>
      <c r="B1718">
        <v>7060100</v>
      </c>
    </row>
    <row r="1719" spans="1:2" x14ac:dyDescent="0.4">
      <c r="A1719" s="4">
        <v>310</v>
      </c>
      <c r="B1719">
        <v>7060200</v>
      </c>
    </row>
    <row r="1720" spans="1:2" x14ac:dyDescent="0.4">
      <c r="A1720" s="4">
        <v>310</v>
      </c>
      <c r="B1720">
        <v>7070000</v>
      </c>
    </row>
    <row r="1721" spans="1:2" x14ac:dyDescent="0.4">
      <c r="A1721" s="4">
        <v>310</v>
      </c>
      <c r="B1721">
        <v>7080000</v>
      </c>
    </row>
    <row r="1722" spans="1:2" x14ac:dyDescent="0.4">
      <c r="A1722" s="4">
        <v>310</v>
      </c>
      <c r="B1722">
        <v>7080100</v>
      </c>
    </row>
    <row r="1723" spans="1:2" x14ac:dyDescent="0.4">
      <c r="A1723" s="4">
        <v>310</v>
      </c>
      <c r="B1723">
        <v>7080200</v>
      </c>
    </row>
    <row r="1724" spans="1:2" x14ac:dyDescent="0.4">
      <c r="A1724" s="4">
        <v>310</v>
      </c>
      <c r="B1724">
        <v>7080300</v>
      </c>
    </row>
    <row r="1725" spans="1:2" x14ac:dyDescent="0.4">
      <c r="A1725" s="4">
        <v>310</v>
      </c>
      <c r="B1725">
        <v>7080400</v>
      </c>
    </row>
    <row r="1726" spans="1:2" x14ac:dyDescent="0.4">
      <c r="A1726" s="4">
        <v>310</v>
      </c>
      <c r="B1726">
        <v>7080500</v>
      </c>
    </row>
    <row r="1727" spans="1:2" x14ac:dyDescent="0.4">
      <c r="A1727" s="4">
        <v>310</v>
      </c>
      <c r="B1727">
        <v>7080600</v>
      </c>
    </row>
    <row r="1728" spans="1:2" x14ac:dyDescent="0.4">
      <c r="A1728" s="4">
        <v>310</v>
      </c>
      <c r="B1728">
        <v>7080700</v>
      </c>
    </row>
    <row r="1729" spans="1:2" x14ac:dyDescent="0.4">
      <c r="A1729" s="4">
        <v>310</v>
      </c>
      <c r="B1729">
        <v>7080800</v>
      </c>
    </row>
    <row r="1730" spans="1:2" x14ac:dyDescent="0.4">
      <c r="A1730" s="4">
        <v>310</v>
      </c>
      <c r="B1730">
        <v>7080900</v>
      </c>
    </row>
    <row r="1731" spans="1:2" x14ac:dyDescent="0.4">
      <c r="A1731" s="4">
        <v>310</v>
      </c>
      <c r="B1731">
        <v>7081000</v>
      </c>
    </row>
    <row r="1732" spans="1:2" x14ac:dyDescent="0.4">
      <c r="A1732" s="4">
        <v>310</v>
      </c>
      <c r="B1732">
        <v>7081100</v>
      </c>
    </row>
    <row r="1733" spans="1:2" x14ac:dyDescent="0.4">
      <c r="A1733" s="4">
        <v>310</v>
      </c>
      <c r="B1733">
        <v>7081200</v>
      </c>
    </row>
    <row r="1734" spans="1:2" x14ac:dyDescent="0.4">
      <c r="A1734" s="4">
        <v>310</v>
      </c>
      <c r="B1734">
        <v>7081300</v>
      </c>
    </row>
    <row r="1735" spans="1:2" x14ac:dyDescent="0.4">
      <c r="A1735" s="4">
        <v>310</v>
      </c>
      <c r="B1735">
        <v>7081400</v>
      </c>
    </row>
    <row r="1736" spans="1:2" x14ac:dyDescent="0.4">
      <c r="A1736" s="4">
        <v>310</v>
      </c>
      <c r="B1736">
        <v>7081500</v>
      </c>
    </row>
    <row r="1737" spans="1:2" x14ac:dyDescent="0.4">
      <c r="A1737" s="4">
        <v>310</v>
      </c>
      <c r="B1737">
        <v>7081700</v>
      </c>
    </row>
    <row r="1738" spans="1:2" x14ac:dyDescent="0.4">
      <c r="A1738" s="4">
        <v>310</v>
      </c>
      <c r="B1738">
        <v>7081800</v>
      </c>
    </row>
    <row r="1739" spans="1:2" x14ac:dyDescent="0.4">
      <c r="A1739" s="4">
        <v>310</v>
      </c>
      <c r="B1739">
        <v>7081900</v>
      </c>
    </row>
    <row r="1740" spans="1:2" x14ac:dyDescent="0.4">
      <c r="A1740" s="4">
        <v>310</v>
      </c>
      <c r="B1740">
        <v>7082000</v>
      </c>
    </row>
    <row r="1741" spans="1:2" x14ac:dyDescent="0.4">
      <c r="A1741" s="4">
        <v>310</v>
      </c>
      <c r="B1741">
        <v>7082100</v>
      </c>
    </row>
    <row r="1742" spans="1:2" x14ac:dyDescent="0.4">
      <c r="A1742" s="4">
        <v>310</v>
      </c>
      <c r="B1742">
        <v>7082200</v>
      </c>
    </row>
    <row r="1743" spans="1:2" x14ac:dyDescent="0.4">
      <c r="A1743" s="4">
        <v>310</v>
      </c>
      <c r="B1743">
        <v>7082300</v>
      </c>
    </row>
    <row r="1744" spans="1:2" x14ac:dyDescent="0.4">
      <c r="A1744" s="4">
        <v>310</v>
      </c>
      <c r="B1744">
        <v>7082400</v>
      </c>
    </row>
    <row r="1745" spans="1:2" x14ac:dyDescent="0.4">
      <c r="A1745" s="4">
        <v>310</v>
      </c>
      <c r="B1745">
        <v>7082500</v>
      </c>
    </row>
    <row r="1746" spans="1:2" x14ac:dyDescent="0.4">
      <c r="A1746" s="4">
        <v>310</v>
      </c>
      <c r="B1746">
        <v>7082600</v>
      </c>
    </row>
    <row r="1747" spans="1:2" x14ac:dyDescent="0.4">
      <c r="A1747" s="4">
        <v>310</v>
      </c>
      <c r="B1747">
        <v>7082700</v>
      </c>
    </row>
    <row r="1748" spans="1:2" x14ac:dyDescent="0.4">
      <c r="A1748" s="4">
        <v>310</v>
      </c>
      <c r="B1748">
        <v>7082800</v>
      </c>
    </row>
    <row r="1749" spans="1:2" x14ac:dyDescent="0.4">
      <c r="A1749" s="4">
        <v>310</v>
      </c>
      <c r="B1749">
        <v>7082900</v>
      </c>
    </row>
    <row r="1750" spans="1:2" x14ac:dyDescent="0.4">
      <c r="A1750" s="4">
        <v>310</v>
      </c>
      <c r="B1750">
        <v>7090000</v>
      </c>
    </row>
    <row r="1751" spans="1:2" x14ac:dyDescent="0.4">
      <c r="A1751" s="4">
        <v>310</v>
      </c>
      <c r="B1751">
        <v>7090100</v>
      </c>
    </row>
    <row r="1752" spans="1:2" x14ac:dyDescent="0.4">
      <c r="A1752" s="4">
        <v>310</v>
      </c>
      <c r="B1752">
        <v>7090300</v>
      </c>
    </row>
    <row r="1753" spans="1:2" x14ac:dyDescent="0.4">
      <c r="A1753" s="4">
        <v>310</v>
      </c>
      <c r="B1753">
        <v>7100100</v>
      </c>
    </row>
    <row r="1754" spans="1:2" x14ac:dyDescent="0.4">
      <c r="A1754" s="4">
        <v>310</v>
      </c>
      <c r="B1754">
        <v>7110000</v>
      </c>
    </row>
    <row r="1755" spans="1:2" x14ac:dyDescent="0.4">
      <c r="A1755" s="4">
        <v>310</v>
      </c>
      <c r="B1755">
        <v>7120000</v>
      </c>
    </row>
    <row r="1756" spans="1:2" x14ac:dyDescent="0.4">
      <c r="A1756" s="4">
        <v>310</v>
      </c>
      <c r="B1756">
        <v>7120100</v>
      </c>
    </row>
    <row r="1757" spans="1:2" x14ac:dyDescent="0.4">
      <c r="A1757" s="4">
        <v>310</v>
      </c>
      <c r="B1757">
        <v>7120200</v>
      </c>
    </row>
    <row r="1758" spans="1:2" x14ac:dyDescent="0.4">
      <c r="A1758" s="4">
        <v>310</v>
      </c>
      <c r="B1758">
        <v>7120300</v>
      </c>
    </row>
    <row r="1759" spans="1:2" x14ac:dyDescent="0.4">
      <c r="A1759" s="4">
        <v>310</v>
      </c>
      <c r="B1759">
        <v>7120400</v>
      </c>
    </row>
    <row r="1760" spans="1:2" x14ac:dyDescent="0.4">
      <c r="A1760" s="4">
        <v>310</v>
      </c>
      <c r="B1760">
        <v>7120500</v>
      </c>
    </row>
    <row r="1761" spans="1:2" x14ac:dyDescent="0.4">
      <c r="A1761" s="4">
        <v>310</v>
      </c>
      <c r="B1761">
        <v>7120600</v>
      </c>
    </row>
    <row r="1762" spans="1:2" x14ac:dyDescent="0.4">
      <c r="A1762" s="4">
        <v>310</v>
      </c>
      <c r="B1762">
        <v>7120900</v>
      </c>
    </row>
    <row r="1763" spans="1:2" x14ac:dyDescent="0.4">
      <c r="A1763" s="4">
        <v>310</v>
      </c>
      <c r="B1763">
        <v>7121000</v>
      </c>
    </row>
    <row r="1764" spans="1:2" x14ac:dyDescent="0.4">
      <c r="A1764" s="4">
        <v>310</v>
      </c>
      <c r="B1764">
        <v>7121100</v>
      </c>
    </row>
    <row r="1765" spans="1:2" x14ac:dyDescent="0.4">
      <c r="A1765" s="4">
        <v>310</v>
      </c>
      <c r="B1765">
        <v>7121200</v>
      </c>
    </row>
    <row r="1766" spans="1:2" x14ac:dyDescent="0.4">
      <c r="A1766" s="4">
        <v>310</v>
      </c>
      <c r="B1766">
        <v>7121300</v>
      </c>
    </row>
    <row r="1767" spans="1:2" x14ac:dyDescent="0.4">
      <c r="A1767" s="4">
        <v>310</v>
      </c>
      <c r="B1767">
        <v>7121400</v>
      </c>
    </row>
    <row r="1768" spans="1:2" x14ac:dyDescent="0.4">
      <c r="A1768" s="4">
        <v>310</v>
      </c>
      <c r="B1768">
        <v>7121500</v>
      </c>
    </row>
    <row r="1769" spans="1:2" x14ac:dyDescent="0.4">
      <c r="A1769" s="4">
        <v>310</v>
      </c>
      <c r="B1769">
        <v>7121600</v>
      </c>
    </row>
    <row r="1770" spans="1:2" x14ac:dyDescent="0.4">
      <c r="A1770" s="4">
        <v>310</v>
      </c>
      <c r="B1770">
        <v>7121700</v>
      </c>
    </row>
    <row r="1771" spans="1:2" x14ac:dyDescent="0.4">
      <c r="A1771" s="4">
        <v>310</v>
      </c>
      <c r="B1771">
        <v>7121800</v>
      </c>
    </row>
    <row r="1772" spans="1:2" x14ac:dyDescent="0.4">
      <c r="A1772" s="4">
        <v>310</v>
      </c>
      <c r="B1772">
        <v>7121900</v>
      </c>
    </row>
    <row r="1773" spans="1:2" x14ac:dyDescent="0.4">
      <c r="A1773" s="4">
        <v>310</v>
      </c>
      <c r="B1773">
        <v>7122000</v>
      </c>
    </row>
    <row r="1774" spans="1:2" x14ac:dyDescent="0.4">
      <c r="A1774" s="4">
        <v>310</v>
      </c>
      <c r="B1774">
        <v>7122100</v>
      </c>
    </row>
    <row r="1775" spans="1:2" x14ac:dyDescent="0.4">
      <c r="A1775" s="4">
        <v>310</v>
      </c>
      <c r="B1775">
        <v>7122200</v>
      </c>
    </row>
    <row r="1776" spans="1:2" x14ac:dyDescent="0.4">
      <c r="A1776" s="4">
        <v>310</v>
      </c>
      <c r="B1776">
        <v>7122300</v>
      </c>
    </row>
    <row r="1777" spans="1:2" x14ac:dyDescent="0.4">
      <c r="A1777" s="4">
        <v>310</v>
      </c>
      <c r="B1777">
        <v>7122400</v>
      </c>
    </row>
    <row r="1778" spans="1:2" x14ac:dyDescent="0.4">
      <c r="A1778" s="4">
        <v>310</v>
      </c>
      <c r="B1778">
        <v>7122500</v>
      </c>
    </row>
    <row r="1779" spans="1:2" x14ac:dyDescent="0.4">
      <c r="A1779" s="4">
        <v>310</v>
      </c>
      <c r="B1779">
        <v>7122600</v>
      </c>
    </row>
    <row r="1780" spans="1:2" x14ac:dyDescent="0.4">
      <c r="A1780" s="4">
        <v>310</v>
      </c>
      <c r="B1780">
        <v>7122700</v>
      </c>
    </row>
    <row r="1781" spans="1:2" x14ac:dyDescent="0.4">
      <c r="A1781" s="4">
        <v>310</v>
      </c>
      <c r="B1781">
        <v>7122800</v>
      </c>
    </row>
    <row r="1782" spans="1:2" x14ac:dyDescent="0.4">
      <c r="A1782" s="4">
        <v>310</v>
      </c>
      <c r="B1782">
        <v>7122900</v>
      </c>
    </row>
    <row r="1783" spans="1:2" x14ac:dyDescent="0.4">
      <c r="A1783" s="4">
        <v>310</v>
      </c>
      <c r="B1783">
        <v>7123000</v>
      </c>
    </row>
    <row r="1784" spans="1:2" x14ac:dyDescent="0.4">
      <c r="A1784" s="4">
        <v>310</v>
      </c>
      <c r="B1784">
        <v>7123100</v>
      </c>
    </row>
    <row r="1785" spans="1:2" x14ac:dyDescent="0.4">
      <c r="A1785" s="4">
        <v>310</v>
      </c>
      <c r="B1785">
        <v>7123200</v>
      </c>
    </row>
    <row r="1786" spans="1:2" x14ac:dyDescent="0.4">
      <c r="A1786" s="4">
        <v>310</v>
      </c>
      <c r="B1786">
        <v>7123300</v>
      </c>
    </row>
    <row r="1787" spans="1:2" x14ac:dyDescent="0.4">
      <c r="A1787" s="4">
        <v>310</v>
      </c>
      <c r="B1787">
        <v>7123400</v>
      </c>
    </row>
    <row r="1788" spans="1:2" x14ac:dyDescent="0.4">
      <c r="A1788" s="4">
        <v>310</v>
      </c>
      <c r="B1788">
        <v>7123500</v>
      </c>
    </row>
    <row r="1789" spans="1:2" x14ac:dyDescent="0.4">
      <c r="A1789" s="4">
        <v>310</v>
      </c>
      <c r="B1789">
        <v>7123600</v>
      </c>
    </row>
    <row r="1790" spans="1:2" x14ac:dyDescent="0.4">
      <c r="A1790" s="4">
        <v>310</v>
      </c>
      <c r="B1790">
        <v>7123700</v>
      </c>
    </row>
    <row r="1791" spans="1:2" x14ac:dyDescent="0.4">
      <c r="A1791" s="4">
        <v>310</v>
      </c>
      <c r="B1791">
        <v>7123800</v>
      </c>
    </row>
    <row r="1792" spans="1:2" x14ac:dyDescent="0.4">
      <c r="A1792" s="4">
        <v>310</v>
      </c>
      <c r="B1792">
        <v>7123900</v>
      </c>
    </row>
    <row r="1793" spans="1:2" x14ac:dyDescent="0.4">
      <c r="A1793" s="4">
        <v>310</v>
      </c>
      <c r="B1793">
        <v>7124000</v>
      </c>
    </row>
    <row r="1794" spans="1:2" x14ac:dyDescent="0.4">
      <c r="A1794" s="4">
        <v>310</v>
      </c>
      <c r="B1794">
        <v>7124100</v>
      </c>
    </row>
    <row r="1795" spans="1:2" x14ac:dyDescent="0.4">
      <c r="A1795" s="4">
        <v>310</v>
      </c>
      <c r="B1795">
        <v>7124300</v>
      </c>
    </row>
    <row r="1796" spans="1:2" x14ac:dyDescent="0.4">
      <c r="A1796" s="4">
        <v>310</v>
      </c>
      <c r="B1796">
        <v>7124400</v>
      </c>
    </row>
    <row r="1797" spans="1:2" x14ac:dyDescent="0.4">
      <c r="A1797" s="4">
        <v>310</v>
      </c>
      <c r="B1797">
        <v>7124500</v>
      </c>
    </row>
    <row r="1798" spans="1:2" x14ac:dyDescent="0.4">
      <c r="A1798" s="4">
        <v>310</v>
      </c>
      <c r="B1798">
        <v>7124600</v>
      </c>
    </row>
    <row r="1799" spans="1:2" x14ac:dyDescent="0.4">
      <c r="A1799" s="4">
        <v>310</v>
      </c>
      <c r="B1799">
        <v>7124700</v>
      </c>
    </row>
    <row r="1800" spans="1:2" x14ac:dyDescent="0.4">
      <c r="A1800" s="4">
        <v>310</v>
      </c>
      <c r="B1800">
        <v>7126000</v>
      </c>
    </row>
    <row r="1801" spans="1:2" x14ac:dyDescent="0.4">
      <c r="A1801" s="4">
        <v>310</v>
      </c>
      <c r="B1801">
        <v>7150000</v>
      </c>
    </row>
    <row r="1802" spans="1:2" x14ac:dyDescent="0.4">
      <c r="A1802" s="4">
        <v>310</v>
      </c>
      <c r="B1802">
        <v>7160000</v>
      </c>
    </row>
    <row r="1803" spans="1:2" x14ac:dyDescent="0.4">
      <c r="A1803" s="4">
        <v>310</v>
      </c>
      <c r="B1803">
        <v>7220000</v>
      </c>
    </row>
    <row r="1804" spans="1:2" x14ac:dyDescent="0.4">
      <c r="A1804" s="4">
        <v>310</v>
      </c>
      <c r="B1804">
        <v>7230000</v>
      </c>
    </row>
    <row r="1805" spans="1:2" x14ac:dyDescent="0.4">
      <c r="A1805" s="4">
        <v>310</v>
      </c>
      <c r="B1805">
        <v>7240000</v>
      </c>
    </row>
    <row r="1806" spans="1:2" x14ac:dyDescent="0.4">
      <c r="A1806" s="4">
        <v>310</v>
      </c>
      <c r="B1806">
        <v>7260000</v>
      </c>
    </row>
    <row r="1807" spans="1:2" x14ac:dyDescent="0.4">
      <c r="A1807" s="4">
        <v>310</v>
      </c>
      <c r="B1807">
        <v>7260300</v>
      </c>
    </row>
    <row r="1808" spans="1:2" x14ac:dyDescent="0.4">
      <c r="A1808" s="4">
        <v>310</v>
      </c>
      <c r="B1808">
        <v>7260400</v>
      </c>
    </row>
    <row r="1809" spans="1:2" x14ac:dyDescent="0.4">
      <c r="A1809" s="4">
        <v>310</v>
      </c>
      <c r="B1809">
        <v>7270100</v>
      </c>
    </row>
    <row r="1810" spans="1:2" x14ac:dyDescent="0.4">
      <c r="A1810" s="4">
        <v>310</v>
      </c>
      <c r="B1810">
        <v>7280000</v>
      </c>
    </row>
    <row r="1811" spans="1:2" x14ac:dyDescent="0.4">
      <c r="A1811" s="4">
        <v>310</v>
      </c>
      <c r="B1811">
        <v>7290000</v>
      </c>
    </row>
    <row r="1812" spans="1:2" x14ac:dyDescent="0.4">
      <c r="A1812" s="4">
        <v>310</v>
      </c>
      <c r="B1812">
        <v>7310000</v>
      </c>
    </row>
    <row r="1813" spans="1:2" x14ac:dyDescent="0.4">
      <c r="A1813" s="4">
        <v>310</v>
      </c>
      <c r="B1813">
        <v>7330000</v>
      </c>
    </row>
    <row r="1814" spans="1:2" x14ac:dyDescent="0.4">
      <c r="A1814" s="4">
        <v>310</v>
      </c>
      <c r="B1814">
        <v>7330100</v>
      </c>
    </row>
    <row r="1815" spans="1:2" x14ac:dyDescent="0.4">
      <c r="A1815" s="4">
        <v>310</v>
      </c>
      <c r="B1815">
        <v>7330200</v>
      </c>
    </row>
    <row r="1816" spans="1:2" x14ac:dyDescent="0.4">
      <c r="A1816" s="4">
        <v>310</v>
      </c>
      <c r="B1816">
        <v>7330300</v>
      </c>
    </row>
    <row r="1817" spans="1:2" x14ac:dyDescent="0.4">
      <c r="A1817" s="4">
        <v>310</v>
      </c>
      <c r="B1817">
        <v>7330400</v>
      </c>
    </row>
    <row r="1818" spans="1:2" x14ac:dyDescent="0.4">
      <c r="A1818" s="4">
        <v>310</v>
      </c>
      <c r="B1818">
        <v>7330500</v>
      </c>
    </row>
    <row r="1819" spans="1:2" x14ac:dyDescent="0.4">
      <c r="A1819" s="4">
        <v>310</v>
      </c>
      <c r="B1819">
        <v>7330600</v>
      </c>
    </row>
    <row r="1820" spans="1:2" x14ac:dyDescent="0.4">
      <c r="A1820" s="4">
        <v>310</v>
      </c>
      <c r="B1820">
        <v>7330700</v>
      </c>
    </row>
    <row r="1821" spans="1:2" x14ac:dyDescent="0.4">
      <c r="A1821" s="4">
        <v>310</v>
      </c>
      <c r="B1821">
        <v>7330800</v>
      </c>
    </row>
    <row r="1822" spans="1:2" x14ac:dyDescent="0.4">
      <c r="A1822" s="4">
        <v>310</v>
      </c>
      <c r="B1822">
        <v>7330900</v>
      </c>
    </row>
    <row r="1823" spans="1:2" x14ac:dyDescent="0.4">
      <c r="A1823" s="4">
        <v>310</v>
      </c>
      <c r="B1823">
        <v>7331000</v>
      </c>
    </row>
    <row r="1824" spans="1:2" x14ac:dyDescent="0.4">
      <c r="A1824" s="4">
        <v>310</v>
      </c>
      <c r="B1824">
        <v>7331100</v>
      </c>
    </row>
    <row r="1825" spans="1:2" x14ac:dyDescent="0.4">
      <c r="A1825" s="4">
        <v>310</v>
      </c>
      <c r="B1825">
        <v>7331200</v>
      </c>
    </row>
    <row r="1826" spans="1:2" x14ac:dyDescent="0.4">
      <c r="A1826" s="4">
        <v>310</v>
      </c>
      <c r="B1826">
        <v>7331300</v>
      </c>
    </row>
    <row r="1827" spans="1:2" x14ac:dyDescent="0.4">
      <c r="A1827" s="4">
        <v>310</v>
      </c>
      <c r="B1827">
        <v>7331400</v>
      </c>
    </row>
    <row r="1828" spans="1:2" x14ac:dyDescent="0.4">
      <c r="A1828" s="4">
        <v>310</v>
      </c>
      <c r="B1828">
        <v>7331500</v>
      </c>
    </row>
    <row r="1829" spans="1:2" x14ac:dyDescent="0.4">
      <c r="A1829" s="4">
        <v>310</v>
      </c>
      <c r="B1829">
        <v>7331700</v>
      </c>
    </row>
    <row r="1830" spans="1:2" x14ac:dyDescent="0.4">
      <c r="A1830" s="4">
        <v>310</v>
      </c>
      <c r="B1830">
        <v>7331800</v>
      </c>
    </row>
    <row r="1831" spans="1:2" x14ac:dyDescent="0.4">
      <c r="A1831" s="4">
        <v>310</v>
      </c>
      <c r="B1831">
        <v>7331900</v>
      </c>
    </row>
    <row r="1832" spans="1:2" x14ac:dyDescent="0.4">
      <c r="A1832" s="4">
        <v>310</v>
      </c>
      <c r="B1832">
        <v>7332000</v>
      </c>
    </row>
    <row r="1833" spans="1:2" x14ac:dyDescent="0.4">
      <c r="A1833" s="4">
        <v>310</v>
      </c>
      <c r="B1833">
        <v>7332100</v>
      </c>
    </row>
    <row r="1834" spans="1:2" x14ac:dyDescent="0.4">
      <c r="A1834" s="4">
        <v>310</v>
      </c>
      <c r="B1834">
        <v>7332200</v>
      </c>
    </row>
    <row r="1835" spans="1:2" x14ac:dyDescent="0.4">
      <c r="A1835" s="4">
        <v>310</v>
      </c>
      <c r="B1835">
        <v>7332300</v>
      </c>
    </row>
    <row r="1836" spans="1:2" x14ac:dyDescent="0.4">
      <c r="A1836" s="4">
        <v>310</v>
      </c>
      <c r="B1836">
        <v>7332400</v>
      </c>
    </row>
    <row r="1837" spans="1:2" x14ac:dyDescent="0.4">
      <c r="A1837" s="4">
        <v>310</v>
      </c>
      <c r="B1837">
        <v>7340000</v>
      </c>
    </row>
    <row r="1838" spans="1:2" x14ac:dyDescent="0.4">
      <c r="A1838" s="4">
        <v>310</v>
      </c>
      <c r="B1838">
        <v>7340100</v>
      </c>
    </row>
    <row r="1839" spans="1:2" x14ac:dyDescent="0.4">
      <c r="A1839" s="4">
        <v>310</v>
      </c>
      <c r="B1839">
        <v>7340200</v>
      </c>
    </row>
    <row r="1840" spans="1:2" x14ac:dyDescent="0.4">
      <c r="A1840" s="4">
        <v>310</v>
      </c>
      <c r="B1840">
        <v>7340300</v>
      </c>
    </row>
    <row r="1841" spans="1:2" x14ac:dyDescent="0.4">
      <c r="A1841" s="4">
        <v>310</v>
      </c>
      <c r="B1841">
        <v>7340400</v>
      </c>
    </row>
    <row r="1842" spans="1:2" x14ac:dyDescent="0.4">
      <c r="A1842" s="4">
        <v>310</v>
      </c>
      <c r="B1842">
        <v>7340500</v>
      </c>
    </row>
    <row r="1843" spans="1:2" x14ac:dyDescent="0.4">
      <c r="A1843" s="4">
        <v>310</v>
      </c>
      <c r="B1843">
        <v>7340600</v>
      </c>
    </row>
    <row r="1844" spans="1:2" x14ac:dyDescent="0.4">
      <c r="A1844" s="4">
        <v>310</v>
      </c>
      <c r="B1844">
        <v>7340700</v>
      </c>
    </row>
    <row r="1845" spans="1:2" x14ac:dyDescent="0.4">
      <c r="A1845" s="4">
        <v>310</v>
      </c>
      <c r="B1845">
        <v>7340800</v>
      </c>
    </row>
    <row r="1846" spans="1:2" x14ac:dyDescent="0.4">
      <c r="A1846" s="4">
        <v>310</v>
      </c>
      <c r="B1846">
        <v>7340900</v>
      </c>
    </row>
    <row r="1847" spans="1:2" x14ac:dyDescent="0.4">
      <c r="A1847" s="4">
        <v>310</v>
      </c>
      <c r="B1847">
        <v>7341000</v>
      </c>
    </row>
    <row r="1848" spans="1:2" x14ac:dyDescent="0.4">
      <c r="A1848" s="4">
        <v>310</v>
      </c>
      <c r="B1848">
        <v>7341100</v>
      </c>
    </row>
    <row r="1849" spans="1:2" x14ac:dyDescent="0.4">
      <c r="A1849" s="4">
        <v>310</v>
      </c>
      <c r="B1849">
        <v>7341200</v>
      </c>
    </row>
    <row r="1850" spans="1:2" x14ac:dyDescent="0.4">
      <c r="A1850" s="4">
        <v>310</v>
      </c>
      <c r="B1850">
        <v>7341300</v>
      </c>
    </row>
    <row r="1851" spans="1:2" x14ac:dyDescent="0.4">
      <c r="A1851" s="4">
        <v>310</v>
      </c>
      <c r="B1851">
        <v>7341400</v>
      </c>
    </row>
    <row r="1852" spans="1:2" x14ac:dyDescent="0.4">
      <c r="A1852" s="4">
        <v>310</v>
      </c>
      <c r="B1852">
        <v>7341500</v>
      </c>
    </row>
    <row r="1853" spans="1:2" x14ac:dyDescent="0.4">
      <c r="A1853" s="4">
        <v>310</v>
      </c>
      <c r="B1853">
        <v>7341700</v>
      </c>
    </row>
    <row r="1854" spans="1:2" x14ac:dyDescent="0.4">
      <c r="A1854" s="4">
        <v>310</v>
      </c>
      <c r="B1854">
        <v>7341800</v>
      </c>
    </row>
    <row r="1855" spans="1:2" x14ac:dyDescent="0.4">
      <c r="A1855" s="4">
        <v>310</v>
      </c>
      <c r="B1855">
        <v>7341900</v>
      </c>
    </row>
    <row r="1856" spans="1:2" x14ac:dyDescent="0.4">
      <c r="A1856" s="4">
        <v>310</v>
      </c>
      <c r="B1856">
        <v>7342000</v>
      </c>
    </row>
    <row r="1857" spans="1:2" x14ac:dyDescent="0.4">
      <c r="A1857" s="4">
        <v>310</v>
      </c>
      <c r="B1857">
        <v>7342100</v>
      </c>
    </row>
    <row r="1858" spans="1:2" x14ac:dyDescent="0.4">
      <c r="A1858" s="4">
        <v>310</v>
      </c>
      <c r="B1858">
        <v>7342200</v>
      </c>
    </row>
    <row r="1859" spans="1:2" x14ac:dyDescent="0.4">
      <c r="A1859" s="4">
        <v>310</v>
      </c>
      <c r="B1859">
        <v>7342300</v>
      </c>
    </row>
    <row r="1860" spans="1:2" x14ac:dyDescent="0.4">
      <c r="A1860" s="4">
        <v>310</v>
      </c>
      <c r="B1860">
        <v>7342400</v>
      </c>
    </row>
    <row r="1861" spans="1:2" x14ac:dyDescent="0.4">
      <c r="A1861" s="4">
        <v>310</v>
      </c>
      <c r="B1861">
        <v>7350000</v>
      </c>
    </row>
    <row r="1862" spans="1:2" x14ac:dyDescent="0.4">
      <c r="A1862" s="4">
        <v>310</v>
      </c>
      <c r="B1862">
        <v>7350100</v>
      </c>
    </row>
    <row r="1863" spans="1:2" x14ac:dyDescent="0.4">
      <c r="A1863" s="4">
        <v>310</v>
      </c>
      <c r="B1863">
        <v>7350200</v>
      </c>
    </row>
    <row r="1864" spans="1:2" x14ac:dyDescent="0.4">
      <c r="A1864" s="4">
        <v>310</v>
      </c>
      <c r="B1864">
        <v>7350300</v>
      </c>
    </row>
    <row r="1865" spans="1:2" x14ac:dyDescent="0.4">
      <c r="A1865" s="4">
        <v>310</v>
      </c>
      <c r="B1865">
        <v>7350400</v>
      </c>
    </row>
    <row r="1866" spans="1:2" x14ac:dyDescent="0.4">
      <c r="A1866" s="4">
        <v>310</v>
      </c>
      <c r="B1866">
        <v>7350500</v>
      </c>
    </row>
    <row r="1867" spans="1:2" x14ac:dyDescent="0.4">
      <c r="A1867" s="4">
        <v>310</v>
      </c>
      <c r="B1867">
        <v>7350600</v>
      </c>
    </row>
    <row r="1868" spans="1:2" x14ac:dyDescent="0.4">
      <c r="A1868" s="4">
        <v>310</v>
      </c>
      <c r="B1868">
        <v>7350700</v>
      </c>
    </row>
    <row r="1869" spans="1:2" x14ac:dyDescent="0.4">
      <c r="A1869" s="4">
        <v>310</v>
      </c>
      <c r="B1869">
        <v>7350800</v>
      </c>
    </row>
    <row r="1870" spans="1:2" x14ac:dyDescent="0.4">
      <c r="A1870" s="4">
        <v>310</v>
      </c>
      <c r="B1870">
        <v>7350900</v>
      </c>
    </row>
    <row r="1871" spans="1:2" x14ac:dyDescent="0.4">
      <c r="A1871" s="4">
        <v>310</v>
      </c>
      <c r="B1871">
        <v>7351000</v>
      </c>
    </row>
    <row r="1872" spans="1:2" x14ac:dyDescent="0.4">
      <c r="A1872" s="4">
        <v>310</v>
      </c>
      <c r="B1872">
        <v>7351100</v>
      </c>
    </row>
    <row r="1873" spans="1:2" x14ac:dyDescent="0.4">
      <c r="A1873" s="4">
        <v>310</v>
      </c>
      <c r="B1873">
        <v>7351200</v>
      </c>
    </row>
    <row r="1874" spans="1:2" x14ac:dyDescent="0.4">
      <c r="A1874" s="4">
        <v>310</v>
      </c>
      <c r="B1874">
        <v>7351300</v>
      </c>
    </row>
    <row r="1875" spans="1:2" x14ac:dyDescent="0.4">
      <c r="A1875" s="4">
        <v>310</v>
      </c>
      <c r="B1875">
        <v>7351400</v>
      </c>
    </row>
    <row r="1876" spans="1:2" x14ac:dyDescent="0.4">
      <c r="A1876" s="4">
        <v>310</v>
      </c>
      <c r="B1876">
        <v>7351500</v>
      </c>
    </row>
    <row r="1877" spans="1:2" x14ac:dyDescent="0.4">
      <c r="A1877" s="4">
        <v>310</v>
      </c>
      <c r="B1877">
        <v>7351700</v>
      </c>
    </row>
    <row r="1878" spans="1:2" x14ac:dyDescent="0.4">
      <c r="A1878" s="4">
        <v>310</v>
      </c>
      <c r="B1878">
        <v>7351800</v>
      </c>
    </row>
    <row r="1879" spans="1:2" x14ac:dyDescent="0.4">
      <c r="A1879" s="4">
        <v>310</v>
      </c>
      <c r="B1879">
        <v>7351900</v>
      </c>
    </row>
    <row r="1880" spans="1:2" x14ac:dyDescent="0.4">
      <c r="A1880" s="4">
        <v>310</v>
      </c>
      <c r="B1880">
        <v>7352000</v>
      </c>
    </row>
    <row r="1881" spans="1:2" x14ac:dyDescent="0.4">
      <c r="A1881" s="4">
        <v>310</v>
      </c>
      <c r="B1881">
        <v>7352100</v>
      </c>
    </row>
    <row r="1882" spans="1:2" x14ac:dyDescent="0.4">
      <c r="A1882" s="4">
        <v>310</v>
      </c>
      <c r="B1882">
        <v>7352200</v>
      </c>
    </row>
    <row r="1883" spans="1:2" x14ac:dyDescent="0.4">
      <c r="A1883" s="4">
        <v>310</v>
      </c>
      <c r="B1883">
        <v>7352300</v>
      </c>
    </row>
    <row r="1884" spans="1:2" x14ac:dyDescent="0.4">
      <c r="A1884" s="4">
        <v>310</v>
      </c>
      <c r="B1884">
        <v>7352400</v>
      </c>
    </row>
    <row r="1885" spans="1:2" x14ac:dyDescent="0.4">
      <c r="A1885" s="4">
        <v>310</v>
      </c>
      <c r="B1885">
        <v>7360600</v>
      </c>
    </row>
    <row r="1886" spans="1:2" x14ac:dyDescent="0.4">
      <c r="A1886" s="4">
        <v>310</v>
      </c>
      <c r="B1886">
        <v>7360900</v>
      </c>
    </row>
    <row r="1887" spans="1:2" x14ac:dyDescent="0.4">
      <c r="A1887" s="4">
        <v>310</v>
      </c>
      <c r="B1887">
        <v>7361200</v>
      </c>
    </row>
    <row r="1888" spans="1:2" x14ac:dyDescent="0.4">
      <c r="A1888" s="4">
        <v>310</v>
      </c>
      <c r="B1888">
        <v>7361300</v>
      </c>
    </row>
    <row r="1889" spans="1:2" x14ac:dyDescent="0.4">
      <c r="A1889" s="4">
        <v>310</v>
      </c>
      <c r="B1889">
        <v>7362100</v>
      </c>
    </row>
    <row r="1890" spans="1:2" x14ac:dyDescent="0.4">
      <c r="A1890" s="4">
        <v>310</v>
      </c>
      <c r="B1890">
        <v>7370300</v>
      </c>
    </row>
    <row r="1891" spans="1:2" x14ac:dyDescent="0.4">
      <c r="A1891" s="4">
        <v>310</v>
      </c>
      <c r="B1891">
        <v>7370400</v>
      </c>
    </row>
    <row r="1892" spans="1:2" x14ac:dyDescent="0.4">
      <c r="A1892" s="4">
        <v>310</v>
      </c>
      <c r="B1892">
        <v>7370600</v>
      </c>
    </row>
    <row r="1893" spans="1:2" x14ac:dyDescent="0.4">
      <c r="A1893" s="4">
        <v>310</v>
      </c>
      <c r="B1893">
        <v>7370900</v>
      </c>
    </row>
    <row r="1894" spans="1:2" x14ac:dyDescent="0.4">
      <c r="A1894" s="4">
        <v>310</v>
      </c>
      <c r="B1894">
        <v>7371500</v>
      </c>
    </row>
    <row r="1895" spans="1:2" x14ac:dyDescent="0.4">
      <c r="A1895" s="4">
        <v>310</v>
      </c>
      <c r="B1895">
        <v>7036200</v>
      </c>
    </row>
    <row r="1896" spans="1:2" x14ac:dyDescent="0.4">
      <c r="A1896" s="4">
        <v>310</v>
      </c>
      <c r="B1896">
        <v>7036300</v>
      </c>
    </row>
    <row r="1897" spans="1:2" x14ac:dyDescent="0.4">
      <c r="A1897" s="4">
        <v>310</v>
      </c>
      <c r="B1897">
        <v>7036400</v>
      </c>
    </row>
    <row r="1898" spans="1:2" x14ac:dyDescent="0.4">
      <c r="A1898" s="4">
        <v>310</v>
      </c>
      <c r="B1898">
        <v>7036500</v>
      </c>
    </row>
    <row r="1899" spans="1:2" x14ac:dyDescent="0.4">
      <c r="A1899" s="4">
        <v>310</v>
      </c>
      <c r="B1899">
        <v>7036800</v>
      </c>
    </row>
    <row r="1900" spans="1:2" x14ac:dyDescent="0.4">
      <c r="A1900" s="4">
        <v>310</v>
      </c>
      <c r="B1900">
        <v>7036900</v>
      </c>
    </row>
    <row r="1901" spans="1:2" x14ac:dyDescent="0.4">
      <c r="A1901" s="4">
        <v>310</v>
      </c>
      <c r="B1901">
        <v>7037000</v>
      </c>
    </row>
    <row r="1902" spans="1:2" x14ac:dyDescent="0.4">
      <c r="A1902" s="4">
        <v>310</v>
      </c>
      <c r="B1902">
        <v>7037300</v>
      </c>
    </row>
    <row r="1903" spans="1:2" x14ac:dyDescent="0.4">
      <c r="A1903" s="4">
        <v>310</v>
      </c>
      <c r="B1903">
        <v>6630000</v>
      </c>
    </row>
    <row r="1904" spans="1:2" x14ac:dyDescent="0.4">
      <c r="A1904" s="4">
        <v>310</v>
      </c>
      <c r="B1904">
        <v>6630100</v>
      </c>
    </row>
    <row r="1905" spans="1:2" x14ac:dyDescent="0.4">
      <c r="A1905" s="4">
        <v>310</v>
      </c>
      <c r="B1905">
        <v>6630200</v>
      </c>
    </row>
    <row r="1906" spans="1:2" x14ac:dyDescent="0.4">
      <c r="A1906" s="4">
        <v>310</v>
      </c>
      <c r="B1906">
        <v>6630300</v>
      </c>
    </row>
    <row r="1907" spans="1:2" x14ac:dyDescent="0.4">
      <c r="A1907" s="4">
        <v>310</v>
      </c>
      <c r="B1907">
        <v>6630400</v>
      </c>
    </row>
    <row r="1908" spans="1:2" x14ac:dyDescent="0.4">
      <c r="A1908" s="4">
        <v>310</v>
      </c>
      <c r="B1908">
        <v>6630500</v>
      </c>
    </row>
    <row r="1909" spans="1:2" x14ac:dyDescent="0.4">
      <c r="A1909" s="4">
        <v>310</v>
      </c>
      <c r="B1909">
        <v>6630600</v>
      </c>
    </row>
    <row r="1910" spans="1:2" x14ac:dyDescent="0.4">
      <c r="A1910" s="4">
        <v>310</v>
      </c>
      <c r="B1910">
        <v>6630700</v>
      </c>
    </row>
    <row r="1911" spans="1:2" x14ac:dyDescent="0.4">
      <c r="A1911" s="4">
        <v>310</v>
      </c>
      <c r="B1911">
        <v>6630800</v>
      </c>
    </row>
    <row r="1912" spans="1:2" x14ac:dyDescent="0.4">
      <c r="A1912" s="4">
        <v>310</v>
      </c>
      <c r="B1912">
        <v>6630900</v>
      </c>
    </row>
    <row r="1913" spans="1:2" x14ac:dyDescent="0.4">
      <c r="A1913" s="4">
        <v>310</v>
      </c>
      <c r="B1913">
        <v>6631000</v>
      </c>
    </row>
    <row r="1914" spans="1:2" x14ac:dyDescent="0.4">
      <c r="A1914" s="4">
        <v>310</v>
      </c>
      <c r="B1914">
        <v>6631100</v>
      </c>
    </row>
    <row r="1915" spans="1:2" x14ac:dyDescent="0.4">
      <c r="A1915" s="4">
        <v>310</v>
      </c>
      <c r="B1915">
        <v>6631200</v>
      </c>
    </row>
    <row r="1916" spans="1:2" x14ac:dyDescent="0.4">
      <c r="A1916" s="4">
        <v>310</v>
      </c>
      <c r="B1916">
        <v>6631300</v>
      </c>
    </row>
    <row r="1917" spans="1:2" x14ac:dyDescent="0.4">
      <c r="A1917" s="4">
        <v>310</v>
      </c>
      <c r="B1917">
        <v>6631400</v>
      </c>
    </row>
    <row r="1918" spans="1:2" x14ac:dyDescent="0.4">
      <c r="A1918" s="4">
        <v>310</v>
      </c>
      <c r="B1918">
        <v>6631500</v>
      </c>
    </row>
    <row r="1919" spans="1:2" x14ac:dyDescent="0.4">
      <c r="A1919" s="4">
        <v>310</v>
      </c>
      <c r="B1919">
        <v>6631600</v>
      </c>
    </row>
    <row r="1920" spans="1:2" x14ac:dyDescent="0.4">
      <c r="A1920" s="4">
        <v>310</v>
      </c>
      <c r="B1920">
        <v>6631700</v>
      </c>
    </row>
    <row r="1921" spans="1:2" x14ac:dyDescent="0.4">
      <c r="A1921" s="4">
        <v>310</v>
      </c>
      <c r="B1921">
        <v>6631800</v>
      </c>
    </row>
    <row r="1922" spans="1:2" x14ac:dyDescent="0.4">
      <c r="A1922" s="4">
        <v>310</v>
      </c>
      <c r="B1922">
        <v>6631900</v>
      </c>
    </row>
    <row r="1923" spans="1:2" x14ac:dyDescent="0.4">
      <c r="A1923" s="4">
        <v>310</v>
      </c>
      <c r="B1923">
        <v>6632000</v>
      </c>
    </row>
    <row r="1924" spans="1:2" x14ac:dyDescent="0.4">
      <c r="A1924" s="4">
        <v>310</v>
      </c>
      <c r="B1924">
        <v>6632100</v>
      </c>
    </row>
    <row r="1925" spans="1:2" x14ac:dyDescent="0.4">
      <c r="A1925" s="4">
        <v>310</v>
      </c>
      <c r="B1925">
        <v>6632200</v>
      </c>
    </row>
    <row r="1926" spans="1:2" x14ac:dyDescent="0.4">
      <c r="A1926" s="4">
        <v>310</v>
      </c>
      <c r="B1926">
        <v>6632300</v>
      </c>
    </row>
    <row r="1927" spans="1:2" x14ac:dyDescent="0.4">
      <c r="A1927" s="4">
        <v>310</v>
      </c>
      <c r="B1927">
        <v>6632400</v>
      </c>
    </row>
    <row r="1928" spans="1:2" x14ac:dyDescent="0.4">
      <c r="A1928" s="4">
        <v>310</v>
      </c>
      <c r="B1928">
        <v>6632500</v>
      </c>
    </row>
    <row r="1929" spans="1:2" x14ac:dyDescent="0.4">
      <c r="A1929" s="4">
        <v>310</v>
      </c>
      <c r="B1929">
        <v>6632600</v>
      </c>
    </row>
    <row r="1930" spans="1:2" x14ac:dyDescent="0.4">
      <c r="A1930" s="4">
        <v>310</v>
      </c>
      <c r="B1930">
        <v>6632700</v>
      </c>
    </row>
    <row r="1931" spans="1:2" x14ac:dyDescent="0.4">
      <c r="A1931" s="4">
        <v>310</v>
      </c>
      <c r="B1931">
        <v>6632800</v>
      </c>
    </row>
    <row r="1932" spans="1:2" x14ac:dyDescent="0.4">
      <c r="A1932" s="4">
        <v>310</v>
      </c>
      <c r="B1932">
        <v>6632900</v>
      </c>
    </row>
    <row r="1933" spans="1:2" x14ac:dyDescent="0.4">
      <c r="A1933" s="4">
        <v>310</v>
      </c>
      <c r="B1933">
        <v>6633000</v>
      </c>
    </row>
    <row r="1934" spans="1:2" x14ac:dyDescent="0.4">
      <c r="A1934" s="4">
        <v>310</v>
      </c>
      <c r="B1934">
        <v>6633100</v>
      </c>
    </row>
    <row r="1935" spans="1:2" x14ac:dyDescent="0.4">
      <c r="A1935" s="4">
        <v>310</v>
      </c>
      <c r="B1935">
        <v>6633200</v>
      </c>
    </row>
    <row r="1936" spans="1:2" x14ac:dyDescent="0.4">
      <c r="A1936" s="4">
        <v>310</v>
      </c>
      <c r="B1936">
        <v>6647200</v>
      </c>
    </row>
    <row r="1937" spans="1:2" x14ac:dyDescent="0.4">
      <c r="A1937" s="4">
        <v>310</v>
      </c>
      <c r="B1937">
        <v>6647300</v>
      </c>
    </row>
    <row r="1938" spans="1:2" x14ac:dyDescent="0.4">
      <c r="A1938" s="4">
        <v>310</v>
      </c>
      <c r="B1938">
        <v>6647400</v>
      </c>
    </row>
    <row r="1939" spans="1:2" x14ac:dyDescent="0.4">
      <c r="A1939" s="4">
        <v>310</v>
      </c>
      <c r="B1939">
        <v>6647500</v>
      </c>
    </row>
    <row r="1940" spans="1:2" x14ac:dyDescent="0.4">
      <c r="A1940" s="4">
        <v>310</v>
      </c>
      <c r="B1940">
        <v>6640000</v>
      </c>
    </row>
    <row r="1941" spans="1:2" x14ac:dyDescent="0.4">
      <c r="A1941" s="4">
        <v>310</v>
      </c>
      <c r="B1941">
        <v>6640100</v>
      </c>
    </row>
    <row r="1942" spans="1:2" x14ac:dyDescent="0.4">
      <c r="A1942" s="4">
        <v>310</v>
      </c>
      <c r="B1942">
        <v>6641000</v>
      </c>
    </row>
    <row r="1943" spans="1:2" x14ac:dyDescent="0.4">
      <c r="A1943" s="4">
        <v>310</v>
      </c>
      <c r="B1943">
        <v>6641100</v>
      </c>
    </row>
    <row r="1944" spans="1:2" x14ac:dyDescent="0.4">
      <c r="A1944" s="4">
        <v>310</v>
      </c>
      <c r="B1944">
        <v>6642000</v>
      </c>
    </row>
    <row r="1945" spans="1:2" x14ac:dyDescent="0.4">
      <c r="A1945" s="4">
        <v>310</v>
      </c>
      <c r="B1945">
        <v>6642100</v>
      </c>
    </row>
    <row r="1946" spans="1:2" x14ac:dyDescent="0.4">
      <c r="A1946" s="4">
        <v>310</v>
      </c>
      <c r="B1946">
        <v>6643000</v>
      </c>
    </row>
    <row r="1947" spans="1:2" x14ac:dyDescent="0.4">
      <c r="A1947" s="4">
        <v>310</v>
      </c>
      <c r="B1947">
        <v>6643100</v>
      </c>
    </row>
    <row r="1948" spans="1:2" x14ac:dyDescent="0.4">
      <c r="A1948" s="4">
        <v>310</v>
      </c>
      <c r="B1948">
        <v>6644000</v>
      </c>
    </row>
    <row r="1949" spans="1:2" x14ac:dyDescent="0.4">
      <c r="A1949" s="4">
        <v>310</v>
      </c>
      <c r="B1949">
        <v>6644100</v>
      </c>
    </row>
    <row r="1950" spans="1:2" x14ac:dyDescent="0.4">
      <c r="A1950" s="4">
        <v>310</v>
      </c>
      <c r="B1950">
        <v>6645000</v>
      </c>
    </row>
    <row r="1951" spans="1:2" x14ac:dyDescent="0.4">
      <c r="A1951" s="4">
        <v>310</v>
      </c>
      <c r="B1951">
        <v>6645100</v>
      </c>
    </row>
    <row r="1952" spans="1:2" x14ac:dyDescent="0.4">
      <c r="A1952" s="4">
        <v>310</v>
      </c>
      <c r="B1952">
        <v>6646000</v>
      </c>
    </row>
    <row r="1953" spans="1:2" x14ac:dyDescent="0.4">
      <c r="A1953" s="4">
        <v>310</v>
      </c>
      <c r="B1953">
        <v>6646100</v>
      </c>
    </row>
    <row r="1954" spans="1:2" x14ac:dyDescent="0.4">
      <c r="A1954" s="4">
        <v>310</v>
      </c>
      <c r="B1954">
        <v>6647000</v>
      </c>
    </row>
    <row r="1955" spans="1:2" x14ac:dyDescent="0.4">
      <c r="A1955" s="4">
        <v>310</v>
      </c>
      <c r="B1955">
        <v>6647100</v>
      </c>
    </row>
    <row r="1956" spans="1:2" x14ac:dyDescent="0.4">
      <c r="A1956" s="4">
        <v>1000</v>
      </c>
      <c r="B1956">
        <v>7010000</v>
      </c>
    </row>
    <row r="1957" spans="1:2" x14ac:dyDescent="0.4">
      <c r="A1957" s="4">
        <v>1010</v>
      </c>
      <c r="B1957">
        <v>7090000</v>
      </c>
    </row>
    <row r="1958" spans="1:2" x14ac:dyDescent="0.4">
      <c r="A1958" s="4">
        <v>1020</v>
      </c>
      <c r="B1958">
        <v>7110000</v>
      </c>
    </row>
    <row r="1959" spans="1:2" x14ac:dyDescent="0.4">
      <c r="A1959" s="4">
        <v>1030</v>
      </c>
      <c r="B1959">
        <v>7030000</v>
      </c>
    </row>
    <row r="1960" spans="1:2" x14ac:dyDescent="0.4">
      <c r="A1960" s="4">
        <v>1031</v>
      </c>
      <c r="B1960">
        <v>7030200</v>
      </c>
    </row>
    <row r="1961" spans="1:2" x14ac:dyDescent="0.4">
      <c r="A1961" s="4">
        <v>1040</v>
      </c>
      <c r="B1961">
        <v>7030300</v>
      </c>
    </row>
    <row r="1962" spans="1:2" x14ac:dyDescent="0.4">
      <c r="A1962" s="4">
        <v>1041</v>
      </c>
      <c r="B1962">
        <v>7030400</v>
      </c>
    </row>
    <row r="1963" spans="1:2" x14ac:dyDescent="0.4">
      <c r="A1963" s="4">
        <v>1050</v>
      </c>
      <c r="B1963">
        <v>7030600</v>
      </c>
    </row>
    <row r="1964" spans="1:2" x14ac:dyDescent="0.4">
      <c r="A1964" s="4">
        <v>1051</v>
      </c>
      <c r="B1964">
        <v>7030700</v>
      </c>
    </row>
    <row r="1965" spans="1:2" x14ac:dyDescent="0.4">
      <c r="A1965" s="4">
        <v>1060</v>
      </c>
      <c r="B1965">
        <v>7030800</v>
      </c>
    </row>
    <row r="1966" spans="1:2" x14ac:dyDescent="0.4">
      <c r="A1966" s="4">
        <v>1061</v>
      </c>
      <c r="B1966">
        <v>7030900</v>
      </c>
    </row>
    <row r="1967" spans="1:2" x14ac:dyDescent="0.4">
      <c r="A1967" s="4">
        <v>1062</v>
      </c>
      <c r="B1967">
        <v>7031000</v>
      </c>
    </row>
    <row r="1968" spans="1:2" x14ac:dyDescent="0.4">
      <c r="A1968" s="4">
        <v>1070</v>
      </c>
      <c r="B1968">
        <v>7060000</v>
      </c>
    </row>
    <row r="1969" spans="1:2" x14ac:dyDescent="0.4">
      <c r="A1969" s="4">
        <v>1071</v>
      </c>
      <c r="B1969">
        <v>7060100</v>
      </c>
    </row>
    <row r="1970" spans="1:2" x14ac:dyDescent="0.4">
      <c r="A1970" s="4">
        <v>1072</v>
      </c>
      <c r="B1970">
        <v>7060200</v>
      </c>
    </row>
    <row r="1971" spans="1:2" x14ac:dyDescent="0.4">
      <c r="A1971" s="4">
        <v>1080</v>
      </c>
      <c r="B1971">
        <v>7070000</v>
      </c>
    </row>
    <row r="1972" spans="1:2" x14ac:dyDescent="0.4">
      <c r="A1972" s="4">
        <v>1081</v>
      </c>
      <c r="B1972">
        <v>7040000</v>
      </c>
    </row>
    <row r="1973" spans="1:2" x14ac:dyDescent="0.4">
      <c r="A1973" s="4">
        <v>1082</v>
      </c>
      <c r="B1973">
        <v>7040100</v>
      </c>
    </row>
    <row r="1974" spans="1:2" x14ac:dyDescent="0.4">
      <c r="A1974" s="4">
        <v>10000</v>
      </c>
      <c r="B1974">
        <v>10000</v>
      </c>
    </row>
    <row r="1975" spans="1:2" x14ac:dyDescent="0.4">
      <c r="A1975" s="4">
        <v>10001</v>
      </c>
      <c r="B1975">
        <v>10001</v>
      </c>
    </row>
    <row r="1976" spans="1:2" x14ac:dyDescent="0.4">
      <c r="A1976" s="4">
        <v>10002</v>
      </c>
      <c r="B1976">
        <v>10002</v>
      </c>
    </row>
    <row r="1977" spans="1:2" x14ac:dyDescent="0.4">
      <c r="A1977" s="4">
        <v>11000</v>
      </c>
      <c r="B1977">
        <v>11000</v>
      </c>
    </row>
    <row r="1978" spans="1:2" x14ac:dyDescent="0.4">
      <c r="A1978" s="4">
        <v>11001</v>
      </c>
      <c r="B1978">
        <v>11001</v>
      </c>
    </row>
    <row r="1979" spans="1:2" x14ac:dyDescent="0.4">
      <c r="A1979" s="4">
        <v>11002</v>
      </c>
      <c r="B1979">
        <v>11002</v>
      </c>
    </row>
    <row r="1980" spans="1:2" x14ac:dyDescent="0.4">
      <c r="A1980" s="4">
        <v>12000</v>
      </c>
      <c r="B1980">
        <v>12000</v>
      </c>
    </row>
    <row r="1981" spans="1:2" x14ac:dyDescent="0.4">
      <c r="A1981" s="4">
        <v>12001</v>
      </c>
      <c r="B1981">
        <v>12001</v>
      </c>
    </row>
    <row r="1982" spans="1:2" x14ac:dyDescent="0.4">
      <c r="A1982" s="4">
        <v>12002</v>
      </c>
      <c r="B1982">
        <v>12002</v>
      </c>
    </row>
    <row r="1983" spans="1:2" x14ac:dyDescent="0.4">
      <c r="A1983" s="4">
        <v>12003</v>
      </c>
      <c r="B1983">
        <v>12003</v>
      </c>
    </row>
    <row r="1984" spans="1:2" x14ac:dyDescent="0.4">
      <c r="A1984" s="4">
        <v>13000</v>
      </c>
      <c r="B1984">
        <v>13000</v>
      </c>
    </row>
    <row r="1985" spans="1:2" x14ac:dyDescent="0.4">
      <c r="A1985" s="4">
        <v>13001</v>
      </c>
      <c r="B1985">
        <v>13001</v>
      </c>
    </row>
    <row r="1986" spans="1:2" x14ac:dyDescent="0.4">
      <c r="A1986" s="4">
        <v>13002</v>
      </c>
      <c r="B1986">
        <v>13002</v>
      </c>
    </row>
    <row r="1987" spans="1:2" x14ac:dyDescent="0.4">
      <c r="A1987" s="4">
        <v>14000</v>
      </c>
      <c r="B1987">
        <v>14000</v>
      </c>
    </row>
    <row r="1988" spans="1:2" x14ac:dyDescent="0.4">
      <c r="A1988" s="4">
        <v>14001</v>
      </c>
      <c r="B1988">
        <v>14001</v>
      </c>
    </row>
    <row r="1989" spans="1:2" x14ac:dyDescent="0.4">
      <c r="A1989" s="4">
        <v>14002</v>
      </c>
      <c r="B1989">
        <v>14002</v>
      </c>
    </row>
    <row r="1990" spans="1:2" x14ac:dyDescent="0.4">
      <c r="A1990" s="4">
        <v>15000</v>
      </c>
      <c r="B1990">
        <v>15000</v>
      </c>
    </row>
    <row r="1991" spans="1:2" x14ac:dyDescent="0.4">
      <c r="A1991" s="4">
        <v>15001</v>
      </c>
      <c r="B1991">
        <v>15001</v>
      </c>
    </row>
    <row r="1992" spans="1:2" x14ac:dyDescent="0.4">
      <c r="A1992" s="4">
        <v>15002</v>
      </c>
      <c r="B1992">
        <v>15002</v>
      </c>
    </row>
    <row r="1993" spans="1:2" x14ac:dyDescent="0.4">
      <c r="A1993" s="4">
        <v>16000</v>
      </c>
      <c r="B1993">
        <v>16000</v>
      </c>
    </row>
    <row r="1994" spans="1:2" x14ac:dyDescent="0.4">
      <c r="A1994" s="4">
        <v>16001</v>
      </c>
      <c r="B1994">
        <v>16001</v>
      </c>
    </row>
    <row r="1995" spans="1:2" x14ac:dyDescent="0.4">
      <c r="A1995" s="4">
        <v>16002</v>
      </c>
      <c r="B1995">
        <v>16002</v>
      </c>
    </row>
    <row r="1996" spans="1:2" x14ac:dyDescent="0.4">
      <c r="A1996" s="4">
        <v>17000</v>
      </c>
      <c r="B1996">
        <v>17000</v>
      </c>
    </row>
    <row r="1997" spans="1:2" x14ac:dyDescent="0.4">
      <c r="A1997" s="4">
        <v>17001</v>
      </c>
      <c r="B1997">
        <v>17001</v>
      </c>
    </row>
    <row r="1998" spans="1:2" x14ac:dyDescent="0.4">
      <c r="A1998" s="4">
        <v>17002</v>
      </c>
      <c r="B1998">
        <v>17002</v>
      </c>
    </row>
    <row r="1999" spans="1:2" x14ac:dyDescent="0.4">
      <c r="A1999" s="4">
        <v>18000</v>
      </c>
      <c r="B1999">
        <v>18000</v>
      </c>
    </row>
    <row r="2000" spans="1:2" x14ac:dyDescent="0.4">
      <c r="A2000" s="4">
        <v>18001</v>
      </c>
      <c r="B2000">
        <v>18001</v>
      </c>
    </row>
    <row r="2001" spans="1:2" x14ac:dyDescent="0.4">
      <c r="A2001" s="4">
        <v>18002</v>
      </c>
      <c r="B2001">
        <v>18002</v>
      </c>
    </row>
    <row r="2002" spans="1:2" x14ac:dyDescent="0.4">
      <c r="A2002" s="4">
        <v>19001</v>
      </c>
      <c r="B2002">
        <v>19001</v>
      </c>
    </row>
    <row r="2003" spans="1:2" x14ac:dyDescent="0.4">
      <c r="A2003" s="4">
        <v>100000</v>
      </c>
      <c r="B2003">
        <v>100000</v>
      </c>
    </row>
    <row r="2004" spans="1:2" x14ac:dyDescent="0.4">
      <c r="A2004" s="4">
        <v>1000000</v>
      </c>
      <c r="B2004">
        <v>7000000</v>
      </c>
    </row>
    <row r="2005" spans="1:2" x14ac:dyDescent="0.4">
      <c r="A2005" s="4">
        <v>1000000</v>
      </c>
      <c r="B2005">
        <v>7000001</v>
      </c>
    </row>
    <row r="2006" spans="1:2" x14ac:dyDescent="0.4">
      <c r="A2006" s="4">
        <v>1000000</v>
      </c>
      <c r="B2006">
        <v>7000002</v>
      </c>
    </row>
    <row r="2007" spans="1:2" x14ac:dyDescent="0.4">
      <c r="A2007" s="4">
        <v>1000000</v>
      </c>
      <c r="B2007">
        <v>7000100</v>
      </c>
    </row>
    <row r="2008" spans="1:2" x14ac:dyDescent="0.4">
      <c r="A2008" s="4">
        <v>1000000</v>
      </c>
      <c r="B2008">
        <v>7000101</v>
      </c>
    </row>
    <row r="2009" spans="1:2" x14ac:dyDescent="0.4">
      <c r="A2009" s="4">
        <v>1000000</v>
      </c>
      <c r="B2009">
        <v>7000102</v>
      </c>
    </row>
    <row r="2010" spans="1:2" x14ac:dyDescent="0.4">
      <c r="A2010" s="4">
        <v>1000000</v>
      </c>
      <c r="B2010">
        <v>7000200</v>
      </c>
    </row>
    <row r="2011" spans="1:2" x14ac:dyDescent="0.4">
      <c r="A2011" s="4">
        <v>1000000</v>
      </c>
      <c r="B2011">
        <v>7000201</v>
      </c>
    </row>
    <row r="2012" spans="1:2" x14ac:dyDescent="0.4">
      <c r="A2012" s="4">
        <v>1000000</v>
      </c>
      <c r="B2012">
        <v>7000202</v>
      </c>
    </row>
    <row r="2013" spans="1:2" x14ac:dyDescent="0.4">
      <c r="A2013" s="4">
        <v>1000000</v>
      </c>
      <c r="B2013">
        <v>7000300</v>
      </c>
    </row>
    <row r="2014" spans="1:2" x14ac:dyDescent="0.4">
      <c r="A2014" s="4">
        <v>1000000</v>
      </c>
      <c r="B2014">
        <v>7000301</v>
      </c>
    </row>
    <row r="2015" spans="1:2" x14ac:dyDescent="0.4">
      <c r="A2015" s="4">
        <v>1000000</v>
      </c>
      <c r="B2015">
        <v>7000302</v>
      </c>
    </row>
    <row r="2016" spans="1:2" x14ac:dyDescent="0.4">
      <c r="A2016" s="4">
        <v>1000000</v>
      </c>
      <c r="B2016">
        <v>7000400</v>
      </c>
    </row>
    <row r="2017" spans="1:2" x14ac:dyDescent="0.4">
      <c r="A2017" s="4">
        <v>1000000</v>
      </c>
      <c r="B2017">
        <v>7000401</v>
      </c>
    </row>
    <row r="2018" spans="1:2" x14ac:dyDescent="0.4">
      <c r="A2018" s="4">
        <v>1000000</v>
      </c>
      <c r="B2018">
        <v>7000402</v>
      </c>
    </row>
    <row r="2019" spans="1:2" x14ac:dyDescent="0.4">
      <c r="A2019" s="4">
        <v>1000000</v>
      </c>
      <c r="B2019">
        <v>7000500</v>
      </c>
    </row>
    <row r="2020" spans="1:2" x14ac:dyDescent="0.4">
      <c r="A2020" s="4">
        <v>1000000</v>
      </c>
      <c r="B2020">
        <v>7000501</v>
      </c>
    </row>
    <row r="2021" spans="1:2" x14ac:dyDescent="0.4">
      <c r="A2021" s="4">
        <v>1000000</v>
      </c>
      <c r="B2021">
        <v>7000502</v>
      </c>
    </row>
    <row r="2022" spans="1:2" x14ac:dyDescent="0.4">
      <c r="A2022" s="4">
        <v>1000000</v>
      </c>
      <c r="B2022">
        <v>7000600</v>
      </c>
    </row>
    <row r="2023" spans="1:2" x14ac:dyDescent="0.4">
      <c r="A2023" s="4">
        <v>1000000</v>
      </c>
      <c r="B2023">
        <v>7000601</v>
      </c>
    </row>
    <row r="2024" spans="1:2" x14ac:dyDescent="0.4">
      <c r="A2024" s="4">
        <v>1000000</v>
      </c>
      <c r="B2024">
        <v>7000602</v>
      </c>
    </row>
    <row r="2025" spans="1:2" x14ac:dyDescent="0.4">
      <c r="A2025" s="4">
        <v>1000000</v>
      </c>
      <c r="B2025">
        <v>7000700</v>
      </c>
    </row>
    <row r="2026" spans="1:2" x14ac:dyDescent="0.4">
      <c r="A2026" s="4">
        <v>1000000</v>
      </c>
      <c r="B2026">
        <v>7000701</v>
      </c>
    </row>
    <row r="2027" spans="1:2" x14ac:dyDescent="0.4">
      <c r="A2027" s="4">
        <v>1000000</v>
      </c>
      <c r="B2027">
        <v>7000702</v>
      </c>
    </row>
    <row r="2028" spans="1:2" x14ac:dyDescent="0.4">
      <c r="A2028" s="4">
        <v>1000000</v>
      </c>
      <c r="B2028">
        <v>7000800</v>
      </c>
    </row>
    <row r="2029" spans="1:2" x14ac:dyDescent="0.4">
      <c r="A2029" s="4">
        <v>1000000</v>
      </c>
      <c r="B2029">
        <v>7000801</v>
      </c>
    </row>
    <row r="2030" spans="1:2" x14ac:dyDescent="0.4">
      <c r="A2030" s="4">
        <v>1000000</v>
      </c>
      <c r="B2030">
        <v>7000802</v>
      </c>
    </row>
    <row r="2031" spans="1:2" x14ac:dyDescent="0.4">
      <c r="A2031" s="4">
        <v>1000000</v>
      </c>
      <c r="B2031">
        <v>7000900</v>
      </c>
    </row>
    <row r="2032" spans="1:2" x14ac:dyDescent="0.4">
      <c r="A2032" s="4">
        <v>1000000</v>
      </c>
      <c r="B2032">
        <v>7000901</v>
      </c>
    </row>
    <row r="2033" spans="1:2" x14ac:dyDescent="0.4">
      <c r="A2033" s="4">
        <v>1000000</v>
      </c>
      <c r="B2033">
        <v>7000902</v>
      </c>
    </row>
    <row r="2034" spans="1:2" x14ac:dyDescent="0.4">
      <c r="A2034" s="4">
        <v>1000000</v>
      </c>
      <c r="B2034">
        <v>7001000</v>
      </c>
    </row>
    <row r="2035" spans="1:2" x14ac:dyDescent="0.4">
      <c r="A2035" s="4">
        <v>1000000</v>
      </c>
      <c r="B2035">
        <v>7001001</v>
      </c>
    </row>
    <row r="2036" spans="1:2" x14ac:dyDescent="0.4">
      <c r="A2036" s="4">
        <v>1000000</v>
      </c>
      <c r="B2036">
        <v>7001002</v>
      </c>
    </row>
    <row r="2037" spans="1:2" x14ac:dyDescent="0.4">
      <c r="A2037" s="4">
        <v>1000000</v>
      </c>
      <c r="B2037">
        <v>7001400</v>
      </c>
    </row>
    <row r="2038" spans="1:2" x14ac:dyDescent="0.4">
      <c r="A2038" s="4">
        <v>1000000</v>
      </c>
      <c r="B2038">
        <v>7001401</v>
      </c>
    </row>
    <row r="2039" spans="1:2" x14ac:dyDescent="0.4">
      <c r="A2039" s="4">
        <v>1000000</v>
      </c>
      <c r="B2039">
        <v>7001402</v>
      </c>
    </row>
    <row r="2040" spans="1:2" x14ac:dyDescent="0.4">
      <c r="A2040" s="4">
        <v>1000000</v>
      </c>
      <c r="B2040">
        <v>7001500</v>
      </c>
    </row>
    <row r="2041" spans="1:2" x14ac:dyDescent="0.4">
      <c r="A2041" s="4">
        <v>1000000</v>
      </c>
      <c r="B2041">
        <v>7001501</v>
      </c>
    </row>
    <row r="2042" spans="1:2" x14ac:dyDescent="0.4">
      <c r="A2042" s="4">
        <v>1000000</v>
      </c>
      <c r="B2042">
        <v>7001502</v>
      </c>
    </row>
    <row r="2043" spans="1:2" x14ac:dyDescent="0.4">
      <c r="A2043" s="4">
        <v>1000000</v>
      </c>
      <c r="B2043">
        <v>7001600</v>
      </c>
    </row>
    <row r="2044" spans="1:2" x14ac:dyDescent="0.4">
      <c r="A2044" s="4">
        <v>1000000</v>
      </c>
      <c r="B2044">
        <v>7001601</v>
      </c>
    </row>
    <row r="2045" spans="1:2" x14ac:dyDescent="0.4">
      <c r="A2045" s="4">
        <v>1000000</v>
      </c>
      <c r="B2045">
        <v>7001602</v>
      </c>
    </row>
    <row r="2046" spans="1:2" x14ac:dyDescent="0.4">
      <c r="A2046" s="4">
        <v>1000000</v>
      </c>
      <c r="B2046">
        <v>7001700</v>
      </c>
    </row>
    <row r="2047" spans="1:2" x14ac:dyDescent="0.4">
      <c r="A2047" s="4">
        <v>1000000</v>
      </c>
      <c r="B2047">
        <v>7001701</v>
      </c>
    </row>
    <row r="2048" spans="1:2" x14ac:dyDescent="0.4">
      <c r="A2048" s="4">
        <v>1000000</v>
      </c>
      <c r="B2048">
        <v>7001702</v>
      </c>
    </row>
    <row r="2049" spans="1:2" x14ac:dyDescent="0.4">
      <c r="A2049" s="4">
        <v>1000000</v>
      </c>
      <c r="B2049">
        <v>7001800</v>
      </c>
    </row>
    <row r="2050" spans="1:2" x14ac:dyDescent="0.4">
      <c r="A2050" s="4">
        <v>1000000</v>
      </c>
      <c r="B2050">
        <v>7001801</v>
      </c>
    </row>
    <row r="2051" spans="1:2" x14ac:dyDescent="0.4">
      <c r="A2051" s="4">
        <v>1000000</v>
      </c>
      <c r="B2051">
        <v>7001802</v>
      </c>
    </row>
    <row r="2052" spans="1:2" x14ac:dyDescent="0.4">
      <c r="A2052" s="4">
        <v>1000000</v>
      </c>
      <c r="B2052">
        <v>7002600</v>
      </c>
    </row>
    <row r="2053" spans="1:2" x14ac:dyDescent="0.4">
      <c r="A2053" s="4">
        <v>1000000</v>
      </c>
      <c r="B2053">
        <v>7002700</v>
      </c>
    </row>
    <row r="2054" spans="1:2" x14ac:dyDescent="0.4">
      <c r="A2054" s="4">
        <v>1000000</v>
      </c>
      <c r="B2054">
        <v>7002800</v>
      </c>
    </row>
    <row r="2055" spans="1:2" x14ac:dyDescent="0.4">
      <c r="A2055" s="4">
        <v>1000000</v>
      </c>
      <c r="B2055">
        <v>7002900</v>
      </c>
    </row>
    <row r="2056" spans="1:2" x14ac:dyDescent="0.4">
      <c r="A2056" s="4">
        <v>1000000</v>
      </c>
      <c r="B2056">
        <v>7003000</v>
      </c>
    </row>
    <row r="2057" spans="1:2" x14ac:dyDescent="0.4">
      <c r="A2057" s="4">
        <v>1000000</v>
      </c>
      <c r="B2057">
        <v>7003100</v>
      </c>
    </row>
    <row r="2058" spans="1:2" x14ac:dyDescent="0.4">
      <c r="A2058" s="4">
        <v>1000000</v>
      </c>
      <c r="B2058">
        <v>7003200</v>
      </c>
    </row>
    <row r="2059" spans="1:2" x14ac:dyDescent="0.4">
      <c r="A2059" s="4">
        <v>1000000</v>
      </c>
      <c r="B2059">
        <v>7003300</v>
      </c>
    </row>
    <row r="2060" spans="1:2" x14ac:dyDescent="0.4">
      <c r="A2060" s="4">
        <v>1000000</v>
      </c>
      <c r="B2060">
        <v>7003400</v>
      </c>
    </row>
    <row r="2061" spans="1:2" x14ac:dyDescent="0.4">
      <c r="A2061" s="4">
        <v>1000000</v>
      </c>
      <c r="B2061">
        <v>7003500</v>
      </c>
    </row>
    <row r="2062" spans="1:2" x14ac:dyDescent="0.4">
      <c r="A2062" s="4">
        <v>1000000</v>
      </c>
      <c r="B2062">
        <v>7003600</v>
      </c>
    </row>
    <row r="2063" spans="1:2" x14ac:dyDescent="0.4">
      <c r="A2063" s="4">
        <v>1000000</v>
      </c>
      <c r="B2063">
        <v>7005600</v>
      </c>
    </row>
    <row r="2064" spans="1:2" x14ac:dyDescent="0.4">
      <c r="A2064" s="4">
        <v>1000000</v>
      </c>
      <c r="B2064">
        <v>7006000</v>
      </c>
    </row>
    <row r="2065" spans="1:2" x14ac:dyDescent="0.4">
      <c r="A2065" s="4">
        <v>1000000</v>
      </c>
      <c r="B2065">
        <v>7006100</v>
      </c>
    </row>
    <row r="2066" spans="1:2" x14ac:dyDescent="0.4">
      <c r="A2066" s="4">
        <v>1000000</v>
      </c>
      <c r="B2066">
        <v>7010200</v>
      </c>
    </row>
    <row r="2067" spans="1:2" x14ac:dyDescent="0.4">
      <c r="A2067" s="4">
        <v>1000000</v>
      </c>
      <c r="B2067">
        <v>7010500</v>
      </c>
    </row>
    <row r="2068" spans="1:2" x14ac:dyDescent="0.4">
      <c r="A2068" s="4">
        <v>1000000</v>
      </c>
      <c r="B2068">
        <v>7010700</v>
      </c>
    </row>
    <row r="2069" spans="1:2" x14ac:dyDescent="0.4">
      <c r="A2069" s="4">
        <v>1000000</v>
      </c>
      <c r="B2069">
        <v>7010900</v>
      </c>
    </row>
    <row r="2070" spans="1:2" x14ac:dyDescent="0.4">
      <c r="A2070" s="4">
        <v>1000000</v>
      </c>
      <c r="B2070">
        <v>7011000</v>
      </c>
    </row>
    <row r="2071" spans="1:2" x14ac:dyDescent="0.4">
      <c r="A2071" s="4">
        <v>1000000</v>
      </c>
      <c r="B2071">
        <v>7011200</v>
      </c>
    </row>
    <row r="2072" spans="1:2" x14ac:dyDescent="0.4">
      <c r="A2072" s="4">
        <v>1000000</v>
      </c>
      <c r="B2072">
        <v>7011600</v>
      </c>
    </row>
    <row r="2073" spans="1:2" x14ac:dyDescent="0.4">
      <c r="A2073" s="4">
        <v>1000000</v>
      </c>
      <c r="B2073">
        <v>7011700</v>
      </c>
    </row>
    <row r="2074" spans="1:2" x14ac:dyDescent="0.4">
      <c r="A2074" s="4">
        <v>1000000</v>
      </c>
      <c r="B2074">
        <v>7012000</v>
      </c>
    </row>
    <row r="2075" spans="1:2" x14ac:dyDescent="0.4">
      <c r="A2075" s="4">
        <v>1000000</v>
      </c>
      <c r="B2075">
        <v>7012200</v>
      </c>
    </row>
    <row r="2076" spans="1:2" x14ac:dyDescent="0.4">
      <c r="A2076" s="4">
        <v>1000000</v>
      </c>
      <c r="B2076">
        <v>7012300</v>
      </c>
    </row>
    <row r="2077" spans="1:2" x14ac:dyDescent="0.4">
      <c r="A2077" s="4">
        <v>1000000</v>
      </c>
      <c r="B2077">
        <v>7020000</v>
      </c>
    </row>
    <row r="2078" spans="1:2" x14ac:dyDescent="0.4">
      <c r="A2078" s="4">
        <v>1000000</v>
      </c>
      <c r="B2078">
        <v>7030000</v>
      </c>
    </row>
    <row r="2079" spans="1:2" x14ac:dyDescent="0.4">
      <c r="A2079" s="4">
        <v>1000000</v>
      </c>
      <c r="B2079">
        <v>7030200</v>
      </c>
    </row>
    <row r="2080" spans="1:2" x14ac:dyDescent="0.4">
      <c r="A2080" s="4">
        <v>1000000</v>
      </c>
      <c r="B2080">
        <v>7030600</v>
      </c>
    </row>
    <row r="2081" spans="1:2" x14ac:dyDescent="0.4">
      <c r="A2081" s="4">
        <v>1000000</v>
      </c>
      <c r="B2081">
        <v>7030700</v>
      </c>
    </row>
    <row r="2082" spans="1:2" x14ac:dyDescent="0.4">
      <c r="A2082" s="4">
        <v>1000000</v>
      </c>
      <c r="B2082">
        <v>7030800</v>
      </c>
    </row>
    <row r="2083" spans="1:2" x14ac:dyDescent="0.4">
      <c r="A2083" s="4">
        <v>1000000</v>
      </c>
      <c r="B2083">
        <v>7030900</v>
      </c>
    </row>
    <row r="2084" spans="1:2" x14ac:dyDescent="0.4">
      <c r="A2084" s="4">
        <v>1000000</v>
      </c>
      <c r="B2084">
        <v>7031200</v>
      </c>
    </row>
    <row r="2085" spans="1:2" x14ac:dyDescent="0.4">
      <c r="A2085" s="4">
        <v>1000000</v>
      </c>
      <c r="B2085">
        <v>7031300</v>
      </c>
    </row>
    <row r="2086" spans="1:2" x14ac:dyDescent="0.4">
      <c r="A2086" s="4">
        <v>1000000</v>
      </c>
      <c r="B2086">
        <v>7031800</v>
      </c>
    </row>
    <row r="2087" spans="1:2" x14ac:dyDescent="0.4">
      <c r="A2087" s="4">
        <v>1000000</v>
      </c>
      <c r="B2087">
        <v>7031900</v>
      </c>
    </row>
    <row r="2088" spans="1:2" x14ac:dyDescent="0.4">
      <c r="A2088" s="4">
        <v>1000000</v>
      </c>
      <c r="B2088">
        <v>7032200</v>
      </c>
    </row>
    <row r="2089" spans="1:2" x14ac:dyDescent="0.4">
      <c r="A2089" s="4">
        <v>1000000</v>
      </c>
      <c r="B2089">
        <v>7032400</v>
      </c>
    </row>
    <row r="2090" spans="1:2" x14ac:dyDescent="0.4">
      <c r="A2090" s="4">
        <v>1000000</v>
      </c>
      <c r="B2090">
        <v>7032700</v>
      </c>
    </row>
    <row r="2091" spans="1:2" x14ac:dyDescent="0.4">
      <c r="A2091" s="4">
        <v>1000000</v>
      </c>
      <c r="B2091">
        <v>7032800</v>
      </c>
    </row>
    <row r="2092" spans="1:2" x14ac:dyDescent="0.4">
      <c r="A2092" s="4">
        <v>1000000</v>
      </c>
      <c r="B2092">
        <v>7032900</v>
      </c>
    </row>
    <row r="2093" spans="1:2" x14ac:dyDescent="0.4">
      <c r="A2093" s="4">
        <v>1000000</v>
      </c>
      <c r="B2093">
        <v>7033200</v>
      </c>
    </row>
    <row r="2094" spans="1:2" x14ac:dyDescent="0.4">
      <c r="A2094" s="4">
        <v>1000000</v>
      </c>
      <c r="B2094">
        <v>7033400</v>
      </c>
    </row>
    <row r="2095" spans="1:2" x14ac:dyDescent="0.4">
      <c r="A2095" s="4">
        <v>1000000</v>
      </c>
      <c r="B2095">
        <v>7034100</v>
      </c>
    </row>
    <row r="2096" spans="1:2" x14ac:dyDescent="0.4">
      <c r="A2096" s="4">
        <v>1000000</v>
      </c>
      <c r="B2096">
        <v>7034400</v>
      </c>
    </row>
    <row r="2097" spans="1:2" x14ac:dyDescent="0.4">
      <c r="A2097" s="4">
        <v>1000000</v>
      </c>
      <c r="B2097">
        <v>7034500</v>
      </c>
    </row>
    <row r="2098" spans="1:2" x14ac:dyDescent="0.4">
      <c r="A2098" s="4">
        <v>1000000</v>
      </c>
      <c r="B2098">
        <v>7034600</v>
      </c>
    </row>
    <row r="2099" spans="1:2" x14ac:dyDescent="0.4">
      <c r="A2099" s="4">
        <v>1000000</v>
      </c>
      <c r="B2099">
        <v>7034700</v>
      </c>
    </row>
    <row r="2100" spans="1:2" x14ac:dyDescent="0.4">
      <c r="A2100" s="4">
        <v>1000000</v>
      </c>
      <c r="B2100">
        <v>7035100</v>
      </c>
    </row>
    <row r="2101" spans="1:2" x14ac:dyDescent="0.4">
      <c r="A2101" s="4">
        <v>1000000</v>
      </c>
      <c r="B2101">
        <v>7036100</v>
      </c>
    </row>
    <row r="2102" spans="1:2" x14ac:dyDescent="0.4">
      <c r="A2102" s="4">
        <v>1000000</v>
      </c>
      <c r="B2102">
        <v>7040000</v>
      </c>
    </row>
    <row r="2103" spans="1:2" x14ac:dyDescent="0.4">
      <c r="A2103" s="4">
        <v>1000000</v>
      </c>
      <c r="B2103">
        <v>7040100</v>
      </c>
    </row>
    <row r="2104" spans="1:2" x14ac:dyDescent="0.4">
      <c r="A2104" s="4">
        <v>1000000</v>
      </c>
      <c r="B2104">
        <v>7040200</v>
      </c>
    </row>
    <row r="2105" spans="1:2" x14ac:dyDescent="0.4">
      <c r="A2105" s="4">
        <v>1000000</v>
      </c>
      <c r="B2105">
        <v>7040300</v>
      </c>
    </row>
    <row r="2106" spans="1:2" x14ac:dyDescent="0.4">
      <c r="A2106" s="4">
        <v>1000000</v>
      </c>
      <c r="B2106">
        <v>7040400</v>
      </c>
    </row>
    <row r="2107" spans="1:2" x14ac:dyDescent="0.4">
      <c r="A2107" s="4">
        <v>1000000</v>
      </c>
      <c r="B2107">
        <v>7040500</v>
      </c>
    </row>
    <row r="2108" spans="1:2" x14ac:dyDescent="0.4">
      <c r="A2108" s="4">
        <v>1000000</v>
      </c>
      <c r="B2108">
        <v>7043000</v>
      </c>
    </row>
    <row r="2109" spans="1:2" x14ac:dyDescent="0.4">
      <c r="A2109" s="4">
        <v>1000000</v>
      </c>
      <c r="B2109">
        <v>7043100</v>
      </c>
    </row>
    <row r="2110" spans="1:2" x14ac:dyDescent="0.4">
      <c r="A2110" s="4">
        <v>1000000</v>
      </c>
      <c r="B2110">
        <v>7043200</v>
      </c>
    </row>
    <row r="2111" spans="1:2" x14ac:dyDescent="0.4">
      <c r="A2111" s="4">
        <v>1000000</v>
      </c>
      <c r="B2111">
        <v>7043300</v>
      </c>
    </row>
    <row r="2112" spans="1:2" x14ac:dyDescent="0.4">
      <c r="A2112" s="4">
        <v>1000000</v>
      </c>
      <c r="B2112">
        <v>7043400</v>
      </c>
    </row>
    <row r="2113" spans="1:2" x14ac:dyDescent="0.4">
      <c r="A2113" s="4">
        <v>1000000</v>
      </c>
      <c r="B2113">
        <v>7043500</v>
      </c>
    </row>
    <row r="2114" spans="1:2" x14ac:dyDescent="0.4">
      <c r="A2114" s="4">
        <v>1000000</v>
      </c>
      <c r="B2114">
        <v>7043600</v>
      </c>
    </row>
    <row r="2115" spans="1:2" x14ac:dyDescent="0.4">
      <c r="A2115" s="4">
        <v>1000000</v>
      </c>
      <c r="B2115">
        <v>7043700</v>
      </c>
    </row>
    <row r="2116" spans="1:2" x14ac:dyDescent="0.4">
      <c r="A2116" s="4">
        <v>1000000</v>
      </c>
      <c r="B2116">
        <v>7043800</v>
      </c>
    </row>
    <row r="2117" spans="1:2" x14ac:dyDescent="0.4">
      <c r="A2117" s="4">
        <v>1000000</v>
      </c>
      <c r="B2117">
        <v>7044000</v>
      </c>
    </row>
    <row r="2118" spans="1:2" x14ac:dyDescent="0.4">
      <c r="A2118" s="4">
        <v>1000000</v>
      </c>
      <c r="B2118">
        <v>7044100</v>
      </c>
    </row>
    <row r="2119" spans="1:2" x14ac:dyDescent="0.4">
      <c r="A2119" s="4">
        <v>1000000</v>
      </c>
      <c r="B2119">
        <v>7044200</v>
      </c>
    </row>
    <row r="2120" spans="1:2" x14ac:dyDescent="0.4">
      <c r="A2120" s="4">
        <v>1000000</v>
      </c>
      <c r="B2120">
        <v>7044300</v>
      </c>
    </row>
    <row r="2121" spans="1:2" x14ac:dyDescent="0.4">
      <c r="A2121" s="4">
        <v>1000000</v>
      </c>
      <c r="B2121">
        <v>7044400</v>
      </c>
    </row>
    <row r="2122" spans="1:2" x14ac:dyDescent="0.4">
      <c r="A2122" s="4">
        <v>1000000</v>
      </c>
      <c r="B2122">
        <v>7044500</v>
      </c>
    </row>
    <row r="2123" spans="1:2" x14ac:dyDescent="0.4">
      <c r="A2123" s="4">
        <v>1000000</v>
      </c>
      <c r="B2123">
        <v>7044600</v>
      </c>
    </row>
    <row r="2124" spans="1:2" x14ac:dyDescent="0.4">
      <c r="A2124" s="4">
        <v>1000000</v>
      </c>
      <c r="B2124">
        <v>7050000</v>
      </c>
    </row>
    <row r="2125" spans="1:2" x14ac:dyDescent="0.4">
      <c r="A2125" s="4">
        <v>1000000</v>
      </c>
      <c r="B2125">
        <v>7050100</v>
      </c>
    </row>
    <row r="2126" spans="1:2" x14ac:dyDescent="0.4">
      <c r="A2126" s="4">
        <v>1000000</v>
      </c>
      <c r="B2126">
        <v>7060000</v>
      </c>
    </row>
    <row r="2127" spans="1:2" x14ac:dyDescent="0.4">
      <c r="A2127" s="4">
        <v>1000000</v>
      </c>
      <c r="B2127">
        <v>7060100</v>
      </c>
    </row>
    <row r="2128" spans="1:2" x14ac:dyDescent="0.4">
      <c r="A2128" s="4">
        <v>1000000</v>
      </c>
      <c r="B2128">
        <v>7060200</v>
      </c>
    </row>
    <row r="2129" spans="1:2" x14ac:dyDescent="0.4">
      <c r="A2129" s="4">
        <v>1000000</v>
      </c>
      <c r="B2129">
        <v>7070000</v>
      </c>
    </row>
    <row r="2130" spans="1:2" x14ac:dyDescent="0.4">
      <c r="A2130" s="4">
        <v>1000000</v>
      </c>
      <c r="B2130">
        <v>7080000</v>
      </c>
    </row>
    <row r="2131" spans="1:2" x14ac:dyDescent="0.4">
      <c r="A2131" s="4">
        <v>1000000</v>
      </c>
      <c r="B2131">
        <v>7080100</v>
      </c>
    </row>
    <row r="2132" spans="1:2" x14ac:dyDescent="0.4">
      <c r="A2132" s="4">
        <v>1000000</v>
      </c>
      <c r="B2132">
        <v>7080200</v>
      </c>
    </row>
    <row r="2133" spans="1:2" x14ac:dyDescent="0.4">
      <c r="A2133" s="4">
        <v>1000000</v>
      </c>
      <c r="B2133">
        <v>7080300</v>
      </c>
    </row>
    <row r="2134" spans="1:2" x14ac:dyDescent="0.4">
      <c r="A2134" s="4">
        <v>1000000</v>
      </c>
      <c r="B2134">
        <v>7080400</v>
      </c>
    </row>
    <row r="2135" spans="1:2" x14ac:dyDescent="0.4">
      <c r="A2135" s="4">
        <v>1000000</v>
      </c>
      <c r="B2135">
        <v>7080500</v>
      </c>
    </row>
    <row r="2136" spans="1:2" x14ac:dyDescent="0.4">
      <c r="A2136" s="4">
        <v>1000000</v>
      </c>
      <c r="B2136">
        <v>7080600</v>
      </c>
    </row>
    <row r="2137" spans="1:2" x14ac:dyDescent="0.4">
      <c r="A2137" s="4">
        <v>1000000</v>
      </c>
      <c r="B2137">
        <v>7080700</v>
      </c>
    </row>
    <row r="2138" spans="1:2" x14ac:dyDescent="0.4">
      <c r="A2138" s="4">
        <v>1000000</v>
      </c>
      <c r="B2138">
        <v>7080800</v>
      </c>
    </row>
    <row r="2139" spans="1:2" x14ac:dyDescent="0.4">
      <c r="A2139" s="4">
        <v>1000000</v>
      </c>
      <c r="B2139">
        <v>7080900</v>
      </c>
    </row>
    <row r="2140" spans="1:2" x14ac:dyDescent="0.4">
      <c r="A2140" s="4">
        <v>1000000</v>
      </c>
      <c r="B2140">
        <v>7081000</v>
      </c>
    </row>
    <row r="2141" spans="1:2" x14ac:dyDescent="0.4">
      <c r="A2141" s="4">
        <v>1000000</v>
      </c>
      <c r="B2141">
        <v>7081100</v>
      </c>
    </row>
    <row r="2142" spans="1:2" x14ac:dyDescent="0.4">
      <c r="A2142" s="4">
        <v>1000000</v>
      </c>
      <c r="B2142">
        <v>7081200</v>
      </c>
    </row>
    <row r="2143" spans="1:2" x14ac:dyDescent="0.4">
      <c r="A2143" s="4">
        <v>1000000</v>
      </c>
      <c r="B2143">
        <v>7081300</v>
      </c>
    </row>
    <row r="2144" spans="1:2" x14ac:dyDescent="0.4">
      <c r="A2144" s="4">
        <v>1000000</v>
      </c>
      <c r="B2144">
        <v>7081400</v>
      </c>
    </row>
    <row r="2145" spans="1:2" x14ac:dyDescent="0.4">
      <c r="A2145" s="4">
        <v>1000000</v>
      </c>
      <c r="B2145">
        <v>7081500</v>
      </c>
    </row>
    <row r="2146" spans="1:2" x14ac:dyDescent="0.4">
      <c r="A2146" s="4">
        <v>1000000</v>
      </c>
      <c r="B2146">
        <v>7081700</v>
      </c>
    </row>
    <row r="2147" spans="1:2" x14ac:dyDescent="0.4">
      <c r="A2147" s="4">
        <v>1000000</v>
      </c>
      <c r="B2147">
        <v>7081800</v>
      </c>
    </row>
    <row r="2148" spans="1:2" x14ac:dyDescent="0.4">
      <c r="A2148" s="4">
        <v>1000000</v>
      </c>
      <c r="B2148">
        <v>7081900</v>
      </c>
    </row>
    <row r="2149" spans="1:2" x14ac:dyDescent="0.4">
      <c r="A2149" s="4">
        <v>1000000</v>
      </c>
      <c r="B2149">
        <v>7082000</v>
      </c>
    </row>
    <row r="2150" spans="1:2" x14ac:dyDescent="0.4">
      <c r="A2150" s="4">
        <v>1000000</v>
      </c>
      <c r="B2150">
        <v>7082100</v>
      </c>
    </row>
    <row r="2151" spans="1:2" x14ac:dyDescent="0.4">
      <c r="A2151" s="4">
        <v>1000000</v>
      </c>
      <c r="B2151">
        <v>7082200</v>
      </c>
    </row>
    <row r="2152" spans="1:2" x14ac:dyDescent="0.4">
      <c r="A2152" s="4">
        <v>1000000</v>
      </c>
      <c r="B2152">
        <v>7082300</v>
      </c>
    </row>
    <row r="2153" spans="1:2" x14ac:dyDescent="0.4">
      <c r="A2153" s="4">
        <v>1000000</v>
      </c>
      <c r="B2153">
        <v>7082400</v>
      </c>
    </row>
    <row r="2154" spans="1:2" x14ac:dyDescent="0.4">
      <c r="A2154" s="4">
        <v>1000000</v>
      </c>
      <c r="B2154">
        <v>7082500</v>
      </c>
    </row>
    <row r="2155" spans="1:2" x14ac:dyDescent="0.4">
      <c r="A2155" s="4">
        <v>1000000</v>
      </c>
      <c r="B2155">
        <v>7082600</v>
      </c>
    </row>
    <row r="2156" spans="1:2" x14ac:dyDescent="0.4">
      <c r="A2156" s="4">
        <v>1000000</v>
      </c>
      <c r="B2156">
        <v>7082700</v>
      </c>
    </row>
    <row r="2157" spans="1:2" x14ac:dyDescent="0.4">
      <c r="A2157" s="4">
        <v>1000000</v>
      </c>
      <c r="B2157">
        <v>7082800</v>
      </c>
    </row>
    <row r="2158" spans="1:2" x14ac:dyDescent="0.4">
      <c r="A2158" s="4">
        <v>1000000</v>
      </c>
      <c r="B2158">
        <v>7082900</v>
      </c>
    </row>
    <row r="2159" spans="1:2" x14ac:dyDescent="0.4">
      <c r="A2159" s="4">
        <v>1000000</v>
      </c>
      <c r="B2159">
        <v>7090000</v>
      </c>
    </row>
    <row r="2160" spans="1:2" x14ac:dyDescent="0.4">
      <c r="A2160" s="4">
        <v>1000000</v>
      </c>
      <c r="B2160">
        <v>7090100</v>
      </c>
    </row>
    <row r="2161" spans="1:2" x14ac:dyDescent="0.4">
      <c r="A2161" s="4">
        <v>1000000</v>
      </c>
      <c r="B2161">
        <v>7090300</v>
      </c>
    </row>
    <row r="2162" spans="1:2" x14ac:dyDescent="0.4">
      <c r="A2162" s="4">
        <v>1000000</v>
      </c>
      <c r="B2162">
        <v>7100100</v>
      </c>
    </row>
    <row r="2163" spans="1:2" x14ac:dyDescent="0.4">
      <c r="A2163" s="4">
        <v>1000000</v>
      </c>
      <c r="B2163">
        <v>7110000</v>
      </c>
    </row>
    <row r="2164" spans="1:2" x14ac:dyDescent="0.4">
      <c r="A2164" s="4">
        <v>1000000</v>
      </c>
      <c r="B2164">
        <v>7120000</v>
      </c>
    </row>
    <row r="2165" spans="1:2" x14ac:dyDescent="0.4">
      <c r="A2165" s="4">
        <v>1000000</v>
      </c>
      <c r="B2165">
        <v>7120100</v>
      </c>
    </row>
    <row r="2166" spans="1:2" x14ac:dyDescent="0.4">
      <c r="A2166" s="4">
        <v>1000000</v>
      </c>
      <c r="B2166">
        <v>7120200</v>
      </c>
    </row>
    <row r="2167" spans="1:2" x14ac:dyDescent="0.4">
      <c r="A2167" s="4">
        <v>1000000</v>
      </c>
      <c r="B2167">
        <v>7120300</v>
      </c>
    </row>
    <row r="2168" spans="1:2" x14ac:dyDescent="0.4">
      <c r="A2168" s="4">
        <v>1000000</v>
      </c>
      <c r="B2168">
        <v>7120400</v>
      </c>
    </row>
    <row r="2169" spans="1:2" x14ac:dyDescent="0.4">
      <c r="A2169" s="4">
        <v>1000000</v>
      </c>
      <c r="B2169">
        <v>7120500</v>
      </c>
    </row>
    <row r="2170" spans="1:2" x14ac:dyDescent="0.4">
      <c r="A2170" s="4">
        <v>1000000</v>
      </c>
      <c r="B2170">
        <v>7120600</v>
      </c>
    </row>
    <row r="2171" spans="1:2" x14ac:dyDescent="0.4">
      <c r="A2171" s="4">
        <v>1000000</v>
      </c>
      <c r="B2171">
        <v>7120900</v>
      </c>
    </row>
    <row r="2172" spans="1:2" x14ac:dyDescent="0.4">
      <c r="A2172" s="4">
        <v>1000000</v>
      </c>
      <c r="B2172">
        <v>7121000</v>
      </c>
    </row>
    <row r="2173" spans="1:2" x14ac:dyDescent="0.4">
      <c r="A2173" s="4">
        <v>1000000</v>
      </c>
      <c r="B2173">
        <v>7121100</v>
      </c>
    </row>
    <row r="2174" spans="1:2" x14ac:dyDescent="0.4">
      <c r="A2174" s="4">
        <v>1000000</v>
      </c>
      <c r="B2174">
        <v>7121200</v>
      </c>
    </row>
    <row r="2175" spans="1:2" x14ac:dyDescent="0.4">
      <c r="A2175" s="4">
        <v>1000000</v>
      </c>
      <c r="B2175">
        <v>7121300</v>
      </c>
    </row>
    <row r="2176" spans="1:2" x14ac:dyDescent="0.4">
      <c r="A2176" s="4">
        <v>1000000</v>
      </c>
      <c r="B2176">
        <v>7121400</v>
      </c>
    </row>
    <row r="2177" spans="1:2" x14ac:dyDescent="0.4">
      <c r="A2177" s="4">
        <v>1000000</v>
      </c>
      <c r="B2177">
        <v>7121500</v>
      </c>
    </row>
    <row r="2178" spans="1:2" x14ac:dyDescent="0.4">
      <c r="A2178" s="4">
        <v>1000000</v>
      </c>
      <c r="B2178">
        <v>7121600</v>
      </c>
    </row>
    <row r="2179" spans="1:2" x14ac:dyDescent="0.4">
      <c r="A2179" s="4">
        <v>1000000</v>
      </c>
      <c r="B2179">
        <v>7121700</v>
      </c>
    </row>
    <row r="2180" spans="1:2" x14ac:dyDescent="0.4">
      <c r="A2180" s="4">
        <v>1000000</v>
      </c>
      <c r="B2180">
        <v>7121800</v>
      </c>
    </row>
    <row r="2181" spans="1:2" x14ac:dyDescent="0.4">
      <c r="A2181" s="4">
        <v>1000000</v>
      </c>
      <c r="B2181">
        <v>7121900</v>
      </c>
    </row>
    <row r="2182" spans="1:2" x14ac:dyDescent="0.4">
      <c r="A2182" s="4">
        <v>1000000</v>
      </c>
      <c r="B2182">
        <v>7122000</v>
      </c>
    </row>
    <row r="2183" spans="1:2" x14ac:dyDescent="0.4">
      <c r="A2183" s="4">
        <v>1000000</v>
      </c>
      <c r="B2183">
        <v>7122100</v>
      </c>
    </row>
    <row r="2184" spans="1:2" x14ac:dyDescent="0.4">
      <c r="A2184" s="4">
        <v>1000000</v>
      </c>
      <c r="B2184">
        <v>7122200</v>
      </c>
    </row>
    <row r="2185" spans="1:2" x14ac:dyDescent="0.4">
      <c r="A2185" s="4">
        <v>1000000</v>
      </c>
      <c r="B2185">
        <v>7122300</v>
      </c>
    </row>
    <row r="2186" spans="1:2" x14ac:dyDescent="0.4">
      <c r="A2186" s="4">
        <v>1000000</v>
      </c>
      <c r="B2186">
        <v>7122400</v>
      </c>
    </row>
    <row r="2187" spans="1:2" x14ac:dyDescent="0.4">
      <c r="A2187" s="4">
        <v>1000000</v>
      </c>
      <c r="B2187">
        <v>7122500</v>
      </c>
    </row>
    <row r="2188" spans="1:2" x14ac:dyDescent="0.4">
      <c r="A2188" s="4">
        <v>1000000</v>
      </c>
      <c r="B2188">
        <v>7122600</v>
      </c>
    </row>
    <row r="2189" spans="1:2" x14ac:dyDescent="0.4">
      <c r="A2189" s="4">
        <v>1000000</v>
      </c>
      <c r="B2189">
        <v>7122700</v>
      </c>
    </row>
    <row r="2190" spans="1:2" x14ac:dyDescent="0.4">
      <c r="A2190" s="4">
        <v>1000000</v>
      </c>
      <c r="B2190">
        <v>7122800</v>
      </c>
    </row>
    <row r="2191" spans="1:2" x14ac:dyDescent="0.4">
      <c r="A2191" s="4">
        <v>1000000</v>
      </c>
      <c r="B2191">
        <v>7122900</v>
      </c>
    </row>
    <row r="2192" spans="1:2" x14ac:dyDescent="0.4">
      <c r="A2192" s="4">
        <v>1000000</v>
      </c>
      <c r="B2192">
        <v>7123000</v>
      </c>
    </row>
    <row r="2193" spans="1:2" x14ac:dyDescent="0.4">
      <c r="A2193" s="4">
        <v>1000000</v>
      </c>
      <c r="B2193">
        <v>7123100</v>
      </c>
    </row>
    <row r="2194" spans="1:2" x14ac:dyDescent="0.4">
      <c r="A2194" s="4">
        <v>1000000</v>
      </c>
      <c r="B2194">
        <v>7123200</v>
      </c>
    </row>
    <row r="2195" spans="1:2" x14ac:dyDescent="0.4">
      <c r="A2195" s="4">
        <v>1000000</v>
      </c>
      <c r="B2195">
        <v>7123300</v>
      </c>
    </row>
    <row r="2196" spans="1:2" x14ac:dyDescent="0.4">
      <c r="A2196" s="4">
        <v>1000000</v>
      </c>
      <c r="B2196">
        <v>7123400</v>
      </c>
    </row>
    <row r="2197" spans="1:2" x14ac:dyDescent="0.4">
      <c r="A2197" s="4">
        <v>1000000</v>
      </c>
      <c r="B2197">
        <v>7123500</v>
      </c>
    </row>
    <row r="2198" spans="1:2" x14ac:dyDescent="0.4">
      <c r="A2198" s="4">
        <v>1000000</v>
      </c>
      <c r="B2198">
        <v>7123600</v>
      </c>
    </row>
    <row r="2199" spans="1:2" x14ac:dyDescent="0.4">
      <c r="A2199" s="4">
        <v>1000000</v>
      </c>
      <c r="B2199">
        <v>7123700</v>
      </c>
    </row>
    <row r="2200" spans="1:2" x14ac:dyDescent="0.4">
      <c r="A2200" s="4">
        <v>1000000</v>
      </c>
      <c r="B2200">
        <v>7123800</v>
      </c>
    </row>
    <row r="2201" spans="1:2" x14ac:dyDescent="0.4">
      <c r="A2201" s="4">
        <v>1000000</v>
      </c>
      <c r="B2201">
        <v>7123900</v>
      </c>
    </row>
    <row r="2202" spans="1:2" x14ac:dyDescent="0.4">
      <c r="A2202" s="4">
        <v>1000000</v>
      </c>
      <c r="B2202">
        <v>7124000</v>
      </c>
    </row>
    <row r="2203" spans="1:2" x14ac:dyDescent="0.4">
      <c r="A2203" s="4">
        <v>1000000</v>
      </c>
      <c r="B2203">
        <v>7124100</v>
      </c>
    </row>
    <row r="2204" spans="1:2" x14ac:dyDescent="0.4">
      <c r="A2204" s="4">
        <v>1000000</v>
      </c>
      <c r="B2204">
        <v>7124300</v>
      </c>
    </row>
    <row r="2205" spans="1:2" x14ac:dyDescent="0.4">
      <c r="A2205" s="4">
        <v>1000000</v>
      </c>
      <c r="B2205">
        <v>7124400</v>
      </c>
    </row>
    <row r="2206" spans="1:2" x14ac:dyDescent="0.4">
      <c r="A2206" s="4">
        <v>1000000</v>
      </c>
      <c r="B2206">
        <v>7124500</v>
      </c>
    </row>
    <row r="2207" spans="1:2" x14ac:dyDescent="0.4">
      <c r="A2207" s="4">
        <v>1000000</v>
      </c>
      <c r="B2207">
        <v>7124600</v>
      </c>
    </row>
    <row r="2208" spans="1:2" x14ac:dyDescent="0.4">
      <c r="A2208" s="4">
        <v>1000000</v>
      </c>
      <c r="B2208">
        <v>7124700</v>
      </c>
    </row>
    <row r="2209" spans="1:2" x14ac:dyDescent="0.4">
      <c r="A2209" s="4">
        <v>1000000</v>
      </c>
      <c r="B2209">
        <v>7126000</v>
      </c>
    </row>
    <row r="2210" spans="1:2" x14ac:dyDescent="0.4">
      <c r="A2210" s="4">
        <v>1000000</v>
      </c>
      <c r="B2210">
        <v>7150000</v>
      </c>
    </row>
    <row r="2211" spans="1:2" x14ac:dyDescent="0.4">
      <c r="A2211" s="4">
        <v>1000000</v>
      </c>
      <c r="B2211">
        <v>7160000</v>
      </c>
    </row>
    <row r="2212" spans="1:2" x14ac:dyDescent="0.4">
      <c r="A2212" s="4">
        <v>1000000</v>
      </c>
      <c r="B2212">
        <v>7220000</v>
      </c>
    </row>
    <row r="2213" spans="1:2" x14ac:dyDescent="0.4">
      <c r="A2213" s="4">
        <v>1000000</v>
      </c>
      <c r="B2213">
        <v>7230000</v>
      </c>
    </row>
    <row r="2214" spans="1:2" x14ac:dyDescent="0.4">
      <c r="A2214" s="4">
        <v>1000000</v>
      </c>
      <c r="B2214">
        <v>7240000</v>
      </c>
    </row>
    <row r="2215" spans="1:2" x14ac:dyDescent="0.4">
      <c r="A2215" s="4">
        <v>1000000</v>
      </c>
      <c r="B2215">
        <v>7260000</v>
      </c>
    </row>
    <row r="2216" spans="1:2" x14ac:dyDescent="0.4">
      <c r="A2216" s="4">
        <v>1000000</v>
      </c>
      <c r="B2216">
        <v>7260300</v>
      </c>
    </row>
    <row r="2217" spans="1:2" x14ac:dyDescent="0.4">
      <c r="A2217" s="4">
        <v>1000000</v>
      </c>
      <c r="B2217">
        <v>7260400</v>
      </c>
    </row>
    <row r="2218" spans="1:2" x14ac:dyDescent="0.4">
      <c r="A2218" s="4">
        <v>1000000</v>
      </c>
      <c r="B2218">
        <v>7270100</v>
      </c>
    </row>
    <row r="2219" spans="1:2" x14ac:dyDescent="0.4">
      <c r="A2219" s="4">
        <v>1000000</v>
      </c>
      <c r="B2219">
        <v>7280000</v>
      </c>
    </row>
    <row r="2220" spans="1:2" x14ac:dyDescent="0.4">
      <c r="A2220" s="4">
        <v>1000000</v>
      </c>
      <c r="B2220">
        <v>7290000</v>
      </c>
    </row>
    <row r="2221" spans="1:2" x14ac:dyDescent="0.4">
      <c r="A2221" s="4">
        <v>1000000</v>
      </c>
      <c r="B2221">
        <v>7310000</v>
      </c>
    </row>
    <row r="2222" spans="1:2" x14ac:dyDescent="0.4">
      <c r="A2222" s="4">
        <v>1000000</v>
      </c>
      <c r="B2222">
        <v>7330000</v>
      </c>
    </row>
    <row r="2223" spans="1:2" x14ac:dyDescent="0.4">
      <c r="A2223" s="4">
        <v>1000000</v>
      </c>
      <c r="B2223">
        <v>7330100</v>
      </c>
    </row>
    <row r="2224" spans="1:2" x14ac:dyDescent="0.4">
      <c r="A2224" s="4">
        <v>1000000</v>
      </c>
      <c r="B2224">
        <v>7330200</v>
      </c>
    </row>
    <row r="2225" spans="1:2" x14ac:dyDescent="0.4">
      <c r="A2225" s="4">
        <v>1000000</v>
      </c>
      <c r="B2225">
        <v>7330300</v>
      </c>
    </row>
    <row r="2226" spans="1:2" x14ac:dyDescent="0.4">
      <c r="A2226" s="4">
        <v>1000000</v>
      </c>
      <c r="B2226">
        <v>7330400</v>
      </c>
    </row>
    <row r="2227" spans="1:2" x14ac:dyDescent="0.4">
      <c r="A2227" s="4">
        <v>1000000</v>
      </c>
      <c r="B2227">
        <v>7330500</v>
      </c>
    </row>
    <row r="2228" spans="1:2" x14ac:dyDescent="0.4">
      <c r="A2228" s="4">
        <v>1000000</v>
      </c>
      <c r="B2228">
        <v>7330600</v>
      </c>
    </row>
    <row r="2229" spans="1:2" x14ac:dyDescent="0.4">
      <c r="A2229" s="4">
        <v>1000000</v>
      </c>
      <c r="B2229">
        <v>7330700</v>
      </c>
    </row>
    <row r="2230" spans="1:2" x14ac:dyDescent="0.4">
      <c r="A2230" s="4">
        <v>1000000</v>
      </c>
      <c r="B2230">
        <v>7330800</v>
      </c>
    </row>
    <row r="2231" spans="1:2" x14ac:dyDescent="0.4">
      <c r="A2231" s="4">
        <v>1000000</v>
      </c>
      <c r="B2231">
        <v>7330900</v>
      </c>
    </row>
    <row r="2232" spans="1:2" x14ac:dyDescent="0.4">
      <c r="A2232" s="4">
        <v>1000000</v>
      </c>
      <c r="B2232">
        <v>7331000</v>
      </c>
    </row>
    <row r="2233" spans="1:2" x14ac:dyDescent="0.4">
      <c r="A2233" s="4">
        <v>1000000</v>
      </c>
      <c r="B2233">
        <v>7331100</v>
      </c>
    </row>
    <row r="2234" spans="1:2" x14ac:dyDescent="0.4">
      <c r="A2234" s="4">
        <v>1000000</v>
      </c>
      <c r="B2234">
        <v>7331200</v>
      </c>
    </row>
    <row r="2235" spans="1:2" x14ac:dyDescent="0.4">
      <c r="A2235" s="4">
        <v>1000000</v>
      </c>
      <c r="B2235">
        <v>7331300</v>
      </c>
    </row>
    <row r="2236" spans="1:2" x14ac:dyDescent="0.4">
      <c r="A2236" s="4">
        <v>1000000</v>
      </c>
      <c r="B2236">
        <v>7331400</v>
      </c>
    </row>
    <row r="2237" spans="1:2" x14ac:dyDescent="0.4">
      <c r="A2237" s="4">
        <v>1000000</v>
      </c>
      <c r="B2237">
        <v>7331500</v>
      </c>
    </row>
    <row r="2238" spans="1:2" x14ac:dyDescent="0.4">
      <c r="A2238" s="4">
        <v>1000000</v>
      </c>
      <c r="B2238">
        <v>7331700</v>
      </c>
    </row>
    <row r="2239" spans="1:2" x14ac:dyDescent="0.4">
      <c r="A2239" s="4">
        <v>1000000</v>
      </c>
      <c r="B2239">
        <v>7331800</v>
      </c>
    </row>
    <row r="2240" spans="1:2" x14ac:dyDescent="0.4">
      <c r="A2240" s="4">
        <v>1000000</v>
      </c>
      <c r="B2240">
        <v>7331900</v>
      </c>
    </row>
    <row r="2241" spans="1:2" x14ac:dyDescent="0.4">
      <c r="A2241" s="4">
        <v>1000000</v>
      </c>
      <c r="B2241">
        <v>7332000</v>
      </c>
    </row>
    <row r="2242" spans="1:2" x14ac:dyDescent="0.4">
      <c r="A2242" s="4">
        <v>1000000</v>
      </c>
      <c r="B2242">
        <v>7332100</v>
      </c>
    </row>
    <row r="2243" spans="1:2" x14ac:dyDescent="0.4">
      <c r="A2243" s="4">
        <v>1000000</v>
      </c>
      <c r="B2243">
        <v>7332200</v>
      </c>
    </row>
    <row r="2244" spans="1:2" x14ac:dyDescent="0.4">
      <c r="A2244" s="4">
        <v>1000000</v>
      </c>
      <c r="B2244">
        <v>7332300</v>
      </c>
    </row>
    <row r="2245" spans="1:2" x14ac:dyDescent="0.4">
      <c r="A2245" s="4">
        <v>1000000</v>
      </c>
      <c r="B2245">
        <v>7332400</v>
      </c>
    </row>
    <row r="2246" spans="1:2" x14ac:dyDescent="0.4">
      <c r="A2246" s="4">
        <v>1000000</v>
      </c>
      <c r="B2246">
        <v>7340000</v>
      </c>
    </row>
    <row r="2247" spans="1:2" x14ac:dyDescent="0.4">
      <c r="A2247" s="4">
        <v>1000000</v>
      </c>
      <c r="B2247">
        <v>7340100</v>
      </c>
    </row>
    <row r="2248" spans="1:2" x14ac:dyDescent="0.4">
      <c r="A2248" s="4">
        <v>1000000</v>
      </c>
      <c r="B2248">
        <v>7340200</v>
      </c>
    </row>
    <row r="2249" spans="1:2" x14ac:dyDescent="0.4">
      <c r="A2249" s="4">
        <v>1000000</v>
      </c>
      <c r="B2249">
        <v>7340300</v>
      </c>
    </row>
    <row r="2250" spans="1:2" x14ac:dyDescent="0.4">
      <c r="A2250" s="4">
        <v>1000000</v>
      </c>
      <c r="B2250">
        <v>7340400</v>
      </c>
    </row>
    <row r="2251" spans="1:2" x14ac:dyDescent="0.4">
      <c r="A2251" s="4">
        <v>1000000</v>
      </c>
      <c r="B2251">
        <v>7340500</v>
      </c>
    </row>
    <row r="2252" spans="1:2" x14ac:dyDescent="0.4">
      <c r="A2252" s="4">
        <v>1000000</v>
      </c>
      <c r="B2252">
        <v>7340600</v>
      </c>
    </row>
    <row r="2253" spans="1:2" x14ac:dyDescent="0.4">
      <c r="A2253" s="4">
        <v>1000000</v>
      </c>
      <c r="B2253">
        <v>7340700</v>
      </c>
    </row>
    <row r="2254" spans="1:2" x14ac:dyDescent="0.4">
      <c r="A2254" s="4">
        <v>1000000</v>
      </c>
      <c r="B2254">
        <v>7340800</v>
      </c>
    </row>
    <row r="2255" spans="1:2" x14ac:dyDescent="0.4">
      <c r="A2255" s="4">
        <v>1000000</v>
      </c>
      <c r="B2255">
        <v>7340900</v>
      </c>
    </row>
    <row r="2256" spans="1:2" x14ac:dyDescent="0.4">
      <c r="A2256" s="4">
        <v>1000000</v>
      </c>
      <c r="B2256">
        <v>7341000</v>
      </c>
    </row>
    <row r="2257" spans="1:2" x14ac:dyDescent="0.4">
      <c r="A2257" s="4">
        <v>1000000</v>
      </c>
      <c r="B2257">
        <v>7341100</v>
      </c>
    </row>
    <row r="2258" spans="1:2" x14ac:dyDescent="0.4">
      <c r="A2258" s="4">
        <v>1000000</v>
      </c>
      <c r="B2258">
        <v>7341200</v>
      </c>
    </row>
    <row r="2259" spans="1:2" x14ac:dyDescent="0.4">
      <c r="A2259" s="4">
        <v>1000000</v>
      </c>
      <c r="B2259">
        <v>7341300</v>
      </c>
    </row>
    <row r="2260" spans="1:2" x14ac:dyDescent="0.4">
      <c r="A2260" s="4">
        <v>1000000</v>
      </c>
      <c r="B2260">
        <v>7341400</v>
      </c>
    </row>
    <row r="2261" spans="1:2" x14ac:dyDescent="0.4">
      <c r="A2261" s="4">
        <v>1000000</v>
      </c>
      <c r="B2261">
        <v>7341500</v>
      </c>
    </row>
    <row r="2262" spans="1:2" x14ac:dyDescent="0.4">
      <c r="A2262" s="4">
        <v>1000000</v>
      </c>
      <c r="B2262">
        <v>7341700</v>
      </c>
    </row>
    <row r="2263" spans="1:2" x14ac:dyDescent="0.4">
      <c r="A2263" s="4">
        <v>1000000</v>
      </c>
      <c r="B2263">
        <v>7341800</v>
      </c>
    </row>
    <row r="2264" spans="1:2" x14ac:dyDescent="0.4">
      <c r="A2264" s="4">
        <v>1000000</v>
      </c>
      <c r="B2264">
        <v>7341900</v>
      </c>
    </row>
    <row r="2265" spans="1:2" x14ac:dyDescent="0.4">
      <c r="A2265" s="4">
        <v>1000000</v>
      </c>
      <c r="B2265">
        <v>7342000</v>
      </c>
    </row>
    <row r="2266" spans="1:2" x14ac:dyDescent="0.4">
      <c r="A2266" s="4">
        <v>1000000</v>
      </c>
      <c r="B2266">
        <v>7342100</v>
      </c>
    </row>
    <row r="2267" spans="1:2" x14ac:dyDescent="0.4">
      <c r="A2267" s="4">
        <v>1000000</v>
      </c>
      <c r="B2267">
        <v>7342200</v>
      </c>
    </row>
    <row r="2268" spans="1:2" x14ac:dyDescent="0.4">
      <c r="A2268" s="4">
        <v>1000000</v>
      </c>
      <c r="B2268">
        <v>7342300</v>
      </c>
    </row>
    <row r="2269" spans="1:2" x14ac:dyDescent="0.4">
      <c r="A2269" s="4">
        <v>1000000</v>
      </c>
      <c r="B2269">
        <v>7342400</v>
      </c>
    </row>
    <row r="2270" spans="1:2" x14ac:dyDescent="0.4">
      <c r="A2270" s="4">
        <v>1000000</v>
      </c>
      <c r="B2270">
        <v>7350000</v>
      </c>
    </row>
    <row r="2271" spans="1:2" x14ac:dyDescent="0.4">
      <c r="A2271" s="4">
        <v>1000000</v>
      </c>
      <c r="B2271">
        <v>7350100</v>
      </c>
    </row>
    <row r="2272" spans="1:2" x14ac:dyDescent="0.4">
      <c r="A2272" s="4">
        <v>1000000</v>
      </c>
      <c r="B2272">
        <v>7350200</v>
      </c>
    </row>
    <row r="2273" spans="1:2" x14ac:dyDescent="0.4">
      <c r="A2273" s="4">
        <v>1000000</v>
      </c>
      <c r="B2273">
        <v>7350300</v>
      </c>
    </row>
    <row r="2274" spans="1:2" x14ac:dyDescent="0.4">
      <c r="A2274" s="4">
        <v>1000000</v>
      </c>
      <c r="B2274">
        <v>7350400</v>
      </c>
    </row>
    <row r="2275" spans="1:2" x14ac:dyDescent="0.4">
      <c r="A2275" s="4">
        <v>1000000</v>
      </c>
      <c r="B2275">
        <v>7350500</v>
      </c>
    </row>
    <row r="2276" spans="1:2" x14ac:dyDescent="0.4">
      <c r="A2276" s="4">
        <v>1000000</v>
      </c>
      <c r="B2276">
        <v>7350600</v>
      </c>
    </row>
    <row r="2277" spans="1:2" x14ac:dyDescent="0.4">
      <c r="A2277" s="4">
        <v>1000000</v>
      </c>
      <c r="B2277">
        <v>7350700</v>
      </c>
    </row>
    <row r="2278" spans="1:2" x14ac:dyDescent="0.4">
      <c r="A2278" s="4">
        <v>1000000</v>
      </c>
      <c r="B2278">
        <v>7350800</v>
      </c>
    </row>
    <row r="2279" spans="1:2" x14ac:dyDescent="0.4">
      <c r="A2279" s="4">
        <v>1000000</v>
      </c>
      <c r="B2279">
        <v>7350900</v>
      </c>
    </row>
    <row r="2280" spans="1:2" x14ac:dyDescent="0.4">
      <c r="A2280" s="4">
        <v>1000000</v>
      </c>
      <c r="B2280">
        <v>7351000</v>
      </c>
    </row>
    <row r="2281" spans="1:2" x14ac:dyDescent="0.4">
      <c r="A2281" s="4">
        <v>1000000</v>
      </c>
      <c r="B2281">
        <v>7351100</v>
      </c>
    </row>
    <row r="2282" spans="1:2" x14ac:dyDescent="0.4">
      <c r="A2282" s="4">
        <v>1000000</v>
      </c>
      <c r="B2282">
        <v>7351200</v>
      </c>
    </row>
    <row r="2283" spans="1:2" x14ac:dyDescent="0.4">
      <c r="A2283" s="4">
        <v>1000000</v>
      </c>
      <c r="B2283">
        <v>7351300</v>
      </c>
    </row>
    <row r="2284" spans="1:2" x14ac:dyDescent="0.4">
      <c r="A2284" s="4">
        <v>1000000</v>
      </c>
      <c r="B2284">
        <v>7351400</v>
      </c>
    </row>
    <row r="2285" spans="1:2" x14ac:dyDescent="0.4">
      <c r="A2285" s="4">
        <v>1000000</v>
      </c>
      <c r="B2285">
        <v>7351500</v>
      </c>
    </row>
    <row r="2286" spans="1:2" x14ac:dyDescent="0.4">
      <c r="A2286" s="4">
        <v>1000000</v>
      </c>
      <c r="B2286">
        <v>7351700</v>
      </c>
    </row>
    <row r="2287" spans="1:2" x14ac:dyDescent="0.4">
      <c r="A2287" s="4">
        <v>1000000</v>
      </c>
      <c r="B2287">
        <v>7351800</v>
      </c>
    </row>
    <row r="2288" spans="1:2" x14ac:dyDescent="0.4">
      <c r="A2288" s="4">
        <v>1000000</v>
      </c>
      <c r="B2288">
        <v>7351900</v>
      </c>
    </row>
    <row r="2289" spans="1:2" x14ac:dyDescent="0.4">
      <c r="A2289" s="4">
        <v>1000000</v>
      </c>
      <c r="B2289">
        <v>7352000</v>
      </c>
    </row>
    <row r="2290" spans="1:2" x14ac:dyDescent="0.4">
      <c r="A2290" s="4">
        <v>1000000</v>
      </c>
      <c r="B2290">
        <v>7352100</v>
      </c>
    </row>
    <row r="2291" spans="1:2" x14ac:dyDescent="0.4">
      <c r="A2291" s="4">
        <v>1000000</v>
      </c>
      <c r="B2291">
        <v>7352200</v>
      </c>
    </row>
    <row r="2292" spans="1:2" x14ac:dyDescent="0.4">
      <c r="A2292" s="4">
        <v>1000000</v>
      </c>
      <c r="B2292">
        <v>7352300</v>
      </c>
    </row>
    <row r="2293" spans="1:2" x14ac:dyDescent="0.4">
      <c r="A2293" s="4">
        <v>1000000</v>
      </c>
      <c r="B2293">
        <v>7352400</v>
      </c>
    </row>
    <row r="2294" spans="1:2" x14ac:dyDescent="0.4">
      <c r="A2294" s="4">
        <v>1000000</v>
      </c>
      <c r="B2294">
        <v>7360600</v>
      </c>
    </row>
    <row r="2295" spans="1:2" x14ac:dyDescent="0.4">
      <c r="A2295" s="4">
        <v>1000000</v>
      </c>
      <c r="B2295">
        <v>7360900</v>
      </c>
    </row>
    <row r="2296" spans="1:2" x14ac:dyDescent="0.4">
      <c r="A2296" s="4">
        <v>1000000</v>
      </c>
      <c r="B2296">
        <v>7361200</v>
      </c>
    </row>
    <row r="2297" spans="1:2" x14ac:dyDescent="0.4">
      <c r="A2297" s="4">
        <v>1000000</v>
      </c>
      <c r="B2297">
        <v>7361300</v>
      </c>
    </row>
    <row r="2298" spans="1:2" x14ac:dyDescent="0.4">
      <c r="A2298" s="4">
        <v>1000000</v>
      </c>
      <c r="B2298">
        <v>7362100</v>
      </c>
    </row>
    <row r="2299" spans="1:2" x14ac:dyDescent="0.4">
      <c r="A2299" s="4">
        <v>1000000</v>
      </c>
      <c r="B2299">
        <v>7370300</v>
      </c>
    </row>
    <row r="2300" spans="1:2" x14ac:dyDescent="0.4">
      <c r="A2300" s="4">
        <v>1000000</v>
      </c>
      <c r="B2300">
        <v>7370400</v>
      </c>
    </row>
    <row r="2301" spans="1:2" x14ac:dyDescent="0.4">
      <c r="A2301" s="4">
        <v>1000000</v>
      </c>
      <c r="B2301">
        <v>7370600</v>
      </c>
    </row>
    <row r="2302" spans="1:2" x14ac:dyDescent="0.4">
      <c r="A2302" s="4">
        <v>1000000</v>
      </c>
      <c r="B2302">
        <v>7370900</v>
      </c>
    </row>
    <row r="2303" spans="1:2" x14ac:dyDescent="0.4">
      <c r="A2303" s="4">
        <v>1000000</v>
      </c>
      <c r="B2303">
        <v>7371500</v>
      </c>
    </row>
    <row r="2304" spans="1:2" x14ac:dyDescent="0.4">
      <c r="A2304" s="4">
        <v>1000000</v>
      </c>
      <c r="B2304">
        <v>7036200</v>
      </c>
    </row>
    <row r="2305" spans="1:2" x14ac:dyDescent="0.4">
      <c r="A2305" s="4">
        <v>1000000</v>
      </c>
      <c r="B2305">
        <v>7036300</v>
      </c>
    </row>
    <row r="2306" spans="1:2" x14ac:dyDescent="0.4">
      <c r="A2306" s="4">
        <v>1000000</v>
      </c>
      <c r="B2306">
        <v>7036400</v>
      </c>
    </row>
    <row r="2307" spans="1:2" x14ac:dyDescent="0.4">
      <c r="A2307" s="4">
        <v>1000000</v>
      </c>
      <c r="B2307">
        <v>7036500</v>
      </c>
    </row>
    <row r="2308" spans="1:2" x14ac:dyDescent="0.4">
      <c r="A2308" s="4">
        <v>1000000</v>
      </c>
      <c r="B2308">
        <v>7036800</v>
      </c>
    </row>
    <row r="2309" spans="1:2" x14ac:dyDescent="0.4">
      <c r="A2309" s="4">
        <v>1000000</v>
      </c>
      <c r="B2309">
        <v>7036900</v>
      </c>
    </row>
    <row r="2310" spans="1:2" x14ac:dyDescent="0.4">
      <c r="A2310" s="4">
        <v>1000000</v>
      </c>
      <c r="B2310">
        <v>7037000</v>
      </c>
    </row>
    <row r="2311" spans="1:2" x14ac:dyDescent="0.4">
      <c r="A2311" s="4">
        <v>1000000</v>
      </c>
      <c r="B2311">
        <v>7037300</v>
      </c>
    </row>
    <row r="2312" spans="1:2" x14ac:dyDescent="0.4">
      <c r="A2312" s="4">
        <v>1000000</v>
      </c>
      <c r="B2312">
        <v>6630000</v>
      </c>
    </row>
    <row r="2313" spans="1:2" x14ac:dyDescent="0.4">
      <c r="A2313" s="4">
        <v>1000000</v>
      </c>
      <c r="B2313">
        <v>6630100</v>
      </c>
    </row>
    <row r="2314" spans="1:2" x14ac:dyDescent="0.4">
      <c r="A2314" s="4">
        <v>1000000</v>
      </c>
      <c r="B2314">
        <v>6630200</v>
      </c>
    </row>
    <row r="2315" spans="1:2" x14ac:dyDescent="0.4">
      <c r="A2315" s="4">
        <v>1000000</v>
      </c>
      <c r="B2315">
        <v>6630300</v>
      </c>
    </row>
    <row r="2316" spans="1:2" x14ac:dyDescent="0.4">
      <c r="A2316" s="4">
        <v>1000000</v>
      </c>
      <c r="B2316">
        <v>6630400</v>
      </c>
    </row>
    <row r="2317" spans="1:2" x14ac:dyDescent="0.4">
      <c r="A2317" s="4">
        <v>1000000</v>
      </c>
      <c r="B2317">
        <v>6630500</v>
      </c>
    </row>
    <row r="2318" spans="1:2" x14ac:dyDescent="0.4">
      <c r="A2318" s="4">
        <v>1000000</v>
      </c>
      <c r="B2318">
        <v>6630600</v>
      </c>
    </row>
    <row r="2319" spans="1:2" x14ac:dyDescent="0.4">
      <c r="A2319" s="4">
        <v>1000000</v>
      </c>
      <c r="B2319">
        <v>6630700</v>
      </c>
    </row>
    <row r="2320" spans="1:2" x14ac:dyDescent="0.4">
      <c r="A2320" s="4">
        <v>1000000</v>
      </c>
      <c r="B2320">
        <v>6630800</v>
      </c>
    </row>
    <row r="2321" spans="1:2" x14ac:dyDescent="0.4">
      <c r="A2321" s="4">
        <v>1000000</v>
      </c>
      <c r="B2321">
        <v>6630900</v>
      </c>
    </row>
    <row r="2322" spans="1:2" x14ac:dyDescent="0.4">
      <c r="A2322" s="4">
        <v>1000000</v>
      </c>
      <c r="B2322">
        <v>6631000</v>
      </c>
    </row>
    <row r="2323" spans="1:2" x14ac:dyDescent="0.4">
      <c r="A2323" s="4">
        <v>1000000</v>
      </c>
      <c r="B2323">
        <v>6631100</v>
      </c>
    </row>
    <row r="2324" spans="1:2" x14ac:dyDescent="0.4">
      <c r="A2324" s="4">
        <v>1000000</v>
      </c>
      <c r="B2324">
        <v>6631200</v>
      </c>
    </row>
    <row r="2325" spans="1:2" x14ac:dyDescent="0.4">
      <c r="A2325" s="4">
        <v>1000000</v>
      </c>
      <c r="B2325">
        <v>6631300</v>
      </c>
    </row>
    <row r="2326" spans="1:2" x14ac:dyDescent="0.4">
      <c r="A2326" s="4">
        <v>1000000</v>
      </c>
      <c r="B2326">
        <v>6631400</v>
      </c>
    </row>
    <row r="2327" spans="1:2" x14ac:dyDescent="0.4">
      <c r="A2327" s="4">
        <v>1000000</v>
      </c>
      <c r="B2327">
        <v>6631500</v>
      </c>
    </row>
    <row r="2328" spans="1:2" x14ac:dyDescent="0.4">
      <c r="A2328" s="4">
        <v>1000000</v>
      </c>
      <c r="B2328">
        <v>6631600</v>
      </c>
    </row>
    <row r="2329" spans="1:2" x14ac:dyDescent="0.4">
      <c r="A2329" s="4">
        <v>1000000</v>
      </c>
      <c r="B2329">
        <v>6631700</v>
      </c>
    </row>
    <row r="2330" spans="1:2" x14ac:dyDescent="0.4">
      <c r="A2330" s="4">
        <v>1000000</v>
      </c>
      <c r="B2330">
        <v>6631800</v>
      </c>
    </row>
    <row r="2331" spans="1:2" x14ac:dyDescent="0.4">
      <c r="A2331" s="4">
        <v>1000000</v>
      </c>
      <c r="B2331">
        <v>6631900</v>
      </c>
    </row>
    <row r="2332" spans="1:2" x14ac:dyDescent="0.4">
      <c r="A2332" s="4">
        <v>1000000</v>
      </c>
      <c r="B2332">
        <v>6632000</v>
      </c>
    </row>
    <row r="2333" spans="1:2" x14ac:dyDescent="0.4">
      <c r="A2333" s="4">
        <v>1000000</v>
      </c>
      <c r="B2333">
        <v>6632100</v>
      </c>
    </row>
    <row r="2334" spans="1:2" x14ac:dyDescent="0.4">
      <c r="A2334" s="4">
        <v>1000000</v>
      </c>
      <c r="B2334">
        <v>6632200</v>
      </c>
    </row>
    <row r="2335" spans="1:2" x14ac:dyDescent="0.4">
      <c r="A2335" s="4">
        <v>1000000</v>
      </c>
      <c r="B2335">
        <v>6632300</v>
      </c>
    </row>
    <row r="2336" spans="1:2" x14ac:dyDescent="0.4">
      <c r="A2336" s="4">
        <v>1000000</v>
      </c>
      <c r="B2336">
        <v>6632400</v>
      </c>
    </row>
    <row r="2337" spans="1:2" x14ac:dyDescent="0.4">
      <c r="A2337" s="4">
        <v>1000000</v>
      </c>
      <c r="B2337">
        <v>6632500</v>
      </c>
    </row>
    <row r="2338" spans="1:2" x14ac:dyDescent="0.4">
      <c r="A2338" s="4">
        <v>1000000</v>
      </c>
      <c r="B2338">
        <v>6632600</v>
      </c>
    </row>
    <row r="2339" spans="1:2" x14ac:dyDescent="0.4">
      <c r="A2339" s="4">
        <v>1000000</v>
      </c>
      <c r="B2339">
        <v>6632700</v>
      </c>
    </row>
    <row r="2340" spans="1:2" x14ac:dyDescent="0.4">
      <c r="A2340" s="4">
        <v>1000000</v>
      </c>
      <c r="B2340">
        <v>6632800</v>
      </c>
    </row>
    <row r="2341" spans="1:2" x14ac:dyDescent="0.4">
      <c r="A2341" s="4">
        <v>1000000</v>
      </c>
      <c r="B2341">
        <v>6632900</v>
      </c>
    </row>
    <row r="2342" spans="1:2" x14ac:dyDescent="0.4">
      <c r="A2342" s="4">
        <v>1000000</v>
      </c>
      <c r="B2342">
        <v>6633000</v>
      </c>
    </row>
    <row r="2343" spans="1:2" x14ac:dyDescent="0.4">
      <c r="A2343" s="4">
        <v>1000000</v>
      </c>
      <c r="B2343">
        <v>6633100</v>
      </c>
    </row>
    <row r="2344" spans="1:2" x14ac:dyDescent="0.4">
      <c r="A2344" s="4">
        <v>1000000</v>
      </c>
      <c r="B2344">
        <v>6633200</v>
      </c>
    </row>
    <row r="2345" spans="1:2" x14ac:dyDescent="0.4">
      <c r="A2345" s="4">
        <v>1000000</v>
      </c>
      <c r="B2345">
        <v>6647200</v>
      </c>
    </row>
    <row r="2346" spans="1:2" x14ac:dyDescent="0.4">
      <c r="A2346" s="4">
        <v>1000000</v>
      </c>
      <c r="B2346">
        <v>6647300</v>
      </c>
    </row>
    <row r="2347" spans="1:2" x14ac:dyDescent="0.4">
      <c r="A2347" s="4">
        <v>1000000</v>
      </c>
      <c r="B2347">
        <v>6647400</v>
      </c>
    </row>
    <row r="2348" spans="1:2" x14ac:dyDescent="0.4">
      <c r="A2348" s="4">
        <v>1000000</v>
      </c>
      <c r="B2348">
        <v>6647500</v>
      </c>
    </row>
    <row r="2349" spans="1:2" x14ac:dyDescent="0.4">
      <c r="A2349" s="4">
        <v>1000000</v>
      </c>
      <c r="B2349">
        <v>6640000</v>
      </c>
    </row>
    <row r="2350" spans="1:2" x14ac:dyDescent="0.4">
      <c r="A2350" s="4">
        <v>1000000</v>
      </c>
      <c r="B2350">
        <v>6640100</v>
      </c>
    </row>
    <row r="2351" spans="1:2" x14ac:dyDescent="0.4">
      <c r="A2351" s="4">
        <v>1000000</v>
      </c>
      <c r="B2351">
        <v>6641000</v>
      </c>
    </row>
    <row r="2352" spans="1:2" x14ac:dyDescent="0.4">
      <c r="A2352" s="4">
        <v>1000000</v>
      </c>
      <c r="B2352">
        <v>6641100</v>
      </c>
    </row>
    <row r="2353" spans="1:2" x14ac:dyDescent="0.4">
      <c r="A2353" s="4">
        <v>1000000</v>
      </c>
      <c r="B2353">
        <v>6642000</v>
      </c>
    </row>
    <row r="2354" spans="1:2" x14ac:dyDescent="0.4">
      <c r="A2354" s="4">
        <v>1000000</v>
      </c>
      <c r="B2354">
        <v>6642100</v>
      </c>
    </row>
    <row r="2355" spans="1:2" x14ac:dyDescent="0.4">
      <c r="A2355" s="4">
        <v>1000000</v>
      </c>
      <c r="B2355">
        <v>6643000</v>
      </c>
    </row>
    <row r="2356" spans="1:2" x14ac:dyDescent="0.4">
      <c r="A2356" s="4">
        <v>1000000</v>
      </c>
      <c r="B2356">
        <v>6643100</v>
      </c>
    </row>
    <row r="2357" spans="1:2" x14ac:dyDescent="0.4">
      <c r="A2357" s="4">
        <v>1000000</v>
      </c>
      <c r="B2357">
        <v>6644000</v>
      </c>
    </row>
    <row r="2358" spans="1:2" x14ac:dyDescent="0.4">
      <c r="A2358" s="4">
        <v>1000000</v>
      </c>
      <c r="B2358">
        <v>6644100</v>
      </c>
    </row>
    <row r="2359" spans="1:2" x14ac:dyDescent="0.4">
      <c r="A2359" s="4">
        <v>1000000</v>
      </c>
      <c r="B2359">
        <v>6645000</v>
      </c>
    </row>
    <row r="2360" spans="1:2" x14ac:dyDescent="0.4">
      <c r="A2360" s="4">
        <v>1000000</v>
      </c>
      <c r="B2360">
        <v>6645100</v>
      </c>
    </row>
    <row r="2361" spans="1:2" x14ac:dyDescent="0.4">
      <c r="A2361" s="4">
        <v>1000000</v>
      </c>
      <c r="B2361">
        <v>6646000</v>
      </c>
    </row>
    <row r="2362" spans="1:2" x14ac:dyDescent="0.4">
      <c r="A2362" s="4">
        <v>1000000</v>
      </c>
      <c r="B2362">
        <v>6646100</v>
      </c>
    </row>
    <row r="2363" spans="1:2" x14ac:dyDescent="0.4">
      <c r="A2363" s="4">
        <v>1000000</v>
      </c>
      <c r="B2363">
        <v>6647000</v>
      </c>
    </row>
    <row r="2364" spans="1:2" x14ac:dyDescent="0.4">
      <c r="A2364" s="4">
        <v>1000000</v>
      </c>
      <c r="B2364">
        <v>6647100</v>
      </c>
    </row>
    <row r="2365" spans="1:2" x14ac:dyDescent="0.4">
      <c r="A2365" s="4">
        <v>1000001</v>
      </c>
      <c r="B2365">
        <v>7000000</v>
      </c>
    </row>
    <row r="2366" spans="1:2" x14ac:dyDescent="0.4">
      <c r="A2366" s="4">
        <v>1000001</v>
      </c>
      <c r="B2366">
        <v>7000001</v>
      </c>
    </row>
    <row r="2367" spans="1:2" x14ac:dyDescent="0.4">
      <c r="A2367" s="4">
        <v>1000001</v>
      </c>
      <c r="B2367">
        <v>7000002</v>
      </c>
    </row>
    <row r="2368" spans="1:2" x14ac:dyDescent="0.4">
      <c r="A2368" s="4">
        <v>1000001</v>
      </c>
      <c r="B2368">
        <v>7000100</v>
      </c>
    </row>
    <row r="2369" spans="1:2" x14ac:dyDescent="0.4">
      <c r="A2369" s="4">
        <v>1000001</v>
      </c>
      <c r="B2369">
        <v>7000101</v>
      </c>
    </row>
    <row r="2370" spans="1:2" x14ac:dyDescent="0.4">
      <c r="A2370" s="4">
        <v>1000001</v>
      </c>
      <c r="B2370">
        <v>7000102</v>
      </c>
    </row>
    <row r="2371" spans="1:2" x14ac:dyDescent="0.4">
      <c r="A2371" s="4">
        <v>1000001</v>
      </c>
      <c r="B2371">
        <v>7000200</v>
      </c>
    </row>
    <row r="2372" spans="1:2" x14ac:dyDescent="0.4">
      <c r="A2372" s="4">
        <v>1000001</v>
      </c>
      <c r="B2372">
        <v>7000201</v>
      </c>
    </row>
    <row r="2373" spans="1:2" x14ac:dyDescent="0.4">
      <c r="A2373" s="4">
        <v>1000001</v>
      </c>
      <c r="B2373">
        <v>7000202</v>
      </c>
    </row>
    <row r="2374" spans="1:2" x14ac:dyDescent="0.4">
      <c r="A2374" s="4">
        <v>1000001</v>
      </c>
      <c r="B2374">
        <v>7000300</v>
      </c>
    </row>
    <row r="2375" spans="1:2" x14ac:dyDescent="0.4">
      <c r="A2375" s="4">
        <v>1000001</v>
      </c>
      <c r="B2375">
        <v>7000301</v>
      </c>
    </row>
    <row r="2376" spans="1:2" x14ac:dyDescent="0.4">
      <c r="A2376" s="4">
        <v>1000001</v>
      </c>
      <c r="B2376">
        <v>7000302</v>
      </c>
    </row>
    <row r="2377" spans="1:2" x14ac:dyDescent="0.4">
      <c r="A2377" s="4">
        <v>1000001</v>
      </c>
      <c r="B2377">
        <v>7000400</v>
      </c>
    </row>
    <row r="2378" spans="1:2" x14ac:dyDescent="0.4">
      <c r="A2378" s="4">
        <v>1000001</v>
      </c>
      <c r="B2378">
        <v>7000401</v>
      </c>
    </row>
    <row r="2379" spans="1:2" x14ac:dyDescent="0.4">
      <c r="A2379" s="4">
        <v>1000001</v>
      </c>
      <c r="B2379">
        <v>7000402</v>
      </c>
    </row>
    <row r="2380" spans="1:2" x14ac:dyDescent="0.4">
      <c r="A2380" s="4">
        <v>1000001</v>
      </c>
      <c r="B2380">
        <v>7000500</v>
      </c>
    </row>
    <row r="2381" spans="1:2" x14ac:dyDescent="0.4">
      <c r="A2381" s="4">
        <v>1000001</v>
      </c>
      <c r="B2381">
        <v>7000501</v>
      </c>
    </row>
    <row r="2382" spans="1:2" x14ac:dyDescent="0.4">
      <c r="A2382" s="4">
        <v>1000001</v>
      </c>
      <c r="B2382">
        <v>7000502</v>
      </c>
    </row>
    <row r="2383" spans="1:2" x14ac:dyDescent="0.4">
      <c r="A2383" s="4">
        <v>1000001</v>
      </c>
      <c r="B2383">
        <v>7000600</v>
      </c>
    </row>
    <row r="2384" spans="1:2" x14ac:dyDescent="0.4">
      <c r="A2384" s="4">
        <v>1000001</v>
      </c>
      <c r="B2384">
        <v>7000601</v>
      </c>
    </row>
    <row r="2385" spans="1:2" x14ac:dyDescent="0.4">
      <c r="A2385" s="4">
        <v>1000001</v>
      </c>
      <c r="B2385">
        <v>7000602</v>
      </c>
    </row>
    <row r="2386" spans="1:2" x14ac:dyDescent="0.4">
      <c r="A2386" s="4">
        <v>1000001</v>
      </c>
      <c r="B2386">
        <v>7000700</v>
      </c>
    </row>
    <row r="2387" spans="1:2" x14ac:dyDescent="0.4">
      <c r="A2387" s="4">
        <v>1000001</v>
      </c>
      <c r="B2387">
        <v>7000701</v>
      </c>
    </row>
    <row r="2388" spans="1:2" x14ac:dyDescent="0.4">
      <c r="A2388" s="4">
        <v>1000001</v>
      </c>
      <c r="B2388">
        <v>7000702</v>
      </c>
    </row>
    <row r="2389" spans="1:2" x14ac:dyDescent="0.4">
      <c r="A2389" s="4">
        <v>1000001</v>
      </c>
      <c r="B2389">
        <v>7000800</v>
      </c>
    </row>
    <row r="2390" spans="1:2" x14ac:dyDescent="0.4">
      <c r="A2390" s="4">
        <v>1000001</v>
      </c>
      <c r="B2390">
        <v>7000801</v>
      </c>
    </row>
    <row r="2391" spans="1:2" x14ac:dyDescent="0.4">
      <c r="A2391" s="4">
        <v>1000001</v>
      </c>
      <c r="B2391">
        <v>7000802</v>
      </c>
    </row>
    <row r="2392" spans="1:2" x14ac:dyDescent="0.4">
      <c r="A2392" s="4">
        <v>1000001</v>
      </c>
      <c r="B2392">
        <v>7000900</v>
      </c>
    </row>
    <row r="2393" spans="1:2" x14ac:dyDescent="0.4">
      <c r="A2393" s="4">
        <v>1000001</v>
      </c>
      <c r="B2393">
        <v>7000901</v>
      </c>
    </row>
    <row r="2394" spans="1:2" x14ac:dyDescent="0.4">
      <c r="A2394" s="4">
        <v>1000001</v>
      </c>
      <c r="B2394">
        <v>7000902</v>
      </c>
    </row>
    <row r="2395" spans="1:2" x14ac:dyDescent="0.4">
      <c r="A2395" s="4">
        <v>1000001</v>
      </c>
      <c r="B2395">
        <v>7001000</v>
      </c>
    </row>
    <row r="2396" spans="1:2" x14ac:dyDescent="0.4">
      <c r="A2396" s="4">
        <v>1000001</v>
      </c>
      <c r="B2396">
        <v>7001001</v>
      </c>
    </row>
    <row r="2397" spans="1:2" x14ac:dyDescent="0.4">
      <c r="A2397" s="4">
        <v>1000001</v>
      </c>
      <c r="B2397">
        <v>7001002</v>
      </c>
    </row>
    <row r="2398" spans="1:2" x14ac:dyDescent="0.4">
      <c r="A2398" s="4">
        <v>1000001</v>
      </c>
      <c r="B2398">
        <v>7001400</v>
      </c>
    </row>
    <row r="2399" spans="1:2" x14ac:dyDescent="0.4">
      <c r="A2399" s="4">
        <v>1000001</v>
      </c>
      <c r="B2399">
        <v>7001401</v>
      </c>
    </row>
    <row r="2400" spans="1:2" x14ac:dyDescent="0.4">
      <c r="A2400" s="4">
        <v>1000001</v>
      </c>
      <c r="B2400">
        <v>7001402</v>
      </c>
    </row>
    <row r="2401" spans="1:2" x14ac:dyDescent="0.4">
      <c r="A2401" s="4">
        <v>1000001</v>
      </c>
      <c r="B2401">
        <v>7001500</v>
      </c>
    </row>
    <row r="2402" spans="1:2" x14ac:dyDescent="0.4">
      <c r="A2402" s="4">
        <v>1000001</v>
      </c>
      <c r="B2402">
        <v>7001501</v>
      </c>
    </row>
    <row r="2403" spans="1:2" x14ac:dyDescent="0.4">
      <c r="A2403" s="4">
        <v>1000001</v>
      </c>
      <c r="B2403">
        <v>7001502</v>
      </c>
    </row>
    <row r="2404" spans="1:2" x14ac:dyDescent="0.4">
      <c r="A2404" s="4">
        <v>1000001</v>
      </c>
      <c r="B2404">
        <v>7001600</v>
      </c>
    </row>
    <row r="2405" spans="1:2" x14ac:dyDescent="0.4">
      <c r="A2405" s="4">
        <v>1000001</v>
      </c>
      <c r="B2405">
        <v>7001601</v>
      </c>
    </row>
    <row r="2406" spans="1:2" x14ac:dyDescent="0.4">
      <c r="A2406" s="4">
        <v>1000001</v>
      </c>
      <c r="B2406">
        <v>7001602</v>
      </c>
    </row>
    <row r="2407" spans="1:2" x14ac:dyDescent="0.4">
      <c r="A2407" s="4">
        <v>1000001</v>
      </c>
      <c r="B2407">
        <v>7001700</v>
      </c>
    </row>
    <row r="2408" spans="1:2" x14ac:dyDescent="0.4">
      <c r="A2408" s="4">
        <v>1000001</v>
      </c>
      <c r="B2408">
        <v>7001701</v>
      </c>
    </row>
    <row r="2409" spans="1:2" x14ac:dyDescent="0.4">
      <c r="A2409" s="4">
        <v>1000001</v>
      </c>
      <c r="B2409">
        <v>7001702</v>
      </c>
    </row>
    <row r="2410" spans="1:2" x14ac:dyDescent="0.4">
      <c r="A2410" s="4">
        <v>1000001</v>
      </c>
      <c r="B2410">
        <v>7001800</v>
      </c>
    </row>
    <row r="2411" spans="1:2" x14ac:dyDescent="0.4">
      <c r="A2411" s="4">
        <v>1000001</v>
      </c>
      <c r="B2411">
        <v>7001801</v>
      </c>
    </row>
    <row r="2412" spans="1:2" x14ac:dyDescent="0.4">
      <c r="A2412" s="4">
        <v>1000001</v>
      </c>
      <c r="B2412">
        <v>7001802</v>
      </c>
    </row>
    <row r="2413" spans="1:2" x14ac:dyDescent="0.4">
      <c r="A2413" s="4">
        <v>1000001</v>
      </c>
      <c r="B2413">
        <v>7002600</v>
      </c>
    </row>
    <row r="2414" spans="1:2" x14ac:dyDescent="0.4">
      <c r="A2414" s="4">
        <v>1000001</v>
      </c>
      <c r="B2414">
        <v>7002700</v>
      </c>
    </row>
    <row r="2415" spans="1:2" x14ac:dyDescent="0.4">
      <c r="A2415" s="4">
        <v>1000001</v>
      </c>
      <c r="B2415">
        <v>7002800</v>
      </c>
    </row>
    <row r="2416" spans="1:2" x14ac:dyDescent="0.4">
      <c r="A2416" s="4">
        <v>1000001</v>
      </c>
      <c r="B2416">
        <v>7002900</v>
      </c>
    </row>
    <row r="2417" spans="1:2" x14ac:dyDescent="0.4">
      <c r="A2417" s="4">
        <v>1000001</v>
      </c>
      <c r="B2417">
        <v>7003000</v>
      </c>
    </row>
    <row r="2418" spans="1:2" x14ac:dyDescent="0.4">
      <c r="A2418" s="4">
        <v>1000001</v>
      </c>
      <c r="B2418">
        <v>7003100</v>
      </c>
    </row>
    <row r="2419" spans="1:2" x14ac:dyDescent="0.4">
      <c r="A2419" s="4">
        <v>1000001</v>
      </c>
      <c r="B2419">
        <v>7003200</v>
      </c>
    </row>
    <row r="2420" spans="1:2" x14ac:dyDescent="0.4">
      <c r="A2420" s="4">
        <v>1000001</v>
      </c>
      <c r="B2420">
        <v>7003300</v>
      </c>
    </row>
    <row r="2421" spans="1:2" x14ac:dyDescent="0.4">
      <c r="A2421" s="4">
        <v>1000001</v>
      </c>
      <c r="B2421">
        <v>7003400</v>
      </c>
    </row>
    <row r="2422" spans="1:2" x14ac:dyDescent="0.4">
      <c r="A2422" s="4">
        <v>1000001</v>
      </c>
      <c r="B2422">
        <v>7003500</v>
      </c>
    </row>
    <row r="2423" spans="1:2" x14ac:dyDescent="0.4">
      <c r="A2423" s="4">
        <v>1000001</v>
      </c>
      <c r="B2423">
        <v>7003600</v>
      </c>
    </row>
    <row r="2424" spans="1:2" x14ac:dyDescent="0.4">
      <c r="A2424" s="4">
        <v>1000001</v>
      </c>
      <c r="B2424">
        <v>7005600</v>
      </c>
    </row>
    <row r="2425" spans="1:2" x14ac:dyDescent="0.4">
      <c r="A2425" s="4">
        <v>1000001</v>
      </c>
      <c r="B2425">
        <v>7006000</v>
      </c>
    </row>
    <row r="2426" spans="1:2" x14ac:dyDescent="0.4">
      <c r="A2426" s="4">
        <v>1000001</v>
      </c>
      <c r="B2426">
        <v>7006100</v>
      </c>
    </row>
    <row r="2427" spans="1:2" x14ac:dyDescent="0.4">
      <c r="A2427" s="4">
        <v>1000001</v>
      </c>
      <c r="B2427">
        <v>7010200</v>
      </c>
    </row>
    <row r="2428" spans="1:2" x14ac:dyDescent="0.4">
      <c r="A2428" s="4">
        <v>1000001</v>
      </c>
      <c r="B2428">
        <v>7010500</v>
      </c>
    </row>
    <row r="2429" spans="1:2" x14ac:dyDescent="0.4">
      <c r="A2429" s="4">
        <v>1000001</v>
      </c>
      <c r="B2429">
        <v>7010700</v>
      </c>
    </row>
    <row r="2430" spans="1:2" x14ac:dyDescent="0.4">
      <c r="A2430" s="4">
        <v>1000001</v>
      </c>
      <c r="B2430">
        <v>7010900</v>
      </c>
    </row>
    <row r="2431" spans="1:2" x14ac:dyDescent="0.4">
      <c r="A2431" s="4">
        <v>1000001</v>
      </c>
      <c r="B2431">
        <v>7011000</v>
      </c>
    </row>
    <row r="2432" spans="1:2" x14ac:dyDescent="0.4">
      <c r="A2432" s="4">
        <v>1000001</v>
      </c>
      <c r="B2432">
        <v>7011200</v>
      </c>
    </row>
    <row r="2433" spans="1:2" x14ac:dyDescent="0.4">
      <c r="A2433" s="4">
        <v>1000001</v>
      </c>
      <c r="B2433">
        <v>7011600</v>
      </c>
    </row>
    <row r="2434" spans="1:2" x14ac:dyDescent="0.4">
      <c r="A2434" s="4">
        <v>1000001</v>
      </c>
      <c r="B2434">
        <v>7011700</v>
      </c>
    </row>
    <row r="2435" spans="1:2" x14ac:dyDescent="0.4">
      <c r="A2435" s="4">
        <v>1000001</v>
      </c>
      <c r="B2435">
        <v>7012000</v>
      </c>
    </row>
    <row r="2436" spans="1:2" x14ac:dyDescent="0.4">
      <c r="A2436" s="4">
        <v>1000001</v>
      </c>
      <c r="B2436">
        <v>7012200</v>
      </c>
    </row>
    <row r="2437" spans="1:2" x14ac:dyDescent="0.4">
      <c r="A2437" s="4">
        <v>1000001</v>
      </c>
      <c r="B2437">
        <v>7012300</v>
      </c>
    </row>
    <row r="2438" spans="1:2" x14ac:dyDescent="0.4">
      <c r="A2438" s="4">
        <v>1000001</v>
      </c>
      <c r="B2438">
        <v>7020000</v>
      </c>
    </row>
    <row r="2439" spans="1:2" x14ac:dyDescent="0.4">
      <c r="A2439" s="4">
        <v>1000001</v>
      </c>
      <c r="B2439">
        <v>7030000</v>
      </c>
    </row>
    <row r="2440" spans="1:2" x14ac:dyDescent="0.4">
      <c r="A2440" s="4">
        <v>1000001</v>
      </c>
      <c r="B2440">
        <v>7030200</v>
      </c>
    </row>
    <row r="2441" spans="1:2" x14ac:dyDescent="0.4">
      <c r="A2441" s="4">
        <v>1000001</v>
      </c>
      <c r="B2441">
        <v>7030600</v>
      </c>
    </row>
    <row r="2442" spans="1:2" x14ac:dyDescent="0.4">
      <c r="A2442" s="4">
        <v>1000001</v>
      </c>
      <c r="B2442">
        <v>7030700</v>
      </c>
    </row>
    <row r="2443" spans="1:2" x14ac:dyDescent="0.4">
      <c r="A2443" s="4">
        <v>1000001</v>
      </c>
      <c r="B2443">
        <v>7030800</v>
      </c>
    </row>
    <row r="2444" spans="1:2" x14ac:dyDescent="0.4">
      <c r="A2444" s="4">
        <v>1000001</v>
      </c>
      <c r="B2444">
        <v>7030900</v>
      </c>
    </row>
    <row r="2445" spans="1:2" x14ac:dyDescent="0.4">
      <c r="A2445" s="4">
        <v>1000001</v>
      </c>
      <c r="B2445">
        <v>7031200</v>
      </c>
    </row>
    <row r="2446" spans="1:2" x14ac:dyDescent="0.4">
      <c r="A2446" s="4">
        <v>1000001</v>
      </c>
      <c r="B2446">
        <v>7031300</v>
      </c>
    </row>
    <row r="2447" spans="1:2" x14ac:dyDescent="0.4">
      <c r="A2447" s="4">
        <v>1000001</v>
      </c>
      <c r="B2447">
        <v>7031800</v>
      </c>
    </row>
    <row r="2448" spans="1:2" x14ac:dyDescent="0.4">
      <c r="A2448" s="4">
        <v>1000001</v>
      </c>
      <c r="B2448">
        <v>7031900</v>
      </c>
    </row>
    <row r="2449" spans="1:2" x14ac:dyDescent="0.4">
      <c r="A2449" s="4">
        <v>1000001</v>
      </c>
      <c r="B2449">
        <v>7032200</v>
      </c>
    </row>
    <row r="2450" spans="1:2" x14ac:dyDescent="0.4">
      <c r="A2450" s="4">
        <v>1000001</v>
      </c>
      <c r="B2450">
        <v>7032400</v>
      </c>
    </row>
    <row r="2451" spans="1:2" x14ac:dyDescent="0.4">
      <c r="A2451" s="4">
        <v>1000001</v>
      </c>
      <c r="B2451">
        <v>7032700</v>
      </c>
    </row>
    <row r="2452" spans="1:2" x14ac:dyDescent="0.4">
      <c r="A2452" s="4">
        <v>1000001</v>
      </c>
      <c r="B2452">
        <v>7032800</v>
      </c>
    </row>
    <row r="2453" spans="1:2" x14ac:dyDescent="0.4">
      <c r="A2453" s="4">
        <v>1000001</v>
      </c>
      <c r="B2453">
        <v>7032900</v>
      </c>
    </row>
    <row r="2454" spans="1:2" x14ac:dyDescent="0.4">
      <c r="A2454" s="4">
        <v>1000001</v>
      </c>
      <c r="B2454">
        <v>7033200</v>
      </c>
    </row>
    <row r="2455" spans="1:2" x14ac:dyDescent="0.4">
      <c r="A2455" s="4">
        <v>1000001</v>
      </c>
      <c r="B2455">
        <v>7033400</v>
      </c>
    </row>
    <row r="2456" spans="1:2" x14ac:dyDescent="0.4">
      <c r="A2456" s="4">
        <v>1000001</v>
      </c>
      <c r="B2456">
        <v>7034100</v>
      </c>
    </row>
    <row r="2457" spans="1:2" x14ac:dyDescent="0.4">
      <c r="A2457" s="4">
        <v>1000001</v>
      </c>
      <c r="B2457">
        <v>7034400</v>
      </c>
    </row>
    <row r="2458" spans="1:2" x14ac:dyDescent="0.4">
      <c r="A2458" s="4">
        <v>1000001</v>
      </c>
      <c r="B2458">
        <v>7034500</v>
      </c>
    </row>
    <row r="2459" spans="1:2" x14ac:dyDescent="0.4">
      <c r="A2459" s="4">
        <v>1000001</v>
      </c>
      <c r="B2459">
        <v>7034600</v>
      </c>
    </row>
    <row r="2460" spans="1:2" x14ac:dyDescent="0.4">
      <c r="A2460" s="4">
        <v>1000001</v>
      </c>
      <c r="B2460">
        <v>7034700</v>
      </c>
    </row>
    <row r="2461" spans="1:2" x14ac:dyDescent="0.4">
      <c r="A2461" s="4">
        <v>1000001</v>
      </c>
      <c r="B2461">
        <v>7035100</v>
      </c>
    </row>
    <row r="2462" spans="1:2" x14ac:dyDescent="0.4">
      <c r="A2462" s="4">
        <v>1000001</v>
      </c>
      <c r="B2462">
        <v>7036100</v>
      </c>
    </row>
    <row r="2463" spans="1:2" x14ac:dyDescent="0.4">
      <c r="A2463" s="4">
        <v>1000001</v>
      </c>
      <c r="B2463">
        <v>7040000</v>
      </c>
    </row>
    <row r="2464" spans="1:2" x14ac:dyDescent="0.4">
      <c r="A2464" s="4">
        <v>1000001</v>
      </c>
      <c r="B2464">
        <v>7040100</v>
      </c>
    </row>
    <row r="2465" spans="1:2" x14ac:dyDescent="0.4">
      <c r="A2465" s="4">
        <v>1000001</v>
      </c>
      <c r="B2465">
        <v>7040200</v>
      </c>
    </row>
    <row r="2466" spans="1:2" x14ac:dyDescent="0.4">
      <c r="A2466" s="4">
        <v>1000001</v>
      </c>
      <c r="B2466">
        <v>7040300</v>
      </c>
    </row>
    <row r="2467" spans="1:2" x14ac:dyDescent="0.4">
      <c r="A2467" s="4">
        <v>1000001</v>
      </c>
      <c r="B2467">
        <v>7040400</v>
      </c>
    </row>
    <row r="2468" spans="1:2" x14ac:dyDescent="0.4">
      <c r="A2468" s="4">
        <v>1000001</v>
      </c>
      <c r="B2468">
        <v>7040500</v>
      </c>
    </row>
    <row r="2469" spans="1:2" x14ac:dyDescent="0.4">
      <c r="A2469" s="4">
        <v>1000001</v>
      </c>
      <c r="B2469">
        <v>7043000</v>
      </c>
    </row>
    <row r="2470" spans="1:2" x14ac:dyDescent="0.4">
      <c r="A2470" s="4">
        <v>1000001</v>
      </c>
      <c r="B2470">
        <v>7043100</v>
      </c>
    </row>
    <row r="2471" spans="1:2" x14ac:dyDescent="0.4">
      <c r="A2471" s="4">
        <v>1000001</v>
      </c>
      <c r="B2471">
        <v>7043200</v>
      </c>
    </row>
    <row r="2472" spans="1:2" x14ac:dyDescent="0.4">
      <c r="A2472" s="4">
        <v>1000001</v>
      </c>
      <c r="B2472">
        <v>7043300</v>
      </c>
    </row>
    <row r="2473" spans="1:2" x14ac:dyDescent="0.4">
      <c r="A2473" s="4">
        <v>1000001</v>
      </c>
      <c r="B2473">
        <v>7043400</v>
      </c>
    </row>
    <row r="2474" spans="1:2" x14ac:dyDescent="0.4">
      <c r="A2474" s="4">
        <v>1000001</v>
      </c>
      <c r="B2474">
        <v>7043500</v>
      </c>
    </row>
    <row r="2475" spans="1:2" x14ac:dyDescent="0.4">
      <c r="A2475" s="4">
        <v>1000001</v>
      </c>
      <c r="B2475">
        <v>7043600</v>
      </c>
    </row>
    <row r="2476" spans="1:2" x14ac:dyDescent="0.4">
      <c r="A2476" s="4">
        <v>1000001</v>
      </c>
      <c r="B2476">
        <v>7043700</v>
      </c>
    </row>
    <row r="2477" spans="1:2" x14ac:dyDescent="0.4">
      <c r="A2477" s="4">
        <v>1000001</v>
      </c>
      <c r="B2477">
        <v>7043800</v>
      </c>
    </row>
    <row r="2478" spans="1:2" x14ac:dyDescent="0.4">
      <c r="A2478" s="4">
        <v>1000001</v>
      </c>
      <c r="B2478">
        <v>7044000</v>
      </c>
    </row>
    <row r="2479" spans="1:2" x14ac:dyDescent="0.4">
      <c r="A2479" s="4">
        <v>1000001</v>
      </c>
      <c r="B2479">
        <v>7044100</v>
      </c>
    </row>
    <row r="2480" spans="1:2" x14ac:dyDescent="0.4">
      <c r="A2480" s="4">
        <v>1000001</v>
      </c>
      <c r="B2480">
        <v>7044200</v>
      </c>
    </row>
    <row r="2481" spans="1:2" x14ac:dyDescent="0.4">
      <c r="A2481" s="4">
        <v>1000001</v>
      </c>
      <c r="B2481">
        <v>7044300</v>
      </c>
    </row>
    <row r="2482" spans="1:2" x14ac:dyDescent="0.4">
      <c r="A2482" s="4">
        <v>1000001</v>
      </c>
      <c r="B2482">
        <v>7044400</v>
      </c>
    </row>
    <row r="2483" spans="1:2" x14ac:dyDescent="0.4">
      <c r="A2483" s="4">
        <v>1000001</v>
      </c>
      <c r="B2483">
        <v>7044500</v>
      </c>
    </row>
    <row r="2484" spans="1:2" x14ac:dyDescent="0.4">
      <c r="A2484" s="4">
        <v>1000001</v>
      </c>
      <c r="B2484">
        <v>7044600</v>
      </c>
    </row>
    <row r="2485" spans="1:2" x14ac:dyDescent="0.4">
      <c r="A2485" s="4">
        <v>1000001</v>
      </c>
      <c r="B2485">
        <v>7050000</v>
      </c>
    </row>
    <row r="2486" spans="1:2" x14ac:dyDescent="0.4">
      <c r="A2486" s="4">
        <v>1000001</v>
      </c>
      <c r="B2486">
        <v>7050100</v>
      </c>
    </row>
    <row r="2487" spans="1:2" x14ac:dyDescent="0.4">
      <c r="A2487" s="4">
        <v>1000001</v>
      </c>
      <c r="B2487">
        <v>7060000</v>
      </c>
    </row>
    <row r="2488" spans="1:2" x14ac:dyDescent="0.4">
      <c r="A2488" s="4">
        <v>1000001</v>
      </c>
      <c r="B2488">
        <v>7060100</v>
      </c>
    </row>
    <row r="2489" spans="1:2" x14ac:dyDescent="0.4">
      <c r="A2489" s="4">
        <v>1000001</v>
      </c>
      <c r="B2489">
        <v>7060200</v>
      </c>
    </row>
    <row r="2490" spans="1:2" x14ac:dyDescent="0.4">
      <c r="A2490" s="4">
        <v>1000001</v>
      </c>
      <c r="B2490">
        <v>7070000</v>
      </c>
    </row>
    <row r="2491" spans="1:2" x14ac:dyDescent="0.4">
      <c r="A2491" s="4">
        <v>1000001</v>
      </c>
      <c r="B2491">
        <v>7080000</v>
      </c>
    </row>
    <row r="2492" spans="1:2" x14ac:dyDescent="0.4">
      <c r="A2492" s="4">
        <v>1000001</v>
      </c>
      <c r="B2492">
        <v>7080100</v>
      </c>
    </row>
    <row r="2493" spans="1:2" x14ac:dyDescent="0.4">
      <c r="A2493" s="4">
        <v>1000001</v>
      </c>
      <c r="B2493">
        <v>7080200</v>
      </c>
    </row>
    <row r="2494" spans="1:2" x14ac:dyDescent="0.4">
      <c r="A2494" s="4">
        <v>1000001</v>
      </c>
      <c r="B2494">
        <v>7080300</v>
      </c>
    </row>
    <row r="2495" spans="1:2" x14ac:dyDescent="0.4">
      <c r="A2495" s="4">
        <v>1000001</v>
      </c>
      <c r="B2495">
        <v>7080400</v>
      </c>
    </row>
    <row r="2496" spans="1:2" x14ac:dyDescent="0.4">
      <c r="A2496" s="4">
        <v>1000001</v>
      </c>
      <c r="B2496">
        <v>7080500</v>
      </c>
    </row>
    <row r="2497" spans="1:2" x14ac:dyDescent="0.4">
      <c r="A2497" s="4">
        <v>1000001</v>
      </c>
      <c r="B2497">
        <v>7080600</v>
      </c>
    </row>
    <row r="2498" spans="1:2" x14ac:dyDescent="0.4">
      <c r="A2498" s="4">
        <v>1000001</v>
      </c>
      <c r="B2498">
        <v>7080700</v>
      </c>
    </row>
    <row r="2499" spans="1:2" x14ac:dyDescent="0.4">
      <c r="A2499" s="4">
        <v>1000001</v>
      </c>
      <c r="B2499">
        <v>7080800</v>
      </c>
    </row>
    <row r="2500" spans="1:2" x14ac:dyDescent="0.4">
      <c r="A2500" s="4">
        <v>1000001</v>
      </c>
      <c r="B2500">
        <v>7080900</v>
      </c>
    </row>
    <row r="2501" spans="1:2" x14ac:dyDescent="0.4">
      <c r="A2501" s="4">
        <v>1000001</v>
      </c>
      <c r="B2501">
        <v>7081000</v>
      </c>
    </row>
    <row r="2502" spans="1:2" x14ac:dyDescent="0.4">
      <c r="A2502" s="4">
        <v>1000001</v>
      </c>
      <c r="B2502">
        <v>7081100</v>
      </c>
    </row>
    <row r="2503" spans="1:2" x14ac:dyDescent="0.4">
      <c r="A2503" s="4">
        <v>1000001</v>
      </c>
      <c r="B2503">
        <v>7081200</v>
      </c>
    </row>
    <row r="2504" spans="1:2" x14ac:dyDescent="0.4">
      <c r="A2504" s="4">
        <v>1000001</v>
      </c>
      <c r="B2504">
        <v>7081300</v>
      </c>
    </row>
    <row r="2505" spans="1:2" x14ac:dyDescent="0.4">
      <c r="A2505" s="4">
        <v>1000001</v>
      </c>
      <c r="B2505">
        <v>7081400</v>
      </c>
    </row>
    <row r="2506" spans="1:2" x14ac:dyDescent="0.4">
      <c r="A2506" s="4">
        <v>1000001</v>
      </c>
      <c r="B2506">
        <v>7081500</v>
      </c>
    </row>
    <row r="2507" spans="1:2" x14ac:dyDescent="0.4">
      <c r="A2507" s="4">
        <v>1000001</v>
      </c>
      <c r="B2507">
        <v>7081700</v>
      </c>
    </row>
    <row r="2508" spans="1:2" x14ac:dyDescent="0.4">
      <c r="A2508" s="4">
        <v>1000001</v>
      </c>
      <c r="B2508">
        <v>7081800</v>
      </c>
    </row>
    <row r="2509" spans="1:2" x14ac:dyDescent="0.4">
      <c r="A2509" s="4">
        <v>1000001</v>
      </c>
      <c r="B2509">
        <v>7081900</v>
      </c>
    </row>
    <row r="2510" spans="1:2" x14ac:dyDescent="0.4">
      <c r="A2510" s="4">
        <v>1000001</v>
      </c>
      <c r="B2510">
        <v>7082000</v>
      </c>
    </row>
    <row r="2511" spans="1:2" x14ac:dyDescent="0.4">
      <c r="A2511" s="4">
        <v>1000001</v>
      </c>
      <c r="B2511">
        <v>7082100</v>
      </c>
    </row>
    <row r="2512" spans="1:2" x14ac:dyDescent="0.4">
      <c r="A2512" s="4">
        <v>1000001</v>
      </c>
      <c r="B2512">
        <v>7082200</v>
      </c>
    </row>
    <row r="2513" spans="1:2" x14ac:dyDescent="0.4">
      <c r="A2513" s="4">
        <v>1000001</v>
      </c>
      <c r="B2513">
        <v>7082300</v>
      </c>
    </row>
    <row r="2514" spans="1:2" x14ac:dyDescent="0.4">
      <c r="A2514" s="4">
        <v>1000001</v>
      </c>
      <c r="B2514">
        <v>7082400</v>
      </c>
    </row>
    <row r="2515" spans="1:2" x14ac:dyDescent="0.4">
      <c r="A2515" s="4">
        <v>1000001</v>
      </c>
      <c r="B2515">
        <v>7082500</v>
      </c>
    </row>
    <row r="2516" spans="1:2" x14ac:dyDescent="0.4">
      <c r="A2516" s="4">
        <v>1000001</v>
      </c>
      <c r="B2516">
        <v>7082600</v>
      </c>
    </row>
    <row r="2517" spans="1:2" x14ac:dyDescent="0.4">
      <c r="A2517" s="4">
        <v>1000001</v>
      </c>
      <c r="B2517">
        <v>7082700</v>
      </c>
    </row>
    <row r="2518" spans="1:2" x14ac:dyDescent="0.4">
      <c r="A2518" s="4">
        <v>1000001</v>
      </c>
      <c r="B2518">
        <v>7082800</v>
      </c>
    </row>
    <row r="2519" spans="1:2" x14ac:dyDescent="0.4">
      <c r="A2519" s="4">
        <v>1000001</v>
      </c>
      <c r="B2519">
        <v>7082900</v>
      </c>
    </row>
    <row r="2520" spans="1:2" x14ac:dyDescent="0.4">
      <c r="A2520" s="4">
        <v>1000001</v>
      </c>
      <c r="B2520">
        <v>7090000</v>
      </c>
    </row>
    <row r="2521" spans="1:2" x14ac:dyDescent="0.4">
      <c r="A2521" s="4">
        <v>1000001</v>
      </c>
      <c r="B2521">
        <v>7090100</v>
      </c>
    </row>
    <row r="2522" spans="1:2" x14ac:dyDescent="0.4">
      <c r="A2522" s="4">
        <v>1000001</v>
      </c>
      <c r="B2522">
        <v>7090300</v>
      </c>
    </row>
    <row r="2523" spans="1:2" x14ac:dyDescent="0.4">
      <c r="A2523" s="4">
        <v>1000001</v>
      </c>
      <c r="B2523">
        <v>7100100</v>
      </c>
    </row>
    <row r="2524" spans="1:2" x14ac:dyDescent="0.4">
      <c r="A2524" s="4">
        <v>1000001</v>
      </c>
      <c r="B2524">
        <v>7110000</v>
      </c>
    </row>
    <row r="2525" spans="1:2" x14ac:dyDescent="0.4">
      <c r="A2525" s="4">
        <v>1000001</v>
      </c>
      <c r="B2525">
        <v>7120000</v>
      </c>
    </row>
    <row r="2526" spans="1:2" x14ac:dyDescent="0.4">
      <c r="A2526" s="4">
        <v>1000001</v>
      </c>
      <c r="B2526">
        <v>7120100</v>
      </c>
    </row>
    <row r="2527" spans="1:2" x14ac:dyDescent="0.4">
      <c r="A2527" s="4">
        <v>1000001</v>
      </c>
      <c r="B2527">
        <v>7120200</v>
      </c>
    </row>
    <row r="2528" spans="1:2" x14ac:dyDescent="0.4">
      <c r="A2528" s="4">
        <v>1000001</v>
      </c>
      <c r="B2528">
        <v>7120300</v>
      </c>
    </row>
    <row r="2529" spans="1:2" x14ac:dyDescent="0.4">
      <c r="A2529" s="4">
        <v>1000001</v>
      </c>
      <c r="B2529">
        <v>7120400</v>
      </c>
    </row>
    <row r="2530" spans="1:2" x14ac:dyDescent="0.4">
      <c r="A2530" s="4">
        <v>1000001</v>
      </c>
      <c r="B2530">
        <v>7120500</v>
      </c>
    </row>
    <row r="2531" spans="1:2" x14ac:dyDescent="0.4">
      <c r="A2531" s="4">
        <v>1000001</v>
      </c>
      <c r="B2531">
        <v>7120600</v>
      </c>
    </row>
    <row r="2532" spans="1:2" x14ac:dyDescent="0.4">
      <c r="A2532" s="4">
        <v>1000001</v>
      </c>
      <c r="B2532">
        <v>7120900</v>
      </c>
    </row>
    <row r="2533" spans="1:2" x14ac:dyDescent="0.4">
      <c r="A2533" s="4">
        <v>1000001</v>
      </c>
      <c r="B2533">
        <v>7121000</v>
      </c>
    </row>
    <row r="2534" spans="1:2" x14ac:dyDescent="0.4">
      <c r="A2534" s="4">
        <v>1000001</v>
      </c>
      <c r="B2534">
        <v>7121100</v>
      </c>
    </row>
    <row r="2535" spans="1:2" x14ac:dyDescent="0.4">
      <c r="A2535" s="4">
        <v>1000001</v>
      </c>
      <c r="B2535">
        <v>7121200</v>
      </c>
    </row>
    <row r="2536" spans="1:2" x14ac:dyDescent="0.4">
      <c r="A2536" s="4">
        <v>1000001</v>
      </c>
      <c r="B2536">
        <v>7121300</v>
      </c>
    </row>
    <row r="2537" spans="1:2" x14ac:dyDescent="0.4">
      <c r="A2537" s="4">
        <v>1000001</v>
      </c>
      <c r="B2537">
        <v>7121400</v>
      </c>
    </row>
    <row r="2538" spans="1:2" x14ac:dyDescent="0.4">
      <c r="A2538" s="4">
        <v>1000001</v>
      </c>
      <c r="B2538">
        <v>7121500</v>
      </c>
    </row>
    <row r="2539" spans="1:2" x14ac:dyDescent="0.4">
      <c r="A2539" s="4">
        <v>1000001</v>
      </c>
      <c r="B2539">
        <v>7121600</v>
      </c>
    </row>
    <row r="2540" spans="1:2" x14ac:dyDescent="0.4">
      <c r="A2540" s="4">
        <v>1000001</v>
      </c>
      <c r="B2540">
        <v>7121700</v>
      </c>
    </row>
    <row r="2541" spans="1:2" x14ac:dyDescent="0.4">
      <c r="A2541" s="4">
        <v>1000001</v>
      </c>
      <c r="B2541">
        <v>7121800</v>
      </c>
    </row>
    <row r="2542" spans="1:2" x14ac:dyDescent="0.4">
      <c r="A2542" s="4">
        <v>1000001</v>
      </c>
      <c r="B2542">
        <v>7121900</v>
      </c>
    </row>
    <row r="2543" spans="1:2" x14ac:dyDescent="0.4">
      <c r="A2543" s="4">
        <v>1000001</v>
      </c>
      <c r="B2543">
        <v>7122000</v>
      </c>
    </row>
    <row r="2544" spans="1:2" x14ac:dyDescent="0.4">
      <c r="A2544" s="4">
        <v>1000001</v>
      </c>
      <c r="B2544">
        <v>7122100</v>
      </c>
    </row>
    <row r="2545" spans="1:2" x14ac:dyDescent="0.4">
      <c r="A2545" s="4">
        <v>1000001</v>
      </c>
      <c r="B2545">
        <v>7122200</v>
      </c>
    </row>
    <row r="2546" spans="1:2" x14ac:dyDescent="0.4">
      <c r="A2546" s="4">
        <v>1000001</v>
      </c>
      <c r="B2546">
        <v>7122300</v>
      </c>
    </row>
    <row r="2547" spans="1:2" x14ac:dyDescent="0.4">
      <c r="A2547" s="4">
        <v>1000001</v>
      </c>
      <c r="B2547">
        <v>7122400</v>
      </c>
    </row>
    <row r="2548" spans="1:2" x14ac:dyDescent="0.4">
      <c r="A2548" s="4">
        <v>1000001</v>
      </c>
      <c r="B2548">
        <v>7122500</v>
      </c>
    </row>
    <row r="2549" spans="1:2" x14ac:dyDescent="0.4">
      <c r="A2549" s="4">
        <v>1000001</v>
      </c>
      <c r="B2549">
        <v>7122600</v>
      </c>
    </row>
    <row r="2550" spans="1:2" x14ac:dyDescent="0.4">
      <c r="A2550" s="4">
        <v>1000001</v>
      </c>
      <c r="B2550">
        <v>7122700</v>
      </c>
    </row>
    <row r="2551" spans="1:2" x14ac:dyDescent="0.4">
      <c r="A2551" s="4">
        <v>1000001</v>
      </c>
      <c r="B2551">
        <v>7122800</v>
      </c>
    </row>
    <row r="2552" spans="1:2" x14ac:dyDescent="0.4">
      <c r="A2552" s="4">
        <v>1000001</v>
      </c>
      <c r="B2552">
        <v>7122900</v>
      </c>
    </row>
    <row r="2553" spans="1:2" x14ac:dyDescent="0.4">
      <c r="A2553" s="4">
        <v>1000001</v>
      </c>
      <c r="B2553">
        <v>7123000</v>
      </c>
    </row>
    <row r="2554" spans="1:2" x14ac:dyDescent="0.4">
      <c r="A2554" s="4">
        <v>1000001</v>
      </c>
      <c r="B2554">
        <v>7123100</v>
      </c>
    </row>
    <row r="2555" spans="1:2" x14ac:dyDescent="0.4">
      <c r="A2555" s="4">
        <v>1000001</v>
      </c>
      <c r="B2555">
        <v>7123200</v>
      </c>
    </row>
    <row r="2556" spans="1:2" x14ac:dyDescent="0.4">
      <c r="A2556" s="4">
        <v>1000001</v>
      </c>
      <c r="B2556">
        <v>7123300</v>
      </c>
    </row>
    <row r="2557" spans="1:2" x14ac:dyDescent="0.4">
      <c r="A2557" s="4">
        <v>1000001</v>
      </c>
      <c r="B2557">
        <v>7123400</v>
      </c>
    </row>
    <row r="2558" spans="1:2" x14ac:dyDescent="0.4">
      <c r="A2558" s="4">
        <v>1000001</v>
      </c>
      <c r="B2558">
        <v>7123500</v>
      </c>
    </row>
    <row r="2559" spans="1:2" x14ac:dyDescent="0.4">
      <c r="A2559" s="4">
        <v>1000001</v>
      </c>
      <c r="B2559">
        <v>7123600</v>
      </c>
    </row>
    <row r="2560" spans="1:2" x14ac:dyDescent="0.4">
      <c r="A2560" s="4">
        <v>1000001</v>
      </c>
      <c r="B2560">
        <v>7123700</v>
      </c>
    </row>
    <row r="2561" spans="1:2" x14ac:dyDescent="0.4">
      <c r="A2561" s="4">
        <v>1000001</v>
      </c>
      <c r="B2561">
        <v>7123800</v>
      </c>
    </row>
    <row r="2562" spans="1:2" x14ac:dyDescent="0.4">
      <c r="A2562" s="4">
        <v>1000001</v>
      </c>
      <c r="B2562">
        <v>7123900</v>
      </c>
    </row>
    <row r="2563" spans="1:2" x14ac:dyDescent="0.4">
      <c r="A2563" s="4">
        <v>1000001</v>
      </c>
      <c r="B2563">
        <v>7124000</v>
      </c>
    </row>
    <row r="2564" spans="1:2" x14ac:dyDescent="0.4">
      <c r="A2564" s="4">
        <v>1000001</v>
      </c>
      <c r="B2564">
        <v>7124100</v>
      </c>
    </row>
    <row r="2565" spans="1:2" x14ac:dyDescent="0.4">
      <c r="A2565" s="4">
        <v>1000001</v>
      </c>
      <c r="B2565">
        <v>7124300</v>
      </c>
    </row>
    <row r="2566" spans="1:2" x14ac:dyDescent="0.4">
      <c r="A2566" s="4">
        <v>1000001</v>
      </c>
      <c r="B2566">
        <v>7124400</v>
      </c>
    </row>
    <row r="2567" spans="1:2" x14ac:dyDescent="0.4">
      <c r="A2567" s="4">
        <v>1000001</v>
      </c>
      <c r="B2567">
        <v>7124500</v>
      </c>
    </row>
    <row r="2568" spans="1:2" x14ac:dyDescent="0.4">
      <c r="A2568" s="4">
        <v>1000001</v>
      </c>
      <c r="B2568">
        <v>7124600</v>
      </c>
    </row>
    <row r="2569" spans="1:2" x14ac:dyDescent="0.4">
      <c r="A2569" s="4">
        <v>1000001</v>
      </c>
      <c r="B2569">
        <v>7124700</v>
      </c>
    </row>
    <row r="2570" spans="1:2" x14ac:dyDescent="0.4">
      <c r="A2570" s="4">
        <v>1000001</v>
      </c>
      <c r="B2570">
        <v>7126000</v>
      </c>
    </row>
    <row r="2571" spans="1:2" x14ac:dyDescent="0.4">
      <c r="A2571" s="4">
        <v>1000001</v>
      </c>
      <c r="B2571">
        <v>7150000</v>
      </c>
    </row>
    <row r="2572" spans="1:2" x14ac:dyDescent="0.4">
      <c r="A2572" s="4">
        <v>1000001</v>
      </c>
      <c r="B2572">
        <v>7160000</v>
      </c>
    </row>
    <row r="2573" spans="1:2" x14ac:dyDescent="0.4">
      <c r="A2573" s="4">
        <v>1000001</v>
      </c>
      <c r="B2573">
        <v>7220000</v>
      </c>
    </row>
    <row r="2574" spans="1:2" x14ac:dyDescent="0.4">
      <c r="A2574" s="4">
        <v>1000001</v>
      </c>
      <c r="B2574">
        <v>7230000</v>
      </c>
    </row>
    <row r="2575" spans="1:2" x14ac:dyDescent="0.4">
      <c r="A2575" s="4">
        <v>1000001</v>
      </c>
      <c r="B2575">
        <v>7240000</v>
      </c>
    </row>
    <row r="2576" spans="1:2" x14ac:dyDescent="0.4">
      <c r="A2576" s="4">
        <v>1000001</v>
      </c>
      <c r="B2576">
        <v>7260000</v>
      </c>
    </row>
    <row r="2577" spans="1:2" x14ac:dyDescent="0.4">
      <c r="A2577" s="4">
        <v>1000001</v>
      </c>
      <c r="B2577">
        <v>7260300</v>
      </c>
    </row>
    <row r="2578" spans="1:2" x14ac:dyDescent="0.4">
      <c r="A2578" s="4">
        <v>1000001</v>
      </c>
      <c r="B2578">
        <v>7260400</v>
      </c>
    </row>
    <row r="2579" spans="1:2" x14ac:dyDescent="0.4">
      <c r="A2579" s="4">
        <v>1000001</v>
      </c>
      <c r="B2579">
        <v>7270100</v>
      </c>
    </row>
    <row r="2580" spans="1:2" x14ac:dyDescent="0.4">
      <c r="A2580" s="4">
        <v>1000001</v>
      </c>
      <c r="B2580">
        <v>7280000</v>
      </c>
    </row>
    <row r="2581" spans="1:2" x14ac:dyDescent="0.4">
      <c r="A2581" s="4">
        <v>1000001</v>
      </c>
      <c r="B2581">
        <v>7290000</v>
      </c>
    </row>
    <row r="2582" spans="1:2" x14ac:dyDescent="0.4">
      <c r="A2582" s="4">
        <v>1000001</v>
      </c>
      <c r="B2582">
        <v>7310000</v>
      </c>
    </row>
    <row r="2583" spans="1:2" x14ac:dyDescent="0.4">
      <c r="A2583" s="4">
        <v>1000001</v>
      </c>
      <c r="B2583">
        <v>7330000</v>
      </c>
    </row>
    <row r="2584" spans="1:2" x14ac:dyDescent="0.4">
      <c r="A2584" s="4">
        <v>1000001</v>
      </c>
      <c r="B2584">
        <v>7330100</v>
      </c>
    </row>
    <row r="2585" spans="1:2" x14ac:dyDescent="0.4">
      <c r="A2585" s="4">
        <v>1000001</v>
      </c>
      <c r="B2585">
        <v>7330200</v>
      </c>
    </row>
    <row r="2586" spans="1:2" x14ac:dyDescent="0.4">
      <c r="A2586" s="4">
        <v>1000001</v>
      </c>
      <c r="B2586">
        <v>7330300</v>
      </c>
    </row>
    <row r="2587" spans="1:2" x14ac:dyDescent="0.4">
      <c r="A2587" s="4">
        <v>1000001</v>
      </c>
      <c r="B2587">
        <v>7330400</v>
      </c>
    </row>
    <row r="2588" spans="1:2" x14ac:dyDescent="0.4">
      <c r="A2588" s="4">
        <v>1000001</v>
      </c>
      <c r="B2588">
        <v>7330500</v>
      </c>
    </row>
    <row r="2589" spans="1:2" x14ac:dyDescent="0.4">
      <c r="A2589" s="4">
        <v>1000001</v>
      </c>
      <c r="B2589">
        <v>7330600</v>
      </c>
    </row>
    <row r="2590" spans="1:2" x14ac:dyDescent="0.4">
      <c r="A2590" s="4">
        <v>1000001</v>
      </c>
      <c r="B2590">
        <v>7330700</v>
      </c>
    </row>
    <row r="2591" spans="1:2" x14ac:dyDescent="0.4">
      <c r="A2591" s="4">
        <v>1000001</v>
      </c>
      <c r="B2591">
        <v>7330800</v>
      </c>
    </row>
    <row r="2592" spans="1:2" x14ac:dyDescent="0.4">
      <c r="A2592" s="4">
        <v>1000001</v>
      </c>
      <c r="B2592">
        <v>7330900</v>
      </c>
    </row>
    <row r="2593" spans="1:2" x14ac:dyDescent="0.4">
      <c r="A2593" s="4">
        <v>1000001</v>
      </c>
      <c r="B2593">
        <v>7331000</v>
      </c>
    </row>
    <row r="2594" spans="1:2" x14ac:dyDescent="0.4">
      <c r="A2594" s="4">
        <v>1000001</v>
      </c>
      <c r="B2594">
        <v>7331100</v>
      </c>
    </row>
    <row r="2595" spans="1:2" x14ac:dyDescent="0.4">
      <c r="A2595" s="4">
        <v>1000001</v>
      </c>
      <c r="B2595">
        <v>7331200</v>
      </c>
    </row>
    <row r="2596" spans="1:2" x14ac:dyDescent="0.4">
      <c r="A2596" s="4">
        <v>1000001</v>
      </c>
      <c r="B2596">
        <v>7331300</v>
      </c>
    </row>
    <row r="2597" spans="1:2" x14ac:dyDescent="0.4">
      <c r="A2597" s="4">
        <v>1000001</v>
      </c>
      <c r="B2597">
        <v>7331400</v>
      </c>
    </row>
    <row r="2598" spans="1:2" x14ac:dyDescent="0.4">
      <c r="A2598" s="4">
        <v>1000001</v>
      </c>
      <c r="B2598">
        <v>7331500</v>
      </c>
    </row>
    <row r="2599" spans="1:2" x14ac:dyDescent="0.4">
      <c r="A2599" s="4">
        <v>1000001</v>
      </c>
      <c r="B2599">
        <v>7331700</v>
      </c>
    </row>
    <row r="2600" spans="1:2" x14ac:dyDescent="0.4">
      <c r="A2600" s="4">
        <v>1000001</v>
      </c>
      <c r="B2600">
        <v>7331800</v>
      </c>
    </row>
    <row r="2601" spans="1:2" x14ac:dyDescent="0.4">
      <c r="A2601" s="4">
        <v>1000001</v>
      </c>
      <c r="B2601">
        <v>7331900</v>
      </c>
    </row>
    <row r="2602" spans="1:2" x14ac:dyDescent="0.4">
      <c r="A2602" s="4">
        <v>1000001</v>
      </c>
      <c r="B2602">
        <v>7332000</v>
      </c>
    </row>
    <row r="2603" spans="1:2" x14ac:dyDescent="0.4">
      <c r="A2603" s="4">
        <v>1000001</v>
      </c>
      <c r="B2603">
        <v>7332100</v>
      </c>
    </row>
    <row r="2604" spans="1:2" x14ac:dyDescent="0.4">
      <c r="A2604" s="4">
        <v>1000001</v>
      </c>
      <c r="B2604">
        <v>7332200</v>
      </c>
    </row>
    <row r="2605" spans="1:2" x14ac:dyDescent="0.4">
      <c r="A2605" s="4">
        <v>1000001</v>
      </c>
      <c r="B2605">
        <v>7332300</v>
      </c>
    </row>
    <row r="2606" spans="1:2" x14ac:dyDescent="0.4">
      <c r="A2606" s="4">
        <v>1000001</v>
      </c>
      <c r="B2606">
        <v>7332400</v>
      </c>
    </row>
    <row r="2607" spans="1:2" x14ac:dyDescent="0.4">
      <c r="A2607" s="4">
        <v>1000001</v>
      </c>
      <c r="B2607">
        <v>7340000</v>
      </c>
    </row>
    <row r="2608" spans="1:2" x14ac:dyDescent="0.4">
      <c r="A2608" s="4">
        <v>1000001</v>
      </c>
      <c r="B2608">
        <v>7340100</v>
      </c>
    </row>
    <row r="2609" spans="1:2" x14ac:dyDescent="0.4">
      <c r="A2609" s="4">
        <v>1000001</v>
      </c>
      <c r="B2609">
        <v>7340200</v>
      </c>
    </row>
    <row r="2610" spans="1:2" x14ac:dyDescent="0.4">
      <c r="A2610" s="4">
        <v>1000001</v>
      </c>
      <c r="B2610">
        <v>7340300</v>
      </c>
    </row>
    <row r="2611" spans="1:2" x14ac:dyDescent="0.4">
      <c r="A2611" s="4">
        <v>1000001</v>
      </c>
      <c r="B2611">
        <v>7340400</v>
      </c>
    </row>
    <row r="2612" spans="1:2" x14ac:dyDescent="0.4">
      <c r="A2612" s="4">
        <v>1000001</v>
      </c>
      <c r="B2612">
        <v>7340500</v>
      </c>
    </row>
    <row r="2613" spans="1:2" x14ac:dyDescent="0.4">
      <c r="A2613" s="4">
        <v>1000001</v>
      </c>
      <c r="B2613">
        <v>7340600</v>
      </c>
    </row>
    <row r="2614" spans="1:2" x14ac:dyDescent="0.4">
      <c r="A2614" s="4">
        <v>1000001</v>
      </c>
      <c r="B2614">
        <v>7340700</v>
      </c>
    </row>
    <row r="2615" spans="1:2" x14ac:dyDescent="0.4">
      <c r="A2615" s="4">
        <v>1000001</v>
      </c>
      <c r="B2615">
        <v>7340800</v>
      </c>
    </row>
    <row r="2616" spans="1:2" x14ac:dyDescent="0.4">
      <c r="A2616" s="4">
        <v>1000001</v>
      </c>
      <c r="B2616">
        <v>7340900</v>
      </c>
    </row>
    <row r="2617" spans="1:2" x14ac:dyDescent="0.4">
      <c r="A2617" s="4">
        <v>1000001</v>
      </c>
      <c r="B2617">
        <v>7341000</v>
      </c>
    </row>
    <row r="2618" spans="1:2" x14ac:dyDescent="0.4">
      <c r="A2618" s="4">
        <v>1000001</v>
      </c>
      <c r="B2618">
        <v>7341100</v>
      </c>
    </row>
    <row r="2619" spans="1:2" x14ac:dyDescent="0.4">
      <c r="A2619" s="4">
        <v>1000001</v>
      </c>
      <c r="B2619">
        <v>7341200</v>
      </c>
    </row>
    <row r="2620" spans="1:2" x14ac:dyDescent="0.4">
      <c r="A2620" s="4">
        <v>1000001</v>
      </c>
      <c r="B2620">
        <v>7341300</v>
      </c>
    </row>
    <row r="2621" spans="1:2" x14ac:dyDescent="0.4">
      <c r="A2621" s="4">
        <v>1000001</v>
      </c>
      <c r="B2621">
        <v>7341400</v>
      </c>
    </row>
    <row r="2622" spans="1:2" x14ac:dyDescent="0.4">
      <c r="A2622" s="4">
        <v>1000001</v>
      </c>
      <c r="B2622">
        <v>7341500</v>
      </c>
    </row>
    <row r="2623" spans="1:2" x14ac:dyDescent="0.4">
      <c r="A2623" s="4">
        <v>1000001</v>
      </c>
      <c r="B2623">
        <v>7341700</v>
      </c>
    </row>
    <row r="2624" spans="1:2" x14ac:dyDescent="0.4">
      <c r="A2624" s="4">
        <v>1000001</v>
      </c>
      <c r="B2624">
        <v>7341800</v>
      </c>
    </row>
    <row r="2625" spans="1:2" x14ac:dyDescent="0.4">
      <c r="A2625" s="4">
        <v>1000001</v>
      </c>
      <c r="B2625">
        <v>7341900</v>
      </c>
    </row>
    <row r="2626" spans="1:2" x14ac:dyDescent="0.4">
      <c r="A2626" s="4">
        <v>1000001</v>
      </c>
      <c r="B2626">
        <v>7342000</v>
      </c>
    </row>
    <row r="2627" spans="1:2" x14ac:dyDescent="0.4">
      <c r="A2627" s="4">
        <v>1000001</v>
      </c>
      <c r="B2627">
        <v>7342100</v>
      </c>
    </row>
    <row r="2628" spans="1:2" x14ac:dyDescent="0.4">
      <c r="A2628" s="4">
        <v>1000001</v>
      </c>
      <c r="B2628">
        <v>7342200</v>
      </c>
    </row>
    <row r="2629" spans="1:2" x14ac:dyDescent="0.4">
      <c r="A2629" s="4">
        <v>1000001</v>
      </c>
      <c r="B2629">
        <v>7342300</v>
      </c>
    </row>
    <row r="2630" spans="1:2" x14ac:dyDescent="0.4">
      <c r="A2630" s="4">
        <v>1000001</v>
      </c>
      <c r="B2630">
        <v>7342400</v>
      </c>
    </row>
    <row r="2631" spans="1:2" x14ac:dyDescent="0.4">
      <c r="A2631" s="4">
        <v>1000001</v>
      </c>
      <c r="B2631">
        <v>7350000</v>
      </c>
    </row>
    <row r="2632" spans="1:2" x14ac:dyDescent="0.4">
      <c r="A2632" s="4">
        <v>1000001</v>
      </c>
      <c r="B2632">
        <v>7350100</v>
      </c>
    </row>
    <row r="2633" spans="1:2" x14ac:dyDescent="0.4">
      <c r="A2633" s="4">
        <v>1000001</v>
      </c>
      <c r="B2633">
        <v>7350200</v>
      </c>
    </row>
    <row r="2634" spans="1:2" x14ac:dyDescent="0.4">
      <c r="A2634" s="4">
        <v>1000001</v>
      </c>
      <c r="B2634">
        <v>7350300</v>
      </c>
    </row>
    <row r="2635" spans="1:2" x14ac:dyDescent="0.4">
      <c r="A2635" s="4">
        <v>1000001</v>
      </c>
      <c r="B2635">
        <v>7350400</v>
      </c>
    </row>
    <row r="2636" spans="1:2" x14ac:dyDescent="0.4">
      <c r="A2636" s="4">
        <v>1000001</v>
      </c>
      <c r="B2636">
        <v>7350500</v>
      </c>
    </row>
    <row r="2637" spans="1:2" x14ac:dyDescent="0.4">
      <c r="A2637" s="4">
        <v>1000001</v>
      </c>
      <c r="B2637">
        <v>7350600</v>
      </c>
    </row>
    <row r="2638" spans="1:2" x14ac:dyDescent="0.4">
      <c r="A2638" s="4">
        <v>1000001</v>
      </c>
      <c r="B2638">
        <v>7350700</v>
      </c>
    </row>
    <row r="2639" spans="1:2" x14ac:dyDescent="0.4">
      <c r="A2639" s="4">
        <v>1000001</v>
      </c>
      <c r="B2639">
        <v>7350800</v>
      </c>
    </row>
    <row r="2640" spans="1:2" x14ac:dyDescent="0.4">
      <c r="A2640" s="4">
        <v>1000001</v>
      </c>
      <c r="B2640">
        <v>7350900</v>
      </c>
    </row>
    <row r="2641" spans="1:2" x14ac:dyDescent="0.4">
      <c r="A2641" s="4">
        <v>1000001</v>
      </c>
      <c r="B2641">
        <v>7351000</v>
      </c>
    </row>
    <row r="2642" spans="1:2" x14ac:dyDescent="0.4">
      <c r="A2642" s="4">
        <v>1000001</v>
      </c>
      <c r="B2642">
        <v>7351100</v>
      </c>
    </row>
    <row r="2643" spans="1:2" x14ac:dyDescent="0.4">
      <c r="A2643" s="4">
        <v>1000001</v>
      </c>
      <c r="B2643">
        <v>7351200</v>
      </c>
    </row>
    <row r="2644" spans="1:2" x14ac:dyDescent="0.4">
      <c r="A2644" s="4">
        <v>1000001</v>
      </c>
      <c r="B2644">
        <v>7351300</v>
      </c>
    </row>
    <row r="2645" spans="1:2" x14ac:dyDescent="0.4">
      <c r="A2645" s="4">
        <v>1000001</v>
      </c>
      <c r="B2645">
        <v>7351400</v>
      </c>
    </row>
    <row r="2646" spans="1:2" x14ac:dyDescent="0.4">
      <c r="A2646" s="4">
        <v>1000001</v>
      </c>
      <c r="B2646">
        <v>7351500</v>
      </c>
    </row>
    <row r="2647" spans="1:2" x14ac:dyDescent="0.4">
      <c r="A2647" s="4">
        <v>1000001</v>
      </c>
      <c r="B2647">
        <v>7351700</v>
      </c>
    </row>
    <row r="2648" spans="1:2" x14ac:dyDescent="0.4">
      <c r="A2648" s="4">
        <v>1000001</v>
      </c>
      <c r="B2648">
        <v>7351800</v>
      </c>
    </row>
    <row r="2649" spans="1:2" x14ac:dyDescent="0.4">
      <c r="A2649" s="4">
        <v>1000001</v>
      </c>
      <c r="B2649">
        <v>7351900</v>
      </c>
    </row>
    <row r="2650" spans="1:2" x14ac:dyDescent="0.4">
      <c r="A2650" s="4">
        <v>1000001</v>
      </c>
      <c r="B2650">
        <v>7352000</v>
      </c>
    </row>
    <row r="2651" spans="1:2" x14ac:dyDescent="0.4">
      <c r="A2651" s="4">
        <v>1000001</v>
      </c>
      <c r="B2651">
        <v>7352100</v>
      </c>
    </row>
    <row r="2652" spans="1:2" x14ac:dyDescent="0.4">
      <c r="A2652" s="4">
        <v>1000001</v>
      </c>
      <c r="B2652">
        <v>7352200</v>
      </c>
    </row>
    <row r="2653" spans="1:2" x14ac:dyDescent="0.4">
      <c r="A2653" s="4">
        <v>1000001</v>
      </c>
      <c r="B2653">
        <v>7352300</v>
      </c>
    </row>
    <row r="2654" spans="1:2" x14ac:dyDescent="0.4">
      <c r="A2654" s="4">
        <v>1000001</v>
      </c>
      <c r="B2654">
        <v>7352400</v>
      </c>
    </row>
    <row r="2655" spans="1:2" x14ac:dyDescent="0.4">
      <c r="A2655" s="4">
        <v>1000001</v>
      </c>
      <c r="B2655">
        <v>7360600</v>
      </c>
    </row>
    <row r="2656" spans="1:2" x14ac:dyDescent="0.4">
      <c r="A2656" s="4">
        <v>1000001</v>
      </c>
      <c r="B2656">
        <v>7360900</v>
      </c>
    </row>
    <row r="2657" spans="1:2" x14ac:dyDescent="0.4">
      <c r="A2657" s="4">
        <v>1000001</v>
      </c>
      <c r="B2657">
        <v>7361200</v>
      </c>
    </row>
    <row r="2658" spans="1:2" x14ac:dyDescent="0.4">
      <c r="A2658" s="4">
        <v>1000001</v>
      </c>
      <c r="B2658">
        <v>7361300</v>
      </c>
    </row>
    <row r="2659" spans="1:2" x14ac:dyDescent="0.4">
      <c r="A2659" s="4">
        <v>1000001</v>
      </c>
      <c r="B2659">
        <v>7362100</v>
      </c>
    </row>
    <row r="2660" spans="1:2" x14ac:dyDescent="0.4">
      <c r="A2660" s="4">
        <v>1000001</v>
      </c>
      <c r="B2660">
        <v>7370300</v>
      </c>
    </row>
    <row r="2661" spans="1:2" x14ac:dyDescent="0.4">
      <c r="A2661" s="4">
        <v>1000001</v>
      </c>
      <c r="B2661">
        <v>7370400</v>
      </c>
    </row>
    <row r="2662" spans="1:2" x14ac:dyDescent="0.4">
      <c r="A2662" s="4">
        <v>1000001</v>
      </c>
      <c r="B2662">
        <v>7370600</v>
      </c>
    </row>
    <row r="2663" spans="1:2" x14ac:dyDescent="0.4">
      <c r="A2663" s="4">
        <v>1000001</v>
      </c>
      <c r="B2663">
        <v>7370900</v>
      </c>
    </row>
    <row r="2664" spans="1:2" x14ac:dyDescent="0.4">
      <c r="A2664" s="4">
        <v>1000001</v>
      </c>
      <c r="B2664">
        <v>7371500</v>
      </c>
    </row>
    <row r="2665" spans="1:2" x14ac:dyDescent="0.4">
      <c r="A2665" s="4">
        <v>1000001</v>
      </c>
      <c r="B2665">
        <v>7036200</v>
      </c>
    </row>
    <row r="2666" spans="1:2" x14ac:dyDescent="0.4">
      <c r="A2666" s="4">
        <v>1000001</v>
      </c>
      <c r="B2666">
        <v>7036300</v>
      </c>
    </row>
    <row r="2667" spans="1:2" x14ac:dyDescent="0.4">
      <c r="A2667" s="4">
        <v>1000001</v>
      </c>
      <c r="B2667">
        <v>7036400</v>
      </c>
    </row>
    <row r="2668" spans="1:2" x14ac:dyDescent="0.4">
      <c r="A2668" s="4">
        <v>1000001</v>
      </c>
      <c r="B2668">
        <v>7036500</v>
      </c>
    </row>
    <row r="2669" spans="1:2" x14ac:dyDescent="0.4">
      <c r="A2669" s="4">
        <v>1000001</v>
      </c>
      <c r="B2669">
        <v>7036800</v>
      </c>
    </row>
    <row r="2670" spans="1:2" x14ac:dyDescent="0.4">
      <c r="A2670" s="4">
        <v>1000001</v>
      </c>
      <c r="B2670">
        <v>7036900</v>
      </c>
    </row>
    <row r="2671" spans="1:2" x14ac:dyDescent="0.4">
      <c r="A2671" s="4">
        <v>1000001</v>
      </c>
      <c r="B2671">
        <v>7037000</v>
      </c>
    </row>
    <row r="2672" spans="1:2" x14ac:dyDescent="0.4">
      <c r="A2672" s="4">
        <v>1000001</v>
      </c>
      <c r="B2672">
        <v>7037300</v>
      </c>
    </row>
    <row r="2673" spans="1:2" x14ac:dyDescent="0.4">
      <c r="A2673" s="4">
        <v>1000001</v>
      </c>
      <c r="B2673">
        <v>6630000</v>
      </c>
    </row>
    <row r="2674" spans="1:2" x14ac:dyDescent="0.4">
      <c r="A2674" s="4">
        <v>1000001</v>
      </c>
      <c r="B2674">
        <v>6630100</v>
      </c>
    </row>
    <row r="2675" spans="1:2" x14ac:dyDescent="0.4">
      <c r="A2675" s="4">
        <v>1000001</v>
      </c>
      <c r="B2675">
        <v>6630200</v>
      </c>
    </row>
    <row r="2676" spans="1:2" x14ac:dyDescent="0.4">
      <c r="A2676" s="4">
        <v>1000001</v>
      </c>
      <c r="B2676">
        <v>6630300</v>
      </c>
    </row>
    <row r="2677" spans="1:2" x14ac:dyDescent="0.4">
      <c r="A2677" s="4">
        <v>1000001</v>
      </c>
      <c r="B2677">
        <v>6630400</v>
      </c>
    </row>
    <row r="2678" spans="1:2" x14ac:dyDescent="0.4">
      <c r="A2678" s="4">
        <v>1000001</v>
      </c>
      <c r="B2678">
        <v>6630500</v>
      </c>
    </row>
    <row r="2679" spans="1:2" x14ac:dyDescent="0.4">
      <c r="A2679" s="4">
        <v>1000001</v>
      </c>
      <c r="B2679">
        <v>6630600</v>
      </c>
    </row>
    <row r="2680" spans="1:2" x14ac:dyDescent="0.4">
      <c r="A2680" s="4">
        <v>1000001</v>
      </c>
      <c r="B2680">
        <v>6630700</v>
      </c>
    </row>
    <row r="2681" spans="1:2" x14ac:dyDescent="0.4">
      <c r="A2681" s="4">
        <v>1000001</v>
      </c>
      <c r="B2681">
        <v>6630800</v>
      </c>
    </row>
    <row r="2682" spans="1:2" x14ac:dyDescent="0.4">
      <c r="A2682" s="4">
        <v>1000001</v>
      </c>
      <c r="B2682">
        <v>6630900</v>
      </c>
    </row>
    <row r="2683" spans="1:2" x14ac:dyDescent="0.4">
      <c r="A2683" s="4">
        <v>1000001</v>
      </c>
      <c r="B2683">
        <v>6631000</v>
      </c>
    </row>
    <row r="2684" spans="1:2" x14ac:dyDescent="0.4">
      <c r="A2684" s="4">
        <v>1000001</v>
      </c>
      <c r="B2684">
        <v>6631100</v>
      </c>
    </row>
    <row r="2685" spans="1:2" x14ac:dyDescent="0.4">
      <c r="A2685" s="4">
        <v>1000001</v>
      </c>
      <c r="B2685">
        <v>6631200</v>
      </c>
    </row>
    <row r="2686" spans="1:2" x14ac:dyDescent="0.4">
      <c r="A2686" s="4">
        <v>1000001</v>
      </c>
      <c r="B2686">
        <v>6631300</v>
      </c>
    </row>
    <row r="2687" spans="1:2" x14ac:dyDescent="0.4">
      <c r="A2687" s="4">
        <v>1000001</v>
      </c>
      <c r="B2687">
        <v>6631400</v>
      </c>
    </row>
    <row r="2688" spans="1:2" x14ac:dyDescent="0.4">
      <c r="A2688" s="4">
        <v>1000001</v>
      </c>
      <c r="B2688">
        <v>6631500</v>
      </c>
    </row>
    <row r="2689" spans="1:2" x14ac:dyDescent="0.4">
      <c r="A2689" s="4">
        <v>1000001</v>
      </c>
      <c r="B2689">
        <v>6631600</v>
      </c>
    </row>
    <row r="2690" spans="1:2" x14ac:dyDescent="0.4">
      <c r="A2690" s="4">
        <v>1000001</v>
      </c>
      <c r="B2690">
        <v>6631700</v>
      </c>
    </row>
    <row r="2691" spans="1:2" x14ac:dyDescent="0.4">
      <c r="A2691" s="4">
        <v>1000001</v>
      </c>
      <c r="B2691">
        <v>6631800</v>
      </c>
    </row>
    <row r="2692" spans="1:2" x14ac:dyDescent="0.4">
      <c r="A2692" s="4">
        <v>1000001</v>
      </c>
      <c r="B2692">
        <v>6631900</v>
      </c>
    </row>
    <row r="2693" spans="1:2" x14ac:dyDescent="0.4">
      <c r="A2693" s="4">
        <v>1000001</v>
      </c>
      <c r="B2693">
        <v>6632000</v>
      </c>
    </row>
    <row r="2694" spans="1:2" x14ac:dyDescent="0.4">
      <c r="A2694" s="4">
        <v>1000001</v>
      </c>
      <c r="B2694">
        <v>6632100</v>
      </c>
    </row>
    <row r="2695" spans="1:2" x14ac:dyDescent="0.4">
      <c r="A2695" s="4">
        <v>1000001</v>
      </c>
      <c r="B2695">
        <v>6632200</v>
      </c>
    </row>
    <row r="2696" spans="1:2" x14ac:dyDescent="0.4">
      <c r="A2696" s="4">
        <v>1000001</v>
      </c>
      <c r="B2696">
        <v>6632300</v>
      </c>
    </row>
    <row r="2697" spans="1:2" x14ac:dyDescent="0.4">
      <c r="A2697" s="4">
        <v>1000001</v>
      </c>
      <c r="B2697">
        <v>6632400</v>
      </c>
    </row>
    <row r="2698" spans="1:2" x14ac:dyDescent="0.4">
      <c r="A2698" s="4">
        <v>1000001</v>
      </c>
      <c r="B2698">
        <v>6632500</v>
      </c>
    </row>
    <row r="2699" spans="1:2" x14ac:dyDescent="0.4">
      <c r="A2699" s="4">
        <v>1000001</v>
      </c>
      <c r="B2699">
        <v>6632600</v>
      </c>
    </row>
    <row r="2700" spans="1:2" x14ac:dyDescent="0.4">
      <c r="A2700" s="4">
        <v>1000001</v>
      </c>
      <c r="B2700">
        <v>6632700</v>
      </c>
    </row>
    <row r="2701" spans="1:2" x14ac:dyDescent="0.4">
      <c r="A2701" s="4">
        <v>1000001</v>
      </c>
      <c r="B2701">
        <v>6632800</v>
      </c>
    </row>
    <row r="2702" spans="1:2" x14ac:dyDescent="0.4">
      <c r="A2702" s="4">
        <v>1000001</v>
      </c>
      <c r="B2702">
        <v>6632900</v>
      </c>
    </row>
    <row r="2703" spans="1:2" x14ac:dyDescent="0.4">
      <c r="A2703" s="4">
        <v>1000001</v>
      </c>
      <c r="B2703">
        <v>6633000</v>
      </c>
    </row>
    <row r="2704" spans="1:2" x14ac:dyDescent="0.4">
      <c r="A2704" s="4">
        <v>1000001</v>
      </c>
      <c r="B2704">
        <v>6633100</v>
      </c>
    </row>
    <row r="2705" spans="1:2" x14ac:dyDescent="0.4">
      <c r="A2705" s="4">
        <v>1000001</v>
      </c>
      <c r="B2705">
        <v>6633200</v>
      </c>
    </row>
    <row r="2706" spans="1:2" x14ac:dyDescent="0.4">
      <c r="A2706" s="4">
        <v>1000001</v>
      </c>
      <c r="B2706">
        <v>6647200</v>
      </c>
    </row>
    <row r="2707" spans="1:2" x14ac:dyDescent="0.4">
      <c r="A2707" s="4">
        <v>1000001</v>
      </c>
      <c r="B2707">
        <v>6647300</v>
      </c>
    </row>
    <row r="2708" spans="1:2" x14ac:dyDescent="0.4">
      <c r="A2708" s="4">
        <v>1000001</v>
      </c>
      <c r="B2708">
        <v>6647400</v>
      </c>
    </row>
    <row r="2709" spans="1:2" x14ac:dyDescent="0.4">
      <c r="A2709" s="4">
        <v>1000001</v>
      </c>
      <c r="B2709">
        <v>6647500</v>
      </c>
    </row>
    <row r="2710" spans="1:2" x14ac:dyDescent="0.4">
      <c r="A2710" s="4">
        <v>1000001</v>
      </c>
      <c r="B2710">
        <v>6640000</v>
      </c>
    </row>
    <row r="2711" spans="1:2" x14ac:dyDescent="0.4">
      <c r="A2711" s="4">
        <v>1000001</v>
      </c>
      <c r="B2711">
        <v>6640100</v>
      </c>
    </row>
    <row r="2712" spans="1:2" x14ac:dyDescent="0.4">
      <c r="A2712" s="4">
        <v>1000001</v>
      </c>
      <c r="B2712">
        <v>6641000</v>
      </c>
    </row>
    <row r="2713" spans="1:2" x14ac:dyDescent="0.4">
      <c r="A2713" s="4">
        <v>1000001</v>
      </c>
      <c r="B2713">
        <v>6641100</v>
      </c>
    </row>
    <row r="2714" spans="1:2" x14ac:dyDescent="0.4">
      <c r="A2714" s="4">
        <v>1000001</v>
      </c>
      <c r="B2714">
        <v>6642000</v>
      </c>
    </row>
    <row r="2715" spans="1:2" x14ac:dyDescent="0.4">
      <c r="A2715" s="4">
        <v>1000001</v>
      </c>
      <c r="B2715">
        <v>6642100</v>
      </c>
    </row>
    <row r="2716" spans="1:2" x14ac:dyDescent="0.4">
      <c r="A2716" s="4">
        <v>1000001</v>
      </c>
      <c r="B2716">
        <v>6643000</v>
      </c>
    </row>
    <row r="2717" spans="1:2" x14ac:dyDescent="0.4">
      <c r="A2717" s="4">
        <v>1000001</v>
      </c>
      <c r="B2717">
        <v>6643100</v>
      </c>
    </row>
    <row r="2718" spans="1:2" x14ac:dyDescent="0.4">
      <c r="A2718" s="4">
        <v>1000001</v>
      </c>
      <c r="B2718">
        <v>6644000</v>
      </c>
    </row>
    <row r="2719" spans="1:2" x14ac:dyDescent="0.4">
      <c r="A2719" s="4">
        <v>1000001</v>
      </c>
      <c r="B2719">
        <v>6644100</v>
      </c>
    </row>
    <row r="2720" spans="1:2" x14ac:dyDescent="0.4">
      <c r="A2720" s="4">
        <v>1000001</v>
      </c>
      <c r="B2720">
        <v>6645000</v>
      </c>
    </row>
    <row r="2721" spans="1:2" x14ac:dyDescent="0.4">
      <c r="A2721" s="4">
        <v>1000001</v>
      </c>
      <c r="B2721">
        <v>6645100</v>
      </c>
    </row>
    <row r="2722" spans="1:2" x14ac:dyDescent="0.4">
      <c r="A2722" s="4">
        <v>1000001</v>
      </c>
      <c r="B2722">
        <v>6646000</v>
      </c>
    </row>
    <row r="2723" spans="1:2" x14ac:dyDescent="0.4">
      <c r="A2723" s="4">
        <v>1000001</v>
      </c>
      <c r="B2723">
        <v>6646100</v>
      </c>
    </row>
    <row r="2724" spans="1:2" x14ac:dyDescent="0.4">
      <c r="A2724" s="4">
        <v>1000001</v>
      </c>
      <c r="B2724">
        <v>6647000</v>
      </c>
    </row>
    <row r="2725" spans="1:2" x14ac:dyDescent="0.4">
      <c r="A2725" s="4">
        <v>1000001</v>
      </c>
      <c r="B2725">
        <v>6647100</v>
      </c>
    </row>
    <row r="2726" spans="1:2" x14ac:dyDescent="0.4">
      <c r="A2726" s="4">
        <v>1000002</v>
      </c>
      <c r="B2726">
        <v>7000000</v>
      </c>
    </row>
    <row r="2727" spans="1:2" x14ac:dyDescent="0.4">
      <c r="A2727" s="4">
        <v>1000002</v>
      </c>
      <c r="B2727">
        <v>7000001</v>
      </c>
    </row>
    <row r="2728" spans="1:2" x14ac:dyDescent="0.4">
      <c r="A2728" s="4">
        <v>1000002</v>
      </c>
      <c r="B2728">
        <v>7000002</v>
      </c>
    </row>
    <row r="2729" spans="1:2" x14ac:dyDescent="0.4">
      <c r="A2729" s="4">
        <v>1000002</v>
      </c>
      <c r="B2729">
        <v>7000100</v>
      </c>
    </row>
    <row r="2730" spans="1:2" x14ac:dyDescent="0.4">
      <c r="A2730" s="4">
        <v>1000002</v>
      </c>
      <c r="B2730">
        <v>7000101</v>
      </c>
    </row>
    <row r="2731" spans="1:2" x14ac:dyDescent="0.4">
      <c r="A2731" s="4">
        <v>1000002</v>
      </c>
      <c r="B2731">
        <v>7000102</v>
      </c>
    </row>
    <row r="2732" spans="1:2" x14ac:dyDescent="0.4">
      <c r="A2732" s="4">
        <v>1000002</v>
      </c>
      <c r="B2732">
        <v>7000200</v>
      </c>
    </row>
    <row r="2733" spans="1:2" x14ac:dyDescent="0.4">
      <c r="A2733" s="4">
        <v>1000002</v>
      </c>
      <c r="B2733">
        <v>7000201</v>
      </c>
    </row>
    <row r="2734" spans="1:2" x14ac:dyDescent="0.4">
      <c r="A2734" s="4">
        <v>1000002</v>
      </c>
      <c r="B2734">
        <v>7000202</v>
      </c>
    </row>
    <row r="2735" spans="1:2" x14ac:dyDescent="0.4">
      <c r="A2735" s="4">
        <v>1000002</v>
      </c>
      <c r="B2735">
        <v>7000300</v>
      </c>
    </row>
    <row r="2736" spans="1:2" x14ac:dyDescent="0.4">
      <c r="A2736" s="4">
        <v>1000002</v>
      </c>
      <c r="B2736">
        <v>7000301</v>
      </c>
    </row>
    <row r="2737" spans="1:2" x14ac:dyDescent="0.4">
      <c r="A2737" s="4">
        <v>1000002</v>
      </c>
      <c r="B2737">
        <v>7000302</v>
      </c>
    </row>
    <row r="2738" spans="1:2" x14ac:dyDescent="0.4">
      <c r="A2738" s="4">
        <v>1000002</v>
      </c>
      <c r="B2738">
        <v>7000400</v>
      </c>
    </row>
    <row r="2739" spans="1:2" x14ac:dyDescent="0.4">
      <c r="A2739" s="4">
        <v>1000002</v>
      </c>
      <c r="B2739">
        <v>7000401</v>
      </c>
    </row>
    <row r="2740" spans="1:2" x14ac:dyDescent="0.4">
      <c r="A2740" s="4">
        <v>1000002</v>
      </c>
      <c r="B2740">
        <v>7000402</v>
      </c>
    </row>
    <row r="2741" spans="1:2" x14ac:dyDescent="0.4">
      <c r="A2741" s="4">
        <v>1000002</v>
      </c>
      <c r="B2741">
        <v>7000500</v>
      </c>
    </row>
    <row r="2742" spans="1:2" x14ac:dyDescent="0.4">
      <c r="A2742" s="4">
        <v>1000002</v>
      </c>
      <c r="B2742">
        <v>7000501</v>
      </c>
    </row>
    <row r="2743" spans="1:2" x14ac:dyDescent="0.4">
      <c r="A2743" s="4">
        <v>1000002</v>
      </c>
      <c r="B2743">
        <v>7000502</v>
      </c>
    </row>
    <row r="2744" spans="1:2" x14ac:dyDescent="0.4">
      <c r="A2744" s="4">
        <v>1000002</v>
      </c>
      <c r="B2744">
        <v>7000600</v>
      </c>
    </row>
    <row r="2745" spans="1:2" x14ac:dyDescent="0.4">
      <c r="A2745" s="4">
        <v>1000002</v>
      </c>
      <c r="B2745">
        <v>7000601</v>
      </c>
    </row>
    <row r="2746" spans="1:2" x14ac:dyDescent="0.4">
      <c r="A2746" s="4">
        <v>1000002</v>
      </c>
      <c r="B2746">
        <v>7000602</v>
      </c>
    </row>
    <row r="2747" spans="1:2" x14ac:dyDescent="0.4">
      <c r="A2747" s="4">
        <v>1000002</v>
      </c>
      <c r="B2747">
        <v>7000700</v>
      </c>
    </row>
    <row r="2748" spans="1:2" x14ac:dyDescent="0.4">
      <c r="A2748" s="4">
        <v>1000002</v>
      </c>
      <c r="B2748">
        <v>7000701</v>
      </c>
    </row>
    <row r="2749" spans="1:2" x14ac:dyDescent="0.4">
      <c r="A2749" s="4">
        <v>1000002</v>
      </c>
      <c r="B2749">
        <v>7000702</v>
      </c>
    </row>
    <row r="2750" spans="1:2" x14ac:dyDescent="0.4">
      <c r="A2750" s="4">
        <v>1000002</v>
      </c>
      <c r="B2750">
        <v>7000800</v>
      </c>
    </row>
    <row r="2751" spans="1:2" x14ac:dyDescent="0.4">
      <c r="A2751" s="4">
        <v>1000002</v>
      </c>
      <c r="B2751">
        <v>7000801</v>
      </c>
    </row>
    <row r="2752" spans="1:2" x14ac:dyDescent="0.4">
      <c r="A2752" s="4">
        <v>1000002</v>
      </c>
      <c r="B2752">
        <v>7000802</v>
      </c>
    </row>
    <row r="2753" spans="1:2" x14ac:dyDescent="0.4">
      <c r="A2753" s="4">
        <v>1000002</v>
      </c>
      <c r="B2753">
        <v>7000900</v>
      </c>
    </row>
    <row r="2754" spans="1:2" x14ac:dyDescent="0.4">
      <c r="A2754" s="4">
        <v>1000002</v>
      </c>
      <c r="B2754">
        <v>7000901</v>
      </c>
    </row>
    <row r="2755" spans="1:2" x14ac:dyDescent="0.4">
      <c r="A2755" s="4">
        <v>1000002</v>
      </c>
      <c r="B2755">
        <v>7000902</v>
      </c>
    </row>
    <row r="2756" spans="1:2" x14ac:dyDescent="0.4">
      <c r="A2756" s="4">
        <v>1000002</v>
      </c>
      <c r="B2756">
        <v>7001000</v>
      </c>
    </row>
    <row r="2757" spans="1:2" x14ac:dyDescent="0.4">
      <c r="A2757" s="4">
        <v>1000002</v>
      </c>
      <c r="B2757">
        <v>7001001</v>
      </c>
    </row>
    <row r="2758" spans="1:2" x14ac:dyDescent="0.4">
      <c r="A2758" s="4">
        <v>1000002</v>
      </c>
      <c r="B2758">
        <v>7001002</v>
      </c>
    </row>
    <row r="2759" spans="1:2" x14ac:dyDescent="0.4">
      <c r="A2759" s="4">
        <v>1000002</v>
      </c>
      <c r="B2759">
        <v>7001400</v>
      </c>
    </row>
    <row r="2760" spans="1:2" x14ac:dyDescent="0.4">
      <c r="A2760" s="4">
        <v>1000002</v>
      </c>
      <c r="B2760">
        <v>7001401</v>
      </c>
    </row>
    <row r="2761" spans="1:2" x14ac:dyDescent="0.4">
      <c r="A2761" s="4">
        <v>1000002</v>
      </c>
      <c r="B2761">
        <v>7001402</v>
      </c>
    </row>
    <row r="2762" spans="1:2" x14ac:dyDescent="0.4">
      <c r="A2762" s="4">
        <v>1000002</v>
      </c>
      <c r="B2762">
        <v>7001500</v>
      </c>
    </row>
    <row r="2763" spans="1:2" x14ac:dyDescent="0.4">
      <c r="A2763" s="4">
        <v>1000002</v>
      </c>
      <c r="B2763">
        <v>7001501</v>
      </c>
    </row>
    <row r="2764" spans="1:2" x14ac:dyDescent="0.4">
      <c r="A2764" s="4">
        <v>1000002</v>
      </c>
      <c r="B2764">
        <v>7001502</v>
      </c>
    </row>
    <row r="2765" spans="1:2" x14ac:dyDescent="0.4">
      <c r="A2765" s="4">
        <v>1000002</v>
      </c>
      <c r="B2765">
        <v>7001600</v>
      </c>
    </row>
    <row r="2766" spans="1:2" x14ac:dyDescent="0.4">
      <c r="A2766" s="4">
        <v>1000002</v>
      </c>
      <c r="B2766">
        <v>7001601</v>
      </c>
    </row>
    <row r="2767" spans="1:2" x14ac:dyDescent="0.4">
      <c r="A2767" s="4">
        <v>1000002</v>
      </c>
      <c r="B2767">
        <v>7001602</v>
      </c>
    </row>
    <row r="2768" spans="1:2" x14ac:dyDescent="0.4">
      <c r="A2768" s="4">
        <v>1000002</v>
      </c>
      <c r="B2768">
        <v>7001700</v>
      </c>
    </row>
    <row r="2769" spans="1:2" x14ac:dyDescent="0.4">
      <c r="A2769" s="4">
        <v>1000002</v>
      </c>
      <c r="B2769">
        <v>7001701</v>
      </c>
    </row>
    <row r="2770" spans="1:2" x14ac:dyDescent="0.4">
      <c r="A2770" s="4">
        <v>1000002</v>
      </c>
      <c r="B2770">
        <v>7001702</v>
      </c>
    </row>
    <row r="2771" spans="1:2" x14ac:dyDescent="0.4">
      <c r="A2771" s="4">
        <v>1000002</v>
      </c>
      <c r="B2771">
        <v>7001800</v>
      </c>
    </row>
    <row r="2772" spans="1:2" x14ac:dyDescent="0.4">
      <c r="A2772" s="4">
        <v>1000002</v>
      </c>
      <c r="B2772">
        <v>7001801</v>
      </c>
    </row>
    <row r="2773" spans="1:2" x14ac:dyDescent="0.4">
      <c r="A2773" s="4">
        <v>1000002</v>
      </c>
      <c r="B2773">
        <v>7001802</v>
      </c>
    </row>
    <row r="2774" spans="1:2" x14ac:dyDescent="0.4">
      <c r="A2774" s="4">
        <v>1000002</v>
      </c>
      <c r="B2774">
        <v>7002600</v>
      </c>
    </row>
    <row r="2775" spans="1:2" x14ac:dyDescent="0.4">
      <c r="A2775" s="4">
        <v>1000002</v>
      </c>
      <c r="B2775">
        <v>7002700</v>
      </c>
    </row>
    <row r="2776" spans="1:2" x14ac:dyDescent="0.4">
      <c r="A2776" s="4">
        <v>1000002</v>
      </c>
      <c r="B2776">
        <v>7002800</v>
      </c>
    </row>
    <row r="2777" spans="1:2" x14ac:dyDescent="0.4">
      <c r="A2777" s="4">
        <v>1000002</v>
      </c>
      <c r="B2777">
        <v>7002900</v>
      </c>
    </row>
    <row r="2778" spans="1:2" x14ac:dyDescent="0.4">
      <c r="A2778" s="4">
        <v>1000002</v>
      </c>
      <c r="B2778">
        <v>7003000</v>
      </c>
    </row>
    <row r="2779" spans="1:2" x14ac:dyDescent="0.4">
      <c r="A2779" s="4">
        <v>1000002</v>
      </c>
      <c r="B2779">
        <v>7003100</v>
      </c>
    </row>
    <row r="2780" spans="1:2" x14ac:dyDescent="0.4">
      <c r="A2780" s="4">
        <v>1000002</v>
      </c>
      <c r="B2780">
        <v>7003200</v>
      </c>
    </row>
    <row r="2781" spans="1:2" x14ac:dyDescent="0.4">
      <c r="A2781" s="4">
        <v>1000002</v>
      </c>
      <c r="B2781">
        <v>7003300</v>
      </c>
    </row>
    <row r="2782" spans="1:2" x14ac:dyDescent="0.4">
      <c r="A2782" s="4">
        <v>1000002</v>
      </c>
      <c r="B2782">
        <v>7003400</v>
      </c>
    </row>
    <row r="2783" spans="1:2" x14ac:dyDescent="0.4">
      <c r="A2783" s="4">
        <v>1000002</v>
      </c>
      <c r="B2783">
        <v>7003500</v>
      </c>
    </row>
    <row r="2784" spans="1:2" x14ac:dyDescent="0.4">
      <c r="A2784" s="4">
        <v>1000002</v>
      </c>
      <c r="B2784">
        <v>7003600</v>
      </c>
    </row>
    <row r="2785" spans="1:2" x14ac:dyDescent="0.4">
      <c r="A2785" s="4">
        <v>1000002</v>
      </c>
      <c r="B2785">
        <v>7005600</v>
      </c>
    </row>
    <row r="2786" spans="1:2" x14ac:dyDescent="0.4">
      <c r="A2786" s="4">
        <v>1000002</v>
      </c>
      <c r="B2786">
        <v>7006000</v>
      </c>
    </row>
    <row r="2787" spans="1:2" x14ac:dyDescent="0.4">
      <c r="A2787" s="4">
        <v>1000002</v>
      </c>
      <c r="B2787">
        <v>7006100</v>
      </c>
    </row>
    <row r="2788" spans="1:2" x14ac:dyDescent="0.4">
      <c r="A2788" s="4">
        <v>1000002</v>
      </c>
      <c r="B2788">
        <v>7010200</v>
      </c>
    </row>
    <row r="2789" spans="1:2" x14ac:dyDescent="0.4">
      <c r="A2789" s="4">
        <v>1000002</v>
      </c>
      <c r="B2789">
        <v>7010500</v>
      </c>
    </row>
    <row r="2790" spans="1:2" x14ac:dyDescent="0.4">
      <c r="A2790" s="4">
        <v>1000002</v>
      </c>
      <c r="B2790">
        <v>7010700</v>
      </c>
    </row>
    <row r="2791" spans="1:2" x14ac:dyDescent="0.4">
      <c r="A2791" s="4">
        <v>1000002</v>
      </c>
      <c r="B2791">
        <v>7010900</v>
      </c>
    </row>
    <row r="2792" spans="1:2" x14ac:dyDescent="0.4">
      <c r="A2792" s="4">
        <v>1000002</v>
      </c>
      <c r="B2792">
        <v>7011000</v>
      </c>
    </row>
    <row r="2793" spans="1:2" x14ac:dyDescent="0.4">
      <c r="A2793" s="4">
        <v>1000002</v>
      </c>
      <c r="B2793">
        <v>7011200</v>
      </c>
    </row>
    <row r="2794" spans="1:2" x14ac:dyDescent="0.4">
      <c r="A2794" s="4">
        <v>1000002</v>
      </c>
      <c r="B2794">
        <v>7011600</v>
      </c>
    </row>
    <row r="2795" spans="1:2" x14ac:dyDescent="0.4">
      <c r="A2795" s="4">
        <v>1000002</v>
      </c>
      <c r="B2795">
        <v>7011700</v>
      </c>
    </row>
    <row r="2796" spans="1:2" x14ac:dyDescent="0.4">
      <c r="A2796" s="4">
        <v>1000002</v>
      </c>
      <c r="B2796">
        <v>7012000</v>
      </c>
    </row>
    <row r="2797" spans="1:2" x14ac:dyDescent="0.4">
      <c r="A2797" s="4">
        <v>1000002</v>
      </c>
      <c r="B2797">
        <v>7012200</v>
      </c>
    </row>
    <row r="2798" spans="1:2" x14ac:dyDescent="0.4">
      <c r="A2798" s="4">
        <v>1000002</v>
      </c>
      <c r="B2798">
        <v>7012300</v>
      </c>
    </row>
    <row r="2799" spans="1:2" x14ac:dyDescent="0.4">
      <c r="A2799" s="4">
        <v>1000002</v>
      </c>
      <c r="B2799">
        <v>7020000</v>
      </c>
    </row>
    <row r="2800" spans="1:2" x14ac:dyDescent="0.4">
      <c r="A2800" s="4">
        <v>1000002</v>
      </c>
      <c r="B2800">
        <v>7030000</v>
      </c>
    </row>
    <row r="2801" spans="1:2" x14ac:dyDescent="0.4">
      <c r="A2801" s="4">
        <v>1000002</v>
      </c>
      <c r="B2801">
        <v>7030200</v>
      </c>
    </row>
    <row r="2802" spans="1:2" x14ac:dyDescent="0.4">
      <c r="A2802" s="4">
        <v>1000002</v>
      </c>
      <c r="B2802">
        <v>7030600</v>
      </c>
    </row>
    <row r="2803" spans="1:2" x14ac:dyDescent="0.4">
      <c r="A2803" s="4">
        <v>1000002</v>
      </c>
      <c r="B2803">
        <v>7030700</v>
      </c>
    </row>
    <row r="2804" spans="1:2" x14ac:dyDescent="0.4">
      <c r="A2804" s="4">
        <v>1000002</v>
      </c>
      <c r="B2804">
        <v>7030800</v>
      </c>
    </row>
    <row r="2805" spans="1:2" x14ac:dyDescent="0.4">
      <c r="A2805" s="4">
        <v>1000002</v>
      </c>
      <c r="B2805">
        <v>7030900</v>
      </c>
    </row>
    <row r="2806" spans="1:2" x14ac:dyDescent="0.4">
      <c r="A2806" s="4">
        <v>1000002</v>
      </c>
      <c r="B2806">
        <v>7031200</v>
      </c>
    </row>
    <row r="2807" spans="1:2" x14ac:dyDescent="0.4">
      <c r="A2807" s="4">
        <v>1000002</v>
      </c>
      <c r="B2807">
        <v>7031300</v>
      </c>
    </row>
    <row r="2808" spans="1:2" x14ac:dyDescent="0.4">
      <c r="A2808" s="4">
        <v>1000002</v>
      </c>
      <c r="B2808">
        <v>7031800</v>
      </c>
    </row>
    <row r="2809" spans="1:2" x14ac:dyDescent="0.4">
      <c r="A2809" s="4">
        <v>1000002</v>
      </c>
      <c r="B2809">
        <v>7031900</v>
      </c>
    </row>
    <row r="2810" spans="1:2" x14ac:dyDescent="0.4">
      <c r="A2810" s="4">
        <v>1000002</v>
      </c>
      <c r="B2810">
        <v>7032200</v>
      </c>
    </row>
    <row r="2811" spans="1:2" x14ac:dyDescent="0.4">
      <c r="A2811" s="4">
        <v>1000002</v>
      </c>
      <c r="B2811">
        <v>7032400</v>
      </c>
    </row>
    <row r="2812" spans="1:2" x14ac:dyDescent="0.4">
      <c r="A2812" s="4">
        <v>1000002</v>
      </c>
      <c r="B2812">
        <v>7032700</v>
      </c>
    </row>
    <row r="2813" spans="1:2" x14ac:dyDescent="0.4">
      <c r="A2813" s="4">
        <v>1000002</v>
      </c>
      <c r="B2813">
        <v>7032800</v>
      </c>
    </row>
    <row r="2814" spans="1:2" x14ac:dyDescent="0.4">
      <c r="A2814" s="4">
        <v>1000002</v>
      </c>
      <c r="B2814">
        <v>7032900</v>
      </c>
    </row>
    <row r="2815" spans="1:2" x14ac:dyDescent="0.4">
      <c r="A2815" s="4">
        <v>1000002</v>
      </c>
      <c r="B2815">
        <v>7033200</v>
      </c>
    </row>
    <row r="2816" spans="1:2" x14ac:dyDescent="0.4">
      <c r="A2816" s="4">
        <v>1000002</v>
      </c>
      <c r="B2816">
        <v>7033400</v>
      </c>
    </row>
    <row r="2817" spans="1:2" x14ac:dyDescent="0.4">
      <c r="A2817" s="4">
        <v>1000002</v>
      </c>
      <c r="B2817">
        <v>7034100</v>
      </c>
    </row>
    <row r="2818" spans="1:2" x14ac:dyDescent="0.4">
      <c r="A2818" s="4">
        <v>1000002</v>
      </c>
      <c r="B2818">
        <v>7034400</v>
      </c>
    </row>
    <row r="2819" spans="1:2" x14ac:dyDescent="0.4">
      <c r="A2819" s="4">
        <v>1000002</v>
      </c>
      <c r="B2819">
        <v>7034500</v>
      </c>
    </row>
    <row r="2820" spans="1:2" x14ac:dyDescent="0.4">
      <c r="A2820" s="4">
        <v>1000002</v>
      </c>
      <c r="B2820">
        <v>7034600</v>
      </c>
    </row>
    <row r="2821" spans="1:2" x14ac:dyDescent="0.4">
      <c r="A2821" s="4">
        <v>1000002</v>
      </c>
      <c r="B2821">
        <v>7034700</v>
      </c>
    </row>
    <row r="2822" spans="1:2" x14ac:dyDescent="0.4">
      <c r="A2822" s="4">
        <v>1000002</v>
      </c>
      <c r="B2822">
        <v>7035100</v>
      </c>
    </row>
    <row r="2823" spans="1:2" x14ac:dyDescent="0.4">
      <c r="A2823" s="4">
        <v>1000002</v>
      </c>
      <c r="B2823">
        <v>7036100</v>
      </c>
    </row>
    <row r="2824" spans="1:2" x14ac:dyDescent="0.4">
      <c r="A2824" s="4">
        <v>1000002</v>
      </c>
      <c r="B2824">
        <v>7040000</v>
      </c>
    </row>
    <row r="2825" spans="1:2" x14ac:dyDescent="0.4">
      <c r="A2825" s="4">
        <v>1000002</v>
      </c>
      <c r="B2825">
        <v>7040100</v>
      </c>
    </row>
    <row r="2826" spans="1:2" x14ac:dyDescent="0.4">
      <c r="A2826" s="4">
        <v>1000002</v>
      </c>
      <c r="B2826">
        <v>7040200</v>
      </c>
    </row>
    <row r="2827" spans="1:2" x14ac:dyDescent="0.4">
      <c r="A2827" s="4">
        <v>1000002</v>
      </c>
      <c r="B2827">
        <v>7040300</v>
      </c>
    </row>
    <row r="2828" spans="1:2" x14ac:dyDescent="0.4">
      <c r="A2828" s="4">
        <v>1000002</v>
      </c>
      <c r="B2828">
        <v>7040400</v>
      </c>
    </row>
    <row r="2829" spans="1:2" x14ac:dyDescent="0.4">
      <c r="A2829" s="4">
        <v>1000002</v>
      </c>
      <c r="B2829">
        <v>7040500</v>
      </c>
    </row>
    <row r="2830" spans="1:2" x14ac:dyDescent="0.4">
      <c r="A2830" s="4">
        <v>1000002</v>
      </c>
      <c r="B2830">
        <v>7043000</v>
      </c>
    </row>
    <row r="2831" spans="1:2" x14ac:dyDescent="0.4">
      <c r="A2831" s="4">
        <v>1000002</v>
      </c>
      <c r="B2831">
        <v>7043100</v>
      </c>
    </row>
    <row r="2832" spans="1:2" x14ac:dyDescent="0.4">
      <c r="A2832" s="4">
        <v>1000002</v>
      </c>
      <c r="B2832">
        <v>7043200</v>
      </c>
    </row>
    <row r="2833" spans="1:2" x14ac:dyDescent="0.4">
      <c r="A2833" s="4">
        <v>1000002</v>
      </c>
      <c r="B2833">
        <v>7043300</v>
      </c>
    </row>
    <row r="2834" spans="1:2" x14ac:dyDescent="0.4">
      <c r="A2834" s="4">
        <v>1000002</v>
      </c>
      <c r="B2834">
        <v>7043400</v>
      </c>
    </row>
    <row r="2835" spans="1:2" x14ac:dyDescent="0.4">
      <c r="A2835" s="4">
        <v>1000002</v>
      </c>
      <c r="B2835">
        <v>7043500</v>
      </c>
    </row>
    <row r="2836" spans="1:2" x14ac:dyDescent="0.4">
      <c r="A2836" s="4">
        <v>1000002</v>
      </c>
      <c r="B2836">
        <v>7043600</v>
      </c>
    </row>
    <row r="2837" spans="1:2" x14ac:dyDescent="0.4">
      <c r="A2837" s="4">
        <v>1000002</v>
      </c>
      <c r="B2837">
        <v>7043700</v>
      </c>
    </row>
    <row r="2838" spans="1:2" x14ac:dyDescent="0.4">
      <c r="A2838" s="4">
        <v>1000002</v>
      </c>
      <c r="B2838">
        <v>7043800</v>
      </c>
    </row>
    <row r="2839" spans="1:2" x14ac:dyDescent="0.4">
      <c r="A2839" s="4">
        <v>1000002</v>
      </c>
      <c r="B2839">
        <v>7044000</v>
      </c>
    </row>
    <row r="2840" spans="1:2" x14ac:dyDescent="0.4">
      <c r="A2840" s="4">
        <v>1000002</v>
      </c>
      <c r="B2840">
        <v>7044100</v>
      </c>
    </row>
    <row r="2841" spans="1:2" x14ac:dyDescent="0.4">
      <c r="A2841" s="4">
        <v>1000002</v>
      </c>
      <c r="B2841">
        <v>7044200</v>
      </c>
    </row>
    <row r="2842" spans="1:2" x14ac:dyDescent="0.4">
      <c r="A2842" s="4">
        <v>1000002</v>
      </c>
      <c r="B2842">
        <v>7044300</v>
      </c>
    </row>
    <row r="2843" spans="1:2" x14ac:dyDescent="0.4">
      <c r="A2843" s="4">
        <v>1000002</v>
      </c>
      <c r="B2843">
        <v>7044400</v>
      </c>
    </row>
    <row r="2844" spans="1:2" x14ac:dyDescent="0.4">
      <c r="A2844" s="4">
        <v>1000002</v>
      </c>
      <c r="B2844">
        <v>7044500</v>
      </c>
    </row>
    <row r="2845" spans="1:2" x14ac:dyDescent="0.4">
      <c r="A2845" s="4">
        <v>1000002</v>
      </c>
      <c r="B2845">
        <v>7044600</v>
      </c>
    </row>
    <row r="2846" spans="1:2" x14ac:dyDescent="0.4">
      <c r="A2846" s="4">
        <v>1000002</v>
      </c>
      <c r="B2846">
        <v>7050000</v>
      </c>
    </row>
    <row r="2847" spans="1:2" x14ac:dyDescent="0.4">
      <c r="A2847" s="4">
        <v>1000002</v>
      </c>
      <c r="B2847">
        <v>7050100</v>
      </c>
    </row>
    <row r="2848" spans="1:2" x14ac:dyDescent="0.4">
      <c r="A2848" s="4">
        <v>1000002</v>
      </c>
      <c r="B2848">
        <v>7060000</v>
      </c>
    </row>
    <row r="2849" spans="1:2" x14ac:dyDescent="0.4">
      <c r="A2849" s="4">
        <v>1000002</v>
      </c>
      <c r="B2849">
        <v>7060100</v>
      </c>
    </row>
    <row r="2850" spans="1:2" x14ac:dyDescent="0.4">
      <c r="A2850" s="4">
        <v>1000002</v>
      </c>
      <c r="B2850">
        <v>7060200</v>
      </c>
    </row>
    <row r="2851" spans="1:2" x14ac:dyDescent="0.4">
      <c r="A2851" s="4">
        <v>1000002</v>
      </c>
      <c r="B2851">
        <v>7070000</v>
      </c>
    </row>
    <row r="2852" spans="1:2" x14ac:dyDescent="0.4">
      <c r="A2852" s="4">
        <v>1000002</v>
      </c>
      <c r="B2852">
        <v>7080000</v>
      </c>
    </row>
    <row r="2853" spans="1:2" x14ac:dyDescent="0.4">
      <c r="A2853" s="4">
        <v>1000002</v>
      </c>
      <c r="B2853">
        <v>7080100</v>
      </c>
    </row>
    <row r="2854" spans="1:2" x14ac:dyDescent="0.4">
      <c r="A2854" s="4">
        <v>1000002</v>
      </c>
      <c r="B2854">
        <v>7080200</v>
      </c>
    </row>
    <row r="2855" spans="1:2" x14ac:dyDescent="0.4">
      <c r="A2855" s="4">
        <v>1000002</v>
      </c>
      <c r="B2855">
        <v>7080300</v>
      </c>
    </row>
    <row r="2856" spans="1:2" x14ac:dyDescent="0.4">
      <c r="A2856" s="4">
        <v>1000002</v>
      </c>
      <c r="B2856">
        <v>7080400</v>
      </c>
    </row>
    <row r="2857" spans="1:2" x14ac:dyDescent="0.4">
      <c r="A2857" s="4">
        <v>1000002</v>
      </c>
      <c r="B2857">
        <v>7080500</v>
      </c>
    </row>
    <row r="2858" spans="1:2" x14ac:dyDescent="0.4">
      <c r="A2858" s="4">
        <v>1000002</v>
      </c>
      <c r="B2858">
        <v>7080600</v>
      </c>
    </row>
    <row r="2859" spans="1:2" x14ac:dyDescent="0.4">
      <c r="A2859" s="4">
        <v>1000002</v>
      </c>
      <c r="B2859">
        <v>7080700</v>
      </c>
    </row>
    <row r="2860" spans="1:2" x14ac:dyDescent="0.4">
      <c r="A2860" s="4">
        <v>1000002</v>
      </c>
      <c r="B2860">
        <v>7080800</v>
      </c>
    </row>
    <row r="2861" spans="1:2" x14ac:dyDescent="0.4">
      <c r="A2861" s="4">
        <v>1000002</v>
      </c>
      <c r="B2861">
        <v>7080900</v>
      </c>
    </row>
    <row r="2862" spans="1:2" x14ac:dyDescent="0.4">
      <c r="A2862" s="4">
        <v>1000002</v>
      </c>
      <c r="B2862">
        <v>7081000</v>
      </c>
    </row>
    <row r="2863" spans="1:2" x14ac:dyDescent="0.4">
      <c r="A2863" s="4">
        <v>1000002</v>
      </c>
      <c r="B2863">
        <v>7081100</v>
      </c>
    </row>
    <row r="2864" spans="1:2" x14ac:dyDescent="0.4">
      <c r="A2864" s="4">
        <v>1000002</v>
      </c>
      <c r="B2864">
        <v>7081200</v>
      </c>
    </row>
    <row r="2865" spans="1:2" x14ac:dyDescent="0.4">
      <c r="A2865" s="4">
        <v>1000002</v>
      </c>
      <c r="B2865">
        <v>7081300</v>
      </c>
    </row>
    <row r="2866" spans="1:2" x14ac:dyDescent="0.4">
      <c r="A2866" s="4">
        <v>1000002</v>
      </c>
      <c r="B2866">
        <v>7081400</v>
      </c>
    </row>
    <row r="2867" spans="1:2" x14ac:dyDescent="0.4">
      <c r="A2867" s="4">
        <v>1000002</v>
      </c>
      <c r="B2867">
        <v>7081500</v>
      </c>
    </row>
    <row r="2868" spans="1:2" x14ac:dyDescent="0.4">
      <c r="A2868" s="4">
        <v>1000002</v>
      </c>
      <c r="B2868">
        <v>7081700</v>
      </c>
    </row>
    <row r="2869" spans="1:2" x14ac:dyDescent="0.4">
      <c r="A2869" s="4">
        <v>1000002</v>
      </c>
      <c r="B2869">
        <v>7081800</v>
      </c>
    </row>
    <row r="2870" spans="1:2" x14ac:dyDescent="0.4">
      <c r="A2870" s="4">
        <v>1000002</v>
      </c>
      <c r="B2870">
        <v>7081900</v>
      </c>
    </row>
    <row r="2871" spans="1:2" x14ac:dyDescent="0.4">
      <c r="A2871" s="4">
        <v>1000002</v>
      </c>
      <c r="B2871">
        <v>7082000</v>
      </c>
    </row>
    <row r="2872" spans="1:2" x14ac:dyDescent="0.4">
      <c r="A2872" s="4">
        <v>1000002</v>
      </c>
      <c r="B2872">
        <v>7082100</v>
      </c>
    </row>
    <row r="2873" spans="1:2" x14ac:dyDescent="0.4">
      <c r="A2873" s="4">
        <v>1000002</v>
      </c>
      <c r="B2873">
        <v>7082200</v>
      </c>
    </row>
    <row r="2874" spans="1:2" x14ac:dyDescent="0.4">
      <c r="A2874" s="4">
        <v>1000002</v>
      </c>
      <c r="B2874">
        <v>7082300</v>
      </c>
    </row>
    <row r="2875" spans="1:2" x14ac:dyDescent="0.4">
      <c r="A2875" s="4">
        <v>1000002</v>
      </c>
      <c r="B2875">
        <v>7082400</v>
      </c>
    </row>
    <row r="2876" spans="1:2" x14ac:dyDescent="0.4">
      <c r="A2876" s="4">
        <v>1000002</v>
      </c>
      <c r="B2876">
        <v>7082500</v>
      </c>
    </row>
    <row r="2877" spans="1:2" x14ac:dyDescent="0.4">
      <c r="A2877" s="4">
        <v>1000002</v>
      </c>
      <c r="B2877">
        <v>7082600</v>
      </c>
    </row>
    <row r="2878" spans="1:2" x14ac:dyDescent="0.4">
      <c r="A2878" s="4">
        <v>1000002</v>
      </c>
      <c r="B2878">
        <v>7082700</v>
      </c>
    </row>
    <row r="2879" spans="1:2" x14ac:dyDescent="0.4">
      <c r="A2879" s="4">
        <v>1000002</v>
      </c>
      <c r="B2879">
        <v>7082800</v>
      </c>
    </row>
    <row r="2880" spans="1:2" x14ac:dyDescent="0.4">
      <c r="A2880" s="4">
        <v>1000002</v>
      </c>
      <c r="B2880">
        <v>7082900</v>
      </c>
    </row>
    <row r="2881" spans="1:2" x14ac:dyDescent="0.4">
      <c r="A2881" s="4">
        <v>1000002</v>
      </c>
      <c r="B2881">
        <v>7090000</v>
      </c>
    </row>
    <row r="2882" spans="1:2" x14ac:dyDescent="0.4">
      <c r="A2882" s="4">
        <v>1000002</v>
      </c>
      <c r="B2882">
        <v>7090100</v>
      </c>
    </row>
    <row r="2883" spans="1:2" x14ac:dyDescent="0.4">
      <c r="A2883" s="4">
        <v>1000002</v>
      </c>
      <c r="B2883">
        <v>7090300</v>
      </c>
    </row>
    <row r="2884" spans="1:2" x14ac:dyDescent="0.4">
      <c r="A2884" s="4">
        <v>1000002</v>
      </c>
      <c r="B2884">
        <v>7100100</v>
      </c>
    </row>
    <row r="2885" spans="1:2" x14ac:dyDescent="0.4">
      <c r="A2885" s="4">
        <v>1000002</v>
      </c>
      <c r="B2885">
        <v>7110000</v>
      </c>
    </row>
    <row r="2886" spans="1:2" x14ac:dyDescent="0.4">
      <c r="A2886" s="4">
        <v>1000002</v>
      </c>
      <c r="B2886">
        <v>7120000</v>
      </c>
    </row>
    <row r="2887" spans="1:2" x14ac:dyDescent="0.4">
      <c r="A2887" s="4">
        <v>1000002</v>
      </c>
      <c r="B2887">
        <v>7120100</v>
      </c>
    </row>
    <row r="2888" spans="1:2" x14ac:dyDescent="0.4">
      <c r="A2888" s="4">
        <v>1000002</v>
      </c>
      <c r="B2888">
        <v>7120200</v>
      </c>
    </row>
    <row r="2889" spans="1:2" x14ac:dyDescent="0.4">
      <c r="A2889" s="4">
        <v>1000002</v>
      </c>
      <c r="B2889">
        <v>7120300</v>
      </c>
    </row>
    <row r="2890" spans="1:2" x14ac:dyDescent="0.4">
      <c r="A2890" s="4">
        <v>1000002</v>
      </c>
      <c r="B2890">
        <v>7120400</v>
      </c>
    </row>
    <row r="2891" spans="1:2" x14ac:dyDescent="0.4">
      <c r="A2891" s="4">
        <v>1000002</v>
      </c>
      <c r="B2891">
        <v>7120500</v>
      </c>
    </row>
    <row r="2892" spans="1:2" x14ac:dyDescent="0.4">
      <c r="A2892" s="4">
        <v>1000002</v>
      </c>
      <c r="B2892">
        <v>7120600</v>
      </c>
    </row>
    <row r="2893" spans="1:2" x14ac:dyDescent="0.4">
      <c r="A2893" s="4">
        <v>1000002</v>
      </c>
      <c r="B2893">
        <v>7120900</v>
      </c>
    </row>
    <row r="2894" spans="1:2" x14ac:dyDescent="0.4">
      <c r="A2894" s="4">
        <v>1000002</v>
      </c>
      <c r="B2894">
        <v>7121000</v>
      </c>
    </row>
    <row r="2895" spans="1:2" x14ac:dyDescent="0.4">
      <c r="A2895" s="4">
        <v>1000002</v>
      </c>
      <c r="B2895">
        <v>7121100</v>
      </c>
    </row>
    <row r="2896" spans="1:2" x14ac:dyDescent="0.4">
      <c r="A2896" s="4">
        <v>1000002</v>
      </c>
      <c r="B2896">
        <v>7121200</v>
      </c>
    </row>
    <row r="2897" spans="1:2" x14ac:dyDescent="0.4">
      <c r="A2897" s="4">
        <v>1000002</v>
      </c>
      <c r="B2897">
        <v>7121300</v>
      </c>
    </row>
    <row r="2898" spans="1:2" x14ac:dyDescent="0.4">
      <c r="A2898" s="4">
        <v>1000002</v>
      </c>
      <c r="B2898">
        <v>7121400</v>
      </c>
    </row>
    <row r="2899" spans="1:2" x14ac:dyDescent="0.4">
      <c r="A2899" s="4">
        <v>1000002</v>
      </c>
      <c r="B2899">
        <v>7121500</v>
      </c>
    </row>
    <row r="2900" spans="1:2" x14ac:dyDescent="0.4">
      <c r="A2900" s="4">
        <v>1000002</v>
      </c>
      <c r="B2900">
        <v>7121600</v>
      </c>
    </row>
    <row r="2901" spans="1:2" x14ac:dyDescent="0.4">
      <c r="A2901" s="4">
        <v>1000002</v>
      </c>
      <c r="B2901">
        <v>7121700</v>
      </c>
    </row>
    <row r="2902" spans="1:2" x14ac:dyDescent="0.4">
      <c r="A2902" s="4">
        <v>1000002</v>
      </c>
      <c r="B2902">
        <v>7121800</v>
      </c>
    </row>
    <row r="2903" spans="1:2" x14ac:dyDescent="0.4">
      <c r="A2903" s="4">
        <v>1000002</v>
      </c>
      <c r="B2903">
        <v>7121900</v>
      </c>
    </row>
    <row r="2904" spans="1:2" x14ac:dyDescent="0.4">
      <c r="A2904" s="4">
        <v>1000002</v>
      </c>
      <c r="B2904">
        <v>7122000</v>
      </c>
    </row>
    <row r="2905" spans="1:2" x14ac:dyDescent="0.4">
      <c r="A2905" s="4">
        <v>1000002</v>
      </c>
      <c r="B2905">
        <v>7122100</v>
      </c>
    </row>
    <row r="2906" spans="1:2" x14ac:dyDescent="0.4">
      <c r="A2906" s="4">
        <v>1000002</v>
      </c>
      <c r="B2906">
        <v>7122200</v>
      </c>
    </row>
    <row r="2907" spans="1:2" x14ac:dyDescent="0.4">
      <c r="A2907" s="4">
        <v>1000002</v>
      </c>
      <c r="B2907">
        <v>7122300</v>
      </c>
    </row>
    <row r="2908" spans="1:2" x14ac:dyDescent="0.4">
      <c r="A2908" s="4">
        <v>1000002</v>
      </c>
      <c r="B2908">
        <v>7122400</v>
      </c>
    </row>
    <row r="2909" spans="1:2" x14ac:dyDescent="0.4">
      <c r="A2909" s="4">
        <v>1000002</v>
      </c>
      <c r="B2909">
        <v>7122500</v>
      </c>
    </row>
    <row r="2910" spans="1:2" x14ac:dyDescent="0.4">
      <c r="A2910" s="4">
        <v>1000002</v>
      </c>
      <c r="B2910">
        <v>7122600</v>
      </c>
    </row>
    <row r="2911" spans="1:2" x14ac:dyDescent="0.4">
      <c r="A2911" s="4">
        <v>1000002</v>
      </c>
      <c r="B2911">
        <v>7122700</v>
      </c>
    </row>
    <row r="2912" spans="1:2" x14ac:dyDescent="0.4">
      <c r="A2912" s="4">
        <v>1000002</v>
      </c>
      <c r="B2912">
        <v>7122800</v>
      </c>
    </row>
    <row r="2913" spans="1:2" x14ac:dyDescent="0.4">
      <c r="A2913" s="4">
        <v>1000002</v>
      </c>
      <c r="B2913">
        <v>7122900</v>
      </c>
    </row>
    <row r="2914" spans="1:2" x14ac:dyDescent="0.4">
      <c r="A2914" s="4">
        <v>1000002</v>
      </c>
      <c r="B2914">
        <v>7123000</v>
      </c>
    </row>
    <row r="2915" spans="1:2" x14ac:dyDescent="0.4">
      <c r="A2915" s="4">
        <v>1000002</v>
      </c>
      <c r="B2915">
        <v>7123100</v>
      </c>
    </row>
    <row r="2916" spans="1:2" x14ac:dyDescent="0.4">
      <c r="A2916" s="4">
        <v>1000002</v>
      </c>
      <c r="B2916">
        <v>7123200</v>
      </c>
    </row>
    <row r="2917" spans="1:2" x14ac:dyDescent="0.4">
      <c r="A2917" s="4">
        <v>1000002</v>
      </c>
      <c r="B2917">
        <v>7123300</v>
      </c>
    </row>
    <row r="2918" spans="1:2" x14ac:dyDescent="0.4">
      <c r="A2918" s="4">
        <v>1000002</v>
      </c>
      <c r="B2918">
        <v>7123400</v>
      </c>
    </row>
    <row r="2919" spans="1:2" x14ac:dyDescent="0.4">
      <c r="A2919" s="4">
        <v>1000002</v>
      </c>
      <c r="B2919">
        <v>7123500</v>
      </c>
    </row>
    <row r="2920" spans="1:2" x14ac:dyDescent="0.4">
      <c r="A2920" s="4">
        <v>1000002</v>
      </c>
      <c r="B2920">
        <v>7123600</v>
      </c>
    </row>
    <row r="2921" spans="1:2" x14ac:dyDescent="0.4">
      <c r="A2921" s="4">
        <v>1000002</v>
      </c>
      <c r="B2921">
        <v>7123700</v>
      </c>
    </row>
    <row r="2922" spans="1:2" x14ac:dyDescent="0.4">
      <c r="A2922" s="4">
        <v>1000002</v>
      </c>
      <c r="B2922">
        <v>7123800</v>
      </c>
    </row>
    <row r="2923" spans="1:2" x14ac:dyDescent="0.4">
      <c r="A2923" s="4">
        <v>1000002</v>
      </c>
      <c r="B2923">
        <v>7123900</v>
      </c>
    </row>
    <row r="2924" spans="1:2" x14ac:dyDescent="0.4">
      <c r="A2924" s="4">
        <v>1000002</v>
      </c>
      <c r="B2924">
        <v>7124000</v>
      </c>
    </row>
    <row r="2925" spans="1:2" x14ac:dyDescent="0.4">
      <c r="A2925" s="4">
        <v>1000002</v>
      </c>
      <c r="B2925">
        <v>7124100</v>
      </c>
    </row>
    <row r="2926" spans="1:2" x14ac:dyDescent="0.4">
      <c r="A2926" s="4">
        <v>1000002</v>
      </c>
      <c r="B2926">
        <v>7124300</v>
      </c>
    </row>
    <row r="2927" spans="1:2" x14ac:dyDescent="0.4">
      <c r="A2927" s="4">
        <v>1000002</v>
      </c>
      <c r="B2927">
        <v>7124400</v>
      </c>
    </row>
    <row r="2928" spans="1:2" x14ac:dyDescent="0.4">
      <c r="A2928" s="4">
        <v>1000002</v>
      </c>
      <c r="B2928">
        <v>7124500</v>
      </c>
    </row>
    <row r="2929" spans="1:2" x14ac:dyDescent="0.4">
      <c r="A2929" s="4">
        <v>1000002</v>
      </c>
      <c r="B2929">
        <v>7124600</v>
      </c>
    </row>
    <row r="2930" spans="1:2" x14ac:dyDescent="0.4">
      <c r="A2930" s="4">
        <v>1000002</v>
      </c>
      <c r="B2930">
        <v>7124700</v>
      </c>
    </row>
    <row r="2931" spans="1:2" x14ac:dyDescent="0.4">
      <c r="A2931" s="4">
        <v>1000002</v>
      </c>
      <c r="B2931">
        <v>7126000</v>
      </c>
    </row>
    <row r="2932" spans="1:2" x14ac:dyDescent="0.4">
      <c r="A2932" s="4">
        <v>1000002</v>
      </c>
      <c r="B2932">
        <v>7150000</v>
      </c>
    </row>
    <row r="2933" spans="1:2" x14ac:dyDescent="0.4">
      <c r="A2933" s="4">
        <v>1000002</v>
      </c>
      <c r="B2933">
        <v>7160000</v>
      </c>
    </row>
    <row r="2934" spans="1:2" x14ac:dyDescent="0.4">
      <c r="A2934" s="4">
        <v>1000002</v>
      </c>
      <c r="B2934">
        <v>7220000</v>
      </c>
    </row>
    <row r="2935" spans="1:2" x14ac:dyDescent="0.4">
      <c r="A2935" s="4">
        <v>1000002</v>
      </c>
      <c r="B2935">
        <v>7230000</v>
      </c>
    </row>
    <row r="2936" spans="1:2" x14ac:dyDescent="0.4">
      <c r="A2936" s="4">
        <v>1000002</v>
      </c>
      <c r="B2936">
        <v>7240000</v>
      </c>
    </row>
    <row r="2937" spans="1:2" x14ac:dyDescent="0.4">
      <c r="A2937" s="4">
        <v>1000002</v>
      </c>
      <c r="B2937">
        <v>7260000</v>
      </c>
    </row>
    <row r="2938" spans="1:2" x14ac:dyDescent="0.4">
      <c r="A2938" s="4">
        <v>1000002</v>
      </c>
      <c r="B2938">
        <v>7260300</v>
      </c>
    </row>
    <row r="2939" spans="1:2" x14ac:dyDescent="0.4">
      <c r="A2939" s="4">
        <v>1000002</v>
      </c>
      <c r="B2939">
        <v>7260400</v>
      </c>
    </row>
    <row r="2940" spans="1:2" x14ac:dyDescent="0.4">
      <c r="A2940" s="4">
        <v>1000002</v>
      </c>
      <c r="B2940">
        <v>7270100</v>
      </c>
    </row>
    <row r="2941" spans="1:2" x14ac:dyDescent="0.4">
      <c r="A2941" s="4">
        <v>1000002</v>
      </c>
      <c r="B2941">
        <v>7280000</v>
      </c>
    </row>
    <row r="2942" spans="1:2" x14ac:dyDescent="0.4">
      <c r="A2942" s="4">
        <v>1000002</v>
      </c>
      <c r="B2942">
        <v>7290000</v>
      </c>
    </row>
    <row r="2943" spans="1:2" x14ac:dyDescent="0.4">
      <c r="A2943" s="4">
        <v>1000002</v>
      </c>
      <c r="B2943">
        <v>7310000</v>
      </c>
    </row>
    <row r="2944" spans="1:2" x14ac:dyDescent="0.4">
      <c r="A2944" s="4">
        <v>1000002</v>
      </c>
      <c r="B2944">
        <v>7330000</v>
      </c>
    </row>
    <row r="2945" spans="1:2" x14ac:dyDescent="0.4">
      <c r="A2945" s="4">
        <v>1000002</v>
      </c>
      <c r="B2945">
        <v>7330100</v>
      </c>
    </row>
    <row r="2946" spans="1:2" x14ac:dyDescent="0.4">
      <c r="A2946" s="4">
        <v>1000002</v>
      </c>
      <c r="B2946">
        <v>7330200</v>
      </c>
    </row>
    <row r="2947" spans="1:2" x14ac:dyDescent="0.4">
      <c r="A2947" s="4">
        <v>1000002</v>
      </c>
      <c r="B2947">
        <v>7330300</v>
      </c>
    </row>
    <row r="2948" spans="1:2" x14ac:dyDescent="0.4">
      <c r="A2948" s="4">
        <v>1000002</v>
      </c>
      <c r="B2948">
        <v>7330400</v>
      </c>
    </row>
    <row r="2949" spans="1:2" x14ac:dyDescent="0.4">
      <c r="A2949" s="4">
        <v>1000002</v>
      </c>
      <c r="B2949">
        <v>7330500</v>
      </c>
    </row>
    <row r="2950" spans="1:2" x14ac:dyDescent="0.4">
      <c r="A2950" s="4">
        <v>1000002</v>
      </c>
      <c r="B2950">
        <v>7330600</v>
      </c>
    </row>
    <row r="2951" spans="1:2" x14ac:dyDescent="0.4">
      <c r="A2951" s="4">
        <v>1000002</v>
      </c>
      <c r="B2951">
        <v>7330700</v>
      </c>
    </row>
    <row r="2952" spans="1:2" x14ac:dyDescent="0.4">
      <c r="A2952" s="4">
        <v>1000002</v>
      </c>
      <c r="B2952">
        <v>7330800</v>
      </c>
    </row>
    <row r="2953" spans="1:2" x14ac:dyDescent="0.4">
      <c r="A2953" s="4">
        <v>1000002</v>
      </c>
      <c r="B2953">
        <v>7330900</v>
      </c>
    </row>
    <row r="2954" spans="1:2" x14ac:dyDescent="0.4">
      <c r="A2954" s="4">
        <v>1000002</v>
      </c>
      <c r="B2954">
        <v>7331000</v>
      </c>
    </row>
    <row r="2955" spans="1:2" x14ac:dyDescent="0.4">
      <c r="A2955" s="4">
        <v>1000002</v>
      </c>
      <c r="B2955">
        <v>7331100</v>
      </c>
    </row>
    <row r="2956" spans="1:2" x14ac:dyDescent="0.4">
      <c r="A2956" s="4">
        <v>1000002</v>
      </c>
      <c r="B2956">
        <v>7331200</v>
      </c>
    </row>
    <row r="2957" spans="1:2" x14ac:dyDescent="0.4">
      <c r="A2957" s="4">
        <v>1000002</v>
      </c>
      <c r="B2957">
        <v>7331300</v>
      </c>
    </row>
    <row r="2958" spans="1:2" x14ac:dyDescent="0.4">
      <c r="A2958" s="4">
        <v>1000002</v>
      </c>
      <c r="B2958">
        <v>7331400</v>
      </c>
    </row>
    <row r="2959" spans="1:2" x14ac:dyDescent="0.4">
      <c r="A2959" s="4">
        <v>1000002</v>
      </c>
      <c r="B2959">
        <v>7331500</v>
      </c>
    </row>
    <row r="2960" spans="1:2" x14ac:dyDescent="0.4">
      <c r="A2960" s="4">
        <v>1000002</v>
      </c>
      <c r="B2960">
        <v>7331700</v>
      </c>
    </row>
    <row r="2961" spans="1:2" x14ac:dyDescent="0.4">
      <c r="A2961" s="4">
        <v>1000002</v>
      </c>
      <c r="B2961">
        <v>7331800</v>
      </c>
    </row>
    <row r="2962" spans="1:2" x14ac:dyDescent="0.4">
      <c r="A2962" s="4">
        <v>1000002</v>
      </c>
      <c r="B2962">
        <v>7331900</v>
      </c>
    </row>
    <row r="2963" spans="1:2" x14ac:dyDescent="0.4">
      <c r="A2963" s="4">
        <v>1000002</v>
      </c>
      <c r="B2963">
        <v>7332000</v>
      </c>
    </row>
    <row r="2964" spans="1:2" x14ac:dyDescent="0.4">
      <c r="A2964" s="4">
        <v>1000002</v>
      </c>
      <c r="B2964">
        <v>7332100</v>
      </c>
    </row>
    <row r="2965" spans="1:2" x14ac:dyDescent="0.4">
      <c r="A2965" s="4">
        <v>1000002</v>
      </c>
      <c r="B2965">
        <v>7332200</v>
      </c>
    </row>
    <row r="2966" spans="1:2" x14ac:dyDescent="0.4">
      <c r="A2966" s="4">
        <v>1000002</v>
      </c>
      <c r="B2966">
        <v>7332300</v>
      </c>
    </row>
    <row r="2967" spans="1:2" x14ac:dyDescent="0.4">
      <c r="A2967" s="4">
        <v>1000002</v>
      </c>
      <c r="B2967">
        <v>7332400</v>
      </c>
    </row>
    <row r="2968" spans="1:2" x14ac:dyDescent="0.4">
      <c r="A2968" s="4">
        <v>1000002</v>
      </c>
      <c r="B2968">
        <v>7340000</v>
      </c>
    </row>
    <row r="2969" spans="1:2" x14ac:dyDescent="0.4">
      <c r="A2969" s="4">
        <v>1000002</v>
      </c>
      <c r="B2969">
        <v>7340100</v>
      </c>
    </row>
    <row r="2970" spans="1:2" x14ac:dyDescent="0.4">
      <c r="A2970" s="4">
        <v>1000002</v>
      </c>
      <c r="B2970">
        <v>7340200</v>
      </c>
    </row>
    <row r="2971" spans="1:2" x14ac:dyDescent="0.4">
      <c r="A2971" s="4">
        <v>1000002</v>
      </c>
      <c r="B2971">
        <v>7340300</v>
      </c>
    </row>
    <row r="2972" spans="1:2" x14ac:dyDescent="0.4">
      <c r="A2972" s="4">
        <v>1000002</v>
      </c>
      <c r="B2972">
        <v>7340400</v>
      </c>
    </row>
    <row r="2973" spans="1:2" x14ac:dyDescent="0.4">
      <c r="A2973" s="4">
        <v>1000002</v>
      </c>
      <c r="B2973">
        <v>7340500</v>
      </c>
    </row>
    <row r="2974" spans="1:2" x14ac:dyDescent="0.4">
      <c r="A2974" s="4">
        <v>1000002</v>
      </c>
      <c r="B2974">
        <v>7340600</v>
      </c>
    </row>
    <row r="2975" spans="1:2" x14ac:dyDescent="0.4">
      <c r="A2975" s="4">
        <v>1000002</v>
      </c>
      <c r="B2975">
        <v>7340700</v>
      </c>
    </row>
    <row r="2976" spans="1:2" x14ac:dyDescent="0.4">
      <c r="A2976" s="4">
        <v>1000002</v>
      </c>
      <c r="B2976">
        <v>7340800</v>
      </c>
    </row>
    <row r="2977" spans="1:2" x14ac:dyDescent="0.4">
      <c r="A2977" s="4">
        <v>1000002</v>
      </c>
      <c r="B2977">
        <v>7340900</v>
      </c>
    </row>
    <row r="2978" spans="1:2" x14ac:dyDescent="0.4">
      <c r="A2978" s="4">
        <v>1000002</v>
      </c>
      <c r="B2978">
        <v>7341000</v>
      </c>
    </row>
    <row r="2979" spans="1:2" x14ac:dyDescent="0.4">
      <c r="A2979" s="4">
        <v>1000002</v>
      </c>
      <c r="B2979">
        <v>7341100</v>
      </c>
    </row>
    <row r="2980" spans="1:2" x14ac:dyDescent="0.4">
      <c r="A2980" s="4">
        <v>1000002</v>
      </c>
      <c r="B2980">
        <v>7341200</v>
      </c>
    </row>
    <row r="2981" spans="1:2" x14ac:dyDescent="0.4">
      <c r="A2981" s="4">
        <v>1000002</v>
      </c>
      <c r="B2981">
        <v>7341300</v>
      </c>
    </row>
    <row r="2982" spans="1:2" x14ac:dyDescent="0.4">
      <c r="A2982" s="4">
        <v>1000002</v>
      </c>
      <c r="B2982">
        <v>7341400</v>
      </c>
    </row>
    <row r="2983" spans="1:2" x14ac:dyDescent="0.4">
      <c r="A2983" s="4">
        <v>1000002</v>
      </c>
      <c r="B2983">
        <v>7341500</v>
      </c>
    </row>
    <row r="2984" spans="1:2" x14ac:dyDescent="0.4">
      <c r="A2984" s="4">
        <v>1000002</v>
      </c>
      <c r="B2984">
        <v>7341700</v>
      </c>
    </row>
    <row r="2985" spans="1:2" x14ac:dyDescent="0.4">
      <c r="A2985" s="4">
        <v>1000002</v>
      </c>
      <c r="B2985">
        <v>7341800</v>
      </c>
    </row>
    <row r="2986" spans="1:2" x14ac:dyDescent="0.4">
      <c r="A2986" s="4">
        <v>1000002</v>
      </c>
      <c r="B2986">
        <v>7341900</v>
      </c>
    </row>
    <row r="2987" spans="1:2" x14ac:dyDescent="0.4">
      <c r="A2987" s="4">
        <v>1000002</v>
      </c>
      <c r="B2987">
        <v>7342000</v>
      </c>
    </row>
    <row r="2988" spans="1:2" x14ac:dyDescent="0.4">
      <c r="A2988" s="4">
        <v>1000002</v>
      </c>
      <c r="B2988">
        <v>7342100</v>
      </c>
    </row>
    <row r="2989" spans="1:2" x14ac:dyDescent="0.4">
      <c r="A2989" s="4">
        <v>1000002</v>
      </c>
      <c r="B2989">
        <v>7342200</v>
      </c>
    </row>
    <row r="2990" spans="1:2" x14ac:dyDescent="0.4">
      <c r="A2990" s="4">
        <v>1000002</v>
      </c>
      <c r="B2990">
        <v>7342300</v>
      </c>
    </row>
    <row r="2991" spans="1:2" x14ac:dyDescent="0.4">
      <c r="A2991" s="4">
        <v>1000002</v>
      </c>
      <c r="B2991">
        <v>7342400</v>
      </c>
    </row>
    <row r="2992" spans="1:2" x14ac:dyDescent="0.4">
      <c r="A2992" s="4">
        <v>1000002</v>
      </c>
      <c r="B2992">
        <v>7350000</v>
      </c>
    </row>
    <row r="2993" spans="1:2" x14ac:dyDescent="0.4">
      <c r="A2993" s="4">
        <v>1000002</v>
      </c>
      <c r="B2993">
        <v>7350100</v>
      </c>
    </row>
    <row r="2994" spans="1:2" x14ac:dyDescent="0.4">
      <c r="A2994" s="4">
        <v>1000002</v>
      </c>
      <c r="B2994">
        <v>7350200</v>
      </c>
    </row>
    <row r="2995" spans="1:2" x14ac:dyDescent="0.4">
      <c r="A2995" s="4">
        <v>1000002</v>
      </c>
      <c r="B2995">
        <v>7350300</v>
      </c>
    </row>
    <row r="2996" spans="1:2" x14ac:dyDescent="0.4">
      <c r="A2996" s="4">
        <v>1000002</v>
      </c>
      <c r="B2996">
        <v>7350400</v>
      </c>
    </row>
    <row r="2997" spans="1:2" x14ac:dyDescent="0.4">
      <c r="A2997" s="4">
        <v>1000002</v>
      </c>
      <c r="B2997">
        <v>7350500</v>
      </c>
    </row>
    <row r="2998" spans="1:2" x14ac:dyDescent="0.4">
      <c r="A2998" s="4">
        <v>1000002</v>
      </c>
      <c r="B2998">
        <v>7350600</v>
      </c>
    </row>
    <row r="2999" spans="1:2" x14ac:dyDescent="0.4">
      <c r="A2999" s="4">
        <v>1000002</v>
      </c>
      <c r="B2999">
        <v>7350700</v>
      </c>
    </row>
    <row r="3000" spans="1:2" x14ac:dyDescent="0.4">
      <c r="A3000" s="4">
        <v>1000002</v>
      </c>
      <c r="B3000">
        <v>7350800</v>
      </c>
    </row>
    <row r="3001" spans="1:2" x14ac:dyDescent="0.4">
      <c r="A3001" s="4">
        <v>1000002</v>
      </c>
      <c r="B3001">
        <v>7350900</v>
      </c>
    </row>
    <row r="3002" spans="1:2" x14ac:dyDescent="0.4">
      <c r="A3002" s="4">
        <v>1000002</v>
      </c>
      <c r="B3002">
        <v>7351000</v>
      </c>
    </row>
    <row r="3003" spans="1:2" x14ac:dyDescent="0.4">
      <c r="A3003" s="4">
        <v>1000002</v>
      </c>
      <c r="B3003">
        <v>7351100</v>
      </c>
    </row>
    <row r="3004" spans="1:2" x14ac:dyDescent="0.4">
      <c r="A3004" s="4">
        <v>1000002</v>
      </c>
      <c r="B3004">
        <v>7351200</v>
      </c>
    </row>
    <row r="3005" spans="1:2" x14ac:dyDescent="0.4">
      <c r="A3005" s="4">
        <v>1000002</v>
      </c>
      <c r="B3005">
        <v>7351300</v>
      </c>
    </row>
    <row r="3006" spans="1:2" x14ac:dyDescent="0.4">
      <c r="A3006" s="4">
        <v>1000002</v>
      </c>
      <c r="B3006">
        <v>7351400</v>
      </c>
    </row>
    <row r="3007" spans="1:2" x14ac:dyDescent="0.4">
      <c r="A3007" s="4">
        <v>1000002</v>
      </c>
      <c r="B3007">
        <v>7351500</v>
      </c>
    </row>
    <row r="3008" spans="1:2" x14ac:dyDescent="0.4">
      <c r="A3008" s="4">
        <v>1000002</v>
      </c>
      <c r="B3008">
        <v>7351700</v>
      </c>
    </row>
    <row r="3009" spans="1:2" x14ac:dyDescent="0.4">
      <c r="A3009" s="4">
        <v>1000002</v>
      </c>
      <c r="B3009">
        <v>7351800</v>
      </c>
    </row>
    <row r="3010" spans="1:2" x14ac:dyDescent="0.4">
      <c r="A3010" s="4">
        <v>1000002</v>
      </c>
      <c r="B3010">
        <v>7351900</v>
      </c>
    </row>
    <row r="3011" spans="1:2" x14ac:dyDescent="0.4">
      <c r="A3011" s="4">
        <v>1000002</v>
      </c>
      <c r="B3011">
        <v>7352000</v>
      </c>
    </row>
    <row r="3012" spans="1:2" x14ac:dyDescent="0.4">
      <c r="A3012" s="4">
        <v>1000002</v>
      </c>
      <c r="B3012">
        <v>7352100</v>
      </c>
    </row>
    <row r="3013" spans="1:2" x14ac:dyDescent="0.4">
      <c r="A3013" s="4">
        <v>1000002</v>
      </c>
      <c r="B3013">
        <v>7352200</v>
      </c>
    </row>
    <row r="3014" spans="1:2" x14ac:dyDescent="0.4">
      <c r="A3014" s="4">
        <v>1000002</v>
      </c>
      <c r="B3014">
        <v>7352300</v>
      </c>
    </row>
    <row r="3015" spans="1:2" x14ac:dyDescent="0.4">
      <c r="A3015" s="4">
        <v>1000002</v>
      </c>
      <c r="B3015">
        <v>7352400</v>
      </c>
    </row>
    <row r="3016" spans="1:2" x14ac:dyDescent="0.4">
      <c r="A3016" s="4">
        <v>1000002</v>
      </c>
      <c r="B3016">
        <v>7360600</v>
      </c>
    </row>
    <row r="3017" spans="1:2" x14ac:dyDescent="0.4">
      <c r="A3017" s="4">
        <v>1000002</v>
      </c>
      <c r="B3017">
        <v>7360900</v>
      </c>
    </row>
    <row r="3018" spans="1:2" x14ac:dyDescent="0.4">
      <c r="A3018" s="4">
        <v>1000002</v>
      </c>
      <c r="B3018">
        <v>7361200</v>
      </c>
    </row>
    <row r="3019" spans="1:2" x14ac:dyDescent="0.4">
      <c r="A3019" s="4">
        <v>1000002</v>
      </c>
      <c r="B3019">
        <v>7361300</v>
      </c>
    </row>
    <row r="3020" spans="1:2" x14ac:dyDescent="0.4">
      <c r="A3020" s="4">
        <v>1000002</v>
      </c>
      <c r="B3020">
        <v>7362100</v>
      </c>
    </row>
    <row r="3021" spans="1:2" x14ac:dyDescent="0.4">
      <c r="A3021" s="4">
        <v>1000002</v>
      </c>
      <c r="B3021">
        <v>7370300</v>
      </c>
    </row>
    <row r="3022" spans="1:2" x14ac:dyDescent="0.4">
      <c r="A3022" s="4">
        <v>1000002</v>
      </c>
      <c r="B3022">
        <v>7370400</v>
      </c>
    </row>
    <row r="3023" spans="1:2" x14ac:dyDescent="0.4">
      <c r="A3023" s="4">
        <v>1000002</v>
      </c>
      <c r="B3023">
        <v>7370600</v>
      </c>
    </row>
    <row r="3024" spans="1:2" x14ac:dyDescent="0.4">
      <c r="A3024" s="4">
        <v>1000002</v>
      </c>
      <c r="B3024">
        <v>7370900</v>
      </c>
    </row>
    <row r="3025" spans="1:2" x14ac:dyDescent="0.4">
      <c r="A3025" s="4">
        <v>1000002</v>
      </c>
      <c r="B3025">
        <v>7371500</v>
      </c>
    </row>
    <row r="3026" spans="1:2" x14ac:dyDescent="0.4">
      <c r="A3026" s="4">
        <v>1000002</v>
      </c>
      <c r="B3026">
        <v>7036200</v>
      </c>
    </row>
    <row r="3027" spans="1:2" x14ac:dyDescent="0.4">
      <c r="A3027" s="4">
        <v>1000002</v>
      </c>
      <c r="B3027">
        <v>7036300</v>
      </c>
    </row>
    <row r="3028" spans="1:2" x14ac:dyDescent="0.4">
      <c r="A3028" s="4">
        <v>1000002</v>
      </c>
      <c r="B3028">
        <v>7036400</v>
      </c>
    </row>
    <row r="3029" spans="1:2" x14ac:dyDescent="0.4">
      <c r="A3029" s="4">
        <v>1000002</v>
      </c>
      <c r="B3029">
        <v>7036500</v>
      </c>
    </row>
    <row r="3030" spans="1:2" x14ac:dyDescent="0.4">
      <c r="A3030" s="4">
        <v>1000002</v>
      </c>
      <c r="B3030">
        <v>7036800</v>
      </c>
    </row>
    <row r="3031" spans="1:2" x14ac:dyDescent="0.4">
      <c r="A3031" s="4">
        <v>1000002</v>
      </c>
      <c r="B3031">
        <v>7036900</v>
      </c>
    </row>
    <row r="3032" spans="1:2" x14ac:dyDescent="0.4">
      <c r="A3032" s="4">
        <v>1000002</v>
      </c>
      <c r="B3032">
        <v>7037000</v>
      </c>
    </row>
    <row r="3033" spans="1:2" x14ac:dyDescent="0.4">
      <c r="A3033" s="4">
        <v>1000002</v>
      </c>
      <c r="B3033">
        <v>7037300</v>
      </c>
    </row>
    <row r="3034" spans="1:2" x14ac:dyDescent="0.4">
      <c r="A3034" s="4">
        <v>1000002</v>
      </c>
      <c r="B3034">
        <v>6630000</v>
      </c>
    </row>
    <row r="3035" spans="1:2" x14ac:dyDescent="0.4">
      <c r="A3035" s="4">
        <v>1000002</v>
      </c>
      <c r="B3035">
        <v>6630100</v>
      </c>
    </row>
    <row r="3036" spans="1:2" x14ac:dyDescent="0.4">
      <c r="A3036" s="4">
        <v>1000002</v>
      </c>
      <c r="B3036">
        <v>6630200</v>
      </c>
    </row>
    <row r="3037" spans="1:2" x14ac:dyDescent="0.4">
      <c r="A3037" s="4">
        <v>1000002</v>
      </c>
      <c r="B3037">
        <v>6630300</v>
      </c>
    </row>
    <row r="3038" spans="1:2" x14ac:dyDescent="0.4">
      <c r="A3038" s="4">
        <v>1000002</v>
      </c>
      <c r="B3038">
        <v>6630400</v>
      </c>
    </row>
    <row r="3039" spans="1:2" x14ac:dyDescent="0.4">
      <c r="A3039" s="4">
        <v>1000002</v>
      </c>
      <c r="B3039">
        <v>6630500</v>
      </c>
    </row>
    <row r="3040" spans="1:2" x14ac:dyDescent="0.4">
      <c r="A3040" s="4">
        <v>1000002</v>
      </c>
      <c r="B3040">
        <v>6630600</v>
      </c>
    </row>
    <row r="3041" spans="1:2" x14ac:dyDescent="0.4">
      <c r="A3041" s="4">
        <v>1000002</v>
      </c>
      <c r="B3041">
        <v>6630700</v>
      </c>
    </row>
    <row r="3042" spans="1:2" x14ac:dyDescent="0.4">
      <c r="A3042" s="4">
        <v>1000002</v>
      </c>
      <c r="B3042">
        <v>6630800</v>
      </c>
    </row>
    <row r="3043" spans="1:2" x14ac:dyDescent="0.4">
      <c r="A3043" s="4">
        <v>1000002</v>
      </c>
      <c r="B3043">
        <v>6630900</v>
      </c>
    </row>
    <row r="3044" spans="1:2" x14ac:dyDescent="0.4">
      <c r="A3044" s="4">
        <v>1000002</v>
      </c>
      <c r="B3044">
        <v>6631000</v>
      </c>
    </row>
    <row r="3045" spans="1:2" x14ac:dyDescent="0.4">
      <c r="A3045" s="4">
        <v>1000002</v>
      </c>
      <c r="B3045">
        <v>6631100</v>
      </c>
    </row>
    <row r="3046" spans="1:2" x14ac:dyDescent="0.4">
      <c r="A3046" s="4">
        <v>1000002</v>
      </c>
      <c r="B3046">
        <v>6631200</v>
      </c>
    </row>
    <row r="3047" spans="1:2" x14ac:dyDescent="0.4">
      <c r="A3047" s="4">
        <v>1000002</v>
      </c>
      <c r="B3047">
        <v>6631300</v>
      </c>
    </row>
    <row r="3048" spans="1:2" x14ac:dyDescent="0.4">
      <c r="A3048" s="4">
        <v>1000002</v>
      </c>
      <c r="B3048">
        <v>6631400</v>
      </c>
    </row>
    <row r="3049" spans="1:2" x14ac:dyDescent="0.4">
      <c r="A3049" s="4">
        <v>1000002</v>
      </c>
      <c r="B3049">
        <v>6631500</v>
      </c>
    </row>
    <row r="3050" spans="1:2" x14ac:dyDescent="0.4">
      <c r="A3050" s="4">
        <v>1000002</v>
      </c>
      <c r="B3050">
        <v>6631600</v>
      </c>
    </row>
    <row r="3051" spans="1:2" x14ac:dyDescent="0.4">
      <c r="A3051" s="4">
        <v>1000002</v>
      </c>
      <c r="B3051">
        <v>6631700</v>
      </c>
    </row>
    <row r="3052" spans="1:2" x14ac:dyDescent="0.4">
      <c r="A3052" s="4">
        <v>1000002</v>
      </c>
      <c r="B3052">
        <v>6631800</v>
      </c>
    </row>
    <row r="3053" spans="1:2" x14ac:dyDescent="0.4">
      <c r="A3053" s="4">
        <v>1000002</v>
      </c>
      <c r="B3053">
        <v>6631900</v>
      </c>
    </row>
    <row r="3054" spans="1:2" x14ac:dyDescent="0.4">
      <c r="A3054" s="4">
        <v>1000002</v>
      </c>
      <c r="B3054">
        <v>6632000</v>
      </c>
    </row>
    <row r="3055" spans="1:2" x14ac:dyDescent="0.4">
      <c r="A3055" s="4">
        <v>1000002</v>
      </c>
      <c r="B3055">
        <v>6632100</v>
      </c>
    </row>
    <row r="3056" spans="1:2" x14ac:dyDescent="0.4">
      <c r="A3056" s="4">
        <v>1000002</v>
      </c>
      <c r="B3056">
        <v>6632200</v>
      </c>
    </row>
    <row r="3057" spans="1:2" x14ac:dyDescent="0.4">
      <c r="A3057" s="4">
        <v>1000002</v>
      </c>
      <c r="B3057">
        <v>6632300</v>
      </c>
    </row>
    <row r="3058" spans="1:2" x14ac:dyDescent="0.4">
      <c r="A3058" s="4">
        <v>1000002</v>
      </c>
      <c r="B3058">
        <v>6632400</v>
      </c>
    </row>
    <row r="3059" spans="1:2" x14ac:dyDescent="0.4">
      <c r="A3059" s="4">
        <v>1000002</v>
      </c>
      <c r="B3059">
        <v>6632500</v>
      </c>
    </row>
    <row r="3060" spans="1:2" x14ac:dyDescent="0.4">
      <c r="A3060" s="4">
        <v>1000002</v>
      </c>
      <c r="B3060">
        <v>6632600</v>
      </c>
    </row>
    <row r="3061" spans="1:2" x14ac:dyDescent="0.4">
      <c r="A3061" s="4">
        <v>1000002</v>
      </c>
      <c r="B3061">
        <v>6632700</v>
      </c>
    </row>
    <row r="3062" spans="1:2" x14ac:dyDescent="0.4">
      <c r="A3062" s="4">
        <v>1000002</v>
      </c>
      <c r="B3062">
        <v>6632800</v>
      </c>
    </row>
    <row r="3063" spans="1:2" x14ac:dyDescent="0.4">
      <c r="A3063" s="4">
        <v>1000002</v>
      </c>
      <c r="B3063">
        <v>6632900</v>
      </c>
    </row>
    <row r="3064" spans="1:2" x14ac:dyDescent="0.4">
      <c r="A3064" s="4">
        <v>1000002</v>
      </c>
      <c r="B3064">
        <v>6633000</v>
      </c>
    </row>
    <row r="3065" spans="1:2" x14ac:dyDescent="0.4">
      <c r="A3065" s="4">
        <v>1000002</v>
      </c>
      <c r="B3065">
        <v>6633100</v>
      </c>
    </row>
    <row r="3066" spans="1:2" x14ac:dyDescent="0.4">
      <c r="A3066" s="4">
        <v>1000002</v>
      </c>
      <c r="B3066">
        <v>6633200</v>
      </c>
    </row>
    <row r="3067" spans="1:2" x14ac:dyDescent="0.4">
      <c r="A3067" s="4">
        <v>1000002</v>
      </c>
      <c r="B3067">
        <v>6647200</v>
      </c>
    </row>
    <row r="3068" spans="1:2" x14ac:dyDescent="0.4">
      <c r="A3068" s="4">
        <v>1000002</v>
      </c>
      <c r="B3068">
        <v>6647300</v>
      </c>
    </row>
    <row r="3069" spans="1:2" x14ac:dyDescent="0.4">
      <c r="A3069" s="4">
        <v>1000002</v>
      </c>
      <c r="B3069">
        <v>6647400</v>
      </c>
    </row>
    <row r="3070" spans="1:2" x14ac:dyDescent="0.4">
      <c r="A3070" s="4">
        <v>1000002</v>
      </c>
      <c r="B3070">
        <v>6647500</v>
      </c>
    </row>
    <row r="3071" spans="1:2" x14ac:dyDescent="0.4">
      <c r="A3071" s="4">
        <v>1000002</v>
      </c>
      <c r="B3071">
        <v>6640000</v>
      </c>
    </row>
    <row r="3072" spans="1:2" x14ac:dyDescent="0.4">
      <c r="A3072" s="4">
        <v>1000002</v>
      </c>
      <c r="B3072">
        <v>6640100</v>
      </c>
    </row>
    <row r="3073" spans="1:2" x14ac:dyDescent="0.4">
      <c r="A3073" s="4">
        <v>1000002</v>
      </c>
      <c r="B3073">
        <v>6641000</v>
      </c>
    </row>
    <row r="3074" spans="1:2" x14ac:dyDescent="0.4">
      <c r="A3074" s="4">
        <v>1000002</v>
      </c>
      <c r="B3074">
        <v>6641100</v>
      </c>
    </row>
    <row r="3075" spans="1:2" x14ac:dyDescent="0.4">
      <c r="A3075" s="4">
        <v>1000002</v>
      </c>
      <c r="B3075">
        <v>6642000</v>
      </c>
    </row>
    <row r="3076" spans="1:2" x14ac:dyDescent="0.4">
      <c r="A3076" s="4">
        <v>1000002</v>
      </c>
      <c r="B3076">
        <v>6642100</v>
      </c>
    </row>
    <row r="3077" spans="1:2" x14ac:dyDescent="0.4">
      <c r="A3077" s="4">
        <v>1000002</v>
      </c>
      <c r="B3077">
        <v>6643000</v>
      </c>
    </row>
    <row r="3078" spans="1:2" x14ac:dyDescent="0.4">
      <c r="A3078" s="4">
        <v>1000002</v>
      </c>
      <c r="B3078">
        <v>6643100</v>
      </c>
    </row>
    <row r="3079" spans="1:2" x14ac:dyDescent="0.4">
      <c r="A3079" s="4">
        <v>1000002</v>
      </c>
      <c r="B3079">
        <v>6644000</v>
      </c>
    </row>
    <row r="3080" spans="1:2" x14ac:dyDescent="0.4">
      <c r="A3080" s="4">
        <v>1000002</v>
      </c>
      <c r="B3080">
        <v>6644100</v>
      </c>
    </row>
    <row r="3081" spans="1:2" x14ac:dyDescent="0.4">
      <c r="A3081" s="4">
        <v>1000002</v>
      </c>
      <c r="B3081">
        <v>6645000</v>
      </c>
    </row>
    <row r="3082" spans="1:2" x14ac:dyDescent="0.4">
      <c r="A3082" s="4">
        <v>1000002</v>
      </c>
      <c r="B3082">
        <v>6645100</v>
      </c>
    </row>
    <row r="3083" spans="1:2" x14ac:dyDescent="0.4">
      <c r="A3083" s="4">
        <v>1000002</v>
      </c>
      <c r="B3083">
        <v>6646000</v>
      </c>
    </row>
    <row r="3084" spans="1:2" x14ac:dyDescent="0.4">
      <c r="A3084" s="4">
        <v>1000002</v>
      </c>
      <c r="B3084">
        <v>6646100</v>
      </c>
    </row>
    <row r="3085" spans="1:2" x14ac:dyDescent="0.4">
      <c r="A3085" s="4">
        <v>1000002</v>
      </c>
      <c r="B3085">
        <v>6647000</v>
      </c>
    </row>
    <row r="3086" spans="1:2" x14ac:dyDescent="0.4">
      <c r="A3086" s="4">
        <v>1000002</v>
      </c>
      <c r="B3086">
        <v>6647100</v>
      </c>
    </row>
    <row r="3087" spans="1:2" x14ac:dyDescent="0.4">
      <c r="A3087" s="4">
        <v>1001000</v>
      </c>
      <c r="B3087">
        <v>7000000</v>
      </c>
    </row>
    <row r="3088" spans="1:2" x14ac:dyDescent="0.4">
      <c r="A3088" s="4">
        <v>1001000</v>
      </c>
      <c r="B3088">
        <v>7000001</v>
      </c>
    </row>
    <row r="3089" spans="1:2" x14ac:dyDescent="0.4">
      <c r="A3089" s="4">
        <v>1001000</v>
      </c>
      <c r="B3089">
        <v>7000002</v>
      </c>
    </row>
    <row r="3090" spans="1:2" x14ac:dyDescent="0.4">
      <c r="A3090" s="4">
        <v>1001000</v>
      </c>
      <c r="B3090">
        <v>7000100</v>
      </c>
    </row>
    <row r="3091" spans="1:2" x14ac:dyDescent="0.4">
      <c r="A3091" s="4">
        <v>1001000</v>
      </c>
      <c r="B3091">
        <v>7000101</v>
      </c>
    </row>
    <row r="3092" spans="1:2" x14ac:dyDescent="0.4">
      <c r="A3092" s="4">
        <v>1001000</v>
      </c>
      <c r="B3092">
        <v>7000102</v>
      </c>
    </row>
    <row r="3093" spans="1:2" x14ac:dyDescent="0.4">
      <c r="A3093" s="4">
        <v>1001000</v>
      </c>
      <c r="B3093">
        <v>7000200</v>
      </c>
    </row>
    <row r="3094" spans="1:2" x14ac:dyDescent="0.4">
      <c r="A3094" s="4">
        <v>1001000</v>
      </c>
      <c r="B3094">
        <v>7000201</v>
      </c>
    </row>
    <row r="3095" spans="1:2" x14ac:dyDescent="0.4">
      <c r="A3095" s="4">
        <v>1001000</v>
      </c>
      <c r="B3095">
        <v>7000202</v>
      </c>
    </row>
    <row r="3096" spans="1:2" x14ac:dyDescent="0.4">
      <c r="A3096" s="4">
        <v>1001000</v>
      </c>
      <c r="B3096">
        <v>7000300</v>
      </c>
    </row>
    <row r="3097" spans="1:2" x14ac:dyDescent="0.4">
      <c r="A3097" s="4">
        <v>1001000</v>
      </c>
      <c r="B3097">
        <v>7000301</v>
      </c>
    </row>
    <row r="3098" spans="1:2" x14ac:dyDescent="0.4">
      <c r="A3098" s="4">
        <v>1001000</v>
      </c>
      <c r="B3098">
        <v>7000302</v>
      </c>
    </row>
    <row r="3099" spans="1:2" x14ac:dyDescent="0.4">
      <c r="A3099" s="4">
        <v>1001000</v>
      </c>
      <c r="B3099">
        <v>7000400</v>
      </c>
    </row>
    <row r="3100" spans="1:2" x14ac:dyDescent="0.4">
      <c r="A3100" s="4">
        <v>1001000</v>
      </c>
      <c r="B3100">
        <v>7000401</v>
      </c>
    </row>
    <row r="3101" spans="1:2" x14ac:dyDescent="0.4">
      <c r="A3101" s="4">
        <v>1001000</v>
      </c>
      <c r="B3101">
        <v>7000402</v>
      </c>
    </row>
    <row r="3102" spans="1:2" x14ac:dyDescent="0.4">
      <c r="A3102" s="4">
        <v>1001000</v>
      </c>
      <c r="B3102">
        <v>7000500</v>
      </c>
    </row>
    <row r="3103" spans="1:2" x14ac:dyDescent="0.4">
      <c r="A3103" s="4">
        <v>1001000</v>
      </c>
      <c r="B3103">
        <v>7000501</v>
      </c>
    </row>
    <row r="3104" spans="1:2" x14ac:dyDescent="0.4">
      <c r="A3104" s="4">
        <v>1001000</v>
      </c>
      <c r="B3104">
        <v>7000502</v>
      </c>
    </row>
    <row r="3105" spans="1:2" x14ac:dyDescent="0.4">
      <c r="A3105" s="4">
        <v>1001000</v>
      </c>
      <c r="B3105">
        <v>7000600</v>
      </c>
    </row>
    <row r="3106" spans="1:2" x14ac:dyDescent="0.4">
      <c r="A3106" s="4">
        <v>1001000</v>
      </c>
      <c r="B3106">
        <v>7000601</v>
      </c>
    </row>
    <row r="3107" spans="1:2" x14ac:dyDescent="0.4">
      <c r="A3107" s="4">
        <v>1001000</v>
      </c>
      <c r="B3107">
        <v>7000602</v>
      </c>
    </row>
    <row r="3108" spans="1:2" x14ac:dyDescent="0.4">
      <c r="A3108" s="4">
        <v>1001000</v>
      </c>
      <c r="B3108">
        <v>7000700</v>
      </c>
    </row>
    <row r="3109" spans="1:2" x14ac:dyDescent="0.4">
      <c r="A3109" s="4">
        <v>1001000</v>
      </c>
      <c r="B3109">
        <v>7000701</v>
      </c>
    </row>
    <row r="3110" spans="1:2" x14ac:dyDescent="0.4">
      <c r="A3110" s="4">
        <v>1001000</v>
      </c>
      <c r="B3110">
        <v>7000702</v>
      </c>
    </row>
    <row r="3111" spans="1:2" x14ac:dyDescent="0.4">
      <c r="A3111" s="4">
        <v>1001000</v>
      </c>
      <c r="B3111">
        <v>7000800</v>
      </c>
    </row>
    <row r="3112" spans="1:2" x14ac:dyDescent="0.4">
      <c r="A3112" s="4">
        <v>1001000</v>
      </c>
      <c r="B3112">
        <v>7000801</v>
      </c>
    </row>
    <row r="3113" spans="1:2" x14ac:dyDescent="0.4">
      <c r="A3113" s="4">
        <v>1001000</v>
      </c>
      <c r="B3113">
        <v>7000802</v>
      </c>
    </row>
    <row r="3114" spans="1:2" x14ac:dyDescent="0.4">
      <c r="A3114" s="4">
        <v>1001000</v>
      </c>
      <c r="B3114">
        <v>7000900</v>
      </c>
    </row>
    <row r="3115" spans="1:2" x14ac:dyDescent="0.4">
      <c r="A3115" s="4">
        <v>1001000</v>
      </c>
      <c r="B3115">
        <v>7000901</v>
      </c>
    </row>
    <row r="3116" spans="1:2" x14ac:dyDescent="0.4">
      <c r="A3116" s="4">
        <v>1001000</v>
      </c>
      <c r="B3116">
        <v>7000902</v>
      </c>
    </row>
    <row r="3117" spans="1:2" x14ac:dyDescent="0.4">
      <c r="A3117" s="4">
        <v>1001000</v>
      </c>
      <c r="B3117">
        <v>7001000</v>
      </c>
    </row>
    <row r="3118" spans="1:2" x14ac:dyDescent="0.4">
      <c r="A3118" s="4">
        <v>1001000</v>
      </c>
      <c r="B3118">
        <v>7001001</v>
      </c>
    </row>
    <row r="3119" spans="1:2" x14ac:dyDescent="0.4">
      <c r="A3119" s="4">
        <v>1001000</v>
      </c>
      <c r="B3119">
        <v>7001002</v>
      </c>
    </row>
    <row r="3120" spans="1:2" x14ac:dyDescent="0.4">
      <c r="A3120" s="4">
        <v>1001000</v>
      </c>
      <c r="B3120">
        <v>7001400</v>
      </c>
    </row>
    <row r="3121" spans="1:2" x14ac:dyDescent="0.4">
      <c r="A3121" s="4">
        <v>1001000</v>
      </c>
      <c r="B3121">
        <v>7001401</v>
      </c>
    </row>
    <row r="3122" spans="1:2" x14ac:dyDescent="0.4">
      <c r="A3122" s="4">
        <v>1001000</v>
      </c>
      <c r="B3122">
        <v>7001402</v>
      </c>
    </row>
    <row r="3123" spans="1:2" x14ac:dyDescent="0.4">
      <c r="A3123" s="4">
        <v>1001000</v>
      </c>
      <c r="B3123">
        <v>7001500</v>
      </c>
    </row>
    <row r="3124" spans="1:2" x14ac:dyDescent="0.4">
      <c r="A3124" s="4">
        <v>1001000</v>
      </c>
      <c r="B3124">
        <v>7001501</v>
      </c>
    </row>
    <row r="3125" spans="1:2" x14ac:dyDescent="0.4">
      <c r="A3125" s="4">
        <v>1001000</v>
      </c>
      <c r="B3125">
        <v>7001502</v>
      </c>
    </row>
    <row r="3126" spans="1:2" x14ac:dyDescent="0.4">
      <c r="A3126" s="4">
        <v>1001000</v>
      </c>
      <c r="B3126">
        <v>7001600</v>
      </c>
    </row>
    <row r="3127" spans="1:2" x14ac:dyDescent="0.4">
      <c r="A3127" s="4">
        <v>1001000</v>
      </c>
      <c r="B3127">
        <v>7001601</v>
      </c>
    </row>
    <row r="3128" spans="1:2" x14ac:dyDescent="0.4">
      <c r="A3128" s="4">
        <v>1001000</v>
      </c>
      <c r="B3128">
        <v>7001602</v>
      </c>
    </row>
    <row r="3129" spans="1:2" x14ac:dyDescent="0.4">
      <c r="A3129" s="4">
        <v>1001000</v>
      </c>
      <c r="B3129">
        <v>7001700</v>
      </c>
    </row>
    <row r="3130" spans="1:2" x14ac:dyDescent="0.4">
      <c r="A3130" s="4">
        <v>1001000</v>
      </c>
      <c r="B3130">
        <v>7001701</v>
      </c>
    </row>
    <row r="3131" spans="1:2" x14ac:dyDescent="0.4">
      <c r="A3131" s="4">
        <v>1001000</v>
      </c>
      <c r="B3131">
        <v>7001702</v>
      </c>
    </row>
    <row r="3132" spans="1:2" x14ac:dyDescent="0.4">
      <c r="A3132" s="4">
        <v>1001000</v>
      </c>
      <c r="B3132">
        <v>7001800</v>
      </c>
    </row>
    <row r="3133" spans="1:2" x14ac:dyDescent="0.4">
      <c r="A3133" s="4">
        <v>1001000</v>
      </c>
      <c r="B3133">
        <v>7001801</v>
      </c>
    </row>
    <row r="3134" spans="1:2" x14ac:dyDescent="0.4">
      <c r="A3134" s="4">
        <v>1001000</v>
      </c>
      <c r="B3134">
        <v>7001802</v>
      </c>
    </row>
    <row r="3135" spans="1:2" x14ac:dyDescent="0.4">
      <c r="A3135" s="4">
        <v>1001000</v>
      </c>
      <c r="B3135">
        <v>7002600</v>
      </c>
    </row>
    <row r="3136" spans="1:2" x14ac:dyDescent="0.4">
      <c r="A3136" s="4">
        <v>1001000</v>
      </c>
      <c r="B3136">
        <v>7002700</v>
      </c>
    </row>
    <row r="3137" spans="1:2" x14ac:dyDescent="0.4">
      <c r="A3137" s="4">
        <v>1001000</v>
      </c>
      <c r="B3137">
        <v>7002800</v>
      </c>
    </row>
    <row r="3138" spans="1:2" x14ac:dyDescent="0.4">
      <c r="A3138" s="4">
        <v>1001000</v>
      </c>
      <c r="B3138">
        <v>7002900</v>
      </c>
    </row>
    <row r="3139" spans="1:2" x14ac:dyDescent="0.4">
      <c r="A3139" s="4">
        <v>1001000</v>
      </c>
      <c r="B3139">
        <v>7003000</v>
      </c>
    </row>
    <row r="3140" spans="1:2" x14ac:dyDescent="0.4">
      <c r="A3140" s="4">
        <v>1001000</v>
      </c>
      <c r="B3140">
        <v>7003100</v>
      </c>
    </row>
    <row r="3141" spans="1:2" x14ac:dyDescent="0.4">
      <c r="A3141" s="4">
        <v>1001000</v>
      </c>
      <c r="B3141">
        <v>7003200</v>
      </c>
    </row>
    <row r="3142" spans="1:2" x14ac:dyDescent="0.4">
      <c r="A3142" s="4">
        <v>1001000</v>
      </c>
      <c r="B3142">
        <v>7003300</v>
      </c>
    </row>
    <row r="3143" spans="1:2" x14ac:dyDescent="0.4">
      <c r="A3143" s="4">
        <v>1001000</v>
      </c>
      <c r="B3143">
        <v>7003400</v>
      </c>
    </row>
    <row r="3144" spans="1:2" x14ac:dyDescent="0.4">
      <c r="A3144" s="4">
        <v>1001000</v>
      </c>
      <c r="B3144">
        <v>7003500</v>
      </c>
    </row>
    <row r="3145" spans="1:2" x14ac:dyDescent="0.4">
      <c r="A3145" s="4">
        <v>1001000</v>
      </c>
      <c r="B3145">
        <v>7003600</v>
      </c>
    </row>
    <row r="3146" spans="1:2" x14ac:dyDescent="0.4">
      <c r="A3146" s="4">
        <v>1001000</v>
      </c>
      <c r="B3146">
        <v>7005600</v>
      </c>
    </row>
    <row r="3147" spans="1:2" x14ac:dyDescent="0.4">
      <c r="A3147" s="4">
        <v>1001000</v>
      </c>
      <c r="B3147">
        <v>7006000</v>
      </c>
    </row>
    <row r="3148" spans="1:2" x14ac:dyDescent="0.4">
      <c r="A3148" s="4">
        <v>1001000</v>
      </c>
      <c r="B3148">
        <v>7006100</v>
      </c>
    </row>
    <row r="3149" spans="1:2" x14ac:dyDescent="0.4">
      <c r="A3149" s="4">
        <v>1001000</v>
      </c>
      <c r="B3149">
        <v>7010200</v>
      </c>
    </row>
    <row r="3150" spans="1:2" x14ac:dyDescent="0.4">
      <c r="A3150" s="4">
        <v>1001000</v>
      </c>
      <c r="B3150">
        <v>7010500</v>
      </c>
    </row>
    <row r="3151" spans="1:2" x14ac:dyDescent="0.4">
      <c r="A3151" s="4">
        <v>1001000</v>
      </c>
      <c r="B3151">
        <v>7010700</v>
      </c>
    </row>
    <row r="3152" spans="1:2" x14ac:dyDescent="0.4">
      <c r="A3152" s="4">
        <v>1001000</v>
      </c>
      <c r="B3152">
        <v>7010900</v>
      </c>
    </row>
    <row r="3153" spans="1:2" x14ac:dyDescent="0.4">
      <c r="A3153" s="4">
        <v>1001000</v>
      </c>
      <c r="B3153">
        <v>7011000</v>
      </c>
    </row>
    <row r="3154" spans="1:2" x14ac:dyDescent="0.4">
      <c r="A3154" s="4">
        <v>1001000</v>
      </c>
      <c r="B3154">
        <v>7011200</v>
      </c>
    </row>
    <row r="3155" spans="1:2" x14ac:dyDescent="0.4">
      <c r="A3155" s="4">
        <v>1001000</v>
      </c>
      <c r="B3155">
        <v>7011600</v>
      </c>
    </row>
    <row r="3156" spans="1:2" x14ac:dyDescent="0.4">
      <c r="A3156" s="4">
        <v>1001000</v>
      </c>
      <c r="B3156">
        <v>7011700</v>
      </c>
    </row>
    <row r="3157" spans="1:2" x14ac:dyDescent="0.4">
      <c r="A3157" s="4">
        <v>1001000</v>
      </c>
      <c r="B3157">
        <v>7012000</v>
      </c>
    </row>
    <row r="3158" spans="1:2" x14ac:dyDescent="0.4">
      <c r="A3158" s="4">
        <v>1001000</v>
      </c>
      <c r="B3158">
        <v>7012200</v>
      </c>
    </row>
    <row r="3159" spans="1:2" x14ac:dyDescent="0.4">
      <c r="A3159" s="4">
        <v>1001000</v>
      </c>
      <c r="B3159">
        <v>7012300</v>
      </c>
    </row>
    <row r="3160" spans="1:2" x14ac:dyDescent="0.4">
      <c r="A3160" s="4">
        <v>1001000</v>
      </c>
      <c r="B3160">
        <v>7020000</v>
      </c>
    </row>
    <row r="3161" spans="1:2" x14ac:dyDescent="0.4">
      <c r="A3161" s="4">
        <v>1001000</v>
      </c>
      <c r="B3161">
        <v>7030000</v>
      </c>
    </row>
    <row r="3162" spans="1:2" x14ac:dyDescent="0.4">
      <c r="A3162" s="4">
        <v>1001000</v>
      </c>
      <c r="B3162">
        <v>7030200</v>
      </c>
    </row>
    <row r="3163" spans="1:2" x14ac:dyDescent="0.4">
      <c r="A3163" s="4">
        <v>1001000</v>
      </c>
      <c r="B3163">
        <v>7030600</v>
      </c>
    </row>
    <row r="3164" spans="1:2" x14ac:dyDescent="0.4">
      <c r="A3164" s="4">
        <v>1001000</v>
      </c>
      <c r="B3164">
        <v>7030700</v>
      </c>
    </row>
    <row r="3165" spans="1:2" x14ac:dyDescent="0.4">
      <c r="A3165" s="4">
        <v>1001000</v>
      </c>
      <c r="B3165">
        <v>7030800</v>
      </c>
    </row>
    <row r="3166" spans="1:2" x14ac:dyDescent="0.4">
      <c r="A3166" s="4">
        <v>1001000</v>
      </c>
      <c r="B3166">
        <v>7030900</v>
      </c>
    </row>
    <row r="3167" spans="1:2" x14ac:dyDescent="0.4">
      <c r="A3167" s="4">
        <v>1001000</v>
      </c>
      <c r="B3167">
        <v>7031200</v>
      </c>
    </row>
    <row r="3168" spans="1:2" x14ac:dyDescent="0.4">
      <c r="A3168" s="4">
        <v>1001000</v>
      </c>
      <c r="B3168">
        <v>7031300</v>
      </c>
    </row>
    <row r="3169" spans="1:2" x14ac:dyDescent="0.4">
      <c r="A3169" s="4">
        <v>1001000</v>
      </c>
      <c r="B3169">
        <v>7031800</v>
      </c>
    </row>
    <row r="3170" spans="1:2" x14ac:dyDescent="0.4">
      <c r="A3170" s="4">
        <v>1001000</v>
      </c>
      <c r="B3170">
        <v>7031900</v>
      </c>
    </row>
    <row r="3171" spans="1:2" x14ac:dyDescent="0.4">
      <c r="A3171" s="4">
        <v>1001000</v>
      </c>
      <c r="B3171">
        <v>7032200</v>
      </c>
    </row>
    <row r="3172" spans="1:2" x14ac:dyDescent="0.4">
      <c r="A3172" s="4">
        <v>1001000</v>
      </c>
      <c r="B3172">
        <v>7032400</v>
      </c>
    </row>
    <row r="3173" spans="1:2" x14ac:dyDescent="0.4">
      <c r="A3173" s="4">
        <v>1001000</v>
      </c>
      <c r="B3173">
        <v>7032700</v>
      </c>
    </row>
    <row r="3174" spans="1:2" x14ac:dyDescent="0.4">
      <c r="A3174" s="4">
        <v>1001000</v>
      </c>
      <c r="B3174">
        <v>7032800</v>
      </c>
    </row>
    <row r="3175" spans="1:2" x14ac:dyDescent="0.4">
      <c r="A3175" s="4">
        <v>1001000</v>
      </c>
      <c r="B3175">
        <v>7032900</v>
      </c>
    </row>
    <row r="3176" spans="1:2" x14ac:dyDescent="0.4">
      <c r="A3176" s="4">
        <v>1001000</v>
      </c>
      <c r="B3176">
        <v>7033200</v>
      </c>
    </row>
    <row r="3177" spans="1:2" x14ac:dyDescent="0.4">
      <c r="A3177" s="4">
        <v>1001000</v>
      </c>
      <c r="B3177">
        <v>7033400</v>
      </c>
    </row>
    <row r="3178" spans="1:2" x14ac:dyDescent="0.4">
      <c r="A3178" s="4">
        <v>1001000</v>
      </c>
      <c r="B3178">
        <v>7034100</v>
      </c>
    </row>
    <row r="3179" spans="1:2" x14ac:dyDescent="0.4">
      <c r="A3179" s="4">
        <v>1001000</v>
      </c>
      <c r="B3179">
        <v>7034400</v>
      </c>
    </row>
    <row r="3180" spans="1:2" x14ac:dyDescent="0.4">
      <c r="A3180" s="4">
        <v>1001000</v>
      </c>
      <c r="B3180">
        <v>7034500</v>
      </c>
    </row>
    <row r="3181" spans="1:2" x14ac:dyDescent="0.4">
      <c r="A3181" s="4">
        <v>1001000</v>
      </c>
      <c r="B3181">
        <v>7034600</v>
      </c>
    </row>
    <row r="3182" spans="1:2" x14ac:dyDescent="0.4">
      <c r="A3182" s="4">
        <v>1001000</v>
      </c>
      <c r="B3182">
        <v>7034700</v>
      </c>
    </row>
    <row r="3183" spans="1:2" x14ac:dyDescent="0.4">
      <c r="A3183" s="4">
        <v>1001000</v>
      </c>
      <c r="B3183">
        <v>7035100</v>
      </c>
    </row>
    <row r="3184" spans="1:2" x14ac:dyDescent="0.4">
      <c r="A3184" s="4">
        <v>1001000</v>
      </c>
      <c r="B3184">
        <v>7036100</v>
      </c>
    </row>
    <row r="3185" spans="1:2" x14ac:dyDescent="0.4">
      <c r="A3185" s="4">
        <v>1001000</v>
      </c>
      <c r="B3185">
        <v>7040000</v>
      </c>
    </row>
    <row r="3186" spans="1:2" x14ac:dyDescent="0.4">
      <c r="A3186" s="4">
        <v>1001000</v>
      </c>
      <c r="B3186">
        <v>7040100</v>
      </c>
    </row>
    <row r="3187" spans="1:2" x14ac:dyDescent="0.4">
      <c r="A3187" s="4">
        <v>1001000</v>
      </c>
      <c r="B3187">
        <v>7040200</v>
      </c>
    </row>
    <row r="3188" spans="1:2" x14ac:dyDescent="0.4">
      <c r="A3188" s="4">
        <v>1001000</v>
      </c>
      <c r="B3188">
        <v>7040300</v>
      </c>
    </row>
    <row r="3189" spans="1:2" x14ac:dyDescent="0.4">
      <c r="A3189" s="4">
        <v>1001000</v>
      </c>
      <c r="B3189">
        <v>7040400</v>
      </c>
    </row>
    <row r="3190" spans="1:2" x14ac:dyDescent="0.4">
      <c r="A3190" s="4">
        <v>1001000</v>
      </c>
      <c r="B3190">
        <v>7040500</v>
      </c>
    </row>
    <row r="3191" spans="1:2" x14ac:dyDescent="0.4">
      <c r="A3191" s="4">
        <v>1001000</v>
      </c>
      <c r="B3191">
        <v>7043000</v>
      </c>
    </row>
    <row r="3192" spans="1:2" x14ac:dyDescent="0.4">
      <c r="A3192" s="4">
        <v>1001000</v>
      </c>
      <c r="B3192">
        <v>7043100</v>
      </c>
    </row>
    <row r="3193" spans="1:2" x14ac:dyDescent="0.4">
      <c r="A3193" s="4">
        <v>1001000</v>
      </c>
      <c r="B3193">
        <v>7043200</v>
      </c>
    </row>
    <row r="3194" spans="1:2" x14ac:dyDescent="0.4">
      <c r="A3194" s="4">
        <v>1001000</v>
      </c>
      <c r="B3194">
        <v>7043300</v>
      </c>
    </row>
    <row r="3195" spans="1:2" x14ac:dyDescent="0.4">
      <c r="A3195" s="4">
        <v>1001000</v>
      </c>
      <c r="B3195">
        <v>7043400</v>
      </c>
    </row>
    <row r="3196" spans="1:2" x14ac:dyDescent="0.4">
      <c r="A3196" s="4">
        <v>1001000</v>
      </c>
      <c r="B3196">
        <v>7043500</v>
      </c>
    </row>
    <row r="3197" spans="1:2" x14ac:dyDescent="0.4">
      <c r="A3197" s="4">
        <v>1001000</v>
      </c>
      <c r="B3197">
        <v>7043600</v>
      </c>
    </row>
    <row r="3198" spans="1:2" x14ac:dyDescent="0.4">
      <c r="A3198" s="4">
        <v>1001000</v>
      </c>
      <c r="B3198">
        <v>7043700</v>
      </c>
    </row>
    <row r="3199" spans="1:2" x14ac:dyDescent="0.4">
      <c r="A3199" s="4">
        <v>1001000</v>
      </c>
      <c r="B3199">
        <v>7043800</v>
      </c>
    </row>
    <row r="3200" spans="1:2" x14ac:dyDescent="0.4">
      <c r="A3200" s="4">
        <v>1001000</v>
      </c>
      <c r="B3200">
        <v>7044000</v>
      </c>
    </row>
    <row r="3201" spans="1:2" x14ac:dyDescent="0.4">
      <c r="A3201" s="4">
        <v>1001000</v>
      </c>
      <c r="B3201">
        <v>7044100</v>
      </c>
    </row>
    <row r="3202" spans="1:2" x14ac:dyDescent="0.4">
      <c r="A3202" s="4">
        <v>1001000</v>
      </c>
      <c r="B3202">
        <v>7044200</v>
      </c>
    </row>
    <row r="3203" spans="1:2" x14ac:dyDescent="0.4">
      <c r="A3203" s="4">
        <v>1001000</v>
      </c>
      <c r="B3203">
        <v>7044300</v>
      </c>
    </row>
    <row r="3204" spans="1:2" x14ac:dyDescent="0.4">
      <c r="A3204" s="4">
        <v>1001000</v>
      </c>
      <c r="B3204">
        <v>7044400</v>
      </c>
    </row>
    <row r="3205" spans="1:2" x14ac:dyDescent="0.4">
      <c r="A3205" s="4">
        <v>1001000</v>
      </c>
      <c r="B3205">
        <v>7044500</v>
      </c>
    </row>
    <row r="3206" spans="1:2" x14ac:dyDescent="0.4">
      <c r="A3206" s="4">
        <v>1001000</v>
      </c>
      <c r="B3206">
        <v>7044600</v>
      </c>
    </row>
    <row r="3207" spans="1:2" x14ac:dyDescent="0.4">
      <c r="A3207" s="4">
        <v>1001000</v>
      </c>
      <c r="B3207">
        <v>7050000</v>
      </c>
    </row>
    <row r="3208" spans="1:2" x14ac:dyDescent="0.4">
      <c r="A3208" s="4">
        <v>1001000</v>
      </c>
      <c r="B3208">
        <v>7050100</v>
      </c>
    </row>
    <row r="3209" spans="1:2" x14ac:dyDescent="0.4">
      <c r="A3209" s="4">
        <v>1001000</v>
      </c>
      <c r="B3209">
        <v>7060000</v>
      </c>
    </row>
    <row r="3210" spans="1:2" x14ac:dyDescent="0.4">
      <c r="A3210" s="4">
        <v>1001000</v>
      </c>
      <c r="B3210">
        <v>7060100</v>
      </c>
    </row>
    <row r="3211" spans="1:2" x14ac:dyDescent="0.4">
      <c r="A3211" s="4">
        <v>1001000</v>
      </c>
      <c r="B3211">
        <v>7060200</v>
      </c>
    </row>
    <row r="3212" spans="1:2" x14ac:dyDescent="0.4">
      <c r="A3212" s="4">
        <v>1001000</v>
      </c>
      <c r="B3212">
        <v>7070000</v>
      </c>
    </row>
    <row r="3213" spans="1:2" x14ac:dyDescent="0.4">
      <c r="A3213" s="4">
        <v>1001000</v>
      </c>
      <c r="B3213">
        <v>7080000</v>
      </c>
    </row>
    <row r="3214" spans="1:2" x14ac:dyDescent="0.4">
      <c r="A3214" s="4">
        <v>1001000</v>
      </c>
      <c r="B3214">
        <v>7080100</v>
      </c>
    </row>
    <row r="3215" spans="1:2" x14ac:dyDescent="0.4">
      <c r="A3215" s="4">
        <v>1001000</v>
      </c>
      <c r="B3215">
        <v>7080200</v>
      </c>
    </row>
    <row r="3216" spans="1:2" x14ac:dyDescent="0.4">
      <c r="A3216" s="4">
        <v>1001000</v>
      </c>
      <c r="B3216">
        <v>7080300</v>
      </c>
    </row>
    <row r="3217" spans="1:2" x14ac:dyDescent="0.4">
      <c r="A3217" s="4">
        <v>1001000</v>
      </c>
      <c r="B3217">
        <v>7080400</v>
      </c>
    </row>
    <row r="3218" spans="1:2" x14ac:dyDescent="0.4">
      <c r="A3218" s="4">
        <v>1001000</v>
      </c>
      <c r="B3218">
        <v>7080500</v>
      </c>
    </row>
    <row r="3219" spans="1:2" x14ac:dyDescent="0.4">
      <c r="A3219" s="4">
        <v>1001000</v>
      </c>
      <c r="B3219">
        <v>7080600</v>
      </c>
    </row>
    <row r="3220" spans="1:2" x14ac:dyDescent="0.4">
      <c r="A3220" s="4">
        <v>1001000</v>
      </c>
      <c r="B3220">
        <v>7080700</v>
      </c>
    </row>
    <row r="3221" spans="1:2" x14ac:dyDescent="0.4">
      <c r="A3221" s="4">
        <v>1001000</v>
      </c>
      <c r="B3221">
        <v>7080800</v>
      </c>
    </row>
    <row r="3222" spans="1:2" x14ac:dyDescent="0.4">
      <c r="A3222" s="4">
        <v>1001000</v>
      </c>
      <c r="B3222">
        <v>7080900</v>
      </c>
    </row>
    <row r="3223" spans="1:2" x14ac:dyDescent="0.4">
      <c r="A3223" s="4">
        <v>1001000</v>
      </c>
      <c r="B3223">
        <v>7081000</v>
      </c>
    </row>
    <row r="3224" spans="1:2" x14ac:dyDescent="0.4">
      <c r="A3224" s="4">
        <v>1001000</v>
      </c>
      <c r="B3224">
        <v>7081100</v>
      </c>
    </row>
    <row r="3225" spans="1:2" x14ac:dyDescent="0.4">
      <c r="A3225" s="4">
        <v>1001000</v>
      </c>
      <c r="B3225">
        <v>7081200</v>
      </c>
    </row>
    <row r="3226" spans="1:2" x14ac:dyDescent="0.4">
      <c r="A3226" s="4">
        <v>1001000</v>
      </c>
      <c r="B3226">
        <v>7081300</v>
      </c>
    </row>
    <row r="3227" spans="1:2" x14ac:dyDescent="0.4">
      <c r="A3227" s="4">
        <v>1001000</v>
      </c>
      <c r="B3227">
        <v>7081400</v>
      </c>
    </row>
    <row r="3228" spans="1:2" x14ac:dyDescent="0.4">
      <c r="A3228" s="4">
        <v>1001000</v>
      </c>
      <c r="B3228">
        <v>7081500</v>
      </c>
    </row>
    <row r="3229" spans="1:2" x14ac:dyDescent="0.4">
      <c r="A3229" s="4">
        <v>1001000</v>
      </c>
      <c r="B3229">
        <v>7081700</v>
      </c>
    </row>
    <row r="3230" spans="1:2" x14ac:dyDescent="0.4">
      <c r="A3230" s="4">
        <v>1001000</v>
      </c>
      <c r="B3230">
        <v>7081800</v>
      </c>
    </row>
    <row r="3231" spans="1:2" x14ac:dyDescent="0.4">
      <c r="A3231" s="4">
        <v>1001000</v>
      </c>
      <c r="B3231">
        <v>7081900</v>
      </c>
    </row>
    <row r="3232" spans="1:2" x14ac:dyDescent="0.4">
      <c r="A3232" s="4">
        <v>1001000</v>
      </c>
      <c r="B3232">
        <v>7082000</v>
      </c>
    </row>
    <row r="3233" spans="1:2" x14ac:dyDescent="0.4">
      <c r="A3233" s="4">
        <v>1001000</v>
      </c>
      <c r="B3233">
        <v>7082100</v>
      </c>
    </row>
    <row r="3234" spans="1:2" x14ac:dyDescent="0.4">
      <c r="A3234" s="4">
        <v>1001000</v>
      </c>
      <c r="B3234">
        <v>7082200</v>
      </c>
    </row>
    <row r="3235" spans="1:2" x14ac:dyDescent="0.4">
      <c r="A3235" s="4">
        <v>1001000</v>
      </c>
      <c r="B3235">
        <v>7082300</v>
      </c>
    </row>
    <row r="3236" spans="1:2" x14ac:dyDescent="0.4">
      <c r="A3236" s="4">
        <v>1001000</v>
      </c>
      <c r="B3236">
        <v>7082400</v>
      </c>
    </row>
    <row r="3237" spans="1:2" x14ac:dyDescent="0.4">
      <c r="A3237" s="4">
        <v>1001000</v>
      </c>
      <c r="B3237">
        <v>7082500</v>
      </c>
    </row>
    <row r="3238" spans="1:2" x14ac:dyDescent="0.4">
      <c r="A3238" s="4">
        <v>1001000</v>
      </c>
      <c r="B3238">
        <v>7082600</v>
      </c>
    </row>
    <row r="3239" spans="1:2" x14ac:dyDescent="0.4">
      <c r="A3239" s="4">
        <v>1001000</v>
      </c>
      <c r="B3239">
        <v>7082700</v>
      </c>
    </row>
    <row r="3240" spans="1:2" x14ac:dyDescent="0.4">
      <c r="A3240" s="4">
        <v>1001000</v>
      </c>
      <c r="B3240">
        <v>7082800</v>
      </c>
    </row>
    <row r="3241" spans="1:2" x14ac:dyDescent="0.4">
      <c r="A3241" s="4">
        <v>1001000</v>
      </c>
      <c r="B3241">
        <v>7082900</v>
      </c>
    </row>
    <row r="3242" spans="1:2" x14ac:dyDescent="0.4">
      <c r="A3242" s="4">
        <v>1001000</v>
      </c>
      <c r="B3242">
        <v>7090000</v>
      </c>
    </row>
    <row r="3243" spans="1:2" x14ac:dyDescent="0.4">
      <c r="A3243" s="4">
        <v>1001000</v>
      </c>
      <c r="B3243">
        <v>7090100</v>
      </c>
    </row>
    <row r="3244" spans="1:2" x14ac:dyDescent="0.4">
      <c r="A3244" s="4">
        <v>1001000</v>
      </c>
      <c r="B3244">
        <v>7090300</v>
      </c>
    </row>
    <row r="3245" spans="1:2" x14ac:dyDescent="0.4">
      <c r="A3245" s="4">
        <v>1001000</v>
      </c>
      <c r="B3245">
        <v>7100100</v>
      </c>
    </row>
    <row r="3246" spans="1:2" x14ac:dyDescent="0.4">
      <c r="A3246" s="4">
        <v>1001000</v>
      </c>
      <c r="B3246">
        <v>7110000</v>
      </c>
    </row>
    <row r="3247" spans="1:2" x14ac:dyDescent="0.4">
      <c r="A3247" s="4">
        <v>1001000</v>
      </c>
      <c r="B3247">
        <v>7120000</v>
      </c>
    </row>
    <row r="3248" spans="1:2" x14ac:dyDescent="0.4">
      <c r="A3248" s="4">
        <v>1001000</v>
      </c>
      <c r="B3248">
        <v>7120100</v>
      </c>
    </row>
    <row r="3249" spans="1:2" x14ac:dyDescent="0.4">
      <c r="A3249" s="4">
        <v>1001000</v>
      </c>
      <c r="B3249">
        <v>7120200</v>
      </c>
    </row>
    <row r="3250" spans="1:2" x14ac:dyDescent="0.4">
      <c r="A3250" s="4">
        <v>1001000</v>
      </c>
      <c r="B3250">
        <v>7120300</v>
      </c>
    </row>
    <row r="3251" spans="1:2" x14ac:dyDescent="0.4">
      <c r="A3251" s="4">
        <v>1001000</v>
      </c>
      <c r="B3251">
        <v>7120400</v>
      </c>
    </row>
    <row r="3252" spans="1:2" x14ac:dyDescent="0.4">
      <c r="A3252" s="4">
        <v>1001000</v>
      </c>
      <c r="B3252">
        <v>7120500</v>
      </c>
    </row>
    <row r="3253" spans="1:2" x14ac:dyDescent="0.4">
      <c r="A3253" s="4">
        <v>1001000</v>
      </c>
      <c r="B3253">
        <v>7120600</v>
      </c>
    </row>
    <row r="3254" spans="1:2" x14ac:dyDescent="0.4">
      <c r="A3254" s="4">
        <v>1001000</v>
      </c>
      <c r="B3254">
        <v>7120900</v>
      </c>
    </row>
    <row r="3255" spans="1:2" x14ac:dyDescent="0.4">
      <c r="A3255" s="4">
        <v>1001000</v>
      </c>
      <c r="B3255">
        <v>7121000</v>
      </c>
    </row>
    <row r="3256" spans="1:2" x14ac:dyDescent="0.4">
      <c r="A3256" s="4">
        <v>1001000</v>
      </c>
      <c r="B3256">
        <v>7121100</v>
      </c>
    </row>
    <row r="3257" spans="1:2" x14ac:dyDescent="0.4">
      <c r="A3257" s="4">
        <v>1001000</v>
      </c>
      <c r="B3257">
        <v>7121200</v>
      </c>
    </row>
    <row r="3258" spans="1:2" x14ac:dyDescent="0.4">
      <c r="A3258" s="4">
        <v>1001000</v>
      </c>
      <c r="B3258">
        <v>7121300</v>
      </c>
    </row>
    <row r="3259" spans="1:2" x14ac:dyDescent="0.4">
      <c r="A3259" s="4">
        <v>1001000</v>
      </c>
      <c r="B3259">
        <v>7121400</v>
      </c>
    </row>
    <row r="3260" spans="1:2" x14ac:dyDescent="0.4">
      <c r="A3260" s="4">
        <v>1001000</v>
      </c>
      <c r="B3260">
        <v>7121500</v>
      </c>
    </row>
    <row r="3261" spans="1:2" x14ac:dyDescent="0.4">
      <c r="A3261" s="4">
        <v>1001000</v>
      </c>
      <c r="B3261">
        <v>7121600</v>
      </c>
    </row>
    <row r="3262" spans="1:2" x14ac:dyDescent="0.4">
      <c r="A3262" s="4">
        <v>1001000</v>
      </c>
      <c r="B3262">
        <v>7121700</v>
      </c>
    </row>
    <row r="3263" spans="1:2" x14ac:dyDescent="0.4">
      <c r="A3263" s="4">
        <v>1001000</v>
      </c>
      <c r="B3263">
        <v>7121800</v>
      </c>
    </row>
    <row r="3264" spans="1:2" x14ac:dyDescent="0.4">
      <c r="A3264" s="4">
        <v>1001000</v>
      </c>
      <c r="B3264">
        <v>7121900</v>
      </c>
    </row>
    <row r="3265" spans="1:2" x14ac:dyDescent="0.4">
      <c r="A3265" s="4">
        <v>1001000</v>
      </c>
      <c r="B3265">
        <v>7122000</v>
      </c>
    </row>
    <row r="3266" spans="1:2" x14ac:dyDescent="0.4">
      <c r="A3266" s="4">
        <v>1001000</v>
      </c>
      <c r="B3266">
        <v>7122100</v>
      </c>
    </row>
    <row r="3267" spans="1:2" x14ac:dyDescent="0.4">
      <c r="A3267" s="4">
        <v>1001000</v>
      </c>
      <c r="B3267">
        <v>7122200</v>
      </c>
    </row>
    <row r="3268" spans="1:2" x14ac:dyDescent="0.4">
      <c r="A3268" s="4">
        <v>1001000</v>
      </c>
      <c r="B3268">
        <v>7122300</v>
      </c>
    </row>
    <row r="3269" spans="1:2" x14ac:dyDescent="0.4">
      <c r="A3269" s="4">
        <v>1001000</v>
      </c>
      <c r="B3269">
        <v>7122400</v>
      </c>
    </row>
    <row r="3270" spans="1:2" x14ac:dyDescent="0.4">
      <c r="A3270" s="4">
        <v>1001000</v>
      </c>
      <c r="B3270">
        <v>7122500</v>
      </c>
    </row>
    <row r="3271" spans="1:2" x14ac:dyDescent="0.4">
      <c r="A3271" s="4">
        <v>1001000</v>
      </c>
      <c r="B3271">
        <v>7122600</v>
      </c>
    </row>
    <row r="3272" spans="1:2" x14ac:dyDescent="0.4">
      <c r="A3272" s="4">
        <v>1001000</v>
      </c>
      <c r="B3272">
        <v>7122700</v>
      </c>
    </row>
    <row r="3273" spans="1:2" x14ac:dyDescent="0.4">
      <c r="A3273" s="4">
        <v>1001000</v>
      </c>
      <c r="B3273">
        <v>7122800</v>
      </c>
    </row>
    <row r="3274" spans="1:2" x14ac:dyDescent="0.4">
      <c r="A3274" s="4">
        <v>1001000</v>
      </c>
      <c r="B3274">
        <v>7122900</v>
      </c>
    </row>
    <row r="3275" spans="1:2" x14ac:dyDescent="0.4">
      <c r="A3275" s="4">
        <v>1001000</v>
      </c>
      <c r="B3275">
        <v>7123000</v>
      </c>
    </row>
    <row r="3276" spans="1:2" x14ac:dyDescent="0.4">
      <c r="A3276" s="4">
        <v>1001000</v>
      </c>
      <c r="B3276">
        <v>7123100</v>
      </c>
    </row>
    <row r="3277" spans="1:2" x14ac:dyDescent="0.4">
      <c r="A3277" s="4">
        <v>1001000</v>
      </c>
      <c r="B3277">
        <v>7123200</v>
      </c>
    </row>
    <row r="3278" spans="1:2" x14ac:dyDescent="0.4">
      <c r="A3278" s="4">
        <v>1001000</v>
      </c>
      <c r="B3278">
        <v>7123300</v>
      </c>
    </row>
    <row r="3279" spans="1:2" x14ac:dyDescent="0.4">
      <c r="A3279" s="4">
        <v>1001000</v>
      </c>
      <c r="B3279">
        <v>7123400</v>
      </c>
    </row>
    <row r="3280" spans="1:2" x14ac:dyDescent="0.4">
      <c r="A3280" s="4">
        <v>1001000</v>
      </c>
      <c r="B3280">
        <v>7123500</v>
      </c>
    </row>
    <row r="3281" spans="1:2" x14ac:dyDescent="0.4">
      <c r="A3281" s="4">
        <v>1001000</v>
      </c>
      <c r="B3281">
        <v>7123600</v>
      </c>
    </row>
    <row r="3282" spans="1:2" x14ac:dyDescent="0.4">
      <c r="A3282" s="4">
        <v>1001000</v>
      </c>
      <c r="B3282">
        <v>7123700</v>
      </c>
    </row>
    <row r="3283" spans="1:2" x14ac:dyDescent="0.4">
      <c r="A3283" s="4">
        <v>1001000</v>
      </c>
      <c r="B3283">
        <v>7123800</v>
      </c>
    </row>
    <row r="3284" spans="1:2" x14ac:dyDescent="0.4">
      <c r="A3284" s="4">
        <v>1001000</v>
      </c>
      <c r="B3284">
        <v>7123900</v>
      </c>
    </row>
    <row r="3285" spans="1:2" x14ac:dyDescent="0.4">
      <c r="A3285" s="4">
        <v>1001000</v>
      </c>
      <c r="B3285">
        <v>7124000</v>
      </c>
    </row>
    <row r="3286" spans="1:2" x14ac:dyDescent="0.4">
      <c r="A3286" s="4">
        <v>1001000</v>
      </c>
      <c r="B3286">
        <v>7124100</v>
      </c>
    </row>
    <row r="3287" spans="1:2" x14ac:dyDescent="0.4">
      <c r="A3287" s="4">
        <v>1001000</v>
      </c>
      <c r="B3287">
        <v>7124300</v>
      </c>
    </row>
    <row r="3288" spans="1:2" x14ac:dyDescent="0.4">
      <c r="A3288" s="4">
        <v>1001000</v>
      </c>
      <c r="B3288">
        <v>7124400</v>
      </c>
    </row>
    <row r="3289" spans="1:2" x14ac:dyDescent="0.4">
      <c r="A3289" s="4">
        <v>1001000</v>
      </c>
      <c r="B3289">
        <v>7124500</v>
      </c>
    </row>
    <row r="3290" spans="1:2" x14ac:dyDescent="0.4">
      <c r="A3290" s="4">
        <v>1001000</v>
      </c>
      <c r="B3290">
        <v>7124600</v>
      </c>
    </row>
    <row r="3291" spans="1:2" x14ac:dyDescent="0.4">
      <c r="A3291" s="4">
        <v>1001000</v>
      </c>
      <c r="B3291">
        <v>7124700</v>
      </c>
    </row>
    <row r="3292" spans="1:2" x14ac:dyDescent="0.4">
      <c r="A3292" s="4">
        <v>1001000</v>
      </c>
      <c r="B3292">
        <v>7126000</v>
      </c>
    </row>
    <row r="3293" spans="1:2" x14ac:dyDescent="0.4">
      <c r="A3293" s="4">
        <v>1001000</v>
      </c>
      <c r="B3293">
        <v>7150000</v>
      </c>
    </row>
    <row r="3294" spans="1:2" x14ac:dyDescent="0.4">
      <c r="A3294" s="4">
        <v>1001000</v>
      </c>
      <c r="B3294">
        <v>7160000</v>
      </c>
    </row>
    <row r="3295" spans="1:2" x14ac:dyDescent="0.4">
      <c r="A3295" s="4">
        <v>1001000</v>
      </c>
      <c r="B3295">
        <v>7220000</v>
      </c>
    </row>
    <row r="3296" spans="1:2" x14ac:dyDescent="0.4">
      <c r="A3296" s="4">
        <v>1001000</v>
      </c>
      <c r="B3296">
        <v>7230000</v>
      </c>
    </row>
    <row r="3297" spans="1:2" x14ac:dyDescent="0.4">
      <c r="A3297" s="4">
        <v>1001000</v>
      </c>
      <c r="B3297">
        <v>7240000</v>
      </c>
    </row>
    <row r="3298" spans="1:2" x14ac:dyDescent="0.4">
      <c r="A3298" s="4">
        <v>1001000</v>
      </c>
      <c r="B3298">
        <v>7260000</v>
      </c>
    </row>
    <row r="3299" spans="1:2" x14ac:dyDescent="0.4">
      <c r="A3299" s="4">
        <v>1001000</v>
      </c>
      <c r="B3299">
        <v>7260300</v>
      </c>
    </row>
    <row r="3300" spans="1:2" x14ac:dyDescent="0.4">
      <c r="A3300" s="4">
        <v>1001000</v>
      </c>
      <c r="B3300">
        <v>7260400</v>
      </c>
    </row>
    <row r="3301" spans="1:2" x14ac:dyDescent="0.4">
      <c r="A3301" s="4">
        <v>1001000</v>
      </c>
      <c r="B3301">
        <v>7270100</v>
      </c>
    </row>
    <row r="3302" spans="1:2" x14ac:dyDescent="0.4">
      <c r="A3302" s="4">
        <v>1001000</v>
      </c>
      <c r="B3302">
        <v>7280000</v>
      </c>
    </row>
    <row r="3303" spans="1:2" x14ac:dyDescent="0.4">
      <c r="A3303" s="4">
        <v>1001000</v>
      </c>
      <c r="B3303">
        <v>7290000</v>
      </c>
    </row>
    <row r="3304" spans="1:2" x14ac:dyDescent="0.4">
      <c r="A3304" s="4">
        <v>1001000</v>
      </c>
      <c r="B3304">
        <v>7310000</v>
      </c>
    </row>
    <row r="3305" spans="1:2" x14ac:dyDescent="0.4">
      <c r="A3305" s="4">
        <v>1001000</v>
      </c>
      <c r="B3305">
        <v>7330000</v>
      </c>
    </row>
    <row r="3306" spans="1:2" x14ac:dyDescent="0.4">
      <c r="A3306" s="4">
        <v>1001000</v>
      </c>
      <c r="B3306">
        <v>7330100</v>
      </c>
    </row>
    <row r="3307" spans="1:2" x14ac:dyDescent="0.4">
      <c r="A3307" s="4">
        <v>1001000</v>
      </c>
      <c r="B3307">
        <v>7330200</v>
      </c>
    </row>
    <row r="3308" spans="1:2" x14ac:dyDescent="0.4">
      <c r="A3308" s="4">
        <v>1001000</v>
      </c>
      <c r="B3308">
        <v>7330300</v>
      </c>
    </row>
    <row r="3309" spans="1:2" x14ac:dyDescent="0.4">
      <c r="A3309" s="4">
        <v>1001000</v>
      </c>
      <c r="B3309">
        <v>7330400</v>
      </c>
    </row>
    <row r="3310" spans="1:2" x14ac:dyDescent="0.4">
      <c r="A3310" s="4">
        <v>1001000</v>
      </c>
      <c r="B3310">
        <v>7330500</v>
      </c>
    </row>
    <row r="3311" spans="1:2" x14ac:dyDescent="0.4">
      <c r="A3311" s="4">
        <v>1001000</v>
      </c>
      <c r="B3311">
        <v>7330600</v>
      </c>
    </row>
    <row r="3312" spans="1:2" x14ac:dyDescent="0.4">
      <c r="A3312" s="4">
        <v>1001000</v>
      </c>
      <c r="B3312">
        <v>7330700</v>
      </c>
    </row>
    <row r="3313" spans="1:2" x14ac:dyDescent="0.4">
      <c r="A3313" s="4">
        <v>1001000</v>
      </c>
      <c r="B3313">
        <v>7330800</v>
      </c>
    </row>
    <row r="3314" spans="1:2" x14ac:dyDescent="0.4">
      <c r="A3314" s="4">
        <v>1001000</v>
      </c>
      <c r="B3314">
        <v>7330900</v>
      </c>
    </row>
    <row r="3315" spans="1:2" x14ac:dyDescent="0.4">
      <c r="A3315" s="4">
        <v>1001000</v>
      </c>
      <c r="B3315">
        <v>7331000</v>
      </c>
    </row>
    <row r="3316" spans="1:2" x14ac:dyDescent="0.4">
      <c r="A3316" s="4">
        <v>1001000</v>
      </c>
      <c r="B3316">
        <v>7331100</v>
      </c>
    </row>
    <row r="3317" spans="1:2" x14ac:dyDescent="0.4">
      <c r="A3317" s="4">
        <v>1001000</v>
      </c>
      <c r="B3317">
        <v>7331200</v>
      </c>
    </row>
    <row r="3318" spans="1:2" x14ac:dyDescent="0.4">
      <c r="A3318" s="4">
        <v>1001000</v>
      </c>
      <c r="B3318">
        <v>7331300</v>
      </c>
    </row>
    <row r="3319" spans="1:2" x14ac:dyDescent="0.4">
      <c r="A3319" s="4">
        <v>1001000</v>
      </c>
      <c r="B3319">
        <v>7331400</v>
      </c>
    </row>
    <row r="3320" spans="1:2" x14ac:dyDescent="0.4">
      <c r="A3320" s="4">
        <v>1001000</v>
      </c>
      <c r="B3320">
        <v>7331500</v>
      </c>
    </row>
    <row r="3321" spans="1:2" x14ac:dyDescent="0.4">
      <c r="A3321" s="4">
        <v>1001000</v>
      </c>
      <c r="B3321">
        <v>7331700</v>
      </c>
    </row>
    <row r="3322" spans="1:2" x14ac:dyDescent="0.4">
      <c r="A3322" s="4">
        <v>1001000</v>
      </c>
      <c r="B3322">
        <v>7331800</v>
      </c>
    </row>
    <row r="3323" spans="1:2" x14ac:dyDescent="0.4">
      <c r="A3323" s="4">
        <v>1001000</v>
      </c>
      <c r="B3323">
        <v>7331900</v>
      </c>
    </row>
    <row r="3324" spans="1:2" x14ac:dyDescent="0.4">
      <c r="A3324" s="4">
        <v>1001000</v>
      </c>
      <c r="B3324">
        <v>7332000</v>
      </c>
    </row>
    <row r="3325" spans="1:2" x14ac:dyDescent="0.4">
      <c r="A3325" s="4">
        <v>1001000</v>
      </c>
      <c r="B3325">
        <v>7332100</v>
      </c>
    </row>
    <row r="3326" spans="1:2" x14ac:dyDescent="0.4">
      <c r="A3326" s="4">
        <v>1001000</v>
      </c>
      <c r="B3326">
        <v>7332200</v>
      </c>
    </row>
    <row r="3327" spans="1:2" x14ac:dyDescent="0.4">
      <c r="A3327" s="4">
        <v>1001000</v>
      </c>
      <c r="B3327">
        <v>7332300</v>
      </c>
    </row>
    <row r="3328" spans="1:2" x14ac:dyDescent="0.4">
      <c r="A3328" s="4">
        <v>1001000</v>
      </c>
      <c r="B3328">
        <v>7332400</v>
      </c>
    </row>
    <row r="3329" spans="1:2" x14ac:dyDescent="0.4">
      <c r="A3329" s="4">
        <v>1001000</v>
      </c>
      <c r="B3329">
        <v>7340000</v>
      </c>
    </row>
    <row r="3330" spans="1:2" x14ac:dyDescent="0.4">
      <c r="A3330" s="4">
        <v>1001000</v>
      </c>
      <c r="B3330">
        <v>7340100</v>
      </c>
    </row>
    <row r="3331" spans="1:2" x14ac:dyDescent="0.4">
      <c r="A3331" s="4">
        <v>1001000</v>
      </c>
      <c r="B3331">
        <v>7340200</v>
      </c>
    </row>
    <row r="3332" spans="1:2" x14ac:dyDescent="0.4">
      <c r="A3332" s="4">
        <v>1001000</v>
      </c>
      <c r="B3332">
        <v>7340300</v>
      </c>
    </row>
    <row r="3333" spans="1:2" x14ac:dyDescent="0.4">
      <c r="A3333" s="4">
        <v>1001000</v>
      </c>
      <c r="B3333">
        <v>7340400</v>
      </c>
    </row>
    <row r="3334" spans="1:2" x14ac:dyDescent="0.4">
      <c r="A3334" s="4">
        <v>1001000</v>
      </c>
      <c r="B3334">
        <v>7340500</v>
      </c>
    </row>
    <row r="3335" spans="1:2" x14ac:dyDescent="0.4">
      <c r="A3335" s="4">
        <v>1001000</v>
      </c>
      <c r="B3335">
        <v>7340600</v>
      </c>
    </row>
    <row r="3336" spans="1:2" x14ac:dyDescent="0.4">
      <c r="A3336" s="4">
        <v>1001000</v>
      </c>
      <c r="B3336">
        <v>7340700</v>
      </c>
    </row>
    <row r="3337" spans="1:2" x14ac:dyDescent="0.4">
      <c r="A3337" s="4">
        <v>1001000</v>
      </c>
      <c r="B3337">
        <v>7340800</v>
      </c>
    </row>
    <row r="3338" spans="1:2" x14ac:dyDescent="0.4">
      <c r="A3338" s="4">
        <v>1001000</v>
      </c>
      <c r="B3338">
        <v>7340900</v>
      </c>
    </row>
    <row r="3339" spans="1:2" x14ac:dyDescent="0.4">
      <c r="A3339" s="4">
        <v>1001000</v>
      </c>
      <c r="B3339">
        <v>7341000</v>
      </c>
    </row>
    <row r="3340" spans="1:2" x14ac:dyDescent="0.4">
      <c r="A3340" s="4">
        <v>1001000</v>
      </c>
      <c r="B3340">
        <v>7341100</v>
      </c>
    </row>
    <row r="3341" spans="1:2" x14ac:dyDescent="0.4">
      <c r="A3341" s="4">
        <v>1001000</v>
      </c>
      <c r="B3341">
        <v>7341200</v>
      </c>
    </row>
    <row r="3342" spans="1:2" x14ac:dyDescent="0.4">
      <c r="A3342" s="4">
        <v>1001000</v>
      </c>
      <c r="B3342">
        <v>7341300</v>
      </c>
    </row>
    <row r="3343" spans="1:2" x14ac:dyDescent="0.4">
      <c r="A3343" s="4">
        <v>1001000</v>
      </c>
      <c r="B3343">
        <v>7341400</v>
      </c>
    </row>
    <row r="3344" spans="1:2" x14ac:dyDescent="0.4">
      <c r="A3344" s="4">
        <v>1001000</v>
      </c>
      <c r="B3344">
        <v>7341500</v>
      </c>
    </row>
    <row r="3345" spans="1:2" x14ac:dyDescent="0.4">
      <c r="A3345" s="4">
        <v>1001000</v>
      </c>
      <c r="B3345">
        <v>7341700</v>
      </c>
    </row>
    <row r="3346" spans="1:2" x14ac:dyDescent="0.4">
      <c r="A3346" s="4">
        <v>1001000</v>
      </c>
      <c r="B3346">
        <v>7341800</v>
      </c>
    </row>
    <row r="3347" spans="1:2" x14ac:dyDescent="0.4">
      <c r="A3347" s="4">
        <v>1001000</v>
      </c>
      <c r="B3347">
        <v>7341900</v>
      </c>
    </row>
    <row r="3348" spans="1:2" x14ac:dyDescent="0.4">
      <c r="A3348" s="4">
        <v>1001000</v>
      </c>
      <c r="B3348">
        <v>7342000</v>
      </c>
    </row>
    <row r="3349" spans="1:2" x14ac:dyDescent="0.4">
      <c r="A3349" s="4">
        <v>1001000</v>
      </c>
      <c r="B3349">
        <v>7342100</v>
      </c>
    </row>
    <row r="3350" spans="1:2" x14ac:dyDescent="0.4">
      <c r="A3350" s="4">
        <v>1001000</v>
      </c>
      <c r="B3350">
        <v>7342200</v>
      </c>
    </row>
    <row r="3351" spans="1:2" x14ac:dyDescent="0.4">
      <c r="A3351" s="4">
        <v>1001000</v>
      </c>
      <c r="B3351">
        <v>7342300</v>
      </c>
    </row>
    <row r="3352" spans="1:2" x14ac:dyDescent="0.4">
      <c r="A3352" s="4">
        <v>1001000</v>
      </c>
      <c r="B3352">
        <v>7342400</v>
      </c>
    </row>
    <row r="3353" spans="1:2" x14ac:dyDescent="0.4">
      <c r="A3353" s="4">
        <v>1001000</v>
      </c>
      <c r="B3353">
        <v>7350000</v>
      </c>
    </row>
    <row r="3354" spans="1:2" x14ac:dyDescent="0.4">
      <c r="A3354" s="4">
        <v>1001000</v>
      </c>
      <c r="B3354">
        <v>7350100</v>
      </c>
    </row>
    <row r="3355" spans="1:2" x14ac:dyDescent="0.4">
      <c r="A3355" s="4">
        <v>1001000</v>
      </c>
      <c r="B3355">
        <v>7350200</v>
      </c>
    </row>
    <row r="3356" spans="1:2" x14ac:dyDescent="0.4">
      <c r="A3356" s="4">
        <v>1001000</v>
      </c>
      <c r="B3356">
        <v>7350300</v>
      </c>
    </row>
    <row r="3357" spans="1:2" x14ac:dyDescent="0.4">
      <c r="A3357" s="4">
        <v>1001000</v>
      </c>
      <c r="B3357">
        <v>7350400</v>
      </c>
    </row>
    <row r="3358" spans="1:2" x14ac:dyDescent="0.4">
      <c r="A3358" s="4">
        <v>1001000</v>
      </c>
      <c r="B3358">
        <v>7350500</v>
      </c>
    </row>
    <row r="3359" spans="1:2" x14ac:dyDescent="0.4">
      <c r="A3359" s="4">
        <v>1001000</v>
      </c>
      <c r="B3359">
        <v>7350600</v>
      </c>
    </row>
    <row r="3360" spans="1:2" x14ac:dyDescent="0.4">
      <c r="A3360" s="4">
        <v>1001000</v>
      </c>
      <c r="B3360">
        <v>7350700</v>
      </c>
    </row>
    <row r="3361" spans="1:2" x14ac:dyDescent="0.4">
      <c r="A3361" s="4">
        <v>1001000</v>
      </c>
      <c r="B3361">
        <v>7350800</v>
      </c>
    </row>
    <row r="3362" spans="1:2" x14ac:dyDescent="0.4">
      <c r="A3362" s="4">
        <v>1001000</v>
      </c>
      <c r="B3362">
        <v>7350900</v>
      </c>
    </row>
    <row r="3363" spans="1:2" x14ac:dyDescent="0.4">
      <c r="A3363" s="4">
        <v>1001000</v>
      </c>
      <c r="B3363">
        <v>7351000</v>
      </c>
    </row>
    <row r="3364" spans="1:2" x14ac:dyDescent="0.4">
      <c r="A3364" s="4">
        <v>1001000</v>
      </c>
      <c r="B3364">
        <v>7351100</v>
      </c>
    </row>
    <row r="3365" spans="1:2" x14ac:dyDescent="0.4">
      <c r="A3365" s="4">
        <v>1001000</v>
      </c>
      <c r="B3365">
        <v>7351200</v>
      </c>
    </row>
    <row r="3366" spans="1:2" x14ac:dyDescent="0.4">
      <c r="A3366" s="4">
        <v>1001000</v>
      </c>
      <c r="B3366">
        <v>7351300</v>
      </c>
    </row>
    <row r="3367" spans="1:2" x14ac:dyDescent="0.4">
      <c r="A3367" s="4">
        <v>1001000</v>
      </c>
      <c r="B3367">
        <v>7351400</v>
      </c>
    </row>
    <row r="3368" spans="1:2" x14ac:dyDescent="0.4">
      <c r="A3368" s="4">
        <v>1001000</v>
      </c>
      <c r="B3368">
        <v>7351500</v>
      </c>
    </row>
    <row r="3369" spans="1:2" x14ac:dyDescent="0.4">
      <c r="A3369" s="4">
        <v>1001000</v>
      </c>
      <c r="B3369">
        <v>7351700</v>
      </c>
    </row>
    <row r="3370" spans="1:2" x14ac:dyDescent="0.4">
      <c r="A3370" s="4">
        <v>1001000</v>
      </c>
      <c r="B3370">
        <v>7351800</v>
      </c>
    </row>
    <row r="3371" spans="1:2" x14ac:dyDescent="0.4">
      <c r="A3371" s="4">
        <v>1001000</v>
      </c>
      <c r="B3371">
        <v>7351900</v>
      </c>
    </row>
    <row r="3372" spans="1:2" x14ac:dyDescent="0.4">
      <c r="A3372" s="4">
        <v>1001000</v>
      </c>
      <c r="B3372">
        <v>7352000</v>
      </c>
    </row>
    <row r="3373" spans="1:2" x14ac:dyDescent="0.4">
      <c r="A3373" s="4">
        <v>1001000</v>
      </c>
      <c r="B3373">
        <v>7352100</v>
      </c>
    </row>
    <row r="3374" spans="1:2" x14ac:dyDescent="0.4">
      <c r="A3374" s="4">
        <v>1001000</v>
      </c>
      <c r="B3374">
        <v>7352200</v>
      </c>
    </row>
    <row r="3375" spans="1:2" x14ac:dyDescent="0.4">
      <c r="A3375" s="4">
        <v>1001000</v>
      </c>
      <c r="B3375">
        <v>7352300</v>
      </c>
    </row>
    <row r="3376" spans="1:2" x14ac:dyDescent="0.4">
      <c r="A3376" s="4">
        <v>1001000</v>
      </c>
      <c r="B3376">
        <v>7352400</v>
      </c>
    </row>
    <row r="3377" spans="1:2" x14ac:dyDescent="0.4">
      <c r="A3377" s="4">
        <v>1001000</v>
      </c>
      <c r="B3377">
        <v>7360600</v>
      </c>
    </row>
    <row r="3378" spans="1:2" x14ac:dyDescent="0.4">
      <c r="A3378" s="4">
        <v>1001000</v>
      </c>
      <c r="B3378">
        <v>7360900</v>
      </c>
    </row>
    <row r="3379" spans="1:2" x14ac:dyDescent="0.4">
      <c r="A3379" s="4">
        <v>1001000</v>
      </c>
      <c r="B3379">
        <v>7361200</v>
      </c>
    </row>
    <row r="3380" spans="1:2" x14ac:dyDescent="0.4">
      <c r="A3380" s="4">
        <v>1001000</v>
      </c>
      <c r="B3380">
        <v>7361300</v>
      </c>
    </row>
    <row r="3381" spans="1:2" x14ac:dyDescent="0.4">
      <c r="A3381" s="4">
        <v>1001000</v>
      </c>
      <c r="B3381">
        <v>7362100</v>
      </c>
    </row>
    <row r="3382" spans="1:2" x14ac:dyDescent="0.4">
      <c r="A3382" s="4">
        <v>1001000</v>
      </c>
      <c r="B3382">
        <v>7370300</v>
      </c>
    </row>
    <row r="3383" spans="1:2" x14ac:dyDescent="0.4">
      <c r="A3383" s="4">
        <v>1001000</v>
      </c>
      <c r="B3383">
        <v>7370400</v>
      </c>
    </row>
    <row r="3384" spans="1:2" x14ac:dyDescent="0.4">
      <c r="A3384" s="4">
        <v>1001000</v>
      </c>
      <c r="B3384">
        <v>7370600</v>
      </c>
    </row>
    <row r="3385" spans="1:2" x14ac:dyDescent="0.4">
      <c r="A3385" s="4">
        <v>1001000</v>
      </c>
      <c r="B3385">
        <v>7370900</v>
      </c>
    </row>
    <row r="3386" spans="1:2" x14ac:dyDescent="0.4">
      <c r="A3386" s="4">
        <v>1001000</v>
      </c>
      <c r="B3386">
        <v>7371500</v>
      </c>
    </row>
    <row r="3387" spans="1:2" x14ac:dyDescent="0.4">
      <c r="A3387" s="4">
        <v>1001000</v>
      </c>
      <c r="B3387">
        <v>7036200</v>
      </c>
    </row>
    <row r="3388" spans="1:2" x14ac:dyDescent="0.4">
      <c r="A3388" s="4">
        <v>1001000</v>
      </c>
      <c r="B3388">
        <v>7036300</v>
      </c>
    </row>
    <row r="3389" spans="1:2" x14ac:dyDescent="0.4">
      <c r="A3389" s="4">
        <v>1001000</v>
      </c>
      <c r="B3389">
        <v>7036400</v>
      </c>
    </row>
    <row r="3390" spans="1:2" x14ac:dyDescent="0.4">
      <c r="A3390" s="4">
        <v>1001000</v>
      </c>
      <c r="B3390">
        <v>7036500</v>
      </c>
    </row>
    <row r="3391" spans="1:2" x14ac:dyDescent="0.4">
      <c r="A3391" s="4">
        <v>1001000</v>
      </c>
      <c r="B3391">
        <v>7036800</v>
      </c>
    </row>
    <row r="3392" spans="1:2" x14ac:dyDescent="0.4">
      <c r="A3392" s="4">
        <v>1001000</v>
      </c>
      <c r="B3392">
        <v>7036900</v>
      </c>
    </row>
    <row r="3393" spans="1:2" x14ac:dyDescent="0.4">
      <c r="A3393" s="4">
        <v>1001000</v>
      </c>
      <c r="B3393">
        <v>7037000</v>
      </c>
    </row>
    <row r="3394" spans="1:2" x14ac:dyDescent="0.4">
      <c r="A3394" s="4">
        <v>1001000</v>
      </c>
      <c r="B3394">
        <v>7037300</v>
      </c>
    </row>
    <row r="3395" spans="1:2" x14ac:dyDescent="0.4">
      <c r="A3395" s="4">
        <v>1001000</v>
      </c>
      <c r="B3395">
        <v>6630000</v>
      </c>
    </row>
    <row r="3396" spans="1:2" x14ac:dyDescent="0.4">
      <c r="A3396" s="4">
        <v>1001000</v>
      </c>
      <c r="B3396">
        <v>6630100</v>
      </c>
    </row>
    <row r="3397" spans="1:2" x14ac:dyDescent="0.4">
      <c r="A3397" s="4">
        <v>1001000</v>
      </c>
      <c r="B3397">
        <v>6630200</v>
      </c>
    </row>
    <row r="3398" spans="1:2" x14ac:dyDescent="0.4">
      <c r="A3398" s="4">
        <v>1001000</v>
      </c>
      <c r="B3398">
        <v>6630300</v>
      </c>
    </row>
    <row r="3399" spans="1:2" x14ac:dyDescent="0.4">
      <c r="A3399" s="4">
        <v>1001000</v>
      </c>
      <c r="B3399">
        <v>6630400</v>
      </c>
    </row>
    <row r="3400" spans="1:2" x14ac:dyDescent="0.4">
      <c r="A3400" s="4">
        <v>1001000</v>
      </c>
      <c r="B3400">
        <v>6630500</v>
      </c>
    </row>
    <row r="3401" spans="1:2" x14ac:dyDescent="0.4">
      <c r="A3401" s="4">
        <v>1001000</v>
      </c>
      <c r="B3401">
        <v>6630600</v>
      </c>
    </row>
    <row r="3402" spans="1:2" x14ac:dyDescent="0.4">
      <c r="A3402" s="4">
        <v>1001000</v>
      </c>
      <c r="B3402">
        <v>6630700</v>
      </c>
    </row>
    <row r="3403" spans="1:2" x14ac:dyDescent="0.4">
      <c r="A3403" s="4">
        <v>1001000</v>
      </c>
      <c r="B3403">
        <v>6630800</v>
      </c>
    </row>
    <row r="3404" spans="1:2" x14ac:dyDescent="0.4">
      <c r="A3404" s="4">
        <v>1001000</v>
      </c>
      <c r="B3404">
        <v>6630900</v>
      </c>
    </row>
    <row r="3405" spans="1:2" x14ac:dyDescent="0.4">
      <c r="A3405" s="4">
        <v>1001000</v>
      </c>
      <c r="B3405">
        <v>6631000</v>
      </c>
    </row>
    <row r="3406" spans="1:2" x14ac:dyDescent="0.4">
      <c r="A3406" s="4">
        <v>1001000</v>
      </c>
      <c r="B3406">
        <v>6631100</v>
      </c>
    </row>
    <row r="3407" spans="1:2" x14ac:dyDescent="0.4">
      <c r="A3407" s="4">
        <v>1001000</v>
      </c>
      <c r="B3407">
        <v>6631200</v>
      </c>
    </row>
    <row r="3408" spans="1:2" x14ac:dyDescent="0.4">
      <c r="A3408" s="4">
        <v>1001000</v>
      </c>
      <c r="B3408">
        <v>6631300</v>
      </c>
    </row>
    <row r="3409" spans="1:2" x14ac:dyDescent="0.4">
      <c r="A3409" s="4">
        <v>1001000</v>
      </c>
      <c r="B3409">
        <v>6631400</v>
      </c>
    </row>
    <row r="3410" spans="1:2" x14ac:dyDescent="0.4">
      <c r="A3410" s="4">
        <v>1001000</v>
      </c>
      <c r="B3410">
        <v>6631500</v>
      </c>
    </row>
    <row r="3411" spans="1:2" x14ac:dyDescent="0.4">
      <c r="A3411" s="4">
        <v>1001000</v>
      </c>
      <c r="B3411">
        <v>6631600</v>
      </c>
    </row>
    <row r="3412" spans="1:2" x14ac:dyDescent="0.4">
      <c r="A3412" s="4">
        <v>1001000</v>
      </c>
      <c r="B3412">
        <v>6631700</v>
      </c>
    </row>
    <row r="3413" spans="1:2" x14ac:dyDescent="0.4">
      <c r="A3413" s="4">
        <v>1001000</v>
      </c>
      <c r="B3413">
        <v>6631800</v>
      </c>
    </row>
    <row r="3414" spans="1:2" x14ac:dyDescent="0.4">
      <c r="A3414" s="4">
        <v>1001000</v>
      </c>
      <c r="B3414">
        <v>6631900</v>
      </c>
    </row>
    <row r="3415" spans="1:2" x14ac:dyDescent="0.4">
      <c r="A3415" s="4">
        <v>1001000</v>
      </c>
      <c r="B3415">
        <v>6632000</v>
      </c>
    </row>
    <row r="3416" spans="1:2" x14ac:dyDescent="0.4">
      <c r="A3416" s="4">
        <v>1001000</v>
      </c>
      <c r="B3416">
        <v>6632100</v>
      </c>
    </row>
    <row r="3417" spans="1:2" x14ac:dyDescent="0.4">
      <c r="A3417" s="4">
        <v>1001000</v>
      </c>
      <c r="B3417">
        <v>6632200</v>
      </c>
    </row>
    <row r="3418" spans="1:2" x14ac:dyDescent="0.4">
      <c r="A3418" s="4">
        <v>1001000</v>
      </c>
      <c r="B3418">
        <v>6632300</v>
      </c>
    </row>
    <row r="3419" spans="1:2" x14ac:dyDescent="0.4">
      <c r="A3419" s="4">
        <v>1001000</v>
      </c>
      <c r="B3419">
        <v>6632400</v>
      </c>
    </row>
    <row r="3420" spans="1:2" x14ac:dyDescent="0.4">
      <c r="A3420" s="4">
        <v>1001000</v>
      </c>
      <c r="B3420">
        <v>6632500</v>
      </c>
    </row>
    <row r="3421" spans="1:2" x14ac:dyDescent="0.4">
      <c r="A3421" s="4">
        <v>1001000</v>
      </c>
      <c r="B3421">
        <v>6632600</v>
      </c>
    </row>
    <row r="3422" spans="1:2" x14ac:dyDescent="0.4">
      <c r="A3422" s="4">
        <v>1001000</v>
      </c>
      <c r="B3422">
        <v>6632700</v>
      </c>
    </row>
    <row r="3423" spans="1:2" x14ac:dyDescent="0.4">
      <c r="A3423" s="4">
        <v>1001000</v>
      </c>
      <c r="B3423">
        <v>6632800</v>
      </c>
    </row>
    <row r="3424" spans="1:2" x14ac:dyDescent="0.4">
      <c r="A3424" s="4">
        <v>1001000</v>
      </c>
      <c r="B3424">
        <v>6632900</v>
      </c>
    </row>
    <row r="3425" spans="1:2" x14ac:dyDescent="0.4">
      <c r="A3425" s="4">
        <v>1001000</v>
      </c>
      <c r="B3425">
        <v>6633000</v>
      </c>
    </row>
    <row r="3426" spans="1:2" x14ac:dyDescent="0.4">
      <c r="A3426" s="4">
        <v>1001000</v>
      </c>
      <c r="B3426">
        <v>6633100</v>
      </c>
    </row>
    <row r="3427" spans="1:2" x14ac:dyDescent="0.4">
      <c r="A3427" s="4">
        <v>1001000</v>
      </c>
      <c r="B3427">
        <v>6633200</v>
      </c>
    </row>
    <row r="3428" spans="1:2" x14ac:dyDescent="0.4">
      <c r="A3428" s="4">
        <v>1001000</v>
      </c>
      <c r="B3428">
        <v>6647200</v>
      </c>
    </row>
    <row r="3429" spans="1:2" x14ac:dyDescent="0.4">
      <c r="A3429" s="4">
        <v>1001000</v>
      </c>
      <c r="B3429">
        <v>6647300</v>
      </c>
    </row>
    <row r="3430" spans="1:2" x14ac:dyDescent="0.4">
      <c r="A3430" s="4">
        <v>1001000</v>
      </c>
      <c r="B3430">
        <v>6647400</v>
      </c>
    </row>
    <row r="3431" spans="1:2" x14ac:dyDescent="0.4">
      <c r="A3431" s="4">
        <v>1001000</v>
      </c>
      <c r="B3431">
        <v>6647500</v>
      </c>
    </row>
    <row r="3432" spans="1:2" x14ac:dyDescent="0.4">
      <c r="A3432" s="4">
        <v>1001000</v>
      </c>
      <c r="B3432">
        <v>6640000</v>
      </c>
    </row>
    <row r="3433" spans="1:2" x14ac:dyDescent="0.4">
      <c r="A3433" s="4">
        <v>1001000</v>
      </c>
      <c r="B3433">
        <v>6640100</v>
      </c>
    </row>
    <row r="3434" spans="1:2" x14ac:dyDescent="0.4">
      <c r="A3434" s="4">
        <v>1001000</v>
      </c>
      <c r="B3434">
        <v>6641000</v>
      </c>
    </row>
    <row r="3435" spans="1:2" x14ac:dyDescent="0.4">
      <c r="A3435" s="4">
        <v>1001000</v>
      </c>
      <c r="B3435">
        <v>6641100</v>
      </c>
    </row>
    <row r="3436" spans="1:2" x14ac:dyDescent="0.4">
      <c r="A3436" s="4">
        <v>1001000</v>
      </c>
      <c r="B3436">
        <v>6642000</v>
      </c>
    </row>
    <row r="3437" spans="1:2" x14ac:dyDescent="0.4">
      <c r="A3437" s="4">
        <v>1001000</v>
      </c>
      <c r="B3437">
        <v>6642100</v>
      </c>
    </row>
    <row r="3438" spans="1:2" x14ac:dyDescent="0.4">
      <c r="A3438" s="4">
        <v>1001000</v>
      </c>
      <c r="B3438">
        <v>6643000</v>
      </c>
    </row>
    <row r="3439" spans="1:2" x14ac:dyDescent="0.4">
      <c r="A3439" s="4">
        <v>1001000</v>
      </c>
      <c r="B3439">
        <v>6643100</v>
      </c>
    </row>
    <row r="3440" spans="1:2" x14ac:dyDescent="0.4">
      <c r="A3440" s="4">
        <v>1001000</v>
      </c>
      <c r="B3440">
        <v>6644000</v>
      </c>
    </row>
    <row r="3441" spans="1:2" x14ac:dyDescent="0.4">
      <c r="A3441" s="4">
        <v>1001000</v>
      </c>
      <c r="B3441">
        <v>6644100</v>
      </c>
    </row>
    <row r="3442" spans="1:2" x14ac:dyDescent="0.4">
      <c r="A3442" s="4">
        <v>1001000</v>
      </c>
      <c r="B3442">
        <v>6645000</v>
      </c>
    </row>
    <row r="3443" spans="1:2" x14ac:dyDescent="0.4">
      <c r="A3443" s="4">
        <v>1001000</v>
      </c>
      <c r="B3443">
        <v>6645100</v>
      </c>
    </row>
    <row r="3444" spans="1:2" x14ac:dyDescent="0.4">
      <c r="A3444" s="4">
        <v>1001000</v>
      </c>
      <c r="B3444">
        <v>6646000</v>
      </c>
    </row>
    <row r="3445" spans="1:2" x14ac:dyDescent="0.4">
      <c r="A3445" s="4">
        <v>1001000</v>
      </c>
      <c r="B3445">
        <v>6646100</v>
      </c>
    </row>
    <row r="3446" spans="1:2" x14ac:dyDescent="0.4">
      <c r="A3446" s="4">
        <v>1001000</v>
      </c>
      <c r="B3446">
        <v>6647000</v>
      </c>
    </row>
    <row r="3447" spans="1:2" x14ac:dyDescent="0.4">
      <c r="A3447" s="4">
        <v>1001000</v>
      </c>
      <c r="B3447">
        <v>6647100</v>
      </c>
    </row>
    <row r="3448" spans="1:2" x14ac:dyDescent="0.4">
      <c r="A3448" s="4">
        <v>1001001</v>
      </c>
      <c r="B3448">
        <v>7000000</v>
      </c>
    </row>
    <row r="3449" spans="1:2" x14ac:dyDescent="0.4">
      <c r="A3449" s="4">
        <v>1001001</v>
      </c>
      <c r="B3449">
        <v>7000001</v>
      </c>
    </row>
    <row r="3450" spans="1:2" x14ac:dyDescent="0.4">
      <c r="A3450" s="4">
        <v>1001001</v>
      </c>
      <c r="B3450">
        <v>7000002</v>
      </c>
    </row>
    <row r="3451" spans="1:2" x14ac:dyDescent="0.4">
      <c r="A3451" s="4">
        <v>1001001</v>
      </c>
      <c r="B3451">
        <v>7000100</v>
      </c>
    </row>
    <row r="3452" spans="1:2" x14ac:dyDescent="0.4">
      <c r="A3452" s="4">
        <v>1001001</v>
      </c>
      <c r="B3452">
        <v>7000101</v>
      </c>
    </row>
    <row r="3453" spans="1:2" x14ac:dyDescent="0.4">
      <c r="A3453" s="4">
        <v>1001001</v>
      </c>
      <c r="B3453">
        <v>7000102</v>
      </c>
    </row>
    <row r="3454" spans="1:2" x14ac:dyDescent="0.4">
      <c r="A3454" s="4">
        <v>1001001</v>
      </c>
      <c r="B3454">
        <v>7000200</v>
      </c>
    </row>
    <row r="3455" spans="1:2" x14ac:dyDescent="0.4">
      <c r="A3455" s="4">
        <v>1001001</v>
      </c>
      <c r="B3455">
        <v>7000201</v>
      </c>
    </row>
    <row r="3456" spans="1:2" x14ac:dyDescent="0.4">
      <c r="A3456" s="4">
        <v>1001001</v>
      </c>
      <c r="B3456">
        <v>7000202</v>
      </c>
    </row>
    <row r="3457" spans="1:2" x14ac:dyDescent="0.4">
      <c r="A3457" s="4">
        <v>1001001</v>
      </c>
      <c r="B3457">
        <v>7000300</v>
      </c>
    </row>
    <row r="3458" spans="1:2" x14ac:dyDescent="0.4">
      <c r="A3458" s="4">
        <v>1001001</v>
      </c>
      <c r="B3458">
        <v>7000301</v>
      </c>
    </row>
    <row r="3459" spans="1:2" x14ac:dyDescent="0.4">
      <c r="A3459" s="4">
        <v>1001001</v>
      </c>
      <c r="B3459">
        <v>7000302</v>
      </c>
    </row>
    <row r="3460" spans="1:2" x14ac:dyDescent="0.4">
      <c r="A3460" s="4">
        <v>1001001</v>
      </c>
      <c r="B3460">
        <v>7000400</v>
      </c>
    </row>
    <row r="3461" spans="1:2" x14ac:dyDescent="0.4">
      <c r="A3461" s="4">
        <v>1001001</v>
      </c>
      <c r="B3461">
        <v>7000401</v>
      </c>
    </row>
    <row r="3462" spans="1:2" x14ac:dyDescent="0.4">
      <c r="A3462" s="4">
        <v>1001001</v>
      </c>
      <c r="B3462">
        <v>7000402</v>
      </c>
    </row>
    <row r="3463" spans="1:2" x14ac:dyDescent="0.4">
      <c r="A3463" s="4">
        <v>1001001</v>
      </c>
      <c r="B3463">
        <v>7000500</v>
      </c>
    </row>
    <row r="3464" spans="1:2" x14ac:dyDescent="0.4">
      <c r="A3464" s="4">
        <v>1001001</v>
      </c>
      <c r="B3464">
        <v>7000501</v>
      </c>
    </row>
    <row r="3465" spans="1:2" x14ac:dyDescent="0.4">
      <c r="A3465" s="4">
        <v>1001001</v>
      </c>
      <c r="B3465">
        <v>7000502</v>
      </c>
    </row>
    <row r="3466" spans="1:2" x14ac:dyDescent="0.4">
      <c r="A3466" s="4">
        <v>1001001</v>
      </c>
      <c r="B3466">
        <v>7000600</v>
      </c>
    </row>
    <row r="3467" spans="1:2" x14ac:dyDescent="0.4">
      <c r="A3467" s="4">
        <v>1001001</v>
      </c>
      <c r="B3467">
        <v>7000601</v>
      </c>
    </row>
    <row r="3468" spans="1:2" x14ac:dyDescent="0.4">
      <c r="A3468" s="4">
        <v>1001001</v>
      </c>
      <c r="B3468">
        <v>7000602</v>
      </c>
    </row>
    <row r="3469" spans="1:2" x14ac:dyDescent="0.4">
      <c r="A3469" s="4">
        <v>1001001</v>
      </c>
      <c r="B3469">
        <v>7000700</v>
      </c>
    </row>
    <row r="3470" spans="1:2" x14ac:dyDescent="0.4">
      <c r="A3470" s="4">
        <v>1001001</v>
      </c>
      <c r="B3470">
        <v>7000701</v>
      </c>
    </row>
    <row r="3471" spans="1:2" x14ac:dyDescent="0.4">
      <c r="A3471" s="4">
        <v>1001001</v>
      </c>
      <c r="B3471">
        <v>7000702</v>
      </c>
    </row>
    <row r="3472" spans="1:2" x14ac:dyDescent="0.4">
      <c r="A3472" s="4">
        <v>1001001</v>
      </c>
      <c r="B3472">
        <v>7000800</v>
      </c>
    </row>
    <row r="3473" spans="1:2" x14ac:dyDescent="0.4">
      <c r="A3473" s="4">
        <v>1001001</v>
      </c>
      <c r="B3473">
        <v>7000801</v>
      </c>
    </row>
    <row r="3474" spans="1:2" x14ac:dyDescent="0.4">
      <c r="A3474" s="4">
        <v>1001001</v>
      </c>
      <c r="B3474">
        <v>7000802</v>
      </c>
    </row>
    <row r="3475" spans="1:2" x14ac:dyDescent="0.4">
      <c r="A3475" s="4">
        <v>1001001</v>
      </c>
      <c r="B3475">
        <v>7000900</v>
      </c>
    </row>
    <row r="3476" spans="1:2" x14ac:dyDescent="0.4">
      <c r="A3476" s="4">
        <v>1001001</v>
      </c>
      <c r="B3476">
        <v>7000901</v>
      </c>
    </row>
    <row r="3477" spans="1:2" x14ac:dyDescent="0.4">
      <c r="A3477" s="4">
        <v>1001001</v>
      </c>
      <c r="B3477">
        <v>7000902</v>
      </c>
    </row>
    <row r="3478" spans="1:2" x14ac:dyDescent="0.4">
      <c r="A3478" s="4">
        <v>1001001</v>
      </c>
      <c r="B3478">
        <v>7001000</v>
      </c>
    </row>
    <row r="3479" spans="1:2" x14ac:dyDescent="0.4">
      <c r="A3479" s="4">
        <v>1001001</v>
      </c>
      <c r="B3479">
        <v>7001001</v>
      </c>
    </row>
    <row r="3480" spans="1:2" x14ac:dyDescent="0.4">
      <c r="A3480" s="4">
        <v>1001001</v>
      </c>
      <c r="B3480">
        <v>7001002</v>
      </c>
    </row>
    <row r="3481" spans="1:2" x14ac:dyDescent="0.4">
      <c r="A3481" s="4">
        <v>1001001</v>
      </c>
      <c r="B3481">
        <v>7001400</v>
      </c>
    </row>
    <row r="3482" spans="1:2" x14ac:dyDescent="0.4">
      <c r="A3482" s="4">
        <v>1001001</v>
      </c>
      <c r="B3482">
        <v>7001401</v>
      </c>
    </row>
    <row r="3483" spans="1:2" x14ac:dyDescent="0.4">
      <c r="A3483" s="4">
        <v>1001001</v>
      </c>
      <c r="B3483">
        <v>7001402</v>
      </c>
    </row>
    <row r="3484" spans="1:2" x14ac:dyDescent="0.4">
      <c r="A3484" s="4">
        <v>1001001</v>
      </c>
      <c r="B3484">
        <v>7001500</v>
      </c>
    </row>
    <row r="3485" spans="1:2" x14ac:dyDescent="0.4">
      <c r="A3485" s="4">
        <v>1001001</v>
      </c>
      <c r="B3485">
        <v>7001501</v>
      </c>
    </row>
    <row r="3486" spans="1:2" x14ac:dyDescent="0.4">
      <c r="A3486" s="4">
        <v>1001001</v>
      </c>
      <c r="B3486">
        <v>7001502</v>
      </c>
    </row>
    <row r="3487" spans="1:2" x14ac:dyDescent="0.4">
      <c r="A3487" s="4">
        <v>1001001</v>
      </c>
      <c r="B3487">
        <v>7001600</v>
      </c>
    </row>
    <row r="3488" spans="1:2" x14ac:dyDescent="0.4">
      <c r="A3488" s="4">
        <v>1001001</v>
      </c>
      <c r="B3488">
        <v>7001601</v>
      </c>
    </row>
    <row r="3489" spans="1:2" x14ac:dyDescent="0.4">
      <c r="A3489" s="4">
        <v>1001001</v>
      </c>
      <c r="B3489">
        <v>7001602</v>
      </c>
    </row>
    <row r="3490" spans="1:2" x14ac:dyDescent="0.4">
      <c r="A3490" s="4">
        <v>1001001</v>
      </c>
      <c r="B3490">
        <v>7001700</v>
      </c>
    </row>
    <row r="3491" spans="1:2" x14ac:dyDescent="0.4">
      <c r="A3491" s="4">
        <v>1001001</v>
      </c>
      <c r="B3491">
        <v>7001701</v>
      </c>
    </row>
    <row r="3492" spans="1:2" x14ac:dyDescent="0.4">
      <c r="A3492" s="4">
        <v>1001001</v>
      </c>
      <c r="B3492">
        <v>7001702</v>
      </c>
    </row>
    <row r="3493" spans="1:2" x14ac:dyDescent="0.4">
      <c r="A3493" s="4">
        <v>1001001</v>
      </c>
      <c r="B3493">
        <v>7001800</v>
      </c>
    </row>
    <row r="3494" spans="1:2" x14ac:dyDescent="0.4">
      <c r="A3494" s="4">
        <v>1001001</v>
      </c>
      <c r="B3494">
        <v>7001801</v>
      </c>
    </row>
    <row r="3495" spans="1:2" x14ac:dyDescent="0.4">
      <c r="A3495" s="4">
        <v>1001001</v>
      </c>
      <c r="B3495">
        <v>7001802</v>
      </c>
    </row>
    <row r="3496" spans="1:2" x14ac:dyDescent="0.4">
      <c r="A3496" s="4">
        <v>1001001</v>
      </c>
      <c r="B3496">
        <v>7002600</v>
      </c>
    </row>
    <row r="3497" spans="1:2" x14ac:dyDescent="0.4">
      <c r="A3497" s="4">
        <v>1001001</v>
      </c>
      <c r="B3497">
        <v>7002700</v>
      </c>
    </row>
    <row r="3498" spans="1:2" x14ac:dyDescent="0.4">
      <c r="A3498" s="4">
        <v>1001001</v>
      </c>
      <c r="B3498">
        <v>7002800</v>
      </c>
    </row>
    <row r="3499" spans="1:2" x14ac:dyDescent="0.4">
      <c r="A3499" s="4">
        <v>1001001</v>
      </c>
      <c r="B3499">
        <v>7002900</v>
      </c>
    </row>
    <row r="3500" spans="1:2" x14ac:dyDescent="0.4">
      <c r="A3500" s="4">
        <v>1001001</v>
      </c>
      <c r="B3500">
        <v>7003000</v>
      </c>
    </row>
    <row r="3501" spans="1:2" x14ac:dyDescent="0.4">
      <c r="A3501" s="4">
        <v>1001001</v>
      </c>
      <c r="B3501">
        <v>7003100</v>
      </c>
    </row>
    <row r="3502" spans="1:2" x14ac:dyDescent="0.4">
      <c r="A3502" s="4">
        <v>1001001</v>
      </c>
      <c r="B3502">
        <v>7003200</v>
      </c>
    </row>
    <row r="3503" spans="1:2" x14ac:dyDescent="0.4">
      <c r="A3503" s="4">
        <v>1001001</v>
      </c>
      <c r="B3503">
        <v>7003300</v>
      </c>
    </row>
    <row r="3504" spans="1:2" x14ac:dyDescent="0.4">
      <c r="A3504" s="4">
        <v>1001001</v>
      </c>
      <c r="B3504">
        <v>7003400</v>
      </c>
    </row>
    <row r="3505" spans="1:2" x14ac:dyDescent="0.4">
      <c r="A3505" s="4">
        <v>1001001</v>
      </c>
      <c r="B3505">
        <v>7003500</v>
      </c>
    </row>
    <row r="3506" spans="1:2" x14ac:dyDescent="0.4">
      <c r="A3506" s="4">
        <v>1001001</v>
      </c>
      <c r="B3506">
        <v>7003600</v>
      </c>
    </row>
    <row r="3507" spans="1:2" x14ac:dyDescent="0.4">
      <c r="A3507" s="4">
        <v>1001001</v>
      </c>
      <c r="B3507">
        <v>7005600</v>
      </c>
    </row>
    <row r="3508" spans="1:2" x14ac:dyDescent="0.4">
      <c r="A3508" s="4">
        <v>1001001</v>
      </c>
      <c r="B3508">
        <v>7006000</v>
      </c>
    </row>
    <row r="3509" spans="1:2" x14ac:dyDescent="0.4">
      <c r="A3509" s="4">
        <v>1001001</v>
      </c>
      <c r="B3509">
        <v>7006100</v>
      </c>
    </row>
    <row r="3510" spans="1:2" x14ac:dyDescent="0.4">
      <c r="A3510" s="4">
        <v>1001001</v>
      </c>
      <c r="B3510">
        <v>7010200</v>
      </c>
    </row>
    <row r="3511" spans="1:2" x14ac:dyDescent="0.4">
      <c r="A3511" s="4">
        <v>1001001</v>
      </c>
      <c r="B3511">
        <v>7010500</v>
      </c>
    </row>
    <row r="3512" spans="1:2" x14ac:dyDescent="0.4">
      <c r="A3512" s="4">
        <v>1001001</v>
      </c>
      <c r="B3512">
        <v>7010700</v>
      </c>
    </row>
    <row r="3513" spans="1:2" x14ac:dyDescent="0.4">
      <c r="A3513" s="4">
        <v>1001001</v>
      </c>
      <c r="B3513">
        <v>7010900</v>
      </c>
    </row>
    <row r="3514" spans="1:2" x14ac:dyDescent="0.4">
      <c r="A3514" s="4">
        <v>1001001</v>
      </c>
      <c r="B3514">
        <v>7011000</v>
      </c>
    </row>
    <row r="3515" spans="1:2" x14ac:dyDescent="0.4">
      <c r="A3515" s="4">
        <v>1001001</v>
      </c>
      <c r="B3515">
        <v>7011200</v>
      </c>
    </row>
    <row r="3516" spans="1:2" x14ac:dyDescent="0.4">
      <c r="A3516" s="4">
        <v>1001001</v>
      </c>
      <c r="B3516">
        <v>7011600</v>
      </c>
    </row>
    <row r="3517" spans="1:2" x14ac:dyDescent="0.4">
      <c r="A3517" s="4">
        <v>1001001</v>
      </c>
      <c r="B3517">
        <v>7011700</v>
      </c>
    </row>
    <row r="3518" spans="1:2" x14ac:dyDescent="0.4">
      <c r="A3518" s="4">
        <v>1001001</v>
      </c>
      <c r="B3518">
        <v>7012000</v>
      </c>
    </row>
    <row r="3519" spans="1:2" x14ac:dyDescent="0.4">
      <c r="A3519" s="4">
        <v>1001001</v>
      </c>
      <c r="B3519">
        <v>7012200</v>
      </c>
    </row>
    <row r="3520" spans="1:2" x14ac:dyDescent="0.4">
      <c r="A3520" s="4">
        <v>1001001</v>
      </c>
      <c r="B3520">
        <v>7012300</v>
      </c>
    </row>
    <row r="3521" spans="1:2" x14ac:dyDescent="0.4">
      <c r="A3521" s="4">
        <v>1001001</v>
      </c>
      <c r="B3521">
        <v>7020000</v>
      </c>
    </row>
    <row r="3522" spans="1:2" x14ac:dyDescent="0.4">
      <c r="A3522" s="4">
        <v>1001001</v>
      </c>
      <c r="B3522">
        <v>7030000</v>
      </c>
    </row>
    <row r="3523" spans="1:2" x14ac:dyDescent="0.4">
      <c r="A3523" s="4">
        <v>1001001</v>
      </c>
      <c r="B3523">
        <v>7030200</v>
      </c>
    </row>
    <row r="3524" spans="1:2" x14ac:dyDescent="0.4">
      <c r="A3524" s="4">
        <v>1001001</v>
      </c>
      <c r="B3524">
        <v>7030600</v>
      </c>
    </row>
    <row r="3525" spans="1:2" x14ac:dyDescent="0.4">
      <c r="A3525" s="4">
        <v>1001001</v>
      </c>
      <c r="B3525">
        <v>7030700</v>
      </c>
    </row>
    <row r="3526" spans="1:2" x14ac:dyDescent="0.4">
      <c r="A3526" s="4">
        <v>1001001</v>
      </c>
      <c r="B3526">
        <v>7030800</v>
      </c>
    </row>
    <row r="3527" spans="1:2" x14ac:dyDescent="0.4">
      <c r="A3527" s="4">
        <v>1001001</v>
      </c>
      <c r="B3527">
        <v>7030900</v>
      </c>
    </row>
    <row r="3528" spans="1:2" x14ac:dyDescent="0.4">
      <c r="A3528" s="4">
        <v>1001001</v>
      </c>
      <c r="B3528">
        <v>7031200</v>
      </c>
    </row>
    <row r="3529" spans="1:2" x14ac:dyDescent="0.4">
      <c r="A3529" s="4">
        <v>1001001</v>
      </c>
      <c r="B3529">
        <v>7031300</v>
      </c>
    </row>
    <row r="3530" spans="1:2" x14ac:dyDescent="0.4">
      <c r="A3530" s="4">
        <v>1001001</v>
      </c>
      <c r="B3530">
        <v>7031800</v>
      </c>
    </row>
    <row r="3531" spans="1:2" x14ac:dyDescent="0.4">
      <c r="A3531" s="4">
        <v>1001001</v>
      </c>
      <c r="B3531">
        <v>7031900</v>
      </c>
    </row>
    <row r="3532" spans="1:2" x14ac:dyDescent="0.4">
      <c r="A3532" s="4">
        <v>1001001</v>
      </c>
      <c r="B3532">
        <v>7032200</v>
      </c>
    </row>
    <row r="3533" spans="1:2" x14ac:dyDescent="0.4">
      <c r="A3533" s="4">
        <v>1001001</v>
      </c>
      <c r="B3533">
        <v>7032400</v>
      </c>
    </row>
    <row r="3534" spans="1:2" x14ac:dyDescent="0.4">
      <c r="A3534" s="4">
        <v>1001001</v>
      </c>
      <c r="B3534">
        <v>7032700</v>
      </c>
    </row>
    <row r="3535" spans="1:2" x14ac:dyDescent="0.4">
      <c r="A3535" s="4">
        <v>1001001</v>
      </c>
      <c r="B3535">
        <v>7032800</v>
      </c>
    </row>
    <row r="3536" spans="1:2" x14ac:dyDescent="0.4">
      <c r="A3536" s="4">
        <v>1001001</v>
      </c>
      <c r="B3536">
        <v>7032900</v>
      </c>
    </row>
    <row r="3537" spans="1:2" x14ac:dyDescent="0.4">
      <c r="A3537" s="4">
        <v>1001001</v>
      </c>
      <c r="B3537">
        <v>7033200</v>
      </c>
    </row>
    <row r="3538" spans="1:2" x14ac:dyDescent="0.4">
      <c r="A3538" s="4">
        <v>1001001</v>
      </c>
      <c r="B3538">
        <v>7033400</v>
      </c>
    </row>
    <row r="3539" spans="1:2" x14ac:dyDescent="0.4">
      <c r="A3539" s="4">
        <v>1001001</v>
      </c>
      <c r="B3539">
        <v>7034100</v>
      </c>
    </row>
    <row r="3540" spans="1:2" x14ac:dyDescent="0.4">
      <c r="A3540" s="4">
        <v>1001001</v>
      </c>
      <c r="B3540">
        <v>7034400</v>
      </c>
    </row>
    <row r="3541" spans="1:2" x14ac:dyDescent="0.4">
      <c r="A3541" s="4">
        <v>1001001</v>
      </c>
      <c r="B3541">
        <v>7034500</v>
      </c>
    </row>
    <row r="3542" spans="1:2" x14ac:dyDescent="0.4">
      <c r="A3542" s="4">
        <v>1001001</v>
      </c>
      <c r="B3542">
        <v>7034600</v>
      </c>
    </row>
    <row r="3543" spans="1:2" x14ac:dyDescent="0.4">
      <c r="A3543" s="4">
        <v>1001001</v>
      </c>
      <c r="B3543">
        <v>7034700</v>
      </c>
    </row>
    <row r="3544" spans="1:2" x14ac:dyDescent="0.4">
      <c r="A3544" s="4">
        <v>1001001</v>
      </c>
      <c r="B3544">
        <v>7035100</v>
      </c>
    </row>
    <row r="3545" spans="1:2" x14ac:dyDescent="0.4">
      <c r="A3545" s="4">
        <v>1001001</v>
      </c>
      <c r="B3545">
        <v>7036100</v>
      </c>
    </row>
    <row r="3546" spans="1:2" x14ac:dyDescent="0.4">
      <c r="A3546" s="4">
        <v>1001001</v>
      </c>
      <c r="B3546">
        <v>7040000</v>
      </c>
    </row>
    <row r="3547" spans="1:2" x14ac:dyDescent="0.4">
      <c r="A3547" s="4">
        <v>1001001</v>
      </c>
      <c r="B3547">
        <v>7040100</v>
      </c>
    </row>
    <row r="3548" spans="1:2" x14ac:dyDescent="0.4">
      <c r="A3548" s="4">
        <v>1001001</v>
      </c>
      <c r="B3548">
        <v>7040200</v>
      </c>
    </row>
    <row r="3549" spans="1:2" x14ac:dyDescent="0.4">
      <c r="A3549" s="4">
        <v>1001001</v>
      </c>
      <c r="B3549">
        <v>7040300</v>
      </c>
    </row>
    <row r="3550" spans="1:2" x14ac:dyDescent="0.4">
      <c r="A3550" s="4">
        <v>1001001</v>
      </c>
      <c r="B3550">
        <v>7040400</v>
      </c>
    </row>
    <row r="3551" spans="1:2" x14ac:dyDescent="0.4">
      <c r="A3551" s="4">
        <v>1001001</v>
      </c>
      <c r="B3551">
        <v>7040500</v>
      </c>
    </row>
    <row r="3552" spans="1:2" x14ac:dyDescent="0.4">
      <c r="A3552" s="4">
        <v>1001001</v>
      </c>
      <c r="B3552">
        <v>7043000</v>
      </c>
    </row>
    <row r="3553" spans="1:2" x14ac:dyDescent="0.4">
      <c r="A3553" s="4">
        <v>1001001</v>
      </c>
      <c r="B3553">
        <v>7043100</v>
      </c>
    </row>
    <row r="3554" spans="1:2" x14ac:dyDescent="0.4">
      <c r="A3554" s="4">
        <v>1001001</v>
      </c>
      <c r="B3554">
        <v>7043200</v>
      </c>
    </row>
    <row r="3555" spans="1:2" x14ac:dyDescent="0.4">
      <c r="A3555" s="4">
        <v>1001001</v>
      </c>
      <c r="B3555">
        <v>7043300</v>
      </c>
    </row>
    <row r="3556" spans="1:2" x14ac:dyDescent="0.4">
      <c r="A3556" s="4">
        <v>1001001</v>
      </c>
      <c r="B3556">
        <v>7043400</v>
      </c>
    </row>
    <row r="3557" spans="1:2" x14ac:dyDescent="0.4">
      <c r="A3557" s="4">
        <v>1001001</v>
      </c>
      <c r="B3557">
        <v>7043500</v>
      </c>
    </row>
    <row r="3558" spans="1:2" x14ac:dyDescent="0.4">
      <c r="A3558" s="4">
        <v>1001001</v>
      </c>
      <c r="B3558">
        <v>7043600</v>
      </c>
    </row>
    <row r="3559" spans="1:2" x14ac:dyDescent="0.4">
      <c r="A3559" s="4">
        <v>1001001</v>
      </c>
      <c r="B3559">
        <v>7043700</v>
      </c>
    </row>
    <row r="3560" spans="1:2" x14ac:dyDescent="0.4">
      <c r="A3560" s="4">
        <v>1001001</v>
      </c>
      <c r="B3560">
        <v>7043800</v>
      </c>
    </row>
    <row r="3561" spans="1:2" x14ac:dyDescent="0.4">
      <c r="A3561" s="4">
        <v>1001001</v>
      </c>
      <c r="B3561">
        <v>7044000</v>
      </c>
    </row>
    <row r="3562" spans="1:2" x14ac:dyDescent="0.4">
      <c r="A3562" s="4">
        <v>1001001</v>
      </c>
      <c r="B3562">
        <v>7044100</v>
      </c>
    </row>
    <row r="3563" spans="1:2" x14ac:dyDescent="0.4">
      <c r="A3563" s="4">
        <v>1001001</v>
      </c>
      <c r="B3563">
        <v>7044200</v>
      </c>
    </row>
    <row r="3564" spans="1:2" x14ac:dyDescent="0.4">
      <c r="A3564" s="4">
        <v>1001001</v>
      </c>
      <c r="B3564">
        <v>7044300</v>
      </c>
    </row>
    <row r="3565" spans="1:2" x14ac:dyDescent="0.4">
      <c r="A3565" s="4">
        <v>1001001</v>
      </c>
      <c r="B3565">
        <v>7044400</v>
      </c>
    </row>
    <row r="3566" spans="1:2" x14ac:dyDescent="0.4">
      <c r="A3566" s="4">
        <v>1001001</v>
      </c>
      <c r="B3566">
        <v>7044500</v>
      </c>
    </row>
    <row r="3567" spans="1:2" x14ac:dyDescent="0.4">
      <c r="A3567" s="4">
        <v>1001001</v>
      </c>
      <c r="B3567">
        <v>7044600</v>
      </c>
    </row>
    <row r="3568" spans="1:2" x14ac:dyDescent="0.4">
      <c r="A3568" s="4">
        <v>1001001</v>
      </c>
      <c r="B3568">
        <v>7050000</v>
      </c>
    </row>
    <row r="3569" spans="1:2" x14ac:dyDescent="0.4">
      <c r="A3569" s="4">
        <v>1001001</v>
      </c>
      <c r="B3569">
        <v>7050100</v>
      </c>
    </row>
    <row r="3570" spans="1:2" x14ac:dyDescent="0.4">
      <c r="A3570" s="4">
        <v>1001001</v>
      </c>
      <c r="B3570">
        <v>7060000</v>
      </c>
    </row>
    <row r="3571" spans="1:2" x14ac:dyDescent="0.4">
      <c r="A3571" s="4">
        <v>1001001</v>
      </c>
      <c r="B3571">
        <v>7060100</v>
      </c>
    </row>
    <row r="3572" spans="1:2" x14ac:dyDescent="0.4">
      <c r="A3572" s="4">
        <v>1001001</v>
      </c>
      <c r="B3572">
        <v>7060200</v>
      </c>
    </row>
    <row r="3573" spans="1:2" x14ac:dyDescent="0.4">
      <c r="A3573" s="4">
        <v>1001001</v>
      </c>
      <c r="B3573">
        <v>7070000</v>
      </c>
    </row>
    <row r="3574" spans="1:2" x14ac:dyDescent="0.4">
      <c r="A3574" s="4">
        <v>1001001</v>
      </c>
      <c r="B3574">
        <v>7080000</v>
      </c>
    </row>
    <row r="3575" spans="1:2" x14ac:dyDescent="0.4">
      <c r="A3575" s="4">
        <v>1001001</v>
      </c>
      <c r="B3575">
        <v>7080100</v>
      </c>
    </row>
    <row r="3576" spans="1:2" x14ac:dyDescent="0.4">
      <c r="A3576" s="4">
        <v>1001001</v>
      </c>
      <c r="B3576">
        <v>7080200</v>
      </c>
    </row>
    <row r="3577" spans="1:2" x14ac:dyDescent="0.4">
      <c r="A3577" s="4">
        <v>1001001</v>
      </c>
      <c r="B3577">
        <v>7080300</v>
      </c>
    </row>
    <row r="3578" spans="1:2" x14ac:dyDescent="0.4">
      <c r="A3578" s="4">
        <v>1001001</v>
      </c>
      <c r="B3578">
        <v>7080400</v>
      </c>
    </row>
    <row r="3579" spans="1:2" x14ac:dyDescent="0.4">
      <c r="A3579" s="4">
        <v>1001001</v>
      </c>
      <c r="B3579">
        <v>7080500</v>
      </c>
    </row>
    <row r="3580" spans="1:2" x14ac:dyDescent="0.4">
      <c r="A3580" s="4">
        <v>1001001</v>
      </c>
      <c r="B3580">
        <v>7080600</v>
      </c>
    </row>
    <row r="3581" spans="1:2" x14ac:dyDescent="0.4">
      <c r="A3581" s="4">
        <v>1001001</v>
      </c>
      <c r="B3581">
        <v>7080700</v>
      </c>
    </row>
    <row r="3582" spans="1:2" x14ac:dyDescent="0.4">
      <c r="A3582" s="4">
        <v>1001001</v>
      </c>
      <c r="B3582">
        <v>7080800</v>
      </c>
    </row>
    <row r="3583" spans="1:2" x14ac:dyDescent="0.4">
      <c r="A3583" s="4">
        <v>1001001</v>
      </c>
      <c r="B3583">
        <v>7080900</v>
      </c>
    </row>
    <row r="3584" spans="1:2" x14ac:dyDescent="0.4">
      <c r="A3584" s="4">
        <v>1001001</v>
      </c>
      <c r="B3584">
        <v>7081000</v>
      </c>
    </row>
    <row r="3585" spans="1:2" x14ac:dyDescent="0.4">
      <c r="A3585" s="4">
        <v>1001001</v>
      </c>
      <c r="B3585">
        <v>7081100</v>
      </c>
    </row>
    <row r="3586" spans="1:2" x14ac:dyDescent="0.4">
      <c r="A3586" s="4">
        <v>1001001</v>
      </c>
      <c r="B3586">
        <v>7081200</v>
      </c>
    </row>
    <row r="3587" spans="1:2" x14ac:dyDescent="0.4">
      <c r="A3587" s="4">
        <v>1001001</v>
      </c>
      <c r="B3587">
        <v>7081300</v>
      </c>
    </row>
    <row r="3588" spans="1:2" x14ac:dyDescent="0.4">
      <c r="A3588" s="4">
        <v>1001001</v>
      </c>
      <c r="B3588">
        <v>7081400</v>
      </c>
    </row>
    <row r="3589" spans="1:2" x14ac:dyDescent="0.4">
      <c r="A3589" s="4">
        <v>1001001</v>
      </c>
      <c r="B3589">
        <v>7081500</v>
      </c>
    </row>
    <row r="3590" spans="1:2" x14ac:dyDescent="0.4">
      <c r="A3590" s="4">
        <v>1001001</v>
      </c>
      <c r="B3590">
        <v>7081700</v>
      </c>
    </row>
    <row r="3591" spans="1:2" x14ac:dyDescent="0.4">
      <c r="A3591" s="4">
        <v>1001001</v>
      </c>
      <c r="B3591">
        <v>7081800</v>
      </c>
    </row>
    <row r="3592" spans="1:2" x14ac:dyDescent="0.4">
      <c r="A3592" s="4">
        <v>1001001</v>
      </c>
      <c r="B3592">
        <v>7081900</v>
      </c>
    </row>
    <row r="3593" spans="1:2" x14ac:dyDescent="0.4">
      <c r="A3593" s="4">
        <v>1001001</v>
      </c>
      <c r="B3593">
        <v>7082000</v>
      </c>
    </row>
    <row r="3594" spans="1:2" x14ac:dyDescent="0.4">
      <c r="A3594" s="4">
        <v>1001001</v>
      </c>
      <c r="B3594">
        <v>7082100</v>
      </c>
    </row>
    <row r="3595" spans="1:2" x14ac:dyDescent="0.4">
      <c r="A3595" s="4">
        <v>1001001</v>
      </c>
      <c r="B3595">
        <v>7082200</v>
      </c>
    </row>
    <row r="3596" spans="1:2" x14ac:dyDescent="0.4">
      <c r="A3596" s="4">
        <v>1001001</v>
      </c>
      <c r="B3596">
        <v>7082300</v>
      </c>
    </row>
    <row r="3597" spans="1:2" x14ac:dyDescent="0.4">
      <c r="A3597" s="4">
        <v>1001001</v>
      </c>
      <c r="B3597">
        <v>7082400</v>
      </c>
    </row>
    <row r="3598" spans="1:2" x14ac:dyDescent="0.4">
      <c r="A3598" s="4">
        <v>1001001</v>
      </c>
      <c r="B3598">
        <v>7082500</v>
      </c>
    </row>
    <row r="3599" spans="1:2" x14ac:dyDescent="0.4">
      <c r="A3599" s="4">
        <v>1001001</v>
      </c>
      <c r="B3599">
        <v>7082600</v>
      </c>
    </row>
    <row r="3600" spans="1:2" x14ac:dyDescent="0.4">
      <c r="A3600" s="4">
        <v>1001001</v>
      </c>
      <c r="B3600">
        <v>7082700</v>
      </c>
    </row>
    <row r="3601" spans="1:2" x14ac:dyDescent="0.4">
      <c r="A3601" s="4">
        <v>1001001</v>
      </c>
      <c r="B3601">
        <v>7082800</v>
      </c>
    </row>
    <row r="3602" spans="1:2" x14ac:dyDescent="0.4">
      <c r="A3602" s="4">
        <v>1001001</v>
      </c>
      <c r="B3602">
        <v>7082900</v>
      </c>
    </row>
    <row r="3603" spans="1:2" x14ac:dyDescent="0.4">
      <c r="A3603" s="4">
        <v>1001001</v>
      </c>
      <c r="B3603">
        <v>7090000</v>
      </c>
    </row>
    <row r="3604" spans="1:2" x14ac:dyDescent="0.4">
      <c r="A3604" s="4">
        <v>1001001</v>
      </c>
      <c r="B3604">
        <v>7090100</v>
      </c>
    </row>
    <row r="3605" spans="1:2" x14ac:dyDescent="0.4">
      <c r="A3605" s="4">
        <v>1001001</v>
      </c>
      <c r="B3605">
        <v>7090300</v>
      </c>
    </row>
    <row r="3606" spans="1:2" x14ac:dyDescent="0.4">
      <c r="A3606" s="4">
        <v>1001001</v>
      </c>
      <c r="B3606">
        <v>7100100</v>
      </c>
    </row>
    <row r="3607" spans="1:2" x14ac:dyDescent="0.4">
      <c r="A3607" s="4">
        <v>1001001</v>
      </c>
      <c r="B3607">
        <v>7110000</v>
      </c>
    </row>
    <row r="3608" spans="1:2" x14ac:dyDescent="0.4">
      <c r="A3608" s="4">
        <v>1001001</v>
      </c>
      <c r="B3608">
        <v>7120000</v>
      </c>
    </row>
    <row r="3609" spans="1:2" x14ac:dyDescent="0.4">
      <c r="A3609" s="4">
        <v>1001001</v>
      </c>
      <c r="B3609">
        <v>7120100</v>
      </c>
    </row>
    <row r="3610" spans="1:2" x14ac:dyDescent="0.4">
      <c r="A3610" s="4">
        <v>1001001</v>
      </c>
      <c r="B3610">
        <v>7120200</v>
      </c>
    </row>
    <row r="3611" spans="1:2" x14ac:dyDescent="0.4">
      <c r="A3611" s="4">
        <v>1001001</v>
      </c>
      <c r="B3611">
        <v>7120300</v>
      </c>
    </row>
    <row r="3612" spans="1:2" x14ac:dyDescent="0.4">
      <c r="A3612" s="4">
        <v>1001001</v>
      </c>
      <c r="B3612">
        <v>7120400</v>
      </c>
    </row>
    <row r="3613" spans="1:2" x14ac:dyDescent="0.4">
      <c r="A3613" s="4">
        <v>1001001</v>
      </c>
      <c r="B3613">
        <v>7120500</v>
      </c>
    </row>
    <row r="3614" spans="1:2" x14ac:dyDescent="0.4">
      <c r="A3614" s="4">
        <v>1001001</v>
      </c>
      <c r="B3614">
        <v>7120600</v>
      </c>
    </row>
    <row r="3615" spans="1:2" x14ac:dyDescent="0.4">
      <c r="A3615" s="4">
        <v>1001001</v>
      </c>
      <c r="B3615">
        <v>7120900</v>
      </c>
    </row>
    <row r="3616" spans="1:2" x14ac:dyDescent="0.4">
      <c r="A3616" s="4">
        <v>1001001</v>
      </c>
      <c r="B3616">
        <v>7121000</v>
      </c>
    </row>
    <row r="3617" spans="1:2" x14ac:dyDescent="0.4">
      <c r="A3617" s="4">
        <v>1001001</v>
      </c>
      <c r="B3617">
        <v>7121100</v>
      </c>
    </row>
    <row r="3618" spans="1:2" x14ac:dyDescent="0.4">
      <c r="A3618" s="4">
        <v>1001001</v>
      </c>
      <c r="B3618">
        <v>7121200</v>
      </c>
    </row>
    <row r="3619" spans="1:2" x14ac:dyDescent="0.4">
      <c r="A3619" s="4">
        <v>1001001</v>
      </c>
      <c r="B3619">
        <v>7121300</v>
      </c>
    </row>
    <row r="3620" spans="1:2" x14ac:dyDescent="0.4">
      <c r="A3620" s="4">
        <v>1001001</v>
      </c>
      <c r="B3620">
        <v>7121400</v>
      </c>
    </row>
    <row r="3621" spans="1:2" x14ac:dyDescent="0.4">
      <c r="A3621" s="4">
        <v>1001001</v>
      </c>
      <c r="B3621">
        <v>7121500</v>
      </c>
    </row>
    <row r="3622" spans="1:2" x14ac:dyDescent="0.4">
      <c r="A3622" s="4">
        <v>1001001</v>
      </c>
      <c r="B3622">
        <v>7121600</v>
      </c>
    </row>
    <row r="3623" spans="1:2" x14ac:dyDescent="0.4">
      <c r="A3623" s="4">
        <v>1001001</v>
      </c>
      <c r="B3623">
        <v>7121700</v>
      </c>
    </row>
    <row r="3624" spans="1:2" x14ac:dyDescent="0.4">
      <c r="A3624" s="4">
        <v>1001001</v>
      </c>
      <c r="B3624">
        <v>7121800</v>
      </c>
    </row>
    <row r="3625" spans="1:2" x14ac:dyDescent="0.4">
      <c r="A3625" s="4">
        <v>1001001</v>
      </c>
      <c r="B3625">
        <v>7121900</v>
      </c>
    </row>
    <row r="3626" spans="1:2" x14ac:dyDescent="0.4">
      <c r="A3626" s="4">
        <v>1001001</v>
      </c>
      <c r="B3626">
        <v>7122000</v>
      </c>
    </row>
    <row r="3627" spans="1:2" x14ac:dyDescent="0.4">
      <c r="A3627" s="4">
        <v>1001001</v>
      </c>
      <c r="B3627">
        <v>7122100</v>
      </c>
    </row>
    <row r="3628" spans="1:2" x14ac:dyDescent="0.4">
      <c r="A3628" s="4">
        <v>1001001</v>
      </c>
      <c r="B3628">
        <v>7122200</v>
      </c>
    </row>
    <row r="3629" spans="1:2" x14ac:dyDescent="0.4">
      <c r="A3629" s="4">
        <v>1001001</v>
      </c>
      <c r="B3629">
        <v>7122300</v>
      </c>
    </row>
    <row r="3630" spans="1:2" x14ac:dyDescent="0.4">
      <c r="A3630" s="4">
        <v>1001001</v>
      </c>
      <c r="B3630">
        <v>7122400</v>
      </c>
    </row>
    <row r="3631" spans="1:2" x14ac:dyDescent="0.4">
      <c r="A3631" s="4">
        <v>1001001</v>
      </c>
      <c r="B3631">
        <v>7122500</v>
      </c>
    </row>
    <row r="3632" spans="1:2" x14ac:dyDescent="0.4">
      <c r="A3632" s="4">
        <v>1001001</v>
      </c>
      <c r="B3632">
        <v>7122600</v>
      </c>
    </row>
    <row r="3633" spans="1:2" x14ac:dyDescent="0.4">
      <c r="A3633" s="4">
        <v>1001001</v>
      </c>
      <c r="B3633">
        <v>7122700</v>
      </c>
    </row>
    <row r="3634" spans="1:2" x14ac:dyDescent="0.4">
      <c r="A3634" s="4">
        <v>1001001</v>
      </c>
      <c r="B3634">
        <v>7122800</v>
      </c>
    </row>
    <row r="3635" spans="1:2" x14ac:dyDescent="0.4">
      <c r="A3635" s="4">
        <v>1001001</v>
      </c>
      <c r="B3635">
        <v>7122900</v>
      </c>
    </row>
    <row r="3636" spans="1:2" x14ac:dyDescent="0.4">
      <c r="A3636" s="4">
        <v>1001001</v>
      </c>
      <c r="B3636">
        <v>7123000</v>
      </c>
    </row>
    <row r="3637" spans="1:2" x14ac:dyDescent="0.4">
      <c r="A3637" s="4">
        <v>1001001</v>
      </c>
      <c r="B3637">
        <v>7123100</v>
      </c>
    </row>
    <row r="3638" spans="1:2" x14ac:dyDescent="0.4">
      <c r="A3638" s="4">
        <v>1001001</v>
      </c>
      <c r="B3638">
        <v>7123200</v>
      </c>
    </row>
    <row r="3639" spans="1:2" x14ac:dyDescent="0.4">
      <c r="A3639" s="4">
        <v>1001001</v>
      </c>
      <c r="B3639">
        <v>7123300</v>
      </c>
    </row>
    <row r="3640" spans="1:2" x14ac:dyDescent="0.4">
      <c r="A3640" s="4">
        <v>1001001</v>
      </c>
      <c r="B3640">
        <v>7123400</v>
      </c>
    </row>
    <row r="3641" spans="1:2" x14ac:dyDescent="0.4">
      <c r="A3641" s="4">
        <v>1001001</v>
      </c>
      <c r="B3641">
        <v>7123500</v>
      </c>
    </row>
    <row r="3642" spans="1:2" x14ac:dyDescent="0.4">
      <c r="A3642" s="4">
        <v>1001001</v>
      </c>
      <c r="B3642">
        <v>7123600</v>
      </c>
    </row>
    <row r="3643" spans="1:2" x14ac:dyDescent="0.4">
      <c r="A3643" s="4">
        <v>1001001</v>
      </c>
      <c r="B3643">
        <v>7123700</v>
      </c>
    </row>
    <row r="3644" spans="1:2" x14ac:dyDescent="0.4">
      <c r="A3644" s="4">
        <v>1001001</v>
      </c>
      <c r="B3644">
        <v>7123800</v>
      </c>
    </row>
    <row r="3645" spans="1:2" x14ac:dyDescent="0.4">
      <c r="A3645" s="4">
        <v>1001001</v>
      </c>
      <c r="B3645">
        <v>7123900</v>
      </c>
    </row>
    <row r="3646" spans="1:2" x14ac:dyDescent="0.4">
      <c r="A3646" s="4">
        <v>1001001</v>
      </c>
      <c r="B3646">
        <v>7124000</v>
      </c>
    </row>
    <row r="3647" spans="1:2" x14ac:dyDescent="0.4">
      <c r="A3647" s="4">
        <v>1001001</v>
      </c>
      <c r="B3647">
        <v>7124100</v>
      </c>
    </row>
    <row r="3648" spans="1:2" x14ac:dyDescent="0.4">
      <c r="A3648" s="4">
        <v>1001001</v>
      </c>
      <c r="B3648">
        <v>7124300</v>
      </c>
    </row>
    <row r="3649" spans="1:2" x14ac:dyDescent="0.4">
      <c r="A3649" s="4">
        <v>1001001</v>
      </c>
      <c r="B3649">
        <v>7124400</v>
      </c>
    </row>
    <row r="3650" spans="1:2" x14ac:dyDescent="0.4">
      <c r="A3650" s="4">
        <v>1001001</v>
      </c>
      <c r="B3650">
        <v>7124500</v>
      </c>
    </row>
    <row r="3651" spans="1:2" x14ac:dyDescent="0.4">
      <c r="A3651" s="4">
        <v>1001001</v>
      </c>
      <c r="B3651">
        <v>7124600</v>
      </c>
    </row>
    <row r="3652" spans="1:2" x14ac:dyDescent="0.4">
      <c r="A3652" s="4">
        <v>1001001</v>
      </c>
      <c r="B3652">
        <v>7124700</v>
      </c>
    </row>
    <row r="3653" spans="1:2" x14ac:dyDescent="0.4">
      <c r="A3653" s="4">
        <v>1001001</v>
      </c>
      <c r="B3653">
        <v>7126000</v>
      </c>
    </row>
    <row r="3654" spans="1:2" x14ac:dyDescent="0.4">
      <c r="A3654" s="4">
        <v>1001001</v>
      </c>
      <c r="B3654">
        <v>7150000</v>
      </c>
    </row>
    <row r="3655" spans="1:2" x14ac:dyDescent="0.4">
      <c r="A3655" s="4">
        <v>1001001</v>
      </c>
      <c r="B3655">
        <v>7160000</v>
      </c>
    </row>
    <row r="3656" spans="1:2" x14ac:dyDescent="0.4">
      <c r="A3656" s="4">
        <v>1001001</v>
      </c>
      <c r="B3656">
        <v>7220000</v>
      </c>
    </row>
    <row r="3657" spans="1:2" x14ac:dyDescent="0.4">
      <c r="A3657" s="4">
        <v>1001001</v>
      </c>
      <c r="B3657">
        <v>7230000</v>
      </c>
    </row>
    <row r="3658" spans="1:2" x14ac:dyDescent="0.4">
      <c r="A3658" s="4">
        <v>1001001</v>
      </c>
      <c r="B3658">
        <v>7240000</v>
      </c>
    </row>
    <row r="3659" spans="1:2" x14ac:dyDescent="0.4">
      <c r="A3659" s="4">
        <v>1001001</v>
      </c>
      <c r="B3659">
        <v>7260000</v>
      </c>
    </row>
    <row r="3660" spans="1:2" x14ac:dyDescent="0.4">
      <c r="A3660" s="4">
        <v>1001001</v>
      </c>
      <c r="B3660">
        <v>7260300</v>
      </c>
    </row>
    <row r="3661" spans="1:2" x14ac:dyDescent="0.4">
      <c r="A3661" s="4">
        <v>1001001</v>
      </c>
      <c r="B3661">
        <v>7260400</v>
      </c>
    </row>
    <row r="3662" spans="1:2" x14ac:dyDescent="0.4">
      <c r="A3662" s="4">
        <v>1001001</v>
      </c>
      <c r="B3662">
        <v>7270100</v>
      </c>
    </row>
    <row r="3663" spans="1:2" x14ac:dyDescent="0.4">
      <c r="A3663" s="4">
        <v>1001001</v>
      </c>
      <c r="B3663">
        <v>7280000</v>
      </c>
    </row>
    <row r="3664" spans="1:2" x14ac:dyDescent="0.4">
      <c r="A3664" s="4">
        <v>1001001</v>
      </c>
      <c r="B3664">
        <v>7290000</v>
      </c>
    </row>
    <row r="3665" spans="1:2" x14ac:dyDescent="0.4">
      <c r="A3665" s="4">
        <v>1001001</v>
      </c>
      <c r="B3665">
        <v>7310000</v>
      </c>
    </row>
    <row r="3666" spans="1:2" x14ac:dyDescent="0.4">
      <c r="A3666" s="4">
        <v>1001001</v>
      </c>
      <c r="B3666">
        <v>7330000</v>
      </c>
    </row>
    <row r="3667" spans="1:2" x14ac:dyDescent="0.4">
      <c r="A3667" s="4">
        <v>1001001</v>
      </c>
      <c r="B3667">
        <v>7330100</v>
      </c>
    </row>
    <row r="3668" spans="1:2" x14ac:dyDescent="0.4">
      <c r="A3668" s="4">
        <v>1001001</v>
      </c>
      <c r="B3668">
        <v>7330200</v>
      </c>
    </row>
    <row r="3669" spans="1:2" x14ac:dyDescent="0.4">
      <c r="A3669" s="4">
        <v>1001001</v>
      </c>
      <c r="B3669">
        <v>7330300</v>
      </c>
    </row>
    <row r="3670" spans="1:2" x14ac:dyDescent="0.4">
      <c r="A3670" s="4">
        <v>1001001</v>
      </c>
      <c r="B3670">
        <v>7330400</v>
      </c>
    </row>
    <row r="3671" spans="1:2" x14ac:dyDescent="0.4">
      <c r="A3671" s="4">
        <v>1001001</v>
      </c>
      <c r="B3671">
        <v>7330500</v>
      </c>
    </row>
    <row r="3672" spans="1:2" x14ac:dyDescent="0.4">
      <c r="A3672" s="4">
        <v>1001001</v>
      </c>
      <c r="B3672">
        <v>7330600</v>
      </c>
    </row>
    <row r="3673" spans="1:2" x14ac:dyDescent="0.4">
      <c r="A3673" s="4">
        <v>1001001</v>
      </c>
      <c r="B3673">
        <v>7330700</v>
      </c>
    </row>
    <row r="3674" spans="1:2" x14ac:dyDescent="0.4">
      <c r="A3674" s="4">
        <v>1001001</v>
      </c>
      <c r="B3674">
        <v>7330800</v>
      </c>
    </row>
    <row r="3675" spans="1:2" x14ac:dyDescent="0.4">
      <c r="A3675" s="4">
        <v>1001001</v>
      </c>
      <c r="B3675">
        <v>7330900</v>
      </c>
    </row>
    <row r="3676" spans="1:2" x14ac:dyDescent="0.4">
      <c r="A3676" s="4">
        <v>1001001</v>
      </c>
      <c r="B3676">
        <v>7331000</v>
      </c>
    </row>
    <row r="3677" spans="1:2" x14ac:dyDescent="0.4">
      <c r="A3677" s="4">
        <v>1001001</v>
      </c>
      <c r="B3677">
        <v>7331100</v>
      </c>
    </row>
    <row r="3678" spans="1:2" x14ac:dyDescent="0.4">
      <c r="A3678" s="4">
        <v>1001001</v>
      </c>
      <c r="B3678">
        <v>7331200</v>
      </c>
    </row>
    <row r="3679" spans="1:2" x14ac:dyDescent="0.4">
      <c r="A3679" s="4">
        <v>1001001</v>
      </c>
      <c r="B3679">
        <v>7331300</v>
      </c>
    </row>
    <row r="3680" spans="1:2" x14ac:dyDescent="0.4">
      <c r="A3680" s="4">
        <v>1001001</v>
      </c>
      <c r="B3680">
        <v>7331400</v>
      </c>
    </row>
    <row r="3681" spans="1:2" x14ac:dyDescent="0.4">
      <c r="A3681" s="4">
        <v>1001001</v>
      </c>
      <c r="B3681">
        <v>7331500</v>
      </c>
    </row>
    <row r="3682" spans="1:2" x14ac:dyDescent="0.4">
      <c r="A3682" s="4">
        <v>1001001</v>
      </c>
      <c r="B3682">
        <v>7331700</v>
      </c>
    </row>
    <row r="3683" spans="1:2" x14ac:dyDescent="0.4">
      <c r="A3683" s="4">
        <v>1001001</v>
      </c>
      <c r="B3683">
        <v>7331800</v>
      </c>
    </row>
    <row r="3684" spans="1:2" x14ac:dyDescent="0.4">
      <c r="A3684" s="4">
        <v>1001001</v>
      </c>
      <c r="B3684">
        <v>7331900</v>
      </c>
    </row>
    <row r="3685" spans="1:2" x14ac:dyDescent="0.4">
      <c r="A3685" s="4">
        <v>1001001</v>
      </c>
      <c r="B3685">
        <v>7332000</v>
      </c>
    </row>
    <row r="3686" spans="1:2" x14ac:dyDescent="0.4">
      <c r="A3686" s="4">
        <v>1001001</v>
      </c>
      <c r="B3686">
        <v>7332100</v>
      </c>
    </row>
    <row r="3687" spans="1:2" x14ac:dyDescent="0.4">
      <c r="A3687" s="4">
        <v>1001001</v>
      </c>
      <c r="B3687">
        <v>7332200</v>
      </c>
    </row>
    <row r="3688" spans="1:2" x14ac:dyDescent="0.4">
      <c r="A3688" s="4">
        <v>1001001</v>
      </c>
      <c r="B3688">
        <v>7332300</v>
      </c>
    </row>
    <row r="3689" spans="1:2" x14ac:dyDescent="0.4">
      <c r="A3689" s="4">
        <v>1001001</v>
      </c>
      <c r="B3689">
        <v>7332400</v>
      </c>
    </row>
    <row r="3690" spans="1:2" x14ac:dyDescent="0.4">
      <c r="A3690" s="4">
        <v>1001001</v>
      </c>
      <c r="B3690">
        <v>7340000</v>
      </c>
    </row>
    <row r="3691" spans="1:2" x14ac:dyDescent="0.4">
      <c r="A3691" s="4">
        <v>1001001</v>
      </c>
      <c r="B3691">
        <v>7340100</v>
      </c>
    </row>
    <row r="3692" spans="1:2" x14ac:dyDescent="0.4">
      <c r="A3692" s="4">
        <v>1001001</v>
      </c>
      <c r="B3692">
        <v>7340200</v>
      </c>
    </row>
    <row r="3693" spans="1:2" x14ac:dyDescent="0.4">
      <c r="A3693" s="4">
        <v>1001001</v>
      </c>
      <c r="B3693">
        <v>7340300</v>
      </c>
    </row>
    <row r="3694" spans="1:2" x14ac:dyDescent="0.4">
      <c r="A3694" s="4">
        <v>1001001</v>
      </c>
      <c r="B3694">
        <v>7340400</v>
      </c>
    </row>
    <row r="3695" spans="1:2" x14ac:dyDescent="0.4">
      <c r="A3695" s="4">
        <v>1001001</v>
      </c>
      <c r="B3695">
        <v>7340500</v>
      </c>
    </row>
    <row r="3696" spans="1:2" x14ac:dyDescent="0.4">
      <c r="A3696" s="4">
        <v>1001001</v>
      </c>
      <c r="B3696">
        <v>7340600</v>
      </c>
    </row>
    <row r="3697" spans="1:2" x14ac:dyDescent="0.4">
      <c r="A3697" s="4">
        <v>1001001</v>
      </c>
      <c r="B3697">
        <v>7340700</v>
      </c>
    </row>
    <row r="3698" spans="1:2" x14ac:dyDescent="0.4">
      <c r="A3698" s="4">
        <v>1001001</v>
      </c>
      <c r="B3698">
        <v>7340800</v>
      </c>
    </row>
    <row r="3699" spans="1:2" x14ac:dyDescent="0.4">
      <c r="A3699" s="4">
        <v>1001001</v>
      </c>
      <c r="B3699">
        <v>7340900</v>
      </c>
    </row>
    <row r="3700" spans="1:2" x14ac:dyDescent="0.4">
      <c r="A3700" s="4">
        <v>1001001</v>
      </c>
      <c r="B3700">
        <v>7341000</v>
      </c>
    </row>
    <row r="3701" spans="1:2" x14ac:dyDescent="0.4">
      <c r="A3701" s="4">
        <v>1001001</v>
      </c>
      <c r="B3701">
        <v>7341100</v>
      </c>
    </row>
    <row r="3702" spans="1:2" x14ac:dyDescent="0.4">
      <c r="A3702" s="4">
        <v>1001001</v>
      </c>
      <c r="B3702">
        <v>7341200</v>
      </c>
    </row>
    <row r="3703" spans="1:2" x14ac:dyDescent="0.4">
      <c r="A3703" s="4">
        <v>1001001</v>
      </c>
      <c r="B3703">
        <v>7341300</v>
      </c>
    </row>
    <row r="3704" spans="1:2" x14ac:dyDescent="0.4">
      <c r="A3704" s="4">
        <v>1001001</v>
      </c>
      <c r="B3704">
        <v>7341400</v>
      </c>
    </row>
    <row r="3705" spans="1:2" x14ac:dyDescent="0.4">
      <c r="A3705" s="4">
        <v>1001001</v>
      </c>
      <c r="B3705">
        <v>7341500</v>
      </c>
    </row>
    <row r="3706" spans="1:2" x14ac:dyDescent="0.4">
      <c r="A3706" s="4">
        <v>1001001</v>
      </c>
      <c r="B3706">
        <v>7341700</v>
      </c>
    </row>
    <row r="3707" spans="1:2" x14ac:dyDescent="0.4">
      <c r="A3707" s="4">
        <v>1001001</v>
      </c>
      <c r="B3707">
        <v>7341800</v>
      </c>
    </row>
    <row r="3708" spans="1:2" x14ac:dyDescent="0.4">
      <c r="A3708" s="4">
        <v>1001001</v>
      </c>
      <c r="B3708">
        <v>7341900</v>
      </c>
    </row>
    <row r="3709" spans="1:2" x14ac:dyDescent="0.4">
      <c r="A3709" s="4">
        <v>1001001</v>
      </c>
      <c r="B3709">
        <v>7342000</v>
      </c>
    </row>
    <row r="3710" spans="1:2" x14ac:dyDescent="0.4">
      <c r="A3710" s="4">
        <v>1001001</v>
      </c>
      <c r="B3710">
        <v>7342100</v>
      </c>
    </row>
    <row r="3711" spans="1:2" x14ac:dyDescent="0.4">
      <c r="A3711" s="4">
        <v>1001001</v>
      </c>
      <c r="B3711">
        <v>7342200</v>
      </c>
    </row>
    <row r="3712" spans="1:2" x14ac:dyDescent="0.4">
      <c r="A3712" s="4">
        <v>1001001</v>
      </c>
      <c r="B3712">
        <v>7342300</v>
      </c>
    </row>
    <row r="3713" spans="1:2" x14ac:dyDescent="0.4">
      <c r="A3713" s="4">
        <v>1001001</v>
      </c>
      <c r="B3713">
        <v>7342400</v>
      </c>
    </row>
    <row r="3714" spans="1:2" x14ac:dyDescent="0.4">
      <c r="A3714" s="4">
        <v>1001001</v>
      </c>
      <c r="B3714">
        <v>7350000</v>
      </c>
    </row>
    <row r="3715" spans="1:2" x14ac:dyDescent="0.4">
      <c r="A3715" s="4">
        <v>1001001</v>
      </c>
      <c r="B3715">
        <v>7350100</v>
      </c>
    </row>
    <row r="3716" spans="1:2" x14ac:dyDescent="0.4">
      <c r="A3716" s="4">
        <v>1001001</v>
      </c>
      <c r="B3716">
        <v>7350200</v>
      </c>
    </row>
    <row r="3717" spans="1:2" x14ac:dyDescent="0.4">
      <c r="A3717" s="4">
        <v>1001001</v>
      </c>
      <c r="B3717">
        <v>7350300</v>
      </c>
    </row>
    <row r="3718" spans="1:2" x14ac:dyDescent="0.4">
      <c r="A3718" s="4">
        <v>1001001</v>
      </c>
      <c r="B3718">
        <v>7350400</v>
      </c>
    </row>
    <row r="3719" spans="1:2" x14ac:dyDescent="0.4">
      <c r="A3719" s="4">
        <v>1001001</v>
      </c>
      <c r="B3719">
        <v>7350500</v>
      </c>
    </row>
    <row r="3720" spans="1:2" x14ac:dyDescent="0.4">
      <c r="A3720" s="4">
        <v>1001001</v>
      </c>
      <c r="B3720">
        <v>7350600</v>
      </c>
    </row>
    <row r="3721" spans="1:2" x14ac:dyDescent="0.4">
      <c r="A3721" s="4">
        <v>1001001</v>
      </c>
      <c r="B3721">
        <v>7350700</v>
      </c>
    </row>
    <row r="3722" spans="1:2" x14ac:dyDescent="0.4">
      <c r="A3722" s="4">
        <v>1001001</v>
      </c>
      <c r="B3722">
        <v>7350800</v>
      </c>
    </row>
    <row r="3723" spans="1:2" x14ac:dyDescent="0.4">
      <c r="A3723" s="4">
        <v>1001001</v>
      </c>
      <c r="B3723">
        <v>7350900</v>
      </c>
    </row>
    <row r="3724" spans="1:2" x14ac:dyDescent="0.4">
      <c r="A3724" s="4">
        <v>1001001</v>
      </c>
      <c r="B3724">
        <v>7351000</v>
      </c>
    </row>
    <row r="3725" spans="1:2" x14ac:dyDescent="0.4">
      <c r="A3725" s="4">
        <v>1001001</v>
      </c>
      <c r="B3725">
        <v>7351100</v>
      </c>
    </row>
    <row r="3726" spans="1:2" x14ac:dyDescent="0.4">
      <c r="A3726" s="4">
        <v>1001001</v>
      </c>
      <c r="B3726">
        <v>7351200</v>
      </c>
    </row>
    <row r="3727" spans="1:2" x14ac:dyDescent="0.4">
      <c r="A3727" s="4">
        <v>1001001</v>
      </c>
      <c r="B3727">
        <v>7351300</v>
      </c>
    </row>
    <row r="3728" spans="1:2" x14ac:dyDescent="0.4">
      <c r="A3728" s="4">
        <v>1001001</v>
      </c>
      <c r="B3728">
        <v>7351400</v>
      </c>
    </row>
    <row r="3729" spans="1:2" x14ac:dyDescent="0.4">
      <c r="A3729" s="4">
        <v>1001001</v>
      </c>
      <c r="B3729">
        <v>7351500</v>
      </c>
    </row>
    <row r="3730" spans="1:2" x14ac:dyDescent="0.4">
      <c r="A3730" s="4">
        <v>1001001</v>
      </c>
      <c r="B3730">
        <v>7351700</v>
      </c>
    </row>
    <row r="3731" spans="1:2" x14ac:dyDescent="0.4">
      <c r="A3731" s="4">
        <v>1001001</v>
      </c>
      <c r="B3731">
        <v>7351800</v>
      </c>
    </row>
    <row r="3732" spans="1:2" x14ac:dyDescent="0.4">
      <c r="A3732" s="4">
        <v>1001001</v>
      </c>
      <c r="B3732">
        <v>7351900</v>
      </c>
    </row>
    <row r="3733" spans="1:2" x14ac:dyDescent="0.4">
      <c r="A3733" s="4">
        <v>1001001</v>
      </c>
      <c r="B3733">
        <v>7352000</v>
      </c>
    </row>
    <row r="3734" spans="1:2" x14ac:dyDescent="0.4">
      <c r="A3734" s="4">
        <v>1001001</v>
      </c>
      <c r="B3734">
        <v>7352100</v>
      </c>
    </row>
    <row r="3735" spans="1:2" x14ac:dyDescent="0.4">
      <c r="A3735" s="4">
        <v>1001001</v>
      </c>
      <c r="B3735">
        <v>7352200</v>
      </c>
    </row>
    <row r="3736" spans="1:2" x14ac:dyDescent="0.4">
      <c r="A3736" s="4">
        <v>1001001</v>
      </c>
      <c r="B3736">
        <v>7352300</v>
      </c>
    </row>
    <row r="3737" spans="1:2" x14ac:dyDescent="0.4">
      <c r="A3737" s="4">
        <v>1001001</v>
      </c>
      <c r="B3737">
        <v>7352400</v>
      </c>
    </row>
    <row r="3738" spans="1:2" x14ac:dyDescent="0.4">
      <c r="A3738" s="4">
        <v>1001001</v>
      </c>
      <c r="B3738">
        <v>7360600</v>
      </c>
    </row>
    <row r="3739" spans="1:2" x14ac:dyDescent="0.4">
      <c r="A3739" s="4">
        <v>1001001</v>
      </c>
      <c r="B3739">
        <v>7360900</v>
      </c>
    </row>
    <row r="3740" spans="1:2" x14ac:dyDescent="0.4">
      <c r="A3740" s="4">
        <v>1001001</v>
      </c>
      <c r="B3740">
        <v>7361200</v>
      </c>
    </row>
    <row r="3741" spans="1:2" x14ac:dyDescent="0.4">
      <c r="A3741" s="4">
        <v>1001001</v>
      </c>
      <c r="B3741">
        <v>7361300</v>
      </c>
    </row>
    <row r="3742" spans="1:2" x14ac:dyDescent="0.4">
      <c r="A3742" s="4">
        <v>1001001</v>
      </c>
      <c r="B3742">
        <v>7362100</v>
      </c>
    </row>
    <row r="3743" spans="1:2" x14ac:dyDescent="0.4">
      <c r="A3743" s="4">
        <v>1001001</v>
      </c>
      <c r="B3743">
        <v>7370300</v>
      </c>
    </row>
    <row r="3744" spans="1:2" x14ac:dyDescent="0.4">
      <c r="A3744" s="4">
        <v>1001001</v>
      </c>
      <c r="B3744">
        <v>7370400</v>
      </c>
    </row>
    <row r="3745" spans="1:2" x14ac:dyDescent="0.4">
      <c r="A3745" s="4">
        <v>1001001</v>
      </c>
      <c r="B3745">
        <v>7370600</v>
      </c>
    </row>
    <row r="3746" spans="1:2" x14ac:dyDescent="0.4">
      <c r="A3746" s="4">
        <v>1001001</v>
      </c>
      <c r="B3746">
        <v>7370900</v>
      </c>
    </row>
    <row r="3747" spans="1:2" x14ac:dyDescent="0.4">
      <c r="A3747" s="4">
        <v>1001001</v>
      </c>
      <c r="B3747">
        <v>7371500</v>
      </c>
    </row>
    <row r="3748" spans="1:2" x14ac:dyDescent="0.4">
      <c r="A3748" s="4">
        <v>1001001</v>
      </c>
      <c r="B3748">
        <v>7036200</v>
      </c>
    </row>
    <row r="3749" spans="1:2" x14ac:dyDescent="0.4">
      <c r="A3749" s="4">
        <v>1001001</v>
      </c>
      <c r="B3749">
        <v>7036300</v>
      </c>
    </row>
    <row r="3750" spans="1:2" x14ac:dyDescent="0.4">
      <c r="A3750" s="4">
        <v>1001001</v>
      </c>
      <c r="B3750">
        <v>7036400</v>
      </c>
    </row>
    <row r="3751" spans="1:2" x14ac:dyDescent="0.4">
      <c r="A3751" s="4">
        <v>1001001</v>
      </c>
      <c r="B3751">
        <v>7036500</v>
      </c>
    </row>
    <row r="3752" spans="1:2" x14ac:dyDescent="0.4">
      <c r="A3752" s="4">
        <v>1001001</v>
      </c>
      <c r="B3752">
        <v>7036800</v>
      </c>
    </row>
    <row r="3753" spans="1:2" x14ac:dyDescent="0.4">
      <c r="A3753" s="4">
        <v>1001001</v>
      </c>
      <c r="B3753">
        <v>7036900</v>
      </c>
    </row>
    <row r="3754" spans="1:2" x14ac:dyDescent="0.4">
      <c r="A3754" s="4">
        <v>1001001</v>
      </c>
      <c r="B3754">
        <v>7037000</v>
      </c>
    </row>
    <row r="3755" spans="1:2" x14ac:dyDescent="0.4">
      <c r="A3755" s="4">
        <v>1001001</v>
      </c>
      <c r="B3755">
        <v>7037300</v>
      </c>
    </row>
    <row r="3756" spans="1:2" x14ac:dyDescent="0.4">
      <c r="A3756" s="4">
        <v>1001001</v>
      </c>
      <c r="B3756">
        <v>6630000</v>
      </c>
    </row>
    <row r="3757" spans="1:2" x14ac:dyDescent="0.4">
      <c r="A3757" s="4">
        <v>1001001</v>
      </c>
      <c r="B3757">
        <v>6630100</v>
      </c>
    </row>
    <row r="3758" spans="1:2" x14ac:dyDescent="0.4">
      <c r="A3758" s="4">
        <v>1001001</v>
      </c>
      <c r="B3758">
        <v>6630200</v>
      </c>
    </row>
    <row r="3759" spans="1:2" x14ac:dyDescent="0.4">
      <c r="A3759" s="4">
        <v>1001001</v>
      </c>
      <c r="B3759">
        <v>6630300</v>
      </c>
    </row>
    <row r="3760" spans="1:2" x14ac:dyDescent="0.4">
      <c r="A3760" s="4">
        <v>1001001</v>
      </c>
      <c r="B3760">
        <v>6630400</v>
      </c>
    </row>
    <row r="3761" spans="1:2" x14ac:dyDescent="0.4">
      <c r="A3761" s="4">
        <v>1001001</v>
      </c>
      <c r="B3761">
        <v>6630500</v>
      </c>
    </row>
    <row r="3762" spans="1:2" x14ac:dyDescent="0.4">
      <c r="A3762" s="4">
        <v>1001001</v>
      </c>
      <c r="B3762">
        <v>6630600</v>
      </c>
    </row>
    <row r="3763" spans="1:2" x14ac:dyDescent="0.4">
      <c r="A3763" s="4">
        <v>1001001</v>
      </c>
      <c r="B3763">
        <v>6630700</v>
      </c>
    </row>
    <row r="3764" spans="1:2" x14ac:dyDescent="0.4">
      <c r="A3764" s="4">
        <v>1001001</v>
      </c>
      <c r="B3764">
        <v>6630800</v>
      </c>
    </row>
    <row r="3765" spans="1:2" x14ac:dyDescent="0.4">
      <c r="A3765" s="4">
        <v>1001001</v>
      </c>
      <c r="B3765">
        <v>6630900</v>
      </c>
    </row>
    <row r="3766" spans="1:2" x14ac:dyDescent="0.4">
      <c r="A3766" s="4">
        <v>1001001</v>
      </c>
      <c r="B3766">
        <v>6631000</v>
      </c>
    </row>
    <row r="3767" spans="1:2" x14ac:dyDescent="0.4">
      <c r="A3767" s="4">
        <v>1001001</v>
      </c>
      <c r="B3767">
        <v>6631100</v>
      </c>
    </row>
    <row r="3768" spans="1:2" x14ac:dyDescent="0.4">
      <c r="A3768" s="4">
        <v>1001001</v>
      </c>
      <c r="B3768">
        <v>6631200</v>
      </c>
    </row>
    <row r="3769" spans="1:2" x14ac:dyDescent="0.4">
      <c r="A3769" s="4">
        <v>1001001</v>
      </c>
      <c r="B3769">
        <v>6631300</v>
      </c>
    </row>
    <row r="3770" spans="1:2" x14ac:dyDescent="0.4">
      <c r="A3770" s="4">
        <v>1001001</v>
      </c>
      <c r="B3770">
        <v>6631400</v>
      </c>
    </row>
    <row r="3771" spans="1:2" x14ac:dyDescent="0.4">
      <c r="A3771" s="4">
        <v>1001001</v>
      </c>
      <c r="B3771">
        <v>6631500</v>
      </c>
    </row>
    <row r="3772" spans="1:2" x14ac:dyDescent="0.4">
      <c r="A3772" s="4">
        <v>1001001</v>
      </c>
      <c r="B3772">
        <v>6631600</v>
      </c>
    </row>
    <row r="3773" spans="1:2" x14ac:dyDescent="0.4">
      <c r="A3773" s="4">
        <v>1001001</v>
      </c>
      <c r="B3773">
        <v>6631700</v>
      </c>
    </row>
    <row r="3774" spans="1:2" x14ac:dyDescent="0.4">
      <c r="A3774" s="4">
        <v>1001001</v>
      </c>
      <c r="B3774">
        <v>6631800</v>
      </c>
    </row>
    <row r="3775" spans="1:2" x14ac:dyDescent="0.4">
      <c r="A3775" s="4">
        <v>1001001</v>
      </c>
      <c r="B3775">
        <v>6631900</v>
      </c>
    </row>
    <row r="3776" spans="1:2" x14ac:dyDescent="0.4">
      <c r="A3776" s="4">
        <v>1001001</v>
      </c>
      <c r="B3776">
        <v>6632000</v>
      </c>
    </row>
    <row r="3777" spans="1:2" x14ac:dyDescent="0.4">
      <c r="A3777" s="4">
        <v>1001001</v>
      </c>
      <c r="B3777">
        <v>6632100</v>
      </c>
    </row>
    <row r="3778" spans="1:2" x14ac:dyDescent="0.4">
      <c r="A3778" s="4">
        <v>1001001</v>
      </c>
      <c r="B3778">
        <v>6632200</v>
      </c>
    </row>
    <row r="3779" spans="1:2" x14ac:dyDescent="0.4">
      <c r="A3779" s="4">
        <v>1001001</v>
      </c>
      <c r="B3779">
        <v>6632300</v>
      </c>
    </row>
    <row r="3780" spans="1:2" x14ac:dyDescent="0.4">
      <c r="A3780" s="4">
        <v>1001001</v>
      </c>
      <c r="B3780">
        <v>6632400</v>
      </c>
    </row>
    <row r="3781" spans="1:2" x14ac:dyDescent="0.4">
      <c r="A3781" s="4">
        <v>1001001</v>
      </c>
      <c r="B3781">
        <v>6632500</v>
      </c>
    </row>
    <row r="3782" spans="1:2" x14ac:dyDescent="0.4">
      <c r="A3782" s="4">
        <v>1001001</v>
      </c>
      <c r="B3782">
        <v>6632600</v>
      </c>
    </row>
    <row r="3783" spans="1:2" x14ac:dyDescent="0.4">
      <c r="A3783" s="4">
        <v>1001001</v>
      </c>
      <c r="B3783">
        <v>6632700</v>
      </c>
    </row>
    <row r="3784" spans="1:2" x14ac:dyDescent="0.4">
      <c r="A3784" s="4">
        <v>1001001</v>
      </c>
      <c r="B3784">
        <v>6632800</v>
      </c>
    </row>
    <row r="3785" spans="1:2" x14ac:dyDescent="0.4">
      <c r="A3785" s="4">
        <v>1001001</v>
      </c>
      <c r="B3785">
        <v>6632900</v>
      </c>
    </row>
    <row r="3786" spans="1:2" x14ac:dyDescent="0.4">
      <c r="A3786" s="4">
        <v>1001001</v>
      </c>
      <c r="B3786">
        <v>6633000</v>
      </c>
    </row>
    <row r="3787" spans="1:2" x14ac:dyDescent="0.4">
      <c r="A3787" s="4">
        <v>1001001</v>
      </c>
      <c r="B3787">
        <v>6633100</v>
      </c>
    </row>
    <row r="3788" spans="1:2" x14ac:dyDescent="0.4">
      <c r="A3788" s="4">
        <v>1001001</v>
      </c>
      <c r="B3788">
        <v>6633200</v>
      </c>
    </row>
    <row r="3789" spans="1:2" x14ac:dyDescent="0.4">
      <c r="A3789" s="4">
        <v>1001001</v>
      </c>
      <c r="B3789">
        <v>6647200</v>
      </c>
    </row>
    <row r="3790" spans="1:2" x14ac:dyDescent="0.4">
      <c r="A3790" s="4">
        <v>1001001</v>
      </c>
      <c r="B3790">
        <v>6647300</v>
      </c>
    </row>
    <row r="3791" spans="1:2" x14ac:dyDescent="0.4">
      <c r="A3791" s="4">
        <v>1001001</v>
      </c>
      <c r="B3791">
        <v>6647400</v>
      </c>
    </row>
    <row r="3792" spans="1:2" x14ac:dyDescent="0.4">
      <c r="A3792" s="4">
        <v>1001001</v>
      </c>
      <c r="B3792">
        <v>6647500</v>
      </c>
    </row>
    <row r="3793" spans="1:2" x14ac:dyDescent="0.4">
      <c r="A3793" s="4">
        <v>1001001</v>
      </c>
      <c r="B3793">
        <v>6640000</v>
      </c>
    </row>
    <row r="3794" spans="1:2" x14ac:dyDescent="0.4">
      <c r="A3794" s="4">
        <v>1001001</v>
      </c>
      <c r="B3794">
        <v>6640100</v>
      </c>
    </row>
    <row r="3795" spans="1:2" x14ac:dyDescent="0.4">
      <c r="A3795" s="4">
        <v>1001001</v>
      </c>
      <c r="B3795">
        <v>6641000</v>
      </c>
    </row>
    <row r="3796" spans="1:2" x14ac:dyDescent="0.4">
      <c r="A3796" s="4">
        <v>1001001</v>
      </c>
      <c r="B3796">
        <v>6641100</v>
      </c>
    </row>
    <row r="3797" spans="1:2" x14ac:dyDescent="0.4">
      <c r="A3797" s="4">
        <v>1001001</v>
      </c>
      <c r="B3797">
        <v>6642000</v>
      </c>
    </row>
    <row r="3798" spans="1:2" x14ac:dyDescent="0.4">
      <c r="A3798" s="4">
        <v>1001001</v>
      </c>
      <c r="B3798">
        <v>6642100</v>
      </c>
    </row>
    <row r="3799" spans="1:2" x14ac:dyDescent="0.4">
      <c r="A3799" s="4">
        <v>1001001</v>
      </c>
      <c r="B3799">
        <v>6643000</v>
      </c>
    </row>
    <row r="3800" spans="1:2" x14ac:dyDescent="0.4">
      <c r="A3800" s="4">
        <v>1001001</v>
      </c>
      <c r="B3800">
        <v>6643100</v>
      </c>
    </row>
    <row r="3801" spans="1:2" x14ac:dyDescent="0.4">
      <c r="A3801" s="4">
        <v>1001001</v>
      </c>
      <c r="B3801">
        <v>6644000</v>
      </c>
    </row>
    <row r="3802" spans="1:2" x14ac:dyDescent="0.4">
      <c r="A3802" s="4">
        <v>1001001</v>
      </c>
      <c r="B3802">
        <v>6644100</v>
      </c>
    </row>
    <row r="3803" spans="1:2" x14ac:dyDescent="0.4">
      <c r="A3803" s="4">
        <v>1001001</v>
      </c>
      <c r="B3803">
        <v>6645000</v>
      </c>
    </row>
    <row r="3804" spans="1:2" x14ac:dyDescent="0.4">
      <c r="A3804" s="4">
        <v>1001001</v>
      </c>
      <c r="B3804">
        <v>6645100</v>
      </c>
    </row>
    <row r="3805" spans="1:2" x14ac:dyDescent="0.4">
      <c r="A3805" s="4">
        <v>1001001</v>
      </c>
      <c r="B3805">
        <v>6646000</v>
      </c>
    </row>
    <row r="3806" spans="1:2" x14ac:dyDescent="0.4">
      <c r="A3806" s="4">
        <v>1001001</v>
      </c>
      <c r="B3806">
        <v>6646100</v>
      </c>
    </row>
    <row r="3807" spans="1:2" x14ac:dyDescent="0.4">
      <c r="A3807" s="4">
        <v>1001001</v>
      </c>
      <c r="B3807">
        <v>6647000</v>
      </c>
    </row>
    <row r="3808" spans="1:2" x14ac:dyDescent="0.4">
      <c r="A3808" s="4">
        <v>1001001</v>
      </c>
      <c r="B3808">
        <v>6647100</v>
      </c>
    </row>
    <row r="3809" spans="1:2" x14ac:dyDescent="0.4">
      <c r="A3809" s="4">
        <v>1001002</v>
      </c>
      <c r="B3809">
        <v>7000000</v>
      </c>
    </row>
    <row r="3810" spans="1:2" x14ac:dyDescent="0.4">
      <c r="A3810" s="4">
        <v>1001002</v>
      </c>
      <c r="B3810">
        <v>7000001</v>
      </c>
    </row>
    <row r="3811" spans="1:2" x14ac:dyDescent="0.4">
      <c r="A3811" s="4">
        <v>1001002</v>
      </c>
      <c r="B3811">
        <v>7000002</v>
      </c>
    </row>
    <row r="3812" spans="1:2" x14ac:dyDescent="0.4">
      <c r="A3812" s="4">
        <v>1001002</v>
      </c>
      <c r="B3812">
        <v>7000100</v>
      </c>
    </row>
    <row r="3813" spans="1:2" x14ac:dyDescent="0.4">
      <c r="A3813" s="4">
        <v>1001002</v>
      </c>
      <c r="B3813">
        <v>7000101</v>
      </c>
    </row>
    <row r="3814" spans="1:2" x14ac:dyDescent="0.4">
      <c r="A3814" s="4">
        <v>1001002</v>
      </c>
      <c r="B3814">
        <v>7000102</v>
      </c>
    </row>
    <row r="3815" spans="1:2" x14ac:dyDescent="0.4">
      <c r="A3815" s="4">
        <v>1001002</v>
      </c>
      <c r="B3815">
        <v>7000200</v>
      </c>
    </row>
    <row r="3816" spans="1:2" x14ac:dyDescent="0.4">
      <c r="A3816" s="4">
        <v>1001002</v>
      </c>
      <c r="B3816">
        <v>7000201</v>
      </c>
    </row>
    <row r="3817" spans="1:2" x14ac:dyDescent="0.4">
      <c r="A3817" s="4">
        <v>1001002</v>
      </c>
      <c r="B3817">
        <v>7000202</v>
      </c>
    </row>
    <row r="3818" spans="1:2" x14ac:dyDescent="0.4">
      <c r="A3818" s="4">
        <v>1001002</v>
      </c>
      <c r="B3818">
        <v>7000300</v>
      </c>
    </row>
    <row r="3819" spans="1:2" x14ac:dyDescent="0.4">
      <c r="A3819" s="4">
        <v>1001002</v>
      </c>
      <c r="B3819">
        <v>7000301</v>
      </c>
    </row>
    <row r="3820" spans="1:2" x14ac:dyDescent="0.4">
      <c r="A3820" s="4">
        <v>1001002</v>
      </c>
      <c r="B3820">
        <v>7000302</v>
      </c>
    </row>
    <row r="3821" spans="1:2" x14ac:dyDescent="0.4">
      <c r="A3821" s="4">
        <v>1001002</v>
      </c>
      <c r="B3821">
        <v>7000400</v>
      </c>
    </row>
    <row r="3822" spans="1:2" x14ac:dyDescent="0.4">
      <c r="A3822" s="4">
        <v>1001002</v>
      </c>
      <c r="B3822">
        <v>7000401</v>
      </c>
    </row>
    <row r="3823" spans="1:2" x14ac:dyDescent="0.4">
      <c r="A3823" s="4">
        <v>1001002</v>
      </c>
      <c r="B3823">
        <v>7000402</v>
      </c>
    </row>
    <row r="3824" spans="1:2" x14ac:dyDescent="0.4">
      <c r="A3824" s="4">
        <v>1001002</v>
      </c>
      <c r="B3824">
        <v>7000500</v>
      </c>
    </row>
    <row r="3825" spans="1:2" x14ac:dyDescent="0.4">
      <c r="A3825" s="4">
        <v>1001002</v>
      </c>
      <c r="B3825">
        <v>7000501</v>
      </c>
    </row>
    <row r="3826" spans="1:2" x14ac:dyDescent="0.4">
      <c r="A3826" s="4">
        <v>1001002</v>
      </c>
      <c r="B3826">
        <v>7000502</v>
      </c>
    </row>
    <row r="3827" spans="1:2" x14ac:dyDescent="0.4">
      <c r="A3827" s="4">
        <v>1001002</v>
      </c>
      <c r="B3827">
        <v>7000600</v>
      </c>
    </row>
    <row r="3828" spans="1:2" x14ac:dyDescent="0.4">
      <c r="A3828" s="4">
        <v>1001002</v>
      </c>
      <c r="B3828">
        <v>7000601</v>
      </c>
    </row>
    <row r="3829" spans="1:2" x14ac:dyDescent="0.4">
      <c r="A3829" s="4">
        <v>1001002</v>
      </c>
      <c r="B3829">
        <v>7000602</v>
      </c>
    </row>
    <row r="3830" spans="1:2" x14ac:dyDescent="0.4">
      <c r="A3830" s="4">
        <v>1001002</v>
      </c>
      <c r="B3830">
        <v>7000700</v>
      </c>
    </row>
    <row r="3831" spans="1:2" x14ac:dyDescent="0.4">
      <c r="A3831" s="4">
        <v>1001002</v>
      </c>
      <c r="B3831">
        <v>7000701</v>
      </c>
    </row>
    <row r="3832" spans="1:2" x14ac:dyDescent="0.4">
      <c r="A3832" s="4">
        <v>1001002</v>
      </c>
      <c r="B3832">
        <v>7000702</v>
      </c>
    </row>
    <row r="3833" spans="1:2" x14ac:dyDescent="0.4">
      <c r="A3833" s="4">
        <v>1001002</v>
      </c>
      <c r="B3833">
        <v>7000800</v>
      </c>
    </row>
    <row r="3834" spans="1:2" x14ac:dyDescent="0.4">
      <c r="A3834" s="4">
        <v>1001002</v>
      </c>
      <c r="B3834">
        <v>7000801</v>
      </c>
    </row>
    <row r="3835" spans="1:2" x14ac:dyDescent="0.4">
      <c r="A3835" s="4">
        <v>1001002</v>
      </c>
      <c r="B3835">
        <v>7000802</v>
      </c>
    </row>
    <row r="3836" spans="1:2" x14ac:dyDescent="0.4">
      <c r="A3836" s="4">
        <v>1001002</v>
      </c>
      <c r="B3836">
        <v>7000900</v>
      </c>
    </row>
    <row r="3837" spans="1:2" x14ac:dyDescent="0.4">
      <c r="A3837" s="4">
        <v>1001002</v>
      </c>
      <c r="B3837">
        <v>7000901</v>
      </c>
    </row>
    <row r="3838" spans="1:2" x14ac:dyDescent="0.4">
      <c r="A3838" s="4">
        <v>1001002</v>
      </c>
      <c r="B3838">
        <v>7000902</v>
      </c>
    </row>
    <row r="3839" spans="1:2" x14ac:dyDescent="0.4">
      <c r="A3839" s="4">
        <v>1001002</v>
      </c>
      <c r="B3839">
        <v>7001000</v>
      </c>
    </row>
    <row r="3840" spans="1:2" x14ac:dyDescent="0.4">
      <c r="A3840" s="4">
        <v>1001002</v>
      </c>
      <c r="B3840">
        <v>7001001</v>
      </c>
    </row>
    <row r="3841" spans="1:2" x14ac:dyDescent="0.4">
      <c r="A3841" s="4">
        <v>1001002</v>
      </c>
      <c r="B3841">
        <v>7001002</v>
      </c>
    </row>
    <row r="3842" spans="1:2" x14ac:dyDescent="0.4">
      <c r="A3842" s="4">
        <v>1001002</v>
      </c>
      <c r="B3842">
        <v>7001400</v>
      </c>
    </row>
    <row r="3843" spans="1:2" x14ac:dyDescent="0.4">
      <c r="A3843" s="4">
        <v>1001002</v>
      </c>
      <c r="B3843">
        <v>7001401</v>
      </c>
    </row>
    <row r="3844" spans="1:2" x14ac:dyDescent="0.4">
      <c r="A3844" s="4">
        <v>1001002</v>
      </c>
      <c r="B3844">
        <v>7001402</v>
      </c>
    </row>
    <row r="3845" spans="1:2" x14ac:dyDescent="0.4">
      <c r="A3845" s="4">
        <v>1001002</v>
      </c>
      <c r="B3845">
        <v>7001500</v>
      </c>
    </row>
    <row r="3846" spans="1:2" x14ac:dyDescent="0.4">
      <c r="A3846" s="4">
        <v>1001002</v>
      </c>
      <c r="B3846">
        <v>7001501</v>
      </c>
    </row>
    <row r="3847" spans="1:2" x14ac:dyDescent="0.4">
      <c r="A3847" s="4">
        <v>1001002</v>
      </c>
      <c r="B3847">
        <v>7001502</v>
      </c>
    </row>
    <row r="3848" spans="1:2" x14ac:dyDescent="0.4">
      <c r="A3848" s="4">
        <v>1001002</v>
      </c>
      <c r="B3848">
        <v>7001600</v>
      </c>
    </row>
    <row r="3849" spans="1:2" x14ac:dyDescent="0.4">
      <c r="A3849" s="4">
        <v>1001002</v>
      </c>
      <c r="B3849">
        <v>7001601</v>
      </c>
    </row>
    <row r="3850" spans="1:2" x14ac:dyDescent="0.4">
      <c r="A3850" s="4">
        <v>1001002</v>
      </c>
      <c r="B3850">
        <v>7001602</v>
      </c>
    </row>
    <row r="3851" spans="1:2" x14ac:dyDescent="0.4">
      <c r="A3851" s="4">
        <v>1001002</v>
      </c>
      <c r="B3851">
        <v>7001700</v>
      </c>
    </row>
    <row r="3852" spans="1:2" x14ac:dyDescent="0.4">
      <c r="A3852" s="4">
        <v>1001002</v>
      </c>
      <c r="B3852">
        <v>7001701</v>
      </c>
    </row>
    <row r="3853" spans="1:2" x14ac:dyDescent="0.4">
      <c r="A3853" s="4">
        <v>1001002</v>
      </c>
      <c r="B3853">
        <v>7001702</v>
      </c>
    </row>
    <row r="3854" spans="1:2" x14ac:dyDescent="0.4">
      <c r="A3854" s="4">
        <v>1001002</v>
      </c>
      <c r="B3854">
        <v>7001800</v>
      </c>
    </row>
    <row r="3855" spans="1:2" x14ac:dyDescent="0.4">
      <c r="A3855" s="4">
        <v>1001002</v>
      </c>
      <c r="B3855">
        <v>7001801</v>
      </c>
    </row>
    <row r="3856" spans="1:2" x14ac:dyDescent="0.4">
      <c r="A3856" s="4">
        <v>1001002</v>
      </c>
      <c r="B3856">
        <v>7001802</v>
      </c>
    </row>
    <row r="3857" spans="1:2" x14ac:dyDescent="0.4">
      <c r="A3857" s="4">
        <v>1001002</v>
      </c>
      <c r="B3857">
        <v>7002600</v>
      </c>
    </row>
    <row r="3858" spans="1:2" x14ac:dyDescent="0.4">
      <c r="A3858" s="4">
        <v>1001002</v>
      </c>
      <c r="B3858">
        <v>7002700</v>
      </c>
    </row>
    <row r="3859" spans="1:2" x14ac:dyDescent="0.4">
      <c r="A3859" s="4">
        <v>1001002</v>
      </c>
      <c r="B3859">
        <v>7002800</v>
      </c>
    </row>
    <row r="3860" spans="1:2" x14ac:dyDescent="0.4">
      <c r="A3860" s="4">
        <v>1001002</v>
      </c>
      <c r="B3860">
        <v>7002900</v>
      </c>
    </row>
    <row r="3861" spans="1:2" x14ac:dyDescent="0.4">
      <c r="A3861" s="4">
        <v>1001002</v>
      </c>
      <c r="B3861">
        <v>7003000</v>
      </c>
    </row>
    <row r="3862" spans="1:2" x14ac:dyDescent="0.4">
      <c r="A3862" s="4">
        <v>1001002</v>
      </c>
      <c r="B3862">
        <v>7003100</v>
      </c>
    </row>
    <row r="3863" spans="1:2" x14ac:dyDescent="0.4">
      <c r="A3863" s="4">
        <v>1001002</v>
      </c>
      <c r="B3863">
        <v>7003200</v>
      </c>
    </row>
    <row r="3864" spans="1:2" x14ac:dyDescent="0.4">
      <c r="A3864" s="4">
        <v>1001002</v>
      </c>
      <c r="B3864">
        <v>7003300</v>
      </c>
    </row>
    <row r="3865" spans="1:2" x14ac:dyDescent="0.4">
      <c r="A3865" s="4">
        <v>1001002</v>
      </c>
      <c r="B3865">
        <v>7003400</v>
      </c>
    </row>
    <row r="3866" spans="1:2" x14ac:dyDescent="0.4">
      <c r="A3866" s="4">
        <v>1001002</v>
      </c>
      <c r="B3866">
        <v>7003500</v>
      </c>
    </row>
    <row r="3867" spans="1:2" x14ac:dyDescent="0.4">
      <c r="A3867" s="4">
        <v>1001002</v>
      </c>
      <c r="B3867">
        <v>7003600</v>
      </c>
    </row>
    <row r="3868" spans="1:2" x14ac:dyDescent="0.4">
      <c r="A3868" s="4">
        <v>1001002</v>
      </c>
      <c r="B3868">
        <v>7005600</v>
      </c>
    </row>
    <row r="3869" spans="1:2" x14ac:dyDescent="0.4">
      <c r="A3869" s="4">
        <v>1001002</v>
      </c>
      <c r="B3869">
        <v>7006000</v>
      </c>
    </row>
    <row r="3870" spans="1:2" x14ac:dyDescent="0.4">
      <c r="A3870" s="4">
        <v>1001002</v>
      </c>
      <c r="B3870">
        <v>7006100</v>
      </c>
    </row>
    <row r="3871" spans="1:2" x14ac:dyDescent="0.4">
      <c r="A3871" s="4">
        <v>1001002</v>
      </c>
      <c r="B3871">
        <v>7010200</v>
      </c>
    </row>
    <row r="3872" spans="1:2" x14ac:dyDescent="0.4">
      <c r="A3872" s="4">
        <v>1001002</v>
      </c>
      <c r="B3872">
        <v>7010500</v>
      </c>
    </row>
    <row r="3873" spans="1:2" x14ac:dyDescent="0.4">
      <c r="A3873" s="4">
        <v>1001002</v>
      </c>
      <c r="B3873">
        <v>7010700</v>
      </c>
    </row>
    <row r="3874" spans="1:2" x14ac:dyDescent="0.4">
      <c r="A3874" s="4">
        <v>1001002</v>
      </c>
      <c r="B3874">
        <v>7010900</v>
      </c>
    </row>
    <row r="3875" spans="1:2" x14ac:dyDescent="0.4">
      <c r="A3875" s="4">
        <v>1001002</v>
      </c>
      <c r="B3875">
        <v>7011000</v>
      </c>
    </row>
    <row r="3876" spans="1:2" x14ac:dyDescent="0.4">
      <c r="A3876" s="4">
        <v>1001002</v>
      </c>
      <c r="B3876">
        <v>7011200</v>
      </c>
    </row>
    <row r="3877" spans="1:2" x14ac:dyDescent="0.4">
      <c r="A3877" s="4">
        <v>1001002</v>
      </c>
      <c r="B3877">
        <v>7011600</v>
      </c>
    </row>
    <row r="3878" spans="1:2" x14ac:dyDescent="0.4">
      <c r="A3878" s="4">
        <v>1001002</v>
      </c>
      <c r="B3878">
        <v>7011700</v>
      </c>
    </row>
    <row r="3879" spans="1:2" x14ac:dyDescent="0.4">
      <c r="A3879" s="4">
        <v>1001002</v>
      </c>
      <c r="B3879">
        <v>7012000</v>
      </c>
    </row>
    <row r="3880" spans="1:2" x14ac:dyDescent="0.4">
      <c r="A3880" s="4">
        <v>1001002</v>
      </c>
      <c r="B3880">
        <v>7012200</v>
      </c>
    </row>
    <row r="3881" spans="1:2" x14ac:dyDescent="0.4">
      <c r="A3881" s="4">
        <v>1001002</v>
      </c>
      <c r="B3881">
        <v>7012300</v>
      </c>
    </row>
    <row r="3882" spans="1:2" x14ac:dyDescent="0.4">
      <c r="A3882" s="4">
        <v>1001002</v>
      </c>
      <c r="B3882">
        <v>7020000</v>
      </c>
    </row>
    <row r="3883" spans="1:2" x14ac:dyDescent="0.4">
      <c r="A3883" s="4">
        <v>1001002</v>
      </c>
      <c r="B3883">
        <v>7030000</v>
      </c>
    </row>
    <row r="3884" spans="1:2" x14ac:dyDescent="0.4">
      <c r="A3884" s="4">
        <v>1001002</v>
      </c>
      <c r="B3884">
        <v>7030200</v>
      </c>
    </row>
    <row r="3885" spans="1:2" x14ac:dyDescent="0.4">
      <c r="A3885" s="4">
        <v>1001002</v>
      </c>
      <c r="B3885">
        <v>7030600</v>
      </c>
    </row>
    <row r="3886" spans="1:2" x14ac:dyDescent="0.4">
      <c r="A3886" s="4">
        <v>1001002</v>
      </c>
      <c r="B3886">
        <v>7030700</v>
      </c>
    </row>
    <row r="3887" spans="1:2" x14ac:dyDescent="0.4">
      <c r="A3887" s="4">
        <v>1001002</v>
      </c>
      <c r="B3887">
        <v>7030800</v>
      </c>
    </row>
    <row r="3888" spans="1:2" x14ac:dyDescent="0.4">
      <c r="A3888" s="4">
        <v>1001002</v>
      </c>
      <c r="B3888">
        <v>7030900</v>
      </c>
    </row>
    <row r="3889" spans="1:2" x14ac:dyDescent="0.4">
      <c r="A3889" s="4">
        <v>1001002</v>
      </c>
      <c r="B3889">
        <v>7031200</v>
      </c>
    </row>
    <row r="3890" spans="1:2" x14ac:dyDescent="0.4">
      <c r="A3890" s="4">
        <v>1001002</v>
      </c>
      <c r="B3890">
        <v>7031300</v>
      </c>
    </row>
    <row r="3891" spans="1:2" x14ac:dyDescent="0.4">
      <c r="A3891" s="4">
        <v>1001002</v>
      </c>
      <c r="B3891">
        <v>7031800</v>
      </c>
    </row>
    <row r="3892" spans="1:2" x14ac:dyDescent="0.4">
      <c r="A3892" s="4">
        <v>1001002</v>
      </c>
      <c r="B3892">
        <v>7031900</v>
      </c>
    </row>
    <row r="3893" spans="1:2" x14ac:dyDescent="0.4">
      <c r="A3893" s="4">
        <v>1001002</v>
      </c>
      <c r="B3893">
        <v>7032200</v>
      </c>
    </row>
    <row r="3894" spans="1:2" x14ac:dyDescent="0.4">
      <c r="A3894" s="4">
        <v>1001002</v>
      </c>
      <c r="B3894">
        <v>7032400</v>
      </c>
    </row>
    <row r="3895" spans="1:2" x14ac:dyDescent="0.4">
      <c r="A3895" s="4">
        <v>1001002</v>
      </c>
      <c r="B3895">
        <v>7032700</v>
      </c>
    </row>
    <row r="3896" spans="1:2" x14ac:dyDescent="0.4">
      <c r="A3896" s="4">
        <v>1001002</v>
      </c>
      <c r="B3896">
        <v>7032800</v>
      </c>
    </row>
    <row r="3897" spans="1:2" x14ac:dyDescent="0.4">
      <c r="A3897" s="4">
        <v>1001002</v>
      </c>
      <c r="B3897">
        <v>7032900</v>
      </c>
    </row>
    <row r="3898" spans="1:2" x14ac:dyDescent="0.4">
      <c r="A3898" s="4">
        <v>1001002</v>
      </c>
      <c r="B3898">
        <v>7033200</v>
      </c>
    </row>
    <row r="3899" spans="1:2" x14ac:dyDescent="0.4">
      <c r="A3899" s="4">
        <v>1001002</v>
      </c>
      <c r="B3899">
        <v>7033400</v>
      </c>
    </row>
    <row r="3900" spans="1:2" x14ac:dyDescent="0.4">
      <c r="A3900" s="4">
        <v>1001002</v>
      </c>
      <c r="B3900">
        <v>7034100</v>
      </c>
    </row>
    <row r="3901" spans="1:2" x14ac:dyDescent="0.4">
      <c r="A3901" s="4">
        <v>1001002</v>
      </c>
      <c r="B3901">
        <v>7034400</v>
      </c>
    </row>
    <row r="3902" spans="1:2" x14ac:dyDescent="0.4">
      <c r="A3902" s="4">
        <v>1001002</v>
      </c>
      <c r="B3902">
        <v>7034500</v>
      </c>
    </row>
    <row r="3903" spans="1:2" x14ac:dyDescent="0.4">
      <c r="A3903" s="4">
        <v>1001002</v>
      </c>
      <c r="B3903">
        <v>7034600</v>
      </c>
    </row>
    <row r="3904" spans="1:2" x14ac:dyDescent="0.4">
      <c r="A3904" s="4">
        <v>1001002</v>
      </c>
      <c r="B3904">
        <v>7034700</v>
      </c>
    </row>
    <row r="3905" spans="1:2" x14ac:dyDescent="0.4">
      <c r="A3905" s="4">
        <v>1001002</v>
      </c>
      <c r="B3905">
        <v>7035100</v>
      </c>
    </row>
    <row r="3906" spans="1:2" x14ac:dyDescent="0.4">
      <c r="A3906" s="4">
        <v>1001002</v>
      </c>
      <c r="B3906">
        <v>7036100</v>
      </c>
    </row>
    <row r="3907" spans="1:2" x14ac:dyDescent="0.4">
      <c r="A3907" s="4">
        <v>1001002</v>
      </c>
      <c r="B3907">
        <v>7040000</v>
      </c>
    </row>
    <row r="3908" spans="1:2" x14ac:dyDescent="0.4">
      <c r="A3908" s="4">
        <v>1001002</v>
      </c>
      <c r="B3908">
        <v>7040100</v>
      </c>
    </row>
    <row r="3909" spans="1:2" x14ac:dyDescent="0.4">
      <c r="A3909" s="4">
        <v>1001002</v>
      </c>
      <c r="B3909">
        <v>7040200</v>
      </c>
    </row>
    <row r="3910" spans="1:2" x14ac:dyDescent="0.4">
      <c r="A3910" s="4">
        <v>1001002</v>
      </c>
      <c r="B3910">
        <v>7040300</v>
      </c>
    </row>
    <row r="3911" spans="1:2" x14ac:dyDescent="0.4">
      <c r="A3911" s="4">
        <v>1001002</v>
      </c>
      <c r="B3911">
        <v>7040400</v>
      </c>
    </row>
    <row r="3912" spans="1:2" x14ac:dyDescent="0.4">
      <c r="A3912" s="4">
        <v>1001002</v>
      </c>
      <c r="B3912">
        <v>7040500</v>
      </c>
    </row>
    <row r="3913" spans="1:2" x14ac:dyDescent="0.4">
      <c r="A3913" s="4">
        <v>1001002</v>
      </c>
      <c r="B3913">
        <v>7043000</v>
      </c>
    </row>
    <row r="3914" spans="1:2" x14ac:dyDescent="0.4">
      <c r="A3914" s="4">
        <v>1001002</v>
      </c>
      <c r="B3914">
        <v>7043100</v>
      </c>
    </row>
    <row r="3915" spans="1:2" x14ac:dyDescent="0.4">
      <c r="A3915" s="4">
        <v>1001002</v>
      </c>
      <c r="B3915">
        <v>7043200</v>
      </c>
    </row>
    <row r="3916" spans="1:2" x14ac:dyDescent="0.4">
      <c r="A3916" s="4">
        <v>1001002</v>
      </c>
      <c r="B3916">
        <v>7043300</v>
      </c>
    </row>
    <row r="3917" spans="1:2" x14ac:dyDescent="0.4">
      <c r="A3917" s="4">
        <v>1001002</v>
      </c>
      <c r="B3917">
        <v>7043400</v>
      </c>
    </row>
    <row r="3918" spans="1:2" x14ac:dyDescent="0.4">
      <c r="A3918" s="4">
        <v>1001002</v>
      </c>
      <c r="B3918">
        <v>7043500</v>
      </c>
    </row>
    <row r="3919" spans="1:2" x14ac:dyDescent="0.4">
      <c r="A3919" s="4">
        <v>1001002</v>
      </c>
      <c r="B3919">
        <v>7043600</v>
      </c>
    </row>
    <row r="3920" spans="1:2" x14ac:dyDescent="0.4">
      <c r="A3920" s="4">
        <v>1001002</v>
      </c>
      <c r="B3920">
        <v>7043700</v>
      </c>
    </row>
    <row r="3921" spans="1:2" x14ac:dyDescent="0.4">
      <c r="A3921" s="4">
        <v>1001002</v>
      </c>
      <c r="B3921">
        <v>7043800</v>
      </c>
    </row>
    <row r="3922" spans="1:2" x14ac:dyDescent="0.4">
      <c r="A3922" s="4">
        <v>1001002</v>
      </c>
      <c r="B3922">
        <v>7044000</v>
      </c>
    </row>
    <row r="3923" spans="1:2" x14ac:dyDescent="0.4">
      <c r="A3923" s="4">
        <v>1001002</v>
      </c>
      <c r="B3923">
        <v>7044100</v>
      </c>
    </row>
    <row r="3924" spans="1:2" x14ac:dyDescent="0.4">
      <c r="A3924" s="4">
        <v>1001002</v>
      </c>
      <c r="B3924">
        <v>7044200</v>
      </c>
    </row>
    <row r="3925" spans="1:2" x14ac:dyDescent="0.4">
      <c r="A3925" s="4">
        <v>1001002</v>
      </c>
      <c r="B3925">
        <v>7044300</v>
      </c>
    </row>
    <row r="3926" spans="1:2" x14ac:dyDescent="0.4">
      <c r="A3926" s="4">
        <v>1001002</v>
      </c>
      <c r="B3926">
        <v>7044400</v>
      </c>
    </row>
    <row r="3927" spans="1:2" x14ac:dyDescent="0.4">
      <c r="A3927" s="4">
        <v>1001002</v>
      </c>
      <c r="B3927">
        <v>7044500</v>
      </c>
    </row>
    <row r="3928" spans="1:2" x14ac:dyDescent="0.4">
      <c r="A3928" s="4">
        <v>1001002</v>
      </c>
      <c r="B3928">
        <v>7044600</v>
      </c>
    </row>
    <row r="3929" spans="1:2" x14ac:dyDescent="0.4">
      <c r="A3929" s="4">
        <v>1001002</v>
      </c>
      <c r="B3929">
        <v>7050000</v>
      </c>
    </row>
    <row r="3930" spans="1:2" x14ac:dyDescent="0.4">
      <c r="A3930" s="4">
        <v>1001002</v>
      </c>
      <c r="B3930">
        <v>7050100</v>
      </c>
    </row>
    <row r="3931" spans="1:2" x14ac:dyDescent="0.4">
      <c r="A3931" s="4">
        <v>1001002</v>
      </c>
      <c r="B3931">
        <v>7060000</v>
      </c>
    </row>
    <row r="3932" spans="1:2" x14ac:dyDescent="0.4">
      <c r="A3932" s="4">
        <v>1001002</v>
      </c>
      <c r="B3932">
        <v>7060100</v>
      </c>
    </row>
    <row r="3933" spans="1:2" x14ac:dyDescent="0.4">
      <c r="A3933" s="4">
        <v>1001002</v>
      </c>
      <c r="B3933">
        <v>7060200</v>
      </c>
    </row>
    <row r="3934" spans="1:2" x14ac:dyDescent="0.4">
      <c r="A3934" s="4">
        <v>1001002</v>
      </c>
      <c r="B3934">
        <v>7070000</v>
      </c>
    </row>
    <row r="3935" spans="1:2" x14ac:dyDescent="0.4">
      <c r="A3935" s="4">
        <v>1001002</v>
      </c>
      <c r="B3935">
        <v>7080000</v>
      </c>
    </row>
    <row r="3936" spans="1:2" x14ac:dyDescent="0.4">
      <c r="A3936" s="4">
        <v>1001002</v>
      </c>
      <c r="B3936">
        <v>7080100</v>
      </c>
    </row>
    <row r="3937" spans="1:2" x14ac:dyDescent="0.4">
      <c r="A3937" s="4">
        <v>1001002</v>
      </c>
      <c r="B3937">
        <v>7080200</v>
      </c>
    </row>
    <row r="3938" spans="1:2" x14ac:dyDescent="0.4">
      <c r="A3938" s="4">
        <v>1001002</v>
      </c>
      <c r="B3938">
        <v>7080300</v>
      </c>
    </row>
    <row r="3939" spans="1:2" x14ac:dyDescent="0.4">
      <c r="A3939" s="4">
        <v>1001002</v>
      </c>
      <c r="B3939">
        <v>7080400</v>
      </c>
    </row>
    <row r="3940" spans="1:2" x14ac:dyDescent="0.4">
      <c r="A3940" s="4">
        <v>1001002</v>
      </c>
      <c r="B3940">
        <v>7080500</v>
      </c>
    </row>
    <row r="3941" spans="1:2" x14ac:dyDescent="0.4">
      <c r="A3941" s="4">
        <v>1001002</v>
      </c>
      <c r="B3941">
        <v>7080600</v>
      </c>
    </row>
    <row r="3942" spans="1:2" x14ac:dyDescent="0.4">
      <c r="A3942" s="4">
        <v>1001002</v>
      </c>
      <c r="B3942">
        <v>7080700</v>
      </c>
    </row>
    <row r="3943" spans="1:2" x14ac:dyDescent="0.4">
      <c r="A3943" s="4">
        <v>1001002</v>
      </c>
      <c r="B3943">
        <v>7080800</v>
      </c>
    </row>
    <row r="3944" spans="1:2" x14ac:dyDescent="0.4">
      <c r="A3944" s="4">
        <v>1001002</v>
      </c>
      <c r="B3944">
        <v>7080900</v>
      </c>
    </row>
    <row r="3945" spans="1:2" x14ac:dyDescent="0.4">
      <c r="A3945" s="4">
        <v>1001002</v>
      </c>
      <c r="B3945">
        <v>7081000</v>
      </c>
    </row>
    <row r="3946" spans="1:2" x14ac:dyDescent="0.4">
      <c r="A3946" s="4">
        <v>1001002</v>
      </c>
      <c r="B3946">
        <v>7081100</v>
      </c>
    </row>
    <row r="3947" spans="1:2" x14ac:dyDescent="0.4">
      <c r="A3947" s="4">
        <v>1001002</v>
      </c>
      <c r="B3947">
        <v>7081200</v>
      </c>
    </row>
    <row r="3948" spans="1:2" x14ac:dyDescent="0.4">
      <c r="A3948" s="4">
        <v>1001002</v>
      </c>
      <c r="B3948">
        <v>7081300</v>
      </c>
    </row>
    <row r="3949" spans="1:2" x14ac:dyDescent="0.4">
      <c r="A3949" s="4">
        <v>1001002</v>
      </c>
      <c r="B3949">
        <v>7081400</v>
      </c>
    </row>
    <row r="3950" spans="1:2" x14ac:dyDescent="0.4">
      <c r="A3950" s="4">
        <v>1001002</v>
      </c>
      <c r="B3950">
        <v>7081500</v>
      </c>
    </row>
    <row r="3951" spans="1:2" x14ac:dyDescent="0.4">
      <c r="A3951" s="4">
        <v>1001002</v>
      </c>
      <c r="B3951">
        <v>7081700</v>
      </c>
    </row>
    <row r="3952" spans="1:2" x14ac:dyDescent="0.4">
      <c r="A3952" s="4">
        <v>1001002</v>
      </c>
      <c r="B3952">
        <v>7081800</v>
      </c>
    </row>
    <row r="3953" spans="1:2" x14ac:dyDescent="0.4">
      <c r="A3953" s="4">
        <v>1001002</v>
      </c>
      <c r="B3953">
        <v>7081900</v>
      </c>
    </row>
    <row r="3954" spans="1:2" x14ac:dyDescent="0.4">
      <c r="A3954" s="4">
        <v>1001002</v>
      </c>
      <c r="B3954">
        <v>7082000</v>
      </c>
    </row>
    <row r="3955" spans="1:2" x14ac:dyDescent="0.4">
      <c r="A3955" s="4">
        <v>1001002</v>
      </c>
      <c r="B3955">
        <v>7082100</v>
      </c>
    </row>
    <row r="3956" spans="1:2" x14ac:dyDescent="0.4">
      <c r="A3956" s="4">
        <v>1001002</v>
      </c>
      <c r="B3956">
        <v>7082200</v>
      </c>
    </row>
    <row r="3957" spans="1:2" x14ac:dyDescent="0.4">
      <c r="A3957" s="4">
        <v>1001002</v>
      </c>
      <c r="B3957">
        <v>7082300</v>
      </c>
    </row>
    <row r="3958" spans="1:2" x14ac:dyDescent="0.4">
      <c r="A3958" s="4">
        <v>1001002</v>
      </c>
      <c r="B3958">
        <v>7082400</v>
      </c>
    </row>
    <row r="3959" spans="1:2" x14ac:dyDescent="0.4">
      <c r="A3959" s="4">
        <v>1001002</v>
      </c>
      <c r="B3959">
        <v>7082500</v>
      </c>
    </row>
    <row r="3960" spans="1:2" x14ac:dyDescent="0.4">
      <c r="A3960" s="4">
        <v>1001002</v>
      </c>
      <c r="B3960">
        <v>7082600</v>
      </c>
    </row>
    <row r="3961" spans="1:2" x14ac:dyDescent="0.4">
      <c r="A3961" s="4">
        <v>1001002</v>
      </c>
      <c r="B3961">
        <v>7082700</v>
      </c>
    </row>
    <row r="3962" spans="1:2" x14ac:dyDescent="0.4">
      <c r="A3962" s="4">
        <v>1001002</v>
      </c>
      <c r="B3962">
        <v>7082800</v>
      </c>
    </row>
    <row r="3963" spans="1:2" x14ac:dyDescent="0.4">
      <c r="A3963" s="4">
        <v>1001002</v>
      </c>
      <c r="B3963">
        <v>7082900</v>
      </c>
    </row>
    <row r="3964" spans="1:2" x14ac:dyDescent="0.4">
      <c r="A3964" s="4">
        <v>1001002</v>
      </c>
      <c r="B3964">
        <v>7090000</v>
      </c>
    </row>
    <row r="3965" spans="1:2" x14ac:dyDescent="0.4">
      <c r="A3965" s="4">
        <v>1001002</v>
      </c>
      <c r="B3965">
        <v>7090100</v>
      </c>
    </row>
    <row r="3966" spans="1:2" x14ac:dyDescent="0.4">
      <c r="A3966" s="4">
        <v>1001002</v>
      </c>
      <c r="B3966">
        <v>7090300</v>
      </c>
    </row>
    <row r="3967" spans="1:2" x14ac:dyDescent="0.4">
      <c r="A3967" s="4">
        <v>1001002</v>
      </c>
      <c r="B3967">
        <v>7100100</v>
      </c>
    </row>
    <row r="3968" spans="1:2" x14ac:dyDescent="0.4">
      <c r="A3968" s="4">
        <v>1001002</v>
      </c>
      <c r="B3968">
        <v>7110000</v>
      </c>
    </row>
    <row r="3969" spans="1:2" x14ac:dyDescent="0.4">
      <c r="A3969" s="4">
        <v>1001002</v>
      </c>
      <c r="B3969">
        <v>7120000</v>
      </c>
    </row>
    <row r="3970" spans="1:2" x14ac:dyDescent="0.4">
      <c r="A3970" s="4">
        <v>1001002</v>
      </c>
      <c r="B3970">
        <v>7120100</v>
      </c>
    </row>
    <row r="3971" spans="1:2" x14ac:dyDescent="0.4">
      <c r="A3971" s="4">
        <v>1001002</v>
      </c>
      <c r="B3971">
        <v>7120200</v>
      </c>
    </row>
    <row r="3972" spans="1:2" x14ac:dyDescent="0.4">
      <c r="A3972" s="4">
        <v>1001002</v>
      </c>
      <c r="B3972">
        <v>7120300</v>
      </c>
    </row>
    <row r="3973" spans="1:2" x14ac:dyDescent="0.4">
      <c r="A3973" s="4">
        <v>1001002</v>
      </c>
      <c r="B3973">
        <v>7120400</v>
      </c>
    </row>
    <row r="3974" spans="1:2" x14ac:dyDescent="0.4">
      <c r="A3974" s="4">
        <v>1001002</v>
      </c>
      <c r="B3974">
        <v>7120500</v>
      </c>
    </row>
    <row r="3975" spans="1:2" x14ac:dyDescent="0.4">
      <c r="A3975" s="4">
        <v>1001002</v>
      </c>
      <c r="B3975">
        <v>7120600</v>
      </c>
    </row>
    <row r="3976" spans="1:2" x14ac:dyDescent="0.4">
      <c r="A3976" s="4">
        <v>1001002</v>
      </c>
      <c r="B3976">
        <v>7120900</v>
      </c>
    </row>
    <row r="3977" spans="1:2" x14ac:dyDescent="0.4">
      <c r="A3977" s="4">
        <v>1001002</v>
      </c>
      <c r="B3977">
        <v>7121000</v>
      </c>
    </row>
    <row r="3978" spans="1:2" x14ac:dyDescent="0.4">
      <c r="A3978" s="4">
        <v>1001002</v>
      </c>
      <c r="B3978">
        <v>7121100</v>
      </c>
    </row>
    <row r="3979" spans="1:2" x14ac:dyDescent="0.4">
      <c r="A3979" s="4">
        <v>1001002</v>
      </c>
      <c r="B3979">
        <v>7121200</v>
      </c>
    </row>
    <row r="3980" spans="1:2" x14ac:dyDescent="0.4">
      <c r="A3980" s="4">
        <v>1001002</v>
      </c>
      <c r="B3980">
        <v>7121300</v>
      </c>
    </row>
    <row r="3981" spans="1:2" x14ac:dyDescent="0.4">
      <c r="A3981" s="4">
        <v>1001002</v>
      </c>
      <c r="B3981">
        <v>7121400</v>
      </c>
    </row>
    <row r="3982" spans="1:2" x14ac:dyDescent="0.4">
      <c r="A3982" s="4">
        <v>1001002</v>
      </c>
      <c r="B3982">
        <v>7121500</v>
      </c>
    </row>
    <row r="3983" spans="1:2" x14ac:dyDescent="0.4">
      <c r="A3983" s="4">
        <v>1001002</v>
      </c>
      <c r="B3983">
        <v>7121600</v>
      </c>
    </row>
    <row r="3984" spans="1:2" x14ac:dyDescent="0.4">
      <c r="A3984" s="4">
        <v>1001002</v>
      </c>
      <c r="B3984">
        <v>7121700</v>
      </c>
    </row>
    <row r="3985" spans="1:2" x14ac:dyDescent="0.4">
      <c r="A3985" s="4">
        <v>1001002</v>
      </c>
      <c r="B3985">
        <v>7121800</v>
      </c>
    </row>
    <row r="3986" spans="1:2" x14ac:dyDescent="0.4">
      <c r="A3986" s="4">
        <v>1001002</v>
      </c>
      <c r="B3986">
        <v>7121900</v>
      </c>
    </row>
    <row r="3987" spans="1:2" x14ac:dyDescent="0.4">
      <c r="A3987" s="4">
        <v>1001002</v>
      </c>
      <c r="B3987">
        <v>7122000</v>
      </c>
    </row>
    <row r="3988" spans="1:2" x14ac:dyDescent="0.4">
      <c r="A3988" s="4">
        <v>1001002</v>
      </c>
      <c r="B3988">
        <v>7122100</v>
      </c>
    </row>
    <row r="3989" spans="1:2" x14ac:dyDescent="0.4">
      <c r="A3989" s="4">
        <v>1001002</v>
      </c>
      <c r="B3989">
        <v>7122200</v>
      </c>
    </row>
    <row r="3990" spans="1:2" x14ac:dyDescent="0.4">
      <c r="A3990" s="4">
        <v>1001002</v>
      </c>
      <c r="B3990">
        <v>7122300</v>
      </c>
    </row>
    <row r="3991" spans="1:2" x14ac:dyDescent="0.4">
      <c r="A3991" s="4">
        <v>1001002</v>
      </c>
      <c r="B3991">
        <v>7122400</v>
      </c>
    </row>
    <row r="3992" spans="1:2" x14ac:dyDescent="0.4">
      <c r="A3992" s="4">
        <v>1001002</v>
      </c>
      <c r="B3992">
        <v>7122500</v>
      </c>
    </row>
    <row r="3993" spans="1:2" x14ac:dyDescent="0.4">
      <c r="A3993" s="4">
        <v>1001002</v>
      </c>
      <c r="B3993">
        <v>7122600</v>
      </c>
    </row>
    <row r="3994" spans="1:2" x14ac:dyDescent="0.4">
      <c r="A3994" s="4">
        <v>1001002</v>
      </c>
      <c r="B3994">
        <v>7122700</v>
      </c>
    </row>
    <row r="3995" spans="1:2" x14ac:dyDescent="0.4">
      <c r="A3995" s="4">
        <v>1001002</v>
      </c>
      <c r="B3995">
        <v>7122800</v>
      </c>
    </row>
    <row r="3996" spans="1:2" x14ac:dyDescent="0.4">
      <c r="A3996" s="4">
        <v>1001002</v>
      </c>
      <c r="B3996">
        <v>7122900</v>
      </c>
    </row>
    <row r="3997" spans="1:2" x14ac:dyDescent="0.4">
      <c r="A3997" s="4">
        <v>1001002</v>
      </c>
      <c r="B3997">
        <v>7123000</v>
      </c>
    </row>
    <row r="3998" spans="1:2" x14ac:dyDescent="0.4">
      <c r="A3998" s="4">
        <v>1001002</v>
      </c>
      <c r="B3998">
        <v>7123100</v>
      </c>
    </row>
    <row r="3999" spans="1:2" x14ac:dyDescent="0.4">
      <c r="A3999" s="4">
        <v>1001002</v>
      </c>
      <c r="B3999">
        <v>7123200</v>
      </c>
    </row>
    <row r="4000" spans="1:2" x14ac:dyDescent="0.4">
      <c r="A4000" s="4">
        <v>1001002</v>
      </c>
      <c r="B4000">
        <v>7123300</v>
      </c>
    </row>
    <row r="4001" spans="1:2" x14ac:dyDescent="0.4">
      <c r="A4001" s="4">
        <v>1001002</v>
      </c>
      <c r="B4001">
        <v>7123400</v>
      </c>
    </row>
    <row r="4002" spans="1:2" x14ac:dyDescent="0.4">
      <c r="A4002" s="4">
        <v>1001002</v>
      </c>
      <c r="B4002">
        <v>7123500</v>
      </c>
    </row>
    <row r="4003" spans="1:2" x14ac:dyDescent="0.4">
      <c r="A4003" s="4">
        <v>1001002</v>
      </c>
      <c r="B4003">
        <v>7123600</v>
      </c>
    </row>
    <row r="4004" spans="1:2" x14ac:dyDescent="0.4">
      <c r="A4004" s="4">
        <v>1001002</v>
      </c>
      <c r="B4004">
        <v>7123700</v>
      </c>
    </row>
    <row r="4005" spans="1:2" x14ac:dyDescent="0.4">
      <c r="A4005" s="4">
        <v>1001002</v>
      </c>
      <c r="B4005">
        <v>7123800</v>
      </c>
    </row>
    <row r="4006" spans="1:2" x14ac:dyDescent="0.4">
      <c r="A4006" s="4">
        <v>1001002</v>
      </c>
      <c r="B4006">
        <v>7123900</v>
      </c>
    </row>
    <row r="4007" spans="1:2" x14ac:dyDescent="0.4">
      <c r="A4007" s="4">
        <v>1001002</v>
      </c>
      <c r="B4007">
        <v>7124000</v>
      </c>
    </row>
    <row r="4008" spans="1:2" x14ac:dyDescent="0.4">
      <c r="A4008" s="4">
        <v>1001002</v>
      </c>
      <c r="B4008">
        <v>7124100</v>
      </c>
    </row>
    <row r="4009" spans="1:2" x14ac:dyDescent="0.4">
      <c r="A4009" s="4">
        <v>1001002</v>
      </c>
      <c r="B4009">
        <v>7124300</v>
      </c>
    </row>
    <row r="4010" spans="1:2" x14ac:dyDescent="0.4">
      <c r="A4010" s="4">
        <v>1001002</v>
      </c>
      <c r="B4010">
        <v>7124400</v>
      </c>
    </row>
    <row r="4011" spans="1:2" x14ac:dyDescent="0.4">
      <c r="A4011" s="4">
        <v>1001002</v>
      </c>
      <c r="B4011">
        <v>7124500</v>
      </c>
    </row>
    <row r="4012" spans="1:2" x14ac:dyDescent="0.4">
      <c r="A4012" s="4">
        <v>1001002</v>
      </c>
      <c r="B4012">
        <v>7124600</v>
      </c>
    </row>
    <row r="4013" spans="1:2" x14ac:dyDescent="0.4">
      <c r="A4013" s="4">
        <v>1001002</v>
      </c>
      <c r="B4013">
        <v>7124700</v>
      </c>
    </row>
    <row r="4014" spans="1:2" x14ac:dyDescent="0.4">
      <c r="A4014" s="4">
        <v>1001002</v>
      </c>
      <c r="B4014">
        <v>7126000</v>
      </c>
    </row>
    <row r="4015" spans="1:2" x14ac:dyDescent="0.4">
      <c r="A4015" s="4">
        <v>1001002</v>
      </c>
      <c r="B4015">
        <v>7150000</v>
      </c>
    </row>
    <row r="4016" spans="1:2" x14ac:dyDescent="0.4">
      <c r="A4016" s="4">
        <v>1001002</v>
      </c>
      <c r="B4016">
        <v>7160000</v>
      </c>
    </row>
    <row r="4017" spans="1:2" x14ac:dyDescent="0.4">
      <c r="A4017" s="4">
        <v>1001002</v>
      </c>
      <c r="B4017">
        <v>7220000</v>
      </c>
    </row>
    <row r="4018" spans="1:2" x14ac:dyDescent="0.4">
      <c r="A4018" s="4">
        <v>1001002</v>
      </c>
      <c r="B4018">
        <v>7230000</v>
      </c>
    </row>
    <row r="4019" spans="1:2" x14ac:dyDescent="0.4">
      <c r="A4019" s="4">
        <v>1001002</v>
      </c>
      <c r="B4019">
        <v>7240000</v>
      </c>
    </row>
    <row r="4020" spans="1:2" x14ac:dyDescent="0.4">
      <c r="A4020" s="4">
        <v>1001002</v>
      </c>
      <c r="B4020">
        <v>7260000</v>
      </c>
    </row>
    <row r="4021" spans="1:2" x14ac:dyDescent="0.4">
      <c r="A4021" s="4">
        <v>1001002</v>
      </c>
      <c r="B4021">
        <v>7260300</v>
      </c>
    </row>
    <row r="4022" spans="1:2" x14ac:dyDescent="0.4">
      <c r="A4022" s="4">
        <v>1001002</v>
      </c>
      <c r="B4022">
        <v>7260400</v>
      </c>
    </row>
    <row r="4023" spans="1:2" x14ac:dyDescent="0.4">
      <c r="A4023" s="4">
        <v>1001002</v>
      </c>
      <c r="B4023">
        <v>7270100</v>
      </c>
    </row>
    <row r="4024" spans="1:2" x14ac:dyDescent="0.4">
      <c r="A4024" s="4">
        <v>1001002</v>
      </c>
      <c r="B4024">
        <v>7280000</v>
      </c>
    </row>
    <row r="4025" spans="1:2" x14ac:dyDescent="0.4">
      <c r="A4025" s="4">
        <v>1001002</v>
      </c>
      <c r="B4025">
        <v>7290000</v>
      </c>
    </row>
    <row r="4026" spans="1:2" x14ac:dyDescent="0.4">
      <c r="A4026" s="4">
        <v>1001002</v>
      </c>
      <c r="B4026">
        <v>7310000</v>
      </c>
    </row>
    <row r="4027" spans="1:2" x14ac:dyDescent="0.4">
      <c r="A4027" s="4">
        <v>1001002</v>
      </c>
      <c r="B4027">
        <v>7330000</v>
      </c>
    </row>
    <row r="4028" spans="1:2" x14ac:dyDescent="0.4">
      <c r="A4028" s="4">
        <v>1001002</v>
      </c>
      <c r="B4028">
        <v>7330100</v>
      </c>
    </row>
    <row r="4029" spans="1:2" x14ac:dyDescent="0.4">
      <c r="A4029" s="4">
        <v>1001002</v>
      </c>
      <c r="B4029">
        <v>7330200</v>
      </c>
    </row>
    <row r="4030" spans="1:2" x14ac:dyDescent="0.4">
      <c r="A4030" s="4">
        <v>1001002</v>
      </c>
      <c r="B4030">
        <v>7330300</v>
      </c>
    </row>
    <row r="4031" spans="1:2" x14ac:dyDescent="0.4">
      <c r="A4031" s="4">
        <v>1001002</v>
      </c>
      <c r="B4031">
        <v>7330400</v>
      </c>
    </row>
    <row r="4032" spans="1:2" x14ac:dyDescent="0.4">
      <c r="A4032" s="4">
        <v>1001002</v>
      </c>
      <c r="B4032">
        <v>7330500</v>
      </c>
    </row>
    <row r="4033" spans="1:2" x14ac:dyDescent="0.4">
      <c r="A4033" s="4">
        <v>1001002</v>
      </c>
      <c r="B4033">
        <v>7330600</v>
      </c>
    </row>
    <row r="4034" spans="1:2" x14ac:dyDescent="0.4">
      <c r="A4034" s="4">
        <v>1001002</v>
      </c>
      <c r="B4034">
        <v>7330700</v>
      </c>
    </row>
    <row r="4035" spans="1:2" x14ac:dyDescent="0.4">
      <c r="A4035" s="4">
        <v>1001002</v>
      </c>
      <c r="B4035">
        <v>7330800</v>
      </c>
    </row>
    <row r="4036" spans="1:2" x14ac:dyDescent="0.4">
      <c r="A4036" s="4">
        <v>1001002</v>
      </c>
      <c r="B4036">
        <v>7330900</v>
      </c>
    </row>
    <row r="4037" spans="1:2" x14ac:dyDescent="0.4">
      <c r="A4037" s="4">
        <v>1001002</v>
      </c>
      <c r="B4037">
        <v>7331000</v>
      </c>
    </row>
    <row r="4038" spans="1:2" x14ac:dyDescent="0.4">
      <c r="A4038" s="4">
        <v>1001002</v>
      </c>
      <c r="B4038">
        <v>7331100</v>
      </c>
    </row>
    <row r="4039" spans="1:2" x14ac:dyDescent="0.4">
      <c r="A4039" s="4">
        <v>1001002</v>
      </c>
      <c r="B4039">
        <v>7331200</v>
      </c>
    </row>
    <row r="4040" spans="1:2" x14ac:dyDescent="0.4">
      <c r="A4040" s="4">
        <v>1001002</v>
      </c>
      <c r="B4040">
        <v>7331300</v>
      </c>
    </row>
    <row r="4041" spans="1:2" x14ac:dyDescent="0.4">
      <c r="A4041" s="4">
        <v>1001002</v>
      </c>
      <c r="B4041">
        <v>7331400</v>
      </c>
    </row>
    <row r="4042" spans="1:2" x14ac:dyDescent="0.4">
      <c r="A4042" s="4">
        <v>1001002</v>
      </c>
      <c r="B4042">
        <v>7331500</v>
      </c>
    </row>
    <row r="4043" spans="1:2" x14ac:dyDescent="0.4">
      <c r="A4043" s="4">
        <v>1001002</v>
      </c>
      <c r="B4043">
        <v>7331700</v>
      </c>
    </row>
    <row r="4044" spans="1:2" x14ac:dyDescent="0.4">
      <c r="A4044" s="4">
        <v>1001002</v>
      </c>
      <c r="B4044">
        <v>7331800</v>
      </c>
    </row>
    <row r="4045" spans="1:2" x14ac:dyDescent="0.4">
      <c r="A4045" s="4">
        <v>1001002</v>
      </c>
      <c r="B4045">
        <v>7331900</v>
      </c>
    </row>
    <row r="4046" spans="1:2" x14ac:dyDescent="0.4">
      <c r="A4046" s="4">
        <v>1001002</v>
      </c>
      <c r="B4046">
        <v>7332000</v>
      </c>
    </row>
    <row r="4047" spans="1:2" x14ac:dyDescent="0.4">
      <c r="A4047" s="4">
        <v>1001002</v>
      </c>
      <c r="B4047">
        <v>7332100</v>
      </c>
    </row>
    <row r="4048" spans="1:2" x14ac:dyDescent="0.4">
      <c r="A4048" s="4">
        <v>1001002</v>
      </c>
      <c r="B4048">
        <v>7332200</v>
      </c>
    </row>
    <row r="4049" spans="1:2" x14ac:dyDescent="0.4">
      <c r="A4049" s="4">
        <v>1001002</v>
      </c>
      <c r="B4049">
        <v>7332300</v>
      </c>
    </row>
    <row r="4050" spans="1:2" x14ac:dyDescent="0.4">
      <c r="A4050" s="4">
        <v>1001002</v>
      </c>
      <c r="B4050">
        <v>7332400</v>
      </c>
    </row>
    <row r="4051" spans="1:2" x14ac:dyDescent="0.4">
      <c r="A4051" s="4">
        <v>1001002</v>
      </c>
      <c r="B4051">
        <v>7340000</v>
      </c>
    </row>
    <row r="4052" spans="1:2" x14ac:dyDescent="0.4">
      <c r="A4052" s="4">
        <v>1001002</v>
      </c>
      <c r="B4052">
        <v>7340100</v>
      </c>
    </row>
    <row r="4053" spans="1:2" x14ac:dyDescent="0.4">
      <c r="A4053" s="4">
        <v>1001002</v>
      </c>
      <c r="B4053">
        <v>7340200</v>
      </c>
    </row>
    <row r="4054" spans="1:2" x14ac:dyDescent="0.4">
      <c r="A4054" s="4">
        <v>1001002</v>
      </c>
      <c r="B4054">
        <v>7340300</v>
      </c>
    </row>
    <row r="4055" spans="1:2" x14ac:dyDescent="0.4">
      <c r="A4055" s="4">
        <v>1001002</v>
      </c>
      <c r="B4055">
        <v>7340400</v>
      </c>
    </row>
    <row r="4056" spans="1:2" x14ac:dyDescent="0.4">
      <c r="A4056" s="4">
        <v>1001002</v>
      </c>
      <c r="B4056">
        <v>7340500</v>
      </c>
    </row>
    <row r="4057" spans="1:2" x14ac:dyDescent="0.4">
      <c r="A4057" s="4">
        <v>1001002</v>
      </c>
      <c r="B4057">
        <v>7340600</v>
      </c>
    </row>
    <row r="4058" spans="1:2" x14ac:dyDescent="0.4">
      <c r="A4058" s="4">
        <v>1001002</v>
      </c>
      <c r="B4058">
        <v>7340700</v>
      </c>
    </row>
    <row r="4059" spans="1:2" x14ac:dyDescent="0.4">
      <c r="A4059" s="4">
        <v>1001002</v>
      </c>
      <c r="B4059">
        <v>7340800</v>
      </c>
    </row>
    <row r="4060" spans="1:2" x14ac:dyDescent="0.4">
      <c r="A4060" s="4">
        <v>1001002</v>
      </c>
      <c r="B4060">
        <v>7340900</v>
      </c>
    </row>
    <row r="4061" spans="1:2" x14ac:dyDescent="0.4">
      <c r="A4061" s="4">
        <v>1001002</v>
      </c>
      <c r="B4061">
        <v>7341000</v>
      </c>
    </row>
    <row r="4062" spans="1:2" x14ac:dyDescent="0.4">
      <c r="A4062" s="4">
        <v>1001002</v>
      </c>
      <c r="B4062">
        <v>7341100</v>
      </c>
    </row>
    <row r="4063" spans="1:2" x14ac:dyDescent="0.4">
      <c r="A4063" s="4">
        <v>1001002</v>
      </c>
      <c r="B4063">
        <v>7341200</v>
      </c>
    </row>
    <row r="4064" spans="1:2" x14ac:dyDescent="0.4">
      <c r="A4064" s="4">
        <v>1001002</v>
      </c>
      <c r="B4064">
        <v>7341300</v>
      </c>
    </row>
    <row r="4065" spans="1:2" x14ac:dyDescent="0.4">
      <c r="A4065" s="4">
        <v>1001002</v>
      </c>
      <c r="B4065">
        <v>7341400</v>
      </c>
    </row>
    <row r="4066" spans="1:2" x14ac:dyDescent="0.4">
      <c r="A4066" s="4">
        <v>1001002</v>
      </c>
      <c r="B4066">
        <v>7341500</v>
      </c>
    </row>
    <row r="4067" spans="1:2" x14ac:dyDescent="0.4">
      <c r="A4067" s="4">
        <v>1001002</v>
      </c>
      <c r="B4067">
        <v>7341700</v>
      </c>
    </row>
    <row r="4068" spans="1:2" x14ac:dyDescent="0.4">
      <c r="A4068" s="4">
        <v>1001002</v>
      </c>
      <c r="B4068">
        <v>7341800</v>
      </c>
    </row>
    <row r="4069" spans="1:2" x14ac:dyDescent="0.4">
      <c r="A4069" s="4">
        <v>1001002</v>
      </c>
      <c r="B4069">
        <v>7341900</v>
      </c>
    </row>
    <row r="4070" spans="1:2" x14ac:dyDescent="0.4">
      <c r="A4070" s="4">
        <v>1001002</v>
      </c>
      <c r="B4070">
        <v>7342000</v>
      </c>
    </row>
    <row r="4071" spans="1:2" x14ac:dyDescent="0.4">
      <c r="A4071" s="4">
        <v>1001002</v>
      </c>
      <c r="B4071">
        <v>7342100</v>
      </c>
    </row>
    <row r="4072" spans="1:2" x14ac:dyDescent="0.4">
      <c r="A4072" s="4">
        <v>1001002</v>
      </c>
      <c r="B4072">
        <v>7342200</v>
      </c>
    </row>
    <row r="4073" spans="1:2" x14ac:dyDescent="0.4">
      <c r="A4073" s="4">
        <v>1001002</v>
      </c>
      <c r="B4073">
        <v>7342300</v>
      </c>
    </row>
    <row r="4074" spans="1:2" x14ac:dyDescent="0.4">
      <c r="A4074" s="4">
        <v>1001002</v>
      </c>
      <c r="B4074">
        <v>7342400</v>
      </c>
    </row>
    <row r="4075" spans="1:2" x14ac:dyDescent="0.4">
      <c r="A4075" s="4">
        <v>1001002</v>
      </c>
      <c r="B4075">
        <v>7350000</v>
      </c>
    </row>
    <row r="4076" spans="1:2" x14ac:dyDescent="0.4">
      <c r="A4076" s="4">
        <v>1001002</v>
      </c>
      <c r="B4076">
        <v>7350100</v>
      </c>
    </row>
    <row r="4077" spans="1:2" x14ac:dyDescent="0.4">
      <c r="A4077" s="4">
        <v>1001002</v>
      </c>
      <c r="B4077">
        <v>7350200</v>
      </c>
    </row>
    <row r="4078" spans="1:2" x14ac:dyDescent="0.4">
      <c r="A4078" s="4">
        <v>1001002</v>
      </c>
      <c r="B4078">
        <v>7350300</v>
      </c>
    </row>
    <row r="4079" spans="1:2" x14ac:dyDescent="0.4">
      <c r="A4079" s="4">
        <v>1001002</v>
      </c>
      <c r="B4079">
        <v>7350400</v>
      </c>
    </row>
    <row r="4080" spans="1:2" x14ac:dyDescent="0.4">
      <c r="A4080" s="4">
        <v>1001002</v>
      </c>
      <c r="B4080">
        <v>7350500</v>
      </c>
    </row>
    <row r="4081" spans="1:2" x14ac:dyDescent="0.4">
      <c r="A4081" s="4">
        <v>1001002</v>
      </c>
      <c r="B4081">
        <v>7350600</v>
      </c>
    </row>
    <row r="4082" spans="1:2" x14ac:dyDescent="0.4">
      <c r="A4082" s="4">
        <v>1001002</v>
      </c>
      <c r="B4082">
        <v>7350700</v>
      </c>
    </row>
    <row r="4083" spans="1:2" x14ac:dyDescent="0.4">
      <c r="A4083" s="4">
        <v>1001002</v>
      </c>
      <c r="B4083">
        <v>7350800</v>
      </c>
    </row>
    <row r="4084" spans="1:2" x14ac:dyDescent="0.4">
      <c r="A4084" s="4">
        <v>1001002</v>
      </c>
      <c r="B4084">
        <v>7350900</v>
      </c>
    </row>
    <row r="4085" spans="1:2" x14ac:dyDescent="0.4">
      <c r="A4085" s="4">
        <v>1001002</v>
      </c>
      <c r="B4085">
        <v>7351000</v>
      </c>
    </row>
    <row r="4086" spans="1:2" x14ac:dyDescent="0.4">
      <c r="A4086" s="4">
        <v>1001002</v>
      </c>
      <c r="B4086">
        <v>7351100</v>
      </c>
    </row>
    <row r="4087" spans="1:2" x14ac:dyDescent="0.4">
      <c r="A4087" s="4">
        <v>1001002</v>
      </c>
      <c r="B4087">
        <v>7351200</v>
      </c>
    </row>
    <row r="4088" spans="1:2" x14ac:dyDescent="0.4">
      <c r="A4088" s="4">
        <v>1001002</v>
      </c>
      <c r="B4088">
        <v>7351300</v>
      </c>
    </row>
    <row r="4089" spans="1:2" x14ac:dyDescent="0.4">
      <c r="A4089" s="4">
        <v>1001002</v>
      </c>
      <c r="B4089">
        <v>7351400</v>
      </c>
    </row>
    <row r="4090" spans="1:2" x14ac:dyDescent="0.4">
      <c r="A4090" s="4">
        <v>1001002</v>
      </c>
      <c r="B4090">
        <v>7351500</v>
      </c>
    </row>
    <row r="4091" spans="1:2" x14ac:dyDescent="0.4">
      <c r="A4091" s="4">
        <v>1001002</v>
      </c>
      <c r="B4091">
        <v>7351700</v>
      </c>
    </row>
    <row r="4092" spans="1:2" x14ac:dyDescent="0.4">
      <c r="A4092" s="4">
        <v>1001002</v>
      </c>
      <c r="B4092">
        <v>7351800</v>
      </c>
    </row>
    <row r="4093" spans="1:2" x14ac:dyDescent="0.4">
      <c r="A4093" s="4">
        <v>1001002</v>
      </c>
      <c r="B4093">
        <v>7351900</v>
      </c>
    </row>
    <row r="4094" spans="1:2" x14ac:dyDescent="0.4">
      <c r="A4094" s="4">
        <v>1001002</v>
      </c>
      <c r="B4094">
        <v>7352000</v>
      </c>
    </row>
    <row r="4095" spans="1:2" x14ac:dyDescent="0.4">
      <c r="A4095" s="4">
        <v>1001002</v>
      </c>
      <c r="B4095">
        <v>7352100</v>
      </c>
    </row>
    <row r="4096" spans="1:2" x14ac:dyDescent="0.4">
      <c r="A4096" s="4">
        <v>1001002</v>
      </c>
      <c r="B4096">
        <v>7352200</v>
      </c>
    </row>
    <row r="4097" spans="1:2" x14ac:dyDescent="0.4">
      <c r="A4097" s="4">
        <v>1001002</v>
      </c>
      <c r="B4097">
        <v>7352300</v>
      </c>
    </row>
    <row r="4098" spans="1:2" x14ac:dyDescent="0.4">
      <c r="A4098" s="4">
        <v>1001002</v>
      </c>
      <c r="B4098">
        <v>7352400</v>
      </c>
    </row>
    <row r="4099" spans="1:2" x14ac:dyDescent="0.4">
      <c r="A4099" s="4">
        <v>1001002</v>
      </c>
      <c r="B4099">
        <v>7360600</v>
      </c>
    </row>
    <row r="4100" spans="1:2" x14ac:dyDescent="0.4">
      <c r="A4100" s="4">
        <v>1001002</v>
      </c>
      <c r="B4100">
        <v>7360900</v>
      </c>
    </row>
    <row r="4101" spans="1:2" x14ac:dyDescent="0.4">
      <c r="A4101" s="4">
        <v>1001002</v>
      </c>
      <c r="B4101">
        <v>7361200</v>
      </c>
    </row>
    <row r="4102" spans="1:2" x14ac:dyDescent="0.4">
      <c r="A4102" s="4">
        <v>1001002</v>
      </c>
      <c r="B4102">
        <v>7361300</v>
      </c>
    </row>
    <row r="4103" spans="1:2" x14ac:dyDescent="0.4">
      <c r="A4103" s="4">
        <v>1001002</v>
      </c>
      <c r="B4103">
        <v>7362100</v>
      </c>
    </row>
    <row r="4104" spans="1:2" x14ac:dyDescent="0.4">
      <c r="A4104" s="4">
        <v>1001002</v>
      </c>
      <c r="B4104">
        <v>7370300</v>
      </c>
    </row>
    <row r="4105" spans="1:2" x14ac:dyDescent="0.4">
      <c r="A4105" s="4">
        <v>1001002</v>
      </c>
      <c r="B4105">
        <v>7370400</v>
      </c>
    </row>
    <row r="4106" spans="1:2" x14ac:dyDescent="0.4">
      <c r="A4106" s="4">
        <v>1001002</v>
      </c>
      <c r="B4106">
        <v>7370600</v>
      </c>
    </row>
    <row r="4107" spans="1:2" x14ac:dyDescent="0.4">
      <c r="A4107" s="4">
        <v>1001002</v>
      </c>
      <c r="B4107">
        <v>7370900</v>
      </c>
    </row>
    <row r="4108" spans="1:2" x14ac:dyDescent="0.4">
      <c r="A4108" s="4">
        <v>1001002</v>
      </c>
      <c r="B4108">
        <v>7371500</v>
      </c>
    </row>
    <row r="4109" spans="1:2" x14ac:dyDescent="0.4">
      <c r="A4109" s="4">
        <v>1001002</v>
      </c>
      <c r="B4109">
        <v>7036200</v>
      </c>
    </row>
    <row r="4110" spans="1:2" x14ac:dyDescent="0.4">
      <c r="A4110" s="4">
        <v>1001002</v>
      </c>
      <c r="B4110">
        <v>7036300</v>
      </c>
    </row>
    <row r="4111" spans="1:2" x14ac:dyDescent="0.4">
      <c r="A4111" s="4">
        <v>1001002</v>
      </c>
      <c r="B4111">
        <v>7036400</v>
      </c>
    </row>
    <row r="4112" spans="1:2" x14ac:dyDescent="0.4">
      <c r="A4112" s="4">
        <v>1001002</v>
      </c>
      <c r="B4112">
        <v>7036500</v>
      </c>
    </row>
    <row r="4113" spans="1:2" x14ac:dyDescent="0.4">
      <c r="A4113" s="4">
        <v>1001002</v>
      </c>
      <c r="B4113">
        <v>7036800</v>
      </c>
    </row>
    <row r="4114" spans="1:2" x14ac:dyDescent="0.4">
      <c r="A4114" s="4">
        <v>1001002</v>
      </c>
      <c r="B4114">
        <v>7036900</v>
      </c>
    </row>
    <row r="4115" spans="1:2" x14ac:dyDescent="0.4">
      <c r="A4115" s="4">
        <v>1001002</v>
      </c>
      <c r="B4115">
        <v>7037000</v>
      </c>
    </row>
    <row r="4116" spans="1:2" x14ac:dyDescent="0.4">
      <c r="A4116" s="4">
        <v>1001002</v>
      </c>
      <c r="B4116">
        <v>7037300</v>
      </c>
    </row>
    <row r="4117" spans="1:2" x14ac:dyDescent="0.4">
      <c r="A4117" s="4">
        <v>1001002</v>
      </c>
      <c r="B4117">
        <v>6630000</v>
      </c>
    </row>
    <row r="4118" spans="1:2" x14ac:dyDescent="0.4">
      <c r="A4118" s="4">
        <v>1001002</v>
      </c>
      <c r="B4118">
        <v>6630100</v>
      </c>
    </row>
    <row r="4119" spans="1:2" x14ac:dyDescent="0.4">
      <c r="A4119" s="4">
        <v>1001002</v>
      </c>
      <c r="B4119">
        <v>6630200</v>
      </c>
    </row>
    <row r="4120" spans="1:2" x14ac:dyDescent="0.4">
      <c r="A4120" s="4">
        <v>1001002</v>
      </c>
      <c r="B4120">
        <v>6630300</v>
      </c>
    </row>
    <row r="4121" spans="1:2" x14ac:dyDescent="0.4">
      <c r="A4121" s="4">
        <v>1001002</v>
      </c>
      <c r="B4121">
        <v>6630400</v>
      </c>
    </row>
    <row r="4122" spans="1:2" x14ac:dyDescent="0.4">
      <c r="A4122" s="4">
        <v>1001002</v>
      </c>
      <c r="B4122">
        <v>6630500</v>
      </c>
    </row>
    <row r="4123" spans="1:2" x14ac:dyDescent="0.4">
      <c r="A4123" s="4">
        <v>1001002</v>
      </c>
      <c r="B4123">
        <v>6630600</v>
      </c>
    </row>
    <row r="4124" spans="1:2" x14ac:dyDescent="0.4">
      <c r="A4124" s="4">
        <v>1001002</v>
      </c>
      <c r="B4124">
        <v>6630700</v>
      </c>
    </row>
    <row r="4125" spans="1:2" x14ac:dyDescent="0.4">
      <c r="A4125" s="4">
        <v>1001002</v>
      </c>
      <c r="B4125">
        <v>6630800</v>
      </c>
    </row>
    <row r="4126" spans="1:2" x14ac:dyDescent="0.4">
      <c r="A4126" s="4">
        <v>1001002</v>
      </c>
      <c r="B4126">
        <v>6630900</v>
      </c>
    </row>
    <row r="4127" spans="1:2" x14ac:dyDescent="0.4">
      <c r="A4127" s="4">
        <v>1001002</v>
      </c>
      <c r="B4127">
        <v>6631000</v>
      </c>
    </row>
    <row r="4128" spans="1:2" x14ac:dyDescent="0.4">
      <c r="A4128" s="4">
        <v>1001002</v>
      </c>
      <c r="B4128">
        <v>6631100</v>
      </c>
    </row>
    <row r="4129" spans="1:2" x14ac:dyDescent="0.4">
      <c r="A4129" s="4">
        <v>1001002</v>
      </c>
      <c r="B4129">
        <v>6631200</v>
      </c>
    </row>
    <row r="4130" spans="1:2" x14ac:dyDescent="0.4">
      <c r="A4130" s="4">
        <v>1001002</v>
      </c>
      <c r="B4130">
        <v>6631300</v>
      </c>
    </row>
    <row r="4131" spans="1:2" x14ac:dyDescent="0.4">
      <c r="A4131" s="4">
        <v>1001002</v>
      </c>
      <c r="B4131">
        <v>6631400</v>
      </c>
    </row>
    <row r="4132" spans="1:2" x14ac:dyDescent="0.4">
      <c r="A4132" s="4">
        <v>1001002</v>
      </c>
      <c r="B4132">
        <v>6631500</v>
      </c>
    </row>
    <row r="4133" spans="1:2" x14ac:dyDescent="0.4">
      <c r="A4133" s="4">
        <v>1001002</v>
      </c>
      <c r="B4133">
        <v>6631600</v>
      </c>
    </row>
    <row r="4134" spans="1:2" x14ac:dyDescent="0.4">
      <c r="A4134" s="4">
        <v>1001002</v>
      </c>
      <c r="B4134">
        <v>6631700</v>
      </c>
    </row>
    <row r="4135" spans="1:2" x14ac:dyDescent="0.4">
      <c r="A4135" s="4">
        <v>1001002</v>
      </c>
      <c r="B4135">
        <v>6631800</v>
      </c>
    </row>
    <row r="4136" spans="1:2" x14ac:dyDescent="0.4">
      <c r="A4136" s="4">
        <v>1001002</v>
      </c>
      <c r="B4136">
        <v>6631900</v>
      </c>
    </row>
    <row r="4137" spans="1:2" x14ac:dyDescent="0.4">
      <c r="A4137" s="4">
        <v>1001002</v>
      </c>
      <c r="B4137">
        <v>6632000</v>
      </c>
    </row>
    <row r="4138" spans="1:2" x14ac:dyDescent="0.4">
      <c r="A4138" s="4">
        <v>1001002</v>
      </c>
      <c r="B4138">
        <v>6632100</v>
      </c>
    </row>
    <row r="4139" spans="1:2" x14ac:dyDescent="0.4">
      <c r="A4139" s="4">
        <v>1001002</v>
      </c>
      <c r="B4139">
        <v>6632200</v>
      </c>
    </row>
    <row r="4140" spans="1:2" x14ac:dyDescent="0.4">
      <c r="A4140" s="4">
        <v>1001002</v>
      </c>
      <c r="B4140">
        <v>6632300</v>
      </c>
    </row>
    <row r="4141" spans="1:2" x14ac:dyDescent="0.4">
      <c r="A4141" s="4">
        <v>1001002</v>
      </c>
      <c r="B4141">
        <v>6632400</v>
      </c>
    </row>
    <row r="4142" spans="1:2" x14ac:dyDescent="0.4">
      <c r="A4142" s="4">
        <v>1001002</v>
      </c>
      <c r="B4142">
        <v>6632500</v>
      </c>
    </row>
    <row r="4143" spans="1:2" x14ac:dyDescent="0.4">
      <c r="A4143" s="4">
        <v>1001002</v>
      </c>
      <c r="B4143">
        <v>6632600</v>
      </c>
    </row>
    <row r="4144" spans="1:2" x14ac:dyDescent="0.4">
      <c r="A4144" s="4">
        <v>1001002</v>
      </c>
      <c r="B4144">
        <v>6632700</v>
      </c>
    </row>
    <row r="4145" spans="1:2" x14ac:dyDescent="0.4">
      <c r="A4145" s="4">
        <v>1001002</v>
      </c>
      <c r="B4145">
        <v>6632800</v>
      </c>
    </row>
    <row r="4146" spans="1:2" x14ac:dyDescent="0.4">
      <c r="A4146" s="4">
        <v>1001002</v>
      </c>
      <c r="B4146">
        <v>6632900</v>
      </c>
    </row>
    <row r="4147" spans="1:2" x14ac:dyDescent="0.4">
      <c r="A4147" s="4">
        <v>1001002</v>
      </c>
      <c r="B4147">
        <v>6633000</v>
      </c>
    </row>
    <row r="4148" spans="1:2" x14ac:dyDescent="0.4">
      <c r="A4148" s="4">
        <v>1001002</v>
      </c>
      <c r="B4148">
        <v>6633100</v>
      </c>
    </row>
    <row r="4149" spans="1:2" x14ac:dyDescent="0.4">
      <c r="A4149" s="4">
        <v>1001002</v>
      </c>
      <c r="B4149">
        <v>6633200</v>
      </c>
    </row>
    <row r="4150" spans="1:2" x14ac:dyDescent="0.4">
      <c r="A4150" s="4">
        <v>1001002</v>
      </c>
      <c r="B4150">
        <v>6647200</v>
      </c>
    </row>
    <row r="4151" spans="1:2" x14ac:dyDescent="0.4">
      <c r="A4151" s="4">
        <v>1001002</v>
      </c>
      <c r="B4151">
        <v>6647300</v>
      </c>
    </row>
    <row r="4152" spans="1:2" x14ac:dyDescent="0.4">
      <c r="A4152" s="4">
        <v>1001002</v>
      </c>
      <c r="B4152">
        <v>6647400</v>
      </c>
    </row>
    <row r="4153" spans="1:2" x14ac:dyDescent="0.4">
      <c r="A4153" s="4">
        <v>1001002</v>
      </c>
      <c r="B4153">
        <v>6647500</v>
      </c>
    </row>
    <row r="4154" spans="1:2" x14ac:dyDescent="0.4">
      <c r="A4154" s="4">
        <v>1001002</v>
      </c>
      <c r="B4154">
        <v>6640000</v>
      </c>
    </row>
    <row r="4155" spans="1:2" x14ac:dyDescent="0.4">
      <c r="A4155" s="4">
        <v>1001002</v>
      </c>
      <c r="B4155">
        <v>6640100</v>
      </c>
    </row>
    <row r="4156" spans="1:2" x14ac:dyDescent="0.4">
      <c r="A4156" s="4">
        <v>1001002</v>
      </c>
      <c r="B4156">
        <v>6641000</v>
      </c>
    </row>
    <row r="4157" spans="1:2" x14ac:dyDescent="0.4">
      <c r="A4157" s="4">
        <v>1001002</v>
      </c>
      <c r="B4157">
        <v>6641100</v>
      </c>
    </row>
    <row r="4158" spans="1:2" x14ac:dyDescent="0.4">
      <c r="A4158" s="4">
        <v>1001002</v>
      </c>
      <c r="B4158">
        <v>6642000</v>
      </c>
    </row>
    <row r="4159" spans="1:2" x14ac:dyDescent="0.4">
      <c r="A4159" s="4">
        <v>1001002</v>
      </c>
      <c r="B4159">
        <v>6642100</v>
      </c>
    </row>
    <row r="4160" spans="1:2" x14ac:dyDescent="0.4">
      <c r="A4160" s="4">
        <v>1001002</v>
      </c>
      <c r="B4160">
        <v>6643000</v>
      </c>
    </row>
    <row r="4161" spans="1:2" x14ac:dyDescent="0.4">
      <c r="A4161" s="4">
        <v>1001002</v>
      </c>
      <c r="B4161">
        <v>6643100</v>
      </c>
    </row>
    <row r="4162" spans="1:2" x14ac:dyDescent="0.4">
      <c r="A4162" s="4">
        <v>1001002</v>
      </c>
      <c r="B4162">
        <v>6644000</v>
      </c>
    </row>
    <row r="4163" spans="1:2" x14ac:dyDescent="0.4">
      <c r="A4163" s="4">
        <v>1001002</v>
      </c>
      <c r="B4163">
        <v>6644100</v>
      </c>
    </row>
    <row r="4164" spans="1:2" x14ac:dyDescent="0.4">
      <c r="A4164" s="4">
        <v>1001002</v>
      </c>
      <c r="B4164">
        <v>6645000</v>
      </c>
    </row>
    <row r="4165" spans="1:2" x14ac:dyDescent="0.4">
      <c r="A4165" s="4">
        <v>1001002</v>
      </c>
      <c r="B4165">
        <v>6645100</v>
      </c>
    </row>
    <row r="4166" spans="1:2" x14ac:dyDescent="0.4">
      <c r="A4166" s="4">
        <v>1001002</v>
      </c>
      <c r="B4166">
        <v>6646000</v>
      </c>
    </row>
    <row r="4167" spans="1:2" x14ac:dyDescent="0.4">
      <c r="A4167" s="4">
        <v>1001002</v>
      </c>
      <c r="B4167">
        <v>6646100</v>
      </c>
    </row>
    <row r="4168" spans="1:2" x14ac:dyDescent="0.4">
      <c r="A4168" s="4">
        <v>1001002</v>
      </c>
      <c r="B4168">
        <v>6647000</v>
      </c>
    </row>
    <row r="4169" spans="1:2" x14ac:dyDescent="0.4">
      <c r="A4169" s="4">
        <v>1001002</v>
      </c>
      <c r="B4169">
        <v>6647100</v>
      </c>
    </row>
    <row r="4170" spans="1:2" x14ac:dyDescent="0.4">
      <c r="A4170" s="4">
        <v>1002000</v>
      </c>
      <c r="B4170">
        <v>7000000</v>
      </c>
    </row>
    <row r="4171" spans="1:2" x14ac:dyDescent="0.4">
      <c r="A4171" s="4">
        <v>1002000</v>
      </c>
      <c r="B4171">
        <v>7000001</v>
      </c>
    </row>
    <row r="4172" spans="1:2" x14ac:dyDescent="0.4">
      <c r="A4172" s="4">
        <v>1002000</v>
      </c>
      <c r="B4172">
        <v>7000002</v>
      </c>
    </row>
    <row r="4173" spans="1:2" x14ac:dyDescent="0.4">
      <c r="A4173" s="4">
        <v>1002000</v>
      </c>
      <c r="B4173">
        <v>7000100</v>
      </c>
    </row>
    <row r="4174" spans="1:2" x14ac:dyDescent="0.4">
      <c r="A4174" s="4">
        <v>1002000</v>
      </c>
      <c r="B4174">
        <v>7000101</v>
      </c>
    </row>
    <row r="4175" spans="1:2" x14ac:dyDescent="0.4">
      <c r="A4175" s="4">
        <v>1002000</v>
      </c>
      <c r="B4175">
        <v>7000102</v>
      </c>
    </row>
    <row r="4176" spans="1:2" x14ac:dyDescent="0.4">
      <c r="A4176" s="4">
        <v>1002000</v>
      </c>
      <c r="B4176">
        <v>7000200</v>
      </c>
    </row>
    <row r="4177" spans="1:2" x14ac:dyDescent="0.4">
      <c r="A4177" s="4">
        <v>1002000</v>
      </c>
      <c r="B4177">
        <v>7000201</v>
      </c>
    </row>
    <row r="4178" spans="1:2" x14ac:dyDescent="0.4">
      <c r="A4178" s="4">
        <v>1002000</v>
      </c>
      <c r="B4178">
        <v>7000202</v>
      </c>
    </row>
    <row r="4179" spans="1:2" x14ac:dyDescent="0.4">
      <c r="A4179" s="4">
        <v>1002000</v>
      </c>
      <c r="B4179">
        <v>7000300</v>
      </c>
    </row>
    <row r="4180" spans="1:2" x14ac:dyDescent="0.4">
      <c r="A4180" s="4">
        <v>1002000</v>
      </c>
      <c r="B4180">
        <v>7000301</v>
      </c>
    </row>
    <row r="4181" spans="1:2" x14ac:dyDescent="0.4">
      <c r="A4181" s="4">
        <v>1002000</v>
      </c>
      <c r="B4181">
        <v>7000302</v>
      </c>
    </row>
    <row r="4182" spans="1:2" x14ac:dyDescent="0.4">
      <c r="A4182" s="4">
        <v>1002000</v>
      </c>
      <c r="B4182">
        <v>7000400</v>
      </c>
    </row>
    <row r="4183" spans="1:2" x14ac:dyDescent="0.4">
      <c r="A4183" s="4">
        <v>1002000</v>
      </c>
      <c r="B4183">
        <v>7000401</v>
      </c>
    </row>
    <row r="4184" spans="1:2" x14ac:dyDescent="0.4">
      <c r="A4184" s="4">
        <v>1002000</v>
      </c>
      <c r="B4184">
        <v>7000402</v>
      </c>
    </row>
    <row r="4185" spans="1:2" x14ac:dyDescent="0.4">
      <c r="A4185" s="4">
        <v>1002000</v>
      </c>
      <c r="B4185">
        <v>7000500</v>
      </c>
    </row>
    <row r="4186" spans="1:2" x14ac:dyDescent="0.4">
      <c r="A4186" s="4">
        <v>1002000</v>
      </c>
      <c r="B4186">
        <v>7000501</v>
      </c>
    </row>
    <row r="4187" spans="1:2" x14ac:dyDescent="0.4">
      <c r="A4187" s="4">
        <v>1002000</v>
      </c>
      <c r="B4187">
        <v>7000502</v>
      </c>
    </row>
    <row r="4188" spans="1:2" x14ac:dyDescent="0.4">
      <c r="A4188" s="4">
        <v>1002000</v>
      </c>
      <c r="B4188">
        <v>7000600</v>
      </c>
    </row>
    <row r="4189" spans="1:2" x14ac:dyDescent="0.4">
      <c r="A4189" s="4">
        <v>1002000</v>
      </c>
      <c r="B4189">
        <v>7000601</v>
      </c>
    </row>
    <row r="4190" spans="1:2" x14ac:dyDescent="0.4">
      <c r="A4190" s="4">
        <v>1002000</v>
      </c>
      <c r="B4190">
        <v>7000602</v>
      </c>
    </row>
    <row r="4191" spans="1:2" x14ac:dyDescent="0.4">
      <c r="A4191" s="4">
        <v>1002000</v>
      </c>
      <c r="B4191">
        <v>7000700</v>
      </c>
    </row>
    <row r="4192" spans="1:2" x14ac:dyDescent="0.4">
      <c r="A4192" s="4">
        <v>1002000</v>
      </c>
      <c r="B4192">
        <v>7000701</v>
      </c>
    </row>
    <row r="4193" spans="1:2" x14ac:dyDescent="0.4">
      <c r="A4193" s="4">
        <v>1002000</v>
      </c>
      <c r="B4193">
        <v>7000702</v>
      </c>
    </row>
    <row r="4194" spans="1:2" x14ac:dyDescent="0.4">
      <c r="A4194" s="4">
        <v>1002000</v>
      </c>
      <c r="B4194">
        <v>7000800</v>
      </c>
    </row>
    <row r="4195" spans="1:2" x14ac:dyDescent="0.4">
      <c r="A4195" s="4">
        <v>1002000</v>
      </c>
      <c r="B4195">
        <v>7000801</v>
      </c>
    </row>
    <row r="4196" spans="1:2" x14ac:dyDescent="0.4">
      <c r="A4196" s="4">
        <v>1002000</v>
      </c>
      <c r="B4196">
        <v>7000802</v>
      </c>
    </row>
    <row r="4197" spans="1:2" x14ac:dyDescent="0.4">
      <c r="A4197" s="4">
        <v>1002000</v>
      </c>
      <c r="B4197">
        <v>7000900</v>
      </c>
    </row>
    <row r="4198" spans="1:2" x14ac:dyDescent="0.4">
      <c r="A4198" s="4">
        <v>1002000</v>
      </c>
      <c r="B4198">
        <v>7000901</v>
      </c>
    </row>
    <row r="4199" spans="1:2" x14ac:dyDescent="0.4">
      <c r="A4199" s="4">
        <v>1002000</v>
      </c>
      <c r="B4199">
        <v>7000902</v>
      </c>
    </row>
    <row r="4200" spans="1:2" x14ac:dyDescent="0.4">
      <c r="A4200" s="4">
        <v>1002000</v>
      </c>
      <c r="B4200">
        <v>7001000</v>
      </c>
    </row>
    <row r="4201" spans="1:2" x14ac:dyDescent="0.4">
      <c r="A4201" s="4">
        <v>1002000</v>
      </c>
      <c r="B4201">
        <v>7001001</v>
      </c>
    </row>
    <row r="4202" spans="1:2" x14ac:dyDescent="0.4">
      <c r="A4202" s="4">
        <v>1002000</v>
      </c>
      <c r="B4202">
        <v>7001002</v>
      </c>
    </row>
    <row r="4203" spans="1:2" x14ac:dyDescent="0.4">
      <c r="A4203" s="4">
        <v>1002000</v>
      </c>
      <c r="B4203">
        <v>7001400</v>
      </c>
    </row>
    <row r="4204" spans="1:2" x14ac:dyDescent="0.4">
      <c r="A4204" s="4">
        <v>1002000</v>
      </c>
      <c r="B4204">
        <v>7001401</v>
      </c>
    </row>
    <row r="4205" spans="1:2" x14ac:dyDescent="0.4">
      <c r="A4205" s="4">
        <v>1002000</v>
      </c>
      <c r="B4205">
        <v>7001402</v>
      </c>
    </row>
    <row r="4206" spans="1:2" x14ac:dyDescent="0.4">
      <c r="A4206" s="4">
        <v>1002000</v>
      </c>
      <c r="B4206">
        <v>7001500</v>
      </c>
    </row>
    <row r="4207" spans="1:2" x14ac:dyDescent="0.4">
      <c r="A4207" s="4">
        <v>1002000</v>
      </c>
      <c r="B4207">
        <v>7001501</v>
      </c>
    </row>
    <row r="4208" spans="1:2" x14ac:dyDescent="0.4">
      <c r="A4208" s="4">
        <v>1002000</v>
      </c>
      <c r="B4208">
        <v>7001502</v>
      </c>
    </row>
    <row r="4209" spans="1:2" x14ac:dyDescent="0.4">
      <c r="A4209" s="4">
        <v>1002000</v>
      </c>
      <c r="B4209">
        <v>7001600</v>
      </c>
    </row>
    <row r="4210" spans="1:2" x14ac:dyDescent="0.4">
      <c r="A4210" s="4">
        <v>1002000</v>
      </c>
      <c r="B4210">
        <v>7001601</v>
      </c>
    </row>
    <row r="4211" spans="1:2" x14ac:dyDescent="0.4">
      <c r="A4211" s="4">
        <v>1002000</v>
      </c>
      <c r="B4211">
        <v>7001602</v>
      </c>
    </row>
    <row r="4212" spans="1:2" x14ac:dyDescent="0.4">
      <c r="A4212" s="4">
        <v>1002000</v>
      </c>
      <c r="B4212">
        <v>7001700</v>
      </c>
    </row>
    <row r="4213" spans="1:2" x14ac:dyDescent="0.4">
      <c r="A4213" s="4">
        <v>1002000</v>
      </c>
      <c r="B4213">
        <v>7001701</v>
      </c>
    </row>
    <row r="4214" spans="1:2" x14ac:dyDescent="0.4">
      <c r="A4214" s="4">
        <v>1002000</v>
      </c>
      <c r="B4214">
        <v>7001702</v>
      </c>
    </row>
    <row r="4215" spans="1:2" x14ac:dyDescent="0.4">
      <c r="A4215" s="4">
        <v>1002000</v>
      </c>
      <c r="B4215">
        <v>7001800</v>
      </c>
    </row>
    <row r="4216" spans="1:2" x14ac:dyDescent="0.4">
      <c r="A4216" s="4">
        <v>1002000</v>
      </c>
      <c r="B4216">
        <v>7001801</v>
      </c>
    </row>
    <row r="4217" spans="1:2" x14ac:dyDescent="0.4">
      <c r="A4217" s="4">
        <v>1002000</v>
      </c>
      <c r="B4217">
        <v>7001802</v>
      </c>
    </row>
    <row r="4218" spans="1:2" x14ac:dyDescent="0.4">
      <c r="A4218" s="4">
        <v>1002000</v>
      </c>
      <c r="B4218">
        <v>7002600</v>
      </c>
    </row>
    <row r="4219" spans="1:2" x14ac:dyDescent="0.4">
      <c r="A4219" s="4">
        <v>1002000</v>
      </c>
      <c r="B4219">
        <v>7002700</v>
      </c>
    </row>
    <row r="4220" spans="1:2" x14ac:dyDescent="0.4">
      <c r="A4220" s="4">
        <v>1002000</v>
      </c>
      <c r="B4220">
        <v>7002800</v>
      </c>
    </row>
    <row r="4221" spans="1:2" x14ac:dyDescent="0.4">
      <c r="A4221" s="4">
        <v>1002000</v>
      </c>
      <c r="B4221">
        <v>7002900</v>
      </c>
    </row>
    <row r="4222" spans="1:2" x14ac:dyDescent="0.4">
      <c r="A4222" s="4">
        <v>1002000</v>
      </c>
      <c r="B4222">
        <v>7003000</v>
      </c>
    </row>
    <row r="4223" spans="1:2" x14ac:dyDescent="0.4">
      <c r="A4223" s="4">
        <v>1002000</v>
      </c>
      <c r="B4223">
        <v>7003100</v>
      </c>
    </row>
    <row r="4224" spans="1:2" x14ac:dyDescent="0.4">
      <c r="A4224" s="4">
        <v>1002000</v>
      </c>
      <c r="B4224">
        <v>7003200</v>
      </c>
    </row>
    <row r="4225" spans="1:2" x14ac:dyDescent="0.4">
      <c r="A4225" s="4">
        <v>1002000</v>
      </c>
      <c r="B4225">
        <v>7003300</v>
      </c>
    </row>
    <row r="4226" spans="1:2" x14ac:dyDescent="0.4">
      <c r="A4226" s="4">
        <v>1002000</v>
      </c>
      <c r="B4226">
        <v>7003400</v>
      </c>
    </row>
    <row r="4227" spans="1:2" x14ac:dyDescent="0.4">
      <c r="A4227" s="4">
        <v>1002000</v>
      </c>
      <c r="B4227">
        <v>7003500</v>
      </c>
    </row>
    <row r="4228" spans="1:2" x14ac:dyDescent="0.4">
      <c r="A4228" s="4">
        <v>1002000</v>
      </c>
      <c r="B4228">
        <v>7003600</v>
      </c>
    </row>
    <row r="4229" spans="1:2" x14ac:dyDescent="0.4">
      <c r="A4229" s="4">
        <v>1002000</v>
      </c>
      <c r="B4229">
        <v>7005600</v>
      </c>
    </row>
    <row r="4230" spans="1:2" x14ac:dyDescent="0.4">
      <c r="A4230" s="4">
        <v>1002000</v>
      </c>
      <c r="B4230">
        <v>7006000</v>
      </c>
    </row>
    <row r="4231" spans="1:2" x14ac:dyDescent="0.4">
      <c r="A4231" s="4">
        <v>1002000</v>
      </c>
      <c r="B4231">
        <v>7006100</v>
      </c>
    </row>
    <row r="4232" spans="1:2" x14ac:dyDescent="0.4">
      <c r="A4232" s="4">
        <v>1002000</v>
      </c>
      <c r="B4232">
        <v>7010200</v>
      </c>
    </row>
    <row r="4233" spans="1:2" x14ac:dyDescent="0.4">
      <c r="A4233" s="4">
        <v>1002000</v>
      </c>
      <c r="B4233">
        <v>7010500</v>
      </c>
    </row>
    <row r="4234" spans="1:2" x14ac:dyDescent="0.4">
      <c r="A4234" s="4">
        <v>1002000</v>
      </c>
      <c r="B4234">
        <v>7010700</v>
      </c>
    </row>
    <row r="4235" spans="1:2" x14ac:dyDescent="0.4">
      <c r="A4235" s="4">
        <v>1002000</v>
      </c>
      <c r="B4235">
        <v>7010900</v>
      </c>
    </row>
    <row r="4236" spans="1:2" x14ac:dyDescent="0.4">
      <c r="A4236" s="4">
        <v>1002000</v>
      </c>
      <c r="B4236">
        <v>7011000</v>
      </c>
    </row>
    <row r="4237" spans="1:2" x14ac:dyDescent="0.4">
      <c r="A4237" s="4">
        <v>1002000</v>
      </c>
      <c r="B4237">
        <v>7011200</v>
      </c>
    </row>
    <row r="4238" spans="1:2" x14ac:dyDescent="0.4">
      <c r="A4238" s="4">
        <v>1002000</v>
      </c>
      <c r="B4238">
        <v>7011600</v>
      </c>
    </row>
    <row r="4239" spans="1:2" x14ac:dyDescent="0.4">
      <c r="A4239" s="4">
        <v>1002000</v>
      </c>
      <c r="B4239">
        <v>7011700</v>
      </c>
    </row>
    <row r="4240" spans="1:2" x14ac:dyDescent="0.4">
      <c r="A4240" s="4">
        <v>1002000</v>
      </c>
      <c r="B4240">
        <v>7012000</v>
      </c>
    </row>
    <row r="4241" spans="1:2" x14ac:dyDescent="0.4">
      <c r="A4241" s="4">
        <v>1002000</v>
      </c>
      <c r="B4241">
        <v>7012200</v>
      </c>
    </row>
    <row r="4242" spans="1:2" x14ac:dyDescent="0.4">
      <c r="A4242" s="4">
        <v>1002000</v>
      </c>
      <c r="B4242">
        <v>7012300</v>
      </c>
    </row>
    <row r="4243" spans="1:2" x14ac:dyDescent="0.4">
      <c r="A4243" s="4">
        <v>1002000</v>
      </c>
      <c r="B4243">
        <v>7020000</v>
      </c>
    </row>
    <row r="4244" spans="1:2" x14ac:dyDescent="0.4">
      <c r="A4244" s="4">
        <v>1002000</v>
      </c>
      <c r="B4244">
        <v>7030000</v>
      </c>
    </row>
    <row r="4245" spans="1:2" x14ac:dyDescent="0.4">
      <c r="A4245" s="4">
        <v>1002000</v>
      </c>
      <c r="B4245">
        <v>7030200</v>
      </c>
    </row>
    <row r="4246" spans="1:2" x14ac:dyDescent="0.4">
      <c r="A4246" s="4">
        <v>1002000</v>
      </c>
      <c r="B4246">
        <v>7030600</v>
      </c>
    </row>
    <row r="4247" spans="1:2" x14ac:dyDescent="0.4">
      <c r="A4247" s="4">
        <v>1002000</v>
      </c>
      <c r="B4247">
        <v>7030700</v>
      </c>
    </row>
    <row r="4248" spans="1:2" x14ac:dyDescent="0.4">
      <c r="A4248" s="4">
        <v>1002000</v>
      </c>
      <c r="B4248">
        <v>7030800</v>
      </c>
    </row>
    <row r="4249" spans="1:2" x14ac:dyDescent="0.4">
      <c r="A4249" s="4">
        <v>1002000</v>
      </c>
      <c r="B4249">
        <v>7030900</v>
      </c>
    </row>
    <row r="4250" spans="1:2" x14ac:dyDescent="0.4">
      <c r="A4250" s="4">
        <v>1002000</v>
      </c>
      <c r="B4250">
        <v>7031200</v>
      </c>
    </row>
    <row r="4251" spans="1:2" x14ac:dyDescent="0.4">
      <c r="A4251" s="4">
        <v>1002000</v>
      </c>
      <c r="B4251">
        <v>7031300</v>
      </c>
    </row>
    <row r="4252" spans="1:2" x14ac:dyDescent="0.4">
      <c r="A4252" s="4">
        <v>1002000</v>
      </c>
      <c r="B4252">
        <v>7031800</v>
      </c>
    </row>
    <row r="4253" spans="1:2" x14ac:dyDescent="0.4">
      <c r="A4253" s="4">
        <v>1002000</v>
      </c>
      <c r="B4253">
        <v>7031900</v>
      </c>
    </row>
    <row r="4254" spans="1:2" x14ac:dyDescent="0.4">
      <c r="A4254" s="4">
        <v>1002000</v>
      </c>
      <c r="B4254">
        <v>7032200</v>
      </c>
    </row>
    <row r="4255" spans="1:2" x14ac:dyDescent="0.4">
      <c r="A4255" s="4">
        <v>1002000</v>
      </c>
      <c r="B4255">
        <v>7032400</v>
      </c>
    </row>
    <row r="4256" spans="1:2" x14ac:dyDescent="0.4">
      <c r="A4256" s="4">
        <v>1002000</v>
      </c>
      <c r="B4256">
        <v>7032700</v>
      </c>
    </row>
    <row r="4257" spans="1:2" x14ac:dyDescent="0.4">
      <c r="A4257" s="4">
        <v>1002000</v>
      </c>
      <c r="B4257">
        <v>7032800</v>
      </c>
    </row>
    <row r="4258" spans="1:2" x14ac:dyDescent="0.4">
      <c r="A4258" s="4">
        <v>1002000</v>
      </c>
      <c r="B4258">
        <v>7032900</v>
      </c>
    </row>
    <row r="4259" spans="1:2" x14ac:dyDescent="0.4">
      <c r="A4259" s="4">
        <v>1002000</v>
      </c>
      <c r="B4259">
        <v>7033200</v>
      </c>
    </row>
    <row r="4260" spans="1:2" x14ac:dyDescent="0.4">
      <c r="A4260" s="4">
        <v>1002000</v>
      </c>
      <c r="B4260">
        <v>7033400</v>
      </c>
    </row>
    <row r="4261" spans="1:2" x14ac:dyDescent="0.4">
      <c r="A4261" s="4">
        <v>1002000</v>
      </c>
      <c r="B4261">
        <v>7034100</v>
      </c>
    </row>
    <row r="4262" spans="1:2" x14ac:dyDescent="0.4">
      <c r="A4262" s="4">
        <v>1002000</v>
      </c>
      <c r="B4262">
        <v>7034400</v>
      </c>
    </row>
    <row r="4263" spans="1:2" x14ac:dyDescent="0.4">
      <c r="A4263" s="4">
        <v>1002000</v>
      </c>
      <c r="B4263">
        <v>7034500</v>
      </c>
    </row>
    <row r="4264" spans="1:2" x14ac:dyDescent="0.4">
      <c r="A4264" s="4">
        <v>1002000</v>
      </c>
      <c r="B4264">
        <v>7034600</v>
      </c>
    </row>
    <row r="4265" spans="1:2" x14ac:dyDescent="0.4">
      <c r="A4265" s="4">
        <v>1002000</v>
      </c>
      <c r="B4265">
        <v>7034700</v>
      </c>
    </row>
    <row r="4266" spans="1:2" x14ac:dyDescent="0.4">
      <c r="A4266" s="4">
        <v>1002000</v>
      </c>
      <c r="B4266">
        <v>7035100</v>
      </c>
    </row>
    <row r="4267" spans="1:2" x14ac:dyDescent="0.4">
      <c r="A4267" s="4">
        <v>1002000</v>
      </c>
      <c r="B4267">
        <v>7036100</v>
      </c>
    </row>
    <row r="4268" spans="1:2" x14ac:dyDescent="0.4">
      <c r="A4268" s="4">
        <v>1002000</v>
      </c>
      <c r="B4268">
        <v>7040000</v>
      </c>
    </row>
    <row r="4269" spans="1:2" x14ac:dyDescent="0.4">
      <c r="A4269" s="4">
        <v>1002000</v>
      </c>
      <c r="B4269">
        <v>7040100</v>
      </c>
    </row>
    <row r="4270" spans="1:2" x14ac:dyDescent="0.4">
      <c r="A4270" s="4">
        <v>1002000</v>
      </c>
      <c r="B4270">
        <v>7040200</v>
      </c>
    </row>
    <row r="4271" spans="1:2" x14ac:dyDescent="0.4">
      <c r="A4271" s="4">
        <v>1002000</v>
      </c>
      <c r="B4271">
        <v>7040300</v>
      </c>
    </row>
    <row r="4272" spans="1:2" x14ac:dyDescent="0.4">
      <c r="A4272" s="4">
        <v>1002000</v>
      </c>
      <c r="B4272">
        <v>7040400</v>
      </c>
    </row>
    <row r="4273" spans="1:2" x14ac:dyDescent="0.4">
      <c r="A4273" s="4">
        <v>1002000</v>
      </c>
      <c r="B4273">
        <v>7040500</v>
      </c>
    </row>
    <row r="4274" spans="1:2" x14ac:dyDescent="0.4">
      <c r="A4274" s="4">
        <v>1002000</v>
      </c>
      <c r="B4274">
        <v>7043000</v>
      </c>
    </row>
    <row r="4275" spans="1:2" x14ac:dyDescent="0.4">
      <c r="A4275" s="4">
        <v>1002000</v>
      </c>
      <c r="B4275">
        <v>7043100</v>
      </c>
    </row>
    <row r="4276" spans="1:2" x14ac:dyDescent="0.4">
      <c r="A4276" s="4">
        <v>1002000</v>
      </c>
      <c r="B4276">
        <v>7043200</v>
      </c>
    </row>
    <row r="4277" spans="1:2" x14ac:dyDescent="0.4">
      <c r="A4277" s="4">
        <v>1002000</v>
      </c>
      <c r="B4277">
        <v>7043300</v>
      </c>
    </row>
    <row r="4278" spans="1:2" x14ac:dyDescent="0.4">
      <c r="A4278" s="4">
        <v>1002000</v>
      </c>
      <c r="B4278">
        <v>7043400</v>
      </c>
    </row>
    <row r="4279" spans="1:2" x14ac:dyDescent="0.4">
      <c r="A4279" s="4">
        <v>1002000</v>
      </c>
      <c r="B4279">
        <v>7043500</v>
      </c>
    </row>
    <row r="4280" spans="1:2" x14ac:dyDescent="0.4">
      <c r="A4280" s="4">
        <v>1002000</v>
      </c>
      <c r="B4280">
        <v>7043600</v>
      </c>
    </row>
    <row r="4281" spans="1:2" x14ac:dyDescent="0.4">
      <c r="A4281" s="4">
        <v>1002000</v>
      </c>
      <c r="B4281">
        <v>7043700</v>
      </c>
    </row>
    <row r="4282" spans="1:2" x14ac:dyDescent="0.4">
      <c r="A4282" s="4">
        <v>1002000</v>
      </c>
      <c r="B4282">
        <v>7043800</v>
      </c>
    </row>
    <row r="4283" spans="1:2" x14ac:dyDescent="0.4">
      <c r="A4283" s="4">
        <v>1002000</v>
      </c>
      <c r="B4283">
        <v>7044000</v>
      </c>
    </row>
    <row r="4284" spans="1:2" x14ac:dyDescent="0.4">
      <c r="A4284" s="4">
        <v>1002000</v>
      </c>
      <c r="B4284">
        <v>7044100</v>
      </c>
    </row>
    <row r="4285" spans="1:2" x14ac:dyDescent="0.4">
      <c r="A4285" s="4">
        <v>1002000</v>
      </c>
      <c r="B4285">
        <v>7044200</v>
      </c>
    </row>
    <row r="4286" spans="1:2" x14ac:dyDescent="0.4">
      <c r="A4286" s="4">
        <v>1002000</v>
      </c>
      <c r="B4286">
        <v>7044300</v>
      </c>
    </row>
    <row r="4287" spans="1:2" x14ac:dyDescent="0.4">
      <c r="A4287" s="4">
        <v>1002000</v>
      </c>
      <c r="B4287">
        <v>7044400</v>
      </c>
    </row>
    <row r="4288" spans="1:2" x14ac:dyDescent="0.4">
      <c r="A4288" s="4">
        <v>1002000</v>
      </c>
      <c r="B4288">
        <v>7044500</v>
      </c>
    </row>
    <row r="4289" spans="1:2" x14ac:dyDescent="0.4">
      <c r="A4289" s="4">
        <v>1002000</v>
      </c>
      <c r="B4289">
        <v>7044600</v>
      </c>
    </row>
    <row r="4290" spans="1:2" x14ac:dyDescent="0.4">
      <c r="A4290" s="4">
        <v>1002000</v>
      </c>
      <c r="B4290">
        <v>7050000</v>
      </c>
    </row>
    <row r="4291" spans="1:2" x14ac:dyDescent="0.4">
      <c r="A4291" s="4">
        <v>1002000</v>
      </c>
      <c r="B4291">
        <v>7050100</v>
      </c>
    </row>
    <row r="4292" spans="1:2" x14ac:dyDescent="0.4">
      <c r="A4292" s="4">
        <v>1002000</v>
      </c>
      <c r="B4292">
        <v>7060000</v>
      </c>
    </row>
    <row r="4293" spans="1:2" x14ac:dyDescent="0.4">
      <c r="A4293" s="4">
        <v>1002000</v>
      </c>
      <c r="B4293">
        <v>7060100</v>
      </c>
    </row>
    <row r="4294" spans="1:2" x14ac:dyDescent="0.4">
      <c r="A4294" s="4">
        <v>1002000</v>
      </c>
      <c r="B4294">
        <v>7060200</v>
      </c>
    </row>
    <row r="4295" spans="1:2" x14ac:dyDescent="0.4">
      <c r="A4295" s="4">
        <v>1002000</v>
      </c>
      <c r="B4295">
        <v>7070000</v>
      </c>
    </row>
    <row r="4296" spans="1:2" x14ac:dyDescent="0.4">
      <c r="A4296" s="4">
        <v>1002000</v>
      </c>
      <c r="B4296">
        <v>7080000</v>
      </c>
    </row>
    <row r="4297" spans="1:2" x14ac:dyDescent="0.4">
      <c r="A4297" s="4">
        <v>1002000</v>
      </c>
      <c r="B4297">
        <v>7080100</v>
      </c>
    </row>
    <row r="4298" spans="1:2" x14ac:dyDescent="0.4">
      <c r="A4298" s="4">
        <v>1002000</v>
      </c>
      <c r="B4298">
        <v>7080200</v>
      </c>
    </row>
    <row r="4299" spans="1:2" x14ac:dyDescent="0.4">
      <c r="A4299" s="4">
        <v>1002000</v>
      </c>
      <c r="B4299">
        <v>7080300</v>
      </c>
    </row>
    <row r="4300" spans="1:2" x14ac:dyDescent="0.4">
      <c r="A4300" s="4">
        <v>1002000</v>
      </c>
      <c r="B4300">
        <v>7080400</v>
      </c>
    </row>
    <row r="4301" spans="1:2" x14ac:dyDescent="0.4">
      <c r="A4301" s="4">
        <v>1002000</v>
      </c>
      <c r="B4301">
        <v>7080500</v>
      </c>
    </row>
    <row r="4302" spans="1:2" x14ac:dyDescent="0.4">
      <c r="A4302" s="4">
        <v>1002000</v>
      </c>
      <c r="B4302">
        <v>7080600</v>
      </c>
    </row>
    <row r="4303" spans="1:2" x14ac:dyDescent="0.4">
      <c r="A4303" s="4">
        <v>1002000</v>
      </c>
      <c r="B4303">
        <v>7080700</v>
      </c>
    </row>
    <row r="4304" spans="1:2" x14ac:dyDescent="0.4">
      <c r="A4304" s="4">
        <v>1002000</v>
      </c>
      <c r="B4304">
        <v>7080800</v>
      </c>
    </row>
    <row r="4305" spans="1:2" x14ac:dyDescent="0.4">
      <c r="A4305" s="4">
        <v>1002000</v>
      </c>
      <c r="B4305">
        <v>7080900</v>
      </c>
    </row>
    <row r="4306" spans="1:2" x14ac:dyDescent="0.4">
      <c r="A4306" s="4">
        <v>1002000</v>
      </c>
      <c r="B4306">
        <v>7081000</v>
      </c>
    </row>
    <row r="4307" spans="1:2" x14ac:dyDescent="0.4">
      <c r="A4307" s="4">
        <v>1002000</v>
      </c>
      <c r="B4307">
        <v>7081100</v>
      </c>
    </row>
    <row r="4308" spans="1:2" x14ac:dyDescent="0.4">
      <c r="A4308" s="4">
        <v>1002000</v>
      </c>
      <c r="B4308">
        <v>7081200</v>
      </c>
    </row>
    <row r="4309" spans="1:2" x14ac:dyDescent="0.4">
      <c r="A4309" s="4">
        <v>1002000</v>
      </c>
      <c r="B4309">
        <v>7081300</v>
      </c>
    </row>
    <row r="4310" spans="1:2" x14ac:dyDescent="0.4">
      <c r="A4310" s="4">
        <v>1002000</v>
      </c>
      <c r="B4310">
        <v>7081400</v>
      </c>
    </row>
    <row r="4311" spans="1:2" x14ac:dyDescent="0.4">
      <c r="A4311" s="4">
        <v>1002000</v>
      </c>
      <c r="B4311">
        <v>7081500</v>
      </c>
    </row>
    <row r="4312" spans="1:2" x14ac:dyDescent="0.4">
      <c r="A4312" s="4">
        <v>1002000</v>
      </c>
      <c r="B4312">
        <v>7081700</v>
      </c>
    </row>
    <row r="4313" spans="1:2" x14ac:dyDescent="0.4">
      <c r="A4313" s="4">
        <v>1002000</v>
      </c>
      <c r="B4313">
        <v>7081800</v>
      </c>
    </row>
    <row r="4314" spans="1:2" x14ac:dyDescent="0.4">
      <c r="A4314" s="4">
        <v>1002000</v>
      </c>
      <c r="B4314">
        <v>7081900</v>
      </c>
    </row>
    <row r="4315" spans="1:2" x14ac:dyDescent="0.4">
      <c r="A4315" s="4">
        <v>1002000</v>
      </c>
      <c r="B4315">
        <v>7082000</v>
      </c>
    </row>
    <row r="4316" spans="1:2" x14ac:dyDescent="0.4">
      <c r="A4316" s="4">
        <v>1002000</v>
      </c>
      <c r="B4316">
        <v>7082100</v>
      </c>
    </row>
    <row r="4317" spans="1:2" x14ac:dyDescent="0.4">
      <c r="A4317" s="4">
        <v>1002000</v>
      </c>
      <c r="B4317">
        <v>7082200</v>
      </c>
    </row>
    <row r="4318" spans="1:2" x14ac:dyDescent="0.4">
      <c r="A4318" s="4">
        <v>1002000</v>
      </c>
      <c r="B4318">
        <v>7082300</v>
      </c>
    </row>
    <row r="4319" spans="1:2" x14ac:dyDescent="0.4">
      <c r="A4319" s="4">
        <v>1002000</v>
      </c>
      <c r="B4319">
        <v>7082400</v>
      </c>
    </row>
    <row r="4320" spans="1:2" x14ac:dyDescent="0.4">
      <c r="A4320" s="4">
        <v>1002000</v>
      </c>
      <c r="B4320">
        <v>7082500</v>
      </c>
    </row>
    <row r="4321" spans="1:2" x14ac:dyDescent="0.4">
      <c r="A4321" s="4">
        <v>1002000</v>
      </c>
      <c r="B4321">
        <v>7082600</v>
      </c>
    </row>
    <row r="4322" spans="1:2" x14ac:dyDescent="0.4">
      <c r="A4322" s="4">
        <v>1002000</v>
      </c>
      <c r="B4322">
        <v>7082700</v>
      </c>
    </row>
    <row r="4323" spans="1:2" x14ac:dyDescent="0.4">
      <c r="A4323" s="4">
        <v>1002000</v>
      </c>
      <c r="B4323">
        <v>7082800</v>
      </c>
    </row>
    <row r="4324" spans="1:2" x14ac:dyDescent="0.4">
      <c r="A4324" s="4">
        <v>1002000</v>
      </c>
      <c r="B4324">
        <v>7082900</v>
      </c>
    </row>
    <row r="4325" spans="1:2" x14ac:dyDescent="0.4">
      <c r="A4325" s="4">
        <v>1002000</v>
      </c>
      <c r="B4325">
        <v>7090000</v>
      </c>
    </row>
    <row r="4326" spans="1:2" x14ac:dyDescent="0.4">
      <c r="A4326" s="4">
        <v>1002000</v>
      </c>
      <c r="B4326">
        <v>7090100</v>
      </c>
    </row>
    <row r="4327" spans="1:2" x14ac:dyDescent="0.4">
      <c r="A4327" s="4">
        <v>1002000</v>
      </c>
      <c r="B4327">
        <v>7090300</v>
      </c>
    </row>
    <row r="4328" spans="1:2" x14ac:dyDescent="0.4">
      <c r="A4328" s="4">
        <v>1002000</v>
      </c>
      <c r="B4328">
        <v>7100100</v>
      </c>
    </row>
    <row r="4329" spans="1:2" x14ac:dyDescent="0.4">
      <c r="A4329" s="4">
        <v>1002000</v>
      </c>
      <c r="B4329">
        <v>7110000</v>
      </c>
    </row>
    <row r="4330" spans="1:2" x14ac:dyDescent="0.4">
      <c r="A4330" s="4">
        <v>1002000</v>
      </c>
      <c r="B4330">
        <v>7120000</v>
      </c>
    </row>
    <row r="4331" spans="1:2" x14ac:dyDescent="0.4">
      <c r="A4331" s="4">
        <v>1002000</v>
      </c>
      <c r="B4331">
        <v>7120100</v>
      </c>
    </row>
    <row r="4332" spans="1:2" x14ac:dyDescent="0.4">
      <c r="A4332" s="4">
        <v>1002000</v>
      </c>
      <c r="B4332">
        <v>7120200</v>
      </c>
    </row>
    <row r="4333" spans="1:2" x14ac:dyDescent="0.4">
      <c r="A4333" s="4">
        <v>1002000</v>
      </c>
      <c r="B4333">
        <v>7120300</v>
      </c>
    </row>
    <row r="4334" spans="1:2" x14ac:dyDescent="0.4">
      <c r="A4334" s="4">
        <v>1002000</v>
      </c>
      <c r="B4334">
        <v>7120400</v>
      </c>
    </row>
    <row r="4335" spans="1:2" x14ac:dyDescent="0.4">
      <c r="A4335" s="4">
        <v>1002000</v>
      </c>
      <c r="B4335">
        <v>7120500</v>
      </c>
    </row>
    <row r="4336" spans="1:2" x14ac:dyDescent="0.4">
      <c r="A4336" s="4">
        <v>1002000</v>
      </c>
      <c r="B4336">
        <v>7120600</v>
      </c>
    </row>
    <row r="4337" spans="1:2" x14ac:dyDescent="0.4">
      <c r="A4337" s="4">
        <v>1002000</v>
      </c>
      <c r="B4337">
        <v>7120900</v>
      </c>
    </row>
    <row r="4338" spans="1:2" x14ac:dyDescent="0.4">
      <c r="A4338" s="4">
        <v>1002000</v>
      </c>
      <c r="B4338">
        <v>7121000</v>
      </c>
    </row>
    <row r="4339" spans="1:2" x14ac:dyDescent="0.4">
      <c r="A4339" s="4">
        <v>1002000</v>
      </c>
      <c r="B4339">
        <v>7121100</v>
      </c>
    </row>
    <row r="4340" spans="1:2" x14ac:dyDescent="0.4">
      <c r="A4340" s="4">
        <v>1002000</v>
      </c>
      <c r="B4340">
        <v>7121200</v>
      </c>
    </row>
    <row r="4341" spans="1:2" x14ac:dyDescent="0.4">
      <c r="A4341" s="4">
        <v>1002000</v>
      </c>
      <c r="B4341">
        <v>7121300</v>
      </c>
    </row>
    <row r="4342" spans="1:2" x14ac:dyDescent="0.4">
      <c r="A4342" s="4">
        <v>1002000</v>
      </c>
      <c r="B4342">
        <v>7121400</v>
      </c>
    </row>
    <row r="4343" spans="1:2" x14ac:dyDescent="0.4">
      <c r="A4343" s="4">
        <v>1002000</v>
      </c>
      <c r="B4343">
        <v>7121500</v>
      </c>
    </row>
    <row r="4344" spans="1:2" x14ac:dyDescent="0.4">
      <c r="A4344" s="4">
        <v>1002000</v>
      </c>
      <c r="B4344">
        <v>7121600</v>
      </c>
    </row>
    <row r="4345" spans="1:2" x14ac:dyDescent="0.4">
      <c r="A4345" s="4">
        <v>1002000</v>
      </c>
      <c r="B4345">
        <v>7121700</v>
      </c>
    </row>
    <row r="4346" spans="1:2" x14ac:dyDescent="0.4">
      <c r="A4346" s="4">
        <v>1002000</v>
      </c>
      <c r="B4346">
        <v>7121800</v>
      </c>
    </row>
    <row r="4347" spans="1:2" x14ac:dyDescent="0.4">
      <c r="A4347" s="4">
        <v>1002000</v>
      </c>
      <c r="B4347">
        <v>7121900</v>
      </c>
    </row>
    <row r="4348" spans="1:2" x14ac:dyDescent="0.4">
      <c r="A4348" s="4">
        <v>1002000</v>
      </c>
      <c r="B4348">
        <v>7122000</v>
      </c>
    </row>
    <row r="4349" spans="1:2" x14ac:dyDescent="0.4">
      <c r="A4349" s="4">
        <v>1002000</v>
      </c>
      <c r="B4349">
        <v>7122100</v>
      </c>
    </row>
    <row r="4350" spans="1:2" x14ac:dyDescent="0.4">
      <c r="A4350" s="4">
        <v>1002000</v>
      </c>
      <c r="B4350">
        <v>7122200</v>
      </c>
    </row>
    <row r="4351" spans="1:2" x14ac:dyDescent="0.4">
      <c r="A4351" s="4">
        <v>1002000</v>
      </c>
      <c r="B4351">
        <v>7122300</v>
      </c>
    </row>
    <row r="4352" spans="1:2" x14ac:dyDescent="0.4">
      <c r="A4352" s="4">
        <v>1002000</v>
      </c>
      <c r="B4352">
        <v>7122400</v>
      </c>
    </row>
    <row r="4353" spans="1:2" x14ac:dyDescent="0.4">
      <c r="A4353" s="4">
        <v>1002000</v>
      </c>
      <c r="B4353">
        <v>7122500</v>
      </c>
    </row>
    <row r="4354" spans="1:2" x14ac:dyDescent="0.4">
      <c r="A4354" s="4">
        <v>1002000</v>
      </c>
      <c r="B4354">
        <v>7122600</v>
      </c>
    </row>
    <row r="4355" spans="1:2" x14ac:dyDescent="0.4">
      <c r="A4355" s="4">
        <v>1002000</v>
      </c>
      <c r="B4355">
        <v>7122700</v>
      </c>
    </row>
    <row r="4356" spans="1:2" x14ac:dyDescent="0.4">
      <c r="A4356" s="4">
        <v>1002000</v>
      </c>
      <c r="B4356">
        <v>7122800</v>
      </c>
    </row>
    <row r="4357" spans="1:2" x14ac:dyDescent="0.4">
      <c r="A4357" s="4">
        <v>1002000</v>
      </c>
      <c r="B4357">
        <v>7122900</v>
      </c>
    </row>
    <row r="4358" spans="1:2" x14ac:dyDescent="0.4">
      <c r="A4358" s="4">
        <v>1002000</v>
      </c>
      <c r="B4358">
        <v>7123000</v>
      </c>
    </row>
    <row r="4359" spans="1:2" x14ac:dyDescent="0.4">
      <c r="A4359" s="4">
        <v>1002000</v>
      </c>
      <c r="B4359">
        <v>7123100</v>
      </c>
    </row>
    <row r="4360" spans="1:2" x14ac:dyDescent="0.4">
      <c r="A4360" s="4">
        <v>1002000</v>
      </c>
      <c r="B4360">
        <v>7123200</v>
      </c>
    </row>
    <row r="4361" spans="1:2" x14ac:dyDescent="0.4">
      <c r="A4361" s="4">
        <v>1002000</v>
      </c>
      <c r="B4361">
        <v>7123300</v>
      </c>
    </row>
    <row r="4362" spans="1:2" x14ac:dyDescent="0.4">
      <c r="A4362" s="4">
        <v>1002000</v>
      </c>
      <c r="B4362">
        <v>7123400</v>
      </c>
    </row>
    <row r="4363" spans="1:2" x14ac:dyDescent="0.4">
      <c r="A4363" s="4">
        <v>1002000</v>
      </c>
      <c r="B4363">
        <v>7123500</v>
      </c>
    </row>
    <row r="4364" spans="1:2" x14ac:dyDescent="0.4">
      <c r="A4364" s="4">
        <v>1002000</v>
      </c>
      <c r="B4364">
        <v>7123600</v>
      </c>
    </row>
    <row r="4365" spans="1:2" x14ac:dyDescent="0.4">
      <c r="A4365" s="4">
        <v>1002000</v>
      </c>
      <c r="B4365">
        <v>7123700</v>
      </c>
    </row>
    <row r="4366" spans="1:2" x14ac:dyDescent="0.4">
      <c r="A4366" s="4">
        <v>1002000</v>
      </c>
      <c r="B4366">
        <v>7123800</v>
      </c>
    </row>
    <row r="4367" spans="1:2" x14ac:dyDescent="0.4">
      <c r="A4367" s="4">
        <v>1002000</v>
      </c>
      <c r="B4367">
        <v>7123900</v>
      </c>
    </row>
    <row r="4368" spans="1:2" x14ac:dyDescent="0.4">
      <c r="A4368" s="4">
        <v>1002000</v>
      </c>
      <c r="B4368">
        <v>7124000</v>
      </c>
    </row>
    <row r="4369" spans="1:2" x14ac:dyDescent="0.4">
      <c r="A4369" s="4">
        <v>1002000</v>
      </c>
      <c r="B4369">
        <v>7124100</v>
      </c>
    </row>
    <row r="4370" spans="1:2" x14ac:dyDescent="0.4">
      <c r="A4370" s="4">
        <v>1002000</v>
      </c>
      <c r="B4370">
        <v>7124300</v>
      </c>
    </row>
    <row r="4371" spans="1:2" x14ac:dyDescent="0.4">
      <c r="A4371" s="4">
        <v>1002000</v>
      </c>
      <c r="B4371">
        <v>7124400</v>
      </c>
    </row>
    <row r="4372" spans="1:2" x14ac:dyDescent="0.4">
      <c r="A4372" s="4">
        <v>1002000</v>
      </c>
      <c r="B4372">
        <v>7124500</v>
      </c>
    </row>
    <row r="4373" spans="1:2" x14ac:dyDescent="0.4">
      <c r="A4373" s="4">
        <v>1002000</v>
      </c>
      <c r="B4373">
        <v>7124600</v>
      </c>
    </row>
    <row r="4374" spans="1:2" x14ac:dyDescent="0.4">
      <c r="A4374" s="4">
        <v>1002000</v>
      </c>
      <c r="B4374">
        <v>7124700</v>
      </c>
    </row>
    <row r="4375" spans="1:2" x14ac:dyDescent="0.4">
      <c r="A4375" s="4">
        <v>1002000</v>
      </c>
      <c r="B4375">
        <v>7126000</v>
      </c>
    </row>
    <row r="4376" spans="1:2" x14ac:dyDescent="0.4">
      <c r="A4376" s="4">
        <v>1002000</v>
      </c>
      <c r="B4376">
        <v>7150000</v>
      </c>
    </row>
    <row r="4377" spans="1:2" x14ac:dyDescent="0.4">
      <c r="A4377" s="4">
        <v>1002000</v>
      </c>
      <c r="B4377">
        <v>7160000</v>
      </c>
    </row>
    <row r="4378" spans="1:2" x14ac:dyDescent="0.4">
      <c r="A4378" s="4">
        <v>1002000</v>
      </c>
      <c r="B4378">
        <v>7220000</v>
      </c>
    </row>
    <row r="4379" spans="1:2" x14ac:dyDescent="0.4">
      <c r="A4379" s="4">
        <v>1002000</v>
      </c>
      <c r="B4379">
        <v>7230000</v>
      </c>
    </row>
    <row r="4380" spans="1:2" x14ac:dyDescent="0.4">
      <c r="A4380" s="4">
        <v>1002000</v>
      </c>
      <c r="B4380">
        <v>7240000</v>
      </c>
    </row>
    <row r="4381" spans="1:2" x14ac:dyDescent="0.4">
      <c r="A4381" s="4">
        <v>1002000</v>
      </c>
      <c r="B4381">
        <v>7260000</v>
      </c>
    </row>
    <row r="4382" spans="1:2" x14ac:dyDescent="0.4">
      <c r="A4382" s="4">
        <v>1002000</v>
      </c>
      <c r="B4382">
        <v>7260300</v>
      </c>
    </row>
    <row r="4383" spans="1:2" x14ac:dyDescent="0.4">
      <c r="A4383" s="4">
        <v>1002000</v>
      </c>
      <c r="B4383">
        <v>7260400</v>
      </c>
    </row>
    <row r="4384" spans="1:2" x14ac:dyDescent="0.4">
      <c r="A4384" s="4">
        <v>1002000</v>
      </c>
      <c r="B4384">
        <v>7270100</v>
      </c>
    </row>
    <row r="4385" spans="1:2" x14ac:dyDescent="0.4">
      <c r="A4385" s="4">
        <v>1002000</v>
      </c>
      <c r="B4385">
        <v>7280000</v>
      </c>
    </row>
    <row r="4386" spans="1:2" x14ac:dyDescent="0.4">
      <c r="A4386" s="4">
        <v>1002000</v>
      </c>
      <c r="B4386">
        <v>7290000</v>
      </c>
    </row>
    <row r="4387" spans="1:2" x14ac:dyDescent="0.4">
      <c r="A4387" s="4">
        <v>1002000</v>
      </c>
      <c r="B4387">
        <v>7310000</v>
      </c>
    </row>
    <row r="4388" spans="1:2" x14ac:dyDescent="0.4">
      <c r="A4388" s="4">
        <v>1002000</v>
      </c>
      <c r="B4388">
        <v>7330000</v>
      </c>
    </row>
    <row r="4389" spans="1:2" x14ac:dyDescent="0.4">
      <c r="A4389" s="4">
        <v>1002000</v>
      </c>
      <c r="B4389">
        <v>7330100</v>
      </c>
    </row>
    <row r="4390" spans="1:2" x14ac:dyDescent="0.4">
      <c r="A4390" s="4">
        <v>1002000</v>
      </c>
      <c r="B4390">
        <v>7330200</v>
      </c>
    </row>
    <row r="4391" spans="1:2" x14ac:dyDescent="0.4">
      <c r="A4391" s="4">
        <v>1002000</v>
      </c>
      <c r="B4391">
        <v>7330300</v>
      </c>
    </row>
    <row r="4392" spans="1:2" x14ac:dyDescent="0.4">
      <c r="A4392" s="4">
        <v>1002000</v>
      </c>
      <c r="B4392">
        <v>7330400</v>
      </c>
    </row>
    <row r="4393" spans="1:2" x14ac:dyDescent="0.4">
      <c r="A4393" s="4">
        <v>1002000</v>
      </c>
      <c r="B4393">
        <v>7330500</v>
      </c>
    </row>
    <row r="4394" spans="1:2" x14ac:dyDescent="0.4">
      <c r="A4394" s="4">
        <v>1002000</v>
      </c>
      <c r="B4394">
        <v>7330600</v>
      </c>
    </row>
    <row r="4395" spans="1:2" x14ac:dyDescent="0.4">
      <c r="A4395" s="4">
        <v>1002000</v>
      </c>
      <c r="B4395">
        <v>7330700</v>
      </c>
    </row>
    <row r="4396" spans="1:2" x14ac:dyDescent="0.4">
      <c r="A4396" s="4">
        <v>1002000</v>
      </c>
      <c r="B4396">
        <v>7330800</v>
      </c>
    </row>
    <row r="4397" spans="1:2" x14ac:dyDescent="0.4">
      <c r="A4397" s="4">
        <v>1002000</v>
      </c>
      <c r="B4397">
        <v>7330900</v>
      </c>
    </row>
    <row r="4398" spans="1:2" x14ac:dyDescent="0.4">
      <c r="A4398" s="4">
        <v>1002000</v>
      </c>
      <c r="B4398">
        <v>7331000</v>
      </c>
    </row>
    <row r="4399" spans="1:2" x14ac:dyDescent="0.4">
      <c r="A4399" s="4">
        <v>1002000</v>
      </c>
      <c r="B4399">
        <v>7331100</v>
      </c>
    </row>
    <row r="4400" spans="1:2" x14ac:dyDescent="0.4">
      <c r="A4400" s="4">
        <v>1002000</v>
      </c>
      <c r="B4400">
        <v>7331200</v>
      </c>
    </row>
    <row r="4401" spans="1:2" x14ac:dyDescent="0.4">
      <c r="A4401" s="4">
        <v>1002000</v>
      </c>
      <c r="B4401">
        <v>7331300</v>
      </c>
    </row>
    <row r="4402" spans="1:2" x14ac:dyDescent="0.4">
      <c r="A4402" s="4">
        <v>1002000</v>
      </c>
      <c r="B4402">
        <v>7331400</v>
      </c>
    </row>
    <row r="4403" spans="1:2" x14ac:dyDescent="0.4">
      <c r="A4403" s="4">
        <v>1002000</v>
      </c>
      <c r="B4403">
        <v>7331500</v>
      </c>
    </row>
    <row r="4404" spans="1:2" x14ac:dyDescent="0.4">
      <c r="A4404" s="4">
        <v>1002000</v>
      </c>
      <c r="B4404">
        <v>7331700</v>
      </c>
    </row>
    <row r="4405" spans="1:2" x14ac:dyDescent="0.4">
      <c r="A4405" s="4">
        <v>1002000</v>
      </c>
      <c r="B4405">
        <v>7331800</v>
      </c>
    </row>
    <row r="4406" spans="1:2" x14ac:dyDescent="0.4">
      <c r="A4406" s="4">
        <v>1002000</v>
      </c>
      <c r="B4406">
        <v>7331900</v>
      </c>
    </row>
    <row r="4407" spans="1:2" x14ac:dyDescent="0.4">
      <c r="A4407" s="4">
        <v>1002000</v>
      </c>
      <c r="B4407">
        <v>7332000</v>
      </c>
    </row>
    <row r="4408" spans="1:2" x14ac:dyDescent="0.4">
      <c r="A4408" s="4">
        <v>1002000</v>
      </c>
      <c r="B4408">
        <v>7332100</v>
      </c>
    </row>
    <row r="4409" spans="1:2" x14ac:dyDescent="0.4">
      <c r="A4409" s="4">
        <v>1002000</v>
      </c>
      <c r="B4409">
        <v>7332200</v>
      </c>
    </row>
    <row r="4410" spans="1:2" x14ac:dyDescent="0.4">
      <c r="A4410" s="4">
        <v>1002000</v>
      </c>
      <c r="B4410">
        <v>7332300</v>
      </c>
    </row>
    <row r="4411" spans="1:2" x14ac:dyDescent="0.4">
      <c r="A4411" s="4">
        <v>1002000</v>
      </c>
      <c r="B4411">
        <v>7332400</v>
      </c>
    </row>
    <row r="4412" spans="1:2" x14ac:dyDescent="0.4">
      <c r="A4412" s="4">
        <v>1002000</v>
      </c>
      <c r="B4412">
        <v>7340000</v>
      </c>
    </row>
    <row r="4413" spans="1:2" x14ac:dyDescent="0.4">
      <c r="A4413" s="4">
        <v>1002000</v>
      </c>
      <c r="B4413">
        <v>7340100</v>
      </c>
    </row>
    <row r="4414" spans="1:2" x14ac:dyDescent="0.4">
      <c r="A4414" s="4">
        <v>1002000</v>
      </c>
      <c r="B4414">
        <v>7340200</v>
      </c>
    </row>
    <row r="4415" spans="1:2" x14ac:dyDescent="0.4">
      <c r="A4415" s="4">
        <v>1002000</v>
      </c>
      <c r="B4415">
        <v>7340300</v>
      </c>
    </row>
    <row r="4416" spans="1:2" x14ac:dyDescent="0.4">
      <c r="A4416" s="4">
        <v>1002000</v>
      </c>
      <c r="B4416">
        <v>7340400</v>
      </c>
    </row>
    <row r="4417" spans="1:2" x14ac:dyDescent="0.4">
      <c r="A4417" s="4">
        <v>1002000</v>
      </c>
      <c r="B4417">
        <v>7340500</v>
      </c>
    </row>
    <row r="4418" spans="1:2" x14ac:dyDescent="0.4">
      <c r="A4418" s="4">
        <v>1002000</v>
      </c>
      <c r="B4418">
        <v>7340600</v>
      </c>
    </row>
    <row r="4419" spans="1:2" x14ac:dyDescent="0.4">
      <c r="A4419" s="4">
        <v>1002000</v>
      </c>
      <c r="B4419">
        <v>7340700</v>
      </c>
    </row>
    <row r="4420" spans="1:2" x14ac:dyDescent="0.4">
      <c r="A4420" s="4">
        <v>1002000</v>
      </c>
      <c r="B4420">
        <v>7340800</v>
      </c>
    </row>
    <row r="4421" spans="1:2" x14ac:dyDescent="0.4">
      <c r="A4421" s="4">
        <v>1002000</v>
      </c>
      <c r="B4421">
        <v>7340900</v>
      </c>
    </row>
    <row r="4422" spans="1:2" x14ac:dyDescent="0.4">
      <c r="A4422" s="4">
        <v>1002000</v>
      </c>
      <c r="B4422">
        <v>7341000</v>
      </c>
    </row>
    <row r="4423" spans="1:2" x14ac:dyDescent="0.4">
      <c r="A4423" s="4">
        <v>1002000</v>
      </c>
      <c r="B4423">
        <v>7341100</v>
      </c>
    </row>
    <row r="4424" spans="1:2" x14ac:dyDescent="0.4">
      <c r="A4424" s="4">
        <v>1002000</v>
      </c>
      <c r="B4424">
        <v>7341200</v>
      </c>
    </row>
    <row r="4425" spans="1:2" x14ac:dyDescent="0.4">
      <c r="A4425" s="4">
        <v>1002000</v>
      </c>
      <c r="B4425">
        <v>7341300</v>
      </c>
    </row>
    <row r="4426" spans="1:2" x14ac:dyDescent="0.4">
      <c r="A4426" s="4">
        <v>1002000</v>
      </c>
      <c r="B4426">
        <v>7341400</v>
      </c>
    </row>
    <row r="4427" spans="1:2" x14ac:dyDescent="0.4">
      <c r="A4427" s="4">
        <v>1002000</v>
      </c>
      <c r="B4427">
        <v>7341500</v>
      </c>
    </row>
    <row r="4428" spans="1:2" x14ac:dyDescent="0.4">
      <c r="A4428" s="4">
        <v>1002000</v>
      </c>
      <c r="B4428">
        <v>7341700</v>
      </c>
    </row>
    <row r="4429" spans="1:2" x14ac:dyDescent="0.4">
      <c r="A4429" s="4">
        <v>1002000</v>
      </c>
      <c r="B4429">
        <v>7341800</v>
      </c>
    </row>
    <row r="4430" spans="1:2" x14ac:dyDescent="0.4">
      <c r="A4430" s="4">
        <v>1002000</v>
      </c>
      <c r="B4430">
        <v>7341900</v>
      </c>
    </row>
    <row r="4431" spans="1:2" x14ac:dyDescent="0.4">
      <c r="A4431" s="4">
        <v>1002000</v>
      </c>
      <c r="B4431">
        <v>7342000</v>
      </c>
    </row>
    <row r="4432" spans="1:2" x14ac:dyDescent="0.4">
      <c r="A4432" s="4">
        <v>1002000</v>
      </c>
      <c r="B4432">
        <v>7342100</v>
      </c>
    </row>
    <row r="4433" spans="1:2" x14ac:dyDescent="0.4">
      <c r="A4433" s="4">
        <v>1002000</v>
      </c>
      <c r="B4433">
        <v>7342200</v>
      </c>
    </row>
    <row r="4434" spans="1:2" x14ac:dyDescent="0.4">
      <c r="A4434" s="4">
        <v>1002000</v>
      </c>
      <c r="B4434">
        <v>7342300</v>
      </c>
    </row>
    <row r="4435" spans="1:2" x14ac:dyDescent="0.4">
      <c r="A4435" s="4">
        <v>1002000</v>
      </c>
      <c r="B4435">
        <v>7342400</v>
      </c>
    </row>
    <row r="4436" spans="1:2" x14ac:dyDescent="0.4">
      <c r="A4436" s="4">
        <v>1002000</v>
      </c>
      <c r="B4436">
        <v>7350000</v>
      </c>
    </row>
    <row r="4437" spans="1:2" x14ac:dyDescent="0.4">
      <c r="A4437" s="4">
        <v>1002000</v>
      </c>
      <c r="B4437">
        <v>7350100</v>
      </c>
    </row>
    <row r="4438" spans="1:2" x14ac:dyDescent="0.4">
      <c r="A4438" s="4">
        <v>1002000</v>
      </c>
      <c r="B4438">
        <v>7350200</v>
      </c>
    </row>
    <row r="4439" spans="1:2" x14ac:dyDescent="0.4">
      <c r="A4439" s="4">
        <v>1002000</v>
      </c>
      <c r="B4439">
        <v>7350300</v>
      </c>
    </row>
    <row r="4440" spans="1:2" x14ac:dyDescent="0.4">
      <c r="A4440" s="4">
        <v>1002000</v>
      </c>
      <c r="B4440">
        <v>7350400</v>
      </c>
    </row>
    <row r="4441" spans="1:2" x14ac:dyDescent="0.4">
      <c r="A4441" s="4">
        <v>1002000</v>
      </c>
      <c r="B4441">
        <v>7350500</v>
      </c>
    </row>
    <row r="4442" spans="1:2" x14ac:dyDescent="0.4">
      <c r="A4442" s="4">
        <v>1002000</v>
      </c>
      <c r="B4442">
        <v>7350600</v>
      </c>
    </row>
    <row r="4443" spans="1:2" x14ac:dyDescent="0.4">
      <c r="A4443" s="4">
        <v>1002000</v>
      </c>
      <c r="B4443">
        <v>7350700</v>
      </c>
    </row>
    <row r="4444" spans="1:2" x14ac:dyDescent="0.4">
      <c r="A4444" s="4">
        <v>1002000</v>
      </c>
      <c r="B4444">
        <v>7350800</v>
      </c>
    </row>
    <row r="4445" spans="1:2" x14ac:dyDescent="0.4">
      <c r="A4445" s="4">
        <v>1002000</v>
      </c>
      <c r="B4445">
        <v>7350900</v>
      </c>
    </row>
    <row r="4446" spans="1:2" x14ac:dyDescent="0.4">
      <c r="A4446" s="4">
        <v>1002000</v>
      </c>
      <c r="B4446">
        <v>7351000</v>
      </c>
    </row>
    <row r="4447" spans="1:2" x14ac:dyDescent="0.4">
      <c r="A4447" s="4">
        <v>1002000</v>
      </c>
      <c r="B4447">
        <v>7351100</v>
      </c>
    </row>
    <row r="4448" spans="1:2" x14ac:dyDescent="0.4">
      <c r="A4448" s="4">
        <v>1002000</v>
      </c>
      <c r="B4448">
        <v>7351200</v>
      </c>
    </row>
    <row r="4449" spans="1:2" x14ac:dyDescent="0.4">
      <c r="A4449" s="4">
        <v>1002000</v>
      </c>
      <c r="B4449">
        <v>7351300</v>
      </c>
    </row>
    <row r="4450" spans="1:2" x14ac:dyDescent="0.4">
      <c r="A4450" s="4">
        <v>1002000</v>
      </c>
      <c r="B4450">
        <v>7351400</v>
      </c>
    </row>
    <row r="4451" spans="1:2" x14ac:dyDescent="0.4">
      <c r="A4451" s="4">
        <v>1002000</v>
      </c>
      <c r="B4451">
        <v>7351500</v>
      </c>
    </row>
    <row r="4452" spans="1:2" x14ac:dyDescent="0.4">
      <c r="A4452" s="4">
        <v>1002000</v>
      </c>
      <c r="B4452">
        <v>7351700</v>
      </c>
    </row>
    <row r="4453" spans="1:2" x14ac:dyDescent="0.4">
      <c r="A4453" s="4">
        <v>1002000</v>
      </c>
      <c r="B4453">
        <v>7351800</v>
      </c>
    </row>
    <row r="4454" spans="1:2" x14ac:dyDescent="0.4">
      <c r="A4454" s="4">
        <v>1002000</v>
      </c>
      <c r="B4454">
        <v>7351900</v>
      </c>
    </row>
    <row r="4455" spans="1:2" x14ac:dyDescent="0.4">
      <c r="A4455" s="4">
        <v>1002000</v>
      </c>
      <c r="B4455">
        <v>7352000</v>
      </c>
    </row>
    <row r="4456" spans="1:2" x14ac:dyDescent="0.4">
      <c r="A4456" s="4">
        <v>1002000</v>
      </c>
      <c r="B4456">
        <v>7352100</v>
      </c>
    </row>
    <row r="4457" spans="1:2" x14ac:dyDescent="0.4">
      <c r="A4457" s="4">
        <v>1002000</v>
      </c>
      <c r="B4457">
        <v>7352200</v>
      </c>
    </row>
    <row r="4458" spans="1:2" x14ac:dyDescent="0.4">
      <c r="A4458" s="4">
        <v>1002000</v>
      </c>
      <c r="B4458">
        <v>7352300</v>
      </c>
    </row>
    <row r="4459" spans="1:2" x14ac:dyDescent="0.4">
      <c r="A4459" s="4">
        <v>1002000</v>
      </c>
      <c r="B4459">
        <v>7352400</v>
      </c>
    </row>
    <row r="4460" spans="1:2" x14ac:dyDescent="0.4">
      <c r="A4460" s="4">
        <v>1002000</v>
      </c>
      <c r="B4460">
        <v>7360600</v>
      </c>
    </row>
    <row r="4461" spans="1:2" x14ac:dyDescent="0.4">
      <c r="A4461" s="4">
        <v>1002000</v>
      </c>
      <c r="B4461">
        <v>7360900</v>
      </c>
    </row>
    <row r="4462" spans="1:2" x14ac:dyDescent="0.4">
      <c r="A4462" s="4">
        <v>1002000</v>
      </c>
      <c r="B4462">
        <v>7361200</v>
      </c>
    </row>
    <row r="4463" spans="1:2" x14ac:dyDescent="0.4">
      <c r="A4463" s="4">
        <v>1002000</v>
      </c>
      <c r="B4463">
        <v>7361300</v>
      </c>
    </row>
    <row r="4464" spans="1:2" x14ac:dyDescent="0.4">
      <c r="A4464" s="4">
        <v>1002000</v>
      </c>
      <c r="B4464">
        <v>7362100</v>
      </c>
    </row>
    <row r="4465" spans="1:2" x14ac:dyDescent="0.4">
      <c r="A4465" s="4">
        <v>1002000</v>
      </c>
      <c r="B4465">
        <v>7370300</v>
      </c>
    </row>
    <row r="4466" spans="1:2" x14ac:dyDescent="0.4">
      <c r="A4466" s="4">
        <v>1002000</v>
      </c>
      <c r="B4466">
        <v>7370400</v>
      </c>
    </row>
    <row r="4467" spans="1:2" x14ac:dyDescent="0.4">
      <c r="A4467" s="4">
        <v>1002000</v>
      </c>
      <c r="B4467">
        <v>7370600</v>
      </c>
    </row>
    <row r="4468" spans="1:2" x14ac:dyDescent="0.4">
      <c r="A4468" s="4">
        <v>1002000</v>
      </c>
      <c r="B4468">
        <v>7370900</v>
      </c>
    </row>
    <row r="4469" spans="1:2" x14ac:dyDescent="0.4">
      <c r="A4469" s="4">
        <v>1002000</v>
      </c>
      <c r="B4469">
        <v>7371500</v>
      </c>
    </row>
    <row r="4470" spans="1:2" x14ac:dyDescent="0.4">
      <c r="A4470" s="4">
        <v>1002000</v>
      </c>
      <c r="B4470">
        <v>7036200</v>
      </c>
    </row>
    <row r="4471" spans="1:2" x14ac:dyDescent="0.4">
      <c r="A4471" s="4">
        <v>1002000</v>
      </c>
      <c r="B4471">
        <v>7036300</v>
      </c>
    </row>
    <row r="4472" spans="1:2" x14ac:dyDescent="0.4">
      <c r="A4472" s="4">
        <v>1002000</v>
      </c>
      <c r="B4472">
        <v>7036400</v>
      </c>
    </row>
    <row r="4473" spans="1:2" x14ac:dyDescent="0.4">
      <c r="A4473" s="4">
        <v>1002000</v>
      </c>
      <c r="B4473">
        <v>7036500</v>
      </c>
    </row>
    <row r="4474" spans="1:2" x14ac:dyDescent="0.4">
      <c r="A4474" s="4">
        <v>1002000</v>
      </c>
      <c r="B4474">
        <v>7036800</v>
      </c>
    </row>
    <row r="4475" spans="1:2" x14ac:dyDescent="0.4">
      <c r="A4475" s="4">
        <v>1002000</v>
      </c>
      <c r="B4475">
        <v>7036900</v>
      </c>
    </row>
    <row r="4476" spans="1:2" x14ac:dyDescent="0.4">
      <c r="A4476" s="4">
        <v>1002000</v>
      </c>
      <c r="B4476">
        <v>7037000</v>
      </c>
    </row>
    <row r="4477" spans="1:2" x14ac:dyDescent="0.4">
      <c r="A4477" s="4">
        <v>1002000</v>
      </c>
      <c r="B4477">
        <v>7037300</v>
      </c>
    </row>
    <row r="4478" spans="1:2" x14ac:dyDescent="0.4">
      <c r="A4478" s="4">
        <v>1002000</v>
      </c>
      <c r="B4478">
        <v>6630000</v>
      </c>
    </row>
    <row r="4479" spans="1:2" x14ac:dyDescent="0.4">
      <c r="A4479" s="4">
        <v>1002000</v>
      </c>
      <c r="B4479">
        <v>6630100</v>
      </c>
    </row>
    <row r="4480" spans="1:2" x14ac:dyDescent="0.4">
      <c r="A4480" s="4">
        <v>1002000</v>
      </c>
      <c r="B4480">
        <v>6630200</v>
      </c>
    </row>
    <row r="4481" spans="1:2" x14ac:dyDescent="0.4">
      <c r="A4481" s="4">
        <v>1002000</v>
      </c>
      <c r="B4481">
        <v>6630300</v>
      </c>
    </row>
    <row r="4482" spans="1:2" x14ac:dyDescent="0.4">
      <c r="A4482" s="4">
        <v>1002000</v>
      </c>
      <c r="B4482">
        <v>6630400</v>
      </c>
    </row>
    <row r="4483" spans="1:2" x14ac:dyDescent="0.4">
      <c r="A4483" s="4">
        <v>1002000</v>
      </c>
      <c r="B4483">
        <v>6630500</v>
      </c>
    </row>
    <row r="4484" spans="1:2" x14ac:dyDescent="0.4">
      <c r="A4484" s="4">
        <v>1002000</v>
      </c>
      <c r="B4484">
        <v>6630600</v>
      </c>
    </row>
    <row r="4485" spans="1:2" x14ac:dyDescent="0.4">
      <c r="A4485" s="4">
        <v>1002000</v>
      </c>
      <c r="B4485">
        <v>6630700</v>
      </c>
    </row>
    <row r="4486" spans="1:2" x14ac:dyDescent="0.4">
      <c r="A4486" s="4">
        <v>1002000</v>
      </c>
      <c r="B4486">
        <v>6630800</v>
      </c>
    </row>
    <row r="4487" spans="1:2" x14ac:dyDescent="0.4">
      <c r="A4487" s="4">
        <v>1002000</v>
      </c>
      <c r="B4487">
        <v>6630900</v>
      </c>
    </row>
    <row r="4488" spans="1:2" x14ac:dyDescent="0.4">
      <c r="A4488" s="4">
        <v>1002000</v>
      </c>
      <c r="B4488">
        <v>6631000</v>
      </c>
    </row>
    <row r="4489" spans="1:2" x14ac:dyDescent="0.4">
      <c r="A4489" s="4">
        <v>1002000</v>
      </c>
      <c r="B4489">
        <v>6631100</v>
      </c>
    </row>
    <row r="4490" spans="1:2" x14ac:dyDescent="0.4">
      <c r="A4490" s="4">
        <v>1002000</v>
      </c>
      <c r="B4490">
        <v>6631200</v>
      </c>
    </row>
    <row r="4491" spans="1:2" x14ac:dyDescent="0.4">
      <c r="A4491" s="4">
        <v>1002000</v>
      </c>
      <c r="B4491">
        <v>6631300</v>
      </c>
    </row>
    <row r="4492" spans="1:2" x14ac:dyDescent="0.4">
      <c r="A4492" s="4">
        <v>1002000</v>
      </c>
      <c r="B4492">
        <v>6631400</v>
      </c>
    </row>
    <row r="4493" spans="1:2" x14ac:dyDescent="0.4">
      <c r="A4493" s="4">
        <v>1002000</v>
      </c>
      <c r="B4493">
        <v>6631500</v>
      </c>
    </row>
    <row r="4494" spans="1:2" x14ac:dyDescent="0.4">
      <c r="A4494" s="4">
        <v>1002000</v>
      </c>
      <c r="B4494">
        <v>6631600</v>
      </c>
    </row>
    <row r="4495" spans="1:2" x14ac:dyDescent="0.4">
      <c r="A4495" s="4">
        <v>1002000</v>
      </c>
      <c r="B4495">
        <v>6631700</v>
      </c>
    </row>
    <row r="4496" spans="1:2" x14ac:dyDescent="0.4">
      <c r="A4496" s="4">
        <v>1002000</v>
      </c>
      <c r="B4496">
        <v>6631800</v>
      </c>
    </row>
    <row r="4497" spans="1:2" x14ac:dyDescent="0.4">
      <c r="A4497" s="4">
        <v>1002000</v>
      </c>
      <c r="B4497">
        <v>6631900</v>
      </c>
    </row>
    <row r="4498" spans="1:2" x14ac:dyDescent="0.4">
      <c r="A4498" s="4">
        <v>1002000</v>
      </c>
      <c r="B4498">
        <v>6632000</v>
      </c>
    </row>
    <row r="4499" spans="1:2" x14ac:dyDescent="0.4">
      <c r="A4499" s="4">
        <v>1002000</v>
      </c>
      <c r="B4499">
        <v>6632100</v>
      </c>
    </row>
    <row r="4500" spans="1:2" x14ac:dyDescent="0.4">
      <c r="A4500" s="4">
        <v>1002000</v>
      </c>
      <c r="B4500">
        <v>6632200</v>
      </c>
    </row>
    <row r="4501" spans="1:2" x14ac:dyDescent="0.4">
      <c r="A4501" s="4">
        <v>1002000</v>
      </c>
      <c r="B4501">
        <v>6632300</v>
      </c>
    </row>
    <row r="4502" spans="1:2" x14ac:dyDescent="0.4">
      <c r="A4502" s="4">
        <v>1002000</v>
      </c>
      <c r="B4502">
        <v>6632400</v>
      </c>
    </row>
    <row r="4503" spans="1:2" x14ac:dyDescent="0.4">
      <c r="A4503" s="4">
        <v>1002000</v>
      </c>
      <c r="B4503">
        <v>6632500</v>
      </c>
    </row>
    <row r="4504" spans="1:2" x14ac:dyDescent="0.4">
      <c r="A4504" s="4">
        <v>1002000</v>
      </c>
      <c r="B4504">
        <v>6632600</v>
      </c>
    </row>
    <row r="4505" spans="1:2" x14ac:dyDescent="0.4">
      <c r="A4505" s="4">
        <v>1002000</v>
      </c>
      <c r="B4505">
        <v>6632700</v>
      </c>
    </row>
    <row r="4506" spans="1:2" x14ac:dyDescent="0.4">
      <c r="A4506" s="4">
        <v>1002000</v>
      </c>
      <c r="B4506">
        <v>6632800</v>
      </c>
    </row>
    <row r="4507" spans="1:2" x14ac:dyDescent="0.4">
      <c r="A4507" s="4">
        <v>1002000</v>
      </c>
      <c r="B4507">
        <v>6632900</v>
      </c>
    </row>
    <row r="4508" spans="1:2" x14ac:dyDescent="0.4">
      <c r="A4508" s="4">
        <v>1002000</v>
      </c>
      <c r="B4508">
        <v>6633000</v>
      </c>
    </row>
    <row r="4509" spans="1:2" x14ac:dyDescent="0.4">
      <c r="A4509" s="4">
        <v>1002000</v>
      </c>
      <c r="B4509">
        <v>6633100</v>
      </c>
    </row>
    <row r="4510" spans="1:2" x14ac:dyDescent="0.4">
      <c r="A4510" s="4">
        <v>1002000</v>
      </c>
      <c r="B4510">
        <v>6633200</v>
      </c>
    </row>
    <row r="4511" spans="1:2" x14ac:dyDescent="0.4">
      <c r="A4511" s="4">
        <v>1002000</v>
      </c>
      <c r="B4511">
        <v>6647200</v>
      </c>
    </row>
    <row r="4512" spans="1:2" x14ac:dyDescent="0.4">
      <c r="A4512" s="4">
        <v>1002000</v>
      </c>
      <c r="B4512">
        <v>6647300</v>
      </c>
    </row>
    <row r="4513" spans="1:2" x14ac:dyDescent="0.4">
      <c r="A4513" s="4">
        <v>1002000</v>
      </c>
      <c r="B4513">
        <v>6647400</v>
      </c>
    </row>
    <row r="4514" spans="1:2" x14ac:dyDescent="0.4">
      <c r="A4514" s="4">
        <v>1002000</v>
      </c>
      <c r="B4514">
        <v>6647500</v>
      </c>
    </row>
    <row r="4515" spans="1:2" x14ac:dyDescent="0.4">
      <c r="A4515" s="4">
        <v>1002000</v>
      </c>
      <c r="B4515">
        <v>6640000</v>
      </c>
    </row>
    <row r="4516" spans="1:2" x14ac:dyDescent="0.4">
      <c r="A4516" s="4">
        <v>1002000</v>
      </c>
      <c r="B4516">
        <v>6640100</v>
      </c>
    </row>
    <row r="4517" spans="1:2" x14ac:dyDescent="0.4">
      <c r="A4517" s="4">
        <v>1002000</v>
      </c>
      <c r="B4517">
        <v>6641000</v>
      </c>
    </row>
    <row r="4518" spans="1:2" x14ac:dyDescent="0.4">
      <c r="A4518" s="4">
        <v>1002000</v>
      </c>
      <c r="B4518">
        <v>6641100</v>
      </c>
    </row>
    <row r="4519" spans="1:2" x14ac:dyDescent="0.4">
      <c r="A4519" s="4">
        <v>1002000</v>
      </c>
      <c r="B4519">
        <v>6642000</v>
      </c>
    </row>
    <row r="4520" spans="1:2" x14ac:dyDescent="0.4">
      <c r="A4520" s="4">
        <v>1002000</v>
      </c>
      <c r="B4520">
        <v>6642100</v>
      </c>
    </row>
    <row r="4521" spans="1:2" x14ac:dyDescent="0.4">
      <c r="A4521" s="4">
        <v>1002000</v>
      </c>
      <c r="B4521">
        <v>6643000</v>
      </c>
    </row>
    <row r="4522" spans="1:2" x14ac:dyDescent="0.4">
      <c r="A4522" s="4">
        <v>1002000</v>
      </c>
      <c r="B4522">
        <v>6643100</v>
      </c>
    </row>
    <row r="4523" spans="1:2" x14ac:dyDescent="0.4">
      <c r="A4523" s="4">
        <v>1002000</v>
      </c>
      <c r="B4523">
        <v>6644000</v>
      </c>
    </row>
    <row r="4524" spans="1:2" x14ac:dyDescent="0.4">
      <c r="A4524" s="4">
        <v>1002000</v>
      </c>
      <c r="B4524">
        <v>6644100</v>
      </c>
    </row>
    <row r="4525" spans="1:2" x14ac:dyDescent="0.4">
      <c r="A4525" s="4">
        <v>1002000</v>
      </c>
      <c r="B4525">
        <v>6645000</v>
      </c>
    </row>
    <row r="4526" spans="1:2" x14ac:dyDescent="0.4">
      <c r="A4526" s="4">
        <v>1002000</v>
      </c>
      <c r="B4526">
        <v>6645100</v>
      </c>
    </row>
    <row r="4527" spans="1:2" x14ac:dyDescent="0.4">
      <c r="A4527" s="4">
        <v>1002000</v>
      </c>
      <c r="B4527">
        <v>6646000</v>
      </c>
    </row>
    <row r="4528" spans="1:2" x14ac:dyDescent="0.4">
      <c r="A4528" s="4">
        <v>1002000</v>
      </c>
      <c r="B4528">
        <v>6646100</v>
      </c>
    </row>
    <row r="4529" spans="1:2" x14ac:dyDescent="0.4">
      <c r="A4529" s="4">
        <v>1002000</v>
      </c>
      <c r="B4529">
        <v>6647000</v>
      </c>
    </row>
    <row r="4530" spans="1:2" x14ac:dyDescent="0.4">
      <c r="A4530" s="4">
        <v>1002000</v>
      </c>
      <c r="B4530">
        <v>6647100</v>
      </c>
    </row>
    <row r="4531" spans="1:2" x14ac:dyDescent="0.4">
      <c r="A4531" s="4">
        <v>1002001</v>
      </c>
      <c r="B4531">
        <v>7000000</v>
      </c>
    </row>
    <row r="4532" spans="1:2" x14ac:dyDescent="0.4">
      <c r="A4532" s="4">
        <v>1002001</v>
      </c>
      <c r="B4532">
        <v>7000001</v>
      </c>
    </row>
    <row r="4533" spans="1:2" x14ac:dyDescent="0.4">
      <c r="A4533" s="4">
        <v>1002001</v>
      </c>
      <c r="B4533">
        <v>7000002</v>
      </c>
    </row>
    <row r="4534" spans="1:2" x14ac:dyDescent="0.4">
      <c r="A4534" s="4">
        <v>1002001</v>
      </c>
      <c r="B4534">
        <v>7000100</v>
      </c>
    </row>
    <row r="4535" spans="1:2" x14ac:dyDescent="0.4">
      <c r="A4535" s="4">
        <v>1002001</v>
      </c>
      <c r="B4535">
        <v>7000101</v>
      </c>
    </row>
    <row r="4536" spans="1:2" x14ac:dyDescent="0.4">
      <c r="A4536" s="4">
        <v>1002001</v>
      </c>
      <c r="B4536">
        <v>7000102</v>
      </c>
    </row>
    <row r="4537" spans="1:2" x14ac:dyDescent="0.4">
      <c r="A4537" s="4">
        <v>1002001</v>
      </c>
      <c r="B4537">
        <v>7000200</v>
      </c>
    </row>
    <row r="4538" spans="1:2" x14ac:dyDescent="0.4">
      <c r="A4538" s="4">
        <v>1002001</v>
      </c>
      <c r="B4538">
        <v>7000201</v>
      </c>
    </row>
    <row r="4539" spans="1:2" x14ac:dyDescent="0.4">
      <c r="A4539" s="4">
        <v>1002001</v>
      </c>
      <c r="B4539">
        <v>7000202</v>
      </c>
    </row>
    <row r="4540" spans="1:2" x14ac:dyDescent="0.4">
      <c r="A4540" s="4">
        <v>1002001</v>
      </c>
      <c r="B4540">
        <v>7000300</v>
      </c>
    </row>
    <row r="4541" spans="1:2" x14ac:dyDescent="0.4">
      <c r="A4541" s="4">
        <v>1002001</v>
      </c>
      <c r="B4541">
        <v>7000301</v>
      </c>
    </row>
    <row r="4542" spans="1:2" x14ac:dyDescent="0.4">
      <c r="A4542" s="4">
        <v>1002001</v>
      </c>
      <c r="B4542">
        <v>7000302</v>
      </c>
    </row>
    <row r="4543" spans="1:2" x14ac:dyDescent="0.4">
      <c r="A4543" s="4">
        <v>1002001</v>
      </c>
      <c r="B4543">
        <v>7000400</v>
      </c>
    </row>
    <row r="4544" spans="1:2" x14ac:dyDescent="0.4">
      <c r="A4544" s="4">
        <v>1002001</v>
      </c>
      <c r="B4544">
        <v>7000401</v>
      </c>
    </row>
    <row r="4545" spans="1:2" x14ac:dyDescent="0.4">
      <c r="A4545" s="4">
        <v>1002001</v>
      </c>
      <c r="B4545">
        <v>7000402</v>
      </c>
    </row>
    <row r="4546" spans="1:2" x14ac:dyDescent="0.4">
      <c r="A4546" s="4">
        <v>1002001</v>
      </c>
      <c r="B4546">
        <v>7000500</v>
      </c>
    </row>
    <row r="4547" spans="1:2" x14ac:dyDescent="0.4">
      <c r="A4547" s="4">
        <v>1002001</v>
      </c>
      <c r="B4547">
        <v>7000501</v>
      </c>
    </row>
    <row r="4548" spans="1:2" x14ac:dyDescent="0.4">
      <c r="A4548" s="4">
        <v>1002001</v>
      </c>
      <c r="B4548">
        <v>7000502</v>
      </c>
    </row>
    <row r="4549" spans="1:2" x14ac:dyDescent="0.4">
      <c r="A4549" s="4">
        <v>1002001</v>
      </c>
      <c r="B4549">
        <v>7000600</v>
      </c>
    </row>
    <row r="4550" spans="1:2" x14ac:dyDescent="0.4">
      <c r="A4550" s="4">
        <v>1002001</v>
      </c>
      <c r="B4550">
        <v>7000601</v>
      </c>
    </row>
    <row r="4551" spans="1:2" x14ac:dyDescent="0.4">
      <c r="A4551" s="4">
        <v>1002001</v>
      </c>
      <c r="B4551">
        <v>7000602</v>
      </c>
    </row>
    <row r="4552" spans="1:2" x14ac:dyDescent="0.4">
      <c r="A4552" s="4">
        <v>1002001</v>
      </c>
      <c r="B4552">
        <v>7000700</v>
      </c>
    </row>
    <row r="4553" spans="1:2" x14ac:dyDescent="0.4">
      <c r="A4553" s="4">
        <v>1002001</v>
      </c>
      <c r="B4553">
        <v>7000701</v>
      </c>
    </row>
    <row r="4554" spans="1:2" x14ac:dyDescent="0.4">
      <c r="A4554" s="4">
        <v>1002001</v>
      </c>
      <c r="B4554">
        <v>7000702</v>
      </c>
    </row>
    <row r="4555" spans="1:2" x14ac:dyDescent="0.4">
      <c r="A4555" s="4">
        <v>1002001</v>
      </c>
      <c r="B4555">
        <v>7000800</v>
      </c>
    </row>
    <row r="4556" spans="1:2" x14ac:dyDescent="0.4">
      <c r="A4556" s="4">
        <v>1002001</v>
      </c>
      <c r="B4556">
        <v>7000801</v>
      </c>
    </row>
    <row r="4557" spans="1:2" x14ac:dyDescent="0.4">
      <c r="A4557" s="4">
        <v>1002001</v>
      </c>
      <c r="B4557">
        <v>7000802</v>
      </c>
    </row>
    <row r="4558" spans="1:2" x14ac:dyDescent="0.4">
      <c r="A4558" s="4">
        <v>1002001</v>
      </c>
      <c r="B4558">
        <v>7000900</v>
      </c>
    </row>
    <row r="4559" spans="1:2" x14ac:dyDescent="0.4">
      <c r="A4559" s="4">
        <v>1002001</v>
      </c>
      <c r="B4559">
        <v>7000901</v>
      </c>
    </row>
    <row r="4560" spans="1:2" x14ac:dyDescent="0.4">
      <c r="A4560" s="4">
        <v>1002001</v>
      </c>
      <c r="B4560">
        <v>7000902</v>
      </c>
    </row>
    <row r="4561" spans="1:2" x14ac:dyDescent="0.4">
      <c r="A4561" s="4">
        <v>1002001</v>
      </c>
      <c r="B4561">
        <v>7001000</v>
      </c>
    </row>
    <row r="4562" spans="1:2" x14ac:dyDescent="0.4">
      <c r="A4562" s="4">
        <v>1002001</v>
      </c>
      <c r="B4562">
        <v>7001001</v>
      </c>
    </row>
    <row r="4563" spans="1:2" x14ac:dyDescent="0.4">
      <c r="A4563" s="4">
        <v>1002001</v>
      </c>
      <c r="B4563">
        <v>7001002</v>
      </c>
    </row>
    <row r="4564" spans="1:2" x14ac:dyDescent="0.4">
      <c r="A4564" s="4">
        <v>1002001</v>
      </c>
      <c r="B4564">
        <v>7001400</v>
      </c>
    </row>
    <row r="4565" spans="1:2" x14ac:dyDescent="0.4">
      <c r="A4565" s="4">
        <v>1002001</v>
      </c>
      <c r="B4565">
        <v>7001401</v>
      </c>
    </row>
    <row r="4566" spans="1:2" x14ac:dyDescent="0.4">
      <c r="A4566" s="4">
        <v>1002001</v>
      </c>
      <c r="B4566">
        <v>7001402</v>
      </c>
    </row>
    <row r="4567" spans="1:2" x14ac:dyDescent="0.4">
      <c r="A4567" s="4">
        <v>1002001</v>
      </c>
      <c r="B4567">
        <v>7001500</v>
      </c>
    </row>
    <row r="4568" spans="1:2" x14ac:dyDescent="0.4">
      <c r="A4568" s="4">
        <v>1002001</v>
      </c>
      <c r="B4568">
        <v>7001501</v>
      </c>
    </row>
    <row r="4569" spans="1:2" x14ac:dyDescent="0.4">
      <c r="A4569" s="4">
        <v>1002001</v>
      </c>
      <c r="B4569">
        <v>7001502</v>
      </c>
    </row>
    <row r="4570" spans="1:2" x14ac:dyDescent="0.4">
      <c r="A4570" s="4">
        <v>1002001</v>
      </c>
      <c r="B4570">
        <v>7001600</v>
      </c>
    </row>
    <row r="4571" spans="1:2" x14ac:dyDescent="0.4">
      <c r="A4571" s="4">
        <v>1002001</v>
      </c>
      <c r="B4571">
        <v>7001601</v>
      </c>
    </row>
    <row r="4572" spans="1:2" x14ac:dyDescent="0.4">
      <c r="A4572" s="4">
        <v>1002001</v>
      </c>
      <c r="B4572">
        <v>7001602</v>
      </c>
    </row>
    <row r="4573" spans="1:2" x14ac:dyDescent="0.4">
      <c r="A4573" s="4">
        <v>1002001</v>
      </c>
      <c r="B4573">
        <v>7001700</v>
      </c>
    </row>
    <row r="4574" spans="1:2" x14ac:dyDescent="0.4">
      <c r="A4574" s="4">
        <v>1002001</v>
      </c>
      <c r="B4574">
        <v>7001701</v>
      </c>
    </row>
    <row r="4575" spans="1:2" x14ac:dyDescent="0.4">
      <c r="A4575" s="4">
        <v>1002001</v>
      </c>
      <c r="B4575">
        <v>7001702</v>
      </c>
    </row>
    <row r="4576" spans="1:2" x14ac:dyDescent="0.4">
      <c r="A4576" s="4">
        <v>1002001</v>
      </c>
      <c r="B4576">
        <v>7001800</v>
      </c>
    </row>
    <row r="4577" spans="1:2" x14ac:dyDescent="0.4">
      <c r="A4577" s="4">
        <v>1002001</v>
      </c>
      <c r="B4577">
        <v>7001801</v>
      </c>
    </row>
    <row r="4578" spans="1:2" x14ac:dyDescent="0.4">
      <c r="A4578" s="4">
        <v>1002001</v>
      </c>
      <c r="B4578">
        <v>7001802</v>
      </c>
    </row>
    <row r="4579" spans="1:2" x14ac:dyDescent="0.4">
      <c r="A4579" s="4">
        <v>1002001</v>
      </c>
      <c r="B4579">
        <v>7002600</v>
      </c>
    </row>
    <row r="4580" spans="1:2" x14ac:dyDescent="0.4">
      <c r="A4580" s="4">
        <v>1002001</v>
      </c>
      <c r="B4580">
        <v>7002700</v>
      </c>
    </row>
    <row r="4581" spans="1:2" x14ac:dyDescent="0.4">
      <c r="A4581" s="4">
        <v>1002001</v>
      </c>
      <c r="B4581">
        <v>7002800</v>
      </c>
    </row>
    <row r="4582" spans="1:2" x14ac:dyDescent="0.4">
      <c r="A4582" s="4">
        <v>1002001</v>
      </c>
      <c r="B4582">
        <v>7002900</v>
      </c>
    </row>
    <row r="4583" spans="1:2" x14ac:dyDescent="0.4">
      <c r="A4583" s="4">
        <v>1002001</v>
      </c>
      <c r="B4583">
        <v>7003000</v>
      </c>
    </row>
    <row r="4584" spans="1:2" x14ac:dyDescent="0.4">
      <c r="A4584" s="4">
        <v>1002001</v>
      </c>
      <c r="B4584">
        <v>7003100</v>
      </c>
    </row>
    <row r="4585" spans="1:2" x14ac:dyDescent="0.4">
      <c r="A4585" s="4">
        <v>1002001</v>
      </c>
      <c r="B4585">
        <v>7003200</v>
      </c>
    </row>
    <row r="4586" spans="1:2" x14ac:dyDescent="0.4">
      <c r="A4586" s="4">
        <v>1002001</v>
      </c>
      <c r="B4586">
        <v>7003300</v>
      </c>
    </row>
    <row r="4587" spans="1:2" x14ac:dyDescent="0.4">
      <c r="A4587" s="4">
        <v>1002001</v>
      </c>
      <c r="B4587">
        <v>7003400</v>
      </c>
    </row>
    <row r="4588" spans="1:2" x14ac:dyDescent="0.4">
      <c r="A4588" s="4">
        <v>1002001</v>
      </c>
      <c r="B4588">
        <v>7003500</v>
      </c>
    </row>
    <row r="4589" spans="1:2" x14ac:dyDescent="0.4">
      <c r="A4589" s="4">
        <v>1002001</v>
      </c>
      <c r="B4589">
        <v>7003600</v>
      </c>
    </row>
    <row r="4590" spans="1:2" x14ac:dyDescent="0.4">
      <c r="A4590" s="4">
        <v>1002001</v>
      </c>
      <c r="B4590">
        <v>7005600</v>
      </c>
    </row>
    <row r="4591" spans="1:2" x14ac:dyDescent="0.4">
      <c r="A4591" s="4">
        <v>1002001</v>
      </c>
      <c r="B4591">
        <v>7006000</v>
      </c>
    </row>
    <row r="4592" spans="1:2" x14ac:dyDescent="0.4">
      <c r="A4592" s="4">
        <v>1002001</v>
      </c>
      <c r="B4592">
        <v>7006100</v>
      </c>
    </row>
    <row r="4593" spans="1:2" x14ac:dyDescent="0.4">
      <c r="A4593" s="4">
        <v>1002001</v>
      </c>
      <c r="B4593">
        <v>7010200</v>
      </c>
    </row>
    <row r="4594" spans="1:2" x14ac:dyDescent="0.4">
      <c r="A4594" s="4">
        <v>1002001</v>
      </c>
      <c r="B4594">
        <v>7010500</v>
      </c>
    </row>
    <row r="4595" spans="1:2" x14ac:dyDescent="0.4">
      <c r="A4595" s="4">
        <v>1002001</v>
      </c>
      <c r="B4595">
        <v>7010700</v>
      </c>
    </row>
    <row r="4596" spans="1:2" x14ac:dyDescent="0.4">
      <c r="A4596" s="4">
        <v>1002001</v>
      </c>
      <c r="B4596">
        <v>7010900</v>
      </c>
    </row>
    <row r="4597" spans="1:2" x14ac:dyDescent="0.4">
      <c r="A4597" s="4">
        <v>1002001</v>
      </c>
      <c r="B4597">
        <v>7011000</v>
      </c>
    </row>
    <row r="4598" spans="1:2" x14ac:dyDescent="0.4">
      <c r="A4598" s="4">
        <v>1002001</v>
      </c>
      <c r="B4598">
        <v>7011200</v>
      </c>
    </row>
    <row r="4599" spans="1:2" x14ac:dyDescent="0.4">
      <c r="A4599" s="4">
        <v>1002001</v>
      </c>
      <c r="B4599">
        <v>7011600</v>
      </c>
    </row>
    <row r="4600" spans="1:2" x14ac:dyDescent="0.4">
      <c r="A4600" s="4">
        <v>1002001</v>
      </c>
      <c r="B4600">
        <v>7011700</v>
      </c>
    </row>
    <row r="4601" spans="1:2" x14ac:dyDescent="0.4">
      <c r="A4601" s="4">
        <v>1002001</v>
      </c>
      <c r="B4601">
        <v>7012000</v>
      </c>
    </row>
    <row r="4602" spans="1:2" x14ac:dyDescent="0.4">
      <c r="A4602" s="4">
        <v>1002001</v>
      </c>
      <c r="B4602">
        <v>7012200</v>
      </c>
    </row>
    <row r="4603" spans="1:2" x14ac:dyDescent="0.4">
      <c r="A4603" s="4">
        <v>1002001</v>
      </c>
      <c r="B4603">
        <v>7012300</v>
      </c>
    </row>
    <row r="4604" spans="1:2" x14ac:dyDescent="0.4">
      <c r="A4604" s="4">
        <v>1002001</v>
      </c>
      <c r="B4604">
        <v>7020000</v>
      </c>
    </row>
    <row r="4605" spans="1:2" x14ac:dyDescent="0.4">
      <c r="A4605" s="4">
        <v>1002001</v>
      </c>
      <c r="B4605">
        <v>7030000</v>
      </c>
    </row>
    <row r="4606" spans="1:2" x14ac:dyDescent="0.4">
      <c r="A4606" s="4">
        <v>1002001</v>
      </c>
      <c r="B4606">
        <v>7030200</v>
      </c>
    </row>
    <row r="4607" spans="1:2" x14ac:dyDescent="0.4">
      <c r="A4607" s="4">
        <v>1002001</v>
      </c>
      <c r="B4607">
        <v>7030600</v>
      </c>
    </row>
    <row r="4608" spans="1:2" x14ac:dyDescent="0.4">
      <c r="A4608" s="4">
        <v>1002001</v>
      </c>
      <c r="B4608">
        <v>7030700</v>
      </c>
    </row>
    <row r="4609" spans="1:2" x14ac:dyDescent="0.4">
      <c r="A4609" s="4">
        <v>1002001</v>
      </c>
      <c r="B4609">
        <v>7030800</v>
      </c>
    </row>
    <row r="4610" spans="1:2" x14ac:dyDescent="0.4">
      <c r="A4610" s="4">
        <v>1002001</v>
      </c>
      <c r="B4610">
        <v>7030900</v>
      </c>
    </row>
    <row r="4611" spans="1:2" x14ac:dyDescent="0.4">
      <c r="A4611" s="4">
        <v>1002001</v>
      </c>
      <c r="B4611">
        <v>7031200</v>
      </c>
    </row>
    <row r="4612" spans="1:2" x14ac:dyDescent="0.4">
      <c r="A4612" s="4">
        <v>1002001</v>
      </c>
      <c r="B4612">
        <v>7031300</v>
      </c>
    </row>
    <row r="4613" spans="1:2" x14ac:dyDescent="0.4">
      <c r="A4613" s="4">
        <v>1002001</v>
      </c>
      <c r="B4613">
        <v>7031800</v>
      </c>
    </row>
    <row r="4614" spans="1:2" x14ac:dyDescent="0.4">
      <c r="A4614" s="4">
        <v>1002001</v>
      </c>
      <c r="B4614">
        <v>7031900</v>
      </c>
    </row>
    <row r="4615" spans="1:2" x14ac:dyDescent="0.4">
      <c r="A4615" s="4">
        <v>1002001</v>
      </c>
      <c r="B4615">
        <v>7032200</v>
      </c>
    </row>
    <row r="4616" spans="1:2" x14ac:dyDescent="0.4">
      <c r="A4616" s="4">
        <v>1002001</v>
      </c>
      <c r="B4616">
        <v>7032400</v>
      </c>
    </row>
    <row r="4617" spans="1:2" x14ac:dyDescent="0.4">
      <c r="A4617" s="4">
        <v>1002001</v>
      </c>
      <c r="B4617">
        <v>7032700</v>
      </c>
    </row>
    <row r="4618" spans="1:2" x14ac:dyDescent="0.4">
      <c r="A4618" s="4">
        <v>1002001</v>
      </c>
      <c r="B4618">
        <v>7032800</v>
      </c>
    </row>
    <row r="4619" spans="1:2" x14ac:dyDescent="0.4">
      <c r="A4619" s="4">
        <v>1002001</v>
      </c>
      <c r="B4619">
        <v>7032900</v>
      </c>
    </row>
    <row r="4620" spans="1:2" x14ac:dyDescent="0.4">
      <c r="A4620" s="4">
        <v>1002001</v>
      </c>
      <c r="B4620">
        <v>7033200</v>
      </c>
    </row>
    <row r="4621" spans="1:2" x14ac:dyDescent="0.4">
      <c r="A4621" s="4">
        <v>1002001</v>
      </c>
      <c r="B4621">
        <v>7033400</v>
      </c>
    </row>
    <row r="4622" spans="1:2" x14ac:dyDescent="0.4">
      <c r="A4622" s="4">
        <v>1002001</v>
      </c>
      <c r="B4622">
        <v>7034100</v>
      </c>
    </row>
    <row r="4623" spans="1:2" x14ac:dyDescent="0.4">
      <c r="A4623" s="4">
        <v>1002001</v>
      </c>
      <c r="B4623">
        <v>7034400</v>
      </c>
    </row>
    <row r="4624" spans="1:2" x14ac:dyDescent="0.4">
      <c r="A4624" s="4">
        <v>1002001</v>
      </c>
      <c r="B4624">
        <v>7034500</v>
      </c>
    </row>
    <row r="4625" spans="1:2" x14ac:dyDescent="0.4">
      <c r="A4625" s="4">
        <v>1002001</v>
      </c>
      <c r="B4625">
        <v>7034600</v>
      </c>
    </row>
    <row r="4626" spans="1:2" x14ac:dyDescent="0.4">
      <c r="A4626" s="4">
        <v>1002001</v>
      </c>
      <c r="B4626">
        <v>7034700</v>
      </c>
    </row>
    <row r="4627" spans="1:2" x14ac:dyDescent="0.4">
      <c r="A4627" s="4">
        <v>1002001</v>
      </c>
      <c r="B4627">
        <v>7035100</v>
      </c>
    </row>
    <row r="4628" spans="1:2" x14ac:dyDescent="0.4">
      <c r="A4628" s="4">
        <v>1002001</v>
      </c>
      <c r="B4628">
        <v>7036100</v>
      </c>
    </row>
    <row r="4629" spans="1:2" x14ac:dyDescent="0.4">
      <c r="A4629" s="4">
        <v>1002001</v>
      </c>
      <c r="B4629">
        <v>7040000</v>
      </c>
    </row>
    <row r="4630" spans="1:2" x14ac:dyDescent="0.4">
      <c r="A4630" s="4">
        <v>1002001</v>
      </c>
      <c r="B4630">
        <v>7040100</v>
      </c>
    </row>
    <row r="4631" spans="1:2" x14ac:dyDescent="0.4">
      <c r="A4631" s="4">
        <v>1002001</v>
      </c>
      <c r="B4631">
        <v>7040200</v>
      </c>
    </row>
    <row r="4632" spans="1:2" x14ac:dyDescent="0.4">
      <c r="A4632" s="4">
        <v>1002001</v>
      </c>
      <c r="B4632">
        <v>7040300</v>
      </c>
    </row>
    <row r="4633" spans="1:2" x14ac:dyDescent="0.4">
      <c r="A4633" s="4">
        <v>1002001</v>
      </c>
      <c r="B4633">
        <v>7040400</v>
      </c>
    </row>
    <row r="4634" spans="1:2" x14ac:dyDescent="0.4">
      <c r="A4634" s="4">
        <v>1002001</v>
      </c>
      <c r="B4634">
        <v>7040500</v>
      </c>
    </row>
    <row r="4635" spans="1:2" x14ac:dyDescent="0.4">
      <c r="A4635" s="4">
        <v>1002001</v>
      </c>
      <c r="B4635">
        <v>7043000</v>
      </c>
    </row>
    <row r="4636" spans="1:2" x14ac:dyDescent="0.4">
      <c r="A4636" s="4">
        <v>1002001</v>
      </c>
      <c r="B4636">
        <v>7043100</v>
      </c>
    </row>
    <row r="4637" spans="1:2" x14ac:dyDescent="0.4">
      <c r="A4637" s="4">
        <v>1002001</v>
      </c>
      <c r="B4637">
        <v>7043200</v>
      </c>
    </row>
    <row r="4638" spans="1:2" x14ac:dyDescent="0.4">
      <c r="A4638" s="4">
        <v>1002001</v>
      </c>
      <c r="B4638">
        <v>7043300</v>
      </c>
    </row>
    <row r="4639" spans="1:2" x14ac:dyDescent="0.4">
      <c r="A4639" s="4">
        <v>1002001</v>
      </c>
      <c r="B4639">
        <v>7043400</v>
      </c>
    </row>
    <row r="4640" spans="1:2" x14ac:dyDescent="0.4">
      <c r="A4640" s="4">
        <v>1002001</v>
      </c>
      <c r="B4640">
        <v>7043500</v>
      </c>
    </row>
    <row r="4641" spans="1:2" x14ac:dyDescent="0.4">
      <c r="A4641" s="4">
        <v>1002001</v>
      </c>
      <c r="B4641">
        <v>7043600</v>
      </c>
    </row>
    <row r="4642" spans="1:2" x14ac:dyDescent="0.4">
      <c r="A4642" s="4">
        <v>1002001</v>
      </c>
      <c r="B4642">
        <v>7043700</v>
      </c>
    </row>
    <row r="4643" spans="1:2" x14ac:dyDescent="0.4">
      <c r="A4643" s="4">
        <v>1002001</v>
      </c>
      <c r="B4643">
        <v>7043800</v>
      </c>
    </row>
    <row r="4644" spans="1:2" x14ac:dyDescent="0.4">
      <c r="A4644" s="4">
        <v>1002001</v>
      </c>
      <c r="B4644">
        <v>7044000</v>
      </c>
    </row>
    <row r="4645" spans="1:2" x14ac:dyDescent="0.4">
      <c r="A4645" s="4">
        <v>1002001</v>
      </c>
      <c r="B4645">
        <v>7044100</v>
      </c>
    </row>
    <row r="4646" spans="1:2" x14ac:dyDescent="0.4">
      <c r="A4646" s="4">
        <v>1002001</v>
      </c>
      <c r="B4646">
        <v>7044200</v>
      </c>
    </row>
    <row r="4647" spans="1:2" x14ac:dyDescent="0.4">
      <c r="A4647" s="4">
        <v>1002001</v>
      </c>
      <c r="B4647">
        <v>7044300</v>
      </c>
    </row>
    <row r="4648" spans="1:2" x14ac:dyDescent="0.4">
      <c r="A4648" s="4">
        <v>1002001</v>
      </c>
      <c r="B4648">
        <v>7044400</v>
      </c>
    </row>
    <row r="4649" spans="1:2" x14ac:dyDescent="0.4">
      <c r="A4649" s="4">
        <v>1002001</v>
      </c>
      <c r="B4649">
        <v>7044500</v>
      </c>
    </row>
    <row r="4650" spans="1:2" x14ac:dyDescent="0.4">
      <c r="A4650" s="4">
        <v>1002001</v>
      </c>
      <c r="B4650">
        <v>7044600</v>
      </c>
    </row>
    <row r="4651" spans="1:2" x14ac:dyDescent="0.4">
      <c r="A4651" s="4">
        <v>1002001</v>
      </c>
      <c r="B4651">
        <v>7050000</v>
      </c>
    </row>
    <row r="4652" spans="1:2" x14ac:dyDescent="0.4">
      <c r="A4652" s="4">
        <v>1002001</v>
      </c>
      <c r="B4652">
        <v>7050100</v>
      </c>
    </row>
    <row r="4653" spans="1:2" x14ac:dyDescent="0.4">
      <c r="A4653" s="4">
        <v>1002001</v>
      </c>
      <c r="B4653">
        <v>7060000</v>
      </c>
    </row>
    <row r="4654" spans="1:2" x14ac:dyDescent="0.4">
      <c r="A4654" s="4">
        <v>1002001</v>
      </c>
      <c r="B4654">
        <v>7060100</v>
      </c>
    </row>
    <row r="4655" spans="1:2" x14ac:dyDescent="0.4">
      <c r="A4655" s="4">
        <v>1002001</v>
      </c>
      <c r="B4655">
        <v>7060200</v>
      </c>
    </row>
    <row r="4656" spans="1:2" x14ac:dyDescent="0.4">
      <c r="A4656" s="4">
        <v>1002001</v>
      </c>
      <c r="B4656">
        <v>7070000</v>
      </c>
    </row>
    <row r="4657" spans="1:2" x14ac:dyDescent="0.4">
      <c r="A4657" s="4">
        <v>1002001</v>
      </c>
      <c r="B4657">
        <v>7080000</v>
      </c>
    </row>
    <row r="4658" spans="1:2" x14ac:dyDescent="0.4">
      <c r="A4658" s="4">
        <v>1002001</v>
      </c>
      <c r="B4658">
        <v>7080100</v>
      </c>
    </row>
    <row r="4659" spans="1:2" x14ac:dyDescent="0.4">
      <c r="A4659" s="4">
        <v>1002001</v>
      </c>
      <c r="B4659">
        <v>7080200</v>
      </c>
    </row>
    <row r="4660" spans="1:2" x14ac:dyDescent="0.4">
      <c r="A4660" s="4">
        <v>1002001</v>
      </c>
      <c r="B4660">
        <v>7080300</v>
      </c>
    </row>
    <row r="4661" spans="1:2" x14ac:dyDescent="0.4">
      <c r="A4661" s="4">
        <v>1002001</v>
      </c>
      <c r="B4661">
        <v>7080400</v>
      </c>
    </row>
    <row r="4662" spans="1:2" x14ac:dyDescent="0.4">
      <c r="A4662" s="4">
        <v>1002001</v>
      </c>
      <c r="B4662">
        <v>7080500</v>
      </c>
    </row>
    <row r="4663" spans="1:2" x14ac:dyDescent="0.4">
      <c r="A4663" s="4">
        <v>1002001</v>
      </c>
      <c r="B4663">
        <v>7080600</v>
      </c>
    </row>
    <row r="4664" spans="1:2" x14ac:dyDescent="0.4">
      <c r="A4664" s="4">
        <v>1002001</v>
      </c>
      <c r="B4664">
        <v>7080700</v>
      </c>
    </row>
    <row r="4665" spans="1:2" x14ac:dyDescent="0.4">
      <c r="A4665" s="4">
        <v>1002001</v>
      </c>
      <c r="B4665">
        <v>7080800</v>
      </c>
    </row>
    <row r="4666" spans="1:2" x14ac:dyDescent="0.4">
      <c r="A4666" s="4">
        <v>1002001</v>
      </c>
      <c r="B4666">
        <v>7080900</v>
      </c>
    </row>
    <row r="4667" spans="1:2" x14ac:dyDescent="0.4">
      <c r="A4667" s="4">
        <v>1002001</v>
      </c>
      <c r="B4667">
        <v>7081000</v>
      </c>
    </row>
    <row r="4668" spans="1:2" x14ac:dyDescent="0.4">
      <c r="A4668" s="4">
        <v>1002001</v>
      </c>
      <c r="B4668">
        <v>7081100</v>
      </c>
    </row>
    <row r="4669" spans="1:2" x14ac:dyDescent="0.4">
      <c r="A4669" s="4">
        <v>1002001</v>
      </c>
      <c r="B4669">
        <v>7081200</v>
      </c>
    </row>
    <row r="4670" spans="1:2" x14ac:dyDescent="0.4">
      <c r="A4670" s="4">
        <v>1002001</v>
      </c>
      <c r="B4670">
        <v>7081300</v>
      </c>
    </row>
    <row r="4671" spans="1:2" x14ac:dyDescent="0.4">
      <c r="A4671" s="4">
        <v>1002001</v>
      </c>
      <c r="B4671">
        <v>7081400</v>
      </c>
    </row>
    <row r="4672" spans="1:2" x14ac:dyDescent="0.4">
      <c r="A4672" s="4">
        <v>1002001</v>
      </c>
      <c r="B4672">
        <v>7081500</v>
      </c>
    </row>
    <row r="4673" spans="1:2" x14ac:dyDescent="0.4">
      <c r="A4673" s="4">
        <v>1002001</v>
      </c>
      <c r="B4673">
        <v>7081700</v>
      </c>
    </row>
    <row r="4674" spans="1:2" x14ac:dyDescent="0.4">
      <c r="A4674" s="4">
        <v>1002001</v>
      </c>
      <c r="B4674">
        <v>7081800</v>
      </c>
    </row>
    <row r="4675" spans="1:2" x14ac:dyDescent="0.4">
      <c r="A4675" s="4">
        <v>1002001</v>
      </c>
      <c r="B4675">
        <v>7081900</v>
      </c>
    </row>
    <row r="4676" spans="1:2" x14ac:dyDescent="0.4">
      <c r="A4676" s="4">
        <v>1002001</v>
      </c>
      <c r="B4676">
        <v>7082000</v>
      </c>
    </row>
    <row r="4677" spans="1:2" x14ac:dyDescent="0.4">
      <c r="A4677" s="4">
        <v>1002001</v>
      </c>
      <c r="B4677">
        <v>7082100</v>
      </c>
    </row>
    <row r="4678" spans="1:2" x14ac:dyDescent="0.4">
      <c r="A4678" s="4">
        <v>1002001</v>
      </c>
      <c r="B4678">
        <v>7082200</v>
      </c>
    </row>
    <row r="4679" spans="1:2" x14ac:dyDescent="0.4">
      <c r="A4679" s="4">
        <v>1002001</v>
      </c>
      <c r="B4679">
        <v>7082300</v>
      </c>
    </row>
    <row r="4680" spans="1:2" x14ac:dyDescent="0.4">
      <c r="A4680" s="4">
        <v>1002001</v>
      </c>
      <c r="B4680">
        <v>7082400</v>
      </c>
    </row>
    <row r="4681" spans="1:2" x14ac:dyDescent="0.4">
      <c r="A4681" s="4">
        <v>1002001</v>
      </c>
      <c r="B4681">
        <v>7082500</v>
      </c>
    </row>
    <row r="4682" spans="1:2" x14ac:dyDescent="0.4">
      <c r="A4682" s="4">
        <v>1002001</v>
      </c>
      <c r="B4682">
        <v>7082600</v>
      </c>
    </row>
    <row r="4683" spans="1:2" x14ac:dyDescent="0.4">
      <c r="A4683" s="4">
        <v>1002001</v>
      </c>
      <c r="B4683">
        <v>7082700</v>
      </c>
    </row>
    <row r="4684" spans="1:2" x14ac:dyDescent="0.4">
      <c r="A4684" s="4">
        <v>1002001</v>
      </c>
      <c r="B4684">
        <v>7082800</v>
      </c>
    </row>
    <row r="4685" spans="1:2" x14ac:dyDescent="0.4">
      <c r="A4685" s="4">
        <v>1002001</v>
      </c>
      <c r="B4685">
        <v>7082900</v>
      </c>
    </row>
    <row r="4686" spans="1:2" x14ac:dyDescent="0.4">
      <c r="A4686" s="4">
        <v>1002001</v>
      </c>
      <c r="B4686">
        <v>7090000</v>
      </c>
    </row>
    <row r="4687" spans="1:2" x14ac:dyDescent="0.4">
      <c r="A4687" s="4">
        <v>1002001</v>
      </c>
      <c r="B4687">
        <v>7090100</v>
      </c>
    </row>
    <row r="4688" spans="1:2" x14ac:dyDescent="0.4">
      <c r="A4688" s="4">
        <v>1002001</v>
      </c>
      <c r="B4688">
        <v>7090300</v>
      </c>
    </row>
    <row r="4689" spans="1:2" x14ac:dyDescent="0.4">
      <c r="A4689" s="4">
        <v>1002001</v>
      </c>
      <c r="B4689">
        <v>7100100</v>
      </c>
    </row>
    <row r="4690" spans="1:2" x14ac:dyDescent="0.4">
      <c r="A4690" s="4">
        <v>1002001</v>
      </c>
      <c r="B4690">
        <v>7110000</v>
      </c>
    </row>
    <row r="4691" spans="1:2" x14ac:dyDescent="0.4">
      <c r="A4691" s="4">
        <v>1002001</v>
      </c>
      <c r="B4691">
        <v>7120000</v>
      </c>
    </row>
    <row r="4692" spans="1:2" x14ac:dyDescent="0.4">
      <c r="A4692" s="4">
        <v>1002001</v>
      </c>
      <c r="B4692">
        <v>7120100</v>
      </c>
    </row>
    <row r="4693" spans="1:2" x14ac:dyDescent="0.4">
      <c r="A4693" s="4">
        <v>1002001</v>
      </c>
      <c r="B4693">
        <v>7120200</v>
      </c>
    </row>
    <row r="4694" spans="1:2" x14ac:dyDescent="0.4">
      <c r="A4694" s="4">
        <v>1002001</v>
      </c>
      <c r="B4694">
        <v>7120300</v>
      </c>
    </row>
    <row r="4695" spans="1:2" x14ac:dyDescent="0.4">
      <c r="A4695" s="4">
        <v>1002001</v>
      </c>
      <c r="B4695">
        <v>7120400</v>
      </c>
    </row>
    <row r="4696" spans="1:2" x14ac:dyDescent="0.4">
      <c r="A4696" s="4">
        <v>1002001</v>
      </c>
      <c r="B4696">
        <v>7120500</v>
      </c>
    </row>
    <row r="4697" spans="1:2" x14ac:dyDescent="0.4">
      <c r="A4697" s="4">
        <v>1002001</v>
      </c>
      <c r="B4697">
        <v>7120600</v>
      </c>
    </row>
    <row r="4698" spans="1:2" x14ac:dyDescent="0.4">
      <c r="A4698" s="4">
        <v>1002001</v>
      </c>
      <c r="B4698">
        <v>7120900</v>
      </c>
    </row>
    <row r="4699" spans="1:2" x14ac:dyDescent="0.4">
      <c r="A4699" s="4">
        <v>1002001</v>
      </c>
      <c r="B4699">
        <v>7121000</v>
      </c>
    </row>
    <row r="4700" spans="1:2" x14ac:dyDescent="0.4">
      <c r="A4700" s="4">
        <v>1002001</v>
      </c>
      <c r="B4700">
        <v>7121100</v>
      </c>
    </row>
    <row r="4701" spans="1:2" x14ac:dyDescent="0.4">
      <c r="A4701" s="4">
        <v>1002001</v>
      </c>
      <c r="B4701">
        <v>7121200</v>
      </c>
    </row>
    <row r="4702" spans="1:2" x14ac:dyDescent="0.4">
      <c r="A4702" s="4">
        <v>1002001</v>
      </c>
      <c r="B4702">
        <v>7121300</v>
      </c>
    </row>
    <row r="4703" spans="1:2" x14ac:dyDescent="0.4">
      <c r="A4703" s="4">
        <v>1002001</v>
      </c>
      <c r="B4703">
        <v>7121400</v>
      </c>
    </row>
    <row r="4704" spans="1:2" x14ac:dyDescent="0.4">
      <c r="A4704" s="4">
        <v>1002001</v>
      </c>
      <c r="B4704">
        <v>7121500</v>
      </c>
    </row>
    <row r="4705" spans="1:2" x14ac:dyDescent="0.4">
      <c r="A4705" s="4">
        <v>1002001</v>
      </c>
      <c r="B4705">
        <v>7121600</v>
      </c>
    </row>
    <row r="4706" spans="1:2" x14ac:dyDescent="0.4">
      <c r="A4706" s="4">
        <v>1002001</v>
      </c>
      <c r="B4706">
        <v>7121700</v>
      </c>
    </row>
    <row r="4707" spans="1:2" x14ac:dyDescent="0.4">
      <c r="A4707" s="4">
        <v>1002001</v>
      </c>
      <c r="B4707">
        <v>7121800</v>
      </c>
    </row>
    <row r="4708" spans="1:2" x14ac:dyDescent="0.4">
      <c r="A4708" s="4">
        <v>1002001</v>
      </c>
      <c r="B4708">
        <v>7121900</v>
      </c>
    </row>
    <row r="4709" spans="1:2" x14ac:dyDescent="0.4">
      <c r="A4709" s="4">
        <v>1002001</v>
      </c>
      <c r="B4709">
        <v>7122000</v>
      </c>
    </row>
    <row r="4710" spans="1:2" x14ac:dyDescent="0.4">
      <c r="A4710" s="4">
        <v>1002001</v>
      </c>
      <c r="B4710">
        <v>7122100</v>
      </c>
    </row>
    <row r="4711" spans="1:2" x14ac:dyDescent="0.4">
      <c r="A4711" s="4">
        <v>1002001</v>
      </c>
      <c r="B4711">
        <v>7122200</v>
      </c>
    </row>
    <row r="4712" spans="1:2" x14ac:dyDescent="0.4">
      <c r="A4712" s="4">
        <v>1002001</v>
      </c>
      <c r="B4712">
        <v>7122300</v>
      </c>
    </row>
    <row r="4713" spans="1:2" x14ac:dyDescent="0.4">
      <c r="A4713" s="4">
        <v>1002001</v>
      </c>
      <c r="B4713">
        <v>7122400</v>
      </c>
    </row>
    <row r="4714" spans="1:2" x14ac:dyDescent="0.4">
      <c r="A4714" s="4">
        <v>1002001</v>
      </c>
      <c r="B4714">
        <v>7122500</v>
      </c>
    </row>
    <row r="4715" spans="1:2" x14ac:dyDescent="0.4">
      <c r="A4715" s="4">
        <v>1002001</v>
      </c>
      <c r="B4715">
        <v>7122600</v>
      </c>
    </row>
    <row r="4716" spans="1:2" x14ac:dyDescent="0.4">
      <c r="A4716" s="4">
        <v>1002001</v>
      </c>
      <c r="B4716">
        <v>7122700</v>
      </c>
    </row>
    <row r="4717" spans="1:2" x14ac:dyDescent="0.4">
      <c r="A4717" s="4">
        <v>1002001</v>
      </c>
      <c r="B4717">
        <v>7122800</v>
      </c>
    </row>
    <row r="4718" spans="1:2" x14ac:dyDescent="0.4">
      <c r="A4718" s="4">
        <v>1002001</v>
      </c>
      <c r="B4718">
        <v>7122900</v>
      </c>
    </row>
    <row r="4719" spans="1:2" x14ac:dyDescent="0.4">
      <c r="A4719" s="4">
        <v>1002001</v>
      </c>
      <c r="B4719">
        <v>7123000</v>
      </c>
    </row>
    <row r="4720" spans="1:2" x14ac:dyDescent="0.4">
      <c r="A4720" s="4">
        <v>1002001</v>
      </c>
      <c r="B4720">
        <v>7123100</v>
      </c>
    </row>
    <row r="4721" spans="1:2" x14ac:dyDescent="0.4">
      <c r="A4721" s="4">
        <v>1002001</v>
      </c>
      <c r="B4721">
        <v>7123200</v>
      </c>
    </row>
    <row r="4722" spans="1:2" x14ac:dyDescent="0.4">
      <c r="A4722" s="4">
        <v>1002001</v>
      </c>
      <c r="B4722">
        <v>7123300</v>
      </c>
    </row>
    <row r="4723" spans="1:2" x14ac:dyDescent="0.4">
      <c r="A4723" s="4">
        <v>1002001</v>
      </c>
      <c r="B4723">
        <v>7123400</v>
      </c>
    </row>
    <row r="4724" spans="1:2" x14ac:dyDescent="0.4">
      <c r="A4724" s="4">
        <v>1002001</v>
      </c>
      <c r="B4724">
        <v>7123500</v>
      </c>
    </row>
    <row r="4725" spans="1:2" x14ac:dyDescent="0.4">
      <c r="A4725" s="4">
        <v>1002001</v>
      </c>
      <c r="B4725">
        <v>7123600</v>
      </c>
    </row>
    <row r="4726" spans="1:2" x14ac:dyDescent="0.4">
      <c r="A4726" s="4">
        <v>1002001</v>
      </c>
      <c r="B4726">
        <v>7123700</v>
      </c>
    </row>
    <row r="4727" spans="1:2" x14ac:dyDescent="0.4">
      <c r="A4727" s="4">
        <v>1002001</v>
      </c>
      <c r="B4727">
        <v>7123800</v>
      </c>
    </row>
    <row r="4728" spans="1:2" x14ac:dyDescent="0.4">
      <c r="A4728" s="4">
        <v>1002001</v>
      </c>
      <c r="B4728">
        <v>7123900</v>
      </c>
    </row>
    <row r="4729" spans="1:2" x14ac:dyDescent="0.4">
      <c r="A4729" s="4">
        <v>1002001</v>
      </c>
      <c r="B4729">
        <v>7124000</v>
      </c>
    </row>
    <row r="4730" spans="1:2" x14ac:dyDescent="0.4">
      <c r="A4730" s="4">
        <v>1002001</v>
      </c>
      <c r="B4730">
        <v>7124100</v>
      </c>
    </row>
    <row r="4731" spans="1:2" x14ac:dyDescent="0.4">
      <c r="A4731" s="4">
        <v>1002001</v>
      </c>
      <c r="B4731">
        <v>7124300</v>
      </c>
    </row>
    <row r="4732" spans="1:2" x14ac:dyDescent="0.4">
      <c r="A4732" s="4">
        <v>1002001</v>
      </c>
      <c r="B4732">
        <v>7124400</v>
      </c>
    </row>
    <row r="4733" spans="1:2" x14ac:dyDescent="0.4">
      <c r="A4733" s="4">
        <v>1002001</v>
      </c>
      <c r="B4733">
        <v>7124500</v>
      </c>
    </row>
    <row r="4734" spans="1:2" x14ac:dyDescent="0.4">
      <c r="A4734" s="4">
        <v>1002001</v>
      </c>
      <c r="B4734">
        <v>7124600</v>
      </c>
    </row>
    <row r="4735" spans="1:2" x14ac:dyDescent="0.4">
      <c r="A4735" s="4">
        <v>1002001</v>
      </c>
      <c r="B4735">
        <v>7124700</v>
      </c>
    </row>
    <row r="4736" spans="1:2" x14ac:dyDescent="0.4">
      <c r="A4736" s="4">
        <v>1002001</v>
      </c>
      <c r="B4736">
        <v>7126000</v>
      </c>
    </row>
    <row r="4737" spans="1:2" x14ac:dyDescent="0.4">
      <c r="A4737" s="4">
        <v>1002001</v>
      </c>
      <c r="B4737">
        <v>7150000</v>
      </c>
    </row>
    <row r="4738" spans="1:2" x14ac:dyDescent="0.4">
      <c r="A4738" s="4">
        <v>1002001</v>
      </c>
      <c r="B4738">
        <v>7160000</v>
      </c>
    </row>
    <row r="4739" spans="1:2" x14ac:dyDescent="0.4">
      <c r="A4739" s="4">
        <v>1002001</v>
      </c>
      <c r="B4739">
        <v>7220000</v>
      </c>
    </row>
    <row r="4740" spans="1:2" x14ac:dyDescent="0.4">
      <c r="A4740" s="4">
        <v>1002001</v>
      </c>
      <c r="B4740">
        <v>7230000</v>
      </c>
    </row>
    <row r="4741" spans="1:2" x14ac:dyDescent="0.4">
      <c r="A4741" s="4">
        <v>1002001</v>
      </c>
      <c r="B4741">
        <v>7240000</v>
      </c>
    </row>
    <row r="4742" spans="1:2" x14ac:dyDescent="0.4">
      <c r="A4742" s="4">
        <v>1002001</v>
      </c>
      <c r="B4742">
        <v>7260000</v>
      </c>
    </row>
    <row r="4743" spans="1:2" x14ac:dyDescent="0.4">
      <c r="A4743" s="4">
        <v>1002001</v>
      </c>
      <c r="B4743">
        <v>7260300</v>
      </c>
    </row>
    <row r="4744" spans="1:2" x14ac:dyDescent="0.4">
      <c r="A4744" s="4">
        <v>1002001</v>
      </c>
      <c r="B4744">
        <v>7260400</v>
      </c>
    </row>
    <row r="4745" spans="1:2" x14ac:dyDescent="0.4">
      <c r="A4745" s="4">
        <v>1002001</v>
      </c>
      <c r="B4745">
        <v>7270100</v>
      </c>
    </row>
    <row r="4746" spans="1:2" x14ac:dyDescent="0.4">
      <c r="A4746" s="4">
        <v>1002001</v>
      </c>
      <c r="B4746">
        <v>7280000</v>
      </c>
    </row>
    <row r="4747" spans="1:2" x14ac:dyDescent="0.4">
      <c r="A4747" s="4">
        <v>1002001</v>
      </c>
      <c r="B4747">
        <v>7290000</v>
      </c>
    </row>
    <row r="4748" spans="1:2" x14ac:dyDescent="0.4">
      <c r="A4748" s="4">
        <v>1002001</v>
      </c>
      <c r="B4748">
        <v>7310000</v>
      </c>
    </row>
    <row r="4749" spans="1:2" x14ac:dyDescent="0.4">
      <c r="A4749" s="4">
        <v>1002001</v>
      </c>
      <c r="B4749">
        <v>7330000</v>
      </c>
    </row>
    <row r="4750" spans="1:2" x14ac:dyDescent="0.4">
      <c r="A4750" s="4">
        <v>1002001</v>
      </c>
      <c r="B4750">
        <v>7330100</v>
      </c>
    </row>
    <row r="4751" spans="1:2" x14ac:dyDescent="0.4">
      <c r="A4751" s="4">
        <v>1002001</v>
      </c>
      <c r="B4751">
        <v>7330200</v>
      </c>
    </row>
    <row r="4752" spans="1:2" x14ac:dyDescent="0.4">
      <c r="A4752" s="4">
        <v>1002001</v>
      </c>
      <c r="B4752">
        <v>7330300</v>
      </c>
    </row>
    <row r="4753" spans="1:2" x14ac:dyDescent="0.4">
      <c r="A4753" s="4">
        <v>1002001</v>
      </c>
      <c r="B4753">
        <v>7330400</v>
      </c>
    </row>
    <row r="4754" spans="1:2" x14ac:dyDescent="0.4">
      <c r="A4754" s="4">
        <v>1002001</v>
      </c>
      <c r="B4754">
        <v>7330500</v>
      </c>
    </row>
    <row r="4755" spans="1:2" x14ac:dyDescent="0.4">
      <c r="A4755" s="4">
        <v>1002001</v>
      </c>
      <c r="B4755">
        <v>7330600</v>
      </c>
    </row>
    <row r="4756" spans="1:2" x14ac:dyDescent="0.4">
      <c r="A4756" s="4">
        <v>1002001</v>
      </c>
      <c r="B4756">
        <v>7330700</v>
      </c>
    </row>
    <row r="4757" spans="1:2" x14ac:dyDescent="0.4">
      <c r="A4757" s="4">
        <v>1002001</v>
      </c>
      <c r="B4757">
        <v>7330800</v>
      </c>
    </row>
    <row r="4758" spans="1:2" x14ac:dyDescent="0.4">
      <c r="A4758" s="4">
        <v>1002001</v>
      </c>
      <c r="B4758">
        <v>7330900</v>
      </c>
    </row>
    <row r="4759" spans="1:2" x14ac:dyDescent="0.4">
      <c r="A4759" s="4">
        <v>1002001</v>
      </c>
      <c r="B4759">
        <v>7331000</v>
      </c>
    </row>
    <row r="4760" spans="1:2" x14ac:dyDescent="0.4">
      <c r="A4760" s="4">
        <v>1002001</v>
      </c>
      <c r="B4760">
        <v>7331100</v>
      </c>
    </row>
    <row r="4761" spans="1:2" x14ac:dyDescent="0.4">
      <c r="A4761" s="4">
        <v>1002001</v>
      </c>
      <c r="B4761">
        <v>7331200</v>
      </c>
    </row>
    <row r="4762" spans="1:2" x14ac:dyDescent="0.4">
      <c r="A4762" s="4">
        <v>1002001</v>
      </c>
      <c r="B4762">
        <v>7331300</v>
      </c>
    </row>
    <row r="4763" spans="1:2" x14ac:dyDescent="0.4">
      <c r="A4763" s="4">
        <v>1002001</v>
      </c>
      <c r="B4763">
        <v>7331400</v>
      </c>
    </row>
    <row r="4764" spans="1:2" x14ac:dyDescent="0.4">
      <c r="A4764" s="4">
        <v>1002001</v>
      </c>
      <c r="B4764">
        <v>7331500</v>
      </c>
    </row>
    <row r="4765" spans="1:2" x14ac:dyDescent="0.4">
      <c r="A4765" s="4">
        <v>1002001</v>
      </c>
      <c r="B4765">
        <v>7331700</v>
      </c>
    </row>
    <row r="4766" spans="1:2" x14ac:dyDescent="0.4">
      <c r="A4766" s="4">
        <v>1002001</v>
      </c>
      <c r="B4766">
        <v>7331800</v>
      </c>
    </row>
    <row r="4767" spans="1:2" x14ac:dyDescent="0.4">
      <c r="A4767" s="4">
        <v>1002001</v>
      </c>
      <c r="B4767">
        <v>7331900</v>
      </c>
    </row>
    <row r="4768" spans="1:2" x14ac:dyDescent="0.4">
      <c r="A4768" s="4">
        <v>1002001</v>
      </c>
      <c r="B4768">
        <v>7332000</v>
      </c>
    </row>
    <row r="4769" spans="1:2" x14ac:dyDescent="0.4">
      <c r="A4769" s="4">
        <v>1002001</v>
      </c>
      <c r="B4769">
        <v>7332100</v>
      </c>
    </row>
    <row r="4770" spans="1:2" x14ac:dyDescent="0.4">
      <c r="A4770" s="4">
        <v>1002001</v>
      </c>
      <c r="B4770">
        <v>7332200</v>
      </c>
    </row>
    <row r="4771" spans="1:2" x14ac:dyDescent="0.4">
      <c r="A4771" s="4">
        <v>1002001</v>
      </c>
      <c r="B4771">
        <v>7332300</v>
      </c>
    </row>
    <row r="4772" spans="1:2" x14ac:dyDescent="0.4">
      <c r="A4772" s="4">
        <v>1002001</v>
      </c>
      <c r="B4772">
        <v>7332400</v>
      </c>
    </row>
    <row r="4773" spans="1:2" x14ac:dyDescent="0.4">
      <c r="A4773" s="4">
        <v>1002001</v>
      </c>
      <c r="B4773">
        <v>7340000</v>
      </c>
    </row>
    <row r="4774" spans="1:2" x14ac:dyDescent="0.4">
      <c r="A4774" s="4">
        <v>1002001</v>
      </c>
      <c r="B4774">
        <v>7340100</v>
      </c>
    </row>
    <row r="4775" spans="1:2" x14ac:dyDescent="0.4">
      <c r="A4775" s="4">
        <v>1002001</v>
      </c>
      <c r="B4775">
        <v>7340200</v>
      </c>
    </row>
    <row r="4776" spans="1:2" x14ac:dyDescent="0.4">
      <c r="A4776" s="4">
        <v>1002001</v>
      </c>
      <c r="B4776">
        <v>7340300</v>
      </c>
    </row>
    <row r="4777" spans="1:2" x14ac:dyDescent="0.4">
      <c r="A4777" s="4">
        <v>1002001</v>
      </c>
      <c r="B4777">
        <v>7340400</v>
      </c>
    </row>
    <row r="4778" spans="1:2" x14ac:dyDescent="0.4">
      <c r="A4778" s="4">
        <v>1002001</v>
      </c>
      <c r="B4778">
        <v>7340500</v>
      </c>
    </row>
    <row r="4779" spans="1:2" x14ac:dyDescent="0.4">
      <c r="A4779" s="4">
        <v>1002001</v>
      </c>
      <c r="B4779">
        <v>7340600</v>
      </c>
    </row>
    <row r="4780" spans="1:2" x14ac:dyDescent="0.4">
      <c r="A4780" s="4">
        <v>1002001</v>
      </c>
      <c r="B4780">
        <v>7340700</v>
      </c>
    </row>
    <row r="4781" spans="1:2" x14ac:dyDescent="0.4">
      <c r="A4781" s="4">
        <v>1002001</v>
      </c>
      <c r="B4781">
        <v>7340800</v>
      </c>
    </row>
    <row r="4782" spans="1:2" x14ac:dyDescent="0.4">
      <c r="A4782" s="4">
        <v>1002001</v>
      </c>
      <c r="B4782">
        <v>7340900</v>
      </c>
    </row>
    <row r="4783" spans="1:2" x14ac:dyDescent="0.4">
      <c r="A4783" s="4">
        <v>1002001</v>
      </c>
      <c r="B4783">
        <v>7341000</v>
      </c>
    </row>
    <row r="4784" spans="1:2" x14ac:dyDescent="0.4">
      <c r="A4784" s="4">
        <v>1002001</v>
      </c>
      <c r="B4784">
        <v>7341100</v>
      </c>
    </row>
    <row r="4785" spans="1:2" x14ac:dyDescent="0.4">
      <c r="A4785" s="4">
        <v>1002001</v>
      </c>
      <c r="B4785">
        <v>7341200</v>
      </c>
    </row>
    <row r="4786" spans="1:2" x14ac:dyDescent="0.4">
      <c r="A4786" s="4">
        <v>1002001</v>
      </c>
      <c r="B4786">
        <v>7341300</v>
      </c>
    </row>
    <row r="4787" spans="1:2" x14ac:dyDescent="0.4">
      <c r="A4787" s="4">
        <v>1002001</v>
      </c>
      <c r="B4787">
        <v>7341400</v>
      </c>
    </row>
    <row r="4788" spans="1:2" x14ac:dyDescent="0.4">
      <c r="A4788" s="4">
        <v>1002001</v>
      </c>
      <c r="B4788">
        <v>7341500</v>
      </c>
    </row>
    <row r="4789" spans="1:2" x14ac:dyDescent="0.4">
      <c r="A4789" s="4">
        <v>1002001</v>
      </c>
      <c r="B4789">
        <v>7341700</v>
      </c>
    </row>
    <row r="4790" spans="1:2" x14ac:dyDescent="0.4">
      <c r="A4790" s="4">
        <v>1002001</v>
      </c>
      <c r="B4790">
        <v>7341800</v>
      </c>
    </row>
    <row r="4791" spans="1:2" x14ac:dyDescent="0.4">
      <c r="A4791" s="4">
        <v>1002001</v>
      </c>
      <c r="B4791">
        <v>7341900</v>
      </c>
    </row>
    <row r="4792" spans="1:2" x14ac:dyDescent="0.4">
      <c r="A4792" s="4">
        <v>1002001</v>
      </c>
      <c r="B4792">
        <v>7342000</v>
      </c>
    </row>
    <row r="4793" spans="1:2" x14ac:dyDescent="0.4">
      <c r="A4793" s="4">
        <v>1002001</v>
      </c>
      <c r="B4793">
        <v>7342100</v>
      </c>
    </row>
    <row r="4794" spans="1:2" x14ac:dyDescent="0.4">
      <c r="A4794" s="4">
        <v>1002001</v>
      </c>
      <c r="B4794">
        <v>7342200</v>
      </c>
    </row>
    <row r="4795" spans="1:2" x14ac:dyDescent="0.4">
      <c r="A4795" s="4">
        <v>1002001</v>
      </c>
      <c r="B4795">
        <v>7342300</v>
      </c>
    </row>
    <row r="4796" spans="1:2" x14ac:dyDescent="0.4">
      <c r="A4796" s="4">
        <v>1002001</v>
      </c>
      <c r="B4796">
        <v>7342400</v>
      </c>
    </row>
    <row r="4797" spans="1:2" x14ac:dyDescent="0.4">
      <c r="A4797" s="4">
        <v>1002001</v>
      </c>
      <c r="B4797">
        <v>7350000</v>
      </c>
    </row>
    <row r="4798" spans="1:2" x14ac:dyDescent="0.4">
      <c r="A4798" s="4">
        <v>1002001</v>
      </c>
      <c r="B4798">
        <v>7350100</v>
      </c>
    </row>
    <row r="4799" spans="1:2" x14ac:dyDescent="0.4">
      <c r="A4799" s="4">
        <v>1002001</v>
      </c>
      <c r="B4799">
        <v>7350200</v>
      </c>
    </row>
    <row r="4800" spans="1:2" x14ac:dyDescent="0.4">
      <c r="A4800" s="4">
        <v>1002001</v>
      </c>
      <c r="B4800">
        <v>7350300</v>
      </c>
    </row>
    <row r="4801" spans="1:2" x14ac:dyDescent="0.4">
      <c r="A4801" s="4">
        <v>1002001</v>
      </c>
      <c r="B4801">
        <v>7350400</v>
      </c>
    </row>
    <row r="4802" spans="1:2" x14ac:dyDescent="0.4">
      <c r="A4802" s="4">
        <v>1002001</v>
      </c>
      <c r="B4802">
        <v>7350500</v>
      </c>
    </row>
    <row r="4803" spans="1:2" x14ac:dyDescent="0.4">
      <c r="A4803" s="4">
        <v>1002001</v>
      </c>
      <c r="B4803">
        <v>7350600</v>
      </c>
    </row>
    <row r="4804" spans="1:2" x14ac:dyDescent="0.4">
      <c r="A4804" s="4">
        <v>1002001</v>
      </c>
      <c r="B4804">
        <v>7350700</v>
      </c>
    </row>
    <row r="4805" spans="1:2" x14ac:dyDescent="0.4">
      <c r="A4805" s="4">
        <v>1002001</v>
      </c>
      <c r="B4805">
        <v>7350800</v>
      </c>
    </row>
    <row r="4806" spans="1:2" x14ac:dyDescent="0.4">
      <c r="A4806" s="4">
        <v>1002001</v>
      </c>
      <c r="B4806">
        <v>7350900</v>
      </c>
    </row>
    <row r="4807" spans="1:2" x14ac:dyDescent="0.4">
      <c r="A4807" s="4">
        <v>1002001</v>
      </c>
      <c r="B4807">
        <v>7351000</v>
      </c>
    </row>
    <row r="4808" spans="1:2" x14ac:dyDescent="0.4">
      <c r="A4808" s="4">
        <v>1002001</v>
      </c>
      <c r="B4808">
        <v>7351100</v>
      </c>
    </row>
    <row r="4809" spans="1:2" x14ac:dyDescent="0.4">
      <c r="A4809" s="4">
        <v>1002001</v>
      </c>
      <c r="B4809">
        <v>7351200</v>
      </c>
    </row>
    <row r="4810" spans="1:2" x14ac:dyDescent="0.4">
      <c r="A4810" s="4">
        <v>1002001</v>
      </c>
      <c r="B4810">
        <v>7351300</v>
      </c>
    </row>
    <row r="4811" spans="1:2" x14ac:dyDescent="0.4">
      <c r="A4811" s="4">
        <v>1002001</v>
      </c>
      <c r="B4811">
        <v>7351400</v>
      </c>
    </row>
    <row r="4812" spans="1:2" x14ac:dyDescent="0.4">
      <c r="A4812" s="4">
        <v>1002001</v>
      </c>
      <c r="B4812">
        <v>7351500</v>
      </c>
    </row>
    <row r="4813" spans="1:2" x14ac:dyDescent="0.4">
      <c r="A4813" s="4">
        <v>1002001</v>
      </c>
      <c r="B4813">
        <v>7351700</v>
      </c>
    </row>
    <row r="4814" spans="1:2" x14ac:dyDescent="0.4">
      <c r="A4814" s="4">
        <v>1002001</v>
      </c>
      <c r="B4814">
        <v>7351800</v>
      </c>
    </row>
    <row r="4815" spans="1:2" x14ac:dyDescent="0.4">
      <c r="A4815" s="4">
        <v>1002001</v>
      </c>
      <c r="B4815">
        <v>7351900</v>
      </c>
    </row>
    <row r="4816" spans="1:2" x14ac:dyDescent="0.4">
      <c r="A4816" s="4">
        <v>1002001</v>
      </c>
      <c r="B4816">
        <v>7352000</v>
      </c>
    </row>
    <row r="4817" spans="1:2" x14ac:dyDescent="0.4">
      <c r="A4817" s="4">
        <v>1002001</v>
      </c>
      <c r="B4817">
        <v>7352100</v>
      </c>
    </row>
    <row r="4818" spans="1:2" x14ac:dyDescent="0.4">
      <c r="A4818" s="4">
        <v>1002001</v>
      </c>
      <c r="B4818">
        <v>7352200</v>
      </c>
    </row>
    <row r="4819" spans="1:2" x14ac:dyDescent="0.4">
      <c r="A4819" s="4">
        <v>1002001</v>
      </c>
      <c r="B4819">
        <v>7352300</v>
      </c>
    </row>
    <row r="4820" spans="1:2" x14ac:dyDescent="0.4">
      <c r="A4820" s="4">
        <v>1002001</v>
      </c>
      <c r="B4820">
        <v>7352400</v>
      </c>
    </row>
    <row r="4821" spans="1:2" x14ac:dyDescent="0.4">
      <c r="A4821" s="4">
        <v>1002001</v>
      </c>
      <c r="B4821">
        <v>7360600</v>
      </c>
    </row>
    <row r="4822" spans="1:2" x14ac:dyDescent="0.4">
      <c r="A4822" s="4">
        <v>1002001</v>
      </c>
      <c r="B4822">
        <v>7360900</v>
      </c>
    </row>
    <row r="4823" spans="1:2" x14ac:dyDescent="0.4">
      <c r="A4823" s="4">
        <v>1002001</v>
      </c>
      <c r="B4823">
        <v>7361200</v>
      </c>
    </row>
    <row r="4824" spans="1:2" x14ac:dyDescent="0.4">
      <c r="A4824" s="4">
        <v>1002001</v>
      </c>
      <c r="B4824">
        <v>7361300</v>
      </c>
    </row>
    <row r="4825" spans="1:2" x14ac:dyDescent="0.4">
      <c r="A4825" s="4">
        <v>1002001</v>
      </c>
      <c r="B4825">
        <v>7362100</v>
      </c>
    </row>
    <row r="4826" spans="1:2" x14ac:dyDescent="0.4">
      <c r="A4826" s="4">
        <v>1002001</v>
      </c>
      <c r="B4826">
        <v>7370300</v>
      </c>
    </row>
    <row r="4827" spans="1:2" x14ac:dyDescent="0.4">
      <c r="A4827" s="4">
        <v>1002001</v>
      </c>
      <c r="B4827">
        <v>7370400</v>
      </c>
    </row>
    <row r="4828" spans="1:2" x14ac:dyDescent="0.4">
      <c r="A4828" s="4">
        <v>1002001</v>
      </c>
      <c r="B4828">
        <v>7370600</v>
      </c>
    </row>
    <row r="4829" spans="1:2" x14ac:dyDescent="0.4">
      <c r="A4829" s="4">
        <v>1002001</v>
      </c>
      <c r="B4829">
        <v>7370900</v>
      </c>
    </row>
    <row r="4830" spans="1:2" x14ac:dyDescent="0.4">
      <c r="A4830" s="4">
        <v>1002001</v>
      </c>
      <c r="B4830">
        <v>7371500</v>
      </c>
    </row>
    <row r="4831" spans="1:2" x14ac:dyDescent="0.4">
      <c r="A4831" s="4">
        <v>1002001</v>
      </c>
      <c r="B4831">
        <v>7036200</v>
      </c>
    </row>
    <row r="4832" spans="1:2" x14ac:dyDescent="0.4">
      <c r="A4832" s="4">
        <v>1002001</v>
      </c>
      <c r="B4832">
        <v>7036300</v>
      </c>
    </row>
    <row r="4833" spans="1:2" x14ac:dyDescent="0.4">
      <c r="A4833" s="4">
        <v>1002001</v>
      </c>
      <c r="B4833">
        <v>7036400</v>
      </c>
    </row>
    <row r="4834" spans="1:2" x14ac:dyDescent="0.4">
      <c r="A4834" s="4">
        <v>1002001</v>
      </c>
      <c r="B4834">
        <v>7036500</v>
      </c>
    </row>
    <row r="4835" spans="1:2" x14ac:dyDescent="0.4">
      <c r="A4835" s="4">
        <v>1002001</v>
      </c>
      <c r="B4835">
        <v>7036800</v>
      </c>
    </row>
    <row r="4836" spans="1:2" x14ac:dyDescent="0.4">
      <c r="A4836" s="4">
        <v>1002001</v>
      </c>
      <c r="B4836">
        <v>7036900</v>
      </c>
    </row>
    <row r="4837" spans="1:2" x14ac:dyDescent="0.4">
      <c r="A4837" s="4">
        <v>1002001</v>
      </c>
      <c r="B4837">
        <v>7037000</v>
      </c>
    </row>
    <row r="4838" spans="1:2" x14ac:dyDescent="0.4">
      <c r="A4838" s="4">
        <v>1002001</v>
      </c>
      <c r="B4838">
        <v>7037300</v>
      </c>
    </row>
    <row r="4839" spans="1:2" x14ac:dyDescent="0.4">
      <c r="A4839" s="4">
        <v>1002001</v>
      </c>
      <c r="B4839">
        <v>6630000</v>
      </c>
    </row>
    <row r="4840" spans="1:2" x14ac:dyDescent="0.4">
      <c r="A4840" s="4">
        <v>1002001</v>
      </c>
      <c r="B4840">
        <v>6630100</v>
      </c>
    </row>
    <row r="4841" spans="1:2" x14ac:dyDescent="0.4">
      <c r="A4841" s="4">
        <v>1002001</v>
      </c>
      <c r="B4841">
        <v>6630200</v>
      </c>
    </row>
    <row r="4842" spans="1:2" x14ac:dyDescent="0.4">
      <c r="A4842" s="4">
        <v>1002001</v>
      </c>
      <c r="B4842">
        <v>6630300</v>
      </c>
    </row>
    <row r="4843" spans="1:2" x14ac:dyDescent="0.4">
      <c r="A4843" s="4">
        <v>1002001</v>
      </c>
      <c r="B4843">
        <v>6630400</v>
      </c>
    </row>
    <row r="4844" spans="1:2" x14ac:dyDescent="0.4">
      <c r="A4844" s="4">
        <v>1002001</v>
      </c>
      <c r="B4844">
        <v>6630500</v>
      </c>
    </row>
    <row r="4845" spans="1:2" x14ac:dyDescent="0.4">
      <c r="A4845" s="4">
        <v>1002001</v>
      </c>
      <c r="B4845">
        <v>6630600</v>
      </c>
    </row>
    <row r="4846" spans="1:2" x14ac:dyDescent="0.4">
      <c r="A4846" s="4">
        <v>1002001</v>
      </c>
      <c r="B4846">
        <v>6630700</v>
      </c>
    </row>
    <row r="4847" spans="1:2" x14ac:dyDescent="0.4">
      <c r="A4847" s="4">
        <v>1002001</v>
      </c>
      <c r="B4847">
        <v>6630800</v>
      </c>
    </row>
    <row r="4848" spans="1:2" x14ac:dyDescent="0.4">
      <c r="A4848" s="4">
        <v>1002001</v>
      </c>
      <c r="B4848">
        <v>6630900</v>
      </c>
    </row>
    <row r="4849" spans="1:2" x14ac:dyDescent="0.4">
      <c r="A4849" s="4">
        <v>1002001</v>
      </c>
      <c r="B4849">
        <v>6631000</v>
      </c>
    </row>
    <row r="4850" spans="1:2" x14ac:dyDescent="0.4">
      <c r="A4850" s="4">
        <v>1002001</v>
      </c>
      <c r="B4850">
        <v>6631100</v>
      </c>
    </row>
    <row r="4851" spans="1:2" x14ac:dyDescent="0.4">
      <c r="A4851" s="4">
        <v>1002001</v>
      </c>
      <c r="B4851">
        <v>6631200</v>
      </c>
    </row>
    <row r="4852" spans="1:2" x14ac:dyDescent="0.4">
      <c r="A4852" s="4">
        <v>1002001</v>
      </c>
      <c r="B4852">
        <v>6631300</v>
      </c>
    </row>
    <row r="4853" spans="1:2" x14ac:dyDescent="0.4">
      <c r="A4853" s="4">
        <v>1002001</v>
      </c>
      <c r="B4853">
        <v>6631400</v>
      </c>
    </row>
    <row r="4854" spans="1:2" x14ac:dyDescent="0.4">
      <c r="A4854" s="4">
        <v>1002001</v>
      </c>
      <c r="B4854">
        <v>6631500</v>
      </c>
    </row>
    <row r="4855" spans="1:2" x14ac:dyDescent="0.4">
      <c r="A4855" s="4">
        <v>1002001</v>
      </c>
      <c r="B4855">
        <v>6631600</v>
      </c>
    </row>
    <row r="4856" spans="1:2" x14ac:dyDescent="0.4">
      <c r="A4856" s="4">
        <v>1002001</v>
      </c>
      <c r="B4856">
        <v>6631700</v>
      </c>
    </row>
    <row r="4857" spans="1:2" x14ac:dyDescent="0.4">
      <c r="A4857" s="4">
        <v>1002001</v>
      </c>
      <c r="B4857">
        <v>6631800</v>
      </c>
    </row>
    <row r="4858" spans="1:2" x14ac:dyDescent="0.4">
      <c r="A4858" s="4">
        <v>1002001</v>
      </c>
      <c r="B4858">
        <v>6631900</v>
      </c>
    </row>
    <row r="4859" spans="1:2" x14ac:dyDescent="0.4">
      <c r="A4859" s="4">
        <v>1002001</v>
      </c>
      <c r="B4859">
        <v>6632000</v>
      </c>
    </row>
    <row r="4860" spans="1:2" x14ac:dyDescent="0.4">
      <c r="A4860" s="4">
        <v>1002001</v>
      </c>
      <c r="B4860">
        <v>6632100</v>
      </c>
    </row>
    <row r="4861" spans="1:2" x14ac:dyDescent="0.4">
      <c r="A4861" s="4">
        <v>1002001</v>
      </c>
      <c r="B4861">
        <v>6632200</v>
      </c>
    </row>
    <row r="4862" spans="1:2" x14ac:dyDescent="0.4">
      <c r="A4862" s="4">
        <v>1002001</v>
      </c>
      <c r="B4862">
        <v>6632300</v>
      </c>
    </row>
    <row r="4863" spans="1:2" x14ac:dyDescent="0.4">
      <c r="A4863" s="4">
        <v>1002001</v>
      </c>
      <c r="B4863">
        <v>6632400</v>
      </c>
    </row>
    <row r="4864" spans="1:2" x14ac:dyDescent="0.4">
      <c r="A4864" s="4">
        <v>1002001</v>
      </c>
      <c r="B4864">
        <v>6632500</v>
      </c>
    </row>
    <row r="4865" spans="1:2" x14ac:dyDescent="0.4">
      <c r="A4865" s="4">
        <v>1002001</v>
      </c>
      <c r="B4865">
        <v>6632600</v>
      </c>
    </row>
    <row r="4866" spans="1:2" x14ac:dyDescent="0.4">
      <c r="A4866" s="4">
        <v>1002001</v>
      </c>
      <c r="B4866">
        <v>6632700</v>
      </c>
    </row>
    <row r="4867" spans="1:2" x14ac:dyDescent="0.4">
      <c r="A4867" s="4">
        <v>1002001</v>
      </c>
      <c r="B4867">
        <v>6632800</v>
      </c>
    </row>
    <row r="4868" spans="1:2" x14ac:dyDescent="0.4">
      <c r="A4868" s="4">
        <v>1002001</v>
      </c>
      <c r="B4868">
        <v>6632900</v>
      </c>
    </row>
    <row r="4869" spans="1:2" x14ac:dyDescent="0.4">
      <c r="A4869" s="4">
        <v>1002001</v>
      </c>
      <c r="B4869">
        <v>6633000</v>
      </c>
    </row>
    <row r="4870" spans="1:2" x14ac:dyDescent="0.4">
      <c r="A4870" s="4">
        <v>1002001</v>
      </c>
      <c r="B4870">
        <v>6633100</v>
      </c>
    </row>
    <row r="4871" spans="1:2" x14ac:dyDescent="0.4">
      <c r="A4871" s="4">
        <v>1002001</v>
      </c>
      <c r="B4871">
        <v>6633200</v>
      </c>
    </row>
    <row r="4872" spans="1:2" x14ac:dyDescent="0.4">
      <c r="A4872" s="4">
        <v>1002001</v>
      </c>
      <c r="B4872">
        <v>6647200</v>
      </c>
    </row>
    <row r="4873" spans="1:2" x14ac:dyDescent="0.4">
      <c r="A4873" s="4">
        <v>1002001</v>
      </c>
      <c r="B4873">
        <v>6647300</v>
      </c>
    </row>
    <row r="4874" spans="1:2" x14ac:dyDescent="0.4">
      <c r="A4874" s="4">
        <v>1002001</v>
      </c>
      <c r="B4874">
        <v>6647400</v>
      </c>
    </row>
    <row r="4875" spans="1:2" x14ac:dyDescent="0.4">
      <c r="A4875" s="4">
        <v>1002001</v>
      </c>
      <c r="B4875">
        <v>6647500</v>
      </c>
    </row>
    <row r="4876" spans="1:2" x14ac:dyDescent="0.4">
      <c r="A4876" s="4">
        <v>1002001</v>
      </c>
      <c r="B4876">
        <v>6640000</v>
      </c>
    </row>
    <row r="4877" spans="1:2" x14ac:dyDescent="0.4">
      <c r="A4877" s="4">
        <v>1002001</v>
      </c>
      <c r="B4877">
        <v>6640100</v>
      </c>
    </row>
    <row r="4878" spans="1:2" x14ac:dyDescent="0.4">
      <c r="A4878" s="4">
        <v>1002001</v>
      </c>
      <c r="B4878">
        <v>6641000</v>
      </c>
    </row>
    <row r="4879" spans="1:2" x14ac:dyDescent="0.4">
      <c r="A4879" s="4">
        <v>1002001</v>
      </c>
      <c r="B4879">
        <v>6641100</v>
      </c>
    </row>
    <row r="4880" spans="1:2" x14ac:dyDescent="0.4">
      <c r="A4880" s="4">
        <v>1002001</v>
      </c>
      <c r="B4880">
        <v>6642000</v>
      </c>
    </row>
    <row r="4881" spans="1:2" x14ac:dyDescent="0.4">
      <c r="A4881" s="4">
        <v>1002001</v>
      </c>
      <c r="B4881">
        <v>6642100</v>
      </c>
    </row>
    <row r="4882" spans="1:2" x14ac:dyDescent="0.4">
      <c r="A4882" s="4">
        <v>1002001</v>
      </c>
      <c r="B4882">
        <v>6643000</v>
      </c>
    </row>
    <row r="4883" spans="1:2" x14ac:dyDescent="0.4">
      <c r="A4883" s="4">
        <v>1002001</v>
      </c>
      <c r="B4883">
        <v>6643100</v>
      </c>
    </row>
    <row r="4884" spans="1:2" x14ac:dyDescent="0.4">
      <c r="A4884" s="4">
        <v>1002001</v>
      </c>
      <c r="B4884">
        <v>6644000</v>
      </c>
    </row>
    <row r="4885" spans="1:2" x14ac:dyDescent="0.4">
      <c r="A4885" s="4">
        <v>1002001</v>
      </c>
      <c r="B4885">
        <v>6644100</v>
      </c>
    </row>
    <row r="4886" spans="1:2" x14ac:dyDescent="0.4">
      <c r="A4886" s="4">
        <v>1002001</v>
      </c>
      <c r="B4886">
        <v>6645000</v>
      </c>
    </row>
    <row r="4887" spans="1:2" x14ac:dyDescent="0.4">
      <c r="A4887" s="4">
        <v>1002001</v>
      </c>
      <c r="B4887">
        <v>6645100</v>
      </c>
    </row>
    <row r="4888" spans="1:2" x14ac:dyDescent="0.4">
      <c r="A4888" s="4">
        <v>1002001</v>
      </c>
      <c r="B4888">
        <v>6646000</v>
      </c>
    </row>
    <row r="4889" spans="1:2" x14ac:dyDescent="0.4">
      <c r="A4889" s="4">
        <v>1002001</v>
      </c>
      <c r="B4889">
        <v>6646100</v>
      </c>
    </row>
    <row r="4890" spans="1:2" x14ac:dyDescent="0.4">
      <c r="A4890" s="4">
        <v>1002001</v>
      </c>
      <c r="B4890">
        <v>6647000</v>
      </c>
    </row>
    <row r="4891" spans="1:2" x14ac:dyDescent="0.4">
      <c r="A4891" s="4">
        <v>1002001</v>
      </c>
      <c r="B4891">
        <v>6647100</v>
      </c>
    </row>
    <row r="4892" spans="1:2" x14ac:dyDescent="0.4">
      <c r="A4892" s="4">
        <v>1002002</v>
      </c>
      <c r="B4892">
        <v>7000000</v>
      </c>
    </row>
    <row r="4893" spans="1:2" x14ac:dyDescent="0.4">
      <c r="A4893" s="4">
        <v>1002002</v>
      </c>
      <c r="B4893">
        <v>7000001</v>
      </c>
    </row>
    <row r="4894" spans="1:2" x14ac:dyDescent="0.4">
      <c r="A4894" s="4">
        <v>1002002</v>
      </c>
      <c r="B4894">
        <v>7000002</v>
      </c>
    </row>
    <row r="4895" spans="1:2" x14ac:dyDescent="0.4">
      <c r="A4895" s="4">
        <v>1002002</v>
      </c>
      <c r="B4895">
        <v>7000100</v>
      </c>
    </row>
    <row r="4896" spans="1:2" x14ac:dyDescent="0.4">
      <c r="A4896" s="4">
        <v>1002002</v>
      </c>
      <c r="B4896">
        <v>7000101</v>
      </c>
    </row>
    <row r="4897" spans="1:2" x14ac:dyDescent="0.4">
      <c r="A4897" s="4">
        <v>1002002</v>
      </c>
      <c r="B4897">
        <v>7000102</v>
      </c>
    </row>
    <row r="4898" spans="1:2" x14ac:dyDescent="0.4">
      <c r="A4898" s="4">
        <v>1002002</v>
      </c>
      <c r="B4898">
        <v>7000200</v>
      </c>
    </row>
    <row r="4899" spans="1:2" x14ac:dyDescent="0.4">
      <c r="A4899" s="4">
        <v>1002002</v>
      </c>
      <c r="B4899">
        <v>7000201</v>
      </c>
    </row>
    <row r="4900" spans="1:2" x14ac:dyDescent="0.4">
      <c r="A4900" s="4">
        <v>1002002</v>
      </c>
      <c r="B4900">
        <v>7000202</v>
      </c>
    </row>
    <row r="4901" spans="1:2" x14ac:dyDescent="0.4">
      <c r="A4901" s="4">
        <v>1002002</v>
      </c>
      <c r="B4901">
        <v>7000300</v>
      </c>
    </row>
    <row r="4902" spans="1:2" x14ac:dyDescent="0.4">
      <c r="A4902" s="4">
        <v>1002002</v>
      </c>
      <c r="B4902">
        <v>7000301</v>
      </c>
    </row>
    <row r="4903" spans="1:2" x14ac:dyDescent="0.4">
      <c r="A4903" s="4">
        <v>1002002</v>
      </c>
      <c r="B4903">
        <v>7000302</v>
      </c>
    </row>
    <row r="4904" spans="1:2" x14ac:dyDescent="0.4">
      <c r="A4904" s="4">
        <v>1002002</v>
      </c>
      <c r="B4904">
        <v>7000400</v>
      </c>
    </row>
    <row r="4905" spans="1:2" x14ac:dyDescent="0.4">
      <c r="A4905" s="4">
        <v>1002002</v>
      </c>
      <c r="B4905">
        <v>7000401</v>
      </c>
    </row>
    <row r="4906" spans="1:2" x14ac:dyDescent="0.4">
      <c r="A4906" s="4">
        <v>1002002</v>
      </c>
      <c r="B4906">
        <v>7000402</v>
      </c>
    </row>
    <row r="4907" spans="1:2" x14ac:dyDescent="0.4">
      <c r="A4907" s="4">
        <v>1002002</v>
      </c>
      <c r="B4907">
        <v>7000500</v>
      </c>
    </row>
    <row r="4908" spans="1:2" x14ac:dyDescent="0.4">
      <c r="A4908" s="4">
        <v>1002002</v>
      </c>
      <c r="B4908">
        <v>7000501</v>
      </c>
    </row>
    <row r="4909" spans="1:2" x14ac:dyDescent="0.4">
      <c r="A4909" s="4">
        <v>1002002</v>
      </c>
      <c r="B4909">
        <v>7000502</v>
      </c>
    </row>
    <row r="4910" spans="1:2" x14ac:dyDescent="0.4">
      <c r="A4910" s="4">
        <v>1002002</v>
      </c>
      <c r="B4910">
        <v>7000600</v>
      </c>
    </row>
    <row r="4911" spans="1:2" x14ac:dyDescent="0.4">
      <c r="A4911" s="4">
        <v>1002002</v>
      </c>
      <c r="B4911">
        <v>7000601</v>
      </c>
    </row>
    <row r="4912" spans="1:2" x14ac:dyDescent="0.4">
      <c r="A4912" s="4">
        <v>1002002</v>
      </c>
      <c r="B4912">
        <v>7000602</v>
      </c>
    </row>
    <row r="4913" spans="1:2" x14ac:dyDescent="0.4">
      <c r="A4913" s="4">
        <v>1002002</v>
      </c>
      <c r="B4913">
        <v>7000700</v>
      </c>
    </row>
    <row r="4914" spans="1:2" x14ac:dyDescent="0.4">
      <c r="A4914" s="4">
        <v>1002002</v>
      </c>
      <c r="B4914">
        <v>7000701</v>
      </c>
    </row>
    <row r="4915" spans="1:2" x14ac:dyDescent="0.4">
      <c r="A4915" s="4">
        <v>1002002</v>
      </c>
      <c r="B4915">
        <v>7000702</v>
      </c>
    </row>
    <row r="4916" spans="1:2" x14ac:dyDescent="0.4">
      <c r="A4916" s="4">
        <v>1002002</v>
      </c>
      <c r="B4916">
        <v>7000800</v>
      </c>
    </row>
    <row r="4917" spans="1:2" x14ac:dyDescent="0.4">
      <c r="A4917" s="4">
        <v>1002002</v>
      </c>
      <c r="B4917">
        <v>7000801</v>
      </c>
    </row>
    <row r="4918" spans="1:2" x14ac:dyDescent="0.4">
      <c r="A4918" s="4">
        <v>1002002</v>
      </c>
      <c r="B4918">
        <v>7000802</v>
      </c>
    </row>
    <row r="4919" spans="1:2" x14ac:dyDescent="0.4">
      <c r="A4919" s="4">
        <v>1002002</v>
      </c>
      <c r="B4919">
        <v>7000900</v>
      </c>
    </row>
    <row r="4920" spans="1:2" x14ac:dyDescent="0.4">
      <c r="A4920" s="4">
        <v>1002002</v>
      </c>
      <c r="B4920">
        <v>7000901</v>
      </c>
    </row>
    <row r="4921" spans="1:2" x14ac:dyDescent="0.4">
      <c r="A4921" s="4">
        <v>1002002</v>
      </c>
      <c r="B4921">
        <v>7000902</v>
      </c>
    </row>
    <row r="4922" spans="1:2" x14ac:dyDescent="0.4">
      <c r="A4922" s="4">
        <v>1002002</v>
      </c>
      <c r="B4922">
        <v>7001000</v>
      </c>
    </row>
    <row r="4923" spans="1:2" x14ac:dyDescent="0.4">
      <c r="A4923" s="4">
        <v>1002002</v>
      </c>
      <c r="B4923">
        <v>7001001</v>
      </c>
    </row>
    <row r="4924" spans="1:2" x14ac:dyDescent="0.4">
      <c r="A4924" s="4">
        <v>1002002</v>
      </c>
      <c r="B4924">
        <v>7001002</v>
      </c>
    </row>
    <row r="4925" spans="1:2" x14ac:dyDescent="0.4">
      <c r="A4925" s="4">
        <v>1002002</v>
      </c>
      <c r="B4925">
        <v>7001400</v>
      </c>
    </row>
    <row r="4926" spans="1:2" x14ac:dyDescent="0.4">
      <c r="A4926" s="4">
        <v>1002002</v>
      </c>
      <c r="B4926">
        <v>7001401</v>
      </c>
    </row>
    <row r="4927" spans="1:2" x14ac:dyDescent="0.4">
      <c r="A4927" s="4">
        <v>1002002</v>
      </c>
      <c r="B4927">
        <v>7001402</v>
      </c>
    </row>
    <row r="4928" spans="1:2" x14ac:dyDescent="0.4">
      <c r="A4928" s="4">
        <v>1002002</v>
      </c>
      <c r="B4928">
        <v>7001500</v>
      </c>
    </row>
    <row r="4929" spans="1:2" x14ac:dyDescent="0.4">
      <c r="A4929" s="4">
        <v>1002002</v>
      </c>
      <c r="B4929">
        <v>7001501</v>
      </c>
    </row>
    <row r="4930" spans="1:2" x14ac:dyDescent="0.4">
      <c r="A4930" s="4">
        <v>1002002</v>
      </c>
      <c r="B4930">
        <v>7001502</v>
      </c>
    </row>
    <row r="4931" spans="1:2" x14ac:dyDescent="0.4">
      <c r="A4931" s="4">
        <v>1002002</v>
      </c>
      <c r="B4931">
        <v>7001600</v>
      </c>
    </row>
    <row r="4932" spans="1:2" x14ac:dyDescent="0.4">
      <c r="A4932" s="4">
        <v>1002002</v>
      </c>
      <c r="B4932">
        <v>7001601</v>
      </c>
    </row>
    <row r="4933" spans="1:2" x14ac:dyDescent="0.4">
      <c r="A4933" s="4">
        <v>1002002</v>
      </c>
      <c r="B4933">
        <v>7001602</v>
      </c>
    </row>
    <row r="4934" spans="1:2" x14ac:dyDescent="0.4">
      <c r="A4934" s="4">
        <v>1002002</v>
      </c>
      <c r="B4934">
        <v>7001700</v>
      </c>
    </row>
    <row r="4935" spans="1:2" x14ac:dyDescent="0.4">
      <c r="A4935" s="4">
        <v>1002002</v>
      </c>
      <c r="B4935">
        <v>7001701</v>
      </c>
    </row>
    <row r="4936" spans="1:2" x14ac:dyDescent="0.4">
      <c r="A4936" s="4">
        <v>1002002</v>
      </c>
      <c r="B4936">
        <v>7001702</v>
      </c>
    </row>
    <row r="4937" spans="1:2" x14ac:dyDescent="0.4">
      <c r="A4937" s="4">
        <v>1002002</v>
      </c>
      <c r="B4937">
        <v>7001800</v>
      </c>
    </row>
    <row r="4938" spans="1:2" x14ac:dyDescent="0.4">
      <c r="A4938" s="4">
        <v>1002002</v>
      </c>
      <c r="B4938">
        <v>7001801</v>
      </c>
    </row>
    <row r="4939" spans="1:2" x14ac:dyDescent="0.4">
      <c r="A4939" s="4">
        <v>1002002</v>
      </c>
      <c r="B4939">
        <v>7001802</v>
      </c>
    </row>
    <row r="4940" spans="1:2" x14ac:dyDescent="0.4">
      <c r="A4940" s="4">
        <v>1002002</v>
      </c>
      <c r="B4940">
        <v>7002600</v>
      </c>
    </row>
    <row r="4941" spans="1:2" x14ac:dyDescent="0.4">
      <c r="A4941" s="4">
        <v>1002002</v>
      </c>
      <c r="B4941">
        <v>7002700</v>
      </c>
    </row>
    <row r="4942" spans="1:2" x14ac:dyDescent="0.4">
      <c r="A4942" s="4">
        <v>1002002</v>
      </c>
      <c r="B4942">
        <v>7002800</v>
      </c>
    </row>
    <row r="4943" spans="1:2" x14ac:dyDescent="0.4">
      <c r="A4943" s="4">
        <v>1002002</v>
      </c>
      <c r="B4943">
        <v>7002900</v>
      </c>
    </row>
    <row r="4944" spans="1:2" x14ac:dyDescent="0.4">
      <c r="A4944" s="4">
        <v>1002002</v>
      </c>
      <c r="B4944">
        <v>7003000</v>
      </c>
    </row>
    <row r="4945" spans="1:2" x14ac:dyDescent="0.4">
      <c r="A4945" s="4">
        <v>1002002</v>
      </c>
      <c r="B4945">
        <v>7003100</v>
      </c>
    </row>
    <row r="4946" spans="1:2" x14ac:dyDescent="0.4">
      <c r="A4946" s="4">
        <v>1002002</v>
      </c>
      <c r="B4946">
        <v>7003200</v>
      </c>
    </row>
    <row r="4947" spans="1:2" x14ac:dyDescent="0.4">
      <c r="A4947" s="4">
        <v>1002002</v>
      </c>
      <c r="B4947">
        <v>7003300</v>
      </c>
    </row>
    <row r="4948" spans="1:2" x14ac:dyDescent="0.4">
      <c r="A4948" s="4">
        <v>1002002</v>
      </c>
      <c r="B4948">
        <v>7003400</v>
      </c>
    </row>
    <row r="4949" spans="1:2" x14ac:dyDescent="0.4">
      <c r="A4949" s="4">
        <v>1002002</v>
      </c>
      <c r="B4949">
        <v>7003500</v>
      </c>
    </row>
    <row r="4950" spans="1:2" x14ac:dyDescent="0.4">
      <c r="A4950" s="4">
        <v>1002002</v>
      </c>
      <c r="B4950">
        <v>7003600</v>
      </c>
    </row>
    <row r="4951" spans="1:2" x14ac:dyDescent="0.4">
      <c r="A4951" s="4">
        <v>1002002</v>
      </c>
      <c r="B4951">
        <v>7005600</v>
      </c>
    </row>
    <row r="4952" spans="1:2" x14ac:dyDescent="0.4">
      <c r="A4952" s="4">
        <v>1002002</v>
      </c>
      <c r="B4952">
        <v>7006000</v>
      </c>
    </row>
    <row r="4953" spans="1:2" x14ac:dyDescent="0.4">
      <c r="A4953" s="4">
        <v>1002002</v>
      </c>
      <c r="B4953">
        <v>7006100</v>
      </c>
    </row>
    <row r="4954" spans="1:2" x14ac:dyDescent="0.4">
      <c r="A4954" s="4">
        <v>1002002</v>
      </c>
      <c r="B4954">
        <v>7010200</v>
      </c>
    </row>
    <row r="4955" spans="1:2" x14ac:dyDescent="0.4">
      <c r="A4955" s="4">
        <v>1002002</v>
      </c>
      <c r="B4955">
        <v>7010500</v>
      </c>
    </row>
    <row r="4956" spans="1:2" x14ac:dyDescent="0.4">
      <c r="A4956" s="4">
        <v>1002002</v>
      </c>
      <c r="B4956">
        <v>7010700</v>
      </c>
    </row>
    <row r="4957" spans="1:2" x14ac:dyDescent="0.4">
      <c r="A4957" s="4">
        <v>1002002</v>
      </c>
      <c r="B4957">
        <v>7010900</v>
      </c>
    </row>
    <row r="4958" spans="1:2" x14ac:dyDescent="0.4">
      <c r="A4958" s="4">
        <v>1002002</v>
      </c>
      <c r="B4958">
        <v>7011000</v>
      </c>
    </row>
    <row r="4959" spans="1:2" x14ac:dyDescent="0.4">
      <c r="A4959" s="4">
        <v>1002002</v>
      </c>
      <c r="B4959">
        <v>7011200</v>
      </c>
    </row>
    <row r="4960" spans="1:2" x14ac:dyDescent="0.4">
      <c r="A4960" s="4">
        <v>1002002</v>
      </c>
      <c r="B4960">
        <v>7011600</v>
      </c>
    </row>
    <row r="4961" spans="1:2" x14ac:dyDescent="0.4">
      <c r="A4961" s="4">
        <v>1002002</v>
      </c>
      <c r="B4961">
        <v>7011700</v>
      </c>
    </row>
    <row r="4962" spans="1:2" x14ac:dyDescent="0.4">
      <c r="A4962" s="4">
        <v>1002002</v>
      </c>
      <c r="B4962">
        <v>7012000</v>
      </c>
    </row>
    <row r="4963" spans="1:2" x14ac:dyDescent="0.4">
      <c r="A4963" s="4">
        <v>1002002</v>
      </c>
      <c r="B4963">
        <v>7012200</v>
      </c>
    </row>
    <row r="4964" spans="1:2" x14ac:dyDescent="0.4">
      <c r="A4964" s="4">
        <v>1002002</v>
      </c>
      <c r="B4964">
        <v>7012300</v>
      </c>
    </row>
    <row r="4965" spans="1:2" x14ac:dyDescent="0.4">
      <c r="A4965" s="4">
        <v>1002002</v>
      </c>
      <c r="B4965">
        <v>7020000</v>
      </c>
    </row>
    <row r="4966" spans="1:2" x14ac:dyDescent="0.4">
      <c r="A4966" s="4">
        <v>1002002</v>
      </c>
      <c r="B4966">
        <v>7030000</v>
      </c>
    </row>
    <row r="4967" spans="1:2" x14ac:dyDescent="0.4">
      <c r="A4967" s="4">
        <v>1002002</v>
      </c>
      <c r="B4967">
        <v>7030200</v>
      </c>
    </row>
    <row r="4968" spans="1:2" x14ac:dyDescent="0.4">
      <c r="A4968" s="4">
        <v>1002002</v>
      </c>
      <c r="B4968">
        <v>7030600</v>
      </c>
    </row>
    <row r="4969" spans="1:2" x14ac:dyDescent="0.4">
      <c r="A4969" s="4">
        <v>1002002</v>
      </c>
      <c r="B4969">
        <v>7030700</v>
      </c>
    </row>
    <row r="4970" spans="1:2" x14ac:dyDescent="0.4">
      <c r="A4970" s="4">
        <v>1002002</v>
      </c>
      <c r="B4970">
        <v>7030800</v>
      </c>
    </row>
    <row r="4971" spans="1:2" x14ac:dyDescent="0.4">
      <c r="A4971" s="4">
        <v>1002002</v>
      </c>
      <c r="B4971">
        <v>7030900</v>
      </c>
    </row>
    <row r="4972" spans="1:2" x14ac:dyDescent="0.4">
      <c r="A4972" s="4">
        <v>1002002</v>
      </c>
      <c r="B4972">
        <v>7031200</v>
      </c>
    </row>
    <row r="4973" spans="1:2" x14ac:dyDescent="0.4">
      <c r="A4973" s="4">
        <v>1002002</v>
      </c>
      <c r="B4973">
        <v>7031300</v>
      </c>
    </row>
    <row r="4974" spans="1:2" x14ac:dyDescent="0.4">
      <c r="A4974" s="4">
        <v>1002002</v>
      </c>
      <c r="B4974">
        <v>7031800</v>
      </c>
    </row>
    <row r="4975" spans="1:2" x14ac:dyDescent="0.4">
      <c r="A4975" s="4">
        <v>1002002</v>
      </c>
      <c r="B4975">
        <v>7031900</v>
      </c>
    </row>
    <row r="4976" spans="1:2" x14ac:dyDescent="0.4">
      <c r="A4976" s="4">
        <v>1002002</v>
      </c>
      <c r="B4976">
        <v>7032200</v>
      </c>
    </row>
    <row r="4977" spans="1:2" x14ac:dyDescent="0.4">
      <c r="A4977" s="4">
        <v>1002002</v>
      </c>
      <c r="B4977">
        <v>7032400</v>
      </c>
    </row>
    <row r="4978" spans="1:2" x14ac:dyDescent="0.4">
      <c r="A4978" s="4">
        <v>1002002</v>
      </c>
      <c r="B4978">
        <v>7032700</v>
      </c>
    </row>
    <row r="4979" spans="1:2" x14ac:dyDescent="0.4">
      <c r="A4979" s="4">
        <v>1002002</v>
      </c>
      <c r="B4979">
        <v>7032800</v>
      </c>
    </row>
    <row r="4980" spans="1:2" x14ac:dyDescent="0.4">
      <c r="A4980" s="4">
        <v>1002002</v>
      </c>
      <c r="B4980">
        <v>7032900</v>
      </c>
    </row>
    <row r="4981" spans="1:2" x14ac:dyDescent="0.4">
      <c r="A4981" s="4">
        <v>1002002</v>
      </c>
      <c r="B4981">
        <v>7033200</v>
      </c>
    </row>
    <row r="4982" spans="1:2" x14ac:dyDescent="0.4">
      <c r="A4982" s="4">
        <v>1002002</v>
      </c>
      <c r="B4982">
        <v>7033400</v>
      </c>
    </row>
    <row r="4983" spans="1:2" x14ac:dyDescent="0.4">
      <c r="A4983" s="4">
        <v>1002002</v>
      </c>
      <c r="B4983">
        <v>7034100</v>
      </c>
    </row>
    <row r="4984" spans="1:2" x14ac:dyDescent="0.4">
      <c r="A4984" s="4">
        <v>1002002</v>
      </c>
      <c r="B4984">
        <v>7034400</v>
      </c>
    </row>
    <row r="4985" spans="1:2" x14ac:dyDescent="0.4">
      <c r="A4985" s="4">
        <v>1002002</v>
      </c>
      <c r="B4985">
        <v>7034500</v>
      </c>
    </row>
    <row r="4986" spans="1:2" x14ac:dyDescent="0.4">
      <c r="A4986" s="4">
        <v>1002002</v>
      </c>
      <c r="B4986">
        <v>7034600</v>
      </c>
    </row>
    <row r="4987" spans="1:2" x14ac:dyDescent="0.4">
      <c r="A4987" s="4">
        <v>1002002</v>
      </c>
      <c r="B4987">
        <v>7034700</v>
      </c>
    </row>
    <row r="4988" spans="1:2" x14ac:dyDescent="0.4">
      <c r="A4988" s="4">
        <v>1002002</v>
      </c>
      <c r="B4988">
        <v>7035100</v>
      </c>
    </row>
    <row r="4989" spans="1:2" x14ac:dyDescent="0.4">
      <c r="A4989" s="4">
        <v>1002002</v>
      </c>
      <c r="B4989">
        <v>7036100</v>
      </c>
    </row>
    <row r="4990" spans="1:2" x14ac:dyDescent="0.4">
      <c r="A4990" s="4">
        <v>1002002</v>
      </c>
      <c r="B4990">
        <v>7040000</v>
      </c>
    </row>
    <row r="4991" spans="1:2" x14ac:dyDescent="0.4">
      <c r="A4991" s="4">
        <v>1002002</v>
      </c>
      <c r="B4991">
        <v>7040100</v>
      </c>
    </row>
    <row r="4992" spans="1:2" x14ac:dyDescent="0.4">
      <c r="A4992" s="4">
        <v>1002002</v>
      </c>
      <c r="B4992">
        <v>7040200</v>
      </c>
    </row>
    <row r="4993" spans="1:2" x14ac:dyDescent="0.4">
      <c r="A4993" s="4">
        <v>1002002</v>
      </c>
      <c r="B4993">
        <v>7040300</v>
      </c>
    </row>
    <row r="4994" spans="1:2" x14ac:dyDescent="0.4">
      <c r="A4994" s="4">
        <v>1002002</v>
      </c>
      <c r="B4994">
        <v>7040400</v>
      </c>
    </row>
    <row r="4995" spans="1:2" x14ac:dyDescent="0.4">
      <c r="A4995" s="4">
        <v>1002002</v>
      </c>
      <c r="B4995">
        <v>7040500</v>
      </c>
    </row>
    <row r="4996" spans="1:2" x14ac:dyDescent="0.4">
      <c r="A4996" s="4">
        <v>1002002</v>
      </c>
      <c r="B4996">
        <v>7043000</v>
      </c>
    </row>
    <row r="4997" spans="1:2" x14ac:dyDescent="0.4">
      <c r="A4997" s="4">
        <v>1002002</v>
      </c>
      <c r="B4997">
        <v>7043100</v>
      </c>
    </row>
    <row r="4998" spans="1:2" x14ac:dyDescent="0.4">
      <c r="A4998" s="4">
        <v>1002002</v>
      </c>
      <c r="B4998">
        <v>7043200</v>
      </c>
    </row>
    <row r="4999" spans="1:2" x14ac:dyDescent="0.4">
      <c r="A4999" s="4">
        <v>1002002</v>
      </c>
      <c r="B4999">
        <v>7043300</v>
      </c>
    </row>
    <row r="5000" spans="1:2" x14ac:dyDescent="0.4">
      <c r="A5000" s="4">
        <v>1002002</v>
      </c>
      <c r="B5000">
        <v>7043400</v>
      </c>
    </row>
    <row r="5001" spans="1:2" x14ac:dyDescent="0.4">
      <c r="A5001" s="4">
        <v>1002002</v>
      </c>
      <c r="B5001">
        <v>7043500</v>
      </c>
    </row>
    <row r="5002" spans="1:2" x14ac:dyDescent="0.4">
      <c r="A5002" s="4">
        <v>1002002</v>
      </c>
      <c r="B5002">
        <v>7043600</v>
      </c>
    </row>
    <row r="5003" spans="1:2" x14ac:dyDescent="0.4">
      <c r="A5003" s="4">
        <v>1002002</v>
      </c>
      <c r="B5003">
        <v>7043700</v>
      </c>
    </row>
    <row r="5004" spans="1:2" x14ac:dyDescent="0.4">
      <c r="A5004" s="4">
        <v>1002002</v>
      </c>
      <c r="B5004">
        <v>7043800</v>
      </c>
    </row>
    <row r="5005" spans="1:2" x14ac:dyDescent="0.4">
      <c r="A5005" s="4">
        <v>1002002</v>
      </c>
      <c r="B5005">
        <v>7044000</v>
      </c>
    </row>
    <row r="5006" spans="1:2" x14ac:dyDescent="0.4">
      <c r="A5006" s="4">
        <v>1002002</v>
      </c>
      <c r="B5006">
        <v>7044100</v>
      </c>
    </row>
    <row r="5007" spans="1:2" x14ac:dyDescent="0.4">
      <c r="A5007" s="4">
        <v>1002002</v>
      </c>
      <c r="B5007">
        <v>7044200</v>
      </c>
    </row>
    <row r="5008" spans="1:2" x14ac:dyDescent="0.4">
      <c r="A5008" s="4">
        <v>1002002</v>
      </c>
      <c r="B5008">
        <v>7044300</v>
      </c>
    </row>
    <row r="5009" spans="1:2" x14ac:dyDescent="0.4">
      <c r="A5009" s="4">
        <v>1002002</v>
      </c>
      <c r="B5009">
        <v>7044400</v>
      </c>
    </row>
    <row r="5010" spans="1:2" x14ac:dyDescent="0.4">
      <c r="A5010" s="4">
        <v>1002002</v>
      </c>
      <c r="B5010">
        <v>7044500</v>
      </c>
    </row>
    <row r="5011" spans="1:2" x14ac:dyDescent="0.4">
      <c r="A5011" s="4">
        <v>1002002</v>
      </c>
      <c r="B5011">
        <v>7044600</v>
      </c>
    </row>
    <row r="5012" spans="1:2" x14ac:dyDescent="0.4">
      <c r="A5012" s="4">
        <v>1002002</v>
      </c>
      <c r="B5012">
        <v>7050000</v>
      </c>
    </row>
    <row r="5013" spans="1:2" x14ac:dyDescent="0.4">
      <c r="A5013" s="4">
        <v>1002002</v>
      </c>
      <c r="B5013">
        <v>7050100</v>
      </c>
    </row>
    <row r="5014" spans="1:2" x14ac:dyDescent="0.4">
      <c r="A5014" s="4">
        <v>1002002</v>
      </c>
      <c r="B5014">
        <v>7060000</v>
      </c>
    </row>
    <row r="5015" spans="1:2" x14ac:dyDescent="0.4">
      <c r="A5015" s="4">
        <v>1002002</v>
      </c>
      <c r="B5015">
        <v>7060100</v>
      </c>
    </row>
    <row r="5016" spans="1:2" x14ac:dyDescent="0.4">
      <c r="A5016" s="4">
        <v>1002002</v>
      </c>
      <c r="B5016">
        <v>7060200</v>
      </c>
    </row>
    <row r="5017" spans="1:2" x14ac:dyDescent="0.4">
      <c r="A5017" s="4">
        <v>1002002</v>
      </c>
      <c r="B5017">
        <v>7070000</v>
      </c>
    </row>
    <row r="5018" spans="1:2" x14ac:dyDescent="0.4">
      <c r="A5018" s="4">
        <v>1002002</v>
      </c>
      <c r="B5018">
        <v>7080000</v>
      </c>
    </row>
    <row r="5019" spans="1:2" x14ac:dyDescent="0.4">
      <c r="A5019" s="4">
        <v>1002002</v>
      </c>
      <c r="B5019">
        <v>7080100</v>
      </c>
    </row>
    <row r="5020" spans="1:2" x14ac:dyDescent="0.4">
      <c r="A5020" s="4">
        <v>1002002</v>
      </c>
      <c r="B5020">
        <v>7080200</v>
      </c>
    </row>
    <row r="5021" spans="1:2" x14ac:dyDescent="0.4">
      <c r="A5021" s="4">
        <v>1002002</v>
      </c>
      <c r="B5021">
        <v>7080300</v>
      </c>
    </row>
    <row r="5022" spans="1:2" x14ac:dyDescent="0.4">
      <c r="A5022" s="4">
        <v>1002002</v>
      </c>
      <c r="B5022">
        <v>7080400</v>
      </c>
    </row>
    <row r="5023" spans="1:2" x14ac:dyDescent="0.4">
      <c r="A5023" s="4">
        <v>1002002</v>
      </c>
      <c r="B5023">
        <v>7080500</v>
      </c>
    </row>
    <row r="5024" spans="1:2" x14ac:dyDescent="0.4">
      <c r="A5024" s="4">
        <v>1002002</v>
      </c>
      <c r="B5024">
        <v>7080600</v>
      </c>
    </row>
    <row r="5025" spans="1:2" x14ac:dyDescent="0.4">
      <c r="A5025" s="4">
        <v>1002002</v>
      </c>
      <c r="B5025">
        <v>7080700</v>
      </c>
    </row>
    <row r="5026" spans="1:2" x14ac:dyDescent="0.4">
      <c r="A5026" s="4">
        <v>1002002</v>
      </c>
      <c r="B5026">
        <v>7080800</v>
      </c>
    </row>
    <row r="5027" spans="1:2" x14ac:dyDescent="0.4">
      <c r="A5027" s="4">
        <v>1002002</v>
      </c>
      <c r="B5027">
        <v>7080900</v>
      </c>
    </row>
    <row r="5028" spans="1:2" x14ac:dyDescent="0.4">
      <c r="A5028" s="4">
        <v>1002002</v>
      </c>
      <c r="B5028">
        <v>7081000</v>
      </c>
    </row>
    <row r="5029" spans="1:2" x14ac:dyDescent="0.4">
      <c r="A5029" s="4">
        <v>1002002</v>
      </c>
      <c r="B5029">
        <v>7081100</v>
      </c>
    </row>
    <row r="5030" spans="1:2" x14ac:dyDescent="0.4">
      <c r="A5030" s="4">
        <v>1002002</v>
      </c>
      <c r="B5030">
        <v>7081200</v>
      </c>
    </row>
    <row r="5031" spans="1:2" x14ac:dyDescent="0.4">
      <c r="A5031" s="4">
        <v>1002002</v>
      </c>
      <c r="B5031">
        <v>7081300</v>
      </c>
    </row>
    <row r="5032" spans="1:2" x14ac:dyDescent="0.4">
      <c r="A5032" s="4">
        <v>1002002</v>
      </c>
      <c r="B5032">
        <v>7081400</v>
      </c>
    </row>
    <row r="5033" spans="1:2" x14ac:dyDescent="0.4">
      <c r="A5033" s="4">
        <v>1002002</v>
      </c>
      <c r="B5033">
        <v>7081500</v>
      </c>
    </row>
    <row r="5034" spans="1:2" x14ac:dyDescent="0.4">
      <c r="A5034" s="4">
        <v>1002002</v>
      </c>
      <c r="B5034">
        <v>7081700</v>
      </c>
    </row>
    <row r="5035" spans="1:2" x14ac:dyDescent="0.4">
      <c r="A5035" s="4">
        <v>1002002</v>
      </c>
      <c r="B5035">
        <v>7081800</v>
      </c>
    </row>
    <row r="5036" spans="1:2" x14ac:dyDescent="0.4">
      <c r="A5036" s="4">
        <v>1002002</v>
      </c>
      <c r="B5036">
        <v>7081900</v>
      </c>
    </row>
    <row r="5037" spans="1:2" x14ac:dyDescent="0.4">
      <c r="A5037" s="4">
        <v>1002002</v>
      </c>
      <c r="B5037">
        <v>7082000</v>
      </c>
    </row>
    <row r="5038" spans="1:2" x14ac:dyDescent="0.4">
      <c r="A5038" s="4">
        <v>1002002</v>
      </c>
      <c r="B5038">
        <v>7082100</v>
      </c>
    </row>
    <row r="5039" spans="1:2" x14ac:dyDescent="0.4">
      <c r="A5039" s="4">
        <v>1002002</v>
      </c>
      <c r="B5039">
        <v>7082200</v>
      </c>
    </row>
    <row r="5040" spans="1:2" x14ac:dyDescent="0.4">
      <c r="A5040" s="4">
        <v>1002002</v>
      </c>
      <c r="B5040">
        <v>7082300</v>
      </c>
    </row>
    <row r="5041" spans="1:2" x14ac:dyDescent="0.4">
      <c r="A5041" s="4">
        <v>1002002</v>
      </c>
      <c r="B5041">
        <v>7082400</v>
      </c>
    </row>
    <row r="5042" spans="1:2" x14ac:dyDescent="0.4">
      <c r="A5042" s="4">
        <v>1002002</v>
      </c>
      <c r="B5042">
        <v>7082500</v>
      </c>
    </row>
    <row r="5043" spans="1:2" x14ac:dyDescent="0.4">
      <c r="A5043" s="4">
        <v>1002002</v>
      </c>
      <c r="B5043">
        <v>7082600</v>
      </c>
    </row>
    <row r="5044" spans="1:2" x14ac:dyDescent="0.4">
      <c r="A5044" s="4">
        <v>1002002</v>
      </c>
      <c r="B5044">
        <v>7082700</v>
      </c>
    </row>
    <row r="5045" spans="1:2" x14ac:dyDescent="0.4">
      <c r="A5045" s="4">
        <v>1002002</v>
      </c>
      <c r="B5045">
        <v>7082800</v>
      </c>
    </row>
    <row r="5046" spans="1:2" x14ac:dyDescent="0.4">
      <c r="A5046" s="4">
        <v>1002002</v>
      </c>
      <c r="B5046">
        <v>7082900</v>
      </c>
    </row>
    <row r="5047" spans="1:2" x14ac:dyDescent="0.4">
      <c r="A5047" s="4">
        <v>1002002</v>
      </c>
      <c r="B5047">
        <v>7090000</v>
      </c>
    </row>
    <row r="5048" spans="1:2" x14ac:dyDescent="0.4">
      <c r="A5048" s="4">
        <v>1002002</v>
      </c>
      <c r="B5048">
        <v>7090100</v>
      </c>
    </row>
    <row r="5049" spans="1:2" x14ac:dyDescent="0.4">
      <c r="A5049" s="4">
        <v>1002002</v>
      </c>
      <c r="B5049">
        <v>7090300</v>
      </c>
    </row>
    <row r="5050" spans="1:2" x14ac:dyDescent="0.4">
      <c r="A5050" s="4">
        <v>1002002</v>
      </c>
      <c r="B5050">
        <v>7100100</v>
      </c>
    </row>
    <row r="5051" spans="1:2" x14ac:dyDescent="0.4">
      <c r="A5051" s="4">
        <v>1002002</v>
      </c>
      <c r="B5051">
        <v>7110000</v>
      </c>
    </row>
    <row r="5052" spans="1:2" x14ac:dyDescent="0.4">
      <c r="A5052" s="4">
        <v>1002002</v>
      </c>
      <c r="B5052">
        <v>7120000</v>
      </c>
    </row>
    <row r="5053" spans="1:2" x14ac:dyDescent="0.4">
      <c r="A5053" s="4">
        <v>1002002</v>
      </c>
      <c r="B5053">
        <v>7120100</v>
      </c>
    </row>
    <row r="5054" spans="1:2" x14ac:dyDescent="0.4">
      <c r="A5054" s="4">
        <v>1002002</v>
      </c>
      <c r="B5054">
        <v>7120200</v>
      </c>
    </row>
    <row r="5055" spans="1:2" x14ac:dyDescent="0.4">
      <c r="A5055" s="4">
        <v>1002002</v>
      </c>
      <c r="B5055">
        <v>7120300</v>
      </c>
    </row>
    <row r="5056" spans="1:2" x14ac:dyDescent="0.4">
      <c r="A5056" s="4">
        <v>1002002</v>
      </c>
      <c r="B5056">
        <v>7120400</v>
      </c>
    </row>
    <row r="5057" spans="1:2" x14ac:dyDescent="0.4">
      <c r="A5057" s="4">
        <v>1002002</v>
      </c>
      <c r="B5057">
        <v>7120500</v>
      </c>
    </row>
    <row r="5058" spans="1:2" x14ac:dyDescent="0.4">
      <c r="A5058" s="4">
        <v>1002002</v>
      </c>
      <c r="B5058">
        <v>7120600</v>
      </c>
    </row>
    <row r="5059" spans="1:2" x14ac:dyDescent="0.4">
      <c r="A5059" s="4">
        <v>1002002</v>
      </c>
      <c r="B5059">
        <v>7120900</v>
      </c>
    </row>
    <row r="5060" spans="1:2" x14ac:dyDescent="0.4">
      <c r="A5060" s="4">
        <v>1002002</v>
      </c>
      <c r="B5060">
        <v>7121000</v>
      </c>
    </row>
    <row r="5061" spans="1:2" x14ac:dyDescent="0.4">
      <c r="A5061" s="4">
        <v>1002002</v>
      </c>
      <c r="B5061">
        <v>7121100</v>
      </c>
    </row>
    <row r="5062" spans="1:2" x14ac:dyDescent="0.4">
      <c r="A5062" s="4">
        <v>1002002</v>
      </c>
      <c r="B5062">
        <v>7121200</v>
      </c>
    </row>
    <row r="5063" spans="1:2" x14ac:dyDescent="0.4">
      <c r="A5063" s="4">
        <v>1002002</v>
      </c>
      <c r="B5063">
        <v>7121300</v>
      </c>
    </row>
    <row r="5064" spans="1:2" x14ac:dyDescent="0.4">
      <c r="A5064" s="4">
        <v>1002002</v>
      </c>
      <c r="B5064">
        <v>7121400</v>
      </c>
    </row>
    <row r="5065" spans="1:2" x14ac:dyDescent="0.4">
      <c r="A5065" s="4">
        <v>1002002</v>
      </c>
      <c r="B5065">
        <v>7121500</v>
      </c>
    </row>
    <row r="5066" spans="1:2" x14ac:dyDescent="0.4">
      <c r="A5066" s="4">
        <v>1002002</v>
      </c>
      <c r="B5066">
        <v>7121600</v>
      </c>
    </row>
    <row r="5067" spans="1:2" x14ac:dyDescent="0.4">
      <c r="A5067" s="4">
        <v>1002002</v>
      </c>
      <c r="B5067">
        <v>7121700</v>
      </c>
    </row>
    <row r="5068" spans="1:2" x14ac:dyDescent="0.4">
      <c r="A5068" s="4">
        <v>1002002</v>
      </c>
      <c r="B5068">
        <v>7121800</v>
      </c>
    </row>
    <row r="5069" spans="1:2" x14ac:dyDescent="0.4">
      <c r="A5069" s="4">
        <v>1002002</v>
      </c>
      <c r="B5069">
        <v>7121900</v>
      </c>
    </row>
    <row r="5070" spans="1:2" x14ac:dyDescent="0.4">
      <c r="A5070" s="4">
        <v>1002002</v>
      </c>
      <c r="B5070">
        <v>7122000</v>
      </c>
    </row>
    <row r="5071" spans="1:2" x14ac:dyDescent="0.4">
      <c r="A5071" s="4">
        <v>1002002</v>
      </c>
      <c r="B5071">
        <v>7122100</v>
      </c>
    </row>
    <row r="5072" spans="1:2" x14ac:dyDescent="0.4">
      <c r="A5072" s="4">
        <v>1002002</v>
      </c>
      <c r="B5072">
        <v>7122200</v>
      </c>
    </row>
    <row r="5073" spans="1:2" x14ac:dyDescent="0.4">
      <c r="A5073" s="4">
        <v>1002002</v>
      </c>
      <c r="B5073">
        <v>7122300</v>
      </c>
    </row>
    <row r="5074" spans="1:2" x14ac:dyDescent="0.4">
      <c r="A5074" s="4">
        <v>1002002</v>
      </c>
      <c r="B5074">
        <v>7122400</v>
      </c>
    </row>
    <row r="5075" spans="1:2" x14ac:dyDescent="0.4">
      <c r="A5075" s="4">
        <v>1002002</v>
      </c>
      <c r="B5075">
        <v>7122500</v>
      </c>
    </row>
    <row r="5076" spans="1:2" x14ac:dyDescent="0.4">
      <c r="A5076" s="4">
        <v>1002002</v>
      </c>
      <c r="B5076">
        <v>7122600</v>
      </c>
    </row>
    <row r="5077" spans="1:2" x14ac:dyDescent="0.4">
      <c r="A5077" s="4">
        <v>1002002</v>
      </c>
      <c r="B5077">
        <v>7122700</v>
      </c>
    </row>
    <row r="5078" spans="1:2" x14ac:dyDescent="0.4">
      <c r="A5078" s="4">
        <v>1002002</v>
      </c>
      <c r="B5078">
        <v>7122800</v>
      </c>
    </row>
    <row r="5079" spans="1:2" x14ac:dyDescent="0.4">
      <c r="A5079" s="4">
        <v>1002002</v>
      </c>
      <c r="B5079">
        <v>7122900</v>
      </c>
    </row>
    <row r="5080" spans="1:2" x14ac:dyDescent="0.4">
      <c r="A5080" s="4">
        <v>1002002</v>
      </c>
      <c r="B5080">
        <v>7123000</v>
      </c>
    </row>
    <row r="5081" spans="1:2" x14ac:dyDescent="0.4">
      <c r="A5081" s="4">
        <v>1002002</v>
      </c>
      <c r="B5081">
        <v>7123100</v>
      </c>
    </row>
    <row r="5082" spans="1:2" x14ac:dyDescent="0.4">
      <c r="A5082" s="4">
        <v>1002002</v>
      </c>
      <c r="B5082">
        <v>7123200</v>
      </c>
    </row>
    <row r="5083" spans="1:2" x14ac:dyDescent="0.4">
      <c r="A5083" s="4">
        <v>1002002</v>
      </c>
      <c r="B5083">
        <v>7123300</v>
      </c>
    </row>
    <row r="5084" spans="1:2" x14ac:dyDescent="0.4">
      <c r="A5084" s="4">
        <v>1002002</v>
      </c>
      <c r="B5084">
        <v>7123400</v>
      </c>
    </row>
    <row r="5085" spans="1:2" x14ac:dyDescent="0.4">
      <c r="A5085" s="4">
        <v>1002002</v>
      </c>
      <c r="B5085">
        <v>7123500</v>
      </c>
    </row>
    <row r="5086" spans="1:2" x14ac:dyDescent="0.4">
      <c r="A5086" s="4">
        <v>1002002</v>
      </c>
      <c r="B5086">
        <v>7123600</v>
      </c>
    </row>
    <row r="5087" spans="1:2" x14ac:dyDescent="0.4">
      <c r="A5087" s="4">
        <v>1002002</v>
      </c>
      <c r="B5087">
        <v>7123700</v>
      </c>
    </row>
    <row r="5088" spans="1:2" x14ac:dyDescent="0.4">
      <c r="A5088" s="4">
        <v>1002002</v>
      </c>
      <c r="B5088">
        <v>7123800</v>
      </c>
    </row>
    <row r="5089" spans="1:2" x14ac:dyDescent="0.4">
      <c r="A5089" s="4">
        <v>1002002</v>
      </c>
      <c r="B5089">
        <v>7123900</v>
      </c>
    </row>
    <row r="5090" spans="1:2" x14ac:dyDescent="0.4">
      <c r="A5090" s="4">
        <v>1002002</v>
      </c>
      <c r="B5090">
        <v>7124000</v>
      </c>
    </row>
    <row r="5091" spans="1:2" x14ac:dyDescent="0.4">
      <c r="A5091" s="4">
        <v>1002002</v>
      </c>
      <c r="B5091">
        <v>7124100</v>
      </c>
    </row>
    <row r="5092" spans="1:2" x14ac:dyDescent="0.4">
      <c r="A5092" s="4">
        <v>1002002</v>
      </c>
      <c r="B5092">
        <v>7124300</v>
      </c>
    </row>
    <row r="5093" spans="1:2" x14ac:dyDescent="0.4">
      <c r="A5093" s="4">
        <v>1002002</v>
      </c>
      <c r="B5093">
        <v>7124400</v>
      </c>
    </row>
    <row r="5094" spans="1:2" x14ac:dyDescent="0.4">
      <c r="A5094" s="4">
        <v>1002002</v>
      </c>
      <c r="B5094">
        <v>7124500</v>
      </c>
    </row>
    <row r="5095" spans="1:2" x14ac:dyDescent="0.4">
      <c r="A5095" s="4">
        <v>1002002</v>
      </c>
      <c r="B5095">
        <v>7124600</v>
      </c>
    </row>
    <row r="5096" spans="1:2" x14ac:dyDescent="0.4">
      <c r="A5096" s="4">
        <v>1002002</v>
      </c>
      <c r="B5096">
        <v>7124700</v>
      </c>
    </row>
    <row r="5097" spans="1:2" x14ac:dyDescent="0.4">
      <c r="A5097" s="4">
        <v>1002002</v>
      </c>
      <c r="B5097">
        <v>7126000</v>
      </c>
    </row>
    <row r="5098" spans="1:2" x14ac:dyDescent="0.4">
      <c r="A5098" s="4">
        <v>1002002</v>
      </c>
      <c r="B5098">
        <v>7150000</v>
      </c>
    </row>
    <row r="5099" spans="1:2" x14ac:dyDescent="0.4">
      <c r="A5099" s="4">
        <v>1002002</v>
      </c>
      <c r="B5099">
        <v>7160000</v>
      </c>
    </row>
    <row r="5100" spans="1:2" x14ac:dyDescent="0.4">
      <c r="A5100" s="4">
        <v>1002002</v>
      </c>
      <c r="B5100">
        <v>7220000</v>
      </c>
    </row>
    <row r="5101" spans="1:2" x14ac:dyDescent="0.4">
      <c r="A5101" s="4">
        <v>1002002</v>
      </c>
      <c r="B5101">
        <v>7230000</v>
      </c>
    </row>
    <row r="5102" spans="1:2" x14ac:dyDescent="0.4">
      <c r="A5102" s="4">
        <v>1002002</v>
      </c>
      <c r="B5102">
        <v>7240000</v>
      </c>
    </row>
    <row r="5103" spans="1:2" x14ac:dyDescent="0.4">
      <c r="A5103" s="4">
        <v>1002002</v>
      </c>
      <c r="B5103">
        <v>7260000</v>
      </c>
    </row>
    <row r="5104" spans="1:2" x14ac:dyDescent="0.4">
      <c r="A5104" s="4">
        <v>1002002</v>
      </c>
      <c r="B5104">
        <v>7260300</v>
      </c>
    </row>
    <row r="5105" spans="1:2" x14ac:dyDescent="0.4">
      <c r="A5105" s="4">
        <v>1002002</v>
      </c>
      <c r="B5105">
        <v>7260400</v>
      </c>
    </row>
    <row r="5106" spans="1:2" x14ac:dyDescent="0.4">
      <c r="A5106" s="4">
        <v>1002002</v>
      </c>
      <c r="B5106">
        <v>7270100</v>
      </c>
    </row>
    <row r="5107" spans="1:2" x14ac:dyDescent="0.4">
      <c r="A5107" s="4">
        <v>1002002</v>
      </c>
      <c r="B5107">
        <v>7280000</v>
      </c>
    </row>
    <row r="5108" spans="1:2" x14ac:dyDescent="0.4">
      <c r="A5108" s="4">
        <v>1002002</v>
      </c>
      <c r="B5108">
        <v>7290000</v>
      </c>
    </row>
    <row r="5109" spans="1:2" x14ac:dyDescent="0.4">
      <c r="A5109" s="4">
        <v>1002002</v>
      </c>
      <c r="B5109">
        <v>7310000</v>
      </c>
    </row>
    <row r="5110" spans="1:2" x14ac:dyDescent="0.4">
      <c r="A5110" s="4">
        <v>1002002</v>
      </c>
      <c r="B5110">
        <v>7330000</v>
      </c>
    </row>
    <row r="5111" spans="1:2" x14ac:dyDescent="0.4">
      <c r="A5111" s="4">
        <v>1002002</v>
      </c>
      <c r="B5111">
        <v>7330100</v>
      </c>
    </row>
    <row r="5112" spans="1:2" x14ac:dyDescent="0.4">
      <c r="A5112" s="4">
        <v>1002002</v>
      </c>
      <c r="B5112">
        <v>7330200</v>
      </c>
    </row>
    <row r="5113" spans="1:2" x14ac:dyDescent="0.4">
      <c r="A5113" s="4">
        <v>1002002</v>
      </c>
      <c r="B5113">
        <v>7330300</v>
      </c>
    </row>
    <row r="5114" spans="1:2" x14ac:dyDescent="0.4">
      <c r="A5114" s="4">
        <v>1002002</v>
      </c>
      <c r="B5114">
        <v>7330400</v>
      </c>
    </row>
    <row r="5115" spans="1:2" x14ac:dyDescent="0.4">
      <c r="A5115" s="4">
        <v>1002002</v>
      </c>
      <c r="B5115">
        <v>7330500</v>
      </c>
    </row>
    <row r="5116" spans="1:2" x14ac:dyDescent="0.4">
      <c r="A5116" s="4">
        <v>1002002</v>
      </c>
      <c r="B5116">
        <v>7330600</v>
      </c>
    </row>
    <row r="5117" spans="1:2" x14ac:dyDescent="0.4">
      <c r="A5117" s="4">
        <v>1002002</v>
      </c>
      <c r="B5117">
        <v>7330700</v>
      </c>
    </row>
    <row r="5118" spans="1:2" x14ac:dyDescent="0.4">
      <c r="A5118" s="4">
        <v>1002002</v>
      </c>
      <c r="B5118">
        <v>7330800</v>
      </c>
    </row>
    <row r="5119" spans="1:2" x14ac:dyDescent="0.4">
      <c r="A5119" s="4">
        <v>1002002</v>
      </c>
      <c r="B5119">
        <v>7330900</v>
      </c>
    </row>
    <row r="5120" spans="1:2" x14ac:dyDescent="0.4">
      <c r="A5120" s="4">
        <v>1002002</v>
      </c>
      <c r="B5120">
        <v>7331000</v>
      </c>
    </row>
    <row r="5121" spans="1:2" x14ac:dyDescent="0.4">
      <c r="A5121" s="4">
        <v>1002002</v>
      </c>
      <c r="B5121">
        <v>7331100</v>
      </c>
    </row>
    <row r="5122" spans="1:2" x14ac:dyDescent="0.4">
      <c r="A5122" s="4">
        <v>1002002</v>
      </c>
      <c r="B5122">
        <v>7331200</v>
      </c>
    </row>
    <row r="5123" spans="1:2" x14ac:dyDescent="0.4">
      <c r="A5123" s="4">
        <v>1002002</v>
      </c>
      <c r="B5123">
        <v>7331300</v>
      </c>
    </row>
    <row r="5124" spans="1:2" x14ac:dyDescent="0.4">
      <c r="A5124" s="4">
        <v>1002002</v>
      </c>
      <c r="B5124">
        <v>7331400</v>
      </c>
    </row>
    <row r="5125" spans="1:2" x14ac:dyDescent="0.4">
      <c r="A5125" s="4">
        <v>1002002</v>
      </c>
      <c r="B5125">
        <v>7331500</v>
      </c>
    </row>
    <row r="5126" spans="1:2" x14ac:dyDescent="0.4">
      <c r="A5126" s="4">
        <v>1002002</v>
      </c>
      <c r="B5126">
        <v>7331700</v>
      </c>
    </row>
    <row r="5127" spans="1:2" x14ac:dyDescent="0.4">
      <c r="A5127" s="4">
        <v>1002002</v>
      </c>
      <c r="B5127">
        <v>7331800</v>
      </c>
    </row>
    <row r="5128" spans="1:2" x14ac:dyDescent="0.4">
      <c r="A5128" s="4">
        <v>1002002</v>
      </c>
      <c r="B5128">
        <v>7331900</v>
      </c>
    </row>
    <row r="5129" spans="1:2" x14ac:dyDescent="0.4">
      <c r="A5129" s="4">
        <v>1002002</v>
      </c>
      <c r="B5129">
        <v>7332000</v>
      </c>
    </row>
    <row r="5130" spans="1:2" x14ac:dyDescent="0.4">
      <c r="A5130" s="4">
        <v>1002002</v>
      </c>
      <c r="B5130">
        <v>7332100</v>
      </c>
    </row>
    <row r="5131" spans="1:2" x14ac:dyDescent="0.4">
      <c r="A5131" s="4">
        <v>1002002</v>
      </c>
      <c r="B5131">
        <v>7332200</v>
      </c>
    </row>
    <row r="5132" spans="1:2" x14ac:dyDescent="0.4">
      <c r="A5132" s="4">
        <v>1002002</v>
      </c>
      <c r="B5132">
        <v>7332300</v>
      </c>
    </row>
    <row r="5133" spans="1:2" x14ac:dyDescent="0.4">
      <c r="A5133" s="4">
        <v>1002002</v>
      </c>
      <c r="B5133">
        <v>7332400</v>
      </c>
    </row>
    <row r="5134" spans="1:2" x14ac:dyDescent="0.4">
      <c r="A5134" s="4">
        <v>1002002</v>
      </c>
      <c r="B5134">
        <v>7340000</v>
      </c>
    </row>
    <row r="5135" spans="1:2" x14ac:dyDescent="0.4">
      <c r="A5135" s="4">
        <v>1002002</v>
      </c>
      <c r="B5135">
        <v>7340100</v>
      </c>
    </row>
    <row r="5136" spans="1:2" x14ac:dyDescent="0.4">
      <c r="A5136" s="4">
        <v>1002002</v>
      </c>
      <c r="B5136">
        <v>7340200</v>
      </c>
    </row>
    <row r="5137" spans="1:2" x14ac:dyDescent="0.4">
      <c r="A5137" s="4">
        <v>1002002</v>
      </c>
      <c r="B5137">
        <v>7340300</v>
      </c>
    </row>
    <row r="5138" spans="1:2" x14ac:dyDescent="0.4">
      <c r="A5138" s="4">
        <v>1002002</v>
      </c>
      <c r="B5138">
        <v>7340400</v>
      </c>
    </row>
    <row r="5139" spans="1:2" x14ac:dyDescent="0.4">
      <c r="A5139" s="4">
        <v>1002002</v>
      </c>
      <c r="B5139">
        <v>7340500</v>
      </c>
    </row>
    <row r="5140" spans="1:2" x14ac:dyDescent="0.4">
      <c r="A5140" s="4">
        <v>1002002</v>
      </c>
      <c r="B5140">
        <v>7340600</v>
      </c>
    </row>
    <row r="5141" spans="1:2" x14ac:dyDescent="0.4">
      <c r="A5141" s="4">
        <v>1002002</v>
      </c>
      <c r="B5141">
        <v>7340700</v>
      </c>
    </row>
    <row r="5142" spans="1:2" x14ac:dyDescent="0.4">
      <c r="A5142" s="4">
        <v>1002002</v>
      </c>
      <c r="B5142">
        <v>7340800</v>
      </c>
    </row>
    <row r="5143" spans="1:2" x14ac:dyDescent="0.4">
      <c r="A5143" s="4">
        <v>1002002</v>
      </c>
      <c r="B5143">
        <v>7340900</v>
      </c>
    </row>
    <row r="5144" spans="1:2" x14ac:dyDescent="0.4">
      <c r="A5144" s="4">
        <v>1002002</v>
      </c>
      <c r="B5144">
        <v>7341000</v>
      </c>
    </row>
    <row r="5145" spans="1:2" x14ac:dyDescent="0.4">
      <c r="A5145" s="4">
        <v>1002002</v>
      </c>
      <c r="B5145">
        <v>7341100</v>
      </c>
    </row>
    <row r="5146" spans="1:2" x14ac:dyDescent="0.4">
      <c r="A5146" s="4">
        <v>1002002</v>
      </c>
      <c r="B5146">
        <v>7341200</v>
      </c>
    </row>
    <row r="5147" spans="1:2" x14ac:dyDescent="0.4">
      <c r="A5147" s="4">
        <v>1002002</v>
      </c>
      <c r="B5147">
        <v>7341300</v>
      </c>
    </row>
    <row r="5148" spans="1:2" x14ac:dyDescent="0.4">
      <c r="A5148" s="4">
        <v>1002002</v>
      </c>
      <c r="B5148">
        <v>7341400</v>
      </c>
    </row>
    <row r="5149" spans="1:2" x14ac:dyDescent="0.4">
      <c r="A5149" s="4">
        <v>1002002</v>
      </c>
      <c r="B5149">
        <v>7341500</v>
      </c>
    </row>
    <row r="5150" spans="1:2" x14ac:dyDescent="0.4">
      <c r="A5150" s="4">
        <v>1002002</v>
      </c>
      <c r="B5150">
        <v>7341700</v>
      </c>
    </row>
    <row r="5151" spans="1:2" x14ac:dyDescent="0.4">
      <c r="A5151" s="4">
        <v>1002002</v>
      </c>
      <c r="B5151">
        <v>7341800</v>
      </c>
    </row>
    <row r="5152" spans="1:2" x14ac:dyDescent="0.4">
      <c r="A5152" s="4">
        <v>1002002</v>
      </c>
      <c r="B5152">
        <v>7341900</v>
      </c>
    </row>
    <row r="5153" spans="1:2" x14ac:dyDescent="0.4">
      <c r="A5153" s="4">
        <v>1002002</v>
      </c>
      <c r="B5153">
        <v>7342000</v>
      </c>
    </row>
    <row r="5154" spans="1:2" x14ac:dyDescent="0.4">
      <c r="A5154" s="4">
        <v>1002002</v>
      </c>
      <c r="B5154">
        <v>7342100</v>
      </c>
    </row>
    <row r="5155" spans="1:2" x14ac:dyDescent="0.4">
      <c r="A5155" s="4">
        <v>1002002</v>
      </c>
      <c r="B5155">
        <v>7342200</v>
      </c>
    </row>
    <row r="5156" spans="1:2" x14ac:dyDescent="0.4">
      <c r="A5156" s="4">
        <v>1002002</v>
      </c>
      <c r="B5156">
        <v>7342300</v>
      </c>
    </row>
    <row r="5157" spans="1:2" x14ac:dyDescent="0.4">
      <c r="A5157" s="4">
        <v>1002002</v>
      </c>
      <c r="B5157">
        <v>7342400</v>
      </c>
    </row>
    <row r="5158" spans="1:2" x14ac:dyDescent="0.4">
      <c r="A5158" s="4">
        <v>1002002</v>
      </c>
      <c r="B5158">
        <v>7350000</v>
      </c>
    </row>
    <row r="5159" spans="1:2" x14ac:dyDescent="0.4">
      <c r="A5159" s="4">
        <v>1002002</v>
      </c>
      <c r="B5159">
        <v>7350100</v>
      </c>
    </row>
    <row r="5160" spans="1:2" x14ac:dyDescent="0.4">
      <c r="A5160" s="4">
        <v>1002002</v>
      </c>
      <c r="B5160">
        <v>7350200</v>
      </c>
    </row>
    <row r="5161" spans="1:2" x14ac:dyDescent="0.4">
      <c r="A5161" s="4">
        <v>1002002</v>
      </c>
      <c r="B5161">
        <v>7350300</v>
      </c>
    </row>
    <row r="5162" spans="1:2" x14ac:dyDescent="0.4">
      <c r="A5162" s="4">
        <v>1002002</v>
      </c>
      <c r="B5162">
        <v>7350400</v>
      </c>
    </row>
    <row r="5163" spans="1:2" x14ac:dyDescent="0.4">
      <c r="A5163" s="4">
        <v>1002002</v>
      </c>
      <c r="B5163">
        <v>7350500</v>
      </c>
    </row>
    <row r="5164" spans="1:2" x14ac:dyDescent="0.4">
      <c r="A5164" s="4">
        <v>1002002</v>
      </c>
      <c r="B5164">
        <v>7350600</v>
      </c>
    </row>
    <row r="5165" spans="1:2" x14ac:dyDescent="0.4">
      <c r="A5165" s="4">
        <v>1002002</v>
      </c>
      <c r="B5165">
        <v>7350700</v>
      </c>
    </row>
    <row r="5166" spans="1:2" x14ac:dyDescent="0.4">
      <c r="A5166" s="4">
        <v>1002002</v>
      </c>
      <c r="B5166">
        <v>7350800</v>
      </c>
    </row>
    <row r="5167" spans="1:2" x14ac:dyDescent="0.4">
      <c r="A5167" s="4">
        <v>1002002</v>
      </c>
      <c r="B5167">
        <v>7350900</v>
      </c>
    </row>
    <row r="5168" spans="1:2" x14ac:dyDescent="0.4">
      <c r="A5168" s="4">
        <v>1002002</v>
      </c>
      <c r="B5168">
        <v>7351000</v>
      </c>
    </row>
    <row r="5169" spans="1:2" x14ac:dyDescent="0.4">
      <c r="A5169" s="4">
        <v>1002002</v>
      </c>
      <c r="B5169">
        <v>7351100</v>
      </c>
    </row>
    <row r="5170" spans="1:2" x14ac:dyDescent="0.4">
      <c r="A5170" s="4">
        <v>1002002</v>
      </c>
      <c r="B5170">
        <v>7351200</v>
      </c>
    </row>
    <row r="5171" spans="1:2" x14ac:dyDescent="0.4">
      <c r="A5171" s="4">
        <v>1002002</v>
      </c>
      <c r="B5171">
        <v>7351300</v>
      </c>
    </row>
    <row r="5172" spans="1:2" x14ac:dyDescent="0.4">
      <c r="A5172" s="4">
        <v>1002002</v>
      </c>
      <c r="B5172">
        <v>7351400</v>
      </c>
    </row>
    <row r="5173" spans="1:2" x14ac:dyDescent="0.4">
      <c r="A5173" s="4">
        <v>1002002</v>
      </c>
      <c r="B5173">
        <v>7351500</v>
      </c>
    </row>
    <row r="5174" spans="1:2" x14ac:dyDescent="0.4">
      <c r="A5174" s="4">
        <v>1002002</v>
      </c>
      <c r="B5174">
        <v>7351700</v>
      </c>
    </row>
    <row r="5175" spans="1:2" x14ac:dyDescent="0.4">
      <c r="A5175" s="4">
        <v>1002002</v>
      </c>
      <c r="B5175">
        <v>7351800</v>
      </c>
    </row>
    <row r="5176" spans="1:2" x14ac:dyDescent="0.4">
      <c r="A5176" s="4">
        <v>1002002</v>
      </c>
      <c r="B5176">
        <v>7351900</v>
      </c>
    </row>
    <row r="5177" spans="1:2" x14ac:dyDescent="0.4">
      <c r="A5177" s="4">
        <v>1002002</v>
      </c>
      <c r="B5177">
        <v>7352000</v>
      </c>
    </row>
    <row r="5178" spans="1:2" x14ac:dyDescent="0.4">
      <c r="A5178" s="4">
        <v>1002002</v>
      </c>
      <c r="B5178">
        <v>7352100</v>
      </c>
    </row>
    <row r="5179" spans="1:2" x14ac:dyDescent="0.4">
      <c r="A5179" s="4">
        <v>1002002</v>
      </c>
      <c r="B5179">
        <v>7352200</v>
      </c>
    </row>
    <row r="5180" spans="1:2" x14ac:dyDescent="0.4">
      <c r="A5180" s="4">
        <v>1002002</v>
      </c>
      <c r="B5180">
        <v>7352300</v>
      </c>
    </row>
    <row r="5181" spans="1:2" x14ac:dyDescent="0.4">
      <c r="A5181" s="4">
        <v>1002002</v>
      </c>
      <c r="B5181">
        <v>7352400</v>
      </c>
    </row>
    <row r="5182" spans="1:2" x14ac:dyDescent="0.4">
      <c r="A5182" s="4">
        <v>1002002</v>
      </c>
      <c r="B5182">
        <v>7360600</v>
      </c>
    </row>
    <row r="5183" spans="1:2" x14ac:dyDescent="0.4">
      <c r="A5183" s="4">
        <v>1002002</v>
      </c>
      <c r="B5183">
        <v>7360900</v>
      </c>
    </row>
    <row r="5184" spans="1:2" x14ac:dyDescent="0.4">
      <c r="A5184" s="4">
        <v>1002002</v>
      </c>
      <c r="B5184">
        <v>7361200</v>
      </c>
    </row>
    <row r="5185" spans="1:2" x14ac:dyDescent="0.4">
      <c r="A5185" s="4">
        <v>1002002</v>
      </c>
      <c r="B5185">
        <v>7361300</v>
      </c>
    </row>
    <row r="5186" spans="1:2" x14ac:dyDescent="0.4">
      <c r="A5186" s="4">
        <v>1002002</v>
      </c>
      <c r="B5186">
        <v>7362100</v>
      </c>
    </row>
    <row r="5187" spans="1:2" x14ac:dyDescent="0.4">
      <c r="A5187" s="4">
        <v>1002002</v>
      </c>
      <c r="B5187">
        <v>7370300</v>
      </c>
    </row>
    <row r="5188" spans="1:2" x14ac:dyDescent="0.4">
      <c r="A5188" s="4">
        <v>1002002</v>
      </c>
      <c r="B5188">
        <v>7370400</v>
      </c>
    </row>
    <row r="5189" spans="1:2" x14ac:dyDescent="0.4">
      <c r="A5189" s="4">
        <v>1002002</v>
      </c>
      <c r="B5189">
        <v>7370600</v>
      </c>
    </row>
    <row r="5190" spans="1:2" x14ac:dyDescent="0.4">
      <c r="A5190" s="4">
        <v>1002002</v>
      </c>
      <c r="B5190">
        <v>7370900</v>
      </c>
    </row>
    <row r="5191" spans="1:2" x14ac:dyDescent="0.4">
      <c r="A5191" s="4">
        <v>1002002</v>
      </c>
      <c r="B5191">
        <v>7371500</v>
      </c>
    </row>
    <row r="5192" spans="1:2" x14ac:dyDescent="0.4">
      <c r="A5192" s="4">
        <v>1002002</v>
      </c>
      <c r="B5192">
        <v>7036200</v>
      </c>
    </row>
    <row r="5193" spans="1:2" x14ac:dyDescent="0.4">
      <c r="A5193" s="4">
        <v>1002002</v>
      </c>
      <c r="B5193">
        <v>7036300</v>
      </c>
    </row>
    <row r="5194" spans="1:2" x14ac:dyDescent="0.4">
      <c r="A5194" s="4">
        <v>1002002</v>
      </c>
      <c r="B5194">
        <v>7036400</v>
      </c>
    </row>
    <row r="5195" spans="1:2" x14ac:dyDescent="0.4">
      <c r="A5195" s="4">
        <v>1002002</v>
      </c>
      <c r="B5195">
        <v>7036500</v>
      </c>
    </row>
    <row r="5196" spans="1:2" x14ac:dyDescent="0.4">
      <c r="A5196" s="4">
        <v>1002002</v>
      </c>
      <c r="B5196">
        <v>7036800</v>
      </c>
    </row>
    <row r="5197" spans="1:2" x14ac:dyDescent="0.4">
      <c r="A5197" s="4">
        <v>1002002</v>
      </c>
      <c r="B5197">
        <v>7036900</v>
      </c>
    </row>
    <row r="5198" spans="1:2" x14ac:dyDescent="0.4">
      <c r="A5198" s="4">
        <v>1002002</v>
      </c>
      <c r="B5198">
        <v>7037000</v>
      </c>
    </row>
    <row r="5199" spans="1:2" x14ac:dyDescent="0.4">
      <c r="A5199" s="4">
        <v>1002002</v>
      </c>
      <c r="B5199">
        <v>7037300</v>
      </c>
    </row>
    <row r="5200" spans="1:2" x14ac:dyDescent="0.4">
      <c r="A5200" s="4">
        <v>1002002</v>
      </c>
      <c r="B5200">
        <v>6630000</v>
      </c>
    </row>
    <row r="5201" spans="1:2" x14ac:dyDescent="0.4">
      <c r="A5201" s="4">
        <v>1002002</v>
      </c>
      <c r="B5201">
        <v>6630100</v>
      </c>
    </row>
    <row r="5202" spans="1:2" x14ac:dyDescent="0.4">
      <c r="A5202" s="4">
        <v>1002002</v>
      </c>
      <c r="B5202">
        <v>6630200</v>
      </c>
    </row>
    <row r="5203" spans="1:2" x14ac:dyDescent="0.4">
      <c r="A5203" s="4">
        <v>1002002</v>
      </c>
      <c r="B5203">
        <v>6630300</v>
      </c>
    </row>
    <row r="5204" spans="1:2" x14ac:dyDescent="0.4">
      <c r="A5204" s="4">
        <v>1002002</v>
      </c>
      <c r="B5204">
        <v>6630400</v>
      </c>
    </row>
    <row r="5205" spans="1:2" x14ac:dyDescent="0.4">
      <c r="A5205" s="4">
        <v>1002002</v>
      </c>
      <c r="B5205">
        <v>6630500</v>
      </c>
    </row>
    <row r="5206" spans="1:2" x14ac:dyDescent="0.4">
      <c r="A5206" s="4">
        <v>1002002</v>
      </c>
      <c r="B5206">
        <v>6630600</v>
      </c>
    </row>
    <row r="5207" spans="1:2" x14ac:dyDescent="0.4">
      <c r="A5207" s="4">
        <v>1002002</v>
      </c>
      <c r="B5207">
        <v>6630700</v>
      </c>
    </row>
    <row r="5208" spans="1:2" x14ac:dyDescent="0.4">
      <c r="A5208" s="4">
        <v>1002002</v>
      </c>
      <c r="B5208">
        <v>6630800</v>
      </c>
    </row>
    <row r="5209" spans="1:2" x14ac:dyDescent="0.4">
      <c r="A5209" s="4">
        <v>1002002</v>
      </c>
      <c r="B5209">
        <v>6630900</v>
      </c>
    </row>
    <row r="5210" spans="1:2" x14ac:dyDescent="0.4">
      <c r="A5210" s="4">
        <v>1002002</v>
      </c>
      <c r="B5210">
        <v>6631000</v>
      </c>
    </row>
    <row r="5211" spans="1:2" x14ac:dyDescent="0.4">
      <c r="A5211" s="4">
        <v>1002002</v>
      </c>
      <c r="B5211">
        <v>6631100</v>
      </c>
    </row>
    <row r="5212" spans="1:2" x14ac:dyDescent="0.4">
      <c r="A5212" s="4">
        <v>1002002</v>
      </c>
      <c r="B5212">
        <v>6631200</v>
      </c>
    </row>
    <row r="5213" spans="1:2" x14ac:dyDescent="0.4">
      <c r="A5213" s="4">
        <v>1002002</v>
      </c>
      <c r="B5213">
        <v>6631300</v>
      </c>
    </row>
    <row r="5214" spans="1:2" x14ac:dyDescent="0.4">
      <c r="A5214" s="4">
        <v>1002002</v>
      </c>
      <c r="B5214">
        <v>6631400</v>
      </c>
    </row>
    <row r="5215" spans="1:2" x14ac:dyDescent="0.4">
      <c r="A5215" s="4">
        <v>1002002</v>
      </c>
      <c r="B5215">
        <v>6631500</v>
      </c>
    </row>
    <row r="5216" spans="1:2" x14ac:dyDescent="0.4">
      <c r="A5216" s="4">
        <v>1002002</v>
      </c>
      <c r="B5216">
        <v>6631600</v>
      </c>
    </row>
    <row r="5217" spans="1:2" x14ac:dyDescent="0.4">
      <c r="A5217" s="4">
        <v>1002002</v>
      </c>
      <c r="B5217">
        <v>6631700</v>
      </c>
    </row>
    <row r="5218" spans="1:2" x14ac:dyDescent="0.4">
      <c r="A5218" s="4">
        <v>1002002</v>
      </c>
      <c r="B5218">
        <v>6631800</v>
      </c>
    </row>
    <row r="5219" spans="1:2" x14ac:dyDescent="0.4">
      <c r="A5219" s="4">
        <v>1002002</v>
      </c>
      <c r="B5219">
        <v>6631900</v>
      </c>
    </row>
    <row r="5220" spans="1:2" x14ac:dyDescent="0.4">
      <c r="A5220" s="4">
        <v>1002002</v>
      </c>
      <c r="B5220">
        <v>6632000</v>
      </c>
    </row>
    <row r="5221" spans="1:2" x14ac:dyDescent="0.4">
      <c r="A5221" s="4">
        <v>1002002</v>
      </c>
      <c r="B5221">
        <v>6632100</v>
      </c>
    </row>
    <row r="5222" spans="1:2" x14ac:dyDescent="0.4">
      <c r="A5222" s="4">
        <v>1002002</v>
      </c>
      <c r="B5222">
        <v>6632200</v>
      </c>
    </row>
    <row r="5223" spans="1:2" x14ac:dyDescent="0.4">
      <c r="A5223" s="4">
        <v>1002002</v>
      </c>
      <c r="B5223">
        <v>6632300</v>
      </c>
    </row>
    <row r="5224" spans="1:2" x14ac:dyDescent="0.4">
      <c r="A5224" s="4">
        <v>1002002</v>
      </c>
      <c r="B5224">
        <v>6632400</v>
      </c>
    </row>
    <row r="5225" spans="1:2" x14ac:dyDescent="0.4">
      <c r="A5225" s="4">
        <v>1002002</v>
      </c>
      <c r="B5225">
        <v>6632500</v>
      </c>
    </row>
    <row r="5226" spans="1:2" x14ac:dyDescent="0.4">
      <c r="A5226" s="4">
        <v>1002002</v>
      </c>
      <c r="B5226">
        <v>6632600</v>
      </c>
    </row>
    <row r="5227" spans="1:2" x14ac:dyDescent="0.4">
      <c r="A5227" s="4">
        <v>1002002</v>
      </c>
      <c r="B5227">
        <v>6632700</v>
      </c>
    </row>
    <row r="5228" spans="1:2" x14ac:dyDescent="0.4">
      <c r="A5228" s="4">
        <v>1002002</v>
      </c>
      <c r="B5228">
        <v>6632800</v>
      </c>
    </row>
    <row r="5229" spans="1:2" x14ac:dyDescent="0.4">
      <c r="A5229" s="4">
        <v>1002002</v>
      </c>
      <c r="B5229">
        <v>6632900</v>
      </c>
    </row>
    <row r="5230" spans="1:2" x14ac:dyDescent="0.4">
      <c r="A5230" s="4">
        <v>1002002</v>
      </c>
      <c r="B5230">
        <v>6633000</v>
      </c>
    </row>
    <row r="5231" spans="1:2" x14ac:dyDescent="0.4">
      <c r="A5231" s="4">
        <v>1002002</v>
      </c>
      <c r="B5231">
        <v>6633100</v>
      </c>
    </row>
    <row r="5232" spans="1:2" x14ac:dyDescent="0.4">
      <c r="A5232" s="4">
        <v>1002002</v>
      </c>
      <c r="B5232">
        <v>6633200</v>
      </c>
    </row>
    <row r="5233" spans="1:2" x14ac:dyDescent="0.4">
      <c r="A5233" s="4">
        <v>1002002</v>
      </c>
      <c r="B5233">
        <v>6647200</v>
      </c>
    </row>
    <row r="5234" spans="1:2" x14ac:dyDescent="0.4">
      <c r="A5234" s="4">
        <v>1002002</v>
      </c>
      <c r="B5234">
        <v>6647300</v>
      </c>
    </row>
    <row r="5235" spans="1:2" x14ac:dyDescent="0.4">
      <c r="A5235" s="4">
        <v>1002002</v>
      </c>
      <c r="B5235">
        <v>6647400</v>
      </c>
    </row>
    <row r="5236" spans="1:2" x14ac:dyDescent="0.4">
      <c r="A5236" s="4">
        <v>1002002</v>
      </c>
      <c r="B5236">
        <v>6647500</v>
      </c>
    </row>
    <row r="5237" spans="1:2" x14ac:dyDescent="0.4">
      <c r="A5237" s="4">
        <v>1002002</v>
      </c>
      <c r="B5237">
        <v>6640000</v>
      </c>
    </row>
    <row r="5238" spans="1:2" x14ac:dyDescent="0.4">
      <c r="A5238" s="4">
        <v>1002002</v>
      </c>
      <c r="B5238">
        <v>6640100</v>
      </c>
    </row>
    <row r="5239" spans="1:2" x14ac:dyDescent="0.4">
      <c r="A5239" s="4">
        <v>1002002</v>
      </c>
      <c r="B5239">
        <v>6641000</v>
      </c>
    </row>
    <row r="5240" spans="1:2" x14ac:dyDescent="0.4">
      <c r="A5240" s="4">
        <v>1002002</v>
      </c>
      <c r="B5240">
        <v>6641100</v>
      </c>
    </row>
    <row r="5241" spans="1:2" x14ac:dyDescent="0.4">
      <c r="A5241" s="4">
        <v>1002002</v>
      </c>
      <c r="B5241">
        <v>6642000</v>
      </c>
    </row>
    <row r="5242" spans="1:2" x14ac:dyDescent="0.4">
      <c r="A5242" s="4">
        <v>1002002</v>
      </c>
      <c r="B5242">
        <v>6642100</v>
      </c>
    </row>
    <row r="5243" spans="1:2" x14ac:dyDescent="0.4">
      <c r="A5243" s="4">
        <v>1002002</v>
      </c>
      <c r="B5243">
        <v>6643000</v>
      </c>
    </row>
    <row r="5244" spans="1:2" x14ac:dyDescent="0.4">
      <c r="A5244" s="4">
        <v>1002002</v>
      </c>
      <c r="B5244">
        <v>6643100</v>
      </c>
    </row>
    <row r="5245" spans="1:2" x14ac:dyDescent="0.4">
      <c r="A5245" s="4">
        <v>1002002</v>
      </c>
      <c r="B5245">
        <v>6644000</v>
      </c>
    </row>
    <row r="5246" spans="1:2" x14ac:dyDescent="0.4">
      <c r="A5246" s="4">
        <v>1002002</v>
      </c>
      <c r="B5246">
        <v>6644100</v>
      </c>
    </row>
    <row r="5247" spans="1:2" x14ac:dyDescent="0.4">
      <c r="A5247" s="4">
        <v>1002002</v>
      </c>
      <c r="B5247">
        <v>6645000</v>
      </c>
    </row>
    <row r="5248" spans="1:2" x14ac:dyDescent="0.4">
      <c r="A5248" s="4">
        <v>1002002</v>
      </c>
      <c r="B5248">
        <v>6645100</v>
      </c>
    </row>
    <row r="5249" spans="1:2" x14ac:dyDescent="0.4">
      <c r="A5249" s="4">
        <v>1002002</v>
      </c>
      <c r="B5249">
        <v>6646000</v>
      </c>
    </row>
    <row r="5250" spans="1:2" x14ac:dyDescent="0.4">
      <c r="A5250" s="4">
        <v>1002002</v>
      </c>
      <c r="B5250">
        <v>6646100</v>
      </c>
    </row>
    <row r="5251" spans="1:2" x14ac:dyDescent="0.4">
      <c r="A5251" s="4">
        <v>1002002</v>
      </c>
      <c r="B5251">
        <v>6647000</v>
      </c>
    </row>
    <row r="5252" spans="1:2" x14ac:dyDescent="0.4">
      <c r="A5252" s="4">
        <v>1002002</v>
      </c>
      <c r="B5252">
        <v>6647100</v>
      </c>
    </row>
    <row r="5253" spans="1:2" x14ac:dyDescent="0.4">
      <c r="A5253" s="4">
        <v>1003000</v>
      </c>
      <c r="B5253">
        <v>7000000</v>
      </c>
    </row>
    <row r="5254" spans="1:2" x14ac:dyDescent="0.4">
      <c r="A5254" s="4">
        <v>1003000</v>
      </c>
      <c r="B5254">
        <v>7000001</v>
      </c>
    </row>
    <row r="5255" spans="1:2" x14ac:dyDescent="0.4">
      <c r="A5255" s="4">
        <v>1003000</v>
      </c>
      <c r="B5255">
        <v>7000002</v>
      </c>
    </row>
    <row r="5256" spans="1:2" x14ac:dyDescent="0.4">
      <c r="A5256" s="4">
        <v>1003000</v>
      </c>
      <c r="B5256">
        <v>7000100</v>
      </c>
    </row>
    <row r="5257" spans="1:2" x14ac:dyDescent="0.4">
      <c r="A5257" s="4">
        <v>1003000</v>
      </c>
      <c r="B5257">
        <v>7000101</v>
      </c>
    </row>
    <row r="5258" spans="1:2" x14ac:dyDescent="0.4">
      <c r="A5258" s="4">
        <v>1003000</v>
      </c>
      <c r="B5258">
        <v>7000102</v>
      </c>
    </row>
    <row r="5259" spans="1:2" x14ac:dyDescent="0.4">
      <c r="A5259" s="4">
        <v>1003000</v>
      </c>
      <c r="B5259">
        <v>7000200</v>
      </c>
    </row>
    <row r="5260" spans="1:2" x14ac:dyDescent="0.4">
      <c r="A5260" s="4">
        <v>1003000</v>
      </c>
      <c r="B5260">
        <v>7000201</v>
      </c>
    </row>
    <row r="5261" spans="1:2" x14ac:dyDescent="0.4">
      <c r="A5261" s="4">
        <v>1003000</v>
      </c>
      <c r="B5261">
        <v>7000202</v>
      </c>
    </row>
    <row r="5262" spans="1:2" x14ac:dyDescent="0.4">
      <c r="A5262" s="4">
        <v>1003000</v>
      </c>
      <c r="B5262">
        <v>7000300</v>
      </c>
    </row>
    <row r="5263" spans="1:2" x14ac:dyDescent="0.4">
      <c r="A5263" s="4">
        <v>1003000</v>
      </c>
      <c r="B5263">
        <v>7000301</v>
      </c>
    </row>
    <row r="5264" spans="1:2" x14ac:dyDescent="0.4">
      <c r="A5264" s="4">
        <v>1003000</v>
      </c>
      <c r="B5264">
        <v>7000302</v>
      </c>
    </row>
    <row r="5265" spans="1:2" x14ac:dyDescent="0.4">
      <c r="A5265" s="4">
        <v>1003000</v>
      </c>
      <c r="B5265">
        <v>7000400</v>
      </c>
    </row>
    <row r="5266" spans="1:2" x14ac:dyDescent="0.4">
      <c r="A5266" s="4">
        <v>1003000</v>
      </c>
      <c r="B5266">
        <v>7000401</v>
      </c>
    </row>
    <row r="5267" spans="1:2" x14ac:dyDescent="0.4">
      <c r="A5267" s="4">
        <v>1003000</v>
      </c>
      <c r="B5267">
        <v>7000402</v>
      </c>
    </row>
    <row r="5268" spans="1:2" x14ac:dyDescent="0.4">
      <c r="A5268" s="4">
        <v>1003000</v>
      </c>
      <c r="B5268">
        <v>7000500</v>
      </c>
    </row>
    <row r="5269" spans="1:2" x14ac:dyDescent="0.4">
      <c r="A5269" s="4">
        <v>1003000</v>
      </c>
      <c r="B5269">
        <v>7000501</v>
      </c>
    </row>
    <row r="5270" spans="1:2" x14ac:dyDescent="0.4">
      <c r="A5270" s="4">
        <v>1003000</v>
      </c>
      <c r="B5270">
        <v>7000502</v>
      </c>
    </row>
    <row r="5271" spans="1:2" x14ac:dyDescent="0.4">
      <c r="A5271" s="4">
        <v>1003000</v>
      </c>
      <c r="B5271">
        <v>7000600</v>
      </c>
    </row>
    <row r="5272" spans="1:2" x14ac:dyDescent="0.4">
      <c r="A5272" s="4">
        <v>1003000</v>
      </c>
      <c r="B5272">
        <v>7000601</v>
      </c>
    </row>
    <row r="5273" spans="1:2" x14ac:dyDescent="0.4">
      <c r="A5273" s="4">
        <v>1003000</v>
      </c>
      <c r="B5273">
        <v>7000602</v>
      </c>
    </row>
    <row r="5274" spans="1:2" x14ac:dyDescent="0.4">
      <c r="A5274" s="4">
        <v>1003000</v>
      </c>
      <c r="B5274">
        <v>7000700</v>
      </c>
    </row>
    <row r="5275" spans="1:2" x14ac:dyDescent="0.4">
      <c r="A5275" s="4">
        <v>1003000</v>
      </c>
      <c r="B5275">
        <v>7000701</v>
      </c>
    </row>
    <row r="5276" spans="1:2" x14ac:dyDescent="0.4">
      <c r="A5276" s="4">
        <v>1003000</v>
      </c>
      <c r="B5276">
        <v>7000702</v>
      </c>
    </row>
    <row r="5277" spans="1:2" x14ac:dyDescent="0.4">
      <c r="A5277" s="4">
        <v>1003000</v>
      </c>
      <c r="B5277">
        <v>7000800</v>
      </c>
    </row>
    <row r="5278" spans="1:2" x14ac:dyDescent="0.4">
      <c r="A5278" s="4">
        <v>1003000</v>
      </c>
      <c r="B5278">
        <v>7000801</v>
      </c>
    </row>
    <row r="5279" spans="1:2" x14ac:dyDescent="0.4">
      <c r="A5279" s="4">
        <v>1003000</v>
      </c>
      <c r="B5279">
        <v>7000802</v>
      </c>
    </row>
    <row r="5280" spans="1:2" x14ac:dyDescent="0.4">
      <c r="A5280" s="4">
        <v>1003000</v>
      </c>
      <c r="B5280">
        <v>7000900</v>
      </c>
    </row>
    <row r="5281" spans="1:2" x14ac:dyDescent="0.4">
      <c r="A5281" s="4">
        <v>1003000</v>
      </c>
      <c r="B5281">
        <v>7000901</v>
      </c>
    </row>
    <row r="5282" spans="1:2" x14ac:dyDescent="0.4">
      <c r="A5282" s="4">
        <v>1003000</v>
      </c>
      <c r="B5282">
        <v>7000902</v>
      </c>
    </row>
    <row r="5283" spans="1:2" x14ac:dyDescent="0.4">
      <c r="A5283" s="4">
        <v>1003000</v>
      </c>
      <c r="B5283">
        <v>7001000</v>
      </c>
    </row>
    <row r="5284" spans="1:2" x14ac:dyDescent="0.4">
      <c r="A5284" s="4">
        <v>1003000</v>
      </c>
      <c r="B5284">
        <v>7001001</v>
      </c>
    </row>
    <row r="5285" spans="1:2" x14ac:dyDescent="0.4">
      <c r="A5285" s="4">
        <v>1003000</v>
      </c>
      <c r="B5285">
        <v>7001002</v>
      </c>
    </row>
    <row r="5286" spans="1:2" x14ac:dyDescent="0.4">
      <c r="A5286" s="4">
        <v>1003000</v>
      </c>
      <c r="B5286">
        <v>7001400</v>
      </c>
    </row>
    <row r="5287" spans="1:2" x14ac:dyDescent="0.4">
      <c r="A5287" s="4">
        <v>1003000</v>
      </c>
      <c r="B5287">
        <v>7001401</v>
      </c>
    </row>
    <row r="5288" spans="1:2" x14ac:dyDescent="0.4">
      <c r="A5288" s="4">
        <v>1003000</v>
      </c>
      <c r="B5288">
        <v>7001402</v>
      </c>
    </row>
    <row r="5289" spans="1:2" x14ac:dyDescent="0.4">
      <c r="A5289" s="4">
        <v>1003000</v>
      </c>
      <c r="B5289">
        <v>7001500</v>
      </c>
    </row>
    <row r="5290" spans="1:2" x14ac:dyDescent="0.4">
      <c r="A5290" s="4">
        <v>1003000</v>
      </c>
      <c r="B5290">
        <v>7001501</v>
      </c>
    </row>
    <row r="5291" spans="1:2" x14ac:dyDescent="0.4">
      <c r="A5291" s="4">
        <v>1003000</v>
      </c>
      <c r="B5291">
        <v>7001502</v>
      </c>
    </row>
    <row r="5292" spans="1:2" x14ac:dyDescent="0.4">
      <c r="A5292" s="4">
        <v>1003000</v>
      </c>
      <c r="B5292">
        <v>7001600</v>
      </c>
    </row>
    <row r="5293" spans="1:2" x14ac:dyDescent="0.4">
      <c r="A5293" s="4">
        <v>1003000</v>
      </c>
      <c r="B5293">
        <v>7001601</v>
      </c>
    </row>
    <row r="5294" spans="1:2" x14ac:dyDescent="0.4">
      <c r="A5294" s="4">
        <v>1003000</v>
      </c>
      <c r="B5294">
        <v>7001602</v>
      </c>
    </row>
    <row r="5295" spans="1:2" x14ac:dyDescent="0.4">
      <c r="A5295" s="4">
        <v>1003000</v>
      </c>
      <c r="B5295">
        <v>7001700</v>
      </c>
    </row>
    <row r="5296" spans="1:2" x14ac:dyDescent="0.4">
      <c r="A5296" s="4">
        <v>1003000</v>
      </c>
      <c r="B5296">
        <v>7001701</v>
      </c>
    </row>
    <row r="5297" spans="1:2" x14ac:dyDescent="0.4">
      <c r="A5297" s="4">
        <v>1003000</v>
      </c>
      <c r="B5297">
        <v>7001702</v>
      </c>
    </row>
    <row r="5298" spans="1:2" x14ac:dyDescent="0.4">
      <c r="A5298" s="4">
        <v>1003000</v>
      </c>
      <c r="B5298">
        <v>7001800</v>
      </c>
    </row>
    <row r="5299" spans="1:2" x14ac:dyDescent="0.4">
      <c r="A5299" s="4">
        <v>1003000</v>
      </c>
      <c r="B5299">
        <v>7001801</v>
      </c>
    </row>
    <row r="5300" spans="1:2" x14ac:dyDescent="0.4">
      <c r="A5300" s="4">
        <v>1003000</v>
      </c>
      <c r="B5300">
        <v>7001802</v>
      </c>
    </row>
    <row r="5301" spans="1:2" x14ac:dyDescent="0.4">
      <c r="A5301" s="4">
        <v>1003000</v>
      </c>
      <c r="B5301">
        <v>7002600</v>
      </c>
    </row>
    <row r="5302" spans="1:2" x14ac:dyDescent="0.4">
      <c r="A5302" s="4">
        <v>1003000</v>
      </c>
      <c r="B5302">
        <v>7002700</v>
      </c>
    </row>
    <row r="5303" spans="1:2" x14ac:dyDescent="0.4">
      <c r="A5303" s="4">
        <v>1003000</v>
      </c>
      <c r="B5303">
        <v>7002800</v>
      </c>
    </row>
    <row r="5304" spans="1:2" x14ac:dyDescent="0.4">
      <c r="A5304" s="4">
        <v>1003000</v>
      </c>
      <c r="B5304">
        <v>7002900</v>
      </c>
    </row>
    <row r="5305" spans="1:2" x14ac:dyDescent="0.4">
      <c r="A5305" s="4">
        <v>1003000</v>
      </c>
      <c r="B5305">
        <v>7003000</v>
      </c>
    </row>
    <row r="5306" spans="1:2" x14ac:dyDescent="0.4">
      <c r="A5306" s="4">
        <v>1003000</v>
      </c>
      <c r="B5306">
        <v>7003100</v>
      </c>
    </row>
    <row r="5307" spans="1:2" x14ac:dyDescent="0.4">
      <c r="A5307" s="4">
        <v>1003000</v>
      </c>
      <c r="B5307">
        <v>7003200</v>
      </c>
    </row>
    <row r="5308" spans="1:2" x14ac:dyDescent="0.4">
      <c r="A5308" s="4">
        <v>1003000</v>
      </c>
      <c r="B5308">
        <v>7003300</v>
      </c>
    </row>
    <row r="5309" spans="1:2" x14ac:dyDescent="0.4">
      <c r="A5309" s="4">
        <v>1003000</v>
      </c>
      <c r="B5309">
        <v>7003400</v>
      </c>
    </row>
    <row r="5310" spans="1:2" x14ac:dyDescent="0.4">
      <c r="A5310" s="4">
        <v>1003000</v>
      </c>
      <c r="B5310">
        <v>7003500</v>
      </c>
    </row>
    <row r="5311" spans="1:2" x14ac:dyDescent="0.4">
      <c r="A5311" s="4">
        <v>1003000</v>
      </c>
      <c r="B5311">
        <v>7003600</v>
      </c>
    </row>
    <row r="5312" spans="1:2" x14ac:dyDescent="0.4">
      <c r="A5312" s="4">
        <v>1003000</v>
      </c>
      <c r="B5312">
        <v>7005600</v>
      </c>
    </row>
    <row r="5313" spans="1:2" x14ac:dyDescent="0.4">
      <c r="A5313" s="4">
        <v>1003000</v>
      </c>
      <c r="B5313">
        <v>7006000</v>
      </c>
    </row>
    <row r="5314" spans="1:2" x14ac:dyDescent="0.4">
      <c r="A5314" s="4">
        <v>1003000</v>
      </c>
      <c r="B5314">
        <v>7006100</v>
      </c>
    </row>
    <row r="5315" spans="1:2" x14ac:dyDescent="0.4">
      <c r="A5315" s="4">
        <v>1003000</v>
      </c>
      <c r="B5315">
        <v>7010200</v>
      </c>
    </row>
    <row r="5316" spans="1:2" x14ac:dyDescent="0.4">
      <c r="A5316" s="4">
        <v>1003000</v>
      </c>
      <c r="B5316">
        <v>7010500</v>
      </c>
    </row>
    <row r="5317" spans="1:2" x14ac:dyDescent="0.4">
      <c r="A5317" s="4">
        <v>1003000</v>
      </c>
      <c r="B5317">
        <v>7010700</v>
      </c>
    </row>
    <row r="5318" spans="1:2" x14ac:dyDescent="0.4">
      <c r="A5318" s="4">
        <v>1003000</v>
      </c>
      <c r="B5318">
        <v>7010900</v>
      </c>
    </row>
    <row r="5319" spans="1:2" x14ac:dyDescent="0.4">
      <c r="A5319" s="4">
        <v>1003000</v>
      </c>
      <c r="B5319">
        <v>7011000</v>
      </c>
    </row>
    <row r="5320" spans="1:2" x14ac:dyDescent="0.4">
      <c r="A5320" s="4">
        <v>1003000</v>
      </c>
      <c r="B5320">
        <v>7011200</v>
      </c>
    </row>
    <row r="5321" spans="1:2" x14ac:dyDescent="0.4">
      <c r="A5321" s="4">
        <v>1003000</v>
      </c>
      <c r="B5321">
        <v>7011600</v>
      </c>
    </row>
    <row r="5322" spans="1:2" x14ac:dyDescent="0.4">
      <c r="A5322" s="4">
        <v>1003000</v>
      </c>
      <c r="B5322">
        <v>7011700</v>
      </c>
    </row>
    <row r="5323" spans="1:2" x14ac:dyDescent="0.4">
      <c r="A5323" s="4">
        <v>1003000</v>
      </c>
      <c r="B5323">
        <v>7012000</v>
      </c>
    </row>
    <row r="5324" spans="1:2" x14ac:dyDescent="0.4">
      <c r="A5324" s="4">
        <v>1003000</v>
      </c>
      <c r="B5324">
        <v>7012200</v>
      </c>
    </row>
    <row r="5325" spans="1:2" x14ac:dyDescent="0.4">
      <c r="A5325" s="4">
        <v>1003000</v>
      </c>
      <c r="B5325">
        <v>7012300</v>
      </c>
    </row>
    <row r="5326" spans="1:2" x14ac:dyDescent="0.4">
      <c r="A5326" s="4">
        <v>1003000</v>
      </c>
      <c r="B5326">
        <v>7020000</v>
      </c>
    </row>
    <row r="5327" spans="1:2" x14ac:dyDescent="0.4">
      <c r="A5327" s="4">
        <v>1003000</v>
      </c>
      <c r="B5327">
        <v>7030000</v>
      </c>
    </row>
    <row r="5328" spans="1:2" x14ac:dyDescent="0.4">
      <c r="A5328" s="4">
        <v>1003000</v>
      </c>
      <c r="B5328">
        <v>7030200</v>
      </c>
    </row>
    <row r="5329" spans="1:2" x14ac:dyDescent="0.4">
      <c r="A5329" s="4">
        <v>1003000</v>
      </c>
      <c r="B5329">
        <v>7030600</v>
      </c>
    </row>
    <row r="5330" spans="1:2" x14ac:dyDescent="0.4">
      <c r="A5330" s="4">
        <v>1003000</v>
      </c>
      <c r="B5330">
        <v>7030700</v>
      </c>
    </row>
    <row r="5331" spans="1:2" x14ac:dyDescent="0.4">
      <c r="A5331" s="4">
        <v>1003000</v>
      </c>
      <c r="B5331">
        <v>7030800</v>
      </c>
    </row>
    <row r="5332" spans="1:2" x14ac:dyDescent="0.4">
      <c r="A5332" s="4">
        <v>1003000</v>
      </c>
      <c r="B5332">
        <v>7030900</v>
      </c>
    </row>
    <row r="5333" spans="1:2" x14ac:dyDescent="0.4">
      <c r="A5333" s="4">
        <v>1003000</v>
      </c>
      <c r="B5333">
        <v>7031200</v>
      </c>
    </row>
    <row r="5334" spans="1:2" x14ac:dyDescent="0.4">
      <c r="A5334" s="4">
        <v>1003000</v>
      </c>
      <c r="B5334">
        <v>7031300</v>
      </c>
    </row>
    <row r="5335" spans="1:2" x14ac:dyDescent="0.4">
      <c r="A5335" s="4">
        <v>1003000</v>
      </c>
      <c r="B5335">
        <v>7031800</v>
      </c>
    </row>
    <row r="5336" spans="1:2" x14ac:dyDescent="0.4">
      <c r="A5336" s="4">
        <v>1003000</v>
      </c>
      <c r="B5336">
        <v>7031900</v>
      </c>
    </row>
    <row r="5337" spans="1:2" x14ac:dyDescent="0.4">
      <c r="A5337" s="4">
        <v>1003000</v>
      </c>
      <c r="B5337">
        <v>7032200</v>
      </c>
    </row>
    <row r="5338" spans="1:2" x14ac:dyDescent="0.4">
      <c r="A5338" s="4">
        <v>1003000</v>
      </c>
      <c r="B5338">
        <v>7032400</v>
      </c>
    </row>
    <row r="5339" spans="1:2" x14ac:dyDescent="0.4">
      <c r="A5339" s="4">
        <v>1003000</v>
      </c>
      <c r="B5339">
        <v>7032700</v>
      </c>
    </row>
    <row r="5340" spans="1:2" x14ac:dyDescent="0.4">
      <c r="A5340" s="4">
        <v>1003000</v>
      </c>
      <c r="B5340">
        <v>7032800</v>
      </c>
    </row>
    <row r="5341" spans="1:2" x14ac:dyDescent="0.4">
      <c r="A5341" s="4">
        <v>1003000</v>
      </c>
      <c r="B5341">
        <v>7032900</v>
      </c>
    </row>
    <row r="5342" spans="1:2" x14ac:dyDescent="0.4">
      <c r="A5342" s="4">
        <v>1003000</v>
      </c>
      <c r="B5342">
        <v>7033200</v>
      </c>
    </row>
    <row r="5343" spans="1:2" x14ac:dyDescent="0.4">
      <c r="A5343" s="4">
        <v>1003000</v>
      </c>
      <c r="B5343">
        <v>7033400</v>
      </c>
    </row>
    <row r="5344" spans="1:2" x14ac:dyDescent="0.4">
      <c r="A5344" s="4">
        <v>1003000</v>
      </c>
      <c r="B5344">
        <v>7034100</v>
      </c>
    </row>
    <row r="5345" spans="1:2" x14ac:dyDescent="0.4">
      <c r="A5345" s="4">
        <v>1003000</v>
      </c>
      <c r="B5345">
        <v>7034400</v>
      </c>
    </row>
    <row r="5346" spans="1:2" x14ac:dyDescent="0.4">
      <c r="A5346" s="4">
        <v>1003000</v>
      </c>
      <c r="B5346">
        <v>7034500</v>
      </c>
    </row>
    <row r="5347" spans="1:2" x14ac:dyDescent="0.4">
      <c r="A5347" s="4">
        <v>1003000</v>
      </c>
      <c r="B5347">
        <v>7034600</v>
      </c>
    </row>
    <row r="5348" spans="1:2" x14ac:dyDescent="0.4">
      <c r="A5348" s="4">
        <v>1003000</v>
      </c>
      <c r="B5348">
        <v>7034700</v>
      </c>
    </row>
    <row r="5349" spans="1:2" x14ac:dyDescent="0.4">
      <c r="A5349" s="4">
        <v>1003000</v>
      </c>
      <c r="B5349">
        <v>7035100</v>
      </c>
    </row>
    <row r="5350" spans="1:2" x14ac:dyDescent="0.4">
      <c r="A5350" s="4">
        <v>1003000</v>
      </c>
      <c r="B5350">
        <v>7036100</v>
      </c>
    </row>
    <row r="5351" spans="1:2" x14ac:dyDescent="0.4">
      <c r="A5351" s="4">
        <v>1003000</v>
      </c>
      <c r="B5351">
        <v>7040000</v>
      </c>
    </row>
    <row r="5352" spans="1:2" x14ac:dyDescent="0.4">
      <c r="A5352" s="4">
        <v>1003000</v>
      </c>
      <c r="B5352">
        <v>7040100</v>
      </c>
    </row>
    <row r="5353" spans="1:2" x14ac:dyDescent="0.4">
      <c r="A5353" s="4">
        <v>1003000</v>
      </c>
      <c r="B5353">
        <v>7040200</v>
      </c>
    </row>
    <row r="5354" spans="1:2" x14ac:dyDescent="0.4">
      <c r="A5354" s="4">
        <v>1003000</v>
      </c>
      <c r="B5354">
        <v>7040300</v>
      </c>
    </row>
    <row r="5355" spans="1:2" x14ac:dyDescent="0.4">
      <c r="A5355" s="4">
        <v>1003000</v>
      </c>
      <c r="B5355">
        <v>7040400</v>
      </c>
    </row>
    <row r="5356" spans="1:2" x14ac:dyDescent="0.4">
      <c r="A5356" s="4">
        <v>1003000</v>
      </c>
      <c r="B5356">
        <v>7040500</v>
      </c>
    </row>
    <row r="5357" spans="1:2" x14ac:dyDescent="0.4">
      <c r="A5357" s="4">
        <v>1003000</v>
      </c>
      <c r="B5357">
        <v>7043000</v>
      </c>
    </row>
    <row r="5358" spans="1:2" x14ac:dyDescent="0.4">
      <c r="A5358" s="4">
        <v>1003000</v>
      </c>
      <c r="B5358">
        <v>7043100</v>
      </c>
    </row>
    <row r="5359" spans="1:2" x14ac:dyDescent="0.4">
      <c r="A5359" s="4">
        <v>1003000</v>
      </c>
      <c r="B5359">
        <v>7043200</v>
      </c>
    </row>
    <row r="5360" spans="1:2" x14ac:dyDescent="0.4">
      <c r="A5360" s="4">
        <v>1003000</v>
      </c>
      <c r="B5360">
        <v>7043300</v>
      </c>
    </row>
    <row r="5361" spans="1:2" x14ac:dyDescent="0.4">
      <c r="A5361" s="4">
        <v>1003000</v>
      </c>
      <c r="B5361">
        <v>7043400</v>
      </c>
    </row>
    <row r="5362" spans="1:2" x14ac:dyDescent="0.4">
      <c r="A5362" s="4">
        <v>1003000</v>
      </c>
      <c r="B5362">
        <v>7043500</v>
      </c>
    </row>
    <row r="5363" spans="1:2" x14ac:dyDescent="0.4">
      <c r="A5363" s="4">
        <v>1003000</v>
      </c>
      <c r="B5363">
        <v>7043600</v>
      </c>
    </row>
    <row r="5364" spans="1:2" x14ac:dyDescent="0.4">
      <c r="A5364" s="4">
        <v>1003000</v>
      </c>
      <c r="B5364">
        <v>7043700</v>
      </c>
    </row>
    <row r="5365" spans="1:2" x14ac:dyDescent="0.4">
      <c r="A5365" s="4">
        <v>1003000</v>
      </c>
      <c r="B5365">
        <v>7043800</v>
      </c>
    </row>
    <row r="5366" spans="1:2" x14ac:dyDescent="0.4">
      <c r="A5366" s="4">
        <v>1003000</v>
      </c>
      <c r="B5366">
        <v>7044000</v>
      </c>
    </row>
    <row r="5367" spans="1:2" x14ac:dyDescent="0.4">
      <c r="A5367" s="4">
        <v>1003000</v>
      </c>
      <c r="B5367">
        <v>7044100</v>
      </c>
    </row>
    <row r="5368" spans="1:2" x14ac:dyDescent="0.4">
      <c r="A5368" s="4">
        <v>1003000</v>
      </c>
      <c r="B5368">
        <v>7044200</v>
      </c>
    </row>
    <row r="5369" spans="1:2" x14ac:dyDescent="0.4">
      <c r="A5369" s="4">
        <v>1003000</v>
      </c>
      <c r="B5369">
        <v>7044300</v>
      </c>
    </row>
    <row r="5370" spans="1:2" x14ac:dyDescent="0.4">
      <c r="A5370" s="4">
        <v>1003000</v>
      </c>
      <c r="B5370">
        <v>7044400</v>
      </c>
    </row>
    <row r="5371" spans="1:2" x14ac:dyDescent="0.4">
      <c r="A5371" s="4">
        <v>1003000</v>
      </c>
      <c r="B5371">
        <v>7044500</v>
      </c>
    </row>
    <row r="5372" spans="1:2" x14ac:dyDescent="0.4">
      <c r="A5372" s="4">
        <v>1003000</v>
      </c>
      <c r="B5372">
        <v>7044600</v>
      </c>
    </row>
    <row r="5373" spans="1:2" x14ac:dyDescent="0.4">
      <c r="A5373" s="4">
        <v>1003000</v>
      </c>
      <c r="B5373">
        <v>7050000</v>
      </c>
    </row>
    <row r="5374" spans="1:2" x14ac:dyDescent="0.4">
      <c r="A5374" s="4">
        <v>1003000</v>
      </c>
      <c r="B5374">
        <v>7050100</v>
      </c>
    </row>
    <row r="5375" spans="1:2" x14ac:dyDescent="0.4">
      <c r="A5375" s="4">
        <v>1003000</v>
      </c>
      <c r="B5375">
        <v>7060000</v>
      </c>
    </row>
    <row r="5376" spans="1:2" x14ac:dyDescent="0.4">
      <c r="A5376" s="4">
        <v>1003000</v>
      </c>
      <c r="B5376">
        <v>7060100</v>
      </c>
    </row>
    <row r="5377" spans="1:2" x14ac:dyDescent="0.4">
      <c r="A5377" s="4">
        <v>1003000</v>
      </c>
      <c r="B5377">
        <v>7060200</v>
      </c>
    </row>
    <row r="5378" spans="1:2" x14ac:dyDescent="0.4">
      <c r="A5378" s="4">
        <v>1003000</v>
      </c>
      <c r="B5378">
        <v>7070000</v>
      </c>
    </row>
    <row r="5379" spans="1:2" x14ac:dyDescent="0.4">
      <c r="A5379" s="4">
        <v>1003000</v>
      </c>
      <c r="B5379">
        <v>7080000</v>
      </c>
    </row>
    <row r="5380" spans="1:2" x14ac:dyDescent="0.4">
      <c r="A5380" s="4">
        <v>1003000</v>
      </c>
      <c r="B5380">
        <v>7080100</v>
      </c>
    </row>
    <row r="5381" spans="1:2" x14ac:dyDescent="0.4">
      <c r="A5381" s="4">
        <v>1003000</v>
      </c>
      <c r="B5381">
        <v>7080200</v>
      </c>
    </row>
    <row r="5382" spans="1:2" x14ac:dyDescent="0.4">
      <c r="A5382" s="4">
        <v>1003000</v>
      </c>
      <c r="B5382">
        <v>7080300</v>
      </c>
    </row>
    <row r="5383" spans="1:2" x14ac:dyDescent="0.4">
      <c r="A5383" s="4">
        <v>1003000</v>
      </c>
      <c r="B5383">
        <v>7080400</v>
      </c>
    </row>
    <row r="5384" spans="1:2" x14ac:dyDescent="0.4">
      <c r="A5384" s="4">
        <v>1003000</v>
      </c>
      <c r="B5384">
        <v>7080500</v>
      </c>
    </row>
    <row r="5385" spans="1:2" x14ac:dyDescent="0.4">
      <c r="A5385" s="4">
        <v>1003000</v>
      </c>
      <c r="B5385">
        <v>7080600</v>
      </c>
    </row>
    <row r="5386" spans="1:2" x14ac:dyDescent="0.4">
      <c r="A5386" s="4">
        <v>1003000</v>
      </c>
      <c r="B5386">
        <v>7080700</v>
      </c>
    </row>
    <row r="5387" spans="1:2" x14ac:dyDescent="0.4">
      <c r="A5387" s="4">
        <v>1003000</v>
      </c>
      <c r="B5387">
        <v>7080800</v>
      </c>
    </row>
    <row r="5388" spans="1:2" x14ac:dyDescent="0.4">
      <c r="A5388" s="4">
        <v>1003000</v>
      </c>
      <c r="B5388">
        <v>7080900</v>
      </c>
    </row>
    <row r="5389" spans="1:2" x14ac:dyDescent="0.4">
      <c r="A5389" s="4">
        <v>1003000</v>
      </c>
      <c r="B5389">
        <v>7081000</v>
      </c>
    </row>
    <row r="5390" spans="1:2" x14ac:dyDescent="0.4">
      <c r="A5390" s="4">
        <v>1003000</v>
      </c>
      <c r="B5390">
        <v>7081100</v>
      </c>
    </row>
    <row r="5391" spans="1:2" x14ac:dyDescent="0.4">
      <c r="A5391" s="4">
        <v>1003000</v>
      </c>
      <c r="B5391">
        <v>7081200</v>
      </c>
    </row>
    <row r="5392" spans="1:2" x14ac:dyDescent="0.4">
      <c r="A5392" s="4">
        <v>1003000</v>
      </c>
      <c r="B5392">
        <v>7081300</v>
      </c>
    </row>
    <row r="5393" spans="1:2" x14ac:dyDescent="0.4">
      <c r="A5393" s="4">
        <v>1003000</v>
      </c>
      <c r="B5393">
        <v>7081400</v>
      </c>
    </row>
    <row r="5394" spans="1:2" x14ac:dyDescent="0.4">
      <c r="A5394" s="4">
        <v>1003000</v>
      </c>
      <c r="B5394">
        <v>7081500</v>
      </c>
    </row>
    <row r="5395" spans="1:2" x14ac:dyDescent="0.4">
      <c r="A5395" s="4">
        <v>1003000</v>
      </c>
      <c r="B5395">
        <v>7081700</v>
      </c>
    </row>
    <row r="5396" spans="1:2" x14ac:dyDescent="0.4">
      <c r="A5396" s="4">
        <v>1003000</v>
      </c>
      <c r="B5396">
        <v>7081800</v>
      </c>
    </row>
    <row r="5397" spans="1:2" x14ac:dyDescent="0.4">
      <c r="A5397" s="4">
        <v>1003000</v>
      </c>
      <c r="B5397">
        <v>7081900</v>
      </c>
    </row>
    <row r="5398" spans="1:2" x14ac:dyDescent="0.4">
      <c r="A5398" s="4">
        <v>1003000</v>
      </c>
      <c r="B5398">
        <v>7082000</v>
      </c>
    </row>
    <row r="5399" spans="1:2" x14ac:dyDescent="0.4">
      <c r="A5399" s="4">
        <v>1003000</v>
      </c>
      <c r="B5399">
        <v>7082100</v>
      </c>
    </row>
    <row r="5400" spans="1:2" x14ac:dyDescent="0.4">
      <c r="A5400" s="4">
        <v>1003000</v>
      </c>
      <c r="B5400">
        <v>7082200</v>
      </c>
    </row>
    <row r="5401" spans="1:2" x14ac:dyDescent="0.4">
      <c r="A5401" s="4">
        <v>1003000</v>
      </c>
      <c r="B5401">
        <v>7082300</v>
      </c>
    </row>
    <row r="5402" spans="1:2" x14ac:dyDescent="0.4">
      <c r="A5402" s="4">
        <v>1003000</v>
      </c>
      <c r="B5402">
        <v>7082400</v>
      </c>
    </row>
    <row r="5403" spans="1:2" x14ac:dyDescent="0.4">
      <c r="A5403" s="4">
        <v>1003000</v>
      </c>
      <c r="B5403">
        <v>7082500</v>
      </c>
    </row>
    <row r="5404" spans="1:2" x14ac:dyDescent="0.4">
      <c r="A5404" s="4">
        <v>1003000</v>
      </c>
      <c r="B5404">
        <v>7082600</v>
      </c>
    </row>
    <row r="5405" spans="1:2" x14ac:dyDescent="0.4">
      <c r="A5405" s="4">
        <v>1003000</v>
      </c>
      <c r="B5405">
        <v>7082700</v>
      </c>
    </row>
    <row r="5406" spans="1:2" x14ac:dyDescent="0.4">
      <c r="A5406" s="4">
        <v>1003000</v>
      </c>
      <c r="B5406">
        <v>7082800</v>
      </c>
    </row>
    <row r="5407" spans="1:2" x14ac:dyDescent="0.4">
      <c r="A5407" s="4">
        <v>1003000</v>
      </c>
      <c r="B5407">
        <v>7082900</v>
      </c>
    </row>
    <row r="5408" spans="1:2" x14ac:dyDescent="0.4">
      <c r="A5408" s="4">
        <v>1003000</v>
      </c>
      <c r="B5408">
        <v>7090000</v>
      </c>
    </row>
    <row r="5409" spans="1:2" x14ac:dyDescent="0.4">
      <c r="A5409" s="4">
        <v>1003000</v>
      </c>
      <c r="B5409">
        <v>7090100</v>
      </c>
    </row>
    <row r="5410" spans="1:2" x14ac:dyDescent="0.4">
      <c r="A5410" s="4">
        <v>1003000</v>
      </c>
      <c r="B5410">
        <v>7090300</v>
      </c>
    </row>
    <row r="5411" spans="1:2" x14ac:dyDescent="0.4">
      <c r="A5411" s="4">
        <v>1003000</v>
      </c>
      <c r="B5411">
        <v>7100100</v>
      </c>
    </row>
    <row r="5412" spans="1:2" x14ac:dyDescent="0.4">
      <c r="A5412" s="4">
        <v>1003000</v>
      </c>
      <c r="B5412">
        <v>7110000</v>
      </c>
    </row>
    <row r="5413" spans="1:2" x14ac:dyDescent="0.4">
      <c r="A5413" s="4">
        <v>1003000</v>
      </c>
      <c r="B5413">
        <v>7120000</v>
      </c>
    </row>
    <row r="5414" spans="1:2" x14ac:dyDescent="0.4">
      <c r="A5414" s="4">
        <v>1003000</v>
      </c>
      <c r="B5414">
        <v>7120100</v>
      </c>
    </row>
    <row r="5415" spans="1:2" x14ac:dyDescent="0.4">
      <c r="A5415" s="4">
        <v>1003000</v>
      </c>
      <c r="B5415">
        <v>7120200</v>
      </c>
    </row>
    <row r="5416" spans="1:2" x14ac:dyDescent="0.4">
      <c r="A5416" s="4">
        <v>1003000</v>
      </c>
      <c r="B5416">
        <v>7120300</v>
      </c>
    </row>
    <row r="5417" spans="1:2" x14ac:dyDescent="0.4">
      <c r="A5417" s="4">
        <v>1003000</v>
      </c>
      <c r="B5417">
        <v>7120400</v>
      </c>
    </row>
    <row r="5418" spans="1:2" x14ac:dyDescent="0.4">
      <c r="A5418" s="4">
        <v>1003000</v>
      </c>
      <c r="B5418">
        <v>7120500</v>
      </c>
    </row>
    <row r="5419" spans="1:2" x14ac:dyDescent="0.4">
      <c r="A5419" s="4">
        <v>1003000</v>
      </c>
      <c r="B5419">
        <v>7120600</v>
      </c>
    </row>
    <row r="5420" spans="1:2" x14ac:dyDescent="0.4">
      <c r="A5420" s="4">
        <v>1003000</v>
      </c>
      <c r="B5420">
        <v>7120900</v>
      </c>
    </row>
    <row r="5421" spans="1:2" x14ac:dyDescent="0.4">
      <c r="A5421" s="4">
        <v>1003000</v>
      </c>
      <c r="B5421">
        <v>7121000</v>
      </c>
    </row>
    <row r="5422" spans="1:2" x14ac:dyDescent="0.4">
      <c r="A5422" s="4">
        <v>1003000</v>
      </c>
      <c r="B5422">
        <v>7121100</v>
      </c>
    </row>
    <row r="5423" spans="1:2" x14ac:dyDescent="0.4">
      <c r="A5423" s="4">
        <v>1003000</v>
      </c>
      <c r="B5423">
        <v>7121200</v>
      </c>
    </row>
    <row r="5424" spans="1:2" x14ac:dyDescent="0.4">
      <c r="A5424" s="4">
        <v>1003000</v>
      </c>
      <c r="B5424">
        <v>7121300</v>
      </c>
    </row>
    <row r="5425" spans="1:2" x14ac:dyDescent="0.4">
      <c r="A5425" s="4">
        <v>1003000</v>
      </c>
      <c r="B5425">
        <v>7121400</v>
      </c>
    </row>
    <row r="5426" spans="1:2" x14ac:dyDescent="0.4">
      <c r="A5426" s="4">
        <v>1003000</v>
      </c>
      <c r="B5426">
        <v>7121500</v>
      </c>
    </row>
    <row r="5427" spans="1:2" x14ac:dyDescent="0.4">
      <c r="A5427" s="4">
        <v>1003000</v>
      </c>
      <c r="B5427">
        <v>7121600</v>
      </c>
    </row>
    <row r="5428" spans="1:2" x14ac:dyDescent="0.4">
      <c r="A5428" s="4">
        <v>1003000</v>
      </c>
      <c r="B5428">
        <v>7121700</v>
      </c>
    </row>
    <row r="5429" spans="1:2" x14ac:dyDescent="0.4">
      <c r="A5429" s="4">
        <v>1003000</v>
      </c>
      <c r="B5429">
        <v>7121800</v>
      </c>
    </row>
    <row r="5430" spans="1:2" x14ac:dyDescent="0.4">
      <c r="A5430" s="4">
        <v>1003000</v>
      </c>
      <c r="B5430">
        <v>7121900</v>
      </c>
    </row>
    <row r="5431" spans="1:2" x14ac:dyDescent="0.4">
      <c r="A5431" s="4">
        <v>1003000</v>
      </c>
      <c r="B5431">
        <v>7122000</v>
      </c>
    </row>
    <row r="5432" spans="1:2" x14ac:dyDescent="0.4">
      <c r="A5432" s="4">
        <v>1003000</v>
      </c>
      <c r="B5432">
        <v>7122100</v>
      </c>
    </row>
    <row r="5433" spans="1:2" x14ac:dyDescent="0.4">
      <c r="A5433" s="4">
        <v>1003000</v>
      </c>
      <c r="B5433">
        <v>7122200</v>
      </c>
    </row>
    <row r="5434" spans="1:2" x14ac:dyDescent="0.4">
      <c r="A5434" s="4">
        <v>1003000</v>
      </c>
      <c r="B5434">
        <v>7122300</v>
      </c>
    </row>
    <row r="5435" spans="1:2" x14ac:dyDescent="0.4">
      <c r="A5435" s="4">
        <v>1003000</v>
      </c>
      <c r="B5435">
        <v>7122400</v>
      </c>
    </row>
    <row r="5436" spans="1:2" x14ac:dyDescent="0.4">
      <c r="A5436" s="4">
        <v>1003000</v>
      </c>
      <c r="B5436">
        <v>7122500</v>
      </c>
    </row>
    <row r="5437" spans="1:2" x14ac:dyDescent="0.4">
      <c r="A5437" s="4">
        <v>1003000</v>
      </c>
      <c r="B5437">
        <v>7122600</v>
      </c>
    </row>
    <row r="5438" spans="1:2" x14ac:dyDescent="0.4">
      <c r="A5438" s="4">
        <v>1003000</v>
      </c>
      <c r="B5438">
        <v>7122700</v>
      </c>
    </row>
    <row r="5439" spans="1:2" x14ac:dyDescent="0.4">
      <c r="A5439" s="4">
        <v>1003000</v>
      </c>
      <c r="B5439">
        <v>7122800</v>
      </c>
    </row>
    <row r="5440" spans="1:2" x14ac:dyDescent="0.4">
      <c r="A5440" s="4">
        <v>1003000</v>
      </c>
      <c r="B5440">
        <v>7122900</v>
      </c>
    </row>
    <row r="5441" spans="1:2" x14ac:dyDescent="0.4">
      <c r="A5441" s="4">
        <v>1003000</v>
      </c>
      <c r="B5441">
        <v>7123000</v>
      </c>
    </row>
    <row r="5442" spans="1:2" x14ac:dyDescent="0.4">
      <c r="A5442" s="4">
        <v>1003000</v>
      </c>
      <c r="B5442">
        <v>7123100</v>
      </c>
    </row>
    <row r="5443" spans="1:2" x14ac:dyDescent="0.4">
      <c r="A5443" s="4">
        <v>1003000</v>
      </c>
      <c r="B5443">
        <v>7123200</v>
      </c>
    </row>
    <row r="5444" spans="1:2" x14ac:dyDescent="0.4">
      <c r="A5444" s="4">
        <v>1003000</v>
      </c>
      <c r="B5444">
        <v>7123300</v>
      </c>
    </row>
    <row r="5445" spans="1:2" x14ac:dyDescent="0.4">
      <c r="A5445" s="4">
        <v>1003000</v>
      </c>
      <c r="B5445">
        <v>7123400</v>
      </c>
    </row>
    <row r="5446" spans="1:2" x14ac:dyDescent="0.4">
      <c r="A5446" s="4">
        <v>1003000</v>
      </c>
      <c r="B5446">
        <v>7123500</v>
      </c>
    </row>
    <row r="5447" spans="1:2" x14ac:dyDescent="0.4">
      <c r="A5447" s="4">
        <v>1003000</v>
      </c>
      <c r="B5447">
        <v>7123600</v>
      </c>
    </row>
    <row r="5448" spans="1:2" x14ac:dyDescent="0.4">
      <c r="A5448" s="4">
        <v>1003000</v>
      </c>
      <c r="B5448">
        <v>7123700</v>
      </c>
    </row>
    <row r="5449" spans="1:2" x14ac:dyDescent="0.4">
      <c r="A5449" s="4">
        <v>1003000</v>
      </c>
      <c r="B5449">
        <v>7123800</v>
      </c>
    </row>
    <row r="5450" spans="1:2" x14ac:dyDescent="0.4">
      <c r="A5450" s="4">
        <v>1003000</v>
      </c>
      <c r="B5450">
        <v>7123900</v>
      </c>
    </row>
    <row r="5451" spans="1:2" x14ac:dyDescent="0.4">
      <c r="A5451" s="4">
        <v>1003000</v>
      </c>
      <c r="B5451">
        <v>7124000</v>
      </c>
    </row>
    <row r="5452" spans="1:2" x14ac:dyDescent="0.4">
      <c r="A5452" s="4">
        <v>1003000</v>
      </c>
      <c r="B5452">
        <v>7124100</v>
      </c>
    </row>
    <row r="5453" spans="1:2" x14ac:dyDescent="0.4">
      <c r="A5453" s="4">
        <v>1003000</v>
      </c>
      <c r="B5453">
        <v>7124300</v>
      </c>
    </row>
    <row r="5454" spans="1:2" x14ac:dyDescent="0.4">
      <c r="A5454" s="4">
        <v>1003000</v>
      </c>
      <c r="B5454">
        <v>7124400</v>
      </c>
    </row>
    <row r="5455" spans="1:2" x14ac:dyDescent="0.4">
      <c r="A5455" s="4">
        <v>1003000</v>
      </c>
      <c r="B5455">
        <v>7124500</v>
      </c>
    </row>
    <row r="5456" spans="1:2" x14ac:dyDescent="0.4">
      <c r="A5456" s="4">
        <v>1003000</v>
      </c>
      <c r="B5456">
        <v>7124600</v>
      </c>
    </row>
    <row r="5457" spans="1:2" x14ac:dyDescent="0.4">
      <c r="A5457" s="4">
        <v>1003000</v>
      </c>
      <c r="B5457">
        <v>7124700</v>
      </c>
    </row>
    <row r="5458" spans="1:2" x14ac:dyDescent="0.4">
      <c r="A5458" s="4">
        <v>1003000</v>
      </c>
      <c r="B5458">
        <v>7126000</v>
      </c>
    </row>
    <row r="5459" spans="1:2" x14ac:dyDescent="0.4">
      <c r="A5459" s="4">
        <v>1003000</v>
      </c>
      <c r="B5459">
        <v>7150000</v>
      </c>
    </row>
    <row r="5460" spans="1:2" x14ac:dyDescent="0.4">
      <c r="A5460" s="4">
        <v>1003000</v>
      </c>
      <c r="B5460">
        <v>7160000</v>
      </c>
    </row>
    <row r="5461" spans="1:2" x14ac:dyDescent="0.4">
      <c r="A5461" s="4">
        <v>1003000</v>
      </c>
      <c r="B5461">
        <v>7220000</v>
      </c>
    </row>
    <row r="5462" spans="1:2" x14ac:dyDescent="0.4">
      <c r="A5462" s="4">
        <v>1003000</v>
      </c>
      <c r="B5462">
        <v>7230000</v>
      </c>
    </row>
    <row r="5463" spans="1:2" x14ac:dyDescent="0.4">
      <c r="A5463" s="4">
        <v>1003000</v>
      </c>
      <c r="B5463">
        <v>7240000</v>
      </c>
    </row>
    <row r="5464" spans="1:2" x14ac:dyDescent="0.4">
      <c r="A5464" s="4">
        <v>1003000</v>
      </c>
      <c r="B5464">
        <v>7260000</v>
      </c>
    </row>
    <row r="5465" spans="1:2" x14ac:dyDescent="0.4">
      <c r="A5465" s="4">
        <v>1003000</v>
      </c>
      <c r="B5465">
        <v>7260300</v>
      </c>
    </row>
    <row r="5466" spans="1:2" x14ac:dyDescent="0.4">
      <c r="A5466" s="4">
        <v>1003000</v>
      </c>
      <c r="B5466">
        <v>7260400</v>
      </c>
    </row>
    <row r="5467" spans="1:2" x14ac:dyDescent="0.4">
      <c r="A5467" s="4">
        <v>1003000</v>
      </c>
      <c r="B5467">
        <v>7270100</v>
      </c>
    </row>
    <row r="5468" spans="1:2" x14ac:dyDescent="0.4">
      <c r="A5468" s="4">
        <v>1003000</v>
      </c>
      <c r="B5468">
        <v>7280000</v>
      </c>
    </row>
    <row r="5469" spans="1:2" x14ac:dyDescent="0.4">
      <c r="A5469" s="4">
        <v>1003000</v>
      </c>
      <c r="B5469">
        <v>7290000</v>
      </c>
    </row>
    <row r="5470" spans="1:2" x14ac:dyDescent="0.4">
      <c r="A5470" s="4">
        <v>1003000</v>
      </c>
      <c r="B5470">
        <v>7310000</v>
      </c>
    </row>
    <row r="5471" spans="1:2" x14ac:dyDescent="0.4">
      <c r="A5471" s="4">
        <v>1003000</v>
      </c>
      <c r="B5471">
        <v>7330000</v>
      </c>
    </row>
    <row r="5472" spans="1:2" x14ac:dyDescent="0.4">
      <c r="A5472" s="4">
        <v>1003000</v>
      </c>
      <c r="B5472">
        <v>7330100</v>
      </c>
    </row>
    <row r="5473" spans="1:2" x14ac:dyDescent="0.4">
      <c r="A5473" s="4">
        <v>1003000</v>
      </c>
      <c r="B5473">
        <v>7330200</v>
      </c>
    </row>
    <row r="5474" spans="1:2" x14ac:dyDescent="0.4">
      <c r="A5474" s="4">
        <v>1003000</v>
      </c>
      <c r="B5474">
        <v>7330300</v>
      </c>
    </row>
    <row r="5475" spans="1:2" x14ac:dyDescent="0.4">
      <c r="A5475" s="4">
        <v>1003000</v>
      </c>
      <c r="B5475">
        <v>7330400</v>
      </c>
    </row>
    <row r="5476" spans="1:2" x14ac:dyDescent="0.4">
      <c r="A5476" s="4">
        <v>1003000</v>
      </c>
      <c r="B5476">
        <v>7330500</v>
      </c>
    </row>
    <row r="5477" spans="1:2" x14ac:dyDescent="0.4">
      <c r="A5477" s="4">
        <v>1003000</v>
      </c>
      <c r="B5477">
        <v>7330600</v>
      </c>
    </row>
    <row r="5478" spans="1:2" x14ac:dyDescent="0.4">
      <c r="A5478" s="4">
        <v>1003000</v>
      </c>
      <c r="B5478">
        <v>7330700</v>
      </c>
    </row>
    <row r="5479" spans="1:2" x14ac:dyDescent="0.4">
      <c r="A5479" s="4">
        <v>1003000</v>
      </c>
      <c r="B5479">
        <v>7330800</v>
      </c>
    </row>
    <row r="5480" spans="1:2" x14ac:dyDescent="0.4">
      <c r="A5480" s="4">
        <v>1003000</v>
      </c>
      <c r="B5480">
        <v>7330900</v>
      </c>
    </row>
    <row r="5481" spans="1:2" x14ac:dyDescent="0.4">
      <c r="A5481" s="4">
        <v>1003000</v>
      </c>
      <c r="B5481">
        <v>7331000</v>
      </c>
    </row>
    <row r="5482" spans="1:2" x14ac:dyDescent="0.4">
      <c r="A5482" s="4">
        <v>1003000</v>
      </c>
      <c r="B5482">
        <v>7331100</v>
      </c>
    </row>
    <row r="5483" spans="1:2" x14ac:dyDescent="0.4">
      <c r="A5483" s="4">
        <v>1003000</v>
      </c>
      <c r="B5483">
        <v>7331200</v>
      </c>
    </row>
    <row r="5484" spans="1:2" x14ac:dyDescent="0.4">
      <c r="A5484" s="4">
        <v>1003000</v>
      </c>
      <c r="B5484">
        <v>7331300</v>
      </c>
    </row>
    <row r="5485" spans="1:2" x14ac:dyDescent="0.4">
      <c r="A5485" s="4">
        <v>1003000</v>
      </c>
      <c r="B5485">
        <v>7331400</v>
      </c>
    </row>
    <row r="5486" spans="1:2" x14ac:dyDescent="0.4">
      <c r="A5486" s="4">
        <v>1003000</v>
      </c>
      <c r="B5486">
        <v>7331500</v>
      </c>
    </row>
    <row r="5487" spans="1:2" x14ac:dyDescent="0.4">
      <c r="A5487" s="4">
        <v>1003000</v>
      </c>
      <c r="B5487">
        <v>7331700</v>
      </c>
    </row>
    <row r="5488" spans="1:2" x14ac:dyDescent="0.4">
      <c r="A5488" s="4">
        <v>1003000</v>
      </c>
      <c r="B5488">
        <v>7331800</v>
      </c>
    </row>
    <row r="5489" spans="1:2" x14ac:dyDescent="0.4">
      <c r="A5489" s="4">
        <v>1003000</v>
      </c>
      <c r="B5489">
        <v>7331900</v>
      </c>
    </row>
    <row r="5490" spans="1:2" x14ac:dyDescent="0.4">
      <c r="A5490" s="4">
        <v>1003000</v>
      </c>
      <c r="B5490">
        <v>7332000</v>
      </c>
    </row>
    <row r="5491" spans="1:2" x14ac:dyDescent="0.4">
      <c r="A5491" s="4">
        <v>1003000</v>
      </c>
      <c r="B5491">
        <v>7332100</v>
      </c>
    </row>
    <row r="5492" spans="1:2" x14ac:dyDescent="0.4">
      <c r="A5492" s="4">
        <v>1003000</v>
      </c>
      <c r="B5492">
        <v>7332200</v>
      </c>
    </row>
    <row r="5493" spans="1:2" x14ac:dyDescent="0.4">
      <c r="A5493" s="4">
        <v>1003000</v>
      </c>
      <c r="B5493">
        <v>7332300</v>
      </c>
    </row>
    <row r="5494" spans="1:2" x14ac:dyDescent="0.4">
      <c r="A5494" s="4">
        <v>1003000</v>
      </c>
      <c r="B5494">
        <v>7332400</v>
      </c>
    </row>
    <row r="5495" spans="1:2" x14ac:dyDescent="0.4">
      <c r="A5495" s="4">
        <v>1003000</v>
      </c>
      <c r="B5495">
        <v>7340000</v>
      </c>
    </row>
    <row r="5496" spans="1:2" x14ac:dyDescent="0.4">
      <c r="A5496" s="4">
        <v>1003000</v>
      </c>
      <c r="B5496">
        <v>7340100</v>
      </c>
    </row>
    <row r="5497" spans="1:2" x14ac:dyDescent="0.4">
      <c r="A5497" s="4">
        <v>1003000</v>
      </c>
      <c r="B5497">
        <v>7340200</v>
      </c>
    </row>
    <row r="5498" spans="1:2" x14ac:dyDescent="0.4">
      <c r="A5498" s="4">
        <v>1003000</v>
      </c>
      <c r="B5498">
        <v>7340300</v>
      </c>
    </row>
    <row r="5499" spans="1:2" x14ac:dyDescent="0.4">
      <c r="A5499" s="4">
        <v>1003000</v>
      </c>
      <c r="B5499">
        <v>7340400</v>
      </c>
    </row>
    <row r="5500" spans="1:2" x14ac:dyDescent="0.4">
      <c r="A5500" s="4">
        <v>1003000</v>
      </c>
      <c r="B5500">
        <v>7340500</v>
      </c>
    </row>
    <row r="5501" spans="1:2" x14ac:dyDescent="0.4">
      <c r="A5501" s="4">
        <v>1003000</v>
      </c>
      <c r="B5501">
        <v>7340600</v>
      </c>
    </row>
    <row r="5502" spans="1:2" x14ac:dyDescent="0.4">
      <c r="A5502" s="4">
        <v>1003000</v>
      </c>
      <c r="B5502">
        <v>7340700</v>
      </c>
    </row>
    <row r="5503" spans="1:2" x14ac:dyDescent="0.4">
      <c r="A5503" s="4">
        <v>1003000</v>
      </c>
      <c r="B5503">
        <v>7340800</v>
      </c>
    </row>
    <row r="5504" spans="1:2" x14ac:dyDescent="0.4">
      <c r="A5504" s="4">
        <v>1003000</v>
      </c>
      <c r="B5504">
        <v>7340900</v>
      </c>
    </row>
    <row r="5505" spans="1:2" x14ac:dyDescent="0.4">
      <c r="A5505" s="4">
        <v>1003000</v>
      </c>
      <c r="B5505">
        <v>7341000</v>
      </c>
    </row>
    <row r="5506" spans="1:2" x14ac:dyDescent="0.4">
      <c r="A5506" s="4">
        <v>1003000</v>
      </c>
      <c r="B5506">
        <v>7341100</v>
      </c>
    </row>
    <row r="5507" spans="1:2" x14ac:dyDescent="0.4">
      <c r="A5507" s="4">
        <v>1003000</v>
      </c>
      <c r="B5507">
        <v>7341200</v>
      </c>
    </row>
    <row r="5508" spans="1:2" x14ac:dyDescent="0.4">
      <c r="A5508" s="4">
        <v>1003000</v>
      </c>
      <c r="B5508">
        <v>7341300</v>
      </c>
    </row>
    <row r="5509" spans="1:2" x14ac:dyDescent="0.4">
      <c r="A5509" s="4">
        <v>1003000</v>
      </c>
      <c r="B5509">
        <v>7341400</v>
      </c>
    </row>
    <row r="5510" spans="1:2" x14ac:dyDescent="0.4">
      <c r="A5510" s="4">
        <v>1003000</v>
      </c>
      <c r="B5510">
        <v>7341500</v>
      </c>
    </row>
    <row r="5511" spans="1:2" x14ac:dyDescent="0.4">
      <c r="A5511" s="4">
        <v>1003000</v>
      </c>
      <c r="B5511">
        <v>7341700</v>
      </c>
    </row>
    <row r="5512" spans="1:2" x14ac:dyDescent="0.4">
      <c r="A5512" s="4">
        <v>1003000</v>
      </c>
      <c r="B5512">
        <v>7341800</v>
      </c>
    </row>
    <row r="5513" spans="1:2" x14ac:dyDescent="0.4">
      <c r="A5513" s="4">
        <v>1003000</v>
      </c>
      <c r="B5513">
        <v>7341900</v>
      </c>
    </row>
    <row r="5514" spans="1:2" x14ac:dyDescent="0.4">
      <c r="A5514" s="4">
        <v>1003000</v>
      </c>
      <c r="B5514">
        <v>7342000</v>
      </c>
    </row>
    <row r="5515" spans="1:2" x14ac:dyDescent="0.4">
      <c r="A5515" s="4">
        <v>1003000</v>
      </c>
      <c r="B5515">
        <v>7342100</v>
      </c>
    </row>
    <row r="5516" spans="1:2" x14ac:dyDescent="0.4">
      <c r="A5516" s="4">
        <v>1003000</v>
      </c>
      <c r="B5516">
        <v>7342200</v>
      </c>
    </row>
    <row r="5517" spans="1:2" x14ac:dyDescent="0.4">
      <c r="A5517" s="4">
        <v>1003000</v>
      </c>
      <c r="B5517">
        <v>7342300</v>
      </c>
    </row>
    <row r="5518" spans="1:2" x14ac:dyDescent="0.4">
      <c r="A5518" s="4">
        <v>1003000</v>
      </c>
      <c r="B5518">
        <v>7342400</v>
      </c>
    </row>
    <row r="5519" spans="1:2" x14ac:dyDescent="0.4">
      <c r="A5519" s="4">
        <v>1003000</v>
      </c>
      <c r="B5519">
        <v>7350000</v>
      </c>
    </row>
    <row r="5520" spans="1:2" x14ac:dyDescent="0.4">
      <c r="A5520" s="4">
        <v>1003000</v>
      </c>
      <c r="B5520">
        <v>7350100</v>
      </c>
    </row>
    <row r="5521" spans="1:2" x14ac:dyDescent="0.4">
      <c r="A5521" s="4">
        <v>1003000</v>
      </c>
      <c r="B5521">
        <v>7350200</v>
      </c>
    </row>
    <row r="5522" spans="1:2" x14ac:dyDescent="0.4">
      <c r="A5522" s="4">
        <v>1003000</v>
      </c>
      <c r="B5522">
        <v>7350300</v>
      </c>
    </row>
    <row r="5523" spans="1:2" x14ac:dyDescent="0.4">
      <c r="A5523" s="4">
        <v>1003000</v>
      </c>
      <c r="B5523">
        <v>7350400</v>
      </c>
    </row>
    <row r="5524" spans="1:2" x14ac:dyDescent="0.4">
      <c r="A5524" s="4">
        <v>1003000</v>
      </c>
      <c r="B5524">
        <v>7350500</v>
      </c>
    </row>
    <row r="5525" spans="1:2" x14ac:dyDescent="0.4">
      <c r="A5525" s="4">
        <v>1003000</v>
      </c>
      <c r="B5525">
        <v>7350600</v>
      </c>
    </row>
    <row r="5526" spans="1:2" x14ac:dyDescent="0.4">
      <c r="A5526" s="4">
        <v>1003000</v>
      </c>
      <c r="B5526">
        <v>7350700</v>
      </c>
    </row>
    <row r="5527" spans="1:2" x14ac:dyDescent="0.4">
      <c r="A5527" s="4">
        <v>1003000</v>
      </c>
      <c r="B5527">
        <v>7350800</v>
      </c>
    </row>
    <row r="5528" spans="1:2" x14ac:dyDescent="0.4">
      <c r="A5528" s="4">
        <v>1003000</v>
      </c>
      <c r="B5528">
        <v>7350900</v>
      </c>
    </row>
    <row r="5529" spans="1:2" x14ac:dyDescent="0.4">
      <c r="A5529" s="4">
        <v>1003000</v>
      </c>
      <c r="B5529">
        <v>7351000</v>
      </c>
    </row>
    <row r="5530" spans="1:2" x14ac:dyDescent="0.4">
      <c r="A5530" s="4">
        <v>1003000</v>
      </c>
      <c r="B5530">
        <v>7351100</v>
      </c>
    </row>
    <row r="5531" spans="1:2" x14ac:dyDescent="0.4">
      <c r="A5531" s="4">
        <v>1003000</v>
      </c>
      <c r="B5531">
        <v>7351200</v>
      </c>
    </row>
    <row r="5532" spans="1:2" x14ac:dyDescent="0.4">
      <c r="A5532" s="4">
        <v>1003000</v>
      </c>
      <c r="B5532">
        <v>7351300</v>
      </c>
    </row>
    <row r="5533" spans="1:2" x14ac:dyDescent="0.4">
      <c r="A5533" s="4">
        <v>1003000</v>
      </c>
      <c r="B5533">
        <v>7351400</v>
      </c>
    </row>
    <row r="5534" spans="1:2" x14ac:dyDescent="0.4">
      <c r="A5534" s="4">
        <v>1003000</v>
      </c>
      <c r="B5534">
        <v>7351500</v>
      </c>
    </row>
    <row r="5535" spans="1:2" x14ac:dyDescent="0.4">
      <c r="A5535" s="4">
        <v>1003000</v>
      </c>
      <c r="B5535">
        <v>7351700</v>
      </c>
    </row>
    <row r="5536" spans="1:2" x14ac:dyDescent="0.4">
      <c r="A5536" s="4">
        <v>1003000</v>
      </c>
      <c r="B5536">
        <v>7351800</v>
      </c>
    </row>
    <row r="5537" spans="1:2" x14ac:dyDescent="0.4">
      <c r="A5537" s="4">
        <v>1003000</v>
      </c>
      <c r="B5537">
        <v>7351900</v>
      </c>
    </row>
    <row r="5538" spans="1:2" x14ac:dyDescent="0.4">
      <c r="A5538" s="4">
        <v>1003000</v>
      </c>
      <c r="B5538">
        <v>7352000</v>
      </c>
    </row>
    <row r="5539" spans="1:2" x14ac:dyDescent="0.4">
      <c r="A5539" s="4">
        <v>1003000</v>
      </c>
      <c r="B5539">
        <v>7352100</v>
      </c>
    </row>
    <row r="5540" spans="1:2" x14ac:dyDescent="0.4">
      <c r="A5540" s="4">
        <v>1003000</v>
      </c>
      <c r="B5540">
        <v>7352200</v>
      </c>
    </row>
    <row r="5541" spans="1:2" x14ac:dyDescent="0.4">
      <c r="A5541" s="4">
        <v>1003000</v>
      </c>
      <c r="B5541">
        <v>7352300</v>
      </c>
    </row>
    <row r="5542" spans="1:2" x14ac:dyDescent="0.4">
      <c r="A5542" s="4">
        <v>1003000</v>
      </c>
      <c r="B5542">
        <v>7352400</v>
      </c>
    </row>
    <row r="5543" spans="1:2" x14ac:dyDescent="0.4">
      <c r="A5543" s="4">
        <v>1003000</v>
      </c>
      <c r="B5543">
        <v>7360600</v>
      </c>
    </row>
    <row r="5544" spans="1:2" x14ac:dyDescent="0.4">
      <c r="A5544" s="4">
        <v>1003000</v>
      </c>
      <c r="B5544">
        <v>7360900</v>
      </c>
    </row>
    <row r="5545" spans="1:2" x14ac:dyDescent="0.4">
      <c r="A5545" s="4">
        <v>1003000</v>
      </c>
      <c r="B5545">
        <v>7361200</v>
      </c>
    </row>
    <row r="5546" spans="1:2" x14ac:dyDescent="0.4">
      <c r="A5546" s="4">
        <v>1003000</v>
      </c>
      <c r="B5546">
        <v>7361300</v>
      </c>
    </row>
    <row r="5547" spans="1:2" x14ac:dyDescent="0.4">
      <c r="A5547" s="4">
        <v>1003000</v>
      </c>
      <c r="B5547">
        <v>7362100</v>
      </c>
    </row>
    <row r="5548" spans="1:2" x14ac:dyDescent="0.4">
      <c r="A5548" s="4">
        <v>1003000</v>
      </c>
      <c r="B5548">
        <v>7370300</v>
      </c>
    </row>
    <row r="5549" spans="1:2" x14ac:dyDescent="0.4">
      <c r="A5549" s="4">
        <v>1003000</v>
      </c>
      <c r="B5549">
        <v>7370400</v>
      </c>
    </row>
    <row r="5550" spans="1:2" x14ac:dyDescent="0.4">
      <c r="A5550" s="4">
        <v>1003000</v>
      </c>
      <c r="B5550">
        <v>7370600</v>
      </c>
    </row>
    <row r="5551" spans="1:2" x14ac:dyDescent="0.4">
      <c r="A5551" s="4">
        <v>1003000</v>
      </c>
      <c r="B5551">
        <v>7370900</v>
      </c>
    </row>
    <row r="5552" spans="1:2" x14ac:dyDescent="0.4">
      <c r="A5552" s="4">
        <v>1003000</v>
      </c>
      <c r="B5552">
        <v>7371500</v>
      </c>
    </row>
    <row r="5553" spans="1:2" x14ac:dyDescent="0.4">
      <c r="A5553" s="4">
        <v>1003000</v>
      </c>
      <c r="B5553">
        <v>7036200</v>
      </c>
    </row>
    <row r="5554" spans="1:2" x14ac:dyDescent="0.4">
      <c r="A5554" s="4">
        <v>1003000</v>
      </c>
      <c r="B5554">
        <v>7036300</v>
      </c>
    </row>
    <row r="5555" spans="1:2" x14ac:dyDescent="0.4">
      <c r="A5555" s="4">
        <v>1003000</v>
      </c>
      <c r="B5555">
        <v>7036400</v>
      </c>
    </row>
    <row r="5556" spans="1:2" x14ac:dyDescent="0.4">
      <c r="A5556" s="4">
        <v>1003000</v>
      </c>
      <c r="B5556">
        <v>7036500</v>
      </c>
    </row>
    <row r="5557" spans="1:2" x14ac:dyDescent="0.4">
      <c r="A5557" s="4">
        <v>1003000</v>
      </c>
      <c r="B5557">
        <v>7036800</v>
      </c>
    </row>
    <row r="5558" spans="1:2" x14ac:dyDescent="0.4">
      <c r="A5558" s="4">
        <v>1003000</v>
      </c>
      <c r="B5558">
        <v>7036900</v>
      </c>
    </row>
    <row r="5559" spans="1:2" x14ac:dyDescent="0.4">
      <c r="A5559" s="4">
        <v>1003000</v>
      </c>
      <c r="B5559">
        <v>7037000</v>
      </c>
    </row>
    <row r="5560" spans="1:2" x14ac:dyDescent="0.4">
      <c r="A5560" s="4">
        <v>1003000</v>
      </c>
      <c r="B5560">
        <v>7037300</v>
      </c>
    </row>
    <row r="5561" spans="1:2" x14ac:dyDescent="0.4">
      <c r="A5561" s="4">
        <v>1003000</v>
      </c>
      <c r="B5561">
        <v>6630000</v>
      </c>
    </row>
    <row r="5562" spans="1:2" x14ac:dyDescent="0.4">
      <c r="A5562" s="4">
        <v>1003000</v>
      </c>
      <c r="B5562">
        <v>6630100</v>
      </c>
    </row>
    <row r="5563" spans="1:2" x14ac:dyDescent="0.4">
      <c r="A5563" s="4">
        <v>1003000</v>
      </c>
      <c r="B5563">
        <v>6630200</v>
      </c>
    </row>
    <row r="5564" spans="1:2" x14ac:dyDescent="0.4">
      <c r="A5564" s="4">
        <v>1003000</v>
      </c>
      <c r="B5564">
        <v>6630300</v>
      </c>
    </row>
    <row r="5565" spans="1:2" x14ac:dyDescent="0.4">
      <c r="A5565" s="4">
        <v>1003000</v>
      </c>
      <c r="B5565">
        <v>6630400</v>
      </c>
    </row>
    <row r="5566" spans="1:2" x14ac:dyDescent="0.4">
      <c r="A5566" s="4">
        <v>1003000</v>
      </c>
      <c r="B5566">
        <v>6630500</v>
      </c>
    </row>
    <row r="5567" spans="1:2" x14ac:dyDescent="0.4">
      <c r="A5567" s="4">
        <v>1003000</v>
      </c>
      <c r="B5567">
        <v>6630600</v>
      </c>
    </row>
    <row r="5568" spans="1:2" x14ac:dyDescent="0.4">
      <c r="A5568" s="4">
        <v>1003000</v>
      </c>
      <c r="B5568">
        <v>6630700</v>
      </c>
    </row>
    <row r="5569" spans="1:2" x14ac:dyDescent="0.4">
      <c r="A5569" s="4">
        <v>1003000</v>
      </c>
      <c r="B5569">
        <v>6630800</v>
      </c>
    </row>
    <row r="5570" spans="1:2" x14ac:dyDescent="0.4">
      <c r="A5570" s="4">
        <v>1003000</v>
      </c>
      <c r="B5570">
        <v>6630900</v>
      </c>
    </row>
    <row r="5571" spans="1:2" x14ac:dyDescent="0.4">
      <c r="A5571" s="4">
        <v>1003000</v>
      </c>
      <c r="B5571">
        <v>6631000</v>
      </c>
    </row>
    <row r="5572" spans="1:2" x14ac:dyDescent="0.4">
      <c r="A5572" s="4">
        <v>1003000</v>
      </c>
      <c r="B5572">
        <v>6631100</v>
      </c>
    </row>
    <row r="5573" spans="1:2" x14ac:dyDescent="0.4">
      <c r="A5573" s="4">
        <v>1003000</v>
      </c>
      <c r="B5573">
        <v>6631200</v>
      </c>
    </row>
    <row r="5574" spans="1:2" x14ac:dyDescent="0.4">
      <c r="A5574" s="4">
        <v>1003000</v>
      </c>
      <c r="B5574">
        <v>6631300</v>
      </c>
    </row>
    <row r="5575" spans="1:2" x14ac:dyDescent="0.4">
      <c r="A5575" s="4">
        <v>1003000</v>
      </c>
      <c r="B5575">
        <v>6631400</v>
      </c>
    </row>
    <row r="5576" spans="1:2" x14ac:dyDescent="0.4">
      <c r="A5576" s="4">
        <v>1003000</v>
      </c>
      <c r="B5576">
        <v>6631500</v>
      </c>
    </row>
    <row r="5577" spans="1:2" x14ac:dyDescent="0.4">
      <c r="A5577" s="4">
        <v>1003000</v>
      </c>
      <c r="B5577">
        <v>6631600</v>
      </c>
    </row>
    <row r="5578" spans="1:2" x14ac:dyDescent="0.4">
      <c r="A5578" s="4">
        <v>1003000</v>
      </c>
      <c r="B5578">
        <v>6631700</v>
      </c>
    </row>
    <row r="5579" spans="1:2" x14ac:dyDescent="0.4">
      <c r="A5579" s="4">
        <v>1003000</v>
      </c>
      <c r="B5579">
        <v>6631800</v>
      </c>
    </row>
    <row r="5580" spans="1:2" x14ac:dyDescent="0.4">
      <c r="A5580" s="4">
        <v>1003000</v>
      </c>
      <c r="B5580">
        <v>6631900</v>
      </c>
    </row>
    <row r="5581" spans="1:2" x14ac:dyDescent="0.4">
      <c r="A5581" s="4">
        <v>1003000</v>
      </c>
      <c r="B5581">
        <v>6632000</v>
      </c>
    </row>
    <row r="5582" spans="1:2" x14ac:dyDescent="0.4">
      <c r="A5582" s="4">
        <v>1003000</v>
      </c>
      <c r="B5582">
        <v>6632100</v>
      </c>
    </row>
    <row r="5583" spans="1:2" x14ac:dyDescent="0.4">
      <c r="A5583" s="4">
        <v>1003000</v>
      </c>
      <c r="B5583">
        <v>6632200</v>
      </c>
    </row>
    <row r="5584" spans="1:2" x14ac:dyDescent="0.4">
      <c r="A5584" s="4">
        <v>1003000</v>
      </c>
      <c r="B5584">
        <v>6632300</v>
      </c>
    </row>
    <row r="5585" spans="1:2" x14ac:dyDescent="0.4">
      <c r="A5585" s="4">
        <v>1003000</v>
      </c>
      <c r="B5585">
        <v>6632400</v>
      </c>
    </row>
    <row r="5586" spans="1:2" x14ac:dyDescent="0.4">
      <c r="A5586" s="4">
        <v>1003000</v>
      </c>
      <c r="B5586">
        <v>6632500</v>
      </c>
    </row>
    <row r="5587" spans="1:2" x14ac:dyDescent="0.4">
      <c r="A5587" s="4">
        <v>1003000</v>
      </c>
      <c r="B5587">
        <v>6632600</v>
      </c>
    </row>
    <row r="5588" spans="1:2" x14ac:dyDescent="0.4">
      <c r="A5588" s="4">
        <v>1003000</v>
      </c>
      <c r="B5588">
        <v>6632700</v>
      </c>
    </row>
    <row r="5589" spans="1:2" x14ac:dyDescent="0.4">
      <c r="A5589" s="4">
        <v>1003000</v>
      </c>
      <c r="B5589">
        <v>6632800</v>
      </c>
    </row>
    <row r="5590" spans="1:2" x14ac:dyDescent="0.4">
      <c r="A5590" s="4">
        <v>1003000</v>
      </c>
      <c r="B5590">
        <v>6632900</v>
      </c>
    </row>
    <row r="5591" spans="1:2" x14ac:dyDescent="0.4">
      <c r="A5591" s="4">
        <v>1003000</v>
      </c>
      <c r="B5591">
        <v>6633000</v>
      </c>
    </row>
    <row r="5592" spans="1:2" x14ac:dyDescent="0.4">
      <c r="A5592" s="4">
        <v>1003000</v>
      </c>
      <c r="B5592">
        <v>6633100</v>
      </c>
    </row>
    <row r="5593" spans="1:2" x14ac:dyDescent="0.4">
      <c r="A5593" s="4">
        <v>1003000</v>
      </c>
      <c r="B5593">
        <v>6633200</v>
      </c>
    </row>
    <row r="5594" spans="1:2" x14ac:dyDescent="0.4">
      <c r="A5594" s="4">
        <v>1003000</v>
      </c>
      <c r="B5594">
        <v>6647200</v>
      </c>
    </row>
    <row r="5595" spans="1:2" x14ac:dyDescent="0.4">
      <c r="A5595" s="4">
        <v>1003000</v>
      </c>
      <c r="B5595">
        <v>6647300</v>
      </c>
    </row>
    <row r="5596" spans="1:2" x14ac:dyDescent="0.4">
      <c r="A5596" s="4">
        <v>1003000</v>
      </c>
      <c r="B5596">
        <v>6647400</v>
      </c>
    </row>
    <row r="5597" spans="1:2" x14ac:dyDescent="0.4">
      <c r="A5597" s="4">
        <v>1003000</v>
      </c>
      <c r="B5597">
        <v>6647500</v>
      </c>
    </row>
    <row r="5598" spans="1:2" x14ac:dyDescent="0.4">
      <c r="A5598" s="4">
        <v>1003000</v>
      </c>
      <c r="B5598">
        <v>6640000</v>
      </c>
    </row>
    <row r="5599" spans="1:2" x14ac:dyDescent="0.4">
      <c r="A5599" s="4">
        <v>1003000</v>
      </c>
      <c r="B5599">
        <v>6640100</v>
      </c>
    </row>
    <row r="5600" spans="1:2" x14ac:dyDescent="0.4">
      <c r="A5600" s="4">
        <v>1003000</v>
      </c>
      <c r="B5600">
        <v>6641000</v>
      </c>
    </row>
    <row r="5601" spans="1:2" x14ac:dyDescent="0.4">
      <c r="A5601" s="4">
        <v>1003000</v>
      </c>
      <c r="B5601">
        <v>6641100</v>
      </c>
    </row>
    <row r="5602" spans="1:2" x14ac:dyDescent="0.4">
      <c r="A5602" s="4">
        <v>1003000</v>
      </c>
      <c r="B5602">
        <v>6642000</v>
      </c>
    </row>
    <row r="5603" spans="1:2" x14ac:dyDescent="0.4">
      <c r="A5603" s="4">
        <v>1003000</v>
      </c>
      <c r="B5603">
        <v>6642100</v>
      </c>
    </row>
    <row r="5604" spans="1:2" x14ac:dyDescent="0.4">
      <c r="A5604" s="4">
        <v>1003000</v>
      </c>
      <c r="B5604">
        <v>6643000</v>
      </c>
    </row>
    <row r="5605" spans="1:2" x14ac:dyDescent="0.4">
      <c r="A5605" s="4">
        <v>1003000</v>
      </c>
      <c r="B5605">
        <v>6643100</v>
      </c>
    </row>
    <row r="5606" spans="1:2" x14ac:dyDescent="0.4">
      <c r="A5606" s="4">
        <v>1003000</v>
      </c>
      <c r="B5606">
        <v>6644000</v>
      </c>
    </row>
    <row r="5607" spans="1:2" x14ac:dyDescent="0.4">
      <c r="A5607" s="4">
        <v>1003000</v>
      </c>
      <c r="B5607">
        <v>6644100</v>
      </c>
    </row>
    <row r="5608" spans="1:2" x14ac:dyDescent="0.4">
      <c r="A5608" s="4">
        <v>1003000</v>
      </c>
      <c r="B5608">
        <v>6645000</v>
      </c>
    </row>
    <row r="5609" spans="1:2" x14ac:dyDescent="0.4">
      <c r="A5609" s="4">
        <v>1003000</v>
      </c>
      <c r="B5609">
        <v>6645100</v>
      </c>
    </row>
    <row r="5610" spans="1:2" x14ac:dyDescent="0.4">
      <c r="A5610" s="4">
        <v>1003000</v>
      </c>
      <c r="B5610">
        <v>6646000</v>
      </c>
    </row>
    <row r="5611" spans="1:2" x14ac:dyDescent="0.4">
      <c r="A5611" s="4">
        <v>1003000</v>
      </c>
      <c r="B5611">
        <v>6646100</v>
      </c>
    </row>
    <row r="5612" spans="1:2" x14ac:dyDescent="0.4">
      <c r="A5612" s="4">
        <v>1003000</v>
      </c>
      <c r="B5612">
        <v>6647000</v>
      </c>
    </row>
    <row r="5613" spans="1:2" x14ac:dyDescent="0.4">
      <c r="A5613" s="4">
        <v>1003000</v>
      </c>
      <c r="B5613">
        <v>6647100</v>
      </c>
    </row>
    <row r="5614" spans="1:2" x14ac:dyDescent="0.4">
      <c r="A5614" s="4">
        <v>1003001</v>
      </c>
      <c r="B5614">
        <v>7000000</v>
      </c>
    </row>
    <row r="5615" spans="1:2" x14ac:dyDescent="0.4">
      <c r="A5615" s="4">
        <v>1003001</v>
      </c>
      <c r="B5615">
        <v>7000001</v>
      </c>
    </row>
    <row r="5616" spans="1:2" x14ac:dyDescent="0.4">
      <c r="A5616" s="4">
        <v>1003001</v>
      </c>
      <c r="B5616">
        <v>7000002</v>
      </c>
    </row>
    <row r="5617" spans="1:2" x14ac:dyDescent="0.4">
      <c r="A5617" s="4">
        <v>1003001</v>
      </c>
      <c r="B5617">
        <v>7000100</v>
      </c>
    </row>
    <row r="5618" spans="1:2" x14ac:dyDescent="0.4">
      <c r="A5618" s="4">
        <v>1003001</v>
      </c>
      <c r="B5618">
        <v>7000101</v>
      </c>
    </row>
    <row r="5619" spans="1:2" x14ac:dyDescent="0.4">
      <c r="A5619" s="4">
        <v>1003001</v>
      </c>
      <c r="B5619">
        <v>7000102</v>
      </c>
    </row>
    <row r="5620" spans="1:2" x14ac:dyDescent="0.4">
      <c r="A5620" s="4">
        <v>1003001</v>
      </c>
      <c r="B5620">
        <v>7000200</v>
      </c>
    </row>
    <row r="5621" spans="1:2" x14ac:dyDescent="0.4">
      <c r="A5621" s="4">
        <v>1003001</v>
      </c>
      <c r="B5621">
        <v>7000201</v>
      </c>
    </row>
    <row r="5622" spans="1:2" x14ac:dyDescent="0.4">
      <c r="A5622" s="4">
        <v>1003001</v>
      </c>
      <c r="B5622">
        <v>7000202</v>
      </c>
    </row>
    <row r="5623" spans="1:2" x14ac:dyDescent="0.4">
      <c r="A5623" s="4">
        <v>1003001</v>
      </c>
      <c r="B5623">
        <v>7000300</v>
      </c>
    </row>
    <row r="5624" spans="1:2" x14ac:dyDescent="0.4">
      <c r="A5624" s="4">
        <v>1003001</v>
      </c>
      <c r="B5624">
        <v>7000301</v>
      </c>
    </row>
    <row r="5625" spans="1:2" x14ac:dyDescent="0.4">
      <c r="A5625" s="4">
        <v>1003001</v>
      </c>
      <c r="B5625">
        <v>7000302</v>
      </c>
    </row>
    <row r="5626" spans="1:2" x14ac:dyDescent="0.4">
      <c r="A5626" s="4">
        <v>1003001</v>
      </c>
      <c r="B5626">
        <v>7000400</v>
      </c>
    </row>
    <row r="5627" spans="1:2" x14ac:dyDescent="0.4">
      <c r="A5627" s="4">
        <v>1003001</v>
      </c>
      <c r="B5627">
        <v>7000401</v>
      </c>
    </row>
    <row r="5628" spans="1:2" x14ac:dyDescent="0.4">
      <c r="A5628" s="4">
        <v>1003001</v>
      </c>
      <c r="B5628">
        <v>7000402</v>
      </c>
    </row>
    <row r="5629" spans="1:2" x14ac:dyDescent="0.4">
      <c r="A5629" s="4">
        <v>1003001</v>
      </c>
      <c r="B5629">
        <v>7000500</v>
      </c>
    </row>
    <row r="5630" spans="1:2" x14ac:dyDescent="0.4">
      <c r="A5630" s="4">
        <v>1003001</v>
      </c>
      <c r="B5630">
        <v>7000501</v>
      </c>
    </row>
    <row r="5631" spans="1:2" x14ac:dyDescent="0.4">
      <c r="A5631" s="4">
        <v>1003001</v>
      </c>
      <c r="B5631">
        <v>7000502</v>
      </c>
    </row>
    <row r="5632" spans="1:2" x14ac:dyDescent="0.4">
      <c r="A5632" s="4">
        <v>1003001</v>
      </c>
      <c r="B5632">
        <v>7000600</v>
      </c>
    </row>
    <row r="5633" spans="1:2" x14ac:dyDescent="0.4">
      <c r="A5633" s="4">
        <v>1003001</v>
      </c>
      <c r="B5633">
        <v>7000601</v>
      </c>
    </row>
    <row r="5634" spans="1:2" x14ac:dyDescent="0.4">
      <c r="A5634" s="4">
        <v>1003001</v>
      </c>
      <c r="B5634">
        <v>7000602</v>
      </c>
    </row>
    <row r="5635" spans="1:2" x14ac:dyDescent="0.4">
      <c r="A5635" s="4">
        <v>1003001</v>
      </c>
      <c r="B5635">
        <v>7000700</v>
      </c>
    </row>
    <row r="5636" spans="1:2" x14ac:dyDescent="0.4">
      <c r="A5636" s="4">
        <v>1003001</v>
      </c>
      <c r="B5636">
        <v>7000701</v>
      </c>
    </row>
    <row r="5637" spans="1:2" x14ac:dyDescent="0.4">
      <c r="A5637" s="4">
        <v>1003001</v>
      </c>
      <c r="B5637">
        <v>7000702</v>
      </c>
    </row>
    <row r="5638" spans="1:2" x14ac:dyDescent="0.4">
      <c r="A5638" s="4">
        <v>1003001</v>
      </c>
      <c r="B5638">
        <v>7000800</v>
      </c>
    </row>
    <row r="5639" spans="1:2" x14ac:dyDescent="0.4">
      <c r="A5639" s="4">
        <v>1003001</v>
      </c>
      <c r="B5639">
        <v>7000801</v>
      </c>
    </row>
    <row r="5640" spans="1:2" x14ac:dyDescent="0.4">
      <c r="A5640" s="4">
        <v>1003001</v>
      </c>
      <c r="B5640">
        <v>7000802</v>
      </c>
    </row>
    <row r="5641" spans="1:2" x14ac:dyDescent="0.4">
      <c r="A5641" s="4">
        <v>1003001</v>
      </c>
      <c r="B5641">
        <v>7000900</v>
      </c>
    </row>
    <row r="5642" spans="1:2" x14ac:dyDescent="0.4">
      <c r="A5642" s="4">
        <v>1003001</v>
      </c>
      <c r="B5642">
        <v>7000901</v>
      </c>
    </row>
    <row r="5643" spans="1:2" x14ac:dyDescent="0.4">
      <c r="A5643" s="4">
        <v>1003001</v>
      </c>
      <c r="B5643">
        <v>7000902</v>
      </c>
    </row>
    <row r="5644" spans="1:2" x14ac:dyDescent="0.4">
      <c r="A5644" s="4">
        <v>1003001</v>
      </c>
      <c r="B5644">
        <v>7001000</v>
      </c>
    </row>
    <row r="5645" spans="1:2" x14ac:dyDescent="0.4">
      <c r="A5645" s="4">
        <v>1003001</v>
      </c>
      <c r="B5645">
        <v>7001001</v>
      </c>
    </row>
    <row r="5646" spans="1:2" x14ac:dyDescent="0.4">
      <c r="A5646" s="4">
        <v>1003001</v>
      </c>
      <c r="B5646">
        <v>7001002</v>
      </c>
    </row>
    <row r="5647" spans="1:2" x14ac:dyDescent="0.4">
      <c r="A5647" s="4">
        <v>1003001</v>
      </c>
      <c r="B5647">
        <v>7001400</v>
      </c>
    </row>
    <row r="5648" spans="1:2" x14ac:dyDescent="0.4">
      <c r="A5648" s="4">
        <v>1003001</v>
      </c>
      <c r="B5648">
        <v>7001401</v>
      </c>
    </row>
    <row r="5649" spans="1:2" x14ac:dyDescent="0.4">
      <c r="A5649" s="4">
        <v>1003001</v>
      </c>
      <c r="B5649">
        <v>7001402</v>
      </c>
    </row>
    <row r="5650" spans="1:2" x14ac:dyDescent="0.4">
      <c r="A5650" s="4">
        <v>1003001</v>
      </c>
      <c r="B5650">
        <v>7001500</v>
      </c>
    </row>
    <row r="5651" spans="1:2" x14ac:dyDescent="0.4">
      <c r="A5651" s="4">
        <v>1003001</v>
      </c>
      <c r="B5651">
        <v>7001501</v>
      </c>
    </row>
    <row r="5652" spans="1:2" x14ac:dyDescent="0.4">
      <c r="A5652" s="4">
        <v>1003001</v>
      </c>
      <c r="B5652">
        <v>7001502</v>
      </c>
    </row>
    <row r="5653" spans="1:2" x14ac:dyDescent="0.4">
      <c r="A5653" s="4">
        <v>1003001</v>
      </c>
      <c r="B5653">
        <v>7001600</v>
      </c>
    </row>
    <row r="5654" spans="1:2" x14ac:dyDescent="0.4">
      <c r="A5654" s="4">
        <v>1003001</v>
      </c>
      <c r="B5654">
        <v>7001601</v>
      </c>
    </row>
    <row r="5655" spans="1:2" x14ac:dyDescent="0.4">
      <c r="A5655" s="4">
        <v>1003001</v>
      </c>
      <c r="B5655">
        <v>7001602</v>
      </c>
    </row>
    <row r="5656" spans="1:2" x14ac:dyDescent="0.4">
      <c r="A5656" s="4">
        <v>1003001</v>
      </c>
      <c r="B5656">
        <v>7001700</v>
      </c>
    </row>
    <row r="5657" spans="1:2" x14ac:dyDescent="0.4">
      <c r="A5657" s="4">
        <v>1003001</v>
      </c>
      <c r="B5657">
        <v>7001701</v>
      </c>
    </row>
    <row r="5658" spans="1:2" x14ac:dyDescent="0.4">
      <c r="A5658" s="4">
        <v>1003001</v>
      </c>
      <c r="B5658">
        <v>7001702</v>
      </c>
    </row>
    <row r="5659" spans="1:2" x14ac:dyDescent="0.4">
      <c r="A5659" s="4">
        <v>1003001</v>
      </c>
      <c r="B5659">
        <v>7001800</v>
      </c>
    </row>
    <row r="5660" spans="1:2" x14ac:dyDescent="0.4">
      <c r="A5660" s="4">
        <v>1003001</v>
      </c>
      <c r="B5660">
        <v>7001801</v>
      </c>
    </row>
    <row r="5661" spans="1:2" x14ac:dyDescent="0.4">
      <c r="A5661" s="4">
        <v>1003001</v>
      </c>
      <c r="B5661">
        <v>7001802</v>
      </c>
    </row>
    <row r="5662" spans="1:2" x14ac:dyDescent="0.4">
      <c r="A5662" s="4">
        <v>1003001</v>
      </c>
      <c r="B5662">
        <v>7002600</v>
      </c>
    </row>
    <row r="5663" spans="1:2" x14ac:dyDescent="0.4">
      <c r="A5663" s="4">
        <v>1003001</v>
      </c>
      <c r="B5663">
        <v>7002700</v>
      </c>
    </row>
    <row r="5664" spans="1:2" x14ac:dyDescent="0.4">
      <c r="A5664" s="4">
        <v>1003001</v>
      </c>
      <c r="B5664">
        <v>7002800</v>
      </c>
    </row>
    <row r="5665" spans="1:2" x14ac:dyDescent="0.4">
      <c r="A5665" s="4">
        <v>1003001</v>
      </c>
      <c r="B5665">
        <v>7002900</v>
      </c>
    </row>
    <row r="5666" spans="1:2" x14ac:dyDescent="0.4">
      <c r="A5666" s="4">
        <v>1003001</v>
      </c>
      <c r="B5666">
        <v>7003000</v>
      </c>
    </row>
    <row r="5667" spans="1:2" x14ac:dyDescent="0.4">
      <c r="A5667" s="4">
        <v>1003001</v>
      </c>
      <c r="B5667">
        <v>7003100</v>
      </c>
    </row>
    <row r="5668" spans="1:2" x14ac:dyDescent="0.4">
      <c r="A5668" s="4">
        <v>1003001</v>
      </c>
      <c r="B5668">
        <v>7003200</v>
      </c>
    </row>
    <row r="5669" spans="1:2" x14ac:dyDescent="0.4">
      <c r="A5669" s="4">
        <v>1003001</v>
      </c>
      <c r="B5669">
        <v>7003300</v>
      </c>
    </row>
    <row r="5670" spans="1:2" x14ac:dyDescent="0.4">
      <c r="A5670" s="4">
        <v>1003001</v>
      </c>
      <c r="B5670">
        <v>7003400</v>
      </c>
    </row>
    <row r="5671" spans="1:2" x14ac:dyDescent="0.4">
      <c r="A5671" s="4">
        <v>1003001</v>
      </c>
      <c r="B5671">
        <v>7003500</v>
      </c>
    </row>
    <row r="5672" spans="1:2" x14ac:dyDescent="0.4">
      <c r="A5672" s="4">
        <v>1003001</v>
      </c>
      <c r="B5672">
        <v>7003600</v>
      </c>
    </row>
    <row r="5673" spans="1:2" x14ac:dyDescent="0.4">
      <c r="A5673" s="4">
        <v>1003001</v>
      </c>
      <c r="B5673">
        <v>7005600</v>
      </c>
    </row>
    <row r="5674" spans="1:2" x14ac:dyDescent="0.4">
      <c r="A5674" s="4">
        <v>1003001</v>
      </c>
      <c r="B5674">
        <v>7006000</v>
      </c>
    </row>
    <row r="5675" spans="1:2" x14ac:dyDescent="0.4">
      <c r="A5675" s="4">
        <v>1003001</v>
      </c>
      <c r="B5675">
        <v>7006100</v>
      </c>
    </row>
    <row r="5676" spans="1:2" x14ac:dyDescent="0.4">
      <c r="A5676" s="4">
        <v>1003001</v>
      </c>
      <c r="B5676">
        <v>7010200</v>
      </c>
    </row>
    <row r="5677" spans="1:2" x14ac:dyDescent="0.4">
      <c r="A5677" s="4">
        <v>1003001</v>
      </c>
      <c r="B5677">
        <v>7010500</v>
      </c>
    </row>
    <row r="5678" spans="1:2" x14ac:dyDescent="0.4">
      <c r="A5678" s="4">
        <v>1003001</v>
      </c>
      <c r="B5678">
        <v>7010700</v>
      </c>
    </row>
    <row r="5679" spans="1:2" x14ac:dyDescent="0.4">
      <c r="A5679" s="4">
        <v>1003001</v>
      </c>
      <c r="B5679">
        <v>7010900</v>
      </c>
    </row>
    <row r="5680" spans="1:2" x14ac:dyDescent="0.4">
      <c r="A5680" s="4">
        <v>1003001</v>
      </c>
      <c r="B5680">
        <v>7011000</v>
      </c>
    </row>
    <row r="5681" spans="1:2" x14ac:dyDescent="0.4">
      <c r="A5681" s="4">
        <v>1003001</v>
      </c>
      <c r="B5681">
        <v>7011200</v>
      </c>
    </row>
    <row r="5682" spans="1:2" x14ac:dyDescent="0.4">
      <c r="A5682" s="4">
        <v>1003001</v>
      </c>
      <c r="B5682">
        <v>7011600</v>
      </c>
    </row>
    <row r="5683" spans="1:2" x14ac:dyDescent="0.4">
      <c r="A5683" s="4">
        <v>1003001</v>
      </c>
      <c r="B5683">
        <v>7011700</v>
      </c>
    </row>
    <row r="5684" spans="1:2" x14ac:dyDescent="0.4">
      <c r="A5684" s="4">
        <v>1003001</v>
      </c>
      <c r="B5684">
        <v>7012000</v>
      </c>
    </row>
    <row r="5685" spans="1:2" x14ac:dyDescent="0.4">
      <c r="A5685" s="4">
        <v>1003001</v>
      </c>
      <c r="B5685">
        <v>7012200</v>
      </c>
    </row>
    <row r="5686" spans="1:2" x14ac:dyDescent="0.4">
      <c r="A5686" s="4">
        <v>1003001</v>
      </c>
      <c r="B5686">
        <v>7012300</v>
      </c>
    </row>
    <row r="5687" spans="1:2" x14ac:dyDescent="0.4">
      <c r="A5687" s="4">
        <v>1003001</v>
      </c>
      <c r="B5687">
        <v>7020000</v>
      </c>
    </row>
    <row r="5688" spans="1:2" x14ac:dyDescent="0.4">
      <c r="A5688" s="4">
        <v>1003001</v>
      </c>
      <c r="B5688">
        <v>7030000</v>
      </c>
    </row>
    <row r="5689" spans="1:2" x14ac:dyDescent="0.4">
      <c r="A5689" s="4">
        <v>1003001</v>
      </c>
      <c r="B5689">
        <v>7030200</v>
      </c>
    </row>
    <row r="5690" spans="1:2" x14ac:dyDescent="0.4">
      <c r="A5690" s="4">
        <v>1003001</v>
      </c>
      <c r="B5690">
        <v>7030600</v>
      </c>
    </row>
    <row r="5691" spans="1:2" x14ac:dyDescent="0.4">
      <c r="A5691" s="4">
        <v>1003001</v>
      </c>
      <c r="B5691">
        <v>7030700</v>
      </c>
    </row>
    <row r="5692" spans="1:2" x14ac:dyDescent="0.4">
      <c r="A5692" s="4">
        <v>1003001</v>
      </c>
      <c r="B5692">
        <v>7030800</v>
      </c>
    </row>
    <row r="5693" spans="1:2" x14ac:dyDescent="0.4">
      <c r="A5693" s="4">
        <v>1003001</v>
      </c>
      <c r="B5693">
        <v>7030900</v>
      </c>
    </row>
    <row r="5694" spans="1:2" x14ac:dyDescent="0.4">
      <c r="A5694" s="4">
        <v>1003001</v>
      </c>
      <c r="B5694">
        <v>7031200</v>
      </c>
    </row>
    <row r="5695" spans="1:2" x14ac:dyDescent="0.4">
      <c r="A5695" s="4">
        <v>1003001</v>
      </c>
      <c r="B5695">
        <v>7031300</v>
      </c>
    </row>
    <row r="5696" spans="1:2" x14ac:dyDescent="0.4">
      <c r="A5696" s="4">
        <v>1003001</v>
      </c>
      <c r="B5696">
        <v>7031800</v>
      </c>
    </row>
    <row r="5697" spans="1:2" x14ac:dyDescent="0.4">
      <c r="A5697" s="4">
        <v>1003001</v>
      </c>
      <c r="B5697">
        <v>7031900</v>
      </c>
    </row>
    <row r="5698" spans="1:2" x14ac:dyDescent="0.4">
      <c r="A5698" s="4">
        <v>1003001</v>
      </c>
      <c r="B5698">
        <v>7032200</v>
      </c>
    </row>
    <row r="5699" spans="1:2" x14ac:dyDescent="0.4">
      <c r="A5699" s="4">
        <v>1003001</v>
      </c>
      <c r="B5699">
        <v>7032400</v>
      </c>
    </row>
    <row r="5700" spans="1:2" x14ac:dyDescent="0.4">
      <c r="A5700" s="4">
        <v>1003001</v>
      </c>
      <c r="B5700">
        <v>7032700</v>
      </c>
    </row>
    <row r="5701" spans="1:2" x14ac:dyDescent="0.4">
      <c r="A5701" s="4">
        <v>1003001</v>
      </c>
      <c r="B5701">
        <v>7032800</v>
      </c>
    </row>
    <row r="5702" spans="1:2" x14ac:dyDescent="0.4">
      <c r="A5702" s="4">
        <v>1003001</v>
      </c>
      <c r="B5702">
        <v>7032900</v>
      </c>
    </row>
    <row r="5703" spans="1:2" x14ac:dyDescent="0.4">
      <c r="A5703" s="4">
        <v>1003001</v>
      </c>
      <c r="B5703">
        <v>7033200</v>
      </c>
    </row>
    <row r="5704" spans="1:2" x14ac:dyDescent="0.4">
      <c r="A5704" s="4">
        <v>1003001</v>
      </c>
      <c r="B5704">
        <v>7033400</v>
      </c>
    </row>
    <row r="5705" spans="1:2" x14ac:dyDescent="0.4">
      <c r="A5705" s="4">
        <v>1003001</v>
      </c>
      <c r="B5705">
        <v>7034100</v>
      </c>
    </row>
    <row r="5706" spans="1:2" x14ac:dyDescent="0.4">
      <c r="A5706" s="4">
        <v>1003001</v>
      </c>
      <c r="B5706">
        <v>7034400</v>
      </c>
    </row>
    <row r="5707" spans="1:2" x14ac:dyDescent="0.4">
      <c r="A5707" s="4">
        <v>1003001</v>
      </c>
      <c r="B5707">
        <v>7034500</v>
      </c>
    </row>
    <row r="5708" spans="1:2" x14ac:dyDescent="0.4">
      <c r="A5708" s="4">
        <v>1003001</v>
      </c>
      <c r="B5708">
        <v>7034600</v>
      </c>
    </row>
    <row r="5709" spans="1:2" x14ac:dyDescent="0.4">
      <c r="A5709" s="4">
        <v>1003001</v>
      </c>
      <c r="B5709">
        <v>7034700</v>
      </c>
    </row>
    <row r="5710" spans="1:2" x14ac:dyDescent="0.4">
      <c r="A5710" s="4">
        <v>1003001</v>
      </c>
      <c r="B5710">
        <v>7035100</v>
      </c>
    </row>
    <row r="5711" spans="1:2" x14ac:dyDescent="0.4">
      <c r="A5711" s="4">
        <v>1003001</v>
      </c>
      <c r="B5711">
        <v>7036100</v>
      </c>
    </row>
    <row r="5712" spans="1:2" x14ac:dyDescent="0.4">
      <c r="A5712" s="4">
        <v>1003001</v>
      </c>
      <c r="B5712">
        <v>7040000</v>
      </c>
    </row>
    <row r="5713" spans="1:2" x14ac:dyDescent="0.4">
      <c r="A5713" s="4">
        <v>1003001</v>
      </c>
      <c r="B5713">
        <v>7040100</v>
      </c>
    </row>
    <row r="5714" spans="1:2" x14ac:dyDescent="0.4">
      <c r="A5714" s="4">
        <v>1003001</v>
      </c>
      <c r="B5714">
        <v>7040200</v>
      </c>
    </row>
    <row r="5715" spans="1:2" x14ac:dyDescent="0.4">
      <c r="A5715" s="4">
        <v>1003001</v>
      </c>
      <c r="B5715">
        <v>7040300</v>
      </c>
    </row>
    <row r="5716" spans="1:2" x14ac:dyDescent="0.4">
      <c r="A5716" s="4">
        <v>1003001</v>
      </c>
      <c r="B5716">
        <v>7040400</v>
      </c>
    </row>
    <row r="5717" spans="1:2" x14ac:dyDescent="0.4">
      <c r="A5717" s="4">
        <v>1003001</v>
      </c>
      <c r="B5717">
        <v>7040500</v>
      </c>
    </row>
    <row r="5718" spans="1:2" x14ac:dyDescent="0.4">
      <c r="A5718" s="4">
        <v>1003001</v>
      </c>
      <c r="B5718">
        <v>7043000</v>
      </c>
    </row>
    <row r="5719" spans="1:2" x14ac:dyDescent="0.4">
      <c r="A5719" s="4">
        <v>1003001</v>
      </c>
      <c r="B5719">
        <v>7043100</v>
      </c>
    </row>
    <row r="5720" spans="1:2" x14ac:dyDescent="0.4">
      <c r="A5720" s="4">
        <v>1003001</v>
      </c>
      <c r="B5720">
        <v>7043200</v>
      </c>
    </row>
    <row r="5721" spans="1:2" x14ac:dyDescent="0.4">
      <c r="A5721" s="4">
        <v>1003001</v>
      </c>
      <c r="B5721">
        <v>7043300</v>
      </c>
    </row>
    <row r="5722" spans="1:2" x14ac:dyDescent="0.4">
      <c r="A5722" s="4">
        <v>1003001</v>
      </c>
      <c r="B5722">
        <v>7043400</v>
      </c>
    </row>
    <row r="5723" spans="1:2" x14ac:dyDescent="0.4">
      <c r="A5723" s="4">
        <v>1003001</v>
      </c>
      <c r="B5723">
        <v>7043500</v>
      </c>
    </row>
    <row r="5724" spans="1:2" x14ac:dyDescent="0.4">
      <c r="A5724" s="4">
        <v>1003001</v>
      </c>
      <c r="B5724">
        <v>7043600</v>
      </c>
    </row>
    <row r="5725" spans="1:2" x14ac:dyDescent="0.4">
      <c r="A5725" s="4">
        <v>1003001</v>
      </c>
      <c r="B5725">
        <v>7043700</v>
      </c>
    </row>
    <row r="5726" spans="1:2" x14ac:dyDescent="0.4">
      <c r="A5726" s="4">
        <v>1003001</v>
      </c>
      <c r="B5726">
        <v>7043800</v>
      </c>
    </row>
    <row r="5727" spans="1:2" x14ac:dyDescent="0.4">
      <c r="A5727" s="4">
        <v>1003001</v>
      </c>
      <c r="B5727">
        <v>7044000</v>
      </c>
    </row>
    <row r="5728" spans="1:2" x14ac:dyDescent="0.4">
      <c r="A5728" s="4">
        <v>1003001</v>
      </c>
      <c r="B5728">
        <v>7044100</v>
      </c>
    </row>
    <row r="5729" spans="1:2" x14ac:dyDescent="0.4">
      <c r="A5729" s="4">
        <v>1003001</v>
      </c>
      <c r="B5729">
        <v>7044200</v>
      </c>
    </row>
    <row r="5730" spans="1:2" x14ac:dyDescent="0.4">
      <c r="A5730" s="4">
        <v>1003001</v>
      </c>
      <c r="B5730">
        <v>7044300</v>
      </c>
    </row>
    <row r="5731" spans="1:2" x14ac:dyDescent="0.4">
      <c r="A5731" s="4">
        <v>1003001</v>
      </c>
      <c r="B5731">
        <v>7044400</v>
      </c>
    </row>
    <row r="5732" spans="1:2" x14ac:dyDescent="0.4">
      <c r="A5732" s="4">
        <v>1003001</v>
      </c>
      <c r="B5732">
        <v>7044500</v>
      </c>
    </row>
    <row r="5733" spans="1:2" x14ac:dyDescent="0.4">
      <c r="A5733" s="4">
        <v>1003001</v>
      </c>
      <c r="B5733">
        <v>7044600</v>
      </c>
    </row>
    <row r="5734" spans="1:2" x14ac:dyDescent="0.4">
      <c r="A5734" s="4">
        <v>1003001</v>
      </c>
      <c r="B5734">
        <v>7050000</v>
      </c>
    </row>
    <row r="5735" spans="1:2" x14ac:dyDescent="0.4">
      <c r="A5735" s="4">
        <v>1003001</v>
      </c>
      <c r="B5735">
        <v>7050100</v>
      </c>
    </row>
    <row r="5736" spans="1:2" x14ac:dyDescent="0.4">
      <c r="A5736" s="4">
        <v>1003001</v>
      </c>
      <c r="B5736">
        <v>7060000</v>
      </c>
    </row>
    <row r="5737" spans="1:2" x14ac:dyDescent="0.4">
      <c r="A5737" s="4">
        <v>1003001</v>
      </c>
      <c r="B5737">
        <v>7060100</v>
      </c>
    </row>
    <row r="5738" spans="1:2" x14ac:dyDescent="0.4">
      <c r="A5738" s="4">
        <v>1003001</v>
      </c>
      <c r="B5738">
        <v>7060200</v>
      </c>
    </row>
    <row r="5739" spans="1:2" x14ac:dyDescent="0.4">
      <c r="A5739" s="4">
        <v>1003001</v>
      </c>
      <c r="B5739">
        <v>7070000</v>
      </c>
    </row>
    <row r="5740" spans="1:2" x14ac:dyDescent="0.4">
      <c r="A5740" s="4">
        <v>1003001</v>
      </c>
      <c r="B5740">
        <v>7080000</v>
      </c>
    </row>
    <row r="5741" spans="1:2" x14ac:dyDescent="0.4">
      <c r="A5741" s="4">
        <v>1003001</v>
      </c>
      <c r="B5741">
        <v>7080100</v>
      </c>
    </row>
    <row r="5742" spans="1:2" x14ac:dyDescent="0.4">
      <c r="A5742" s="4">
        <v>1003001</v>
      </c>
      <c r="B5742">
        <v>7080200</v>
      </c>
    </row>
    <row r="5743" spans="1:2" x14ac:dyDescent="0.4">
      <c r="A5743" s="4">
        <v>1003001</v>
      </c>
      <c r="B5743">
        <v>7080300</v>
      </c>
    </row>
    <row r="5744" spans="1:2" x14ac:dyDescent="0.4">
      <c r="A5744" s="4">
        <v>1003001</v>
      </c>
      <c r="B5744">
        <v>7080400</v>
      </c>
    </row>
    <row r="5745" spans="1:2" x14ac:dyDescent="0.4">
      <c r="A5745" s="4">
        <v>1003001</v>
      </c>
      <c r="B5745">
        <v>7080500</v>
      </c>
    </row>
    <row r="5746" spans="1:2" x14ac:dyDescent="0.4">
      <c r="A5746" s="4">
        <v>1003001</v>
      </c>
      <c r="B5746">
        <v>7080600</v>
      </c>
    </row>
    <row r="5747" spans="1:2" x14ac:dyDescent="0.4">
      <c r="A5747" s="4">
        <v>1003001</v>
      </c>
      <c r="B5747">
        <v>7080700</v>
      </c>
    </row>
    <row r="5748" spans="1:2" x14ac:dyDescent="0.4">
      <c r="A5748" s="4">
        <v>1003001</v>
      </c>
      <c r="B5748">
        <v>7080800</v>
      </c>
    </row>
    <row r="5749" spans="1:2" x14ac:dyDescent="0.4">
      <c r="A5749" s="4">
        <v>1003001</v>
      </c>
      <c r="B5749">
        <v>7080900</v>
      </c>
    </row>
    <row r="5750" spans="1:2" x14ac:dyDescent="0.4">
      <c r="A5750" s="4">
        <v>1003001</v>
      </c>
      <c r="B5750">
        <v>7081000</v>
      </c>
    </row>
    <row r="5751" spans="1:2" x14ac:dyDescent="0.4">
      <c r="A5751" s="4">
        <v>1003001</v>
      </c>
      <c r="B5751">
        <v>7081100</v>
      </c>
    </row>
    <row r="5752" spans="1:2" x14ac:dyDescent="0.4">
      <c r="A5752" s="4">
        <v>1003001</v>
      </c>
      <c r="B5752">
        <v>7081200</v>
      </c>
    </row>
    <row r="5753" spans="1:2" x14ac:dyDescent="0.4">
      <c r="A5753" s="4">
        <v>1003001</v>
      </c>
      <c r="B5753">
        <v>7081300</v>
      </c>
    </row>
    <row r="5754" spans="1:2" x14ac:dyDescent="0.4">
      <c r="A5754" s="4">
        <v>1003001</v>
      </c>
      <c r="B5754">
        <v>7081400</v>
      </c>
    </row>
    <row r="5755" spans="1:2" x14ac:dyDescent="0.4">
      <c r="A5755" s="4">
        <v>1003001</v>
      </c>
      <c r="B5755">
        <v>7081500</v>
      </c>
    </row>
    <row r="5756" spans="1:2" x14ac:dyDescent="0.4">
      <c r="A5756" s="4">
        <v>1003001</v>
      </c>
      <c r="B5756">
        <v>7081700</v>
      </c>
    </row>
    <row r="5757" spans="1:2" x14ac:dyDescent="0.4">
      <c r="A5757" s="4">
        <v>1003001</v>
      </c>
      <c r="B5757">
        <v>7081800</v>
      </c>
    </row>
    <row r="5758" spans="1:2" x14ac:dyDescent="0.4">
      <c r="A5758" s="4">
        <v>1003001</v>
      </c>
      <c r="B5758">
        <v>7081900</v>
      </c>
    </row>
    <row r="5759" spans="1:2" x14ac:dyDescent="0.4">
      <c r="A5759" s="4">
        <v>1003001</v>
      </c>
      <c r="B5759">
        <v>7082000</v>
      </c>
    </row>
    <row r="5760" spans="1:2" x14ac:dyDescent="0.4">
      <c r="A5760" s="4">
        <v>1003001</v>
      </c>
      <c r="B5760">
        <v>7082100</v>
      </c>
    </row>
    <row r="5761" spans="1:2" x14ac:dyDescent="0.4">
      <c r="A5761" s="4">
        <v>1003001</v>
      </c>
      <c r="B5761">
        <v>7082200</v>
      </c>
    </row>
    <row r="5762" spans="1:2" x14ac:dyDescent="0.4">
      <c r="A5762" s="4">
        <v>1003001</v>
      </c>
      <c r="B5762">
        <v>7082300</v>
      </c>
    </row>
    <row r="5763" spans="1:2" x14ac:dyDescent="0.4">
      <c r="A5763" s="4">
        <v>1003001</v>
      </c>
      <c r="B5763">
        <v>7082400</v>
      </c>
    </row>
    <row r="5764" spans="1:2" x14ac:dyDescent="0.4">
      <c r="A5764" s="4">
        <v>1003001</v>
      </c>
      <c r="B5764">
        <v>7082500</v>
      </c>
    </row>
    <row r="5765" spans="1:2" x14ac:dyDescent="0.4">
      <c r="A5765" s="4">
        <v>1003001</v>
      </c>
      <c r="B5765">
        <v>7082600</v>
      </c>
    </row>
    <row r="5766" spans="1:2" x14ac:dyDescent="0.4">
      <c r="A5766" s="4">
        <v>1003001</v>
      </c>
      <c r="B5766">
        <v>7082700</v>
      </c>
    </row>
    <row r="5767" spans="1:2" x14ac:dyDescent="0.4">
      <c r="A5767" s="4">
        <v>1003001</v>
      </c>
      <c r="B5767">
        <v>7082800</v>
      </c>
    </row>
    <row r="5768" spans="1:2" x14ac:dyDescent="0.4">
      <c r="A5768" s="4">
        <v>1003001</v>
      </c>
      <c r="B5768">
        <v>7082900</v>
      </c>
    </row>
    <row r="5769" spans="1:2" x14ac:dyDescent="0.4">
      <c r="A5769" s="4">
        <v>1003001</v>
      </c>
      <c r="B5769">
        <v>7090000</v>
      </c>
    </row>
    <row r="5770" spans="1:2" x14ac:dyDescent="0.4">
      <c r="A5770" s="4">
        <v>1003001</v>
      </c>
      <c r="B5770">
        <v>7090100</v>
      </c>
    </row>
    <row r="5771" spans="1:2" x14ac:dyDescent="0.4">
      <c r="A5771" s="4">
        <v>1003001</v>
      </c>
      <c r="B5771">
        <v>7090300</v>
      </c>
    </row>
    <row r="5772" spans="1:2" x14ac:dyDescent="0.4">
      <c r="A5772" s="4">
        <v>1003001</v>
      </c>
      <c r="B5772">
        <v>7100100</v>
      </c>
    </row>
    <row r="5773" spans="1:2" x14ac:dyDescent="0.4">
      <c r="A5773" s="4">
        <v>1003001</v>
      </c>
      <c r="B5773">
        <v>7110000</v>
      </c>
    </row>
    <row r="5774" spans="1:2" x14ac:dyDescent="0.4">
      <c r="A5774" s="4">
        <v>1003001</v>
      </c>
      <c r="B5774">
        <v>7120000</v>
      </c>
    </row>
    <row r="5775" spans="1:2" x14ac:dyDescent="0.4">
      <c r="A5775" s="4">
        <v>1003001</v>
      </c>
      <c r="B5775">
        <v>7120100</v>
      </c>
    </row>
    <row r="5776" spans="1:2" x14ac:dyDescent="0.4">
      <c r="A5776" s="4">
        <v>1003001</v>
      </c>
      <c r="B5776">
        <v>7120200</v>
      </c>
    </row>
    <row r="5777" spans="1:2" x14ac:dyDescent="0.4">
      <c r="A5777" s="4">
        <v>1003001</v>
      </c>
      <c r="B5777">
        <v>7120300</v>
      </c>
    </row>
    <row r="5778" spans="1:2" x14ac:dyDescent="0.4">
      <c r="A5778" s="4">
        <v>1003001</v>
      </c>
      <c r="B5778">
        <v>7120400</v>
      </c>
    </row>
    <row r="5779" spans="1:2" x14ac:dyDescent="0.4">
      <c r="A5779" s="4">
        <v>1003001</v>
      </c>
      <c r="B5779">
        <v>7120500</v>
      </c>
    </row>
    <row r="5780" spans="1:2" x14ac:dyDescent="0.4">
      <c r="A5780" s="4">
        <v>1003001</v>
      </c>
      <c r="B5780">
        <v>7120600</v>
      </c>
    </row>
    <row r="5781" spans="1:2" x14ac:dyDescent="0.4">
      <c r="A5781" s="4">
        <v>1003001</v>
      </c>
      <c r="B5781">
        <v>7120900</v>
      </c>
    </row>
    <row r="5782" spans="1:2" x14ac:dyDescent="0.4">
      <c r="A5782" s="4">
        <v>1003001</v>
      </c>
      <c r="B5782">
        <v>7121000</v>
      </c>
    </row>
    <row r="5783" spans="1:2" x14ac:dyDescent="0.4">
      <c r="A5783" s="4">
        <v>1003001</v>
      </c>
      <c r="B5783">
        <v>7121100</v>
      </c>
    </row>
    <row r="5784" spans="1:2" x14ac:dyDescent="0.4">
      <c r="A5784" s="4">
        <v>1003001</v>
      </c>
      <c r="B5784">
        <v>7121200</v>
      </c>
    </row>
    <row r="5785" spans="1:2" x14ac:dyDescent="0.4">
      <c r="A5785" s="4">
        <v>1003001</v>
      </c>
      <c r="B5785">
        <v>7121300</v>
      </c>
    </row>
    <row r="5786" spans="1:2" x14ac:dyDescent="0.4">
      <c r="A5786" s="4">
        <v>1003001</v>
      </c>
      <c r="B5786">
        <v>7121400</v>
      </c>
    </row>
    <row r="5787" spans="1:2" x14ac:dyDescent="0.4">
      <c r="A5787" s="4">
        <v>1003001</v>
      </c>
      <c r="B5787">
        <v>7121500</v>
      </c>
    </row>
    <row r="5788" spans="1:2" x14ac:dyDescent="0.4">
      <c r="A5788" s="4">
        <v>1003001</v>
      </c>
      <c r="B5788">
        <v>7121600</v>
      </c>
    </row>
    <row r="5789" spans="1:2" x14ac:dyDescent="0.4">
      <c r="A5789" s="4">
        <v>1003001</v>
      </c>
      <c r="B5789">
        <v>7121700</v>
      </c>
    </row>
    <row r="5790" spans="1:2" x14ac:dyDescent="0.4">
      <c r="A5790" s="4">
        <v>1003001</v>
      </c>
      <c r="B5790">
        <v>7121800</v>
      </c>
    </row>
    <row r="5791" spans="1:2" x14ac:dyDescent="0.4">
      <c r="A5791" s="4">
        <v>1003001</v>
      </c>
      <c r="B5791">
        <v>7121900</v>
      </c>
    </row>
    <row r="5792" spans="1:2" x14ac:dyDescent="0.4">
      <c r="A5792" s="4">
        <v>1003001</v>
      </c>
      <c r="B5792">
        <v>7122000</v>
      </c>
    </row>
    <row r="5793" spans="1:2" x14ac:dyDescent="0.4">
      <c r="A5793" s="4">
        <v>1003001</v>
      </c>
      <c r="B5793">
        <v>7122100</v>
      </c>
    </row>
    <row r="5794" spans="1:2" x14ac:dyDescent="0.4">
      <c r="A5794" s="4">
        <v>1003001</v>
      </c>
      <c r="B5794">
        <v>7122200</v>
      </c>
    </row>
    <row r="5795" spans="1:2" x14ac:dyDescent="0.4">
      <c r="A5795" s="4">
        <v>1003001</v>
      </c>
      <c r="B5795">
        <v>7122300</v>
      </c>
    </row>
    <row r="5796" spans="1:2" x14ac:dyDescent="0.4">
      <c r="A5796" s="4">
        <v>1003001</v>
      </c>
      <c r="B5796">
        <v>7122400</v>
      </c>
    </row>
    <row r="5797" spans="1:2" x14ac:dyDescent="0.4">
      <c r="A5797" s="4">
        <v>1003001</v>
      </c>
      <c r="B5797">
        <v>7122500</v>
      </c>
    </row>
    <row r="5798" spans="1:2" x14ac:dyDescent="0.4">
      <c r="A5798" s="4">
        <v>1003001</v>
      </c>
      <c r="B5798">
        <v>7122600</v>
      </c>
    </row>
    <row r="5799" spans="1:2" x14ac:dyDescent="0.4">
      <c r="A5799" s="4">
        <v>1003001</v>
      </c>
      <c r="B5799">
        <v>7122700</v>
      </c>
    </row>
    <row r="5800" spans="1:2" x14ac:dyDescent="0.4">
      <c r="A5800" s="4">
        <v>1003001</v>
      </c>
      <c r="B5800">
        <v>7122800</v>
      </c>
    </row>
    <row r="5801" spans="1:2" x14ac:dyDescent="0.4">
      <c r="A5801" s="4">
        <v>1003001</v>
      </c>
      <c r="B5801">
        <v>7122900</v>
      </c>
    </row>
    <row r="5802" spans="1:2" x14ac:dyDescent="0.4">
      <c r="A5802" s="4">
        <v>1003001</v>
      </c>
      <c r="B5802">
        <v>7123000</v>
      </c>
    </row>
    <row r="5803" spans="1:2" x14ac:dyDescent="0.4">
      <c r="A5803" s="4">
        <v>1003001</v>
      </c>
      <c r="B5803">
        <v>7123100</v>
      </c>
    </row>
    <row r="5804" spans="1:2" x14ac:dyDescent="0.4">
      <c r="A5804" s="4">
        <v>1003001</v>
      </c>
      <c r="B5804">
        <v>7123200</v>
      </c>
    </row>
    <row r="5805" spans="1:2" x14ac:dyDescent="0.4">
      <c r="A5805" s="4">
        <v>1003001</v>
      </c>
      <c r="B5805">
        <v>7123300</v>
      </c>
    </row>
    <row r="5806" spans="1:2" x14ac:dyDescent="0.4">
      <c r="A5806" s="4">
        <v>1003001</v>
      </c>
      <c r="B5806">
        <v>7123400</v>
      </c>
    </row>
    <row r="5807" spans="1:2" x14ac:dyDescent="0.4">
      <c r="A5807" s="4">
        <v>1003001</v>
      </c>
      <c r="B5807">
        <v>7123500</v>
      </c>
    </row>
    <row r="5808" spans="1:2" x14ac:dyDescent="0.4">
      <c r="A5808" s="4">
        <v>1003001</v>
      </c>
      <c r="B5808">
        <v>7123600</v>
      </c>
    </row>
    <row r="5809" spans="1:2" x14ac:dyDescent="0.4">
      <c r="A5809" s="4">
        <v>1003001</v>
      </c>
      <c r="B5809">
        <v>7123700</v>
      </c>
    </row>
    <row r="5810" spans="1:2" x14ac:dyDescent="0.4">
      <c r="A5810" s="4">
        <v>1003001</v>
      </c>
      <c r="B5810">
        <v>7123800</v>
      </c>
    </row>
    <row r="5811" spans="1:2" x14ac:dyDescent="0.4">
      <c r="A5811" s="4">
        <v>1003001</v>
      </c>
      <c r="B5811">
        <v>7123900</v>
      </c>
    </row>
    <row r="5812" spans="1:2" x14ac:dyDescent="0.4">
      <c r="A5812" s="4">
        <v>1003001</v>
      </c>
      <c r="B5812">
        <v>7124000</v>
      </c>
    </row>
    <row r="5813" spans="1:2" x14ac:dyDescent="0.4">
      <c r="A5813" s="4">
        <v>1003001</v>
      </c>
      <c r="B5813">
        <v>7124100</v>
      </c>
    </row>
    <row r="5814" spans="1:2" x14ac:dyDescent="0.4">
      <c r="A5814" s="4">
        <v>1003001</v>
      </c>
      <c r="B5814">
        <v>7124300</v>
      </c>
    </row>
    <row r="5815" spans="1:2" x14ac:dyDescent="0.4">
      <c r="A5815" s="4">
        <v>1003001</v>
      </c>
      <c r="B5815">
        <v>7124400</v>
      </c>
    </row>
    <row r="5816" spans="1:2" x14ac:dyDescent="0.4">
      <c r="A5816" s="4">
        <v>1003001</v>
      </c>
      <c r="B5816">
        <v>7124500</v>
      </c>
    </row>
    <row r="5817" spans="1:2" x14ac:dyDescent="0.4">
      <c r="A5817" s="4">
        <v>1003001</v>
      </c>
      <c r="B5817">
        <v>7124600</v>
      </c>
    </row>
    <row r="5818" spans="1:2" x14ac:dyDescent="0.4">
      <c r="A5818" s="4">
        <v>1003001</v>
      </c>
      <c r="B5818">
        <v>7124700</v>
      </c>
    </row>
    <row r="5819" spans="1:2" x14ac:dyDescent="0.4">
      <c r="A5819" s="4">
        <v>1003001</v>
      </c>
      <c r="B5819">
        <v>7126000</v>
      </c>
    </row>
    <row r="5820" spans="1:2" x14ac:dyDescent="0.4">
      <c r="A5820" s="4">
        <v>1003001</v>
      </c>
      <c r="B5820">
        <v>7150000</v>
      </c>
    </row>
    <row r="5821" spans="1:2" x14ac:dyDescent="0.4">
      <c r="A5821" s="4">
        <v>1003001</v>
      </c>
      <c r="B5821">
        <v>7160000</v>
      </c>
    </row>
    <row r="5822" spans="1:2" x14ac:dyDescent="0.4">
      <c r="A5822" s="4">
        <v>1003001</v>
      </c>
      <c r="B5822">
        <v>7220000</v>
      </c>
    </row>
    <row r="5823" spans="1:2" x14ac:dyDescent="0.4">
      <c r="A5823" s="4">
        <v>1003001</v>
      </c>
      <c r="B5823">
        <v>7230000</v>
      </c>
    </row>
    <row r="5824" spans="1:2" x14ac:dyDescent="0.4">
      <c r="A5824" s="4">
        <v>1003001</v>
      </c>
      <c r="B5824">
        <v>7240000</v>
      </c>
    </row>
    <row r="5825" spans="1:2" x14ac:dyDescent="0.4">
      <c r="A5825" s="4">
        <v>1003001</v>
      </c>
      <c r="B5825">
        <v>7260000</v>
      </c>
    </row>
    <row r="5826" spans="1:2" x14ac:dyDescent="0.4">
      <c r="A5826" s="4">
        <v>1003001</v>
      </c>
      <c r="B5826">
        <v>7260300</v>
      </c>
    </row>
    <row r="5827" spans="1:2" x14ac:dyDescent="0.4">
      <c r="A5827" s="4">
        <v>1003001</v>
      </c>
      <c r="B5827">
        <v>7260400</v>
      </c>
    </row>
    <row r="5828" spans="1:2" x14ac:dyDescent="0.4">
      <c r="A5828" s="4">
        <v>1003001</v>
      </c>
      <c r="B5828">
        <v>7270100</v>
      </c>
    </row>
    <row r="5829" spans="1:2" x14ac:dyDescent="0.4">
      <c r="A5829" s="4">
        <v>1003001</v>
      </c>
      <c r="B5829">
        <v>7280000</v>
      </c>
    </row>
    <row r="5830" spans="1:2" x14ac:dyDescent="0.4">
      <c r="A5830" s="4">
        <v>1003001</v>
      </c>
      <c r="B5830">
        <v>7290000</v>
      </c>
    </row>
    <row r="5831" spans="1:2" x14ac:dyDescent="0.4">
      <c r="A5831" s="4">
        <v>1003001</v>
      </c>
      <c r="B5831">
        <v>7310000</v>
      </c>
    </row>
    <row r="5832" spans="1:2" x14ac:dyDescent="0.4">
      <c r="A5832" s="4">
        <v>1003001</v>
      </c>
      <c r="B5832">
        <v>7330000</v>
      </c>
    </row>
    <row r="5833" spans="1:2" x14ac:dyDescent="0.4">
      <c r="A5833" s="4">
        <v>1003001</v>
      </c>
      <c r="B5833">
        <v>7330100</v>
      </c>
    </row>
    <row r="5834" spans="1:2" x14ac:dyDescent="0.4">
      <c r="A5834" s="4">
        <v>1003001</v>
      </c>
      <c r="B5834">
        <v>7330200</v>
      </c>
    </row>
    <row r="5835" spans="1:2" x14ac:dyDescent="0.4">
      <c r="A5835" s="4">
        <v>1003001</v>
      </c>
      <c r="B5835">
        <v>7330300</v>
      </c>
    </row>
    <row r="5836" spans="1:2" x14ac:dyDescent="0.4">
      <c r="A5836" s="4">
        <v>1003001</v>
      </c>
      <c r="B5836">
        <v>7330400</v>
      </c>
    </row>
    <row r="5837" spans="1:2" x14ac:dyDescent="0.4">
      <c r="A5837" s="4">
        <v>1003001</v>
      </c>
      <c r="B5837">
        <v>7330500</v>
      </c>
    </row>
    <row r="5838" spans="1:2" x14ac:dyDescent="0.4">
      <c r="A5838" s="4">
        <v>1003001</v>
      </c>
      <c r="B5838">
        <v>7330600</v>
      </c>
    </row>
    <row r="5839" spans="1:2" x14ac:dyDescent="0.4">
      <c r="A5839" s="4">
        <v>1003001</v>
      </c>
      <c r="B5839">
        <v>7330700</v>
      </c>
    </row>
    <row r="5840" spans="1:2" x14ac:dyDescent="0.4">
      <c r="A5840" s="4">
        <v>1003001</v>
      </c>
      <c r="B5840">
        <v>7330800</v>
      </c>
    </row>
    <row r="5841" spans="1:2" x14ac:dyDescent="0.4">
      <c r="A5841" s="4">
        <v>1003001</v>
      </c>
      <c r="B5841">
        <v>7330900</v>
      </c>
    </row>
    <row r="5842" spans="1:2" x14ac:dyDescent="0.4">
      <c r="A5842" s="4">
        <v>1003001</v>
      </c>
      <c r="B5842">
        <v>7331000</v>
      </c>
    </row>
    <row r="5843" spans="1:2" x14ac:dyDescent="0.4">
      <c r="A5843" s="4">
        <v>1003001</v>
      </c>
      <c r="B5843">
        <v>7331100</v>
      </c>
    </row>
    <row r="5844" spans="1:2" x14ac:dyDescent="0.4">
      <c r="A5844" s="4">
        <v>1003001</v>
      </c>
      <c r="B5844">
        <v>7331200</v>
      </c>
    </row>
    <row r="5845" spans="1:2" x14ac:dyDescent="0.4">
      <c r="A5845" s="4">
        <v>1003001</v>
      </c>
      <c r="B5845">
        <v>7331300</v>
      </c>
    </row>
    <row r="5846" spans="1:2" x14ac:dyDescent="0.4">
      <c r="A5846" s="4">
        <v>1003001</v>
      </c>
      <c r="B5846">
        <v>7331400</v>
      </c>
    </row>
    <row r="5847" spans="1:2" x14ac:dyDescent="0.4">
      <c r="A5847" s="4">
        <v>1003001</v>
      </c>
      <c r="B5847">
        <v>7331500</v>
      </c>
    </row>
    <row r="5848" spans="1:2" x14ac:dyDescent="0.4">
      <c r="A5848" s="4">
        <v>1003001</v>
      </c>
      <c r="B5848">
        <v>7331700</v>
      </c>
    </row>
    <row r="5849" spans="1:2" x14ac:dyDescent="0.4">
      <c r="A5849" s="4">
        <v>1003001</v>
      </c>
      <c r="B5849">
        <v>7331800</v>
      </c>
    </row>
    <row r="5850" spans="1:2" x14ac:dyDescent="0.4">
      <c r="A5850" s="4">
        <v>1003001</v>
      </c>
      <c r="B5850">
        <v>7331900</v>
      </c>
    </row>
    <row r="5851" spans="1:2" x14ac:dyDescent="0.4">
      <c r="A5851" s="4">
        <v>1003001</v>
      </c>
      <c r="B5851">
        <v>7332000</v>
      </c>
    </row>
    <row r="5852" spans="1:2" x14ac:dyDescent="0.4">
      <c r="A5852" s="4">
        <v>1003001</v>
      </c>
      <c r="B5852">
        <v>7332100</v>
      </c>
    </row>
    <row r="5853" spans="1:2" x14ac:dyDescent="0.4">
      <c r="A5853" s="4">
        <v>1003001</v>
      </c>
      <c r="B5853">
        <v>7332200</v>
      </c>
    </row>
    <row r="5854" spans="1:2" x14ac:dyDescent="0.4">
      <c r="A5854" s="4">
        <v>1003001</v>
      </c>
      <c r="B5854">
        <v>7332300</v>
      </c>
    </row>
    <row r="5855" spans="1:2" x14ac:dyDescent="0.4">
      <c r="A5855" s="4">
        <v>1003001</v>
      </c>
      <c r="B5855">
        <v>7332400</v>
      </c>
    </row>
    <row r="5856" spans="1:2" x14ac:dyDescent="0.4">
      <c r="A5856" s="4">
        <v>1003001</v>
      </c>
      <c r="B5856">
        <v>7340000</v>
      </c>
    </row>
    <row r="5857" spans="1:2" x14ac:dyDescent="0.4">
      <c r="A5857" s="4">
        <v>1003001</v>
      </c>
      <c r="B5857">
        <v>7340100</v>
      </c>
    </row>
    <row r="5858" spans="1:2" x14ac:dyDescent="0.4">
      <c r="A5858" s="4">
        <v>1003001</v>
      </c>
      <c r="B5858">
        <v>7340200</v>
      </c>
    </row>
    <row r="5859" spans="1:2" x14ac:dyDescent="0.4">
      <c r="A5859" s="4">
        <v>1003001</v>
      </c>
      <c r="B5859">
        <v>7340300</v>
      </c>
    </row>
    <row r="5860" spans="1:2" x14ac:dyDescent="0.4">
      <c r="A5860" s="4">
        <v>1003001</v>
      </c>
      <c r="B5860">
        <v>7340400</v>
      </c>
    </row>
    <row r="5861" spans="1:2" x14ac:dyDescent="0.4">
      <c r="A5861" s="4">
        <v>1003001</v>
      </c>
      <c r="B5861">
        <v>7340500</v>
      </c>
    </row>
    <row r="5862" spans="1:2" x14ac:dyDescent="0.4">
      <c r="A5862" s="4">
        <v>1003001</v>
      </c>
      <c r="B5862">
        <v>7340600</v>
      </c>
    </row>
    <row r="5863" spans="1:2" x14ac:dyDescent="0.4">
      <c r="A5863" s="4">
        <v>1003001</v>
      </c>
      <c r="B5863">
        <v>7340700</v>
      </c>
    </row>
    <row r="5864" spans="1:2" x14ac:dyDescent="0.4">
      <c r="A5864" s="4">
        <v>1003001</v>
      </c>
      <c r="B5864">
        <v>7340800</v>
      </c>
    </row>
    <row r="5865" spans="1:2" x14ac:dyDescent="0.4">
      <c r="A5865" s="4">
        <v>1003001</v>
      </c>
      <c r="B5865">
        <v>7340900</v>
      </c>
    </row>
    <row r="5866" spans="1:2" x14ac:dyDescent="0.4">
      <c r="A5866" s="4">
        <v>1003001</v>
      </c>
      <c r="B5866">
        <v>7341000</v>
      </c>
    </row>
    <row r="5867" spans="1:2" x14ac:dyDescent="0.4">
      <c r="A5867" s="4">
        <v>1003001</v>
      </c>
      <c r="B5867">
        <v>7341100</v>
      </c>
    </row>
    <row r="5868" spans="1:2" x14ac:dyDescent="0.4">
      <c r="A5868" s="4">
        <v>1003001</v>
      </c>
      <c r="B5868">
        <v>7341200</v>
      </c>
    </row>
    <row r="5869" spans="1:2" x14ac:dyDescent="0.4">
      <c r="A5869" s="4">
        <v>1003001</v>
      </c>
      <c r="B5869">
        <v>7341300</v>
      </c>
    </row>
    <row r="5870" spans="1:2" x14ac:dyDescent="0.4">
      <c r="A5870" s="4">
        <v>1003001</v>
      </c>
      <c r="B5870">
        <v>7341400</v>
      </c>
    </row>
    <row r="5871" spans="1:2" x14ac:dyDescent="0.4">
      <c r="A5871" s="4">
        <v>1003001</v>
      </c>
      <c r="B5871">
        <v>7341500</v>
      </c>
    </row>
    <row r="5872" spans="1:2" x14ac:dyDescent="0.4">
      <c r="A5872" s="4">
        <v>1003001</v>
      </c>
      <c r="B5872">
        <v>7341700</v>
      </c>
    </row>
    <row r="5873" spans="1:2" x14ac:dyDescent="0.4">
      <c r="A5873" s="4">
        <v>1003001</v>
      </c>
      <c r="B5873">
        <v>7341800</v>
      </c>
    </row>
    <row r="5874" spans="1:2" x14ac:dyDescent="0.4">
      <c r="A5874" s="4">
        <v>1003001</v>
      </c>
      <c r="B5874">
        <v>7341900</v>
      </c>
    </row>
    <row r="5875" spans="1:2" x14ac:dyDescent="0.4">
      <c r="A5875" s="4">
        <v>1003001</v>
      </c>
      <c r="B5875">
        <v>7342000</v>
      </c>
    </row>
    <row r="5876" spans="1:2" x14ac:dyDescent="0.4">
      <c r="A5876" s="4">
        <v>1003001</v>
      </c>
      <c r="B5876">
        <v>7342100</v>
      </c>
    </row>
    <row r="5877" spans="1:2" x14ac:dyDescent="0.4">
      <c r="A5877" s="4">
        <v>1003001</v>
      </c>
      <c r="B5877">
        <v>7342200</v>
      </c>
    </row>
    <row r="5878" spans="1:2" x14ac:dyDescent="0.4">
      <c r="A5878" s="4">
        <v>1003001</v>
      </c>
      <c r="B5878">
        <v>7342300</v>
      </c>
    </row>
    <row r="5879" spans="1:2" x14ac:dyDescent="0.4">
      <c r="A5879" s="4">
        <v>1003001</v>
      </c>
      <c r="B5879">
        <v>7342400</v>
      </c>
    </row>
    <row r="5880" spans="1:2" x14ac:dyDescent="0.4">
      <c r="A5880" s="4">
        <v>1003001</v>
      </c>
      <c r="B5880">
        <v>7350000</v>
      </c>
    </row>
    <row r="5881" spans="1:2" x14ac:dyDescent="0.4">
      <c r="A5881" s="4">
        <v>1003001</v>
      </c>
      <c r="B5881">
        <v>7350100</v>
      </c>
    </row>
    <row r="5882" spans="1:2" x14ac:dyDescent="0.4">
      <c r="A5882" s="4">
        <v>1003001</v>
      </c>
      <c r="B5882">
        <v>7350200</v>
      </c>
    </row>
    <row r="5883" spans="1:2" x14ac:dyDescent="0.4">
      <c r="A5883" s="4">
        <v>1003001</v>
      </c>
      <c r="B5883">
        <v>7350300</v>
      </c>
    </row>
    <row r="5884" spans="1:2" x14ac:dyDescent="0.4">
      <c r="A5884" s="4">
        <v>1003001</v>
      </c>
      <c r="B5884">
        <v>7350400</v>
      </c>
    </row>
    <row r="5885" spans="1:2" x14ac:dyDescent="0.4">
      <c r="A5885" s="4">
        <v>1003001</v>
      </c>
      <c r="B5885">
        <v>7350500</v>
      </c>
    </row>
    <row r="5886" spans="1:2" x14ac:dyDescent="0.4">
      <c r="A5886" s="4">
        <v>1003001</v>
      </c>
      <c r="B5886">
        <v>7350600</v>
      </c>
    </row>
    <row r="5887" spans="1:2" x14ac:dyDescent="0.4">
      <c r="A5887" s="4">
        <v>1003001</v>
      </c>
      <c r="B5887">
        <v>7350700</v>
      </c>
    </row>
    <row r="5888" spans="1:2" x14ac:dyDescent="0.4">
      <c r="A5888" s="4">
        <v>1003001</v>
      </c>
      <c r="B5888">
        <v>7350800</v>
      </c>
    </row>
    <row r="5889" spans="1:2" x14ac:dyDescent="0.4">
      <c r="A5889" s="4">
        <v>1003001</v>
      </c>
      <c r="B5889">
        <v>7350900</v>
      </c>
    </row>
    <row r="5890" spans="1:2" x14ac:dyDescent="0.4">
      <c r="A5890" s="4">
        <v>1003001</v>
      </c>
      <c r="B5890">
        <v>7351000</v>
      </c>
    </row>
    <row r="5891" spans="1:2" x14ac:dyDescent="0.4">
      <c r="A5891" s="4">
        <v>1003001</v>
      </c>
      <c r="B5891">
        <v>7351100</v>
      </c>
    </row>
    <row r="5892" spans="1:2" x14ac:dyDescent="0.4">
      <c r="A5892" s="4">
        <v>1003001</v>
      </c>
      <c r="B5892">
        <v>7351200</v>
      </c>
    </row>
    <row r="5893" spans="1:2" x14ac:dyDescent="0.4">
      <c r="A5893" s="4">
        <v>1003001</v>
      </c>
      <c r="B5893">
        <v>7351300</v>
      </c>
    </row>
    <row r="5894" spans="1:2" x14ac:dyDescent="0.4">
      <c r="A5894" s="4">
        <v>1003001</v>
      </c>
      <c r="B5894">
        <v>7351400</v>
      </c>
    </row>
    <row r="5895" spans="1:2" x14ac:dyDescent="0.4">
      <c r="A5895" s="4">
        <v>1003001</v>
      </c>
      <c r="B5895">
        <v>7351500</v>
      </c>
    </row>
    <row r="5896" spans="1:2" x14ac:dyDescent="0.4">
      <c r="A5896" s="4">
        <v>1003001</v>
      </c>
      <c r="B5896">
        <v>7351700</v>
      </c>
    </row>
    <row r="5897" spans="1:2" x14ac:dyDescent="0.4">
      <c r="A5897" s="4">
        <v>1003001</v>
      </c>
      <c r="B5897">
        <v>7351800</v>
      </c>
    </row>
    <row r="5898" spans="1:2" x14ac:dyDescent="0.4">
      <c r="A5898" s="4">
        <v>1003001</v>
      </c>
      <c r="B5898">
        <v>7351900</v>
      </c>
    </row>
    <row r="5899" spans="1:2" x14ac:dyDescent="0.4">
      <c r="A5899" s="4">
        <v>1003001</v>
      </c>
      <c r="B5899">
        <v>7352000</v>
      </c>
    </row>
    <row r="5900" spans="1:2" x14ac:dyDescent="0.4">
      <c r="A5900" s="4">
        <v>1003001</v>
      </c>
      <c r="B5900">
        <v>7352100</v>
      </c>
    </row>
    <row r="5901" spans="1:2" x14ac:dyDescent="0.4">
      <c r="A5901" s="4">
        <v>1003001</v>
      </c>
      <c r="B5901">
        <v>7352200</v>
      </c>
    </row>
    <row r="5902" spans="1:2" x14ac:dyDescent="0.4">
      <c r="A5902" s="4">
        <v>1003001</v>
      </c>
      <c r="B5902">
        <v>7352300</v>
      </c>
    </row>
    <row r="5903" spans="1:2" x14ac:dyDescent="0.4">
      <c r="A5903" s="4">
        <v>1003001</v>
      </c>
      <c r="B5903">
        <v>7352400</v>
      </c>
    </row>
    <row r="5904" spans="1:2" x14ac:dyDescent="0.4">
      <c r="A5904" s="4">
        <v>1003001</v>
      </c>
      <c r="B5904">
        <v>7360600</v>
      </c>
    </row>
    <row r="5905" spans="1:2" x14ac:dyDescent="0.4">
      <c r="A5905" s="4">
        <v>1003001</v>
      </c>
      <c r="B5905">
        <v>7360900</v>
      </c>
    </row>
    <row r="5906" spans="1:2" x14ac:dyDescent="0.4">
      <c r="A5906" s="4">
        <v>1003001</v>
      </c>
      <c r="B5906">
        <v>7361200</v>
      </c>
    </row>
    <row r="5907" spans="1:2" x14ac:dyDescent="0.4">
      <c r="A5907" s="4">
        <v>1003001</v>
      </c>
      <c r="B5907">
        <v>7361300</v>
      </c>
    </row>
    <row r="5908" spans="1:2" x14ac:dyDescent="0.4">
      <c r="A5908" s="4">
        <v>1003001</v>
      </c>
      <c r="B5908">
        <v>7362100</v>
      </c>
    </row>
    <row r="5909" spans="1:2" x14ac:dyDescent="0.4">
      <c r="A5909" s="4">
        <v>1003001</v>
      </c>
      <c r="B5909">
        <v>7370300</v>
      </c>
    </row>
    <row r="5910" spans="1:2" x14ac:dyDescent="0.4">
      <c r="A5910" s="4">
        <v>1003001</v>
      </c>
      <c r="B5910">
        <v>7370400</v>
      </c>
    </row>
    <row r="5911" spans="1:2" x14ac:dyDescent="0.4">
      <c r="A5911" s="4">
        <v>1003001</v>
      </c>
      <c r="B5911">
        <v>7370600</v>
      </c>
    </row>
    <row r="5912" spans="1:2" x14ac:dyDescent="0.4">
      <c r="A5912" s="4">
        <v>1003001</v>
      </c>
      <c r="B5912">
        <v>7370900</v>
      </c>
    </row>
    <row r="5913" spans="1:2" x14ac:dyDescent="0.4">
      <c r="A5913" s="4">
        <v>1003001</v>
      </c>
      <c r="B5913">
        <v>7371500</v>
      </c>
    </row>
    <row r="5914" spans="1:2" x14ac:dyDescent="0.4">
      <c r="A5914" s="4">
        <v>1003001</v>
      </c>
      <c r="B5914">
        <v>7036200</v>
      </c>
    </row>
    <row r="5915" spans="1:2" x14ac:dyDescent="0.4">
      <c r="A5915" s="4">
        <v>1003001</v>
      </c>
      <c r="B5915">
        <v>7036300</v>
      </c>
    </row>
    <row r="5916" spans="1:2" x14ac:dyDescent="0.4">
      <c r="A5916" s="4">
        <v>1003001</v>
      </c>
      <c r="B5916">
        <v>7036400</v>
      </c>
    </row>
    <row r="5917" spans="1:2" x14ac:dyDescent="0.4">
      <c r="A5917" s="4">
        <v>1003001</v>
      </c>
      <c r="B5917">
        <v>7036500</v>
      </c>
    </row>
    <row r="5918" spans="1:2" x14ac:dyDescent="0.4">
      <c r="A5918" s="4">
        <v>1003001</v>
      </c>
      <c r="B5918">
        <v>7036800</v>
      </c>
    </row>
    <row r="5919" spans="1:2" x14ac:dyDescent="0.4">
      <c r="A5919" s="4">
        <v>1003001</v>
      </c>
      <c r="B5919">
        <v>7036900</v>
      </c>
    </row>
    <row r="5920" spans="1:2" x14ac:dyDescent="0.4">
      <c r="A5920" s="4">
        <v>1003001</v>
      </c>
      <c r="B5920">
        <v>7037000</v>
      </c>
    </row>
    <row r="5921" spans="1:2" x14ac:dyDescent="0.4">
      <c r="A5921" s="4">
        <v>1003001</v>
      </c>
      <c r="B5921">
        <v>7037300</v>
      </c>
    </row>
    <row r="5922" spans="1:2" x14ac:dyDescent="0.4">
      <c r="A5922" s="4">
        <v>1003001</v>
      </c>
      <c r="B5922">
        <v>6630000</v>
      </c>
    </row>
    <row r="5923" spans="1:2" x14ac:dyDescent="0.4">
      <c r="A5923" s="4">
        <v>1003001</v>
      </c>
      <c r="B5923">
        <v>6630100</v>
      </c>
    </row>
    <row r="5924" spans="1:2" x14ac:dyDescent="0.4">
      <c r="A5924" s="4">
        <v>1003001</v>
      </c>
      <c r="B5924">
        <v>6630200</v>
      </c>
    </row>
    <row r="5925" spans="1:2" x14ac:dyDescent="0.4">
      <c r="A5925" s="4">
        <v>1003001</v>
      </c>
      <c r="B5925">
        <v>6630300</v>
      </c>
    </row>
    <row r="5926" spans="1:2" x14ac:dyDescent="0.4">
      <c r="A5926" s="4">
        <v>1003001</v>
      </c>
      <c r="B5926">
        <v>6630400</v>
      </c>
    </row>
    <row r="5927" spans="1:2" x14ac:dyDescent="0.4">
      <c r="A5927" s="4">
        <v>1003001</v>
      </c>
      <c r="B5927">
        <v>6630500</v>
      </c>
    </row>
    <row r="5928" spans="1:2" x14ac:dyDescent="0.4">
      <c r="A5928" s="4">
        <v>1003001</v>
      </c>
      <c r="B5928">
        <v>6630600</v>
      </c>
    </row>
    <row r="5929" spans="1:2" x14ac:dyDescent="0.4">
      <c r="A5929" s="4">
        <v>1003001</v>
      </c>
      <c r="B5929">
        <v>6630700</v>
      </c>
    </row>
    <row r="5930" spans="1:2" x14ac:dyDescent="0.4">
      <c r="A5930" s="4">
        <v>1003001</v>
      </c>
      <c r="B5930">
        <v>6630800</v>
      </c>
    </row>
    <row r="5931" spans="1:2" x14ac:dyDescent="0.4">
      <c r="A5931" s="4">
        <v>1003001</v>
      </c>
      <c r="B5931">
        <v>6630900</v>
      </c>
    </row>
    <row r="5932" spans="1:2" x14ac:dyDescent="0.4">
      <c r="A5932" s="4">
        <v>1003001</v>
      </c>
      <c r="B5932">
        <v>6631000</v>
      </c>
    </row>
    <row r="5933" spans="1:2" x14ac:dyDescent="0.4">
      <c r="A5933" s="4">
        <v>1003001</v>
      </c>
      <c r="B5933">
        <v>6631100</v>
      </c>
    </row>
    <row r="5934" spans="1:2" x14ac:dyDescent="0.4">
      <c r="A5934" s="4">
        <v>1003001</v>
      </c>
      <c r="B5934">
        <v>6631200</v>
      </c>
    </row>
    <row r="5935" spans="1:2" x14ac:dyDescent="0.4">
      <c r="A5935" s="4">
        <v>1003001</v>
      </c>
      <c r="B5935">
        <v>6631300</v>
      </c>
    </row>
    <row r="5936" spans="1:2" x14ac:dyDescent="0.4">
      <c r="A5936" s="4">
        <v>1003001</v>
      </c>
      <c r="B5936">
        <v>6631400</v>
      </c>
    </row>
    <row r="5937" spans="1:2" x14ac:dyDescent="0.4">
      <c r="A5937" s="4">
        <v>1003001</v>
      </c>
      <c r="B5937">
        <v>6631500</v>
      </c>
    </row>
    <row r="5938" spans="1:2" x14ac:dyDescent="0.4">
      <c r="A5938" s="4">
        <v>1003001</v>
      </c>
      <c r="B5938">
        <v>6631600</v>
      </c>
    </row>
    <row r="5939" spans="1:2" x14ac:dyDescent="0.4">
      <c r="A5939" s="4">
        <v>1003001</v>
      </c>
      <c r="B5939">
        <v>6631700</v>
      </c>
    </row>
    <row r="5940" spans="1:2" x14ac:dyDescent="0.4">
      <c r="A5940" s="4">
        <v>1003001</v>
      </c>
      <c r="B5940">
        <v>6631800</v>
      </c>
    </row>
    <row r="5941" spans="1:2" x14ac:dyDescent="0.4">
      <c r="A5941" s="4">
        <v>1003001</v>
      </c>
      <c r="B5941">
        <v>6631900</v>
      </c>
    </row>
    <row r="5942" spans="1:2" x14ac:dyDescent="0.4">
      <c r="A5942" s="4">
        <v>1003001</v>
      </c>
      <c r="B5942">
        <v>6632000</v>
      </c>
    </row>
    <row r="5943" spans="1:2" x14ac:dyDescent="0.4">
      <c r="A5943" s="4">
        <v>1003001</v>
      </c>
      <c r="B5943">
        <v>6632100</v>
      </c>
    </row>
    <row r="5944" spans="1:2" x14ac:dyDescent="0.4">
      <c r="A5944" s="4">
        <v>1003001</v>
      </c>
      <c r="B5944">
        <v>6632200</v>
      </c>
    </row>
    <row r="5945" spans="1:2" x14ac:dyDescent="0.4">
      <c r="A5945" s="4">
        <v>1003001</v>
      </c>
      <c r="B5945">
        <v>6632300</v>
      </c>
    </row>
    <row r="5946" spans="1:2" x14ac:dyDescent="0.4">
      <c r="A5946" s="4">
        <v>1003001</v>
      </c>
      <c r="B5946">
        <v>6632400</v>
      </c>
    </row>
    <row r="5947" spans="1:2" x14ac:dyDescent="0.4">
      <c r="A5947" s="4">
        <v>1003001</v>
      </c>
      <c r="B5947">
        <v>6632500</v>
      </c>
    </row>
    <row r="5948" spans="1:2" x14ac:dyDescent="0.4">
      <c r="A5948" s="4">
        <v>1003001</v>
      </c>
      <c r="B5948">
        <v>6632600</v>
      </c>
    </row>
    <row r="5949" spans="1:2" x14ac:dyDescent="0.4">
      <c r="A5949" s="4">
        <v>1003001</v>
      </c>
      <c r="B5949">
        <v>6632700</v>
      </c>
    </row>
    <row r="5950" spans="1:2" x14ac:dyDescent="0.4">
      <c r="A5950" s="4">
        <v>1003001</v>
      </c>
      <c r="B5950">
        <v>6632800</v>
      </c>
    </row>
    <row r="5951" spans="1:2" x14ac:dyDescent="0.4">
      <c r="A5951" s="4">
        <v>1003001</v>
      </c>
      <c r="B5951">
        <v>6632900</v>
      </c>
    </row>
    <row r="5952" spans="1:2" x14ac:dyDescent="0.4">
      <c r="A5952" s="4">
        <v>1003001</v>
      </c>
      <c r="B5952">
        <v>6633000</v>
      </c>
    </row>
    <row r="5953" spans="1:2" x14ac:dyDescent="0.4">
      <c r="A5953" s="4">
        <v>1003001</v>
      </c>
      <c r="B5953">
        <v>6633100</v>
      </c>
    </row>
    <row r="5954" spans="1:2" x14ac:dyDescent="0.4">
      <c r="A5954" s="4">
        <v>1003001</v>
      </c>
      <c r="B5954">
        <v>6633200</v>
      </c>
    </row>
    <row r="5955" spans="1:2" x14ac:dyDescent="0.4">
      <c r="A5955" s="4">
        <v>1003001</v>
      </c>
      <c r="B5955">
        <v>6647200</v>
      </c>
    </row>
    <row r="5956" spans="1:2" x14ac:dyDescent="0.4">
      <c r="A5956" s="4">
        <v>1003001</v>
      </c>
      <c r="B5956">
        <v>6647300</v>
      </c>
    </row>
    <row r="5957" spans="1:2" x14ac:dyDescent="0.4">
      <c r="A5957" s="4">
        <v>1003001</v>
      </c>
      <c r="B5957">
        <v>6647400</v>
      </c>
    </row>
    <row r="5958" spans="1:2" x14ac:dyDescent="0.4">
      <c r="A5958" s="4">
        <v>1003001</v>
      </c>
      <c r="B5958">
        <v>6647500</v>
      </c>
    </row>
    <row r="5959" spans="1:2" x14ac:dyDescent="0.4">
      <c r="A5959" s="4">
        <v>1003001</v>
      </c>
      <c r="B5959">
        <v>6640000</v>
      </c>
    </row>
    <row r="5960" spans="1:2" x14ac:dyDescent="0.4">
      <c r="A5960" s="4">
        <v>1003001</v>
      </c>
      <c r="B5960">
        <v>6640100</v>
      </c>
    </row>
    <row r="5961" spans="1:2" x14ac:dyDescent="0.4">
      <c r="A5961" s="4">
        <v>1003001</v>
      </c>
      <c r="B5961">
        <v>6641000</v>
      </c>
    </row>
    <row r="5962" spans="1:2" x14ac:dyDescent="0.4">
      <c r="A5962" s="4">
        <v>1003001</v>
      </c>
      <c r="B5962">
        <v>6641100</v>
      </c>
    </row>
    <row r="5963" spans="1:2" x14ac:dyDescent="0.4">
      <c r="A5963" s="4">
        <v>1003001</v>
      </c>
      <c r="B5963">
        <v>6642000</v>
      </c>
    </row>
    <row r="5964" spans="1:2" x14ac:dyDescent="0.4">
      <c r="A5964" s="4">
        <v>1003001</v>
      </c>
      <c r="B5964">
        <v>6642100</v>
      </c>
    </row>
    <row r="5965" spans="1:2" x14ac:dyDescent="0.4">
      <c r="A5965" s="4">
        <v>1003001</v>
      </c>
      <c r="B5965">
        <v>6643000</v>
      </c>
    </row>
    <row r="5966" spans="1:2" x14ac:dyDescent="0.4">
      <c r="A5966" s="4">
        <v>1003001</v>
      </c>
      <c r="B5966">
        <v>6643100</v>
      </c>
    </row>
    <row r="5967" spans="1:2" x14ac:dyDescent="0.4">
      <c r="A5967" s="4">
        <v>1003001</v>
      </c>
      <c r="B5967">
        <v>6644000</v>
      </c>
    </row>
    <row r="5968" spans="1:2" x14ac:dyDescent="0.4">
      <c r="A5968" s="4">
        <v>1003001</v>
      </c>
      <c r="B5968">
        <v>6644100</v>
      </c>
    </row>
    <row r="5969" spans="1:2" x14ac:dyDescent="0.4">
      <c r="A5969" s="4">
        <v>1003001</v>
      </c>
      <c r="B5969">
        <v>6645000</v>
      </c>
    </row>
    <row r="5970" spans="1:2" x14ac:dyDescent="0.4">
      <c r="A5970" s="4">
        <v>1003001</v>
      </c>
      <c r="B5970">
        <v>6645100</v>
      </c>
    </row>
    <row r="5971" spans="1:2" x14ac:dyDescent="0.4">
      <c r="A5971" s="4">
        <v>1003001</v>
      </c>
      <c r="B5971">
        <v>6646000</v>
      </c>
    </row>
    <row r="5972" spans="1:2" x14ac:dyDescent="0.4">
      <c r="A5972" s="4">
        <v>1003001</v>
      </c>
      <c r="B5972">
        <v>6646100</v>
      </c>
    </row>
    <row r="5973" spans="1:2" x14ac:dyDescent="0.4">
      <c r="A5973" s="4">
        <v>1003001</v>
      </c>
      <c r="B5973">
        <v>6647000</v>
      </c>
    </row>
    <row r="5974" spans="1:2" x14ac:dyDescent="0.4">
      <c r="A5974" s="4">
        <v>1003001</v>
      </c>
      <c r="B5974">
        <v>6647100</v>
      </c>
    </row>
    <row r="5975" spans="1:2" x14ac:dyDescent="0.4">
      <c r="A5975" s="4">
        <v>1003002</v>
      </c>
      <c r="B5975">
        <v>7000000</v>
      </c>
    </row>
    <row r="5976" spans="1:2" x14ac:dyDescent="0.4">
      <c r="A5976" s="4">
        <v>1003002</v>
      </c>
      <c r="B5976">
        <v>7000001</v>
      </c>
    </row>
    <row r="5977" spans="1:2" x14ac:dyDescent="0.4">
      <c r="A5977" s="4">
        <v>1003002</v>
      </c>
      <c r="B5977">
        <v>7000002</v>
      </c>
    </row>
    <row r="5978" spans="1:2" x14ac:dyDescent="0.4">
      <c r="A5978" s="4">
        <v>1003002</v>
      </c>
      <c r="B5978">
        <v>7000100</v>
      </c>
    </row>
    <row r="5979" spans="1:2" x14ac:dyDescent="0.4">
      <c r="A5979" s="4">
        <v>1003002</v>
      </c>
      <c r="B5979">
        <v>7000101</v>
      </c>
    </row>
    <row r="5980" spans="1:2" x14ac:dyDescent="0.4">
      <c r="A5980" s="4">
        <v>1003002</v>
      </c>
      <c r="B5980">
        <v>7000102</v>
      </c>
    </row>
    <row r="5981" spans="1:2" x14ac:dyDescent="0.4">
      <c r="A5981" s="4">
        <v>1003002</v>
      </c>
      <c r="B5981">
        <v>7000200</v>
      </c>
    </row>
    <row r="5982" spans="1:2" x14ac:dyDescent="0.4">
      <c r="A5982" s="4">
        <v>1003002</v>
      </c>
      <c r="B5982">
        <v>7000201</v>
      </c>
    </row>
    <row r="5983" spans="1:2" x14ac:dyDescent="0.4">
      <c r="A5983" s="4">
        <v>1003002</v>
      </c>
      <c r="B5983">
        <v>7000202</v>
      </c>
    </row>
    <row r="5984" spans="1:2" x14ac:dyDescent="0.4">
      <c r="A5984" s="4">
        <v>1003002</v>
      </c>
      <c r="B5984">
        <v>7000300</v>
      </c>
    </row>
    <row r="5985" spans="1:2" x14ac:dyDescent="0.4">
      <c r="A5985" s="4">
        <v>1003002</v>
      </c>
      <c r="B5985">
        <v>7000301</v>
      </c>
    </row>
    <row r="5986" spans="1:2" x14ac:dyDescent="0.4">
      <c r="A5986" s="4">
        <v>1003002</v>
      </c>
      <c r="B5986">
        <v>7000302</v>
      </c>
    </row>
    <row r="5987" spans="1:2" x14ac:dyDescent="0.4">
      <c r="A5987" s="4">
        <v>1003002</v>
      </c>
      <c r="B5987">
        <v>7000400</v>
      </c>
    </row>
    <row r="5988" spans="1:2" x14ac:dyDescent="0.4">
      <c r="A5988" s="4">
        <v>1003002</v>
      </c>
      <c r="B5988">
        <v>7000401</v>
      </c>
    </row>
    <row r="5989" spans="1:2" x14ac:dyDescent="0.4">
      <c r="A5989" s="4">
        <v>1003002</v>
      </c>
      <c r="B5989">
        <v>7000402</v>
      </c>
    </row>
    <row r="5990" spans="1:2" x14ac:dyDescent="0.4">
      <c r="A5990" s="4">
        <v>1003002</v>
      </c>
      <c r="B5990">
        <v>7000500</v>
      </c>
    </row>
    <row r="5991" spans="1:2" x14ac:dyDescent="0.4">
      <c r="A5991" s="4">
        <v>1003002</v>
      </c>
      <c r="B5991">
        <v>7000501</v>
      </c>
    </row>
    <row r="5992" spans="1:2" x14ac:dyDescent="0.4">
      <c r="A5992" s="4">
        <v>1003002</v>
      </c>
      <c r="B5992">
        <v>7000502</v>
      </c>
    </row>
    <row r="5993" spans="1:2" x14ac:dyDescent="0.4">
      <c r="A5993" s="4">
        <v>1003002</v>
      </c>
      <c r="B5993">
        <v>7000600</v>
      </c>
    </row>
    <row r="5994" spans="1:2" x14ac:dyDescent="0.4">
      <c r="A5994" s="4">
        <v>1003002</v>
      </c>
      <c r="B5994">
        <v>7000601</v>
      </c>
    </row>
    <row r="5995" spans="1:2" x14ac:dyDescent="0.4">
      <c r="A5995" s="4">
        <v>1003002</v>
      </c>
      <c r="B5995">
        <v>7000602</v>
      </c>
    </row>
    <row r="5996" spans="1:2" x14ac:dyDescent="0.4">
      <c r="A5996" s="4">
        <v>1003002</v>
      </c>
      <c r="B5996">
        <v>7000700</v>
      </c>
    </row>
    <row r="5997" spans="1:2" x14ac:dyDescent="0.4">
      <c r="A5997" s="4">
        <v>1003002</v>
      </c>
      <c r="B5997">
        <v>7000701</v>
      </c>
    </row>
    <row r="5998" spans="1:2" x14ac:dyDescent="0.4">
      <c r="A5998" s="4">
        <v>1003002</v>
      </c>
      <c r="B5998">
        <v>7000702</v>
      </c>
    </row>
    <row r="5999" spans="1:2" x14ac:dyDescent="0.4">
      <c r="A5999" s="4">
        <v>1003002</v>
      </c>
      <c r="B5999">
        <v>7000800</v>
      </c>
    </row>
    <row r="6000" spans="1:2" x14ac:dyDescent="0.4">
      <c r="A6000" s="4">
        <v>1003002</v>
      </c>
      <c r="B6000">
        <v>7000801</v>
      </c>
    </row>
    <row r="6001" spans="1:2" x14ac:dyDescent="0.4">
      <c r="A6001" s="4">
        <v>1003002</v>
      </c>
      <c r="B6001">
        <v>7000802</v>
      </c>
    </row>
    <row r="6002" spans="1:2" x14ac:dyDescent="0.4">
      <c r="A6002" s="4">
        <v>1003002</v>
      </c>
      <c r="B6002">
        <v>7000900</v>
      </c>
    </row>
    <row r="6003" spans="1:2" x14ac:dyDescent="0.4">
      <c r="A6003" s="4">
        <v>1003002</v>
      </c>
      <c r="B6003">
        <v>7000901</v>
      </c>
    </row>
    <row r="6004" spans="1:2" x14ac:dyDescent="0.4">
      <c r="A6004" s="4">
        <v>1003002</v>
      </c>
      <c r="B6004">
        <v>7000902</v>
      </c>
    </row>
    <row r="6005" spans="1:2" x14ac:dyDescent="0.4">
      <c r="A6005" s="4">
        <v>1003002</v>
      </c>
      <c r="B6005">
        <v>7001000</v>
      </c>
    </row>
    <row r="6006" spans="1:2" x14ac:dyDescent="0.4">
      <c r="A6006" s="4">
        <v>1003002</v>
      </c>
      <c r="B6006">
        <v>7001001</v>
      </c>
    </row>
    <row r="6007" spans="1:2" x14ac:dyDescent="0.4">
      <c r="A6007" s="4">
        <v>1003002</v>
      </c>
      <c r="B6007">
        <v>7001002</v>
      </c>
    </row>
    <row r="6008" spans="1:2" x14ac:dyDescent="0.4">
      <c r="A6008" s="4">
        <v>1003002</v>
      </c>
      <c r="B6008">
        <v>7001400</v>
      </c>
    </row>
    <row r="6009" spans="1:2" x14ac:dyDescent="0.4">
      <c r="A6009" s="4">
        <v>1003002</v>
      </c>
      <c r="B6009">
        <v>7001401</v>
      </c>
    </row>
    <row r="6010" spans="1:2" x14ac:dyDescent="0.4">
      <c r="A6010" s="4">
        <v>1003002</v>
      </c>
      <c r="B6010">
        <v>7001402</v>
      </c>
    </row>
    <row r="6011" spans="1:2" x14ac:dyDescent="0.4">
      <c r="A6011" s="4">
        <v>1003002</v>
      </c>
      <c r="B6011">
        <v>7001500</v>
      </c>
    </row>
    <row r="6012" spans="1:2" x14ac:dyDescent="0.4">
      <c r="A6012" s="4">
        <v>1003002</v>
      </c>
      <c r="B6012">
        <v>7001501</v>
      </c>
    </row>
    <row r="6013" spans="1:2" x14ac:dyDescent="0.4">
      <c r="A6013" s="4">
        <v>1003002</v>
      </c>
      <c r="B6013">
        <v>7001502</v>
      </c>
    </row>
    <row r="6014" spans="1:2" x14ac:dyDescent="0.4">
      <c r="A6014" s="4">
        <v>1003002</v>
      </c>
      <c r="B6014">
        <v>7001600</v>
      </c>
    </row>
    <row r="6015" spans="1:2" x14ac:dyDescent="0.4">
      <c r="A6015" s="4">
        <v>1003002</v>
      </c>
      <c r="B6015">
        <v>7001601</v>
      </c>
    </row>
    <row r="6016" spans="1:2" x14ac:dyDescent="0.4">
      <c r="A6016" s="4">
        <v>1003002</v>
      </c>
      <c r="B6016">
        <v>7001602</v>
      </c>
    </row>
    <row r="6017" spans="1:2" x14ac:dyDescent="0.4">
      <c r="A6017" s="4">
        <v>1003002</v>
      </c>
      <c r="B6017">
        <v>7001700</v>
      </c>
    </row>
    <row r="6018" spans="1:2" x14ac:dyDescent="0.4">
      <c r="A6018" s="4">
        <v>1003002</v>
      </c>
      <c r="B6018">
        <v>7001701</v>
      </c>
    </row>
    <row r="6019" spans="1:2" x14ac:dyDescent="0.4">
      <c r="A6019" s="4">
        <v>1003002</v>
      </c>
      <c r="B6019">
        <v>7001702</v>
      </c>
    </row>
    <row r="6020" spans="1:2" x14ac:dyDescent="0.4">
      <c r="A6020" s="4">
        <v>1003002</v>
      </c>
      <c r="B6020">
        <v>7001800</v>
      </c>
    </row>
    <row r="6021" spans="1:2" x14ac:dyDescent="0.4">
      <c r="A6021" s="4">
        <v>1003002</v>
      </c>
      <c r="B6021">
        <v>7001801</v>
      </c>
    </row>
    <row r="6022" spans="1:2" x14ac:dyDescent="0.4">
      <c r="A6022" s="4">
        <v>1003002</v>
      </c>
      <c r="B6022">
        <v>7001802</v>
      </c>
    </row>
    <row r="6023" spans="1:2" x14ac:dyDescent="0.4">
      <c r="A6023" s="4">
        <v>1003002</v>
      </c>
      <c r="B6023">
        <v>7002600</v>
      </c>
    </row>
    <row r="6024" spans="1:2" x14ac:dyDescent="0.4">
      <c r="A6024" s="4">
        <v>1003002</v>
      </c>
      <c r="B6024">
        <v>7002700</v>
      </c>
    </row>
    <row r="6025" spans="1:2" x14ac:dyDescent="0.4">
      <c r="A6025" s="4">
        <v>1003002</v>
      </c>
      <c r="B6025">
        <v>7002800</v>
      </c>
    </row>
    <row r="6026" spans="1:2" x14ac:dyDescent="0.4">
      <c r="A6026" s="4">
        <v>1003002</v>
      </c>
      <c r="B6026">
        <v>7002900</v>
      </c>
    </row>
    <row r="6027" spans="1:2" x14ac:dyDescent="0.4">
      <c r="A6027" s="4">
        <v>1003002</v>
      </c>
      <c r="B6027">
        <v>7003000</v>
      </c>
    </row>
    <row r="6028" spans="1:2" x14ac:dyDescent="0.4">
      <c r="A6028" s="4">
        <v>1003002</v>
      </c>
      <c r="B6028">
        <v>7003100</v>
      </c>
    </row>
    <row r="6029" spans="1:2" x14ac:dyDescent="0.4">
      <c r="A6029" s="4">
        <v>1003002</v>
      </c>
      <c r="B6029">
        <v>7003200</v>
      </c>
    </row>
    <row r="6030" spans="1:2" x14ac:dyDescent="0.4">
      <c r="A6030" s="4">
        <v>1003002</v>
      </c>
      <c r="B6030">
        <v>7003300</v>
      </c>
    </row>
    <row r="6031" spans="1:2" x14ac:dyDescent="0.4">
      <c r="A6031" s="4">
        <v>1003002</v>
      </c>
      <c r="B6031">
        <v>7003400</v>
      </c>
    </row>
    <row r="6032" spans="1:2" x14ac:dyDescent="0.4">
      <c r="A6032" s="4">
        <v>1003002</v>
      </c>
      <c r="B6032">
        <v>7003500</v>
      </c>
    </row>
    <row r="6033" spans="1:2" x14ac:dyDescent="0.4">
      <c r="A6033" s="4">
        <v>1003002</v>
      </c>
      <c r="B6033">
        <v>7003600</v>
      </c>
    </row>
    <row r="6034" spans="1:2" x14ac:dyDescent="0.4">
      <c r="A6034" s="4">
        <v>1003002</v>
      </c>
      <c r="B6034">
        <v>7005600</v>
      </c>
    </row>
    <row r="6035" spans="1:2" x14ac:dyDescent="0.4">
      <c r="A6035" s="4">
        <v>1003002</v>
      </c>
      <c r="B6035">
        <v>7006000</v>
      </c>
    </row>
    <row r="6036" spans="1:2" x14ac:dyDescent="0.4">
      <c r="A6036" s="4">
        <v>1003002</v>
      </c>
      <c r="B6036">
        <v>7006100</v>
      </c>
    </row>
    <row r="6037" spans="1:2" x14ac:dyDescent="0.4">
      <c r="A6037" s="4">
        <v>1003002</v>
      </c>
      <c r="B6037">
        <v>7010200</v>
      </c>
    </row>
    <row r="6038" spans="1:2" x14ac:dyDescent="0.4">
      <c r="A6038" s="4">
        <v>1003002</v>
      </c>
      <c r="B6038">
        <v>7010500</v>
      </c>
    </row>
    <row r="6039" spans="1:2" x14ac:dyDescent="0.4">
      <c r="A6039" s="4">
        <v>1003002</v>
      </c>
      <c r="B6039">
        <v>7010700</v>
      </c>
    </row>
    <row r="6040" spans="1:2" x14ac:dyDescent="0.4">
      <c r="A6040" s="4">
        <v>1003002</v>
      </c>
      <c r="B6040">
        <v>7010900</v>
      </c>
    </row>
    <row r="6041" spans="1:2" x14ac:dyDescent="0.4">
      <c r="A6041" s="4">
        <v>1003002</v>
      </c>
      <c r="B6041">
        <v>7011000</v>
      </c>
    </row>
    <row r="6042" spans="1:2" x14ac:dyDescent="0.4">
      <c r="A6042" s="4">
        <v>1003002</v>
      </c>
      <c r="B6042">
        <v>7011200</v>
      </c>
    </row>
    <row r="6043" spans="1:2" x14ac:dyDescent="0.4">
      <c r="A6043" s="4">
        <v>1003002</v>
      </c>
      <c r="B6043">
        <v>7011600</v>
      </c>
    </row>
    <row r="6044" spans="1:2" x14ac:dyDescent="0.4">
      <c r="A6044" s="4">
        <v>1003002</v>
      </c>
      <c r="B6044">
        <v>7011700</v>
      </c>
    </row>
    <row r="6045" spans="1:2" x14ac:dyDescent="0.4">
      <c r="A6045" s="4">
        <v>1003002</v>
      </c>
      <c r="B6045">
        <v>7012000</v>
      </c>
    </row>
    <row r="6046" spans="1:2" x14ac:dyDescent="0.4">
      <c r="A6046" s="4">
        <v>1003002</v>
      </c>
      <c r="B6046">
        <v>7012200</v>
      </c>
    </row>
    <row r="6047" spans="1:2" x14ac:dyDescent="0.4">
      <c r="A6047" s="4">
        <v>1003002</v>
      </c>
      <c r="B6047">
        <v>7012300</v>
      </c>
    </row>
    <row r="6048" spans="1:2" x14ac:dyDescent="0.4">
      <c r="A6048" s="4">
        <v>1003002</v>
      </c>
      <c r="B6048">
        <v>7020000</v>
      </c>
    </row>
    <row r="6049" spans="1:2" x14ac:dyDescent="0.4">
      <c r="A6049" s="4">
        <v>1003002</v>
      </c>
      <c r="B6049">
        <v>7030000</v>
      </c>
    </row>
    <row r="6050" spans="1:2" x14ac:dyDescent="0.4">
      <c r="A6050" s="4">
        <v>1003002</v>
      </c>
      <c r="B6050">
        <v>7030200</v>
      </c>
    </row>
    <row r="6051" spans="1:2" x14ac:dyDescent="0.4">
      <c r="A6051" s="4">
        <v>1003002</v>
      </c>
      <c r="B6051">
        <v>7030600</v>
      </c>
    </row>
    <row r="6052" spans="1:2" x14ac:dyDescent="0.4">
      <c r="A6052" s="4">
        <v>1003002</v>
      </c>
      <c r="B6052">
        <v>7030700</v>
      </c>
    </row>
    <row r="6053" spans="1:2" x14ac:dyDescent="0.4">
      <c r="A6053" s="4">
        <v>1003002</v>
      </c>
      <c r="B6053">
        <v>7030800</v>
      </c>
    </row>
    <row r="6054" spans="1:2" x14ac:dyDescent="0.4">
      <c r="A6054" s="4">
        <v>1003002</v>
      </c>
      <c r="B6054">
        <v>7030900</v>
      </c>
    </row>
    <row r="6055" spans="1:2" x14ac:dyDescent="0.4">
      <c r="A6055" s="4">
        <v>1003002</v>
      </c>
      <c r="B6055">
        <v>7031200</v>
      </c>
    </row>
    <row r="6056" spans="1:2" x14ac:dyDescent="0.4">
      <c r="A6056" s="4">
        <v>1003002</v>
      </c>
      <c r="B6056">
        <v>7031300</v>
      </c>
    </row>
    <row r="6057" spans="1:2" x14ac:dyDescent="0.4">
      <c r="A6057" s="4">
        <v>1003002</v>
      </c>
      <c r="B6057">
        <v>7031800</v>
      </c>
    </row>
    <row r="6058" spans="1:2" x14ac:dyDescent="0.4">
      <c r="A6058" s="4">
        <v>1003002</v>
      </c>
      <c r="B6058">
        <v>7031900</v>
      </c>
    </row>
    <row r="6059" spans="1:2" x14ac:dyDescent="0.4">
      <c r="A6059" s="4">
        <v>1003002</v>
      </c>
      <c r="B6059">
        <v>7032200</v>
      </c>
    </row>
    <row r="6060" spans="1:2" x14ac:dyDescent="0.4">
      <c r="A6060" s="4">
        <v>1003002</v>
      </c>
      <c r="B6060">
        <v>7032400</v>
      </c>
    </row>
    <row r="6061" spans="1:2" x14ac:dyDescent="0.4">
      <c r="A6061" s="4">
        <v>1003002</v>
      </c>
      <c r="B6061">
        <v>7032700</v>
      </c>
    </row>
    <row r="6062" spans="1:2" x14ac:dyDescent="0.4">
      <c r="A6062" s="4">
        <v>1003002</v>
      </c>
      <c r="B6062">
        <v>7032800</v>
      </c>
    </row>
    <row r="6063" spans="1:2" x14ac:dyDescent="0.4">
      <c r="A6063" s="4">
        <v>1003002</v>
      </c>
      <c r="B6063">
        <v>7032900</v>
      </c>
    </row>
    <row r="6064" spans="1:2" x14ac:dyDescent="0.4">
      <c r="A6064" s="4">
        <v>1003002</v>
      </c>
      <c r="B6064">
        <v>7033200</v>
      </c>
    </row>
    <row r="6065" spans="1:2" x14ac:dyDescent="0.4">
      <c r="A6065" s="4">
        <v>1003002</v>
      </c>
      <c r="B6065">
        <v>7033400</v>
      </c>
    </row>
    <row r="6066" spans="1:2" x14ac:dyDescent="0.4">
      <c r="A6066" s="4">
        <v>1003002</v>
      </c>
      <c r="B6066">
        <v>7034100</v>
      </c>
    </row>
    <row r="6067" spans="1:2" x14ac:dyDescent="0.4">
      <c r="A6067" s="4">
        <v>1003002</v>
      </c>
      <c r="B6067">
        <v>7034400</v>
      </c>
    </row>
    <row r="6068" spans="1:2" x14ac:dyDescent="0.4">
      <c r="A6068" s="4">
        <v>1003002</v>
      </c>
      <c r="B6068">
        <v>7034500</v>
      </c>
    </row>
    <row r="6069" spans="1:2" x14ac:dyDescent="0.4">
      <c r="A6069" s="4">
        <v>1003002</v>
      </c>
      <c r="B6069">
        <v>7034600</v>
      </c>
    </row>
    <row r="6070" spans="1:2" x14ac:dyDescent="0.4">
      <c r="A6070" s="4">
        <v>1003002</v>
      </c>
      <c r="B6070">
        <v>7034700</v>
      </c>
    </row>
    <row r="6071" spans="1:2" x14ac:dyDescent="0.4">
      <c r="A6071" s="4">
        <v>1003002</v>
      </c>
      <c r="B6071">
        <v>7035100</v>
      </c>
    </row>
    <row r="6072" spans="1:2" x14ac:dyDescent="0.4">
      <c r="A6072" s="4">
        <v>1003002</v>
      </c>
      <c r="B6072">
        <v>7036100</v>
      </c>
    </row>
    <row r="6073" spans="1:2" x14ac:dyDescent="0.4">
      <c r="A6073" s="4">
        <v>1003002</v>
      </c>
      <c r="B6073">
        <v>7040000</v>
      </c>
    </row>
    <row r="6074" spans="1:2" x14ac:dyDescent="0.4">
      <c r="A6074" s="4">
        <v>1003002</v>
      </c>
      <c r="B6074">
        <v>7040100</v>
      </c>
    </row>
    <row r="6075" spans="1:2" x14ac:dyDescent="0.4">
      <c r="A6075" s="4">
        <v>1003002</v>
      </c>
      <c r="B6075">
        <v>7040200</v>
      </c>
    </row>
    <row r="6076" spans="1:2" x14ac:dyDescent="0.4">
      <c r="A6076" s="4">
        <v>1003002</v>
      </c>
      <c r="B6076">
        <v>7040300</v>
      </c>
    </row>
    <row r="6077" spans="1:2" x14ac:dyDescent="0.4">
      <c r="A6077" s="4">
        <v>1003002</v>
      </c>
      <c r="B6077">
        <v>7040400</v>
      </c>
    </row>
    <row r="6078" spans="1:2" x14ac:dyDescent="0.4">
      <c r="A6078" s="4">
        <v>1003002</v>
      </c>
      <c r="B6078">
        <v>7040500</v>
      </c>
    </row>
    <row r="6079" spans="1:2" x14ac:dyDescent="0.4">
      <c r="A6079" s="4">
        <v>1003002</v>
      </c>
      <c r="B6079">
        <v>7043000</v>
      </c>
    </row>
    <row r="6080" spans="1:2" x14ac:dyDescent="0.4">
      <c r="A6080" s="4">
        <v>1003002</v>
      </c>
      <c r="B6080">
        <v>7043100</v>
      </c>
    </row>
    <row r="6081" spans="1:2" x14ac:dyDescent="0.4">
      <c r="A6081" s="4">
        <v>1003002</v>
      </c>
      <c r="B6081">
        <v>7043200</v>
      </c>
    </row>
    <row r="6082" spans="1:2" x14ac:dyDescent="0.4">
      <c r="A6082" s="4">
        <v>1003002</v>
      </c>
      <c r="B6082">
        <v>7043300</v>
      </c>
    </row>
    <row r="6083" spans="1:2" x14ac:dyDescent="0.4">
      <c r="A6083" s="4">
        <v>1003002</v>
      </c>
      <c r="B6083">
        <v>7043400</v>
      </c>
    </row>
    <row r="6084" spans="1:2" x14ac:dyDescent="0.4">
      <c r="A6084" s="4">
        <v>1003002</v>
      </c>
      <c r="B6084">
        <v>7043500</v>
      </c>
    </row>
    <row r="6085" spans="1:2" x14ac:dyDescent="0.4">
      <c r="A6085" s="4">
        <v>1003002</v>
      </c>
      <c r="B6085">
        <v>7043600</v>
      </c>
    </row>
    <row r="6086" spans="1:2" x14ac:dyDescent="0.4">
      <c r="A6086" s="4">
        <v>1003002</v>
      </c>
      <c r="B6086">
        <v>7043700</v>
      </c>
    </row>
    <row r="6087" spans="1:2" x14ac:dyDescent="0.4">
      <c r="A6087" s="4">
        <v>1003002</v>
      </c>
      <c r="B6087">
        <v>7043800</v>
      </c>
    </row>
    <row r="6088" spans="1:2" x14ac:dyDescent="0.4">
      <c r="A6088" s="4">
        <v>1003002</v>
      </c>
      <c r="B6088">
        <v>7044000</v>
      </c>
    </row>
    <row r="6089" spans="1:2" x14ac:dyDescent="0.4">
      <c r="A6089" s="4">
        <v>1003002</v>
      </c>
      <c r="B6089">
        <v>7044100</v>
      </c>
    </row>
    <row r="6090" spans="1:2" x14ac:dyDescent="0.4">
      <c r="A6090" s="4">
        <v>1003002</v>
      </c>
      <c r="B6090">
        <v>7044200</v>
      </c>
    </row>
    <row r="6091" spans="1:2" x14ac:dyDescent="0.4">
      <c r="A6091" s="4">
        <v>1003002</v>
      </c>
      <c r="B6091">
        <v>7044300</v>
      </c>
    </row>
    <row r="6092" spans="1:2" x14ac:dyDescent="0.4">
      <c r="A6092" s="4">
        <v>1003002</v>
      </c>
      <c r="B6092">
        <v>7044400</v>
      </c>
    </row>
    <row r="6093" spans="1:2" x14ac:dyDescent="0.4">
      <c r="A6093" s="4">
        <v>1003002</v>
      </c>
      <c r="B6093">
        <v>7044500</v>
      </c>
    </row>
    <row r="6094" spans="1:2" x14ac:dyDescent="0.4">
      <c r="A6094" s="4">
        <v>1003002</v>
      </c>
      <c r="B6094">
        <v>7044600</v>
      </c>
    </row>
    <row r="6095" spans="1:2" x14ac:dyDescent="0.4">
      <c r="A6095" s="4">
        <v>1003002</v>
      </c>
      <c r="B6095">
        <v>7050000</v>
      </c>
    </row>
    <row r="6096" spans="1:2" x14ac:dyDescent="0.4">
      <c r="A6096" s="4">
        <v>1003002</v>
      </c>
      <c r="B6096">
        <v>7050100</v>
      </c>
    </row>
    <row r="6097" spans="1:2" x14ac:dyDescent="0.4">
      <c r="A6097" s="4">
        <v>1003002</v>
      </c>
      <c r="B6097">
        <v>7060000</v>
      </c>
    </row>
    <row r="6098" spans="1:2" x14ac:dyDescent="0.4">
      <c r="A6098" s="4">
        <v>1003002</v>
      </c>
      <c r="B6098">
        <v>7060100</v>
      </c>
    </row>
    <row r="6099" spans="1:2" x14ac:dyDescent="0.4">
      <c r="A6099" s="4">
        <v>1003002</v>
      </c>
      <c r="B6099">
        <v>7060200</v>
      </c>
    </row>
    <row r="6100" spans="1:2" x14ac:dyDescent="0.4">
      <c r="A6100" s="4">
        <v>1003002</v>
      </c>
      <c r="B6100">
        <v>7070000</v>
      </c>
    </row>
    <row r="6101" spans="1:2" x14ac:dyDescent="0.4">
      <c r="A6101" s="4">
        <v>1003002</v>
      </c>
      <c r="B6101">
        <v>7080000</v>
      </c>
    </row>
    <row r="6102" spans="1:2" x14ac:dyDescent="0.4">
      <c r="A6102" s="4">
        <v>1003002</v>
      </c>
      <c r="B6102">
        <v>7080100</v>
      </c>
    </row>
    <row r="6103" spans="1:2" x14ac:dyDescent="0.4">
      <c r="A6103" s="4">
        <v>1003002</v>
      </c>
      <c r="B6103">
        <v>7080200</v>
      </c>
    </row>
    <row r="6104" spans="1:2" x14ac:dyDescent="0.4">
      <c r="A6104" s="4">
        <v>1003002</v>
      </c>
      <c r="B6104">
        <v>7080300</v>
      </c>
    </row>
    <row r="6105" spans="1:2" x14ac:dyDescent="0.4">
      <c r="A6105" s="4">
        <v>1003002</v>
      </c>
      <c r="B6105">
        <v>7080400</v>
      </c>
    </row>
    <row r="6106" spans="1:2" x14ac:dyDescent="0.4">
      <c r="A6106" s="4">
        <v>1003002</v>
      </c>
      <c r="B6106">
        <v>7080500</v>
      </c>
    </row>
    <row r="6107" spans="1:2" x14ac:dyDescent="0.4">
      <c r="A6107" s="4">
        <v>1003002</v>
      </c>
      <c r="B6107">
        <v>7080600</v>
      </c>
    </row>
    <row r="6108" spans="1:2" x14ac:dyDescent="0.4">
      <c r="A6108" s="4">
        <v>1003002</v>
      </c>
      <c r="B6108">
        <v>7080700</v>
      </c>
    </row>
    <row r="6109" spans="1:2" x14ac:dyDescent="0.4">
      <c r="A6109" s="4">
        <v>1003002</v>
      </c>
      <c r="B6109">
        <v>7080800</v>
      </c>
    </row>
    <row r="6110" spans="1:2" x14ac:dyDescent="0.4">
      <c r="A6110" s="4">
        <v>1003002</v>
      </c>
      <c r="B6110">
        <v>7080900</v>
      </c>
    </row>
    <row r="6111" spans="1:2" x14ac:dyDescent="0.4">
      <c r="A6111" s="4">
        <v>1003002</v>
      </c>
      <c r="B6111">
        <v>7081000</v>
      </c>
    </row>
    <row r="6112" spans="1:2" x14ac:dyDescent="0.4">
      <c r="A6112" s="4">
        <v>1003002</v>
      </c>
      <c r="B6112">
        <v>7081100</v>
      </c>
    </row>
    <row r="6113" spans="1:2" x14ac:dyDescent="0.4">
      <c r="A6113" s="4">
        <v>1003002</v>
      </c>
      <c r="B6113">
        <v>7081200</v>
      </c>
    </row>
    <row r="6114" spans="1:2" x14ac:dyDescent="0.4">
      <c r="A6114" s="4">
        <v>1003002</v>
      </c>
      <c r="B6114">
        <v>7081300</v>
      </c>
    </row>
    <row r="6115" spans="1:2" x14ac:dyDescent="0.4">
      <c r="A6115" s="4">
        <v>1003002</v>
      </c>
      <c r="B6115">
        <v>7081400</v>
      </c>
    </row>
    <row r="6116" spans="1:2" x14ac:dyDescent="0.4">
      <c r="A6116" s="4">
        <v>1003002</v>
      </c>
      <c r="B6116">
        <v>7081500</v>
      </c>
    </row>
    <row r="6117" spans="1:2" x14ac:dyDescent="0.4">
      <c r="A6117" s="4">
        <v>1003002</v>
      </c>
      <c r="B6117">
        <v>7081700</v>
      </c>
    </row>
    <row r="6118" spans="1:2" x14ac:dyDescent="0.4">
      <c r="A6118" s="4">
        <v>1003002</v>
      </c>
      <c r="B6118">
        <v>7081800</v>
      </c>
    </row>
    <row r="6119" spans="1:2" x14ac:dyDescent="0.4">
      <c r="A6119" s="4">
        <v>1003002</v>
      </c>
      <c r="B6119">
        <v>7081900</v>
      </c>
    </row>
    <row r="6120" spans="1:2" x14ac:dyDescent="0.4">
      <c r="A6120" s="4">
        <v>1003002</v>
      </c>
      <c r="B6120">
        <v>7082000</v>
      </c>
    </row>
    <row r="6121" spans="1:2" x14ac:dyDescent="0.4">
      <c r="A6121" s="4">
        <v>1003002</v>
      </c>
      <c r="B6121">
        <v>7082100</v>
      </c>
    </row>
    <row r="6122" spans="1:2" x14ac:dyDescent="0.4">
      <c r="A6122" s="4">
        <v>1003002</v>
      </c>
      <c r="B6122">
        <v>7082200</v>
      </c>
    </row>
    <row r="6123" spans="1:2" x14ac:dyDescent="0.4">
      <c r="A6123" s="4">
        <v>1003002</v>
      </c>
      <c r="B6123">
        <v>7082300</v>
      </c>
    </row>
    <row r="6124" spans="1:2" x14ac:dyDescent="0.4">
      <c r="A6124" s="4">
        <v>1003002</v>
      </c>
      <c r="B6124">
        <v>7082400</v>
      </c>
    </row>
    <row r="6125" spans="1:2" x14ac:dyDescent="0.4">
      <c r="A6125" s="4">
        <v>1003002</v>
      </c>
      <c r="B6125">
        <v>7082500</v>
      </c>
    </row>
    <row r="6126" spans="1:2" x14ac:dyDescent="0.4">
      <c r="A6126" s="4">
        <v>1003002</v>
      </c>
      <c r="B6126">
        <v>7082600</v>
      </c>
    </row>
    <row r="6127" spans="1:2" x14ac:dyDescent="0.4">
      <c r="A6127" s="4">
        <v>1003002</v>
      </c>
      <c r="B6127">
        <v>7082700</v>
      </c>
    </row>
    <row r="6128" spans="1:2" x14ac:dyDescent="0.4">
      <c r="A6128" s="4">
        <v>1003002</v>
      </c>
      <c r="B6128">
        <v>7082800</v>
      </c>
    </row>
    <row r="6129" spans="1:2" x14ac:dyDescent="0.4">
      <c r="A6129" s="4">
        <v>1003002</v>
      </c>
      <c r="B6129">
        <v>7082900</v>
      </c>
    </row>
    <row r="6130" spans="1:2" x14ac:dyDescent="0.4">
      <c r="A6130" s="4">
        <v>1003002</v>
      </c>
      <c r="B6130">
        <v>7090000</v>
      </c>
    </row>
    <row r="6131" spans="1:2" x14ac:dyDescent="0.4">
      <c r="A6131" s="4">
        <v>1003002</v>
      </c>
      <c r="B6131">
        <v>7090100</v>
      </c>
    </row>
    <row r="6132" spans="1:2" x14ac:dyDescent="0.4">
      <c r="A6132" s="4">
        <v>1003002</v>
      </c>
      <c r="B6132">
        <v>7090300</v>
      </c>
    </row>
    <row r="6133" spans="1:2" x14ac:dyDescent="0.4">
      <c r="A6133" s="4">
        <v>1003002</v>
      </c>
      <c r="B6133">
        <v>7100100</v>
      </c>
    </row>
    <row r="6134" spans="1:2" x14ac:dyDescent="0.4">
      <c r="A6134" s="4">
        <v>1003002</v>
      </c>
      <c r="B6134">
        <v>7110000</v>
      </c>
    </row>
    <row r="6135" spans="1:2" x14ac:dyDescent="0.4">
      <c r="A6135" s="4">
        <v>1003002</v>
      </c>
      <c r="B6135">
        <v>7120000</v>
      </c>
    </row>
    <row r="6136" spans="1:2" x14ac:dyDescent="0.4">
      <c r="A6136" s="4">
        <v>1003002</v>
      </c>
      <c r="B6136">
        <v>7120100</v>
      </c>
    </row>
    <row r="6137" spans="1:2" x14ac:dyDescent="0.4">
      <c r="A6137" s="4">
        <v>1003002</v>
      </c>
      <c r="B6137">
        <v>7120200</v>
      </c>
    </row>
    <row r="6138" spans="1:2" x14ac:dyDescent="0.4">
      <c r="A6138" s="4">
        <v>1003002</v>
      </c>
      <c r="B6138">
        <v>7120300</v>
      </c>
    </row>
    <row r="6139" spans="1:2" x14ac:dyDescent="0.4">
      <c r="A6139" s="4">
        <v>1003002</v>
      </c>
      <c r="B6139">
        <v>7120400</v>
      </c>
    </row>
    <row r="6140" spans="1:2" x14ac:dyDescent="0.4">
      <c r="A6140" s="4">
        <v>1003002</v>
      </c>
      <c r="B6140">
        <v>7120500</v>
      </c>
    </row>
    <row r="6141" spans="1:2" x14ac:dyDescent="0.4">
      <c r="A6141" s="4">
        <v>1003002</v>
      </c>
      <c r="B6141">
        <v>7120600</v>
      </c>
    </row>
    <row r="6142" spans="1:2" x14ac:dyDescent="0.4">
      <c r="A6142" s="4">
        <v>1003002</v>
      </c>
      <c r="B6142">
        <v>7120900</v>
      </c>
    </row>
    <row r="6143" spans="1:2" x14ac:dyDescent="0.4">
      <c r="A6143" s="4">
        <v>1003002</v>
      </c>
      <c r="B6143">
        <v>7121000</v>
      </c>
    </row>
    <row r="6144" spans="1:2" x14ac:dyDescent="0.4">
      <c r="A6144" s="4">
        <v>1003002</v>
      </c>
      <c r="B6144">
        <v>7121100</v>
      </c>
    </row>
    <row r="6145" spans="1:2" x14ac:dyDescent="0.4">
      <c r="A6145" s="4">
        <v>1003002</v>
      </c>
      <c r="B6145">
        <v>7121200</v>
      </c>
    </row>
    <row r="6146" spans="1:2" x14ac:dyDescent="0.4">
      <c r="A6146" s="4">
        <v>1003002</v>
      </c>
      <c r="B6146">
        <v>7121300</v>
      </c>
    </row>
    <row r="6147" spans="1:2" x14ac:dyDescent="0.4">
      <c r="A6147" s="4">
        <v>1003002</v>
      </c>
      <c r="B6147">
        <v>7121400</v>
      </c>
    </row>
    <row r="6148" spans="1:2" x14ac:dyDescent="0.4">
      <c r="A6148" s="4">
        <v>1003002</v>
      </c>
      <c r="B6148">
        <v>7121500</v>
      </c>
    </row>
    <row r="6149" spans="1:2" x14ac:dyDescent="0.4">
      <c r="A6149" s="4">
        <v>1003002</v>
      </c>
      <c r="B6149">
        <v>7121600</v>
      </c>
    </row>
    <row r="6150" spans="1:2" x14ac:dyDescent="0.4">
      <c r="A6150" s="4">
        <v>1003002</v>
      </c>
      <c r="B6150">
        <v>7121700</v>
      </c>
    </row>
    <row r="6151" spans="1:2" x14ac:dyDescent="0.4">
      <c r="A6151" s="4">
        <v>1003002</v>
      </c>
      <c r="B6151">
        <v>7121800</v>
      </c>
    </row>
    <row r="6152" spans="1:2" x14ac:dyDescent="0.4">
      <c r="A6152" s="4">
        <v>1003002</v>
      </c>
      <c r="B6152">
        <v>7121900</v>
      </c>
    </row>
    <row r="6153" spans="1:2" x14ac:dyDescent="0.4">
      <c r="A6153" s="4">
        <v>1003002</v>
      </c>
      <c r="B6153">
        <v>7122000</v>
      </c>
    </row>
    <row r="6154" spans="1:2" x14ac:dyDescent="0.4">
      <c r="A6154" s="4">
        <v>1003002</v>
      </c>
      <c r="B6154">
        <v>7122100</v>
      </c>
    </row>
    <row r="6155" spans="1:2" x14ac:dyDescent="0.4">
      <c r="A6155" s="4">
        <v>1003002</v>
      </c>
      <c r="B6155">
        <v>7122200</v>
      </c>
    </row>
    <row r="6156" spans="1:2" x14ac:dyDescent="0.4">
      <c r="A6156" s="4">
        <v>1003002</v>
      </c>
      <c r="B6156">
        <v>7122300</v>
      </c>
    </row>
    <row r="6157" spans="1:2" x14ac:dyDescent="0.4">
      <c r="A6157" s="4">
        <v>1003002</v>
      </c>
      <c r="B6157">
        <v>7122400</v>
      </c>
    </row>
    <row r="6158" spans="1:2" x14ac:dyDescent="0.4">
      <c r="A6158" s="4">
        <v>1003002</v>
      </c>
      <c r="B6158">
        <v>7122500</v>
      </c>
    </row>
    <row r="6159" spans="1:2" x14ac:dyDescent="0.4">
      <c r="A6159" s="4">
        <v>1003002</v>
      </c>
      <c r="B6159">
        <v>7122600</v>
      </c>
    </row>
    <row r="6160" spans="1:2" x14ac:dyDescent="0.4">
      <c r="A6160" s="4">
        <v>1003002</v>
      </c>
      <c r="B6160">
        <v>7122700</v>
      </c>
    </row>
    <row r="6161" spans="1:2" x14ac:dyDescent="0.4">
      <c r="A6161" s="4">
        <v>1003002</v>
      </c>
      <c r="B6161">
        <v>7122800</v>
      </c>
    </row>
    <row r="6162" spans="1:2" x14ac:dyDescent="0.4">
      <c r="A6162" s="4">
        <v>1003002</v>
      </c>
      <c r="B6162">
        <v>7122900</v>
      </c>
    </row>
    <row r="6163" spans="1:2" x14ac:dyDescent="0.4">
      <c r="A6163" s="4">
        <v>1003002</v>
      </c>
      <c r="B6163">
        <v>7123000</v>
      </c>
    </row>
    <row r="6164" spans="1:2" x14ac:dyDescent="0.4">
      <c r="A6164" s="4">
        <v>1003002</v>
      </c>
      <c r="B6164">
        <v>7123100</v>
      </c>
    </row>
    <row r="6165" spans="1:2" x14ac:dyDescent="0.4">
      <c r="A6165" s="4">
        <v>1003002</v>
      </c>
      <c r="B6165">
        <v>7123200</v>
      </c>
    </row>
    <row r="6166" spans="1:2" x14ac:dyDescent="0.4">
      <c r="A6166" s="4">
        <v>1003002</v>
      </c>
      <c r="B6166">
        <v>7123300</v>
      </c>
    </row>
    <row r="6167" spans="1:2" x14ac:dyDescent="0.4">
      <c r="A6167" s="4">
        <v>1003002</v>
      </c>
      <c r="B6167">
        <v>7123400</v>
      </c>
    </row>
    <row r="6168" spans="1:2" x14ac:dyDescent="0.4">
      <c r="A6168" s="4">
        <v>1003002</v>
      </c>
      <c r="B6168">
        <v>7123500</v>
      </c>
    </row>
    <row r="6169" spans="1:2" x14ac:dyDescent="0.4">
      <c r="A6169" s="4">
        <v>1003002</v>
      </c>
      <c r="B6169">
        <v>7123600</v>
      </c>
    </row>
    <row r="6170" spans="1:2" x14ac:dyDescent="0.4">
      <c r="A6170" s="4">
        <v>1003002</v>
      </c>
      <c r="B6170">
        <v>7123700</v>
      </c>
    </row>
    <row r="6171" spans="1:2" x14ac:dyDescent="0.4">
      <c r="A6171" s="4">
        <v>1003002</v>
      </c>
      <c r="B6171">
        <v>7123800</v>
      </c>
    </row>
    <row r="6172" spans="1:2" x14ac:dyDescent="0.4">
      <c r="A6172" s="4">
        <v>1003002</v>
      </c>
      <c r="B6172">
        <v>7123900</v>
      </c>
    </row>
    <row r="6173" spans="1:2" x14ac:dyDescent="0.4">
      <c r="A6173" s="4">
        <v>1003002</v>
      </c>
      <c r="B6173">
        <v>7124000</v>
      </c>
    </row>
    <row r="6174" spans="1:2" x14ac:dyDescent="0.4">
      <c r="A6174" s="4">
        <v>1003002</v>
      </c>
      <c r="B6174">
        <v>7124100</v>
      </c>
    </row>
    <row r="6175" spans="1:2" x14ac:dyDescent="0.4">
      <c r="A6175" s="4">
        <v>1003002</v>
      </c>
      <c r="B6175">
        <v>7124300</v>
      </c>
    </row>
    <row r="6176" spans="1:2" x14ac:dyDescent="0.4">
      <c r="A6176" s="4">
        <v>1003002</v>
      </c>
      <c r="B6176">
        <v>7124400</v>
      </c>
    </row>
    <row r="6177" spans="1:2" x14ac:dyDescent="0.4">
      <c r="A6177" s="4">
        <v>1003002</v>
      </c>
      <c r="B6177">
        <v>7124500</v>
      </c>
    </row>
    <row r="6178" spans="1:2" x14ac:dyDescent="0.4">
      <c r="A6178" s="4">
        <v>1003002</v>
      </c>
      <c r="B6178">
        <v>7124600</v>
      </c>
    </row>
    <row r="6179" spans="1:2" x14ac:dyDescent="0.4">
      <c r="A6179" s="4">
        <v>1003002</v>
      </c>
      <c r="B6179">
        <v>7124700</v>
      </c>
    </row>
    <row r="6180" spans="1:2" x14ac:dyDescent="0.4">
      <c r="A6180" s="4">
        <v>1003002</v>
      </c>
      <c r="B6180">
        <v>7126000</v>
      </c>
    </row>
    <row r="6181" spans="1:2" x14ac:dyDescent="0.4">
      <c r="A6181" s="4">
        <v>1003002</v>
      </c>
      <c r="B6181">
        <v>7150000</v>
      </c>
    </row>
    <row r="6182" spans="1:2" x14ac:dyDescent="0.4">
      <c r="A6182" s="4">
        <v>1003002</v>
      </c>
      <c r="B6182">
        <v>7160000</v>
      </c>
    </row>
    <row r="6183" spans="1:2" x14ac:dyDescent="0.4">
      <c r="A6183" s="4">
        <v>1003002</v>
      </c>
      <c r="B6183">
        <v>7220000</v>
      </c>
    </row>
    <row r="6184" spans="1:2" x14ac:dyDescent="0.4">
      <c r="A6184" s="4">
        <v>1003002</v>
      </c>
      <c r="B6184">
        <v>7230000</v>
      </c>
    </row>
    <row r="6185" spans="1:2" x14ac:dyDescent="0.4">
      <c r="A6185" s="4">
        <v>1003002</v>
      </c>
      <c r="B6185">
        <v>7240000</v>
      </c>
    </row>
    <row r="6186" spans="1:2" x14ac:dyDescent="0.4">
      <c r="A6186" s="4">
        <v>1003002</v>
      </c>
      <c r="B6186">
        <v>7260000</v>
      </c>
    </row>
    <row r="6187" spans="1:2" x14ac:dyDescent="0.4">
      <c r="A6187" s="4">
        <v>1003002</v>
      </c>
      <c r="B6187">
        <v>7260300</v>
      </c>
    </row>
    <row r="6188" spans="1:2" x14ac:dyDescent="0.4">
      <c r="A6188" s="4">
        <v>1003002</v>
      </c>
      <c r="B6188">
        <v>7260400</v>
      </c>
    </row>
    <row r="6189" spans="1:2" x14ac:dyDescent="0.4">
      <c r="A6189" s="4">
        <v>1003002</v>
      </c>
      <c r="B6189">
        <v>7270100</v>
      </c>
    </row>
    <row r="6190" spans="1:2" x14ac:dyDescent="0.4">
      <c r="A6190" s="4">
        <v>1003002</v>
      </c>
      <c r="B6190">
        <v>7280000</v>
      </c>
    </row>
    <row r="6191" spans="1:2" x14ac:dyDescent="0.4">
      <c r="A6191" s="4">
        <v>1003002</v>
      </c>
      <c r="B6191">
        <v>7290000</v>
      </c>
    </row>
    <row r="6192" spans="1:2" x14ac:dyDescent="0.4">
      <c r="A6192" s="4">
        <v>1003002</v>
      </c>
      <c r="B6192">
        <v>7310000</v>
      </c>
    </row>
    <row r="6193" spans="1:2" x14ac:dyDescent="0.4">
      <c r="A6193" s="4">
        <v>1003002</v>
      </c>
      <c r="B6193">
        <v>7330000</v>
      </c>
    </row>
    <row r="6194" spans="1:2" x14ac:dyDescent="0.4">
      <c r="A6194" s="4">
        <v>1003002</v>
      </c>
      <c r="B6194">
        <v>7330100</v>
      </c>
    </row>
    <row r="6195" spans="1:2" x14ac:dyDescent="0.4">
      <c r="A6195" s="4">
        <v>1003002</v>
      </c>
      <c r="B6195">
        <v>7330200</v>
      </c>
    </row>
    <row r="6196" spans="1:2" x14ac:dyDescent="0.4">
      <c r="A6196" s="4">
        <v>1003002</v>
      </c>
      <c r="B6196">
        <v>7330300</v>
      </c>
    </row>
    <row r="6197" spans="1:2" x14ac:dyDescent="0.4">
      <c r="A6197" s="4">
        <v>1003002</v>
      </c>
      <c r="B6197">
        <v>7330400</v>
      </c>
    </row>
    <row r="6198" spans="1:2" x14ac:dyDescent="0.4">
      <c r="A6198" s="4">
        <v>1003002</v>
      </c>
      <c r="B6198">
        <v>7330500</v>
      </c>
    </row>
    <row r="6199" spans="1:2" x14ac:dyDescent="0.4">
      <c r="A6199" s="4">
        <v>1003002</v>
      </c>
      <c r="B6199">
        <v>7330600</v>
      </c>
    </row>
    <row r="6200" spans="1:2" x14ac:dyDescent="0.4">
      <c r="A6200" s="4">
        <v>1003002</v>
      </c>
      <c r="B6200">
        <v>7330700</v>
      </c>
    </row>
    <row r="6201" spans="1:2" x14ac:dyDescent="0.4">
      <c r="A6201" s="4">
        <v>1003002</v>
      </c>
      <c r="B6201">
        <v>7330800</v>
      </c>
    </row>
    <row r="6202" spans="1:2" x14ac:dyDescent="0.4">
      <c r="A6202" s="4">
        <v>1003002</v>
      </c>
      <c r="B6202">
        <v>7330900</v>
      </c>
    </row>
    <row r="6203" spans="1:2" x14ac:dyDescent="0.4">
      <c r="A6203" s="4">
        <v>1003002</v>
      </c>
      <c r="B6203">
        <v>7331000</v>
      </c>
    </row>
    <row r="6204" spans="1:2" x14ac:dyDescent="0.4">
      <c r="A6204" s="4">
        <v>1003002</v>
      </c>
      <c r="B6204">
        <v>7331100</v>
      </c>
    </row>
    <row r="6205" spans="1:2" x14ac:dyDescent="0.4">
      <c r="A6205" s="4">
        <v>1003002</v>
      </c>
      <c r="B6205">
        <v>7331200</v>
      </c>
    </row>
    <row r="6206" spans="1:2" x14ac:dyDescent="0.4">
      <c r="A6206" s="4">
        <v>1003002</v>
      </c>
      <c r="B6206">
        <v>7331300</v>
      </c>
    </row>
    <row r="6207" spans="1:2" x14ac:dyDescent="0.4">
      <c r="A6207" s="4">
        <v>1003002</v>
      </c>
      <c r="B6207">
        <v>7331400</v>
      </c>
    </row>
    <row r="6208" spans="1:2" x14ac:dyDescent="0.4">
      <c r="A6208" s="4">
        <v>1003002</v>
      </c>
      <c r="B6208">
        <v>7331500</v>
      </c>
    </row>
    <row r="6209" spans="1:2" x14ac:dyDescent="0.4">
      <c r="A6209" s="4">
        <v>1003002</v>
      </c>
      <c r="B6209">
        <v>7331700</v>
      </c>
    </row>
    <row r="6210" spans="1:2" x14ac:dyDescent="0.4">
      <c r="A6210" s="4">
        <v>1003002</v>
      </c>
      <c r="B6210">
        <v>7331800</v>
      </c>
    </row>
    <row r="6211" spans="1:2" x14ac:dyDescent="0.4">
      <c r="A6211" s="4">
        <v>1003002</v>
      </c>
      <c r="B6211">
        <v>7331900</v>
      </c>
    </row>
    <row r="6212" spans="1:2" x14ac:dyDescent="0.4">
      <c r="A6212" s="4">
        <v>1003002</v>
      </c>
      <c r="B6212">
        <v>7332000</v>
      </c>
    </row>
    <row r="6213" spans="1:2" x14ac:dyDescent="0.4">
      <c r="A6213" s="4">
        <v>1003002</v>
      </c>
      <c r="B6213">
        <v>7332100</v>
      </c>
    </row>
    <row r="6214" spans="1:2" x14ac:dyDescent="0.4">
      <c r="A6214" s="4">
        <v>1003002</v>
      </c>
      <c r="B6214">
        <v>7332200</v>
      </c>
    </row>
    <row r="6215" spans="1:2" x14ac:dyDescent="0.4">
      <c r="A6215" s="4">
        <v>1003002</v>
      </c>
      <c r="B6215">
        <v>7332300</v>
      </c>
    </row>
    <row r="6216" spans="1:2" x14ac:dyDescent="0.4">
      <c r="A6216" s="4">
        <v>1003002</v>
      </c>
      <c r="B6216">
        <v>7332400</v>
      </c>
    </row>
    <row r="6217" spans="1:2" x14ac:dyDescent="0.4">
      <c r="A6217" s="4">
        <v>1003002</v>
      </c>
      <c r="B6217">
        <v>7340000</v>
      </c>
    </row>
    <row r="6218" spans="1:2" x14ac:dyDescent="0.4">
      <c r="A6218" s="4">
        <v>1003002</v>
      </c>
      <c r="B6218">
        <v>7340100</v>
      </c>
    </row>
    <row r="6219" spans="1:2" x14ac:dyDescent="0.4">
      <c r="A6219" s="4">
        <v>1003002</v>
      </c>
      <c r="B6219">
        <v>7340200</v>
      </c>
    </row>
    <row r="6220" spans="1:2" x14ac:dyDescent="0.4">
      <c r="A6220" s="4">
        <v>1003002</v>
      </c>
      <c r="B6220">
        <v>7340300</v>
      </c>
    </row>
    <row r="6221" spans="1:2" x14ac:dyDescent="0.4">
      <c r="A6221" s="4">
        <v>1003002</v>
      </c>
      <c r="B6221">
        <v>7340400</v>
      </c>
    </row>
    <row r="6222" spans="1:2" x14ac:dyDescent="0.4">
      <c r="A6222" s="4">
        <v>1003002</v>
      </c>
      <c r="B6222">
        <v>7340500</v>
      </c>
    </row>
    <row r="6223" spans="1:2" x14ac:dyDescent="0.4">
      <c r="A6223" s="4">
        <v>1003002</v>
      </c>
      <c r="B6223">
        <v>7340600</v>
      </c>
    </row>
    <row r="6224" spans="1:2" x14ac:dyDescent="0.4">
      <c r="A6224" s="4">
        <v>1003002</v>
      </c>
      <c r="B6224">
        <v>7340700</v>
      </c>
    </row>
    <row r="6225" spans="1:2" x14ac:dyDescent="0.4">
      <c r="A6225" s="4">
        <v>1003002</v>
      </c>
      <c r="B6225">
        <v>7340800</v>
      </c>
    </row>
    <row r="6226" spans="1:2" x14ac:dyDescent="0.4">
      <c r="A6226" s="4">
        <v>1003002</v>
      </c>
      <c r="B6226">
        <v>7340900</v>
      </c>
    </row>
    <row r="6227" spans="1:2" x14ac:dyDescent="0.4">
      <c r="A6227" s="4">
        <v>1003002</v>
      </c>
      <c r="B6227">
        <v>7341000</v>
      </c>
    </row>
    <row r="6228" spans="1:2" x14ac:dyDescent="0.4">
      <c r="A6228" s="4">
        <v>1003002</v>
      </c>
      <c r="B6228">
        <v>7341100</v>
      </c>
    </row>
    <row r="6229" spans="1:2" x14ac:dyDescent="0.4">
      <c r="A6229" s="4">
        <v>1003002</v>
      </c>
      <c r="B6229">
        <v>7341200</v>
      </c>
    </row>
    <row r="6230" spans="1:2" x14ac:dyDescent="0.4">
      <c r="A6230" s="4">
        <v>1003002</v>
      </c>
      <c r="B6230">
        <v>7341300</v>
      </c>
    </row>
    <row r="6231" spans="1:2" x14ac:dyDescent="0.4">
      <c r="A6231" s="4">
        <v>1003002</v>
      </c>
      <c r="B6231">
        <v>7341400</v>
      </c>
    </row>
    <row r="6232" spans="1:2" x14ac:dyDescent="0.4">
      <c r="A6232" s="4">
        <v>1003002</v>
      </c>
      <c r="B6232">
        <v>7341500</v>
      </c>
    </row>
    <row r="6233" spans="1:2" x14ac:dyDescent="0.4">
      <c r="A6233" s="4">
        <v>1003002</v>
      </c>
      <c r="B6233">
        <v>7341700</v>
      </c>
    </row>
    <row r="6234" spans="1:2" x14ac:dyDescent="0.4">
      <c r="A6234" s="4">
        <v>1003002</v>
      </c>
      <c r="B6234">
        <v>7341800</v>
      </c>
    </row>
    <row r="6235" spans="1:2" x14ac:dyDescent="0.4">
      <c r="A6235" s="4">
        <v>1003002</v>
      </c>
      <c r="B6235">
        <v>7341900</v>
      </c>
    </row>
    <row r="6236" spans="1:2" x14ac:dyDescent="0.4">
      <c r="A6236" s="4">
        <v>1003002</v>
      </c>
      <c r="B6236">
        <v>7342000</v>
      </c>
    </row>
    <row r="6237" spans="1:2" x14ac:dyDescent="0.4">
      <c r="A6237" s="4">
        <v>1003002</v>
      </c>
      <c r="B6237">
        <v>7342100</v>
      </c>
    </row>
    <row r="6238" spans="1:2" x14ac:dyDescent="0.4">
      <c r="A6238" s="4">
        <v>1003002</v>
      </c>
      <c r="B6238">
        <v>7342200</v>
      </c>
    </row>
    <row r="6239" spans="1:2" x14ac:dyDescent="0.4">
      <c r="A6239" s="4">
        <v>1003002</v>
      </c>
      <c r="B6239">
        <v>7342300</v>
      </c>
    </row>
    <row r="6240" spans="1:2" x14ac:dyDescent="0.4">
      <c r="A6240" s="4">
        <v>1003002</v>
      </c>
      <c r="B6240">
        <v>7342400</v>
      </c>
    </row>
    <row r="6241" spans="1:2" x14ac:dyDescent="0.4">
      <c r="A6241" s="4">
        <v>1003002</v>
      </c>
      <c r="B6241">
        <v>7350000</v>
      </c>
    </row>
    <row r="6242" spans="1:2" x14ac:dyDescent="0.4">
      <c r="A6242" s="4">
        <v>1003002</v>
      </c>
      <c r="B6242">
        <v>7350100</v>
      </c>
    </row>
    <row r="6243" spans="1:2" x14ac:dyDescent="0.4">
      <c r="A6243" s="4">
        <v>1003002</v>
      </c>
      <c r="B6243">
        <v>7350200</v>
      </c>
    </row>
    <row r="6244" spans="1:2" x14ac:dyDescent="0.4">
      <c r="A6244" s="4">
        <v>1003002</v>
      </c>
      <c r="B6244">
        <v>7350300</v>
      </c>
    </row>
    <row r="6245" spans="1:2" x14ac:dyDescent="0.4">
      <c r="A6245" s="4">
        <v>1003002</v>
      </c>
      <c r="B6245">
        <v>7350400</v>
      </c>
    </row>
    <row r="6246" spans="1:2" x14ac:dyDescent="0.4">
      <c r="A6246" s="4">
        <v>1003002</v>
      </c>
      <c r="B6246">
        <v>7350500</v>
      </c>
    </row>
    <row r="6247" spans="1:2" x14ac:dyDescent="0.4">
      <c r="A6247" s="4">
        <v>1003002</v>
      </c>
      <c r="B6247">
        <v>7350600</v>
      </c>
    </row>
    <row r="6248" spans="1:2" x14ac:dyDescent="0.4">
      <c r="A6248" s="4">
        <v>1003002</v>
      </c>
      <c r="B6248">
        <v>7350700</v>
      </c>
    </row>
    <row r="6249" spans="1:2" x14ac:dyDescent="0.4">
      <c r="A6249" s="4">
        <v>1003002</v>
      </c>
      <c r="B6249">
        <v>7350800</v>
      </c>
    </row>
    <row r="6250" spans="1:2" x14ac:dyDescent="0.4">
      <c r="A6250" s="4">
        <v>1003002</v>
      </c>
      <c r="B6250">
        <v>7350900</v>
      </c>
    </row>
    <row r="6251" spans="1:2" x14ac:dyDescent="0.4">
      <c r="A6251" s="4">
        <v>1003002</v>
      </c>
      <c r="B6251">
        <v>7351000</v>
      </c>
    </row>
    <row r="6252" spans="1:2" x14ac:dyDescent="0.4">
      <c r="A6252" s="4">
        <v>1003002</v>
      </c>
      <c r="B6252">
        <v>7351100</v>
      </c>
    </row>
    <row r="6253" spans="1:2" x14ac:dyDescent="0.4">
      <c r="A6253" s="4">
        <v>1003002</v>
      </c>
      <c r="B6253">
        <v>7351200</v>
      </c>
    </row>
    <row r="6254" spans="1:2" x14ac:dyDescent="0.4">
      <c r="A6254" s="4">
        <v>1003002</v>
      </c>
      <c r="B6254">
        <v>7351300</v>
      </c>
    </row>
    <row r="6255" spans="1:2" x14ac:dyDescent="0.4">
      <c r="A6255" s="4">
        <v>1003002</v>
      </c>
      <c r="B6255">
        <v>7351400</v>
      </c>
    </row>
    <row r="6256" spans="1:2" x14ac:dyDescent="0.4">
      <c r="A6256" s="4">
        <v>1003002</v>
      </c>
      <c r="B6256">
        <v>7351500</v>
      </c>
    </row>
    <row r="6257" spans="1:2" x14ac:dyDescent="0.4">
      <c r="A6257" s="4">
        <v>1003002</v>
      </c>
      <c r="B6257">
        <v>7351700</v>
      </c>
    </row>
    <row r="6258" spans="1:2" x14ac:dyDescent="0.4">
      <c r="A6258" s="4">
        <v>1003002</v>
      </c>
      <c r="B6258">
        <v>7351800</v>
      </c>
    </row>
    <row r="6259" spans="1:2" x14ac:dyDescent="0.4">
      <c r="A6259" s="4">
        <v>1003002</v>
      </c>
      <c r="B6259">
        <v>7351900</v>
      </c>
    </row>
    <row r="6260" spans="1:2" x14ac:dyDescent="0.4">
      <c r="A6260" s="4">
        <v>1003002</v>
      </c>
      <c r="B6260">
        <v>7352000</v>
      </c>
    </row>
    <row r="6261" spans="1:2" x14ac:dyDescent="0.4">
      <c r="A6261" s="4">
        <v>1003002</v>
      </c>
      <c r="B6261">
        <v>7352100</v>
      </c>
    </row>
    <row r="6262" spans="1:2" x14ac:dyDescent="0.4">
      <c r="A6262" s="4">
        <v>1003002</v>
      </c>
      <c r="B6262">
        <v>7352200</v>
      </c>
    </row>
    <row r="6263" spans="1:2" x14ac:dyDescent="0.4">
      <c r="A6263" s="4">
        <v>1003002</v>
      </c>
      <c r="B6263">
        <v>7352300</v>
      </c>
    </row>
    <row r="6264" spans="1:2" x14ac:dyDescent="0.4">
      <c r="A6264" s="4">
        <v>1003002</v>
      </c>
      <c r="B6264">
        <v>7352400</v>
      </c>
    </row>
    <row r="6265" spans="1:2" x14ac:dyDescent="0.4">
      <c r="A6265" s="4">
        <v>1003002</v>
      </c>
      <c r="B6265">
        <v>7360600</v>
      </c>
    </row>
    <row r="6266" spans="1:2" x14ac:dyDescent="0.4">
      <c r="A6266" s="4">
        <v>1003002</v>
      </c>
      <c r="B6266">
        <v>7360900</v>
      </c>
    </row>
    <row r="6267" spans="1:2" x14ac:dyDescent="0.4">
      <c r="A6267" s="4">
        <v>1003002</v>
      </c>
      <c r="B6267">
        <v>7361200</v>
      </c>
    </row>
    <row r="6268" spans="1:2" x14ac:dyDescent="0.4">
      <c r="A6268" s="4">
        <v>1003002</v>
      </c>
      <c r="B6268">
        <v>7361300</v>
      </c>
    </row>
    <row r="6269" spans="1:2" x14ac:dyDescent="0.4">
      <c r="A6269" s="4">
        <v>1003002</v>
      </c>
      <c r="B6269">
        <v>7362100</v>
      </c>
    </row>
    <row r="6270" spans="1:2" x14ac:dyDescent="0.4">
      <c r="A6270" s="4">
        <v>1003002</v>
      </c>
      <c r="B6270">
        <v>7370300</v>
      </c>
    </row>
    <row r="6271" spans="1:2" x14ac:dyDescent="0.4">
      <c r="A6271" s="4">
        <v>1003002</v>
      </c>
      <c r="B6271">
        <v>7370400</v>
      </c>
    </row>
    <row r="6272" spans="1:2" x14ac:dyDescent="0.4">
      <c r="A6272" s="4">
        <v>1003002</v>
      </c>
      <c r="B6272">
        <v>7370600</v>
      </c>
    </row>
    <row r="6273" spans="1:2" x14ac:dyDescent="0.4">
      <c r="A6273" s="4">
        <v>1003002</v>
      </c>
      <c r="B6273">
        <v>7370900</v>
      </c>
    </row>
    <row r="6274" spans="1:2" x14ac:dyDescent="0.4">
      <c r="A6274" s="4">
        <v>1003002</v>
      </c>
      <c r="B6274">
        <v>7371500</v>
      </c>
    </row>
    <row r="6275" spans="1:2" x14ac:dyDescent="0.4">
      <c r="A6275" s="4">
        <v>1003002</v>
      </c>
      <c r="B6275">
        <v>7036200</v>
      </c>
    </row>
    <row r="6276" spans="1:2" x14ac:dyDescent="0.4">
      <c r="A6276" s="4">
        <v>1003002</v>
      </c>
      <c r="B6276">
        <v>7036300</v>
      </c>
    </row>
    <row r="6277" spans="1:2" x14ac:dyDescent="0.4">
      <c r="A6277" s="4">
        <v>1003002</v>
      </c>
      <c r="B6277">
        <v>7036400</v>
      </c>
    </row>
    <row r="6278" spans="1:2" x14ac:dyDescent="0.4">
      <c r="A6278" s="4">
        <v>1003002</v>
      </c>
      <c r="B6278">
        <v>7036500</v>
      </c>
    </row>
    <row r="6279" spans="1:2" x14ac:dyDescent="0.4">
      <c r="A6279" s="4">
        <v>1003002</v>
      </c>
      <c r="B6279">
        <v>7036800</v>
      </c>
    </row>
    <row r="6280" spans="1:2" x14ac:dyDescent="0.4">
      <c r="A6280" s="4">
        <v>1003002</v>
      </c>
      <c r="B6280">
        <v>7036900</v>
      </c>
    </row>
    <row r="6281" spans="1:2" x14ac:dyDescent="0.4">
      <c r="A6281" s="4">
        <v>1003002</v>
      </c>
      <c r="B6281">
        <v>7037000</v>
      </c>
    </row>
    <row r="6282" spans="1:2" x14ac:dyDescent="0.4">
      <c r="A6282" s="4">
        <v>1003002</v>
      </c>
      <c r="B6282">
        <v>7037300</v>
      </c>
    </row>
    <row r="6283" spans="1:2" x14ac:dyDescent="0.4">
      <c r="A6283" s="4">
        <v>1003002</v>
      </c>
      <c r="B6283">
        <v>6630000</v>
      </c>
    </row>
    <row r="6284" spans="1:2" x14ac:dyDescent="0.4">
      <c r="A6284" s="4">
        <v>1003002</v>
      </c>
      <c r="B6284">
        <v>6630100</v>
      </c>
    </row>
    <row r="6285" spans="1:2" x14ac:dyDescent="0.4">
      <c r="A6285" s="4">
        <v>1003002</v>
      </c>
      <c r="B6285">
        <v>6630200</v>
      </c>
    </row>
    <row r="6286" spans="1:2" x14ac:dyDescent="0.4">
      <c r="A6286" s="4">
        <v>1003002</v>
      </c>
      <c r="B6286">
        <v>6630300</v>
      </c>
    </row>
    <row r="6287" spans="1:2" x14ac:dyDescent="0.4">
      <c r="A6287" s="4">
        <v>1003002</v>
      </c>
      <c r="B6287">
        <v>6630400</v>
      </c>
    </row>
    <row r="6288" spans="1:2" x14ac:dyDescent="0.4">
      <c r="A6288" s="4">
        <v>1003002</v>
      </c>
      <c r="B6288">
        <v>6630500</v>
      </c>
    </row>
    <row r="6289" spans="1:2" x14ac:dyDescent="0.4">
      <c r="A6289" s="4">
        <v>1003002</v>
      </c>
      <c r="B6289">
        <v>6630600</v>
      </c>
    </row>
    <row r="6290" spans="1:2" x14ac:dyDescent="0.4">
      <c r="A6290" s="4">
        <v>1003002</v>
      </c>
      <c r="B6290">
        <v>6630700</v>
      </c>
    </row>
    <row r="6291" spans="1:2" x14ac:dyDescent="0.4">
      <c r="A6291" s="4">
        <v>1003002</v>
      </c>
      <c r="B6291">
        <v>6630800</v>
      </c>
    </row>
    <row r="6292" spans="1:2" x14ac:dyDescent="0.4">
      <c r="A6292" s="4">
        <v>1003002</v>
      </c>
      <c r="B6292">
        <v>6630900</v>
      </c>
    </row>
    <row r="6293" spans="1:2" x14ac:dyDescent="0.4">
      <c r="A6293" s="4">
        <v>1003002</v>
      </c>
      <c r="B6293">
        <v>6631000</v>
      </c>
    </row>
    <row r="6294" spans="1:2" x14ac:dyDescent="0.4">
      <c r="A6294" s="4">
        <v>1003002</v>
      </c>
      <c r="B6294">
        <v>6631100</v>
      </c>
    </row>
    <row r="6295" spans="1:2" x14ac:dyDescent="0.4">
      <c r="A6295" s="4">
        <v>1003002</v>
      </c>
      <c r="B6295">
        <v>6631200</v>
      </c>
    </row>
    <row r="6296" spans="1:2" x14ac:dyDescent="0.4">
      <c r="A6296" s="4">
        <v>1003002</v>
      </c>
      <c r="B6296">
        <v>6631300</v>
      </c>
    </row>
    <row r="6297" spans="1:2" x14ac:dyDescent="0.4">
      <c r="A6297" s="4">
        <v>1003002</v>
      </c>
      <c r="B6297">
        <v>6631400</v>
      </c>
    </row>
    <row r="6298" spans="1:2" x14ac:dyDescent="0.4">
      <c r="A6298" s="4">
        <v>1003002</v>
      </c>
      <c r="B6298">
        <v>6631500</v>
      </c>
    </row>
    <row r="6299" spans="1:2" x14ac:dyDescent="0.4">
      <c r="A6299" s="4">
        <v>1003002</v>
      </c>
      <c r="B6299">
        <v>6631600</v>
      </c>
    </row>
    <row r="6300" spans="1:2" x14ac:dyDescent="0.4">
      <c r="A6300" s="4">
        <v>1003002</v>
      </c>
      <c r="B6300">
        <v>6631700</v>
      </c>
    </row>
    <row r="6301" spans="1:2" x14ac:dyDescent="0.4">
      <c r="A6301" s="4">
        <v>1003002</v>
      </c>
      <c r="B6301">
        <v>6631800</v>
      </c>
    </row>
    <row r="6302" spans="1:2" x14ac:dyDescent="0.4">
      <c r="A6302" s="4">
        <v>1003002</v>
      </c>
      <c r="B6302">
        <v>6631900</v>
      </c>
    </row>
    <row r="6303" spans="1:2" x14ac:dyDescent="0.4">
      <c r="A6303" s="4">
        <v>1003002</v>
      </c>
      <c r="B6303">
        <v>6632000</v>
      </c>
    </row>
    <row r="6304" spans="1:2" x14ac:dyDescent="0.4">
      <c r="A6304" s="4">
        <v>1003002</v>
      </c>
      <c r="B6304">
        <v>6632100</v>
      </c>
    </row>
    <row r="6305" spans="1:2" x14ac:dyDescent="0.4">
      <c r="A6305" s="4">
        <v>1003002</v>
      </c>
      <c r="B6305">
        <v>6632200</v>
      </c>
    </row>
    <row r="6306" spans="1:2" x14ac:dyDescent="0.4">
      <c r="A6306" s="4">
        <v>1003002</v>
      </c>
      <c r="B6306">
        <v>6632300</v>
      </c>
    </row>
    <row r="6307" spans="1:2" x14ac:dyDescent="0.4">
      <c r="A6307" s="4">
        <v>1003002</v>
      </c>
      <c r="B6307">
        <v>6632400</v>
      </c>
    </row>
    <row r="6308" spans="1:2" x14ac:dyDescent="0.4">
      <c r="A6308" s="4">
        <v>1003002</v>
      </c>
      <c r="B6308">
        <v>6632500</v>
      </c>
    </row>
    <row r="6309" spans="1:2" x14ac:dyDescent="0.4">
      <c r="A6309" s="4">
        <v>1003002</v>
      </c>
      <c r="B6309">
        <v>6632600</v>
      </c>
    </row>
    <row r="6310" spans="1:2" x14ac:dyDescent="0.4">
      <c r="A6310" s="4">
        <v>1003002</v>
      </c>
      <c r="B6310">
        <v>6632700</v>
      </c>
    </row>
    <row r="6311" spans="1:2" x14ac:dyDescent="0.4">
      <c r="A6311" s="4">
        <v>1003002</v>
      </c>
      <c r="B6311">
        <v>6632800</v>
      </c>
    </row>
    <row r="6312" spans="1:2" x14ac:dyDescent="0.4">
      <c r="A6312" s="4">
        <v>1003002</v>
      </c>
      <c r="B6312">
        <v>6632900</v>
      </c>
    </row>
    <row r="6313" spans="1:2" x14ac:dyDescent="0.4">
      <c r="A6313" s="4">
        <v>1003002</v>
      </c>
      <c r="B6313">
        <v>6633000</v>
      </c>
    </row>
    <row r="6314" spans="1:2" x14ac:dyDescent="0.4">
      <c r="A6314" s="4">
        <v>1003002</v>
      </c>
      <c r="B6314">
        <v>6633100</v>
      </c>
    </row>
    <row r="6315" spans="1:2" x14ac:dyDescent="0.4">
      <c r="A6315" s="4">
        <v>1003002</v>
      </c>
      <c r="B6315">
        <v>6633200</v>
      </c>
    </row>
    <row r="6316" spans="1:2" x14ac:dyDescent="0.4">
      <c r="A6316" s="4">
        <v>1003002</v>
      </c>
      <c r="B6316">
        <v>6647200</v>
      </c>
    </row>
    <row r="6317" spans="1:2" x14ac:dyDescent="0.4">
      <c r="A6317" s="4">
        <v>1003002</v>
      </c>
      <c r="B6317">
        <v>6647300</v>
      </c>
    </row>
    <row r="6318" spans="1:2" x14ac:dyDescent="0.4">
      <c r="A6318" s="4">
        <v>1003002</v>
      </c>
      <c r="B6318">
        <v>6647400</v>
      </c>
    </row>
    <row r="6319" spans="1:2" x14ac:dyDescent="0.4">
      <c r="A6319" s="4">
        <v>1003002</v>
      </c>
      <c r="B6319">
        <v>6647500</v>
      </c>
    </row>
    <row r="6320" spans="1:2" x14ac:dyDescent="0.4">
      <c r="A6320" s="4">
        <v>1003002</v>
      </c>
      <c r="B6320">
        <v>6640000</v>
      </c>
    </row>
    <row r="6321" spans="1:2" x14ac:dyDescent="0.4">
      <c r="A6321" s="4">
        <v>1003002</v>
      </c>
      <c r="B6321">
        <v>6640100</v>
      </c>
    </row>
    <row r="6322" spans="1:2" x14ac:dyDescent="0.4">
      <c r="A6322" s="4">
        <v>1003002</v>
      </c>
      <c r="B6322">
        <v>6641000</v>
      </c>
    </row>
    <row r="6323" spans="1:2" x14ac:dyDescent="0.4">
      <c r="A6323" s="4">
        <v>1003002</v>
      </c>
      <c r="B6323">
        <v>6641100</v>
      </c>
    </row>
    <row r="6324" spans="1:2" x14ac:dyDescent="0.4">
      <c r="A6324" s="4">
        <v>1003002</v>
      </c>
      <c r="B6324">
        <v>6642000</v>
      </c>
    </row>
    <row r="6325" spans="1:2" x14ac:dyDescent="0.4">
      <c r="A6325" s="4">
        <v>1003002</v>
      </c>
      <c r="B6325">
        <v>6642100</v>
      </c>
    </row>
    <row r="6326" spans="1:2" x14ac:dyDescent="0.4">
      <c r="A6326" s="4">
        <v>1003002</v>
      </c>
      <c r="B6326">
        <v>6643000</v>
      </c>
    </row>
    <row r="6327" spans="1:2" x14ac:dyDescent="0.4">
      <c r="A6327" s="4">
        <v>1003002</v>
      </c>
      <c r="B6327">
        <v>6643100</v>
      </c>
    </row>
    <row r="6328" spans="1:2" x14ac:dyDescent="0.4">
      <c r="A6328" s="4">
        <v>1003002</v>
      </c>
      <c r="B6328">
        <v>6644000</v>
      </c>
    </row>
    <row r="6329" spans="1:2" x14ac:dyDescent="0.4">
      <c r="A6329" s="4">
        <v>1003002</v>
      </c>
      <c r="B6329">
        <v>6644100</v>
      </c>
    </row>
    <row r="6330" spans="1:2" x14ac:dyDescent="0.4">
      <c r="A6330" s="4">
        <v>1003002</v>
      </c>
      <c r="B6330">
        <v>6645000</v>
      </c>
    </row>
    <row r="6331" spans="1:2" x14ac:dyDescent="0.4">
      <c r="A6331" s="4">
        <v>1003002</v>
      </c>
      <c r="B6331">
        <v>6645100</v>
      </c>
    </row>
    <row r="6332" spans="1:2" x14ac:dyDescent="0.4">
      <c r="A6332" s="4">
        <v>1003002</v>
      </c>
      <c r="B6332">
        <v>6646000</v>
      </c>
    </row>
    <row r="6333" spans="1:2" x14ac:dyDescent="0.4">
      <c r="A6333" s="4">
        <v>1003002</v>
      </c>
      <c r="B6333">
        <v>6646100</v>
      </c>
    </row>
    <row r="6334" spans="1:2" x14ac:dyDescent="0.4">
      <c r="A6334" s="4">
        <v>1003002</v>
      </c>
      <c r="B6334">
        <v>6647000</v>
      </c>
    </row>
    <row r="6335" spans="1:2" x14ac:dyDescent="0.4">
      <c r="A6335" s="4">
        <v>1003002</v>
      </c>
      <c r="B6335">
        <v>6647100</v>
      </c>
    </row>
    <row r="6336" spans="1:2" x14ac:dyDescent="0.4">
      <c r="A6336" s="4">
        <v>1004000</v>
      </c>
      <c r="B6336">
        <v>7000000</v>
      </c>
    </row>
    <row r="6337" spans="1:2" x14ac:dyDescent="0.4">
      <c r="A6337" s="4">
        <v>1004000</v>
      </c>
      <c r="B6337">
        <v>7000001</v>
      </c>
    </row>
    <row r="6338" spans="1:2" x14ac:dyDescent="0.4">
      <c r="A6338" s="4">
        <v>1004000</v>
      </c>
      <c r="B6338">
        <v>7000002</v>
      </c>
    </row>
    <row r="6339" spans="1:2" x14ac:dyDescent="0.4">
      <c r="A6339" s="4">
        <v>1004000</v>
      </c>
      <c r="B6339">
        <v>7000100</v>
      </c>
    </row>
    <row r="6340" spans="1:2" x14ac:dyDescent="0.4">
      <c r="A6340" s="4">
        <v>1004000</v>
      </c>
      <c r="B6340">
        <v>7000101</v>
      </c>
    </row>
    <row r="6341" spans="1:2" x14ac:dyDescent="0.4">
      <c r="A6341" s="4">
        <v>1004000</v>
      </c>
      <c r="B6341">
        <v>7000102</v>
      </c>
    </row>
    <row r="6342" spans="1:2" x14ac:dyDescent="0.4">
      <c r="A6342" s="4">
        <v>1004000</v>
      </c>
      <c r="B6342">
        <v>7000200</v>
      </c>
    </row>
    <row r="6343" spans="1:2" x14ac:dyDescent="0.4">
      <c r="A6343" s="4">
        <v>1004000</v>
      </c>
      <c r="B6343">
        <v>7000201</v>
      </c>
    </row>
    <row r="6344" spans="1:2" x14ac:dyDescent="0.4">
      <c r="A6344" s="4">
        <v>1004000</v>
      </c>
      <c r="B6344">
        <v>7000202</v>
      </c>
    </row>
    <row r="6345" spans="1:2" x14ac:dyDescent="0.4">
      <c r="A6345" s="4">
        <v>1004000</v>
      </c>
      <c r="B6345">
        <v>7000300</v>
      </c>
    </row>
    <row r="6346" spans="1:2" x14ac:dyDescent="0.4">
      <c r="A6346" s="4">
        <v>1004000</v>
      </c>
      <c r="B6346">
        <v>7000301</v>
      </c>
    </row>
    <row r="6347" spans="1:2" x14ac:dyDescent="0.4">
      <c r="A6347" s="4">
        <v>1004000</v>
      </c>
      <c r="B6347">
        <v>7000302</v>
      </c>
    </row>
    <row r="6348" spans="1:2" x14ac:dyDescent="0.4">
      <c r="A6348" s="4">
        <v>1004000</v>
      </c>
      <c r="B6348">
        <v>7000400</v>
      </c>
    </row>
    <row r="6349" spans="1:2" x14ac:dyDescent="0.4">
      <c r="A6349" s="4">
        <v>1004000</v>
      </c>
      <c r="B6349">
        <v>7000401</v>
      </c>
    </row>
    <row r="6350" spans="1:2" x14ac:dyDescent="0.4">
      <c r="A6350" s="4">
        <v>1004000</v>
      </c>
      <c r="B6350">
        <v>7000402</v>
      </c>
    </row>
    <row r="6351" spans="1:2" x14ac:dyDescent="0.4">
      <c r="A6351" s="4">
        <v>1004000</v>
      </c>
      <c r="B6351">
        <v>7000500</v>
      </c>
    </row>
    <row r="6352" spans="1:2" x14ac:dyDescent="0.4">
      <c r="A6352" s="4">
        <v>1004000</v>
      </c>
      <c r="B6352">
        <v>7000501</v>
      </c>
    </row>
    <row r="6353" spans="1:2" x14ac:dyDescent="0.4">
      <c r="A6353" s="4">
        <v>1004000</v>
      </c>
      <c r="B6353">
        <v>7000502</v>
      </c>
    </row>
    <row r="6354" spans="1:2" x14ac:dyDescent="0.4">
      <c r="A6354" s="4">
        <v>1004000</v>
      </c>
      <c r="B6354">
        <v>7000600</v>
      </c>
    </row>
    <row r="6355" spans="1:2" x14ac:dyDescent="0.4">
      <c r="A6355" s="4">
        <v>1004000</v>
      </c>
      <c r="B6355">
        <v>7000601</v>
      </c>
    </row>
    <row r="6356" spans="1:2" x14ac:dyDescent="0.4">
      <c r="A6356" s="4">
        <v>1004000</v>
      </c>
      <c r="B6356">
        <v>7000602</v>
      </c>
    </row>
    <row r="6357" spans="1:2" x14ac:dyDescent="0.4">
      <c r="A6357" s="4">
        <v>1004000</v>
      </c>
      <c r="B6357">
        <v>7000700</v>
      </c>
    </row>
    <row r="6358" spans="1:2" x14ac:dyDescent="0.4">
      <c r="A6358" s="4">
        <v>1004000</v>
      </c>
      <c r="B6358">
        <v>7000701</v>
      </c>
    </row>
    <row r="6359" spans="1:2" x14ac:dyDescent="0.4">
      <c r="A6359" s="4">
        <v>1004000</v>
      </c>
      <c r="B6359">
        <v>7000702</v>
      </c>
    </row>
    <row r="6360" spans="1:2" x14ac:dyDescent="0.4">
      <c r="A6360" s="4">
        <v>1004000</v>
      </c>
      <c r="B6360">
        <v>7000800</v>
      </c>
    </row>
    <row r="6361" spans="1:2" x14ac:dyDescent="0.4">
      <c r="A6361" s="4">
        <v>1004000</v>
      </c>
      <c r="B6361">
        <v>7000801</v>
      </c>
    </row>
    <row r="6362" spans="1:2" x14ac:dyDescent="0.4">
      <c r="A6362" s="4">
        <v>1004000</v>
      </c>
      <c r="B6362">
        <v>7000802</v>
      </c>
    </row>
    <row r="6363" spans="1:2" x14ac:dyDescent="0.4">
      <c r="A6363" s="4">
        <v>1004000</v>
      </c>
      <c r="B6363">
        <v>7000900</v>
      </c>
    </row>
    <row r="6364" spans="1:2" x14ac:dyDescent="0.4">
      <c r="A6364" s="4">
        <v>1004000</v>
      </c>
      <c r="B6364">
        <v>7000901</v>
      </c>
    </row>
    <row r="6365" spans="1:2" x14ac:dyDescent="0.4">
      <c r="A6365" s="4">
        <v>1004000</v>
      </c>
      <c r="B6365">
        <v>7000902</v>
      </c>
    </row>
    <row r="6366" spans="1:2" x14ac:dyDescent="0.4">
      <c r="A6366" s="4">
        <v>1004000</v>
      </c>
      <c r="B6366">
        <v>7001000</v>
      </c>
    </row>
    <row r="6367" spans="1:2" x14ac:dyDescent="0.4">
      <c r="A6367" s="4">
        <v>1004000</v>
      </c>
      <c r="B6367">
        <v>7001001</v>
      </c>
    </row>
    <row r="6368" spans="1:2" x14ac:dyDescent="0.4">
      <c r="A6368" s="4">
        <v>1004000</v>
      </c>
      <c r="B6368">
        <v>7001002</v>
      </c>
    </row>
    <row r="6369" spans="1:2" x14ac:dyDescent="0.4">
      <c r="A6369" s="4">
        <v>1004000</v>
      </c>
      <c r="B6369">
        <v>7001400</v>
      </c>
    </row>
    <row r="6370" spans="1:2" x14ac:dyDescent="0.4">
      <c r="A6370" s="4">
        <v>1004000</v>
      </c>
      <c r="B6370">
        <v>7001401</v>
      </c>
    </row>
    <row r="6371" spans="1:2" x14ac:dyDescent="0.4">
      <c r="A6371" s="4">
        <v>1004000</v>
      </c>
      <c r="B6371">
        <v>7001402</v>
      </c>
    </row>
    <row r="6372" spans="1:2" x14ac:dyDescent="0.4">
      <c r="A6372" s="4">
        <v>1004000</v>
      </c>
      <c r="B6372">
        <v>7001500</v>
      </c>
    </row>
    <row r="6373" spans="1:2" x14ac:dyDescent="0.4">
      <c r="A6373" s="4">
        <v>1004000</v>
      </c>
      <c r="B6373">
        <v>7001501</v>
      </c>
    </row>
    <row r="6374" spans="1:2" x14ac:dyDescent="0.4">
      <c r="A6374" s="4">
        <v>1004000</v>
      </c>
      <c r="B6374">
        <v>7001502</v>
      </c>
    </row>
    <row r="6375" spans="1:2" x14ac:dyDescent="0.4">
      <c r="A6375" s="4">
        <v>1004000</v>
      </c>
      <c r="B6375">
        <v>7001600</v>
      </c>
    </row>
    <row r="6376" spans="1:2" x14ac:dyDescent="0.4">
      <c r="A6376" s="4">
        <v>1004000</v>
      </c>
      <c r="B6376">
        <v>7001601</v>
      </c>
    </row>
    <row r="6377" spans="1:2" x14ac:dyDescent="0.4">
      <c r="A6377" s="4">
        <v>1004000</v>
      </c>
      <c r="B6377">
        <v>7001602</v>
      </c>
    </row>
    <row r="6378" spans="1:2" x14ac:dyDescent="0.4">
      <c r="A6378" s="4">
        <v>1004000</v>
      </c>
      <c r="B6378">
        <v>7001700</v>
      </c>
    </row>
    <row r="6379" spans="1:2" x14ac:dyDescent="0.4">
      <c r="A6379" s="4">
        <v>1004000</v>
      </c>
      <c r="B6379">
        <v>7001701</v>
      </c>
    </row>
    <row r="6380" spans="1:2" x14ac:dyDescent="0.4">
      <c r="A6380" s="4">
        <v>1004000</v>
      </c>
      <c r="B6380">
        <v>7001702</v>
      </c>
    </row>
    <row r="6381" spans="1:2" x14ac:dyDescent="0.4">
      <c r="A6381" s="4">
        <v>1004000</v>
      </c>
      <c r="B6381">
        <v>7001800</v>
      </c>
    </row>
    <row r="6382" spans="1:2" x14ac:dyDescent="0.4">
      <c r="A6382" s="4">
        <v>1004000</v>
      </c>
      <c r="B6382">
        <v>7001801</v>
      </c>
    </row>
    <row r="6383" spans="1:2" x14ac:dyDescent="0.4">
      <c r="A6383" s="4">
        <v>1004000</v>
      </c>
      <c r="B6383">
        <v>7001802</v>
      </c>
    </row>
    <row r="6384" spans="1:2" x14ac:dyDescent="0.4">
      <c r="A6384" s="4">
        <v>1004000</v>
      </c>
      <c r="B6384">
        <v>7002600</v>
      </c>
    </row>
    <row r="6385" spans="1:2" x14ac:dyDescent="0.4">
      <c r="A6385" s="4">
        <v>1004000</v>
      </c>
      <c r="B6385">
        <v>7002700</v>
      </c>
    </row>
    <row r="6386" spans="1:2" x14ac:dyDescent="0.4">
      <c r="A6386" s="4">
        <v>1004000</v>
      </c>
      <c r="B6386">
        <v>7002800</v>
      </c>
    </row>
    <row r="6387" spans="1:2" x14ac:dyDescent="0.4">
      <c r="A6387" s="4">
        <v>1004000</v>
      </c>
      <c r="B6387">
        <v>7002900</v>
      </c>
    </row>
    <row r="6388" spans="1:2" x14ac:dyDescent="0.4">
      <c r="A6388" s="4">
        <v>1004000</v>
      </c>
      <c r="B6388">
        <v>7003000</v>
      </c>
    </row>
    <row r="6389" spans="1:2" x14ac:dyDescent="0.4">
      <c r="A6389" s="4">
        <v>1004000</v>
      </c>
      <c r="B6389">
        <v>7003100</v>
      </c>
    </row>
    <row r="6390" spans="1:2" x14ac:dyDescent="0.4">
      <c r="A6390" s="4">
        <v>1004000</v>
      </c>
      <c r="B6390">
        <v>7003200</v>
      </c>
    </row>
    <row r="6391" spans="1:2" x14ac:dyDescent="0.4">
      <c r="A6391" s="4">
        <v>1004000</v>
      </c>
      <c r="B6391">
        <v>7003300</v>
      </c>
    </row>
    <row r="6392" spans="1:2" x14ac:dyDescent="0.4">
      <c r="A6392" s="4">
        <v>1004000</v>
      </c>
      <c r="B6392">
        <v>7003400</v>
      </c>
    </row>
    <row r="6393" spans="1:2" x14ac:dyDescent="0.4">
      <c r="A6393" s="4">
        <v>1004000</v>
      </c>
      <c r="B6393">
        <v>7003500</v>
      </c>
    </row>
    <row r="6394" spans="1:2" x14ac:dyDescent="0.4">
      <c r="A6394" s="4">
        <v>1004000</v>
      </c>
      <c r="B6394">
        <v>7003600</v>
      </c>
    </row>
    <row r="6395" spans="1:2" x14ac:dyDescent="0.4">
      <c r="A6395" s="4">
        <v>1004000</v>
      </c>
      <c r="B6395">
        <v>7005600</v>
      </c>
    </row>
    <row r="6396" spans="1:2" x14ac:dyDescent="0.4">
      <c r="A6396" s="4">
        <v>1004000</v>
      </c>
      <c r="B6396">
        <v>7006000</v>
      </c>
    </row>
    <row r="6397" spans="1:2" x14ac:dyDescent="0.4">
      <c r="A6397" s="4">
        <v>1004000</v>
      </c>
      <c r="B6397">
        <v>7006100</v>
      </c>
    </row>
    <row r="6398" spans="1:2" x14ac:dyDescent="0.4">
      <c r="A6398" s="4">
        <v>1004000</v>
      </c>
      <c r="B6398">
        <v>7010200</v>
      </c>
    </row>
    <row r="6399" spans="1:2" x14ac:dyDescent="0.4">
      <c r="A6399" s="4">
        <v>1004000</v>
      </c>
      <c r="B6399">
        <v>7010500</v>
      </c>
    </row>
    <row r="6400" spans="1:2" x14ac:dyDescent="0.4">
      <c r="A6400" s="4">
        <v>1004000</v>
      </c>
      <c r="B6400">
        <v>7010700</v>
      </c>
    </row>
    <row r="6401" spans="1:2" x14ac:dyDescent="0.4">
      <c r="A6401" s="4">
        <v>1004000</v>
      </c>
      <c r="B6401">
        <v>7010900</v>
      </c>
    </row>
    <row r="6402" spans="1:2" x14ac:dyDescent="0.4">
      <c r="A6402" s="4">
        <v>1004000</v>
      </c>
      <c r="B6402">
        <v>7011000</v>
      </c>
    </row>
    <row r="6403" spans="1:2" x14ac:dyDescent="0.4">
      <c r="A6403" s="4">
        <v>1004000</v>
      </c>
      <c r="B6403">
        <v>7011200</v>
      </c>
    </row>
    <row r="6404" spans="1:2" x14ac:dyDescent="0.4">
      <c r="A6404" s="4">
        <v>1004000</v>
      </c>
      <c r="B6404">
        <v>7011600</v>
      </c>
    </row>
    <row r="6405" spans="1:2" x14ac:dyDescent="0.4">
      <c r="A6405" s="4">
        <v>1004000</v>
      </c>
      <c r="B6405">
        <v>7011700</v>
      </c>
    </row>
    <row r="6406" spans="1:2" x14ac:dyDescent="0.4">
      <c r="A6406" s="4">
        <v>1004000</v>
      </c>
      <c r="B6406">
        <v>7012000</v>
      </c>
    </row>
    <row r="6407" spans="1:2" x14ac:dyDescent="0.4">
      <c r="A6407" s="4">
        <v>1004000</v>
      </c>
      <c r="B6407">
        <v>7012200</v>
      </c>
    </row>
    <row r="6408" spans="1:2" x14ac:dyDescent="0.4">
      <c r="A6408" s="4">
        <v>1004000</v>
      </c>
      <c r="B6408">
        <v>7012300</v>
      </c>
    </row>
    <row r="6409" spans="1:2" x14ac:dyDescent="0.4">
      <c r="A6409" s="4">
        <v>1004000</v>
      </c>
      <c r="B6409">
        <v>7020000</v>
      </c>
    </row>
    <row r="6410" spans="1:2" x14ac:dyDescent="0.4">
      <c r="A6410" s="4">
        <v>1004000</v>
      </c>
      <c r="B6410">
        <v>7030000</v>
      </c>
    </row>
    <row r="6411" spans="1:2" x14ac:dyDescent="0.4">
      <c r="A6411" s="4">
        <v>1004000</v>
      </c>
      <c r="B6411">
        <v>7030200</v>
      </c>
    </row>
    <row r="6412" spans="1:2" x14ac:dyDescent="0.4">
      <c r="A6412" s="4">
        <v>1004000</v>
      </c>
      <c r="B6412">
        <v>7030600</v>
      </c>
    </row>
    <row r="6413" spans="1:2" x14ac:dyDescent="0.4">
      <c r="A6413" s="4">
        <v>1004000</v>
      </c>
      <c r="B6413">
        <v>7030700</v>
      </c>
    </row>
    <row r="6414" spans="1:2" x14ac:dyDescent="0.4">
      <c r="A6414" s="4">
        <v>1004000</v>
      </c>
      <c r="B6414">
        <v>7030800</v>
      </c>
    </row>
    <row r="6415" spans="1:2" x14ac:dyDescent="0.4">
      <c r="A6415" s="4">
        <v>1004000</v>
      </c>
      <c r="B6415">
        <v>7030900</v>
      </c>
    </row>
    <row r="6416" spans="1:2" x14ac:dyDescent="0.4">
      <c r="A6416" s="4">
        <v>1004000</v>
      </c>
      <c r="B6416">
        <v>7031200</v>
      </c>
    </row>
    <row r="6417" spans="1:2" x14ac:dyDescent="0.4">
      <c r="A6417" s="4">
        <v>1004000</v>
      </c>
      <c r="B6417">
        <v>7031300</v>
      </c>
    </row>
    <row r="6418" spans="1:2" x14ac:dyDescent="0.4">
      <c r="A6418" s="4">
        <v>1004000</v>
      </c>
      <c r="B6418">
        <v>7031800</v>
      </c>
    </row>
    <row r="6419" spans="1:2" x14ac:dyDescent="0.4">
      <c r="A6419" s="4">
        <v>1004000</v>
      </c>
      <c r="B6419">
        <v>7031900</v>
      </c>
    </row>
    <row r="6420" spans="1:2" x14ac:dyDescent="0.4">
      <c r="A6420" s="4">
        <v>1004000</v>
      </c>
      <c r="B6420">
        <v>7032200</v>
      </c>
    </row>
    <row r="6421" spans="1:2" x14ac:dyDescent="0.4">
      <c r="A6421" s="4">
        <v>1004000</v>
      </c>
      <c r="B6421">
        <v>7032400</v>
      </c>
    </row>
    <row r="6422" spans="1:2" x14ac:dyDescent="0.4">
      <c r="A6422" s="4">
        <v>1004000</v>
      </c>
      <c r="B6422">
        <v>7032700</v>
      </c>
    </row>
    <row r="6423" spans="1:2" x14ac:dyDescent="0.4">
      <c r="A6423" s="4">
        <v>1004000</v>
      </c>
      <c r="B6423">
        <v>7032800</v>
      </c>
    </row>
    <row r="6424" spans="1:2" x14ac:dyDescent="0.4">
      <c r="A6424" s="4">
        <v>1004000</v>
      </c>
      <c r="B6424">
        <v>7032900</v>
      </c>
    </row>
    <row r="6425" spans="1:2" x14ac:dyDescent="0.4">
      <c r="A6425" s="4">
        <v>1004000</v>
      </c>
      <c r="B6425">
        <v>7033200</v>
      </c>
    </row>
    <row r="6426" spans="1:2" x14ac:dyDescent="0.4">
      <c r="A6426" s="4">
        <v>1004000</v>
      </c>
      <c r="B6426">
        <v>7033400</v>
      </c>
    </row>
    <row r="6427" spans="1:2" x14ac:dyDescent="0.4">
      <c r="A6427" s="4">
        <v>1004000</v>
      </c>
      <c r="B6427">
        <v>7034100</v>
      </c>
    </row>
    <row r="6428" spans="1:2" x14ac:dyDescent="0.4">
      <c r="A6428" s="4">
        <v>1004000</v>
      </c>
      <c r="B6428">
        <v>7034400</v>
      </c>
    </row>
    <row r="6429" spans="1:2" x14ac:dyDescent="0.4">
      <c r="A6429" s="4">
        <v>1004000</v>
      </c>
      <c r="B6429">
        <v>7034500</v>
      </c>
    </row>
    <row r="6430" spans="1:2" x14ac:dyDescent="0.4">
      <c r="A6430" s="4">
        <v>1004000</v>
      </c>
      <c r="B6430">
        <v>7034600</v>
      </c>
    </row>
    <row r="6431" spans="1:2" x14ac:dyDescent="0.4">
      <c r="A6431" s="4">
        <v>1004000</v>
      </c>
      <c r="B6431">
        <v>7034700</v>
      </c>
    </row>
    <row r="6432" spans="1:2" x14ac:dyDescent="0.4">
      <c r="A6432" s="4">
        <v>1004000</v>
      </c>
      <c r="B6432">
        <v>7035100</v>
      </c>
    </row>
    <row r="6433" spans="1:2" x14ac:dyDescent="0.4">
      <c r="A6433" s="4">
        <v>1004000</v>
      </c>
      <c r="B6433">
        <v>7036100</v>
      </c>
    </row>
    <row r="6434" spans="1:2" x14ac:dyDescent="0.4">
      <c r="A6434" s="4">
        <v>1004000</v>
      </c>
      <c r="B6434">
        <v>7040000</v>
      </c>
    </row>
    <row r="6435" spans="1:2" x14ac:dyDescent="0.4">
      <c r="A6435" s="4">
        <v>1004000</v>
      </c>
      <c r="B6435">
        <v>7040100</v>
      </c>
    </row>
    <row r="6436" spans="1:2" x14ac:dyDescent="0.4">
      <c r="A6436" s="4">
        <v>1004000</v>
      </c>
      <c r="B6436">
        <v>7040200</v>
      </c>
    </row>
    <row r="6437" spans="1:2" x14ac:dyDescent="0.4">
      <c r="A6437" s="4">
        <v>1004000</v>
      </c>
      <c r="B6437">
        <v>7040300</v>
      </c>
    </row>
    <row r="6438" spans="1:2" x14ac:dyDescent="0.4">
      <c r="A6438" s="4">
        <v>1004000</v>
      </c>
      <c r="B6438">
        <v>7040400</v>
      </c>
    </row>
    <row r="6439" spans="1:2" x14ac:dyDescent="0.4">
      <c r="A6439" s="4">
        <v>1004000</v>
      </c>
      <c r="B6439">
        <v>7040500</v>
      </c>
    </row>
    <row r="6440" spans="1:2" x14ac:dyDescent="0.4">
      <c r="A6440" s="4">
        <v>1004000</v>
      </c>
      <c r="B6440">
        <v>7043000</v>
      </c>
    </row>
    <row r="6441" spans="1:2" x14ac:dyDescent="0.4">
      <c r="A6441" s="4">
        <v>1004000</v>
      </c>
      <c r="B6441">
        <v>7043100</v>
      </c>
    </row>
    <row r="6442" spans="1:2" x14ac:dyDescent="0.4">
      <c r="A6442" s="4">
        <v>1004000</v>
      </c>
      <c r="B6442">
        <v>7043200</v>
      </c>
    </row>
    <row r="6443" spans="1:2" x14ac:dyDescent="0.4">
      <c r="A6443" s="4">
        <v>1004000</v>
      </c>
      <c r="B6443">
        <v>7043300</v>
      </c>
    </row>
    <row r="6444" spans="1:2" x14ac:dyDescent="0.4">
      <c r="A6444" s="4">
        <v>1004000</v>
      </c>
      <c r="B6444">
        <v>7043400</v>
      </c>
    </row>
    <row r="6445" spans="1:2" x14ac:dyDescent="0.4">
      <c r="A6445" s="4">
        <v>1004000</v>
      </c>
      <c r="B6445">
        <v>7043500</v>
      </c>
    </row>
    <row r="6446" spans="1:2" x14ac:dyDescent="0.4">
      <c r="A6446" s="4">
        <v>1004000</v>
      </c>
      <c r="B6446">
        <v>7043600</v>
      </c>
    </row>
    <row r="6447" spans="1:2" x14ac:dyDescent="0.4">
      <c r="A6447" s="4">
        <v>1004000</v>
      </c>
      <c r="B6447">
        <v>7043700</v>
      </c>
    </row>
    <row r="6448" spans="1:2" x14ac:dyDescent="0.4">
      <c r="A6448" s="4">
        <v>1004000</v>
      </c>
      <c r="B6448">
        <v>7043800</v>
      </c>
    </row>
    <row r="6449" spans="1:2" x14ac:dyDescent="0.4">
      <c r="A6449" s="4">
        <v>1004000</v>
      </c>
      <c r="B6449">
        <v>7044000</v>
      </c>
    </row>
    <row r="6450" spans="1:2" x14ac:dyDescent="0.4">
      <c r="A6450" s="4">
        <v>1004000</v>
      </c>
      <c r="B6450">
        <v>7044100</v>
      </c>
    </row>
    <row r="6451" spans="1:2" x14ac:dyDescent="0.4">
      <c r="A6451" s="4">
        <v>1004000</v>
      </c>
      <c r="B6451">
        <v>7044200</v>
      </c>
    </row>
    <row r="6452" spans="1:2" x14ac:dyDescent="0.4">
      <c r="A6452" s="4">
        <v>1004000</v>
      </c>
      <c r="B6452">
        <v>7044300</v>
      </c>
    </row>
    <row r="6453" spans="1:2" x14ac:dyDescent="0.4">
      <c r="A6453" s="4">
        <v>1004000</v>
      </c>
      <c r="B6453">
        <v>7044400</v>
      </c>
    </row>
    <row r="6454" spans="1:2" x14ac:dyDescent="0.4">
      <c r="A6454" s="4">
        <v>1004000</v>
      </c>
      <c r="B6454">
        <v>7044500</v>
      </c>
    </row>
    <row r="6455" spans="1:2" x14ac:dyDescent="0.4">
      <c r="A6455" s="4">
        <v>1004000</v>
      </c>
      <c r="B6455">
        <v>7044600</v>
      </c>
    </row>
    <row r="6456" spans="1:2" x14ac:dyDescent="0.4">
      <c r="A6456" s="4">
        <v>1004000</v>
      </c>
      <c r="B6456">
        <v>7050000</v>
      </c>
    </row>
    <row r="6457" spans="1:2" x14ac:dyDescent="0.4">
      <c r="A6457" s="4">
        <v>1004000</v>
      </c>
      <c r="B6457">
        <v>7050100</v>
      </c>
    </row>
    <row r="6458" spans="1:2" x14ac:dyDescent="0.4">
      <c r="A6458" s="4">
        <v>1004000</v>
      </c>
      <c r="B6458">
        <v>7060000</v>
      </c>
    </row>
    <row r="6459" spans="1:2" x14ac:dyDescent="0.4">
      <c r="A6459" s="4">
        <v>1004000</v>
      </c>
      <c r="B6459">
        <v>7060100</v>
      </c>
    </row>
    <row r="6460" spans="1:2" x14ac:dyDescent="0.4">
      <c r="A6460" s="4">
        <v>1004000</v>
      </c>
      <c r="B6460">
        <v>7060200</v>
      </c>
    </row>
    <row r="6461" spans="1:2" x14ac:dyDescent="0.4">
      <c r="A6461" s="4">
        <v>1004000</v>
      </c>
      <c r="B6461">
        <v>7070000</v>
      </c>
    </row>
    <row r="6462" spans="1:2" x14ac:dyDescent="0.4">
      <c r="A6462" s="4">
        <v>1004000</v>
      </c>
      <c r="B6462">
        <v>7080000</v>
      </c>
    </row>
    <row r="6463" spans="1:2" x14ac:dyDescent="0.4">
      <c r="A6463" s="4">
        <v>1004000</v>
      </c>
      <c r="B6463">
        <v>7080100</v>
      </c>
    </row>
    <row r="6464" spans="1:2" x14ac:dyDescent="0.4">
      <c r="A6464" s="4">
        <v>1004000</v>
      </c>
      <c r="B6464">
        <v>7080200</v>
      </c>
    </row>
    <row r="6465" spans="1:2" x14ac:dyDescent="0.4">
      <c r="A6465" s="4">
        <v>1004000</v>
      </c>
      <c r="B6465">
        <v>7080300</v>
      </c>
    </row>
    <row r="6466" spans="1:2" x14ac:dyDescent="0.4">
      <c r="A6466" s="4">
        <v>1004000</v>
      </c>
      <c r="B6466">
        <v>7080400</v>
      </c>
    </row>
    <row r="6467" spans="1:2" x14ac:dyDescent="0.4">
      <c r="A6467" s="4">
        <v>1004000</v>
      </c>
      <c r="B6467">
        <v>7080500</v>
      </c>
    </row>
    <row r="6468" spans="1:2" x14ac:dyDescent="0.4">
      <c r="A6468" s="4">
        <v>1004000</v>
      </c>
      <c r="B6468">
        <v>7080600</v>
      </c>
    </row>
    <row r="6469" spans="1:2" x14ac:dyDescent="0.4">
      <c r="A6469" s="4">
        <v>1004000</v>
      </c>
      <c r="B6469">
        <v>7080700</v>
      </c>
    </row>
    <row r="6470" spans="1:2" x14ac:dyDescent="0.4">
      <c r="A6470" s="4">
        <v>1004000</v>
      </c>
      <c r="B6470">
        <v>7080800</v>
      </c>
    </row>
    <row r="6471" spans="1:2" x14ac:dyDescent="0.4">
      <c r="A6471" s="4">
        <v>1004000</v>
      </c>
      <c r="B6471">
        <v>7080900</v>
      </c>
    </row>
    <row r="6472" spans="1:2" x14ac:dyDescent="0.4">
      <c r="A6472" s="4">
        <v>1004000</v>
      </c>
      <c r="B6472">
        <v>7081000</v>
      </c>
    </row>
    <row r="6473" spans="1:2" x14ac:dyDescent="0.4">
      <c r="A6473" s="4">
        <v>1004000</v>
      </c>
      <c r="B6473">
        <v>7081100</v>
      </c>
    </row>
    <row r="6474" spans="1:2" x14ac:dyDescent="0.4">
      <c r="A6474" s="4">
        <v>1004000</v>
      </c>
      <c r="B6474">
        <v>7081200</v>
      </c>
    </row>
    <row r="6475" spans="1:2" x14ac:dyDescent="0.4">
      <c r="A6475" s="4">
        <v>1004000</v>
      </c>
      <c r="B6475">
        <v>7081300</v>
      </c>
    </row>
    <row r="6476" spans="1:2" x14ac:dyDescent="0.4">
      <c r="A6476" s="4">
        <v>1004000</v>
      </c>
      <c r="B6476">
        <v>7081400</v>
      </c>
    </row>
    <row r="6477" spans="1:2" x14ac:dyDescent="0.4">
      <c r="A6477" s="4">
        <v>1004000</v>
      </c>
      <c r="B6477">
        <v>7081500</v>
      </c>
    </row>
    <row r="6478" spans="1:2" x14ac:dyDescent="0.4">
      <c r="A6478" s="4">
        <v>1004000</v>
      </c>
      <c r="B6478">
        <v>7081700</v>
      </c>
    </row>
    <row r="6479" spans="1:2" x14ac:dyDescent="0.4">
      <c r="A6479" s="4">
        <v>1004000</v>
      </c>
      <c r="B6479">
        <v>7081800</v>
      </c>
    </row>
    <row r="6480" spans="1:2" x14ac:dyDescent="0.4">
      <c r="A6480" s="4">
        <v>1004000</v>
      </c>
      <c r="B6480">
        <v>7081900</v>
      </c>
    </row>
    <row r="6481" spans="1:2" x14ac:dyDescent="0.4">
      <c r="A6481" s="4">
        <v>1004000</v>
      </c>
      <c r="B6481">
        <v>7082000</v>
      </c>
    </row>
    <row r="6482" spans="1:2" x14ac:dyDescent="0.4">
      <c r="A6482" s="4">
        <v>1004000</v>
      </c>
      <c r="B6482">
        <v>7082100</v>
      </c>
    </row>
    <row r="6483" spans="1:2" x14ac:dyDescent="0.4">
      <c r="A6483" s="4">
        <v>1004000</v>
      </c>
      <c r="B6483">
        <v>7082200</v>
      </c>
    </row>
    <row r="6484" spans="1:2" x14ac:dyDescent="0.4">
      <c r="A6484" s="4">
        <v>1004000</v>
      </c>
      <c r="B6484">
        <v>7082300</v>
      </c>
    </row>
    <row r="6485" spans="1:2" x14ac:dyDescent="0.4">
      <c r="A6485" s="4">
        <v>1004000</v>
      </c>
      <c r="B6485">
        <v>7082400</v>
      </c>
    </row>
    <row r="6486" spans="1:2" x14ac:dyDescent="0.4">
      <c r="A6486" s="4">
        <v>1004000</v>
      </c>
      <c r="B6486">
        <v>7082500</v>
      </c>
    </row>
    <row r="6487" spans="1:2" x14ac:dyDescent="0.4">
      <c r="A6487" s="4">
        <v>1004000</v>
      </c>
      <c r="B6487">
        <v>7082600</v>
      </c>
    </row>
    <row r="6488" spans="1:2" x14ac:dyDescent="0.4">
      <c r="A6488" s="4">
        <v>1004000</v>
      </c>
      <c r="B6488">
        <v>7082700</v>
      </c>
    </row>
    <row r="6489" spans="1:2" x14ac:dyDescent="0.4">
      <c r="A6489" s="4">
        <v>1004000</v>
      </c>
      <c r="B6489">
        <v>7082800</v>
      </c>
    </row>
    <row r="6490" spans="1:2" x14ac:dyDescent="0.4">
      <c r="A6490" s="4">
        <v>1004000</v>
      </c>
      <c r="B6490">
        <v>7082900</v>
      </c>
    </row>
    <row r="6491" spans="1:2" x14ac:dyDescent="0.4">
      <c r="A6491" s="4">
        <v>1004000</v>
      </c>
      <c r="B6491">
        <v>7090000</v>
      </c>
    </row>
    <row r="6492" spans="1:2" x14ac:dyDescent="0.4">
      <c r="A6492" s="4">
        <v>1004000</v>
      </c>
      <c r="B6492">
        <v>7090100</v>
      </c>
    </row>
    <row r="6493" spans="1:2" x14ac:dyDescent="0.4">
      <c r="A6493" s="4">
        <v>1004000</v>
      </c>
      <c r="B6493">
        <v>7090300</v>
      </c>
    </row>
    <row r="6494" spans="1:2" x14ac:dyDescent="0.4">
      <c r="A6494" s="4">
        <v>1004000</v>
      </c>
      <c r="B6494">
        <v>7100100</v>
      </c>
    </row>
    <row r="6495" spans="1:2" x14ac:dyDescent="0.4">
      <c r="A6495" s="4">
        <v>1004000</v>
      </c>
      <c r="B6495">
        <v>7110000</v>
      </c>
    </row>
    <row r="6496" spans="1:2" x14ac:dyDescent="0.4">
      <c r="A6496" s="4">
        <v>1004000</v>
      </c>
      <c r="B6496">
        <v>7120000</v>
      </c>
    </row>
    <row r="6497" spans="1:2" x14ac:dyDescent="0.4">
      <c r="A6497" s="4">
        <v>1004000</v>
      </c>
      <c r="B6497">
        <v>7120100</v>
      </c>
    </row>
    <row r="6498" spans="1:2" x14ac:dyDescent="0.4">
      <c r="A6498" s="4">
        <v>1004000</v>
      </c>
      <c r="B6498">
        <v>7120200</v>
      </c>
    </row>
    <row r="6499" spans="1:2" x14ac:dyDescent="0.4">
      <c r="A6499" s="4">
        <v>1004000</v>
      </c>
      <c r="B6499">
        <v>7120300</v>
      </c>
    </row>
    <row r="6500" spans="1:2" x14ac:dyDescent="0.4">
      <c r="A6500" s="4">
        <v>1004000</v>
      </c>
      <c r="B6500">
        <v>7120400</v>
      </c>
    </row>
    <row r="6501" spans="1:2" x14ac:dyDescent="0.4">
      <c r="A6501" s="4">
        <v>1004000</v>
      </c>
      <c r="B6501">
        <v>7120500</v>
      </c>
    </row>
    <row r="6502" spans="1:2" x14ac:dyDescent="0.4">
      <c r="A6502" s="4">
        <v>1004000</v>
      </c>
      <c r="B6502">
        <v>7120600</v>
      </c>
    </row>
    <row r="6503" spans="1:2" x14ac:dyDescent="0.4">
      <c r="A6503" s="4">
        <v>1004000</v>
      </c>
      <c r="B6503">
        <v>7120900</v>
      </c>
    </row>
    <row r="6504" spans="1:2" x14ac:dyDescent="0.4">
      <c r="A6504" s="4">
        <v>1004000</v>
      </c>
      <c r="B6504">
        <v>7121000</v>
      </c>
    </row>
    <row r="6505" spans="1:2" x14ac:dyDescent="0.4">
      <c r="A6505" s="4">
        <v>1004000</v>
      </c>
      <c r="B6505">
        <v>7121100</v>
      </c>
    </row>
    <row r="6506" spans="1:2" x14ac:dyDescent="0.4">
      <c r="A6506" s="4">
        <v>1004000</v>
      </c>
      <c r="B6506">
        <v>7121200</v>
      </c>
    </row>
    <row r="6507" spans="1:2" x14ac:dyDescent="0.4">
      <c r="A6507" s="4">
        <v>1004000</v>
      </c>
      <c r="B6507">
        <v>7121300</v>
      </c>
    </row>
    <row r="6508" spans="1:2" x14ac:dyDescent="0.4">
      <c r="A6508" s="4">
        <v>1004000</v>
      </c>
      <c r="B6508">
        <v>7121400</v>
      </c>
    </row>
    <row r="6509" spans="1:2" x14ac:dyDescent="0.4">
      <c r="A6509" s="4">
        <v>1004000</v>
      </c>
      <c r="B6509">
        <v>7121500</v>
      </c>
    </row>
    <row r="6510" spans="1:2" x14ac:dyDescent="0.4">
      <c r="A6510" s="4">
        <v>1004000</v>
      </c>
      <c r="B6510">
        <v>7121600</v>
      </c>
    </row>
    <row r="6511" spans="1:2" x14ac:dyDescent="0.4">
      <c r="A6511" s="4">
        <v>1004000</v>
      </c>
      <c r="B6511">
        <v>7121700</v>
      </c>
    </row>
    <row r="6512" spans="1:2" x14ac:dyDescent="0.4">
      <c r="A6512" s="4">
        <v>1004000</v>
      </c>
      <c r="B6512">
        <v>7121800</v>
      </c>
    </row>
    <row r="6513" spans="1:2" x14ac:dyDescent="0.4">
      <c r="A6513" s="4">
        <v>1004000</v>
      </c>
      <c r="B6513">
        <v>7121900</v>
      </c>
    </row>
    <row r="6514" spans="1:2" x14ac:dyDescent="0.4">
      <c r="A6514" s="4">
        <v>1004000</v>
      </c>
      <c r="B6514">
        <v>7122000</v>
      </c>
    </row>
    <row r="6515" spans="1:2" x14ac:dyDescent="0.4">
      <c r="A6515" s="4">
        <v>1004000</v>
      </c>
      <c r="B6515">
        <v>7122100</v>
      </c>
    </row>
    <row r="6516" spans="1:2" x14ac:dyDescent="0.4">
      <c r="A6516" s="4">
        <v>1004000</v>
      </c>
      <c r="B6516">
        <v>7122200</v>
      </c>
    </row>
    <row r="6517" spans="1:2" x14ac:dyDescent="0.4">
      <c r="A6517" s="4">
        <v>1004000</v>
      </c>
      <c r="B6517">
        <v>7122300</v>
      </c>
    </row>
    <row r="6518" spans="1:2" x14ac:dyDescent="0.4">
      <c r="A6518" s="4">
        <v>1004000</v>
      </c>
      <c r="B6518">
        <v>7122400</v>
      </c>
    </row>
    <row r="6519" spans="1:2" x14ac:dyDescent="0.4">
      <c r="A6519" s="4">
        <v>1004000</v>
      </c>
      <c r="B6519">
        <v>7122500</v>
      </c>
    </row>
    <row r="6520" spans="1:2" x14ac:dyDescent="0.4">
      <c r="A6520" s="4">
        <v>1004000</v>
      </c>
      <c r="B6520">
        <v>7122600</v>
      </c>
    </row>
    <row r="6521" spans="1:2" x14ac:dyDescent="0.4">
      <c r="A6521" s="4">
        <v>1004000</v>
      </c>
      <c r="B6521">
        <v>7122700</v>
      </c>
    </row>
    <row r="6522" spans="1:2" x14ac:dyDescent="0.4">
      <c r="A6522" s="4">
        <v>1004000</v>
      </c>
      <c r="B6522">
        <v>7122800</v>
      </c>
    </row>
    <row r="6523" spans="1:2" x14ac:dyDescent="0.4">
      <c r="A6523" s="4">
        <v>1004000</v>
      </c>
      <c r="B6523">
        <v>7122900</v>
      </c>
    </row>
    <row r="6524" spans="1:2" x14ac:dyDescent="0.4">
      <c r="A6524" s="4">
        <v>1004000</v>
      </c>
      <c r="B6524">
        <v>7123000</v>
      </c>
    </row>
    <row r="6525" spans="1:2" x14ac:dyDescent="0.4">
      <c r="A6525" s="4">
        <v>1004000</v>
      </c>
      <c r="B6525">
        <v>7123100</v>
      </c>
    </row>
    <row r="6526" spans="1:2" x14ac:dyDescent="0.4">
      <c r="A6526" s="4">
        <v>1004000</v>
      </c>
      <c r="B6526">
        <v>7123200</v>
      </c>
    </row>
    <row r="6527" spans="1:2" x14ac:dyDescent="0.4">
      <c r="A6527" s="4">
        <v>1004000</v>
      </c>
      <c r="B6527">
        <v>7123300</v>
      </c>
    </row>
    <row r="6528" spans="1:2" x14ac:dyDescent="0.4">
      <c r="A6528" s="4">
        <v>1004000</v>
      </c>
      <c r="B6528">
        <v>7123400</v>
      </c>
    </row>
    <row r="6529" spans="1:2" x14ac:dyDescent="0.4">
      <c r="A6529" s="4">
        <v>1004000</v>
      </c>
      <c r="B6529">
        <v>7123500</v>
      </c>
    </row>
    <row r="6530" spans="1:2" x14ac:dyDescent="0.4">
      <c r="A6530" s="4">
        <v>1004000</v>
      </c>
      <c r="B6530">
        <v>7123600</v>
      </c>
    </row>
    <row r="6531" spans="1:2" x14ac:dyDescent="0.4">
      <c r="A6531" s="4">
        <v>1004000</v>
      </c>
      <c r="B6531">
        <v>7123700</v>
      </c>
    </row>
    <row r="6532" spans="1:2" x14ac:dyDescent="0.4">
      <c r="A6532" s="4">
        <v>1004000</v>
      </c>
      <c r="B6532">
        <v>7123800</v>
      </c>
    </row>
    <row r="6533" spans="1:2" x14ac:dyDescent="0.4">
      <c r="A6533" s="4">
        <v>1004000</v>
      </c>
      <c r="B6533">
        <v>7123900</v>
      </c>
    </row>
    <row r="6534" spans="1:2" x14ac:dyDescent="0.4">
      <c r="A6534" s="4">
        <v>1004000</v>
      </c>
      <c r="B6534">
        <v>7124000</v>
      </c>
    </row>
    <row r="6535" spans="1:2" x14ac:dyDescent="0.4">
      <c r="A6535" s="4">
        <v>1004000</v>
      </c>
      <c r="B6535">
        <v>7124100</v>
      </c>
    </row>
    <row r="6536" spans="1:2" x14ac:dyDescent="0.4">
      <c r="A6536" s="4">
        <v>1004000</v>
      </c>
      <c r="B6536">
        <v>7124300</v>
      </c>
    </row>
    <row r="6537" spans="1:2" x14ac:dyDescent="0.4">
      <c r="A6537" s="4">
        <v>1004000</v>
      </c>
      <c r="B6537">
        <v>7124400</v>
      </c>
    </row>
    <row r="6538" spans="1:2" x14ac:dyDescent="0.4">
      <c r="A6538" s="4">
        <v>1004000</v>
      </c>
      <c r="B6538">
        <v>7124500</v>
      </c>
    </row>
    <row r="6539" spans="1:2" x14ac:dyDescent="0.4">
      <c r="A6539" s="4">
        <v>1004000</v>
      </c>
      <c r="B6539">
        <v>7124600</v>
      </c>
    </row>
    <row r="6540" spans="1:2" x14ac:dyDescent="0.4">
      <c r="A6540" s="4">
        <v>1004000</v>
      </c>
      <c r="B6540">
        <v>7124700</v>
      </c>
    </row>
    <row r="6541" spans="1:2" x14ac:dyDescent="0.4">
      <c r="A6541" s="4">
        <v>1004000</v>
      </c>
      <c r="B6541">
        <v>7126000</v>
      </c>
    </row>
    <row r="6542" spans="1:2" x14ac:dyDescent="0.4">
      <c r="A6542" s="4">
        <v>1004000</v>
      </c>
      <c r="B6542">
        <v>7150000</v>
      </c>
    </row>
    <row r="6543" spans="1:2" x14ac:dyDescent="0.4">
      <c r="A6543" s="4">
        <v>1004000</v>
      </c>
      <c r="B6543">
        <v>7160000</v>
      </c>
    </row>
    <row r="6544" spans="1:2" x14ac:dyDescent="0.4">
      <c r="A6544" s="4">
        <v>1004000</v>
      </c>
      <c r="B6544">
        <v>7220000</v>
      </c>
    </row>
    <row r="6545" spans="1:2" x14ac:dyDescent="0.4">
      <c r="A6545" s="4">
        <v>1004000</v>
      </c>
      <c r="B6545">
        <v>7230000</v>
      </c>
    </row>
    <row r="6546" spans="1:2" x14ac:dyDescent="0.4">
      <c r="A6546" s="4">
        <v>1004000</v>
      </c>
      <c r="B6546">
        <v>7240000</v>
      </c>
    </row>
    <row r="6547" spans="1:2" x14ac:dyDescent="0.4">
      <c r="A6547" s="4">
        <v>1004000</v>
      </c>
      <c r="B6547">
        <v>7260000</v>
      </c>
    </row>
    <row r="6548" spans="1:2" x14ac:dyDescent="0.4">
      <c r="A6548" s="4">
        <v>1004000</v>
      </c>
      <c r="B6548">
        <v>7260300</v>
      </c>
    </row>
    <row r="6549" spans="1:2" x14ac:dyDescent="0.4">
      <c r="A6549" s="4">
        <v>1004000</v>
      </c>
      <c r="B6549">
        <v>7260400</v>
      </c>
    </row>
    <row r="6550" spans="1:2" x14ac:dyDescent="0.4">
      <c r="A6550" s="4">
        <v>1004000</v>
      </c>
      <c r="B6550">
        <v>7270100</v>
      </c>
    </row>
    <row r="6551" spans="1:2" x14ac:dyDescent="0.4">
      <c r="A6551" s="4">
        <v>1004000</v>
      </c>
      <c r="B6551">
        <v>7280000</v>
      </c>
    </row>
    <row r="6552" spans="1:2" x14ac:dyDescent="0.4">
      <c r="A6552" s="4">
        <v>1004000</v>
      </c>
      <c r="B6552">
        <v>7290000</v>
      </c>
    </row>
    <row r="6553" spans="1:2" x14ac:dyDescent="0.4">
      <c r="A6553" s="4">
        <v>1004000</v>
      </c>
      <c r="B6553">
        <v>7310000</v>
      </c>
    </row>
    <row r="6554" spans="1:2" x14ac:dyDescent="0.4">
      <c r="A6554" s="4">
        <v>1004000</v>
      </c>
      <c r="B6554">
        <v>7330000</v>
      </c>
    </row>
    <row r="6555" spans="1:2" x14ac:dyDescent="0.4">
      <c r="A6555" s="4">
        <v>1004000</v>
      </c>
      <c r="B6555">
        <v>7330100</v>
      </c>
    </row>
    <row r="6556" spans="1:2" x14ac:dyDescent="0.4">
      <c r="A6556" s="4">
        <v>1004000</v>
      </c>
      <c r="B6556">
        <v>7330200</v>
      </c>
    </row>
    <row r="6557" spans="1:2" x14ac:dyDescent="0.4">
      <c r="A6557" s="4">
        <v>1004000</v>
      </c>
      <c r="B6557">
        <v>7330300</v>
      </c>
    </row>
    <row r="6558" spans="1:2" x14ac:dyDescent="0.4">
      <c r="A6558" s="4">
        <v>1004000</v>
      </c>
      <c r="B6558">
        <v>7330400</v>
      </c>
    </row>
    <row r="6559" spans="1:2" x14ac:dyDescent="0.4">
      <c r="A6559" s="4">
        <v>1004000</v>
      </c>
      <c r="B6559">
        <v>7330500</v>
      </c>
    </row>
    <row r="6560" spans="1:2" x14ac:dyDescent="0.4">
      <c r="A6560" s="4">
        <v>1004000</v>
      </c>
      <c r="B6560">
        <v>7330600</v>
      </c>
    </row>
    <row r="6561" spans="1:2" x14ac:dyDescent="0.4">
      <c r="A6561" s="4">
        <v>1004000</v>
      </c>
      <c r="B6561">
        <v>7330700</v>
      </c>
    </row>
    <row r="6562" spans="1:2" x14ac:dyDescent="0.4">
      <c r="A6562" s="4">
        <v>1004000</v>
      </c>
      <c r="B6562">
        <v>7330800</v>
      </c>
    </row>
    <row r="6563" spans="1:2" x14ac:dyDescent="0.4">
      <c r="A6563" s="4">
        <v>1004000</v>
      </c>
      <c r="B6563">
        <v>7330900</v>
      </c>
    </row>
    <row r="6564" spans="1:2" x14ac:dyDescent="0.4">
      <c r="A6564" s="4">
        <v>1004000</v>
      </c>
      <c r="B6564">
        <v>7331000</v>
      </c>
    </row>
    <row r="6565" spans="1:2" x14ac:dyDescent="0.4">
      <c r="A6565" s="4">
        <v>1004000</v>
      </c>
      <c r="B6565">
        <v>7331100</v>
      </c>
    </row>
    <row r="6566" spans="1:2" x14ac:dyDescent="0.4">
      <c r="A6566" s="4">
        <v>1004000</v>
      </c>
      <c r="B6566">
        <v>7331200</v>
      </c>
    </row>
    <row r="6567" spans="1:2" x14ac:dyDescent="0.4">
      <c r="A6567" s="4">
        <v>1004000</v>
      </c>
      <c r="B6567">
        <v>7331300</v>
      </c>
    </row>
    <row r="6568" spans="1:2" x14ac:dyDescent="0.4">
      <c r="A6568" s="4">
        <v>1004000</v>
      </c>
      <c r="B6568">
        <v>7331400</v>
      </c>
    </row>
    <row r="6569" spans="1:2" x14ac:dyDescent="0.4">
      <c r="A6569" s="4">
        <v>1004000</v>
      </c>
      <c r="B6569">
        <v>7331500</v>
      </c>
    </row>
    <row r="6570" spans="1:2" x14ac:dyDescent="0.4">
      <c r="A6570" s="4">
        <v>1004000</v>
      </c>
      <c r="B6570">
        <v>7331700</v>
      </c>
    </row>
    <row r="6571" spans="1:2" x14ac:dyDescent="0.4">
      <c r="A6571" s="4">
        <v>1004000</v>
      </c>
      <c r="B6571">
        <v>7331800</v>
      </c>
    </row>
    <row r="6572" spans="1:2" x14ac:dyDescent="0.4">
      <c r="A6572" s="4">
        <v>1004000</v>
      </c>
      <c r="B6572">
        <v>7331900</v>
      </c>
    </row>
    <row r="6573" spans="1:2" x14ac:dyDescent="0.4">
      <c r="A6573" s="4">
        <v>1004000</v>
      </c>
      <c r="B6573">
        <v>7332000</v>
      </c>
    </row>
    <row r="6574" spans="1:2" x14ac:dyDescent="0.4">
      <c r="A6574" s="4">
        <v>1004000</v>
      </c>
      <c r="B6574">
        <v>7332100</v>
      </c>
    </row>
    <row r="6575" spans="1:2" x14ac:dyDescent="0.4">
      <c r="A6575" s="4">
        <v>1004000</v>
      </c>
      <c r="B6575">
        <v>7332200</v>
      </c>
    </row>
    <row r="6576" spans="1:2" x14ac:dyDescent="0.4">
      <c r="A6576" s="4">
        <v>1004000</v>
      </c>
      <c r="B6576">
        <v>7332300</v>
      </c>
    </row>
    <row r="6577" spans="1:2" x14ac:dyDescent="0.4">
      <c r="A6577" s="4">
        <v>1004000</v>
      </c>
      <c r="B6577">
        <v>7332400</v>
      </c>
    </row>
    <row r="6578" spans="1:2" x14ac:dyDescent="0.4">
      <c r="A6578" s="4">
        <v>1004000</v>
      </c>
      <c r="B6578">
        <v>7340000</v>
      </c>
    </row>
    <row r="6579" spans="1:2" x14ac:dyDescent="0.4">
      <c r="A6579" s="4">
        <v>1004000</v>
      </c>
      <c r="B6579">
        <v>7340100</v>
      </c>
    </row>
    <row r="6580" spans="1:2" x14ac:dyDescent="0.4">
      <c r="A6580" s="4">
        <v>1004000</v>
      </c>
      <c r="B6580">
        <v>7340200</v>
      </c>
    </row>
    <row r="6581" spans="1:2" x14ac:dyDescent="0.4">
      <c r="A6581" s="4">
        <v>1004000</v>
      </c>
      <c r="B6581">
        <v>7340300</v>
      </c>
    </row>
    <row r="6582" spans="1:2" x14ac:dyDescent="0.4">
      <c r="A6582" s="4">
        <v>1004000</v>
      </c>
      <c r="B6582">
        <v>7340400</v>
      </c>
    </row>
    <row r="6583" spans="1:2" x14ac:dyDescent="0.4">
      <c r="A6583" s="4">
        <v>1004000</v>
      </c>
      <c r="B6583">
        <v>7340500</v>
      </c>
    </row>
    <row r="6584" spans="1:2" x14ac:dyDescent="0.4">
      <c r="A6584" s="4">
        <v>1004000</v>
      </c>
      <c r="B6584">
        <v>7340600</v>
      </c>
    </row>
    <row r="6585" spans="1:2" x14ac:dyDescent="0.4">
      <c r="A6585" s="4">
        <v>1004000</v>
      </c>
      <c r="B6585">
        <v>7340700</v>
      </c>
    </row>
    <row r="6586" spans="1:2" x14ac:dyDescent="0.4">
      <c r="A6586" s="4">
        <v>1004000</v>
      </c>
      <c r="B6586">
        <v>7340800</v>
      </c>
    </row>
    <row r="6587" spans="1:2" x14ac:dyDescent="0.4">
      <c r="A6587" s="4">
        <v>1004000</v>
      </c>
      <c r="B6587">
        <v>7340900</v>
      </c>
    </row>
    <row r="6588" spans="1:2" x14ac:dyDescent="0.4">
      <c r="A6588" s="4">
        <v>1004000</v>
      </c>
      <c r="B6588">
        <v>7341000</v>
      </c>
    </row>
    <row r="6589" spans="1:2" x14ac:dyDescent="0.4">
      <c r="A6589" s="4">
        <v>1004000</v>
      </c>
      <c r="B6589">
        <v>7341100</v>
      </c>
    </row>
    <row r="6590" spans="1:2" x14ac:dyDescent="0.4">
      <c r="A6590" s="4">
        <v>1004000</v>
      </c>
      <c r="B6590">
        <v>7341200</v>
      </c>
    </row>
    <row r="6591" spans="1:2" x14ac:dyDescent="0.4">
      <c r="A6591" s="4">
        <v>1004000</v>
      </c>
      <c r="B6591">
        <v>7341300</v>
      </c>
    </row>
    <row r="6592" spans="1:2" x14ac:dyDescent="0.4">
      <c r="A6592" s="4">
        <v>1004000</v>
      </c>
      <c r="B6592">
        <v>7341400</v>
      </c>
    </row>
    <row r="6593" spans="1:2" x14ac:dyDescent="0.4">
      <c r="A6593" s="4">
        <v>1004000</v>
      </c>
      <c r="B6593">
        <v>7341500</v>
      </c>
    </row>
    <row r="6594" spans="1:2" x14ac:dyDescent="0.4">
      <c r="A6594" s="4">
        <v>1004000</v>
      </c>
      <c r="B6594">
        <v>7341700</v>
      </c>
    </row>
    <row r="6595" spans="1:2" x14ac:dyDescent="0.4">
      <c r="A6595" s="4">
        <v>1004000</v>
      </c>
      <c r="B6595">
        <v>7341800</v>
      </c>
    </row>
    <row r="6596" spans="1:2" x14ac:dyDescent="0.4">
      <c r="A6596" s="4">
        <v>1004000</v>
      </c>
      <c r="B6596">
        <v>7341900</v>
      </c>
    </row>
    <row r="6597" spans="1:2" x14ac:dyDescent="0.4">
      <c r="A6597" s="4">
        <v>1004000</v>
      </c>
      <c r="B6597">
        <v>7342000</v>
      </c>
    </row>
    <row r="6598" spans="1:2" x14ac:dyDescent="0.4">
      <c r="A6598" s="4">
        <v>1004000</v>
      </c>
      <c r="B6598">
        <v>7342100</v>
      </c>
    </row>
    <row r="6599" spans="1:2" x14ac:dyDescent="0.4">
      <c r="A6599" s="4">
        <v>1004000</v>
      </c>
      <c r="B6599">
        <v>7342200</v>
      </c>
    </row>
    <row r="6600" spans="1:2" x14ac:dyDescent="0.4">
      <c r="A6600" s="4">
        <v>1004000</v>
      </c>
      <c r="B6600">
        <v>7342300</v>
      </c>
    </row>
    <row r="6601" spans="1:2" x14ac:dyDescent="0.4">
      <c r="A6601" s="4">
        <v>1004000</v>
      </c>
      <c r="B6601">
        <v>7342400</v>
      </c>
    </row>
    <row r="6602" spans="1:2" x14ac:dyDescent="0.4">
      <c r="A6602" s="4">
        <v>1004000</v>
      </c>
      <c r="B6602">
        <v>7350000</v>
      </c>
    </row>
    <row r="6603" spans="1:2" x14ac:dyDescent="0.4">
      <c r="A6603" s="4">
        <v>1004000</v>
      </c>
      <c r="B6603">
        <v>7350100</v>
      </c>
    </row>
    <row r="6604" spans="1:2" x14ac:dyDescent="0.4">
      <c r="A6604" s="4">
        <v>1004000</v>
      </c>
      <c r="B6604">
        <v>7350200</v>
      </c>
    </row>
    <row r="6605" spans="1:2" x14ac:dyDescent="0.4">
      <c r="A6605" s="4">
        <v>1004000</v>
      </c>
      <c r="B6605">
        <v>7350300</v>
      </c>
    </row>
    <row r="6606" spans="1:2" x14ac:dyDescent="0.4">
      <c r="A6606" s="4">
        <v>1004000</v>
      </c>
      <c r="B6606">
        <v>7350400</v>
      </c>
    </row>
    <row r="6607" spans="1:2" x14ac:dyDescent="0.4">
      <c r="A6607" s="4">
        <v>1004000</v>
      </c>
      <c r="B6607">
        <v>7350500</v>
      </c>
    </row>
    <row r="6608" spans="1:2" x14ac:dyDescent="0.4">
      <c r="A6608" s="4">
        <v>1004000</v>
      </c>
      <c r="B6608">
        <v>7350600</v>
      </c>
    </row>
    <row r="6609" spans="1:2" x14ac:dyDescent="0.4">
      <c r="A6609" s="4">
        <v>1004000</v>
      </c>
      <c r="B6609">
        <v>7350700</v>
      </c>
    </row>
    <row r="6610" spans="1:2" x14ac:dyDescent="0.4">
      <c r="A6610" s="4">
        <v>1004000</v>
      </c>
      <c r="B6610">
        <v>7350800</v>
      </c>
    </row>
    <row r="6611" spans="1:2" x14ac:dyDescent="0.4">
      <c r="A6611" s="4">
        <v>1004000</v>
      </c>
      <c r="B6611">
        <v>7350900</v>
      </c>
    </row>
    <row r="6612" spans="1:2" x14ac:dyDescent="0.4">
      <c r="A6612" s="4">
        <v>1004000</v>
      </c>
      <c r="B6612">
        <v>7351000</v>
      </c>
    </row>
    <row r="6613" spans="1:2" x14ac:dyDescent="0.4">
      <c r="A6613" s="4">
        <v>1004000</v>
      </c>
      <c r="B6613">
        <v>7351100</v>
      </c>
    </row>
    <row r="6614" spans="1:2" x14ac:dyDescent="0.4">
      <c r="A6614" s="4">
        <v>1004000</v>
      </c>
      <c r="B6614">
        <v>7351200</v>
      </c>
    </row>
    <row r="6615" spans="1:2" x14ac:dyDescent="0.4">
      <c r="A6615" s="4">
        <v>1004000</v>
      </c>
      <c r="B6615">
        <v>7351300</v>
      </c>
    </row>
    <row r="6616" spans="1:2" x14ac:dyDescent="0.4">
      <c r="A6616" s="4">
        <v>1004000</v>
      </c>
      <c r="B6616">
        <v>7351400</v>
      </c>
    </row>
    <row r="6617" spans="1:2" x14ac:dyDescent="0.4">
      <c r="A6617" s="4">
        <v>1004000</v>
      </c>
      <c r="B6617">
        <v>7351500</v>
      </c>
    </row>
    <row r="6618" spans="1:2" x14ac:dyDescent="0.4">
      <c r="A6618" s="4">
        <v>1004000</v>
      </c>
      <c r="B6618">
        <v>7351700</v>
      </c>
    </row>
    <row r="6619" spans="1:2" x14ac:dyDescent="0.4">
      <c r="A6619" s="4">
        <v>1004000</v>
      </c>
      <c r="B6619">
        <v>7351800</v>
      </c>
    </row>
    <row r="6620" spans="1:2" x14ac:dyDescent="0.4">
      <c r="A6620" s="4">
        <v>1004000</v>
      </c>
      <c r="B6620">
        <v>7351900</v>
      </c>
    </row>
    <row r="6621" spans="1:2" x14ac:dyDescent="0.4">
      <c r="A6621" s="4">
        <v>1004000</v>
      </c>
      <c r="B6621">
        <v>7352000</v>
      </c>
    </row>
    <row r="6622" spans="1:2" x14ac:dyDescent="0.4">
      <c r="A6622" s="4">
        <v>1004000</v>
      </c>
      <c r="B6622">
        <v>7352100</v>
      </c>
    </row>
    <row r="6623" spans="1:2" x14ac:dyDescent="0.4">
      <c r="A6623" s="4">
        <v>1004000</v>
      </c>
      <c r="B6623">
        <v>7352200</v>
      </c>
    </row>
    <row r="6624" spans="1:2" x14ac:dyDescent="0.4">
      <c r="A6624" s="4">
        <v>1004000</v>
      </c>
      <c r="B6624">
        <v>7352300</v>
      </c>
    </row>
    <row r="6625" spans="1:2" x14ac:dyDescent="0.4">
      <c r="A6625" s="4">
        <v>1004000</v>
      </c>
      <c r="B6625">
        <v>7352400</v>
      </c>
    </row>
    <row r="6626" spans="1:2" x14ac:dyDescent="0.4">
      <c r="A6626" s="4">
        <v>1004000</v>
      </c>
      <c r="B6626">
        <v>7360600</v>
      </c>
    </row>
    <row r="6627" spans="1:2" x14ac:dyDescent="0.4">
      <c r="A6627" s="4">
        <v>1004000</v>
      </c>
      <c r="B6627">
        <v>7360900</v>
      </c>
    </row>
    <row r="6628" spans="1:2" x14ac:dyDescent="0.4">
      <c r="A6628" s="4">
        <v>1004000</v>
      </c>
      <c r="B6628">
        <v>7361200</v>
      </c>
    </row>
    <row r="6629" spans="1:2" x14ac:dyDescent="0.4">
      <c r="A6629" s="4">
        <v>1004000</v>
      </c>
      <c r="B6629">
        <v>7361300</v>
      </c>
    </row>
    <row r="6630" spans="1:2" x14ac:dyDescent="0.4">
      <c r="A6630" s="4">
        <v>1004000</v>
      </c>
      <c r="B6630">
        <v>7362100</v>
      </c>
    </row>
    <row r="6631" spans="1:2" x14ac:dyDescent="0.4">
      <c r="A6631" s="4">
        <v>1004000</v>
      </c>
      <c r="B6631">
        <v>7370300</v>
      </c>
    </row>
    <row r="6632" spans="1:2" x14ac:dyDescent="0.4">
      <c r="A6632" s="4">
        <v>1004000</v>
      </c>
      <c r="B6632">
        <v>7370400</v>
      </c>
    </row>
    <row r="6633" spans="1:2" x14ac:dyDescent="0.4">
      <c r="A6633" s="4">
        <v>1004000</v>
      </c>
      <c r="B6633">
        <v>7370600</v>
      </c>
    </row>
    <row r="6634" spans="1:2" x14ac:dyDescent="0.4">
      <c r="A6634" s="4">
        <v>1004000</v>
      </c>
      <c r="B6634">
        <v>7370900</v>
      </c>
    </row>
    <row r="6635" spans="1:2" x14ac:dyDescent="0.4">
      <c r="A6635" s="4">
        <v>1004000</v>
      </c>
      <c r="B6635">
        <v>7371500</v>
      </c>
    </row>
    <row r="6636" spans="1:2" x14ac:dyDescent="0.4">
      <c r="A6636" s="4">
        <v>1004000</v>
      </c>
      <c r="B6636">
        <v>7036200</v>
      </c>
    </row>
    <row r="6637" spans="1:2" x14ac:dyDescent="0.4">
      <c r="A6637" s="4">
        <v>1004000</v>
      </c>
      <c r="B6637">
        <v>7036300</v>
      </c>
    </row>
    <row r="6638" spans="1:2" x14ac:dyDescent="0.4">
      <c r="A6638" s="4">
        <v>1004000</v>
      </c>
      <c r="B6638">
        <v>7036400</v>
      </c>
    </row>
    <row r="6639" spans="1:2" x14ac:dyDescent="0.4">
      <c r="A6639" s="4">
        <v>1004000</v>
      </c>
      <c r="B6639">
        <v>7036500</v>
      </c>
    </row>
    <row r="6640" spans="1:2" x14ac:dyDescent="0.4">
      <c r="A6640" s="4">
        <v>1004000</v>
      </c>
      <c r="B6640">
        <v>7036800</v>
      </c>
    </row>
    <row r="6641" spans="1:2" x14ac:dyDescent="0.4">
      <c r="A6641" s="4">
        <v>1004000</v>
      </c>
      <c r="B6641">
        <v>7036900</v>
      </c>
    </row>
    <row r="6642" spans="1:2" x14ac:dyDescent="0.4">
      <c r="A6642" s="4">
        <v>1004000</v>
      </c>
      <c r="B6642">
        <v>7037000</v>
      </c>
    </row>
    <row r="6643" spans="1:2" x14ac:dyDescent="0.4">
      <c r="A6643" s="4">
        <v>1004000</v>
      </c>
      <c r="B6643">
        <v>7037300</v>
      </c>
    </row>
    <row r="6644" spans="1:2" x14ac:dyDescent="0.4">
      <c r="A6644" s="4">
        <v>1004000</v>
      </c>
      <c r="B6644">
        <v>6630000</v>
      </c>
    </row>
    <row r="6645" spans="1:2" x14ac:dyDescent="0.4">
      <c r="A6645" s="4">
        <v>1004000</v>
      </c>
      <c r="B6645">
        <v>6630100</v>
      </c>
    </row>
    <row r="6646" spans="1:2" x14ac:dyDescent="0.4">
      <c r="A6646" s="4">
        <v>1004000</v>
      </c>
      <c r="B6646">
        <v>6630200</v>
      </c>
    </row>
    <row r="6647" spans="1:2" x14ac:dyDescent="0.4">
      <c r="A6647" s="4">
        <v>1004000</v>
      </c>
      <c r="B6647">
        <v>6630300</v>
      </c>
    </row>
    <row r="6648" spans="1:2" x14ac:dyDescent="0.4">
      <c r="A6648" s="4">
        <v>1004000</v>
      </c>
      <c r="B6648">
        <v>6630400</v>
      </c>
    </row>
    <row r="6649" spans="1:2" x14ac:dyDescent="0.4">
      <c r="A6649" s="4">
        <v>1004000</v>
      </c>
      <c r="B6649">
        <v>6630500</v>
      </c>
    </row>
    <row r="6650" spans="1:2" x14ac:dyDescent="0.4">
      <c r="A6650" s="4">
        <v>1004000</v>
      </c>
      <c r="B6650">
        <v>6630600</v>
      </c>
    </row>
    <row r="6651" spans="1:2" x14ac:dyDescent="0.4">
      <c r="A6651" s="4">
        <v>1004000</v>
      </c>
      <c r="B6651">
        <v>6630700</v>
      </c>
    </row>
    <row r="6652" spans="1:2" x14ac:dyDescent="0.4">
      <c r="A6652" s="4">
        <v>1004000</v>
      </c>
      <c r="B6652">
        <v>6630800</v>
      </c>
    </row>
    <row r="6653" spans="1:2" x14ac:dyDescent="0.4">
      <c r="A6653" s="4">
        <v>1004000</v>
      </c>
      <c r="B6653">
        <v>6630900</v>
      </c>
    </row>
    <row r="6654" spans="1:2" x14ac:dyDescent="0.4">
      <c r="A6654" s="4">
        <v>1004000</v>
      </c>
      <c r="B6654">
        <v>6631000</v>
      </c>
    </row>
    <row r="6655" spans="1:2" x14ac:dyDescent="0.4">
      <c r="A6655" s="4">
        <v>1004000</v>
      </c>
      <c r="B6655">
        <v>6631100</v>
      </c>
    </row>
    <row r="6656" spans="1:2" x14ac:dyDescent="0.4">
      <c r="A6656" s="4">
        <v>1004000</v>
      </c>
      <c r="B6656">
        <v>6631200</v>
      </c>
    </row>
    <row r="6657" spans="1:2" x14ac:dyDescent="0.4">
      <c r="A6657" s="4">
        <v>1004000</v>
      </c>
      <c r="B6657">
        <v>6631300</v>
      </c>
    </row>
    <row r="6658" spans="1:2" x14ac:dyDescent="0.4">
      <c r="A6658" s="4">
        <v>1004000</v>
      </c>
      <c r="B6658">
        <v>6631400</v>
      </c>
    </row>
    <row r="6659" spans="1:2" x14ac:dyDescent="0.4">
      <c r="A6659" s="4">
        <v>1004000</v>
      </c>
      <c r="B6659">
        <v>6631500</v>
      </c>
    </row>
    <row r="6660" spans="1:2" x14ac:dyDescent="0.4">
      <c r="A6660" s="4">
        <v>1004000</v>
      </c>
      <c r="B6660">
        <v>6631600</v>
      </c>
    </row>
    <row r="6661" spans="1:2" x14ac:dyDescent="0.4">
      <c r="A6661" s="4">
        <v>1004000</v>
      </c>
      <c r="B6661">
        <v>6631700</v>
      </c>
    </row>
    <row r="6662" spans="1:2" x14ac:dyDescent="0.4">
      <c r="A6662" s="4">
        <v>1004000</v>
      </c>
      <c r="B6662">
        <v>6631800</v>
      </c>
    </row>
    <row r="6663" spans="1:2" x14ac:dyDescent="0.4">
      <c r="A6663" s="4">
        <v>1004000</v>
      </c>
      <c r="B6663">
        <v>6631900</v>
      </c>
    </row>
    <row r="6664" spans="1:2" x14ac:dyDescent="0.4">
      <c r="A6664" s="4">
        <v>1004000</v>
      </c>
      <c r="B6664">
        <v>6632000</v>
      </c>
    </row>
    <row r="6665" spans="1:2" x14ac:dyDescent="0.4">
      <c r="A6665" s="4">
        <v>1004000</v>
      </c>
      <c r="B6665">
        <v>6632100</v>
      </c>
    </row>
    <row r="6666" spans="1:2" x14ac:dyDescent="0.4">
      <c r="A6666" s="4">
        <v>1004000</v>
      </c>
      <c r="B6666">
        <v>6632200</v>
      </c>
    </row>
    <row r="6667" spans="1:2" x14ac:dyDescent="0.4">
      <c r="A6667" s="4">
        <v>1004000</v>
      </c>
      <c r="B6667">
        <v>6632300</v>
      </c>
    </row>
    <row r="6668" spans="1:2" x14ac:dyDescent="0.4">
      <c r="A6668" s="4">
        <v>1004000</v>
      </c>
      <c r="B6668">
        <v>6632400</v>
      </c>
    </row>
    <row r="6669" spans="1:2" x14ac:dyDescent="0.4">
      <c r="A6669" s="4">
        <v>1004000</v>
      </c>
      <c r="B6669">
        <v>6632500</v>
      </c>
    </row>
    <row r="6670" spans="1:2" x14ac:dyDescent="0.4">
      <c r="A6670" s="4">
        <v>1004000</v>
      </c>
      <c r="B6670">
        <v>6632600</v>
      </c>
    </row>
    <row r="6671" spans="1:2" x14ac:dyDescent="0.4">
      <c r="A6671" s="4">
        <v>1004000</v>
      </c>
      <c r="B6671">
        <v>6632700</v>
      </c>
    </row>
    <row r="6672" spans="1:2" x14ac:dyDescent="0.4">
      <c r="A6672" s="4">
        <v>1004000</v>
      </c>
      <c r="B6672">
        <v>6632800</v>
      </c>
    </row>
    <row r="6673" spans="1:2" x14ac:dyDescent="0.4">
      <c r="A6673" s="4">
        <v>1004000</v>
      </c>
      <c r="B6673">
        <v>6632900</v>
      </c>
    </row>
    <row r="6674" spans="1:2" x14ac:dyDescent="0.4">
      <c r="A6674" s="4">
        <v>1004000</v>
      </c>
      <c r="B6674">
        <v>6633000</v>
      </c>
    </row>
    <row r="6675" spans="1:2" x14ac:dyDescent="0.4">
      <c r="A6675" s="4">
        <v>1004000</v>
      </c>
      <c r="B6675">
        <v>6633100</v>
      </c>
    </row>
    <row r="6676" spans="1:2" x14ac:dyDescent="0.4">
      <c r="A6676" s="4">
        <v>1004000</v>
      </c>
      <c r="B6676">
        <v>6633200</v>
      </c>
    </row>
    <row r="6677" spans="1:2" x14ac:dyDescent="0.4">
      <c r="A6677" s="4">
        <v>1004000</v>
      </c>
      <c r="B6677">
        <v>6647200</v>
      </c>
    </row>
    <row r="6678" spans="1:2" x14ac:dyDescent="0.4">
      <c r="A6678" s="4">
        <v>1004000</v>
      </c>
      <c r="B6678">
        <v>6647300</v>
      </c>
    </row>
    <row r="6679" spans="1:2" x14ac:dyDescent="0.4">
      <c r="A6679" s="4">
        <v>1004000</v>
      </c>
      <c r="B6679">
        <v>6647400</v>
      </c>
    </row>
    <row r="6680" spans="1:2" x14ac:dyDescent="0.4">
      <c r="A6680" s="4">
        <v>1004000</v>
      </c>
      <c r="B6680">
        <v>6647500</v>
      </c>
    </row>
    <row r="6681" spans="1:2" x14ac:dyDescent="0.4">
      <c r="A6681" s="4">
        <v>1004000</v>
      </c>
      <c r="B6681">
        <v>6640000</v>
      </c>
    </row>
    <row r="6682" spans="1:2" x14ac:dyDescent="0.4">
      <c r="A6682" s="4">
        <v>1004000</v>
      </c>
      <c r="B6682">
        <v>6640100</v>
      </c>
    </row>
    <row r="6683" spans="1:2" x14ac:dyDescent="0.4">
      <c r="A6683" s="4">
        <v>1004000</v>
      </c>
      <c r="B6683">
        <v>6641000</v>
      </c>
    </row>
    <row r="6684" spans="1:2" x14ac:dyDescent="0.4">
      <c r="A6684" s="4">
        <v>1004000</v>
      </c>
      <c r="B6684">
        <v>6641100</v>
      </c>
    </row>
    <row r="6685" spans="1:2" x14ac:dyDescent="0.4">
      <c r="A6685" s="4">
        <v>1004000</v>
      </c>
      <c r="B6685">
        <v>6642000</v>
      </c>
    </row>
    <row r="6686" spans="1:2" x14ac:dyDescent="0.4">
      <c r="A6686" s="4">
        <v>1004000</v>
      </c>
      <c r="B6686">
        <v>6642100</v>
      </c>
    </row>
    <row r="6687" spans="1:2" x14ac:dyDescent="0.4">
      <c r="A6687" s="4">
        <v>1004000</v>
      </c>
      <c r="B6687">
        <v>6643000</v>
      </c>
    </row>
    <row r="6688" spans="1:2" x14ac:dyDescent="0.4">
      <c r="A6688" s="4">
        <v>1004000</v>
      </c>
      <c r="B6688">
        <v>6643100</v>
      </c>
    </row>
    <row r="6689" spans="1:2" x14ac:dyDescent="0.4">
      <c r="A6689" s="4">
        <v>1004000</v>
      </c>
      <c r="B6689">
        <v>6644000</v>
      </c>
    </row>
    <row r="6690" spans="1:2" x14ac:dyDescent="0.4">
      <c r="A6690" s="4">
        <v>1004000</v>
      </c>
      <c r="B6690">
        <v>6644100</v>
      </c>
    </row>
    <row r="6691" spans="1:2" x14ac:dyDescent="0.4">
      <c r="A6691" s="4">
        <v>1004000</v>
      </c>
      <c r="B6691">
        <v>6645000</v>
      </c>
    </row>
    <row r="6692" spans="1:2" x14ac:dyDescent="0.4">
      <c r="A6692" s="4">
        <v>1004000</v>
      </c>
      <c r="B6692">
        <v>6645100</v>
      </c>
    </row>
    <row r="6693" spans="1:2" x14ac:dyDescent="0.4">
      <c r="A6693" s="4">
        <v>1004000</v>
      </c>
      <c r="B6693">
        <v>6646000</v>
      </c>
    </row>
    <row r="6694" spans="1:2" x14ac:dyDescent="0.4">
      <c r="A6694" s="4">
        <v>1004000</v>
      </c>
      <c r="B6694">
        <v>6646100</v>
      </c>
    </row>
    <row r="6695" spans="1:2" x14ac:dyDescent="0.4">
      <c r="A6695" s="4">
        <v>1004000</v>
      </c>
      <c r="B6695">
        <v>6647000</v>
      </c>
    </row>
    <row r="6696" spans="1:2" x14ac:dyDescent="0.4">
      <c r="A6696" s="4">
        <v>1004000</v>
      </c>
      <c r="B6696">
        <v>6647100</v>
      </c>
    </row>
    <row r="6697" spans="1:2" x14ac:dyDescent="0.4">
      <c r="A6697" s="4">
        <v>1004001</v>
      </c>
      <c r="B6697">
        <v>7000000</v>
      </c>
    </row>
    <row r="6698" spans="1:2" x14ac:dyDescent="0.4">
      <c r="A6698" s="4">
        <v>1004001</v>
      </c>
      <c r="B6698">
        <v>7000001</v>
      </c>
    </row>
    <row r="6699" spans="1:2" x14ac:dyDescent="0.4">
      <c r="A6699" s="4">
        <v>1004001</v>
      </c>
      <c r="B6699">
        <v>7000002</v>
      </c>
    </row>
    <row r="6700" spans="1:2" x14ac:dyDescent="0.4">
      <c r="A6700" s="4">
        <v>1004001</v>
      </c>
      <c r="B6700">
        <v>7000100</v>
      </c>
    </row>
    <row r="6701" spans="1:2" x14ac:dyDescent="0.4">
      <c r="A6701" s="4">
        <v>1004001</v>
      </c>
      <c r="B6701">
        <v>7000101</v>
      </c>
    </row>
    <row r="6702" spans="1:2" x14ac:dyDescent="0.4">
      <c r="A6702" s="4">
        <v>1004001</v>
      </c>
      <c r="B6702">
        <v>7000102</v>
      </c>
    </row>
    <row r="6703" spans="1:2" x14ac:dyDescent="0.4">
      <c r="A6703" s="4">
        <v>1004001</v>
      </c>
      <c r="B6703">
        <v>7000200</v>
      </c>
    </row>
    <row r="6704" spans="1:2" x14ac:dyDescent="0.4">
      <c r="A6704" s="4">
        <v>1004001</v>
      </c>
      <c r="B6704">
        <v>7000201</v>
      </c>
    </row>
    <row r="6705" spans="1:2" x14ac:dyDescent="0.4">
      <c r="A6705" s="4">
        <v>1004001</v>
      </c>
      <c r="B6705">
        <v>7000202</v>
      </c>
    </row>
    <row r="6706" spans="1:2" x14ac:dyDescent="0.4">
      <c r="A6706" s="4">
        <v>1004001</v>
      </c>
      <c r="B6706">
        <v>7000300</v>
      </c>
    </row>
    <row r="6707" spans="1:2" x14ac:dyDescent="0.4">
      <c r="A6707" s="4">
        <v>1004001</v>
      </c>
      <c r="B6707">
        <v>7000301</v>
      </c>
    </row>
    <row r="6708" spans="1:2" x14ac:dyDescent="0.4">
      <c r="A6708" s="4">
        <v>1004001</v>
      </c>
      <c r="B6708">
        <v>7000302</v>
      </c>
    </row>
    <row r="6709" spans="1:2" x14ac:dyDescent="0.4">
      <c r="A6709" s="4">
        <v>1004001</v>
      </c>
      <c r="B6709">
        <v>7000400</v>
      </c>
    </row>
    <row r="6710" spans="1:2" x14ac:dyDescent="0.4">
      <c r="A6710" s="4">
        <v>1004001</v>
      </c>
      <c r="B6710">
        <v>7000401</v>
      </c>
    </row>
    <row r="6711" spans="1:2" x14ac:dyDescent="0.4">
      <c r="A6711" s="4">
        <v>1004001</v>
      </c>
      <c r="B6711">
        <v>7000402</v>
      </c>
    </row>
    <row r="6712" spans="1:2" x14ac:dyDescent="0.4">
      <c r="A6712" s="4">
        <v>1004001</v>
      </c>
      <c r="B6712">
        <v>7000500</v>
      </c>
    </row>
    <row r="6713" spans="1:2" x14ac:dyDescent="0.4">
      <c r="A6713" s="4">
        <v>1004001</v>
      </c>
      <c r="B6713">
        <v>7000501</v>
      </c>
    </row>
    <row r="6714" spans="1:2" x14ac:dyDescent="0.4">
      <c r="A6714" s="4">
        <v>1004001</v>
      </c>
      <c r="B6714">
        <v>7000502</v>
      </c>
    </row>
    <row r="6715" spans="1:2" x14ac:dyDescent="0.4">
      <c r="A6715" s="4">
        <v>1004001</v>
      </c>
      <c r="B6715">
        <v>7000600</v>
      </c>
    </row>
    <row r="6716" spans="1:2" x14ac:dyDescent="0.4">
      <c r="A6716" s="4">
        <v>1004001</v>
      </c>
      <c r="B6716">
        <v>7000601</v>
      </c>
    </row>
    <row r="6717" spans="1:2" x14ac:dyDescent="0.4">
      <c r="A6717" s="4">
        <v>1004001</v>
      </c>
      <c r="B6717">
        <v>7000602</v>
      </c>
    </row>
    <row r="6718" spans="1:2" x14ac:dyDescent="0.4">
      <c r="A6718" s="4">
        <v>1004001</v>
      </c>
      <c r="B6718">
        <v>7000700</v>
      </c>
    </row>
    <row r="6719" spans="1:2" x14ac:dyDescent="0.4">
      <c r="A6719" s="4">
        <v>1004001</v>
      </c>
      <c r="B6719">
        <v>7000701</v>
      </c>
    </row>
    <row r="6720" spans="1:2" x14ac:dyDescent="0.4">
      <c r="A6720" s="4">
        <v>1004001</v>
      </c>
      <c r="B6720">
        <v>7000702</v>
      </c>
    </row>
    <row r="6721" spans="1:2" x14ac:dyDescent="0.4">
      <c r="A6721" s="4">
        <v>1004001</v>
      </c>
      <c r="B6721">
        <v>7000800</v>
      </c>
    </row>
    <row r="6722" spans="1:2" x14ac:dyDescent="0.4">
      <c r="A6722" s="4">
        <v>1004001</v>
      </c>
      <c r="B6722">
        <v>7000801</v>
      </c>
    </row>
    <row r="6723" spans="1:2" x14ac:dyDescent="0.4">
      <c r="A6723" s="4">
        <v>1004001</v>
      </c>
      <c r="B6723">
        <v>7000802</v>
      </c>
    </row>
    <row r="6724" spans="1:2" x14ac:dyDescent="0.4">
      <c r="A6724" s="4">
        <v>1004001</v>
      </c>
      <c r="B6724">
        <v>7000900</v>
      </c>
    </row>
    <row r="6725" spans="1:2" x14ac:dyDescent="0.4">
      <c r="A6725" s="4">
        <v>1004001</v>
      </c>
      <c r="B6725">
        <v>7000901</v>
      </c>
    </row>
    <row r="6726" spans="1:2" x14ac:dyDescent="0.4">
      <c r="A6726" s="4">
        <v>1004001</v>
      </c>
      <c r="B6726">
        <v>7000902</v>
      </c>
    </row>
    <row r="6727" spans="1:2" x14ac:dyDescent="0.4">
      <c r="A6727" s="4">
        <v>1004001</v>
      </c>
      <c r="B6727">
        <v>7001000</v>
      </c>
    </row>
    <row r="6728" spans="1:2" x14ac:dyDescent="0.4">
      <c r="A6728" s="4">
        <v>1004001</v>
      </c>
      <c r="B6728">
        <v>7001001</v>
      </c>
    </row>
    <row r="6729" spans="1:2" x14ac:dyDescent="0.4">
      <c r="A6729" s="4">
        <v>1004001</v>
      </c>
      <c r="B6729">
        <v>7001002</v>
      </c>
    </row>
    <row r="6730" spans="1:2" x14ac:dyDescent="0.4">
      <c r="A6730" s="4">
        <v>1004001</v>
      </c>
      <c r="B6730">
        <v>7001400</v>
      </c>
    </row>
    <row r="6731" spans="1:2" x14ac:dyDescent="0.4">
      <c r="A6731" s="4">
        <v>1004001</v>
      </c>
      <c r="B6731">
        <v>7001401</v>
      </c>
    </row>
    <row r="6732" spans="1:2" x14ac:dyDescent="0.4">
      <c r="A6732" s="4">
        <v>1004001</v>
      </c>
      <c r="B6732">
        <v>7001402</v>
      </c>
    </row>
    <row r="6733" spans="1:2" x14ac:dyDescent="0.4">
      <c r="A6733" s="4">
        <v>1004001</v>
      </c>
      <c r="B6733">
        <v>7001500</v>
      </c>
    </row>
    <row r="6734" spans="1:2" x14ac:dyDescent="0.4">
      <c r="A6734" s="4">
        <v>1004001</v>
      </c>
      <c r="B6734">
        <v>7001501</v>
      </c>
    </row>
    <row r="6735" spans="1:2" x14ac:dyDescent="0.4">
      <c r="A6735" s="4">
        <v>1004001</v>
      </c>
      <c r="B6735">
        <v>7001502</v>
      </c>
    </row>
    <row r="6736" spans="1:2" x14ac:dyDescent="0.4">
      <c r="A6736" s="4">
        <v>1004001</v>
      </c>
      <c r="B6736">
        <v>7001600</v>
      </c>
    </row>
    <row r="6737" spans="1:2" x14ac:dyDescent="0.4">
      <c r="A6737" s="4">
        <v>1004001</v>
      </c>
      <c r="B6737">
        <v>7001601</v>
      </c>
    </row>
    <row r="6738" spans="1:2" x14ac:dyDescent="0.4">
      <c r="A6738" s="4">
        <v>1004001</v>
      </c>
      <c r="B6738">
        <v>7001602</v>
      </c>
    </row>
    <row r="6739" spans="1:2" x14ac:dyDescent="0.4">
      <c r="A6739" s="4">
        <v>1004001</v>
      </c>
      <c r="B6739">
        <v>7001700</v>
      </c>
    </row>
    <row r="6740" spans="1:2" x14ac:dyDescent="0.4">
      <c r="A6740" s="4">
        <v>1004001</v>
      </c>
      <c r="B6740">
        <v>7001701</v>
      </c>
    </row>
    <row r="6741" spans="1:2" x14ac:dyDescent="0.4">
      <c r="A6741" s="4">
        <v>1004001</v>
      </c>
      <c r="B6741">
        <v>7001702</v>
      </c>
    </row>
    <row r="6742" spans="1:2" x14ac:dyDescent="0.4">
      <c r="A6742" s="4">
        <v>1004001</v>
      </c>
      <c r="B6742">
        <v>7001800</v>
      </c>
    </row>
    <row r="6743" spans="1:2" x14ac:dyDescent="0.4">
      <c r="A6743" s="4">
        <v>1004001</v>
      </c>
      <c r="B6743">
        <v>7001801</v>
      </c>
    </row>
    <row r="6744" spans="1:2" x14ac:dyDescent="0.4">
      <c r="A6744" s="4">
        <v>1004001</v>
      </c>
      <c r="B6744">
        <v>7001802</v>
      </c>
    </row>
    <row r="6745" spans="1:2" x14ac:dyDescent="0.4">
      <c r="A6745" s="4">
        <v>1004001</v>
      </c>
      <c r="B6745">
        <v>7002600</v>
      </c>
    </row>
    <row r="6746" spans="1:2" x14ac:dyDescent="0.4">
      <c r="A6746" s="4">
        <v>1004001</v>
      </c>
      <c r="B6746">
        <v>7002700</v>
      </c>
    </row>
    <row r="6747" spans="1:2" x14ac:dyDescent="0.4">
      <c r="A6747" s="4">
        <v>1004001</v>
      </c>
      <c r="B6747">
        <v>7002800</v>
      </c>
    </row>
    <row r="6748" spans="1:2" x14ac:dyDescent="0.4">
      <c r="A6748" s="4">
        <v>1004001</v>
      </c>
      <c r="B6748">
        <v>7002900</v>
      </c>
    </row>
    <row r="6749" spans="1:2" x14ac:dyDescent="0.4">
      <c r="A6749" s="4">
        <v>1004001</v>
      </c>
      <c r="B6749">
        <v>7003000</v>
      </c>
    </row>
    <row r="6750" spans="1:2" x14ac:dyDescent="0.4">
      <c r="A6750" s="4">
        <v>1004001</v>
      </c>
      <c r="B6750">
        <v>7003100</v>
      </c>
    </row>
    <row r="6751" spans="1:2" x14ac:dyDescent="0.4">
      <c r="A6751" s="4">
        <v>1004001</v>
      </c>
      <c r="B6751">
        <v>7003200</v>
      </c>
    </row>
    <row r="6752" spans="1:2" x14ac:dyDescent="0.4">
      <c r="A6752" s="4">
        <v>1004001</v>
      </c>
      <c r="B6752">
        <v>7003300</v>
      </c>
    </row>
    <row r="6753" spans="1:2" x14ac:dyDescent="0.4">
      <c r="A6753" s="4">
        <v>1004001</v>
      </c>
      <c r="B6753">
        <v>7003400</v>
      </c>
    </row>
    <row r="6754" spans="1:2" x14ac:dyDescent="0.4">
      <c r="A6754" s="4">
        <v>1004001</v>
      </c>
      <c r="B6754">
        <v>7003500</v>
      </c>
    </row>
    <row r="6755" spans="1:2" x14ac:dyDescent="0.4">
      <c r="A6755" s="4">
        <v>1004001</v>
      </c>
      <c r="B6755">
        <v>7003600</v>
      </c>
    </row>
    <row r="6756" spans="1:2" x14ac:dyDescent="0.4">
      <c r="A6756" s="4">
        <v>1004001</v>
      </c>
      <c r="B6756">
        <v>7005600</v>
      </c>
    </row>
    <row r="6757" spans="1:2" x14ac:dyDescent="0.4">
      <c r="A6757" s="4">
        <v>1004001</v>
      </c>
      <c r="B6757">
        <v>7006000</v>
      </c>
    </row>
    <row r="6758" spans="1:2" x14ac:dyDescent="0.4">
      <c r="A6758" s="4">
        <v>1004001</v>
      </c>
      <c r="B6758">
        <v>7006100</v>
      </c>
    </row>
    <row r="6759" spans="1:2" x14ac:dyDescent="0.4">
      <c r="A6759" s="4">
        <v>1004001</v>
      </c>
      <c r="B6759">
        <v>7010200</v>
      </c>
    </row>
    <row r="6760" spans="1:2" x14ac:dyDescent="0.4">
      <c r="A6760" s="4">
        <v>1004001</v>
      </c>
      <c r="B6760">
        <v>7010500</v>
      </c>
    </row>
    <row r="6761" spans="1:2" x14ac:dyDescent="0.4">
      <c r="A6761" s="4">
        <v>1004001</v>
      </c>
      <c r="B6761">
        <v>7010700</v>
      </c>
    </row>
    <row r="6762" spans="1:2" x14ac:dyDescent="0.4">
      <c r="A6762" s="4">
        <v>1004001</v>
      </c>
      <c r="B6762">
        <v>7010900</v>
      </c>
    </row>
    <row r="6763" spans="1:2" x14ac:dyDescent="0.4">
      <c r="A6763" s="4">
        <v>1004001</v>
      </c>
      <c r="B6763">
        <v>7011000</v>
      </c>
    </row>
    <row r="6764" spans="1:2" x14ac:dyDescent="0.4">
      <c r="A6764" s="4">
        <v>1004001</v>
      </c>
      <c r="B6764">
        <v>7011200</v>
      </c>
    </row>
    <row r="6765" spans="1:2" x14ac:dyDescent="0.4">
      <c r="A6765" s="4">
        <v>1004001</v>
      </c>
      <c r="B6765">
        <v>7011600</v>
      </c>
    </row>
    <row r="6766" spans="1:2" x14ac:dyDescent="0.4">
      <c r="A6766" s="4">
        <v>1004001</v>
      </c>
      <c r="B6766">
        <v>7011700</v>
      </c>
    </row>
    <row r="6767" spans="1:2" x14ac:dyDescent="0.4">
      <c r="A6767" s="4">
        <v>1004001</v>
      </c>
      <c r="B6767">
        <v>7012000</v>
      </c>
    </row>
    <row r="6768" spans="1:2" x14ac:dyDescent="0.4">
      <c r="A6768" s="4">
        <v>1004001</v>
      </c>
      <c r="B6768">
        <v>7012200</v>
      </c>
    </row>
    <row r="6769" spans="1:2" x14ac:dyDescent="0.4">
      <c r="A6769" s="4">
        <v>1004001</v>
      </c>
      <c r="B6769">
        <v>7012300</v>
      </c>
    </row>
    <row r="6770" spans="1:2" x14ac:dyDescent="0.4">
      <c r="A6770" s="4">
        <v>1004001</v>
      </c>
      <c r="B6770">
        <v>7020000</v>
      </c>
    </row>
    <row r="6771" spans="1:2" x14ac:dyDescent="0.4">
      <c r="A6771" s="4">
        <v>1004001</v>
      </c>
      <c r="B6771">
        <v>7030000</v>
      </c>
    </row>
    <row r="6772" spans="1:2" x14ac:dyDescent="0.4">
      <c r="A6772" s="4">
        <v>1004001</v>
      </c>
      <c r="B6772">
        <v>7030200</v>
      </c>
    </row>
    <row r="6773" spans="1:2" x14ac:dyDescent="0.4">
      <c r="A6773" s="4">
        <v>1004001</v>
      </c>
      <c r="B6773">
        <v>7030600</v>
      </c>
    </row>
    <row r="6774" spans="1:2" x14ac:dyDescent="0.4">
      <c r="A6774" s="4">
        <v>1004001</v>
      </c>
      <c r="B6774">
        <v>7030700</v>
      </c>
    </row>
    <row r="6775" spans="1:2" x14ac:dyDescent="0.4">
      <c r="A6775" s="4">
        <v>1004001</v>
      </c>
      <c r="B6775">
        <v>7030800</v>
      </c>
    </row>
    <row r="6776" spans="1:2" x14ac:dyDescent="0.4">
      <c r="A6776" s="4">
        <v>1004001</v>
      </c>
      <c r="B6776">
        <v>7030900</v>
      </c>
    </row>
    <row r="6777" spans="1:2" x14ac:dyDescent="0.4">
      <c r="A6777" s="4">
        <v>1004001</v>
      </c>
      <c r="B6777">
        <v>7031200</v>
      </c>
    </row>
    <row r="6778" spans="1:2" x14ac:dyDescent="0.4">
      <c r="A6778" s="4">
        <v>1004001</v>
      </c>
      <c r="B6778">
        <v>7031300</v>
      </c>
    </row>
    <row r="6779" spans="1:2" x14ac:dyDescent="0.4">
      <c r="A6779" s="4">
        <v>1004001</v>
      </c>
      <c r="B6779">
        <v>7031800</v>
      </c>
    </row>
    <row r="6780" spans="1:2" x14ac:dyDescent="0.4">
      <c r="A6780" s="4">
        <v>1004001</v>
      </c>
      <c r="B6780">
        <v>7031900</v>
      </c>
    </row>
    <row r="6781" spans="1:2" x14ac:dyDescent="0.4">
      <c r="A6781" s="4">
        <v>1004001</v>
      </c>
      <c r="B6781">
        <v>7032200</v>
      </c>
    </row>
    <row r="6782" spans="1:2" x14ac:dyDescent="0.4">
      <c r="A6782" s="4">
        <v>1004001</v>
      </c>
      <c r="B6782">
        <v>7032400</v>
      </c>
    </row>
    <row r="6783" spans="1:2" x14ac:dyDescent="0.4">
      <c r="A6783" s="4">
        <v>1004001</v>
      </c>
      <c r="B6783">
        <v>7032700</v>
      </c>
    </row>
    <row r="6784" spans="1:2" x14ac:dyDescent="0.4">
      <c r="A6784" s="4">
        <v>1004001</v>
      </c>
      <c r="B6784">
        <v>7032800</v>
      </c>
    </row>
    <row r="6785" spans="1:2" x14ac:dyDescent="0.4">
      <c r="A6785" s="4">
        <v>1004001</v>
      </c>
      <c r="B6785">
        <v>7032900</v>
      </c>
    </row>
    <row r="6786" spans="1:2" x14ac:dyDescent="0.4">
      <c r="A6786" s="4">
        <v>1004001</v>
      </c>
      <c r="B6786">
        <v>7033200</v>
      </c>
    </row>
    <row r="6787" spans="1:2" x14ac:dyDescent="0.4">
      <c r="A6787" s="4">
        <v>1004001</v>
      </c>
      <c r="B6787">
        <v>7033400</v>
      </c>
    </row>
    <row r="6788" spans="1:2" x14ac:dyDescent="0.4">
      <c r="A6788" s="4">
        <v>1004001</v>
      </c>
      <c r="B6788">
        <v>7034100</v>
      </c>
    </row>
    <row r="6789" spans="1:2" x14ac:dyDescent="0.4">
      <c r="A6789" s="4">
        <v>1004001</v>
      </c>
      <c r="B6789">
        <v>7034400</v>
      </c>
    </row>
    <row r="6790" spans="1:2" x14ac:dyDescent="0.4">
      <c r="A6790" s="4">
        <v>1004001</v>
      </c>
      <c r="B6790">
        <v>7034500</v>
      </c>
    </row>
    <row r="6791" spans="1:2" x14ac:dyDescent="0.4">
      <c r="A6791" s="4">
        <v>1004001</v>
      </c>
      <c r="B6791">
        <v>7034600</v>
      </c>
    </row>
    <row r="6792" spans="1:2" x14ac:dyDescent="0.4">
      <c r="A6792" s="4">
        <v>1004001</v>
      </c>
      <c r="B6792">
        <v>7034700</v>
      </c>
    </row>
    <row r="6793" spans="1:2" x14ac:dyDescent="0.4">
      <c r="A6793" s="4">
        <v>1004001</v>
      </c>
      <c r="B6793">
        <v>7035100</v>
      </c>
    </row>
    <row r="6794" spans="1:2" x14ac:dyDescent="0.4">
      <c r="A6794" s="4">
        <v>1004001</v>
      </c>
      <c r="B6794">
        <v>7036100</v>
      </c>
    </row>
    <row r="6795" spans="1:2" x14ac:dyDescent="0.4">
      <c r="A6795" s="4">
        <v>1004001</v>
      </c>
      <c r="B6795">
        <v>7040000</v>
      </c>
    </row>
    <row r="6796" spans="1:2" x14ac:dyDescent="0.4">
      <c r="A6796" s="4">
        <v>1004001</v>
      </c>
      <c r="B6796">
        <v>7040100</v>
      </c>
    </row>
    <row r="6797" spans="1:2" x14ac:dyDescent="0.4">
      <c r="A6797" s="4">
        <v>1004001</v>
      </c>
      <c r="B6797">
        <v>7040200</v>
      </c>
    </row>
    <row r="6798" spans="1:2" x14ac:dyDescent="0.4">
      <c r="A6798" s="4">
        <v>1004001</v>
      </c>
      <c r="B6798">
        <v>7040300</v>
      </c>
    </row>
    <row r="6799" spans="1:2" x14ac:dyDescent="0.4">
      <c r="A6799" s="4">
        <v>1004001</v>
      </c>
      <c r="B6799">
        <v>7040400</v>
      </c>
    </row>
    <row r="6800" spans="1:2" x14ac:dyDescent="0.4">
      <c r="A6800" s="4">
        <v>1004001</v>
      </c>
      <c r="B6800">
        <v>7040500</v>
      </c>
    </row>
    <row r="6801" spans="1:2" x14ac:dyDescent="0.4">
      <c r="A6801" s="4">
        <v>1004001</v>
      </c>
      <c r="B6801">
        <v>7043000</v>
      </c>
    </row>
    <row r="6802" spans="1:2" x14ac:dyDescent="0.4">
      <c r="A6802" s="4">
        <v>1004001</v>
      </c>
      <c r="B6802">
        <v>7043100</v>
      </c>
    </row>
    <row r="6803" spans="1:2" x14ac:dyDescent="0.4">
      <c r="A6803" s="4">
        <v>1004001</v>
      </c>
      <c r="B6803">
        <v>7043200</v>
      </c>
    </row>
    <row r="6804" spans="1:2" x14ac:dyDescent="0.4">
      <c r="A6804" s="4">
        <v>1004001</v>
      </c>
      <c r="B6804">
        <v>7043300</v>
      </c>
    </row>
    <row r="6805" spans="1:2" x14ac:dyDescent="0.4">
      <c r="A6805" s="4">
        <v>1004001</v>
      </c>
      <c r="B6805">
        <v>7043400</v>
      </c>
    </row>
    <row r="6806" spans="1:2" x14ac:dyDescent="0.4">
      <c r="A6806" s="4">
        <v>1004001</v>
      </c>
      <c r="B6806">
        <v>7043500</v>
      </c>
    </row>
    <row r="6807" spans="1:2" x14ac:dyDescent="0.4">
      <c r="A6807" s="4">
        <v>1004001</v>
      </c>
      <c r="B6807">
        <v>7043600</v>
      </c>
    </row>
    <row r="6808" spans="1:2" x14ac:dyDescent="0.4">
      <c r="A6808" s="4">
        <v>1004001</v>
      </c>
      <c r="B6808">
        <v>7043700</v>
      </c>
    </row>
    <row r="6809" spans="1:2" x14ac:dyDescent="0.4">
      <c r="A6809" s="4">
        <v>1004001</v>
      </c>
      <c r="B6809">
        <v>7043800</v>
      </c>
    </row>
    <row r="6810" spans="1:2" x14ac:dyDescent="0.4">
      <c r="A6810" s="4">
        <v>1004001</v>
      </c>
      <c r="B6810">
        <v>7044000</v>
      </c>
    </row>
    <row r="6811" spans="1:2" x14ac:dyDescent="0.4">
      <c r="A6811" s="4">
        <v>1004001</v>
      </c>
      <c r="B6811">
        <v>7044100</v>
      </c>
    </row>
    <row r="6812" spans="1:2" x14ac:dyDescent="0.4">
      <c r="A6812" s="4">
        <v>1004001</v>
      </c>
      <c r="B6812">
        <v>7044200</v>
      </c>
    </row>
    <row r="6813" spans="1:2" x14ac:dyDescent="0.4">
      <c r="A6813" s="4">
        <v>1004001</v>
      </c>
      <c r="B6813">
        <v>7044300</v>
      </c>
    </row>
    <row r="6814" spans="1:2" x14ac:dyDescent="0.4">
      <c r="A6814" s="4">
        <v>1004001</v>
      </c>
      <c r="B6814">
        <v>7044400</v>
      </c>
    </row>
    <row r="6815" spans="1:2" x14ac:dyDescent="0.4">
      <c r="A6815" s="4">
        <v>1004001</v>
      </c>
      <c r="B6815">
        <v>7044500</v>
      </c>
    </row>
    <row r="6816" spans="1:2" x14ac:dyDescent="0.4">
      <c r="A6816" s="4">
        <v>1004001</v>
      </c>
      <c r="B6816">
        <v>7044600</v>
      </c>
    </row>
    <row r="6817" spans="1:2" x14ac:dyDescent="0.4">
      <c r="A6817" s="4">
        <v>1004001</v>
      </c>
      <c r="B6817">
        <v>7050000</v>
      </c>
    </row>
    <row r="6818" spans="1:2" x14ac:dyDescent="0.4">
      <c r="A6818" s="4">
        <v>1004001</v>
      </c>
      <c r="B6818">
        <v>7050100</v>
      </c>
    </row>
    <row r="6819" spans="1:2" x14ac:dyDescent="0.4">
      <c r="A6819" s="4">
        <v>1004001</v>
      </c>
      <c r="B6819">
        <v>7060000</v>
      </c>
    </row>
    <row r="6820" spans="1:2" x14ac:dyDescent="0.4">
      <c r="A6820" s="4">
        <v>1004001</v>
      </c>
      <c r="B6820">
        <v>7060100</v>
      </c>
    </row>
    <row r="6821" spans="1:2" x14ac:dyDescent="0.4">
      <c r="A6821" s="4">
        <v>1004001</v>
      </c>
      <c r="B6821">
        <v>7060200</v>
      </c>
    </row>
    <row r="6822" spans="1:2" x14ac:dyDescent="0.4">
      <c r="A6822" s="4">
        <v>1004001</v>
      </c>
      <c r="B6822">
        <v>7070000</v>
      </c>
    </row>
    <row r="6823" spans="1:2" x14ac:dyDescent="0.4">
      <c r="A6823" s="4">
        <v>1004001</v>
      </c>
      <c r="B6823">
        <v>7080000</v>
      </c>
    </row>
    <row r="6824" spans="1:2" x14ac:dyDescent="0.4">
      <c r="A6824" s="4">
        <v>1004001</v>
      </c>
      <c r="B6824">
        <v>7080100</v>
      </c>
    </row>
    <row r="6825" spans="1:2" x14ac:dyDescent="0.4">
      <c r="A6825" s="4">
        <v>1004001</v>
      </c>
      <c r="B6825">
        <v>7080200</v>
      </c>
    </row>
    <row r="6826" spans="1:2" x14ac:dyDescent="0.4">
      <c r="A6826" s="4">
        <v>1004001</v>
      </c>
      <c r="B6826">
        <v>7080300</v>
      </c>
    </row>
    <row r="6827" spans="1:2" x14ac:dyDescent="0.4">
      <c r="A6827" s="4">
        <v>1004001</v>
      </c>
      <c r="B6827">
        <v>7080400</v>
      </c>
    </row>
    <row r="6828" spans="1:2" x14ac:dyDescent="0.4">
      <c r="A6828" s="4">
        <v>1004001</v>
      </c>
      <c r="B6828">
        <v>7080500</v>
      </c>
    </row>
    <row r="6829" spans="1:2" x14ac:dyDescent="0.4">
      <c r="A6829" s="4">
        <v>1004001</v>
      </c>
      <c r="B6829">
        <v>7080600</v>
      </c>
    </row>
    <row r="6830" spans="1:2" x14ac:dyDescent="0.4">
      <c r="A6830" s="4">
        <v>1004001</v>
      </c>
      <c r="B6830">
        <v>7080700</v>
      </c>
    </row>
    <row r="6831" spans="1:2" x14ac:dyDescent="0.4">
      <c r="A6831" s="4">
        <v>1004001</v>
      </c>
      <c r="B6831">
        <v>7080800</v>
      </c>
    </row>
    <row r="6832" spans="1:2" x14ac:dyDescent="0.4">
      <c r="A6832" s="4">
        <v>1004001</v>
      </c>
      <c r="B6832">
        <v>7080900</v>
      </c>
    </row>
    <row r="6833" spans="1:2" x14ac:dyDescent="0.4">
      <c r="A6833" s="4">
        <v>1004001</v>
      </c>
      <c r="B6833">
        <v>7081000</v>
      </c>
    </row>
    <row r="6834" spans="1:2" x14ac:dyDescent="0.4">
      <c r="A6834" s="4">
        <v>1004001</v>
      </c>
      <c r="B6834">
        <v>7081100</v>
      </c>
    </row>
    <row r="6835" spans="1:2" x14ac:dyDescent="0.4">
      <c r="A6835" s="4">
        <v>1004001</v>
      </c>
      <c r="B6835">
        <v>7081200</v>
      </c>
    </row>
    <row r="6836" spans="1:2" x14ac:dyDescent="0.4">
      <c r="A6836" s="4">
        <v>1004001</v>
      </c>
      <c r="B6836">
        <v>7081300</v>
      </c>
    </row>
    <row r="6837" spans="1:2" x14ac:dyDescent="0.4">
      <c r="A6837" s="4">
        <v>1004001</v>
      </c>
      <c r="B6837">
        <v>7081400</v>
      </c>
    </row>
    <row r="6838" spans="1:2" x14ac:dyDescent="0.4">
      <c r="A6838" s="4">
        <v>1004001</v>
      </c>
      <c r="B6838">
        <v>7081500</v>
      </c>
    </row>
    <row r="6839" spans="1:2" x14ac:dyDescent="0.4">
      <c r="A6839" s="4">
        <v>1004001</v>
      </c>
      <c r="B6839">
        <v>7081700</v>
      </c>
    </row>
    <row r="6840" spans="1:2" x14ac:dyDescent="0.4">
      <c r="A6840" s="4">
        <v>1004001</v>
      </c>
      <c r="B6840">
        <v>7081800</v>
      </c>
    </row>
    <row r="6841" spans="1:2" x14ac:dyDescent="0.4">
      <c r="A6841" s="4">
        <v>1004001</v>
      </c>
      <c r="B6841">
        <v>7081900</v>
      </c>
    </row>
    <row r="6842" spans="1:2" x14ac:dyDescent="0.4">
      <c r="A6842" s="4">
        <v>1004001</v>
      </c>
      <c r="B6842">
        <v>7082000</v>
      </c>
    </row>
    <row r="6843" spans="1:2" x14ac:dyDescent="0.4">
      <c r="A6843" s="4">
        <v>1004001</v>
      </c>
      <c r="B6843">
        <v>7082100</v>
      </c>
    </row>
    <row r="6844" spans="1:2" x14ac:dyDescent="0.4">
      <c r="A6844" s="4">
        <v>1004001</v>
      </c>
      <c r="B6844">
        <v>7082200</v>
      </c>
    </row>
    <row r="6845" spans="1:2" x14ac:dyDescent="0.4">
      <c r="A6845" s="4">
        <v>1004001</v>
      </c>
      <c r="B6845">
        <v>7082300</v>
      </c>
    </row>
    <row r="6846" spans="1:2" x14ac:dyDescent="0.4">
      <c r="A6846" s="4">
        <v>1004001</v>
      </c>
      <c r="B6846">
        <v>7082400</v>
      </c>
    </row>
    <row r="6847" spans="1:2" x14ac:dyDescent="0.4">
      <c r="A6847" s="4">
        <v>1004001</v>
      </c>
      <c r="B6847">
        <v>7082500</v>
      </c>
    </row>
    <row r="6848" spans="1:2" x14ac:dyDescent="0.4">
      <c r="A6848" s="4">
        <v>1004001</v>
      </c>
      <c r="B6848">
        <v>7082600</v>
      </c>
    </row>
    <row r="6849" spans="1:2" x14ac:dyDescent="0.4">
      <c r="A6849" s="4">
        <v>1004001</v>
      </c>
      <c r="B6849">
        <v>7082700</v>
      </c>
    </row>
    <row r="6850" spans="1:2" x14ac:dyDescent="0.4">
      <c r="A6850" s="4">
        <v>1004001</v>
      </c>
      <c r="B6850">
        <v>7082800</v>
      </c>
    </row>
    <row r="6851" spans="1:2" x14ac:dyDescent="0.4">
      <c r="A6851" s="4">
        <v>1004001</v>
      </c>
      <c r="B6851">
        <v>7082900</v>
      </c>
    </row>
    <row r="6852" spans="1:2" x14ac:dyDescent="0.4">
      <c r="A6852" s="4">
        <v>1004001</v>
      </c>
      <c r="B6852">
        <v>7090000</v>
      </c>
    </row>
    <row r="6853" spans="1:2" x14ac:dyDescent="0.4">
      <c r="A6853" s="4">
        <v>1004001</v>
      </c>
      <c r="B6853">
        <v>7090100</v>
      </c>
    </row>
    <row r="6854" spans="1:2" x14ac:dyDescent="0.4">
      <c r="A6854" s="4">
        <v>1004001</v>
      </c>
      <c r="B6854">
        <v>7090300</v>
      </c>
    </row>
    <row r="6855" spans="1:2" x14ac:dyDescent="0.4">
      <c r="A6855" s="4">
        <v>1004001</v>
      </c>
      <c r="B6855">
        <v>7100100</v>
      </c>
    </row>
    <row r="6856" spans="1:2" x14ac:dyDescent="0.4">
      <c r="A6856" s="4">
        <v>1004001</v>
      </c>
      <c r="B6856">
        <v>7110000</v>
      </c>
    </row>
    <row r="6857" spans="1:2" x14ac:dyDescent="0.4">
      <c r="A6857" s="4">
        <v>1004001</v>
      </c>
      <c r="B6857">
        <v>7120000</v>
      </c>
    </row>
    <row r="6858" spans="1:2" x14ac:dyDescent="0.4">
      <c r="A6858" s="4">
        <v>1004001</v>
      </c>
      <c r="B6858">
        <v>7120100</v>
      </c>
    </row>
    <row r="6859" spans="1:2" x14ac:dyDescent="0.4">
      <c r="A6859" s="4">
        <v>1004001</v>
      </c>
      <c r="B6859">
        <v>7120200</v>
      </c>
    </row>
    <row r="6860" spans="1:2" x14ac:dyDescent="0.4">
      <c r="A6860" s="4">
        <v>1004001</v>
      </c>
      <c r="B6860">
        <v>7120300</v>
      </c>
    </row>
    <row r="6861" spans="1:2" x14ac:dyDescent="0.4">
      <c r="A6861" s="4">
        <v>1004001</v>
      </c>
      <c r="B6861">
        <v>7120400</v>
      </c>
    </row>
    <row r="6862" spans="1:2" x14ac:dyDescent="0.4">
      <c r="A6862" s="4">
        <v>1004001</v>
      </c>
      <c r="B6862">
        <v>7120500</v>
      </c>
    </row>
    <row r="6863" spans="1:2" x14ac:dyDescent="0.4">
      <c r="A6863" s="4">
        <v>1004001</v>
      </c>
      <c r="B6863">
        <v>7120600</v>
      </c>
    </row>
    <row r="6864" spans="1:2" x14ac:dyDescent="0.4">
      <c r="A6864" s="4">
        <v>1004001</v>
      </c>
      <c r="B6864">
        <v>7120900</v>
      </c>
    </row>
    <row r="6865" spans="1:2" x14ac:dyDescent="0.4">
      <c r="A6865" s="4">
        <v>1004001</v>
      </c>
      <c r="B6865">
        <v>7121000</v>
      </c>
    </row>
    <row r="6866" spans="1:2" x14ac:dyDescent="0.4">
      <c r="A6866" s="4">
        <v>1004001</v>
      </c>
      <c r="B6866">
        <v>7121100</v>
      </c>
    </row>
    <row r="6867" spans="1:2" x14ac:dyDescent="0.4">
      <c r="A6867" s="4">
        <v>1004001</v>
      </c>
      <c r="B6867">
        <v>7121200</v>
      </c>
    </row>
    <row r="6868" spans="1:2" x14ac:dyDescent="0.4">
      <c r="A6868" s="4">
        <v>1004001</v>
      </c>
      <c r="B6868">
        <v>7121300</v>
      </c>
    </row>
    <row r="6869" spans="1:2" x14ac:dyDescent="0.4">
      <c r="A6869" s="4">
        <v>1004001</v>
      </c>
      <c r="B6869">
        <v>7121400</v>
      </c>
    </row>
    <row r="6870" spans="1:2" x14ac:dyDescent="0.4">
      <c r="A6870" s="4">
        <v>1004001</v>
      </c>
      <c r="B6870">
        <v>7121500</v>
      </c>
    </row>
    <row r="6871" spans="1:2" x14ac:dyDescent="0.4">
      <c r="A6871" s="4">
        <v>1004001</v>
      </c>
      <c r="B6871">
        <v>7121600</v>
      </c>
    </row>
    <row r="6872" spans="1:2" x14ac:dyDescent="0.4">
      <c r="A6872" s="4">
        <v>1004001</v>
      </c>
      <c r="B6872">
        <v>7121700</v>
      </c>
    </row>
    <row r="6873" spans="1:2" x14ac:dyDescent="0.4">
      <c r="A6873" s="4">
        <v>1004001</v>
      </c>
      <c r="B6873">
        <v>7121800</v>
      </c>
    </row>
    <row r="6874" spans="1:2" x14ac:dyDescent="0.4">
      <c r="A6874" s="4">
        <v>1004001</v>
      </c>
      <c r="B6874">
        <v>7121900</v>
      </c>
    </row>
    <row r="6875" spans="1:2" x14ac:dyDescent="0.4">
      <c r="A6875" s="4">
        <v>1004001</v>
      </c>
      <c r="B6875">
        <v>7122000</v>
      </c>
    </row>
    <row r="6876" spans="1:2" x14ac:dyDescent="0.4">
      <c r="A6876" s="4">
        <v>1004001</v>
      </c>
      <c r="B6876">
        <v>7122100</v>
      </c>
    </row>
    <row r="6877" spans="1:2" x14ac:dyDescent="0.4">
      <c r="A6877" s="4">
        <v>1004001</v>
      </c>
      <c r="B6877">
        <v>7122200</v>
      </c>
    </row>
    <row r="6878" spans="1:2" x14ac:dyDescent="0.4">
      <c r="A6878" s="4">
        <v>1004001</v>
      </c>
      <c r="B6878">
        <v>7122300</v>
      </c>
    </row>
    <row r="6879" spans="1:2" x14ac:dyDescent="0.4">
      <c r="A6879" s="4">
        <v>1004001</v>
      </c>
      <c r="B6879">
        <v>7122400</v>
      </c>
    </row>
    <row r="6880" spans="1:2" x14ac:dyDescent="0.4">
      <c r="A6880" s="4">
        <v>1004001</v>
      </c>
      <c r="B6880">
        <v>7122500</v>
      </c>
    </row>
    <row r="6881" spans="1:2" x14ac:dyDescent="0.4">
      <c r="A6881" s="4">
        <v>1004001</v>
      </c>
      <c r="B6881">
        <v>7122600</v>
      </c>
    </row>
    <row r="6882" spans="1:2" x14ac:dyDescent="0.4">
      <c r="A6882" s="4">
        <v>1004001</v>
      </c>
      <c r="B6882">
        <v>7122700</v>
      </c>
    </row>
    <row r="6883" spans="1:2" x14ac:dyDescent="0.4">
      <c r="A6883" s="4">
        <v>1004001</v>
      </c>
      <c r="B6883">
        <v>7122800</v>
      </c>
    </row>
    <row r="6884" spans="1:2" x14ac:dyDescent="0.4">
      <c r="A6884" s="4">
        <v>1004001</v>
      </c>
      <c r="B6884">
        <v>7122900</v>
      </c>
    </row>
    <row r="6885" spans="1:2" x14ac:dyDescent="0.4">
      <c r="A6885" s="4">
        <v>1004001</v>
      </c>
      <c r="B6885">
        <v>7123000</v>
      </c>
    </row>
    <row r="6886" spans="1:2" x14ac:dyDescent="0.4">
      <c r="A6886" s="4">
        <v>1004001</v>
      </c>
      <c r="B6886">
        <v>7123100</v>
      </c>
    </row>
    <row r="6887" spans="1:2" x14ac:dyDescent="0.4">
      <c r="A6887" s="4">
        <v>1004001</v>
      </c>
      <c r="B6887">
        <v>7123200</v>
      </c>
    </row>
    <row r="6888" spans="1:2" x14ac:dyDescent="0.4">
      <c r="A6888" s="4">
        <v>1004001</v>
      </c>
      <c r="B6888">
        <v>7123300</v>
      </c>
    </row>
    <row r="6889" spans="1:2" x14ac:dyDescent="0.4">
      <c r="A6889" s="4">
        <v>1004001</v>
      </c>
      <c r="B6889">
        <v>7123400</v>
      </c>
    </row>
    <row r="6890" spans="1:2" x14ac:dyDescent="0.4">
      <c r="A6890" s="4">
        <v>1004001</v>
      </c>
      <c r="B6890">
        <v>7123500</v>
      </c>
    </row>
    <row r="6891" spans="1:2" x14ac:dyDescent="0.4">
      <c r="A6891" s="4">
        <v>1004001</v>
      </c>
      <c r="B6891">
        <v>7123600</v>
      </c>
    </row>
    <row r="6892" spans="1:2" x14ac:dyDescent="0.4">
      <c r="A6892" s="4">
        <v>1004001</v>
      </c>
      <c r="B6892">
        <v>7123700</v>
      </c>
    </row>
    <row r="6893" spans="1:2" x14ac:dyDescent="0.4">
      <c r="A6893" s="4">
        <v>1004001</v>
      </c>
      <c r="B6893">
        <v>7123800</v>
      </c>
    </row>
    <row r="6894" spans="1:2" x14ac:dyDescent="0.4">
      <c r="A6894" s="4">
        <v>1004001</v>
      </c>
      <c r="B6894">
        <v>7123900</v>
      </c>
    </row>
    <row r="6895" spans="1:2" x14ac:dyDescent="0.4">
      <c r="A6895" s="4">
        <v>1004001</v>
      </c>
      <c r="B6895">
        <v>7124000</v>
      </c>
    </row>
    <row r="6896" spans="1:2" x14ac:dyDescent="0.4">
      <c r="A6896" s="4">
        <v>1004001</v>
      </c>
      <c r="B6896">
        <v>7124100</v>
      </c>
    </row>
    <row r="6897" spans="1:2" x14ac:dyDescent="0.4">
      <c r="A6897" s="4">
        <v>1004001</v>
      </c>
      <c r="B6897">
        <v>7124300</v>
      </c>
    </row>
    <row r="6898" spans="1:2" x14ac:dyDescent="0.4">
      <c r="A6898" s="4">
        <v>1004001</v>
      </c>
      <c r="B6898">
        <v>7124400</v>
      </c>
    </row>
    <row r="6899" spans="1:2" x14ac:dyDescent="0.4">
      <c r="A6899" s="4">
        <v>1004001</v>
      </c>
      <c r="B6899">
        <v>7124500</v>
      </c>
    </row>
    <row r="6900" spans="1:2" x14ac:dyDescent="0.4">
      <c r="A6900" s="4">
        <v>1004001</v>
      </c>
      <c r="B6900">
        <v>7124600</v>
      </c>
    </row>
    <row r="6901" spans="1:2" x14ac:dyDescent="0.4">
      <c r="A6901" s="4">
        <v>1004001</v>
      </c>
      <c r="B6901">
        <v>7124700</v>
      </c>
    </row>
    <row r="6902" spans="1:2" x14ac:dyDescent="0.4">
      <c r="A6902" s="4">
        <v>1004001</v>
      </c>
      <c r="B6902">
        <v>7126000</v>
      </c>
    </row>
    <row r="6903" spans="1:2" x14ac:dyDescent="0.4">
      <c r="A6903" s="4">
        <v>1004001</v>
      </c>
      <c r="B6903">
        <v>7150000</v>
      </c>
    </row>
    <row r="6904" spans="1:2" x14ac:dyDescent="0.4">
      <c r="A6904" s="4">
        <v>1004001</v>
      </c>
      <c r="B6904">
        <v>7160000</v>
      </c>
    </row>
    <row r="6905" spans="1:2" x14ac:dyDescent="0.4">
      <c r="A6905" s="4">
        <v>1004001</v>
      </c>
      <c r="B6905">
        <v>7220000</v>
      </c>
    </row>
    <row r="6906" spans="1:2" x14ac:dyDescent="0.4">
      <c r="A6906" s="4">
        <v>1004001</v>
      </c>
      <c r="B6906">
        <v>7230000</v>
      </c>
    </row>
    <row r="6907" spans="1:2" x14ac:dyDescent="0.4">
      <c r="A6907" s="4">
        <v>1004001</v>
      </c>
      <c r="B6907">
        <v>7240000</v>
      </c>
    </row>
    <row r="6908" spans="1:2" x14ac:dyDescent="0.4">
      <c r="A6908" s="4">
        <v>1004001</v>
      </c>
      <c r="B6908">
        <v>7260000</v>
      </c>
    </row>
    <row r="6909" spans="1:2" x14ac:dyDescent="0.4">
      <c r="A6909" s="4">
        <v>1004001</v>
      </c>
      <c r="B6909">
        <v>7260300</v>
      </c>
    </row>
    <row r="6910" spans="1:2" x14ac:dyDescent="0.4">
      <c r="A6910" s="4">
        <v>1004001</v>
      </c>
      <c r="B6910">
        <v>7260400</v>
      </c>
    </row>
    <row r="6911" spans="1:2" x14ac:dyDescent="0.4">
      <c r="A6911" s="4">
        <v>1004001</v>
      </c>
      <c r="B6911">
        <v>7270100</v>
      </c>
    </row>
    <row r="6912" spans="1:2" x14ac:dyDescent="0.4">
      <c r="A6912" s="4">
        <v>1004001</v>
      </c>
      <c r="B6912">
        <v>7280000</v>
      </c>
    </row>
    <row r="6913" spans="1:2" x14ac:dyDescent="0.4">
      <c r="A6913" s="4">
        <v>1004001</v>
      </c>
      <c r="B6913">
        <v>7290000</v>
      </c>
    </row>
    <row r="6914" spans="1:2" x14ac:dyDescent="0.4">
      <c r="A6914" s="4">
        <v>1004001</v>
      </c>
      <c r="B6914">
        <v>7310000</v>
      </c>
    </row>
    <row r="6915" spans="1:2" x14ac:dyDescent="0.4">
      <c r="A6915" s="4">
        <v>1004001</v>
      </c>
      <c r="B6915">
        <v>7330000</v>
      </c>
    </row>
    <row r="6916" spans="1:2" x14ac:dyDescent="0.4">
      <c r="A6916" s="4">
        <v>1004001</v>
      </c>
      <c r="B6916">
        <v>7330100</v>
      </c>
    </row>
    <row r="6917" spans="1:2" x14ac:dyDescent="0.4">
      <c r="A6917" s="4">
        <v>1004001</v>
      </c>
      <c r="B6917">
        <v>7330200</v>
      </c>
    </row>
    <row r="6918" spans="1:2" x14ac:dyDescent="0.4">
      <c r="A6918" s="4">
        <v>1004001</v>
      </c>
      <c r="B6918">
        <v>7330300</v>
      </c>
    </row>
    <row r="6919" spans="1:2" x14ac:dyDescent="0.4">
      <c r="A6919" s="4">
        <v>1004001</v>
      </c>
      <c r="B6919">
        <v>7330400</v>
      </c>
    </row>
    <row r="6920" spans="1:2" x14ac:dyDescent="0.4">
      <c r="A6920" s="4">
        <v>1004001</v>
      </c>
      <c r="B6920">
        <v>7330500</v>
      </c>
    </row>
    <row r="6921" spans="1:2" x14ac:dyDescent="0.4">
      <c r="A6921" s="4">
        <v>1004001</v>
      </c>
      <c r="B6921">
        <v>7330600</v>
      </c>
    </row>
    <row r="6922" spans="1:2" x14ac:dyDescent="0.4">
      <c r="A6922" s="4">
        <v>1004001</v>
      </c>
      <c r="B6922">
        <v>7330700</v>
      </c>
    </row>
    <row r="6923" spans="1:2" x14ac:dyDescent="0.4">
      <c r="A6923" s="4">
        <v>1004001</v>
      </c>
      <c r="B6923">
        <v>7330800</v>
      </c>
    </row>
    <row r="6924" spans="1:2" x14ac:dyDescent="0.4">
      <c r="A6924" s="4">
        <v>1004001</v>
      </c>
      <c r="B6924">
        <v>7330900</v>
      </c>
    </row>
    <row r="6925" spans="1:2" x14ac:dyDescent="0.4">
      <c r="A6925" s="4">
        <v>1004001</v>
      </c>
      <c r="B6925">
        <v>7331000</v>
      </c>
    </row>
    <row r="6926" spans="1:2" x14ac:dyDescent="0.4">
      <c r="A6926" s="4">
        <v>1004001</v>
      </c>
      <c r="B6926">
        <v>7331100</v>
      </c>
    </row>
    <row r="6927" spans="1:2" x14ac:dyDescent="0.4">
      <c r="A6927" s="4">
        <v>1004001</v>
      </c>
      <c r="B6927">
        <v>7331200</v>
      </c>
    </row>
    <row r="6928" spans="1:2" x14ac:dyDescent="0.4">
      <c r="A6928" s="4">
        <v>1004001</v>
      </c>
      <c r="B6928">
        <v>7331300</v>
      </c>
    </row>
    <row r="6929" spans="1:2" x14ac:dyDescent="0.4">
      <c r="A6929" s="4">
        <v>1004001</v>
      </c>
      <c r="B6929">
        <v>7331400</v>
      </c>
    </row>
    <row r="6930" spans="1:2" x14ac:dyDescent="0.4">
      <c r="A6930" s="4">
        <v>1004001</v>
      </c>
      <c r="B6930">
        <v>7331500</v>
      </c>
    </row>
    <row r="6931" spans="1:2" x14ac:dyDescent="0.4">
      <c r="A6931" s="4">
        <v>1004001</v>
      </c>
      <c r="B6931">
        <v>7331700</v>
      </c>
    </row>
    <row r="6932" spans="1:2" x14ac:dyDescent="0.4">
      <c r="A6932" s="4">
        <v>1004001</v>
      </c>
      <c r="B6932">
        <v>7331800</v>
      </c>
    </row>
    <row r="6933" spans="1:2" x14ac:dyDescent="0.4">
      <c r="A6933" s="4">
        <v>1004001</v>
      </c>
      <c r="B6933">
        <v>7331900</v>
      </c>
    </row>
    <row r="6934" spans="1:2" x14ac:dyDescent="0.4">
      <c r="A6934" s="4">
        <v>1004001</v>
      </c>
      <c r="B6934">
        <v>7332000</v>
      </c>
    </row>
    <row r="6935" spans="1:2" x14ac:dyDescent="0.4">
      <c r="A6935" s="4">
        <v>1004001</v>
      </c>
      <c r="B6935">
        <v>7332100</v>
      </c>
    </row>
    <row r="6936" spans="1:2" x14ac:dyDescent="0.4">
      <c r="A6936" s="4">
        <v>1004001</v>
      </c>
      <c r="B6936">
        <v>7332200</v>
      </c>
    </row>
    <row r="6937" spans="1:2" x14ac:dyDescent="0.4">
      <c r="A6937" s="4">
        <v>1004001</v>
      </c>
      <c r="B6937">
        <v>7332300</v>
      </c>
    </row>
    <row r="6938" spans="1:2" x14ac:dyDescent="0.4">
      <c r="A6938" s="4">
        <v>1004001</v>
      </c>
      <c r="B6938">
        <v>7332400</v>
      </c>
    </row>
    <row r="6939" spans="1:2" x14ac:dyDescent="0.4">
      <c r="A6939" s="4">
        <v>1004001</v>
      </c>
      <c r="B6939">
        <v>7340000</v>
      </c>
    </row>
    <row r="6940" spans="1:2" x14ac:dyDescent="0.4">
      <c r="A6940" s="4">
        <v>1004001</v>
      </c>
      <c r="B6940">
        <v>7340100</v>
      </c>
    </row>
    <row r="6941" spans="1:2" x14ac:dyDescent="0.4">
      <c r="A6941" s="4">
        <v>1004001</v>
      </c>
      <c r="B6941">
        <v>7340200</v>
      </c>
    </row>
    <row r="6942" spans="1:2" x14ac:dyDescent="0.4">
      <c r="A6942" s="4">
        <v>1004001</v>
      </c>
      <c r="B6942">
        <v>7340300</v>
      </c>
    </row>
    <row r="6943" spans="1:2" x14ac:dyDescent="0.4">
      <c r="A6943" s="4">
        <v>1004001</v>
      </c>
      <c r="B6943">
        <v>7340400</v>
      </c>
    </row>
    <row r="6944" spans="1:2" x14ac:dyDescent="0.4">
      <c r="A6944" s="4">
        <v>1004001</v>
      </c>
      <c r="B6944">
        <v>7340500</v>
      </c>
    </row>
    <row r="6945" spans="1:2" x14ac:dyDescent="0.4">
      <c r="A6945" s="4">
        <v>1004001</v>
      </c>
      <c r="B6945">
        <v>7340600</v>
      </c>
    </row>
    <row r="6946" spans="1:2" x14ac:dyDescent="0.4">
      <c r="A6946" s="4">
        <v>1004001</v>
      </c>
      <c r="B6946">
        <v>7340700</v>
      </c>
    </row>
    <row r="6947" spans="1:2" x14ac:dyDescent="0.4">
      <c r="A6947" s="4">
        <v>1004001</v>
      </c>
      <c r="B6947">
        <v>7340800</v>
      </c>
    </row>
    <row r="6948" spans="1:2" x14ac:dyDescent="0.4">
      <c r="A6948" s="4">
        <v>1004001</v>
      </c>
      <c r="B6948">
        <v>7340900</v>
      </c>
    </row>
    <row r="6949" spans="1:2" x14ac:dyDescent="0.4">
      <c r="A6949" s="4">
        <v>1004001</v>
      </c>
      <c r="B6949">
        <v>7341000</v>
      </c>
    </row>
    <row r="6950" spans="1:2" x14ac:dyDescent="0.4">
      <c r="A6950" s="4">
        <v>1004001</v>
      </c>
      <c r="B6950">
        <v>7341100</v>
      </c>
    </row>
    <row r="6951" spans="1:2" x14ac:dyDescent="0.4">
      <c r="A6951" s="4">
        <v>1004001</v>
      </c>
      <c r="B6951">
        <v>7341200</v>
      </c>
    </row>
    <row r="6952" spans="1:2" x14ac:dyDescent="0.4">
      <c r="A6952" s="4">
        <v>1004001</v>
      </c>
      <c r="B6952">
        <v>7341300</v>
      </c>
    </row>
    <row r="6953" spans="1:2" x14ac:dyDescent="0.4">
      <c r="A6953" s="4">
        <v>1004001</v>
      </c>
      <c r="B6953">
        <v>7341400</v>
      </c>
    </row>
    <row r="6954" spans="1:2" x14ac:dyDescent="0.4">
      <c r="A6954" s="4">
        <v>1004001</v>
      </c>
      <c r="B6954">
        <v>7341500</v>
      </c>
    </row>
    <row r="6955" spans="1:2" x14ac:dyDescent="0.4">
      <c r="A6955" s="4">
        <v>1004001</v>
      </c>
      <c r="B6955">
        <v>7341700</v>
      </c>
    </row>
    <row r="6956" spans="1:2" x14ac:dyDescent="0.4">
      <c r="A6956" s="4">
        <v>1004001</v>
      </c>
      <c r="B6956">
        <v>7341800</v>
      </c>
    </row>
    <row r="6957" spans="1:2" x14ac:dyDescent="0.4">
      <c r="A6957" s="4">
        <v>1004001</v>
      </c>
      <c r="B6957">
        <v>7341900</v>
      </c>
    </row>
    <row r="6958" spans="1:2" x14ac:dyDescent="0.4">
      <c r="A6958" s="4">
        <v>1004001</v>
      </c>
      <c r="B6958">
        <v>7342000</v>
      </c>
    </row>
    <row r="6959" spans="1:2" x14ac:dyDescent="0.4">
      <c r="A6959" s="4">
        <v>1004001</v>
      </c>
      <c r="B6959">
        <v>7342100</v>
      </c>
    </row>
    <row r="6960" spans="1:2" x14ac:dyDescent="0.4">
      <c r="A6960" s="4">
        <v>1004001</v>
      </c>
      <c r="B6960">
        <v>7342200</v>
      </c>
    </row>
    <row r="6961" spans="1:2" x14ac:dyDescent="0.4">
      <c r="A6961" s="4">
        <v>1004001</v>
      </c>
      <c r="B6961">
        <v>7342300</v>
      </c>
    </row>
    <row r="6962" spans="1:2" x14ac:dyDescent="0.4">
      <c r="A6962" s="4">
        <v>1004001</v>
      </c>
      <c r="B6962">
        <v>7342400</v>
      </c>
    </row>
    <row r="6963" spans="1:2" x14ac:dyDescent="0.4">
      <c r="A6963" s="4">
        <v>1004001</v>
      </c>
      <c r="B6963">
        <v>7350000</v>
      </c>
    </row>
    <row r="6964" spans="1:2" x14ac:dyDescent="0.4">
      <c r="A6964" s="4">
        <v>1004001</v>
      </c>
      <c r="B6964">
        <v>7350100</v>
      </c>
    </row>
    <row r="6965" spans="1:2" x14ac:dyDescent="0.4">
      <c r="A6965" s="4">
        <v>1004001</v>
      </c>
      <c r="B6965">
        <v>7350200</v>
      </c>
    </row>
    <row r="6966" spans="1:2" x14ac:dyDescent="0.4">
      <c r="A6966" s="4">
        <v>1004001</v>
      </c>
      <c r="B6966">
        <v>7350300</v>
      </c>
    </row>
    <row r="6967" spans="1:2" x14ac:dyDescent="0.4">
      <c r="A6967" s="4">
        <v>1004001</v>
      </c>
      <c r="B6967">
        <v>7350400</v>
      </c>
    </row>
    <row r="6968" spans="1:2" x14ac:dyDescent="0.4">
      <c r="A6968" s="4">
        <v>1004001</v>
      </c>
      <c r="B6968">
        <v>7350500</v>
      </c>
    </row>
    <row r="6969" spans="1:2" x14ac:dyDescent="0.4">
      <c r="A6969" s="4">
        <v>1004001</v>
      </c>
      <c r="B6969">
        <v>7350600</v>
      </c>
    </row>
    <row r="6970" spans="1:2" x14ac:dyDescent="0.4">
      <c r="A6970" s="4">
        <v>1004001</v>
      </c>
      <c r="B6970">
        <v>7350700</v>
      </c>
    </row>
    <row r="6971" spans="1:2" x14ac:dyDescent="0.4">
      <c r="A6971" s="4">
        <v>1004001</v>
      </c>
      <c r="B6971">
        <v>7350800</v>
      </c>
    </row>
    <row r="6972" spans="1:2" x14ac:dyDescent="0.4">
      <c r="A6972" s="4">
        <v>1004001</v>
      </c>
      <c r="B6972">
        <v>7350900</v>
      </c>
    </row>
    <row r="6973" spans="1:2" x14ac:dyDescent="0.4">
      <c r="A6973" s="4">
        <v>1004001</v>
      </c>
      <c r="B6973">
        <v>7351000</v>
      </c>
    </row>
    <row r="6974" spans="1:2" x14ac:dyDescent="0.4">
      <c r="A6974" s="4">
        <v>1004001</v>
      </c>
      <c r="B6974">
        <v>7351100</v>
      </c>
    </row>
    <row r="6975" spans="1:2" x14ac:dyDescent="0.4">
      <c r="A6975" s="4">
        <v>1004001</v>
      </c>
      <c r="B6975">
        <v>7351200</v>
      </c>
    </row>
    <row r="6976" spans="1:2" x14ac:dyDescent="0.4">
      <c r="A6976" s="4">
        <v>1004001</v>
      </c>
      <c r="B6976">
        <v>7351300</v>
      </c>
    </row>
    <row r="6977" spans="1:2" x14ac:dyDescent="0.4">
      <c r="A6977" s="4">
        <v>1004001</v>
      </c>
      <c r="B6977">
        <v>7351400</v>
      </c>
    </row>
    <row r="6978" spans="1:2" x14ac:dyDescent="0.4">
      <c r="A6978" s="4">
        <v>1004001</v>
      </c>
      <c r="B6978">
        <v>7351500</v>
      </c>
    </row>
    <row r="6979" spans="1:2" x14ac:dyDescent="0.4">
      <c r="A6979" s="4">
        <v>1004001</v>
      </c>
      <c r="B6979">
        <v>7351700</v>
      </c>
    </row>
    <row r="6980" spans="1:2" x14ac:dyDescent="0.4">
      <c r="A6980" s="4">
        <v>1004001</v>
      </c>
      <c r="B6980">
        <v>7351800</v>
      </c>
    </row>
    <row r="6981" spans="1:2" x14ac:dyDescent="0.4">
      <c r="A6981" s="4">
        <v>1004001</v>
      </c>
      <c r="B6981">
        <v>7351900</v>
      </c>
    </row>
    <row r="6982" spans="1:2" x14ac:dyDescent="0.4">
      <c r="A6982" s="4">
        <v>1004001</v>
      </c>
      <c r="B6982">
        <v>7352000</v>
      </c>
    </row>
    <row r="6983" spans="1:2" x14ac:dyDescent="0.4">
      <c r="A6983" s="4">
        <v>1004001</v>
      </c>
      <c r="B6983">
        <v>7352100</v>
      </c>
    </row>
    <row r="6984" spans="1:2" x14ac:dyDescent="0.4">
      <c r="A6984" s="4">
        <v>1004001</v>
      </c>
      <c r="B6984">
        <v>7352200</v>
      </c>
    </row>
    <row r="6985" spans="1:2" x14ac:dyDescent="0.4">
      <c r="A6985" s="4">
        <v>1004001</v>
      </c>
      <c r="B6985">
        <v>7352300</v>
      </c>
    </row>
    <row r="6986" spans="1:2" x14ac:dyDescent="0.4">
      <c r="A6986" s="4">
        <v>1004001</v>
      </c>
      <c r="B6986">
        <v>7352400</v>
      </c>
    </row>
    <row r="6987" spans="1:2" x14ac:dyDescent="0.4">
      <c r="A6987" s="4">
        <v>1004001</v>
      </c>
      <c r="B6987">
        <v>7360600</v>
      </c>
    </row>
    <row r="6988" spans="1:2" x14ac:dyDescent="0.4">
      <c r="A6988" s="4">
        <v>1004001</v>
      </c>
      <c r="B6988">
        <v>7360900</v>
      </c>
    </row>
    <row r="6989" spans="1:2" x14ac:dyDescent="0.4">
      <c r="A6989" s="4">
        <v>1004001</v>
      </c>
      <c r="B6989">
        <v>7361200</v>
      </c>
    </row>
    <row r="6990" spans="1:2" x14ac:dyDescent="0.4">
      <c r="A6990" s="4">
        <v>1004001</v>
      </c>
      <c r="B6990">
        <v>7361300</v>
      </c>
    </row>
    <row r="6991" spans="1:2" x14ac:dyDescent="0.4">
      <c r="A6991" s="4">
        <v>1004001</v>
      </c>
      <c r="B6991">
        <v>7362100</v>
      </c>
    </row>
    <row r="6992" spans="1:2" x14ac:dyDescent="0.4">
      <c r="A6992" s="4">
        <v>1004001</v>
      </c>
      <c r="B6992">
        <v>7370300</v>
      </c>
    </row>
    <row r="6993" spans="1:2" x14ac:dyDescent="0.4">
      <c r="A6993" s="4">
        <v>1004001</v>
      </c>
      <c r="B6993">
        <v>7370400</v>
      </c>
    </row>
    <row r="6994" spans="1:2" x14ac:dyDescent="0.4">
      <c r="A6994" s="4">
        <v>1004001</v>
      </c>
      <c r="B6994">
        <v>7370600</v>
      </c>
    </row>
    <row r="6995" spans="1:2" x14ac:dyDescent="0.4">
      <c r="A6995" s="4">
        <v>1004001</v>
      </c>
      <c r="B6995">
        <v>7370900</v>
      </c>
    </row>
    <row r="6996" spans="1:2" x14ac:dyDescent="0.4">
      <c r="A6996" s="4">
        <v>1004001</v>
      </c>
      <c r="B6996">
        <v>7371500</v>
      </c>
    </row>
    <row r="6997" spans="1:2" x14ac:dyDescent="0.4">
      <c r="A6997" s="4">
        <v>1004001</v>
      </c>
      <c r="B6997">
        <v>7036200</v>
      </c>
    </row>
    <row r="6998" spans="1:2" x14ac:dyDescent="0.4">
      <c r="A6998" s="4">
        <v>1004001</v>
      </c>
      <c r="B6998">
        <v>7036300</v>
      </c>
    </row>
    <row r="6999" spans="1:2" x14ac:dyDescent="0.4">
      <c r="A6999" s="4">
        <v>1004001</v>
      </c>
      <c r="B6999">
        <v>7036400</v>
      </c>
    </row>
    <row r="7000" spans="1:2" x14ac:dyDescent="0.4">
      <c r="A7000" s="4">
        <v>1004001</v>
      </c>
      <c r="B7000">
        <v>7036500</v>
      </c>
    </row>
    <row r="7001" spans="1:2" x14ac:dyDescent="0.4">
      <c r="A7001" s="4">
        <v>1004001</v>
      </c>
      <c r="B7001">
        <v>7036800</v>
      </c>
    </row>
    <row r="7002" spans="1:2" x14ac:dyDescent="0.4">
      <c r="A7002" s="4">
        <v>1004001</v>
      </c>
      <c r="B7002">
        <v>7036900</v>
      </c>
    </row>
    <row r="7003" spans="1:2" x14ac:dyDescent="0.4">
      <c r="A7003" s="4">
        <v>1004001</v>
      </c>
      <c r="B7003">
        <v>7037000</v>
      </c>
    </row>
    <row r="7004" spans="1:2" x14ac:dyDescent="0.4">
      <c r="A7004" s="4">
        <v>1004001</v>
      </c>
      <c r="B7004">
        <v>7037300</v>
      </c>
    </row>
    <row r="7005" spans="1:2" x14ac:dyDescent="0.4">
      <c r="A7005" s="4">
        <v>1004001</v>
      </c>
      <c r="B7005">
        <v>6630000</v>
      </c>
    </row>
    <row r="7006" spans="1:2" x14ac:dyDescent="0.4">
      <c r="A7006" s="4">
        <v>1004001</v>
      </c>
      <c r="B7006">
        <v>6630100</v>
      </c>
    </row>
    <row r="7007" spans="1:2" x14ac:dyDescent="0.4">
      <c r="A7007" s="4">
        <v>1004001</v>
      </c>
      <c r="B7007">
        <v>6630200</v>
      </c>
    </row>
    <row r="7008" spans="1:2" x14ac:dyDescent="0.4">
      <c r="A7008" s="4">
        <v>1004001</v>
      </c>
      <c r="B7008">
        <v>6630300</v>
      </c>
    </row>
    <row r="7009" spans="1:2" x14ac:dyDescent="0.4">
      <c r="A7009" s="4">
        <v>1004001</v>
      </c>
      <c r="B7009">
        <v>6630400</v>
      </c>
    </row>
    <row r="7010" spans="1:2" x14ac:dyDescent="0.4">
      <c r="A7010" s="4">
        <v>1004001</v>
      </c>
      <c r="B7010">
        <v>6630500</v>
      </c>
    </row>
    <row r="7011" spans="1:2" x14ac:dyDescent="0.4">
      <c r="A7011" s="4">
        <v>1004001</v>
      </c>
      <c r="B7011">
        <v>6630600</v>
      </c>
    </row>
    <row r="7012" spans="1:2" x14ac:dyDescent="0.4">
      <c r="A7012" s="4">
        <v>1004001</v>
      </c>
      <c r="B7012">
        <v>6630700</v>
      </c>
    </row>
    <row r="7013" spans="1:2" x14ac:dyDescent="0.4">
      <c r="A7013" s="4">
        <v>1004001</v>
      </c>
      <c r="B7013">
        <v>6630800</v>
      </c>
    </row>
    <row r="7014" spans="1:2" x14ac:dyDescent="0.4">
      <c r="A7014" s="4">
        <v>1004001</v>
      </c>
      <c r="B7014">
        <v>6630900</v>
      </c>
    </row>
    <row r="7015" spans="1:2" x14ac:dyDescent="0.4">
      <c r="A7015" s="4">
        <v>1004001</v>
      </c>
      <c r="B7015">
        <v>6631000</v>
      </c>
    </row>
    <row r="7016" spans="1:2" x14ac:dyDescent="0.4">
      <c r="A7016" s="4">
        <v>1004001</v>
      </c>
      <c r="B7016">
        <v>6631100</v>
      </c>
    </row>
    <row r="7017" spans="1:2" x14ac:dyDescent="0.4">
      <c r="A7017" s="4">
        <v>1004001</v>
      </c>
      <c r="B7017">
        <v>6631200</v>
      </c>
    </row>
    <row r="7018" spans="1:2" x14ac:dyDescent="0.4">
      <c r="A7018" s="4">
        <v>1004001</v>
      </c>
      <c r="B7018">
        <v>6631300</v>
      </c>
    </row>
    <row r="7019" spans="1:2" x14ac:dyDescent="0.4">
      <c r="A7019" s="4">
        <v>1004001</v>
      </c>
      <c r="B7019">
        <v>6631400</v>
      </c>
    </row>
    <row r="7020" spans="1:2" x14ac:dyDescent="0.4">
      <c r="A7020" s="4">
        <v>1004001</v>
      </c>
      <c r="B7020">
        <v>6631500</v>
      </c>
    </row>
    <row r="7021" spans="1:2" x14ac:dyDescent="0.4">
      <c r="A7021" s="4">
        <v>1004001</v>
      </c>
      <c r="B7021">
        <v>6631600</v>
      </c>
    </row>
    <row r="7022" spans="1:2" x14ac:dyDescent="0.4">
      <c r="A7022" s="4">
        <v>1004001</v>
      </c>
      <c r="B7022">
        <v>6631700</v>
      </c>
    </row>
    <row r="7023" spans="1:2" x14ac:dyDescent="0.4">
      <c r="A7023" s="4">
        <v>1004001</v>
      </c>
      <c r="B7023">
        <v>6631800</v>
      </c>
    </row>
    <row r="7024" spans="1:2" x14ac:dyDescent="0.4">
      <c r="A7024" s="4">
        <v>1004001</v>
      </c>
      <c r="B7024">
        <v>6631900</v>
      </c>
    </row>
    <row r="7025" spans="1:2" x14ac:dyDescent="0.4">
      <c r="A7025" s="4">
        <v>1004001</v>
      </c>
      <c r="B7025">
        <v>6632000</v>
      </c>
    </row>
    <row r="7026" spans="1:2" x14ac:dyDescent="0.4">
      <c r="A7026" s="4">
        <v>1004001</v>
      </c>
      <c r="B7026">
        <v>6632100</v>
      </c>
    </row>
    <row r="7027" spans="1:2" x14ac:dyDescent="0.4">
      <c r="A7027" s="4">
        <v>1004001</v>
      </c>
      <c r="B7027">
        <v>6632200</v>
      </c>
    </row>
    <row r="7028" spans="1:2" x14ac:dyDescent="0.4">
      <c r="A7028" s="4">
        <v>1004001</v>
      </c>
      <c r="B7028">
        <v>6632300</v>
      </c>
    </row>
    <row r="7029" spans="1:2" x14ac:dyDescent="0.4">
      <c r="A7029" s="4">
        <v>1004001</v>
      </c>
      <c r="B7029">
        <v>6632400</v>
      </c>
    </row>
    <row r="7030" spans="1:2" x14ac:dyDescent="0.4">
      <c r="A7030" s="4">
        <v>1004001</v>
      </c>
      <c r="B7030">
        <v>6632500</v>
      </c>
    </row>
    <row r="7031" spans="1:2" x14ac:dyDescent="0.4">
      <c r="A7031" s="4">
        <v>1004001</v>
      </c>
      <c r="B7031">
        <v>6632600</v>
      </c>
    </row>
    <row r="7032" spans="1:2" x14ac:dyDescent="0.4">
      <c r="A7032" s="4">
        <v>1004001</v>
      </c>
      <c r="B7032">
        <v>6632700</v>
      </c>
    </row>
    <row r="7033" spans="1:2" x14ac:dyDescent="0.4">
      <c r="A7033" s="4">
        <v>1004001</v>
      </c>
      <c r="B7033">
        <v>6632800</v>
      </c>
    </row>
    <row r="7034" spans="1:2" x14ac:dyDescent="0.4">
      <c r="A7034" s="4">
        <v>1004001</v>
      </c>
      <c r="B7034">
        <v>6632900</v>
      </c>
    </row>
    <row r="7035" spans="1:2" x14ac:dyDescent="0.4">
      <c r="A7035" s="4">
        <v>1004001</v>
      </c>
      <c r="B7035">
        <v>6633000</v>
      </c>
    </row>
    <row r="7036" spans="1:2" x14ac:dyDescent="0.4">
      <c r="A7036" s="4">
        <v>1004001</v>
      </c>
      <c r="B7036">
        <v>6633100</v>
      </c>
    </row>
    <row r="7037" spans="1:2" x14ac:dyDescent="0.4">
      <c r="A7037" s="4">
        <v>1004001</v>
      </c>
      <c r="B7037">
        <v>6633200</v>
      </c>
    </row>
    <row r="7038" spans="1:2" x14ac:dyDescent="0.4">
      <c r="A7038" s="4">
        <v>1004001</v>
      </c>
      <c r="B7038">
        <v>6647200</v>
      </c>
    </row>
    <row r="7039" spans="1:2" x14ac:dyDescent="0.4">
      <c r="A7039" s="4">
        <v>1004001</v>
      </c>
      <c r="B7039">
        <v>6647300</v>
      </c>
    </row>
    <row r="7040" spans="1:2" x14ac:dyDescent="0.4">
      <c r="A7040" s="4">
        <v>1004001</v>
      </c>
      <c r="B7040">
        <v>6647400</v>
      </c>
    </row>
    <row r="7041" spans="1:2" x14ac:dyDescent="0.4">
      <c r="A7041" s="4">
        <v>1004001</v>
      </c>
      <c r="B7041">
        <v>6647500</v>
      </c>
    </row>
    <row r="7042" spans="1:2" x14ac:dyDescent="0.4">
      <c r="A7042" s="4">
        <v>1004001</v>
      </c>
      <c r="B7042">
        <v>6640000</v>
      </c>
    </row>
    <row r="7043" spans="1:2" x14ac:dyDescent="0.4">
      <c r="A7043" s="4">
        <v>1004001</v>
      </c>
      <c r="B7043">
        <v>6640100</v>
      </c>
    </row>
    <row r="7044" spans="1:2" x14ac:dyDescent="0.4">
      <c r="A7044" s="4">
        <v>1004001</v>
      </c>
      <c r="B7044">
        <v>6641000</v>
      </c>
    </row>
    <row r="7045" spans="1:2" x14ac:dyDescent="0.4">
      <c r="A7045" s="4">
        <v>1004001</v>
      </c>
      <c r="B7045">
        <v>6641100</v>
      </c>
    </row>
    <row r="7046" spans="1:2" x14ac:dyDescent="0.4">
      <c r="A7046" s="4">
        <v>1004001</v>
      </c>
      <c r="B7046">
        <v>6642000</v>
      </c>
    </row>
    <row r="7047" spans="1:2" x14ac:dyDescent="0.4">
      <c r="A7047" s="4">
        <v>1004001</v>
      </c>
      <c r="B7047">
        <v>6642100</v>
      </c>
    </row>
    <row r="7048" spans="1:2" x14ac:dyDescent="0.4">
      <c r="A7048" s="4">
        <v>1004001</v>
      </c>
      <c r="B7048">
        <v>6643000</v>
      </c>
    </row>
    <row r="7049" spans="1:2" x14ac:dyDescent="0.4">
      <c r="A7049" s="4">
        <v>1004001</v>
      </c>
      <c r="B7049">
        <v>6643100</v>
      </c>
    </row>
    <row r="7050" spans="1:2" x14ac:dyDescent="0.4">
      <c r="A7050" s="4">
        <v>1004001</v>
      </c>
      <c r="B7050">
        <v>6644000</v>
      </c>
    </row>
    <row r="7051" spans="1:2" x14ac:dyDescent="0.4">
      <c r="A7051" s="4">
        <v>1004001</v>
      </c>
      <c r="B7051">
        <v>6644100</v>
      </c>
    </row>
    <row r="7052" spans="1:2" x14ac:dyDescent="0.4">
      <c r="A7052" s="4">
        <v>1004001</v>
      </c>
      <c r="B7052">
        <v>6645000</v>
      </c>
    </row>
    <row r="7053" spans="1:2" x14ac:dyDescent="0.4">
      <c r="A7053" s="4">
        <v>1004001</v>
      </c>
      <c r="B7053">
        <v>6645100</v>
      </c>
    </row>
    <row r="7054" spans="1:2" x14ac:dyDescent="0.4">
      <c r="A7054" s="4">
        <v>1004001</v>
      </c>
      <c r="B7054">
        <v>6646000</v>
      </c>
    </row>
    <row r="7055" spans="1:2" x14ac:dyDescent="0.4">
      <c r="A7055" s="4">
        <v>1004001</v>
      </c>
      <c r="B7055">
        <v>6646100</v>
      </c>
    </row>
    <row r="7056" spans="1:2" x14ac:dyDescent="0.4">
      <c r="A7056" s="4">
        <v>1004001</v>
      </c>
      <c r="B7056">
        <v>6647000</v>
      </c>
    </row>
    <row r="7057" spans="1:2" x14ac:dyDescent="0.4">
      <c r="A7057" s="4">
        <v>1004001</v>
      </c>
      <c r="B7057">
        <v>6647100</v>
      </c>
    </row>
    <row r="7058" spans="1:2" x14ac:dyDescent="0.4">
      <c r="A7058" s="4">
        <v>1004002</v>
      </c>
      <c r="B7058">
        <v>7000000</v>
      </c>
    </row>
    <row r="7059" spans="1:2" x14ac:dyDescent="0.4">
      <c r="A7059" s="4">
        <v>1004002</v>
      </c>
      <c r="B7059">
        <v>7000001</v>
      </c>
    </row>
    <row r="7060" spans="1:2" x14ac:dyDescent="0.4">
      <c r="A7060" s="4">
        <v>1004002</v>
      </c>
      <c r="B7060">
        <v>7000002</v>
      </c>
    </row>
    <row r="7061" spans="1:2" x14ac:dyDescent="0.4">
      <c r="A7061" s="4">
        <v>1004002</v>
      </c>
      <c r="B7061">
        <v>7000100</v>
      </c>
    </row>
    <row r="7062" spans="1:2" x14ac:dyDescent="0.4">
      <c r="A7062" s="4">
        <v>1004002</v>
      </c>
      <c r="B7062">
        <v>7000101</v>
      </c>
    </row>
    <row r="7063" spans="1:2" x14ac:dyDescent="0.4">
      <c r="A7063" s="4">
        <v>1004002</v>
      </c>
      <c r="B7063">
        <v>7000102</v>
      </c>
    </row>
    <row r="7064" spans="1:2" x14ac:dyDescent="0.4">
      <c r="A7064" s="4">
        <v>1004002</v>
      </c>
      <c r="B7064">
        <v>7000200</v>
      </c>
    </row>
    <row r="7065" spans="1:2" x14ac:dyDescent="0.4">
      <c r="A7065" s="4">
        <v>1004002</v>
      </c>
      <c r="B7065">
        <v>7000201</v>
      </c>
    </row>
    <row r="7066" spans="1:2" x14ac:dyDescent="0.4">
      <c r="A7066" s="4">
        <v>1004002</v>
      </c>
      <c r="B7066">
        <v>7000202</v>
      </c>
    </row>
    <row r="7067" spans="1:2" x14ac:dyDescent="0.4">
      <c r="A7067" s="4">
        <v>1004002</v>
      </c>
      <c r="B7067">
        <v>7000300</v>
      </c>
    </row>
    <row r="7068" spans="1:2" x14ac:dyDescent="0.4">
      <c r="A7068" s="4">
        <v>1004002</v>
      </c>
      <c r="B7068">
        <v>7000301</v>
      </c>
    </row>
    <row r="7069" spans="1:2" x14ac:dyDescent="0.4">
      <c r="A7069" s="4">
        <v>1004002</v>
      </c>
      <c r="B7069">
        <v>7000302</v>
      </c>
    </row>
    <row r="7070" spans="1:2" x14ac:dyDescent="0.4">
      <c r="A7070" s="4">
        <v>1004002</v>
      </c>
      <c r="B7070">
        <v>7000400</v>
      </c>
    </row>
    <row r="7071" spans="1:2" x14ac:dyDescent="0.4">
      <c r="A7071" s="4">
        <v>1004002</v>
      </c>
      <c r="B7071">
        <v>7000401</v>
      </c>
    </row>
    <row r="7072" spans="1:2" x14ac:dyDescent="0.4">
      <c r="A7072" s="4">
        <v>1004002</v>
      </c>
      <c r="B7072">
        <v>7000402</v>
      </c>
    </row>
    <row r="7073" spans="1:2" x14ac:dyDescent="0.4">
      <c r="A7073" s="4">
        <v>1004002</v>
      </c>
      <c r="B7073">
        <v>7000500</v>
      </c>
    </row>
    <row r="7074" spans="1:2" x14ac:dyDescent="0.4">
      <c r="A7074" s="4">
        <v>1004002</v>
      </c>
      <c r="B7074">
        <v>7000501</v>
      </c>
    </row>
    <row r="7075" spans="1:2" x14ac:dyDescent="0.4">
      <c r="A7075" s="4">
        <v>1004002</v>
      </c>
      <c r="B7075">
        <v>7000502</v>
      </c>
    </row>
    <row r="7076" spans="1:2" x14ac:dyDescent="0.4">
      <c r="A7076" s="4">
        <v>1004002</v>
      </c>
      <c r="B7076">
        <v>7000600</v>
      </c>
    </row>
    <row r="7077" spans="1:2" x14ac:dyDescent="0.4">
      <c r="A7077" s="4">
        <v>1004002</v>
      </c>
      <c r="B7077">
        <v>7000601</v>
      </c>
    </row>
    <row r="7078" spans="1:2" x14ac:dyDescent="0.4">
      <c r="A7078" s="4">
        <v>1004002</v>
      </c>
      <c r="B7078">
        <v>7000602</v>
      </c>
    </row>
    <row r="7079" spans="1:2" x14ac:dyDescent="0.4">
      <c r="A7079" s="4">
        <v>1004002</v>
      </c>
      <c r="B7079">
        <v>7000700</v>
      </c>
    </row>
    <row r="7080" spans="1:2" x14ac:dyDescent="0.4">
      <c r="A7080" s="4">
        <v>1004002</v>
      </c>
      <c r="B7080">
        <v>7000701</v>
      </c>
    </row>
    <row r="7081" spans="1:2" x14ac:dyDescent="0.4">
      <c r="A7081" s="4">
        <v>1004002</v>
      </c>
      <c r="B7081">
        <v>7000702</v>
      </c>
    </row>
    <row r="7082" spans="1:2" x14ac:dyDescent="0.4">
      <c r="A7082" s="4">
        <v>1004002</v>
      </c>
      <c r="B7082">
        <v>7000800</v>
      </c>
    </row>
    <row r="7083" spans="1:2" x14ac:dyDescent="0.4">
      <c r="A7083" s="4">
        <v>1004002</v>
      </c>
      <c r="B7083">
        <v>7000801</v>
      </c>
    </row>
    <row r="7084" spans="1:2" x14ac:dyDescent="0.4">
      <c r="A7084" s="4">
        <v>1004002</v>
      </c>
      <c r="B7084">
        <v>7000802</v>
      </c>
    </row>
    <row r="7085" spans="1:2" x14ac:dyDescent="0.4">
      <c r="A7085" s="4">
        <v>1004002</v>
      </c>
      <c r="B7085">
        <v>7000900</v>
      </c>
    </row>
    <row r="7086" spans="1:2" x14ac:dyDescent="0.4">
      <c r="A7086" s="4">
        <v>1004002</v>
      </c>
      <c r="B7086">
        <v>7000901</v>
      </c>
    </row>
    <row r="7087" spans="1:2" x14ac:dyDescent="0.4">
      <c r="A7087" s="4">
        <v>1004002</v>
      </c>
      <c r="B7087">
        <v>7000902</v>
      </c>
    </row>
    <row r="7088" spans="1:2" x14ac:dyDescent="0.4">
      <c r="A7088" s="4">
        <v>1004002</v>
      </c>
      <c r="B7088">
        <v>7001000</v>
      </c>
    </row>
    <row r="7089" spans="1:2" x14ac:dyDescent="0.4">
      <c r="A7089" s="4">
        <v>1004002</v>
      </c>
      <c r="B7089">
        <v>7001001</v>
      </c>
    </row>
    <row r="7090" spans="1:2" x14ac:dyDescent="0.4">
      <c r="A7090" s="4">
        <v>1004002</v>
      </c>
      <c r="B7090">
        <v>7001002</v>
      </c>
    </row>
    <row r="7091" spans="1:2" x14ac:dyDescent="0.4">
      <c r="A7091" s="4">
        <v>1004002</v>
      </c>
      <c r="B7091">
        <v>7001400</v>
      </c>
    </row>
    <row r="7092" spans="1:2" x14ac:dyDescent="0.4">
      <c r="A7092" s="4">
        <v>1004002</v>
      </c>
      <c r="B7092">
        <v>7001401</v>
      </c>
    </row>
    <row r="7093" spans="1:2" x14ac:dyDescent="0.4">
      <c r="A7093" s="4">
        <v>1004002</v>
      </c>
      <c r="B7093">
        <v>7001402</v>
      </c>
    </row>
    <row r="7094" spans="1:2" x14ac:dyDescent="0.4">
      <c r="A7094" s="4">
        <v>1004002</v>
      </c>
      <c r="B7094">
        <v>7001500</v>
      </c>
    </row>
    <row r="7095" spans="1:2" x14ac:dyDescent="0.4">
      <c r="A7095" s="4">
        <v>1004002</v>
      </c>
      <c r="B7095">
        <v>7001501</v>
      </c>
    </row>
    <row r="7096" spans="1:2" x14ac:dyDescent="0.4">
      <c r="A7096" s="4">
        <v>1004002</v>
      </c>
      <c r="B7096">
        <v>7001502</v>
      </c>
    </row>
    <row r="7097" spans="1:2" x14ac:dyDescent="0.4">
      <c r="A7097" s="4">
        <v>1004002</v>
      </c>
      <c r="B7097">
        <v>7001600</v>
      </c>
    </row>
    <row r="7098" spans="1:2" x14ac:dyDescent="0.4">
      <c r="A7098" s="4">
        <v>1004002</v>
      </c>
      <c r="B7098">
        <v>7001601</v>
      </c>
    </row>
    <row r="7099" spans="1:2" x14ac:dyDescent="0.4">
      <c r="A7099" s="4">
        <v>1004002</v>
      </c>
      <c r="B7099">
        <v>7001602</v>
      </c>
    </row>
    <row r="7100" spans="1:2" x14ac:dyDescent="0.4">
      <c r="A7100" s="4">
        <v>1004002</v>
      </c>
      <c r="B7100">
        <v>7001700</v>
      </c>
    </row>
    <row r="7101" spans="1:2" x14ac:dyDescent="0.4">
      <c r="A7101" s="4">
        <v>1004002</v>
      </c>
      <c r="B7101">
        <v>7001701</v>
      </c>
    </row>
    <row r="7102" spans="1:2" x14ac:dyDescent="0.4">
      <c r="A7102" s="4">
        <v>1004002</v>
      </c>
      <c r="B7102">
        <v>7001702</v>
      </c>
    </row>
    <row r="7103" spans="1:2" x14ac:dyDescent="0.4">
      <c r="A7103" s="4">
        <v>1004002</v>
      </c>
      <c r="B7103">
        <v>7001800</v>
      </c>
    </row>
    <row r="7104" spans="1:2" x14ac:dyDescent="0.4">
      <c r="A7104" s="4">
        <v>1004002</v>
      </c>
      <c r="B7104">
        <v>7001801</v>
      </c>
    </row>
    <row r="7105" spans="1:2" x14ac:dyDescent="0.4">
      <c r="A7105" s="4">
        <v>1004002</v>
      </c>
      <c r="B7105">
        <v>7001802</v>
      </c>
    </row>
    <row r="7106" spans="1:2" x14ac:dyDescent="0.4">
      <c r="A7106" s="4">
        <v>1004002</v>
      </c>
      <c r="B7106">
        <v>7002600</v>
      </c>
    </row>
    <row r="7107" spans="1:2" x14ac:dyDescent="0.4">
      <c r="A7107" s="4">
        <v>1004002</v>
      </c>
      <c r="B7107">
        <v>7002700</v>
      </c>
    </row>
    <row r="7108" spans="1:2" x14ac:dyDescent="0.4">
      <c r="A7108" s="4">
        <v>1004002</v>
      </c>
      <c r="B7108">
        <v>7002800</v>
      </c>
    </row>
    <row r="7109" spans="1:2" x14ac:dyDescent="0.4">
      <c r="A7109" s="4">
        <v>1004002</v>
      </c>
      <c r="B7109">
        <v>7002900</v>
      </c>
    </row>
    <row r="7110" spans="1:2" x14ac:dyDescent="0.4">
      <c r="A7110" s="4">
        <v>1004002</v>
      </c>
      <c r="B7110">
        <v>7003000</v>
      </c>
    </row>
    <row r="7111" spans="1:2" x14ac:dyDescent="0.4">
      <c r="A7111" s="4">
        <v>1004002</v>
      </c>
      <c r="B7111">
        <v>7003100</v>
      </c>
    </row>
    <row r="7112" spans="1:2" x14ac:dyDescent="0.4">
      <c r="A7112" s="4">
        <v>1004002</v>
      </c>
      <c r="B7112">
        <v>7003200</v>
      </c>
    </row>
    <row r="7113" spans="1:2" x14ac:dyDescent="0.4">
      <c r="A7113" s="4">
        <v>1004002</v>
      </c>
      <c r="B7113">
        <v>7003300</v>
      </c>
    </row>
    <row r="7114" spans="1:2" x14ac:dyDescent="0.4">
      <c r="A7114" s="4">
        <v>1004002</v>
      </c>
      <c r="B7114">
        <v>7003400</v>
      </c>
    </row>
    <row r="7115" spans="1:2" x14ac:dyDescent="0.4">
      <c r="A7115" s="4">
        <v>1004002</v>
      </c>
      <c r="B7115">
        <v>7003500</v>
      </c>
    </row>
    <row r="7116" spans="1:2" x14ac:dyDescent="0.4">
      <c r="A7116" s="4">
        <v>1004002</v>
      </c>
      <c r="B7116">
        <v>7003600</v>
      </c>
    </row>
    <row r="7117" spans="1:2" x14ac:dyDescent="0.4">
      <c r="A7117" s="4">
        <v>1004002</v>
      </c>
      <c r="B7117">
        <v>7005600</v>
      </c>
    </row>
    <row r="7118" spans="1:2" x14ac:dyDescent="0.4">
      <c r="A7118" s="4">
        <v>1004002</v>
      </c>
      <c r="B7118">
        <v>7006000</v>
      </c>
    </row>
    <row r="7119" spans="1:2" x14ac:dyDescent="0.4">
      <c r="A7119" s="4">
        <v>1004002</v>
      </c>
      <c r="B7119">
        <v>7006100</v>
      </c>
    </row>
    <row r="7120" spans="1:2" x14ac:dyDescent="0.4">
      <c r="A7120" s="4">
        <v>1004002</v>
      </c>
      <c r="B7120">
        <v>7010200</v>
      </c>
    </row>
    <row r="7121" spans="1:2" x14ac:dyDescent="0.4">
      <c r="A7121" s="4">
        <v>1004002</v>
      </c>
      <c r="B7121">
        <v>7010500</v>
      </c>
    </row>
    <row r="7122" spans="1:2" x14ac:dyDescent="0.4">
      <c r="A7122" s="4">
        <v>1004002</v>
      </c>
      <c r="B7122">
        <v>7010700</v>
      </c>
    </row>
    <row r="7123" spans="1:2" x14ac:dyDescent="0.4">
      <c r="A7123" s="4">
        <v>1004002</v>
      </c>
      <c r="B7123">
        <v>7010900</v>
      </c>
    </row>
    <row r="7124" spans="1:2" x14ac:dyDescent="0.4">
      <c r="A7124" s="4">
        <v>1004002</v>
      </c>
      <c r="B7124">
        <v>7011000</v>
      </c>
    </row>
    <row r="7125" spans="1:2" x14ac:dyDescent="0.4">
      <c r="A7125" s="4">
        <v>1004002</v>
      </c>
      <c r="B7125">
        <v>7011200</v>
      </c>
    </row>
    <row r="7126" spans="1:2" x14ac:dyDescent="0.4">
      <c r="A7126" s="4">
        <v>1004002</v>
      </c>
      <c r="B7126">
        <v>7011600</v>
      </c>
    </row>
    <row r="7127" spans="1:2" x14ac:dyDescent="0.4">
      <c r="A7127" s="4">
        <v>1004002</v>
      </c>
      <c r="B7127">
        <v>7011700</v>
      </c>
    </row>
    <row r="7128" spans="1:2" x14ac:dyDescent="0.4">
      <c r="A7128" s="4">
        <v>1004002</v>
      </c>
      <c r="B7128">
        <v>7012000</v>
      </c>
    </row>
    <row r="7129" spans="1:2" x14ac:dyDescent="0.4">
      <c r="A7129" s="4">
        <v>1004002</v>
      </c>
      <c r="B7129">
        <v>7012200</v>
      </c>
    </row>
    <row r="7130" spans="1:2" x14ac:dyDescent="0.4">
      <c r="A7130" s="4">
        <v>1004002</v>
      </c>
      <c r="B7130">
        <v>7012300</v>
      </c>
    </row>
    <row r="7131" spans="1:2" x14ac:dyDescent="0.4">
      <c r="A7131" s="4">
        <v>1004002</v>
      </c>
      <c r="B7131">
        <v>7020000</v>
      </c>
    </row>
    <row r="7132" spans="1:2" x14ac:dyDescent="0.4">
      <c r="A7132" s="4">
        <v>1004002</v>
      </c>
      <c r="B7132">
        <v>7030000</v>
      </c>
    </row>
    <row r="7133" spans="1:2" x14ac:dyDescent="0.4">
      <c r="A7133" s="4">
        <v>1004002</v>
      </c>
      <c r="B7133">
        <v>7030200</v>
      </c>
    </row>
    <row r="7134" spans="1:2" x14ac:dyDescent="0.4">
      <c r="A7134" s="4">
        <v>1004002</v>
      </c>
      <c r="B7134">
        <v>7030600</v>
      </c>
    </row>
    <row r="7135" spans="1:2" x14ac:dyDescent="0.4">
      <c r="A7135" s="4">
        <v>1004002</v>
      </c>
      <c r="B7135">
        <v>7030700</v>
      </c>
    </row>
    <row r="7136" spans="1:2" x14ac:dyDescent="0.4">
      <c r="A7136" s="4">
        <v>1004002</v>
      </c>
      <c r="B7136">
        <v>7030800</v>
      </c>
    </row>
    <row r="7137" spans="1:2" x14ac:dyDescent="0.4">
      <c r="A7137" s="4">
        <v>1004002</v>
      </c>
      <c r="B7137">
        <v>7030900</v>
      </c>
    </row>
    <row r="7138" spans="1:2" x14ac:dyDescent="0.4">
      <c r="A7138" s="4">
        <v>1004002</v>
      </c>
      <c r="B7138">
        <v>7031200</v>
      </c>
    </row>
    <row r="7139" spans="1:2" x14ac:dyDescent="0.4">
      <c r="A7139" s="4">
        <v>1004002</v>
      </c>
      <c r="B7139">
        <v>7031300</v>
      </c>
    </row>
    <row r="7140" spans="1:2" x14ac:dyDescent="0.4">
      <c r="A7140" s="4">
        <v>1004002</v>
      </c>
      <c r="B7140">
        <v>7031800</v>
      </c>
    </row>
    <row r="7141" spans="1:2" x14ac:dyDescent="0.4">
      <c r="A7141" s="4">
        <v>1004002</v>
      </c>
      <c r="B7141">
        <v>7031900</v>
      </c>
    </row>
    <row r="7142" spans="1:2" x14ac:dyDescent="0.4">
      <c r="A7142" s="4">
        <v>1004002</v>
      </c>
      <c r="B7142">
        <v>7032200</v>
      </c>
    </row>
    <row r="7143" spans="1:2" x14ac:dyDescent="0.4">
      <c r="A7143" s="4">
        <v>1004002</v>
      </c>
      <c r="B7143">
        <v>7032400</v>
      </c>
    </row>
    <row r="7144" spans="1:2" x14ac:dyDescent="0.4">
      <c r="A7144" s="4">
        <v>1004002</v>
      </c>
      <c r="B7144">
        <v>7032700</v>
      </c>
    </row>
    <row r="7145" spans="1:2" x14ac:dyDescent="0.4">
      <c r="A7145" s="4">
        <v>1004002</v>
      </c>
      <c r="B7145">
        <v>7032800</v>
      </c>
    </row>
    <row r="7146" spans="1:2" x14ac:dyDescent="0.4">
      <c r="A7146" s="4">
        <v>1004002</v>
      </c>
      <c r="B7146">
        <v>7032900</v>
      </c>
    </row>
    <row r="7147" spans="1:2" x14ac:dyDescent="0.4">
      <c r="A7147" s="4">
        <v>1004002</v>
      </c>
      <c r="B7147">
        <v>7033200</v>
      </c>
    </row>
    <row r="7148" spans="1:2" x14ac:dyDescent="0.4">
      <c r="A7148" s="4">
        <v>1004002</v>
      </c>
      <c r="B7148">
        <v>7033400</v>
      </c>
    </row>
    <row r="7149" spans="1:2" x14ac:dyDescent="0.4">
      <c r="A7149" s="4">
        <v>1004002</v>
      </c>
      <c r="B7149">
        <v>7034100</v>
      </c>
    </row>
    <row r="7150" spans="1:2" x14ac:dyDescent="0.4">
      <c r="A7150" s="4">
        <v>1004002</v>
      </c>
      <c r="B7150">
        <v>7034400</v>
      </c>
    </row>
    <row r="7151" spans="1:2" x14ac:dyDescent="0.4">
      <c r="A7151" s="4">
        <v>1004002</v>
      </c>
      <c r="B7151">
        <v>7034500</v>
      </c>
    </row>
    <row r="7152" spans="1:2" x14ac:dyDescent="0.4">
      <c r="A7152" s="4">
        <v>1004002</v>
      </c>
      <c r="B7152">
        <v>7034600</v>
      </c>
    </row>
    <row r="7153" spans="1:2" x14ac:dyDescent="0.4">
      <c r="A7153" s="4">
        <v>1004002</v>
      </c>
      <c r="B7153">
        <v>7034700</v>
      </c>
    </row>
    <row r="7154" spans="1:2" x14ac:dyDescent="0.4">
      <c r="A7154" s="4">
        <v>1004002</v>
      </c>
      <c r="B7154">
        <v>7035100</v>
      </c>
    </row>
    <row r="7155" spans="1:2" x14ac:dyDescent="0.4">
      <c r="A7155" s="4">
        <v>1004002</v>
      </c>
      <c r="B7155">
        <v>7036100</v>
      </c>
    </row>
    <row r="7156" spans="1:2" x14ac:dyDescent="0.4">
      <c r="A7156" s="4">
        <v>1004002</v>
      </c>
      <c r="B7156">
        <v>7040000</v>
      </c>
    </row>
    <row r="7157" spans="1:2" x14ac:dyDescent="0.4">
      <c r="A7157" s="4">
        <v>1004002</v>
      </c>
      <c r="B7157">
        <v>7040100</v>
      </c>
    </row>
    <row r="7158" spans="1:2" x14ac:dyDescent="0.4">
      <c r="A7158" s="4">
        <v>1004002</v>
      </c>
      <c r="B7158">
        <v>7040200</v>
      </c>
    </row>
    <row r="7159" spans="1:2" x14ac:dyDescent="0.4">
      <c r="A7159" s="4">
        <v>1004002</v>
      </c>
      <c r="B7159">
        <v>7040300</v>
      </c>
    </row>
    <row r="7160" spans="1:2" x14ac:dyDescent="0.4">
      <c r="A7160" s="4">
        <v>1004002</v>
      </c>
      <c r="B7160">
        <v>7040400</v>
      </c>
    </row>
    <row r="7161" spans="1:2" x14ac:dyDescent="0.4">
      <c r="A7161" s="4">
        <v>1004002</v>
      </c>
      <c r="B7161">
        <v>7040500</v>
      </c>
    </row>
    <row r="7162" spans="1:2" x14ac:dyDescent="0.4">
      <c r="A7162" s="4">
        <v>1004002</v>
      </c>
      <c r="B7162">
        <v>7043000</v>
      </c>
    </row>
    <row r="7163" spans="1:2" x14ac:dyDescent="0.4">
      <c r="A7163" s="4">
        <v>1004002</v>
      </c>
      <c r="B7163">
        <v>7043100</v>
      </c>
    </row>
    <row r="7164" spans="1:2" x14ac:dyDescent="0.4">
      <c r="A7164" s="4">
        <v>1004002</v>
      </c>
      <c r="B7164">
        <v>7043200</v>
      </c>
    </row>
    <row r="7165" spans="1:2" x14ac:dyDescent="0.4">
      <c r="A7165" s="4">
        <v>1004002</v>
      </c>
      <c r="B7165">
        <v>7043300</v>
      </c>
    </row>
    <row r="7166" spans="1:2" x14ac:dyDescent="0.4">
      <c r="A7166" s="4">
        <v>1004002</v>
      </c>
      <c r="B7166">
        <v>7043400</v>
      </c>
    </row>
    <row r="7167" spans="1:2" x14ac:dyDescent="0.4">
      <c r="A7167" s="4">
        <v>1004002</v>
      </c>
      <c r="B7167">
        <v>7043500</v>
      </c>
    </row>
    <row r="7168" spans="1:2" x14ac:dyDescent="0.4">
      <c r="A7168" s="4">
        <v>1004002</v>
      </c>
      <c r="B7168">
        <v>7043600</v>
      </c>
    </row>
    <row r="7169" spans="1:2" x14ac:dyDescent="0.4">
      <c r="A7169" s="4">
        <v>1004002</v>
      </c>
      <c r="B7169">
        <v>7043700</v>
      </c>
    </row>
    <row r="7170" spans="1:2" x14ac:dyDescent="0.4">
      <c r="A7170" s="4">
        <v>1004002</v>
      </c>
      <c r="B7170">
        <v>7043800</v>
      </c>
    </row>
    <row r="7171" spans="1:2" x14ac:dyDescent="0.4">
      <c r="A7171" s="4">
        <v>1004002</v>
      </c>
      <c r="B7171">
        <v>7044000</v>
      </c>
    </row>
    <row r="7172" spans="1:2" x14ac:dyDescent="0.4">
      <c r="A7172" s="4">
        <v>1004002</v>
      </c>
      <c r="B7172">
        <v>7044100</v>
      </c>
    </row>
    <row r="7173" spans="1:2" x14ac:dyDescent="0.4">
      <c r="A7173" s="4">
        <v>1004002</v>
      </c>
      <c r="B7173">
        <v>7044200</v>
      </c>
    </row>
    <row r="7174" spans="1:2" x14ac:dyDescent="0.4">
      <c r="A7174" s="4">
        <v>1004002</v>
      </c>
      <c r="B7174">
        <v>7044300</v>
      </c>
    </row>
    <row r="7175" spans="1:2" x14ac:dyDescent="0.4">
      <c r="A7175" s="4">
        <v>1004002</v>
      </c>
      <c r="B7175">
        <v>7044400</v>
      </c>
    </row>
    <row r="7176" spans="1:2" x14ac:dyDescent="0.4">
      <c r="A7176" s="4">
        <v>1004002</v>
      </c>
      <c r="B7176">
        <v>7044500</v>
      </c>
    </row>
    <row r="7177" spans="1:2" x14ac:dyDescent="0.4">
      <c r="A7177" s="4">
        <v>1004002</v>
      </c>
      <c r="B7177">
        <v>7044600</v>
      </c>
    </row>
    <row r="7178" spans="1:2" x14ac:dyDescent="0.4">
      <c r="A7178" s="4">
        <v>1004002</v>
      </c>
      <c r="B7178">
        <v>7050000</v>
      </c>
    </row>
    <row r="7179" spans="1:2" x14ac:dyDescent="0.4">
      <c r="A7179" s="4">
        <v>1004002</v>
      </c>
      <c r="B7179">
        <v>7050100</v>
      </c>
    </row>
    <row r="7180" spans="1:2" x14ac:dyDescent="0.4">
      <c r="A7180" s="4">
        <v>1004002</v>
      </c>
      <c r="B7180">
        <v>7060000</v>
      </c>
    </row>
    <row r="7181" spans="1:2" x14ac:dyDescent="0.4">
      <c r="A7181" s="4">
        <v>1004002</v>
      </c>
      <c r="B7181">
        <v>7060100</v>
      </c>
    </row>
    <row r="7182" spans="1:2" x14ac:dyDescent="0.4">
      <c r="A7182" s="4">
        <v>1004002</v>
      </c>
      <c r="B7182">
        <v>7060200</v>
      </c>
    </row>
    <row r="7183" spans="1:2" x14ac:dyDescent="0.4">
      <c r="A7183" s="4">
        <v>1004002</v>
      </c>
      <c r="B7183">
        <v>7070000</v>
      </c>
    </row>
    <row r="7184" spans="1:2" x14ac:dyDescent="0.4">
      <c r="A7184" s="4">
        <v>1004002</v>
      </c>
      <c r="B7184">
        <v>7080000</v>
      </c>
    </row>
    <row r="7185" spans="1:2" x14ac:dyDescent="0.4">
      <c r="A7185" s="4">
        <v>1004002</v>
      </c>
      <c r="B7185">
        <v>7080100</v>
      </c>
    </row>
    <row r="7186" spans="1:2" x14ac:dyDescent="0.4">
      <c r="A7186" s="4">
        <v>1004002</v>
      </c>
      <c r="B7186">
        <v>7080200</v>
      </c>
    </row>
    <row r="7187" spans="1:2" x14ac:dyDescent="0.4">
      <c r="A7187" s="4">
        <v>1004002</v>
      </c>
      <c r="B7187">
        <v>7080300</v>
      </c>
    </row>
    <row r="7188" spans="1:2" x14ac:dyDescent="0.4">
      <c r="A7188" s="4">
        <v>1004002</v>
      </c>
      <c r="B7188">
        <v>7080400</v>
      </c>
    </row>
    <row r="7189" spans="1:2" x14ac:dyDescent="0.4">
      <c r="A7189" s="4">
        <v>1004002</v>
      </c>
      <c r="B7189">
        <v>7080500</v>
      </c>
    </row>
    <row r="7190" spans="1:2" x14ac:dyDescent="0.4">
      <c r="A7190" s="4">
        <v>1004002</v>
      </c>
      <c r="B7190">
        <v>7080600</v>
      </c>
    </row>
    <row r="7191" spans="1:2" x14ac:dyDescent="0.4">
      <c r="A7191" s="4">
        <v>1004002</v>
      </c>
      <c r="B7191">
        <v>7080700</v>
      </c>
    </row>
    <row r="7192" spans="1:2" x14ac:dyDescent="0.4">
      <c r="A7192" s="4">
        <v>1004002</v>
      </c>
      <c r="B7192">
        <v>7080800</v>
      </c>
    </row>
    <row r="7193" spans="1:2" x14ac:dyDescent="0.4">
      <c r="A7193" s="4">
        <v>1004002</v>
      </c>
      <c r="B7193">
        <v>7080900</v>
      </c>
    </row>
    <row r="7194" spans="1:2" x14ac:dyDescent="0.4">
      <c r="A7194" s="4">
        <v>1004002</v>
      </c>
      <c r="B7194">
        <v>7081000</v>
      </c>
    </row>
    <row r="7195" spans="1:2" x14ac:dyDescent="0.4">
      <c r="A7195" s="4">
        <v>1004002</v>
      </c>
      <c r="B7195">
        <v>7081100</v>
      </c>
    </row>
    <row r="7196" spans="1:2" x14ac:dyDescent="0.4">
      <c r="A7196" s="4">
        <v>1004002</v>
      </c>
      <c r="B7196">
        <v>7081200</v>
      </c>
    </row>
    <row r="7197" spans="1:2" x14ac:dyDescent="0.4">
      <c r="A7197" s="4">
        <v>1004002</v>
      </c>
      <c r="B7197">
        <v>7081300</v>
      </c>
    </row>
    <row r="7198" spans="1:2" x14ac:dyDescent="0.4">
      <c r="A7198" s="4">
        <v>1004002</v>
      </c>
      <c r="B7198">
        <v>7081400</v>
      </c>
    </row>
    <row r="7199" spans="1:2" x14ac:dyDescent="0.4">
      <c r="A7199" s="4">
        <v>1004002</v>
      </c>
      <c r="B7199">
        <v>7081500</v>
      </c>
    </row>
    <row r="7200" spans="1:2" x14ac:dyDescent="0.4">
      <c r="A7200" s="4">
        <v>1004002</v>
      </c>
      <c r="B7200">
        <v>7081700</v>
      </c>
    </row>
    <row r="7201" spans="1:2" x14ac:dyDescent="0.4">
      <c r="A7201" s="4">
        <v>1004002</v>
      </c>
      <c r="B7201">
        <v>7081800</v>
      </c>
    </row>
    <row r="7202" spans="1:2" x14ac:dyDescent="0.4">
      <c r="A7202" s="4">
        <v>1004002</v>
      </c>
      <c r="B7202">
        <v>7081900</v>
      </c>
    </row>
    <row r="7203" spans="1:2" x14ac:dyDescent="0.4">
      <c r="A7203" s="4">
        <v>1004002</v>
      </c>
      <c r="B7203">
        <v>7082000</v>
      </c>
    </row>
    <row r="7204" spans="1:2" x14ac:dyDescent="0.4">
      <c r="A7204" s="4">
        <v>1004002</v>
      </c>
      <c r="B7204">
        <v>7082100</v>
      </c>
    </row>
    <row r="7205" spans="1:2" x14ac:dyDescent="0.4">
      <c r="A7205" s="4">
        <v>1004002</v>
      </c>
      <c r="B7205">
        <v>7082200</v>
      </c>
    </row>
    <row r="7206" spans="1:2" x14ac:dyDescent="0.4">
      <c r="A7206" s="4">
        <v>1004002</v>
      </c>
      <c r="B7206">
        <v>7082300</v>
      </c>
    </row>
    <row r="7207" spans="1:2" x14ac:dyDescent="0.4">
      <c r="A7207" s="4">
        <v>1004002</v>
      </c>
      <c r="B7207">
        <v>7082400</v>
      </c>
    </row>
    <row r="7208" spans="1:2" x14ac:dyDescent="0.4">
      <c r="A7208" s="4">
        <v>1004002</v>
      </c>
      <c r="B7208">
        <v>7082500</v>
      </c>
    </row>
    <row r="7209" spans="1:2" x14ac:dyDescent="0.4">
      <c r="A7209" s="4">
        <v>1004002</v>
      </c>
      <c r="B7209">
        <v>7082600</v>
      </c>
    </row>
    <row r="7210" spans="1:2" x14ac:dyDescent="0.4">
      <c r="A7210" s="4">
        <v>1004002</v>
      </c>
      <c r="B7210">
        <v>7082700</v>
      </c>
    </row>
    <row r="7211" spans="1:2" x14ac:dyDescent="0.4">
      <c r="A7211" s="4">
        <v>1004002</v>
      </c>
      <c r="B7211">
        <v>7082800</v>
      </c>
    </row>
    <row r="7212" spans="1:2" x14ac:dyDescent="0.4">
      <c r="A7212" s="4">
        <v>1004002</v>
      </c>
      <c r="B7212">
        <v>7082900</v>
      </c>
    </row>
    <row r="7213" spans="1:2" x14ac:dyDescent="0.4">
      <c r="A7213" s="4">
        <v>1004002</v>
      </c>
      <c r="B7213">
        <v>7090000</v>
      </c>
    </row>
    <row r="7214" spans="1:2" x14ac:dyDescent="0.4">
      <c r="A7214" s="4">
        <v>1004002</v>
      </c>
      <c r="B7214">
        <v>7090100</v>
      </c>
    </row>
    <row r="7215" spans="1:2" x14ac:dyDescent="0.4">
      <c r="A7215" s="4">
        <v>1004002</v>
      </c>
      <c r="B7215">
        <v>7090300</v>
      </c>
    </row>
    <row r="7216" spans="1:2" x14ac:dyDescent="0.4">
      <c r="A7216" s="4">
        <v>1004002</v>
      </c>
      <c r="B7216">
        <v>7100100</v>
      </c>
    </row>
    <row r="7217" spans="1:2" x14ac:dyDescent="0.4">
      <c r="A7217" s="4">
        <v>1004002</v>
      </c>
      <c r="B7217">
        <v>7110000</v>
      </c>
    </row>
    <row r="7218" spans="1:2" x14ac:dyDescent="0.4">
      <c r="A7218" s="4">
        <v>1004002</v>
      </c>
      <c r="B7218">
        <v>7120000</v>
      </c>
    </row>
    <row r="7219" spans="1:2" x14ac:dyDescent="0.4">
      <c r="A7219" s="4">
        <v>1004002</v>
      </c>
      <c r="B7219">
        <v>7120100</v>
      </c>
    </row>
    <row r="7220" spans="1:2" x14ac:dyDescent="0.4">
      <c r="A7220" s="4">
        <v>1004002</v>
      </c>
      <c r="B7220">
        <v>7120200</v>
      </c>
    </row>
    <row r="7221" spans="1:2" x14ac:dyDescent="0.4">
      <c r="A7221" s="4">
        <v>1004002</v>
      </c>
      <c r="B7221">
        <v>7120300</v>
      </c>
    </row>
    <row r="7222" spans="1:2" x14ac:dyDescent="0.4">
      <c r="A7222" s="4">
        <v>1004002</v>
      </c>
      <c r="B7222">
        <v>7120400</v>
      </c>
    </row>
    <row r="7223" spans="1:2" x14ac:dyDescent="0.4">
      <c r="A7223" s="4">
        <v>1004002</v>
      </c>
      <c r="B7223">
        <v>7120500</v>
      </c>
    </row>
    <row r="7224" spans="1:2" x14ac:dyDescent="0.4">
      <c r="A7224" s="4">
        <v>1004002</v>
      </c>
      <c r="B7224">
        <v>7120600</v>
      </c>
    </row>
    <row r="7225" spans="1:2" x14ac:dyDescent="0.4">
      <c r="A7225" s="4">
        <v>1004002</v>
      </c>
      <c r="B7225">
        <v>7120900</v>
      </c>
    </row>
    <row r="7226" spans="1:2" x14ac:dyDescent="0.4">
      <c r="A7226" s="4">
        <v>1004002</v>
      </c>
      <c r="B7226">
        <v>7121000</v>
      </c>
    </row>
    <row r="7227" spans="1:2" x14ac:dyDescent="0.4">
      <c r="A7227" s="4">
        <v>1004002</v>
      </c>
      <c r="B7227">
        <v>7121100</v>
      </c>
    </row>
    <row r="7228" spans="1:2" x14ac:dyDescent="0.4">
      <c r="A7228" s="4">
        <v>1004002</v>
      </c>
      <c r="B7228">
        <v>7121200</v>
      </c>
    </row>
    <row r="7229" spans="1:2" x14ac:dyDescent="0.4">
      <c r="A7229" s="4">
        <v>1004002</v>
      </c>
      <c r="B7229">
        <v>7121300</v>
      </c>
    </row>
    <row r="7230" spans="1:2" x14ac:dyDescent="0.4">
      <c r="A7230" s="4">
        <v>1004002</v>
      </c>
      <c r="B7230">
        <v>7121400</v>
      </c>
    </row>
    <row r="7231" spans="1:2" x14ac:dyDescent="0.4">
      <c r="A7231" s="4">
        <v>1004002</v>
      </c>
      <c r="B7231">
        <v>7121500</v>
      </c>
    </row>
    <row r="7232" spans="1:2" x14ac:dyDescent="0.4">
      <c r="A7232" s="4">
        <v>1004002</v>
      </c>
      <c r="B7232">
        <v>7121600</v>
      </c>
    </row>
    <row r="7233" spans="1:2" x14ac:dyDescent="0.4">
      <c r="A7233" s="4">
        <v>1004002</v>
      </c>
      <c r="B7233">
        <v>7121700</v>
      </c>
    </row>
    <row r="7234" spans="1:2" x14ac:dyDescent="0.4">
      <c r="A7234" s="4">
        <v>1004002</v>
      </c>
      <c r="B7234">
        <v>7121800</v>
      </c>
    </row>
    <row r="7235" spans="1:2" x14ac:dyDescent="0.4">
      <c r="A7235" s="4">
        <v>1004002</v>
      </c>
      <c r="B7235">
        <v>7121900</v>
      </c>
    </row>
    <row r="7236" spans="1:2" x14ac:dyDescent="0.4">
      <c r="A7236" s="4">
        <v>1004002</v>
      </c>
      <c r="B7236">
        <v>7122000</v>
      </c>
    </row>
    <row r="7237" spans="1:2" x14ac:dyDescent="0.4">
      <c r="A7237" s="4">
        <v>1004002</v>
      </c>
      <c r="B7237">
        <v>7122100</v>
      </c>
    </row>
    <row r="7238" spans="1:2" x14ac:dyDescent="0.4">
      <c r="A7238" s="4">
        <v>1004002</v>
      </c>
      <c r="B7238">
        <v>7122200</v>
      </c>
    </row>
    <row r="7239" spans="1:2" x14ac:dyDescent="0.4">
      <c r="A7239" s="4">
        <v>1004002</v>
      </c>
      <c r="B7239">
        <v>7122300</v>
      </c>
    </row>
    <row r="7240" spans="1:2" x14ac:dyDescent="0.4">
      <c r="A7240" s="4">
        <v>1004002</v>
      </c>
      <c r="B7240">
        <v>7122400</v>
      </c>
    </row>
    <row r="7241" spans="1:2" x14ac:dyDescent="0.4">
      <c r="A7241" s="4">
        <v>1004002</v>
      </c>
      <c r="B7241">
        <v>7122500</v>
      </c>
    </row>
    <row r="7242" spans="1:2" x14ac:dyDescent="0.4">
      <c r="A7242" s="4">
        <v>1004002</v>
      </c>
      <c r="B7242">
        <v>7122600</v>
      </c>
    </row>
    <row r="7243" spans="1:2" x14ac:dyDescent="0.4">
      <c r="A7243" s="4">
        <v>1004002</v>
      </c>
      <c r="B7243">
        <v>7122700</v>
      </c>
    </row>
    <row r="7244" spans="1:2" x14ac:dyDescent="0.4">
      <c r="A7244" s="4">
        <v>1004002</v>
      </c>
      <c r="B7244">
        <v>7122800</v>
      </c>
    </row>
    <row r="7245" spans="1:2" x14ac:dyDescent="0.4">
      <c r="A7245" s="4">
        <v>1004002</v>
      </c>
      <c r="B7245">
        <v>7122900</v>
      </c>
    </row>
    <row r="7246" spans="1:2" x14ac:dyDescent="0.4">
      <c r="A7246" s="4">
        <v>1004002</v>
      </c>
      <c r="B7246">
        <v>7123000</v>
      </c>
    </row>
    <row r="7247" spans="1:2" x14ac:dyDescent="0.4">
      <c r="A7247" s="4">
        <v>1004002</v>
      </c>
      <c r="B7247">
        <v>7123100</v>
      </c>
    </row>
    <row r="7248" spans="1:2" x14ac:dyDescent="0.4">
      <c r="A7248" s="4">
        <v>1004002</v>
      </c>
      <c r="B7248">
        <v>7123200</v>
      </c>
    </row>
    <row r="7249" spans="1:2" x14ac:dyDescent="0.4">
      <c r="A7249" s="4">
        <v>1004002</v>
      </c>
      <c r="B7249">
        <v>7123300</v>
      </c>
    </row>
    <row r="7250" spans="1:2" x14ac:dyDescent="0.4">
      <c r="A7250" s="4">
        <v>1004002</v>
      </c>
      <c r="B7250">
        <v>7123400</v>
      </c>
    </row>
    <row r="7251" spans="1:2" x14ac:dyDescent="0.4">
      <c r="A7251" s="4">
        <v>1004002</v>
      </c>
      <c r="B7251">
        <v>7123500</v>
      </c>
    </row>
    <row r="7252" spans="1:2" x14ac:dyDescent="0.4">
      <c r="A7252" s="4">
        <v>1004002</v>
      </c>
      <c r="B7252">
        <v>7123600</v>
      </c>
    </row>
    <row r="7253" spans="1:2" x14ac:dyDescent="0.4">
      <c r="A7253" s="4">
        <v>1004002</v>
      </c>
      <c r="B7253">
        <v>7123700</v>
      </c>
    </row>
    <row r="7254" spans="1:2" x14ac:dyDescent="0.4">
      <c r="A7254" s="4">
        <v>1004002</v>
      </c>
      <c r="B7254">
        <v>7123800</v>
      </c>
    </row>
    <row r="7255" spans="1:2" x14ac:dyDescent="0.4">
      <c r="A7255" s="4">
        <v>1004002</v>
      </c>
      <c r="B7255">
        <v>7123900</v>
      </c>
    </row>
    <row r="7256" spans="1:2" x14ac:dyDescent="0.4">
      <c r="A7256" s="4">
        <v>1004002</v>
      </c>
      <c r="B7256">
        <v>7124000</v>
      </c>
    </row>
    <row r="7257" spans="1:2" x14ac:dyDescent="0.4">
      <c r="A7257" s="4">
        <v>1004002</v>
      </c>
      <c r="B7257">
        <v>7124100</v>
      </c>
    </row>
    <row r="7258" spans="1:2" x14ac:dyDescent="0.4">
      <c r="A7258" s="4">
        <v>1004002</v>
      </c>
      <c r="B7258">
        <v>7124300</v>
      </c>
    </row>
    <row r="7259" spans="1:2" x14ac:dyDescent="0.4">
      <c r="A7259" s="4">
        <v>1004002</v>
      </c>
      <c r="B7259">
        <v>7124400</v>
      </c>
    </row>
    <row r="7260" spans="1:2" x14ac:dyDescent="0.4">
      <c r="A7260" s="4">
        <v>1004002</v>
      </c>
      <c r="B7260">
        <v>7124500</v>
      </c>
    </row>
    <row r="7261" spans="1:2" x14ac:dyDescent="0.4">
      <c r="A7261" s="4">
        <v>1004002</v>
      </c>
      <c r="B7261">
        <v>7124600</v>
      </c>
    </row>
    <row r="7262" spans="1:2" x14ac:dyDescent="0.4">
      <c r="A7262" s="4">
        <v>1004002</v>
      </c>
      <c r="B7262">
        <v>7124700</v>
      </c>
    </row>
    <row r="7263" spans="1:2" x14ac:dyDescent="0.4">
      <c r="A7263" s="4">
        <v>1004002</v>
      </c>
      <c r="B7263">
        <v>7126000</v>
      </c>
    </row>
    <row r="7264" spans="1:2" x14ac:dyDescent="0.4">
      <c r="A7264" s="4">
        <v>1004002</v>
      </c>
      <c r="B7264">
        <v>7150000</v>
      </c>
    </row>
    <row r="7265" spans="1:2" x14ac:dyDescent="0.4">
      <c r="A7265" s="4">
        <v>1004002</v>
      </c>
      <c r="B7265">
        <v>7160000</v>
      </c>
    </row>
    <row r="7266" spans="1:2" x14ac:dyDescent="0.4">
      <c r="A7266" s="4">
        <v>1004002</v>
      </c>
      <c r="B7266">
        <v>7220000</v>
      </c>
    </row>
    <row r="7267" spans="1:2" x14ac:dyDescent="0.4">
      <c r="A7267" s="4">
        <v>1004002</v>
      </c>
      <c r="B7267">
        <v>7230000</v>
      </c>
    </row>
    <row r="7268" spans="1:2" x14ac:dyDescent="0.4">
      <c r="A7268" s="4">
        <v>1004002</v>
      </c>
      <c r="B7268">
        <v>7240000</v>
      </c>
    </row>
    <row r="7269" spans="1:2" x14ac:dyDescent="0.4">
      <c r="A7269" s="4">
        <v>1004002</v>
      </c>
      <c r="B7269">
        <v>7260000</v>
      </c>
    </row>
    <row r="7270" spans="1:2" x14ac:dyDescent="0.4">
      <c r="A7270" s="4">
        <v>1004002</v>
      </c>
      <c r="B7270">
        <v>7260300</v>
      </c>
    </row>
    <row r="7271" spans="1:2" x14ac:dyDescent="0.4">
      <c r="A7271" s="4">
        <v>1004002</v>
      </c>
      <c r="B7271">
        <v>7260400</v>
      </c>
    </row>
    <row r="7272" spans="1:2" x14ac:dyDescent="0.4">
      <c r="A7272" s="4">
        <v>1004002</v>
      </c>
      <c r="B7272">
        <v>7270100</v>
      </c>
    </row>
    <row r="7273" spans="1:2" x14ac:dyDescent="0.4">
      <c r="A7273" s="4">
        <v>1004002</v>
      </c>
      <c r="B7273">
        <v>7280000</v>
      </c>
    </row>
    <row r="7274" spans="1:2" x14ac:dyDescent="0.4">
      <c r="A7274" s="4">
        <v>1004002</v>
      </c>
      <c r="B7274">
        <v>7290000</v>
      </c>
    </row>
    <row r="7275" spans="1:2" x14ac:dyDescent="0.4">
      <c r="A7275" s="4">
        <v>1004002</v>
      </c>
      <c r="B7275">
        <v>7310000</v>
      </c>
    </row>
    <row r="7276" spans="1:2" x14ac:dyDescent="0.4">
      <c r="A7276" s="4">
        <v>1004002</v>
      </c>
      <c r="B7276">
        <v>7330000</v>
      </c>
    </row>
    <row r="7277" spans="1:2" x14ac:dyDescent="0.4">
      <c r="A7277" s="4">
        <v>1004002</v>
      </c>
      <c r="B7277">
        <v>7330100</v>
      </c>
    </row>
    <row r="7278" spans="1:2" x14ac:dyDescent="0.4">
      <c r="A7278" s="4">
        <v>1004002</v>
      </c>
      <c r="B7278">
        <v>7330200</v>
      </c>
    </row>
    <row r="7279" spans="1:2" x14ac:dyDescent="0.4">
      <c r="A7279" s="4">
        <v>1004002</v>
      </c>
      <c r="B7279">
        <v>7330300</v>
      </c>
    </row>
    <row r="7280" spans="1:2" x14ac:dyDescent="0.4">
      <c r="A7280" s="4">
        <v>1004002</v>
      </c>
      <c r="B7280">
        <v>7330400</v>
      </c>
    </row>
    <row r="7281" spans="1:2" x14ac:dyDescent="0.4">
      <c r="A7281" s="4">
        <v>1004002</v>
      </c>
      <c r="B7281">
        <v>7330500</v>
      </c>
    </row>
    <row r="7282" spans="1:2" x14ac:dyDescent="0.4">
      <c r="A7282" s="4">
        <v>1004002</v>
      </c>
      <c r="B7282">
        <v>7330600</v>
      </c>
    </row>
    <row r="7283" spans="1:2" x14ac:dyDescent="0.4">
      <c r="A7283" s="4">
        <v>1004002</v>
      </c>
      <c r="B7283">
        <v>7330700</v>
      </c>
    </row>
    <row r="7284" spans="1:2" x14ac:dyDescent="0.4">
      <c r="A7284" s="4">
        <v>1004002</v>
      </c>
      <c r="B7284">
        <v>7330800</v>
      </c>
    </row>
    <row r="7285" spans="1:2" x14ac:dyDescent="0.4">
      <c r="A7285" s="4">
        <v>1004002</v>
      </c>
      <c r="B7285">
        <v>7330900</v>
      </c>
    </row>
    <row r="7286" spans="1:2" x14ac:dyDescent="0.4">
      <c r="A7286" s="4">
        <v>1004002</v>
      </c>
      <c r="B7286">
        <v>7331000</v>
      </c>
    </row>
    <row r="7287" spans="1:2" x14ac:dyDescent="0.4">
      <c r="A7287" s="4">
        <v>1004002</v>
      </c>
      <c r="B7287">
        <v>7331100</v>
      </c>
    </row>
    <row r="7288" spans="1:2" x14ac:dyDescent="0.4">
      <c r="A7288" s="4">
        <v>1004002</v>
      </c>
      <c r="B7288">
        <v>7331200</v>
      </c>
    </row>
    <row r="7289" spans="1:2" x14ac:dyDescent="0.4">
      <c r="A7289" s="4">
        <v>1004002</v>
      </c>
      <c r="B7289">
        <v>7331300</v>
      </c>
    </row>
    <row r="7290" spans="1:2" x14ac:dyDescent="0.4">
      <c r="A7290" s="4">
        <v>1004002</v>
      </c>
      <c r="B7290">
        <v>7331400</v>
      </c>
    </row>
    <row r="7291" spans="1:2" x14ac:dyDescent="0.4">
      <c r="A7291" s="4">
        <v>1004002</v>
      </c>
      <c r="B7291">
        <v>7331500</v>
      </c>
    </row>
    <row r="7292" spans="1:2" x14ac:dyDescent="0.4">
      <c r="A7292" s="4">
        <v>1004002</v>
      </c>
      <c r="B7292">
        <v>7331700</v>
      </c>
    </row>
    <row r="7293" spans="1:2" x14ac:dyDescent="0.4">
      <c r="A7293" s="4">
        <v>1004002</v>
      </c>
      <c r="B7293">
        <v>7331800</v>
      </c>
    </row>
    <row r="7294" spans="1:2" x14ac:dyDescent="0.4">
      <c r="A7294" s="4">
        <v>1004002</v>
      </c>
      <c r="B7294">
        <v>7331900</v>
      </c>
    </row>
    <row r="7295" spans="1:2" x14ac:dyDescent="0.4">
      <c r="A7295" s="4">
        <v>1004002</v>
      </c>
      <c r="B7295">
        <v>7332000</v>
      </c>
    </row>
    <row r="7296" spans="1:2" x14ac:dyDescent="0.4">
      <c r="A7296" s="4">
        <v>1004002</v>
      </c>
      <c r="B7296">
        <v>7332100</v>
      </c>
    </row>
    <row r="7297" spans="1:2" x14ac:dyDescent="0.4">
      <c r="A7297" s="4">
        <v>1004002</v>
      </c>
      <c r="B7297">
        <v>7332200</v>
      </c>
    </row>
    <row r="7298" spans="1:2" x14ac:dyDescent="0.4">
      <c r="A7298" s="4">
        <v>1004002</v>
      </c>
      <c r="B7298">
        <v>7332300</v>
      </c>
    </row>
    <row r="7299" spans="1:2" x14ac:dyDescent="0.4">
      <c r="A7299" s="4">
        <v>1004002</v>
      </c>
      <c r="B7299">
        <v>7332400</v>
      </c>
    </row>
    <row r="7300" spans="1:2" x14ac:dyDescent="0.4">
      <c r="A7300" s="4">
        <v>1004002</v>
      </c>
      <c r="B7300">
        <v>7340000</v>
      </c>
    </row>
    <row r="7301" spans="1:2" x14ac:dyDescent="0.4">
      <c r="A7301" s="4">
        <v>1004002</v>
      </c>
      <c r="B7301">
        <v>7340100</v>
      </c>
    </row>
    <row r="7302" spans="1:2" x14ac:dyDescent="0.4">
      <c r="A7302" s="4">
        <v>1004002</v>
      </c>
      <c r="B7302">
        <v>7340200</v>
      </c>
    </row>
    <row r="7303" spans="1:2" x14ac:dyDescent="0.4">
      <c r="A7303" s="4">
        <v>1004002</v>
      </c>
      <c r="B7303">
        <v>7340300</v>
      </c>
    </row>
    <row r="7304" spans="1:2" x14ac:dyDescent="0.4">
      <c r="A7304" s="4">
        <v>1004002</v>
      </c>
      <c r="B7304">
        <v>7340400</v>
      </c>
    </row>
    <row r="7305" spans="1:2" x14ac:dyDescent="0.4">
      <c r="A7305" s="4">
        <v>1004002</v>
      </c>
      <c r="B7305">
        <v>7340500</v>
      </c>
    </row>
    <row r="7306" spans="1:2" x14ac:dyDescent="0.4">
      <c r="A7306" s="4">
        <v>1004002</v>
      </c>
      <c r="B7306">
        <v>7340600</v>
      </c>
    </row>
    <row r="7307" spans="1:2" x14ac:dyDescent="0.4">
      <c r="A7307" s="4">
        <v>1004002</v>
      </c>
      <c r="B7307">
        <v>7340700</v>
      </c>
    </row>
    <row r="7308" spans="1:2" x14ac:dyDescent="0.4">
      <c r="A7308" s="4">
        <v>1004002</v>
      </c>
      <c r="B7308">
        <v>7340800</v>
      </c>
    </row>
    <row r="7309" spans="1:2" x14ac:dyDescent="0.4">
      <c r="A7309" s="4">
        <v>1004002</v>
      </c>
      <c r="B7309">
        <v>7340900</v>
      </c>
    </row>
    <row r="7310" spans="1:2" x14ac:dyDescent="0.4">
      <c r="A7310" s="4">
        <v>1004002</v>
      </c>
      <c r="B7310">
        <v>7341000</v>
      </c>
    </row>
    <row r="7311" spans="1:2" x14ac:dyDescent="0.4">
      <c r="A7311" s="4">
        <v>1004002</v>
      </c>
      <c r="B7311">
        <v>7341100</v>
      </c>
    </row>
    <row r="7312" spans="1:2" x14ac:dyDescent="0.4">
      <c r="A7312" s="4">
        <v>1004002</v>
      </c>
      <c r="B7312">
        <v>7341200</v>
      </c>
    </row>
    <row r="7313" spans="1:2" x14ac:dyDescent="0.4">
      <c r="A7313" s="4">
        <v>1004002</v>
      </c>
      <c r="B7313">
        <v>7341300</v>
      </c>
    </row>
    <row r="7314" spans="1:2" x14ac:dyDescent="0.4">
      <c r="A7314" s="4">
        <v>1004002</v>
      </c>
      <c r="B7314">
        <v>7341400</v>
      </c>
    </row>
    <row r="7315" spans="1:2" x14ac:dyDescent="0.4">
      <c r="A7315" s="4">
        <v>1004002</v>
      </c>
      <c r="B7315">
        <v>7341500</v>
      </c>
    </row>
    <row r="7316" spans="1:2" x14ac:dyDescent="0.4">
      <c r="A7316" s="4">
        <v>1004002</v>
      </c>
      <c r="B7316">
        <v>7341700</v>
      </c>
    </row>
    <row r="7317" spans="1:2" x14ac:dyDescent="0.4">
      <c r="A7317" s="4">
        <v>1004002</v>
      </c>
      <c r="B7317">
        <v>7341800</v>
      </c>
    </row>
    <row r="7318" spans="1:2" x14ac:dyDescent="0.4">
      <c r="A7318" s="4">
        <v>1004002</v>
      </c>
      <c r="B7318">
        <v>7341900</v>
      </c>
    </row>
    <row r="7319" spans="1:2" x14ac:dyDescent="0.4">
      <c r="A7319" s="4">
        <v>1004002</v>
      </c>
      <c r="B7319">
        <v>7342000</v>
      </c>
    </row>
    <row r="7320" spans="1:2" x14ac:dyDescent="0.4">
      <c r="A7320" s="4">
        <v>1004002</v>
      </c>
      <c r="B7320">
        <v>7342100</v>
      </c>
    </row>
    <row r="7321" spans="1:2" x14ac:dyDescent="0.4">
      <c r="A7321" s="4">
        <v>1004002</v>
      </c>
      <c r="B7321">
        <v>7342200</v>
      </c>
    </row>
    <row r="7322" spans="1:2" x14ac:dyDescent="0.4">
      <c r="A7322" s="4">
        <v>1004002</v>
      </c>
      <c r="B7322">
        <v>7342300</v>
      </c>
    </row>
    <row r="7323" spans="1:2" x14ac:dyDescent="0.4">
      <c r="A7323" s="4">
        <v>1004002</v>
      </c>
      <c r="B7323">
        <v>7342400</v>
      </c>
    </row>
    <row r="7324" spans="1:2" x14ac:dyDescent="0.4">
      <c r="A7324" s="4">
        <v>1004002</v>
      </c>
      <c r="B7324">
        <v>7350000</v>
      </c>
    </row>
    <row r="7325" spans="1:2" x14ac:dyDescent="0.4">
      <c r="A7325" s="4">
        <v>1004002</v>
      </c>
      <c r="B7325">
        <v>7350100</v>
      </c>
    </row>
    <row r="7326" spans="1:2" x14ac:dyDescent="0.4">
      <c r="A7326" s="4">
        <v>1004002</v>
      </c>
      <c r="B7326">
        <v>7350200</v>
      </c>
    </row>
    <row r="7327" spans="1:2" x14ac:dyDescent="0.4">
      <c r="A7327" s="4">
        <v>1004002</v>
      </c>
      <c r="B7327">
        <v>7350300</v>
      </c>
    </row>
    <row r="7328" spans="1:2" x14ac:dyDescent="0.4">
      <c r="A7328" s="4">
        <v>1004002</v>
      </c>
      <c r="B7328">
        <v>7350400</v>
      </c>
    </row>
    <row r="7329" spans="1:2" x14ac:dyDescent="0.4">
      <c r="A7329" s="4">
        <v>1004002</v>
      </c>
      <c r="B7329">
        <v>7350500</v>
      </c>
    </row>
    <row r="7330" spans="1:2" x14ac:dyDescent="0.4">
      <c r="A7330" s="4">
        <v>1004002</v>
      </c>
      <c r="B7330">
        <v>7350600</v>
      </c>
    </row>
    <row r="7331" spans="1:2" x14ac:dyDescent="0.4">
      <c r="A7331" s="4">
        <v>1004002</v>
      </c>
      <c r="B7331">
        <v>7350700</v>
      </c>
    </row>
    <row r="7332" spans="1:2" x14ac:dyDescent="0.4">
      <c r="A7332" s="4">
        <v>1004002</v>
      </c>
      <c r="B7332">
        <v>7350800</v>
      </c>
    </row>
    <row r="7333" spans="1:2" x14ac:dyDescent="0.4">
      <c r="A7333" s="4">
        <v>1004002</v>
      </c>
      <c r="B7333">
        <v>7350900</v>
      </c>
    </row>
    <row r="7334" spans="1:2" x14ac:dyDescent="0.4">
      <c r="A7334" s="4">
        <v>1004002</v>
      </c>
      <c r="B7334">
        <v>7351000</v>
      </c>
    </row>
    <row r="7335" spans="1:2" x14ac:dyDescent="0.4">
      <c r="A7335" s="4">
        <v>1004002</v>
      </c>
      <c r="B7335">
        <v>7351100</v>
      </c>
    </row>
    <row r="7336" spans="1:2" x14ac:dyDescent="0.4">
      <c r="A7336" s="4">
        <v>1004002</v>
      </c>
      <c r="B7336">
        <v>7351200</v>
      </c>
    </row>
    <row r="7337" spans="1:2" x14ac:dyDescent="0.4">
      <c r="A7337" s="4">
        <v>1004002</v>
      </c>
      <c r="B7337">
        <v>7351300</v>
      </c>
    </row>
    <row r="7338" spans="1:2" x14ac:dyDescent="0.4">
      <c r="A7338" s="4">
        <v>1004002</v>
      </c>
      <c r="B7338">
        <v>7351400</v>
      </c>
    </row>
    <row r="7339" spans="1:2" x14ac:dyDescent="0.4">
      <c r="A7339" s="4">
        <v>1004002</v>
      </c>
      <c r="B7339">
        <v>7351500</v>
      </c>
    </row>
    <row r="7340" spans="1:2" x14ac:dyDescent="0.4">
      <c r="A7340" s="4">
        <v>1004002</v>
      </c>
      <c r="B7340">
        <v>7351700</v>
      </c>
    </row>
    <row r="7341" spans="1:2" x14ac:dyDescent="0.4">
      <c r="A7341" s="4">
        <v>1004002</v>
      </c>
      <c r="B7341">
        <v>7351800</v>
      </c>
    </row>
    <row r="7342" spans="1:2" x14ac:dyDescent="0.4">
      <c r="A7342" s="4">
        <v>1004002</v>
      </c>
      <c r="B7342">
        <v>7351900</v>
      </c>
    </row>
    <row r="7343" spans="1:2" x14ac:dyDescent="0.4">
      <c r="A7343" s="4">
        <v>1004002</v>
      </c>
      <c r="B7343">
        <v>7352000</v>
      </c>
    </row>
    <row r="7344" spans="1:2" x14ac:dyDescent="0.4">
      <c r="A7344" s="4">
        <v>1004002</v>
      </c>
      <c r="B7344">
        <v>7352100</v>
      </c>
    </row>
    <row r="7345" spans="1:2" x14ac:dyDescent="0.4">
      <c r="A7345" s="4">
        <v>1004002</v>
      </c>
      <c r="B7345">
        <v>7352200</v>
      </c>
    </row>
    <row r="7346" spans="1:2" x14ac:dyDescent="0.4">
      <c r="A7346" s="4">
        <v>1004002</v>
      </c>
      <c r="B7346">
        <v>7352300</v>
      </c>
    </row>
    <row r="7347" spans="1:2" x14ac:dyDescent="0.4">
      <c r="A7347" s="4">
        <v>1004002</v>
      </c>
      <c r="B7347">
        <v>7352400</v>
      </c>
    </row>
    <row r="7348" spans="1:2" x14ac:dyDescent="0.4">
      <c r="A7348" s="4">
        <v>1004002</v>
      </c>
      <c r="B7348">
        <v>7360600</v>
      </c>
    </row>
    <row r="7349" spans="1:2" x14ac:dyDescent="0.4">
      <c r="A7349" s="4">
        <v>1004002</v>
      </c>
      <c r="B7349">
        <v>7360900</v>
      </c>
    </row>
    <row r="7350" spans="1:2" x14ac:dyDescent="0.4">
      <c r="A7350" s="4">
        <v>1004002</v>
      </c>
      <c r="B7350">
        <v>7361200</v>
      </c>
    </row>
    <row r="7351" spans="1:2" x14ac:dyDescent="0.4">
      <c r="A7351" s="4">
        <v>1004002</v>
      </c>
      <c r="B7351">
        <v>7361300</v>
      </c>
    </row>
    <row r="7352" spans="1:2" x14ac:dyDescent="0.4">
      <c r="A7352" s="4">
        <v>1004002</v>
      </c>
      <c r="B7352">
        <v>7362100</v>
      </c>
    </row>
    <row r="7353" spans="1:2" x14ac:dyDescent="0.4">
      <c r="A7353" s="4">
        <v>1004002</v>
      </c>
      <c r="B7353">
        <v>7370300</v>
      </c>
    </row>
    <row r="7354" spans="1:2" x14ac:dyDescent="0.4">
      <c r="A7354" s="4">
        <v>1004002</v>
      </c>
      <c r="B7354">
        <v>7370400</v>
      </c>
    </row>
    <row r="7355" spans="1:2" x14ac:dyDescent="0.4">
      <c r="A7355" s="4">
        <v>1004002</v>
      </c>
      <c r="B7355">
        <v>7370600</v>
      </c>
    </row>
    <row r="7356" spans="1:2" x14ac:dyDescent="0.4">
      <c r="A7356" s="4">
        <v>1004002</v>
      </c>
      <c r="B7356">
        <v>7370900</v>
      </c>
    </row>
    <row r="7357" spans="1:2" x14ac:dyDescent="0.4">
      <c r="A7357" s="4">
        <v>1004002</v>
      </c>
      <c r="B7357">
        <v>7371500</v>
      </c>
    </row>
    <row r="7358" spans="1:2" x14ac:dyDescent="0.4">
      <c r="A7358" s="4">
        <v>1004002</v>
      </c>
      <c r="B7358">
        <v>7036200</v>
      </c>
    </row>
    <row r="7359" spans="1:2" x14ac:dyDescent="0.4">
      <c r="A7359" s="4">
        <v>1004002</v>
      </c>
      <c r="B7359">
        <v>7036300</v>
      </c>
    </row>
    <row r="7360" spans="1:2" x14ac:dyDescent="0.4">
      <c r="A7360" s="4">
        <v>1004002</v>
      </c>
      <c r="B7360">
        <v>7036400</v>
      </c>
    </row>
    <row r="7361" spans="1:2" x14ac:dyDescent="0.4">
      <c r="A7361" s="4">
        <v>1004002</v>
      </c>
      <c r="B7361">
        <v>7036500</v>
      </c>
    </row>
    <row r="7362" spans="1:2" x14ac:dyDescent="0.4">
      <c r="A7362" s="4">
        <v>1004002</v>
      </c>
      <c r="B7362">
        <v>7036800</v>
      </c>
    </row>
    <row r="7363" spans="1:2" x14ac:dyDescent="0.4">
      <c r="A7363" s="4">
        <v>1004002</v>
      </c>
      <c r="B7363">
        <v>7036900</v>
      </c>
    </row>
    <row r="7364" spans="1:2" x14ac:dyDescent="0.4">
      <c r="A7364" s="4">
        <v>1004002</v>
      </c>
      <c r="B7364">
        <v>7037000</v>
      </c>
    </row>
    <row r="7365" spans="1:2" x14ac:dyDescent="0.4">
      <c r="A7365" s="4">
        <v>1004002</v>
      </c>
      <c r="B7365">
        <v>7037300</v>
      </c>
    </row>
    <row r="7366" spans="1:2" x14ac:dyDescent="0.4">
      <c r="A7366" s="4">
        <v>1004002</v>
      </c>
      <c r="B7366">
        <v>6630000</v>
      </c>
    </row>
    <row r="7367" spans="1:2" x14ac:dyDescent="0.4">
      <c r="A7367" s="4">
        <v>1004002</v>
      </c>
      <c r="B7367">
        <v>6630100</v>
      </c>
    </row>
    <row r="7368" spans="1:2" x14ac:dyDescent="0.4">
      <c r="A7368" s="4">
        <v>1004002</v>
      </c>
      <c r="B7368">
        <v>6630200</v>
      </c>
    </row>
    <row r="7369" spans="1:2" x14ac:dyDescent="0.4">
      <c r="A7369" s="4">
        <v>1004002</v>
      </c>
      <c r="B7369">
        <v>6630300</v>
      </c>
    </row>
    <row r="7370" spans="1:2" x14ac:dyDescent="0.4">
      <c r="A7370" s="4">
        <v>1004002</v>
      </c>
      <c r="B7370">
        <v>6630400</v>
      </c>
    </row>
    <row r="7371" spans="1:2" x14ac:dyDescent="0.4">
      <c r="A7371" s="4">
        <v>1004002</v>
      </c>
      <c r="B7371">
        <v>6630500</v>
      </c>
    </row>
    <row r="7372" spans="1:2" x14ac:dyDescent="0.4">
      <c r="A7372" s="4">
        <v>1004002</v>
      </c>
      <c r="B7372">
        <v>6630600</v>
      </c>
    </row>
    <row r="7373" spans="1:2" x14ac:dyDescent="0.4">
      <c r="A7373" s="4">
        <v>1004002</v>
      </c>
      <c r="B7373">
        <v>6630700</v>
      </c>
    </row>
    <row r="7374" spans="1:2" x14ac:dyDescent="0.4">
      <c r="A7374" s="4">
        <v>1004002</v>
      </c>
      <c r="B7374">
        <v>6630800</v>
      </c>
    </row>
    <row r="7375" spans="1:2" x14ac:dyDescent="0.4">
      <c r="A7375" s="4">
        <v>1004002</v>
      </c>
      <c r="B7375">
        <v>6630900</v>
      </c>
    </row>
    <row r="7376" spans="1:2" x14ac:dyDescent="0.4">
      <c r="A7376" s="4">
        <v>1004002</v>
      </c>
      <c r="B7376">
        <v>6631000</v>
      </c>
    </row>
    <row r="7377" spans="1:2" x14ac:dyDescent="0.4">
      <c r="A7377" s="4">
        <v>1004002</v>
      </c>
      <c r="B7377">
        <v>6631100</v>
      </c>
    </row>
    <row r="7378" spans="1:2" x14ac:dyDescent="0.4">
      <c r="A7378" s="4">
        <v>1004002</v>
      </c>
      <c r="B7378">
        <v>6631200</v>
      </c>
    </row>
    <row r="7379" spans="1:2" x14ac:dyDescent="0.4">
      <c r="A7379" s="4">
        <v>1004002</v>
      </c>
      <c r="B7379">
        <v>6631300</v>
      </c>
    </row>
    <row r="7380" spans="1:2" x14ac:dyDescent="0.4">
      <c r="A7380" s="4">
        <v>1004002</v>
      </c>
      <c r="B7380">
        <v>6631400</v>
      </c>
    </row>
    <row r="7381" spans="1:2" x14ac:dyDescent="0.4">
      <c r="A7381" s="4">
        <v>1004002</v>
      </c>
      <c r="B7381">
        <v>6631500</v>
      </c>
    </row>
    <row r="7382" spans="1:2" x14ac:dyDescent="0.4">
      <c r="A7382" s="4">
        <v>1004002</v>
      </c>
      <c r="B7382">
        <v>6631600</v>
      </c>
    </row>
    <row r="7383" spans="1:2" x14ac:dyDescent="0.4">
      <c r="A7383" s="4">
        <v>1004002</v>
      </c>
      <c r="B7383">
        <v>6631700</v>
      </c>
    </row>
    <row r="7384" spans="1:2" x14ac:dyDescent="0.4">
      <c r="A7384" s="4">
        <v>1004002</v>
      </c>
      <c r="B7384">
        <v>6631800</v>
      </c>
    </row>
    <row r="7385" spans="1:2" x14ac:dyDescent="0.4">
      <c r="A7385" s="4">
        <v>1004002</v>
      </c>
      <c r="B7385">
        <v>6631900</v>
      </c>
    </row>
    <row r="7386" spans="1:2" x14ac:dyDescent="0.4">
      <c r="A7386" s="4">
        <v>1004002</v>
      </c>
      <c r="B7386">
        <v>6632000</v>
      </c>
    </row>
    <row r="7387" spans="1:2" x14ac:dyDescent="0.4">
      <c r="A7387" s="4">
        <v>1004002</v>
      </c>
      <c r="B7387">
        <v>6632100</v>
      </c>
    </row>
    <row r="7388" spans="1:2" x14ac:dyDescent="0.4">
      <c r="A7388" s="4">
        <v>1004002</v>
      </c>
      <c r="B7388">
        <v>6632200</v>
      </c>
    </row>
    <row r="7389" spans="1:2" x14ac:dyDescent="0.4">
      <c r="A7389" s="4">
        <v>1004002</v>
      </c>
      <c r="B7389">
        <v>6632300</v>
      </c>
    </row>
    <row r="7390" spans="1:2" x14ac:dyDescent="0.4">
      <c r="A7390" s="4">
        <v>1004002</v>
      </c>
      <c r="B7390">
        <v>6632400</v>
      </c>
    </row>
    <row r="7391" spans="1:2" x14ac:dyDescent="0.4">
      <c r="A7391" s="4">
        <v>1004002</v>
      </c>
      <c r="B7391">
        <v>6632500</v>
      </c>
    </row>
    <row r="7392" spans="1:2" x14ac:dyDescent="0.4">
      <c r="A7392" s="4">
        <v>1004002</v>
      </c>
      <c r="B7392">
        <v>6632600</v>
      </c>
    </row>
    <row r="7393" spans="1:2" x14ac:dyDescent="0.4">
      <c r="A7393" s="4">
        <v>1004002</v>
      </c>
      <c r="B7393">
        <v>6632700</v>
      </c>
    </row>
    <row r="7394" spans="1:2" x14ac:dyDescent="0.4">
      <c r="A7394" s="4">
        <v>1004002</v>
      </c>
      <c r="B7394">
        <v>6632800</v>
      </c>
    </row>
    <row r="7395" spans="1:2" x14ac:dyDescent="0.4">
      <c r="A7395" s="4">
        <v>1004002</v>
      </c>
      <c r="B7395">
        <v>6632900</v>
      </c>
    </row>
    <row r="7396" spans="1:2" x14ac:dyDescent="0.4">
      <c r="A7396" s="4">
        <v>1004002</v>
      </c>
      <c r="B7396">
        <v>6633000</v>
      </c>
    </row>
    <row r="7397" spans="1:2" x14ac:dyDescent="0.4">
      <c r="A7397" s="4">
        <v>1004002</v>
      </c>
      <c r="B7397">
        <v>6633100</v>
      </c>
    </row>
    <row r="7398" spans="1:2" x14ac:dyDescent="0.4">
      <c r="A7398" s="4">
        <v>1004002</v>
      </c>
      <c r="B7398">
        <v>6633200</v>
      </c>
    </row>
    <row r="7399" spans="1:2" x14ac:dyDescent="0.4">
      <c r="A7399" s="4">
        <v>1004002</v>
      </c>
      <c r="B7399">
        <v>6647200</v>
      </c>
    </row>
    <row r="7400" spans="1:2" x14ac:dyDescent="0.4">
      <c r="A7400" s="4">
        <v>1004002</v>
      </c>
      <c r="B7400">
        <v>6647300</v>
      </c>
    </row>
    <row r="7401" spans="1:2" x14ac:dyDescent="0.4">
      <c r="A7401" s="4">
        <v>1004002</v>
      </c>
      <c r="B7401">
        <v>6647400</v>
      </c>
    </row>
    <row r="7402" spans="1:2" x14ac:dyDescent="0.4">
      <c r="A7402" s="4">
        <v>1004002</v>
      </c>
      <c r="B7402">
        <v>6647500</v>
      </c>
    </row>
    <row r="7403" spans="1:2" x14ac:dyDescent="0.4">
      <c r="A7403" s="4">
        <v>1004002</v>
      </c>
      <c r="B7403">
        <v>6640000</v>
      </c>
    </row>
    <row r="7404" spans="1:2" x14ac:dyDescent="0.4">
      <c r="A7404" s="4">
        <v>1004002</v>
      </c>
      <c r="B7404">
        <v>6640100</v>
      </c>
    </row>
    <row r="7405" spans="1:2" x14ac:dyDescent="0.4">
      <c r="A7405" s="4">
        <v>1004002</v>
      </c>
      <c r="B7405">
        <v>6641000</v>
      </c>
    </row>
    <row r="7406" spans="1:2" x14ac:dyDescent="0.4">
      <c r="A7406" s="4">
        <v>1004002</v>
      </c>
      <c r="B7406">
        <v>6641100</v>
      </c>
    </row>
    <row r="7407" spans="1:2" x14ac:dyDescent="0.4">
      <c r="A7407" s="4">
        <v>1004002</v>
      </c>
      <c r="B7407">
        <v>6642000</v>
      </c>
    </row>
    <row r="7408" spans="1:2" x14ac:dyDescent="0.4">
      <c r="A7408" s="4">
        <v>1004002</v>
      </c>
      <c r="B7408">
        <v>6642100</v>
      </c>
    </row>
    <row r="7409" spans="1:2" x14ac:dyDescent="0.4">
      <c r="A7409" s="4">
        <v>1004002</v>
      </c>
      <c r="B7409">
        <v>6643000</v>
      </c>
    </row>
    <row r="7410" spans="1:2" x14ac:dyDescent="0.4">
      <c r="A7410" s="4">
        <v>1004002</v>
      </c>
      <c r="B7410">
        <v>6643100</v>
      </c>
    </row>
    <row r="7411" spans="1:2" x14ac:dyDescent="0.4">
      <c r="A7411" s="4">
        <v>1004002</v>
      </c>
      <c r="B7411">
        <v>6644000</v>
      </c>
    </row>
    <row r="7412" spans="1:2" x14ac:dyDescent="0.4">
      <c r="A7412" s="4">
        <v>1004002</v>
      </c>
      <c r="B7412">
        <v>6644100</v>
      </c>
    </row>
    <row r="7413" spans="1:2" x14ac:dyDescent="0.4">
      <c r="A7413" s="4">
        <v>1004002</v>
      </c>
      <c r="B7413">
        <v>6645000</v>
      </c>
    </row>
    <row r="7414" spans="1:2" x14ac:dyDescent="0.4">
      <c r="A7414" s="4">
        <v>1004002</v>
      </c>
      <c r="B7414">
        <v>6645100</v>
      </c>
    </row>
    <row r="7415" spans="1:2" x14ac:dyDescent="0.4">
      <c r="A7415" s="4">
        <v>1004002</v>
      </c>
      <c r="B7415">
        <v>6646000</v>
      </c>
    </row>
    <row r="7416" spans="1:2" x14ac:dyDescent="0.4">
      <c r="A7416" s="4">
        <v>1004002</v>
      </c>
      <c r="B7416">
        <v>6646100</v>
      </c>
    </row>
    <row r="7417" spans="1:2" x14ac:dyDescent="0.4">
      <c r="A7417" s="4">
        <v>1004002</v>
      </c>
      <c r="B7417">
        <v>6647000</v>
      </c>
    </row>
    <row r="7418" spans="1:2" x14ac:dyDescent="0.4">
      <c r="A7418" s="4">
        <v>1004002</v>
      </c>
      <c r="B7418">
        <v>6647100</v>
      </c>
    </row>
    <row r="7419" spans="1:2" x14ac:dyDescent="0.4">
      <c r="A7419" s="4">
        <v>1005000</v>
      </c>
      <c r="B7419">
        <v>7000000</v>
      </c>
    </row>
    <row r="7420" spans="1:2" x14ac:dyDescent="0.4">
      <c r="A7420" s="4">
        <v>1005000</v>
      </c>
      <c r="B7420">
        <v>7000001</v>
      </c>
    </row>
    <row r="7421" spans="1:2" x14ac:dyDescent="0.4">
      <c r="A7421" s="4">
        <v>1005000</v>
      </c>
      <c r="B7421">
        <v>7000002</v>
      </c>
    </row>
    <row r="7422" spans="1:2" x14ac:dyDescent="0.4">
      <c r="A7422" s="4">
        <v>1005000</v>
      </c>
      <c r="B7422">
        <v>7000100</v>
      </c>
    </row>
    <row r="7423" spans="1:2" x14ac:dyDescent="0.4">
      <c r="A7423" s="4">
        <v>1005000</v>
      </c>
      <c r="B7423">
        <v>7000101</v>
      </c>
    </row>
    <row r="7424" spans="1:2" x14ac:dyDescent="0.4">
      <c r="A7424" s="4">
        <v>1005000</v>
      </c>
      <c r="B7424">
        <v>7000102</v>
      </c>
    </row>
    <row r="7425" spans="1:2" x14ac:dyDescent="0.4">
      <c r="A7425" s="4">
        <v>1005000</v>
      </c>
      <c r="B7425">
        <v>7000200</v>
      </c>
    </row>
    <row r="7426" spans="1:2" x14ac:dyDescent="0.4">
      <c r="A7426" s="4">
        <v>1005000</v>
      </c>
      <c r="B7426">
        <v>7000201</v>
      </c>
    </row>
    <row r="7427" spans="1:2" x14ac:dyDescent="0.4">
      <c r="A7427" s="4">
        <v>1005000</v>
      </c>
      <c r="B7427">
        <v>7000202</v>
      </c>
    </row>
    <row r="7428" spans="1:2" x14ac:dyDescent="0.4">
      <c r="A7428" s="4">
        <v>1005000</v>
      </c>
      <c r="B7428">
        <v>7000300</v>
      </c>
    </row>
    <row r="7429" spans="1:2" x14ac:dyDescent="0.4">
      <c r="A7429" s="4">
        <v>1005000</v>
      </c>
      <c r="B7429">
        <v>7000301</v>
      </c>
    </row>
    <row r="7430" spans="1:2" x14ac:dyDescent="0.4">
      <c r="A7430" s="4">
        <v>1005000</v>
      </c>
      <c r="B7430">
        <v>7000302</v>
      </c>
    </row>
    <row r="7431" spans="1:2" x14ac:dyDescent="0.4">
      <c r="A7431" s="4">
        <v>1005000</v>
      </c>
      <c r="B7431">
        <v>7000400</v>
      </c>
    </row>
    <row r="7432" spans="1:2" x14ac:dyDescent="0.4">
      <c r="A7432" s="4">
        <v>1005000</v>
      </c>
      <c r="B7432">
        <v>7000401</v>
      </c>
    </row>
    <row r="7433" spans="1:2" x14ac:dyDescent="0.4">
      <c r="A7433" s="4">
        <v>1005000</v>
      </c>
      <c r="B7433">
        <v>7000402</v>
      </c>
    </row>
    <row r="7434" spans="1:2" x14ac:dyDescent="0.4">
      <c r="A7434" s="4">
        <v>1005000</v>
      </c>
      <c r="B7434">
        <v>7000500</v>
      </c>
    </row>
    <row r="7435" spans="1:2" x14ac:dyDescent="0.4">
      <c r="A7435" s="4">
        <v>1005000</v>
      </c>
      <c r="B7435">
        <v>7000501</v>
      </c>
    </row>
    <row r="7436" spans="1:2" x14ac:dyDescent="0.4">
      <c r="A7436" s="4">
        <v>1005000</v>
      </c>
      <c r="B7436">
        <v>7000502</v>
      </c>
    </row>
    <row r="7437" spans="1:2" x14ac:dyDescent="0.4">
      <c r="A7437" s="4">
        <v>1005000</v>
      </c>
      <c r="B7437">
        <v>7000600</v>
      </c>
    </row>
    <row r="7438" spans="1:2" x14ac:dyDescent="0.4">
      <c r="A7438" s="4">
        <v>1005000</v>
      </c>
      <c r="B7438">
        <v>7000601</v>
      </c>
    </row>
    <row r="7439" spans="1:2" x14ac:dyDescent="0.4">
      <c r="A7439" s="4">
        <v>1005000</v>
      </c>
      <c r="B7439">
        <v>7000602</v>
      </c>
    </row>
    <row r="7440" spans="1:2" x14ac:dyDescent="0.4">
      <c r="A7440" s="4">
        <v>1005000</v>
      </c>
      <c r="B7440">
        <v>7000700</v>
      </c>
    </row>
    <row r="7441" spans="1:2" x14ac:dyDescent="0.4">
      <c r="A7441" s="4">
        <v>1005000</v>
      </c>
      <c r="B7441">
        <v>7000701</v>
      </c>
    </row>
    <row r="7442" spans="1:2" x14ac:dyDescent="0.4">
      <c r="A7442" s="4">
        <v>1005000</v>
      </c>
      <c r="B7442">
        <v>7000702</v>
      </c>
    </row>
    <row r="7443" spans="1:2" x14ac:dyDescent="0.4">
      <c r="A7443" s="4">
        <v>1005000</v>
      </c>
      <c r="B7443">
        <v>7000800</v>
      </c>
    </row>
    <row r="7444" spans="1:2" x14ac:dyDescent="0.4">
      <c r="A7444" s="4">
        <v>1005000</v>
      </c>
      <c r="B7444">
        <v>7000801</v>
      </c>
    </row>
    <row r="7445" spans="1:2" x14ac:dyDescent="0.4">
      <c r="A7445" s="4">
        <v>1005000</v>
      </c>
      <c r="B7445">
        <v>7000802</v>
      </c>
    </row>
    <row r="7446" spans="1:2" x14ac:dyDescent="0.4">
      <c r="A7446" s="4">
        <v>1005000</v>
      </c>
      <c r="B7446">
        <v>7000900</v>
      </c>
    </row>
    <row r="7447" spans="1:2" x14ac:dyDescent="0.4">
      <c r="A7447" s="4">
        <v>1005000</v>
      </c>
      <c r="B7447">
        <v>7000901</v>
      </c>
    </row>
    <row r="7448" spans="1:2" x14ac:dyDescent="0.4">
      <c r="A7448" s="4">
        <v>1005000</v>
      </c>
      <c r="B7448">
        <v>7000902</v>
      </c>
    </row>
    <row r="7449" spans="1:2" x14ac:dyDescent="0.4">
      <c r="A7449" s="4">
        <v>1005000</v>
      </c>
      <c r="B7449">
        <v>7001000</v>
      </c>
    </row>
    <row r="7450" spans="1:2" x14ac:dyDescent="0.4">
      <c r="A7450" s="4">
        <v>1005000</v>
      </c>
      <c r="B7450">
        <v>7001001</v>
      </c>
    </row>
    <row r="7451" spans="1:2" x14ac:dyDescent="0.4">
      <c r="A7451" s="4">
        <v>1005000</v>
      </c>
      <c r="B7451">
        <v>7001002</v>
      </c>
    </row>
    <row r="7452" spans="1:2" x14ac:dyDescent="0.4">
      <c r="A7452" s="4">
        <v>1005000</v>
      </c>
      <c r="B7452">
        <v>7001400</v>
      </c>
    </row>
    <row r="7453" spans="1:2" x14ac:dyDescent="0.4">
      <c r="A7453" s="4">
        <v>1005000</v>
      </c>
      <c r="B7453">
        <v>7001401</v>
      </c>
    </row>
    <row r="7454" spans="1:2" x14ac:dyDescent="0.4">
      <c r="A7454" s="4">
        <v>1005000</v>
      </c>
      <c r="B7454">
        <v>7001402</v>
      </c>
    </row>
    <row r="7455" spans="1:2" x14ac:dyDescent="0.4">
      <c r="A7455" s="4">
        <v>1005000</v>
      </c>
      <c r="B7455">
        <v>7001500</v>
      </c>
    </row>
    <row r="7456" spans="1:2" x14ac:dyDescent="0.4">
      <c r="A7456" s="4">
        <v>1005000</v>
      </c>
      <c r="B7456">
        <v>7001501</v>
      </c>
    </row>
    <row r="7457" spans="1:2" x14ac:dyDescent="0.4">
      <c r="A7457" s="4">
        <v>1005000</v>
      </c>
      <c r="B7457">
        <v>7001502</v>
      </c>
    </row>
    <row r="7458" spans="1:2" x14ac:dyDescent="0.4">
      <c r="A7458" s="4">
        <v>1005000</v>
      </c>
      <c r="B7458">
        <v>7001600</v>
      </c>
    </row>
    <row r="7459" spans="1:2" x14ac:dyDescent="0.4">
      <c r="A7459" s="4">
        <v>1005000</v>
      </c>
      <c r="B7459">
        <v>7001601</v>
      </c>
    </row>
    <row r="7460" spans="1:2" x14ac:dyDescent="0.4">
      <c r="A7460" s="4">
        <v>1005000</v>
      </c>
      <c r="B7460">
        <v>7001602</v>
      </c>
    </row>
    <row r="7461" spans="1:2" x14ac:dyDescent="0.4">
      <c r="A7461" s="4">
        <v>1005000</v>
      </c>
      <c r="B7461">
        <v>7001700</v>
      </c>
    </row>
    <row r="7462" spans="1:2" x14ac:dyDescent="0.4">
      <c r="A7462" s="4">
        <v>1005000</v>
      </c>
      <c r="B7462">
        <v>7001701</v>
      </c>
    </row>
    <row r="7463" spans="1:2" x14ac:dyDescent="0.4">
      <c r="A7463" s="4">
        <v>1005000</v>
      </c>
      <c r="B7463">
        <v>7001702</v>
      </c>
    </row>
    <row r="7464" spans="1:2" x14ac:dyDescent="0.4">
      <c r="A7464" s="4">
        <v>1005000</v>
      </c>
      <c r="B7464">
        <v>7001800</v>
      </c>
    </row>
    <row r="7465" spans="1:2" x14ac:dyDescent="0.4">
      <c r="A7465" s="4">
        <v>1005000</v>
      </c>
      <c r="B7465">
        <v>7001801</v>
      </c>
    </row>
    <row r="7466" spans="1:2" x14ac:dyDescent="0.4">
      <c r="A7466" s="4">
        <v>1005000</v>
      </c>
      <c r="B7466">
        <v>7001802</v>
      </c>
    </row>
    <row r="7467" spans="1:2" x14ac:dyDescent="0.4">
      <c r="A7467" s="4">
        <v>1005000</v>
      </c>
      <c r="B7467">
        <v>7002600</v>
      </c>
    </row>
    <row r="7468" spans="1:2" x14ac:dyDescent="0.4">
      <c r="A7468" s="4">
        <v>1005000</v>
      </c>
      <c r="B7468">
        <v>7002700</v>
      </c>
    </row>
    <row r="7469" spans="1:2" x14ac:dyDescent="0.4">
      <c r="A7469" s="4">
        <v>1005000</v>
      </c>
      <c r="B7469">
        <v>7002800</v>
      </c>
    </row>
    <row r="7470" spans="1:2" x14ac:dyDescent="0.4">
      <c r="A7470" s="4">
        <v>1005000</v>
      </c>
      <c r="B7470">
        <v>7002900</v>
      </c>
    </row>
    <row r="7471" spans="1:2" x14ac:dyDescent="0.4">
      <c r="A7471" s="4">
        <v>1005000</v>
      </c>
      <c r="B7471">
        <v>7003000</v>
      </c>
    </row>
    <row r="7472" spans="1:2" x14ac:dyDescent="0.4">
      <c r="A7472" s="4">
        <v>1005000</v>
      </c>
      <c r="B7472">
        <v>7003100</v>
      </c>
    </row>
    <row r="7473" spans="1:2" x14ac:dyDescent="0.4">
      <c r="A7473" s="4">
        <v>1005000</v>
      </c>
      <c r="B7473">
        <v>7003200</v>
      </c>
    </row>
    <row r="7474" spans="1:2" x14ac:dyDescent="0.4">
      <c r="A7474" s="4">
        <v>1005000</v>
      </c>
      <c r="B7474">
        <v>7003300</v>
      </c>
    </row>
    <row r="7475" spans="1:2" x14ac:dyDescent="0.4">
      <c r="A7475" s="4">
        <v>1005000</v>
      </c>
      <c r="B7475">
        <v>7003400</v>
      </c>
    </row>
    <row r="7476" spans="1:2" x14ac:dyDescent="0.4">
      <c r="A7476" s="4">
        <v>1005000</v>
      </c>
      <c r="B7476">
        <v>7003500</v>
      </c>
    </row>
    <row r="7477" spans="1:2" x14ac:dyDescent="0.4">
      <c r="A7477" s="4">
        <v>1005000</v>
      </c>
      <c r="B7477">
        <v>7003600</v>
      </c>
    </row>
    <row r="7478" spans="1:2" x14ac:dyDescent="0.4">
      <c r="A7478" s="4">
        <v>1005000</v>
      </c>
      <c r="B7478">
        <v>7005600</v>
      </c>
    </row>
    <row r="7479" spans="1:2" x14ac:dyDescent="0.4">
      <c r="A7479" s="4">
        <v>1005000</v>
      </c>
      <c r="B7479">
        <v>7006000</v>
      </c>
    </row>
    <row r="7480" spans="1:2" x14ac:dyDescent="0.4">
      <c r="A7480" s="4">
        <v>1005000</v>
      </c>
      <c r="B7480">
        <v>7006100</v>
      </c>
    </row>
    <row r="7481" spans="1:2" x14ac:dyDescent="0.4">
      <c r="A7481" s="4">
        <v>1005000</v>
      </c>
      <c r="B7481">
        <v>7010200</v>
      </c>
    </row>
    <row r="7482" spans="1:2" x14ac:dyDescent="0.4">
      <c r="A7482" s="4">
        <v>1005000</v>
      </c>
      <c r="B7482">
        <v>7010500</v>
      </c>
    </row>
    <row r="7483" spans="1:2" x14ac:dyDescent="0.4">
      <c r="A7483" s="4">
        <v>1005000</v>
      </c>
      <c r="B7483">
        <v>7010700</v>
      </c>
    </row>
    <row r="7484" spans="1:2" x14ac:dyDescent="0.4">
      <c r="A7484" s="4">
        <v>1005000</v>
      </c>
      <c r="B7484">
        <v>7010900</v>
      </c>
    </row>
    <row r="7485" spans="1:2" x14ac:dyDescent="0.4">
      <c r="A7485" s="4">
        <v>1005000</v>
      </c>
      <c r="B7485">
        <v>7011000</v>
      </c>
    </row>
    <row r="7486" spans="1:2" x14ac:dyDescent="0.4">
      <c r="A7486" s="4">
        <v>1005000</v>
      </c>
      <c r="B7486">
        <v>7011200</v>
      </c>
    </row>
    <row r="7487" spans="1:2" x14ac:dyDescent="0.4">
      <c r="A7487" s="4">
        <v>1005000</v>
      </c>
      <c r="B7487">
        <v>7011600</v>
      </c>
    </row>
    <row r="7488" spans="1:2" x14ac:dyDescent="0.4">
      <c r="A7488" s="4">
        <v>1005000</v>
      </c>
      <c r="B7488">
        <v>7011700</v>
      </c>
    </row>
    <row r="7489" spans="1:2" x14ac:dyDescent="0.4">
      <c r="A7489" s="4">
        <v>1005000</v>
      </c>
      <c r="B7489">
        <v>7012000</v>
      </c>
    </row>
    <row r="7490" spans="1:2" x14ac:dyDescent="0.4">
      <c r="A7490" s="4">
        <v>1005000</v>
      </c>
      <c r="B7490">
        <v>7012200</v>
      </c>
    </row>
    <row r="7491" spans="1:2" x14ac:dyDescent="0.4">
      <c r="A7491" s="4">
        <v>1005000</v>
      </c>
      <c r="B7491">
        <v>7012300</v>
      </c>
    </row>
    <row r="7492" spans="1:2" x14ac:dyDescent="0.4">
      <c r="A7492" s="4">
        <v>1005000</v>
      </c>
      <c r="B7492">
        <v>7020000</v>
      </c>
    </row>
    <row r="7493" spans="1:2" x14ac:dyDescent="0.4">
      <c r="A7493" s="4">
        <v>1005000</v>
      </c>
      <c r="B7493">
        <v>7030000</v>
      </c>
    </row>
    <row r="7494" spans="1:2" x14ac:dyDescent="0.4">
      <c r="A7494" s="4">
        <v>1005000</v>
      </c>
      <c r="B7494">
        <v>7030200</v>
      </c>
    </row>
    <row r="7495" spans="1:2" x14ac:dyDescent="0.4">
      <c r="A7495" s="4">
        <v>1005000</v>
      </c>
      <c r="B7495">
        <v>7030600</v>
      </c>
    </row>
    <row r="7496" spans="1:2" x14ac:dyDescent="0.4">
      <c r="A7496" s="4">
        <v>1005000</v>
      </c>
      <c r="B7496">
        <v>7030700</v>
      </c>
    </row>
    <row r="7497" spans="1:2" x14ac:dyDescent="0.4">
      <c r="A7497" s="4">
        <v>1005000</v>
      </c>
      <c r="B7497">
        <v>7030800</v>
      </c>
    </row>
    <row r="7498" spans="1:2" x14ac:dyDescent="0.4">
      <c r="A7498" s="4">
        <v>1005000</v>
      </c>
      <c r="B7498">
        <v>7030900</v>
      </c>
    </row>
    <row r="7499" spans="1:2" x14ac:dyDescent="0.4">
      <c r="A7499" s="4">
        <v>1005000</v>
      </c>
      <c r="B7499">
        <v>7031200</v>
      </c>
    </row>
    <row r="7500" spans="1:2" x14ac:dyDescent="0.4">
      <c r="A7500" s="4">
        <v>1005000</v>
      </c>
      <c r="B7500">
        <v>7031300</v>
      </c>
    </row>
    <row r="7501" spans="1:2" x14ac:dyDescent="0.4">
      <c r="A7501" s="4">
        <v>1005000</v>
      </c>
      <c r="B7501">
        <v>7031800</v>
      </c>
    </row>
    <row r="7502" spans="1:2" x14ac:dyDescent="0.4">
      <c r="A7502" s="4">
        <v>1005000</v>
      </c>
      <c r="B7502">
        <v>7031900</v>
      </c>
    </row>
    <row r="7503" spans="1:2" x14ac:dyDescent="0.4">
      <c r="A7503" s="4">
        <v>1005000</v>
      </c>
      <c r="B7503">
        <v>7032200</v>
      </c>
    </row>
    <row r="7504" spans="1:2" x14ac:dyDescent="0.4">
      <c r="A7504" s="4">
        <v>1005000</v>
      </c>
      <c r="B7504">
        <v>7032400</v>
      </c>
    </row>
    <row r="7505" spans="1:2" x14ac:dyDescent="0.4">
      <c r="A7505" s="4">
        <v>1005000</v>
      </c>
      <c r="B7505">
        <v>7032700</v>
      </c>
    </row>
    <row r="7506" spans="1:2" x14ac:dyDescent="0.4">
      <c r="A7506" s="4">
        <v>1005000</v>
      </c>
      <c r="B7506">
        <v>7032800</v>
      </c>
    </row>
    <row r="7507" spans="1:2" x14ac:dyDescent="0.4">
      <c r="A7507" s="4">
        <v>1005000</v>
      </c>
      <c r="B7507">
        <v>7032900</v>
      </c>
    </row>
    <row r="7508" spans="1:2" x14ac:dyDescent="0.4">
      <c r="A7508" s="4">
        <v>1005000</v>
      </c>
      <c r="B7508">
        <v>7033200</v>
      </c>
    </row>
    <row r="7509" spans="1:2" x14ac:dyDescent="0.4">
      <c r="A7509" s="4">
        <v>1005000</v>
      </c>
      <c r="B7509">
        <v>7033400</v>
      </c>
    </row>
    <row r="7510" spans="1:2" x14ac:dyDescent="0.4">
      <c r="A7510" s="4">
        <v>1005000</v>
      </c>
      <c r="B7510">
        <v>7034100</v>
      </c>
    </row>
    <row r="7511" spans="1:2" x14ac:dyDescent="0.4">
      <c r="A7511" s="4">
        <v>1005000</v>
      </c>
      <c r="B7511">
        <v>7034400</v>
      </c>
    </row>
    <row r="7512" spans="1:2" x14ac:dyDescent="0.4">
      <c r="A7512" s="4">
        <v>1005000</v>
      </c>
      <c r="B7512">
        <v>7034500</v>
      </c>
    </row>
    <row r="7513" spans="1:2" x14ac:dyDescent="0.4">
      <c r="A7513" s="4">
        <v>1005000</v>
      </c>
      <c r="B7513">
        <v>7034600</v>
      </c>
    </row>
    <row r="7514" spans="1:2" x14ac:dyDescent="0.4">
      <c r="A7514" s="4">
        <v>1005000</v>
      </c>
      <c r="B7514">
        <v>7034700</v>
      </c>
    </row>
    <row r="7515" spans="1:2" x14ac:dyDescent="0.4">
      <c r="A7515" s="4">
        <v>1005000</v>
      </c>
      <c r="B7515">
        <v>7035100</v>
      </c>
    </row>
    <row r="7516" spans="1:2" x14ac:dyDescent="0.4">
      <c r="A7516" s="4">
        <v>1005000</v>
      </c>
      <c r="B7516">
        <v>7036100</v>
      </c>
    </row>
    <row r="7517" spans="1:2" x14ac:dyDescent="0.4">
      <c r="A7517" s="4">
        <v>1005000</v>
      </c>
      <c r="B7517">
        <v>7040000</v>
      </c>
    </row>
    <row r="7518" spans="1:2" x14ac:dyDescent="0.4">
      <c r="A7518" s="4">
        <v>1005000</v>
      </c>
      <c r="B7518">
        <v>7040100</v>
      </c>
    </row>
    <row r="7519" spans="1:2" x14ac:dyDescent="0.4">
      <c r="A7519" s="4">
        <v>1005000</v>
      </c>
      <c r="B7519">
        <v>7040200</v>
      </c>
    </row>
    <row r="7520" spans="1:2" x14ac:dyDescent="0.4">
      <c r="A7520" s="4">
        <v>1005000</v>
      </c>
      <c r="B7520">
        <v>7040300</v>
      </c>
    </row>
    <row r="7521" spans="1:2" x14ac:dyDescent="0.4">
      <c r="A7521" s="4">
        <v>1005000</v>
      </c>
      <c r="B7521">
        <v>7040400</v>
      </c>
    </row>
    <row r="7522" spans="1:2" x14ac:dyDescent="0.4">
      <c r="A7522" s="4">
        <v>1005000</v>
      </c>
      <c r="B7522">
        <v>7040500</v>
      </c>
    </row>
    <row r="7523" spans="1:2" x14ac:dyDescent="0.4">
      <c r="A7523" s="4">
        <v>1005000</v>
      </c>
      <c r="B7523">
        <v>7043000</v>
      </c>
    </row>
    <row r="7524" spans="1:2" x14ac:dyDescent="0.4">
      <c r="A7524" s="4">
        <v>1005000</v>
      </c>
      <c r="B7524">
        <v>7043100</v>
      </c>
    </row>
    <row r="7525" spans="1:2" x14ac:dyDescent="0.4">
      <c r="A7525" s="4">
        <v>1005000</v>
      </c>
      <c r="B7525">
        <v>7043200</v>
      </c>
    </row>
    <row r="7526" spans="1:2" x14ac:dyDescent="0.4">
      <c r="A7526" s="4">
        <v>1005000</v>
      </c>
      <c r="B7526">
        <v>7043300</v>
      </c>
    </row>
    <row r="7527" spans="1:2" x14ac:dyDescent="0.4">
      <c r="A7527" s="4">
        <v>1005000</v>
      </c>
      <c r="B7527">
        <v>7043400</v>
      </c>
    </row>
    <row r="7528" spans="1:2" x14ac:dyDescent="0.4">
      <c r="A7528" s="4">
        <v>1005000</v>
      </c>
      <c r="B7528">
        <v>7043500</v>
      </c>
    </row>
    <row r="7529" spans="1:2" x14ac:dyDescent="0.4">
      <c r="A7529" s="4">
        <v>1005000</v>
      </c>
      <c r="B7529">
        <v>7043600</v>
      </c>
    </row>
    <row r="7530" spans="1:2" x14ac:dyDescent="0.4">
      <c r="A7530" s="4">
        <v>1005000</v>
      </c>
      <c r="B7530">
        <v>7043700</v>
      </c>
    </row>
    <row r="7531" spans="1:2" x14ac:dyDescent="0.4">
      <c r="A7531" s="4">
        <v>1005000</v>
      </c>
      <c r="B7531">
        <v>7043800</v>
      </c>
    </row>
    <row r="7532" spans="1:2" x14ac:dyDescent="0.4">
      <c r="A7532" s="4">
        <v>1005000</v>
      </c>
      <c r="B7532">
        <v>7044000</v>
      </c>
    </row>
    <row r="7533" spans="1:2" x14ac:dyDescent="0.4">
      <c r="A7533" s="4">
        <v>1005000</v>
      </c>
      <c r="B7533">
        <v>7044100</v>
      </c>
    </row>
    <row r="7534" spans="1:2" x14ac:dyDescent="0.4">
      <c r="A7534" s="4">
        <v>1005000</v>
      </c>
      <c r="B7534">
        <v>7044200</v>
      </c>
    </row>
    <row r="7535" spans="1:2" x14ac:dyDescent="0.4">
      <c r="A7535" s="4">
        <v>1005000</v>
      </c>
      <c r="B7535">
        <v>7044300</v>
      </c>
    </row>
    <row r="7536" spans="1:2" x14ac:dyDescent="0.4">
      <c r="A7536" s="4">
        <v>1005000</v>
      </c>
      <c r="B7536">
        <v>7044400</v>
      </c>
    </row>
    <row r="7537" spans="1:2" x14ac:dyDescent="0.4">
      <c r="A7537" s="4">
        <v>1005000</v>
      </c>
      <c r="B7537">
        <v>7044500</v>
      </c>
    </row>
    <row r="7538" spans="1:2" x14ac:dyDescent="0.4">
      <c r="A7538" s="4">
        <v>1005000</v>
      </c>
      <c r="B7538">
        <v>7044600</v>
      </c>
    </row>
    <row r="7539" spans="1:2" x14ac:dyDescent="0.4">
      <c r="A7539" s="4">
        <v>1005000</v>
      </c>
      <c r="B7539">
        <v>7050000</v>
      </c>
    </row>
    <row r="7540" spans="1:2" x14ac:dyDescent="0.4">
      <c r="A7540" s="4">
        <v>1005000</v>
      </c>
      <c r="B7540">
        <v>7050100</v>
      </c>
    </row>
    <row r="7541" spans="1:2" x14ac:dyDescent="0.4">
      <c r="A7541" s="4">
        <v>1005000</v>
      </c>
      <c r="B7541">
        <v>7060000</v>
      </c>
    </row>
    <row r="7542" spans="1:2" x14ac:dyDescent="0.4">
      <c r="A7542" s="4">
        <v>1005000</v>
      </c>
      <c r="B7542">
        <v>7060100</v>
      </c>
    </row>
    <row r="7543" spans="1:2" x14ac:dyDescent="0.4">
      <c r="A7543" s="4">
        <v>1005000</v>
      </c>
      <c r="B7543">
        <v>7060200</v>
      </c>
    </row>
    <row r="7544" spans="1:2" x14ac:dyDescent="0.4">
      <c r="A7544" s="4">
        <v>1005000</v>
      </c>
      <c r="B7544">
        <v>7070000</v>
      </c>
    </row>
    <row r="7545" spans="1:2" x14ac:dyDescent="0.4">
      <c r="A7545" s="4">
        <v>1005000</v>
      </c>
      <c r="B7545">
        <v>7080000</v>
      </c>
    </row>
    <row r="7546" spans="1:2" x14ac:dyDescent="0.4">
      <c r="A7546" s="4">
        <v>1005000</v>
      </c>
      <c r="B7546">
        <v>7080100</v>
      </c>
    </row>
    <row r="7547" spans="1:2" x14ac:dyDescent="0.4">
      <c r="A7547" s="4">
        <v>1005000</v>
      </c>
      <c r="B7547">
        <v>7080200</v>
      </c>
    </row>
    <row r="7548" spans="1:2" x14ac:dyDescent="0.4">
      <c r="A7548" s="4">
        <v>1005000</v>
      </c>
      <c r="B7548">
        <v>7080300</v>
      </c>
    </row>
    <row r="7549" spans="1:2" x14ac:dyDescent="0.4">
      <c r="A7549" s="4">
        <v>1005000</v>
      </c>
      <c r="B7549">
        <v>7080400</v>
      </c>
    </row>
    <row r="7550" spans="1:2" x14ac:dyDescent="0.4">
      <c r="A7550" s="4">
        <v>1005000</v>
      </c>
      <c r="B7550">
        <v>7080500</v>
      </c>
    </row>
    <row r="7551" spans="1:2" x14ac:dyDescent="0.4">
      <c r="A7551" s="4">
        <v>1005000</v>
      </c>
      <c r="B7551">
        <v>7080600</v>
      </c>
    </row>
    <row r="7552" spans="1:2" x14ac:dyDescent="0.4">
      <c r="A7552" s="4">
        <v>1005000</v>
      </c>
      <c r="B7552">
        <v>7080700</v>
      </c>
    </row>
    <row r="7553" spans="1:2" x14ac:dyDescent="0.4">
      <c r="A7553" s="4">
        <v>1005000</v>
      </c>
      <c r="B7553">
        <v>7080800</v>
      </c>
    </row>
    <row r="7554" spans="1:2" x14ac:dyDescent="0.4">
      <c r="A7554" s="4">
        <v>1005000</v>
      </c>
      <c r="B7554">
        <v>7080900</v>
      </c>
    </row>
    <row r="7555" spans="1:2" x14ac:dyDescent="0.4">
      <c r="A7555" s="4">
        <v>1005000</v>
      </c>
      <c r="B7555">
        <v>7081000</v>
      </c>
    </row>
    <row r="7556" spans="1:2" x14ac:dyDescent="0.4">
      <c r="A7556" s="4">
        <v>1005000</v>
      </c>
      <c r="B7556">
        <v>7081100</v>
      </c>
    </row>
    <row r="7557" spans="1:2" x14ac:dyDescent="0.4">
      <c r="A7557" s="4">
        <v>1005000</v>
      </c>
      <c r="B7557">
        <v>7081200</v>
      </c>
    </row>
    <row r="7558" spans="1:2" x14ac:dyDescent="0.4">
      <c r="A7558" s="4">
        <v>1005000</v>
      </c>
      <c r="B7558">
        <v>7081300</v>
      </c>
    </row>
    <row r="7559" spans="1:2" x14ac:dyDescent="0.4">
      <c r="A7559" s="4">
        <v>1005000</v>
      </c>
      <c r="B7559">
        <v>7081400</v>
      </c>
    </row>
    <row r="7560" spans="1:2" x14ac:dyDescent="0.4">
      <c r="A7560" s="4">
        <v>1005000</v>
      </c>
      <c r="B7560">
        <v>7081500</v>
      </c>
    </row>
    <row r="7561" spans="1:2" x14ac:dyDescent="0.4">
      <c r="A7561" s="4">
        <v>1005000</v>
      </c>
      <c r="B7561">
        <v>7081700</v>
      </c>
    </row>
    <row r="7562" spans="1:2" x14ac:dyDescent="0.4">
      <c r="A7562" s="4">
        <v>1005000</v>
      </c>
      <c r="B7562">
        <v>7081800</v>
      </c>
    </row>
    <row r="7563" spans="1:2" x14ac:dyDescent="0.4">
      <c r="A7563" s="4">
        <v>1005000</v>
      </c>
      <c r="B7563">
        <v>7081900</v>
      </c>
    </row>
    <row r="7564" spans="1:2" x14ac:dyDescent="0.4">
      <c r="A7564" s="4">
        <v>1005000</v>
      </c>
      <c r="B7564">
        <v>7082000</v>
      </c>
    </row>
    <row r="7565" spans="1:2" x14ac:dyDescent="0.4">
      <c r="A7565" s="4">
        <v>1005000</v>
      </c>
      <c r="B7565">
        <v>7082100</v>
      </c>
    </row>
    <row r="7566" spans="1:2" x14ac:dyDescent="0.4">
      <c r="A7566" s="4">
        <v>1005000</v>
      </c>
      <c r="B7566">
        <v>7082200</v>
      </c>
    </row>
    <row r="7567" spans="1:2" x14ac:dyDescent="0.4">
      <c r="A7567" s="4">
        <v>1005000</v>
      </c>
      <c r="B7567">
        <v>7082300</v>
      </c>
    </row>
    <row r="7568" spans="1:2" x14ac:dyDescent="0.4">
      <c r="A7568" s="4">
        <v>1005000</v>
      </c>
      <c r="B7568">
        <v>7082400</v>
      </c>
    </row>
    <row r="7569" spans="1:2" x14ac:dyDescent="0.4">
      <c r="A7569" s="4">
        <v>1005000</v>
      </c>
      <c r="B7569">
        <v>7082500</v>
      </c>
    </row>
    <row r="7570" spans="1:2" x14ac:dyDescent="0.4">
      <c r="A7570" s="4">
        <v>1005000</v>
      </c>
      <c r="B7570">
        <v>7082600</v>
      </c>
    </row>
    <row r="7571" spans="1:2" x14ac:dyDescent="0.4">
      <c r="A7571" s="4">
        <v>1005000</v>
      </c>
      <c r="B7571">
        <v>7082700</v>
      </c>
    </row>
    <row r="7572" spans="1:2" x14ac:dyDescent="0.4">
      <c r="A7572" s="4">
        <v>1005000</v>
      </c>
      <c r="B7572">
        <v>7082800</v>
      </c>
    </row>
    <row r="7573" spans="1:2" x14ac:dyDescent="0.4">
      <c r="A7573" s="4">
        <v>1005000</v>
      </c>
      <c r="B7573">
        <v>7082900</v>
      </c>
    </row>
    <row r="7574" spans="1:2" x14ac:dyDescent="0.4">
      <c r="A7574" s="4">
        <v>1005000</v>
      </c>
      <c r="B7574">
        <v>7090000</v>
      </c>
    </row>
    <row r="7575" spans="1:2" x14ac:dyDescent="0.4">
      <c r="A7575" s="4">
        <v>1005000</v>
      </c>
      <c r="B7575">
        <v>7090100</v>
      </c>
    </row>
    <row r="7576" spans="1:2" x14ac:dyDescent="0.4">
      <c r="A7576" s="4">
        <v>1005000</v>
      </c>
      <c r="B7576">
        <v>7090300</v>
      </c>
    </row>
    <row r="7577" spans="1:2" x14ac:dyDescent="0.4">
      <c r="A7577" s="4">
        <v>1005000</v>
      </c>
      <c r="B7577">
        <v>7100100</v>
      </c>
    </row>
    <row r="7578" spans="1:2" x14ac:dyDescent="0.4">
      <c r="A7578" s="4">
        <v>1005000</v>
      </c>
      <c r="B7578">
        <v>7110000</v>
      </c>
    </row>
    <row r="7579" spans="1:2" x14ac:dyDescent="0.4">
      <c r="A7579" s="4">
        <v>1005000</v>
      </c>
      <c r="B7579">
        <v>7120000</v>
      </c>
    </row>
    <row r="7580" spans="1:2" x14ac:dyDescent="0.4">
      <c r="A7580" s="4">
        <v>1005000</v>
      </c>
      <c r="B7580">
        <v>7120100</v>
      </c>
    </row>
    <row r="7581" spans="1:2" x14ac:dyDescent="0.4">
      <c r="A7581" s="4">
        <v>1005000</v>
      </c>
      <c r="B7581">
        <v>7120200</v>
      </c>
    </row>
    <row r="7582" spans="1:2" x14ac:dyDescent="0.4">
      <c r="A7582" s="4">
        <v>1005000</v>
      </c>
      <c r="B7582">
        <v>7120300</v>
      </c>
    </row>
    <row r="7583" spans="1:2" x14ac:dyDescent="0.4">
      <c r="A7583" s="4">
        <v>1005000</v>
      </c>
      <c r="B7583">
        <v>7120400</v>
      </c>
    </row>
    <row r="7584" spans="1:2" x14ac:dyDescent="0.4">
      <c r="A7584" s="4">
        <v>1005000</v>
      </c>
      <c r="B7584">
        <v>7120500</v>
      </c>
    </row>
    <row r="7585" spans="1:2" x14ac:dyDescent="0.4">
      <c r="A7585" s="4">
        <v>1005000</v>
      </c>
      <c r="B7585">
        <v>7120600</v>
      </c>
    </row>
    <row r="7586" spans="1:2" x14ac:dyDescent="0.4">
      <c r="A7586" s="4">
        <v>1005000</v>
      </c>
      <c r="B7586">
        <v>7120900</v>
      </c>
    </row>
    <row r="7587" spans="1:2" x14ac:dyDescent="0.4">
      <c r="A7587" s="4">
        <v>1005000</v>
      </c>
      <c r="B7587">
        <v>7121000</v>
      </c>
    </row>
    <row r="7588" spans="1:2" x14ac:dyDescent="0.4">
      <c r="A7588" s="4">
        <v>1005000</v>
      </c>
      <c r="B7588">
        <v>7121100</v>
      </c>
    </row>
    <row r="7589" spans="1:2" x14ac:dyDescent="0.4">
      <c r="A7589" s="4">
        <v>1005000</v>
      </c>
      <c r="B7589">
        <v>7121200</v>
      </c>
    </row>
    <row r="7590" spans="1:2" x14ac:dyDescent="0.4">
      <c r="A7590" s="4">
        <v>1005000</v>
      </c>
      <c r="B7590">
        <v>7121300</v>
      </c>
    </row>
    <row r="7591" spans="1:2" x14ac:dyDescent="0.4">
      <c r="A7591" s="4">
        <v>1005000</v>
      </c>
      <c r="B7591">
        <v>7121400</v>
      </c>
    </row>
    <row r="7592" spans="1:2" x14ac:dyDescent="0.4">
      <c r="A7592" s="4">
        <v>1005000</v>
      </c>
      <c r="B7592">
        <v>7121500</v>
      </c>
    </row>
    <row r="7593" spans="1:2" x14ac:dyDescent="0.4">
      <c r="A7593" s="4">
        <v>1005000</v>
      </c>
      <c r="B7593">
        <v>7121600</v>
      </c>
    </row>
    <row r="7594" spans="1:2" x14ac:dyDescent="0.4">
      <c r="A7594" s="4">
        <v>1005000</v>
      </c>
      <c r="B7594">
        <v>7121700</v>
      </c>
    </row>
    <row r="7595" spans="1:2" x14ac:dyDescent="0.4">
      <c r="A7595" s="4">
        <v>1005000</v>
      </c>
      <c r="B7595">
        <v>7121800</v>
      </c>
    </row>
    <row r="7596" spans="1:2" x14ac:dyDescent="0.4">
      <c r="A7596" s="4">
        <v>1005000</v>
      </c>
      <c r="B7596">
        <v>7121900</v>
      </c>
    </row>
    <row r="7597" spans="1:2" x14ac:dyDescent="0.4">
      <c r="A7597" s="4">
        <v>1005000</v>
      </c>
      <c r="B7597">
        <v>7122000</v>
      </c>
    </row>
    <row r="7598" spans="1:2" x14ac:dyDescent="0.4">
      <c r="A7598" s="4">
        <v>1005000</v>
      </c>
      <c r="B7598">
        <v>7122100</v>
      </c>
    </row>
    <row r="7599" spans="1:2" x14ac:dyDescent="0.4">
      <c r="A7599" s="4">
        <v>1005000</v>
      </c>
      <c r="B7599">
        <v>7122200</v>
      </c>
    </row>
    <row r="7600" spans="1:2" x14ac:dyDescent="0.4">
      <c r="A7600" s="4">
        <v>1005000</v>
      </c>
      <c r="B7600">
        <v>7122300</v>
      </c>
    </row>
    <row r="7601" spans="1:2" x14ac:dyDescent="0.4">
      <c r="A7601" s="4">
        <v>1005000</v>
      </c>
      <c r="B7601">
        <v>7122400</v>
      </c>
    </row>
    <row r="7602" spans="1:2" x14ac:dyDescent="0.4">
      <c r="A7602" s="4">
        <v>1005000</v>
      </c>
      <c r="B7602">
        <v>7122500</v>
      </c>
    </row>
    <row r="7603" spans="1:2" x14ac:dyDescent="0.4">
      <c r="A7603" s="4">
        <v>1005000</v>
      </c>
      <c r="B7603">
        <v>7122600</v>
      </c>
    </row>
    <row r="7604" spans="1:2" x14ac:dyDescent="0.4">
      <c r="A7604" s="4">
        <v>1005000</v>
      </c>
      <c r="B7604">
        <v>7122700</v>
      </c>
    </row>
    <row r="7605" spans="1:2" x14ac:dyDescent="0.4">
      <c r="A7605" s="4">
        <v>1005000</v>
      </c>
      <c r="B7605">
        <v>7122800</v>
      </c>
    </row>
    <row r="7606" spans="1:2" x14ac:dyDescent="0.4">
      <c r="A7606" s="4">
        <v>1005000</v>
      </c>
      <c r="B7606">
        <v>7122900</v>
      </c>
    </row>
    <row r="7607" spans="1:2" x14ac:dyDescent="0.4">
      <c r="A7607" s="4">
        <v>1005000</v>
      </c>
      <c r="B7607">
        <v>7123000</v>
      </c>
    </row>
    <row r="7608" spans="1:2" x14ac:dyDescent="0.4">
      <c r="A7608" s="4">
        <v>1005000</v>
      </c>
      <c r="B7608">
        <v>7123100</v>
      </c>
    </row>
    <row r="7609" spans="1:2" x14ac:dyDescent="0.4">
      <c r="A7609" s="4">
        <v>1005000</v>
      </c>
      <c r="B7609">
        <v>7123200</v>
      </c>
    </row>
    <row r="7610" spans="1:2" x14ac:dyDescent="0.4">
      <c r="A7610" s="4">
        <v>1005000</v>
      </c>
      <c r="B7610">
        <v>7123300</v>
      </c>
    </row>
    <row r="7611" spans="1:2" x14ac:dyDescent="0.4">
      <c r="A7611" s="4">
        <v>1005000</v>
      </c>
      <c r="B7611">
        <v>7123400</v>
      </c>
    </row>
    <row r="7612" spans="1:2" x14ac:dyDescent="0.4">
      <c r="A7612" s="4">
        <v>1005000</v>
      </c>
      <c r="B7612">
        <v>7123500</v>
      </c>
    </row>
    <row r="7613" spans="1:2" x14ac:dyDescent="0.4">
      <c r="A7613" s="4">
        <v>1005000</v>
      </c>
      <c r="B7613">
        <v>7123600</v>
      </c>
    </row>
    <row r="7614" spans="1:2" x14ac:dyDescent="0.4">
      <c r="A7614" s="4">
        <v>1005000</v>
      </c>
      <c r="B7614">
        <v>7123700</v>
      </c>
    </row>
    <row r="7615" spans="1:2" x14ac:dyDescent="0.4">
      <c r="A7615" s="4">
        <v>1005000</v>
      </c>
      <c r="B7615">
        <v>7123800</v>
      </c>
    </row>
    <row r="7616" spans="1:2" x14ac:dyDescent="0.4">
      <c r="A7616" s="4">
        <v>1005000</v>
      </c>
      <c r="B7616">
        <v>7123900</v>
      </c>
    </row>
    <row r="7617" spans="1:2" x14ac:dyDescent="0.4">
      <c r="A7617" s="4">
        <v>1005000</v>
      </c>
      <c r="B7617">
        <v>7124000</v>
      </c>
    </row>
    <row r="7618" spans="1:2" x14ac:dyDescent="0.4">
      <c r="A7618" s="4">
        <v>1005000</v>
      </c>
      <c r="B7618">
        <v>7124100</v>
      </c>
    </row>
    <row r="7619" spans="1:2" x14ac:dyDescent="0.4">
      <c r="A7619" s="4">
        <v>1005000</v>
      </c>
      <c r="B7619">
        <v>7124300</v>
      </c>
    </row>
    <row r="7620" spans="1:2" x14ac:dyDescent="0.4">
      <c r="A7620" s="4">
        <v>1005000</v>
      </c>
      <c r="B7620">
        <v>7124400</v>
      </c>
    </row>
    <row r="7621" spans="1:2" x14ac:dyDescent="0.4">
      <c r="A7621" s="4">
        <v>1005000</v>
      </c>
      <c r="B7621">
        <v>7124500</v>
      </c>
    </row>
    <row r="7622" spans="1:2" x14ac:dyDescent="0.4">
      <c r="A7622" s="4">
        <v>1005000</v>
      </c>
      <c r="B7622">
        <v>7124600</v>
      </c>
    </row>
    <row r="7623" spans="1:2" x14ac:dyDescent="0.4">
      <c r="A7623" s="4">
        <v>1005000</v>
      </c>
      <c r="B7623">
        <v>7124700</v>
      </c>
    </row>
    <row r="7624" spans="1:2" x14ac:dyDescent="0.4">
      <c r="A7624" s="4">
        <v>1005000</v>
      </c>
      <c r="B7624">
        <v>7126000</v>
      </c>
    </row>
    <row r="7625" spans="1:2" x14ac:dyDescent="0.4">
      <c r="A7625" s="4">
        <v>1005000</v>
      </c>
      <c r="B7625">
        <v>7150000</v>
      </c>
    </row>
    <row r="7626" spans="1:2" x14ac:dyDescent="0.4">
      <c r="A7626" s="4">
        <v>1005000</v>
      </c>
      <c r="B7626">
        <v>7160000</v>
      </c>
    </row>
    <row r="7627" spans="1:2" x14ac:dyDescent="0.4">
      <c r="A7627" s="4">
        <v>1005000</v>
      </c>
      <c r="B7627">
        <v>7220000</v>
      </c>
    </row>
    <row r="7628" spans="1:2" x14ac:dyDescent="0.4">
      <c r="A7628" s="4">
        <v>1005000</v>
      </c>
      <c r="B7628">
        <v>7230000</v>
      </c>
    </row>
    <row r="7629" spans="1:2" x14ac:dyDescent="0.4">
      <c r="A7629" s="4">
        <v>1005000</v>
      </c>
      <c r="B7629">
        <v>7240000</v>
      </c>
    </row>
    <row r="7630" spans="1:2" x14ac:dyDescent="0.4">
      <c r="A7630" s="4">
        <v>1005000</v>
      </c>
      <c r="B7630">
        <v>7260000</v>
      </c>
    </row>
    <row r="7631" spans="1:2" x14ac:dyDescent="0.4">
      <c r="A7631" s="4">
        <v>1005000</v>
      </c>
      <c r="B7631">
        <v>7260300</v>
      </c>
    </row>
    <row r="7632" spans="1:2" x14ac:dyDescent="0.4">
      <c r="A7632" s="4">
        <v>1005000</v>
      </c>
      <c r="B7632">
        <v>7260400</v>
      </c>
    </row>
    <row r="7633" spans="1:2" x14ac:dyDescent="0.4">
      <c r="A7633" s="4">
        <v>1005000</v>
      </c>
      <c r="B7633">
        <v>7270100</v>
      </c>
    </row>
    <row r="7634" spans="1:2" x14ac:dyDescent="0.4">
      <c r="A7634" s="4">
        <v>1005000</v>
      </c>
      <c r="B7634">
        <v>7280000</v>
      </c>
    </row>
    <row r="7635" spans="1:2" x14ac:dyDescent="0.4">
      <c r="A7635" s="4">
        <v>1005000</v>
      </c>
      <c r="B7635">
        <v>7290000</v>
      </c>
    </row>
    <row r="7636" spans="1:2" x14ac:dyDescent="0.4">
      <c r="A7636" s="4">
        <v>1005000</v>
      </c>
      <c r="B7636">
        <v>7310000</v>
      </c>
    </row>
    <row r="7637" spans="1:2" x14ac:dyDescent="0.4">
      <c r="A7637" s="4">
        <v>1005000</v>
      </c>
      <c r="B7637">
        <v>7330000</v>
      </c>
    </row>
    <row r="7638" spans="1:2" x14ac:dyDescent="0.4">
      <c r="A7638" s="4">
        <v>1005000</v>
      </c>
      <c r="B7638">
        <v>7330100</v>
      </c>
    </row>
    <row r="7639" spans="1:2" x14ac:dyDescent="0.4">
      <c r="A7639" s="4">
        <v>1005000</v>
      </c>
      <c r="B7639">
        <v>7330200</v>
      </c>
    </row>
    <row r="7640" spans="1:2" x14ac:dyDescent="0.4">
      <c r="A7640" s="4">
        <v>1005000</v>
      </c>
      <c r="B7640">
        <v>7330300</v>
      </c>
    </row>
    <row r="7641" spans="1:2" x14ac:dyDescent="0.4">
      <c r="A7641" s="4">
        <v>1005000</v>
      </c>
      <c r="B7641">
        <v>7330400</v>
      </c>
    </row>
    <row r="7642" spans="1:2" x14ac:dyDescent="0.4">
      <c r="A7642" s="4">
        <v>1005000</v>
      </c>
      <c r="B7642">
        <v>7330500</v>
      </c>
    </row>
    <row r="7643" spans="1:2" x14ac:dyDescent="0.4">
      <c r="A7643" s="4">
        <v>1005000</v>
      </c>
      <c r="B7643">
        <v>7330600</v>
      </c>
    </row>
    <row r="7644" spans="1:2" x14ac:dyDescent="0.4">
      <c r="A7644" s="4">
        <v>1005000</v>
      </c>
      <c r="B7644">
        <v>7330700</v>
      </c>
    </row>
    <row r="7645" spans="1:2" x14ac:dyDescent="0.4">
      <c r="A7645" s="4">
        <v>1005000</v>
      </c>
      <c r="B7645">
        <v>7330800</v>
      </c>
    </row>
    <row r="7646" spans="1:2" x14ac:dyDescent="0.4">
      <c r="A7646" s="4">
        <v>1005000</v>
      </c>
      <c r="B7646">
        <v>7330900</v>
      </c>
    </row>
    <row r="7647" spans="1:2" x14ac:dyDescent="0.4">
      <c r="A7647" s="4">
        <v>1005000</v>
      </c>
      <c r="B7647">
        <v>7331000</v>
      </c>
    </row>
    <row r="7648" spans="1:2" x14ac:dyDescent="0.4">
      <c r="A7648" s="4">
        <v>1005000</v>
      </c>
      <c r="B7648">
        <v>7331100</v>
      </c>
    </row>
    <row r="7649" spans="1:2" x14ac:dyDescent="0.4">
      <c r="A7649" s="4">
        <v>1005000</v>
      </c>
      <c r="B7649">
        <v>7331200</v>
      </c>
    </row>
    <row r="7650" spans="1:2" x14ac:dyDescent="0.4">
      <c r="A7650" s="4">
        <v>1005000</v>
      </c>
      <c r="B7650">
        <v>7331300</v>
      </c>
    </row>
    <row r="7651" spans="1:2" x14ac:dyDescent="0.4">
      <c r="A7651" s="4">
        <v>1005000</v>
      </c>
      <c r="B7651">
        <v>7331400</v>
      </c>
    </row>
    <row r="7652" spans="1:2" x14ac:dyDescent="0.4">
      <c r="A7652" s="4">
        <v>1005000</v>
      </c>
      <c r="B7652">
        <v>7331500</v>
      </c>
    </row>
    <row r="7653" spans="1:2" x14ac:dyDescent="0.4">
      <c r="A7653" s="4">
        <v>1005000</v>
      </c>
      <c r="B7653">
        <v>7331700</v>
      </c>
    </row>
    <row r="7654" spans="1:2" x14ac:dyDescent="0.4">
      <c r="A7654" s="4">
        <v>1005000</v>
      </c>
      <c r="B7654">
        <v>7331800</v>
      </c>
    </row>
    <row r="7655" spans="1:2" x14ac:dyDescent="0.4">
      <c r="A7655" s="4">
        <v>1005000</v>
      </c>
      <c r="B7655">
        <v>7331900</v>
      </c>
    </row>
    <row r="7656" spans="1:2" x14ac:dyDescent="0.4">
      <c r="A7656" s="4">
        <v>1005000</v>
      </c>
      <c r="B7656">
        <v>7332000</v>
      </c>
    </row>
    <row r="7657" spans="1:2" x14ac:dyDescent="0.4">
      <c r="A7657" s="4">
        <v>1005000</v>
      </c>
      <c r="B7657">
        <v>7332100</v>
      </c>
    </row>
    <row r="7658" spans="1:2" x14ac:dyDescent="0.4">
      <c r="A7658" s="4">
        <v>1005000</v>
      </c>
      <c r="B7658">
        <v>7332200</v>
      </c>
    </row>
    <row r="7659" spans="1:2" x14ac:dyDescent="0.4">
      <c r="A7659" s="4">
        <v>1005000</v>
      </c>
      <c r="B7659">
        <v>7332300</v>
      </c>
    </row>
    <row r="7660" spans="1:2" x14ac:dyDescent="0.4">
      <c r="A7660" s="4">
        <v>1005000</v>
      </c>
      <c r="B7660">
        <v>7332400</v>
      </c>
    </row>
    <row r="7661" spans="1:2" x14ac:dyDescent="0.4">
      <c r="A7661" s="4">
        <v>1005000</v>
      </c>
      <c r="B7661">
        <v>7340000</v>
      </c>
    </row>
    <row r="7662" spans="1:2" x14ac:dyDescent="0.4">
      <c r="A7662" s="4">
        <v>1005000</v>
      </c>
      <c r="B7662">
        <v>7340100</v>
      </c>
    </row>
    <row r="7663" spans="1:2" x14ac:dyDescent="0.4">
      <c r="A7663" s="4">
        <v>1005000</v>
      </c>
      <c r="B7663">
        <v>7340200</v>
      </c>
    </row>
    <row r="7664" spans="1:2" x14ac:dyDescent="0.4">
      <c r="A7664" s="4">
        <v>1005000</v>
      </c>
      <c r="B7664">
        <v>7340300</v>
      </c>
    </row>
    <row r="7665" spans="1:2" x14ac:dyDescent="0.4">
      <c r="A7665" s="4">
        <v>1005000</v>
      </c>
      <c r="B7665">
        <v>7340400</v>
      </c>
    </row>
    <row r="7666" spans="1:2" x14ac:dyDescent="0.4">
      <c r="A7666" s="4">
        <v>1005000</v>
      </c>
      <c r="B7666">
        <v>7340500</v>
      </c>
    </row>
    <row r="7667" spans="1:2" x14ac:dyDescent="0.4">
      <c r="A7667" s="4">
        <v>1005000</v>
      </c>
      <c r="B7667">
        <v>7340600</v>
      </c>
    </row>
    <row r="7668" spans="1:2" x14ac:dyDescent="0.4">
      <c r="A7668" s="4">
        <v>1005000</v>
      </c>
      <c r="B7668">
        <v>7340700</v>
      </c>
    </row>
    <row r="7669" spans="1:2" x14ac:dyDescent="0.4">
      <c r="A7669" s="4">
        <v>1005000</v>
      </c>
      <c r="B7669">
        <v>7340800</v>
      </c>
    </row>
    <row r="7670" spans="1:2" x14ac:dyDescent="0.4">
      <c r="A7670" s="4">
        <v>1005000</v>
      </c>
      <c r="B7670">
        <v>7340900</v>
      </c>
    </row>
    <row r="7671" spans="1:2" x14ac:dyDescent="0.4">
      <c r="A7671" s="4">
        <v>1005000</v>
      </c>
      <c r="B7671">
        <v>7341000</v>
      </c>
    </row>
    <row r="7672" spans="1:2" x14ac:dyDescent="0.4">
      <c r="A7672" s="4">
        <v>1005000</v>
      </c>
      <c r="B7672">
        <v>7341100</v>
      </c>
    </row>
    <row r="7673" spans="1:2" x14ac:dyDescent="0.4">
      <c r="A7673" s="4">
        <v>1005000</v>
      </c>
      <c r="B7673">
        <v>7341200</v>
      </c>
    </row>
    <row r="7674" spans="1:2" x14ac:dyDescent="0.4">
      <c r="A7674" s="4">
        <v>1005000</v>
      </c>
      <c r="B7674">
        <v>7341300</v>
      </c>
    </row>
    <row r="7675" spans="1:2" x14ac:dyDescent="0.4">
      <c r="A7675" s="4">
        <v>1005000</v>
      </c>
      <c r="B7675">
        <v>7341400</v>
      </c>
    </row>
    <row r="7676" spans="1:2" x14ac:dyDescent="0.4">
      <c r="A7676" s="4">
        <v>1005000</v>
      </c>
      <c r="B7676">
        <v>7341500</v>
      </c>
    </row>
    <row r="7677" spans="1:2" x14ac:dyDescent="0.4">
      <c r="A7677" s="4">
        <v>1005000</v>
      </c>
      <c r="B7677">
        <v>7341700</v>
      </c>
    </row>
    <row r="7678" spans="1:2" x14ac:dyDescent="0.4">
      <c r="A7678" s="4">
        <v>1005000</v>
      </c>
      <c r="B7678">
        <v>7341800</v>
      </c>
    </row>
    <row r="7679" spans="1:2" x14ac:dyDescent="0.4">
      <c r="A7679" s="4">
        <v>1005000</v>
      </c>
      <c r="B7679">
        <v>7341900</v>
      </c>
    </row>
    <row r="7680" spans="1:2" x14ac:dyDescent="0.4">
      <c r="A7680" s="4">
        <v>1005000</v>
      </c>
      <c r="B7680">
        <v>7342000</v>
      </c>
    </row>
    <row r="7681" spans="1:2" x14ac:dyDescent="0.4">
      <c r="A7681" s="4">
        <v>1005000</v>
      </c>
      <c r="B7681">
        <v>7342100</v>
      </c>
    </row>
    <row r="7682" spans="1:2" x14ac:dyDescent="0.4">
      <c r="A7682" s="4">
        <v>1005000</v>
      </c>
      <c r="B7682">
        <v>7342200</v>
      </c>
    </row>
    <row r="7683" spans="1:2" x14ac:dyDescent="0.4">
      <c r="A7683" s="4">
        <v>1005000</v>
      </c>
      <c r="B7683">
        <v>7342300</v>
      </c>
    </row>
    <row r="7684" spans="1:2" x14ac:dyDescent="0.4">
      <c r="A7684" s="4">
        <v>1005000</v>
      </c>
      <c r="B7684">
        <v>7342400</v>
      </c>
    </row>
    <row r="7685" spans="1:2" x14ac:dyDescent="0.4">
      <c r="A7685" s="4">
        <v>1005000</v>
      </c>
      <c r="B7685">
        <v>7350000</v>
      </c>
    </row>
    <row r="7686" spans="1:2" x14ac:dyDescent="0.4">
      <c r="A7686" s="4">
        <v>1005000</v>
      </c>
      <c r="B7686">
        <v>7350100</v>
      </c>
    </row>
    <row r="7687" spans="1:2" x14ac:dyDescent="0.4">
      <c r="A7687" s="4">
        <v>1005000</v>
      </c>
      <c r="B7687">
        <v>7350200</v>
      </c>
    </row>
    <row r="7688" spans="1:2" x14ac:dyDescent="0.4">
      <c r="A7688" s="4">
        <v>1005000</v>
      </c>
      <c r="B7688">
        <v>7350300</v>
      </c>
    </row>
    <row r="7689" spans="1:2" x14ac:dyDescent="0.4">
      <c r="A7689" s="4">
        <v>1005000</v>
      </c>
      <c r="B7689">
        <v>7350400</v>
      </c>
    </row>
    <row r="7690" spans="1:2" x14ac:dyDescent="0.4">
      <c r="A7690" s="4">
        <v>1005000</v>
      </c>
      <c r="B7690">
        <v>7350500</v>
      </c>
    </row>
    <row r="7691" spans="1:2" x14ac:dyDescent="0.4">
      <c r="A7691" s="4">
        <v>1005000</v>
      </c>
      <c r="B7691">
        <v>7350600</v>
      </c>
    </row>
    <row r="7692" spans="1:2" x14ac:dyDescent="0.4">
      <c r="A7692" s="4">
        <v>1005000</v>
      </c>
      <c r="B7692">
        <v>7350700</v>
      </c>
    </row>
    <row r="7693" spans="1:2" x14ac:dyDescent="0.4">
      <c r="A7693" s="4">
        <v>1005000</v>
      </c>
      <c r="B7693">
        <v>7350800</v>
      </c>
    </row>
    <row r="7694" spans="1:2" x14ac:dyDescent="0.4">
      <c r="A7694" s="4">
        <v>1005000</v>
      </c>
      <c r="B7694">
        <v>7350900</v>
      </c>
    </row>
    <row r="7695" spans="1:2" x14ac:dyDescent="0.4">
      <c r="A7695" s="4">
        <v>1005000</v>
      </c>
      <c r="B7695">
        <v>7351000</v>
      </c>
    </row>
    <row r="7696" spans="1:2" x14ac:dyDescent="0.4">
      <c r="A7696" s="4">
        <v>1005000</v>
      </c>
      <c r="B7696">
        <v>7351100</v>
      </c>
    </row>
    <row r="7697" spans="1:2" x14ac:dyDescent="0.4">
      <c r="A7697" s="4">
        <v>1005000</v>
      </c>
      <c r="B7697">
        <v>7351200</v>
      </c>
    </row>
    <row r="7698" spans="1:2" x14ac:dyDescent="0.4">
      <c r="A7698" s="4">
        <v>1005000</v>
      </c>
      <c r="B7698">
        <v>7351300</v>
      </c>
    </row>
    <row r="7699" spans="1:2" x14ac:dyDescent="0.4">
      <c r="A7699" s="4">
        <v>1005000</v>
      </c>
      <c r="B7699">
        <v>7351400</v>
      </c>
    </row>
    <row r="7700" spans="1:2" x14ac:dyDescent="0.4">
      <c r="A7700" s="4">
        <v>1005000</v>
      </c>
      <c r="B7700">
        <v>7351500</v>
      </c>
    </row>
    <row r="7701" spans="1:2" x14ac:dyDescent="0.4">
      <c r="A7701" s="4">
        <v>1005000</v>
      </c>
      <c r="B7701">
        <v>7351700</v>
      </c>
    </row>
    <row r="7702" spans="1:2" x14ac:dyDescent="0.4">
      <c r="A7702" s="4">
        <v>1005000</v>
      </c>
      <c r="B7702">
        <v>7351800</v>
      </c>
    </row>
    <row r="7703" spans="1:2" x14ac:dyDescent="0.4">
      <c r="A7703" s="4">
        <v>1005000</v>
      </c>
      <c r="B7703">
        <v>7351900</v>
      </c>
    </row>
    <row r="7704" spans="1:2" x14ac:dyDescent="0.4">
      <c r="A7704" s="4">
        <v>1005000</v>
      </c>
      <c r="B7704">
        <v>7352000</v>
      </c>
    </row>
    <row r="7705" spans="1:2" x14ac:dyDescent="0.4">
      <c r="A7705" s="4">
        <v>1005000</v>
      </c>
      <c r="B7705">
        <v>7352100</v>
      </c>
    </row>
    <row r="7706" spans="1:2" x14ac:dyDescent="0.4">
      <c r="A7706" s="4">
        <v>1005000</v>
      </c>
      <c r="B7706">
        <v>7352200</v>
      </c>
    </row>
    <row r="7707" spans="1:2" x14ac:dyDescent="0.4">
      <c r="A7707" s="4">
        <v>1005000</v>
      </c>
      <c r="B7707">
        <v>7352300</v>
      </c>
    </row>
    <row r="7708" spans="1:2" x14ac:dyDescent="0.4">
      <c r="A7708" s="4">
        <v>1005000</v>
      </c>
      <c r="B7708">
        <v>7352400</v>
      </c>
    </row>
    <row r="7709" spans="1:2" x14ac:dyDescent="0.4">
      <c r="A7709" s="4">
        <v>1005000</v>
      </c>
      <c r="B7709">
        <v>7360600</v>
      </c>
    </row>
    <row r="7710" spans="1:2" x14ac:dyDescent="0.4">
      <c r="A7710" s="4">
        <v>1005000</v>
      </c>
      <c r="B7710">
        <v>7360900</v>
      </c>
    </row>
    <row r="7711" spans="1:2" x14ac:dyDescent="0.4">
      <c r="A7711" s="4">
        <v>1005000</v>
      </c>
      <c r="B7711">
        <v>7361200</v>
      </c>
    </row>
    <row r="7712" spans="1:2" x14ac:dyDescent="0.4">
      <c r="A7712" s="4">
        <v>1005000</v>
      </c>
      <c r="B7712">
        <v>7361300</v>
      </c>
    </row>
    <row r="7713" spans="1:2" x14ac:dyDescent="0.4">
      <c r="A7713" s="4">
        <v>1005000</v>
      </c>
      <c r="B7713">
        <v>7362100</v>
      </c>
    </row>
    <row r="7714" spans="1:2" x14ac:dyDescent="0.4">
      <c r="A7714" s="4">
        <v>1005000</v>
      </c>
      <c r="B7714">
        <v>7370300</v>
      </c>
    </row>
    <row r="7715" spans="1:2" x14ac:dyDescent="0.4">
      <c r="A7715" s="4">
        <v>1005000</v>
      </c>
      <c r="B7715">
        <v>7370400</v>
      </c>
    </row>
    <row r="7716" spans="1:2" x14ac:dyDescent="0.4">
      <c r="A7716" s="4">
        <v>1005000</v>
      </c>
      <c r="B7716">
        <v>7370600</v>
      </c>
    </row>
    <row r="7717" spans="1:2" x14ac:dyDescent="0.4">
      <c r="A7717" s="4">
        <v>1005000</v>
      </c>
      <c r="B7717">
        <v>7370900</v>
      </c>
    </row>
    <row r="7718" spans="1:2" x14ac:dyDescent="0.4">
      <c r="A7718" s="4">
        <v>1005000</v>
      </c>
      <c r="B7718">
        <v>7371500</v>
      </c>
    </row>
    <row r="7719" spans="1:2" x14ac:dyDescent="0.4">
      <c r="A7719" s="4">
        <v>1005000</v>
      </c>
      <c r="B7719">
        <v>7036200</v>
      </c>
    </row>
    <row r="7720" spans="1:2" x14ac:dyDescent="0.4">
      <c r="A7720" s="4">
        <v>1005000</v>
      </c>
      <c r="B7720">
        <v>7036300</v>
      </c>
    </row>
    <row r="7721" spans="1:2" x14ac:dyDescent="0.4">
      <c r="A7721" s="4">
        <v>1005000</v>
      </c>
      <c r="B7721">
        <v>7036400</v>
      </c>
    </row>
    <row r="7722" spans="1:2" x14ac:dyDescent="0.4">
      <c r="A7722" s="4">
        <v>1005000</v>
      </c>
      <c r="B7722">
        <v>7036500</v>
      </c>
    </row>
    <row r="7723" spans="1:2" x14ac:dyDescent="0.4">
      <c r="A7723" s="4">
        <v>1005000</v>
      </c>
      <c r="B7723">
        <v>7036800</v>
      </c>
    </row>
    <row r="7724" spans="1:2" x14ac:dyDescent="0.4">
      <c r="A7724" s="4">
        <v>1005000</v>
      </c>
      <c r="B7724">
        <v>7036900</v>
      </c>
    </row>
    <row r="7725" spans="1:2" x14ac:dyDescent="0.4">
      <c r="A7725" s="4">
        <v>1005000</v>
      </c>
      <c r="B7725">
        <v>7037000</v>
      </c>
    </row>
    <row r="7726" spans="1:2" x14ac:dyDescent="0.4">
      <c r="A7726" s="4">
        <v>1005000</v>
      </c>
      <c r="B7726">
        <v>7037300</v>
      </c>
    </row>
    <row r="7727" spans="1:2" x14ac:dyDescent="0.4">
      <c r="A7727" s="4">
        <v>1005000</v>
      </c>
      <c r="B7727">
        <v>6630000</v>
      </c>
    </row>
    <row r="7728" spans="1:2" x14ac:dyDescent="0.4">
      <c r="A7728" s="4">
        <v>1005000</v>
      </c>
      <c r="B7728">
        <v>6630100</v>
      </c>
    </row>
    <row r="7729" spans="1:2" x14ac:dyDescent="0.4">
      <c r="A7729" s="4">
        <v>1005000</v>
      </c>
      <c r="B7729">
        <v>6630200</v>
      </c>
    </row>
    <row r="7730" spans="1:2" x14ac:dyDescent="0.4">
      <c r="A7730" s="4">
        <v>1005000</v>
      </c>
      <c r="B7730">
        <v>6630300</v>
      </c>
    </row>
    <row r="7731" spans="1:2" x14ac:dyDescent="0.4">
      <c r="A7731" s="4">
        <v>1005000</v>
      </c>
      <c r="B7731">
        <v>6630400</v>
      </c>
    </row>
    <row r="7732" spans="1:2" x14ac:dyDescent="0.4">
      <c r="A7732" s="4">
        <v>1005000</v>
      </c>
      <c r="B7732">
        <v>6630500</v>
      </c>
    </row>
    <row r="7733" spans="1:2" x14ac:dyDescent="0.4">
      <c r="A7733" s="4">
        <v>1005000</v>
      </c>
      <c r="B7733">
        <v>6630600</v>
      </c>
    </row>
    <row r="7734" spans="1:2" x14ac:dyDescent="0.4">
      <c r="A7734" s="4">
        <v>1005000</v>
      </c>
      <c r="B7734">
        <v>6630700</v>
      </c>
    </row>
    <row r="7735" spans="1:2" x14ac:dyDescent="0.4">
      <c r="A7735" s="4">
        <v>1005000</v>
      </c>
      <c r="B7735">
        <v>6630800</v>
      </c>
    </row>
    <row r="7736" spans="1:2" x14ac:dyDescent="0.4">
      <c r="A7736" s="4">
        <v>1005000</v>
      </c>
      <c r="B7736">
        <v>6630900</v>
      </c>
    </row>
    <row r="7737" spans="1:2" x14ac:dyDescent="0.4">
      <c r="A7737" s="4">
        <v>1005000</v>
      </c>
      <c r="B7737">
        <v>6631000</v>
      </c>
    </row>
    <row r="7738" spans="1:2" x14ac:dyDescent="0.4">
      <c r="A7738" s="4">
        <v>1005000</v>
      </c>
      <c r="B7738">
        <v>6631100</v>
      </c>
    </row>
    <row r="7739" spans="1:2" x14ac:dyDescent="0.4">
      <c r="A7739" s="4">
        <v>1005000</v>
      </c>
      <c r="B7739">
        <v>6631200</v>
      </c>
    </row>
    <row r="7740" spans="1:2" x14ac:dyDescent="0.4">
      <c r="A7740" s="4">
        <v>1005000</v>
      </c>
      <c r="B7740">
        <v>6631300</v>
      </c>
    </row>
    <row r="7741" spans="1:2" x14ac:dyDescent="0.4">
      <c r="A7741" s="4">
        <v>1005000</v>
      </c>
      <c r="B7741">
        <v>6631400</v>
      </c>
    </row>
    <row r="7742" spans="1:2" x14ac:dyDescent="0.4">
      <c r="A7742" s="4">
        <v>1005000</v>
      </c>
      <c r="B7742">
        <v>6631500</v>
      </c>
    </row>
    <row r="7743" spans="1:2" x14ac:dyDescent="0.4">
      <c r="A7743" s="4">
        <v>1005000</v>
      </c>
      <c r="B7743">
        <v>6631600</v>
      </c>
    </row>
    <row r="7744" spans="1:2" x14ac:dyDescent="0.4">
      <c r="A7744" s="4">
        <v>1005000</v>
      </c>
      <c r="B7744">
        <v>6631700</v>
      </c>
    </row>
    <row r="7745" spans="1:2" x14ac:dyDescent="0.4">
      <c r="A7745" s="4">
        <v>1005000</v>
      </c>
      <c r="B7745">
        <v>6631800</v>
      </c>
    </row>
    <row r="7746" spans="1:2" x14ac:dyDescent="0.4">
      <c r="A7746" s="4">
        <v>1005000</v>
      </c>
      <c r="B7746">
        <v>6631900</v>
      </c>
    </row>
    <row r="7747" spans="1:2" x14ac:dyDescent="0.4">
      <c r="A7747" s="4">
        <v>1005000</v>
      </c>
      <c r="B7747">
        <v>6632000</v>
      </c>
    </row>
    <row r="7748" spans="1:2" x14ac:dyDescent="0.4">
      <c r="A7748" s="4">
        <v>1005000</v>
      </c>
      <c r="B7748">
        <v>6632100</v>
      </c>
    </row>
    <row r="7749" spans="1:2" x14ac:dyDescent="0.4">
      <c r="A7749" s="4">
        <v>1005000</v>
      </c>
      <c r="B7749">
        <v>6632200</v>
      </c>
    </row>
    <row r="7750" spans="1:2" x14ac:dyDescent="0.4">
      <c r="A7750" s="4">
        <v>1005000</v>
      </c>
      <c r="B7750">
        <v>6632300</v>
      </c>
    </row>
    <row r="7751" spans="1:2" x14ac:dyDescent="0.4">
      <c r="A7751" s="4">
        <v>1005000</v>
      </c>
      <c r="B7751">
        <v>6632400</v>
      </c>
    </row>
    <row r="7752" spans="1:2" x14ac:dyDescent="0.4">
      <c r="A7752" s="4">
        <v>1005000</v>
      </c>
      <c r="B7752">
        <v>6632500</v>
      </c>
    </row>
    <row r="7753" spans="1:2" x14ac:dyDescent="0.4">
      <c r="A7753" s="4">
        <v>1005000</v>
      </c>
      <c r="B7753">
        <v>6632600</v>
      </c>
    </row>
    <row r="7754" spans="1:2" x14ac:dyDescent="0.4">
      <c r="A7754" s="4">
        <v>1005000</v>
      </c>
      <c r="B7754">
        <v>6632700</v>
      </c>
    </row>
    <row r="7755" spans="1:2" x14ac:dyDescent="0.4">
      <c r="A7755" s="4">
        <v>1005000</v>
      </c>
      <c r="B7755">
        <v>6632800</v>
      </c>
    </row>
    <row r="7756" spans="1:2" x14ac:dyDescent="0.4">
      <c r="A7756" s="4">
        <v>1005000</v>
      </c>
      <c r="B7756">
        <v>6632900</v>
      </c>
    </row>
    <row r="7757" spans="1:2" x14ac:dyDescent="0.4">
      <c r="A7757" s="4">
        <v>1005000</v>
      </c>
      <c r="B7757">
        <v>6633000</v>
      </c>
    </row>
    <row r="7758" spans="1:2" x14ac:dyDescent="0.4">
      <c r="A7758" s="4">
        <v>1005000</v>
      </c>
      <c r="B7758">
        <v>6633100</v>
      </c>
    </row>
    <row r="7759" spans="1:2" x14ac:dyDescent="0.4">
      <c r="A7759" s="4">
        <v>1005000</v>
      </c>
      <c r="B7759">
        <v>6633200</v>
      </c>
    </row>
    <row r="7760" spans="1:2" x14ac:dyDescent="0.4">
      <c r="A7760" s="4">
        <v>1005000</v>
      </c>
      <c r="B7760">
        <v>6647200</v>
      </c>
    </row>
    <row r="7761" spans="1:2" x14ac:dyDescent="0.4">
      <c r="A7761" s="4">
        <v>1005000</v>
      </c>
      <c r="B7761">
        <v>6647300</v>
      </c>
    </row>
    <row r="7762" spans="1:2" x14ac:dyDescent="0.4">
      <c r="A7762" s="4">
        <v>1005000</v>
      </c>
      <c r="B7762">
        <v>6647400</v>
      </c>
    </row>
    <row r="7763" spans="1:2" x14ac:dyDescent="0.4">
      <c r="A7763" s="4">
        <v>1005000</v>
      </c>
      <c r="B7763">
        <v>6647500</v>
      </c>
    </row>
    <row r="7764" spans="1:2" x14ac:dyDescent="0.4">
      <c r="A7764" s="4">
        <v>1005000</v>
      </c>
      <c r="B7764">
        <v>6640000</v>
      </c>
    </row>
    <row r="7765" spans="1:2" x14ac:dyDescent="0.4">
      <c r="A7765" s="4">
        <v>1005000</v>
      </c>
      <c r="B7765">
        <v>6640100</v>
      </c>
    </row>
    <row r="7766" spans="1:2" x14ac:dyDescent="0.4">
      <c r="A7766" s="4">
        <v>1005000</v>
      </c>
      <c r="B7766">
        <v>6641000</v>
      </c>
    </row>
    <row r="7767" spans="1:2" x14ac:dyDescent="0.4">
      <c r="A7767" s="4">
        <v>1005000</v>
      </c>
      <c r="B7767">
        <v>6641100</v>
      </c>
    </row>
    <row r="7768" spans="1:2" x14ac:dyDescent="0.4">
      <c r="A7768" s="4">
        <v>1005000</v>
      </c>
      <c r="B7768">
        <v>6642000</v>
      </c>
    </row>
    <row r="7769" spans="1:2" x14ac:dyDescent="0.4">
      <c r="A7769" s="4">
        <v>1005000</v>
      </c>
      <c r="B7769">
        <v>6642100</v>
      </c>
    </row>
    <row r="7770" spans="1:2" x14ac:dyDescent="0.4">
      <c r="A7770" s="4">
        <v>1005000</v>
      </c>
      <c r="B7770">
        <v>6643000</v>
      </c>
    </row>
    <row r="7771" spans="1:2" x14ac:dyDescent="0.4">
      <c r="A7771" s="4">
        <v>1005000</v>
      </c>
      <c r="B7771">
        <v>6643100</v>
      </c>
    </row>
    <row r="7772" spans="1:2" x14ac:dyDescent="0.4">
      <c r="A7772" s="4">
        <v>1005000</v>
      </c>
      <c r="B7772">
        <v>6644000</v>
      </c>
    </row>
    <row r="7773" spans="1:2" x14ac:dyDescent="0.4">
      <c r="A7773" s="4">
        <v>1005000</v>
      </c>
      <c r="B7773">
        <v>6644100</v>
      </c>
    </row>
    <row r="7774" spans="1:2" x14ac:dyDescent="0.4">
      <c r="A7774" s="4">
        <v>1005000</v>
      </c>
      <c r="B7774">
        <v>6645000</v>
      </c>
    </row>
    <row r="7775" spans="1:2" x14ac:dyDescent="0.4">
      <c r="A7775" s="4">
        <v>1005000</v>
      </c>
      <c r="B7775">
        <v>6645100</v>
      </c>
    </row>
    <row r="7776" spans="1:2" x14ac:dyDescent="0.4">
      <c r="A7776" s="4">
        <v>1005000</v>
      </c>
      <c r="B7776">
        <v>6646000</v>
      </c>
    </row>
    <row r="7777" spans="1:2" x14ac:dyDescent="0.4">
      <c r="A7777" s="4">
        <v>1005000</v>
      </c>
      <c r="B7777">
        <v>6646100</v>
      </c>
    </row>
    <row r="7778" spans="1:2" x14ac:dyDescent="0.4">
      <c r="A7778" s="4">
        <v>1005000</v>
      </c>
      <c r="B7778">
        <v>6647000</v>
      </c>
    </row>
    <row r="7779" spans="1:2" x14ac:dyDescent="0.4">
      <c r="A7779" s="4">
        <v>1005000</v>
      </c>
      <c r="B7779">
        <v>6647100</v>
      </c>
    </row>
    <row r="7780" spans="1:2" x14ac:dyDescent="0.4">
      <c r="A7780" s="4">
        <v>1005001</v>
      </c>
      <c r="B7780">
        <v>7000000</v>
      </c>
    </row>
    <row r="7781" spans="1:2" x14ac:dyDescent="0.4">
      <c r="A7781" s="4">
        <v>1005001</v>
      </c>
      <c r="B7781">
        <v>7000001</v>
      </c>
    </row>
    <row r="7782" spans="1:2" x14ac:dyDescent="0.4">
      <c r="A7782" s="4">
        <v>1005001</v>
      </c>
      <c r="B7782">
        <v>7000002</v>
      </c>
    </row>
    <row r="7783" spans="1:2" x14ac:dyDescent="0.4">
      <c r="A7783" s="4">
        <v>1005001</v>
      </c>
      <c r="B7783">
        <v>7000100</v>
      </c>
    </row>
    <row r="7784" spans="1:2" x14ac:dyDescent="0.4">
      <c r="A7784" s="4">
        <v>1005001</v>
      </c>
      <c r="B7784">
        <v>7000101</v>
      </c>
    </row>
    <row r="7785" spans="1:2" x14ac:dyDescent="0.4">
      <c r="A7785" s="4">
        <v>1005001</v>
      </c>
      <c r="B7785">
        <v>7000102</v>
      </c>
    </row>
    <row r="7786" spans="1:2" x14ac:dyDescent="0.4">
      <c r="A7786" s="4">
        <v>1005001</v>
      </c>
      <c r="B7786">
        <v>7000200</v>
      </c>
    </row>
    <row r="7787" spans="1:2" x14ac:dyDescent="0.4">
      <c r="A7787" s="4">
        <v>1005001</v>
      </c>
      <c r="B7787">
        <v>7000201</v>
      </c>
    </row>
    <row r="7788" spans="1:2" x14ac:dyDescent="0.4">
      <c r="A7788" s="4">
        <v>1005001</v>
      </c>
      <c r="B7788">
        <v>7000202</v>
      </c>
    </row>
    <row r="7789" spans="1:2" x14ac:dyDescent="0.4">
      <c r="A7789" s="4">
        <v>1005001</v>
      </c>
      <c r="B7789">
        <v>7000300</v>
      </c>
    </row>
    <row r="7790" spans="1:2" x14ac:dyDescent="0.4">
      <c r="A7790" s="4">
        <v>1005001</v>
      </c>
      <c r="B7790">
        <v>7000301</v>
      </c>
    </row>
    <row r="7791" spans="1:2" x14ac:dyDescent="0.4">
      <c r="A7791" s="4">
        <v>1005001</v>
      </c>
      <c r="B7791">
        <v>7000302</v>
      </c>
    </row>
    <row r="7792" spans="1:2" x14ac:dyDescent="0.4">
      <c r="A7792" s="4">
        <v>1005001</v>
      </c>
      <c r="B7792">
        <v>7000400</v>
      </c>
    </row>
    <row r="7793" spans="1:2" x14ac:dyDescent="0.4">
      <c r="A7793" s="4">
        <v>1005001</v>
      </c>
      <c r="B7793">
        <v>7000401</v>
      </c>
    </row>
    <row r="7794" spans="1:2" x14ac:dyDescent="0.4">
      <c r="A7794" s="4">
        <v>1005001</v>
      </c>
      <c r="B7794">
        <v>7000402</v>
      </c>
    </row>
    <row r="7795" spans="1:2" x14ac:dyDescent="0.4">
      <c r="A7795" s="4">
        <v>1005001</v>
      </c>
      <c r="B7795">
        <v>7000500</v>
      </c>
    </row>
    <row r="7796" spans="1:2" x14ac:dyDescent="0.4">
      <c r="A7796" s="4">
        <v>1005001</v>
      </c>
      <c r="B7796">
        <v>7000501</v>
      </c>
    </row>
    <row r="7797" spans="1:2" x14ac:dyDescent="0.4">
      <c r="A7797" s="4">
        <v>1005001</v>
      </c>
      <c r="B7797">
        <v>7000502</v>
      </c>
    </row>
    <row r="7798" spans="1:2" x14ac:dyDescent="0.4">
      <c r="A7798" s="4">
        <v>1005001</v>
      </c>
      <c r="B7798">
        <v>7000600</v>
      </c>
    </row>
    <row r="7799" spans="1:2" x14ac:dyDescent="0.4">
      <c r="A7799" s="4">
        <v>1005001</v>
      </c>
      <c r="B7799">
        <v>7000601</v>
      </c>
    </row>
    <row r="7800" spans="1:2" x14ac:dyDescent="0.4">
      <c r="A7800" s="4">
        <v>1005001</v>
      </c>
      <c r="B7800">
        <v>7000602</v>
      </c>
    </row>
    <row r="7801" spans="1:2" x14ac:dyDescent="0.4">
      <c r="A7801" s="4">
        <v>1005001</v>
      </c>
      <c r="B7801">
        <v>7000700</v>
      </c>
    </row>
    <row r="7802" spans="1:2" x14ac:dyDescent="0.4">
      <c r="A7802" s="4">
        <v>1005001</v>
      </c>
      <c r="B7802">
        <v>7000701</v>
      </c>
    </row>
    <row r="7803" spans="1:2" x14ac:dyDescent="0.4">
      <c r="A7803" s="4">
        <v>1005001</v>
      </c>
      <c r="B7803">
        <v>7000702</v>
      </c>
    </row>
    <row r="7804" spans="1:2" x14ac:dyDescent="0.4">
      <c r="A7804" s="4">
        <v>1005001</v>
      </c>
      <c r="B7804">
        <v>7000800</v>
      </c>
    </row>
    <row r="7805" spans="1:2" x14ac:dyDescent="0.4">
      <c r="A7805" s="4">
        <v>1005001</v>
      </c>
      <c r="B7805">
        <v>7000801</v>
      </c>
    </row>
    <row r="7806" spans="1:2" x14ac:dyDescent="0.4">
      <c r="A7806" s="4">
        <v>1005001</v>
      </c>
      <c r="B7806">
        <v>7000802</v>
      </c>
    </row>
    <row r="7807" spans="1:2" x14ac:dyDescent="0.4">
      <c r="A7807" s="4">
        <v>1005001</v>
      </c>
      <c r="B7807">
        <v>7000900</v>
      </c>
    </row>
    <row r="7808" spans="1:2" x14ac:dyDescent="0.4">
      <c r="A7808" s="4">
        <v>1005001</v>
      </c>
      <c r="B7808">
        <v>7000901</v>
      </c>
    </row>
    <row r="7809" spans="1:2" x14ac:dyDescent="0.4">
      <c r="A7809" s="4">
        <v>1005001</v>
      </c>
      <c r="B7809">
        <v>7000902</v>
      </c>
    </row>
    <row r="7810" spans="1:2" x14ac:dyDescent="0.4">
      <c r="A7810" s="4">
        <v>1005001</v>
      </c>
      <c r="B7810">
        <v>7001000</v>
      </c>
    </row>
    <row r="7811" spans="1:2" x14ac:dyDescent="0.4">
      <c r="A7811" s="4">
        <v>1005001</v>
      </c>
      <c r="B7811">
        <v>7001001</v>
      </c>
    </row>
    <row r="7812" spans="1:2" x14ac:dyDescent="0.4">
      <c r="A7812" s="4">
        <v>1005001</v>
      </c>
      <c r="B7812">
        <v>7001002</v>
      </c>
    </row>
    <row r="7813" spans="1:2" x14ac:dyDescent="0.4">
      <c r="A7813" s="4">
        <v>1005001</v>
      </c>
      <c r="B7813">
        <v>7001400</v>
      </c>
    </row>
    <row r="7814" spans="1:2" x14ac:dyDescent="0.4">
      <c r="A7814" s="4">
        <v>1005001</v>
      </c>
      <c r="B7814">
        <v>7001401</v>
      </c>
    </row>
    <row r="7815" spans="1:2" x14ac:dyDescent="0.4">
      <c r="A7815" s="4">
        <v>1005001</v>
      </c>
      <c r="B7815">
        <v>7001402</v>
      </c>
    </row>
    <row r="7816" spans="1:2" x14ac:dyDescent="0.4">
      <c r="A7816" s="4">
        <v>1005001</v>
      </c>
      <c r="B7816">
        <v>7001500</v>
      </c>
    </row>
    <row r="7817" spans="1:2" x14ac:dyDescent="0.4">
      <c r="A7817" s="4">
        <v>1005001</v>
      </c>
      <c r="B7817">
        <v>7001501</v>
      </c>
    </row>
    <row r="7818" spans="1:2" x14ac:dyDescent="0.4">
      <c r="A7818" s="4">
        <v>1005001</v>
      </c>
      <c r="B7818">
        <v>7001502</v>
      </c>
    </row>
    <row r="7819" spans="1:2" x14ac:dyDescent="0.4">
      <c r="A7819" s="4">
        <v>1005001</v>
      </c>
      <c r="B7819">
        <v>7001600</v>
      </c>
    </row>
    <row r="7820" spans="1:2" x14ac:dyDescent="0.4">
      <c r="A7820" s="4">
        <v>1005001</v>
      </c>
      <c r="B7820">
        <v>7001601</v>
      </c>
    </row>
    <row r="7821" spans="1:2" x14ac:dyDescent="0.4">
      <c r="A7821" s="4">
        <v>1005001</v>
      </c>
      <c r="B7821">
        <v>7001602</v>
      </c>
    </row>
    <row r="7822" spans="1:2" x14ac:dyDescent="0.4">
      <c r="A7822" s="4">
        <v>1005001</v>
      </c>
      <c r="B7822">
        <v>7001700</v>
      </c>
    </row>
    <row r="7823" spans="1:2" x14ac:dyDescent="0.4">
      <c r="A7823" s="4">
        <v>1005001</v>
      </c>
      <c r="B7823">
        <v>7001701</v>
      </c>
    </row>
    <row r="7824" spans="1:2" x14ac:dyDescent="0.4">
      <c r="A7824" s="4">
        <v>1005001</v>
      </c>
      <c r="B7824">
        <v>7001702</v>
      </c>
    </row>
    <row r="7825" spans="1:2" x14ac:dyDescent="0.4">
      <c r="A7825" s="4">
        <v>1005001</v>
      </c>
      <c r="B7825">
        <v>7001800</v>
      </c>
    </row>
    <row r="7826" spans="1:2" x14ac:dyDescent="0.4">
      <c r="A7826" s="4">
        <v>1005001</v>
      </c>
      <c r="B7826">
        <v>7001801</v>
      </c>
    </row>
    <row r="7827" spans="1:2" x14ac:dyDescent="0.4">
      <c r="A7827" s="4">
        <v>1005001</v>
      </c>
      <c r="B7827">
        <v>7001802</v>
      </c>
    </row>
    <row r="7828" spans="1:2" x14ac:dyDescent="0.4">
      <c r="A7828" s="4">
        <v>1005001</v>
      </c>
      <c r="B7828">
        <v>7002600</v>
      </c>
    </row>
    <row r="7829" spans="1:2" x14ac:dyDescent="0.4">
      <c r="A7829" s="4">
        <v>1005001</v>
      </c>
      <c r="B7829">
        <v>7002700</v>
      </c>
    </row>
    <row r="7830" spans="1:2" x14ac:dyDescent="0.4">
      <c r="A7830" s="4">
        <v>1005001</v>
      </c>
      <c r="B7830">
        <v>7002800</v>
      </c>
    </row>
    <row r="7831" spans="1:2" x14ac:dyDescent="0.4">
      <c r="A7831" s="4">
        <v>1005001</v>
      </c>
      <c r="B7831">
        <v>7002900</v>
      </c>
    </row>
    <row r="7832" spans="1:2" x14ac:dyDescent="0.4">
      <c r="A7832" s="4">
        <v>1005001</v>
      </c>
      <c r="B7832">
        <v>7003000</v>
      </c>
    </row>
    <row r="7833" spans="1:2" x14ac:dyDescent="0.4">
      <c r="A7833" s="4">
        <v>1005001</v>
      </c>
      <c r="B7833">
        <v>7003100</v>
      </c>
    </row>
    <row r="7834" spans="1:2" x14ac:dyDescent="0.4">
      <c r="A7834" s="4">
        <v>1005001</v>
      </c>
      <c r="B7834">
        <v>7003200</v>
      </c>
    </row>
    <row r="7835" spans="1:2" x14ac:dyDescent="0.4">
      <c r="A7835" s="4">
        <v>1005001</v>
      </c>
      <c r="B7835">
        <v>7003300</v>
      </c>
    </row>
    <row r="7836" spans="1:2" x14ac:dyDescent="0.4">
      <c r="A7836" s="4">
        <v>1005001</v>
      </c>
      <c r="B7836">
        <v>7003400</v>
      </c>
    </row>
    <row r="7837" spans="1:2" x14ac:dyDescent="0.4">
      <c r="A7837" s="4">
        <v>1005001</v>
      </c>
      <c r="B7837">
        <v>7003500</v>
      </c>
    </row>
    <row r="7838" spans="1:2" x14ac:dyDescent="0.4">
      <c r="A7838" s="4">
        <v>1005001</v>
      </c>
      <c r="B7838">
        <v>7003600</v>
      </c>
    </row>
    <row r="7839" spans="1:2" x14ac:dyDescent="0.4">
      <c r="A7839" s="4">
        <v>1005001</v>
      </c>
      <c r="B7839">
        <v>7005600</v>
      </c>
    </row>
    <row r="7840" spans="1:2" x14ac:dyDescent="0.4">
      <c r="A7840" s="4">
        <v>1005001</v>
      </c>
      <c r="B7840">
        <v>7006000</v>
      </c>
    </row>
    <row r="7841" spans="1:2" x14ac:dyDescent="0.4">
      <c r="A7841" s="4">
        <v>1005001</v>
      </c>
      <c r="B7841">
        <v>7006100</v>
      </c>
    </row>
    <row r="7842" spans="1:2" x14ac:dyDescent="0.4">
      <c r="A7842" s="4">
        <v>1005001</v>
      </c>
      <c r="B7842">
        <v>7010200</v>
      </c>
    </row>
    <row r="7843" spans="1:2" x14ac:dyDescent="0.4">
      <c r="A7843" s="4">
        <v>1005001</v>
      </c>
      <c r="B7843">
        <v>7010500</v>
      </c>
    </row>
    <row r="7844" spans="1:2" x14ac:dyDescent="0.4">
      <c r="A7844" s="4">
        <v>1005001</v>
      </c>
      <c r="B7844">
        <v>7010700</v>
      </c>
    </row>
    <row r="7845" spans="1:2" x14ac:dyDescent="0.4">
      <c r="A7845" s="4">
        <v>1005001</v>
      </c>
      <c r="B7845">
        <v>7010900</v>
      </c>
    </row>
    <row r="7846" spans="1:2" x14ac:dyDescent="0.4">
      <c r="A7846" s="4">
        <v>1005001</v>
      </c>
      <c r="B7846">
        <v>7011000</v>
      </c>
    </row>
    <row r="7847" spans="1:2" x14ac:dyDescent="0.4">
      <c r="A7847" s="4">
        <v>1005001</v>
      </c>
      <c r="B7847">
        <v>7011200</v>
      </c>
    </row>
    <row r="7848" spans="1:2" x14ac:dyDescent="0.4">
      <c r="A7848" s="4">
        <v>1005001</v>
      </c>
      <c r="B7848">
        <v>7011600</v>
      </c>
    </row>
    <row r="7849" spans="1:2" x14ac:dyDescent="0.4">
      <c r="A7849" s="4">
        <v>1005001</v>
      </c>
      <c r="B7849">
        <v>7011700</v>
      </c>
    </row>
    <row r="7850" spans="1:2" x14ac:dyDescent="0.4">
      <c r="A7850" s="4">
        <v>1005001</v>
      </c>
      <c r="B7850">
        <v>7012000</v>
      </c>
    </row>
    <row r="7851" spans="1:2" x14ac:dyDescent="0.4">
      <c r="A7851" s="4">
        <v>1005001</v>
      </c>
      <c r="B7851">
        <v>7012200</v>
      </c>
    </row>
    <row r="7852" spans="1:2" x14ac:dyDescent="0.4">
      <c r="A7852" s="4">
        <v>1005001</v>
      </c>
      <c r="B7852">
        <v>7012300</v>
      </c>
    </row>
    <row r="7853" spans="1:2" x14ac:dyDescent="0.4">
      <c r="A7853" s="4">
        <v>1005001</v>
      </c>
      <c r="B7853">
        <v>7020000</v>
      </c>
    </row>
    <row r="7854" spans="1:2" x14ac:dyDescent="0.4">
      <c r="A7854" s="4">
        <v>1005001</v>
      </c>
      <c r="B7854">
        <v>7030000</v>
      </c>
    </row>
    <row r="7855" spans="1:2" x14ac:dyDescent="0.4">
      <c r="A7855" s="4">
        <v>1005001</v>
      </c>
      <c r="B7855">
        <v>7030200</v>
      </c>
    </row>
    <row r="7856" spans="1:2" x14ac:dyDescent="0.4">
      <c r="A7856" s="4">
        <v>1005001</v>
      </c>
      <c r="B7856">
        <v>7030600</v>
      </c>
    </row>
    <row r="7857" spans="1:2" x14ac:dyDescent="0.4">
      <c r="A7857" s="4">
        <v>1005001</v>
      </c>
      <c r="B7857">
        <v>7030700</v>
      </c>
    </row>
    <row r="7858" spans="1:2" x14ac:dyDescent="0.4">
      <c r="A7858" s="4">
        <v>1005001</v>
      </c>
      <c r="B7858">
        <v>7030800</v>
      </c>
    </row>
    <row r="7859" spans="1:2" x14ac:dyDescent="0.4">
      <c r="A7859" s="4">
        <v>1005001</v>
      </c>
      <c r="B7859">
        <v>7030900</v>
      </c>
    </row>
    <row r="7860" spans="1:2" x14ac:dyDescent="0.4">
      <c r="A7860" s="4">
        <v>1005001</v>
      </c>
      <c r="B7860">
        <v>7031200</v>
      </c>
    </row>
    <row r="7861" spans="1:2" x14ac:dyDescent="0.4">
      <c r="A7861" s="4">
        <v>1005001</v>
      </c>
      <c r="B7861">
        <v>7031300</v>
      </c>
    </row>
    <row r="7862" spans="1:2" x14ac:dyDescent="0.4">
      <c r="A7862" s="4">
        <v>1005001</v>
      </c>
      <c r="B7862">
        <v>7031800</v>
      </c>
    </row>
    <row r="7863" spans="1:2" x14ac:dyDescent="0.4">
      <c r="A7863" s="4">
        <v>1005001</v>
      </c>
      <c r="B7863">
        <v>7031900</v>
      </c>
    </row>
    <row r="7864" spans="1:2" x14ac:dyDescent="0.4">
      <c r="A7864" s="4">
        <v>1005001</v>
      </c>
      <c r="B7864">
        <v>7032200</v>
      </c>
    </row>
    <row r="7865" spans="1:2" x14ac:dyDescent="0.4">
      <c r="A7865" s="4">
        <v>1005001</v>
      </c>
      <c r="B7865">
        <v>7032400</v>
      </c>
    </row>
    <row r="7866" spans="1:2" x14ac:dyDescent="0.4">
      <c r="A7866" s="4">
        <v>1005001</v>
      </c>
      <c r="B7866">
        <v>7032700</v>
      </c>
    </row>
    <row r="7867" spans="1:2" x14ac:dyDescent="0.4">
      <c r="A7867" s="4">
        <v>1005001</v>
      </c>
      <c r="B7867">
        <v>7032800</v>
      </c>
    </row>
    <row r="7868" spans="1:2" x14ac:dyDescent="0.4">
      <c r="A7868" s="4">
        <v>1005001</v>
      </c>
      <c r="B7868">
        <v>7032900</v>
      </c>
    </row>
    <row r="7869" spans="1:2" x14ac:dyDescent="0.4">
      <c r="A7869" s="4">
        <v>1005001</v>
      </c>
      <c r="B7869">
        <v>7033200</v>
      </c>
    </row>
    <row r="7870" spans="1:2" x14ac:dyDescent="0.4">
      <c r="A7870" s="4">
        <v>1005001</v>
      </c>
      <c r="B7870">
        <v>7033400</v>
      </c>
    </row>
    <row r="7871" spans="1:2" x14ac:dyDescent="0.4">
      <c r="A7871" s="4">
        <v>1005001</v>
      </c>
      <c r="B7871">
        <v>7034100</v>
      </c>
    </row>
    <row r="7872" spans="1:2" x14ac:dyDescent="0.4">
      <c r="A7872" s="4">
        <v>1005001</v>
      </c>
      <c r="B7872">
        <v>7034400</v>
      </c>
    </row>
    <row r="7873" spans="1:2" x14ac:dyDescent="0.4">
      <c r="A7873" s="4">
        <v>1005001</v>
      </c>
      <c r="B7873">
        <v>7034500</v>
      </c>
    </row>
    <row r="7874" spans="1:2" x14ac:dyDescent="0.4">
      <c r="A7874" s="4">
        <v>1005001</v>
      </c>
      <c r="B7874">
        <v>7034600</v>
      </c>
    </row>
    <row r="7875" spans="1:2" x14ac:dyDescent="0.4">
      <c r="A7875" s="4">
        <v>1005001</v>
      </c>
      <c r="B7875">
        <v>7034700</v>
      </c>
    </row>
    <row r="7876" spans="1:2" x14ac:dyDescent="0.4">
      <c r="A7876" s="4">
        <v>1005001</v>
      </c>
      <c r="B7876">
        <v>7035100</v>
      </c>
    </row>
    <row r="7877" spans="1:2" x14ac:dyDescent="0.4">
      <c r="A7877" s="4">
        <v>1005001</v>
      </c>
      <c r="B7877">
        <v>7036100</v>
      </c>
    </row>
    <row r="7878" spans="1:2" x14ac:dyDescent="0.4">
      <c r="A7878" s="4">
        <v>1005001</v>
      </c>
      <c r="B7878">
        <v>7040000</v>
      </c>
    </row>
    <row r="7879" spans="1:2" x14ac:dyDescent="0.4">
      <c r="A7879" s="4">
        <v>1005001</v>
      </c>
      <c r="B7879">
        <v>7040100</v>
      </c>
    </row>
    <row r="7880" spans="1:2" x14ac:dyDescent="0.4">
      <c r="A7880" s="4">
        <v>1005001</v>
      </c>
      <c r="B7880">
        <v>7040200</v>
      </c>
    </row>
    <row r="7881" spans="1:2" x14ac:dyDescent="0.4">
      <c r="A7881" s="4">
        <v>1005001</v>
      </c>
      <c r="B7881">
        <v>7040300</v>
      </c>
    </row>
    <row r="7882" spans="1:2" x14ac:dyDescent="0.4">
      <c r="A7882" s="4">
        <v>1005001</v>
      </c>
      <c r="B7882">
        <v>7040400</v>
      </c>
    </row>
    <row r="7883" spans="1:2" x14ac:dyDescent="0.4">
      <c r="A7883" s="4">
        <v>1005001</v>
      </c>
      <c r="B7883">
        <v>7040500</v>
      </c>
    </row>
    <row r="7884" spans="1:2" x14ac:dyDescent="0.4">
      <c r="A7884" s="4">
        <v>1005001</v>
      </c>
      <c r="B7884">
        <v>7043000</v>
      </c>
    </row>
    <row r="7885" spans="1:2" x14ac:dyDescent="0.4">
      <c r="A7885" s="4">
        <v>1005001</v>
      </c>
      <c r="B7885">
        <v>7043100</v>
      </c>
    </row>
    <row r="7886" spans="1:2" x14ac:dyDescent="0.4">
      <c r="A7886" s="4">
        <v>1005001</v>
      </c>
      <c r="B7886">
        <v>7043200</v>
      </c>
    </row>
    <row r="7887" spans="1:2" x14ac:dyDescent="0.4">
      <c r="A7887" s="4">
        <v>1005001</v>
      </c>
      <c r="B7887">
        <v>7043300</v>
      </c>
    </row>
    <row r="7888" spans="1:2" x14ac:dyDescent="0.4">
      <c r="A7888" s="4">
        <v>1005001</v>
      </c>
      <c r="B7888">
        <v>7043400</v>
      </c>
    </row>
    <row r="7889" spans="1:2" x14ac:dyDescent="0.4">
      <c r="A7889" s="4">
        <v>1005001</v>
      </c>
      <c r="B7889">
        <v>7043500</v>
      </c>
    </row>
    <row r="7890" spans="1:2" x14ac:dyDescent="0.4">
      <c r="A7890" s="4">
        <v>1005001</v>
      </c>
      <c r="B7890">
        <v>7043600</v>
      </c>
    </row>
    <row r="7891" spans="1:2" x14ac:dyDescent="0.4">
      <c r="A7891" s="4">
        <v>1005001</v>
      </c>
      <c r="B7891">
        <v>7043700</v>
      </c>
    </row>
    <row r="7892" spans="1:2" x14ac:dyDescent="0.4">
      <c r="A7892" s="4">
        <v>1005001</v>
      </c>
      <c r="B7892">
        <v>7043800</v>
      </c>
    </row>
    <row r="7893" spans="1:2" x14ac:dyDescent="0.4">
      <c r="A7893" s="4">
        <v>1005001</v>
      </c>
      <c r="B7893">
        <v>7044000</v>
      </c>
    </row>
    <row r="7894" spans="1:2" x14ac:dyDescent="0.4">
      <c r="A7894" s="4">
        <v>1005001</v>
      </c>
      <c r="B7894">
        <v>7044100</v>
      </c>
    </row>
    <row r="7895" spans="1:2" x14ac:dyDescent="0.4">
      <c r="A7895" s="4">
        <v>1005001</v>
      </c>
      <c r="B7895">
        <v>7044200</v>
      </c>
    </row>
    <row r="7896" spans="1:2" x14ac:dyDescent="0.4">
      <c r="A7896" s="4">
        <v>1005001</v>
      </c>
      <c r="B7896">
        <v>7044300</v>
      </c>
    </row>
    <row r="7897" spans="1:2" x14ac:dyDescent="0.4">
      <c r="A7897" s="4">
        <v>1005001</v>
      </c>
      <c r="B7897">
        <v>7044400</v>
      </c>
    </row>
    <row r="7898" spans="1:2" x14ac:dyDescent="0.4">
      <c r="A7898" s="4">
        <v>1005001</v>
      </c>
      <c r="B7898">
        <v>7044500</v>
      </c>
    </row>
    <row r="7899" spans="1:2" x14ac:dyDescent="0.4">
      <c r="A7899" s="4">
        <v>1005001</v>
      </c>
      <c r="B7899">
        <v>7044600</v>
      </c>
    </row>
    <row r="7900" spans="1:2" x14ac:dyDescent="0.4">
      <c r="A7900" s="4">
        <v>1005001</v>
      </c>
      <c r="B7900">
        <v>7050000</v>
      </c>
    </row>
    <row r="7901" spans="1:2" x14ac:dyDescent="0.4">
      <c r="A7901" s="4">
        <v>1005001</v>
      </c>
      <c r="B7901">
        <v>7050100</v>
      </c>
    </row>
    <row r="7902" spans="1:2" x14ac:dyDescent="0.4">
      <c r="A7902" s="4">
        <v>1005001</v>
      </c>
      <c r="B7902">
        <v>7060000</v>
      </c>
    </row>
    <row r="7903" spans="1:2" x14ac:dyDescent="0.4">
      <c r="A7903" s="4">
        <v>1005001</v>
      </c>
      <c r="B7903">
        <v>7060100</v>
      </c>
    </row>
    <row r="7904" spans="1:2" x14ac:dyDescent="0.4">
      <c r="A7904" s="4">
        <v>1005001</v>
      </c>
      <c r="B7904">
        <v>7060200</v>
      </c>
    </row>
    <row r="7905" spans="1:2" x14ac:dyDescent="0.4">
      <c r="A7905" s="4">
        <v>1005001</v>
      </c>
      <c r="B7905">
        <v>7070000</v>
      </c>
    </row>
    <row r="7906" spans="1:2" x14ac:dyDescent="0.4">
      <c r="A7906" s="4">
        <v>1005001</v>
      </c>
      <c r="B7906">
        <v>7080000</v>
      </c>
    </row>
    <row r="7907" spans="1:2" x14ac:dyDescent="0.4">
      <c r="A7907" s="4">
        <v>1005001</v>
      </c>
      <c r="B7907">
        <v>7080100</v>
      </c>
    </row>
    <row r="7908" spans="1:2" x14ac:dyDescent="0.4">
      <c r="A7908" s="4">
        <v>1005001</v>
      </c>
      <c r="B7908">
        <v>7080200</v>
      </c>
    </row>
    <row r="7909" spans="1:2" x14ac:dyDescent="0.4">
      <c r="A7909" s="4">
        <v>1005001</v>
      </c>
      <c r="B7909">
        <v>7080300</v>
      </c>
    </row>
    <row r="7910" spans="1:2" x14ac:dyDescent="0.4">
      <c r="A7910" s="4">
        <v>1005001</v>
      </c>
      <c r="B7910">
        <v>7080400</v>
      </c>
    </row>
    <row r="7911" spans="1:2" x14ac:dyDescent="0.4">
      <c r="A7911" s="4">
        <v>1005001</v>
      </c>
      <c r="B7911">
        <v>7080500</v>
      </c>
    </row>
    <row r="7912" spans="1:2" x14ac:dyDescent="0.4">
      <c r="A7912" s="4">
        <v>1005001</v>
      </c>
      <c r="B7912">
        <v>7080600</v>
      </c>
    </row>
    <row r="7913" spans="1:2" x14ac:dyDescent="0.4">
      <c r="A7913" s="4">
        <v>1005001</v>
      </c>
      <c r="B7913">
        <v>7080700</v>
      </c>
    </row>
    <row r="7914" spans="1:2" x14ac:dyDescent="0.4">
      <c r="A7914" s="4">
        <v>1005001</v>
      </c>
      <c r="B7914">
        <v>7080800</v>
      </c>
    </row>
    <row r="7915" spans="1:2" x14ac:dyDescent="0.4">
      <c r="A7915" s="4">
        <v>1005001</v>
      </c>
      <c r="B7915">
        <v>7080900</v>
      </c>
    </row>
    <row r="7916" spans="1:2" x14ac:dyDescent="0.4">
      <c r="A7916" s="4">
        <v>1005001</v>
      </c>
      <c r="B7916">
        <v>7081000</v>
      </c>
    </row>
    <row r="7917" spans="1:2" x14ac:dyDescent="0.4">
      <c r="A7917" s="4">
        <v>1005001</v>
      </c>
      <c r="B7917">
        <v>7081100</v>
      </c>
    </row>
    <row r="7918" spans="1:2" x14ac:dyDescent="0.4">
      <c r="A7918" s="4">
        <v>1005001</v>
      </c>
      <c r="B7918">
        <v>7081200</v>
      </c>
    </row>
    <row r="7919" spans="1:2" x14ac:dyDescent="0.4">
      <c r="A7919" s="4">
        <v>1005001</v>
      </c>
      <c r="B7919">
        <v>7081300</v>
      </c>
    </row>
    <row r="7920" spans="1:2" x14ac:dyDescent="0.4">
      <c r="A7920" s="4">
        <v>1005001</v>
      </c>
      <c r="B7920">
        <v>7081400</v>
      </c>
    </row>
    <row r="7921" spans="1:2" x14ac:dyDescent="0.4">
      <c r="A7921" s="4">
        <v>1005001</v>
      </c>
      <c r="B7921">
        <v>7081500</v>
      </c>
    </row>
    <row r="7922" spans="1:2" x14ac:dyDescent="0.4">
      <c r="A7922" s="4">
        <v>1005001</v>
      </c>
      <c r="B7922">
        <v>7081700</v>
      </c>
    </row>
    <row r="7923" spans="1:2" x14ac:dyDescent="0.4">
      <c r="A7923" s="4">
        <v>1005001</v>
      </c>
      <c r="B7923">
        <v>7081800</v>
      </c>
    </row>
    <row r="7924" spans="1:2" x14ac:dyDescent="0.4">
      <c r="A7924" s="4">
        <v>1005001</v>
      </c>
      <c r="B7924">
        <v>7081900</v>
      </c>
    </row>
    <row r="7925" spans="1:2" x14ac:dyDescent="0.4">
      <c r="A7925" s="4">
        <v>1005001</v>
      </c>
      <c r="B7925">
        <v>7082000</v>
      </c>
    </row>
    <row r="7926" spans="1:2" x14ac:dyDescent="0.4">
      <c r="A7926" s="4">
        <v>1005001</v>
      </c>
      <c r="B7926">
        <v>7082100</v>
      </c>
    </row>
    <row r="7927" spans="1:2" x14ac:dyDescent="0.4">
      <c r="A7927" s="4">
        <v>1005001</v>
      </c>
      <c r="B7927">
        <v>7082200</v>
      </c>
    </row>
    <row r="7928" spans="1:2" x14ac:dyDescent="0.4">
      <c r="A7928" s="4">
        <v>1005001</v>
      </c>
      <c r="B7928">
        <v>7082300</v>
      </c>
    </row>
    <row r="7929" spans="1:2" x14ac:dyDescent="0.4">
      <c r="A7929" s="4">
        <v>1005001</v>
      </c>
      <c r="B7929">
        <v>7082400</v>
      </c>
    </row>
    <row r="7930" spans="1:2" x14ac:dyDescent="0.4">
      <c r="A7930" s="4">
        <v>1005001</v>
      </c>
      <c r="B7930">
        <v>7082500</v>
      </c>
    </row>
    <row r="7931" spans="1:2" x14ac:dyDescent="0.4">
      <c r="A7931" s="4">
        <v>1005001</v>
      </c>
      <c r="B7931">
        <v>7082600</v>
      </c>
    </row>
    <row r="7932" spans="1:2" x14ac:dyDescent="0.4">
      <c r="A7932" s="4">
        <v>1005001</v>
      </c>
      <c r="B7932">
        <v>7082700</v>
      </c>
    </row>
    <row r="7933" spans="1:2" x14ac:dyDescent="0.4">
      <c r="A7933" s="4">
        <v>1005001</v>
      </c>
      <c r="B7933">
        <v>7082800</v>
      </c>
    </row>
    <row r="7934" spans="1:2" x14ac:dyDescent="0.4">
      <c r="A7934" s="4">
        <v>1005001</v>
      </c>
      <c r="B7934">
        <v>7082900</v>
      </c>
    </row>
    <row r="7935" spans="1:2" x14ac:dyDescent="0.4">
      <c r="A7935" s="4">
        <v>1005001</v>
      </c>
      <c r="B7935">
        <v>7090000</v>
      </c>
    </row>
    <row r="7936" spans="1:2" x14ac:dyDescent="0.4">
      <c r="A7936" s="4">
        <v>1005001</v>
      </c>
      <c r="B7936">
        <v>7090100</v>
      </c>
    </row>
    <row r="7937" spans="1:2" x14ac:dyDescent="0.4">
      <c r="A7937" s="4">
        <v>1005001</v>
      </c>
      <c r="B7937">
        <v>7090300</v>
      </c>
    </row>
    <row r="7938" spans="1:2" x14ac:dyDescent="0.4">
      <c r="A7938" s="4">
        <v>1005001</v>
      </c>
      <c r="B7938">
        <v>7100100</v>
      </c>
    </row>
    <row r="7939" spans="1:2" x14ac:dyDescent="0.4">
      <c r="A7939" s="4">
        <v>1005001</v>
      </c>
      <c r="B7939">
        <v>7110000</v>
      </c>
    </row>
    <row r="7940" spans="1:2" x14ac:dyDescent="0.4">
      <c r="A7940" s="4">
        <v>1005001</v>
      </c>
      <c r="B7940">
        <v>7120000</v>
      </c>
    </row>
    <row r="7941" spans="1:2" x14ac:dyDescent="0.4">
      <c r="A7941" s="4">
        <v>1005001</v>
      </c>
      <c r="B7941">
        <v>7120100</v>
      </c>
    </row>
    <row r="7942" spans="1:2" x14ac:dyDescent="0.4">
      <c r="A7942" s="4">
        <v>1005001</v>
      </c>
      <c r="B7942">
        <v>7120200</v>
      </c>
    </row>
    <row r="7943" spans="1:2" x14ac:dyDescent="0.4">
      <c r="A7943" s="4">
        <v>1005001</v>
      </c>
      <c r="B7943">
        <v>7120300</v>
      </c>
    </row>
    <row r="7944" spans="1:2" x14ac:dyDescent="0.4">
      <c r="A7944" s="4">
        <v>1005001</v>
      </c>
      <c r="B7944">
        <v>7120400</v>
      </c>
    </row>
    <row r="7945" spans="1:2" x14ac:dyDescent="0.4">
      <c r="A7945" s="4">
        <v>1005001</v>
      </c>
      <c r="B7945">
        <v>7120500</v>
      </c>
    </row>
    <row r="7946" spans="1:2" x14ac:dyDescent="0.4">
      <c r="A7946" s="4">
        <v>1005001</v>
      </c>
      <c r="B7946">
        <v>7120600</v>
      </c>
    </row>
    <row r="7947" spans="1:2" x14ac:dyDescent="0.4">
      <c r="A7947" s="4">
        <v>1005001</v>
      </c>
      <c r="B7947">
        <v>7120900</v>
      </c>
    </row>
    <row r="7948" spans="1:2" x14ac:dyDescent="0.4">
      <c r="A7948" s="4">
        <v>1005001</v>
      </c>
      <c r="B7948">
        <v>7121000</v>
      </c>
    </row>
    <row r="7949" spans="1:2" x14ac:dyDescent="0.4">
      <c r="A7949" s="4">
        <v>1005001</v>
      </c>
      <c r="B7949">
        <v>7121100</v>
      </c>
    </row>
    <row r="7950" spans="1:2" x14ac:dyDescent="0.4">
      <c r="A7950" s="4">
        <v>1005001</v>
      </c>
      <c r="B7950">
        <v>7121200</v>
      </c>
    </row>
    <row r="7951" spans="1:2" x14ac:dyDescent="0.4">
      <c r="A7951" s="4">
        <v>1005001</v>
      </c>
      <c r="B7951">
        <v>7121300</v>
      </c>
    </row>
    <row r="7952" spans="1:2" x14ac:dyDescent="0.4">
      <c r="A7952" s="4">
        <v>1005001</v>
      </c>
      <c r="B7952">
        <v>7121400</v>
      </c>
    </row>
    <row r="7953" spans="1:2" x14ac:dyDescent="0.4">
      <c r="A7953" s="4">
        <v>1005001</v>
      </c>
      <c r="B7953">
        <v>7121500</v>
      </c>
    </row>
    <row r="7954" spans="1:2" x14ac:dyDescent="0.4">
      <c r="A7954" s="4">
        <v>1005001</v>
      </c>
      <c r="B7954">
        <v>7121600</v>
      </c>
    </row>
    <row r="7955" spans="1:2" x14ac:dyDescent="0.4">
      <c r="A7955" s="4">
        <v>1005001</v>
      </c>
      <c r="B7955">
        <v>7121700</v>
      </c>
    </row>
    <row r="7956" spans="1:2" x14ac:dyDescent="0.4">
      <c r="A7956" s="4">
        <v>1005001</v>
      </c>
      <c r="B7956">
        <v>7121800</v>
      </c>
    </row>
    <row r="7957" spans="1:2" x14ac:dyDescent="0.4">
      <c r="A7957" s="4">
        <v>1005001</v>
      </c>
      <c r="B7957">
        <v>7121900</v>
      </c>
    </row>
    <row r="7958" spans="1:2" x14ac:dyDescent="0.4">
      <c r="A7958" s="4">
        <v>1005001</v>
      </c>
      <c r="B7958">
        <v>7122000</v>
      </c>
    </row>
    <row r="7959" spans="1:2" x14ac:dyDescent="0.4">
      <c r="A7959" s="4">
        <v>1005001</v>
      </c>
      <c r="B7959">
        <v>7122100</v>
      </c>
    </row>
    <row r="7960" spans="1:2" x14ac:dyDescent="0.4">
      <c r="A7960" s="4">
        <v>1005001</v>
      </c>
      <c r="B7960">
        <v>7122200</v>
      </c>
    </row>
    <row r="7961" spans="1:2" x14ac:dyDescent="0.4">
      <c r="A7961" s="4">
        <v>1005001</v>
      </c>
      <c r="B7961">
        <v>7122300</v>
      </c>
    </row>
    <row r="7962" spans="1:2" x14ac:dyDescent="0.4">
      <c r="A7962" s="4">
        <v>1005001</v>
      </c>
      <c r="B7962">
        <v>7122400</v>
      </c>
    </row>
    <row r="7963" spans="1:2" x14ac:dyDescent="0.4">
      <c r="A7963" s="4">
        <v>1005001</v>
      </c>
      <c r="B7963">
        <v>7122500</v>
      </c>
    </row>
    <row r="7964" spans="1:2" x14ac:dyDescent="0.4">
      <c r="A7964" s="4">
        <v>1005001</v>
      </c>
      <c r="B7964">
        <v>7122600</v>
      </c>
    </row>
    <row r="7965" spans="1:2" x14ac:dyDescent="0.4">
      <c r="A7965" s="4">
        <v>1005001</v>
      </c>
      <c r="B7965">
        <v>7122700</v>
      </c>
    </row>
    <row r="7966" spans="1:2" x14ac:dyDescent="0.4">
      <c r="A7966" s="4">
        <v>1005001</v>
      </c>
      <c r="B7966">
        <v>7122800</v>
      </c>
    </row>
    <row r="7967" spans="1:2" x14ac:dyDescent="0.4">
      <c r="A7967" s="4">
        <v>1005001</v>
      </c>
      <c r="B7967">
        <v>7122900</v>
      </c>
    </row>
    <row r="7968" spans="1:2" x14ac:dyDescent="0.4">
      <c r="A7968" s="4">
        <v>1005001</v>
      </c>
      <c r="B7968">
        <v>7123000</v>
      </c>
    </row>
    <row r="7969" spans="1:2" x14ac:dyDescent="0.4">
      <c r="A7969" s="4">
        <v>1005001</v>
      </c>
      <c r="B7969">
        <v>7123100</v>
      </c>
    </row>
    <row r="7970" spans="1:2" x14ac:dyDescent="0.4">
      <c r="A7970" s="4">
        <v>1005001</v>
      </c>
      <c r="B7970">
        <v>7123200</v>
      </c>
    </row>
    <row r="7971" spans="1:2" x14ac:dyDescent="0.4">
      <c r="A7971" s="4">
        <v>1005001</v>
      </c>
      <c r="B7971">
        <v>7123300</v>
      </c>
    </row>
    <row r="7972" spans="1:2" x14ac:dyDescent="0.4">
      <c r="A7972" s="4">
        <v>1005001</v>
      </c>
      <c r="B7972">
        <v>7123400</v>
      </c>
    </row>
    <row r="7973" spans="1:2" x14ac:dyDescent="0.4">
      <c r="A7973" s="4">
        <v>1005001</v>
      </c>
      <c r="B7973">
        <v>7123500</v>
      </c>
    </row>
    <row r="7974" spans="1:2" x14ac:dyDescent="0.4">
      <c r="A7974" s="4">
        <v>1005001</v>
      </c>
      <c r="B7974">
        <v>7123600</v>
      </c>
    </row>
    <row r="7975" spans="1:2" x14ac:dyDescent="0.4">
      <c r="A7975" s="4">
        <v>1005001</v>
      </c>
      <c r="B7975">
        <v>7123700</v>
      </c>
    </row>
    <row r="7976" spans="1:2" x14ac:dyDescent="0.4">
      <c r="A7976" s="4">
        <v>1005001</v>
      </c>
      <c r="B7976">
        <v>7123800</v>
      </c>
    </row>
    <row r="7977" spans="1:2" x14ac:dyDescent="0.4">
      <c r="A7977" s="4">
        <v>1005001</v>
      </c>
      <c r="B7977">
        <v>7123900</v>
      </c>
    </row>
    <row r="7978" spans="1:2" x14ac:dyDescent="0.4">
      <c r="A7978" s="4">
        <v>1005001</v>
      </c>
      <c r="B7978">
        <v>7124000</v>
      </c>
    </row>
    <row r="7979" spans="1:2" x14ac:dyDescent="0.4">
      <c r="A7979" s="4">
        <v>1005001</v>
      </c>
      <c r="B7979">
        <v>7124100</v>
      </c>
    </row>
    <row r="7980" spans="1:2" x14ac:dyDescent="0.4">
      <c r="A7980" s="4">
        <v>1005001</v>
      </c>
      <c r="B7980">
        <v>7124300</v>
      </c>
    </row>
    <row r="7981" spans="1:2" x14ac:dyDescent="0.4">
      <c r="A7981" s="4">
        <v>1005001</v>
      </c>
      <c r="B7981">
        <v>7124400</v>
      </c>
    </row>
    <row r="7982" spans="1:2" x14ac:dyDescent="0.4">
      <c r="A7982" s="4">
        <v>1005001</v>
      </c>
      <c r="B7982">
        <v>7124500</v>
      </c>
    </row>
    <row r="7983" spans="1:2" x14ac:dyDescent="0.4">
      <c r="A7983" s="4">
        <v>1005001</v>
      </c>
      <c r="B7983">
        <v>7124600</v>
      </c>
    </row>
    <row r="7984" spans="1:2" x14ac:dyDescent="0.4">
      <c r="A7984" s="4">
        <v>1005001</v>
      </c>
      <c r="B7984">
        <v>7124700</v>
      </c>
    </row>
    <row r="7985" spans="1:2" x14ac:dyDescent="0.4">
      <c r="A7985" s="4">
        <v>1005001</v>
      </c>
      <c r="B7985">
        <v>7126000</v>
      </c>
    </row>
    <row r="7986" spans="1:2" x14ac:dyDescent="0.4">
      <c r="A7986" s="4">
        <v>1005001</v>
      </c>
      <c r="B7986">
        <v>7150000</v>
      </c>
    </row>
    <row r="7987" spans="1:2" x14ac:dyDescent="0.4">
      <c r="A7987" s="4">
        <v>1005001</v>
      </c>
      <c r="B7987">
        <v>7160000</v>
      </c>
    </row>
    <row r="7988" spans="1:2" x14ac:dyDescent="0.4">
      <c r="A7988" s="4">
        <v>1005001</v>
      </c>
      <c r="B7988">
        <v>7220000</v>
      </c>
    </row>
    <row r="7989" spans="1:2" x14ac:dyDescent="0.4">
      <c r="A7989" s="4">
        <v>1005001</v>
      </c>
      <c r="B7989">
        <v>7230000</v>
      </c>
    </row>
    <row r="7990" spans="1:2" x14ac:dyDescent="0.4">
      <c r="A7990" s="4">
        <v>1005001</v>
      </c>
      <c r="B7990">
        <v>7240000</v>
      </c>
    </row>
    <row r="7991" spans="1:2" x14ac:dyDescent="0.4">
      <c r="A7991" s="4">
        <v>1005001</v>
      </c>
      <c r="B7991">
        <v>7260000</v>
      </c>
    </row>
    <row r="7992" spans="1:2" x14ac:dyDescent="0.4">
      <c r="A7992" s="4">
        <v>1005001</v>
      </c>
      <c r="B7992">
        <v>7260300</v>
      </c>
    </row>
    <row r="7993" spans="1:2" x14ac:dyDescent="0.4">
      <c r="A7993" s="4">
        <v>1005001</v>
      </c>
      <c r="B7993">
        <v>7260400</v>
      </c>
    </row>
    <row r="7994" spans="1:2" x14ac:dyDescent="0.4">
      <c r="A7994" s="4">
        <v>1005001</v>
      </c>
      <c r="B7994">
        <v>7270100</v>
      </c>
    </row>
    <row r="7995" spans="1:2" x14ac:dyDescent="0.4">
      <c r="A7995" s="4">
        <v>1005001</v>
      </c>
      <c r="B7995">
        <v>7280000</v>
      </c>
    </row>
    <row r="7996" spans="1:2" x14ac:dyDescent="0.4">
      <c r="A7996" s="4">
        <v>1005001</v>
      </c>
      <c r="B7996">
        <v>7290000</v>
      </c>
    </row>
    <row r="7997" spans="1:2" x14ac:dyDescent="0.4">
      <c r="A7997" s="4">
        <v>1005001</v>
      </c>
      <c r="B7997">
        <v>7310000</v>
      </c>
    </row>
    <row r="7998" spans="1:2" x14ac:dyDescent="0.4">
      <c r="A7998" s="4">
        <v>1005001</v>
      </c>
      <c r="B7998">
        <v>7330000</v>
      </c>
    </row>
    <row r="7999" spans="1:2" x14ac:dyDescent="0.4">
      <c r="A7999" s="4">
        <v>1005001</v>
      </c>
      <c r="B7999">
        <v>7330100</v>
      </c>
    </row>
    <row r="8000" spans="1:2" x14ac:dyDescent="0.4">
      <c r="A8000" s="4">
        <v>1005001</v>
      </c>
      <c r="B8000">
        <v>7330200</v>
      </c>
    </row>
    <row r="8001" spans="1:2" x14ac:dyDescent="0.4">
      <c r="A8001" s="4">
        <v>1005001</v>
      </c>
      <c r="B8001">
        <v>7330300</v>
      </c>
    </row>
    <row r="8002" spans="1:2" x14ac:dyDescent="0.4">
      <c r="A8002" s="4">
        <v>1005001</v>
      </c>
      <c r="B8002">
        <v>7330400</v>
      </c>
    </row>
    <row r="8003" spans="1:2" x14ac:dyDescent="0.4">
      <c r="A8003" s="4">
        <v>1005001</v>
      </c>
      <c r="B8003">
        <v>7330500</v>
      </c>
    </row>
    <row r="8004" spans="1:2" x14ac:dyDescent="0.4">
      <c r="A8004" s="4">
        <v>1005001</v>
      </c>
      <c r="B8004">
        <v>7330600</v>
      </c>
    </row>
    <row r="8005" spans="1:2" x14ac:dyDescent="0.4">
      <c r="A8005" s="4">
        <v>1005001</v>
      </c>
      <c r="B8005">
        <v>7330700</v>
      </c>
    </row>
    <row r="8006" spans="1:2" x14ac:dyDescent="0.4">
      <c r="A8006" s="4">
        <v>1005001</v>
      </c>
      <c r="B8006">
        <v>7330800</v>
      </c>
    </row>
    <row r="8007" spans="1:2" x14ac:dyDescent="0.4">
      <c r="A8007" s="4">
        <v>1005001</v>
      </c>
      <c r="B8007">
        <v>7330900</v>
      </c>
    </row>
    <row r="8008" spans="1:2" x14ac:dyDescent="0.4">
      <c r="A8008" s="4">
        <v>1005001</v>
      </c>
      <c r="B8008">
        <v>7331000</v>
      </c>
    </row>
    <row r="8009" spans="1:2" x14ac:dyDescent="0.4">
      <c r="A8009" s="4">
        <v>1005001</v>
      </c>
      <c r="B8009">
        <v>7331100</v>
      </c>
    </row>
    <row r="8010" spans="1:2" x14ac:dyDescent="0.4">
      <c r="A8010" s="4">
        <v>1005001</v>
      </c>
      <c r="B8010">
        <v>7331200</v>
      </c>
    </row>
    <row r="8011" spans="1:2" x14ac:dyDescent="0.4">
      <c r="A8011" s="4">
        <v>1005001</v>
      </c>
      <c r="B8011">
        <v>7331300</v>
      </c>
    </row>
    <row r="8012" spans="1:2" x14ac:dyDescent="0.4">
      <c r="A8012" s="4">
        <v>1005001</v>
      </c>
      <c r="B8012">
        <v>7331400</v>
      </c>
    </row>
    <row r="8013" spans="1:2" x14ac:dyDescent="0.4">
      <c r="A8013" s="4">
        <v>1005001</v>
      </c>
      <c r="B8013">
        <v>7331500</v>
      </c>
    </row>
    <row r="8014" spans="1:2" x14ac:dyDescent="0.4">
      <c r="A8014" s="4">
        <v>1005001</v>
      </c>
      <c r="B8014">
        <v>7331700</v>
      </c>
    </row>
    <row r="8015" spans="1:2" x14ac:dyDescent="0.4">
      <c r="A8015" s="4">
        <v>1005001</v>
      </c>
      <c r="B8015">
        <v>7331800</v>
      </c>
    </row>
    <row r="8016" spans="1:2" x14ac:dyDescent="0.4">
      <c r="A8016" s="4">
        <v>1005001</v>
      </c>
      <c r="B8016">
        <v>7331900</v>
      </c>
    </row>
    <row r="8017" spans="1:2" x14ac:dyDescent="0.4">
      <c r="A8017" s="4">
        <v>1005001</v>
      </c>
      <c r="B8017">
        <v>7332000</v>
      </c>
    </row>
    <row r="8018" spans="1:2" x14ac:dyDescent="0.4">
      <c r="A8018" s="4">
        <v>1005001</v>
      </c>
      <c r="B8018">
        <v>7332100</v>
      </c>
    </row>
    <row r="8019" spans="1:2" x14ac:dyDescent="0.4">
      <c r="A8019" s="4">
        <v>1005001</v>
      </c>
      <c r="B8019">
        <v>7332200</v>
      </c>
    </row>
    <row r="8020" spans="1:2" x14ac:dyDescent="0.4">
      <c r="A8020" s="4">
        <v>1005001</v>
      </c>
      <c r="B8020">
        <v>7332300</v>
      </c>
    </row>
    <row r="8021" spans="1:2" x14ac:dyDescent="0.4">
      <c r="A8021" s="4">
        <v>1005001</v>
      </c>
      <c r="B8021">
        <v>7332400</v>
      </c>
    </row>
    <row r="8022" spans="1:2" x14ac:dyDescent="0.4">
      <c r="A8022" s="4">
        <v>1005001</v>
      </c>
      <c r="B8022">
        <v>7340000</v>
      </c>
    </row>
    <row r="8023" spans="1:2" x14ac:dyDescent="0.4">
      <c r="A8023" s="4">
        <v>1005001</v>
      </c>
      <c r="B8023">
        <v>7340100</v>
      </c>
    </row>
    <row r="8024" spans="1:2" x14ac:dyDescent="0.4">
      <c r="A8024" s="4">
        <v>1005001</v>
      </c>
      <c r="B8024">
        <v>7340200</v>
      </c>
    </row>
    <row r="8025" spans="1:2" x14ac:dyDescent="0.4">
      <c r="A8025" s="4">
        <v>1005001</v>
      </c>
      <c r="B8025">
        <v>7340300</v>
      </c>
    </row>
    <row r="8026" spans="1:2" x14ac:dyDescent="0.4">
      <c r="A8026" s="4">
        <v>1005001</v>
      </c>
      <c r="B8026">
        <v>7340400</v>
      </c>
    </row>
    <row r="8027" spans="1:2" x14ac:dyDescent="0.4">
      <c r="A8027" s="4">
        <v>1005001</v>
      </c>
      <c r="B8027">
        <v>7340500</v>
      </c>
    </row>
    <row r="8028" spans="1:2" x14ac:dyDescent="0.4">
      <c r="A8028" s="4">
        <v>1005001</v>
      </c>
      <c r="B8028">
        <v>7340600</v>
      </c>
    </row>
    <row r="8029" spans="1:2" x14ac:dyDescent="0.4">
      <c r="A8029" s="4">
        <v>1005001</v>
      </c>
      <c r="B8029">
        <v>7340700</v>
      </c>
    </row>
    <row r="8030" spans="1:2" x14ac:dyDescent="0.4">
      <c r="A8030" s="4">
        <v>1005001</v>
      </c>
      <c r="B8030">
        <v>7340800</v>
      </c>
    </row>
    <row r="8031" spans="1:2" x14ac:dyDescent="0.4">
      <c r="A8031" s="4">
        <v>1005001</v>
      </c>
      <c r="B8031">
        <v>7340900</v>
      </c>
    </row>
    <row r="8032" spans="1:2" x14ac:dyDescent="0.4">
      <c r="A8032" s="4">
        <v>1005001</v>
      </c>
      <c r="B8032">
        <v>7341000</v>
      </c>
    </row>
    <row r="8033" spans="1:2" x14ac:dyDescent="0.4">
      <c r="A8033" s="4">
        <v>1005001</v>
      </c>
      <c r="B8033">
        <v>7341100</v>
      </c>
    </row>
    <row r="8034" spans="1:2" x14ac:dyDescent="0.4">
      <c r="A8034" s="4">
        <v>1005001</v>
      </c>
      <c r="B8034">
        <v>7341200</v>
      </c>
    </row>
    <row r="8035" spans="1:2" x14ac:dyDescent="0.4">
      <c r="A8035" s="4">
        <v>1005001</v>
      </c>
      <c r="B8035">
        <v>7341300</v>
      </c>
    </row>
    <row r="8036" spans="1:2" x14ac:dyDescent="0.4">
      <c r="A8036" s="4">
        <v>1005001</v>
      </c>
      <c r="B8036">
        <v>7341400</v>
      </c>
    </row>
    <row r="8037" spans="1:2" x14ac:dyDescent="0.4">
      <c r="A8037" s="4">
        <v>1005001</v>
      </c>
      <c r="B8037">
        <v>7341500</v>
      </c>
    </row>
    <row r="8038" spans="1:2" x14ac:dyDescent="0.4">
      <c r="A8038" s="4">
        <v>1005001</v>
      </c>
      <c r="B8038">
        <v>7341700</v>
      </c>
    </row>
    <row r="8039" spans="1:2" x14ac:dyDescent="0.4">
      <c r="A8039" s="4">
        <v>1005001</v>
      </c>
      <c r="B8039">
        <v>7341800</v>
      </c>
    </row>
    <row r="8040" spans="1:2" x14ac:dyDescent="0.4">
      <c r="A8040" s="4">
        <v>1005001</v>
      </c>
      <c r="B8040">
        <v>7341900</v>
      </c>
    </row>
    <row r="8041" spans="1:2" x14ac:dyDescent="0.4">
      <c r="A8041" s="4">
        <v>1005001</v>
      </c>
      <c r="B8041">
        <v>7342000</v>
      </c>
    </row>
    <row r="8042" spans="1:2" x14ac:dyDescent="0.4">
      <c r="A8042" s="4">
        <v>1005001</v>
      </c>
      <c r="B8042">
        <v>7342100</v>
      </c>
    </row>
    <row r="8043" spans="1:2" x14ac:dyDescent="0.4">
      <c r="A8043" s="4">
        <v>1005001</v>
      </c>
      <c r="B8043">
        <v>7342200</v>
      </c>
    </row>
    <row r="8044" spans="1:2" x14ac:dyDescent="0.4">
      <c r="A8044" s="4">
        <v>1005001</v>
      </c>
      <c r="B8044">
        <v>7342300</v>
      </c>
    </row>
    <row r="8045" spans="1:2" x14ac:dyDescent="0.4">
      <c r="A8045" s="4">
        <v>1005001</v>
      </c>
      <c r="B8045">
        <v>7342400</v>
      </c>
    </row>
    <row r="8046" spans="1:2" x14ac:dyDescent="0.4">
      <c r="A8046" s="4">
        <v>1005001</v>
      </c>
      <c r="B8046">
        <v>7350000</v>
      </c>
    </row>
    <row r="8047" spans="1:2" x14ac:dyDescent="0.4">
      <c r="A8047" s="4">
        <v>1005001</v>
      </c>
      <c r="B8047">
        <v>7350100</v>
      </c>
    </row>
    <row r="8048" spans="1:2" x14ac:dyDescent="0.4">
      <c r="A8048" s="4">
        <v>1005001</v>
      </c>
      <c r="B8048">
        <v>7350200</v>
      </c>
    </row>
    <row r="8049" spans="1:2" x14ac:dyDescent="0.4">
      <c r="A8049" s="4">
        <v>1005001</v>
      </c>
      <c r="B8049">
        <v>7350300</v>
      </c>
    </row>
    <row r="8050" spans="1:2" x14ac:dyDescent="0.4">
      <c r="A8050" s="4">
        <v>1005001</v>
      </c>
      <c r="B8050">
        <v>7350400</v>
      </c>
    </row>
    <row r="8051" spans="1:2" x14ac:dyDescent="0.4">
      <c r="A8051" s="4">
        <v>1005001</v>
      </c>
      <c r="B8051">
        <v>7350500</v>
      </c>
    </row>
    <row r="8052" spans="1:2" x14ac:dyDescent="0.4">
      <c r="A8052" s="4">
        <v>1005001</v>
      </c>
      <c r="B8052">
        <v>7350600</v>
      </c>
    </row>
    <row r="8053" spans="1:2" x14ac:dyDescent="0.4">
      <c r="A8053" s="4">
        <v>1005001</v>
      </c>
      <c r="B8053">
        <v>7350700</v>
      </c>
    </row>
    <row r="8054" spans="1:2" x14ac:dyDescent="0.4">
      <c r="A8054" s="4">
        <v>1005001</v>
      </c>
      <c r="B8054">
        <v>7350800</v>
      </c>
    </row>
    <row r="8055" spans="1:2" x14ac:dyDescent="0.4">
      <c r="A8055" s="4">
        <v>1005001</v>
      </c>
      <c r="B8055">
        <v>7350900</v>
      </c>
    </row>
    <row r="8056" spans="1:2" x14ac:dyDescent="0.4">
      <c r="A8056" s="4">
        <v>1005001</v>
      </c>
      <c r="B8056">
        <v>7351000</v>
      </c>
    </row>
    <row r="8057" spans="1:2" x14ac:dyDescent="0.4">
      <c r="A8057" s="4">
        <v>1005001</v>
      </c>
      <c r="B8057">
        <v>7351100</v>
      </c>
    </row>
    <row r="8058" spans="1:2" x14ac:dyDescent="0.4">
      <c r="A8058" s="4">
        <v>1005001</v>
      </c>
      <c r="B8058">
        <v>7351200</v>
      </c>
    </row>
    <row r="8059" spans="1:2" x14ac:dyDescent="0.4">
      <c r="A8059" s="4">
        <v>1005001</v>
      </c>
      <c r="B8059">
        <v>7351300</v>
      </c>
    </row>
    <row r="8060" spans="1:2" x14ac:dyDescent="0.4">
      <c r="A8060" s="4">
        <v>1005001</v>
      </c>
      <c r="B8060">
        <v>7351400</v>
      </c>
    </row>
    <row r="8061" spans="1:2" x14ac:dyDescent="0.4">
      <c r="A8061" s="4">
        <v>1005001</v>
      </c>
      <c r="B8061">
        <v>7351500</v>
      </c>
    </row>
    <row r="8062" spans="1:2" x14ac:dyDescent="0.4">
      <c r="A8062" s="4">
        <v>1005001</v>
      </c>
      <c r="B8062">
        <v>7351700</v>
      </c>
    </row>
    <row r="8063" spans="1:2" x14ac:dyDescent="0.4">
      <c r="A8063" s="4">
        <v>1005001</v>
      </c>
      <c r="B8063">
        <v>7351800</v>
      </c>
    </row>
    <row r="8064" spans="1:2" x14ac:dyDescent="0.4">
      <c r="A8064" s="4">
        <v>1005001</v>
      </c>
      <c r="B8064">
        <v>7351900</v>
      </c>
    </row>
    <row r="8065" spans="1:2" x14ac:dyDescent="0.4">
      <c r="A8065" s="4">
        <v>1005001</v>
      </c>
      <c r="B8065">
        <v>7352000</v>
      </c>
    </row>
    <row r="8066" spans="1:2" x14ac:dyDescent="0.4">
      <c r="A8066" s="4">
        <v>1005001</v>
      </c>
      <c r="B8066">
        <v>7352100</v>
      </c>
    </row>
    <row r="8067" spans="1:2" x14ac:dyDescent="0.4">
      <c r="A8067" s="4">
        <v>1005001</v>
      </c>
      <c r="B8067">
        <v>7352200</v>
      </c>
    </row>
    <row r="8068" spans="1:2" x14ac:dyDescent="0.4">
      <c r="A8068" s="4">
        <v>1005001</v>
      </c>
      <c r="B8068">
        <v>7352300</v>
      </c>
    </row>
    <row r="8069" spans="1:2" x14ac:dyDescent="0.4">
      <c r="A8069" s="4">
        <v>1005001</v>
      </c>
      <c r="B8069">
        <v>7352400</v>
      </c>
    </row>
    <row r="8070" spans="1:2" x14ac:dyDescent="0.4">
      <c r="A8070" s="4">
        <v>1005001</v>
      </c>
      <c r="B8070">
        <v>7360600</v>
      </c>
    </row>
    <row r="8071" spans="1:2" x14ac:dyDescent="0.4">
      <c r="A8071" s="4">
        <v>1005001</v>
      </c>
      <c r="B8071">
        <v>7360900</v>
      </c>
    </row>
    <row r="8072" spans="1:2" x14ac:dyDescent="0.4">
      <c r="A8072" s="4">
        <v>1005001</v>
      </c>
      <c r="B8072">
        <v>7361200</v>
      </c>
    </row>
    <row r="8073" spans="1:2" x14ac:dyDescent="0.4">
      <c r="A8073" s="4">
        <v>1005001</v>
      </c>
      <c r="B8073">
        <v>7361300</v>
      </c>
    </row>
    <row r="8074" spans="1:2" x14ac:dyDescent="0.4">
      <c r="A8074" s="4">
        <v>1005001</v>
      </c>
      <c r="B8074">
        <v>7362100</v>
      </c>
    </row>
    <row r="8075" spans="1:2" x14ac:dyDescent="0.4">
      <c r="A8075" s="4">
        <v>1005001</v>
      </c>
      <c r="B8075">
        <v>7370300</v>
      </c>
    </row>
    <row r="8076" spans="1:2" x14ac:dyDescent="0.4">
      <c r="A8076" s="4">
        <v>1005001</v>
      </c>
      <c r="B8076">
        <v>7370400</v>
      </c>
    </row>
    <row r="8077" spans="1:2" x14ac:dyDescent="0.4">
      <c r="A8077" s="4">
        <v>1005001</v>
      </c>
      <c r="B8077">
        <v>7370600</v>
      </c>
    </row>
    <row r="8078" spans="1:2" x14ac:dyDescent="0.4">
      <c r="A8078" s="4">
        <v>1005001</v>
      </c>
      <c r="B8078">
        <v>7370900</v>
      </c>
    </row>
    <row r="8079" spans="1:2" x14ac:dyDescent="0.4">
      <c r="A8079" s="4">
        <v>1005001</v>
      </c>
      <c r="B8079">
        <v>7371500</v>
      </c>
    </row>
    <row r="8080" spans="1:2" x14ac:dyDescent="0.4">
      <c r="A8080" s="4">
        <v>1005001</v>
      </c>
      <c r="B8080">
        <v>7036200</v>
      </c>
    </row>
    <row r="8081" spans="1:2" x14ac:dyDescent="0.4">
      <c r="A8081" s="4">
        <v>1005001</v>
      </c>
      <c r="B8081">
        <v>7036300</v>
      </c>
    </row>
    <row r="8082" spans="1:2" x14ac:dyDescent="0.4">
      <c r="A8082" s="4">
        <v>1005001</v>
      </c>
      <c r="B8082">
        <v>7036400</v>
      </c>
    </row>
    <row r="8083" spans="1:2" x14ac:dyDescent="0.4">
      <c r="A8083" s="4">
        <v>1005001</v>
      </c>
      <c r="B8083">
        <v>7036500</v>
      </c>
    </row>
    <row r="8084" spans="1:2" x14ac:dyDescent="0.4">
      <c r="A8084" s="4">
        <v>1005001</v>
      </c>
      <c r="B8084">
        <v>7036800</v>
      </c>
    </row>
    <row r="8085" spans="1:2" x14ac:dyDescent="0.4">
      <c r="A8085" s="4">
        <v>1005001</v>
      </c>
      <c r="B8085">
        <v>7036900</v>
      </c>
    </row>
    <row r="8086" spans="1:2" x14ac:dyDescent="0.4">
      <c r="A8086" s="4">
        <v>1005001</v>
      </c>
      <c r="B8086">
        <v>7037000</v>
      </c>
    </row>
    <row r="8087" spans="1:2" x14ac:dyDescent="0.4">
      <c r="A8087" s="4">
        <v>1005001</v>
      </c>
      <c r="B8087">
        <v>7037300</v>
      </c>
    </row>
    <row r="8088" spans="1:2" x14ac:dyDescent="0.4">
      <c r="A8088" s="4">
        <v>1005001</v>
      </c>
      <c r="B8088">
        <v>6630000</v>
      </c>
    </row>
    <row r="8089" spans="1:2" x14ac:dyDescent="0.4">
      <c r="A8089" s="4">
        <v>1005001</v>
      </c>
      <c r="B8089">
        <v>6630100</v>
      </c>
    </row>
    <row r="8090" spans="1:2" x14ac:dyDescent="0.4">
      <c r="A8090" s="4">
        <v>1005001</v>
      </c>
      <c r="B8090">
        <v>6630200</v>
      </c>
    </row>
    <row r="8091" spans="1:2" x14ac:dyDescent="0.4">
      <c r="A8091" s="4">
        <v>1005001</v>
      </c>
      <c r="B8091">
        <v>6630300</v>
      </c>
    </row>
    <row r="8092" spans="1:2" x14ac:dyDescent="0.4">
      <c r="A8092" s="4">
        <v>1005001</v>
      </c>
      <c r="B8092">
        <v>6630400</v>
      </c>
    </row>
    <row r="8093" spans="1:2" x14ac:dyDescent="0.4">
      <c r="A8093" s="4">
        <v>1005001</v>
      </c>
      <c r="B8093">
        <v>6630500</v>
      </c>
    </row>
    <row r="8094" spans="1:2" x14ac:dyDescent="0.4">
      <c r="A8094" s="4">
        <v>1005001</v>
      </c>
      <c r="B8094">
        <v>6630600</v>
      </c>
    </row>
    <row r="8095" spans="1:2" x14ac:dyDescent="0.4">
      <c r="A8095" s="4">
        <v>1005001</v>
      </c>
      <c r="B8095">
        <v>6630700</v>
      </c>
    </row>
    <row r="8096" spans="1:2" x14ac:dyDescent="0.4">
      <c r="A8096" s="4">
        <v>1005001</v>
      </c>
      <c r="B8096">
        <v>6630800</v>
      </c>
    </row>
    <row r="8097" spans="1:2" x14ac:dyDescent="0.4">
      <c r="A8097" s="4">
        <v>1005001</v>
      </c>
      <c r="B8097">
        <v>6630900</v>
      </c>
    </row>
    <row r="8098" spans="1:2" x14ac:dyDescent="0.4">
      <c r="A8098" s="4">
        <v>1005001</v>
      </c>
      <c r="B8098">
        <v>6631000</v>
      </c>
    </row>
    <row r="8099" spans="1:2" x14ac:dyDescent="0.4">
      <c r="A8099" s="4">
        <v>1005001</v>
      </c>
      <c r="B8099">
        <v>6631100</v>
      </c>
    </row>
    <row r="8100" spans="1:2" x14ac:dyDescent="0.4">
      <c r="A8100" s="4">
        <v>1005001</v>
      </c>
      <c r="B8100">
        <v>6631200</v>
      </c>
    </row>
    <row r="8101" spans="1:2" x14ac:dyDescent="0.4">
      <c r="A8101" s="4">
        <v>1005001</v>
      </c>
      <c r="B8101">
        <v>6631300</v>
      </c>
    </row>
    <row r="8102" spans="1:2" x14ac:dyDescent="0.4">
      <c r="A8102" s="4">
        <v>1005001</v>
      </c>
      <c r="B8102">
        <v>6631400</v>
      </c>
    </row>
    <row r="8103" spans="1:2" x14ac:dyDescent="0.4">
      <c r="A8103" s="4">
        <v>1005001</v>
      </c>
      <c r="B8103">
        <v>6631500</v>
      </c>
    </row>
    <row r="8104" spans="1:2" x14ac:dyDescent="0.4">
      <c r="A8104" s="4">
        <v>1005001</v>
      </c>
      <c r="B8104">
        <v>6631600</v>
      </c>
    </row>
    <row r="8105" spans="1:2" x14ac:dyDescent="0.4">
      <c r="A8105" s="4">
        <v>1005001</v>
      </c>
      <c r="B8105">
        <v>6631700</v>
      </c>
    </row>
    <row r="8106" spans="1:2" x14ac:dyDescent="0.4">
      <c r="A8106" s="4">
        <v>1005001</v>
      </c>
      <c r="B8106">
        <v>6631800</v>
      </c>
    </row>
    <row r="8107" spans="1:2" x14ac:dyDescent="0.4">
      <c r="A8107" s="4">
        <v>1005001</v>
      </c>
      <c r="B8107">
        <v>6631900</v>
      </c>
    </row>
    <row r="8108" spans="1:2" x14ac:dyDescent="0.4">
      <c r="A8108" s="4">
        <v>1005001</v>
      </c>
      <c r="B8108">
        <v>6632000</v>
      </c>
    </row>
    <row r="8109" spans="1:2" x14ac:dyDescent="0.4">
      <c r="A8109" s="4">
        <v>1005001</v>
      </c>
      <c r="B8109">
        <v>6632100</v>
      </c>
    </row>
    <row r="8110" spans="1:2" x14ac:dyDescent="0.4">
      <c r="A8110" s="4">
        <v>1005001</v>
      </c>
      <c r="B8110">
        <v>6632200</v>
      </c>
    </row>
    <row r="8111" spans="1:2" x14ac:dyDescent="0.4">
      <c r="A8111" s="4">
        <v>1005001</v>
      </c>
      <c r="B8111">
        <v>6632300</v>
      </c>
    </row>
    <row r="8112" spans="1:2" x14ac:dyDescent="0.4">
      <c r="A8112" s="4">
        <v>1005001</v>
      </c>
      <c r="B8112">
        <v>6632400</v>
      </c>
    </row>
    <row r="8113" spans="1:2" x14ac:dyDescent="0.4">
      <c r="A8113" s="4">
        <v>1005001</v>
      </c>
      <c r="B8113">
        <v>6632500</v>
      </c>
    </row>
    <row r="8114" spans="1:2" x14ac:dyDescent="0.4">
      <c r="A8114" s="4">
        <v>1005001</v>
      </c>
      <c r="B8114">
        <v>6632600</v>
      </c>
    </row>
    <row r="8115" spans="1:2" x14ac:dyDescent="0.4">
      <c r="A8115" s="4">
        <v>1005001</v>
      </c>
      <c r="B8115">
        <v>6632700</v>
      </c>
    </row>
    <row r="8116" spans="1:2" x14ac:dyDescent="0.4">
      <c r="A8116" s="4">
        <v>1005001</v>
      </c>
      <c r="B8116">
        <v>6632800</v>
      </c>
    </row>
    <row r="8117" spans="1:2" x14ac:dyDescent="0.4">
      <c r="A8117" s="4">
        <v>1005001</v>
      </c>
      <c r="B8117">
        <v>6632900</v>
      </c>
    </row>
    <row r="8118" spans="1:2" x14ac:dyDescent="0.4">
      <c r="A8118" s="4">
        <v>1005001</v>
      </c>
      <c r="B8118">
        <v>6633000</v>
      </c>
    </row>
    <row r="8119" spans="1:2" x14ac:dyDescent="0.4">
      <c r="A8119" s="4">
        <v>1005001</v>
      </c>
      <c r="B8119">
        <v>6633100</v>
      </c>
    </row>
    <row r="8120" spans="1:2" x14ac:dyDescent="0.4">
      <c r="A8120" s="4">
        <v>1005001</v>
      </c>
      <c r="B8120">
        <v>6633200</v>
      </c>
    </row>
    <row r="8121" spans="1:2" x14ac:dyDescent="0.4">
      <c r="A8121" s="4">
        <v>1005001</v>
      </c>
      <c r="B8121">
        <v>6647200</v>
      </c>
    </row>
    <row r="8122" spans="1:2" x14ac:dyDescent="0.4">
      <c r="A8122" s="4">
        <v>1005001</v>
      </c>
      <c r="B8122">
        <v>6647300</v>
      </c>
    </row>
    <row r="8123" spans="1:2" x14ac:dyDescent="0.4">
      <c r="A8123" s="4">
        <v>1005001</v>
      </c>
      <c r="B8123">
        <v>6647400</v>
      </c>
    </row>
    <row r="8124" spans="1:2" x14ac:dyDescent="0.4">
      <c r="A8124" s="4">
        <v>1005001</v>
      </c>
      <c r="B8124">
        <v>6647500</v>
      </c>
    </row>
    <row r="8125" spans="1:2" x14ac:dyDescent="0.4">
      <c r="A8125" s="4">
        <v>1005001</v>
      </c>
      <c r="B8125">
        <v>6640000</v>
      </c>
    </row>
    <row r="8126" spans="1:2" x14ac:dyDescent="0.4">
      <c r="A8126" s="4">
        <v>1005001</v>
      </c>
      <c r="B8126">
        <v>6640100</v>
      </c>
    </row>
    <row r="8127" spans="1:2" x14ac:dyDescent="0.4">
      <c r="A8127" s="4">
        <v>1005001</v>
      </c>
      <c r="B8127">
        <v>6641000</v>
      </c>
    </row>
    <row r="8128" spans="1:2" x14ac:dyDescent="0.4">
      <c r="A8128" s="4">
        <v>1005001</v>
      </c>
      <c r="B8128">
        <v>6641100</v>
      </c>
    </row>
    <row r="8129" spans="1:2" x14ac:dyDescent="0.4">
      <c r="A8129" s="4">
        <v>1005001</v>
      </c>
      <c r="B8129">
        <v>6642000</v>
      </c>
    </row>
    <row r="8130" spans="1:2" x14ac:dyDescent="0.4">
      <c r="A8130" s="4">
        <v>1005001</v>
      </c>
      <c r="B8130">
        <v>6642100</v>
      </c>
    </row>
    <row r="8131" spans="1:2" x14ac:dyDescent="0.4">
      <c r="A8131" s="4">
        <v>1005001</v>
      </c>
      <c r="B8131">
        <v>6643000</v>
      </c>
    </row>
    <row r="8132" spans="1:2" x14ac:dyDescent="0.4">
      <c r="A8132" s="4">
        <v>1005001</v>
      </c>
      <c r="B8132">
        <v>6643100</v>
      </c>
    </row>
    <row r="8133" spans="1:2" x14ac:dyDescent="0.4">
      <c r="A8133" s="4">
        <v>1005001</v>
      </c>
      <c r="B8133">
        <v>6644000</v>
      </c>
    </row>
    <row r="8134" spans="1:2" x14ac:dyDescent="0.4">
      <c r="A8134" s="4">
        <v>1005001</v>
      </c>
      <c r="B8134">
        <v>6644100</v>
      </c>
    </row>
    <row r="8135" spans="1:2" x14ac:dyDescent="0.4">
      <c r="A8135" s="4">
        <v>1005001</v>
      </c>
      <c r="B8135">
        <v>6645000</v>
      </c>
    </row>
    <row r="8136" spans="1:2" x14ac:dyDescent="0.4">
      <c r="A8136" s="4">
        <v>1005001</v>
      </c>
      <c r="B8136">
        <v>6645100</v>
      </c>
    </row>
    <row r="8137" spans="1:2" x14ac:dyDescent="0.4">
      <c r="A8137" s="4">
        <v>1005001</v>
      </c>
      <c r="B8137">
        <v>6646000</v>
      </c>
    </row>
    <row r="8138" spans="1:2" x14ac:dyDescent="0.4">
      <c r="A8138" s="4">
        <v>1005001</v>
      </c>
      <c r="B8138">
        <v>6646100</v>
      </c>
    </row>
    <row r="8139" spans="1:2" x14ac:dyDescent="0.4">
      <c r="A8139" s="4">
        <v>1005001</v>
      </c>
      <c r="B8139">
        <v>6647000</v>
      </c>
    </row>
    <row r="8140" spans="1:2" x14ac:dyDescent="0.4">
      <c r="A8140" s="4">
        <v>1005001</v>
      </c>
      <c r="B8140">
        <v>6647100</v>
      </c>
    </row>
    <row r="8141" spans="1:2" x14ac:dyDescent="0.4">
      <c r="A8141" s="4">
        <v>1005002</v>
      </c>
      <c r="B8141">
        <v>7000000</v>
      </c>
    </row>
    <row r="8142" spans="1:2" x14ac:dyDescent="0.4">
      <c r="A8142" s="4">
        <v>1005002</v>
      </c>
      <c r="B8142">
        <v>7000001</v>
      </c>
    </row>
    <row r="8143" spans="1:2" x14ac:dyDescent="0.4">
      <c r="A8143" s="4">
        <v>1005002</v>
      </c>
      <c r="B8143">
        <v>7000002</v>
      </c>
    </row>
    <row r="8144" spans="1:2" x14ac:dyDescent="0.4">
      <c r="A8144" s="4">
        <v>1005002</v>
      </c>
      <c r="B8144">
        <v>7000100</v>
      </c>
    </row>
    <row r="8145" spans="1:2" x14ac:dyDescent="0.4">
      <c r="A8145" s="4">
        <v>1005002</v>
      </c>
      <c r="B8145">
        <v>7000101</v>
      </c>
    </row>
    <row r="8146" spans="1:2" x14ac:dyDescent="0.4">
      <c r="A8146" s="4">
        <v>1005002</v>
      </c>
      <c r="B8146">
        <v>7000102</v>
      </c>
    </row>
    <row r="8147" spans="1:2" x14ac:dyDescent="0.4">
      <c r="A8147" s="4">
        <v>1005002</v>
      </c>
      <c r="B8147">
        <v>7000200</v>
      </c>
    </row>
    <row r="8148" spans="1:2" x14ac:dyDescent="0.4">
      <c r="A8148" s="4">
        <v>1005002</v>
      </c>
      <c r="B8148">
        <v>7000201</v>
      </c>
    </row>
    <row r="8149" spans="1:2" x14ac:dyDescent="0.4">
      <c r="A8149" s="4">
        <v>1005002</v>
      </c>
      <c r="B8149">
        <v>7000202</v>
      </c>
    </row>
    <row r="8150" spans="1:2" x14ac:dyDescent="0.4">
      <c r="A8150" s="4">
        <v>1005002</v>
      </c>
      <c r="B8150">
        <v>7000300</v>
      </c>
    </row>
    <row r="8151" spans="1:2" x14ac:dyDescent="0.4">
      <c r="A8151" s="4">
        <v>1005002</v>
      </c>
      <c r="B8151">
        <v>7000301</v>
      </c>
    </row>
    <row r="8152" spans="1:2" x14ac:dyDescent="0.4">
      <c r="A8152" s="4">
        <v>1005002</v>
      </c>
      <c r="B8152">
        <v>7000302</v>
      </c>
    </row>
    <row r="8153" spans="1:2" x14ac:dyDescent="0.4">
      <c r="A8153" s="4">
        <v>1005002</v>
      </c>
      <c r="B8153">
        <v>7000400</v>
      </c>
    </row>
    <row r="8154" spans="1:2" x14ac:dyDescent="0.4">
      <c r="A8154" s="4">
        <v>1005002</v>
      </c>
      <c r="B8154">
        <v>7000401</v>
      </c>
    </row>
    <row r="8155" spans="1:2" x14ac:dyDescent="0.4">
      <c r="A8155" s="4">
        <v>1005002</v>
      </c>
      <c r="B8155">
        <v>7000402</v>
      </c>
    </row>
    <row r="8156" spans="1:2" x14ac:dyDescent="0.4">
      <c r="A8156" s="4">
        <v>1005002</v>
      </c>
      <c r="B8156">
        <v>7000500</v>
      </c>
    </row>
    <row r="8157" spans="1:2" x14ac:dyDescent="0.4">
      <c r="A8157" s="4">
        <v>1005002</v>
      </c>
      <c r="B8157">
        <v>7000501</v>
      </c>
    </row>
    <row r="8158" spans="1:2" x14ac:dyDescent="0.4">
      <c r="A8158" s="4">
        <v>1005002</v>
      </c>
      <c r="B8158">
        <v>7000502</v>
      </c>
    </row>
    <row r="8159" spans="1:2" x14ac:dyDescent="0.4">
      <c r="A8159" s="4">
        <v>1005002</v>
      </c>
      <c r="B8159">
        <v>7000600</v>
      </c>
    </row>
    <row r="8160" spans="1:2" x14ac:dyDescent="0.4">
      <c r="A8160" s="4">
        <v>1005002</v>
      </c>
      <c r="B8160">
        <v>7000601</v>
      </c>
    </row>
    <row r="8161" spans="1:2" x14ac:dyDescent="0.4">
      <c r="A8161" s="4">
        <v>1005002</v>
      </c>
      <c r="B8161">
        <v>7000602</v>
      </c>
    </row>
    <row r="8162" spans="1:2" x14ac:dyDescent="0.4">
      <c r="A8162" s="4">
        <v>1005002</v>
      </c>
      <c r="B8162">
        <v>7000700</v>
      </c>
    </row>
    <row r="8163" spans="1:2" x14ac:dyDescent="0.4">
      <c r="A8163" s="4">
        <v>1005002</v>
      </c>
      <c r="B8163">
        <v>7000701</v>
      </c>
    </row>
    <row r="8164" spans="1:2" x14ac:dyDescent="0.4">
      <c r="A8164" s="4">
        <v>1005002</v>
      </c>
      <c r="B8164">
        <v>7000702</v>
      </c>
    </row>
    <row r="8165" spans="1:2" x14ac:dyDescent="0.4">
      <c r="A8165" s="4">
        <v>1005002</v>
      </c>
      <c r="B8165">
        <v>7000800</v>
      </c>
    </row>
    <row r="8166" spans="1:2" x14ac:dyDescent="0.4">
      <c r="A8166" s="4">
        <v>1005002</v>
      </c>
      <c r="B8166">
        <v>7000801</v>
      </c>
    </row>
    <row r="8167" spans="1:2" x14ac:dyDescent="0.4">
      <c r="A8167" s="4">
        <v>1005002</v>
      </c>
      <c r="B8167">
        <v>7000802</v>
      </c>
    </row>
    <row r="8168" spans="1:2" x14ac:dyDescent="0.4">
      <c r="A8168" s="4">
        <v>1005002</v>
      </c>
      <c r="B8168">
        <v>7000900</v>
      </c>
    </row>
    <row r="8169" spans="1:2" x14ac:dyDescent="0.4">
      <c r="A8169" s="4">
        <v>1005002</v>
      </c>
      <c r="B8169">
        <v>7000901</v>
      </c>
    </row>
    <row r="8170" spans="1:2" x14ac:dyDescent="0.4">
      <c r="A8170" s="4">
        <v>1005002</v>
      </c>
      <c r="B8170">
        <v>7000902</v>
      </c>
    </row>
    <row r="8171" spans="1:2" x14ac:dyDescent="0.4">
      <c r="A8171" s="4">
        <v>1005002</v>
      </c>
      <c r="B8171">
        <v>7001000</v>
      </c>
    </row>
    <row r="8172" spans="1:2" x14ac:dyDescent="0.4">
      <c r="A8172" s="4">
        <v>1005002</v>
      </c>
      <c r="B8172">
        <v>7001001</v>
      </c>
    </row>
    <row r="8173" spans="1:2" x14ac:dyDescent="0.4">
      <c r="A8173" s="4">
        <v>1005002</v>
      </c>
      <c r="B8173">
        <v>7001002</v>
      </c>
    </row>
    <row r="8174" spans="1:2" x14ac:dyDescent="0.4">
      <c r="A8174" s="4">
        <v>1005002</v>
      </c>
      <c r="B8174">
        <v>7001400</v>
      </c>
    </row>
    <row r="8175" spans="1:2" x14ac:dyDescent="0.4">
      <c r="A8175" s="4">
        <v>1005002</v>
      </c>
      <c r="B8175">
        <v>7001401</v>
      </c>
    </row>
    <row r="8176" spans="1:2" x14ac:dyDescent="0.4">
      <c r="A8176" s="4">
        <v>1005002</v>
      </c>
      <c r="B8176">
        <v>7001402</v>
      </c>
    </row>
    <row r="8177" spans="1:2" x14ac:dyDescent="0.4">
      <c r="A8177" s="4">
        <v>1005002</v>
      </c>
      <c r="B8177">
        <v>7001500</v>
      </c>
    </row>
    <row r="8178" spans="1:2" x14ac:dyDescent="0.4">
      <c r="A8178" s="4">
        <v>1005002</v>
      </c>
      <c r="B8178">
        <v>7001501</v>
      </c>
    </row>
    <row r="8179" spans="1:2" x14ac:dyDescent="0.4">
      <c r="A8179" s="4">
        <v>1005002</v>
      </c>
      <c r="B8179">
        <v>7001502</v>
      </c>
    </row>
    <row r="8180" spans="1:2" x14ac:dyDescent="0.4">
      <c r="A8180" s="4">
        <v>1005002</v>
      </c>
      <c r="B8180">
        <v>7001600</v>
      </c>
    </row>
    <row r="8181" spans="1:2" x14ac:dyDescent="0.4">
      <c r="A8181" s="4">
        <v>1005002</v>
      </c>
      <c r="B8181">
        <v>7001601</v>
      </c>
    </row>
    <row r="8182" spans="1:2" x14ac:dyDescent="0.4">
      <c r="A8182" s="4">
        <v>1005002</v>
      </c>
      <c r="B8182">
        <v>7001602</v>
      </c>
    </row>
    <row r="8183" spans="1:2" x14ac:dyDescent="0.4">
      <c r="A8183" s="4">
        <v>1005002</v>
      </c>
      <c r="B8183">
        <v>7001700</v>
      </c>
    </row>
    <row r="8184" spans="1:2" x14ac:dyDescent="0.4">
      <c r="A8184" s="4">
        <v>1005002</v>
      </c>
      <c r="B8184">
        <v>7001701</v>
      </c>
    </row>
    <row r="8185" spans="1:2" x14ac:dyDescent="0.4">
      <c r="A8185" s="4">
        <v>1005002</v>
      </c>
      <c r="B8185">
        <v>7001702</v>
      </c>
    </row>
    <row r="8186" spans="1:2" x14ac:dyDescent="0.4">
      <c r="A8186" s="4">
        <v>1005002</v>
      </c>
      <c r="B8186">
        <v>7001800</v>
      </c>
    </row>
    <row r="8187" spans="1:2" x14ac:dyDescent="0.4">
      <c r="A8187" s="4">
        <v>1005002</v>
      </c>
      <c r="B8187">
        <v>7001801</v>
      </c>
    </row>
    <row r="8188" spans="1:2" x14ac:dyDescent="0.4">
      <c r="A8188" s="4">
        <v>1005002</v>
      </c>
      <c r="B8188">
        <v>7001802</v>
      </c>
    </row>
    <row r="8189" spans="1:2" x14ac:dyDescent="0.4">
      <c r="A8189" s="4">
        <v>1005002</v>
      </c>
      <c r="B8189">
        <v>7002600</v>
      </c>
    </row>
    <row r="8190" spans="1:2" x14ac:dyDescent="0.4">
      <c r="A8190" s="4">
        <v>1005002</v>
      </c>
      <c r="B8190">
        <v>7002700</v>
      </c>
    </row>
    <row r="8191" spans="1:2" x14ac:dyDescent="0.4">
      <c r="A8191" s="4">
        <v>1005002</v>
      </c>
      <c r="B8191">
        <v>7002800</v>
      </c>
    </row>
    <row r="8192" spans="1:2" x14ac:dyDescent="0.4">
      <c r="A8192" s="4">
        <v>1005002</v>
      </c>
      <c r="B8192">
        <v>7002900</v>
      </c>
    </row>
    <row r="8193" spans="1:2" x14ac:dyDescent="0.4">
      <c r="A8193" s="4">
        <v>1005002</v>
      </c>
      <c r="B8193">
        <v>7003000</v>
      </c>
    </row>
    <row r="8194" spans="1:2" x14ac:dyDescent="0.4">
      <c r="A8194" s="4">
        <v>1005002</v>
      </c>
      <c r="B8194">
        <v>7003100</v>
      </c>
    </row>
    <row r="8195" spans="1:2" x14ac:dyDescent="0.4">
      <c r="A8195" s="4">
        <v>1005002</v>
      </c>
      <c r="B8195">
        <v>7003200</v>
      </c>
    </row>
    <row r="8196" spans="1:2" x14ac:dyDescent="0.4">
      <c r="A8196" s="4">
        <v>1005002</v>
      </c>
      <c r="B8196">
        <v>7003300</v>
      </c>
    </row>
    <row r="8197" spans="1:2" x14ac:dyDescent="0.4">
      <c r="A8197" s="4">
        <v>1005002</v>
      </c>
      <c r="B8197">
        <v>7003400</v>
      </c>
    </row>
    <row r="8198" spans="1:2" x14ac:dyDescent="0.4">
      <c r="A8198" s="4">
        <v>1005002</v>
      </c>
      <c r="B8198">
        <v>7003500</v>
      </c>
    </row>
    <row r="8199" spans="1:2" x14ac:dyDescent="0.4">
      <c r="A8199" s="4">
        <v>1005002</v>
      </c>
      <c r="B8199">
        <v>7003600</v>
      </c>
    </row>
    <row r="8200" spans="1:2" x14ac:dyDescent="0.4">
      <c r="A8200" s="4">
        <v>1005002</v>
      </c>
      <c r="B8200">
        <v>7005600</v>
      </c>
    </row>
    <row r="8201" spans="1:2" x14ac:dyDescent="0.4">
      <c r="A8201" s="4">
        <v>1005002</v>
      </c>
      <c r="B8201">
        <v>7006000</v>
      </c>
    </row>
    <row r="8202" spans="1:2" x14ac:dyDescent="0.4">
      <c r="A8202" s="4">
        <v>1005002</v>
      </c>
      <c r="B8202">
        <v>7006100</v>
      </c>
    </row>
    <row r="8203" spans="1:2" x14ac:dyDescent="0.4">
      <c r="A8203" s="4">
        <v>1005002</v>
      </c>
      <c r="B8203">
        <v>7010200</v>
      </c>
    </row>
    <row r="8204" spans="1:2" x14ac:dyDescent="0.4">
      <c r="A8204" s="4">
        <v>1005002</v>
      </c>
      <c r="B8204">
        <v>7010500</v>
      </c>
    </row>
    <row r="8205" spans="1:2" x14ac:dyDescent="0.4">
      <c r="A8205" s="4">
        <v>1005002</v>
      </c>
      <c r="B8205">
        <v>7010700</v>
      </c>
    </row>
    <row r="8206" spans="1:2" x14ac:dyDescent="0.4">
      <c r="A8206" s="4">
        <v>1005002</v>
      </c>
      <c r="B8206">
        <v>7010900</v>
      </c>
    </row>
    <row r="8207" spans="1:2" x14ac:dyDescent="0.4">
      <c r="A8207" s="4">
        <v>1005002</v>
      </c>
      <c r="B8207">
        <v>7011000</v>
      </c>
    </row>
    <row r="8208" spans="1:2" x14ac:dyDescent="0.4">
      <c r="A8208" s="4">
        <v>1005002</v>
      </c>
      <c r="B8208">
        <v>7011200</v>
      </c>
    </row>
    <row r="8209" spans="1:2" x14ac:dyDescent="0.4">
      <c r="A8209" s="4">
        <v>1005002</v>
      </c>
      <c r="B8209">
        <v>7011600</v>
      </c>
    </row>
    <row r="8210" spans="1:2" x14ac:dyDescent="0.4">
      <c r="A8210" s="4">
        <v>1005002</v>
      </c>
      <c r="B8210">
        <v>7011700</v>
      </c>
    </row>
    <row r="8211" spans="1:2" x14ac:dyDescent="0.4">
      <c r="A8211" s="4">
        <v>1005002</v>
      </c>
      <c r="B8211">
        <v>7012000</v>
      </c>
    </row>
    <row r="8212" spans="1:2" x14ac:dyDescent="0.4">
      <c r="A8212" s="4">
        <v>1005002</v>
      </c>
      <c r="B8212">
        <v>7012200</v>
      </c>
    </row>
    <row r="8213" spans="1:2" x14ac:dyDescent="0.4">
      <c r="A8213" s="4">
        <v>1005002</v>
      </c>
      <c r="B8213">
        <v>7012300</v>
      </c>
    </row>
    <row r="8214" spans="1:2" x14ac:dyDescent="0.4">
      <c r="A8214" s="4">
        <v>1005002</v>
      </c>
      <c r="B8214">
        <v>7020000</v>
      </c>
    </row>
    <row r="8215" spans="1:2" x14ac:dyDescent="0.4">
      <c r="A8215" s="4">
        <v>1005002</v>
      </c>
      <c r="B8215">
        <v>7030000</v>
      </c>
    </row>
    <row r="8216" spans="1:2" x14ac:dyDescent="0.4">
      <c r="A8216" s="4">
        <v>1005002</v>
      </c>
      <c r="B8216">
        <v>7030200</v>
      </c>
    </row>
    <row r="8217" spans="1:2" x14ac:dyDescent="0.4">
      <c r="A8217" s="4">
        <v>1005002</v>
      </c>
      <c r="B8217">
        <v>7030600</v>
      </c>
    </row>
    <row r="8218" spans="1:2" x14ac:dyDescent="0.4">
      <c r="A8218" s="4">
        <v>1005002</v>
      </c>
      <c r="B8218">
        <v>7030700</v>
      </c>
    </row>
    <row r="8219" spans="1:2" x14ac:dyDescent="0.4">
      <c r="A8219" s="4">
        <v>1005002</v>
      </c>
      <c r="B8219">
        <v>7030800</v>
      </c>
    </row>
    <row r="8220" spans="1:2" x14ac:dyDescent="0.4">
      <c r="A8220" s="4">
        <v>1005002</v>
      </c>
      <c r="B8220">
        <v>7030900</v>
      </c>
    </row>
    <row r="8221" spans="1:2" x14ac:dyDescent="0.4">
      <c r="A8221" s="4">
        <v>1005002</v>
      </c>
      <c r="B8221">
        <v>7031200</v>
      </c>
    </row>
    <row r="8222" spans="1:2" x14ac:dyDescent="0.4">
      <c r="A8222" s="4">
        <v>1005002</v>
      </c>
      <c r="B8222">
        <v>7031300</v>
      </c>
    </row>
    <row r="8223" spans="1:2" x14ac:dyDescent="0.4">
      <c r="A8223" s="4">
        <v>1005002</v>
      </c>
      <c r="B8223">
        <v>7031800</v>
      </c>
    </row>
    <row r="8224" spans="1:2" x14ac:dyDescent="0.4">
      <c r="A8224" s="4">
        <v>1005002</v>
      </c>
      <c r="B8224">
        <v>7031900</v>
      </c>
    </row>
    <row r="8225" spans="1:2" x14ac:dyDescent="0.4">
      <c r="A8225" s="4">
        <v>1005002</v>
      </c>
      <c r="B8225">
        <v>7032200</v>
      </c>
    </row>
    <row r="8226" spans="1:2" x14ac:dyDescent="0.4">
      <c r="A8226" s="4">
        <v>1005002</v>
      </c>
      <c r="B8226">
        <v>7032400</v>
      </c>
    </row>
    <row r="8227" spans="1:2" x14ac:dyDescent="0.4">
      <c r="A8227" s="4">
        <v>1005002</v>
      </c>
      <c r="B8227">
        <v>7032700</v>
      </c>
    </row>
    <row r="8228" spans="1:2" x14ac:dyDescent="0.4">
      <c r="A8228" s="4">
        <v>1005002</v>
      </c>
      <c r="B8228">
        <v>7032800</v>
      </c>
    </row>
    <row r="8229" spans="1:2" x14ac:dyDescent="0.4">
      <c r="A8229" s="4">
        <v>1005002</v>
      </c>
      <c r="B8229">
        <v>7032900</v>
      </c>
    </row>
    <row r="8230" spans="1:2" x14ac:dyDescent="0.4">
      <c r="A8230" s="4">
        <v>1005002</v>
      </c>
      <c r="B8230">
        <v>7033200</v>
      </c>
    </row>
    <row r="8231" spans="1:2" x14ac:dyDescent="0.4">
      <c r="A8231" s="4">
        <v>1005002</v>
      </c>
      <c r="B8231">
        <v>7033400</v>
      </c>
    </row>
    <row r="8232" spans="1:2" x14ac:dyDescent="0.4">
      <c r="A8232" s="4">
        <v>1005002</v>
      </c>
      <c r="B8232">
        <v>7034100</v>
      </c>
    </row>
    <row r="8233" spans="1:2" x14ac:dyDescent="0.4">
      <c r="A8233" s="4">
        <v>1005002</v>
      </c>
      <c r="B8233">
        <v>7034400</v>
      </c>
    </row>
    <row r="8234" spans="1:2" x14ac:dyDescent="0.4">
      <c r="A8234" s="4">
        <v>1005002</v>
      </c>
      <c r="B8234">
        <v>7034500</v>
      </c>
    </row>
    <row r="8235" spans="1:2" x14ac:dyDescent="0.4">
      <c r="A8235" s="4">
        <v>1005002</v>
      </c>
      <c r="B8235">
        <v>7034600</v>
      </c>
    </row>
    <row r="8236" spans="1:2" x14ac:dyDescent="0.4">
      <c r="A8236" s="4">
        <v>1005002</v>
      </c>
      <c r="B8236">
        <v>7034700</v>
      </c>
    </row>
    <row r="8237" spans="1:2" x14ac:dyDescent="0.4">
      <c r="A8237" s="4">
        <v>1005002</v>
      </c>
      <c r="B8237">
        <v>7035100</v>
      </c>
    </row>
    <row r="8238" spans="1:2" x14ac:dyDescent="0.4">
      <c r="A8238" s="4">
        <v>1005002</v>
      </c>
      <c r="B8238">
        <v>7036100</v>
      </c>
    </row>
    <row r="8239" spans="1:2" x14ac:dyDescent="0.4">
      <c r="A8239" s="4">
        <v>1005002</v>
      </c>
      <c r="B8239">
        <v>7040000</v>
      </c>
    </row>
    <row r="8240" spans="1:2" x14ac:dyDescent="0.4">
      <c r="A8240" s="4">
        <v>1005002</v>
      </c>
      <c r="B8240">
        <v>7040100</v>
      </c>
    </row>
    <row r="8241" spans="1:2" x14ac:dyDescent="0.4">
      <c r="A8241" s="4">
        <v>1005002</v>
      </c>
      <c r="B8241">
        <v>7040200</v>
      </c>
    </row>
    <row r="8242" spans="1:2" x14ac:dyDescent="0.4">
      <c r="A8242" s="4">
        <v>1005002</v>
      </c>
      <c r="B8242">
        <v>7040300</v>
      </c>
    </row>
    <row r="8243" spans="1:2" x14ac:dyDescent="0.4">
      <c r="A8243" s="4">
        <v>1005002</v>
      </c>
      <c r="B8243">
        <v>7040400</v>
      </c>
    </row>
    <row r="8244" spans="1:2" x14ac:dyDescent="0.4">
      <c r="A8244" s="4">
        <v>1005002</v>
      </c>
      <c r="B8244">
        <v>7040500</v>
      </c>
    </row>
    <row r="8245" spans="1:2" x14ac:dyDescent="0.4">
      <c r="A8245" s="4">
        <v>1005002</v>
      </c>
      <c r="B8245">
        <v>7043000</v>
      </c>
    </row>
    <row r="8246" spans="1:2" x14ac:dyDescent="0.4">
      <c r="A8246" s="4">
        <v>1005002</v>
      </c>
      <c r="B8246">
        <v>7043100</v>
      </c>
    </row>
    <row r="8247" spans="1:2" x14ac:dyDescent="0.4">
      <c r="A8247" s="4">
        <v>1005002</v>
      </c>
      <c r="B8247">
        <v>7043200</v>
      </c>
    </row>
    <row r="8248" spans="1:2" x14ac:dyDescent="0.4">
      <c r="A8248" s="4">
        <v>1005002</v>
      </c>
      <c r="B8248">
        <v>7043300</v>
      </c>
    </row>
    <row r="8249" spans="1:2" x14ac:dyDescent="0.4">
      <c r="A8249" s="4">
        <v>1005002</v>
      </c>
      <c r="B8249">
        <v>7043400</v>
      </c>
    </row>
    <row r="8250" spans="1:2" x14ac:dyDescent="0.4">
      <c r="A8250" s="4">
        <v>1005002</v>
      </c>
      <c r="B8250">
        <v>7043500</v>
      </c>
    </row>
    <row r="8251" spans="1:2" x14ac:dyDescent="0.4">
      <c r="A8251" s="4">
        <v>1005002</v>
      </c>
      <c r="B8251">
        <v>7043600</v>
      </c>
    </row>
    <row r="8252" spans="1:2" x14ac:dyDescent="0.4">
      <c r="A8252" s="4">
        <v>1005002</v>
      </c>
      <c r="B8252">
        <v>7043700</v>
      </c>
    </row>
    <row r="8253" spans="1:2" x14ac:dyDescent="0.4">
      <c r="A8253" s="4">
        <v>1005002</v>
      </c>
      <c r="B8253">
        <v>7043800</v>
      </c>
    </row>
    <row r="8254" spans="1:2" x14ac:dyDescent="0.4">
      <c r="A8254" s="4">
        <v>1005002</v>
      </c>
      <c r="B8254">
        <v>7044000</v>
      </c>
    </row>
    <row r="8255" spans="1:2" x14ac:dyDescent="0.4">
      <c r="A8255" s="4">
        <v>1005002</v>
      </c>
      <c r="B8255">
        <v>7044100</v>
      </c>
    </row>
    <row r="8256" spans="1:2" x14ac:dyDescent="0.4">
      <c r="A8256" s="4">
        <v>1005002</v>
      </c>
      <c r="B8256">
        <v>7044200</v>
      </c>
    </row>
    <row r="8257" spans="1:2" x14ac:dyDescent="0.4">
      <c r="A8257" s="4">
        <v>1005002</v>
      </c>
      <c r="B8257">
        <v>7044300</v>
      </c>
    </row>
    <row r="8258" spans="1:2" x14ac:dyDescent="0.4">
      <c r="A8258" s="4">
        <v>1005002</v>
      </c>
      <c r="B8258">
        <v>7044400</v>
      </c>
    </row>
    <row r="8259" spans="1:2" x14ac:dyDescent="0.4">
      <c r="A8259" s="4">
        <v>1005002</v>
      </c>
      <c r="B8259">
        <v>7044500</v>
      </c>
    </row>
    <row r="8260" spans="1:2" x14ac:dyDescent="0.4">
      <c r="A8260" s="4">
        <v>1005002</v>
      </c>
      <c r="B8260">
        <v>7044600</v>
      </c>
    </row>
    <row r="8261" spans="1:2" x14ac:dyDescent="0.4">
      <c r="A8261" s="4">
        <v>1005002</v>
      </c>
      <c r="B8261">
        <v>7050000</v>
      </c>
    </row>
    <row r="8262" spans="1:2" x14ac:dyDescent="0.4">
      <c r="A8262" s="4">
        <v>1005002</v>
      </c>
      <c r="B8262">
        <v>7050100</v>
      </c>
    </row>
    <row r="8263" spans="1:2" x14ac:dyDescent="0.4">
      <c r="A8263" s="4">
        <v>1005002</v>
      </c>
      <c r="B8263">
        <v>7060000</v>
      </c>
    </row>
    <row r="8264" spans="1:2" x14ac:dyDescent="0.4">
      <c r="A8264" s="4">
        <v>1005002</v>
      </c>
      <c r="B8264">
        <v>7060100</v>
      </c>
    </row>
    <row r="8265" spans="1:2" x14ac:dyDescent="0.4">
      <c r="A8265" s="4">
        <v>1005002</v>
      </c>
      <c r="B8265">
        <v>7060200</v>
      </c>
    </row>
    <row r="8266" spans="1:2" x14ac:dyDescent="0.4">
      <c r="A8266" s="4">
        <v>1005002</v>
      </c>
      <c r="B8266">
        <v>7070000</v>
      </c>
    </row>
    <row r="8267" spans="1:2" x14ac:dyDescent="0.4">
      <c r="A8267" s="4">
        <v>1005002</v>
      </c>
      <c r="B8267">
        <v>7080000</v>
      </c>
    </row>
    <row r="8268" spans="1:2" x14ac:dyDescent="0.4">
      <c r="A8268" s="4">
        <v>1005002</v>
      </c>
      <c r="B8268">
        <v>7080100</v>
      </c>
    </row>
    <row r="8269" spans="1:2" x14ac:dyDescent="0.4">
      <c r="A8269" s="4">
        <v>1005002</v>
      </c>
      <c r="B8269">
        <v>7080200</v>
      </c>
    </row>
    <row r="8270" spans="1:2" x14ac:dyDescent="0.4">
      <c r="A8270" s="4">
        <v>1005002</v>
      </c>
      <c r="B8270">
        <v>7080300</v>
      </c>
    </row>
    <row r="8271" spans="1:2" x14ac:dyDescent="0.4">
      <c r="A8271" s="4">
        <v>1005002</v>
      </c>
      <c r="B8271">
        <v>7080400</v>
      </c>
    </row>
    <row r="8272" spans="1:2" x14ac:dyDescent="0.4">
      <c r="A8272" s="4">
        <v>1005002</v>
      </c>
      <c r="B8272">
        <v>7080500</v>
      </c>
    </row>
    <row r="8273" spans="1:2" x14ac:dyDescent="0.4">
      <c r="A8273" s="4">
        <v>1005002</v>
      </c>
      <c r="B8273">
        <v>7080600</v>
      </c>
    </row>
    <row r="8274" spans="1:2" x14ac:dyDescent="0.4">
      <c r="A8274" s="4">
        <v>1005002</v>
      </c>
      <c r="B8274">
        <v>7080700</v>
      </c>
    </row>
    <row r="8275" spans="1:2" x14ac:dyDescent="0.4">
      <c r="A8275" s="4">
        <v>1005002</v>
      </c>
      <c r="B8275">
        <v>7080800</v>
      </c>
    </row>
    <row r="8276" spans="1:2" x14ac:dyDescent="0.4">
      <c r="A8276" s="4">
        <v>1005002</v>
      </c>
      <c r="B8276">
        <v>7080900</v>
      </c>
    </row>
    <row r="8277" spans="1:2" x14ac:dyDescent="0.4">
      <c r="A8277" s="4">
        <v>1005002</v>
      </c>
      <c r="B8277">
        <v>7081000</v>
      </c>
    </row>
    <row r="8278" spans="1:2" x14ac:dyDescent="0.4">
      <c r="A8278" s="4">
        <v>1005002</v>
      </c>
      <c r="B8278">
        <v>7081100</v>
      </c>
    </row>
    <row r="8279" spans="1:2" x14ac:dyDescent="0.4">
      <c r="A8279" s="4">
        <v>1005002</v>
      </c>
      <c r="B8279">
        <v>7081200</v>
      </c>
    </row>
    <row r="8280" spans="1:2" x14ac:dyDescent="0.4">
      <c r="A8280" s="4">
        <v>1005002</v>
      </c>
      <c r="B8280">
        <v>7081300</v>
      </c>
    </row>
    <row r="8281" spans="1:2" x14ac:dyDescent="0.4">
      <c r="A8281" s="4">
        <v>1005002</v>
      </c>
      <c r="B8281">
        <v>7081400</v>
      </c>
    </row>
    <row r="8282" spans="1:2" x14ac:dyDescent="0.4">
      <c r="A8282" s="4">
        <v>1005002</v>
      </c>
      <c r="B8282">
        <v>7081500</v>
      </c>
    </row>
    <row r="8283" spans="1:2" x14ac:dyDescent="0.4">
      <c r="A8283" s="4">
        <v>1005002</v>
      </c>
      <c r="B8283">
        <v>7081700</v>
      </c>
    </row>
    <row r="8284" spans="1:2" x14ac:dyDescent="0.4">
      <c r="A8284" s="4">
        <v>1005002</v>
      </c>
      <c r="B8284">
        <v>7081800</v>
      </c>
    </row>
    <row r="8285" spans="1:2" x14ac:dyDescent="0.4">
      <c r="A8285" s="4">
        <v>1005002</v>
      </c>
      <c r="B8285">
        <v>7081900</v>
      </c>
    </row>
    <row r="8286" spans="1:2" x14ac:dyDescent="0.4">
      <c r="A8286" s="4">
        <v>1005002</v>
      </c>
      <c r="B8286">
        <v>7082000</v>
      </c>
    </row>
    <row r="8287" spans="1:2" x14ac:dyDescent="0.4">
      <c r="A8287" s="4">
        <v>1005002</v>
      </c>
      <c r="B8287">
        <v>7082100</v>
      </c>
    </row>
    <row r="8288" spans="1:2" x14ac:dyDescent="0.4">
      <c r="A8288" s="4">
        <v>1005002</v>
      </c>
      <c r="B8288">
        <v>7082200</v>
      </c>
    </row>
    <row r="8289" spans="1:2" x14ac:dyDescent="0.4">
      <c r="A8289" s="4">
        <v>1005002</v>
      </c>
      <c r="B8289">
        <v>7082300</v>
      </c>
    </row>
    <row r="8290" spans="1:2" x14ac:dyDescent="0.4">
      <c r="A8290" s="4">
        <v>1005002</v>
      </c>
      <c r="B8290">
        <v>7082400</v>
      </c>
    </row>
    <row r="8291" spans="1:2" x14ac:dyDescent="0.4">
      <c r="A8291" s="4">
        <v>1005002</v>
      </c>
      <c r="B8291">
        <v>7082500</v>
      </c>
    </row>
    <row r="8292" spans="1:2" x14ac:dyDescent="0.4">
      <c r="A8292" s="4">
        <v>1005002</v>
      </c>
      <c r="B8292">
        <v>7082600</v>
      </c>
    </row>
    <row r="8293" spans="1:2" x14ac:dyDescent="0.4">
      <c r="A8293" s="4">
        <v>1005002</v>
      </c>
      <c r="B8293">
        <v>7082700</v>
      </c>
    </row>
    <row r="8294" spans="1:2" x14ac:dyDescent="0.4">
      <c r="A8294" s="4">
        <v>1005002</v>
      </c>
      <c r="B8294">
        <v>7082800</v>
      </c>
    </row>
    <row r="8295" spans="1:2" x14ac:dyDescent="0.4">
      <c r="A8295" s="4">
        <v>1005002</v>
      </c>
      <c r="B8295">
        <v>7082900</v>
      </c>
    </row>
    <row r="8296" spans="1:2" x14ac:dyDescent="0.4">
      <c r="A8296" s="4">
        <v>1005002</v>
      </c>
      <c r="B8296">
        <v>7090000</v>
      </c>
    </row>
    <row r="8297" spans="1:2" x14ac:dyDescent="0.4">
      <c r="A8297" s="4">
        <v>1005002</v>
      </c>
      <c r="B8297">
        <v>7090100</v>
      </c>
    </row>
    <row r="8298" spans="1:2" x14ac:dyDescent="0.4">
      <c r="A8298" s="4">
        <v>1005002</v>
      </c>
      <c r="B8298">
        <v>7090300</v>
      </c>
    </row>
    <row r="8299" spans="1:2" x14ac:dyDescent="0.4">
      <c r="A8299" s="4">
        <v>1005002</v>
      </c>
      <c r="B8299">
        <v>7100100</v>
      </c>
    </row>
    <row r="8300" spans="1:2" x14ac:dyDescent="0.4">
      <c r="A8300" s="4">
        <v>1005002</v>
      </c>
      <c r="B8300">
        <v>7110000</v>
      </c>
    </row>
    <row r="8301" spans="1:2" x14ac:dyDescent="0.4">
      <c r="A8301" s="4">
        <v>1005002</v>
      </c>
      <c r="B8301">
        <v>7120000</v>
      </c>
    </row>
    <row r="8302" spans="1:2" x14ac:dyDescent="0.4">
      <c r="A8302" s="4">
        <v>1005002</v>
      </c>
      <c r="B8302">
        <v>7120100</v>
      </c>
    </row>
    <row r="8303" spans="1:2" x14ac:dyDescent="0.4">
      <c r="A8303" s="4">
        <v>1005002</v>
      </c>
      <c r="B8303">
        <v>7120200</v>
      </c>
    </row>
    <row r="8304" spans="1:2" x14ac:dyDescent="0.4">
      <c r="A8304" s="4">
        <v>1005002</v>
      </c>
      <c r="B8304">
        <v>7120300</v>
      </c>
    </row>
    <row r="8305" spans="1:2" x14ac:dyDescent="0.4">
      <c r="A8305" s="4">
        <v>1005002</v>
      </c>
      <c r="B8305">
        <v>7120400</v>
      </c>
    </row>
    <row r="8306" spans="1:2" x14ac:dyDescent="0.4">
      <c r="A8306" s="4">
        <v>1005002</v>
      </c>
      <c r="B8306">
        <v>7120500</v>
      </c>
    </row>
    <row r="8307" spans="1:2" x14ac:dyDescent="0.4">
      <c r="A8307" s="4">
        <v>1005002</v>
      </c>
      <c r="B8307">
        <v>7120600</v>
      </c>
    </row>
    <row r="8308" spans="1:2" x14ac:dyDescent="0.4">
      <c r="A8308" s="4">
        <v>1005002</v>
      </c>
      <c r="B8308">
        <v>7120900</v>
      </c>
    </row>
    <row r="8309" spans="1:2" x14ac:dyDescent="0.4">
      <c r="A8309" s="4">
        <v>1005002</v>
      </c>
      <c r="B8309">
        <v>7121000</v>
      </c>
    </row>
    <row r="8310" spans="1:2" x14ac:dyDescent="0.4">
      <c r="A8310" s="4">
        <v>1005002</v>
      </c>
      <c r="B8310">
        <v>7121100</v>
      </c>
    </row>
    <row r="8311" spans="1:2" x14ac:dyDescent="0.4">
      <c r="A8311" s="4">
        <v>1005002</v>
      </c>
      <c r="B8311">
        <v>7121200</v>
      </c>
    </row>
    <row r="8312" spans="1:2" x14ac:dyDescent="0.4">
      <c r="A8312" s="4">
        <v>1005002</v>
      </c>
      <c r="B8312">
        <v>7121300</v>
      </c>
    </row>
    <row r="8313" spans="1:2" x14ac:dyDescent="0.4">
      <c r="A8313" s="4">
        <v>1005002</v>
      </c>
      <c r="B8313">
        <v>7121400</v>
      </c>
    </row>
    <row r="8314" spans="1:2" x14ac:dyDescent="0.4">
      <c r="A8314" s="4">
        <v>1005002</v>
      </c>
      <c r="B8314">
        <v>7121500</v>
      </c>
    </row>
    <row r="8315" spans="1:2" x14ac:dyDescent="0.4">
      <c r="A8315" s="4">
        <v>1005002</v>
      </c>
      <c r="B8315">
        <v>7121600</v>
      </c>
    </row>
    <row r="8316" spans="1:2" x14ac:dyDescent="0.4">
      <c r="A8316" s="4">
        <v>1005002</v>
      </c>
      <c r="B8316">
        <v>7121700</v>
      </c>
    </row>
    <row r="8317" spans="1:2" x14ac:dyDescent="0.4">
      <c r="A8317" s="4">
        <v>1005002</v>
      </c>
      <c r="B8317">
        <v>7121800</v>
      </c>
    </row>
    <row r="8318" spans="1:2" x14ac:dyDescent="0.4">
      <c r="A8318" s="4">
        <v>1005002</v>
      </c>
      <c r="B8318">
        <v>7121900</v>
      </c>
    </row>
    <row r="8319" spans="1:2" x14ac:dyDescent="0.4">
      <c r="A8319" s="4">
        <v>1005002</v>
      </c>
      <c r="B8319">
        <v>7122000</v>
      </c>
    </row>
    <row r="8320" spans="1:2" x14ac:dyDescent="0.4">
      <c r="A8320" s="4">
        <v>1005002</v>
      </c>
      <c r="B8320">
        <v>7122100</v>
      </c>
    </row>
    <row r="8321" spans="1:2" x14ac:dyDescent="0.4">
      <c r="A8321" s="4">
        <v>1005002</v>
      </c>
      <c r="B8321">
        <v>7122200</v>
      </c>
    </row>
    <row r="8322" spans="1:2" x14ac:dyDescent="0.4">
      <c r="A8322" s="4">
        <v>1005002</v>
      </c>
      <c r="B8322">
        <v>7122300</v>
      </c>
    </row>
    <row r="8323" spans="1:2" x14ac:dyDescent="0.4">
      <c r="A8323" s="4">
        <v>1005002</v>
      </c>
      <c r="B8323">
        <v>7122400</v>
      </c>
    </row>
    <row r="8324" spans="1:2" x14ac:dyDescent="0.4">
      <c r="A8324" s="4">
        <v>1005002</v>
      </c>
      <c r="B8324">
        <v>7122500</v>
      </c>
    </row>
    <row r="8325" spans="1:2" x14ac:dyDescent="0.4">
      <c r="A8325" s="4">
        <v>1005002</v>
      </c>
      <c r="B8325">
        <v>7122600</v>
      </c>
    </row>
    <row r="8326" spans="1:2" x14ac:dyDescent="0.4">
      <c r="A8326" s="4">
        <v>1005002</v>
      </c>
      <c r="B8326">
        <v>7122700</v>
      </c>
    </row>
    <row r="8327" spans="1:2" x14ac:dyDescent="0.4">
      <c r="A8327" s="4">
        <v>1005002</v>
      </c>
      <c r="B8327">
        <v>7122800</v>
      </c>
    </row>
    <row r="8328" spans="1:2" x14ac:dyDescent="0.4">
      <c r="A8328" s="4">
        <v>1005002</v>
      </c>
      <c r="B8328">
        <v>7122900</v>
      </c>
    </row>
    <row r="8329" spans="1:2" x14ac:dyDescent="0.4">
      <c r="A8329" s="4">
        <v>1005002</v>
      </c>
      <c r="B8329">
        <v>7123000</v>
      </c>
    </row>
    <row r="8330" spans="1:2" x14ac:dyDescent="0.4">
      <c r="A8330" s="4">
        <v>1005002</v>
      </c>
      <c r="B8330">
        <v>7123100</v>
      </c>
    </row>
    <row r="8331" spans="1:2" x14ac:dyDescent="0.4">
      <c r="A8331" s="4">
        <v>1005002</v>
      </c>
      <c r="B8331">
        <v>7123200</v>
      </c>
    </row>
    <row r="8332" spans="1:2" x14ac:dyDescent="0.4">
      <c r="A8332" s="4">
        <v>1005002</v>
      </c>
      <c r="B8332">
        <v>7123300</v>
      </c>
    </row>
    <row r="8333" spans="1:2" x14ac:dyDescent="0.4">
      <c r="A8333" s="4">
        <v>1005002</v>
      </c>
      <c r="B8333">
        <v>7123400</v>
      </c>
    </row>
    <row r="8334" spans="1:2" x14ac:dyDescent="0.4">
      <c r="A8334" s="4">
        <v>1005002</v>
      </c>
      <c r="B8334">
        <v>7123500</v>
      </c>
    </row>
    <row r="8335" spans="1:2" x14ac:dyDescent="0.4">
      <c r="A8335" s="4">
        <v>1005002</v>
      </c>
      <c r="B8335">
        <v>7123600</v>
      </c>
    </row>
    <row r="8336" spans="1:2" x14ac:dyDescent="0.4">
      <c r="A8336" s="4">
        <v>1005002</v>
      </c>
      <c r="B8336">
        <v>7123700</v>
      </c>
    </row>
    <row r="8337" spans="1:2" x14ac:dyDescent="0.4">
      <c r="A8337" s="4">
        <v>1005002</v>
      </c>
      <c r="B8337">
        <v>7123800</v>
      </c>
    </row>
    <row r="8338" spans="1:2" x14ac:dyDescent="0.4">
      <c r="A8338" s="4">
        <v>1005002</v>
      </c>
      <c r="B8338">
        <v>7123900</v>
      </c>
    </row>
    <row r="8339" spans="1:2" x14ac:dyDescent="0.4">
      <c r="A8339" s="4">
        <v>1005002</v>
      </c>
      <c r="B8339">
        <v>7124000</v>
      </c>
    </row>
    <row r="8340" spans="1:2" x14ac:dyDescent="0.4">
      <c r="A8340" s="4">
        <v>1005002</v>
      </c>
      <c r="B8340">
        <v>7124100</v>
      </c>
    </row>
    <row r="8341" spans="1:2" x14ac:dyDescent="0.4">
      <c r="A8341" s="4">
        <v>1005002</v>
      </c>
      <c r="B8341">
        <v>7124300</v>
      </c>
    </row>
    <row r="8342" spans="1:2" x14ac:dyDescent="0.4">
      <c r="A8342" s="4">
        <v>1005002</v>
      </c>
      <c r="B8342">
        <v>7124400</v>
      </c>
    </row>
    <row r="8343" spans="1:2" x14ac:dyDescent="0.4">
      <c r="A8343" s="4">
        <v>1005002</v>
      </c>
      <c r="B8343">
        <v>7124500</v>
      </c>
    </row>
    <row r="8344" spans="1:2" x14ac:dyDescent="0.4">
      <c r="A8344" s="4">
        <v>1005002</v>
      </c>
      <c r="B8344">
        <v>7124600</v>
      </c>
    </row>
    <row r="8345" spans="1:2" x14ac:dyDescent="0.4">
      <c r="A8345" s="4">
        <v>1005002</v>
      </c>
      <c r="B8345">
        <v>7124700</v>
      </c>
    </row>
    <row r="8346" spans="1:2" x14ac:dyDescent="0.4">
      <c r="A8346" s="4">
        <v>1005002</v>
      </c>
      <c r="B8346">
        <v>7126000</v>
      </c>
    </row>
    <row r="8347" spans="1:2" x14ac:dyDescent="0.4">
      <c r="A8347" s="4">
        <v>1005002</v>
      </c>
      <c r="B8347">
        <v>7150000</v>
      </c>
    </row>
    <row r="8348" spans="1:2" x14ac:dyDescent="0.4">
      <c r="A8348" s="4">
        <v>1005002</v>
      </c>
      <c r="B8348">
        <v>7160000</v>
      </c>
    </row>
    <row r="8349" spans="1:2" x14ac:dyDescent="0.4">
      <c r="A8349" s="4">
        <v>1005002</v>
      </c>
      <c r="B8349">
        <v>7220000</v>
      </c>
    </row>
    <row r="8350" spans="1:2" x14ac:dyDescent="0.4">
      <c r="A8350" s="4">
        <v>1005002</v>
      </c>
      <c r="B8350">
        <v>7230000</v>
      </c>
    </row>
    <row r="8351" spans="1:2" x14ac:dyDescent="0.4">
      <c r="A8351" s="4">
        <v>1005002</v>
      </c>
      <c r="B8351">
        <v>7240000</v>
      </c>
    </row>
    <row r="8352" spans="1:2" x14ac:dyDescent="0.4">
      <c r="A8352" s="4">
        <v>1005002</v>
      </c>
      <c r="B8352">
        <v>7260000</v>
      </c>
    </row>
    <row r="8353" spans="1:2" x14ac:dyDescent="0.4">
      <c r="A8353" s="4">
        <v>1005002</v>
      </c>
      <c r="B8353">
        <v>7260300</v>
      </c>
    </row>
    <row r="8354" spans="1:2" x14ac:dyDescent="0.4">
      <c r="A8354" s="4">
        <v>1005002</v>
      </c>
      <c r="B8354">
        <v>7260400</v>
      </c>
    </row>
    <row r="8355" spans="1:2" x14ac:dyDescent="0.4">
      <c r="A8355" s="4">
        <v>1005002</v>
      </c>
      <c r="B8355">
        <v>7270100</v>
      </c>
    </row>
    <row r="8356" spans="1:2" x14ac:dyDescent="0.4">
      <c r="A8356" s="4">
        <v>1005002</v>
      </c>
      <c r="B8356">
        <v>7280000</v>
      </c>
    </row>
    <row r="8357" spans="1:2" x14ac:dyDescent="0.4">
      <c r="A8357" s="4">
        <v>1005002</v>
      </c>
      <c r="B8357">
        <v>7290000</v>
      </c>
    </row>
    <row r="8358" spans="1:2" x14ac:dyDescent="0.4">
      <c r="A8358" s="4">
        <v>1005002</v>
      </c>
      <c r="B8358">
        <v>7310000</v>
      </c>
    </row>
    <row r="8359" spans="1:2" x14ac:dyDescent="0.4">
      <c r="A8359" s="4">
        <v>1005002</v>
      </c>
      <c r="B8359">
        <v>7330000</v>
      </c>
    </row>
    <row r="8360" spans="1:2" x14ac:dyDescent="0.4">
      <c r="A8360" s="4">
        <v>1005002</v>
      </c>
      <c r="B8360">
        <v>7330100</v>
      </c>
    </row>
    <row r="8361" spans="1:2" x14ac:dyDescent="0.4">
      <c r="A8361" s="4">
        <v>1005002</v>
      </c>
      <c r="B8361">
        <v>7330200</v>
      </c>
    </row>
    <row r="8362" spans="1:2" x14ac:dyDescent="0.4">
      <c r="A8362" s="4">
        <v>1005002</v>
      </c>
      <c r="B8362">
        <v>7330300</v>
      </c>
    </row>
    <row r="8363" spans="1:2" x14ac:dyDescent="0.4">
      <c r="A8363" s="4">
        <v>1005002</v>
      </c>
      <c r="B8363">
        <v>7330400</v>
      </c>
    </row>
    <row r="8364" spans="1:2" x14ac:dyDescent="0.4">
      <c r="A8364" s="4">
        <v>1005002</v>
      </c>
      <c r="B8364">
        <v>7330500</v>
      </c>
    </row>
    <row r="8365" spans="1:2" x14ac:dyDescent="0.4">
      <c r="A8365" s="4">
        <v>1005002</v>
      </c>
      <c r="B8365">
        <v>7330600</v>
      </c>
    </row>
    <row r="8366" spans="1:2" x14ac:dyDescent="0.4">
      <c r="A8366" s="4">
        <v>1005002</v>
      </c>
      <c r="B8366">
        <v>7330700</v>
      </c>
    </row>
    <row r="8367" spans="1:2" x14ac:dyDescent="0.4">
      <c r="A8367" s="4">
        <v>1005002</v>
      </c>
      <c r="B8367">
        <v>7330800</v>
      </c>
    </row>
    <row r="8368" spans="1:2" x14ac:dyDescent="0.4">
      <c r="A8368" s="4">
        <v>1005002</v>
      </c>
      <c r="B8368">
        <v>7330900</v>
      </c>
    </row>
    <row r="8369" spans="1:2" x14ac:dyDescent="0.4">
      <c r="A8369" s="4">
        <v>1005002</v>
      </c>
      <c r="B8369">
        <v>7331000</v>
      </c>
    </row>
    <row r="8370" spans="1:2" x14ac:dyDescent="0.4">
      <c r="A8370" s="4">
        <v>1005002</v>
      </c>
      <c r="B8370">
        <v>7331100</v>
      </c>
    </row>
    <row r="8371" spans="1:2" x14ac:dyDescent="0.4">
      <c r="A8371" s="4">
        <v>1005002</v>
      </c>
      <c r="B8371">
        <v>7331200</v>
      </c>
    </row>
    <row r="8372" spans="1:2" x14ac:dyDescent="0.4">
      <c r="A8372" s="4">
        <v>1005002</v>
      </c>
      <c r="B8372">
        <v>7331300</v>
      </c>
    </row>
    <row r="8373" spans="1:2" x14ac:dyDescent="0.4">
      <c r="A8373" s="4">
        <v>1005002</v>
      </c>
      <c r="B8373">
        <v>7331400</v>
      </c>
    </row>
    <row r="8374" spans="1:2" x14ac:dyDescent="0.4">
      <c r="A8374" s="4">
        <v>1005002</v>
      </c>
      <c r="B8374">
        <v>7331500</v>
      </c>
    </row>
    <row r="8375" spans="1:2" x14ac:dyDescent="0.4">
      <c r="A8375" s="4">
        <v>1005002</v>
      </c>
      <c r="B8375">
        <v>7331700</v>
      </c>
    </row>
    <row r="8376" spans="1:2" x14ac:dyDescent="0.4">
      <c r="A8376" s="4">
        <v>1005002</v>
      </c>
      <c r="B8376">
        <v>7331800</v>
      </c>
    </row>
    <row r="8377" spans="1:2" x14ac:dyDescent="0.4">
      <c r="A8377" s="4">
        <v>1005002</v>
      </c>
      <c r="B8377">
        <v>7331900</v>
      </c>
    </row>
    <row r="8378" spans="1:2" x14ac:dyDescent="0.4">
      <c r="A8378" s="4">
        <v>1005002</v>
      </c>
      <c r="B8378">
        <v>7332000</v>
      </c>
    </row>
    <row r="8379" spans="1:2" x14ac:dyDescent="0.4">
      <c r="A8379" s="4">
        <v>1005002</v>
      </c>
      <c r="B8379">
        <v>7332100</v>
      </c>
    </row>
    <row r="8380" spans="1:2" x14ac:dyDescent="0.4">
      <c r="A8380" s="4">
        <v>1005002</v>
      </c>
      <c r="B8380">
        <v>7332200</v>
      </c>
    </row>
    <row r="8381" spans="1:2" x14ac:dyDescent="0.4">
      <c r="A8381" s="4">
        <v>1005002</v>
      </c>
      <c r="B8381">
        <v>7332300</v>
      </c>
    </row>
    <row r="8382" spans="1:2" x14ac:dyDescent="0.4">
      <c r="A8382" s="4">
        <v>1005002</v>
      </c>
      <c r="B8382">
        <v>7332400</v>
      </c>
    </row>
    <row r="8383" spans="1:2" x14ac:dyDescent="0.4">
      <c r="A8383" s="4">
        <v>1005002</v>
      </c>
      <c r="B8383">
        <v>7340000</v>
      </c>
    </row>
    <row r="8384" spans="1:2" x14ac:dyDescent="0.4">
      <c r="A8384" s="4">
        <v>1005002</v>
      </c>
      <c r="B8384">
        <v>7340100</v>
      </c>
    </row>
    <row r="8385" spans="1:2" x14ac:dyDescent="0.4">
      <c r="A8385" s="4">
        <v>1005002</v>
      </c>
      <c r="B8385">
        <v>7340200</v>
      </c>
    </row>
    <row r="8386" spans="1:2" x14ac:dyDescent="0.4">
      <c r="A8386" s="4">
        <v>1005002</v>
      </c>
      <c r="B8386">
        <v>7340300</v>
      </c>
    </row>
    <row r="8387" spans="1:2" x14ac:dyDescent="0.4">
      <c r="A8387" s="4">
        <v>1005002</v>
      </c>
      <c r="B8387">
        <v>7340400</v>
      </c>
    </row>
    <row r="8388" spans="1:2" x14ac:dyDescent="0.4">
      <c r="A8388" s="4">
        <v>1005002</v>
      </c>
      <c r="B8388">
        <v>7340500</v>
      </c>
    </row>
    <row r="8389" spans="1:2" x14ac:dyDescent="0.4">
      <c r="A8389" s="4">
        <v>1005002</v>
      </c>
      <c r="B8389">
        <v>7340600</v>
      </c>
    </row>
    <row r="8390" spans="1:2" x14ac:dyDescent="0.4">
      <c r="A8390" s="4">
        <v>1005002</v>
      </c>
      <c r="B8390">
        <v>7340700</v>
      </c>
    </row>
    <row r="8391" spans="1:2" x14ac:dyDescent="0.4">
      <c r="A8391" s="4">
        <v>1005002</v>
      </c>
      <c r="B8391">
        <v>7340800</v>
      </c>
    </row>
    <row r="8392" spans="1:2" x14ac:dyDescent="0.4">
      <c r="A8392" s="4">
        <v>1005002</v>
      </c>
      <c r="B8392">
        <v>7340900</v>
      </c>
    </row>
    <row r="8393" spans="1:2" x14ac:dyDescent="0.4">
      <c r="A8393" s="4">
        <v>1005002</v>
      </c>
      <c r="B8393">
        <v>7341000</v>
      </c>
    </row>
    <row r="8394" spans="1:2" x14ac:dyDescent="0.4">
      <c r="A8394" s="4">
        <v>1005002</v>
      </c>
      <c r="B8394">
        <v>7341100</v>
      </c>
    </row>
    <row r="8395" spans="1:2" x14ac:dyDescent="0.4">
      <c r="A8395" s="4">
        <v>1005002</v>
      </c>
      <c r="B8395">
        <v>7341200</v>
      </c>
    </row>
    <row r="8396" spans="1:2" x14ac:dyDescent="0.4">
      <c r="A8396" s="4">
        <v>1005002</v>
      </c>
      <c r="B8396">
        <v>7341300</v>
      </c>
    </row>
    <row r="8397" spans="1:2" x14ac:dyDescent="0.4">
      <c r="A8397" s="4">
        <v>1005002</v>
      </c>
      <c r="B8397">
        <v>7341400</v>
      </c>
    </row>
    <row r="8398" spans="1:2" x14ac:dyDescent="0.4">
      <c r="A8398" s="4">
        <v>1005002</v>
      </c>
      <c r="B8398">
        <v>7341500</v>
      </c>
    </row>
    <row r="8399" spans="1:2" x14ac:dyDescent="0.4">
      <c r="A8399" s="4">
        <v>1005002</v>
      </c>
      <c r="B8399">
        <v>7341700</v>
      </c>
    </row>
    <row r="8400" spans="1:2" x14ac:dyDescent="0.4">
      <c r="A8400" s="4">
        <v>1005002</v>
      </c>
      <c r="B8400">
        <v>7341800</v>
      </c>
    </row>
    <row r="8401" spans="1:2" x14ac:dyDescent="0.4">
      <c r="A8401" s="4">
        <v>1005002</v>
      </c>
      <c r="B8401">
        <v>7341900</v>
      </c>
    </row>
    <row r="8402" spans="1:2" x14ac:dyDescent="0.4">
      <c r="A8402" s="4">
        <v>1005002</v>
      </c>
      <c r="B8402">
        <v>7342000</v>
      </c>
    </row>
    <row r="8403" spans="1:2" x14ac:dyDescent="0.4">
      <c r="A8403" s="4">
        <v>1005002</v>
      </c>
      <c r="B8403">
        <v>7342100</v>
      </c>
    </row>
    <row r="8404" spans="1:2" x14ac:dyDescent="0.4">
      <c r="A8404" s="4">
        <v>1005002</v>
      </c>
      <c r="B8404">
        <v>7342200</v>
      </c>
    </row>
    <row r="8405" spans="1:2" x14ac:dyDescent="0.4">
      <c r="A8405" s="4">
        <v>1005002</v>
      </c>
      <c r="B8405">
        <v>7342300</v>
      </c>
    </row>
    <row r="8406" spans="1:2" x14ac:dyDescent="0.4">
      <c r="A8406" s="4">
        <v>1005002</v>
      </c>
      <c r="B8406">
        <v>7342400</v>
      </c>
    </row>
    <row r="8407" spans="1:2" x14ac:dyDescent="0.4">
      <c r="A8407" s="4">
        <v>1005002</v>
      </c>
      <c r="B8407">
        <v>7350000</v>
      </c>
    </row>
    <row r="8408" spans="1:2" x14ac:dyDescent="0.4">
      <c r="A8408" s="4">
        <v>1005002</v>
      </c>
      <c r="B8408">
        <v>7350100</v>
      </c>
    </row>
    <row r="8409" spans="1:2" x14ac:dyDescent="0.4">
      <c r="A8409" s="4">
        <v>1005002</v>
      </c>
      <c r="B8409">
        <v>7350200</v>
      </c>
    </row>
    <row r="8410" spans="1:2" x14ac:dyDescent="0.4">
      <c r="A8410" s="4">
        <v>1005002</v>
      </c>
      <c r="B8410">
        <v>7350300</v>
      </c>
    </row>
    <row r="8411" spans="1:2" x14ac:dyDescent="0.4">
      <c r="A8411" s="4">
        <v>1005002</v>
      </c>
      <c r="B8411">
        <v>7350400</v>
      </c>
    </row>
    <row r="8412" spans="1:2" x14ac:dyDescent="0.4">
      <c r="A8412" s="4">
        <v>1005002</v>
      </c>
      <c r="B8412">
        <v>7350500</v>
      </c>
    </row>
    <row r="8413" spans="1:2" x14ac:dyDescent="0.4">
      <c r="A8413" s="4">
        <v>1005002</v>
      </c>
      <c r="B8413">
        <v>7350600</v>
      </c>
    </row>
    <row r="8414" spans="1:2" x14ac:dyDescent="0.4">
      <c r="A8414" s="4">
        <v>1005002</v>
      </c>
      <c r="B8414">
        <v>7350700</v>
      </c>
    </row>
    <row r="8415" spans="1:2" x14ac:dyDescent="0.4">
      <c r="A8415" s="4">
        <v>1005002</v>
      </c>
      <c r="B8415">
        <v>7350800</v>
      </c>
    </row>
    <row r="8416" spans="1:2" x14ac:dyDescent="0.4">
      <c r="A8416" s="4">
        <v>1005002</v>
      </c>
      <c r="B8416">
        <v>7350900</v>
      </c>
    </row>
    <row r="8417" spans="1:2" x14ac:dyDescent="0.4">
      <c r="A8417" s="4">
        <v>1005002</v>
      </c>
      <c r="B8417">
        <v>7351000</v>
      </c>
    </row>
    <row r="8418" spans="1:2" x14ac:dyDescent="0.4">
      <c r="A8418" s="4">
        <v>1005002</v>
      </c>
      <c r="B8418">
        <v>7351100</v>
      </c>
    </row>
    <row r="8419" spans="1:2" x14ac:dyDescent="0.4">
      <c r="A8419" s="4">
        <v>1005002</v>
      </c>
      <c r="B8419">
        <v>7351200</v>
      </c>
    </row>
    <row r="8420" spans="1:2" x14ac:dyDescent="0.4">
      <c r="A8420" s="4">
        <v>1005002</v>
      </c>
      <c r="B8420">
        <v>7351300</v>
      </c>
    </row>
    <row r="8421" spans="1:2" x14ac:dyDescent="0.4">
      <c r="A8421" s="4">
        <v>1005002</v>
      </c>
      <c r="B8421">
        <v>7351400</v>
      </c>
    </row>
    <row r="8422" spans="1:2" x14ac:dyDescent="0.4">
      <c r="A8422" s="4">
        <v>1005002</v>
      </c>
      <c r="B8422">
        <v>7351500</v>
      </c>
    </row>
    <row r="8423" spans="1:2" x14ac:dyDescent="0.4">
      <c r="A8423" s="4">
        <v>1005002</v>
      </c>
      <c r="B8423">
        <v>7351700</v>
      </c>
    </row>
    <row r="8424" spans="1:2" x14ac:dyDescent="0.4">
      <c r="A8424" s="4">
        <v>1005002</v>
      </c>
      <c r="B8424">
        <v>7351800</v>
      </c>
    </row>
    <row r="8425" spans="1:2" x14ac:dyDescent="0.4">
      <c r="A8425" s="4">
        <v>1005002</v>
      </c>
      <c r="B8425">
        <v>7351900</v>
      </c>
    </row>
    <row r="8426" spans="1:2" x14ac:dyDescent="0.4">
      <c r="A8426" s="4">
        <v>1005002</v>
      </c>
      <c r="B8426">
        <v>7352000</v>
      </c>
    </row>
    <row r="8427" spans="1:2" x14ac:dyDescent="0.4">
      <c r="A8427" s="4">
        <v>1005002</v>
      </c>
      <c r="B8427">
        <v>7352100</v>
      </c>
    </row>
    <row r="8428" spans="1:2" x14ac:dyDescent="0.4">
      <c r="A8428" s="4">
        <v>1005002</v>
      </c>
      <c r="B8428">
        <v>7352200</v>
      </c>
    </row>
    <row r="8429" spans="1:2" x14ac:dyDescent="0.4">
      <c r="A8429" s="4">
        <v>1005002</v>
      </c>
      <c r="B8429">
        <v>7352300</v>
      </c>
    </row>
    <row r="8430" spans="1:2" x14ac:dyDescent="0.4">
      <c r="A8430" s="4">
        <v>1005002</v>
      </c>
      <c r="B8430">
        <v>7352400</v>
      </c>
    </row>
    <row r="8431" spans="1:2" x14ac:dyDescent="0.4">
      <c r="A8431" s="4">
        <v>1005002</v>
      </c>
      <c r="B8431">
        <v>7360600</v>
      </c>
    </row>
    <row r="8432" spans="1:2" x14ac:dyDescent="0.4">
      <c r="A8432" s="4">
        <v>1005002</v>
      </c>
      <c r="B8432">
        <v>7360900</v>
      </c>
    </row>
    <row r="8433" spans="1:2" x14ac:dyDescent="0.4">
      <c r="A8433" s="4">
        <v>1005002</v>
      </c>
      <c r="B8433">
        <v>7361200</v>
      </c>
    </row>
    <row r="8434" spans="1:2" x14ac:dyDescent="0.4">
      <c r="A8434" s="4">
        <v>1005002</v>
      </c>
      <c r="B8434">
        <v>7361300</v>
      </c>
    </row>
    <row r="8435" spans="1:2" x14ac:dyDescent="0.4">
      <c r="A8435" s="4">
        <v>1005002</v>
      </c>
      <c r="B8435">
        <v>7362100</v>
      </c>
    </row>
    <row r="8436" spans="1:2" x14ac:dyDescent="0.4">
      <c r="A8436" s="4">
        <v>1005002</v>
      </c>
      <c r="B8436">
        <v>7370300</v>
      </c>
    </row>
    <row r="8437" spans="1:2" x14ac:dyDescent="0.4">
      <c r="A8437" s="4">
        <v>1005002</v>
      </c>
      <c r="B8437">
        <v>7370400</v>
      </c>
    </row>
    <row r="8438" spans="1:2" x14ac:dyDescent="0.4">
      <c r="A8438" s="4">
        <v>1005002</v>
      </c>
      <c r="B8438">
        <v>7370600</v>
      </c>
    </row>
    <row r="8439" spans="1:2" x14ac:dyDescent="0.4">
      <c r="A8439" s="4">
        <v>1005002</v>
      </c>
      <c r="B8439">
        <v>7370900</v>
      </c>
    </row>
    <row r="8440" spans="1:2" x14ac:dyDescent="0.4">
      <c r="A8440" s="4">
        <v>1005002</v>
      </c>
      <c r="B8440">
        <v>7371500</v>
      </c>
    </row>
    <row r="8441" spans="1:2" x14ac:dyDescent="0.4">
      <c r="A8441" s="4">
        <v>1005002</v>
      </c>
      <c r="B8441">
        <v>7036200</v>
      </c>
    </row>
    <row r="8442" spans="1:2" x14ac:dyDescent="0.4">
      <c r="A8442" s="4">
        <v>1005002</v>
      </c>
      <c r="B8442">
        <v>7036300</v>
      </c>
    </row>
    <row r="8443" spans="1:2" x14ac:dyDescent="0.4">
      <c r="A8443" s="4">
        <v>1005002</v>
      </c>
      <c r="B8443">
        <v>7036400</v>
      </c>
    </row>
    <row r="8444" spans="1:2" x14ac:dyDescent="0.4">
      <c r="A8444" s="4">
        <v>1005002</v>
      </c>
      <c r="B8444">
        <v>7036500</v>
      </c>
    </row>
    <row r="8445" spans="1:2" x14ac:dyDescent="0.4">
      <c r="A8445" s="4">
        <v>1005002</v>
      </c>
      <c r="B8445">
        <v>7036800</v>
      </c>
    </row>
    <row r="8446" spans="1:2" x14ac:dyDescent="0.4">
      <c r="A8446" s="4">
        <v>1005002</v>
      </c>
      <c r="B8446">
        <v>7036900</v>
      </c>
    </row>
    <row r="8447" spans="1:2" x14ac:dyDescent="0.4">
      <c r="A8447" s="4">
        <v>1005002</v>
      </c>
      <c r="B8447">
        <v>7037000</v>
      </c>
    </row>
    <row r="8448" spans="1:2" x14ac:dyDescent="0.4">
      <c r="A8448" s="4">
        <v>1005002</v>
      </c>
      <c r="B8448">
        <v>7037300</v>
      </c>
    </row>
    <row r="8449" spans="1:2" x14ac:dyDescent="0.4">
      <c r="A8449" s="4">
        <v>1005002</v>
      </c>
      <c r="B8449">
        <v>6630000</v>
      </c>
    </row>
    <row r="8450" spans="1:2" x14ac:dyDescent="0.4">
      <c r="A8450" s="4">
        <v>1005002</v>
      </c>
      <c r="B8450">
        <v>6630100</v>
      </c>
    </row>
    <row r="8451" spans="1:2" x14ac:dyDescent="0.4">
      <c r="A8451" s="4">
        <v>1005002</v>
      </c>
      <c r="B8451">
        <v>6630200</v>
      </c>
    </row>
    <row r="8452" spans="1:2" x14ac:dyDescent="0.4">
      <c r="A8452" s="4">
        <v>1005002</v>
      </c>
      <c r="B8452">
        <v>6630300</v>
      </c>
    </row>
    <row r="8453" spans="1:2" x14ac:dyDescent="0.4">
      <c r="A8453" s="4">
        <v>1005002</v>
      </c>
      <c r="B8453">
        <v>6630400</v>
      </c>
    </row>
    <row r="8454" spans="1:2" x14ac:dyDescent="0.4">
      <c r="A8454" s="4">
        <v>1005002</v>
      </c>
      <c r="B8454">
        <v>6630500</v>
      </c>
    </row>
    <row r="8455" spans="1:2" x14ac:dyDescent="0.4">
      <c r="A8455" s="4">
        <v>1005002</v>
      </c>
      <c r="B8455">
        <v>6630600</v>
      </c>
    </row>
    <row r="8456" spans="1:2" x14ac:dyDescent="0.4">
      <c r="A8456" s="4">
        <v>1005002</v>
      </c>
      <c r="B8456">
        <v>6630700</v>
      </c>
    </row>
    <row r="8457" spans="1:2" x14ac:dyDescent="0.4">
      <c r="A8457" s="4">
        <v>1005002</v>
      </c>
      <c r="B8457">
        <v>6630800</v>
      </c>
    </row>
    <row r="8458" spans="1:2" x14ac:dyDescent="0.4">
      <c r="A8458" s="4">
        <v>1005002</v>
      </c>
      <c r="B8458">
        <v>6630900</v>
      </c>
    </row>
    <row r="8459" spans="1:2" x14ac:dyDescent="0.4">
      <c r="A8459" s="4">
        <v>1005002</v>
      </c>
      <c r="B8459">
        <v>6631000</v>
      </c>
    </row>
    <row r="8460" spans="1:2" x14ac:dyDescent="0.4">
      <c r="A8460" s="4">
        <v>1005002</v>
      </c>
      <c r="B8460">
        <v>6631100</v>
      </c>
    </row>
    <row r="8461" spans="1:2" x14ac:dyDescent="0.4">
      <c r="A8461" s="4">
        <v>1005002</v>
      </c>
      <c r="B8461">
        <v>6631200</v>
      </c>
    </row>
    <row r="8462" spans="1:2" x14ac:dyDescent="0.4">
      <c r="A8462" s="4">
        <v>1005002</v>
      </c>
      <c r="B8462">
        <v>6631300</v>
      </c>
    </row>
    <row r="8463" spans="1:2" x14ac:dyDescent="0.4">
      <c r="A8463" s="4">
        <v>1005002</v>
      </c>
      <c r="B8463">
        <v>6631400</v>
      </c>
    </row>
    <row r="8464" spans="1:2" x14ac:dyDescent="0.4">
      <c r="A8464" s="4">
        <v>1005002</v>
      </c>
      <c r="B8464">
        <v>6631500</v>
      </c>
    </row>
    <row r="8465" spans="1:2" x14ac:dyDescent="0.4">
      <c r="A8465" s="4">
        <v>1005002</v>
      </c>
      <c r="B8465">
        <v>6631600</v>
      </c>
    </row>
    <row r="8466" spans="1:2" x14ac:dyDescent="0.4">
      <c r="A8466" s="4">
        <v>1005002</v>
      </c>
      <c r="B8466">
        <v>6631700</v>
      </c>
    </row>
    <row r="8467" spans="1:2" x14ac:dyDescent="0.4">
      <c r="A8467" s="4">
        <v>1005002</v>
      </c>
      <c r="B8467">
        <v>6631800</v>
      </c>
    </row>
    <row r="8468" spans="1:2" x14ac:dyDescent="0.4">
      <c r="A8468" s="4">
        <v>1005002</v>
      </c>
      <c r="B8468">
        <v>6631900</v>
      </c>
    </row>
    <row r="8469" spans="1:2" x14ac:dyDescent="0.4">
      <c r="A8469" s="4">
        <v>1005002</v>
      </c>
      <c r="B8469">
        <v>6632000</v>
      </c>
    </row>
    <row r="8470" spans="1:2" x14ac:dyDescent="0.4">
      <c r="A8470" s="4">
        <v>1005002</v>
      </c>
      <c r="B8470">
        <v>6632100</v>
      </c>
    </row>
    <row r="8471" spans="1:2" x14ac:dyDescent="0.4">
      <c r="A8471" s="4">
        <v>1005002</v>
      </c>
      <c r="B8471">
        <v>6632200</v>
      </c>
    </row>
    <row r="8472" spans="1:2" x14ac:dyDescent="0.4">
      <c r="A8472" s="4">
        <v>1005002</v>
      </c>
      <c r="B8472">
        <v>6632300</v>
      </c>
    </row>
    <row r="8473" spans="1:2" x14ac:dyDescent="0.4">
      <c r="A8473" s="4">
        <v>1005002</v>
      </c>
      <c r="B8473">
        <v>6632400</v>
      </c>
    </row>
    <row r="8474" spans="1:2" x14ac:dyDescent="0.4">
      <c r="A8474" s="4">
        <v>1005002</v>
      </c>
      <c r="B8474">
        <v>6632500</v>
      </c>
    </row>
    <row r="8475" spans="1:2" x14ac:dyDescent="0.4">
      <c r="A8475" s="4">
        <v>1005002</v>
      </c>
      <c r="B8475">
        <v>6632600</v>
      </c>
    </row>
    <row r="8476" spans="1:2" x14ac:dyDescent="0.4">
      <c r="A8476" s="4">
        <v>1005002</v>
      </c>
      <c r="B8476">
        <v>6632700</v>
      </c>
    </row>
    <row r="8477" spans="1:2" x14ac:dyDescent="0.4">
      <c r="A8477" s="4">
        <v>1005002</v>
      </c>
      <c r="B8477">
        <v>6632800</v>
      </c>
    </row>
    <row r="8478" spans="1:2" x14ac:dyDescent="0.4">
      <c r="A8478" s="4">
        <v>1005002</v>
      </c>
      <c r="B8478">
        <v>6632900</v>
      </c>
    </row>
    <row r="8479" spans="1:2" x14ac:dyDescent="0.4">
      <c r="A8479" s="4">
        <v>1005002</v>
      </c>
      <c r="B8479">
        <v>6633000</v>
      </c>
    </row>
    <row r="8480" spans="1:2" x14ac:dyDescent="0.4">
      <c r="A8480" s="4">
        <v>1005002</v>
      </c>
      <c r="B8480">
        <v>6633100</v>
      </c>
    </row>
    <row r="8481" spans="1:2" x14ac:dyDescent="0.4">
      <c r="A8481" s="4">
        <v>1005002</v>
      </c>
      <c r="B8481">
        <v>6633200</v>
      </c>
    </row>
    <row r="8482" spans="1:2" x14ac:dyDescent="0.4">
      <c r="A8482" s="4">
        <v>1005002</v>
      </c>
      <c r="B8482">
        <v>6647200</v>
      </c>
    </row>
    <row r="8483" spans="1:2" x14ac:dyDescent="0.4">
      <c r="A8483" s="4">
        <v>1005002</v>
      </c>
      <c r="B8483">
        <v>6647300</v>
      </c>
    </row>
    <row r="8484" spans="1:2" x14ac:dyDescent="0.4">
      <c r="A8484" s="4">
        <v>1005002</v>
      </c>
      <c r="B8484">
        <v>6647400</v>
      </c>
    </row>
    <row r="8485" spans="1:2" x14ac:dyDescent="0.4">
      <c r="A8485" s="4">
        <v>1005002</v>
      </c>
      <c r="B8485">
        <v>6647500</v>
      </c>
    </row>
    <row r="8486" spans="1:2" x14ac:dyDescent="0.4">
      <c r="A8486" s="4">
        <v>1005002</v>
      </c>
      <c r="B8486">
        <v>6640000</v>
      </c>
    </row>
    <row r="8487" spans="1:2" x14ac:dyDescent="0.4">
      <c r="A8487" s="4">
        <v>1005002</v>
      </c>
      <c r="B8487">
        <v>6640100</v>
      </c>
    </row>
    <row r="8488" spans="1:2" x14ac:dyDescent="0.4">
      <c r="A8488" s="4">
        <v>1005002</v>
      </c>
      <c r="B8488">
        <v>6641000</v>
      </c>
    </row>
    <row r="8489" spans="1:2" x14ac:dyDescent="0.4">
      <c r="A8489" s="4">
        <v>1005002</v>
      </c>
      <c r="B8489">
        <v>6641100</v>
      </c>
    </row>
    <row r="8490" spans="1:2" x14ac:dyDescent="0.4">
      <c r="A8490" s="4">
        <v>1005002</v>
      </c>
      <c r="B8490">
        <v>6642000</v>
      </c>
    </row>
    <row r="8491" spans="1:2" x14ac:dyDescent="0.4">
      <c r="A8491" s="4">
        <v>1005002</v>
      </c>
      <c r="B8491">
        <v>6642100</v>
      </c>
    </row>
    <row r="8492" spans="1:2" x14ac:dyDescent="0.4">
      <c r="A8492" s="4">
        <v>1005002</v>
      </c>
      <c r="B8492">
        <v>6643000</v>
      </c>
    </row>
    <row r="8493" spans="1:2" x14ac:dyDescent="0.4">
      <c r="A8493" s="4">
        <v>1005002</v>
      </c>
      <c r="B8493">
        <v>6643100</v>
      </c>
    </row>
    <row r="8494" spans="1:2" x14ac:dyDescent="0.4">
      <c r="A8494" s="4">
        <v>1005002</v>
      </c>
      <c r="B8494">
        <v>6644000</v>
      </c>
    </row>
    <row r="8495" spans="1:2" x14ac:dyDescent="0.4">
      <c r="A8495" s="4">
        <v>1005002</v>
      </c>
      <c r="B8495">
        <v>6644100</v>
      </c>
    </row>
    <row r="8496" spans="1:2" x14ac:dyDescent="0.4">
      <c r="A8496" s="4">
        <v>1005002</v>
      </c>
      <c r="B8496">
        <v>6645000</v>
      </c>
    </row>
    <row r="8497" spans="1:2" x14ac:dyDescent="0.4">
      <c r="A8497" s="4">
        <v>1005002</v>
      </c>
      <c r="B8497">
        <v>6645100</v>
      </c>
    </row>
    <row r="8498" spans="1:2" x14ac:dyDescent="0.4">
      <c r="A8498" s="4">
        <v>1005002</v>
      </c>
      <c r="B8498">
        <v>6646000</v>
      </c>
    </row>
    <row r="8499" spans="1:2" x14ac:dyDescent="0.4">
      <c r="A8499" s="4">
        <v>1005002</v>
      </c>
      <c r="B8499">
        <v>6646100</v>
      </c>
    </row>
    <row r="8500" spans="1:2" x14ac:dyDescent="0.4">
      <c r="A8500" s="4">
        <v>1005002</v>
      </c>
      <c r="B8500">
        <v>6647000</v>
      </c>
    </row>
    <row r="8501" spans="1:2" x14ac:dyDescent="0.4">
      <c r="A8501" s="4">
        <v>1005002</v>
      </c>
      <c r="B8501">
        <v>6647100</v>
      </c>
    </row>
    <row r="8502" spans="1:2" x14ac:dyDescent="0.4">
      <c r="A8502" s="4">
        <v>1006000</v>
      </c>
      <c r="B8502">
        <v>7000000</v>
      </c>
    </row>
    <row r="8503" spans="1:2" x14ac:dyDescent="0.4">
      <c r="A8503" s="4">
        <v>1006000</v>
      </c>
      <c r="B8503">
        <v>7000001</v>
      </c>
    </row>
    <row r="8504" spans="1:2" x14ac:dyDescent="0.4">
      <c r="A8504" s="4">
        <v>1006000</v>
      </c>
      <c r="B8504">
        <v>7000002</v>
      </c>
    </row>
    <row r="8505" spans="1:2" x14ac:dyDescent="0.4">
      <c r="A8505" s="4">
        <v>1006000</v>
      </c>
      <c r="B8505">
        <v>7000100</v>
      </c>
    </row>
    <row r="8506" spans="1:2" x14ac:dyDescent="0.4">
      <c r="A8506" s="4">
        <v>1006000</v>
      </c>
      <c r="B8506">
        <v>7000101</v>
      </c>
    </row>
    <row r="8507" spans="1:2" x14ac:dyDescent="0.4">
      <c r="A8507" s="4">
        <v>1006000</v>
      </c>
      <c r="B8507">
        <v>7000102</v>
      </c>
    </row>
    <row r="8508" spans="1:2" x14ac:dyDescent="0.4">
      <c r="A8508" s="4">
        <v>1006000</v>
      </c>
      <c r="B8508">
        <v>7000200</v>
      </c>
    </row>
    <row r="8509" spans="1:2" x14ac:dyDescent="0.4">
      <c r="A8509" s="4">
        <v>1006000</v>
      </c>
      <c r="B8509">
        <v>7000201</v>
      </c>
    </row>
    <row r="8510" spans="1:2" x14ac:dyDescent="0.4">
      <c r="A8510" s="4">
        <v>1006000</v>
      </c>
      <c r="B8510">
        <v>7000202</v>
      </c>
    </row>
    <row r="8511" spans="1:2" x14ac:dyDescent="0.4">
      <c r="A8511" s="4">
        <v>1006000</v>
      </c>
      <c r="B8511">
        <v>7000300</v>
      </c>
    </row>
    <row r="8512" spans="1:2" x14ac:dyDescent="0.4">
      <c r="A8512" s="4">
        <v>1006000</v>
      </c>
      <c r="B8512">
        <v>7000301</v>
      </c>
    </row>
    <row r="8513" spans="1:2" x14ac:dyDescent="0.4">
      <c r="A8513" s="4">
        <v>1006000</v>
      </c>
      <c r="B8513">
        <v>7000302</v>
      </c>
    </row>
    <row r="8514" spans="1:2" x14ac:dyDescent="0.4">
      <c r="A8514" s="4">
        <v>1006000</v>
      </c>
      <c r="B8514">
        <v>7000400</v>
      </c>
    </row>
    <row r="8515" spans="1:2" x14ac:dyDescent="0.4">
      <c r="A8515" s="4">
        <v>1006000</v>
      </c>
      <c r="B8515">
        <v>7000401</v>
      </c>
    </row>
    <row r="8516" spans="1:2" x14ac:dyDescent="0.4">
      <c r="A8516" s="4">
        <v>1006000</v>
      </c>
      <c r="B8516">
        <v>7000402</v>
      </c>
    </row>
    <row r="8517" spans="1:2" x14ac:dyDescent="0.4">
      <c r="A8517" s="4">
        <v>1006000</v>
      </c>
      <c r="B8517">
        <v>7000500</v>
      </c>
    </row>
    <row r="8518" spans="1:2" x14ac:dyDescent="0.4">
      <c r="A8518" s="4">
        <v>1006000</v>
      </c>
      <c r="B8518">
        <v>7000501</v>
      </c>
    </row>
    <row r="8519" spans="1:2" x14ac:dyDescent="0.4">
      <c r="A8519" s="4">
        <v>1006000</v>
      </c>
      <c r="B8519">
        <v>7000502</v>
      </c>
    </row>
    <row r="8520" spans="1:2" x14ac:dyDescent="0.4">
      <c r="A8520" s="4">
        <v>1006000</v>
      </c>
      <c r="B8520">
        <v>7000600</v>
      </c>
    </row>
    <row r="8521" spans="1:2" x14ac:dyDescent="0.4">
      <c r="A8521" s="4">
        <v>1006000</v>
      </c>
      <c r="B8521">
        <v>7000601</v>
      </c>
    </row>
    <row r="8522" spans="1:2" x14ac:dyDescent="0.4">
      <c r="A8522" s="4">
        <v>1006000</v>
      </c>
      <c r="B8522">
        <v>7000602</v>
      </c>
    </row>
    <row r="8523" spans="1:2" x14ac:dyDescent="0.4">
      <c r="A8523" s="4">
        <v>1006000</v>
      </c>
      <c r="B8523">
        <v>7000700</v>
      </c>
    </row>
    <row r="8524" spans="1:2" x14ac:dyDescent="0.4">
      <c r="A8524" s="4">
        <v>1006000</v>
      </c>
      <c r="B8524">
        <v>7000701</v>
      </c>
    </row>
    <row r="8525" spans="1:2" x14ac:dyDescent="0.4">
      <c r="A8525" s="4">
        <v>1006000</v>
      </c>
      <c r="B8525">
        <v>7000702</v>
      </c>
    </row>
    <row r="8526" spans="1:2" x14ac:dyDescent="0.4">
      <c r="A8526" s="4">
        <v>1006000</v>
      </c>
      <c r="B8526">
        <v>7000800</v>
      </c>
    </row>
    <row r="8527" spans="1:2" x14ac:dyDescent="0.4">
      <c r="A8527" s="4">
        <v>1006000</v>
      </c>
      <c r="B8527">
        <v>7000801</v>
      </c>
    </row>
    <row r="8528" spans="1:2" x14ac:dyDescent="0.4">
      <c r="A8528" s="4">
        <v>1006000</v>
      </c>
      <c r="B8528">
        <v>7000802</v>
      </c>
    </row>
    <row r="8529" spans="1:2" x14ac:dyDescent="0.4">
      <c r="A8529" s="4">
        <v>1006000</v>
      </c>
      <c r="B8529">
        <v>7000900</v>
      </c>
    </row>
    <row r="8530" spans="1:2" x14ac:dyDescent="0.4">
      <c r="A8530" s="4">
        <v>1006000</v>
      </c>
      <c r="B8530">
        <v>7000901</v>
      </c>
    </row>
    <row r="8531" spans="1:2" x14ac:dyDescent="0.4">
      <c r="A8531" s="4">
        <v>1006000</v>
      </c>
      <c r="B8531">
        <v>7000902</v>
      </c>
    </row>
    <row r="8532" spans="1:2" x14ac:dyDescent="0.4">
      <c r="A8532" s="4">
        <v>1006000</v>
      </c>
      <c r="B8532">
        <v>7001000</v>
      </c>
    </row>
    <row r="8533" spans="1:2" x14ac:dyDescent="0.4">
      <c r="A8533" s="4">
        <v>1006000</v>
      </c>
      <c r="B8533">
        <v>7001001</v>
      </c>
    </row>
    <row r="8534" spans="1:2" x14ac:dyDescent="0.4">
      <c r="A8534" s="4">
        <v>1006000</v>
      </c>
      <c r="B8534">
        <v>7001002</v>
      </c>
    </row>
    <row r="8535" spans="1:2" x14ac:dyDescent="0.4">
      <c r="A8535" s="4">
        <v>1006000</v>
      </c>
      <c r="B8535">
        <v>7001400</v>
      </c>
    </row>
    <row r="8536" spans="1:2" x14ac:dyDescent="0.4">
      <c r="A8536" s="4">
        <v>1006000</v>
      </c>
      <c r="B8536">
        <v>7001401</v>
      </c>
    </row>
    <row r="8537" spans="1:2" x14ac:dyDescent="0.4">
      <c r="A8537" s="4">
        <v>1006000</v>
      </c>
      <c r="B8537">
        <v>7001402</v>
      </c>
    </row>
    <row r="8538" spans="1:2" x14ac:dyDescent="0.4">
      <c r="A8538" s="4">
        <v>1006000</v>
      </c>
      <c r="B8538">
        <v>7001500</v>
      </c>
    </row>
    <row r="8539" spans="1:2" x14ac:dyDescent="0.4">
      <c r="A8539" s="4">
        <v>1006000</v>
      </c>
      <c r="B8539">
        <v>7001501</v>
      </c>
    </row>
    <row r="8540" spans="1:2" x14ac:dyDescent="0.4">
      <c r="A8540" s="4">
        <v>1006000</v>
      </c>
      <c r="B8540">
        <v>7001502</v>
      </c>
    </row>
    <row r="8541" spans="1:2" x14ac:dyDescent="0.4">
      <c r="A8541" s="4">
        <v>1006000</v>
      </c>
      <c r="B8541">
        <v>7001600</v>
      </c>
    </row>
    <row r="8542" spans="1:2" x14ac:dyDescent="0.4">
      <c r="A8542" s="4">
        <v>1006000</v>
      </c>
      <c r="B8542">
        <v>7001601</v>
      </c>
    </row>
    <row r="8543" spans="1:2" x14ac:dyDescent="0.4">
      <c r="A8543" s="4">
        <v>1006000</v>
      </c>
      <c r="B8543">
        <v>7001602</v>
      </c>
    </row>
    <row r="8544" spans="1:2" x14ac:dyDescent="0.4">
      <c r="A8544" s="4">
        <v>1006000</v>
      </c>
      <c r="B8544">
        <v>7001700</v>
      </c>
    </row>
    <row r="8545" spans="1:2" x14ac:dyDescent="0.4">
      <c r="A8545" s="4">
        <v>1006000</v>
      </c>
      <c r="B8545">
        <v>7001701</v>
      </c>
    </row>
    <row r="8546" spans="1:2" x14ac:dyDescent="0.4">
      <c r="A8546" s="4">
        <v>1006000</v>
      </c>
      <c r="B8546">
        <v>7001702</v>
      </c>
    </row>
    <row r="8547" spans="1:2" x14ac:dyDescent="0.4">
      <c r="A8547" s="4">
        <v>1006000</v>
      </c>
      <c r="B8547">
        <v>7001800</v>
      </c>
    </row>
    <row r="8548" spans="1:2" x14ac:dyDescent="0.4">
      <c r="A8548" s="4">
        <v>1006000</v>
      </c>
      <c r="B8548">
        <v>7001801</v>
      </c>
    </row>
    <row r="8549" spans="1:2" x14ac:dyDescent="0.4">
      <c r="A8549" s="4">
        <v>1006000</v>
      </c>
      <c r="B8549">
        <v>7001802</v>
      </c>
    </row>
    <row r="8550" spans="1:2" x14ac:dyDescent="0.4">
      <c r="A8550" s="4">
        <v>1006000</v>
      </c>
      <c r="B8550">
        <v>7002600</v>
      </c>
    </row>
    <row r="8551" spans="1:2" x14ac:dyDescent="0.4">
      <c r="A8551" s="4">
        <v>1006000</v>
      </c>
      <c r="B8551">
        <v>7002700</v>
      </c>
    </row>
    <row r="8552" spans="1:2" x14ac:dyDescent="0.4">
      <c r="A8552" s="4">
        <v>1006000</v>
      </c>
      <c r="B8552">
        <v>7002800</v>
      </c>
    </row>
    <row r="8553" spans="1:2" x14ac:dyDescent="0.4">
      <c r="A8553" s="4">
        <v>1006000</v>
      </c>
      <c r="B8553">
        <v>7002900</v>
      </c>
    </row>
    <row r="8554" spans="1:2" x14ac:dyDescent="0.4">
      <c r="A8554" s="4">
        <v>1006000</v>
      </c>
      <c r="B8554">
        <v>7003000</v>
      </c>
    </row>
    <row r="8555" spans="1:2" x14ac:dyDescent="0.4">
      <c r="A8555" s="4">
        <v>1006000</v>
      </c>
      <c r="B8555">
        <v>7003100</v>
      </c>
    </row>
    <row r="8556" spans="1:2" x14ac:dyDescent="0.4">
      <c r="A8556" s="4">
        <v>1006000</v>
      </c>
      <c r="B8556">
        <v>7003200</v>
      </c>
    </row>
    <row r="8557" spans="1:2" x14ac:dyDescent="0.4">
      <c r="A8557" s="4">
        <v>1006000</v>
      </c>
      <c r="B8557">
        <v>7003300</v>
      </c>
    </row>
    <row r="8558" spans="1:2" x14ac:dyDescent="0.4">
      <c r="A8558" s="4">
        <v>1006000</v>
      </c>
      <c r="B8558">
        <v>7003400</v>
      </c>
    </row>
    <row r="8559" spans="1:2" x14ac:dyDescent="0.4">
      <c r="A8559" s="4">
        <v>1006000</v>
      </c>
      <c r="B8559">
        <v>7003500</v>
      </c>
    </row>
    <row r="8560" spans="1:2" x14ac:dyDescent="0.4">
      <c r="A8560" s="4">
        <v>1006000</v>
      </c>
      <c r="B8560">
        <v>7003600</v>
      </c>
    </row>
    <row r="8561" spans="1:2" x14ac:dyDescent="0.4">
      <c r="A8561" s="4">
        <v>1006000</v>
      </c>
      <c r="B8561">
        <v>7005600</v>
      </c>
    </row>
    <row r="8562" spans="1:2" x14ac:dyDescent="0.4">
      <c r="A8562" s="4">
        <v>1006000</v>
      </c>
      <c r="B8562">
        <v>7006000</v>
      </c>
    </row>
    <row r="8563" spans="1:2" x14ac:dyDescent="0.4">
      <c r="A8563" s="4">
        <v>1006000</v>
      </c>
      <c r="B8563">
        <v>7006100</v>
      </c>
    </row>
    <row r="8564" spans="1:2" x14ac:dyDescent="0.4">
      <c r="A8564" s="4">
        <v>1006000</v>
      </c>
      <c r="B8564">
        <v>7010200</v>
      </c>
    </row>
    <row r="8565" spans="1:2" x14ac:dyDescent="0.4">
      <c r="A8565" s="4">
        <v>1006000</v>
      </c>
      <c r="B8565">
        <v>7010500</v>
      </c>
    </row>
    <row r="8566" spans="1:2" x14ac:dyDescent="0.4">
      <c r="A8566" s="4">
        <v>1006000</v>
      </c>
      <c r="B8566">
        <v>7010700</v>
      </c>
    </row>
    <row r="8567" spans="1:2" x14ac:dyDescent="0.4">
      <c r="A8567" s="4">
        <v>1006000</v>
      </c>
      <c r="B8567">
        <v>7010900</v>
      </c>
    </row>
    <row r="8568" spans="1:2" x14ac:dyDescent="0.4">
      <c r="A8568" s="4">
        <v>1006000</v>
      </c>
      <c r="B8568">
        <v>7011000</v>
      </c>
    </row>
    <row r="8569" spans="1:2" x14ac:dyDescent="0.4">
      <c r="A8569" s="4">
        <v>1006000</v>
      </c>
      <c r="B8569">
        <v>7011200</v>
      </c>
    </row>
    <row r="8570" spans="1:2" x14ac:dyDescent="0.4">
      <c r="A8570" s="4">
        <v>1006000</v>
      </c>
      <c r="B8570">
        <v>7011600</v>
      </c>
    </row>
    <row r="8571" spans="1:2" x14ac:dyDescent="0.4">
      <c r="A8571" s="4">
        <v>1006000</v>
      </c>
      <c r="B8571">
        <v>7011700</v>
      </c>
    </row>
    <row r="8572" spans="1:2" x14ac:dyDescent="0.4">
      <c r="A8572" s="4">
        <v>1006000</v>
      </c>
      <c r="B8572">
        <v>7012000</v>
      </c>
    </row>
    <row r="8573" spans="1:2" x14ac:dyDescent="0.4">
      <c r="A8573" s="4">
        <v>1006000</v>
      </c>
      <c r="B8573">
        <v>7012200</v>
      </c>
    </row>
    <row r="8574" spans="1:2" x14ac:dyDescent="0.4">
      <c r="A8574" s="4">
        <v>1006000</v>
      </c>
      <c r="B8574">
        <v>7012300</v>
      </c>
    </row>
    <row r="8575" spans="1:2" x14ac:dyDescent="0.4">
      <c r="A8575" s="4">
        <v>1006000</v>
      </c>
      <c r="B8575">
        <v>7020000</v>
      </c>
    </row>
    <row r="8576" spans="1:2" x14ac:dyDescent="0.4">
      <c r="A8576" s="4">
        <v>1006000</v>
      </c>
      <c r="B8576">
        <v>7030000</v>
      </c>
    </row>
    <row r="8577" spans="1:2" x14ac:dyDescent="0.4">
      <c r="A8577" s="4">
        <v>1006000</v>
      </c>
      <c r="B8577">
        <v>7030200</v>
      </c>
    </row>
    <row r="8578" spans="1:2" x14ac:dyDescent="0.4">
      <c r="A8578" s="4">
        <v>1006000</v>
      </c>
      <c r="B8578">
        <v>7030600</v>
      </c>
    </row>
    <row r="8579" spans="1:2" x14ac:dyDescent="0.4">
      <c r="A8579" s="4">
        <v>1006000</v>
      </c>
      <c r="B8579">
        <v>7030700</v>
      </c>
    </row>
    <row r="8580" spans="1:2" x14ac:dyDescent="0.4">
      <c r="A8580" s="4">
        <v>1006000</v>
      </c>
      <c r="B8580">
        <v>7030800</v>
      </c>
    </row>
    <row r="8581" spans="1:2" x14ac:dyDescent="0.4">
      <c r="A8581" s="4">
        <v>1006000</v>
      </c>
      <c r="B8581">
        <v>7030900</v>
      </c>
    </row>
    <row r="8582" spans="1:2" x14ac:dyDescent="0.4">
      <c r="A8582" s="4">
        <v>1006000</v>
      </c>
      <c r="B8582">
        <v>7031200</v>
      </c>
    </row>
    <row r="8583" spans="1:2" x14ac:dyDescent="0.4">
      <c r="A8583" s="4">
        <v>1006000</v>
      </c>
      <c r="B8583">
        <v>7031300</v>
      </c>
    </row>
    <row r="8584" spans="1:2" x14ac:dyDescent="0.4">
      <c r="A8584" s="4">
        <v>1006000</v>
      </c>
      <c r="B8584">
        <v>7031800</v>
      </c>
    </row>
    <row r="8585" spans="1:2" x14ac:dyDescent="0.4">
      <c r="A8585" s="4">
        <v>1006000</v>
      </c>
      <c r="B8585">
        <v>7031900</v>
      </c>
    </row>
    <row r="8586" spans="1:2" x14ac:dyDescent="0.4">
      <c r="A8586" s="4">
        <v>1006000</v>
      </c>
      <c r="B8586">
        <v>7032200</v>
      </c>
    </row>
    <row r="8587" spans="1:2" x14ac:dyDescent="0.4">
      <c r="A8587" s="4">
        <v>1006000</v>
      </c>
      <c r="B8587">
        <v>7032400</v>
      </c>
    </row>
    <row r="8588" spans="1:2" x14ac:dyDescent="0.4">
      <c r="A8588" s="4">
        <v>1006000</v>
      </c>
      <c r="B8588">
        <v>7032700</v>
      </c>
    </row>
    <row r="8589" spans="1:2" x14ac:dyDescent="0.4">
      <c r="A8589" s="4">
        <v>1006000</v>
      </c>
      <c r="B8589">
        <v>7032800</v>
      </c>
    </row>
    <row r="8590" spans="1:2" x14ac:dyDescent="0.4">
      <c r="A8590" s="4">
        <v>1006000</v>
      </c>
      <c r="B8590">
        <v>7032900</v>
      </c>
    </row>
    <row r="8591" spans="1:2" x14ac:dyDescent="0.4">
      <c r="A8591" s="4">
        <v>1006000</v>
      </c>
      <c r="B8591">
        <v>7033200</v>
      </c>
    </row>
    <row r="8592" spans="1:2" x14ac:dyDescent="0.4">
      <c r="A8592" s="4">
        <v>1006000</v>
      </c>
      <c r="B8592">
        <v>7033400</v>
      </c>
    </row>
    <row r="8593" spans="1:2" x14ac:dyDescent="0.4">
      <c r="A8593" s="4">
        <v>1006000</v>
      </c>
      <c r="B8593">
        <v>7034100</v>
      </c>
    </row>
    <row r="8594" spans="1:2" x14ac:dyDescent="0.4">
      <c r="A8594" s="4">
        <v>1006000</v>
      </c>
      <c r="B8594">
        <v>7034400</v>
      </c>
    </row>
    <row r="8595" spans="1:2" x14ac:dyDescent="0.4">
      <c r="A8595" s="4">
        <v>1006000</v>
      </c>
      <c r="B8595">
        <v>7034500</v>
      </c>
    </row>
    <row r="8596" spans="1:2" x14ac:dyDescent="0.4">
      <c r="A8596" s="4">
        <v>1006000</v>
      </c>
      <c r="B8596">
        <v>7034600</v>
      </c>
    </row>
    <row r="8597" spans="1:2" x14ac:dyDescent="0.4">
      <c r="A8597" s="4">
        <v>1006000</v>
      </c>
      <c r="B8597">
        <v>7034700</v>
      </c>
    </row>
    <row r="8598" spans="1:2" x14ac:dyDescent="0.4">
      <c r="A8598" s="4">
        <v>1006000</v>
      </c>
      <c r="B8598">
        <v>7035100</v>
      </c>
    </row>
    <row r="8599" spans="1:2" x14ac:dyDescent="0.4">
      <c r="A8599" s="4">
        <v>1006000</v>
      </c>
      <c r="B8599">
        <v>7036100</v>
      </c>
    </row>
    <row r="8600" spans="1:2" x14ac:dyDescent="0.4">
      <c r="A8600" s="4">
        <v>1006000</v>
      </c>
      <c r="B8600">
        <v>7040000</v>
      </c>
    </row>
    <row r="8601" spans="1:2" x14ac:dyDescent="0.4">
      <c r="A8601" s="4">
        <v>1006000</v>
      </c>
      <c r="B8601">
        <v>7040100</v>
      </c>
    </row>
    <row r="8602" spans="1:2" x14ac:dyDescent="0.4">
      <c r="A8602" s="4">
        <v>1006000</v>
      </c>
      <c r="B8602">
        <v>7040200</v>
      </c>
    </row>
    <row r="8603" spans="1:2" x14ac:dyDescent="0.4">
      <c r="A8603" s="4">
        <v>1006000</v>
      </c>
      <c r="B8603">
        <v>7040300</v>
      </c>
    </row>
    <row r="8604" spans="1:2" x14ac:dyDescent="0.4">
      <c r="A8604" s="4">
        <v>1006000</v>
      </c>
      <c r="B8604">
        <v>7040400</v>
      </c>
    </row>
    <row r="8605" spans="1:2" x14ac:dyDescent="0.4">
      <c r="A8605" s="4">
        <v>1006000</v>
      </c>
      <c r="B8605">
        <v>7040500</v>
      </c>
    </row>
    <row r="8606" spans="1:2" x14ac:dyDescent="0.4">
      <c r="A8606" s="4">
        <v>1006000</v>
      </c>
      <c r="B8606">
        <v>7043000</v>
      </c>
    </row>
    <row r="8607" spans="1:2" x14ac:dyDescent="0.4">
      <c r="A8607" s="4">
        <v>1006000</v>
      </c>
      <c r="B8607">
        <v>7043100</v>
      </c>
    </row>
    <row r="8608" spans="1:2" x14ac:dyDescent="0.4">
      <c r="A8608" s="4">
        <v>1006000</v>
      </c>
      <c r="B8608">
        <v>7043200</v>
      </c>
    </row>
    <row r="8609" spans="1:2" x14ac:dyDescent="0.4">
      <c r="A8609" s="4">
        <v>1006000</v>
      </c>
      <c r="B8609">
        <v>7043300</v>
      </c>
    </row>
    <row r="8610" spans="1:2" x14ac:dyDescent="0.4">
      <c r="A8610" s="4">
        <v>1006000</v>
      </c>
      <c r="B8610">
        <v>7043400</v>
      </c>
    </row>
    <row r="8611" spans="1:2" x14ac:dyDescent="0.4">
      <c r="A8611" s="4">
        <v>1006000</v>
      </c>
      <c r="B8611">
        <v>7043500</v>
      </c>
    </row>
    <row r="8612" spans="1:2" x14ac:dyDescent="0.4">
      <c r="A8612" s="4">
        <v>1006000</v>
      </c>
      <c r="B8612">
        <v>7043600</v>
      </c>
    </row>
    <row r="8613" spans="1:2" x14ac:dyDescent="0.4">
      <c r="A8613" s="4">
        <v>1006000</v>
      </c>
      <c r="B8613">
        <v>7043700</v>
      </c>
    </row>
    <row r="8614" spans="1:2" x14ac:dyDescent="0.4">
      <c r="A8614" s="4">
        <v>1006000</v>
      </c>
      <c r="B8614">
        <v>7043800</v>
      </c>
    </row>
    <row r="8615" spans="1:2" x14ac:dyDescent="0.4">
      <c r="A8615" s="4">
        <v>1006000</v>
      </c>
      <c r="B8615">
        <v>7044000</v>
      </c>
    </row>
    <row r="8616" spans="1:2" x14ac:dyDescent="0.4">
      <c r="A8616" s="4">
        <v>1006000</v>
      </c>
      <c r="B8616">
        <v>7044100</v>
      </c>
    </row>
    <row r="8617" spans="1:2" x14ac:dyDescent="0.4">
      <c r="A8617" s="4">
        <v>1006000</v>
      </c>
      <c r="B8617">
        <v>7044200</v>
      </c>
    </row>
    <row r="8618" spans="1:2" x14ac:dyDescent="0.4">
      <c r="A8618" s="4">
        <v>1006000</v>
      </c>
      <c r="B8618">
        <v>7044300</v>
      </c>
    </row>
    <row r="8619" spans="1:2" x14ac:dyDescent="0.4">
      <c r="A8619" s="4">
        <v>1006000</v>
      </c>
      <c r="B8619">
        <v>7044400</v>
      </c>
    </row>
    <row r="8620" spans="1:2" x14ac:dyDescent="0.4">
      <c r="A8620" s="4">
        <v>1006000</v>
      </c>
      <c r="B8620">
        <v>7044500</v>
      </c>
    </row>
    <row r="8621" spans="1:2" x14ac:dyDescent="0.4">
      <c r="A8621" s="4">
        <v>1006000</v>
      </c>
      <c r="B8621">
        <v>7044600</v>
      </c>
    </row>
    <row r="8622" spans="1:2" x14ac:dyDescent="0.4">
      <c r="A8622" s="4">
        <v>1006000</v>
      </c>
      <c r="B8622">
        <v>7050000</v>
      </c>
    </row>
    <row r="8623" spans="1:2" x14ac:dyDescent="0.4">
      <c r="A8623" s="4">
        <v>1006000</v>
      </c>
      <c r="B8623">
        <v>7050100</v>
      </c>
    </row>
    <row r="8624" spans="1:2" x14ac:dyDescent="0.4">
      <c r="A8624" s="4">
        <v>1006000</v>
      </c>
      <c r="B8624">
        <v>7060000</v>
      </c>
    </row>
    <row r="8625" spans="1:2" x14ac:dyDescent="0.4">
      <c r="A8625" s="4">
        <v>1006000</v>
      </c>
      <c r="B8625">
        <v>7060100</v>
      </c>
    </row>
    <row r="8626" spans="1:2" x14ac:dyDescent="0.4">
      <c r="A8626" s="4">
        <v>1006000</v>
      </c>
      <c r="B8626">
        <v>7060200</v>
      </c>
    </row>
    <row r="8627" spans="1:2" x14ac:dyDescent="0.4">
      <c r="A8627" s="4">
        <v>1006000</v>
      </c>
      <c r="B8627">
        <v>7070000</v>
      </c>
    </row>
    <row r="8628" spans="1:2" x14ac:dyDescent="0.4">
      <c r="A8628" s="4">
        <v>1006000</v>
      </c>
      <c r="B8628">
        <v>7080000</v>
      </c>
    </row>
    <row r="8629" spans="1:2" x14ac:dyDescent="0.4">
      <c r="A8629" s="4">
        <v>1006000</v>
      </c>
      <c r="B8629">
        <v>7080100</v>
      </c>
    </row>
    <row r="8630" spans="1:2" x14ac:dyDescent="0.4">
      <c r="A8630" s="4">
        <v>1006000</v>
      </c>
      <c r="B8630">
        <v>7080200</v>
      </c>
    </row>
    <row r="8631" spans="1:2" x14ac:dyDescent="0.4">
      <c r="A8631" s="4">
        <v>1006000</v>
      </c>
      <c r="B8631">
        <v>7080300</v>
      </c>
    </row>
    <row r="8632" spans="1:2" x14ac:dyDescent="0.4">
      <c r="A8632" s="4">
        <v>1006000</v>
      </c>
      <c r="B8632">
        <v>7080400</v>
      </c>
    </row>
    <row r="8633" spans="1:2" x14ac:dyDescent="0.4">
      <c r="A8633" s="4">
        <v>1006000</v>
      </c>
      <c r="B8633">
        <v>7080500</v>
      </c>
    </row>
    <row r="8634" spans="1:2" x14ac:dyDescent="0.4">
      <c r="A8634" s="4">
        <v>1006000</v>
      </c>
      <c r="B8634">
        <v>7080600</v>
      </c>
    </row>
    <row r="8635" spans="1:2" x14ac:dyDescent="0.4">
      <c r="A8635" s="4">
        <v>1006000</v>
      </c>
      <c r="B8635">
        <v>7080700</v>
      </c>
    </row>
    <row r="8636" spans="1:2" x14ac:dyDescent="0.4">
      <c r="A8636" s="4">
        <v>1006000</v>
      </c>
      <c r="B8636">
        <v>7080800</v>
      </c>
    </row>
    <row r="8637" spans="1:2" x14ac:dyDescent="0.4">
      <c r="A8637" s="4">
        <v>1006000</v>
      </c>
      <c r="B8637">
        <v>7080900</v>
      </c>
    </row>
    <row r="8638" spans="1:2" x14ac:dyDescent="0.4">
      <c r="A8638" s="4">
        <v>1006000</v>
      </c>
      <c r="B8638">
        <v>7081000</v>
      </c>
    </row>
    <row r="8639" spans="1:2" x14ac:dyDescent="0.4">
      <c r="A8639" s="4">
        <v>1006000</v>
      </c>
      <c r="B8639">
        <v>7081100</v>
      </c>
    </row>
    <row r="8640" spans="1:2" x14ac:dyDescent="0.4">
      <c r="A8640" s="4">
        <v>1006000</v>
      </c>
      <c r="B8640">
        <v>7081200</v>
      </c>
    </row>
    <row r="8641" spans="1:2" x14ac:dyDescent="0.4">
      <c r="A8641" s="4">
        <v>1006000</v>
      </c>
      <c r="B8641">
        <v>7081300</v>
      </c>
    </row>
    <row r="8642" spans="1:2" x14ac:dyDescent="0.4">
      <c r="A8642" s="4">
        <v>1006000</v>
      </c>
      <c r="B8642">
        <v>7081400</v>
      </c>
    </row>
    <row r="8643" spans="1:2" x14ac:dyDescent="0.4">
      <c r="A8643" s="4">
        <v>1006000</v>
      </c>
      <c r="B8643">
        <v>7081500</v>
      </c>
    </row>
    <row r="8644" spans="1:2" x14ac:dyDescent="0.4">
      <c r="A8644" s="4">
        <v>1006000</v>
      </c>
      <c r="B8644">
        <v>7081700</v>
      </c>
    </row>
    <row r="8645" spans="1:2" x14ac:dyDescent="0.4">
      <c r="A8645" s="4">
        <v>1006000</v>
      </c>
      <c r="B8645">
        <v>7081800</v>
      </c>
    </row>
    <row r="8646" spans="1:2" x14ac:dyDescent="0.4">
      <c r="A8646" s="4">
        <v>1006000</v>
      </c>
      <c r="B8646">
        <v>7081900</v>
      </c>
    </row>
    <row r="8647" spans="1:2" x14ac:dyDescent="0.4">
      <c r="A8647" s="4">
        <v>1006000</v>
      </c>
      <c r="B8647">
        <v>7082000</v>
      </c>
    </row>
    <row r="8648" spans="1:2" x14ac:dyDescent="0.4">
      <c r="A8648" s="4">
        <v>1006000</v>
      </c>
      <c r="B8648">
        <v>7082100</v>
      </c>
    </row>
    <row r="8649" spans="1:2" x14ac:dyDescent="0.4">
      <c r="A8649" s="4">
        <v>1006000</v>
      </c>
      <c r="B8649">
        <v>7082200</v>
      </c>
    </row>
    <row r="8650" spans="1:2" x14ac:dyDescent="0.4">
      <c r="A8650" s="4">
        <v>1006000</v>
      </c>
      <c r="B8650">
        <v>7082300</v>
      </c>
    </row>
    <row r="8651" spans="1:2" x14ac:dyDescent="0.4">
      <c r="A8651" s="4">
        <v>1006000</v>
      </c>
      <c r="B8651">
        <v>7082400</v>
      </c>
    </row>
    <row r="8652" spans="1:2" x14ac:dyDescent="0.4">
      <c r="A8652" s="4">
        <v>1006000</v>
      </c>
      <c r="B8652">
        <v>7082500</v>
      </c>
    </row>
    <row r="8653" spans="1:2" x14ac:dyDescent="0.4">
      <c r="A8653" s="4">
        <v>1006000</v>
      </c>
      <c r="B8653">
        <v>7082600</v>
      </c>
    </row>
    <row r="8654" spans="1:2" x14ac:dyDescent="0.4">
      <c r="A8654" s="4">
        <v>1006000</v>
      </c>
      <c r="B8654">
        <v>7082700</v>
      </c>
    </row>
    <row r="8655" spans="1:2" x14ac:dyDescent="0.4">
      <c r="A8655" s="4">
        <v>1006000</v>
      </c>
      <c r="B8655">
        <v>7082800</v>
      </c>
    </row>
    <row r="8656" spans="1:2" x14ac:dyDescent="0.4">
      <c r="A8656" s="4">
        <v>1006000</v>
      </c>
      <c r="B8656">
        <v>7082900</v>
      </c>
    </row>
    <row r="8657" spans="1:2" x14ac:dyDescent="0.4">
      <c r="A8657" s="4">
        <v>1006000</v>
      </c>
      <c r="B8657">
        <v>7090000</v>
      </c>
    </row>
    <row r="8658" spans="1:2" x14ac:dyDescent="0.4">
      <c r="A8658" s="4">
        <v>1006000</v>
      </c>
      <c r="B8658">
        <v>7090100</v>
      </c>
    </row>
    <row r="8659" spans="1:2" x14ac:dyDescent="0.4">
      <c r="A8659" s="4">
        <v>1006000</v>
      </c>
      <c r="B8659">
        <v>7090300</v>
      </c>
    </row>
    <row r="8660" spans="1:2" x14ac:dyDescent="0.4">
      <c r="A8660" s="4">
        <v>1006000</v>
      </c>
      <c r="B8660">
        <v>7100100</v>
      </c>
    </row>
    <row r="8661" spans="1:2" x14ac:dyDescent="0.4">
      <c r="A8661" s="4">
        <v>1006000</v>
      </c>
      <c r="B8661">
        <v>7110000</v>
      </c>
    </row>
    <row r="8662" spans="1:2" x14ac:dyDescent="0.4">
      <c r="A8662" s="4">
        <v>1006000</v>
      </c>
      <c r="B8662">
        <v>7120000</v>
      </c>
    </row>
    <row r="8663" spans="1:2" x14ac:dyDescent="0.4">
      <c r="A8663" s="4">
        <v>1006000</v>
      </c>
      <c r="B8663">
        <v>7120100</v>
      </c>
    </row>
    <row r="8664" spans="1:2" x14ac:dyDescent="0.4">
      <c r="A8664" s="4">
        <v>1006000</v>
      </c>
      <c r="B8664">
        <v>7120200</v>
      </c>
    </row>
    <row r="8665" spans="1:2" x14ac:dyDescent="0.4">
      <c r="A8665" s="4">
        <v>1006000</v>
      </c>
      <c r="B8665">
        <v>7120300</v>
      </c>
    </row>
    <row r="8666" spans="1:2" x14ac:dyDescent="0.4">
      <c r="A8666" s="4">
        <v>1006000</v>
      </c>
      <c r="B8666">
        <v>7120400</v>
      </c>
    </row>
    <row r="8667" spans="1:2" x14ac:dyDescent="0.4">
      <c r="A8667" s="4">
        <v>1006000</v>
      </c>
      <c r="B8667">
        <v>7120500</v>
      </c>
    </row>
    <row r="8668" spans="1:2" x14ac:dyDescent="0.4">
      <c r="A8668" s="4">
        <v>1006000</v>
      </c>
      <c r="B8668">
        <v>7120600</v>
      </c>
    </row>
    <row r="8669" spans="1:2" x14ac:dyDescent="0.4">
      <c r="A8669" s="4">
        <v>1006000</v>
      </c>
      <c r="B8669">
        <v>7120900</v>
      </c>
    </row>
    <row r="8670" spans="1:2" x14ac:dyDescent="0.4">
      <c r="A8670" s="4">
        <v>1006000</v>
      </c>
      <c r="B8670">
        <v>7121000</v>
      </c>
    </row>
    <row r="8671" spans="1:2" x14ac:dyDescent="0.4">
      <c r="A8671" s="4">
        <v>1006000</v>
      </c>
      <c r="B8671">
        <v>7121100</v>
      </c>
    </row>
    <row r="8672" spans="1:2" x14ac:dyDescent="0.4">
      <c r="A8672" s="4">
        <v>1006000</v>
      </c>
      <c r="B8672">
        <v>7121200</v>
      </c>
    </row>
    <row r="8673" spans="1:2" x14ac:dyDescent="0.4">
      <c r="A8673" s="4">
        <v>1006000</v>
      </c>
      <c r="B8673">
        <v>7121300</v>
      </c>
    </row>
    <row r="8674" spans="1:2" x14ac:dyDescent="0.4">
      <c r="A8674" s="4">
        <v>1006000</v>
      </c>
      <c r="B8674">
        <v>7121400</v>
      </c>
    </row>
    <row r="8675" spans="1:2" x14ac:dyDescent="0.4">
      <c r="A8675" s="4">
        <v>1006000</v>
      </c>
      <c r="B8675">
        <v>7121500</v>
      </c>
    </row>
    <row r="8676" spans="1:2" x14ac:dyDescent="0.4">
      <c r="A8676" s="4">
        <v>1006000</v>
      </c>
      <c r="B8676">
        <v>7121600</v>
      </c>
    </row>
    <row r="8677" spans="1:2" x14ac:dyDescent="0.4">
      <c r="A8677" s="4">
        <v>1006000</v>
      </c>
      <c r="B8677">
        <v>7121700</v>
      </c>
    </row>
    <row r="8678" spans="1:2" x14ac:dyDescent="0.4">
      <c r="A8678" s="4">
        <v>1006000</v>
      </c>
      <c r="B8678">
        <v>7121800</v>
      </c>
    </row>
    <row r="8679" spans="1:2" x14ac:dyDescent="0.4">
      <c r="A8679" s="4">
        <v>1006000</v>
      </c>
      <c r="B8679">
        <v>7121900</v>
      </c>
    </row>
    <row r="8680" spans="1:2" x14ac:dyDescent="0.4">
      <c r="A8680" s="4">
        <v>1006000</v>
      </c>
      <c r="B8680">
        <v>7122000</v>
      </c>
    </row>
    <row r="8681" spans="1:2" x14ac:dyDescent="0.4">
      <c r="A8681" s="4">
        <v>1006000</v>
      </c>
      <c r="B8681">
        <v>7122100</v>
      </c>
    </row>
    <row r="8682" spans="1:2" x14ac:dyDescent="0.4">
      <c r="A8682" s="4">
        <v>1006000</v>
      </c>
      <c r="B8682">
        <v>7122200</v>
      </c>
    </row>
    <row r="8683" spans="1:2" x14ac:dyDescent="0.4">
      <c r="A8683" s="4">
        <v>1006000</v>
      </c>
      <c r="B8683">
        <v>7122300</v>
      </c>
    </row>
    <row r="8684" spans="1:2" x14ac:dyDescent="0.4">
      <c r="A8684" s="4">
        <v>1006000</v>
      </c>
      <c r="B8684">
        <v>7122400</v>
      </c>
    </row>
    <row r="8685" spans="1:2" x14ac:dyDescent="0.4">
      <c r="A8685" s="4">
        <v>1006000</v>
      </c>
      <c r="B8685">
        <v>7122500</v>
      </c>
    </row>
    <row r="8686" spans="1:2" x14ac:dyDescent="0.4">
      <c r="A8686" s="4">
        <v>1006000</v>
      </c>
      <c r="B8686">
        <v>7122600</v>
      </c>
    </row>
    <row r="8687" spans="1:2" x14ac:dyDescent="0.4">
      <c r="A8687" s="4">
        <v>1006000</v>
      </c>
      <c r="B8687">
        <v>7122700</v>
      </c>
    </row>
    <row r="8688" spans="1:2" x14ac:dyDescent="0.4">
      <c r="A8688" s="4">
        <v>1006000</v>
      </c>
      <c r="B8688">
        <v>7122800</v>
      </c>
    </row>
    <row r="8689" spans="1:2" x14ac:dyDescent="0.4">
      <c r="A8689" s="4">
        <v>1006000</v>
      </c>
      <c r="B8689">
        <v>7122900</v>
      </c>
    </row>
    <row r="8690" spans="1:2" x14ac:dyDescent="0.4">
      <c r="A8690" s="4">
        <v>1006000</v>
      </c>
      <c r="B8690">
        <v>7123000</v>
      </c>
    </row>
    <row r="8691" spans="1:2" x14ac:dyDescent="0.4">
      <c r="A8691" s="4">
        <v>1006000</v>
      </c>
      <c r="B8691">
        <v>7123100</v>
      </c>
    </row>
    <row r="8692" spans="1:2" x14ac:dyDescent="0.4">
      <c r="A8692" s="4">
        <v>1006000</v>
      </c>
      <c r="B8692">
        <v>7123200</v>
      </c>
    </row>
    <row r="8693" spans="1:2" x14ac:dyDescent="0.4">
      <c r="A8693" s="4">
        <v>1006000</v>
      </c>
      <c r="B8693">
        <v>7123300</v>
      </c>
    </row>
    <row r="8694" spans="1:2" x14ac:dyDescent="0.4">
      <c r="A8694" s="4">
        <v>1006000</v>
      </c>
      <c r="B8694">
        <v>7123400</v>
      </c>
    </row>
    <row r="8695" spans="1:2" x14ac:dyDescent="0.4">
      <c r="A8695" s="4">
        <v>1006000</v>
      </c>
      <c r="B8695">
        <v>7123500</v>
      </c>
    </row>
    <row r="8696" spans="1:2" x14ac:dyDescent="0.4">
      <c r="A8696" s="4">
        <v>1006000</v>
      </c>
      <c r="B8696">
        <v>7123600</v>
      </c>
    </row>
    <row r="8697" spans="1:2" x14ac:dyDescent="0.4">
      <c r="A8697" s="4">
        <v>1006000</v>
      </c>
      <c r="B8697">
        <v>7123700</v>
      </c>
    </row>
    <row r="8698" spans="1:2" x14ac:dyDescent="0.4">
      <c r="A8698" s="4">
        <v>1006000</v>
      </c>
      <c r="B8698">
        <v>7123800</v>
      </c>
    </row>
    <row r="8699" spans="1:2" x14ac:dyDescent="0.4">
      <c r="A8699" s="4">
        <v>1006000</v>
      </c>
      <c r="B8699">
        <v>7123900</v>
      </c>
    </row>
    <row r="8700" spans="1:2" x14ac:dyDescent="0.4">
      <c r="A8700" s="4">
        <v>1006000</v>
      </c>
      <c r="B8700">
        <v>7124000</v>
      </c>
    </row>
    <row r="8701" spans="1:2" x14ac:dyDescent="0.4">
      <c r="A8701" s="4">
        <v>1006000</v>
      </c>
      <c r="B8701">
        <v>7124100</v>
      </c>
    </row>
    <row r="8702" spans="1:2" x14ac:dyDescent="0.4">
      <c r="A8702" s="4">
        <v>1006000</v>
      </c>
      <c r="B8702">
        <v>7124300</v>
      </c>
    </row>
    <row r="8703" spans="1:2" x14ac:dyDescent="0.4">
      <c r="A8703" s="4">
        <v>1006000</v>
      </c>
      <c r="B8703">
        <v>7124400</v>
      </c>
    </row>
    <row r="8704" spans="1:2" x14ac:dyDescent="0.4">
      <c r="A8704" s="4">
        <v>1006000</v>
      </c>
      <c r="B8704">
        <v>7124500</v>
      </c>
    </row>
    <row r="8705" spans="1:2" x14ac:dyDescent="0.4">
      <c r="A8705" s="4">
        <v>1006000</v>
      </c>
      <c r="B8705">
        <v>7124600</v>
      </c>
    </row>
    <row r="8706" spans="1:2" x14ac:dyDescent="0.4">
      <c r="A8706" s="4">
        <v>1006000</v>
      </c>
      <c r="B8706">
        <v>7124700</v>
      </c>
    </row>
    <row r="8707" spans="1:2" x14ac:dyDescent="0.4">
      <c r="A8707" s="4">
        <v>1006000</v>
      </c>
      <c r="B8707">
        <v>7126000</v>
      </c>
    </row>
    <row r="8708" spans="1:2" x14ac:dyDescent="0.4">
      <c r="A8708" s="4">
        <v>1006000</v>
      </c>
      <c r="B8708">
        <v>7150000</v>
      </c>
    </row>
    <row r="8709" spans="1:2" x14ac:dyDescent="0.4">
      <c r="A8709" s="4">
        <v>1006000</v>
      </c>
      <c r="B8709">
        <v>7160000</v>
      </c>
    </row>
    <row r="8710" spans="1:2" x14ac:dyDescent="0.4">
      <c r="A8710" s="4">
        <v>1006000</v>
      </c>
      <c r="B8710">
        <v>7220000</v>
      </c>
    </row>
    <row r="8711" spans="1:2" x14ac:dyDescent="0.4">
      <c r="A8711" s="4">
        <v>1006000</v>
      </c>
      <c r="B8711">
        <v>7230000</v>
      </c>
    </row>
    <row r="8712" spans="1:2" x14ac:dyDescent="0.4">
      <c r="A8712" s="4">
        <v>1006000</v>
      </c>
      <c r="B8712">
        <v>7240000</v>
      </c>
    </row>
    <row r="8713" spans="1:2" x14ac:dyDescent="0.4">
      <c r="A8713" s="4">
        <v>1006000</v>
      </c>
      <c r="B8713">
        <v>7260000</v>
      </c>
    </row>
    <row r="8714" spans="1:2" x14ac:dyDescent="0.4">
      <c r="A8714" s="4">
        <v>1006000</v>
      </c>
      <c r="B8714">
        <v>7260300</v>
      </c>
    </row>
    <row r="8715" spans="1:2" x14ac:dyDescent="0.4">
      <c r="A8715" s="4">
        <v>1006000</v>
      </c>
      <c r="B8715">
        <v>7260400</v>
      </c>
    </row>
    <row r="8716" spans="1:2" x14ac:dyDescent="0.4">
      <c r="A8716" s="4">
        <v>1006000</v>
      </c>
      <c r="B8716">
        <v>7270100</v>
      </c>
    </row>
    <row r="8717" spans="1:2" x14ac:dyDescent="0.4">
      <c r="A8717" s="4">
        <v>1006000</v>
      </c>
      <c r="B8717">
        <v>7280000</v>
      </c>
    </row>
    <row r="8718" spans="1:2" x14ac:dyDescent="0.4">
      <c r="A8718" s="4">
        <v>1006000</v>
      </c>
      <c r="B8718">
        <v>7290000</v>
      </c>
    </row>
    <row r="8719" spans="1:2" x14ac:dyDescent="0.4">
      <c r="A8719" s="4">
        <v>1006000</v>
      </c>
      <c r="B8719">
        <v>7310000</v>
      </c>
    </row>
    <row r="8720" spans="1:2" x14ac:dyDescent="0.4">
      <c r="A8720" s="4">
        <v>1006000</v>
      </c>
      <c r="B8720">
        <v>7330000</v>
      </c>
    </row>
    <row r="8721" spans="1:2" x14ac:dyDescent="0.4">
      <c r="A8721" s="4">
        <v>1006000</v>
      </c>
      <c r="B8721">
        <v>7330100</v>
      </c>
    </row>
    <row r="8722" spans="1:2" x14ac:dyDescent="0.4">
      <c r="A8722" s="4">
        <v>1006000</v>
      </c>
      <c r="B8722">
        <v>7330200</v>
      </c>
    </row>
    <row r="8723" spans="1:2" x14ac:dyDescent="0.4">
      <c r="A8723" s="4">
        <v>1006000</v>
      </c>
      <c r="B8723">
        <v>7330300</v>
      </c>
    </row>
    <row r="8724" spans="1:2" x14ac:dyDescent="0.4">
      <c r="A8724" s="4">
        <v>1006000</v>
      </c>
      <c r="B8724">
        <v>7330400</v>
      </c>
    </row>
    <row r="8725" spans="1:2" x14ac:dyDescent="0.4">
      <c r="A8725" s="4">
        <v>1006000</v>
      </c>
      <c r="B8725">
        <v>7330500</v>
      </c>
    </row>
    <row r="8726" spans="1:2" x14ac:dyDescent="0.4">
      <c r="A8726" s="4">
        <v>1006000</v>
      </c>
      <c r="B8726">
        <v>7330600</v>
      </c>
    </row>
    <row r="8727" spans="1:2" x14ac:dyDescent="0.4">
      <c r="A8727" s="4">
        <v>1006000</v>
      </c>
      <c r="B8727">
        <v>7330700</v>
      </c>
    </row>
    <row r="8728" spans="1:2" x14ac:dyDescent="0.4">
      <c r="A8728" s="4">
        <v>1006000</v>
      </c>
      <c r="B8728">
        <v>7330800</v>
      </c>
    </row>
    <row r="8729" spans="1:2" x14ac:dyDescent="0.4">
      <c r="A8729" s="4">
        <v>1006000</v>
      </c>
      <c r="B8729">
        <v>7330900</v>
      </c>
    </row>
    <row r="8730" spans="1:2" x14ac:dyDescent="0.4">
      <c r="A8730" s="4">
        <v>1006000</v>
      </c>
      <c r="B8730">
        <v>7331000</v>
      </c>
    </row>
    <row r="8731" spans="1:2" x14ac:dyDescent="0.4">
      <c r="A8731" s="4">
        <v>1006000</v>
      </c>
      <c r="B8731">
        <v>7331100</v>
      </c>
    </row>
    <row r="8732" spans="1:2" x14ac:dyDescent="0.4">
      <c r="A8732" s="4">
        <v>1006000</v>
      </c>
      <c r="B8732">
        <v>7331200</v>
      </c>
    </row>
    <row r="8733" spans="1:2" x14ac:dyDescent="0.4">
      <c r="A8733" s="4">
        <v>1006000</v>
      </c>
      <c r="B8733">
        <v>7331300</v>
      </c>
    </row>
    <row r="8734" spans="1:2" x14ac:dyDescent="0.4">
      <c r="A8734" s="4">
        <v>1006000</v>
      </c>
      <c r="B8734">
        <v>7331400</v>
      </c>
    </row>
    <row r="8735" spans="1:2" x14ac:dyDescent="0.4">
      <c r="A8735" s="4">
        <v>1006000</v>
      </c>
      <c r="B8735">
        <v>7331500</v>
      </c>
    </row>
    <row r="8736" spans="1:2" x14ac:dyDescent="0.4">
      <c r="A8736" s="4">
        <v>1006000</v>
      </c>
      <c r="B8736">
        <v>7331700</v>
      </c>
    </row>
    <row r="8737" spans="1:2" x14ac:dyDescent="0.4">
      <c r="A8737" s="4">
        <v>1006000</v>
      </c>
      <c r="B8737">
        <v>7331800</v>
      </c>
    </row>
    <row r="8738" spans="1:2" x14ac:dyDescent="0.4">
      <c r="A8738" s="4">
        <v>1006000</v>
      </c>
      <c r="B8738">
        <v>7331900</v>
      </c>
    </row>
    <row r="8739" spans="1:2" x14ac:dyDescent="0.4">
      <c r="A8739" s="4">
        <v>1006000</v>
      </c>
      <c r="B8739">
        <v>7332000</v>
      </c>
    </row>
    <row r="8740" spans="1:2" x14ac:dyDescent="0.4">
      <c r="A8740" s="4">
        <v>1006000</v>
      </c>
      <c r="B8740">
        <v>7332100</v>
      </c>
    </row>
    <row r="8741" spans="1:2" x14ac:dyDescent="0.4">
      <c r="A8741" s="4">
        <v>1006000</v>
      </c>
      <c r="B8741">
        <v>7332200</v>
      </c>
    </row>
    <row r="8742" spans="1:2" x14ac:dyDescent="0.4">
      <c r="A8742" s="4">
        <v>1006000</v>
      </c>
      <c r="B8742">
        <v>7332300</v>
      </c>
    </row>
    <row r="8743" spans="1:2" x14ac:dyDescent="0.4">
      <c r="A8743" s="4">
        <v>1006000</v>
      </c>
      <c r="B8743">
        <v>7332400</v>
      </c>
    </row>
    <row r="8744" spans="1:2" x14ac:dyDescent="0.4">
      <c r="A8744" s="4">
        <v>1006000</v>
      </c>
      <c r="B8744">
        <v>7340000</v>
      </c>
    </row>
    <row r="8745" spans="1:2" x14ac:dyDescent="0.4">
      <c r="A8745" s="4">
        <v>1006000</v>
      </c>
      <c r="B8745">
        <v>7340100</v>
      </c>
    </row>
    <row r="8746" spans="1:2" x14ac:dyDescent="0.4">
      <c r="A8746" s="4">
        <v>1006000</v>
      </c>
      <c r="B8746">
        <v>7340200</v>
      </c>
    </row>
    <row r="8747" spans="1:2" x14ac:dyDescent="0.4">
      <c r="A8747" s="4">
        <v>1006000</v>
      </c>
      <c r="B8747">
        <v>7340300</v>
      </c>
    </row>
    <row r="8748" spans="1:2" x14ac:dyDescent="0.4">
      <c r="A8748" s="4">
        <v>1006000</v>
      </c>
      <c r="B8748">
        <v>7340400</v>
      </c>
    </row>
    <row r="8749" spans="1:2" x14ac:dyDescent="0.4">
      <c r="A8749" s="4">
        <v>1006000</v>
      </c>
      <c r="B8749">
        <v>7340500</v>
      </c>
    </row>
    <row r="8750" spans="1:2" x14ac:dyDescent="0.4">
      <c r="A8750" s="4">
        <v>1006000</v>
      </c>
      <c r="B8750">
        <v>7340600</v>
      </c>
    </row>
    <row r="8751" spans="1:2" x14ac:dyDescent="0.4">
      <c r="A8751" s="4">
        <v>1006000</v>
      </c>
      <c r="B8751">
        <v>7340700</v>
      </c>
    </row>
    <row r="8752" spans="1:2" x14ac:dyDescent="0.4">
      <c r="A8752" s="4">
        <v>1006000</v>
      </c>
      <c r="B8752">
        <v>7340800</v>
      </c>
    </row>
    <row r="8753" spans="1:2" x14ac:dyDescent="0.4">
      <c r="A8753" s="4">
        <v>1006000</v>
      </c>
      <c r="B8753">
        <v>7340900</v>
      </c>
    </row>
    <row r="8754" spans="1:2" x14ac:dyDescent="0.4">
      <c r="A8754" s="4">
        <v>1006000</v>
      </c>
      <c r="B8754">
        <v>7341000</v>
      </c>
    </row>
    <row r="8755" spans="1:2" x14ac:dyDescent="0.4">
      <c r="A8755" s="4">
        <v>1006000</v>
      </c>
      <c r="B8755">
        <v>7341100</v>
      </c>
    </row>
    <row r="8756" spans="1:2" x14ac:dyDescent="0.4">
      <c r="A8756" s="4">
        <v>1006000</v>
      </c>
      <c r="B8756">
        <v>7341200</v>
      </c>
    </row>
    <row r="8757" spans="1:2" x14ac:dyDescent="0.4">
      <c r="A8757" s="4">
        <v>1006000</v>
      </c>
      <c r="B8757">
        <v>7341300</v>
      </c>
    </row>
    <row r="8758" spans="1:2" x14ac:dyDescent="0.4">
      <c r="A8758" s="4">
        <v>1006000</v>
      </c>
      <c r="B8758">
        <v>7341400</v>
      </c>
    </row>
    <row r="8759" spans="1:2" x14ac:dyDescent="0.4">
      <c r="A8759" s="4">
        <v>1006000</v>
      </c>
      <c r="B8759">
        <v>7341500</v>
      </c>
    </row>
    <row r="8760" spans="1:2" x14ac:dyDescent="0.4">
      <c r="A8760" s="4">
        <v>1006000</v>
      </c>
      <c r="B8760">
        <v>7341700</v>
      </c>
    </row>
    <row r="8761" spans="1:2" x14ac:dyDescent="0.4">
      <c r="A8761" s="4">
        <v>1006000</v>
      </c>
      <c r="B8761">
        <v>7341800</v>
      </c>
    </row>
    <row r="8762" spans="1:2" x14ac:dyDescent="0.4">
      <c r="A8762" s="4">
        <v>1006000</v>
      </c>
      <c r="B8762">
        <v>7341900</v>
      </c>
    </row>
    <row r="8763" spans="1:2" x14ac:dyDescent="0.4">
      <c r="A8763" s="4">
        <v>1006000</v>
      </c>
      <c r="B8763">
        <v>7342000</v>
      </c>
    </row>
    <row r="8764" spans="1:2" x14ac:dyDescent="0.4">
      <c r="A8764" s="4">
        <v>1006000</v>
      </c>
      <c r="B8764">
        <v>7342100</v>
      </c>
    </row>
    <row r="8765" spans="1:2" x14ac:dyDescent="0.4">
      <c r="A8765" s="4">
        <v>1006000</v>
      </c>
      <c r="B8765">
        <v>7342200</v>
      </c>
    </row>
    <row r="8766" spans="1:2" x14ac:dyDescent="0.4">
      <c r="A8766" s="4">
        <v>1006000</v>
      </c>
      <c r="B8766">
        <v>7342300</v>
      </c>
    </row>
    <row r="8767" spans="1:2" x14ac:dyDescent="0.4">
      <c r="A8767" s="4">
        <v>1006000</v>
      </c>
      <c r="B8767">
        <v>7342400</v>
      </c>
    </row>
    <row r="8768" spans="1:2" x14ac:dyDescent="0.4">
      <c r="A8768" s="4">
        <v>1006000</v>
      </c>
      <c r="B8768">
        <v>7350000</v>
      </c>
    </row>
    <row r="8769" spans="1:2" x14ac:dyDescent="0.4">
      <c r="A8769" s="4">
        <v>1006000</v>
      </c>
      <c r="B8769">
        <v>7350100</v>
      </c>
    </row>
    <row r="8770" spans="1:2" x14ac:dyDescent="0.4">
      <c r="A8770" s="4">
        <v>1006000</v>
      </c>
      <c r="B8770">
        <v>7350200</v>
      </c>
    </row>
    <row r="8771" spans="1:2" x14ac:dyDescent="0.4">
      <c r="A8771" s="4">
        <v>1006000</v>
      </c>
      <c r="B8771">
        <v>7350300</v>
      </c>
    </row>
    <row r="8772" spans="1:2" x14ac:dyDescent="0.4">
      <c r="A8772" s="4">
        <v>1006000</v>
      </c>
      <c r="B8772">
        <v>7350400</v>
      </c>
    </row>
    <row r="8773" spans="1:2" x14ac:dyDescent="0.4">
      <c r="A8773" s="4">
        <v>1006000</v>
      </c>
      <c r="B8773">
        <v>7350500</v>
      </c>
    </row>
    <row r="8774" spans="1:2" x14ac:dyDescent="0.4">
      <c r="A8774" s="4">
        <v>1006000</v>
      </c>
      <c r="B8774">
        <v>7350600</v>
      </c>
    </row>
    <row r="8775" spans="1:2" x14ac:dyDescent="0.4">
      <c r="A8775" s="4">
        <v>1006000</v>
      </c>
      <c r="B8775">
        <v>7350700</v>
      </c>
    </row>
    <row r="8776" spans="1:2" x14ac:dyDescent="0.4">
      <c r="A8776" s="4">
        <v>1006000</v>
      </c>
      <c r="B8776">
        <v>7350800</v>
      </c>
    </row>
    <row r="8777" spans="1:2" x14ac:dyDescent="0.4">
      <c r="A8777" s="4">
        <v>1006000</v>
      </c>
      <c r="B8777">
        <v>7350900</v>
      </c>
    </row>
    <row r="8778" spans="1:2" x14ac:dyDescent="0.4">
      <c r="A8778" s="4">
        <v>1006000</v>
      </c>
      <c r="B8778">
        <v>7351000</v>
      </c>
    </row>
    <row r="8779" spans="1:2" x14ac:dyDescent="0.4">
      <c r="A8779" s="4">
        <v>1006000</v>
      </c>
      <c r="B8779">
        <v>7351100</v>
      </c>
    </row>
    <row r="8780" spans="1:2" x14ac:dyDescent="0.4">
      <c r="A8780" s="4">
        <v>1006000</v>
      </c>
      <c r="B8780">
        <v>7351200</v>
      </c>
    </row>
    <row r="8781" spans="1:2" x14ac:dyDescent="0.4">
      <c r="A8781" s="4">
        <v>1006000</v>
      </c>
      <c r="B8781">
        <v>7351300</v>
      </c>
    </row>
    <row r="8782" spans="1:2" x14ac:dyDescent="0.4">
      <c r="A8782" s="4">
        <v>1006000</v>
      </c>
      <c r="B8782">
        <v>7351400</v>
      </c>
    </row>
    <row r="8783" spans="1:2" x14ac:dyDescent="0.4">
      <c r="A8783" s="4">
        <v>1006000</v>
      </c>
      <c r="B8783">
        <v>7351500</v>
      </c>
    </row>
    <row r="8784" spans="1:2" x14ac:dyDescent="0.4">
      <c r="A8784" s="4">
        <v>1006000</v>
      </c>
      <c r="B8784">
        <v>7351700</v>
      </c>
    </row>
    <row r="8785" spans="1:2" x14ac:dyDescent="0.4">
      <c r="A8785" s="4">
        <v>1006000</v>
      </c>
      <c r="B8785">
        <v>7351800</v>
      </c>
    </row>
    <row r="8786" spans="1:2" x14ac:dyDescent="0.4">
      <c r="A8786" s="4">
        <v>1006000</v>
      </c>
      <c r="B8786">
        <v>7351900</v>
      </c>
    </row>
    <row r="8787" spans="1:2" x14ac:dyDescent="0.4">
      <c r="A8787" s="4">
        <v>1006000</v>
      </c>
      <c r="B8787">
        <v>7352000</v>
      </c>
    </row>
    <row r="8788" spans="1:2" x14ac:dyDescent="0.4">
      <c r="A8788" s="4">
        <v>1006000</v>
      </c>
      <c r="B8788">
        <v>7352100</v>
      </c>
    </row>
    <row r="8789" spans="1:2" x14ac:dyDescent="0.4">
      <c r="A8789" s="4">
        <v>1006000</v>
      </c>
      <c r="B8789">
        <v>7352200</v>
      </c>
    </row>
    <row r="8790" spans="1:2" x14ac:dyDescent="0.4">
      <c r="A8790" s="4">
        <v>1006000</v>
      </c>
      <c r="B8790">
        <v>7352300</v>
      </c>
    </row>
    <row r="8791" spans="1:2" x14ac:dyDescent="0.4">
      <c r="A8791" s="4">
        <v>1006000</v>
      </c>
      <c r="B8791">
        <v>7352400</v>
      </c>
    </row>
    <row r="8792" spans="1:2" x14ac:dyDescent="0.4">
      <c r="A8792" s="4">
        <v>1006000</v>
      </c>
      <c r="B8792">
        <v>7360600</v>
      </c>
    </row>
    <row r="8793" spans="1:2" x14ac:dyDescent="0.4">
      <c r="A8793" s="4">
        <v>1006000</v>
      </c>
      <c r="B8793">
        <v>7360900</v>
      </c>
    </row>
    <row r="8794" spans="1:2" x14ac:dyDescent="0.4">
      <c r="A8794" s="4">
        <v>1006000</v>
      </c>
      <c r="B8794">
        <v>7361200</v>
      </c>
    </row>
    <row r="8795" spans="1:2" x14ac:dyDescent="0.4">
      <c r="A8795" s="4">
        <v>1006000</v>
      </c>
      <c r="B8795">
        <v>7361300</v>
      </c>
    </row>
    <row r="8796" spans="1:2" x14ac:dyDescent="0.4">
      <c r="A8796" s="4">
        <v>1006000</v>
      </c>
      <c r="B8796">
        <v>7362100</v>
      </c>
    </row>
    <row r="8797" spans="1:2" x14ac:dyDescent="0.4">
      <c r="A8797" s="4">
        <v>1006000</v>
      </c>
      <c r="B8797">
        <v>7370300</v>
      </c>
    </row>
    <row r="8798" spans="1:2" x14ac:dyDescent="0.4">
      <c r="A8798" s="4">
        <v>1006000</v>
      </c>
      <c r="B8798">
        <v>7370400</v>
      </c>
    </row>
    <row r="8799" spans="1:2" x14ac:dyDescent="0.4">
      <c r="A8799" s="4">
        <v>1006000</v>
      </c>
      <c r="B8799">
        <v>7370600</v>
      </c>
    </row>
    <row r="8800" spans="1:2" x14ac:dyDescent="0.4">
      <c r="A8800" s="4">
        <v>1006000</v>
      </c>
      <c r="B8800">
        <v>7370900</v>
      </c>
    </row>
    <row r="8801" spans="1:2" x14ac:dyDescent="0.4">
      <c r="A8801" s="4">
        <v>1006000</v>
      </c>
      <c r="B8801">
        <v>7371500</v>
      </c>
    </row>
    <row r="8802" spans="1:2" x14ac:dyDescent="0.4">
      <c r="A8802" s="4">
        <v>1006000</v>
      </c>
      <c r="B8802">
        <v>7036200</v>
      </c>
    </row>
    <row r="8803" spans="1:2" x14ac:dyDescent="0.4">
      <c r="A8803" s="4">
        <v>1006000</v>
      </c>
      <c r="B8803">
        <v>7036300</v>
      </c>
    </row>
    <row r="8804" spans="1:2" x14ac:dyDescent="0.4">
      <c r="A8804" s="4">
        <v>1006000</v>
      </c>
      <c r="B8804">
        <v>7036400</v>
      </c>
    </row>
    <row r="8805" spans="1:2" x14ac:dyDescent="0.4">
      <c r="A8805" s="4">
        <v>1006000</v>
      </c>
      <c r="B8805">
        <v>7036500</v>
      </c>
    </row>
    <row r="8806" spans="1:2" x14ac:dyDescent="0.4">
      <c r="A8806" s="4">
        <v>1006000</v>
      </c>
      <c r="B8806">
        <v>7036800</v>
      </c>
    </row>
    <row r="8807" spans="1:2" x14ac:dyDescent="0.4">
      <c r="A8807" s="4">
        <v>1006000</v>
      </c>
      <c r="B8807">
        <v>7036900</v>
      </c>
    </row>
    <row r="8808" spans="1:2" x14ac:dyDescent="0.4">
      <c r="A8808" s="4">
        <v>1006000</v>
      </c>
      <c r="B8808">
        <v>7037000</v>
      </c>
    </row>
    <row r="8809" spans="1:2" x14ac:dyDescent="0.4">
      <c r="A8809" s="4">
        <v>1006000</v>
      </c>
      <c r="B8809">
        <v>7037300</v>
      </c>
    </row>
    <row r="8810" spans="1:2" x14ac:dyDescent="0.4">
      <c r="A8810" s="4">
        <v>1006000</v>
      </c>
      <c r="B8810">
        <v>6630000</v>
      </c>
    </row>
    <row r="8811" spans="1:2" x14ac:dyDescent="0.4">
      <c r="A8811" s="4">
        <v>1006000</v>
      </c>
      <c r="B8811">
        <v>6630100</v>
      </c>
    </row>
    <row r="8812" spans="1:2" x14ac:dyDescent="0.4">
      <c r="A8812" s="4">
        <v>1006000</v>
      </c>
      <c r="B8812">
        <v>6630200</v>
      </c>
    </row>
    <row r="8813" spans="1:2" x14ac:dyDescent="0.4">
      <c r="A8813" s="4">
        <v>1006000</v>
      </c>
      <c r="B8813">
        <v>6630300</v>
      </c>
    </row>
    <row r="8814" spans="1:2" x14ac:dyDescent="0.4">
      <c r="A8814" s="4">
        <v>1006000</v>
      </c>
      <c r="B8814">
        <v>6630400</v>
      </c>
    </row>
    <row r="8815" spans="1:2" x14ac:dyDescent="0.4">
      <c r="A8815" s="4">
        <v>1006000</v>
      </c>
      <c r="B8815">
        <v>6630500</v>
      </c>
    </row>
    <row r="8816" spans="1:2" x14ac:dyDescent="0.4">
      <c r="A8816" s="4">
        <v>1006000</v>
      </c>
      <c r="B8816">
        <v>6630600</v>
      </c>
    </row>
    <row r="8817" spans="1:2" x14ac:dyDescent="0.4">
      <c r="A8817" s="4">
        <v>1006000</v>
      </c>
      <c r="B8817">
        <v>6630700</v>
      </c>
    </row>
    <row r="8818" spans="1:2" x14ac:dyDescent="0.4">
      <c r="A8818" s="4">
        <v>1006000</v>
      </c>
      <c r="B8818">
        <v>6630800</v>
      </c>
    </row>
    <row r="8819" spans="1:2" x14ac:dyDescent="0.4">
      <c r="A8819" s="4">
        <v>1006000</v>
      </c>
      <c r="B8819">
        <v>6630900</v>
      </c>
    </row>
    <row r="8820" spans="1:2" x14ac:dyDescent="0.4">
      <c r="A8820" s="4">
        <v>1006000</v>
      </c>
      <c r="B8820">
        <v>6631000</v>
      </c>
    </row>
    <row r="8821" spans="1:2" x14ac:dyDescent="0.4">
      <c r="A8821" s="4">
        <v>1006000</v>
      </c>
      <c r="B8821">
        <v>6631100</v>
      </c>
    </row>
    <row r="8822" spans="1:2" x14ac:dyDescent="0.4">
      <c r="A8822" s="4">
        <v>1006000</v>
      </c>
      <c r="B8822">
        <v>6631200</v>
      </c>
    </row>
    <row r="8823" spans="1:2" x14ac:dyDescent="0.4">
      <c r="A8823" s="4">
        <v>1006000</v>
      </c>
      <c r="B8823">
        <v>6631300</v>
      </c>
    </row>
    <row r="8824" spans="1:2" x14ac:dyDescent="0.4">
      <c r="A8824" s="4">
        <v>1006000</v>
      </c>
      <c r="B8824">
        <v>6631400</v>
      </c>
    </row>
    <row r="8825" spans="1:2" x14ac:dyDescent="0.4">
      <c r="A8825" s="4">
        <v>1006000</v>
      </c>
      <c r="B8825">
        <v>6631500</v>
      </c>
    </row>
    <row r="8826" spans="1:2" x14ac:dyDescent="0.4">
      <c r="A8826" s="4">
        <v>1006000</v>
      </c>
      <c r="B8826">
        <v>6631600</v>
      </c>
    </row>
    <row r="8827" spans="1:2" x14ac:dyDescent="0.4">
      <c r="A8827" s="4">
        <v>1006000</v>
      </c>
      <c r="B8827">
        <v>6631700</v>
      </c>
    </row>
    <row r="8828" spans="1:2" x14ac:dyDescent="0.4">
      <c r="A8828" s="4">
        <v>1006000</v>
      </c>
      <c r="B8828">
        <v>6631800</v>
      </c>
    </row>
    <row r="8829" spans="1:2" x14ac:dyDescent="0.4">
      <c r="A8829" s="4">
        <v>1006000</v>
      </c>
      <c r="B8829">
        <v>6631900</v>
      </c>
    </row>
    <row r="8830" spans="1:2" x14ac:dyDescent="0.4">
      <c r="A8830" s="4">
        <v>1006000</v>
      </c>
      <c r="B8830">
        <v>6632000</v>
      </c>
    </row>
    <row r="8831" spans="1:2" x14ac:dyDescent="0.4">
      <c r="A8831" s="4">
        <v>1006000</v>
      </c>
      <c r="B8831">
        <v>6632100</v>
      </c>
    </row>
    <row r="8832" spans="1:2" x14ac:dyDescent="0.4">
      <c r="A8832" s="4">
        <v>1006000</v>
      </c>
      <c r="B8832">
        <v>6632200</v>
      </c>
    </row>
    <row r="8833" spans="1:2" x14ac:dyDescent="0.4">
      <c r="A8833" s="4">
        <v>1006000</v>
      </c>
      <c r="B8833">
        <v>6632300</v>
      </c>
    </row>
    <row r="8834" spans="1:2" x14ac:dyDescent="0.4">
      <c r="A8834" s="4">
        <v>1006000</v>
      </c>
      <c r="B8834">
        <v>6632400</v>
      </c>
    </row>
    <row r="8835" spans="1:2" x14ac:dyDescent="0.4">
      <c r="A8835" s="4">
        <v>1006000</v>
      </c>
      <c r="B8835">
        <v>6632500</v>
      </c>
    </row>
    <row r="8836" spans="1:2" x14ac:dyDescent="0.4">
      <c r="A8836" s="4">
        <v>1006000</v>
      </c>
      <c r="B8836">
        <v>6632600</v>
      </c>
    </row>
    <row r="8837" spans="1:2" x14ac:dyDescent="0.4">
      <c r="A8837" s="4">
        <v>1006000</v>
      </c>
      <c r="B8837">
        <v>6632700</v>
      </c>
    </row>
    <row r="8838" spans="1:2" x14ac:dyDescent="0.4">
      <c r="A8838" s="4">
        <v>1006000</v>
      </c>
      <c r="B8838">
        <v>6632800</v>
      </c>
    </row>
    <row r="8839" spans="1:2" x14ac:dyDescent="0.4">
      <c r="A8839" s="4">
        <v>1006000</v>
      </c>
      <c r="B8839">
        <v>6632900</v>
      </c>
    </row>
    <row r="8840" spans="1:2" x14ac:dyDescent="0.4">
      <c r="A8840" s="4">
        <v>1006000</v>
      </c>
      <c r="B8840">
        <v>6633000</v>
      </c>
    </row>
    <row r="8841" spans="1:2" x14ac:dyDescent="0.4">
      <c r="A8841" s="4">
        <v>1006000</v>
      </c>
      <c r="B8841">
        <v>6633100</v>
      </c>
    </row>
    <row r="8842" spans="1:2" x14ac:dyDescent="0.4">
      <c r="A8842" s="4">
        <v>1006000</v>
      </c>
      <c r="B8842">
        <v>6633200</v>
      </c>
    </row>
    <row r="8843" spans="1:2" x14ac:dyDescent="0.4">
      <c r="A8843" s="4">
        <v>1006000</v>
      </c>
      <c r="B8843">
        <v>6647200</v>
      </c>
    </row>
    <row r="8844" spans="1:2" x14ac:dyDescent="0.4">
      <c r="A8844" s="4">
        <v>1006000</v>
      </c>
      <c r="B8844">
        <v>6647300</v>
      </c>
    </row>
    <row r="8845" spans="1:2" x14ac:dyDescent="0.4">
      <c r="A8845" s="4">
        <v>1006000</v>
      </c>
      <c r="B8845">
        <v>6647400</v>
      </c>
    </row>
    <row r="8846" spans="1:2" x14ac:dyDescent="0.4">
      <c r="A8846" s="4">
        <v>1006000</v>
      </c>
      <c r="B8846">
        <v>6647500</v>
      </c>
    </row>
    <row r="8847" spans="1:2" x14ac:dyDescent="0.4">
      <c r="A8847" s="4">
        <v>1006000</v>
      </c>
      <c r="B8847">
        <v>6640000</v>
      </c>
    </row>
    <row r="8848" spans="1:2" x14ac:dyDescent="0.4">
      <c r="A8848" s="4">
        <v>1006000</v>
      </c>
      <c r="B8848">
        <v>6640100</v>
      </c>
    </row>
    <row r="8849" spans="1:2" x14ac:dyDescent="0.4">
      <c r="A8849" s="4">
        <v>1006000</v>
      </c>
      <c r="B8849">
        <v>6641000</v>
      </c>
    </row>
    <row r="8850" spans="1:2" x14ac:dyDescent="0.4">
      <c r="A8850" s="4">
        <v>1006000</v>
      </c>
      <c r="B8850">
        <v>6641100</v>
      </c>
    </row>
    <row r="8851" spans="1:2" x14ac:dyDescent="0.4">
      <c r="A8851" s="4">
        <v>1006000</v>
      </c>
      <c r="B8851">
        <v>6642000</v>
      </c>
    </row>
    <row r="8852" spans="1:2" x14ac:dyDescent="0.4">
      <c r="A8852" s="4">
        <v>1006000</v>
      </c>
      <c r="B8852">
        <v>6642100</v>
      </c>
    </row>
    <row r="8853" spans="1:2" x14ac:dyDescent="0.4">
      <c r="A8853" s="4">
        <v>1006000</v>
      </c>
      <c r="B8853">
        <v>6643000</v>
      </c>
    </row>
    <row r="8854" spans="1:2" x14ac:dyDescent="0.4">
      <c r="A8854" s="4">
        <v>1006000</v>
      </c>
      <c r="B8854">
        <v>6643100</v>
      </c>
    </row>
    <row r="8855" spans="1:2" x14ac:dyDescent="0.4">
      <c r="A8855" s="4">
        <v>1006000</v>
      </c>
      <c r="B8855">
        <v>6644000</v>
      </c>
    </row>
    <row r="8856" spans="1:2" x14ac:dyDescent="0.4">
      <c r="A8856" s="4">
        <v>1006000</v>
      </c>
      <c r="B8856">
        <v>6644100</v>
      </c>
    </row>
    <row r="8857" spans="1:2" x14ac:dyDescent="0.4">
      <c r="A8857" s="4">
        <v>1006000</v>
      </c>
      <c r="B8857">
        <v>6645000</v>
      </c>
    </row>
    <row r="8858" spans="1:2" x14ac:dyDescent="0.4">
      <c r="A8858" s="4">
        <v>1006000</v>
      </c>
      <c r="B8858">
        <v>6645100</v>
      </c>
    </row>
    <row r="8859" spans="1:2" x14ac:dyDescent="0.4">
      <c r="A8859" s="4">
        <v>1006000</v>
      </c>
      <c r="B8859">
        <v>6646000</v>
      </c>
    </row>
    <row r="8860" spans="1:2" x14ac:dyDescent="0.4">
      <c r="A8860" s="4">
        <v>1006000</v>
      </c>
      <c r="B8860">
        <v>6646100</v>
      </c>
    </row>
    <row r="8861" spans="1:2" x14ac:dyDescent="0.4">
      <c r="A8861" s="4">
        <v>1006000</v>
      </c>
      <c r="B8861">
        <v>6647000</v>
      </c>
    </row>
    <row r="8862" spans="1:2" x14ac:dyDescent="0.4">
      <c r="A8862" s="4">
        <v>1006000</v>
      </c>
      <c r="B8862">
        <v>6647100</v>
      </c>
    </row>
    <row r="8863" spans="1:2" x14ac:dyDescent="0.4">
      <c r="A8863" s="4">
        <v>1006001</v>
      </c>
      <c r="B8863">
        <v>7000000</v>
      </c>
    </row>
    <row r="8864" spans="1:2" x14ac:dyDescent="0.4">
      <c r="A8864" s="4">
        <v>1006001</v>
      </c>
      <c r="B8864">
        <v>7000001</v>
      </c>
    </row>
    <row r="8865" spans="1:2" x14ac:dyDescent="0.4">
      <c r="A8865" s="4">
        <v>1006001</v>
      </c>
      <c r="B8865">
        <v>7000002</v>
      </c>
    </row>
    <row r="8866" spans="1:2" x14ac:dyDescent="0.4">
      <c r="A8866" s="4">
        <v>1006001</v>
      </c>
      <c r="B8866">
        <v>7000100</v>
      </c>
    </row>
    <row r="8867" spans="1:2" x14ac:dyDescent="0.4">
      <c r="A8867" s="4">
        <v>1006001</v>
      </c>
      <c r="B8867">
        <v>7000101</v>
      </c>
    </row>
    <row r="8868" spans="1:2" x14ac:dyDescent="0.4">
      <c r="A8868" s="4">
        <v>1006001</v>
      </c>
      <c r="B8868">
        <v>7000102</v>
      </c>
    </row>
    <row r="8869" spans="1:2" x14ac:dyDescent="0.4">
      <c r="A8869" s="4">
        <v>1006001</v>
      </c>
      <c r="B8869">
        <v>7000200</v>
      </c>
    </row>
    <row r="8870" spans="1:2" x14ac:dyDescent="0.4">
      <c r="A8870" s="4">
        <v>1006001</v>
      </c>
      <c r="B8870">
        <v>7000201</v>
      </c>
    </row>
    <row r="8871" spans="1:2" x14ac:dyDescent="0.4">
      <c r="A8871" s="4">
        <v>1006001</v>
      </c>
      <c r="B8871">
        <v>7000202</v>
      </c>
    </row>
    <row r="8872" spans="1:2" x14ac:dyDescent="0.4">
      <c r="A8872" s="4">
        <v>1006001</v>
      </c>
      <c r="B8872">
        <v>7000300</v>
      </c>
    </row>
    <row r="8873" spans="1:2" x14ac:dyDescent="0.4">
      <c r="A8873" s="4">
        <v>1006001</v>
      </c>
      <c r="B8873">
        <v>7000301</v>
      </c>
    </row>
    <row r="8874" spans="1:2" x14ac:dyDescent="0.4">
      <c r="A8874" s="4">
        <v>1006001</v>
      </c>
      <c r="B8874">
        <v>7000302</v>
      </c>
    </row>
    <row r="8875" spans="1:2" x14ac:dyDescent="0.4">
      <c r="A8875" s="4">
        <v>1006001</v>
      </c>
      <c r="B8875">
        <v>7000400</v>
      </c>
    </row>
    <row r="8876" spans="1:2" x14ac:dyDescent="0.4">
      <c r="A8876" s="4">
        <v>1006001</v>
      </c>
      <c r="B8876">
        <v>7000401</v>
      </c>
    </row>
    <row r="8877" spans="1:2" x14ac:dyDescent="0.4">
      <c r="A8877" s="4">
        <v>1006001</v>
      </c>
      <c r="B8877">
        <v>7000402</v>
      </c>
    </row>
    <row r="8878" spans="1:2" x14ac:dyDescent="0.4">
      <c r="A8878" s="4">
        <v>1006001</v>
      </c>
      <c r="B8878">
        <v>7000500</v>
      </c>
    </row>
    <row r="8879" spans="1:2" x14ac:dyDescent="0.4">
      <c r="A8879" s="4">
        <v>1006001</v>
      </c>
      <c r="B8879">
        <v>7000501</v>
      </c>
    </row>
    <row r="8880" spans="1:2" x14ac:dyDescent="0.4">
      <c r="A8880" s="4">
        <v>1006001</v>
      </c>
      <c r="B8880">
        <v>7000502</v>
      </c>
    </row>
    <row r="8881" spans="1:2" x14ac:dyDescent="0.4">
      <c r="A8881" s="4">
        <v>1006001</v>
      </c>
      <c r="B8881">
        <v>7000600</v>
      </c>
    </row>
    <row r="8882" spans="1:2" x14ac:dyDescent="0.4">
      <c r="A8882" s="4">
        <v>1006001</v>
      </c>
      <c r="B8882">
        <v>7000601</v>
      </c>
    </row>
    <row r="8883" spans="1:2" x14ac:dyDescent="0.4">
      <c r="A8883" s="4">
        <v>1006001</v>
      </c>
      <c r="B8883">
        <v>7000602</v>
      </c>
    </row>
    <row r="8884" spans="1:2" x14ac:dyDescent="0.4">
      <c r="A8884" s="4">
        <v>1006001</v>
      </c>
      <c r="B8884">
        <v>7000700</v>
      </c>
    </row>
    <row r="8885" spans="1:2" x14ac:dyDescent="0.4">
      <c r="A8885" s="4">
        <v>1006001</v>
      </c>
      <c r="B8885">
        <v>7000701</v>
      </c>
    </row>
    <row r="8886" spans="1:2" x14ac:dyDescent="0.4">
      <c r="A8886" s="4">
        <v>1006001</v>
      </c>
      <c r="B8886">
        <v>7000702</v>
      </c>
    </row>
    <row r="8887" spans="1:2" x14ac:dyDescent="0.4">
      <c r="A8887" s="4">
        <v>1006001</v>
      </c>
      <c r="B8887">
        <v>7000800</v>
      </c>
    </row>
    <row r="8888" spans="1:2" x14ac:dyDescent="0.4">
      <c r="A8888" s="4">
        <v>1006001</v>
      </c>
      <c r="B8888">
        <v>7000801</v>
      </c>
    </row>
    <row r="8889" spans="1:2" x14ac:dyDescent="0.4">
      <c r="A8889" s="4">
        <v>1006001</v>
      </c>
      <c r="B8889">
        <v>7000802</v>
      </c>
    </row>
    <row r="8890" spans="1:2" x14ac:dyDescent="0.4">
      <c r="A8890" s="4">
        <v>1006001</v>
      </c>
      <c r="B8890">
        <v>7000900</v>
      </c>
    </row>
    <row r="8891" spans="1:2" x14ac:dyDescent="0.4">
      <c r="A8891" s="4">
        <v>1006001</v>
      </c>
      <c r="B8891">
        <v>7000901</v>
      </c>
    </row>
    <row r="8892" spans="1:2" x14ac:dyDescent="0.4">
      <c r="A8892" s="4">
        <v>1006001</v>
      </c>
      <c r="B8892">
        <v>7000902</v>
      </c>
    </row>
    <row r="8893" spans="1:2" x14ac:dyDescent="0.4">
      <c r="A8893" s="4">
        <v>1006001</v>
      </c>
      <c r="B8893">
        <v>7001000</v>
      </c>
    </row>
    <row r="8894" spans="1:2" x14ac:dyDescent="0.4">
      <c r="A8894" s="4">
        <v>1006001</v>
      </c>
      <c r="B8894">
        <v>7001001</v>
      </c>
    </row>
    <row r="8895" spans="1:2" x14ac:dyDescent="0.4">
      <c r="A8895" s="4">
        <v>1006001</v>
      </c>
      <c r="B8895">
        <v>7001002</v>
      </c>
    </row>
    <row r="8896" spans="1:2" x14ac:dyDescent="0.4">
      <c r="A8896" s="4">
        <v>1006001</v>
      </c>
      <c r="B8896">
        <v>7001400</v>
      </c>
    </row>
    <row r="8897" spans="1:2" x14ac:dyDescent="0.4">
      <c r="A8897" s="4">
        <v>1006001</v>
      </c>
      <c r="B8897">
        <v>7001401</v>
      </c>
    </row>
    <row r="8898" spans="1:2" x14ac:dyDescent="0.4">
      <c r="A8898" s="4">
        <v>1006001</v>
      </c>
      <c r="B8898">
        <v>7001402</v>
      </c>
    </row>
    <row r="8899" spans="1:2" x14ac:dyDescent="0.4">
      <c r="A8899" s="4">
        <v>1006001</v>
      </c>
      <c r="B8899">
        <v>7001500</v>
      </c>
    </row>
    <row r="8900" spans="1:2" x14ac:dyDescent="0.4">
      <c r="A8900" s="4">
        <v>1006001</v>
      </c>
      <c r="B8900">
        <v>7001501</v>
      </c>
    </row>
    <row r="8901" spans="1:2" x14ac:dyDescent="0.4">
      <c r="A8901" s="4">
        <v>1006001</v>
      </c>
      <c r="B8901">
        <v>7001502</v>
      </c>
    </row>
    <row r="8902" spans="1:2" x14ac:dyDescent="0.4">
      <c r="A8902" s="4">
        <v>1006001</v>
      </c>
      <c r="B8902">
        <v>7001600</v>
      </c>
    </row>
    <row r="8903" spans="1:2" x14ac:dyDescent="0.4">
      <c r="A8903" s="4">
        <v>1006001</v>
      </c>
      <c r="B8903">
        <v>7001601</v>
      </c>
    </row>
    <row r="8904" spans="1:2" x14ac:dyDescent="0.4">
      <c r="A8904" s="4">
        <v>1006001</v>
      </c>
      <c r="B8904">
        <v>7001602</v>
      </c>
    </row>
    <row r="8905" spans="1:2" x14ac:dyDescent="0.4">
      <c r="A8905" s="4">
        <v>1006001</v>
      </c>
      <c r="B8905">
        <v>7001700</v>
      </c>
    </row>
    <row r="8906" spans="1:2" x14ac:dyDescent="0.4">
      <c r="A8906" s="4">
        <v>1006001</v>
      </c>
      <c r="B8906">
        <v>7001701</v>
      </c>
    </row>
    <row r="8907" spans="1:2" x14ac:dyDescent="0.4">
      <c r="A8907" s="4">
        <v>1006001</v>
      </c>
      <c r="B8907">
        <v>7001702</v>
      </c>
    </row>
    <row r="8908" spans="1:2" x14ac:dyDescent="0.4">
      <c r="A8908" s="4">
        <v>1006001</v>
      </c>
      <c r="B8908">
        <v>7001800</v>
      </c>
    </row>
    <row r="8909" spans="1:2" x14ac:dyDescent="0.4">
      <c r="A8909" s="4">
        <v>1006001</v>
      </c>
      <c r="B8909">
        <v>7001801</v>
      </c>
    </row>
    <row r="8910" spans="1:2" x14ac:dyDescent="0.4">
      <c r="A8910" s="4">
        <v>1006001</v>
      </c>
      <c r="B8910">
        <v>7001802</v>
      </c>
    </row>
    <row r="8911" spans="1:2" x14ac:dyDescent="0.4">
      <c r="A8911" s="4">
        <v>1006001</v>
      </c>
      <c r="B8911">
        <v>7002600</v>
      </c>
    </row>
    <row r="8912" spans="1:2" x14ac:dyDescent="0.4">
      <c r="A8912" s="4">
        <v>1006001</v>
      </c>
      <c r="B8912">
        <v>7002700</v>
      </c>
    </row>
    <row r="8913" spans="1:2" x14ac:dyDescent="0.4">
      <c r="A8913" s="4">
        <v>1006001</v>
      </c>
      <c r="B8913">
        <v>7002800</v>
      </c>
    </row>
    <row r="8914" spans="1:2" x14ac:dyDescent="0.4">
      <c r="A8914" s="4">
        <v>1006001</v>
      </c>
      <c r="B8914">
        <v>7002900</v>
      </c>
    </row>
    <row r="8915" spans="1:2" x14ac:dyDescent="0.4">
      <c r="A8915" s="4">
        <v>1006001</v>
      </c>
      <c r="B8915">
        <v>7003000</v>
      </c>
    </row>
    <row r="8916" spans="1:2" x14ac:dyDescent="0.4">
      <c r="A8916" s="4">
        <v>1006001</v>
      </c>
      <c r="B8916">
        <v>7003100</v>
      </c>
    </row>
    <row r="8917" spans="1:2" x14ac:dyDescent="0.4">
      <c r="A8917" s="4">
        <v>1006001</v>
      </c>
      <c r="B8917">
        <v>7003200</v>
      </c>
    </row>
    <row r="8918" spans="1:2" x14ac:dyDescent="0.4">
      <c r="A8918" s="4">
        <v>1006001</v>
      </c>
      <c r="B8918">
        <v>7003300</v>
      </c>
    </row>
    <row r="8919" spans="1:2" x14ac:dyDescent="0.4">
      <c r="A8919" s="4">
        <v>1006001</v>
      </c>
      <c r="B8919">
        <v>7003400</v>
      </c>
    </row>
    <row r="8920" spans="1:2" x14ac:dyDescent="0.4">
      <c r="A8920" s="4">
        <v>1006001</v>
      </c>
      <c r="B8920">
        <v>7003500</v>
      </c>
    </row>
    <row r="8921" spans="1:2" x14ac:dyDescent="0.4">
      <c r="A8921" s="4">
        <v>1006001</v>
      </c>
      <c r="B8921">
        <v>7003600</v>
      </c>
    </row>
    <row r="8922" spans="1:2" x14ac:dyDescent="0.4">
      <c r="A8922" s="4">
        <v>1006001</v>
      </c>
      <c r="B8922">
        <v>7005600</v>
      </c>
    </row>
    <row r="8923" spans="1:2" x14ac:dyDescent="0.4">
      <c r="A8923" s="4">
        <v>1006001</v>
      </c>
      <c r="B8923">
        <v>7006000</v>
      </c>
    </row>
    <row r="8924" spans="1:2" x14ac:dyDescent="0.4">
      <c r="A8924" s="4">
        <v>1006001</v>
      </c>
      <c r="B8924">
        <v>7006100</v>
      </c>
    </row>
    <row r="8925" spans="1:2" x14ac:dyDescent="0.4">
      <c r="A8925" s="4">
        <v>1006001</v>
      </c>
      <c r="B8925">
        <v>7010200</v>
      </c>
    </row>
    <row r="8926" spans="1:2" x14ac:dyDescent="0.4">
      <c r="A8926" s="4">
        <v>1006001</v>
      </c>
      <c r="B8926">
        <v>7010500</v>
      </c>
    </row>
    <row r="8927" spans="1:2" x14ac:dyDescent="0.4">
      <c r="A8927" s="4">
        <v>1006001</v>
      </c>
      <c r="B8927">
        <v>7010700</v>
      </c>
    </row>
    <row r="8928" spans="1:2" x14ac:dyDescent="0.4">
      <c r="A8928" s="4">
        <v>1006001</v>
      </c>
      <c r="B8928">
        <v>7010900</v>
      </c>
    </row>
    <row r="8929" spans="1:2" x14ac:dyDescent="0.4">
      <c r="A8929" s="4">
        <v>1006001</v>
      </c>
      <c r="B8929">
        <v>7011000</v>
      </c>
    </row>
    <row r="8930" spans="1:2" x14ac:dyDescent="0.4">
      <c r="A8930" s="4">
        <v>1006001</v>
      </c>
      <c r="B8930">
        <v>7011200</v>
      </c>
    </row>
    <row r="8931" spans="1:2" x14ac:dyDescent="0.4">
      <c r="A8931" s="4">
        <v>1006001</v>
      </c>
      <c r="B8931">
        <v>7011600</v>
      </c>
    </row>
    <row r="8932" spans="1:2" x14ac:dyDescent="0.4">
      <c r="A8932" s="4">
        <v>1006001</v>
      </c>
      <c r="B8932">
        <v>7011700</v>
      </c>
    </row>
    <row r="8933" spans="1:2" x14ac:dyDescent="0.4">
      <c r="A8933" s="4">
        <v>1006001</v>
      </c>
      <c r="B8933">
        <v>7012000</v>
      </c>
    </row>
    <row r="8934" spans="1:2" x14ac:dyDescent="0.4">
      <c r="A8934" s="4">
        <v>1006001</v>
      </c>
      <c r="B8934">
        <v>7012200</v>
      </c>
    </row>
    <row r="8935" spans="1:2" x14ac:dyDescent="0.4">
      <c r="A8935" s="4">
        <v>1006001</v>
      </c>
      <c r="B8935">
        <v>7012300</v>
      </c>
    </row>
    <row r="8936" spans="1:2" x14ac:dyDescent="0.4">
      <c r="A8936" s="4">
        <v>1006001</v>
      </c>
      <c r="B8936">
        <v>7020000</v>
      </c>
    </row>
    <row r="8937" spans="1:2" x14ac:dyDescent="0.4">
      <c r="A8937" s="4">
        <v>1006001</v>
      </c>
      <c r="B8937">
        <v>7030000</v>
      </c>
    </row>
    <row r="8938" spans="1:2" x14ac:dyDescent="0.4">
      <c r="A8938" s="4">
        <v>1006001</v>
      </c>
      <c r="B8938">
        <v>7030200</v>
      </c>
    </row>
    <row r="8939" spans="1:2" x14ac:dyDescent="0.4">
      <c r="A8939" s="4">
        <v>1006001</v>
      </c>
      <c r="B8939">
        <v>7030600</v>
      </c>
    </row>
    <row r="8940" spans="1:2" x14ac:dyDescent="0.4">
      <c r="A8940" s="4">
        <v>1006001</v>
      </c>
      <c r="B8940">
        <v>7030700</v>
      </c>
    </row>
    <row r="8941" spans="1:2" x14ac:dyDescent="0.4">
      <c r="A8941" s="4">
        <v>1006001</v>
      </c>
      <c r="B8941">
        <v>7030800</v>
      </c>
    </row>
    <row r="8942" spans="1:2" x14ac:dyDescent="0.4">
      <c r="A8942" s="4">
        <v>1006001</v>
      </c>
      <c r="B8942">
        <v>7030900</v>
      </c>
    </row>
    <row r="8943" spans="1:2" x14ac:dyDescent="0.4">
      <c r="A8943" s="4">
        <v>1006001</v>
      </c>
      <c r="B8943">
        <v>7031200</v>
      </c>
    </row>
    <row r="8944" spans="1:2" x14ac:dyDescent="0.4">
      <c r="A8944" s="4">
        <v>1006001</v>
      </c>
      <c r="B8944">
        <v>7031300</v>
      </c>
    </row>
    <row r="8945" spans="1:2" x14ac:dyDescent="0.4">
      <c r="A8945" s="4">
        <v>1006001</v>
      </c>
      <c r="B8945">
        <v>7031800</v>
      </c>
    </row>
    <row r="8946" spans="1:2" x14ac:dyDescent="0.4">
      <c r="A8946" s="4">
        <v>1006001</v>
      </c>
      <c r="B8946">
        <v>7031900</v>
      </c>
    </row>
    <row r="8947" spans="1:2" x14ac:dyDescent="0.4">
      <c r="A8947" s="4">
        <v>1006001</v>
      </c>
      <c r="B8947">
        <v>7032200</v>
      </c>
    </row>
    <row r="8948" spans="1:2" x14ac:dyDescent="0.4">
      <c r="A8948" s="4">
        <v>1006001</v>
      </c>
      <c r="B8948">
        <v>7032400</v>
      </c>
    </row>
    <row r="8949" spans="1:2" x14ac:dyDescent="0.4">
      <c r="A8949" s="4">
        <v>1006001</v>
      </c>
      <c r="B8949">
        <v>7032700</v>
      </c>
    </row>
    <row r="8950" spans="1:2" x14ac:dyDescent="0.4">
      <c r="A8950" s="4">
        <v>1006001</v>
      </c>
      <c r="B8950">
        <v>7032800</v>
      </c>
    </row>
    <row r="8951" spans="1:2" x14ac:dyDescent="0.4">
      <c r="A8951" s="4">
        <v>1006001</v>
      </c>
      <c r="B8951">
        <v>7032900</v>
      </c>
    </row>
    <row r="8952" spans="1:2" x14ac:dyDescent="0.4">
      <c r="A8952" s="4">
        <v>1006001</v>
      </c>
      <c r="B8952">
        <v>7033200</v>
      </c>
    </row>
    <row r="8953" spans="1:2" x14ac:dyDescent="0.4">
      <c r="A8953" s="4">
        <v>1006001</v>
      </c>
      <c r="B8953">
        <v>7033400</v>
      </c>
    </row>
    <row r="8954" spans="1:2" x14ac:dyDescent="0.4">
      <c r="A8954" s="4">
        <v>1006001</v>
      </c>
      <c r="B8954">
        <v>7034100</v>
      </c>
    </row>
    <row r="8955" spans="1:2" x14ac:dyDescent="0.4">
      <c r="A8955" s="4">
        <v>1006001</v>
      </c>
      <c r="B8955">
        <v>7034400</v>
      </c>
    </row>
    <row r="8956" spans="1:2" x14ac:dyDescent="0.4">
      <c r="A8956" s="4">
        <v>1006001</v>
      </c>
      <c r="B8956">
        <v>7034500</v>
      </c>
    </row>
    <row r="8957" spans="1:2" x14ac:dyDescent="0.4">
      <c r="A8957" s="4">
        <v>1006001</v>
      </c>
      <c r="B8957">
        <v>7034600</v>
      </c>
    </row>
    <row r="8958" spans="1:2" x14ac:dyDescent="0.4">
      <c r="A8958" s="4">
        <v>1006001</v>
      </c>
      <c r="B8958">
        <v>7034700</v>
      </c>
    </row>
    <row r="8959" spans="1:2" x14ac:dyDescent="0.4">
      <c r="A8959" s="4">
        <v>1006001</v>
      </c>
      <c r="B8959">
        <v>7035100</v>
      </c>
    </row>
    <row r="8960" spans="1:2" x14ac:dyDescent="0.4">
      <c r="A8960" s="4">
        <v>1006001</v>
      </c>
      <c r="B8960">
        <v>7036100</v>
      </c>
    </row>
    <row r="8961" spans="1:2" x14ac:dyDescent="0.4">
      <c r="A8961" s="4">
        <v>1006001</v>
      </c>
      <c r="B8961">
        <v>7040000</v>
      </c>
    </row>
    <row r="8962" spans="1:2" x14ac:dyDescent="0.4">
      <c r="A8962" s="4">
        <v>1006001</v>
      </c>
      <c r="B8962">
        <v>7040100</v>
      </c>
    </row>
    <row r="8963" spans="1:2" x14ac:dyDescent="0.4">
      <c r="A8963" s="4">
        <v>1006001</v>
      </c>
      <c r="B8963">
        <v>7040200</v>
      </c>
    </row>
    <row r="8964" spans="1:2" x14ac:dyDescent="0.4">
      <c r="A8964" s="4">
        <v>1006001</v>
      </c>
      <c r="B8964">
        <v>7040300</v>
      </c>
    </row>
    <row r="8965" spans="1:2" x14ac:dyDescent="0.4">
      <c r="A8965" s="4">
        <v>1006001</v>
      </c>
      <c r="B8965">
        <v>7040400</v>
      </c>
    </row>
    <row r="8966" spans="1:2" x14ac:dyDescent="0.4">
      <c r="A8966" s="4">
        <v>1006001</v>
      </c>
      <c r="B8966">
        <v>7040500</v>
      </c>
    </row>
    <row r="8967" spans="1:2" x14ac:dyDescent="0.4">
      <c r="A8967" s="4">
        <v>1006001</v>
      </c>
      <c r="B8967">
        <v>7043000</v>
      </c>
    </row>
    <row r="8968" spans="1:2" x14ac:dyDescent="0.4">
      <c r="A8968" s="4">
        <v>1006001</v>
      </c>
      <c r="B8968">
        <v>7043100</v>
      </c>
    </row>
    <row r="8969" spans="1:2" x14ac:dyDescent="0.4">
      <c r="A8969" s="4">
        <v>1006001</v>
      </c>
      <c r="B8969">
        <v>7043200</v>
      </c>
    </row>
    <row r="8970" spans="1:2" x14ac:dyDescent="0.4">
      <c r="A8970" s="4">
        <v>1006001</v>
      </c>
      <c r="B8970">
        <v>7043300</v>
      </c>
    </row>
    <row r="8971" spans="1:2" x14ac:dyDescent="0.4">
      <c r="A8971" s="4">
        <v>1006001</v>
      </c>
      <c r="B8971">
        <v>7043400</v>
      </c>
    </row>
    <row r="8972" spans="1:2" x14ac:dyDescent="0.4">
      <c r="A8972" s="4">
        <v>1006001</v>
      </c>
      <c r="B8972">
        <v>7043500</v>
      </c>
    </row>
    <row r="8973" spans="1:2" x14ac:dyDescent="0.4">
      <c r="A8973" s="4">
        <v>1006001</v>
      </c>
      <c r="B8973">
        <v>7043600</v>
      </c>
    </row>
    <row r="8974" spans="1:2" x14ac:dyDescent="0.4">
      <c r="A8974" s="4">
        <v>1006001</v>
      </c>
      <c r="B8974">
        <v>7043700</v>
      </c>
    </row>
    <row r="8975" spans="1:2" x14ac:dyDescent="0.4">
      <c r="A8975" s="4">
        <v>1006001</v>
      </c>
      <c r="B8975">
        <v>7043800</v>
      </c>
    </row>
    <row r="8976" spans="1:2" x14ac:dyDescent="0.4">
      <c r="A8976" s="4">
        <v>1006001</v>
      </c>
      <c r="B8976">
        <v>7044000</v>
      </c>
    </row>
    <row r="8977" spans="1:2" x14ac:dyDescent="0.4">
      <c r="A8977" s="4">
        <v>1006001</v>
      </c>
      <c r="B8977">
        <v>7044100</v>
      </c>
    </row>
    <row r="8978" spans="1:2" x14ac:dyDescent="0.4">
      <c r="A8978" s="4">
        <v>1006001</v>
      </c>
      <c r="B8978">
        <v>7044200</v>
      </c>
    </row>
    <row r="8979" spans="1:2" x14ac:dyDescent="0.4">
      <c r="A8979" s="4">
        <v>1006001</v>
      </c>
      <c r="B8979">
        <v>7044300</v>
      </c>
    </row>
    <row r="8980" spans="1:2" x14ac:dyDescent="0.4">
      <c r="A8980" s="4">
        <v>1006001</v>
      </c>
      <c r="B8980">
        <v>7044400</v>
      </c>
    </row>
    <row r="8981" spans="1:2" x14ac:dyDescent="0.4">
      <c r="A8981" s="4">
        <v>1006001</v>
      </c>
      <c r="B8981">
        <v>7044500</v>
      </c>
    </row>
    <row r="8982" spans="1:2" x14ac:dyDescent="0.4">
      <c r="A8982" s="4">
        <v>1006001</v>
      </c>
      <c r="B8982">
        <v>7044600</v>
      </c>
    </row>
    <row r="8983" spans="1:2" x14ac:dyDescent="0.4">
      <c r="A8983" s="4">
        <v>1006001</v>
      </c>
      <c r="B8983">
        <v>7050000</v>
      </c>
    </row>
    <row r="8984" spans="1:2" x14ac:dyDescent="0.4">
      <c r="A8984" s="4">
        <v>1006001</v>
      </c>
      <c r="B8984">
        <v>7050100</v>
      </c>
    </row>
    <row r="8985" spans="1:2" x14ac:dyDescent="0.4">
      <c r="A8985" s="4">
        <v>1006001</v>
      </c>
      <c r="B8985">
        <v>7060000</v>
      </c>
    </row>
    <row r="8986" spans="1:2" x14ac:dyDescent="0.4">
      <c r="A8986" s="4">
        <v>1006001</v>
      </c>
      <c r="B8986">
        <v>7060100</v>
      </c>
    </row>
    <row r="8987" spans="1:2" x14ac:dyDescent="0.4">
      <c r="A8987" s="4">
        <v>1006001</v>
      </c>
      <c r="B8987">
        <v>7060200</v>
      </c>
    </row>
    <row r="8988" spans="1:2" x14ac:dyDescent="0.4">
      <c r="A8988" s="4">
        <v>1006001</v>
      </c>
      <c r="B8988">
        <v>7070000</v>
      </c>
    </row>
    <row r="8989" spans="1:2" x14ac:dyDescent="0.4">
      <c r="A8989" s="4">
        <v>1006001</v>
      </c>
      <c r="B8989">
        <v>7080000</v>
      </c>
    </row>
    <row r="8990" spans="1:2" x14ac:dyDescent="0.4">
      <c r="A8990" s="4">
        <v>1006001</v>
      </c>
      <c r="B8990">
        <v>7080100</v>
      </c>
    </row>
    <row r="8991" spans="1:2" x14ac:dyDescent="0.4">
      <c r="A8991" s="4">
        <v>1006001</v>
      </c>
      <c r="B8991">
        <v>7080200</v>
      </c>
    </row>
    <row r="8992" spans="1:2" x14ac:dyDescent="0.4">
      <c r="A8992" s="4">
        <v>1006001</v>
      </c>
      <c r="B8992">
        <v>7080300</v>
      </c>
    </row>
    <row r="8993" spans="1:2" x14ac:dyDescent="0.4">
      <c r="A8993" s="4">
        <v>1006001</v>
      </c>
      <c r="B8993">
        <v>7080400</v>
      </c>
    </row>
    <row r="8994" spans="1:2" x14ac:dyDescent="0.4">
      <c r="A8994" s="4">
        <v>1006001</v>
      </c>
      <c r="B8994">
        <v>7080500</v>
      </c>
    </row>
    <row r="8995" spans="1:2" x14ac:dyDescent="0.4">
      <c r="A8995" s="4">
        <v>1006001</v>
      </c>
      <c r="B8995">
        <v>7080600</v>
      </c>
    </row>
    <row r="8996" spans="1:2" x14ac:dyDescent="0.4">
      <c r="A8996" s="4">
        <v>1006001</v>
      </c>
      <c r="B8996">
        <v>7080700</v>
      </c>
    </row>
    <row r="8997" spans="1:2" x14ac:dyDescent="0.4">
      <c r="A8997" s="4">
        <v>1006001</v>
      </c>
      <c r="B8997">
        <v>7080800</v>
      </c>
    </row>
    <row r="8998" spans="1:2" x14ac:dyDescent="0.4">
      <c r="A8998" s="4">
        <v>1006001</v>
      </c>
      <c r="B8998">
        <v>7080900</v>
      </c>
    </row>
    <row r="8999" spans="1:2" x14ac:dyDescent="0.4">
      <c r="A8999" s="4">
        <v>1006001</v>
      </c>
      <c r="B8999">
        <v>7081000</v>
      </c>
    </row>
    <row r="9000" spans="1:2" x14ac:dyDescent="0.4">
      <c r="A9000" s="4">
        <v>1006001</v>
      </c>
      <c r="B9000">
        <v>7081100</v>
      </c>
    </row>
    <row r="9001" spans="1:2" x14ac:dyDescent="0.4">
      <c r="A9001" s="4">
        <v>1006001</v>
      </c>
      <c r="B9001">
        <v>7081200</v>
      </c>
    </row>
    <row r="9002" spans="1:2" x14ac:dyDescent="0.4">
      <c r="A9002" s="4">
        <v>1006001</v>
      </c>
      <c r="B9002">
        <v>7081300</v>
      </c>
    </row>
    <row r="9003" spans="1:2" x14ac:dyDescent="0.4">
      <c r="A9003" s="4">
        <v>1006001</v>
      </c>
      <c r="B9003">
        <v>7081400</v>
      </c>
    </row>
    <row r="9004" spans="1:2" x14ac:dyDescent="0.4">
      <c r="A9004" s="4">
        <v>1006001</v>
      </c>
      <c r="B9004">
        <v>7081500</v>
      </c>
    </row>
    <row r="9005" spans="1:2" x14ac:dyDescent="0.4">
      <c r="A9005" s="4">
        <v>1006001</v>
      </c>
      <c r="B9005">
        <v>7081700</v>
      </c>
    </row>
    <row r="9006" spans="1:2" x14ac:dyDescent="0.4">
      <c r="A9006" s="4">
        <v>1006001</v>
      </c>
      <c r="B9006">
        <v>7081800</v>
      </c>
    </row>
    <row r="9007" spans="1:2" x14ac:dyDescent="0.4">
      <c r="A9007" s="4">
        <v>1006001</v>
      </c>
      <c r="B9007">
        <v>7081900</v>
      </c>
    </row>
    <row r="9008" spans="1:2" x14ac:dyDescent="0.4">
      <c r="A9008" s="4">
        <v>1006001</v>
      </c>
      <c r="B9008">
        <v>7082000</v>
      </c>
    </row>
    <row r="9009" spans="1:2" x14ac:dyDescent="0.4">
      <c r="A9009" s="4">
        <v>1006001</v>
      </c>
      <c r="B9009">
        <v>7082100</v>
      </c>
    </row>
    <row r="9010" spans="1:2" x14ac:dyDescent="0.4">
      <c r="A9010" s="4">
        <v>1006001</v>
      </c>
      <c r="B9010">
        <v>7082200</v>
      </c>
    </row>
    <row r="9011" spans="1:2" x14ac:dyDescent="0.4">
      <c r="A9011" s="4">
        <v>1006001</v>
      </c>
      <c r="B9011">
        <v>7082300</v>
      </c>
    </row>
    <row r="9012" spans="1:2" x14ac:dyDescent="0.4">
      <c r="A9012" s="4">
        <v>1006001</v>
      </c>
      <c r="B9012">
        <v>7082400</v>
      </c>
    </row>
    <row r="9013" spans="1:2" x14ac:dyDescent="0.4">
      <c r="A9013" s="4">
        <v>1006001</v>
      </c>
      <c r="B9013">
        <v>7082500</v>
      </c>
    </row>
    <row r="9014" spans="1:2" x14ac:dyDescent="0.4">
      <c r="A9014" s="4">
        <v>1006001</v>
      </c>
      <c r="B9014">
        <v>7082600</v>
      </c>
    </row>
    <row r="9015" spans="1:2" x14ac:dyDescent="0.4">
      <c r="A9015" s="4">
        <v>1006001</v>
      </c>
      <c r="B9015">
        <v>7082700</v>
      </c>
    </row>
    <row r="9016" spans="1:2" x14ac:dyDescent="0.4">
      <c r="A9016" s="4">
        <v>1006001</v>
      </c>
      <c r="B9016">
        <v>7082800</v>
      </c>
    </row>
    <row r="9017" spans="1:2" x14ac:dyDescent="0.4">
      <c r="A9017" s="4">
        <v>1006001</v>
      </c>
      <c r="B9017">
        <v>7082900</v>
      </c>
    </row>
    <row r="9018" spans="1:2" x14ac:dyDescent="0.4">
      <c r="A9018" s="4">
        <v>1006001</v>
      </c>
      <c r="B9018">
        <v>7090000</v>
      </c>
    </row>
    <row r="9019" spans="1:2" x14ac:dyDescent="0.4">
      <c r="A9019" s="4">
        <v>1006001</v>
      </c>
      <c r="B9019">
        <v>7090100</v>
      </c>
    </row>
    <row r="9020" spans="1:2" x14ac:dyDescent="0.4">
      <c r="A9020" s="4">
        <v>1006001</v>
      </c>
      <c r="B9020">
        <v>7090300</v>
      </c>
    </row>
    <row r="9021" spans="1:2" x14ac:dyDescent="0.4">
      <c r="A9021" s="4">
        <v>1006001</v>
      </c>
      <c r="B9021">
        <v>7100100</v>
      </c>
    </row>
    <row r="9022" spans="1:2" x14ac:dyDescent="0.4">
      <c r="A9022" s="4">
        <v>1006001</v>
      </c>
      <c r="B9022">
        <v>7110000</v>
      </c>
    </row>
    <row r="9023" spans="1:2" x14ac:dyDescent="0.4">
      <c r="A9023" s="4">
        <v>1006001</v>
      </c>
      <c r="B9023">
        <v>7120000</v>
      </c>
    </row>
    <row r="9024" spans="1:2" x14ac:dyDescent="0.4">
      <c r="A9024" s="4">
        <v>1006001</v>
      </c>
      <c r="B9024">
        <v>7120100</v>
      </c>
    </row>
    <row r="9025" spans="1:2" x14ac:dyDescent="0.4">
      <c r="A9025" s="4">
        <v>1006001</v>
      </c>
      <c r="B9025">
        <v>7120200</v>
      </c>
    </row>
    <row r="9026" spans="1:2" x14ac:dyDescent="0.4">
      <c r="A9026" s="4">
        <v>1006001</v>
      </c>
      <c r="B9026">
        <v>7120300</v>
      </c>
    </row>
    <row r="9027" spans="1:2" x14ac:dyDescent="0.4">
      <c r="A9027" s="4">
        <v>1006001</v>
      </c>
      <c r="B9027">
        <v>7120400</v>
      </c>
    </row>
    <row r="9028" spans="1:2" x14ac:dyDescent="0.4">
      <c r="A9028" s="4">
        <v>1006001</v>
      </c>
      <c r="B9028">
        <v>7120500</v>
      </c>
    </row>
    <row r="9029" spans="1:2" x14ac:dyDescent="0.4">
      <c r="A9029" s="4">
        <v>1006001</v>
      </c>
      <c r="B9029">
        <v>7120600</v>
      </c>
    </row>
    <row r="9030" spans="1:2" x14ac:dyDescent="0.4">
      <c r="A9030" s="4">
        <v>1006001</v>
      </c>
      <c r="B9030">
        <v>7120900</v>
      </c>
    </row>
    <row r="9031" spans="1:2" x14ac:dyDescent="0.4">
      <c r="A9031" s="4">
        <v>1006001</v>
      </c>
      <c r="B9031">
        <v>7121000</v>
      </c>
    </row>
    <row r="9032" spans="1:2" x14ac:dyDescent="0.4">
      <c r="A9032" s="4">
        <v>1006001</v>
      </c>
      <c r="B9032">
        <v>7121100</v>
      </c>
    </row>
    <row r="9033" spans="1:2" x14ac:dyDescent="0.4">
      <c r="A9033" s="4">
        <v>1006001</v>
      </c>
      <c r="B9033">
        <v>7121200</v>
      </c>
    </row>
    <row r="9034" spans="1:2" x14ac:dyDescent="0.4">
      <c r="A9034" s="4">
        <v>1006001</v>
      </c>
      <c r="B9034">
        <v>7121300</v>
      </c>
    </row>
    <row r="9035" spans="1:2" x14ac:dyDescent="0.4">
      <c r="A9035" s="4">
        <v>1006001</v>
      </c>
      <c r="B9035">
        <v>7121400</v>
      </c>
    </row>
    <row r="9036" spans="1:2" x14ac:dyDescent="0.4">
      <c r="A9036" s="4">
        <v>1006001</v>
      </c>
      <c r="B9036">
        <v>7121500</v>
      </c>
    </row>
    <row r="9037" spans="1:2" x14ac:dyDescent="0.4">
      <c r="A9037" s="4">
        <v>1006001</v>
      </c>
      <c r="B9037">
        <v>7121600</v>
      </c>
    </row>
    <row r="9038" spans="1:2" x14ac:dyDescent="0.4">
      <c r="A9038" s="4">
        <v>1006001</v>
      </c>
      <c r="B9038">
        <v>7121700</v>
      </c>
    </row>
    <row r="9039" spans="1:2" x14ac:dyDescent="0.4">
      <c r="A9039" s="4">
        <v>1006001</v>
      </c>
      <c r="B9039">
        <v>7121800</v>
      </c>
    </row>
    <row r="9040" spans="1:2" x14ac:dyDescent="0.4">
      <c r="A9040" s="4">
        <v>1006001</v>
      </c>
      <c r="B9040">
        <v>7121900</v>
      </c>
    </row>
    <row r="9041" spans="1:2" x14ac:dyDescent="0.4">
      <c r="A9041" s="4">
        <v>1006001</v>
      </c>
      <c r="B9041">
        <v>7122000</v>
      </c>
    </row>
    <row r="9042" spans="1:2" x14ac:dyDescent="0.4">
      <c r="A9042" s="4">
        <v>1006001</v>
      </c>
      <c r="B9042">
        <v>7122100</v>
      </c>
    </row>
    <row r="9043" spans="1:2" x14ac:dyDescent="0.4">
      <c r="A9043" s="4">
        <v>1006001</v>
      </c>
      <c r="B9043">
        <v>7122200</v>
      </c>
    </row>
    <row r="9044" spans="1:2" x14ac:dyDescent="0.4">
      <c r="A9044" s="4">
        <v>1006001</v>
      </c>
      <c r="B9044">
        <v>7122300</v>
      </c>
    </row>
    <row r="9045" spans="1:2" x14ac:dyDescent="0.4">
      <c r="A9045" s="4">
        <v>1006001</v>
      </c>
      <c r="B9045">
        <v>7122400</v>
      </c>
    </row>
    <row r="9046" spans="1:2" x14ac:dyDescent="0.4">
      <c r="A9046" s="4">
        <v>1006001</v>
      </c>
      <c r="B9046">
        <v>7122500</v>
      </c>
    </row>
    <row r="9047" spans="1:2" x14ac:dyDescent="0.4">
      <c r="A9047" s="4">
        <v>1006001</v>
      </c>
      <c r="B9047">
        <v>7122600</v>
      </c>
    </row>
    <row r="9048" spans="1:2" x14ac:dyDescent="0.4">
      <c r="A9048" s="4">
        <v>1006001</v>
      </c>
      <c r="B9048">
        <v>7122700</v>
      </c>
    </row>
    <row r="9049" spans="1:2" x14ac:dyDescent="0.4">
      <c r="A9049" s="4">
        <v>1006001</v>
      </c>
      <c r="B9049">
        <v>7122800</v>
      </c>
    </row>
    <row r="9050" spans="1:2" x14ac:dyDescent="0.4">
      <c r="A9050" s="4">
        <v>1006001</v>
      </c>
      <c r="B9050">
        <v>7122900</v>
      </c>
    </row>
    <row r="9051" spans="1:2" x14ac:dyDescent="0.4">
      <c r="A9051" s="4">
        <v>1006001</v>
      </c>
      <c r="B9051">
        <v>7123000</v>
      </c>
    </row>
    <row r="9052" spans="1:2" x14ac:dyDescent="0.4">
      <c r="A9052" s="4">
        <v>1006001</v>
      </c>
      <c r="B9052">
        <v>7123100</v>
      </c>
    </row>
    <row r="9053" spans="1:2" x14ac:dyDescent="0.4">
      <c r="A9053" s="4">
        <v>1006001</v>
      </c>
      <c r="B9053">
        <v>7123200</v>
      </c>
    </row>
    <row r="9054" spans="1:2" x14ac:dyDescent="0.4">
      <c r="A9054" s="4">
        <v>1006001</v>
      </c>
      <c r="B9054">
        <v>7123300</v>
      </c>
    </row>
    <row r="9055" spans="1:2" x14ac:dyDescent="0.4">
      <c r="A9055" s="4">
        <v>1006001</v>
      </c>
      <c r="B9055">
        <v>7123400</v>
      </c>
    </row>
    <row r="9056" spans="1:2" x14ac:dyDescent="0.4">
      <c r="A9056" s="4">
        <v>1006001</v>
      </c>
      <c r="B9056">
        <v>7123500</v>
      </c>
    </row>
    <row r="9057" spans="1:2" x14ac:dyDescent="0.4">
      <c r="A9057" s="4">
        <v>1006001</v>
      </c>
      <c r="B9057">
        <v>7123600</v>
      </c>
    </row>
    <row r="9058" spans="1:2" x14ac:dyDescent="0.4">
      <c r="A9058" s="4">
        <v>1006001</v>
      </c>
      <c r="B9058">
        <v>7123700</v>
      </c>
    </row>
    <row r="9059" spans="1:2" x14ac:dyDescent="0.4">
      <c r="A9059" s="4">
        <v>1006001</v>
      </c>
      <c r="B9059">
        <v>7123800</v>
      </c>
    </row>
    <row r="9060" spans="1:2" x14ac:dyDescent="0.4">
      <c r="A9060" s="4">
        <v>1006001</v>
      </c>
      <c r="B9060">
        <v>7123900</v>
      </c>
    </row>
    <row r="9061" spans="1:2" x14ac:dyDescent="0.4">
      <c r="A9061" s="4">
        <v>1006001</v>
      </c>
      <c r="B9061">
        <v>7124000</v>
      </c>
    </row>
    <row r="9062" spans="1:2" x14ac:dyDescent="0.4">
      <c r="A9062" s="4">
        <v>1006001</v>
      </c>
      <c r="B9062">
        <v>7124100</v>
      </c>
    </row>
    <row r="9063" spans="1:2" x14ac:dyDescent="0.4">
      <c r="A9063" s="4">
        <v>1006001</v>
      </c>
      <c r="B9063">
        <v>7124300</v>
      </c>
    </row>
    <row r="9064" spans="1:2" x14ac:dyDescent="0.4">
      <c r="A9064" s="4">
        <v>1006001</v>
      </c>
      <c r="B9064">
        <v>7124400</v>
      </c>
    </row>
    <row r="9065" spans="1:2" x14ac:dyDescent="0.4">
      <c r="A9065" s="4">
        <v>1006001</v>
      </c>
      <c r="B9065">
        <v>7124500</v>
      </c>
    </row>
    <row r="9066" spans="1:2" x14ac:dyDescent="0.4">
      <c r="A9066" s="4">
        <v>1006001</v>
      </c>
      <c r="B9066">
        <v>7124600</v>
      </c>
    </row>
    <row r="9067" spans="1:2" x14ac:dyDescent="0.4">
      <c r="A9067" s="4">
        <v>1006001</v>
      </c>
      <c r="B9067">
        <v>7124700</v>
      </c>
    </row>
    <row r="9068" spans="1:2" x14ac:dyDescent="0.4">
      <c r="A9068" s="4">
        <v>1006001</v>
      </c>
      <c r="B9068">
        <v>7126000</v>
      </c>
    </row>
    <row r="9069" spans="1:2" x14ac:dyDescent="0.4">
      <c r="A9069" s="4">
        <v>1006001</v>
      </c>
      <c r="B9069">
        <v>7150000</v>
      </c>
    </row>
    <row r="9070" spans="1:2" x14ac:dyDescent="0.4">
      <c r="A9070" s="4">
        <v>1006001</v>
      </c>
      <c r="B9070">
        <v>7160000</v>
      </c>
    </row>
    <row r="9071" spans="1:2" x14ac:dyDescent="0.4">
      <c r="A9071" s="4">
        <v>1006001</v>
      </c>
      <c r="B9071">
        <v>7220000</v>
      </c>
    </row>
    <row r="9072" spans="1:2" x14ac:dyDescent="0.4">
      <c r="A9072" s="4">
        <v>1006001</v>
      </c>
      <c r="B9072">
        <v>7230000</v>
      </c>
    </row>
    <row r="9073" spans="1:2" x14ac:dyDescent="0.4">
      <c r="A9073" s="4">
        <v>1006001</v>
      </c>
      <c r="B9073">
        <v>7240000</v>
      </c>
    </row>
    <row r="9074" spans="1:2" x14ac:dyDescent="0.4">
      <c r="A9074" s="4">
        <v>1006001</v>
      </c>
      <c r="B9074">
        <v>7260000</v>
      </c>
    </row>
    <row r="9075" spans="1:2" x14ac:dyDescent="0.4">
      <c r="A9075" s="4">
        <v>1006001</v>
      </c>
      <c r="B9075">
        <v>7260300</v>
      </c>
    </row>
    <row r="9076" spans="1:2" x14ac:dyDescent="0.4">
      <c r="A9076" s="4">
        <v>1006001</v>
      </c>
      <c r="B9076">
        <v>7260400</v>
      </c>
    </row>
    <row r="9077" spans="1:2" x14ac:dyDescent="0.4">
      <c r="A9077" s="4">
        <v>1006001</v>
      </c>
      <c r="B9077">
        <v>7270100</v>
      </c>
    </row>
    <row r="9078" spans="1:2" x14ac:dyDescent="0.4">
      <c r="A9078" s="4">
        <v>1006001</v>
      </c>
      <c r="B9078">
        <v>7280000</v>
      </c>
    </row>
    <row r="9079" spans="1:2" x14ac:dyDescent="0.4">
      <c r="A9079" s="4">
        <v>1006001</v>
      </c>
      <c r="B9079">
        <v>7290000</v>
      </c>
    </row>
    <row r="9080" spans="1:2" x14ac:dyDescent="0.4">
      <c r="A9080" s="4">
        <v>1006001</v>
      </c>
      <c r="B9080">
        <v>7310000</v>
      </c>
    </row>
    <row r="9081" spans="1:2" x14ac:dyDescent="0.4">
      <c r="A9081" s="4">
        <v>1006001</v>
      </c>
      <c r="B9081">
        <v>7330000</v>
      </c>
    </row>
    <row r="9082" spans="1:2" x14ac:dyDescent="0.4">
      <c r="A9082" s="4">
        <v>1006001</v>
      </c>
      <c r="B9082">
        <v>7330100</v>
      </c>
    </row>
    <row r="9083" spans="1:2" x14ac:dyDescent="0.4">
      <c r="A9083" s="4">
        <v>1006001</v>
      </c>
      <c r="B9083">
        <v>7330200</v>
      </c>
    </row>
    <row r="9084" spans="1:2" x14ac:dyDescent="0.4">
      <c r="A9084" s="4">
        <v>1006001</v>
      </c>
      <c r="B9084">
        <v>7330300</v>
      </c>
    </row>
    <row r="9085" spans="1:2" x14ac:dyDescent="0.4">
      <c r="A9085" s="4">
        <v>1006001</v>
      </c>
      <c r="B9085">
        <v>7330400</v>
      </c>
    </row>
    <row r="9086" spans="1:2" x14ac:dyDescent="0.4">
      <c r="A9086" s="4">
        <v>1006001</v>
      </c>
      <c r="B9086">
        <v>7330500</v>
      </c>
    </row>
    <row r="9087" spans="1:2" x14ac:dyDescent="0.4">
      <c r="A9087" s="4">
        <v>1006001</v>
      </c>
      <c r="B9087">
        <v>7330600</v>
      </c>
    </row>
    <row r="9088" spans="1:2" x14ac:dyDescent="0.4">
      <c r="A9088" s="4">
        <v>1006001</v>
      </c>
      <c r="B9088">
        <v>7330700</v>
      </c>
    </row>
    <row r="9089" spans="1:2" x14ac:dyDescent="0.4">
      <c r="A9089" s="4">
        <v>1006001</v>
      </c>
      <c r="B9089">
        <v>7330800</v>
      </c>
    </row>
    <row r="9090" spans="1:2" x14ac:dyDescent="0.4">
      <c r="A9090" s="4">
        <v>1006001</v>
      </c>
      <c r="B9090">
        <v>7330900</v>
      </c>
    </row>
    <row r="9091" spans="1:2" x14ac:dyDescent="0.4">
      <c r="A9091" s="4">
        <v>1006001</v>
      </c>
      <c r="B9091">
        <v>7331000</v>
      </c>
    </row>
    <row r="9092" spans="1:2" x14ac:dyDescent="0.4">
      <c r="A9092" s="4">
        <v>1006001</v>
      </c>
      <c r="B9092">
        <v>7331100</v>
      </c>
    </row>
    <row r="9093" spans="1:2" x14ac:dyDescent="0.4">
      <c r="A9093" s="4">
        <v>1006001</v>
      </c>
      <c r="B9093">
        <v>7331200</v>
      </c>
    </row>
    <row r="9094" spans="1:2" x14ac:dyDescent="0.4">
      <c r="A9094" s="4">
        <v>1006001</v>
      </c>
      <c r="B9094">
        <v>7331300</v>
      </c>
    </row>
    <row r="9095" spans="1:2" x14ac:dyDescent="0.4">
      <c r="A9095" s="4">
        <v>1006001</v>
      </c>
      <c r="B9095">
        <v>7331400</v>
      </c>
    </row>
    <row r="9096" spans="1:2" x14ac:dyDescent="0.4">
      <c r="A9096" s="4">
        <v>1006001</v>
      </c>
      <c r="B9096">
        <v>7331500</v>
      </c>
    </row>
    <row r="9097" spans="1:2" x14ac:dyDescent="0.4">
      <c r="A9097" s="4">
        <v>1006001</v>
      </c>
      <c r="B9097">
        <v>7331700</v>
      </c>
    </row>
    <row r="9098" spans="1:2" x14ac:dyDescent="0.4">
      <c r="A9098" s="4">
        <v>1006001</v>
      </c>
      <c r="B9098">
        <v>7331800</v>
      </c>
    </row>
    <row r="9099" spans="1:2" x14ac:dyDescent="0.4">
      <c r="A9099" s="4">
        <v>1006001</v>
      </c>
      <c r="B9099">
        <v>7331900</v>
      </c>
    </row>
    <row r="9100" spans="1:2" x14ac:dyDescent="0.4">
      <c r="A9100" s="4">
        <v>1006001</v>
      </c>
      <c r="B9100">
        <v>7332000</v>
      </c>
    </row>
    <row r="9101" spans="1:2" x14ac:dyDescent="0.4">
      <c r="A9101" s="4">
        <v>1006001</v>
      </c>
      <c r="B9101">
        <v>7332100</v>
      </c>
    </row>
    <row r="9102" spans="1:2" x14ac:dyDescent="0.4">
      <c r="A9102" s="4">
        <v>1006001</v>
      </c>
      <c r="B9102">
        <v>7332200</v>
      </c>
    </row>
    <row r="9103" spans="1:2" x14ac:dyDescent="0.4">
      <c r="A9103" s="4">
        <v>1006001</v>
      </c>
      <c r="B9103">
        <v>7332300</v>
      </c>
    </row>
    <row r="9104" spans="1:2" x14ac:dyDescent="0.4">
      <c r="A9104" s="4">
        <v>1006001</v>
      </c>
      <c r="B9104">
        <v>7332400</v>
      </c>
    </row>
    <row r="9105" spans="1:2" x14ac:dyDescent="0.4">
      <c r="A9105" s="4">
        <v>1006001</v>
      </c>
      <c r="B9105">
        <v>7340000</v>
      </c>
    </row>
    <row r="9106" spans="1:2" x14ac:dyDescent="0.4">
      <c r="A9106" s="4">
        <v>1006001</v>
      </c>
      <c r="B9106">
        <v>7340100</v>
      </c>
    </row>
    <row r="9107" spans="1:2" x14ac:dyDescent="0.4">
      <c r="A9107" s="4">
        <v>1006001</v>
      </c>
      <c r="B9107">
        <v>7340200</v>
      </c>
    </row>
    <row r="9108" spans="1:2" x14ac:dyDescent="0.4">
      <c r="A9108" s="4">
        <v>1006001</v>
      </c>
      <c r="B9108">
        <v>7340300</v>
      </c>
    </row>
    <row r="9109" spans="1:2" x14ac:dyDescent="0.4">
      <c r="A9109" s="4">
        <v>1006001</v>
      </c>
      <c r="B9109">
        <v>7340400</v>
      </c>
    </row>
    <row r="9110" spans="1:2" x14ac:dyDescent="0.4">
      <c r="A9110" s="4">
        <v>1006001</v>
      </c>
      <c r="B9110">
        <v>7340500</v>
      </c>
    </row>
    <row r="9111" spans="1:2" x14ac:dyDescent="0.4">
      <c r="A9111" s="4">
        <v>1006001</v>
      </c>
      <c r="B9111">
        <v>7340600</v>
      </c>
    </row>
    <row r="9112" spans="1:2" x14ac:dyDescent="0.4">
      <c r="A9112" s="4">
        <v>1006001</v>
      </c>
      <c r="B9112">
        <v>7340700</v>
      </c>
    </row>
    <row r="9113" spans="1:2" x14ac:dyDescent="0.4">
      <c r="A9113" s="4">
        <v>1006001</v>
      </c>
      <c r="B9113">
        <v>7340800</v>
      </c>
    </row>
    <row r="9114" spans="1:2" x14ac:dyDescent="0.4">
      <c r="A9114" s="4">
        <v>1006001</v>
      </c>
      <c r="B9114">
        <v>7340900</v>
      </c>
    </row>
    <row r="9115" spans="1:2" x14ac:dyDescent="0.4">
      <c r="A9115" s="4">
        <v>1006001</v>
      </c>
      <c r="B9115">
        <v>7341000</v>
      </c>
    </row>
    <row r="9116" spans="1:2" x14ac:dyDescent="0.4">
      <c r="A9116" s="4">
        <v>1006001</v>
      </c>
      <c r="B9116">
        <v>7341100</v>
      </c>
    </row>
    <row r="9117" spans="1:2" x14ac:dyDescent="0.4">
      <c r="A9117" s="4">
        <v>1006001</v>
      </c>
      <c r="B9117">
        <v>7341200</v>
      </c>
    </row>
    <row r="9118" spans="1:2" x14ac:dyDescent="0.4">
      <c r="A9118" s="4">
        <v>1006001</v>
      </c>
      <c r="B9118">
        <v>7341300</v>
      </c>
    </row>
    <row r="9119" spans="1:2" x14ac:dyDescent="0.4">
      <c r="A9119" s="4">
        <v>1006001</v>
      </c>
      <c r="B9119">
        <v>7341400</v>
      </c>
    </row>
    <row r="9120" spans="1:2" x14ac:dyDescent="0.4">
      <c r="A9120" s="4">
        <v>1006001</v>
      </c>
      <c r="B9120">
        <v>7341500</v>
      </c>
    </row>
    <row r="9121" spans="1:2" x14ac:dyDescent="0.4">
      <c r="A9121" s="4">
        <v>1006001</v>
      </c>
      <c r="B9121">
        <v>7341700</v>
      </c>
    </row>
    <row r="9122" spans="1:2" x14ac:dyDescent="0.4">
      <c r="A9122" s="4">
        <v>1006001</v>
      </c>
      <c r="B9122">
        <v>7341800</v>
      </c>
    </row>
    <row r="9123" spans="1:2" x14ac:dyDescent="0.4">
      <c r="A9123" s="4">
        <v>1006001</v>
      </c>
      <c r="B9123">
        <v>7341900</v>
      </c>
    </row>
    <row r="9124" spans="1:2" x14ac:dyDescent="0.4">
      <c r="A9124" s="4">
        <v>1006001</v>
      </c>
      <c r="B9124">
        <v>7342000</v>
      </c>
    </row>
    <row r="9125" spans="1:2" x14ac:dyDescent="0.4">
      <c r="A9125" s="4">
        <v>1006001</v>
      </c>
      <c r="B9125">
        <v>7342100</v>
      </c>
    </row>
    <row r="9126" spans="1:2" x14ac:dyDescent="0.4">
      <c r="A9126" s="4">
        <v>1006001</v>
      </c>
      <c r="B9126">
        <v>7342200</v>
      </c>
    </row>
    <row r="9127" spans="1:2" x14ac:dyDescent="0.4">
      <c r="A9127" s="4">
        <v>1006001</v>
      </c>
      <c r="B9127">
        <v>7342300</v>
      </c>
    </row>
    <row r="9128" spans="1:2" x14ac:dyDescent="0.4">
      <c r="A9128" s="4">
        <v>1006001</v>
      </c>
      <c r="B9128">
        <v>7342400</v>
      </c>
    </row>
    <row r="9129" spans="1:2" x14ac:dyDescent="0.4">
      <c r="A9129" s="4">
        <v>1006001</v>
      </c>
      <c r="B9129">
        <v>7350000</v>
      </c>
    </row>
    <row r="9130" spans="1:2" x14ac:dyDescent="0.4">
      <c r="A9130" s="4">
        <v>1006001</v>
      </c>
      <c r="B9130">
        <v>7350100</v>
      </c>
    </row>
    <row r="9131" spans="1:2" x14ac:dyDescent="0.4">
      <c r="A9131" s="4">
        <v>1006001</v>
      </c>
      <c r="B9131">
        <v>7350200</v>
      </c>
    </row>
    <row r="9132" spans="1:2" x14ac:dyDescent="0.4">
      <c r="A9132" s="4">
        <v>1006001</v>
      </c>
      <c r="B9132">
        <v>7350300</v>
      </c>
    </row>
    <row r="9133" spans="1:2" x14ac:dyDescent="0.4">
      <c r="A9133" s="4">
        <v>1006001</v>
      </c>
      <c r="B9133">
        <v>7350400</v>
      </c>
    </row>
    <row r="9134" spans="1:2" x14ac:dyDescent="0.4">
      <c r="A9134" s="4">
        <v>1006001</v>
      </c>
      <c r="B9134">
        <v>7350500</v>
      </c>
    </row>
    <row r="9135" spans="1:2" x14ac:dyDescent="0.4">
      <c r="A9135" s="4">
        <v>1006001</v>
      </c>
      <c r="B9135">
        <v>7350600</v>
      </c>
    </row>
    <row r="9136" spans="1:2" x14ac:dyDescent="0.4">
      <c r="A9136" s="4">
        <v>1006001</v>
      </c>
      <c r="B9136">
        <v>7350700</v>
      </c>
    </row>
    <row r="9137" spans="1:2" x14ac:dyDescent="0.4">
      <c r="A9137" s="4">
        <v>1006001</v>
      </c>
      <c r="B9137">
        <v>7350800</v>
      </c>
    </row>
    <row r="9138" spans="1:2" x14ac:dyDescent="0.4">
      <c r="A9138" s="4">
        <v>1006001</v>
      </c>
      <c r="B9138">
        <v>7350900</v>
      </c>
    </row>
    <row r="9139" spans="1:2" x14ac:dyDescent="0.4">
      <c r="A9139" s="4">
        <v>1006001</v>
      </c>
      <c r="B9139">
        <v>7351000</v>
      </c>
    </row>
    <row r="9140" spans="1:2" x14ac:dyDescent="0.4">
      <c r="A9140" s="4">
        <v>1006001</v>
      </c>
      <c r="B9140">
        <v>7351100</v>
      </c>
    </row>
    <row r="9141" spans="1:2" x14ac:dyDescent="0.4">
      <c r="A9141" s="4">
        <v>1006001</v>
      </c>
      <c r="B9141">
        <v>7351200</v>
      </c>
    </row>
    <row r="9142" spans="1:2" x14ac:dyDescent="0.4">
      <c r="A9142" s="4">
        <v>1006001</v>
      </c>
      <c r="B9142">
        <v>7351300</v>
      </c>
    </row>
    <row r="9143" spans="1:2" x14ac:dyDescent="0.4">
      <c r="A9143" s="4">
        <v>1006001</v>
      </c>
      <c r="B9143">
        <v>7351400</v>
      </c>
    </row>
    <row r="9144" spans="1:2" x14ac:dyDescent="0.4">
      <c r="A9144" s="4">
        <v>1006001</v>
      </c>
      <c r="B9144">
        <v>7351500</v>
      </c>
    </row>
    <row r="9145" spans="1:2" x14ac:dyDescent="0.4">
      <c r="A9145" s="4">
        <v>1006001</v>
      </c>
      <c r="B9145">
        <v>7351700</v>
      </c>
    </row>
    <row r="9146" spans="1:2" x14ac:dyDescent="0.4">
      <c r="A9146" s="4">
        <v>1006001</v>
      </c>
      <c r="B9146">
        <v>7351800</v>
      </c>
    </row>
    <row r="9147" spans="1:2" x14ac:dyDescent="0.4">
      <c r="A9147" s="4">
        <v>1006001</v>
      </c>
      <c r="B9147">
        <v>7351900</v>
      </c>
    </row>
    <row r="9148" spans="1:2" x14ac:dyDescent="0.4">
      <c r="A9148" s="4">
        <v>1006001</v>
      </c>
      <c r="B9148">
        <v>7352000</v>
      </c>
    </row>
    <row r="9149" spans="1:2" x14ac:dyDescent="0.4">
      <c r="A9149" s="4">
        <v>1006001</v>
      </c>
      <c r="B9149">
        <v>7352100</v>
      </c>
    </row>
    <row r="9150" spans="1:2" x14ac:dyDescent="0.4">
      <c r="A9150" s="4">
        <v>1006001</v>
      </c>
      <c r="B9150">
        <v>7352200</v>
      </c>
    </row>
    <row r="9151" spans="1:2" x14ac:dyDescent="0.4">
      <c r="A9151" s="4">
        <v>1006001</v>
      </c>
      <c r="B9151">
        <v>7352300</v>
      </c>
    </row>
    <row r="9152" spans="1:2" x14ac:dyDescent="0.4">
      <c r="A9152" s="4">
        <v>1006001</v>
      </c>
      <c r="B9152">
        <v>7352400</v>
      </c>
    </row>
    <row r="9153" spans="1:2" x14ac:dyDescent="0.4">
      <c r="A9153" s="4">
        <v>1006001</v>
      </c>
      <c r="B9153">
        <v>7360600</v>
      </c>
    </row>
    <row r="9154" spans="1:2" x14ac:dyDescent="0.4">
      <c r="A9154" s="4">
        <v>1006001</v>
      </c>
      <c r="B9154">
        <v>7360900</v>
      </c>
    </row>
    <row r="9155" spans="1:2" x14ac:dyDescent="0.4">
      <c r="A9155" s="4">
        <v>1006001</v>
      </c>
      <c r="B9155">
        <v>7361200</v>
      </c>
    </row>
    <row r="9156" spans="1:2" x14ac:dyDescent="0.4">
      <c r="A9156" s="4">
        <v>1006001</v>
      </c>
      <c r="B9156">
        <v>7361300</v>
      </c>
    </row>
    <row r="9157" spans="1:2" x14ac:dyDescent="0.4">
      <c r="A9157" s="4">
        <v>1006001</v>
      </c>
      <c r="B9157">
        <v>7362100</v>
      </c>
    </row>
    <row r="9158" spans="1:2" x14ac:dyDescent="0.4">
      <c r="A9158" s="4">
        <v>1006001</v>
      </c>
      <c r="B9158">
        <v>7370300</v>
      </c>
    </row>
    <row r="9159" spans="1:2" x14ac:dyDescent="0.4">
      <c r="A9159" s="4">
        <v>1006001</v>
      </c>
      <c r="B9159">
        <v>7370400</v>
      </c>
    </row>
    <row r="9160" spans="1:2" x14ac:dyDescent="0.4">
      <c r="A9160" s="4">
        <v>1006001</v>
      </c>
      <c r="B9160">
        <v>7370600</v>
      </c>
    </row>
    <row r="9161" spans="1:2" x14ac:dyDescent="0.4">
      <c r="A9161" s="4">
        <v>1006001</v>
      </c>
      <c r="B9161">
        <v>7370900</v>
      </c>
    </row>
    <row r="9162" spans="1:2" x14ac:dyDescent="0.4">
      <c r="A9162" s="4">
        <v>1006001</v>
      </c>
      <c r="B9162">
        <v>7371500</v>
      </c>
    </row>
    <row r="9163" spans="1:2" x14ac:dyDescent="0.4">
      <c r="A9163" s="4">
        <v>1006001</v>
      </c>
      <c r="B9163">
        <v>7036200</v>
      </c>
    </row>
    <row r="9164" spans="1:2" x14ac:dyDescent="0.4">
      <c r="A9164" s="4">
        <v>1006001</v>
      </c>
      <c r="B9164">
        <v>7036300</v>
      </c>
    </row>
    <row r="9165" spans="1:2" x14ac:dyDescent="0.4">
      <c r="A9165" s="4">
        <v>1006001</v>
      </c>
      <c r="B9165">
        <v>7036400</v>
      </c>
    </row>
    <row r="9166" spans="1:2" x14ac:dyDescent="0.4">
      <c r="A9166" s="4">
        <v>1006001</v>
      </c>
      <c r="B9166">
        <v>7036500</v>
      </c>
    </row>
    <row r="9167" spans="1:2" x14ac:dyDescent="0.4">
      <c r="A9167" s="4">
        <v>1006001</v>
      </c>
      <c r="B9167">
        <v>7036800</v>
      </c>
    </row>
    <row r="9168" spans="1:2" x14ac:dyDescent="0.4">
      <c r="A9168" s="4">
        <v>1006001</v>
      </c>
      <c r="B9168">
        <v>7036900</v>
      </c>
    </row>
    <row r="9169" spans="1:2" x14ac:dyDescent="0.4">
      <c r="A9169" s="4">
        <v>1006001</v>
      </c>
      <c r="B9169">
        <v>7037000</v>
      </c>
    </row>
    <row r="9170" spans="1:2" x14ac:dyDescent="0.4">
      <c r="A9170" s="4">
        <v>1006001</v>
      </c>
      <c r="B9170">
        <v>7037300</v>
      </c>
    </row>
    <row r="9171" spans="1:2" x14ac:dyDescent="0.4">
      <c r="A9171" s="4">
        <v>1006001</v>
      </c>
      <c r="B9171">
        <v>6630000</v>
      </c>
    </row>
    <row r="9172" spans="1:2" x14ac:dyDescent="0.4">
      <c r="A9172" s="4">
        <v>1006001</v>
      </c>
      <c r="B9172">
        <v>6630100</v>
      </c>
    </row>
    <row r="9173" spans="1:2" x14ac:dyDescent="0.4">
      <c r="A9173" s="4">
        <v>1006001</v>
      </c>
      <c r="B9173">
        <v>6630200</v>
      </c>
    </row>
    <row r="9174" spans="1:2" x14ac:dyDescent="0.4">
      <c r="A9174" s="4">
        <v>1006001</v>
      </c>
      <c r="B9174">
        <v>6630300</v>
      </c>
    </row>
    <row r="9175" spans="1:2" x14ac:dyDescent="0.4">
      <c r="A9175" s="4">
        <v>1006001</v>
      </c>
      <c r="B9175">
        <v>6630400</v>
      </c>
    </row>
    <row r="9176" spans="1:2" x14ac:dyDescent="0.4">
      <c r="A9176" s="4">
        <v>1006001</v>
      </c>
      <c r="B9176">
        <v>6630500</v>
      </c>
    </row>
    <row r="9177" spans="1:2" x14ac:dyDescent="0.4">
      <c r="A9177" s="4">
        <v>1006001</v>
      </c>
      <c r="B9177">
        <v>6630600</v>
      </c>
    </row>
    <row r="9178" spans="1:2" x14ac:dyDescent="0.4">
      <c r="A9178" s="4">
        <v>1006001</v>
      </c>
      <c r="B9178">
        <v>6630700</v>
      </c>
    </row>
    <row r="9179" spans="1:2" x14ac:dyDescent="0.4">
      <c r="A9179" s="4">
        <v>1006001</v>
      </c>
      <c r="B9179">
        <v>6630800</v>
      </c>
    </row>
    <row r="9180" spans="1:2" x14ac:dyDescent="0.4">
      <c r="A9180" s="4">
        <v>1006001</v>
      </c>
      <c r="B9180">
        <v>6630900</v>
      </c>
    </row>
    <row r="9181" spans="1:2" x14ac:dyDescent="0.4">
      <c r="A9181" s="4">
        <v>1006001</v>
      </c>
      <c r="B9181">
        <v>6631000</v>
      </c>
    </row>
    <row r="9182" spans="1:2" x14ac:dyDescent="0.4">
      <c r="A9182" s="4">
        <v>1006001</v>
      </c>
      <c r="B9182">
        <v>6631100</v>
      </c>
    </row>
    <row r="9183" spans="1:2" x14ac:dyDescent="0.4">
      <c r="A9183" s="4">
        <v>1006001</v>
      </c>
      <c r="B9183">
        <v>6631200</v>
      </c>
    </row>
    <row r="9184" spans="1:2" x14ac:dyDescent="0.4">
      <c r="A9184" s="4">
        <v>1006001</v>
      </c>
      <c r="B9184">
        <v>6631300</v>
      </c>
    </row>
    <row r="9185" spans="1:2" x14ac:dyDescent="0.4">
      <c r="A9185" s="4">
        <v>1006001</v>
      </c>
      <c r="B9185">
        <v>6631400</v>
      </c>
    </row>
    <row r="9186" spans="1:2" x14ac:dyDescent="0.4">
      <c r="A9186" s="4">
        <v>1006001</v>
      </c>
      <c r="B9186">
        <v>6631500</v>
      </c>
    </row>
    <row r="9187" spans="1:2" x14ac:dyDescent="0.4">
      <c r="A9187" s="4">
        <v>1006001</v>
      </c>
      <c r="B9187">
        <v>6631600</v>
      </c>
    </row>
    <row r="9188" spans="1:2" x14ac:dyDescent="0.4">
      <c r="A9188" s="4">
        <v>1006001</v>
      </c>
      <c r="B9188">
        <v>6631700</v>
      </c>
    </row>
    <row r="9189" spans="1:2" x14ac:dyDescent="0.4">
      <c r="A9189" s="4">
        <v>1006001</v>
      </c>
      <c r="B9189">
        <v>6631800</v>
      </c>
    </row>
    <row r="9190" spans="1:2" x14ac:dyDescent="0.4">
      <c r="A9190" s="4">
        <v>1006001</v>
      </c>
      <c r="B9190">
        <v>6631900</v>
      </c>
    </row>
    <row r="9191" spans="1:2" x14ac:dyDescent="0.4">
      <c r="A9191" s="4">
        <v>1006001</v>
      </c>
      <c r="B9191">
        <v>6632000</v>
      </c>
    </row>
    <row r="9192" spans="1:2" x14ac:dyDescent="0.4">
      <c r="A9192" s="4">
        <v>1006001</v>
      </c>
      <c r="B9192">
        <v>6632100</v>
      </c>
    </row>
    <row r="9193" spans="1:2" x14ac:dyDescent="0.4">
      <c r="A9193" s="4">
        <v>1006001</v>
      </c>
      <c r="B9193">
        <v>6632200</v>
      </c>
    </row>
    <row r="9194" spans="1:2" x14ac:dyDescent="0.4">
      <c r="A9194" s="4">
        <v>1006001</v>
      </c>
      <c r="B9194">
        <v>6632300</v>
      </c>
    </row>
    <row r="9195" spans="1:2" x14ac:dyDescent="0.4">
      <c r="A9195" s="4">
        <v>1006001</v>
      </c>
      <c r="B9195">
        <v>6632400</v>
      </c>
    </row>
    <row r="9196" spans="1:2" x14ac:dyDescent="0.4">
      <c r="A9196" s="4">
        <v>1006001</v>
      </c>
      <c r="B9196">
        <v>6632500</v>
      </c>
    </row>
    <row r="9197" spans="1:2" x14ac:dyDescent="0.4">
      <c r="A9197" s="4">
        <v>1006001</v>
      </c>
      <c r="B9197">
        <v>6632600</v>
      </c>
    </row>
    <row r="9198" spans="1:2" x14ac:dyDescent="0.4">
      <c r="A9198" s="4">
        <v>1006001</v>
      </c>
      <c r="B9198">
        <v>6632700</v>
      </c>
    </row>
    <row r="9199" spans="1:2" x14ac:dyDescent="0.4">
      <c r="A9199" s="4">
        <v>1006001</v>
      </c>
      <c r="B9199">
        <v>6632800</v>
      </c>
    </row>
    <row r="9200" spans="1:2" x14ac:dyDescent="0.4">
      <c r="A9200" s="4">
        <v>1006001</v>
      </c>
      <c r="B9200">
        <v>6632900</v>
      </c>
    </row>
    <row r="9201" spans="1:2" x14ac:dyDescent="0.4">
      <c r="A9201" s="4">
        <v>1006001</v>
      </c>
      <c r="B9201">
        <v>6633000</v>
      </c>
    </row>
    <row r="9202" spans="1:2" x14ac:dyDescent="0.4">
      <c r="A9202" s="4">
        <v>1006001</v>
      </c>
      <c r="B9202">
        <v>6633100</v>
      </c>
    </row>
    <row r="9203" spans="1:2" x14ac:dyDescent="0.4">
      <c r="A9203" s="4">
        <v>1006001</v>
      </c>
      <c r="B9203">
        <v>6633200</v>
      </c>
    </row>
    <row r="9204" spans="1:2" x14ac:dyDescent="0.4">
      <c r="A9204" s="4">
        <v>1006001</v>
      </c>
      <c r="B9204">
        <v>6647200</v>
      </c>
    </row>
    <row r="9205" spans="1:2" x14ac:dyDescent="0.4">
      <c r="A9205" s="4">
        <v>1006001</v>
      </c>
      <c r="B9205">
        <v>6647300</v>
      </c>
    </row>
    <row r="9206" spans="1:2" x14ac:dyDescent="0.4">
      <c r="A9206" s="4">
        <v>1006001</v>
      </c>
      <c r="B9206">
        <v>6647400</v>
      </c>
    </row>
    <row r="9207" spans="1:2" x14ac:dyDescent="0.4">
      <c r="A9207" s="4">
        <v>1006001</v>
      </c>
      <c r="B9207">
        <v>6647500</v>
      </c>
    </row>
    <row r="9208" spans="1:2" x14ac:dyDescent="0.4">
      <c r="A9208" s="4">
        <v>1006001</v>
      </c>
      <c r="B9208">
        <v>6640000</v>
      </c>
    </row>
    <row r="9209" spans="1:2" x14ac:dyDescent="0.4">
      <c r="A9209" s="4">
        <v>1006001</v>
      </c>
      <c r="B9209">
        <v>6640100</v>
      </c>
    </row>
    <row r="9210" spans="1:2" x14ac:dyDescent="0.4">
      <c r="A9210" s="4">
        <v>1006001</v>
      </c>
      <c r="B9210">
        <v>6641000</v>
      </c>
    </row>
    <row r="9211" spans="1:2" x14ac:dyDescent="0.4">
      <c r="A9211" s="4">
        <v>1006001</v>
      </c>
      <c r="B9211">
        <v>6641100</v>
      </c>
    </row>
    <row r="9212" spans="1:2" x14ac:dyDescent="0.4">
      <c r="A9212" s="4">
        <v>1006001</v>
      </c>
      <c r="B9212">
        <v>6642000</v>
      </c>
    </row>
    <row r="9213" spans="1:2" x14ac:dyDescent="0.4">
      <c r="A9213" s="4">
        <v>1006001</v>
      </c>
      <c r="B9213">
        <v>6642100</v>
      </c>
    </row>
    <row r="9214" spans="1:2" x14ac:dyDescent="0.4">
      <c r="A9214" s="4">
        <v>1006001</v>
      </c>
      <c r="B9214">
        <v>6643000</v>
      </c>
    </row>
    <row r="9215" spans="1:2" x14ac:dyDescent="0.4">
      <c r="A9215" s="4">
        <v>1006001</v>
      </c>
      <c r="B9215">
        <v>6643100</v>
      </c>
    </row>
    <row r="9216" spans="1:2" x14ac:dyDescent="0.4">
      <c r="A9216" s="4">
        <v>1006001</v>
      </c>
      <c r="B9216">
        <v>6644000</v>
      </c>
    </row>
    <row r="9217" spans="1:2" x14ac:dyDescent="0.4">
      <c r="A9217" s="4">
        <v>1006001</v>
      </c>
      <c r="B9217">
        <v>6644100</v>
      </c>
    </row>
    <row r="9218" spans="1:2" x14ac:dyDescent="0.4">
      <c r="A9218" s="4">
        <v>1006001</v>
      </c>
      <c r="B9218">
        <v>6645000</v>
      </c>
    </row>
    <row r="9219" spans="1:2" x14ac:dyDescent="0.4">
      <c r="A9219" s="4">
        <v>1006001</v>
      </c>
      <c r="B9219">
        <v>6645100</v>
      </c>
    </row>
    <row r="9220" spans="1:2" x14ac:dyDescent="0.4">
      <c r="A9220" s="4">
        <v>1006001</v>
      </c>
      <c r="B9220">
        <v>6646000</v>
      </c>
    </row>
    <row r="9221" spans="1:2" x14ac:dyDescent="0.4">
      <c r="A9221" s="4">
        <v>1006001</v>
      </c>
      <c r="B9221">
        <v>6646100</v>
      </c>
    </row>
    <row r="9222" spans="1:2" x14ac:dyDescent="0.4">
      <c r="A9222" s="4">
        <v>1006001</v>
      </c>
      <c r="B9222">
        <v>6647000</v>
      </c>
    </row>
    <row r="9223" spans="1:2" x14ac:dyDescent="0.4">
      <c r="A9223" s="4">
        <v>1006001</v>
      </c>
      <c r="B9223">
        <v>6647100</v>
      </c>
    </row>
    <row r="9224" spans="1:2" x14ac:dyDescent="0.4">
      <c r="A9224" s="4">
        <v>1006002</v>
      </c>
      <c r="B9224">
        <v>7000000</v>
      </c>
    </row>
    <row r="9225" spans="1:2" x14ac:dyDescent="0.4">
      <c r="A9225" s="4">
        <v>1006002</v>
      </c>
      <c r="B9225">
        <v>7000001</v>
      </c>
    </row>
    <row r="9226" spans="1:2" x14ac:dyDescent="0.4">
      <c r="A9226" s="4">
        <v>1006002</v>
      </c>
      <c r="B9226">
        <v>7000002</v>
      </c>
    </row>
    <row r="9227" spans="1:2" x14ac:dyDescent="0.4">
      <c r="A9227" s="4">
        <v>1006002</v>
      </c>
      <c r="B9227">
        <v>7000100</v>
      </c>
    </row>
    <row r="9228" spans="1:2" x14ac:dyDescent="0.4">
      <c r="A9228" s="4">
        <v>1006002</v>
      </c>
      <c r="B9228">
        <v>7000101</v>
      </c>
    </row>
    <row r="9229" spans="1:2" x14ac:dyDescent="0.4">
      <c r="A9229" s="4">
        <v>1006002</v>
      </c>
      <c r="B9229">
        <v>7000102</v>
      </c>
    </row>
    <row r="9230" spans="1:2" x14ac:dyDescent="0.4">
      <c r="A9230" s="4">
        <v>1006002</v>
      </c>
      <c r="B9230">
        <v>7000200</v>
      </c>
    </row>
    <row r="9231" spans="1:2" x14ac:dyDescent="0.4">
      <c r="A9231" s="4">
        <v>1006002</v>
      </c>
      <c r="B9231">
        <v>7000201</v>
      </c>
    </row>
    <row r="9232" spans="1:2" x14ac:dyDescent="0.4">
      <c r="A9232" s="4">
        <v>1006002</v>
      </c>
      <c r="B9232">
        <v>7000202</v>
      </c>
    </row>
    <row r="9233" spans="1:2" x14ac:dyDescent="0.4">
      <c r="A9233" s="4">
        <v>1006002</v>
      </c>
      <c r="B9233">
        <v>7000300</v>
      </c>
    </row>
    <row r="9234" spans="1:2" x14ac:dyDescent="0.4">
      <c r="A9234" s="4">
        <v>1006002</v>
      </c>
      <c r="B9234">
        <v>7000301</v>
      </c>
    </row>
    <row r="9235" spans="1:2" x14ac:dyDescent="0.4">
      <c r="A9235" s="4">
        <v>1006002</v>
      </c>
      <c r="B9235">
        <v>7000302</v>
      </c>
    </row>
    <row r="9236" spans="1:2" x14ac:dyDescent="0.4">
      <c r="A9236" s="4">
        <v>1006002</v>
      </c>
      <c r="B9236">
        <v>7000400</v>
      </c>
    </row>
    <row r="9237" spans="1:2" x14ac:dyDescent="0.4">
      <c r="A9237" s="4">
        <v>1006002</v>
      </c>
      <c r="B9237">
        <v>7000401</v>
      </c>
    </row>
    <row r="9238" spans="1:2" x14ac:dyDescent="0.4">
      <c r="A9238" s="4">
        <v>1006002</v>
      </c>
      <c r="B9238">
        <v>7000402</v>
      </c>
    </row>
    <row r="9239" spans="1:2" x14ac:dyDescent="0.4">
      <c r="A9239" s="4">
        <v>1006002</v>
      </c>
      <c r="B9239">
        <v>7000500</v>
      </c>
    </row>
    <row r="9240" spans="1:2" x14ac:dyDescent="0.4">
      <c r="A9240" s="4">
        <v>1006002</v>
      </c>
      <c r="B9240">
        <v>7000501</v>
      </c>
    </row>
    <row r="9241" spans="1:2" x14ac:dyDescent="0.4">
      <c r="A9241" s="4">
        <v>1006002</v>
      </c>
      <c r="B9241">
        <v>7000502</v>
      </c>
    </row>
    <row r="9242" spans="1:2" x14ac:dyDescent="0.4">
      <c r="A9242" s="4">
        <v>1006002</v>
      </c>
      <c r="B9242">
        <v>7000600</v>
      </c>
    </row>
    <row r="9243" spans="1:2" x14ac:dyDescent="0.4">
      <c r="A9243" s="4">
        <v>1006002</v>
      </c>
      <c r="B9243">
        <v>7000601</v>
      </c>
    </row>
    <row r="9244" spans="1:2" x14ac:dyDescent="0.4">
      <c r="A9244" s="4">
        <v>1006002</v>
      </c>
      <c r="B9244">
        <v>7000602</v>
      </c>
    </row>
    <row r="9245" spans="1:2" x14ac:dyDescent="0.4">
      <c r="A9245" s="4">
        <v>1006002</v>
      </c>
      <c r="B9245">
        <v>7000700</v>
      </c>
    </row>
    <row r="9246" spans="1:2" x14ac:dyDescent="0.4">
      <c r="A9246" s="4">
        <v>1006002</v>
      </c>
      <c r="B9246">
        <v>7000701</v>
      </c>
    </row>
    <row r="9247" spans="1:2" x14ac:dyDescent="0.4">
      <c r="A9247" s="4">
        <v>1006002</v>
      </c>
      <c r="B9247">
        <v>7000702</v>
      </c>
    </row>
    <row r="9248" spans="1:2" x14ac:dyDescent="0.4">
      <c r="A9248" s="4">
        <v>1006002</v>
      </c>
      <c r="B9248">
        <v>7000800</v>
      </c>
    </row>
    <row r="9249" spans="1:2" x14ac:dyDescent="0.4">
      <c r="A9249" s="4">
        <v>1006002</v>
      </c>
      <c r="B9249">
        <v>7000801</v>
      </c>
    </row>
    <row r="9250" spans="1:2" x14ac:dyDescent="0.4">
      <c r="A9250" s="4">
        <v>1006002</v>
      </c>
      <c r="B9250">
        <v>7000802</v>
      </c>
    </row>
    <row r="9251" spans="1:2" x14ac:dyDescent="0.4">
      <c r="A9251" s="4">
        <v>1006002</v>
      </c>
      <c r="B9251">
        <v>7000900</v>
      </c>
    </row>
    <row r="9252" spans="1:2" x14ac:dyDescent="0.4">
      <c r="A9252" s="4">
        <v>1006002</v>
      </c>
      <c r="B9252">
        <v>7000901</v>
      </c>
    </row>
    <row r="9253" spans="1:2" x14ac:dyDescent="0.4">
      <c r="A9253" s="4">
        <v>1006002</v>
      </c>
      <c r="B9253">
        <v>7000902</v>
      </c>
    </row>
    <row r="9254" spans="1:2" x14ac:dyDescent="0.4">
      <c r="A9254" s="4">
        <v>1006002</v>
      </c>
      <c r="B9254">
        <v>7001000</v>
      </c>
    </row>
    <row r="9255" spans="1:2" x14ac:dyDescent="0.4">
      <c r="A9255" s="4">
        <v>1006002</v>
      </c>
      <c r="B9255">
        <v>7001001</v>
      </c>
    </row>
    <row r="9256" spans="1:2" x14ac:dyDescent="0.4">
      <c r="A9256" s="4">
        <v>1006002</v>
      </c>
      <c r="B9256">
        <v>7001002</v>
      </c>
    </row>
    <row r="9257" spans="1:2" x14ac:dyDescent="0.4">
      <c r="A9257" s="4">
        <v>1006002</v>
      </c>
      <c r="B9257">
        <v>7001400</v>
      </c>
    </row>
    <row r="9258" spans="1:2" x14ac:dyDescent="0.4">
      <c r="A9258" s="4">
        <v>1006002</v>
      </c>
      <c r="B9258">
        <v>7001401</v>
      </c>
    </row>
    <row r="9259" spans="1:2" x14ac:dyDescent="0.4">
      <c r="A9259" s="4">
        <v>1006002</v>
      </c>
      <c r="B9259">
        <v>7001402</v>
      </c>
    </row>
    <row r="9260" spans="1:2" x14ac:dyDescent="0.4">
      <c r="A9260" s="4">
        <v>1006002</v>
      </c>
      <c r="B9260">
        <v>7001500</v>
      </c>
    </row>
    <row r="9261" spans="1:2" x14ac:dyDescent="0.4">
      <c r="A9261" s="4">
        <v>1006002</v>
      </c>
      <c r="B9261">
        <v>7001501</v>
      </c>
    </row>
    <row r="9262" spans="1:2" x14ac:dyDescent="0.4">
      <c r="A9262" s="4">
        <v>1006002</v>
      </c>
      <c r="B9262">
        <v>7001502</v>
      </c>
    </row>
    <row r="9263" spans="1:2" x14ac:dyDescent="0.4">
      <c r="A9263" s="4">
        <v>1006002</v>
      </c>
      <c r="B9263">
        <v>7001600</v>
      </c>
    </row>
    <row r="9264" spans="1:2" x14ac:dyDescent="0.4">
      <c r="A9264" s="4">
        <v>1006002</v>
      </c>
      <c r="B9264">
        <v>7001601</v>
      </c>
    </row>
    <row r="9265" spans="1:2" x14ac:dyDescent="0.4">
      <c r="A9265" s="4">
        <v>1006002</v>
      </c>
      <c r="B9265">
        <v>7001602</v>
      </c>
    </row>
    <row r="9266" spans="1:2" x14ac:dyDescent="0.4">
      <c r="A9266" s="4">
        <v>1006002</v>
      </c>
      <c r="B9266">
        <v>7001700</v>
      </c>
    </row>
    <row r="9267" spans="1:2" x14ac:dyDescent="0.4">
      <c r="A9267" s="4">
        <v>1006002</v>
      </c>
      <c r="B9267">
        <v>7001701</v>
      </c>
    </row>
    <row r="9268" spans="1:2" x14ac:dyDescent="0.4">
      <c r="A9268" s="4">
        <v>1006002</v>
      </c>
      <c r="B9268">
        <v>7001702</v>
      </c>
    </row>
    <row r="9269" spans="1:2" x14ac:dyDescent="0.4">
      <c r="A9269" s="4">
        <v>1006002</v>
      </c>
      <c r="B9269">
        <v>7001800</v>
      </c>
    </row>
    <row r="9270" spans="1:2" x14ac:dyDescent="0.4">
      <c r="A9270" s="4">
        <v>1006002</v>
      </c>
      <c r="B9270">
        <v>7001801</v>
      </c>
    </row>
    <row r="9271" spans="1:2" x14ac:dyDescent="0.4">
      <c r="A9271" s="4">
        <v>1006002</v>
      </c>
      <c r="B9271">
        <v>7001802</v>
      </c>
    </row>
    <row r="9272" spans="1:2" x14ac:dyDescent="0.4">
      <c r="A9272" s="4">
        <v>1006002</v>
      </c>
      <c r="B9272">
        <v>7002600</v>
      </c>
    </row>
    <row r="9273" spans="1:2" x14ac:dyDescent="0.4">
      <c r="A9273" s="4">
        <v>1006002</v>
      </c>
      <c r="B9273">
        <v>7002700</v>
      </c>
    </row>
    <row r="9274" spans="1:2" x14ac:dyDescent="0.4">
      <c r="A9274" s="4">
        <v>1006002</v>
      </c>
      <c r="B9274">
        <v>7002800</v>
      </c>
    </row>
    <row r="9275" spans="1:2" x14ac:dyDescent="0.4">
      <c r="A9275" s="4">
        <v>1006002</v>
      </c>
      <c r="B9275">
        <v>7002900</v>
      </c>
    </row>
    <row r="9276" spans="1:2" x14ac:dyDescent="0.4">
      <c r="A9276" s="4">
        <v>1006002</v>
      </c>
      <c r="B9276">
        <v>7003000</v>
      </c>
    </row>
    <row r="9277" spans="1:2" x14ac:dyDescent="0.4">
      <c r="A9277" s="4">
        <v>1006002</v>
      </c>
      <c r="B9277">
        <v>7003100</v>
      </c>
    </row>
    <row r="9278" spans="1:2" x14ac:dyDescent="0.4">
      <c r="A9278" s="4">
        <v>1006002</v>
      </c>
      <c r="B9278">
        <v>7003200</v>
      </c>
    </row>
    <row r="9279" spans="1:2" x14ac:dyDescent="0.4">
      <c r="A9279" s="4">
        <v>1006002</v>
      </c>
      <c r="B9279">
        <v>7003300</v>
      </c>
    </row>
    <row r="9280" spans="1:2" x14ac:dyDescent="0.4">
      <c r="A9280" s="4">
        <v>1006002</v>
      </c>
      <c r="B9280">
        <v>7003400</v>
      </c>
    </row>
    <row r="9281" spans="1:2" x14ac:dyDescent="0.4">
      <c r="A9281" s="4">
        <v>1006002</v>
      </c>
      <c r="B9281">
        <v>7003500</v>
      </c>
    </row>
    <row r="9282" spans="1:2" x14ac:dyDescent="0.4">
      <c r="A9282" s="4">
        <v>1006002</v>
      </c>
      <c r="B9282">
        <v>7003600</v>
      </c>
    </row>
    <row r="9283" spans="1:2" x14ac:dyDescent="0.4">
      <c r="A9283" s="4">
        <v>1006002</v>
      </c>
      <c r="B9283">
        <v>7005600</v>
      </c>
    </row>
    <row r="9284" spans="1:2" x14ac:dyDescent="0.4">
      <c r="A9284" s="4">
        <v>1006002</v>
      </c>
      <c r="B9284">
        <v>7006000</v>
      </c>
    </row>
    <row r="9285" spans="1:2" x14ac:dyDescent="0.4">
      <c r="A9285" s="4">
        <v>1006002</v>
      </c>
      <c r="B9285">
        <v>7006100</v>
      </c>
    </row>
    <row r="9286" spans="1:2" x14ac:dyDescent="0.4">
      <c r="A9286" s="4">
        <v>1006002</v>
      </c>
      <c r="B9286">
        <v>7010200</v>
      </c>
    </row>
    <row r="9287" spans="1:2" x14ac:dyDescent="0.4">
      <c r="A9287" s="4">
        <v>1006002</v>
      </c>
      <c r="B9287">
        <v>7010500</v>
      </c>
    </row>
    <row r="9288" spans="1:2" x14ac:dyDescent="0.4">
      <c r="A9288" s="4">
        <v>1006002</v>
      </c>
      <c r="B9288">
        <v>7010700</v>
      </c>
    </row>
    <row r="9289" spans="1:2" x14ac:dyDescent="0.4">
      <c r="A9289" s="4">
        <v>1006002</v>
      </c>
      <c r="B9289">
        <v>7010900</v>
      </c>
    </row>
    <row r="9290" spans="1:2" x14ac:dyDescent="0.4">
      <c r="A9290" s="4">
        <v>1006002</v>
      </c>
      <c r="B9290">
        <v>7011000</v>
      </c>
    </row>
    <row r="9291" spans="1:2" x14ac:dyDescent="0.4">
      <c r="A9291" s="4">
        <v>1006002</v>
      </c>
      <c r="B9291">
        <v>7011200</v>
      </c>
    </row>
    <row r="9292" spans="1:2" x14ac:dyDescent="0.4">
      <c r="A9292" s="4">
        <v>1006002</v>
      </c>
      <c r="B9292">
        <v>7011600</v>
      </c>
    </row>
    <row r="9293" spans="1:2" x14ac:dyDescent="0.4">
      <c r="A9293" s="4">
        <v>1006002</v>
      </c>
      <c r="B9293">
        <v>7011700</v>
      </c>
    </row>
    <row r="9294" spans="1:2" x14ac:dyDescent="0.4">
      <c r="A9294" s="4">
        <v>1006002</v>
      </c>
      <c r="B9294">
        <v>7012000</v>
      </c>
    </row>
    <row r="9295" spans="1:2" x14ac:dyDescent="0.4">
      <c r="A9295" s="4">
        <v>1006002</v>
      </c>
      <c r="B9295">
        <v>7012200</v>
      </c>
    </row>
    <row r="9296" spans="1:2" x14ac:dyDescent="0.4">
      <c r="A9296" s="4">
        <v>1006002</v>
      </c>
      <c r="B9296">
        <v>7012300</v>
      </c>
    </row>
    <row r="9297" spans="1:2" x14ac:dyDescent="0.4">
      <c r="A9297" s="4">
        <v>1006002</v>
      </c>
      <c r="B9297">
        <v>7020000</v>
      </c>
    </row>
    <row r="9298" spans="1:2" x14ac:dyDescent="0.4">
      <c r="A9298" s="4">
        <v>1006002</v>
      </c>
      <c r="B9298">
        <v>7030000</v>
      </c>
    </row>
    <row r="9299" spans="1:2" x14ac:dyDescent="0.4">
      <c r="A9299" s="4">
        <v>1006002</v>
      </c>
      <c r="B9299">
        <v>7030200</v>
      </c>
    </row>
    <row r="9300" spans="1:2" x14ac:dyDescent="0.4">
      <c r="A9300" s="4">
        <v>1006002</v>
      </c>
      <c r="B9300">
        <v>7030600</v>
      </c>
    </row>
    <row r="9301" spans="1:2" x14ac:dyDescent="0.4">
      <c r="A9301" s="4">
        <v>1006002</v>
      </c>
      <c r="B9301">
        <v>7030700</v>
      </c>
    </row>
    <row r="9302" spans="1:2" x14ac:dyDescent="0.4">
      <c r="A9302" s="4">
        <v>1006002</v>
      </c>
      <c r="B9302">
        <v>7030800</v>
      </c>
    </row>
    <row r="9303" spans="1:2" x14ac:dyDescent="0.4">
      <c r="A9303" s="4">
        <v>1006002</v>
      </c>
      <c r="B9303">
        <v>7030900</v>
      </c>
    </row>
    <row r="9304" spans="1:2" x14ac:dyDescent="0.4">
      <c r="A9304" s="4">
        <v>1006002</v>
      </c>
      <c r="B9304">
        <v>7031200</v>
      </c>
    </row>
    <row r="9305" spans="1:2" x14ac:dyDescent="0.4">
      <c r="A9305" s="4">
        <v>1006002</v>
      </c>
      <c r="B9305">
        <v>7031300</v>
      </c>
    </row>
    <row r="9306" spans="1:2" x14ac:dyDescent="0.4">
      <c r="A9306" s="4">
        <v>1006002</v>
      </c>
      <c r="B9306">
        <v>7031800</v>
      </c>
    </row>
    <row r="9307" spans="1:2" x14ac:dyDescent="0.4">
      <c r="A9307" s="4">
        <v>1006002</v>
      </c>
      <c r="B9307">
        <v>7031900</v>
      </c>
    </row>
    <row r="9308" spans="1:2" x14ac:dyDescent="0.4">
      <c r="A9308" s="4">
        <v>1006002</v>
      </c>
      <c r="B9308">
        <v>7032200</v>
      </c>
    </row>
    <row r="9309" spans="1:2" x14ac:dyDescent="0.4">
      <c r="A9309" s="4">
        <v>1006002</v>
      </c>
      <c r="B9309">
        <v>7032400</v>
      </c>
    </row>
    <row r="9310" spans="1:2" x14ac:dyDescent="0.4">
      <c r="A9310" s="4">
        <v>1006002</v>
      </c>
      <c r="B9310">
        <v>7032700</v>
      </c>
    </row>
    <row r="9311" spans="1:2" x14ac:dyDescent="0.4">
      <c r="A9311" s="4">
        <v>1006002</v>
      </c>
      <c r="B9311">
        <v>7032800</v>
      </c>
    </row>
    <row r="9312" spans="1:2" x14ac:dyDescent="0.4">
      <c r="A9312" s="4">
        <v>1006002</v>
      </c>
      <c r="B9312">
        <v>7032900</v>
      </c>
    </row>
    <row r="9313" spans="1:2" x14ac:dyDescent="0.4">
      <c r="A9313" s="4">
        <v>1006002</v>
      </c>
      <c r="B9313">
        <v>7033200</v>
      </c>
    </row>
    <row r="9314" spans="1:2" x14ac:dyDescent="0.4">
      <c r="A9314" s="4">
        <v>1006002</v>
      </c>
      <c r="B9314">
        <v>7033400</v>
      </c>
    </row>
    <row r="9315" spans="1:2" x14ac:dyDescent="0.4">
      <c r="A9315" s="4">
        <v>1006002</v>
      </c>
      <c r="B9315">
        <v>7034100</v>
      </c>
    </row>
    <row r="9316" spans="1:2" x14ac:dyDescent="0.4">
      <c r="A9316" s="4">
        <v>1006002</v>
      </c>
      <c r="B9316">
        <v>7034400</v>
      </c>
    </row>
    <row r="9317" spans="1:2" x14ac:dyDescent="0.4">
      <c r="A9317" s="4">
        <v>1006002</v>
      </c>
      <c r="B9317">
        <v>7034500</v>
      </c>
    </row>
    <row r="9318" spans="1:2" x14ac:dyDescent="0.4">
      <c r="A9318" s="4">
        <v>1006002</v>
      </c>
      <c r="B9318">
        <v>7034600</v>
      </c>
    </row>
    <row r="9319" spans="1:2" x14ac:dyDescent="0.4">
      <c r="A9319" s="4">
        <v>1006002</v>
      </c>
      <c r="B9319">
        <v>7034700</v>
      </c>
    </row>
    <row r="9320" spans="1:2" x14ac:dyDescent="0.4">
      <c r="A9320" s="4">
        <v>1006002</v>
      </c>
      <c r="B9320">
        <v>7035100</v>
      </c>
    </row>
    <row r="9321" spans="1:2" x14ac:dyDescent="0.4">
      <c r="A9321" s="4">
        <v>1006002</v>
      </c>
      <c r="B9321">
        <v>7036100</v>
      </c>
    </row>
    <row r="9322" spans="1:2" x14ac:dyDescent="0.4">
      <c r="A9322" s="4">
        <v>1006002</v>
      </c>
      <c r="B9322">
        <v>7040000</v>
      </c>
    </row>
    <row r="9323" spans="1:2" x14ac:dyDescent="0.4">
      <c r="A9323" s="4">
        <v>1006002</v>
      </c>
      <c r="B9323">
        <v>7040100</v>
      </c>
    </row>
    <row r="9324" spans="1:2" x14ac:dyDescent="0.4">
      <c r="A9324" s="4">
        <v>1006002</v>
      </c>
      <c r="B9324">
        <v>7040200</v>
      </c>
    </row>
    <row r="9325" spans="1:2" x14ac:dyDescent="0.4">
      <c r="A9325" s="4">
        <v>1006002</v>
      </c>
      <c r="B9325">
        <v>7040300</v>
      </c>
    </row>
    <row r="9326" spans="1:2" x14ac:dyDescent="0.4">
      <c r="A9326" s="4">
        <v>1006002</v>
      </c>
      <c r="B9326">
        <v>7040400</v>
      </c>
    </row>
    <row r="9327" spans="1:2" x14ac:dyDescent="0.4">
      <c r="A9327" s="4">
        <v>1006002</v>
      </c>
      <c r="B9327">
        <v>7040500</v>
      </c>
    </row>
    <row r="9328" spans="1:2" x14ac:dyDescent="0.4">
      <c r="A9328" s="4">
        <v>1006002</v>
      </c>
      <c r="B9328">
        <v>7043000</v>
      </c>
    </row>
    <row r="9329" spans="1:2" x14ac:dyDescent="0.4">
      <c r="A9329" s="4">
        <v>1006002</v>
      </c>
      <c r="B9329">
        <v>7043100</v>
      </c>
    </row>
    <row r="9330" spans="1:2" x14ac:dyDescent="0.4">
      <c r="A9330" s="4">
        <v>1006002</v>
      </c>
      <c r="B9330">
        <v>7043200</v>
      </c>
    </row>
    <row r="9331" spans="1:2" x14ac:dyDescent="0.4">
      <c r="A9331" s="4">
        <v>1006002</v>
      </c>
      <c r="B9331">
        <v>7043300</v>
      </c>
    </row>
    <row r="9332" spans="1:2" x14ac:dyDescent="0.4">
      <c r="A9332" s="4">
        <v>1006002</v>
      </c>
      <c r="B9332">
        <v>7043400</v>
      </c>
    </row>
    <row r="9333" spans="1:2" x14ac:dyDescent="0.4">
      <c r="A9333" s="4">
        <v>1006002</v>
      </c>
      <c r="B9333">
        <v>7043500</v>
      </c>
    </row>
    <row r="9334" spans="1:2" x14ac:dyDescent="0.4">
      <c r="A9334" s="4">
        <v>1006002</v>
      </c>
      <c r="B9334">
        <v>7043600</v>
      </c>
    </row>
    <row r="9335" spans="1:2" x14ac:dyDescent="0.4">
      <c r="A9335" s="4">
        <v>1006002</v>
      </c>
      <c r="B9335">
        <v>7043700</v>
      </c>
    </row>
    <row r="9336" spans="1:2" x14ac:dyDescent="0.4">
      <c r="A9336" s="4">
        <v>1006002</v>
      </c>
      <c r="B9336">
        <v>7043800</v>
      </c>
    </row>
    <row r="9337" spans="1:2" x14ac:dyDescent="0.4">
      <c r="A9337" s="4">
        <v>1006002</v>
      </c>
      <c r="B9337">
        <v>7044000</v>
      </c>
    </row>
    <row r="9338" spans="1:2" x14ac:dyDescent="0.4">
      <c r="A9338" s="4">
        <v>1006002</v>
      </c>
      <c r="B9338">
        <v>7044100</v>
      </c>
    </row>
    <row r="9339" spans="1:2" x14ac:dyDescent="0.4">
      <c r="A9339" s="4">
        <v>1006002</v>
      </c>
      <c r="B9339">
        <v>7044200</v>
      </c>
    </row>
    <row r="9340" spans="1:2" x14ac:dyDescent="0.4">
      <c r="A9340" s="4">
        <v>1006002</v>
      </c>
      <c r="B9340">
        <v>7044300</v>
      </c>
    </row>
    <row r="9341" spans="1:2" x14ac:dyDescent="0.4">
      <c r="A9341" s="4">
        <v>1006002</v>
      </c>
      <c r="B9341">
        <v>7044400</v>
      </c>
    </row>
    <row r="9342" spans="1:2" x14ac:dyDescent="0.4">
      <c r="A9342" s="4">
        <v>1006002</v>
      </c>
      <c r="B9342">
        <v>7044500</v>
      </c>
    </row>
    <row r="9343" spans="1:2" x14ac:dyDescent="0.4">
      <c r="A9343" s="4">
        <v>1006002</v>
      </c>
      <c r="B9343">
        <v>7044600</v>
      </c>
    </row>
    <row r="9344" spans="1:2" x14ac:dyDescent="0.4">
      <c r="A9344" s="4">
        <v>1006002</v>
      </c>
      <c r="B9344">
        <v>7050000</v>
      </c>
    </row>
    <row r="9345" spans="1:2" x14ac:dyDescent="0.4">
      <c r="A9345" s="4">
        <v>1006002</v>
      </c>
      <c r="B9345">
        <v>7050100</v>
      </c>
    </row>
    <row r="9346" spans="1:2" x14ac:dyDescent="0.4">
      <c r="A9346" s="4">
        <v>1006002</v>
      </c>
      <c r="B9346">
        <v>7060000</v>
      </c>
    </row>
    <row r="9347" spans="1:2" x14ac:dyDescent="0.4">
      <c r="A9347" s="4">
        <v>1006002</v>
      </c>
      <c r="B9347">
        <v>7060100</v>
      </c>
    </row>
    <row r="9348" spans="1:2" x14ac:dyDescent="0.4">
      <c r="A9348" s="4">
        <v>1006002</v>
      </c>
      <c r="B9348">
        <v>7060200</v>
      </c>
    </row>
    <row r="9349" spans="1:2" x14ac:dyDescent="0.4">
      <c r="A9349" s="4">
        <v>1006002</v>
      </c>
      <c r="B9349">
        <v>7070000</v>
      </c>
    </row>
    <row r="9350" spans="1:2" x14ac:dyDescent="0.4">
      <c r="A9350" s="4">
        <v>1006002</v>
      </c>
      <c r="B9350">
        <v>7080000</v>
      </c>
    </row>
    <row r="9351" spans="1:2" x14ac:dyDescent="0.4">
      <c r="A9351" s="4">
        <v>1006002</v>
      </c>
      <c r="B9351">
        <v>7080100</v>
      </c>
    </row>
    <row r="9352" spans="1:2" x14ac:dyDescent="0.4">
      <c r="A9352" s="4">
        <v>1006002</v>
      </c>
      <c r="B9352">
        <v>7080200</v>
      </c>
    </row>
    <row r="9353" spans="1:2" x14ac:dyDescent="0.4">
      <c r="A9353" s="4">
        <v>1006002</v>
      </c>
      <c r="B9353">
        <v>7080300</v>
      </c>
    </row>
    <row r="9354" spans="1:2" x14ac:dyDescent="0.4">
      <c r="A9354" s="4">
        <v>1006002</v>
      </c>
      <c r="B9354">
        <v>7080400</v>
      </c>
    </row>
    <row r="9355" spans="1:2" x14ac:dyDescent="0.4">
      <c r="A9355" s="4">
        <v>1006002</v>
      </c>
      <c r="B9355">
        <v>7080500</v>
      </c>
    </row>
    <row r="9356" spans="1:2" x14ac:dyDescent="0.4">
      <c r="A9356" s="4">
        <v>1006002</v>
      </c>
      <c r="B9356">
        <v>7080600</v>
      </c>
    </row>
    <row r="9357" spans="1:2" x14ac:dyDescent="0.4">
      <c r="A9357" s="4">
        <v>1006002</v>
      </c>
      <c r="B9357">
        <v>7080700</v>
      </c>
    </row>
    <row r="9358" spans="1:2" x14ac:dyDescent="0.4">
      <c r="A9358" s="4">
        <v>1006002</v>
      </c>
      <c r="B9358">
        <v>7080800</v>
      </c>
    </row>
    <row r="9359" spans="1:2" x14ac:dyDescent="0.4">
      <c r="A9359" s="4">
        <v>1006002</v>
      </c>
      <c r="B9359">
        <v>7080900</v>
      </c>
    </row>
    <row r="9360" spans="1:2" x14ac:dyDescent="0.4">
      <c r="A9360" s="4">
        <v>1006002</v>
      </c>
      <c r="B9360">
        <v>7081000</v>
      </c>
    </row>
    <row r="9361" spans="1:2" x14ac:dyDescent="0.4">
      <c r="A9361" s="4">
        <v>1006002</v>
      </c>
      <c r="B9361">
        <v>7081100</v>
      </c>
    </row>
    <row r="9362" spans="1:2" x14ac:dyDescent="0.4">
      <c r="A9362" s="4">
        <v>1006002</v>
      </c>
      <c r="B9362">
        <v>7081200</v>
      </c>
    </row>
    <row r="9363" spans="1:2" x14ac:dyDescent="0.4">
      <c r="A9363" s="4">
        <v>1006002</v>
      </c>
      <c r="B9363">
        <v>7081300</v>
      </c>
    </row>
    <row r="9364" spans="1:2" x14ac:dyDescent="0.4">
      <c r="A9364" s="4">
        <v>1006002</v>
      </c>
      <c r="B9364">
        <v>7081400</v>
      </c>
    </row>
    <row r="9365" spans="1:2" x14ac:dyDescent="0.4">
      <c r="A9365" s="4">
        <v>1006002</v>
      </c>
      <c r="B9365">
        <v>7081500</v>
      </c>
    </row>
    <row r="9366" spans="1:2" x14ac:dyDescent="0.4">
      <c r="A9366" s="4">
        <v>1006002</v>
      </c>
      <c r="B9366">
        <v>7081700</v>
      </c>
    </row>
    <row r="9367" spans="1:2" x14ac:dyDescent="0.4">
      <c r="A9367" s="4">
        <v>1006002</v>
      </c>
      <c r="B9367">
        <v>7081800</v>
      </c>
    </row>
    <row r="9368" spans="1:2" x14ac:dyDescent="0.4">
      <c r="A9368" s="4">
        <v>1006002</v>
      </c>
      <c r="B9368">
        <v>7081900</v>
      </c>
    </row>
    <row r="9369" spans="1:2" x14ac:dyDescent="0.4">
      <c r="A9369" s="4">
        <v>1006002</v>
      </c>
      <c r="B9369">
        <v>7082000</v>
      </c>
    </row>
    <row r="9370" spans="1:2" x14ac:dyDescent="0.4">
      <c r="A9370" s="4">
        <v>1006002</v>
      </c>
      <c r="B9370">
        <v>7082100</v>
      </c>
    </row>
    <row r="9371" spans="1:2" x14ac:dyDescent="0.4">
      <c r="A9371" s="4">
        <v>1006002</v>
      </c>
      <c r="B9371">
        <v>7082200</v>
      </c>
    </row>
    <row r="9372" spans="1:2" x14ac:dyDescent="0.4">
      <c r="A9372" s="4">
        <v>1006002</v>
      </c>
      <c r="B9372">
        <v>7082300</v>
      </c>
    </row>
    <row r="9373" spans="1:2" x14ac:dyDescent="0.4">
      <c r="A9373" s="4">
        <v>1006002</v>
      </c>
      <c r="B9373">
        <v>7082400</v>
      </c>
    </row>
    <row r="9374" spans="1:2" x14ac:dyDescent="0.4">
      <c r="A9374" s="4">
        <v>1006002</v>
      </c>
      <c r="B9374">
        <v>7082500</v>
      </c>
    </row>
    <row r="9375" spans="1:2" x14ac:dyDescent="0.4">
      <c r="A9375" s="4">
        <v>1006002</v>
      </c>
      <c r="B9375">
        <v>7082600</v>
      </c>
    </row>
    <row r="9376" spans="1:2" x14ac:dyDescent="0.4">
      <c r="A9376" s="4">
        <v>1006002</v>
      </c>
      <c r="B9376">
        <v>7082700</v>
      </c>
    </row>
    <row r="9377" spans="1:2" x14ac:dyDescent="0.4">
      <c r="A9377" s="4">
        <v>1006002</v>
      </c>
      <c r="B9377">
        <v>7082800</v>
      </c>
    </row>
    <row r="9378" spans="1:2" x14ac:dyDescent="0.4">
      <c r="A9378" s="4">
        <v>1006002</v>
      </c>
      <c r="B9378">
        <v>7082900</v>
      </c>
    </row>
    <row r="9379" spans="1:2" x14ac:dyDescent="0.4">
      <c r="A9379" s="4">
        <v>1006002</v>
      </c>
      <c r="B9379">
        <v>7090000</v>
      </c>
    </row>
    <row r="9380" spans="1:2" x14ac:dyDescent="0.4">
      <c r="A9380" s="4">
        <v>1006002</v>
      </c>
      <c r="B9380">
        <v>7090100</v>
      </c>
    </row>
    <row r="9381" spans="1:2" x14ac:dyDescent="0.4">
      <c r="A9381" s="4">
        <v>1006002</v>
      </c>
      <c r="B9381">
        <v>7090300</v>
      </c>
    </row>
    <row r="9382" spans="1:2" x14ac:dyDescent="0.4">
      <c r="A9382" s="4">
        <v>1006002</v>
      </c>
      <c r="B9382">
        <v>7100100</v>
      </c>
    </row>
    <row r="9383" spans="1:2" x14ac:dyDescent="0.4">
      <c r="A9383" s="4">
        <v>1006002</v>
      </c>
      <c r="B9383">
        <v>7110000</v>
      </c>
    </row>
    <row r="9384" spans="1:2" x14ac:dyDescent="0.4">
      <c r="A9384" s="4">
        <v>1006002</v>
      </c>
      <c r="B9384">
        <v>7120000</v>
      </c>
    </row>
    <row r="9385" spans="1:2" x14ac:dyDescent="0.4">
      <c r="A9385" s="4">
        <v>1006002</v>
      </c>
      <c r="B9385">
        <v>7120100</v>
      </c>
    </row>
    <row r="9386" spans="1:2" x14ac:dyDescent="0.4">
      <c r="A9386" s="4">
        <v>1006002</v>
      </c>
      <c r="B9386">
        <v>7120200</v>
      </c>
    </row>
    <row r="9387" spans="1:2" x14ac:dyDescent="0.4">
      <c r="A9387" s="4">
        <v>1006002</v>
      </c>
      <c r="B9387">
        <v>7120300</v>
      </c>
    </row>
    <row r="9388" spans="1:2" x14ac:dyDescent="0.4">
      <c r="A9388" s="4">
        <v>1006002</v>
      </c>
      <c r="B9388">
        <v>7120400</v>
      </c>
    </row>
    <row r="9389" spans="1:2" x14ac:dyDescent="0.4">
      <c r="A9389" s="4">
        <v>1006002</v>
      </c>
      <c r="B9389">
        <v>7120500</v>
      </c>
    </row>
    <row r="9390" spans="1:2" x14ac:dyDescent="0.4">
      <c r="A9390" s="4">
        <v>1006002</v>
      </c>
      <c r="B9390">
        <v>7120600</v>
      </c>
    </row>
    <row r="9391" spans="1:2" x14ac:dyDescent="0.4">
      <c r="A9391" s="4">
        <v>1006002</v>
      </c>
      <c r="B9391">
        <v>7120900</v>
      </c>
    </row>
    <row r="9392" spans="1:2" x14ac:dyDescent="0.4">
      <c r="A9392" s="4">
        <v>1006002</v>
      </c>
      <c r="B9392">
        <v>7121000</v>
      </c>
    </row>
    <row r="9393" spans="1:2" x14ac:dyDescent="0.4">
      <c r="A9393" s="4">
        <v>1006002</v>
      </c>
      <c r="B9393">
        <v>7121100</v>
      </c>
    </row>
    <row r="9394" spans="1:2" x14ac:dyDescent="0.4">
      <c r="A9394" s="4">
        <v>1006002</v>
      </c>
      <c r="B9394">
        <v>7121200</v>
      </c>
    </row>
    <row r="9395" spans="1:2" x14ac:dyDescent="0.4">
      <c r="A9395" s="4">
        <v>1006002</v>
      </c>
      <c r="B9395">
        <v>7121300</v>
      </c>
    </row>
    <row r="9396" spans="1:2" x14ac:dyDescent="0.4">
      <c r="A9396" s="4">
        <v>1006002</v>
      </c>
      <c r="B9396">
        <v>7121400</v>
      </c>
    </row>
    <row r="9397" spans="1:2" x14ac:dyDescent="0.4">
      <c r="A9397" s="4">
        <v>1006002</v>
      </c>
      <c r="B9397">
        <v>7121500</v>
      </c>
    </row>
    <row r="9398" spans="1:2" x14ac:dyDescent="0.4">
      <c r="A9398" s="4">
        <v>1006002</v>
      </c>
      <c r="B9398">
        <v>7121600</v>
      </c>
    </row>
    <row r="9399" spans="1:2" x14ac:dyDescent="0.4">
      <c r="A9399" s="4">
        <v>1006002</v>
      </c>
      <c r="B9399">
        <v>7121700</v>
      </c>
    </row>
    <row r="9400" spans="1:2" x14ac:dyDescent="0.4">
      <c r="A9400" s="4">
        <v>1006002</v>
      </c>
      <c r="B9400">
        <v>7121800</v>
      </c>
    </row>
    <row r="9401" spans="1:2" x14ac:dyDescent="0.4">
      <c r="A9401" s="4">
        <v>1006002</v>
      </c>
      <c r="B9401">
        <v>7121900</v>
      </c>
    </row>
    <row r="9402" spans="1:2" x14ac:dyDescent="0.4">
      <c r="A9402" s="4">
        <v>1006002</v>
      </c>
      <c r="B9402">
        <v>7122000</v>
      </c>
    </row>
    <row r="9403" spans="1:2" x14ac:dyDescent="0.4">
      <c r="A9403" s="4">
        <v>1006002</v>
      </c>
      <c r="B9403">
        <v>7122100</v>
      </c>
    </row>
    <row r="9404" spans="1:2" x14ac:dyDescent="0.4">
      <c r="A9404" s="4">
        <v>1006002</v>
      </c>
      <c r="B9404">
        <v>7122200</v>
      </c>
    </row>
    <row r="9405" spans="1:2" x14ac:dyDescent="0.4">
      <c r="A9405" s="4">
        <v>1006002</v>
      </c>
      <c r="B9405">
        <v>7122300</v>
      </c>
    </row>
    <row r="9406" spans="1:2" x14ac:dyDescent="0.4">
      <c r="A9406" s="4">
        <v>1006002</v>
      </c>
      <c r="B9406">
        <v>7122400</v>
      </c>
    </row>
    <row r="9407" spans="1:2" x14ac:dyDescent="0.4">
      <c r="A9407" s="4">
        <v>1006002</v>
      </c>
      <c r="B9407">
        <v>7122500</v>
      </c>
    </row>
    <row r="9408" spans="1:2" x14ac:dyDescent="0.4">
      <c r="A9408" s="4">
        <v>1006002</v>
      </c>
      <c r="B9408">
        <v>7122600</v>
      </c>
    </row>
    <row r="9409" spans="1:2" x14ac:dyDescent="0.4">
      <c r="A9409" s="4">
        <v>1006002</v>
      </c>
      <c r="B9409">
        <v>7122700</v>
      </c>
    </row>
    <row r="9410" spans="1:2" x14ac:dyDescent="0.4">
      <c r="A9410" s="4">
        <v>1006002</v>
      </c>
      <c r="B9410">
        <v>7122800</v>
      </c>
    </row>
    <row r="9411" spans="1:2" x14ac:dyDescent="0.4">
      <c r="A9411" s="4">
        <v>1006002</v>
      </c>
      <c r="B9411">
        <v>7122900</v>
      </c>
    </row>
    <row r="9412" spans="1:2" x14ac:dyDescent="0.4">
      <c r="A9412" s="4">
        <v>1006002</v>
      </c>
      <c r="B9412">
        <v>7123000</v>
      </c>
    </row>
    <row r="9413" spans="1:2" x14ac:dyDescent="0.4">
      <c r="A9413" s="4">
        <v>1006002</v>
      </c>
      <c r="B9413">
        <v>7123100</v>
      </c>
    </row>
    <row r="9414" spans="1:2" x14ac:dyDescent="0.4">
      <c r="A9414" s="4">
        <v>1006002</v>
      </c>
      <c r="B9414">
        <v>7123200</v>
      </c>
    </row>
    <row r="9415" spans="1:2" x14ac:dyDescent="0.4">
      <c r="A9415" s="4">
        <v>1006002</v>
      </c>
      <c r="B9415">
        <v>7123300</v>
      </c>
    </row>
    <row r="9416" spans="1:2" x14ac:dyDescent="0.4">
      <c r="A9416" s="4">
        <v>1006002</v>
      </c>
      <c r="B9416">
        <v>7123400</v>
      </c>
    </row>
    <row r="9417" spans="1:2" x14ac:dyDescent="0.4">
      <c r="A9417" s="4">
        <v>1006002</v>
      </c>
      <c r="B9417">
        <v>7123500</v>
      </c>
    </row>
    <row r="9418" spans="1:2" x14ac:dyDescent="0.4">
      <c r="A9418" s="4">
        <v>1006002</v>
      </c>
      <c r="B9418">
        <v>7123600</v>
      </c>
    </row>
    <row r="9419" spans="1:2" x14ac:dyDescent="0.4">
      <c r="A9419" s="4">
        <v>1006002</v>
      </c>
      <c r="B9419">
        <v>7123700</v>
      </c>
    </row>
    <row r="9420" spans="1:2" x14ac:dyDescent="0.4">
      <c r="A9420" s="4">
        <v>1006002</v>
      </c>
      <c r="B9420">
        <v>7123800</v>
      </c>
    </row>
    <row r="9421" spans="1:2" x14ac:dyDescent="0.4">
      <c r="A9421" s="4">
        <v>1006002</v>
      </c>
      <c r="B9421">
        <v>7123900</v>
      </c>
    </row>
    <row r="9422" spans="1:2" x14ac:dyDescent="0.4">
      <c r="A9422" s="4">
        <v>1006002</v>
      </c>
      <c r="B9422">
        <v>7124000</v>
      </c>
    </row>
    <row r="9423" spans="1:2" x14ac:dyDescent="0.4">
      <c r="A9423" s="4">
        <v>1006002</v>
      </c>
      <c r="B9423">
        <v>7124100</v>
      </c>
    </row>
    <row r="9424" spans="1:2" x14ac:dyDescent="0.4">
      <c r="A9424" s="4">
        <v>1006002</v>
      </c>
      <c r="B9424">
        <v>7124300</v>
      </c>
    </row>
    <row r="9425" spans="1:2" x14ac:dyDescent="0.4">
      <c r="A9425" s="4">
        <v>1006002</v>
      </c>
      <c r="B9425">
        <v>7124400</v>
      </c>
    </row>
    <row r="9426" spans="1:2" x14ac:dyDescent="0.4">
      <c r="A9426" s="4">
        <v>1006002</v>
      </c>
      <c r="B9426">
        <v>7124500</v>
      </c>
    </row>
    <row r="9427" spans="1:2" x14ac:dyDescent="0.4">
      <c r="A9427" s="4">
        <v>1006002</v>
      </c>
      <c r="B9427">
        <v>7124600</v>
      </c>
    </row>
    <row r="9428" spans="1:2" x14ac:dyDescent="0.4">
      <c r="A9428" s="4">
        <v>1006002</v>
      </c>
      <c r="B9428">
        <v>7124700</v>
      </c>
    </row>
    <row r="9429" spans="1:2" x14ac:dyDescent="0.4">
      <c r="A9429" s="4">
        <v>1006002</v>
      </c>
      <c r="B9429">
        <v>7126000</v>
      </c>
    </row>
    <row r="9430" spans="1:2" x14ac:dyDescent="0.4">
      <c r="A9430" s="4">
        <v>1006002</v>
      </c>
      <c r="B9430">
        <v>7150000</v>
      </c>
    </row>
    <row r="9431" spans="1:2" x14ac:dyDescent="0.4">
      <c r="A9431" s="4">
        <v>1006002</v>
      </c>
      <c r="B9431">
        <v>7160000</v>
      </c>
    </row>
    <row r="9432" spans="1:2" x14ac:dyDescent="0.4">
      <c r="A9432" s="4">
        <v>1006002</v>
      </c>
      <c r="B9432">
        <v>7220000</v>
      </c>
    </row>
    <row r="9433" spans="1:2" x14ac:dyDescent="0.4">
      <c r="A9433" s="4">
        <v>1006002</v>
      </c>
      <c r="B9433">
        <v>7230000</v>
      </c>
    </row>
    <row r="9434" spans="1:2" x14ac:dyDescent="0.4">
      <c r="A9434" s="4">
        <v>1006002</v>
      </c>
      <c r="B9434">
        <v>7240000</v>
      </c>
    </row>
    <row r="9435" spans="1:2" x14ac:dyDescent="0.4">
      <c r="A9435" s="4">
        <v>1006002</v>
      </c>
      <c r="B9435">
        <v>7260000</v>
      </c>
    </row>
    <row r="9436" spans="1:2" x14ac:dyDescent="0.4">
      <c r="A9436" s="4">
        <v>1006002</v>
      </c>
      <c r="B9436">
        <v>7260300</v>
      </c>
    </row>
    <row r="9437" spans="1:2" x14ac:dyDescent="0.4">
      <c r="A9437" s="4">
        <v>1006002</v>
      </c>
      <c r="B9437">
        <v>7260400</v>
      </c>
    </row>
    <row r="9438" spans="1:2" x14ac:dyDescent="0.4">
      <c r="A9438" s="4">
        <v>1006002</v>
      </c>
      <c r="B9438">
        <v>7270100</v>
      </c>
    </row>
    <row r="9439" spans="1:2" x14ac:dyDescent="0.4">
      <c r="A9439" s="4">
        <v>1006002</v>
      </c>
      <c r="B9439">
        <v>7280000</v>
      </c>
    </row>
    <row r="9440" spans="1:2" x14ac:dyDescent="0.4">
      <c r="A9440" s="4">
        <v>1006002</v>
      </c>
      <c r="B9440">
        <v>7290000</v>
      </c>
    </row>
    <row r="9441" spans="1:2" x14ac:dyDescent="0.4">
      <c r="A9441" s="4">
        <v>1006002</v>
      </c>
      <c r="B9441">
        <v>7310000</v>
      </c>
    </row>
    <row r="9442" spans="1:2" x14ac:dyDescent="0.4">
      <c r="A9442" s="4">
        <v>1006002</v>
      </c>
      <c r="B9442">
        <v>7330000</v>
      </c>
    </row>
    <row r="9443" spans="1:2" x14ac:dyDescent="0.4">
      <c r="A9443" s="4">
        <v>1006002</v>
      </c>
      <c r="B9443">
        <v>7330100</v>
      </c>
    </row>
    <row r="9444" spans="1:2" x14ac:dyDescent="0.4">
      <c r="A9444" s="4">
        <v>1006002</v>
      </c>
      <c r="B9444">
        <v>7330200</v>
      </c>
    </row>
    <row r="9445" spans="1:2" x14ac:dyDescent="0.4">
      <c r="A9445" s="4">
        <v>1006002</v>
      </c>
      <c r="B9445">
        <v>7330300</v>
      </c>
    </row>
    <row r="9446" spans="1:2" x14ac:dyDescent="0.4">
      <c r="A9446" s="4">
        <v>1006002</v>
      </c>
      <c r="B9446">
        <v>7330400</v>
      </c>
    </row>
    <row r="9447" spans="1:2" x14ac:dyDescent="0.4">
      <c r="A9447" s="4">
        <v>1006002</v>
      </c>
      <c r="B9447">
        <v>7330500</v>
      </c>
    </row>
    <row r="9448" spans="1:2" x14ac:dyDescent="0.4">
      <c r="A9448" s="4">
        <v>1006002</v>
      </c>
      <c r="B9448">
        <v>7330600</v>
      </c>
    </row>
    <row r="9449" spans="1:2" x14ac:dyDescent="0.4">
      <c r="A9449" s="4">
        <v>1006002</v>
      </c>
      <c r="B9449">
        <v>7330700</v>
      </c>
    </row>
    <row r="9450" spans="1:2" x14ac:dyDescent="0.4">
      <c r="A9450" s="4">
        <v>1006002</v>
      </c>
      <c r="B9450">
        <v>7330800</v>
      </c>
    </row>
    <row r="9451" spans="1:2" x14ac:dyDescent="0.4">
      <c r="A9451" s="4">
        <v>1006002</v>
      </c>
      <c r="B9451">
        <v>7330900</v>
      </c>
    </row>
    <row r="9452" spans="1:2" x14ac:dyDescent="0.4">
      <c r="A9452" s="4">
        <v>1006002</v>
      </c>
      <c r="B9452">
        <v>7331000</v>
      </c>
    </row>
    <row r="9453" spans="1:2" x14ac:dyDescent="0.4">
      <c r="A9453" s="4">
        <v>1006002</v>
      </c>
      <c r="B9453">
        <v>7331100</v>
      </c>
    </row>
    <row r="9454" spans="1:2" x14ac:dyDescent="0.4">
      <c r="A9454" s="4">
        <v>1006002</v>
      </c>
      <c r="B9454">
        <v>7331200</v>
      </c>
    </row>
    <row r="9455" spans="1:2" x14ac:dyDescent="0.4">
      <c r="A9455" s="4">
        <v>1006002</v>
      </c>
      <c r="B9455">
        <v>7331300</v>
      </c>
    </row>
    <row r="9456" spans="1:2" x14ac:dyDescent="0.4">
      <c r="A9456" s="4">
        <v>1006002</v>
      </c>
      <c r="B9456">
        <v>7331400</v>
      </c>
    </row>
    <row r="9457" spans="1:2" x14ac:dyDescent="0.4">
      <c r="A9457" s="4">
        <v>1006002</v>
      </c>
      <c r="B9457">
        <v>7331500</v>
      </c>
    </row>
    <row r="9458" spans="1:2" x14ac:dyDescent="0.4">
      <c r="A9458" s="4">
        <v>1006002</v>
      </c>
      <c r="B9458">
        <v>7331700</v>
      </c>
    </row>
    <row r="9459" spans="1:2" x14ac:dyDescent="0.4">
      <c r="A9459" s="4">
        <v>1006002</v>
      </c>
      <c r="B9459">
        <v>7331800</v>
      </c>
    </row>
    <row r="9460" spans="1:2" x14ac:dyDescent="0.4">
      <c r="A9460" s="4">
        <v>1006002</v>
      </c>
      <c r="B9460">
        <v>7331900</v>
      </c>
    </row>
    <row r="9461" spans="1:2" x14ac:dyDescent="0.4">
      <c r="A9461" s="4">
        <v>1006002</v>
      </c>
      <c r="B9461">
        <v>7332000</v>
      </c>
    </row>
    <row r="9462" spans="1:2" x14ac:dyDescent="0.4">
      <c r="A9462" s="4">
        <v>1006002</v>
      </c>
      <c r="B9462">
        <v>7332100</v>
      </c>
    </row>
    <row r="9463" spans="1:2" x14ac:dyDescent="0.4">
      <c r="A9463" s="4">
        <v>1006002</v>
      </c>
      <c r="B9463">
        <v>7332200</v>
      </c>
    </row>
    <row r="9464" spans="1:2" x14ac:dyDescent="0.4">
      <c r="A9464" s="4">
        <v>1006002</v>
      </c>
      <c r="B9464">
        <v>7332300</v>
      </c>
    </row>
    <row r="9465" spans="1:2" x14ac:dyDescent="0.4">
      <c r="A9465" s="4">
        <v>1006002</v>
      </c>
      <c r="B9465">
        <v>7332400</v>
      </c>
    </row>
    <row r="9466" spans="1:2" x14ac:dyDescent="0.4">
      <c r="A9466" s="4">
        <v>1006002</v>
      </c>
      <c r="B9466">
        <v>7340000</v>
      </c>
    </row>
    <row r="9467" spans="1:2" x14ac:dyDescent="0.4">
      <c r="A9467" s="4">
        <v>1006002</v>
      </c>
      <c r="B9467">
        <v>7340100</v>
      </c>
    </row>
    <row r="9468" spans="1:2" x14ac:dyDescent="0.4">
      <c r="A9468" s="4">
        <v>1006002</v>
      </c>
      <c r="B9468">
        <v>7340200</v>
      </c>
    </row>
    <row r="9469" spans="1:2" x14ac:dyDescent="0.4">
      <c r="A9469" s="4">
        <v>1006002</v>
      </c>
      <c r="B9469">
        <v>7340300</v>
      </c>
    </row>
    <row r="9470" spans="1:2" x14ac:dyDescent="0.4">
      <c r="A9470" s="4">
        <v>1006002</v>
      </c>
      <c r="B9470">
        <v>7340400</v>
      </c>
    </row>
    <row r="9471" spans="1:2" x14ac:dyDescent="0.4">
      <c r="A9471" s="4">
        <v>1006002</v>
      </c>
      <c r="B9471">
        <v>7340500</v>
      </c>
    </row>
    <row r="9472" spans="1:2" x14ac:dyDescent="0.4">
      <c r="A9472" s="4">
        <v>1006002</v>
      </c>
      <c r="B9472">
        <v>7340600</v>
      </c>
    </row>
    <row r="9473" spans="1:2" x14ac:dyDescent="0.4">
      <c r="A9473" s="4">
        <v>1006002</v>
      </c>
      <c r="B9473">
        <v>7340700</v>
      </c>
    </row>
    <row r="9474" spans="1:2" x14ac:dyDescent="0.4">
      <c r="A9474" s="4">
        <v>1006002</v>
      </c>
      <c r="B9474">
        <v>7340800</v>
      </c>
    </row>
    <row r="9475" spans="1:2" x14ac:dyDescent="0.4">
      <c r="A9475" s="4">
        <v>1006002</v>
      </c>
      <c r="B9475">
        <v>7340900</v>
      </c>
    </row>
    <row r="9476" spans="1:2" x14ac:dyDescent="0.4">
      <c r="A9476" s="4">
        <v>1006002</v>
      </c>
      <c r="B9476">
        <v>7341000</v>
      </c>
    </row>
    <row r="9477" spans="1:2" x14ac:dyDescent="0.4">
      <c r="A9477" s="4">
        <v>1006002</v>
      </c>
      <c r="B9477">
        <v>7341100</v>
      </c>
    </row>
    <row r="9478" spans="1:2" x14ac:dyDescent="0.4">
      <c r="A9478" s="4">
        <v>1006002</v>
      </c>
      <c r="B9478">
        <v>7341200</v>
      </c>
    </row>
    <row r="9479" spans="1:2" x14ac:dyDescent="0.4">
      <c r="A9479" s="4">
        <v>1006002</v>
      </c>
      <c r="B9479">
        <v>7341300</v>
      </c>
    </row>
    <row r="9480" spans="1:2" x14ac:dyDescent="0.4">
      <c r="A9480" s="4">
        <v>1006002</v>
      </c>
      <c r="B9480">
        <v>7341400</v>
      </c>
    </row>
    <row r="9481" spans="1:2" x14ac:dyDescent="0.4">
      <c r="A9481" s="4">
        <v>1006002</v>
      </c>
      <c r="B9481">
        <v>7341500</v>
      </c>
    </row>
    <row r="9482" spans="1:2" x14ac:dyDescent="0.4">
      <c r="A9482" s="4">
        <v>1006002</v>
      </c>
      <c r="B9482">
        <v>7341700</v>
      </c>
    </row>
    <row r="9483" spans="1:2" x14ac:dyDescent="0.4">
      <c r="A9483" s="4">
        <v>1006002</v>
      </c>
      <c r="B9483">
        <v>7341800</v>
      </c>
    </row>
    <row r="9484" spans="1:2" x14ac:dyDescent="0.4">
      <c r="A9484" s="4">
        <v>1006002</v>
      </c>
      <c r="B9484">
        <v>7341900</v>
      </c>
    </row>
    <row r="9485" spans="1:2" x14ac:dyDescent="0.4">
      <c r="A9485" s="4">
        <v>1006002</v>
      </c>
      <c r="B9485">
        <v>7342000</v>
      </c>
    </row>
    <row r="9486" spans="1:2" x14ac:dyDescent="0.4">
      <c r="A9486" s="4">
        <v>1006002</v>
      </c>
      <c r="B9486">
        <v>7342100</v>
      </c>
    </row>
    <row r="9487" spans="1:2" x14ac:dyDescent="0.4">
      <c r="A9487" s="4">
        <v>1006002</v>
      </c>
      <c r="B9487">
        <v>7342200</v>
      </c>
    </row>
    <row r="9488" spans="1:2" x14ac:dyDescent="0.4">
      <c r="A9488" s="4">
        <v>1006002</v>
      </c>
      <c r="B9488">
        <v>7342300</v>
      </c>
    </row>
    <row r="9489" spans="1:2" x14ac:dyDescent="0.4">
      <c r="A9489" s="4">
        <v>1006002</v>
      </c>
      <c r="B9489">
        <v>7342400</v>
      </c>
    </row>
    <row r="9490" spans="1:2" x14ac:dyDescent="0.4">
      <c r="A9490" s="4">
        <v>1006002</v>
      </c>
      <c r="B9490">
        <v>7350000</v>
      </c>
    </row>
    <row r="9491" spans="1:2" x14ac:dyDescent="0.4">
      <c r="A9491" s="4">
        <v>1006002</v>
      </c>
      <c r="B9491">
        <v>7350100</v>
      </c>
    </row>
    <row r="9492" spans="1:2" x14ac:dyDescent="0.4">
      <c r="A9492" s="4">
        <v>1006002</v>
      </c>
      <c r="B9492">
        <v>7350200</v>
      </c>
    </row>
    <row r="9493" spans="1:2" x14ac:dyDescent="0.4">
      <c r="A9493" s="4">
        <v>1006002</v>
      </c>
      <c r="B9493">
        <v>7350300</v>
      </c>
    </row>
    <row r="9494" spans="1:2" x14ac:dyDescent="0.4">
      <c r="A9494" s="4">
        <v>1006002</v>
      </c>
      <c r="B9494">
        <v>7350400</v>
      </c>
    </row>
    <row r="9495" spans="1:2" x14ac:dyDescent="0.4">
      <c r="A9495" s="4">
        <v>1006002</v>
      </c>
      <c r="B9495">
        <v>7350500</v>
      </c>
    </row>
    <row r="9496" spans="1:2" x14ac:dyDescent="0.4">
      <c r="A9496" s="4">
        <v>1006002</v>
      </c>
      <c r="B9496">
        <v>7350600</v>
      </c>
    </row>
    <row r="9497" spans="1:2" x14ac:dyDescent="0.4">
      <c r="A9497" s="4">
        <v>1006002</v>
      </c>
      <c r="B9497">
        <v>7350700</v>
      </c>
    </row>
    <row r="9498" spans="1:2" x14ac:dyDescent="0.4">
      <c r="A9498" s="4">
        <v>1006002</v>
      </c>
      <c r="B9498">
        <v>7350800</v>
      </c>
    </row>
    <row r="9499" spans="1:2" x14ac:dyDescent="0.4">
      <c r="A9499" s="4">
        <v>1006002</v>
      </c>
      <c r="B9499">
        <v>7350900</v>
      </c>
    </row>
    <row r="9500" spans="1:2" x14ac:dyDescent="0.4">
      <c r="A9500" s="4">
        <v>1006002</v>
      </c>
      <c r="B9500">
        <v>7351000</v>
      </c>
    </row>
    <row r="9501" spans="1:2" x14ac:dyDescent="0.4">
      <c r="A9501" s="4">
        <v>1006002</v>
      </c>
      <c r="B9501">
        <v>7351100</v>
      </c>
    </row>
    <row r="9502" spans="1:2" x14ac:dyDescent="0.4">
      <c r="A9502" s="4">
        <v>1006002</v>
      </c>
      <c r="B9502">
        <v>7351200</v>
      </c>
    </row>
    <row r="9503" spans="1:2" x14ac:dyDescent="0.4">
      <c r="A9503" s="4">
        <v>1006002</v>
      </c>
      <c r="B9503">
        <v>7351300</v>
      </c>
    </row>
    <row r="9504" spans="1:2" x14ac:dyDescent="0.4">
      <c r="A9504" s="4">
        <v>1006002</v>
      </c>
      <c r="B9504">
        <v>7351400</v>
      </c>
    </row>
    <row r="9505" spans="1:2" x14ac:dyDescent="0.4">
      <c r="A9505" s="4">
        <v>1006002</v>
      </c>
      <c r="B9505">
        <v>7351500</v>
      </c>
    </row>
    <row r="9506" spans="1:2" x14ac:dyDescent="0.4">
      <c r="A9506" s="4">
        <v>1006002</v>
      </c>
      <c r="B9506">
        <v>7351700</v>
      </c>
    </row>
    <row r="9507" spans="1:2" x14ac:dyDescent="0.4">
      <c r="A9507" s="4">
        <v>1006002</v>
      </c>
      <c r="B9507">
        <v>7351800</v>
      </c>
    </row>
    <row r="9508" spans="1:2" x14ac:dyDescent="0.4">
      <c r="A9508" s="4">
        <v>1006002</v>
      </c>
      <c r="B9508">
        <v>7351900</v>
      </c>
    </row>
    <row r="9509" spans="1:2" x14ac:dyDescent="0.4">
      <c r="A9509" s="4">
        <v>1006002</v>
      </c>
      <c r="B9509">
        <v>7352000</v>
      </c>
    </row>
    <row r="9510" spans="1:2" x14ac:dyDescent="0.4">
      <c r="A9510" s="4">
        <v>1006002</v>
      </c>
      <c r="B9510">
        <v>7352100</v>
      </c>
    </row>
    <row r="9511" spans="1:2" x14ac:dyDescent="0.4">
      <c r="A9511" s="4">
        <v>1006002</v>
      </c>
      <c r="B9511">
        <v>7352200</v>
      </c>
    </row>
    <row r="9512" spans="1:2" x14ac:dyDescent="0.4">
      <c r="A9512" s="4">
        <v>1006002</v>
      </c>
      <c r="B9512">
        <v>7352300</v>
      </c>
    </row>
    <row r="9513" spans="1:2" x14ac:dyDescent="0.4">
      <c r="A9513" s="4">
        <v>1006002</v>
      </c>
      <c r="B9513">
        <v>7352400</v>
      </c>
    </row>
    <row r="9514" spans="1:2" x14ac:dyDescent="0.4">
      <c r="A9514" s="4">
        <v>1006002</v>
      </c>
      <c r="B9514">
        <v>7360600</v>
      </c>
    </row>
    <row r="9515" spans="1:2" x14ac:dyDescent="0.4">
      <c r="A9515" s="4">
        <v>1006002</v>
      </c>
      <c r="B9515">
        <v>7360900</v>
      </c>
    </row>
    <row r="9516" spans="1:2" x14ac:dyDescent="0.4">
      <c r="A9516" s="4">
        <v>1006002</v>
      </c>
      <c r="B9516">
        <v>7361200</v>
      </c>
    </row>
    <row r="9517" spans="1:2" x14ac:dyDescent="0.4">
      <c r="A9517" s="4">
        <v>1006002</v>
      </c>
      <c r="B9517">
        <v>7361300</v>
      </c>
    </row>
    <row r="9518" spans="1:2" x14ac:dyDescent="0.4">
      <c r="A9518" s="4">
        <v>1006002</v>
      </c>
      <c r="B9518">
        <v>7362100</v>
      </c>
    </row>
    <row r="9519" spans="1:2" x14ac:dyDescent="0.4">
      <c r="A9519" s="4">
        <v>1006002</v>
      </c>
      <c r="B9519">
        <v>7370300</v>
      </c>
    </row>
    <row r="9520" spans="1:2" x14ac:dyDescent="0.4">
      <c r="A9520" s="4">
        <v>1006002</v>
      </c>
      <c r="B9520">
        <v>7370400</v>
      </c>
    </row>
    <row r="9521" spans="1:2" x14ac:dyDescent="0.4">
      <c r="A9521" s="4">
        <v>1006002</v>
      </c>
      <c r="B9521">
        <v>7370600</v>
      </c>
    </row>
    <row r="9522" spans="1:2" x14ac:dyDescent="0.4">
      <c r="A9522" s="4">
        <v>1006002</v>
      </c>
      <c r="B9522">
        <v>7370900</v>
      </c>
    </row>
    <row r="9523" spans="1:2" x14ac:dyDescent="0.4">
      <c r="A9523" s="4">
        <v>1006002</v>
      </c>
      <c r="B9523">
        <v>7371500</v>
      </c>
    </row>
    <row r="9524" spans="1:2" x14ac:dyDescent="0.4">
      <c r="A9524" s="4">
        <v>1006002</v>
      </c>
      <c r="B9524">
        <v>7036200</v>
      </c>
    </row>
    <row r="9525" spans="1:2" x14ac:dyDescent="0.4">
      <c r="A9525" s="4">
        <v>1006002</v>
      </c>
      <c r="B9525">
        <v>7036300</v>
      </c>
    </row>
    <row r="9526" spans="1:2" x14ac:dyDescent="0.4">
      <c r="A9526" s="4">
        <v>1006002</v>
      </c>
      <c r="B9526">
        <v>7036400</v>
      </c>
    </row>
    <row r="9527" spans="1:2" x14ac:dyDescent="0.4">
      <c r="A9527" s="4">
        <v>1006002</v>
      </c>
      <c r="B9527">
        <v>7036500</v>
      </c>
    </row>
    <row r="9528" spans="1:2" x14ac:dyDescent="0.4">
      <c r="A9528" s="4">
        <v>1006002</v>
      </c>
      <c r="B9528">
        <v>7036800</v>
      </c>
    </row>
    <row r="9529" spans="1:2" x14ac:dyDescent="0.4">
      <c r="A9529" s="4">
        <v>1006002</v>
      </c>
      <c r="B9529">
        <v>7036900</v>
      </c>
    </row>
    <row r="9530" spans="1:2" x14ac:dyDescent="0.4">
      <c r="A9530" s="4">
        <v>1006002</v>
      </c>
      <c r="B9530">
        <v>7037000</v>
      </c>
    </row>
    <row r="9531" spans="1:2" x14ac:dyDescent="0.4">
      <c r="A9531" s="4">
        <v>1006002</v>
      </c>
      <c r="B9531">
        <v>7037300</v>
      </c>
    </row>
    <row r="9532" spans="1:2" x14ac:dyDescent="0.4">
      <c r="A9532" s="4">
        <v>1006002</v>
      </c>
      <c r="B9532">
        <v>6630000</v>
      </c>
    </row>
    <row r="9533" spans="1:2" x14ac:dyDescent="0.4">
      <c r="A9533" s="4">
        <v>1006002</v>
      </c>
      <c r="B9533">
        <v>6630100</v>
      </c>
    </row>
    <row r="9534" spans="1:2" x14ac:dyDescent="0.4">
      <c r="A9534" s="4">
        <v>1006002</v>
      </c>
      <c r="B9534">
        <v>6630200</v>
      </c>
    </row>
    <row r="9535" spans="1:2" x14ac:dyDescent="0.4">
      <c r="A9535" s="4">
        <v>1006002</v>
      </c>
      <c r="B9535">
        <v>6630300</v>
      </c>
    </row>
    <row r="9536" spans="1:2" x14ac:dyDescent="0.4">
      <c r="A9536" s="4">
        <v>1006002</v>
      </c>
      <c r="B9536">
        <v>6630400</v>
      </c>
    </row>
    <row r="9537" spans="1:2" x14ac:dyDescent="0.4">
      <c r="A9537" s="4">
        <v>1006002</v>
      </c>
      <c r="B9537">
        <v>6630500</v>
      </c>
    </row>
    <row r="9538" spans="1:2" x14ac:dyDescent="0.4">
      <c r="A9538" s="4">
        <v>1006002</v>
      </c>
      <c r="B9538">
        <v>6630600</v>
      </c>
    </row>
    <row r="9539" spans="1:2" x14ac:dyDescent="0.4">
      <c r="A9539" s="4">
        <v>1006002</v>
      </c>
      <c r="B9539">
        <v>6630700</v>
      </c>
    </row>
    <row r="9540" spans="1:2" x14ac:dyDescent="0.4">
      <c r="A9540" s="4">
        <v>1006002</v>
      </c>
      <c r="B9540">
        <v>6630800</v>
      </c>
    </row>
    <row r="9541" spans="1:2" x14ac:dyDescent="0.4">
      <c r="A9541" s="4">
        <v>1006002</v>
      </c>
      <c r="B9541">
        <v>6630900</v>
      </c>
    </row>
    <row r="9542" spans="1:2" x14ac:dyDescent="0.4">
      <c r="A9542" s="4">
        <v>1006002</v>
      </c>
      <c r="B9542">
        <v>6631000</v>
      </c>
    </row>
    <row r="9543" spans="1:2" x14ac:dyDescent="0.4">
      <c r="A9543" s="4">
        <v>1006002</v>
      </c>
      <c r="B9543">
        <v>6631100</v>
      </c>
    </row>
    <row r="9544" spans="1:2" x14ac:dyDescent="0.4">
      <c r="A9544" s="4">
        <v>1006002</v>
      </c>
      <c r="B9544">
        <v>6631200</v>
      </c>
    </row>
    <row r="9545" spans="1:2" x14ac:dyDescent="0.4">
      <c r="A9545" s="4">
        <v>1006002</v>
      </c>
      <c r="B9545">
        <v>6631300</v>
      </c>
    </row>
    <row r="9546" spans="1:2" x14ac:dyDescent="0.4">
      <c r="A9546" s="4">
        <v>1006002</v>
      </c>
      <c r="B9546">
        <v>6631400</v>
      </c>
    </row>
    <row r="9547" spans="1:2" x14ac:dyDescent="0.4">
      <c r="A9547" s="4">
        <v>1006002</v>
      </c>
      <c r="B9547">
        <v>6631500</v>
      </c>
    </row>
    <row r="9548" spans="1:2" x14ac:dyDescent="0.4">
      <c r="A9548" s="4">
        <v>1006002</v>
      </c>
      <c r="B9548">
        <v>6631600</v>
      </c>
    </row>
    <row r="9549" spans="1:2" x14ac:dyDescent="0.4">
      <c r="A9549" s="4">
        <v>1006002</v>
      </c>
      <c r="B9549">
        <v>6631700</v>
      </c>
    </row>
    <row r="9550" spans="1:2" x14ac:dyDescent="0.4">
      <c r="A9550" s="4">
        <v>1006002</v>
      </c>
      <c r="B9550">
        <v>6631800</v>
      </c>
    </row>
    <row r="9551" spans="1:2" x14ac:dyDescent="0.4">
      <c r="A9551" s="4">
        <v>1006002</v>
      </c>
      <c r="B9551">
        <v>6631900</v>
      </c>
    </row>
    <row r="9552" spans="1:2" x14ac:dyDescent="0.4">
      <c r="A9552" s="4">
        <v>1006002</v>
      </c>
      <c r="B9552">
        <v>6632000</v>
      </c>
    </row>
    <row r="9553" spans="1:2" x14ac:dyDescent="0.4">
      <c r="A9553" s="4">
        <v>1006002</v>
      </c>
      <c r="B9553">
        <v>6632100</v>
      </c>
    </row>
    <row r="9554" spans="1:2" x14ac:dyDescent="0.4">
      <c r="A9554" s="4">
        <v>1006002</v>
      </c>
      <c r="B9554">
        <v>6632200</v>
      </c>
    </row>
    <row r="9555" spans="1:2" x14ac:dyDescent="0.4">
      <c r="A9555" s="4">
        <v>1006002</v>
      </c>
      <c r="B9555">
        <v>6632300</v>
      </c>
    </row>
    <row r="9556" spans="1:2" x14ac:dyDescent="0.4">
      <c r="A9556" s="4">
        <v>1006002</v>
      </c>
      <c r="B9556">
        <v>6632400</v>
      </c>
    </row>
    <row r="9557" spans="1:2" x14ac:dyDescent="0.4">
      <c r="A9557" s="4">
        <v>1006002</v>
      </c>
      <c r="B9557">
        <v>6632500</v>
      </c>
    </row>
    <row r="9558" spans="1:2" x14ac:dyDescent="0.4">
      <c r="A9558" s="4">
        <v>1006002</v>
      </c>
      <c r="B9558">
        <v>6632600</v>
      </c>
    </row>
    <row r="9559" spans="1:2" x14ac:dyDescent="0.4">
      <c r="A9559" s="4">
        <v>1006002</v>
      </c>
      <c r="B9559">
        <v>6632700</v>
      </c>
    </row>
    <row r="9560" spans="1:2" x14ac:dyDescent="0.4">
      <c r="A9560" s="4">
        <v>1006002</v>
      </c>
      <c r="B9560">
        <v>6632800</v>
      </c>
    </row>
    <row r="9561" spans="1:2" x14ac:dyDescent="0.4">
      <c r="A9561" s="4">
        <v>1006002</v>
      </c>
      <c r="B9561">
        <v>6632900</v>
      </c>
    </row>
    <row r="9562" spans="1:2" x14ac:dyDescent="0.4">
      <c r="A9562" s="4">
        <v>1006002</v>
      </c>
      <c r="B9562">
        <v>6633000</v>
      </c>
    </row>
    <row r="9563" spans="1:2" x14ac:dyDescent="0.4">
      <c r="A9563" s="4">
        <v>1006002</v>
      </c>
      <c r="B9563">
        <v>6633100</v>
      </c>
    </row>
    <row r="9564" spans="1:2" x14ac:dyDescent="0.4">
      <c r="A9564" s="4">
        <v>1006002</v>
      </c>
      <c r="B9564">
        <v>6633200</v>
      </c>
    </row>
    <row r="9565" spans="1:2" x14ac:dyDescent="0.4">
      <c r="A9565" s="4">
        <v>1006002</v>
      </c>
      <c r="B9565">
        <v>6647200</v>
      </c>
    </row>
    <row r="9566" spans="1:2" x14ac:dyDescent="0.4">
      <c r="A9566" s="4">
        <v>1006002</v>
      </c>
      <c r="B9566">
        <v>6647300</v>
      </c>
    </row>
    <row r="9567" spans="1:2" x14ac:dyDescent="0.4">
      <c r="A9567" s="4">
        <v>1006002</v>
      </c>
      <c r="B9567">
        <v>6647400</v>
      </c>
    </row>
    <row r="9568" spans="1:2" x14ac:dyDescent="0.4">
      <c r="A9568" s="4">
        <v>1006002</v>
      </c>
      <c r="B9568">
        <v>6647500</v>
      </c>
    </row>
    <row r="9569" spans="1:2" x14ac:dyDescent="0.4">
      <c r="A9569" s="4">
        <v>1006002</v>
      </c>
      <c r="B9569">
        <v>6640000</v>
      </c>
    </row>
    <row r="9570" spans="1:2" x14ac:dyDescent="0.4">
      <c r="A9570" s="4">
        <v>1006002</v>
      </c>
      <c r="B9570">
        <v>6640100</v>
      </c>
    </row>
    <row r="9571" spans="1:2" x14ac:dyDescent="0.4">
      <c r="A9571" s="4">
        <v>1006002</v>
      </c>
      <c r="B9571">
        <v>6641000</v>
      </c>
    </row>
    <row r="9572" spans="1:2" x14ac:dyDescent="0.4">
      <c r="A9572" s="4">
        <v>1006002</v>
      </c>
      <c r="B9572">
        <v>6641100</v>
      </c>
    </row>
    <row r="9573" spans="1:2" x14ac:dyDescent="0.4">
      <c r="A9573" s="4">
        <v>1006002</v>
      </c>
      <c r="B9573">
        <v>6642000</v>
      </c>
    </row>
    <row r="9574" spans="1:2" x14ac:dyDescent="0.4">
      <c r="A9574" s="4">
        <v>1006002</v>
      </c>
      <c r="B9574">
        <v>6642100</v>
      </c>
    </row>
    <row r="9575" spans="1:2" x14ac:dyDescent="0.4">
      <c r="A9575" s="4">
        <v>1006002</v>
      </c>
      <c r="B9575">
        <v>6643000</v>
      </c>
    </row>
    <row r="9576" spans="1:2" x14ac:dyDescent="0.4">
      <c r="A9576" s="4">
        <v>1006002</v>
      </c>
      <c r="B9576">
        <v>6643100</v>
      </c>
    </row>
    <row r="9577" spans="1:2" x14ac:dyDescent="0.4">
      <c r="A9577" s="4">
        <v>1006002</v>
      </c>
      <c r="B9577">
        <v>6644000</v>
      </c>
    </row>
    <row r="9578" spans="1:2" x14ac:dyDescent="0.4">
      <c r="A9578" s="4">
        <v>1006002</v>
      </c>
      <c r="B9578">
        <v>6644100</v>
      </c>
    </row>
    <row r="9579" spans="1:2" x14ac:dyDescent="0.4">
      <c r="A9579" s="4">
        <v>1006002</v>
      </c>
      <c r="B9579">
        <v>6645000</v>
      </c>
    </row>
    <row r="9580" spans="1:2" x14ac:dyDescent="0.4">
      <c r="A9580" s="4">
        <v>1006002</v>
      </c>
      <c r="B9580">
        <v>6645100</v>
      </c>
    </row>
    <row r="9581" spans="1:2" x14ac:dyDescent="0.4">
      <c r="A9581" s="4">
        <v>1006002</v>
      </c>
      <c r="B9581">
        <v>6646000</v>
      </c>
    </row>
    <row r="9582" spans="1:2" x14ac:dyDescent="0.4">
      <c r="A9582" s="4">
        <v>1006002</v>
      </c>
      <c r="B9582">
        <v>6646100</v>
      </c>
    </row>
    <row r="9583" spans="1:2" x14ac:dyDescent="0.4">
      <c r="A9583" s="4">
        <v>1006002</v>
      </c>
      <c r="B9583">
        <v>6647000</v>
      </c>
    </row>
    <row r="9584" spans="1:2" x14ac:dyDescent="0.4">
      <c r="A9584" s="4">
        <v>1006002</v>
      </c>
      <c r="B9584">
        <v>6647100</v>
      </c>
    </row>
    <row r="9585" spans="1:2" x14ac:dyDescent="0.4">
      <c r="A9585" s="4">
        <v>1007000</v>
      </c>
      <c r="B9585">
        <v>7000000</v>
      </c>
    </row>
    <row r="9586" spans="1:2" x14ac:dyDescent="0.4">
      <c r="A9586" s="4">
        <v>1007000</v>
      </c>
      <c r="B9586">
        <v>7000001</v>
      </c>
    </row>
    <row r="9587" spans="1:2" x14ac:dyDescent="0.4">
      <c r="A9587" s="4">
        <v>1007000</v>
      </c>
      <c r="B9587">
        <v>7000002</v>
      </c>
    </row>
    <row r="9588" spans="1:2" x14ac:dyDescent="0.4">
      <c r="A9588" s="4">
        <v>1007000</v>
      </c>
      <c r="B9588">
        <v>7000100</v>
      </c>
    </row>
    <row r="9589" spans="1:2" x14ac:dyDescent="0.4">
      <c r="A9589" s="4">
        <v>1007000</v>
      </c>
      <c r="B9589">
        <v>7000101</v>
      </c>
    </row>
    <row r="9590" spans="1:2" x14ac:dyDescent="0.4">
      <c r="A9590" s="4">
        <v>1007000</v>
      </c>
      <c r="B9590">
        <v>7000102</v>
      </c>
    </row>
    <row r="9591" spans="1:2" x14ac:dyDescent="0.4">
      <c r="A9591" s="4">
        <v>1007000</v>
      </c>
      <c r="B9591">
        <v>7000200</v>
      </c>
    </row>
    <row r="9592" spans="1:2" x14ac:dyDescent="0.4">
      <c r="A9592" s="4">
        <v>1007000</v>
      </c>
      <c r="B9592">
        <v>7000201</v>
      </c>
    </row>
    <row r="9593" spans="1:2" x14ac:dyDescent="0.4">
      <c r="A9593" s="4">
        <v>1007000</v>
      </c>
      <c r="B9593">
        <v>7000202</v>
      </c>
    </row>
    <row r="9594" spans="1:2" x14ac:dyDescent="0.4">
      <c r="A9594" s="4">
        <v>1007000</v>
      </c>
      <c r="B9594">
        <v>7000300</v>
      </c>
    </row>
    <row r="9595" spans="1:2" x14ac:dyDescent="0.4">
      <c r="A9595" s="4">
        <v>1007000</v>
      </c>
      <c r="B9595">
        <v>7000301</v>
      </c>
    </row>
    <row r="9596" spans="1:2" x14ac:dyDescent="0.4">
      <c r="A9596" s="4">
        <v>1007000</v>
      </c>
      <c r="B9596">
        <v>7000302</v>
      </c>
    </row>
    <row r="9597" spans="1:2" x14ac:dyDescent="0.4">
      <c r="A9597" s="4">
        <v>1007000</v>
      </c>
      <c r="B9597">
        <v>7000400</v>
      </c>
    </row>
    <row r="9598" spans="1:2" x14ac:dyDescent="0.4">
      <c r="A9598" s="4">
        <v>1007000</v>
      </c>
      <c r="B9598">
        <v>7000401</v>
      </c>
    </row>
    <row r="9599" spans="1:2" x14ac:dyDescent="0.4">
      <c r="A9599" s="4">
        <v>1007000</v>
      </c>
      <c r="B9599">
        <v>7000402</v>
      </c>
    </row>
    <row r="9600" spans="1:2" x14ac:dyDescent="0.4">
      <c r="A9600" s="4">
        <v>1007000</v>
      </c>
      <c r="B9600">
        <v>7000500</v>
      </c>
    </row>
    <row r="9601" spans="1:2" x14ac:dyDescent="0.4">
      <c r="A9601" s="4">
        <v>1007000</v>
      </c>
      <c r="B9601">
        <v>7000501</v>
      </c>
    </row>
    <row r="9602" spans="1:2" x14ac:dyDescent="0.4">
      <c r="A9602" s="4">
        <v>1007000</v>
      </c>
      <c r="B9602">
        <v>7000502</v>
      </c>
    </row>
    <row r="9603" spans="1:2" x14ac:dyDescent="0.4">
      <c r="A9603" s="4">
        <v>1007000</v>
      </c>
      <c r="B9603">
        <v>7000600</v>
      </c>
    </row>
    <row r="9604" spans="1:2" x14ac:dyDescent="0.4">
      <c r="A9604" s="4">
        <v>1007000</v>
      </c>
      <c r="B9604">
        <v>7000601</v>
      </c>
    </row>
    <row r="9605" spans="1:2" x14ac:dyDescent="0.4">
      <c r="A9605" s="4">
        <v>1007000</v>
      </c>
      <c r="B9605">
        <v>7000602</v>
      </c>
    </row>
    <row r="9606" spans="1:2" x14ac:dyDescent="0.4">
      <c r="A9606" s="4">
        <v>1007000</v>
      </c>
      <c r="B9606">
        <v>7000700</v>
      </c>
    </row>
    <row r="9607" spans="1:2" x14ac:dyDescent="0.4">
      <c r="A9607" s="4">
        <v>1007000</v>
      </c>
      <c r="B9607">
        <v>7000701</v>
      </c>
    </row>
    <row r="9608" spans="1:2" x14ac:dyDescent="0.4">
      <c r="A9608" s="4">
        <v>1007000</v>
      </c>
      <c r="B9608">
        <v>7000702</v>
      </c>
    </row>
    <row r="9609" spans="1:2" x14ac:dyDescent="0.4">
      <c r="A9609" s="4">
        <v>1007000</v>
      </c>
      <c r="B9609">
        <v>7000800</v>
      </c>
    </row>
    <row r="9610" spans="1:2" x14ac:dyDescent="0.4">
      <c r="A9610" s="4">
        <v>1007000</v>
      </c>
      <c r="B9610">
        <v>7000801</v>
      </c>
    </row>
    <row r="9611" spans="1:2" x14ac:dyDescent="0.4">
      <c r="A9611" s="4">
        <v>1007000</v>
      </c>
      <c r="B9611">
        <v>7000802</v>
      </c>
    </row>
    <row r="9612" spans="1:2" x14ac:dyDescent="0.4">
      <c r="A9612" s="4">
        <v>1007000</v>
      </c>
      <c r="B9612">
        <v>7000900</v>
      </c>
    </row>
    <row r="9613" spans="1:2" x14ac:dyDescent="0.4">
      <c r="A9613" s="4">
        <v>1007000</v>
      </c>
      <c r="B9613">
        <v>7000901</v>
      </c>
    </row>
    <row r="9614" spans="1:2" x14ac:dyDescent="0.4">
      <c r="A9614" s="4">
        <v>1007000</v>
      </c>
      <c r="B9614">
        <v>7000902</v>
      </c>
    </row>
    <row r="9615" spans="1:2" x14ac:dyDescent="0.4">
      <c r="A9615" s="4">
        <v>1007000</v>
      </c>
      <c r="B9615">
        <v>7001000</v>
      </c>
    </row>
    <row r="9616" spans="1:2" x14ac:dyDescent="0.4">
      <c r="A9616" s="4">
        <v>1007000</v>
      </c>
      <c r="B9616">
        <v>7001001</v>
      </c>
    </row>
    <row r="9617" spans="1:2" x14ac:dyDescent="0.4">
      <c r="A9617" s="4">
        <v>1007000</v>
      </c>
      <c r="B9617">
        <v>7001002</v>
      </c>
    </row>
    <row r="9618" spans="1:2" x14ac:dyDescent="0.4">
      <c r="A9618" s="4">
        <v>1007000</v>
      </c>
      <c r="B9618">
        <v>7001400</v>
      </c>
    </row>
    <row r="9619" spans="1:2" x14ac:dyDescent="0.4">
      <c r="A9619" s="4">
        <v>1007000</v>
      </c>
      <c r="B9619">
        <v>7001401</v>
      </c>
    </row>
    <row r="9620" spans="1:2" x14ac:dyDescent="0.4">
      <c r="A9620" s="4">
        <v>1007000</v>
      </c>
      <c r="B9620">
        <v>7001402</v>
      </c>
    </row>
    <row r="9621" spans="1:2" x14ac:dyDescent="0.4">
      <c r="A9621" s="4">
        <v>1007000</v>
      </c>
      <c r="B9621">
        <v>7001500</v>
      </c>
    </row>
    <row r="9622" spans="1:2" x14ac:dyDescent="0.4">
      <c r="A9622" s="4">
        <v>1007000</v>
      </c>
      <c r="B9622">
        <v>7001501</v>
      </c>
    </row>
    <row r="9623" spans="1:2" x14ac:dyDescent="0.4">
      <c r="A9623" s="4">
        <v>1007000</v>
      </c>
      <c r="B9623">
        <v>7001502</v>
      </c>
    </row>
    <row r="9624" spans="1:2" x14ac:dyDescent="0.4">
      <c r="A9624" s="4">
        <v>1007000</v>
      </c>
      <c r="B9624">
        <v>7001600</v>
      </c>
    </row>
    <row r="9625" spans="1:2" x14ac:dyDescent="0.4">
      <c r="A9625" s="4">
        <v>1007000</v>
      </c>
      <c r="B9625">
        <v>7001601</v>
      </c>
    </row>
    <row r="9626" spans="1:2" x14ac:dyDescent="0.4">
      <c r="A9626" s="4">
        <v>1007000</v>
      </c>
      <c r="B9626">
        <v>7001602</v>
      </c>
    </row>
    <row r="9627" spans="1:2" x14ac:dyDescent="0.4">
      <c r="A9627" s="4">
        <v>1007000</v>
      </c>
      <c r="B9627">
        <v>7001700</v>
      </c>
    </row>
    <row r="9628" spans="1:2" x14ac:dyDescent="0.4">
      <c r="A9628" s="4">
        <v>1007000</v>
      </c>
      <c r="B9628">
        <v>7001701</v>
      </c>
    </row>
    <row r="9629" spans="1:2" x14ac:dyDescent="0.4">
      <c r="A9629" s="4">
        <v>1007000</v>
      </c>
      <c r="B9629">
        <v>7001702</v>
      </c>
    </row>
    <row r="9630" spans="1:2" x14ac:dyDescent="0.4">
      <c r="A9630" s="4">
        <v>1007000</v>
      </c>
      <c r="B9630">
        <v>7001800</v>
      </c>
    </row>
    <row r="9631" spans="1:2" x14ac:dyDescent="0.4">
      <c r="A9631" s="4">
        <v>1007000</v>
      </c>
      <c r="B9631">
        <v>7001801</v>
      </c>
    </row>
    <row r="9632" spans="1:2" x14ac:dyDescent="0.4">
      <c r="A9632" s="4">
        <v>1007000</v>
      </c>
      <c r="B9632">
        <v>7001802</v>
      </c>
    </row>
    <row r="9633" spans="1:2" x14ac:dyDescent="0.4">
      <c r="A9633" s="4">
        <v>1007000</v>
      </c>
      <c r="B9633">
        <v>7002600</v>
      </c>
    </row>
    <row r="9634" spans="1:2" x14ac:dyDescent="0.4">
      <c r="A9634" s="4">
        <v>1007000</v>
      </c>
      <c r="B9634">
        <v>7002700</v>
      </c>
    </row>
    <row r="9635" spans="1:2" x14ac:dyDescent="0.4">
      <c r="A9635" s="4">
        <v>1007000</v>
      </c>
      <c r="B9635">
        <v>7002800</v>
      </c>
    </row>
    <row r="9636" spans="1:2" x14ac:dyDescent="0.4">
      <c r="A9636" s="4">
        <v>1007000</v>
      </c>
      <c r="B9636">
        <v>7002900</v>
      </c>
    </row>
    <row r="9637" spans="1:2" x14ac:dyDescent="0.4">
      <c r="A9637" s="4">
        <v>1007000</v>
      </c>
      <c r="B9637">
        <v>7003000</v>
      </c>
    </row>
    <row r="9638" spans="1:2" x14ac:dyDescent="0.4">
      <c r="A9638" s="4">
        <v>1007000</v>
      </c>
      <c r="B9638">
        <v>7003100</v>
      </c>
    </row>
    <row r="9639" spans="1:2" x14ac:dyDescent="0.4">
      <c r="A9639" s="4">
        <v>1007000</v>
      </c>
      <c r="B9639">
        <v>7003200</v>
      </c>
    </row>
    <row r="9640" spans="1:2" x14ac:dyDescent="0.4">
      <c r="A9640" s="4">
        <v>1007000</v>
      </c>
      <c r="B9640">
        <v>7003300</v>
      </c>
    </row>
    <row r="9641" spans="1:2" x14ac:dyDescent="0.4">
      <c r="A9641" s="4">
        <v>1007000</v>
      </c>
      <c r="B9641">
        <v>7003400</v>
      </c>
    </row>
    <row r="9642" spans="1:2" x14ac:dyDescent="0.4">
      <c r="A9642" s="4">
        <v>1007000</v>
      </c>
      <c r="B9642">
        <v>7003500</v>
      </c>
    </row>
    <row r="9643" spans="1:2" x14ac:dyDescent="0.4">
      <c r="A9643" s="4">
        <v>1007000</v>
      </c>
      <c r="B9643">
        <v>7003600</v>
      </c>
    </row>
    <row r="9644" spans="1:2" x14ac:dyDescent="0.4">
      <c r="A9644" s="4">
        <v>1007000</v>
      </c>
      <c r="B9644">
        <v>7005600</v>
      </c>
    </row>
    <row r="9645" spans="1:2" x14ac:dyDescent="0.4">
      <c r="A9645" s="4">
        <v>1007000</v>
      </c>
      <c r="B9645">
        <v>7006000</v>
      </c>
    </row>
    <row r="9646" spans="1:2" x14ac:dyDescent="0.4">
      <c r="A9646" s="4">
        <v>1007000</v>
      </c>
      <c r="B9646">
        <v>7006100</v>
      </c>
    </row>
    <row r="9647" spans="1:2" x14ac:dyDescent="0.4">
      <c r="A9647" s="4">
        <v>1007000</v>
      </c>
      <c r="B9647">
        <v>7010200</v>
      </c>
    </row>
    <row r="9648" spans="1:2" x14ac:dyDescent="0.4">
      <c r="A9648" s="4">
        <v>1007000</v>
      </c>
      <c r="B9648">
        <v>7010500</v>
      </c>
    </row>
    <row r="9649" spans="1:2" x14ac:dyDescent="0.4">
      <c r="A9649" s="4">
        <v>1007000</v>
      </c>
      <c r="B9649">
        <v>7010700</v>
      </c>
    </row>
    <row r="9650" spans="1:2" x14ac:dyDescent="0.4">
      <c r="A9650" s="4">
        <v>1007000</v>
      </c>
      <c r="B9650">
        <v>7010900</v>
      </c>
    </row>
    <row r="9651" spans="1:2" x14ac:dyDescent="0.4">
      <c r="A9651" s="4">
        <v>1007000</v>
      </c>
      <c r="B9651">
        <v>7011000</v>
      </c>
    </row>
    <row r="9652" spans="1:2" x14ac:dyDescent="0.4">
      <c r="A9652" s="4">
        <v>1007000</v>
      </c>
      <c r="B9652">
        <v>7011200</v>
      </c>
    </row>
    <row r="9653" spans="1:2" x14ac:dyDescent="0.4">
      <c r="A9653" s="4">
        <v>1007000</v>
      </c>
      <c r="B9653">
        <v>7011600</v>
      </c>
    </row>
    <row r="9654" spans="1:2" x14ac:dyDescent="0.4">
      <c r="A9654" s="4">
        <v>1007000</v>
      </c>
      <c r="B9654">
        <v>7011700</v>
      </c>
    </row>
    <row r="9655" spans="1:2" x14ac:dyDescent="0.4">
      <c r="A9655" s="4">
        <v>1007000</v>
      </c>
      <c r="B9655">
        <v>7012000</v>
      </c>
    </row>
    <row r="9656" spans="1:2" x14ac:dyDescent="0.4">
      <c r="A9656" s="4">
        <v>1007000</v>
      </c>
      <c r="B9656">
        <v>7012200</v>
      </c>
    </row>
    <row r="9657" spans="1:2" x14ac:dyDescent="0.4">
      <c r="A9657" s="4">
        <v>1007000</v>
      </c>
      <c r="B9657">
        <v>7012300</v>
      </c>
    </row>
    <row r="9658" spans="1:2" x14ac:dyDescent="0.4">
      <c r="A9658" s="4">
        <v>1007000</v>
      </c>
      <c r="B9658">
        <v>7020000</v>
      </c>
    </row>
    <row r="9659" spans="1:2" x14ac:dyDescent="0.4">
      <c r="A9659" s="4">
        <v>1007000</v>
      </c>
      <c r="B9659">
        <v>7030000</v>
      </c>
    </row>
    <row r="9660" spans="1:2" x14ac:dyDescent="0.4">
      <c r="A9660" s="4">
        <v>1007000</v>
      </c>
      <c r="B9660">
        <v>7030200</v>
      </c>
    </row>
    <row r="9661" spans="1:2" x14ac:dyDescent="0.4">
      <c r="A9661" s="4">
        <v>1007000</v>
      </c>
      <c r="B9661">
        <v>7030600</v>
      </c>
    </row>
    <row r="9662" spans="1:2" x14ac:dyDescent="0.4">
      <c r="A9662" s="4">
        <v>1007000</v>
      </c>
      <c r="B9662">
        <v>7030700</v>
      </c>
    </row>
    <row r="9663" spans="1:2" x14ac:dyDescent="0.4">
      <c r="A9663" s="4">
        <v>1007000</v>
      </c>
      <c r="B9663">
        <v>7030800</v>
      </c>
    </row>
    <row r="9664" spans="1:2" x14ac:dyDescent="0.4">
      <c r="A9664" s="4">
        <v>1007000</v>
      </c>
      <c r="B9664">
        <v>7030900</v>
      </c>
    </row>
    <row r="9665" spans="1:2" x14ac:dyDescent="0.4">
      <c r="A9665" s="4">
        <v>1007000</v>
      </c>
      <c r="B9665">
        <v>7031200</v>
      </c>
    </row>
    <row r="9666" spans="1:2" x14ac:dyDescent="0.4">
      <c r="A9666" s="4">
        <v>1007000</v>
      </c>
      <c r="B9666">
        <v>7031300</v>
      </c>
    </row>
    <row r="9667" spans="1:2" x14ac:dyDescent="0.4">
      <c r="A9667" s="4">
        <v>1007000</v>
      </c>
      <c r="B9667">
        <v>7031800</v>
      </c>
    </row>
    <row r="9668" spans="1:2" x14ac:dyDescent="0.4">
      <c r="A9668" s="4">
        <v>1007000</v>
      </c>
      <c r="B9668">
        <v>7031900</v>
      </c>
    </row>
    <row r="9669" spans="1:2" x14ac:dyDescent="0.4">
      <c r="A9669" s="4">
        <v>1007000</v>
      </c>
      <c r="B9669">
        <v>7032200</v>
      </c>
    </row>
    <row r="9670" spans="1:2" x14ac:dyDescent="0.4">
      <c r="A9670" s="4">
        <v>1007000</v>
      </c>
      <c r="B9670">
        <v>7032400</v>
      </c>
    </row>
    <row r="9671" spans="1:2" x14ac:dyDescent="0.4">
      <c r="A9671" s="4">
        <v>1007000</v>
      </c>
      <c r="B9671">
        <v>7032700</v>
      </c>
    </row>
    <row r="9672" spans="1:2" x14ac:dyDescent="0.4">
      <c r="A9672" s="4">
        <v>1007000</v>
      </c>
      <c r="B9672">
        <v>7032800</v>
      </c>
    </row>
    <row r="9673" spans="1:2" x14ac:dyDescent="0.4">
      <c r="A9673" s="4">
        <v>1007000</v>
      </c>
      <c r="B9673">
        <v>7032900</v>
      </c>
    </row>
    <row r="9674" spans="1:2" x14ac:dyDescent="0.4">
      <c r="A9674" s="4">
        <v>1007000</v>
      </c>
      <c r="B9674">
        <v>7033200</v>
      </c>
    </row>
    <row r="9675" spans="1:2" x14ac:dyDescent="0.4">
      <c r="A9675" s="4">
        <v>1007000</v>
      </c>
      <c r="B9675">
        <v>7033400</v>
      </c>
    </row>
    <row r="9676" spans="1:2" x14ac:dyDescent="0.4">
      <c r="A9676" s="4">
        <v>1007000</v>
      </c>
      <c r="B9676">
        <v>7034100</v>
      </c>
    </row>
    <row r="9677" spans="1:2" x14ac:dyDescent="0.4">
      <c r="A9677" s="4">
        <v>1007000</v>
      </c>
      <c r="B9677">
        <v>7034400</v>
      </c>
    </row>
    <row r="9678" spans="1:2" x14ac:dyDescent="0.4">
      <c r="A9678" s="4">
        <v>1007000</v>
      </c>
      <c r="B9678">
        <v>7034500</v>
      </c>
    </row>
    <row r="9679" spans="1:2" x14ac:dyDescent="0.4">
      <c r="A9679" s="4">
        <v>1007000</v>
      </c>
      <c r="B9679">
        <v>7034600</v>
      </c>
    </row>
    <row r="9680" spans="1:2" x14ac:dyDescent="0.4">
      <c r="A9680" s="4">
        <v>1007000</v>
      </c>
      <c r="B9680">
        <v>7034700</v>
      </c>
    </row>
    <row r="9681" spans="1:2" x14ac:dyDescent="0.4">
      <c r="A9681" s="4">
        <v>1007000</v>
      </c>
      <c r="B9681">
        <v>7035100</v>
      </c>
    </row>
    <row r="9682" spans="1:2" x14ac:dyDescent="0.4">
      <c r="A9682" s="4">
        <v>1007000</v>
      </c>
      <c r="B9682">
        <v>7036100</v>
      </c>
    </row>
    <row r="9683" spans="1:2" x14ac:dyDescent="0.4">
      <c r="A9683" s="4">
        <v>1007000</v>
      </c>
      <c r="B9683">
        <v>7040000</v>
      </c>
    </row>
    <row r="9684" spans="1:2" x14ac:dyDescent="0.4">
      <c r="A9684" s="4">
        <v>1007000</v>
      </c>
      <c r="B9684">
        <v>7040100</v>
      </c>
    </row>
    <row r="9685" spans="1:2" x14ac:dyDescent="0.4">
      <c r="A9685" s="4">
        <v>1007000</v>
      </c>
      <c r="B9685">
        <v>7040200</v>
      </c>
    </row>
    <row r="9686" spans="1:2" x14ac:dyDescent="0.4">
      <c r="A9686" s="4">
        <v>1007000</v>
      </c>
      <c r="B9686">
        <v>7040300</v>
      </c>
    </row>
    <row r="9687" spans="1:2" x14ac:dyDescent="0.4">
      <c r="A9687" s="4">
        <v>1007000</v>
      </c>
      <c r="B9687">
        <v>7040400</v>
      </c>
    </row>
    <row r="9688" spans="1:2" x14ac:dyDescent="0.4">
      <c r="A9688" s="4">
        <v>1007000</v>
      </c>
      <c r="B9688">
        <v>7040500</v>
      </c>
    </row>
    <row r="9689" spans="1:2" x14ac:dyDescent="0.4">
      <c r="A9689" s="4">
        <v>1007000</v>
      </c>
      <c r="B9689">
        <v>7043000</v>
      </c>
    </row>
    <row r="9690" spans="1:2" x14ac:dyDescent="0.4">
      <c r="A9690" s="4">
        <v>1007000</v>
      </c>
      <c r="B9690">
        <v>7043100</v>
      </c>
    </row>
    <row r="9691" spans="1:2" x14ac:dyDescent="0.4">
      <c r="A9691" s="4">
        <v>1007000</v>
      </c>
      <c r="B9691">
        <v>7043200</v>
      </c>
    </row>
    <row r="9692" spans="1:2" x14ac:dyDescent="0.4">
      <c r="A9692" s="4">
        <v>1007000</v>
      </c>
      <c r="B9692">
        <v>7043300</v>
      </c>
    </row>
    <row r="9693" spans="1:2" x14ac:dyDescent="0.4">
      <c r="A9693" s="4">
        <v>1007000</v>
      </c>
      <c r="B9693">
        <v>7043400</v>
      </c>
    </row>
    <row r="9694" spans="1:2" x14ac:dyDescent="0.4">
      <c r="A9694" s="4">
        <v>1007000</v>
      </c>
      <c r="B9694">
        <v>7043500</v>
      </c>
    </row>
    <row r="9695" spans="1:2" x14ac:dyDescent="0.4">
      <c r="A9695" s="4">
        <v>1007000</v>
      </c>
      <c r="B9695">
        <v>7043600</v>
      </c>
    </row>
    <row r="9696" spans="1:2" x14ac:dyDescent="0.4">
      <c r="A9696" s="4">
        <v>1007000</v>
      </c>
      <c r="B9696">
        <v>7043700</v>
      </c>
    </row>
    <row r="9697" spans="1:2" x14ac:dyDescent="0.4">
      <c r="A9697" s="4">
        <v>1007000</v>
      </c>
      <c r="B9697">
        <v>7043800</v>
      </c>
    </row>
    <row r="9698" spans="1:2" x14ac:dyDescent="0.4">
      <c r="A9698" s="4">
        <v>1007000</v>
      </c>
      <c r="B9698">
        <v>7044000</v>
      </c>
    </row>
    <row r="9699" spans="1:2" x14ac:dyDescent="0.4">
      <c r="A9699" s="4">
        <v>1007000</v>
      </c>
      <c r="B9699">
        <v>7044100</v>
      </c>
    </row>
    <row r="9700" spans="1:2" x14ac:dyDescent="0.4">
      <c r="A9700" s="4">
        <v>1007000</v>
      </c>
      <c r="B9700">
        <v>7044200</v>
      </c>
    </row>
    <row r="9701" spans="1:2" x14ac:dyDescent="0.4">
      <c r="A9701" s="4">
        <v>1007000</v>
      </c>
      <c r="B9701">
        <v>7044300</v>
      </c>
    </row>
    <row r="9702" spans="1:2" x14ac:dyDescent="0.4">
      <c r="A9702" s="4">
        <v>1007000</v>
      </c>
      <c r="B9702">
        <v>7044400</v>
      </c>
    </row>
    <row r="9703" spans="1:2" x14ac:dyDescent="0.4">
      <c r="A9703" s="4">
        <v>1007000</v>
      </c>
      <c r="B9703">
        <v>7044500</v>
      </c>
    </row>
    <row r="9704" spans="1:2" x14ac:dyDescent="0.4">
      <c r="A9704" s="4">
        <v>1007000</v>
      </c>
      <c r="B9704">
        <v>7044600</v>
      </c>
    </row>
    <row r="9705" spans="1:2" x14ac:dyDescent="0.4">
      <c r="A9705" s="4">
        <v>1007000</v>
      </c>
      <c r="B9705">
        <v>7050000</v>
      </c>
    </row>
    <row r="9706" spans="1:2" x14ac:dyDescent="0.4">
      <c r="A9706" s="4">
        <v>1007000</v>
      </c>
      <c r="B9706">
        <v>7050100</v>
      </c>
    </row>
    <row r="9707" spans="1:2" x14ac:dyDescent="0.4">
      <c r="A9707" s="4">
        <v>1007000</v>
      </c>
      <c r="B9707">
        <v>7060000</v>
      </c>
    </row>
    <row r="9708" spans="1:2" x14ac:dyDescent="0.4">
      <c r="A9708" s="4">
        <v>1007000</v>
      </c>
      <c r="B9708">
        <v>7060100</v>
      </c>
    </row>
    <row r="9709" spans="1:2" x14ac:dyDescent="0.4">
      <c r="A9709" s="4">
        <v>1007000</v>
      </c>
      <c r="B9709">
        <v>7060200</v>
      </c>
    </row>
    <row r="9710" spans="1:2" x14ac:dyDescent="0.4">
      <c r="A9710" s="4">
        <v>1007000</v>
      </c>
      <c r="B9710">
        <v>7070000</v>
      </c>
    </row>
    <row r="9711" spans="1:2" x14ac:dyDescent="0.4">
      <c r="A9711" s="4">
        <v>1007000</v>
      </c>
      <c r="B9711">
        <v>7080000</v>
      </c>
    </row>
    <row r="9712" spans="1:2" x14ac:dyDescent="0.4">
      <c r="A9712" s="4">
        <v>1007000</v>
      </c>
      <c r="B9712">
        <v>7080100</v>
      </c>
    </row>
    <row r="9713" spans="1:2" x14ac:dyDescent="0.4">
      <c r="A9713" s="4">
        <v>1007000</v>
      </c>
      <c r="B9713">
        <v>7080200</v>
      </c>
    </row>
    <row r="9714" spans="1:2" x14ac:dyDescent="0.4">
      <c r="A9714" s="4">
        <v>1007000</v>
      </c>
      <c r="B9714">
        <v>7080300</v>
      </c>
    </row>
    <row r="9715" spans="1:2" x14ac:dyDescent="0.4">
      <c r="A9715" s="4">
        <v>1007000</v>
      </c>
      <c r="B9715">
        <v>7080400</v>
      </c>
    </row>
    <row r="9716" spans="1:2" x14ac:dyDescent="0.4">
      <c r="A9716" s="4">
        <v>1007000</v>
      </c>
      <c r="B9716">
        <v>7080500</v>
      </c>
    </row>
    <row r="9717" spans="1:2" x14ac:dyDescent="0.4">
      <c r="A9717" s="4">
        <v>1007000</v>
      </c>
      <c r="B9717">
        <v>7080600</v>
      </c>
    </row>
    <row r="9718" spans="1:2" x14ac:dyDescent="0.4">
      <c r="A9718" s="4">
        <v>1007000</v>
      </c>
      <c r="B9718">
        <v>7080700</v>
      </c>
    </row>
    <row r="9719" spans="1:2" x14ac:dyDescent="0.4">
      <c r="A9719" s="4">
        <v>1007000</v>
      </c>
      <c r="B9719">
        <v>7080800</v>
      </c>
    </row>
    <row r="9720" spans="1:2" x14ac:dyDescent="0.4">
      <c r="A9720" s="4">
        <v>1007000</v>
      </c>
      <c r="B9720">
        <v>7080900</v>
      </c>
    </row>
    <row r="9721" spans="1:2" x14ac:dyDescent="0.4">
      <c r="A9721" s="4">
        <v>1007000</v>
      </c>
      <c r="B9721">
        <v>7081000</v>
      </c>
    </row>
    <row r="9722" spans="1:2" x14ac:dyDescent="0.4">
      <c r="A9722" s="4">
        <v>1007000</v>
      </c>
      <c r="B9722">
        <v>7081100</v>
      </c>
    </row>
    <row r="9723" spans="1:2" x14ac:dyDescent="0.4">
      <c r="A9723" s="4">
        <v>1007000</v>
      </c>
      <c r="B9723">
        <v>7081200</v>
      </c>
    </row>
    <row r="9724" spans="1:2" x14ac:dyDescent="0.4">
      <c r="A9724" s="4">
        <v>1007000</v>
      </c>
      <c r="B9724">
        <v>7081300</v>
      </c>
    </row>
    <row r="9725" spans="1:2" x14ac:dyDescent="0.4">
      <c r="A9725" s="4">
        <v>1007000</v>
      </c>
      <c r="B9725">
        <v>7081400</v>
      </c>
    </row>
    <row r="9726" spans="1:2" x14ac:dyDescent="0.4">
      <c r="A9726" s="4">
        <v>1007000</v>
      </c>
      <c r="B9726">
        <v>7081500</v>
      </c>
    </row>
    <row r="9727" spans="1:2" x14ac:dyDescent="0.4">
      <c r="A9727" s="4">
        <v>1007000</v>
      </c>
      <c r="B9727">
        <v>7081700</v>
      </c>
    </row>
    <row r="9728" spans="1:2" x14ac:dyDescent="0.4">
      <c r="A9728" s="4">
        <v>1007000</v>
      </c>
      <c r="B9728">
        <v>7081800</v>
      </c>
    </row>
    <row r="9729" spans="1:2" x14ac:dyDescent="0.4">
      <c r="A9729" s="4">
        <v>1007000</v>
      </c>
      <c r="B9729">
        <v>7081900</v>
      </c>
    </row>
    <row r="9730" spans="1:2" x14ac:dyDescent="0.4">
      <c r="A9730" s="4">
        <v>1007000</v>
      </c>
      <c r="B9730">
        <v>7082000</v>
      </c>
    </row>
    <row r="9731" spans="1:2" x14ac:dyDescent="0.4">
      <c r="A9731" s="4">
        <v>1007000</v>
      </c>
      <c r="B9731">
        <v>7082100</v>
      </c>
    </row>
    <row r="9732" spans="1:2" x14ac:dyDescent="0.4">
      <c r="A9732" s="4">
        <v>1007000</v>
      </c>
      <c r="B9732">
        <v>7082200</v>
      </c>
    </row>
    <row r="9733" spans="1:2" x14ac:dyDescent="0.4">
      <c r="A9733" s="4">
        <v>1007000</v>
      </c>
      <c r="B9733">
        <v>7082300</v>
      </c>
    </row>
    <row r="9734" spans="1:2" x14ac:dyDescent="0.4">
      <c r="A9734" s="4">
        <v>1007000</v>
      </c>
      <c r="B9734">
        <v>7082400</v>
      </c>
    </row>
    <row r="9735" spans="1:2" x14ac:dyDescent="0.4">
      <c r="A9735" s="4">
        <v>1007000</v>
      </c>
      <c r="B9735">
        <v>7082500</v>
      </c>
    </row>
    <row r="9736" spans="1:2" x14ac:dyDescent="0.4">
      <c r="A9736" s="4">
        <v>1007000</v>
      </c>
      <c r="B9736">
        <v>7082600</v>
      </c>
    </row>
    <row r="9737" spans="1:2" x14ac:dyDescent="0.4">
      <c r="A9737" s="4">
        <v>1007000</v>
      </c>
      <c r="B9737">
        <v>7082700</v>
      </c>
    </row>
    <row r="9738" spans="1:2" x14ac:dyDescent="0.4">
      <c r="A9738" s="4">
        <v>1007000</v>
      </c>
      <c r="B9738">
        <v>7082800</v>
      </c>
    </row>
    <row r="9739" spans="1:2" x14ac:dyDescent="0.4">
      <c r="A9739" s="4">
        <v>1007000</v>
      </c>
      <c r="B9739">
        <v>7082900</v>
      </c>
    </row>
    <row r="9740" spans="1:2" x14ac:dyDescent="0.4">
      <c r="A9740" s="4">
        <v>1007000</v>
      </c>
      <c r="B9740">
        <v>7090000</v>
      </c>
    </row>
    <row r="9741" spans="1:2" x14ac:dyDescent="0.4">
      <c r="A9741" s="4">
        <v>1007000</v>
      </c>
      <c r="B9741">
        <v>7090100</v>
      </c>
    </row>
    <row r="9742" spans="1:2" x14ac:dyDescent="0.4">
      <c r="A9742" s="4">
        <v>1007000</v>
      </c>
      <c r="B9742">
        <v>7090300</v>
      </c>
    </row>
    <row r="9743" spans="1:2" x14ac:dyDescent="0.4">
      <c r="A9743" s="4">
        <v>1007000</v>
      </c>
      <c r="B9743">
        <v>7100100</v>
      </c>
    </row>
    <row r="9744" spans="1:2" x14ac:dyDescent="0.4">
      <c r="A9744" s="4">
        <v>1007000</v>
      </c>
      <c r="B9744">
        <v>7110000</v>
      </c>
    </row>
    <row r="9745" spans="1:2" x14ac:dyDescent="0.4">
      <c r="A9745" s="4">
        <v>1007000</v>
      </c>
      <c r="B9745">
        <v>7120000</v>
      </c>
    </row>
    <row r="9746" spans="1:2" x14ac:dyDescent="0.4">
      <c r="A9746" s="4">
        <v>1007000</v>
      </c>
      <c r="B9746">
        <v>7120100</v>
      </c>
    </row>
    <row r="9747" spans="1:2" x14ac:dyDescent="0.4">
      <c r="A9747" s="4">
        <v>1007000</v>
      </c>
      <c r="B9747">
        <v>7120200</v>
      </c>
    </row>
    <row r="9748" spans="1:2" x14ac:dyDescent="0.4">
      <c r="A9748" s="4">
        <v>1007000</v>
      </c>
      <c r="B9748">
        <v>7120300</v>
      </c>
    </row>
    <row r="9749" spans="1:2" x14ac:dyDescent="0.4">
      <c r="A9749" s="4">
        <v>1007000</v>
      </c>
      <c r="B9749">
        <v>7120400</v>
      </c>
    </row>
    <row r="9750" spans="1:2" x14ac:dyDescent="0.4">
      <c r="A9750" s="4">
        <v>1007000</v>
      </c>
      <c r="B9750">
        <v>7120500</v>
      </c>
    </row>
    <row r="9751" spans="1:2" x14ac:dyDescent="0.4">
      <c r="A9751" s="4">
        <v>1007000</v>
      </c>
      <c r="B9751">
        <v>7120600</v>
      </c>
    </row>
    <row r="9752" spans="1:2" x14ac:dyDescent="0.4">
      <c r="A9752" s="4">
        <v>1007000</v>
      </c>
      <c r="B9752">
        <v>7120900</v>
      </c>
    </row>
    <row r="9753" spans="1:2" x14ac:dyDescent="0.4">
      <c r="A9753" s="4">
        <v>1007000</v>
      </c>
      <c r="B9753">
        <v>7121000</v>
      </c>
    </row>
    <row r="9754" spans="1:2" x14ac:dyDescent="0.4">
      <c r="A9754" s="4">
        <v>1007000</v>
      </c>
      <c r="B9754">
        <v>7121100</v>
      </c>
    </row>
    <row r="9755" spans="1:2" x14ac:dyDescent="0.4">
      <c r="A9755" s="4">
        <v>1007000</v>
      </c>
      <c r="B9755">
        <v>7121200</v>
      </c>
    </row>
    <row r="9756" spans="1:2" x14ac:dyDescent="0.4">
      <c r="A9756" s="4">
        <v>1007000</v>
      </c>
      <c r="B9756">
        <v>7121300</v>
      </c>
    </row>
    <row r="9757" spans="1:2" x14ac:dyDescent="0.4">
      <c r="A9757" s="4">
        <v>1007000</v>
      </c>
      <c r="B9757">
        <v>7121400</v>
      </c>
    </row>
    <row r="9758" spans="1:2" x14ac:dyDescent="0.4">
      <c r="A9758" s="4">
        <v>1007000</v>
      </c>
      <c r="B9758">
        <v>7121500</v>
      </c>
    </row>
    <row r="9759" spans="1:2" x14ac:dyDescent="0.4">
      <c r="A9759" s="4">
        <v>1007000</v>
      </c>
      <c r="B9759">
        <v>7121600</v>
      </c>
    </row>
    <row r="9760" spans="1:2" x14ac:dyDescent="0.4">
      <c r="A9760" s="4">
        <v>1007000</v>
      </c>
      <c r="B9760">
        <v>7121700</v>
      </c>
    </row>
    <row r="9761" spans="1:2" x14ac:dyDescent="0.4">
      <c r="A9761" s="4">
        <v>1007000</v>
      </c>
      <c r="B9761">
        <v>7121800</v>
      </c>
    </row>
    <row r="9762" spans="1:2" x14ac:dyDescent="0.4">
      <c r="A9762" s="4">
        <v>1007000</v>
      </c>
      <c r="B9762">
        <v>7121900</v>
      </c>
    </row>
    <row r="9763" spans="1:2" x14ac:dyDescent="0.4">
      <c r="A9763" s="4">
        <v>1007000</v>
      </c>
      <c r="B9763">
        <v>7122000</v>
      </c>
    </row>
    <row r="9764" spans="1:2" x14ac:dyDescent="0.4">
      <c r="A9764" s="4">
        <v>1007000</v>
      </c>
      <c r="B9764">
        <v>7122100</v>
      </c>
    </row>
    <row r="9765" spans="1:2" x14ac:dyDescent="0.4">
      <c r="A9765" s="4">
        <v>1007000</v>
      </c>
      <c r="B9765">
        <v>7122200</v>
      </c>
    </row>
    <row r="9766" spans="1:2" x14ac:dyDescent="0.4">
      <c r="A9766" s="4">
        <v>1007000</v>
      </c>
      <c r="B9766">
        <v>7122300</v>
      </c>
    </row>
    <row r="9767" spans="1:2" x14ac:dyDescent="0.4">
      <c r="A9767" s="4">
        <v>1007000</v>
      </c>
      <c r="B9767">
        <v>7122400</v>
      </c>
    </row>
    <row r="9768" spans="1:2" x14ac:dyDescent="0.4">
      <c r="A9768" s="4">
        <v>1007000</v>
      </c>
      <c r="B9768">
        <v>7122500</v>
      </c>
    </row>
    <row r="9769" spans="1:2" x14ac:dyDescent="0.4">
      <c r="A9769" s="4">
        <v>1007000</v>
      </c>
      <c r="B9769">
        <v>7122600</v>
      </c>
    </row>
    <row r="9770" spans="1:2" x14ac:dyDescent="0.4">
      <c r="A9770" s="4">
        <v>1007000</v>
      </c>
      <c r="B9770">
        <v>7122700</v>
      </c>
    </row>
    <row r="9771" spans="1:2" x14ac:dyDescent="0.4">
      <c r="A9771" s="4">
        <v>1007000</v>
      </c>
      <c r="B9771">
        <v>7122800</v>
      </c>
    </row>
    <row r="9772" spans="1:2" x14ac:dyDescent="0.4">
      <c r="A9772" s="4">
        <v>1007000</v>
      </c>
      <c r="B9772">
        <v>7122900</v>
      </c>
    </row>
    <row r="9773" spans="1:2" x14ac:dyDescent="0.4">
      <c r="A9773" s="4">
        <v>1007000</v>
      </c>
      <c r="B9773">
        <v>7123000</v>
      </c>
    </row>
    <row r="9774" spans="1:2" x14ac:dyDescent="0.4">
      <c r="A9774" s="4">
        <v>1007000</v>
      </c>
      <c r="B9774">
        <v>7123100</v>
      </c>
    </row>
    <row r="9775" spans="1:2" x14ac:dyDescent="0.4">
      <c r="A9775" s="4">
        <v>1007000</v>
      </c>
      <c r="B9775">
        <v>7123200</v>
      </c>
    </row>
    <row r="9776" spans="1:2" x14ac:dyDescent="0.4">
      <c r="A9776" s="4">
        <v>1007000</v>
      </c>
      <c r="B9776">
        <v>7123300</v>
      </c>
    </row>
    <row r="9777" spans="1:2" x14ac:dyDescent="0.4">
      <c r="A9777" s="4">
        <v>1007000</v>
      </c>
      <c r="B9777">
        <v>7123400</v>
      </c>
    </row>
    <row r="9778" spans="1:2" x14ac:dyDescent="0.4">
      <c r="A9778" s="4">
        <v>1007000</v>
      </c>
      <c r="B9778">
        <v>7123500</v>
      </c>
    </row>
    <row r="9779" spans="1:2" x14ac:dyDescent="0.4">
      <c r="A9779" s="4">
        <v>1007000</v>
      </c>
      <c r="B9779">
        <v>7123600</v>
      </c>
    </row>
    <row r="9780" spans="1:2" x14ac:dyDescent="0.4">
      <c r="A9780" s="4">
        <v>1007000</v>
      </c>
      <c r="B9780">
        <v>7123700</v>
      </c>
    </row>
    <row r="9781" spans="1:2" x14ac:dyDescent="0.4">
      <c r="A9781" s="4">
        <v>1007000</v>
      </c>
      <c r="B9781">
        <v>7123800</v>
      </c>
    </row>
    <row r="9782" spans="1:2" x14ac:dyDescent="0.4">
      <c r="A9782" s="4">
        <v>1007000</v>
      </c>
      <c r="B9782">
        <v>7123900</v>
      </c>
    </row>
    <row r="9783" spans="1:2" x14ac:dyDescent="0.4">
      <c r="A9783" s="4">
        <v>1007000</v>
      </c>
      <c r="B9783">
        <v>7124000</v>
      </c>
    </row>
    <row r="9784" spans="1:2" x14ac:dyDescent="0.4">
      <c r="A9784" s="4">
        <v>1007000</v>
      </c>
      <c r="B9784">
        <v>7124100</v>
      </c>
    </row>
    <row r="9785" spans="1:2" x14ac:dyDescent="0.4">
      <c r="A9785" s="4">
        <v>1007000</v>
      </c>
      <c r="B9785">
        <v>7124300</v>
      </c>
    </row>
    <row r="9786" spans="1:2" x14ac:dyDescent="0.4">
      <c r="A9786" s="4">
        <v>1007000</v>
      </c>
      <c r="B9786">
        <v>7124400</v>
      </c>
    </row>
    <row r="9787" spans="1:2" x14ac:dyDescent="0.4">
      <c r="A9787" s="4">
        <v>1007000</v>
      </c>
      <c r="B9787">
        <v>7124500</v>
      </c>
    </row>
    <row r="9788" spans="1:2" x14ac:dyDescent="0.4">
      <c r="A9788" s="4">
        <v>1007000</v>
      </c>
      <c r="B9788">
        <v>7124600</v>
      </c>
    </row>
    <row r="9789" spans="1:2" x14ac:dyDescent="0.4">
      <c r="A9789" s="4">
        <v>1007000</v>
      </c>
      <c r="B9789">
        <v>7124700</v>
      </c>
    </row>
    <row r="9790" spans="1:2" x14ac:dyDescent="0.4">
      <c r="A9790" s="4">
        <v>1007000</v>
      </c>
      <c r="B9790">
        <v>7126000</v>
      </c>
    </row>
    <row r="9791" spans="1:2" x14ac:dyDescent="0.4">
      <c r="A9791" s="4">
        <v>1007000</v>
      </c>
      <c r="B9791">
        <v>7150000</v>
      </c>
    </row>
    <row r="9792" spans="1:2" x14ac:dyDescent="0.4">
      <c r="A9792" s="4">
        <v>1007000</v>
      </c>
      <c r="B9792">
        <v>7160000</v>
      </c>
    </row>
    <row r="9793" spans="1:2" x14ac:dyDescent="0.4">
      <c r="A9793" s="4">
        <v>1007000</v>
      </c>
      <c r="B9793">
        <v>7220000</v>
      </c>
    </row>
    <row r="9794" spans="1:2" x14ac:dyDescent="0.4">
      <c r="A9794" s="4">
        <v>1007000</v>
      </c>
      <c r="B9794">
        <v>7230000</v>
      </c>
    </row>
    <row r="9795" spans="1:2" x14ac:dyDescent="0.4">
      <c r="A9795" s="4">
        <v>1007000</v>
      </c>
      <c r="B9795">
        <v>7240000</v>
      </c>
    </row>
    <row r="9796" spans="1:2" x14ac:dyDescent="0.4">
      <c r="A9796" s="4">
        <v>1007000</v>
      </c>
      <c r="B9796">
        <v>7260000</v>
      </c>
    </row>
    <row r="9797" spans="1:2" x14ac:dyDescent="0.4">
      <c r="A9797" s="4">
        <v>1007000</v>
      </c>
      <c r="B9797">
        <v>7260300</v>
      </c>
    </row>
    <row r="9798" spans="1:2" x14ac:dyDescent="0.4">
      <c r="A9798" s="4">
        <v>1007000</v>
      </c>
      <c r="B9798">
        <v>7260400</v>
      </c>
    </row>
    <row r="9799" spans="1:2" x14ac:dyDescent="0.4">
      <c r="A9799" s="4">
        <v>1007000</v>
      </c>
      <c r="B9799">
        <v>7270100</v>
      </c>
    </row>
    <row r="9800" spans="1:2" x14ac:dyDescent="0.4">
      <c r="A9800" s="4">
        <v>1007000</v>
      </c>
      <c r="B9800">
        <v>7280000</v>
      </c>
    </row>
    <row r="9801" spans="1:2" x14ac:dyDescent="0.4">
      <c r="A9801" s="4">
        <v>1007000</v>
      </c>
      <c r="B9801">
        <v>7290000</v>
      </c>
    </row>
    <row r="9802" spans="1:2" x14ac:dyDescent="0.4">
      <c r="A9802" s="4">
        <v>1007000</v>
      </c>
      <c r="B9802">
        <v>7310000</v>
      </c>
    </row>
    <row r="9803" spans="1:2" x14ac:dyDescent="0.4">
      <c r="A9803" s="4">
        <v>1007000</v>
      </c>
      <c r="B9803">
        <v>7330000</v>
      </c>
    </row>
    <row r="9804" spans="1:2" x14ac:dyDescent="0.4">
      <c r="A9804" s="4">
        <v>1007000</v>
      </c>
      <c r="B9804">
        <v>7330100</v>
      </c>
    </row>
    <row r="9805" spans="1:2" x14ac:dyDescent="0.4">
      <c r="A9805" s="4">
        <v>1007000</v>
      </c>
      <c r="B9805">
        <v>7330200</v>
      </c>
    </row>
    <row r="9806" spans="1:2" x14ac:dyDescent="0.4">
      <c r="A9806" s="4">
        <v>1007000</v>
      </c>
      <c r="B9806">
        <v>7330300</v>
      </c>
    </row>
    <row r="9807" spans="1:2" x14ac:dyDescent="0.4">
      <c r="A9807" s="4">
        <v>1007000</v>
      </c>
      <c r="B9807">
        <v>7330400</v>
      </c>
    </row>
    <row r="9808" spans="1:2" x14ac:dyDescent="0.4">
      <c r="A9808" s="4">
        <v>1007000</v>
      </c>
      <c r="B9808">
        <v>7330500</v>
      </c>
    </row>
    <row r="9809" spans="1:2" x14ac:dyDescent="0.4">
      <c r="A9809" s="4">
        <v>1007000</v>
      </c>
      <c r="B9809">
        <v>7330600</v>
      </c>
    </row>
    <row r="9810" spans="1:2" x14ac:dyDescent="0.4">
      <c r="A9810" s="4">
        <v>1007000</v>
      </c>
      <c r="B9810">
        <v>7330700</v>
      </c>
    </row>
    <row r="9811" spans="1:2" x14ac:dyDescent="0.4">
      <c r="A9811" s="4">
        <v>1007000</v>
      </c>
      <c r="B9811">
        <v>7330800</v>
      </c>
    </row>
    <row r="9812" spans="1:2" x14ac:dyDescent="0.4">
      <c r="A9812" s="4">
        <v>1007000</v>
      </c>
      <c r="B9812">
        <v>7330900</v>
      </c>
    </row>
    <row r="9813" spans="1:2" x14ac:dyDescent="0.4">
      <c r="A9813" s="4">
        <v>1007000</v>
      </c>
      <c r="B9813">
        <v>7331000</v>
      </c>
    </row>
    <row r="9814" spans="1:2" x14ac:dyDescent="0.4">
      <c r="A9814" s="4">
        <v>1007000</v>
      </c>
      <c r="B9814">
        <v>7331100</v>
      </c>
    </row>
    <row r="9815" spans="1:2" x14ac:dyDescent="0.4">
      <c r="A9815" s="4">
        <v>1007000</v>
      </c>
      <c r="B9815">
        <v>7331200</v>
      </c>
    </row>
    <row r="9816" spans="1:2" x14ac:dyDescent="0.4">
      <c r="A9816" s="4">
        <v>1007000</v>
      </c>
      <c r="B9816">
        <v>7331300</v>
      </c>
    </row>
    <row r="9817" spans="1:2" x14ac:dyDescent="0.4">
      <c r="A9817" s="4">
        <v>1007000</v>
      </c>
      <c r="B9817">
        <v>7331400</v>
      </c>
    </row>
    <row r="9818" spans="1:2" x14ac:dyDescent="0.4">
      <c r="A9818" s="4">
        <v>1007000</v>
      </c>
      <c r="B9818">
        <v>7331500</v>
      </c>
    </row>
    <row r="9819" spans="1:2" x14ac:dyDescent="0.4">
      <c r="A9819" s="4">
        <v>1007000</v>
      </c>
      <c r="B9819">
        <v>7331700</v>
      </c>
    </row>
    <row r="9820" spans="1:2" x14ac:dyDescent="0.4">
      <c r="A9820" s="4">
        <v>1007000</v>
      </c>
      <c r="B9820">
        <v>7331800</v>
      </c>
    </row>
    <row r="9821" spans="1:2" x14ac:dyDescent="0.4">
      <c r="A9821" s="4">
        <v>1007000</v>
      </c>
      <c r="B9821">
        <v>7331900</v>
      </c>
    </row>
    <row r="9822" spans="1:2" x14ac:dyDescent="0.4">
      <c r="A9822" s="4">
        <v>1007000</v>
      </c>
      <c r="B9822">
        <v>7332000</v>
      </c>
    </row>
    <row r="9823" spans="1:2" x14ac:dyDescent="0.4">
      <c r="A9823" s="4">
        <v>1007000</v>
      </c>
      <c r="B9823">
        <v>7332100</v>
      </c>
    </row>
    <row r="9824" spans="1:2" x14ac:dyDescent="0.4">
      <c r="A9824" s="4">
        <v>1007000</v>
      </c>
      <c r="B9824">
        <v>7332200</v>
      </c>
    </row>
    <row r="9825" spans="1:2" x14ac:dyDescent="0.4">
      <c r="A9825" s="4">
        <v>1007000</v>
      </c>
      <c r="B9825">
        <v>7332300</v>
      </c>
    </row>
    <row r="9826" spans="1:2" x14ac:dyDescent="0.4">
      <c r="A9826" s="4">
        <v>1007000</v>
      </c>
      <c r="B9826">
        <v>7332400</v>
      </c>
    </row>
    <row r="9827" spans="1:2" x14ac:dyDescent="0.4">
      <c r="A9827" s="4">
        <v>1007000</v>
      </c>
      <c r="B9827">
        <v>7340000</v>
      </c>
    </row>
    <row r="9828" spans="1:2" x14ac:dyDescent="0.4">
      <c r="A9828" s="4">
        <v>1007000</v>
      </c>
      <c r="B9828">
        <v>7340100</v>
      </c>
    </row>
    <row r="9829" spans="1:2" x14ac:dyDescent="0.4">
      <c r="A9829" s="4">
        <v>1007000</v>
      </c>
      <c r="B9829">
        <v>7340200</v>
      </c>
    </row>
    <row r="9830" spans="1:2" x14ac:dyDescent="0.4">
      <c r="A9830" s="4">
        <v>1007000</v>
      </c>
      <c r="B9830">
        <v>7340300</v>
      </c>
    </row>
    <row r="9831" spans="1:2" x14ac:dyDescent="0.4">
      <c r="A9831" s="4">
        <v>1007000</v>
      </c>
      <c r="B9831">
        <v>7340400</v>
      </c>
    </row>
    <row r="9832" spans="1:2" x14ac:dyDescent="0.4">
      <c r="A9832" s="4">
        <v>1007000</v>
      </c>
      <c r="B9832">
        <v>7340500</v>
      </c>
    </row>
    <row r="9833" spans="1:2" x14ac:dyDescent="0.4">
      <c r="A9833" s="4">
        <v>1007000</v>
      </c>
      <c r="B9833">
        <v>7340600</v>
      </c>
    </row>
    <row r="9834" spans="1:2" x14ac:dyDescent="0.4">
      <c r="A9834" s="4">
        <v>1007000</v>
      </c>
      <c r="B9834">
        <v>7340700</v>
      </c>
    </row>
    <row r="9835" spans="1:2" x14ac:dyDescent="0.4">
      <c r="A9835" s="4">
        <v>1007000</v>
      </c>
      <c r="B9835">
        <v>7340800</v>
      </c>
    </row>
    <row r="9836" spans="1:2" x14ac:dyDescent="0.4">
      <c r="A9836" s="4">
        <v>1007000</v>
      </c>
      <c r="B9836">
        <v>7340900</v>
      </c>
    </row>
    <row r="9837" spans="1:2" x14ac:dyDescent="0.4">
      <c r="A9837" s="4">
        <v>1007000</v>
      </c>
      <c r="B9837">
        <v>7341000</v>
      </c>
    </row>
    <row r="9838" spans="1:2" x14ac:dyDescent="0.4">
      <c r="A9838" s="4">
        <v>1007000</v>
      </c>
      <c r="B9838">
        <v>7341100</v>
      </c>
    </row>
    <row r="9839" spans="1:2" x14ac:dyDescent="0.4">
      <c r="A9839" s="4">
        <v>1007000</v>
      </c>
      <c r="B9839">
        <v>7341200</v>
      </c>
    </row>
    <row r="9840" spans="1:2" x14ac:dyDescent="0.4">
      <c r="A9840" s="4">
        <v>1007000</v>
      </c>
      <c r="B9840">
        <v>7341300</v>
      </c>
    </row>
    <row r="9841" spans="1:2" x14ac:dyDescent="0.4">
      <c r="A9841" s="4">
        <v>1007000</v>
      </c>
      <c r="B9841">
        <v>7341400</v>
      </c>
    </row>
    <row r="9842" spans="1:2" x14ac:dyDescent="0.4">
      <c r="A9842" s="4">
        <v>1007000</v>
      </c>
      <c r="B9842">
        <v>7341500</v>
      </c>
    </row>
    <row r="9843" spans="1:2" x14ac:dyDescent="0.4">
      <c r="A9843" s="4">
        <v>1007000</v>
      </c>
      <c r="B9843">
        <v>7341700</v>
      </c>
    </row>
    <row r="9844" spans="1:2" x14ac:dyDescent="0.4">
      <c r="A9844" s="4">
        <v>1007000</v>
      </c>
      <c r="B9844">
        <v>7341800</v>
      </c>
    </row>
    <row r="9845" spans="1:2" x14ac:dyDescent="0.4">
      <c r="A9845" s="4">
        <v>1007000</v>
      </c>
      <c r="B9845">
        <v>7341900</v>
      </c>
    </row>
    <row r="9846" spans="1:2" x14ac:dyDescent="0.4">
      <c r="A9846" s="4">
        <v>1007000</v>
      </c>
      <c r="B9846">
        <v>7342000</v>
      </c>
    </row>
    <row r="9847" spans="1:2" x14ac:dyDescent="0.4">
      <c r="A9847" s="4">
        <v>1007000</v>
      </c>
      <c r="B9847">
        <v>7342100</v>
      </c>
    </row>
    <row r="9848" spans="1:2" x14ac:dyDescent="0.4">
      <c r="A9848" s="4">
        <v>1007000</v>
      </c>
      <c r="B9848">
        <v>7342200</v>
      </c>
    </row>
    <row r="9849" spans="1:2" x14ac:dyDescent="0.4">
      <c r="A9849" s="4">
        <v>1007000</v>
      </c>
      <c r="B9849">
        <v>7342300</v>
      </c>
    </row>
    <row r="9850" spans="1:2" x14ac:dyDescent="0.4">
      <c r="A9850" s="4">
        <v>1007000</v>
      </c>
      <c r="B9850">
        <v>7342400</v>
      </c>
    </row>
    <row r="9851" spans="1:2" x14ac:dyDescent="0.4">
      <c r="A9851" s="4">
        <v>1007000</v>
      </c>
      <c r="B9851">
        <v>7350000</v>
      </c>
    </row>
    <row r="9852" spans="1:2" x14ac:dyDescent="0.4">
      <c r="A9852" s="4">
        <v>1007000</v>
      </c>
      <c r="B9852">
        <v>7350100</v>
      </c>
    </row>
    <row r="9853" spans="1:2" x14ac:dyDescent="0.4">
      <c r="A9853" s="4">
        <v>1007000</v>
      </c>
      <c r="B9853">
        <v>7350200</v>
      </c>
    </row>
    <row r="9854" spans="1:2" x14ac:dyDescent="0.4">
      <c r="A9854" s="4">
        <v>1007000</v>
      </c>
      <c r="B9854">
        <v>7350300</v>
      </c>
    </row>
    <row r="9855" spans="1:2" x14ac:dyDescent="0.4">
      <c r="A9855" s="4">
        <v>1007000</v>
      </c>
      <c r="B9855">
        <v>7350400</v>
      </c>
    </row>
    <row r="9856" spans="1:2" x14ac:dyDescent="0.4">
      <c r="A9856" s="4">
        <v>1007000</v>
      </c>
      <c r="B9856">
        <v>7350500</v>
      </c>
    </row>
    <row r="9857" spans="1:2" x14ac:dyDescent="0.4">
      <c r="A9857" s="4">
        <v>1007000</v>
      </c>
      <c r="B9857">
        <v>7350600</v>
      </c>
    </row>
    <row r="9858" spans="1:2" x14ac:dyDescent="0.4">
      <c r="A9858" s="4">
        <v>1007000</v>
      </c>
      <c r="B9858">
        <v>7350700</v>
      </c>
    </row>
    <row r="9859" spans="1:2" x14ac:dyDescent="0.4">
      <c r="A9859" s="4">
        <v>1007000</v>
      </c>
      <c r="B9859">
        <v>7350800</v>
      </c>
    </row>
    <row r="9860" spans="1:2" x14ac:dyDescent="0.4">
      <c r="A9860" s="4">
        <v>1007000</v>
      </c>
      <c r="B9860">
        <v>7350900</v>
      </c>
    </row>
    <row r="9861" spans="1:2" x14ac:dyDescent="0.4">
      <c r="A9861" s="4">
        <v>1007000</v>
      </c>
      <c r="B9861">
        <v>7351000</v>
      </c>
    </row>
    <row r="9862" spans="1:2" x14ac:dyDescent="0.4">
      <c r="A9862" s="4">
        <v>1007000</v>
      </c>
      <c r="B9862">
        <v>7351100</v>
      </c>
    </row>
    <row r="9863" spans="1:2" x14ac:dyDescent="0.4">
      <c r="A9863" s="4">
        <v>1007000</v>
      </c>
      <c r="B9863">
        <v>7351200</v>
      </c>
    </row>
    <row r="9864" spans="1:2" x14ac:dyDescent="0.4">
      <c r="A9864" s="4">
        <v>1007000</v>
      </c>
      <c r="B9864">
        <v>7351300</v>
      </c>
    </row>
    <row r="9865" spans="1:2" x14ac:dyDescent="0.4">
      <c r="A9865" s="4">
        <v>1007000</v>
      </c>
      <c r="B9865">
        <v>7351400</v>
      </c>
    </row>
    <row r="9866" spans="1:2" x14ac:dyDescent="0.4">
      <c r="A9866" s="4">
        <v>1007000</v>
      </c>
      <c r="B9866">
        <v>7351500</v>
      </c>
    </row>
    <row r="9867" spans="1:2" x14ac:dyDescent="0.4">
      <c r="A9867" s="4">
        <v>1007000</v>
      </c>
      <c r="B9867">
        <v>7351700</v>
      </c>
    </row>
    <row r="9868" spans="1:2" x14ac:dyDescent="0.4">
      <c r="A9868" s="4">
        <v>1007000</v>
      </c>
      <c r="B9868">
        <v>7351800</v>
      </c>
    </row>
    <row r="9869" spans="1:2" x14ac:dyDescent="0.4">
      <c r="A9869" s="4">
        <v>1007000</v>
      </c>
      <c r="B9869">
        <v>7351900</v>
      </c>
    </row>
    <row r="9870" spans="1:2" x14ac:dyDescent="0.4">
      <c r="A9870" s="4">
        <v>1007000</v>
      </c>
      <c r="B9870">
        <v>7352000</v>
      </c>
    </row>
    <row r="9871" spans="1:2" x14ac:dyDescent="0.4">
      <c r="A9871" s="4">
        <v>1007000</v>
      </c>
      <c r="B9871">
        <v>7352100</v>
      </c>
    </row>
    <row r="9872" spans="1:2" x14ac:dyDescent="0.4">
      <c r="A9872" s="4">
        <v>1007000</v>
      </c>
      <c r="B9872">
        <v>7352200</v>
      </c>
    </row>
    <row r="9873" spans="1:2" x14ac:dyDescent="0.4">
      <c r="A9873" s="4">
        <v>1007000</v>
      </c>
      <c r="B9873">
        <v>7352300</v>
      </c>
    </row>
    <row r="9874" spans="1:2" x14ac:dyDescent="0.4">
      <c r="A9874" s="4">
        <v>1007000</v>
      </c>
      <c r="B9874">
        <v>7352400</v>
      </c>
    </row>
    <row r="9875" spans="1:2" x14ac:dyDescent="0.4">
      <c r="A9875" s="4">
        <v>1007000</v>
      </c>
      <c r="B9875">
        <v>7360600</v>
      </c>
    </row>
    <row r="9876" spans="1:2" x14ac:dyDescent="0.4">
      <c r="A9876" s="4">
        <v>1007000</v>
      </c>
      <c r="B9876">
        <v>7360900</v>
      </c>
    </row>
    <row r="9877" spans="1:2" x14ac:dyDescent="0.4">
      <c r="A9877" s="4">
        <v>1007000</v>
      </c>
      <c r="B9877">
        <v>7361200</v>
      </c>
    </row>
    <row r="9878" spans="1:2" x14ac:dyDescent="0.4">
      <c r="A9878" s="4">
        <v>1007000</v>
      </c>
      <c r="B9878">
        <v>7361300</v>
      </c>
    </row>
    <row r="9879" spans="1:2" x14ac:dyDescent="0.4">
      <c r="A9879" s="4">
        <v>1007000</v>
      </c>
      <c r="B9879">
        <v>7362100</v>
      </c>
    </row>
    <row r="9880" spans="1:2" x14ac:dyDescent="0.4">
      <c r="A9880" s="4">
        <v>1007000</v>
      </c>
      <c r="B9880">
        <v>7370300</v>
      </c>
    </row>
    <row r="9881" spans="1:2" x14ac:dyDescent="0.4">
      <c r="A9881" s="4">
        <v>1007000</v>
      </c>
      <c r="B9881">
        <v>7370400</v>
      </c>
    </row>
    <row r="9882" spans="1:2" x14ac:dyDescent="0.4">
      <c r="A9882" s="4">
        <v>1007000</v>
      </c>
      <c r="B9882">
        <v>7370600</v>
      </c>
    </row>
    <row r="9883" spans="1:2" x14ac:dyDescent="0.4">
      <c r="A9883" s="4">
        <v>1007000</v>
      </c>
      <c r="B9883">
        <v>7370900</v>
      </c>
    </row>
    <row r="9884" spans="1:2" x14ac:dyDescent="0.4">
      <c r="A9884" s="4">
        <v>1007000</v>
      </c>
      <c r="B9884">
        <v>7371500</v>
      </c>
    </row>
    <row r="9885" spans="1:2" x14ac:dyDescent="0.4">
      <c r="A9885" s="4">
        <v>1007000</v>
      </c>
      <c r="B9885">
        <v>7036200</v>
      </c>
    </row>
    <row r="9886" spans="1:2" x14ac:dyDescent="0.4">
      <c r="A9886" s="4">
        <v>1007000</v>
      </c>
      <c r="B9886">
        <v>7036300</v>
      </c>
    </row>
    <row r="9887" spans="1:2" x14ac:dyDescent="0.4">
      <c r="A9887" s="4">
        <v>1007000</v>
      </c>
      <c r="B9887">
        <v>7036400</v>
      </c>
    </row>
    <row r="9888" spans="1:2" x14ac:dyDescent="0.4">
      <c r="A9888" s="4">
        <v>1007000</v>
      </c>
      <c r="B9888">
        <v>7036500</v>
      </c>
    </row>
    <row r="9889" spans="1:2" x14ac:dyDescent="0.4">
      <c r="A9889" s="4">
        <v>1007000</v>
      </c>
      <c r="B9889">
        <v>7036800</v>
      </c>
    </row>
    <row r="9890" spans="1:2" x14ac:dyDescent="0.4">
      <c r="A9890" s="4">
        <v>1007000</v>
      </c>
      <c r="B9890">
        <v>7036900</v>
      </c>
    </row>
    <row r="9891" spans="1:2" x14ac:dyDescent="0.4">
      <c r="A9891" s="4">
        <v>1007000</v>
      </c>
      <c r="B9891">
        <v>7037000</v>
      </c>
    </row>
    <row r="9892" spans="1:2" x14ac:dyDescent="0.4">
      <c r="A9892" s="4">
        <v>1007000</v>
      </c>
      <c r="B9892">
        <v>7037300</v>
      </c>
    </row>
    <row r="9893" spans="1:2" x14ac:dyDescent="0.4">
      <c r="A9893" s="4">
        <v>1007000</v>
      </c>
      <c r="B9893">
        <v>6630000</v>
      </c>
    </row>
    <row r="9894" spans="1:2" x14ac:dyDescent="0.4">
      <c r="A9894" s="4">
        <v>1007000</v>
      </c>
      <c r="B9894">
        <v>6630100</v>
      </c>
    </row>
    <row r="9895" spans="1:2" x14ac:dyDescent="0.4">
      <c r="A9895" s="4">
        <v>1007000</v>
      </c>
      <c r="B9895">
        <v>6630200</v>
      </c>
    </row>
    <row r="9896" spans="1:2" x14ac:dyDescent="0.4">
      <c r="A9896" s="4">
        <v>1007000</v>
      </c>
      <c r="B9896">
        <v>6630300</v>
      </c>
    </row>
    <row r="9897" spans="1:2" x14ac:dyDescent="0.4">
      <c r="A9897" s="4">
        <v>1007000</v>
      </c>
      <c r="B9897">
        <v>6630400</v>
      </c>
    </row>
    <row r="9898" spans="1:2" x14ac:dyDescent="0.4">
      <c r="A9898" s="4">
        <v>1007000</v>
      </c>
      <c r="B9898">
        <v>6630500</v>
      </c>
    </row>
    <row r="9899" spans="1:2" x14ac:dyDescent="0.4">
      <c r="A9899" s="4">
        <v>1007000</v>
      </c>
      <c r="B9899">
        <v>6630600</v>
      </c>
    </row>
    <row r="9900" spans="1:2" x14ac:dyDescent="0.4">
      <c r="A9900" s="4">
        <v>1007000</v>
      </c>
      <c r="B9900">
        <v>6630700</v>
      </c>
    </row>
    <row r="9901" spans="1:2" x14ac:dyDescent="0.4">
      <c r="A9901" s="4">
        <v>1007000</v>
      </c>
      <c r="B9901">
        <v>6630800</v>
      </c>
    </row>
    <row r="9902" spans="1:2" x14ac:dyDescent="0.4">
      <c r="A9902" s="4">
        <v>1007000</v>
      </c>
      <c r="B9902">
        <v>6630900</v>
      </c>
    </row>
    <row r="9903" spans="1:2" x14ac:dyDescent="0.4">
      <c r="A9903" s="4">
        <v>1007000</v>
      </c>
      <c r="B9903">
        <v>6631000</v>
      </c>
    </row>
    <row r="9904" spans="1:2" x14ac:dyDescent="0.4">
      <c r="A9904" s="4">
        <v>1007000</v>
      </c>
      <c r="B9904">
        <v>6631100</v>
      </c>
    </row>
    <row r="9905" spans="1:2" x14ac:dyDescent="0.4">
      <c r="A9905" s="4">
        <v>1007000</v>
      </c>
      <c r="B9905">
        <v>6631200</v>
      </c>
    </row>
    <row r="9906" spans="1:2" x14ac:dyDescent="0.4">
      <c r="A9906" s="4">
        <v>1007000</v>
      </c>
      <c r="B9906">
        <v>6631300</v>
      </c>
    </row>
    <row r="9907" spans="1:2" x14ac:dyDescent="0.4">
      <c r="A9907" s="4">
        <v>1007000</v>
      </c>
      <c r="B9907">
        <v>6631400</v>
      </c>
    </row>
    <row r="9908" spans="1:2" x14ac:dyDescent="0.4">
      <c r="A9908" s="4">
        <v>1007000</v>
      </c>
      <c r="B9908">
        <v>6631500</v>
      </c>
    </row>
    <row r="9909" spans="1:2" x14ac:dyDescent="0.4">
      <c r="A9909" s="4">
        <v>1007000</v>
      </c>
      <c r="B9909">
        <v>6631600</v>
      </c>
    </row>
    <row r="9910" spans="1:2" x14ac:dyDescent="0.4">
      <c r="A9910" s="4">
        <v>1007000</v>
      </c>
      <c r="B9910">
        <v>6631700</v>
      </c>
    </row>
    <row r="9911" spans="1:2" x14ac:dyDescent="0.4">
      <c r="A9911" s="4">
        <v>1007000</v>
      </c>
      <c r="B9911">
        <v>6631800</v>
      </c>
    </row>
    <row r="9912" spans="1:2" x14ac:dyDescent="0.4">
      <c r="A9912" s="4">
        <v>1007000</v>
      </c>
      <c r="B9912">
        <v>6631900</v>
      </c>
    </row>
    <row r="9913" spans="1:2" x14ac:dyDescent="0.4">
      <c r="A9913" s="4">
        <v>1007000</v>
      </c>
      <c r="B9913">
        <v>6632000</v>
      </c>
    </row>
    <row r="9914" spans="1:2" x14ac:dyDescent="0.4">
      <c r="A9914" s="4">
        <v>1007000</v>
      </c>
      <c r="B9914">
        <v>6632100</v>
      </c>
    </row>
    <row r="9915" spans="1:2" x14ac:dyDescent="0.4">
      <c r="A9915" s="4">
        <v>1007000</v>
      </c>
      <c r="B9915">
        <v>6632200</v>
      </c>
    </row>
    <row r="9916" spans="1:2" x14ac:dyDescent="0.4">
      <c r="A9916" s="4">
        <v>1007000</v>
      </c>
      <c r="B9916">
        <v>6632300</v>
      </c>
    </row>
    <row r="9917" spans="1:2" x14ac:dyDescent="0.4">
      <c r="A9917" s="4">
        <v>1007000</v>
      </c>
      <c r="B9917">
        <v>6632400</v>
      </c>
    </row>
    <row r="9918" spans="1:2" x14ac:dyDescent="0.4">
      <c r="A9918" s="4">
        <v>1007000</v>
      </c>
      <c r="B9918">
        <v>6632500</v>
      </c>
    </row>
    <row r="9919" spans="1:2" x14ac:dyDescent="0.4">
      <c r="A9919" s="4">
        <v>1007000</v>
      </c>
      <c r="B9919">
        <v>6632600</v>
      </c>
    </row>
    <row r="9920" spans="1:2" x14ac:dyDescent="0.4">
      <c r="A9920" s="4">
        <v>1007000</v>
      </c>
      <c r="B9920">
        <v>6632700</v>
      </c>
    </row>
    <row r="9921" spans="1:2" x14ac:dyDescent="0.4">
      <c r="A9921" s="4">
        <v>1007000</v>
      </c>
      <c r="B9921">
        <v>6632800</v>
      </c>
    </row>
    <row r="9922" spans="1:2" x14ac:dyDescent="0.4">
      <c r="A9922" s="4">
        <v>1007000</v>
      </c>
      <c r="B9922">
        <v>6632900</v>
      </c>
    </row>
    <row r="9923" spans="1:2" x14ac:dyDescent="0.4">
      <c r="A9923" s="4">
        <v>1007000</v>
      </c>
      <c r="B9923">
        <v>6633000</v>
      </c>
    </row>
    <row r="9924" spans="1:2" x14ac:dyDescent="0.4">
      <c r="A9924" s="4">
        <v>1007000</v>
      </c>
      <c r="B9924">
        <v>6633100</v>
      </c>
    </row>
    <row r="9925" spans="1:2" x14ac:dyDescent="0.4">
      <c r="A9925" s="4">
        <v>1007000</v>
      </c>
      <c r="B9925">
        <v>6633200</v>
      </c>
    </row>
    <row r="9926" spans="1:2" x14ac:dyDescent="0.4">
      <c r="A9926" s="4">
        <v>1007000</v>
      </c>
      <c r="B9926">
        <v>6647200</v>
      </c>
    </row>
    <row r="9927" spans="1:2" x14ac:dyDescent="0.4">
      <c r="A9927" s="4">
        <v>1007000</v>
      </c>
      <c r="B9927">
        <v>6647300</v>
      </c>
    </row>
    <row r="9928" spans="1:2" x14ac:dyDescent="0.4">
      <c r="A9928" s="4">
        <v>1007000</v>
      </c>
      <c r="B9928">
        <v>6647400</v>
      </c>
    </row>
    <row r="9929" spans="1:2" x14ac:dyDescent="0.4">
      <c r="A9929" s="4">
        <v>1007000</v>
      </c>
      <c r="B9929">
        <v>6647500</v>
      </c>
    </row>
    <row r="9930" spans="1:2" x14ac:dyDescent="0.4">
      <c r="A9930" s="4">
        <v>1007000</v>
      </c>
      <c r="B9930">
        <v>6640000</v>
      </c>
    </row>
    <row r="9931" spans="1:2" x14ac:dyDescent="0.4">
      <c r="A9931" s="4">
        <v>1007000</v>
      </c>
      <c r="B9931">
        <v>6640100</v>
      </c>
    </row>
    <row r="9932" spans="1:2" x14ac:dyDescent="0.4">
      <c r="A9932" s="4">
        <v>1007000</v>
      </c>
      <c r="B9932">
        <v>6641000</v>
      </c>
    </row>
    <row r="9933" spans="1:2" x14ac:dyDescent="0.4">
      <c r="A9933" s="4">
        <v>1007000</v>
      </c>
      <c r="B9933">
        <v>6641100</v>
      </c>
    </row>
    <row r="9934" spans="1:2" x14ac:dyDescent="0.4">
      <c r="A9934" s="4">
        <v>1007000</v>
      </c>
      <c r="B9934">
        <v>6642000</v>
      </c>
    </row>
    <row r="9935" spans="1:2" x14ac:dyDescent="0.4">
      <c r="A9935" s="4">
        <v>1007000</v>
      </c>
      <c r="B9935">
        <v>6642100</v>
      </c>
    </row>
    <row r="9936" spans="1:2" x14ac:dyDescent="0.4">
      <c r="A9936" s="4">
        <v>1007000</v>
      </c>
      <c r="B9936">
        <v>6643000</v>
      </c>
    </row>
    <row r="9937" spans="1:2" x14ac:dyDescent="0.4">
      <c r="A9937" s="4">
        <v>1007000</v>
      </c>
      <c r="B9937">
        <v>6643100</v>
      </c>
    </row>
    <row r="9938" spans="1:2" x14ac:dyDescent="0.4">
      <c r="A9938" s="4">
        <v>1007000</v>
      </c>
      <c r="B9938">
        <v>6644000</v>
      </c>
    </row>
    <row r="9939" spans="1:2" x14ac:dyDescent="0.4">
      <c r="A9939" s="4">
        <v>1007000</v>
      </c>
      <c r="B9939">
        <v>6644100</v>
      </c>
    </row>
    <row r="9940" spans="1:2" x14ac:dyDescent="0.4">
      <c r="A9940" s="4">
        <v>1007000</v>
      </c>
      <c r="B9940">
        <v>6645000</v>
      </c>
    </row>
    <row r="9941" spans="1:2" x14ac:dyDescent="0.4">
      <c r="A9941" s="4">
        <v>1007000</v>
      </c>
      <c r="B9941">
        <v>6645100</v>
      </c>
    </row>
    <row r="9942" spans="1:2" x14ac:dyDescent="0.4">
      <c r="A9942" s="4">
        <v>1007000</v>
      </c>
      <c r="B9942">
        <v>6646000</v>
      </c>
    </row>
    <row r="9943" spans="1:2" x14ac:dyDescent="0.4">
      <c r="A9943" s="4">
        <v>1007000</v>
      </c>
      <c r="B9943">
        <v>6646100</v>
      </c>
    </row>
    <row r="9944" spans="1:2" x14ac:dyDescent="0.4">
      <c r="A9944" s="4">
        <v>1007000</v>
      </c>
      <c r="B9944">
        <v>6647000</v>
      </c>
    </row>
    <row r="9945" spans="1:2" x14ac:dyDescent="0.4">
      <c r="A9945" s="4">
        <v>1007000</v>
      </c>
      <c r="B9945">
        <v>6647100</v>
      </c>
    </row>
    <row r="9946" spans="1:2" x14ac:dyDescent="0.4">
      <c r="A9946" s="4">
        <v>1007001</v>
      </c>
      <c r="B9946">
        <v>7000000</v>
      </c>
    </row>
    <row r="9947" spans="1:2" x14ac:dyDescent="0.4">
      <c r="A9947" s="4">
        <v>1007001</v>
      </c>
      <c r="B9947">
        <v>7000001</v>
      </c>
    </row>
    <row r="9948" spans="1:2" x14ac:dyDescent="0.4">
      <c r="A9948" s="4">
        <v>1007001</v>
      </c>
      <c r="B9948">
        <v>7000002</v>
      </c>
    </row>
    <row r="9949" spans="1:2" x14ac:dyDescent="0.4">
      <c r="A9949" s="4">
        <v>1007001</v>
      </c>
      <c r="B9949">
        <v>7000100</v>
      </c>
    </row>
    <row r="9950" spans="1:2" x14ac:dyDescent="0.4">
      <c r="A9950" s="4">
        <v>1007001</v>
      </c>
      <c r="B9950">
        <v>7000101</v>
      </c>
    </row>
    <row r="9951" spans="1:2" x14ac:dyDescent="0.4">
      <c r="A9951" s="4">
        <v>1007001</v>
      </c>
      <c r="B9951">
        <v>7000102</v>
      </c>
    </row>
    <row r="9952" spans="1:2" x14ac:dyDescent="0.4">
      <c r="A9952" s="4">
        <v>1007001</v>
      </c>
      <c r="B9952">
        <v>7000200</v>
      </c>
    </row>
    <row r="9953" spans="1:2" x14ac:dyDescent="0.4">
      <c r="A9953" s="4">
        <v>1007001</v>
      </c>
      <c r="B9953">
        <v>7000201</v>
      </c>
    </row>
    <row r="9954" spans="1:2" x14ac:dyDescent="0.4">
      <c r="A9954" s="4">
        <v>1007001</v>
      </c>
      <c r="B9954">
        <v>7000202</v>
      </c>
    </row>
    <row r="9955" spans="1:2" x14ac:dyDescent="0.4">
      <c r="A9955" s="4">
        <v>1007001</v>
      </c>
      <c r="B9955">
        <v>7000300</v>
      </c>
    </row>
    <row r="9956" spans="1:2" x14ac:dyDescent="0.4">
      <c r="A9956" s="4">
        <v>1007001</v>
      </c>
      <c r="B9956">
        <v>7000301</v>
      </c>
    </row>
    <row r="9957" spans="1:2" x14ac:dyDescent="0.4">
      <c r="A9957" s="4">
        <v>1007001</v>
      </c>
      <c r="B9957">
        <v>7000302</v>
      </c>
    </row>
    <row r="9958" spans="1:2" x14ac:dyDescent="0.4">
      <c r="A9958" s="4">
        <v>1007001</v>
      </c>
      <c r="B9958">
        <v>7000400</v>
      </c>
    </row>
    <row r="9959" spans="1:2" x14ac:dyDescent="0.4">
      <c r="A9959" s="4">
        <v>1007001</v>
      </c>
      <c r="B9959">
        <v>7000401</v>
      </c>
    </row>
    <row r="9960" spans="1:2" x14ac:dyDescent="0.4">
      <c r="A9960" s="4">
        <v>1007001</v>
      </c>
      <c r="B9960">
        <v>7000402</v>
      </c>
    </row>
    <row r="9961" spans="1:2" x14ac:dyDescent="0.4">
      <c r="A9961" s="4">
        <v>1007001</v>
      </c>
      <c r="B9961">
        <v>7000500</v>
      </c>
    </row>
    <row r="9962" spans="1:2" x14ac:dyDescent="0.4">
      <c r="A9962" s="4">
        <v>1007001</v>
      </c>
      <c r="B9962">
        <v>7000501</v>
      </c>
    </row>
    <row r="9963" spans="1:2" x14ac:dyDescent="0.4">
      <c r="A9963" s="4">
        <v>1007001</v>
      </c>
      <c r="B9963">
        <v>7000502</v>
      </c>
    </row>
    <row r="9964" spans="1:2" x14ac:dyDescent="0.4">
      <c r="A9964" s="4">
        <v>1007001</v>
      </c>
      <c r="B9964">
        <v>7000600</v>
      </c>
    </row>
    <row r="9965" spans="1:2" x14ac:dyDescent="0.4">
      <c r="A9965" s="4">
        <v>1007001</v>
      </c>
      <c r="B9965">
        <v>7000601</v>
      </c>
    </row>
    <row r="9966" spans="1:2" x14ac:dyDescent="0.4">
      <c r="A9966" s="4">
        <v>1007001</v>
      </c>
      <c r="B9966">
        <v>7000602</v>
      </c>
    </row>
    <row r="9967" spans="1:2" x14ac:dyDescent="0.4">
      <c r="A9967" s="4">
        <v>1007001</v>
      </c>
      <c r="B9967">
        <v>7000700</v>
      </c>
    </row>
    <row r="9968" spans="1:2" x14ac:dyDescent="0.4">
      <c r="A9968" s="4">
        <v>1007001</v>
      </c>
      <c r="B9968">
        <v>7000701</v>
      </c>
    </row>
    <row r="9969" spans="1:2" x14ac:dyDescent="0.4">
      <c r="A9969" s="4">
        <v>1007001</v>
      </c>
      <c r="B9969">
        <v>7000702</v>
      </c>
    </row>
    <row r="9970" spans="1:2" x14ac:dyDescent="0.4">
      <c r="A9970" s="4">
        <v>1007001</v>
      </c>
      <c r="B9970">
        <v>7000800</v>
      </c>
    </row>
    <row r="9971" spans="1:2" x14ac:dyDescent="0.4">
      <c r="A9971" s="4">
        <v>1007001</v>
      </c>
      <c r="B9971">
        <v>7000801</v>
      </c>
    </row>
    <row r="9972" spans="1:2" x14ac:dyDescent="0.4">
      <c r="A9972" s="4">
        <v>1007001</v>
      </c>
      <c r="B9972">
        <v>7000802</v>
      </c>
    </row>
    <row r="9973" spans="1:2" x14ac:dyDescent="0.4">
      <c r="A9973" s="4">
        <v>1007001</v>
      </c>
      <c r="B9973">
        <v>7000900</v>
      </c>
    </row>
    <row r="9974" spans="1:2" x14ac:dyDescent="0.4">
      <c r="A9974" s="4">
        <v>1007001</v>
      </c>
      <c r="B9974">
        <v>7000901</v>
      </c>
    </row>
    <row r="9975" spans="1:2" x14ac:dyDescent="0.4">
      <c r="A9975" s="4">
        <v>1007001</v>
      </c>
      <c r="B9975">
        <v>7000902</v>
      </c>
    </row>
    <row r="9976" spans="1:2" x14ac:dyDescent="0.4">
      <c r="A9976" s="4">
        <v>1007001</v>
      </c>
      <c r="B9976">
        <v>7001000</v>
      </c>
    </row>
    <row r="9977" spans="1:2" x14ac:dyDescent="0.4">
      <c r="A9977" s="4">
        <v>1007001</v>
      </c>
      <c r="B9977">
        <v>7001001</v>
      </c>
    </row>
    <row r="9978" spans="1:2" x14ac:dyDescent="0.4">
      <c r="A9978" s="4">
        <v>1007001</v>
      </c>
      <c r="B9978">
        <v>7001002</v>
      </c>
    </row>
    <row r="9979" spans="1:2" x14ac:dyDescent="0.4">
      <c r="A9979" s="4">
        <v>1007001</v>
      </c>
      <c r="B9979">
        <v>7001400</v>
      </c>
    </row>
    <row r="9980" spans="1:2" x14ac:dyDescent="0.4">
      <c r="A9980" s="4">
        <v>1007001</v>
      </c>
      <c r="B9980">
        <v>7001401</v>
      </c>
    </row>
    <row r="9981" spans="1:2" x14ac:dyDescent="0.4">
      <c r="A9981" s="4">
        <v>1007001</v>
      </c>
      <c r="B9981">
        <v>7001402</v>
      </c>
    </row>
    <row r="9982" spans="1:2" x14ac:dyDescent="0.4">
      <c r="A9982" s="4">
        <v>1007001</v>
      </c>
      <c r="B9982">
        <v>7001500</v>
      </c>
    </row>
    <row r="9983" spans="1:2" x14ac:dyDescent="0.4">
      <c r="A9983" s="4">
        <v>1007001</v>
      </c>
      <c r="B9983">
        <v>7001501</v>
      </c>
    </row>
    <row r="9984" spans="1:2" x14ac:dyDescent="0.4">
      <c r="A9984" s="4">
        <v>1007001</v>
      </c>
      <c r="B9984">
        <v>7001502</v>
      </c>
    </row>
    <row r="9985" spans="1:2" x14ac:dyDescent="0.4">
      <c r="A9985" s="4">
        <v>1007001</v>
      </c>
      <c r="B9985">
        <v>7001600</v>
      </c>
    </row>
    <row r="9986" spans="1:2" x14ac:dyDescent="0.4">
      <c r="A9986" s="4">
        <v>1007001</v>
      </c>
      <c r="B9986">
        <v>7001601</v>
      </c>
    </row>
    <row r="9987" spans="1:2" x14ac:dyDescent="0.4">
      <c r="A9987" s="4">
        <v>1007001</v>
      </c>
      <c r="B9987">
        <v>7001602</v>
      </c>
    </row>
    <row r="9988" spans="1:2" x14ac:dyDescent="0.4">
      <c r="A9988" s="4">
        <v>1007001</v>
      </c>
      <c r="B9988">
        <v>7001700</v>
      </c>
    </row>
    <row r="9989" spans="1:2" x14ac:dyDescent="0.4">
      <c r="A9989" s="4">
        <v>1007001</v>
      </c>
      <c r="B9989">
        <v>7001701</v>
      </c>
    </row>
    <row r="9990" spans="1:2" x14ac:dyDescent="0.4">
      <c r="A9990" s="4">
        <v>1007001</v>
      </c>
      <c r="B9990">
        <v>7001702</v>
      </c>
    </row>
    <row r="9991" spans="1:2" x14ac:dyDescent="0.4">
      <c r="A9991" s="4">
        <v>1007001</v>
      </c>
      <c r="B9991">
        <v>7001800</v>
      </c>
    </row>
    <row r="9992" spans="1:2" x14ac:dyDescent="0.4">
      <c r="A9992" s="4">
        <v>1007001</v>
      </c>
      <c r="B9992">
        <v>7001801</v>
      </c>
    </row>
    <row r="9993" spans="1:2" x14ac:dyDescent="0.4">
      <c r="A9993" s="4">
        <v>1007001</v>
      </c>
      <c r="B9993">
        <v>7001802</v>
      </c>
    </row>
    <row r="9994" spans="1:2" x14ac:dyDescent="0.4">
      <c r="A9994" s="4">
        <v>1007001</v>
      </c>
      <c r="B9994">
        <v>7002600</v>
      </c>
    </row>
    <row r="9995" spans="1:2" x14ac:dyDescent="0.4">
      <c r="A9995" s="4">
        <v>1007001</v>
      </c>
      <c r="B9995">
        <v>7002700</v>
      </c>
    </row>
    <row r="9996" spans="1:2" x14ac:dyDescent="0.4">
      <c r="A9996" s="4">
        <v>1007001</v>
      </c>
      <c r="B9996">
        <v>7002800</v>
      </c>
    </row>
    <row r="9997" spans="1:2" x14ac:dyDescent="0.4">
      <c r="A9997" s="4">
        <v>1007001</v>
      </c>
      <c r="B9997">
        <v>7002900</v>
      </c>
    </row>
    <row r="9998" spans="1:2" x14ac:dyDescent="0.4">
      <c r="A9998" s="4">
        <v>1007001</v>
      </c>
      <c r="B9998">
        <v>7003000</v>
      </c>
    </row>
    <row r="9999" spans="1:2" x14ac:dyDescent="0.4">
      <c r="A9999" s="4">
        <v>1007001</v>
      </c>
      <c r="B9999">
        <v>7003100</v>
      </c>
    </row>
    <row r="10000" spans="1:2" x14ac:dyDescent="0.4">
      <c r="A10000" s="4">
        <v>1007001</v>
      </c>
      <c r="B10000">
        <v>7003200</v>
      </c>
    </row>
    <row r="10001" spans="1:2" x14ac:dyDescent="0.4">
      <c r="A10001" s="4">
        <v>1007001</v>
      </c>
      <c r="B10001">
        <v>7003300</v>
      </c>
    </row>
    <row r="10002" spans="1:2" x14ac:dyDescent="0.4">
      <c r="A10002" s="4">
        <v>1007001</v>
      </c>
      <c r="B10002">
        <v>7003400</v>
      </c>
    </row>
    <row r="10003" spans="1:2" x14ac:dyDescent="0.4">
      <c r="A10003" s="4">
        <v>1007001</v>
      </c>
      <c r="B10003">
        <v>7003500</v>
      </c>
    </row>
    <row r="10004" spans="1:2" x14ac:dyDescent="0.4">
      <c r="A10004" s="4">
        <v>1007001</v>
      </c>
      <c r="B10004">
        <v>7003600</v>
      </c>
    </row>
    <row r="10005" spans="1:2" x14ac:dyDescent="0.4">
      <c r="A10005" s="4">
        <v>1007001</v>
      </c>
      <c r="B10005">
        <v>7005600</v>
      </c>
    </row>
    <row r="10006" spans="1:2" x14ac:dyDescent="0.4">
      <c r="A10006" s="4">
        <v>1007001</v>
      </c>
      <c r="B10006">
        <v>7006000</v>
      </c>
    </row>
    <row r="10007" spans="1:2" x14ac:dyDescent="0.4">
      <c r="A10007" s="4">
        <v>1007001</v>
      </c>
      <c r="B10007">
        <v>7006100</v>
      </c>
    </row>
    <row r="10008" spans="1:2" x14ac:dyDescent="0.4">
      <c r="A10008" s="4">
        <v>1007001</v>
      </c>
      <c r="B10008">
        <v>7010200</v>
      </c>
    </row>
    <row r="10009" spans="1:2" x14ac:dyDescent="0.4">
      <c r="A10009" s="4">
        <v>1007001</v>
      </c>
      <c r="B10009">
        <v>7010500</v>
      </c>
    </row>
    <row r="10010" spans="1:2" x14ac:dyDescent="0.4">
      <c r="A10010" s="4">
        <v>1007001</v>
      </c>
      <c r="B10010">
        <v>7010700</v>
      </c>
    </row>
    <row r="10011" spans="1:2" x14ac:dyDescent="0.4">
      <c r="A10011" s="4">
        <v>1007001</v>
      </c>
      <c r="B10011">
        <v>7010900</v>
      </c>
    </row>
    <row r="10012" spans="1:2" x14ac:dyDescent="0.4">
      <c r="A10012" s="4">
        <v>1007001</v>
      </c>
      <c r="B10012">
        <v>7011000</v>
      </c>
    </row>
    <row r="10013" spans="1:2" x14ac:dyDescent="0.4">
      <c r="A10013" s="4">
        <v>1007001</v>
      </c>
      <c r="B10013">
        <v>7011200</v>
      </c>
    </row>
    <row r="10014" spans="1:2" x14ac:dyDescent="0.4">
      <c r="A10014" s="4">
        <v>1007001</v>
      </c>
      <c r="B10014">
        <v>7011600</v>
      </c>
    </row>
    <row r="10015" spans="1:2" x14ac:dyDescent="0.4">
      <c r="A10015" s="4">
        <v>1007001</v>
      </c>
      <c r="B10015">
        <v>7011700</v>
      </c>
    </row>
    <row r="10016" spans="1:2" x14ac:dyDescent="0.4">
      <c r="A10016" s="4">
        <v>1007001</v>
      </c>
      <c r="B10016">
        <v>7012000</v>
      </c>
    </row>
    <row r="10017" spans="1:2" x14ac:dyDescent="0.4">
      <c r="A10017" s="4">
        <v>1007001</v>
      </c>
      <c r="B10017">
        <v>7012200</v>
      </c>
    </row>
    <row r="10018" spans="1:2" x14ac:dyDescent="0.4">
      <c r="A10018" s="4">
        <v>1007001</v>
      </c>
      <c r="B10018">
        <v>7012300</v>
      </c>
    </row>
    <row r="10019" spans="1:2" x14ac:dyDescent="0.4">
      <c r="A10019" s="4">
        <v>1007001</v>
      </c>
      <c r="B10019">
        <v>7020000</v>
      </c>
    </row>
    <row r="10020" spans="1:2" x14ac:dyDescent="0.4">
      <c r="A10020" s="4">
        <v>1007001</v>
      </c>
      <c r="B10020">
        <v>7030000</v>
      </c>
    </row>
    <row r="10021" spans="1:2" x14ac:dyDescent="0.4">
      <c r="A10021" s="4">
        <v>1007001</v>
      </c>
      <c r="B10021">
        <v>7030200</v>
      </c>
    </row>
    <row r="10022" spans="1:2" x14ac:dyDescent="0.4">
      <c r="A10022" s="4">
        <v>1007001</v>
      </c>
      <c r="B10022">
        <v>7030600</v>
      </c>
    </row>
    <row r="10023" spans="1:2" x14ac:dyDescent="0.4">
      <c r="A10023" s="4">
        <v>1007001</v>
      </c>
      <c r="B10023">
        <v>7030700</v>
      </c>
    </row>
    <row r="10024" spans="1:2" x14ac:dyDescent="0.4">
      <c r="A10024" s="4">
        <v>1007001</v>
      </c>
      <c r="B10024">
        <v>7030800</v>
      </c>
    </row>
    <row r="10025" spans="1:2" x14ac:dyDescent="0.4">
      <c r="A10025" s="4">
        <v>1007001</v>
      </c>
      <c r="B10025">
        <v>7030900</v>
      </c>
    </row>
    <row r="10026" spans="1:2" x14ac:dyDescent="0.4">
      <c r="A10026" s="4">
        <v>1007001</v>
      </c>
      <c r="B10026">
        <v>7031200</v>
      </c>
    </row>
    <row r="10027" spans="1:2" x14ac:dyDescent="0.4">
      <c r="A10027" s="4">
        <v>1007001</v>
      </c>
      <c r="B10027">
        <v>7031300</v>
      </c>
    </row>
    <row r="10028" spans="1:2" x14ac:dyDescent="0.4">
      <c r="A10028" s="4">
        <v>1007001</v>
      </c>
      <c r="B10028">
        <v>7031800</v>
      </c>
    </row>
    <row r="10029" spans="1:2" x14ac:dyDescent="0.4">
      <c r="A10029" s="4">
        <v>1007001</v>
      </c>
      <c r="B10029">
        <v>7031900</v>
      </c>
    </row>
    <row r="10030" spans="1:2" x14ac:dyDescent="0.4">
      <c r="A10030" s="4">
        <v>1007001</v>
      </c>
      <c r="B10030">
        <v>7032200</v>
      </c>
    </row>
    <row r="10031" spans="1:2" x14ac:dyDescent="0.4">
      <c r="A10031" s="4">
        <v>1007001</v>
      </c>
      <c r="B10031">
        <v>7032400</v>
      </c>
    </row>
    <row r="10032" spans="1:2" x14ac:dyDescent="0.4">
      <c r="A10032" s="4">
        <v>1007001</v>
      </c>
      <c r="B10032">
        <v>7032700</v>
      </c>
    </row>
    <row r="10033" spans="1:2" x14ac:dyDescent="0.4">
      <c r="A10033" s="4">
        <v>1007001</v>
      </c>
      <c r="B10033">
        <v>7032800</v>
      </c>
    </row>
    <row r="10034" spans="1:2" x14ac:dyDescent="0.4">
      <c r="A10034" s="4">
        <v>1007001</v>
      </c>
      <c r="B10034">
        <v>7032900</v>
      </c>
    </row>
    <row r="10035" spans="1:2" x14ac:dyDescent="0.4">
      <c r="A10035" s="4">
        <v>1007001</v>
      </c>
      <c r="B10035">
        <v>7033200</v>
      </c>
    </row>
    <row r="10036" spans="1:2" x14ac:dyDescent="0.4">
      <c r="A10036" s="4">
        <v>1007001</v>
      </c>
      <c r="B10036">
        <v>7033400</v>
      </c>
    </row>
    <row r="10037" spans="1:2" x14ac:dyDescent="0.4">
      <c r="A10037" s="4">
        <v>1007001</v>
      </c>
      <c r="B10037">
        <v>7034100</v>
      </c>
    </row>
    <row r="10038" spans="1:2" x14ac:dyDescent="0.4">
      <c r="A10038" s="4">
        <v>1007001</v>
      </c>
      <c r="B10038">
        <v>7034400</v>
      </c>
    </row>
    <row r="10039" spans="1:2" x14ac:dyDescent="0.4">
      <c r="A10039" s="4">
        <v>1007001</v>
      </c>
      <c r="B10039">
        <v>7034500</v>
      </c>
    </row>
    <row r="10040" spans="1:2" x14ac:dyDescent="0.4">
      <c r="A10040" s="4">
        <v>1007001</v>
      </c>
      <c r="B10040">
        <v>7034600</v>
      </c>
    </row>
    <row r="10041" spans="1:2" x14ac:dyDescent="0.4">
      <c r="A10041" s="4">
        <v>1007001</v>
      </c>
      <c r="B10041">
        <v>7034700</v>
      </c>
    </row>
    <row r="10042" spans="1:2" x14ac:dyDescent="0.4">
      <c r="A10042" s="4">
        <v>1007001</v>
      </c>
      <c r="B10042">
        <v>7035100</v>
      </c>
    </row>
    <row r="10043" spans="1:2" x14ac:dyDescent="0.4">
      <c r="A10043" s="4">
        <v>1007001</v>
      </c>
      <c r="B10043">
        <v>7036100</v>
      </c>
    </row>
    <row r="10044" spans="1:2" x14ac:dyDescent="0.4">
      <c r="A10044" s="4">
        <v>1007001</v>
      </c>
      <c r="B10044">
        <v>7040000</v>
      </c>
    </row>
    <row r="10045" spans="1:2" x14ac:dyDescent="0.4">
      <c r="A10045" s="4">
        <v>1007001</v>
      </c>
      <c r="B10045">
        <v>7040100</v>
      </c>
    </row>
    <row r="10046" spans="1:2" x14ac:dyDescent="0.4">
      <c r="A10046" s="4">
        <v>1007001</v>
      </c>
      <c r="B10046">
        <v>7040200</v>
      </c>
    </row>
    <row r="10047" spans="1:2" x14ac:dyDescent="0.4">
      <c r="A10047" s="4">
        <v>1007001</v>
      </c>
      <c r="B10047">
        <v>7040300</v>
      </c>
    </row>
    <row r="10048" spans="1:2" x14ac:dyDescent="0.4">
      <c r="A10048" s="4">
        <v>1007001</v>
      </c>
      <c r="B10048">
        <v>7040400</v>
      </c>
    </row>
    <row r="10049" spans="1:2" x14ac:dyDescent="0.4">
      <c r="A10049" s="4">
        <v>1007001</v>
      </c>
      <c r="B10049">
        <v>7040500</v>
      </c>
    </row>
    <row r="10050" spans="1:2" x14ac:dyDescent="0.4">
      <c r="A10050" s="4">
        <v>1007001</v>
      </c>
      <c r="B10050">
        <v>7043000</v>
      </c>
    </row>
    <row r="10051" spans="1:2" x14ac:dyDescent="0.4">
      <c r="A10051" s="4">
        <v>1007001</v>
      </c>
      <c r="B10051">
        <v>7043100</v>
      </c>
    </row>
    <row r="10052" spans="1:2" x14ac:dyDescent="0.4">
      <c r="A10052" s="4">
        <v>1007001</v>
      </c>
      <c r="B10052">
        <v>7043200</v>
      </c>
    </row>
    <row r="10053" spans="1:2" x14ac:dyDescent="0.4">
      <c r="A10053" s="4">
        <v>1007001</v>
      </c>
      <c r="B10053">
        <v>7043300</v>
      </c>
    </row>
    <row r="10054" spans="1:2" x14ac:dyDescent="0.4">
      <c r="A10054" s="4">
        <v>1007001</v>
      </c>
      <c r="B10054">
        <v>7043400</v>
      </c>
    </row>
    <row r="10055" spans="1:2" x14ac:dyDescent="0.4">
      <c r="A10055" s="4">
        <v>1007001</v>
      </c>
      <c r="B10055">
        <v>7043500</v>
      </c>
    </row>
    <row r="10056" spans="1:2" x14ac:dyDescent="0.4">
      <c r="A10056" s="4">
        <v>1007001</v>
      </c>
      <c r="B10056">
        <v>7043600</v>
      </c>
    </row>
    <row r="10057" spans="1:2" x14ac:dyDescent="0.4">
      <c r="A10057" s="4">
        <v>1007001</v>
      </c>
      <c r="B10057">
        <v>7043700</v>
      </c>
    </row>
    <row r="10058" spans="1:2" x14ac:dyDescent="0.4">
      <c r="A10058" s="4">
        <v>1007001</v>
      </c>
      <c r="B10058">
        <v>7043800</v>
      </c>
    </row>
    <row r="10059" spans="1:2" x14ac:dyDescent="0.4">
      <c r="A10059" s="4">
        <v>1007001</v>
      </c>
      <c r="B10059">
        <v>7044000</v>
      </c>
    </row>
    <row r="10060" spans="1:2" x14ac:dyDescent="0.4">
      <c r="A10060" s="4">
        <v>1007001</v>
      </c>
      <c r="B10060">
        <v>7044100</v>
      </c>
    </row>
    <row r="10061" spans="1:2" x14ac:dyDescent="0.4">
      <c r="A10061" s="4">
        <v>1007001</v>
      </c>
      <c r="B10061">
        <v>7044200</v>
      </c>
    </row>
    <row r="10062" spans="1:2" x14ac:dyDescent="0.4">
      <c r="A10062" s="4">
        <v>1007001</v>
      </c>
      <c r="B10062">
        <v>7044300</v>
      </c>
    </row>
    <row r="10063" spans="1:2" x14ac:dyDescent="0.4">
      <c r="A10063" s="4">
        <v>1007001</v>
      </c>
      <c r="B10063">
        <v>7044400</v>
      </c>
    </row>
    <row r="10064" spans="1:2" x14ac:dyDescent="0.4">
      <c r="A10064" s="4">
        <v>1007001</v>
      </c>
      <c r="B10064">
        <v>7044500</v>
      </c>
    </row>
    <row r="10065" spans="1:2" x14ac:dyDescent="0.4">
      <c r="A10065" s="4">
        <v>1007001</v>
      </c>
      <c r="B10065">
        <v>7044600</v>
      </c>
    </row>
    <row r="10066" spans="1:2" x14ac:dyDescent="0.4">
      <c r="A10066" s="4">
        <v>1007001</v>
      </c>
      <c r="B10066">
        <v>7050000</v>
      </c>
    </row>
    <row r="10067" spans="1:2" x14ac:dyDescent="0.4">
      <c r="A10067" s="4">
        <v>1007001</v>
      </c>
      <c r="B10067">
        <v>7050100</v>
      </c>
    </row>
    <row r="10068" spans="1:2" x14ac:dyDescent="0.4">
      <c r="A10068" s="4">
        <v>1007001</v>
      </c>
      <c r="B10068">
        <v>7060000</v>
      </c>
    </row>
    <row r="10069" spans="1:2" x14ac:dyDescent="0.4">
      <c r="A10069" s="4">
        <v>1007001</v>
      </c>
      <c r="B10069">
        <v>7060100</v>
      </c>
    </row>
    <row r="10070" spans="1:2" x14ac:dyDescent="0.4">
      <c r="A10070" s="4">
        <v>1007001</v>
      </c>
      <c r="B10070">
        <v>7060200</v>
      </c>
    </row>
    <row r="10071" spans="1:2" x14ac:dyDescent="0.4">
      <c r="A10071" s="4">
        <v>1007001</v>
      </c>
      <c r="B10071">
        <v>7070000</v>
      </c>
    </row>
    <row r="10072" spans="1:2" x14ac:dyDescent="0.4">
      <c r="A10072" s="4">
        <v>1007001</v>
      </c>
      <c r="B10072">
        <v>7080000</v>
      </c>
    </row>
    <row r="10073" spans="1:2" x14ac:dyDescent="0.4">
      <c r="A10073" s="4">
        <v>1007001</v>
      </c>
      <c r="B10073">
        <v>7080100</v>
      </c>
    </row>
    <row r="10074" spans="1:2" x14ac:dyDescent="0.4">
      <c r="A10074" s="4">
        <v>1007001</v>
      </c>
      <c r="B10074">
        <v>7080200</v>
      </c>
    </row>
    <row r="10075" spans="1:2" x14ac:dyDescent="0.4">
      <c r="A10075" s="4">
        <v>1007001</v>
      </c>
      <c r="B10075">
        <v>7080300</v>
      </c>
    </row>
    <row r="10076" spans="1:2" x14ac:dyDescent="0.4">
      <c r="A10076" s="4">
        <v>1007001</v>
      </c>
      <c r="B10076">
        <v>7080400</v>
      </c>
    </row>
    <row r="10077" spans="1:2" x14ac:dyDescent="0.4">
      <c r="A10077" s="4">
        <v>1007001</v>
      </c>
      <c r="B10077">
        <v>7080500</v>
      </c>
    </row>
    <row r="10078" spans="1:2" x14ac:dyDescent="0.4">
      <c r="A10078" s="4">
        <v>1007001</v>
      </c>
      <c r="B10078">
        <v>7080600</v>
      </c>
    </row>
    <row r="10079" spans="1:2" x14ac:dyDescent="0.4">
      <c r="A10079" s="4">
        <v>1007001</v>
      </c>
      <c r="B10079">
        <v>7080700</v>
      </c>
    </row>
    <row r="10080" spans="1:2" x14ac:dyDescent="0.4">
      <c r="A10080" s="4">
        <v>1007001</v>
      </c>
      <c r="B10080">
        <v>7080800</v>
      </c>
    </row>
    <row r="10081" spans="1:2" x14ac:dyDescent="0.4">
      <c r="A10081" s="4">
        <v>1007001</v>
      </c>
      <c r="B10081">
        <v>7080900</v>
      </c>
    </row>
    <row r="10082" spans="1:2" x14ac:dyDescent="0.4">
      <c r="A10082" s="4">
        <v>1007001</v>
      </c>
      <c r="B10082">
        <v>7081000</v>
      </c>
    </row>
    <row r="10083" spans="1:2" x14ac:dyDescent="0.4">
      <c r="A10083" s="4">
        <v>1007001</v>
      </c>
      <c r="B10083">
        <v>7081100</v>
      </c>
    </row>
    <row r="10084" spans="1:2" x14ac:dyDescent="0.4">
      <c r="A10084" s="4">
        <v>1007001</v>
      </c>
      <c r="B10084">
        <v>7081200</v>
      </c>
    </row>
    <row r="10085" spans="1:2" x14ac:dyDescent="0.4">
      <c r="A10085" s="4">
        <v>1007001</v>
      </c>
      <c r="B10085">
        <v>7081300</v>
      </c>
    </row>
    <row r="10086" spans="1:2" x14ac:dyDescent="0.4">
      <c r="A10086" s="4">
        <v>1007001</v>
      </c>
      <c r="B10086">
        <v>7081400</v>
      </c>
    </row>
    <row r="10087" spans="1:2" x14ac:dyDescent="0.4">
      <c r="A10087" s="4">
        <v>1007001</v>
      </c>
      <c r="B10087">
        <v>7081500</v>
      </c>
    </row>
    <row r="10088" spans="1:2" x14ac:dyDescent="0.4">
      <c r="A10088" s="4">
        <v>1007001</v>
      </c>
      <c r="B10088">
        <v>7081700</v>
      </c>
    </row>
    <row r="10089" spans="1:2" x14ac:dyDescent="0.4">
      <c r="A10089" s="4">
        <v>1007001</v>
      </c>
      <c r="B10089">
        <v>7081800</v>
      </c>
    </row>
    <row r="10090" spans="1:2" x14ac:dyDescent="0.4">
      <c r="A10090" s="4">
        <v>1007001</v>
      </c>
      <c r="B10090">
        <v>7081900</v>
      </c>
    </row>
    <row r="10091" spans="1:2" x14ac:dyDescent="0.4">
      <c r="A10091" s="4">
        <v>1007001</v>
      </c>
      <c r="B10091">
        <v>7082000</v>
      </c>
    </row>
    <row r="10092" spans="1:2" x14ac:dyDescent="0.4">
      <c r="A10092" s="4">
        <v>1007001</v>
      </c>
      <c r="B10092">
        <v>7082100</v>
      </c>
    </row>
    <row r="10093" spans="1:2" x14ac:dyDescent="0.4">
      <c r="A10093" s="4">
        <v>1007001</v>
      </c>
      <c r="B10093">
        <v>7082200</v>
      </c>
    </row>
    <row r="10094" spans="1:2" x14ac:dyDescent="0.4">
      <c r="A10094" s="4">
        <v>1007001</v>
      </c>
      <c r="B10094">
        <v>7082300</v>
      </c>
    </row>
    <row r="10095" spans="1:2" x14ac:dyDescent="0.4">
      <c r="A10095" s="4">
        <v>1007001</v>
      </c>
      <c r="B10095">
        <v>7082400</v>
      </c>
    </row>
    <row r="10096" spans="1:2" x14ac:dyDescent="0.4">
      <c r="A10096" s="4">
        <v>1007001</v>
      </c>
      <c r="B10096">
        <v>7082500</v>
      </c>
    </row>
    <row r="10097" spans="1:2" x14ac:dyDescent="0.4">
      <c r="A10097" s="4">
        <v>1007001</v>
      </c>
      <c r="B10097">
        <v>7082600</v>
      </c>
    </row>
    <row r="10098" spans="1:2" x14ac:dyDescent="0.4">
      <c r="A10098" s="4">
        <v>1007001</v>
      </c>
      <c r="B10098">
        <v>7082700</v>
      </c>
    </row>
    <row r="10099" spans="1:2" x14ac:dyDescent="0.4">
      <c r="A10099" s="4">
        <v>1007001</v>
      </c>
      <c r="B10099">
        <v>7082800</v>
      </c>
    </row>
    <row r="10100" spans="1:2" x14ac:dyDescent="0.4">
      <c r="A10100" s="4">
        <v>1007001</v>
      </c>
      <c r="B10100">
        <v>7082900</v>
      </c>
    </row>
    <row r="10101" spans="1:2" x14ac:dyDescent="0.4">
      <c r="A10101" s="4">
        <v>1007001</v>
      </c>
      <c r="B10101">
        <v>7090000</v>
      </c>
    </row>
    <row r="10102" spans="1:2" x14ac:dyDescent="0.4">
      <c r="A10102" s="4">
        <v>1007001</v>
      </c>
      <c r="B10102">
        <v>7090100</v>
      </c>
    </row>
    <row r="10103" spans="1:2" x14ac:dyDescent="0.4">
      <c r="A10103" s="4">
        <v>1007001</v>
      </c>
      <c r="B10103">
        <v>7090300</v>
      </c>
    </row>
    <row r="10104" spans="1:2" x14ac:dyDescent="0.4">
      <c r="A10104" s="4">
        <v>1007001</v>
      </c>
      <c r="B10104">
        <v>7100100</v>
      </c>
    </row>
    <row r="10105" spans="1:2" x14ac:dyDescent="0.4">
      <c r="A10105" s="4">
        <v>1007001</v>
      </c>
      <c r="B10105">
        <v>7110000</v>
      </c>
    </row>
    <row r="10106" spans="1:2" x14ac:dyDescent="0.4">
      <c r="A10106" s="4">
        <v>1007001</v>
      </c>
      <c r="B10106">
        <v>7120000</v>
      </c>
    </row>
    <row r="10107" spans="1:2" x14ac:dyDescent="0.4">
      <c r="A10107" s="4">
        <v>1007001</v>
      </c>
      <c r="B10107">
        <v>7120100</v>
      </c>
    </row>
    <row r="10108" spans="1:2" x14ac:dyDescent="0.4">
      <c r="A10108" s="4">
        <v>1007001</v>
      </c>
      <c r="B10108">
        <v>7120200</v>
      </c>
    </row>
    <row r="10109" spans="1:2" x14ac:dyDescent="0.4">
      <c r="A10109" s="4">
        <v>1007001</v>
      </c>
      <c r="B10109">
        <v>7120300</v>
      </c>
    </row>
    <row r="10110" spans="1:2" x14ac:dyDescent="0.4">
      <c r="A10110" s="4">
        <v>1007001</v>
      </c>
      <c r="B10110">
        <v>7120400</v>
      </c>
    </row>
    <row r="10111" spans="1:2" x14ac:dyDescent="0.4">
      <c r="A10111" s="4">
        <v>1007001</v>
      </c>
      <c r="B10111">
        <v>7120500</v>
      </c>
    </row>
    <row r="10112" spans="1:2" x14ac:dyDescent="0.4">
      <c r="A10112" s="4">
        <v>1007001</v>
      </c>
      <c r="B10112">
        <v>7120600</v>
      </c>
    </row>
    <row r="10113" spans="1:2" x14ac:dyDescent="0.4">
      <c r="A10113" s="4">
        <v>1007001</v>
      </c>
      <c r="B10113">
        <v>7120900</v>
      </c>
    </row>
    <row r="10114" spans="1:2" x14ac:dyDescent="0.4">
      <c r="A10114" s="4">
        <v>1007001</v>
      </c>
      <c r="B10114">
        <v>7121000</v>
      </c>
    </row>
    <row r="10115" spans="1:2" x14ac:dyDescent="0.4">
      <c r="A10115" s="4">
        <v>1007001</v>
      </c>
      <c r="B10115">
        <v>7121100</v>
      </c>
    </row>
    <row r="10116" spans="1:2" x14ac:dyDescent="0.4">
      <c r="A10116" s="4">
        <v>1007001</v>
      </c>
      <c r="B10116">
        <v>7121200</v>
      </c>
    </row>
    <row r="10117" spans="1:2" x14ac:dyDescent="0.4">
      <c r="A10117" s="4">
        <v>1007001</v>
      </c>
      <c r="B10117">
        <v>7121300</v>
      </c>
    </row>
    <row r="10118" spans="1:2" x14ac:dyDescent="0.4">
      <c r="A10118" s="4">
        <v>1007001</v>
      </c>
      <c r="B10118">
        <v>7121400</v>
      </c>
    </row>
    <row r="10119" spans="1:2" x14ac:dyDescent="0.4">
      <c r="A10119" s="4">
        <v>1007001</v>
      </c>
      <c r="B10119">
        <v>7121500</v>
      </c>
    </row>
    <row r="10120" spans="1:2" x14ac:dyDescent="0.4">
      <c r="A10120" s="4">
        <v>1007001</v>
      </c>
      <c r="B10120">
        <v>7121600</v>
      </c>
    </row>
    <row r="10121" spans="1:2" x14ac:dyDescent="0.4">
      <c r="A10121" s="4">
        <v>1007001</v>
      </c>
      <c r="B10121">
        <v>7121700</v>
      </c>
    </row>
    <row r="10122" spans="1:2" x14ac:dyDescent="0.4">
      <c r="A10122" s="4">
        <v>1007001</v>
      </c>
      <c r="B10122">
        <v>7121800</v>
      </c>
    </row>
    <row r="10123" spans="1:2" x14ac:dyDescent="0.4">
      <c r="A10123" s="4">
        <v>1007001</v>
      </c>
      <c r="B10123">
        <v>7121900</v>
      </c>
    </row>
    <row r="10124" spans="1:2" x14ac:dyDescent="0.4">
      <c r="A10124" s="4">
        <v>1007001</v>
      </c>
      <c r="B10124">
        <v>7122000</v>
      </c>
    </row>
    <row r="10125" spans="1:2" x14ac:dyDescent="0.4">
      <c r="A10125" s="4">
        <v>1007001</v>
      </c>
      <c r="B10125">
        <v>7122100</v>
      </c>
    </row>
    <row r="10126" spans="1:2" x14ac:dyDescent="0.4">
      <c r="A10126" s="4">
        <v>1007001</v>
      </c>
      <c r="B10126">
        <v>7122200</v>
      </c>
    </row>
    <row r="10127" spans="1:2" x14ac:dyDescent="0.4">
      <c r="A10127" s="4">
        <v>1007001</v>
      </c>
      <c r="B10127">
        <v>7122300</v>
      </c>
    </row>
    <row r="10128" spans="1:2" x14ac:dyDescent="0.4">
      <c r="A10128" s="4">
        <v>1007001</v>
      </c>
      <c r="B10128">
        <v>7122400</v>
      </c>
    </row>
    <row r="10129" spans="1:2" x14ac:dyDescent="0.4">
      <c r="A10129" s="4">
        <v>1007001</v>
      </c>
      <c r="B10129">
        <v>7122500</v>
      </c>
    </row>
    <row r="10130" spans="1:2" x14ac:dyDescent="0.4">
      <c r="A10130" s="4">
        <v>1007001</v>
      </c>
      <c r="B10130">
        <v>7122600</v>
      </c>
    </row>
    <row r="10131" spans="1:2" x14ac:dyDescent="0.4">
      <c r="A10131" s="4">
        <v>1007001</v>
      </c>
      <c r="B10131">
        <v>7122700</v>
      </c>
    </row>
    <row r="10132" spans="1:2" x14ac:dyDescent="0.4">
      <c r="A10132" s="4">
        <v>1007001</v>
      </c>
      <c r="B10132">
        <v>7122800</v>
      </c>
    </row>
    <row r="10133" spans="1:2" x14ac:dyDescent="0.4">
      <c r="A10133" s="4">
        <v>1007001</v>
      </c>
      <c r="B10133">
        <v>7122900</v>
      </c>
    </row>
    <row r="10134" spans="1:2" x14ac:dyDescent="0.4">
      <c r="A10134" s="4">
        <v>1007001</v>
      </c>
      <c r="B10134">
        <v>7123000</v>
      </c>
    </row>
    <row r="10135" spans="1:2" x14ac:dyDescent="0.4">
      <c r="A10135" s="4">
        <v>1007001</v>
      </c>
      <c r="B10135">
        <v>7123100</v>
      </c>
    </row>
    <row r="10136" spans="1:2" x14ac:dyDescent="0.4">
      <c r="A10136" s="4">
        <v>1007001</v>
      </c>
      <c r="B10136">
        <v>7123200</v>
      </c>
    </row>
    <row r="10137" spans="1:2" x14ac:dyDescent="0.4">
      <c r="A10137" s="4">
        <v>1007001</v>
      </c>
      <c r="B10137">
        <v>7123300</v>
      </c>
    </row>
    <row r="10138" spans="1:2" x14ac:dyDescent="0.4">
      <c r="A10138" s="4">
        <v>1007001</v>
      </c>
      <c r="B10138">
        <v>7123400</v>
      </c>
    </row>
    <row r="10139" spans="1:2" x14ac:dyDescent="0.4">
      <c r="A10139" s="4">
        <v>1007001</v>
      </c>
      <c r="B10139">
        <v>7123500</v>
      </c>
    </row>
    <row r="10140" spans="1:2" x14ac:dyDescent="0.4">
      <c r="A10140" s="4">
        <v>1007001</v>
      </c>
      <c r="B10140">
        <v>7123600</v>
      </c>
    </row>
    <row r="10141" spans="1:2" x14ac:dyDescent="0.4">
      <c r="A10141" s="4">
        <v>1007001</v>
      </c>
      <c r="B10141">
        <v>7123700</v>
      </c>
    </row>
    <row r="10142" spans="1:2" x14ac:dyDescent="0.4">
      <c r="A10142" s="4">
        <v>1007001</v>
      </c>
      <c r="B10142">
        <v>7123800</v>
      </c>
    </row>
    <row r="10143" spans="1:2" x14ac:dyDescent="0.4">
      <c r="A10143" s="4">
        <v>1007001</v>
      </c>
      <c r="B10143">
        <v>7123900</v>
      </c>
    </row>
    <row r="10144" spans="1:2" x14ac:dyDescent="0.4">
      <c r="A10144" s="4">
        <v>1007001</v>
      </c>
      <c r="B10144">
        <v>7124000</v>
      </c>
    </row>
    <row r="10145" spans="1:2" x14ac:dyDescent="0.4">
      <c r="A10145" s="4">
        <v>1007001</v>
      </c>
      <c r="B10145">
        <v>7124100</v>
      </c>
    </row>
    <row r="10146" spans="1:2" x14ac:dyDescent="0.4">
      <c r="A10146" s="4">
        <v>1007001</v>
      </c>
      <c r="B10146">
        <v>7124300</v>
      </c>
    </row>
    <row r="10147" spans="1:2" x14ac:dyDescent="0.4">
      <c r="A10147" s="4">
        <v>1007001</v>
      </c>
      <c r="B10147">
        <v>7124400</v>
      </c>
    </row>
    <row r="10148" spans="1:2" x14ac:dyDescent="0.4">
      <c r="A10148" s="4">
        <v>1007001</v>
      </c>
      <c r="B10148">
        <v>7124500</v>
      </c>
    </row>
    <row r="10149" spans="1:2" x14ac:dyDescent="0.4">
      <c r="A10149" s="4">
        <v>1007001</v>
      </c>
      <c r="B10149">
        <v>7124600</v>
      </c>
    </row>
    <row r="10150" spans="1:2" x14ac:dyDescent="0.4">
      <c r="A10150" s="4">
        <v>1007001</v>
      </c>
      <c r="B10150">
        <v>7124700</v>
      </c>
    </row>
    <row r="10151" spans="1:2" x14ac:dyDescent="0.4">
      <c r="A10151" s="4">
        <v>1007001</v>
      </c>
      <c r="B10151">
        <v>7126000</v>
      </c>
    </row>
    <row r="10152" spans="1:2" x14ac:dyDescent="0.4">
      <c r="A10152" s="4">
        <v>1007001</v>
      </c>
      <c r="B10152">
        <v>7150000</v>
      </c>
    </row>
    <row r="10153" spans="1:2" x14ac:dyDescent="0.4">
      <c r="A10153" s="4">
        <v>1007001</v>
      </c>
      <c r="B10153">
        <v>7160000</v>
      </c>
    </row>
    <row r="10154" spans="1:2" x14ac:dyDescent="0.4">
      <c r="A10154" s="4">
        <v>1007001</v>
      </c>
      <c r="B10154">
        <v>7220000</v>
      </c>
    </row>
    <row r="10155" spans="1:2" x14ac:dyDescent="0.4">
      <c r="A10155" s="4">
        <v>1007001</v>
      </c>
      <c r="B10155">
        <v>7230000</v>
      </c>
    </row>
    <row r="10156" spans="1:2" x14ac:dyDescent="0.4">
      <c r="A10156" s="4">
        <v>1007001</v>
      </c>
      <c r="B10156">
        <v>7240000</v>
      </c>
    </row>
    <row r="10157" spans="1:2" x14ac:dyDescent="0.4">
      <c r="A10157" s="4">
        <v>1007001</v>
      </c>
      <c r="B10157">
        <v>7260000</v>
      </c>
    </row>
    <row r="10158" spans="1:2" x14ac:dyDescent="0.4">
      <c r="A10158" s="4">
        <v>1007001</v>
      </c>
      <c r="B10158">
        <v>7260300</v>
      </c>
    </row>
    <row r="10159" spans="1:2" x14ac:dyDescent="0.4">
      <c r="A10159" s="4">
        <v>1007001</v>
      </c>
      <c r="B10159">
        <v>7260400</v>
      </c>
    </row>
    <row r="10160" spans="1:2" x14ac:dyDescent="0.4">
      <c r="A10160" s="4">
        <v>1007001</v>
      </c>
      <c r="B10160">
        <v>7270100</v>
      </c>
    </row>
    <row r="10161" spans="1:2" x14ac:dyDescent="0.4">
      <c r="A10161" s="4">
        <v>1007001</v>
      </c>
      <c r="B10161">
        <v>7280000</v>
      </c>
    </row>
    <row r="10162" spans="1:2" x14ac:dyDescent="0.4">
      <c r="A10162" s="4">
        <v>1007001</v>
      </c>
      <c r="B10162">
        <v>7290000</v>
      </c>
    </row>
    <row r="10163" spans="1:2" x14ac:dyDescent="0.4">
      <c r="A10163" s="4">
        <v>1007001</v>
      </c>
      <c r="B10163">
        <v>7310000</v>
      </c>
    </row>
    <row r="10164" spans="1:2" x14ac:dyDescent="0.4">
      <c r="A10164" s="4">
        <v>1007001</v>
      </c>
      <c r="B10164">
        <v>7330000</v>
      </c>
    </row>
    <row r="10165" spans="1:2" x14ac:dyDescent="0.4">
      <c r="A10165" s="4">
        <v>1007001</v>
      </c>
      <c r="B10165">
        <v>7330100</v>
      </c>
    </row>
    <row r="10166" spans="1:2" x14ac:dyDescent="0.4">
      <c r="A10166" s="4">
        <v>1007001</v>
      </c>
      <c r="B10166">
        <v>7330200</v>
      </c>
    </row>
    <row r="10167" spans="1:2" x14ac:dyDescent="0.4">
      <c r="A10167" s="4">
        <v>1007001</v>
      </c>
      <c r="B10167">
        <v>7330300</v>
      </c>
    </row>
    <row r="10168" spans="1:2" x14ac:dyDescent="0.4">
      <c r="A10168" s="4">
        <v>1007001</v>
      </c>
      <c r="B10168">
        <v>7330400</v>
      </c>
    </row>
    <row r="10169" spans="1:2" x14ac:dyDescent="0.4">
      <c r="A10169" s="4">
        <v>1007001</v>
      </c>
      <c r="B10169">
        <v>7330500</v>
      </c>
    </row>
    <row r="10170" spans="1:2" x14ac:dyDescent="0.4">
      <c r="A10170" s="4">
        <v>1007001</v>
      </c>
      <c r="B10170">
        <v>7330600</v>
      </c>
    </row>
    <row r="10171" spans="1:2" x14ac:dyDescent="0.4">
      <c r="A10171" s="4">
        <v>1007001</v>
      </c>
      <c r="B10171">
        <v>7330700</v>
      </c>
    </row>
    <row r="10172" spans="1:2" x14ac:dyDescent="0.4">
      <c r="A10172" s="4">
        <v>1007001</v>
      </c>
      <c r="B10172">
        <v>7330800</v>
      </c>
    </row>
    <row r="10173" spans="1:2" x14ac:dyDescent="0.4">
      <c r="A10173" s="4">
        <v>1007001</v>
      </c>
      <c r="B10173">
        <v>7330900</v>
      </c>
    </row>
    <row r="10174" spans="1:2" x14ac:dyDescent="0.4">
      <c r="A10174" s="4">
        <v>1007001</v>
      </c>
      <c r="B10174">
        <v>7331000</v>
      </c>
    </row>
    <row r="10175" spans="1:2" x14ac:dyDescent="0.4">
      <c r="A10175" s="4">
        <v>1007001</v>
      </c>
      <c r="B10175">
        <v>7331100</v>
      </c>
    </row>
    <row r="10176" spans="1:2" x14ac:dyDescent="0.4">
      <c r="A10176" s="4">
        <v>1007001</v>
      </c>
      <c r="B10176">
        <v>7331200</v>
      </c>
    </row>
    <row r="10177" spans="1:2" x14ac:dyDescent="0.4">
      <c r="A10177" s="4">
        <v>1007001</v>
      </c>
      <c r="B10177">
        <v>7331300</v>
      </c>
    </row>
    <row r="10178" spans="1:2" x14ac:dyDescent="0.4">
      <c r="A10178" s="4">
        <v>1007001</v>
      </c>
      <c r="B10178">
        <v>7331400</v>
      </c>
    </row>
    <row r="10179" spans="1:2" x14ac:dyDescent="0.4">
      <c r="A10179" s="4">
        <v>1007001</v>
      </c>
      <c r="B10179">
        <v>7331500</v>
      </c>
    </row>
    <row r="10180" spans="1:2" x14ac:dyDescent="0.4">
      <c r="A10180" s="4">
        <v>1007001</v>
      </c>
      <c r="B10180">
        <v>7331700</v>
      </c>
    </row>
    <row r="10181" spans="1:2" x14ac:dyDescent="0.4">
      <c r="A10181" s="4">
        <v>1007001</v>
      </c>
      <c r="B10181">
        <v>7331800</v>
      </c>
    </row>
    <row r="10182" spans="1:2" x14ac:dyDescent="0.4">
      <c r="A10182" s="4">
        <v>1007001</v>
      </c>
      <c r="B10182">
        <v>7331900</v>
      </c>
    </row>
    <row r="10183" spans="1:2" x14ac:dyDescent="0.4">
      <c r="A10183" s="4">
        <v>1007001</v>
      </c>
      <c r="B10183">
        <v>7332000</v>
      </c>
    </row>
    <row r="10184" spans="1:2" x14ac:dyDescent="0.4">
      <c r="A10184" s="4">
        <v>1007001</v>
      </c>
      <c r="B10184">
        <v>7332100</v>
      </c>
    </row>
    <row r="10185" spans="1:2" x14ac:dyDescent="0.4">
      <c r="A10185" s="4">
        <v>1007001</v>
      </c>
      <c r="B10185">
        <v>7332200</v>
      </c>
    </row>
    <row r="10186" spans="1:2" x14ac:dyDescent="0.4">
      <c r="A10186" s="4">
        <v>1007001</v>
      </c>
      <c r="B10186">
        <v>7332300</v>
      </c>
    </row>
    <row r="10187" spans="1:2" x14ac:dyDescent="0.4">
      <c r="A10187" s="4">
        <v>1007001</v>
      </c>
      <c r="B10187">
        <v>7332400</v>
      </c>
    </row>
    <row r="10188" spans="1:2" x14ac:dyDescent="0.4">
      <c r="A10188" s="4">
        <v>1007001</v>
      </c>
      <c r="B10188">
        <v>7340000</v>
      </c>
    </row>
    <row r="10189" spans="1:2" x14ac:dyDescent="0.4">
      <c r="A10189" s="4">
        <v>1007001</v>
      </c>
      <c r="B10189">
        <v>7340100</v>
      </c>
    </row>
    <row r="10190" spans="1:2" x14ac:dyDescent="0.4">
      <c r="A10190" s="4">
        <v>1007001</v>
      </c>
      <c r="B10190">
        <v>7340200</v>
      </c>
    </row>
    <row r="10191" spans="1:2" x14ac:dyDescent="0.4">
      <c r="A10191" s="4">
        <v>1007001</v>
      </c>
      <c r="B10191">
        <v>7340300</v>
      </c>
    </row>
    <row r="10192" spans="1:2" x14ac:dyDescent="0.4">
      <c r="A10192" s="4">
        <v>1007001</v>
      </c>
      <c r="B10192">
        <v>7340400</v>
      </c>
    </row>
    <row r="10193" spans="1:2" x14ac:dyDescent="0.4">
      <c r="A10193" s="4">
        <v>1007001</v>
      </c>
      <c r="B10193">
        <v>7340500</v>
      </c>
    </row>
    <row r="10194" spans="1:2" x14ac:dyDescent="0.4">
      <c r="A10194" s="4">
        <v>1007001</v>
      </c>
      <c r="B10194">
        <v>7340600</v>
      </c>
    </row>
    <row r="10195" spans="1:2" x14ac:dyDescent="0.4">
      <c r="A10195" s="4">
        <v>1007001</v>
      </c>
      <c r="B10195">
        <v>7340700</v>
      </c>
    </row>
    <row r="10196" spans="1:2" x14ac:dyDescent="0.4">
      <c r="A10196" s="4">
        <v>1007001</v>
      </c>
      <c r="B10196">
        <v>7340800</v>
      </c>
    </row>
    <row r="10197" spans="1:2" x14ac:dyDescent="0.4">
      <c r="A10197" s="4">
        <v>1007001</v>
      </c>
      <c r="B10197">
        <v>7340900</v>
      </c>
    </row>
    <row r="10198" spans="1:2" x14ac:dyDescent="0.4">
      <c r="A10198" s="4">
        <v>1007001</v>
      </c>
      <c r="B10198">
        <v>7341000</v>
      </c>
    </row>
    <row r="10199" spans="1:2" x14ac:dyDescent="0.4">
      <c r="A10199" s="4">
        <v>1007001</v>
      </c>
      <c r="B10199">
        <v>7341100</v>
      </c>
    </row>
    <row r="10200" spans="1:2" x14ac:dyDescent="0.4">
      <c r="A10200" s="4">
        <v>1007001</v>
      </c>
      <c r="B10200">
        <v>7341200</v>
      </c>
    </row>
    <row r="10201" spans="1:2" x14ac:dyDescent="0.4">
      <c r="A10201" s="4">
        <v>1007001</v>
      </c>
      <c r="B10201">
        <v>7341300</v>
      </c>
    </row>
    <row r="10202" spans="1:2" x14ac:dyDescent="0.4">
      <c r="A10202" s="4">
        <v>1007001</v>
      </c>
      <c r="B10202">
        <v>7341400</v>
      </c>
    </row>
    <row r="10203" spans="1:2" x14ac:dyDescent="0.4">
      <c r="A10203" s="4">
        <v>1007001</v>
      </c>
      <c r="B10203">
        <v>7341500</v>
      </c>
    </row>
    <row r="10204" spans="1:2" x14ac:dyDescent="0.4">
      <c r="A10204" s="4">
        <v>1007001</v>
      </c>
      <c r="B10204">
        <v>7341700</v>
      </c>
    </row>
    <row r="10205" spans="1:2" x14ac:dyDescent="0.4">
      <c r="A10205" s="4">
        <v>1007001</v>
      </c>
      <c r="B10205">
        <v>7341800</v>
      </c>
    </row>
    <row r="10206" spans="1:2" x14ac:dyDescent="0.4">
      <c r="A10206" s="4">
        <v>1007001</v>
      </c>
      <c r="B10206">
        <v>7341900</v>
      </c>
    </row>
    <row r="10207" spans="1:2" x14ac:dyDescent="0.4">
      <c r="A10207" s="4">
        <v>1007001</v>
      </c>
      <c r="B10207">
        <v>7342000</v>
      </c>
    </row>
    <row r="10208" spans="1:2" x14ac:dyDescent="0.4">
      <c r="A10208" s="4">
        <v>1007001</v>
      </c>
      <c r="B10208">
        <v>7342100</v>
      </c>
    </row>
    <row r="10209" spans="1:2" x14ac:dyDescent="0.4">
      <c r="A10209" s="4">
        <v>1007001</v>
      </c>
      <c r="B10209">
        <v>7342200</v>
      </c>
    </row>
    <row r="10210" spans="1:2" x14ac:dyDescent="0.4">
      <c r="A10210" s="4">
        <v>1007001</v>
      </c>
      <c r="B10210">
        <v>7342300</v>
      </c>
    </row>
    <row r="10211" spans="1:2" x14ac:dyDescent="0.4">
      <c r="A10211" s="4">
        <v>1007001</v>
      </c>
      <c r="B10211">
        <v>7342400</v>
      </c>
    </row>
    <row r="10212" spans="1:2" x14ac:dyDescent="0.4">
      <c r="A10212" s="4">
        <v>1007001</v>
      </c>
      <c r="B10212">
        <v>7350000</v>
      </c>
    </row>
    <row r="10213" spans="1:2" x14ac:dyDescent="0.4">
      <c r="A10213" s="4">
        <v>1007001</v>
      </c>
      <c r="B10213">
        <v>7350100</v>
      </c>
    </row>
    <row r="10214" spans="1:2" x14ac:dyDescent="0.4">
      <c r="A10214" s="4">
        <v>1007001</v>
      </c>
      <c r="B10214">
        <v>7350200</v>
      </c>
    </row>
    <row r="10215" spans="1:2" x14ac:dyDescent="0.4">
      <c r="A10215" s="4">
        <v>1007001</v>
      </c>
      <c r="B10215">
        <v>7350300</v>
      </c>
    </row>
    <row r="10216" spans="1:2" x14ac:dyDescent="0.4">
      <c r="A10216" s="4">
        <v>1007001</v>
      </c>
      <c r="B10216">
        <v>7350400</v>
      </c>
    </row>
    <row r="10217" spans="1:2" x14ac:dyDescent="0.4">
      <c r="A10217" s="4">
        <v>1007001</v>
      </c>
      <c r="B10217">
        <v>7350500</v>
      </c>
    </row>
    <row r="10218" spans="1:2" x14ac:dyDescent="0.4">
      <c r="A10218" s="4">
        <v>1007001</v>
      </c>
      <c r="B10218">
        <v>7350600</v>
      </c>
    </row>
    <row r="10219" spans="1:2" x14ac:dyDescent="0.4">
      <c r="A10219" s="4">
        <v>1007001</v>
      </c>
      <c r="B10219">
        <v>7350700</v>
      </c>
    </row>
    <row r="10220" spans="1:2" x14ac:dyDescent="0.4">
      <c r="A10220" s="4">
        <v>1007001</v>
      </c>
      <c r="B10220">
        <v>7350800</v>
      </c>
    </row>
    <row r="10221" spans="1:2" x14ac:dyDescent="0.4">
      <c r="A10221" s="4">
        <v>1007001</v>
      </c>
      <c r="B10221">
        <v>7350900</v>
      </c>
    </row>
    <row r="10222" spans="1:2" x14ac:dyDescent="0.4">
      <c r="A10222" s="4">
        <v>1007001</v>
      </c>
      <c r="B10222">
        <v>7351000</v>
      </c>
    </row>
    <row r="10223" spans="1:2" x14ac:dyDescent="0.4">
      <c r="A10223" s="4">
        <v>1007001</v>
      </c>
      <c r="B10223">
        <v>7351100</v>
      </c>
    </row>
    <row r="10224" spans="1:2" x14ac:dyDescent="0.4">
      <c r="A10224" s="4">
        <v>1007001</v>
      </c>
      <c r="B10224">
        <v>7351200</v>
      </c>
    </row>
    <row r="10225" spans="1:2" x14ac:dyDescent="0.4">
      <c r="A10225" s="4">
        <v>1007001</v>
      </c>
      <c r="B10225">
        <v>7351300</v>
      </c>
    </row>
    <row r="10226" spans="1:2" x14ac:dyDescent="0.4">
      <c r="A10226" s="4">
        <v>1007001</v>
      </c>
      <c r="B10226">
        <v>7351400</v>
      </c>
    </row>
    <row r="10227" spans="1:2" x14ac:dyDescent="0.4">
      <c r="A10227" s="4">
        <v>1007001</v>
      </c>
      <c r="B10227">
        <v>7351500</v>
      </c>
    </row>
    <row r="10228" spans="1:2" x14ac:dyDescent="0.4">
      <c r="A10228" s="4">
        <v>1007001</v>
      </c>
      <c r="B10228">
        <v>7351700</v>
      </c>
    </row>
    <row r="10229" spans="1:2" x14ac:dyDescent="0.4">
      <c r="A10229" s="4">
        <v>1007001</v>
      </c>
      <c r="B10229">
        <v>7351800</v>
      </c>
    </row>
    <row r="10230" spans="1:2" x14ac:dyDescent="0.4">
      <c r="A10230" s="4">
        <v>1007001</v>
      </c>
      <c r="B10230">
        <v>7351900</v>
      </c>
    </row>
    <row r="10231" spans="1:2" x14ac:dyDescent="0.4">
      <c r="A10231" s="4">
        <v>1007001</v>
      </c>
      <c r="B10231">
        <v>7352000</v>
      </c>
    </row>
    <row r="10232" spans="1:2" x14ac:dyDescent="0.4">
      <c r="A10232" s="4">
        <v>1007001</v>
      </c>
      <c r="B10232">
        <v>7352100</v>
      </c>
    </row>
    <row r="10233" spans="1:2" x14ac:dyDescent="0.4">
      <c r="A10233" s="4">
        <v>1007001</v>
      </c>
      <c r="B10233">
        <v>7352200</v>
      </c>
    </row>
    <row r="10234" spans="1:2" x14ac:dyDescent="0.4">
      <c r="A10234" s="4">
        <v>1007001</v>
      </c>
      <c r="B10234">
        <v>7352300</v>
      </c>
    </row>
    <row r="10235" spans="1:2" x14ac:dyDescent="0.4">
      <c r="A10235" s="4">
        <v>1007001</v>
      </c>
      <c r="B10235">
        <v>7352400</v>
      </c>
    </row>
    <row r="10236" spans="1:2" x14ac:dyDescent="0.4">
      <c r="A10236" s="4">
        <v>1007001</v>
      </c>
      <c r="B10236">
        <v>7360600</v>
      </c>
    </row>
    <row r="10237" spans="1:2" x14ac:dyDescent="0.4">
      <c r="A10237" s="4">
        <v>1007001</v>
      </c>
      <c r="B10237">
        <v>7360900</v>
      </c>
    </row>
    <row r="10238" spans="1:2" x14ac:dyDescent="0.4">
      <c r="A10238" s="4">
        <v>1007001</v>
      </c>
      <c r="B10238">
        <v>7361200</v>
      </c>
    </row>
    <row r="10239" spans="1:2" x14ac:dyDescent="0.4">
      <c r="A10239" s="4">
        <v>1007001</v>
      </c>
      <c r="B10239">
        <v>7361300</v>
      </c>
    </row>
    <row r="10240" spans="1:2" x14ac:dyDescent="0.4">
      <c r="A10240" s="4">
        <v>1007001</v>
      </c>
      <c r="B10240">
        <v>7362100</v>
      </c>
    </row>
    <row r="10241" spans="1:2" x14ac:dyDescent="0.4">
      <c r="A10241" s="4">
        <v>1007001</v>
      </c>
      <c r="B10241">
        <v>7370300</v>
      </c>
    </row>
    <row r="10242" spans="1:2" x14ac:dyDescent="0.4">
      <c r="A10242" s="4">
        <v>1007001</v>
      </c>
      <c r="B10242">
        <v>7370400</v>
      </c>
    </row>
    <row r="10243" spans="1:2" x14ac:dyDescent="0.4">
      <c r="A10243" s="4">
        <v>1007001</v>
      </c>
      <c r="B10243">
        <v>7370600</v>
      </c>
    </row>
    <row r="10244" spans="1:2" x14ac:dyDescent="0.4">
      <c r="A10244" s="4">
        <v>1007001</v>
      </c>
      <c r="B10244">
        <v>7370900</v>
      </c>
    </row>
    <row r="10245" spans="1:2" x14ac:dyDescent="0.4">
      <c r="A10245" s="4">
        <v>1007001</v>
      </c>
      <c r="B10245">
        <v>7371500</v>
      </c>
    </row>
    <row r="10246" spans="1:2" x14ac:dyDescent="0.4">
      <c r="A10246" s="4">
        <v>1007001</v>
      </c>
      <c r="B10246">
        <v>7036200</v>
      </c>
    </row>
    <row r="10247" spans="1:2" x14ac:dyDescent="0.4">
      <c r="A10247" s="4">
        <v>1007001</v>
      </c>
      <c r="B10247">
        <v>7036300</v>
      </c>
    </row>
    <row r="10248" spans="1:2" x14ac:dyDescent="0.4">
      <c r="A10248" s="4">
        <v>1007001</v>
      </c>
      <c r="B10248">
        <v>7036400</v>
      </c>
    </row>
    <row r="10249" spans="1:2" x14ac:dyDescent="0.4">
      <c r="A10249" s="4">
        <v>1007001</v>
      </c>
      <c r="B10249">
        <v>7036500</v>
      </c>
    </row>
    <row r="10250" spans="1:2" x14ac:dyDescent="0.4">
      <c r="A10250" s="4">
        <v>1007001</v>
      </c>
      <c r="B10250">
        <v>7036800</v>
      </c>
    </row>
    <row r="10251" spans="1:2" x14ac:dyDescent="0.4">
      <c r="A10251" s="4">
        <v>1007001</v>
      </c>
      <c r="B10251">
        <v>7036900</v>
      </c>
    </row>
    <row r="10252" spans="1:2" x14ac:dyDescent="0.4">
      <c r="A10252" s="4">
        <v>1007001</v>
      </c>
      <c r="B10252">
        <v>7037000</v>
      </c>
    </row>
    <row r="10253" spans="1:2" x14ac:dyDescent="0.4">
      <c r="A10253" s="4">
        <v>1007001</v>
      </c>
      <c r="B10253">
        <v>7037300</v>
      </c>
    </row>
    <row r="10254" spans="1:2" x14ac:dyDescent="0.4">
      <c r="A10254" s="4">
        <v>1007001</v>
      </c>
      <c r="B10254">
        <v>6630000</v>
      </c>
    </row>
    <row r="10255" spans="1:2" x14ac:dyDescent="0.4">
      <c r="A10255" s="4">
        <v>1007001</v>
      </c>
      <c r="B10255">
        <v>6630100</v>
      </c>
    </row>
    <row r="10256" spans="1:2" x14ac:dyDescent="0.4">
      <c r="A10256" s="4">
        <v>1007001</v>
      </c>
      <c r="B10256">
        <v>6630200</v>
      </c>
    </row>
    <row r="10257" spans="1:2" x14ac:dyDescent="0.4">
      <c r="A10257" s="4">
        <v>1007001</v>
      </c>
      <c r="B10257">
        <v>6630300</v>
      </c>
    </row>
    <row r="10258" spans="1:2" x14ac:dyDescent="0.4">
      <c r="A10258" s="4">
        <v>1007001</v>
      </c>
      <c r="B10258">
        <v>6630400</v>
      </c>
    </row>
    <row r="10259" spans="1:2" x14ac:dyDescent="0.4">
      <c r="A10259" s="4">
        <v>1007001</v>
      </c>
      <c r="B10259">
        <v>6630500</v>
      </c>
    </row>
    <row r="10260" spans="1:2" x14ac:dyDescent="0.4">
      <c r="A10260" s="4">
        <v>1007001</v>
      </c>
      <c r="B10260">
        <v>6630600</v>
      </c>
    </row>
    <row r="10261" spans="1:2" x14ac:dyDescent="0.4">
      <c r="A10261" s="4">
        <v>1007001</v>
      </c>
      <c r="B10261">
        <v>6630700</v>
      </c>
    </row>
    <row r="10262" spans="1:2" x14ac:dyDescent="0.4">
      <c r="A10262" s="4">
        <v>1007001</v>
      </c>
      <c r="B10262">
        <v>6630800</v>
      </c>
    </row>
    <row r="10263" spans="1:2" x14ac:dyDescent="0.4">
      <c r="A10263" s="4">
        <v>1007001</v>
      </c>
      <c r="B10263">
        <v>6630900</v>
      </c>
    </row>
    <row r="10264" spans="1:2" x14ac:dyDescent="0.4">
      <c r="A10264" s="4">
        <v>1007001</v>
      </c>
      <c r="B10264">
        <v>6631000</v>
      </c>
    </row>
    <row r="10265" spans="1:2" x14ac:dyDescent="0.4">
      <c r="A10265" s="4">
        <v>1007001</v>
      </c>
      <c r="B10265">
        <v>6631100</v>
      </c>
    </row>
    <row r="10266" spans="1:2" x14ac:dyDescent="0.4">
      <c r="A10266" s="4">
        <v>1007001</v>
      </c>
      <c r="B10266">
        <v>6631200</v>
      </c>
    </row>
    <row r="10267" spans="1:2" x14ac:dyDescent="0.4">
      <c r="A10267" s="4">
        <v>1007001</v>
      </c>
      <c r="B10267">
        <v>6631300</v>
      </c>
    </row>
    <row r="10268" spans="1:2" x14ac:dyDescent="0.4">
      <c r="A10268" s="4">
        <v>1007001</v>
      </c>
      <c r="B10268">
        <v>6631400</v>
      </c>
    </row>
    <row r="10269" spans="1:2" x14ac:dyDescent="0.4">
      <c r="A10269" s="4">
        <v>1007001</v>
      </c>
      <c r="B10269">
        <v>6631500</v>
      </c>
    </row>
    <row r="10270" spans="1:2" x14ac:dyDescent="0.4">
      <c r="A10270" s="4">
        <v>1007001</v>
      </c>
      <c r="B10270">
        <v>6631600</v>
      </c>
    </row>
    <row r="10271" spans="1:2" x14ac:dyDescent="0.4">
      <c r="A10271" s="4">
        <v>1007001</v>
      </c>
      <c r="B10271">
        <v>6631700</v>
      </c>
    </row>
    <row r="10272" spans="1:2" x14ac:dyDescent="0.4">
      <c r="A10272" s="4">
        <v>1007001</v>
      </c>
      <c r="B10272">
        <v>6631800</v>
      </c>
    </row>
    <row r="10273" spans="1:2" x14ac:dyDescent="0.4">
      <c r="A10273" s="4">
        <v>1007001</v>
      </c>
      <c r="B10273">
        <v>6631900</v>
      </c>
    </row>
    <row r="10274" spans="1:2" x14ac:dyDescent="0.4">
      <c r="A10274" s="4">
        <v>1007001</v>
      </c>
      <c r="B10274">
        <v>6632000</v>
      </c>
    </row>
    <row r="10275" spans="1:2" x14ac:dyDescent="0.4">
      <c r="A10275" s="4">
        <v>1007001</v>
      </c>
      <c r="B10275">
        <v>6632100</v>
      </c>
    </row>
    <row r="10276" spans="1:2" x14ac:dyDescent="0.4">
      <c r="A10276" s="4">
        <v>1007001</v>
      </c>
      <c r="B10276">
        <v>6632200</v>
      </c>
    </row>
    <row r="10277" spans="1:2" x14ac:dyDescent="0.4">
      <c r="A10277" s="4">
        <v>1007001</v>
      </c>
      <c r="B10277">
        <v>6632300</v>
      </c>
    </row>
    <row r="10278" spans="1:2" x14ac:dyDescent="0.4">
      <c r="A10278" s="4">
        <v>1007001</v>
      </c>
      <c r="B10278">
        <v>6632400</v>
      </c>
    </row>
    <row r="10279" spans="1:2" x14ac:dyDescent="0.4">
      <c r="A10279" s="4">
        <v>1007001</v>
      </c>
      <c r="B10279">
        <v>6632500</v>
      </c>
    </row>
    <row r="10280" spans="1:2" x14ac:dyDescent="0.4">
      <c r="A10280" s="4">
        <v>1007001</v>
      </c>
      <c r="B10280">
        <v>6632600</v>
      </c>
    </row>
    <row r="10281" spans="1:2" x14ac:dyDescent="0.4">
      <c r="A10281" s="4">
        <v>1007001</v>
      </c>
      <c r="B10281">
        <v>6632700</v>
      </c>
    </row>
    <row r="10282" spans="1:2" x14ac:dyDescent="0.4">
      <c r="A10282" s="4">
        <v>1007001</v>
      </c>
      <c r="B10282">
        <v>6632800</v>
      </c>
    </row>
    <row r="10283" spans="1:2" x14ac:dyDescent="0.4">
      <c r="A10283" s="4">
        <v>1007001</v>
      </c>
      <c r="B10283">
        <v>6632900</v>
      </c>
    </row>
    <row r="10284" spans="1:2" x14ac:dyDescent="0.4">
      <c r="A10284" s="4">
        <v>1007001</v>
      </c>
      <c r="B10284">
        <v>6633000</v>
      </c>
    </row>
    <row r="10285" spans="1:2" x14ac:dyDescent="0.4">
      <c r="A10285" s="4">
        <v>1007001</v>
      </c>
      <c r="B10285">
        <v>6633100</v>
      </c>
    </row>
    <row r="10286" spans="1:2" x14ac:dyDescent="0.4">
      <c r="A10286" s="4">
        <v>1007001</v>
      </c>
      <c r="B10286">
        <v>6633200</v>
      </c>
    </row>
    <row r="10287" spans="1:2" x14ac:dyDescent="0.4">
      <c r="A10287" s="4">
        <v>1007001</v>
      </c>
      <c r="B10287">
        <v>6647200</v>
      </c>
    </row>
    <row r="10288" spans="1:2" x14ac:dyDescent="0.4">
      <c r="A10288" s="4">
        <v>1007001</v>
      </c>
      <c r="B10288">
        <v>6647300</v>
      </c>
    </row>
    <row r="10289" spans="1:2" x14ac:dyDescent="0.4">
      <c r="A10289" s="4">
        <v>1007001</v>
      </c>
      <c r="B10289">
        <v>6647400</v>
      </c>
    </row>
    <row r="10290" spans="1:2" x14ac:dyDescent="0.4">
      <c r="A10290" s="4">
        <v>1007001</v>
      </c>
      <c r="B10290">
        <v>6647500</v>
      </c>
    </row>
    <row r="10291" spans="1:2" x14ac:dyDescent="0.4">
      <c r="A10291" s="4">
        <v>1007001</v>
      </c>
      <c r="B10291">
        <v>6640000</v>
      </c>
    </row>
    <row r="10292" spans="1:2" x14ac:dyDescent="0.4">
      <c r="A10292" s="4">
        <v>1007001</v>
      </c>
      <c r="B10292">
        <v>6640100</v>
      </c>
    </row>
    <row r="10293" spans="1:2" x14ac:dyDescent="0.4">
      <c r="A10293" s="4">
        <v>1007001</v>
      </c>
      <c r="B10293">
        <v>6641000</v>
      </c>
    </row>
    <row r="10294" spans="1:2" x14ac:dyDescent="0.4">
      <c r="A10294" s="4">
        <v>1007001</v>
      </c>
      <c r="B10294">
        <v>6641100</v>
      </c>
    </row>
    <row r="10295" spans="1:2" x14ac:dyDescent="0.4">
      <c r="A10295" s="4">
        <v>1007001</v>
      </c>
      <c r="B10295">
        <v>6642000</v>
      </c>
    </row>
    <row r="10296" spans="1:2" x14ac:dyDescent="0.4">
      <c r="A10296" s="4">
        <v>1007001</v>
      </c>
      <c r="B10296">
        <v>6642100</v>
      </c>
    </row>
    <row r="10297" spans="1:2" x14ac:dyDescent="0.4">
      <c r="A10297" s="4">
        <v>1007001</v>
      </c>
      <c r="B10297">
        <v>6643000</v>
      </c>
    </row>
    <row r="10298" spans="1:2" x14ac:dyDescent="0.4">
      <c r="A10298" s="4">
        <v>1007001</v>
      </c>
      <c r="B10298">
        <v>6643100</v>
      </c>
    </row>
    <row r="10299" spans="1:2" x14ac:dyDescent="0.4">
      <c r="A10299" s="4">
        <v>1007001</v>
      </c>
      <c r="B10299">
        <v>6644000</v>
      </c>
    </row>
    <row r="10300" spans="1:2" x14ac:dyDescent="0.4">
      <c r="A10300" s="4">
        <v>1007001</v>
      </c>
      <c r="B10300">
        <v>6644100</v>
      </c>
    </row>
    <row r="10301" spans="1:2" x14ac:dyDescent="0.4">
      <c r="A10301" s="4">
        <v>1007001</v>
      </c>
      <c r="B10301">
        <v>6645000</v>
      </c>
    </row>
    <row r="10302" spans="1:2" x14ac:dyDescent="0.4">
      <c r="A10302" s="4">
        <v>1007001</v>
      </c>
      <c r="B10302">
        <v>6645100</v>
      </c>
    </row>
    <row r="10303" spans="1:2" x14ac:dyDescent="0.4">
      <c r="A10303" s="4">
        <v>1007001</v>
      </c>
      <c r="B10303">
        <v>6646000</v>
      </c>
    </row>
    <row r="10304" spans="1:2" x14ac:dyDescent="0.4">
      <c r="A10304" s="4">
        <v>1007001</v>
      </c>
      <c r="B10304">
        <v>6646100</v>
      </c>
    </row>
    <row r="10305" spans="1:2" x14ac:dyDescent="0.4">
      <c r="A10305" s="4">
        <v>1007001</v>
      </c>
      <c r="B10305">
        <v>6647000</v>
      </c>
    </row>
    <row r="10306" spans="1:2" x14ac:dyDescent="0.4">
      <c r="A10306" s="4">
        <v>1007001</v>
      </c>
      <c r="B10306">
        <v>6647100</v>
      </c>
    </row>
    <row r="10307" spans="1:2" x14ac:dyDescent="0.4">
      <c r="A10307" s="4">
        <v>1007002</v>
      </c>
      <c r="B10307">
        <v>7000000</v>
      </c>
    </row>
    <row r="10308" spans="1:2" x14ac:dyDescent="0.4">
      <c r="A10308" s="4">
        <v>1007002</v>
      </c>
      <c r="B10308">
        <v>7000001</v>
      </c>
    </row>
    <row r="10309" spans="1:2" x14ac:dyDescent="0.4">
      <c r="A10309" s="4">
        <v>1007002</v>
      </c>
      <c r="B10309">
        <v>7000002</v>
      </c>
    </row>
    <row r="10310" spans="1:2" x14ac:dyDescent="0.4">
      <c r="A10310" s="4">
        <v>1007002</v>
      </c>
      <c r="B10310">
        <v>7000100</v>
      </c>
    </row>
    <row r="10311" spans="1:2" x14ac:dyDescent="0.4">
      <c r="A10311" s="4">
        <v>1007002</v>
      </c>
      <c r="B10311">
        <v>7000101</v>
      </c>
    </row>
    <row r="10312" spans="1:2" x14ac:dyDescent="0.4">
      <c r="A10312" s="4">
        <v>1007002</v>
      </c>
      <c r="B10312">
        <v>7000102</v>
      </c>
    </row>
    <row r="10313" spans="1:2" x14ac:dyDescent="0.4">
      <c r="A10313" s="4">
        <v>1007002</v>
      </c>
      <c r="B10313">
        <v>7000200</v>
      </c>
    </row>
    <row r="10314" spans="1:2" x14ac:dyDescent="0.4">
      <c r="A10314" s="4">
        <v>1007002</v>
      </c>
      <c r="B10314">
        <v>7000201</v>
      </c>
    </row>
    <row r="10315" spans="1:2" x14ac:dyDescent="0.4">
      <c r="A10315" s="4">
        <v>1007002</v>
      </c>
      <c r="B10315">
        <v>7000202</v>
      </c>
    </row>
    <row r="10316" spans="1:2" x14ac:dyDescent="0.4">
      <c r="A10316" s="4">
        <v>1007002</v>
      </c>
      <c r="B10316">
        <v>7000300</v>
      </c>
    </row>
    <row r="10317" spans="1:2" x14ac:dyDescent="0.4">
      <c r="A10317" s="4">
        <v>1007002</v>
      </c>
      <c r="B10317">
        <v>7000301</v>
      </c>
    </row>
    <row r="10318" spans="1:2" x14ac:dyDescent="0.4">
      <c r="A10318" s="4">
        <v>1007002</v>
      </c>
      <c r="B10318">
        <v>7000302</v>
      </c>
    </row>
    <row r="10319" spans="1:2" x14ac:dyDescent="0.4">
      <c r="A10319" s="4">
        <v>1007002</v>
      </c>
      <c r="B10319">
        <v>7000400</v>
      </c>
    </row>
    <row r="10320" spans="1:2" x14ac:dyDescent="0.4">
      <c r="A10320" s="4">
        <v>1007002</v>
      </c>
      <c r="B10320">
        <v>7000401</v>
      </c>
    </row>
    <row r="10321" spans="1:2" x14ac:dyDescent="0.4">
      <c r="A10321" s="4">
        <v>1007002</v>
      </c>
      <c r="B10321">
        <v>7000402</v>
      </c>
    </row>
    <row r="10322" spans="1:2" x14ac:dyDescent="0.4">
      <c r="A10322" s="4">
        <v>1007002</v>
      </c>
      <c r="B10322">
        <v>7000500</v>
      </c>
    </row>
    <row r="10323" spans="1:2" x14ac:dyDescent="0.4">
      <c r="A10323" s="4">
        <v>1007002</v>
      </c>
      <c r="B10323">
        <v>7000501</v>
      </c>
    </row>
    <row r="10324" spans="1:2" x14ac:dyDescent="0.4">
      <c r="A10324" s="4">
        <v>1007002</v>
      </c>
      <c r="B10324">
        <v>7000502</v>
      </c>
    </row>
    <row r="10325" spans="1:2" x14ac:dyDescent="0.4">
      <c r="A10325" s="4">
        <v>1007002</v>
      </c>
      <c r="B10325">
        <v>7000600</v>
      </c>
    </row>
    <row r="10326" spans="1:2" x14ac:dyDescent="0.4">
      <c r="A10326" s="4">
        <v>1007002</v>
      </c>
      <c r="B10326">
        <v>7000601</v>
      </c>
    </row>
    <row r="10327" spans="1:2" x14ac:dyDescent="0.4">
      <c r="A10327" s="4">
        <v>1007002</v>
      </c>
      <c r="B10327">
        <v>7000602</v>
      </c>
    </row>
    <row r="10328" spans="1:2" x14ac:dyDescent="0.4">
      <c r="A10328" s="4">
        <v>1007002</v>
      </c>
      <c r="B10328">
        <v>7000700</v>
      </c>
    </row>
    <row r="10329" spans="1:2" x14ac:dyDescent="0.4">
      <c r="A10329" s="4">
        <v>1007002</v>
      </c>
      <c r="B10329">
        <v>7000701</v>
      </c>
    </row>
    <row r="10330" spans="1:2" x14ac:dyDescent="0.4">
      <c r="A10330" s="4">
        <v>1007002</v>
      </c>
      <c r="B10330">
        <v>7000702</v>
      </c>
    </row>
    <row r="10331" spans="1:2" x14ac:dyDescent="0.4">
      <c r="A10331" s="4">
        <v>1007002</v>
      </c>
      <c r="B10331">
        <v>7000800</v>
      </c>
    </row>
    <row r="10332" spans="1:2" x14ac:dyDescent="0.4">
      <c r="A10332" s="4">
        <v>1007002</v>
      </c>
      <c r="B10332">
        <v>7000801</v>
      </c>
    </row>
    <row r="10333" spans="1:2" x14ac:dyDescent="0.4">
      <c r="A10333" s="4">
        <v>1007002</v>
      </c>
      <c r="B10333">
        <v>7000802</v>
      </c>
    </row>
    <row r="10334" spans="1:2" x14ac:dyDescent="0.4">
      <c r="A10334" s="4">
        <v>1007002</v>
      </c>
      <c r="B10334">
        <v>7000900</v>
      </c>
    </row>
    <row r="10335" spans="1:2" x14ac:dyDescent="0.4">
      <c r="A10335" s="4">
        <v>1007002</v>
      </c>
      <c r="B10335">
        <v>7000901</v>
      </c>
    </row>
    <row r="10336" spans="1:2" x14ac:dyDescent="0.4">
      <c r="A10336" s="4">
        <v>1007002</v>
      </c>
      <c r="B10336">
        <v>7000902</v>
      </c>
    </row>
    <row r="10337" spans="1:2" x14ac:dyDescent="0.4">
      <c r="A10337" s="4">
        <v>1007002</v>
      </c>
      <c r="B10337">
        <v>7001000</v>
      </c>
    </row>
    <row r="10338" spans="1:2" x14ac:dyDescent="0.4">
      <c r="A10338" s="4">
        <v>1007002</v>
      </c>
      <c r="B10338">
        <v>7001001</v>
      </c>
    </row>
    <row r="10339" spans="1:2" x14ac:dyDescent="0.4">
      <c r="A10339" s="4">
        <v>1007002</v>
      </c>
      <c r="B10339">
        <v>7001002</v>
      </c>
    </row>
    <row r="10340" spans="1:2" x14ac:dyDescent="0.4">
      <c r="A10340" s="4">
        <v>1007002</v>
      </c>
      <c r="B10340">
        <v>7001400</v>
      </c>
    </row>
    <row r="10341" spans="1:2" x14ac:dyDescent="0.4">
      <c r="A10341" s="4">
        <v>1007002</v>
      </c>
      <c r="B10341">
        <v>7001401</v>
      </c>
    </row>
    <row r="10342" spans="1:2" x14ac:dyDescent="0.4">
      <c r="A10342" s="4">
        <v>1007002</v>
      </c>
      <c r="B10342">
        <v>7001402</v>
      </c>
    </row>
    <row r="10343" spans="1:2" x14ac:dyDescent="0.4">
      <c r="A10343" s="4">
        <v>1007002</v>
      </c>
      <c r="B10343">
        <v>7001500</v>
      </c>
    </row>
    <row r="10344" spans="1:2" x14ac:dyDescent="0.4">
      <c r="A10344" s="4">
        <v>1007002</v>
      </c>
      <c r="B10344">
        <v>7001501</v>
      </c>
    </row>
    <row r="10345" spans="1:2" x14ac:dyDescent="0.4">
      <c r="A10345" s="4">
        <v>1007002</v>
      </c>
      <c r="B10345">
        <v>7001502</v>
      </c>
    </row>
    <row r="10346" spans="1:2" x14ac:dyDescent="0.4">
      <c r="A10346" s="4">
        <v>1007002</v>
      </c>
      <c r="B10346">
        <v>7001600</v>
      </c>
    </row>
    <row r="10347" spans="1:2" x14ac:dyDescent="0.4">
      <c r="A10347" s="4">
        <v>1007002</v>
      </c>
      <c r="B10347">
        <v>7001601</v>
      </c>
    </row>
    <row r="10348" spans="1:2" x14ac:dyDescent="0.4">
      <c r="A10348" s="4">
        <v>1007002</v>
      </c>
      <c r="B10348">
        <v>7001602</v>
      </c>
    </row>
    <row r="10349" spans="1:2" x14ac:dyDescent="0.4">
      <c r="A10349" s="4">
        <v>1007002</v>
      </c>
      <c r="B10349">
        <v>7001700</v>
      </c>
    </row>
    <row r="10350" spans="1:2" x14ac:dyDescent="0.4">
      <c r="A10350" s="4">
        <v>1007002</v>
      </c>
      <c r="B10350">
        <v>7001701</v>
      </c>
    </row>
    <row r="10351" spans="1:2" x14ac:dyDescent="0.4">
      <c r="A10351" s="4">
        <v>1007002</v>
      </c>
      <c r="B10351">
        <v>7001702</v>
      </c>
    </row>
    <row r="10352" spans="1:2" x14ac:dyDescent="0.4">
      <c r="A10352" s="4">
        <v>1007002</v>
      </c>
      <c r="B10352">
        <v>7001800</v>
      </c>
    </row>
    <row r="10353" spans="1:2" x14ac:dyDescent="0.4">
      <c r="A10353" s="4">
        <v>1007002</v>
      </c>
      <c r="B10353">
        <v>7001801</v>
      </c>
    </row>
    <row r="10354" spans="1:2" x14ac:dyDescent="0.4">
      <c r="A10354" s="4">
        <v>1007002</v>
      </c>
      <c r="B10354">
        <v>7001802</v>
      </c>
    </row>
    <row r="10355" spans="1:2" x14ac:dyDescent="0.4">
      <c r="A10355" s="4">
        <v>1007002</v>
      </c>
      <c r="B10355">
        <v>7002600</v>
      </c>
    </row>
    <row r="10356" spans="1:2" x14ac:dyDescent="0.4">
      <c r="A10356" s="4">
        <v>1007002</v>
      </c>
      <c r="B10356">
        <v>7002700</v>
      </c>
    </row>
    <row r="10357" spans="1:2" x14ac:dyDescent="0.4">
      <c r="A10357" s="4">
        <v>1007002</v>
      </c>
      <c r="B10357">
        <v>7002800</v>
      </c>
    </row>
    <row r="10358" spans="1:2" x14ac:dyDescent="0.4">
      <c r="A10358" s="4">
        <v>1007002</v>
      </c>
      <c r="B10358">
        <v>7002900</v>
      </c>
    </row>
    <row r="10359" spans="1:2" x14ac:dyDescent="0.4">
      <c r="A10359" s="4">
        <v>1007002</v>
      </c>
      <c r="B10359">
        <v>7003000</v>
      </c>
    </row>
    <row r="10360" spans="1:2" x14ac:dyDescent="0.4">
      <c r="A10360" s="4">
        <v>1007002</v>
      </c>
      <c r="B10360">
        <v>7003100</v>
      </c>
    </row>
    <row r="10361" spans="1:2" x14ac:dyDescent="0.4">
      <c r="A10361" s="4">
        <v>1007002</v>
      </c>
      <c r="B10361">
        <v>7003200</v>
      </c>
    </row>
    <row r="10362" spans="1:2" x14ac:dyDescent="0.4">
      <c r="A10362" s="4">
        <v>1007002</v>
      </c>
      <c r="B10362">
        <v>7003300</v>
      </c>
    </row>
    <row r="10363" spans="1:2" x14ac:dyDescent="0.4">
      <c r="A10363" s="4">
        <v>1007002</v>
      </c>
      <c r="B10363">
        <v>7003400</v>
      </c>
    </row>
    <row r="10364" spans="1:2" x14ac:dyDescent="0.4">
      <c r="A10364" s="4">
        <v>1007002</v>
      </c>
      <c r="B10364">
        <v>7003500</v>
      </c>
    </row>
    <row r="10365" spans="1:2" x14ac:dyDescent="0.4">
      <c r="A10365" s="4">
        <v>1007002</v>
      </c>
      <c r="B10365">
        <v>7003600</v>
      </c>
    </row>
    <row r="10366" spans="1:2" x14ac:dyDescent="0.4">
      <c r="A10366" s="4">
        <v>1007002</v>
      </c>
      <c r="B10366">
        <v>7005600</v>
      </c>
    </row>
    <row r="10367" spans="1:2" x14ac:dyDescent="0.4">
      <c r="A10367" s="4">
        <v>1007002</v>
      </c>
      <c r="B10367">
        <v>7006000</v>
      </c>
    </row>
    <row r="10368" spans="1:2" x14ac:dyDescent="0.4">
      <c r="A10368" s="4">
        <v>1007002</v>
      </c>
      <c r="B10368">
        <v>7006100</v>
      </c>
    </row>
    <row r="10369" spans="1:2" x14ac:dyDescent="0.4">
      <c r="A10369" s="4">
        <v>1007002</v>
      </c>
      <c r="B10369">
        <v>7010200</v>
      </c>
    </row>
    <row r="10370" spans="1:2" x14ac:dyDescent="0.4">
      <c r="A10370" s="4">
        <v>1007002</v>
      </c>
      <c r="B10370">
        <v>7010500</v>
      </c>
    </row>
    <row r="10371" spans="1:2" x14ac:dyDescent="0.4">
      <c r="A10371" s="4">
        <v>1007002</v>
      </c>
      <c r="B10371">
        <v>7010700</v>
      </c>
    </row>
    <row r="10372" spans="1:2" x14ac:dyDescent="0.4">
      <c r="A10372" s="4">
        <v>1007002</v>
      </c>
      <c r="B10372">
        <v>7010900</v>
      </c>
    </row>
    <row r="10373" spans="1:2" x14ac:dyDescent="0.4">
      <c r="A10373" s="4">
        <v>1007002</v>
      </c>
      <c r="B10373">
        <v>7011000</v>
      </c>
    </row>
    <row r="10374" spans="1:2" x14ac:dyDescent="0.4">
      <c r="A10374" s="4">
        <v>1007002</v>
      </c>
      <c r="B10374">
        <v>7011200</v>
      </c>
    </row>
    <row r="10375" spans="1:2" x14ac:dyDescent="0.4">
      <c r="A10375" s="4">
        <v>1007002</v>
      </c>
      <c r="B10375">
        <v>7011600</v>
      </c>
    </row>
    <row r="10376" spans="1:2" x14ac:dyDescent="0.4">
      <c r="A10376" s="4">
        <v>1007002</v>
      </c>
      <c r="B10376">
        <v>7011700</v>
      </c>
    </row>
    <row r="10377" spans="1:2" x14ac:dyDescent="0.4">
      <c r="A10377" s="4">
        <v>1007002</v>
      </c>
      <c r="B10377">
        <v>7012000</v>
      </c>
    </row>
    <row r="10378" spans="1:2" x14ac:dyDescent="0.4">
      <c r="A10378" s="4">
        <v>1007002</v>
      </c>
      <c r="B10378">
        <v>7012200</v>
      </c>
    </row>
    <row r="10379" spans="1:2" x14ac:dyDescent="0.4">
      <c r="A10379" s="4">
        <v>1007002</v>
      </c>
      <c r="B10379">
        <v>7012300</v>
      </c>
    </row>
    <row r="10380" spans="1:2" x14ac:dyDescent="0.4">
      <c r="A10380" s="4">
        <v>1007002</v>
      </c>
      <c r="B10380">
        <v>7020000</v>
      </c>
    </row>
    <row r="10381" spans="1:2" x14ac:dyDescent="0.4">
      <c r="A10381" s="4">
        <v>1007002</v>
      </c>
      <c r="B10381">
        <v>7030000</v>
      </c>
    </row>
    <row r="10382" spans="1:2" x14ac:dyDescent="0.4">
      <c r="A10382" s="4">
        <v>1007002</v>
      </c>
      <c r="B10382">
        <v>7030200</v>
      </c>
    </row>
    <row r="10383" spans="1:2" x14ac:dyDescent="0.4">
      <c r="A10383" s="4">
        <v>1007002</v>
      </c>
      <c r="B10383">
        <v>7030600</v>
      </c>
    </row>
    <row r="10384" spans="1:2" x14ac:dyDescent="0.4">
      <c r="A10384" s="4">
        <v>1007002</v>
      </c>
      <c r="B10384">
        <v>7030700</v>
      </c>
    </row>
    <row r="10385" spans="1:2" x14ac:dyDescent="0.4">
      <c r="A10385" s="4">
        <v>1007002</v>
      </c>
      <c r="B10385">
        <v>7030800</v>
      </c>
    </row>
    <row r="10386" spans="1:2" x14ac:dyDescent="0.4">
      <c r="A10386" s="4">
        <v>1007002</v>
      </c>
      <c r="B10386">
        <v>7030900</v>
      </c>
    </row>
    <row r="10387" spans="1:2" x14ac:dyDescent="0.4">
      <c r="A10387" s="4">
        <v>1007002</v>
      </c>
      <c r="B10387">
        <v>7031200</v>
      </c>
    </row>
    <row r="10388" spans="1:2" x14ac:dyDescent="0.4">
      <c r="A10388" s="4">
        <v>1007002</v>
      </c>
      <c r="B10388">
        <v>7031300</v>
      </c>
    </row>
    <row r="10389" spans="1:2" x14ac:dyDescent="0.4">
      <c r="A10389" s="4">
        <v>1007002</v>
      </c>
      <c r="B10389">
        <v>7031800</v>
      </c>
    </row>
    <row r="10390" spans="1:2" x14ac:dyDescent="0.4">
      <c r="A10390" s="4">
        <v>1007002</v>
      </c>
      <c r="B10390">
        <v>7031900</v>
      </c>
    </row>
    <row r="10391" spans="1:2" x14ac:dyDescent="0.4">
      <c r="A10391" s="4">
        <v>1007002</v>
      </c>
      <c r="B10391">
        <v>7032200</v>
      </c>
    </row>
    <row r="10392" spans="1:2" x14ac:dyDescent="0.4">
      <c r="A10392" s="4">
        <v>1007002</v>
      </c>
      <c r="B10392">
        <v>7032400</v>
      </c>
    </row>
    <row r="10393" spans="1:2" x14ac:dyDescent="0.4">
      <c r="A10393" s="4">
        <v>1007002</v>
      </c>
      <c r="B10393">
        <v>7032700</v>
      </c>
    </row>
    <row r="10394" spans="1:2" x14ac:dyDescent="0.4">
      <c r="A10394" s="4">
        <v>1007002</v>
      </c>
      <c r="B10394">
        <v>7032800</v>
      </c>
    </row>
    <row r="10395" spans="1:2" x14ac:dyDescent="0.4">
      <c r="A10395" s="4">
        <v>1007002</v>
      </c>
      <c r="B10395">
        <v>7032900</v>
      </c>
    </row>
    <row r="10396" spans="1:2" x14ac:dyDescent="0.4">
      <c r="A10396" s="4">
        <v>1007002</v>
      </c>
      <c r="B10396">
        <v>7033200</v>
      </c>
    </row>
    <row r="10397" spans="1:2" x14ac:dyDescent="0.4">
      <c r="A10397" s="4">
        <v>1007002</v>
      </c>
      <c r="B10397">
        <v>7033400</v>
      </c>
    </row>
    <row r="10398" spans="1:2" x14ac:dyDescent="0.4">
      <c r="A10398" s="4">
        <v>1007002</v>
      </c>
      <c r="B10398">
        <v>7034100</v>
      </c>
    </row>
    <row r="10399" spans="1:2" x14ac:dyDescent="0.4">
      <c r="A10399" s="4">
        <v>1007002</v>
      </c>
      <c r="B10399">
        <v>7034400</v>
      </c>
    </row>
    <row r="10400" spans="1:2" x14ac:dyDescent="0.4">
      <c r="A10400" s="4">
        <v>1007002</v>
      </c>
      <c r="B10400">
        <v>7034500</v>
      </c>
    </row>
    <row r="10401" spans="1:2" x14ac:dyDescent="0.4">
      <c r="A10401" s="4">
        <v>1007002</v>
      </c>
      <c r="B10401">
        <v>7034600</v>
      </c>
    </row>
    <row r="10402" spans="1:2" x14ac:dyDescent="0.4">
      <c r="A10402" s="4">
        <v>1007002</v>
      </c>
      <c r="B10402">
        <v>7034700</v>
      </c>
    </row>
    <row r="10403" spans="1:2" x14ac:dyDescent="0.4">
      <c r="A10403" s="4">
        <v>1007002</v>
      </c>
      <c r="B10403">
        <v>7035100</v>
      </c>
    </row>
    <row r="10404" spans="1:2" x14ac:dyDescent="0.4">
      <c r="A10404" s="4">
        <v>1007002</v>
      </c>
      <c r="B10404">
        <v>7036100</v>
      </c>
    </row>
    <row r="10405" spans="1:2" x14ac:dyDescent="0.4">
      <c r="A10405" s="4">
        <v>1007002</v>
      </c>
      <c r="B10405">
        <v>7040000</v>
      </c>
    </row>
    <row r="10406" spans="1:2" x14ac:dyDescent="0.4">
      <c r="A10406" s="4">
        <v>1007002</v>
      </c>
      <c r="B10406">
        <v>7040100</v>
      </c>
    </row>
    <row r="10407" spans="1:2" x14ac:dyDescent="0.4">
      <c r="A10407" s="4">
        <v>1007002</v>
      </c>
      <c r="B10407">
        <v>7040200</v>
      </c>
    </row>
    <row r="10408" spans="1:2" x14ac:dyDescent="0.4">
      <c r="A10408" s="4">
        <v>1007002</v>
      </c>
      <c r="B10408">
        <v>7040300</v>
      </c>
    </row>
    <row r="10409" spans="1:2" x14ac:dyDescent="0.4">
      <c r="A10409" s="4">
        <v>1007002</v>
      </c>
      <c r="B10409">
        <v>7040400</v>
      </c>
    </row>
    <row r="10410" spans="1:2" x14ac:dyDescent="0.4">
      <c r="A10410" s="4">
        <v>1007002</v>
      </c>
      <c r="B10410">
        <v>7040500</v>
      </c>
    </row>
    <row r="10411" spans="1:2" x14ac:dyDescent="0.4">
      <c r="A10411" s="4">
        <v>1007002</v>
      </c>
      <c r="B10411">
        <v>7043000</v>
      </c>
    </row>
    <row r="10412" spans="1:2" x14ac:dyDescent="0.4">
      <c r="A10412" s="4">
        <v>1007002</v>
      </c>
      <c r="B10412">
        <v>7043100</v>
      </c>
    </row>
    <row r="10413" spans="1:2" x14ac:dyDescent="0.4">
      <c r="A10413" s="4">
        <v>1007002</v>
      </c>
      <c r="B10413">
        <v>7043200</v>
      </c>
    </row>
    <row r="10414" spans="1:2" x14ac:dyDescent="0.4">
      <c r="A10414" s="4">
        <v>1007002</v>
      </c>
      <c r="B10414">
        <v>7043300</v>
      </c>
    </row>
    <row r="10415" spans="1:2" x14ac:dyDescent="0.4">
      <c r="A10415" s="4">
        <v>1007002</v>
      </c>
      <c r="B10415">
        <v>7043400</v>
      </c>
    </row>
    <row r="10416" spans="1:2" x14ac:dyDescent="0.4">
      <c r="A10416" s="4">
        <v>1007002</v>
      </c>
      <c r="B10416">
        <v>7043500</v>
      </c>
    </row>
    <row r="10417" spans="1:2" x14ac:dyDescent="0.4">
      <c r="A10417" s="4">
        <v>1007002</v>
      </c>
      <c r="B10417">
        <v>7043600</v>
      </c>
    </row>
    <row r="10418" spans="1:2" x14ac:dyDescent="0.4">
      <c r="A10418" s="4">
        <v>1007002</v>
      </c>
      <c r="B10418">
        <v>7043700</v>
      </c>
    </row>
    <row r="10419" spans="1:2" x14ac:dyDescent="0.4">
      <c r="A10419" s="4">
        <v>1007002</v>
      </c>
      <c r="B10419">
        <v>7043800</v>
      </c>
    </row>
    <row r="10420" spans="1:2" x14ac:dyDescent="0.4">
      <c r="A10420" s="4">
        <v>1007002</v>
      </c>
      <c r="B10420">
        <v>7044000</v>
      </c>
    </row>
    <row r="10421" spans="1:2" x14ac:dyDescent="0.4">
      <c r="A10421" s="4">
        <v>1007002</v>
      </c>
      <c r="B10421">
        <v>7044100</v>
      </c>
    </row>
    <row r="10422" spans="1:2" x14ac:dyDescent="0.4">
      <c r="A10422" s="4">
        <v>1007002</v>
      </c>
      <c r="B10422">
        <v>7044200</v>
      </c>
    </row>
    <row r="10423" spans="1:2" x14ac:dyDescent="0.4">
      <c r="A10423" s="4">
        <v>1007002</v>
      </c>
      <c r="B10423">
        <v>7044300</v>
      </c>
    </row>
    <row r="10424" spans="1:2" x14ac:dyDescent="0.4">
      <c r="A10424" s="4">
        <v>1007002</v>
      </c>
      <c r="B10424">
        <v>7044400</v>
      </c>
    </row>
    <row r="10425" spans="1:2" x14ac:dyDescent="0.4">
      <c r="A10425" s="4">
        <v>1007002</v>
      </c>
      <c r="B10425">
        <v>7044500</v>
      </c>
    </row>
    <row r="10426" spans="1:2" x14ac:dyDescent="0.4">
      <c r="A10426" s="4">
        <v>1007002</v>
      </c>
      <c r="B10426">
        <v>7044600</v>
      </c>
    </row>
    <row r="10427" spans="1:2" x14ac:dyDescent="0.4">
      <c r="A10427" s="4">
        <v>1007002</v>
      </c>
      <c r="B10427">
        <v>7050000</v>
      </c>
    </row>
    <row r="10428" spans="1:2" x14ac:dyDescent="0.4">
      <c r="A10428" s="4">
        <v>1007002</v>
      </c>
      <c r="B10428">
        <v>7050100</v>
      </c>
    </row>
    <row r="10429" spans="1:2" x14ac:dyDescent="0.4">
      <c r="A10429" s="4">
        <v>1007002</v>
      </c>
      <c r="B10429">
        <v>7060000</v>
      </c>
    </row>
    <row r="10430" spans="1:2" x14ac:dyDescent="0.4">
      <c r="A10430" s="4">
        <v>1007002</v>
      </c>
      <c r="B10430">
        <v>7060100</v>
      </c>
    </row>
    <row r="10431" spans="1:2" x14ac:dyDescent="0.4">
      <c r="A10431" s="4">
        <v>1007002</v>
      </c>
      <c r="B10431">
        <v>7060200</v>
      </c>
    </row>
    <row r="10432" spans="1:2" x14ac:dyDescent="0.4">
      <c r="A10432" s="4">
        <v>1007002</v>
      </c>
      <c r="B10432">
        <v>7070000</v>
      </c>
    </row>
    <row r="10433" spans="1:2" x14ac:dyDescent="0.4">
      <c r="A10433" s="4">
        <v>1007002</v>
      </c>
      <c r="B10433">
        <v>7080000</v>
      </c>
    </row>
    <row r="10434" spans="1:2" x14ac:dyDescent="0.4">
      <c r="A10434" s="4">
        <v>1007002</v>
      </c>
      <c r="B10434">
        <v>7080100</v>
      </c>
    </row>
    <row r="10435" spans="1:2" x14ac:dyDescent="0.4">
      <c r="A10435" s="4">
        <v>1007002</v>
      </c>
      <c r="B10435">
        <v>7080200</v>
      </c>
    </row>
    <row r="10436" spans="1:2" x14ac:dyDescent="0.4">
      <c r="A10436" s="4">
        <v>1007002</v>
      </c>
      <c r="B10436">
        <v>7080300</v>
      </c>
    </row>
    <row r="10437" spans="1:2" x14ac:dyDescent="0.4">
      <c r="A10437" s="4">
        <v>1007002</v>
      </c>
      <c r="B10437">
        <v>7080400</v>
      </c>
    </row>
    <row r="10438" spans="1:2" x14ac:dyDescent="0.4">
      <c r="A10438" s="4">
        <v>1007002</v>
      </c>
      <c r="B10438">
        <v>7080500</v>
      </c>
    </row>
    <row r="10439" spans="1:2" x14ac:dyDescent="0.4">
      <c r="A10439" s="4">
        <v>1007002</v>
      </c>
      <c r="B10439">
        <v>7080600</v>
      </c>
    </row>
    <row r="10440" spans="1:2" x14ac:dyDescent="0.4">
      <c r="A10440" s="4">
        <v>1007002</v>
      </c>
      <c r="B10440">
        <v>7080700</v>
      </c>
    </row>
    <row r="10441" spans="1:2" x14ac:dyDescent="0.4">
      <c r="A10441" s="4">
        <v>1007002</v>
      </c>
      <c r="B10441">
        <v>7080800</v>
      </c>
    </row>
    <row r="10442" spans="1:2" x14ac:dyDescent="0.4">
      <c r="A10442" s="4">
        <v>1007002</v>
      </c>
      <c r="B10442">
        <v>7080900</v>
      </c>
    </row>
    <row r="10443" spans="1:2" x14ac:dyDescent="0.4">
      <c r="A10443" s="4">
        <v>1007002</v>
      </c>
      <c r="B10443">
        <v>7081000</v>
      </c>
    </row>
    <row r="10444" spans="1:2" x14ac:dyDescent="0.4">
      <c r="A10444" s="4">
        <v>1007002</v>
      </c>
      <c r="B10444">
        <v>7081100</v>
      </c>
    </row>
    <row r="10445" spans="1:2" x14ac:dyDescent="0.4">
      <c r="A10445" s="4">
        <v>1007002</v>
      </c>
      <c r="B10445">
        <v>7081200</v>
      </c>
    </row>
    <row r="10446" spans="1:2" x14ac:dyDescent="0.4">
      <c r="A10446" s="4">
        <v>1007002</v>
      </c>
      <c r="B10446">
        <v>7081300</v>
      </c>
    </row>
    <row r="10447" spans="1:2" x14ac:dyDescent="0.4">
      <c r="A10447" s="4">
        <v>1007002</v>
      </c>
      <c r="B10447">
        <v>7081400</v>
      </c>
    </row>
    <row r="10448" spans="1:2" x14ac:dyDescent="0.4">
      <c r="A10448" s="4">
        <v>1007002</v>
      </c>
      <c r="B10448">
        <v>7081500</v>
      </c>
    </row>
    <row r="10449" spans="1:2" x14ac:dyDescent="0.4">
      <c r="A10449" s="4">
        <v>1007002</v>
      </c>
      <c r="B10449">
        <v>7081700</v>
      </c>
    </row>
    <row r="10450" spans="1:2" x14ac:dyDescent="0.4">
      <c r="A10450" s="4">
        <v>1007002</v>
      </c>
      <c r="B10450">
        <v>7081800</v>
      </c>
    </row>
    <row r="10451" spans="1:2" x14ac:dyDescent="0.4">
      <c r="A10451" s="4">
        <v>1007002</v>
      </c>
      <c r="B10451">
        <v>7081900</v>
      </c>
    </row>
    <row r="10452" spans="1:2" x14ac:dyDescent="0.4">
      <c r="A10452" s="4">
        <v>1007002</v>
      </c>
      <c r="B10452">
        <v>7082000</v>
      </c>
    </row>
    <row r="10453" spans="1:2" x14ac:dyDescent="0.4">
      <c r="A10453" s="4">
        <v>1007002</v>
      </c>
      <c r="B10453">
        <v>7082100</v>
      </c>
    </row>
    <row r="10454" spans="1:2" x14ac:dyDescent="0.4">
      <c r="A10454" s="4">
        <v>1007002</v>
      </c>
      <c r="B10454">
        <v>7082200</v>
      </c>
    </row>
    <row r="10455" spans="1:2" x14ac:dyDescent="0.4">
      <c r="A10455" s="4">
        <v>1007002</v>
      </c>
      <c r="B10455">
        <v>7082300</v>
      </c>
    </row>
    <row r="10456" spans="1:2" x14ac:dyDescent="0.4">
      <c r="A10456" s="4">
        <v>1007002</v>
      </c>
      <c r="B10456">
        <v>7082400</v>
      </c>
    </row>
    <row r="10457" spans="1:2" x14ac:dyDescent="0.4">
      <c r="A10457" s="4">
        <v>1007002</v>
      </c>
      <c r="B10457">
        <v>7082500</v>
      </c>
    </row>
    <row r="10458" spans="1:2" x14ac:dyDescent="0.4">
      <c r="A10458" s="4">
        <v>1007002</v>
      </c>
      <c r="B10458">
        <v>7082600</v>
      </c>
    </row>
    <row r="10459" spans="1:2" x14ac:dyDescent="0.4">
      <c r="A10459" s="4">
        <v>1007002</v>
      </c>
      <c r="B10459">
        <v>7082700</v>
      </c>
    </row>
    <row r="10460" spans="1:2" x14ac:dyDescent="0.4">
      <c r="A10460" s="4">
        <v>1007002</v>
      </c>
      <c r="B10460">
        <v>7082800</v>
      </c>
    </row>
    <row r="10461" spans="1:2" x14ac:dyDescent="0.4">
      <c r="A10461" s="4">
        <v>1007002</v>
      </c>
      <c r="B10461">
        <v>7082900</v>
      </c>
    </row>
    <row r="10462" spans="1:2" x14ac:dyDescent="0.4">
      <c r="A10462" s="4">
        <v>1007002</v>
      </c>
      <c r="B10462">
        <v>7090000</v>
      </c>
    </row>
    <row r="10463" spans="1:2" x14ac:dyDescent="0.4">
      <c r="A10463" s="4">
        <v>1007002</v>
      </c>
      <c r="B10463">
        <v>7090100</v>
      </c>
    </row>
    <row r="10464" spans="1:2" x14ac:dyDescent="0.4">
      <c r="A10464" s="4">
        <v>1007002</v>
      </c>
      <c r="B10464">
        <v>7090300</v>
      </c>
    </row>
    <row r="10465" spans="1:2" x14ac:dyDescent="0.4">
      <c r="A10465" s="4">
        <v>1007002</v>
      </c>
      <c r="B10465">
        <v>7100100</v>
      </c>
    </row>
    <row r="10466" spans="1:2" x14ac:dyDescent="0.4">
      <c r="A10466" s="4">
        <v>1007002</v>
      </c>
      <c r="B10466">
        <v>7110000</v>
      </c>
    </row>
    <row r="10467" spans="1:2" x14ac:dyDescent="0.4">
      <c r="A10467" s="4">
        <v>1007002</v>
      </c>
      <c r="B10467">
        <v>7120000</v>
      </c>
    </row>
    <row r="10468" spans="1:2" x14ac:dyDescent="0.4">
      <c r="A10468" s="4">
        <v>1007002</v>
      </c>
      <c r="B10468">
        <v>7120100</v>
      </c>
    </row>
    <row r="10469" spans="1:2" x14ac:dyDescent="0.4">
      <c r="A10469" s="4">
        <v>1007002</v>
      </c>
      <c r="B10469">
        <v>7120200</v>
      </c>
    </row>
    <row r="10470" spans="1:2" x14ac:dyDescent="0.4">
      <c r="A10470" s="4">
        <v>1007002</v>
      </c>
      <c r="B10470">
        <v>7120300</v>
      </c>
    </row>
    <row r="10471" spans="1:2" x14ac:dyDescent="0.4">
      <c r="A10471" s="4">
        <v>1007002</v>
      </c>
      <c r="B10471">
        <v>7120400</v>
      </c>
    </row>
    <row r="10472" spans="1:2" x14ac:dyDescent="0.4">
      <c r="A10472" s="4">
        <v>1007002</v>
      </c>
      <c r="B10472">
        <v>7120500</v>
      </c>
    </row>
    <row r="10473" spans="1:2" x14ac:dyDescent="0.4">
      <c r="A10473" s="4">
        <v>1007002</v>
      </c>
      <c r="B10473">
        <v>7120600</v>
      </c>
    </row>
    <row r="10474" spans="1:2" x14ac:dyDescent="0.4">
      <c r="A10474" s="4">
        <v>1007002</v>
      </c>
      <c r="B10474">
        <v>7120900</v>
      </c>
    </row>
    <row r="10475" spans="1:2" x14ac:dyDescent="0.4">
      <c r="A10475" s="4">
        <v>1007002</v>
      </c>
      <c r="B10475">
        <v>7121000</v>
      </c>
    </row>
    <row r="10476" spans="1:2" x14ac:dyDescent="0.4">
      <c r="A10476" s="4">
        <v>1007002</v>
      </c>
      <c r="B10476">
        <v>7121100</v>
      </c>
    </row>
    <row r="10477" spans="1:2" x14ac:dyDescent="0.4">
      <c r="A10477" s="4">
        <v>1007002</v>
      </c>
      <c r="B10477">
        <v>7121200</v>
      </c>
    </row>
    <row r="10478" spans="1:2" x14ac:dyDescent="0.4">
      <c r="A10478" s="4">
        <v>1007002</v>
      </c>
      <c r="B10478">
        <v>7121300</v>
      </c>
    </row>
    <row r="10479" spans="1:2" x14ac:dyDescent="0.4">
      <c r="A10479" s="4">
        <v>1007002</v>
      </c>
      <c r="B10479">
        <v>7121400</v>
      </c>
    </row>
    <row r="10480" spans="1:2" x14ac:dyDescent="0.4">
      <c r="A10480" s="4">
        <v>1007002</v>
      </c>
      <c r="B10480">
        <v>7121500</v>
      </c>
    </row>
    <row r="10481" spans="1:2" x14ac:dyDescent="0.4">
      <c r="A10481" s="4">
        <v>1007002</v>
      </c>
      <c r="B10481">
        <v>7121600</v>
      </c>
    </row>
    <row r="10482" spans="1:2" x14ac:dyDescent="0.4">
      <c r="A10482" s="4">
        <v>1007002</v>
      </c>
      <c r="B10482">
        <v>7121700</v>
      </c>
    </row>
    <row r="10483" spans="1:2" x14ac:dyDescent="0.4">
      <c r="A10483" s="4">
        <v>1007002</v>
      </c>
      <c r="B10483">
        <v>7121800</v>
      </c>
    </row>
    <row r="10484" spans="1:2" x14ac:dyDescent="0.4">
      <c r="A10484" s="4">
        <v>1007002</v>
      </c>
      <c r="B10484">
        <v>7121900</v>
      </c>
    </row>
    <row r="10485" spans="1:2" x14ac:dyDescent="0.4">
      <c r="A10485" s="4">
        <v>1007002</v>
      </c>
      <c r="B10485">
        <v>7122000</v>
      </c>
    </row>
    <row r="10486" spans="1:2" x14ac:dyDescent="0.4">
      <c r="A10486" s="4">
        <v>1007002</v>
      </c>
      <c r="B10486">
        <v>7122100</v>
      </c>
    </row>
    <row r="10487" spans="1:2" x14ac:dyDescent="0.4">
      <c r="A10487" s="4">
        <v>1007002</v>
      </c>
      <c r="B10487">
        <v>7122200</v>
      </c>
    </row>
    <row r="10488" spans="1:2" x14ac:dyDescent="0.4">
      <c r="A10488" s="4">
        <v>1007002</v>
      </c>
      <c r="B10488">
        <v>7122300</v>
      </c>
    </row>
    <row r="10489" spans="1:2" x14ac:dyDescent="0.4">
      <c r="A10489" s="4">
        <v>1007002</v>
      </c>
      <c r="B10489">
        <v>7122400</v>
      </c>
    </row>
    <row r="10490" spans="1:2" x14ac:dyDescent="0.4">
      <c r="A10490" s="4">
        <v>1007002</v>
      </c>
      <c r="B10490">
        <v>7122500</v>
      </c>
    </row>
    <row r="10491" spans="1:2" x14ac:dyDescent="0.4">
      <c r="A10491" s="4">
        <v>1007002</v>
      </c>
      <c r="B10491">
        <v>7122600</v>
      </c>
    </row>
    <row r="10492" spans="1:2" x14ac:dyDescent="0.4">
      <c r="A10492" s="4">
        <v>1007002</v>
      </c>
      <c r="B10492">
        <v>7122700</v>
      </c>
    </row>
    <row r="10493" spans="1:2" x14ac:dyDescent="0.4">
      <c r="A10493" s="4">
        <v>1007002</v>
      </c>
      <c r="B10493">
        <v>7122800</v>
      </c>
    </row>
    <row r="10494" spans="1:2" x14ac:dyDescent="0.4">
      <c r="A10494" s="4">
        <v>1007002</v>
      </c>
      <c r="B10494">
        <v>7122900</v>
      </c>
    </row>
    <row r="10495" spans="1:2" x14ac:dyDescent="0.4">
      <c r="A10495" s="4">
        <v>1007002</v>
      </c>
      <c r="B10495">
        <v>7123000</v>
      </c>
    </row>
    <row r="10496" spans="1:2" x14ac:dyDescent="0.4">
      <c r="A10496" s="4">
        <v>1007002</v>
      </c>
      <c r="B10496">
        <v>7123100</v>
      </c>
    </row>
    <row r="10497" spans="1:2" x14ac:dyDescent="0.4">
      <c r="A10497" s="4">
        <v>1007002</v>
      </c>
      <c r="B10497">
        <v>7123200</v>
      </c>
    </row>
    <row r="10498" spans="1:2" x14ac:dyDescent="0.4">
      <c r="A10498" s="4">
        <v>1007002</v>
      </c>
      <c r="B10498">
        <v>7123300</v>
      </c>
    </row>
    <row r="10499" spans="1:2" x14ac:dyDescent="0.4">
      <c r="A10499" s="4">
        <v>1007002</v>
      </c>
      <c r="B10499">
        <v>7123400</v>
      </c>
    </row>
    <row r="10500" spans="1:2" x14ac:dyDescent="0.4">
      <c r="A10500" s="4">
        <v>1007002</v>
      </c>
      <c r="B10500">
        <v>7123500</v>
      </c>
    </row>
    <row r="10501" spans="1:2" x14ac:dyDescent="0.4">
      <c r="A10501" s="4">
        <v>1007002</v>
      </c>
      <c r="B10501">
        <v>7123600</v>
      </c>
    </row>
    <row r="10502" spans="1:2" x14ac:dyDescent="0.4">
      <c r="A10502" s="4">
        <v>1007002</v>
      </c>
      <c r="B10502">
        <v>7123700</v>
      </c>
    </row>
    <row r="10503" spans="1:2" x14ac:dyDescent="0.4">
      <c r="A10503" s="4">
        <v>1007002</v>
      </c>
      <c r="B10503">
        <v>7123800</v>
      </c>
    </row>
    <row r="10504" spans="1:2" x14ac:dyDescent="0.4">
      <c r="A10504" s="4">
        <v>1007002</v>
      </c>
      <c r="B10504">
        <v>7123900</v>
      </c>
    </row>
    <row r="10505" spans="1:2" x14ac:dyDescent="0.4">
      <c r="A10505" s="4">
        <v>1007002</v>
      </c>
      <c r="B10505">
        <v>7124000</v>
      </c>
    </row>
    <row r="10506" spans="1:2" x14ac:dyDescent="0.4">
      <c r="A10506" s="4">
        <v>1007002</v>
      </c>
      <c r="B10506">
        <v>7124100</v>
      </c>
    </row>
    <row r="10507" spans="1:2" x14ac:dyDescent="0.4">
      <c r="A10507" s="4">
        <v>1007002</v>
      </c>
      <c r="B10507">
        <v>7124300</v>
      </c>
    </row>
    <row r="10508" spans="1:2" x14ac:dyDescent="0.4">
      <c r="A10508" s="4">
        <v>1007002</v>
      </c>
      <c r="B10508">
        <v>7124400</v>
      </c>
    </row>
    <row r="10509" spans="1:2" x14ac:dyDescent="0.4">
      <c r="A10509" s="4">
        <v>1007002</v>
      </c>
      <c r="B10509">
        <v>7124500</v>
      </c>
    </row>
    <row r="10510" spans="1:2" x14ac:dyDescent="0.4">
      <c r="A10510" s="4">
        <v>1007002</v>
      </c>
      <c r="B10510">
        <v>7124600</v>
      </c>
    </row>
    <row r="10511" spans="1:2" x14ac:dyDescent="0.4">
      <c r="A10511" s="4">
        <v>1007002</v>
      </c>
      <c r="B10511">
        <v>7124700</v>
      </c>
    </row>
    <row r="10512" spans="1:2" x14ac:dyDescent="0.4">
      <c r="A10512" s="4">
        <v>1007002</v>
      </c>
      <c r="B10512">
        <v>7126000</v>
      </c>
    </row>
    <row r="10513" spans="1:2" x14ac:dyDescent="0.4">
      <c r="A10513" s="4">
        <v>1007002</v>
      </c>
      <c r="B10513">
        <v>7150000</v>
      </c>
    </row>
    <row r="10514" spans="1:2" x14ac:dyDescent="0.4">
      <c r="A10514" s="4">
        <v>1007002</v>
      </c>
      <c r="B10514">
        <v>7160000</v>
      </c>
    </row>
    <row r="10515" spans="1:2" x14ac:dyDescent="0.4">
      <c r="A10515" s="4">
        <v>1007002</v>
      </c>
      <c r="B10515">
        <v>7220000</v>
      </c>
    </row>
    <row r="10516" spans="1:2" x14ac:dyDescent="0.4">
      <c r="A10516" s="4">
        <v>1007002</v>
      </c>
      <c r="B10516">
        <v>7230000</v>
      </c>
    </row>
    <row r="10517" spans="1:2" x14ac:dyDescent="0.4">
      <c r="A10517" s="4">
        <v>1007002</v>
      </c>
      <c r="B10517">
        <v>7240000</v>
      </c>
    </row>
    <row r="10518" spans="1:2" x14ac:dyDescent="0.4">
      <c r="A10518" s="4">
        <v>1007002</v>
      </c>
      <c r="B10518">
        <v>7260000</v>
      </c>
    </row>
    <row r="10519" spans="1:2" x14ac:dyDescent="0.4">
      <c r="A10519" s="4">
        <v>1007002</v>
      </c>
      <c r="B10519">
        <v>7260300</v>
      </c>
    </row>
    <row r="10520" spans="1:2" x14ac:dyDescent="0.4">
      <c r="A10520" s="4">
        <v>1007002</v>
      </c>
      <c r="B10520">
        <v>7260400</v>
      </c>
    </row>
    <row r="10521" spans="1:2" x14ac:dyDescent="0.4">
      <c r="A10521" s="4">
        <v>1007002</v>
      </c>
      <c r="B10521">
        <v>7270100</v>
      </c>
    </row>
    <row r="10522" spans="1:2" x14ac:dyDescent="0.4">
      <c r="A10522" s="4">
        <v>1007002</v>
      </c>
      <c r="B10522">
        <v>7280000</v>
      </c>
    </row>
    <row r="10523" spans="1:2" x14ac:dyDescent="0.4">
      <c r="A10523" s="4">
        <v>1007002</v>
      </c>
      <c r="B10523">
        <v>7290000</v>
      </c>
    </row>
    <row r="10524" spans="1:2" x14ac:dyDescent="0.4">
      <c r="A10524" s="4">
        <v>1007002</v>
      </c>
      <c r="B10524">
        <v>7310000</v>
      </c>
    </row>
    <row r="10525" spans="1:2" x14ac:dyDescent="0.4">
      <c r="A10525" s="4">
        <v>1007002</v>
      </c>
      <c r="B10525">
        <v>7330000</v>
      </c>
    </row>
    <row r="10526" spans="1:2" x14ac:dyDescent="0.4">
      <c r="A10526" s="4">
        <v>1007002</v>
      </c>
      <c r="B10526">
        <v>7330100</v>
      </c>
    </row>
    <row r="10527" spans="1:2" x14ac:dyDescent="0.4">
      <c r="A10527" s="4">
        <v>1007002</v>
      </c>
      <c r="B10527">
        <v>7330200</v>
      </c>
    </row>
    <row r="10528" spans="1:2" x14ac:dyDescent="0.4">
      <c r="A10528" s="4">
        <v>1007002</v>
      </c>
      <c r="B10528">
        <v>7330300</v>
      </c>
    </row>
    <row r="10529" spans="1:2" x14ac:dyDescent="0.4">
      <c r="A10529" s="4">
        <v>1007002</v>
      </c>
      <c r="B10529">
        <v>7330400</v>
      </c>
    </row>
    <row r="10530" spans="1:2" x14ac:dyDescent="0.4">
      <c r="A10530" s="4">
        <v>1007002</v>
      </c>
      <c r="B10530">
        <v>7330500</v>
      </c>
    </row>
    <row r="10531" spans="1:2" x14ac:dyDescent="0.4">
      <c r="A10531" s="4">
        <v>1007002</v>
      </c>
      <c r="B10531">
        <v>7330600</v>
      </c>
    </row>
    <row r="10532" spans="1:2" x14ac:dyDescent="0.4">
      <c r="A10532" s="4">
        <v>1007002</v>
      </c>
      <c r="B10532">
        <v>7330700</v>
      </c>
    </row>
    <row r="10533" spans="1:2" x14ac:dyDescent="0.4">
      <c r="A10533" s="4">
        <v>1007002</v>
      </c>
      <c r="B10533">
        <v>7330800</v>
      </c>
    </row>
    <row r="10534" spans="1:2" x14ac:dyDescent="0.4">
      <c r="A10534" s="4">
        <v>1007002</v>
      </c>
      <c r="B10534">
        <v>7330900</v>
      </c>
    </row>
    <row r="10535" spans="1:2" x14ac:dyDescent="0.4">
      <c r="A10535" s="4">
        <v>1007002</v>
      </c>
      <c r="B10535">
        <v>7331000</v>
      </c>
    </row>
    <row r="10536" spans="1:2" x14ac:dyDescent="0.4">
      <c r="A10536" s="4">
        <v>1007002</v>
      </c>
      <c r="B10536">
        <v>7331100</v>
      </c>
    </row>
    <row r="10537" spans="1:2" x14ac:dyDescent="0.4">
      <c r="A10537" s="4">
        <v>1007002</v>
      </c>
      <c r="B10537">
        <v>7331200</v>
      </c>
    </row>
    <row r="10538" spans="1:2" x14ac:dyDescent="0.4">
      <c r="A10538" s="4">
        <v>1007002</v>
      </c>
      <c r="B10538">
        <v>7331300</v>
      </c>
    </row>
    <row r="10539" spans="1:2" x14ac:dyDescent="0.4">
      <c r="A10539" s="4">
        <v>1007002</v>
      </c>
      <c r="B10539">
        <v>7331400</v>
      </c>
    </row>
    <row r="10540" spans="1:2" x14ac:dyDescent="0.4">
      <c r="A10540" s="4">
        <v>1007002</v>
      </c>
      <c r="B10540">
        <v>7331500</v>
      </c>
    </row>
    <row r="10541" spans="1:2" x14ac:dyDescent="0.4">
      <c r="A10541" s="4">
        <v>1007002</v>
      </c>
      <c r="B10541">
        <v>7331700</v>
      </c>
    </row>
    <row r="10542" spans="1:2" x14ac:dyDescent="0.4">
      <c r="A10542" s="4">
        <v>1007002</v>
      </c>
      <c r="B10542">
        <v>7331800</v>
      </c>
    </row>
    <row r="10543" spans="1:2" x14ac:dyDescent="0.4">
      <c r="A10543" s="4">
        <v>1007002</v>
      </c>
      <c r="B10543">
        <v>7331900</v>
      </c>
    </row>
    <row r="10544" spans="1:2" x14ac:dyDescent="0.4">
      <c r="A10544" s="4">
        <v>1007002</v>
      </c>
      <c r="B10544">
        <v>7332000</v>
      </c>
    </row>
    <row r="10545" spans="1:2" x14ac:dyDescent="0.4">
      <c r="A10545" s="4">
        <v>1007002</v>
      </c>
      <c r="B10545">
        <v>7332100</v>
      </c>
    </row>
    <row r="10546" spans="1:2" x14ac:dyDescent="0.4">
      <c r="A10546" s="4">
        <v>1007002</v>
      </c>
      <c r="B10546">
        <v>7332200</v>
      </c>
    </row>
    <row r="10547" spans="1:2" x14ac:dyDescent="0.4">
      <c r="A10547" s="4">
        <v>1007002</v>
      </c>
      <c r="B10547">
        <v>7332300</v>
      </c>
    </row>
    <row r="10548" spans="1:2" x14ac:dyDescent="0.4">
      <c r="A10548" s="4">
        <v>1007002</v>
      </c>
      <c r="B10548">
        <v>7332400</v>
      </c>
    </row>
    <row r="10549" spans="1:2" x14ac:dyDescent="0.4">
      <c r="A10549" s="4">
        <v>1007002</v>
      </c>
      <c r="B10549">
        <v>7340000</v>
      </c>
    </row>
    <row r="10550" spans="1:2" x14ac:dyDescent="0.4">
      <c r="A10550" s="4">
        <v>1007002</v>
      </c>
      <c r="B10550">
        <v>7340100</v>
      </c>
    </row>
    <row r="10551" spans="1:2" x14ac:dyDescent="0.4">
      <c r="A10551" s="4">
        <v>1007002</v>
      </c>
      <c r="B10551">
        <v>7340200</v>
      </c>
    </row>
    <row r="10552" spans="1:2" x14ac:dyDescent="0.4">
      <c r="A10552" s="4">
        <v>1007002</v>
      </c>
      <c r="B10552">
        <v>7340300</v>
      </c>
    </row>
    <row r="10553" spans="1:2" x14ac:dyDescent="0.4">
      <c r="A10553" s="4">
        <v>1007002</v>
      </c>
      <c r="B10553">
        <v>7340400</v>
      </c>
    </row>
    <row r="10554" spans="1:2" x14ac:dyDescent="0.4">
      <c r="A10554" s="4">
        <v>1007002</v>
      </c>
      <c r="B10554">
        <v>7340500</v>
      </c>
    </row>
    <row r="10555" spans="1:2" x14ac:dyDescent="0.4">
      <c r="A10555" s="4">
        <v>1007002</v>
      </c>
      <c r="B10555">
        <v>7340600</v>
      </c>
    </row>
    <row r="10556" spans="1:2" x14ac:dyDescent="0.4">
      <c r="A10556" s="4">
        <v>1007002</v>
      </c>
      <c r="B10556">
        <v>7340700</v>
      </c>
    </row>
    <row r="10557" spans="1:2" x14ac:dyDescent="0.4">
      <c r="A10557" s="4">
        <v>1007002</v>
      </c>
      <c r="B10557">
        <v>7340800</v>
      </c>
    </row>
    <row r="10558" spans="1:2" x14ac:dyDescent="0.4">
      <c r="A10558" s="4">
        <v>1007002</v>
      </c>
      <c r="B10558">
        <v>7340900</v>
      </c>
    </row>
    <row r="10559" spans="1:2" x14ac:dyDescent="0.4">
      <c r="A10559" s="4">
        <v>1007002</v>
      </c>
      <c r="B10559">
        <v>7341000</v>
      </c>
    </row>
    <row r="10560" spans="1:2" x14ac:dyDescent="0.4">
      <c r="A10560" s="4">
        <v>1007002</v>
      </c>
      <c r="B10560">
        <v>7341100</v>
      </c>
    </row>
    <row r="10561" spans="1:2" x14ac:dyDescent="0.4">
      <c r="A10561" s="4">
        <v>1007002</v>
      </c>
      <c r="B10561">
        <v>7341200</v>
      </c>
    </row>
    <row r="10562" spans="1:2" x14ac:dyDescent="0.4">
      <c r="A10562" s="4">
        <v>1007002</v>
      </c>
      <c r="B10562">
        <v>7341300</v>
      </c>
    </row>
    <row r="10563" spans="1:2" x14ac:dyDescent="0.4">
      <c r="A10563" s="4">
        <v>1007002</v>
      </c>
      <c r="B10563">
        <v>7341400</v>
      </c>
    </row>
    <row r="10564" spans="1:2" x14ac:dyDescent="0.4">
      <c r="A10564" s="4">
        <v>1007002</v>
      </c>
      <c r="B10564">
        <v>7341500</v>
      </c>
    </row>
    <row r="10565" spans="1:2" x14ac:dyDescent="0.4">
      <c r="A10565" s="4">
        <v>1007002</v>
      </c>
      <c r="B10565">
        <v>7341700</v>
      </c>
    </row>
    <row r="10566" spans="1:2" x14ac:dyDescent="0.4">
      <c r="A10566" s="4">
        <v>1007002</v>
      </c>
      <c r="B10566">
        <v>7341800</v>
      </c>
    </row>
    <row r="10567" spans="1:2" x14ac:dyDescent="0.4">
      <c r="A10567" s="4">
        <v>1007002</v>
      </c>
      <c r="B10567">
        <v>7341900</v>
      </c>
    </row>
    <row r="10568" spans="1:2" x14ac:dyDescent="0.4">
      <c r="A10568" s="4">
        <v>1007002</v>
      </c>
      <c r="B10568">
        <v>7342000</v>
      </c>
    </row>
    <row r="10569" spans="1:2" x14ac:dyDescent="0.4">
      <c r="A10569" s="4">
        <v>1007002</v>
      </c>
      <c r="B10569">
        <v>7342100</v>
      </c>
    </row>
    <row r="10570" spans="1:2" x14ac:dyDescent="0.4">
      <c r="A10570" s="4">
        <v>1007002</v>
      </c>
      <c r="B10570">
        <v>7342200</v>
      </c>
    </row>
    <row r="10571" spans="1:2" x14ac:dyDescent="0.4">
      <c r="A10571" s="4">
        <v>1007002</v>
      </c>
      <c r="B10571">
        <v>7342300</v>
      </c>
    </row>
    <row r="10572" spans="1:2" x14ac:dyDescent="0.4">
      <c r="A10572" s="4">
        <v>1007002</v>
      </c>
      <c r="B10572">
        <v>7342400</v>
      </c>
    </row>
    <row r="10573" spans="1:2" x14ac:dyDescent="0.4">
      <c r="A10573" s="4">
        <v>1007002</v>
      </c>
      <c r="B10573">
        <v>7350000</v>
      </c>
    </row>
    <row r="10574" spans="1:2" x14ac:dyDescent="0.4">
      <c r="A10574" s="4">
        <v>1007002</v>
      </c>
      <c r="B10574">
        <v>7350100</v>
      </c>
    </row>
    <row r="10575" spans="1:2" x14ac:dyDescent="0.4">
      <c r="A10575" s="4">
        <v>1007002</v>
      </c>
      <c r="B10575">
        <v>7350200</v>
      </c>
    </row>
    <row r="10576" spans="1:2" x14ac:dyDescent="0.4">
      <c r="A10576" s="4">
        <v>1007002</v>
      </c>
      <c r="B10576">
        <v>7350300</v>
      </c>
    </row>
    <row r="10577" spans="1:2" x14ac:dyDescent="0.4">
      <c r="A10577" s="4">
        <v>1007002</v>
      </c>
      <c r="B10577">
        <v>7350400</v>
      </c>
    </row>
    <row r="10578" spans="1:2" x14ac:dyDescent="0.4">
      <c r="A10578" s="4">
        <v>1007002</v>
      </c>
      <c r="B10578">
        <v>7350500</v>
      </c>
    </row>
    <row r="10579" spans="1:2" x14ac:dyDescent="0.4">
      <c r="A10579" s="4">
        <v>1007002</v>
      </c>
      <c r="B10579">
        <v>7350600</v>
      </c>
    </row>
    <row r="10580" spans="1:2" x14ac:dyDescent="0.4">
      <c r="A10580" s="4">
        <v>1007002</v>
      </c>
      <c r="B10580">
        <v>7350700</v>
      </c>
    </row>
    <row r="10581" spans="1:2" x14ac:dyDescent="0.4">
      <c r="A10581" s="4">
        <v>1007002</v>
      </c>
      <c r="B10581">
        <v>7350800</v>
      </c>
    </row>
    <row r="10582" spans="1:2" x14ac:dyDescent="0.4">
      <c r="A10582" s="4">
        <v>1007002</v>
      </c>
      <c r="B10582">
        <v>7350900</v>
      </c>
    </row>
    <row r="10583" spans="1:2" x14ac:dyDescent="0.4">
      <c r="A10583" s="4">
        <v>1007002</v>
      </c>
      <c r="B10583">
        <v>7351000</v>
      </c>
    </row>
    <row r="10584" spans="1:2" x14ac:dyDescent="0.4">
      <c r="A10584" s="4">
        <v>1007002</v>
      </c>
      <c r="B10584">
        <v>7351100</v>
      </c>
    </row>
    <row r="10585" spans="1:2" x14ac:dyDescent="0.4">
      <c r="A10585" s="4">
        <v>1007002</v>
      </c>
      <c r="B10585">
        <v>7351200</v>
      </c>
    </row>
    <row r="10586" spans="1:2" x14ac:dyDescent="0.4">
      <c r="A10586" s="4">
        <v>1007002</v>
      </c>
      <c r="B10586">
        <v>7351300</v>
      </c>
    </row>
    <row r="10587" spans="1:2" x14ac:dyDescent="0.4">
      <c r="A10587" s="4">
        <v>1007002</v>
      </c>
      <c r="B10587">
        <v>7351400</v>
      </c>
    </row>
    <row r="10588" spans="1:2" x14ac:dyDescent="0.4">
      <c r="A10588" s="4">
        <v>1007002</v>
      </c>
      <c r="B10588">
        <v>7351500</v>
      </c>
    </row>
    <row r="10589" spans="1:2" x14ac:dyDescent="0.4">
      <c r="A10589" s="4">
        <v>1007002</v>
      </c>
      <c r="B10589">
        <v>7351700</v>
      </c>
    </row>
    <row r="10590" spans="1:2" x14ac:dyDescent="0.4">
      <c r="A10590" s="4">
        <v>1007002</v>
      </c>
      <c r="B10590">
        <v>7351800</v>
      </c>
    </row>
    <row r="10591" spans="1:2" x14ac:dyDescent="0.4">
      <c r="A10591" s="4">
        <v>1007002</v>
      </c>
      <c r="B10591">
        <v>7351900</v>
      </c>
    </row>
    <row r="10592" spans="1:2" x14ac:dyDescent="0.4">
      <c r="A10592" s="4">
        <v>1007002</v>
      </c>
      <c r="B10592">
        <v>7352000</v>
      </c>
    </row>
    <row r="10593" spans="1:2" x14ac:dyDescent="0.4">
      <c r="A10593" s="4">
        <v>1007002</v>
      </c>
      <c r="B10593">
        <v>7352100</v>
      </c>
    </row>
    <row r="10594" spans="1:2" x14ac:dyDescent="0.4">
      <c r="A10594" s="4">
        <v>1007002</v>
      </c>
      <c r="B10594">
        <v>7352200</v>
      </c>
    </row>
    <row r="10595" spans="1:2" x14ac:dyDescent="0.4">
      <c r="A10595" s="4">
        <v>1007002</v>
      </c>
      <c r="B10595">
        <v>7352300</v>
      </c>
    </row>
    <row r="10596" spans="1:2" x14ac:dyDescent="0.4">
      <c r="A10596" s="4">
        <v>1007002</v>
      </c>
      <c r="B10596">
        <v>7352400</v>
      </c>
    </row>
    <row r="10597" spans="1:2" x14ac:dyDescent="0.4">
      <c r="A10597" s="4">
        <v>1007002</v>
      </c>
      <c r="B10597">
        <v>7360600</v>
      </c>
    </row>
    <row r="10598" spans="1:2" x14ac:dyDescent="0.4">
      <c r="A10598" s="4">
        <v>1007002</v>
      </c>
      <c r="B10598">
        <v>7360900</v>
      </c>
    </row>
    <row r="10599" spans="1:2" x14ac:dyDescent="0.4">
      <c r="A10599" s="4">
        <v>1007002</v>
      </c>
      <c r="B10599">
        <v>7361200</v>
      </c>
    </row>
    <row r="10600" spans="1:2" x14ac:dyDescent="0.4">
      <c r="A10600" s="4">
        <v>1007002</v>
      </c>
      <c r="B10600">
        <v>7361300</v>
      </c>
    </row>
    <row r="10601" spans="1:2" x14ac:dyDescent="0.4">
      <c r="A10601" s="4">
        <v>1007002</v>
      </c>
      <c r="B10601">
        <v>7362100</v>
      </c>
    </row>
    <row r="10602" spans="1:2" x14ac:dyDescent="0.4">
      <c r="A10602" s="4">
        <v>1007002</v>
      </c>
      <c r="B10602">
        <v>7370300</v>
      </c>
    </row>
    <row r="10603" spans="1:2" x14ac:dyDescent="0.4">
      <c r="A10603" s="4">
        <v>1007002</v>
      </c>
      <c r="B10603">
        <v>7370400</v>
      </c>
    </row>
    <row r="10604" spans="1:2" x14ac:dyDescent="0.4">
      <c r="A10604" s="4">
        <v>1007002</v>
      </c>
      <c r="B10604">
        <v>7370600</v>
      </c>
    </row>
    <row r="10605" spans="1:2" x14ac:dyDescent="0.4">
      <c r="A10605" s="4">
        <v>1007002</v>
      </c>
      <c r="B10605">
        <v>7370900</v>
      </c>
    </row>
    <row r="10606" spans="1:2" x14ac:dyDescent="0.4">
      <c r="A10606" s="4">
        <v>1007002</v>
      </c>
      <c r="B10606">
        <v>7371500</v>
      </c>
    </row>
    <row r="10607" spans="1:2" x14ac:dyDescent="0.4">
      <c r="A10607" s="4">
        <v>1007002</v>
      </c>
      <c r="B10607">
        <v>7036200</v>
      </c>
    </row>
    <row r="10608" spans="1:2" x14ac:dyDescent="0.4">
      <c r="A10608" s="4">
        <v>1007002</v>
      </c>
      <c r="B10608">
        <v>7036300</v>
      </c>
    </row>
    <row r="10609" spans="1:2" x14ac:dyDescent="0.4">
      <c r="A10609" s="4">
        <v>1007002</v>
      </c>
      <c r="B10609">
        <v>7036400</v>
      </c>
    </row>
    <row r="10610" spans="1:2" x14ac:dyDescent="0.4">
      <c r="A10610" s="4">
        <v>1007002</v>
      </c>
      <c r="B10610">
        <v>7036500</v>
      </c>
    </row>
    <row r="10611" spans="1:2" x14ac:dyDescent="0.4">
      <c r="A10611" s="4">
        <v>1007002</v>
      </c>
      <c r="B10611">
        <v>7036800</v>
      </c>
    </row>
    <row r="10612" spans="1:2" x14ac:dyDescent="0.4">
      <c r="A10612" s="4">
        <v>1007002</v>
      </c>
      <c r="B10612">
        <v>7036900</v>
      </c>
    </row>
    <row r="10613" spans="1:2" x14ac:dyDescent="0.4">
      <c r="A10613" s="4">
        <v>1007002</v>
      </c>
      <c r="B10613">
        <v>7037000</v>
      </c>
    </row>
    <row r="10614" spans="1:2" x14ac:dyDescent="0.4">
      <c r="A10614" s="4">
        <v>1007002</v>
      </c>
      <c r="B10614">
        <v>7037300</v>
      </c>
    </row>
    <row r="10615" spans="1:2" x14ac:dyDescent="0.4">
      <c r="A10615" s="4">
        <v>1007002</v>
      </c>
      <c r="B10615">
        <v>6630000</v>
      </c>
    </row>
    <row r="10616" spans="1:2" x14ac:dyDescent="0.4">
      <c r="A10616" s="4">
        <v>1007002</v>
      </c>
      <c r="B10616">
        <v>6630100</v>
      </c>
    </row>
    <row r="10617" spans="1:2" x14ac:dyDescent="0.4">
      <c r="A10617" s="4">
        <v>1007002</v>
      </c>
      <c r="B10617">
        <v>6630200</v>
      </c>
    </row>
    <row r="10618" spans="1:2" x14ac:dyDescent="0.4">
      <c r="A10618" s="4">
        <v>1007002</v>
      </c>
      <c r="B10618">
        <v>6630300</v>
      </c>
    </row>
    <row r="10619" spans="1:2" x14ac:dyDescent="0.4">
      <c r="A10619" s="4">
        <v>1007002</v>
      </c>
      <c r="B10619">
        <v>6630400</v>
      </c>
    </row>
    <row r="10620" spans="1:2" x14ac:dyDescent="0.4">
      <c r="A10620" s="4">
        <v>1007002</v>
      </c>
      <c r="B10620">
        <v>6630500</v>
      </c>
    </row>
    <row r="10621" spans="1:2" x14ac:dyDescent="0.4">
      <c r="A10621" s="4">
        <v>1007002</v>
      </c>
      <c r="B10621">
        <v>6630600</v>
      </c>
    </row>
    <row r="10622" spans="1:2" x14ac:dyDescent="0.4">
      <c r="A10622" s="4">
        <v>1007002</v>
      </c>
      <c r="B10622">
        <v>6630700</v>
      </c>
    </row>
    <row r="10623" spans="1:2" x14ac:dyDescent="0.4">
      <c r="A10623" s="4">
        <v>1007002</v>
      </c>
      <c r="B10623">
        <v>6630800</v>
      </c>
    </row>
    <row r="10624" spans="1:2" x14ac:dyDescent="0.4">
      <c r="A10624" s="4">
        <v>1007002</v>
      </c>
      <c r="B10624">
        <v>6630900</v>
      </c>
    </row>
    <row r="10625" spans="1:2" x14ac:dyDescent="0.4">
      <c r="A10625" s="4">
        <v>1007002</v>
      </c>
      <c r="B10625">
        <v>6631000</v>
      </c>
    </row>
    <row r="10626" spans="1:2" x14ac:dyDescent="0.4">
      <c r="A10626" s="4">
        <v>1007002</v>
      </c>
      <c r="B10626">
        <v>6631100</v>
      </c>
    </row>
    <row r="10627" spans="1:2" x14ac:dyDescent="0.4">
      <c r="A10627" s="4">
        <v>1007002</v>
      </c>
      <c r="B10627">
        <v>6631200</v>
      </c>
    </row>
    <row r="10628" spans="1:2" x14ac:dyDescent="0.4">
      <c r="A10628" s="4">
        <v>1007002</v>
      </c>
      <c r="B10628">
        <v>6631300</v>
      </c>
    </row>
    <row r="10629" spans="1:2" x14ac:dyDescent="0.4">
      <c r="A10629" s="4">
        <v>1007002</v>
      </c>
      <c r="B10629">
        <v>6631400</v>
      </c>
    </row>
    <row r="10630" spans="1:2" x14ac:dyDescent="0.4">
      <c r="A10630" s="4">
        <v>1007002</v>
      </c>
      <c r="B10630">
        <v>6631500</v>
      </c>
    </row>
    <row r="10631" spans="1:2" x14ac:dyDescent="0.4">
      <c r="A10631" s="4">
        <v>1007002</v>
      </c>
      <c r="B10631">
        <v>6631600</v>
      </c>
    </row>
    <row r="10632" spans="1:2" x14ac:dyDescent="0.4">
      <c r="A10632" s="4">
        <v>1007002</v>
      </c>
      <c r="B10632">
        <v>6631700</v>
      </c>
    </row>
    <row r="10633" spans="1:2" x14ac:dyDescent="0.4">
      <c r="A10633" s="4">
        <v>1007002</v>
      </c>
      <c r="B10633">
        <v>6631800</v>
      </c>
    </row>
    <row r="10634" spans="1:2" x14ac:dyDescent="0.4">
      <c r="A10634" s="4">
        <v>1007002</v>
      </c>
      <c r="B10634">
        <v>6631900</v>
      </c>
    </row>
    <row r="10635" spans="1:2" x14ac:dyDescent="0.4">
      <c r="A10635" s="4">
        <v>1007002</v>
      </c>
      <c r="B10635">
        <v>6632000</v>
      </c>
    </row>
    <row r="10636" spans="1:2" x14ac:dyDescent="0.4">
      <c r="A10636" s="4">
        <v>1007002</v>
      </c>
      <c r="B10636">
        <v>6632100</v>
      </c>
    </row>
    <row r="10637" spans="1:2" x14ac:dyDescent="0.4">
      <c r="A10637" s="4">
        <v>1007002</v>
      </c>
      <c r="B10637">
        <v>6632200</v>
      </c>
    </row>
    <row r="10638" spans="1:2" x14ac:dyDescent="0.4">
      <c r="A10638" s="4">
        <v>1007002</v>
      </c>
      <c r="B10638">
        <v>6632300</v>
      </c>
    </row>
    <row r="10639" spans="1:2" x14ac:dyDescent="0.4">
      <c r="A10639" s="4">
        <v>1007002</v>
      </c>
      <c r="B10639">
        <v>6632400</v>
      </c>
    </row>
    <row r="10640" spans="1:2" x14ac:dyDescent="0.4">
      <c r="A10640" s="4">
        <v>1007002</v>
      </c>
      <c r="B10640">
        <v>6632500</v>
      </c>
    </row>
    <row r="10641" spans="1:2" x14ac:dyDescent="0.4">
      <c r="A10641" s="4">
        <v>1007002</v>
      </c>
      <c r="B10641">
        <v>6632600</v>
      </c>
    </row>
    <row r="10642" spans="1:2" x14ac:dyDescent="0.4">
      <c r="A10642" s="4">
        <v>1007002</v>
      </c>
      <c r="B10642">
        <v>6632700</v>
      </c>
    </row>
    <row r="10643" spans="1:2" x14ac:dyDescent="0.4">
      <c r="A10643" s="4">
        <v>1007002</v>
      </c>
      <c r="B10643">
        <v>6632800</v>
      </c>
    </row>
    <row r="10644" spans="1:2" x14ac:dyDescent="0.4">
      <c r="A10644" s="4">
        <v>1007002</v>
      </c>
      <c r="B10644">
        <v>6632900</v>
      </c>
    </row>
    <row r="10645" spans="1:2" x14ac:dyDescent="0.4">
      <c r="A10645" s="4">
        <v>1007002</v>
      </c>
      <c r="B10645">
        <v>6633000</v>
      </c>
    </row>
    <row r="10646" spans="1:2" x14ac:dyDescent="0.4">
      <c r="A10646" s="4">
        <v>1007002</v>
      </c>
      <c r="B10646">
        <v>6633100</v>
      </c>
    </row>
    <row r="10647" spans="1:2" x14ac:dyDescent="0.4">
      <c r="A10647" s="4">
        <v>1007002</v>
      </c>
      <c r="B10647">
        <v>6633200</v>
      </c>
    </row>
    <row r="10648" spans="1:2" x14ac:dyDescent="0.4">
      <c r="A10648" s="4">
        <v>1007002</v>
      </c>
      <c r="B10648">
        <v>6647200</v>
      </c>
    </row>
    <row r="10649" spans="1:2" x14ac:dyDescent="0.4">
      <c r="A10649" s="4">
        <v>1007002</v>
      </c>
      <c r="B10649">
        <v>6647300</v>
      </c>
    </row>
    <row r="10650" spans="1:2" x14ac:dyDescent="0.4">
      <c r="A10650" s="4">
        <v>1007002</v>
      </c>
      <c r="B10650">
        <v>6647400</v>
      </c>
    </row>
    <row r="10651" spans="1:2" x14ac:dyDescent="0.4">
      <c r="A10651" s="4">
        <v>1007002</v>
      </c>
      <c r="B10651">
        <v>6647500</v>
      </c>
    </row>
    <row r="10652" spans="1:2" x14ac:dyDescent="0.4">
      <c r="A10652" s="4">
        <v>1007002</v>
      </c>
      <c r="B10652">
        <v>6640000</v>
      </c>
    </row>
    <row r="10653" spans="1:2" x14ac:dyDescent="0.4">
      <c r="A10653" s="4">
        <v>1007002</v>
      </c>
      <c r="B10653">
        <v>6640100</v>
      </c>
    </row>
    <row r="10654" spans="1:2" x14ac:dyDescent="0.4">
      <c r="A10654" s="4">
        <v>1007002</v>
      </c>
      <c r="B10654">
        <v>6641000</v>
      </c>
    </row>
    <row r="10655" spans="1:2" x14ac:dyDescent="0.4">
      <c r="A10655" s="4">
        <v>1007002</v>
      </c>
      <c r="B10655">
        <v>6641100</v>
      </c>
    </row>
    <row r="10656" spans="1:2" x14ac:dyDescent="0.4">
      <c r="A10656" s="4">
        <v>1007002</v>
      </c>
      <c r="B10656">
        <v>6642000</v>
      </c>
    </row>
    <row r="10657" spans="1:2" x14ac:dyDescent="0.4">
      <c r="A10657" s="4">
        <v>1007002</v>
      </c>
      <c r="B10657">
        <v>6642100</v>
      </c>
    </row>
    <row r="10658" spans="1:2" x14ac:dyDescent="0.4">
      <c r="A10658" s="4">
        <v>1007002</v>
      </c>
      <c r="B10658">
        <v>6643000</v>
      </c>
    </row>
    <row r="10659" spans="1:2" x14ac:dyDescent="0.4">
      <c r="A10659" s="4">
        <v>1007002</v>
      </c>
      <c r="B10659">
        <v>6643100</v>
      </c>
    </row>
    <row r="10660" spans="1:2" x14ac:dyDescent="0.4">
      <c r="A10660" s="4">
        <v>1007002</v>
      </c>
      <c r="B10660">
        <v>6644000</v>
      </c>
    </row>
    <row r="10661" spans="1:2" x14ac:dyDescent="0.4">
      <c r="A10661" s="4">
        <v>1007002</v>
      </c>
      <c r="B10661">
        <v>6644100</v>
      </c>
    </row>
    <row r="10662" spans="1:2" x14ac:dyDescent="0.4">
      <c r="A10662" s="4">
        <v>1007002</v>
      </c>
      <c r="B10662">
        <v>6645000</v>
      </c>
    </row>
    <row r="10663" spans="1:2" x14ac:dyDescent="0.4">
      <c r="A10663" s="4">
        <v>1007002</v>
      </c>
      <c r="B10663">
        <v>6645100</v>
      </c>
    </row>
    <row r="10664" spans="1:2" x14ac:dyDescent="0.4">
      <c r="A10664" s="4">
        <v>1007002</v>
      </c>
      <c r="B10664">
        <v>6646000</v>
      </c>
    </row>
    <row r="10665" spans="1:2" x14ac:dyDescent="0.4">
      <c r="A10665" s="4">
        <v>1007002</v>
      </c>
      <c r="B10665">
        <v>6646100</v>
      </c>
    </row>
    <row r="10666" spans="1:2" x14ac:dyDescent="0.4">
      <c r="A10666" s="4">
        <v>1007002</v>
      </c>
      <c r="B10666">
        <v>6647000</v>
      </c>
    </row>
    <row r="10667" spans="1:2" x14ac:dyDescent="0.4">
      <c r="A10667" s="4">
        <v>1007002</v>
      </c>
      <c r="B10667">
        <v>6647100</v>
      </c>
    </row>
    <row r="10668" spans="1:2" x14ac:dyDescent="0.4">
      <c r="A10668" s="4">
        <v>1008000</v>
      </c>
      <c r="B10668">
        <v>7000000</v>
      </c>
    </row>
    <row r="10669" spans="1:2" x14ac:dyDescent="0.4">
      <c r="A10669" s="4">
        <v>1008000</v>
      </c>
      <c r="B10669">
        <v>7000001</v>
      </c>
    </row>
    <row r="10670" spans="1:2" x14ac:dyDescent="0.4">
      <c r="A10670" s="4">
        <v>1008000</v>
      </c>
      <c r="B10670">
        <v>7000002</v>
      </c>
    </row>
    <row r="10671" spans="1:2" x14ac:dyDescent="0.4">
      <c r="A10671" s="4">
        <v>1008000</v>
      </c>
      <c r="B10671">
        <v>7000100</v>
      </c>
    </row>
    <row r="10672" spans="1:2" x14ac:dyDescent="0.4">
      <c r="A10672" s="4">
        <v>1008000</v>
      </c>
      <c r="B10672">
        <v>7000101</v>
      </c>
    </row>
    <row r="10673" spans="1:2" x14ac:dyDescent="0.4">
      <c r="A10673" s="4">
        <v>1008000</v>
      </c>
      <c r="B10673">
        <v>7000102</v>
      </c>
    </row>
    <row r="10674" spans="1:2" x14ac:dyDescent="0.4">
      <c r="A10674" s="4">
        <v>1008000</v>
      </c>
      <c r="B10674">
        <v>7000200</v>
      </c>
    </row>
    <row r="10675" spans="1:2" x14ac:dyDescent="0.4">
      <c r="A10675" s="4">
        <v>1008000</v>
      </c>
      <c r="B10675">
        <v>7000201</v>
      </c>
    </row>
    <row r="10676" spans="1:2" x14ac:dyDescent="0.4">
      <c r="A10676" s="4">
        <v>1008000</v>
      </c>
      <c r="B10676">
        <v>7000202</v>
      </c>
    </row>
    <row r="10677" spans="1:2" x14ac:dyDescent="0.4">
      <c r="A10677" s="4">
        <v>1008000</v>
      </c>
      <c r="B10677">
        <v>7000300</v>
      </c>
    </row>
    <row r="10678" spans="1:2" x14ac:dyDescent="0.4">
      <c r="A10678" s="4">
        <v>1008000</v>
      </c>
      <c r="B10678">
        <v>7000301</v>
      </c>
    </row>
    <row r="10679" spans="1:2" x14ac:dyDescent="0.4">
      <c r="A10679" s="4">
        <v>1008000</v>
      </c>
      <c r="B10679">
        <v>7000302</v>
      </c>
    </row>
    <row r="10680" spans="1:2" x14ac:dyDescent="0.4">
      <c r="A10680" s="4">
        <v>1008000</v>
      </c>
      <c r="B10680">
        <v>7000400</v>
      </c>
    </row>
    <row r="10681" spans="1:2" x14ac:dyDescent="0.4">
      <c r="A10681" s="4">
        <v>1008000</v>
      </c>
      <c r="B10681">
        <v>7000401</v>
      </c>
    </row>
    <row r="10682" spans="1:2" x14ac:dyDescent="0.4">
      <c r="A10682" s="4">
        <v>1008000</v>
      </c>
      <c r="B10682">
        <v>7000402</v>
      </c>
    </row>
    <row r="10683" spans="1:2" x14ac:dyDescent="0.4">
      <c r="A10683" s="4">
        <v>1008000</v>
      </c>
      <c r="B10683">
        <v>7000500</v>
      </c>
    </row>
    <row r="10684" spans="1:2" x14ac:dyDescent="0.4">
      <c r="A10684" s="4">
        <v>1008000</v>
      </c>
      <c r="B10684">
        <v>7000501</v>
      </c>
    </row>
    <row r="10685" spans="1:2" x14ac:dyDescent="0.4">
      <c r="A10685" s="4">
        <v>1008000</v>
      </c>
      <c r="B10685">
        <v>7000502</v>
      </c>
    </row>
    <row r="10686" spans="1:2" x14ac:dyDescent="0.4">
      <c r="A10686" s="4">
        <v>1008000</v>
      </c>
      <c r="B10686">
        <v>7000600</v>
      </c>
    </row>
    <row r="10687" spans="1:2" x14ac:dyDescent="0.4">
      <c r="A10687" s="4">
        <v>1008000</v>
      </c>
      <c r="B10687">
        <v>7000601</v>
      </c>
    </row>
    <row r="10688" spans="1:2" x14ac:dyDescent="0.4">
      <c r="A10688" s="4">
        <v>1008000</v>
      </c>
      <c r="B10688">
        <v>7000602</v>
      </c>
    </row>
    <row r="10689" spans="1:2" x14ac:dyDescent="0.4">
      <c r="A10689" s="4">
        <v>1008000</v>
      </c>
      <c r="B10689">
        <v>7000700</v>
      </c>
    </row>
    <row r="10690" spans="1:2" x14ac:dyDescent="0.4">
      <c r="A10690" s="4">
        <v>1008000</v>
      </c>
      <c r="B10690">
        <v>7000701</v>
      </c>
    </row>
    <row r="10691" spans="1:2" x14ac:dyDescent="0.4">
      <c r="A10691" s="4">
        <v>1008000</v>
      </c>
      <c r="B10691">
        <v>7000702</v>
      </c>
    </row>
    <row r="10692" spans="1:2" x14ac:dyDescent="0.4">
      <c r="A10692" s="4">
        <v>1008000</v>
      </c>
      <c r="B10692">
        <v>7000800</v>
      </c>
    </row>
    <row r="10693" spans="1:2" x14ac:dyDescent="0.4">
      <c r="A10693" s="4">
        <v>1008000</v>
      </c>
      <c r="B10693">
        <v>7000801</v>
      </c>
    </row>
    <row r="10694" spans="1:2" x14ac:dyDescent="0.4">
      <c r="A10694" s="4">
        <v>1008000</v>
      </c>
      <c r="B10694">
        <v>7000802</v>
      </c>
    </row>
    <row r="10695" spans="1:2" x14ac:dyDescent="0.4">
      <c r="A10695" s="4">
        <v>1008000</v>
      </c>
      <c r="B10695">
        <v>7000900</v>
      </c>
    </row>
    <row r="10696" spans="1:2" x14ac:dyDescent="0.4">
      <c r="A10696" s="4">
        <v>1008000</v>
      </c>
      <c r="B10696">
        <v>7000901</v>
      </c>
    </row>
    <row r="10697" spans="1:2" x14ac:dyDescent="0.4">
      <c r="A10697" s="4">
        <v>1008000</v>
      </c>
      <c r="B10697">
        <v>7000902</v>
      </c>
    </row>
    <row r="10698" spans="1:2" x14ac:dyDescent="0.4">
      <c r="A10698" s="4">
        <v>1008000</v>
      </c>
      <c r="B10698">
        <v>7001000</v>
      </c>
    </row>
    <row r="10699" spans="1:2" x14ac:dyDescent="0.4">
      <c r="A10699" s="4">
        <v>1008000</v>
      </c>
      <c r="B10699">
        <v>7001001</v>
      </c>
    </row>
    <row r="10700" spans="1:2" x14ac:dyDescent="0.4">
      <c r="A10700" s="4">
        <v>1008000</v>
      </c>
      <c r="B10700">
        <v>7001002</v>
      </c>
    </row>
    <row r="10701" spans="1:2" x14ac:dyDescent="0.4">
      <c r="A10701" s="4">
        <v>1008000</v>
      </c>
      <c r="B10701">
        <v>7001400</v>
      </c>
    </row>
    <row r="10702" spans="1:2" x14ac:dyDescent="0.4">
      <c r="A10702" s="4">
        <v>1008000</v>
      </c>
      <c r="B10702">
        <v>7001401</v>
      </c>
    </row>
    <row r="10703" spans="1:2" x14ac:dyDescent="0.4">
      <c r="A10703" s="4">
        <v>1008000</v>
      </c>
      <c r="B10703">
        <v>7001402</v>
      </c>
    </row>
    <row r="10704" spans="1:2" x14ac:dyDescent="0.4">
      <c r="A10704" s="4">
        <v>1008000</v>
      </c>
      <c r="B10704">
        <v>7001500</v>
      </c>
    </row>
    <row r="10705" spans="1:2" x14ac:dyDescent="0.4">
      <c r="A10705" s="4">
        <v>1008000</v>
      </c>
      <c r="B10705">
        <v>7001501</v>
      </c>
    </row>
    <row r="10706" spans="1:2" x14ac:dyDescent="0.4">
      <c r="A10706" s="4">
        <v>1008000</v>
      </c>
      <c r="B10706">
        <v>7001502</v>
      </c>
    </row>
    <row r="10707" spans="1:2" x14ac:dyDescent="0.4">
      <c r="A10707" s="4">
        <v>1008000</v>
      </c>
      <c r="B10707">
        <v>7001600</v>
      </c>
    </row>
    <row r="10708" spans="1:2" x14ac:dyDescent="0.4">
      <c r="A10708" s="4">
        <v>1008000</v>
      </c>
      <c r="B10708">
        <v>7001601</v>
      </c>
    </row>
    <row r="10709" spans="1:2" x14ac:dyDescent="0.4">
      <c r="A10709" s="4">
        <v>1008000</v>
      </c>
      <c r="B10709">
        <v>7001602</v>
      </c>
    </row>
    <row r="10710" spans="1:2" x14ac:dyDescent="0.4">
      <c r="A10710" s="4">
        <v>1008000</v>
      </c>
      <c r="B10710">
        <v>7001700</v>
      </c>
    </row>
    <row r="10711" spans="1:2" x14ac:dyDescent="0.4">
      <c r="A10711" s="4">
        <v>1008000</v>
      </c>
      <c r="B10711">
        <v>7001701</v>
      </c>
    </row>
    <row r="10712" spans="1:2" x14ac:dyDescent="0.4">
      <c r="A10712" s="4">
        <v>1008000</v>
      </c>
      <c r="B10712">
        <v>7001702</v>
      </c>
    </row>
    <row r="10713" spans="1:2" x14ac:dyDescent="0.4">
      <c r="A10713" s="4">
        <v>1008000</v>
      </c>
      <c r="B10713">
        <v>7001800</v>
      </c>
    </row>
    <row r="10714" spans="1:2" x14ac:dyDescent="0.4">
      <c r="A10714" s="4">
        <v>1008000</v>
      </c>
      <c r="B10714">
        <v>7001801</v>
      </c>
    </row>
    <row r="10715" spans="1:2" x14ac:dyDescent="0.4">
      <c r="A10715" s="4">
        <v>1008000</v>
      </c>
      <c r="B10715">
        <v>7001802</v>
      </c>
    </row>
    <row r="10716" spans="1:2" x14ac:dyDescent="0.4">
      <c r="A10716" s="4">
        <v>1008000</v>
      </c>
      <c r="B10716">
        <v>7002600</v>
      </c>
    </row>
    <row r="10717" spans="1:2" x14ac:dyDescent="0.4">
      <c r="A10717" s="4">
        <v>1008000</v>
      </c>
      <c r="B10717">
        <v>7002700</v>
      </c>
    </row>
    <row r="10718" spans="1:2" x14ac:dyDescent="0.4">
      <c r="A10718" s="4">
        <v>1008000</v>
      </c>
      <c r="B10718">
        <v>7002800</v>
      </c>
    </row>
    <row r="10719" spans="1:2" x14ac:dyDescent="0.4">
      <c r="A10719" s="4">
        <v>1008000</v>
      </c>
      <c r="B10719">
        <v>7002900</v>
      </c>
    </row>
    <row r="10720" spans="1:2" x14ac:dyDescent="0.4">
      <c r="A10720" s="4">
        <v>1008000</v>
      </c>
      <c r="B10720">
        <v>7003000</v>
      </c>
    </row>
    <row r="10721" spans="1:2" x14ac:dyDescent="0.4">
      <c r="A10721" s="4">
        <v>1008000</v>
      </c>
      <c r="B10721">
        <v>7003100</v>
      </c>
    </row>
    <row r="10722" spans="1:2" x14ac:dyDescent="0.4">
      <c r="A10722" s="4">
        <v>1008000</v>
      </c>
      <c r="B10722">
        <v>7003200</v>
      </c>
    </row>
    <row r="10723" spans="1:2" x14ac:dyDescent="0.4">
      <c r="A10723" s="4">
        <v>1008000</v>
      </c>
      <c r="B10723">
        <v>7003300</v>
      </c>
    </row>
    <row r="10724" spans="1:2" x14ac:dyDescent="0.4">
      <c r="A10724" s="4">
        <v>1008000</v>
      </c>
      <c r="B10724">
        <v>7003400</v>
      </c>
    </row>
    <row r="10725" spans="1:2" x14ac:dyDescent="0.4">
      <c r="A10725" s="4">
        <v>1008000</v>
      </c>
      <c r="B10725">
        <v>7003500</v>
      </c>
    </row>
    <row r="10726" spans="1:2" x14ac:dyDescent="0.4">
      <c r="A10726" s="4">
        <v>1008000</v>
      </c>
      <c r="B10726">
        <v>7003600</v>
      </c>
    </row>
    <row r="10727" spans="1:2" x14ac:dyDescent="0.4">
      <c r="A10727" s="4">
        <v>1008000</v>
      </c>
      <c r="B10727">
        <v>7005600</v>
      </c>
    </row>
    <row r="10728" spans="1:2" x14ac:dyDescent="0.4">
      <c r="A10728" s="4">
        <v>1008000</v>
      </c>
      <c r="B10728">
        <v>7006000</v>
      </c>
    </row>
    <row r="10729" spans="1:2" x14ac:dyDescent="0.4">
      <c r="A10729" s="4">
        <v>1008000</v>
      </c>
      <c r="B10729">
        <v>7006100</v>
      </c>
    </row>
    <row r="10730" spans="1:2" x14ac:dyDescent="0.4">
      <c r="A10730" s="4">
        <v>1008000</v>
      </c>
      <c r="B10730">
        <v>7010200</v>
      </c>
    </row>
    <row r="10731" spans="1:2" x14ac:dyDescent="0.4">
      <c r="A10731" s="4">
        <v>1008000</v>
      </c>
      <c r="B10731">
        <v>7010500</v>
      </c>
    </row>
    <row r="10732" spans="1:2" x14ac:dyDescent="0.4">
      <c r="A10732" s="4">
        <v>1008000</v>
      </c>
      <c r="B10732">
        <v>7010700</v>
      </c>
    </row>
    <row r="10733" spans="1:2" x14ac:dyDescent="0.4">
      <c r="A10733" s="4">
        <v>1008000</v>
      </c>
      <c r="B10733">
        <v>7010900</v>
      </c>
    </row>
    <row r="10734" spans="1:2" x14ac:dyDescent="0.4">
      <c r="A10734" s="4">
        <v>1008000</v>
      </c>
      <c r="B10734">
        <v>7011000</v>
      </c>
    </row>
    <row r="10735" spans="1:2" x14ac:dyDescent="0.4">
      <c r="A10735" s="4">
        <v>1008000</v>
      </c>
      <c r="B10735">
        <v>7011200</v>
      </c>
    </row>
    <row r="10736" spans="1:2" x14ac:dyDescent="0.4">
      <c r="A10736" s="4">
        <v>1008000</v>
      </c>
      <c r="B10736">
        <v>7011600</v>
      </c>
    </row>
    <row r="10737" spans="1:2" x14ac:dyDescent="0.4">
      <c r="A10737" s="4">
        <v>1008000</v>
      </c>
      <c r="B10737">
        <v>7011700</v>
      </c>
    </row>
    <row r="10738" spans="1:2" x14ac:dyDescent="0.4">
      <c r="A10738" s="4">
        <v>1008000</v>
      </c>
      <c r="B10738">
        <v>7012000</v>
      </c>
    </row>
    <row r="10739" spans="1:2" x14ac:dyDescent="0.4">
      <c r="A10739" s="4">
        <v>1008000</v>
      </c>
      <c r="B10739">
        <v>7012200</v>
      </c>
    </row>
    <row r="10740" spans="1:2" x14ac:dyDescent="0.4">
      <c r="A10740" s="4">
        <v>1008000</v>
      </c>
      <c r="B10740">
        <v>7012300</v>
      </c>
    </row>
    <row r="10741" spans="1:2" x14ac:dyDescent="0.4">
      <c r="A10741" s="4">
        <v>1008000</v>
      </c>
      <c r="B10741">
        <v>7020000</v>
      </c>
    </row>
    <row r="10742" spans="1:2" x14ac:dyDescent="0.4">
      <c r="A10742" s="4">
        <v>1008000</v>
      </c>
      <c r="B10742">
        <v>7030000</v>
      </c>
    </row>
    <row r="10743" spans="1:2" x14ac:dyDescent="0.4">
      <c r="A10743" s="4">
        <v>1008000</v>
      </c>
      <c r="B10743">
        <v>7030200</v>
      </c>
    </row>
    <row r="10744" spans="1:2" x14ac:dyDescent="0.4">
      <c r="A10744" s="4">
        <v>1008000</v>
      </c>
      <c r="B10744">
        <v>7030600</v>
      </c>
    </row>
    <row r="10745" spans="1:2" x14ac:dyDescent="0.4">
      <c r="A10745" s="4">
        <v>1008000</v>
      </c>
      <c r="B10745">
        <v>7030700</v>
      </c>
    </row>
    <row r="10746" spans="1:2" x14ac:dyDescent="0.4">
      <c r="A10746" s="4">
        <v>1008000</v>
      </c>
      <c r="B10746">
        <v>7030800</v>
      </c>
    </row>
    <row r="10747" spans="1:2" x14ac:dyDescent="0.4">
      <c r="A10747" s="4">
        <v>1008000</v>
      </c>
      <c r="B10747">
        <v>7030900</v>
      </c>
    </row>
    <row r="10748" spans="1:2" x14ac:dyDescent="0.4">
      <c r="A10748" s="4">
        <v>1008000</v>
      </c>
      <c r="B10748">
        <v>7031200</v>
      </c>
    </row>
    <row r="10749" spans="1:2" x14ac:dyDescent="0.4">
      <c r="A10749" s="4">
        <v>1008000</v>
      </c>
      <c r="B10749">
        <v>7031300</v>
      </c>
    </row>
    <row r="10750" spans="1:2" x14ac:dyDescent="0.4">
      <c r="A10750" s="4">
        <v>1008000</v>
      </c>
      <c r="B10750">
        <v>7031800</v>
      </c>
    </row>
    <row r="10751" spans="1:2" x14ac:dyDescent="0.4">
      <c r="A10751" s="4">
        <v>1008000</v>
      </c>
      <c r="B10751">
        <v>7031900</v>
      </c>
    </row>
    <row r="10752" spans="1:2" x14ac:dyDescent="0.4">
      <c r="A10752" s="4">
        <v>1008000</v>
      </c>
      <c r="B10752">
        <v>7032200</v>
      </c>
    </row>
    <row r="10753" spans="1:2" x14ac:dyDescent="0.4">
      <c r="A10753" s="4">
        <v>1008000</v>
      </c>
      <c r="B10753">
        <v>7032400</v>
      </c>
    </row>
    <row r="10754" spans="1:2" x14ac:dyDescent="0.4">
      <c r="A10754" s="4">
        <v>1008000</v>
      </c>
      <c r="B10754">
        <v>7032700</v>
      </c>
    </row>
    <row r="10755" spans="1:2" x14ac:dyDescent="0.4">
      <c r="A10755" s="4">
        <v>1008000</v>
      </c>
      <c r="B10755">
        <v>7032800</v>
      </c>
    </row>
    <row r="10756" spans="1:2" x14ac:dyDescent="0.4">
      <c r="A10756" s="4">
        <v>1008000</v>
      </c>
      <c r="B10756">
        <v>7032900</v>
      </c>
    </row>
    <row r="10757" spans="1:2" x14ac:dyDescent="0.4">
      <c r="A10757" s="4">
        <v>1008000</v>
      </c>
      <c r="B10757">
        <v>7033200</v>
      </c>
    </row>
    <row r="10758" spans="1:2" x14ac:dyDescent="0.4">
      <c r="A10758" s="4">
        <v>1008000</v>
      </c>
      <c r="B10758">
        <v>7033400</v>
      </c>
    </row>
    <row r="10759" spans="1:2" x14ac:dyDescent="0.4">
      <c r="A10759" s="4">
        <v>1008000</v>
      </c>
      <c r="B10759">
        <v>7034100</v>
      </c>
    </row>
    <row r="10760" spans="1:2" x14ac:dyDescent="0.4">
      <c r="A10760" s="4">
        <v>1008000</v>
      </c>
      <c r="B10760">
        <v>7034400</v>
      </c>
    </row>
    <row r="10761" spans="1:2" x14ac:dyDescent="0.4">
      <c r="A10761" s="4">
        <v>1008000</v>
      </c>
      <c r="B10761">
        <v>7034500</v>
      </c>
    </row>
    <row r="10762" spans="1:2" x14ac:dyDescent="0.4">
      <c r="A10762" s="4">
        <v>1008000</v>
      </c>
      <c r="B10762">
        <v>7034600</v>
      </c>
    </row>
    <row r="10763" spans="1:2" x14ac:dyDescent="0.4">
      <c r="A10763" s="4">
        <v>1008000</v>
      </c>
      <c r="B10763">
        <v>7034700</v>
      </c>
    </row>
    <row r="10764" spans="1:2" x14ac:dyDescent="0.4">
      <c r="A10764" s="4">
        <v>1008000</v>
      </c>
      <c r="B10764">
        <v>7035100</v>
      </c>
    </row>
    <row r="10765" spans="1:2" x14ac:dyDescent="0.4">
      <c r="A10765" s="4">
        <v>1008000</v>
      </c>
      <c r="B10765">
        <v>7036100</v>
      </c>
    </row>
    <row r="10766" spans="1:2" x14ac:dyDescent="0.4">
      <c r="A10766" s="4">
        <v>1008000</v>
      </c>
      <c r="B10766">
        <v>7040000</v>
      </c>
    </row>
    <row r="10767" spans="1:2" x14ac:dyDescent="0.4">
      <c r="A10767" s="4">
        <v>1008000</v>
      </c>
      <c r="B10767">
        <v>7040100</v>
      </c>
    </row>
    <row r="10768" spans="1:2" x14ac:dyDescent="0.4">
      <c r="A10768" s="4">
        <v>1008000</v>
      </c>
      <c r="B10768">
        <v>7040200</v>
      </c>
    </row>
    <row r="10769" spans="1:2" x14ac:dyDescent="0.4">
      <c r="A10769" s="4">
        <v>1008000</v>
      </c>
      <c r="B10769">
        <v>7040300</v>
      </c>
    </row>
    <row r="10770" spans="1:2" x14ac:dyDescent="0.4">
      <c r="A10770" s="4">
        <v>1008000</v>
      </c>
      <c r="B10770">
        <v>7040400</v>
      </c>
    </row>
    <row r="10771" spans="1:2" x14ac:dyDescent="0.4">
      <c r="A10771" s="4">
        <v>1008000</v>
      </c>
      <c r="B10771">
        <v>7040500</v>
      </c>
    </row>
    <row r="10772" spans="1:2" x14ac:dyDescent="0.4">
      <c r="A10772" s="4">
        <v>1008000</v>
      </c>
      <c r="B10772">
        <v>7043000</v>
      </c>
    </row>
    <row r="10773" spans="1:2" x14ac:dyDescent="0.4">
      <c r="A10773" s="4">
        <v>1008000</v>
      </c>
      <c r="B10773">
        <v>7043100</v>
      </c>
    </row>
    <row r="10774" spans="1:2" x14ac:dyDescent="0.4">
      <c r="A10774" s="4">
        <v>1008000</v>
      </c>
      <c r="B10774">
        <v>7043200</v>
      </c>
    </row>
    <row r="10775" spans="1:2" x14ac:dyDescent="0.4">
      <c r="A10775" s="4">
        <v>1008000</v>
      </c>
      <c r="B10775">
        <v>7043300</v>
      </c>
    </row>
    <row r="10776" spans="1:2" x14ac:dyDescent="0.4">
      <c r="A10776" s="4">
        <v>1008000</v>
      </c>
      <c r="B10776">
        <v>7043400</v>
      </c>
    </row>
    <row r="10777" spans="1:2" x14ac:dyDescent="0.4">
      <c r="A10777" s="4">
        <v>1008000</v>
      </c>
      <c r="B10777">
        <v>7043500</v>
      </c>
    </row>
    <row r="10778" spans="1:2" x14ac:dyDescent="0.4">
      <c r="A10778" s="4">
        <v>1008000</v>
      </c>
      <c r="B10778">
        <v>7043600</v>
      </c>
    </row>
    <row r="10779" spans="1:2" x14ac:dyDescent="0.4">
      <c r="A10779" s="4">
        <v>1008000</v>
      </c>
      <c r="B10779">
        <v>7043700</v>
      </c>
    </row>
    <row r="10780" spans="1:2" x14ac:dyDescent="0.4">
      <c r="A10780" s="4">
        <v>1008000</v>
      </c>
      <c r="B10780">
        <v>7043800</v>
      </c>
    </row>
    <row r="10781" spans="1:2" x14ac:dyDescent="0.4">
      <c r="A10781" s="4">
        <v>1008000</v>
      </c>
      <c r="B10781">
        <v>7044000</v>
      </c>
    </row>
    <row r="10782" spans="1:2" x14ac:dyDescent="0.4">
      <c r="A10782" s="4">
        <v>1008000</v>
      </c>
      <c r="B10782">
        <v>7044100</v>
      </c>
    </row>
    <row r="10783" spans="1:2" x14ac:dyDescent="0.4">
      <c r="A10783" s="4">
        <v>1008000</v>
      </c>
      <c r="B10783">
        <v>7044200</v>
      </c>
    </row>
    <row r="10784" spans="1:2" x14ac:dyDescent="0.4">
      <c r="A10784" s="4">
        <v>1008000</v>
      </c>
      <c r="B10784">
        <v>7044300</v>
      </c>
    </row>
    <row r="10785" spans="1:2" x14ac:dyDescent="0.4">
      <c r="A10785" s="4">
        <v>1008000</v>
      </c>
      <c r="B10785">
        <v>7044400</v>
      </c>
    </row>
    <row r="10786" spans="1:2" x14ac:dyDescent="0.4">
      <c r="A10786" s="4">
        <v>1008000</v>
      </c>
      <c r="B10786">
        <v>7044500</v>
      </c>
    </row>
    <row r="10787" spans="1:2" x14ac:dyDescent="0.4">
      <c r="A10787" s="4">
        <v>1008000</v>
      </c>
      <c r="B10787">
        <v>7044600</v>
      </c>
    </row>
    <row r="10788" spans="1:2" x14ac:dyDescent="0.4">
      <c r="A10788" s="4">
        <v>1008000</v>
      </c>
      <c r="B10788">
        <v>7050000</v>
      </c>
    </row>
    <row r="10789" spans="1:2" x14ac:dyDescent="0.4">
      <c r="A10789" s="4">
        <v>1008000</v>
      </c>
      <c r="B10789">
        <v>7050100</v>
      </c>
    </row>
    <row r="10790" spans="1:2" x14ac:dyDescent="0.4">
      <c r="A10790" s="4">
        <v>1008000</v>
      </c>
      <c r="B10790">
        <v>7060000</v>
      </c>
    </row>
    <row r="10791" spans="1:2" x14ac:dyDescent="0.4">
      <c r="A10791" s="4">
        <v>1008000</v>
      </c>
      <c r="B10791">
        <v>7060100</v>
      </c>
    </row>
    <row r="10792" spans="1:2" x14ac:dyDescent="0.4">
      <c r="A10792" s="4">
        <v>1008000</v>
      </c>
      <c r="B10792">
        <v>7060200</v>
      </c>
    </row>
    <row r="10793" spans="1:2" x14ac:dyDescent="0.4">
      <c r="A10793" s="4">
        <v>1008000</v>
      </c>
      <c r="B10793">
        <v>7070000</v>
      </c>
    </row>
    <row r="10794" spans="1:2" x14ac:dyDescent="0.4">
      <c r="A10794" s="4">
        <v>1008000</v>
      </c>
      <c r="B10794">
        <v>7080000</v>
      </c>
    </row>
    <row r="10795" spans="1:2" x14ac:dyDescent="0.4">
      <c r="A10795" s="4">
        <v>1008000</v>
      </c>
      <c r="B10795">
        <v>7080100</v>
      </c>
    </row>
    <row r="10796" spans="1:2" x14ac:dyDescent="0.4">
      <c r="A10796" s="4">
        <v>1008000</v>
      </c>
      <c r="B10796">
        <v>7080200</v>
      </c>
    </row>
    <row r="10797" spans="1:2" x14ac:dyDescent="0.4">
      <c r="A10797" s="4">
        <v>1008000</v>
      </c>
      <c r="B10797">
        <v>7080300</v>
      </c>
    </row>
    <row r="10798" spans="1:2" x14ac:dyDescent="0.4">
      <c r="A10798" s="4">
        <v>1008000</v>
      </c>
      <c r="B10798">
        <v>7080400</v>
      </c>
    </row>
    <row r="10799" spans="1:2" x14ac:dyDescent="0.4">
      <c r="A10799" s="4">
        <v>1008000</v>
      </c>
      <c r="B10799">
        <v>7080500</v>
      </c>
    </row>
    <row r="10800" spans="1:2" x14ac:dyDescent="0.4">
      <c r="A10800" s="4">
        <v>1008000</v>
      </c>
      <c r="B10800">
        <v>7080600</v>
      </c>
    </row>
    <row r="10801" spans="1:2" x14ac:dyDescent="0.4">
      <c r="A10801" s="4">
        <v>1008000</v>
      </c>
      <c r="B10801">
        <v>7080700</v>
      </c>
    </row>
    <row r="10802" spans="1:2" x14ac:dyDescent="0.4">
      <c r="A10802" s="4">
        <v>1008000</v>
      </c>
      <c r="B10802">
        <v>7080800</v>
      </c>
    </row>
    <row r="10803" spans="1:2" x14ac:dyDescent="0.4">
      <c r="A10803" s="4">
        <v>1008000</v>
      </c>
      <c r="B10803">
        <v>7080900</v>
      </c>
    </row>
    <row r="10804" spans="1:2" x14ac:dyDescent="0.4">
      <c r="A10804" s="4">
        <v>1008000</v>
      </c>
      <c r="B10804">
        <v>7081000</v>
      </c>
    </row>
    <row r="10805" spans="1:2" x14ac:dyDescent="0.4">
      <c r="A10805" s="4">
        <v>1008000</v>
      </c>
      <c r="B10805">
        <v>7081100</v>
      </c>
    </row>
    <row r="10806" spans="1:2" x14ac:dyDescent="0.4">
      <c r="A10806" s="4">
        <v>1008000</v>
      </c>
      <c r="B10806">
        <v>7081200</v>
      </c>
    </row>
    <row r="10807" spans="1:2" x14ac:dyDescent="0.4">
      <c r="A10807" s="4">
        <v>1008000</v>
      </c>
      <c r="B10807">
        <v>7081300</v>
      </c>
    </row>
    <row r="10808" spans="1:2" x14ac:dyDescent="0.4">
      <c r="A10808" s="4">
        <v>1008000</v>
      </c>
      <c r="B10808">
        <v>7081400</v>
      </c>
    </row>
    <row r="10809" spans="1:2" x14ac:dyDescent="0.4">
      <c r="A10809" s="4">
        <v>1008000</v>
      </c>
      <c r="B10809">
        <v>7081500</v>
      </c>
    </row>
    <row r="10810" spans="1:2" x14ac:dyDescent="0.4">
      <c r="A10810" s="4">
        <v>1008000</v>
      </c>
      <c r="B10810">
        <v>7081700</v>
      </c>
    </row>
    <row r="10811" spans="1:2" x14ac:dyDescent="0.4">
      <c r="A10811" s="4">
        <v>1008000</v>
      </c>
      <c r="B10811">
        <v>7081800</v>
      </c>
    </row>
    <row r="10812" spans="1:2" x14ac:dyDescent="0.4">
      <c r="A10812" s="4">
        <v>1008000</v>
      </c>
      <c r="B10812">
        <v>7081900</v>
      </c>
    </row>
    <row r="10813" spans="1:2" x14ac:dyDescent="0.4">
      <c r="A10813" s="4">
        <v>1008000</v>
      </c>
      <c r="B10813">
        <v>7082000</v>
      </c>
    </row>
    <row r="10814" spans="1:2" x14ac:dyDescent="0.4">
      <c r="A10814" s="4">
        <v>1008000</v>
      </c>
      <c r="B10814">
        <v>7082100</v>
      </c>
    </row>
    <row r="10815" spans="1:2" x14ac:dyDescent="0.4">
      <c r="A10815" s="4">
        <v>1008000</v>
      </c>
      <c r="B10815">
        <v>7082200</v>
      </c>
    </row>
    <row r="10816" spans="1:2" x14ac:dyDescent="0.4">
      <c r="A10816" s="4">
        <v>1008000</v>
      </c>
      <c r="B10816">
        <v>7082300</v>
      </c>
    </row>
    <row r="10817" spans="1:2" x14ac:dyDescent="0.4">
      <c r="A10817" s="4">
        <v>1008000</v>
      </c>
      <c r="B10817">
        <v>7082400</v>
      </c>
    </row>
    <row r="10818" spans="1:2" x14ac:dyDescent="0.4">
      <c r="A10818" s="4">
        <v>1008000</v>
      </c>
      <c r="B10818">
        <v>7082500</v>
      </c>
    </row>
    <row r="10819" spans="1:2" x14ac:dyDescent="0.4">
      <c r="A10819" s="4">
        <v>1008000</v>
      </c>
      <c r="B10819">
        <v>7082600</v>
      </c>
    </row>
    <row r="10820" spans="1:2" x14ac:dyDescent="0.4">
      <c r="A10820" s="4">
        <v>1008000</v>
      </c>
      <c r="B10820">
        <v>7082700</v>
      </c>
    </row>
    <row r="10821" spans="1:2" x14ac:dyDescent="0.4">
      <c r="A10821" s="4">
        <v>1008000</v>
      </c>
      <c r="B10821">
        <v>7082800</v>
      </c>
    </row>
    <row r="10822" spans="1:2" x14ac:dyDescent="0.4">
      <c r="A10822" s="4">
        <v>1008000</v>
      </c>
      <c r="B10822">
        <v>7082900</v>
      </c>
    </row>
    <row r="10823" spans="1:2" x14ac:dyDescent="0.4">
      <c r="A10823" s="4">
        <v>1008000</v>
      </c>
      <c r="B10823">
        <v>7090000</v>
      </c>
    </row>
    <row r="10824" spans="1:2" x14ac:dyDescent="0.4">
      <c r="A10824" s="4">
        <v>1008000</v>
      </c>
      <c r="B10824">
        <v>7090100</v>
      </c>
    </row>
    <row r="10825" spans="1:2" x14ac:dyDescent="0.4">
      <c r="A10825" s="4">
        <v>1008000</v>
      </c>
      <c r="B10825">
        <v>7090300</v>
      </c>
    </row>
    <row r="10826" spans="1:2" x14ac:dyDescent="0.4">
      <c r="A10826" s="4">
        <v>1008000</v>
      </c>
      <c r="B10826">
        <v>7100100</v>
      </c>
    </row>
    <row r="10827" spans="1:2" x14ac:dyDescent="0.4">
      <c r="A10827" s="4">
        <v>1008000</v>
      </c>
      <c r="B10827">
        <v>7110000</v>
      </c>
    </row>
    <row r="10828" spans="1:2" x14ac:dyDescent="0.4">
      <c r="A10828" s="4">
        <v>1008000</v>
      </c>
      <c r="B10828">
        <v>7120000</v>
      </c>
    </row>
    <row r="10829" spans="1:2" x14ac:dyDescent="0.4">
      <c r="A10829" s="4">
        <v>1008000</v>
      </c>
      <c r="B10829">
        <v>7120100</v>
      </c>
    </row>
    <row r="10830" spans="1:2" x14ac:dyDescent="0.4">
      <c r="A10830" s="4">
        <v>1008000</v>
      </c>
      <c r="B10830">
        <v>7120200</v>
      </c>
    </row>
    <row r="10831" spans="1:2" x14ac:dyDescent="0.4">
      <c r="A10831" s="4">
        <v>1008000</v>
      </c>
      <c r="B10831">
        <v>7120300</v>
      </c>
    </row>
    <row r="10832" spans="1:2" x14ac:dyDescent="0.4">
      <c r="A10832" s="4">
        <v>1008000</v>
      </c>
      <c r="B10832">
        <v>7120400</v>
      </c>
    </row>
    <row r="10833" spans="1:2" x14ac:dyDescent="0.4">
      <c r="A10833" s="4">
        <v>1008000</v>
      </c>
      <c r="B10833">
        <v>7120500</v>
      </c>
    </row>
    <row r="10834" spans="1:2" x14ac:dyDescent="0.4">
      <c r="A10834" s="4">
        <v>1008000</v>
      </c>
      <c r="B10834">
        <v>7120600</v>
      </c>
    </row>
    <row r="10835" spans="1:2" x14ac:dyDescent="0.4">
      <c r="A10835" s="4">
        <v>1008000</v>
      </c>
      <c r="B10835">
        <v>7120900</v>
      </c>
    </row>
    <row r="10836" spans="1:2" x14ac:dyDescent="0.4">
      <c r="A10836" s="4">
        <v>1008000</v>
      </c>
      <c r="B10836">
        <v>7121000</v>
      </c>
    </row>
    <row r="10837" spans="1:2" x14ac:dyDescent="0.4">
      <c r="A10837" s="4">
        <v>1008000</v>
      </c>
      <c r="B10837">
        <v>7121100</v>
      </c>
    </row>
    <row r="10838" spans="1:2" x14ac:dyDescent="0.4">
      <c r="A10838" s="4">
        <v>1008000</v>
      </c>
      <c r="B10838">
        <v>7121200</v>
      </c>
    </row>
    <row r="10839" spans="1:2" x14ac:dyDescent="0.4">
      <c r="A10839" s="4">
        <v>1008000</v>
      </c>
      <c r="B10839">
        <v>7121300</v>
      </c>
    </row>
    <row r="10840" spans="1:2" x14ac:dyDescent="0.4">
      <c r="A10840" s="4">
        <v>1008000</v>
      </c>
      <c r="B10840">
        <v>7121400</v>
      </c>
    </row>
    <row r="10841" spans="1:2" x14ac:dyDescent="0.4">
      <c r="A10841" s="4">
        <v>1008000</v>
      </c>
      <c r="B10841">
        <v>7121500</v>
      </c>
    </row>
    <row r="10842" spans="1:2" x14ac:dyDescent="0.4">
      <c r="A10842" s="4">
        <v>1008000</v>
      </c>
      <c r="B10842">
        <v>7121600</v>
      </c>
    </row>
    <row r="10843" spans="1:2" x14ac:dyDescent="0.4">
      <c r="A10843" s="4">
        <v>1008000</v>
      </c>
      <c r="B10843">
        <v>7121700</v>
      </c>
    </row>
    <row r="10844" spans="1:2" x14ac:dyDescent="0.4">
      <c r="A10844" s="4">
        <v>1008000</v>
      </c>
      <c r="B10844">
        <v>7121800</v>
      </c>
    </row>
    <row r="10845" spans="1:2" x14ac:dyDescent="0.4">
      <c r="A10845" s="4">
        <v>1008000</v>
      </c>
      <c r="B10845">
        <v>7121900</v>
      </c>
    </row>
    <row r="10846" spans="1:2" x14ac:dyDescent="0.4">
      <c r="A10846" s="4">
        <v>1008000</v>
      </c>
      <c r="B10846">
        <v>7122000</v>
      </c>
    </row>
    <row r="10847" spans="1:2" x14ac:dyDescent="0.4">
      <c r="A10847" s="4">
        <v>1008000</v>
      </c>
      <c r="B10847">
        <v>7122100</v>
      </c>
    </row>
    <row r="10848" spans="1:2" x14ac:dyDescent="0.4">
      <c r="A10848" s="4">
        <v>1008000</v>
      </c>
      <c r="B10848">
        <v>7122200</v>
      </c>
    </row>
    <row r="10849" spans="1:2" x14ac:dyDescent="0.4">
      <c r="A10849" s="4">
        <v>1008000</v>
      </c>
      <c r="B10849">
        <v>7122300</v>
      </c>
    </row>
    <row r="10850" spans="1:2" x14ac:dyDescent="0.4">
      <c r="A10850" s="4">
        <v>1008000</v>
      </c>
      <c r="B10850">
        <v>7122400</v>
      </c>
    </row>
    <row r="10851" spans="1:2" x14ac:dyDescent="0.4">
      <c r="A10851" s="4">
        <v>1008000</v>
      </c>
      <c r="B10851">
        <v>7122500</v>
      </c>
    </row>
    <row r="10852" spans="1:2" x14ac:dyDescent="0.4">
      <c r="A10852" s="4">
        <v>1008000</v>
      </c>
      <c r="B10852">
        <v>7122600</v>
      </c>
    </row>
    <row r="10853" spans="1:2" x14ac:dyDescent="0.4">
      <c r="A10853" s="4">
        <v>1008000</v>
      </c>
      <c r="B10853">
        <v>7122700</v>
      </c>
    </row>
    <row r="10854" spans="1:2" x14ac:dyDescent="0.4">
      <c r="A10854" s="4">
        <v>1008000</v>
      </c>
      <c r="B10854">
        <v>7122800</v>
      </c>
    </row>
    <row r="10855" spans="1:2" x14ac:dyDescent="0.4">
      <c r="A10855" s="4">
        <v>1008000</v>
      </c>
      <c r="B10855">
        <v>7122900</v>
      </c>
    </row>
    <row r="10856" spans="1:2" x14ac:dyDescent="0.4">
      <c r="A10856" s="4">
        <v>1008000</v>
      </c>
      <c r="B10856">
        <v>7123000</v>
      </c>
    </row>
    <row r="10857" spans="1:2" x14ac:dyDescent="0.4">
      <c r="A10857" s="4">
        <v>1008000</v>
      </c>
      <c r="B10857">
        <v>7123100</v>
      </c>
    </row>
    <row r="10858" spans="1:2" x14ac:dyDescent="0.4">
      <c r="A10858" s="4">
        <v>1008000</v>
      </c>
      <c r="B10858">
        <v>7123200</v>
      </c>
    </row>
    <row r="10859" spans="1:2" x14ac:dyDescent="0.4">
      <c r="A10859" s="4">
        <v>1008000</v>
      </c>
      <c r="B10859">
        <v>7123300</v>
      </c>
    </row>
    <row r="10860" spans="1:2" x14ac:dyDescent="0.4">
      <c r="A10860" s="4">
        <v>1008000</v>
      </c>
      <c r="B10860">
        <v>7123400</v>
      </c>
    </row>
    <row r="10861" spans="1:2" x14ac:dyDescent="0.4">
      <c r="A10861" s="4">
        <v>1008000</v>
      </c>
      <c r="B10861">
        <v>7123500</v>
      </c>
    </row>
    <row r="10862" spans="1:2" x14ac:dyDescent="0.4">
      <c r="A10862" s="4">
        <v>1008000</v>
      </c>
      <c r="B10862">
        <v>7123600</v>
      </c>
    </row>
    <row r="10863" spans="1:2" x14ac:dyDescent="0.4">
      <c r="A10863" s="4">
        <v>1008000</v>
      </c>
      <c r="B10863">
        <v>7123700</v>
      </c>
    </row>
    <row r="10864" spans="1:2" x14ac:dyDescent="0.4">
      <c r="A10864" s="4">
        <v>1008000</v>
      </c>
      <c r="B10864">
        <v>7123800</v>
      </c>
    </row>
    <row r="10865" spans="1:2" x14ac:dyDescent="0.4">
      <c r="A10865" s="4">
        <v>1008000</v>
      </c>
      <c r="B10865">
        <v>7123900</v>
      </c>
    </row>
    <row r="10866" spans="1:2" x14ac:dyDescent="0.4">
      <c r="A10866" s="4">
        <v>1008000</v>
      </c>
      <c r="B10866">
        <v>7124000</v>
      </c>
    </row>
    <row r="10867" spans="1:2" x14ac:dyDescent="0.4">
      <c r="A10867" s="4">
        <v>1008000</v>
      </c>
      <c r="B10867">
        <v>7124100</v>
      </c>
    </row>
    <row r="10868" spans="1:2" x14ac:dyDescent="0.4">
      <c r="A10868" s="4">
        <v>1008000</v>
      </c>
      <c r="B10868">
        <v>7124300</v>
      </c>
    </row>
    <row r="10869" spans="1:2" x14ac:dyDescent="0.4">
      <c r="A10869" s="4">
        <v>1008000</v>
      </c>
      <c r="B10869">
        <v>7124400</v>
      </c>
    </row>
    <row r="10870" spans="1:2" x14ac:dyDescent="0.4">
      <c r="A10870" s="4">
        <v>1008000</v>
      </c>
      <c r="B10870">
        <v>7124500</v>
      </c>
    </row>
    <row r="10871" spans="1:2" x14ac:dyDescent="0.4">
      <c r="A10871" s="4">
        <v>1008000</v>
      </c>
      <c r="B10871">
        <v>7124600</v>
      </c>
    </row>
    <row r="10872" spans="1:2" x14ac:dyDescent="0.4">
      <c r="A10872" s="4">
        <v>1008000</v>
      </c>
      <c r="B10872">
        <v>7124700</v>
      </c>
    </row>
    <row r="10873" spans="1:2" x14ac:dyDescent="0.4">
      <c r="A10873" s="4">
        <v>1008000</v>
      </c>
      <c r="B10873">
        <v>7126000</v>
      </c>
    </row>
    <row r="10874" spans="1:2" x14ac:dyDescent="0.4">
      <c r="A10874" s="4">
        <v>1008000</v>
      </c>
      <c r="B10874">
        <v>7150000</v>
      </c>
    </row>
    <row r="10875" spans="1:2" x14ac:dyDescent="0.4">
      <c r="A10875" s="4">
        <v>1008000</v>
      </c>
      <c r="B10875">
        <v>7160000</v>
      </c>
    </row>
    <row r="10876" spans="1:2" x14ac:dyDescent="0.4">
      <c r="A10876" s="4">
        <v>1008000</v>
      </c>
      <c r="B10876">
        <v>7220000</v>
      </c>
    </row>
    <row r="10877" spans="1:2" x14ac:dyDescent="0.4">
      <c r="A10877" s="4">
        <v>1008000</v>
      </c>
      <c r="B10877">
        <v>7230000</v>
      </c>
    </row>
    <row r="10878" spans="1:2" x14ac:dyDescent="0.4">
      <c r="A10878" s="4">
        <v>1008000</v>
      </c>
      <c r="B10878">
        <v>7240000</v>
      </c>
    </row>
    <row r="10879" spans="1:2" x14ac:dyDescent="0.4">
      <c r="A10879" s="4">
        <v>1008000</v>
      </c>
      <c r="B10879">
        <v>7260000</v>
      </c>
    </row>
    <row r="10880" spans="1:2" x14ac:dyDescent="0.4">
      <c r="A10880" s="4">
        <v>1008000</v>
      </c>
      <c r="B10880">
        <v>7260300</v>
      </c>
    </row>
    <row r="10881" spans="1:2" x14ac:dyDescent="0.4">
      <c r="A10881" s="4">
        <v>1008000</v>
      </c>
      <c r="B10881">
        <v>7260400</v>
      </c>
    </row>
    <row r="10882" spans="1:2" x14ac:dyDescent="0.4">
      <c r="A10882" s="4">
        <v>1008000</v>
      </c>
      <c r="B10882">
        <v>7270100</v>
      </c>
    </row>
    <row r="10883" spans="1:2" x14ac:dyDescent="0.4">
      <c r="A10883" s="4">
        <v>1008000</v>
      </c>
      <c r="B10883">
        <v>7280000</v>
      </c>
    </row>
    <row r="10884" spans="1:2" x14ac:dyDescent="0.4">
      <c r="A10884" s="4">
        <v>1008000</v>
      </c>
      <c r="B10884">
        <v>7290000</v>
      </c>
    </row>
    <row r="10885" spans="1:2" x14ac:dyDescent="0.4">
      <c r="A10885" s="4">
        <v>1008000</v>
      </c>
      <c r="B10885">
        <v>7310000</v>
      </c>
    </row>
    <row r="10886" spans="1:2" x14ac:dyDescent="0.4">
      <c r="A10886" s="4">
        <v>1008000</v>
      </c>
      <c r="B10886">
        <v>7330000</v>
      </c>
    </row>
    <row r="10887" spans="1:2" x14ac:dyDescent="0.4">
      <c r="A10887" s="4">
        <v>1008000</v>
      </c>
      <c r="B10887">
        <v>7330100</v>
      </c>
    </row>
    <row r="10888" spans="1:2" x14ac:dyDescent="0.4">
      <c r="A10888" s="4">
        <v>1008000</v>
      </c>
      <c r="B10888">
        <v>7330200</v>
      </c>
    </row>
    <row r="10889" spans="1:2" x14ac:dyDescent="0.4">
      <c r="A10889" s="4">
        <v>1008000</v>
      </c>
      <c r="B10889">
        <v>7330300</v>
      </c>
    </row>
    <row r="10890" spans="1:2" x14ac:dyDescent="0.4">
      <c r="A10890" s="4">
        <v>1008000</v>
      </c>
      <c r="B10890">
        <v>7330400</v>
      </c>
    </row>
    <row r="10891" spans="1:2" x14ac:dyDescent="0.4">
      <c r="A10891" s="4">
        <v>1008000</v>
      </c>
      <c r="B10891">
        <v>7330500</v>
      </c>
    </row>
    <row r="10892" spans="1:2" x14ac:dyDescent="0.4">
      <c r="A10892" s="4">
        <v>1008000</v>
      </c>
      <c r="B10892">
        <v>7330600</v>
      </c>
    </row>
    <row r="10893" spans="1:2" x14ac:dyDescent="0.4">
      <c r="A10893" s="4">
        <v>1008000</v>
      </c>
      <c r="B10893">
        <v>7330700</v>
      </c>
    </row>
    <row r="10894" spans="1:2" x14ac:dyDescent="0.4">
      <c r="A10894" s="4">
        <v>1008000</v>
      </c>
      <c r="B10894">
        <v>7330800</v>
      </c>
    </row>
    <row r="10895" spans="1:2" x14ac:dyDescent="0.4">
      <c r="A10895" s="4">
        <v>1008000</v>
      </c>
      <c r="B10895">
        <v>7330900</v>
      </c>
    </row>
    <row r="10896" spans="1:2" x14ac:dyDescent="0.4">
      <c r="A10896" s="4">
        <v>1008000</v>
      </c>
      <c r="B10896">
        <v>7331000</v>
      </c>
    </row>
    <row r="10897" spans="1:2" x14ac:dyDescent="0.4">
      <c r="A10897" s="4">
        <v>1008000</v>
      </c>
      <c r="B10897">
        <v>7331100</v>
      </c>
    </row>
    <row r="10898" spans="1:2" x14ac:dyDescent="0.4">
      <c r="A10898" s="4">
        <v>1008000</v>
      </c>
      <c r="B10898">
        <v>7331200</v>
      </c>
    </row>
    <row r="10899" spans="1:2" x14ac:dyDescent="0.4">
      <c r="A10899" s="4">
        <v>1008000</v>
      </c>
      <c r="B10899">
        <v>7331300</v>
      </c>
    </row>
    <row r="10900" spans="1:2" x14ac:dyDescent="0.4">
      <c r="A10900" s="4">
        <v>1008000</v>
      </c>
      <c r="B10900">
        <v>7331400</v>
      </c>
    </row>
    <row r="10901" spans="1:2" x14ac:dyDescent="0.4">
      <c r="A10901" s="4">
        <v>1008000</v>
      </c>
      <c r="B10901">
        <v>7331500</v>
      </c>
    </row>
    <row r="10902" spans="1:2" x14ac:dyDescent="0.4">
      <c r="A10902" s="4">
        <v>1008000</v>
      </c>
      <c r="B10902">
        <v>7331700</v>
      </c>
    </row>
    <row r="10903" spans="1:2" x14ac:dyDescent="0.4">
      <c r="A10903" s="4">
        <v>1008000</v>
      </c>
      <c r="B10903">
        <v>7331800</v>
      </c>
    </row>
    <row r="10904" spans="1:2" x14ac:dyDescent="0.4">
      <c r="A10904" s="4">
        <v>1008000</v>
      </c>
      <c r="B10904">
        <v>7331900</v>
      </c>
    </row>
    <row r="10905" spans="1:2" x14ac:dyDescent="0.4">
      <c r="A10905" s="4">
        <v>1008000</v>
      </c>
      <c r="B10905">
        <v>7332000</v>
      </c>
    </row>
    <row r="10906" spans="1:2" x14ac:dyDescent="0.4">
      <c r="A10906" s="4">
        <v>1008000</v>
      </c>
      <c r="B10906">
        <v>7332100</v>
      </c>
    </row>
    <row r="10907" spans="1:2" x14ac:dyDescent="0.4">
      <c r="A10907" s="4">
        <v>1008000</v>
      </c>
      <c r="B10907">
        <v>7332200</v>
      </c>
    </row>
    <row r="10908" spans="1:2" x14ac:dyDescent="0.4">
      <c r="A10908" s="4">
        <v>1008000</v>
      </c>
      <c r="B10908">
        <v>7332300</v>
      </c>
    </row>
    <row r="10909" spans="1:2" x14ac:dyDescent="0.4">
      <c r="A10909" s="4">
        <v>1008000</v>
      </c>
      <c r="B10909">
        <v>7332400</v>
      </c>
    </row>
    <row r="10910" spans="1:2" x14ac:dyDescent="0.4">
      <c r="A10910" s="4">
        <v>1008000</v>
      </c>
      <c r="B10910">
        <v>7340000</v>
      </c>
    </row>
    <row r="10911" spans="1:2" x14ac:dyDescent="0.4">
      <c r="A10911" s="4">
        <v>1008000</v>
      </c>
      <c r="B10911">
        <v>7340100</v>
      </c>
    </row>
    <row r="10912" spans="1:2" x14ac:dyDescent="0.4">
      <c r="A10912" s="4">
        <v>1008000</v>
      </c>
      <c r="B10912">
        <v>7340200</v>
      </c>
    </row>
    <row r="10913" spans="1:2" x14ac:dyDescent="0.4">
      <c r="A10913" s="4">
        <v>1008000</v>
      </c>
      <c r="B10913">
        <v>7340300</v>
      </c>
    </row>
    <row r="10914" spans="1:2" x14ac:dyDescent="0.4">
      <c r="A10914" s="4">
        <v>1008000</v>
      </c>
      <c r="B10914">
        <v>7340400</v>
      </c>
    </row>
    <row r="10915" spans="1:2" x14ac:dyDescent="0.4">
      <c r="A10915" s="4">
        <v>1008000</v>
      </c>
      <c r="B10915">
        <v>7340500</v>
      </c>
    </row>
    <row r="10916" spans="1:2" x14ac:dyDescent="0.4">
      <c r="A10916" s="4">
        <v>1008000</v>
      </c>
      <c r="B10916">
        <v>7340600</v>
      </c>
    </row>
    <row r="10917" spans="1:2" x14ac:dyDescent="0.4">
      <c r="A10917" s="4">
        <v>1008000</v>
      </c>
      <c r="B10917">
        <v>7340700</v>
      </c>
    </row>
    <row r="10918" spans="1:2" x14ac:dyDescent="0.4">
      <c r="A10918" s="4">
        <v>1008000</v>
      </c>
      <c r="B10918">
        <v>7340800</v>
      </c>
    </row>
    <row r="10919" spans="1:2" x14ac:dyDescent="0.4">
      <c r="A10919" s="4">
        <v>1008000</v>
      </c>
      <c r="B10919">
        <v>7340900</v>
      </c>
    </row>
    <row r="10920" spans="1:2" x14ac:dyDescent="0.4">
      <c r="A10920" s="4">
        <v>1008000</v>
      </c>
      <c r="B10920">
        <v>7341000</v>
      </c>
    </row>
    <row r="10921" spans="1:2" x14ac:dyDescent="0.4">
      <c r="A10921" s="4">
        <v>1008000</v>
      </c>
      <c r="B10921">
        <v>7341100</v>
      </c>
    </row>
    <row r="10922" spans="1:2" x14ac:dyDescent="0.4">
      <c r="A10922" s="4">
        <v>1008000</v>
      </c>
      <c r="B10922">
        <v>7341200</v>
      </c>
    </row>
    <row r="10923" spans="1:2" x14ac:dyDescent="0.4">
      <c r="A10923" s="4">
        <v>1008000</v>
      </c>
      <c r="B10923">
        <v>7341300</v>
      </c>
    </row>
    <row r="10924" spans="1:2" x14ac:dyDescent="0.4">
      <c r="A10924" s="4">
        <v>1008000</v>
      </c>
      <c r="B10924">
        <v>7341400</v>
      </c>
    </row>
    <row r="10925" spans="1:2" x14ac:dyDescent="0.4">
      <c r="A10925" s="4">
        <v>1008000</v>
      </c>
      <c r="B10925">
        <v>7341500</v>
      </c>
    </row>
    <row r="10926" spans="1:2" x14ac:dyDescent="0.4">
      <c r="A10926" s="4">
        <v>1008000</v>
      </c>
      <c r="B10926">
        <v>7341700</v>
      </c>
    </row>
    <row r="10927" spans="1:2" x14ac:dyDescent="0.4">
      <c r="A10927" s="4">
        <v>1008000</v>
      </c>
      <c r="B10927">
        <v>7341800</v>
      </c>
    </row>
    <row r="10928" spans="1:2" x14ac:dyDescent="0.4">
      <c r="A10928" s="4">
        <v>1008000</v>
      </c>
      <c r="B10928">
        <v>7341900</v>
      </c>
    </row>
    <row r="10929" spans="1:2" x14ac:dyDescent="0.4">
      <c r="A10929" s="4">
        <v>1008000</v>
      </c>
      <c r="B10929">
        <v>7342000</v>
      </c>
    </row>
    <row r="10930" spans="1:2" x14ac:dyDescent="0.4">
      <c r="A10930" s="4">
        <v>1008000</v>
      </c>
      <c r="B10930">
        <v>7342100</v>
      </c>
    </row>
    <row r="10931" spans="1:2" x14ac:dyDescent="0.4">
      <c r="A10931" s="4">
        <v>1008000</v>
      </c>
      <c r="B10931">
        <v>7342200</v>
      </c>
    </row>
    <row r="10932" spans="1:2" x14ac:dyDescent="0.4">
      <c r="A10932" s="4">
        <v>1008000</v>
      </c>
      <c r="B10932">
        <v>7342300</v>
      </c>
    </row>
    <row r="10933" spans="1:2" x14ac:dyDescent="0.4">
      <c r="A10933" s="4">
        <v>1008000</v>
      </c>
      <c r="B10933">
        <v>7342400</v>
      </c>
    </row>
    <row r="10934" spans="1:2" x14ac:dyDescent="0.4">
      <c r="A10934" s="4">
        <v>1008000</v>
      </c>
      <c r="B10934">
        <v>7350000</v>
      </c>
    </row>
    <row r="10935" spans="1:2" x14ac:dyDescent="0.4">
      <c r="A10935" s="4">
        <v>1008000</v>
      </c>
      <c r="B10935">
        <v>7350100</v>
      </c>
    </row>
    <row r="10936" spans="1:2" x14ac:dyDescent="0.4">
      <c r="A10936" s="4">
        <v>1008000</v>
      </c>
      <c r="B10936">
        <v>7350200</v>
      </c>
    </row>
    <row r="10937" spans="1:2" x14ac:dyDescent="0.4">
      <c r="A10937" s="4">
        <v>1008000</v>
      </c>
      <c r="B10937">
        <v>7350300</v>
      </c>
    </row>
    <row r="10938" spans="1:2" x14ac:dyDescent="0.4">
      <c r="A10938" s="4">
        <v>1008000</v>
      </c>
      <c r="B10938">
        <v>7350400</v>
      </c>
    </row>
    <row r="10939" spans="1:2" x14ac:dyDescent="0.4">
      <c r="A10939" s="4">
        <v>1008000</v>
      </c>
      <c r="B10939">
        <v>7350500</v>
      </c>
    </row>
    <row r="10940" spans="1:2" x14ac:dyDescent="0.4">
      <c r="A10940" s="4">
        <v>1008000</v>
      </c>
      <c r="B10940">
        <v>7350600</v>
      </c>
    </row>
    <row r="10941" spans="1:2" x14ac:dyDescent="0.4">
      <c r="A10941" s="4">
        <v>1008000</v>
      </c>
      <c r="B10941">
        <v>7350700</v>
      </c>
    </row>
    <row r="10942" spans="1:2" x14ac:dyDescent="0.4">
      <c r="A10942" s="4">
        <v>1008000</v>
      </c>
      <c r="B10942">
        <v>7350800</v>
      </c>
    </row>
    <row r="10943" spans="1:2" x14ac:dyDescent="0.4">
      <c r="A10943" s="4">
        <v>1008000</v>
      </c>
      <c r="B10943">
        <v>7350900</v>
      </c>
    </row>
    <row r="10944" spans="1:2" x14ac:dyDescent="0.4">
      <c r="A10944" s="4">
        <v>1008000</v>
      </c>
      <c r="B10944">
        <v>7351000</v>
      </c>
    </row>
    <row r="10945" spans="1:2" x14ac:dyDescent="0.4">
      <c r="A10945" s="4">
        <v>1008000</v>
      </c>
      <c r="B10945">
        <v>7351100</v>
      </c>
    </row>
    <row r="10946" spans="1:2" x14ac:dyDescent="0.4">
      <c r="A10946" s="4">
        <v>1008000</v>
      </c>
      <c r="B10946">
        <v>7351200</v>
      </c>
    </row>
    <row r="10947" spans="1:2" x14ac:dyDescent="0.4">
      <c r="A10947" s="4">
        <v>1008000</v>
      </c>
      <c r="B10947">
        <v>7351300</v>
      </c>
    </row>
    <row r="10948" spans="1:2" x14ac:dyDescent="0.4">
      <c r="A10948" s="4">
        <v>1008000</v>
      </c>
      <c r="B10948">
        <v>7351400</v>
      </c>
    </row>
    <row r="10949" spans="1:2" x14ac:dyDescent="0.4">
      <c r="A10949" s="4">
        <v>1008000</v>
      </c>
      <c r="B10949">
        <v>7351500</v>
      </c>
    </row>
    <row r="10950" spans="1:2" x14ac:dyDescent="0.4">
      <c r="A10950" s="4">
        <v>1008000</v>
      </c>
      <c r="B10950">
        <v>7351700</v>
      </c>
    </row>
    <row r="10951" spans="1:2" x14ac:dyDescent="0.4">
      <c r="A10951" s="4">
        <v>1008000</v>
      </c>
      <c r="B10951">
        <v>7351800</v>
      </c>
    </row>
    <row r="10952" spans="1:2" x14ac:dyDescent="0.4">
      <c r="A10952" s="4">
        <v>1008000</v>
      </c>
      <c r="B10952">
        <v>7351900</v>
      </c>
    </row>
    <row r="10953" spans="1:2" x14ac:dyDescent="0.4">
      <c r="A10953" s="4">
        <v>1008000</v>
      </c>
      <c r="B10953">
        <v>7352000</v>
      </c>
    </row>
    <row r="10954" spans="1:2" x14ac:dyDescent="0.4">
      <c r="A10954" s="4">
        <v>1008000</v>
      </c>
      <c r="B10954">
        <v>7352100</v>
      </c>
    </row>
    <row r="10955" spans="1:2" x14ac:dyDescent="0.4">
      <c r="A10955" s="4">
        <v>1008000</v>
      </c>
      <c r="B10955">
        <v>7352200</v>
      </c>
    </row>
    <row r="10956" spans="1:2" x14ac:dyDescent="0.4">
      <c r="A10956" s="4">
        <v>1008000</v>
      </c>
      <c r="B10956">
        <v>7352300</v>
      </c>
    </row>
    <row r="10957" spans="1:2" x14ac:dyDescent="0.4">
      <c r="A10957" s="4">
        <v>1008000</v>
      </c>
      <c r="B10957">
        <v>7352400</v>
      </c>
    </row>
    <row r="10958" spans="1:2" x14ac:dyDescent="0.4">
      <c r="A10958" s="4">
        <v>1008000</v>
      </c>
      <c r="B10958">
        <v>7360600</v>
      </c>
    </row>
    <row r="10959" spans="1:2" x14ac:dyDescent="0.4">
      <c r="A10959" s="4">
        <v>1008000</v>
      </c>
      <c r="B10959">
        <v>7360900</v>
      </c>
    </row>
    <row r="10960" spans="1:2" x14ac:dyDescent="0.4">
      <c r="A10960" s="4">
        <v>1008000</v>
      </c>
      <c r="B10960">
        <v>7361200</v>
      </c>
    </row>
    <row r="10961" spans="1:2" x14ac:dyDescent="0.4">
      <c r="A10961" s="4">
        <v>1008000</v>
      </c>
      <c r="B10961">
        <v>7361300</v>
      </c>
    </row>
    <row r="10962" spans="1:2" x14ac:dyDescent="0.4">
      <c r="A10962" s="4">
        <v>1008000</v>
      </c>
      <c r="B10962">
        <v>7362100</v>
      </c>
    </row>
    <row r="10963" spans="1:2" x14ac:dyDescent="0.4">
      <c r="A10963" s="4">
        <v>1008000</v>
      </c>
      <c r="B10963">
        <v>7370300</v>
      </c>
    </row>
    <row r="10964" spans="1:2" x14ac:dyDescent="0.4">
      <c r="A10964" s="4">
        <v>1008000</v>
      </c>
      <c r="B10964">
        <v>7370400</v>
      </c>
    </row>
    <row r="10965" spans="1:2" x14ac:dyDescent="0.4">
      <c r="A10965" s="4">
        <v>1008000</v>
      </c>
      <c r="B10965">
        <v>7370600</v>
      </c>
    </row>
    <row r="10966" spans="1:2" x14ac:dyDescent="0.4">
      <c r="A10966" s="4">
        <v>1008000</v>
      </c>
      <c r="B10966">
        <v>7370900</v>
      </c>
    </row>
    <row r="10967" spans="1:2" x14ac:dyDescent="0.4">
      <c r="A10967" s="4">
        <v>1008000</v>
      </c>
      <c r="B10967">
        <v>7371500</v>
      </c>
    </row>
    <row r="10968" spans="1:2" x14ac:dyDescent="0.4">
      <c r="A10968" s="4">
        <v>1008000</v>
      </c>
      <c r="B10968">
        <v>7036200</v>
      </c>
    </row>
    <row r="10969" spans="1:2" x14ac:dyDescent="0.4">
      <c r="A10969" s="4">
        <v>1008000</v>
      </c>
      <c r="B10969">
        <v>7036300</v>
      </c>
    </row>
    <row r="10970" spans="1:2" x14ac:dyDescent="0.4">
      <c r="A10970" s="4">
        <v>1008000</v>
      </c>
      <c r="B10970">
        <v>7036400</v>
      </c>
    </row>
    <row r="10971" spans="1:2" x14ac:dyDescent="0.4">
      <c r="A10971" s="4">
        <v>1008000</v>
      </c>
      <c r="B10971">
        <v>7036500</v>
      </c>
    </row>
    <row r="10972" spans="1:2" x14ac:dyDescent="0.4">
      <c r="A10972" s="4">
        <v>1008000</v>
      </c>
      <c r="B10972">
        <v>7036800</v>
      </c>
    </row>
    <row r="10973" spans="1:2" x14ac:dyDescent="0.4">
      <c r="A10973" s="4">
        <v>1008000</v>
      </c>
      <c r="B10973">
        <v>7036900</v>
      </c>
    </row>
    <row r="10974" spans="1:2" x14ac:dyDescent="0.4">
      <c r="A10974" s="4">
        <v>1008000</v>
      </c>
      <c r="B10974">
        <v>7037000</v>
      </c>
    </row>
    <row r="10975" spans="1:2" x14ac:dyDescent="0.4">
      <c r="A10975" s="4">
        <v>1008000</v>
      </c>
      <c r="B10975">
        <v>7037300</v>
      </c>
    </row>
    <row r="10976" spans="1:2" x14ac:dyDescent="0.4">
      <c r="A10976" s="4">
        <v>1008000</v>
      </c>
      <c r="B10976">
        <v>6630000</v>
      </c>
    </row>
    <row r="10977" spans="1:2" x14ac:dyDescent="0.4">
      <c r="A10977" s="4">
        <v>1008000</v>
      </c>
      <c r="B10977">
        <v>6630100</v>
      </c>
    </row>
    <row r="10978" spans="1:2" x14ac:dyDescent="0.4">
      <c r="A10978" s="4">
        <v>1008000</v>
      </c>
      <c r="B10978">
        <v>6630200</v>
      </c>
    </row>
    <row r="10979" spans="1:2" x14ac:dyDescent="0.4">
      <c r="A10979" s="4">
        <v>1008000</v>
      </c>
      <c r="B10979">
        <v>6630300</v>
      </c>
    </row>
    <row r="10980" spans="1:2" x14ac:dyDescent="0.4">
      <c r="A10980" s="4">
        <v>1008000</v>
      </c>
      <c r="B10980">
        <v>6630400</v>
      </c>
    </row>
    <row r="10981" spans="1:2" x14ac:dyDescent="0.4">
      <c r="A10981" s="4">
        <v>1008000</v>
      </c>
      <c r="B10981">
        <v>6630500</v>
      </c>
    </row>
    <row r="10982" spans="1:2" x14ac:dyDescent="0.4">
      <c r="A10982" s="4">
        <v>1008000</v>
      </c>
      <c r="B10982">
        <v>6630600</v>
      </c>
    </row>
    <row r="10983" spans="1:2" x14ac:dyDescent="0.4">
      <c r="A10983" s="4">
        <v>1008000</v>
      </c>
      <c r="B10983">
        <v>6630700</v>
      </c>
    </row>
    <row r="10984" spans="1:2" x14ac:dyDescent="0.4">
      <c r="A10984" s="4">
        <v>1008000</v>
      </c>
      <c r="B10984">
        <v>6630800</v>
      </c>
    </row>
    <row r="10985" spans="1:2" x14ac:dyDescent="0.4">
      <c r="A10985" s="4">
        <v>1008000</v>
      </c>
      <c r="B10985">
        <v>6630900</v>
      </c>
    </row>
    <row r="10986" spans="1:2" x14ac:dyDescent="0.4">
      <c r="A10986" s="4">
        <v>1008000</v>
      </c>
      <c r="B10986">
        <v>6631000</v>
      </c>
    </row>
    <row r="10987" spans="1:2" x14ac:dyDescent="0.4">
      <c r="A10987" s="4">
        <v>1008000</v>
      </c>
      <c r="B10987">
        <v>6631100</v>
      </c>
    </row>
    <row r="10988" spans="1:2" x14ac:dyDescent="0.4">
      <c r="A10988" s="4">
        <v>1008000</v>
      </c>
      <c r="B10988">
        <v>6631200</v>
      </c>
    </row>
    <row r="10989" spans="1:2" x14ac:dyDescent="0.4">
      <c r="A10989" s="4">
        <v>1008000</v>
      </c>
      <c r="B10989">
        <v>6631300</v>
      </c>
    </row>
    <row r="10990" spans="1:2" x14ac:dyDescent="0.4">
      <c r="A10990" s="4">
        <v>1008000</v>
      </c>
      <c r="B10990">
        <v>6631400</v>
      </c>
    </row>
    <row r="10991" spans="1:2" x14ac:dyDescent="0.4">
      <c r="A10991" s="4">
        <v>1008000</v>
      </c>
      <c r="B10991">
        <v>6631500</v>
      </c>
    </row>
    <row r="10992" spans="1:2" x14ac:dyDescent="0.4">
      <c r="A10992" s="4">
        <v>1008000</v>
      </c>
      <c r="B10992">
        <v>6631600</v>
      </c>
    </row>
    <row r="10993" spans="1:2" x14ac:dyDescent="0.4">
      <c r="A10993" s="4">
        <v>1008000</v>
      </c>
      <c r="B10993">
        <v>6631700</v>
      </c>
    </row>
    <row r="10994" spans="1:2" x14ac:dyDescent="0.4">
      <c r="A10994" s="4">
        <v>1008000</v>
      </c>
      <c r="B10994">
        <v>6631800</v>
      </c>
    </row>
    <row r="10995" spans="1:2" x14ac:dyDescent="0.4">
      <c r="A10995" s="4">
        <v>1008000</v>
      </c>
      <c r="B10995">
        <v>6631900</v>
      </c>
    </row>
    <row r="10996" spans="1:2" x14ac:dyDescent="0.4">
      <c r="A10996" s="4">
        <v>1008000</v>
      </c>
      <c r="B10996">
        <v>6632000</v>
      </c>
    </row>
    <row r="10997" spans="1:2" x14ac:dyDescent="0.4">
      <c r="A10997" s="4">
        <v>1008000</v>
      </c>
      <c r="B10997">
        <v>6632100</v>
      </c>
    </row>
    <row r="10998" spans="1:2" x14ac:dyDescent="0.4">
      <c r="A10998" s="4">
        <v>1008000</v>
      </c>
      <c r="B10998">
        <v>6632200</v>
      </c>
    </row>
    <row r="10999" spans="1:2" x14ac:dyDescent="0.4">
      <c r="A10999" s="4">
        <v>1008000</v>
      </c>
      <c r="B10999">
        <v>6632300</v>
      </c>
    </row>
    <row r="11000" spans="1:2" x14ac:dyDescent="0.4">
      <c r="A11000" s="4">
        <v>1008000</v>
      </c>
      <c r="B11000">
        <v>6632400</v>
      </c>
    </row>
    <row r="11001" spans="1:2" x14ac:dyDescent="0.4">
      <c r="A11001" s="4">
        <v>1008000</v>
      </c>
      <c r="B11001">
        <v>6632500</v>
      </c>
    </row>
    <row r="11002" spans="1:2" x14ac:dyDescent="0.4">
      <c r="A11002" s="4">
        <v>1008000</v>
      </c>
      <c r="B11002">
        <v>6632600</v>
      </c>
    </row>
    <row r="11003" spans="1:2" x14ac:dyDescent="0.4">
      <c r="A11003" s="4">
        <v>1008000</v>
      </c>
      <c r="B11003">
        <v>6632700</v>
      </c>
    </row>
    <row r="11004" spans="1:2" x14ac:dyDescent="0.4">
      <c r="A11004" s="4">
        <v>1008000</v>
      </c>
      <c r="B11004">
        <v>6632800</v>
      </c>
    </row>
    <row r="11005" spans="1:2" x14ac:dyDescent="0.4">
      <c r="A11005" s="4">
        <v>1008000</v>
      </c>
      <c r="B11005">
        <v>6632900</v>
      </c>
    </row>
    <row r="11006" spans="1:2" x14ac:dyDescent="0.4">
      <c r="A11006" s="4">
        <v>1008000</v>
      </c>
      <c r="B11006">
        <v>6633000</v>
      </c>
    </row>
    <row r="11007" spans="1:2" x14ac:dyDescent="0.4">
      <c r="A11007" s="4">
        <v>1008000</v>
      </c>
      <c r="B11007">
        <v>6633100</v>
      </c>
    </row>
    <row r="11008" spans="1:2" x14ac:dyDescent="0.4">
      <c r="A11008" s="4">
        <v>1008000</v>
      </c>
      <c r="B11008">
        <v>6633200</v>
      </c>
    </row>
    <row r="11009" spans="1:2" x14ac:dyDescent="0.4">
      <c r="A11009" s="4">
        <v>1008000</v>
      </c>
      <c r="B11009">
        <v>6647200</v>
      </c>
    </row>
    <row r="11010" spans="1:2" x14ac:dyDescent="0.4">
      <c r="A11010" s="4">
        <v>1008000</v>
      </c>
      <c r="B11010">
        <v>6647300</v>
      </c>
    </row>
    <row r="11011" spans="1:2" x14ac:dyDescent="0.4">
      <c r="A11011" s="4">
        <v>1008000</v>
      </c>
      <c r="B11011">
        <v>6647400</v>
      </c>
    </row>
    <row r="11012" spans="1:2" x14ac:dyDescent="0.4">
      <c r="A11012" s="4">
        <v>1008000</v>
      </c>
      <c r="B11012">
        <v>6647500</v>
      </c>
    </row>
    <row r="11013" spans="1:2" x14ac:dyDescent="0.4">
      <c r="A11013" s="4">
        <v>1008000</v>
      </c>
      <c r="B11013">
        <v>6640000</v>
      </c>
    </row>
    <row r="11014" spans="1:2" x14ac:dyDescent="0.4">
      <c r="A11014" s="4">
        <v>1008000</v>
      </c>
      <c r="B11014">
        <v>6640100</v>
      </c>
    </row>
    <row r="11015" spans="1:2" x14ac:dyDescent="0.4">
      <c r="A11015" s="4">
        <v>1008000</v>
      </c>
      <c r="B11015">
        <v>6641000</v>
      </c>
    </row>
    <row r="11016" spans="1:2" x14ac:dyDescent="0.4">
      <c r="A11016" s="4">
        <v>1008000</v>
      </c>
      <c r="B11016">
        <v>6641100</v>
      </c>
    </row>
    <row r="11017" spans="1:2" x14ac:dyDescent="0.4">
      <c r="A11017" s="4">
        <v>1008000</v>
      </c>
      <c r="B11017">
        <v>6642000</v>
      </c>
    </row>
    <row r="11018" spans="1:2" x14ac:dyDescent="0.4">
      <c r="A11018" s="4">
        <v>1008000</v>
      </c>
      <c r="B11018">
        <v>6642100</v>
      </c>
    </row>
    <row r="11019" spans="1:2" x14ac:dyDescent="0.4">
      <c r="A11019" s="4">
        <v>1008000</v>
      </c>
      <c r="B11019">
        <v>6643000</v>
      </c>
    </row>
    <row r="11020" spans="1:2" x14ac:dyDescent="0.4">
      <c r="A11020" s="4">
        <v>1008000</v>
      </c>
      <c r="B11020">
        <v>6643100</v>
      </c>
    </row>
    <row r="11021" spans="1:2" x14ac:dyDescent="0.4">
      <c r="A11021" s="4">
        <v>1008000</v>
      </c>
      <c r="B11021">
        <v>6644000</v>
      </c>
    </row>
    <row r="11022" spans="1:2" x14ac:dyDescent="0.4">
      <c r="A11022" s="4">
        <v>1008000</v>
      </c>
      <c r="B11022">
        <v>6644100</v>
      </c>
    </row>
    <row r="11023" spans="1:2" x14ac:dyDescent="0.4">
      <c r="A11023" s="4">
        <v>1008000</v>
      </c>
      <c r="B11023">
        <v>6645000</v>
      </c>
    </row>
    <row r="11024" spans="1:2" x14ac:dyDescent="0.4">
      <c r="A11024" s="4">
        <v>1008000</v>
      </c>
      <c r="B11024">
        <v>6645100</v>
      </c>
    </row>
    <row r="11025" spans="1:2" x14ac:dyDescent="0.4">
      <c r="A11025" s="4">
        <v>1008000</v>
      </c>
      <c r="B11025">
        <v>6646000</v>
      </c>
    </row>
    <row r="11026" spans="1:2" x14ac:dyDescent="0.4">
      <c r="A11026" s="4">
        <v>1008000</v>
      </c>
      <c r="B11026">
        <v>6646100</v>
      </c>
    </row>
    <row r="11027" spans="1:2" x14ac:dyDescent="0.4">
      <c r="A11027" s="4">
        <v>1008000</v>
      </c>
      <c r="B11027">
        <v>6647000</v>
      </c>
    </row>
    <row r="11028" spans="1:2" x14ac:dyDescent="0.4">
      <c r="A11028" s="4">
        <v>1008000</v>
      </c>
      <c r="B11028">
        <v>6647100</v>
      </c>
    </row>
    <row r="11029" spans="1:2" x14ac:dyDescent="0.4">
      <c r="A11029" s="4">
        <v>1008001</v>
      </c>
      <c r="B11029">
        <v>7000000</v>
      </c>
    </row>
    <row r="11030" spans="1:2" x14ac:dyDescent="0.4">
      <c r="A11030" s="4">
        <v>1008001</v>
      </c>
      <c r="B11030">
        <v>7000001</v>
      </c>
    </row>
    <row r="11031" spans="1:2" x14ac:dyDescent="0.4">
      <c r="A11031" s="4">
        <v>1008001</v>
      </c>
      <c r="B11031">
        <v>7000002</v>
      </c>
    </row>
    <row r="11032" spans="1:2" x14ac:dyDescent="0.4">
      <c r="A11032" s="4">
        <v>1008001</v>
      </c>
      <c r="B11032">
        <v>7000100</v>
      </c>
    </row>
    <row r="11033" spans="1:2" x14ac:dyDescent="0.4">
      <c r="A11033" s="4">
        <v>1008001</v>
      </c>
      <c r="B11033">
        <v>7000101</v>
      </c>
    </row>
    <row r="11034" spans="1:2" x14ac:dyDescent="0.4">
      <c r="A11034" s="4">
        <v>1008001</v>
      </c>
      <c r="B11034">
        <v>7000102</v>
      </c>
    </row>
    <row r="11035" spans="1:2" x14ac:dyDescent="0.4">
      <c r="A11035" s="4">
        <v>1008001</v>
      </c>
      <c r="B11035">
        <v>7000200</v>
      </c>
    </row>
    <row r="11036" spans="1:2" x14ac:dyDescent="0.4">
      <c r="A11036" s="4">
        <v>1008001</v>
      </c>
      <c r="B11036">
        <v>7000201</v>
      </c>
    </row>
    <row r="11037" spans="1:2" x14ac:dyDescent="0.4">
      <c r="A11037" s="4">
        <v>1008001</v>
      </c>
      <c r="B11037">
        <v>7000202</v>
      </c>
    </row>
    <row r="11038" spans="1:2" x14ac:dyDescent="0.4">
      <c r="A11038" s="4">
        <v>1008001</v>
      </c>
      <c r="B11038">
        <v>7000300</v>
      </c>
    </row>
    <row r="11039" spans="1:2" x14ac:dyDescent="0.4">
      <c r="A11039" s="4">
        <v>1008001</v>
      </c>
      <c r="B11039">
        <v>7000301</v>
      </c>
    </row>
    <row r="11040" spans="1:2" x14ac:dyDescent="0.4">
      <c r="A11040" s="4">
        <v>1008001</v>
      </c>
      <c r="B11040">
        <v>7000302</v>
      </c>
    </row>
    <row r="11041" spans="1:2" x14ac:dyDescent="0.4">
      <c r="A11041" s="4">
        <v>1008001</v>
      </c>
      <c r="B11041">
        <v>7000400</v>
      </c>
    </row>
    <row r="11042" spans="1:2" x14ac:dyDescent="0.4">
      <c r="A11042" s="4">
        <v>1008001</v>
      </c>
      <c r="B11042">
        <v>7000401</v>
      </c>
    </row>
    <row r="11043" spans="1:2" x14ac:dyDescent="0.4">
      <c r="A11043" s="4">
        <v>1008001</v>
      </c>
      <c r="B11043">
        <v>7000402</v>
      </c>
    </row>
    <row r="11044" spans="1:2" x14ac:dyDescent="0.4">
      <c r="A11044" s="4">
        <v>1008001</v>
      </c>
      <c r="B11044">
        <v>7000500</v>
      </c>
    </row>
    <row r="11045" spans="1:2" x14ac:dyDescent="0.4">
      <c r="A11045" s="4">
        <v>1008001</v>
      </c>
      <c r="B11045">
        <v>7000501</v>
      </c>
    </row>
    <row r="11046" spans="1:2" x14ac:dyDescent="0.4">
      <c r="A11046" s="4">
        <v>1008001</v>
      </c>
      <c r="B11046">
        <v>7000502</v>
      </c>
    </row>
    <row r="11047" spans="1:2" x14ac:dyDescent="0.4">
      <c r="A11047" s="4">
        <v>1008001</v>
      </c>
      <c r="B11047">
        <v>7000600</v>
      </c>
    </row>
    <row r="11048" spans="1:2" x14ac:dyDescent="0.4">
      <c r="A11048" s="4">
        <v>1008001</v>
      </c>
      <c r="B11048">
        <v>7000601</v>
      </c>
    </row>
    <row r="11049" spans="1:2" x14ac:dyDescent="0.4">
      <c r="A11049" s="4">
        <v>1008001</v>
      </c>
      <c r="B11049">
        <v>7000602</v>
      </c>
    </row>
    <row r="11050" spans="1:2" x14ac:dyDescent="0.4">
      <c r="A11050" s="4">
        <v>1008001</v>
      </c>
      <c r="B11050">
        <v>7000700</v>
      </c>
    </row>
    <row r="11051" spans="1:2" x14ac:dyDescent="0.4">
      <c r="A11051" s="4">
        <v>1008001</v>
      </c>
      <c r="B11051">
        <v>7000701</v>
      </c>
    </row>
    <row r="11052" spans="1:2" x14ac:dyDescent="0.4">
      <c r="A11052" s="4">
        <v>1008001</v>
      </c>
      <c r="B11052">
        <v>7000702</v>
      </c>
    </row>
    <row r="11053" spans="1:2" x14ac:dyDescent="0.4">
      <c r="A11053" s="4">
        <v>1008001</v>
      </c>
      <c r="B11053">
        <v>7000800</v>
      </c>
    </row>
    <row r="11054" spans="1:2" x14ac:dyDescent="0.4">
      <c r="A11054" s="4">
        <v>1008001</v>
      </c>
      <c r="B11054">
        <v>7000801</v>
      </c>
    </row>
    <row r="11055" spans="1:2" x14ac:dyDescent="0.4">
      <c r="A11055" s="4">
        <v>1008001</v>
      </c>
      <c r="B11055">
        <v>7000802</v>
      </c>
    </row>
    <row r="11056" spans="1:2" x14ac:dyDescent="0.4">
      <c r="A11056" s="4">
        <v>1008001</v>
      </c>
      <c r="B11056">
        <v>7000900</v>
      </c>
    </row>
    <row r="11057" spans="1:2" x14ac:dyDescent="0.4">
      <c r="A11057" s="4">
        <v>1008001</v>
      </c>
      <c r="B11057">
        <v>7000901</v>
      </c>
    </row>
    <row r="11058" spans="1:2" x14ac:dyDescent="0.4">
      <c r="A11058" s="4">
        <v>1008001</v>
      </c>
      <c r="B11058">
        <v>7000902</v>
      </c>
    </row>
    <row r="11059" spans="1:2" x14ac:dyDescent="0.4">
      <c r="A11059" s="4">
        <v>1008001</v>
      </c>
      <c r="B11059">
        <v>7001000</v>
      </c>
    </row>
    <row r="11060" spans="1:2" x14ac:dyDescent="0.4">
      <c r="A11060" s="4">
        <v>1008001</v>
      </c>
      <c r="B11060">
        <v>7001001</v>
      </c>
    </row>
    <row r="11061" spans="1:2" x14ac:dyDescent="0.4">
      <c r="A11061" s="4">
        <v>1008001</v>
      </c>
      <c r="B11061">
        <v>7001002</v>
      </c>
    </row>
    <row r="11062" spans="1:2" x14ac:dyDescent="0.4">
      <c r="A11062" s="4">
        <v>1008001</v>
      </c>
      <c r="B11062">
        <v>7001400</v>
      </c>
    </row>
    <row r="11063" spans="1:2" x14ac:dyDescent="0.4">
      <c r="A11063" s="4">
        <v>1008001</v>
      </c>
      <c r="B11063">
        <v>7001401</v>
      </c>
    </row>
    <row r="11064" spans="1:2" x14ac:dyDescent="0.4">
      <c r="A11064" s="4">
        <v>1008001</v>
      </c>
      <c r="B11064">
        <v>7001402</v>
      </c>
    </row>
    <row r="11065" spans="1:2" x14ac:dyDescent="0.4">
      <c r="A11065" s="4">
        <v>1008001</v>
      </c>
      <c r="B11065">
        <v>7001500</v>
      </c>
    </row>
    <row r="11066" spans="1:2" x14ac:dyDescent="0.4">
      <c r="A11066" s="4">
        <v>1008001</v>
      </c>
      <c r="B11066">
        <v>7001501</v>
      </c>
    </row>
    <row r="11067" spans="1:2" x14ac:dyDescent="0.4">
      <c r="A11067" s="4">
        <v>1008001</v>
      </c>
      <c r="B11067">
        <v>7001502</v>
      </c>
    </row>
    <row r="11068" spans="1:2" x14ac:dyDescent="0.4">
      <c r="A11068" s="4">
        <v>1008001</v>
      </c>
      <c r="B11068">
        <v>7001600</v>
      </c>
    </row>
    <row r="11069" spans="1:2" x14ac:dyDescent="0.4">
      <c r="A11069" s="4">
        <v>1008001</v>
      </c>
      <c r="B11069">
        <v>7001601</v>
      </c>
    </row>
    <row r="11070" spans="1:2" x14ac:dyDescent="0.4">
      <c r="A11070" s="4">
        <v>1008001</v>
      </c>
      <c r="B11070">
        <v>7001602</v>
      </c>
    </row>
    <row r="11071" spans="1:2" x14ac:dyDescent="0.4">
      <c r="A11071" s="4">
        <v>1008001</v>
      </c>
      <c r="B11071">
        <v>7001700</v>
      </c>
    </row>
    <row r="11072" spans="1:2" x14ac:dyDescent="0.4">
      <c r="A11072" s="4">
        <v>1008001</v>
      </c>
      <c r="B11072">
        <v>7001701</v>
      </c>
    </row>
    <row r="11073" spans="1:2" x14ac:dyDescent="0.4">
      <c r="A11073" s="4">
        <v>1008001</v>
      </c>
      <c r="B11073">
        <v>7001702</v>
      </c>
    </row>
    <row r="11074" spans="1:2" x14ac:dyDescent="0.4">
      <c r="A11074" s="4">
        <v>1008001</v>
      </c>
      <c r="B11074">
        <v>7001800</v>
      </c>
    </row>
    <row r="11075" spans="1:2" x14ac:dyDescent="0.4">
      <c r="A11075" s="4">
        <v>1008001</v>
      </c>
      <c r="B11075">
        <v>7001801</v>
      </c>
    </row>
    <row r="11076" spans="1:2" x14ac:dyDescent="0.4">
      <c r="A11076" s="4">
        <v>1008001</v>
      </c>
      <c r="B11076">
        <v>7001802</v>
      </c>
    </row>
    <row r="11077" spans="1:2" x14ac:dyDescent="0.4">
      <c r="A11077" s="4">
        <v>1008001</v>
      </c>
      <c r="B11077">
        <v>7002600</v>
      </c>
    </row>
    <row r="11078" spans="1:2" x14ac:dyDescent="0.4">
      <c r="A11078" s="4">
        <v>1008001</v>
      </c>
      <c r="B11078">
        <v>7002700</v>
      </c>
    </row>
    <row r="11079" spans="1:2" x14ac:dyDescent="0.4">
      <c r="A11079" s="4">
        <v>1008001</v>
      </c>
      <c r="B11079">
        <v>7002800</v>
      </c>
    </row>
    <row r="11080" spans="1:2" x14ac:dyDescent="0.4">
      <c r="A11080" s="4">
        <v>1008001</v>
      </c>
      <c r="B11080">
        <v>7002900</v>
      </c>
    </row>
    <row r="11081" spans="1:2" x14ac:dyDescent="0.4">
      <c r="A11081" s="4">
        <v>1008001</v>
      </c>
      <c r="B11081">
        <v>7003000</v>
      </c>
    </row>
    <row r="11082" spans="1:2" x14ac:dyDescent="0.4">
      <c r="A11082" s="4">
        <v>1008001</v>
      </c>
      <c r="B11082">
        <v>7003100</v>
      </c>
    </row>
    <row r="11083" spans="1:2" x14ac:dyDescent="0.4">
      <c r="A11083" s="4">
        <v>1008001</v>
      </c>
      <c r="B11083">
        <v>7003200</v>
      </c>
    </row>
    <row r="11084" spans="1:2" x14ac:dyDescent="0.4">
      <c r="A11084" s="4">
        <v>1008001</v>
      </c>
      <c r="B11084">
        <v>7003300</v>
      </c>
    </row>
    <row r="11085" spans="1:2" x14ac:dyDescent="0.4">
      <c r="A11085" s="4">
        <v>1008001</v>
      </c>
      <c r="B11085">
        <v>7003400</v>
      </c>
    </row>
    <row r="11086" spans="1:2" x14ac:dyDescent="0.4">
      <c r="A11086" s="4">
        <v>1008001</v>
      </c>
      <c r="B11086">
        <v>7003500</v>
      </c>
    </row>
    <row r="11087" spans="1:2" x14ac:dyDescent="0.4">
      <c r="A11087" s="4">
        <v>1008001</v>
      </c>
      <c r="B11087">
        <v>7003600</v>
      </c>
    </row>
    <row r="11088" spans="1:2" x14ac:dyDescent="0.4">
      <c r="A11088" s="4">
        <v>1008001</v>
      </c>
      <c r="B11088">
        <v>7005600</v>
      </c>
    </row>
    <row r="11089" spans="1:2" x14ac:dyDescent="0.4">
      <c r="A11089" s="4">
        <v>1008001</v>
      </c>
      <c r="B11089">
        <v>7006000</v>
      </c>
    </row>
    <row r="11090" spans="1:2" x14ac:dyDescent="0.4">
      <c r="A11090" s="4">
        <v>1008001</v>
      </c>
      <c r="B11090">
        <v>7006100</v>
      </c>
    </row>
    <row r="11091" spans="1:2" x14ac:dyDescent="0.4">
      <c r="A11091" s="4">
        <v>1008001</v>
      </c>
      <c r="B11091">
        <v>7010200</v>
      </c>
    </row>
    <row r="11092" spans="1:2" x14ac:dyDescent="0.4">
      <c r="A11092" s="4">
        <v>1008001</v>
      </c>
      <c r="B11092">
        <v>7010500</v>
      </c>
    </row>
    <row r="11093" spans="1:2" x14ac:dyDescent="0.4">
      <c r="A11093" s="4">
        <v>1008001</v>
      </c>
      <c r="B11093">
        <v>7010700</v>
      </c>
    </row>
    <row r="11094" spans="1:2" x14ac:dyDescent="0.4">
      <c r="A11094" s="4">
        <v>1008001</v>
      </c>
      <c r="B11094">
        <v>7010900</v>
      </c>
    </row>
    <row r="11095" spans="1:2" x14ac:dyDescent="0.4">
      <c r="A11095" s="4">
        <v>1008001</v>
      </c>
      <c r="B11095">
        <v>7011000</v>
      </c>
    </row>
    <row r="11096" spans="1:2" x14ac:dyDescent="0.4">
      <c r="A11096" s="4">
        <v>1008001</v>
      </c>
      <c r="B11096">
        <v>7011200</v>
      </c>
    </row>
    <row r="11097" spans="1:2" x14ac:dyDescent="0.4">
      <c r="A11097" s="4">
        <v>1008001</v>
      </c>
      <c r="B11097">
        <v>7011600</v>
      </c>
    </row>
    <row r="11098" spans="1:2" x14ac:dyDescent="0.4">
      <c r="A11098" s="4">
        <v>1008001</v>
      </c>
      <c r="B11098">
        <v>7011700</v>
      </c>
    </row>
    <row r="11099" spans="1:2" x14ac:dyDescent="0.4">
      <c r="A11099" s="4">
        <v>1008001</v>
      </c>
      <c r="B11099">
        <v>7012000</v>
      </c>
    </row>
    <row r="11100" spans="1:2" x14ac:dyDescent="0.4">
      <c r="A11100" s="4">
        <v>1008001</v>
      </c>
      <c r="B11100">
        <v>7012200</v>
      </c>
    </row>
    <row r="11101" spans="1:2" x14ac:dyDescent="0.4">
      <c r="A11101" s="4">
        <v>1008001</v>
      </c>
      <c r="B11101">
        <v>7012300</v>
      </c>
    </row>
    <row r="11102" spans="1:2" x14ac:dyDescent="0.4">
      <c r="A11102" s="4">
        <v>1008001</v>
      </c>
      <c r="B11102">
        <v>7020000</v>
      </c>
    </row>
    <row r="11103" spans="1:2" x14ac:dyDescent="0.4">
      <c r="A11103" s="4">
        <v>1008001</v>
      </c>
      <c r="B11103">
        <v>7030000</v>
      </c>
    </row>
    <row r="11104" spans="1:2" x14ac:dyDescent="0.4">
      <c r="A11104" s="4">
        <v>1008001</v>
      </c>
      <c r="B11104">
        <v>7030200</v>
      </c>
    </row>
    <row r="11105" spans="1:2" x14ac:dyDescent="0.4">
      <c r="A11105" s="4">
        <v>1008001</v>
      </c>
      <c r="B11105">
        <v>7030600</v>
      </c>
    </row>
    <row r="11106" spans="1:2" x14ac:dyDescent="0.4">
      <c r="A11106" s="4">
        <v>1008001</v>
      </c>
      <c r="B11106">
        <v>7030700</v>
      </c>
    </row>
    <row r="11107" spans="1:2" x14ac:dyDescent="0.4">
      <c r="A11107" s="4">
        <v>1008001</v>
      </c>
      <c r="B11107">
        <v>7030800</v>
      </c>
    </row>
    <row r="11108" spans="1:2" x14ac:dyDescent="0.4">
      <c r="A11108" s="4">
        <v>1008001</v>
      </c>
      <c r="B11108">
        <v>7030900</v>
      </c>
    </row>
    <row r="11109" spans="1:2" x14ac:dyDescent="0.4">
      <c r="A11109" s="4">
        <v>1008001</v>
      </c>
      <c r="B11109">
        <v>7031200</v>
      </c>
    </row>
    <row r="11110" spans="1:2" x14ac:dyDescent="0.4">
      <c r="A11110" s="4">
        <v>1008001</v>
      </c>
      <c r="B11110">
        <v>7031300</v>
      </c>
    </row>
    <row r="11111" spans="1:2" x14ac:dyDescent="0.4">
      <c r="A11111" s="4">
        <v>1008001</v>
      </c>
      <c r="B11111">
        <v>7031800</v>
      </c>
    </row>
    <row r="11112" spans="1:2" x14ac:dyDescent="0.4">
      <c r="A11112" s="4">
        <v>1008001</v>
      </c>
      <c r="B11112">
        <v>7031900</v>
      </c>
    </row>
    <row r="11113" spans="1:2" x14ac:dyDescent="0.4">
      <c r="A11113" s="4">
        <v>1008001</v>
      </c>
      <c r="B11113">
        <v>7032200</v>
      </c>
    </row>
    <row r="11114" spans="1:2" x14ac:dyDescent="0.4">
      <c r="A11114" s="4">
        <v>1008001</v>
      </c>
      <c r="B11114">
        <v>7032400</v>
      </c>
    </row>
    <row r="11115" spans="1:2" x14ac:dyDescent="0.4">
      <c r="A11115" s="4">
        <v>1008001</v>
      </c>
      <c r="B11115">
        <v>7032700</v>
      </c>
    </row>
    <row r="11116" spans="1:2" x14ac:dyDescent="0.4">
      <c r="A11116" s="4">
        <v>1008001</v>
      </c>
      <c r="B11116">
        <v>7032800</v>
      </c>
    </row>
    <row r="11117" spans="1:2" x14ac:dyDescent="0.4">
      <c r="A11117" s="4">
        <v>1008001</v>
      </c>
      <c r="B11117">
        <v>7032900</v>
      </c>
    </row>
    <row r="11118" spans="1:2" x14ac:dyDescent="0.4">
      <c r="A11118" s="4">
        <v>1008001</v>
      </c>
      <c r="B11118">
        <v>7033200</v>
      </c>
    </row>
    <row r="11119" spans="1:2" x14ac:dyDescent="0.4">
      <c r="A11119" s="4">
        <v>1008001</v>
      </c>
      <c r="B11119">
        <v>7033400</v>
      </c>
    </row>
    <row r="11120" spans="1:2" x14ac:dyDescent="0.4">
      <c r="A11120" s="4">
        <v>1008001</v>
      </c>
      <c r="B11120">
        <v>7034100</v>
      </c>
    </row>
    <row r="11121" spans="1:2" x14ac:dyDescent="0.4">
      <c r="A11121" s="4">
        <v>1008001</v>
      </c>
      <c r="B11121">
        <v>7034400</v>
      </c>
    </row>
    <row r="11122" spans="1:2" x14ac:dyDescent="0.4">
      <c r="A11122" s="4">
        <v>1008001</v>
      </c>
      <c r="B11122">
        <v>7034500</v>
      </c>
    </row>
    <row r="11123" spans="1:2" x14ac:dyDescent="0.4">
      <c r="A11123" s="4">
        <v>1008001</v>
      </c>
      <c r="B11123">
        <v>7034600</v>
      </c>
    </row>
    <row r="11124" spans="1:2" x14ac:dyDescent="0.4">
      <c r="A11124" s="4">
        <v>1008001</v>
      </c>
      <c r="B11124">
        <v>7034700</v>
      </c>
    </row>
    <row r="11125" spans="1:2" x14ac:dyDescent="0.4">
      <c r="A11125" s="4">
        <v>1008001</v>
      </c>
      <c r="B11125">
        <v>7035100</v>
      </c>
    </row>
    <row r="11126" spans="1:2" x14ac:dyDescent="0.4">
      <c r="A11126" s="4">
        <v>1008001</v>
      </c>
      <c r="B11126">
        <v>7036100</v>
      </c>
    </row>
    <row r="11127" spans="1:2" x14ac:dyDescent="0.4">
      <c r="A11127" s="4">
        <v>1008001</v>
      </c>
      <c r="B11127">
        <v>7040000</v>
      </c>
    </row>
    <row r="11128" spans="1:2" x14ac:dyDescent="0.4">
      <c r="A11128" s="4">
        <v>1008001</v>
      </c>
      <c r="B11128">
        <v>7040100</v>
      </c>
    </row>
    <row r="11129" spans="1:2" x14ac:dyDescent="0.4">
      <c r="A11129" s="4">
        <v>1008001</v>
      </c>
      <c r="B11129">
        <v>7040200</v>
      </c>
    </row>
    <row r="11130" spans="1:2" x14ac:dyDescent="0.4">
      <c r="A11130" s="4">
        <v>1008001</v>
      </c>
      <c r="B11130">
        <v>7040300</v>
      </c>
    </row>
    <row r="11131" spans="1:2" x14ac:dyDescent="0.4">
      <c r="A11131" s="4">
        <v>1008001</v>
      </c>
      <c r="B11131">
        <v>7040400</v>
      </c>
    </row>
    <row r="11132" spans="1:2" x14ac:dyDescent="0.4">
      <c r="A11132" s="4">
        <v>1008001</v>
      </c>
      <c r="B11132">
        <v>7040500</v>
      </c>
    </row>
    <row r="11133" spans="1:2" x14ac:dyDescent="0.4">
      <c r="A11133" s="4">
        <v>1008001</v>
      </c>
      <c r="B11133">
        <v>7043000</v>
      </c>
    </row>
    <row r="11134" spans="1:2" x14ac:dyDescent="0.4">
      <c r="A11134" s="4">
        <v>1008001</v>
      </c>
      <c r="B11134">
        <v>7043100</v>
      </c>
    </row>
    <row r="11135" spans="1:2" x14ac:dyDescent="0.4">
      <c r="A11135" s="4">
        <v>1008001</v>
      </c>
      <c r="B11135">
        <v>7043200</v>
      </c>
    </row>
    <row r="11136" spans="1:2" x14ac:dyDescent="0.4">
      <c r="A11136" s="4">
        <v>1008001</v>
      </c>
      <c r="B11136">
        <v>7043300</v>
      </c>
    </row>
    <row r="11137" spans="1:2" x14ac:dyDescent="0.4">
      <c r="A11137" s="4">
        <v>1008001</v>
      </c>
      <c r="B11137">
        <v>7043400</v>
      </c>
    </row>
    <row r="11138" spans="1:2" x14ac:dyDescent="0.4">
      <c r="A11138" s="4">
        <v>1008001</v>
      </c>
      <c r="B11138">
        <v>7043500</v>
      </c>
    </row>
    <row r="11139" spans="1:2" x14ac:dyDescent="0.4">
      <c r="A11139" s="4">
        <v>1008001</v>
      </c>
      <c r="B11139">
        <v>7043600</v>
      </c>
    </row>
    <row r="11140" spans="1:2" x14ac:dyDescent="0.4">
      <c r="A11140" s="4">
        <v>1008001</v>
      </c>
      <c r="B11140">
        <v>7043700</v>
      </c>
    </row>
    <row r="11141" spans="1:2" x14ac:dyDescent="0.4">
      <c r="A11141" s="4">
        <v>1008001</v>
      </c>
      <c r="B11141">
        <v>7043800</v>
      </c>
    </row>
    <row r="11142" spans="1:2" x14ac:dyDescent="0.4">
      <c r="A11142" s="4">
        <v>1008001</v>
      </c>
      <c r="B11142">
        <v>7044000</v>
      </c>
    </row>
    <row r="11143" spans="1:2" x14ac:dyDescent="0.4">
      <c r="A11143" s="4">
        <v>1008001</v>
      </c>
      <c r="B11143">
        <v>7044100</v>
      </c>
    </row>
    <row r="11144" spans="1:2" x14ac:dyDescent="0.4">
      <c r="A11144" s="4">
        <v>1008001</v>
      </c>
      <c r="B11144">
        <v>7044200</v>
      </c>
    </row>
    <row r="11145" spans="1:2" x14ac:dyDescent="0.4">
      <c r="A11145" s="4">
        <v>1008001</v>
      </c>
      <c r="B11145">
        <v>7044300</v>
      </c>
    </row>
    <row r="11146" spans="1:2" x14ac:dyDescent="0.4">
      <c r="A11146" s="4">
        <v>1008001</v>
      </c>
      <c r="B11146">
        <v>7044400</v>
      </c>
    </row>
    <row r="11147" spans="1:2" x14ac:dyDescent="0.4">
      <c r="A11147" s="4">
        <v>1008001</v>
      </c>
      <c r="B11147">
        <v>7044500</v>
      </c>
    </row>
    <row r="11148" spans="1:2" x14ac:dyDescent="0.4">
      <c r="A11148" s="4">
        <v>1008001</v>
      </c>
      <c r="B11148">
        <v>7044600</v>
      </c>
    </row>
    <row r="11149" spans="1:2" x14ac:dyDescent="0.4">
      <c r="A11149" s="4">
        <v>1008001</v>
      </c>
      <c r="B11149">
        <v>7050000</v>
      </c>
    </row>
    <row r="11150" spans="1:2" x14ac:dyDescent="0.4">
      <c r="A11150" s="4">
        <v>1008001</v>
      </c>
      <c r="B11150">
        <v>7050100</v>
      </c>
    </row>
    <row r="11151" spans="1:2" x14ac:dyDescent="0.4">
      <c r="A11151" s="4">
        <v>1008001</v>
      </c>
      <c r="B11151">
        <v>7060000</v>
      </c>
    </row>
    <row r="11152" spans="1:2" x14ac:dyDescent="0.4">
      <c r="A11152" s="4">
        <v>1008001</v>
      </c>
      <c r="B11152">
        <v>7060100</v>
      </c>
    </row>
    <row r="11153" spans="1:2" x14ac:dyDescent="0.4">
      <c r="A11153" s="4">
        <v>1008001</v>
      </c>
      <c r="B11153">
        <v>7060200</v>
      </c>
    </row>
    <row r="11154" spans="1:2" x14ac:dyDescent="0.4">
      <c r="A11154" s="4">
        <v>1008001</v>
      </c>
      <c r="B11154">
        <v>7070000</v>
      </c>
    </row>
    <row r="11155" spans="1:2" x14ac:dyDescent="0.4">
      <c r="A11155" s="4">
        <v>1008001</v>
      </c>
      <c r="B11155">
        <v>7080000</v>
      </c>
    </row>
    <row r="11156" spans="1:2" x14ac:dyDescent="0.4">
      <c r="A11156" s="4">
        <v>1008001</v>
      </c>
      <c r="B11156">
        <v>7080100</v>
      </c>
    </row>
    <row r="11157" spans="1:2" x14ac:dyDescent="0.4">
      <c r="A11157" s="4">
        <v>1008001</v>
      </c>
      <c r="B11157">
        <v>7080200</v>
      </c>
    </row>
    <row r="11158" spans="1:2" x14ac:dyDescent="0.4">
      <c r="A11158" s="4">
        <v>1008001</v>
      </c>
      <c r="B11158">
        <v>7080300</v>
      </c>
    </row>
    <row r="11159" spans="1:2" x14ac:dyDescent="0.4">
      <c r="A11159" s="4">
        <v>1008001</v>
      </c>
      <c r="B11159">
        <v>7080400</v>
      </c>
    </row>
    <row r="11160" spans="1:2" x14ac:dyDescent="0.4">
      <c r="A11160" s="4">
        <v>1008001</v>
      </c>
      <c r="B11160">
        <v>7080500</v>
      </c>
    </row>
    <row r="11161" spans="1:2" x14ac:dyDescent="0.4">
      <c r="A11161" s="4">
        <v>1008001</v>
      </c>
      <c r="B11161">
        <v>7080600</v>
      </c>
    </row>
    <row r="11162" spans="1:2" x14ac:dyDescent="0.4">
      <c r="A11162" s="4">
        <v>1008001</v>
      </c>
      <c r="B11162">
        <v>7080700</v>
      </c>
    </row>
    <row r="11163" spans="1:2" x14ac:dyDescent="0.4">
      <c r="A11163" s="4">
        <v>1008001</v>
      </c>
      <c r="B11163">
        <v>7080800</v>
      </c>
    </row>
    <row r="11164" spans="1:2" x14ac:dyDescent="0.4">
      <c r="A11164" s="4">
        <v>1008001</v>
      </c>
      <c r="B11164">
        <v>7080900</v>
      </c>
    </row>
    <row r="11165" spans="1:2" x14ac:dyDescent="0.4">
      <c r="A11165" s="4">
        <v>1008001</v>
      </c>
      <c r="B11165">
        <v>7081000</v>
      </c>
    </row>
    <row r="11166" spans="1:2" x14ac:dyDescent="0.4">
      <c r="A11166" s="4">
        <v>1008001</v>
      </c>
      <c r="B11166">
        <v>7081100</v>
      </c>
    </row>
    <row r="11167" spans="1:2" x14ac:dyDescent="0.4">
      <c r="A11167" s="4">
        <v>1008001</v>
      </c>
      <c r="B11167">
        <v>7081200</v>
      </c>
    </row>
    <row r="11168" spans="1:2" x14ac:dyDescent="0.4">
      <c r="A11168" s="4">
        <v>1008001</v>
      </c>
      <c r="B11168">
        <v>7081300</v>
      </c>
    </row>
    <row r="11169" spans="1:2" x14ac:dyDescent="0.4">
      <c r="A11169" s="4">
        <v>1008001</v>
      </c>
      <c r="B11169">
        <v>7081400</v>
      </c>
    </row>
    <row r="11170" spans="1:2" x14ac:dyDescent="0.4">
      <c r="A11170" s="4">
        <v>1008001</v>
      </c>
      <c r="B11170">
        <v>7081500</v>
      </c>
    </row>
    <row r="11171" spans="1:2" x14ac:dyDescent="0.4">
      <c r="A11171" s="4">
        <v>1008001</v>
      </c>
      <c r="B11171">
        <v>7081700</v>
      </c>
    </row>
    <row r="11172" spans="1:2" x14ac:dyDescent="0.4">
      <c r="A11172" s="4">
        <v>1008001</v>
      </c>
      <c r="B11172">
        <v>7081800</v>
      </c>
    </row>
    <row r="11173" spans="1:2" x14ac:dyDescent="0.4">
      <c r="A11173" s="4">
        <v>1008001</v>
      </c>
      <c r="B11173">
        <v>7081900</v>
      </c>
    </row>
    <row r="11174" spans="1:2" x14ac:dyDescent="0.4">
      <c r="A11174" s="4">
        <v>1008001</v>
      </c>
      <c r="B11174">
        <v>7082000</v>
      </c>
    </row>
    <row r="11175" spans="1:2" x14ac:dyDescent="0.4">
      <c r="A11175" s="4">
        <v>1008001</v>
      </c>
      <c r="B11175">
        <v>7082100</v>
      </c>
    </row>
    <row r="11176" spans="1:2" x14ac:dyDescent="0.4">
      <c r="A11176" s="4">
        <v>1008001</v>
      </c>
      <c r="B11176">
        <v>7082200</v>
      </c>
    </row>
    <row r="11177" spans="1:2" x14ac:dyDescent="0.4">
      <c r="A11177" s="4">
        <v>1008001</v>
      </c>
      <c r="B11177">
        <v>7082300</v>
      </c>
    </row>
    <row r="11178" spans="1:2" x14ac:dyDescent="0.4">
      <c r="A11178" s="4">
        <v>1008001</v>
      </c>
      <c r="B11178">
        <v>7082400</v>
      </c>
    </row>
    <row r="11179" spans="1:2" x14ac:dyDescent="0.4">
      <c r="A11179" s="4">
        <v>1008001</v>
      </c>
      <c r="B11179">
        <v>7082500</v>
      </c>
    </row>
    <row r="11180" spans="1:2" x14ac:dyDescent="0.4">
      <c r="A11180" s="4">
        <v>1008001</v>
      </c>
      <c r="B11180">
        <v>7082600</v>
      </c>
    </row>
    <row r="11181" spans="1:2" x14ac:dyDescent="0.4">
      <c r="A11181" s="4">
        <v>1008001</v>
      </c>
      <c r="B11181">
        <v>7082700</v>
      </c>
    </row>
    <row r="11182" spans="1:2" x14ac:dyDescent="0.4">
      <c r="A11182" s="4">
        <v>1008001</v>
      </c>
      <c r="B11182">
        <v>7082800</v>
      </c>
    </row>
    <row r="11183" spans="1:2" x14ac:dyDescent="0.4">
      <c r="A11183" s="4">
        <v>1008001</v>
      </c>
      <c r="B11183">
        <v>7082900</v>
      </c>
    </row>
    <row r="11184" spans="1:2" x14ac:dyDescent="0.4">
      <c r="A11184" s="4">
        <v>1008001</v>
      </c>
      <c r="B11184">
        <v>7090000</v>
      </c>
    </row>
    <row r="11185" spans="1:2" x14ac:dyDescent="0.4">
      <c r="A11185" s="4">
        <v>1008001</v>
      </c>
      <c r="B11185">
        <v>7090100</v>
      </c>
    </row>
    <row r="11186" spans="1:2" x14ac:dyDescent="0.4">
      <c r="A11186" s="4">
        <v>1008001</v>
      </c>
      <c r="B11186">
        <v>7090300</v>
      </c>
    </row>
    <row r="11187" spans="1:2" x14ac:dyDescent="0.4">
      <c r="A11187" s="4">
        <v>1008001</v>
      </c>
      <c r="B11187">
        <v>7100100</v>
      </c>
    </row>
    <row r="11188" spans="1:2" x14ac:dyDescent="0.4">
      <c r="A11188" s="4">
        <v>1008001</v>
      </c>
      <c r="B11188">
        <v>7110000</v>
      </c>
    </row>
    <row r="11189" spans="1:2" x14ac:dyDescent="0.4">
      <c r="A11189" s="4">
        <v>1008001</v>
      </c>
      <c r="B11189">
        <v>7120000</v>
      </c>
    </row>
    <row r="11190" spans="1:2" x14ac:dyDescent="0.4">
      <c r="A11190" s="4">
        <v>1008001</v>
      </c>
      <c r="B11190">
        <v>7120100</v>
      </c>
    </row>
    <row r="11191" spans="1:2" x14ac:dyDescent="0.4">
      <c r="A11191" s="4">
        <v>1008001</v>
      </c>
      <c r="B11191">
        <v>7120200</v>
      </c>
    </row>
    <row r="11192" spans="1:2" x14ac:dyDescent="0.4">
      <c r="A11192" s="4">
        <v>1008001</v>
      </c>
      <c r="B11192">
        <v>7120300</v>
      </c>
    </row>
    <row r="11193" spans="1:2" x14ac:dyDescent="0.4">
      <c r="A11193" s="4">
        <v>1008001</v>
      </c>
      <c r="B11193">
        <v>7120400</v>
      </c>
    </row>
    <row r="11194" spans="1:2" x14ac:dyDescent="0.4">
      <c r="A11194" s="4">
        <v>1008001</v>
      </c>
      <c r="B11194">
        <v>7120500</v>
      </c>
    </row>
    <row r="11195" spans="1:2" x14ac:dyDescent="0.4">
      <c r="A11195" s="4">
        <v>1008001</v>
      </c>
      <c r="B11195">
        <v>7120600</v>
      </c>
    </row>
    <row r="11196" spans="1:2" x14ac:dyDescent="0.4">
      <c r="A11196" s="4">
        <v>1008001</v>
      </c>
      <c r="B11196">
        <v>7120900</v>
      </c>
    </row>
    <row r="11197" spans="1:2" x14ac:dyDescent="0.4">
      <c r="A11197" s="4">
        <v>1008001</v>
      </c>
      <c r="B11197">
        <v>7121000</v>
      </c>
    </row>
    <row r="11198" spans="1:2" x14ac:dyDescent="0.4">
      <c r="A11198" s="4">
        <v>1008001</v>
      </c>
      <c r="B11198">
        <v>7121100</v>
      </c>
    </row>
    <row r="11199" spans="1:2" x14ac:dyDescent="0.4">
      <c r="A11199" s="4">
        <v>1008001</v>
      </c>
      <c r="B11199">
        <v>7121200</v>
      </c>
    </row>
    <row r="11200" spans="1:2" x14ac:dyDescent="0.4">
      <c r="A11200" s="4">
        <v>1008001</v>
      </c>
      <c r="B11200">
        <v>7121300</v>
      </c>
    </row>
    <row r="11201" spans="1:2" x14ac:dyDescent="0.4">
      <c r="A11201" s="4">
        <v>1008001</v>
      </c>
      <c r="B11201">
        <v>7121400</v>
      </c>
    </row>
    <row r="11202" spans="1:2" x14ac:dyDescent="0.4">
      <c r="A11202" s="4">
        <v>1008001</v>
      </c>
      <c r="B11202">
        <v>7121500</v>
      </c>
    </row>
    <row r="11203" spans="1:2" x14ac:dyDescent="0.4">
      <c r="A11203" s="4">
        <v>1008001</v>
      </c>
      <c r="B11203">
        <v>7121600</v>
      </c>
    </row>
    <row r="11204" spans="1:2" x14ac:dyDescent="0.4">
      <c r="A11204" s="4">
        <v>1008001</v>
      </c>
      <c r="B11204">
        <v>7121700</v>
      </c>
    </row>
    <row r="11205" spans="1:2" x14ac:dyDescent="0.4">
      <c r="A11205" s="4">
        <v>1008001</v>
      </c>
      <c r="B11205">
        <v>7121800</v>
      </c>
    </row>
    <row r="11206" spans="1:2" x14ac:dyDescent="0.4">
      <c r="A11206" s="4">
        <v>1008001</v>
      </c>
      <c r="B11206">
        <v>7121900</v>
      </c>
    </row>
    <row r="11207" spans="1:2" x14ac:dyDescent="0.4">
      <c r="A11207" s="4">
        <v>1008001</v>
      </c>
      <c r="B11207">
        <v>7122000</v>
      </c>
    </row>
    <row r="11208" spans="1:2" x14ac:dyDescent="0.4">
      <c r="A11208" s="4">
        <v>1008001</v>
      </c>
      <c r="B11208">
        <v>7122100</v>
      </c>
    </row>
    <row r="11209" spans="1:2" x14ac:dyDescent="0.4">
      <c r="A11209" s="4">
        <v>1008001</v>
      </c>
      <c r="B11209">
        <v>7122200</v>
      </c>
    </row>
    <row r="11210" spans="1:2" x14ac:dyDescent="0.4">
      <c r="A11210" s="4">
        <v>1008001</v>
      </c>
      <c r="B11210">
        <v>7122300</v>
      </c>
    </row>
    <row r="11211" spans="1:2" x14ac:dyDescent="0.4">
      <c r="A11211" s="4">
        <v>1008001</v>
      </c>
      <c r="B11211">
        <v>7122400</v>
      </c>
    </row>
    <row r="11212" spans="1:2" x14ac:dyDescent="0.4">
      <c r="A11212" s="4">
        <v>1008001</v>
      </c>
      <c r="B11212">
        <v>7122500</v>
      </c>
    </row>
    <row r="11213" spans="1:2" x14ac:dyDescent="0.4">
      <c r="A11213" s="4">
        <v>1008001</v>
      </c>
      <c r="B11213">
        <v>7122600</v>
      </c>
    </row>
    <row r="11214" spans="1:2" x14ac:dyDescent="0.4">
      <c r="A11214" s="4">
        <v>1008001</v>
      </c>
      <c r="B11214">
        <v>7122700</v>
      </c>
    </row>
    <row r="11215" spans="1:2" x14ac:dyDescent="0.4">
      <c r="A11215" s="4">
        <v>1008001</v>
      </c>
      <c r="B11215">
        <v>7122800</v>
      </c>
    </row>
    <row r="11216" spans="1:2" x14ac:dyDescent="0.4">
      <c r="A11216" s="4">
        <v>1008001</v>
      </c>
      <c r="B11216">
        <v>7122900</v>
      </c>
    </row>
    <row r="11217" spans="1:2" x14ac:dyDescent="0.4">
      <c r="A11217" s="4">
        <v>1008001</v>
      </c>
      <c r="B11217">
        <v>7123000</v>
      </c>
    </row>
    <row r="11218" spans="1:2" x14ac:dyDescent="0.4">
      <c r="A11218" s="4">
        <v>1008001</v>
      </c>
      <c r="B11218">
        <v>7123100</v>
      </c>
    </row>
    <row r="11219" spans="1:2" x14ac:dyDescent="0.4">
      <c r="A11219" s="4">
        <v>1008001</v>
      </c>
      <c r="B11219">
        <v>7123200</v>
      </c>
    </row>
    <row r="11220" spans="1:2" x14ac:dyDescent="0.4">
      <c r="A11220" s="4">
        <v>1008001</v>
      </c>
      <c r="B11220">
        <v>7123300</v>
      </c>
    </row>
    <row r="11221" spans="1:2" x14ac:dyDescent="0.4">
      <c r="A11221" s="4">
        <v>1008001</v>
      </c>
      <c r="B11221">
        <v>7123400</v>
      </c>
    </row>
    <row r="11222" spans="1:2" x14ac:dyDescent="0.4">
      <c r="A11222" s="4">
        <v>1008001</v>
      </c>
      <c r="B11222">
        <v>7123500</v>
      </c>
    </row>
    <row r="11223" spans="1:2" x14ac:dyDescent="0.4">
      <c r="A11223" s="4">
        <v>1008001</v>
      </c>
      <c r="B11223">
        <v>7123600</v>
      </c>
    </row>
    <row r="11224" spans="1:2" x14ac:dyDescent="0.4">
      <c r="A11224" s="4">
        <v>1008001</v>
      </c>
      <c r="B11224">
        <v>7123700</v>
      </c>
    </row>
    <row r="11225" spans="1:2" x14ac:dyDescent="0.4">
      <c r="A11225" s="4">
        <v>1008001</v>
      </c>
      <c r="B11225">
        <v>7123800</v>
      </c>
    </row>
    <row r="11226" spans="1:2" x14ac:dyDescent="0.4">
      <c r="A11226" s="4">
        <v>1008001</v>
      </c>
      <c r="B11226">
        <v>7123900</v>
      </c>
    </row>
    <row r="11227" spans="1:2" x14ac:dyDescent="0.4">
      <c r="A11227" s="4">
        <v>1008001</v>
      </c>
      <c r="B11227">
        <v>7124000</v>
      </c>
    </row>
    <row r="11228" spans="1:2" x14ac:dyDescent="0.4">
      <c r="A11228" s="4">
        <v>1008001</v>
      </c>
      <c r="B11228">
        <v>7124100</v>
      </c>
    </row>
    <row r="11229" spans="1:2" x14ac:dyDescent="0.4">
      <c r="A11229" s="4">
        <v>1008001</v>
      </c>
      <c r="B11229">
        <v>7124300</v>
      </c>
    </row>
    <row r="11230" spans="1:2" x14ac:dyDescent="0.4">
      <c r="A11230" s="4">
        <v>1008001</v>
      </c>
      <c r="B11230">
        <v>7124400</v>
      </c>
    </row>
    <row r="11231" spans="1:2" x14ac:dyDescent="0.4">
      <c r="A11231" s="4">
        <v>1008001</v>
      </c>
      <c r="B11231">
        <v>7124500</v>
      </c>
    </row>
    <row r="11232" spans="1:2" x14ac:dyDescent="0.4">
      <c r="A11232" s="4">
        <v>1008001</v>
      </c>
      <c r="B11232">
        <v>7124600</v>
      </c>
    </row>
    <row r="11233" spans="1:2" x14ac:dyDescent="0.4">
      <c r="A11233" s="4">
        <v>1008001</v>
      </c>
      <c r="B11233">
        <v>7124700</v>
      </c>
    </row>
    <row r="11234" spans="1:2" x14ac:dyDescent="0.4">
      <c r="A11234" s="4">
        <v>1008001</v>
      </c>
      <c r="B11234">
        <v>7126000</v>
      </c>
    </row>
    <row r="11235" spans="1:2" x14ac:dyDescent="0.4">
      <c r="A11235" s="4">
        <v>1008001</v>
      </c>
      <c r="B11235">
        <v>7150000</v>
      </c>
    </row>
    <row r="11236" spans="1:2" x14ac:dyDescent="0.4">
      <c r="A11236" s="4">
        <v>1008001</v>
      </c>
      <c r="B11236">
        <v>7160000</v>
      </c>
    </row>
    <row r="11237" spans="1:2" x14ac:dyDescent="0.4">
      <c r="A11237" s="4">
        <v>1008001</v>
      </c>
      <c r="B11237">
        <v>7220000</v>
      </c>
    </row>
    <row r="11238" spans="1:2" x14ac:dyDescent="0.4">
      <c r="A11238" s="4">
        <v>1008001</v>
      </c>
      <c r="B11238">
        <v>7230000</v>
      </c>
    </row>
    <row r="11239" spans="1:2" x14ac:dyDescent="0.4">
      <c r="A11239" s="4">
        <v>1008001</v>
      </c>
      <c r="B11239">
        <v>7240000</v>
      </c>
    </row>
    <row r="11240" spans="1:2" x14ac:dyDescent="0.4">
      <c r="A11240" s="4">
        <v>1008001</v>
      </c>
      <c r="B11240">
        <v>7260000</v>
      </c>
    </row>
    <row r="11241" spans="1:2" x14ac:dyDescent="0.4">
      <c r="A11241" s="4">
        <v>1008001</v>
      </c>
      <c r="B11241">
        <v>7260300</v>
      </c>
    </row>
    <row r="11242" spans="1:2" x14ac:dyDescent="0.4">
      <c r="A11242" s="4">
        <v>1008001</v>
      </c>
      <c r="B11242">
        <v>7260400</v>
      </c>
    </row>
    <row r="11243" spans="1:2" x14ac:dyDescent="0.4">
      <c r="A11243" s="4">
        <v>1008001</v>
      </c>
      <c r="B11243">
        <v>7270100</v>
      </c>
    </row>
    <row r="11244" spans="1:2" x14ac:dyDescent="0.4">
      <c r="A11244" s="4">
        <v>1008001</v>
      </c>
      <c r="B11244">
        <v>7280000</v>
      </c>
    </row>
    <row r="11245" spans="1:2" x14ac:dyDescent="0.4">
      <c r="A11245" s="4">
        <v>1008001</v>
      </c>
      <c r="B11245">
        <v>7290000</v>
      </c>
    </row>
    <row r="11246" spans="1:2" x14ac:dyDescent="0.4">
      <c r="A11246" s="4">
        <v>1008001</v>
      </c>
      <c r="B11246">
        <v>7310000</v>
      </c>
    </row>
    <row r="11247" spans="1:2" x14ac:dyDescent="0.4">
      <c r="A11247" s="4">
        <v>1008001</v>
      </c>
      <c r="B11247">
        <v>7330000</v>
      </c>
    </row>
    <row r="11248" spans="1:2" x14ac:dyDescent="0.4">
      <c r="A11248" s="4">
        <v>1008001</v>
      </c>
      <c r="B11248">
        <v>7330100</v>
      </c>
    </row>
    <row r="11249" spans="1:2" x14ac:dyDescent="0.4">
      <c r="A11249" s="4">
        <v>1008001</v>
      </c>
      <c r="B11249">
        <v>7330200</v>
      </c>
    </row>
    <row r="11250" spans="1:2" x14ac:dyDescent="0.4">
      <c r="A11250" s="4">
        <v>1008001</v>
      </c>
      <c r="B11250">
        <v>7330300</v>
      </c>
    </row>
    <row r="11251" spans="1:2" x14ac:dyDescent="0.4">
      <c r="A11251" s="4">
        <v>1008001</v>
      </c>
      <c r="B11251">
        <v>7330400</v>
      </c>
    </row>
    <row r="11252" spans="1:2" x14ac:dyDescent="0.4">
      <c r="A11252" s="4">
        <v>1008001</v>
      </c>
      <c r="B11252">
        <v>7330500</v>
      </c>
    </row>
    <row r="11253" spans="1:2" x14ac:dyDescent="0.4">
      <c r="A11253" s="4">
        <v>1008001</v>
      </c>
      <c r="B11253">
        <v>7330600</v>
      </c>
    </row>
    <row r="11254" spans="1:2" x14ac:dyDescent="0.4">
      <c r="A11254" s="4">
        <v>1008001</v>
      </c>
      <c r="B11254">
        <v>7330700</v>
      </c>
    </row>
    <row r="11255" spans="1:2" x14ac:dyDescent="0.4">
      <c r="A11255" s="4">
        <v>1008001</v>
      </c>
      <c r="B11255">
        <v>7330800</v>
      </c>
    </row>
    <row r="11256" spans="1:2" x14ac:dyDescent="0.4">
      <c r="A11256" s="4">
        <v>1008001</v>
      </c>
      <c r="B11256">
        <v>7330900</v>
      </c>
    </row>
    <row r="11257" spans="1:2" x14ac:dyDescent="0.4">
      <c r="A11257" s="4">
        <v>1008001</v>
      </c>
      <c r="B11257">
        <v>7331000</v>
      </c>
    </row>
    <row r="11258" spans="1:2" x14ac:dyDescent="0.4">
      <c r="A11258" s="4">
        <v>1008001</v>
      </c>
      <c r="B11258">
        <v>7331100</v>
      </c>
    </row>
    <row r="11259" spans="1:2" x14ac:dyDescent="0.4">
      <c r="A11259" s="4">
        <v>1008001</v>
      </c>
      <c r="B11259">
        <v>7331200</v>
      </c>
    </row>
    <row r="11260" spans="1:2" x14ac:dyDescent="0.4">
      <c r="A11260" s="4">
        <v>1008001</v>
      </c>
      <c r="B11260">
        <v>7331300</v>
      </c>
    </row>
    <row r="11261" spans="1:2" x14ac:dyDescent="0.4">
      <c r="A11261" s="4">
        <v>1008001</v>
      </c>
      <c r="B11261">
        <v>7331400</v>
      </c>
    </row>
    <row r="11262" spans="1:2" x14ac:dyDescent="0.4">
      <c r="A11262" s="4">
        <v>1008001</v>
      </c>
      <c r="B11262">
        <v>7331500</v>
      </c>
    </row>
    <row r="11263" spans="1:2" x14ac:dyDescent="0.4">
      <c r="A11263" s="4">
        <v>1008001</v>
      </c>
      <c r="B11263">
        <v>7331700</v>
      </c>
    </row>
    <row r="11264" spans="1:2" x14ac:dyDescent="0.4">
      <c r="A11264" s="4">
        <v>1008001</v>
      </c>
      <c r="B11264">
        <v>7331800</v>
      </c>
    </row>
    <row r="11265" spans="1:2" x14ac:dyDescent="0.4">
      <c r="A11265" s="4">
        <v>1008001</v>
      </c>
      <c r="B11265">
        <v>7331900</v>
      </c>
    </row>
    <row r="11266" spans="1:2" x14ac:dyDescent="0.4">
      <c r="A11266" s="4">
        <v>1008001</v>
      </c>
      <c r="B11266">
        <v>7332000</v>
      </c>
    </row>
    <row r="11267" spans="1:2" x14ac:dyDescent="0.4">
      <c r="A11267" s="4">
        <v>1008001</v>
      </c>
      <c r="B11267">
        <v>7332100</v>
      </c>
    </row>
    <row r="11268" spans="1:2" x14ac:dyDescent="0.4">
      <c r="A11268" s="4">
        <v>1008001</v>
      </c>
      <c r="B11268">
        <v>7332200</v>
      </c>
    </row>
    <row r="11269" spans="1:2" x14ac:dyDescent="0.4">
      <c r="A11269" s="4">
        <v>1008001</v>
      </c>
      <c r="B11269">
        <v>7332300</v>
      </c>
    </row>
    <row r="11270" spans="1:2" x14ac:dyDescent="0.4">
      <c r="A11270" s="4">
        <v>1008001</v>
      </c>
      <c r="B11270">
        <v>7332400</v>
      </c>
    </row>
    <row r="11271" spans="1:2" x14ac:dyDescent="0.4">
      <c r="A11271" s="4">
        <v>1008001</v>
      </c>
      <c r="B11271">
        <v>7340000</v>
      </c>
    </row>
    <row r="11272" spans="1:2" x14ac:dyDescent="0.4">
      <c r="A11272" s="4">
        <v>1008001</v>
      </c>
      <c r="B11272">
        <v>7340100</v>
      </c>
    </row>
    <row r="11273" spans="1:2" x14ac:dyDescent="0.4">
      <c r="A11273" s="4">
        <v>1008001</v>
      </c>
      <c r="B11273">
        <v>7340200</v>
      </c>
    </row>
    <row r="11274" spans="1:2" x14ac:dyDescent="0.4">
      <c r="A11274" s="4">
        <v>1008001</v>
      </c>
      <c r="B11274">
        <v>7340300</v>
      </c>
    </row>
    <row r="11275" spans="1:2" x14ac:dyDescent="0.4">
      <c r="A11275" s="4">
        <v>1008001</v>
      </c>
      <c r="B11275">
        <v>7340400</v>
      </c>
    </row>
    <row r="11276" spans="1:2" x14ac:dyDescent="0.4">
      <c r="A11276" s="4">
        <v>1008001</v>
      </c>
      <c r="B11276">
        <v>7340500</v>
      </c>
    </row>
    <row r="11277" spans="1:2" x14ac:dyDescent="0.4">
      <c r="A11277" s="4">
        <v>1008001</v>
      </c>
      <c r="B11277">
        <v>7340600</v>
      </c>
    </row>
    <row r="11278" spans="1:2" x14ac:dyDescent="0.4">
      <c r="A11278" s="4">
        <v>1008001</v>
      </c>
      <c r="B11278">
        <v>7340700</v>
      </c>
    </row>
    <row r="11279" spans="1:2" x14ac:dyDescent="0.4">
      <c r="A11279" s="4">
        <v>1008001</v>
      </c>
      <c r="B11279">
        <v>7340800</v>
      </c>
    </row>
    <row r="11280" spans="1:2" x14ac:dyDescent="0.4">
      <c r="A11280" s="4">
        <v>1008001</v>
      </c>
      <c r="B11280">
        <v>7340900</v>
      </c>
    </row>
    <row r="11281" spans="1:2" x14ac:dyDescent="0.4">
      <c r="A11281" s="4">
        <v>1008001</v>
      </c>
      <c r="B11281">
        <v>7341000</v>
      </c>
    </row>
    <row r="11282" spans="1:2" x14ac:dyDescent="0.4">
      <c r="A11282" s="4">
        <v>1008001</v>
      </c>
      <c r="B11282">
        <v>7341100</v>
      </c>
    </row>
    <row r="11283" spans="1:2" x14ac:dyDescent="0.4">
      <c r="A11283" s="4">
        <v>1008001</v>
      </c>
      <c r="B11283">
        <v>7341200</v>
      </c>
    </row>
    <row r="11284" spans="1:2" x14ac:dyDescent="0.4">
      <c r="A11284" s="4">
        <v>1008001</v>
      </c>
      <c r="B11284">
        <v>7341300</v>
      </c>
    </row>
    <row r="11285" spans="1:2" x14ac:dyDescent="0.4">
      <c r="A11285" s="4">
        <v>1008001</v>
      </c>
      <c r="B11285">
        <v>7341400</v>
      </c>
    </row>
    <row r="11286" spans="1:2" x14ac:dyDescent="0.4">
      <c r="A11286" s="4">
        <v>1008001</v>
      </c>
      <c r="B11286">
        <v>7341500</v>
      </c>
    </row>
    <row r="11287" spans="1:2" x14ac:dyDescent="0.4">
      <c r="A11287" s="4">
        <v>1008001</v>
      </c>
      <c r="B11287">
        <v>7341700</v>
      </c>
    </row>
    <row r="11288" spans="1:2" x14ac:dyDescent="0.4">
      <c r="A11288" s="4">
        <v>1008001</v>
      </c>
      <c r="B11288">
        <v>7341800</v>
      </c>
    </row>
    <row r="11289" spans="1:2" x14ac:dyDescent="0.4">
      <c r="A11289" s="4">
        <v>1008001</v>
      </c>
      <c r="B11289">
        <v>7341900</v>
      </c>
    </row>
    <row r="11290" spans="1:2" x14ac:dyDescent="0.4">
      <c r="A11290" s="4">
        <v>1008001</v>
      </c>
      <c r="B11290">
        <v>7342000</v>
      </c>
    </row>
    <row r="11291" spans="1:2" x14ac:dyDescent="0.4">
      <c r="A11291" s="4">
        <v>1008001</v>
      </c>
      <c r="B11291">
        <v>7342100</v>
      </c>
    </row>
    <row r="11292" spans="1:2" x14ac:dyDescent="0.4">
      <c r="A11292" s="4">
        <v>1008001</v>
      </c>
      <c r="B11292">
        <v>7342200</v>
      </c>
    </row>
    <row r="11293" spans="1:2" x14ac:dyDescent="0.4">
      <c r="A11293" s="4">
        <v>1008001</v>
      </c>
      <c r="B11293">
        <v>7342300</v>
      </c>
    </row>
    <row r="11294" spans="1:2" x14ac:dyDescent="0.4">
      <c r="A11294" s="4">
        <v>1008001</v>
      </c>
      <c r="B11294">
        <v>7342400</v>
      </c>
    </row>
    <row r="11295" spans="1:2" x14ac:dyDescent="0.4">
      <c r="A11295" s="4">
        <v>1008001</v>
      </c>
      <c r="B11295">
        <v>7350000</v>
      </c>
    </row>
    <row r="11296" spans="1:2" x14ac:dyDescent="0.4">
      <c r="A11296" s="4">
        <v>1008001</v>
      </c>
      <c r="B11296">
        <v>7350100</v>
      </c>
    </row>
    <row r="11297" spans="1:2" x14ac:dyDescent="0.4">
      <c r="A11297" s="4">
        <v>1008001</v>
      </c>
      <c r="B11297">
        <v>7350200</v>
      </c>
    </row>
    <row r="11298" spans="1:2" x14ac:dyDescent="0.4">
      <c r="A11298" s="4">
        <v>1008001</v>
      </c>
      <c r="B11298">
        <v>7350300</v>
      </c>
    </row>
    <row r="11299" spans="1:2" x14ac:dyDescent="0.4">
      <c r="A11299" s="4">
        <v>1008001</v>
      </c>
      <c r="B11299">
        <v>7350400</v>
      </c>
    </row>
    <row r="11300" spans="1:2" x14ac:dyDescent="0.4">
      <c r="A11300" s="4">
        <v>1008001</v>
      </c>
      <c r="B11300">
        <v>7350500</v>
      </c>
    </row>
    <row r="11301" spans="1:2" x14ac:dyDescent="0.4">
      <c r="A11301" s="4">
        <v>1008001</v>
      </c>
      <c r="B11301">
        <v>7350600</v>
      </c>
    </row>
    <row r="11302" spans="1:2" x14ac:dyDescent="0.4">
      <c r="A11302" s="4">
        <v>1008001</v>
      </c>
      <c r="B11302">
        <v>7350700</v>
      </c>
    </row>
    <row r="11303" spans="1:2" x14ac:dyDescent="0.4">
      <c r="A11303" s="4">
        <v>1008001</v>
      </c>
      <c r="B11303">
        <v>7350800</v>
      </c>
    </row>
    <row r="11304" spans="1:2" x14ac:dyDescent="0.4">
      <c r="A11304" s="4">
        <v>1008001</v>
      </c>
      <c r="B11304">
        <v>7350900</v>
      </c>
    </row>
    <row r="11305" spans="1:2" x14ac:dyDescent="0.4">
      <c r="A11305" s="4">
        <v>1008001</v>
      </c>
      <c r="B11305">
        <v>7351000</v>
      </c>
    </row>
    <row r="11306" spans="1:2" x14ac:dyDescent="0.4">
      <c r="A11306" s="4">
        <v>1008001</v>
      </c>
      <c r="B11306">
        <v>7351100</v>
      </c>
    </row>
    <row r="11307" spans="1:2" x14ac:dyDescent="0.4">
      <c r="A11307" s="4">
        <v>1008001</v>
      </c>
      <c r="B11307">
        <v>7351200</v>
      </c>
    </row>
    <row r="11308" spans="1:2" x14ac:dyDescent="0.4">
      <c r="A11308" s="4">
        <v>1008001</v>
      </c>
      <c r="B11308">
        <v>7351300</v>
      </c>
    </row>
    <row r="11309" spans="1:2" x14ac:dyDescent="0.4">
      <c r="A11309" s="4">
        <v>1008001</v>
      </c>
      <c r="B11309">
        <v>7351400</v>
      </c>
    </row>
    <row r="11310" spans="1:2" x14ac:dyDescent="0.4">
      <c r="A11310" s="4">
        <v>1008001</v>
      </c>
      <c r="B11310">
        <v>7351500</v>
      </c>
    </row>
    <row r="11311" spans="1:2" x14ac:dyDescent="0.4">
      <c r="A11311" s="4">
        <v>1008001</v>
      </c>
      <c r="B11311">
        <v>7351700</v>
      </c>
    </row>
    <row r="11312" spans="1:2" x14ac:dyDescent="0.4">
      <c r="A11312" s="4">
        <v>1008001</v>
      </c>
      <c r="B11312">
        <v>7351800</v>
      </c>
    </row>
    <row r="11313" spans="1:2" x14ac:dyDescent="0.4">
      <c r="A11313" s="4">
        <v>1008001</v>
      </c>
      <c r="B11313">
        <v>7351900</v>
      </c>
    </row>
    <row r="11314" spans="1:2" x14ac:dyDescent="0.4">
      <c r="A11314" s="4">
        <v>1008001</v>
      </c>
      <c r="B11314">
        <v>7352000</v>
      </c>
    </row>
    <row r="11315" spans="1:2" x14ac:dyDescent="0.4">
      <c r="A11315" s="4">
        <v>1008001</v>
      </c>
      <c r="B11315">
        <v>7352100</v>
      </c>
    </row>
    <row r="11316" spans="1:2" x14ac:dyDescent="0.4">
      <c r="A11316" s="4">
        <v>1008001</v>
      </c>
      <c r="B11316">
        <v>7352200</v>
      </c>
    </row>
    <row r="11317" spans="1:2" x14ac:dyDescent="0.4">
      <c r="A11317" s="4">
        <v>1008001</v>
      </c>
      <c r="B11317">
        <v>7352300</v>
      </c>
    </row>
    <row r="11318" spans="1:2" x14ac:dyDescent="0.4">
      <c r="A11318" s="4">
        <v>1008001</v>
      </c>
      <c r="B11318">
        <v>7352400</v>
      </c>
    </row>
    <row r="11319" spans="1:2" x14ac:dyDescent="0.4">
      <c r="A11319" s="4">
        <v>1008001</v>
      </c>
      <c r="B11319">
        <v>7360600</v>
      </c>
    </row>
    <row r="11320" spans="1:2" x14ac:dyDescent="0.4">
      <c r="A11320" s="4">
        <v>1008001</v>
      </c>
      <c r="B11320">
        <v>7360900</v>
      </c>
    </row>
    <row r="11321" spans="1:2" x14ac:dyDescent="0.4">
      <c r="A11321" s="4">
        <v>1008001</v>
      </c>
      <c r="B11321">
        <v>7361200</v>
      </c>
    </row>
    <row r="11322" spans="1:2" x14ac:dyDescent="0.4">
      <c r="A11322" s="4">
        <v>1008001</v>
      </c>
      <c r="B11322">
        <v>7361300</v>
      </c>
    </row>
    <row r="11323" spans="1:2" x14ac:dyDescent="0.4">
      <c r="A11323" s="4">
        <v>1008001</v>
      </c>
      <c r="B11323">
        <v>7362100</v>
      </c>
    </row>
    <row r="11324" spans="1:2" x14ac:dyDescent="0.4">
      <c r="A11324" s="4">
        <v>1008001</v>
      </c>
      <c r="B11324">
        <v>7370300</v>
      </c>
    </row>
    <row r="11325" spans="1:2" x14ac:dyDescent="0.4">
      <c r="A11325" s="4">
        <v>1008001</v>
      </c>
      <c r="B11325">
        <v>7370400</v>
      </c>
    </row>
    <row r="11326" spans="1:2" x14ac:dyDescent="0.4">
      <c r="A11326" s="4">
        <v>1008001</v>
      </c>
      <c r="B11326">
        <v>7370600</v>
      </c>
    </row>
    <row r="11327" spans="1:2" x14ac:dyDescent="0.4">
      <c r="A11327" s="4">
        <v>1008001</v>
      </c>
      <c r="B11327">
        <v>7370900</v>
      </c>
    </row>
    <row r="11328" spans="1:2" x14ac:dyDescent="0.4">
      <c r="A11328" s="4">
        <v>1008001</v>
      </c>
      <c r="B11328">
        <v>7371500</v>
      </c>
    </row>
    <row r="11329" spans="1:2" x14ac:dyDescent="0.4">
      <c r="A11329" s="4">
        <v>1008001</v>
      </c>
      <c r="B11329">
        <v>7036200</v>
      </c>
    </row>
    <row r="11330" spans="1:2" x14ac:dyDescent="0.4">
      <c r="A11330" s="4">
        <v>1008001</v>
      </c>
      <c r="B11330">
        <v>7036300</v>
      </c>
    </row>
    <row r="11331" spans="1:2" x14ac:dyDescent="0.4">
      <c r="A11331" s="4">
        <v>1008001</v>
      </c>
      <c r="B11331">
        <v>7036400</v>
      </c>
    </row>
    <row r="11332" spans="1:2" x14ac:dyDescent="0.4">
      <c r="A11332" s="4">
        <v>1008001</v>
      </c>
      <c r="B11332">
        <v>7036500</v>
      </c>
    </row>
    <row r="11333" spans="1:2" x14ac:dyDescent="0.4">
      <c r="A11333" s="4">
        <v>1008001</v>
      </c>
      <c r="B11333">
        <v>7036800</v>
      </c>
    </row>
    <row r="11334" spans="1:2" x14ac:dyDescent="0.4">
      <c r="A11334" s="4">
        <v>1008001</v>
      </c>
      <c r="B11334">
        <v>7036900</v>
      </c>
    </row>
    <row r="11335" spans="1:2" x14ac:dyDescent="0.4">
      <c r="A11335" s="4">
        <v>1008001</v>
      </c>
      <c r="B11335">
        <v>7037000</v>
      </c>
    </row>
    <row r="11336" spans="1:2" x14ac:dyDescent="0.4">
      <c r="A11336" s="4">
        <v>1008001</v>
      </c>
      <c r="B11336">
        <v>7037300</v>
      </c>
    </row>
    <row r="11337" spans="1:2" x14ac:dyDescent="0.4">
      <c r="A11337" s="4">
        <v>1008001</v>
      </c>
      <c r="B11337">
        <v>6630000</v>
      </c>
    </row>
    <row r="11338" spans="1:2" x14ac:dyDescent="0.4">
      <c r="A11338" s="4">
        <v>1008001</v>
      </c>
      <c r="B11338">
        <v>6630100</v>
      </c>
    </row>
    <row r="11339" spans="1:2" x14ac:dyDescent="0.4">
      <c r="A11339" s="4">
        <v>1008001</v>
      </c>
      <c r="B11339">
        <v>6630200</v>
      </c>
    </row>
    <row r="11340" spans="1:2" x14ac:dyDescent="0.4">
      <c r="A11340" s="4">
        <v>1008001</v>
      </c>
      <c r="B11340">
        <v>6630300</v>
      </c>
    </row>
    <row r="11341" spans="1:2" x14ac:dyDescent="0.4">
      <c r="A11341" s="4">
        <v>1008001</v>
      </c>
      <c r="B11341">
        <v>6630400</v>
      </c>
    </row>
    <row r="11342" spans="1:2" x14ac:dyDescent="0.4">
      <c r="A11342" s="4">
        <v>1008001</v>
      </c>
      <c r="B11342">
        <v>6630500</v>
      </c>
    </row>
    <row r="11343" spans="1:2" x14ac:dyDescent="0.4">
      <c r="A11343" s="4">
        <v>1008001</v>
      </c>
      <c r="B11343">
        <v>6630600</v>
      </c>
    </row>
    <row r="11344" spans="1:2" x14ac:dyDescent="0.4">
      <c r="A11344" s="4">
        <v>1008001</v>
      </c>
      <c r="B11344">
        <v>6630700</v>
      </c>
    </row>
    <row r="11345" spans="1:2" x14ac:dyDescent="0.4">
      <c r="A11345" s="4">
        <v>1008001</v>
      </c>
      <c r="B11345">
        <v>6630800</v>
      </c>
    </row>
    <row r="11346" spans="1:2" x14ac:dyDescent="0.4">
      <c r="A11346" s="4">
        <v>1008001</v>
      </c>
      <c r="B11346">
        <v>6630900</v>
      </c>
    </row>
    <row r="11347" spans="1:2" x14ac:dyDescent="0.4">
      <c r="A11347" s="4">
        <v>1008001</v>
      </c>
      <c r="B11347">
        <v>6631000</v>
      </c>
    </row>
    <row r="11348" spans="1:2" x14ac:dyDescent="0.4">
      <c r="A11348" s="4">
        <v>1008001</v>
      </c>
      <c r="B11348">
        <v>6631100</v>
      </c>
    </row>
    <row r="11349" spans="1:2" x14ac:dyDescent="0.4">
      <c r="A11349" s="4">
        <v>1008001</v>
      </c>
      <c r="B11349">
        <v>6631200</v>
      </c>
    </row>
    <row r="11350" spans="1:2" x14ac:dyDescent="0.4">
      <c r="A11350" s="4">
        <v>1008001</v>
      </c>
      <c r="B11350">
        <v>6631300</v>
      </c>
    </row>
    <row r="11351" spans="1:2" x14ac:dyDescent="0.4">
      <c r="A11351" s="4">
        <v>1008001</v>
      </c>
      <c r="B11351">
        <v>6631400</v>
      </c>
    </row>
    <row r="11352" spans="1:2" x14ac:dyDescent="0.4">
      <c r="A11352" s="4">
        <v>1008001</v>
      </c>
      <c r="B11352">
        <v>6631500</v>
      </c>
    </row>
    <row r="11353" spans="1:2" x14ac:dyDescent="0.4">
      <c r="A11353" s="4">
        <v>1008001</v>
      </c>
      <c r="B11353">
        <v>6631600</v>
      </c>
    </row>
    <row r="11354" spans="1:2" x14ac:dyDescent="0.4">
      <c r="A11354" s="4">
        <v>1008001</v>
      </c>
      <c r="B11354">
        <v>6631700</v>
      </c>
    </row>
    <row r="11355" spans="1:2" x14ac:dyDescent="0.4">
      <c r="A11355" s="4">
        <v>1008001</v>
      </c>
      <c r="B11355">
        <v>6631800</v>
      </c>
    </row>
    <row r="11356" spans="1:2" x14ac:dyDescent="0.4">
      <c r="A11356" s="4">
        <v>1008001</v>
      </c>
      <c r="B11356">
        <v>6631900</v>
      </c>
    </row>
    <row r="11357" spans="1:2" x14ac:dyDescent="0.4">
      <c r="A11357" s="4">
        <v>1008001</v>
      </c>
      <c r="B11357">
        <v>6632000</v>
      </c>
    </row>
    <row r="11358" spans="1:2" x14ac:dyDescent="0.4">
      <c r="A11358" s="4">
        <v>1008001</v>
      </c>
      <c r="B11358">
        <v>6632100</v>
      </c>
    </row>
    <row r="11359" spans="1:2" x14ac:dyDescent="0.4">
      <c r="A11359" s="4">
        <v>1008001</v>
      </c>
      <c r="B11359">
        <v>6632200</v>
      </c>
    </row>
    <row r="11360" spans="1:2" x14ac:dyDescent="0.4">
      <c r="A11360" s="4">
        <v>1008001</v>
      </c>
      <c r="B11360">
        <v>6632300</v>
      </c>
    </row>
    <row r="11361" spans="1:2" x14ac:dyDescent="0.4">
      <c r="A11361" s="4">
        <v>1008001</v>
      </c>
      <c r="B11361">
        <v>6632400</v>
      </c>
    </row>
    <row r="11362" spans="1:2" x14ac:dyDescent="0.4">
      <c r="A11362" s="4">
        <v>1008001</v>
      </c>
      <c r="B11362">
        <v>6632500</v>
      </c>
    </row>
    <row r="11363" spans="1:2" x14ac:dyDescent="0.4">
      <c r="A11363" s="4">
        <v>1008001</v>
      </c>
      <c r="B11363">
        <v>6632600</v>
      </c>
    </row>
    <row r="11364" spans="1:2" x14ac:dyDescent="0.4">
      <c r="A11364" s="4">
        <v>1008001</v>
      </c>
      <c r="B11364">
        <v>6632700</v>
      </c>
    </row>
    <row r="11365" spans="1:2" x14ac:dyDescent="0.4">
      <c r="A11365" s="4">
        <v>1008001</v>
      </c>
      <c r="B11365">
        <v>6632800</v>
      </c>
    </row>
    <row r="11366" spans="1:2" x14ac:dyDescent="0.4">
      <c r="A11366" s="4">
        <v>1008001</v>
      </c>
      <c r="B11366">
        <v>6632900</v>
      </c>
    </row>
    <row r="11367" spans="1:2" x14ac:dyDescent="0.4">
      <c r="A11367" s="4">
        <v>1008001</v>
      </c>
      <c r="B11367">
        <v>6633000</v>
      </c>
    </row>
    <row r="11368" spans="1:2" x14ac:dyDescent="0.4">
      <c r="A11368" s="4">
        <v>1008001</v>
      </c>
      <c r="B11368">
        <v>6633100</v>
      </c>
    </row>
    <row r="11369" spans="1:2" x14ac:dyDescent="0.4">
      <c r="A11369" s="4">
        <v>1008001</v>
      </c>
      <c r="B11369">
        <v>6633200</v>
      </c>
    </row>
    <row r="11370" spans="1:2" x14ac:dyDescent="0.4">
      <c r="A11370" s="4">
        <v>1008001</v>
      </c>
      <c r="B11370">
        <v>6647200</v>
      </c>
    </row>
    <row r="11371" spans="1:2" x14ac:dyDescent="0.4">
      <c r="A11371" s="4">
        <v>1008001</v>
      </c>
      <c r="B11371">
        <v>6647300</v>
      </c>
    </row>
    <row r="11372" spans="1:2" x14ac:dyDescent="0.4">
      <c r="A11372" s="4">
        <v>1008001</v>
      </c>
      <c r="B11372">
        <v>6647400</v>
      </c>
    </row>
    <row r="11373" spans="1:2" x14ac:dyDescent="0.4">
      <c r="A11373" s="4">
        <v>1008001</v>
      </c>
      <c r="B11373">
        <v>6647500</v>
      </c>
    </row>
    <row r="11374" spans="1:2" x14ac:dyDescent="0.4">
      <c r="A11374" s="4">
        <v>1008001</v>
      </c>
      <c r="B11374">
        <v>6640000</v>
      </c>
    </row>
    <row r="11375" spans="1:2" x14ac:dyDescent="0.4">
      <c r="A11375" s="4">
        <v>1008001</v>
      </c>
      <c r="B11375">
        <v>6640100</v>
      </c>
    </row>
    <row r="11376" spans="1:2" x14ac:dyDescent="0.4">
      <c r="A11376" s="4">
        <v>1008001</v>
      </c>
      <c r="B11376">
        <v>6641000</v>
      </c>
    </row>
    <row r="11377" spans="1:2" x14ac:dyDescent="0.4">
      <c r="A11377" s="4">
        <v>1008001</v>
      </c>
      <c r="B11377">
        <v>6641100</v>
      </c>
    </row>
    <row r="11378" spans="1:2" x14ac:dyDescent="0.4">
      <c r="A11378" s="4">
        <v>1008001</v>
      </c>
      <c r="B11378">
        <v>6642000</v>
      </c>
    </row>
    <row r="11379" spans="1:2" x14ac:dyDescent="0.4">
      <c r="A11379" s="4">
        <v>1008001</v>
      </c>
      <c r="B11379">
        <v>6642100</v>
      </c>
    </row>
    <row r="11380" spans="1:2" x14ac:dyDescent="0.4">
      <c r="A11380" s="4">
        <v>1008001</v>
      </c>
      <c r="B11380">
        <v>6643000</v>
      </c>
    </row>
    <row r="11381" spans="1:2" x14ac:dyDescent="0.4">
      <c r="A11381" s="4">
        <v>1008001</v>
      </c>
      <c r="B11381">
        <v>6643100</v>
      </c>
    </row>
    <row r="11382" spans="1:2" x14ac:dyDescent="0.4">
      <c r="A11382" s="4">
        <v>1008001</v>
      </c>
      <c r="B11382">
        <v>6644000</v>
      </c>
    </row>
    <row r="11383" spans="1:2" x14ac:dyDescent="0.4">
      <c r="A11383" s="4">
        <v>1008001</v>
      </c>
      <c r="B11383">
        <v>6644100</v>
      </c>
    </row>
    <row r="11384" spans="1:2" x14ac:dyDescent="0.4">
      <c r="A11384" s="4">
        <v>1008001</v>
      </c>
      <c r="B11384">
        <v>6645000</v>
      </c>
    </row>
    <row r="11385" spans="1:2" x14ac:dyDescent="0.4">
      <c r="A11385" s="4">
        <v>1008001</v>
      </c>
      <c r="B11385">
        <v>6645100</v>
      </c>
    </row>
    <row r="11386" spans="1:2" x14ac:dyDescent="0.4">
      <c r="A11386" s="4">
        <v>1008001</v>
      </c>
      <c r="B11386">
        <v>6646000</v>
      </c>
    </row>
    <row r="11387" spans="1:2" x14ac:dyDescent="0.4">
      <c r="A11387" s="4">
        <v>1008001</v>
      </c>
      <c r="B11387">
        <v>6646100</v>
      </c>
    </row>
    <row r="11388" spans="1:2" x14ac:dyDescent="0.4">
      <c r="A11388" s="4">
        <v>1008001</v>
      </c>
      <c r="B11388">
        <v>6647000</v>
      </c>
    </row>
    <row r="11389" spans="1:2" x14ac:dyDescent="0.4">
      <c r="A11389" s="4">
        <v>1008001</v>
      </c>
      <c r="B11389">
        <v>6647100</v>
      </c>
    </row>
    <row r="11390" spans="1:2" x14ac:dyDescent="0.4">
      <c r="A11390" s="4">
        <v>1008002</v>
      </c>
      <c r="B11390">
        <v>7000000</v>
      </c>
    </row>
    <row r="11391" spans="1:2" x14ac:dyDescent="0.4">
      <c r="A11391" s="4">
        <v>1008002</v>
      </c>
      <c r="B11391">
        <v>7000001</v>
      </c>
    </row>
    <row r="11392" spans="1:2" x14ac:dyDescent="0.4">
      <c r="A11392" s="4">
        <v>1008002</v>
      </c>
      <c r="B11392">
        <v>7000002</v>
      </c>
    </row>
    <row r="11393" spans="1:2" x14ac:dyDescent="0.4">
      <c r="A11393" s="4">
        <v>1008002</v>
      </c>
      <c r="B11393">
        <v>7000100</v>
      </c>
    </row>
    <row r="11394" spans="1:2" x14ac:dyDescent="0.4">
      <c r="A11394" s="4">
        <v>1008002</v>
      </c>
      <c r="B11394">
        <v>7000101</v>
      </c>
    </row>
    <row r="11395" spans="1:2" x14ac:dyDescent="0.4">
      <c r="A11395" s="4">
        <v>1008002</v>
      </c>
      <c r="B11395">
        <v>7000102</v>
      </c>
    </row>
    <row r="11396" spans="1:2" x14ac:dyDescent="0.4">
      <c r="A11396" s="4">
        <v>1008002</v>
      </c>
      <c r="B11396">
        <v>7000200</v>
      </c>
    </row>
    <row r="11397" spans="1:2" x14ac:dyDescent="0.4">
      <c r="A11397" s="4">
        <v>1008002</v>
      </c>
      <c r="B11397">
        <v>7000201</v>
      </c>
    </row>
    <row r="11398" spans="1:2" x14ac:dyDescent="0.4">
      <c r="A11398" s="4">
        <v>1008002</v>
      </c>
      <c r="B11398">
        <v>7000202</v>
      </c>
    </row>
    <row r="11399" spans="1:2" x14ac:dyDescent="0.4">
      <c r="A11399" s="4">
        <v>1008002</v>
      </c>
      <c r="B11399">
        <v>7000300</v>
      </c>
    </row>
    <row r="11400" spans="1:2" x14ac:dyDescent="0.4">
      <c r="A11400" s="4">
        <v>1008002</v>
      </c>
      <c r="B11400">
        <v>7000301</v>
      </c>
    </row>
    <row r="11401" spans="1:2" x14ac:dyDescent="0.4">
      <c r="A11401" s="4">
        <v>1008002</v>
      </c>
      <c r="B11401">
        <v>7000302</v>
      </c>
    </row>
    <row r="11402" spans="1:2" x14ac:dyDescent="0.4">
      <c r="A11402" s="4">
        <v>1008002</v>
      </c>
      <c r="B11402">
        <v>7000400</v>
      </c>
    </row>
    <row r="11403" spans="1:2" x14ac:dyDescent="0.4">
      <c r="A11403" s="4">
        <v>1008002</v>
      </c>
      <c r="B11403">
        <v>7000401</v>
      </c>
    </row>
    <row r="11404" spans="1:2" x14ac:dyDescent="0.4">
      <c r="A11404" s="4">
        <v>1008002</v>
      </c>
      <c r="B11404">
        <v>7000402</v>
      </c>
    </row>
    <row r="11405" spans="1:2" x14ac:dyDescent="0.4">
      <c r="A11405" s="4">
        <v>1008002</v>
      </c>
      <c r="B11405">
        <v>7000500</v>
      </c>
    </row>
    <row r="11406" spans="1:2" x14ac:dyDescent="0.4">
      <c r="A11406" s="4">
        <v>1008002</v>
      </c>
      <c r="B11406">
        <v>7000501</v>
      </c>
    </row>
    <row r="11407" spans="1:2" x14ac:dyDescent="0.4">
      <c r="A11407" s="4">
        <v>1008002</v>
      </c>
      <c r="B11407">
        <v>7000502</v>
      </c>
    </row>
    <row r="11408" spans="1:2" x14ac:dyDescent="0.4">
      <c r="A11408" s="4">
        <v>1008002</v>
      </c>
      <c r="B11408">
        <v>7000600</v>
      </c>
    </row>
    <row r="11409" spans="1:2" x14ac:dyDescent="0.4">
      <c r="A11409" s="4">
        <v>1008002</v>
      </c>
      <c r="B11409">
        <v>7000601</v>
      </c>
    </row>
    <row r="11410" spans="1:2" x14ac:dyDescent="0.4">
      <c r="A11410" s="4">
        <v>1008002</v>
      </c>
      <c r="B11410">
        <v>7000602</v>
      </c>
    </row>
    <row r="11411" spans="1:2" x14ac:dyDescent="0.4">
      <c r="A11411" s="4">
        <v>1008002</v>
      </c>
      <c r="B11411">
        <v>7000700</v>
      </c>
    </row>
    <row r="11412" spans="1:2" x14ac:dyDescent="0.4">
      <c r="A11412" s="4">
        <v>1008002</v>
      </c>
      <c r="B11412">
        <v>7000701</v>
      </c>
    </row>
    <row r="11413" spans="1:2" x14ac:dyDescent="0.4">
      <c r="A11413" s="4">
        <v>1008002</v>
      </c>
      <c r="B11413">
        <v>7000702</v>
      </c>
    </row>
    <row r="11414" spans="1:2" x14ac:dyDescent="0.4">
      <c r="A11414" s="4">
        <v>1008002</v>
      </c>
      <c r="B11414">
        <v>7000800</v>
      </c>
    </row>
    <row r="11415" spans="1:2" x14ac:dyDescent="0.4">
      <c r="A11415" s="4">
        <v>1008002</v>
      </c>
      <c r="B11415">
        <v>7000801</v>
      </c>
    </row>
    <row r="11416" spans="1:2" x14ac:dyDescent="0.4">
      <c r="A11416" s="4">
        <v>1008002</v>
      </c>
      <c r="B11416">
        <v>7000802</v>
      </c>
    </row>
    <row r="11417" spans="1:2" x14ac:dyDescent="0.4">
      <c r="A11417" s="4">
        <v>1008002</v>
      </c>
      <c r="B11417">
        <v>7000900</v>
      </c>
    </row>
    <row r="11418" spans="1:2" x14ac:dyDescent="0.4">
      <c r="A11418" s="4">
        <v>1008002</v>
      </c>
      <c r="B11418">
        <v>7000901</v>
      </c>
    </row>
    <row r="11419" spans="1:2" x14ac:dyDescent="0.4">
      <c r="A11419" s="4">
        <v>1008002</v>
      </c>
      <c r="B11419">
        <v>7000902</v>
      </c>
    </row>
    <row r="11420" spans="1:2" x14ac:dyDescent="0.4">
      <c r="A11420" s="4">
        <v>1008002</v>
      </c>
      <c r="B11420">
        <v>7001000</v>
      </c>
    </row>
    <row r="11421" spans="1:2" x14ac:dyDescent="0.4">
      <c r="A11421" s="4">
        <v>1008002</v>
      </c>
      <c r="B11421">
        <v>7001001</v>
      </c>
    </row>
    <row r="11422" spans="1:2" x14ac:dyDescent="0.4">
      <c r="A11422" s="4">
        <v>1008002</v>
      </c>
      <c r="B11422">
        <v>7001002</v>
      </c>
    </row>
    <row r="11423" spans="1:2" x14ac:dyDescent="0.4">
      <c r="A11423" s="4">
        <v>1008002</v>
      </c>
      <c r="B11423">
        <v>7001400</v>
      </c>
    </row>
    <row r="11424" spans="1:2" x14ac:dyDescent="0.4">
      <c r="A11424" s="4">
        <v>1008002</v>
      </c>
      <c r="B11424">
        <v>7001401</v>
      </c>
    </row>
    <row r="11425" spans="1:2" x14ac:dyDescent="0.4">
      <c r="A11425" s="4">
        <v>1008002</v>
      </c>
      <c r="B11425">
        <v>7001402</v>
      </c>
    </row>
    <row r="11426" spans="1:2" x14ac:dyDescent="0.4">
      <c r="A11426" s="4">
        <v>1008002</v>
      </c>
      <c r="B11426">
        <v>7001500</v>
      </c>
    </row>
    <row r="11427" spans="1:2" x14ac:dyDescent="0.4">
      <c r="A11427" s="4">
        <v>1008002</v>
      </c>
      <c r="B11427">
        <v>7001501</v>
      </c>
    </row>
    <row r="11428" spans="1:2" x14ac:dyDescent="0.4">
      <c r="A11428" s="4">
        <v>1008002</v>
      </c>
      <c r="B11428">
        <v>7001502</v>
      </c>
    </row>
    <row r="11429" spans="1:2" x14ac:dyDescent="0.4">
      <c r="A11429" s="4">
        <v>1008002</v>
      </c>
      <c r="B11429">
        <v>7001600</v>
      </c>
    </row>
    <row r="11430" spans="1:2" x14ac:dyDescent="0.4">
      <c r="A11430" s="4">
        <v>1008002</v>
      </c>
      <c r="B11430">
        <v>7001601</v>
      </c>
    </row>
    <row r="11431" spans="1:2" x14ac:dyDescent="0.4">
      <c r="A11431" s="4">
        <v>1008002</v>
      </c>
      <c r="B11431">
        <v>7001602</v>
      </c>
    </row>
    <row r="11432" spans="1:2" x14ac:dyDescent="0.4">
      <c r="A11432" s="4">
        <v>1008002</v>
      </c>
      <c r="B11432">
        <v>7001700</v>
      </c>
    </row>
    <row r="11433" spans="1:2" x14ac:dyDescent="0.4">
      <c r="A11433" s="4">
        <v>1008002</v>
      </c>
      <c r="B11433">
        <v>7001701</v>
      </c>
    </row>
    <row r="11434" spans="1:2" x14ac:dyDescent="0.4">
      <c r="A11434" s="4">
        <v>1008002</v>
      </c>
      <c r="B11434">
        <v>7001702</v>
      </c>
    </row>
    <row r="11435" spans="1:2" x14ac:dyDescent="0.4">
      <c r="A11435" s="4">
        <v>1008002</v>
      </c>
      <c r="B11435">
        <v>7001800</v>
      </c>
    </row>
    <row r="11436" spans="1:2" x14ac:dyDescent="0.4">
      <c r="A11436" s="4">
        <v>1008002</v>
      </c>
      <c r="B11436">
        <v>7001801</v>
      </c>
    </row>
    <row r="11437" spans="1:2" x14ac:dyDescent="0.4">
      <c r="A11437" s="4">
        <v>1008002</v>
      </c>
      <c r="B11437">
        <v>7001802</v>
      </c>
    </row>
    <row r="11438" spans="1:2" x14ac:dyDescent="0.4">
      <c r="A11438" s="4">
        <v>1008002</v>
      </c>
      <c r="B11438">
        <v>7002600</v>
      </c>
    </row>
    <row r="11439" spans="1:2" x14ac:dyDescent="0.4">
      <c r="A11439" s="4">
        <v>1008002</v>
      </c>
      <c r="B11439">
        <v>7002700</v>
      </c>
    </row>
    <row r="11440" spans="1:2" x14ac:dyDescent="0.4">
      <c r="A11440" s="4">
        <v>1008002</v>
      </c>
      <c r="B11440">
        <v>7002800</v>
      </c>
    </row>
    <row r="11441" spans="1:2" x14ac:dyDescent="0.4">
      <c r="A11441" s="4">
        <v>1008002</v>
      </c>
      <c r="B11441">
        <v>7002900</v>
      </c>
    </row>
    <row r="11442" spans="1:2" x14ac:dyDescent="0.4">
      <c r="A11442" s="4">
        <v>1008002</v>
      </c>
      <c r="B11442">
        <v>7003000</v>
      </c>
    </row>
    <row r="11443" spans="1:2" x14ac:dyDescent="0.4">
      <c r="A11443" s="4">
        <v>1008002</v>
      </c>
      <c r="B11443">
        <v>7003100</v>
      </c>
    </row>
    <row r="11444" spans="1:2" x14ac:dyDescent="0.4">
      <c r="A11444" s="4">
        <v>1008002</v>
      </c>
      <c r="B11444">
        <v>7003200</v>
      </c>
    </row>
    <row r="11445" spans="1:2" x14ac:dyDescent="0.4">
      <c r="A11445" s="4">
        <v>1008002</v>
      </c>
      <c r="B11445">
        <v>7003300</v>
      </c>
    </row>
    <row r="11446" spans="1:2" x14ac:dyDescent="0.4">
      <c r="A11446" s="4">
        <v>1008002</v>
      </c>
      <c r="B11446">
        <v>7003400</v>
      </c>
    </row>
    <row r="11447" spans="1:2" x14ac:dyDescent="0.4">
      <c r="A11447" s="4">
        <v>1008002</v>
      </c>
      <c r="B11447">
        <v>7003500</v>
      </c>
    </row>
    <row r="11448" spans="1:2" x14ac:dyDescent="0.4">
      <c r="A11448" s="4">
        <v>1008002</v>
      </c>
      <c r="B11448">
        <v>7003600</v>
      </c>
    </row>
    <row r="11449" spans="1:2" x14ac:dyDescent="0.4">
      <c r="A11449" s="4">
        <v>1008002</v>
      </c>
      <c r="B11449">
        <v>7005600</v>
      </c>
    </row>
    <row r="11450" spans="1:2" x14ac:dyDescent="0.4">
      <c r="A11450" s="4">
        <v>1008002</v>
      </c>
      <c r="B11450">
        <v>7006000</v>
      </c>
    </row>
    <row r="11451" spans="1:2" x14ac:dyDescent="0.4">
      <c r="A11451" s="4">
        <v>1008002</v>
      </c>
      <c r="B11451">
        <v>7006100</v>
      </c>
    </row>
    <row r="11452" spans="1:2" x14ac:dyDescent="0.4">
      <c r="A11452" s="4">
        <v>1008002</v>
      </c>
      <c r="B11452">
        <v>7010200</v>
      </c>
    </row>
    <row r="11453" spans="1:2" x14ac:dyDescent="0.4">
      <c r="A11453" s="4">
        <v>1008002</v>
      </c>
      <c r="B11453">
        <v>7010500</v>
      </c>
    </row>
    <row r="11454" spans="1:2" x14ac:dyDescent="0.4">
      <c r="A11454" s="4">
        <v>1008002</v>
      </c>
      <c r="B11454">
        <v>7010700</v>
      </c>
    </row>
    <row r="11455" spans="1:2" x14ac:dyDescent="0.4">
      <c r="A11455" s="4">
        <v>1008002</v>
      </c>
      <c r="B11455">
        <v>7010900</v>
      </c>
    </row>
    <row r="11456" spans="1:2" x14ac:dyDescent="0.4">
      <c r="A11456" s="4">
        <v>1008002</v>
      </c>
      <c r="B11456">
        <v>7011000</v>
      </c>
    </row>
    <row r="11457" spans="1:2" x14ac:dyDescent="0.4">
      <c r="A11457" s="4">
        <v>1008002</v>
      </c>
      <c r="B11457">
        <v>7011200</v>
      </c>
    </row>
    <row r="11458" spans="1:2" x14ac:dyDescent="0.4">
      <c r="A11458" s="4">
        <v>1008002</v>
      </c>
      <c r="B11458">
        <v>7011600</v>
      </c>
    </row>
    <row r="11459" spans="1:2" x14ac:dyDescent="0.4">
      <c r="A11459" s="4">
        <v>1008002</v>
      </c>
      <c r="B11459">
        <v>7011700</v>
      </c>
    </row>
    <row r="11460" spans="1:2" x14ac:dyDescent="0.4">
      <c r="A11460" s="4">
        <v>1008002</v>
      </c>
      <c r="B11460">
        <v>7012000</v>
      </c>
    </row>
    <row r="11461" spans="1:2" x14ac:dyDescent="0.4">
      <c r="A11461" s="4">
        <v>1008002</v>
      </c>
      <c r="B11461">
        <v>7012200</v>
      </c>
    </row>
    <row r="11462" spans="1:2" x14ac:dyDescent="0.4">
      <c r="A11462" s="4">
        <v>1008002</v>
      </c>
      <c r="B11462">
        <v>7012300</v>
      </c>
    </row>
    <row r="11463" spans="1:2" x14ac:dyDescent="0.4">
      <c r="A11463" s="4">
        <v>1008002</v>
      </c>
      <c r="B11463">
        <v>7020000</v>
      </c>
    </row>
    <row r="11464" spans="1:2" x14ac:dyDescent="0.4">
      <c r="A11464" s="4">
        <v>1008002</v>
      </c>
      <c r="B11464">
        <v>7030000</v>
      </c>
    </row>
    <row r="11465" spans="1:2" x14ac:dyDescent="0.4">
      <c r="A11465" s="4">
        <v>1008002</v>
      </c>
      <c r="B11465">
        <v>7030200</v>
      </c>
    </row>
    <row r="11466" spans="1:2" x14ac:dyDescent="0.4">
      <c r="A11466" s="4">
        <v>1008002</v>
      </c>
      <c r="B11466">
        <v>7030600</v>
      </c>
    </row>
    <row r="11467" spans="1:2" x14ac:dyDescent="0.4">
      <c r="A11467" s="4">
        <v>1008002</v>
      </c>
      <c r="B11467">
        <v>7030700</v>
      </c>
    </row>
    <row r="11468" spans="1:2" x14ac:dyDescent="0.4">
      <c r="A11468" s="4">
        <v>1008002</v>
      </c>
      <c r="B11468">
        <v>7030800</v>
      </c>
    </row>
    <row r="11469" spans="1:2" x14ac:dyDescent="0.4">
      <c r="A11469" s="4">
        <v>1008002</v>
      </c>
      <c r="B11469">
        <v>7030900</v>
      </c>
    </row>
    <row r="11470" spans="1:2" x14ac:dyDescent="0.4">
      <c r="A11470" s="4">
        <v>1008002</v>
      </c>
      <c r="B11470">
        <v>7031200</v>
      </c>
    </row>
    <row r="11471" spans="1:2" x14ac:dyDescent="0.4">
      <c r="A11471" s="4">
        <v>1008002</v>
      </c>
      <c r="B11471">
        <v>7031300</v>
      </c>
    </row>
    <row r="11472" spans="1:2" x14ac:dyDescent="0.4">
      <c r="A11472" s="4">
        <v>1008002</v>
      </c>
      <c r="B11472">
        <v>7031800</v>
      </c>
    </row>
    <row r="11473" spans="1:2" x14ac:dyDescent="0.4">
      <c r="A11473" s="4">
        <v>1008002</v>
      </c>
      <c r="B11473">
        <v>7031900</v>
      </c>
    </row>
    <row r="11474" spans="1:2" x14ac:dyDescent="0.4">
      <c r="A11474" s="4">
        <v>1008002</v>
      </c>
      <c r="B11474">
        <v>7032200</v>
      </c>
    </row>
    <row r="11475" spans="1:2" x14ac:dyDescent="0.4">
      <c r="A11475" s="4">
        <v>1008002</v>
      </c>
      <c r="B11475">
        <v>7032400</v>
      </c>
    </row>
    <row r="11476" spans="1:2" x14ac:dyDescent="0.4">
      <c r="A11476" s="4">
        <v>1008002</v>
      </c>
      <c r="B11476">
        <v>7032700</v>
      </c>
    </row>
    <row r="11477" spans="1:2" x14ac:dyDescent="0.4">
      <c r="A11477" s="4">
        <v>1008002</v>
      </c>
      <c r="B11477">
        <v>7032800</v>
      </c>
    </row>
    <row r="11478" spans="1:2" x14ac:dyDescent="0.4">
      <c r="A11478" s="4">
        <v>1008002</v>
      </c>
      <c r="B11478">
        <v>7032900</v>
      </c>
    </row>
    <row r="11479" spans="1:2" x14ac:dyDescent="0.4">
      <c r="A11479" s="4">
        <v>1008002</v>
      </c>
      <c r="B11479">
        <v>7033200</v>
      </c>
    </row>
    <row r="11480" spans="1:2" x14ac:dyDescent="0.4">
      <c r="A11480" s="4">
        <v>1008002</v>
      </c>
      <c r="B11480">
        <v>7033400</v>
      </c>
    </row>
    <row r="11481" spans="1:2" x14ac:dyDescent="0.4">
      <c r="A11481" s="4">
        <v>1008002</v>
      </c>
      <c r="B11481">
        <v>7034100</v>
      </c>
    </row>
    <row r="11482" spans="1:2" x14ac:dyDescent="0.4">
      <c r="A11482" s="4">
        <v>1008002</v>
      </c>
      <c r="B11482">
        <v>7034400</v>
      </c>
    </row>
    <row r="11483" spans="1:2" x14ac:dyDescent="0.4">
      <c r="A11483" s="4">
        <v>1008002</v>
      </c>
      <c r="B11483">
        <v>7034500</v>
      </c>
    </row>
    <row r="11484" spans="1:2" x14ac:dyDescent="0.4">
      <c r="A11484" s="4">
        <v>1008002</v>
      </c>
      <c r="B11484">
        <v>7034600</v>
      </c>
    </row>
    <row r="11485" spans="1:2" x14ac:dyDescent="0.4">
      <c r="A11485" s="4">
        <v>1008002</v>
      </c>
      <c r="B11485">
        <v>7034700</v>
      </c>
    </row>
    <row r="11486" spans="1:2" x14ac:dyDescent="0.4">
      <c r="A11486" s="4">
        <v>1008002</v>
      </c>
      <c r="B11486">
        <v>7035100</v>
      </c>
    </row>
    <row r="11487" spans="1:2" x14ac:dyDescent="0.4">
      <c r="A11487" s="4">
        <v>1008002</v>
      </c>
      <c r="B11487">
        <v>7036100</v>
      </c>
    </row>
    <row r="11488" spans="1:2" x14ac:dyDescent="0.4">
      <c r="A11488" s="4">
        <v>1008002</v>
      </c>
      <c r="B11488">
        <v>7040000</v>
      </c>
    </row>
    <row r="11489" spans="1:2" x14ac:dyDescent="0.4">
      <c r="A11489" s="4">
        <v>1008002</v>
      </c>
      <c r="B11489">
        <v>7040100</v>
      </c>
    </row>
    <row r="11490" spans="1:2" x14ac:dyDescent="0.4">
      <c r="A11490" s="4">
        <v>1008002</v>
      </c>
      <c r="B11490">
        <v>7040200</v>
      </c>
    </row>
    <row r="11491" spans="1:2" x14ac:dyDescent="0.4">
      <c r="A11491" s="4">
        <v>1008002</v>
      </c>
      <c r="B11491">
        <v>7040300</v>
      </c>
    </row>
    <row r="11492" spans="1:2" x14ac:dyDescent="0.4">
      <c r="A11492" s="4">
        <v>1008002</v>
      </c>
      <c r="B11492">
        <v>7040400</v>
      </c>
    </row>
    <row r="11493" spans="1:2" x14ac:dyDescent="0.4">
      <c r="A11493" s="4">
        <v>1008002</v>
      </c>
      <c r="B11493">
        <v>7040500</v>
      </c>
    </row>
    <row r="11494" spans="1:2" x14ac:dyDescent="0.4">
      <c r="A11494" s="4">
        <v>1008002</v>
      </c>
      <c r="B11494">
        <v>7043000</v>
      </c>
    </row>
    <row r="11495" spans="1:2" x14ac:dyDescent="0.4">
      <c r="A11495" s="4">
        <v>1008002</v>
      </c>
      <c r="B11495">
        <v>7043100</v>
      </c>
    </row>
    <row r="11496" spans="1:2" x14ac:dyDescent="0.4">
      <c r="A11496" s="4">
        <v>1008002</v>
      </c>
      <c r="B11496">
        <v>7043200</v>
      </c>
    </row>
    <row r="11497" spans="1:2" x14ac:dyDescent="0.4">
      <c r="A11497" s="4">
        <v>1008002</v>
      </c>
      <c r="B11497">
        <v>7043300</v>
      </c>
    </row>
    <row r="11498" spans="1:2" x14ac:dyDescent="0.4">
      <c r="A11498" s="4">
        <v>1008002</v>
      </c>
      <c r="B11498">
        <v>7043400</v>
      </c>
    </row>
    <row r="11499" spans="1:2" x14ac:dyDescent="0.4">
      <c r="A11499" s="4">
        <v>1008002</v>
      </c>
      <c r="B11499">
        <v>7043500</v>
      </c>
    </row>
    <row r="11500" spans="1:2" x14ac:dyDescent="0.4">
      <c r="A11500" s="4">
        <v>1008002</v>
      </c>
      <c r="B11500">
        <v>7043600</v>
      </c>
    </row>
    <row r="11501" spans="1:2" x14ac:dyDescent="0.4">
      <c r="A11501" s="4">
        <v>1008002</v>
      </c>
      <c r="B11501">
        <v>7043700</v>
      </c>
    </row>
    <row r="11502" spans="1:2" x14ac:dyDescent="0.4">
      <c r="A11502" s="4">
        <v>1008002</v>
      </c>
      <c r="B11502">
        <v>7043800</v>
      </c>
    </row>
    <row r="11503" spans="1:2" x14ac:dyDescent="0.4">
      <c r="A11503" s="4">
        <v>1008002</v>
      </c>
      <c r="B11503">
        <v>7044000</v>
      </c>
    </row>
    <row r="11504" spans="1:2" x14ac:dyDescent="0.4">
      <c r="A11504" s="4">
        <v>1008002</v>
      </c>
      <c r="B11504">
        <v>7044100</v>
      </c>
    </row>
    <row r="11505" spans="1:2" x14ac:dyDescent="0.4">
      <c r="A11505" s="4">
        <v>1008002</v>
      </c>
      <c r="B11505">
        <v>7044200</v>
      </c>
    </row>
    <row r="11506" spans="1:2" x14ac:dyDescent="0.4">
      <c r="A11506" s="4">
        <v>1008002</v>
      </c>
      <c r="B11506">
        <v>7044300</v>
      </c>
    </row>
    <row r="11507" spans="1:2" x14ac:dyDescent="0.4">
      <c r="A11507" s="4">
        <v>1008002</v>
      </c>
      <c r="B11507">
        <v>7044400</v>
      </c>
    </row>
    <row r="11508" spans="1:2" x14ac:dyDescent="0.4">
      <c r="A11508" s="4">
        <v>1008002</v>
      </c>
      <c r="B11508">
        <v>7044500</v>
      </c>
    </row>
    <row r="11509" spans="1:2" x14ac:dyDescent="0.4">
      <c r="A11509" s="4">
        <v>1008002</v>
      </c>
      <c r="B11509">
        <v>7044600</v>
      </c>
    </row>
    <row r="11510" spans="1:2" x14ac:dyDescent="0.4">
      <c r="A11510" s="4">
        <v>1008002</v>
      </c>
      <c r="B11510">
        <v>7050000</v>
      </c>
    </row>
    <row r="11511" spans="1:2" x14ac:dyDescent="0.4">
      <c r="A11511" s="4">
        <v>1008002</v>
      </c>
      <c r="B11511">
        <v>7050100</v>
      </c>
    </row>
    <row r="11512" spans="1:2" x14ac:dyDescent="0.4">
      <c r="A11512" s="4">
        <v>1008002</v>
      </c>
      <c r="B11512">
        <v>7060000</v>
      </c>
    </row>
    <row r="11513" spans="1:2" x14ac:dyDescent="0.4">
      <c r="A11513" s="4">
        <v>1008002</v>
      </c>
      <c r="B11513">
        <v>7060100</v>
      </c>
    </row>
    <row r="11514" spans="1:2" x14ac:dyDescent="0.4">
      <c r="A11514" s="4">
        <v>1008002</v>
      </c>
      <c r="B11514">
        <v>7060200</v>
      </c>
    </row>
    <row r="11515" spans="1:2" x14ac:dyDescent="0.4">
      <c r="A11515" s="4">
        <v>1008002</v>
      </c>
      <c r="B11515">
        <v>7070000</v>
      </c>
    </row>
    <row r="11516" spans="1:2" x14ac:dyDescent="0.4">
      <c r="A11516" s="4">
        <v>1008002</v>
      </c>
      <c r="B11516">
        <v>7080000</v>
      </c>
    </row>
    <row r="11517" spans="1:2" x14ac:dyDescent="0.4">
      <c r="A11517" s="4">
        <v>1008002</v>
      </c>
      <c r="B11517">
        <v>7080100</v>
      </c>
    </row>
    <row r="11518" spans="1:2" x14ac:dyDescent="0.4">
      <c r="A11518" s="4">
        <v>1008002</v>
      </c>
      <c r="B11518">
        <v>7080200</v>
      </c>
    </row>
    <row r="11519" spans="1:2" x14ac:dyDescent="0.4">
      <c r="A11519" s="4">
        <v>1008002</v>
      </c>
      <c r="B11519">
        <v>7080300</v>
      </c>
    </row>
    <row r="11520" spans="1:2" x14ac:dyDescent="0.4">
      <c r="A11520" s="4">
        <v>1008002</v>
      </c>
      <c r="B11520">
        <v>7080400</v>
      </c>
    </row>
    <row r="11521" spans="1:2" x14ac:dyDescent="0.4">
      <c r="A11521" s="4">
        <v>1008002</v>
      </c>
      <c r="B11521">
        <v>7080500</v>
      </c>
    </row>
    <row r="11522" spans="1:2" x14ac:dyDescent="0.4">
      <c r="A11522" s="4">
        <v>1008002</v>
      </c>
      <c r="B11522">
        <v>7080600</v>
      </c>
    </row>
    <row r="11523" spans="1:2" x14ac:dyDescent="0.4">
      <c r="A11523" s="4">
        <v>1008002</v>
      </c>
      <c r="B11523">
        <v>7080700</v>
      </c>
    </row>
    <row r="11524" spans="1:2" x14ac:dyDescent="0.4">
      <c r="A11524" s="4">
        <v>1008002</v>
      </c>
      <c r="B11524">
        <v>7080800</v>
      </c>
    </row>
    <row r="11525" spans="1:2" x14ac:dyDescent="0.4">
      <c r="A11525" s="4">
        <v>1008002</v>
      </c>
      <c r="B11525">
        <v>7080900</v>
      </c>
    </row>
    <row r="11526" spans="1:2" x14ac:dyDescent="0.4">
      <c r="A11526" s="4">
        <v>1008002</v>
      </c>
      <c r="B11526">
        <v>7081000</v>
      </c>
    </row>
    <row r="11527" spans="1:2" x14ac:dyDescent="0.4">
      <c r="A11527" s="4">
        <v>1008002</v>
      </c>
      <c r="B11527">
        <v>7081100</v>
      </c>
    </row>
    <row r="11528" spans="1:2" x14ac:dyDescent="0.4">
      <c r="A11528" s="4">
        <v>1008002</v>
      </c>
      <c r="B11528">
        <v>7081200</v>
      </c>
    </row>
    <row r="11529" spans="1:2" x14ac:dyDescent="0.4">
      <c r="A11529" s="4">
        <v>1008002</v>
      </c>
      <c r="B11529">
        <v>7081300</v>
      </c>
    </row>
    <row r="11530" spans="1:2" x14ac:dyDescent="0.4">
      <c r="A11530" s="4">
        <v>1008002</v>
      </c>
      <c r="B11530">
        <v>7081400</v>
      </c>
    </row>
    <row r="11531" spans="1:2" x14ac:dyDescent="0.4">
      <c r="A11531" s="4">
        <v>1008002</v>
      </c>
      <c r="B11531">
        <v>7081500</v>
      </c>
    </row>
    <row r="11532" spans="1:2" x14ac:dyDescent="0.4">
      <c r="A11532" s="4">
        <v>1008002</v>
      </c>
      <c r="B11532">
        <v>7081700</v>
      </c>
    </row>
    <row r="11533" spans="1:2" x14ac:dyDescent="0.4">
      <c r="A11533" s="4">
        <v>1008002</v>
      </c>
      <c r="B11533">
        <v>7081800</v>
      </c>
    </row>
    <row r="11534" spans="1:2" x14ac:dyDescent="0.4">
      <c r="A11534" s="4">
        <v>1008002</v>
      </c>
      <c r="B11534">
        <v>7081900</v>
      </c>
    </row>
    <row r="11535" spans="1:2" x14ac:dyDescent="0.4">
      <c r="A11535" s="4">
        <v>1008002</v>
      </c>
      <c r="B11535">
        <v>7082000</v>
      </c>
    </row>
    <row r="11536" spans="1:2" x14ac:dyDescent="0.4">
      <c r="A11536" s="4">
        <v>1008002</v>
      </c>
      <c r="B11536">
        <v>7082100</v>
      </c>
    </row>
    <row r="11537" spans="1:2" x14ac:dyDescent="0.4">
      <c r="A11537" s="4">
        <v>1008002</v>
      </c>
      <c r="B11537">
        <v>7082200</v>
      </c>
    </row>
    <row r="11538" spans="1:2" x14ac:dyDescent="0.4">
      <c r="A11538" s="4">
        <v>1008002</v>
      </c>
      <c r="B11538">
        <v>7082300</v>
      </c>
    </row>
    <row r="11539" spans="1:2" x14ac:dyDescent="0.4">
      <c r="A11539" s="4">
        <v>1008002</v>
      </c>
      <c r="B11539">
        <v>7082400</v>
      </c>
    </row>
    <row r="11540" spans="1:2" x14ac:dyDescent="0.4">
      <c r="A11540" s="4">
        <v>1008002</v>
      </c>
      <c r="B11540">
        <v>7082500</v>
      </c>
    </row>
    <row r="11541" spans="1:2" x14ac:dyDescent="0.4">
      <c r="A11541" s="4">
        <v>1008002</v>
      </c>
      <c r="B11541">
        <v>7082600</v>
      </c>
    </row>
    <row r="11542" spans="1:2" x14ac:dyDescent="0.4">
      <c r="A11542" s="4">
        <v>1008002</v>
      </c>
      <c r="B11542">
        <v>7082700</v>
      </c>
    </row>
    <row r="11543" spans="1:2" x14ac:dyDescent="0.4">
      <c r="A11543" s="4">
        <v>1008002</v>
      </c>
      <c r="B11543">
        <v>7082800</v>
      </c>
    </row>
    <row r="11544" spans="1:2" x14ac:dyDescent="0.4">
      <c r="A11544" s="4">
        <v>1008002</v>
      </c>
      <c r="B11544">
        <v>7082900</v>
      </c>
    </row>
    <row r="11545" spans="1:2" x14ac:dyDescent="0.4">
      <c r="A11545" s="4">
        <v>1008002</v>
      </c>
      <c r="B11545">
        <v>7090000</v>
      </c>
    </row>
    <row r="11546" spans="1:2" x14ac:dyDescent="0.4">
      <c r="A11546" s="4">
        <v>1008002</v>
      </c>
      <c r="B11546">
        <v>7090100</v>
      </c>
    </row>
    <row r="11547" spans="1:2" x14ac:dyDescent="0.4">
      <c r="A11547" s="4">
        <v>1008002</v>
      </c>
      <c r="B11547">
        <v>7090300</v>
      </c>
    </row>
    <row r="11548" spans="1:2" x14ac:dyDescent="0.4">
      <c r="A11548" s="4">
        <v>1008002</v>
      </c>
      <c r="B11548">
        <v>7100100</v>
      </c>
    </row>
    <row r="11549" spans="1:2" x14ac:dyDescent="0.4">
      <c r="A11549" s="4">
        <v>1008002</v>
      </c>
      <c r="B11549">
        <v>7110000</v>
      </c>
    </row>
    <row r="11550" spans="1:2" x14ac:dyDescent="0.4">
      <c r="A11550" s="4">
        <v>1008002</v>
      </c>
      <c r="B11550">
        <v>7120000</v>
      </c>
    </row>
    <row r="11551" spans="1:2" x14ac:dyDescent="0.4">
      <c r="A11551" s="4">
        <v>1008002</v>
      </c>
      <c r="B11551">
        <v>7120100</v>
      </c>
    </row>
    <row r="11552" spans="1:2" x14ac:dyDescent="0.4">
      <c r="A11552" s="4">
        <v>1008002</v>
      </c>
      <c r="B11552">
        <v>7120200</v>
      </c>
    </row>
    <row r="11553" spans="1:2" x14ac:dyDescent="0.4">
      <c r="A11553" s="4">
        <v>1008002</v>
      </c>
      <c r="B11553">
        <v>7120300</v>
      </c>
    </row>
    <row r="11554" spans="1:2" x14ac:dyDescent="0.4">
      <c r="A11554" s="4">
        <v>1008002</v>
      </c>
      <c r="B11554">
        <v>7120400</v>
      </c>
    </row>
    <row r="11555" spans="1:2" x14ac:dyDescent="0.4">
      <c r="A11555" s="4">
        <v>1008002</v>
      </c>
      <c r="B11555">
        <v>7120500</v>
      </c>
    </row>
    <row r="11556" spans="1:2" x14ac:dyDescent="0.4">
      <c r="A11556" s="4">
        <v>1008002</v>
      </c>
      <c r="B11556">
        <v>7120600</v>
      </c>
    </row>
    <row r="11557" spans="1:2" x14ac:dyDescent="0.4">
      <c r="A11557" s="4">
        <v>1008002</v>
      </c>
      <c r="B11557">
        <v>7120900</v>
      </c>
    </row>
    <row r="11558" spans="1:2" x14ac:dyDescent="0.4">
      <c r="A11558" s="4">
        <v>1008002</v>
      </c>
      <c r="B11558">
        <v>7121000</v>
      </c>
    </row>
    <row r="11559" spans="1:2" x14ac:dyDescent="0.4">
      <c r="A11559" s="4">
        <v>1008002</v>
      </c>
      <c r="B11559">
        <v>7121100</v>
      </c>
    </row>
    <row r="11560" spans="1:2" x14ac:dyDescent="0.4">
      <c r="A11560" s="4">
        <v>1008002</v>
      </c>
      <c r="B11560">
        <v>7121200</v>
      </c>
    </row>
    <row r="11561" spans="1:2" x14ac:dyDescent="0.4">
      <c r="A11561" s="4">
        <v>1008002</v>
      </c>
      <c r="B11561">
        <v>7121300</v>
      </c>
    </row>
    <row r="11562" spans="1:2" x14ac:dyDescent="0.4">
      <c r="A11562" s="4">
        <v>1008002</v>
      </c>
      <c r="B11562">
        <v>7121400</v>
      </c>
    </row>
    <row r="11563" spans="1:2" x14ac:dyDescent="0.4">
      <c r="A11563" s="4">
        <v>1008002</v>
      </c>
      <c r="B11563">
        <v>7121500</v>
      </c>
    </row>
    <row r="11564" spans="1:2" x14ac:dyDescent="0.4">
      <c r="A11564" s="4">
        <v>1008002</v>
      </c>
      <c r="B11564">
        <v>7121600</v>
      </c>
    </row>
    <row r="11565" spans="1:2" x14ac:dyDescent="0.4">
      <c r="A11565" s="4">
        <v>1008002</v>
      </c>
      <c r="B11565">
        <v>7121700</v>
      </c>
    </row>
    <row r="11566" spans="1:2" x14ac:dyDescent="0.4">
      <c r="A11566" s="4">
        <v>1008002</v>
      </c>
      <c r="B11566">
        <v>7121800</v>
      </c>
    </row>
    <row r="11567" spans="1:2" x14ac:dyDescent="0.4">
      <c r="A11567" s="4">
        <v>1008002</v>
      </c>
      <c r="B11567">
        <v>7121900</v>
      </c>
    </row>
    <row r="11568" spans="1:2" x14ac:dyDescent="0.4">
      <c r="A11568" s="4">
        <v>1008002</v>
      </c>
      <c r="B11568">
        <v>7122000</v>
      </c>
    </row>
    <row r="11569" spans="1:2" x14ac:dyDescent="0.4">
      <c r="A11569" s="4">
        <v>1008002</v>
      </c>
      <c r="B11569">
        <v>7122100</v>
      </c>
    </row>
    <row r="11570" spans="1:2" x14ac:dyDescent="0.4">
      <c r="A11570" s="4">
        <v>1008002</v>
      </c>
      <c r="B11570">
        <v>7122200</v>
      </c>
    </row>
    <row r="11571" spans="1:2" x14ac:dyDescent="0.4">
      <c r="A11571" s="4">
        <v>1008002</v>
      </c>
      <c r="B11571">
        <v>7122300</v>
      </c>
    </row>
    <row r="11572" spans="1:2" x14ac:dyDescent="0.4">
      <c r="A11572" s="4">
        <v>1008002</v>
      </c>
      <c r="B11572">
        <v>7122400</v>
      </c>
    </row>
    <row r="11573" spans="1:2" x14ac:dyDescent="0.4">
      <c r="A11573" s="4">
        <v>1008002</v>
      </c>
      <c r="B11573">
        <v>7122500</v>
      </c>
    </row>
    <row r="11574" spans="1:2" x14ac:dyDescent="0.4">
      <c r="A11574" s="4">
        <v>1008002</v>
      </c>
      <c r="B11574">
        <v>7122600</v>
      </c>
    </row>
    <row r="11575" spans="1:2" x14ac:dyDescent="0.4">
      <c r="A11575" s="4">
        <v>1008002</v>
      </c>
      <c r="B11575">
        <v>7122700</v>
      </c>
    </row>
    <row r="11576" spans="1:2" x14ac:dyDescent="0.4">
      <c r="A11576" s="4">
        <v>1008002</v>
      </c>
      <c r="B11576">
        <v>7122800</v>
      </c>
    </row>
    <row r="11577" spans="1:2" x14ac:dyDescent="0.4">
      <c r="A11577" s="4">
        <v>1008002</v>
      </c>
      <c r="B11577">
        <v>7122900</v>
      </c>
    </row>
    <row r="11578" spans="1:2" x14ac:dyDescent="0.4">
      <c r="A11578" s="4">
        <v>1008002</v>
      </c>
      <c r="B11578">
        <v>7123000</v>
      </c>
    </row>
    <row r="11579" spans="1:2" x14ac:dyDescent="0.4">
      <c r="A11579" s="4">
        <v>1008002</v>
      </c>
      <c r="B11579">
        <v>7123100</v>
      </c>
    </row>
    <row r="11580" spans="1:2" x14ac:dyDescent="0.4">
      <c r="A11580" s="4">
        <v>1008002</v>
      </c>
      <c r="B11580">
        <v>7123200</v>
      </c>
    </row>
    <row r="11581" spans="1:2" x14ac:dyDescent="0.4">
      <c r="A11581" s="4">
        <v>1008002</v>
      </c>
      <c r="B11581">
        <v>7123300</v>
      </c>
    </row>
    <row r="11582" spans="1:2" x14ac:dyDescent="0.4">
      <c r="A11582" s="4">
        <v>1008002</v>
      </c>
      <c r="B11582">
        <v>7123400</v>
      </c>
    </row>
    <row r="11583" spans="1:2" x14ac:dyDescent="0.4">
      <c r="A11583" s="4">
        <v>1008002</v>
      </c>
      <c r="B11583">
        <v>7123500</v>
      </c>
    </row>
    <row r="11584" spans="1:2" x14ac:dyDescent="0.4">
      <c r="A11584" s="4">
        <v>1008002</v>
      </c>
      <c r="B11584">
        <v>7123600</v>
      </c>
    </row>
    <row r="11585" spans="1:2" x14ac:dyDescent="0.4">
      <c r="A11585" s="4">
        <v>1008002</v>
      </c>
      <c r="B11585">
        <v>7123700</v>
      </c>
    </row>
    <row r="11586" spans="1:2" x14ac:dyDescent="0.4">
      <c r="A11586" s="4">
        <v>1008002</v>
      </c>
      <c r="B11586">
        <v>7123800</v>
      </c>
    </row>
    <row r="11587" spans="1:2" x14ac:dyDescent="0.4">
      <c r="A11587" s="4">
        <v>1008002</v>
      </c>
      <c r="B11587">
        <v>7123900</v>
      </c>
    </row>
    <row r="11588" spans="1:2" x14ac:dyDescent="0.4">
      <c r="A11588" s="4">
        <v>1008002</v>
      </c>
      <c r="B11588">
        <v>7124000</v>
      </c>
    </row>
    <row r="11589" spans="1:2" x14ac:dyDescent="0.4">
      <c r="A11589" s="4">
        <v>1008002</v>
      </c>
      <c r="B11589">
        <v>7124100</v>
      </c>
    </row>
    <row r="11590" spans="1:2" x14ac:dyDescent="0.4">
      <c r="A11590" s="4">
        <v>1008002</v>
      </c>
      <c r="B11590">
        <v>7124300</v>
      </c>
    </row>
    <row r="11591" spans="1:2" x14ac:dyDescent="0.4">
      <c r="A11591" s="4">
        <v>1008002</v>
      </c>
      <c r="B11591">
        <v>7124400</v>
      </c>
    </row>
    <row r="11592" spans="1:2" x14ac:dyDescent="0.4">
      <c r="A11592" s="4">
        <v>1008002</v>
      </c>
      <c r="B11592">
        <v>7124500</v>
      </c>
    </row>
    <row r="11593" spans="1:2" x14ac:dyDescent="0.4">
      <c r="A11593" s="4">
        <v>1008002</v>
      </c>
      <c r="B11593">
        <v>7124600</v>
      </c>
    </row>
    <row r="11594" spans="1:2" x14ac:dyDescent="0.4">
      <c r="A11594" s="4">
        <v>1008002</v>
      </c>
      <c r="B11594">
        <v>7124700</v>
      </c>
    </row>
    <row r="11595" spans="1:2" x14ac:dyDescent="0.4">
      <c r="A11595" s="4">
        <v>1008002</v>
      </c>
      <c r="B11595">
        <v>7126000</v>
      </c>
    </row>
    <row r="11596" spans="1:2" x14ac:dyDescent="0.4">
      <c r="A11596" s="4">
        <v>1008002</v>
      </c>
      <c r="B11596">
        <v>7150000</v>
      </c>
    </row>
    <row r="11597" spans="1:2" x14ac:dyDescent="0.4">
      <c r="A11597" s="4">
        <v>1008002</v>
      </c>
      <c r="B11597">
        <v>7160000</v>
      </c>
    </row>
    <row r="11598" spans="1:2" x14ac:dyDescent="0.4">
      <c r="A11598" s="4">
        <v>1008002</v>
      </c>
      <c r="B11598">
        <v>7220000</v>
      </c>
    </row>
    <row r="11599" spans="1:2" x14ac:dyDescent="0.4">
      <c r="A11599" s="4">
        <v>1008002</v>
      </c>
      <c r="B11599">
        <v>7230000</v>
      </c>
    </row>
    <row r="11600" spans="1:2" x14ac:dyDescent="0.4">
      <c r="A11600" s="4">
        <v>1008002</v>
      </c>
      <c r="B11600">
        <v>7240000</v>
      </c>
    </row>
    <row r="11601" spans="1:2" x14ac:dyDescent="0.4">
      <c r="A11601" s="4">
        <v>1008002</v>
      </c>
      <c r="B11601">
        <v>7260000</v>
      </c>
    </row>
    <row r="11602" spans="1:2" x14ac:dyDescent="0.4">
      <c r="A11602" s="4">
        <v>1008002</v>
      </c>
      <c r="B11602">
        <v>7260300</v>
      </c>
    </row>
    <row r="11603" spans="1:2" x14ac:dyDescent="0.4">
      <c r="A11603" s="4">
        <v>1008002</v>
      </c>
      <c r="B11603">
        <v>7260400</v>
      </c>
    </row>
    <row r="11604" spans="1:2" x14ac:dyDescent="0.4">
      <c r="A11604" s="4">
        <v>1008002</v>
      </c>
      <c r="B11604">
        <v>7270100</v>
      </c>
    </row>
    <row r="11605" spans="1:2" x14ac:dyDescent="0.4">
      <c r="A11605" s="4">
        <v>1008002</v>
      </c>
      <c r="B11605">
        <v>7280000</v>
      </c>
    </row>
    <row r="11606" spans="1:2" x14ac:dyDescent="0.4">
      <c r="A11606" s="4">
        <v>1008002</v>
      </c>
      <c r="B11606">
        <v>7290000</v>
      </c>
    </row>
    <row r="11607" spans="1:2" x14ac:dyDescent="0.4">
      <c r="A11607" s="4">
        <v>1008002</v>
      </c>
      <c r="B11607">
        <v>7310000</v>
      </c>
    </row>
    <row r="11608" spans="1:2" x14ac:dyDescent="0.4">
      <c r="A11608" s="4">
        <v>1008002</v>
      </c>
      <c r="B11608">
        <v>7330000</v>
      </c>
    </row>
    <row r="11609" spans="1:2" x14ac:dyDescent="0.4">
      <c r="A11609" s="4">
        <v>1008002</v>
      </c>
      <c r="B11609">
        <v>7330100</v>
      </c>
    </row>
    <row r="11610" spans="1:2" x14ac:dyDescent="0.4">
      <c r="A11610" s="4">
        <v>1008002</v>
      </c>
      <c r="B11610">
        <v>7330200</v>
      </c>
    </row>
    <row r="11611" spans="1:2" x14ac:dyDescent="0.4">
      <c r="A11611" s="4">
        <v>1008002</v>
      </c>
      <c r="B11611">
        <v>7330300</v>
      </c>
    </row>
    <row r="11612" spans="1:2" x14ac:dyDescent="0.4">
      <c r="A11612" s="4">
        <v>1008002</v>
      </c>
      <c r="B11612">
        <v>7330400</v>
      </c>
    </row>
    <row r="11613" spans="1:2" x14ac:dyDescent="0.4">
      <c r="A11613" s="4">
        <v>1008002</v>
      </c>
      <c r="B11613">
        <v>7330500</v>
      </c>
    </row>
    <row r="11614" spans="1:2" x14ac:dyDescent="0.4">
      <c r="A11614" s="4">
        <v>1008002</v>
      </c>
      <c r="B11614">
        <v>7330600</v>
      </c>
    </row>
    <row r="11615" spans="1:2" x14ac:dyDescent="0.4">
      <c r="A11615" s="4">
        <v>1008002</v>
      </c>
      <c r="B11615">
        <v>7330700</v>
      </c>
    </row>
    <row r="11616" spans="1:2" x14ac:dyDescent="0.4">
      <c r="A11616" s="4">
        <v>1008002</v>
      </c>
      <c r="B11616">
        <v>7330800</v>
      </c>
    </row>
    <row r="11617" spans="1:2" x14ac:dyDescent="0.4">
      <c r="A11617" s="4">
        <v>1008002</v>
      </c>
      <c r="B11617">
        <v>7330900</v>
      </c>
    </row>
    <row r="11618" spans="1:2" x14ac:dyDescent="0.4">
      <c r="A11618" s="4">
        <v>1008002</v>
      </c>
      <c r="B11618">
        <v>7331000</v>
      </c>
    </row>
    <row r="11619" spans="1:2" x14ac:dyDescent="0.4">
      <c r="A11619" s="4">
        <v>1008002</v>
      </c>
      <c r="B11619">
        <v>7331100</v>
      </c>
    </row>
    <row r="11620" spans="1:2" x14ac:dyDescent="0.4">
      <c r="A11620" s="4">
        <v>1008002</v>
      </c>
      <c r="B11620">
        <v>7331200</v>
      </c>
    </row>
    <row r="11621" spans="1:2" x14ac:dyDescent="0.4">
      <c r="A11621" s="4">
        <v>1008002</v>
      </c>
      <c r="B11621">
        <v>7331300</v>
      </c>
    </row>
    <row r="11622" spans="1:2" x14ac:dyDescent="0.4">
      <c r="A11622" s="4">
        <v>1008002</v>
      </c>
      <c r="B11622">
        <v>7331400</v>
      </c>
    </row>
    <row r="11623" spans="1:2" x14ac:dyDescent="0.4">
      <c r="A11623" s="4">
        <v>1008002</v>
      </c>
      <c r="B11623">
        <v>7331500</v>
      </c>
    </row>
    <row r="11624" spans="1:2" x14ac:dyDescent="0.4">
      <c r="A11624" s="4">
        <v>1008002</v>
      </c>
      <c r="B11624">
        <v>7331700</v>
      </c>
    </row>
    <row r="11625" spans="1:2" x14ac:dyDescent="0.4">
      <c r="A11625" s="4">
        <v>1008002</v>
      </c>
      <c r="B11625">
        <v>7331800</v>
      </c>
    </row>
    <row r="11626" spans="1:2" x14ac:dyDescent="0.4">
      <c r="A11626" s="4">
        <v>1008002</v>
      </c>
      <c r="B11626">
        <v>7331900</v>
      </c>
    </row>
    <row r="11627" spans="1:2" x14ac:dyDescent="0.4">
      <c r="A11627" s="4">
        <v>1008002</v>
      </c>
      <c r="B11627">
        <v>7332000</v>
      </c>
    </row>
    <row r="11628" spans="1:2" x14ac:dyDescent="0.4">
      <c r="A11628" s="4">
        <v>1008002</v>
      </c>
      <c r="B11628">
        <v>7332100</v>
      </c>
    </row>
    <row r="11629" spans="1:2" x14ac:dyDescent="0.4">
      <c r="A11629" s="4">
        <v>1008002</v>
      </c>
      <c r="B11629">
        <v>7332200</v>
      </c>
    </row>
    <row r="11630" spans="1:2" x14ac:dyDescent="0.4">
      <c r="A11630" s="4">
        <v>1008002</v>
      </c>
      <c r="B11630">
        <v>7332300</v>
      </c>
    </row>
    <row r="11631" spans="1:2" x14ac:dyDescent="0.4">
      <c r="A11631" s="4">
        <v>1008002</v>
      </c>
      <c r="B11631">
        <v>7332400</v>
      </c>
    </row>
    <row r="11632" spans="1:2" x14ac:dyDescent="0.4">
      <c r="A11632" s="4">
        <v>1008002</v>
      </c>
      <c r="B11632">
        <v>7340000</v>
      </c>
    </row>
    <row r="11633" spans="1:2" x14ac:dyDescent="0.4">
      <c r="A11633" s="4">
        <v>1008002</v>
      </c>
      <c r="B11633">
        <v>7340100</v>
      </c>
    </row>
    <row r="11634" spans="1:2" x14ac:dyDescent="0.4">
      <c r="A11634" s="4">
        <v>1008002</v>
      </c>
      <c r="B11634">
        <v>7340200</v>
      </c>
    </row>
    <row r="11635" spans="1:2" x14ac:dyDescent="0.4">
      <c r="A11635" s="4">
        <v>1008002</v>
      </c>
      <c r="B11635">
        <v>7340300</v>
      </c>
    </row>
    <row r="11636" spans="1:2" x14ac:dyDescent="0.4">
      <c r="A11636" s="4">
        <v>1008002</v>
      </c>
      <c r="B11636">
        <v>7340400</v>
      </c>
    </row>
    <row r="11637" spans="1:2" x14ac:dyDescent="0.4">
      <c r="A11637" s="4">
        <v>1008002</v>
      </c>
      <c r="B11637">
        <v>7340500</v>
      </c>
    </row>
    <row r="11638" spans="1:2" x14ac:dyDescent="0.4">
      <c r="A11638" s="4">
        <v>1008002</v>
      </c>
      <c r="B11638">
        <v>7340600</v>
      </c>
    </row>
    <row r="11639" spans="1:2" x14ac:dyDescent="0.4">
      <c r="A11639" s="4">
        <v>1008002</v>
      </c>
      <c r="B11639">
        <v>7340700</v>
      </c>
    </row>
    <row r="11640" spans="1:2" x14ac:dyDescent="0.4">
      <c r="A11640" s="4">
        <v>1008002</v>
      </c>
      <c r="B11640">
        <v>7340800</v>
      </c>
    </row>
    <row r="11641" spans="1:2" x14ac:dyDescent="0.4">
      <c r="A11641" s="4">
        <v>1008002</v>
      </c>
      <c r="B11641">
        <v>7340900</v>
      </c>
    </row>
    <row r="11642" spans="1:2" x14ac:dyDescent="0.4">
      <c r="A11642" s="4">
        <v>1008002</v>
      </c>
      <c r="B11642">
        <v>7341000</v>
      </c>
    </row>
    <row r="11643" spans="1:2" x14ac:dyDescent="0.4">
      <c r="A11643" s="4">
        <v>1008002</v>
      </c>
      <c r="B11643">
        <v>7341100</v>
      </c>
    </row>
    <row r="11644" spans="1:2" x14ac:dyDescent="0.4">
      <c r="A11644" s="4">
        <v>1008002</v>
      </c>
      <c r="B11644">
        <v>7341200</v>
      </c>
    </row>
    <row r="11645" spans="1:2" x14ac:dyDescent="0.4">
      <c r="A11645" s="4">
        <v>1008002</v>
      </c>
      <c r="B11645">
        <v>7341300</v>
      </c>
    </row>
    <row r="11646" spans="1:2" x14ac:dyDescent="0.4">
      <c r="A11646" s="4">
        <v>1008002</v>
      </c>
      <c r="B11646">
        <v>7341400</v>
      </c>
    </row>
    <row r="11647" spans="1:2" x14ac:dyDescent="0.4">
      <c r="A11647" s="4">
        <v>1008002</v>
      </c>
      <c r="B11647">
        <v>7341500</v>
      </c>
    </row>
    <row r="11648" spans="1:2" x14ac:dyDescent="0.4">
      <c r="A11648" s="4">
        <v>1008002</v>
      </c>
      <c r="B11648">
        <v>7341700</v>
      </c>
    </row>
    <row r="11649" spans="1:2" x14ac:dyDescent="0.4">
      <c r="A11649" s="4">
        <v>1008002</v>
      </c>
      <c r="B11649">
        <v>7341800</v>
      </c>
    </row>
    <row r="11650" spans="1:2" x14ac:dyDescent="0.4">
      <c r="A11650" s="4">
        <v>1008002</v>
      </c>
      <c r="B11650">
        <v>7341900</v>
      </c>
    </row>
    <row r="11651" spans="1:2" x14ac:dyDescent="0.4">
      <c r="A11651" s="4">
        <v>1008002</v>
      </c>
      <c r="B11651">
        <v>7342000</v>
      </c>
    </row>
    <row r="11652" spans="1:2" x14ac:dyDescent="0.4">
      <c r="A11652" s="4">
        <v>1008002</v>
      </c>
      <c r="B11652">
        <v>7342100</v>
      </c>
    </row>
    <row r="11653" spans="1:2" x14ac:dyDescent="0.4">
      <c r="A11653" s="4">
        <v>1008002</v>
      </c>
      <c r="B11653">
        <v>7342200</v>
      </c>
    </row>
    <row r="11654" spans="1:2" x14ac:dyDescent="0.4">
      <c r="A11654" s="4">
        <v>1008002</v>
      </c>
      <c r="B11654">
        <v>7342300</v>
      </c>
    </row>
    <row r="11655" spans="1:2" x14ac:dyDescent="0.4">
      <c r="A11655" s="4">
        <v>1008002</v>
      </c>
      <c r="B11655">
        <v>7342400</v>
      </c>
    </row>
    <row r="11656" spans="1:2" x14ac:dyDescent="0.4">
      <c r="A11656" s="4">
        <v>1008002</v>
      </c>
      <c r="B11656">
        <v>7350000</v>
      </c>
    </row>
    <row r="11657" spans="1:2" x14ac:dyDescent="0.4">
      <c r="A11657" s="4">
        <v>1008002</v>
      </c>
      <c r="B11657">
        <v>7350100</v>
      </c>
    </row>
    <row r="11658" spans="1:2" x14ac:dyDescent="0.4">
      <c r="A11658" s="4">
        <v>1008002</v>
      </c>
      <c r="B11658">
        <v>7350200</v>
      </c>
    </row>
    <row r="11659" spans="1:2" x14ac:dyDescent="0.4">
      <c r="A11659" s="4">
        <v>1008002</v>
      </c>
      <c r="B11659">
        <v>7350300</v>
      </c>
    </row>
    <row r="11660" spans="1:2" x14ac:dyDescent="0.4">
      <c r="A11660" s="4">
        <v>1008002</v>
      </c>
      <c r="B11660">
        <v>7350400</v>
      </c>
    </row>
    <row r="11661" spans="1:2" x14ac:dyDescent="0.4">
      <c r="A11661" s="4">
        <v>1008002</v>
      </c>
      <c r="B11661">
        <v>7350500</v>
      </c>
    </row>
    <row r="11662" spans="1:2" x14ac:dyDescent="0.4">
      <c r="A11662" s="4">
        <v>1008002</v>
      </c>
      <c r="B11662">
        <v>7350600</v>
      </c>
    </row>
    <row r="11663" spans="1:2" x14ac:dyDescent="0.4">
      <c r="A11663" s="4">
        <v>1008002</v>
      </c>
      <c r="B11663">
        <v>7350700</v>
      </c>
    </row>
    <row r="11664" spans="1:2" x14ac:dyDescent="0.4">
      <c r="A11664" s="4">
        <v>1008002</v>
      </c>
      <c r="B11664">
        <v>7350800</v>
      </c>
    </row>
    <row r="11665" spans="1:2" x14ac:dyDescent="0.4">
      <c r="A11665" s="4">
        <v>1008002</v>
      </c>
      <c r="B11665">
        <v>7350900</v>
      </c>
    </row>
    <row r="11666" spans="1:2" x14ac:dyDescent="0.4">
      <c r="A11666" s="4">
        <v>1008002</v>
      </c>
      <c r="B11666">
        <v>7351000</v>
      </c>
    </row>
    <row r="11667" spans="1:2" x14ac:dyDescent="0.4">
      <c r="A11667" s="4">
        <v>1008002</v>
      </c>
      <c r="B11667">
        <v>7351100</v>
      </c>
    </row>
    <row r="11668" spans="1:2" x14ac:dyDescent="0.4">
      <c r="A11668" s="4">
        <v>1008002</v>
      </c>
      <c r="B11668">
        <v>7351200</v>
      </c>
    </row>
    <row r="11669" spans="1:2" x14ac:dyDescent="0.4">
      <c r="A11669" s="4">
        <v>1008002</v>
      </c>
      <c r="B11669">
        <v>7351300</v>
      </c>
    </row>
    <row r="11670" spans="1:2" x14ac:dyDescent="0.4">
      <c r="A11670" s="4">
        <v>1008002</v>
      </c>
      <c r="B11670">
        <v>7351400</v>
      </c>
    </row>
    <row r="11671" spans="1:2" x14ac:dyDescent="0.4">
      <c r="A11671" s="4">
        <v>1008002</v>
      </c>
      <c r="B11671">
        <v>7351500</v>
      </c>
    </row>
    <row r="11672" spans="1:2" x14ac:dyDescent="0.4">
      <c r="A11672" s="4">
        <v>1008002</v>
      </c>
      <c r="B11672">
        <v>7351700</v>
      </c>
    </row>
    <row r="11673" spans="1:2" x14ac:dyDescent="0.4">
      <c r="A11673" s="4">
        <v>1008002</v>
      </c>
      <c r="B11673">
        <v>7351800</v>
      </c>
    </row>
    <row r="11674" spans="1:2" x14ac:dyDescent="0.4">
      <c r="A11674" s="4">
        <v>1008002</v>
      </c>
      <c r="B11674">
        <v>7351900</v>
      </c>
    </row>
    <row r="11675" spans="1:2" x14ac:dyDescent="0.4">
      <c r="A11675" s="4">
        <v>1008002</v>
      </c>
      <c r="B11675">
        <v>7352000</v>
      </c>
    </row>
    <row r="11676" spans="1:2" x14ac:dyDescent="0.4">
      <c r="A11676" s="4">
        <v>1008002</v>
      </c>
      <c r="B11676">
        <v>7352100</v>
      </c>
    </row>
    <row r="11677" spans="1:2" x14ac:dyDescent="0.4">
      <c r="A11677" s="4">
        <v>1008002</v>
      </c>
      <c r="B11677">
        <v>7352200</v>
      </c>
    </row>
    <row r="11678" spans="1:2" x14ac:dyDescent="0.4">
      <c r="A11678" s="4">
        <v>1008002</v>
      </c>
      <c r="B11678">
        <v>7352300</v>
      </c>
    </row>
    <row r="11679" spans="1:2" x14ac:dyDescent="0.4">
      <c r="A11679" s="4">
        <v>1008002</v>
      </c>
      <c r="B11679">
        <v>7352400</v>
      </c>
    </row>
    <row r="11680" spans="1:2" x14ac:dyDescent="0.4">
      <c r="A11680" s="4">
        <v>1008002</v>
      </c>
      <c r="B11680">
        <v>7360600</v>
      </c>
    </row>
    <row r="11681" spans="1:2" x14ac:dyDescent="0.4">
      <c r="A11681" s="4">
        <v>1008002</v>
      </c>
      <c r="B11681">
        <v>7360900</v>
      </c>
    </row>
    <row r="11682" spans="1:2" x14ac:dyDescent="0.4">
      <c r="A11682" s="4">
        <v>1008002</v>
      </c>
      <c r="B11682">
        <v>7361200</v>
      </c>
    </row>
    <row r="11683" spans="1:2" x14ac:dyDescent="0.4">
      <c r="A11683" s="4">
        <v>1008002</v>
      </c>
      <c r="B11683">
        <v>7361300</v>
      </c>
    </row>
    <row r="11684" spans="1:2" x14ac:dyDescent="0.4">
      <c r="A11684" s="4">
        <v>1008002</v>
      </c>
      <c r="B11684">
        <v>7362100</v>
      </c>
    </row>
    <row r="11685" spans="1:2" x14ac:dyDescent="0.4">
      <c r="A11685" s="4">
        <v>1008002</v>
      </c>
      <c r="B11685">
        <v>7370300</v>
      </c>
    </row>
    <row r="11686" spans="1:2" x14ac:dyDescent="0.4">
      <c r="A11686" s="4">
        <v>1008002</v>
      </c>
      <c r="B11686">
        <v>7370400</v>
      </c>
    </row>
    <row r="11687" spans="1:2" x14ac:dyDescent="0.4">
      <c r="A11687" s="4">
        <v>1008002</v>
      </c>
      <c r="B11687">
        <v>7370600</v>
      </c>
    </row>
    <row r="11688" spans="1:2" x14ac:dyDescent="0.4">
      <c r="A11688" s="4">
        <v>1008002</v>
      </c>
      <c r="B11688">
        <v>7370900</v>
      </c>
    </row>
    <row r="11689" spans="1:2" x14ac:dyDescent="0.4">
      <c r="A11689" s="4">
        <v>1008002</v>
      </c>
      <c r="B11689">
        <v>7371500</v>
      </c>
    </row>
    <row r="11690" spans="1:2" x14ac:dyDescent="0.4">
      <c r="A11690" s="4">
        <v>1008002</v>
      </c>
      <c r="B11690">
        <v>7036200</v>
      </c>
    </row>
    <row r="11691" spans="1:2" x14ac:dyDescent="0.4">
      <c r="A11691" s="4">
        <v>1008002</v>
      </c>
      <c r="B11691">
        <v>7036300</v>
      </c>
    </row>
    <row r="11692" spans="1:2" x14ac:dyDescent="0.4">
      <c r="A11692" s="4">
        <v>1008002</v>
      </c>
      <c r="B11692">
        <v>7036400</v>
      </c>
    </row>
    <row r="11693" spans="1:2" x14ac:dyDescent="0.4">
      <c r="A11693" s="4">
        <v>1008002</v>
      </c>
      <c r="B11693">
        <v>7036500</v>
      </c>
    </row>
    <row r="11694" spans="1:2" x14ac:dyDescent="0.4">
      <c r="A11694" s="4">
        <v>1008002</v>
      </c>
      <c r="B11694">
        <v>7036800</v>
      </c>
    </row>
    <row r="11695" spans="1:2" x14ac:dyDescent="0.4">
      <c r="A11695" s="4">
        <v>1008002</v>
      </c>
      <c r="B11695">
        <v>7036900</v>
      </c>
    </row>
    <row r="11696" spans="1:2" x14ac:dyDescent="0.4">
      <c r="A11696" s="4">
        <v>1008002</v>
      </c>
      <c r="B11696">
        <v>7037000</v>
      </c>
    </row>
    <row r="11697" spans="1:2" x14ac:dyDescent="0.4">
      <c r="A11697" s="4">
        <v>1008002</v>
      </c>
      <c r="B11697">
        <v>7037300</v>
      </c>
    </row>
    <row r="11698" spans="1:2" x14ac:dyDescent="0.4">
      <c r="A11698" s="4">
        <v>1008002</v>
      </c>
      <c r="B11698">
        <v>6630000</v>
      </c>
    </row>
    <row r="11699" spans="1:2" x14ac:dyDescent="0.4">
      <c r="A11699" s="4">
        <v>1008002</v>
      </c>
      <c r="B11699">
        <v>6630100</v>
      </c>
    </row>
    <row r="11700" spans="1:2" x14ac:dyDescent="0.4">
      <c r="A11700" s="4">
        <v>1008002</v>
      </c>
      <c r="B11700">
        <v>6630200</v>
      </c>
    </row>
    <row r="11701" spans="1:2" x14ac:dyDescent="0.4">
      <c r="A11701" s="4">
        <v>1008002</v>
      </c>
      <c r="B11701">
        <v>6630300</v>
      </c>
    </row>
    <row r="11702" spans="1:2" x14ac:dyDescent="0.4">
      <c r="A11702" s="4">
        <v>1008002</v>
      </c>
      <c r="B11702">
        <v>6630400</v>
      </c>
    </row>
    <row r="11703" spans="1:2" x14ac:dyDescent="0.4">
      <c r="A11703" s="4">
        <v>1008002</v>
      </c>
      <c r="B11703">
        <v>6630500</v>
      </c>
    </row>
    <row r="11704" spans="1:2" x14ac:dyDescent="0.4">
      <c r="A11704" s="4">
        <v>1008002</v>
      </c>
      <c r="B11704">
        <v>6630600</v>
      </c>
    </row>
    <row r="11705" spans="1:2" x14ac:dyDescent="0.4">
      <c r="A11705" s="4">
        <v>1008002</v>
      </c>
      <c r="B11705">
        <v>6630700</v>
      </c>
    </row>
    <row r="11706" spans="1:2" x14ac:dyDescent="0.4">
      <c r="A11706" s="4">
        <v>1008002</v>
      </c>
      <c r="B11706">
        <v>6630800</v>
      </c>
    </row>
    <row r="11707" spans="1:2" x14ac:dyDescent="0.4">
      <c r="A11707" s="4">
        <v>1008002</v>
      </c>
      <c r="B11707">
        <v>6630900</v>
      </c>
    </row>
    <row r="11708" spans="1:2" x14ac:dyDescent="0.4">
      <c r="A11708" s="4">
        <v>1008002</v>
      </c>
      <c r="B11708">
        <v>6631000</v>
      </c>
    </row>
    <row r="11709" spans="1:2" x14ac:dyDescent="0.4">
      <c r="A11709" s="4">
        <v>1008002</v>
      </c>
      <c r="B11709">
        <v>6631100</v>
      </c>
    </row>
    <row r="11710" spans="1:2" x14ac:dyDescent="0.4">
      <c r="A11710" s="4">
        <v>1008002</v>
      </c>
      <c r="B11710">
        <v>6631200</v>
      </c>
    </row>
    <row r="11711" spans="1:2" x14ac:dyDescent="0.4">
      <c r="A11711" s="4">
        <v>1008002</v>
      </c>
      <c r="B11711">
        <v>6631300</v>
      </c>
    </row>
    <row r="11712" spans="1:2" x14ac:dyDescent="0.4">
      <c r="A11712" s="4">
        <v>1008002</v>
      </c>
      <c r="B11712">
        <v>6631400</v>
      </c>
    </row>
    <row r="11713" spans="1:2" x14ac:dyDescent="0.4">
      <c r="A11713" s="4">
        <v>1008002</v>
      </c>
      <c r="B11713">
        <v>6631500</v>
      </c>
    </row>
    <row r="11714" spans="1:2" x14ac:dyDescent="0.4">
      <c r="A11714" s="4">
        <v>1008002</v>
      </c>
      <c r="B11714">
        <v>6631600</v>
      </c>
    </row>
    <row r="11715" spans="1:2" x14ac:dyDescent="0.4">
      <c r="A11715" s="4">
        <v>1008002</v>
      </c>
      <c r="B11715">
        <v>6631700</v>
      </c>
    </row>
    <row r="11716" spans="1:2" x14ac:dyDescent="0.4">
      <c r="A11716" s="4">
        <v>1008002</v>
      </c>
      <c r="B11716">
        <v>6631800</v>
      </c>
    </row>
    <row r="11717" spans="1:2" x14ac:dyDescent="0.4">
      <c r="A11717" s="4">
        <v>1008002</v>
      </c>
      <c r="B11717">
        <v>6631900</v>
      </c>
    </row>
    <row r="11718" spans="1:2" x14ac:dyDescent="0.4">
      <c r="A11718" s="4">
        <v>1008002</v>
      </c>
      <c r="B11718">
        <v>6632000</v>
      </c>
    </row>
    <row r="11719" spans="1:2" x14ac:dyDescent="0.4">
      <c r="A11719" s="4">
        <v>1008002</v>
      </c>
      <c r="B11719">
        <v>6632100</v>
      </c>
    </row>
    <row r="11720" spans="1:2" x14ac:dyDescent="0.4">
      <c r="A11720" s="4">
        <v>1008002</v>
      </c>
      <c r="B11720">
        <v>6632200</v>
      </c>
    </row>
    <row r="11721" spans="1:2" x14ac:dyDescent="0.4">
      <c r="A11721" s="4">
        <v>1008002</v>
      </c>
      <c r="B11721">
        <v>6632300</v>
      </c>
    </row>
    <row r="11722" spans="1:2" x14ac:dyDescent="0.4">
      <c r="A11722" s="4">
        <v>1008002</v>
      </c>
      <c r="B11722">
        <v>6632400</v>
      </c>
    </row>
    <row r="11723" spans="1:2" x14ac:dyDescent="0.4">
      <c r="A11723" s="4">
        <v>1008002</v>
      </c>
      <c r="B11723">
        <v>6632500</v>
      </c>
    </row>
    <row r="11724" spans="1:2" x14ac:dyDescent="0.4">
      <c r="A11724" s="4">
        <v>1008002</v>
      </c>
      <c r="B11724">
        <v>6632600</v>
      </c>
    </row>
    <row r="11725" spans="1:2" x14ac:dyDescent="0.4">
      <c r="A11725" s="4">
        <v>1008002</v>
      </c>
      <c r="B11725">
        <v>6632700</v>
      </c>
    </row>
    <row r="11726" spans="1:2" x14ac:dyDescent="0.4">
      <c r="A11726" s="4">
        <v>1008002</v>
      </c>
      <c r="B11726">
        <v>6632800</v>
      </c>
    </row>
    <row r="11727" spans="1:2" x14ac:dyDescent="0.4">
      <c r="A11727" s="4">
        <v>1008002</v>
      </c>
      <c r="B11727">
        <v>6632900</v>
      </c>
    </row>
    <row r="11728" spans="1:2" x14ac:dyDescent="0.4">
      <c r="A11728" s="4">
        <v>1008002</v>
      </c>
      <c r="B11728">
        <v>6633000</v>
      </c>
    </row>
    <row r="11729" spans="1:2" x14ac:dyDescent="0.4">
      <c r="A11729" s="4">
        <v>1008002</v>
      </c>
      <c r="B11729">
        <v>6633100</v>
      </c>
    </row>
    <row r="11730" spans="1:2" x14ac:dyDescent="0.4">
      <c r="A11730" s="4">
        <v>1008002</v>
      </c>
      <c r="B11730">
        <v>6633200</v>
      </c>
    </row>
    <row r="11731" spans="1:2" x14ac:dyDescent="0.4">
      <c r="A11731" s="4">
        <v>1008002</v>
      </c>
      <c r="B11731">
        <v>6647200</v>
      </c>
    </row>
    <row r="11732" spans="1:2" x14ac:dyDescent="0.4">
      <c r="A11732" s="4">
        <v>1008002</v>
      </c>
      <c r="B11732">
        <v>6647300</v>
      </c>
    </row>
    <row r="11733" spans="1:2" x14ac:dyDescent="0.4">
      <c r="A11733" s="4">
        <v>1008002</v>
      </c>
      <c r="B11733">
        <v>6647400</v>
      </c>
    </row>
    <row r="11734" spans="1:2" x14ac:dyDescent="0.4">
      <c r="A11734" s="4">
        <v>1008002</v>
      </c>
      <c r="B11734">
        <v>6647500</v>
      </c>
    </row>
    <row r="11735" spans="1:2" x14ac:dyDescent="0.4">
      <c r="A11735" s="4">
        <v>1008002</v>
      </c>
      <c r="B11735">
        <v>6640000</v>
      </c>
    </row>
    <row r="11736" spans="1:2" x14ac:dyDescent="0.4">
      <c r="A11736" s="4">
        <v>1008002</v>
      </c>
      <c r="B11736">
        <v>6640100</v>
      </c>
    </row>
    <row r="11737" spans="1:2" x14ac:dyDescent="0.4">
      <c r="A11737" s="4">
        <v>1008002</v>
      </c>
      <c r="B11737">
        <v>6641000</v>
      </c>
    </row>
    <row r="11738" spans="1:2" x14ac:dyDescent="0.4">
      <c r="A11738" s="4">
        <v>1008002</v>
      </c>
      <c r="B11738">
        <v>6641100</v>
      </c>
    </row>
    <row r="11739" spans="1:2" x14ac:dyDescent="0.4">
      <c r="A11739" s="4">
        <v>1008002</v>
      </c>
      <c r="B11739">
        <v>6642000</v>
      </c>
    </row>
    <row r="11740" spans="1:2" x14ac:dyDescent="0.4">
      <c r="A11740" s="4">
        <v>1008002</v>
      </c>
      <c r="B11740">
        <v>6642100</v>
      </c>
    </row>
    <row r="11741" spans="1:2" x14ac:dyDescent="0.4">
      <c r="A11741" s="4">
        <v>1008002</v>
      </c>
      <c r="B11741">
        <v>6643000</v>
      </c>
    </row>
    <row r="11742" spans="1:2" x14ac:dyDescent="0.4">
      <c r="A11742" s="4">
        <v>1008002</v>
      </c>
      <c r="B11742">
        <v>6643100</v>
      </c>
    </row>
    <row r="11743" spans="1:2" x14ac:dyDescent="0.4">
      <c r="A11743" s="4">
        <v>1008002</v>
      </c>
      <c r="B11743">
        <v>6644000</v>
      </c>
    </row>
    <row r="11744" spans="1:2" x14ac:dyDescent="0.4">
      <c r="A11744" s="4">
        <v>1008002</v>
      </c>
      <c r="B11744">
        <v>6644100</v>
      </c>
    </row>
    <row r="11745" spans="1:2" x14ac:dyDescent="0.4">
      <c r="A11745" s="4">
        <v>1008002</v>
      </c>
      <c r="B11745">
        <v>6645000</v>
      </c>
    </row>
    <row r="11746" spans="1:2" x14ac:dyDescent="0.4">
      <c r="A11746" s="4">
        <v>1008002</v>
      </c>
      <c r="B11746">
        <v>6645100</v>
      </c>
    </row>
    <row r="11747" spans="1:2" x14ac:dyDescent="0.4">
      <c r="A11747" s="4">
        <v>1008002</v>
      </c>
      <c r="B11747">
        <v>6646000</v>
      </c>
    </row>
    <row r="11748" spans="1:2" x14ac:dyDescent="0.4">
      <c r="A11748" s="4">
        <v>1008002</v>
      </c>
      <c r="B11748">
        <v>6646100</v>
      </c>
    </row>
    <row r="11749" spans="1:2" x14ac:dyDescent="0.4">
      <c r="A11749" s="4">
        <v>1008002</v>
      </c>
      <c r="B11749">
        <v>6647000</v>
      </c>
    </row>
    <row r="11750" spans="1:2" x14ac:dyDescent="0.4">
      <c r="A11750" s="4">
        <v>1008002</v>
      </c>
      <c r="B11750">
        <v>6647100</v>
      </c>
    </row>
    <row r="11751" spans="1:2" x14ac:dyDescent="0.4">
      <c r="A11751" s="4">
        <v>1009000</v>
      </c>
      <c r="B11751">
        <v>7000000</v>
      </c>
    </row>
    <row r="11752" spans="1:2" x14ac:dyDescent="0.4">
      <c r="A11752" s="4">
        <v>1009000</v>
      </c>
      <c r="B11752">
        <v>7000001</v>
      </c>
    </row>
    <row r="11753" spans="1:2" x14ac:dyDescent="0.4">
      <c r="A11753" s="4">
        <v>1009000</v>
      </c>
      <c r="B11753">
        <v>7000002</v>
      </c>
    </row>
    <row r="11754" spans="1:2" x14ac:dyDescent="0.4">
      <c r="A11754" s="4">
        <v>1009000</v>
      </c>
      <c r="B11754">
        <v>7000100</v>
      </c>
    </row>
    <row r="11755" spans="1:2" x14ac:dyDescent="0.4">
      <c r="A11755" s="4">
        <v>1009000</v>
      </c>
      <c r="B11755">
        <v>7000101</v>
      </c>
    </row>
    <row r="11756" spans="1:2" x14ac:dyDescent="0.4">
      <c r="A11756" s="4">
        <v>1009000</v>
      </c>
      <c r="B11756">
        <v>7000102</v>
      </c>
    </row>
    <row r="11757" spans="1:2" x14ac:dyDescent="0.4">
      <c r="A11757" s="4">
        <v>1009000</v>
      </c>
      <c r="B11757">
        <v>7000200</v>
      </c>
    </row>
    <row r="11758" spans="1:2" x14ac:dyDescent="0.4">
      <c r="A11758" s="4">
        <v>1009000</v>
      </c>
      <c r="B11758">
        <v>7000201</v>
      </c>
    </row>
    <row r="11759" spans="1:2" x14ac:dyDescent="0.4">
      <c r="A11759" s="4">
        <v>1009000</v>
      </c>
      <c r="B11759">
        <v>7000202</v>
      </c>
    </row>
    <row r="11760" spans="1:2" x14ac:dyDescent="0.4">
      <c r="A11760" s="4">
        <v>1009000</v>
      </c>
      <c r="B11760">
        <v>7000300</v>
      </c>
    </row>
    <row r="11761" spans="1:2" x14ac:dyDescent="0.4">
      <c r="A11761" s="4">
        <v>1009000</v>
      </c>
      <c r="B11761">
        <v>7000301</v>
      </c>
    </row>
    <row r="11762" spans="1:2" x14ac:dyDescent="0.4">
      <c r="A11762" s="4">
        <v>1009000</v>
      </c>
      <c r="B11762">
        <v>7000302</v>
      </c>
    </row>
    <row r="11763" spans="1:2" x14ac:dyDescent="0.4">
      <c r="A11763" s="4">
        <v>1009000</v>
      </c>
      <c r="B11763">
        <v>7000400</v>
      </c>
    </row>
    <row r="11764" spans="1:2" x14ac:dyDescent="0.4">
      <c r="A11764" s="4">
        <v>1009000</v>
      </c>
      <c r="B11764">
        <v>7000401</v>
      </c>
    </row>
    <row r="11765" spans="1:2" x14ac:dyDescent="0.4">
      <c r="A11765" s="4">
        <v>1009000</v>
      </c>
      <c r="B11765">
        <v>7000402</v>
      </c>
    </row>
    <row r="11766" spans="1:2" x14ac:dyDescent="0.4">
      <c r="A11766" s="4">
        <v>1009000</v>
      </c>
      <c r="B11766">
        <v>7000500</v>
      </c>
    </row>
    <row r="11767" spans="1:2" x14ac:dyDescent="0.4">
      <c r="A11767" s="4">
        <v>1009000</v>
      </c>
      <c r="B11767">
        <v>7000501</v>
      </c>
    </row>
    <row r="11768" spans="1:2" x14ac:dyDescent="0.4">
      <c r="A11768" s="4">
        <v>1009000</v>
      </c>
      <c r="B11768">
        <v>7000502</v>
      </c>
    </row>
    <row r="11769" spans="1:2" x14ac:dyDescent="0.4">
      <c r="A11769" s="4">
        <v>1009000</v>
      </c>
      <c r="B11769">
        <v>7000600</v>
      </c>
    </row>
    <row r="11770" spans="1:2" x14ac:dyDescent="0.4">
      <c r="A11770" s="4">
        <v>1009000</v>
      </c>
      <c r="B11770">
        <v>7000601</v>
      </c>
    </row>
    <row r="11771" spans="1:2" x14ac:dyDescent="0.4">
      <c r="A11771" s="4">
        <v>1009000</v>
      </c>
      <c r="B11771">
        <v>7000602</v>
      </c>
    </row>
    <row r="11772" spans="1:2" x14ac:dyDescent="0.4">
      <c r="A11772" s="4">
        <v>1009000</v>
      </c>
      <c r="B11772">
        <v>7000700</v>
      </c>
    </row>
    <row r="11773" spans="1:2" x14ac:dyDescent="0.4">
      <c r="A11773" s="4">
        <v>1009000</v>
      </c>
      <c r="B11773">
        <v>7000701</v>
      </c>
    </row>
    <row r="11774" spans="1:2" x14ac:dyDescent="0.4">
      <c r="A11774" s="4">
        <v>1009000</v>
      </c>
      <c r="B11774">
        <v>7000702</v>
      </c>
    </row>
    <row r="11775" spans="1:2" x14ac:dyDescent="0.4">
      <c r="A11775" s="4">
        <v>1009000</v>
      </c>
      <c r="B11775">
        <v>7000800</v>
      </c>
    </row>
    <row r="11776" spans="1:2" x14ac:dyDescent="0.4">
      <c r="A11776" s="4">
        <v>1009000</v>
      </c>
      <c r="B11776">
        <v>7000801</v>
      </c>
    </row>
    <row r="11777" spans="1:2" x14ac:dyDescent="0.4">
      <c r="A11777" s="4">
        <v>1009000</v>
      </c>
      <c r="B11777">
        <v>7000802</v>
      </c>
    </row>
    <row r="11778" spans="1:2" x14ac:dyDescent="0.4">
      <c r="A11778" s="4">
        <v>1009000</v>
      </c>
      <c r="B11778">
        <v>7000900</v>
      </c>
    </row>
    <row r="11779" spans="1:2" x14ac:dyDescent="0.4">
      <c r="A11779" s="4">
        <v>1009000</v>
      </c>
      <c r="B11779">
        <v>7000901</v>
      </c>
    </row>
    <row r="11780" spans="1:2" x14ac:dyDescent="0.4">
      <c r="A11780" s="4">
        <v>1009000</v>
      </c>
      <c r="B11780">
        <v>7000902</v>
      </c>
    </row>
    <row r="11781" spans="1:2" x14ac:dyDescent="0.4">
      <c r="A11781" s="4">
        <v>1009000</v>
      </c>
      <c r="B11781">
        <v>7001000</v>
      </c>
    </row>
    <row r="11782" spans="1:2" x14ac:dyDescent="0.4">
      <c r="A11782" s="4">
        <v>1009000</v>
      </c>
      <c r="B11782">
        <v>7001001</v>
      </c>
    </row>
    <row r="11783" spans="1:2" x14ac:dyDescent="0.4">
      <c r="A11783" s="4">
        <v>1009000</v>
      </c>
      <c r="B11783">
        <v>7001002</v>
      </c>
    </row>
    <row r="11784" spans="1:2" x14ac:dyDescent="0.4">
      <c r="A11784" s="4">
        <v>1009000</v>
      </c>
      <c r="B11784">
        <v>7001400</v>
      </c>
    </row>
    <row r="11785" spans="1:2" x14ac:dyDescent="0.4">
      <c r="A11785" s="4">
        <v>1009000</v>
      </c>
      <c r="B11785">
        <v>7001401</v>
      </c>
    </row>
    <row r="11786" spans="1:2" x14ac:dyDescent="0.4">
      <c r="A11786" s="4">
        <v>1009000</v>
      </c>
      <c r="B11786">
        <v>7001402</v>
      </c>
    </row>
    <row r="11787" spans="1:2" x14ac:dyDescent="0.4">
      <c r="A11787" s="4">
        <v>1009000</v>
      </c>
      <c r="B11787">
        <v>7001500</v>
      </c>
    </row>
    <row r="11788" spans="1:2" x14ac:dyDescent="0.4">
      <c r="A11788" s="4">
        <v>1009000</v>
      </c>
      <c r="B11788">
        <v>7001501</v>
      </c>
    </row>
    <row r="11789" spans="1:2" x14ac:dyDescent="0.4">
      <c r="A11789" s="4">
        <v>1009000</v>
      </c>
      <c r="B11789">
        <v>7001502</v>
      </c>
    </row>
    <row r="11790" spans="1:2" x14ac:dyDescent="0.4">
      <c r="A11790" s="4">
        <v>1009000</v>
      </c>
      <c r="B11790">
        <v>7001600</v>
      </c>
    </row>
    <row r="11791" spans="1:2" x14ac:dyDescent="0.4">
      <c r="A11791" s="4">
        <v>1009000</v>
      </c>
      <c r="B11791">
        <v>7001601</v>
      </c>
    </row>
    <row r="11792" spans="1:2" x14ac:dyDescent="0.4">
      <c r="A11792" s="4">
        <v>1009000</v>
      </c>
      <c r="B11792">
        <v>7001602</v>
      </c>
    </row>
    <row r="11793" spans="1:2" x14ac:dyDescent="0.4">
      <c r="A11793" s="4">
        <v>1009000</v>
      </c>
      <c r="B11793">
        <v>7001700</v>
      </c>
    </row>
    <row r="11794" spans="1:2" x14ac:dyDescent="0.4">
      <c r="A11794" s="4">
        <v>1009000</v>
      </c>
      <c r="B11794">
        <v>7001701</v>
      </c>
    </row>
    <row r="11795" spans="1:2" x14ac:dyDescent="0.4">
      <c r="A11795" s="4">
        <v>1009000</v>
      </c>
      <c r="B11795">
        <v>7001702</v>
      </c>
    </row>
    <row r="11796" spans="1:2" x14ac:dyDescent="0.4">
      <c r="A11796" s="4">
        <v>1009000</v>
      </c>
      <c r="B11796">
        <v>7001800</v>
      </c>
    </row>
    <row r="11797" spans="1:2" x14ac:dyDescent="0.4">
      <c r="A11797" s="4">
        <v>1009000</v>
      </c>
      <c r="B11797">
        <v>7001801</v>
      </c>
    </row>
    <row r="11798" spans="1:2" x14ac:dyDescent="0.4">
      <c r="A11798" s="4">
        <v>1009000</v>
      </c>
      <c r="B11798">
        <v>7001802</v>
      </c>
    </row>
    <row r="11799" spans="1:2" x14ac:dyDescent="0.4">
      <c r="A11799" s="4">
        <v>1009000</v>
      </c>
      <c r="B11799">
        <v>7002600</v>
      </c>
    </row>
    <row r="11800" spans="1:2" x14ac:dyDescent="0.4">
      <c r="A11800" s="4">
        <v>1009000</v>
      </c>
      <c r="B11800">
        <v>7002700</v>
      </c>
    </row>
    <row r="11801" spans="1:2" x14ac:dyDescent="0.4">
      <c r="A11801" s="4">
        <v>1009000</v>
      </c>
      <c r="B11801">
        <v>7002800</v>
      </c>
    </row>
    <row r="11802" spans="1:2" x14ac:dyDescent="0.4">
      <c r="A11802" s="4">
        <v>1009000</v>
      </c>
      <c r="B11802">
        <v>7002900</v>
      </c>
    </row>
    <row r="11803" spans="1:2" x14ac:dyDescent="0.4">
      <c r="A11803" s="4">
        <v>1009000</v>
      </c>
      <c r="B11803">
        <v>7003000</v>
      </c>
    </row>
    <row r="11804" spans="1:2" x14ac:dyDescent="0.4">
      <c r="A11804" s="4">
        <v>1009000</v>
      </c>
      <c r="B11804">
        <v>7003100</v>
      </c>
    </row>
    <row r="11805" spans="1:2" x14ac:dyDescent="0.4">
      <c r="A11805" s="4">
        <v>1009000</v>
      </c>
      <c r="B11805">
        <v>7003200</v>
      </c>
    </row>
    <row r="11806" spans="1:2" x14ac:dyDescent="0.4">
      <c r="A11806" s="4">
        <v>1009000</v>
      </c>
      <c r="B11806">
        <v>7003300</v>
      </c>
    </row>
    <row r="11807" spans="1:2" x14ac:dyDescent="0.4">
      <c r="A11807" s="4">
        <v>1009000</v>
      </c>
      <c r="B11807">
        <v>7003400</v>
      </c>
    </row>
    <row r="11808" spans="1:2" x14ac:dyDescent="0.4">
      <c r="A11808" s="4">
        <v>1009000</v>
      </c>
      <c r="B11808">
        <v>7003500</v>
      </c>
    </row>
    <row r="11809" spans="1:2" x14ac:dyDescent="0.4">
      <c r="A11809" s="4">
        <v>1009000</v>
      </c>
      <c r="B11809">
        <v>7003600</v>
      </c>
    </row>
    <row r="11810" spans="1:2" x14ac:dyDescent="0.4">
      <c r="A11810" s="4">
        <v>1009000</v>
      </c>
      <c r="B11810">
        <v>7005600</v>
      </c>
    </row>
    <row r="11811" spans="1:2" x14ac:dyDescent="0.4">
      <c r="A11811" s="4">
        <v>1009000</v>
      </c>
      <c r="B11811">
        <v>7006000</v>
      </c>
    </row>
    <row r="11812" spans="1:2" x14ac:dyDescent="0.4">
      <c r="A11812" s="4">
        <v>1009000</v>
      </c>
      <c r="B11812">
        <v>7006100</v>
      </c>
    </row>
    <row r="11813" spans="1:2" x14ac:dyDescent="0.4">
      <c r="A11813" s="4">
        <v>1009000</v>
      </c>
      <c r="B11813">
        <v>7010200</v>
      </c>
    </row>
    <row r="11814" spans="1:2" x14ac:dyDescent="0.4">
      <c r="A11814" s="4">
        <v>1009000</v>
      </c>
      <c r="B11814">
        <v>7010500</v>
      </c>
    </row>
    <row r="11815" spans="1:2" x14ac:dyDescent="0.4">
      <c r="A11815" s="4">
        <v>1009000</v>
      </c>
      <c r="B11815">
        <v>7010700</v>
      </c>
    </row>
    <row r="11816" spans="1:2" x14ac:dyDescent="0.4">
      <c r="A11816" s="4">
        <v>1009000</v>
      </c>
      <c r="B11816">
        <v>7010900</v>
      </c>
    </row>
    <row r="11817" spans="1:2" x14ac:dyDescent="0.4">
      <c r="A11817" s="4">
        <v>1009000</v>
      </c>
      <c r="B11817">
        <v>7011000</v>
      </c>
    </row>
    <row r="11818" spans="1:2" x14ac:dyDescent="0.4">
      <c r="A11818" s="4">
        <v>1009000</v>
      </c>
      <c r="B11818">
        <v>7011200</v>
      </c>
    </row>
    <row r="11819" spans="1:2" x14ac:dyDescent="0.4">
      <c r="A11819" s="4">
        <v>1009000</v>
      </c>
      <c r="B11819">
        <v>7011600</v>
      </c>
    </row>
    <row r="11820" spans="1:2" x14ac:dyDescent="0.4">
      <c r="A11820" s="4">
        <v>1009000</v>
      </c>
      <c r="B11820">
        <v>7011700</v>
      </c>
    </row>
    <row r="11821" spans="1:2" x14ac:dyDescent="0.4">
      <c r="A11821" s="4">
        <v>1009000</v>
      </c>
      <c r="B11821">
        <v>7012000</v>
      </c>
    </row>
    <row r="11822" spans="1:2" x14ac:dyDescent="0.4">
      <c r="A11822" s="4">
        <v>1009000</v>
      </c>
      <c r="B11822">
        <v>7012200</v>
      </c>
    </row>
    <row r="11823" spans="1:2" x14ac:dyDescent="0.4">
      <c r="A11823" s="4">
        <v>1009000</v>
      </c>
      <c r="B11823">
        <v>7012300</v>
      </c>
    </row>
    <row r="11824" spans="1:2" x14ac:dyDescent="0.4">
      <c r="A11824" s="4">
        <v>1009000</v>
      </c>
      <c r="B11824">
        <v>7020000</v>
      </c>
    </row>
    <row r="11825" spans="1:2" x14ac:dyDescent="0.4">
      <c r="A11825" s="4">
        <v>1009000</v>
      </c>
      <c r="B11825">
        <v>7030000</v>
      </c>
    </row>
    <row r="11826" spans="1:2" x14ac:dyDescent="0.4">
      <c r="A11826" s="4">
        <v>1009000</v>
      </c>
      <c r="B11826">
        <v>7030200</v>
      </c>
    </row>
    <row r="11827" spans="1:2" x14ac:dyDescent="0.4">
      <c r="A11827" s="4">
        <v>1009000</v>
      </c>
      <c r="B11827">
        <v>7030600</v>
      </c>
    </row>
    <row r="11828" spans="1:2" x14ac:dyDescent="0.4">
      <c r="A11828" s="4">
        <v>1009000</v>
      </c>
      <c r="B11828">
        <v>7030700</v>
      </c>
    </row>
    <row r="11829" spans="1:2" x14ac:dyDescent="0.4">
      <c r="A11829" s="4">
        <v>1009000</v>
      </c>
      <c r="B11829">
        <v>7030800</v>
      </c>
    </row>
    <row r="11830" spans="1:2" x14ac:dyDescent="0.4">
      <c r="A11830" s="4">
        <v>1009000</v>
      </c>
      <c r="B11830">
        <v>7030900</v>
      </c>
    </row>
    <row r="11831" spans="1:2" x14ac:dyDescent="0.4">
      <c r="A11831" s="4">
        <v>1009000</v>
      </c>
      <c r="B11831">
        <v>7031200</v>
      </c>
    </row>
    <row r="11832" spans="1:2" x14ac:dyDescent="0.4">
      <c r="A11832" s="4">
        <v>1009000</v>
      </c>
      <c r="B11832">
        <v>7031300</v>
      </c>
    </row>
    <row r="11833" spans="1:2" x14ac:dyDescent="0.4">
      <c r="A11833" s="4">
        <v>1009000</v>
      </c>
      <c r="B11833">
        <v>7031800</v>
      </c>
    </row>
    <row r="11834" spans="1:2" x14ac:dyDescent="0.4">
      <c r="A11834" s="4">
        <v>1009000</v>
      </c>
      <c r="B11834">
        <v>7031900</v>
      </c>
    </row>
    <row r="11835" spans="1:2" x14ac:dyDescent="0.4">
      <c r="A11835" s="4">
        <v>1009000</v>
      </c>
      <c r="B11835">
        <v>7032200</v>
      </c>
    </row>
    <row r="11836" spans="1:2" x14ac:dyDescent="0.4">
      <c r="A11836" s="4">
        <v>1009000</v>
      </c>
      <c r="B11836">
        <v>7032400</v>
      </c>
    </row>
    <row r="11837" spans="1:2" x14ac:dyDescent="0.4">
      <c r="A11837" s="4">
        <v>1009000</v>
      </c>
      <c r="B11837">
        <v>7032700</v>
      </c>
    </row>
    <row r="11838" spans="1:2" x14ac:dyDescent="0.4">
      <c r="A11838" s="4">
        <v>1009000</v>
      </c>
      <c r="B11838">
        <v>7032800</v>
      </c>
    </row>
    <row r="11839" spans="1:2" x14ac:dyDescent="0.4">
      <c r="A11839" s="4">
        <v>1009000</v>
      </c>
      <c r="B11839">
        <v>7032900</v>
      </c>
    </row>
    <row r="11840" spans="1:2" x14ac:dyDescent="0.4">
      <c r="A11840" s="4">
        <v>1009000</v>
      </c>
      <c r="B11840">
        <v>7033200</v>
      </c>
    </row>
    <row r="11841" spans="1:2" x14ac:dyDescent="0.4">
      <c r="A11841" s="4">
        <v>1009000</v>
      </c>
      <c r="B11841">
        <v>7033400</v>
      </c>
    </row>
    <row r="11842" spans="1:2" x14ac:dyDescent="0.4">
      <c r="A11842" s="4">
        <v>1009000</v>
      </c>
      <c r="B11842">
        <v>7034100</v>
      </c>
    </row>
    <row r="11843" spans="1:2" x14ac:dyDescent="0.4">
      <c r="A11843" s="4">
        <v>1009000</v>
      </c>
      <c r="B11843">
        <v>7034400</v>
      </c>
    </row>
    <row r="11844" spans="1:2" x14ac:dyDescent="0.4">
      <c r="A11844" s="4">
        <v>1009000</v>
      </c>
      <c r="B11844">
        <v>7034500</v>
      </c>
    </row>
    <row r="11845" spans="1:2" x14ac:dyDescent="0.4">
      <c r="A11845" s="4">
        <v>1009000</v>
      </c>
      <c r="B11845">
        <v>7034600</v>
      </c>
    </row>
    <row r="11846" spans="1:2" x14ac:dyDescent="0.4">
      <c r="A11846" s="4">
        <v>1009000</v>
      </c>
      <c r="B11846">
        <v>7034700</v>
      </c>
    </row>
    <row r="11847" spans="1:2" x14ac:dyDescent="0.4">
      <c r="A11847" s="4">
        <v>1009000</v>
      </c>
      <c r="B11847">
        <v>7035100</v>
      </c>
    </row>
    <row r="11848" spans="1:2" x14ac:dyDescent="0.4">
      <c r="A11848" s="4">
        <v>1009000</v>
      </c>
      <c r="B11848">
        <v>7036100</v>
      </c>
    </row>
    <row r="11849" spans="1:2" x14ac:dyDescent="0.4">
      <c r="A11849" s="4">
        <v>1009000</v>
      </c>
      <c r="B11849">
        <v>7040000</v>
      </c>
    </row>
    <row r="11850" spans="1:2" x14ac:dyDescent="0.4">
      <c r="A11850" s="4">
        <v>1009000</v>
      </c>
      <c r="B11850">
        <v>7040100</v>
      </c>
    </row>
    <row r="11851" spans="1:2" x14ac:dyDescent="0.4">
      <c r="A11851" s="4">
        <v>1009000</v>
      </c>
      <c r="B11851">
        <v>7040200</v>
      </c>
    </row>
    <row r="11852" spans="1:2" x14ac:dyDescent="0.4">
      <c r="A11852" s="4">
        <v>1009000</v>
      </c>
      <c r="B11852">
        <v>7040300</v>
      </c>
    </row>
    <row r="11853" spans="1:2" x14ac:dyDescent="0.4">
      <c r="A11853" s="4">
        <v>1009000</v>
      </c>
      <c r="B11853">
        <v>7040400</v>
      </c>
    </row>
    <row r="11854" spans="1:2" x14ac:dyDescent="0.4">
      <c r="A11854" s="4">
        <v>1009000</v>
      </c>
      <c r="B11854">
        <v>7040500</v>
      </c>
    </row>
    <row r="11855" spans="1:2" x14ac:dyDescent="0.4">
      <c r="A11855" s="4">
        <v>1009000</v>
      </c>
      <c r="B11855">
        <v>7043000</v>
      </c>
    </row>
    <row r="11856" spans="1:2" x14ac:dyDescent="0.4">
      <c r="A11856" s="4">
        <v>1009000</v>
      </c>
      <c r="B11856">
        <v>7043100</v>
      </c>
    </row>
    <row r="11857" spans="1:2" x14ac:dyDescent="0.4">
      <c r="A11857" s="4">
        <v>1009000</v>
      </c>
      <c r="B11857">
        <v>7043200</v>
      </c>
    </row>
    <row r="11858" spans="1:2" x14ac:dyDescent="0.4">
      <c r="A11858" s="4">
        <v>1009000</v>
      </c>
      <c r="B11858">
        <v>7043300</v>
      </c>
    </row>
    <row r="11859" spans="1:2" x14ac:dyDescent="0.4">
      <c r="A11859" s="4">
        <v>1009000</v>
      </c>
      <c r="B11859">
        <v>7043400</v>
      </c>
    </row>
    <row r="11860" spans="1:2" x14ac:dyDescent="0.4">
      <c r="A11860" s="4">
        <v>1009000</v>
      </c>
      <c r="B11860">
        <v>7043500</v>
      </c>
    </row>
    <row r="11861" spans="1:2" x14ac:dyDescent="0.4">
      <c r="A11861" s="4">
        <v>1009000</v>
      </c>
      <c r="B11861">
        <v>7043600</v>
      </c>
    </row>
    <row r="11862" spans="1:2" x14ac:dyDescent="0.4">
      <c r="A11862" s="4">
        <v>1009000</v>
      </c>
      <c r="B11862">
        <v>7043700</v>
      </c>
    </row>
    <row r="11863" spans="1:2" x14ac:dyDescent="0.4">
      <c r="A11863" s="4">
        <v>1009000</v>
      </c>
      <c r="B11863">
        <v>7043800</v>
      </c>
    </row>
    <row r="11864" spans="1:2" x14ac:dyDescent="0.4">
      <c r="A11864" s="4">
        <v>1009000</v>
      </c>
      <c r="B11864">
        <v>7044000</v>
      </c>
    </row>
    <row r="11865" spans="1:2" x14ac:dyDescent="0.4">
      <c r="A11865" s="4">
        <v>1009000</v>
      </c>
      <c r="B11865">
        <v>7044100</v>
      </c>
    </row>
    <row r="11866" spans="1:2" x14ac:dyDescent="0.4">
      <c r="A11866" s="4">
        <v>1009000</v>
      </c>
      <c r="B11866">
        <v>7044200</v>
      </c>
    </row>
    <row r="11867" spans="1:2" x14ac:dyDescent="0.4">
      <c r="A11867" s="4">
        <v>1009000</v>
      </c>
      <c r="B11867">
        <v>7044300</v>
      </c>
    </row>
    <row r="11868" spans="1:2" x14ac:dyDescent="0.4">
      <c r="A11868" s="4">
        <v>1009000</v>
      </c>
      <c r="B11868">
        <v>7044400</v>
      </c>
    </row>
    <row r="11869" spans="1:2" x14ac:dyDescent="0.4">
      <c r="A11869" s="4">
        <v>1009000</v>
      </c>
      <c r="B11869">
        <v>7044500</v>
      </c>
    </row>
    <row r="11870" spans="1:2" x14ac:dyDescent="0.4">
      <c r="A11870" s="4">
        <v>1009000</v>
      </c>
      <c r="B11870">
        <v>7044600</v>
      </c>
    </row>
    <row r="11871" spans="1:2" x14ac:dyDescent="0.4">
      <c r="A11871" s="4">
        <v>1009000</v>
      </c>
      <c r="B11871">
        <v>7050000</v>
      </c>
    </row>
    <row r="11872" spans="1:2" x14ac:dyDescent="0.4">
      <c r="A11872" s="4">
        <v>1009000</v>
      </c>
      <c r="B11872">
        <v>7050100</v>
      </c>
    </row>
    <row r="11873" spans="1:2" x14ac:dyDescent="0.4">
      <c r="A11873" s="4">
        <v>1009000</v>
      </c>
      <c r="B11873">
        <v>7060000</v>
      </c>
    </row>
    <row r="11874" spans="1:2" x14ac:dyDescent="0.4">
      <c r="A11874" s="4">
        <v>1009000</v>
      </c>
      <c r="B11874">
        <v>7060100</v>
      </c>
    </row>
    <row r="11875" spans="1:2" x14ac:dyDescent="0.4">
      <c r="A11875" s="4">
        <v>1009000</v>
      </c>
      <c r="B11875">
        <v>7060200</v>
      </c>
    </row>
    <row r="11876" spans="1:2" x14ac:dyDescent="0.4">
      <c r="A11876" s="4">
        <v>1009000</v>
      </c>
      <c r="B11876">
        <v>7070000</v>
      </c>
    </row>
    <row r="11877" spans="1:2" x14ac:dyDescent="0.4">
      <c r="A11877" s="4">
        <v>1009000</v>
      </c>
      <c r="B11877">
        <v>7080000</v>
      </c>
    </row>
    <row r="11878" spans="1:2" x14ac:dyDescent="0.4">
      <c r="A11878" s="4">
        <v>1009000</v>
      </c>
      <c r="B11878">
        <v>7080100</v>
      </c>
    </row>
    <row r="11879" spans="1:2" x14ac:dyDescent="0.4">
      <c r="A11879" s="4">
        <v>1009000</v>
      </c>
      <c r="B11879">
        <v>7080200</v>
      </c>
    </row>
    <row r="11880" spans="1:2" x14ac:dyDescent="0.4">
      <c r="A11880" s="4">
        <v>1009000</v>
      </c>
      <c r="B11880">
        <v>7080300</v>
      </c>
    </row>
    <row r="11881" spans="1:2" x14ac:dyDescent="0.4">
      <c r="A11881" s="4">
        <v>1009000</v>
      </c>
      <c r="B11881">
        <v>7080400</v>
      </c>
    </row>
    <row r="11882" spans="1:2" x14ac:dyDescent="0.4">
      <c r="A11882" s="4">
        <v>1009000</v>
      </c>
      <c r="B11882">
        <v>7080500</v>
      </c>
    </row>
    <row r="11883" spans="1:2" x14ac:dyDescent="0.4">
      <c r="A11883" s="4">
        <v>1009000</v>
      </c>
      <c r="B11883">
        <v>7080600</v>
      </c>
    </row>
    <row r="11884" spans="1:2" x14ac:dyDescent="0.4">
      <c r="A11884" s="4">
        <v>1009000</v>
      </c>
      <c r="B11884">
        <v>7080700</v>
      </c>
    </row>
    <row r="11885" spans="1:2" x14ac:dyDescent="0.4">
      <c r="A11885" s="4">
        <v>1009000</v>
      </c>
      <c r="B11885">
        <v>7080800</v>
      </c>
    </row>
    <row r="11886" spans="1:2" x14ac:dyDescent="0.4">
      <c r="A11886" s="4">
        <v>1009000</v>
      </c>
      <c r="B11886">
        <v>7080900</v>
      </c>
    </row>
    <row r="11887" spans="1:2" x14ac:dyDescent="0.4">
      <c r="A11887" s="4">
        <v>1009000</v>
      </c>
      <c r="B11887">
        <v>7081000</v>
      </c>
    </row>
    <row r="11888" spans="1:2" x14ac:dyDescent="0.4">
      <c r="A11888" s="4">
        <v>1009000</v>
      </c>
      <c r="B11888">
        <v>7081100</v>
      </c>
    </row>
    <row r="11889" spans="1:2" x14ac:dyDescent="0.4">
      <c r="A11889" s="4">
        <v>1009000</v>
      </c>
      <c r="B11889">
        <v>7081200</v>
      </c>
    </row>
    <row r="11890" spans="1:2" x14ac:dyDescent="0.4">
      <c r="A11890" s="4">
        <v>1009000</v>
      </c>
      <c r="B11890">
        <v>7081300</v>
      </c>
    </row>
    <row r="11891" spans="1:2" x14ac:dyDescent="0.4">
      <c r="A11891" s="4">
        <v>1009000</v>
      </c>
      <c r="B11891">
        <v>7081400</v>
      </c>
    </row>
    <row r="11892" spans="1:2" x14ac:dyDescent="0.4">
      <c r="A11892" s="4">
        <v>1009000</v>
      </c>
      <c r="B11892">
        <v>7081500</v>
      </c>
    </row>
    <row r="11893" spans="1:2" x14ac:dyDescent="0.4">
      <c r="A11893" s="4">
        <v>1009000</v>
      </c>
      <c r="B11893">
        <v>7081700</v>
      </c>
    </row>
    <row r="11894" spans="1:2" x14ac:dyDescent="0.4">
      <c r="A11894" s="4">
        <v>1009000</v>
      </c>
      <c r="B11894">
        <v>7081800</v>
      </c>
    </row>
    <row r="11895" spans="1:2" x14ac:dyDescent="0.4">
      <c r="A11895" s="4">
        <v>1009000</v>
      </c>
      <c r="B11895">
        <v>7081900</v>
      </c>
    </row>
    <row r="11896" spans="1:2" x14ac:dyDescent="0.4">
      <c r="A11896" s="4">
        <v>1009000</v>
      </c>
      <c r="B11896">
        <v>7082000</v>
      </c>
    </row>
    <row r="11897" spans="1:2" x14ac:dyDescent="0.4">
      <c r="A11897" s="4">
        <v>1009000</v>
      </c>
      <c r="B11897">
        <v>7082100</v>
      </c>
    </row>
    <row r="11898" spans="1:2" x14ac:dyDescent="0.4">
      <c r="A11898" s="4">
        <v>1009000</v>
      </c>
      <c r="B11898">
        <v>7082200</v>
      </c>
    </row>
    <row r="11899" spans="1:2" x14ac:dyDescent="0.4">
      <c r="A11899" s="4">
        <v>1009000</v>
      </c>
      <c r="B11899">
        <v>7082300</v>
      </c>
    </row>
    <row r="11900" spans="1:2" x14ac:dyDescent="0.4">
      <c r="A11900" s="4">
        <v>1009000</v>
      </c>
      <c r="B11900">
        <v>7082400</v>
      </c>
    </row>
    <row r="11901" spans="1:2" x14ac:dyDescent="0.4">
      <c r="A11901" s="4">
        <v>1009000</v>
      </c>
      <c r="B11901">
        <v>7082500</v>
      </c>
    </row>
    <row r="11902" spans="1:2" x14ac:dyDescent="0.4">
      <c r="A11902" s="4">
        <v>1009000</v>
      </c>
      <c r="B11902">
        <v>7082600</v>
      </c>
    </row>
    <row r="11903" spans="1:2" x14ac:dyDescent="0.4">
      <c r="A11903" s="4">
        <v>1009000</v>
      </c>
      <c r="B11903">
        <v>7082700</v>
      </c>
    </row>
    <row r="11904" spans="1:2" x14ac:dyDescent="0.4">
      <c r="A11904" s="4">
        <v>1009000</v>
      </c>
      <c r="B11904">
        <v>7082800</v>
      </c>
    </row>
    <row r="11905" spans="1:2" x14ac:dyDescent="0.4">
      <c r="A11905" s="4">
        <v>1009000</v>
      </c>
      <c r="B11905">
        <v>7082900</v>
      </c>
    </row>
    <row r="11906" spans="1:2" x14ac:dyDescent="0.4">
      <c r="A11906" s="4">
        <v>1009000</v>
      </c>
      <c r="B11906">
        <v>7090000</v>
      </c>
    </row>
    <row r="11907" spans="1:2" x14ac:dyDescent="0.4">
      <c r="A11907" s="4">
        <v>1009000</v>
      </c>
      <c r="B11907">
        <v>7090100</v>
      </c>
    </row>
    <row r="11908" spans="1:2" x14ac:dyDescent="0.4">
      <c r="A11908" s="4">
        <v>1009000</v>
      </c>
      <c r="B11908">
        <v>7090300</v>
      </c>
    </row>
    <row r="11909" spans="1:2" x14ac:dyDescent="0.4">
      <c r="A11909" s="4">
        <v>1009000</v>
      </c>
      <c r="B11909">
        <v>7100100</v>
      </c>
    </row>
    <row r="11910" spans="1:2" x14ac:dyDescent="0.4">
      <c r="A11910" s="4">
        <v>1009000</v>
      </c>
      <c r="B11910">
        <v>7110000</v>
      </c>
    </row>
    <row r="11911" spans="1:2" x14ac:dyDescent="0.4">
      <c r="A11911" s="4">
        <v>1009000</v>
      </c>
      <c r="B11911">
        <v>7120000</v>
      </c>
    </row>
    <row r="11912" spans="1:2" x14ac:dyDescent="0.4">
      <c r="A11912" s="4">
        <v>1009000</v>
      </c>
      <c r="B11912">
        <v>7120100</v>
      </c>
    </row>
    <row r="11913" spans="1:2" x14ac:dyDescent="0.4">
      <c r="A11913" s="4">
        <v>1009000</v>
      </c>
      <c r="B11913">
        <v>7120200</v>
      </c>
    </row>
    <row r="11914" spans="1:2" x14ac:dyDescent="0.4">
      <c r="A11914" s="4">
        <v>1009000</v>
      </c>
      <c r="B11914">
        <v>7120300</v>
      </c>
    </row>
    <row r="11915" spans="1:2" x14ac:dyDescent="0.4">
      <c r="A11915" s="4">
        <v>1009000</v>
      </c>
      <c r="B11915">
        <v>7120400</v>
      </c>
    </row>
    <row r="11916" spans="1:2" x14ac:dyDescent="0.4">
      <c r="A11916" s="4">
        <v>1009000</v>
      </c>
      <c r="B11916">
        <v>7120500</v>
      </c>
    </row>
    <row r="11917" spans="1:2" x14ac:dyDescent="0.4">
      <c r="A11917" s="4">
        <v>1009000</v>
      </c>
      <c r="B11917">
        <v>7120600</v>
      </c>
    </row>
    <row r="11918" spans="1:2" x14ac:dyDescent="0.4">
      <c r="A11918" s="4">
        <v>1009000</v>
      </c>
      <c r="B11918">
        <v>7120900</v>
      </c>
    </row>
    <row r="11919" spans="1:2" x14ac:dyDescent="0.4">
      <c r="A11919" s="4">
        <v>1009000</v>
      </c>
      <c r="B11919">
        <v>7121000</v>
      </c>
    </row>
    <row r="11920" spans="1:2" x14ac:dyDescent="0.4">
      <c r="A11920" s="4">
        <v>1009000</v>
      </c>
      <c r="B11920">
        <v>7121100</v>
      </c>
    </row>
    <row r="11921" spans="1:2" x14ac:dyDescent="0.4">
      <c r="A11921" s="4">
        <v>1009000</v>
      </c>
      <c r="B11921">
        <v>7121200</v>
      </c>
    </row>
    <row r="11922" spans="1:2" x14ac:dyDescent="0.4">
      <c r="A11922" s="4">
        <v>1009000</v>
      </c>
      <c r="B11922">
        <v>7121300</v>
      </c>
    </row>
    <row r="11923" spans="1:2" x14ac:dyDescent="0.4">
      <c r="A11923" s="4">
        <v>1009000</v>
      </c>
      <c r="B11923">
        <v>7121400</v>
      </c>
    </row>
    <row r="11924" spans="1:2" x14ac:dyDescent="0.4">
      <c r="A11924" s="4">
        <v>1009000</v>
      </c>
      <c r="B11924">
        <v>7121500</v>
      </c>
    </row>
    <row r="11925" spans="1:2" x14ac:dyDescent="0.4">
      <c r="A11925" s="4">
        <v>1009000</v>
      </c>
      <c r="B11925">
        <v>7121600</v>
      </c>
    </row>
    <row r="11926" spans="1:2" x14ac:dyDescent="0.4">
      <c r="A11926" s="4">
        <v>1009000</v>
      </c>
      <c r="B11926">
        <v>7121700</v>
      </c>
    </row>
    <row r="11927" spans="1:2" x14ac:dyDescent="0.4">
      <c r="A11927" s="4">
        <v>1009000</v>
      </c>
      <c r="B11927">
        <v>7121800</v>
      </c>
    </row>
    <row r="11928" spans="1:2" x14ac:dyDescent="0.4">
      <c r="A11928" s="4">
        <v>1009000</v>
      </c>
      <c r="B11928">
        <v>7121900</v>
      </c>
    </row>
    <row r="11929" spans="1:2" x14ac:dyDescent="0.4">
      <c r="A11929" s="4">
        <v>1009000</v>
      </c>
      <c r="B11929">
        <v>7122000</v>
      </c>
    </row>
    <row r="11930" spans="1:2" x14ac:dyDescent="0.4">
      <c r="A11930" s="4">
        <v>1009000</v>
      </c>
      <c r="B11930">
        <v>7122100</v>
      </c>
    </row>
    <row r="11931" spans="1:2" x14ac:dyDescent="0.4">
      <c r="A11931" s="4">
        <v>1009000</v>
      </c>
      <c r="B11931">
        <v>7122200</v>
      </c>
    </row>
    <row r="11932" spans="1:2" x14ac:dyDescent="0.4">
      <c r="A11932" s="4">
        <v>1009000</v>
      </c>
      <c r="B11932">
        <v>7122300</v>
      </c>
    </row>
    <row r="11933" spans="1:2" x14ac:dyDescent="0.4">
      <c r="A11933" s="4">
        <v>1009000</v>
      </c>
      <c r="B11933">
        <v>7122400</v>
      </c>
    </row>
    <row r="11934" spans="1:2" x14ac:dyDescent="0.4">
      <c r="A11934" s="4">
        <v>1009000</v>
      </c>
      <c r="B11934">
        <v>7122500</v>
      </c>
    </row>
    <row r="11935" spans="1:2" x14ac:dyDescent="0.4">
      <c r="A11935" s="4">
        <v>1009000</v>
      </c>
      <c r="B11935">
        <v>7122600</v>
      </c>
    </row>
    <row r="11936" spans="1:2" x14ac:dyDescent="0.4">
      <c r="A11936" s="4">
        <v>1009000</v>
      </c>
      <c r="B11936">
        <v>7122700</v>
      </c>
    </row>
    <row r="11937" spans="1:2" x14ac:dyDescent="0.4">
      <c r="A11937" s="4">
        <v>1009000</v>
      </c>
      <c r="B11937">
        <v>7122800</v>
      </c>
    </row>
    <row r="11938" spans="1:2" x14ac:dyDescent="0.4">
      <c r="A11938" s="4">
        <v>1009000</v>
      </c>
      <c r="B11938">
        <v>7122900</v>
      </c>
    </row>
    <row r="11939" spans="1:2" x14ac:dyDescent="0.4">
      <c r="A11939" s="4">
        <v>1009000</v>
      </c>
      <c r="B11939">
        <v>7123000</v>
      </c>
    </row>
    <row r="11940" spans="1:2" x14ac:dyDescent="0.4">
      <c r="A11940" s="4">
        <v>1009000</v>
      </c>
      <c r="B11940">
        <v>7123100</v>
      </c>
    </row>
    <row r="11941" spans="1:2" x14ac:dyDescent="0.4">
      <c r="A11941" s="4">
        <v>1009000</v>
      </c>
      <c r="B11941">
        <v>7123200</v>
      </c>
    </row>
    <row r="11942" spans="1:2" x14ac:dyDescent="0.4">
      <c r="A11942" s="4">
        <v>1009000</v>
      </c>
      <c r="B11942">
        <v>7123300</v>
      </c>
    </row>
    <row r="11943" spans="1:2" x14ac:dyDescent="0.4">
      <c r="A11943" s="4">
        <v>1009000</v>
      </c>
      <c r="B11943">
        <v>7123400</v>
      </c>
    </row>
    <row r="11944" spans="1:2" x14ac:dyDescent="0.4">
      <c r="A11944" s="4">
        <v>1009000</v>
      </c>
      <c r="B11944">
        <v>7123500</v>
      </c>
    </row>
    <row r="11945" spans="1:2" x14ac:dyDescent="0.4">
      <c r="A11945" s="4">
        <v>1009000</v>
      </c>
      <c r="B11945">
        <v>7123600</v>
      </c>
    </row>
    <row r="11946" spans="1:2" x14ac:dyDescent="0.4">
      <c r="A11946" s="4">
        <v>1009000</v>
      </c>
      <c r="B11946">
        <v>7123700</v>
      </c>
    </row>
    <row r="11947" spans="1:2" x14ac:dyDescent="0.4">
      <c r="A11947" s="4">
        <v>1009000</v>
      </c>
      <c r="B11947">
        <v>7123800</v>
      </c>
    </row>
    <row r="11948" spans="1:2" x14ac:dyDescent="0.4">
      <c r="A11948" s="4">
        <v>1009000</v>
      </c>
      <c r="B11948">
        <v>7123900</v>
      </c>
    </row>
    <row r="11949" spans="1:2" x14ac:dyDescent="0.4">
      <c r="A11949" s="4">
        <v>1009000</v>
      </c>
      <c r="B11949">
        <v>7124000</v>
      </c>
    </row>
    <row r="11950" spans="1:2" x14ac:dyDescent="0.4">
      <c r="A11950" s="4">
        <v>1009000</v>
      </c>
      <c r="B11950">
        <v>7124100</v>
      </c>
    </row>
    <row r="11951" spans="1:2" x14ac:dyDescent="0.4">
      <c r="A11951" s="4">
        <v>1009000</v>
      </c>
      <c r="B11951">
        <v>7124300</v>
      </c>
    </row>
    <row r="11952" spans="1:2" x14ac:dyDescent="0.4">
      <c r="A11952" s="4">
        <v>1009000</v>
      </c>
      <c r="B11952">
        <v>7124400</v>
      </c>
    </row>
    <row r="11953" spans="1:2" x14ac:dyDescent="0.4">
      <c r="A11953" s="4">
        <v>1009000</v>
      </c>
      <c r="B11953">
        <v>7124500</v>
      </c>
    </row>
    <row r="11954" spans="1:2" x14ac:dyDescent="0.4">
      <c r="A11954" s="4">
        <v>1009000</v>
      </c>
      <c r="B11954">
        <v>7124600</v>
      </c>
    </row>
    <row r="11955" spans="1:2" x14ac:dyDescent="0.4">
      <c r="A11955" s="4">
        <v>1009000</v>
      </c>
      <c r="B11955">
        <v>7124700</v>
      </c>
    </row>
    <row r="11956" spans="1:2" x14ac:dyDescent="0.4">
      <c r="A11956" s="4">
        <v>1009000</v>
      </c>
      <c r="B11956">
        <v>7126000</v>
      </c>
    </row>
    <row r="11957" spans="1:2" x14ac:dyDescent="0.4">
      <c r="A11957" s="4">
        <v>1009000</v>
      </c>
      <c r="B11957">
        <v>7150000</v>
      </c>
    </row>
    <row r="11958" spans="1:2" x14ac:dyDescent="0.4">
      <c r="A11958" s="4">
        <v>1009000</v>
      </c>
      <c r="B11958">
        <v>7160000</v>
      </c>
    </row>
    <row r="11959" spans="1:2" x14ac:dyDescent="0.4">
      <c r="A11959" s="4">
        <v>1009000</v>
      </c>
      <c r="B11959">
        <v>7220000</v>
      </c>
    </row>
    <row r="11960" spans="1:2" x14ac:dyDescent="0.4">
      <c r="A11960" s="4">
        <v>1009000</v>
      </c>
      <c r="B11960">
        <v>7230000</v>
      </c>
    </row>
    <row r="11961" spans="1:2" x14ac:dyDescent="0.4">
      <c r="A11961" s="4">
        <v>1009000</v>
      </c>
      <c r="B11961">
        <v>7240000</v>
      </c>
    </row>
    <row r="11962" spans="1:2" x14ac:dyDescent="0.4">
      <c r="A11962" s="4">
        <v>1009000</v>
      </c>
      <c r="B11962">
        <v>7260000</v>
      </c>
    </row>
    <row r="11963" spans="1:2" x14ac:dyDescent="0.4">
      <c r="A11963" s="4">
        <v>1009000</v>
      </c>
      <c r="B11963">
        <v>7260300</v>
      </c>
    </row>
    <row r="11964" spans="1:2" x14ac:dyDescent="0.4">
      <c r="A11964" s="4">
        <v>1009000</v>
      </c>
      <c r="B11964">
        <v>7260400</v>
      </c>
    </row>
    <row r="11965" spans="1:2" x14ac:dyDescent="0.4">
      <c r="A11965" s="4">
        <v>1009000</v>
      </c>
      <c r="B11965">
        <v>7270100</v>
      </c>
    </row>
    <row r="11966" spans="1:2" x14ac:dyDescent="0.4">
      <c r="A11966" s="4">
        <v>1009000</v>
      </c>
      <c r="B11966">
        <v>7280000</v>
      </c>
    </row>
    <row r="11967" spans="1:2" x14ac:dyDescent="0.4">
      <c r="A11967" s="4">
        <v>1009000</v>
      </c>
      <c r="B11967">
        <v>7290000</v>
      </c>
    </row>
    <row r="11968" spans="1:2" x14ac:dyDescent="0.4">
      <c r="A11968" s="4">
        <v>1009000</v>
      </c>
      <c r="B11968">
        <v>7310000</v>
      </c>
    </row>
    <row r="11969" spans="1:2" x14ac:dyDescent="0.4">
      <c r="A11969" s="4">
        <v>1009000</v>
      </c>
      <c r="B11969">
        <v>7330000</v>
      </c>
    </row>
    <row r="11970" spans="1:2" x14ac:dyDescent="0.4">
      <c r="A11970" s="4">
        <v>1009000</v>
      </c>
      <c r="B11970">
        <v>7330100</v>
      </c>
    </row>
    <row r="11971" spans="1:2" x14ac:dyDescent="0.4">
      <c r="A11971" s="4">
        <v>1009000</v>
      </c>
      <c r="B11971">
        <v>7330200</v>
      </c>
    </row>
    <row r="11972" spans="1:2" x14ac:dyDescent="0.4">
      <c r="A11972" s="4">
        <v>1009000</v>
      </c>
      <c r="B11972">
        <v>7330300</v>
      </c>
    </row>
    <row r="11973" spans="1:2" x14ac:dyDescent="0.4">
      <c r="A11973" s="4">
        <v>1009000</v>
      </c>
      <c r="B11973">
        <v>7330400</v>
      </c>
    </row>
    <row r="11974" spans="1:2" x14ac:dyDescent="0.4">
      <c r="A11974" s="4">
        <v>1009000</v>
      </c>
      <c r="B11974">
        <v>7330500</v>
      </c>
    </row>
    <row r="11975" spans="1:2" x14ac:dyDescent="0.4">
      <c r="A11975" s="4">
        <v>1009000</v>
      </c>
      <c r="B11975">
        <v>7330600</v>
      </c>
    </row>
    <row r="11976" spans="1:2" x14ac:dyDescent="0.4">
      <c r="A11976" s="4">
        <v>1009000</v>
      </c>
      <c r="B11976">
        <v>7330700</v>
      </c>
    </row>
    <row r="11977" spans="1:2" x14ac:dyDescent="0.4">
      <c r="A11977" s="4">
        <v>1009000</v>
      </c>
      <c r="B11977">
        <v>7330800</v>
      </c>
    </row>
    <row r="11978" spans="1:2" x14ac:dyDescent="0.4">
      <c r="A11978" s="4">
        <v>1009000</v>
      </c>
      <c r="B11978">
        <v>7330900</v>
      </c>
    </row>
    <row r="11979" spans="1:2" x14ac:dyDescent="0.4">
      <c r="A11979" s="4">
        <v>1009000</v>
      </c>
      <c r="B11979">
        <v>7331000</v>
      </c>
    </row>
    <row r="11980" spans="1:2" x14ac:dyDescent="0.4">
      <c r="A11980" s="4">
        <v>1009000</v>
      </c>
      <c r="B11980">
        <v>7331100</v>
      </c>
    </row>
    <row r="11981" spans="1:2" x14ac:dyDescent="0.4">
      <c r="A11981" s="4">
        <v>1009000</v>
      </c>
      <c r="B11981">
        <v>7331200</v>
      </c>
    </row>
    <row r="11982" spans="1:2" x14ac:dyDescent="0.4">
      <c r="A11982" s="4">
        <v>1009000</v>
      </c>
      <c r="B11982">
        <v>7331300</v>
      </c>
    </row>
    <row r="11983" spans="1:2" x14ac:dyDescent="0.4">
      <c r="A11983" s="4">
        <v>1009000</v>
      </c>
      <c r="B11983">
        <v>7331400</v>
      </c>
    </row>
    <row r="11984" spans="1:2" x14ac:dyDescent="0.4">
      <c r="A11984" s="4">
        <v>1009000</v>
      </c>
      <c r="B11984">
        <v>7331500</v>
      </c>
    </row>
    <row r="11985" spans="1:2" x14ac:dyDescent="0.4">
      <c r="A11985" s="4">
        <v>1009000</v>
      </c>
      <c r="B11985">
        <v>7331700</v>
      </c>
    </row>
    <row r="11986" spans="1:2" x14ac:dyDescent="0.4">
      <c r="A11986" s="4">
        <v>1009000</v>
      </c>
      <c r="B11986">
        <v>7331800</v>
      </c>
    </row>
    <row r="11987" spans="1:2" x14ac:dyDescent="0.4">
      <c r="A11987" s="4">
        <v>1009000</v>
      </c>
      <c r="B11987">
        <v>7331900</v>
      </c>
    </row>
    <row r="11988" spans="1:2" x14ac:dyDescent="0.4">
      <c r="A11988" s="4">
        <v>1009000</v>
      </c>
      <c r="B11988">
        <v>7332000</v>
      </c>
    </row>
    <row r="11989" spans="1:2" x14ac:dyDescent="0.4">
      <c r="A11989" s="4">
        <v>1009000</v>
      </c>
      <c r="B11989">
        <v>7332100</v>
      </c>
    </row>
    <row r="11990" spans="1:2" x14ac:dyDescent="0.4">
      <c r="A11990" s="4">
        <v>1009000</v>
      </c>
      <c r="B11990">
        <v>7332200</v>
      </c>
    </row>
    <row r="11991" spans="1:2" x14ac:dyDescent="0.4">
      <c r="A11991" s="4">
        <v>1009000</v>
      </c>
      <c r="B11991">
        <v>7332300</v>
      </c>
    </row>
    <row r="11992" spans="1:2" x14ac:dyDescent="0.4">
      <c r="A11992" s="4">
        <v>1009000</v>
      </c>
      <c r="B11992">
        <v>7332400</v>
      </c>
    </row>
    <row r="11993" spans="1:2" x14ac:dyDescent="0.4">
      <c r="A11993" s="4">
        <v>1009000</v>
      </c>
      <c r="B11993">
        <v>7340000</v>
      </c>
    </row>
    <row r="11994" spans="1:2" x14ac:dyDescent="0.4">
      <c r="A11994" s="4">
        <v>1009000</v>
      </c>
      <c r="B11994">
        <v>7340100</v>
      </c>
    </row>
    <row r="11995" spans="1:2" x14ac:dyDescent="0.4">
      <c r="A11995" s="4">
        <v>1009000</v>
      </c>
      <c r="B11995">
        <v>7340200</v>
      </c>
    </row>
    <row r="11996" spans="1:2" x14ac:dyDescent="0.4">
      <c r="A11996" s="4">
        <v>1009000</v>
      </c>
      <c r="B11996">
        <v>7340300</v>
      </c>
    </row>
    <row r="11997" spans="1:2" x14ac:dyDescent="0.4">
      <c r="A11997" s="4">
        <v>1009000</v>
      </c>
      <c r="B11997">
        <v>7340400</v>
      </c>
    </row>
    <row r="11998" spans="1:2" x14ac:dyDescent="0.4">
      <c r="A11998" s="4">
        <v>1009000</v>
      </c>
      <c r="B11998">
        <v>7340500</v>
      </c>
    </row>
    <row r="11999" spans="1:2" x14ac:dyDescent="0.4">
      <c r="A11999" s="4">
        <v>1009000</v>
      </c>
      <c r="B11999">
        <v>7340600</v>
      </c>
    </row>
    <row r="12000" spans="1:2" x14ac:dyDescent="0.4">
      <c r="A12000" s="4">
        <v>1009000</v>
      </c>
      <c r="B12000">
        <v>7340700</v>
      </c>
    </row>
    <row r="12001" spans="1:2" x14ac:dyDescent="0.4">
      <c r="A12001" s="4">
        <v>1009000</v>
      </c>
      <c r="B12001">
        <v>7340800</v>
      </c>
    </row>
    <row r="12002" spans="1:2" x14ac:dyDescent="0.4">
      <c r="A12002" s="4">
        <v>1009000</v>
      </c>
      <c r="B12002">
        <v>7340900</v>
      </c>
    </row>
    <row r="12003" spans="1:2" x14ac:dyDescent="0.4">
      <c r="A12003" s="4">
        <v>1009000</v>
      </c>
      <c r="B12003">
        <v>7341000</v>
      </c>
    </row>
    <row r="12004" spans="1:2" x14ac:dyDescent="0.4">
      <c r="A12004" s="4">
        <v>1009000</v>
      </c>
      <c r="B12004">
        <v>7341100</v>
      </c>
    </row>
    <row r="12005" spans="1:2" x14ac:dyDescent="0.4">
      <c r="A12005" s="4">
        <v>1009000</v>
      </c>
      <c r="B12005">
        <v>7341200</v>
      </c>
    </row>
    <row r="12006" spans="1:2" x14ac:dyDescent="0.4">
      <c r="A12006" s="4">
        <v>1009000</v>
      </c>
      <c r="B12006">
        <v>7341300</v>
      </c>
    </row>
    <row r="12007" spans="1:2" x14ac:dyDescent="0.4">
      <c r="A12007" s="4">
        <v>1009000</v>
      </c>
      <c r="B12007">
        <v>7341400</v>
      </c>
    </row>
    <row r="12008" spans="1:2" x14ac:dyDescent="0.4">
      <c r="A12008" s="4">
        <v>1009000</v>
      </c>
      <c r="B12008">
        <v>7341500</v>
      </c>
    </row>
    <row r="12009" spans="1:2" x14ac:dyDescent="0.4">
      <c r="A12009" s="4">
        <v>1009000</v>
      </c>
      <c r="B12009">
        <v>7341700</v>
      </c>
    </row>
    <row r="12010" spans="1:2" x14ac:dyDescent="0.4">
      <c r="A12010" s="4">
        <v>1009000</v>
      </c>
      <c r="B12010">
        <v>7341800</v>
      </c>
    </row>
    <row r="12011" spans="1:2" x14ac:dyDescent="0.4">
      <c r="A12011" s="4">
        <v>1009000</v>
      </c>
      <c r="B12011">
        <v>7341900</v>
      </c>
    </row>
    <row r="12012" spans="1:2" x14ac:dyDescent="0.4">
      <c r="A12012" s="4">
        <v>1009000</v>
      </c>
      <c r="B12012">
        <v>7342000</v>
      </c>
    </row>
    <row r="12013" spans="1:2" x14ac:dyDescent="0.4">
      <c r="A12013" s="4">
        <v>1009000</v>
      </c>
      <c r="B12013">
        <v>7342100</v>
      </c>
    </row>
    <row r="12014" spans="1:2" x14ac:dyDescent="0.4">
      <c r="A12014" s="4">
        <v>1009000</v>
      </c>
      <c r="B12014">
        <v>7342200</v>
      </c>
    </row>
    <row r="12015" spans="1:2" x14ac:dyDescent="0.4">
      <c r="A12015" s="4">
        <v>1009000</v>
      </c>
      <c r="B12015">
        <v>7342300</v>
      </c>
    </row>
    <row r="12016" spans="1:2" x14ac:dyDescent="0.4">
      <c r="A12016" s="4">
        <v>1009000</v>
      </c>
      <c r="B12016">
        <v>7342400</v>
      </c>
    </row>
    <row r="12017" spans="1:2" x14ac:dyDescent="0.4">
      <c r="A12017" s="4">
        <v>1009000</v>
      </c>
      <c r="B12017">
        <v>7350000</v>
      </c>
    </row>
    <row r="12018" spans="1:2" x14ac:dyDescent="0.4">
      <c r="A12018" s="4">
        <v>1009000</v>
      </c>
      <c r="B12018">
        <v>7350100</v>
      </c>
    </row>
    <row r="12019" spans="1:2" x14ac:dyDescent="0.4">
      <c r="A12019" s="4">
        <v>1009000</v>
      </c>
      <c r="B12019">
        <v>7350200</v>
      </c>
    </row>
    <row r="12020" spans="1:2" x14ac:dyDescent="0.4">
      <c r="A12020" s="4">
        <v>1009000</v>
      </c>
      <c r="B12020">
        <v>7350300</v>
      </c>
    </row>
    <row r="12021" spans="1:2" x14ac:dyDescent="0.4">
      <c r="A12021" s="4">
        <v>1009000</v>
      </c>
      <c r="B12021">
        <v>7350400</v>
      </c>
    </row>
    <row r="12022" spans="1:2" x14ac:dyDescent="0.4">
      <c r="A12022" s="4">
        <v>1009000</v>
      </c>
      <c r="B12022">
        <v>7350500</v>
      </c>
    </row>
    <row r="12023" spans="1:2" x14ac:dyDescent="0.4">
      <c r="A12023" s="4">
        <v>1009000</v>
      </c>
      <c r="B12023">
        <v>7350600</v>
      </c>
    </row>
    <row r="12024" spans="1:2" x14ac:dyDescent="0.4">
      <c r="A12024" s="4">
        <v>1009000</v>
      </c>
      <c r="B12024">
        <v>7350700</v>
      </c>
    </row>
    <row r="12025" spans="1:2" x14ac:dyDescent="0.4">
      <c r="A12025" s="4">
        <v>1009000</v>
      </c>
      <c r="B12025">
        <v>7350800</v>
      </c>
    </row>
    <row r="12026" spans="1:2" x14ac:dyDescent="0.4">
      <c r="A12026" s="4">
        <v>1009000</v>
      </c>
      <c r="B12026">
        <v>7350900</v>
      </c>
    </row>
    <row r="12027" spans="1:2" x14ac:dyDescent="0.4">
      <c r="A12027" s="4">
        <v>1009000</v>
      </c>
      <c r="B12027">
        <v>7351000</v>
      </c>
    </row>
    <row r="12028" spans="1:2" x14ac:dyDescent="0.4">
      <c r="A12028" s="4">
        <v>1009000</v>
      </c>
      <c r="B12028">
        <v>7351100</v>
      </c>
    </row>
    <row r="12029" spans="1:2" x14ac:dyDescent="0.4">
      <c r="A12029" s="4">
        <v>1009000</v>
      </c>
      <c r="B12029">
        <v>7351200</v>
      </c>
    </row>
    <row r="12030" spans="1:2" x14ac:dyDescent="0.4">
      <c r="A12030" s="4">
        <v>1009000</v>
      </c>
      <c r="B12030">
        <v>7351300</v>
      </c>
    </row>
    <row r="12031" spans="1:2" x14ac:dyDescent="0.4">
      <c r="A12031" s="4">
        <v>1009000</v>
      </c>
      <c r="B12031">
        <v>7351400</v>
      </c>
    </row>
    <row r="12032" spans="1:2" x14ac:dyDescent="0.4">
      <c r="A12032" s="4">
        <v>1009000</v>
      </c>
      <c r="B12032">
        <v>7351500</v>
      </c>
    </row>
    <row r="12033" spans="1:2" x14ac:dyDescent="0.4">
      <c r="A12033" s="4">
        <v>1009000</v>
      </c>
      <c r="B12033">
        <v>7351700</v>
      </c>
    </row>
    <row r="12034" spans="1:2" x14ac:dyDescent="0.4">
      <c r="A12034" s="4">
        <v>1009000</v>
      </c>
      <c r="B12034">
        <v>7351800</v>
      </c>
    </row>
    <row r="12035" spans="1:2" x14ac:dyDescent="0.4">
      <c r="A12035" s="4">
        <v>1009000</v>
      </c>
      <c r="B12035">
        <v>7351900</v>
      </c>
    </row>
    <row r="12036" spans="1:2" x14ac:dyDescent="0.4">
      <c r="A12036" s="4">
        <v>1009000</v>
      </c>
      <c r="B12036">
        <v>7352000</v>
      </c>
    </row>
    <row r="12037" spans="1:2" x14ac:dyDescent="0.4">
      <c r="A12037" s="4">
        <v>1009000</v>
      </c>
      <c r="B12037">
        <v>7352100</v>
      </c>
    </row>
    <row r="12038" spans="1:2" x14ac:dyDescent="0.4">
      <c r="A12038" s="4">
        <v>1009000</v>
      </c>
      <c r="B12038">
        <v>7352200</v>
      </c>
    </row>
    <row r="12039" spans="1:2" x14ac:dyDescent="0.4">
      <c r="A12039" s="4">
        <v>1009000</v>
      </c>
      <c r="B12039">
        <v>7352300</v>
      </c>
    </row>
    <row r="12040" spans="1:2" x14ac:dyDescent="0.4">
      <c r="A12040" s="4">
        <v>1009000</v>
      </c>
      <c r="B12040">
        <v>7352400</v>
      </c>
    </row>
    <row r="12041" spans="1:2" x14ac:dyDescent="0.4">
      <c r="A12041" s="4">
        <v>1009000</v>
      </c>
      <c r="B12041">
        <v>7360600</v>
      </c>
    </row>
    <row r="12042" spans="1:2" x14ac:dyDescent="0.4">
      <c r="A12042" s="4">
        <v>1009000</v>
      </c>
      <c r="B12042">
        <v>7360900</v>
      </c>
    </row>
    <row r="12043" spans="1:2" x14ac:dyDescent="0.4">
      <c r="A12043" s="4">
        <v>1009000</v>
      </c>
      <c r="B12043">
        <v>7361200</v>
      </c>
    </row>
    <row r="12044" spans="1:2" x14ac:dyDescent="0.4">
      <c r="A12044" s="4">
        <v>1009000</v>
      </c>
      <c r="B12044">
        <v>7361300</v>
      </c>
    </row>
    <row r="12045" spans="1:2" x14ac:dyDescent="0.4">
      <c r="A12045" s="4">
        <v>1009000</v>
      </c>
      <c r="B12045">
        <v>7362100</v>
      </c>
    </row>
    <row r="12046" spans="1:2" x14ac:dyDescent="0.4">
      <c r="A12046" s="4">
        <v>1009000</v>
      </c>
      <c r="B12046">
        <v>7370300</v>
      </c>
    </row>
    <row r="12047" spans="1:2" x14ac:dyDescent="0.4">
      <c r="A12047" s="4">
        <v>1009000</v>
      </c>
      <c r="B12047">
        <v>7370400</v>
      </c>
    </row>
    <row r="12048" spans="1:2" x14ac:dyDescent="0.4">
      <c r="A12048" s="4">
        <v>1009000</v>
      </c>
      <c r="B12048">
        <v>7370600</v>
      </c>
    </row>
    <row r="12049" spans="1:2" x14ac:dyDescent="0.4">
      <c r="A12049" s="4">
        <v>1009000</v>
      </c>
      <c r="B12049">
        <v>7370900</v>
      </c>
    </row>
    <row r="12050" spans="1:2" x14ac:dyDescent="0.4">
      <c r="A12050" s="4">
        <v>1009000</v>
      </c>
      <c r="B12050">
        <v>7371500</v>
      </c>
    </row>
    <row r="12051" spans="1:2" x14ac:dyDescent="0.4">
      <c r="A12051" s="4">
        <v>1009000</v>
      </c>
      <c r="B12051">
        <v>7036200</v>
      </c>
    </row>
    <row r="12052" spans="1:2" x14ac:dyDescent="0.4">
      <c r="A12052" s="4">
        <v>1009000</v>
      </c>
      <c r="B12052">
        <v>7036300</v>
      </c>
    </row>
    <row r="12053" spans="1:2" x14ac:dyDescent="0.4">
      <c r="A12053" s="4">
        <v>1009000</v>
      </c>
      <c r="B12053">
        <v>7036400</v>
      </c>
    </row>
    <row r="12054" spans="1:2" x14ac:dyDescent="0.4">
      <c r="A12054" s="4">
        <v>1009000</v>
      </c>
      <c r="B12054">
        <v>7036500</v>
      </c>
    </row>
    <row r="12055" spans="1:2" x14ac:dyDescent="0.4">
      <c r="A12055" s="4">
        <v>1009000</v>
      </c>
      <c r="B12055">
        <v>7036800</v>
      </c>
    </row>
    <row r="12056" spans="1:2" x14ac:dyDescent="0.4">
      <c r="A12056" s="4">
        <v>1009000</v>
      </c>
      <c r="B12056">
        <v>7036900</v>
      </c>
    </row>
    <row r="12057" spans="1:2" x14ac:dyDescent="0.4">
      <c r="A12057" s="4">
        <v>1009000</v>
      </c>
      <c r="B12057">
        <v>7037000</v>
      </c>
    </row>
    <row r="12058" spans="1:2" x14ac:dyDescent="0.4">
      <c r="A12058" s="4">
        <v>1009000</v>
      </c>
      <c r="B12058">
        <v>7037300</v>
      </c>
    </row>
    <row r="12059" spans="1:2" x14ac:dyDescent="0.4">
      <c r="A12059" s="4">
        <v>1009000</v>
      </c>
      <c r="B12059">
        <v>6630000</v>
      </c>
    </row>
    <row r="12060" spans="1:2" x14ac:dyDescent="0.4">
      <c r="A12060" s="4">
        <v>1009000</v>
      </c>
      <c r="B12060">
        <v>6630100</v>
      </c>
    </row>
    <row r="12061" spans="1:2" x14ac:dyDescent="0.4">
      <c r="A12061" s="4">
        <v>1009000</v>
      </c>
      <c r="B12061">
        <v>6630200</v>
      </c>
    </row>
    <row r="12062" spans="1:2" x14ac:dyDescent="0.4">
      <c r="A12062" s="4">
        <v>1009000</v>
      </c>
      <c r="B12062">
        <v>6630300</v>
      </c>
    </row>
    <row r="12063" spans="1:2" x14ac:dyDescent="0.4">
      <c r="A12063" s="4">
        <v>1009000</v>
      </c>
      <c r="B12063">
        <v>6630400</v>
      </c>
    </row>
    <row r="12064" spans="1:2" x14ac:dyDescent="0.4">
      <c r="A12064" s="4">
        <v>1009000</v>
      </c>
      <c r="B12064">
        <v>6630500</v>
      </c>
    </row>
    <row r="12065" spans="1:2" x14ac:dyDescent="0.4">
      <c r="A12065" s="4">
        <v>1009000</v>
      </c>
      <c r="B12065">
        <v>6630600</v>
      </c>
    </row>
    <row r="12066" spans="1:2" x14ac:dyDescent="0.4">
      <c r="A12066" s="4">
        <v>1009000</v>
      </c>
      <c r="B12066">
        <v>6630700</v>
      </c>
    </row>
    <row r="12067" spans="1:2" x14ac:dyDescent="0.4">
      <c r="A12067" s="4">
        <v>1009000</v>
      </c>
      <c r="B12067">
        <v>6630800</v>
      </c>
    </row>
    <row r="12068" spans="1:2" x14ac:dyDescent="0.4">
      <c r="A12068" s="4">
        <v>1009000</v>
      </c>
      <c r="B12068">
        <v>6630900</v>
      </c>
    </row>
    <row r="12069" spans="1:2" x14ac:dyDescent="0.4">
      <c r="A12069" s="4">
        <v>1009000</v>
      </c>
      <c r="B12069">
        <v>6631000</v>
      </c>
    </row>
    <row r="12070" spans="1:2" x14ac:dyDescent="0.4">
      <c r="A12070" s="4">
        <v>1009000</v>
      </c>
      <c r="B12070">
        <v>6631100</v>
      </c>
    </row>
    <row r="12071" spans="1:2" x14ac:dyDescent="0.4">
      <c r="A12071" s="4">
        <v>1009000</v>
      </c>
      <c r="B12071">
        <v>6631200</v>
      </c>
    </row>
    <row r="12072" spans="1:2" x14ac:dyDescent="0.4">
      <c r="A12072" s="4">
        <v>1009000</v>
      </c>
      <c r="B12072">
        <v>6631300</v>
      </c>
    </row>
    <row r="12073" spans="1:2" x14ac:dyDescent="0.4">
      <c r="A12073" s="4">
        <v>1009000</v>
      </c>
      <c r="B12073">
        <v>6631400</v>
      </c>
    </row>
    <row r="12074" spans="1:2" x14ac:dyDescent="0.4">
      <c r="A12074" s="4">
        <v>1009000</v>
      </c>
      <c r="B12074">
        <v>6631500</v>
      </c>
    </row>
    <row r="12075" spans="1:2" x14ac:dyDescent="0.4">
      <c r="A12075" s="4">
        <v>1009000</v>
      </c>
      <c r="B12075">
        <v>6631600</v>
      </c>
    </row>
    <row r="12076" spans="1:2" x14ac:dyDescent="0.4">
      <c r="A12076" s="4">
        <v>1009000</v>
      </c>
      <c r="B12076">
        <v>6631700</v>
      </c>
    </row>
    <row r="12077" spans="1:2" x14ac:dyDescent="0.4">
      <c r="A12077" s="4">
        <v>1009000</v>
      </c>
      <c r="B12077">
        <v>6631800</v>
      </c>
    </row>
    <row r="12078" spans="1:2" x14ac:dyDescent="0.4">
      <c r="A12078" s="4">
        <v>1009000</v>
      </c>
      <c r="B12078">
        <v>6631900</v>
      </c>
    </row>
    <row r="12079" spans="1:2" x14ac:dyDescent="0.4">
      <c r="A12079" s="4">
        <v>1009000</v>
      </c>
      <c r="B12079">
        <v>6632000</v>
      </c>
    </row>
    <row r="12080" spans="1:2" x14ac:dyDescent="0.4">
      <c r="A12080" s="4">
        <v>1009000</v>
      </c>
      <c r="B12080">
        <v>6632100</v>
      </c>
    </row>
    <row r="12081" spans="1:2" x14ac:dyDescent="0.4">
      <c r="A12081" s="4">
        <v>1009000</v>
      </c>
      <c r="B12081">
        <v>6632200</v>
      </c>
    </row>
    <row r="12082" spans="1:2" x14ac:dyDescent="0.4">
      <c r="A12082" s="4">
        <v>1009000</v>
      </c>
      <c r="B12082">
        <v>6632300</v>
      </c>
    </row>
    <row r="12083" spans="1:2" x14ac:dyDescent="0.4">
      <c r="A12083" s="4">
        <v>1009000</v>
      </c>
      <c r="B12083">
        <v>6632400</v>
      </c>
    </row>
    <row r="12084" spans="1:2" x14ac:dyDescent="0.4">
      <c r="A12084" s="4">
        <v>1009000</v>
      </c>
      <c r="B12084">
        <v>6632500</v>
      </c>
    </row>
    <row r="12085" spans="1:2" x14ac:dyDescent="0.4">
      <c r="A12085" s="4">
        <v>1009000</v>
      </c>
      <c r="B12085">
        <v>6632600</v>
      </c>
    </row>
    <row r="12086" spans="1:2" x14ac:dyDescent="0.4">
      <c r="A12086" s="4">
        <v>1009000</v>
      </c>
      <c r="B12086">
        <v>6632700</v>
      </c>
    </row>
    <row r="12087" spans="1:2" x14ac:dyDescent="0.4">
      <c r="A12087" s="4">
        <v>1009000</v>
      </c>
      <c r="B12087">
        <v>6632800</v>
      </c>
    </row>
    <row r="12088" spans="1:2" x14ac:dyDescent="0.4">
      <c r="A12088" s="4">
        <v>1009000</v>
      </c>
      <c r="B12088">
        <v>6632900</v>
      </c>
    </row>
    <row r="12089" spans="1:2" x14ac:dyDescent="0.4">
      <c r="A12089" s="4">
        <v>1009000</v>
      </c>
      <c r="B12089">
        <v>6633000</v>
      </c>
    </row>
    <row r="12090" spans="1:2" x14ac:dyDescent="0.4">
      <c r="A12090" s="4">
        <v>1009000</v>
      </c>
      <c r="B12090">
        <v>6633100</v>
      </c>
    </row>
    <row r="12091" spans="1:2" x14ac:dyDescent="0.4">
      <c r="A12091" s="4">
        <v>1009000</v>
      </c>
      <c r="B12091">
        <v>6633200</v>
      </c>
    </row>
    <row r="12092" spans="1:2" x14ac:dyDescent="0.4">
      <c r="A12092" s="4">
        <v>1009000</v>
      </c>
      <c r="B12092">
        <v>6647200</v>
      </c>
    </row>
    <row r="12093" spans="1:2" x14ac:dyDescent="0.4">
      <c r="A12093" s="4">
        <v>1009000</v>
      </c>
      <c r="B12093">
        <v>6647300</v>
      </c>
    </row>
    <row r="12094" spans="1:2" x14ac:dyDescent="0.4">
      <c r="A12094" s="4">
        <v>1009000</v>
      </c>
      <c r="B12094">
        <v>6647400</v>
      </c>
    </row>
    <row r="12095" spans="1:2" x14ac:dyDescent="0.4">
      <c r="A12095" s="4">
        <v>1009000</v>
      </c>
      <c r="B12095">
        <v>6647500</v>
      </c>
    </row>
    <row r="12096" spans="1:2" x14ac:dyDescent="0.4">
      <c r="A12096" s="4">
        <v>1009000</v>
      </c>
      <c r="B12096">
        <v>6640000</v>
      </c>
    </row>
    <row r="12097" spans="1:2" x14ac:dyDescent="0.4">
      <c r="A12097" s="4">
        <v>1009000</v>
      </c>
      <c r="B12097">
        <v>6640100</v>
      </c>
    </row>
    <row r="12098" spans="1:2" x14ac:dyDescent="0.4">
      <c r="A12098" s="4">
        <v>1009000</v>
      </c>
      <c r="B12098">
        <v>6641000</v>
      </c>
    </row>
    <row r="12099" spans="1:2" x14ac:dyDescent="0.4">
      <c r="A12099" s="4">
        <v>1009000</v>
      </c>
      <c r="B12099">
        <v>6641100</v>
      </c>
    </row>
    <row r="12100" spans="1:2" x14ac:dyDescent="0.4">
      <c r="A12100" s="4">
        <v>1009000</v>
      </c>
      <c r="B12100">
        <v>6642000</v>
      </c>
    </row>
    <row r="12101" spans="1:2" x14ac:dyDescent="0.4">
      <c r="A12101" s="4">
        <v>1009000</v>
      </c>
      <c r="B12101">
        <v>6642100</v>
      </c>
    </row>
    <row r="12102" spans="1:2" x14ac:dyDescent="0.4">
      <c r="A12102" s="4">
        <v>1009000</v>
      </c>
      <c r="B12102">
        <v>6643000</v>
      </c>
    </row>
    <row r="12103" spans="1:2" x14ac:dyDescent="0.4">
      <c r="A12103" s="4">
        <v>1009000</v>
      </c>
      <c r="B12103">
        <v>6643100</v>
      </c>
    </row>
    <row r="12104" spans="1:2" x14ac:dyDescent="0.4">
      <c r="A12104" s="4">
        <v>1009000</v>
      </c>
      <c r="B12104">
        <v>6644000</v>
      </c>
    </row>
    <row r="12105" spans="1:2" x14ac:dyDescent="0.4">
      <c r="A12105" s="4">
        <v>1009000</v>
      </c>
      <c r="B12105">
        <v>6644100</v>
      </c>
    </row>
    <row r="12106" spans="1:2" x14ac:dyDescent="0.4">
      <c r="A12106" s="4">
        <v>1009000</v>
      </c>
      <c r="B12106">
        <v>6645000</v>
      </c>
    </row>
    <row r="12107" spans="1:2" x14ac:dyDescent="0.4">
      <c r="A12107" s="4">
        <v>1009000</v>
      </c>
      <c r="B12107">
        <v>6645100</v>
      </c>
    </row>
    <row r="12108" spans="1:2" x14ac:dyDescent="0.4">
      <c r="A12108" s="4">
        <v>1009000</v>
      </c>
      <c r="B12108">
        <v>6646000</v>
      </c>
    </row>
    <row r="12109" spans="1:2" x14ac:dyDescent="0.4">
      <c r="A12109" s="4">
        <v>1009000</v>
      </c>
      <c r="B12109">
        <v>6646100</v>
      </c>
    </row>
    <row r="12110" spans="1:2" x14ac:dyDescent="0.4">
      <c r="A12110" s="4">
        <v>1009000</v>
      </c>
      <c r="B12110">
        <v>6647000</v>
      </c>
    </row>
    <row r="12111" spans="1:2" x14ac:dyDescent="0.4">
      <c r="A12111" s="4">
        <v>1009000</v>
      </c>
      <c r="B12111">
        <v>6647100</v>
      </c>
    </row>
    <row r="12112" spans="1:2" x14ac:dyDescent="0.4">
      <c r="A12112" s="4">
        <v>1009001</v>
      </c>
      <c r="B12112">
        <v>7000000</v>
      </c>
    </row>
    <row r="12113" spans="1:2" x14ac:dyDescent="0.4">
      <c r="A12113" s="4">
        <v>1009001</v>
      </c>
      <c r="B12113">
        <v>7000001</v>
      </c>
    </row>
    <row r="12114" spans="1:2" x14ac:dyDescent="0.4">
      <c r="A12114" s="4">
        <v>1009001</v>
      </c>
      <c r="B12114">
        <v>7000002</v>
      </c>
    </row>
    <row r="12115" spans="1:2" x14ac:dyDescent="0.4">
      <c r="A12115" s="4">
        <v>1009001</v>
      </c>
      <c r="B12115">
        <v>7000100</v>
      </c>
    </row>
    <row r="12116" spans="1:2" x14ac:dyDescent="0.4">
      <c r="A12116" s="4">
        <v>1009001</v>
      </c>
      <c r="B12116">
        <v>7000101</v>
      </c>
    </row>
    <row r="12117" spans="1:2" x14ac:dyDescent="0.4">
      <c r="A12117" s="4">
        <v>1009001</v>
      </c>
      <c r="B12117">
        <v>7000102</v>
      </c>
    </row>
    <row r="12118" spans="1:2" x14ac:dyDescent="0.4">
      <c r="A12118" s="4">
        <v>1009001</v>
      </c>
      <c r="B12118">
        <v>7000200</v>
      </c>
    </row>
    <row r="12119" spans="1:2" x14ac:dyDescent="0.4">
      <c r="A12119" s="4">
        <v>1009001</v>
      </c>
      <c r="B12119">
        <v>7000201</v>
      </c>
    </row>
    <row r="12120" spans="1:2" x14ac:dyDescent="0.4">
      <c r="A12120" s="4">
        <v>1009001</v>
      </c>
      <c r="B12120">
        <v>7000202</v>
      </c>
    </row>
    <row r="12121" spans="1:2" x14ac:dyDescent="0.4">
      <c r="A12121" s="4">
        <v>1009001</v>
      </c>
      <c r="B12121">
        <v>7000300</v>
      </c>
    </row>
    <row r="12122" spans="1:2" x14ac:dyDescent="0.4">
      <c r="A12122" s="4">
        <v>1009001</v>
      </c>
      <c r="B12122">
        <v>7000301</v>
      </c>
    </row>
    <row r="12123" spans="1:2" x14ac:dyDescent="0.4">
      <c r="A12123" s="4">
        <v>1009001</v>
      </c>
      <c r="B12123">
        <v>7000302</v>
      </c>
    </row>
    <row r="12124" spans="1:2" x14ac:dyDescent="0.4">
      <c r="A12124" s="4">
        <v>1009001</v>
      </c>
      <c r="B12124">
        <v>7000400</v>
      </c>
    </row>
    <row r="12125" spans="1:2" x14ac:dyDescent="0.4">
      <c r="A12125" s="4">
        <v>1009001</v>
      </c>
      <c r="B12125">
        <v>7000401</v>
      </c>
    </row>
    <row r="12126" spans="1:2" x14ac:dyDescent="0.4">
      <c r="A12126" s="4">
        <v>1009001</v>
      </c>
      <c r="B12126">
        <v>7000402</v>
      </c>
    </row>
    <row r="12127" spans="1:2" x14ac:dyDescent="0.4">
      <c r="A12127" s="4">
        <v>1009001</v>
      </c>
      <c r="B12127">
        <v>7000500</v>
      </c>
    </row>
    <row r="12128" spans="1:2" x14ac:dyDescent="0.4">
      <c r="A12128" s="4">
        <v>1009001</v>
      </c>
      <c r="B12128">
        <v>7000501</v>
      </c>
    </row>
    <row r="12129" spans="1:2" x14ac:dyDescent="0.4">
      <c r="A12129" s="4">
        <v>1009001</v>
      </c>
      <c r="B12129">
        <v>7000502</v>
      </c>
    </row>
    <row r="12130" spans="1:2" x14ac:dyDescent="0.4">
      <c r="A12130" s="4">
        <v>1009001</v>
      </c>
      <c r="B12130">
        <v>7000600</v>
      </c>
    </row>
    <row r="12131" spans="1:2" x14ac:dyDescent="0.4">
      <c r="A12131" s="4">
        <v>1009001</v>
      </c>
      <c r="B12131">
        <v>7000601</v>
      </c>
    </row>
    <row r="12132" spans="1:2" x14ac:dyDescent="0.4">
      <c r="A12132" s="4">
        <v>1009001</v>
      </c>
      <c r="B12132">
        <v>7000602</v>
      </c>
    </row>
    <row r="12133" spans="1:2" x14ac:dyDescent="0.4">
      <c r="A12133" s="4">
        <v>1009001</v>
      </c>
      <c r="B12133">
        <v>7000700</v>
      </c>
    </row>
    <row r="12134" spans="1:2" x14ac:dyDescent="0.4">
      <c r="A12134" s="4">
        <v>1009001</v>
      </c>
      <c r="B12134">
        <v>7000701</v>
      </c>
    </row>
    <row r="12135" spans="1:2" x14ac:dyDescent="0.4">
      <c r="A12135" s="4">
        <v>1009001</v>
      </c>
      <c r="B12135">
        <v>7000702</v>
      </c>
    </row>
    <row r="12136" spans="1:2" x14ac:dyDescent="0.4">
      <c r="A12136" s="4">
        <v>1009001</v>
      </c>
      <c r="B12136">
        <v>7000800</v>
      </c>
    </row>
    <row r="12137" spans="1:2" x14ac:dyDescent="0.4">
      <c r="A12137" s="4">
        <v>1009001</v>
      </c>
      <c r="B12137">
        <v>7000801</v>
      </c>
    </row>
    <row r="12138" spans="1:2" x14ac:dyDescent="0.4">
      <c r="A12138" s="4">
        <v>1009001</v>
      </c>
      <c r="B12138">
        <v>7000802</v>
      </c>
    </row>
    <row r="12139" spans="1:2" x14ac:dyDescent="0.4">
      <c r="A12139" s="4">
        <v>1009001</v>
      </c>
      <c r="B12139">
        <v>7000900</v>
      </c>
    </row>
    <row r="12140" spans="1:2" x14ac:dyDescent="0.4">
      <c r="A12140" s="4">
        <v>1009001</v>
      </c>
      <c r="B12140">
        <v>7000901</v>
      </c>
    </row>
    <row r="12141" spans="1:2" x14ac:dyDescent="0.4">
      <c r="A12141" s="4">
        <v>1009001</v>
      </c>
      <c r="B12141">
        <v>7000902</v>
      </c>
    </row>
    <row r="12142" spans="1:2" x14ac:dyDescent="0.4">
      <c r="A12142" s="4">
        <v>1009001</v>
      </c>
      <c r="B12142">
        <v>7001000</v>
      </c>
    </row>
    <row r="12143" spans="1:2" x14ac:dyDescent="0.4">
      <c r="A12143" s="4">
        <v>1009001</v>
      </c>
      <c r="B12143">
        <v>7001001</v>
      </c>
    </row>
    <row r="12144" spans="1:2" x14ac:dyDescent="0.4">
      <c r="A12144" s="4">
        <v>1009001</v>
      </c>
      <c r="B12144">
        <v>7001002</v>
      </c>
    </row>
    <row r="12145" spans="1:2" x14ac:dyDescent="0.4">
      <c r="A12145" s="4">
        <v>1009001</v>
      </c>
      <c r="B12145">
        <v>7001400</v>
      </c>
    </row>
    <row r="12146" spans="1:2" x14ac:dyDescent="0.4">
      <c r="A12146" s="4">
        <v>1009001</v>
      </c>
      <c r="B12146">
        <v>7001401</v>
      </c>
    </row>
    <row r="12147" spans="1:2" x14ac:dyDescent="0.4">
      <c r="A12147" s="4">
        <v>1009001</v>
      </c>
      <c r="B12147">
        <v>7001402</v>
      </c>
    </row>
    <row r="12148" spans="1:2" x14ac:dyDescent="0.4">
      <c r="A12148" s="4">
        <v>1009001</v>
      </c>
      <c r="B12148">
        <v>7001500</v>
      </c>
    </row>
    <row r="12149" spans="1:2" x14ac:dyDescent="0.4">
      <c r="A12149" s="4">
        <v>1009001</v>
      </c>
      <c r="B12149">
        <v>7001501</v>
      </c>
    </row>
    <row r="12150" spans="1:2" x14ac:dyDescent="0.4">
      <c r="A12150" s="4">
        <v>1009001</v>
      </c>
      <c r="B12150">
        <v>7001502</v>
      </c>
    </row>
    <row r="12151" spans="1:2" x14ac:dyDescent="0.4">
      <c r="A12151" s="4">
        <v>1009001</v>
      </c>
      <c r="B12151">
        <v>7001600</v>
      </c>
    </row>
    <row r="12152" spans="1:2" x14ac:dyDescent="0.4">
      <c r="A12152" s="4">
        <v>1009001</v>
      </c>
      <c r="B12152">
        <v>7001601</v>
      </c>
    </row>
    <row r="12153" spans="1:2" x14ac:dyDescent="0.4">
      <c r="A12153" s="4">
        <v>1009001</v>
      </c>
      <c r="B12153">
        <v>7001602</v>
      </c>
    </row>
    <row r="12154" spans="1:2" x14ac:dyDescent="0.4">
      <c r="A12154" s="4">
        <v>1009001</v>
      </c>
      <c r="B12154">
        <v>7001700</v>
      </c>
    </row>
    <row r="12155" spans="1:2" x14ac:dyDescent="0.4">
      <c r="A12155" s="4">
        <v>1009001</v>
      </c>
      <c r="B12155">
        <v>7001701</v>
      </c>
    </row>
    <row r="12156" spans="1:2" x14ac:dyDescent="0.4">
      <c r="A12156" s="4">
        <v>1009001</v>
      </c>
      <c r="B12156">
        <v>7001702</v>
      </c>
    </row>
    <row r="12157" spans="1:2" x14ac:dyDescent="0.4">
      <c r="A12157" s="4">
        <v>1009001</v>
      </c>
      <c r="B12157">
        <v>7001800</v>
      </c>
    </row>
    <row r="12158" spans="1:2" x14ac:dyDescent="0.4">
      <c r="A12158" s="4">
        <v>1009001</v>
      </c>
      <c r="B12158">
        <v>7001801</v>
      </c>
    </row>
    <row r="12159" spans="1:2" x14ac:dyDescent="0.4">
      <c r="A12159" s="4">
        <v>1009001</v>
      </c>
      <c r="B12159">
        <v>7001802</v>
      </c>
    </row>
    <row r="12160" spans="1:2" x14ac:dyDescent="0.4">
      <c r="A12160" s="4">
        <v>1009001</v>
      </c>
      <c r="B12160">
        <v>7002600</v>
      </c>
    </row>
    <row r="12161" spans="1:2" x14ac:dyDescent="0.4">
      <c r="A12161" s="4">
        <v>1009001</v>
      </c>
      <c r="B12161">
        <v>7002700</v>
      </c>
    </row>
    <row r="12162" spans="1:2" x14ac:dyDescent="0.4">
      <c r="A12162" s="4">
        <v>1009001</v>
      </c>
      <c r="B12162">
        <v>7002800</v>
      </c>
    </row>
    <row r="12163" spans="1:2" x14ac:dyDescent="0.4">
      <c r="A12163" s="4">
        <v>1009001</v>
      </c>
      <c r="B12163">
        <v>7002900</v>
      </c>
    </row>
    <row r="12164" spans="1:2" x14ac:dyDescent="0.4">
      <c r="A12164" s="4">
        <v>1009001</v>
      </c>
      <c r="B12164">
        <v>7003000</v>
      </c>
    </row>
    <row r="12165" spans="1:2" x14ac:dyDescent="0.4">
      <c r="A12165" s="4">
        <v>1009001</v>
      </c>
      <c r="B12165">
        <v>7003100</v>
      </c>
    </row>
    <row r="12166" spans="1:2" x14ac:dyDescent="0.4">
      <c r="A12166" s="4">
        <v>1009001</v>
      </c>
      <c r="B12166">
        <v>7003200</v>
      </c>
    </row>
    <row r="12167" spans="1:2" x14ac:dyDescent="0.4">
      <c r="A12167" s="4">
        <v>1009001</v>
      </c>
      <c r="B12167">
        <v>7003300</v>
      </c>
    </row>
    <row r="12168" spans="1:2" x14ac:dyDescent="0.4">
      <c r="A12168" s="4">
        <v>1009001</v>
      </c>
      <c r="B12168">
        <v>7003400</v>
      </c>
    </row>
    <row r="12169" spans="1:2" x14ac:dyDescent="0.4">
      <c r="A12169" s="4">
        <v>1009001</v>
      </c>
      <c r="B12169">
        <v>7003500</v>
      </c>
    </row>
    <row r="12170" spans="1:2" x14ac:dyDescent="0.4">
      <c r="A12170" s="4">
        <v>1009001</v>
      </c>
      <c r="B12170">
        <v>7003600</v>
      </c>
    </row>
    <row r="12171" spans="1:2" x14ac:dyDescent="0.4">
      <c r="A12171" s="4">
        <v>1009001</v>
      </c>
      <c r="B12171">
        <v>7005600</v>
      </c>
    </row>
    <row r="12172" spans="1:2" x14ac:dyDescent="0.4">
      <c r="A12172" s="4">
        <v>1009001</v>
      </c>
      <c r="B12172">
        <v>7006000</v>
      </c>
    </row>
    <row r="12173" spans="1:2" x14ac:dyDescent="0.4">
      <c r="A12173" s="4">
        <v>1009001</v>
      </c>
      <c r="B12173">
        <v>7006100</v>
      </c>
    </row>
    <row r="12174" spans="1:2" x14ac:dyDescent="0.4">
      <c r="A12174" s="4">
        <v>1009001</v>
      </c>
      <c r="B12174">
        <v>7010200</v>
      </c>
    </row>
    <row r="12175" spans="1:2" x14ac:dyDescent="0.4">
      <c r="A12175" s="4">
        <v>1009001</v>
      </c>
      <c r="B12175">
        <v>7010500</v>
      </c>
    </row>
    <row r="12176" spans="1:2" x14ac:dyDescent="0.4">
      <c r="A12176" s="4">
        <v>1009001</v>
      </c>
      <c r="B12176">
        <v>7010700</v>
      </c>
    </row>
    <row r="12177" spans="1:2" x14ac:dyDescent="0.4">
      <c r="A12177" s="4">
        <v>1009001</v>
      </c>
      <c r="B12177">
        <v>7010900</v>
      </c>
    </row>
    <row r="12178" spans="1:2" x14ac:dyDescent="0.4">
      <c r="A12178" s="4">
        <v>1009001</v>
      </c>
      <c r="B12178">
        <v>7011000</v>
      </c>
    </row>
    <row r="12179" spans="1:2" x14ac:dyDescent="0.4">
      <c r="A12179" s="4">
        <v>1009001</v>
      </c>
      <c r="B12179">
        <v>7011200</v>
      </c>
    </row>
    <row r="12180" spans="1:2" x14ac:dyDescent="0.4">
      <c r="A12180" s="4">
        <v>1009001</v>
      </c>
      <c r="B12180">
        <v>7011600</v>
      </c>
    </row>
    <row r="12181" spans="1:2" x14ac:dyDescent="0.4">
      <c r="A12181" s="4">
        <v>1009001</v>
      </c>
      <c r="B12181">
        <v>7011700</v>
      </c>
    </row>
    <row r="12182" spans="1:2" x14ac:dyDescent="0.4">
      <c r="A12182" s="4">
        <v>1009001</v>
      </c>
      <c r="B12182">
        <v>7012000</v>
      </c>
    </row>
    <row r="12183" spans="1:2" x14ac:dyDescent="0.4">
      <c r="A12183" s="4">
        <v>1009001</v>
      </c>
      <c r="B12183">
        <v>7012200</v>
      </c>
    </row>
    <row r="12184" spans="1:2" x14ac:dyDescent="0.4">
      <c r="A12184" s="4">
        <v>1009001</v>
      </c>
      <c r="B12184">
        <v>7012300</v>
      </c>
    </row>
    <row r="12185" spans="1:2" x14ac:dyDescent="0.4">
      <c r="A12185" s="4">
        <v>1009001</v>
      </c>
      <c r="B12185">
        <v>7020000</v>
      </c>
    </row>
    <row r="12186" spans="1:2" x14ac:dyDescent="0.4">
      <c r="A12186" s="4">
        <v>1009001</v>
      </c>
      <c r="B12186">
        <v>7030000</v>
      </c>
    </row>
    <row r="12187" spans="1:2" x14ac:dyDescent="0.4">
      <c r="A12187" s="4">
        <v>1009001</v>
      </c>
      <c r="B12187">
        <v>7030200</v>
      </c>
    </row>
    <row r="12188" spans="1:2" x14ac:dyDescent="0.4">
      <c r="A12188" s="4">
        <v>1009001</v>
      </c>
      <c r="B12188">
        <v>7030600</v>
      </c>
    </row>
    <row r="12189" spans="1:2" x14ac:dyDescent="0.4">
      <c r="A12189" s="4">
        <v>1009001</v>
      </c>
      <c r="B12189">
        <v>7030700</v>
      </c>
    </row>
    <row r="12190" spans="1:2" x14ac:dyDescent="0.4">
      <c r="A12190" s="4">
        <v>1009001</v>
      </c>
      <c r="B12190">
        <v>7030800</v>
      </c>
    </row>
    <row r="12191" spans="1:2" x14ac:dyDescent="0.4">
      <c r="A12191" s="4">
        <v>1009001</v>
      </c>
      <c r="B12191">
        <v>7030900</v>
      </c>
    </row>
    <row r="12192" spans="1:2" x14ac:dyDescent="0.4">
      <c r="A12192" s="4">
        <v>1009001</v>
      </c>
      <c r="B12192">
        <v>7031200</v>
      </c>
    </row>
    <row r="12193" spans="1:2" x14ac:dyDescent="0.4">
      <c r="A12193" s="4">
        <v>1009001</v>
      </c>
      <c r="B12193">
        <v>7031300</v>
      </c>
    </row>
    <row r="12194" spans="1:2" x14ac:dyDescent="0.4">
      <c r="A12194" s="4">
        <v>1009001</v>
      </c>
      <c r="B12194">
        <v>7031800</v>
      </c>
    </row>
    <row r="12195" spans="1:2" x14ac:dyDescent="0.4">
      <c r="A12195" s="4">
        <v>1009001</v>
      </c>
      <c r="B12195">
        <v>7031900</v>
      </c>
    </row>
    <row r="12196" spans="1:2" x14ac:dyDescent="0.4">
      <c r="A12196" s="4">
        <v>1009001</v>
      </c>
      <c r="B12196">
        <v>7032200</v>
      </c>
    </row>
    <row r="12197" spans="1:2" x14ac:dyDescent="0.4">
      <c r="A12197" s="4">
        <v>1009001</v>
      </c>
      <c r="B12197">
        <v>7032400</v>
      </c>
    </row>
    <row r="12198" spans="1:2" x14ac:dyDescent="0.4">
      <c r="A12198" s="4">
        <v>1009001</v>
      </c>
      <c r="B12198">
        <v>7032700</v>
      </c>
    </row>
    <row r="12199" spans="1:2" x14ac:dyDescent="0.4">
      <c r="A12199" s="4">
        <v>1009001</v>
      </c>
      <c r="B12199">
        <v>7032800</v>
      </c>
    </row>
    <row r="12200" spans="1:2" x14ac:dyDescent="0.4">
      <c r="A12200" s="4">
        <v>1009001</v>
      </c>
      <c r="B12200">
        <v>7032900</v>
      </c>
    </row>
    <row r="12201" spans="1:2" x14ac:dyDescent="0.4">
      <c r="A12201" s="4">
        <v>1009001</v>
      </c>
      <c r="B12201">
        <v>7033200</v>
      </c>
    </row>
    <row r="12202" spans="1:2" x14ac:dyDescent="0.4">
      <c r="A12202" s="4">
        <v>1009001</v>
      </c>
      <c r="B12202">
        <v>7033400</v>
      </c>
    </row>
    <row r="12203" spans="1:2" x14ac:dyDescent="0.4">
      <c r="A12203" s="4">
        <v>1009001</v>
      </c>
      <c r="B12203">
        <v>7034100</v>
      </c>
    </row>
    <row r="12204" spans="1:2" x14ac:dyDescent="0.4">
      <c r="A12204" s="4">
        <v>1009001</v>
      </c>
      <c r="B12204">
        <v>7034400</v>
      </c>
    </row>
    <row r="12205" spans="1:2" x14ac:dyDescent="0.4">
      <c r="A12205" s="4">
        <v>1009001</v>
      </c>
      <c r="B12205">
        <v>7034500</v>
      </c>
    </row>
    <row r="12206" spans="1:2" x14ac:dyDescent="0.4">
      <c r="A12206" s="4">
        <v>1009001</v>
      </c>
      <c r="B12206">
        <v>7034600</v>
      </c>
    </row>
    <row r="12207" spans="1:2" x14ac:dyDescent="0.4">
      <c r="A12207" s="4">
        <v>1009001</v>
      </c>
      <c r="B12207">
        <v>7034700</v>
      </c>
    </row>
    <row r="12208" spans="1:2" x14ac:dyDescent="0.4">
      <c r="A12208" s="4">
        <v>1009001</v>
      </c>
      <c r="B12208">
        <v>7035100</v>
      </c>
    </row>
    <row r="12209" spans="1:2" x14ac:dyDescent="0.4">
      <c r="A12209" s="4">
        <v>1009001</v>
      </c>
      <c r="B12209">
        <v>7036100</v>
      </c>
    </row>
    <row r="12210" spans="1:2" x14ac:dyDescent="0.4">
      <c r="A12210" s="4">
        <v>1009001</v>
      </c>
      <c r="B12210">
        <v>7040000</v>
      </c>
    </row>
    <row r="12211" spans="1:2" x14ac:dyDescent="0.4">
      <c r="A12211" s="4">
        <v>1009001</v>
      </c>
      <c r="B12211">
        <v>7040100</v>
      </c>
    </row>
    <row r="12212" spans="1:2" x14ac:dyDescent="0.4">
      <c r="A12212" s="4">
        <v>1009001</v>
      </c>
      <c r="B12212">
        <v>7040200</v>
      </c>
    </row>
    <row r="12213" spans="1:2" x14ac:dyDescent="0.4">
      <c r="A12213" s="4">
        <v>1009001</v>
      </c>
      <c r="B12213">
        <v>7040300</v>
      </c>
    </row>
    <row r="12214" spans="1:2" x14ac:dyDescent="0.4">
      <c r="A12214" s="4">
        <v>1009001</v>
      </c>
      <c r="B12214">
        <v>7040400</v>
      </c>
    </row>
    <row r="12215" spans="1:2" x14ac:dyDescent="0.4">
      <c r="A12215" s="4">
        <v>1009001</v>
      </c>
      <c r="B12215">
        <v>7040500</v>
      </c>
    </row>
    <row r="12216" spans="1:2" x14ac:dyDescent="0.4">
      <c r="A12216" s="4">
        <v>1009001</v>
      </c>
      <c r="B12216">
        <v>7043000</v>
      </c>
    </row>
    <row r="12217" spans="1:2" x14ac:dyDescent="0.4">
      <c r="A12217" s="4">
        <v>1009001</v>
      </c>
      <c r="B12217">
        <v>7043100</v>
      </c>
    </row>
    <row r="12218" spans="1:2" x14ac:dyDescent="0.4">
      <c r="A12218" s="4">
        <v>1009001</v>
      </c>
      <c r="B12218">
        <v>7043200</v>
      </c>
    </row>
    <row r="12219" spans="1:2" x14ac:dyDescent="0.4">
      <c r="A12219" s="4">
        <v>1009001</v>
      </c>
      <c r="B12219">
        <v>7043300</v>
      </c>
    </row>
    <row r="12220" spans="1:2" x14ac:dyDescent="0.4">
      <c r="A12220" s="4">
        <v>1009001</v>
      </c>
      <c r="B12220">
        <v>7043400</v>
      </c>
    </row>
    <row r="12221" spans="1:2" x14ac:dyDescent="0.4">
      <c r="A12221" s="4">
        <v>1009001</v>
      </c>
      <c r="B12221">
        <v>7043500</v>
      </c>
    </row>
    <row r="12222" spans="1:2" x14ac:dyDescent="0.4">
      <c r="A12222" s="4">
        <v>1009001</v>
      </c>
      <c r="B12222">
        <v>7043600</v>
      </c>
    </row>
    <row r="12223" spans="1:2" x14ac:dyDescent="0.4">
      <c r="A12223" s="4">
        <v>1009001</v>
      </c>
      <c r="B12223">
        <v>7043700</v>
      </c>
    </row>
    <row r="12224" spans="1:2" x14ac:dyDescent="0.4">
      <c r="A12224" s="4">
        <v>1009001</v>
      </c>
      <c r="B12224">
        <v>7043800</v>
      </c>
    </row>
    <row r="12225" spans="1:2" x14ac:dyDescent="0.4">
      <c r="A12225" s="4">
        <v>1009001</v>
      </c>
      <c r="B12225">
        <v>7044000</v>
      </c>
    </row>
    <row r="12226" spans="1:2" x14ac:dyDescent="0.4">
      <c r="A12226" s="4">
        <v>1009001</v>
      </c>
      <c r="B12226">
        <v>7044100</v>
      </c>
    </row>
    <row r="12227" spans="1:2" x14ac:dyDescent="0.4">
      <c r="A12227" s="4">
        <v>1009001</v>
      </c>
      <c r="B12227">
        <v>7044200</v>
      </c>
    </row>
    <row r="12228" spans="1:2" x14ac:dyDescent="0.4">
      <c r="A12228" s="4">
        <v>1009001</v>
      </c>
      <c r="B12228">
        <v>7044300</v>
      </c>
    </row>
    <row r="12229" spans="1:2" x14ac:dyDescent="0.4">
      <c r="A12229" s="4">
        <v>1009001</v>
      </c>
      <c r="B12229">
        <v>7044400</v>
      </c>
    </row>
    <row r="12230" spans="1:2" x14ac:dyDescent="0.4">
      <c r="A12230" s="4">
        <v>1009001</v>
      </c>
      <c r="B12230">
        <v>7044500</v>
      </c>
    </row>
    <row r="12231" spans="1:2" x14ac:dyDescent="0.4">
      <c r="A12231" s="4">
        <v>1009001</v>
      </c>
      <c r="B12231">
        <v>7044600</v>
      </c>
    </row>
    <row r="12232" spans="1:2" x14ac:dyDescent="0.4">
      <c r="A12232" s="4">
        <v>1009001</v>
      </c>
      <c r="B12232">
        <v>7050000</v>
      </c>
    </row>
    <row r="12233" spans="1:2" x14ac:dyDescent="0.4">
      <c r="A12233" s="4">
        <v>1009001</v>
      </c>
      <c r="B12233">
        <v>7050100</v>
      </c>
    </row>
    <row r="12234" spans="1:2" x14ac:dyDescent="0.4">
      <c r="A12234" s="4">
        <v>1009001</v>
      </c>
      <c r="B12234">
        <v>7060000</v>
      </c>
    </row>
    <row r="12235" spans="1:2" x14ac:dyDescent="0.4">
      <c r="A12235" s="4">
        <v>1009001</v>
      </c>
      <c r="B12235">
        <v>7060100</v>
      </c>
    </row>
    <row r="12236" spans="1:2" x14ac:dyDescent="0.4">
      <c r="A12236" s="4">
        <v>1009001</v>
      </c>
      <c r="B12236">
        <v>7060200</v>
      </c>
    </row>
    <row r="12237" spans="1:2" x14ac:dyDescent="0.4">
      <c r="A12237" s="4">
        <v>1009001</v>
      </c>
      <c r="B12237">
        <v>7070000</v>
      </c>
    </row>
    <row r="12238" spans="1:2" x14ac:dyDescent="0.4">
      <c r="A12238" s="4">
        <v>1009001</v>
      </c>
      <c r="B12238">
        <v>7080000</v>
      </c>
    </row>
    <row r="12239" spans="1:2" x14ac:dyDescent="0.4">
      <c r="A12239" s="4">
        <v>1009001</v>
      </c>
      <c r="B12239">
        <v>7080100</v>
      </c>
    </row>
    <row r="12240" spans="1:2" x14ac:dyDescent="0.4">
      <c r="A12240" s="4">
        <v>1009001</v>
      </c>
      <c r="B12240">
        <v>7080200</v>
      </c>
    </row>
    <row r="12241" spans="1:2" x14ac:dyDescent="0.4">
      <c r="A12241" s="4">
        <v>1009001</v>
      </c>
      <c r="B12241">
        <v>7080300</v>
      </c>
    </row>
    <row r="12242" spans="1:2" x14ac:dyDescent="0.4">
      <c r="A12242" s="4">
        <v>1009001</v>
      </c>
      <c r="B12242">
        <v>7080400</v>
      </c>
    </row>
    <row r="12243" spans="1:2" x14ac:dyDescent="0.4">
      <c r="A12243" s="4">
        <v>1009001</v>
      </c>
      <c r="B12243">
        <v>7080500</v>
      </c>
    </row>
    <row r="12244" spans="1:2" x14ac:dyDescent="0.4">
      <c r="A12244" s="4">
        <v>1009001</v>
      </c>
      <c r="B12244">
        <v>7080600</v>
      </c>
    </row>
    <row r="12245" spans="1:2" x14ac:dyDescent="0.4">
      <c r="A12245" s="4">
        <v>1009001</v>
      </c>
      <c r="B12245">
        <v>7080700</v>
      </c>
    </row>
    <row r="12246" spans="1:2" x14ac:dyDescent="0.4">
      <c r="A12246" s="4">
        <v>1009001</v>
      </c>
      <c r="B12246">
        <v>7080800</v>
      </c>
    </row>
    <row r="12247" spans="1:2" x14ac:dyDescent="0.4">
      <c r="A12247" s="4">
        <v>1009001</v>
      </c>
      <c r="B12247">
        <v>7080900</v>
      </c>
    </row>
    <row r="12248" spans="1:2" x14ac:dyDescent="0.4">
      <c r="A12248" s="4">
        <v>1009001</v>
      </c>
      <c r="B12248">
        <v>7081000</v>
      </c>
    </row>
    <row r="12249" spans="1:2" x14ac:dyDescent="0.4">
      <c r="A12249" s="4">
        <v>1009001</v>
      </c>
      <c r="B12249">
        <v>7081100</v>
      </c>
    </row>
    <row r="12250" spans="1:2" x14ac:dyDescent="0.4">
      <c r="A12250" s="4">
        <v>1009001</v>
      </c>
      <c r="B12250">
        <v>7081200</v>
      </c>
    </row>
    <row r="12251" spans="1:2" x14ac:dyDescent="0.4">
      <c r="A12251" s="4">
        <v>1009001</v>
      </c>
      <c r="B12251">
        <v>7081300</v>
      </c>
    </row>
    <row r="12252" spans="1:2" x14ac:dyDescent="0.4">
      <c r="A12252" s="4">
        <v>1009001</v>
      </c>
      <c r="B12252">
        <v>7081400</v>
      </c>
    </row>
    <row r="12253" spans="1:2" x14ac:dyDescent="0.4">
      <c r="A12253" s="4">
        <v>1009001</v>
      </c>
      <c r="B12253">
        <v>7081500</v>
      </c>
    </row>
    <row r="12254" spans="1:2" x14ac:dyDescent="0.4">
      <c r="A12254" s="4">
        <v>1009001</v>
      </c>
      <c r="B12254">
        <v>7081700</v>
      </c>
    </row>
    <row r="12255" spans="1:2" x14ac:dyDescent="0.4">
      <c r="A12255" s="4">
        <v>1009001</v>
      </c>
      <c r="B12255">
        <v>7081800</v>
      </c>
    </row>
    <row r="12256" spans="1:2" x14ac:dyDescent="0.4">
      <c r="A12256" s="4">
        <v>1009001</v>
      </c>
      <c r="B12256">
        <v>7081900</v>
      </c>
    </row>
    <row r="12257" spans="1:2" x14ac:dyDescent="0.4">
      <c r="A12257" s="4">
        <v>1009001</v>
      </c>
      <c r="B12257">
        <v>7082000</v>
      </c>
    </row>
    <row r="12258" spans="1:2" x14ac:dyDescent="0.4">
      <c r="A12258" s="4">
        <v>1009001</v>
      </c>
      <c r="B12258">
        <v>7082100</v>
      </c>
    </row>
    <row r="12259" spans="1:2" x14ac:dyDescent="0.4">
      <c r="A12259" s="4">
        <v>1009001</v>
      </c>
      <c r="B12259">
        <v>7082200</v>
      </c>
    </row>
    <row r="12260" spans="1:2" x14ac:dyDescent="0.4">
      <c r="A12260" s="4">
        <v>1009001</v>
      </c>
      <c r="B12260">
        <v>7082300</v>
      </c>
    </row>
    <row r="12261" spans="1:2" x14ac:dyDescent="0.4">
      <c r="A12261" s="4">
        <v>1009001</v>
      </c>
      <c r="B12261">
        <v>7082400</v>
      </c>
    </row>
    <row r="12262" spans="1:2" x14ac:dyDescent="0.4">
      <c r="A12262" s="4">
        <v>1009001</v>
      </c>
      <c r="B12262">
        <v>7082500</v>
      </c>
    </row>
    <row r="12263" spans="1:2" x14ac:dyDescent="0.4">
      <c r="A12263" s="4">
        <v>1009001</v>
      </c>
      <c r="B12263">
        <v>7082600</v>
      </c>
    </row>
    <row r="12264" spans="1:2" x14ac:dyDescent="0.4">
      <c r="A12264" s="4">
        <v>1009001</v>
      </c>
      <c r="B12264">
        <v>7082700</v>
      </c>
    </row>
    <row r="12265" spans="1:2" x14ac:dyDescent="0.4">
      <c r="A12265" s="4">
        <v>1009001</v>
      </c>
      <c r="B12265">
        <v>7082800</v>
      </c>
    </row>
    <row r="12266" spans="1:2" x14ac:dyDescent="0.4">
      <c r="A12266" s="4">
        <v>1009001</v>
      </c>
      <c r="B12266">
        <v>7082900</v>
      </c>
    </row>
    <row r="12267" spans="1:2" x14ac:dyDescent="0.4">
      <c r="A12267" s="4">
        <v>1009001</v>
      </c>
      <c r="B12267">
        <v>7090000</v>
      </c>
    </row>
    <row r="12268" spans="1:2" x14ac:dyDescent="0.4">
      <c r="A12268" s="4">
        <v>1009001</v>
      </c>
      <c r="B12268">
        <v>7090100</v>
      </c>
    </row>
    <row r="12269" spans="1:2" x14ac:dyDescent="0.4">
      <c r="A12269" s="4">
        <v>1009001</v>
      </c>
      <c r="B12269">
        <v>7090300</v>
      </c>
    </row>
    <row r="12270" spans="1:2" x14ac:dyDescent="0.4">
      <c r="A12270" s="4">
        <v>1009001</v>
      </c>
      <c r="B12270">
        <v>7100100</v>
      </c>
    </row>
    <row r="12271" spans="1:2" x14ac:dyDescent="0.4">
      <c r="A12271" s="4">
        <v>1009001</v>
      </c>
      <c r="B12271">
        <v>7110000</v>
      </c>
    </row>
    <row r="12272" spans="1:2" x14ac:dyDescent="0.4">
      <c r="A12272" s="4">
        <v>1009001</v>
      </c>
      <c r="B12272">
        <v>7120000</v>
      </c>
    </row>
    <row r="12273" spans="1:2" x14ac:dyDescent="0.4">
      <c r="A12273" s="4">
        <v>1009001</v>
      </c>
      <c r="B12273">
        <v>7120100</v>
      </c>
    </row>
    <row r="12274" spans="1:2" x14ac:dyDescent="0.4">
      <c r="A12274" s="4">
        <v>1009001</v>
      </c>
      <c r="B12274">
        <v>7120200</v>
      </c>
    </row>
    <row r="12275" spans="1:2" x14ac:dyDescent="0.4">
      <c r="A12275" s="4">
        <v>1009001</v>
      </c>
      <c r="B12275">
        <v>7120300</v>
      </c>
    </row>
    <row r="12276" spans="1:2" x14ac:dyDescent="0.4">
      <c r="A12276" s="4">
        <v>1009001</v>
      </c>
      <c r="B12276">
        <v>7120400</v>
      </c>
    </row>
    <row r="12277" spans="1:2" x14ac:dyDescent="0.4">
      <c r="A12277" s="4">
        <v>1009001</v>
      </c>
      <c r="B12277">
        <v>7120500</v>
      </c>
    </row>
    <row r="12278" spans="1:2" x14ac:dyDescent="0.4">
      <c r="A12278" s="4">
        <v>1009001</v>
      </c>
      <c r="B12278">
        <v>7120600</v>
      </c>
    </row>
    <row r="12279" spans="1:2" x14ac:dyDescent="0.4">
      <c r="A12279" s="4">
        <v>1009001</v>
      </c>
      <c r="B12279">
        <v>7120900</v>
      </c>
    </row>
    <row r="12280" spans="1:2" x14ac:dyDescent="0.4">
      <c r="A12280" s="4">
        <v>1009001</v>
      </c>
      <c r="B12280">
        <v>7121000</v>
      </c>
    </row>
    <row r="12281" spans="1:2" x14ac:dyDescent="0.4">
      <c r="A12281" s="4">
        <v>1009001</v>
      </c>
      <c r="B12281">
        <v>7121100</v>
      </c>
    </row>
    <row r="12282" spans="1:2" x14ac:dyDescent="0.4">
      <c r="A12282" s="4">
        <v>1009001</v>
      </c>
      <c r="B12282">
        <v>7121200</v>
      </c>
    </row>
    <row r="12283" spans="1:2" x14ac:dyDescent="0.4">
      <c r="A12283" s="4">
        <v>1009001</v>
      </c>
      <c r="B12283">
        <v>7121300</v>
      </c>
    </row>
    <row r="12284" spans="1:2" x14ac:dyDescent="0.4">
      <c r="A12284" s="4">
        <v>1009001</v>
      </c>
      <c r="B12284">
        <v>7121400</v>
      </c>
    </row>
    <row r="12285" spans="1:2" x14ac:dyDescent="0.4">
      <c r="A12285" s="4">
        <v>1009001</v>
      </c>
      <c r="B12285">
        <v>7121500</v>
      </c>
    </row>
    <row r="12286" spans="1:2" x14ac:dyDescent="0.4">
      <c r="A12286" s="4">
        <v>1009001</v>
      </c>
      <c r="B12286">
        <v>7121600</v>
      </c>
    </row>
    <row r="12287" spans="1:2" x14ac:dyDescent="0.4">
      <c r="A12287" s="4">
        <v>1009001</v>
      </c>
      <c r="B12287">
        <v>7121700</v>
      </c>
    </row>
    <row r="12288" spans="1:2" x14ac:dyDescent="0.4">
      <c r="A12288" s="4">
        <v>1009001</v>
      </c>
      <c r="B12288">
        <v>7121800</v>
      </c>
    </row>
    <row r="12289" spans="1:2" x14ac:dyDescent="0.4">
      <c r="A12289" s="4">
        <v>1009001</v>
      </c>
      <c r="B12289">
        <v>7121900</v>
      </c>
    </row>
    <row r="12290" spans="1:2" x14ac:dyDescent="0.4">
      <c r="A12290" s="4">
        <v>1009001</v>
      </c>
      <c r="B12290">
        <v>7122000</v>
      </c>
    </row>
    <row r="12291" spans="1:2" x14ac:dyDescent="0.4">
      <c r="A12291" s="4">
        <v>1009001</v>
      </c>
      <c r="B12291">
        <v>7122100</v>
      </c>
    </row>
    <row r="12292" spans="1:2" x14ac:dyDescent="0.4">
      <c r="A12292" s="4">
        <v>1009001</v>
      </c>
      <c r="B12292">
        <v>7122200</v>
      </c>
    </row>
    <row r="12293" spans="1:2" x14ac:dyDescent="0.4">
      <c r="A12293" s="4">
        <v>1009001</v>
      </c>
      <c r="B12293">
        <v>7122300</v>
      </c>
    </row>
    <row r="12294" spans="1:2" x14ac:dyDescent="0.4">
      <c r="A12294" s="4">
        <v>1009001</v>
      </c>
      <c r="B12294">
        <v>7122400</v>
      </c>
    </row>
    <row r="12295" spans="1:2" x14ac:dyDescent="0.4">
      <c r="A12295" s="4">
        <v>1009001</v>
      </c>
      <c r="B12295">
        <v>7122500</v>
      </c>
    </row>
    <row r="12296" spans="1:2" x14ac:dyDescent="0.4">
      <c r="A12296" s="4">
        <v>1009001</v>
      </c>
      <c r="B12296">
        <v>7122600</v>
      </c>
    </row>
    <row r="12297" spans="1:2" x14ac:dyDescent="0.4">
      <c r="A12297" s="4">
        <v>1009001</v>
      </c>
      <c r="B12297">
        <v>7122700</v>
      </c>
    </row>
    <row r="12298" spans="1:2" x14ac:dyDescent="0.4">
      <c r="A12298" s="4">
        <v>1009001</v>
      </c>
      <c r="B12298">
        <v>7122800</v>
      </c>
    </row>
    <row r="12299" spans="1:2" x14ac:dyDescent="0.4">
      <c r="A12299" s="4">
        <v>1009001</v>
      </c>
      <c r="B12299">
        <v>7122900</v>
      </c>
    </row>
    <row r="12300" spans="1:2" x14ac:dyDescent="0.4">
      <c r="A12300" s="4">
        <v>1009001</v>
      </c>
      <c r="B12300">
        <v>7123000</v>
      </c>
    </row>
    <row r="12301" spans="1:2" x14ac:dyDescent="0.4">
      <c r="A12301" s="4">
        <v>1009001</v>
      </c>
      <c r="B12301">
        <v>7123100</v>
      </c>
    </row>
    <row r="12302" spans="1:2" x14ac:dyDescent="0.4">
      <c r="A12302" s="4">
        <v>1009001</v>
      </c>
      <c r="B12302">
        <v>7123200</v>
      </c>
    </row>
    <row r="12303" spans="1:2" x14ac:dyDescent="0.4">
      <c r="A12303" s="4">
        <v>1009001</v>
      </c>
      <c r="B12303">
        <v>7123300</v>
      </c>
    </row>
    <row r="12304" spans="1:2" x14ac:dyDescent="0.4">
      <c r="A12304" s="4">
        <v>1009001</v>
      </c>
      <c r="B12304">
        <v>7123400</v>
      </c>
    </row>
    <row r="12305" spans="1:2" x14ac:dyDescent="0.4">
      <c r="A12305" s="4">
        <v>1009001</v>
      </c>
      <c r="B12305">
        <v>7123500</v>
      </c>
    </row>
    <row r="12306" spans="1:2" x14ac:dyDescent="0.4">
      <c r="A12306" s="4">
        <v>1009001</v>
      </c>
      <c r="B12306">
        <v>7123600</v>
      </c>
    </row>
    <row r="12307" spans="1:2" x14ac:dyDescent="0.4">
      <c r="A12307" s="4">
        <v>1009001</v>
      </c>
      <c r="B12307">
        <v>7123700</v>
      </c>
    </row>
    <row r="12308" spans="1:2" x14ac:dyDescent="0.4">
      <c r="A12308" s="4">
        <v>1009001</v>
      </c>
      <c r="B12308">
        <v>7123800</v>
      </c>
    </row>
    <row r="12309" spans="1:2" x14ac:dyDescent="0.4">
      <c r="A12309" s="4">
        <v>1009001</v>
      </c>
      <c r="B12309">
        <v>7123900</v>
      </c>
    </row>
    <row r="12310" spans="1:2" x14ac:dyDescent="0.4">
      <c r="A12310" s="4">
        <v>1009001</v>
      </c>
      <c r="B12310">
        <v>7124000</v>
      </c>
    </row>
    <row r="12311" spans="1:2" x14ac:dyDescent="0.4">
      <c r="A12311" s="4">
        <v>1009001</v>
      </c>
      <c r="B12311">
        <v>7124100</v>
      </c>
    </row>
    <row r="12312" spans="1:2" x14ac:dyDescent="0.4">
      <c r="A12312" s="4">
        <v>1009001</v>
      </c>
      <c r="B12312">
        <v>7124300</v>
      </c>
    </row>
    <row r="12313" spans="1:2" x14ac:dyDescent="0.4">
      <c r="A12313" s="4">
        <v>1009001</v>
      </c>
      <c r="B12313">
        <v>7124400</v>
      </c>
    </row>
    <row r="12314" spans="1:2" x14ac:dyDescent="0.4">
      <c r="A12314" s="4">
        <v>1009001</v>
      </c>
      <c r="B12314">
        <v>7124500</v>
      </c>
    </row>
    <row r="12315" spans="1:2" x14ac:dyDescent="0.4">
      <c r="A12315" s="4">
        <v>1009001</v>
      </c>
      <c r="B12315">
        <v>7124600</v>
      </c>
    </row>
    <row r="12316" spans="1:2" x14ac:dyDescent="0.4">
      <c r="A12316" s="4">
        <v>1009001</v>
      </c>
      <c r="B12316">
        <v>7124700</v>
      </c>
    </row>
    <row r="12317" spans="1:2" x14ac:dyDescent="0.4">
      <c r="A12317" s="4">
        <v>1009001</v>
      </c>
      <c r="B12317">
        <v>7126000</v>
      </c>
    </row>
    <row r="12318" spans="1:2" x14ac:dyDescent="0.4">
      <c r="A12318" s="4">
        <v>1009001</v>
      </c>
      <c r="B12318">
        <v>7150000</v>
      </c>
    </row>
    <row r="12319" spans="1:2" x14ac:dyDescent="0.4">
      <c r="A12319" s="4">
        <v>1009001</v>
      </c>
      <c r="B12319">
        <v>7160000</v>
      </c>
    </row>
    <row r="12320" spans="1:2" x14ac:dyDescent="0.4">
      <c r="A12320" s="4">
        <v>1009001</v>
      </c>
      <c r="B12320">
        <v>7220000</v>
      </c>
    </row>
    <row r="12321" spans="1:2" x14ac:dyDescent="0.4">
      <c r="A12321" s="4">
        <v>1009001</v>
      </c>
      <c r="B12321">
        <v>7230000</v>
      </c>
    </row>
    <row r="12322" spans="1:2" x14ac:dyDescent="0.4">
      <c r="A12322" s="4">
        <v>1009001</v>
      </c>
      <c r="B12322">
        <v>7240000</v>
      </c>
    </row>
    <row r="12323" spans="1:2" x14ac:dyDescent="0.4">
      <c r="A12323" s="4">
        <v>1009001</v>
      </c>
      <c r="B12323">
        <v>7260000</v>
      </c>
    </row>
    <row r="12324" spans="1:2" x14ac:dyDescent="0.4">
      <c r="A12324" s="4">
        <v>1009001</v>
      </c>
      <c r="B12324">
        <v>7260300</v>
      </c>
    </row>
    <row r="12325" spans="1:2" x14ac:dyDescent="0.4">
      <c r="A12325" s="4">
        <v>1009001</v>
      </c>
      <c r="B12325">
        <v>7260400</v>
      </c>
    </row>
    <row r="12326" spans="1:2" x14ac:dyDescent="0.4">
      <c r="A12326" s="4">
        <v>1009001</v>
      </c>
      <c r="B12326">
        <v>7270100</v>
      </c>
    </row>
    <row r="12327" spans="1:2" x14ac:dyDescent="0.4">
      <c r="A12327" s="4">
        <v>1009001</v>
      </c>
      <c r="B12327">
        <v>7280000</v>
      </c>
    </row>
    <row r="12328" spans="1:2" x14ac:dyDescent="0.4">
      <c r="A12328" s="4">
        <v>1009001</v>
      </c>
      <c r="B12328">
        <v>7290000</v>
      </c>
    </row>
    <row r="12329" spans="1:2" x14ac:dyDescent="0.4">
      <c r="A12329" s="4">
        <v>1009001</v>
      </c>
      <c r="B12329">
        <v>7310000</v>
      </c>
    </row>
    <row r="12330" spans="1:2" x14ac:dyDescent="0.4">
      <c r="A12330" s="4">
        <v>1009001</v>
      </c>
      <c r="B12330">
        <v>7330000</v>
      </c>
    </row>
    <row r="12331" spans="1:2" x14ac:dyDescent="0.4">
      <c r="A12331" s="4">
        <v>1009001</v>
      </c>
      <c r="B12331">
        <v>7330100</v>
      </c>
    </row>
    <row r="12332" spans="1:2" x14ac:dyDescent="0.4">
      <c r="A12332" s="4">
        <v>1009001</v>
      </c>
      <c r="B12332">
        <v>7330200</v>
      </c>
    </row>
    <row r="12333" spans="1:2" x14ac:dyDescent="0.4">
      <c r="A12333" s="4">
        <v>1009001</v>
      </c>
      <c r="B12333">
        <v>7330300</v>
      </c>
    </row>
    <row r="12334" spans="1:2" x14ac:dyDescent="0.4">
      <c r="A12334" s="4">
        <v>1009001</v>
      </c>
      <c r="B12334">
        <v>7330400</v>
      </c>
    </row>
    <row r="12335" spans="1:2" x14ac:dyDescent="0.4">
      <c r="A12335" s="4">
        <v>1009001</v>
      </c>
      <c r="B12335">
        <v>7330500</v>
      </c>
    </row>
    <row r="12336" spans="1:2" x14ac:dyDescent="0.4">
      <c r="A12336" s="4">
        <v>1009001</v>
      </c>
      <c r="B12336">
        <v>7330600</v>
      </c>
    </row>
    <row r="12337" spans="1:2" x14ac:dyDescent="0.4">
      <c r="A12337" s="4">
        <v>1009001</v>
      </c>
      <c r="B12337">
        <v>7330700</v>
      </c>
    </row>
    <row r="12338" spans="1:2" x14ac:dyDescent="0.4">
      <c r="A12338" s="4">
        <v>1009001</v>
      </c>
      <c r="B12338">
        <v>7330800</v>
      </c>
    </row>
    <row r="12339" spans="1:2" x14ac:dyDescent="0.4">
      <c r="A12339" s="4">
        <v>1009001</v>
      </c>
      <c r="B12339">
        <v>7330900</v>
      </c>
    </row>
    <row r="12340" spans="1:2" x14ac:dyDescent="0.4">
      <c r="A12340" s="4">
        <v>1009001</v>
      </c>
      <c r="B12340">
        <v>7331000</v>
      </c>
    </row>
    <row r="12341" spans="1:2" x14ac:dyDescent="0.4">
      <c r="A12341" s="4">
        <v>1009001</v>
      </c>
      <c r="B12341">
        <v>7331100</v>
      </c>
    </row>
    <row r="12342" spans="1:2" x14ac:dyDescent="0.4">
      <c r="A12342" s="4">
        <v>1009001</v>
      </c>
      <c r="B12342">
        <v>7331200</v>
      </c>
    </row>
    <row r="12343" spans="1:2" x14ac:dyDescent="0.4">
      <c r="A12343" s="4">
        <v>1009001</v>
      </c>
      <c r="B12343">
        <v>7331300</v>
      </c>
    </row>
    <row r="12344" spans="1:2" x14ac:dyDescent="0.4">
      <c r="A12344" s="4">
        <v>1009001</v>
      </c>
      <c r="B12344">
        <v>7331400</v>
      </c>
    </row>
    <row r="12345" spans="1:2" x14ac:dyDescent="0.4">
      <c r="A12345" s="4">
        <v>1009001</v>
      </c>
      <c r="B12345">
        <v>7331500</v>
      </c>
    </row>
    <row r="12346" spans="1:2" x14ac:dyDescent="0.4">
      <c r="A12346" s="4">
        <v>1009001</v>
      </c>
      <c r="B12346">
        <v>7331700</v>
      </c>
    </row>
    <row r="12347" spans="1:2" x14ac:dyDescent="0.4">
      <c r="A12347" s="4">
        <v>1009001</v>
      </c>
      <c r="B12347">
        <v>7331800</v>
      </c>
    </row>
    <row r="12348" spans="1:2" x14ac:dyDescent="0.4">
      <c r="A12348" s="4">
        <v>1009001</v>
      </c>
      <c r="B12348">
        <v>7331900</v>
      </c>
    </row>
    <row r="12349" spans="1:2" x14ac:dyDescent="0.4">
      <c r="A12349" s="4">
        <v>1009001</v>
      </c>
      <c r="B12349">
        <v>7332000</v>
      </c>
    </row>
    <row r="12350" spans="1:2" x14ac:dyDescent="0.4">
      <c r="A12350" s="4">
        <v>1009001</v>
      </c>
      <c r="B12350">
        <v>7332100</v>
      </c>
    </row>
    <row r="12351" spans="1:2" x14ac:dyDescent="0.4">
      <c r="A12351" s="4">
        <v>1009001</v>
      </c>
      <c r="B12351">
        <v>7332200</v>
      </c>
    </row>
    <row r="12352" spans="1:2" x14ac:dyDescent="0.4">
      <c r="A12352" s="4">
        <v>1009001</v>
      </c>
      <c r="B12352">
        <v>7332300</v>
      </c>
    </row>
    <row r="12353" spans="1:2" x14ac:dyDescent="0.4">
      <c r="A12353" s="4">
        <v>1009001</v>
      </c>
      <c r="B12353">
        <v>7332400</v>
      </c>
    </row>
    <row r="12354" spans="1:2" x14ac:dyDescent="0.4">
      <c r="A12354" s="4">
        <v>1009001</v>
      </c>
      <c r="B12354">
        <v>7340000</v>
      </c>
    </row>
    <row r="12355" spans="1:2" x14ac:dyDescent="0.4">
      <c r="A12355" s="4">
        <v>1009001</v>
      </c>
      <c r="B12355">
        <v>7340100</v>
      </c>
    </row>
    <row r="12356" spans="1:2" x14ac:dyDescent="0.4">
      <c r="A12356" s="4">
        <v>1009001</v>
      </c>
      <c r="B12356">
        <v>7340200</v>
      </c>
    </row>
    <row r="12357" spans="1:2" x14ac:dyDescent="0.4">
      <c r="A12357" s="4">
        <v>1009001</v>
      </c>
      <c r="B12357">
        <v>7340300</v>
      </c>
    </row>
    <row r="12358" spans="1:2" x14ac:dyDescent="0.4">
      <c r="A12358" s="4">
        <v>1009001</v>
      </c>
      <c r="B12358">
        <v>7340400</v>
      </c>
    </row>
    <row r="12359" spans="1:2" x14ac:dyDescent="0.4">
      <c r="A12359" s="4">
        <v>1009001</v>
      </c>
      <c r="B12359">
        <v>7340500</v>
      </c>
    </row>
    <row r="12360" spans="1:2" x14ac:dyDescent="0.4">
      <c r="A12360" s="4">
        <v>1009001</v>
      </c>
      <c r="B12360">
        <v>7340600</v>
      </c>
    </row>
    <row r="12361" spans="1:2" x14ac:dyDescent="0.4">
      <c r="A12361" s="4">
        <v>1009001</v>
      </c>
      <c r="B12361">
        <v>7340700</v>
      </c>
    </row>
    <row r="12362" spans="1:2" x14ac:dyDescent="0.4">
      <c r="A12362" s="4">
        <v>1009001</v>
      </c>
      <c r="B12362">
        <v>7340800</v>
      </c>
    </row>
    <row r="12363" spans="1:2" x14ac:dyDescent="0.4">
      <c r="A12363" s="4">
        <v>1009001</v>
      </c>
      <c r="B12363">
        <v>7340900</v>
      </c>
    </row>
    <row r="12364" spans="1:2" x14ac:dyDescent="0.4">
      <c r="A12364" s="4">
        <v>1009001</v>
      </c>
      <c r="B12364">
        <v>7341000</v>
      </c>
    </row>
    <row r="12365" spans="1:2" x14ac:dyDescent="0.4">
      <c r="A12365" s="4">
        <v>1009001</v>
      </c>
      <c r="B12365">
        <v>7341100</v>
      </c>
    </row>
    <row r="12366" spans="1:2" x14ac:dyDescent="0.4">
      <c r="A12366" s="4">
        <v>1009001</v>
      </c>
      <c r="B12366">
        <v>7341200</v>
      </c>
    </row>
    <row r="12367" spans="1:2" x14ac:dyDescent="0.4">
      <c r="A12367" s="4">
        <v>1009001</v>
      </c>
      <c r="B12367">
        <v>7341300</v>
      </c>
    </row>
    <row r="12368" spans="1:2" x14ac:dyDescent="0.4">
      <c r="A12368" s="4">
        <v>1009001</v>
      </c>
      <c r="B12368">
        <v>7341400</v>
      </c>
    </row>
    <row r="12369" spans="1:2" x14ac:dyDescent="0.4">
      <c r="A12369" s="4">
        <v>1009001</v>
      </c>
      <c r="B12369">
        <v>7341500</v>
      </c>
    </row>
    <row r="12370" spans="1:2" x14ac:dyDescent="0.4">
      <c r="A12370" s="4">
        <v>1009001</v>
      </c>
      <c r="B12370">
        <v>7341700</v>
      </c>
    </row>
    <row r="12371" spans="1:2" x14ac:dyDescent="0.4">
      <c r="A12371" s="4">
        <v>1009001</v>
      </c>
      <c r="B12371">
        <v>7341800</v>
      </c>
    </row>
    <row r="12372" spans="1:2" x14ac:dyDescent="0.4">
      <c r="A12372" s="4">
        <v>1009001</v>
      </c>
      <c r="B12372">
        <v>7341900</v>
      </c>
    </row>
    <row r="12373" spans="1:2" x14ac:dyDescent="0.4">
      <c r="A12373" s="4">
        <v>1009001</v>
      </c>
      <c r="B12373">
        <v>7342000</v>
      </c>
    </row>
    <row r="12374" spans="1:2" x14ac:dyDescent="0.4">
      <c r="A12374" s="4">
        <v>1009001</v>
      </c>
      <c r="B12374">
        <v>7342100</v>
      </c>
    </row>
    <row r="12375" spans="1:2" x14ac:dyDescent="0.4">
      <c r="A12375" s="4">
        <v>1009001</v>
      </c>
      <c r="B12375">
        <v>7342200</v>
      </c>
    </row>
    <row r="12376" spans="1:2" x14ac:dyDescent="0.4">
      <c r="A12376" s="4">
        <v>1009001</v>
      </c>
      <c r="B12376">
        <v>7342300</v>
      </c>
    </row>
    <row r="12377" spans="1:2" x14ac:dyDescent="0.4">
      <c r="A12377" s="4">
        <v>1009001</v>
      </c>
      <c r="B12377">
        <v>7342400</v>
      </c>
    </row>
    <row r="12378" spans="1:2" x14ac:dyDescent="0.4">
      <c r="A12378" s="4">
        <v>1009001</v>
      </c>
      <c r="B12378">
        <v>7350000</v>
      </c>
    </row>
    <row r="12379" spans="1:2" x14ac:dyDescent="0.4">
      <c r="A12379" s="4">
        <v>1009001</v>
      </c>
      <c r="B12379">
        <v>7350100</v>
      </c>
    </row>
    <row r="12380" spans="1:2" x14ac:dyDescent="0.4">
      <c r="A12380" s="4">
        <v>1009001</v>
      </c>
      <c r="B12380">
        <v>7350200</v>
      </c>
    </row>
    <row r="12381" spans="1:2" x14ac:dyDescent="0.4">
      <c r="A12381" s="4">
        <v>1009001</v>
      </c>
      <c r="B12381">
        <v>7350300</v>
      </c>
    </row>
    <row r="12382" spans="1:2" x14ac:dyDescent="0.4">
      <c r="A12382" s="4">
        <v>1009001</v>
      </c>
      <c r="B12382">
        <v>7350400</v>
      </c>
    </row>
    <row r="12383" spans="1:2" x14ac:dyDescent="0.4">
      <c r="A12383" s="4">
        <v>1009001</v>
      </c>
      <c r="B12383">
        <v>7350500</v>
      </c>
    </row>
    <row r="12384" spans="1:2" x14ac:dyDescent="0.4">
      <c r="A12384" s="4">
        <v>1009001</v>
      </c>
      <c r="B12384">
        <v>7350600</v>
      </c>
    </row>
    <row r="12385" spans="1:2" x14ac:dyDescent="0.4">
      <c r="A12385" s="4">
        <v>1009001</v>
      </c>
      <c r="B12385">
        <v>7350700</v>
      </c>
    </row>
    <row r="12386" spans="1:2" x14ac:dyDescent="0.4">
      <c r="A12386" s="4">
        <v>1009001</v>
      </c>
      <c r="B12386">
        <v>7350800</v>
      </c>
    </row>
    <row r="12387" spans="1:2" x14ac:dyDescent="0.4">
      <c r="A12387" s="4">
        <v>1009001</v>
      </c>
      <c r="B12387">
        <v>7350900</v>
      </c>
    </row>
    <row r="12388" spans="1:2" x14ac:dyDescent="0.4">
      <c r="A12388" s="4">
        <v>1009001</v>
      </c>
      <c r="B12388">
        <v>7351000</v>
      </c>
    </row>
    <row r="12389" spans="1:2" x14ac:dyDescent="0.4">
      <c r="A12389" s="4">
        <v>1009001</v>
      </c>
      <c r="B12389">
        <v>7351100</v>
      </c>
    </row>
    <row r="12390" spans="1:2" x14ac:dyDescent="0.4">
      <c r="A12390" s="4">
        <v>1009001</v>
      </c>
      <c r="B12390">
        <v>7351200</v>
      </c>
    </row>
    <row r="12391" spans="1:2" x14ac:dyDescent="0.4">
      <c r="A12391" s="4">
        <v>1009001</v>
      </c>
      <c r="B12391">
        <v>7351300</v>
      </c>
    </row>
    <row r="12392" spans="1:2" x14ac:dyDescent="0.4">
      <c r="A12392" s="4">
        <v>1009001</v>
      </c>
      <c r="B12392">
        <v>7351400</v>
      </c>
    </row>
    <row r="12393" spans="1:2" x14ac:dyDescent="0.4">
      <c r="A12393" s="4">
        <v>1009001</v>
      </c>
      <c r="B12393">
        <v>7351500</v>
      </c>
    </row>
    <row r="12394" spans="1:2" x14ac:dyDescent="0.4">
      <c r="A12394" s="4">
        <v>1009001</v>
      </c>
      <c r="B12394">
        <v>7351700</v>
      </c>
    </row>
    <row r="12395" spans="1:2" x14ac:dyDescent="0.4">
      <c r="A12395" s="4">
        <v>1009001</v>
      </c>
      <c r="B12395">
        <v>7351800</v>
      </c>
    </row>
    <row r="12396" spans="1:2" x14ac:dyDescent="0.4">
      <c r="A12396" s="4">
        <v>1009001</v>
      </c>
      <c r="B12396">
        <v>7351900</v>
      </c>
    </row>
    <row r="12397" spans="1:2" x14ac:dyDescent="0.4">
      <c r="A12397" s="4">
        <v>1009001</v>
      </c>
      <c r="B12397">
        <v>7352000</v>
      </c>
    </row>
    <row r="12398" spans="1:2" x14ac:dyDescent="0.4">
      <c r="A12398" s="4">
        <v>1009001</v>
      </c>
      <c r="B12398">
        <v>7352100</v>
      </c>
    </row>
    <row r="12399" spans="1:2" x14ac:dyDescent="0.4">
      <c r="A12399" s="4">
        <v>1009001</v>
      </c>
      <c r="B12399">
        <v>7352200</v>
      </c>
    </row>
    <row r="12400" spans="1:2" x14ac:dyDescent="0.4">
      <c r="A12400" s="4">
        <v>1009001</v>
      </c>
      <c r="B12400">
        <v>7352300</v>
      </c>
    </row>
    <row r="12401" spans="1:2" x14ac:dyDescent="0.4">
      <c r="A12401" s="4">
        <v>1009001</v>
      </c>
      <c r="B12401">
        <v>7352400</v>
      </c>
    </row>
    <row r="12402" spans="1:2" x14ac:dyDescent="0.4">
      <c r="A12402" s="4">
        <v>1009001</v>
      </c>
      <c r="B12402">
        <v>7360600</v>
      </c>
    </row>
    <row r="12403" spans="1:2" x14ac:dyDescent="0.4">
      <c r="A12403" s="4">
        <v>1009001</v>
      </c>
      <c r="B12403">
        <v>7360900</v>
      </c>
    </row>
    <row r="12404" spans="1:2" x14ac:dyDescent="0.4">
      <c r="A12404" s="4">
        <v>1009001</v>
      </c>
      <c r="B12404">
        <v>7361200</v>
      </c>
    </row>
    <row r="12405" spans="1:2" x14ac:dyDescent="0.4">
      <c r="A12405" s="4">
        <v>1009001</v>
      </c>
      <c r="B12405">
        <v>7361300</v>
      </c>
    </row>
    <row r="12406" spans="1:2" x14ac:dyDescent="0.4">
      <c r="A12406" s="4">
        <v>1009001</v>
      </c>
      <c r="B12406">
        <v>7362100</v>
      </c>
    </row>
    <row r="12407" spans="1:2" x14ac:dyDescent="0.4">
      <c r="A12407" s="4">
        <v>1009001</v>
      </c>
      <c r="B12407">
        <v>7370300</v>
      </c>
    </row>
    <row r="12408" spans="1:2" x14ac:dyDescent="0.4">
      <c r="A12408" s="4">
        <v>1009001</v>
      </c>
      <c r="B12408">
        <v>7370400</v>
      </c>
    </row>
    <row r="12409" spans="1:2" x14ac:dyDescent="0.4">
      <c r="A12409" s="4">
        <v>1009001</v>
      </c>
      <c r="B12409">
        <v>7370600</v>
      </c>
    </row>
    <row r="12410" spans="1:2" x14ac:dyDescent="0.4">
      <c r="A12410" s="4">
        <v>1009001</v>
      </c>
      <c r="B12410">
        <v>7370900</v>
      </c>
    </row>
    <row r="12411" spans="1:2" x14ac:dyDescent="0.4">
      <c r="A12411" s="4">
        <v>1009001</v>
      </c>
      <c r="B12411">
        <v>7371500</v>
      </c>
    </row>
    <row r="12412" spans="1:2" x14ac:dyDescent="0.4">
      <c r="A12412" s="4">
        <v>1009001</v>
      </c>
      <c r="B12412">
        <v>7036200</v>
      </c>
    </row>
    <row r="12413" spans="1:2" x14ac:dyDescent="0.4">
      <c r="A12413" s="4">
        <v>1009001</v>
      </c>
      <c r="B12413">
        <v>7036300</v>
      </c>
    </row>
    <row r="12414" spans="1:2" x14ac:dyDescent="0.4">
      <c r="A12414" s="4">
        <v>1009001</v>
      </c>
      <c r="B12414">
        <v>7036400</v>
      </c>
    </row>
    <row r="12415" spans="1:2" x14ac:dyDescent="0.4">
      <c r="A12415" s="4">
        <v>1009001</v>
      </c>
      <c r="B12415">
        <v>7036500</v>
      </c>
    </row>
    <row r="12416" spans="1:2" x14ac:dyDescent="0.4">
      <c r="A12416" s="4">
        <v>1009001</v>
      </c>
      <c r="B12416">
        <v>7036800</v>
      </c>
    </row>
    <row r="12417" spans="1:2" x14ac:dyDescent="0.4">
      <c r="A12417" s="4">
        <v>1009001</v>
      </c>
      <c r="B12417">
        <v>7036900</v>
      </c>
    </row>
    <row r="12418" spans="1:2" x14ac:dyDescent="0.4">
      <c r="A12418" s="4">
        <v>1009001</v>
      </c>
      <c r="B12418">
        <v>7037000</v>
      </c>
    </row>
    <row r="12419" spans="1:2" x14ac:dyDescent="0.4">
      <c r="A12419" s="4">
        <v>1009001</v>
      </c>
      <c r="B12419">
        <v>7037300</v>
      </c>
    </row>
    <row r="12420" spans="1:2" x14ac:dyDescent="0.4">
      <c r="A12420" s="4">
        <v>1009001</v>
      </c>
      <c r="B12420">
        <v>6630000</v>
      </c>
    </row>
    <row r="12421" spans="1:2" x14ac:dyDescent="0.4">
      <c r="A12421" s="4">
        <v>1009001</v>
      </c>
      <c r="B12421">
        <v>6630100</v>
      </c>
    </row>
    <row r="12422" spans="1:2" x14ac:dyDescent="0.4">
      <c r="A12422" s="4">
        <v>1009001</v>
      </c>
      <c r="B12422">
        <v>6630200</v>
      </c>
    </row>
    <row r="12423" spans="1:2" x14ac:dyDescent="0.4">
      <c r="A12423" s="4">
        <v>1009001</v>
      </c>
      <c r="B12423">
        <v>6630300</v>
      </c>
    </row>
    <row r="12424" spans="1:2" x14ac:dyDescent="0.4">
      <c r="A12424" s="4">
        <v>1009001</v>
      </c>
      <c r="B12424">
        <v>6630400</v>
      </c>
    </row>
    <row r="12425" spans="1:2" x14ac:dyDescent="0.4">
      <c r="A12425" s="4">
        <v>1009001</v>
      </c>
      <c r="B12425">
        <v>6630500</v>
      </c>
    </row>
    <row r="12426" spans="1:2" x14ac:dyDescent="0.4">
      <c r="A12426" s="4">
        <v>1009001</v>
      </c>
      <c r="B12426">
        <v>6630600</v>
      </c>
    </row>
    <row r="12427" spans="1:2" x14ac:dyDescent="0.4">
      <c r="A12427" s="4">
        <v>1009001</v>
      </c>
      <c r="B12427">
        <v>6630700</v>
      </c>
    </row>
    <row r="12428" spans="1:2" x14ac:dyDescent="0.4">
      <c r="A12428" s="4">
        <v>1009001</v>
      </c>
      <c r="B12428">
        <v>6630800</v>
      </c>
    </row>
    <row r="12429" spans="1:2" x14ac:dyDescent="0.4">
      <c r="A12429" s="4">
        <v>1009001</v>
      </c>
      <c r="B12429">
        <v>6630900</v>
      </c>
    </row>
    <row r="12430" spans="1:2" x14ac:dyDescent="0.4">
      <c r="A12430" s="4">
        <v>1009001</v>
      </c>
      <c r="B12430">
        <v>6631000</v>
      </c>
    </row>
    <row r="12431" spans="1:2" x14ac:dyDescent="0.4">
      <c r="A12431" s="4">
        <v>1009001</v>
      </c>
      <c r="B12431">
        <v>6631100</v>
      </c>
    </row>
    <row r="12432" spans="1:2" x14ac:dyDescent="0.4">
      <c r="A12432" s="4">
        <v>1009001</v>
      </c>
      <c r="B12432">
        <v>6631200</v>
      </c>
    </row>
    <row r="12433" spans="1:2" x14ac:dyDescent="0.4">
      <c r="A12433" s="4">
        <v>1009001</v>
      </c>
      <c r="B12433">
        <v>6631300</v>
      </c>
    </row>
    <row r="12434" spans="1:2" x14ac:dyDescent="0.4">
      <c r="A12434" s="4">
        <v>1009001</v>
      </c>
      <c r="B12434">
        <v>6631400</v>
      </c>
    </row>
    <row r="12435" spans="1:2" x14ac:dyDescent="0.4">
      <c r="A12435" s="4">
        <v>1009001</v>
      </c>
      <c r="B12435">
        <v>6631500</v>
      </c>
    </row>
    <row r="12436" spans="1:2" x14ac:dyDescent="0.4">
      <c r="A12436" s="4">
        <v>1009001</v>
      </c>
      <c r="B12436">
        <v>6631600</v>
      </c>
    </row>
    <row r="12437" spans="1:2" x14ac:dyDescent="0.4">
      <c r="A12437" s="4">
        <v>1009001</v>
      </c>
      <c r="B12437">
        <v>6631700</v>
      </c>
    </row>
    <row r="12438" spans="1:2" x14ac:dyDescent="0.4">
      <c r="A12438" s="4">
        <v>1009001</v>
      </c>
      <c r="B12438">
        <v>6631800</v>
      </c>
    </row>
    <row r="12439" spans="1:2" x14ac:dyDescent="0.4">
      <c r="A12439" s="4">
        <v>1009001</v>
      </c>
      <c r="B12439">
        <v>6631900</v>
      </c>
    </row>
    <row r="12440" spans="1:2" x14ac:dyDescent="0.4">
      <c r="A12440" s="4">
        <v>1009001</v>
      </c>
      <c r="B12440">
        <v>6632000</v>
      </c>
    </row>
    <row r="12441" spans="1:2" x14ac:dyDescent="0.4">
      <c r="A12441" s="4">
        <v>1009001</v>
      </c>
      <c r="B12441">
        <v>6632100</v>
      </c>
    </row>
    <row r="12442" spans="1:2" x14ac:dyDescent="0.4">
      <c r="A12442" s="4">
        <v>1009001</v>
      </c>
      <c r="B12442">
        <v>6632200</v>
      </c>
    </row>
    <row r="12443" spans="1:2" x14ac:dyDescent="0.4">
      <c r="A12443" s="4">
        <v>1009001</v>
      </c>
      <c r="B12443">
        <v>6632300</v>
      </c>
    </row>
    <row r="12444" spans="1:2" x14ac:dyDescent="0.4">
      <c r="A12444" s="4">
        <v>1009001</v>
      </c>
      <c r="B12444">
        <v>6632400</v>
      </c>
    </row>
    <row r="12445" spans="1:2" x14ac:dyDescent="0.4">
      <c r="A12445" s="4">
        <v>1009001</v>
      </c>
      <c r="B12445">
        <v>6632500</v>
      </c>
    </row>
    <row r="12446" spans="1:2" x14ac:dyDescent="0.4">
      <c r="A12446" s="4">
        <v>1009001</v>
      </c>
      <c r="B12446">
        <v>6632600</v>
      </c>
    </row>
    <row r="12447" spans="1:2" x14ac:dyDescent="0.4">
      <c r="A12447" s="4">
        <v>1009001</v>
      </c>
      <c r="B12447">
        <v>6632700</v>
      </c>
    </row>
    <row r="12448" spans="1:2" x14ac:dyDescent="0.4">
      <c r="A12448" s="4">
        <v>1009001</v>
      </c>
      <c r="B12448">
        <v>6632800</v>
      </c>
    </row>
    <row r="12449" spans="1:2" x14ac:dyDescent="0.4">
      <c r="A12449" s="4">
        <v>1009001</v>
      </c>
      <c r="B12449">
        <v>6632900</v>
      </c>
    </row>
    <row r="12450" spans="1:2" x14ac:dyDescent="0.4">
      <c r="A12450" s="4">
        <v>1009001</v>
      </c>
      <c r="B12450">
        <v>6633000</v>
      </c>
    </row>
    <row r="12451" spans="1:2" x14ac:dyDescent="0.4">
      <c r="A12451" s="4">
        <v>1009001</v>
      </c>
      <c r="B12451">
        <v>6633100</v>
      </c>
    </row>
    <row r="12452" spans="1:2" x14ac:dyDescent="0.4">
      <c r="A12452" s="4">
        <v>1009001</v>
      </c>
      <c r="B12452">
        <v>6633200</v>
      </c>
    </row>
    <row r="12453" spans="1:2" x14ac:dyDescent="0.4">
      <c r="A12453" s="4">
        <v>1009001</v>
      </c>
      <c r="B12453">
        <v>6647200</v>
      </c>
    </row>
    <row r="12454" spans="1:2" x14ac:dyDescent="0.4">
      <c r="A12454" s="4">
        <v>1009001</v>
      </c>
      <c r="B12454">
        <v>6647300</v>
      </c>
    </row>
    <row r="12455" spans="1:2" x14ac:dyDescent="0.4">
      <c r="A12455" s="4">
        <v>1009001</v>
      </c>
      <c r="B12455">
        <v>6647400</v>
      </c>
    </row>
    <row r="12456" spans="1:2" x14ac:dyDescent="0.4">
      <c r="A12456" s="4">
        <v>1009001</v>
      </c>
      <c r="B12456">
        <v>6647500</v>
      </c>
    </row>
    <row r="12457" spans="1:2" x14ac:dyDescent="0.4">
      <c r="A12457" s="4">
        <v>1009001</v>
      </c>
      <c r="B12457">
        <v>6640000</v>
      </c>
    </row>
    <row r="12458" spans="1:2" x14ac:dyDescent="0.4">
      <c r="A12458" s="4">
        <v>1009001</v>
      </c>
      <c r="B12458">
        <v>6640100</v>
      </c>
    </row>
    <row r="12459" spans="1:2" x14ac:dyDescent="0.4">
      <c r="A12459" s="4">
        <v>1009001</v>
      </c>
      <c r="B12459">
        <v>6641000</v>
      </c>
    </row>
    <row r="12460" spans="1:2" x14ac:dyDescent="0.4">
      <c r="A12460" s="4">
        <v>1009001</v>
      </c>
      <c r="B12460">
        <v>6641100</v>
      </c>
    </row>
    <row r="12461" spans="1:2" x14ac:dyDescent="0.4">
      <c r="A12461" s="4">
        <v>1009001</v>
      </c>
      <c r="B12461">
        <v>6642000</v>
      </c>
    </row>
    <row r="12462" spans="1:2" x14ac:dyDescent="0.4">
      <c r="A12462" s="4">
        <v>1009001</v>
      </c>
      <c r="B12462">
        <v>6642100</v>
      </c>
    </row>
    <row r="12463" spans="1:2" x14ac:dyDescent="0.4">
      <c r="A12463" s="4">
        <v>1009001</v>
      </c>
      <c r="B12463">
        <v>6643000</v>
      </c>
    </row>
    <row r="12464" spans="1:2" x14ac:dyDescent="0.4">
      <c r="A12464" s="4">
        <v>1009001</v>
      </c>
      <c r="B12464">
        <v>6643100</v>
      </c>
    </row>
    <row r="12465" spans="1:2" x14ac:dyDescent="0.4">
      <c r="A12465" s="4">
        <v>1009001</v>
      </c>
      <c r="B12465">
        <v>6644000</v>
      </c>
    </row>
    <row r="12466" spans="1:2" x14ac:dyDescent="0.4">
      <c r="A12466" s="4">
        <v>1009001</v>
      </c>
      <c r="B12466">
        <v>6644100</v>
      </c>
    </row>
    <row r="12467" spans="1:2" x14ac:dyDescent="0.4">
      <c r="A12467" s="4">
        <v>1009001</v>
      </c>
      <c r="B12467">
        <v>6645000</v>
      </c>
    </row>
    <row r="12468" spans="1:2" x14ac:dyDescent="0.4">
      <c r="A12468" s="4">
        <v>1009001</v>
      </c>
      <c r="B12468">
        <v>6645100</v>
      </c>
    </row>
    <row r="12469" spans="1:2" x14ac:dyDescent="0.4">
      <c r="A12469" s="4">
        <v>1009001</v>
      </c>
      <c r="B12469">
        <v>6646000</v>
      </c>
    </row>
    <row r="12470" spans="1:2" x14ac:dyDescent="0.4">
      <c r="A12470" s="4">
        <v>1009001</v>
      </c>
      <c r="B12470">
        <v>6646100</v>
      </c>
    </row>
    <row r="12471" spans="1:2" x14ac:dyDescent="0.4">
      <c r="A12471" s="4">
        <v>1009001</v>
      </c>
      <c r="B12471">
        <v>6647000</v>
      </c>
    </row>
    <row r="12472" spans="1:2" x14ac:dyDescent="0.4">
      <c r="A12472" s="4">
        <v>1009001</v>
      </c>
      <c r="B12472">
        <v>6647100</v>
      </c>
    </row>
    <row r="12473" spans="1:2" x14ac:dyDescent="0.4">
      <c r="A12473" s="4">
        <v>1009002</v>
      </c>
      <c r="B12473">
        <v>7000000</v>
      </c>
    </row>
    <row r="12474" spans="1:2" x14ac:dyDescent="0.4">
      <c r="A12474" s="4">
        <v>1009002</v>
      </c>
      <c r="B12474">
        <v>7000001</v>
      </c>
    </row>
    <row r="12475" spans="1:2" x14ac:dyDescent="0.4">
      <c r="A12475" s="4">
        <v>1009002</v>
      </c>
      <c r="B12475">
        <v>7000002</v>
      </c>
    </row>
    <row r="12476" spans="1:2" x14ac:dyDescent="0.4">
      <c r="A12476" s="4">
        <v>1009002</v>
      </c>
      <c r="B12476">
        <v>7000100</v>
      </c>
    </row>
    <row r="12477" spans="1:2" x14ac:dyDescent="0.4">
      <c r="A12477" s="4">
        <v>1009002</v>
      </c>
      <c r="B12477">
        <v>7000101</v>
      </c>
    </row>
    <row r="12478" spans="1:2" x14ac:dyDescent="0.4">
      <c r="A12478" s="4">
        <v>1009002</v>
      </c>
      <c r="B12478">
        <v>7000102</v>
      </c>
    </row>
    <row r="12479" spans="1:2" x14ac:dyDescent="0.4">
      <c r="A12479" s="4">
        <v>1009002</v>
      </c>
      <c r="B12479">
        <v>7000200</v>
      </c>
    </row>
    <row r="12480" spans="1:2" x14ac:dyDescent="0.4">
      <c r="A12480" s="4">
        <v>1009002</v>
      </c>
      <c r="B12480">
        <v>7000201</v>
      </c>
    </row>
    <row r="12481" spans="1:2" x14ac:dyDescent="0.4">
      <c r="A12481" s="4">
        <v>1009002</v>
      </c>
      <c r="B12481">
        <v>7000202</v>
      </c>
    </row>
    <row r="12482" spans="1:2" x14ac:dyDescent="0.4">
      <c r="A12482" s="4">
        <v>1009002</v>
      </c>
      <c r="B12482">
        <v>7000300</v>
      </c>
    </row>
    <row r="12483" spans="1:2" x14ac:dyDescent="0.4">
      <c r="A12483" s="4">
        <v>1009002</v>
      </c>
      <c r="B12483">
        <v>7000301</v>
      </c>
    </row>
    <row r="12484" spans="1:2" x14ac:dyDescent="0.4">
      <c r="A12484" s="4">
        <v>1009002</v>
      </c>
      <c r="B12484">
        <v>7000302</v>
      </c>
    </row>
    <row r="12485" spans="1:2" x14ac:dyDescent="0.4">
      <c r="A12485" s="4">
        <v>1009002</v>
      </c>
      <c r="B12485">
        <v>7000400</v>
      </c>
    </row>
    <row r="12486" spans="1:2" x14ac:dyDescent="0.4">
      <c r="A12486" s="4">
        <v>1009002</v>
      </c>
      <c r="B12486">
        <v>7000401</v>
      </c>
    </row>
    <row r="12487" spans="1:2" x14ac:dyDescent="0.4">
      <c r="A12487" s="4">
        <v>1009002</v>
      </c>
      <c r="B12487">
        <v>7000402</v>
      </c>
    </row>
    <row r="12488" spans="1:2" x14ac:dyDescent="0.4">
      <c r="A12488" s="4">
        <v>1009002</v>
      </c>
      <c r="B12488">
        <v>7000500</v>
      </c>
    </row>
    <row r="12489" spans="1:2" x14ac:dyDescent="0.4">
      <c r="A12489" s="4">
        <v>1009002</v>
      </c>
      <c r="B12489">
        <v>7000501</v>
      </c>
    </row>
    <row r="12490" spans="1:2" x14ac:dyDescent="0.4">
      <c r="A12490" s="4">
        <v>1009002</v>
      </c>
      <c r="B12490">
        <v>7000502</v>
      </c>
    </row>
    <row r="12491" spans="1:2" x14ac:dyDescent="0.4">
      <c r="A12491" s="4">
        <v>1009002</v>
      </c>
      <c r="B12491">
        <v>7000600</v>
      </c>
    </row>
    <row r="12492" spans="1:2" x14ac:dyDescent="0.4">
      <c r="A12492" s="4">
        <v>1009002</v>
      </c>
      <c r="B12492">
        <v>7000601</v>
      </c>
    </row>
    <row r="12493" spans="1:2" x14ac:dyDescent="0.4">
      <c r="A12493" s="4">
        <v>1009002</v>
      </c>
      <c r="B12493">
        <v>7000602</v>
      </c>
    </row>
    <row r="12494" spans="1:2" x14ac:dyDescent="0.4">
      <c r="A12494" s="4">
        <v>1009002</v>
      </c>
      <c r="B12494">
        <v>7000700</v>
      </c>
    </row>
    <row r="12495" spans="1:2" x14ac:dyDescent="0.4">
      <c r="A12495" s="4">
        <v>1009002</v>
      </c>
      <c r="B12495">
        <v>7000701</v>
      </c>
    </row>
    <row r="12496" spans="1:2" x14ac:dyDescent="0.4">
      <c r="A12496" s="4">
        <v>1009002</v>
      </c>
      <c r="B12496">
        <v>7000702</v>
      </c>
    </row>
    <row r="12497" spans="1:2" x14ac:dyDescent="0.4">
      <c r="A12497" s="4">
        <v>1009002</v>
      </c>
      <c r="B12497">
        <v>7000800</v>
      </c>
    </row>
    <row r="12498" spans="1:2" x14ac:dyDescent="0.4">
      <c r="A12498" s="4">
        <v>1009002</v>
      </c>
      <c r="B12498">
        <v>7000801</v>
      </c>
    </row>
    <row r="12499" spans="1:2" x14ac:dyDescent="0.4">
      <c r="A12499" s="4">
        <v>1009002</v>
      </c>
      <c r="B12499">
        <v>7000802</v>
      </c>
    </row>
    <row r="12500" spans="1:2" x14ac:dyDescent="0.4">
      <c r="A12500" s="4">
        <v>1009002</v>
      </c>
      <c r="B12500">
        <v>7000900</v>
      </c>
    </row>
    <row r="12501" spans="1:2" x14ac:dyDescent="0.4">
      <c r="A12501" s="4">
        <v>1009002</v>
      </c>
      <c r="B12501">
        <v>7000901</v>
      </c>
    </row>
    <row r="12502" spans="1:2" x14ac:dyDescent="0.4">
      <c r="A12502" s="4">
        <v>1009002</v>
      </c>
      <c r="B12502">
        <v>7000902</v>
      </c>
    </row>
    <row r="12503" spans="1:2" x14ac:dyDescent="0.4">
      <c r="A12503" s="4">
        <v>1009002</v>
      </c>
      <c r="B12503">
        <v>7001000</v>
      </c>
    </row>
    <row r="12504" spans="1:2" x14ac:dyDescent="0.4">
      <c r="A12504" s="4">
        <v>1009002</v>
      </c>
      <c r="B12504">
        <v>7001001</v>
      </c>
    </row>
    <row r="12505" spans="1:2" x14ac:dyDescent="0.4">
      <c r="A12505" s="4">
        <v>1009002</v>
      </c>
      <c r="B12505">
        <v>7001002</v>
      </c>
    </row>
    <row r="12506" spans="1:2" x14ac:dyDescent="0.4">
      <c r="A12506" s="4">
        <v>1009002</v>
      </c>
      <c r="B12506">
        <v>7001400</v>
      </c>
    </row>
    <row r="12507" spans="1:2" x14ac:dyDescent="0.4">
      <c r="A12507" s="4">
        <v>1009002</v>
      </c>
      <c r="B12507">
        <v>7001401</v>
      </c>
    </row>
    <row r="12508" spans="1:2" x14ac:dyDescent="0.4">
      <c r="A12508" s="4">
        <v>1009002</v>
      </c>
      <c r="B12508">
        <v>7001402</v>
      </c>
    </row>
    <row r="12509" spans="1:2" x14ac:dyDescent="0.4">
      <c r="A12509" s="4">
        <v>1009002</v>
      </c>
      <c r="B12509">
        <v>7001500</v>
      </c>
    </row>
    <row r="12510" spans="1:2" x14ac:dyDescent="0.4">
      <c r="A12510" s="4">
        <v>1009002</v>
      </c>
      <c r="B12510">
        <v>7001501</v>
      </c>
    </row>
    <row r="12511" spans="1:2" x14ac:dyDescent="0.4">
      <c r="A12511" s="4">
        <v>1009002</v>
      </c>
      <c r="B12511">
        <v>7001502</v>
      </c>
    </row>
    <row r="12512" spans="1:2" x14ac:dyDescent="0.4">
      <c r="A12512" s="4">
        <v>1009002</v>
      </c>
      <c r="B12512">
        <v>7001600</v>
      </c>
    </row>
    <row r="12513" spans="1:2" x14ac:dyDescent="0.4">
      <c r="A12513" s="4">
        <v>1009002</v>
      </c>
      <c r="B12513">
        <v>7001601</v>
      </c>
    </row>
    <row r="12514" spans="1:2" x14ac:dyDescent="0.4">
      <c r="A12514" s="4">
        <v>1009002</v>
      </c>
      <c r="B12514">
        <v>7001602</v>
      </c>
    </row>
    <row r="12515" spans="1:2" x14ac:dyDescent="0.4">
      <c r="A12515" s="4">
        <v>1009002</v>
      </c>
      <c r="B12515">
        <v>7001700</v>
      </c>
    </row>
    <row r="12516" spans="1:2" x14ac:dyDescent="0.4">
      <c r="A12516" s="4">
        <v>1009002</v>
      </c>
      <c r="B12516">
        <v>7001701</v>
      </c>
    </row>
    <row r="12517" spans="1:2" x14ac:dyDescent="0.4">
      <c r="A12517" s="4">
        <v>1009002</v>
      </c>
      <c r="B12517">
        <v>7001702</v>
      </c>
    </row>
    <row r="12518" spans="1:2" x14ac:dyDescent="0.4">
      <c r="A12518" s="4">
        <v>1009002</v>
      </c>
      <c r="B12518">
        <v>7001800</v>
      </c>
    </row>
    <row r="12519" spans="1:2" x14ac:dyDescent="0.4">
      <c r="A12519" s="4">
        <v>1009002</v>
      </c>
      <c r="B12519">
        <v>7001801</v>
      </c>
    </row>
    <row r="12520" spans="1:2" x14ac:dyDescent="0.4">
      <c r="A12520" s="4">
        <v>1009002</v>
      </c>
      <c r="B12520">
        <v>7001802</v>
      </c>
    </row>
    <row r="12521" spans="1:2" x14ac:dyDescent="0.4">
      <c r="A12521" s="4">
        <v>1009002</v>
      </c>
      <c r="B12521">
        <v>7002600</v>
      </c>
    </row>
    <row r="12522" spans="1:2" x14ac:dyDescent="0.4">
      <c r="A12522" s="4">
        <v>1009002</v>
      </c>
      <c r="B12522">
        <v>7002700</v>
      </c>
    </row>
    <row r="12523" spans="1:2" x14ac:dyDescent="0.4">
      <c r="A12523" s="4">
        <v>1009002</v>
      </c>
      <c r="B12523">
        <v>7002800</v>
      </c>
    </row>
    <row r="12524" spans="1:2" x14ac:dyDescent="0.4">
      <c r="A12524" s="4">
        <v>1009002</v>
      </c>
      <c r="B12524">
        <v>7002900</v>
      </c>
    </row>
    <row r="12525" spans="1:2" x14ac:dyDescent="0.4">
      <c r="A12525" s="4">
        <v>1009002</v>
      </c>
      <c r="B12525">
        <v>7003000</v>
      </c>
    </row>
    <row r="12526" spans="1:2" x14ac:dyDescent="0.4">
      <c r="A12526" s="4">
        <v>1009002</v>
      </c>
      <c r="B12526">
        <v>7003100</v>
      </c>
    </row>
    <row r="12527" spans="1:2" x14ac:dyDescent="0.4">
      <c r="A12527" s="4">
        <v>1009002</v>
      </c>
      <c r="B12527">
        <v>7003200</v>
      </c>
    </row>
    <row r="12528" spans="1:2" x14ac:dyDescent="0.4">
      <c r="A12528" s="4">
        <v>1009002</v>
      </c>
      <c r="B12528">
        <v>7003300</v>
      </c>
    </row>
    <row r="12529" spans="1:2" x14ac:dyDescent="0.4">
      <c r="A12529" s="4">
        <v>1009002</v>
      </c>
      <c r="B12529">
        <v>7003400</v>
      </c>
    </row>
    <row r="12530" spans="1:2" x14ac:dyDescent="0.4">
      <c r="A12530" s="4">
        <v>1009002</v>
      </c>
      <c r="B12530">
        <v>7003500</v>
      </c>
    </row>
    <row r="12531" spans="1:2" x14ac:dyDescent="0.4">
      <c r="A12531" s="4">
        <v>1009002</v>
      </c>
      <c r="B12531">
        <v>7003600</v>
      </c>
    </row>
    <row r="12532" spans="1:2" x14ac:dyDescent="0.4">
      <c r="A12532" s="4">
        <v>1009002</v>
      </c>
      <c r="B12532">
        <v>7005600</v>
      </c>
    </row>
    <row r="12533" spans="1:2" x14ac:dyDescent="0.4">
      <c r="A12533" s="4">
        <v>1009002</v>
      </c>
      <c r="B12533">
        <v>7006000</v>
      </c>
    </row>
    <row r="12534" spans="1:2" x14ac:dyDescent="0.4">
      <c r="A12534" s="4">
        <v>1009002</v>
      </c>
      <c r="B12534">
        <v>7006100</v>
      </c>
    </row>
    <row r="12535" spans="1:2" x14ac:dyDescent="0.4">
      <c r="A12535" s="4">
        <v>1009002</v>
      </c>
      <c r="B12535">
        <v>7010200</v>
      </c>
    </row>
    <row r="12536" spans="1:2" x14ac:dyDescent="0.4">
      <c r="A12536" s="4">
        <v>1009002</v>
      </c>
      <c r="B12536">
        <v>7010500</v>
      </c>
    </row>
    <row r="12537" spans="1:2" x14ac:dyDescent="0.4">
      <c r="A12537" s="4">
        <v>1009002</v>
      </c>
      <c r="B12537">
        <v>7010700</v>
      </c>
    </row>
    <row r="12538" spans="1:2" x14ac:dyDescent="0.4">
      <c r="A12538" s="4">
        <v>1009002</v>
      </c>
      <c r="B12538">
        <v>7010900</v>
      </c>
    </row>
    <row r="12539" spans="1:2" x14ac:dyDescent="0.4">
      <c r="A12539" s="4">
        <v>1009002</v>
      </c>
      <c r="B12539">
        <v>7011000</v>
      </c>
    </row>
    <row r="12540" spans="1:2" x14ac:dyDescent="0.4">
      <c r="A12540" s="4">
        <v>1009002</v>
      </c>
      <c r="B12540">
        <v>7011200</v>
      </c>
    </row>
    <row r="12541" spans="1:2" x14ac:dyDescent="0.4">
      <c r="A12541" s="4">
        <v>1009002</v>
      </c>
      <c r="B12541">
        <v>7011600</v>
      </c>
    </row>
    <row r="12542" spans="1:2" x14ac:dyDescent="0.4">
      <c r="A12542" s="4">
        <v>1009002</v>
      </c>
      <c r="B12542">
        <v>7011700</v>
      </c>
    </row>
    <row r="12543" spans="1:2" x14ac:dyDescent="0.4">
      <c r="A12543" s="4">
        <v>1009002</v>
      </c>
      <c r="B12543">
        <v>7012000</v>
      </c>
    </row>
    <row r="12544" spans="1:2" x14ac:dyDescent="0.4">
      <c r="A12544" s="4">
        <v>1009002</v>
      </c>
      <c r="B12544">
        <v>7012200</v>
      </c>
    </row>
    <row r="12545" spans="1:2" x14ac:dyDescent="0.4">
      <c r="A12545" s="4">
        <v>1009002</v>
      </c>
      <c r="B12545">
        <v>7012300</v>
      </c>
    </row>
    <row r="12546" spans="1:2" x14ac:dyDescent="0.4">
      <c r="A12546" s="4">
        <v>1009002</v>
      </c>
      <c r="B12546">
        <v>7020000</v>
      </c>
    </row>
    <row r="12547" spans="1:2" x14ac:dyDescent="0.4">
      <c r="A12547" s="4">
        <v>1009002</v>
      </c>
      <c r="B12547">
        <v>7030000</v>
      </c>
    </row>
    <row r="12548" spans="1:2" x14ac:dyDescent="0.4">
      <c r="A12548" s="4">
        <v>1009002</v>
      </c>
      <c r="B12548">
        <v>7030200</v>
      </c>
    </row>
    <row r="12549" spans="1:2" x14ac:dyDescent="0.4">
      <c r="A12549" s="4">
        <v>1009002</v>
      </c>
      <c r="B12549">
        <v>7030600</v>
      </c>
    </row>
    <row r="12550" spans="1:2" x14ac:dyDescent="0.4">
      <c r="A12550" s="4">
        <v>1009002</v>
      </c>
      <c r="B12550">
        <v>7030700</v>
      </c>
    </row>
    <row r="12551" spans="1:2" x14ac:dyDescent="0.4">
      <c r="A12551" s="4">
        <v>1009002</v>
      </c>
      <c r="B12551">
        <v>7030800</v>
      </c>
    </row>
    <row r="12552" spans="1:2" x14ac:dyDescent="0.4">
      <c r="A12552" s="4">
        <v>1009002</v>
      </c>
      <c r="B12552">
        <v>7030900</v>
      </c>
    </row>
    <row r="12553" spans="1:2" x14ac:dyDescent="0.4">
      <c r="A12553" s="4">
        <v>1009002</v>
      </c>
      <c r="B12553">
        <v>7031200</v>
      </c>
    </row>
    <row r="12554" spans="1:2" x14ac:dyDescent="0.4">
      <c r="A12554" s="4">
        <v>1009002</v>
      </c>
      <c r="B12554">
        <v>7031300</v>
      </c>
    </row>
    <row r="12555" spans="1:2" x14ac:dyDescent="0.4">
      <c r="A12555" s="4">
        <v>1009002</v>
      </c>
      <c r="B12555">
        <v>7031800</v>
      </c>
    </row>
    <row r="12556" spans="1:2" x14ac:dyDescent="0.4">
      <c r="A12556" s="4">
        <v>1009002</v>
      </c>
      <c r="B12556">
        <v>7031900</v>
      </c>
    </row>
    <row r="12557" spans="1:2" x14ac:dyDescent="0.4">
      <c r="A12557" s="4">
        <v>1009002</v>
      </c>
      <c r="B12557">
        <v>7032200</v>
      </c>
    </row>
    <row r="12558" spans="1:2" x14ac:dyDescent="0.4">
      <c r="A12558" s="4">
        <v>1009002</v>
      </c>
      <c r="B12558">
        <v>7032400</v>
      </c>
    </row>
    <row r="12559" spans="1:2" x14ac:dyDescent="0.4">
      <c r="A12559" s="4">
        <v>1009002</v>
      </c>
      <c r="B12559">
        <v>7032700</v>
      </c>
    </row>
    <row r="12560" spans="1:2" x14ac:dyDescent="0.4">
      <c r="A12560" s="4">
        <v>1009002</v>
      </c>
      <c r="B12560">
        <v>7032800</v>
      </c>
    </row>
    <row r="12561" spans="1:2" x14ac:dyDescent="0.4">
      <c r="A12561" s="4">
        <v>1009002</v>
      </c>
      <c r="B12561">
        <v>7032900</v>
      </c>
    </row>
    <row r="12562" spans="1:2" x14ac:dyDescent="0.4">
      <c r="A12562" s="4">
        <v>1009002</v>
      </c>
      <c r="B12562">
        <v>7033200</v>
      </c>
    </row>
    <row r="12563" spans="1:2" x14ac:dyDescent="0.4">
      <c r="A12563" s="4">
        <v>1009002</v>
      </c>
      <c r="B12563">
        <v>7033400</v>
      </c>
    </row>
    <row r="12564" spans="1:2" x14ac:dyDescent="0.4">
      <c r="A12564" s="4">
        <v>1009002</v>
      </c>
      <c r="B12564">
        <v>7034100</v>
      </c>
    </row>
    <row r="12565" spans="1:2" x14ac:dyDescent="0.4">
      <c r="A12565" s="4">
        <v>1009002</v>
      </c>
      <c r="B12565">
        <v>7034400</v>
      </c>
    </row>
    <row r="12566" spans="1:2" x14ac:dyDescent="0.4">
      <c r="A12566" s="4">
        <v>1009002</v>
      </c>
      <c r="B12566">
        <v>7034500</v>
      </c>
    </row>
    <row r="12567" spans="1:2" x14ac:dyDescent="0.4">
      <c r="A12567" s="4">
        <v>1009002</v>
      </c>
      <c r="B12567">
        <v>7034600</v>
      </c>
    </row>
    <row r="12568" spans="1:2" x14ac:dyDescent="0.4">
      <c r="A12568" s="4">
        <v>1009002</v>
      </c>
      <c r="B12568">
        <v>7034700</v>
      </c>
    </row>
    <row r="12569" spans="1:2" x14ac:dyDescent="0.4">
      <c r="A12569" s="4">
        <v>1009002</v>
      </c>
      <c r="B12569">
        <v>7035100</v>
      </c>
    </row>
    <row r="12570" spans="1:2" x14ac:dyDescent="0.4">
      <c r="A12570" s="4">
        <v>1009002</v>
      </c>
      <c r="B12570">
        <v>7036100</v>
      </c>
    </row>
    <row r="12571" spans="1:2" x14ac:dyDescent="0.4">
      <c r="A12571" s="4">
        <v>1009002</v>
      </c>
      <c r="B12571">
        <v>7040000</v>
      </c>
    </row>
    <row r="12572" spans="1:2" x14ac:dyDescent="0.4">
      <c r="A12572" s="4">
        <v>1009002</v>
      </c>
      <c r="B12572">
        <v>7040100</v>
      </c>
    </row>
    <row r="12573" spans="1:2" x14ac:dyDescent="0.4">
      <c r="A12573" s="4">
        <v>1009002</v>
      </c>
      <c r="B12573">
        <v>7040200</v>
      </c>
    </row>
    <row r="12574" spans="1:2" x14ac:dyDescent="0.4">
      <c r="A12574" s="4">
        <v>1009002</v>
      </c>
      <c r="B12574">
        <v>7040300</v>
      </c>
    </row>
    <row r="12575" spans="1:2" x14ac:dyDescent="0.4">
      <c r="A12575" s="4">
        <v>1009002</v>
      </c>
      <c r="B12575">
        <v>7040400</v>
      </c>
    </row>
    <row r="12576" spans="1:2" x14ac:dyDescent="0.4">
      <c r="A12576" s="4">
        <v>1009002</v>
      </c>
      <c r="B12576">
        <v>7040500</v>
      </c>
    </row>
    <row r="12577" spans="1:2" x14ac:dyDescent="0.4">
      <c r="A12577" s="4">
        <v>1009002</v>
      </c>
      <c r="B12577">
        <v>7043000</v>
      </c>
    </row>
    <row r="12578" spans="1:2" x14ac:dyDescent="0.4">
      <c r="A12578" s="4">
        <v>1009002</v>
      </c>
      <c r="B12578">
        <v>7043100</v>
      </c>
    </row>
    <row r="12579" spans="1:2" x14ac:dyDescent="0.4">
      <c r="A12579" s="4">
        <v>1009002</v>
      </c>
      <c r="B12579">
        <v>7043200</v>
      </c>
    </row>
    <row r="12580" spans="1:2" x14ac:dyDescent="0.4">
      <c r="A12580" s="4">
        <v>1009002</v>
      </c>
      <c r="B12580">
        <v>7043300</v>
      </c>
    </row>
    <row r="12581" spans="1:2" x14ac:dyDescent="0.4">
      <c r="A12581" s="4">
        <v>1009002</v>
      </c>
      <c r="B12581">
        <v>7043400</v>
      </c>
    </row>
    <row r="12582" spans="1:2" x14ac:dyDescent="0.4">
      <c r="A12582" s="4">
        <v>1009002</v>
      </c>
      <c r="B12582">
        <v>7043500</v>
      </c>
    </row>
    <row r="12583" spans="1:2" x14ac:dyDescent="0.4">
      <c r="A12583" s="4">
        <v>1009002</v>
      </c>
      <c r="B12583">
        <v>7043600</v>
      </c>
    </row>
    <row r="12584" spans="1:2" x14ac:dyDescent="0.4">
      <c r="A12584" s="4">
        <v>1009002</v>
      </c>
      <c r="B12584">
        <v>7043700</v>
      </c>
    </row>
    <row r="12585" spans="1:2" x14ac:dyDescent="0.4">
      <c r="A12585" s="4">
        <v>1009002</v>
      </c>
      <c r="B12585">
        <v>7043800</v>
      </c>
    </row>
    <row r="12586" spans="1:2" x14ac:dyDescent="0.4">
      <c r="A12586" s="4">
        <v>1009002</v>
      </c>
      <c r="B12586">
        <v>7044000</v>
      </c>
    </row>
    <row r="12587" spans="1:2" x14ac:dyDescent="0.4">
      <c r="A12587" s="4">
        <v>1009002</v>
      </c>
      <c r="B12587">
        <v>7044100</v>
      </c>
    </row>
    <row r="12588" spans="1:2" x14ac:dyDescent="0.4">
      <c r="A12588" s="4">
        <v>1009002</v>
      </c>
      <c r="B12588">
        <v>7044200</v>
      </c>
    </row>
    <row r="12589" spans="1:2" x14ac:dyDescent="0.4">
      <c r="A12589" s="4">
        <v>1009002</v>
      </c>
      <c r="B12589">
        <v>7044300</v>
      </c>
    </row>
    <row r="12590" spans="1:2" x14ac:dyDescent="0.4">
      <c r="A12590" s="4">
        <v>1009002</v>
      </c>
      <c r="B12590">
        <v>7044400</v>
      </c>
    </row>
    <row r="12591" spans="1:2" x14ac:dyDescent="0.4">
      <c r="A12591" s="4">
        <v>1009002</v>
      </c>
      <c r="B12591">
        <v>7044500</v>
      </c>
    </row>
    <row r="12592" spans="1:2" x14ac:dyDescent="0.4">
      <c r="A12592" s="4">
        <v>1009002</v>
      </c>
      <c r="B12592">
        <v>7044600</v>
      </c>
    </row>
    <row r="12593" spans="1:2" x14ac:dyDescent="0.4">
      <c r="A12593" s="4">
        <v>1009002</v>
      </c>
      <c r="B12593">
        <v>7050000</v>
      </c>
    </row>
    <row r="12594" spans="1:2" x14ac:dyDescent="0.4">
      <c r="A12594" s="4">
        <v>1009002</v>
      </c>
      <c r="B12594">
        <v>7050100</v>
      </c>
    </row>
    <row r="12595" spans="1:2" x14ac:dyDescent="0.4">
      <c r="A12595" s="4">
        <v>1009002</v>
      </c>
      <c r="B12595">
        <v>7060000</v>
      </c>
    </row>
    <row r="12596" spans="1:2" x14ac:dyDescent="0.4">
      <c r="A12596" s="4">
        <v>1009002</v>
      </c>
      <c r="B12596">
        <v>7060100</v>
      </c>
    </row>
    <row r="12597" spans="1:2" x14ac:dyDescent="0.4">
      <c r="A12597" s="4">
        <v>1009002</v>
      </c>
      <c r="B12597">
        <v>7060200</v>
      </c>
    </row>
    <row r="12598" spans="1:2" x14ac:dyDescent="0.4">
      <c r="A12598" s="4">
        <v>1009002</v>
      </c>
      <c r="B12598">
        <v>7070000</v>
      </c>
    </row>
    <row r="12599" spans="1:2" x14ac:dyDescent="0.4">
      <c r="A12599" s="4">
        <v>1009002</v>
      </c>
      <c r="B12599">
        <v>7080000</v>
      </c>
    </row>
    <row r="12600" spans="1:2" x14ac:dyDescent="0.4">
      <c r="A12600" s="4">
        <v>1009002</v>
      </c>
      <c r="B12600">
        <v>7080100</v>
      </c>
    </row>
    <row r="12601" spans="1:2" x14ac:dyDescent="0.4">
      <c r="A12601" s="4">
        <v>1009002</v>
      </c>
      <c r="B12601">
        <v>7080200</v>
      </c>
    </row>
    <row r="12602" spans="1:2" x14ac:dyDescent="0.4">
      <c r="A12602" s="4">
        <v>1009002</v>
      </c>
      <c r="B12602">
        <v>7080300</v>
      </c>
    </row>
    <row r="12603" spans="1:2" x14ac:dyDescent="0.4">
      <c r="A12603" s="4">
        <v>1009002</v>
      </c>
      <c r="B12603">
        <v>7080400</v>
      </c>
    </row>
    <row r="12604" spans="1:2" x14ac:dyDescent="0.4">
      <c r="A12604" s="4">
        <v>1009002</v>
      </c>
      <c r="B12604">
        <v>7080500</v>
      </c>
    </row>
    <row r="12605" spans="1:2" x14ac:dyDescent="0.4">
      <c r="A12605" s="4">
        <v>1009002</v>
      </c>
      <c r="B12605">
        <v>7080600</v>
      </c>
    </row>
    <row r="12606" spans="1:2" x14ac:dyDescent="0.4">
      <c r="A12606" s="4">
        <v>1009002</v>
      </c>
      <c r="B12606">
        <v>7080700</v>
      </c>
    </row>
    <row r="12607" spans="1:2" x14ac:dyDescent="0.4">
      <c r="A12607" s="4">
        <v>1009002</v>
      </c>
      <c r="B12607">
        <v>7080800</v>
      </c>
    </row>
    <row r="12608" spans="1:2" x14ac:dyDescent="0.4">
      <c r="A12608" s="4">
        <v>1009002</v>
      </c>
      <c r="B12608">
        <v>7080900</v>
      </c>
    </row>
    <row r="12609" spans="1:2" x14ac:dyDescent="0.4">
      <c r="A12609" s="4">
        <v>1009002</v>
      </c>
      <c r="B12609">
        <v>7081000</v>
      </c>
    </row>
    <row r="12610" spans="1:2" x14ac:dyDescent="0.4">
      <c r="A12610" s="4">
        <v>1009002</v>
      </c>
      <c r="B12610">
        <v>7081100</v>
      </c>
    </row>
    <row r="12611" spans="1:2" x14ac:dyDescent="0.4">
      <c r="A12611" s="4">
        <v>1009002</v>
      </c>
      <c r="B12611">
        <v>7081200</v>
      </c>
    </row>
    <row r="12612" spans="1:2" x14ac:dyDescent="0.4">
      <c r="A12612" s="4">
        <v>1009002</v>
      </c>
      <c r="B12612">
        <v>7081300</v>
      </c>
    </row>
    <row r="12613" spans="1:2" x14ac:dyDescent="0.4">
      <c r="A12613" s="4">
        <v>1009002</v>
      </c>
      <c r="B12613">
        <v>7081400</v>
      </c>
    </row>
    <row r="12614" spans="1:2" x14ac:dyDescent="0.4">
      <c r="A12614" s="4">
        <v>1009002</v>
      </c>
      <c r="B12614">
        <v>7081500</v>
      </c>
    </row>
    <row r="12615" spans="1:2" x14ac:dyDescent="0.4">
      <c r="A12615" s="4">
        <v>1009002</v>
      </c>
      <c r="B12615">
        <v>7081700</v>
      </c>
    </row>
    <row r="12616" spans="1:2" x14ac:dyDescent="0.4">
      <c r="A12616" s="4">
        <v>1009002</v>
      </c>
      <c r="B12616">
        <v>7081800</v>
      </c>
    </row>
    <row r="12617" spans="1:2" x14ac:dyDescent="0.4">
      <c r="A12617" s="4">
        <v>1009002</v>
      </c>
      <c r="B12617">
        <v>7081900</v>
      </c>
    </row>
    <row r="12618" spans="1:2" x14ac:dyDescent="0.4">
      <c r="A12618" s="4">
        <v>1009002</v>
      </c>
      <c r="B12618">
        <v>7082000</v>
      </c>
    </row>
    <row r="12619" spans="1:2" x14ac:dyDescent="0.4">
      <c r="A12619" s="4">
        <v>1009002</v>
      </c>
      <c r="B12619">
        <v>7082100</v>
      </c>
    </row>
    <row r="12620" spans="1:2" x14ac:dyDescent="0.4">
      <c r="A12620" s="4">
        <v>1009002</v>
      </c>
      <c r="B12620">
        <v>7082200</v>
      </c>
    </row>
    <row r="12621" spans="1:2" x14ac:dyDescent="0.4">
      <c r="A12621" s="4">
        <v>1009002</v>
      </c>
      <c r="B12621">
        <v>7082300</v>
      </c>
    </row>
    <row r="12622" spans="1:2" x14ac:dyDescent="0.4">
      <c r="A12622" s="4">
        <v>1009002</v>
      </c>
      <c r="B12622">
        <v>7082400</v>
      </c>
    </row>
    <row r="12623" spans="1:2" x14ac:dyDescent="0.4">
      <c r="A12623" s="4">
        <v>1009002</v>
      </c>
      <c r="B12623">
        <v>7082500</v>
      </c>
    </row>
    <row r="12624" spans="1:2" x14ac:dyDescent="0.4">
      <c r="A12624" s="4">
        <v>1009002</v>
      </c>
      <c r="B12624">
        <v>7082600</v>
      </c>
    </row>
    <row r="12625" spans="1:2" x14ac:dyDescent="0.4">
      <c r="A12625" s="4">
        <v>1009002</v>
      </c>
      <c r="B12625">
        <v>7082700</v>
      </c>
    </row>
    <row r="12626" spans="1:2" x14ac:dyDescent="0.4">
      <c r="A12626" s="4">
        <v>1009002</v>
      </c>
      <c r="B12626">
        <v>7082800</v>
      </c>
    </row>
    <row r="12627" spans="1:2" x14ac:dyDescent="0.4">
      <c r="A12627" s="4">
        <v>1009002</v>
      </c>
      <c r="B12627">
        <v>7082900</v>
      </c>
    </row>
    <row r="12628" spans="1:2" x14ac:dyDescent="0.4">
      <c r="A12628" s="4">
        <v>1009002</v>
      </c>
      <c r="B12628">
        <v>7090000</v>
      </c>
    </row>
    <row r="12629" spans="1:2" x14ac:dyDescent="0.4">
      <c r="A12629" s="4">
        <v>1009002</v>
      </c>
      <c r="B12629">
        <v>7090100</v>
      </c>
    </row>
    <row r="12630" spans="1:2" x14ac:dyDescent="0.4">
      <c r="A12630" s="4">
        <v>1009002</v>
      </c>
      <c r="B12630">
        <v>7090300</v>
      </c>
    </row>
    <row r="12631" spans="1:2" x14ac:dyDescent="0.4">
      <c r="A12631" s="4">
        <v>1009002</v>
      </c>
      <c r="B12631">
        <v>7100100</v>
      </c>
    </row>
    <row r="12632" spans="1:2" x14ac:dyDescent="0.4">
      <c r="A12632" s="4">
        <v>1009002</v>
      </c>
      <c r="B12632">
        <v>7110000</v>
      </c>
    </row>
    <row r="12633" spans="1:2" x14ac:dyDescent="0.4">
      <c r="A12633" s="4">
        <v>1009002</v>
      </c>
      <c r="B12633">
        <v>7120000</v>
      </c>
    </row>
    <row r="12634" spans="1:2" x14ac:dyDescent="0.4">
      <c r="A12634" s="4">
        <v>1009002</v>
      </c>
      <c r="B12634">
        <v>7120100</v>
      </c>
    </row>
    <row r="12635" spans="1:2" x14ac:dyDescent="0.4">
      <c r="A12635" s="4">
        <v>1009002</v>
      </c>
      <c r="B12635">
        <v>7120200</v>
      </c>
    </row>
    <row r="12636" spans="1:2" x14ac:dyDescent="0.4">
      <c r="A12636" s="4">
        <v>1009002</v>
      </c>
      <c r="B12636">
        <v>7120300</v>
      </c>
    </row>
    <row r="12637" spans="1:2" x14ac:dyDescent="0.4">
      <c r="A12637" s="4">
        <v>1009002</v>
      </c>
      <c r="B12637">
        <v>7120400</v>
      </c>
    </row>
    <row r="12638" spans="1:2" x14ac:dyDescent="0.4">
      <c r="A12638" s="4">
        <v>1009002</v>
      </c>
      <c r="B12638">
        <v>7120500</v>
      </c>
    </row>
    <row r="12639" spans="1:2" x14ac:dyDescent="0.4">
      <c r="A12639" s="4">
        <v>1009002</v>
      </c>
      <c r="B12639">
        <v>7120600</v>
      </c>
    </row>
    <row r="12640" spans="1:2" x14ac:dyDescent="0.4">
      <c r="A12640" s="4">
        <v>1009002</v>
      </c>
      <c r="B12640">
        <v>7120900</v>
      </c>
    </row>
    <row r="12641" spans="1:2" x14ac:dyDescent="0.4">
      <c r="A12641" s="4">
        <v>1009002</v>
      </c>
      <c r="B12641">
        <v>7121000</v>
      </c>
    </row>
    <row r="12642" spans="1:2" x14ac:dyDescent="0.4">
      <c r="A12642" s="4">
        <v>1009002</v>
      </c>
      <c r="B12642">
        <v>7121100</v>
      </c>
    </row>
    <row r="12643" spans="1:2" x14ac:dyDescent="0.4">
      <c r="A12643" s="4">
        <v>1009002</v>
      </c>
      <c r="B12643">
        <v>7121200</v>
      </c>
    </row>
    <row r="12644" spans="1:2" x14ac:dyDescent="0.4">
      <c r="A12644" s="4">
        <v>1009002</v>
      </c>
      <c r="B12644">
        <v>7121300</v>
      </c>
    </row>
    <row r="12645" spans="1:2" x14ac:dyDescent="0.4">
      <c r="A12645" s="4">
        <v>1009002</v>
      </c>
      <c r="B12645">
        <v>7121400</v>
      </c>
    </row>
    <row r="12646" spans="1:2" x14ac:dyDescent="0.4">
      <c r="A12646" s="4">
        <v>1009002</v>
      </c>
      <c r="B12646">
        <v>7121500</v>
      </c>
    </row>
    <row r="12647" spans="1:2" x14ac:dyDescent="0.4">
      <c r="A12647" s="4">
        <v>1009002</v>
      </c>
      <c r="B12647">
        <v>7121600</v>
      </c>
    </row>
    <row r="12648" spans="1:2" x14ac:dyDescent="0.4">
      <c r="A12648" s="4">
        <v>1009002</v>
      </c>
      <c r="B12648">
        <v>7121700</v>
      </c>
    </row>
    <row r="12649" spans="1:2" x14ac:dyDescent="0.4">
      <c r="A12649" s="4">
        <v>1009002</v>
      </c>
      <c r="B12649">
        <v>7121800</v>
      </c>
    </row>
    <row r="12650" spans="1:2" x14ac:dyDescent="0.4">
      <c r="A12650" s="4">
        <v>1009002</v>
      </c>
      <c r="B12650">
        <v>7121900</v>
      </c>
    </row>
    <row r="12651" spans="1:2" x14ac:dyDescent="0.4">
      <c r="A12651" s="4">
        <v>1009002</v>
      </c>
      <c r="B12651">
        <v>7122000</v>
      </c>
    </row>
    <row r="12652" spans="1:2" x14ac:dyDescent="0.4">
      <c r="A12652" s="4">
        <v>1009002</v>
      </c>
      <c r="B12652">
        <v>7122100</v>
      </c>
    </row>
    <row r="12653" spans="1:2" x14ac:dyDescent="0.4">
      <c r="A12653" s="4">
        <v>1009002</v>
      </c>
      <c r="B12653">
        <v>7122200</v>
      </c>
    </row>
    <row r="12654" spans="1:2" x14ac:dyDescent="0.4">
      <c r="A12654" s="4">
        <v>1009002</v>
      </c>
      <c r="B12654">
        <v>7122300</v>
      </c>
    </row>
    <row r="12655" spans="1:2" x14ac:dyDescent="0.4">
      <c r="A12655" s="4">
        <v>1009002</v>
      </c>
      <c r="B12655">
        <v>7122400</v>
      </c>
    </row>
    <row r="12656" spans="1:2" x14ac:dyDescent="0.4">
      <c r="A12656" s="4">
        <v>1009002</v>
      </c>
      <c r="B12656">
        <v>7122500</v>
      </c>
    </row>
    <row r="12657" spans="1:2" x14ac:dyDescent="0.4">
      <c r="A12657" s="4">
        <v>1009002</v>
      </c>
      <c r="B12657">
        <v>7122600</v>
      </c>
    </row>
    <row r="12658" spans="1:2" x14ac:dyDescent="0.4">
      <c r="A12658" s="4">
        <v>1009002</v>
      </c>
      <c r="B12658">
        <v>7122700</v>
      </c>
    </row>
    <row r="12659" spans="1:2" x14ac:dyDescent="0.4">
      <c r="A12659" s="4">
        <v>1009002</v>
      </c>
      <c r="B12659">
        <v>7122800</v>
      </c>
    </row>
    <row r="12660" spans="1:2" x14ac:dyDescent="0.4">
      <c r="A12660" s="4">
        <v>1009002</v>
      </c>
      <c r="B12660">
        <v>7122900</v>
      </c>
    </row>
    <row r="12661" spans="1:2" x14ac:dyDescent="0.4">
      <c r="A12661" s="4">
        <v>1009002</v>
      </c>
      <c r="B12661">
        <v>7123000</v>
      </c>
    </row>
    <row r="12662" spans="1:2" x14ac:dyDescent="0.4">
      <c r="A12662" s="4">
        <v>1009002</v>
      </c>
      <c r="B12662">
        <v>7123100</v>
      </c>
    </row>
    <row r="12663" spans="1:2" x14ac:dyDescent="0.4">
      <c r="A12663" s="4">
        <v>1009002</v>
      </c>
      <c r="B12663">
        <v>7123200</v>
      </c>
    </row>
    <row r="12664" spans="1:2" x14ac:dyDescent="0.4">
      <c r="A12664" s="4">
        <v>1009002</v>
      </c>
      <c r="B12664">
        <v>7123300</v>
      </c>
    </row>
    <row r="12665" spans="1:2" x14ac:dyDescent="0.4">
      <c r="A12665" s="4">
        <v>1009002</v>
      </c>
      <c r="B12665">
        <v>7123400</v>
      </c>
    </row>
    <row r="12666" spans="1:2" x14ac:dyDescent="0.4">
      <c r="A12666" s="4">
        <v>1009002</v>
      </c>
      <c r="B12666">
        <v>7123500</v>
      </c>
    </row>
    <row r="12667" spans="1:2" x14ac:dyDescent="0.4">
      <c r="A12667" s="4">
        <v>1009002</v>
      </c>
      <c r="B12667">
        <v>7123600</v>
      </c>
    </row>
    <row r="12668" spans="1:2" x14ac:dyDescent="0.4">
      <c r="A12668" s="4">
        <v>1009002</v>
      </c>
      <c r="B12668">
        <v>7123700</v>
      </c>
    </row>
    <row r="12669" spans="1:2" x14ac:dyDescent="0.4">
      <c r="A12669" s="4">
        <v>1009002</v>
      </c>
      <c r="B12669">
        <v>7123800</v>
      </c>
    </row>
    <row r="12670" spans="1:2" x14ac:dyDescent="0.4">
      <c r="A12670" s="4">
        <v>1009002</v>
      </c>
      <c r="B12670">
        <v>7123900</v>
      </c>
    </row>
    <row r="12671" spans="1:2" x14ac:dyDescent="0.4">
      <c r="A12671" s="4">
        <v>1009002</v>
      </c>
      <c r="B12671">
        <v>7124000</v>
      </c>
    </row>
    <row r="12672" spans="1:2" x14ac:dyDescent="0.4">
      <c r="A12672" s="4">
        <v>1009002</v>
      </c>
      <c r="B12672">
        <v>7124100</v>
      </c>
    </row>
    <row r="12673" spans="1:2" x14ac:dyDescent="0.4">
      <c r="A12673" s="4">
        <v>1009002</v>
      </c>
      <c r="B12673">
        <v>7124300</v>
      </c>
    </row>
    <row r="12674" spans="1:2" x14ac:dyDescent="0.4">
      <c r="A12674" s="4">
        <v>1009002</v>
      </c>
      <c r="B12674">
        <v>7124400</v>
      </c>
    </row>
    <row r="12675" spans="1:2" x14ac:dyDescent="0.4">
      <c r="A12675" s="4">
        <v>1009002</v>
      </c>
      <c r="B12675">
        <v>7124500</v>
      </c>
    </row>
    <row r="12676" spans="1:2" x14ac:dyDescent="0.4">
      <c r="A12676" s="4">
        <v>1009002</v>
      </c>
      <c r="B12676">
        <v>7124600</v>
      </c>
    </row>
    <row r="12677" spans="1:2" x14ac:dyDescent="0.4">
      <c r="A12677" s="4">
        <v>1009002</v>
      </c>
      <c r="B12677">
        <v>7124700</v>
      </c>
    </row>
    <row r="12678" spans="1:2" x14ac:dyDescent="0.4">
      <c r="A12678" s="4">
        <v>1009002</v>
      </c>
      <c r="B12678">
        <v>7126000</v>
      </c>
    </row>
    <row r="12679" spans="1:2" x14ac:dyDescent="0.4">
      <c r="A12679" s="4">
        <v>1009002</v>
      </c>
      <c r="B12679">
        <v>7150000</v>
      </c>
    </row>
    <row r="12680" spans="1:2" x14ac:dyDescent="0.4">
      <c r="A12680" s="4">
        <v>1009002</v>
      </c>
      <c r="B12680">
        <v>7160000</v>
      </c>
    </row>
    <row r="12681" spans="1:2" x14ac:dyDescent="0.4">
      <c r="A12681" s="4">
        <v>1009002</v>
      </c>
      <c r="B12681">
        <v>7220000</v>
      </c>
    </row>
    <row r="12682" spans="1:2" x14ac:dyDescent="0.4">
      <c r="A12682" s="4">
        <v>1009002</v>
      </c>
      <c r="B12682">
        <v>7230000</v>
      </c>
    </row>
    <row r="12683" spans="1:2" x14ac:dyDescent="0.4">
      <c r="A12683" s="4">
        <v>1009002</v>
      </c>
      <c r="B12683">
        <v>7240000</v>
      </c>
    </row>
    <row r="12684" spans="1:2" x14ac:dyDescent="0.4">
      <c r="A12684" s="4">
        <v>1009002</v>
      </c>
      <c r="B12684">
        <v>7260000</v>
      </c>
    </row>
    <row r="12685" spans="1:2" x14ac:dyDescent="0.4">
      <c r="A12685" s="4">
        <v>1009002</v>
      </c>
      <c r="B12685">
        <v>7260300</v>
      </c>
    </row>
    <row r="12686" spans="1:2" x14ac:dyDescent="0.4">
      <c r="A12686" s="4">
        <v>1009002</v>
      </c>
      <c r="B12686">
        <v>7260400</v>
      </c>
    </row>
    <row r="12687" spans="1:2" x14ac:dyDescent="0.4">
      <c r="A12687" s="4">
        <v>1009002</v>
      </c>
      <c r="B12687">
        <v>7270100</v>
      </c>
    </row>
    <row r="12688" spans="1:2" x14ac:dyDescent="0.4">
      <c r="A12688" s="4">
        <v>1009002</v>
      </c>
      <c r="B12688">
        <v>7280000</v>
      </c>
    </row>
    <row r="12689" spans="1:2" x14ac:dyDescent="0.4">
      <c r="A12689" s="4">
        <v>1009002</v>
      </c>
      <c r="B12689">
        <v>7290000</v>
      </c>
    </row>
    <row r="12690" spans="1:2" x14ac:dyDescent="0.4">
      <c r="A12690" s="4">
        <v>1009002</v>
      </c>
      <c r="B12690">
        <v>7310000</v>
      </c>
    </row>
    <row r="12691" spans="1:2" x14ac:dyDescent="0.4">
      <c r="A12691" s="4">
        <v>1009002</v>
      </c>
      <c r="B12691">
        <v>7330000</v>
      </c>
    </row>
    <row r="12692" spans="1:2" x14ac:dyDescent="0.4">
      <c r="A12692" s="4">
        <v>1009002</v>
      </c>
      <c r="B12692">
        <v>7330100</v>
      </c>
    </row>
    <row r="12693" spans="1:2" x14ac:dyDescent="0.4">
      <c r="A12693" s="4">
        <v>1009002</v>
      </c>
      <c r="B12693">
        <v>7330200</v>
      </c>
    </row>
    <row r="12694" spans="1:2" x14ac:dyDescent="0.4">
      <c r="A12694" s="4">
        <v>1009002</v>
      </c>
      <c r="B12694">
        <v>7330300</v>
      </c>
    </row>
    <row r="12695" spans="1:2" x14ac:dyDescent="0.4">
      <c r="A12695" s="4">
        <v>1009002</v>
      </c>
      <c r="B12695">
        <v>7330400</v>
      </c>
    </row>
    <row r="12696" spans="1:2" x14ac:dyDescent="0.4">
      <c r="A12696" s="4">
        <v>1009002</v>
      </c>
      <c r="B12696">
        <v>7330500</v>
      </c>
    </row>
    <row r="12697" spans="1:2" x14ac:dyDescent="0.4">
      <c r="A12697" s="4">
        <v>1009002</v>
      </c>
      <c r="B12697">
        <v>7330600</v>
      </c>
    </row>
    <row r="12698" spans="1:2" x14ac:dyDescent="0.4">
      <c r="A12698" s="4">
        <v>1009002</v>
      </c>
      <c r="B12698">
        <v>7330700</v>
      </c>
    </row>
    <row r="12699" spans="1:2" x14ac:dyDescent="0.4">
      <c r="A12699" s="4">
        <v>1009002</v>
      </c>
      <c r="B12699">
        <v>7330800</v>
      </c>
    </row>
    <row r="12700" spans="1:2" x14ac:dyDescent="0.4">
      <c r="A12700" s="4">
        <v>1009002</v>
      </c>
      <c r="B12700">
        <v>7330900</v>
      </c>
    </row>
    <row r="12701" spans="1:2" x14ac:dyDescent="0.4">
      <c r="A12701" s="4">
        <v>1009002</v>
      </c>
      <c r="B12701">
        <v>7331000</v>
      </c>
    </row>
    <row r="12702" spans="1:2" x14ac:dyDescent="0.4">
      <c r="A12702" s="4">
        <v>1009002</v>
      </c>
      <c r="B12702">
        <v>7331100</v>
      </c>
    </row>
    <row r="12703" spans="1:2" x14ac:dyDescent="0.4">
      <c r="A12703" s="4">
        <v>1009002</v>
      </c>
      <c r="B12703">
        <v>7331200</v>
      </c>
    </row>
    <row r="12704" spans="1:2" x14ac:dyDescent="0.4">
      <c r="A12704" s="4">
        <v>1009002</v>
      </c>
      <c r="B12704">
        <v>7331300</v>
      </c>
    </row>
    <row r="12705" spans="1:2" x14ac:dyDescent="0.4">
      <c r="A12705" s="4">
        <v>1009002</v>
      </c>
      <c r="B12705">
        <v>7331400</v>
      </c>
    </row>
    <row r="12706" spans="1:2" x14ac:dyDescent="0.4">
      <c r="A12706" s="4">
        <v>1009002</v>
      </c>
      <c r="B12706">
        <v>7331500</v>
      </c>
    </row>
    <row r="12707" spans="1:2" x14ac:dyDescent="0.4">
      <c r="A12707" s="4">
        <v>1009002</v>
      </c>
      <c r="B12707">
        <v>7331700</v>
      </c>
    </row>
    <row r="12708" spans="1:2" x14ac:dyDescent="0.4">
      <c r="A12708" s="4">
        <v>1009002</v>
      </c>
      <c r="B12708">
        <v>7331800</v>
      </c>
    </row>
    <row r="12709" spans="1:2" x14ac:dyDescent="0.4">
      <c r="A12709" s="4">
        <v>1009002</v>
      </c>
      <c r="B12709">
        <v>7331900</v>
      </c>
    </row>
    <row r="12710" spans="1:2" x14ac:dyDescent="0.4">
      <c r="A12710" s="4">
        <v>1009002</v>
      </c>
      <c r="B12710">
        <v>7332000</v>
      </c>
    </row>
    <row r="12711" spans="1:2" x14ac:dyDescent="0.4">
      <c r="A12711" s="4">
        <v>1009002</v>
      </c>
      <c r="B12711">
        <v>7332100</v>
      </c>
    </row>
    <row r="12712" spans="1:2" x14ac:dyDescent="0.4">
      <c r="A12712" s="4">
        <v>1009002</v>
      </c>
      <c r="B12712">
        <v>7332200</v>
      </c>
    </row>
    <row r="12713" spans="1:2" x14ac:dyDescent="0.4">
      <c r="A12713" s="4">
        <v>1009002</v>
      </c>
      <c r="B12713">
        <v>7332300</v>
      </c>
    </row>
    <row r="12714" spans="1:2" x14ac:dyDescent="0.4">
      <c r="A12714" s="4">
        <v>1009002</v>
      </c>
      <c r="B12714">
        <v>7332400</v>
      </c>
    </row>
    <row r="12715" spans="1:2" x14ac:dyDescent="0.4">
      <c r="A12715" s="4">
        <v>1009002</v>
      </c>
      <c r="B12715">
        <v>7340000</v>
      </c>
    </row>
    <row r="12716" spans="1:2" x14ac:dyDescent="0.4">
      <c r="A12716" s="4">
        <v>1009002</v>
      </c>
      <c r="B12716">
        <v>7340100</v>
      </c>
    </row>
    <row r="12717" spans="1:2" x14ac:dyDescent="0.4">
      <c r="A12717" s="4">
        <v>1009002</v>
      </c>
      <c r="B12717">
        <v>7340200</v>
      </c>
    </row>
    <row r="12718" spans="1:2" x14ac:dyDescent="0.4">
      <c r="A12718" s="4">
        <v>1009002</v>
      </c>
      <c r="B12718">
        <v>7340300</v>
      </c>
    </row>
    <row r="12719" spans="1:2" x14ac:dyDescent="0.4">
      <c r="A12719" s="4">
        <v>1009002</v>
      </c>
      <c r="B12719">
        <v>7340400</v>
      </c>
    </row>
    <row r="12720" spans="1:2" x14ac:dyDescent="0.4">
      <c r="A12720" s="4">
        <v>1009002</v>
      </c>
      <c r="B12720">
        <v>7340500</v>
      </c>
    </row>
    <row r="12721" spans="1:2" x14ac:dyDescent="0.4">
      <c r="A12721" s="4">
        <v>1009002</v>
      </c>
      <c r="B12721">
        <v>7340600</v>
      </c>
    </row>
    <row r="12722" spans="1:2" x14ac:dyDescent="0.4">
      <c r="A12722" s="4">
        <v>1009002</v>
      </c>
      <c r="B12722">
        <v>7340700</v>
      </c>
    </row>
    <row r="12723" spans="1:2" x14ac:dyDescent="0.4">
      <c r="A12723" s="4">
        <v>1009002</v>
      </c>
      <c r="B12723">
        <v>7340800</v>
      </c>
    </row>
    <row r="12724" spans="1:2" x14ac:dyDescent="0.4">
      <c r="A12724" s="4">
        <v>1009002</v>
      </c>
      <c r="B12724">
        <v>7340900</v>
      </c>
    </row>
    <row r="12725" spans="1:2" x14ac:dyDescent="0.4">
      <c r="A12725" s="4">
        <v>1009002</v>
      </c>
      <c r="B12725">
        <v>7341000</v>
      </c>
    </row>
    <row r="12726" spans="1:2" x14ac:dyDescent="0.4">
      <c r="A12726" s="4">
        <v>1009002</v>
      </c>
      <c r="B12726">
        <v>7341100</v>
      </c>
    </row>
    <row r="12727" spans="1:2" x14ac:dyDescent="0.4">
      <c r="A12727" s="4">
        <v>1009002</v>
      </c>
      <c r="B12727">
        <v>7341200</v>
      </c>
    </row>
    <row r="12728" spans="1:2" x14ac:dyDescent="0.4">
      <c r="A12728" s="4">
        <v>1009002</v>
      </c>
      <c r="B12728">
        <v>7341300</v>
      </c>
    </row>
    <row r="12729" spans="1:2" x14ac:dyDescent="0.4">
      <c r="A12729" s="4">
        <v>1009002</v>
      </c>
      <c r="B12729">
        <v>7341400</v>
      </c>
    </row>
    <row r="12730" spans="1:2" x14ac:dyDescent="0.4">
      <c r="A12730" s="4">
        <v>1009002</v>
      </c>
      <c r="B12730">
        <v>7341500</v>
      </c>
    </row>
    <row r="12731" spans="1:2" x14ac:dyDescent="0.4">
      <c r="A12731" s="4">
        <v>1009002</v>
      </c>
      <c r="B12731">
        <v>7341700</v>
      </c>
    </row>
    <row r="12732" spans="1:2" x14ac:dyDescent="0.4">
      <c r="A12732" s="4">
        <v>1009002</v>
      </c>
      <c r="B12732">
        <v>7341800</v>
      </c>
    </row>
    <row r="12733" spans="1:2" x14ac:dyDescent="0.4">
      <c r="A12733" s="4">
        <v>1009002</v>
      </c>
      <c r="B12733">
        <v>7341900</v>
      </c>
    </row>
    <row r="12734" spans="1:2" x14ac:dyDescent="0.4">
      <c r="A12734" s="4">
        <v>1009002</v>
      </c>
      <c r="B12734">
        <v>7342000</v>
      </c>
    </row>
    <row r="12735" spans="1:2" x14ac:dyDescent="0.4">
      <c r="A12735" s="4">
        <v>1009002</v>
      </c>
      <c r="B12735">
        <v>7342100</v>
      </c>
    </row>
    <row r="12736" spans="1:2" x14ac:dyDescent="0.4">
      <c r="A12736" s="4">
        <v>1009002</v>
      </c>
      <c r="B12736">
        <v>7342200</v>
      </c>
    </row>
    <row r="12737" spans="1:2" x14ac:dyDescent="0.4">
      <c r="A12737" s="4">
        <v>1009002</v>
      </c>
      <c r="B12737">
        <v>7342300</v>
      </c>
    </row>
    <row r="12738" spans="1:2" x14ac:dyDescent="0.4">
      <c r="A12738" s="4">
        <v>1009002</v>
      </c>
      <c r="B12738">
        <v>7342400</v>
      </c>
    </row>
    <row r="12739" spans="1:2" x14ac:dyDescent="0.4">
      <c r="A12739" s="4">
        <v>1009002</v>
      </c>
      <c r="B12739">
        <v>7350000</v>
      </c>
    </row>
    <row r="12740" spans="1:2" x14ac:dyDescent="0.4">
      <c r="A12740" s="4">
        <v>1009002</v>
      </c>
      <c r="B12740">
        <v>7350100</v>
      </c>
    </row>
    <row r="12741" spans="1:2" x14ac:dyDescent="0.4">
      <c r="A12741" s="4">
        <v>1009002</v>
      </c>
      <c r="B12741">
        <v>7350200</v>
      </c>
    </row>
    <row r="12742" spans="1:2" x14ac:dyDescent="0.4">
      <c r="A12742" s="4">
        <v>1009002</v>
      </c>
      <c r="B12742">
        <v>7350300</v>
      </c>
    </row>
    <row r="12743" spans="1:2" x14ac:dyDescent="0.4">
      <c r="A12743" s="4">
        <v>1009002</v>
      </c>
      <c r="B12743">
        <v>7350400</v>
      </c>
    </row>
    <row r="12744" spans="1:2" x14ac:dyDescent="0.4">
      <c r="A12744" s="4">
        <v>1009002</v>
      </c>
      <c r="B12744">
        <v>7350500</v>
      </c>
    </row>
    <row r="12745" spans="1:2" x14ac:dyDescent="0.4">
      <c r="A12745" s="4">
        <v>1009002</v>
      </c>
      <c r="B12745">
        <v>7350600</v>
      </c>
    </row>
    <row r="12746" spans="1:2" x14ac:dyDescent="0.4">
      <c r="A12746" s="4">
        <v>1009002</v>
      </c>
      <c r="B12746">
        <v>7350700</v>
      </c>
    </row>
    <row r="12747" spans="1:2" x14ac:dyDescent="0.4">
      <c r="A12747" s="4">
        <v>1009002</v>
      </c>
      <c r="B12747">
        <v>7350800</v>
      </c>
    </row>
    <row r="12748" spans="1:2" x14ac:dyDescent="0.4">
      <c r="A12748" s="4">
        <v>1009002</v>
      </c>
      <c r="B12748">
        <v>7350900</v>
      </c>
    </row>
    <row r="12749" spans="1:2" x14ac:dyDescent="0.4">
      <c r="A12749" s="4">
        <v>1009002</v>
      </c>
      <c r="B12749">
        <v>7351000</v>
      </c>
    </row>
    <row r="12750" spans="1:2" x14ac:dyDescent="0.4">
      <c r="A12750" s="4">
        <v>1009002</v>
      </c>
      <c r="B12750">
        <v>7351100</v>
      </c>
    </row>
    <row r="12751" spans="1:2" x14ac:dyDescent="0.4">
      <c r="A12751" s="4">
        <v>1009002</v>
      </c>
      <c r="B12751">
        <v>7351200</v>
      </c>
    </row>
    <row r="12752" spans="1:2" x14ac:dyDescent="0.4">
      <c r="A12752" s="4">
        <v>1009002</v>
      </c>
      <c r="B12752">
        <v>7351300</v>
      </c>
    </row>
    <row r="12753" spans="1:2" x14ac:dyDescent="0.4">
      <c r="A12753" s="4">
        <v>1009002</v>
      </c>
      <c r="B12753">
        <v>7351400</v>
      </c>
    </row>
    <row r="12754" spans="1:2" x14ac:dyDescent="0.4">
      <c r="A12754" s="4">
        <v>1009002</v>
      </c>
      <c r="B12754">
        <v>7351500</v>
      </c>
    </row>
    <row r="12755" spans="1:2" x14ac:dyDescent="0.4">
      <c r="A12755" s="4">
        <v>1009002</v>
      </c>
      <c r="B12755">
        <v>7351700</v>
      </c>
    </row>
    <row r="12756" spans="1:2" x14ac:dyDescent="0.4">
      <c r="A12756" s="4">
        <v>1009002</v>
      </c>
      <c r="B12756">
        <v>7351800</v>
      </c>
    </row>
    <row r="12757" spans="1:2" x14ac:dyDescent="0.4">
      <c r="A12757" s="4">
        <v>1009002</v>
      </c>
      <c r="B12757">
        <v>7351900</v>
      </c>
    </row>
    <row r="12758" spans="1:2" x14ac:dyDescent="0.4">
      <c r="A12758" s="4">
        <v>1009002</v>
      </c>
      <c r="B12758">
        <v>7352000</v>
      </c>
    </row>
    <row r="12759" spans="1:2" x14ac:dyDescent="0.4">
      <c r="A12759" s="4">
        <v>1009002</v>
      </c>
      <c r="B12759">
        <v>7352100</v>
      </c>
    </row>
    <row r="12760" spans="1:2" x14ac:dyDescent="0.4">
      <c r="A12760" s="4">
        <v>1009002</v>
      </c>
      <c r="B12760">
        <v>7352200</v>
      </c>
    </row>
    <row r="12761" spans="1:2" x14ac:dyDescent="0.4">
      <c r="A12761" s="4">
        <v>1009002</v>
      </c>
      <c r="B12761">
        <v>7352300</v>
      </c>
    </row>
    <row r="12762" spans="1:2" x14ac:dyDescent="0.4">
      <c r="A12762" s="4">
        <v>1009002</v>
      </c>
      <c r="B12762">
        <v>7352400</v>
      </c>
    </row>
    <row r="12763" spans="1:2" x14ac:dyDescent="0.4">
      <c r="A12763" s="4">
        <v>1009002</v>
      </c>
      <c r="B12763">
        <v>7360600</v>
      </c>
    </row>
    <row r="12764" spans="1:2" x14ac:dyDescent="0.4">
      <c r="A12764" s="4">
        <v>1009002</v>
      </c>
      <c r="B12764">
        <v>7360900</v>
      </c>
    </row>
    <row r="12765" spans="1:2" x14ac:dyDescent="0.4">
      <c r="A12765" s="4">
        <v>1009002</v>
      </c>
      <c r="B12765">
        <v>7361200</v>
      </c>
    </row>
    <row r="12766" spans="1:2" x14ac:dyDescent="0.4">
      <c r="A12766" s="4">
        <v>1009002</v>
      </c>
      <c r="B12766">
        <v>7361300</v>
      </c>
    </row>
    <row r="12767" spans="1:2" x14ac:dyDescent="0.4">
      <c r="A12767" s="4">
        <v>1009002</v>
      </c>
      <c r="B12767">
        <v>7362100</v>
      </c>
    </row>
    <row r="12768" spans="1:2" x14ac:dyDescent="0.4">
      <c r="A12768" s="4">
        <v>1009002</v>
      </c>
      <c r="B12768">
        <v>7370300</v>
      </c>
    </row>
    <row r="12769" spans="1:2" x14ac:dyDescent="0.4">
      <c r="A12769" s="4">
        <v>1009002</v>
      </c>
      <c r="B12769">
        <v>7370400</v>
      </c>
    </row>
    <row r="12770" spans="1:2" x14ac:dyDescent="0.4">
      <c r="A12770" s="4">
        <v>1009002</v>
      </c>
      <c r="B12770">
        <v>7370600</v>
      </c>
    </row>
    <row r="12771" spans="1:2" x14ac:dyDescent="0.4">
      <c r="A12771" s="4">
        <v>1009002</v>
      </c>
      <c r="B12771">
        <v>7370900</v>
      </c>
    </row>
    <row r="12772" spans="1:2" x14ac:dyDescent="0.4">
      <c r="A12772" s="4">
        <v>1009002</v>
      </c>
      <c r="B12772">
        <v>7371500</v>
      </c>
    </row>
    <row r="12773" spans="1:2" x14ac:dyDescent="0.4">
      <c r="A12773" s="4">
        <v>1009002</v>
      </c>
      <c r="B12773">
        <v>7036200</v>
      </c>
    </row>
    <row r="12774" spans="1:2" x14ac:dyDescent="0.4">
      <c r="A12774" s="4">
        <v>1009002</v>
      </c>
      <c r="B12774">
        <v>7036300</v>
      </c>
    </row>
    <row r="12775" spans="1:2" x14ac:dyDescent="0.4">
      <c r="A12775" s="4">
        <v>1009002</v>
      </c>
      <c r="B12775">
        <v>7036400</v>
      </c>
    </row>
    <row r="12776" spans="1:2" x14ac:dyDescent="0.4">
      <c r="A12776" s="4">
        <v>1009002</v>
      </c>
      <c r="B12776">
        <v>7036500</v>
      </c>
    </row>
    <row r="12777" spans="1:2" x14ac:dyDescent="0.4">
      <c r="A12777" s="4">
        <v>1009002</v>
      </c>
      <c r="B12777">
        <v>7036800</v>
      </c>
    </row>
    <row r="12778" spans="1:2" x14ac:dyDescent="0.4">
      <c r="A12778" s="4">
        <v>1009002</v>
      </c>
      <c r="B12778">
        <v>7036900</v>
      </c>
    </row>
    <row r="12779" spans="1:2" x14ac:dyDescent="0.4">
      <c r="A12779" s="4">
        <v>1009002</v>
      </c>
      <c r="B12779">
        <v>7037000</v>
      </c>
    </row>
    <row r="12780" spans="1:2" x14ac:dyDescent="0.4">
      <c r="A12780" s="4">
        <v>1009002</v>
      </c>
      <c r="B12780">
        <v>7037300</v>
      </c>
    </row>
    <row r="12781" spans="1:2" x14ac:dyDescent="0.4">
      <c r="A12781" s="4">
        <v>1009002</v>
      </c>
      <c r="B12781">
        <v>6630000</v>
      </c>
    </row>
    <row r="12782" spans="1:2" x14ac:dyDescent="0.4">
      <c r="A12782" s="4">
        <v>1009002</v>
      </c>
      <c r="B12782">
        <v>6630100</v>
      </c>
    </row>
    <row r="12783" spans="1:2" x14ac:dyDescent="0.4">
      <c r="A12783" s="4">
        <v>1009002</v>
      </c>
      <c r="B12783">
        <v>6630200</v>
      </c>
    </row>
    <row r="12784" spans="1:2" x14ac:dyDescent="0.4">
      <c r="A12784" s="4">
        <v>1009002</v>
      </c>
      <c r="B12784">
        <v>6630300</v>
      </c>
    </row>
    <row r="12785" spans="1:2" x14ac:dyDescent="0.4">
      <c r="A12785" s="4">
        <v>1009002</v>
      </c>
      <c r="B12785">
        <v>6630400</v>
      </c>
    </row>
    <row r="12786" spans="1:2" x14ac:dyDescent="0.4">
      <c r="A12786" s="4">
        <v>1009002</v>
      </c>
      <c r="B12786">
        <v>6630500</v>
      </c>
    </row>
    <row r="12787" spans="1:2" x14ac:dyDescent="0.4">
      <c r="A12787" s="4">
        <v>1009002</v>
      </c>
      <c r="B12787">
        <v>6630600</v>
      </c>
    </row>
    <row r="12788" spans="1:2" x14ac:dyDescent="0.4">
      <c r="A12788" s="4">
        <v>1009002</v>
      </c>
      <c r="B12788">
        <v>6630700</v>
      </c>
    </row>
    <row r="12789" spans="1:2" x14ac:dyDescent="0.4">
      <c r="A12789" s="4">
        <v>1009002</v>
      </c>
      <c r="B12789">
        <v>6630800</v>
      </c>
    </row>
    <row r="12790" spans="1:2" x14ac:dyDescent="0.4">
      <c r="A12790" s="4">
        <v>1009002</v>
      </c>
      <c r="B12790">
        <v>6630900</v>
      </c>
    </row>
    <row r="12791" spans="1:2" x14ac:dyDescent="0.4">
      <c r="A12791" s="4">
        <v>1009002</v>
      </c>
      <c r="B12791">
        <v>6631000</v>
      </c>
    </row>
    <row r="12792" spans="1:2" x14ac:dyDescent="0.4">
      <c r="A12792" s="4">
        <v>1009002</v>
      </c>
      <c r="B12792">
        <v>6631100</v>
      </c>
    </row>
    <row r="12793" spans="1:2" x14ac:dyDescent="0.4">
      <c r="A12793" s="4">
        <v>1009002</v>
      </c>
      <c r="B12793">
        <v>6631200</v>
      </c>
    </row>
    <row r="12794" spans="1:2" x14ac:dyDescent="0.4">
      <c r="A12794" s="4">
        <v>1009002</v>
      </c>
      <c r="B12794">
        <v>6631300</v>
      </c>
    </row>
    <row r="12795" spans="1:2" x14ac:dyDescent="0.4">
      <c r="A12795" s="4">
        <v>1009002</v>
      </c>
      <c r="B12795">
        <v>6631400</v>
      </c>
    </row>
    <row r="12796" spans="1:2" x14ac:dyDescent="0.4">
      <c r="A12796" s="4">
        <v>1009002</v>
      </c>
      <c r="B12796">
        <v>6631500</v>
      </c>
    </row>
    <row r="12797" spans="1:2" x14ac:dyDescent="0.4">
      <c r="A12797" s="4">
        <v>1009002</v>
      </c>
      <c r="B12797">
        <v>6631600</v>
      </c>
    </row>
    <row r="12798" spans="1:2" x14ac:dyDescent="0.4">
      <c r="A12798" s="4">
        <v>1009002</v>
      </c>
      <c r="B12798">
        <v>6631700</v>
      </c>
    </row>
    <row r="12799" spans="1:2" x14ac:dyDescent="0.4">
      <c r="A12799" s="4">
        <v>1009002</v>
      </c>
      <c r="B12799">
        <v>6631800</v>
      </c>
    </row>
    <row r="12800" spans="1:2" x14ac:dyDescent="0.4">
      <c r="A12800" s="4">
        <v>1009002</v>
      </c>
      <c r="B12800">
        <v>6631900</v>
      </c>
    </row>
    <row r="12801" spans="1:2" x14ac:dyDescent="0.4">
      <c r="A12801" s="4">
        <v>1009002</v>
      </c>
      <c r="B12801">
        <v>6632000</v>
      </c>
    </row>
    <row r="12802" spans="1:2" x14ac:dyDescent="0.4">
      <c r="A12802" s="4">
        <v>1009002</v>
      </c>
      <c r="B12802">
        <v>6632100</v>
      </c>
    </row>
    <row r="12803" spans="1:2" x14ac:dyDescent="0.4">
      <c r="A12803" s="4">
        <v>1009002</v>
      </c>
      <c r="B12803">
        <v>6632200</v>
      </c>
    </row>
    <row r="12804" spans="1:2" x14ac:dyDescent="0.4">
      <c r="A12804" s="4">
        <v>1009002</v>
      </c>
      <c r="B12804">
        <v>6632300</v>
      </c>
    </row>
    <row r="12805" spans="1:2" x14ac:dyDescent="0.4">
      <c r="A12805" s="4">
        <v>1009002</v>
      </c>
      <c r="B12805">
        <v>6632400</v>
      </c>
    </row>
    <row r="12806" spans="1:2" x14ac:dyDescent="0.4">
      <c r="A12806" s="4">
        <v>1009002</v>
      </c>
      <c r="B12806">
        <v>6632500</v>
      </c>
    </row>
    <row r="12807" spans="1:2" x14ac:dyDescent="0.4">
      <c r="A12807" s="4">
        <v>1009002</v>
      </c>
      <c r="B12807">
        <v>6632600</v>
      </c>
    </row>
    <row r="12808" spans="1:2" x14ac:dyDescent="0.4">
      <c r="A12808" s="4">
        <v>1009002</v>
      </c>
      <c r="B12808">
        <v>6632700</v>
      </c>
    </row>
    <row r="12809" spans="1:2" x14ac:dyDescent="0.4">
      <c r="A12809" s="4">
        <v>1009002</v>
      </c>
      <c r="B12809">
        <v>6632800</v>
      </c>
    </row>
    <row r="12810" spans="1:2" x14ac:dyDescent="0.4">
      <c r="A12810" s="4">
        <v>1009002</v>
      </c>
      <c r="B12810">
        <v>6632900</v>
      </c>
    </row>
    <row r="12811" spans="1:2" x14ac:dyDescent="0.4">
      <c r="A12811" s="4">
        <v>1009002</v>
      </c>
      <c r="B12811">
        <v>6633000</v>
      </c>
    </row>
    <row r="12812" spans="1:2" x14ac:dyDescent="0.4">
      <c r="A12812" s="4">
        <v>1009002</v>
      </c>
      <c r="B12812">
        <v>6633100</v>
      </c>
    </row>
    <row r="12813" spans="1:2" x14ac:dyDescent="0.4">
      <c r="A12813" s="4">
        <v>1009002</v>
      </c>
      <c r="B12813">
        <v>6633200</v>
      </c>
    </row>
    <row r="12814" spans="1:2" x14ac:dyDescent="0.4">
      <c r="A12814" s="4">
        <v>1009002</v>
      </c>
      <c r="B12814">
        <v>6647200</v>
      </c>
    </row>
    <row r="12815" spans="1:2" x14ac:dyDescent="0.4">
      <c r="A12815" s="4">
        <v>1009002</v>
      </c>
      <c r="B12815">
        <v>6647300</v>
      </c>
    </row>
    <row r="12816" spans="1:2" x14ac:dyDescent="0.4">
      <c r="A12816" s="4">
        <v>1009002</v>
      </c>
      <c r="B12816">
        <v>6647400</v>
      </c>
    </row>
    <row r="12817" spans="1:2" x14ac:dyDescent="0.4">
      <c r="A12817" s="4">
        <v>1009002</v>
      </c>
      <c r="B12817">
        <v>6647500</v>
      </c>
    </row>
    <row r="12818" spans="1:2" x14ac:dyDescent="0.4">
      <c r="A12818" s="4">
        <v>1009002</v>
      </c>
      <c r="B12818">
        <v>6640000</v>
      </c>
    </row>
    <row r="12819" spans="1:2" x14ac:dyDescent="0.4">
      <c r="A12819" s="4">
        <v>1009002</v>
      </c>
      <c r="B12819">
        <v>6640100</v>
      </c>
    </row>
    <row r="12820" spans="1:2" x14ac:dyDescent="0.4">
      <c r="A12820" s="4">
        <v>1009002</v>
      </c>
      <c r="B12820">
        <v>6641000</v>
      </c>
    </row>
    <row r="12821" spans="1:2" x14ac:dyDescent="0.4">
      <c r="A12821" s="4">
        <v>1009002</v>
      </c>
      <c r="B12821">
        <v>6641100</v>
      </c>
    </row>
    <row r="12822" spans="1:2" x14ac:dyDescent="0.4">
      <c r="A12822" s="4">
        <v>1009002</v>
      </c>
      <c r="B12822">
        <v>6642000</v>
      </c>
    </row>
    <row r="12823" spans="1:2" x14ac:dyDescent="0.4">
      <c r="A12823" s="4">
        <v>1009002</v>
      </c>
      <c r="B12823">
        <v>6642100</v>
      </c>
    </row>
    <row r="12824" spans="1:2" x14ac:dyDescent="0.4">
      <c r="A12824" s="4">
        <v>1009002</v>
      </c>
      <c r="B12824">
        <v>6643000</v>
      </c>
    </row>
    <row r="12825" spans="1:2" x14ac:dyDescent="0.4">
      <c r="A12825" s="4">
        <v>1009002</v>
      </c>
      <c r="B12825">
        <v>6643100</v>
      </c>
    </row>
    <row r="12826" spans="1:2" x14ac:dyDescent="0.4">
      <c r="A12826" s="4">
        <v>1009002</v>
      </c>
      <c r="B12826">
        <v>6644000</v>
      </c>
    </row>
    <row r="12827" spans="1:2" x14ac:dyDescent="0.4">
      <c r="A12827" s="4">
        <v>1009002</v>
      </c>
      <c r="B12827">
        <v>6644100</v>
      </c>
    </row>
    <row r="12828" spans="1:2" x14ac:dyDescent="0.4">
      <c r="A12828" s="4">
        <v>1009002</v>
      </c>
      <c r="B12828">
        <v>6645000</v>
      </c>
    </row>
    <row r="12829" spans="1:2" x14ac:dyDescent="0.4">
      <c r="A12829" s="4">
        <v>1009002</v>
      </c>
      <c r="B12829">
        <v>6645100</v>
      </c>
    </row>
    <row r="12830" spans="1:2" x14ac:dyDescent="0.4">
      <c r="A12830" s="4">
        <v>1009002</v>
      </c>
      <c r="B12830">
        <v>6646000</v>
      </c>
    </row>
    <row r="12831" spans="1:2" x14ac:dyDescent="0.4">
      <c r="A12831" s="4">
        <v>1009002</v>
      </c>
      <c r="B12831">
        <v>6646100</v>
      </c>
    </row>
    <row r="12832" spans="1:2" x14ac:dyDescent="0.4">
      <c r="A12832" s="4">
        <v>1009002</v>
      </c>
      <c r="B12832">
        <v>6647000</v>
      </c>
    </row>
    <row r="12833" spans="1:2" x14ac:dyDescent="0.4">
      <c r="A12833" s="4">
        <v>1009002</v>
      </c>
      <c r="B12833">
        <v>6647100</v>
      </c>
    </row>
    <row r="12834" spans="1:2" x14ac:dyDescent="0.4">
      <c r="A12834" s="4">
        <v>2000000</v>
      </c>
      <c r="B12834">
        <v>7000000</v>
      </c>
    </row>
    <row r="12835" spans="1:2" x14ac:dyDescent="0.4">
      <c r="A12835" s="4">
        <v>2000000</v>
      </c>
      <c r="B12835">
        <v>7000001</v>
      </c>
    </row>
    <row r="12836" spans="1:2" x14ac:dyDescent="0.4">
      <c r="A12836" s="4">
        <v>2000000</v>
      </c>
      <c r="B12836">
        <v>7000002</v>
      </c>
    </row>
    <row r="12837" spans="1:2" x14ac:dyDescent="0.4">
      <c r="A12837" s="4">
        <v>2000000</v>
      </c>
      <c r="B12837">
        <v>7000100</v>
      </c>
    </row>
    <row r="12838" spans="1:2" x14ac:dyDescent="0.4">
      <c r="A12838" s="4">
        <v>2000000</v>
      </c>
      <c r="B12838">
        <v>7000101</v>
      </c>
    </row>
    <row r="12839" spans="1:2" x14ac:dyDescent="0.4">
      <c r="A12839" s="4">
        <v>2000000</v>
      </c>
      <c r="B12839">
        <v>7000102</v>
      </c>
    </row>
    <row r="12840" spans="1:2" x14ac:dyDescent="0.4">
      <c r="A12840" s="4">
        <v>2000000</v>
      </c>
      <c r="B12840">
        <v>7000200</v>
      </c>
    </row>
    <row r="12841" spans="1:2" x14ac:dyDescent="0.4">
      <c r="A12841" s="4">
        <v>2000000</v>
      </c>
      <c r="B12841">
        <v>7000201</v>
      </c>
    </row>
    <row r="12842" spans="1:2" x14ac:dyDescent="0.4">
      <c r="A12842" s="4">
        <v>2000000</v>
      </c>
      <c r="B12842">
        <v>7000202</v>
      </c>
    </row>
    <row r="12843" spans="1:2" x14ac:dyDescent="0.4">
      <c r="A12843" s="4">
        <v>2000000</v>
      </c>
      <c r="B12843">
        <v>7000300</v>
      </c>
    </row>
    <row r="12844" spans="1:2" x14ac:dyDescent="0.4">
      <c r="A12844" s="4">
        <v>2000000</v>
      </c>
      <c r="B12844">
        <v>7000301</v>
      </c>
    </row>
    <row r="12845" spans="1:2" x14ac:dyDescent="0.4">
      <c r="A12845" s="4">
        <v>2000000</v>
      </c>
      <c r="B12845">
        <v>7000302</v>
      </c>
    </row>
    <row r="12846" spans="1:2" x14ac:dyDescent="0.4">
      <c r="A12846" s="4">
        <v>2000000</v>
      </c>
      <c r="B12846">
        <v>7000400</v>
      </c>
    </row>
    <row r="12847" spans="1:2" x14ac:dyDescent="0.4">
      <c r="A12847" s="4">
        <v>2000000</v>
      </c>
      <c r="B12847">
        <v>7000401</v>
      </c>
    </row>
    <row r="12848" spans="1:2" x14ac:dyDescent="0.4">
      <c r="A12848" s="4">
        <v>2000000</v>
      </c>
      <c r="B12848">
        <v>7000402</v>
      </c>
    </row>
    <row r="12849" spans="1:2" x14ac:dyDescent="0.4">
      <c r="A12849" s="4">
        <v>2000000</v>
      </c>
      <c r="B12849">
        <v>7000500</v>
      </c>
    </row>
    <row r="12850" spans="1:2" x14ac:dyDescent="0.4">
      <c r="A12850" s="4">
        <v>2000000</v>
      </c>
      <c r="B12850">
        <v>7000501</v>
      </c>
    </row>
    <row r="12851" spans="1:2" x14ac:dyDescent="0.4">
      <c r="A12851" s="4">
        <v>2000000</v>
      </c>
      <c r="B12851">
        <v>7000502</v>
      </c>
    </row>
    <row r="12852" spans="1:2" x14ac:dyDescent="0.4">
      <c r="A12852" s="4">
        <v>2000000</v>
      </c>
      <c r="B12852">
        <v>7000600</v>
      </c>
    </row>
    <row r="12853" spans="1:2" x14ac:dyDescent="0.4">
      <c r="A12853" s="4">
        <v>2000000</v>
      </c>
      <c r="B12853">
        <v>7000601</v>
      </c>
    </row>
    <row r="12854" spans="1:2" x14ac:dyDescent="0.4">
      <c r="A12854" s="4">
        <v>2000000</v>
      </c>
      <c r="B12854">
        <v>7000602</v>
      </c>
    </row>
    <row r="12855" spans="1:2" x14ac:dyDescent="0.4">
      <c r="A12855" s="4">
        <v>2000000</v>
      </c>
      <c r="B12855">
        <v>7000700</v>
      </c>
    </row>
    <row r="12856" spans="1:2" x14ac:dyDescent="0.4">
      <c r="A12856" s="4">
        <v>2000000</v>
      </c>
      <c r="B12856">
        <v>7000701</v>
      </c>
    </row>
    <row r="12857" spans="1:2" x14ac:dyDescent="0.4">
      <c r="A12857" s="4">
        <v>2000000</v>
      </c>
      <c r="B12857">
        <v>7000702</v>
      </c>
    </row>
    <row r="12858" spans="1:2" x14ac:dyDescent="0.4">
      <c r="A12858" s="4">
        <v>2000000</v>
      </c>
      <c r="B12858">
        <v>7000800</v>
      </c>
    </row>
    <row r="12859" spans="1:2" x14ac:dyDescent="0.4">
      <c r="A12859" s="4">
        <v>2000000</v>
      </c>
      <c r="B12859">
        <v>7000801</v>
      </c>
    </row>
    <row r="12860" spans="1:2" x14ac:dyDescent="0.4">
      <c r="A12860" s="4">
        <v>2000000</v>
      </c>
      <c r="B12860">
        <v>7000802</v>
      </c>
    </row>
    <row r="12861" spans="1:2" x14ac:dyDescent="0.4">
      <c r="A12861" s="4">
        <v>2000000</v>
      </c>
      <c r="B12861">
        <v>7000900</v>
      </c>
    </row>
    <row r="12862" spans="1:2" x14ac:dyDescent="0.4">
      <c r="A12862" s="4">
        <v>2000000</v>
      </c>
      <c r="B12862">
        <v>7000901</v>
      </c>
    </row>
    <row r="12863" spans="1:2" x14ac:dyDescent="0.4">
      <c r="A12863" s="4">
        <v>2000000</v>
      </c>
      <c r="B12863">
        <v>7000902</v>
      </c>
    </row>
    <row r="12864" spans="1:2" x14ac:dyDescent="0.4">
      <c r="A12864" s="4">
        <v>2000000</v>
      </c>
      <c r="B12864">
        <v>7001000</v>
      </c>
    </row>
    <row r="12865" spans="1:2" x14ac:dyDescent="0.4">
      <c r="A12865" s="4">
        <v>2000000</v>
      </c>
      <c r="B12865">
        <v>7001001</v>
      </c>
    </row>
    <row r="12866" spans="1:2" x14ac:dyDescent="0.4">
      <c r="A12866" s="4">
        <v>2000000</v>
      </c>
      <c r="B12866">
        <v>7001002</v>
      </c>
    </row>
    <row r="12867" spans="1:2" x14ac:dyDescent="0.4">
      <c r="A12867" s="4">
        <v>2000000</v>
      </c>
      <c r="B12867">
        <v>7001400</v>
      </c>
    </row>
    <row r="12868" spans="1:2" x14ac:dyDescent="0.4">
      <c r="A12868" s="4">
        <v>2000000</v>
      </c>
      <c r="B12868">
        <v>7001401</v>
      </c>
    </row>
    <row r="12869" spans="1:2" x14ac:dyDescent="0.4">
      <c r="A12869" s="4">
        <v>2000000</v>
      </c>
      <c r="B12869">
        <v>7001402</v>
      </c>
    </row>
    <row r="12870" spans="1:2" x14ac:dyDescent="0.4">
      <c r="A12870" s="4">
        <v>2000000</v>
      </c>
      <c r="B12870">
        <v>7001500</v>
      </c>
    </row>
    <row r="12871" spans="1:2" x14ac:dyDescent="0.4">
      <c r="A12871" s="4">
        <v>2000000</v>
      </c>
      <c r="B12871">
        <v>7001501</v>
      </c>
    </row>
    <row r="12872" spans="1:2" x14ac:dyDescent="0.4">
      <c r="A12872" s="4">
        <v>2000000</v>
      </c>
      <c r="B12872">
        <v>7001502</v>
      </c>
    </row>
    <row r="12873" spans="1:2" x14ac:dyDescent="0.4">
      <c r="A12873" s="4">
        <v>2000000</v>
      </c>
      <c r="B12873">
        <v>7001600</v>
      </c>
    </row>
    <row r="12874" spans="1:2" x14ac:dyDescent="0.4">
      <c r="A12874" s="4">
        <v>2000000</v>
      </c>
      <c r="B12874">
        <v>7001601</v>
      </c>
    </row>
    <row r="12875" spans="1:2" x14ac:dyDescent="0.4">
      <c r="A12875" s="4">
        <v>2000000</v>
      </c>
      <c r="B12875">
        <v>7001602</v>
      </c>
    </row>
    <row r="12876" spans="1:2" x14ac:dyDescent="0.4">
      <c r="A12876" s="4">
        <v>2000000</v>
      </c>
      <c r="B12876">
        <v>7001700</v>
      </c>
    </row>
    <row r="12877" spans="1:2" x14ac:dyDescent="0.4">
      <c r="A12877" s="4">
        <v>2000000</v>
      </c>
      <c r="B12877">
        <v>7001701</v>
      </c>
    </row>
    <row r="12878" spans="1:2" x14ac:dyDescent="0.4">
      <c r="A12878" s="4">
        <v>2000000</v>
      </c>
      <c r="B12878">
        <v>7001702</v>
      </c>
    </row>
    <row r="12879" spans="1:2" x14ac:dyDescent="0.4">
      <c r="A12879" s="4">
        <v>2000000</v>
      </c>
      <c r="B12879">
        <v>7001800</v>
      </c>
    </row>
    <row r="12880" spans="1:2" x14ac:dyDescent="0.4">
      <c r="A12880" s="4">
        <v>2000000</v>
      </c>
      <c r="B12880">
        <v>7001801</v>
      </c>
    </row>
    <row r="12881" spans="1:2" x14ac:dyDescent="0.4">
      <c r="A12881" s="4">
        <v>2000000</v>
      </c>
      <c r="B12881">
        <v>7001802</v>
      </c>
    </row>
    <row r="12882" spans="1:2" x14ac:dyDescent="0.4">
      <c r="A12882" s="4">
        <v>2000000</v>
      </c>
      <c r="B12882">
        <v>7002600</v>
      </c>
    </row>
    <row r="12883" spans="1:2" x14ac:dyDescent="0.4">
      <c r="A12883" s="4">
        <v>2000000</v>
      </c>
      <c r="B12883">
        <v>7002700</v>
      </c>
    </row>
    <row r="12884" spans="1:2" x14ac:dyDescent="0.4">
      <c r="A12884" s="4">
        <v>2000000</v>
      </c>
      <c r="B12884">
        <v>7002800</v>
      </c>
    </row>
    <row r="12885" spans="1:2" x14ac:dyDescent="0.4">
      <c r="A12885" s="4">
        <v>2000000</v>
      </c>
      <c r="B12885">
        <v>7002900</v>
      </c>
    </row>
    <row r="12886" spans="1:2" x14ac:dyDescent="0.4">
      <c r="A12886" s="4">
        <v>2000000</v>
      </c>
      <c r="B12886">
        <v>7003000</v>
      </c>
    </row>
    <row r="12887" spans="1:2" x14ac:dyDescent="0.4">
      <c r="A12887" s="4">
        <v>2000000</v>
      </c>
      <c r="B12887">
        <v>7003100</v>
      </c>
    </row>
    <row r="12888" spans="1:2" x14ac:dyDescent="0.4">
      <c r="A12888" s="4">
        <v>2000000</v>
      </c>
      <c r="B12888">
        <v>7003200</v>
      </c>
    </row>
    <row r="12889" spans="1:2" x14ac:dyDescent="0.4">
      <c r="A12889" s="4">
        <v>2000000</v>
      </c>
      <c r="B12889">
        <v>7003300</v>
      </c>
    </row>
    <row r="12890" spans="1:2" x14ac:dyDescent="0.4">
      <c r="A12890" s="4">
        <v>2000000</v>
      </c>
      <c r="B12890">
        <v>7003400</v>
      </c>
    </row>
    <row r="12891" spans="1:2" x14ac:dyDescent="0.4">
      <c r="A12891" s="4">
        <v>2000000</v>
      </c>
      <c r="B12891">
        <v>7003500</v>
      </c>
    </row>
    <row r="12892" spans="1:2" x14ac:dyDescent="0.4">
      <c r="A12892" s="4">
        <v>2000000</v>
      </c>
      <c r="B12892">
        <v>7003600</v>
      </c>
    </row>
    <row r="12893" spans="1:2" x14ac:dyDescent="0.4">
      <c r="A12893" s="4">
        <v>2000000</v>
      </c>
      <c r="B12893">
        <v>7005600</v>
      </c>
    </row>
    <row r="12894" spans="1:2" x14ac:dyDescent="0.4">
      <c r="A12894" s="4">
        <v>2000000</v>
      </c>
      <c r="B12894">
        <v>7006000</v>
      </c>
    </row>
    <row r="12895" spans="1:2" x14ac:dyDescent="0.4">
      <c r="A12895" s="4">
        <v>2000000</v>
      </c>
      <c r="B12895">
        <v>7006100</v>
      </c>
    </row>
    <row r="12896" spans="1:2" x14ac:dyDescent="0.4">
      <c r="A12896" s="4">
        <v>2000000</v>
      </c>
      <c r="B12896">
        <v>7010200</v>
      </c>
    </row>
    <row r="12897" spans="1:2" x14ac:dyDescent="0.4">
      <c r="A12897" s="4">
        <v>2000000</v>
      </c>
      <c r="B12897">
        <v>7010500</v>
      </c>
    </row>
    <row r="12898" spans="1:2" x14ac:dyDescent="0.4">
      <c r="A12898" s="4">
        <v>2000000</v>
      </c>
      <c r="B12898">
        <v>7010700</v>
      </c>
    </row>
    <row r="12899" spans="1:2" x14ac:dyDescent="0.4">
      <c r="A12899" s="4">
        <v>2000000</v>
      </c>
      <c r="B12899">
        <v>7010900</v>
      </c>
    </row>
    <row r="12900" spans="1:2" x14ac:dyDescent="0.4">
      <c r="A12900" s="4">
        <v>2000000</v>
      </c>
      <c r="B12900">
        <v>7011000</v>
      </c>
    </row>
    <row r="12901" spans="1:2" x14ac:dyDescent="0.4">
      <c r="A12901" s="4">
        <v>2000000</v>
      </c>
      <c r="B12901">
        <v>7011200</v>
      </c>
    </row>
    <row r="12902" spans="1:2" x14ac:dyDescent="0.4">
      <c r="A12902" s="4">
        <v>2000000</v>
      </c>
      <c r="B12902">
        <v>7011600</v>
      </c>
    </row>
    <row r="12903" spans="1:2" x14ac:dyDescent="0.4">
      <c r="A12903" s="4">
        <v>2000000</v>
      </c>
      <c r="B12903">
        <v>7011700</v>
      </c>
    </row>
    <row r="12904" spans="1:2" x14ac:dyDescent="0.4">
      <c r="A12904" s="4">
        <v>2000000</v>
      </c>
      <c r="B12904">
        <v>7012000</v>
      </c>
    </row>
    <row r="12905" spans="1:2" x14ac:dyDescent="0.4">
      <c r="A12905" s="4">
        <v>2000000</v>
      </c>
      <c r="B12905">
        <v>7012200</v>
      </c>
    </row>
    <row r="12906" spans="1:2" x14ac:dyDescent="0.4">
      <c r="A12906" s="4">
        <v>2000000</v>
      </c>
      <c r="B12906">
        <v>7012300</v>
      </c>
    </row>
    <row r="12907" spans="1:2" x14ac:dyDescent="0.4">
      <c r="A12907" s="4">
        <v>2000000</v>
      </c>
      <c r="B12907">
        <v>7020000</v>
      </c>
    </row>
    <row r="12908" spans="1:2" x14ac:dyDescent="0.4">
      <c r="A12908" s="4">
        <v>2000000</v>
      </c>
      <c r="B12908">
        <v>7030000</v>
      </c>
    </row>
    <row r="12909" spans="1:2" x14ac:dyDescent="0.4">
      <c r="A12909" s="4">
        <v>2000000</v>
      </c>
      <c r="B12909">
        <v>7030200</v>
      </c>
    </row>
    <row r="12910" spans="1:2" x14ac:dyDescent="0.4">
      <c r="A12910" s="4">
        <v>2000000</v>
      </c>
      <c r="B12910">
        <v>7030600</v>
      </c>
    </row>
    <row r="12911" spans="1:2" x14ac:dyDescent="0.4">
      <c r="A12911" s="4">
        <v>2000000</v>
      </c>
      <c r="B12911">
        <v>7030700</v>
      </c>
    </row>
    <row r="12912" spans="1:2" x14ac:dyDescent="0.4">
      <c r="A12912" s="4">
        <v>2000000</v>
      </c>
      <c r="B12912">
        <v>7030800</v>
      </c>
    </row>
    <row r="12913" spans="1:2" x14ac:dyDescent="0.4">
      <c r="A12913" s="4">
        <v>2000000</v>
      </c>
      <c r="B12913">
        <v>7030900</v>
      </c>
    </row>
    <row r="12914" spans="1:2" x14ac:dyDescent="0.4">
      <c r="A12914" s="4">
        <v>2000000</v>
      </c>
      <c r="B12914">
        <v>7031200</v>
      </c>
    </row>
    <row r="12915" spans="1:2" x14ac:dyDescent="0.4">
      <c r="A12915" s="4">
        <v>2000000</v>
      </c>
      <c r="B12915">
        <v>7031300</v>
      </c>
    </row>
    <row r="12916" spans="1:2" x14ac:dyDescent="0.4">
      <c r="A12916" s="4">
        <v>2000000</v>
      </c>
      <c r="B12916">
        <v>7031800</v>
      </c>
    </row>
    <row r="12917" spans="1:2" x14ac:dyDescent="0.4">
      <c r="A12917" s="4">
        <v>2000000</v>
      </c>
      <c r="B12917">
        <v>7031900</v>
      </c>
    </row>
    <row r="12918" spans="1:2" x14ac:dyDescent="0.4">
      <c r="A12918" s="4">
        <v>2000000</v>
      </c>
      <c r="B12918">
        <v>7032200</v>
      </c>
    </row>
    <row r="12919" spans="1:2" x14ac:dyDescent="0.4">
      <c r="A12919" s="4">
        <v>2000000</v>
      </c>
      <c r="B12919">
        <v>7032400</v>
      </c>
    </row>
    <row r="12920" spans="1:2" x14ac:dyDescent="0.4">
      <c r="A12920" s="4">
        <v>2000000</v>
      </c>
      <c r="B12920">
        <v>7032700</v>
      </c>
    </row>
    <row r="12921" spans="1:2" x14ac:dyDescent="0.4">
      <c r="A12921" s="4">
        <v>2000000</v>
      </c>
      <c r="B12921">
        <v>7032800</v>
      </c>
    </row>
    <row r="12922" spans="1:2" x14ac:dyDescent="0.4">
      <c r="A12922" s="4">
        <v>2000000</v>
      </c>
      <c r="B12922">
        <v>7032900</v>
      </c>
    </row>
    <row r="12923" spans="1:2" x14ac:dyDescent="0.4">
      <c r="A12923" s="4">
        <v>2000000</v>
      </c>
      <c r="B12923">
        <v>7033200</v>
      </c>
    </row>
    <row r="12924" spans="1:2" x14ac:dyDescent="0.4">
      <c r="A12924" s="4">
        <v>2000000</v>
      </c>
      <c r="B12924">
        <v>7033400</v>
      </c>
    </row>
    <row r="12925" spans="1:2" x14ac:dyDescent="0.4">
      <c r="A12925" s="4">
        <v>2000000</v>
      </c>
      <c r="B12925">
        <v>7034100</v>
      </c>
    </row>
    <row r="12926" spans="1:2" x14ac:dyDescent="0.4">
      <c r="A12926" s="4">
        <v>2000000</v>
      </c>
      <c r="B12926">
        <v>7034400</v>
      </c>
    </row>
    <row r="12927" spans="1:2" x14ac:dyDescent="0.4">
      <c r="A12927" s="4">
        <v>2000000</v>
      </c>
      <c r="B12927">
        <v>7034500</v>
      </c>
    </row>
    <row r="12928" spans="1:2" x14ac:dyDescent="0.4">
      <c r="A12928" s="4">
        <v>2000000</v>
      </c>
      <c r="B12928">
        <v>7034600</v>
      </c>
    </row>
    <row r="12929" spans="1:2" x14ac:dyDescent="0.4">
      <c r="A12929" s="4">
        <v>2000000</v>
      </c>
      <c r="B12929">
        <v>7034700</v>
      </c>
    </row>
    <row r="12930" spans="1:2" x14ac:dyDescent="0.4">
      <c r="A12930" s="4">
        <v>2000000</v>
      </c>
      <c r="B12930">
        <v>7035100</v>
      </c>
    </row>
    <row r="12931" spans="1:2" x14ac:dyDescent="0.4">
      <c r="A12931" s="4">
        <v>2000000</v>
      </c>
      <c r="B12931">
        <v>7036100</v>
      </c>
    </row>
    <row r="12932" spans="1:2" x14ac:dyDescent="0.4">
      <c r="A12932" s="4">
        <v>2000000</v>
      </c>
      <c r="B12932">
        <v>7040000</v>
      </c>
    </row>
    <row r="12933" spans="1:2" x14ac:dyDescent="0.4">
      <c r="A12933" s="4">
        <v>2000000</v>
      </c>
      <c r="B12933">
        <v>7040100</v>
      </c>
    </row>
    <row r="12934" spans="1:2" x14ac:dyDescent="0.4">
      <c r="A12934" s="4">
        <v>2000000</v>
      </c>
      <c r="B12934">
        <v>7040200</v>
      </c>
    </row>
    <row r="12935" spans="1:2" x14ac:dyDescent="0.4">
      <c r="A12935" s="4">
        <v>2000000</v>
      </c>
      <c r="B12935">
        <v>7040300</v>
      </c>
    </row>
    <row r="12936" spans="1:2" x14ac:dyDescent="0.4">
      <c r="A12936" s="4">
        <v>2000000</v>
      </c>
      <c r="B12936">
        <v>7040400</v>
      </c>
    </row>
    <row r="12937" spans="1:2" x14ac:dyDescent="0.4">
      <c r="A12937" s="4">
        <v>2000000</v>
      </c>
      <c r="B12937">
        <v>7040500</v>
      </c>
    </row>
    <row r="12938" spans="1:2" x14ac:dyDescent="0.4">
      <c r="A12938" s="4">
        <v>2000000</v>
      </c>
      <c r="B12938">
        <v>7043000</v>
      </c>
    </row>
    <row r="12939" spans="1:2" x14ac:dyDescent="0.4">
      <c r="A12939" s="4">
        <v>2000000</v>
      </c>
      <c r="B12939">
        <v>7043100</v>
      </c>
    </row>
    <row r="12940" spans="1:2" x14ac:dyDescent="0.4">
      <c r="A12940" s="4">
        <v>2000000</v>
      </c>
      <c r="B12940">
        <v>7043200</v>
      </c>
    </row>
    <row r="12941" spans="1:2" x14ac:dyDescent="0.4">
      <c r="A12941" s="4">
        <v>2000000</v>
      </c>
      <c r="B12941">
        <v>7043300</v>
      </c>
    </row>
    <row r="12942" spans="1:2" x14ac:dyDescent="0.4">
      <c r="A12942" s="4">
        <v>2000000</v>
      </c>
      <c r="B12942">
        <v>7043400</v>
      </c>
    </row>
    <row r="12943" spans="1:2" x14ac:dyDescent="0.4">
      <c r="A12943" s="4">
        <v>2000000</v>
      </c>
      <c r="B12943">
        <v>7043500</v>
      </c>
    </row>
    <row r="12944" spans="1:2" x14ac:dyDescent="0.4">
      <c r="A12944" s="4">
        <v>2000000</v>
      </c>
      <c r="B12944">
        <v>7043600</v>
      </c>
    </row>
    <row r="12945" spans="1:2" x14ac:dyDescent="0.4">
      <c r="A12945" s="4">
        <v>2000000</v>
      </c>
      <c r="B12945">
        <v>7043700</v>
      </c>
    </row>
    <row r="12946" spans="1:2" x14ac:dyDescent="0.4">
      <c r="A12946" s="4">
        <v>2000000</v>
      </c>
      <c r="B12946">
        <v>7043800</v>
      </c>
    </row>
    <row r="12947" spans="1:2" x14ac:dyDescent="0.4">
      <c r="A12947" s="4">
        <v>2000000</v>
      </c>
      <c r="B12947">
        <v>7044000</v>
      </c>
    </row>
    <row r="12948" spans="1:2" x14ac:dyDescent="0.4">
      <c r="A12948" s="4">
        <v>2000000</v>
      </c>
      <c r="B12948">
        <v>7044100</v>
      </c>
    </row>
    <row r="12949" spans="1:2" x14ac:dyDescent="0.4">
      <c r="A12949" s="4">
        <v>2000000</v>
      </c>
      <c r="B12949">
        <v>7044200</v>
      </c>
    </row>
    <row r="12950" spans="1:2" x14ac:dyDescent="0.4">
      <c r="A12950" s="4">
        <v>2000000</v>
      </c>
      <c r="B12950">
        <v>7044300</v>
      </c>
    </row>
    <row r="12951" spans="1:2" x14ac:dyDescent="0.4">
      <c r="A12951" s="4">
        <v>2000000</v>
      </c>
      <c r="B12951">
        <v>7044400</v>
      </c>
    </row>
    <row r="12952" spans="1:2" x14ac:dyDescent="0.4">
      <c r="A12952" s="4">
        <v>2000000</v>
      </c>
      <c r="B12952">
        <v>7044500</v>
      </c>
    </row>
    <row r="12953" spans="1:2" x14ac:dyDescent="0.4">
      <c r="A12953" s="4">
        <v>2000000</v>
      </c>
      <c r="B12953">
        <v>7044600</v>
      </c>
    </row>
    <row r="12954" spans="1:2" x14ac:dyDescent="0.4">
      <c r="A12954" s="4">
        <v>2000000</v>
      </c>
      <c r="B12954">
        <v>7050000</v>
      </c>
    </row>
    <row r="12955" spans="1:2" x14ac:dyDescent="0.4">
      <c r="A12955" s="4">
        <v>2000000</v>
      </c>
      <c r="B12955">
        <v>7050100</v>
      </c>
    </row>
    <row r="12956" spans="1:2" x14ac:dyDescent="0.4">
      <c r="A12956" s="4">
        <v>2000000</v>
      </c>
      <c r="B12956">
        <v>7060000</v>
      </c>
    </row>
    <row r="12957" spans="1:2" x14ac:dyDescent="0.4">
      <c r="A12957" s="4">
        <v>2000000</v>
      </c>
      <c r="B12957">
        <v>7060100</v>
      </c>
    </row>
    <row r="12958" spans="1:2" x14ac:dyDescent="0.4">
      <c r="A12958" s="4">
        <v>2000000</v>
      </c>
      <c r="B12958">
        <v>7060200</v>
      </c>
    </row>
    <row r="12959" spans="1:2" x14ac:dyDescent="0.4">
      <c r="A12959" s="4">
        <v>2000000</v>
      </c>
      <c r="B12959">
        <v>7070000</v>
      </c>
    </row>
    <row r="12960" spans="1:2" x14ac:dyDescent="0.4">
      <c r="A12960" s="4">
        <v>2000000</v>
      </c>
      <c r="B12960">
        <v>7080000</v>
      </c>
    </row>
    <row r="12961" spans="1:2" x14ac:dyDescent="0.4">
      <c r="A12961" s="4">
        <v>2000000</v>
      </c>
      <c r="B12961">
        <v>7080100</v>
      </c>
    </row>
    <row r="12962" spans="1:2" x14ac:dyDescent="0.4">
      <c r="A12962" s="4">
        <v>2000000</v>
      </c>
      <c r="B12962">
        <v>7080200</v>
      </c>
    </row>
    <row r="12963" spans="1:2" x14ac:dyDescent="0.4">
      <c r="A12963" s="4">
        <v>2000000</v>
      </c>
      <c r="B12963">
        <v>7080300</v>
      </c>
    </row>
    <row r="12964" spans="1:2" x14ac:dyDescent="0.4">
      <c r="A12964" s="4">
        <v>2000000</v>
      </c>
      <c r="B12964">
        <v>7080400</v>
      </c>
    </row>
    <row r="12965" spans="1:2" x14ac:dyDescent="0.4">
      <c r="A12965" s="4">
        <v>2000000</v>
      </c>
      <c r="B12965">
        <v>7080500</v>
      </c>
    </row>
    <row r="12966" spans="1:2" x14ac:dyDescent="0.4">
      <c r="A12966" s="4">
        <v>2000000</v>
      </c>
      <c r="B12966">
        <v>7080600</v>
      </c>
    </row>
    <row r="12967" spans="1:2" x14ac:dyDescent="0.4">
      <c r="A12967" s="4">
        <v>2000000</v>
      </c>
      <c r="B12967">
        <v>7080700</v>
      </c>
    </row>
    <row r="12968" spans="1:2" x14ac:dyDescent="0.4">
      <c r="A12968" s="4">
        <v>2000000</v>
      </c>
      <c r="B12968">
        <v>7080800</v>
      </c>
    </row>
    <row r="12969" spans="1:2" x14ac:dyDescent="0.4">
      <c r="A12969" s="4">
        <v>2000000</v>
      </c>
      <c r="B12969">
        <v>7080900</v>
      </c>
    </row>
    <row r="12970" spans="1:2" x14ac:dyDescent="0.4">
      <c r="A12970" s="4">
        <v>2000000</v>
      </c>
      <c r="B12970">
        <v>7081000</v>
      </c>
    </row>
    <row r="12971" spans="1:2" x14ac:dyDescent="0.4">
      <c r="A12971" s="4">
        <v>2000000</v>
      </c>
      <c r="B12971">
        <v>7081100</v>
      </c>
    </row>
    <row r="12972" spans="1:2" x14ac:dyDescent="0.4">
      <c r="A12972" s="4">
        <v>2000000</v>
      </c>
      <c r="B12972">
        <v>7081200</v>
      </c>
    </row>
    <row r="12973" spans="1:2" x14ac:dyDescent="0.4">
      <c r="A12973" s="4">
        <v>2000000</v>
      </c>
      <c r="B12973">
        <v>7081300</v>
      </c>
    </row>
    <row r="12974" spans="1:2" x14ac:dyDescent="0.4">
      <c r="A12974" s="4">
        <v>2000000</v>
      </c>
      <c r="B12974">
        <v>7081400</v>
      </c>
    </row>
    <row r="12975" spans="1:2" x14ac:dyDescent="0.4">
      <c r="A12975" s="4">
        <v>2000000</v>
      </c>
      <c r="B12975">
        <v>7081500</v>
      </c>
    </row>
    <row r="12976" spans="1:2" x14ac:dyDescent="0.4">
      <c r="A12976" s="4">
        <v>2000000</v>
      </c>
      <c r="B12976">
        <v>7081700</v>
      </c>
    </row>
    <row r="12977" spans="1:2" x14ac:dyDescent="0.4">
      <c r="A12977" s="4">
        <v>2000000</v>
      </c>
      <c r="B12977">
        <v>7081800</v>
      </c>
    </row>
    <row r="12978" spans="1:2" x14ac:dyDescent="0.4">
      <c r="A12978" s="4">
        <v>2000000</v>
      </c>
      <c r="B12978">
        <v>7081900</v>
      </c>
    </row>
    <row r="12979" spans="1:2" x14ac:dyDescent="0.4">
      <c r="A12979" s="4">
        <v>2000000</v>
      </c>
      <c r="B12979">
        <v>7082000</v>
      </c>
    </row>
    <row r="12980" spans="1:2" x14ac:dyDescent="0.4">
      <c r="A12980" s="4">
        <v>2000000</v>
      </c>
      <c r="B12980">
        <v>7082100</v>
      </c>
    </row>
    <row r="12981" spans="1:2" x14ac:dyDescent="0.4">
      <c r="A12981" s="4">
        <v>2000000</v>
      </c>
      <c r="B12981">
        <v>7082200</v>
      </c>
    </row>
    <row r="12982" spans="1:2" x14ac:dyDescent="0.4">
      <c r="A12982" s="4">
        <v>2000000</v>
      </c>
      <c r="B12982">
        <v>7082300</v>
      </c>
    </row>
    <row r="12983" spans="1:2" x14ac:dyDescent="0.4">
      <c r="A12983" s="4">
        <v>2000000</v>
      </c>
      <c r="B12983">
        <v>7082400</v>
      </c>
    </row>
    <row r="12984" spans="1:2" x14ac:dyDescent="0.4">
      <c r="A12984" s="4">
        <v>2000000</v>
      </c>
      <c r="B12984">
        <v>7082500</v>
      </c>
    </row>
    <row r="12985" spans="1:2" x14ac:dyDescent="0.4">
      <c r="A12985" s="4">
        <v>2000000</v>
      </c>
      <c r="B12985">
        <v>7082600</v>
      </c>
    </row>
    <row r="12986" spans="1:2" x14ac:dyDescent="0.4">
      <c r="A12986" s="4">
        <v>2000000</v>
      </c>
      <c r="B12986">
        <v>7082700</v>
      </c>
    </row>
    <row r="12987" spans="1:2" x14ac:dyDescent="0.4">
      <c r="A12987" s="4">
        <v>2000000</v>
      </c>
      <c r="B12987">
        <v>7082800</v>
      </c>
    </row>
    <row r="12988" spans="1:2" x14ac:dyDescent="0.4">
      <c r="A12988" s="4">
        <v>2000000</v>
      </c>
      <c r="B12988">
        <v>7082900</v>
      </c>
    </row>
    <row r="12989" spans="1:2" x14ac:dyDescent="0.4">
      <c r="A12989" s="4">
        <v>2000000</v>
      </c>
      <c r="B12989">
        <v>7090000</v>
      </c>
    </row>
    <row r="12990" spans="1:2" x14ac:dyDescent="0.4">
      <c r="A12990" s="4">
        <v>2000000</v>
      </c>
      <c r="B12990">
        <v>7090100</v>
      </c>
    </row>
    <row r="12991" spans="1:2" x14ac:dyDescent="0.4">
      <c r="A12991" s="4">
        <v>2000000</v>
      </c>
      <c r="B12991">
        <v>7090300</v>
      </c>
    </row>
    <row r="12992" spans="1:2" x14ac:dyDescent="0.4">
      <c r="A12992" s="4">
        <v>2000000</v>
      </c>
      <c r="B12992">
        <v>7100100</v>
      </c>
    </row>
    <row r="12993" spans="1:2" x14ac:dyDescent="0.4">
      <c r="A12993" s="4">
        <v>2000000</v>
      </c>
      <c r="B12993">
        <v>7110000</v>
      </c>
    </row>
    <row r="12994" spans="1:2" x14ac:dyDescent="0.4">
      <c r="A12994" s="4">
        <v>2000000</v>
      </c>
      <c r="B12994">
        <v>7120000</v>
      </c>
    </row>
    <row r="12995" spans="1:2" x14ac:dyDescent="0.4">
      <c r="A12995" s="4">
        <v>2000000</v>
      </c>
      <c r="B12995">
        <v>7120100</v>
      </c>
    </row>
    <row r="12996" spans="1:2" x14ac:dyDescent="0.4">
      <c r="A12996" s="4">
        <v>2000000</v>
      </c>
      <c r="B12996">
        <v>7120200</v>
      </c>
    </row>
    <row r="12997" spans="1:2" x14ac:dyDescent="0.4">
      <c r="A12997" s="4">
        <v>2000000</v>
      </c>
      <c r="B12997">
        <v>7120300</v>
      </c>
    </row>
    <row r="12998" spans="1:2" x14ac:dyDescent="0.4">
      <c r="A12998" s="4">
        <v>2000000</v>
      </c>
      <c r="B12998">
        <v>7120400</v>
      </c>
    </row>
    <row r="12999" spans="1:2" x14ac:dyDescent="0.4">
      <c r="A12999" s="4">
        <v>2000000</v>
      </c>
      <c r="B12999">
        <v>7120500</v>
      </c>
    </row>
    <row r="13000" spans="1:2" x14ac:dyDescent="0.4">
      <c r="A13000" s="4">
        <v>2000000</v>
      </c>
      <c r="B13000">
        <v>7120600</v>
      </c>
    </row>
    <row r="13001" spans="1:2" x14ac:dyDescent="0.4">
      <c r="A13001" s="4">
        <v>2000000</v>
      </c>
      <c r="B13001">
        <v>7120900</v>
      </c>
    </row>
    <row r="13002" spans="1:2" x14ac:dyDescent="0.4">
      <c r="A13002" s="4">
        <v>2000000</v>
      </c>
      <c r="B13002">
        <v>7121000</v>
      </c>
    </row>
    <row r="13003" spans="1:2" x14ac:dyDescent="0.4">
      <c r="A13003" s="4">
        <v>2000000</v>
      </c>
      <c r="B13003">
        <v>7121100</v>
      </c>
    </row>
    <row r="13004" spans="1:2" x14ac:dyDescent="0.4">
      <c r="A13004" s="4">
        <v>2000000</v>
      </c>
      <c r="B13004">
        <v>7121200</v>
      </c>
    </row>
    <row r="13005" spans="1:2" x14ac:dyDescent="0.4">
      <c r="A13005" s="4">
        <v>2000000</v>
      </c>
      <c r="B13005">
        <v>7121300</v>
      </c>
    </row>
    <row r="13006" spans="1:2" x14ac:dyDescent="0.4">
      <c r="A13006" s="4">
        <v>2000000</v>
      </c>
      <c r="B13006">
        <v>7121400</v>
      </c>
    </row>
    <row r="13007" spans="1:2" x14ac:dyDescent="0.4">
      <c r="A13007" s="4">
        <v>2000000</v>
      </c>
      <c r="B13007">
        <v>7121500</v>
      </c>
    </row>
    <row r="13008" spans="1:2" x14ac:dyDescent="0.4">
      <c r="A13008" s="4">
        <v>2000000</v>
      </c>
      <c r="B13008">
        <v>7121600</v>
      </c>
    </row>
    <row r="13009" spans="1:2" x14ac:dyDescent="0.4">
      <c r="A13009" s="4">
        <v>2000000</v>
      </c>
      <c r="B13009">
        <v>7121700</v>
      </c>
    </row>
    <row r="13010" spans="1:2" x14ac:dyDescent="0.4">
      <c r="A13010" s="4">
        <v>2000000</v>
      </c>
      <c r="B13010">
        <v>7121800</v>
      </c>
    </row>
    <row r="13011" spans="1:2" x14ac:dyDescent="0.4">
      <c r="A13011" s="4">
        <v>2000000</v>
      </c>
      <c r="B13011">
        <v>7121900</v>
      </c>
    </row>
    <row r="13012" spans="1:2" x14ac:dyDescent="0.4">
      <c r="A13012" s="4">
        <v>2000000</v>
      </c>
      <c r="B13012">
        <v>7122000</v>
      </c>
    </row>
    <row r="13013" spans="1:2" x14ac:dyDescent="0.4">
      <c r="A13013" s="4">
        <v>2000000</v>
      </c>
      <c r="B13013">
        <v>7122100</v>
      </c>
    </row>
    <row r="13014" spans="1:2" x14ac:dyDescent="0.4">
      <c r="A13014" s="4">
        <v>2000000</v>
      </c>
      <c r="B13014">
        <v>7122200</v>
      </c>
    </row>
    <row r="13015" spans="1:2" x14ac:dyDescent="0.4">
      <c r="A13015" s="4">
        <v>2000000</v>
      </c>
      <c r="B13015">
        <v>7122300</v>
      </c>
    </row>
    <row r="13016" spans="1:2" x14ac:dyDescent="0.4">
      <c r="A13016" s="4">
        <v>2000000</v>
      </c>
      <c r="B13016">
        <v>7122400</v>
      </c>
    </row>
    <row r="13017" spans="1:2" x14ac:dyDescent="0.4">
      <c r="A13017" s="4">
        <v>2000000</v>
      </c>
      <c r="B13017">
        <v>7122500</v>
      </c>
    </row>
    <row r="13018" spans="1:2" x14ac:dyDescent="0.4">
      <c r="A13018" s="4">
        <v>2000000</v>
      </c>
      <c r="B13018">
        <v>7122600</v>
      </c>
    </row>
    <row r="13019" spans="1:2" x14ac:dyDescent="0.4">
      <c r="A13019" s="4">
        <v>2000000</v>
      </c>
      <c r="B13019">
        <v>7122700</v>
      </c>
    </row>
    <row r="13020" spans="1:2" x14ac:dyDescent="0.4">
      <c r="A13020" s="4">
        <v>2000000</v>
      </c>
      <c r="B13020">
        <v>7122800</v>
      </c>
    </row>
    <row r="13021" spans="1:2" x14ac:dyDescent="0.4">
      <c r="A13021" s="4">
        <v>2000000</v>
      </c>
      <c r="B13021">
        <v>7122900</v>
      </c>
    </row>
    <row r="13022" spans="1:2" x14ac:dyDescent="0.4">
      <c r="A13022" s="4">
        <v>2000000</v>
      </c>
      <c r="B13022">
        <v>7123000</v>
      </c>
    </row>
    <row r="13023" spans="1:2" x14ac:dyDescent="0.4">
      <c r="A13023" s="4">
        <v>2000000</v>
      </c>
      <c r="B13023">
        <v>7123100</v>
      </c>
    </row>
    <row r="13024" spans="1:2" x14ac:dyDescent="0.4">
      <c r="A13024" s="4">
        <v>2000000</v>
      </c>
      <c r="B13024">
        <v>7123200</v>
      </c>
    </row>
    <row r="13025" spans="1:2" x14ac:dyDescent="0.4">
      <c r="A13025" s="4">
        <v>2000000</v>
      </c>
      <c r="B13025">
        <v>7123300</v>
      </c>
    </row>
    <row r="13026" spans="1:2" x14ac:dyDescent="0.4">
      <c r="A13026" s="4">
        <v>2000000</v>
      </c>
      <c r="B13026">
        <v>7123400</v>
      </c>
    </row>
    <row r="13027" spans="1:2" x14ac:dyDescent="0.4">
      <c r="A13027" s="4">
        <v>2000000</v>
      </c>
      <c r="B13027">
        <v>7123500</v>
      </c>
    </row>
    <row r="13028" spans="1:2" x14ac:dyDescent="0.4">
      <c r="A13028" s="4">
        <v>2000000</v>
      </c>
      <c r="B13028">
        <v>7123600</v>
      </c>
    </row>
    <row r="13029" spans="1:2" x14ac:dyDescent="0.4">
      <c r="A13029" s="4">
        <v>2000000</v>
      </c>
      <c r="B13029">
        <v>7123700</v>
      </c>
    </row>
    <row r="13030" spans="1:2" x14ac:dyDescent="0.4">
      <c r="A13030" s="4">
        <v>2000000</v>
      </c>
      <c r="B13030">
        <v>7123800</v>
      </c>
    </row>
    <row r="13031" spans="1:2" x14ac:dyDescent="0.4">
      <c r="A13031" s="4">
        <v>2000000</v>
      </c>
      <c r="B13031">
        <v>7123900</v>
      </c>
    </row>
    <row r="13032" spans="1:2" x14ac:dyDescent="0.4">
      <c r="A13032" s="4">
        <v>2000000</v>
      </c>
      <c r="B13032">
        <v>7124000</v>
      </c>
    </row>
    <row r="13033" spans="1:2" x14ac:dyDescent="0.4">
      <c r="A13033" s="4">
        <v>2000000</v>
      </c>
      <c r="B13033">
        <v>7124100</v>
      </c>
    </row>
    <row r="13034" spans="1:2" x14ac:dyDescent="0.4">
      <c r="A13034" s="4">
        <v>2000000</v>
      </c>
      <c r="B13034">
        <v>7124300</v>
      </c>
    </row>
    <row r="13035" spans="1:2" x14ac:dyDescent="0.4">
      <c r="A13035" s="4">
        <v>2000000</v>
      </c>
      <c r="B13035">
        <v>7124400</v>
      </c>
    </row>
    <row r="13036" spans="1:2" x14ac:dyDescent="0.4">
      <c r="A13036" s="4">
        <v>2000000</v>
      </c>
      <c r="B13036">
        <v>7124500</v>
      </c>
    </row>
    <row r="13037" spans="1:2" x14ac:dyDescent="0.4">
      <c r="A13037" s="4">
        <v>2000000</v>
      </c>
      <c r="B13037">
        <v>7124600</v>
      </c>
    </row>
    <row r="13038" spans="1:2" x14ac:dyDescent="0.4">
      <c r="A13038" s="4">
        <v>2000000</v>
      </c>
      <c r="B13038">
        <v>7124700</v>
      </c>
    </row>
    <row r="13039" spans="1:2" x14ac:dyDescent="0.4">
      <c r="A13039" s="4">
        <v>2000000</v>
      </c>
      <c r="B13039">
        <v>7126000</v>
      </c>
    </row>
    <row r="13040" spans="1:2" x14ac:dyDescent="0.4">
      <c r="A13040" s="4">
        <v>2000000</v>
      </c>
      <c r="B13040">
        <v>7150000</v>
      </c>
    </row>
    <row r="13041" spans="1:2" x14ac:dyDescent="0.4">
      <c r="A13041" s="4">
        <v>2000000</v>
      </c>
      <c r="B13041">
        <v>7160000</v>
      </c>
    </row>
    <row r="13042" spans="1:2" x14ac:dyDescent="0.4">
      <c r="A13042" s="4">
        <v>2000000</v>
      </c>
      <c r="B13042">
        <v>7220000</v>
      </c>
    </row>
    <row r="13043" spans="1:2" x14ac:dyDescent="0.4">
      <c r="A13043" s="4">
        <v>2000000</v>
      </c>
      <c r="B13043">
        <v>7230000</v>
      </c>
    </row>
    <row r="13044" spans="1:2" x14ac:dyDescent="0.4">
      <c r="A13044" s="4">
        <v>2000000</v>
      </c>
      <c r="B13044">
        <v>7240000</v>
      </c>
    </row>
    <row r="13045" spans="1:2" x14ac:dyDescent="0.4">
      <c r="A13045" s="4">
        <v>2000000</v>
      </c>
      <c r="B13045">
        <v>7260000</v>
      </c>
    </row>
    <row r="13046" spans="1:2" x14ac:dyDescent="0.4">
      <c r="A13046" s="4">
        <v>2000000</v>
      </c>
      <c r="B13046">
        <v>7260300</v>
      </c>
    </row>
    <row r="13047" spans="1:2" x14ac:dyDescent="0.4">
      <c r="A13047" s="4">
        <v>2000000</v>
      </c>
      <c r="B13047">
        <v>7260400</v>
      </c>
    </row>
    <row r="13048" spans="1:2" x14ac:dyDescent="0.4">
      <c r="A13048" s="4">
        <v>2000000</v>
      </c>
      <c r="B13048">
        <v>7270100</v>
      </c>
    </row>
    <row r="13049" spans="1:2" x14ac:dyDescent="0.4">
      <c r="A13049" s="4">
        <v>2000000</v>
      </c>
      <c r="B13049">
        <v>7280000</v>
      </c>
    </row>
    <row r="13050" spans="1:2" x14ac:dyDescent="0.4">
      <c r="A13050" s="4">
        <v>2000000</v>
      </c>
      <c r="B13050">
        <v>7290000</v>
      </c>
    </row>
    <row r="13051" spans="1:2" x14ac:dyDescent="0.4">
      <c r="A13051" s="4">
        <v>2000000</v>
      </c>
      <c r="B13051">
        <v>7310000</v>
      </c>
    </row>
    <row r="13052" spans="1:2" x14ac:dyDescent="0.4">
      <c r="A13052" s="4">
        <v>2000000</v>
      </c>
      <c r="B13052">
        <v>7330000</v>
      </c>
    </row>
    <row r="13053" spans="1:2" x14ac:dyDescent="0.4">
      <c r="A13053" s="4">
        <v>2000000</v>
      </c>
      <c r="B13053">
        <v>7330100</v>
      </c>
    </row>
    <row r="13054" spans="1:2" x14ac:dyDescent="0.4">
      <c r="A13054" s="4">
        <v>2000000</v>
      </c>
      <c r="B13054">
        <v>7330200</v>
      </c>
    </row>
    <row r="13055" spans="1:2" x14ac:dyDescent="0.4">
      <c r="A13055" s="4">
        <v>2000000</v>
      </c>
      <c r="B13055">
        <v>7330300</v>
      </c>
    </row>
    <row r="13056" spans="1:2" x14ac:dyDescent="0.4">
      <c r="A13056" s="4">
        <v>2000000</v>
      </c>
      <c r="B13056">
        <v>7330400</v>
      </c>
    </row>
    <row r="13057" spans="1:2" x14ac:dyDescent="0.4">
      <c r="A13057" s="4">
        <v>2000000</v>
      </c>
      <c r="B13057">
        <v>7330500</v>
      </c>
    </row>
    <row r="13058" spans="1:2" x14ac:dyDescent="0.4">
      <c r="A13058" s="4">
        <v>2000000</v>
      </c>
      <c r="B13058">
        <v>7330600</v>
      </c>
    </row>
    <row r="13059" spans="1:2" x14ac:dyDescent="0.4">
      <c r="A13059" s="4">
        <v>2000000</v>
      </c>
      <c r="B13059">
        <v>7330700</v>
      </c>
    </row>
    <row r="13060" spans="1:2" x14ac:dyDescent="0.4">
      <c r="A13060" s="4">
        <v>2000000</v>
      </c>
      <c r="B13060">
        <v>7330800</v>
      </c>
    </row>
    <row r="13061" spans="1:2" x14ac:dyDescent="0.4">
      <c r="A13061" s="4">
        <v>2000000</v>
      </c>
      <c r="B13061">
        <v>7330900</v>
      </c>
    </row>
    <row r="13062" spans="1:2" x14ac:dyDescent="0.4">
      <c r="A13062" s="4">
        <v>2000000</v>
      </c>
      <c r="B13062">
        <v>7331000</v>
      </c>
    </row>
    <row r="13063" spans="1:2" x14ac:dyDescent="0.4">
      <c r="A13063" s="4">
        <v>2000000</v>
      </c>
      <c r="B13063">
        <v>7331100</v>
      </c>
    </row>
    <row r="13064" spans="1:2" x14ac:dyDescent="0.4">
      <c r="A13064" s="4">
        <v>2000000</v>
      </c>
      <c r="B13064">
        <v>7331200</v>
      </c>
    </row>
    <row r="13065" spans="1:2" x14ac:dyDescent="0.4">
      <c r="A13065" s="4">
        <v>2000000</v>
      </c>
      <c r="B13065">
        <v>7331300</v>
      </c>
    </row>
    <row r="13066" spans="1:2" x14ac:dyDescent="0.4">
      <c r="A13066" s="4">
        <v>2000000</v>
      </c>
      <c r="B13066">
        <v>7331400</v>
      </c>
    </row>
    <row r="13067" spans="1:2" x14ac:dyDescent="0.4">
      <c r="A13067" s="4">
        <v>2000000</v>
      </c>
      <c r="B13067">
        <v>7331500</v>
      </c>
    </row>
    <row r="13068" spans="1:2" x14ac:dyDescent="0.4">
      <c r="A13068" s="4">
        <v>2000000</v>
      </c>
      <c r="B13068">
        <v>7331700</v>
      </c>
    </row>
    <row r="13069" spans="1:2" x14ac:dyDescent="0.4">
      <c r="A13069" s="4">
        <v>2000000</v>
      </c>
      <c r="B13069">
        <v>7331800</v>
      </c>
    </row>
    <row r="13070" spans="1:2" x14ac:dyDescent="0.4">
      <c r="A13070" s="4">
        <v>2000000</v>
      </c>
      <c r="B13070">
        <v>7331900</v>
      </c>
    </row>
    <row r="13071" spans="1:2" x14ac:dyDescent="0.4">
      <c r="A13071" s="4">
        <v>2000000</v>
      </c>
      <c r="B13071">
        <v>7332000</v>
      </c>
    </row>
    <row r="13072" spans="1:2" x14ac:dyDescent="0.4">
      <c r="A13072" s="4">
        <v>2000000</v>
      </c>
      <c r="B13072">
        <v>7332100</v>
      </c>
    </row>
    <row r="13073" spans="1:2" x14ac:dyDescent="0.4">
      <c r="A13073" s="4">
        <v>2000000</v>
      </c>
      <c r="B13073">
        <v>7332200</v>
      </c>
    </row>
    <row r="13074" spans="1:2" x14ac:dyDescent="0.4">
      <c r="A13074" s="4">
        <v>2000000</v>
      </c>
      <c r="B13074">
        <v>7332300</v>
      </c>
    </row>
    <row r="13075" spans="1:2" x14ac:dyDescent="0.4">
      <c r="A13075" s="4">
        <v>2000000</v>
      </c>
      <c r="B13075">
        <v>7332400</v>
      </c>
    </row>
    <row r="13076" spans="1:2" x14ac:dyDescent="0.4">
      <c r="A13076" s="4">
        <v>2000000</v>
      </c>
      <c r="B13076">
        <v>7340000</v>
      </c>
    </row>
    <row r="13077" spans="1:2" x14ac:dyDescent="0.4">
      <c r="A13077" s="4">
        <v>2000000</v>
      </c>
      <c r="B13077">
        <v>7340100</v>
      </c>
    </row>
    <row r="13078" spans="1:2" x14ac:dyDescent="0.4">
      <c r="A13078" s="4">
        <v>2000000</v>
      </c>
      <c r="B13078">
        <v>7340200</v>
      </c>
    </row>
    <row r="13079" spans="1:2" x14ac:dyDescent="0.4">
      <c r="A13079" s="4">
        <v>2000000</v>
      </c>
      <c r="B13079">
        <v>7340300</v>
      </c>
    </row>
    <row r="13080" spans="1:2" x14ac:dyDescent="0.4">
      <c r="A13080" s="4">
        <v>2000000</v>
      </c>
      <c r="B13080">
        <v>7340400</v>
      </c>
    </row>
    <row r="13081" spans="1:2" x14ac:dyDescent="0.4">
      <c r="A13081" s="4">
        <v>2000000</v>
      </c>
      <c r="B13081">
        <v>7340500</v>
      </c>
    </row>
    <row r="13082" spans="1:2" x14ac:dyDescent="0.4">
      <c r="A13082" s="4">
        <v>2000000</v>
      </c>
      <c r="B13082">
        <v>7340600</v>
      </c>
    </row>
    <row r="13083" spans="1:2" x14ac:dyDescent="0.4">
      <c r="A13083" s="4">
        <v>2000000</v>
      </c>
      <c r="B13083">
        <v>7340700</v>
      </c>
    </row>
    <row r="13084" spans="1:2" x14ac:dyDescent="0.4">
      <c r="A13084" s="4">
        <v>2000000</v>
      </c>
      <c r="B13084">
        <v>7340800</v>
      </c>
    </row>
    <row r="13085" spans="1:2" x14ac:dyDescent="0.4">
      <c r="A13085" s="4">
        <v>2000000</v>
      </c>
      <c r="B13085">
        <v>7340900</v>
      </c>
    </row>
    <row r="13086" spans="1:2" x14ac:dyDescent="0.4">
      <c r="A13086" s="4">
        <v>2000000</v>
      </c>
      <c r="B13086">
        <v>7341000</v>
      </c>
    </row>
    <row r="13087" spans="1:2" x14ac:dyDescent="0.4">
      <c r="A13087" s="4">
        <v>2000000</v>
      </c>
      <c r="B13087">
        <v>7341100</v>
      </c>
    </row>
    <row r="13088" spans="1:2" x14ac:dyDescent="0.4">
      <c r="A13088" s="4">
        <v>2000000</v>
      </c>
      <c r="B13088">
        <v>7341200</v>
      </c>
    </row>
    <row r="13089" spans="1:2" x14ac:dyDescent="0.4">
      <c r="A13089" s="4">
        <v>2000000</v>
      </c>
      <c r="B13089">
        <v>7341300</v>
      </c>
    </row>
    <row r="13090" spans="1:2" x14ac:dyDescent="0.4">
      <c r="A13090" s="4">
        <v>2000000</v>
      </c>
      <c r="B13090">
        <v>7341400</v>
      </c>
    </row>
    <row r="13091" spans="1:2" x14ac:dyDescent="0.4">
      <c r="A13091" s="4">
        <v>2000000</v>
      </c>
      <c r="B13091">
        <v>7341500</v>
      </c>
    </row>
    <row r="13092" spans="1:2" x14ac:dyDescent="0.4">
      <c r="A13092" s="4">
        <v>2000000</v>
      </c>
      <c r="B13092">
        <v>7341700</v>
      </c>
    </row>
    <row r="13093" spans="1:2" x14ac:dyDescent="0.4">
      <c r="A13093" s="4">
        <v>2000000</v>
      </c>
      <c r="B13093">
        <v>7341800</v>
      </c>
    </row>
    <row r="13094" spans="1:2" x14ac:dyDescent="0.4">
      <c r="A13094" s="4">
        <v>2000000</v>
      </c>
      <c r="B13094">
        <v>7341900</v>
      </c>
    </row>
    <row r="13095" spans="1:2" x14ac:dyDescent="0.4">
      <c r="A13095" s="4">
        <v>2000000</v>
      </c>
      <c r="B13095">
        <v>7342000</v>
      </c>
    </row>
    <row r="13096" spans="1:2" x14ac:dyDescent="0.4">
      <c r="A13096" s="4">
        <v>2000000</v>
      </c>
      <c r="B13096">
        <v>7342100</v>
      </c>
    </row>
    <row r="13097" spans="1:2" x14ac:dyDescent="0.4">
      <c r="A13097" s="4">
        <v>2000000</v>
      </c>
      <c r="B13097">
        <v>7342200</v>
      </c>
    </row>
    <row r="13098" spans="1:2" x14ac:dyDescent="0.4">
      <c r="A13098" s="4">
        <v>2000000</v>
      </c>
      <c r="B13098">
        <v>7342300</v>
      </c>
    </row>
    <row r="13099" spans="1:2" x14ac:dyDescent="0.4">
      <c r="A13099" s="4">
        <v>2000000</v>
      </c>
      <c r="B13099">
        <v>7342400</v>
      </c>
    </row>
    <row r="13100" spans="1:2" x14ac:dyDescent="0.4">
      <c r="A13100" s="4">
        <v>2000000</v>
      </c>
      <c r="B13100">
        <v>7350000</v>
      </c>
    </row>
    <row r="13101" spans="1:2" x14ac:dyDescent="0.4">
      <c r="A13101" s="4">
        <v>2000000</v>
      </c>
      <c r="B13101">
        <v>7350100</v>
      </c>
    </row>
    <row r="13102" spans="1:2" x14ac:dyDescent="0.4">
      <c r="A13102" s="4">
        <v>2000000</v>
      </c>
      <c r="B13102">
        <v>7350200</v>
      </c>
    </row>
    <row r="13103" spans="1:2" x14ac:dyDescent="0.4">
      <c r="A13103" s="4">
        <v>2000000</v>
      </c>
      <c r="B13103">
        <v>7350300</v>
      </c>
    </row>
    <row r="13104" spans="1:2" x14ac:dyDescent="0.4">
      <c r="A13104" s="4">
        <v>2000000</v>
      </c>
      <c r="B13104">
        <v>7350400</v>
      </c>
    </row>
    <row r="13105" spans="1:2" x14ac:dyDescent="0.4">
      <c r="A13105" s="4">
        <v>2000000</v>
      </c>
      <c r="B13105">
        <v>7350500</v>
      </c>
    </row>
    <row r="13106" spans="1:2" x14ac:dyDescent="0.4">
      <c r="A13106" s="4">
        <v>2000000</v>
      </c>
      <c r="B13106">
        <v>7350600</v>
      </c>
    </row>
    <row r="13107" spans="1:2" x14ac:dyDescent="0.4">
      <c r="A13107" s="4">
        <v>2000000</v>
      </c>
      <c r="B13107">
        <v>7350700</v>
      </c>
    </row>
    <row r="13108" spans="1:2" x14ac:dyDescent="0.4">
      <c r="A13108" s="4">
        <v>2000000</v>
      </c>
      <c r="B13108">
        <v>7350800</v>
      </c>
    </row>
    <row r="13109" spans="1:2" x14ac:dyDescent="0.4">
      <c r="A13109" s="4">
        <v>2000000</v>
      </c>
      <c r="B13109">
        <v>7350900</v>
      </c>
    </row>
    <row r="13110" spans="1:2" x14ac:dyDescent="0.4">
      <c r="A13110" s="4">
        <v>2000000</v>
      </c>
      <c r="B13110">
        <v>7351000</v>
      </c>
    </row>
    <row r="13111" spans="1:2" x14ac:dyDescent="0.4">
      <c r="A13111" s="4">
        <v>2000000</v>
      </c>
      <c r="B13111">
        <v>7351100</v>
      </c>
    </row>
    <row r="13112" spans="1:2" x14ac:dyDescent="0.4">
      <c r="A13112" s="4">
        <v>2000000</v>
      </c>
      <c r="B13112">
        <v>7351200</v>
      </c>
    </row>
    <row r="13113" spans="1:2" x14ac:dyDescent="0.4">
      <c r="A13113" s="4">
        <v>2000000</v>
      </c>
      <c r="B13113">
        <v>7351300</v>
      </c>
    </row>
    <row r="13114" spans="1:2" x14ac:dyDescent="0.4">
      <c r="A13114" s="4">
        <v>2000000</v>
      </c>
      <c r="B13114">
        <v>7351400</v>
      </c>
    </row>
    <row r="13115" spans="1:2" x14ac:dyDescent="0.4">
      <c r="A13115" s="4">
        <v>2000000</v>
      </c>
      <c r="B13115">
        <v>7351500</v>
      </c>
    </row>
    <row r="13116" spans="1:2" x14ac:dyDescent="0.4">
      <c r="A13116" s="4">
        <v>2000000</v>
      </c>
      <c r="B13116">
        <v>7351700</v>
      </c>
    </row>
    <row r="13117" spans="1:2" x14ac:dyDescent="0.4">
      <c r="A13117" s="4">
        <v>2000000</v>
      </c>
      <c r="B13117">
        <v>7351800</v>
      </c>
    </row>
    <row r="13118" spans="1:2" x14ac:dyDescent="0.4">
      <c r="A13118" s="4">
        <v>2000000</v>
      </c>
      <c r="B13118">
        <v>7351900</v>
      </c>
    </row>
    <row r="13119" spans="1:2" x14ac:dyDescent="0.4">
      <c r="A13119" s="4">
        <v>2000000</v>
      </c>
      <c r="B13119">
        <v>7352000</v>
      </c>
    </row>
    <row r="13120" spans="1:2" x14ac:dyDescent="0.4">
      <c r="A13120" s="4">
        <v>2000000</v>
      </c>
      <c r="B13120">
        <v>7352100</v>
      </c>
    </row>
    <row r="13121" spans="1:2" x14ac:dyDescent="0.4">
      <c r="A13121" s="4">
        <v>2000000</v>
      </c>
      <c r="B13121">
        <v>7352200</v>
      </c>
    </row>
    <row r="13122" spans="1:2" x14ac:dyDescent="0.4">
      <c r="A13122" s="4">
        <v>2000000</v>
      </c>
      <c r="B13122">
        <v>7352300</v>
      </c>
    </row>
    <row r="13123" spans="1:2" x14ac:dyDescent="0.4">
      <c r="A13123" s="4">
        <v>2000000</v>
      </c>
      <c r="B13123">
        <v>7352400</v>
      </c>
    </row>
    <row r="13124" spans="1:2" x14ac:dyDescent="0.4">
      <c r="A13124" s="4">
        <v>2000000</v>
      </c>
      <c r="B13124">
        <v>6001400</v>
      </c>
    </row>
    <row r="13125" spans="1:2" x14ac:dyDescent="0.4">
      <c r="A13125" s="4">
        <v>2000000</v>
      </c>
      <c r="B13125">
        <v>6001401</v>
      </c>
    </row>
    <row r="13126" spans="1:2" x14ac:dyDescent="0.4">
      <c r="A13126" s="4">
        <v>2000000</v>
      </c>
      <c r="B13126">
        <v>6001500</v>
      </c>
    </row>
    <row r="13127" spans="1:2" x14ac:dyDescent="0.4">
      <c r="A13127" s="4">
        <v>2000000</v>
      </c>
      <c r="B13127">
        <v>6001501</v>
      </c>
    </row>
    <row r="13128" spans="1:2" x14ac:dyDescent="0.4">
      <c r="A13128" s="4">
        <v>2000000</v>
      </c>
      <c r="B13128">
        <v>6001600</v>
      </c>
    </row>
    <row r="13129" spans="1:2" x14ac:dyDescent="0.4">
      <c r="A13129" s="4">
        <v>2000000</v>
      </c>
      <c r="B13129">
        <v>6001601</v>
      </c>
    </row>
    <row r="13130" spans="1:2" x14ac:dyDescent="0.4">
      <c r="A13130" s="4">
        <v>2000000</v>
      </c>
      <c r="B13130">
        <v>6001700</v>
      </c>
    </row>
    <row r="13131" spans="1:2" x14ac:dyDescent="0.4">
      <c r="A13131" s="4">
        <v>2000000</v>
      </c>
      <c r="B13131">
        <v>6001701</v>
      </c>
    </row>
    <row r="13132" spans="1:2" x14ac:dyDescent="0.4">
      <c r="A13132" s="4">
        <v>2000000</v>
      </c>
      <c r="B13132">
        <v>6001800</v>
      </c>
    </row>
    <row r="13133" spans="1:2" x14ac:dyDescent="0.4">
      <c r="A13133" s="4">
        <v>2000000</v>
      </c>
      <c r="B13133">
        <v>6001801</v>
      </c>
    </row>
    <row r="13134" spans="1:2" x14ac:dyDescent="0.4">
      <c r="A13134" s="4">
        <v>2000000</v>
      </c>
      <c r="B13134">
        <v>6002600</v>
      </c>
    </row>
    <row r="13135" spans="1:2" x14ac:dyDescent="0.4">
      <c r="A13135" s="4">
        <v>2000000</v>
      </c>
      <c r="B13135">
        <v>6002601</v>
      </c>
    </row>
    <row r="13136" spans="1:2" x14ac:dyDescent="0.4">
      <c r="A13136" s="4">
        <v>2000000</v>
      </c>
      <c r="B13136">
        <v>6002700</v>
      </c>
    </row>
    <row r="13137" spans="1:2" x14ac:dyDescent="0.4">
      <c r="A13137" s="4">
        <v>2000000</v>
      </c>
      <c r="B13137">
        <v>6002701</v>
      </c>
    </row>
    <row r="13138" spans="1:2" x14ac:dyDescent="0.4">
      <c r="A13138" s="4">
        <v>2000000</v>
      </c>
      <c r="B13138">
        <v>6002800</v>
      </c>
    </row>
    <row r="13139" spans="1:2" x14ac:dyDescent="0.4">
      <c r="A13139" s="4">
        <v>2000000</v>
      </c>
      <c r="B13139">
        <v>6002801</v>
      </c>
    </row>
    <row r="13140" spans="1:2" x14ac:dyDescent="0.4">
      <c r="A13140" s="4">
        <v>2000000</v>
      </c>
      <c r="B13140">
        <v>6002900</v>
      </c>
    </row>
    <row r="13141" spans="1:2" x14ac:dyDescent="0.4">
      <c r="A13141" s="4">
        <v>2000000</v>
      </c>
      <c r="B13141">
        <v>6002901</v>
      </c>
    </row>
    <row r="13142" spans="1:2" x14ac:dyDescent="0.4">
      <c r="A13142" s="4">
        <v>2000000</v>
      </c>
      <c r="B13142">
        <v>6003000</v>
      </c>
    </row>
    <row r="13143" spans="1:2" x14ac:dyDescent="0.4">
      <c r="A13143" s="4">
        <v>2000000</v>
      </c>
      <c r="B13143">
        <v>6003001</v>
      </c>
    </row>
    <row r="13144" spans="1:2" x14ac:dyDescent="0.4">
      <c r="A13144" s="4">
        <v>2000000</v>
      </c>
      <c r="B13144">
        <v>6003100</v>
      </c>
    </row>
    <row r="13145" spans="1:2" x14ac:dyDescent="0.4">
      <c r="A13145" s="4">
        <v>2000000</v>
      </c>
      <c r="B13145">
        <v>6003101</v>
      </c>
    </row>
    <row r="13146" spans="1:2" x14ac:dyDescent="0.4">
      <c r="A13146" s="4">
        <v>2000000</v>
      </c>
      <c r="B13146">
        <v>6003200</v>
      </c>
    </row>
    <row r="13147" spans="1:2" x14ac:dyDescent="0.4">
      <c r="A13147" s="4">
        <v>2000000</v>
      </c>
      <c r="B13147">
        <v>6003201</v>
      </c>
    </row>
    <row r="13148" spans="1:2" x14ac:dyDescent="0.4">
      <c r="A13148" s="4">
        <v>2000000</v>
      </c>
      <c r="B13148">
        <v>6003300</v>
      </c>
    </row>
    <row r="13149" spans="1:2" x14ac:dyDescent="0.4">
      <c r="A13149" s="4">
        <v>2000000</v>
      </c>
      <c r="B13149">
        <v>6003301</v>
      </c>
    </row>
    <row r="13150" spans="1:2" x14ac:dyDescent="0.4">
      <c r="A13150" s="4">
        <v>2000000</v>
      </c>
      <c r="B13150">
        <v>6003400</v>
      </c>
    </row>
    <row r="13151" spans="1:2" x14ac:dyDescent="0.4">
      <c r="A13151" s="4">
        <v>2000000</v>
      </c>
      <c r="B13151">
        <v>6003401</v>
      </c>
    </row>
    <row r="13152" spans="1:2" x14ac:dyDescent="0.4">
      <c r="A13152" s="4">
        <v>2000000</v>
      </c>
      <c r="B13152">
        <v>6003500</v>
      </c>
    </row>
    <row r="13153" spans="1:2" x14ac:dyDescent="0.4">
      <c r="A13153" s="4">
        <v>2000000</v>
      </c>
      <c r="B13153">
        <v>6003501</v>
      </c>
    </row>
    <row r="13154" spans="1:2" x14ac:dyDescent="0.4">
      <c r="A13154" s="4">
        <v>2000000</v>
      </c>
      <c r="B13154">
        <v>6003600</v>
      </c>
    </row>
    <row r="13155" spans="1:2" x14ac:dyDescent="0.4">
      <c r="A13155" s="4">
        <v>2000000</v>
      </c>
      <c r="B13155">
        <v>6003601</v>
      </c>
    </row>
    <row r="13156" spans="1:2" x14ac:dyDescent="0.4">
      <c r="A13156" s="4">
        <v>2000000</v>
      </c>
      <c r="B13156">
        <v>6005600</v>
      </c>
    </row>
    <row r="13157" spans="1:2" x14ac:dyDescent="0.4">
      <c r="A13157" s="4">
        <v>2000000</v>
      </c>
      <c r="B13157">
        <v>6005601</v>
      </c>
    </row>
    <row r="13158" spans="1:2" x14ac:dyDescent="0.4">
      <c r="A13158" s="4">
        <v>2000000</v>
      </c>
      <c r="B13158">
        <v>6030200</v>
      </c>
    </row>
    <row r="13159" spans="1:2" x14ac:dyDescent="0.4">
      <c r="A13159" s="4">
        <v>2000000</v>
      </c>
      <c r="B13159">
        <v>6030201</v>
      </c>
    </row>
    <row r="13160" spans="1:2" x14ac:dyDescent="0.4">
      <c r="A13160" s="4">
        <v>2000000</v>
      </c>
      <c r="B13160">
        <v>6030600</v>
      </c>
    </row>
    <row r="13161" spans="1:2" x14ac:dyDescent="0.4">
      <c r="A13161" s="4">
        <v>2000000</v>
      </c>
      <c r="B13161">
        <v>6030800</v>
      </c>
    </row>
    <row r="13162" spans="1:2" x14ac:dyDescent="0.4">
      <c r="A13162" s="4">
        <v>2000000</v>
      </c>
      <c r="B13162">
        <v>6030900</v>
      </c>
    </row>
    <row r="13163" spans="1:2" x14ac:dyDescent="0.4">
      <c r="A13163" s="4">
        <v>2000000</v>
      </c>
      <c r="B13163">
        <v>6030901</v>
      </c>
    </row>
    <row r="13164" spans="1:2" x14ac:dyDescent="0.4">
      <c r="A13164" s="4">
        <v>2000000</v>
      </c>
      <c r="B13164">
        <v>6035100</v>
      </c>
    </row>
    <row r="13165" spans="1:2" x14ac:dyDescent="0.4">
      <c r="A13165" s="4">
        <v>2000000</v>
      </c>
      <c r="B13165">
        <v>6035101</v>
      </c>
    </row>
    <row r="13166" spans="1:2" x14ac:dyDescent="0.4">
      <c r="A13166" s="4">
        <v>2000000</v>
      </c>
      <c r="B13166">
        <v>6040100</v>
      </c>
    </row>
    <row r="13167" spans="1:2" x14ac:dyDescent="0.4">
      <c r="A13167" s="4">
        <v>2000000</v>
      </c>
      <c r="B13167">
        <v>6040101</v>
      </c>
    </row>
    <row r="13168" spans="1:2" x14ac:dyDescent="0.4">
      <c r="A13168" s="4">
        <v>2000000</v>
      </c>
      <c r="B13168">
        <v>6040300</v>
      </c>
    </row>
    <row r="13169" spans="1:2" x14ac:dyDescent="0.4">
      <c r="A13169" s="4">
        <v>2000000</v>
      </c>
      <c r="B13169">
        <v>6040301</v>
      </c>
    </row>
    <row r="13170" spans="1:2" x14ac:dyDescent="0.4">
      <c r="A13170" s="4">
        <v>2000000</v>
      </c>
      <c r="B13170">
        <v>6040400</v>
      </c>
    </row>
    <row r="13171" spans="1:2" x14ac:dyDescent="0.4">
      <c r="A13171" s="4">
        <v>2000000</v>
      </c>
      <c r="B13171">
        <v>6040401</v>
      </c>
    </row>
    <row r="13172" spans="1:2" x14ac:dyDescent="0.4">
      <c r="A13172" s="4">
        <v>2000000</v>
      </c>
      <c r="B13172">
        <v>6040500</v>
      </c>
    </row>
    <row r="13173" spans="1:2" x14ac:dyDescent="0.4">
      <c r="A13173" s="4">
        <v>2000000</v>
      </c>
      <c r="B13173">
        <v>6040501</v>
      </c>
    </row>
    <row r="13174" spans="1:2" x14ac:dyDescent="0.4">
      <c r="A13174" s="4">
        <v>2000000</v>
      </c>
      <c r="B13174">
        <v>6043100</v>
      </c>
    </row>
    <row r="13175" spans="1:2" x14ac:dyDescent="0.4">
      <c r="A13175" s="4">
        <v>2000000</v>
      </c>
      <c r="B13175">
        <v>6043101</v>
      </c>
    </row>
    <row r="13176" spans="1:2" x14ac:dyDescent="0.4">
      <c r="A13176" s="4">
        <v>2000000</v>
      </c>
      <c r="B13176">
        <v>6060300</v>
      </c>
    </row>
    <row r="13177" spans="1:2" x14ac:dyDescent="0.4">
      <c r="A13177" s="4">
        <v>2000000</v>
      </c>
      <c r="B13177">
        <v>6060400</v>
      </c>
    </row>
    <row r="13178" spans="1:2" x14ac:dyDescent="0.4">
      <c r="A13178" s="4">
        <v>2000000</v>
      </c>
      <c r="B13178">
        <v>6060500</v>
      </c>
    </row>
    <row r="13179" spans="1:2" x14ac:dyDescent="0.4">
      <c r="A13179" s="4">
        <v>2000000</v>
      </c>
      <c r="B13179">
        <v>6060600</v>
      </c>
    </row>
    <row r="13180" spans="1:2" x14ac:dyDescent="0.4">
      <c r="A13180" s="4">
        <v>2000000</v>
      </c>
      <c r="B13180">
        <v>6090000</v>
      </c>
    </row>
    <row r="13181" spans="1:2" x14ac:dyDescent="0.4">
      <c r="A13181" s="4">
        <v>2000000</v>
      </c>
      <c r="B13181">
        <v>6160000</v>
      </c>
    </row>
    <row r="13182" spans="1:2" x14ac:dyDescent="0.4">
      <c r="A13182" s="4">
        <v>2000000</v>
      </c>
      <c r="B13182">
        <v>6260000</v>
      </c>
    </row>
    <row r="13183" spans="1:2" x14ac:dyDescent="0.4">
      <c r="A13183" s="4">
        <v>2000000</v>
      </c>
      <c r="B13183">
        <v>6260001</v>
      </c>
    </row>
    <row r="13184" spans="1:2" x14ac:dyDescent="0.4">
      <c r="A13184" s="4">
        <v>2000000</v>
      </c>
      <c r="B13184">
        <v>6260300</v>
      </c>
    </row>
    <row r="13185" spans="1:2" x14ac:dyDescent="0.4">
      <c r="A13185" s="4">
        <v>2000000</v>
      </c>
      <c r="B13185">
        <v>6260301</v>
      </c>
    </row>
    <row r="13186" spans="1:2" x14ac:dyDescent="0.4">
      <c r="A13186" s="4">
        <v>2000000</v>
      </c>
      <c r="B13186">
        <v>6260400</v>
      </c>
    </row>
    <row r="13187" spans="1:2" x14ac:dyDescent="0.4">
      <c r="A13187" s="4">
        <v>2000000</v>
      </c>
      <c r="B13187">
        <v>6260401</v>
      </c>
    </row>
    <row r="13188" spans="1:2" x14ac:dyDescent="0.4">
      <c r="A13188" s="4">
        <v>2000000</v>
      </c>
      <c r="B13188">
        <v>6500000</v>
      </c>
    </row>
    <row r="13189" spans="1:2" x14ac:dyDescent="0.4">
      <c r="A13189" s="4">
        <v>2000000</v>
      </c>
      <c r="B13189">
        <v>6500100</v>
      </c>
    </row>
    <row r="13190" spans="1:2" x14ac:dyDescent="0.4">
      <c r="A13190" s="4">
        <v>2000000</v>
      </c>
      <c r="B13190">
        <v>6500200</v>
      </c>
    </row>
    <row r="13191" spans="1:2" x14ac:dyDescent="0.4">
      <c r="A13191" s="4">
        <v>2000000</v>
      </c>
      <c r="B13191">
        <v>6500300</v>
      </c>
    </row>
    <row r="13192" spans="1:2" x14ac:dyDescent="0.4">
      <c r="A13192" s="4">
        <v>2000000</v>
      </c>
      <c r="B13192">
        <v>6500400</v>
      </c>
    </row>
    <row r="13193" spans="1:2" x14ac:dyDescent="0.4">
      <c r="A13193" s="4">
        <v>2000000</v>
      </c>
      <c r="B13193">
        <v>6500500</v>
      </c>
    </row>
    <row r="13194" spans="1:2" x14ac:dyDescent="0.4">
      <c r="A13194" s="4">
        <v>2000000</v>
      </c>
      <c r="B13194">
        <v>6500600</v>
      </c>
    </row>
    <row r="13195" spans="1:2" x14ac:dyDescent="0.4">
      <c r="A13195" s="4">
        <v>2000000</v>
      </c>
      <c r="B13195">
        <v>6500700</v>
      </c>
    </row>
    <row r="13196" spans="1:2" x14ac:dyDescent="0.4">
      <c r="A13196" s="4">
        <v>2000000</v>
      </c>
      <c r="B13196">
        <v>6600000</v>
      </c>
    </row>
    <row r="13197" spans="1:2" x14ac:dyDescent="0.4">
      <c r="A13197" s="4">
        <v>2000000</v>
      </c>
      <c r="B13197">
        <v>6600001</v>
      </c>
    </row>
    <row r="13198" spans="1:2" x14ac:dyDescent="0.4">
      <c r="A13198" s="4">
        <v>2000000</v>
      </c>
      <c r="B13198">
        <v>6600100</v>
      </c>
    </row>
    <row r="13199" spans="1:2" x14ac:dyDescent="0.4">
      <c r="A13199" s="4">
        <v>2000000</v>
      </c>
      <c r="B13199">
        <v>6600101</v>
      </c>
    </row>
    <row r="13200" spans="1:2" x14ac:dyDescent="0.4">
      <c r="A13200" s="4">
        <v>2000000</v>
      </c>
      <c r="B13200">
        <v>6610400</v>
      </c>
    </row>
    <row r="13201" spans="1:2" x14ac:dyDescent="0.4">
      <c r="A13201" s="4">
        <v>2000000</v>
      </c>
      <c r="B13201">
        <v>6610500</v>
      </c>
    </row>
    <row r="13202" spans="1:2" x14ac:dyDescent="0.4">
      <c r="A13202" s="4">
        <v>2000000</v>
      </c>
      <c r="B13202">
        <v>6610600</v>
      </c>
    </row>
    <row r="13203" spans="1:2" x14ac:dyDescent="0.4">
      <c r="A13203" s="4">
        <v>2000000</v>
      </c>
      <c r="B13203">
        <v>6610700</v>
      </c>
    </row>
    <row r="13204" spans="1:2" x14ac:dyDescent="0.4">
      <c r="A13204" s="4">
        <v>2000000</v>
      </c>
      <c r="B13204">
        <v>6610701</v>
      </c>
    </row>
    <row r="13205" spans="1:2" x14ac:dyDescent="0.4">
      <c r="A13205" s="4">
        <v>2000000</v>
      </c>
      <c r="B13205">
        <v>6610702</v>
      </c>
    </row>
    <row r="13206" spans="1:2" x14ac:dyDescent="0.4">
      <c r="A13206" s="4">
        <v>2000000</v>
      </c>
      <c r="B13206">
        <v>6610800</v>
      </c>
    </row>
    <row r="13207" spans="1:2" x14ac:dyDescent="0.4">
      <c r="A13207" s="4">
        <v>2000000</v>
      </c>
      <c r="B13207">
        <v>6610801</v>
      </c>
    </row>
    <row r="13208" spans="1:2" x14ac:dyDescent="0.4">
      <c r="A13208" s="4">
        <v>2000000</v>
      </c>
      <c r="B13208">
        <v>6610802</v>
      </c>
    </row>
    <row r="13209" spans="1:2" x14ac:dyDescent="0.4">
      <c r="A13209" s="4">
        <v>2000000</v>
      </c>
      <c r="B13209">
        <v>7006200</v>
      </c>
    </row>
    <row r="13210" spans="1:2" x14ac:dyDescent="0.4">
      <c r="A13210" s="4">
        <v>2000000</v>
      </c>
      <c r="B13210">
        <v>6611001</v>
      </c>
    </row>
    <row r="13211" spans="1:2" x14ac:dyDescent="0.4">
      <c r="A13211" s="4">
        <v>2000000</v>
      </c>
      <c r="B13211">
        <v>6611002</v>
      </c>
    </row>
    <row r="13212" spans="1:2" x14ac:dyDescent="0.4">
      <c r="A13212" s="4">
        <v>2000000</v>
      </c>
      <c r="B13212">
        <v>6611100</v>
      </c>
    </row>
    <row r="13213" spans="1:2" x14ac:dyDescent="0.4">
      <c r="A13213" s="4">
        <v>2000000</v>
      </c>
      <c r="B13213">
        <v>6611101</v>
      </c>
    </row>
    <row r="13214" spans="1:2" x14ac:dyDescent="0.4">
      <c r="A13214" s="4">
        <v>2000000</v>
      </c>
      <c r="B13214">
        <v>6611102</v>
      </c>
    </row>
    <row r="13215" spans="1:2" x14ac:dyDescent="0.4">
      <c r="A13215" s="4">
        <v>2000000</v>
      </c>
      <c r="B13215">
        <v>6611200</v>
      </c>
    </row>
    <row r="13216" spans="1:2" x14ac:dyDescent="0.4">
      <c r="A13216" s="4">
        <v>2000000</v>
      </c>
      <c r="B13216">
        <v>6611201</v>
      </c>
    </row>
    <row r="13217" spans="1:2" x14ac:dyDescent="0.4">
      <c r="A13217" s="4">
        <v>2000000</v>
      </c>
      <c r="B13217">
        <v>6611202</v>
      </c>
    </row>
    <row r="13218" spans="1:2" x14ac:dyDescent="0.4">
      <c r="A13218" s="4">
        <v>2000000</v>
      </c>
      <c r="B13218">
        <v>6611300</v>
      </c>
    </row>
    <row r="13219" spans="1:2" x14ac:dyDescent="0.4">
      <c r="A13219" s="4">
        <v>2000000</v>
      </c>
      <c r="B13219">
        <v>6611301</v>
      </c>
    </row>
    <row r="13220" spans="1:2" x14ac:dyDescent="0.4">
      <c r="A13220" s="4">
        <v>2000000</v>
      </c>
      <c r="B13220">
        <v>6611302</v>
      </c>
    </row>
    <row r="13221" spans="1:2" x14ac:dyDescent="0.4">
      <c r="A13221" s="4">
        <v>2000000</v>
      </c>
      <c r="B13221">
        <v>6611400</v>
      </c>
    </row>
    <row r="13222" spans="1:2" x14ac:dyDescent="0.4">
      <c r="A13222" s="4">
        <v>2000000</v>
      </c>
      <c r="B13222">
        <v>6621000</v>
      </c>
    </row>
    <row r="13223" spans="1:2" x14ac:dyDescent="0.4">
      <c r="A13223" s="4">
        <v>2000000</v>
      </c>
      <c r="B13223">
        <v>6621100</v>
      </c>
    </row>
    <row r="13224" spans="1:2" x14ac:dyDescent="0.4">
      <c r="A13224" s="4">
        <v>2000000</v>
      </c>
      <c r="B13224">
        <v>6621200</v>
      </c>
    </row>
    <row r="13225" spans="1:2" x14ac:dyDescent="0.4">
      <c r="A13225" s="4">
        <v>2000000</v>
      </c>
      <c r="B13225">
        <v>6621300</v>
      </c>
    </row>
    <row r="13226" spans="1:2" x14ac:dyDescent="0.4">
      <c r="A13226" s="4">
        <v>2000000</v>
      </c>
      <c r="B13226">
        <v>6621400</v>
      </c>
    </row>
    <row r="13227" spans="1:2" x14ac:dyDescent="0.4">
      <c r="A13227" s="4">
        <v>2000000</v>
      </c>
      <c r="B13227">
        <v>6621500</v>
      </c>
    </row>
    <row r="13228" spans="1:2" x14ac:dyDescent="0.4">
      <c r="A13228" s="4">
        <v>2000000</v>
      </c>
      <c r="B13228">
        <v>6621600</v>
      </c>
    </row>
    <row r="13229" spans="1:2" x14ac:dyDescent="0.4">
      <c r="A13229" s="4">
        <v>2000000</v>
      </c>
      <c r="B13229">
        <v>6621700</v>
      </c>
    </row>
    <row r="13230" spans="1:2" x14ac:dyDescent="0.4">
      <c r="A13230" s="4">
        <v>2000000</v>
      </c>
      <c r="B13230">
        <v>6621800</v>
      </c>
    </row>
    <row r="13231" spans="1:2" x14ac:dyDescent="0.4">
      <c r="A13231" s="4">
        <v>2000000</v>
      </c>
      <c r="B13231">
        <v>6621900</v>
      </c>
    </row>
    <row r="13232" spans="1:2" x14ac:dyDescent="0.4">
      <c r="A13232" s="4">
        <v>2000000</v>
      </c>
      <c r="B13232">
        <v>6622000</v>
      </c>
    </row>
    <row r="13233" spans="1:2" x14ac:dyDescent="0.4">
      <c r="A13233" s="4">
        <v>2000000</v>
      </c>
      <c r="B13233">
        <v>6622100</v>
      </c>
    </row>
    <row r="13234" spans="1:2" x14ac:dyDescent="0.4">
      <c r="A13234" s="4">
        <v>2000000</v>
      </c>
      <c r="B13234">
        <v>6622200</v>
      </c>
    </row>
    <row r="13235" spans="1:2" x14ac:dyDescent="0.4">
      <c r="A13235" s="4">
        <v>2000000</v>
      </c>
      <c r="B13235">
        <v>6622300</v>
      </c>
    </row>
    <row r="13236" spans="1:2" x14ac:dyDescent="0.4">
      <c r="A13236" s="4">
        <v>2000000</v>
      </c>
      <c r="B13236">
        <v>6622400</v>
      </c>
    </row>
    <row r="13237" spans="1:2" x14ac:dyDescent="0.4">
      <c r="A13237" s="4">
        <v>2000000</v>
      </c>
      <c r="B13237">
        <v>6622500</v>
      </c>
    </row>
    <row r="13238" spans="1:2" x14ac:dyDescent="0.4">
      <c r="A13238" s="4">
        <v>2000000</v>
      </c>
      <c r="B13238">
        <v>6622600</v>
      </c>
    </row>
    <row r="13239" spans="1:2" x14ac:dyDescent="0.4">
      <c r="A13239" s="4">
        <v>2000000</v>
      </c>
      <c r="B13239">
        <v>6622700</v>
      </c>
    </row>
    <row r="13240" spans="1:2" x14ac:dyDescent="0.4">
      <c r="A13240" s="4">
        <v>2000000</v>
      </c>
      <c r="B13240">
        <v>6622800</v>
      </c>
    </row>
    <row r="13241" spans="1:2" x14ac:dyDescent="0.4">
      <c r="A13241" s="4">
        <v>2000000</v>
      </c>
      <c r="B13241">
        <v>6622900</v>
      </c>
    </row>
    <row r="13242" spans="1:2" x14ac:dyDescent="0.4">
      <c r="A13242" s="4">
        <v>2000000</v>
      </c>
      <c r="B13242">
        <v>6623000</v>
      </c>
    </row>
    <row r="13243" spans="1:2" x14ac:dyDescent="0.4">
      <c r="A13243" s="4">
        <v>2000000</v>
      </c>
      <c r="B13243">
        <v>6623100</v>
      </c>
    </row>
    <row r="13244" spans="1:2" x14ac:dyDescent="0.4">
      <c r="A13244" s="4">
        <v>2000000</v>
      </c>
      <c r="B13244">
        <v>6623200</v>
      </c>
    </row>
    <row r="13245" spans="1:2" x14ac:dyDescent="0.4">
      <c r="A13245" s="4">
        <v>2000000</v>
      </c>
      <c r="B13245">
        <v>6624000</v>
      </c>
    </row>
    <row r="13246" spans="1:2" x14ac:dyDescent="0.4">
      <c r="A13246" s="4">
        <v>2000000</v>
      </c>
      <c r="B13246">
        <v>6624100</v>
      </c>
    </row>
    <row r="13247" spans="1:2" x14ac:dyDescent="0.4">
      <c r="A13247" s="4">
        <v>2000000</v>
      </c>
      <c r="B13247">
        <v>6624200</v>
      </c>
    </row>
    <row r="13248" spans="1:2" x14ac:dyDescent="0.4">
      <c r="A13248" s="4">
        <v>2000000</v>
      </c>
      <c r="B13248">
        <v>6624300</v>
      </c>
    </row>
    <row r="13249" spans="1:2" x14ac:dyDescent="0.4">
      <c r="A13249" s="4">
        <v>2000000</v>
      </c>
      <c r="B13249">
        <v>6624400</v>
      </c>
    </row>
    <row r="13250" spans="1:2" x14ac:dyDescent="0.4">
      <c r="A13250" s="4">
        <v>2000000</v>
      </c>
      <c r="B13250">
        <v>6624500</v>
      </c>
    </row>
    <row r="13251" spans="1:2" x14ac:dyDescent="0.4">
      <c r="A13251" s="4">
        <v>2000000</v>
      </c>
      <c r="B13251">
        <v>6630000</v>
      </c>
    </row>
    <row r="13252" spans="1:2" x14ac:dyDescent="0.4">
      <c r="A13252" s="4">
        <v>2000000</v>
      </c>
      <c r="B13252">
        <v>6630100</v>
      </c>
    </row>
    <row r="13253" spans="1:2" x14ac:dyDescent="0.4">
      <c r="A13253" s="4">
        <v>2000000</v>
      </c>
      <c r="B13253">
        <v>6630200</v>
      </c>
    </row>
    <row r="13254" spans="1:2" x14ac:dyDescent="0.4">
      <c r="A13254" s="4">
        <v>2000000</v>
      </c>
      <c r="B13254">
        <v>6630300</v>
      </c>
    </row>
    <row r="13255" spans="1:2" x14ac:dyDescent="0.4">
      <c r="A13255" s="4">
        <v>2000000</v>
      </c>
      <c r="B13255">
        <v>6630400</v>
      </c>
    </row>
    <row r="13256" spans="1:2" x14ac:dyDescent="0.4">
      <c r="A13256" s="4">
        <v>2000000</v>
      </c>
      <c r="B13256">
        <v>6630500</v>
      </c>
    </row>
    <row r="13257" spans="1:2" x14ac:dyDescent="0.4">
      <c r="A13257" s="4">
        <v>2000000</v>
      </c>
      <c r="B13257">
        <v>6630600</v>
      </c>
    </row>
    <row r="13258" spans="1:2" x14ac:dyDescent="0.4">
      <c r="A13258" s="4">
        <v>2000000</v>
      </c>
      <c r="B13258">
        <v>6630700</v>
      </c>
    </row>
    <row r="13259" spans="1:2" x14ac:dyDescent="0.4">
      <c r="A13259" s="4">
        <v>2000000</v>
      </c>
      <c r="B13259">
        <v>6630800</v>
      </c>
    </row>
    <row r="13260" spans="1:2" x14ac:dyDescent="0.4">
      <c r="A13260" s="4">
        <v>2000000</v>
      </c>
      <c r="B13260">
        <v>6630900</v>
      </c>
    </row>
    <row r="13261" spans="1:2" x14ac:dyDescent="0.4">
      <c r="A13261" s="4">
        <v>2000000</v>
      </c>
      <c r="B13261">
        <v>6631000</v>
      </c>
    </row>
    <row r="13262" spans="1:2" x14ac:dyDescent="0.4">
      <c r="A13262" s="4">
        <v>2000000</v>
      </c>
      <c r="B13262">
        <v>6631100</v>
      </c>
    </row>
    <row r="13263" spans="1:2" x14ac:dyDescent="0.4">
      <c r="A13263" s="4">
        <v>2000000</v>
      </c>
      <c r="B13263">
        <v>6631200</v>
      </c>
    </row>
    <row r="13264" spans="1:2" x14ac:dyDescent="0.4">
      <c r="A13264" s="4">
        <v>2000000</v>
      </c>
      <c r="B13264">
        <v>6631300</v>
      </c>
    </row>
    <row r="13265" spans="1:2" x14ac:dyDescent="0.4">
      <c r="A13265" s="4">
        <v>2000000</v>
      </c>
      <c r="B13265">
        <v>6631400</v>
      </c>
    </row>
    <row r="13266" spans="1:2" x14ac:dyDescent="0.4">
      <c r="A13266" s="4">
        <v>2000000</v>
      </c>
      <c r="B13266">
        <v>6631500</v>
      </c>
    </row>
    <row r="13267" spans="1:2" x14ac:dyDescent="0.4">
      <c r="A13267" s="4">
        <v>2000000</v>
      </c>
      <c r="B13267">
        <v>6631600</v>
      </c>
    </row>
    <row r="13268" spans="1:2" x14ac:dyDescent="0.4">
      <c r="A13268" s="4">
        <v>2000000</v>
      </c>
      <c r="B13268">
        <v>6631700</v>
      </c>
    </row>
    <row r="13269" spans="1:2" x14ac:dyDescent="0.4">
      <c r="A13269" s="4">
        <v>2000000</v>
      </c>
      <c r="B13269">
        <v>6631800</v>
      </c>
    </row>
    <row r="13270" spans="1:2" x14ac:dyDescent="0.4">
      <c r="A13270" s="4">
        <v>2000000</v>
      </c>
      <c r="B13270">
        <v>6631900</v>
      </c>
    </row>
    <row r="13271" spans="1:2" x14ac:dyDescent="0.4">
      <c r="A13271" s="4">
        <v>2000000</v>
      </c>
      <c r="B13271">
        <v>6632000</v>
      </c>
    </row>
    <row r="13272" spans="1:2" x14ac:dyDescent="0.4">
      <c r="A13272" s="4">
        <v>2000000</v>
      </c>
      <c r="B13272">
        <v>6632100</v>
      </c>
    </row>
    <row r="13273" spans="1:2" x14ac:dyDescent="0.4">
      <c r="A13273" s="4">
        <v>2000000</v>
      </c>
      <c r="B13273">
        <v>6632200</v>
      </c>
    </row>
    <row r="13274" spans="1:2" x14ac:dyDescent="0.4">
      <c r="A13274" s="4">
        <v>2000000</v>
      </c>
      <c r="B13274">
        <v>6632300</v>
      </c>
    </row>
    <row r="13275" spans="1:2" x14ac:dyDescent="0.4">
      <c r="A13275" s="4">
        <v>2000000</v>
      </c>
      <c r="B13275">
        <v>6632400</v>
      </c>
    </row>
    <row r="13276" spans="1:2" x14ac:dyDescent="0.4">
      <c r="A13276" s="4">
        <v>2000000</v>
      </c>
      <c r="B13276">
        <v>6632500</v>
      </c>
    </row>
    <row r="13277" spans="1:2" x14ac:dyDescent="0.4">
      <c r="A13277" s="4">
        <v>2000000</v>
      </c>
      <c r="B13277">
        <v>6632600</v>
      </c>
    </row>
    <row r="13278" spans="1:2" x14ac:dyDescent="0.4">
      <c r="A13278" s="4">
        <v>2000000</v>
      </c>
      <c r="B13278">
        <v>6632700</v>
      </c>
    </row>
    <row r="13279" spans="1:2" x14ac:dyDescent="0.4">
      <c r="A13279" s="4">
        <v>2000000</v>
      </c>
      <c r="B13279">
        <v>6632800</v>
      </c>
    </row>
    <row r="13280" spans="1:2" x14ac:dyDescent="0.4">
      <c r="A13280" s="4">
        <v>2000000</v>
      </c>
      <c r="B13280">
        <v>6632900</v>
      </c>
    </row>
    <row r="13281" spans="1:2" x14ac:dyDescent="0.4">
      <c r="A13281" s="4">
        <v>2000000</v>
      </c>
      <c r="B13281">
        <v>6633000</v>
      </c>
    </row>
    <row r="13282" spans="1:2" x14ac:dyDescent="0.4">
      <c r="A13282" s="4">
        <v>2000000</v>
      </c>
      <c r="B13282">
        <v>6633100</v>
      </c>
    </row>
    <row r="13283" spans="1:2" x14ac:dyDescent="0.4">
      <c r="A13283" s="4">
        <v>2000000</v>
      </c>
      <c r="B13283">
        <v>6633200</v>
      </c>
    </row>
    <row r="13284" spans="1:2" x14ac:dyDescent="0.4">
      <c r="A13284" s="4">
        <v>2000000</v>
      </c>
      <c r="B13284">
        <v>6640000</v>
      </c>
    </row>
    <row r="13285" spans="1:2" x14ac:dyDescent="0.4">
      <c r="A13285" s="4">
        <v>2000000</v>
      </c>
      <c r="B13285">
        <v>6640100</v>
      </c>
    </row>
    <row r="13286" spans="1:2" x14ac:dyDescent="0.4">
      <c r="A13286" s="4">
        <v>2000000</v>
      </c>
      <c r="B13286">
        <v>6641000</v>
      </c>
    </row>
    <row r="13287" spans="1:2" x14ac:dyDescent="0.4">
      <c r="A13287" s="4">
        <v>2000000</v>
      </c>
      <c r="B13287">
        <v>6641100</v>
      </c>
    </row>
    <row r="13288" spans="1:2" x14ac:dyDescent="0.4">
      <c r="A13288" s="4">
        <v>2000000</v>
      </c>
      <c r="B13288">
        <v>6642000</v>
      </c>
    </row>
    <row r="13289" spans="1:2" x14ac:dyDescent="0.4">
      <c r="A13289" s="4">
        <v>2000000</v>
      </c>
      <c r="B13289">
        <v>6642100</v>
      </c>
    </row>
    <row r="13290" spans="1:2" x14ac:dyDescent="0.4">
      <c r="A13290" s="4">
        <v>2000000</v>
      </c>
      <c r="B13290">
        <v>6643000</v>
      </c>
    </row>
    <row r="13291" spans="1:2" x14ac:dyDescent="0.4">
      <c r="A13291" s="4">
        <v>2000000</v>
      </c>
      <c r="B13291">
        <v>6643100</v>
      </c>
    </row>
    <row r="13292" spans="1:2" x14ac:dyDescent="0.4">
      <c r="A13292" s="4">
        <v>2000000</v>
      </c>
      <c r="B13292">
        <v>6644000</v>
      </c>
    </row>
    <row r="13293" spans="1:2" x14ac:dyDescent="0.4">
      <c r="A13293" s="4">
        <v>2000000</v>
      </c>
      <c r="B13293">
        <v>6644100</v>
      </c>
    </row>
    <row r="13294" spans="1:2" x14ac:dyDescent="0.4">
      <c r="A13294" s="4">
        <v>2000000</v>
      </c>
      <c r="B13294">
        <v>6645000</v>
      </c>
    </row>
    <row r="13295" spans="1:2" x14ac:dyDescent="0.4">
      <c r="A13295" s="4">
        <v>2000000</v>
      </c>
      <c r="B13295">
        <v>6645100</v>
      </c>
    </row>
    <row r="13296" spans="1:2" x14ac:dyDescent="0.4">
      <c r="A13296" s="4">
        <v>2000000</v>
      </c>
      <c r="B13296">
        <v>6646000</v>
      </c>
    </row>
    <row r="13297" spans="1:2" x14ac:dyDescent="0.4">
      <c r="A13297" s="4">
        <v>2000000</v>
      </c>
      <c r="B13297">
        <v>6646100</v>
      </c>
    </row>
    <row r="13298" spans="1:2" x14ac:dyDescent="0.4">
      <c r="A13298" s="4">
        <v>2000000</v>
      </c>
      <c r="B13298">
        <v>6647000</v>
      </c>
    </row>
    <row r="13299" spans="1:2" x14ac:dyDescent="0.4">
      <c r="A13299" s="4">
        <v>2000000</v>
      </c>
      <c r="B13299">
        <v>6647100</v>
      </c>
    </row>
    <row r="13300" spans="1:2" x14ac:dyDescent="0.4">
      <c r="A13300" s="4">
        <v>2000000</v>
      </c>
      <c r="B13300">
        <v>6500800</v>
      </c>
    </row>
    <row r="13301" spans="1:2" x14ac:dyDescent="0.4">
      <c r="A13301" s="4">
        <v>2000000</v>
      </c>
      <c r="B13301">
        <v>6500900</v>
      </c>
    </row>
    <row r="13302" spans="1:2" x14ac:dyDescent="0.4">
      <c r="A13302" s="4">
        <v>2000000</v>
      </c>
      <c r="B13302">
        <v>6647200</v>
      </c>
    </row>
    <row r="13303" spans="1:2" x14ac:dyDescent="0.4">
      <c r="A13303" s="4">
        <v>2000000</v>
      </c>
      <c r="B13303">
        <v>6647300</v>
      </c>
    </row>
    <row r="13304" spans="1:2" x14ac:dyDescent="0.4">
      <c r="A13304" s="4">
        <v>2000000</v>
      </c>
      <c r="B13304">
        <v>6647400</v>
      </c>
    </row>
    <row r="13305" spans="1:2" x14ac:dyDescent="0.4">
      <c r="A13305" s="4">
        <v>2000000</v>
      </c>
      <c r="B13305">
        <v>6647500</v>
      </c>
    </row>
    <row r="13306" spans="1:2" x14ac:dyDescent="0.4">
      <c r="A13306" s="4">
        <v>2100000</v>
      </c>
      <c r="B13306">
        <v>7000000</v>
      </c>
    </row>
    <row r="13307" spans="1:2" x14ac:dyDescent="0.4">
      <c r="A13307" s="4">
        <v>2100000</v>
      </c>
      <c r="B13307">
        <v>7000001</v>
      </c>
    </row>
    <row r="13308" spans="1:2" x14ac:dyDescent="0.4">
      <c r="A13308" s="4">
        <v>2100000</v>
      </c>
      <c r="B13308">
        <v>7000002</v>
      </c>
    </row>
    <row r="13309" spans="1:2" x14ac:dyDescent="0.4">
      <c r="A13309" s="4">
        <v>2100000</v>
      </c>
      <c r="B13309">
        <v>7000100</v>
      </c>
    </row>
    <row r="13310" spans="1:2" x14ac:dyDescent="0.4">
      <c r="A13310" s="4">
        <v>2100000</v>
      </c>
      <c r="B13310">
        <v>7000101</v>
      </c>
    </row>
    <row r="13311" spans="1:2" x14ac:dyDescent="0.4">
      <c r="A13311" s="4">
        <v>2100000</v>
      </c>
      <c r="B13311">
        <v>7000102</v>
      </c>
    </row>
    <row r="13312" spans="1:2" x14ac:dyDescent="0.4">
      <c r="A13312" s="4">
        <v>2100000</v>
      </c>
      <c r="B13312">
        <v>7000200</v>
      </c>
    </row>
    <row r="13313" spans="1:2" x14ac:dyDescent="0.4">
      <c r="A13313" s="4">
        <v>2100000</v>
      </c>
      <c r="B13313">
        <v>7000201</v>
      </c>
    </row>
    <row r="13314" spans="1:2" x14ac:dyDescent="0.4">
      <c r="A13314" s="4">
        <v>2100000</v>
      </c>
      <c r="B13314">
        <v>7000202</v>
      </c>
    </row>
    <row r="13315" spans="1:2" x14ac:dyDescent="0.4">
      <c r="A13315" s="4">
        <v>2100000</v>
      </c>
      <c r="B13315">
        <v>7000300</v>
      </c>
    </row>
    <row r="13316" spans="1:2" x14ac:dyDescent="0.4">
      <c r="A13316" s="4">
        <v>2100000</v>
      </c>
      <c r="B13316">
        <v>7000301</v>
      </c>
    </row>
    <row r="13317" spans="1:2" x14ac:dyDescent="0.4">
      <c r="A13317" s="4">
        <v>2100000</v>
      </c>
      <c r="B13317">
        <v>7000302</v>
      </c>
    </row>
    <row r="13318" spans="1:2" x14ac:dyDescent="0.4">
      <c r="A13318" s="4">
        <v>2100000</v>
      </c>
      <c r="B13318">
        <v>7000400</v>
      </c>
    </row>
    <row r="13319" spans="1:2" x14ac:dyDescent="0.4">
      <c r="A13319" s="4">
        <v>2100000</v>
      </c>
      <c r="B13319">
        <v>7000401</v>
      </c>
    </row>
    <row r="13320" spans="1:2" x14ac:dyDescent="0.4">
      <c r="A13320" s="4">
        <v>2100000</v>
      </c>
      <c r="B13320">
        <v>7000402</v>
      </c>
    </row>
    <row r="13321" spans="1:2" x14ac:dyDescent="0.4">
      <c r="A13321" s="4">
        <v>2100000</v>
      </c>
      <c r="B13321">
        <v>7000500</v>
      </c>
    </row>
    <row r="13322" spans="1:2" x14ac:dyDescent="0.4">
      <c r="A13322" s="4">
        <v>2100000</v>
      </c>
      <c r="B13322">
        <v>7000501</v>
      </c>
    </row>
    <row r="13323" spans="1:2" x14ac:dyDescent="0.4">
      <c r="A13323" s="4">
        <v>2100000</v>
      </c>
      <c r="B13323">
        <v>7000502</v>
      </c>
    </row>
    <row r="13324" spans="1:2" x14ac:dyDescent="0.4">
      <c r="A13324" s="4">
        <v>2100000</v>
      </c>
      <c r="B13324">
        <v>7000600</v>
      </c>
    </row>
    <row r="13325" spans="1:2" x14ac:dyDescent="0.4">
      <c r="A13325" s="4">
        <v>2100000</v>
      </c>
      <c r="B13325">
        <v>7000601</v>
      </c>
    </row>
    <row r="13326" spans="1:2" x14ac:dyDescent="0.4">
      <c r="A13326" s="4">
        <v>2100000</v>
      </c>
      <c r="B13326">
        <v>7000602</v>
      </c>
    </row>
    <row r="13327" spans="1:2" x14ac:dyDescent="0.4">
      <c r="A13327" s="4">
        <v>2100000</v>
      </c>
      <c r="B13327">
        <v>7000700</v>
      </c>
    </row>
    <row r="13328" spans="1:2" x14ac:dyDescent="0.4">
      <c r="A13328" s="4">
        <v>2100000</v>
      </c>
      <c r="B13328">
        <v>7000701</v>
      </c>
    </row>
    <row r="13329" spans="1:2" x14ac:dyDescent="0.4">
      <c r="A13329" s="4">
        <v>2100000</v>
      </c>
      <c r="B13329">
        <v>7000702</v>
      </c>
    </row>
    <row r="13330" spans="1:2" x14ac:dyDescent="0.4">
      <c r="A13330" s="4">
        <v>2100000</v>
      </c>
      <c r="B13330">
        <v>7000800</v>
      </c>
    </row>
    <row r="13331" spans="1:2" x14ac:dyDescent="0.4">
      <c r="A13331" s="4">
        <v>2100000</v>
      </c>
      <c r="B13331">
        <v>7000801</v>
      </c>
    </row>
    <row r="13332" spans="1:2" x14ac:dyDescent="0.4">
      <c r="A13332" s="4">
        <v>2100000</v>
      </c>
      <c r="B13332">
        <v>7000802</v>
      </c>
    </row>
    <row r="13333" spans="1:2" x14ac:dyDescent="0.4">
      <c r="A13333" s="4">
        <v>2100000</v>
      </c>
      <c r="B13333">
        <v>7000900</v>
      </c>
    </row>
    <row r="13334" spans="1:2" x14ac:dyDescent="0.4">
      <c r="A13334" s="4">
        <v>2100000</v>
      </c>
      <c r="B13334">
        <v>7000901</v>
      </c>
    </row>
    <row r="13335" spans="1:2" x14ac:dyDescent="0.4">
      <c r="A13335" s="4">
        <v>2100000</v>
      </c>
      <c r="B13335">
        <v>7000902</v>
      </c>
    </row>
    <row r="13336" spans="1:2" x14ac:dyDescent="0.4">
      <c r="A13336" s="4">
        <v>2100000</v>
      </c>
      <c r="B13336">
        <v>7001000</v>
      </c>
    </row>
    <row r="13337" spans="1:2" x14ac:dyDescent="0.4">
      <c r="A13337" s="4">
        <v>2100000</v>
      </c>
      <c r="B13337">
        <v>7001001</v>
      </c>
    </row>
    <row r="13338" spans="1:2" x14ac:dyDescent="0.4">
      <c r="A13338" s="4">
        <v>2100000</v>
      </c>
      <c r="B13338">
        <v>7001002</v>
      </c>
    </row>
    <row r="13339" spans="1:2" x14ac:dyDescent="0.4">
      <c r="A13339" s="4">
        <v>2100000</v>
      </c>
      <c r="B13339">
        <v>7001400</v>
      </c>
    </row>
    <row r="13340" spans="1:2" x14ac:dyDescent="0.4">
      <c r="A13340" s="4">
        <v>2100000</v>
      </c>
      <c r="B13340">
        <v>7001401</v>
      </c>
    </row>
    <row r="13341" spans="1:2" x14ac:dyDescent="0.4">
      <c r="A13341" s="4">
        <v>2100000</v>
      </c>
      <c r="B13341">
        <v>7001402</v>
      </c>
    </row>
    <row r="13342" spans="1:2" x14ac:dyDescent="0.4">
      <c r="A13342" s="4">
        <v>2100000</v>
      </c>
      <c r="B13342">
        <v>7001500</v>
      </c>
    </row>
    <row r="13343" spans="1:2" x14ac:dyDescent="0.4">
      <c r="A13343" s="4">
        <v>2100000</v>
      </c>
      <c r="B13343">
        <v>7001501</v>
      </c>
    </row>
    <row r="13344" spans="1:2" x14ac:dyDescent="0.4">
      <c r="A13344" s="4">
        <v>2100000</v>
      </c>
      <c r="B13344">
        <v>7001502</v>
      </c>
    </row>
    <row r="13345" spans="1:2" x14ac:dyDescent="0.4">
      <c r="A13345" s="4">
        <v>2100000</v>
      </c>
      <c r="B13345">
        <v>7001600</v>
      </c>
    </row>
    <row r="13346" spans="1:2" x14ac:dyDescent="0.4">
      <c r="A13346" s="4">
        <v>2100000</v>
      </c>
      <c r="B13346">
        <v>7001601</v>
      </c>
    </row>
    <row r="13347" spans="1:2" x14ac:dyDescent="0.4">
      <c r="A13347" s="4">
        <v>2100000</v>
      </c>
      <c r="B13347">
        <v>7001602</v>
      </c>
    </row>
    <row r="13348" spans="1:2" x14ac:dyDescent="0.4">
      <c r="A13348" s="4">
        <v>2100000</v>
      </c>
      <c r="B13348">
        <v>7001700</v>
      </c>
    </row>
    <row r="13349" spans="1:2" x14ac:dyDescent="0.4">
      <c r="A13349" s="4">
        <v>2100000</v>
      </c>
      <c r="B13349">
        <v>7001701</v>
      </c>
    </row>
    <row r="13350" spans="1:2" x14ac:dyDescent="0.4">
      <c r="A13350" s="4">
        <v>2100000</v>
      </c>
      <c r="B13350">
        <v>7001702</v>
      </c>
    </row>
    <row r="13351" spans="1:2" x14ac:dyDescent="0.4">
      <c r="A13351" s="4">
        <v>2100000</v>
      </c>
      <c r="B13351">
        <v>7001800</v>
      </c>
    </row>
    <row r="13352" spans="1:2" x14ac:dyDescent="0.4">
      <c r="A13352" s="4">
        <v>2100000</v>
      </c>
      <c r="B13352">
        <v>7001801</v>
      </c>
    </row>
    <row r="13353" spans="1:2" x14ac:dyDescent="0.4">
      <c r="A13353" s="4">
        <v>2100000</v>
      </c>
      <c r="B13353">
        <v>7001802</v>
      </c>
    </row>
    <row r="13354" spans="1:2" x14ac:dyDescent="0.4">
      <c r="A13354" s="4">
        <v>2100000</v>
      </c>
      <c r="B13354">
        <v>7002600</v>
      </c>
    </row>
    <row r="13355" spans="1:2" x14ac:dyDescent="0.4">
      <c r="A13355" s="4">
        <v>2100000</v>
      </c>
      <c r="B13355">
        <v>7002700</v>
      </c>
    </row>
    <row r="13356" spans="1:2" x14ac:dyDescent="0.4">
      <c r="A13356" s="4">
        <v>2100000</v>
      </c>
      <c r="B13356">
        <v>7002800</v>
      </c>
    </row>
    <row r="13357" spans="1:2" x14ac:dyDescent="0.4">
      <c r="A13357" s="4">
        <v>2100000</v>
      </c>
      <c r="B13357">
        <v>7002900</v>
      </c>
    </row>
    <row r="13358" spans="1:2" x14ac:dyDescent="0.4">
      <c r="A13358" s="4">
        <v>2100000</v>
      </c>
      <c r="B13358">
        <v>7003000</v>
      </c>
    </row>
    <row r="13359" spans="1:2" x14ac:dyDescent="0.4">
      <c r="A13359" s="4">
        <v>2100000</v>
      </c>
      <c r="B13359">
        <v>7003100</v>
      </c>
    </row>
    <row r="13360" spans="1:2" x14ac:dyDescent="0.4">
      <c r="A13360" s="4">
        <v>2100000</v>
      </c>
      <c r="B13360">
        <v>7003200</v>
      </c>
    </row>
    <row r="13361" spans="1:2" x14ac:dyDescent="0.4">
      <c r="A13361" s="4">
        <v>2100000</v>
      </c>
      <c r="B13361">
        <v>7003300</v>
      </c>
    </row>
    <row r="13362" spans="1:2" x14ac:dyDescent="0.4">
      <c r="A13362" s="4">
        <v>2100000</v>
      </c>
      <c r="B13362">
        <v>7003400</v>
      </c>
    </row>
    <row r="13363" spans="1:2" x14ac:dyDescent="0.4">
      <c r="A13363" s="4">
        <v>2100000</v>
      </c>
      <c r="B13363">
        <v>7003500</v>
      </c>
    </row>
    <row r="13364" spans="1:2" x14ac:dyDescent="0.4">
      <c r="A13364" s="4">
        <v>2100000</v>
      </c>
      <c r="B13364">
        <v>7003600</v>
      </c>
    </row>
    <row r="13365" spans="1:2" x14ac:dyDescent="0.4">
      <c r="A13365" s="4">
        <v>2100000</v>
      </c>
      <c r="B13365">
        <v>7005600</v>
      </c>
    </row>
    <row r="13366" spans="1:2" x14ac:dyDescent="0.4">
      <c r="A13366" s="4">
        <v>2100000</v>
      </c>
      <c r="B13366">
        <v>7006000</v>
      </c>
    </row>
    <row r="13367" spans="1:2" x14ac:dyDescent="0.4">
      <c r="A13367" s="4">
        <v>2100000</v>
      </c>
      <c r="B13367">
        <v>7006100</v>
      </c>
    </row>
    <row r="13368" spans="1:2" x14ac:dyDescent="0.4">
      <c r="A13368" s="4">
        <v>2100000</v>
      </c>
      <c r="B13368">
        <v>7010200</v>
      </c>
    </row>
    <row r="13369" spans="1:2" x14ac:dyDescent="0.4">
      <c r="A13369" s="4">
        <v>2100000</v>
      </c>
      <c r="B13369">
        <v>7010500</v>
      </c>
    </row>
    <row r="13370" spans="1:2" x14ac:dyDescent="0.4">
      <c r="A13370" s="4">
        <v>2100000</v>
      </c>
      <c r="B13370">
        <v>7010700</v>
      </c>
    </row>
    <row r="13371" spans="1:2" x14ac:dyDescent="0.4">
      <c r="A13371" s="4">
        <v>2100000</v>
      </c>
      <c r="B13371">
        <v>7010900</v>
      </c>
    </row>
    <row r="13372" spans="1:2" x14ac:dyDescent="0.4">
      <c r="A13372" s="4">
        <v>2100000</v>
      </c>
      <c r="B13372">
        <v>7011000</v>
      </c>
    </row>
    <row r="13373" spans="1:2" x14ac:dyDescent="0.4">
      <c r="A13373" s="4">
        <v>2100000</v>
      </c>
      <c r="B13373">
        <v>7011200</v>
      </c>
    </row>
    <row r="13374" spans="1:2" x14ac:dyDescent="0.4">
      <c r="A13374" s="4">
        <v>2100000</v>
      </c>
      <c r="B13374">
        <v>7011600</v>
      </c>
    </row>
    <row r="13375" spans="1:2" x14ac:dyDescent="0.4">
      <c r="A13375" s="4">
        <v>2100000</v>
      </c>
      <c r="B13375">
        <v>7011700</v>
      </c>
    </row>
    <row r="13376" spans="1:2" x14ac:dyDescent="0.4">
      <c r="A13376" s="4">
        <v>2100000</v>
      </c>
      <c r="B13376">
        <v>7012000</v>
      </c>
    </row>
    <row r="13377" spans="1:2" x14ac:dyDescent="0.4">
      <c r="A13377" s="4">
        <v>2100000</v>
      </c>
      <c r="B13377">
        <v>7012200</v>
      </c>
    </row>
    <row r="13378" spans="1:2" x14ac:dyDescent="0.4">
      <c r="A13378" s="4">
        <v>2100000</v>
      </c>
      <c r="B13378">
        <v>7012300</v>
      </c>
    </row>
    <row r="13379" spans="1:2" x14ac:dyDescent="0.4">
      <c r="A13379" s="4">
        <v>2100000</v>
      </c>
      <c r="B13379">
        <v>7020000</v>
      </c>
    </row>
    <row r="13380" spans="1:2" x14ac:dyDescent="0.4">
      <c r="A13380" s="4">
        <v>2100000</v>
      </c>
      <c r="B13380">
        <v>7030000</v>
      </c>
    </row>
    <row r="13381" spans="1:2" x14ac:dyDescent="0.4">
      <c r="A13381" s="4">
        <v>2100000</v>
      </c>
      <c r="B13381">
        <v>7030200</v>
      </c>
    </row>
    <row r="13382" spans="1:2" x14ac:dyDescent="0.4">
      <c r="A13382" s="4">
        <v>2100000</v>
      </c>
      <c r="B13382">
        <v>7030600</v>
      </c>
    </row>
    <row r="13383" spans="1:2" x14ac:dyDescent="0.4">
      <c r="A13383" s="4">
        <v>2100000</v>
      </c>
      <c r="B13383">
        <v>7030700</v>
      </c>
    </row>
    <row r="13384" spans="1:2" x14ac:dyDescent="0.4">
      <c r="A13384" s="4">
        <v>2100000</v>
      </c>
      <c r="B13384">
        <v>7030800</v>
      </c>
    </row>
    <row r="13385" spans="1:2" x14ac:dyDescent="0.4">
      <c r="A13385" s="4">
        <v>2100000</v>
      </c>
      <c r="B13385">
        <v>7030900</v>
      </c>
    </row>
    <row r="13386" spans="1:2" x14ac:dyDescent="0.4">
      <c r="A13386" s="4">
        <v>2100000</v>
      </c>
      <c r="B13386">
        <v>7031200</v>
      </c>
    </row>
    <row r="13387" spans="1:2" x14ac:dyDescent="0.4">
      <c r="A13387" s="4">
        <v>2100000</v>
      </c>
      <c r="B13387">
        <v>7031300</v>
      </c>
    </row>
    <row r="13388" spans="1:2" x14ac:dyDescent="0.4">
      <c r="A13388" s="4">
        <v>2100000</v>
      </c>
      <c r="B13388">
        <v>7031800</v>
      </c>
    </row>
    <row r="13389" spans="1:2" x14ac:dyDescent="0.4">
      <c r="A13389" s="4">
        <v>2100000</v>
      </c>
      <c r="B13389">
        <v>7031900</v>
      </c>
    </row>
    <row r="13390" spans="1:2" x14ac:dyDescent="0.4">
      <c r="A13390" s="4">
        <v>2100000</v>
      </c>
      <c r="B13390">
        <v>7032200</v>
      </c>
    </row>
    <row r="13391" spans="1:2" x14ac:dyDescent="0.4">
      <c r="A13391" s="4">
        <v>2100000</v>
      </c>
      <c r="B13391">
        <v>7032400</v>
      </c>
    </row>
    <row r="13392" spans="1:2" x14ac:dyDescent="0.4">
      <c r="A13392" s="4">
        <v>2100000</v>
      </c>
      <c r="B13392">
        <v>7032700</v>
      </c>
    </row>
    <row r="13393" spans="1:2" x14ac:dyDescent="0.4">
      <c r="A13393" s="4">
        <v>2100000</v>
      </c>
      <c r="B13393">
        <v>7032800</v>
      </c>
    </row>
    <row r="13394" spans="1:2" x14ac:dyDescent="0.4">
      <c r="A13394" s="4">
        <v>2100000</v>
      </c>
      <c r="B13394">
        <v>7032900</v>
      </c>
    </row>
    <row r="13395" spans="1:2" x14ac:dyDescent="0.4">
      <c r="A13395" s="4">
        <v>2100000</v>
      </c>
      <c r="B13395">
        <v>7033200</v>
      </c>
    </row>
    <row r="13396" spans="1:2" x14ac:dyDescent="0.4">
      <c r="A13396" s="4">
        <v>2100000</v>
      </c>
      <c r="B13396">
        <v>7033400</v>
      </c>
    </row>
    <row r="13397" spans="1:2" x14ac:dyDescent="0.4">
      <c r="A13397" s="4">
        <v>2100000</v>
      </c>
      <c r="B13397">
        <v>7034100</v>
      </c>
    </row>
    <row r="13398" spans="1:2" x14ac:dyDescent="0.4">
      <c r="A13398" s="4">
        <v>2100000</v>
      </c>
      <c r="B13398">
        <v>7034400</v>
      </c>
    </row>
    <row r="13399" spans="1:2" x14ac:dyDescent="0.4">
      <c r="A13399" s="4">
        <v>2100000</v>
      </c>
      <c r="B13399">
        <v>7034500</v>
      </c>
    </row>
    <row r="13400" spans="1:2" x14ac:dyDescent="0.4">
      <c r="A13400" s="4">
        <v>2100000</v>
      </c>
      <c r="B13400">
        <v>7034600</v>
      </c>
    </row>
    <row r="13401" spans="1:2" x14ac:dyDescent="0.4">
      <c r="A13401" s="4">
        <v>2100000</v>
      </c>
      <c r="B13401">
        <v>7034700</v>
      </c>
    </row>
    <row r="13402" spans="1:2" x14ac:dyDescent="0.4">
      <c r="A13402" s="4">
        <v>2100000</v>
      </c>
      <c r="B13402">
        <v>7035100</v>
      </c>
    </row>
    <row r="13403" spans="1:2" x14ac:dyDescent="0.4">
      <c r="A13403" s="4">
        <v>2100000</v>
      </c>
      <c r="B13403">
        <v>7036100</v>
      </c>
    </row>
    <row r="13404" spans="1:2" x14ac:dyDescent="0.4">
      <c r="A13404" s="4">
        <v>2100000</v>
      </c>
      <c r="B13404">
        <v>7040000</v>
      </c>
    </row>
    <row r="13405" spans="1:2" x14ac:dyDescent="0.4">
      <c r="A13405" s="4">
        <v>2100000</v>
      </c>
      <c r="B13405">
        <v>7040100</v>
      </c>
    </row>
    <row r="13406" spans="1:2" x14ac:dyDescent="0.4">
      <c r="A13406" s="4">
        <v>2100000</v>
      </c>
      <c r="B13406">
        <v>7040200</v>
      </c>
    </row>
    <row r="13407" spans="1:2" x14ac:dyDescent="0.4">
      <c r="A13407" s="4">
        <v>2100000</v>
      </c>
      <c r="B13407">
        <v>7040300</v>
      </c>
    </row>
    <row r="13408" spans="1:2" x14ac:dyDescent="0.4">
      <c r="A13408" s="4">
        <v>2100000</v>
      </c>
      <c r="B13408">
        <v>7040400</v>
      </c>
    </row>
    <row r="13409" spans="1:2" x14ac:dyDescent="0.4">
      <c r="A13409" s="4">
        <v>2100000</v>
      </c>
      <c r="B13409">
        <v>7040500</v>
      </c>
    </row>
    <row r="13410" spans="1:2" x14ac:dyDescent="0.4">
      <c r="A13410" s="4">
        <v>2100000</v>
      </c>
      <c r="B13410">
        <v>7043000</v>
      </c>
    </row>
    <row r="13411" spans="1:2" x14ac:dyDescent="0.4">
      <c r="A13411" s="4">
        <v>2100000</v>
      </c>
      <c r="B13411">
        <v>7043100</v>
      </c>
    </row>
    <row r="13412" spans="1:2" x14ac:dyDescent="0.4">
      <c r="A13412" s="4">
        <v>2100000</v>
      </c>
      <c r="B13412">
        <v>7043200</v>
      </c>
    </row>
    <row r="13413" spans="1:2" x14ac:dyDescent="0.4">
      <c r="A13413" s="4">
        <v>2100000</v>
      </c>
      <c r="B13413">
        <v>7043300</v>
      </c>
    </row>
    <row r="13414" spans="1:2" x14ac:dyDescent="0.4">
      <c r="A13414" s="4">
        <v>2100000</v>
      </c>
      <c r="B13414">
        <v>7043400</v>
      </c>
    </row>
    <row r="13415" spans="1:2" x14ac:dyDescent="0.4">
      <c r="A13415" s="4">
        <v>2100000</v>
      </c>
      <c r="B13415">
        <v>7043500</v>
      </c>
    </row>
    <row r="13416" spans="1:2" x14ac:dyDescent="0.4">
      <c r="A13416" s="4">
        <v>2100000</v>
      </c>
      <c r="B13416">
        <v>7043600</v>
      </c>
    </row>
    <row r="13417" spans="1:2" x14ac:dyDescent="0.4">
      <c r="A13417" s="4">
        <v>2100000</v>
      </c>
      <c r="B13417">
        <v>7043700</v>
      </c>
    </row>
    <row r="13418" spans="1:2" x14ac:dyDescent="0.4">
      <c r="A13418" s="4">
        <v>2100000</v>
      </c>
      <c r="B13418">
        <v>7043800</v>
      </c>
    </row>
    <row r="13419" spans="1:2" x14ac:dyDescent="0.4">
      <c r="A13419" s="4">
        <v>2100000</v>
      </c>
      <c r="B13419">
        <v>7044000</v>
      </c>
    </row>
    <row r="13420" spans="1:2" x14ac:dyDescent="0.4">
      <c r="A13420" s="4">
        <v>2100000</v>
      </c>
      <c r="B13420">
        <v>7044100</v>
      </c>
    </row>
    <row r="13421" spans="1:2" x14ac:dyDescent="0.4">
      <c r="A13421" s="4">
        <v>2100000</v>
      </c>
      <c r="B13421">
        <v>7044200</v>
      </c>
    </row>
    <row r="13422" spans="1:2" x14ac:dyDescent="0.4">
      <c r="A13422" s="4">
        <v>2100000</v>
      </c>
      <c r="B13422">
        <v>7044300</v>
      </c>
    </row>
    <row r="13423" spans="1:2" x14ac:dyDescent="0.4">
      <c r="A13423" s="4">
        <v>2100000</v>
      </c>
      <c r="B13423">
        <v>7044400</v>
      </c>
    </row>
    <row r="13424" spans="1:2" x14ac:dyDescent="0.4">
      <c r="A13424" s="4">
        <v>2100000</v>
      </c>
      <c r="B13424">
        <v>7044500</v>
      </c>
    </row>
    <row r="13425" spans="1:2" x14ac:dyDescent="0.4">
      <c r="A13425" s="4">
        <v>2100000</v>
      </c>
      <c r="B13425">
        <v>7044600</v>
      </c>
    </row>
    <row r="13426" spans="1:2" x14ac:dyDescent="0.4">
      <c r="A13426" s="4">
        <v>2100000</v>
      </c>
      <c r="B13426">
        <v>7050000</v>
      </c>
    </row>
    <row r="13427" spans="1:2" x14ac:dyDescent="0.4">
      <c r="A13427" s="4">
        <v>2100000</v>
      </c>
      <c r="B13427">
        <v>7050100</v>
      </c>
    </row>
    <row r="13428" spans="1:2" x14ac:dyDescent="0.4">
      <c r="A13428" s="4">
        <v>2100000</v>
      </c>
      <c r="B13428">
        <v>7060000</v>
      </c>
    </row>
    <row r="13429" spans="1:2" x14ac:dyDescent="0.4">
      <c r="A13429" s="4">
        <v>2100000</v>
      </c>
      <c r="B13429">
        <v>7060100</v>
      </c>
    </row>
    <row r="13430" spans="1:2" x14ac:dyDescent="0.4">
      <c r="A13430" s="4">
        <v>2100000</v>
      </c>
      <c r="B13430">
        <v>7060200</v>
      </c>
    </row>
    <row r="13431" spans="1:2" x14ac:dyDescent="0.4">
      <c r="A13431" s="4">
        <v>2100000</v>
      </c>
      <c r="B13431">
        <v>7070000</v>
      </c>
    </row>
    <row r="13432" spans="1:2" x14ac:dyDescent="0.4">
      <c r="A13432" s="4">
        <v>2100000</v>
      </c>
      <c r="B13432">
        <v>7080000</v>
      </c>
    </row>
    <row r="13433" spans="1:2" x14ac:dyDescent="0.4">
      <c r="A13433" s="4">
        <v>2100000</v>
      </c>
      <c r="B13433">
        <v>7080100</v>
      </c>
    </row>
    <row r="13434" spans="1:2" x14ac:dyDescent="0.4">
      <c r="A13434" s="4">
        <v>2100000</v>
      </c>
      <c r="B13434">
        <v>7080200</v>
      </c>
    </row>
    <row r="13435" spans="1:2" x14ac:dyDescent="0.4">
      <c r="A13435" s="4">
        <v>2100000</v>
      </c>
      <c r="B13435">
        <v>7080300</v>
      </c>
    </row>
    <row r="13436" spans="1:2" x14ac:dyDescent="0.4">
      <c r="A13436" s="4">
        <v>2100000</v>
      </c>
      <c r="B13436">
        <v>7080400</v>
      </c>
    </row>
    <row r="13437" spans="1:2" x14ac:dyDescent="0.4">
      <c r="A13437" s="4">
        <v>2100000</v>
      </c>
      <c r="B13437">
        <v>7080500</v>
      </c>
    </row>
    <row r="13438" spans="1:2" x14ac:dyDescent="0.4">
      <c r="A13438" s="4">
        <v>2100000</v>
      </c>
      <c r="B13438">
        <v>7080600</v>
      </c>
    </row>
    <row r="13439" spans="1:2" x14ac:dyDescent="0.4">
      <c r="A13439" s="4">
        <v>2100000</v>
      </c>
      <c r="B13439">
        <v>7080700</v>
      </c>
    </row>
    <row r="13440" spans="1:2" x14ac:dyDescent="0.4">
      <c r="A13440" s="4">
        <v>2100000</v>
      </c>
      <c r="B13440">
        <v>7080800</v>
      </c>
    </row>
    <row r="13441" spans="1:2" x14ac:dyDescent="0.4">
      <c r="A13441" s="4">
        <v>2100000</v>
      </c>
      <c r="B13441">
        <v>7080900</v>
      </c>
    </row>
    <row r="13442" spans="1:2" x14ac:dyDescent="0.4">
      <c r="A13442" s="4">
        <v>2100000</v>
      </c>
      <c r="B13442">
        <v>7081000</v>
      </c>
    </row>
    <row r="13443" spans="1:2" x14ac:dyDescent="0.4">
      <c r="A13443" s="4">
        <v>2100000</v>
      </c>
      <c r="B13443">
        <v>7081100</v>
      </c>
    </row>
    <row r="13444" spans="1:2" x14ac:dyDescent="0.4">
      <c r="A13444" s="4">
        <v>2100000</v>
      </c>
      <c r="B13444">
        <v>7081200</v>
      </c>
    </row>
    <row r="13445" spans="1:2" x14ac:dyDescent="0.4">
      <c r="A13445" s="4">
        <v>2100000</v>
      </c>
      <c r="B13445">
        <v>7081300</v>
      </c>
    </row>
    <row r="13446" spans="1:2" x14ac:dyDescent="0.4">
      <c r="A13446" s="4">
        <v>2100000</v>
      </c>
      <c r="B13446">
        <v>7081400</v>
      </c>
    </row>
    <row r="13447" spans="1:2" x14ac:dyDescent="0.4">
      <c r="A13447" s="4">
        <v>2100000</v>
      </c>
      <c r="B13447">
        <v>7081500</v>
      </c>
    </row>
    <row r="13448" spans="1:2" x14ac:dyDescent="0.4">
      <c r="A13448" s="4">
        <v>2100000</v>
      </c>
      <c r="B13448">
        <v>7081700</v>
      </c>
    </row>
    <row r="13449" spans="1:2" x14ac:dyDescent="0.4">
      <c r="A13449" s="4">
        <v>2100000</v>
      </c>
      <c r="B13449">
        <v>7081800</v>
      </c>
    </row>
    <row r="13450" spans="1:2" x14ac:dyDescent="0.4">
      <c r="A13450" s="4">
        <v>2100000</v>
      </c>
      <c r="B13450">
        <v>7081900</v>
      </c>
    </row>
    <row r="13451" spans="1:2" x14ac:dyDescent="0.4">
      <c r="A13451" s="4">
        <v>2100000</v>
      </c>
      <c r="B13451">
        <v>7082000</v>
      </c>
    </row>
    <row r="13452" spans="1:2" x14ac:dyDescent="0.4">
      <c r="A13452" s="4">
        <v>2100000</v>
      </c>
      <c r="B13452">
        <v>7082100</v>
      </c>
    </row>
    <row r="13453" spans="1:2" x14ac:dyDescent="0.4">
      <c r="A13453" s="4">
        <v>2100000</v>
      </c>
      <c r="B13453">
        <v>7082200</v>
      </c>
    </row>
    <row r="13454" spans="1:2" x14ac:dyDescent="0.4">
      <c r="A13454" s="4">
        <v>2100000</v>
      </c>
      <c r="B13454">
        <v>7082300</v>
      </c>
    </row>
    <row r="13455" spans="1:2" x14ac:dyDescent="0.4">
      <c r="A13455" s="4">
        <v>2100000</v>
      </c>
      <c r="B13455">
        <v>7082400</v>
      </c>
    </row>
    <row r="13456" spans="1:2" x14ac:dyDescent="0.4">
      <c r="A13456" s="4">
        <v>2100000</v>
      </c>
      <c r="B13456">
        <v>7082500</v>
      </c>
    </row>
    <row r="13457" spans="1:2" x14ac:dyDescent="0.4">
      <c r="A13457" s="4">
        <v>2100000</v>
      </c>
      <c r="B13457">
        <v>7082600</v>
      </c>
    </row>
    <row r="13458" spans="1:2" x14ac:dyDescent="0.4">
      <c r="A13458" s="4">
        <v>2100000</v>
      </c>
      <c r="B13458">
        <v>7082700</v>
      </c>
    </row>
    <row r="13459" spans="1:2" x14ac:dyDescent="0.4">
      <c r="A13459" s="4">
        <v>2100000</v>
      </c>
      <c r="B13459">
        <v>7082800</v>
      </c>
    </row>
    <row r="13460" spans="1:2" x14ac:dyDescent="0.4">
      <c r="A13460" s="4">
        <v>2100000</v>
      </c>
      <c r="B13460">
        <v>7082900</v>
      </c>
    </row>
    <row r="13461" spans="1:2" x14ac:dyDescent="0.4">
      <c r="A13461" s="4">
        <v>2100000</v>
      </c>
      <c r="B13461">
        <v>7090000</v>
      </c>
    </row>
    <row r="13462" spans="1:2" x14ac:dyDescent="0.4">
      <c r="A13462" s="4">
        <v>2100000</v>
      </c>
      <c r="B13462">
        <v>7090100</v>
      </c>
    </row>
    <row r="13463" spans="1:2" x14ac:dyDescent="0.4">
      <c r="A13463" s="4">
        <v>2100000</v>
      </c>
      <c r="B13463">
        <v>7090300</v>
      </c>
    </row>
    <row r="13464" spans="1:2" x14ac:dyDescent="0.4">
      <c r="A13464" s="4">
        <v>2100000</v>
      </c>
      <c r="B13464">
        <v>7100100</v>
      </c>
    </row>
    <row r="13465" spans="1:2" x14ac:dyDescent="0.4">
      <c r="A13465" s="4">
        <v>2100000</v>
      </c>
      <c r="B13465">
        <v>7110000</v>
      </c>
    </row>
    <row r="13466" spans="1:2" x14ac:dyDescent="0.4">
      <c r="A13466" s="4">
        <v>2100000</v>
      </c>
      <c r="B13466">
        <v>7120000</v>
      </c>
    </row>
    <row r="13467" spans="1:2" x14ac:dyDescent="0.4">
      <c r="A13467" s="4">
        <v>2100000</v>
      </c>
      <c r="B13467">
        <v>7120100</v>
      </c>
    </row>
    <row r="13468" spans="1:2" x14ac:dyDescent="0.4">
      <c r="A13468" s="4">
        <v>2100000</v>
      </c>
      <c r="B13468">
        <v>7120200</v>
      </c>
    </row>
    <row r="13469" spans="1:2" x14ac:dyDescent="0.4">
      <c r="A13469" s="4">
        <v>2100000</v>
      </c>
      <c r="B13469">
        <v>7120300</v>
      </c>
    </row>
    <row r="13470" spans="1:2" x14ac:dyDescent="0.4">
      <c r="A13470" s="4">
        <v>2100000</v>
      </c>
      <c r="B13470">
        <v>7120400</v>
      </c>
    </row>
    <row r="13471" spans="1:2" x14ac:dyDescent="0.4">
      <c r="A13471" s="4">
        <v>2100000</v>
      </c>
      <c r="B13471">
        <v>7120500</v>
      </c>
    </row>
    <row r="13472" spans="1:2" x14ac:dyDescent="0.4">
      <c r="A13472" s="4">
        <v>2100000</v>
      </c>
      <c r="B13472">
        <v>7120600</v>
      </c>
    </row>
    <row r="13473" spans="1:2" x14ac:dyDescent="0.4">
      <c r="A13473" s="4">
        <v>2100000</v>
      </c>
      <c r="B13473">
        <v>7120900</v>
      </c>
    </row>
    <row r="13474" spans="1:2" x14ac:dyDescent="0.4">
      <c r="A13474" s="4">
        <v>2100000</v>
      </c>
      <c r="B13474">
        <v>7121000</v>
      </c>
    </row>
    <row r="13475" spans="1:2" x14ac:dyDescent="0.4">
      <c r="A13475" s="4">
        <v>2100000</v>
      </c>
      <c r="B13475">
        <v>7121100</v>
      </c>
    </row>
    <row r="13476" spans="1:2" x14ac:dyDescent="0.4">
      <c r="A13476" s="4">
        <v>2100000</v>
      </c>
      <c r="B13476">
        <v>7121200</v>
      </c>
    </row>
    <row r="13477" spans="1:2" x14ac:dyDescent="0.4">
      <c r="A13477" s="4">
        <v>2100000</v>
      </c>
      <c r="B13477">
        <v>7121300</v>
      </c>
    </row>
    <row r="13478" spans="1:2" x14ac:dyDescent="0.4">
      <c r="A13478" s="4">
        <v>2100000</v>
      </c>
      <c r="B13478">
        <v>7121400</v>
      </c>
    </row>
    <row r="13479" spans="1:2" x14ac:dyDescent="0.4">
      <c r="A13479" s="4">
        <v>2100000</v>
      </c>
      <c r="B13479">
        <v>7121500</v>
      </c>
    </row>
    <row r="13480" spans="1:2" x14ac:dyDescent="0.4">
      <c r="A13480" s="4">
        <v>2100000</v>
      </c>
      <c r="B13480">
        <v>7121600</v>
      </c>
    </row>
    <row r="13481" spans="1:2" x14ac:dyDescent="0.4">
      <c r="A13481" s="4">
        <v>2100000</v>
      </c>
      <c r="B13481">
        <v>7121700</v>
      </c>
    </row>
    <row r="13482" spans="1:2" x14ac:dyDescent="0.4">
      <c r="A13482" s="4">
        <v>2100000</v>
      </c>
      <c r="B13482">
        <v>7121800</v>
      </c>
    </row>
    <row r="13483" spans="1:2" x14ac:dyDescent="0.4">
      <c r="A13483" s="4">
        <v>2100000</v>
      </c>
      <c r="B13483">
        <v>7121900</v>
      </c>
    </row>
    <row r="13484" spans="1:2" x14ac:dyDescent="0.4">
      <c r="A13484" s="4">
        <v>2100000</v>
      </c>
      <c r="B13484">
        <v>7122000</v>
      </c>
    </row>
    <row r="13485" spans="1:2" x14ac:dyDescent="0.4">
      <c r="A13485" s="4">
        <v>2100000</v>
      </c>
      <c r="B13485">
        <v>7122100</v>
      </c>
    </row>
    <row r="13486" spans="1:2" x14ac:dyDescent="0.4">
      <c r="A13486" s="4">
        <v>2100000</v>
      </c>
      <c r="B13486">
        <v>7122200</v>
      </c>
    </row>
    <row r="13487" spans="1:2" x14ac:dyDescent="0.4">
      <c r="A13487" s="4">
        <v>2100000</v>
      </c>
      <c r="B13487">
        <v>7122300</v>
      </c>
    </row>
    <row r="13488" spans="1:2" x14ac:dyDescent="0.4">
      <c r="A13488" s="4">
        <v>2100000</v>
      </c>
      <c r="B13488">
        <v>7122400</v>
      </c>
    </row>
    <row r="13489" spans="1:2" x14ac:dyDescent="0.4">
      <c r="A13489" s="4">
        <v>2100000</v>
      </c>
      <c r="B13489">
        <v>7122500</v>
      </c>
    </row>
    <row r="13490" spans="1:2" x14ac:dyDescent="0.4">
      <c r="A13490" s="4">
        <v>2100000</v>
      </c>
      <c r="B13490">
        <v>7122600</v>
      </c>
    </row>
    <row r="13491" spans="1:2" x14ac:dyDescent="0.4">
      <c r="A13491" s="4">
        <v>2100000</v>
      </c>
      <c r="B13491">
        <v>7122700</v>
      </c>
    </row>
    <row r="13492" spans="1:2" x14ac:dyDescent="0.4">
      <c r="A13492" s="4">
        <v>2100000</v>
      </c>
      <c r="B13492">
        <v>7122800</v>
      </c>
    </row>
    <row r="13493" spans="1:2" x14ac:dyDescent="0.4">
      <c r="A13493" s="4">
        <v>2100000</v>
      </c>
      <c r="B13493">
        <v>7122900</v>
      </c>
    </row>
    <row r="13494" spans="1:2" x14ac:dyDescent="0.4">
      <c r="A13494" s="4">
        <v>2100000</v>
      </c>
      <c r="B13494">
        <v>7123000</v>
      </c>
    </row>
    <row r="13495" spans="1:2" x14ac:dyDescent="0.4">
      <c r="A13495" s="4">
        <v>2100000</v>
      </c>
      <c r="B13495">
        <v>7123100</v>
      </c>
    </row>
    <row r="13496" spans="1:2" x14ac:dyDescent="0.4">
      <c r="A13496" s="4">
        <v>2100000</v>
      </c>
      <c r="B13496">
        <v>7123200</v>
      </c>
    </row>
    <row r="13497" spans="1:2" x14ac:dyDescent="0.4">
      <c r="A13497" s="4">
        <v>2100000</v>
      </c>
      <c r="B13497">
        <v>7123300</v>
      </c>
    </row>
    <row r="13498" spans="1:2" x14ac:dyDescent="0.4">
      <c r="A13498" s="4">
        <v>2100000</v>
      </c>
      <c r="B13498">
        <v>7123400</v>
      </c>
    </row>
    <row r="13499" spans="1:2" x14ac:dyDescent="0.4">
      <c r="A13499" s="4">
        <v>2100000</v>
      </c>
      <c r="B13499">
        <v>7123500</v>
      </c>
    </row>
    <row r="13500" spans="1:2" x14ac:dyDescent="0.4">
      <c r="A13500" s="4">
        <v>2100000</v>
      </c>
      <c r="B13500">
        <v>7123600</v>
      </c>
    </row>
    <row r="13501" spans="1:2" x14ac:dyDescent="0.4">
      <c r="A13501" s="4">
        <v>2100000</v>
      </c>
      <c r="B13501">
        <v>7123700</v>
      </c>
    </row>
    <row r="13502" spans="1:2" x14ac:dyDescent="0.4">
      <c r="A13502" s="4">
        <v>2100000</v>
      </c>
      <c r="B13502">
        <v>7123800</v>
      </c>
    </row>
    <row r="13503" spans="1:2" x14ac:dyDescent="0.4">
      <c r="A13503" s="4">
        <v>2100000</v>
      </c>
      <c r="B13503">
        <v>7123900</v>
      </c>
    </row>
    <row r="13504" spans="1:2" x14ac:dyDescent="0.4">
      <c r="A13504" s="4">
        <v>2100000</v>
      </c>
      <c r="B13504">
        <v>7124000</v>
      </c>
    </row>
    <row r="13505" spans="1:2" x14ac:dyDescent="0.4">
      <c r="A13505" s="4">
        <v>2100000</v>
      </c>
      <c r="B13505">
        <v>7124100</v>
      </c>
    </row>
    <row r="13506" spans="1:2" x14ac:dyDescent="0.4">
      <c r="A13506" s="4">
        <v>2100000</v>
      </c>
      <c r="B13506">
        <v>7124300</v>
      </c>
    </row>
    <row r="13507" spans="1:2" x14ac:dyDescent="0.4">
      <c r="A13507" s="4">
        <v>2100000</v>
      </c>
      <c r="B13507">
        <v>7124400</v>
      </c>
    </row>
    <row r="13508" spans="1:2" x14ac:dyDescent="0.4">
      <c r="A13508" s="4">
        <v>2100000</v>
      </c>
      <c r="B13508">
        <v>7124500</v>
      </c>
    </row>
    <row r="13509" spans="1:2" x14ac:dyDescent="0.4">
      <c r="A13509" s="4">
        <v>2100000</v>
      </c>
      <c r="B13509">
        <v>7124600</v>
      </c>
    </row>
    <row r="13510" spans="1:2" x14ac:dyDescent="0.4">
      <c r="A13510" s="4">
        <v>2100000</v>
      </c>
      <c r="B13510">
        <v>7124700</v>
      </c>
    </row>
    <row r="13511" spans="1:2" x14ac:dyDescent="0.4">
      <c r="A13511" s="4">
        <v>2100000</v>
      </c>
      <c r="B13511">
        <v>7126000</v>
      </c>
    </row>
    <row r="13512" spans="1:2" x14ac:dyDescent="0.4">
      <c r="A13512" s="4">
        <v>2100000</v>
      </c>
      <c r="B13512">
        <v>7150000</v>
      </c>
    </row>
    <row r="13513" spans="1:2" x14ac:dyDescent="0.4">
      <c r="A13513" s="4">
        <v>2100000</v>
      </c>
      <c r="B13513">
        <v>7160000</v>
      </c>
    </row>
    <row r="13514" spans="1:2" x14ac:dyDescent="0.4">
      <c r="A13514" s="4">
        <v>2100000</v>
      </c>
      <c r="B13514">
        <v>7220000</v>
      </c>
    </row>
    <row r="13515" spans="1:2" x14ac:dyDescent="0.4">
      <c r="A13515" s="4">
        <v>2100000</v>
      </c>
      <c r="B13515">
        <v>7230000</v>
      </c>
    </row>
    <row r="13516" spans="1:2" x14ac:dyDescent="0.4">
      <c r="A13516" s="4">
        <v>2100000</v>
      </c>
      <c r="B13516">
        <v>7240000</v>
      </c>
    </row>
    <row r="13517" spans="1:2" x14ac:dyDescent="0.4">
      <c r="A13517" s="4">
        <v>2100000</v>
      </c>
      <c r="B13517">
        <v>7260000</v>
      </c>
    </row>
    <row r="13518" spans="1:2" x14ac:dyDescent="0.4">
      <c r="A13518" s="4">
        <v>2100000</v>
      </c>
      <c r="B13518">
        <v>7260300</v>
      </c>
    </row>
    <row r="13519" spans="1:2" x14ac:dyDescent="0.4">
      <c r="A13519" s="4">
        <v>2100000</v>
      </c>
      <c r="B13519">
        <v>7260400</v>
      </c>
    </row>
    <row r="13520" spans="1:2" x14ac:dyDescent="0.4">
      <c r="A13520" s="4">
        <v>2100000</v>
      </c>
      <c r="B13520">
        <v>7270100</v>
      </c>
    </row>
    <row r="13521" spans="1:2" x14ac:dyDescent="0.4">
      <c r="A13521" s="4">
        <v>2100000</v>
      </c>
      <c r="B13521">
        <v>7280000</v>
      </c>
    </row>
    <row r="13522" spans="1:2" x14ac:dyDescent="0.4">
      <c r="A13522" s="4">
        <v>2100000</v>
      </c>
      <c r="B13522">
        <v>7290000</v>
      </c>
    </row>
    <row r="13523" spans="1:2" x14ac:dyDescent="0.4">
      <c r="A13523" s="4">
        <v>2100000</v>
      </c>
      <c r="B13523">
        <v>7310000</v>
      </c>
    </row>
    <row r="13524" spans="1:2" x14ac:dyDescent="0.4">
      <c r="A13524" s="4">
        <v>2100000</v>
      </c>
      <c r="B13524">
        <v>7330000</v>
      </c>
    </row>
    <row r="13525" spans="1:2" x14ac:dyDescent="0.4">
      <c r="A13525" s="4">
        <v>2100000</v>
      </c>
      <c r="B13525">
        <v>7330100</v>
      </c>
    </row>
    <row r="13526" spans="1:2" x14ac:dyDescent="0.4">
      <c r="A13526" s="4">
        <v>2100000</v>
      </c>
      <c r="B13526">
        <v>7330200</v>
      </c>
    </row>
    <row r="13527" spans="1:2" x14ac:dyDescent="0.4">
      <c r="A13527" s="4">
        <v>2100000</v>
      </c>
      <c r="B13527">
        <v>7330300</v>
      </c>
    </row>
    <row r="13528" spans="1:2" x14ac:dyDescent="0.4">
      <c r="A13528" s="4">
        <v>2100000</v>
      </c>
      <c r="B13528">
        <v>7330400</v>
      </c>
    </row>
    <row r="13529" spans="1:2" x14ac:dyDescent="0.4">
      <c r="A13529" s="4">
        <v>2100000</v>
      </c>
      <c r="B13529">
        <v>7330500</v>
      </c>
    </row>
    <row r="13530" spans="1:2" x14ac:dyDescent="0.4">
      <c r="A13530" s="4">
        <v>2100000</v>
      </c>
      <c r="B13530">
        <v>7330600</v>
      </c>
    </row>
    <row r="13531" spans="1:2" x14ac:dyDescent="0.4">
      <c r="A13531" s="4">
        <v>2100000</v>
      </c>
      <c r="B13531">
        <v>7330700</v>
      </c>
    </row>
    <row r="13532" spans="1:2" x14ac:dyDescent="0.4">
      <c r="A13532" s="4">
        <v>2100000</v>
      </c>
      <c r="B13532">
        <v>7330800</v>
      </c>
    </row>
    <row r="13533" spans="1:2" x14ac:dyDescent="0.4">
      <c r="A13533" s="4">
        <v>2100000</v>
      </c>
      <c r="B13533">
        <v>7330900</v>
      </c>
    </row>
    <row r="13534" spans="1:2" x14ac:dyDescent="0.4">
      <c r="A13534" s="4">
        <v>2100000</v>
      </c>
      <c r="B13534">
        <v>7331000</v>
      </c>
    </row>
    <row r="13535" spans="1:2" x14ac:dyDescent="0.4">
      <c r="A13535" s="4">
        <v>2100000</v>
      </c>
      <c r="B13535">
        <v>7331100</v>
      </c>
    </row>
    <row r="13536" spans="1:2" x14ac:dyDescent="0.4">
      <c r="A13536" s="4">
        <v>2100000</v>
      </c>
      <c r="B13536">
        <v>7331200</v>
      </c>
    </row>
    <row r="13537" spans="1:2" x14ac:dyDescent="0.4">
      <c r="A13537" s="4">
        <v>2100000</v>
      </c>
      <c r="B13537">
        <v>7331300</v>
      </c>
    </row>
    <row r="13538" spans="1:2" x14ac:dyDescent="0.4">
      <c r="A13538" s="4">
        <v>2100000</v>
      </c>
      <c r="B13538">
        <v>7331400</v>
      </c>
    </row>
    <row r="13539" spans="1:2" x14ac:dyDescent="0.4">
      <c r="A13539" s="4">
        <v>2100000</v>
      </c>
      <c r="B13539">
        <v>7331500</v>
      </c>
    </row>
    <row r="13540" spans="1:2" x14ac:dyDescent="0.4">
      <c r="A13540" s="4">
        <v>2100000</v>
      </c>
      <c r="B13540">
        <v>7331700</v>
      </c>
    </row>
    <row r="13541" spans="1:2" x14ac:dyDescent="0.4">
      <c r="A13541" s="4">
        <v>2100000</v>
      </c>
      <c r="B13541">
        <v>7331800</v>
      </c>
    </row>
    <row r="13542" spans="1:2" x14ac:dyDescent="0.4">
      <c r="A13542" s="4">
        <v>2100000</v>
      </c>
      <c r="B13542">
        <v>7331900</v>
      </c>
    </row>
    <row r="13543" spans="1:2" x14ac:dyDescent="0.4">
      <c r="A13543" s="4">
        <v>2100000</v>
      </c>
      <c r="B13543">
        <v>7332000</v>
      </c>
    </row>
    <row r="13544" spans="1:2" x14ac:dyDescent="0.4">
      <c r="A13544" s="4">
        <v>2100000</v>
      </c>
      <c r="B13544">
        <v>7332100</v>
      </c>
    </row>
    <row r="13545" spans="1:2" x14ac:dyDescent="0.4">
      <c r="A13545" s="4">
        <v>2100000</v>
      </c>
      <c r="B13545">
        <v>7332200</v>
      </c>
    </row>
    <row r="13546" spans="1:2" x14ac:dyDescent="0.4">
      <c r="A13546" s="4">
        <v>2100000</v>
      </c>
      <c r="B13546">
        <v>7332300</v>
      </c>
    </row>
    <row r="13547" spans="1:2" x14ac:dyDescent="0.4">
      <c r="A13547" s="4">
        <v>2100000</v>
      </c>
      <c r="B13547">
        <v>7332400</v>
      </c>
    </row>
    <row r="13548" spans="1:2" x14ac:dyDescent="0.4">
      <c r="A13548" s="4">
        <v>2100000</v>
      </c>
      <c r="B13548">
        <v>7340000</v>
      </c>
    </row>
    <row r="13549" spans="1:2" x14ac:dyDescent="0.4">
      <c r="A13549" s="4">
        <v>2100000</v>
      </c>
      <c r="B13549">
        <v>7340100</v>
      </c>
    </row>
    <row r="13550" spans="1:2" x14ac:dyDescent="0.4">
      <c r="A13550" s="4">
        <v>2100000</v>
      </c>
      <c r="B13550">
        <v>7340200</v>
      </c>
    </row>
    <row r="13551" spans="1:2" x14ac:dyDescent="0.4">
      <c r="A13551" s="4">
        <v>2100000</v>
      </c>
      <c r="B13551">
        <v>7340300</v>
      </c>
    </row>
    <row r="13552" spans="1:2" x14ac:dyDescent="0.4">
      <c r="A13552" s="4">
        <v>2100000</v>
      </c>
      <c r="B13552">
        <v>7340400</v>
      </c>
    </row>
    <row r="13553" spans="1:2" x14ac:dyDescent="0.4">
      <c r="A13553" s="4">
        <v>2100000</v>
      </c>
      <c r="B13553">
        <v>7340500</v>
      </c>
    </row>
    <row r="13554" spans="1:2" x14ac:dyDescent="0.4">
      <c r="A13554" s="4">
        <v>2100000</v>
      </c>
      <c r="B13554">
        <v>7340600</v>
      </c>
    </row>
    <row r="13555" spans="1:2" x14ac:dyDescent="0.4">
      <c r="A13555" s="4">
        <v>2100000</v>
      </c>
      <c r="B13555">
        <v>7340700</v>
      </c>
    </row>
    <row r="13556" spans="1:2" x14ac:dyDescent="0.4">
      <c r="A13556" s="4">
        <v>2100000</v>
      </c>
      <c r="B13556">
        <v>7340800</v>
      </c>
    </row>
    <row r="13557" spans="1:2" x14ac:dyDescent="0.4">
      <c r="A13557" s="4">
        <v>2100000</v>
      </c>
      <c r="B13557">
        <v>7340900</v>
      </c>
    </row>
    <row r="13558" spans="1:2" x14ac:dyDescent="0.4">
      <c r="A13558" s="4">
        <v>2100000</v>
      </c>
      <c r="B13558">
        <v>7341000</v>
      </c>
    </row>
    <row r="13559" spans="1:2" x14ac:dyDescent="0.4">
      <c r="A13559" s="4">
        <v>2100000</v>
      </c>
      <c r="B13559">
        <v>7341100</v>
      </c>
    </row>
    <row r="13560" spans="1:2" x14ac:dyDescent="0.4">
      <c r="A13560" s="4">
        <v>2100000</v>
      </c>
      <c r="B13560">
        <v>7341200</v>
      </c>
    </row>
    <row r="13561" spans="1:2" x14ac:dyDescent="0.4">
      <c r="A13561" s="4">
        <v>2100000</v>
      </c>
      <c r="B13561">
        <v>7341300</v>
      </c>
    </row>
    <row r="13562" spans="1:2" x14ac:dyDescent="0.4">
      <c r="A13562" s="4">
        <v>2100000</v>
      </c>
      <c r="B13562">
        <v>7341400</v>
      </c>
    </row>
    <row r="13563" spans="1:2" x14ac:dyDescent="0.4">
      <c r="A13563" s="4">
        <v>2100000</v>
      </c>
      <c r="B13563">
        <v>7341500</v>
      </c>
    </row>
    <row r="13564" spans="1:2" x14ac:dyDescent="0.4">
      <c r="A13564" s="4">
        <v>2100000</v>
      </c>
      <c r="B13564">
        <v>7341700</v>
      </c>
    </row>
    <row r="13565" spans="1:2" x14ac:dyDescent="0.4">
      <c r="A13565" s="4">
        <v>2100000</v>
      </c>
      <c r="B13565">
        <v>7341800</v>
      </c>
    </row>
    <row r="13566" spans="1:2" x14ac:dyDescent="0.4">
      <c r="A13566" s="4">
        <v>2100000</v>
      </c>
      <c r="B13566">
        <v>7341900</v>
      </c>
    </row>
    <row r="13567" spans="1:2" x14ac:dyDescent="0.4">
      <c r="A13567" s="4">
        <v>2100000</v>
      </c>
      <c r="B13567">
        <v>7342000</v>
      </c>
    </row>
    <row r="13568" spans="1:2" x14ac:dyDescent="0.4">
      <c r="A13568" s="4">
        <v>2100000</v>
      </c>
      <c r="B13568">
        <v>7342100</v>
      </c>
    </row>
    <row r="13569" spans="1:2" x14ac:dyDescent="0.4">
      <c r="A13569" s="4">
        <v>2100000</v>
      </c>
      <c r="B13569">
        <v>7342200</v>
      </c>
    </row>
    <row r="13570" spans="1:2" x14ac:dyDescent="0.4">
      <c r="A13570" s="4">
        <v>2100000</v>
      </c>
      <c r="B13570">
        <v>7342300</v>
      </c>
    </row>
    <row r="13571" spans="1:2" x14ac:dyDescent="0.4">
      <c r="A13571" s="4">
        <v>2100000</v>
      </c>
      <c r="B13571">
        <v>7342400</v>
      </c>
    </row>
    <row r="13572" spans="1:2" x14ac:dyDescent="0.4">
      <c r="A13572" s="4">
        <v>2100000</v>
      </c>
      <c r="B13572">
        <v>7350000</v>
      </c>
    </row>
    <row r="13573" spans="1:2" x14ac:dyDescent="0.4">
      <c r="A13573" s="4">
        <v>2100000</v>
      </c>
      <c r="B13573">
        <v>7350100</v>
      </c>
    </row>
    <row r="13574" spans="1:2" x14ac:dyDescent="0.4">
      <c r="A13574" s="4">
        <v>2100000</v>
      </c>
      <c r="B13574">
        <v>7350200</v>
      </c>
    </row>
    <row r="13575" spans="1:2" x14ac:dyDescent="0.4">
      <c r="A13575" s="4">
        <v>2100000</v>
      </c>
      <c r="B13575">
        <v>7350300</v>
      </c>
    </row>
    <row r="13576" spans="1:2" x14ac:dyDescent="0.4">
      <c r="A13576" s="4">
        <v>2100000</v>
      </c>
      <c r="B13576">
        <v>7350400</v>
      </c>
    </row>
    <row r="13577" spans="1:2" x14ac:dyDescent="0.4">
      <c r="A13577" s="4">
        <v>2100000</v>
      </c>
      <c r="B13577">
        <v>7350500</v>
      </c>
    </row>
    <row r="13578" spans="1:2" x14ac:dyDescent="0.4">
      <c r="A13578" s="4">
        <v>2100000</v>
      </c>
      <c r="B13578">
        <v>7350600</v>
      </c>
    </row>
    <row r="13579" spans="1:2" x14ac:dyDescent="0.4">
      <c r="A13579" s="4">
        <v>2100000</v>
      </c>
      <c r="B13579">
        <v>7350700</v>
      </c>
    </row>
    <row r="13580" spans="1:2" x14ac:dyDescent="0.4">
      <c r="A13580" s="4">
        <v>2100000</v>
      </c>
      <c r="B13580">
        <v>7350800</v>
      </c>
    </row>
    <row r="13581" spans="1:2" x14ac:dyDescent="0.4">
      <c r="A13581" s="4">
        <v>2100000</v>
      </c>
      <c r="B13581">
        <v>7350900</v>
      </c>
    </row>
    <row r="13582" spans="1:2" x14ac:dyDescent="0.4">
      <c r="A13582" s="4">
        <v>2100000</v>
      </c>
      <c r="B13582">
        <v>7351000</v>
      </c>
    </row>
    <row r="13583" spans="1:2" x14ac:dyDescent="0.4">
      <c r="A13583" s="4">
        <v>2100000</v>
      </c>
      <c r="B13583">
        <v>7351100</v>
      </c>
    </row>
    <row r="13584" spans="1:2" x14ac:dyDescent="0.4">
      <c r="A13584" s="4">
        <v>2100000</v>
      </c>
      <c r="B13584">
        <v>7351200</v>
      </c>
    </row>
    <row r="13585" spans="1:2" x14ac:dyDescent="0.4">
      <c r="A13585" s="4">
        <v>2100000</v>
      </c>
      <c r="B13585">
        <v>7351300</v>
      </c>
    </row>
    <row r="13586" spans="1:2" x14ac:dyDescent="0.4">
      <c r="A13586" s="4">
        <v>2100000</v>
      </c>
      <c r="B13586">
        <v>7351400</v>
      </c>
    </row>
    <row r="13587" spans="1:2" x14ac:dyDescent="0.4">
      <c r="A13587" s="4">
        <v>2100000</v>
      </c>
      <c r="B13587">
        <v>7351500</v>
      </c>
    </row>
    <row r="13588" spans="1:2" x14ac:dyDescent="0.4">
      <c r="A13588" s="4">
        <v>2100000</v>
      </c>
      <c r="B13588">
        <v>7351700</v>
      </c>
    </row>
    <row r="13589" spans="1:2" x14ac:dyDescent="0.4">
      <c r="A13589" s="4">
        <v>2100000</v>
      </c>
      <c r="B13589">
        <v>7351800</v>
      </c>
    </row>
    <row r="13590" spans="1:2" x14ac:dyDescent="0.4">
      <c r="A13590" s="4">
        <v>2100000</v>
      </c>
      <c r="B13590">
        <v>7351900</v>
      </c>
    </row>
    <row r="13591" spans="1:2" x14ac:dyDescent="0.4">
      <c r="A13591" s="4">
        <v>2100000</v>
      </c>
      <c r="B13591">
        <v>7352000</v>
      </c>
    </row>
    <row r="13592" spans="1:2" x14ac:dyDescent="0.4">
      <c r="A13592" s="4">
        <v>2100000</v>
      </c>
      <c r="B13592">
        <v>7352100</v>
      </c>
    </row>
    <row r="13593" spans="1:2" x14ac:dyDescent="0.4">
      <c r="A13593" s="4">
        <v>2100000</v>
      </c>
      <c r="B13593">
        <v>7352200</v>
      </c>
    </row>
    <row r="13594" spans="1:2" x14ac:dyDescent="0.4">
      <c r="A13594" s="4">
        <v>2100000</v>
      </c>
      <c r="B13594">
        <v>7352300</v>
      </c>
    </row>
    <row r="13595" spans="1:2" x14ac:dyDescent="0.4">
      <c r="A13595" s="4">
        <v>2100000</v>
      </c>
      <c r="B13595">
        <v>7352400</v>
      </c>
    </row>
    <row r="13596" spans="1:2" x14ac:dyDescent="0.4">
      <c r="A13596" s="4">
        <v>2100000</v>
      </c>
      <c r="B13596">
        <v>6001400</v>
      </c>
    </row>
    <row r="13597" spans="1:2" x14ac:dyDescent="0.4">
      <c r="A13597" s="4">
        <v>2100000</v>
      </c>
      <c r="B13597">
        <v>6001401</v>
      </c>
    </row>
    <row r="13598" spans="1:2" x14ac:dyDescent="0.4">
      <c r="A13598" s="4">
        <v>2100000</v>
      </c>
      <c r="B13598">
        <v>6001500</v>
      </c>
    </row>
    <row r="13599" spans="1:2" x14ac:dyDescent="0.4">
      <c r="A13599" s="4">
        <v>2100000</v>
      </c>
      <c r="B13599">
        <v>6001501</v>
      </c>
    </row>
    <row r="13600" spans="1:2" x14ac:dyDescent="0.4">
      <c r="A13600" s="4">
        <v>2100000</v>
      </c>
      <c r="B13600">
        <v>6001600</v>
      </c>
    </row>
    <row r="13601" spans="1:2" x14ac:dyDescent="0.4">
      <c r="A13601" s="4">
        <v>2100000</v>
      </c>
      <c r="B13601">
        <v>6001601</v>
      </c>
    </row>
    <row r="13602" spans="1:2" x14ac:dyDescent="0.4">
      <c r="A13602" s="4">
        <v>2100000</v>
      </c>
      <c r="B13602">
        <v>6001700</v>
      </c>
    </row>
    <row r="13603" spans="1:2" x14ac:dyDescent="0.4">
      <c r="A13603" s="4">
        <v>2100000</v>
      </c>
      <c r="B13603">
        <v>6001701</v>
      </c>
    </row>
    <row r="13604" spans="1:2" x14ac:dyDescent="0.4">
      <c r="A13604" s="4">
        <v>2100000</v>
      </c>
      <c r="B13604">
        <v>6001800</v>
      </c>
    </row>
    <row r="13605" spans="1:2" x14ac:dyDescent="0.4">
      <c r="A13605" s="4">
        <v>2100000</v>
      </c>
      <c r="B13605">
        <v>6001801</v>
      </c>
    </row>
    <row r="13606" spans="1:2" x14ac:dyDescent="0.4">
      <c r="A13606" s="4">
        <v>2100000</v>
      </c>
      <c r="B13606">
        <v>6002600</v>
      </c>
    </row>
    <row r="13607" spans="1:2" x14ac:dyDescent="0.4">
      <c r="A13607" s="4">
        <v>2100000</v>
      </c>
      <c r="B13607">
        <v>6002601</v>
      </c>
    </row>
    <row r="13608" spans="1:2" x14ac:dyDescent="0.4">
      <c r="A13608" s="4">
        <v>2100000</v>
      </c>
      <c r="B13608">
        <v>6002700</v>
      </c>
    </row>
    <row r="13609" spans="1:2" x14ac:dyDescent="0.4">
      <c r="A13609" s="4">
        <v>2100000</v>
      </c>
      <c r="B13609">
        <v>6002701</v>
      </c>
    </row>
    <row r="13610" spans="1:2" x14ac:dyDescent="0.4">
      <c r="A13610" s="4">
        <v>2100000</v>
      </c>
      <c r="B13610">
        <v>6002800</v>
      </c>
    </row>
    <row r="13611" spans="1:2" x14ac:dyDescent="0.4">
      <c r="A13611" s="4">
        <v>2100000</v>
      </c>
      <c r="B13611">
        <v>6002801</v>
      </c>
    </row>
    <row r="13612" spans="1:2" x14ac:dyDescent="0.4">
      <c r="A13612" s="4">
        <v>2100000</v>
      </c>
      <c r="B13612">
        <v>6002900</v>
      </c>
    </row>
    <row r="13613" spans="1:2" x14ac:dyDescent="0.4">
      <c r="A13613" s="4">
        <v>2100000</v>
      </c>
      <c r="B13613">
        <v>6002901</v>
      </c>
    </row>
    <row r="13614" spans="1:2" x14ac:dyDescent="0.4">
      <c r="A13614" s="4">
        <v>2100000</v>
      </c>
      <c r="B13614">
        <v>6003000</v>
      </c>
    </row>
    <row r="13615" spans="1:2" x14ac:dyDescent="0.4">
      <c r="A13615" s="4">
        <v>2100000</v>
      </c>
      <c r="B13615">
        <v>6003001</v>
      </c>
    </row>
    <row r="13616" spans="1:2" x14ac:dyDescent="0.4">
      <c r="A13616" s="4">
        <v>2100000</v>
      </c>
      <c r="B13616">
        <v>6003100</v>
      </c>
    </row>
    <row r="13617" spans="1:2" x14ac:dyDescent="0.4">
      <c r="A13617" s="4">
        <v>2100000</v>
      </c>
      <c r="B13617">
        <v>6003101</v>
      </c>
    </row>
    <row r="13618" spans="1:2" x14ac:dyDescent="0.4">
      <c r="A13618" s="4">
        <v>2100000</v>
      </c>
      <c r="B13618">
        <v>6003200</v>
      </c>
    </row>
    <row r="13619" spans="1:2" x14ac:dyDescent="0.4">
      <c r="A13619" s="4">
        <v>2100000</v>
      </c>
      <c r="B13619">
        <v>6003201</v>
      </c>
    </row>
    <row r="13620" spans="1:2" x14ac:dyDescent="0.4">
      <c r="A13620" s="4">
        <v>2100000</v>
      </c>
      <c r="B13620">
        <v>6003300</v>
      </c>
    </row>
    <row r="13621" spans="1:2" x14ac:dyDescent="0.4">
      <c r="A13621" s="4">
        <v>2100000</v>
      </c>
      <c r="B13621">
        <v>6003301</v>
      </c>
    </row>
    <row r="13622" spans="1:2" x14ac:dyDescent="0.4">
      <c r="A13622" s="4">
        <v>2100000</v>
      </c>
      <c r="B13622">
        <v>6003400</v>
      </c>
    </row>
    <row r="13623" spans="1:2" x14ac:dyDescent="0.4">
      <c r="A13623" s="4">
        <v>2100000</v>
      </c>
      <c r="B13623">
        <v>6003401</v>
      </c>
    </row>
    <row r="13624" spans="1:2" x14ac:dyDescent="0.4">
      <c r="A13624" s="4">
        <v>2100000</v>
      </c>
      <c r="B13624">
        <v>6003500</v>
      </c>
    </row>
    <row r="13625" spans="1:2" x14ac:dyDescent="0.4">
      <c r="A13625" s="4">
        <v>2100000</v>
      </c>
      <c r="B13625">
        <v>6003501</v>
      </c>
    </row>
    <row r="13626" spans="1:2" x14ac:dyDescent="0.4">
      <c r="A13626" s="4">
        <v>2100000</v>
      </c>
      <c r="B13626">
        <v>6003600</v>
      </c>
    </row>
    <row r="13627" spans="1:2" x14ac:dyDescent="0.4">
      <c r="A13627" s="4">
        <v>2100000</v>
      </c>
      <c r="B13627">
        <v>6003601</v>
      </c>
    </row>
    <row r="13628" spans="1:2" x14ac:dyDescent="0.4">
      <c r="A13628" s="4">
        <v>2100000</v>
      </c>
      <c r="B13628">
        <v>6005600</v>
      </c>
    </row>
    <row r="13629" spans="1:2" x14ac:dyDescent="0.4">
      <c r="A13629" s="4">
        <v>2100000</v>
      </c>
      <c r="B13629">
        <v>6005601</v>
      </c>
    </row>
    <row r="13630" spans="1:2" x14ac:dyDescent="0.4">
      <c r="A13630" s="4">
        <v>2100000</v>
      </c>
      <c r="B13630">
        <v>6030200</v>
      </c>
    </row>
    <row r="13631" spans="1:2" x14ac:dyDescent="0.4">
      <c r="A13631" s="4">
        <v>2100000</v>
      </c>
      <c r="B13631">
        <v>6030201</v>
      </c>
    </row>
    <row r="13632" spans="1:2" x14ac:dyDescent="0.4">
      <c r="A13632" s="4">
        <v>2100000</v>
      </c>
      <c r="B13632">
        <v>6030600</v>
      </c>
    </row>
    <row r="13633" spans="1:2" x14ac:dyDescent="0.4">
      <c r="A13633" s="4">
        <v>2100000</v>
      </c>
      <c r="B13633">
        <v>6030800</v>
      </c>
    </row>
    <row r="13634" spans="1:2" x14ac:dyDescent="0.4">
      <c r="A13634" s="4">
        <v>2100000</v>
      </c>
      <c r="B13634">
        <v>6030900</v>
      </c>
    </row>
    <row r="13635" spans="1:2" x14ac:dyDescent="0.4">
      <c r="A13635" s="4">
        <v>2100000</v>
      </c>
      <c r="B13635">
        <v>6030901</v>
      </c>
    </row>
    <row r="13636" spans="1:2" x14ac:dyDescent="0.4">
      <c r="A13636" s="4">
        <v>2100000</v>
      </c>
      <c r="B13636">
        <v>6035100</v>
      </c>
    </row>
    <row r="13637" spans="1:2" x14ac:dyDescent="0.4">
      <c r="A13637" s="4">
        <v>2100000</v>
      </c>
      <c r="B13637">
        <v>6035101</v>
      </c>
    </row>
    <row r="13638" spans="1:2" x14ac:dyDescent="0.4">
      <c r="A13638" s="4">
        <v>2100000</v>
      </c>
      <c r="B13638">
        <v>6040100</v>
      </c>
    </row>
    <row r="13639" spans="1:2" x14ac:dyDescent="0.4">
      <c r="A13639" s="4">
        <v>2100000</v>
      </c>
      <c r="B13639">
        <v>6040101</v>
      </c>
    </row>
    <row r="13640" spans="1:2" x14ac:dyDescent="0.4">
      <c r="A13640" s="4">
        <v>2100000</v>
      </c>
      <c r="B13640">
        <v>6040300</v>
      </c>
    </row>
    <row r="13641" spans="1:2" x14ac:dyDescent="0.4">
      <c r="A13641" s="4">
        <v>2100000</v>
      </c>
      <c r="B13641">
        <v>6040301</v>
      </c>
    </row>
    <row r="13642" spans="1:2" x14ac:dyDescent="0.4">
      <c r="A13642" s="4">
        <v>2100000</v>
      </c>
      <c r="B13642">
        <v>6040400</v>
      </c>
    </row>
    <row r="13643" spans="1:2" x14ac:dyDescent="0.4">
      <c r="A13643" s="4">
        <v>2100000</v>
      </c>
      <c r="B13643">
        <v>6040401</v>
      </c>
    </row>
    <row r="13644" spans="1:2" x14ac:dyDescent="0.4">
      <c r="A13644" s="4">
        <v>2100000</v>
      </c>
      <c r="B13644">
        <v>6040500</v>
      </c>
    </row>
    <row r="13645" spans="1:2" x14ac:dyDescent="0.4">
      <c r="A13645" s="4">
        <v>2100000</v>
      </c>
      <c r="B13645">
        <v>6040501</v>
      </c>
    </row>
    <row r="13646" spans="1:2" x14ac:dyDescent="0.4">
      <c r="A13646" s="4">
        <v>2100000</v>
      </c>
      <c r="B13646">
        <v>6043100</v>
      </c>
    </row>
    <row r="13647" spans="1:2" x14ac:dyDescent="0.4">
      <c r="A13647" s="4">
        <v>2100000</v>
      </c>
      <c r="B13647">
        <v>6043101</v>
      </c>
    </row>
    <row r="13648" spans="1:2" x14ac:dyDescent="0.4">
      <c r="A13648" s="4">
        <v>2100000</v>
      </c>
      <c r="B13648">
        <v>6060300</v>
      </c>
    </row>
    <row r="13649" spans="1:2" x14ac:dyDescent="0.4">
      <c r="A13649" s="4">
        <v>2100000</v>
      </c>
      <c r="B13649">
        <v>6060400</v>
      </c>
    </row>
    <row r="13650" spans="1:2" x14ac:dyDescent="0.4">
      <c r="A13650" s="4">
        <v>2100000</v>
      </c>
      <c r="B13650">
        <v>6060500</v>
      </c>
    </row>
    <row r="13651" spans="1:2" x14ac:dyDescent="0.4">
      <c r="A13651" s="4">
        <v>2100000</v>
      </c>
      <c r="B13651">
        <v>6060600</v>
      </c>
    </row>
    <row r="13652" spans="1:2" x14ac:dyDescent="0.4">
      <c r="A13652" s="4">
        <v>2100000</v>
      </c>
      <c r="B13652">
        <v>6090000</v>
      </c>
    </row>
    <row r="13653" spans="1:2" x14ac:dyDescent="0.4">
      <c r="A13653" s="4">
        <v>2100000</v>
      </c>
      <c r="B13653">
        <v>6160000</v>
      </c>
    </row>
    <row r="13654" spans="1:2" x14ac:dyDescent="0.4">
      <c r="A13654" s="4">
        <v>2100000</v>
      </c>
      <c r="B13654">
        <v>6260000</v>
      </c>
    </row>
    <row r="13655" spans="1:2" x14ac:dyDescent="0.4">
      <c r="A13655" s="4">
        <v>2100000</v>
      </c>
      <c r="B13655">
        <v>6260001</v>
      </c>
    </row>
    <row r="13656" spans="1:2" x14ac:dyDescent="0.4">
      <c r="A13656" s="4">
        <v>2100000</v>
      </c>
      <c r="B13656">
        <v>6260300</v>
      </c>
    </row>
    <row r="13657" spans="1:2" x14ac:dyDescent="0.4">
      <c r="A13657" s="4">
        <v>2100000</v>
      </c>
      <c r="B13657">
        <v>6260301</v>
      </c>
    </row>
    <row r="13658" spans="1:2" x14ac:dyDescent="0.4">
      <c r="A13658" s="4">
        <v>2100000</v>
      </c>
      <c r="B13658">
        <v>6260400</v>
      </c>
    </row>
    <row r="13659" spans="1:2" x14ac:dyDescent="0.4">
      <c r="A13659" s="4">
        <v>2100000</v>
      </c>
      <c r="B13659">
        <v>6260401</v>
      </c>
    </row>
    <row r="13660" spans="1:2" x14ac:dyDescent="0.4">
      <c r="A13660" s="4">
        <v>2100000</v>
      </c>
      <c r="B13660">
        <v>6500000</v>
      </c>
    </row>
    <row r="13661" spans="1:2" x14ac:dyDescent="0.4">
      <c r="A13661" s="4">
        <v>2100000</v>
      </c>
      <c r="B13661">
        <v>6500100</v>
      </c>
    </row>
    <row r="13662" spans="1:2" x14ac:dyDescent="0.4">
      <c r="A13662" s="4">
        <v>2100000</v>
      </c>
      <c r="B13662">
        <v>6500200</v>
      </c>
    </row>
    <row r="13663" spans="1:2" x14ac:dyDescent="0.4">
      <c r="A13663" s="4">
        <v>2100000</v>
      </c>
      <c r="B13663">
        <v>6500300</v>
      </c>
    </row>
    <row r="13664" spans="1:2" x14ac:dyDescent="0.4">
      <c r="A13664" s="4">
        <v>2100000</v>
      </c>
      <c r="B13664">
        <v>6500400</v>
      </c>
    </row>
    <row r="13665" spans="1:2" x14ac:dyDescent="0.4">
      <c r="A13665" s="4">
        <v>2100000</v>
      </c>
      <c r="B13665">
        <v>6500500</v>
      </c>
    </row>
    <row r="13666" spans="1:2" x14ac:dyDescent="0.4">
      <c r="A13666" s="4">
        <v>2100000</v>
      </c>
      <c r="B13666">
        <v>6500600</v>
      </c>
    </row>
    <row r="13667" spans="1:2" x14ac:dyDescent="0.4">
      <c r="A13667" s="4">
        <v>2100000</v>
      </c>
      <c r="B13667">
        <v>6500700</v>
      </c>
    </row>
    <row r="13668" spans="1:2" x14ac:dyDescent="0.4">
      <c r="A13668" s="4">
        <v>2100000</v>
      </c>
      <c r="B13668">
        <v>6600000</v>
      </c>
    </row>
    <row r="13669" spans="1:2" x14ac:dyDescent="0.4">
      <c r="A13669" s="4">
        <v>2100000</v>
      </c>
      <c r="B13669">
        <v>6600001</v>
      </c>
    </row>
    <row r="13670" spans="1:2" x14ac:dyDescent="0.4">
      <c r="A13670" s="4">
        <v>2100000</v>
      </c>
      <c r="B13670">
        <v>6600100</v>
      </c>
    </row>
    <row r="13671" spans="1:2" x14ac:dyDescent="0.4">
      <c r="A13671" s="4">
        <v>2100000</v>
      </c>
      <c r="B13671">
        <v>6600101</v>
      </c>
    </row>
    <row r="13672" spans="1:2" x14ac:dyDescent="0.4">
      <c r="A13672" s="4">
        <v>2100000</v>
      </c>
      <c r="B13672">
        <v>6610400</v>
      </c>
    </row>
    <row r="13673" spans="1:2" x14ac:dyDescent="0.4">
      <c r="A13673" s="4">
        <v>2100000</v>
      </c>
      <c r="B13673">
        <v>6610500</v>
      </c>
    </row>
    <row r="13674" spans="1:2" x14ac:dyDescent="0.4">
      <c r="A13674" s="4">
        <v>2100000</v>
      </c>
      <c r="B13674">
        <v>6610600</v>
      </c>
    </row>
    <row r="13675" spans="1:2" x14ac:dyDescent="0.4">
      <c r="A13675" s="4">
        <v>2100000</v>
      </c>
      <c r="B13675">
        <v>6610700</v>
      </c>
    </row>
    <row r="13676" spans="1:2" x14ac:dyDescent="0.4">
      <c r="A13676" s="4">
        <v>2100000</v>
      </c>
      <c r="B13676">
        <v>6610701</v>
      </c>
    </row>
    <row r="13677" spans="1:2" x14ac:dyDescent="0.4">
      <c r="A13677" s="4">
        <v>2100000</v>
      </c>
      <c r="B13677">
        <v>6610702</v>
      </c>
    </row>
    <row r="13678" spans="1:2" x14ac:dyDescent="0.4">
      <c r="A13678" s="4">
        <v>2100000</v>
      </c>
      <c r="B13678">
        <v>6610800</v>
      </c>
    </row>
    <row r="13679" spans="1:2" x14ac:dyDescent="0.4">
      <c r="A13679" s="4">
        <v>2100000</v>
      </c>
      <c r="B13679">
        <v>6610801</v>
      </c>
    </row>
    <row r="13680" spans="1:2" x14ac:dyDescent="0.4">
      <c r="A13680" s="4">
        <v>2100000</v>
      </c>
      <c r="B13680">
        <v>6610802</v>
      </c>
    </row>
    <row r="13681" spans="1:2" x14ac:dyDescent="0.4">
      <c r="A13681" s="4">
        <v>2100000</v>
      </c>
      <c r="B13681">
        <v>7006200</v>
      </c>
    </row>
    <row r="13682" spans="1:2" x14ac:dyDescent="0.4">
      <c r="A13682" s="4">
        <v>2100000</v>
      </c>
      <c r="B13682">
        <v>6611001</v>
      </c>
    </row>
    <row r="13683" spans="1:2" x14ac:dyDescent="0.4">
      <c r="A13683" s="4">
        <v>2100000</v>
      </c>
      <c r="B13683">
        <v>6611002</v>
      </c>
    </row>
    <row r="13684" spans="1:2" x14ac:dyDescent="0.4">
      <c r="A13684" s="4">
        <v>2100000</v>
      </c>
      <c r="B13684">
        <v>6611100</v>
      </c>
    </row>
    <row r="13685" spans="1:2" x14ac:dyDescent="0.4">
      <c r="A13685" s="4">
        <v>2100000</v>
      </c>
      <c r="B13685">
        <v>6611101</v>
      </c>
    </row>
    <row r="13686" spans="1:2" x14ac:dyDescent="0.4">
      <c r="A13686" s="4">
        <v>2100000</v>
      </c>
      <c r="B13686">
        <v>6611102</v>
      </c>
    </row>
    <row r="13687" spans="1:2" x14ac:dyDescent="0.4">
      <c r="A13687" s="4">
        <v>2100000</v>
      </c>
      <c r="B13687">
        <v>6611200</v>
      </c>
    </row>
    <row r="13688" spans="1:2" x14ac:dyDescent="0.4">
      <c r="A13688" s="4">
        <v>2100000</v>
      </c>
      <c r="B13688">
        <v>6611201</v>
      </c>
    </row>
    <row r="13689" spans="1:2" x14ac:dyDescent="0.4">
      <c r="A13689" s="4">
        <v>2100000</v>
      </c>
      <c r="B13689">
        <v>6611202</v>
      </c>
    </row>
    <row r="13690" spans="1:2" x14ac:dyDescent="0.4">
      <c r="A13690" s="4">
        <v>2100000</v>
      </c>
      <c r="B13690">
        <v>6611300</v>
      </c>
    </row>
    <row r="13691" spans="1:2" x14ac:dyDescent="0.4">
      <c r="A13691" s="4">
        <v>2100000</v>
      </c>
      <c r="B13691">
        <v>6611301</v>
      </c>
    </row>
    <row r="13692" spans="1:2" x14ac:dyDescent="0.4">
      <c r="A13692" s="4">
        <v>2100000</v>
      </c>
      <c r="B13692">
        <v>6611302</v>
      </c>
    </row>
    <row r="13693" spans="1:2" x14ac:dyDescent="0.4">
      <c r="A13693" s="4">
        <v>2100000</v>
      </c>
      <c r="B13693">
        <v>6611400</v>
      </c>
    </row>
    <row r="13694" spans="1:2" x14ac:dyDescent="0.4">
      <c r="A13694" s="4">
        <v>2100000</v>
      </c>
      <c r="B13694">
        <v>6621000</v>
      </c>
    </row>
    <row r="13695" spans="1:2" x14ac:dyDescent="0.4">
      <c r="A13695" s="4">
        <v>2100000</v>
      </c>
      <c r="B13695">
        <v>6621100</v>
      </c>
    </row>
    <row r="13696" spans="1:2" x14ac:dyDescent="0.4">
      <c r="A13696" s="4">
        <v>2100000</v>
      </c>
      <c r="B13696">
        <v>6621200</v>
      </c>
    </row>
    <row r="13697" spans="1:2" x14ac:dyDescent="0.4">
      <c r="A13697" s="4">
        <v>2100000</v>
      </c>
      <c r="B13697">
        <v>6621300</v>
      </c>
    </row>
    <row r="13698" spans="1:2" x14ac:dyDescent="0.4">
      <c r="A13698" s="4">
        <v>2100000</v>
      </c>
      <c r="B13698">
        <v>6621400</v>
      </c>
    </row>
    <row r="13699" spans="1:2" x14ac:dyDescent="0.4">
      <c r="A13699" s="4">
        <v>2100000</v>
      </c>
      <c r="B13699">
        <v>6621500</v>
      </c>
    </row>
    <row r="13700" spans="1:2" x14ac:dyDescent="0.4">
      <c r="A13700" s="4">
        <v>2100000</v>
      </c>
      <c r="B13700">
        <v>6621600</v>
      </c>
    </row>
    <row r="13701" spans="1:2" x14ac:dyDescent="0.4">
      <c r="A13701" s="4">
        <v>2100000</v>
      </c>
      <c r="B13701">
        <v>6621700</v>
      </c>
    </row>
    <row r="13702" spans="1:2" x14ac:dyDescent="0.4">
      <c r="A13702" s="4">
        <v>2100000</v>
      </c>
      <c r="B13702">
        <v>6621800</v>
      </c>
    </row>
    <row r="13703" spans="1:2" x14ac:dyDescent="0.4">
      <c r="A13703" s="4">
        <v>2100000</v>
      </c>
      <c r="B13703">
        <v>6621900</v>
      </c>
    </row>
    <row r="13704" spans="1:2" x14ac:dyDescent="0.4">
      <c r="A13704" s="4">
        <v>2100000</v>
      </c>
      <c r="B13704">
        <v>6622000</v>
      </c>
    </row>
    <row r="13705" spans="1:2" x14ac:dyDescent="0.4">
      <c r="A13705" s="4">
        <v>2100000</v>
      </c>
      <c r="B13705">
        <v>6622100</v>
      </c>
    </row>
    <row r="13706" spans="1:2" x14ac:dyDescent="0.4">
      <c r="A13706" s="4">
        <v>2100000</v>
      </c>
      <c r="B13706">
        <v>6622200</v>
      </c>
    </row>
    <row r="13707" spans="1:2" x14ac:dyDescent="0.4">
      <c r="A13707" s="4">
        <v>2100000</v>
      </c>
      <c r="B13707">
        <v>6622300</v>
      </c>
    </row>
    <row r="13708" spans="1:2" x14ac:dyDescent="0.4">
      <c r="A13708" s="4">
        <v>2100000</v>
      </c>
      <c r="B13708">
        <v>6622400</v>
      </c>
    </row>
    <row r="13709" spans="1:2" x14ac:dyDescent="0.4">
      <c r="A13709" s="4">
        <v>2100000</v>
      </c>
      <c r="B13709">
        <v>6622500</v>
      </c>
    </row>
    <row r="13710" spans="1:2" x14ac:dyDescent="0.4">
      <c r="A13710" s="4">
        <v>2100000</v>
      </c>
      <c r="B13710">
        <v>6622600</v>
      </c>
    </row>
    <row r="13711" spans="1:2" x14ac:dyDescent="0.4">
      <c r="A13711" s="4">
        <v>2100000</v>
      </c>
      <c r="B13711">
        <v>6622700</v>
      </c>
    </row>
    <row r="13712" spans="1:2" x14ac:dyDescent="0.4">
      <c r="A13712" s="4">
        <v>2100000</v>
      </c>
      <c r="B13712">
        <v>6622800</v>
      </c>
    </row>
    <row r="13713" spans="1:2" x14ac:dyDescent="0.4">
      <c r="A13713" s="4">
        <v>2100000</v>
      </c>
      <c r="B13713">
        <v>6622900</v>
      </c>
    </row>
    <row r="13714" spans="1:2" x14ac:dyDescent="0.4">
      <c r="A13714" s="4">
        <v>2100000</v>
      </c>
      <c r="B13714">
        <v>6623000</v>
      </c>
    </row>
    <row r="13715" spans="1:2" x14ac:dyDescent="0.4">
      <c r="A13715" s="4">
        <v>2100000</v>
      </c>
      <c r="B13715">
        <v>6623100</v>
      </c>
    </row>
    <row r="13716" spans="1:2" x14ac:dyDescent="0.4">
      <c r="A13716" s="4">
        <v>2100000</v>
      </c>
      <c r="B13716">
        <v>6623200</v>
      </c>
    </row>
    <row r="13717" spans="1:2" x14ac:dyDescent="0.4">
      <c r="A13717" s="4">
        <v>2100000</v>
      </c>
      <c r="B13717">
        <v>6624000</v>
      </c>
    </row>
    <row r="13718" spans="1:2" x14ac:dyDescent="0.4">
      <c r="A13718" s="4">
        <v>2100000</v>
      </c>
      <c r="B13718">
        <v>6624100</v>
      </c>
    </row>
    <row r="13719" spans="1:2" x14ac:dyDescent="0.4">
      <c r="A13719" s="4">
        <v>2100000</v>
      </c>
      <c r="B13719">
        <v>6624200</v>
      </c>
    </row>
    <row r="13720" spans="1:2" x14ac:dyDescent="0.4">
      <c r="A13720" s="4">
        <v>2100000</v>
      </c>
      <c r="B13720">
        <v>6624300</v>
      </c>
    </row>
    <row r="13721" spans="1:2" x14ac:dyDescent="0.4">
      <c r="A13721" s="4">
        <v>2100000</v>
      </c>
      <c r="B13721">
        <v>6624400</v>
      </c>
    </row>
    <row r="13722" spans="1:2" x14ac:dyDescent="0.4">
      <c r="A13722" s="4">
        <v>2100000</v>
      </c>
      <c r="B13722">
        <v>6624500</v>
      </c>
    </row>
    <row r="13723" spans="1:2" x14ac:dyDescent="0.4">
      <c r="A13723" s="4">
        <v>2100000</v>
      </c>
      <c r="B13723">
        <v>6630000</v>
      </c>
    </row>
    <row r="13724" spans="1:2" x14ac:dyDescent="0.4">
      <c r="A13724" s="4">
        <v>2100000</v>
      </c>
      <c r="B13724">
        <v>6630100</v>
      </c>
    </row>
    <row r="13725" spans="1:2" x14ac:dyDescent="0.4">
      <c r="A13725" s="4">
        <v>2100000</v>
      </c>
      <c r="B13725">
        <v>6630200</v>
      </c>
    </row>
    <row r="13726" spans="1:2" x14ac:dyDescent="0.4">
      <c r="A13726" s="4">
        <v>2100000</v>
      </c>
      <c r="B13726">
        <v>6630300</v>
      </c>
    </row>
    <row r="13727" spans="1:2" x14ac:dyDescent="0.4">
      <c r="A13727" s="4">
        <v>2100000</v>
      </c>
      <c r="B13727">
        <v>6630400</v>
      </c>
    </row>
    <row r="13728" spans="1:2" x14ac:dyDescent="0.4">
      <c r="A13728" s="4">
        <v>2100000</v>
      </c>
      <c r="B13728">
        <v>6630500</v>
      </c>
    </row>
    <row r="13729" spans="1:2" x14ac:dyDescent="0.4">
      <c r="A13729" s="4">
        <v>2100000</v>
      </c>
      <c r="B13729">
        <v>6630600</v>
      </c>
    </row>
    <row r="13730" spans="1:2" x14ac:dyDescent="0.4">
      <c r="A13730" s="4">
        <v>2100000</v>
      </c>
      <c r="B13730">
        <v>6630700</v>
      </c>
    </row>
    <row r="13731" spans="1:2" x14ac:dyDescent="0.4">
      <c r="A13731" s="4">
        <v>2100000</v>
      </c>
      <c r="B13731">
        <v>6630800</v>
      </c>
    </row>
    <row r="13732" spans="1:2" x14ac:dyDescent="0.4">
      <c r="A13732" s="4">
        <v>2100000</v>
      </c>
      <c r="B13732">
        <v>6630900</v>
      </c>
    </row>
    <row r="13733" spans="1:2" x14ac:dyDescent="0.4">
      <c r="A13733" s="4">
        <v>2100000</v>
      </c>
      <c r="B13733">
        <v>6631000</v>
      </c>
    </row>
    <row r="13734" spans="1:2" x14ac:dyDescent="0.4">
      <c r="A13734" s="4">
        <v>2100000</v>
      </c>
      <c r="B13734">
        <v>6631100</v>
      </c>
    </row>
    <row r="13735" spans="1:2" x14ac:dyDescent="0.4">
      <c r="A13735" s="4">
        <v>2100000</v>
      </c>
      <c r="B13735">
        <v>6631200</v>
      </c>
    </row>
    <row r="13736" spans="1:2" x14ac:dyDescent="0.4">
      <c r="A13736" s="4">
        <v>2100000</v>
      </c>
      <c r="B13736">
        <v>6631300</v>
      </c>
    </row>
    <row r="13737" spans="1:2" x14ac:dyDescent="0.4">
      <c r="A13737" s="4">
        <v>2100000</v>
      </c>
      <c r="B13737">
        <v>6631400</v>
      </c>
    </row>
    <row r="13738" spans="1:2" x14ac:dyDescent="0.4">
      <c r="A13738" s="4">
        <v>2100000</v>
      </c>
      <c r="B13738">
        <v>6631500</v>
      </c>
    </row>
    <row r="13739" spans="1:2" x14ac:dyDescent="0.4">
      <c r="A13739" s="4">
        <v>2100000</v>
      </c>
      <c r="B13739">
        <v>6631600</v>
      </c>
    </row>
    <row r="13740" spans="1:2" x14ac:dyDescent="0.4">
      <c r="A13740" s="4">
        <v>2100000</v>
      </c>
      <c r="B13740">
        <v>6631700</v>
      </c>
    </row>
    <row r="13741" spans="1:2" x14ac:dyDescent="0.4">
      <c r="A13741" s="4">
        <v>2100000</v>
      </c>
      <c r="B13741">
        <v>6631800</v>
      </c>
    </row>
    <row r="13742" spans="1:2" x14ac:dyDescent="0.4">
      <c r="A13742" s="4">
        <v>2100000</v>
      </c>
      <c r="B13742">
        <v>6631900</v>
      </c>
    </row>
    <row r="13743" spans="1:2" x14ac:dyDescent="0.4">
      <c r="A13743" s="4">
        <v>2100000</v>
      </c>
      <c r="B13743">
        <v>6632000</v>
      </c>
    </row>
    <row r="13744" spans="1:2" x14ac:dyDescent="0.4">
      <c r="A13744" s="4">
        <v>2100000</v>
      </c>
      <c r="B13744">
        <v>6632100</v>
      </c>
    </row>
    <row r="13745" spans="1:2" x14ac:dyDescent="0.4">
      <c r="A13745" s="4">
        <v>2100000</v>
      </c>
      <c r="B13745">
        <v>6632200</v>
      </c>
    </row>
    <row r="13746" spans="1:2" x14ac:dyDescent="0.4">
      <c r="A13746" s="4">
        <v>2100000</v>
      </c>
      <c r="B13746">
        <v>6632300</v>
      </c>
    </row>
    <row r="13747" spans="1:2" x14ac:dyDescent="0.4">
      <c r="A13747" s="4">
        <v>2100000</v>
      </c>
      <c r="B13747">
        <v>6632400</v>
      </c>
    </row>
    <row r="13748" spans="1:2" x14ac:dyDescent="0.4">
      <c r="A13748" s="4">
        <v>2100000</v>
      </c>
      <c r="B13748">
        <v>6632500</v>
      </c>
    </row>
    <row r="13749" spans="1:2" x14ac:dyDescent="0.4">
      <c r="A13749" s="4">
        <v>2100000</v>
      </c>
      <c r="B13749">
        <v>6632600</v>
      </c>
    </row>
    <row r="13750" spans="1:2" x14ac:dyDescent="0.4">
      <c r="A13750" s="4">
        <v>2100000</v>
      </c>
      <c r="B13750">
        <v>6632700</v>
      </c>
    </row>
    <row r="13751" spans="1:2" x14ac:dyDescent="0.4">
      <c r="A13751" s="4">
        <v>2100000</v>
      </c>
      <c r="B13751">
        <v>6632800</v>
      </c>
    </row>
    <row r="13752" spans="1:2" x14ac:dyDescent="0.4">
      <c r="A13752" s="4">
        <v>2100000</v>
      </c>
      <c r="B13752">
        <v>6632900</v>
      </c>
    </row>
    <row r="13753" spans="1:2" x14ac:dyDescent="0.4">
      <c r="A13753" s="4">
        <v>2100000</v>
      </c>
      <c r="B13753">
        <v>6633000</v>
      </c>
    </row>
    <row r="13754" spans="1:2" x14ac:dyDescent="0.4">
      <c r="A13754" s="4">
        <v>2100000</v>
      </c>
      <c r="B13754">
        <v>6633100</v>
      </c>
    </row>
    <row r="13755" spans="1:2" x14ac:dyDescent="0.4">
      <c r="A13755" s="4">
        <v>2100000</v>
      </c>
      <c r="B13755">
        <v>6633200</v>
      </c>
    </row>
    <row r="13756" spans="1:2" x14ac:dyDescent="0.4">
      <c r="A13756" s="4">
        <v>2100000</v>
      </c>
      <c r="B13756">
        <v>6640000</v>
      </c>
    </row>
    <row r="13757" spans="1:2" x14ac:dyDescent="0.4">
      <c r="A13757" s="4">
        <v>2100000</v>
      </c>
      <c r="B13757">
        <v>6640100</v>
      </c>
    </row>
    <row r="13758" spans="1:2" x14ac:dyDescent="0.4">
      <c r="A13758" s="4">
        <v>2100000</v>
      </c>
      <c r="B13758">
        <v>6641000</v>
      </c>
    </row>
    <row r="13759" spans="1:2" x14ac:dyDescent="0.4">
      <c r="A13759" s="4">
        <v>2100000</v>
      </c>
      <c r="B13759">
        <v>6641100</v>
      </c>
    </row>
    <row r="13760" spans="1:2" x14ac:dyDescent="0.4">
      <c r="A13760" s="4">
        <v>2100000</v>
      </c>
      <c r="B13760">
        <v>6642000</v>
      </c>
    </row>
    <row r="13761" spans="1:2" x14ac:dyDescent="0.4">
      <c r="A13761" s="4">
        <v>2100000</v>
      </c>
      <c r="B13761">
        <v>6642100</v>
      </c>
    </row>
    <row r="13762" spans="1:2" x14ac:dyDescent="0.4">
      <c r="A13762" s="4">
        <v>2100000</v>
      </c>
      <c r="B13762">
        <v>6643000</v>
      </c>
    </row>
    <row r="13763" spans="1:2" x14ac:dyDescent="0.4">
      <c r="A13763" s="4">
        <v>2100000</v>
      </c>
      <c r="B13763">
        <v>6643100</v>
      </c>
    </row>
    <row r="13764" spans="1:2" x14ac:dyDescent="0.4">
      <c r="A13764" s="4">
        <v>2100000</v>
      </c>
      <c r="B13764">
        <v>6644000</v>
      </c>
    </row>
    <row r="13765" spans="1:2" x14ac:dyDescent="0.4">
      <c r="A13765" s="4">
        <v>2100000</v>
      </c>
      <c r="B13765">
        <v>6644100</v>
      </c>
    </row>
    <row r="13766" spans="1:2" x14ac:dyDescent="0.4">
      <c r="A13766" s="4">
        <v>2100000</v>
      </c>
      <c r="B13766">
        <v>6645000</v>
      </c>
    </row>
    <row r="13767" spans="1:2" x14ac:dyDescent="0.4">
      <c r="A13767" s="4">
        <v>2100000</v>
      </c>
      <c r="B13767">
        <v>6645100</v>
      </c>
    </row>
    <row r="13768" spans="1:2" x14ac:dyDescent="0.4">
      <c r="A13768" s="4">
        <v>2100000</v>
      </c>
      <c r="B13768">
        <v>6646000</v>
      </c>
    </row>
    <row r="13769" spans="1:2" x14ac:dyDescent="0.4">
      <c r="A13769" s="4">
        <v>2100000</v>
      </c>
      <c r="B13769">
        <v>6646100</v>
      </c>
    </row>
    <row r="13770" spans="1:2" x14ac:dyDescent="0.4">
      <c r="A13770" s="4">
        <v>2100000</v>
      </c>
      <c r="B13770">
        <v>6647000</v>
      </c>
    </row>
    <row r="13771" spans="1:2" x14ac:dyDescent="0.4">
      <c r="A13771" s="4">
        <v>2100000</v>
      </c>
      <c r="B13771">
        <v>6647100</v>
      </c>
    </row>
    <row r="13772" spans="1:2" x14ac:dyDescent="0.4">
      <c r="A13772" s="4">
        <v>2100000</v>
      </c>
      <c r="B13772">
        <v>6500800</v>
      </c>
    </row>
    <row r="13773" spans="1:2" x14ac:dyDescent="0.4">
      <c r="A13773" s="4">
        <v>2100000</v>
      </c>
      <c r="B13773">
        <v>6500900</v>
      </c>
    </row>
    <row r="13774" spans="1:2" x14ac:dyDescent="0.4">
      <c r="A13774" s="4">
        <v>2100000</v>
      </c>
      <c r="B13774">
        <v>6647200</v>
      </c>
    </row>
    <row r="13775" spans="1:2" x14ac:dyDescent="0.4">
      <c r="A13775" s="4">
        <v>2100000</v>
      </c>
      <c r="B13775">
        <v>6647300</v>
      </c>
    </row>
    <row r="13776" spans="1:2" x14ac:dyDescent="0.4">
      <c r="A13776" s="4">
        <v>2100000</v>
      </c>
      <c r="B13776">
        <v>6647400</v>
      </c>
    </row>
    <row r="13777" spans="1:2" x14ac:dyDescent="0.4">
      <c r="A13777" s="4">
        <v>2100000</v>
      </c>
      <c r="B13777">
        <v>6647500</v>
      </c>
    </row>
    <row r="13778" spans="1:2" x14ac:dyDescent="0.4">
      <c r="A13778" s="4">
        <v>2200000</v>
      </c>
      <c r="B13778">
        <v>7000000</v>
      </c>
    </row>
    <row r="13779" spans="1:2" x14ac:dyDescent="0.4">
      <c r="A13779" s="4">
        <v>2200000</v>
      </c>
      <c r="B13779">
        <v>7000001</v>
      </c>
    </row>
    <row r="13780" spans="1:2" x14ac:dyDescent="0.4">
      <c r="A13780" s="4">
        <v>2200000</v>
      </c>
      <c r="B13780">
        <v>7000002</v>
      </c>
    </row>
    <row r="13781" spans="1:2" x14ac:dyDescent="0.4">
      <c r="A13781" s="4">
        <v>2200000</v>
      </c>
      <c r="B13781">
        <v>7000100</v>
      </c>
    </row>
    <row r="13782" spans="1:2" x14ac:dyDescent="0.4">
      <c r="A13782" s="4">
        <v>2200000</v>
      </c>
      <c r="B13782">
        <v>7000101</v>
      </c>
    </row>
    <row r="13783" spans="1:2" x14ac:dyDescent="0.4">
      <c r="A13783" s="4">
        <v>2200000</v>
      </c>
      <c r="B13783">
        <v>7000102</v>
      </c>
    </row>
    <row r="13784" spans="1:2" x14ac:dyDescent="0.4">
      <c r="A13784" s="4">
        <v>2200000</v>
      </c>
      <c r="B13784">
        <v>7000200</v>
      </c>
    </row>
    <row r="13785" spans="1:2" x14ac:dyDescent="0.4">
      <c r="A13785" s="4">
        <v>2200000</v>
      </c>
      <c r="B13785">
        <v>7000201</v>
      </c>
    </row>
    <row r="13786" spans="1:2" x14ac:dyDescent="0.4">
      <c r="A13786" s="4">
        <v>2200000</v>
      </c>
      <c r="B13786">
        <v>7000202</v>
      </c>
    </row>
    <row r="13787" spans="1:2" x14ac:dyDescent="0.4">
      <c r="A13787" s="4">
        <v>2200000</v>
      </c>
      <c r="B13787">
        <v>7000300</v>
      </c>
    </row>
    <row r="13788" spans="1:2" x14ac:dyDescent="0.4">
      <c r="A13788" s="4">
        <v>2200000</v>
      </c>
      <c r="B13788">
        <v>7000301</v>
      </c>
    </row>
    <row r="13789" spans="1:2" x14ac:dyDescent="0.4">
      <c r="A13789" s="4">
        <v>2200000</v>
      </c>
      <c r="B13789">
        <v>7000302</v>
      </c>
    </row>
    <row r="13790" spans="1:2" x14ac:dyDescent="0.4">
      <c r="A13790" s="4">
        <v>2200000</v>
      </c>
      <c r="B13790">
        <v>7000400</v>
      </c>
    </row>
    <row r="13791" spans="1:2" x14ac:dyDescent="0.4">
      <c r="A13791" s="4">
        <v>2200000</v>
      </c>
      <c r="B13791">
        <v>7000401</v>
      </c>
    </row>
    <row r="13792" spans="1:2" x14ac:dyDescent="0.4">
      <c r="A13792" s="4">
        <v>2200000</v>
      </c>
      <c r="B13792">
        <v>7000402</v>
      </c>
    </row>
    <row r="13793" spans="1:2" x14ac:dyDescent="0.4">
      <c r="A13793" s="4">
        <v>2200000</v>
      </c>
      <c r="B13793">
        <v>7000500</v>
      </c>
    </row>
    <row r="13794" spans="1:2" x14ac:dyDescent="0.4">
      <c r="A13794" s="4">
        <v>2200000</v>
      </c>
      <c r="B13794">
        <v>7000501</v>
      </c>
    </row>
    <row r="13795" spans="1:2" x14ac:dyDescent="0.4">
      <c r="A13795" s="4">
        <v>2200000</v>
      </c>
      <c r="B13795">
        <v>7000502</v>
      </c>
    </row>
    <row r="13796" spans="1:2" x14ac:dyDescent="0.4">
      <c r="A13796" s="4">
        <v>2200000</v>
      </c>
      <c r="B13796">
        <v>7000600</v>
      </c>
    </row>
    <row r="13797" spans="1:2" x14ac:dyDescent="0.4">
      <c r="A13797" s="4">
        <v>2200000</v>
      </c>
      <c r="B13797">
        <v>7000601</v>
      </c>
    </row>
    <row r="13798" spans="1:2" x14ac:dyDescent="0.4">
      <c r="A13798" s="4">
        <v>2200000</v>
      </c>
      <c r="B13798">
        <v>7000602</v>
      </c>
    </row>
    <row r="13799" spans="1:2" x14ac:dyDescent="0.4">
      <c r="A13799" s="4">
        <v>2200000</v>
      </c>
      <c r="B13799">
        <v>7000700</v>
      </c>
    </row>
    <row r="13800" spans="1:2" x14ac:dyDescent="0.4">
      <c r="A13800" s="4">
        <v>2200000</v>
      </c>
      <c r="B13800">
        <v>7000701</v>
      </c>
    </row>
    <row r="13801" spans="1:2" x14ac:dyDescent="0.4">
      <c r="A13801" s="4">
        <v>2200000</v>
      </c>
      <c r="B13801">
        <v>7000702</v>
      </c>
    </row>
    <row r="13802" spans="1:2" x14ac:dyDescent="0.4">
      <c r="A13802" s="4">
        <v>2200000</v>
      </c>
      <c r="B13802">
        <v>7000800</v>
      </c>
    </row>
    <row r="13803" spans="1:2" x14ac:dyDescent="0.4">
      <c r="A13803" s="4">
        <v>2200000</v>
      </c>
      <c r="B13803">
        <v>7000801</v>
      </c>
    </row>
    <row r="13804" spans="1:2" x14ac:dyDescent="0.4">
      <c r="A13804" s="4">
        <v>2200000</v>
      </c>
      <c r="B13804">
        <v>7000802</v>
      </c>
    </row>
    <row r="13805" spans="1:2" x14ac:dyDescent="0.4">
      <c r="A13805" s="4">
        <v>2200000</v>
      </c>
      <c r="B13805">
        <v>7000900</v>
      </c>
    </row>
    <row r="13806" spans="1:2" x14ac:dyDescent="0.4">
      <c r="A13806" s="4">
        <v>2200000</v>
      </c>
      <c r="B13806">
        <v>7000901</v>
      </c>
    </row>
    <row r="13807" spans="1:2" x14ac:dyDescent="0.4">
      <c r="A13807" s="4">
        <v>2200000</v>
      </c>
      <c r="B13807">
        <v>7000902</v>
      </c>
    </row>
    <row r="13808" spans="1:2" x14ac:dyDescent="0.4">
      <c r="A13808" s="4">
        <v>2200000</v>
      </c>
      <c r="B13808">
        <v>7001000</v>
      </c>
    </row>
    <row r="13809" spans="1:2" x14ac:dyDescent="0.4">
      <c r="A13809" s="4">
        <v>2200000</v>
      </c>
      <c r="B13809">
        <v>7001001</v>
      </c>
    </row>
    <row r="13810" spans="1:2" x14ac:dyDescent="0.4">
      <c r="A13810" s="4">
        <v>2200000</v>
      </c>
      <c r="B13810">
        <v>7001002</v>
      </c>
    </row>
    <row r="13811" spans="1:2" x14ac:dyDescent="0.4">
      <c r="A13811" s="4">
        <v>2200000</v>
      </c>
      <c r="B13811">
        <v>7001400</v>
      </c>
    </row>
    <row r="13812" spans="1:2" x14ac:dyDescent="0.4">
      <c r="A13812" s="4">
        <v>2200000</v>
      </c>
      <c r="B13812">
        <v>7001401</v>
      </c>
    </row>
    <row r="13813" spans="1:2" x14ac:dyDescent="0.4">
      <c r="A13813" s="4">
        <v>2200000</v>
      </c>
      <c r="B13813">
        <v>7001402</v>
      </c>
    </row>
    <row r="13814" spans="1:2" x14ac:dyDescent="0.4">
      <c r="A13814" s="4">
        <v>2200000</v>
      </c>
      <c r="B13814">
        <v>7001500</v>
      </c>
    </row>
    <row r="13815" spans="1:2" x14ac:dyDescent="0.4">
      <c r="A13815" s="4">
        <v>2200000</v>
      </c>
      <c r="B13815">
        <v>7001501</v>
      </c>
    </row>
    <row r="13816" spans="1:2" x14ac:dyDescent="0.4">
      <c r="A13816" s="4">
        <v>2200000</v>
      </c>
      <c r="B13816">
        <v>7001502</v>
      </c>
    </row>
    <row r="13817" spans="1:2" x14ac:dyDescent="0.4">
      <c r="A13817" s="4">
        <v>2200000</v>
      </c>
      <c r="B13817">
        <v>7001600</v>
      </c>
    </row>
    <row r="13818" spans="1:2" x14ac:dyDescent="0.4">
      <c r="A13818" s="4">
        <v>2200000</v>
      </c>
      <c r="B13818">
        <v>7001601</v>
      </c>
    </row>
    <row r="13819" spans="1:2" x14ac:dyDescent="0.4">
      <c r="A13819" s="4">
        <v>2200000</v>
      </c>
      <c r="B13819">
        <v>7001602</v>
      </c>
    </row>
    <row r="13820" spans="1:2" x14ac:dyDescent="0.4">
      <c r="A13820" s="4">
        <v>2200000</v>
      </c>
      <c r="B13820">
        <v>7001700</v>
      </c>
    </row>
    <row r="13821" spans="1:2" x14ac:dyDescent="0.4">
      <c r="A13821" s="4">
        <v>2200000</v>
      </c>
      <c r="B13821">
        <v>7001701</v>
      </c>
    </row>
    <row r="13822" spans="1:2" x14ac:dyDescent="0.4">
      <c r="A13822" s="4">
        <v>2200000</v>
      </c>
      <c r="B13822">
        <v>7001702</v>
      </c>
    </row>
    <row r="13823" spans="1:2" x14ac:dyDescent="0.4">
      <c r="A13823" s="4">
        <v>2200000</v>
      </c>
      <c r="B13823">
        <v>7001800</v>
      </c>
    </row>
    <row r="13824" spans="1:2" x14ac:dyDescent="0.4">
      <c r="A13824" s="4">
        <v>2200000</v>
      </c>
      <c r="B13824">
        <v>7001801</v>
      </c>
    </row>
    <row r="13825" spans="1:2" x14ac:dyDescent="0.4">
      <c r="A13825" s="4">
        <v>2200000</v>
      </c>
      <c r="B13825">
        <v>7001802</v>
      </c>
    </row>
    <row r="13826" spans="1:2" x14ac:dyDescent="0.4">
      <c r="A13826" s="4">
        <v>2200000</v>
      </c>
      <c r="B13826">
        <v>7002600</v>
      </c>
    </row>
    <row r="13827" spans="1:2" x14ac:dyDescent="0.4">
      <c r="A13827" s="4">
        <v>2200000</v>
      </c>
      <c r="B13827">
        <v>7002700</v>
      </c>
    </row>
    <row r="13828" spans="1:2" x14ac:dyDescent="0.4">
      <c r="A13828" s="4">
        <v>2200000</v>
      </c>
      <c r="B13828">
        <v>7002800</v>
      </c>
    </row>
    <row r="13829" spans="1:2" x14ac:dyDescent="0.4">
      <c r="A13829" s="4">
        <v>2200000</v>
      </c>
      <c r="B13829">
        <v>7002900</v>
      </c>
    </row>
    <row r="13830" spans="1:2" x14ac:dyDescent="0.4">
      <c r="A13830" s="4">
        <v>2200000</v>
      </c>
      <c r="B13830">
        <v>7003000</v>
      </c>
    </row>
    <row r="13831" spans="1:2" x14ac:dyDescent="0.4">
      <c r="A13831" s="4">
        <v>2200000</v>
      </c>
      <c r="B13831">
        <v>7003100</v>
      </c>
    </row>
    <row r="13832" spans="1:2" x14ac:dyDescent="0.4">
      <c r="A13832" s="4">
        <v>2200000</v>
      </c>
      <c r="B13832">
        <v>7003200</v>
      </c>
    </row>
    <row r="13833" spans="1:2" x14ac:dyDescent="0.4">
      <c r="A13833" s="4">
        <v>2200000</v>
      </c>
      <c r="B13833">
        <v>7003300</v>
      </c>
    </row>
    <row r="13834" spans="1:2" x14ac:dyDescent="0.4">
      <c r="A13834" s="4">
        <v>2200000</v>
      </c>
      <c r="B13834">
        <v>7003400</v>
      </c>
    </row>
    <row r="13835" spans="1:2" x14ac:dyDescent="0.4">
      <c r="A13835" s="4">
        <v>2200000</v>
      </c>
      <c r="B13835">
        <v>7003500</v>
      </c>
    </row>
    <row r="13836" spans="1:2" x14ac:dyDescent="0.4">
      <c r="A13836" s="4">
        <v>2200000</v>
      </c>
      <c r="B13836">
        <v>7003600</v>
      </c>
    </row>
    <row r="13837" spans="1:2" x14ac:dyDescent="0.4">
      <c r="A13837" s="4">
        <v>2200000</v>
      </c>
      <c r="B13837">
        <v>7005600</v>
      </c>
    </row>
    <row r="13838" spans="1:2" x14ac:dyDescent="0.4">
      <c r="A13838" s="4">
        <v>2200000</v>
      </c>
      <c r="B13838">
        <v>7006000</v>
      </c>
    </row>
    <row r="13839" spans="1:2" x14ac:dyDescent="0.4">
      <c r="A13839" s="4">
        <v>2200000</v>
      </c>
      <c r="B13839">
        <v>7006100</v>
      </c>
    </row>
    <row r="13840" spans="1:2" x14ac:dyDescent="0.4">
      <c r="A13840" s="4">
        <v>2200000</v>
      </c>
      <c r="B13840">
        <v>7010200</v>
      </c>
    </row>
    <row r="13841" spans="1:2" x14ac:dyDescent="0.4">
      <c r="A13841" s="4">
        <v>2200000</v>
      </c>
      <c r="B13841">
        <v>7010500</v>
      </c>
    </row>
    <row r="13842" spans="1:2" x14ac:dyDescent="0.4">
      <c r="A13842" s="4">
        <v>2200000</v>
      </c>
      <c r="B13842">
        <v>7010700</v>
      </c>
    </row>
    <row r="13843" spans="1:2" x14ac:dyDescent="0.4">
      <c r="A13843" s="4">
        <v>2200000</v>
      </c>
      <c r="B13843">
        <v>7010900</v>
      </c>
    </row>
    <row r="13844" spans="1:2" x14ac:dyDescent="0.4">
      <c r="A13844" s="4">
        <v>2200000</v>
      </c>
      <c r="B13844">
        <v>7011000</v>
      </c>
    </row>
    <row r="13845" spans="1:2" x14ac:dyDescent="0.4">
      <c r="A13845" s="4">
        <v>2200000</v>
      </c>
      <c r="B13845">
        <v>7011200</v>
      </c>
    </row>
    <row r="13846" spans="1:2" x14ac:dyDescent="0.4">
      <c r="A13846" s="4">
        <v>2200000</v>
      </c>
      <c r="B13846">
        <v>7011600</v>
      </c>
    </row>
    <row r="13847" spans="1:2" x14ac:dyDescent="0.4">
      <c r="A13847" s="4">
        <v>2200000</v>
      </c>
      <c r="B13847">
        <v>7011700</v>
      </c>
    </row>
    <row r="13848" spans="1:2" x14ac:dyDescent="0.4">
      <c r="A13848" s="4">
        <v>2200000</v>
      </c>
      <c r="B13848">
        <v>7012000</v>
      </c>
    </row>
    <row r="13849" spans="1:2" x14ac:dyDescent="0.4">
      <c r="A13849" s="4">
        <v>2200000</v>
      </c>
      <c r="B13849">
        <v>7012200</v>
      </c>
    </row>
    <row r="13850" spans="1:2" x14ac:dyDescent="0.4">
      <c r="A13850" s="4">
        <v>2200000</v>
      </c>
      <c r="B13850">
        <v>7012300</v>
      </c>
    </row>
    <row r="13851" spans="1:2" x14ac:dyDescent="0.4">
      <c r="A13851" s="4">
        <v>2200000</v>
      </c>
      <c r="B13851">
        <v>7020000</v>
      </c>
    </row>
    <row r="13852" spans="1:2" x14ac:dyDescent="0.4">
      <c r="A13852" s="4">
        <v>2200000</v>
      </c>
      <c r="B13852">
        <v>7030000</v>
      </c>
    </row>
    <row r="13853" spans="1:2" x14ac:dyDescent="0.4">
      <c r="A13853" s="4">
        <v>2200000</v>
      </c>
      <c r="B13853">
        <v>7030200</v>
      </c>
    </row>
    <row r="13854" spans="1:2" x14ac:dyDescent="0.4">
      <c r="A13854" s="4">
        <v>2200000</v>
      </c>
      <c r="B13854">
        <v>7030600</v>
      </c>
    </row>
    <row r="13855" spans="1:2" x14ac:dyDescent="0.4">
      <c r="A13855" s="4">
        <v>2200000</v>
      </c>
      <c r="B13855">
        <v>7030700</v>
      </c>
    </row>
    <row r="13856" spans="1:2" x14ac:dyDescent="0.4">
      <c r="A13856" s="4">
        <v>2200000</v>
      </c>
      <c r="B13856">
        <v>7030800</v>
      </c>
    </row>
    <row r="13857" spans="1:2" x14ac:dyDescent="0.4">
      <c r="A13857" s="4">
        <v>2200000</v>
      </c>
      <c r="B13857">
        <v>7030900</v>
      </c>
    </row>
    <row r="13858" spans="1:2" x14ac:dyDescent="0.4">
      <c r="A13858" s="4">
        <v>2200000</v>
      </c>
      <c r="B13858">
        <v>7031200</v>
      </c>
    </row>
    <row r="13859" spans="1:2" x14ac:dyDescent="0.4">
      <c r="A13859" s="4">
        <v>2200000</v>
      </c>
      <c r="B13859">
        <v>7031300</v>
      </c>
    </row>
    <row r="13860" spans="1:2" x14ac:dyDescent="0.4">
      <c r="A13860" s="4">
        <v>2200000</v>
      </c>
      <c r="B13860">
        <v>7031800</v>
      </c>
    </row>
    <row r="13861" spans="1:2" x14ac:dyDescent="0.4">
      <c r="A13861" s="4">
        <v>2200000</v>
      </c>
      <c r="B13861">
        <v>7031900</v>
      </c>
    </row>
    <row r="13862" spans="1:2" x14ac:dyDescent="0.4">
      <c r="A13862" s="4">
        <v>2200000</v>
      </c>
      <c r="B13862">
        <v>7032200</v>
      </c>
    </row>
    <row r="13863" spans="1:2" x14ac:dyDescent="0.4">
      <c r="A13863" s="4">
        <v>2200000</v>
      </c>
      <c r="B13863">
        <v>7032400</v>
      </c>
    </row>
    <row r="13864" spans="1:2" x14ac:dyDescent="0.4">
      <c r="A13864" s="4">
        <v>2200000</v>
      </c>
      <c r="B13864">
        <v>7032700</v>
      </c>
    </row>
    <row r="13865" spans="1:2" x14ac:dyDescent="0.4">
      <c r="A13865" s="4">
        <v>2200000</v>
      </c>
      <c r="B13865">
        <v>7032800</v>
      </c>
    </row>
    <row r="13866" spans="1:2" x14ac:dyDescent="0.4">
      <c r="A13866" s="4">
        <v>2200000</v>
      </c>
      <c r="B13866">
        <v>7032900</v>
      </c>
    </row>
    <row r="13867" spans="1:2" x14ac:dyDescent="0.4">
      <c r="A13867" s="4">
        <v>2200000</v>
      </c>
      <c r="B13867">
        <v>7033200</v>
      </c>
    </row>
    <row r="13868" spans="1:2" x14ac:dyDescent="0.4">
      <c r="A13868" s="4">
        <v>2200000</v>
      </c>
      <c r="B13868">
        <v>7033400</v>
      </c>
    </row>
    <row r="13869" spans="1:2" x14ac:dyDescent="0.4">
      <c r="A13869" s="4">
        <v>2200000</v>
      </c>
      <c r="B13869">
        <v>7034100</v>
      </c>
    </row>
    <row r="13870" spans="1:2" x14ac:dyDescent="0.4">
      <c r="A13870" s="4">
        <v>2200000</v>
      </c>
      <c r="B13870">
        <v>7034400</v>
      </c>
    </row>
    <row r="13871" spans="1:2" x14ac:dyDescent="0.4">
      <c r="A13871" s="4">
        <v>2200000</v>
      </c>
      <c r="B13871">
        <v>7034500</v>
      </c>
    </row>
    <row r="13872" spans="1:2" x14ac:dyDescent="0.4">
      <c r="A13872" s="4">
        <v>2200000</v>
      </c>
      <c r="B13872">
        <v>7034600</v>
      </c>
    </row>
    <row r="13873" spans="1:2" x14ac:dyDescent="0.4">
      <c r="A13873" s="4">
        <v>2200000</v>
      </c>
      <c r="B13873">
        <v>7034700</v>
      </c>
    </row>
    <row r="13874" spans="1:2" x14ac:dyDescent="0.4">
      <c r="A13874" s="4">
        <v>2200000</v>
      </c>
      <c r="B13874">
        <v>7035100</v>
      </c>
    </row>
    <row r="13875" spans="1:2" x14ac:dyDescent="0.4">
      <c r="A13875" s="4">
        <v>2200000</v>
      </c>
      <c r="B13875">
        <v>7036100</v>
      </c>
    </row>
    <row r="13876" spans="1:2" x14ac:dyDescent="0.4">
      <c r="A13876" s="4">
        <v>2200000</v>
      </c>
      <c r="B13876">
        <v>7040000</v>
      </c>
    </row>
    <row r="13877" spans="1:2" x14ac:dyDescent="0.4">
      <c r="A13877" s="4">
        <v>2200000</v>
      </c>
      <c r="B13877">
        <v>7040100</v>
      </c>
    </row>
    <row r="13878" spans="1:2" x14ac:dyDescent="0.4">
      <c r="A13878" s="4">
        <v>2200000</v>
      </c>
      <c r="B13878">
        <v>7040200</v>
      </c>
    </row>
    <row r="13879" spans="1:2" x14ac:dyDescent="0.4">
      <c r="A13879" s="4">
        <v>2200000</v>
      </c>
      <c r="B13879">
        <v>7040300</v>
      </c>
    </row>
    <row r="13880" spans="1:2" x14ac:dyDescent="0.4">
      <c r="A13880" s="4">
        <v>2200000</v>
      </c>
      <c r="B13880">
        <v>7040400</v>
      </c>
    </row>
    <row r="13881" spans="1:2" x14ac:dyDescent="0.4">
      <c r="A13881" s="4">
        <v>2200000</v>
      </c>
      <c r="B13881">
        <v>7040500</v>
      </c>
    </row>
    <row r="13882" spans="1:2" x14ac:dyDescent="0.4">
      <c r="A13882" s="4">
        <v>2200000</v>
      </c>
      <c r="B13882">
        <v>7043000</v>
      </c>
    </row>
    <row r="13883" spans="1:2" x14ac:dyDescent="0.4">
      <c r="A13883" s="4">
        <v>2200000</v>
      </c>
      <c r="B13883">
        <v>7043100</v>
      </c>
    </row>
    <row r="13884" spans="1:2" x14ac:dyDescent="0.4">
      <c r="A13884" s="4">
        <v>2200000</v>
      </c>
      <c r="B13884">
        <v>7043200</v>
      </c>
    </row>
    <row r="13885" spans="1:2" x14ac:dyDescent="0.4">
      <c r="A13885" s="4">
        <v>2200000</v>
      </c>
      <c r="B13885">
        <v>7043300</v>
      </c>
    </row>
    <row r="13886" spans="1:2" x14ac:dyDescent="0.4">
      <c r="A13886" s="4">
        <v>2200000</v>
      </c>
      <c r="B13886">
        <v>7043400</v>
      </c>
    </row>
    <row r="13887" spans="1:2" x14ac:dyDescent="0.4">
      <c r="A13887" s="4">
        <v>2200000</v>
      </c>
      <c r="B13887">
        <v>7043500</v>
      </c>
    </row>
    <row r="13888" spans="1:2" x14ac:dyDescent="0.4">
      <c r="A13888" s="4">
        <v>2200000</v>
      </c>
      <c r="B13888">
        <v>7043600</v>
      </c>
    </row>
    <row r="13889" spans="1:2" x14ac:dyDescent="0.4">
      <c r="A13889" s="4">
        <v>2200000</v>
      </c>
      <c r="B13889">
        <v>7043700</v>
      </c>
    </row>
    <row r="13890" spans="1:2" x14ac:dyDescent="0.4">
      <c r="A13890" s="4">
        <v>2200000</v>
      </c>
      <c r="B13890">
        <v>7043800</v>
      </c>
    </row>
    <row r="13891" spans="1:2" x14ac:dyDescent="0.4">
      <c r="A13891" s="4">
        <v>2200000</v>
      </c>
      <c r="B13891">
        <v>7044000</v>
      </c>
    </row>
    <row r="13892" spans="1:2" x14ac:dyDescent="0.4">
      <c r="A13892" s="4">
        <v>2200000</v>
      </c>
      <c r="B13892">
        <v>7044100</v>
      </c>
    </row>
    <row r="13893" spans="1:2" x14ac:dyDescent="0.4">
      <c r="A13893" s="4">
        <v>2200000</v>
      </c>
      <c r="B13893">
        <v>7044200</v>
      </c>
    </row>
    <row r="13894" spans="1:2" x14ac:dyDescent="0.4">
      <c r="A13894" s="4">
        <v>2200000</v>
      </c>
      <c r="B13894">
        <v>7044300</v>
      </c>
    </row>
    <row r="13895" spans="1:2" x14ac:dyDescent="0.4">
      <c r="A13895" s="4">
        <v>2200000</v>
      </c>
      <c r="B13895">
        <v>7044400</v>
      </c>
    </row>
    <row r="13896" spans="1:2" x14ac:dyDescent="0.4">
      <c r="A13896" s="4">
        <v>2200000</v>
      </c>
      <c r="B13896">
        <v>7044500</v>
      </c>
    </row>
    <row r="13897" spans="1:2" x14ac:dyDescent="0.4">
      <c r="A13897" s="4">
        <v>2200000</v>
      </c>
      <c r="B13897">
        <v>7044600</v>
      </c>
    </row>
    <row r="13898" spans="1:2" x14ac:dyDescent="0.4">
      <c r="A13898" s="4">
        <v>2200000</v>
      </c>
      <c r="B13898">
        <v>7050000</v>
      </c>
    </row>
    <row r="13899" spans="1:2" x14ac:dyDescent="0.4">
      <c r="A13899" s="4">
        <v>2200000</v>
      </c>
      <c r="B13899">
        <v>7050100</v>
      </c>
    </row>
    <row r="13900" spans="1:2" x14ac:dyDescent="0.4">
      <c r="A13900" s="4">
        <v>2200000</v>
      </c>
      <c r="B13900">
        <v>7060000</v>
      </c>
    </row>
    <row r="13901" spans="1:2" x14ac:dyDescent="0.4">
      <c r="A13901" s="4">
        <v>2200000</v>
      </c>
      <c r="B13901">
        <v>7060100</v>
      </c>
    </row>
    <row r="13902" spans="1:2" x14ac:dyDescent="0.4">
      <c r="A13902" s="4">
        <v>2200000</v>
      </c>
      <c r="B13902">
        <v>7060200</v>
      </c>
    </row>
    <row r="13903" spans="1:2" x14ac:dyDescent="0.4">
      <c r="A13903" s="4">
        <v>2200000</v>
      </c>
      <c r="B13903">
        <v>7070000</v>
      </c>
    </row>
    <row r="13904" spans="1:2" x14ac:dyDescent="0.4">
      <c r="A13904" s="4">
        <v>2200000</v>
      </c>
      <c r="B13904">
        <v>7080000</v>
      </c>
    </row>
    <row r="13905" spans="1:2" x14ac:dyDescent="0.4">
      <c r="A13905" s="4">
        <v>2200000</v>
      </c>
      <c r="B13905">
        <v>7080100</v>
      </c>
    </row>
    <row r="13906" spans="1:2" x14ac:dyDescent="0.4">
      <c r="A13906" s="4">
        <v>2200000</v>
      </c>
      <c r="B13906">
        <v>7080200</v>
      </c>
    </row>
    <row r="13907" spans="1:2" x14ac:dyDescent="0.4">
      <c r="A13907" s="4">
        <v>2200000</v>
      </c>
      <c r="B13907">
        <v>7080300</v>
      </c>
    </row>
    <row r="13908" spans="1:2" x14ac:dyDescent="0.4">
      <c r="A13908" s="4">
        <v>2200000</v>
      </c>
      <c r="B13908">
        <v>7080400</v>
      </c>
    </row>
    <row r="13909" spans="1:2" x14ac:dyDescent="0.4">
      <c r="A13909" s="4">
        <v>2200000</v>
      </c>
      <c r="B13909">
        <v>7080500</v>
      </c>
    </row>
    <row r="13910" spans="1:2" x14ac:dyDescent="0.4">
      <c r="A13910" s="4">
        <v>2200000</v>
      </c>
      <c r="B13910">
        <v>7080600</v>
      </c>
    </row>
    <row r="13911" spans="1:2" x14ac:dyDescent="0.4">
      <c r="A13911" s="4">
        <v>2200000</v>
      </c>
      <c r="B13911">
        <v>7080700</v>
      </c>
    </row>
    <row r="13912" spans="1:2" x14ac:dyDescent="0.4">
      <c r="A13912" s="4">
        <v>2200000</v>
      </c>
      <c r="B13912">
        <v>7080800</v>
      </c>
    </row>
    <row r="13913" spans="1:2" x14ac:dyDescent="0.4">
      <c r="A13913" s="4">
        <v>2200000</v>
      </c>
      <c r="B13913">
        <v>7080900</v>
      </c>
    </row>
    <row r="13914" spans="1:2" x14ac:dyDescent="0.4">
      <c r="A13914" s="4">
        <v>2200000</v>
      </c>
      <c r="B13914">
        <v>7081000</v>
      </c>
    </row>
    <row r="13915" spans="1:2" x14ac:dyDescent="0.4">
      <c r="A13915" s="4">
        <v>2200000</v>
      </c>
      <c r="B13915">
        <v>7081100</v>
      </c>
    </row>
    <row r="13916" spans="1:2" x14ac:dyDescent="0.4">
      <c r="A13916" s="4">
        <v>2200000</v>
      </c>
      <c r="B13916">
        <v>7081200</v>
      </c>
    </row>
    <row r="13917" spans="1:2" x14ac:dyDescent="0.4">
      <c r="A13917" s="4">
        <v>2200000</v>
      </c>
      <c r="B13917">
        <v>7081300</v>
      </c>
    </row>
    <row r="13918" spans="1:2" x14ac:dyDescent="0.4">
      <c r="A13918" s="4">
        <v>2200000</v>
      </c>
      <c r="B13918">
        <v>7081400</v>
      </c>
    </row>
    <row r="13919" spans="1:2" x14ac:dyDescent="0.4">
      <c r="A13919" s="4">
        <v>2200000</v>
      </c>
      <c r="B13919">
        <v>7081500</v>
      </c>
    </row>
    <row r="13920" spans="1:2" x14ac:dyDescent="0.4">
      <c r="A13920" s="4">
        <v>2200000</v>
      </c>
      <c r="B13920">
        <v>7081700</v>
      </c>
    </row>
    <row r="13921" spans="1:2" x14ac:dyDescent="0.4">
      <c r="A13921" s="4">
        <v>2200000</v>
      </c>
      <c r="B13921">
        <v>7081800</v>
      </c>
    </row>
    <row r="13922" spans="1:2" x14ac:dyDescent="0.4">
      <c r="A13922" s="4">
        <v>2200000</v>
      </c>
      <c r="B13922">
        <v>7081900</v>
      </c>
    </row>
    <row r="13923" spans="1:2" x14ac:dyDescent="0.4">
      <c r="A13923" s="4">
        <v>2200000</v>
      </c>
      <c r="B13923">
        <v>7082000</v>
      </c>
    </row>
    <row r="13924" spans="1:2" x14ac:dyDescent="0.4">
      <c r="A13924" s="4">
        <v>2200000</v>
      </c>
      <c r="B13924">
        <v>7082100</v>
      </c>
    </row>
    <row r="13925" spans="1:2" x14ac:dyDescent="0.4">
      <c r="A13925" s="4">
        <v>2200000</v>
      </c>
      <c r="B13925">
        <v>7082200</v>
      </c>
    </row>
    <row r="13926" spans="1:2" x14ac:dyDescent="0.4">
      <c r="A13926" s="4">
        <v>2200000</v>
      </c>
      <c r="B13926">
        <v>7082300</v>
      </c>
    </row>
    <row r="13927" spans="1:2" x14ac:dyDescent="0.4">
      <c r="A13927" s="4">
        <v>2200000</v>
      </c>
      <c r="B13927">
        <v>7082400</v>
      </c>
    </row>
    <row r="13928" spans="1:2" x14ac:dyDescent="0.4">
      <c r="A13928" s="4">
        <v>2200000</v>
      </c>
      <c r="B13928">
        <v>7082500</v>
      </c>
    </row>
    <row r="13929" spans="1:2" x14ac:dyDescent="0.4">
      <c r="A13929" s="4">
        <v>2200000</v>
      </c>
      <c r="B13929">
        <v>7082600</v>
      </c>
    </row>
    <row r="13930" spans="1:2" x14ac:dyDescent="0.4">
      <c r="A13930" s="4">
        <v>2200000</v>
      </c>
      <c r="B13930">
        <v>7082700</v>
      </c>
    </row>
    <row r="13931" spans="1:2" x14ac:dyDescent="0.4">
      <c r="A13931" s="4">
        <v>2200000</v>
      </c>
      <c r="B13931">
        <v>7082800</v>
      </c>
    </row>
    <row r="13932" spans="1:2" x14ac:dyDescent="0.4">
      <c r="A13932" s="4">
        <v>2200000</v>
      </c>
      <c r="B13932">
        <v>7082900</v>
      </c>
    </row>
    <row r="13933" spans="1:2" x14ac:dyDescent="0.4">
      <c r="A13933" s="4">
        <v>2200000</v>
      </c>
      <c r="B13933">
        <v>7090000</v>
      </c>
    </row>
    <row r="13934" spans="1:2" x14ac:dyDescent="0.4">
      <c r="A13934" s="4">
        <v>2200000</v>
      </c>
      <c r="B13934">
        <v>7090100</v>
      </c>
    </row>
    <row r="13935" spans="1:2" x14ac:dyDescent="0.4">
      <c r="A13935" s="4">
        <v>2200000</v>
      </c>
      <c r="B13935">
        <v>7090300</v>
      </c>
    </row>
    <row r="13936" spans="1:2" x14ac:dyDescent="0.4">
      <c r="A13936" s="4">
        <v>2200000</v>
      </c>
      <c r="B13936">
        <v>7100100</v>
      </c>
    </row>
    <row r="13937" spans="1:2" x14ac:dyDescent="0.4">
      <c r="A13937" s="4">
        <v>2200000</v>
      </c>
      <c r="B13937">
        <v>7110000</v>
      </c>
    </row>
    <row r="13938" spans="1:2" x14ac:dyDescent="0.4">
      <c r="A13938" s="4">
        <v>2200000</v>
      </c>
      <c r="B13938">
        <v>7120000</v>
      </c>
    </row>
    <row r="13939" spans="1:2" x14ac:dyDescent="0.4">
      <c r="A13939" s="4">
        <v>2200000</v>
      </c>
      <c r="B13939">
        <v>7120100</v>
      </c>
    </row>
    <row r="13940" spans="1:2" x14ac:dyDescent="0.4">
      <c r="A13940" s="4">
        <v>2200000</v>
      </c>
      <c r="B13940">
        <v>7120200</v>
      </c>
    </row>
    <row r="13941" spans="1:2" x14ac:dyDescent="0.4">
      <c r="A13941" s="4">
        <v>2200000</v>
      </c>
      <c r="B13941">
        <v>7120300</v>
      </c>
    </row>
    <row r="13942" spans="1:2" x14ac:dyDescent="0.4">
      <c r="A13942" s="4">
        <v>2200000</v>
      </c>
      <c r="B13942">
        <v>7120400</v>
      </c>
    </row>
    <row r="13943" spans="1:2" x14ac:dyDescent="0.4">
      <c r="A13943" s="4">
        <v>2200000</v>
      </c>
      <c r="B13943">
        <v>7120500</v>
      </c>
    </row>
    <row r="13944" spans="1:2" x14ac:dyDescent="0.4">
      <c r="A13944" s="4">
        <v>2200000</v>
      </c>
      <c r="B13944">
        <v>7120600</v>
      </c>
    </row>
    <row r="13945" spans="1:2" x14ac:dyDescent="0.4">
      <c r="A13945" s="4">
        <v>2200000</v>
      </c>
      <c r="B13945">
        <v>7120900</v>
      </c>
    </row>
    <row r="13946" spans="1:2" x14ac:dyDescent="0.4">
      <c r="A13946" s="4">
        <v>2200000</v>
      </c>
      <c r="B13946">
        <v>7121000</v>
      </c>
    </row>
    <row r="13947" spans="1:2" x14ac:dyDescent="0.4">
      <c r="A13947" s="4">
        <v>2200000</v>
      </c>
      <c r="B13947">
        <v>7121100</v>
      </c>
    </row>
    <row r="13948" spans="1:2" x14ac:dyDescent="0.4">
      <c r="A13948" s="4">
        <v>2200000</v>
      </c>
      <c r="B13948">
        <v>7121200</v>
      </c>
    </row>
    <row r="13949" spans="1:2" x14ac:dyDescent="0.4">
      <c r="A13949" s="4">
        <v>2200000</v>
      </c>
      <c r="B13949">
        <v>7121300</v>
      </c>
    </row>
    <row r="13950" spans="1:2" x14ac:dyDescent="0.4">
      <c r="A13950" s="4">
        <v>2200000</v>
      </c>
      <c r="B13950">
        <v>7121400</v>
      </c>
    </row>
    <row r="13951" spans="1:2" x14ac:dyDescent="0.4">
      <c r="A13951" s="4">
        <v>2200000</v>
      </c>
      <c r="B13951">
        <v>7121500</v>
      </c>
    </row>
    <row r="13952" spans="1:2" x14ac:dyDescent="0.4">
      <c r="A13952" s="4">
        <v>2200000</v>
      </c>
      <c r="B13952">
        <v>7121600</v>
      </c>
    </row>
    <row r="13953" spans="1:2" x14ac:dyDescent="0.4">
      <c r="A13953" s="4">
        <v>2200000</v>
      </c>
      <c r="B13953">
        <v>7121700</v>
      </c>
    </row>
    <row r="13954" spans="1:2" x14ac:dyDescent="0.4">
      <c r="A13954" s="4">
        <v>2200000</v>
      </c>
      <c r="B13954">
        <v>7121800</v>
      </c>
    </row>
    <row r="13955" spans="1:2" x14ac:dyDescent="0.4">
      <c r="A13955" s="4">
        <v>2200000</v>
      </c>
      <c r="B13955">
        <v>7121900</v>
      </c>
    </row>
    <row r="13956" spans="1:2" x14ac:dyDescent="0.4">
      <c r="A13956" s="4">
        <v>2200000</v>
      </c>
      <c r="B13956">
        <v>7122000</v>
      </c>
    </row>
    <row r="13957" spans="1:2" x14ac:dyDescent="0.4">
      <c r="A13957" s="4">
        <v>2200000</v>
      </c>
      <c r="B13957">
        <v>7122100</v>
      </c>
    </row>
    <row r="13958" spans="1:2" x14ac:dyDescent="0.4">
      <c r="A13958" s="4">
        <v>2200000</v>
      </c>
      <c r="B13958">
        <v>7122200</v>
      </c>
    </row>
    <row r="13959" spans="1:2" x14ac:dyDescent="0.4">
      <c r="A13959" s="4">
        <v>2200000</v>
      </c>
      <c r="B13959">
        <v>7122300</v>
      </c>
    </row>
    <row r="13960" spans="1:2" x14ac:dyDescent="0.4">
      <c r="A13960" s="4">
        <v>2200000</v>
      </c>
      <c r="B13960">
        <v>7122400</v>
      </c>
    </row>
    <row r="13961" spans="1:2" x14ac:dyDescent="0.4">
      <c r="A13961" s="4">
        <v>2200000</v>
      </c>
      <c r="B13961">
        <v>7122500</v>
      </c>
    </row>
    <row r="13962" spans="1:2" x14ac:dyDescent="0.4">
      <c r="A13962" s="4">
        <v>2200000</v>
      </c>
      <c r="B13962">
        <v>7122600</v>
      </c>
    </row>
    <row r="13963" spans="1:2" x14ac:dyDescent="0.4">
      <c r="A13963" s="4">
        <v>2200000</v>
      </c>
      <c r="B13963">
        <v>7122700</v>
      </c>
    </row>
    <row r="13964" spans="1:2" x14ac:dyDescent="0.4">
      <c r="A13964" s="4">
        <v>2200000</v>
      </c>
      <c r="B13964">
        <v>7122800</v>
      </c>
    </row>
    <row r="13965" spans="1:2" x14ac:dyDescent="0.4">
      <c r="A13965" s="4">
        <v>2200000</v>
      </c>
      <c r="B13965">
        <v>7122900</v>
      </c>
    </row>
    <row r="13966" spans="1:2" x14ac:dyDescent="0.4">
      <c r="A13966" s="4">
        <v>2200000</v>
      </c>
      <c r="B13966">
        <v>7123000</v>
      </c>
    </row>
    <row r="13967" spans="1:2" x14ac:dyDescent="0.4">
      <c r="A13967" s="4">
        <v>2200000</v>
      </c>
      <c r="B13967">
        <v>7123100</v>
      </c>
    </row>
    <row r="13968" spans="1:2" x14ac:dyDescent="0.4">
      <c r="A13968" s="4">
        <v>2200000</v>
      </c>
      <c r="B13968">
        <v>7123200</v>
      </c>
    </row>
    <row r="13969" spans="1:2" x14ac:dyDescent="0.4">
      <c r="A13969" s="4">
        <v>2200000</v>
      </c>
      <c r="B13969">
        <v>7123300</v>
      </c>
    </row>
    <row r="13970" spans="1:2" x14ac:dyDescent="0.4">
      <c r="A13970" s="4">
        <v>2200000</v>
      </c>
      <c r="B13970">
        <v>7123400</v>
      </c>
    </row>
    <row r="13971" spans="1:2" x14ac:dyDescent="0.4">
      <c r="A13971" s="4">
        <v>2200000</v>
      </c>
      <c r="B13971">
        <v>7123500</v>
      </c>
    </row>
    <row r="13972" spans="1:2" x14ac:dyDescent="0.4">
      <c r="A13972" s="4">
        <v>2200000</v>
      </c>
      <c r="B13972">
        <v>7123600</v>
      </c>
    </row>
    <row r="13973" spans="1:2" x14ac:dyDescent="0.4">
      <c r="A13973" s="4">
        <v>2200000</v>
      </c>
      <c r="B13973">
        <v>7123700</v>
      </c>
    </row>
    <row r="13974" spans="1:2" x14ac:dyDescent="0.4">
      <c r="A13974" s="4">
        <v>2200000</v>
      </c>
      <c r="B13974">
        <v>7123800</v>
      </c>
    </row>
    <row r="13975" spans="1:2" x14ac:dyDescent="0.4">
      <c r="A13975" s="4">
        <v>2200000</v>
      </c>
      <c r="B13975">
        <v>7123900</v>
      </c>
    </row>
    <row r="13976" spans="1:2" x14ac:dyDescent="0.4">
      <c r="A13976" s="4">
        <v>2200000</v>
      </c>
      <c r="B13976">
        <v>7124000</v>
      </c>
    </row>
    <row r="13977" spans="1:2" x14ac:dyDescent="0.4">
      <c r="A13977" s="4">
        <v>2200000</v>
      </c>
      <c r="B13977">
        <v>7124100</v>
      </c>
    </row>
    <row r="13978" spans="1:2" x14ac:dyDescent="0.4">
      <c r="A13978" s="4">
        <v>2200000</v>
      </c>
      <c r="B13978">
        <v>7124300</v>
      </c>
    </row>
    <row r="13979" spans="1:2" x14ac:dyDescent="0.4">
      <c r="A13979" s="4">
        <v>2200000</v>
      </c>
      <c r="B13979">
        <v>7124400</v>
      </c>
    </row>
    <row r="13980" spans="1:2" x14ac:dyDescent="0.4">
      <c r="A13980" s="4">
        <v>2200000</v>
      </c>
      <c r="B13980">
        <v>7124500</v>
      </c>
    </row>
    <row r="13981" spans="1:2" x14ac:dyDescent="0.4">
      <c r="A13981" s="4">
        <v>2200000</v>
      </c>
      <c r="B13981">
        <v>7124600</v>
      </c>
    </row>
    <row r="13982" spans="1:2" x14ac:dyDescent="0.4">
      <c r="A13982" s="4">
        <v>2200000</v>
      </c>
      <c r="B13982">
        <v>7124700</v>
      </c>
    </row>
    <row r="13983" spans="1:2" x14ac:dyDescent="0.4">
      <c r="A13983" s="4">
        <v>2200000</v>
      </c>
      <c r="B13983">
        <v>7126000</v>
      </c>
    </row>
    <row r="13984" spans="1:2" x14ac:dyDescent="0.4">
      <c r="A13984" s="4">
        <v>2200000</v>
      </c>
      <c r="B13984">
        <v>7150000</v>
      </c>
    </row>
    <row r="13985" spans="1:2" x14ac:dyDescent="0.4">
      <c r="A13985" s="4">
        <v>2200000</v>
      </c>
      <c r="B13985">
        <v>7160000</v>
      </c>
    </row>
    <row r="13986" spans="1:2" x14ac:dyDescent="0.4">
      <c r="A13986" s="4">
        <v>2200000</v>
      </c>
      <c r="B13986">
        <v>7220000</v>
      </c>
    </row>
    <row r="13987" spans="1:2" x14ac:dyDescent="0.4">
      <c r="A13987" s="4">
        <v>2200000</v>
      </c>
      <c r="B13987">
        <v>7230000</v>
      </c>
    </row>
    <row r="13988" spans="1:2" x14ac:dyDescent="0.4">
      <c r="A13988" s="4">
        <v>2200000</v>
      </c>
      <c r="B13988">
        <v>7240000</v>
      </c>
    </row>
    <row r="13989" spans="1:2" x14ac:dyDescent="0.4">
      <c r="A13989" s="4">
        <v>2200000</v>
      </c>
      <c r="B13989">
        <v>7260000</v>
      </c>
    </row>
    <row r="13990" spans="1:2" x14ac:dyDescent="0.4">
      <c r="A13990" s="4">
        <v>2200000</v>
      </c>
      <c r="B13990">
        <v>7260300</v>
      </c>
    </row>
    <row r="13991" spans="1:2" x14ac:dyDescent="0.4">
      <c r="A13991" s="4">
        <v>2200000</v>
      </c>
      <c r="B13991">
        <v>7260400</v>
      </c>
    </row>
    <row r="13992" spans="1:2" x14ac:dyDescent="0.4">
      <c r="A13992" s="4">
        <v>2200000</v>
      </c>
      <c r="B13992">
        <v>7270100</v>
      </c>
    </row>
    <row r="13993" spans="1:2" x14ac:dyDescent="0.4">
      <c r="A13993" s="4">
        <v>2200000</v>
      </c>
      <c r="B13993">
        <v>7280000</v>
      </c>
    </row>
    <row r="13994" spans="1:2" x14ac:dyDescent="0.4">
      <c r="A13994" s="4">
        <v>2200000</v>
      </c>
      <c r="B13994">
        <v>7290000</v>
      </c>
    </row>
    <row r="13995" spans="1:2" x14ac:dyDescent="0.4">
      <c r="A13995" s="4">
        <v>2200000</v>
      </c>
      <c r="B13995">
        <v>7310000</v>
      </c>
    </row>
    <row r="13996" spans="1:2" x14ac:dyDescent="0.4">
      <c r="A13996" s="4">
        <v>2200000</v>
      </c>
      <c r="B13996">
        <v>7330000</v>
      </c>
    </row>
    <row r="13997" spans="1:2" x14ac:dyDescent="0.4">
      <c r="A13997" s="4">
        <v>2200000</v>
      </c>
      <c r="B13997">
        <v>7330100</v>
      </c>
    </row>
    <row r="13998" spans="1:2" x14ac:dyDescent="0.4">
      <c r="A13998" s="4">
        <v>2200000</v>
      </c>
      <c r="B13998">
        <v>7330200</v>
      </c>
    </row>
    <row r="13999" spans="1:2" x14ac:dyDescent="0.4">
      <c r="A13999" s="4">
        <v>2200000</v>
      </c>
      <c r="B13999">
        <v>7330300</v>
      </c>
    </row>
    <row r="14000" spans="1:2" x14ac:dyDescent="0.4">
      <c r="A14000" s="4">
        <v>2200000</v>
      </c>
      <c r="B14000">
        <v>7330400</v>
      </c>
    </row>
    <row r="14001" spans="1:2" x14ac:dyDescent="0.4">
      <c r="A14001" s="4">
        <v>2200000</v>
      </c>
      <c r="B14001">
        <v>7330500</v>
      </c>
    </row>
    <row r="14002" spans="1:2" x14ac:dyDescent="0.4">
      <c r="A14002" s="4">
        <v>2200000</v>
      </c>
      <c r="B14002">
        <v>7330600</v>
      </c>
    </row>
    <row r="14003" spans="1:2" x14ac:dyDescent="0.4">
      <c r="A14003" s="4">
        <v>2200000</v>
      </c>
      <c r="B14003">
        <v>7330700</v>
      </c>
    </row>
    <row r="14004" spans="1:2" x14ac:dyDescent="0.4">
      <c r="A14004" s="4">
        <v>2200000</v>
      </c>
      <c r="B14004">
        <v>7330800</v>
      </c>
    </row>
    <row r="14005" spans="1:2" x14ac:dyDescent="0.4">
      <c r="A14005" s="4">
        <v>2200000</v>
      </c>
      <c r="B14005">
        <v>7330900</v>
      </c>
    </row>
    <row r="14006" spans="1:2" x14ac:dyDescent="0.4">
      <c r="A14006" s="4">
        <v>2200000</v>
      </c>
      <c r="B14006">
        <v>7331000</v>
      </c>
    </row>
    <row r="14007" spans="1:2" x14ac:dyDescent="0.4">
      <c r="A14007" s="4">
        <v>2200000</v>
      </c>
      <c r="B14007">
        <v>7331100</v>
      </c>
    </row>
    <row r="14008" spans="1:2" x14ac:dyDescent="0.4">
      <c r="A14008" s="4">
        <v>2200000</v>
      </c>
      <c r="B14008">
        <v>7331200</v>
      </c>
    </row>
    <row r="14009" spans="1:2" x14ac:dyDescent="0.4">
      <c r="A14009" s="4">
        <v>2200000</v>
      </c>
      <c r="B14009">
        <v>7331300</v>
      </c>
    </row>
    <row r="14010" spans="1:2" x14ac:dyDescent="0.4">
      <c r="A14010" s="4">
        <v>2200000</v>
      </c>
      <c r="B14010">
        <v>7331400</v>
      </c>
    </row>
    <row r="14011" spans="1:2" x14ac:dyDescent="0.4">
      <c r="A14011" s="4">
        <v>2200000</v>
      </c>
      <c r="B14011">
        <v>7331500</v>
      </c>
    </row>
    <row r="14012" spans="1:2" x14ac:dyDescent="0.4">
      <c r="A14012" s="4">
        <v>2200000</v>
      </c>
      <c r="B14012">
        <v>7331700</v>
      </c>
    </row>
    <row r="14013" spans="1:2" x14ac:dyDescent="0.4">
      <c r="A14013" s="4">
        <v>2200000</v>
      </c>
      <c r="B14013">
        <v>7331800</v>
      </c>
    </row>
    <row r="14014" spans="1:2" x14ac:dyDescent="0.4">
      <c r="A14014" s="4">
        <v>2200000</v>
      </c>
      <c r="B14014">
        <v>7331900</v>
      </c>
    </row>
    <row r="14015" spans="1:2" x14ac:dyDescent="0.4">
      <c r="A14015" s="4">
        <v>2200000</v>
      </c>
      <c r="B14015">
        <v>7332000</v>
      </c>
    </row>
    <row r="14016" spans="1:2" x14ac:dyDescent="0.4">
      <c r="A14016" s="4">
        <v>2200000</v>
      </c>
      <c r="B14016">
        <v>7332100</v>
      </c>
    </row>
    <row r="14017" spans="1:2" x14ac:dyDescent="0.4">
      <c r="A14017" s="4">
        <v>2200000</v>
      </c>
      <c r="B14017">
        <v>7332200</v>
      </c>
    </row>
    <row r="14018" spans="1:2" x14ac:dyDescent="0.4">
      <c r="A14018" s="4">
        <v>2200000</v>
      </c>
      <c r="B14018">
        <v>7332300</v>
      </c>
    </row>
    <row r="14019" spans="1:2" x14ac:dyDescent="0.4">
      <c r="A14019" s="4">
        <v>2200000</v>
      </c>
      <c r="B14019">
        <v>7332400</v>
      </c>
    </row>
    <row r="14020" spans="1:2" x14ac:dyDescent="0.4">
      <c r="A14020" s="4">
        <v>2200000</v>
      </c>
      <c r="B14020">
        <v>7340000</v>
      </c>
    </row>
    <row r="14021" spans="1:2" x14ac:dyDescent="0.4">
      <c r="A14021" s="4">
        <v>2200000</v>
      </c>
      <c r="B14021">
        <v>7340100</v>
      </c>
    </row>
    <row r="14022" spans="1:2" x14ac:dyDescent="0.4">
      <c r="A14022" s="4">
        <v>2200000</v>
      </c>
      <c r="B14022">
        <v>7340200</v>
      </c>
    </row>
    <row r="14023" spans="1:2" x14ac:dyDescent="0.4">
      <c r="A14023" s="4">
        <v>2200000</v>
      </c>
      <c r="B14023">
        <v>7340300</v>
      </c>
    </row>
    <row r="14024" spans="1:2" x14ac:dyDescent="0.4">
      <c r="A14024" s="4">
        <v>2200000</v>
      </c>
      <c r="B14024">
        <v>7340400</v>
      </c>
    </row>
    <row r="14025" spans="1:2" x14ac:dyDescent="0.4">
      <c r="A14025" s="4">
        <v>2200000</v>
      </c>
      <c r="B14025">
        <v>7340500</v>
      </c>
    </row>
    <row r="14026" spans="1:2" x14ac:dyDescent="0.4">
      <c r="A14026" s="4">
        <v>2200000</v>
      </c>
      <c r="B14026">
        <v>7340600</v>
      </c>
    </row>
    <row r="14027" spans="1:2" x14ac:dyDescent="0.4">
      <c r="A14027" s="4">
        <v>2200000</v>
      </c>
      <c r="B14027">
        <v>7340700</v>
      </c>
    </row>
    <row r="14028" spans="1:2" x14ac:dyDescent="0.4">
      <c r="A14028" s="4">
        <v>2200000</v>
      </c>
      <c r="B14028">
        <v>7340800</v>
      </c>
    </row>
    <row r="14029" spans="1:2" x14ac:dyDescent="0.4">
      <c r="A14029" s="4">
        <v>2200000</v>
      </c>
      <c r="B14029">
        <v>7340900</v>
      </c>
    </row>
    <row r="14030" spans="1:2" x14ac:dyDescent="0.4">
      <c r="A14030" s="4">
        <v>2200000</v>
      </c>
      <c r="B14030">
        <v>7341000</v>
      </c>
    </row>
    <row r="14031" spans="1:2" x14ac:dyDescent="0.4">
      <c r="A14031" s="4">
        <v>2200000</v>
      </c>
      <c r="B14031">
        <v>7341100</v>
      </c>
    </row>
    <row r="14032" spans="1:2" x14ac:dyDescent="0.4">
      <c r="A14032" s="4">
        <v>2200000</v>
      </c>
      <c r="B14032">
        <v>7341200</v>
      </c>
    </row>
    <row r="14033" spans="1:2" x14ac:dyDescent="0.4">
      <c r="A14033" s="4">
        <v>2200000</v>
      </c>
      <c r="B14033">
        <v>7341300</v>
      </c>
    </row>
    <row r="14034" spans="1:2" x14ac:dyDescent="0.4">
      <c r="A14034" s="4">
        <v>2200000</v>
      </c>
      <c r="B14034">
        <v>7341400</v>
      </c>
    </row>
    <row r="14035" spans="1:2" x14ac:dyDescent="0.4">
      <c r="A14035" s="4">
        <v>2200000</v>
      </c>
      <c r="B14035">
        <v>7341500</v>
      </c>
    </row>
    <row r="14036" spans="1:2" x14ac:dyDescent="0.4">
      <c r="A14036" s="4">
        <v>2200000</v>
      </c>
      <c r="B14036">
        <v>7341700</v>
      </c>
    </row>
    <row r="14037" spans="1:2" x14ac:dyDescent="0.4">
      <c r="A14037" s="4">
        <v>2200000</v>
      </c>
      <c r="B14037">
        <v>7341800</v>
      </c>
    </row>
    <row r="14038" spans="1:2" x14ac:dyDescent="0.4">
      <c r="A14038" s="4">
        <v>2200000</v>
      </c>
      <c r="B14038">
        <v>7341900</v>
      </c>
    </row>
    <row r="14039" spans="1:2" x14ac:dyDescent="0.4">
      <c r="A14039" s="4">
        <v>2200000</v>
      </c>
      <c r="B14039">
        <v>7342000</v>
      </c>
    </row>
    <row r="14040" spans="1:2" x14ac:dyDescent="0.4">
      <c r="A14040" s="4">
        <v>2200000</v>
      </c>
      <c r="B14040">
        <v>7342100</v>
      </c>
    </row>
    <row r="14041" spans="1:2" x14ac:dyDescent="0.4">
      <c r="A14041" s="4">
        <v>2200000</v>
      </c>
      <c r="B14041">
        <v>7342200</v>
      </c>
    </row>
    <row r="14042" spans="1:2" x14ac:dyDescent="0.4">
      <c r="A14042" s="4">
        <v>2200000</v>
      </c>
      <c r="B14042">
        <v>7342300</v>
      </c>
    </row>
    <row r="14043" spans="1:2" x14ac:dyDescent="0.4">
      <c r="A14043" s="4">
        <v>2200000</v>
      </c>
      <c r="B14043">
        <v>7342400</v>
      </c>
    </row>
    <row r="14044" spans="1:2" x14ac:dyDescent="0.4">
      <c r="A14044" s="4">
        <v>2200000</v>
      </c>
      <c r="B14044">
        <v>7350000</v>
      </c>
    </row>
    <row r="14045" spans="1:2" x14ac:dyDescent="0.4">
      <c r="A14045" s="4">
        <v>2200000</v>
      </c>
      <c r="B14045">
        <v>7350100</v>
      </c>
    </row>
    <row r="14046" spans="1:2" x14ac:dyDescent="0.4">
      <c r="A14046" s="4">
        <v>2200000</v>
      </c>
      <c r="B14046">
        <v>7350200</v>
      </c>
    </row>
    <row r="14047" spans="1:2" x14ac:dyDescent="0.4">
      <c r="A14047" s="4">
        <v>2200000</v>
      </c>
      <c r="B14047">
        <v>7350300</v>
      </c>
    </row>
    <row r="14048" spans="1:2" x14ac:dyDescent="0.4">
      <c r="A14048" s="4">
        <v>2200000</v>
      </c>
      <c r="B14048">
        <v>7350400</v>
      </c>
    </row>
    <row r="14049" spans="1:2" x14ac:dyDescent="0.4">
      <c r="A14049" s="4">
        <v>2200000</v>
      </c>
      <c r="B14049">
        <v>7350500</v>
      </c>
    </row>
    <row r="14050" spans="1:2" x14ac:dyDescent="0.4">
      <c r="A14050" s="4">
        <v>2200000</v>
      </c>
      <c r="B14050">
        <v>7350600</v>
      </c>
    </row>
    <row r="14051" spans="1:2" x14ac:dyDescent="0.4">
      <c r="A14051" s="4">
        <v>2200000</v>
      </c>
      <c r="B14051">
        <v>7350700</v>
      </c>
    </row>
    <row r="14052" spans="1:2" x14ac:dyDescent="0.4">
      <c r="A14052" s="4">
        <v>2200000</v>
      </c>
      <c r="B14052">
        <v>7350800</v>
      </c>
    </row>
    <row r="14053" spans="1:2" x14ac:dyDescent="0.4">
      <c r="A14053" s="4">
        <v>2200000</v>
      </c>
      <c r="B14053">
        <v>7350900</v>
      </c>
    </row>
    <row r="14054" spans="1:2" x14ac:dyDescent="0.4">
      <c r="A14054" s="4">
        <v>2200000</v>
      </c>
      <c r="B14054">
        <v>7351000</v>
      </c>
    </row>
    <row r="14055" spans="1:2" x14ac:dyDescent="0.4">
      <c r="A14055" s="4">
        <v>2200000</v>
      </c>
      <c r="B14055">
        <v>7351100</v>
      </c>
    </row>
    <row r="14056" spans="1:2" x14ac:dyDescent="0.4">
      <c r="A14056" s="4">
        <v>2200000</v>
      </c>
      <c r="B14056">
        <v>7351200</v>
      </c>
    </row>
    <row r="14057" spans="1:2" x14ac:dyDescent="0.4">
      <c r="A14057" s="4">
        <v>2200000</v>
      </c>
      <c r="B14057">
        <v>7351300</v>
      </c>
    </row>
    <row r="14058" spans="1:2" x14ac:dyDescent="0.4">
      <c r="A14058" s="4">
        <v>2200000</v>
      </c>
      <c r="B14058">
        <v>7351400</v>
      </c>
    </row>
    <row r="14059" spans="1:2" x14ac:dyDescent="0.4">
      <c r="A14059" s="4">
        <v>2200000</v>
      </c>
      <c r="B14059">
        <v>7351500</v>
      </c>
    </row>
    <row r="14060" spans="1:2" x14ac:dyDescent="0.4">
      <c r="A14060" s="4">
        <v>2200000</v>
      </c>
      <c r="B14060">
        <v>7351700</v>
      </c>
    </row>
    <row r="14061" spans="1:2" x14ac:dyDescent="0.4">
      <c r="A14061" s="4">
        <v>2200000</v>
      </c>
      <c r="B14061">
        <v>7351800</v>
      </c>
    </row>
    <row r="14062" spans="1:2" x14ac:dyDescent="0.4">
      <c r="A14062" s="4">
        <v>2200000</v>
      </c>
      <c r="B14062">
        <v>7351900</v>
      </c>
    </row>
    <row r="14063" spans="1:2" x14ac:dyDescent="0.4">
      <c r="A14063" s="4">
        <v>2200000</v>
      </c>
      <c r="B14063">
        <v>7352000</v>
      </c>
    </row>
    <row r="14064" spans="1:2" x14ac:dyDescent="0.4">
      <c r="A14064" s="4">
        <v>2200000</v>
      </c>
      <c r="B14064">
        <v>7352100</v>
      </c>
    </row>
    <row r="14065" spans="1:2" x14ac:dyDescent="0.4">
      <c r="A14065" s="4">
        <v>2200000</v>
      </c>
      <c r="B14065">
        <v>7352200</v>
      </c>
    </row>
    <row r="14066" spans="1:2" x14ac:dyDescent="0.4">
      <c r="A14066" s="4">
        <v>2200000</v>
      </c>
      <c r="B14066">
        <v>7352300</v>
      </c>
    </row>
    <row r="14067" spans="1:2" x14ac:dyDescent="0.4">
      <c r="A14067" s="4">
        <v>2200000</v>
      </c>
      <c r="B14067">
        <v>7352400</v>
      </c>
    </row>
    <row r="14068" spans="1:2" x14ac:dyDescent="0.4">
      <c r="A14068" s="4">
        <v>2200000</v>
      </c>
      <c r="B14068">
        <v>6001400</v>
      </c>
    </row>
    <row r="14069" spans="1:2" x14ac:dyDescent="0.4">
      <c r="A14069" s="4">
        <v>2200000</v>
      </c>
      <c r="B14069">
        <v>6001401</v>
      </c>
    </row>
    <row r="14070" spans="1:2" x14ac:dyDescent="0.4">
      <c r="A14070" s="4">
        <v>2200000</v>
      </c>
      <c r="B14070">
        <v>6001500</v>
      </c>
    </row>
    <row r="14071" spans="1:2" x14ac:dyDescent="0.4">
      <c r="A14071" s="4">
        <v>2200000</v>
      </c>
      <c r="B14071">
        <v>6001501</v>
      </c>
    </row>
    <row r="14072" spans="1:2" x14ac:dyDescent="0.4">
      <c r="A14072" s="4">
        <v>2200000</v>
      </c>
      <c r="B14072">
        <v>6001600</v>
      </c>
    </row>
    <row r="14073" spans="1:2" x14ac:dyDescent="0.4">
      <c r="A14073" s="4">
        <v>2200000</v>
      </c>
      <c r="B14073">
        <v>6001601</v>
      </c>
    </row>
    <row r="14074" spans="1:2" x14ac:dyDescent="0.4">
      <c r="A14074" s="4">
        <v>2200000</v>
      </c>
      <c r="B14074">
        <v>6001700</v>
      </c>
    </row>
    <row r="14075" spans="1:2" x14ac:dyDescent="0.4">
      <c r="A14075" s="4">
        <v>2200000</v>
      </c>
      <c r="B14075">
        <v>6001701</v>
      </c>
    </row>
    <row r="14076" spans="1:2" x14ac:dyDescent="0.4">
      <c r="A14076" s="4">
        <v>2200000</v>
      </c>
      <c r="B14076">
        <v>6001800</v>
      </c>
    </row>
    <row r="14077" spans="1:2" x14ac:dyDescent="0.4">
      <c r="A14077" s="4">
        <v>2200000</v>
      </c>
      <c r="B14077">
        <v>6001801</v>
      </c>
    </row>
    <row r="14078" spans="1:2" x14ac:dyDescent="0.4">
      <c r="A14078" s="4">
        <v>2200000</v>
      </c>
      <c r="B14078">
        <v>6002600</v>
      </c>
    </row>
    <row r="14079" spans="1:2" x14ac:dyDescent="0.4">
      <c r="A14079" s="4">
        <v>2200000</v>
      </c>
      <c r="B14079">
        <v>6002601</v>
      </c>
    </row>
    <row r="14080" spans="1:2" x14ac:dyDescent="0.4">
      <c r="A14080" s="4">
        <v>2200000</v>
      </c>
      <c r="B14080">
        <v>6002700</v>
      </c>
    </row>
    <row r="14081" spans="1:2" x14ac:dyDescent="0.4">
      <c r="A14081" s="4">
        <v>2200000</v>
      </c>
      <c r="B14081">
        <v>6002701</v>
      </c>
    </row>
    <row r="14082" spans="1:2" x14ac:dyDescent="0.4">
      <c r="A14082" s="4">
        <v>2200000</v>
      </c>
      <c r="B14082">
        <v>6002800</v>
      </c>
    </row>
    <row r="14083" spans="1:2" x14ac:dyDescent="0.4">
      <c r="A14083" s="4">
        <v>2200000</v>
      </c>
      <c r="B14083">
        <v>6002801</v>
      </c>
    </row>
    <row r="14084" spans="1:2" x14ac:dyDescent="0.4">
      <c r="A14084" s="4">
        <v>2200000</v>
      </c>
      <c r="B14084">
        <v>6002900</v>
      </c>
    </row>
    <row r="14085" spans="1:2" x14ac:dyDescent="0.4">
      <c r="A14085" s="4">
        <v>2200000</v>
      </c>
      <c r="B14085">
        <v>6002901</v>
      </c>
    </row>
    <row r="14086" spans="1:2" x14ac:dyDescent="0.4">
      <c r="A14086" s="4">
        <v>2200000</v>
      </c>
      <c r="B14086">
        <v>6003000</v>
      </c>
    </row>
    <row r="14087" spans="1:2" x14ac:dyDescent="0.4">
      <c r="A14087" s="4">
        <v>2200000</v>
      </c>
      <c r="B14087">
        <v>6003001</v>
      </c>
    </row>
    <row r="14088" spans="1:2" x14ac:dyDescent="0.4">
      <c r="A14088" s="4">
        <v>2200000</v>
      </c>
      <c r="B14088">
        <v>6003100</v>
      </c>
    </row>
    <row r="14089" spans="1:2" x14ac:dyDescent="0.4">
      <c r="A14089" s="4">
        <v>2200000</v>
      </c>
      <c r="B14089">
        <v>6003101</v>
      </c>
    </row>
    <row r="14090" spans="1:2" x14ac:dyDescent="0.4">
      <c r="A14090" s="4">
        <v>2200000</v>
      </c>
      <c r="B14090">
        <v>6003200</v>
      </c>
    </row>
    <row r="14091" spans="1:2" x14ac:dyDescent="0.4">
      <c r="A14091" s="4">
        <v>2200000</v>
      </c>
      <c r="B14091">
        <v>6003201</v>
      </c>
    </row>
    <row r="14092" spans="1:2" x14ac:dyDescent="0.4">
      <c r="A14092" s="4">
        <v>2200000</v>
      </c>
      <c r="B14092">
        <v>6003300</v>
      </c>
    </row>
    <row r="14093" spans="1:2" x14ac:dyDescent="0.4">
      <c r="A14093" s="4">
        <v>2200000</v>
      </c>
      <c r="B14093">
        <v>6003301</v>
      </c>
    </row>
    <row r="14094" spans="1:2" x14ac:dyDescent="0.4">
      <c r="A14094" s="4">
        <v>2200000</v>
      </c>
      <c r="B14094">
        <v>6003400</v>
      </c>
    </row>
    <row r="14095" spans="1:2" x14ac:dyDescent="0.4">
      <c r="A14095" s="4">
        <v>2200000</v>
      </c>
      <c r="B14095">
        <v>6003401</v>
      </c>
    </row>
    <row r="14096" spans="1:2" x14ac:dyDescent="0.4">
      <c r="A14096" s="4">
        <v>2200000</v>
      </c>
      <c r="B14096">
        <v>6003500</v>
      </c>
    </row>
    <row r="14097" spans="1:2" x14ac:dyDescent="0.4">
      <c r="A14097" s="4">
        <v>2200000</v>
      </c>
      <c r="B14097">
        <v>6003501</v>
      </c>
    </row>
    <row r="14098" spans="1:2" x14ac:dyDescent="0.4">
      <c r="A14098" s="4">
        <v>2200000</v>
      </c>
      <c r="B14098">
        <v>6003600</v>
      </c>
    </row>
    <row r="14099" spans="1:2" x14ac:dyDescent="0.4">
      <c r="A14099" s="4">
        <v>2200000</v>
      </c>
      <c r="B14099">
        <v>6003601</v>
      </c>
    </row>
    <row r="14100" spans="1:2" x14ac:dyDescent="0.4">
      <c r="A14100" s="4">
        <v>2200000</v>
      </c>
      <c r="B14100">
        <v>6005600</v>
      </c>
    </row>
    <row r="14101" spans="1:2" x14ac:dyDescent="0.4">
      <c r="A14101" s="4">
        <v>2200000</v>
      </c>
      <c r="B14101">
        <v>6005601</v>
      </c>
    </row>
    <row r="14102" spans="1:2" x14ac:dyDescent="0.4">
      <c r="A14102" s="4">
        <v>2200000</v>
      </c>
      <c r="B14102">
        <v>6030200</v>
      </c>
    </row>
    <row r="14103" spans="1:2" x14ac:dyDescent="0.4">
      <c r="A14103" s="4">
        <v>2200000</v>
      </c>
      <c r="B14103">
        <v>6030201</v>
      </c>
    </row>
    <row r="14104" spans="1:2" x14ac:dyDescent="0.4">
      <c r="A14104" s="4">
        <v>2200000</v>
      </c>
      <c r="B14104">
        <v>6030600</v>
      </c>
    </row>
    <row r="14105" spans="1:2" x14ac:dyDescent="0.4">
      <c r="A14105" s="4">
        <v>2200000</v>
      </c>
      <c r="B14105">
        <v>6030800</v>
      </c>
    </row>
    <row r="14106" spans="1:2" x14ac:dyDescent="0.4">
      <c r="A14106" s="4">
        <v>2200000</v>
      </c>
      <c r="B14106">
        <v>6030900</v>
      </c>
    </row>
    <row r="14107" spans="1:2" x14ac:dyDescent="0.4">
      <c r="A14107" s="4">
        <v>2200000</v>
      </c>
      <c r="B14107">
        <v>6030901</v>
      </c>
    </row>
    <row r="14108" spans="1:2" x14ac:dyDescent="0.4">
      <c r="A14108" s="4">
        <v>2200000</v>
      </c>
      <c r="B14108">
        <v>6035100</v>
      </c>
    </row>
    <row r="14109" spans="1:2" x14ac:dyDescent="0.4">
      <c r="A14109" s="4">
        <v>2200000</v>
      </c>
      <c r="B14109">
        <v>6035101</v>
      </c>
    </row>
    <row r="14110" spans="1:2" x14ac:dyDescent="0.4">
      <c r="A14110" s="4">
        <v>2200000</v>
      </c>
      <c r="B14110">
        <v>6040100</v>
      </c>
    </row>
    <row r="14111" spans="1:2" x14ac:dyDescent="0.4">
      <c r="A14111" s="4">
        <v>2200000</v>
      </c>
      <c r="B14111">
        <v>6040101</v>
      </c>
    </row>
    <row r="14112" spans="1:2" x14ac:dyDescent="0.4">
      <c r="A14112" s="4">
        <v>2200000</v>
      </c>
      <c r="B14112">
        <v>6040300</v>
      </c>
    </row>
    <row r="14113" spans="1:2" x14ac:dyDescent="0.4">
      <c r="A14113" s="4">
        <v>2200000</v>
      </c>
      <c r="B14113">
        <v>6040301</v>
      </c>
    </row>
    <row r="14114" spans="1:2" x14ac:dyDescent="0.4">
      <c r="A14114" s="4">
        <v>2200000</v>
      </c>
      <c r="B14114">
        <v>6040400</v>
      </c>
    </row>
    <row r="14115" spans="1:2" x14ac:dyDescent="0.4">
      <c r="A14115" s="4">
        <v>2200000</v>
      </c>
      <c r="B14115">
        <v>6040401</v>
      </c>
    </row>
    <row r="14116" spans="1:2" x14ac:dyDescent="0.4">
      <c r="A14116" s="4">
        <v>2200000</v>
      </c>
      <c r="B14116">
        <v>6040500</v>
      </c>
    </row>
    <row r="14117" spans="1:2" x14ac:dyDescent="0.4">
      <c r="A14117" s="4">
        <v>2200000</v>
      </c>
      <c r="B14117">
        <v>6040501</v>
      </c>
    </row>
    <row r="14118" spans="1:2" x14ac:dyDescent="0.4">
      <c r="A14118" s="4">
        <v>2200000</v>
      </c>
      <c r="B14118">
        <v>6043100</v>
      </c>
    </row>
    <row r="14119" spans="1:2" x14ac:dyDescent="0.4">
      <c r="A14119" s="4">
        <v>2200000</v>
      </c>
      <c r="B14119">
        <v>6043101</v>
      </c>
    </row>
    <row r="14120" spans="1:2" x14ac:dyDescent="0.4">
      <c r="A14120" s="4">
        <v>2200000</v>
      </c>
      <c r="B14120">
        <v>6060300</v>
      </c>
    </row>
    <row r="14121" spans="1:2" x14ac:dyDescent="0.4">
      <c r="A14121" s="4">
        <v>2200000</v>
      </c>
      <c r="B14121">
        <v>6060400</v>
      </c>
    </row>
    <row r="14122" spans="1:2" x14ac:dyDescent="0.4">
      <c r="A14122" s="4">
        <v>2200000</v>
      </c>
      <c r="B14122">
        <v>6060500</v>
      </c>
    </row>
    <row r="14123" spans="1:2" x14ac:dyDescent="0.4">
      <c r="A14123" s="4">
        <v>2200000</v>
      </c>
      <c r="B14123">
        <v>6060600</v>
      </c>
    </row>
    <row r="14124" spans="1:2" x14ac:dyDescent="0.4">
      <c r="A14124" s="4">
        <v>2200000</v>
      </c>
      <c r="B14124">
        <v>6090000</v>
      </c>
    </row>
    <row r="14125" spans="1:2" x14ac:dyDescent="0.4">
      <c r="A14125" s="4">
        <v>2200000</v>
      </c>
      <c r="B14125">
        <v>6160000</v>
      </c>
    </row>
    <row r="14126" spans="1:2" x14ac:dyDescent="0.4">
      <c r="A14126" s="4">
        <v>2200000</v>
      </c>
      <c r="B14126">
        <v>6260000</v>
      </c>
    </row>
    <row r="14127" spans="1:2" x14ac:dyDescent="0.4">
      <c r="A14127" s="4">
        <v>2200000</v>
      </c>
      <c r="B14127">
        <v>6260001</v>
      </c>
    </row>
    <row r="14128" spans="1:2" x14ac:dyDescent="0.4">
      <c r="A14128" s="4">
        <v>2200000</v>
      </c>
      <c r="B14128">
        <v>6260300</v>
      </c>
    </row>
    <row r="14129" spans="1:2" x14ac:dyDescent="0.4">
      <c r="A14129" s="4">
        <v>2200000</v>
      </c>
      <c r="B14129">
        <v>6260301</v>
      </c>
    </row>
    <row r="14130" spans="1:2" x14ac:dyDescent="0.4">
      <c r="A14130" s="4">
        <v>2200000</v>
      </c>
      <c r="B14130">
        <v>6260400</v>
      </c>
    </row>
    <row r="14131" spans="1:2" x14ac:dyDescent="0.4">
      <c r="A14131" s="4">
        <v>2200000</v>
      </c>
      <c r="B14131">
        <v>6260401</v>
      </c>
    </row>
    <row r="14132" spans="1:2" x14ac:dyDescent="0.4">
      <c r="A14132" s="4">
        <v>2200000</v>
      </c>
      <c r="B14132">
        <v>6500000</v>
      </c>
    </row>
    <row r="14133" spans="1:2" x14ac:dyDescent="0.4">
      <c r="A14133" s="4">
        <v>2200000</v>
      </c>
      <c r="B14133">
        <v>6500100</v>
      </c>
    </row>
    <row r="14134" spans="1:2" x14ac:dyDescent="0.4">
      <c r="A14134" s="4">
        <v>2200000</v>
      </c>
      <c r="B14134">
        <v>6500200</v>
      </c>
    </row>
    <row r="14135" spans="1:2" x14ac:dyDescent="0.4">
      <c r="A14135" s="4">
        <v>2200000</v>
      </c>
      <c r="B14135">
        <v>6500300</v>
      </c>
    </row>
    <row r="14136" spans="1:2" x14ac:dyDescent="0.4">
      <c r="A14136" s="4">
        <v>2200000</v>
      </c>
      <c r="B14136">
        <v>6500400</v>
      </c>
    </row>
    <row r="14137" spans="1:2" x14ac:dyDescent="0.4">
      <c r="A14137" s="4">
        <v>2200000</v>
      </c>
      <c r="B14137">
        <v>6500500</v>
      </c>
    </row>
    <row r="14138" spans="1:2" x14ac:dyDescent="0.4">
      <c r="A14138" s="4">
        <v>2200000</v>
      </c>
      <c r="B14138">
        <v>6500600</v>
      </c>
    </row>
    <row r="14139" spans="1:2" x14ac:dyDescent="0.4">
      <c r="A14139" s="4">
        <v>2200000</v>
      </c>
      <c r="B14139">
        <v>6500700</v>
      </c>
    </row>
    <row r="14140" spans="1:2" x14ac:dyDescent="0.4">
      <c r="A14140" s="4">
        <v>2200000</v>
      </c>
      <c r="B14140">
        <v>6600000</v>
      </c>
    </row>
    <row r="14141" spans="1:2" x14ac:dyDescent="0.4">
      <c r="A14141" s="4">
        <v>2200000</v>
      </c>
      <c r="B14141">
        <v>6600001</v>
      </c>
    </row>
    <row r="14142" spans="1:2" x14ac:dyDescent="0.4">
      <c r="A14142" s="4">
        <v>2200000</v>
      </c>
      <c r="B14142">
        <v>6600100</v>
      </c>
    </row>
    <row r="14143" spans="1:2" x14ac:dyDescent="0.4">
      <c r="A14143" s="4">
        <v>2200000</v>
      </c>
      <c r="B14143">
        <v>6600101</v>
      </c>
    </row>
    <row r="14144" spans="1:2" x14ac:dyDescent="0.4">
      <c r="A14144" s="4">
        <v>2200000</v>
      </c>
      <c r="B14144">
        <v>6610400</v>
      </c>
    </row>
    <row r="14145" spans="1:2" x14ac:dyDescent="0.4">
      <c r="A14145" s="4">
        <v>2200000</v>
      </c>
      <c r="B14145">
        <v>6610500</v>
      </c>
    </row>
    <row r="14146" spans="1:2" x14ac:dyDescent="0.4">
      <c r="A14146" s="4">
        <v>2200000</v>
      </c>
      <c r="B14146">
        <v>6610600</v>
      </c>
    </row>
    <row r="14147" spans="1:2" x14ac:dyDescent="0.4">
      <c r="A14147" s="4">
        <v>2200000</v>
      </c>
      <c r="B14147">
        <v>6610700</v>
      </c>
    </row>
    <row r="14148" spans="1:2" x14ac:dyDescent="0.4">
      <c r="A14148" s="4">
        <v>2200000</v>
      </c>
      <c r="B14148">
        <v>6610701</v>
      </c>
    </row>
    <row r="14149" spans="1:2" x14ac:dyDescent="0.4">
      <c r="A14149" s="4">
        <v>2200000</v>
      </c>
      <c r="B14149">
        <v>6610702</v>
      </c>
    </row>
    <row r="14150" spans="1:2" x14ac:dyDescent="0.4">
      <c r="A14150" s="4">
        <v>2200000</v>
      </c>
      <c r="B14150">
        <v>6610800</v>
      </c>
    </row>
    <row r="14151" spans="1:2" x14ac:dyDescent="0.4">
      <c r="A14151" s="4">
        <v>2200000</v>
      </c>
      <c r="B14151">
        <v>6610801</v>
      </c>
    </row>
    <row r="14152" spans="1:2" x14ac:dyDescent="0.4">
      <c r="A14152" s="4">
        <v>2200000</v>
      </c>
      <c r="B14152">
        <v>6610802</v>
      </c>
    </row>
    <row r="14153" spans="1:2" x14ac:dyDescent="0.4">
      <c r="A14153" s="4">
        <v>2200000</v>
      </c>
      <c r="B14153">
        <v>7006200</v>
      </c>
    </row>
    <row r="14154" spans="1:2" x14ac:dyDescent="0.4">
      <c r="A14154" s="4">
        <v>2200000</v>
      </c>
      <c r="B14154">
        <v>6611001</v>
      </c>
    </row>
    <row r="14155" spans="1:2" x14ac:dyDescent="0.4">
      <c r="A14155" s="4">
        <v>2200000</v>
      </c>
      <c r="B14155">
        <v>6611002</v>
      </c>
    </row>
    <row r="14156" spans="1:2" x14ac:dyDescent="0.4">
      <c r="A14156" s="4">
        <v>2200000</v>
      </c>
      <c r="B14156">
        <v>6611100</v>
      </c>
    </row>
    <row r="14157" spans="1:2" x14ac:dyDescent="0.4">
      <c r="A14157" s="4">
        <v>2200000</v>
      </c>
      <c r="B14157">
        <v>6611101</v>
      </c>
    </row>
    <row r="14158" spans="1:2" x14ac:dyDescent="0.4">
      <c r="A14158" s="4">
        <v>2200000</v>
      </c>
      <c r="B14158">
        <v>6611102</v>
      </c>
    </row>
    <row r="14159" spans="1:2" x14ac:dyDescent="0.4">
      <c r="A14159" s="4">
        <v>2200000</v>
      </c>
      <c r="B14159">
        <v>6611200</v>
      </c>
    </row>
    <row r="14160" spans="1:2" x14ac:dyDescent="0.4">
      <c r="A14160" s="4">
        <v>2200000</v>
      </c>
      <c r="B14160">
        <v>6611201</v>
      </c>
    </row>
    <row r="14161" spans="1:2" x14ac:dyDescent="0.4">
      <c r="A14161" s="4">
        <v>2200000</v>
      </c>
      <c r="B14161">
        <v>6611202</v>
      </c>
    </row>
    <row r="14162" spans="1:2" x14ac:dyDescent="0.4">
      <c r="A14162" s="4">
        <v>2200000</v>
      </c>
      <c r="B14162">
        <v>6611300</v>
      </c>
    </row>
    <row r="14163" spans="1:2" x14ac:dyDescent="0.4">
      <c r="A14163" s="4">
        <v>2200000</v>
      </c>
      <c r="B14163">
        <v>6611301</v>
      </c>
    </row>
    <row r="14164" spans="1:2" x14ac:dyDescent="0.4">
      <c r="A14164" s="4">
        <v>2200000</v>
      </c>
      <c r="B14164">
        <v>6611302</v>
      </c>
    </row>
    <row r="14165" spans="1:2" x14ac:dyDescent="0.4">
      <c r="A14165" s="4">
        <v>2200000</v>
      </c>
      <c r="B14165">
        <v>6611400</v>
      </c>
    </row>
    <row r="14166" spans="1:2" x14ac:dyDescent="0.4">
      <c r="A14166" s="4">
        <v>2200000</v>
      </c>
      <c r="B14166">
        <v>6621000</v>
      </c>
    </row>
    <row r="14167" spans="1:2" x14ac:dyDescent="0.4">
      <c r="A14167" s="4">
        <v>2200000</v>
      </c>
      <c r="B14167">
        <v>6621100</v>
      </c>
    </row>
    <row r="14168" spans="1:2" x14ac:dyDescent="0.4">
      <c r="A14168" s="4">
        <v>2200000</v>
      </c>
      <c r="B14168">
        <v>6621200</v>
      </c>
    </row>
    <row r="14169" spans="1:2" x14ac:dyDescent="0.4">
      <c r="A14169" s="4">
        <v>2200000</v>
      </c>
      <c r="B14169">
        <v>6621300</v>
      </c>
    </row>
    <row r="14170" spans="1:2" x14ac:dyDescent="0.4">
      <c r="A14170" s="4">
        <v>2200000</v>
      </c>
      <c r="B14170">
        <v>6621400</v>
      </c>
    </row>
    <row r="14171" spans="1:2" x14ac:dyDescent="0.4">
      <c r="A14171" s="4">
        <v>2200000</v>
      </c>
      <c r="B14171">
        <v>6621500</v>
      </c>
    </row>
    <row r="14172" spans="1:2" x14ac:dyDescent="0.4">
      <c r="A14172" s="4">
        <v>2200000</v>
      </c>
      <c r="B14172">
        <v>6621600</v>
      </c>
    </row>
    <row r="14173" spans="1:2" x14ac:dyDescent="0.4">
      <c r="A14173" s="4">
        <v>2200000</v>
      </c>
      <c r="B14173">
        <v>6621700</v>
      </c>
    </row>
    <row r="14174" spans="1:2" x14ac:dyDescent="0.4">
      <c r="A14174" s="4">
        <v>2200000</v>
      </c>
      <c r="B14174">
        <v>6621800</v>
      </c>
    </row>
    <row r="14175" spans="1:2" x14ac:dyDescent="0.4">
      <c r="A14175" s="4">
        <v>2200000</v>
      </c>
      <c r="B14175">
        <v>6621900</v>
      </c>
    </row>
    <row r="14176" spans="1:2" x14ac:dyDescent="0.4">
      <c r="A14176" s="4">
        <v>2200000</v>
      </c>
      <c r="B14176">
        <v>6622000</v>
      </c>
    </row>
    <row r="14177" spans="1:2" x14ac:dyDescent="0.4">
      <c r="A14177" s="4">
        <v>2200000</v>
      </c>
      <c r="B14177">
        <v>6622100</v>
      </c>
    </row>
    <row r="14178" spans="1:2" x14ac:dyDescent="0.4">
      <c r="A14178" s="4">
        <v>2200000</v>
      </c>
      <c r="B14178">
        <v>6622200</v>
      </c>
    </row>
    <row r="14179" spans="1:2" x14ac:dyDescent="0.4">
      <c r="A14179" s="4">
        <v>2200000</v>
      </c>
      <c r="B14179">
        <v>6622300</v>
      </c>
    </row>
    <row r="14180" spans="1:2" x14ac:dyDescent="0.4">
      <c r="A14180" s="4">
        <v>2200000</v>
      </c>
      <c r="B14180">
        <v>6622400</v>
      </c>
    </row>
    <row r="14181" spans="1:2" x14ac:dyDescent="0.4">
      <c r="A14181" s="4">
        <v>2200000</v>
      </c>
      <c r="B14181">
        <v>6622500</v>
      </c>
    </row>
    <row r="14182" spans="1:2" x14ac:dyDescent="0.4">
      <c r="A14182" s="4">
        <v>2200000</v>
      </c>
      <c r="B14182">
        <v>6622600</v>
      </c>
    </row>
    <row r="14183" spans="1:2" x14ac:dyDescent="0.4">
      <c r="A14183" s="4">
        <v>2200000</v>
      </c>
      <c r="B14183">
        <v>6622700</v>
      </c>
    </row>
    <row r="14184" spans="1:2" x14ac:dyDescent="0.4">
      <c r="A14184" s="4">
        <v>2200000</v>
      </c>
      <c r="B14184">
        <v>6622800</v>
      </c>
    </row>
    <row r="14185" spans="1:2" x14ac:dyDescent="0.4">
      <c r="A14185" s="4">
        <v>2200000</v>
      </c>
      <c r="B14185">
        <v>6622900</v>
      </c>
    </row>
    <row r="14186" spans="1:2" x14ac:dyDescent="0.4">
      <c r="A14186" s="4">
        <v>2200000</v>
      </c>
      <c r="B14186">
        <v>6623000</v>
      </c>
    </row>
    <row r="14187" spans="1:2" x14ac:dyDescent="0.4">
      <c r="A14187" s="4">
        <v>2200000</v>
      </c>
      <c r="B14187">
        <v>6623100</v>
      </c>
    </row>
    <row r="14188" spans="1:2" x14ac:dyDescent="0.4">
      <c r="A14188" s="4">
        <v>2200000</v>
      </c>
      <c r="B14188">
        <v>6623200</v>
      </c>
    </row>
    <row r="14189" spans="1:2" x14ac:dyDescent="0.4">
      <c r="A14189" s="4">
        <v>2200000</v>
      </c>
      <c r="B14189">
        <v>6624000</v>
      </c>
    </row>
    <row r="14190" spans="1:2" x14ac:dyDescent="0.4">
      <c r="A14190" s="4">
        <v>2200000</v>
      </c>
      <c r="B14190">
        <v>6624100</v>
      </c>
    </row>
    <row r="14191" spans="1:2" x14ac:dyDescent="0.4">
      <c r="A14191" s="4">
        <v>2200000</v>
      </c>
      <c r="B14191">
        <v>6624200</v>
      </c>
    </row>
    <row r="14192" spans="1:2" x14ac:dyDescent="0.4">
      <c r="A14192" s="4">
        <v>2200000</v>
      </c>
      <c r="B14192">
        <v>6624300</v>
      </c>
    </row>
    <row r="14193" spans="1:2" x14ac:dyDescent="0.4">
      <c r="A14193" s="4">
        <v>2200000</v>
      </c>
      <c r="B14193">
        <v>6624400</v>
      </c>
    </row>
    <row r="14194" spans="1:2" x14ac:dyDescent="0.4">
      <c r="A14194" s="4">
        <v>2200000</v>
      </c>
      <c r="B14194">
        <v>6624500</v>
      </c>
    </row>
    <row r="14195" spans="1:2" x14ac:dyDescent="0.4">
      <c r="A14195" s="4">
        <v>2200000</v>
      </c>
      <c r="B14195">
        <v>6630000</v>
      </c>
    </row>
    <row r="14196" spans="1:2" x14ac:dyDescent="0.4">
      <c r="A14196" s="4">
        <v>2200000</v>
      </c>
      <c r="B14196">
        <v>6630100</v>
      </c>
    </row>
    <row r="14197" spans="1:2" x14ac:dyDescent="0.4">
      <c r="A14197" s="4">
        <v>2200000</v>
      </c>
      <c r="B14197">
        <v>6630200</v>
      </c>
    </row>
    <row r="14198" spans="1:2" x14ac:dyDescent="0.4">
      <c r="A14198" s="4">
        <v>2200000</v>
      </c>
      <c r="B14198">
        <v>6630300</v>
      </c>
    </row>
    <row r="14199" spans="1:2" x14ac:dyDescent="0.4">
      <c r="A14199" s="4">
        <v>2200000</v>
      </c>
      <c r="B14199">
        <v>6630400</v>
      </c>
    </row>
    <row r="14200" spans="1:2" x14ac:dyDescent="0.4">
      <c r="A14200" s="4">
        <v>2200000</v>
      </c>
      <c r="B14200">
        <v>6630500</v>
      </c>
    </row>
    <row r="14201" spans="1:2" x14ac:dyDescent="0.4">
      <c r="A14201" s="4">
        <v>2200000</v>
      </c>
      <c r="B14201">
        <v>6630600</v>
      </c>
    </row>
    <row r="14202" spans="1:2" x14ac:dyDescent="0.4">
      <c r="A14202" s="4">
        <v>2200000</v>
      </c>
      <c r="B14202">
        <v>6630700</v>
      </c>
    </row>
    <row r="14203" spans="1:2" x14ac:dyDescent="0.4">
      <c r="A14203" s="4">
        <v>2200000</v>
      </c>
      <c r="B14203">
        <v>6630800</v>
      </c>
    </row>
    <row r="14204" spans="1:2" x14ac:dyDescent="0.4">
      <c r="A14204" s="4">
        <v>2200000</v>
      </c>
      <c r="B14204">
        <v>6630900</v>
      </c>
    </row>
    <row r="14205" spans="1:2" x14ac:dyDescent="0.4">
      <c r="A14205" s="4">
        <v>2200000</v>
      </c>
      <c r="B14205">
        <v>6631000</v>
      </c>
    </row>
    <row r="14206" spans="1:2" x14ac:dyDescent="0.4">
      <c r="A14206" s="4">
        <v>2200000</v>
      </c>
      <c r="B14206">
        <v>6631100</v>
      </c>
    </row>
    <row r="14207" spans="1:2" x14ac:dyDescent="0.4">
      <c r="A14207" s="4">
        <v>2200000</v>
      </c>
      <c r="B14207">
        <v>6631200</v>
      </c>
    </row>
    <row r="14208" spans="1:2" x14ac:dyDescent="0.4">
      <c r="A14208" s="4">
        <v>2200000</v>
      </c>
      <c r="B14208">
        <v>6631300</v>
      </c>
    </row>
    <row r="14209" spans="1:2" x14ac:dyDescent="0.4">
      <c r="A14209" s="4">
        <v>2200000</v>
      </c>
      <c r="B14209">
        <v>6631400</v>
      </c>
    </row>
    <row r="14210" spans="1:2" x14ac:dyDescent="0.4">
      <c r="A14210" s="4">
        <v>2200000</v>
      </c>
      <c r="B14210">
        <v>6631500</v>
      </c>
    </row>
    <row r="14211" spans="1:2" x14ac:dyDescent="0.4">
      <c r="A14211" s="4">
        <v>2200000</v>
      </c>
      <c r="B14211">
        <v>6631600</v>
      </c>
    </row>
    <row r="14212" spans="1:2" x14ac:dyDescent="0.4">
      <c r="A14212" s="4">
        <v>2200000</v>
      </c>
      <c r="B14212">
        <v>6631700</v>
      </c>
    </row>
    <row r="14213" spans="1:2" x14ac:dyDescent="0.4">
      <c r="A14213" s="4">
        <v>2200000</v>
      </c>
      <c r="B14213">
        <v>6631800</v>
      </c>
    </row>
    <row r="14214" spans="1:2" x14ac:dyDescent="0.4">
      <c r="A14214" s="4">
        <v>2200000</v>
      </c>
      <c r="B14214">
        <v>6631900</v>
      </c>
    </row>
    <row r="14215" spans="1:2" x14ac:dyDescent="0.4">
      <c r="A14215" s="4">
        <v>2200000</v>
      </c>
      <c r="B14215">
        <v>6632000</v>
      </c>
    </row>
    <row r="14216" spans="1:2" x14ac:dyDescent="0.4">
      <c r="A14216" s="4">
        <v>2200000</v>
      </c>
      <c r="B14216">
        <v>6632100</v>
      </c>
    </row>
    <row r="14217" spans="1:2" x14ac:dyDescent="0.4">
      <c r="A14217" s="4">
        <v>2200000</v>
      </c>
      <c r="B14217">
        <v>6632200</v>
      </c>
    </row>
    <row r="14218" spans="1:2" x14ac:dyDescent="0.4">
      <c r="A14218" s="4">
        <v>2200000</v>
      </c>
      <c r="B14218">
        <v>6632300</v>
      </c>
    </row>
    <row r="14219" spans="1:2" x14ac:dyDescent="0.4">
      <c r="A14219" s="4">
        <v>2200000</v>
      </c>
      <c r="B14219">
        <v>6632400</v>
      </c>
    </row>
    <row r="14220" spans="1:2" x14ac:dyDescent="0.4">
      <c r="A14220" s="4">
        <v>2200000</v>
      </c>
      <c r="B14220">
        <v>6632500</v>
      </c>
    </row>
    <row r="14221" spans="1:2" x14ac:dyDescent="0.4">
      <c r="A14221" s="4">
        <v>2200000</v>
      </c>
      <c r="B14221">
        <v>6632600</v>
      </c>
    </row>
    <row r="14222" spans="1:2" x14ac:dyDescent="0.4">
      <c r="A14222" s="4">
        <v>2200000</v>
      </c>
      <c r="B14222">
        <v>6632700</v>
      </c>
    </row>
    <row r="14223" spans="1:2" x14ac:dyDescent="0.4">
      <c r="A14223" s="4">
        <v>2200000</v>
      </c>
      <c r="B14223">
        <v>6632800</v>
      </c>
    </row>
    <row r="14224" spans="1:2" x14ac:dyDescent="0.4">
      <c r="A14224" s="4">
        <v>2200000</v>
      </c>
      <c r="B14224">
        <v>6632900</v>
      </c>
    </row>
    <row r="14225" spans="1:2" x14ac:dyDescent="0.4">
      <c r="A14225" s="4">
        <v>2200000</v>
      </c>
      <c r="B14225">
        <v>6633000</v>
      </c>
    </row>
    <row r="14226" spans="1:2" x14ac:dyDescent="0.4">
      <c r="A14226" s="4">
        <v>2200000</v>
      </c>
      <c r="B14226">
        <v>6633100</v>
      </c>
    </row>
    <row r="14227" spans="1:2" x14ac:dyDescent="0.4">
      <c r="A14227" s="4">
        <v>2200000</v>
      </c>
      <c r="B14227">
        <v>6633200</v>
      </c>
    </row>
    <row r="14228" spans="1:2" x14ac:dyDescent="0.4">
      <c r="A14228" s="4">
        <v>2200000</v>
      </c>
      <c r="B14228">
        <v>6640000</v>
      </c>
    </row>
    <row r="14229" spans="1:2" x14ac:dyDescent="0.4">
      <c r="A14229" s="4">
        <v>2200000</v>
      </c>
      <c r="B14229">
        <v>6640100</v>
      </c>
    </row>
    <row r="14230" spans="1:2" x14ac:dyDescent="0.4">
      <c r="A14230" s="4">
        <v>2200000</v>
      </c>
      <c r="B14230">
        <v>6641000</v>
      </c>
    </row>
    <row r="14231" spans="1:2" x14ac:dyDescent="0.4">
      <c r="A14231" s="4">
        <v>2200000</v>
      </c>
      <c r="B14231">
        <v>6641100</v>
      </c>
    </row>
    <row r="14232" spans="1:2" x14ac:dyDescent="0.4">
      <c r="A14232" s="4">
        <v>2200000</v>
      </c>
      <c r="B14232">
        <v>6642000</v>
      </c>
    </row>
    <row r="14233" spans="1:2" x14ac:dyDescent="0.4">
      <c r="A14233" s="4">
        <v>2200000</v>
      </c>
      <c r="B14233">
        <v>6642100</v>
      </c>
    </row>
    <row r="14234" spans="1:2" x14ac:dyDescent="0.4">
      <c r="A14234" s="4">
        <v>2200000</v>
      </c>
      <c r="B14234">
        <v>6643000</v>
      </c>
    </row>
    <row r="14235" spans="1:2" x14ac:dyDescent="0.4">
      <c r="A14235" s="4">
        <v>2200000</v>
      </c>
      <c r="B14235">
        <v>6643100</v>
      </c>
    </row>
    <row r="14236" spans="1:2" x14ac:dyDescent="0.4">
      <c r="A14236" s="4">
        <v>2200000</v>
      </c>
      <c r="B14236">
        <v>6644000</v>
      </c>
    </row>
    <row r="14237" spans="1:2" x14ac:dyDescent="0.4">
      <c r="A14237" s="4">
        <v>2200000</v>
      </c>
      <c r="B14237">
        <v>6644100</v>
      </c>
    </row>
    <row r="14238" spans="1:2" x14ac:dyDescent="0.4">
      <c r="A14238" s="4">
        <v>2200000</v>
      </c>
      <c r="B14238">
        <v>6645000</v>
      </c>
    </row>
    <row r="14239" spans="1:2" x14ac:dyDescent="0.4">
      <c r="A14239" s="4">
        <v>2200000</v>
      </c>
      <c r="B14239">
        <v>6645100</v>
      </c>
    </row>
    <row r="14240" spans="1:2" x14ac:dyDescent="0.4">
      <c r="A14240" s="4">
        <v>2200000</v>
      </c>
      <c r="B14240">
        <v>6646000</v>
      </c>
    </row>
    <row r="14241" spans="1:2" x14ac:dyDescent="0.4">
      <c r="A14241" s="4">
        <v>2200000</v>
      </c>
      <c r="B14241">
        <v>6646100</v>
      </c>
    </row>
    <row r="14242" spans="1:2" x14ac:dyDescent="0.4">
      <c r="A14242" s="4">
        <v>2200000</v>
      </c>
      <c r="B14242">
        <v>6647000</v>
      </c>
    </row>
    <row r="14243" spans="1:2" x14ac:dyDescent="0.4">
      <c r="A14243" s="4">
        <v>2200000</v>
      </c>
      <c r="B14243">
        <v>6647100</v>
      </c>
    </row>
    <row r="14244" spans="1:2" x14ac:dyDescent="0.4">
      <c r="A14244" s="4">
        <v>2200000</v>
      </c>
      <c r="B14244">
        <v>6500800</v>
      </c>
    </row>
    <row r="14245" spans="1:2" x14ac:dyDescent="0.4">
      <c r="A14245" s="4">
        <v>2200000</v>
      </c>
      <c r="B14245">
        <v>6500900</v>
      </c>
    </row>
    <row r="14246" spans="1:2" x14ac:dyDescent="0.4">
      <c r="A14246" s="4">
        <v>2200000</v>
      </c>
      <c r="B14246">
        <v>6647200</v>
      </c>
    </row>
    <row r="14247" spans="1:2" x14ac:dyDescent="0.4">
      <c r="A14247" s="4">
        <v>2200000</v>
      </c>
      <c r="B14247">
        <v>6647300</v>
      </c>
    </row>
    <row r="14248" spans="1:2" x14ac:dyDescent="0.4">
      <c r="A14248" s="4">
        <v>2200000</v>
      </c>
      <c r="B14248">
        <v>6647400</v>
      </c>
    </row>
    <row r="14249" spans="1:2" x14ac:dyDescent="0.4">
      <c r="A14249" s="4">
        <v>2200000</v>
      </c>
      <c r="B14249">
        <v>6647500</v>
      </c>
    </row>
    <row r="14250" spans="1:2" x14ac:dyDescent="0.4">
      <c r="A14250" s="4">
        <v>3000000</v>
      </c>
      <c r="B14250">
        <v>6820000</v>
      </c>
    </row>
    <row r="14251" spans="1:2" x14ac:dyDescent="0.4">
      <c r="A14251" s="4">
        <v>3000000</v>
      </c>
      <c r="B14251">
        <v>6820100</v>
      </c>
    </row>
    <row r="14252" spans="1:2" x14ac:dyDescent="0.4">
      <c r="A14252" s="4">
        <v>3000000</v>
      </c>
      <c r="B14252">
        <v>6820200</v>
      </c>
    </row>
    <row r="14253" spans="1:2" x14ac:dyDescent="0.4">
      <c r="A14253" s="4">
        <v>3000000</v>
      </c>
      <c r="B14253">
        <v>6820300</v>
      </c>
    </row>
    <row r="14254" spans="1:2" x14ac:dyDescent="0.4">
      <c r="A14254" s="4">
        <v>3000000</v>
      </c>
      <c r="B14254">
        <v>6820400</v>
      </c>
    </row>
    <row r="14255" spans="1:2" x14ac:dyDescent="0.4">
      <c r="A14255" s="4">
        <v>3000000</v>
      </c>
      <c r="B14255">
        <v>6820500</v>
      </c>
    </row>
    <row r="14256" spans="1:2" x14ac:dyDescent="0.4">
      <c r="A14256" s="4">
        <v>3000000</v>
      </c>
      <c r="B14256">
        <v>6820600</v>
      </c>
    </row>
    <row r="14257" spans="1:2" x14ac:dyDescent="0.4">
      <c r="A14257" s="4">
        <v>3000000</v>
      </c>
      <c r="B14257">
        <v>6830000</v>
      </c>
    </row>
    <row r="14258" spans="1:2" x14ac:dyDescent="0.4">
      <c r="A14258" s="4">
        <v>3000000</v>
      </c>
      <c r="B14258">
        <v>6830100</v>
      </c>
    </row>
    <row r="14259" spans="1:2" x14ac:dyDescent="0.4">
      <c r="A14259" s="4">
        <v>3000000</v>
      </c>
      <c r="B14259">
        <v>6830200</v>
      </c>
    </row>
    <row r="14260" spans="1:2" x14ac:dyDescent="0.4">
      <c r="A14260" s="4">
        <v>3000000</v>
      </c>
      <c r="B14260">
        <v>6830300</v>
      </c>
    </row>
    <row r="14261" spans="1:2" x14ac:dyDescent="0.4">
      <c r="A14261" s="4">
        <v>3000000</v>
      </c>
      <c r="B14261">
        <v>6830400</v>
      </c>
    </row>
    <row r="14262" spans="1:2" x14ac:dyDescent="0.4">
      <c r="A14262" s="4">
        <v>3000000</v>
      </c>
      <c r="B14262">
        <v>6840000</v>
      </c>
    </row>
    <row r="14263" spans="1:2" x14ac:dyDescent="0.4">
      <c r="A14263" s="4">
        <v>3000000</v>
      </c>
      <c r="B14263">
        <v>6840100</v>
      </c>
    </row>
    <row r="14264" spans="1:2" x14ac:dyDescent="0.4">
      <c r="A14264" s="4">
        <v>3000000</v>
      </c>
      <c r="B14264">
        <v>6840200</v>
      </c>
    </row>
    <row r="14265" spans="1:2" x14ac:dyDescent="0.4">
      <c r="A14265" s="4">
        <v>3000000</v>
      </c>
      <c r="B14265">
        <v>6850200</v>
      </c>
    </row>
    <row r="14266" spans="1:2" x14ac:dyDescent="0.4">
      <c r="A14266" s="4">
        <v>3000000</v>
      </c>
      <c r="B14266">
        <v>6850500</v>
      </c>
    </row>
    <row r="14267" spans="1:2" x14ac:dyDescent="0.4">
      <c r="A14267" s="4">
        <v>3000000</v>
      </c>
      <c r="B14267">
        <v>6850700</v>
      </c>
    </row>
    <row r="14268" spans="1:2" x14ac:dyDescent="0.4">
      <c r="A14268" s="4">
        <v>3000000</v>
      </c>
      <c r="B14268">
        <v>6850800</v>
      </c>
    </row>
    <row r="14269" spans="1:2" x14ac:dyDescent="0.4">
      <c r="A14269" s="4">
        <v>3000000</v>
      </c>
      <c r="B14269">
        <v>6850900</v>
      </c>
    </row>
    <row r="14270" spans="1:2" x14ac:dyDescent="0.4">
      <c r="A14270" s="4">
        <v>3000000</v>
      </c>
      <c r="B14270">
        <v>6851200</v>
      </c>
    </row>
    <row r="14271" spans="1:2" x14ac:dyDescent="0.4">
      <c r="A14271" s="4">
        <v>3000000</v>
      </c>
      <c r="B14271">
        <v>6851300</v>
      </c>
    </row>
    <row r="14272" spans="1:2" x14ac:dyDescent="0.4">
      <c r="A14272" s="4">
        <v>3000000</v>
      </c>
      <c r="B14272">
        <v>6851400</v>
      </c>
    </row>
    <row r="14273" spans="1:2" x14ac:dyDescent="0.4">
      <c r="A14273" s="4">
        <v>3000000</v>
      </c>
      <c r="B14273">
        <v>6851700</v>
      </c>
    </row>
    <row r="14274" spans="1:2" x14ac:dyDescent="0.4">
      <c r="A14274" s="4">
        <v>6001400</v>
      </c>
      <c r="B14274">
        <v>6001400</v>
      </c>
    </row>
    <row r="14275" spans="1:2" x14ac:dyDescent="0.4">
      <c r="A14275" s="4">
        <v>6001401</v>
      </c>
      <c r="B14275">
        <v>6001401</v>
      </c>
    </row>
    <row r="14276" spans="1:2" x14ac:dyDescent="0.4">
      <c r="A14276" s="4">
        <v>6001500</v>
      </c>
      <c r="B14276">
        <v>6001500</v>
      </c>
    </row>
    <row r="14277" spans="1:2" x14ac:dyDescent="0.4">
      <c r="A14277" s="4">
        <v>6001501</v>
      </c>
      <c r="B14277">
        <v>6001501</v>
      </c>
    </row>
    <row r="14278" spans="1:2" x14ac:dyDescent="0.4">
      <c r="A14278" s="4">
        <v>6001600</v>
      </c>
      <c r="B14278">
        <v>6001600</v>
      </c>
    </row>
    <row r="14279" spans="1:2" x14ac:dyDescent="0.4">
      <c r="A14279" s="4">
        <v>6001601</v>
      </c>
      <c r="B14279">
        <v>6001601</v>
      </c>
    </row>
    <row r="14280" spans="1:2" x14ac:dyDescent="0.4">
      <c r="A14280" s="4">
        <v>6001700</v>
      </c>
      <c r="B14280">
        <v>6001700</v>
      </c>
    </row>
    <row r="14281" spans="1:2" x14ac:dyDescent="0.4">
      <c r="A14281" s="4">
        <v>6001701</v>
      </c>
      <c r="B14281">
        <v>6001701</v>
      </c>
    </row>
    <row r="14282" spans="1:2" x14ac:dyDescent="0.4">
      <c r="A14282" s="4">
        <v>6001800</v>
      </c>
      <c r="B14282">
        <v>6001800</v>
      </c>
    </row>
    <row r="14283" spans="1:2" x14ac:dyDescent="0.4">
      <c r="A14283" s="4">
        <v>6001801</v>
      </c>
      <c r="B14283">
        <v>6001801</v>
      </c>
    </row>
    <row r="14284" spans="1:2" x14ac:dyDescent="0.4">
      <c r="A14284" s="4">
        <v>6002600</v>
      </c>
      <c r="B14284">
        <v>6002600</v>
      </c>
    </row>
    <row r="14285" spans="1:2" x14ac:dyDescent="0.4">
      <c r="A14285" s="4">
        <v>6002601</v>
      </c>
      <c r="B14285">
        <v>6002601</v>
      </c>
    </row>
    <row r="14286" spans="1:2" x14ac:dyDescent="0.4">
      <c r="A14286" s="4">
        <v>6002700</v>
      </c>
      <c r="B14286">
        <v>6002700</v>
      </c>
    </row>
    <row r="14287" spans="1:2" x14ac:dyDescent="0.4">
      <c r="A14287" s="4">
        <v>6002701</v>
      </c>
      <c r="B14287">
        <v>6002701</v>
      </c>
    </row>
    <row r="14288" spans="1:2" x14ac:dyDescent="0.4">
      <c r="A14288" s="4">
        <v>6002800</v>
      </c>
      <c r="B14288">
        <v>6002800</v>
      </c>
    </row>
    <row r="14289" spans="1:2" x14ac:dyDescent="0.4">
      <c r="A14289" s="4">
        <v>6002801</v>
      </c>
      <c r="B14289">
        <v>6002801</v>
      </c>
    </row>
    <row r="14290" spans="1:2" x14ac:dyDescent="0.4">
      <c r="A14290" s="4">
        <v>6002900</v>
      </c>
      <c r="B14290">
        <v>6002900</v>
      </c>
    </row>
    <row r="14291" spans="1:2" x14ac:dyDescent="0.4">
      <c r="A14291" s="4">
        <v>6002901</v>
      </c>
      <c r="B14291">
        <v>6002901</v>
      </c>
    </row>
    <row r="14292" spans="1:2" x14ac:dyDescent="0.4">
      <c r="A14292" s="4">
        <v>6003000</v>
      </c>
      <c r="B14292">
        <v>6003000</v>
      </c>
    </row>
    <row r="14293" spans="1:2" x14ac:dyDescent="0.4">
      <c r="A14293" s="4">
        <v>6003001</v>
      </c>
      <c r="B14293">
        <v>6003001</v>
      </c>
    </row>
    <row r="14294" spans="1:2" x14ac:dyDescent="0.4">
      <c r="A14294" s="4">
        <v>6003100</v>
      </c>
      <c r="B14294">
        <v>6003100</v>
      </c>
    </row>
    <row r="14295" spans="1:2" x14ac:dyDescent="0.4">
      <c r="A14295" s="4">
        <v>6003101</v>
      </c>
      <c r="B14295">
        <v>6003101</v>
      </c>
    </row>
    <row r="14296" spans="1:2" x14ac:dyDescent="0.4">
      <c r="A14296" s="4">
        <v>6003200</v>
      </c>
      <c r="B14296">
        <v>6003200</v>
      </c>
    </row>
    <row r="14297" spans="1:2" x14ac:dyDescent="0.4">
      <c r="A14297" s="4">
        <v>6003201</v>
      </c>
      <c r="B14297">
        <v>6003201</v>
      </c>
    </row>
    <row r="14298" spans="1:2" x14ac:dyDescent="0.4">
      <c r="A14298" s="4">
        <v>6003300</v>
      </c>
      <c r="B14298">
        <v>6003300</v>
      </c>
    </row>
    <row r="14299" spans="1:2" x14ac:dyDescent="0.4">
      <c r="A14299" s="4">
        <v>6003301</v>
      </c>
      <c r="B14299">
        <v>6003301</v>
      </c>
    </row>
    <row r="14300" spans="1:2" x14ac:dyDescent="0.4">
      <c r="A14300" s="4">
        <v>6003400</v>
      </c>
      <c r="B14300">
        <v>6003400</v>
      </c>
    </row>
    <row r="14301" spans="1:2" x14ac:dyDescent="0.4">
      <c r="A14301" s="4">
        <v>6003401</v>
      </c>
      <c r="B14301">
        <v>6003401</v>
      </c>
    </row>
    <row r="14302" spans="1:2" x14ac:dyDescent="0.4">
      <c r="A14302" s="4">
        <v>6003500</v>
      </c>
      <c r="B14302">
        <v>6003500</v>
      </c>
    </row>
    <row r="14303" spans="1:2" x14ac:dyDescent="0.4">
      <c r="A14303" s="4">
        <v>6003501</v>
      </c>
      <c r="B14303">
        <v>6003501</v>
      </c>
    </row>
    <row r="14304" spans="1:2" x14ac:dyDescent="0.4">
      <c r="A14304" s="4">
        <v>6003600</v>
      </c>
      <c r="B14304">
        <v>6003600</v>
      </c>
    </row>
    <row r="14305" spans="1:2" x14ac:dyDescent="0.4">
      <c r="A14305" s="4">
        <v>6003601</v>
      </c>
      <c r="B14305">
        <v>6003601</v>
      </c>
    </row>
    <row r="14306" spans="1:2" x14ac:dyDescent="0.4">
      <c r="A14306" s="4">
        <v>6005600</v>
      </c>
      <c r="B14306">
        <v>6005600</v>
      </c>
    </row>
    <row r="14307" spans="1:2" x14ac:dyDescent="0.4">
      <c r="A14307" s="4">
        <v>6005601</v>
      </c>
      <c r="B14307">
        <v>6005601</v>
      </c>
    </row>
    <row r="14308" spans="1:2" x14ac:dyDescent="0.4">
      <c r="A14308" s="4">
        <v>6030200</v>
      </c>
      <c r="B14308">
        <v>6030200</v>
      </c>
    </row>
    <row r="14309" spans="1:2" x14ac:dyDescent="0.4">
      <c r="A14309" s="4">
        <v>6030600</v>
      </c>
      <c r="B14309">
        <v>6030600</v>
      </c>
    </row>
    <row r="14310" spans="1:2" x14ac:dyDescent="0.4">
      <c r="A14310" s="4">
        <v>6030800</v>
      </c>
      <c r="B14310">
        <v>6030800</v>
      </c>
    </row>
    <row r="14311" spans="1:2" x14ac:dyDescent="0.4">
      <c r="A14311" s="4">
        <v>6030900</v>
      </c>
      <c r="B14311">
        <v>6030900</v>
      </c>
    </row>
    <row r="14312" spans="1:2" x14ac:dyDescent="0.4">
      <c r="A14312" s="4">
        <v>6030901</v>
      </c>
      <c r="B14312">
        <v>6030901</v>
      </c>
    </row>
    <row r="14313" spans="1:2" x14ac:dyDescent="0.4">
      <c r="A14313" s="4">
        <v>6035100</v>
      </c>
      <c r="B14313">
        <v>6035100</v>
      </c>
    </row>
    <row r="14314" spans="1:2" x14ac:dyDescent="0.4">
      <c r="A14314" s="4">
        <v>6040100</v>
      </c>
      <c r="B14314">
        <v>6040100</v>
      </c>
    </row>
    <row r="14315" spans="1:2" x14ac:dyDescent="0.4">
      <c r="A14315" s="4">
        <v>6040101</v>
      </c>
      <c r="B14315">
        <v>6040101</v>
      </c>
    </row>
    <row r="14316" spans="1:2" x14ac:dyDescent="0.4">
      <c r="A14316" s="4">
        <v>6040300</v>
      </c>
      <c r="B14316">
        <v>6040300</v>
      </c>
    </row>
    <row r="14317" spans="1:2" x14ac:dyDescent="0.4">
      <c r="A14317" s="4">
        <v>6040400</v>
      </c>
      <c r="B14317">
        <v>6040400</v>
      </c>
    </row>
    <row r="14318" spans="1:2" x14ac:dyDescent="0.4">
      <c r="A14318" s="4">
        <v>6040500</v>
      </c>
      <c r="B14318">
        <v>6040500</v>
      </c>
    </row>
    <row r="14319" spans="1:2" x14ac:dyDescent="0.4">
      <c r="A14319" s="4">
        <v>6043100</v>
      </c>
      <c r="B14319">
        <v>6043100</v>
      </c>
    </row>
    <row r="14320" spans="1:2" x14ac:dyDescent="0.4">
      <c r="A14320" s="4">
        <v>6060300</v>
      </c>
      <c r="B14320">
        <v>6060300</v>
      </c>
    </row>
    <row r="14321" spans="1:2" x14ac:dyDescent="0.4">
      <c r="A14321" s="4">
        <v>6060400</v>
      </c>
      <c r="B14321">
        <v>6060400</v>
      </c>
    </row>
    <row r="14322" spans="1:2" x14ac:dyDescent="0.4">
      <c r="A14322" s="4">
        <v>6060500</v>
      </c>
      <c r="B14322">
        <v>6060500</v>
      </c>
    </row>
    <row r="14323" spans="1:2" x14ac:dyDescent="0.4">
      <c r="A14323" s="4">
        <v>6060600</v>
      </c>
      <c r="B14323">
        <v>6060600</v>
      </c>
    </row>
    <row r="14324" spans="1:2" x14ac:dyDescent="0.4">
      <c r="A14324" s="4">
        <v>6090000</v>
      </c>
      <c r="B14324">
        <v>6090000</v>
      </c>
    </row>
    <row r="14325" spans="1:2" x14ac:dyDescent="0.4">
      <c r="A14325" s="4">
        <v>6160000</v>
      </c>
      <c r="B14325">
        <v>6160000</v>
      </c>
    </row>
    <row r="14326" spans="1:2" x14ac:dyDescent="0.4">
      <c r="A14326" s="4">
        <v>6260000</v>
      </c>
      <c r="B14326">
        <v>6260000</v>
      </c>
    </row>
    <row r="14327" spans="1:2" x14ac:dyDescent="0.4">
      <c r="A14327" s="4">
        <v>6260001</v>
      </c>
      <c r="B14327">
        <v>6260001</v>
      </c>
    </row>
    <row r="14328" spans="1:2" x14ac:dyDescent="0.4">
      <c r="A14328" s="4">
        <v>6260300</v>
      </c>
      <c r="B14328">
        <v>6260300</v>
      </c>
    </row>
    <row r="14329" spans="1:2" x14ac:dyDescent="0.4">
      <c r="A14329" s="4">
        <v>6260301</v>
      </c>
      <c r="B14329">
        <v>6260301</v>
      </c>
    </row>
    <row r="14330" spans="1:2" x14ac:dyDescent="0.4">
      <c r="A14330" s="4">
        <v>6260400</v>
      </c>
      <c r="B14330">
        <v>6260400</v>
      </c>
    </row>
    <row r="14331" spans="1:2" x14ac:dyDescent="0.4">
      <c r="A14331" s="4">
        <v>6260401</v>
      </c>
      <c r="B14331">
        <v>6260401</v>
      </c>
    </row>
    <row r="14332" spans="1:2" x14ac:dyDescent="0.4">
      <c r="A14332" s="4">
        <v>6500000</v>
      </c>
      <c r="B14332">
        <v>6500000</v>
      </c>
    </row>
    <row r="14333" spans="1:2" x14ac:dyDescent="0.4">
      <c r="A14333" s="4">
        <v>6500100</v>
      </c>
      <c r="B14333">
        <v>6500100</v>
      </c>
    </row>
    <row r="14334" spans="1:2" x14ac:dyDescent="0.4">
      <c r="A14334" s="4">
        <v>6500200</v>
      </c>
      <c r="B14334">
        <v>6500200</v>
      </c>
    </row>
    <row r="14335" spans="1:2" x14ac:dyDescent="0.4">
      <c r="A14335" s="4">
        <v>6500300</v>
      </c>
      <c r="B14335">
        <v>6500300</v>
      </c>
    </row>
    <row r="14336" spans="1:2" x14ac:dyDescent="0.4">
      <c r="A14336" s="4">
        <v>6500400</v>
      </c>
      <c r="B14336">
        <v>6500400</v>
      </c>
    </row>
    <row r="14337" spans="1:2" x14ac:dyDescent="0.4">
      <c r="A14337" s="4">
        <v>6500500</v>
      </c>
      <c r="B14337">
        <v>6500500</v>
      </c>
    </row>
    <row r="14338" spans="1:2" x14ac:dyDescent="0.4">
      <c r="A14338" s="4">
        <v>6500600</v>
      </c>
      <c r="B14338">
        <v>6500600</v>
      </c>
    </row>
    <row r="14339" spans="1:2" x14ac:dyDescent="0.4">
      <c r="A14339" s="4">
        <v>6500700</v>
      </c>
      <c r="B14339">
        <v>6500700</v>
      </c>
    </row>
    <row r="14340" spans="1:2" x14ac:dyDescent="0.4">
      <c r="A14340" s="4">
        <v>6500800</v>
      </c>
      <c r="B14340">
        <v>6500800</v>
      </c>
    </row>
    <row r="14341" spans="1:2" x14ac:dyDescent="0.4">
      <c r="A14341" s="4">
        <v>6500900</v>
      </c>
      <c r="B14341">
        <v>6500900</v>
      </c>
    </row>
    <row r="14342" spans="1:2" x14ac:dyDescent="0.4">
      <c r="A14342" s="4">
        <v>6600000</v>
      </c>
      <c r="B14342">
        <v>6600000</v>
      </c>
    </row>
    <row r="14343" spans="1:2" x14ac:dyDescent="0.4">
      <c r="A14343" s="4">
        <v>6600001</v>
      </c>
      <c r="B14343">
        <v>6600001</v>
      </c>
    </row>
    <row r="14344" spans="1:2" x14ac:dyDescent="0.4">
      <c r="A14344" s="4">
        <v>6600100</v>
      </c>
      <c r="B14344">
        <v>6600100</v>
      </c>
    </row>
    <row r="14345" spans="1:2" x14ac:dyDescent="0.4">
      <c r="A14345" s="4">
        <v>6600101</v>
      </c>
      <c r="B14345">
        <v>6600101</v>
      </c>
    </row>
    <row r="14346" spans="1:2" x14ac:dyDescent="0.4">
      <c r="A14346" s="4">
        <v>6610400</v>
      </c>
      <c r="B14346">
        <v>6610400</v>
      </c>
    </row>
    <row r="14347" spans="1:2" x14ac:dyDescent="0.4">
      <c r="A14347" s="4">
        <v>6610500</v>
      </c>
      <c r="B14347">
        <v>6610500</v>
      </c>
    </row>
    <row r="14348" spans="1:2" x14ac:dyDescent="0.4">
      <c r="A14348" s="4">
        <v>6610600</v>
      </c>
      <c r="B14348">
        <v>6610600</v>
      </c>
    </row>
    <row r="14349" spans="1:2" x14ac:dyDescent="0.4">
      <c r="A14349" s="4">
        <v>6610700</v>
      </c>
      <c r="B14349">
        <v>6610700</v>
      </c>
    </row>
    <row r="14350" spans="1:2" x14ac:dyDescent="0.4">
      <c r="A14350" s="4">
        <v>6610800</v>
      </c>
      <c r="B14350">
        <v>6610800</v>
      </c>
    </row>
    <row r="14351" spans="1:2" x14ac:dyDescent="0.4">
      <c r="A14351" s="4">
        <v>6610801</v>
      </c>
      <c r="B14351">
        <v>6610801</v>
      </c>
    </row>
    <row r="14352" spans="1:2" x14ac:dyDescent="0.4">
      <c r="A14352" s="4">
        <v>6610802</v>
      </c>
      <c r="B14352">
        <v>6610802</v>
      </c>
    </row>
    <row r="14353" spans="1:2" x14ac:dyDescent="0.4">
      <c r="A14353" s="4">
        <v>6611001</v>
      </c>
      <c r="B14353">
        <v>6611001</v>
      </c>
    </row>
    <row r="14354" spans="1:2" x14ac:dyDescent="0.4">
      <c r="A14354" s="4">
        <v>6611002</v>
      </c>
      <c r="B14354">
        <v>6611002</v>
      </c>
    </row>
    <row r="14355" spans="1:2" x14ac:dyDescent="0.4">
      <c r="A14355" s="4">
        <v>6611100</v>
      </c>
      <c r="B14355">
        <v>6611100</v>
      </c>
    </row>
    <row r="14356" spans="1:2" x14ac:dyDescent="0.4">
      <c r="A14356" s="4">
        <v>6611101</v>
      </c>
      <c r="B14356">
        <v>6611101</v>
      </c>
    </row>
    <row r="14357" spans="1:2" x14ac:dyDescent="0.4">
      <c r="A14357" s="4">
        <v>6611102</v>
      </c>
      <c r="B14357">
        <v>6611102</v>
      </c>
    </row>
    <row r="14358" spans="1:2" x14ac:dyDescent="0.4">
      <c r="A14358" s="4">
        <v>6611200</v>
      </c>
      <c r="B14358">
        <v>6611200</v>
      </c>
    </row>
    <row r="14359" spans="1:2" x14ac:dyDescent="0.4">
      <c r="A14359" s="4">
        <v>6611201</v>
      </c>
      <c r="B14359">
        <v>6611201</v>
      </c>
    </row>
    <row r="14360" spans="1:2" x14ac:dyDescent="0.4">
      <c r="A14360" s="4">
        <v>6611202</v>
      </c>
      <c r="B14360">
        <v>6611202</v>
      </c>
    </row>
    <row r="14361" spans="1:2" x14ac:dyDescent="0.4">
      <c r="A14361" s="4">
        <v>6611300</v>
      </c>
      <c r="B14361">
        <v>6611300</v>
      </c>
    </row>
    <row r="14362" spans="1:2" x14ac:dyDescent="0.4">
      <c r="A14362" s="4">
        <v>6611301</v>
      </c>
      <c r="B14362">
        <v>6611301</v>
      </c>
    </row>
    <row r="14363" spans="1:2" x14ac:dyDescent="0.4">
      <c r="A14363" s="4">
        <v>6611302</v>
      </c>
      <c r="B14363">
        <v>6611302</v>
      </c>
    </row>
    <row r="14364" spans="1:2" x14ac:dyDescent="0.4">
      <c r="A14364" s="4">
        <v>6611400</v>
      </c>
      <c r="B14364">
        <v>6611400</v>
      </c>
    </row>
    <row r="14365" spans="1:2" x14ac:dyDescent="0.4">
      <c r="A14365" s="4">
        <v>6621000</v>
      </c>
      <c r="B14365">
        <v>6621000</v>
      </c>
    </row>
    <row r="14366" spans="1:2" x14ac:dyDescent="0.4">
      <c r="A14366" s="4">
        <v>6621100</v>
      </c>
      <c r="B14366">
        <v>6621100</v>
      </c>
    </row>
    <row r="14367" spans="1:2" x14ac:dyDescent="0.4">
      <c r="A14367" s="4">
        <v>6621200</v>
      </c>
      <c r="B14367">
        <v>6621200</v>
      </c>
    </row>
    <row r="14368" spans="1:2" x14ac:dyDescent="0.4">
      <c r="A14368" s="4">
        <v>6621300</v>
      </c>
      <c r="B14368">
        <v>6621300</v>
      </c>
    </row>
    <row r="14369" spans="1:2" x14ac:dyDescent="0.4">
      <c r="A14369" s="4">
        <v>6621400</v>
      </c>
      <c r="B14369">
        <v>6621400</v>
      </c>
    </row>
    <row r="14370" spans="1:2" x14ac:dyDescent="0.4">
      <c r="A14370" s="4">
        <v>6621500</v>
      </c>
      <c r="B14370">
        <v>6621500</v>
      </c>
    </row>
    <row r="14371" spans="1:2" x14ac:dyDescent="0.4">
      <c r="A14371" s="4">
        <v>6621600</v>
      </c>
      <c r="B14371">
        <v>6621600</v>
      </c>
    </row>
    <row r="14372" spans="1:2" x14ac:dyDescent="0.4">
      <c r="A14372" s="4">
        <v>6621700</v>
      </c>
      <c r="B14372">
        <v>6621700</v>
      </c>
    </row>
    <row r="14373" spans="1:2" x14ac:dyDescent="0.4">
      <c r="A14373" s="4">
        <v>6621800</v>
      </c>
      <c r="B14373">
        <v>6621800</v>
      </c>
    </row>
    <row r="14374" spans="1:2" x14ac:dyDescent="0.4">
      <c r="A14374" s="4">
        <v>6621900</v>
      </c>
      <c r="B14374">
        <v>6621900</v>
      </c>
    </row>
    <row r="14375" spans="1:2" x14ac:dyDescent="0.4">
      <c r="A14375" s="4">
        <v>6622000</v>
      </c>
      <c r="B14375">
        <v>6622000</v>
      </c>
    </row>
    <row r="14376" spans="1:2" x14ac:dyDescent="0.4">
      <c r="A14376" s="4">
        <v>6622100</v>
      </c>
      <c r="B14376">
        <v>6622100</v>
      </c>
    </row>
    <row r="14377" spans="1:2" x14ac:dyDescent="0.4">
      <c r="A14377" s="4">
        <v>6622200</v>
      </c>
      <c r="B14377">
        <v>6622200</v>
      </c>
    </row>
    <row r="14378" spans="1:2" x14ac:dyDescent="0.4">
      <c r="A14378" s="4">
        <v>6622300</v>
      </c>
      <c r="B14378">
        <v>6622300</v>
      </c>
    </row>
    <row r="14379" spans="1:2" x14ac:dyDescent="0.4">
      <c r="A14379" s="4">
        <v>6622400</v>
      </c>
      <c r="B14379">
        <v>6622400</v>
      </c>
    </row>
    <row r="14380" spans="1:2" x14ac:dyDescent="0.4">
      <c r="A14380" s="4">
        <v>6622500</v>
      </c>
      <c r="B14380">
        <v>6622500</v>
      </c>
    </row>
    <row r="14381" spans="1:2" x14ac:dyDescent="0.4">
      <c r="A14381" s="4">
        <v>6622600</v>
      </c>
      <c r="B14381">
        <v>6622600</v>
      </c>
    </row>
    <row r="14382" spans="1:2" x14ac:dyDescent="0.4">
      <c r="A14382" s="4">
        <v>6622700</v>
      </c>
      <c r="B14382">
        <v>6622700</v>
      </c>
    </row>
    <row r="14383" spans="1:2" x14ac:dyDescent="0.4">
      <c r="A14383" s="4">
        <v>6622800</v>
      </c>
      <c r="B14383">
        <v>6622800</v>
      </c>
    </row>
    <row r="14384" spans="1:2" x14ac:dyDescent="0.4">
      <c r="A14384" s="4">
        <v>6622900</v>
      </c>
      <c r="B14384">
        <v>6622900</v>
      </c>
    </row>
    <row r="14385" spans="1:2" x14ac:dyDescent="0.4">
      <c r="A14385" s="4">
        <v>6623000</v>
      </c>
      <c r="B14385">
        <v>6623000</v>
      </c>
    </row>
    <row r="14386" spans="1:2" x14ac:dyDescent="0.4">
      <c r="A14386" s="4">
        <v>6623100</v>
      </c>
      <c r="B14386">
        <v>6623100</v>
      </c>
    </row>
    <row r="14387" spans="1:2" x14ac:dyDescent="0.4">
      <c r="A14387" s="4">
        <v>6623200</v>
      </c>
      <c r="B14387">
        <v>6623200</v>
      </c>
    </row>
    <row r="14388" spans="1:2" x14ac:dyDescent="0.4">
      <c r="A14388" s="4">
        <v>6624000</v>
      </c>
      <c r="B14388">
        <v>6624000</v>
      </c>
    </row>
    <row r="14389" spans="1:2" x14ac:dyDescent="0.4">
      <c r="A14389" s="4">
        <v>6624100</v>
      </c>
      <c r="B14389">
        <v>6624100</v>
      </c>
    </row>
    <row r="14390" spans="1:2" x14ac:dyDescent="0.4">
      <c r="A14390" s="4">
        <v>6624200</v>
      </c>
      <c r="B14390">
        <v>6624200</v>
      </c>
    </row>
    <row r="14391" spans="1:2" x14ac:dyDescent="0.4">
      <c r="A14391" s="4">
        <v>6624300</v>
      </c>
      <c r="B14391">
        <v>6624300</v>
      </c>
    </row>
    <row r="14392" spans="1:2" x14ac:dyDescent="0.4">
      <c r="A14392" s="4">
        <v>6624400</v>
      </c>
      <c r="B14392">
        <v>6624400</v>
      </c>
    </row>
    <row r="14393" spans="1:2" x14ac:dyDescent="0.4">
      <c r="A14393" s="4">
        <v>6624500</v>
      </c>
      <c r="B14393">
        <v>6624500</v>
      </c>
    </row>
    <row r="14394" spans="1:2" x14ac:dyDescent="0.4">
      <c r="A14394" s="4">
        <v>6630000</v>
      </c>
      <c r="B14394">
        <v>6630000</v>
      </c>
    </row>
    <row r="14395" spans="1:2" x14ac:dyDescent="0.4">
      <c r="A14395" s="4">
        <v>6630100</v>
      </c>
      <c r="B14395">
        <v>6630100</v>
      </c>
    </row>
    <row r="14396" spans="1:2" x14ac:dyDescent="0.4">
      <c r="A14396" s="4">
        <v>6630200</v>
      </c>
      <c r="B14396">
        <v>6630200</v>
      </c>
    </row>
    <row r="14397" spans="1:2" x14ac:dyDescent="0.4">
      <c r="A14397" s="4">
        <v>6630300</v>
      </c>
      <c r="B14397">
        <v>6630300</v>
      </c>
    </row>
    <row r="14398" spans="1:2" x14ac:dyDescent="0.4">
      <c r="A14398" s="4">
        <v>6630400</v>
      </c>
      <c r="B14398">
        <v>6630400</v>
      </c>
    </row>
    <row r="14399" spans="1:2" x14ac:dyDescent="0.4">
      <c r="A14399" s="4">
        <v>6630500</v>
      </c>
      <c r="B14399">
        <v>6630500</v>
      </c>
    </row>
    <row r="14400" spans="1:2" x14ac:dyDescent="0.4">
      <c r="A14400" s="4">
        <v>6630600</v>
      </c>
      <c r="B14400">
        <v>6630600</v>
      </c>
    </row>
    <row r="14401" spans="1:2" x14ac:dyDescent="0.4">
      <c r="A14401" s="4">
        <v>6630700</v>
      </c>
      <c r="B14401">
        <v>6630700</v>
      </c>
    </row>
    <row r="14402" spans="1:2" x14ac:dyDescent="0.4">
      <c r="A14402" s="4">
        <v>6630800</v>
      </c>
      <c r="B14402">
        <v>6630800</v>
      </c>
    </row>
    <row r="14403" spans="1:2" x14ac:dyDescent="0.4">
      <c r="A14403" s="4">
        <v>6630900</v>
      </c>
      <c r="B14403">
        <v>6630900</v>
      </c>
    </row>
    <row r="14404" spans="1:2" x14ac:dyDescent="0.4">
      <c r="A14404" s="4">
        <v>6631000</v>
      </c>
      <c r="B14404">
        <v>6631000</v>
      </c>
    </row>
    <row r="14405" spans="1:2" x14ac:dyDescent="0.4">
      <c r="A14405" s="4">
        <v>6631100</v>
      </c>
      <c r="B14405">
        <v>6631100</v>
      </c>
    </row>
    <row r="14406" spans="1:2" x14ac:dyDescent="0.4">
      <c r="A14406" s="4">
        <v>6631200</v>
      </c>
      <c r="B14406">
        <v>6631200</v>
      </c>
    </row>
    <row r="14407" spans="1:2" x14ac:dyDescent="0.4">
      <c r="A14407" s="4">
        <v>6631300</v>
      </c>
      <c r="B14407">
        <v>6631300</v>
      </c>
    </row>
    <row r="14408" spans="1:2" x14ac:dyDescent="0.4">
      <c r="A14408" s="4">
        <v>6631400</v>
      </c>
      <c r="B14408">
        <v>6631400</v>
      </c>
    </row>
    <row r="14409" spans="1:2" x14ac:dyDescent="0.4">
      <c r="A14409" s="4">
        <v>6631500</v>
      </c>
      <c r="B14409">
        <v>6631500</v>
      </c>
    </row>
    <row r="14410" spans="1:2" x14ac:dyDescent="0.4">
      <c r="A14410" s="4">
        <v>6631600</v>
      </c>
      <c r="B14410">
        <v>6631600</v>
      </c>
    </row>
    <row r="14411" spans="1:2" x14ac:dyDescent="0.4">
      <c r="A14411" s="4">
        <v>6631700</v>
      </c>
      <c r="B14411">
        <v>6631700</v>
      </c>
    </row>
    <row r="14412" spans="1:2" x14ac:dyDescent="0.4">
      <c r="A14412" s="4">
        <v>6631800</v>
      </c>
      <c r="B14412">
        <v>6631800</v>
      </c>
    </row>
    <row r="14413" spans="1:2" x14ac:dyDescent="0.4">
      <c r="A14413" s="4">
        <v>6631900</v>
      </c>
      <c r="B14413">
        <v>6631900</v>
      </c>
    </row>
    <row r="14414" spans="1:2" x14ac:dyDescent="0.4">
      <c r="A14414" s="4">
        <v>6632000</v>
      </c>
      <c r="B14414">
        <v>6632000</v>
      </c>
    </row>
    <row r="14415" spans="1:2" x14ac:dyDescent="0.4">
      <c r="A14415" s="4">
        <v>6632100</v>
      </c>
      <c r="B14415">
        <v>6632100</v>
      </c>
    </row>
    <row r="14416" spans="1:2" x14ac:dyDescent="0.4">
      <c r="A14416" s="4">
        <v>6632200</v>
      </c>
      <c r="B14416">
        <v>6632200</v>
      </c>
    </row>
    <row r="14417" spans="1:2" x14ac:dyDescent="0.4">
      <c r="A14417" s="4">
        <v>6632300</v>
      </c>
      <c r="B14417">
        <v>6632300</v>
      </c>
    </row>
    <row r="14418" spans="1:2" x14ac:dyDescent="0.4">
      <c r="A14418" s="4">
        <v>6632400</v>
      </c>
      <c r="B14418">
        <v>6632400</v>
      </c>
    </row>
    <row r="14419" spans="1:2" x14ac:dyDescent="0.4">
      <c r="A14419" s="4">
        <v>6632500</v>
      </c>
      <c r="B14419">
        <v>6632500</v>
      </c>
    </row>
    <row r="14420" spans="1:2" x14ac:dyDescent="0.4">
      <c r="A14420" s="4">
        <v>6632600</v>
      </c>
      <c r="B14420">
        <v>6632600</v>
      </c>
    </row>
    <row r="14421" spans="1:2" x14ac:dyDescent="0.4">
      <c r="A14421" s="4">
        <v>6632700</v>
      </c>
      <c r="B14421">
        <v>6632700</v>
      </c>
    </row>
    <row r="14422" spans="1:2" x14ac:dyDescent="0.4">
      <c r="A14422" s="4">
        <v>6632800</v>
      </c>
      <c r="B14422">
        <v>6632800</v>
      </c>
    </row>
    <row r="14423" spans="1:2" x14ac:dyDescent="0.4">
      <c r="A14423" s="4">
        <v>6632900</v>
      </c>
      <c r="B14423">
        <v>6632900</v>
      </c>
    </row>
    <row r="14424" spans="1:2" x14ac:dyDescent="0.4">
      <c r="A14424" s="4">
        <v>6633000</v>
      </c>
      <c r="B14424">
        <v>6633000</v>
      </c>
    </row>
    <row r="14425" spans="1:2" x14ac:dyDescent="0.4">
      <c r="A14425" s="4">
        <v>6633100</v>
      </c>
      <c r="B14425">
        <v>6633100</v>
      </c>
    </row>
    <row r="14426" spans="1:2" x14ac:dyDescent="0.4">
      <c r="A14426" s="4">
        <v>6633200</v>
      </c>
      <c r="B14426">
        <v>6633200</v>
      </c>
    </row>
    <row r="14427" spans="1:2" x14ac:dyDescent="0.4">
      <c r="A14427" s="4">
        <v>6640000</v>
      </c>
      <c r="B14427">
        <v>6640000</v>
      </c>
    </row>
    <row r="14428" spans="1:2" x14ac:dyDescent="0.4">
      <c r="A14428" s="4">
        <v>6640100</v>
      </c>
      <c r="B14428">
        <v>6640100</v>
      </c>
    </row>
    <row r="14429" spans="1:2" x14ac:dyDescent="0.4">
      <c r="A14429" s="4">
        <v>6641000</v>
      </c>
      <c r="B14429">
        <v>6641000</v>
      </c>
    </row>
    <row r="14430" spans="1:2" x14ac:dyDescent="0.4">
      <c r="A14430" s="4">
        <v>6641100</v>
      </c>
      <c r="B14430">
        <v>6641100</v>
      </c>
    </row>
    <row r="14431" spans="1:2" x14ac:dyDescent="0.4">
      <c r="A14431" s="4">
        <v>6642000</v>
      </c>
      <c r="B14431">
        <v>6642000</v>
      </c>
    </row>
    <row r="14432" spans="1:2" x14ac:dyDescent="0.4">
      <c r="A14432" s="4">
        <v>6642100</v>
      </c>
      <c r="B14432">
        <v>6642100</v>
      </c>
    </row>
    <row r="14433" spans="1:2" x14ac:dyDescent="0.4">
      <c r="A14433" s="4">
        <v>6643000</v>
      </c>
      <c r="B14433">
        <v>6643000</v>
      </c>
    </row>
    <row r="14434" spans="1:2" x14ac:dyDescent="0.4">
      <c r="A14434" s="4">
        <v>6643100</v>
      </c>
      <c r="B14434">
        <v>6643100</v>
      </c>
    </row>
    <row r="14435" spans="1:2" x14ac:dyDescent="0.4">
      <c r="A14435" s="4">
        <v>6644000</v>
      </c>
      <c r="B14435">
        <v>6644000</v>
      </c>
    </row>
    <row r="14436" spans="1:2" x14ac:dyDescent="0.4">
      <c r="A14436" s="4">
        <v>6644100</v>
      </c>
      <c r="B14436">
        <v>6644100</v>
      </c>
    </row>
    <row r="14437" spans="1:2" x14ac:dyDescent="0.4">
      <c r="A14437" s="4">
        <v>6645000</v>
      </c>
      <c r="B14437">
        <v>6645000</v>
      </c>
    </row>
    <row r="14438" spans="1:2" x14ac:dyDescent="0.4">
      <c r="A14438" s="4">
        <v>6645100</v>
      </c>
      <c r="B14438">
        <v>6645100</v>
      </c>
    </row>
    <row r="14439" spans="1:2" x14ac:dyDescent="0.4">
      <c r="A14439" s="4">
        <v>6646000</v>
      </c>
      <c r="B14439">
        <v>6646000</v>
      </c>
    </row>
    <row r="14440" spans="1:2" x14ac:dyDescent="0.4">
      <c r="A14440" s="4">
        <v>6646100</v>
      </c>
      <c r="B14440">
        <v>6646100</v>
      </c>
    </row>
    <row r="14441" spans="1:2" x14ac:dyDescent="0.4">
      <c r="A14441" s="4">
        <v>6647000</v>
      </c>
      <c r="B14441">
        <v>6647000</v>
      </c>
    </row>
    <row r="14442" spans="1:2" x14ac:dyDescent="0.4">
      <c r="A14442" s="4">
        <v>6647100</v>
      </c>
      <c r="B14442">
        <v>6647100</v>
      </c>
    </row>
    <row r="14443" spans="1:2" x14ac:dyDescent="0.4">
      <c r="A14443" s="4">
        <v>6647200</v>
      </c>
      <c r="B14443">
        <v>6647200</v>
      </c>
    </row>
    <row r="14444" spans="1:2" x14ac:dyDescent="0.4">
      <c r="A14444" s="4">
        <v>6647300</v>
      </c>
      <c r="B14444">
        <v>6647300</v>
      </c>
    </row>
    <row r="14445" spans="1:2" x14ac:dyDescent="0.4">
      <c r="A14445" s="4">
        <v>6647400</v>
      </c>
      <c r="B14445">
        <v>6647400</v>
      </c>
    </row>
    <row r="14446" spans="1:2" x14ac:dyDescent="0.4">
      <c r="A14446" s="4">
        <v>6647500</v>
      </c>
      <c r="B14446">
        <v>6647500</v>
      </c>
    </row>
    <row r="14447" spans="1:2" x14ac:dyDescent="0.4">
      <c r="A14447" s="4">
        <v>6820000</v>
      </c>
      <c r="B14447">
        <v>6820000</v>
      </c>
    </row>
    <row r="14448" spans="1:2" x14ac:dyDescent="0.4">
      <c r="A14448" s="4">
        <v>6820100</v>
      </c>
      <c r="B14448">
        <v>6820100</v>
      </c>
    </row>
    <row r="14449" spans="1:2" x14ac:dyDescent="0.4">
      <c r="A14449" s="4">
        <v>6820200</v>
      </c>
      <c r="B14449">
        <v>6820200</v>
      </c>
    </row>
    <row r="14450" spans="1:2" x14ac:dyDescent="0.4">
      <c r="A14450" s="4">
        <v>6820300</v>
      </c>
      <c r="B14450">
        <v>6820300</v>
      </c>
    </row>
    <row r="14451" spans="1:2" x14ac:dyDescent="0.4">
      <c r="A14451" s="4">
        <v>6820400</v>
      </c>
      <c r="B14451">
        <v>6820400</v>
      </c>
    </row>
    <row r="14452" spans="1:2" x14ac:dyDescent="0.4">
      <c r="A14452" s="4">
        <v>6820500</v>
      </c>
      <c r="B14452">
        <v>6820500</v>
      </c>
    </row>
    <row r="14453" spans="1:2" x14ac:dyDescent="0.4">
      <c r="A14453" s="4">
        <v>6820600</v>
      </c>
      <c r="B14453">
        <v>6820600</v>
      </c>
    </row>
    <row r="14454" spans="1:2" x14ac:dyDescent="0.4">
      <c r="A14454" s="4">
        <v>6830000</v>
      </c>
      <c r="B14454">
        <v>6830000</v>
      </c>
    </row>
    <row r="14455" spans="1:2" x14ac:dyDescent="0.4">
      <c r="A14455" s="4">
        <v>6830100</v>
      </c>
      <c r="B14455">
        <v>6830100</v>
      </c>
    </row>
    <row r="14456" spans="1:2" x14ac:dyDescent="0.4">
      <c r="A14456" s="4">
        <v>6830200</v>
      </c>
      <c r="B14456">
        <v>6830200</v>
      </c>
    </row>
    <row r="14457" spans="1:2" x14ac:dyDescent="0.4">
      <c r="A14457" s="4">
        <v>6830300</v>
      </c>
      <c r="B14457">
        <v>6830300</v>
      </c>
    </row>
    <row r="14458" spans="1:2" x14ac:dyDescent="0.4">
      <c r="A14458" s="4">
        <v>6830400</v>
      </c>
      <c r="B14458">
        <v>6830400</v>
      </c>
    </row>
    <row r="14459" spans="1:2" x14ac:dyDescent="0.4">
      <c r="A14459" s="4">
        <v>6840000</v>
      </c>
      <c r="B14459">
        <v>6840000</v>
      </c>
    </row>
    <row r="14460" spans="1:2" x14ac:dyDescent="0.4">
      <c r="A14460" s="4">
        <v>6840100</v>
      </c>
      <c r="B14460">
        <v>6840100</v>
      </c>
    </row>
    <row r="14461" spans="1:2" x14ac:dyDescent="0.4">
      <c r="A14461" s="4">
        <v>6840200</v>
      </c>
      <c r="B14461">
        <v>6840200</v>
      </c>
    </row>
    <row r="14462" spans="1:2" x14ac:dyDescent="0.4">
      <c r="A14462" s="4">
        <v>6850200</v>
      </c>
      <c r="B14462">
        <v>6850200</v>
      </c>
    </row>
    <row r="14463" spans="1:2" x14ac:dyDescent="0.4">
      <c r="A14463" s="4">
        <v>6850500</v>
      </c>
      <c r="B14463">
        <v>6850500</v>
      </c>
    </row>
    <row r="14464" spans="1:2" x14ac:dyDescent="0.4">
      <c r="A14464" s="4">
        <v>6850700</v>
      </c>
      <c r="B14464">
        <v>6850700</v>
      </c>
    </row>
    <row r="14465" spans="1:2" x14ac:dyDescent="0.4">
      <c r="A14465" s="4">
        <v>6850800</v>
      </c>
      <c r="B14465">
        <v>6850800</v>
      </c>
    </row>
    <row r="14466" spans="1:2" x14ac:dyDescent="0.4">
      <c r="A14466" s="4">
        <v>6850900</v>
      </c>
      <c r="B14466">
        <v>6850900</v>
      </c>
    </row>
    <row r="14467" spans="1:2" x14ac:dyDescent="0.4">
      <c r="A14467" s="4">
        <v>6851200</v>
      </c>
      <c r="B14467">
        <v>6851200</v>
      </c>
    </row>
    <row r="14468" spans="1:2" x14ac:dyDescent="0.4">
      <c r="A14468" s="4">
        <v>6851300</v>
      </c>
      <c r="B14468">
        <v>6851300</v>
      </c>
    </row>
    <row r="14469" spans="1:2" x14ac:dyDescent="0.4">
      <c r="A14469" s="4">
        <v>6851400</v>
      </c>
      <c r="B14469">
        <v>6851400</v>
      </c>
    </row>
    <row r="14470" spans="1:2" x14ac:dyDescent="0.4">
      <c r="A14470" s="4">
        <v>6851700</v>
      </c>
      <c r="B14470">
        <v>6851700</v>
      </c>
    </row>
    <row r="14471" spans="1:2" x14ac:dyDescent="0.4">
      <c r="A14471" s="4">
        <v>501000000</v>
      </c>
      <c r="B14471">
        <v>0</v>
      </c>
    </row>
    <row r="14472" spans="1:2" x14ac:dyDescent="0.4">
      <c r="A14472" s="4">
        <v>501000000</v>
      </c>
      <c r="B14472">
        <v>8100100</v>
      </c>
    </row>
    <row r="14473" spans="1:2" x14ac:dyDescent="0.4">
      <c r="A14473" s="4">
        <v>501000000</v>
      </c>
      <c r="B14473">
        <v>8100101</v>
      </c>
    </row>
    <row r="14474" spans="1:2" x14ac:dyDescent="0.4">
      <c r="A14474" s="4">
        <v>501000000</v>
      </c>
      <c r="B14474">
        <v>8100102</v>
      </c>
    </row>
    <row r="14475" spans="1:2" x14ac:dyDescent="0.4">
      <c r="A14475" s="4">
        <v>501000000</v>
      </c>
      <c r="B14475">
        <v>8100200</v>
      </c>
    </row>
    <row r="14476" spans="1:2" x14ac:dyDescent="0.4">
      <c r="A14476" s="4">
        <v>501000000</v>
      </c>
      <c r="B14476">
        <v>8100201</v>
      </c>
    </row>
    <row r="14477" spans="1:2" x14ac:dyDescent="0.4">
      <c r="A14477" s="4">
        <v>501000000</v>
      </c>
      <c r="B14477">
        <v>8100202</v>
      </c>
    </row>
    <row r="14478" spans="1:2" x14ac:dyDescent="0.4">
      <c r="A14478" s="4">
        <v>501000000</v>
      </c>
      <c r="B14478">
        <v>8100300</v>
      </c>
    </row>
    <row r="14479" spans="1:2" x14ac:dyDescent="0.4">
      <c r="A14479" s="4">
        <v>501000000</v>
      </c>
      <c r="B14479">
        <v>8100301</v>
      </c>
    </row>
    <row r="14480" spans="1:2" x14ac:dyDescent="0.4">
      <c r="A14480" s="4">
        <v>501000000</v>
      </c>
      <c r="B14480">
        <v>8100302</v>
      </c>
    </row>
    <row r="14481" spans="1:2" x14ac:dyDescent="0.4">
      <c r="A14481" s="4">
        <v>501000000</v>
      </c>
      <c r="B14481">
        <v>8100400</v>
      </c>
    </row>
    <row r="14482" spans="1:2" x14ac:dyDescent="0.4">
      <c r="A14482" s="4">
        <v>501000000</v>
      </c>
      <c r="B14482">
        <v>8100401</v>
      </c>
    </row>
    <row r="14483" spans="1:2" x14ac:dyDescent="0.4">
      <c r="A14483" s="4">
        <v>501000000</v>
      </c>
      <c r="B14483">
        <v>8100402</v>
      </c>
    </row>
    <row r="14484" spans="1:2" x14ac:dyDescent="0.4">
      <c r="A14484" s="4">
        <v>501000000</v>
      </c>
      <c r="B14484">
        <v>8130000</v>
      </c>
    </row>
    <row r="14485" spans="1:2" x14ac:dyDescent="0.4">
      <c r="A14485" s="4">
        <v>501000000</v>
      </c>
      <c r="B14485">
        <v>8130001</v>
      </c>
    </row>
    <row r="14486" spans="1:2" x14ac:dyDescent="0.4">
      <c r="A14486" s="4">
        <v>501000000</v>
      </c>
      <c r="B14486">
        <v>8130002</v>
      </c>
    </row>
    <row r="14487" spans="1:2" x14ac:dyDescent="0.4">
      <c r="A14487" s="4">
        <v>501000000</v>
      </c>
      <c r="B14487">
        <v>8140000</v>
      </c>
    </row>
    <row r="14488" spans="1:2" x14ac:dyDescent="0.4">
      <c r="A14488" s="4">
        <v>501000000</v>
      </c>
      <c r="B14488">
        <v>8140001</v>
      </c>
    </row>
    <row r="14489" spans="1:2" x14ac:dyDescent="0.4">
      <c r="A14489" s="4">
        <v>501000000</v>
      </c>
      <c r="B14489">
        <v>8140002</v>
      </c>
    </row>
    <row r="14490" spans="1:2" x14ac:dyDescent="0.4">
      <c r="A14490" s="4">
        <v>501000000</v>
      </c>
      <c r="B14490">
        <v>8200100</v>
      </c>
    </row>
    <row r="14491" spans="1:2" x14ac:dyDescent="0.4">
      <c r="A14491" s="4">
        <v>501000000</v>
      </c>
      <c r="B14491">
        <v>8200101</v>
      </c>
    </row>
    <row r="14492" spans="1:2" x14ac:dyDescent="0.4">
      <c r="A14492" s="4">
        <v>501000000</v>
      </c>
      <c r="B14492">
        <v>8200102</v>
      </c>
    </row>
    <row r="14493" spans="1:2" x14ac:dyDescent="0.4">
      <c r="A14493" s="4">
        <v>501000000</v>
      </c>
      <c r="B14493">
        <v>8200200</v>
      </c>
    </row>
    <row r="14494" spans="1:2" x14ac:dyDescent="0.4">
      <c r="A14494" s="4">
        <v>501000000</v>
      </c>
      <c r="B14494">
        <v>8200201</v>
      </c>
    </row>
    <row r="14495" spans="1:2" x14ac:dyDescent="0.4">
      <c r="A14495" s="4">
        <v>501000000</v>
      </c>
      <c r="B14495">
        <v>8200202</v>
      </c>
    </row>
    <row r="14496" spans="1:2" x14ac:dyDescent="0.4">
      <c r="A14496" s="4">
        <v>501000000</v>
      </c>
      <c r="B14496">
        <v>8200300</v>
      </c>
    </row>
    <row r="14497" spans="1:2" x14ac:dyDescent="0.4">
      <c r="A14497" s="4">
        <v>501000000</v>
      </c>
      <c r="B14497">
        <v>8200301</v>
      </c>
    </row>
    <row r="14498" spans="1:2" x14ac:dyDescent="0.4">
      <c r="A14498" s="4">
        <v>501000000</v>
      </c>
      <c r="B14498">
        <v>8200302</v>
      </c>
    </row>
    <row r="14499" spans="1:2" x14ac:dyDescent="0.4">
      <c r="A14499" s="4">
        <v>501000000</v>
      </c>
      <c r="B14499">
        <v>8200400</v>
      </c>
    </row>
    <row r="14500" spans="1:2" x14ac:dyDescent="0.4">
      <c r="A14500" s="4">
        <v>501000000</v>
      </c>
      <c r="B14500">
        <v>8200401</v>
      </c>
    </row>
    <row r="14501" spans="1:2" x14ac:dyDescent="0.4">
      <c r="A14501" s="4">
        <v>501000000</v>
      </c>
      <c r="B14501">
        <v>8200402</v>
      </c>
    </row>
    <row r="14502" spans="1:2" x14ac:dyDescent="0.4">
      <c r="A14502" s="4">
        <v>501000000</v>
      </c>
      <c r="B14502">
        <v>8210000</v>
      </c>
    </row>
    <row r="14503" spans="1:2" x14ac:dyDescent="0.4">
      <c r="A14503" s="4">
        <v>501000000</v>
      </c>
      <c r="B14503">
        <v>8210001</v>
      </c>
    </row>
    <row r="14504" spans="1:2" x14ac:dyDescent="0.4">
      <c r="A14504" s="4">
        <v>501000000</v>
      </c>
      <c r="B14504">
        <v>8210002</v>
      </c>
    </row>
    <row r="14505" spans="1:2" x14ac:dyDescent="0.4">
      <c r="A14505" s="4">
        <v>501000000</v>
      </c>
      <c r="B14505">
        <v>8210100</v>
      </c>
    </row>
    <row r="14506" spans="1:2" x14ac:dyDescent="0.4">
      <c r="A14506" s="4">
        <v>501000000</v>
      </c>
      <c r="B14506">
        <v>8210101</v>
      </c>
    </row>
    <row r="14507" spans="1:2" x14ac:dyDescent="0.4">
      <c r="A14507" s="4">
        <v>501000000</v>
      </c>
      <c r="B14507">
        <v>8210102</v>
      </c>
    </row>
    <row r="14508" spans="1:2" x14ac:dyDescent="0.4">
      <c r="A14508" s="4">
        <v>501000000</v>
      </c>
      <c r="B14508">
        <v>8210200</v>
      </c>
    </row>
    <row r="14509" spans="1:2" x14ac:dyDescent="0.4">
      <c r="A14509" s="4">
        <v>501000000</v>
      </c>
      <c r="B14509">
        <v>8210201</v>
      </c>
    </row>
    <row r="14510" spans="1:2" x14ac:dyDescent="0.4">
      <c r="A14510" s="4">
        <v>501000000</v>
      </c>
      <c r="B14510">
        <v>8210202</v>
      </c>
    </row>
    <row r="14511" spans="1:2" x14ac:dyDescent="0.4">
      <c r="A14511" s="4">
        <v>501000000</v>
      </c>
      <c r="B14511">
        <v>8210300</v>
      </c>
    </row>
    <row r="14512" spans="1:2" x14ac:dyDescent="0.4">
      <c r="A14512" s="4">
        <v>501000000</v>
      </c>
      <c r="B14512">
        <v>8210301</v>
      </c>
    </row>
    <row r="14513" spans="1:2" x14ac:dyDescent="0.4">
      <c r="A14513" s="4">
        <v>501000000</v>
      </c>
      <c r="B14513">
        <v>8210302</v>
      </c>
    </row>
    <row r="14514" spans="1:2" x14ac:dyDescent="0.4">
      <c r="A14514" s="4">
        <v>501000000</v>
      </c>
      <c r="B14514">
        <v>8210400</v>
      </c>
    </row>
    <row r="14515" spans="1:2" x14ac:dyDescent="0.4">
      <c r="A14515" s="4">
        <v>501000000</v>
      </c>
      <c r="B14515">
        <v>8210401</v>
      </c>
    </row>
    <row r="14516" spans="1:2" x14ac:dyDescent="0.4">
      <c r="A14516" s="4">
        <v>501000000</v>
      </c>
      <c r="B14516">
        <v>8210402</v>
      </c>
    </row>
    <row r="14517" spans="1:2" x14ac:dyDescent="0.4">
      <c r="A14517" s="4">
        <v>501000000</v>
      </c>
      <c r="B14517">
        <v>8210500</v>
      </c>
    </row>
    <row r="14518" spans="1:2" x14ac:dyDescent="0.4">
      <c r="A14518" s="4">
        <v>501000000</v>
      </c>
      <c r="B14518">
        <v>8210501</v>
      </c>
    </row>
    <row r="14519" spans="1:2" x14ac:dyDescent="0.4">
      <c r="A14519" s="4">
        <v>501000000</v>
      </c>
      <c r="B14519">
        <v>8210502</v>
      </c>
    </row>
    <row r="14520" spans="1:2" x14ac:dyDescent="0.4">
      <c r="A14520" s="4">
        <v>501000000</v>
      </c>
      <c r="B14520">
        <v>8210600</v>
      </c>
    </row>
    <row r="14521" spans="1:2" x14ac:dyDescent="0.4">
      <c r="A14521" s="4">
        <v>501000000</v>
      </c>
      <c r="B14521">
        <v>8210601</v>
      </c>
    </row>
    <row r="14522" spans="1:2" x14ac:dyDescent="0.4">
      <c r="A14522" s="4">
        <v>501000000</v>
      </c>
      <c r="B14522">
        <v>8210602</v>
      </c>
    </row>
    <row r="14523" spans="1:2" x14ac:dyDescent="0.4">
      <c r="A14523" s="4">
        <v>501000000</v>
      </c>
      <c r="B14523">
        <v>8220000</v>
      </c>
    </row>
    <row r="14524" spans="1:2" x14ac:dyDescent="0.4">
      <c r="A14524" s="4">
        <v>501000000</v>
      </c>
      <c r="B14524">
        <v>8220001</v>
      </c>
    </row>
    <row r="14525" spans="1:2" x14ac:dyDescent="0.4">
      <c r="A14525" s="4">
        <v>501000000</v>
      </c>
      <c r="B14525">
        <v>8220002</v>
      </c>
    </row>
    <row r="14526" spans="1:2" x14ac:dyDescent="0.4">
      <c r="A14526" s="4">
        <v>501000000</v>
      </c>
      <c r="B14526">
        <v>8300000</v>
      </c>
    </row>
    <row r="14527" spans="1:2" x14ac:dyDescent="0.4">
      <c r="A14527" s="4">
        <v>501000000</v>
      </c>
      <c r="B14527">
        <v>8300001</v>
      </c>
    </row>
    <row r="14528" spans="1:2" x14ac:dyDescent="0.4">
      <c r="A14528" s="4">
        <v>501000000</v>
      </c>
      <c r="B14528">
        <v>8300002</v>
      </c>
    </row>
    <row r="14529" spans="1:2" x14ac:dyDescent="0.4">
      <c r="A14529" s="4">
        <v>501000000</v>
      </c>
      <c r="B14529">
        <v>8310000</v>
      </c>
    </row>
    <row r="14530" spans="1:2" x14ac:dyDescent="0.4">
      <c r="A14530" s="4">
        <v>501000000</v>
      </c>
      <c r="B14530">
        <v>8310001</v>
      </c>
    </row>
    <row r="14531" spans="1:2" x14ac:dyDescent="0.4">
      <c r="A14531" s="4">
        <v>501000000</v>
      </c>
      <c r="B14531">
        <v>8310002</v>
      </c>
    </row>
    <row r="14532" spans="1:2" x14ac:dyDescent="0.4">
      <c r="A14532" s="4">
        <v>501000000</v>
      </c>
      <c r="B14532">
        <v>8320000</v>
      </c>
    </row>
    <row r="14533" spans="1:2" x14ac:dyDescent="0.4">
      <c r="A14533" s="4">
        <v>501000000</v>
      </c>
      <c r="B14533">
        <v>8320001</v>
      </c>
    </row>
    <row r="14534" spans="1:2" x14ac:dyDescent="0.4">
      <c r="A14534" s="4">
        <v>501000000</v>
      </c>
      <c r="B14534">
        <v>8320002</v>
      </c>
    </row>
    <row r="14535" spans="1:2" x14ac:dyDescent="0.4">
      <c r="A14535" s="4">
        <v>501000000</v>
      </c>
      <c r="B14535">
        <v>8320100</v>
      </c>
    </row>
    <row r="14536" spans="1:2" x14ac:dyDescent="0.4">
      <c r="A14536" s="4">
        <v>501000000</v>
      </c>
      <c r="B14536">
        <v>8320101</v>
      </c>
    </row>
    <row r="14537" spans="1:2" x14ac:dyDescent="0.4">
      <c r="A14537" s="4">
        <v>501000000</v>
      </c>
      <c r="B14537">
        <v>8320102</v>
      </c>
    </row>
    <row r="14538" spans="1:2" x14ac:dyDescent="0.4">
      <c r="A14538" s="4">
        <v>501000000</v>
      </c>
      <c r="B14538">
        <v>8320300</v>
      </c>
    </row>
    <row r="14539" spans="1:2" x14ac:dyDescent="0.4">
      <c r="A14539" s="4">
        <v>501000000</v>
      </c>
      <c r="B14539">
        <v>8320301</v>
      </c>
    </row>
    <row r="14540" spans="1:2" x14ac:dyDescent="0.4">
      <c r="A14540" s="4">
        <v>501000000</v>
      </c>
      <c r="B14540">
        <v>8320302</v>
      </c>
    </row>
    <row r="14541" spans="1:2" x14ac:dyDescent="0.4">
      <c r="A14541" s="4">
        <v>501000000</v>
      </c>
      <c r="B14541">
        <v>8320400</v>
      </c>
    </row>
    <row r="14542" spans="1:2" x14ac:dyDescent="0.4">
      <c r="A14542" s="4">
        <v>501000000</v>
      </c>
      <c r="B14542">
        <v>8320410</v>
      </c>
    </row>
    <row r="14543" spans="1:2" x14ac:dyDescent="0.4">
      <c r="A14543" s="4">
        <v>501000000</v>
      </c>
      <c r="B14543">
        <v>8320420</v>
      </c>
    </row>
    <row r="14544" spans="1:2" x14ac:dyDescent="0.4">
      <c r="A14544" s="4">
        <v>501000000</v>
      </c>
      <c r="B14544">
        <v>8330000</v>
      </c>
    </row>
    <row r="14545" spans="1:2" x14ac:dyDescent="0.4">
      <c r="A14545" s="4">
        <v>501000000</v>
      </c>
      <c r="B14545">
        <v>8330001</v>
      </c>
    </row>
    <row r="14546" spans="1:2" x14ac:dyDescent="0.4">
      <c r="A14546" s="4">
        <v>501000000</v>
      </c>
      <c r="B14546">
        <v>8330002</v>
      </c>
    </row>
    <row r="14547" spans="1:2" x14ac:dyDescent="0.4">
      <c r="A14547" s="4">
        <v>501000000</v>
      </c>
      <c r="B14547">
        <v>8330100</v>
      </c>
    </row>
    <row r="14548" spans="1:2" x14ac:dyDescent="0.4">
      <c r="A14548" s="4">
        <v>501000000</v>
      </c>
      <c r="B14548">
        <v>8330101</v>
      </c>
    </row>
    <row r="14549" spans="1:2" x14ac:dyDescent="0.4">
      <c r="A14549" s="4">
        <v>501000000</v>
      </c>
      <c r="B14549">
        <v>8330102</v>
      </c>
    </row>
    <row r="14550" spans="1:2" x14ac:dyDescent="0.4">
      <c r="A14550" s="4">
        <v>501000000</v>
      </c>
      <c r="B14550">
        <v>8330200</v>
      </c>
    </row>
    <row r="14551" spans="1:2" x14ac:dyDescent="0.4">
      <c r="A14551" s="4">
        <v>501000000</v>
      </c>
      <c r="B14551">
        <v>8330201</v>
      </c>
    </row>
    <row r="14552" spans="1:2" x14ac:dyDescent="0.4">
      <c r="A14552" s="4">
        <v>501000000</v>
      </c>
      <c r="B14552">
        <v>8330202</v>
      </c>
    </row>
    <row r="14553" spans="1:2" x14ac:dyDescent="0.4">
      <c r="A14553" s="4">
        <v>501000000</v>
      </c>
      <c r="B14553">
        <v>8330300</v>
      </c>
    </row>
    <row r="14554" spans="1:2" x14ac:dyDescent="0.4">
      <c r="A14554" s="4">
        <v>501000000</v>
      </c>
      <c r="B14554">
        <v>8330301</v>
      </c>
    </row>
    <row r="14555" spans="1:2" x14ac:dyDescent="0.4">
      <c r="A14555" s="4">
        <v>501000000</v>
      </c>
      <c r="B14555">
        <v>8330302</v>
      </c>
    </row>
    <row r="14556" spans="1:2" x14ac:dyDescent="0.4">
      <c r="A14556" s="4">
        <v>501000000</v>
      </c>
      <c r="B14556">
        <v>8330400</v>
      </c>
    </row>
    <row r="14557" spans="1:2" x14ac:dyDescent="0.4">
      <c r="A14557" s="4">
        <v>501000000</v>
      </c>
      <c r="B14557">
        <v>8330401</v>
      </c>
    </row>
    <row r="14558" spans="1:2" x14ac:dyDescent="0.4">
      <c r="A14558" s="4">
        <v>501000000</v>
      </c>
      <c r="B14558">
        <v>8330600</v>
      </c>
    </row>
    <row r="14559" spans="1:2" x14ac:dyDescent="0.4">
      <c r="A14559" s="4">
        <v>501000000</v>
      </c>
      <c r="B14559">
        <v>8330601</v>
      </c>
    </row>
    <row r="14560" spans="1:2" x14ac:dyDescent="0.4">
      <c r="A14560" s="4">
        <v>501000000</v>
      </c>
      <c r="B14560">
        <v>8330602</v>
      </c>
    </row>
    <row r="14561" spans="1:2" x14ac:dyDescent="0.4">
      <c r="A14561" s="4">
        <v>501000000</v>
      </c>
      <c r="B14561">
        <v>8330900</v>
      </c>
    </row>
    <row r="14562" spans="1:2" x14ac:dyDescent="0.4">
      <c r="A14562" s="4">
        <v>501000000</v>
      </c>
      <c r="B14562">
        <v>8330910</v>
      </c>
    </row>
    <row r="14563" spans="1:2" x14ac:dyDescent="0.4">
      <c r="A14563" s="4">
        <v>501000000</v>
      </c>
      <c r="B14563">
        <v>8330920</v>
      </c>
    </row>
    <row r="14564" spans="1:2" x14ac:dyDescent="0.4">
      <c r="A14564" s="4">
        <v>501000000</v>
      </c>
      <c r="B14564">
        <v>8340000</v>
      </c>
    </row>
    <row r="14565" spans="1:2" x14ac:dyDescent="0.4">
      <c r="A14565" s="4">
        <v>501000000</v>
      </c>
      <c r="B14565">
        <v>8340001</v>
      </c>
    </row>
    <row r="14566" spans="1:2" x14ac:dyDescent="0.4">
      <c r="A14566" s="4">
        <v>501000000</v>
      </c>
      <c r="B14566">
        <v>8340002</v>
      </c>
    </row>
    <row r="14567" spans="1:2" x14ac:dyDescent="0.4">
      <c r="A14567" s="4">
        <v>501000000</v>
      </c>
      <c r="B14567">
        <v>8340100</v>
      </c>
    </row>
    <row r="14568" spans="1:2" x14ac:dyDescent="0.4">
      <c r="A14568" s="4">
        <v>501000000</v>
      </c>
      <c r="B14568">
        <v>8340101</v>
      </c>
    </row>
    <row r="14569" spans="1:2" x14ac:dyDescent="0.4">
      <c r="A14569" s="4">
        <v>501000000</v>
      </c>
      <c r="B14569">
        <v>8340102</v>
      </c>
    </row>
    <row r="14570" spans="1:2" x14ac:dyDescent="0.4">
      <c r="A14570" s="4">
        <v>501000000</v>
      </c>
      <c r="B14570">
        <v>8350000</v>
      </c>
    </row>
    <row r="14571" spans="1:2" x14ac:dyDescent="0.4">
      <c r="A14571" s="4">
        <v>501000000</v>
      </c>
      <c r="B14571">
        <v>8350001</v>
      </c>
    </row>
    <row r="14572" spans="1:2" x14ac:dyDescent="0.4">
      <c r="A14572" s="4">
        <v>501000000</v>
      </c>
      <c r="B14572">
        <v>8350002</v>
      </c>
    </row>
    <row r="14573" spans="1:2" x14ac:dyDescent="0.4">
      <c r="A14573" s="4">
        <v>501000000</v>
      </c>
      <c r="B14573">
        <v>8350200</v>
      </c>
    </row>
    <row r="14574" spans="1:2" x14ac:dyDescent="0.4">
      <c r="A14574" s="4">
        <v>501000000</v>
      </c>
      <c r="B14574">
        <v>8350201</v>
      </c>
    </row>
    <row r="14575" spans="1:2" x14ac:dyDescent="0.4">
      <c r="A14575" s="4">
        <v>501000000</v>
      </c>
      <c r="B14575">
        <v>8350202</v>
      </c>
    </row>
    <row r="14576" spans="1:2" x14ac:dyDescent="0.4">
      <c r="A14576" s="4">
        <v>501000000</v>
      </c>
      <c r="B14576">
        <v>8420000</v>
      </c>
    </row>
    <row r="14577" spans="1:2" x14ac:dyDescent="0.4">
      <c r="A14577" s="4">
        <v>501000000</v>
      </c>
      <c r="B14577">
        <v>8420001</v>
      </c>
    </row>
    <row r="14578" spans="1:2" x14ac:dyDescent="0.4">
      <c r="A14578" s="4">
        <v>501000000</v>
      </c>
      <c r="B14578">
        <v>8420002</v>
      </c>
    </row>
    <row r="14579" spans="1:2" x14ac:dyDescent="0.4">
      <c r="A14579" s="4">
        <v>501000000</v>
      </c>
      <c r="B14579">
        <v>8450000</v>
      </c>
    </row>
    <row r="14580" spans="1:2" x14ac:dyDescent="0.4">
      <c r="A14580" s="4">
        <v>501000000</v>
      </c>
      <c r="B14580">
        <v>8460100</v>
      </c>
    </row>
    <row r="14581" spans="1:2" x14ac:dyDescent="0.4">
      <c r="A14581" s="4">
        <v>501000000</v>
      </c>
      <c r="B14581">
        <v>8460300</v>
      </c>
    </row>
    <row r="14582" spans="1:2" x14ac:dyDescent="0.4">
      <c r="A14582" s="4">
        <v>501000000</v>
      </c>
      <c r="B14582">
        <v>8460500</v>
      </c>
    </row>
    <row r="14583" spans="1:2" x14ac:dyDescent="0.4">
      <c r="A14583" s="4">
        <v>501000000</v>
      </c>
      <c r="B14583">
        <v>8510000</v>
      </c>
    </row>
    <row r="14584" spans="1:2" x14ac:dyDescent="0.4">
      <c r="A14584" s="4">
        <v>501000000</v>
      </c>
      <c r="B14584">
        <v>8510001</v>
      </c>
    </row>
    <row r="14585" spans="1:2" x14ac:dyDescent="0.4">
      <c r="A14585" s="4">
        <v>501000000</v>
      </c>
      <c r="B14585">
        <v>8510002</v>
      </c>
    </row>
    <row r="14586" spans="1:2" x14ac:dyDescent="0.4">
      <c r="A14586" s="4">
        <v>501000000</v>
      </c>
      <c r="B14586">
        <v>8520000</v>
      </c>
    </row>
    <row r="14587" spans="1:2" x14ac:dyDescent="0.4">
      <c r="A14587" s="4">
        <v>501000000</v>
      </c>
      <c r="B14587">
        <v>8520001</v>
      </c>
    </row>
    <row r="14588" spans="1:2" x14ac:dyDescent="0.4">
      <c r="A14588" s="4">
        <v>501000000</v>
      </c>
      <c r="B14588">
        <v>8520002</v>
      </c>
    </row>
    <row r="14589" spans="1:2" x14ac:dyDescent="0.4">
      <c r="A14589" s="4">
        <v>501000000</v>
      </c>
      <c r="B14589">
        <v>8530000</v>
      </c>
    </row>
    <row r="14590" spans="1:2" x14ac:dyDescent="0.4">
      <c r="A14590" s="4">
        <v>501000000</v>
      </c>
      <c r="B14590">
        <v>8530100</v>
      </c>
    </row>
    <row r="14591" spans="1:2" x14ac:dyDescent="0.4">
      <c r="A14591" s="4">
        <v>501000000</v>
      </c>
      <c r="B14591">
        <v>8540000</v>
      </c>
    </row>
    <row r="14592" spans="1:2" x14ac:dyDescent="0.4">
      <c r="A14592" s="4">
        <v>501000000</v>
      </c>
      <c r="B14592">
        <v>8600100</v>
      </c>
    </row>
    <row r="14593" spans="1:2" x14ac:dyDescent="0.4">
      <c r="A14593" s="4">
        <v>501000000</v>
      </c>
      <c r="B14593">
        <v>8600101</v>
      </c>
    </row>
    <row r="14594" spans="1:2" x14ac:dyDescent="0.4">
      <c r="A14594" s="4">
        <v>501000000</v>
      </c>
      <c r="B14594">
        <v>8600102</v>
      </c>
    </row>
    <row r="14595" spans="1:2" x14ac:dyDescent="0.4">
      <c r="A14595" s="4">
        <v>501000000</v>
      </c>
      <c r="B14595">
        <v>8600200</v>
      </c>
    </row>
    <row r="14596" spans="1:2" x14ac:dyDescent="0.4">
      <c r="A14596" s="4">
        <v>501000000</v>
      </c>
      <c r="B14596">
        <v>8600201</v>
      </c>
    </row>
    <row r="14597" spans="1:2" x14ac:dyDescent="0.4">
      <c r="A14597" s="4">
        <v>501000000</v>
      </c>
      <c r="B14597">
        <v>8600202</v>
      </c>
    </row>
    <row r="14598" spans="1:2" x14ac:dyDescent="0.4">
      <c r="A14598" s="4">
        <v>501000000</v>
      </c>
      <c r="B14598">
        <v>8610300</v>
      </c>
    </row>
    <row r="14599" spans="1:2" x14ac:dyDescent="0.4">
      <c r="A14599" s="4">
        <v>501000000</v>
      </c>
      <c r="B14599">
        <v>8610400</v>
      </c>
    </row>
    <row r="14600" spans="1:2" x14ac:dyDescent="0.4">
      <c r="A14600" s="4">
        <v>501000000</v>
      </c>
      <c r="B14600">
        <v>8610500</v>
      </c>
    </row>
    <row r="14601" spans="1:2" x14ac:dyDescent="0.4">
      <c r="A14601" s="4">
        <v>501000000</v>
      </c>
      <c r="B14601">
        <v>8610600</v>
      </c>
    </row>
    <row r="14602" spans="1:2" x14ac:dyDescent="0.4">
      <c r="A14602" s="4">
        <v>501000000</v>
      </c>
      <c r="B14602">
        <v>8610700</v>
      </c>
    </row>
    <row r="14603" spans="1:2" x14ac:dyDescent="0.4">
      <c r="A14603" s="4">
        <v>501000000</v>
      </c>
      <c r="B14603">
        <v>8610710</v>
      </c>
    </row>
    <row r="14604" spans="1:2" x14ac:dyDescent="0.4">
      <c r="A14604" s="4">
        <v>501000000</v>
      </c>
      <c r="B14604">
        <v>8610720</v>
      </c>
    </row>
    <row r="14605" spans="1:2" x14ac:dyDescent="0.4">
      <c r="A14605" s="4">
        <v>501000000</v>
      </c>
      <c r="B14605">
        <v>8620000</v>
      </c>
    </row>
    <row r="14606" spans="1:2" x14ac:dyDescent="0.4">
      <c r="A14606" s="4">
        <v>501000000</v>
      </c>
      <c r="B14606">
        <v>8620010</v>
      </c>
    </row>
    <row r="14607" spans="1:2" x14ac:dyDescent="0.4">
      <c r="A14607" s="4">
        <v>501000000</v>
      </c>
      <c r="B14607">
        <v>8620020</v>
      </c>
    </row>
    <row r="14608" spans="1:2" x14ac:dyDescent="0.4">
      <c r="A14608" s="4">
        <v>501000000</v>
      </c>
      <c r="B14608">
        <v>8620100</v>
      </c>
    </row>
    <row r="14609" spans="1:2" x14ac:dyDescent="0.4">
      <c r="A14609" s="4">
        <v>501000000</v>
      </c>
      <c r="B14609">
        <v>8620110</v>
      </c>
    </row>
    <row r="14610" spans="1:2" x14ac:dyDescent="0.4">
      <c r="A14610" s="4">
        <v>501000000</v>
      </c>
      <c r="B14610">
        <v>8620120</v>
      </c>
    </row>
    <row r="14611" spans="1:2" x14ac:dyDescent="0.4">
      <c r="A14611" s="4">
        <v>501000000</v>
      </c>
      <c r="B14611">
        <v>8630000</v>
      </c>
    </row>
    <row r="14612" spans="1:2" x14ac:dyDescent="0.4">
      <c r="A14612" s="4">
        <v>501000000</v>
      </c>
      <c r="B14612">
        <v>8630000</v>
      </c>
    </row>
    <row r="14613" spans="1:2" x14ac:dyDescent="0.4">
      <c r="A14613" s="4">
        <v>501000000</v>
      </c>
      <c r="B14613">
        <v>8630000</v>
      </c>
    </row>
    <row r="14614" spans="1:2" x14ac:dyDescent="0.4">
      <c r="A14614" s="4">
        <v>501000000</v>
      </c>
      <c r="B14614">
        <v>8630100</v>
      </c>
    </row>
    <row r="14615" spans="1:2" x14ac:dyDescent="0.4">
      <c r="A14615" s="4">
        <v>501000000</v>
      </c>
      <c r="B14615">
        <v>8630100</v>
      </c>
    </row>
    <row r="14616" spans="1:2" x14ac:dyDescent="0.4">
      <c r="A14616" s="4">
        <v>501000000</v>
      </c>
      <c r="B14616">
        <v>8630100</v>
      </c>
    </row>
    <row r="14617" spans="1:2" x14ac:dyDescent="0.4">
      <c r="A14617" s="4">
        <v>501000000</v>
      </c>
      <c r="B14617">
        <v>8630200</v>
      </c>
    </row>
    <row r="14618" spans="1:2" x14ac:dyDescent="0.4">
      <c r="A14618" s="4">
        <v>501000000</v>
      </c>
      <c r="B14618">
        <v>8630300</v>
      </c>
    </row>
    <row r="14619" spans="1:2" x14ac:dyDescent="0.4">
      <c r="A14619" s="4">
        <v>501000000</v>
      </c>
      <c r="B14619">
        <v>8630400</v>
      </c>
    </row>
    <row r="14620" spans="1:2" x14ac:dyDescent="0.4">
      <c r="A14620" s="4">
        <v>501000000</v>
      </c>
      <c r="B14620">
        <v>8630500</v>
      </c>
    </row>
    <row r="14621" spans="1:2" x14ac:dyDescent="0.4">
      <c r="A14621" s="4">
        <v>501000000</v>
      </c>
      <c r="B14621">
        <v>8630600</v>
      </c>
    </row>
    <row r="14622" spans="1:2" x14ac:dyDescent="0.4">
      <c r="A14622" s="4">
        <v>501000000</v>
      </c>
      <c r="B14622">
        <v>8630700</v>
      </c>
    </row>
    <row r="14623" spans="1:2" x14ac:dyDescent="0.4">
      <c r="A14623" s="4">
        <v>501000000</v>
      </c>
      <c r="B14623">
        <v>8630800</v>
      </c>
    </row>
    <row r="14624" spans="1:2" x14ac:dyDescent="0.4">
      <c r="A14624" s="4">
        <v>501000000</v>
      </c>
      <c r="B14624">
        <v>8652000</v>
      </c>
    </row>
    <row r="14625" spans="1:2" x14ac:dyDescent="0.4">
      <c r="A14625" s="4">
        <v>501000000</v>
      </c>
      <c r="B14625">
        <v>8652010</v>
      </c>
    </row>
    <row r="14626" spans="1:2" x14ac:dyDescent="0.4">
      <c r="A14626" s="4">
        <v>501000000</v>
      </c>
      <c r="B14626">
        <v>8652020</v>
      </c>
    </row>
    <row r="14627" spans="1:2" x14ac:dyDescent="0.4">
      <c r="A14627" s="4">
        <v>501000000</v>
      </c>
      <c r="B14627">
        <v>8652100</v>
      </c>
    </row>
    <row r="14628" spans="1:2" x14ac:dyDescent="0.4">
      <c r="A14628" s="4">
        <v>501000000</v>
      </c>
      <c r="B14628">
        <v>8652110</v>
      </c>
    </row>
    <row r="14629" spans="1:2" x14ac:dyDescent="0.4">
      <c r="A14629" s="4">
        <v>501000000</v>
      </c>
      <c r="B14629">
        <v>8652120</v>
      </c>
    </row>
    <row r="14630" spans="1:2" x14ac:dyDescent="0.4">
      <c r="A14630" s="4">
        <v>501000000</v>
      </c>
      <c r="B14630">
        <v>8660000</v>
      </c>
    </row>
    <row r="14631" spans="1:2" x14ac:dyDescent="0.4">
      <c r="A14631" s="4">
        <v>501000000</v>
      </c>
      <c r="B14631">
        <v>8660001</v>
      </c>
    </row>
    <row r="14632" spans="1:2" x14ac:dyDescent="0.4">
      <c r="A14632" s="4">
        <v>501000000</v>
      </c>
      <c r="B14632">
        <v>8660002</v>
      </c>
    </row>
    <row r="14633" spans="1:2" x14ac:dyDescent="0.4">
      <c r="A14633" s="4">
        <v>501000000</v>
      </c>
      <c r="B14633">
        <v>8660100</v>
      </c>
    </row>
    <row r="14634" spans="1:2" x14ac:dyDescent="0.4">
      <c r="A14634" s="4">
        <v>501000000</v>
      </c>
      <c r="B14634">
        <v>8660101</v>
      </c>
    </row>
    <row r="14635" spans="1:2" x14ac:dyDescent="0.4">
      <c r="A14635" s="4">
        <v>501000000</v>
      </c>
      <c r="B14635">
        <v>8660102</v>
      </c>
    </row>
    <row r="14636" spans="1:2" x14ac:dyDescent="0.4">
      <c r="A14636" s="4">
        <v>501000000</v>
      </c>
      <c r="B14636">
        <v>8670000</v>
      </c>
    </row>
    <row r="14637" spans="1:2" x14ac:dyDescent="0.4">
      <c r="A14637" s="4">
        <v>501000000</v>
      </c>
      <c r="B14637">
        <v>8670001</v>
      </c>
    </row>
    <row r="14638" spans="1:2" x14ac:dyDescent="0.4">
      <c r="A14638" s="4">
        <v>501000000</v>
      </c>
      <c r="B14638">
        <v>8670002</v>
      </c>
    </row>
    <row r="14639" spans="1:2" x14ac:dyDescent="0.4">
      <c r="A14639" s="4">
        <v>501000000</v>
      </c>
      <c r="B14639">
        <v>8670100</v>
      </c>
    </row>
    <row r="14640" spans="1:2" x14ac:dyDescent="0.4">
      <c r="A14640" s="4">
        <v>501000000</v>
      </c>
      <c r="B14640">
        <v>8670101</v>
      </c>
    </row>
    <row r="14641" spans="1:2" x14ac:dyDescent="0.4">
      <c r="A14641" s="4">
        <v>501000000</v>
      </c>
      <c r="B14641">
        <v>8670102</v>
      </c>
    </row>
    <row r="14642" spans="1:2" x14ac:dyDescent="0.4">
      <c r="A14642" s="4">
        <v>501000000</v>
      </c>
      <c r="B14642">
        <v>8690000</v>
      </c>
    </row>
    <row r="14643" spans="1:2" x14ac:dyDescent="0.4">
      <c r="A14643" s="4">
        <v>501000000</v>
      </c>
      <c r="B14643">
        <v>8690100</v>
      </c>
    </row>
    <row r="14644" spans="1:2" x14ac:dyDescent="0.4">
      <c r="A14644" s="4">
        <v>501000000</v>
      </c>
      <c r="B14644">
        <v>8690200</v>
      </c>
    </row>
    <row r="14645" spans="1:2" x14ac:dyDescent="0.4">
      <c r="A14645" s="4">
        <v>501000000</v>
      </c>
      <c r="B14645">
        <v>8690300</v>
      </c>
    </row>
    <row r="14646" spans="1:2" x14ac:dyDescent="0.4">
      <c r="A14646" s="4">
        <v>501000000</v>
      </c>
      <c r="B14646">
        <v>8690400</v>
      </c>
    </row>
    <row r="14647" spans="1:2" x14ac:dyDescent="0.4">
      <c r="A14647" s="4">
        <v>501000000</v>
      </c>
      <c r="B14647">
        <v>8320500</v>
      </c>
    </row>
    <row r="14648" spans="1:2" x14ac:dyDescent="0.4">
      <c r="A14648" s="4">
        <v>501000000</v>
      </c>
      <c r="B14648">
        <v>8320510</v>
      </c>
    </row>
    <row r="14649" spans="1:2" x14ac:dyDescent="0.4">
      <c r="A14649" s="4">
        <v>501000000</v>
      </c>
      <c r="B14649">
        <v>8320520</v>
      </c>
    </row>
    <row r="14650" spans="1:2" x14ac:dyDescent="0.4">
      <c r="A14650" s="4">
        <v>501000000</v>
      </c>
      <c r="B14650">
        <v>8320600</v>
      </c>
    </row>
    <row r="14651" spans="1:2" x14ac:dyDescent="0.4">
      <c r="A14651" s="4">
        <v>501000000</v>
      </c>
      <c r="B14651">
        <v>8320610</v>
      </c>
    </row>
    <row r="14652" spans="1:2" x14ac:dyDescent="0.4">
      <c r="A14652" s="4">
        <v>501000000</v>
      </c>
      <c r="B14652">
        <v>8320620</v>
      </c>
    </row>
    <row r="14653" spans="1:2" x14ac:dyDescent="0.4">
      <c r="A14653" s="4">
        <v>501000000</v>
      </c>
      <c r="B14653">
        <v>8320700</v>
      </c>
    </row>
    <row r="14654" spans="1:2" x14ac:dyDescent="0.4">
      <c r="A14654" s="4">
        <v>501000000</v>
      </c>
      <c r="B14654">
        <v>8320710</v>
      </c>
    </row>
    <row r="14655" spans="1:2" x14ac:dyDescent="0.4">
      <c r="A14655" s="4">
        <v>501000000</v>
      </c>
      <c r="B14655">
        <v>8320720</v>
      </c>
    </row>
    <row r="14656" spans="1:2" x14ac:dyDescent="0.4">
      <c r="A14656" s="4">
        <v>501000100</v>
      </c>
      <c r="B14656">
        <v>0</v>
      </c>
    </row>
    <row r="14657" spans="1:2" x14ac:dyDescent="0.4">
      <c r="A14657" s="4">
        <v>501000100</v>
      </c>
      <c r="B14657">
        <v>8100100</v>
      </c>
    </row>
    <row r="14658" spans="1:2" x14ac:dyDescent="0.4">
      <c r="A14658" s="4">
        <v>501000100</v>
      </c>
      <c r="B14658">
        <v>8100101</v>
      </c>
    </row>
    <row r="14659" spans="1:2" x14ac:dyDescent="0.4">
      <c r="A14659" s="4">
        <v>501000100</v>
      </c>
      <c r="B14659">
        <v>8100102</v>
      </c>
    </row>
    <row r="14660" spans="1:2" x14ac:dyDescent="0.4">
      <c r="A14660" s="4">
        <v>501000100</v>
      </c>
      <c r="B14660">
        <v>8100200</v>
      </c>
    </row>
    <row r="14661" spans="1:2" x14ac:dyDescent="0.4">
      <c r="A14661" s="4">
        <v>501000100</v>
      </c>
      <c r="B14661">
        <v>8100201</v>
      </c>
    </row>
    <row r="14662" spans="1:2" x14ac:dyDescent="0.4">
      <c r="A14662" s="4">
        <v>501000100</v>
      </c>
      <c r="B14662">
        <v>8100202</v>
      </c>
    </row>
    <row r="14663" spans="1:2" x14ac:dyDescent="0.4">
      <c r="A14663" s="4">
        <v>501000100</v>
      </c>
      <c r="B14663">
        <v>8100300</v>
      </c>
    </row>
    <row r="14664" spans="1:2" x14ac:dyDescent="0.4">
      <c r="A14664" s="4">
        <v>501000100</v>
      </c>
      <c r="B14664">
        <v>8100301</v>
      </c>
    </row>
    <row r="14665" spans="1:2" x14ac:dyDescent="0.4">
      <c r="A14665" s="4">
        <v>501000100</v>
      </c>
      <c r="B14665">
        <v>8100302</v>
      </c>
    </row>
    <row r="14666" spans="1:2" x14ac:dyDescent="0.4">
      <c r="A14666" s="4">
        <v>501000100</v>
      </c>
      <c r="B14666">
        <v>8100400</v>
      </c>
    </row>
    <row r="14667" spans="1:2" x14ac:dyDescent="0.4">
      <c r="A14667" s="4">
        <v>501000100</v>
      </c>
      <c r="B14667">
        <v>8100401</v>
      </c>
    </row>
    <row r="14668" spans="1:2" x14ac:dyDescent="0.4">
      <c r="A14668" s="4">
        <v>501000100</v>
      </c>
      <c r="B14668">
        <v>8100402</v>
      </c>
    </row>
    <row r="14669" spans="1:2" x14ac:dyDescent="0.4">
      <c r="A14669" s="4">
        <v>501000100</v>
      </c>
      <c r="B14669">
        <v>8130000</v>
      </c>
    </row>
    <row r="14670" spans="1:2" x14ac:dyDescent="0.4">
      <c r="A14670" s="4">
        <v>501000100</v>
      </c>
      <c r="B14670">
        <v>8130001</v>
      </c>
    </row>
    <row r="14671" spans="1:2" x14ac:dyDescent="0.4">
      <c r="A14671" s="4">
        <v>501000100</v>
      </c>
      <c r="B14671">
        <v>8130002</v>
      </c>
    </row>
    <row r="14672" spans="1:2" x14ac:dyDescent="0.4">
      <c r="A14672" s="4">
        <v>501000100</v>
      </c>
      <c r="B14672">
        <v>8140000</v>
      </c>
    </row>
    <row r="14673" spans="1:2" x14ac:dyDescent="0.4">
      <c r="A14673" s="4">
        <v>501000100</v>
      </c>
      <c r="B14673">
        <v>8140001</v>
      </c>
    </row>
    <row r="14674" spans="1:2" x14ac:dyDescent="0.4">
      <c r="A14674" s="4">
        <v>501000100</v>
      </c>
      <c r="B14674">
        <v>8140002</v>
      </c>
    </row>
    <row r="14675" spans="1:2" x14ac:dyDescent="0.4">
      <c r="A14675" s="4">
        <v>501000100</v>
      </c>
      <c r="B14675">
        <v>8200100</v>
      </c>
    </row>
    <row r="14676" spans="1:2" x14ac:dyDescent="0.4">
      <c r="A14676" s="4">
        <v>501000100</v>
      </c>
      <c r="B14676">
        <v>8200101</v>
      </c>
    </row>
    <row r="14677" spans="1:2" x14ac:dyDescent="0.4">
      <c r="A14677" s="4">
        <v>501000100</v>
      </c>
      <c r="B14677">
        <v>8200102</v>
      </c>
    </row>
    <row r="14678" spans="1:2" x14ac:dyDescent="0.4">
      <c r="A14678" s="4">
        <v>501000100</v>
      </c>
      <c r="B14678">
        <v>8200200</v>
      </c>
    </row>
    <row r="14679" spans="1:2" x14ac:dyDescent="0.4">
      <c r="A14679" s="4">
        <v>501000100</v>
      </c>
      <c r="B14679">
        <v>8200201</v>
      </c>
    </row>
    <row r="14680" spans="1:2" x14ac:dyDescent="0.4">
      <c r="A14680" s="4">
        <v>501000100</v>
      </c>
      <c r="B14680">
        <v>8200202</v>
      </c>
    </row>
    <row r="14681" spans="1:2" x14ac:dyDescent="0.4">
      <c r="A14681" s="4">
        <v>501000100</v>
      </c>
      <c r="B14681">
        <v>8200300</v>
      </c>
    </row>
    <row r="14682" spans="1:2" x14ac:dyDescent="0.4">
      <c r="A14682" s="4">
        <v>501000100</v>
      </c>
      <c r="B14682">
        <v>8200301</v>
      </c>
    </row>
    <row r="14683" spans="1:2" x14ac:dyDescent="0.4">
      <c r="A14683" s="4">
        <v>501000100</v>
      </c>
      <c r="B14683">
        <v>8200302</v>
      </c>
    </row>
    <row r="14684" spans="1:2" x14ac:dyDescent="0.4">
      <c r="A14684" s="4">
        <v>501000100</v>
      </c>
      <c r="B14684">
        <v>8200400</v>
      </c>
    </row>
    <row r="14685" spans="1:2" x14ac:dyDescent="0.4">
      <c r="A14685" s="4">
        <v>501000100</v>
      </c>
      <c r="B14685">
        <v>8200401</v>
      </c>
    </row>
    <row r="14686" spans="1:2" x14ac:dyDescent="0.4">
      <c r="A14686" s="4">
        <v>501000100</v>
      </c>
      <c r="B14686">
        <v>8200402</v>
      </c>
    </row>
    <row r="14687" spans="1:2" x14ac:dyDescent="0.4">
      <c r="A14687" s="4">
        <v>501000100</v>
      </c>
      <c r="B14687">
        <v>8210000</v>
      </c>
    </row>
    <row r="14688" spans="1:2" x14ac:dyDescent="0.4">
      <c r="A14688" s="4">
        <v>501000100</v>
      </c>
      <c r="B14688">
        <v>8210001</v>
      </c>
    </row>
    <row r="14689" spans="1:2" x14ac:dyDescent="0.4">
      <c r="A14689" s="4">
        <v>501000100</v>
      </c>
      <c r="B14689">
        <v>8210002</v>
      </c>
    </row>
    <row r="14690" spans="1:2" x14ac:dyDescent="0.4">
      <c r="A14690" s="4">
        <v>501000100</v>
      </c>
      <c r="B14690">
        <v>8210100</v>
      </c>
    </row>
    <row r="14691" spans="1:2" x14ac:dyDescent="0.4">
      <c r="A14691" s="4">
        <v>501000100</v>
      </c>
      <c r="B14691">
        <v>8210101</v>
      </c>
    </row>
    <row r="14692" spans="1:2" x14ac:dyDescent="0.4">
      <c r="A14692" s="4">
        <v>501000100</v>
      </c>
      <c r="B14692">
        <v>8210102</v>
      </c>
    </row>
    <row r="14693" spans="1:2" x14ac:dyDescent="0.4">
      <c r="A14693" s="4">
        <v>501000100</v>
      </c>
      <c r="B14693">
        <v>8210200</v>
      </c>
    </row>
    <row r="14694" spans="1:2" x14ac:dyDescent="0.4">
      <c r="A14694" s="4">
        <v>501000100</v>
      </c>
      <c r="B14694">
        <v>8210201</v>
      </c>
    </row>
    <row r="14695" spans="1:2" x14ac:dyDescent="0.4">
      <c r="A14695" s="4">
        <v>501000100</v>
      </c>
      <c r="B14695">
        <v>8210202</v>
      </c>
    </row>
    <row r="14696" spans="1:2" x14ac:dyDescent="0.4">
      <c r="A14696" s="4">
        <v>501000100</v>
      </c>
      <c r="B14696">
        <v>8210300</v>
      </c>
    </row>
    <row r="14697" spans="1:2" x14ac:dyDescent="0.4">
      <c r="A14697" s="4">
        <v>501000100</v>
      </c>
      <c r="B14697">
        <v>8210301</v>
      </c>
    </row>
    <row r="14698" spans="1:2" x14ac:dyDescent="0.4">
      <c r="A14698" s="4">
        <v>501000100</v>
      </c>
      <c r="B14698">
        <v>8210302</v>
      </c>
    </row>
    <row r="14699" spans="1:2" x14ac:dyDescent="0.4">
      <c r="A14699" s="4">
        <v>501000100</v>
      </c>
      <c r="B14699">
        <v>8210400</v>
      </c>
    </row>
    <row r="14700" spans="1:2" x14ac:dyDescent="0.4">
      <c r="A14700" s="4">
        <v>501000100</v>
      </c>
      <c r="B14700">
        <v>8210401</v>
      </c>
    </row>
    <row r="14701" spans="1:2" x14ac:dyDescent="0.4">
      <c r="A14701" s="4">
        <v>501000100</v>
      </c>
      <c r="B14701">
        <v>8210402</v>
      </c>
    </row>
    <row r="14702" spans="1:2" x14ac:dyDescent="0.4">
      <c r="A14702" s="4">
        <v>501000100</v>
      </c>
      <c r="B14702">
        <v>8210500</v>
      </c>
    </row>
    <row r="14703" spans="1:2" x14ac:dyDescent="0.4">
      <c r="A14703" s="4">
        <v>501000100</v>
      </c>
      <c r="B14703">
        <v>8210501</v>
      </c>
    </row>
    <row r="14704" spans="1:2" x14ac:dyDescent="0.4">
      <c r="A14704" s="4">
        <v>501000100</v>
      </c>
      <c r="B14704">
        <v>8210502</v>
      </c>
    </row>
    <row r="14705" spans="1:2" x14ac:dyDescent="0.4">
      <c r="A14705" s="4">
        <v>501000100</v>
      </c>
      <c r="B14705">
        <v>8210600</v>
      </c>
    </row>
    <row r="14706" spans="1:2" x14ac:dyDescent="0.4">
      <c r="A14706" s="4">
        <v>501000100</v>
      </c>
      <c r="B14706">
        <v>8210601</v>
      </c>
    </row>
    <row r="14707" spans="1:2" x14ac:dyDescent="0.4">
      <c r="A14707" s="4">
        <v>501000100</v>
      </c>
      <c r="B14707">
        <v>8210602</v>
      </c>
    </row>
    <row r="14708" spans="1:2" x14ac:dyDescent="0.4">
      <c r="A14708" s="4">
        <v>501000100</v>
      </c>
      <c r="B14708">
        <v>8220000</v>
      </c>
    </row>
    <row r="14709" spans="1:2" x14ac:dyDescent="0.4">
      <c r="A14709" s="4">
        <v>501000100</v>
      </c>
      <c r="B14709">
        <v>8220001</v>
      </c>
    </row>
    <row r="14710" spans="1:2" x14ac:dyDescent="0.4">
      <c r="A14710" s="4">
        <v>501000100</v>
      </c>
      <c r="B14710">
        <v>8220002</v>
      </c>
    </row>
    <row r="14711" spans="1:2" x14ac:dyDescent="0.4">
      <c r="A14711" s="4">
        <v>501000100</v>
      </c>
      <c r="B14711">
        <v>8300000</v>
      </c>
    </row>
    <row r="14712" spans="1:2" x14ac:dyDescent="0.4">
      <c r="A14712" s="4">
        <v>501000100</v>
      </c>
      <c r="B14712">
        <v>8300001</v>
      </c>
    </row>
    <row r="14713" spans="1:2" x14ac:dyDescent="0.4">
      <c r="A14713" s="4">
        <v>501000100</v>
      </c>
      <c r="B14713">
        <v>8300002</v>
      </c>
    </row>
    <row r="14714" spans="1:2" x14ac:dyDescent="0.4">
      <c r="A14714" s="4">
        <v>501000100</v>
      </c>
      <c r="B14714">
        <v>8310000</v>
      </c>
    </row>
    <row r="14715" spans="1:2" x14ac:dyDescent="0.4">
      <c r="A14715" s="4">
        <v>501000100</v>
      </c>
      <c r="B14715">
        <v>8310001</v>
      </c>
    </row>
    <row r="14716" spans="1:2" x14ac:dyDescent="0.4">
      <c r="A14716" s="4">
        <v>501000100</v>
      </c>
      <c r="B14716">
        <v>8310002</v>
      </c>
    </row>
    <row r="14717" spans="1:2" x14ac:dyDescent="0.4">
      <c r="A14717" s="4">
        <v>501000100</v>
      </c>
      <c r="B14717">
        <v>8320000</v>
      </c>
    </row>
    <row r="14718" spans="1:2" x14ac:dyDescent="0.4">
      <c r="A14718" s="4">
        <v>501000100</v>
      </c>
      <c r="B14718">
        <v>8320001</v>
      </c>
    </row>
    <row r="14719" spans="1:2" x14ac:dyDescent="0.4">
      <c r="A14719" s="4">
        <v>501000100</v>
      </c>
      <c r="B14719">
        <v>8320002</v>
      </c>
    </row>
    <row r="14720" spans="1:2" x14ac:dyDescent="0.4">
      <c r="A14720" s="4">
        <v>501000100</v>
      </c>
      <c r="B14720">
        <v>8320100</v>
      </c>
    </row>
    <row r="14721" spans="1:2" x14ac:dyDescent="0.4">
      <c r="A14721" s="4">
        <v>501000100</v>
      </c>
      <c r="B14721">
        <v>8320101</v>
      </c>
    </row>
    <row r="14722" spans="1:2" x14ac:dyDescent="0.4">
      <c r="A14722" s="4">
        <v>501000100</v>
      </c>
      <c r="B14722">
        <v>8320102</v>
      </c>
    </row>
    <row r="14723" spans="1:2" x14ac:dyDescent="0.4">
      <c r="A14723" s="4">
        <v>501000100</v>
      </c>
      <c r="B14723">
        <v>8320300</v>
      </c>
    </row>
    <row r="14724" spans="1:2" x14ac:dyDescent="0.4">
      <c r="A14724" s="4">
        <v>501000100</v>
      </c>
      <c r="B14724">
        <v>8320301</v>
      </c>
    </row>
    <row r="14725" spans="1:2" x14ac:dyDescent="0.4">
      <c r="A14725" s="4">
        <v>501000100</v>
      </c>
      <c r="B14725">
        <v>8320302</v>
      </c>
    </row>
    <row r="14726" spans="1:2" x14ac:dyDescent="0.4">
      <c r="A14726" s="4">
        <v>501000100</v>
      </c>
      <c r="B14726">
        <v>8320400</v>
      </c>
    </row>
    <row r="14727" spans="1:2" x14ac:dyDescent="0.4">
      <c r="A14727" s="4">
        <v>501000100</v>
      </c>
      <c r="B14727">
        <v>8320410</v>
      </c>
    </row>
    <row r="14728" spans="1:2" x14ac:dyDescent="0.4">
      <c r="A14728" s="4">
        <v>501000100</v>
      </c>
      <c r="B14728">
        <v>8320420</v>
      </c>
    </row>
    <row r="14729" spans="1:2" x14ac:dyDescent="0.4">
      <c r="A14729" s="4">
        <v>501000100</v>
      </c>
      <c r="B14729">
        <v>8330000</v>
      </c>
    </row>
    <row r="14730" spans="1:2" x14ac:dyDescent="0.4">
      <c r="A14730" s="4">
        <v>501000100</v>
      </c>
      <c r="B14730">
        <v>8330001</v>
      </c>
    </row>
    <row r="14731" spans="1:2" x14ac:dyDescent="0.4">
      <c r="A14731" s="4">
        <v>501000100</v>
      </c>
      <c r="B14731">
        <v>8330002</v>
      </c>
    </row>
    <row r="14732" spans="1:2" x14ac:dyDescent="0.4">
      <c r="A14732" s="4">
        <v>501000100</v>
      </c>
      <c r="B14732">
        <v>8330100</v>
      </c>
    </row>
    <row r="14733" spans="1:2" x14ac:dyDescent="0.4">
      <c r="A14733" s="4">
        <v>501000100</v>
      </c>
      <c r="B14733">
        <v>8330101</v>
      </c>
    </row>
    <row r="14734" spans="1:2" x14ac:dyDescent="0.4">
      <c r="A14734" s="4">
        <v>501000100</v>
      </c>
      <c r="B14734">
        <v>8330102</v>
      </c>
    </row>
    <row r="14735" spans="1:2" x14ac:dyDescent="0.4">
      <c r="A14735" s="4">
        <v>501000100</v>
      </c>
      <c r="B14735">
        <v>8330200</v>
      </c>
    </row>
    <row r="14736" spans="1:2" x14ac:dyDescent="0.4">
      <c r="A14736" s="4">
        <v>501000100</v>
      </c>
      <c r="B14736">
        <v>8330201</v>
      </c>
    </row>
    <row r="14737" spans="1:2" x14ac:dyDescent="0.4">
      <c r="A14737" s="4">
        <v>501000100</v>
      </c>
      <c r="B14737">
        <v>8330202</v>
      </c>
    </row>
    <row r="14738" spans="1:2" x14ac:dyDescent="0.4">
      <c r="A14738" s="4">
        <v>501000100</v>
      </c>
      <c r="B14738">
        <v>8330300</v>
      </c>
    </row>
    <row r="14739" spans="1:2" x14ac:dyDescent="0.4">
      <c r="A14739" s="4">
        <v>501000100</v>
      </c>
      <c r="B14739">
        <v>8330301</v>
      </c>
    </row>
    <row r="14740" spans="1:2" x14ac:dyDescent="0.4">
      <c r="A14740" s="4">
        <v>501000100</v>
      </c>
      <c r="B14740">
        <v>8330302</v>
      </c>
    </row>
    <row r="14741" spans="1:2" x14ac:dyDescent="0.4">
      <c r="A14741" s="4">
        <v>501000100</v>
      </c>
      <c r="B14741">
        <v>8330400</v>
      </c>
    </row>
    <row r="14742" spans="1:2" x14ac:dyDescent="0.4">
      <c r="A14742" s="4">
        <v>501000100</v>
      </c>
      <c r="B14742">
        <v>8330401</v>
      </c>
    </row>
    <row r="14743" spans="1:2" x14ac:dyDescent="0.4">
      <c r="A14743" s="4">
        <v>501000100</v>
      </c>
      <c r="B14743">
        <v>8330600</v>
      </c>
    </row>
    <row r="14744" spans="1:2" x14ac:dyDescent="0.4">
      <c r="A14744" s="4">
        <v>501000100</v>
      </c>
      <c r="B14744">
        <v>8330601</v>
      </c>
    </row>
    <row r="14745" spans="1:2" x14ac:dyDescent="0.4">
      <c r="A14745" s="4">
        <v>501000100</v>
      </c>
      <c r="B14745">
        <v>8330602</v>
      </c>
    </row>
    <row r="14746" spans="1:2" x14ac:dyDescent="0.4">
      <c r="A14746" s="4">
        <v>501000100</v>
      </c>
      <c r="B14746">
        <v>8330900</v>
      </c>
    </row>
    <row r="14747" spans="1:2" x14ac:dyDescent="0.4">
      <c r="A14747" s="4">
        <v>501000100</v>
      </c>
      <c r="B14747">
        <v>8330910</v>
      </c>
    </row>
    <row r="14748" spans="1:2" x14ac:dyDescent="0.4">
      <c r="A14748" s="4">
        <v>501000100</v>
      </c>
      <c r="B14748">
        <v>8330920</v>
      </c>
    </row>
    <row r="14749" spans="1:2" x14ac:dyDescent="0.4">
      <c r="A14749" s="4">
        <v>501000100</v>
      </c>
      <c r="B14749">
        <v>8340000</v>
      </c>
    </row>
    <row r="14750" spans="1:2" x14ac:dyDescent="0.4">
      <c r="A14750" s="4">
        <v>501000100</v>
      </c>
      <c r="B14750">
        <v>8340001</v>
      </c>
    </row>
    <row r="14751" spans="1:2" x14ac:dyDescent="0.4">
      <c r="A14751" s="4">
        <v>501000100</v>
      </c>
      <c r="B14751">
        <v>8340002</v>
      </c>
    </row>
    <row r="14752" spans="1:2" x14ac:dyDescent="0.4">
      <c r="A14752" s="4">
        <v>501000100</v>
      </c>
      <c r="B14752">
        <v>8340100</v>
      </c>
    </row>
    <row r="14753" spans="1:2" x14ac:dyDescent="0.4">
      <c r="A14753" s="4">
        <v>501000100</v>
      </c>
      <c r="B14753">
        <v>8340101</v>
      </c>
    </row>
    <row r="14754" spans="1:2" x14ac:dyDescent="0.4">
      <c r="A14754" s="4">
        <v>501000100</v>
      </c>
      <c r="B14754">
        <v>8340102</v>
      </c>
    </row>
    <row r="14755" spans="1:2" x14ac:dyDescent="0.4">
      <c r="A14755" s="4">
        <v>501000100</v>
      </c>
      <c r="B14755">
        <v>8350000</v>
      </c>
    </row>
    <row r="14756" spans="1:2" x14ac:dyDescent="0.4">
      <c r="A14756" s="4">
        <v>501000100</v>
      </c>
      <c r="B14756">
        <v>8350001</v>
      </c>
    </row>
    <row r="14757" spans="1:2" x14ac:dyDescent="0.4">
      <c r="A14757" s="4">
        <v>501000100</v>
      </c>
      <c r="B14757">
        <v>8350002</v>
      </c>
    </row>
    <row r="14758" spans="1:2" x14ac:dyDescent="0.4">
      <c r="A14758" s="4">
        <v>501000100</v>
      </c>
      <c r="B14758">
        <v>8350200</v>
      </c>
    </row>
    <row r="14759" spans="1:2" x14ac:dyDescent="0.4">
      <c r="A14759" s="4">
        <v>501000100</v>
      </c>
      <c r="B14759">
        <v>8350201</v>
      </c>
    </row>
    <row r="14760" spans="1:2" x14ac:dyDescent="0.4">
      <c r="A14760" s="4">
        <v>501000100</v>
      </c>
      <c r="B14760">
        <v>8350202</v>
      </c>
    </row>
    <row r="14761" spans="1:2" x14ac:dyDescent="0.4">
      <c r="A14761" s="4">
        <v>501000100</v>
      </c>
      <c r="B14761">
        <v>8420000</v>
      </c>
    </row>
    <row r="14762" spans="1:2" x14ac:dyDescent="0.4">
      <c r="A14762" s="4">
        <v>501000100</v>
      </c>
      <c r="B14762">
        <v>8420001</v>
      </c>
    </row>
    <row r="14763" spans="1:2" x14ac:dyDescent="0.4">
      <c r="A14763" s="4">
        <v>501000100</v>
      </c>
      <c r="B14763">
        <v>8420002</v>
      </c>
    </row>
    <row r="14764" spans="1:2" x14ac:dyDescent="0.4">
      <c r="A14764" s="4">
        <v>501000100</v>
      </c>
      <c r="B14764">
        <v>8450000</v>
      </c>
    </row>
    <row r="14765" spans="1:2" x14ac:dyDescent="0.4">
      <c r="A14765" s="4">
        <v>501000100</v>
      </c>
      <c r="B14765">
        <v>8460100</v>
      </c>
    </row>
    <row r="14766" spans="1:2" x14ac:dyDescent="0.4">
      <c r="A14766" s="4">
        <v>501000100</v>
      </c>
      <c r="B14766">
        <v>8460300</v>
      </c>
    </row>
    <row r="14767" spans="1:2" x14ac:dyDescent="0.4">
      <c r="A14767" s="4">
        <v>501000100</v>
      </c>
      <c r="B14767">
        <v>8460500</v>
      </c>
    </row>
    <row r="14768" spans="1:2" x14ac:dyDescent="0.4">
      <c r="A14768" s="4">
        <v>501000100</v>
      </c>
      <c r="B14768">
        <v>8510000</v>
      </c>
    </row>
    <row r="14769" spans="1:2" x14ac:dyDescent="0.4">
      <c r="A14769" s="4">
        <v>501000100</v>
      </c>
      <c r="B14769">
        <v>8510001</v>
      </c>
    </row>
    <row r="14770" spans="1:2" x14ac:dyDescent="0.4">
      <c r="A14770" s="4">
        <v>501000100</v>
      </c>
      <c r="B14770">
        <v>8510002</v>
      </c>
    </row>
    <row r="14771" spans="1:2" x14ac:dyDescent="0.4">
      <c r="A14771" s="4">
        <v>501000100</v>
      </c>
      <c r="B14771">
        <v>8520000</v>
      </c>
    </row>
    <row r="14772" spans="1:2" x14ac:dyDescent="0.4">
      <c r="A14772" s="4">
        <v>501000100</v>
      </c>
      <c r="B14772">
        <v>8520001</v>
      </c>
    </row>
    <row r="14773" spans="1:2" x14ac:dyDescent="0.4">
      <c r="A14773" s="4">
        <v>501000100</v>
      </c>
      <c r="B14773">
        <v>8520002</v>
      </c>
    </row>
    <row r="14774" spans="1:2" x14ac:dyDescent="0.4">
      <c r="A14774" s="4">
        <v>501000100</v>
      </c>
      <c r="B14774">
        <v>8530000</v>
      </c>
    </row>
    <row r="14775" spans="1:2" x14ac:dyDescent="0.4">
      <c r="A14775" s="4">
        <v>501000100</v>
      </c>
      <c r="B14775">
        <v>8530100</v>
      </c>
    </row>
    <row r="14776" spans="1:2" x14ac:dyDescent="0.4">
      <c r="A14776" s="4">
        <v>501000100</v>
      </c>
      <c r="B14776">
        <v>8540000</v>
      </c>
    </row>
    <row r="14777" spans="1:2" x14ac:dyDescent="0.4">
      <c r="A14777" s="4">
        <v>501000100</v>
      </c>
      <c r="B14777">
        <v>8600100</v>
      </c>
    </row>
    <row r="14778" spans="1:2" x14ac:dyDescent="0.4">
      <c r="A14778" s="4">
        <v>501000100</v>
      </c>
      <c r="B14778">
        <v>8600101</v>
      </c>
    </row>
    <row r="14779" spans="1:2" x14ac:dyDescent="0.4">
      <c r="A14779" s="4">
        <v>501000100</v>
      </c>
      <c r="B14779">
        <v>8600102</v>
      </c>
    </row>
    <row r="14780" spans="1:2" x14ac:dyDescent="0.4">
      <c r="A14780" s="4">
        <v>501000100</v>
      </c>
      <c r="B14780">
        <v>8600200</v>
      </c>
    </row>
    <row r="14781" spans="1:2" x14ac:dyDescent="0.4">
      <c r="A14781" s="4">
        <v>501000100</v>
      </c>
      <c r="B14781">
        <v>8600201</v>
      </c>
    </row>
    <row r="14782" spans="1:2" x14ac:dyDescent="0.4">
      <c r="A14782" s="4">
        <v>501000100</v>
      </c>
      <c r="B14782">
        <v>8600202</v>
      </c>
    </row>
    <row r="14783" spans="1:2" x14ac:dyDescent="0.4">
      <c r="A14783" s="4">
        <v>501000100</v>
      </c>
      <c r="B14783">
        <v>8610300</v>
      </c>
    </row>
    <row r="14784" spans="1:2" x14ac:dyDescent="0.4">
      <c r="A14784" s="4">
        <v>501000100</v>
      </c>
      <c r="B14784">
        <v>8610400</v>
      </c>
    </row>
    <row r="14785" spans="1:2" x14ac:dyDescent="0.4">
      <c r="A14785" s="4">
        <v>501000100</v>
      </c>
      <c r="B14785">
        <v>8610500</v>
      </c>
    </row>
    <row r="14786" spans="1:2" x14ac:dyDescent="0.4">
      <c r="A14786" s="4">
        <v>501000100</v>
      </c>
      <c r="B14786">
        <v>8610600</v>
      </c>
    </row>
    <row r="14787" spans="1:2" x14ac:dyDescent="0.4">
      <c r="A14787" s="4">
        <v>501000100</v>
      </c>
      <c r="B14787">
        <v>8610700</v>
      </c>
    </row>
    <row r="14788" spans="1:2" x14ac:dyDescent="0.4">
      <c r="A14788" s="4">
        <v>501000100</v>
      </c>
      <c r="B14788">
        <v>8610710</v>
      </c>
    </row>
    <row r="14789" spans="1:2" x14ac:dyDescent="0.4">
      <c r="A14789" s="4">
        <v>501000100</v>
      </c>
      <c r="B14789">
        <v>8610720</v>
      </c>
    </row>
    <row r="14790" spans="1:2" x14ac:dyDescent="0.4">
      <c r="A14790" s="4">
        <v>501000100</v>
      </c>
      <c r="B14790">
        <v>8620000</v>
      </c>
    </row>
    <row r="14791" spans="1:2" x14ac:dyDescent="0.4">
      <c r="A14791" s="4">
        <v>501000100</v>
      </c>
      <c r="B14791">
        <v>8620010</v>
      </c>
    </row>
    <row r="14792" spans="1:2" x14ac:dyDescent="0.4">
      <c r="A14792" s="4">
        <v>501000100</v>
      </c>
      <c r="B14792">
        <v>8620020</v>
      </c>
    </row>
    <row r="14793" spans="1:2" x14ac:dyDescent="0.4">
      <c r="A14793" s="4">
        <v>501000100</v>
      </c>
      <c r="B14793">
        <v>8620100</v>
      </c>
    </row>
    <row r="14794" spans="1:2" x14ac:dyDescent="0.4">
      <c r="A14794" s="4">
        <v>501000100</v>
      </c>
      <c r="B14794">
        <v>8620110</v>
      </c>
    </row>
    <row r="14795" spans="1:2" x14ac:dyDescent="0.4">
      <c r="A14795" s="4">
        <v>501000100</v>
      </c>
      <c r="B14795">
        <v>8620120</v>
      </c>
    </row>
    <row r="14796" spans="1:2" x14ac:dyDescent="0.4">
      <c r="A14796" s="4">
        <v>501000100</v>
      </c>
      <c r="B14796">
        <v>8630000</v>
      </c>
    </row>
    <row r="14797" spans="1:2" x14ac:dyDescent="0.4">
      <c r="A14797" s="4">
        <v>501000100</v>
      </c>
      <c r="B14797">
        <v>8630000</v>
      </c>
    </row>
    <row r="14798" spans="1:2" x14ac:dyDescent="0.4">
      <c r="A14798" s="4">
        <v>501000100</v>
      </c>
      <c r="B14798">
        <v>8630000</v>
      </c>
    </row>
    <row r="14799" spans="1:2" x14ac:dyDescent="0.4">
      <c r="A14799" s="4">
        <v>501000100</v>
      </c>
      <c r="B14799">
        <v>8630100</v>
      </c>
    </row>
    <row r="14800" spans="1:2" x14ac:dyDescent="0.4">
      <c r="A14800" s="4">
        <v>501000100</v>
      </c>
      <c r="B14800">
        <v>8630100</v>
      </c>
    </row>
    <row r="14801" spans="1:2" x14ac:dyDescent="0.4">
      <c r="A14801" s="4">
        <v>501000100</v>
      </c>
      <c r="B14801">
        <v>8630100</v>
      </c>
    </row>
    <row r="14802" spans="1:2" x14ac:dyDescent="0.4">
      <c r="A14802" s="4">
        <v>501000100</v>
      </c>
      <c r="B14802">
        <v>8630200</v>
      </c>
    </row>
    <row r="14803" spans="1:2" x14ac:dyDescent="0.4">
      <c r="A14803" s="4">
        <v>501000100</v>
      </c>
      <c r="B14803">
        <v>8630300</v>
      </c>
    </row>
    <row r="14804" spans="1:2" x14ac:dyDescent="0.4">
      <c r="A14804" s="4">
        <v>501000100</v>
      </c>
      <c r="B14804">
        <v>8630400</v>
      </c>
    </row>
    <row r="14805" spans="1:2" x14ac:dyDescent="0.4">
      <c r="A14805" s="4">
        <v>501000100</v>
      </c>
      <c r="B14805">
        <v>8630500</v>
      </c>
    </row>
    <row r="14806" spans="1:2" x14ac:dyDescent="0.4">
      <c r="A14806" s="4">
        <v>501000100</v>
      </c>
      <c r="B14806">
        <v>8630600</v>
      </c>
    </row>
    <row r="14807" spans="1:2" x14ac:dyDescent="0.4">
      <c r="A14807" s="4">
        <v>501000100</v>
      </c>
      <c r="B14807">
        <v>8630700</v>
      </c>
    </row>
    <row r="14808" spans="1:2" x14ac:dyDescent="0.4">
      <c r="A14808" s="4">
        <v>501000100</v>
      </c>
      <c r="B14808">
        <v>8630800</v>
      </c>
    </row>
    <row r="14809" spans="1:2" x14ac:dyDescent="0.4">
      <c r="A14809" s="4">
        <v>501000100</v>
      </c>
      <c r="B14809">
        <v>8652000</v>
      </c>
    </row>
    <row r="14810" spans="1:2" x14ac:dyDescent="0.4">
      <c r="A14810" s="4">
        <v>501000100</v>
      </c>
      <c r="B14810">
        <v>8652010</v>
      </c>
    </row>
    <row r="14811" spans="1:2" x14ac:dyDescent="0.4">
      <c r="A14811" s="4">
        <v>501000100</v>
      </c>
      <c r="B14811">
        <v>8652020</v>
      </c>
    </row>
    <row r="14812" spans="1:2" x14ac:dyDescent="0.4">
      <c r="A14812" s="4">
        <v>501000100</v>
      </c>
      <c r="B14812">
        <v>8652100</v>
      </c>
    </row>
    <row r="14813" spans="1:2" x14ac:dyDescent="0.4">
      <c r="A14813" s="4">
        <v>501000100</v>
      </c>
      <c r="B14813">
        <v>8652110</v>
      </c>
    </row>
    <row r="14814" spans="1:2" x14ac:dyDescent="0.4">
      <c r="A14814" s="4">
        <v>501000100</v>
      </c>
      <c r="B14814">
        <v>8652120</v>
      </c>
    </row>
    <row r="14815" spans="1:2" x14ac:dyDescent="0.4">
      <c r="A14815" s="4">
        <v>501000100</v>
      </c>
      <c r="B14815">
        <v>8660000</v>
      </c>
    </row>
    <row r="14816" spans="1:2" x14ac:dyDescent="0.4">
      <c r="A14816" s="4">
        <v>501000100</v>
      </c>
      <c r="B14816">
        <v>8660001</v>
      </c>
    </row>
    <row r="14817" spans="1:2" x14ac:dyDescent="0.4">
      <c r="A14817" s="4">
        <v>501000100</v>
      </c>
      <c r="B14817">
        <v>8660002</v>
      </c>
    </row>
    <row r="14818" spans="1:2" x14ac:dyDescent="0.4">
      <c r="A14818" s="4">
        <v>501000100</v>
      </c>
      <c r="B14818">
        <v>8660100</v>
      </c>
    </row>
    <row r="14819" spans="1:2" x14ac:dyDescent="0.4">
      <c r="A14819" s="4">
        <v>501000100</v>
      </c>
      <c r="B14819">
        <v>8660101</v>
      </c>
    </row>
    <row r="14820" spans="1:2" x14ac:dyDescent="0.4">
      <c r="A14820" s="4">
        <v>501000100</v>
      </c>
      <c r="B14820">
        <v>8660102</v>
      </c>
    </row>
    <row r="14821" spans="1:2" x14ac:dyDescent="0.4">
      <c r="A14821" s="4">
        <v>501000100</v>
      </c>
      <c r="B14821">
        <v>8670000</v>
      </c>
    </row>
    <row r="14822" spans="1:2" x14ac:dyDescent="0.4">
      <c r="A14822" s="4">
        <v>501000100</v>
      </c>
      <c r="B14822">
        <v>8670001</v>
      </c>
    </row>
    <row r="14823" spans="1:2" x14ac:dyDescent="0.4">
      <c r="A14823" s="4">
        <v>501000100</v>
      </c>
      <c r="B14823">
        <v>8670002</v>
      </c>
    </row>
    <row r="14824" spans="1:2" x14ac:dyDescent="0.4">
      <c r="A14824" s="4">
        <v>501000100</v>
      </c>
      <c r="B14824">
        <v>8670100</v>
      </c>
    </row>
    <row r="14825" spans="1:2" x14ac:dyDescent="0.4">
      <c r="A14825" s="4">
        <v>501000100</v>
      </c>
      <c r="B14825">
        <v>8670101</v>
      </c>
    </row>
    <row r="14826" spans="1:2" x14ac:dyDescent="0.4">
      <c r="A14826" s="4">
        <v>501000100</v>
      </c>
      <c r="B14826">
        <v>8670102</v>
      </c>
    </row>
    <row r="14827" spans="1:2" x14ac:dyDescent="0.4">
      <c r="A14827" s="4">
        <v>501000100</v>
      </c>
      <c r="B14827">
        <v>8690000</v>
      </c>
    </row>
    <row r="14828" spans="1:2" x14ac:dyDescent="0.4">
      <c r="A14828" s="4">
        <v>501000100</v>
      </c>
      <c r="B14828">
        <v>8690100</v>
      </c>
    </row>
    <row r="14829" spans="1:2" x14ac:dyDescent="0.4">
      <c r="A14829" s="4">
        <v>501000100</v>
      </c>
      <c r="B14829">
        <v>8690200</v>
      </c>
    </row>
    <row r="14830" spans="1:2" x14ac:dyDescent="0.4">
      <c r="A14830" s="4">
        <v>501000100</v>
      </c>
      <c r="B14830">
        <v>8690300</v>
      </c>
    </row>
    <row r="14831" spans="1:2" x14ac:dyDescent="0.4">
      <c r="A14831" s="4">
        <v>501000100</v>
      </c>
      <c r="B14831">
        <v>8690400</v>
      </c>
    </row>
    <row r="14832" spans="1:2" x14ac:dyDescent="0.4">
      <c r="A14832" s="4">
        <v>501000100</v>
      </c>
      <c r="B14832">
        <v>8320500</v>
      </c>
    </row>
    <row r="14833" spans="1:2" x14ac:dyDescent="0.4">
      <c r="A14833" s="4">
        <v>501000100</v>
      </c>
      <c r="B14833">
        <v>8320510</v>
      </c>
    </row>
    <row r="14834" spans="1:2" x14ac:dyDescent="0.4">
      <c r="A14834" s="4">
        <v>501000100</v>
      </c>
      <c r="B14834">
        <v>8320520</v>
      </c>
    </row>
    <row r="14835" spans="1:2" x14ac:dyDescent="0.4">
      <c r="A14835" s="4">
        <v>501000100</v>
      </c>
      <c r="B14835">
        <v>8320600</v>
      </c>
    </row>
    <row r="14836" spans="1:2" x14ac:dyDescent="0.4">
      <c r="A14836" s="4">
        <v>501000100</v>
      </c>
      <c r="B14836">
        <v>8320610</v>
      </c>
    </row>
    <row r="14837" spans="1:2" x14ac:dyDescent="0.4">
      <c r="A14837" s="4">
        <v>501000100</v>
      </c>
      <c r="B14837">
        <v>8320620</v>
      </c>
    </row>
    <row r="14838" spans="1:2" x14ac:dyDescent="0.4">
      <c r="A14838" s="4">
        <v>501000100</v>
      </c>
      <c r="B14838">
        <v>8320700</v>
      </c>
    </row>
    <row r="14839" spans="1:2" x14ac:dyDescent="0.4">
      <c r="A14839" s="4">
        <v>501000100</v>
      </c>
      <c r="B14839">
        <v>8320710</v>
      </c>
    </row>
    <row r="14840" spans="1:2" x14ac:dyDescent="0.4">
      <c r="A14840" s="4">
        <v>501000100</v>
      </c>
      <c r="B14840">
        <v>8320720</v>
      </c>
    </row>
    <row r="14841" spans="1:2" x14ac:dyDescent="0.4">
      <c r="A14841" s="4">
        <v>501000200</v>
      </c>
      <c r="B14841">
        <v>0</v>
      </c>
    </row>
    <row r="14842" spans="1:2" x14ac:dyDescent="0.4">
      <c r="A14842" s="4">
        <v>501000200</v>
      </c>
      <c r="B14842">
        <v>8100100</v>
      </c>
    </row>
    <row r="14843" spans="1:2" x14ac:dyDescent="0.4">
      <c r="A14843" s="4">
        <v>501000200</v>
      </c>
      <c r="B14843">
        <v>8100101</v>
      </c>
    </row>
    <row r="14844" spans="1:2" x14ac:dyDescent="0.4">
      <c r="A14844" s="4">
        <v>501000200</v>
      </c>
      <c r="B14844">
        <v>8100102</v>
      </c>
    </row>
    <row r="14845" spans="1:2" x14ac:dyDescent="0.4">
      <c r="A14845" s="4">
        <v>501000200</v>
      </c>
      <c r="B14845">
        <v>8100200</v>
      </c>
    </row>
    <row r="14846" spans="1:2" x14ac:dyDescent="0.4">
      <c r="A14846" s="4">
        <v>501000200</v>
      </c>
      <c r="B14846">
        <v>8100201</v>
      </c>
    </row>
    <row r="14847" spans="1:2" x14ac:dyDescent="0.4">
      <c r="A14847" s="4">
        <v>501000200</v>
      </c>
      <c r="B14847">
        <v>8100202</v>
      </c>
    </row>
    <row r="14848" spans="1:2" x14ac:dyDescent="0.4">
      <c r="A14848" s="4">
        <v>501000200</v>
      </c>
      <c r="B14848">
        <v>8100300</v>
      </c>
    </row>
    <row r="14849" spans="1:2" x14ac:dyDescent="0.4">
      <c r="A14849" s="4">
        <v>501000200</v>
      </c>
      <c r="B14849">
        <v>8100301</v>
      </c>
    </row>
    <row r="14850" spans="1:2" x14ac:dyDescent="0.4">
      <c r="A14850" s="4">
        <v>501000200</v>
      </c>
      <c r="B14850">
        <v>8100302</v>
      </c>
    </row>
    <row r="14851" spans="1:2" x14ac:dyDescent="0.4">
      <c r="A14851" s="4">
        <v>501000200</v>
      </c>
      <c r="B14851">
        <v>8100400</v>
      </c>
    </row>
    <row r="14852" spans="1:2" x14ac:dyDescent="0.4">
      <c r="A14852" s="4">
        <v>501000200</v>
      </c>
      <c r="B14852">
        <v>8100401</v>
      </c>
    </row>
    <row r="14853" spans="1:2" x14ac:dyDescent="0.4">
      <c r="A14853" s="4">
        <v>501000200</v>
      </c>
      <c r="B14853">
        <v>8100402</v>
      </c>
    </row>
    <row r="14854" spans="1:2" x14ac:dyDescent="0.4">
      <c r="A14854" s="4">
        <v>501000200</v>
      </c>
      <c r="B14854">
        <v>8130000</v>
      </c>
    </row>
    <row r="14855" spans="1:2" x14ac:dyDescent="0.4">
      <c r="A14855" s="4">
        <v>501000200</v>
      </c>
      <c r="B14855">
        <v>8130001</v>
      </c>
    </row>
    <row r="14856" spans="1:2" x14ac:dyDescent="0.4">
      <c r="A14856" s="4">
        <v>501000200</v>
      </c>
      <c r="B14856">
        <v>8130002</v>
      </c>
    </row>
    <row r="14857" spans="1:2" x14ac:dyDescent="0.4">
      <c r="A14857" s="4">
        <v>501000200</v>
      </c>
      <c r="B14857">
        <v>8140000</v>
      </c>
    </row>
    <row r="14858" spans="1:2" x14ac:dyDescent="0.4">
      <c r="A14858" s="4">
        <v>501000200</v>
      </c>
      <c r="B14858">
        <v>8140001</v>
      </c>
    </row>
    <row r="14859" spans="1:2" x14ac:dyDescent="0.4">
      <c r="A14859" s="4">
        <v>501000200</v>
      </c>
      <c r="B14859">
        <v>8140002</v>
      </c>
    </row>
    <row r="14860" spans="1:2" x14ac:dyDescent="0.4">
      <c r="A14860" s="4">
        <v>501000200</v>
      </c>
      <c r="B14860">
        <v>8200100</v>
      </c>
    </row>
    <row r="14861" spans="1:2" x14ac:dyDescent="0.4">
      <c r="A14861" s="4">
        <v>501000200</v>
      </c>
      <c r="B14861">
        <v>8200101</v>
      </c>
    </row>
    <row r="14862" spans="1:2" x14ac:dyDescent="0.4">
      <c r="A14862" s="4">
        <v>501000200</v>
      </c>
      <c r="B14862">
        <v>8200102</v>
      </c>
    </row>
    <row r="14863" spans="1:2" x14ac:dyDescent="0.4">
      <c r="A14863" s="4">
        <v>501000200</v>
      </c>
      <c r="B14863">
        <v>8200200</v>
      </c>
    </row>
    <row r="14864" spans="1:2" x14ac:dyDescent="0.4">
      <c r="A14864" s="4">
        <v>501000200</v>
      </c>
      <c r="B14864">
        <v>8200201</v>
      </c>
    </row>
    <row r="14865" spans="1:2" x14ac:dyDescent="0.4">
      <c r="A14865" s="4">
        <v>501000200</v>
      </c>
      <c r="B14865">
        <v>8200202</v>
      </c>
    </row>
    <row r="14866" spans="1:2" x14ac:dyDescent="0.4">
      <c r="A14866" s="4">
        <v>501000200</v>
      </c>
      <c r="B14866">
        <v>8200300</v>
      </c>
    </row>
    <row r="14867" spans="1:2" x14ac:dyDescent="0.4">
      <c r="A14867" s="4">
        <v>501000200</v>
      </c>
      <c r="B14867">
        <v>8200301</v>
      </c>
    </row>
    <row r="14868" spans="1:2" x14ac:dyDescent="0.4">
      <c r="A14868" s="4">
        <v>501000200</v>
      </c>
      <c r="B14868">
        <v>8200302</v>
      </c>
    </row>
    <row r="14869" spans="1:2" x14ac:dyDescent="0.4">
      <c r="A14869" s="4">
        <v>501000200</v>
      </c>
      <c r="B14869">
        <v>8200400</v>
      </c>
    </row>
    <row r="14870" spans="1:2" x14ac:dyDescent="0.4">
      <c r="A14870" s="4">
        <v>501000200</v>
      </c>
      <c r="B14870">
        <v>8200401</v>
      </c>
    </row>
    <row r="14871" spans="1:2" x14ac:dyDescent="0.4">
      <c r="A14871" s="4">
        <v>501000200</v>
      </c>
      <c r="B14871">
        <v>8200402</v>
      </c>
    </row>
    <row r="14872" spans="1:2" x14ac:dyDescent="0.4">
      <c r="A14872" s="4">
        <v>501000200</v>
      </c>
      <c r="B14872">
        <v>8210000</v>
      </c>
    </row>
    <row r="14873" spans="1:2" x14ac:dyDescent="0.4">
      <c r="A14873" s="4">
        <v>501000200</v>
      </c>
      <c r="B14873">
        <v>8210001</v>
      </c>
    </row>
    <row r="14874" spans="1:2" x14ac:dyDescent="0.4">
      <c r="A14874" s="4">
        <v>501000200</v>
      </c>
      <c r="B14874">
        <v>8210002</v>
      </c>
    </row>
    <row r="14875" spans="1:2" x14ac:dyDescent="0.4">
      <c r="A14875" s="4">
        <v>501000200</v>
      </c>
      <c r="B14875">
        <v>8210100</v>
      </c>
    </row>
    <row r="14876" spans="1:2" x14ac:dyDescent="0.4">
      <c r="A14876" s="4">
        <v>501000200</v>
      </c>
      <c r="B14876">
        <v>8210101</v>
      </c>
    </row>
    <row r="14877" spans="1:2" x14ac:dyDescent="0.4">
      <c r="A14877" s="4">
        <v>501000200</v>
      </c>
      <c r="B14877">
        <v>8210102</v>
      </c>
    </row>
    <row r="14878" spans="1:2" x14ac:dyDescent="0.4">
      <c r="A14878" s="4">
        <v>501000200</v>
      </c>
      <c r="B14878">
        <v>8210200</v>
      </c>
    </row>
    <row r="14879" spans="1:2" x14ac:dyDescent="0.4">
      <c r="A14879" s="4">
        <v>501000200</v>
      </c>
      <c r="B14879">
        <v>8210201</v>
      </c>
    </row>
    <row r="14880" spans="1:2" x14ac:dyDescent="0.4">
      <c r="A14880" s="4">
        <v>501000200</v>
      </c>
      <c r="B14880">
        <v>8210202</v>
      </c>
    </row>
    <row r="14881" spans="1:2" x14ac:dyDescent="0.4">
      <c r="A14881" s="4">
        <v>501000200</v>
      </c>
      <c r="B14881">
        <v>8210300</v>
      </c>
    </row>
    <row r="14882" spans="1:2" x14ac:dyDescent="0.4">
      <c r="A14882" s="4">
        <v>501000200</v>
      </c>
      <c r="B14882">
        <v>8210301</v>
      </c>
    </row>
    <row r="14883" spans="1:2" x14ac:dyDescent="0.4">
      <c r="A14883" s="4">
        <v>501000200</v>
      </c>
      <c r="B14883">
        <v>8210302</v>
      </c>
    </row>
    <row r="14884" spans="1:2" x14ac:dyDescent="0.4">
      <c r="A14884" s="4">
        <v>501000200</v>
      </c>
      <c r="B14884">
        <v>8210400</v>
      </c>
    </row>
    <row r="14885" spans="1:2" x14ac:dyDescent="0.4">
      <c r="A14885" s="4">
        <v>501000200</v>
      </c>
      <c r="B14885">
        <v>8210401</v>
      </c>
    </row>
    <row r="14886" spans="1:2" x14ac:dyDescent="0.4">
      <c r="A14886" s="4">
        <v>501000200</v>
      </c>
      <c r="B14886">
        <v>8210402</v>
      </c>
    </row>
    <row r="14887" spans="1:2" x14ac:dyDescent="0.4">
      <c r="A14887" s="4">
        <v>501000200</v>
      </c>
      <c r="B14887">
        <v>8210500</v>
      </c>
    </row>
    <row r="14888" spans="1:2" x14ac:dyDescent="0.4">
      <c r="A14888" s="4">
        <v>501000200</v>
      </c>
      <c r="B14888">
        <v>8210501</v>
      </c>
    </row>
    <row r="14889" spans="1:2" x14ac:dyDescent="0.4">
      <c r="A14889" s="4">
        <v>501000200</v>
      </c>
      <c r="B14889">
        <v>8210502</v>
      </c>
    </row>
    <row r="14890" spans="1:2" x14ac:dyDescent="0.4">
      <c r="A14890" s="4">
        <v>501000200</v>
      </c>
      <c r="B14890">
        <v>8210600</v>
      </c>
    </row>
    <row r="14891" spans="1:2" x14ac:dyDescent="0.4">
      <c r="A14891" s="4">
        <v>501000200</v>
      </c>
      <c r="B14891">
        <v>8210601</v>
      </c>
    </row>
    <row r="14892" spans="1:2" x14ac:dyDescent="0.4">
      <c r="A14892" s="4">
        <v>501000200</v>
      </c>
      <c r="B14892">
        <v>8210602</v>
      </c>
    </row>
    <row r="14893" spans="1:2" x14ac:dyDescent="0.4">
      <c r="A14893" s="4">
        <v>501000200</v>
      </c>
      <c r="B14893">
        <v>8220000</v>
      </c>
    </row>
    <row r="14894" spans="1:2" x14ac:dyDescent="0.4">
      <c r="A14894" s="4">
        <v>501000200</v>
      </c>
      <c r="B14894">
        <v>8220001</v>
      </c>
    </row>
    <row r="14895" spans="1:2" x14ac:dyDescent="0.4">
      <c r="A14895" s="4">
        <v>501000200</v>
      </c>
      <c r="B14895">
        <v>8220002</v>
      </c>
    </row>
    <row r="14896" spans="1:2" x14ac:dyDescent="0.4">
      <c r="A14896" s="4">
        <v>501000200</v>
      </c>
      <c r="B14896">
        <v>8300000</v>
      </c>
    </row>
    <row r="14897" spans="1:2" x14ac:dyDescent="0.4">
      <c r="A14897" s="4">
        <v>501000200</v>
      </c>
      <c r="B14897">
        <v>8300001</v>
      </c>
    </row>
    <row r="14898" spans="1:2" x14ac:dyDescent="0.4">
      <c r="A14898" s="4">
        <v>501000200</v>
      </c>
      <c r="B14898">
        <v>8300002</v>
      </c>
    </row>
    <row r="14899" spans="1:2" x14ac:dyDescent="0.4">
      <c r="A14899" s="4">
        <v>501000200</v>
      </c>
      <c r="B14899">
        <v>8310000</v>
      </c>
    </row>
    <row r="14900" spans="1:2" x14ac:dyDescent="0.4">
      <c r="A14900" s="4">
        <v>501000200</v>
      </c>
      <c r="B14900">
        <v>8310001</v>
      </c>
    </row>
    <row r="14901" spans="1:2" x14ac:dyDescent="0.4">
      <c r="A14901" s="4">
        <v>501000200</v>
      </c>
      <c r="B14901">
        <v>8310002</v>
      </c>
    </row>
    <row r="14902" spans="1:2" x14ac:dyDescent="0.4">
      <c r="A14902" s="4">
        <v>501000200</v>
      </c>
      <c r="B14902">
        <v>8320000</v>
      </c>
    </row>
    <row r="14903" spans="1:2" x14ac:dyDescent="0.4">
      <c r="A14903" s="4">
        <v>501000200</v>
      </c>
      <c r="B14903">
        <v>8320001</v>
      </c>
    </row>
    <row r="14904" spans="1:2" x14ac:dyDescent="0.4">
      <c r="A14904" s="4">
        <v>501000200</v>
      </c>
      <c r="B14904">
        <v>8320002</v>
      </c>
    </row>
    <row r="14905" spans="1:2" x14ac:dyDescent="0.4">
      <c r="A14905" s="4">
        <v>501000200</v>
      </c>
      <c r="B14905">
        <v>8320100</v>
      </c>
    </row>
    <row r="14906" spans="1:2" x14ac:dyDescent="0.4">
      <c r="A14906" s="4">
        <v>501000200</v>
      </c>
      <c r="B14906">
        <v>8320101</v>
      </c>
    </row>
    <row r="14907" spans="1:2" x14ac:dyDescent="0.4">
      <c r="A14907" s="4">
        <v>501000200</v>
      </c>
      <c r="B14907">
        <v>8320102</v>
      </c>
    </row>
    <row r="14908" spans="1:2" x14ac:dyDescent="0.4">
      <c r="A14908" s="4">
        <v>501000200</v>
      </c>
      <c r="B14908">
        <v>8320300</v>
      </c>
    </row>
    <row r="14909" spans="1:2" x14ac:dyDescent="0.4">
      <c r="A14909" s="4">
        <v>501000200</v>
      </c>
      <c r="B14909">
        <v>8320301</v>
      </c>
    </row>
    <row r="14910" spans="1:2" x14ac:dyDescent="0.4">
      <c r="A14910" s="4">
        <v>501000200</v>
      </c>
      <c r="B14910">
        <v>8320302</v>
      </c>
    </row>
    <row r="14911" spans="1:2" x14ac:dyDescent="0.4">
      <c r="A14911" s="4">
        <v>501000200</v>
      </c>
      <c r="B14911">
        <v>8320400</v>
      </c>
    </row>
    <row r="14912" spans="1:2" x14ac:dyDescent="0.4">
      <c r="A14912" s="4">
        <v>501000200</v>
      </c>
      <c r="B14912">
        <v>8320410</v>
      </c>
    </row>
    <row r="14913" spans="1:2" x14ac:dyDescent="0.4">
      <c r="A14913" s="4">
        <v>501000200</v>
      </c>
      <c r="B14913">
        <v>8320420</v>
      </c>
    </row>
    <row r="14914" spans="1:2" x14ac:dyDescent="0.4">
      <c r="A14914" s="4">
        <v>501000200</v>
      </c>
      <c r="B14914">
        <v>8330000</v>
      </c>
    </row>
    <row r="14915" spans="1:2" x14ac:dyDescent="0.4">
      <c r="A14915" s="4">
        <v>501000200</v>
      </c>
      <c r="B14915">
        <v>8330001</v>
      </c>
    </row>
    <row r="14916" spans="1:2" x14ac:dyDescent="0.4">
      <c r="A14916" s="4">
        <v>501000200</v>
      </c>
      <c r="B14916">
        <v>8330002</v>
      </c>
    </row>
    <row r="14917" spans="1:2" x14ac:dyDescent="0.4">
      <c r="A14917" s="4">
        <v>501000200</v>
      </c>
      <c r="B14917">
        <v>8330100</v>
      </c>
    </row>
    <row r="14918" spans="1:2" x14ac:dyDescent="0.4">
      <c r="A14918" s="4">
        <v>501000200</v>
      </c>
      <c r="B14918">
        <v>8330101</v>
      </c>
    </row>
    <row r="14919" spans="1:2" x14ac:dyDescent="0.4">
      <c r="A14919" s="4">
        <v>501000200</v>
      </c>
      <c r="B14919">
        <v>8330102</v>
      </c>
    </row>
    <row r="14920" spans="1:2" x14ac:dyDescent="0.4">
      <c r="A14920" s="4">
        <v>501000200</v>
      </c>
      <c r="B14920">
        <v>8330200</v>
      </c>
    </row>
    <row r="14921" spans="1:2" x14ac:dyDescent="0.4">
      <c r="A14921" s="4">
        <v>501000200</v>
      </c>
      <c r="B14921">
        <v>8330201</v>
      </c>
    </row>
    <row r="14922" spans="1:2" x14ac:dyDescent="0.4">
      <c r="A14922" s="4">
        <v>501000200</v>
      </c>
      <c r="B14922">
        <v>8330202</v>
      </c>
    </row>
    <row r="14923" spans="1:2" x14ac:dyDescent="0.4">
      <c r="A14923" s="4">
        <v>501000200</v>
      </c>
      <c r="B14923">
        <v>8330300</v>
      </c>
    </row>
    <row r="14924" spans="1:2" x14ac:dyDescent="0.4">
      <c r="A14924" s="4">
        <v>501000200</v>
      </c>
      <c r="B14924">
        <v>8330301</v>
      </c>
    </row>
    <row r="14925" spans="1:2" x14ac:dyDescent="0.4">
      <c r="A14925" s="4">
        <v>501000200</v>
      </c>
      <c r="B14925">
        <v>8330302</v>
      </c>
    </row>
    <row r="14926" spans="1:2" x14ac:dyDescent="0.4">
      <c r="A14926" s="4">
        <v>501000200</v>
      </c>
      <c r="B14926">
        <v>8330400</v>
      </c>
    </row>
    <row r="14927" spans="1:2" x14ac:dyDescent="0.4">
      <c r="A14927" s="4">
        <v>501000200</v>
      </c>
      <c r="B14927">
        <v>8330401</v>
      </c>
    </row>
    <row r="14928" spans="1:2" x14ac:dyDescent="0.4">
      <c r="A14928" s="4">
        <v>501000200</v>
      </c>
      <c r="B14928">
        <v>8330600</v>
      </c>
    </row>
    <row r="14929" spans="1:2" x14ac:dyDescent="0.4">
      <c r="A14929" s="4">
        <v>501000200</v>
      </c>
      <c r="B14929">
        <v>8330601</v>
      </c>
    </row>
    <row r="14930" spans="1:2" x14ac:dyDescent="0.4">
      <c r="A14930" s="4">
        <v>501000200</v>
      </c>
      <c r="B14930">
        <v>8330602</v>
      </c>
    </row>
    <row r="14931" spans="1:2" x14ac:dyDescent="0.4">
      <c r="A14931" s="4">
        <v>501000200</v>
      </c>
      <c r="B14931">
        <v>8330900</v>
      </c>
    </row>
    <row r="14932" spans="1:2" x14ac:dyDescent="0.4">
      <c r="A14932" s="4">
        <v>501000200</v>
      </c>
      <c r="B14932">
        <v>8330910</v>
      </c>
    </row>
    <row r="14933" spans="1:2" x14ac:dyDescent="0.4">
      <c r="A14933" s="4">
        <v>501000200</v>
      </c>
      <c r="B14933">
        <v>8330920</v>
      </c>
    </row>
    <row r="14934" spans="1:2" x14ac:dyDescent="0.4">
      <c r="A14934" s="4">
        <v>501000200</v>
      </c>
      <c r="B14934">
        <v>8340000</v>
      </c>
    </row>
    <row r="14935" spans="1:2" x14ac:dyDescent="0.4">
      <c r="A14935" s="4">
        <v>501000200</v>
      </c>
      <c r="B14935">
        <v>8340001</v>
      </c>
    </row>
    <row r="14936" spans="1:2" x14ac:dyDescent="0.4">
      <c r="A14936" s="4">
        <v>501000200</v>
      </c>
      <c r="B14936">
        <v>8340002</v>
      </c>
    </row>
    <row r="14937" spans="1:2" x14ac:dyDescent="0.4">
      <c r="A14937" s="4">
        <v>501000200</v>
      </c>
      <c r="B14937">
        <v>8340100</v>
      </c>
    </row>
    <row r="14938" spans="1:2" x14ac:dyDescent="0.4">
      <c r="A14938" s="4">
        <v>501000200</v>
      </c>
      <c r="B14938">
        <v>8340101</v>
      </c>
    </row>
    <row r="14939" spans="1:2" x14ac:dyDescent="0.4">
      <c r="A14939" s="4">
        <v>501000200</v>
      </c>
      <c r="B14939">
        <v>8340102</v>
      </c>
    </row>
    <row r="14940" spans="1:2" x14ac:dyDescent="0.4">
      <c r="A14940" s="4">
        <v>501000200</v>
      </c>
      <c r="B14940">
        <v>8350000</v>
      </c>
    </row>
    <row r="14941" spans="1:2" x14ac:dyDescent="0.4">
      <c r="A14941" s="4">
        <v>501000200</v>
      </c>
      <c r="B14941">
        <v>8350001</v>
      </c>
    </row>
    <row r="14942" spans="1:2" x14ac:dyDescent="0.4">
      <c r="A14942" s="4">
        <v>501000200</v>
      </c>
      <c r="B14942">
        <v>8350002</v>
      </c>
    </row>
    <row r="14943" spans="1:2" x14ac:dyDescent="0.4">
      <c r="A14943" s="4">
        <v>501000200</v>
      </c>
      <c r="B14943">
        <v>8350200</v>
      </c>
    </row>
    <row r="14944" spans="1:2" x14ac:dyDescent="0.4">
      <c r="A14944" s="4">
        <v>501000200</v>
      </c>
      <c r="B14944">
        <v>8350201</v>
      </c>
    </row>
    <row r="14945" spans="1:2" x14ac:dyDescent="0.4">
      <c r="A14945" s="4">
        <v>501000200</v>
      </c>
      <c r="B14945">
        <v>8350202</v>
      </c>
    </row>
    <row r="14946" spans="1:2" x14ac:dyDescent="0.4">
      <c r="A14946" s="4">
        <v>501000200</v>
      </c>
      <c r="B14946">
        <v>8420000</v>
      </c>
    </row>
    <row r="14947" spans="1:2" x14ac:dyDescent="0.4">
      <c r="A14947" s="4">
        <v>501000200</v>
      </c>
      <c r="B14947">
        <v>8420001</v>
      </c>
    </row>
    <row r="14948" spans="1:2" x14ac:dyDescent="0.4">
      <c r="A14948" s="4">
        <v>501000200</v>
      </c>
      <c r="B14948">
        <v>8420002</v>
      </c>
    </row>
    <row r="14949" spans="1:2" x14ac:dyDescent="0.4">
      <c r="A14949" s="4">
        <v>501000200</v>
      </c>
      <c r="B14949">
        <v>8450000</v>
      </c>
    </row>
    <row r="14950" spans="1:2" x14ac:dyDescent="0.4">
      <c r="A14950" s="4">
        <v>501000200</v>
      </c>
      <c r="B14950">
        <v>8460100</v>
      </c>
    </row>
    <row r="14951" spans="1:2" x14ac:dyDescent="0.4">
      <c r="A14951" s="4">
        <v>501000200</v>
      </c>
      <c r="B14951">
        <v>8460300</v>
      </c>
    </row>
    <row r="14952" spans="1:2" x14ac:dyDescent="0.4">
      <c r="A14952" s="4">
        <v>501000200</v>
      </c>
      <c r="B14952">
        <v>8460500</v>
      </c>
    </row>
    <row r="14953" spans="1:2" x14ac:dyDescent="0.4">
      <c r="A14953" s="4">
        <v>501000200</v>
      </c>
      <c r="B14953">
        <v>8510000</v>
      </c>
    </row>
    <row r="14954" spans="1:2" x14ac:dyDescent="0.4">
      <c r="A14954" s="4">
        <v>501000200</v>
      </c>
      <c r="B14954">
        <v>8510001</v>
      </c>
    </row>
    <row r="14955" spans="1:2" x14ac:dyDescent="0.4">
      <c r="A14955" s="4">
        <v>501000200</v>
      </c>
      <c r="B14955">
        <v>8510002</v>
      </c>
    </row>
    <row r="14956" spans="1:2" x14ac:dyDescent="0.4">
      <c r="A14956" s="4">
        <v>501000200</v>
      </c>
      <c r="B14956">
        <v>8520000</v>
      </c>
    </row>
    <row r="14957" spans="1:2" x14ac:dyDescent="0.4">
      <c r="A14957" s="4">
        <v>501000200</v>
      </c>
      <c r="B14957">
        <v>8520001</v>
      </c>
    </row>
    <row r="14958" spans="1:2" x14ac:dyDescent="0.4">
      <c r="A14958" s="4">
        <v>501000200</v>
      </c>
      <c r="B14958">
        <v>8520002</v>
      </c>
    </row>
    <row r="14959" spans="1:2" x14ac:dyDescent="0.4">
      <c r="A14959" s="4">
        <v>501000200</v>
      </c>
      <c r="B14959">
        <v>8530000</v>
      </c>
    </row>
    <row r="14960" spans="1:2" x14ac:dyDescent="0.4">
      <c r="A14960" s="4">
        <v>501000200</v>
      </c>
      <c r="B14960">
        <v>8530100</v>
      </c>
    </row>
    <row r="14961" spans="1:2" x14ac:dyDescent="0.4">
      <c r="A14961" s="4">
        <v>501000200</v>
      </c>
      <c r="B14961">
        <v>8540000</v>
      </c>
    </row>
    <row r="14962" spans="1:2" x14ac:dyDescent="0.4">
      <c r="A14962" s="4">
        <v>501000200</v>
      </c>
      <c r="B14962">
        <v>8600100</v>
      </c>
    </row>
    <row r="14963" spans="1:2" x14ac:dyDescent="0.4">
      <c r="A14963" s="4">
        <v>501000200</v>
      </c>
      <c r="B14963">
        <v>8600101</v>
      </c>
    </row>
    <row r="14964" spans="1:2" x14ac:dyDescent="0.4">
      <c r="A14964" s="4">
        <v>501000200</v>
      </c>
      <c r="B14964">
        <v>8600102</v>
      </c>
    </row>
    <row r="14965" spans="1:2" x14ac:dyDescent="0.4">
      <c r="A14965" s="4">
        <v>501000200</v>
      </c>
      <c r="B14965">
        <v>8600200</v>
      </c>
    </row>
    <row r="14966" spans="1:2" x14ac:dyDescent="0.4">
      <c r="A14966" s="4">
        <v>501000200</v>
      </c>
      <c r="B14966">
        <v>8600201</v>
      </c>
    </row>
    <row r="14967" spans="1:2" x14ac:dyDescent="0.4">
      <c r="A14967" s="4">
        <v>501000200</v>
      </c>
      <c r="B14967">
        <v>8600202</v>
      </c>
    </row>
    <row r="14968" spans="1:2" x14ac:dyDescent="0.4">
      <c r="A14968" s="4">
        <v>501000200</v>
      </c>
      <c r="B14968">
        <v>8610300</v>
      </c>
    </row>
    <row r="14969" spans="1:2" x14ac:dyDescent="0.4">
      <c r="A14969" s="4">
        <v>501000200</v>
      </c>
      <c r="B14969">
        <v>8610400</v>
      </c>
    </row>
    <row r="14970" spans="1:2" x14ac:dyDescent="0.4">
      <c r="A14970" s="4">
        <v>501000200</v>
      </c>
      <c r="B14970">
        <v>8610500</v>
      </c>
    </row>
    <row r="14971" spans="1:2" x14ac:dyDescent="0.4">
      <c r="A14971" s="4">
        <v>501000200</v>
      </c>
      <c r="B14971">
        <v>8610600</v>
      </c>
    </row>
    <row r="14972" spans="1:2" x14ac:dyDescent="0.4">
      <c r="A14972" s="4">
        <v>501000200</v>
      </c>
      <c r="B14972">
        <v>8610700</v>
      </c>
    </row>
    <row r="14973" spans="1:2" x14ac:dyDescent="0.4">
      <c r="A14973" s="4">
        <v>501000200</v>
      </c>
      <c r="B14973">
        <v>8610710</v>
      </c>
    </row>
    <row r="14974" spans="1:2" x14ac:dyDescent="0.4">
      <c r="A14974" s="4">
        <v>501000200</v>
      </c>
      <c r="B14974">
        <v>8610720</v>
      </c>
    </row>
    <row r="14975" spans="1:2" x14ac:dyDescent="0.4">
      <c r="A14975" s="4">
        <v>501000200</v>
      </c>
      <c r="B14975">
        <v>8620000</v>
      </c>
    </row>
    <row r="14976" spans="1:2" x14ac:dyDescent="0.4">
      <c r="A14976" s="4">
        <v>501000200</v>
      </c>
      <c r="B14976">
        <v>8620010</v>
      </c>
    </row>
    <row r="14977" spans="1:2" x14ac:dyDescent="0.4">
      <c r="A14977" s="4">
        <v>501000200</v>
      </c>
      <c r="B14977">
        <v>8620020</v>
      </c>
    </row>
    <row r="14978" spans="1:2" x14ac:dyDescent="0.4">
      <c r="A14978" s="4">
        <v>501000200</v>
      </c>
      <c r="B14978">
        <v>8620100</v>
      </c>
    </row>
    <row r="14979" spans="1:2" x14ac:dyDescent="0.4">
      <c r="A14979" s="4">
        <v>501000200</v>
      </c>
      <c r="B14979">
        <v>8620110</v>
      </c>
    </row>
    <row r="14980" spans="1:2" x14ac:dyDescent="0.4">
      <c r="A14980" s="4">
        <v>501000200</v>
      </c>
      <c r="B14980">
        <v>8620120</v>
      </c>
    </row>
    <row r="14981" spans="1:2" x14ac:dyDescent="0.4">
      <c r="A14981" s="4">
        <v>501000200</v>
      </c>
      <c r="B14981">
        <v>8630000</v>
      </c>
    </row>
    <row r="14982" spans="1:2" x14ac:dyDescent="0.4">
      <c r="A14982" s="4">
        <v>501000200</v>
      </c>
      <c r="B14982">
        <v>8630000</v>
      </c>
    </row>
    <row r="14983" spans="1:2" x14ac:dyDescent="0.4">
      <c r="A14983" s="4">
        <v>501000200</v>
      </c>
      <c r="B14983">
        <v>8630000</v>
      </c>
    </row>
    <row r="14984" spans="1:2" x14ac:dyDescent="0.4">
      <c r="A14984" s="4">
        <v>501000200</v>
      </c>
      <c r="B14984">
        <v>8630100</v>
      </c>
    </row>
    <row r="14985" spans="1:2" x14ac:dyDescent="0.4">
      <c r="A14985" s="4">
        <v>501000200</v>
      </c>
      <c r="B14985">
        <v>8630100</v>
      </c>
    </row>
    <row r="14986" spans="1:2" x14ac:dyDescent="0.4">
      <c r="A14986" s="4">
        <v>501000200</v>
      </c>
      <c r="B14986">
        <v>8630100</v>
      </c>
    </row>
    <row r="14987" spans="1:2" x14ac:dyDescent="0.4">
      <c r="A14987" s="4">
        <v>501000200</v>
      </c>
      <c r="B14987">
        <v>8630200</v>
      </c>
    </row>
    <row r="14988" spans="1:2" x14ac:dyDescent="0.4">
      <c r="A14988" s="4">
        <v>501000200</v>
      </c>
      <c r="B14988">
        <v>8630300</v>
      </c>
    </row>
    <row r="14989" spans="1:2" x14ac:dyDescent="0.4">
      <c r="A14989" s="4">
        <v>501000200</v>
      </c>
      <c r="B14989">
        <v>8630400</v>
      </c>
    </row>
    <row r="14990" spans="1:2" x14ac:dyDescent="0.4">
      <c r="A14990" s="4">
        <v>501000200</v>
      </c>
      <c r="B14990">
        <v>8630500</v>
      </c>
    </row>
    <row r="14991" spans="1:2" x14ac:dyDescent="0.4">
      <c r="A14991" s="4">
        <v>501000200</v>
      </c>
      <c r="B14991">
        <v>8630600</v>
      </c>
    </row>
    <row r="14992" spans="1:2" x14ac:dyDescent="0.4">
      <c r="A14992" s="4">
        <v>501000200</v>
      </c>
      <c r="B14992">
        <v>8630700</v>
      </c>
    </row>
    <row r="14993" spans="1:2" x14ac:dyDescent="0.4">
      <c r="A14993" s="4">
        <v>501000200</v>
      </c>
      <c r="B14993">
        <v>8630800</v>
      </c>
    </row>
    <row r="14994" spans="1:2" x14ac:dyDescent="0.4">
      <c r="A14994" s="4">
        <v>501000200</v>
      </c>
      <c r="B14994">
        <v>8652000</v>
      </c>
    </row>
    <row r="14995" spans="1:2" x14ac:dyDescent="0.4">
      <c r="A14995" s="4">
        <v>501000200</v>
      </c>
      <c r="B14995">
        <v>8652010</v>
      </c>
    </row>
    <row r="14996" spans="1:2" x14ac:dyDescent="0.4">
      <c r="A14996" s="4">
        <v>501000200</v>
      </c>
      <c r="B14996">
        <v>8652020</v>
      </c>
    </row>
    <row r="14997" spans="1:2" x14ac:dyDescent="0.4">
      <c r="A14997" s="4">
        <v>501000200</v>
      </c>
      <c r="B14997">
        <v>8652100</v>
      </c>
    </row>
    <row r="14998" spans="1:2" x14ac:dyDescent="0.4">
      <c r="A14998" s="4">
        <v>501000200</v>
      </c>
      <c r="B14998">
        <v>8652110</v>
      </c>
    </row>
    <row r="14999" spans="1:2" x14ac:dyDescent="0.4">
      <c r="A14999" s="4">
        <v>501000200</v>
      </c>
      <c r="B14999">
        <v>8652120</v>
      </c>
    </row>
    <row r="15000" spans="1:2" x14ac:dyDescent="0.4">
      <c r="A15000" s="4">
        <v>501000200</v>
      </c>
      <c r="B15000">
        <v>8660000</v>
      </c>
    </row>
    <row r="15001" spans="1:2" x14ac:dyDescent="0.4">
      <c r="A15001" s="4">
        <v>501000200</v>
      </c>
      <c r="B15001">
        <v>8660001</v>
      </c>
    </row>
    <row r="15002" spans="1:2" x14ac:dyDescent="0.4">
      <c r="A15002" s="4">
        <v>501000200</v>
      </c>
      <c r="B15002">
        <v>8660002</v>
      </c>
    </row>
    <row r="15003" spans="1:2" x14ac:dyDescent="0.4">
      <c r="A15003" s="4">
        <v>501000200</v>
      </c>
      <c r="B15003">
        <v>8660100</v>
      </c>
    </row>
    <row r="15004" spans="1:2" x14ac:dyDescent="0.4">
      <c r="A15004" s="4">
        <v>501000200</v>
      </c>
      <c r="B15004">
        <v>8660101</v>
      </c>
    </row>
    <row r="15005" spans="1:2" x14ac:dyDescent="0.4">
      <c r="A15005" s="4">
        <v>501000200</v>
      </c>
      <c r="B15005">
        <v>8660102</v>
      </c>
    </row>
    <row r="15006" spans="1:2" x14ac:dyDescent="0.4">
      <c r="A15006" s="4">
        <v>501000200</v>
      </c>
      <c r="B15006">
        <v>8670000</v>
      </c>
    </row>
    <row r="15007" spans="1:2" x14ac:dyDescent="0.4">
      <c r="A15007" s="4">
        <v>501000200</v>
      </c>
      <c r="B15007">
        <v>8670001</v>
      </c>
    </row>
    <row r="15008" spans="1:2" x14ac:dyDescent="0.4">
      <c r="A15008" s="4">
        <v>501000200</v>
      </c>
      <c r="B15008">
        <v>8670002</v>
      </c>
    </row>
    <row r="15009" spans="1:2" x14ac:dyDescent="0.4">
      <c r="A15009" s="4">
        <v>501000200</v>
      </c>
      <c r="B15009">
        <v>8670100</v>
      </c>
    </row>
    <row r="15010" spans="1:2" x14ac:dyDescent="0.4">
      <c r="A15010" s="4">
        <v>501000200</v>
      </c>
      <c r="B15010">
        <v>8670101</v>
      </c>
    </row>
    <row r="15011" spans="1:2" x14ac:dyDescent="0.4">
      <c r="A15011" s="4">
        <v>501000200</v>
      </c>
      <c r="B15011">
        <v>8670102</v>
      </c>
    </row>
    <row r="15012" spans="1:2" x14ac:dyDescent="0.4">
      <c r="A15012" s="4">
        <v>501000200</v>
      </c>
      <c r="B15012">
        <v>8690000</v>
      </c>
    </row>
    <row r="15013" spans="1:2" x14ac:dyDescent="0.4">
      <c r="A15013" s="4">
        <v>501000200</v>
      </c>
      <c r="B15013">
        <v>8690100</v>
      </c>
    </row>
    <row r="15014" spans="1:2" x14ac:dyDescent="0.4">
      <c r="A15014" s="4">
        <v>501000200</v>
      </c>
      <c r="B15014">
        <v>8690200</v>
      </c>
    </row>
    <row r="15015" spans="1:2" x14ac:dyDescent="0.4">
      <c r="A15015" s="4">
        <v>501000200</v>
      </c>
      <c r="B15015">
        <v>8690300</v>
      </c>
    </row>
    <row r="15016" spans="1:2" x14ac:dyDescent="0.4">
      <c r="A15016" s="4">
        <v>501000200</v>
      </c>
      <c r="B15016">
        <v>8690400</v>
      </c>
    </row>
    <row r="15017" spans="1:2" x14ac:dyDescent="0.4">
      <c r="A15017" s="4">
        <v>501000200</v>
      </c>
      <c r="B15017">
        <v>8320500</v>
      </c>
    </row>
    <row r="15018" spans="1:2" x14ac:dyDescent="0.4">
      <c r="A15018" s="4">
        <v>501000200</v>
      </c>
      <c r="B15018">
        <v>8320510</v>
      </c>
    </row>
    <row r="15019" spans="1:2" x14ac:dyDescent="0.4">
      <c r="A15019" s="4">
        <v>501000200</v>
      </c>
      <c r="B15019">
        <v>8320520</v>
      </c>
    </row>
    <row r="15020" spans="1:2" x14ac:dyDescent="0.4">
      <c r="A15020" s="4">
        <v>501000200</v>
      </c>
      <c r="B15020">
        <v>8320600</v>
      </c>
    </row>
    <row r="15021" spans="1:2" x14ac:dyDescent="0.4">
      <c r="A15021" s="4">
        <v>501000200</v>
      </c>
      <c r="B15021">
        <v>8320610</v>
      </c>
    </row>
    <row r="15022" spans="1:2" x14ac:dyDescent="0.4">
      <c r="A15022" s="4">
        <v>501000200</v>
      </c>
      <c r="B15022">
        <v>8320620</v>
      </c>
    </row>
    <row r="15023" spans="1:2" x14ac:dyDescent="0.4">
      <c r="A15023" s="4">
        <v>501000200</v>
      </c>
      <c r="B15023">
        <v>8320700</v>
      </c>
    </row>
    <row r="15024" spans="1:2" x14ac:dyDescent="0.4">
      <c r="A15024" s="4">
        <v>501000200</v>
      </c>
      <c r="B15024">
        <v>8320710</v>
      </c>
    </row>
    <row r="15025" spans="1:2" x14ac:dyDescent="0.4">
      <c r="A15025" s="4">
        <v>501000200</v>
      </c>
      <c r="B15025">
        <v>8320720</v>
      </c>
    </row>
    <row r="15026" spans="1:2" x14ac:dyDescent="0.4">
      <c r="A15026" s="4">
        <v>501100000</v>
      </c>
      <c r="B15026">
        <v>0</v>
      </c>
    </row>
    <row r="15027" spans="1:2" x14ac:dyDescent="0.4">
      <c r="A15027" s="4">
        <v>501100000</v>
      </c>
      <c r="B15027">
        <v>8100100</v>
      </c>
    </row>
    <row r="15028" spans="1:2" x14ac:dyDescent="0.4">
      <c r="A15028" s="4">
        <v>501100000</v>
      </c>
      <c r="B15028">
        <v>8100101</v>
      </c>
    </row>
    <row r="15029" spans="1:2" x14ac:dyDescent="0.4">
      <c r="A15029" s="4">
        <v>501100000</v>
      </c>
      <c r="B15029">
        <v>8100102</v>
      </c>
    </row>
    <row r="15030" spans="1:2" x14ac:dyDescent="0.4">
      <c r="A15030" s="4">
        <v>501100000</v>
      </c>
      <c r="B15030">
        <v>8100200</v>
      </c>
    </row>
    <row r="15031" spans="1:2" x14ac:dyDescent="0.4">
      <c r="A15031" s="4">
        <v>501100000</v>
      </c>
      <c r="B15031">
        <v>8100201</v>
      </c>
    </row>
    <row r="15032" spans="1:2" x14ac:dyDescent="0.4">
      <c r="A15032" s="4">
        <v>501100000</v>
      </c>
      <c r="B15032">
        <v>8100202</v>
      </c>
    </row>
    <row r="15033" spans="1:2" x14ac:dyDescent="0.4">
      <c r="A15033" s="4">
        <v>501100000</v>
      </c>
      <c r="B15033">
        <v>8100300</v>
      </c>
    </row>
    <row r="15034" spans="1:2" x14ac:dyDescent="0.4">
      <c r="A15034" s="4">
        <v>501100000</v>
      </c>
      <c r="B15034">
        <v>8100301</v>
      </c>
    </row>
    <row r="15035" spans="1:2" x14ac:dyDescent="0.4">
      <c r="A15035" s="4">
        <v>501100000</v>
      </c>
      <c r="B15035">
        <v>8100302</v>
      </c>
    </row>
    <row r="15036" spans="1:2" x14ac:dyDescent="0.4">
      <c r="A15036" s="4">
        <v>501100000</v>
      </c>
      <c r="B15036">
        <v>8100400</v>
      </c>
    </row>
    <row r="15037" spans="1:2" x14ac:dyDescent="0.4">
      <c r="A15037" s="4">
        <v>501100000</v>
      </c>
      <c r="B15037">
        <v>8100401</v>
      </c>
    </row>
    <row r="15038" spans="1:2" x14ac:dyDescent="0.4">
      <c r="A15038" s="4">
        <v>501100000</v>
      </c>
      <c r="B15038">
        <v>8100402</v>
      </c>
    </row>
    <row r="15039" spans="1:2" x14ac:dyDescent="0.4">
      <c r="A15039" s="4">
        <v>501100000</v>
      </c>
      <c r="B15039">
        <v>8130000</v>
      </c>
    </row>
    <row r="15040" spans="1:2" x14ac:dyDescent="0.4">
      <c r="A15040" s="4">
        <v>501100000</v>
      </c>
      <c r="B15040">
        <v>8130001</v>
      </c>
    </row>
    <row r="15041" spans="1:2" x14ac:dyDescent="0.4">
      <c r="A15041" s="4">
        <v>501100000</v>
      </c>
      <c r="B15041">
        <v>8130002</v>
      </c>
    </row>
    <row r="15042" spans="1:2" x14ac:dyDescent="0.4">
      <c r="A15042" s="4">
        <v>501100000</v>
      </c>
      <c r="B15042">
        <v>8140000</v>
      </c>
    </row>
    <row r="15043" spans="1:2" x14ac:dyDescent="0.4">
      <c r="A15043" s="4">
        <v>501100000</v>
      </c>
      <c r="B15043">
        <v>8140001</v>
      </c>
    </row>
    <row r="15044" spans="1:2" x14ac:dyDescent="0.4">
      <c r="A15044" s="4">
        <v>501100000</v>
      </c>
      <c r="B15044">
        <v>8140002</v>
      </c>
    </row>
    <row r="15045" spans="1:2" x14ac:dyDescent="0.4">
      <c r="A15045" s="4">
        <v>501100000</v>
      </c>
      <c r="B15045">
        <v>8200100</v>
      </c>
    </row>
    <row r="15046" spans="1:2" x14ac:dyDescent="0.4">
      <c r="A15046" s="4">
        <v>501100000</v>
      </c>
      <c r="B15046">
        <v>8200101</v>
      </c>
    </row>
    <row r="15047" spans="1:2" x14ac:dyDescent="0.4">
      <c r="A15047" s="4">
        <v>501100000</v>
      </c>
      <c r="B15047">
        <v>8200102</v>
      </c>
    </row>
    <row r="15048" spans="1:2" x14ac:dyDescent="0.4">
      <c r="A15048" s="4">
        <v>501100000</v>
      </c>
      <c r="B15048">
        <v>8200200</v>
      </c>
    </row>
    <row r="15049" spans="1:2" x14ac:dyDescent="0.4">
      <c r="A15049" s="4">
        <v>501100000</v>
      </c>
      <c r="B15049">
        <v>8200201</v>
      </c>
    </row>
    <row r="15050" spans="1:2" x14ac:dyDescent="0.4">
      <c r="A15050" s="4">
        <v>501100000</v>
      </c>
      <c r="B15050">
        <v>8200202</v>
      </c>
    </row>
    <row r="15051" spans="1:2" x14ac:dyDescent="0.4">
      <c r="A15051" s="4">
        <v>501100000</v>
      </c>
      <c r="B15051">
        <v>8200300</v>
      </c>
    </row>
    <row r="15052" spans="1:2" x14ac:dyDescent="0.4">
      <c r="A15052" s="4">
        <v>501100000</v>
      </c>
      <c r="B15052">
        <v>8200301</v>
      </c>
    </row>
    <row r="15053" spans="1:2" x14ac:dyDescent="0.4">
      <c r="A15053" s="4">
        <v>501100000</v>
      </c>
      <c r="B15053">
        <v>8200302</v>
      </c>
    </row>
    <row r="15054" spans="1:2" x14ac:dyDescent="0.4">
      <c r="A15054" s="4">
        <v>501100000</v>
      </c>
      <c r="B15054">
        <v>8200400</v>
      </c>
    </row>
    <row r="15055" spans="1:2" x14ac:dyDescent="0.4">
      <c r="A15055" s="4">
        <v>501100000</v>
      </c>
      <c r="B15055">
        <v>8200401</v>
      </c>
    </row>
    <row r="15056" spans="1:2" x14ac:dyDescent="0.4">
      <c r="A15056" s="4">
        <v>501100000</v>
      </c>
      <c r="B15056">
        <v>8200402</v>
      </c>
    </row>
    <row r="15057" spans="1:2" x14ac:dyDescent="0.4">
      <c r="A15057" s="4">
        <v>501100000</v>
      </c>
      <c r="B15057">
        <v>8210000</v>
      </c>
    </row>
    <row r="15058" spans="1:2" x14ac:dyDescent="0.4">
      <c r="A15058" s="4">
        <v>501100000</v>
      </c>
      <c r="B15058">
        <v>8210001</v>
      </c>
    </row>
    <row r="15059" spans="1:2" x14ac:dyDescent="0.4">
      <c r="A15059" s="4">
        <v>501100000</v>
      </c>
      <c r="B15059">
        <v>8210002</v>
      </c>
    </row>
    <row r="15060" spans="1:2" x14ac:dyDescent="0.4">
      <c r="A15060" s="4">
        <v>501100000</v>
      </c>
      <c r="B15060">
        <v>8210100</v>
      </c>
    </row>
    <row r="15061" spans="1:2" x14ac:dyDescent="0.4">
      <c r="A15061" s="4">
        <v>501100000</v>
      </c>
      <c r="B15061">
        <v>8210101</v>
      </c>
    </row>
    <row r="15062" spans="1:2" x14ac:dyDescent="0.4">
      <c r="A15062" s="4">
        <v>501100000</v>
      </c>
      <c r="B15062">
        <v>8210102</v>
      </c>
    </row>
    <row r="15063" spans="1:2" x14ac:dyDescent="0.4">
      <c r="A15063" s="4">
        <v>501100000</v>
      </c>
      <c r="B15063">
        <v>8210200</v>
      </c>
    </row>
    <row r="15064" spans="1:2" x14ac:dyDescent="0.4">
      <c r="A15064" s="4">
        <v>501100000</v>
      </c>
      <c r="B15064">
        <v>8210201</v>
      </c>
    </row>
    <row r="15065" spans="1:2" x14ac:dyDescent="0.4">
      <c r="A15065" s="4">
        <v>501100000</v>
      </c>
      <c r="B15065">
        <v>8210202</v>
      </c>
    </row>
    <row r="15066" spans="1:2" x14ac:dyDescent="0.4">
      <c r="A15066" s="4">
        <v>501100000</v>
      </c>
      <c r="B15066">
        <v>8210300</v>
      </c>
    </row>
    <row r="15067" spans="1:2" x14ac:dyDescent="0.4">
      <c r="A15067" s="4">
        <v>501100000</v>
      </c>
      <c r="B15067">
        <v>8210301</v>
      </c>
    </row>
    <row r="15068" spans="1:2" x14ac:dyDescent="0.4">
      <c r="A15068" s="4">
        <v>501100000</v>
      </c>
      <c r="B15068">
        <v>8210302</v>
      </c>
    </row>
    <row r="15069" spans="1:2" x14ac:dyDescent="0.4">
      <c r="A15069" s="4">
        <v>501100000</v>
      </c>
      <c r="B15069">
        <v>8210400</v>
      </c>
    </row>
    <row r="15070" spans="1:2" x14ac:dyDescent="0.4">
      <c r="A15070" s="4">
        <v>501100000</v>
      </c>
      <c r="B15070">
        <v>8210401</v>
      </c>
    </row>
    <row r="15071" spans="1:2" x14ac:dyDescent="0.4">
      <c r="A15071" s="4">
        <v>501100000</v>
      </c>
      <c r="B15071">
        <v>8210402</v>
      </c>
    </row>
    <row r="15072" spans="1:2" x14ac:dyDescent="0.4">
      <c r="A15072" s="4">
        <v>501100000</v>
      </c>
      <c r="B15072">
        <v>8210500</v>
      </c>
    </row>
    <row r="15073" spans="1:2" x14ac:dyDescent="0.4">
      <c r="A15073" s="4">
        <v>501100000</v>
      </c>
      <c r="B15073">
        <v>8210501</v>
      </c>
    </row>
    <row r="15074" spans="1:2" x14ac:dyDescent="0.4">
      <c r="A15074" s="4">
        <v>501100000</v>
      </c>
      <c r="B15074">
        <v>8210502</v>
      </c>
    </row>
    <row r="15075" spans="1:2" x14ac:dyDescent="0.4">
      <c r="A15075" s="4">
        <v>501100000</v>
      </c>
      <c r="B15075">
        <v>8210600</v>
      </c>
    </row>
    <row r="15076" spans="1:2" x14ac:dyDescent="0.4">
      <c r="A15076" s="4">
        <v>501100000</v>
      </c>
      <c r="B15076">
        <v>8210601</v>
      </c>
    </row>
    <row r="15077" spans="1:2" x14ac:dyDescent="0.4">
      <c r="A15077" s="4">
        <v>501100000</v>
      </c>
      <c r="B15077">
        <v>8210602</v>
      </c>
    </row>
    <row r="15078" spans="1:2" x14ac:dyDescent="0.4">
      <c r="A15078" s="4">
        <v>501100000</v>
      </c>
      <c r="B15078">
        <v>8220000</v>
      </c>
    </row>
    <row r="15079" spans="1:2" x14ac:dyDescent="0.4">
      <c r="A15079" s="4">
        <v>501100000</v>
      </c>
      <c r="B15079">
        <v>8220001</v>
      </c>
    </row>
    <row r="15080" spans="1:2" x14ac:dyDescent="0.4">
      <c r="A15080" s="4">
        <v>501100000</v>
      </c>
      <c r="B15080">
        <v>8220002</v>
      </c>
    </row>
    <row r="15081" spans="1:2" x14ac:dyDescent="0.4">
      <c r="A15081" s="4">
        <v>501100000</v>
      </c>
      <c r="B15081">
        <v>8300000</v>
      </c>
    </row>
    <row r="15082" spans="1:2" x14ac:dyDescent="0.4">
      <c r="A15082" s="4">
        <v>501100000</v>
      </c>
      <c r="B15082">
        <v>8300001</v>
      </c>
    </row>
    <row r="15083" spans="1:2" x14ac:dyDescent="0.4">
      <c r="A15083" s="4">
        <v>501100000</v>
      </c>
      <c r="B15083">
        <v>8300002</v>
      </c>
    </row>
    <row r="15084" spans="1:2" x14ac:dyDescent="0.4">
      <c r="A15084" s="4">
        <v>501100000</v>
      </c>
      <c r="B15084">
        <v>8310000</v>
      </c>
    </row>
    <row r="15085" spans="1:2" x14ac:dyDescent="0.4">
      <c r="A15085" s="4">
        <v>501100000</v>
      </c>
      <c r="B15085">
        <v>8310001</v>
      </c>
    </row>
    <row r="15086" spans="1:2" x14ac:dyDescent="0.4">
      <c r="A15086" s="4">
        <v>501100000</v>
      </c>
      <c r="B15086">
        <v>8310002</v>
      </c>
    </row>
    <row r="15087" spans="1:2" x14ac:dyDescent="0.4">
      <c r="A15087" s="4">
        <v>501100000</v>
      </c>
      <c r="B15087">
        <v>8320000</v>
      </c>
    </row>
    <row r="15088" spans="1:2" x14ac:dyDescent="0.4">
      <c r="A15088" s="4">
        <v>501100000</v>
      </c>
      <c r="B15088">
        <v>8320001</v>
      </c>
    </row>
    <row r="15089" spans="1:2" x14ac:dyDescent="0.4">
      <c r="A15089" s="4">
        <v>501100000</v>
      </c>
      <c r="B15089">
        <v>8320002</v>
      </c>
    </row>
    <row r="15090" spans="1:2" x14ac:dyDescent="0.4">
      <c r="A15090" s="4">
        <v>501100000</v>
      </c>
      <c r="B15090">
        <v>8320100</v>
      </c>
    </row>
    <row r="15091" spans="1:2" x14ac:dyDescent="0.4">
      <c r="A15091" s="4">
        <v>501100000</v>
      </c>
      <c r="B15091">
        <v>8320101</v>
      </c>
    </row>
    <row r="15092" spans="1:2" x14ac:dyDescent="0.4">
      <c r="A15092" s="4">
        <v>501100000</v>
      </c>
      <c r="B15092">
        <v>8320102</v>
      </c>
    </row>
    <row r="15093" spans="1:2" x14ac:dyDescent="0.4">
      <c r="A15093" s="4">
        <v>501100000</v>
      </c>
      <c r="B15093">
        <v>8320300</v>
      </c>
    </row>
    <row r="15094" spans="1:2" x14ac:dyDescent="0.4">
      <c r="A15094" s="4">
        <v>501100000</v>
      </c>
      <c r="B15094">
        <v>8320301</v>
      </c>
    </row>
    <row r="15095" spans="1:2" x14ac:dyDescent="0.4">
      <c r="A15095" s="4">
        <v>501100000</v>
      </c>
      <c r="B15095">
        <v>8320302</v>
      </c>
    </row>
    <row r="15096" spans="1:2" x14ac:dyDescent="0.4">
      <c r="A15096" s="4">
        <v>501100000</v>
      </c>
      <c r="B15096">
        <v>8320400</v>
      </c>
    </row>
    <row r="15097" spans="1:2" x14ac:dyDescent="0.4">
      <c r="A15097" s="4">
        <v>501100000</v>
      </c>
      <c r="B15097">
        <v>8320410</v>
      </c>
    </row>
    <row r="15098" spans="1:2" x14ac:dyDescent="0.4">
      <c r="A15098" s="4">
        <v>501100000</v>
      </c>
      <c r="B15098">
        <v>8320420</v>
      </c>
    </row>
    <row r="15099" spans="1:2" x14ac:dyDescent="0.4">
      <c r="A15099" s="4">
        <v>501100000</v>
      </c>
      <c r="B15099">
        <v>8330000</v>
      </c>
    </row>
    <row r="15100" spans="1:2" x14ac:dyDescent="0.4">
      <c r="A15100" s="4">
        <v>501100000</v>
      </c>
      <c r="B15100">
        <v>8330001</v>
      </c>
    </row>
    <row r="15101" spans="1:2" x14ac:dyDescent="0.4">
      <c r="A15101" s="4">
        <v>501100000</v>
      </c>
      <c r="B15101">
        <v>8330002</v>
      </c>
    </row>
    <row r="15102" spans="1:2" x14ac:dyDescent="0.4">
      <c r="A15102" s="4">
        <v>501100000</v>
      </c>
      <c r="B15102">
        <v>8330100</v>
      </c>
    </row>
    <row r="15103" spans="1:2" x14ac:dyDescent="0.4">
      <c r="A15103" s="4">
        <v>501100000</v>
      </c>
      <c r="B15103">
        <v>8330101</v>
      </c>
    </row>
    <row r="15104" spans="1:2" x14ac:dyDescent="0.4">
      <c r="A15104" s="4">
        <v>501100000</v>
      </c>
      <c r="B15104">
        <v>8330102</v>
      </c>
    </row>
    <row r="15105" spans="1:2" x14ac:dyDescent="0.4">
      <c r="A15105" s="4">
        <v>501100000</v>
      </c>
      <c r="B15105">
        <v>8330200</v>
      </c>
    </row>
    <row r="15106" spans="1:2" x14ac:dyDescent="0.4">
      <c r="A15106" s="4">
        <v>501100000</v>
      </c>
      <c r="B15106">
        <v>8330201</v>
      </c>
    </row>
    <row r="15107" spans="1:2" x14ac:dyDescent="0.4">
      <c r="A15107" s="4">
        <v>501100000</v>
      </c>
      <c r="B15107">
        <v>8330202</v>
      </c>
    </row>
    <row r="15108" spans="1:2" x14ac:dyDescent="0.4">
      <c r="A15108" s="4">
        <v>501100000</v>
      </c>
      <c r="B15108">
        <v>8330300</v>
      </c>
    </row>
    <row r="15109" spans="1:2" x14ac:dyDescent="0.4">
      <c r="A15109" s="4">
        <v>501100000</v>
      </c>
      <c r="B15109">
        <v>8330301</v>
      </c>
    </row>
    <row r="15110" spans="1:2" x14ac:dyDescent="0.4">
      <c r="A15110" s="4">
        <v>501100000</v>
      </c>
      <c r="B15110">
        <v>8330302</v>
      </c>
    </row>
    <row r="15111" spans="1:2" x14ac:dyDescent="0.4">
      <c r="A15111" s="4">
        <v>501100000</v>
      </c>
      <c r="B15111">
        <v>8330400</v>
      </c>
    </row>
    <row r="15112" spans="1:2" x14ac:dyDescent="0.4">
      <c r="A15112" s="4">
        <v>501100000</v>
      </c>
      <c r="B15112">
        <v>8330401</v>
      </c>
    </row>
    <row r="15113" spans="1:2" x14ac:dyDescent="0.4">
      <c r="A15113" s="4">
        <v>501100000</v>
      </c>
      <c r="B15113">
        <v>8330600</v>
      </c>
    </row>
    <row r="15114" spans="1:2" x14ac:dyDescent="0.4">
      <c r="A15114" s="4">
        <v>501100000</v>
      </c>
      <c r="B15114">
        <v>8330601</v>
      </c>
    </row>
    <row r="15115" spans="1:2" x14ac:dyDescent="0.4">
      <c r="A15115" s="4">
        <v>501100000</v>
      </c>
      <c r="B15115">
        <v>8330602</v>
      </c>
    </row>
    <row r="15116" spans="1:2" x14ac:dyDescent="0.4">
      <c r="A15116" s="4">
        <v>501100000</v>
      </c>
      <c r="B15116">
        <v>8330900</v>
      </c>
    </row>
    <row r="15117" spans="1:2" x14ac:dyDescent="0.4">
      <c r="A15117" s="4">
        <v>501100000</v>
      </c>
      <c r="B15117">
        <v>8330910</v>
      </c>
    </row>
    <row r="15118" spans="1:2" x14ac:dyDescent="0.4">
      <c r="A15118" s="4">
        <v>501100000</v>
      </c>
      <c r="B15118">
        <v>8330920</v>
      </c>
    </row>
    <row r="15119" spans="1:2" x14ac:dyDescent="0.4">
      <c r="A15119" s="4">
        <v>501100000</v>
      </c>
      <c r="B15119">
        <v>8340000</v>
      </c>
    </row>
    <row r="15120" spans="1:2" x14ac:dyDescent="0.4">
      <c r="A15120" s="4">
        <v>501100000</v>
      </c>
      <c r="B15120">
        <v>8340001</v>
      </c>
    </row>
    <row r="15121" spans="1:2" x14ac:dyDescent="0.4">
      <c r="A15121" s="4">
        <v>501100000</v>
      </c>
      <c r="B15121">
        <v>8340002</v>
      </c>
    </row>
    <row r="15122" spans="1:2" x14ac:dyDescent="0.4">
      <c r="A15122" s="4">
        <v>501100000</v>
      </c>
      <c r="B15122">
        <v>8340100</v>
      </c>
    </row>
    <row r="15123" spans="1:2" x14ac:dyDescent="0.4">
      <c r="A15123" s="4">
        <v>501100000</v>
      </c>
      <c r="B15123">
        <v>8340101</v>
      </c>
    </row>
    <row r="15124" spans="1:2" x14ac:dyDescent="0.4">
      <c r="A15124" s="4">
        <v>501100000</v>
      </c>
      <c r="B15124">
        <v>8340102</v>
      </c>
    </row>
    <row r="15125" spans="1:2" x14ac:dyDescent="0.4">
      <c r="A15125" s="4">
        <v>501100000</v>
      </c>
      <c r="B15125">
        <v>8350000</v>
      </c>
    </row>
    <row r="15126" spans="1:2" x14ac:dyDescent="0.4">
      <c r="A15126" s="4">
        <v>501100000</v>
      </c>
      <c r="B15126">
        <v>8350001</v>
      </c>
    </row>
    <row r="15127" spans="1:2" x14ac:dyDescent="0.4">
      <c r="A15127" s="4">
        <v>501100000</v>
      </c>
      <c r="B15127">
        <v>8350002</v>
      </c>
    </row>
    <row r="15128" spans="1:2" x14ac:dyDescent="0.4">
      <c r="A15128" s="4">
        <v>501100000</v>
      </c>
      <c r="B15128">
        <v>8350200</v>
      </c>
    </row>
    <row r="15129" spans="1:2" x14ac:dyDescent="0.4">
      <c r="A15129" s="4">
        <v>501100000</v>
      </c>
      <c r="B15129">
        <v>8350201</v>
      </c>
    </row>
    <row r="15130" spans="1:2" x14ac:dyDescent="0.4">
      <c r="A15130" s="4">
        <v>501100000</v>
      </c>
      <c r="B15130">
        <v>8350202</v>
      </c>
    </row>
    <row r="15131" spans="1:2" x14ac:dyDescent="0.4">
      <c r="A15131" s="4">
        <v>501100000</v>
      </c>
      <c r="B15131">
        <v>8420000</v>
      </c>
    </row>
    <row r="15132" spans="1:2" x14ac:dyDescent="0.4">
      <c r="A15132" s="4">
        <v>501100000</v>
      </c>
      <c r="B15132">
        <v>8420001</v>
      </c>
    </row>
    <row r="15133" spans="1:2" x14ac:dyDescent="0.4">
      <c r="A15133" s="4">
        <v>501100000</v>
      </c>
      <c r="B15133">
        <v>8420002</v>
      </c>
    </row>
    <row r="15134" spans="1:2" x14ac:dyDescent="0.4">
      <c r="A15134" s="4">
        <v>501100000</v>
      </c>
      <c r="B15134">
        <v>8450000</v>
      </c>
    </row>
    <row r="15135" spans="1:2" x14ac:dyDescent="0.4">
      <c r="A15135" s="4">
        <v>501100000</v>
      </c>
      <c r="B15135">
        <v>8460100</v>
      </c>
    </row>
    <row r="15136" spans="1:2" x14ac:dyDescent="0.4">
      <c r="A15136" s="4">
        <v>501100000</v>
      </c>
      <c r="B15136">
        <v>8460300</v>
      </c>
    </row>
    <row r="15137" spans="1:2" x14ac:dyDescent="0.4">
      <c r="A15137" s="4">
        <v>501100000</v>
      </c>
      <c r="B15137">
        <v>8460500</v>
      </c>
    </row>
    <row r="15138" spans="1:2" x14ac:dyDescent="0.4">
      <c r="A15138" s="4">
        <v>501100000</v>
      </c>
      <c r="B15138">
        <v>8510000</v>
      </c>
    </row>
    <row r="15139" spans="1:2" x14ac:dyDescent="0.4">
      <c r="A15139" s="4">
        <v>501100000</v>
      </c>
      <c r="B15139">
        <v>8510001</v>
      </c>
    </row>
    <row r="15140" spans="1:2" x14ac:dyDescent="0.4">
      <c r="A15140" s="4">
        <v>501100000</v>
      </c>
      <c r="B15140">
        <v>8510002</v>
      </c>
    </row>
    <row r="15141" spans="1:2" x14ac:dyDescent="0.4">
      <c r="A15141" s="4">
        <v>501100000</v>
      </c>
      <c r="B15141">
        <v>8520000</v>
      </c>
    </row>
    <row r="15142" spans="1:2" x14ac:dyDescent="0.4">
      <c r="A15142" s="4">
        <v>501100000</v>
      </c>
      <c r="B15142">
        <v>8520001</v>
      </c>
    </row>
    <row r="15143" spans="1:2" x14ac:dyDescent="0.4">
      <c r="A15143" s="4">
        <v>501100000</v>
      </c>
      <c r="B15143">
        <v>8520002</v>
      </c>
    </row>
    <row r="15144" spans="1:2" x14ac:dyDescent="0.4">
      <c r="A15144" s="4">
        <v>501100000</v>
      </c>
      <c r="B15144">
        <v>8530000</v>
      </c>
    </row>
    <row r="15145" spans="1:2" x14ac:dyDescent="0.4">
      <c r="A15145" s="4">
        <v>501100000</v>
      </c>
      <c r="B15145">
        <v>8530100</v>
      </c>
    </row>
    <row r="15146" spans="1:2" x14ac:dyDescent="0.4">
      <c r="A15146" s="4">
        <v>501100000</v>
      </c>
      <c r="B15146">
        <v>8540000</v>
      </c>
    </row>
    <row r="15147" spans="1:2" x14ac:dyDescent="0.4">
      <c r="A15147" s="4">
        <v>501100000</v>
      </c>
      <c r="B15147">
        <v>8600100</v>
      </c>
    </row>
    <row r="15148" spans="1:2" x14ac:dyDescent="0.4">
      <c r="A15148" s="4">
        <v>501100000</v>
      </c>
      <c r="B15148">
        <v>8600101</v>
      </c>
    </row>
    <row r="15149" spans="1:2" x14ac:dyDescent="0.4">
      <c r="A15149" s="4">
        <v>501100000</v>
      </c>
      <c r="B15149">
        <v>8600102</v>
      </c>
    </row>
    <row r="15150" spans="1:2" x14ac:dyDescent="0.4">
      <c r="A15150" s="4">
        <v>501100000</v>
      </c>
      <c r="B15150">
        <v>8600200</v>
      </c>
    </row>
    <row r="15151" spans="1:2" x14ac:dyDescent="0.4">
      <c r="A15151" s="4">
        <v>501100000</v>
      </c>
      <c r="B15151">
        <v>8600201</v>
      </c>
    </row>
    <row r="15152" spans="1:2" x14ac:dyDescent="0.4">
      <c r="A15152" s="4">
        <v>501100000</v>
      </c>
      <c r="B15152">
        <v>8600202</v>
      </c>
    </row>
    <row r="15153" spans="1:2" x14ac:dyDescent="0.4">
      <c r="A15153" s="4">
        <v>501100000</v>
      </c>
      <c r="B15153">
        <v>8610300</v>
      </c>
    </row>
    <row r="15154" spans="1:2" x14ac:dyDescent="0.4">
      <c r="A15154" s="4">
        <v>501100000</v>
      </c>
      <c r="B15154">
        <v>8610400</v>
      </c>
    </row>
    <row r="15155" spans="1:2" x14ac:dyDescent="0.4">
      <c r="A15155" s="4">
        <v>501100000</v>
      </c>
      <c r="B15155">
        <v>8610500</v>
      </c>
    </row>
    <row r="15156" spans="1:2" x14ac:dyDescent="0.4">
      <c r="A15156" s="4">
        <v>501100000</v>
      </c>
      <c r="B15156">
        <v>8610600</v>
      </c>
    </row>
    <row r="15157" spans="1:2" x14ac:dyDescent="0.4">
      <c r="A15157" s="4">
        <v>501100000</v>
      </c>
      <c r="B15157">
        <v>8610700</v>
      </c>
    </row>
    <row r="15158" spans="1:2" x14ac:dyDescent="0.4">
      <c r="A15158" s="4">
        <v>501100000</v>
      </c>
      <c r="B15158">
        <v>8610710</v>
      </c>
    </row>
    <row r="15159" spans="1:2" x14ac:dyDescent="0.4">
      <c r="A15159" s="4">
        <v>501100000</v>
      </c>
      <c r="B15159">
        <v>8610720</v>
      </c>
    </row>
    <row r="15160" spans="1:2" x14ac:dyDescent="0.4">
      <c r="A15160" s="4">
        <v>501100000</v>
      </c>
      <c r="B15160">
        <v>8620000</v>
      </c>
    </row>
    <row r="15161" spans="1:2" x14ac:dyDescent="0.4">
      <c r="A15161" s="4">
        <v>501100000</v>
      </c>
      <c r="B15161">
        <v>8620010</v>
      </c>
    </row>
    <row r="15162" spans="1:2" x14ac:dyDescent="0.4">
      <c r="A15162" s="4">
        <v>501100000</v>
      </c>
      <c r="B15162">
        <v>8620020</v>
      </c>
    </row>
    <row r="15163" spans="1:2" x14ac:dyDescent="0.4">
      <c r="A15163" s="4">
        <v>501100000</v>
      </c>
      <c r="B15163">
        <v>8620100</v>
      </c>
    </row>
    <row r="15164" spans="1:2" x14ac:dyDescent="0.4">
      <c r="A15164" s="4">
        <v>501100000</v>
      </c>
      <c r="B15164">
        <v>8620110</v>
      </c>
    </row>
    <row r="15165" spans="1:2" x14ac:dyDescent="0.4">
      <c r="A15165" s="4">
        <v>501100000</v>
      </c>
      <c r="B15165">
        <v>8620120</v>
      </c>
    </row>
    <row r="15166" spans="1:2" x14ac:dyDescent="0.4">
      <c r="A15166" s="4">
        <v>501100000</v>
      </c>
      <c r="B15166">
        <v>8630000</v>
      </c>
    </row>
    <row r="15167" spans="1:2" x14ac:dyDescent="0.4">
      <c r="A15167" s="4">
        <v>501100000</v>
      </c>
      <c r="B15167">
        <v>8630000</v>
      </c>
    </row>
    <row r="15168" spans="1:2" x14ac:dyDescent="0.4">
      <c r="A15168" s="4">
        <v>501100000</v>
      </c>
      <c r="B15168">
        <v>8630000</v>
      </c>
    </row>
    <row r="15169" spans="1:2" x14ac:dyDescent="0.4">
      <c r="A15169" s="4">
        <v>501100000</v>
      </c>
      <c r="B15169">
        <v>8630100</v>
      </c>
    </row>
    <row r="15170" spans="1:2" x14ac:dyDescent="0.4">
      <c r="A15170" s="4">
        <v>501100000</v>
      </c>
      <c r="B15170">
        <v>8630100</v>
      </c>
    </row>
    <row r="15171" spans="1:2" x14ac:dyDescent="0.4">
      <c r="A15171" s="4">
        <v>501100000</v>
      </c>
      <c r="B15171">
        <v>8630100</v>
      </c>
    </row>
    <row r="15172" spans="1:2" x14ac:dyDescent="0.4">
      <c r="A15172" s="4">
        <v>501100000</v>
      </c>
      <c r="B15172">
        <v>8630200</v>
      </c>
    </row>
    <row r="15173" spans="1:2" x14ac:dyDescent="0.4">
      <c r="A15173" s="4">
        <v>501100000</v>
      </c>
      <c r="B15173">
        <v>8630300</v>
      </c>
    </row>
    <row r="15174" spans="1:2" x14ac:dyDescent="0.4">
      <c r="A15174" s="4">
        <v>501100000</v>
      </c>
      <c r="B15174">
        <v>8630400</v>
      </c>
    </row>
    <row r="15175" spans="1:2" x14ac:dyDescent="0.4">
      <c r="A15175" s="4">
        <v>501100000</v>
      </c>
      <c r="B15175">
        <v>8630500</v>
      </c>
    </row>
    <row r="15176" spans="1:2" x14ac:dyDescent="0.4">
      <c r="A15176" s="4">
        <v>501100000</v>
      </c>
      <c r="B15176">
        <v>8630600</v>
      </c>
    </row>
    <row r="15177" spans="1:2" x14ac:dyDescent="0.4">
      <c r="A15177" s="4">
        <v>501100000</v>
      </c>
      <c r="B15177">
        <v>8630700</v>
      </c>
    </row>
    <row r="15178" spans="1:2" x14ac:dyDescent="0.4">
      <c r="A15178" s="4">
        <v>501100000</v>
      </c>
      <c r="B15178">
        <v>8630800</v>
      </c>
    </row>
    <row r="15179" spans="1:2" x14ac:dyDescent="0.4">
      <c r="A15179" s="4">
        <v>501100000</v>
      </c>
      <c r="B15179">
        <v>8652000</v>
      </c>
    </row>
    <row r="15180" spans="1:2" x14ac:dyDescent="0.4">
      <c r="A15180" s="4">
        <v>501100000</v>
      </c>
      <c r="B15180">
        <v>8652010</v>
      </c>
    </row>
    <row r="15181" spans="1:2" x14ac:dyDescent="0.4">
      <c r="A15181" s="4">
        <v>501100000</v>
      </c>
      <c r="B15181">
        <v>8652020</v>
      </c>
    </row>
    <row r="15182" spans="1:2" x14ac:dyDescent="0.4">
      <c r="A15182" s="4">
        <v>501100000</v>
      </c>
      <c r="B15182">
        <v>8652100</v>
      </c>
    </row>
    <row r="15183" spans="1:2" x14ac:dyDescent="0.4">
      <c r="A15183" s="4">
        <v>501100000</v>
      </c>
      <c r="B15183">
        <v>8652110</v>
      </c>
    </row>
    <row r="15184" spans="1:2" x14ac:dyDescent="0.4">
      <c r="A15184" s="4">
        <v>501100000</v>
      </c>
      <c r="B15184">
        <v>8652120</v>
      </c>
    </row>
    <row r="15185" spans="1:2" x14ac:dyDescent="0.4">
      <c r="A15185" s="4">
        <v>501100000</v>
      </c>
      <c r="B15185">
        <v>8660000</v>
      </c>
    </row>
    <row r="15186" spans="1:2" x14ac:dyDescent="0.4">
      <c r="A15186" s="4">
        <v>501100000</v>
      </c>
      <c r="B15186">
        <v>8660001</v>
      </c>
    </row>
    <row r="15187" spans="1:2" x14ac:dyDescent="0.4">
      <c r="A15187" s="4">
        <v>501100000</v>
      </c>
      <c r="B15187">
        <v>8660002</v>
      </c>
    </row>
    <row r="15188" spans="1:2" x14ac:dyDescent="0.4">
      <c r="A15188" s="4">
        <v>501100000</v>
      </c>
      <c r="B15188">
        <v>8660100</v>
      </c>
    </row>
    <row r="15189" spans="1:2" x14ac:dyDescent="0.4">
      <c r="A15189" s="4">
        <v>501100000</v>
      </c>
      <c r="B15189">
        <v>8660101</v>
      </c>
    </row>
    <row r="15190" spans="1:2" x14ac:dyDescent="0.4">
      <c r="A15190" s="4">
        <v>501100000</v>
      </c>
      <c r="B15190">
        <v>8660102</v>
      </c>
    </row>
    <row r="15191" spans="1:2" x14ac:dyDescent="0.4">
      <c r="A15191" s="4">
        <v>501100000</v>
      </c>
      <c r="B15191">
        <v>8670000</v>
      </c>
    </row>
    <row r="15192" spans="1:2" x14ac:dyDescent="0.4">
      <c r="A15192" s="4">
        <v>501100000</v>
      </c>
      <c r="B15192">
        <v>8670001</v>
      </c>
    </row>
    <row r="15193" spans="1:2" x14ac:dyDescent="0.4">
      <c r="A15193" s="4">
        <v>501100000</v>
      </c>
      <c r="B15193">
        <v>8670002</v>
      </c>
    </row>
    <row r="15194" spans="1:2" x14ac:dyDescent="0.4">
      <c r="A15194" s="4">
        <v>501100000</v>
      </c>
      <c r="B15194">
        <v>8670100</v>
      </c>
    </row>
    <row r="15195" spans="1:2" x14ac:dyDescent="0.4">
      <c r="A15195" s="4">
        <v>501100000</v>
      </c>
      <c r="B15195">
        <v>8670101</v>
      </c>
    </row>
    <row r="15196" spans="1:2" x14ac:dyDescent="0.4">
      <c r="A15196" s="4">
        <v>501100000</v>
      </c>
      <c r="B15196">
        <v>8670102</v>
      </c>
    </row>
    <row r="15197" spans="1:2" x14ac:dyDescent="0.4">
      <c r="A15197" s="4">
        <v>501100000</v>
      </c>
      <c r="B15197">
        <v>8690000</v>
      </c>
    </row>
    <row r="15198" spans="1:2" x14ac:dyDescent="0.4">
      <c r="A15198" s="4">
        <v>501100000</v>
      </c>
      <c r="B15198">
        <v>8690100</v>
      </c>
    </row>
    <row r="15199" spans="1:2" x14ac:dyDescent="0.4">
      <c r="A15199" s="4">
        <v>501100000</v>
      </c>
      <c r="B15199">
        <v>8690200</v>
      </c>
    </row>
    <row r="15200" spans="1:2" x14ac:dyDescent="0.4">
      <c r="A15200" s="4">
        <v>501100000</v>
      </c>
      <c r="B15200">
        <v>8690300</v>
      </c>
    </row>
    <row r="15201" spans="1:2" x14ac:dyDescent="0.4">
      <c r="A15201" s="4">
        <v>501100000</v>
      </c>
      <c r="B15201">
        <v>8690400</v>
      </c>
    </row>
    <row r="15202" spans="1:2" x14ac:dyDescent="0.4">
      <c r="A15202" s="4">
        <v>501100000</v>
      </c>
      <c r="B15202">
        <v>8320500</v>
      </c>
    </row>
    <row r="15203" spans="1:2" x14ac:dyDescent="0.4">
      <c r="A15203" s="4">
        <v>501100000</v>
      </c>
      <c r="B15203">
        <v>8320510</v>
      </c>
    </row>
    <row r="15204" spans="1:2" x14ac:dyDescent="0.4">
      <c r="A15204" s="4">
        <v>501100000</v>
      </c>
      <c r="B15204">
        <v>8320520</v>
      </c>
    </row>
    <row r="15205" spans="1:2" x14ac:dyDescent="0.4">
      <c r="A15205" s="4">
        <v>501100000</v>
      </c>
      <c r="B15205">
        <v>8320600</v>
      </c>
    </row>
    <row r="15206" spans="1:2" x14ac:dyDescent="0.4">
      <c r="A15206" s="4">
        <v>501100000</v>
      </c>
      <c r="B15206">
        <v>8320610</v>
      </c>
    </row>
    <row r="15207" spans="1:2" x14ac:dyDescent="0.4">
      <c r="A15207" s="4">
        <v>501100000</v>
      </c>
      <c r="B15207">
        <v>8320620</v>
      </c>
    </row>
    <row r="15208" spans="1:2" x14ac:dyDescent="0.4">
      <c r="A15208" s="4">
        <v>501100000</v>
      </c>
      <c r="B15208">
        <v>8320700</v>
      </c>
    </row>
    <row r="15209" spans="1:2" x14ac:dyDescent="0.4">
      <c r="A15209" s="4">
        <v>501100000</v>
      </c>
      <c r="B15209">
        <v>8320710</v>
      </c>
    </row>
    <row r="15210" spans="1:2" x14ac:dyDescent="0.4">
      <c r="A15210" s="4">
        <v>501100000</v>
      </c>
      <c r="B15210">
        <v>8320720</v>
      </c>
    </row>
    <row r="15211" spans="1:2" x14ac:dyDescent="0.4">
      <c r="A15211" s="4">
        <v>501100100</v>
      </c>
      <c r="B15211">
        <v>0</v>
      </c>
    </row>
    <row r="15212" spans="1:2" x14ac:dyDescent="0.4">
      <c r="A15212" s="4">
        <v>501100100</v>
      </c>
      <c r="B15212">
        <v>8100100</v>
      </c>
    </row>
    <row r="15213" spans="1:2" x14ac:dyDescent="0.4">
      <c r="A15213" s="4">
        <v>501100100</v>
      </c>
      <c r="B15213">
        <v>8100101</v>
      </c>
    </row>
    <row r="15214" spans="1:2" x14ac:dyDescent="0.4">
      <c r="A15214" s="4">
        <v>501100100</v>
      </c>
      <c r="B15214">
        <v>8100102</v>
      </c>
    </row>
    <row r="15215" spans="1:2" x14ac:dyDescent="0.4">
      <c r="A15215" s="4">
        <v>501100100</v>
      </c>
      <c r="B15215">
        <v>8100200</v>
      </c>
    </row>
    <row r="15216" spans="1:2" x14ac:dyDescent="0.4">
      <c r="A15216" s="4">
        <v>501100100</v>
      </c>
      <c r="B15216">
        <v>8100201</v>
      </c>
    </row>
    <row r="15217" spans="1:2" x14ac:dyDescent="0.4">
      <c r="A15217" s="4">
        <v>501100100</v>
      </c>
      <c r="B15217">
        <v>8100202</v>
      </c>
    </row>
    <row r="15218" spans="1:2" x14ac:dyDescent="0.4">
      <c r="A15218" s="4">
        <v>501100100</v>
      </c>
      <c r="B15218">
        <v>8100300</v>
      </c>
    </row>
    <row r="15219" spans="1:2" x14ac:dyDescent="0.4">
      <c r="A15219" s="4">
        <v>501100100</v>
      </c>
      <c r="B15219">
        <v>8100301</v>
      </c>
    </row>
    <row r="15220" spans="1:2" x14ac:dyDescent="0.4">
      <c r="A15220" s="4">
        <v>501100100</v>
      </c>
      <c r="B15220">
        <v>8100302</v>
      </c>
    </row>
    <row r="15221" spans="1:2" x14ac:dyDescent="0.4">
      <c r="A15221" s="4">
        <v>501100100</v>
      </c>
      <c r="B15221">
        <v>8100400</v>
      </c>
    </row>
    <row r="15222" spans="1:2" x14ac:dyDescent="0.4">
      <c r="A15222" s="4">
        <v>501100100</v>
      </c>
      <c r="B15222">
        <v>8100401</v>
      </c>
    </row>
    <row r="15223" spans="1:2" x14ac:dyDescent="0.4">
      <c r="A15223" s="4">
        <v>501100100</v>
      </c>
      <c r="B15223">
        <v>8100402</v>
      </c>
    </row>
    <row r="15224" spans="1:2" x14ac:dyDescent="0.4">
      <c r="A15224" s="4">
        <v>501100100</v>
      </c>
      <c r="B15224">
        <v>8130000</v>
      </c>
    </row>
    <row r="15225" spans="1:2" x14ac:dyDescent="0.4">
      <c r="A15225" s="4">
        <v>501100100</v>
      </c>
      <c r="B15225">
        <v>8130001</v>
      </c>
    </row>
    <row r="15226" spans="1:2" x14ac:dyDescent="0.4">
      <c r="A15226" s="4">
        <v>501100100</v>
      </c>
      <c r="B15226">
        <v>8130002</v>
      </c>
    </row>
    <row r="15227" spans="1:2" x14ac:dyDescent="0.4">
      <c r="A15227" s="4">
        <v>501100100</v>
      </c>
      <c r="B15227">
        <v>8140000</v>
      </c>
    </row>
    <row r="15228" spans="1:2" x14ac:dyDescent="0.4">
      <c r="A15228" s="4">
        <v>501100100</v>
      </c>
      <c r="B15228">
        <v>8140001</v>
      </c>
    </row>
    <row r="15229" spans="1:2" x14ac:dyDescent="0.4">
      <c r="A15229" s="4">
        <v>501100100</v>
      </c>
      <c r="B15229">
        <v>8140002</v>
      </c>
    </row>
    <row r="15230" spans="1:2" x14ac:dyDescent="0.4">
      <c r="A15230" s="4">
        <v>501100100</v>
      </c>
      <c r="B15230">
        <v>8200100</v>
      </c>
    </row>
    <row r="15231" spans="1:2" x14ac:dyDescent="0.4">
      <c r="A15231" s="4">
        <v>501100100</v>
      </c>
      <c r="B15231">
        <v>8200101</v>
      </c>
    </row>
    <row r="15232" spans="1:2" x14ac:dyDescent="0.4">
      <c r="A15232" s="4">
        <v>501100100</v>
      </c>
      <c r="B15232">
        <v>8200102</v>
      </c>
    </row>
    <row r="15233" spans="1:2" x14ac:dyDescent="0.4">
      <c r="A15233" s="4">
        <v>501100100</v>
      </c>
      <c r="B15233">
        <v>8200200</v>
      </c>
    </row>
    <row r="15234" spans="1:2" x14ac:dyDescent="0.4">
      <c r="A15234" s="4">
        <v>501100100</v>
      </c>
      <c r="B15234">
        <v>8200201</v>
      </c>
    </row>
    <row r="15235" spans="1:2" x14ac:dyDescent="0.4">
      <c r="A15235" s="4">
        <v>501100100</v>
      </c>
      <c r="B15235">
        <v>8200202</v>
      </c>
    </row>
    <row r="15236" spans="1:2" x14ac:dyDescent="0.4">
      <c r="A15236" s="4">
        <v>501100100</v>
      </c>
      <c r="B15236">
        <v>8200300</v>
      </c>
    </row>
    <row r="15237" spans="1:2" x14ac:dyDescent="0.4">
      <c r="A15237" s="4">
        <v>501100100</v>
      </c>
      <c r="B15237">
        <v>8200301</v>
      </c>
    </row>
    <row r="15238" spans="1:2" x14ac:dyDescent="0.4">
      <c r="A15238" s="4">
        <v>501100100</v>
      </c>
      <c r="B15238">
        <v>8200302</v>
      </c>
    </row>
    <row r="15239" spans="1:2" x14ac:dyDescent="0.4">
      <c r="A15239" s="4">
        <v>501100100</v>
      </c>
      <c r="B15239">
        <v>8200400</v>
      </c>
    </row>
    <row r="15240" spans="1:2" x14ac:dyDescent="0.4">
      <c r="A15240" s="4">
        <v>501100100</v>
      </c>
      <c r="B15240">
        <v>8200401</v>
      </c>
    </row>
    <row r="15241" spans="1:2" x14ac:dyDescent="0.4">
      <c r="A15241" s="4">
        <v>501100100</v>
      </c>
      <c r="B15241">
        <v>8200402</v>
      </c>
    </row>
    <row r="15242" spans="1:2" x14ac:dyDescent="0.4">
      <c r="A15242" s="4">
        <v>501100100</v>
      </c>
      <c r="B15242">
        <v>8210000</v>
      </c>
    </row>
    <row r="15243" spans="1:2" x14ac:dyDescent="0.4">
      <c r="A15243" s="4">
        <v>501100100</v>
      </c>
      <c r="B15243">
        <v>8210001</v>
      </c>
    </row>
    <row r="15244" spans="1:2" x14ac:dyDescent="0.4">
      <c r="A15244" s="4">
        <v>501100100</v>
      </c>
      <c r="B15244">
        <v>8210002</v>
      </c>
    </row>
    <row r="15245" spans="1:2" x14ac:dyDescent="0.4">
      <c r="A15245" s="4">
        <v>501100100</v>
      </c>
      <c r="B15245">
        <v>8210100</v>
      </c>
    </row>
    <row r="15246" spans="1:2" x14ac:dyDescent="0.4">
      <c r="A15246" s="4">
        <v>501100100</v>
      </c>
      <c r="B15246">
        <v>8210101</v>
      </c>
    </row>
    <row r="15247" spans="1:2" x14ac:dyDescent="0.4">
      <c r="A15247" s="4">
        <v>501100100</v>
      </c>
      <c r="B15247">
        <v>8210102</v>
      </c>
    </row>
    <row r="15248" spans="1:2" x14ac:dyDescent="0.4">
      <c r="A15248" s="4">
        <v>501100100</v>
      </c>
      <c r="B15248">
        <v>8210200</v>
      </c>
    </row>
    <row r="15249" spans="1:2" x14ac:dyDescent="0.4">
      <c r="A15249" s="4">
        <v>501100100</v>
      </c>
      <c r="B15249">
        <v>8210201</v>
      </c>
    </row>
    <row r="15250" spans="1:2" x14ac:dyDescent="0.4">
      <c r="A15250" s="4">
        <v>501100100</v>
      </c>
      <c r="B15250">
        <v>8210202</v>
      </c>
    </row>
    <row r="15251" spans="1:2" x14ac:dyDescent="0.4">
      <c r="A15251" s="4">
        <v>501100100</v>
      </c>
      <c r="B15251">
        <v>8210300</v>
      </c>
    </row>
    <row r="15252" spans="1:2" x14ac:dyDescent="0.4">
      <c r="A15252" s="4">
        <v>501100100</v>
      </c>
      <c r="B15252">
        <v>8210301</v>
      </c>
    </row>
    <row r="15253" spans="1:2" x14ac:dyDescent="0.4">
      <c r="A15253" s="4">
        <v>501100100</v>
      </c>
      <c r="B15253">
        <v>8210302</v>
      </c>
    </row>
    <row r="15254" spans="1:2" x14ac:dyDescent="0.4">
      <c r="A15254" s="4">
        <v>501100100</v>
      </c>
      <c r="B15254">
        <v>8210400</v>
      </c>
    </row>
    <row r="15255" spans="1:2" x14ac:dyDescent="0.4">
      <c r="A15255" s="4">
        <v>501100100</v>
      </c>
      <c r="B15255">
        <v>8210401</v>
      </c>
    </row>
    <row r="15256" spans="1:2" x14ac:dyDescent="0.4">
      <c r="A15256" s="4">
        <v>501100100</v>
      </c>
      <c r="B15256">
        <v>8210402</v>
      </c>
    </row>
    <row r="15257" spans="1:2" x14ac:dyDescent="0.4">
      <c r="A15257" s="4">
        <v>501100100</v>
      </c>
      <c r="B15257">
        <v>8210500</v>
      </c>
    </row>
    <row r="15258" spans="1:2" x14ac:dyDescent="0.4">
      <c r="A15258" s="4">
        <v>501100100</v>
      </c>
      <c r="B15258">
        <v>8210501</v>
      </c>
    </row>
    <row r="15259" spans="1:2" x14ac:dyDescent="0.4">
      <c r="A15259" s="4">
        <v>501100100</v>
      </c>
      <c r="B15259">
        <v>8210502</v>
      </c>
    </row>
    <row r="15260" spans="1:2" x14ac:dyDescent="0.4">
      <c r="A15260" s="4">
        <v>501100100</v>
      </c>
      <c r="B15260">
        <v>8210600</v>
      </c>
    </row>
    <row r="15261" spans="1:2" x14ac:dyDescent="0.4">
      <c r="A15261" s="4">
        <v>501100100</v>
      </c>
      <c r="B15261">
        <v>8210601</v>
      </c>
    </row>
    <row r="15262" spans="1:2" x14ac:dyDescent="0.4">
      <c r="A15262" s="4">
        <v>501100100</v>
      </c>
      <c r="B15262">
        <v>8210602</v>
      </c>
    </row>
    <row r="15263" spans="1:2" x14ac:dyDescent="0.4">
      <c r="A15263" s="4">
        <v>501100100</v>
      </c>
      <c r="B15263">
        <v>8220000</v>
      </c>
    </row>
    <row r="15264" spans="1:2" x14ac:dyDescent="0.4">
      <c r="A15264" s="4">
        <v>501100100</v>
      </c>
      <c r="B15264">
        <v>8220001</v>
      </c>
    </row>
    <row r="15265" spans="1:2" x14ac:dyDescent="0.4">
      <c r="A15265" s="4">
        <v>501100100</v>
      </c>
      <c r="B15265">
        <v>8220002</v>
      </c>
    </row>
    <row r="15266" spans="1:2" x14ac:dyDescent="0.4">
      <c r="A15266" s="4">
        <v>501100100</v>
      </c>
      <c r="B15266">
        <v>8300000</v>
      </c>
    </row>
    <row r="15267" spans="1:2" x14ac:dyDescent="0.4">
      <c r="A15267" s="4">
        <v>501100100</v>
      </c>
      <c r="B15267">
        <v>8300001</v>
      </c>
    </row>
    <row r="15268" spans="1:2" x14ac:dyDescent="0.4">
      <c r="A15268" s="4">
        <v>501100100</v>
      </c>
      <c r="B15268">
        <v>8300002</v>
      </c>
    </row>
    <row r="15269" spans="1:2" x14ac:dyDescent="0.4">
      <c r="A15269" s="4">
        <v>501100100</v>
      </c>
      <c r="B15269">
        <v>8310000</v>
      </c>
    </row>
    <row r="15270" spans="1:2" x14ac:dyDescent="0.4">
      <c r="A15270" s="4">
        <v>501100100</v>
      </c>
      <c r="B15270">
        <v>8310001</v>
      </c>
    </row>
    <row r="15271" spans="1:2" x14ac:dyDescent="0.4">
      <c r="A15271" s="4">
        <v>501100100</v>
      </c>
      <c r="B15271">
        <v>8310002</v>
      </c>
    </row>
    <row r="15272" spans="1:2" x14ac:dyDescent="0.4">
      <c r="A15272" s="4">
        <v>501100100</v>
      </c>
      <c r="B15272">
        <v>8320000</v>
      </c>
    </row>
    <row r="15273" spans="1:2" x14ac:dyDescent="0.4">
      <c r="A15273" s="4">
        <v>501100100</v>
      </c>
      <c r="B15273">
        <v>8320001</v>
      </c>
    </row>
    <row r="15274" spans="1:2" x14ac:dyDescent="0.4">
      <c r="A15274" s="4">
        <v>501100100</v>
      </c>
      <c r="B15274">
        <v>8320002</v>
      </c>
    </row>
    <row r="15275" spans="1:2" x14ac:dyDescent="0.4">
      <c r="A15275" s="4">
        <v>501100100</v>
      </c>
      <c r="B15275">
        <v>8320100</v>
      </c>
    </row>
    <row r="15276" spans="1:2" x14ac:dyDescent="0.4">
      <c r="A15276" s="4">
        <v>501100100</v>
      </c>
      <c r="B15276">
        <v>8320101</v>
      </c>
    </row>
    <row r="15277" spans="1:2" x14ac:dyDescent="0.4">
      <c r="A15277" s="4">
        <v>501100100</v>
      </c>
      <c r="B15277">
        <v>8320102</v>
      </c>
    </row>
    <row r="15278" spans="1:2" x14ac:dyDescent="0.4">
      <c r="A15278" s="4">
        <v>501100100</v>
      </c>
      <c r="B15278">
        <v>8320300</v>
      </c>
    </row>
    <row r="15279" spans="1:2" x14ac:dyDescent="0.4">
      <c r="A15279" s="4">
        <v>501100100</v>
      </c>
      <c r="B15279">
        <v>8320301</v>
      </c>
    </row>
    <row r="15280" spans="1:2" x14ac:dyDescent="0.4">
      <c r="A15280" s="4">
        <v>501100100</v>
      </c>
      <c r="B15280">
        <v>8320302</v>
      </c>
    </row>
    <row r="15281" spans="1:2" x14ac:dyDescent="0.4">
      <c r="A15281" s="4">
        <v>501100100</v>
      </c>
      <c r="B15281">
        <v>8320400</v>
      </c>
    </row>
    <row r="15282" spans="1:2" x14ac:dyDescent="0.4">
      <c r="A15282" s="4">
        <v>501100100</v>
      </c>
      <c r="B15282">
        <v>8320410</v>
      </c>
    </row>
    <row r="15283" spans="1:2" x14ac:dyDescent="0.4">
      <c r="A15283" s="4">
        <v>501100100</v>
      </c>
      <c r="B15283">
        <v>8320420</v>
      </c>
    </row>
    <row r="15284" spans="1:2" x14ac:dyDescent="0.4">
      <c r="A15284" s="4">
        <v>501100100</v>
      </c>
      <c r="B15284">
        <v>8330000</v>
      </c>
    </row>
    <row r="15285" spans="1:2" x14ac:dyDescent="0.4">
      <c r="A15285" s="4">
        <v>501100100</v>
      </c>
      <c r="B15285">
        <v>8330001</v>
      </c>
    </row>
    <row r="15286" spans="1:2" x14ac:dyDescent="0.4">
      <c r="A15286" s="4">
        <v>501100100</v>
      </c>
      <c r="B15286">
        <v>8330002</v>
      </c>
    </row>
    <row r="15287" spans="1:2" x14ac:dyDescent="0.4">
      <c r="A15287" s="4">
        <v>501100100</v>
      </c>
      <c r="B15287">
        <v>8330100</v>
      </c>
    </row>
    <row r="15288" spans="1:2" x14ac:dyDescent="0.4">
      <c r="A15288" s="4">
        <v>501100100</v>
      </c>
      <c r="B15288">
        <v>8330101</v>
      </c>
    </row>
    <row r="15289" spans="1:2" x14ac:dyDescent="0.4">
      <c r="A15289" s="4">
        <v>501100100</v>
      </c>
      <c r="B15289">
        <v>8330102</v>
      </c>
    </row>
    <row r="15290" spans="1:2" x14ac:dyDescent="0.4">
      <c r="A15290" s="4">
        <v>501100100</v>
      </c>
      <c r="B15290">
        <v>8330200</v>
      </c>
    </row>
    <row r="15291" spans="1:2" x14ac:dyDescent="0.4">
      <c r="A15291" s="4">
        <v>501100100</v>
      </c>
      <c r="B15291">
        <v>8330201</v>
      </c>
    </row>
    <row r="15292" spans="1:2" x14ac:dyDescent="0.4">
      <c r="A15292" s="4">
        <v>501100100</v>
      </c>
      <c r="B15292">
        <v>8330202</v>
      </c>
    </row>
    <row r="15293" spans="1:2" x14ac:dyDescent="0.4">
      <c r="A15293" s="4">
        <v>501100100</v>
      </c>
      <c r="B15293">
        <v>8330300</v>
      </c>
    </row>
    <row r="15294" spans="1:2" x14ac:dyDescent="0.4">
      <c r="A15294" s="4">
        <v>501100100</v>
      </c>
      <c r="B15294">
        <v>8330301</v>
      </c>
    </row>
    <row r="15295" spans="1:2" x14ac:dyDescent="0.4">
      <c r="A15295" s="4">
        <v>501100100</v>
      </c>
      <c r="B15295">
        <v>8330302</v>
      </c>
    </row>
    <row r="15296" spans="1:2" x14ac:dyDescent="0.4">
      <c r="A15296" s="4">
        <v>501100100</v>
      </c>
      <c r="B15296">
        <v>8330400</v>
      </c>
    </row>
    <row r="15297" spans="1:2" x14ac:dyDescent="0.4">
      <c r="A15297" s="4">
        <v>501100100</v>
      </c>
      <c r="B15297">
        <v>8330401</v>
      </c>
    </row>
    <row r="15298" spans="1:2" x14ac:dyDescent="0.4">
      <c r="A15298" s="4">
        <v>501100100</v>
      </c>
      <c r="B15298">
        <v>8330600</v>
      </c>
    </row>
    <row r="15299" spans="1:2" x14ac:dyDescent="0.4">
      <c r="A15299" s="4">
        <v>501100100</v>
      </c>
      <c r="B15299">
        <v>8330601</v>
      </c>
    </row>
    <row r="15300" spans="1:2" x14ac:dyDescent="0.4">
      <c r="A15300" s="4">
        <v>501100100</v>
      </c>
      <c r="B15300">
        <v>8330602</v>
      </c>
    </row>
    <row r="15301" spans="1:2" x14ac:dyDescent="0.4">
      <c r="A15301" s="4">
        <v>501100100</v>
      </c>
      <c r="B15301">
        <v>8330900</v>
      </c>
    </row>
    <row r="15302" spans="1:2" x14ac:dyDescent="0.4">
      <c r="A15302" s="4">
        <v>501100100</v>
      </c>
      <c r="B15302">
        <v>8330910</v>
      </c>
    </row>
    <row r="15303" spans="1:2" x14ac:dyDescent="0.4">
      <c r="A15303" s="4">
        <v>501100100</v>
      </c>
      <c r="B15303">
        <v>8330920</v>
      </c>
    </row>
    <row r="15304" spans="1:2" x14ac:dyDescent="0.4">
      <c r="A15304" s="4">
        <v>501100100</v>
      </c>
      <c r="B15304">
        <v>8340000</v>
      </c>
    </row>
    <row r="15305" spans="1:2" x14ac:dyDescent="0.4">
      <c r="A15305" s="4">
        <v>501100100</v>
      </c>
      <c r="B15305">
        <v>8340001</v>
      </c>
    </row>
    <row r="15306" spans="1:2" x14ac:dyDescent="0.4">
      <c r="A15306" s="4">
        <v>501100100</v>
      </c>
      <c r="B15306">
        <v>8340002</v>
      </c>
    </row>
    <row r="15307" spans="1:2" x14ac:dyDescent="0.4">
      <c r="A15307" s="4">
        <v>501100100</v>
      </c>
      <c r="B15307">
        <v>8340100</v>
      </c>
    </row>
    <row r="15308" spans="1:2" x14ac:dyDescent="0.4">
      <c r="A15308" s="4">
        <v>501100100</v>
      </c>
      <c r="B15308">
        <v>8340101</v>
      </c>
    </row>
    <row r="15309" spans="1:2" x14ac:dyDescent="0.4">
      <c r="A15309" s="4">
        <v>501100100</v>
      </c>
      <c r="B15309">
        <v>8340102</v>
      </c>
    </row>
    <row r="15310" spans="1:2" x14ac:dyDescent="0.4">
      <c r="A15310" s="4">
        <v>501100100</v>
      </c>
      <c r="B15310">
        <v>8350000</v>
      </c>
    </row>
    <row r="15311" spans="1:2" x14ac:dyDescent="0.4">
      <c r="A15311" s="4">
        <v>501100100</v>
      </c>
      <c r="B15311">
        <v>8350001</v>
      </c>
    </row>
    <row r="15312" spans="1:2" x14ac:dyDescent="0.4">
      <c r="A15312" s="4">
        <v>501100100</v>
      </c>
      <c r="B15312">
        <v>8350002</v>
      </c>
    </row>
    <row r="15313" spans="1:2" x14ac:dyDescent="0.4">
      <c r="A15313" s="4">
        <v>501100100</v>
      </c>
      <c r="B15313">
        <v>8350200</v>
      </c>
    </row>
    <row r="15314" spans="1:2" x14ac:dyDescent="0.4">
      <c r="A15314" s="4">
        <v>501100100</v>
      </c>
      <c r="B15314">
        <v>8350201</v>
      </c>
    </row>
    <row r="15315" spans="1:2" x14ac:dyDescent="0.4">
      <c r="A15315" s="4">
        <v>501100100</v>
      </c>
      <c r="B15315">
        <v>8350202</v>
      </c>
    </row>
    <row r="15316" spans="1:2" x14ac:dyDescent="0.4">
      <c r="A15316" s="4">
        <v>501100100</v>
      </c>
      <c r="B15316">
        <v>8420000</v>
      </c>
    </row>
    <row r="15317" spans="1:2" x14ac:dyDescent="0.4">
      <c r="A15317" s="4">
        <v>501100100</v>
      </c>
      <c r="B15317">
        <v>8420001</v>
      </c>
    </row>
    <row r="15318" spans="1:2" x14ac:dyDescent="0.4">
      <c r="A15318" s="4">
        <v>501100100</v>
      </c>
      <c r="B15318">
        <v>8420002</v>
      </c>
    </row>
    <row r="15319" spans="1:2" x14ac:dyDescent="0.4">
      <c r="A15319" s="4">
        <v>501100100</v>
      </c>
      <c r="B15319">
        <v>8450000</v>
      </c>
    </row>
    <row r="15320" spans="1:2" x14ac:dyDescent="0.4">
      <c r="A15320" s="4">
        <v>501100100</v>
      </c>
      <c r="B15320">
        <v>8460100</v>
      </c>
    </row>
    <row r="15321" spans="1:2" x14ac:dyDescent="0.4">
      <c r="A15321" s="4">
        <v>501100100</v>
      </c>
      <c r="B15321">
        <v>8460300</v>
      </c>
    </row>
    <row r="15322" spans="1:2" x14ac:dyDescent="0.4">
      <c r="A15322" s="4">
        <v>501100100</v>
      </c>
      <c r="B15322">
        <v>8460500</v>
      </c>
    </row>
    <row r="15323" spans="1:2" x14ac:dyDescent="0.4">
      <c r="A15323" s="4">
        <v>501100100</v>
      </c>
      <c r="B15323">
        <v>8510000</v>
      </c>
    </row>
    <row r="15324" spans="1:2" x14ac:dyDescent="0.4">
      <c r="A15324" s="4">
        <v>501100100</v>
      </c>
      <c r="B15324">
        <v>8510001</v>
      </c>
    </row>
    <row r="15325" spans="1:2" x14ac:dyDescent="0.4">
      <c r="A15325" s="4">
        <v>501100100</v>
      </c>
      <c r="B15325">
        <v>8510002</v>
      </c>
    </row>
    <row r="15326" spans="1:2" x14ac:dyDescent="0.4">
      <c r="A15326" s="4">
        <v>501100100</v>
      </c>
      <c r="B15326">
        <v>8520000</v>
      </c>
    </row>
    <row r="15327" spans="1:2" x14ac:dyDescent="0.4">
      <c r="A15327" s="4">
        <v>501100100</v>
      </c>
      <c r="B15327">
        <v>8520001</v>
      </c>
    </row>
    <row r="15328" spans="1:2" x14ac:dyDescent="0.4">
      <c r="A15328" s="4">
        <v>501100100</v>
      </c>
      <c r="B15328">
        <v>8520002</v>
      </c>
    </row>
    <row r="15329" spans="1:2" x14ac:dyDescent="0.4">
      <c r="A15329" s="4">
        <v>501100100</v>
      </c>
      <c r="B15329">
        <v>8530000</v>
      </c>
    </row>
    <row r="15330" spans="1:2" x14ac:dyDescent="0.4">
      <c r="A15330" s="4">
        <v>501100100</v>
      </c>
      <c r="B15330">
        <v>8530100</v>
      </c>
    </row>
    <row r="15331" spans="1:2" x14ac:dyDescent="0.4">
      <c r="A15331" s="4">
        <v>501100100</v>
      </c>
      <c r="B15331">
        <v>8540000</v>
      </c>
    </row>
    <row r="15332" spans="1:2" x14ac:dyDescent="0.4">
      <c r="A15332" s="4">
        <v>501100100</v>
      </c>
      <c r="B15332">
        <v>8600100</v>
      </c>
    </row>
    <row r="15333" spans="1:2" x14ac:dyDescent="0.4">
      <c r="A15333" s="4">
        <v>501100100</v>
      </c>
      <c r="B15333">
        <v>8600101</v>
      </c>
    </row>
    <row r="15334" spans="1:2" x14ac:dyDescent="0.4">
      <c r="A15334" s="4">
        <v>501100100</v>
      </c>
      <c r="B15334">
        <v>8600102</v>
      </c>
    </row>
    <row r="15335" spans="1:2" x14ac:dyDescent="0.4">
      <c r="A15335" s="4">
        <v>501100100</v>
      </c>
      <c r="B15335">
        <v>8600200</v>
      </c>
    </row>
    <row r="15336" spans="1:2" x14ac:dyDescent="0.4">
      <c r="A15336" s="4">
        <v>501100100</v>
      </c>
      <c r="B15336">
        <v>8600201</v>
      </c>
    </row>
    <row r="15337" spans="1:2" x14ac:dyDescent="0.4">
      <c r="A15337" s="4">
        <v>501100100</v>
      </c>
      <c r="B15337">
        <v>8600202</v>
      </c>
    </row>
    <row r="15338" spans="1:2" x14ac:dyDescent="0.4">
      <c r="A15338" s="4">
        <v>501100100</v>
      </c>
      <c r="B15338">
        <v>8610300</v>
      </c>
    </row>
    <row r="15339" spans="1:2" x14ac:dyDescent="0.4">
      <c r="A15339" s="4">
        <v>501100100</v>
      </c>
      <c r="B15339">
        <v>8610400</v>
      </c>
    </row>
    <row r="15340" spans="1:2" x14ac:dyDescent="0.4">
      <c r="A15340" s="4">
        <v>501100100</v>
      </c>
      <c r="B15340">
        <v>8610500</v>
      </c>
    </row>
    <row r="15341" spans="1:2" x14ac:dyDescent="0.4">
      <c r="A15341" s="4">
        <v>501100100</v>
      </c>
      <c r="B15341">
        <v>8610600</v>
      </c>
    </row>
    <row r="15342" spans="1:2" x14ac:dyDescent="0.4">
      <c r="A15342" s="4">
        <v>501100100</v>
      </c>
      <c r="B15342">
        <v>8610700</v>
      </c>
    </row>
    <row r="15343" spans="1:2" x14ac:dyDescent="0.4">
      <c r="A15343" s="4">
        <v>501100100</v>
      </c>
      <c r="B15343">
        <v>8610710</v>
      </c>
    </row>
    <row r="15344" spans="1:2" x14ac:dyDescent="0.4">
      <c r="A15344" s="4">
        <v>501100100</v>
      </c>
      <c r="B15344">
        <v>8610720</v>
      </c>
    </row>
    <row r="15345" spans="1:2" x14ac:dyDescent="0.4">
      <c r="A15345" s="4">
        <v>501100100</v>
      </c>
      <c r="B15345">
        <v>8620000</v>
      </c>
    </row>
    <row r="15346" spans="1:2" x14ac:dyDescent="0.4">
      <c r="A15346" s="4">
        <v>501100100</v>
      </c>
      <c r="B15346">
        <v>8620010</v>
      </c>
    </row>
    <row r="15347" spans="1:2" x14ac:dyDescent="0.4">
      <c r="A15347" s="4">
        <v>501100100</v>
      </c>
      <c r="B15347">
        <v>8620020</v>
      </c>
    </row>
    <row r="15348" spans="1:2" x14ac:dyDescent="0.4">
      <c r="A15348" s="4">
        <v>501100100</v>
      </c>
      <c r="B15348">
        <v>8620100</v>
      </c>
    </row>
    <row r="15349" spans="1:2" x14ac:dyDescent="0.4">
      <c r="A15349" s="4">
        <v>501100100</v>
      </c>
      <c r="B15349">
        <v>8620110</v>
      </c>
    </row>
    <row r="15350" spans="1:2" x14ac:dyDescent="0.4">
      <c r="A15350" s="4">
        <v>501100100</v>
      </c>
      <c r="B15350">
        <v>8620120</v>
      </c>
    </row>
    <row r="15351" spans="1:2" x14ac:dyDescent="0.4">
      <c r="A15351" s="4">
        <v>501100100</v>
      </c>
      <c r="B15351">
        <v>8630000</v>
      </c>
    </row>
    <row r="15352" spans="1:2" x14ac:dyDescent="0.4">
      <c r="A15352" s="4">
        <v>501100100</v>
      </c>
      <c r="B15352">
        <v>8630000</v>
      </c>
    </row>
    <row r="15353" spans="1:2" x14ac:dyDescent="0.4">
      <c r="A15353" s="4">
        <v>501100100</v>
      </c>
      <c r="B15353">
        <v>8630000</v>
      </c>
    </row>
    <row r="15354" spans="1:2" x14ac:dyDescent="0.4">
      <c r="A15354" s="4">
        <v>501100100</v>
      </c>
      <c r="B15354">
        <v>8630100</v>
      </c>
    </row>
    <row r="15355" spans="1:2" x14ac:dyDescent="0.4">
      <c r="A15355" s="4">
        <v>501100100</v>
      </c>
      <c r="B15355">
        <v>8630100</v>
      </c>
    </row>
    <row r="15356" spans="1:2" x14ac:dyDescent="0.4">
      <c r="A15356" s="4">
        <v>501100100</v>
      </c>
      <c r="B15356">
        <v>8630100</v>
      </c>
    </row>
    <row r="15357" spans="1:2" x14ac:dyDescent="0.4">
      <c r="A15357" s="4">
        <v>501100100</v>
      </c>
      <c r="B15357">
        <v>8630200</v>
      </c>
    </row>
    <row r="15358" spans="1:2" x14ac:dyDescent="0.4">
      <c r="A15358" s="4">
        <v>501100100</v>
      </c>
      <c r="B15358">
        <v>8630300</v>
      </c>
    </row>
    <row r="15359" spans="1:2" x14ac:dyDescent="0.4">
      <c r="A15359" s="4">
        <v>501100100</v>
      </c>
      <c r="B15359">
        <v>8630400</v>
      </c>
    </row>
    <row r="15360" spans="1:2" x14ac:dyDescent="0.4">
      <c r="A15360" s="4">
        <v>501100100</v>
      </c>
      <c r="B15360">
        <v>8630500</v>
      </c>
    </row>
    <row r="15361" spans="1:2" x14ac:dyDescent="0.4">
      <c r="A15361" s="4">
        <v>501100100</v>
      </c>
      <c r="B15361">
        <v>8630600</v>
      </c>
    </row>
    <row r="15362" spans="1:2" x14ac:dyDescent="0.4">
      <c r="A15362" s="4">
        <v>501100100</v>
      </c>
      <c r="B15362">
        <v>8630700</v>
      </c>
    </row>
    <row r="15363" spans="1:2" x14ac:dyDescent="0.4">
      <c r="A15363" s="4">
        <v>501100100</v>
      </c>
      <c r="B15363">
        <v>8630800</v>
      </c>
    </row>
    <row r="15364" spans="1:2" x14ac:dyDescent="0.4">
      <c r="A15364" s="4">
        <v>501100100</v>
      </c>
      <c r="B15364">
        <v>8652000</v>
      </c>
    </row>
    <row r="15365" spans="1:2" x14ac:dyDescent="0.4">
      <c r="A15365" s="4">
        <v>501100100</v>
      </c>
      <c r="B15365">
        <v>8652010</v>
      </c>
    </row>
    <row r="15366" spans="1:2" x14ac:dyDescent="0.4">
      <c r="A15366" s="4">
        <v>501100100</v>
      </c>
      <c r="B15366">
        <v>8652020</v>
      </c>
    </row>
    <row r="15367" spans="1:2" x14ac:dyDescent="0.4">
      <c r="A15367" s="4">
        <v>501100100</v>
      </c>
      <c r="B15367">
        <v>8652100</v>
      </c>
    </row>
    <row r="15368" spans="1:2" x14ac:dyDescent="0.4">
      <c r="A15368" s="4">
        <v>501100100</v>
      </c>
      <c r="B15368">
        <v>8652110</v>
      </c>
    </row>
    <row r="15369" spans="1:2" x14ac:dyDescent="0.4">
      <c r="A15369" s="4">
        <v>501100100</v>
      </c>
      <c r="B15369">
        <v>8652120</v>
      </c>
    </row>
    <row r="15370" spans="1:2" x14ac:dyDescent="0.4">
      <c r="A15370" s="4">
        <v>501100100</v>
      </c>
      <c r="B15370">
        <v>8660000</v>
      </c>
    </row>
    <row r="15371" spans="1:2" x14ac:dyDescent="0.4">
      <c r="A15371" s="4">
        <v>501100100</v>
      </c>
      <c r="B15371">
        <v>8660001</v>
      </c>
    </row>
    <row r="15372" spans="1:2" x14ac:dyDescent="0.4">
      <c r="A15372" s="4">
        <v>501100100</v>
      </c>
      <c r="B15372">
        <v>8660002</v>
      </c>
    </row>
    <row r="15373" spans="1:2" x14ac:dyDescent="0.4">
      <c r="A15373" s="4">
        <v>501100100</v>
      </c>
      <c r="B15373">
        <v>8660100</v>
      </c>
    </row>
    <row r="15374" spans="1:2" x14ac:dyDescent="0.4">
      <c r="A15374" s="4">
        <v>501100100</v>
      </c>
      <c r="B15374">
        <v>8660101</v>
      </c>
    </row>
    <row r="15375" spans="1:2" x14ac:dyDescent="0.4">
      <c r="A15375" s="4">
        <v>501100100</v>
      </c>
      <c r="B15375">
        <v>8660102</v>
      </c>
    </row>
    <row r="15376" spans="1:2" x14ac:dyDescent="0.4">
      <c r="A15376" s="4">
        <v>501100100</v>
      </c>
      <c r="B15376">
        <v>8670000</v>
      </c>
    </row>
    <row r="15377" spans="1:2" x14ac:dyDescent="0.4">
      <c r="A15377" s="4">
        <v>501100100</v>
      </c>
      <c r="B15377">
        <v>8670001</v>
      </c>
    </row>
    <row r="15378" spans="1:2" x14ac:dyDescent="0.4">
      <c r="A15378" s="4">
        <v>501100100</v>
      </c>
      <c r="B15378">
        <v>8670002</v>
      </c>
    </row>
    <row r="15379" spans="1:2" x14ac:dyDescent="0.4">
      <c r="A15379" s="4">
        <v>501100100</v>
      </c>
      <c r="B15379">
        <v>8670100</v>
      </c>
    </row>
    <row r="15380" spans="1:2" x14ac:dyDescent="0.4">
      <c r="A15380" s="4">
        <v>501100100</v>
      </c>
      <c r="B15380">
        <v>8670101</v>
      </c>
    </row>
    <row r="15381" spans="1:2" x14ac:dyDescent="0.4">
      <c r="A15381" s="4">
        <v>501100100</v>
      </c>
      <c r="B15381">
        <v>8670102</v>
      </c>
    </row>
    <row r="15382" spans="1:2" x14ac:dyDescent="0.4">
      <c r="A15382" s="4">
        <v>501100100</v>
      </c>
      <c r="B15382">
        <v>8690000</v>
      </c>
    </row>
    <row r="15383" spans="1:2" x14ac:dyDescent="0.4">
      <c r="A15383" s="4">
        <v>501100100</v>
      </c>
      <c r="B15383">
        <v>8690100</v>
      </c>
    </row>
    <row r="15384" spans="1:2" x14ac:dyDescent="0.4">
      <c r="A15384" s="4">
        <v>501100100</v>
      </c>
      <c r="B15384">
        <v>8690200</v>
      </c>
    </row>
    <row r="15385" spans="1:2" x14ac:dyDescent="0.4">
      <c r="A15385" s="4">
        <v>501100100</v>
      </c>
      <c r="B15385">
        <v>8690300</v>
      </c>
    </row>
    <row r="15386" spans="1:2" x14ac:dyDescent="0.4">
      <c r="A15386" s="4">
        <v>501100100</v>
      </c>
      <c r="B15386">
        <v>8690400</v>
      </c>
    </row>
    <row r="15387" spans="1:2" x14ac:dyDescent="0.4">
      <c r="A15387" s="4">
        <v>501100100</v>
      </c>
      <c r="B15387">
        <v>8320500</v>
      </c>
    </row>
    <row r="15388" spans="1:2" x14ac:dyDescent="0.4">
      <c r="A15388" s="4">
        <v>501100100</v>
      </c>
      <c r="B15388">
        <v>8320510</v>
      </c>
    </row>
    <row r="15389" spans="1:2" x14ac:dyDescent="0.4">
      <c r="A15389" s="4">
        <v>501100100</v>
      </c>
      <c r="B15389">
        <v>8320520</v>
      </c>
    </row>
    <row r="15390" spans="1:2" x14ac:dyDescent="0.4">
      <c r="A15390" s="4">
        <v>501100100</v>
      </c>
      <c r="B15390">
        <v>8320600</v>
      </c>
    </row>
    <row r="15391" spans="1:2" x14ac:dyDescent="0.4">
      <c r="A15391" s="4">
        <v>501100100</v>
      </c>
      <c r="B15391">
        <v>8320610</v>
      </c>
    </row>
    <row r="15392" spans="1:2" x14ac:dyDescent="0.4">
      <c r="A15392" s="4">
        <v>501100100</v>
      </c>
      <c r="B15392">
        <v>8320620</v>
      </c>
    </row>
    <row r="15393" spans="1:2" x14ac:dyDescent="0.4">
      <c r="A15393" s="4">
        <v>501100100</v>
      </c>
      <c r="B15393">
        <v>8320700</v>
      </c>
    </row>
    <row r="15394" spans="1:2" x14ac:dyDescent="0.4">
      <c r="A15394" s="4">
        <v>501100100</v>
      </c>
      <c r="B15394">
        <v>8320710</v>
      </c>
    </row>
    <row r="15395" spans="1:2" x14ac:dyDescent="0.4">
      <c r="A15395" s="4">
        <v>501100100</v>
      </c>
      <c r="B15395">
        <v>8320720</v>
      </c>
    </row>
    <row r="15396" spans="1:2" x14ac:dyDescent="0.4">
      <c r="A15396" s="4">
        <v>501100200</v>
      </c>
      <c r="B15396">
        <v>0</v>
      </c>
    </row>
    <row r="15397" spans="1:2" x14ac:dyDescent="0.4">
      <c r="A15397" s="4">
        <v>501100200</v>
      </c>
      <c r="B15397">
        <v>8100100</v>
      </c>
    </row>
    <row r="15398" spans="1:2" x14ac:dyDescent="0.4">
      <c r="A15398" s="4">
        <v>501100200</v>
      </c>
      <c r="B15398">
        <v>8100101</v>
      </c>
    </row>
    <row r="15399" spans="1:2" x14ac:dyDescent="0.4">
      <c r="A15399" s="4">
        <v>501100200</v>
      </c>
      <c r="B15399">
        <v>8100102</v>
      </c>
    </row>
    <row r="15400" spans="1:2" x14ac:dyDescent="0.4">
      <c r="A15400" s="4">
        <v>501100200</v>
      </c>
      <c r="B15400">
        <v>8100200</v>
      </c>
    </row>
    <row r="15401" spans="1:2" x14ac:dyDescent="0.4">
      <c r="A15401" s="4">
        <v>501100200</v>
      </c>
      <c r="B15401">
        <v>8100201</v>
      </c>
    </row>
    <row r="15402" spans="1:2" x14ac:dyDescent="0.4">
      <c r="A15402" s="4">
        <v>501100200</v>
      </c>
      <c r="B15402">
        <v>8100202</v>
      </c>
    </row>
    <row r="15403" spans="1:2" x14ac:dyDescent="0.4">
      <c r="A15403" s="4">
        <v>501100200</v>
      </c>
      <c r="B15403">
        <v>8100300</v>
      </c>
    </row>
    <row r="15404" spans="1:2" x14ac:dyDescent="0.4">
      <c r="A15404" s="4">
        <v>501100200</v>
      </c>
      <c r="B15404">
        <v>8100301</v>
      </c>
    </row>
    <row r="15405" spans="1:2" x14ac:dyDescent="0.4">
      <c r="A15405" s="4">
        <v>501100200</v>
      </c>
      <c r="B15405">
        <v>8100302</v>
      </c>
    </row>
    <row r="15406" spans="1:2" x14ac:dyDescent="0.4">
      <c r="A15406" s="4">
        <v>501100200</v>
      </c>
      <c r="B15406">
        <v>8100400</v>
      </c>
    </row>
    <row r="15407" spans="1:2" x14ac:dyDescent="0.4">
      <c r="A15407" s="4">
        <v>501100200</v>
      </c>
      <c r="B15407">
        <v>8100401</v>
      </c>
    </row>
    <row r="15408" spans="1:2" x14ac:dyDescent="0.4">
      <c r="A15408" s="4">
        <v>501100200</v>
      </c>
      <c r="B15408">
        <v>8100402</v>
      </c>
    </row>
    <row r="15409" spans="1:2" x14ac:dyDescent="0.4">
      <c r="A15409" s="4">
        <v>501100200</v>
      </c>
      <c r="B15409">
        <v>8130000</v>
      </c>
    </row>
    <row r="15410" spans="1:2" x14ac:dyDescent="0.4">
      <c r="A15410" s="4">
        <v>501100200</v>
      </c>
      <c r="B15410">
        <v>8130001</v>
      </c>
    </row>
    <row r="15411" spans="1:2" x14ac:dyDescent="0.4">
      <c r="A15411" s="4">
        <v>501100200</v>
      </c>
      <c r="B15411">
        <v>8130002</v>
      </c>
    </row>
    <row r="15412" spans="1:2" x14ac:dyDescent="0.4">
      <c r="A15412" s="4">
        <v>501100200</v>
      </c>
      <c r="B15412">
        <v>8140000</v>
      </c>
    </row>
    <row r="15413" spans="1:2" x14ac:dyDescent="0.4">
      <c r="A15413" s="4">
        <v>501100200</v>
      </c>
      <c r="B15413">
        <v>8140001</v>
      </c>
    </row>
    <row r="15414" spans="1:2" x14ac:dyDescent="0.4">
      <c r="A15414" s="4">
        <v>501100200</v>
      </c>
      <c r="B15414">
        <v>8140002</v>
      </c>
    </row>
    <row r="15415" spans="1:2" x14ac:dyDescent="0.4">
      <c r="A15415" s="4">
        <v>501100200</v>
      </c>
      <c r="B15415">
        <v>8200100</v>
      </c>
    </row>
    <row r="15416" spans="1:2" x14ac:dyDescent="0.4">
      <c r="A15416" s="4">
        <v>501100200</v>
      </c>
      <c r="B15416">
        <v>8200101</v>
      </c>
    </row>
    <row r="15417" spans="1:2" x14ac:dyDescent="0.4">
      <c r="A15417" s="4">
        <v>501100200</v>
      </c>
      <c r="B15417">
        <v>8200102</v>
      </c>
    </row>
    <row r="15418" spans="1:2" x14ac:dyDescent="0.4">
      <c r="A15418" s="4">
        <v>501100200</v>
      </c>
      <c r="B15418">
        <v>8200200</v>
      </c>
    </row>
    <row r="15419" spans="1:2" x14ac:dyDescent="0.4">
      <c r="A15419" s="4">
        <v>501100200</v>
      </c>
      <c r="B15419">
        <v>8200201</v>
      </c>
    </row>
    <row r="15420" spans="1:2" x14ac:dyDescent="0.4">
      <c r="A15420" s="4">
        <v>501100200</v>
      </c>
      <c r="B15420">
        <v>8200202</v>
      </c>
    </row>
    <row r="15421" spans="1:2" x14ac:dyDescent="0.4">
      <c r="A15421" s="4">
        <v>501100200</v>
      </c>
      <c r="B15421">
        <v>8200300</v>
      </c>
    </row>
    <row r="15422" spans="1:2" x14ac:dyDescent="0.4">
      <c r="A15422" s="4">
        <v>501100200</v>
      </c>
      <c r="B15422">
        <v>8200301</v>
      </c>
    </row>
    <row r="15423" spans="1:2" x14ac:dyDescent="0.4">
      <c r="A15423" s="4">
        <v>501100200</v>
      </c>
      <c r="B15423">
        <v>8200302</v>
      </c>
    </row>
    <row r="15424" spans="1:2" x14ac:dyDescent="0.4">
      <c r="A15424" s="4">
        <v>501100200</v>
      </c>
      <c r="B15424">
        <v>8200400</v>
      </c>
    </row>
    <row r="15425" spans="1:2" x14ac:dyDescent="0.4">
      <c r="A15425" s="4">
        <v>501100200</v>
      </c>
      <c r="B15425">
        <v>8200401</v>
      </c>
    </row>
    <row r="15426" spans="1:2" x14ac:dyDescent="0.4">
      <c r="A15426" s="4">
        <v>501100200</v>
      </c>
      <c r="B15426">
        <v>8200402</v>
      </c>
    </row>
    <row r="15427" spans="1:2" x14ac:dyDescent="0.4">
      <c r="A15427" s="4">
        <v>501100200</v>
      </c>
      <c r="B15427">
        <v>8210000</v>
      </c>
    </row>
    <row r="15428" spans="1:2" x14ac:dyDescent="0.4">
      <c r="A15428" s="4">
        <v>501100200</v>
      </c>
      <c r="B15428">
        <v>8210001</v>
      </c>
    </row>
    <row r="15429" spans="1:2" x14ac:dyDescent="0.4">
      <c r="A15429" s="4">
        <v>501100200</v>
      </c>
      <c r="B15429">
        <v>8210002</v>
      </c>
    </row>
    <row r="15430" spans="1:2" x14ac:dyDescent="0.4">
      <c r="A15430" s="4">
        <v>501100200</v>
      </c>
      <c r="B15430">
        <v>8210100</v>
      </c>
    </row>
    <row r="15431" spans="1:2" x14ac:dyDescent="0.4">
      <c r="A15431" s="4">
        <v>501100200</v>
      </c>
      <c r="B15431">
        <v>8210101</v>
      </c>
    </row>
    <row r="15432" spans="1:2" x14ac:dyDescent="0.4">
      <c r="A15432" s="4">
        <v>501100200</v>
      </c>
      <c r="B15432">
        <v>8210102</v>
      </c>
    </row>
    <row r="15433" spans="1:2" x14ac:dyDescent="0.4">
      <c r="A15433" s="4">
        <v>501100200</v>
      </c>
      <c r="B15433">
        <v>8210200</v>
      </c>
    </row>
    <row r="15434" spans="1:2" x14ac:dyDescent="0.4">
      <c r="A15434" s="4">
        <v>501100200</v>
      </c>
      <c r="B15434">
        <v>8210201</v>
      </c>
    </row>
    <row r="15435" spans="1:2" x14ac:dyDescent="0.4">
      <c r="A15435" s="4">
        <v>501100200</v>
      </c>
      <c r="B15435">
        <v>8210202</v>
      </c>
    </row>
    <row r="15436" spans="1:2" x14ac:dyDescent="0.4">
      <c r="A15436" s="4">
        <v>501100200</v>
      </c>
      <c r="B15436">
        <v>8210300</v>
      </c>
    </row>
    <row r="15437" spans="1:2" x14ac:dyDescent="0.4">
      <c r="A15437" s="4">
        <v>501100200</v>
      </c>
      <c r="B15437">
        <v>8210301</v>
      </c>
    </row>
    <row r="15438" spans="1:2" x14ac:dyDescent="0.4">
      <c r="A15438" s="4">
        <v>501100200</v>
      </c>
      <c r="B15438">
        <v>8210302</v>
      </c>
    </row>
    <row r="15439" spans="1:2" x14ac:dyDescent="0.4">
      <c r="A15439" s="4">
        <v>501100200</v>
      </c>
      <c r="B15439">
        <v>8210400</v>
      </c>
    </row>
    <row r="15440" spans="1:2" x14ac:dyDescent="0.4">
      <c r="A15440" s="4">
        <v>501100200</v>
      </c>
      <c r="B15440">
        <v>8210401</v>
      </c>
    </row>
    <row r="15441" spans="1:2" x14ac:dyDescent="0.4">
      <c r="A15441" s="4">
        <v>501100200</v>
      </c>
      <c r="B15441">
        <v>8210402</v>
      </c>
    </row>
    <row r="15442" spans="1:2" x14ac:dyDescent="0.4">
      <c r="A15442" s="4">
        <v>501100200</v>
      </c>
      <c r="B15442">
        <v>8210500</v>
      </c>
    </row>
    <row r="15443" spans="1:2" x14ac:dyDescent="0.4">
      <c r="A15443" s="4">
        <v>501100200</v>
      </c>
      <c r="B15443">
        <v>8210501</v>
      </c>
    </row>
    <row r="15444" spans="1:2" x14ac:dyDescent="0.4">
      <c r="A15444" s="4">
        <v>501100200</v>
      </c>
      <c r="B15444">
        <v>8210502</v>
      </c>
    </row>
    <row r="15445" spans="1:2" x14ac:dyDescent="0.4">
      <c r="A15445" s="4">
        <v>501100200</v>
      </c>
      <c r="B15445">
        <v>8210600</v>
      </c>
    </row>
    <row r="15446" spans="1:2" x14ac:dyDescent="0.4">
      <c r="A15446" s="4">
        <v>501100200</v>
      </c>
      <c r="B15446">
        <v>8210601</v>
      </c>
    </row>
    <row r="15447" spans="1:2" x14ac:dyDescent="0.4">
      <c r="A15447" s="4">
        <v>501100200</v>
      </c>
      <c r="B15447">
        <v>8210602</v>
      </c>
    </row>
    <row r="15448" spans="1:2" x14ac:dyDescent="0.4">
      <c r="A15448" s="4">
        <v>501100200</v>
      </c>
      <c r="B15448">
        <v>8220000</v>
      </c>
    </row>
    <row r="15449" spans="1:2" x14ac:dyDescent="0.4">
      <c r="A15449" s="4">
        <v>501100200</v>
      </c>
      <c r="B15449">
        <v>8220001</v>
      </c>
    </row>
    <row r="15450" spans="1:2" x14ac:dyDescent="0.4">
      <c r="A15450" s="4">
        <v>501100200</v>
      </c>
      <c r="B15450">
        <v>8220002</v>
      </c>
    </row>
    <row r="15451" spans="1:2" x14ac:dyDescent="0.4">
      <c r="A15451" s="4">
        <v>501100200</v>
      </c>
      <c r="B15451">
        <v>8300000</v>
      </c>
    </row>
    <row r="15452" spans="1:2" x14ac:dyDescent="0.4">
      <c r="A15452" s="4">
        <v>501100200</v>
      </c>
      <c r="B15452">
        <v>8300001</v>
      </c>
    </row>
    <row r="15453" spans="1:2" x14ac:dyDescent="0.4">
      <c r="A15453" s="4">
        <v>501100200</v>
      </c>
      <c r="B15453">
        <v>8300002</v>
      </c>
    </row>
    <row r="15454" spans="1:2" x14ac:dyDescent="0.4">
      <c r="A15454" s="4">
        <v>501100200</v>
      </c>
      <c r="B15454">
        <v>8310000</v>
      </c>
    </row>
    <row r="15455" spans="1:2" x14ac:dyDescent="0.4">
      <c r="A15455" s="4">
        <v>501100200</v>
      </c>
      <c r="B15455">
        <v>8310001</v>
      </c>
    </row>
    <row r="15456" spans="1:2" x14ac:dyDescent="0.4">
      <c r="A15456" s="4">
        <v>501100200</v>
      </c>
      <c r="B15456">
        <v>8310002</v>
      </c>
    </row>
    <row r="15457" spans="1:2" x14ac:dyDescent="0.4">
      <c r="A15457" s="4">
        <v>501100200</v>
      </c>
      <c r="B15457">
        <v>8320000</v>
      </c>
    </row>
    <row r="15458" spans="1:2" x14ac:dyDescent="0.4">
      <c r="A15458" s="4">
        <v>501100200</v>
      </c>
      <c r="B15458">
        <v>8320001</v>
      </c>
    </row>
    <row r="15459" spans="1:2" x14ac:dyDescent="0.4">
      <c r="A15459" s="4">
        <v>501100200</v>
      </c>
      <c r="B15459">
        <v>8320002</v>
      </c>
    </row>
    <row r="15460" spans="1:2" x14ac:dyDescent="0.4">
      <c r="A15460" s="4">
        <v>501100200</v>
      </c>
      <c r="B15460">
        <v>8320100</v>
      </c>
    </row>
    <row r="15461" spans="1:2" x14ac:dyDescent="0.4">
      <c r="A15461" s="4">
        <v>501100200</v>
      </c>
      <c r="B15461">
        <v>8320101</v>
      </c>
    </row>
    <row r="15462" spans="1:2" x14ac:dyDescent="0.4">
      <c r="A15462" s="4">
        <v>501100200</v>
      </c>
      <c r="B15462">
        <v>8320102</v>
      </c>
    </row>
    <row r="15463" spans="1:2" x14ac:dyDescent="0.4">
      <c r="A15463" s="4">
        <v>501100200</v>
      </c>
      <c r="B15463">
        <v>8320300</v>
      </c>
    </row>
    <row r="15464" spans="1:2" x14ac:dyDescent="0.4">
      <c r="A15464" s="4">
        <v>501100200</v>
      </c>
      <c r="B15464">
        <v>8320301</v>
      </c>
    </row>
    <row r="15465" spans="1:2" x14ac:dyDescent="0.4">
      <c r="A15465" s="4">
        <v>501100200</v>
      </c>
      <c r="B15465">
        <v>8320302</v>
      </c>
    </row>
    <row r="15466" spans="1:2" x14ac:dyDescent="0.4">
      <c r="A15466" s="4">
        <v>501100200</v>
      </c>
      <c r="B15466">
        <v>8320400</v>
      </c>
    </row>
    <row r="15467" spans="1:2" x14ac:dyDescent="0.4">
      <c r="A15467" s="4">
        <v>501100200</v>
      </c>
      <c r="B15467">
        <v>8320410</v>
      </c>
    </row>
    <row r="15468" spans="1:2" x14ac:dyDescent="0.4">
      <c r="A15468" s="4">
        <v>501100200</v>
      </c>
      <c r="B15468">
        <v>8320420</v>
      </c>
    </row>
    <row r="15469" spans="1:2" x14ac:dyDescent="0.4">
      <c r="A15469" s="4">
        <v>501100200</v>
      </c>
      <c r="B15469">
        <v>8330000</v>
      </c>
    </row>
    <row r="15470" spans="1:2" x14ac:dyDescent="0.4">
      <c r="A15470" s="4">
        <v>501100200</v>
      </c>
      <c r="B15470">
        <v>8330001</v>
      </c>
    </row>
    <row r="15471" spans="1:2" x14ac:dyDescent="0.4">
      <c r="A15471" s="4">
        <v>501100200</v>
      </c>
      <c r="B15471">
        <v>8330002</v>
      </c>
    </row>
    <row r="15472" spans="1:2" x14ac:dyDescent="0.4">
      <c r="A15472" s="4">
        <v>501100200</v>
      </c>
      <c r="B15472">
        <v>8330100</v>
      </c>
    </row>
    <row r="15473" spans="1:2" x14ac:dyDescent="0.4">
      <c r="A15473" s="4">
        <v>501100200</v>
      </c>
      <c r="B15473">
        <v>8330101</v>
      </c>
    </row>
    <row r="15474" spans="1:2" x14ac:dyDescent="0.4">
      <c r="A15474" s="4">
        <v>501100200</v>
      </c>
      <c r="B15474">
        <v>8330102</v>
      </c>
    </row>
    <row r="15475" spans="1:2" x14ac:dyDescent="0.4">
      <c r="A15475" s="4">
        <v>501100200</v>
      </c>
      <c r="B15475">
        <v>8330200</v>
      </c>
    </row>
    <row r="15476" spans="1:2" x14ac:dyDescent="0.4">
      <c r="A15476" s="4">
        <v>501100200</v>
      </c>
      <c r="B15476">
        <v>8330201</v>
      </c>
    </row>
    <row r="15477" spans="1:2" x14ac:dyDescent="0.4">
      <c r="A15477" s="4">
        <v>501100200</v>
      </c>
      <c r="B15477">
        <v>8330202</v>
      </c>
    </row>
    <row r="15478" spans="1:2" x14ac:dyDescent="0.4">
      <c r="A15478" s="4">
        <v>501100200</v>
      </c>
      <c r="B15478">
        <v>8330300</v>
      </c>
    </row>
    <row r="15479" spans="1:2" x14ac:dyDescent="0.4">
      <c r="A15479" s="4">
        <v>501100200</v>
      </c>
      <c r="B15479">
        <v>8330301</v>
      </c>
    </row>
    <row r="15480" spans="1:2" x14ac:dyDescent="0.4">
      <c r="A15480" s="4">
        <v>501100200</v>
      </c>
      <c r="B15480">
        <v>8330302</v>
      </c>
    </row>
    <row r="15481" spans="1:2" x14ac:dyDescent="0.4">
      <c r="A15481" s="4">
        <v>501100200</v>
      </c>
      <c r="B15481">
        <v>8330400</v>
      </c>
    </row>
    <row r="15482" spans="1:2" x14ac:dyDescent="0.4">
      <c r="A15482" s="4">
        <v>501100200</v>
      </c>
      <c r="B15482">
        <v>8330401</v>
      </c>
    </row>
    <row r="15483" spans="1:2" x14ac:dyDescent="0.4">
      <c r="A15483" s="4">
        <v>501100200</v>
      </c>
      <c r="B15483">
        <v>8330600</v>
      </c>
    </row>
    <row r="15484" spans="1:2" x14ac:dyDescent="0.4">
      <c r="A15484" s="4">
        <v>501100200</v>
      </c>
      <c r="B15484">
        <v>8330601</v>
      </c>
    </row>
    <row r="15485" spans="1:2" x14ac:dyDescent="0.4">
      <c r="A15485" s="4">
        <v>501100200</v>
      </c>
      <c r="B15485">
        <v>8330602</v>
      </c>
    </row>
    <row r="15486" spans="1:2" x14ac:dyDescent="0.4">
      <c r="A15486" s="4">
        <v>501100200</v>
      </c>
      <c r="B15486">
        <v>8330900</v>
      </c>
    </row>
    <row r="15487" spans="1:2" x14ac:dyDescent="0.4">
      <c r="A15487" s="4">
        <v>501100200</v>
      </c>
      <c r="B15487">
        <v>8330910</v>
      </c>
    </row>
    <row r="15488" spans="1:2" x14ac:dyDescent="0.4">
      <c r="A15488" s="4">
        <v>501100200</v>
      </c>
      <c r="B15488">
        <v>8330920</v>
      </c>
    </row>
    <row r="15489" spans="1:2" x14ac:dyDescent="0.4">
      <c r="A15489" s="4">
        <v>501100200</v>
      </c>
      <c r="B15489">
        <v>8340000</v>
      </c>
    </row>
    <row r="15490" spans="1:2" x14ac:dyDescent="0.4">
      <c r="A15490" s="4">
        <v>501100200</v>
      </c>
      <c r="B15490">
        <v>8340001</v>
      </c>
    </row>
    <row r="15491" spans="1:2" x14ac:dyDescent="0.4">
      <c r="A15491" s="4">
        <v>501100200</v>
      </c>
      <c r="B15491">
        <v>8340002</v>
      </c>
    </row>
    <row r="15492" spans="1:2" x14ac:dyDescent="0.4">
      <c r="A15492" s="4">
        <v>501100200</v>
      </c>
      <c r="B15492">
        <v>8340100</v>
      </c>
    </row>
    <row r="15493" spans="1:2" x14ac:dyDescent="0.4">
      <c r="A15493" s="4">
        <v>501100200</v>
      </c>
      <c r="B15493">
        <v>8340101</v>
      </c>
    </row>
    <row r="15494" spans="1:2" x14ac:dyDescent="0.4">
      <c r="A15494" s="4">
        <v>501100200</v>
      </c>
      <c r="B15494">
        <v>8340102</v>
      </c>
    </row>
    <row r="15495" spans="1:2" x14ac:dyDescent="0.4">
      <c r="A15495" s="4">
        <v>501100200</v>
      </c>
      <c r="B15495">
        <v>8350000</v>
      </c>
    </row>
    <row r="15496" spans="1:2" x14ac:dyDescent="0.4">
      <c r="A15496" s="4">
        <v>501100200</v>
      </c>
      <c r="B15496">
        <v>8350001</v>
      </c>
    </row>
    <row r="15497" spans="1:2" x14ac:dyDescent="0.4">
      <c r="A15497" s="4">
        <v>501100200</v>
      </c>
      <c r="B15497">
        <v>8350002</v>
      </c>
    </row>
    <row r="15498" spans="1:2" x14ac:dyDescent="0.4">
      <c r="A15498" s="4">
        <v>501100200</v>
      </c>
      <c r="B15498">
        <v>8350200</v>
      </c>
    </row>
    <row r="15499" spans="1:2" x14ac:dyDescent="0.4">
      <c r="A15499" s="4">
        <v>501100200</v>
      </c>
      <c r="B15499">
        <v>8350201</v>
      </c>
    </row>
    <row r="15500" spans="1:2" x14ac:dyDescent="0.4">
      <c r="A15500" s="4">
        <v>501100200</v>
      </c>
      <c r="B15500">
        <v>8350202</v>
      </c>
    </row>
    <row r="15501" spans="1:2" x14ac:dyDescent="0.4">
      <c r="A15501" s="4">
        <v>501100200</v>
      </c>
      <c r="B15501">
        <v>8420000</v>
      </c>
    </row>
    <row r="15502" spans="1:2" x14ac:dyDescent="0.4">
      <c r="A15502" s="4">
        <v>501100200</v>
      </c>
      <c r="B15502">
        <v>8420001</v>
      </c>
    </row>
    <row r="15503" spans="1:2" x14ac:dyDescent="0.4">
      <c r="A15503" s="4">
        <v>501100200</v>
      </c>
      <c r="B15503">
        <v>8420002</v>
      </c>
    </row>
    <row r="15504" spans="1:2" x14ac:dyDescent="0.4">
      <c r="A15504" s="4">
        <v>501100200</v>
      </c>
      <c r="B15504">
        <v>8450000</v>
      </c>
    </row>
    <row r="15505" spans="1:2" x14ac:dyDescent="0.4">
      <c r="A15505" s="4">
        <v>501100200</v>
      </c>
      <c r="B15505">
        <v>8460100</v>
      </c>
    </row>
    <row r="15506" spans="1:2" x14ac:dyDescent="0.4">
      <c r="A15506" s="4">
        <v>501100200</v>
      </c>
      <c r="B15506">
        <v>8460300</v>
      </c>
    </row>
    <row r="15507" spans="1:2" x14ac:dyDescent="0.4">
      <c r="A15507" s="4">
        <v>501100200</v>
      </c>
      <c r="B15507">
        <v>8460500</v>
      </c>
    </row>
    <row r="15508" spans="1:2" x14ac:dyDescent="0.4">
      <c r="A15508" s="4">
        <v>501100200</v>
      </c>
      <c r="B15508">
        <v>8510000</v>
      </c>
    </row>
    <row r="15509" spans="1:2" x14ac:dyDescent="0.4">
      <c r="A15509" s="4">
        <v>501100200</v>
      </c>
      <c r="B15509">
        <v>8510001</v>
      </c>
    </row>
    <row r="15510" spans="1:2" x14ac:dyDescent="0.4">
      <c r="A15510" s="4">
        <v>501100200</v>
      </c>
      <c r="B15510">
        <v>8510002</v>
      </c>
    </row>
    <row r="15511" spans="1:2" x14ac:dyDescent="0.4">
      <c r="A15511" s="4">
        <v>501100200</v>
      </c>
      <c r="B15511">
        <v>8520000</v>
      </c>
    </row>
    <row r="15512" spans="1:2" x14ac:dyDescent="0.4">
      <c r="A15512" s="4">
        <v>501100200</v>
      </c>
      <c r="B15512">
        <v>8520001</v>
      </c>
    </row>
    <row r="15513" spans="1:2" x14ac:dyDescent="0.4">
      <c r="A15513" s="4">
        <v>501100200</v>
      </c>
      <c r="B15513">
        <v>8520002</v>
      </c>
    </row>
    <row r="15514" spans="1:2" x14ac:dyDescent="0.4">
      <c r="A15514" s="4">
        <v>501100200</v>
      </c>
      <c r="B15514">
        <v>8530000</v>
      </c>
    </row>
    <row r="15515" spans="1:2" x14ac:dyDescent="0.4">
      <c r="A15515" s="4">
        <v>501100200</v>
      </c>
      <c r="B15515">
        <v>8530100</v>
      </c>
    </row>
    <row r="15516" spans="1:2" x14ac:dyDescent="0.4">
      <c r="A15516" s="4">
        <v>501100200</v>
      </c>
      <c r="B15516">
        <v>8540000</v>
      </c>
    </row>
    <row r="15517" spans="1:2" x14ac:dyDescent="0.4">
      <c r="A15517" s="4">
        <v>501100200</v>
      </c>
      <c r="B15517">
        <v>8600100</v>
      </c>
    </row>
    <row r="15518" spans="1:2" x14ac:dyDescent="0.4">
      <c r="A15518" s="4">
        <v>501100200</v>
      </c>
      <c r="B15518">
        <v>8600101</v>
      </c>
    </row>
    <row r="15519" spans="1:2" x14ac:dyDescent="0.4">
      <c r="A15519" s="4">
        <v>501100200</v>
      </c>
      <c r="B15519">
        <v>8600102</v>
      </c>
    </row>
    <row r="15520" spans="1:2" x14ac:dyDescent="0.4">
      <c r="A15520" s="4">
        <v>501100200</v>
      </c>
      <c r="B15520">
        <v>8600200</v>
      </c>
    </row>
    <row r="15521" spans="1:2" x14ac:dyDescent="0.4">
      <c r="A15521" s="4">
        <v>501100200</v>
      </c>
      <c r="B15521">
        <v>8600201</v>
      </c>
    </row>
    <row r="15522" spans="1:2" x14ac:dyDescent="0.4">
      <c r="A15522" s="4">
        <v>501100200</v>
      </c>
      <c r="B15522">
        <v>8600202</v>
      </c>
    </row>
    <row r="15523" spans="1:2" x14ac:dyDescent="0.4">
      <c r="A15523" s="4">
        <v>501100200</v>
      </c>
      <c r="B15523">
        <v>8610300</v>
      </c>
    </row>
    <row r="15524" spans="1:2" x14ac:dyDescent="0.4">
      <c r="A15524" s="4">
        <v>501100200</v>
      </c>
      <c r="B15524">
        <v>8610400</v>
      </c>
    </row>
    <row r="15525" spans="1:2" x14ac:dyDescent="0.4">
      <c r="A15525" s="4">
        <v>501100200</v>
      </c>
      <c r="B15525">
        <v>8610500</v>
      </c>
    </row>
    <row r="15526" spans="1:2" x14ac:dyDescent="0.4">
      <c r="A15526" s="4">
        <v>501100200</v>
      </c>
      <c r="B15526">
        <v>8610600</v>
      </c>
    </row>
    <row r="15527" spans="1:2" x14ac:dyDescent="0.4">
      <c r="A15527" s="4">
        <v>501100200</v>
      </c>
      <c r="B15527">
        <v>8610700</v>
      </c>
    </row>
    <row r="15528" spans="1:2" x14ac:dyDescent="0.4">
      <c r="A15528" s="4">
        <v>501100200</v>
      </c>
      <c r="B15528">
        <v>8610710</v>
      </c>
    </row>
    <row r="15529" spans="1:2" x14ac:dyDescent="0.4">
      <c r="A15529" s="4">
        <v>501100200</v>
      </c>
      <c r="B15529">
        <v>8610720</v>
      </c>
    </row>
    <row r="15530" spans="1:2" x14ac:dyDescent="0.4">
      <c r="A15530" s="4">
        <v>501100200</v>
      </c>
      <c r="B15530">
        <v>8620000</v>
      </c>
    </row>
    <row r="15531" spans="1:2" x14ac:dyDescent="0.4">
      <c r="A15531" s="4">
        <v>501100200</v>
      </c>
      <c r="B15531">
        <v>8620010</v>
      </c>
    </row>
    <row r="15532" spans="1:2" x14ac:dyDescent="0.4">
      <c r="A15532" s="4">
        <v>501100200</v>
      </c>
      <c r="B15532">
        <v>8620020</v>
      </c>
    </row>
    <row r="15533" spans="1:2" x14ac:dyDescent="0.4">
      <c r="A15533" s="4">
        <v>501100200</v>
      </c>
      <c r="B15533">
        <v>8620100</v>
      </c>
    </row>
    <row r="15534" spans="1:2" x14ac:dyDescent="0.4">
      <c r="A15534" s="4">
        <v>501100200</v>
      </c>
      <c r="B15534">
        <v>8620110</v>
      </c>
    </row>
    <row r="15535" spans="1:2" x14ac:dyDescent="0.4">
      <c r="A15535" s="4">
        <v>501100200</v>
      </c>
      <c r="B15535">
        <v>8620120</v>
      </c>
    </row>
    <row r="15536" spans="1:2" x14ac:dyDescent="0.4">
      <c r="A15536" s="4">
        <v>501100200</v>
      </c>
      <c r="B15536">
        <v>8630000</v>
      </c>
    </row>
    <row r="15537" spans="1:2" x14ac:dyDescent="0.4">
      <c r="A15537" s="4">
        <v>501100200</v>
      </c>
      <c r="B15537">
        <v>8630000</v>
      </c>
    </row>
    <row r="15538" spans="1:2" x14ac:dyDescent="0.4">
      <c r="A15538" s="4">
        <v>501100200</v>
      </c>
      <c r="B15538">
        <v>8630000</v>
      </c>
    </row>
    <row r="15539" spans="1:2" x14ac:dyDescent="0.4">
      <c r="A15539" s="4">
        <v>501100200</v>
      </c>
      <c r="B15539">
        <v>8630100</v>
      </c>
    </row>
    <row r="15540" spans="1:2" x14ac:dyDescent="0.4">
      <c r="A15540" s="4">
        <v>501100200</v>
      </c>
      <c r="B15540">
        <v>8630100</v>
      </c>
    </row>
    <row r="15541" spans="1:2" x14ac:dyDescent="0.4">
      <c r="A15541" s="4">
        <v>501100200</v>
      </c>
      <c r="B15541">
        <v>8630100</v>
      </c>
    </row>
    <row r="15542" spans="1:2" x14ac:dyDescent="0.4">
      <c r="A15542" s="4">
        <v>501100200</v>
      </c>
      <c r="B15542">
        <v>8630200</v>
      </c>
    </row>
    <row r="15543" spans="1:2" x14ac:dyDescent="0.4">
      <c r="A15543" s="4">
        <v>501100200</v>
      </c>
      <c r="B15543">
        <v>8630300</v>
      </c>
    </row>
    <row r="15544" spans="1:2" x14ac:dyDescent="0.4">
      <c r="A15544" s="4">
        <v>501100200</v>
      </c>
      <c r="B15544">
        <v>8630400</v>
      </c>
    </row>
    <row r="15545" spans="1:2" x14ac:dyDescent="0.4">
      <c r="A15545" s="4">
        <v>501100200</v>
      </c>
      <c r="B15545">
        <v>8630500</v>
      </c>
    </row>
    <row r="15546" spans="1:2" x14ac:dyDescent="0.4">
      <c r="A15546" s="4">
        <v>501100200</v>
      </c>
      <c r="B15546">
        <v>8630600</v>
      </c>
    </row>
    <row r="15547" spans="1:2" x14ac:dyDescent="0.4">
      <c r="A15547" s="4">
        <v>501100200</v>
      </c>
      <c r="B15547">
        <v>8630700</v>
      </c>
    </row>
    <row r="15548" spans="1:2" x14ac:dyDescent="0.4">
      <c r="A15548" s="4">
        <v>501100200</v>
      </c>
      <c r="B15548">
        <v>8630800</v>
      </c>
    </row>
    <row r="15549" spans="1:2" x14ac:dyDescent="0.4">
      <c r="A15549" s="4">
        <v>501100200</v>
      </c>
      <c r="B15549">
        <v>8652000</v>
      </c>
    </row>
    <row r="15550" spans="1:2" x14ac:dyDescent="0.4">
      <c r="A15550" s="4">
        <v>501100200</v>
      </c>
      <c r="B15550">
        <v>8652010</v>
      </c>
    </row>
    <row r="15551" spans="1:2" x14ac:dyDescent="0.4">
      <c r="A15551" s="4">
        <v>501100200</v>
      </c>
      <c r="B15551">
        <v>8652020</v>
      </c>
    </row>
    <row r="15552" spans="1:2" x14ac:dyDescent="0.4">
      <c r="A15552" s="4">
        <v>501100200</v>
      </c>
      <c r="B15552">
        <v>8652100</v>
      </c>
    </row>
    <row r="15553" spans="1:2" x14ac:dyDescent="0.4">
      <c r="A15553" s="4">
        <v>501100200</v>
      </c>
      <c r="B15553">
        <v>8652110</v>
      </c>
    </row>
    <row r="15554" spans="1:2" x14ac:dyDescent="0.4">
      <c r="A15554" s="4">
        <v>501100200</v>
      </c>
      <c r="B15554">
        <v>8652120</v>
      </c>
    </row>
    <row r="15555" spans="1:2" x14ac:dyDescent="0.4">
      <c r="A15555" s="4">
        <v>501100200</v>
      </c>
      <c r="B15555">
        <v>8660000</v>
      </c>
    </row>
    <row r="15556" spans="1:2" x14ac:dyDescent="0.4">
      <c r="A15556" s="4">
        <v>501100200</v>
      </c>
      <c r="B15556">
        <v>8660001</v>
      </c>
    </row>
    <row r="15557" spans="1:2" x14ac:dyDescent="0.4">
      <c r="A15557" s="4">
        <v>501100200</v>
      </c>
      <c r="B15557">
        <v>8660002</v>
      </c>
    </row>
    <row r="15558" spans="1:2" x14ac:dyDescent="0.4">
      <c r="A15558" s="4">
        <v>501100200</v>
      </c>
      <c r="B15558">
        <v>8660100</v>
      </c>
    </row>
    <row r="15559" spans="1:2" x14ac:dyDescent="0.4">
      <c r="A15559" s="4">
        <v>501100200</v>
      </c>
      <c r="B15559">
        <v>8660101</v>
      </c>
    </row>
    <row r="15560" spans="1:2" x14ac:dyDescent="0.4">
      <c r="A15560" s="4">
        <v>501100200</v>
      </c>
      <c r="B15560">
        <v>8660102</v>
      </c>
    </row>
    <row r="15561" spans="1:2" x14ac:dyDescent="0.4">
      <c r="A15561" s="4">
        <v>501100200</v>
      </c>
      <c r="B15561">
        <v>8670000</v>
      </c>
    </row>
    <row r="15562" spans="1:2" x14ac:dyDescent="0.4">
      <c r="A15562" s="4">
        <v>501100200</v>
      </c>
      <c r="B15562">
        <v>8670001</v>
      </c>
    </row>
    <row r="15563" spans="1:2" x14ac:dyDescent="0.4">
      <c r="A15563" s="4">
        <v>501100200</v>
      </c>
      <c r="B15563">
        <v>8670002</v>
      </c>
    </row>
    <row r="15564" spans="1:2" x14ac:dyDescent="0.4">
      <c r="A15564" s="4">
        <v>501100200</v>
      </c>
      <c r="B15564">
        <v>8670100</v>
      </c>
    </row>
    <row r="15565" spans="1:2" x14ac:dyDescent="0.4">
      <c r="A15565" s="4">
        <v>501100200</v>
      </c>
      <c r="B15565">
        <v>8670101</v>
      </c>
    </row>
    <row r="15566" spans="1:2" x14ac:dyDescent="0.4">
      <c r="A15566" s="4">
        <v>501100200</v>
      </c>
      <c r="B15566">
        <v>8670102</v>
      </c>
    </row>
    <row r="15567" spans="1:2" x14ac:dyDescent="0.4">
      <c r="A15567" s="4">
        <v>501100200</v>
      </c>
      <c r="B15567">
        <v>8690000</v>
      </c>
    </row>
    <row r="15568" spans="1:2" x14ac:dyDescent="0.4">
      <c r="A15568" s="4">
        <v>501100200</v>
      </c>
      <c r="B15568">
        <v>8690100</v>
      </c>
    </row>
    <row r="15569" spans="1:2" x14ac:dyDescent="0.4">
      <c r="A15569" s="4">
        <v>501100200</v>
      </c>
      <c r="B15569">
        <v>8690200</v>
      </c>
    </row>
    <row r="15570" spans="1:2" x14ac:dyDescent="0.4">
      <c r="A15570" s="4">
        <v>501100200</v>
      </c>
      <c r="B15570">
        <v>8690300</v>
      </c>
    </row>
    <row r="15571" spans="1:2" x14ac:dyDescent="0.4">
      <c r="A15571" s="4">
        <v>501100200</v>
      </c>
      <c r="B15571">
        <v>8690400</v>
      </c>
    </row>
    <row r="15572" spans="1:2" x14ac:dyDescent="0.4">
      <c r="A15572" s="4">
        <v>501100200</v>
      </c>
      <c r="B15572">
        <v>8320500</v>
      </c>
    </row>
    <row r="15573" spans="1:2" x14ac:dyDescent="0.4">
      <c r="A15573" s="4">
        <v>501100200</v>
      </c>
      <c r="B15573">
        <v>8320510</v>
      </c>
    </row>
    <row r="15574" spans="1:2" x14ac:dyDescent="0.4">
      <c r="A15574" s="4">
        <v>501100200</v>
      </c>
      <c r="B15574">
        <v>8320520</v>
      </c>
    </row>
    <row r="15575" spans="1:2" x14ac:dyDescent="0.4">
      <c r="A15575" s="4">
        <v>501100200</v>
      </c>
      <c r="B15575">
        <v>8320600</v>
      </c>
    </row>
    <row r="15576" spans="1:2" x14ac:dyDescent="0.4">
      <c r="A15576" s="4">
        <v>501100200</v>
      </c>
      <c r="B15576">
        <v>8320610</v>
      </c>
    </row>
    <row r="15577" spans="1:2" x14ac:dyDescent="0.4">
      <c r="A15577" s="4">
        <v>501100200</v>
      </c>
      <c r="B15577">
        <v>8320620</v>
      </c>
    </row>
    <row r="15578" spans="1:2" x14ac:dyDescent="0.4">
      <c r="A15578" s="4">
        <v>501100200</v>
      </c>
      <c r="B15578">
        <v>8320700</v>
      </c>
    </row>
    <row r="15579" spans="1:2" x14ac:dyDescent="0.4">
      <c r="A15579" s="4">
        <v>501100200</v>
      </c>
      <c r="B15579">
        <v>8320710</v>
      </c>
    </row>
    <row r="15580" spans="1:2" x14ac:dyDescent="0.4">
      <c r="A15580" s="4">
        <v>501100200</v>
      </c>
      <c r="B15580">
        <v>8320720</v>
      </c>
    </row>
    <row r="15581" spans="1:2" x14ac:dyDescent="0.4">
      <c r="A15581" s="4">
        <v>501200000</v>
      </c>
      <c r="B15581">
        <v>0</v>
      </c>
    </row>
    <row r="15582" spans="1:2" x14ac:dyDescent="0.4">
      <c r="A15582" s="4">
        <v>501200000</v>
      </c>
      <c r="B15582">
        <v>8100100</v>
      </c>
    </row>
    <row r="15583" spans="1:2" x14ac:dyDescent="0.4">
      <c r="A15583" s="4">
        <v>501200000</v>
      </c>
      <c r="B15583">
        <v>8100101</v>
      </c>
    </row>
    <row r="15584" spans="1:2" x14ac:dyDescent="0.4">
      <c r="A15584" s="4">
        <v>501200000</v>
      </c>
      <c r="B15584">
        <v>8100102</v>
      </c>
    </row>
    <row r="15585" spans="1:2" x14ac:dyDescent="0.4">
      <c r="A15585" s="4">
        <v>501200000</v>
      </c>
      <c r="B15585">
        <v>8100200</v>
      </c>
    </row>
    <row r="15586" spans="1:2" x14ac:dyDescent="0.4">
      <c r="A15586" s="4">
        <v>501200000</v>
      </c>
      <c r="B15586">
        <v>8100201</v>
      </c>
    </row>
    <row r="15587" spans="1:2" x14ac:dyDescent="0.4">
      <c r="A15587" s="4">
        <v>501200000</v>
      </c>
      <c r="B15587">
        <v>8100202</v>
      </c>
    </row>
    <row r="15588" spans="1:2" x14ac:dyDescent="0.4">
      <c r="A15588" s="4">
        <v>501200000</v>
      </c>
      <c r="B15588">
        <v>8100300</v>
      </c>
    </row>
    <row r="15589" spans="1:2" x14ac:dyDescent="0.4">
      <c r="A15589" s="4">
        <v>501200000</v>
      </c>
      <c r="B15589">
        <v>8100301</v>
      </c>
    </row>
    <row r="15590" spans="1:2" x14ac:dyDescent="0.4">
      <c r="A15590" s="4">
        <v>501200000</v>
      </c>
      <c r="B15590">
        <v>8100302</v>
      </c>
    </row>
    <row r="15591" spans="1:2" x14ac:dyDescent="0.4">
      <c r="A15591" s="4">
        <v>501200000</v>
      </c>
      <c r="B15591">
        <v>8100400</v>
      </c>
    </row>
    <row r="15592" spans="1:2" x14ac:dyDescent="0.4">
      <c r="A15592" s="4">
        <v>501200000</v>
      </c>
      <c r="B15592">
        <v>8100401</v>
      </c>
    </row>
    <row r="15593" spans="1:2" x14ac:dyDescent="0.4">
      <c r="A15593" s="4">
        <v>501200000</v>
      </c>
      <c r="B15593">
        <v>8100402</v>
      </c>
    </row>
    <row r="15594" spans="1:2" x14ac:dyDescent="0.4">
      <c r="A15594" s="4">
        <v>501200000</v>
      </c>
      <c r="B15594">
        <v>8130000</v>
      </c>
    </row>
    <row r="15595" spans="1:2" x14ac:dyDescent="0.4">
      <c r="A15595" s="4">
        <v>501200000</v>
      </c>
      <c r="B15595">
        <v>8130001</v>
      </c>
    </row>
    <row r="15596" spans="1:2" x14ac:dyDescent="0.4">
      <c r="A15596" s="4">
        <v>501200000</v>
      </c>
      <c r="B15596">
        <v>8130002</v>
      </c>
    </row>
    <row r="15597" spans="1:2" x14ac:dyDescent="0.4">
      <c r="A15597" s="4">
        <v>501200000</v>
      </c>
      <c r="B15597">
        <v>8140000</v>
      </c>
    </row>
    <row r="15598" spans="1:2" x14ac:dyDescent="0.4">
      <c r="A15598" s="4">
        <v>501200000</v>
      </c>
      <c r="B15598">
        <v>8140001</v>
      </c>
    </row>
    <row r="15599" spans="1:2" x14ac:dyDescent="0.4">
      <c r="A15599" s="4">
        <v>501200000</v>
      </c>
      <c r="B15599">
        <v>8140002</v>
      </c>
    </row>
    <row r="15600" spans="1:2" x14ac:dyDescent="0.4">
      <c r="A15600" s="4">
        <v>501200000</v>
      </c>
      <c r="B15600">
        <v>8200100</v>
      </c>
    </row>
    <row r="15601" spans="1:2" x14ac:dyDescent="0.4">
      <c r="A15601" s="4">
        <v>501200000</v>
      </c>
      <c r="B15601">
        <v>8200101</v>
      </c>
    </row>
    <row r="15602" spans="1:2" x14ac:dyDescent="0.4">
      <c r="A15602" s="4">
        <v>501200000</v>
      </c>
      <c r="B15602">
        <v>8200102</v>
      </c>
    </row>
    <row r="15603" spans="1:2" x14ac:dyDescent="0.4">
      <c r="A15603" s="4">
        <v>501200000</v>
      </c>
      <c r="B15603">
        <v>8200200</v>
      </c>
    </row>
    <row r="15604" spans="1:2" x14ac:dyDescent="0.4">
      <c r="A15604" s="4">
        <v>501200000</v>
      </c>
      <c r="B15604">
        <v>8200201</v>
      </c>
    </row>
    <row r="15605" spans="1:2" x14ac:dyDescent="0.4">
      <c r="A15605" s="4">
        <v>501200000</v>
      </c>
      <c r="B15605">
        <v>8200202</v>
      </c>
    </row>
    <row r="15606" spans="1:2" x14ac:dyDescent="0.4">
      <c r="A15606" s="4">
        <v>501200000</v>
      </c>
      <c r="B15606">
        <v>8200300</v>
      </c>
    </row>
    <row r="15607" spans="1:2" x14ac:dyDescent="0.4">
      <c r="A15607" s="4">
        <v>501200000</v>
      </c>
      <c r="B15607">
        <v>8200301</v>
      </c>
    </row>
    <row r="15608" spans="1:2" x14ac:dyDescent="0.4">
      <c r="A15608" s="4">
        <v>501200000</v>
      </c>
      <c r="B15608">
        <v>8200302</v>
      </c>
    </row>
    <row r="15609" spans="1:2" x14ac:dyDescent="0.4">
      <c r="A15609" s="4">
        <v>501200000</v>
      </c>
      <c r="B15609">
        <v>8200400</v>
      </c>
    </row>
    <row r="15610" spans="1:2" x14ac:dyDescent="0.4">
      <c r="A15610" s="4">
        <v>501200000</v>
      </c>
      <c r="B15610">
        <v>8200401</v>
      </c>
    </row>
    <row r="15611" spans="1:2" x14ac:dyDescent="0.4">
      <c r="A15611" s="4">
        <v>501200000</v>
      </c>
      <c r="B15611">
        <v>8200402</v>
      </c>
    </row>
    <row r="15612" spans="1:2" x14ac:dyDescent="0.4">
      <c r="A15612" s="4">
        <v>501200000</v>
      </c>
      <c r="B15612">
        <v>8210000</v>
      </c>
    </row>
    <row r="15613" spans="1:2" x14ac:dyDescent="0.4">
      <c r="A15613" s="4">
        <v>501200000</v>
      </c>
      <c r="B15613">
        <v>8210001</v>
      </c>
    </row>
    <row r="15614" spans="1:2" x14ac:dyDescent="0.4">
      <c r="A15614" s="4">
        <v>501200000</v>
      </c>
      <c r="B15614">
        <v>8210002</v>
      </c>
    </row>
    <row r="15615" spans="1:2" x14ac:dyDescent="0.4">
      <c r="A15615" s="4">
        <v>501200000</v>
      </c>
      <c r="B15615">
        <v>8210100</v>
      </c>
    </row>
    <row r="15616" spans="1:2" x14ac:dyDescent="0.4">
      <c r="A15616" s="4">
        <v>501200000</v>
      </c>
      <c r="B15616">
        <v>8210101</v>
      </c>
    </row>
    <row r="15617" spans="1:2" x14ac:dyDescent="0.4">
      <c r="A15617" s="4">
        <v>501200000</v>
      </c>
      <c r="B15617">
        <v>8210102</v>
      </c>
    </row>
    <row r="15618" spans="1:2" x14ac:dyDescent="0.4">
      <c r="A15618" s="4">
        <v>501200000</v>
      </c>
      <c r="B15618">
        <v>8210200</v>
      </c>
    </row>
    <row r="15619" spans="1:2" x14ac:dyDescent="0.4">
      <c r="A15619" s="4">
        <v>501200000</v>
      </c>
      <c r="B15619">
        <v>8210201</v>
      </c>
    </row>
    <row r="15620" spans="1:2" x14ac:dyDescent="0.4">
      <c r="A15620" s="4">
        <v>501200000</v>
      </c>
      <c r="B15620">
        <v>8210202</v>
      </c>
    </row>
    <row r="15621" spans="1:2" x14ac:dyDescent="0.4">
      <c r="A15621" s="4">
        <v>501200000</v>
      </c>
      <c r="B15621">
        <v>8210300</v>
      </c>
    </row>
    <row r="15622" spans="1:2" x14ac:dyDescent="0.4">
      <c r="A15622" s="4">
        <v>501200000</v>
      </c>
      <c r="B15622">
        <v>8210301</v>
      </c>
    </row>
    <row r="15623" spans="1:2" x14ac:dyDescent="0.4">
      <c r="A15623" s="4">
        <v>501200000</v>
      </c>
      <c r="B15623">
        <v>8210302</v>
      </c>
    </row>
    <row r="15624" spans="1:2" x14ac:dyDescent="0.4">
      <c r="A15624" s="4">
        <v>501200000</v>
      </c>
      <c r="B15624">
        <v>8210400</v>
      </c>
    </row>
    <row r="15625" spans="1:2" x14ac:dyDescent="0.4">
      <c r="A15625" s="4">
        <v>501200000</v>
      </c>
      <c r="B15625">
        <v>8210401</v>
      </c>
    </row>
    <row r="15626" spans="1:2" x14ac:dyDescent="0.4">
      <c r="A15626" s="4">
        <v>501200000</v>
      </c>
      <c r="B15626">
        <v>8210402</v>
      </c>
    </row>
    <row r="15627" spans="1:2" x14ac:dyDescent="0.4">
      <c r="A15627" s="4">
        <v>501200000</v>
      </c>
      <c r="B15627">
        <v>8210500</v>
      </c>
    </row>
    <row r="15628" spans="1:2" x14ac:dyDescent="0.4">
      <c r="A15628" s="4">
        <v>501200000</v>
      </c>
      <c r="B15628">
        <v>8210501</v>
      </c>
    </row>
    <row r="15629" spans="1:2" x14ac:dyDescent="0.4">
      <c r="A15629" s="4">
        <v>501200000</v>
      </c>
      <c r="B15629">
        <v>8210502</v>
      </c>
    </row>
    <row r="15630" spans="1:2" x14ac:dyDescent="0.4">
      <c r="A15630" s="4">
        <v>501200000</v>
      </c>
      <c r="B15630">
        <v>8210600</v>
      </c>
    </row>
    <row r="15631" spans="1:2" x14ac:dyDescent="0.4">
      <c r="A15631" s="4">
        <v>501200000</v>
      </c>
      <c r="B15631">
        <v>8210601</v>
      </c>
    </row>
    <row r="15632" spans="1:2" x14ac:dyDescent="0.4">
      <c r="A15632" s="4">
        <v>501200000</v>
      </c>
      <c r="B15632">
        <v>8210602</v>
      </c>
    </row>
    <row r="15633" spans="1:2" x14ac:dyDescent="0.4">
      <c r="A15633" s="4">
        <v>501200000</v>
      </c>
      <c r="B15633">
        <v>8220000</v>
      </c>
    </row>
    <row r="15634" spans="1:2" x14ac:dyDescent="0.4">
      <c r="A15634" s="4">
        <v>501200000</v>
      </c>
      <c r="B15634">
        <v>8220001</v>
      </c>
    </row>
    <row r="15635" spans="1:2" x14ac:dyDescent="0.4">
      <c r="A15635" s="4">
        <v>501200000</v>
      </c>
      <c r="B15635">
        <v>8220002</v>
      </c>
    </row>
    <row r="15636" spans="1:2" x14ac:dyDescent="0.4">
      <c r="A15636" s="4">
        <v>501200000</v>
      </c>
      <c r="B15636">
        <v>8300000</v>
      </c>
    </row>
    <row r="15637" spans="1:2" x14ac:dyDescent="0.4">
      <c r="A15637" s="4">
        <v>501200000</v>
      </c>
      <c r="B15637">
        <v>8300001</v>
      </c>
    </row>
    <row r="15638" spans="1:2" x14ac:dyDescent="0.4">
      <c r="A15638" s="4">
        <v>501200000</v>
      </c>
      <c r="B15638">
        <v>8300002</v>
      </c>
    </row>
    <row r="15639" spans="1:2" x14ac:dyDescent="0.4">
      <c r="A15639" s="4">
        <v>501200000</v>
      </c>
      <c r="B15639">
        <v>8310000</v>
      </c>
    </row>
    <row r="15640" spans="1:2" x14ac:dyDescent="0.4">
      <c r="A15640" s="4">
        <v>501200000</v>
      </c>
      <c r="B15640">
        <v>8310001</v>
      </c>
    </row>
    <row r="15641" spans="1:2" x14ac:dyDescent="0.4">
      <c r="A15641" s="4">
        <v>501200000</v>
      </c>
      <c r="B15641">
        <v>8310002</v>
      </c>
    </row>
    <row r="15642" spans="1:2" x14ac:dyDescent="0.4">
      <c r="A15642" s="4">
        <v>501200000</v>
      </c>
      <c r="B15642">
        <v>8320000</v>
      </c>
    </row>
    <row r="15643" spans="1:2" x14ac:dyDescent="0.4">
      <c r="A15643" s="4">
        <v>501200000</v>
      </c>
      <c r="B15643">
        <v>8320001</v>
      </c>
    </row>
    <row r="15644" spans="1:2" x14ac:dyDescent="0.4">
      <c r="A15644" s="4">
        <v>501200000</v>
      </c>
      <c r="B15644">
        <v>8320002</v>
      </c>
    </row>
    <row r="15645" spans="1:2" x14ac:dyDescent="0.4">
      <c r="A15645" s="4">
        <v>501200000</v>
      </c>
      <c r="B15645">
        <v>8320100</v>
      </c>
    </row>
    <row r="15646" spans="1:2" x14ac:dyDescent="0.4">
      <c r="A15646" s="4">
        <v>501200000</v>
      </c>
      <c r="B15646">
        <v>8320101</v>
      </c>
    </row>
    <row r="15647" spans="1:2" x14ac:dyDescent="0.4">
      <c r="A15647" s="4">
        <v>501200000</v>
      </c>
      <c r="B15647">
        <v>8320102</v>
      </c>
    </row>
    <row r="15648" spans="1:2" x14ac:dyDescent="0.4">
      <c r="A15648" s="4">
        <v>501200000</v>
      </c>
      <c r="B15648">
        <v>8320300</v>
      </c>
    </row>
    <row r="15649" spans="1:2" x14ac:dyDescent="0.4">
      <c r="A15649" s="4">
        <v>501200000</v>
      </c>
      <c r="B15649">
        <v>8320301</v>
      </c>
    </row>
    <row r="15650" spans="1:2" x14ac:dyDescent="0.4">
      <c r="A15650" s="4">
        <v>501200000</v>
      </c>
      <c r="B15650">
        <v>8320302</v>
      </c>
    </row>
    <row r="15651" spans="1:2" x14ac:dyDescent="0.4">
      <c r="A15651" s="4">
        <v>501200000</v>
      </c>
      <c r="B15651">
        <v>8320400</v>
      </c>
    </row>
    <row r="15652" spans="1:2" x14ac:dyDescent="0.4">
      <c r="A15652" s="4">
        <v>501200000</v>
      </c>
      <c r="B15652">
        <v>8320410</v>
      </c>
    </row>
    <row r="15653" spans="1:2" x14ac:dyDescent="0.4">
      <c r="A15653" s="4">
        <v>501200000</v>
      </c>
      <c r="B15653">
        <v>8320420</v>
      </c>
    </row>
    <row r="15654" spans="1:2" x14ac:dyDescent="0.4">
      <c r="A15654" s="4">
        <v>501200000</v>
      </c>
      <c r="B15654">
        <v>8330000</v>
      </c>
    </row>
    <row r="15655" spans="1:2" x14ac:dyDescent="0.4">
      <c r="A15655" s="4">
        <v>501200000</v>
      </c>
      <c r="B15655">
        <v>8330001</v>
      </c>
    </row>
    <row r="15656" spans="1:2" x14ac:dyDescent="0.4">
      <c r="A15656" s="4">
        <v>501200000</v>
      </c>
      <c r="B15656">
        <v>8330002</v>
      </c>
    </row>
    <row r="15657" spans="1:2" x14ac:dyDescent="0.4">
      <c r="A15657" s="4">
        <v>501200000</v>
      </c>
      <c r="B15657">
        <v>8330100</v>
      </c>
    </row>
    <row r="15658" spans="1:2" x14ac:dyDescent="0.4">
      <c r="A15658" s="4">
        <v>501200000</v>
      </c>
      <c r="B15658">
        <v>8330101</v>
      </c>
    </row>
    <row r="15659" spans="1:2" x14ac:dyDescent="0.4">
      <c r="A15659" s="4">
        <v>501200000</v>
      </c>
      <c r="B15659">
        <v>8330102</v>
      </c>
    </row>
    <row r="15660" spans="1:2" x14ac:dyDescent="0.4">
      <c r="A15660" s="4">
        <v>501200000</v>
      </c>
      <c r="B15660">
        <v>8330200</v>
      </c>
    </row>
    <row r="15661" spans="1:2" x14ac:dyDescent="0.4">
      <c r="A15661" s="4">
        <v>501200000</v>
      </c>
      <c r="B15661">
        <v>8330201</v>
      </c>
    </row>
    <row r="15662" spans="1:2" x14ac:dyDescent="0.4">
      <c r="A15662" s="4">
        <v>501200000</v>
      </c>
      <c r="B15662">
        <v>8330202</v>
      </c>
    </row>
    <row r="15663" spans="1:2" x14ac:dyDescent="0.4">
      <c r="A15663" s="4">
        <v>501200000</v>
      </c>
      <c r="B15663">
        <v>8330300</v>
      </c>
    </row>
    <row r="15664" spans="1:2" x14ac:dyDescent="0.4">
      <c r="A15664" s="4">
        <v>501200000</v>
      </c>
      <c r="B15664">
        <v>8330301</v>
      </c>
    </row>
    <row r="15665" spans="1:2" x14ac:dyDescent="0.4">
      <c r="A15665" s="4">
        <v>501200000</v>
      </c>
      <c r="B15665">
        <v>8330302</v>
      </c>
    </row>
    <row r="15666" spans="1:2" x14ac:dyDescent="0.4">
      <c r="A15666" s="4">
        <v>501200000</v>
      </c>
      <c r="B15666">
        <v>8330400</v>
      </c>
    </row>
    <row r="15667" spans="1:2" x14ac:dyDescent="0.4">
      <c r="A15667" s="4">
        <v>501200000</v>
      </c>
      <c r="B15667">
        <v>8330401</v>
      </c>
    </row>
    <row r="15668" spans="1:2" x14ac:dyDescent="0.4">
      <c r="A15668" s="4">
        <v>501200000</v>
      </c>
      <c r="B15668">
        <v>8330600</v>
      </c>
    </row>
    <row r="15669" spans="1:2" x14ac:dyDescent="0.4">
      <c r="A15669" s="4">
        <v>501200000</v>
      </c>
      <c r="B15669">
        <v>8330601</v>
      </c>
    </row>
    <row r="15670" spans="1:2" x14ac:dyDescent="0.4">
      <c r="A15670" s="4">
        <v>501200000</v>
      </c>
      <c r="B15670">
        <v>8330602</v>
      </c>
    </row>
    <row r="15671" spans="1:2" x14ac:dyDescent="0.4">
      <c r="A15671" s="4">
        <v>501200000</v>
      </c>
      <c r="B15671">
        <v>8330900</v>
      </c>
    </row>
    <row r="15672" spans="1:2" x14ac:dyDescent="0.4">
      <c r="A15672" s="4">
        <v>501200000</v>
      </c>
      <c r="B15672">
        <v>8330910</v>
      </c>
    </row>
    <row r="15673" spans="1:2" x14ac:dyDescent="0.4">
      <c r="A15673" s="4">
        <v>501200000</v>
      </c>
      <c r="B15673">
        <v>8330920</v>
      </c>
    </row>
    <row r="15674" spans="1:2" x14ac:dyDescent="0.4">
      <c r="A15674" s="4">
        <v>501200000</v>
      </c>
      <c r="B15674">
        <v>8340000</v>
      </c>
    </row>
    <row r="15675" spans="1:2" x14ac:dyDescent="0.4">
      <c r="A15675" s="4">
        <v>501200000</v>
      </c>
      <c r="B15675">
        <v>8340001</v>
      </c>
    </row>
    <row r="15676" spans="1:2" x14ac:dyDescent="0.4">
      <c r="A15676" s="4">
        <v>501200000</v>
      </c>
      <c r="B15676">
        <v>8340002</v>
      </c>
    </row>
    <row r="15677" spans="1:2" x14ac:dyDescent="0.4">
      <c r="A15677" s="4">
        <v>501200000</v>
      </c>
      <c r="B15677">
        <v>8340100</v>
      </c>
    </row>
    <row r="15678" spans="1:2" x14ac:dyDescent="0.4">
      <c r="A15678" s="4">
        <v>501200000</v>
      </c>
      <c r="B15678">
        <v>8340101</v>
      </c>
    </row>
    <row r="15679" spans="1:2" x14ac:dyDescent="0.4">
      <c r="A15679" s="4">
        <v>501200000</v>
      </c>
      <c r="B15679">
        <v>8340102</v>
      </c>
    </row>
    <row r="15680" spans="1:2" x14ac:dyDescent="0.4">
      <c r="A15680" s="4">
        <v>501200000</v>
      </c>
      <c r="B15680">
        <v>8350000</v>
      </c>
    </row>
    <row r="15681" spans="1:2" x14ac:dyDescent="0.4">
      <c r="A15681" s="4">
        <v>501200000</v>
      </c>
      <c r="B15681">
        <v>8350001</v>
      </c>
    </row>
    <row r="15682" spans="1:2" x14ac:dyDescent="0.4">
      <c r="A15682" s="4">
        <v>501200000</v>
      </c>
      <c r="B15682">
        <v>8350002</v>
      </c>
    </row>
    <row r="15683" spans="1:2" x14ac:dyDescent="0.4">
      <c r="A15683" s="4">
        <v>501200000</v>
      </c>
      <c r="B15683">
        <v>8350200</v>
      </c>
    </row>
    <row r="15684" spans="1:2" x14ac:dyDescent="0.4">
      <c r="A15684" s="4">
        <v>501200000</v>
      </c>
      <c r="B15684">
        <v>8350201</v>
      </c>
    </row>
    <row r="15685" spans="1:2" x14ac:dyDescent="0.4">
      <c r="A15685" s="4">
        <v>501200000</v>
      </c>
      <c r="B15685">
        <v>8350202</v>
      </c>
    </row>
    <row r="15686" spans="1:2" x14ac:dyDescent="0.4">
      <c r="A15686" s="4">
        <v>501200000</v>
      </c>
      <c r="B15686">
        <v>8420000</v>
      </c>
    </row>
    <row r="15687" spans="1:2" x14ac:dyDescent="0.4">
      <c r="A15687" s="4">
        <v>501200000</v>
      </c>
      <c r="B15687">
        <v>8420001</v>
      </c>
    </row>
    <row r="15688" spans="1:2" x14ac:dyDescent="0.4">
      <c r="A15688" s="4">
        <v>501200000</v>
      </c>
      <c r="B15688">
        <v>8420002</v>
      </c>
    </row>
    <row r="15689" spans="1:2" x14ac:dyDescent="0.4">
      <c r="A15689" s="4">
        <v>501200000</v>
      </c>
      <c r="B15689">
        <v>8450000</v>
      </c>
    </row>
    <row r="15690" spans="1:2" x14ac:dyDescent="0.4">
      <c r="A15690" s="4">
        <v>501200000</v>
      </c>
      <c r="B15690">
        <v>8460100</v>
      </c>
    </row>
    <row r="15691" spans="1:2" x14ac:dyDescent="0.4">
      <c r="A15691" s="4">
        <v>501200000</v>
      </c>
      <c r="B15691">
        <v>8460300</v>
      </c>
    </row>
    <row r="15692" spans="1:2" x14ac:dyDescent="0.4">
      <c r="A15692" s="4">
        <v>501200000</v>
      </c>
      <c r="B15692">
        <v>8460500</v>
      </c>
    </row>
    <row r="15693" spans="1:2" x14ac:dyDescent="0.4">
      <c r="A15693" s="4">
        <v>501200000</v>
      </c>
      <c r="B15693">
        <v>8510000</v>
      </c>
    </row>
    <row r="15694" spans="1:2" x14ac:dyDescent="0.4">
      <c r="A15694" s="4">
        <v>501200000</v>
      </c>
      <c r="B15694">
        <v>8510001</v>
      </c>
    </row>
    <row r="15695" spans="1:2" x14ac:dyDescent="0.4">
      <c r="A15695" s="4">
        <v>501200000</v>
      </c>
      <c r="B15695">
        <v>8510002</v>
      </c>
    </row>
    <row r="15696" spans="1:2" x14ac:dyDescent="0.4">
      <c r="A15696" s="4">
        <v>501200000</v>
      </c>
      <c r="B15696">
        <v>8520000</v>
      </c>
    </row>
    <row r="15697" spans="1:2" x14ac:dyDescent="0.4">
      <c r="A15697" s="4">
        <v>501200000</v>
      </c>
      <c r="B15697">
        <v>8520001</v>
      </c>
    </row>
    <row r="15698" spans="1:2" x14ac:dyDescent="0.4">
      <c r="A15698" s="4">
        <v>501200000</v>
      </c>
      <c r="B15698">
        <v>8520002</v>
      </c>
    </row>
    <row r="15699" spans="1:2" x14ac:dyDescent="0.4">
      <c r="A15699" s="4">
        <v>501200000</v>
      </c>
      <c r="B15699">
        <v>8530000</v>
      </c>
    </row>
    <row r="15700" spans="1:2" x14ac:dyDescent="0.4">
      <c r="A15700" s="4">
        <v>501200000</v>
      </c>
      <c r="B15700">
        <v>8530100</v>
      </c>
    </row>
    <row r="15701" spans="1:2" x14ac:dyDescent="0.4">
      <c r="A15701" s="4">
        <v>501200000</v>
      </c>
      <c r="B15701">
        <v>8540000</v>
      </c>
    </row>
    <row r="15702" spans="1:2" x14ac:dyDescent="0.4">
      <c r="A15702" s="4">
        <v>501200000</v>
      </c>
      <c r="B15702">
        <v>8600100</v>
      </c>
    </row>
    <row r="15703" spans="1:2" x14ac:dyDescent="0.4">
      <c r="A15703" s="4">
        <v>501200000</v>
      </c>
      <c r="B15703">
        <v>8600101</v>
      </c>
    </row>
    <row r="15704" spans="1:2" x14ac:dyDescent="0.4">
      <c r="A15704" s="4">
        <v>501200000</v>
      </c>
      <c r="B15704">
        <v>8600102</v>
      </c>
    </row>
    <row r="15705" spans="1:2" x14ac:dyDescent="0.4">
      <c r="A15705" s="4">
        <v>501200000</v>
      </c>
      <c r="B15705">
        <v>8600200</v>
      </c>
    </row>
    <row r="15706" spans="1:2" x14ac:dyDescent="0.4">
      <c r="A15706" s="4">
        <v>501200000</v>
      </c>
      <c r="B15706">
        <v>8600201</v>
      </c>
    </row>
    <row r="15707" spans="1:2" x14ac:dyDescent="0.4">
      <c r="A15707" s="4">
        <v>501200000</v>
      </c>
      <c r="B15707">
        <v>8600202</v>
      </c>
    </row>
    <row r="15708" spans="1:2" x14ac:dyDescent="0.4">
      <c r="A15708" s="4">
        <v>501200000</v>
      </c>
      <c r="B15708">
        <v>8610300</v>
      </c>
    </row>
    <row r="15709" spans="1:2" x14ac:dyDescent="0.4">
      <c r="A15709" s="4">
        <v>501200000</v>
      </c>
      <c r="B15709">
        <v>8610400</v>
      </c>
    </row>
    <row r="15710" spans="1:2" x14ac:dyDescent="0.4">
      <c r="A15710" s="4">
        <v>501200000</v>
      </c>
      <c r="B15710">
        <v>8610500</v>
      </c>
    </row>
    <row r="15711" spans="1:2" x14ac:dyDescent="0.4">
      <c r="A15711" s="4">
        <v>501200000</v>
      </c>
      <c r="B15711">
        <v>8610600</v>
      </c>
    </row>
    <row r="15712" spans="1:2" x14ac:dyDescent="0.4">
      <c r="A15712" s="4">
        <v>501200000</v>
      </c>
      <c r="B15712">
        <v>8610700</v>
      </c>
    </row>
    <row r="15713" spans="1:2" x14ac:dyDescent="0.4">
      <c r="A15713" s="4">
        <v>501200000</v>
      </c>
      <c r="B15713">
        <v>8610710</v>
      </c>
    </row>
    <row r="15714" spans="1:2" x14ac:dyDescent="0.4">
      <c r="A15714" s="4">
        <v>501200000</v>
      </c>
      <c r="B15714">
        <v>8610720</v>
      </c>
    </row>
    <row r="15715" spans="1:2" x14ac:dyDescent="0.4">
      <c r="A15715" s="4">
        <v>501200000</v>
      </c>
      <c r="B15715">
        <v>8620000</v>
      </c>
    </row>
    <row r="15716" spans="1:2" x14ac:dyDescent="0.4">
      <c r="A15716" s="4">
        <v>501200000</v>
      </c>
      <c r="B15716">
        <v>8620010</v>
      </c>
    </row>
    <row r="15717" spans="1:2" x14ac:dyDescent="0.4">
      <c r="A15717" s="4">
        <v>501200000</v>
      </c>
      <c r="B15717">
        <v>8620020</v>
      </c>
    </row>
    <row r="15718" spans="1:2" x14ac:dyDescent="0.4">
      <c r="A15718" s="4">
        <v>501200000</v>
      </c>
      <c r="B15718">
        <v>8620100</v>
      </c>
    </row>
    <row r="15719" spans="1:2" x14ac:dyDescent="0.4">
      <c r="A15719" s="4">
        <v>501200000</v>
      </c>
      <c r="B15719">
        <v>8620110</v>
      </c>
    </row>
    <row r="15720" spans="1:2" x14ac:dyDescent="0.4">
      <c r="A15720" s="4">
        <v>501200000</v>
      </c>
      <c r="B15720">
        <v>8620120</v>
      </c>
    </row>
    <row r="15721" spans="1:2" x14ac:dyDescent="0.4">
      <c r="A15721" s="4">
        <v>501200000</v>
      </c>
      <c r="B15721">
        <v>8630000</v>
      </c>
    </row>
    <row r="15722" spans="1:2" x14ac:dyDescent="0.4">
      <c r="A15722" s="4">
        <v>501200000</v>
      </c>
      <c r="B15722">
        <v>8630000</v>
      </c>
    </row>
    <row r="15723" spans="1:2" x14ac:dyDescent="0.4">
      <c r="A15723" s="4">
        <v>501200000</v>
      </c>
      <c r="B15723">
        <v>8630000</v>
      </c>
    </row>
    <row r="15724" spans="1:2" x14ac:dyDescent="0.4">
      <c r="A15724" s="4">
        <v>501200000</v>
      </c>
      <c r="B15724">
        <v>8630100</v>
      </c>
    </row>
    <row r="15725" spans="1:2" x14ac:dyDescent="0.4">
      <c r="A15725" s="4">
        <v>501200000</v>
      </c>
      <c r="B15725">
        <v>8630100</v>
      </c>
    </row>
    <row r="15726" spans="1:2" x14ac:dyDescent="0.4">
      <c r="A15726" s="4">
        <v>501200000</v>
      </c>
      <c r="B15726">
        <v>8630100</v>
      </c>
    </row>
    <row r="15727" spans="1:2" x14ac:dyDescent="0.4">
      <c r="A15727" s="4">
        <v>501200000</v>
      </c>
      <c r="B15727">
        <v>8630200</v>
      </c>
    </row>
    <row r="15728" spans="1:2" x14ac:dyDescent="0.4">
      <c r="A15728" s="4">
        <v>501200000</v>
      </c>
      <c r="B15728">
        <v>8630300</v>
      </c>
    </row>
    <row r="15729" spans="1:2" x14ac:dyDescent="0.4">
      <c r="A15729" s="4">
        <v>501200000</v>
      </c>
      <c r="B15729">
        <v>8630400</v>
      </c>
    </row>
    <row r="15730" spans="1:2" x14ac:dyDescent="0.4">
      <c r="A15730" s="4">
        <v>501200000</v>
      </c>
      <c r="B15730">
        <v>8630500</v>
      </c>
    </row>
    <row r="15731" spans="1:2" x14ac:dyDescent="0.4">
      <c r="A15731" s="4">
        <v>501200000</v>
      </c>
      <c r="B15731">
        <v>8630600</v>
      </c>
    </row>
    <row r="15732" spans="1:2" x14ac:dyDescent="0.4">
      <c r="A15732" s="4">
        <v>501200000</v>
      </c>
      <c r="B15732">
        <v>8630700</v>
      </c>
    </row>
    <row r="15733" spans="1:2" x14ac:dyDescent="0.4">
      <c r="A15733" s="4">
        <v>501200000</v>
      </c>
      <c r="B15733">
        <v>8630800</v>
      </c>
    </row>
    <row r="15734" spans="1:2" x14ac:dyDescent="0.4">
      <c r="A15734" s="4">
        <v>501200000</v>
      </c>
      <c r="B15734">
        <v>8652000</v>
      </c>
    </row>
    <row r="15735" spans="1:2" x14ac:dyDescent="0.4">
      <c r="A15735" s="4">
        <v>501200000</v>
      </c>
      <c r="B15735">
        <v>8652010</v>
      </c>
    </row>
    <row r="15736" spans="1:2" x14ac:dyDescent="0.4">
      <c r="A15736" s="4">
        <v>501200000</v>
      </c>
      <c r="B15736">
        <v>8652020</v>
      </c>
    </row>
    <row r="15737" spans="1:2" x14ac:dyDescent="0.4">
      <c r="A15737" s="4">
        <v>501200000</v>
      </c>
      <c r="B15737">
        <v>8652100</v>
      </c>
    </row>
    <row r="15738" spans="1:2" x14ac:dyDescent="0.4">
      <c r="A15738" s="4">
        <v>501200000</v>
      </c>
      <c r="B15738">
        <v>8652110</v>
      </c>
    </row>
    <row r="15739" spans="1:2" x14ac:dyDescent="0.4">
      <c r="A15739" s="4">
        <v>501200000</v>
      </c>
      <c r="B15739">
        <v>8652120</v>
      </c>
    </row>
    <row r="15740" spans="1:2" x14ac:dyDescent="0.4">
      <c r="A15740" s="4">
        <v>501200000</v>
      </c>
      <c r="B15740">
        <v>8660000</v>
      </c>
    </row>
    <row r="15741" spans="1:2" x14ac:dyDescent="0.4">
      <c r="A15741" s="4">
        <v>501200000</v>
      </c>
      <c r="B15741">
        <v>8660001</v>
      </c>
    </row>
    <row r="15742" spans="1:2" x14ac:dyDescent="0.4">
      <c r="A15742" s="4">
        <v>501200000</v>
      </c>
      <c r="B15742">
        <v>8660002</v>
      </c>
    </row>
    <row r="15743" spans="1:2" x14ac:dyDescent="0.4">
      <c r="A15743" s="4">
        <v>501200000</v>
      </c>
      <c r="B15743">
        <v>8660100</v>
      </c>
    </row>
    <row r="15744" spans="1:2" x14ac:dyDescent="0.4">
      <c r="A15744" s="4">
        <v>501200000</v>
      </c>
      <c r="B15744">
        <v>8660101</v>
      </c>
    </row>
    <row r="15745" spans="1:2" x14ac:dyDescent="0.4">
      <c r="A15745" s="4">
        <v>501200000</v>
      </c>
      <c r="B15745">
        <v>8660102</v>
      </c>
    </row>
    <row r="15746" spans="1:2" x14ac:dyDescent="0.4">
      <c r="A15746" s="4">
        <v>501200000</v>
      </c>
      <c r="B15746">
        <v>8670000</v>
      </c>
    </row>
    <row r="15747" spans="1:2" x14ac:dyDescent="0.4">
      <c r="A15747" s="4">
        <v>501200000</v>
      </c>
      <c r="B15747">
        <v>8670001</v>
      </c>
    </row>
    <row r="15748" spans="1:2" x14ac:dyDescent="0.4">
      <c r="A15748" s="4">
        <v>501200000</v>
      </c>
      <c r="B15748">
        <v>8670002</v>
      </c>
    </row>
    <row r="15749" spans="1:2" x14ac:dyDescent="0.4">
      <c r="A15749" s="4">
        <v>501200000</v>
      </c>
      <c r="B15749">
        <v>8670100</v>
      </c>
    </row>
    <row r="15750" spans="1:2" x14ac:dyDescent="0.4">
      <c r="A15750" s="4">
        <v>501200000</v>
      </c>
      <c r="B15750">
        <v>8670101</v>
      </c>
    </row>
    <row r="15751" spans="1:2" x14ac:dyDescent="0.4">
      <c r="A15751" s="4">
        <v>501200000</v>
      </c>
      <c r="B15751">
        <v>8670102</v>
      </c>
    </row>
    <row r="15752" spans="1:2" x14ac:dyDescent="0.4">
      <c r="A15752" s="4">
        <v>501200000</v>
      </c>
      <c r="B15752">
        <v>8690000</v>
      </c>
    </row>
    <row r="15753" spans="1:2" x14ac:dyDescent="0.4">
      <c r="A15753" s="4">
        <v>501200000</v>
      </c>
      <c r="B15753">
        <v>8690100</v>
      </c>
    </row>
    <row r="15754" spans="1:2" x14ac:dyDescent="0.4">
      <c r="A15754" s="4">
        <v>501200000</v>
      </c>
      <c r="B15754">
        <v>8690200</v>
      </c>
    </row>
    <row r="15755" spans="1:2" x14ac:dyDescent="0.4">
      <c r="A15755" s="4">
        <v>501200000</v>
      </c>
      <c r="B15755">
        <v>8690300</v>
      </c>
    </row>
    <row r="15756" spans="1:2" x14ac:dyDescent="0.4">
      <c r="A15756" s="4">
        <v>501200000</v>
      </c>
      <c r="B15756">
        <v>8690400</v>
      </c>
    </row>
    <row r="15757" spans="1:2" x14ac:dyDescent="0.4">
      <c r="A15757" s="4">
        <v>501200000</v>
      </c>
      <c r="B15757">
        <v>8320500</v>
      </c>
    </row>
    <row r="15758" spans="1:2" x14ac:dyDescent="0.4">
      <c r="A15758" s="4">
        <v>501200000</v>
      </c>
      <c r="B15758">
        <v>8320510</v>
      </c>
    </row>
    <row r="15759" spans="1:2" x14ac:dyDescent="0.4">
      <c r="A15759" s="4">
        <v>501200000</v>
      </c>
      <c r="B15759">
        <v>8320520</v>
      </c>
    </row>
    <row r="15760" spans="1:2" x14ac:dyDescent="0.4">
      <c r="A15760" s="4">
        <v>501200000</v>
      </c>
      <c r="B15760">
        <v>8320600</v>
      </c>
    </row>
    <row r="15761" spans="1:2" x14ac:dyDescent="0.4">
      <c r="A15761" s="4">
        <v>501200000</v>
      </c>
      <c r="B15761">
        <v>8320610</v>
      </c>
    </row>
    <row r="15762" spans="1:2" x14ac:dyDescent="0.4">
      <c r="A15762" s="4">
        <v>501200000</v>
      </c>
      <c r="B15762">
        <v>8320620</v>
      </c>
    </row>
    <row r="15763" spans="1:2" x14ac:dyDescent="0.4">
      <c r="A15763" s="4">
        <v>501200000</v>
      </c>
      <c r="B15763">
        <v>8320700</v>
      </c>
    </row>
    <row r="15764" spans="1:2" x14ac:dyDescent="0.4">
      <c r="A15764" s="4">
        <v>501200000</v>
      </c>
      <c r="B15764">
        <v>8320710</v>
      </c>
    </row>
    <row r="15765" spans="1:2" x14ac:dyDescent="0.4">
      <c r="A15765" s="4">
        <v>501200000</v>
      </c>
      <c r="B15765">
        <v>8320720</v>
      </c>
    </row>
    <row r="15766" spans="1:2" x14ac:dyDescent="0.4">
      <c r="A15766" s="4">
        <v>501200100</v>
      </c>
      <c r="B15766">
        <v>0</v>
      </c>
    </row>
    <row r="15767" spans="1:2" x14ac:dyDescent="0.4">
      <c r="A15767" s="4">
        <v>501200100</v>
      </c>
      <c r="B15767">
        <v>8100100</v>
      </c>
    </row>
    <row r="15768" spans="1:2" x14ac:dyDescent="0.4">
      <c r="A15768" s="4">
        <v>501200100</v>
      </c>
      <c r="B15768">
        <v>8100101</v>
      </c>
    </row>
    <row r="15769" spans="1:2" x14ac:dyDescent="0.4">
      <c r="A15769" s="4">
        <v>501200100</v>
      </c>
      <c r="B15769">
        <v>8100102</v>
      </c>
    </row>
    <row r="15770" spans="1:2" x14ac:dyDescent="0.4">
      <c r="A15770" s="4">
        <v>501200100</v>
      </c>
      <c r="B15770">
        <v>8100200</v>
      </c>
    </row>
    <row r="15771" spans="1:2" x14ac:dyDescent="0.4">
      <c r="A15771" s="4">
        <v>501200100</v>
      </c>
      <c r="B15771">
        <v>8100201</v>
      </c>
    </row>
    <row r="15772" spans="1:2" x14ac:dyDescent="0.4">
      <c r="A15772" s="4">
        <v>501200100</v>
      </c>
      <c r="B15772">
        <v>8100202</v>
      </c>
    </row>
    <row r="15773" spans="1:2" x14ac:dyDescent="0.4">
      <c r="A15773" s="4">
        <v>501200100</v>
      </c>
      <c r="B15773">
        <v>8100300</v>
      </c>
    </row>
    <row r="15774" spans="1:2" x14ac:dyDescent="0.4">
      <c r="A15774" s="4">
        <v>501200100</v>
      </c>
      <c r="B15774">
        <v>8100301</v>
      </c>
    </row>
    <row r="15775" spans="1:2" x14ac:dyDescent="0.4">
      <c r="A15775" s="4">
        <v>501200100</v>
      </c>
      <c r="B15775">
        <v>8100302</v>
      </c>
    </row>
    <row r="15776" spans="1:2" x14ac:dyDescent="0.4">
      <c r="A15776" s="4">
        <v>501200100</v>
      </c>
      <c r="B15776">
        <v>8100400</v>
      </c>
    </row>
    <row r="15777" spans="1:2" x14ac:dyDescent="0.4">
      <c r="A15777" s="4">
        <v>501200100</v>
      </c>
      <c r="B15777">
        <v>8100401</v>
      </c>
    </row>
    <row r="15778" spans="1:2" x14ac:dyDescent="0.4">
      <c r="A15778" s="4">
        <v>501200100</v>
      </c>
      <c r="B15778">
        <v>8100402</v>
      </c>
    </row>
    <row r="15779" spans="1:2" x14ac:dyDescent="0.4">
      <c r="A15779" s="4">
        <v>501200100</v>
      </c>
      <c r="B15779">
        <v>8130000</v>
      </c>
    </row>
    <row r="15780" spans="1:2" x14ac:dyDescent="0.4">
      <c r="A15780" s="4">
        <v>501200100</v>
      </c>
      <c r="B15780">
        <v>8130001</v>
      </c>
    </row>
    <row r="15781" spans="1:2" x14ac:dyDescent="0.4">
      <c r="A15781" s="4">
        <v>501200100</v>
      </c>
      <c r="B15781">
        <v>8130002</v>
      </c>
    </row>
    <row r="15782" spans="1:2" x14ac:dyDescent="0.4">
      <c r="A15782" s="4">
        <v>501200100</v>
      </c>
      <c r="B15782">
        <v>8140000</v>
      </c>
    </row>
    <row r="15783" spans="1:2" x14ac:dyDescent="0.4">
      <c r="A15783" s="4">
        <v>501200100</v>
      </c>
      <c r="B15783">
        <v>8140001</v>
      </c>
    </row>
    <row r="15784" spans="1:2" x14ac:dyDescent="0.4">
      <c r="A15784" s="4">
        <v>501200100</v>
      </c>
      <c r="B15784">
        <v>8140002</v>
      </c>
    </row>
    <row r="15785" spans="1:2" x14ac:dyDescent="0.4">
      <c r="A15785" s="4">
        <v>501200100</v>
      </c>
      <c r="B15785">
        <v>8200100</v>
      </c>
    </row>
    <row r="15786" spans="1:2" x14ac:dyDescent="0.4">
      <c r="A15786" s="4">
        <v>501200100</v>
      </c>
      <c r="B15786">
        <v>8200101</v>
      </c>
    </row>
    <row r="15787" spans="1:2" x14ac:dyDescent="0.4">
      <c r="A15787" s="4">
        <v>501200100</v>
      </c>
      <c r="B15787">
        <v>8200102</v>
      </c>
    </row>
    <row r="15788" spans="1:2" x14ac:dyDescent="0.4">
      <c r="A15788" s="4">
        <v>501200100</v>
      </c>
      <c r="B15788">
        <v>8200200</v>
      </c>
    </row>
    <row r="15789" spans="1:2" x14ac:dyDescent="0.4">
      <c r="A15789" s="4">
        <v>501200100</v>
      </c>
      <c r="B15789">
        <v>8200201</v>
      </c>
    </row>
    <row r="15790" spans="1:2" x14ac:dyDescent="0.4">
      <c r="A15790" s="4">
        <v>501200100</v>
      </c>
      <c r="B15790">
        <v>8200202</v>
      </c>
    </row>
    <row r="15791" spans="1:2" x14ac:dyDescent="0.4">
      <c r="A15791" s="4">
        <v>501200100</v>
      </c>
      <c r="B15791">
        <v>8200300</v>
      </c>
    </row>
    <row r="15792" spans="1:2" x14ac:dyDescent="0.4">
      <c r="A15792" s="4">
        <v>501200100</v>
      </c>
      <c r="B15792">
        <v>8200301</v>
      </c>
    </row>
    <row r="15793" spans="1:2" x14ac:dyDescent="0.4">
      <c r="A15793" s="4">
        <v>501200100</v>
      </c>
      <c r="B15793">
        <v>8200302</v>
      </c>
    </row>
    <row r="15794" spans="1:2" x14ac:dyDescent="0.4">
      <c r="A15794" s="4">
        <v>501200100</v>
      </c>
      <c r="B15794">
        <v>8200400</v>
      </c>
    </row>
    <row r="15795" spans="1:2" x14ac:dyDescent="0.4">
      <c r="A15795" s="4">
        <v>501200100</v>
      </c>
      <c r="B15795">
        <v>8200401</v>
      </c>
    </row>
    <row r="15796" spans="1:2" x14ac:dyDescent="0.4">
      <c r="A15796" s="4">
        <v>501200100</v>
      </c>
      <c r="B15796">
        <v>8200402</v>
      </c>
    </row>
    <row r="15797" spans="1:2" x14ac:dyDescent="0.4">
      <c r="A15797" s="4">
        <v>501200100</v>
      </c>
      <c r="B15797">
        <v>8210000</v>
      </c>
    </row>
    <row r="15798" spans="1:2" x14ac:dyDescent="0.4">
      <c r="A15798" s="4">
        <v>501200100</v>
      </c>
      <c r="B15798">
        <v>8210001</v>
      </c>
    </row>
    <row r="15799" spans="1:2" x14ac:dyDescent="0.4">
      <c r="A15799" s="4">
        <v>501200100</v>
      </c>
      <c r="B15799">
        <v>8210002</v>
      </c>
    </row>
    <row r="15800" spans="1:2" x14ac:dyDescent="0.4">
      <c r="A15800" s="4">
        <v>501200100</v>
      </c>
      <c r="B15800">
        <v>8210100</v>
      </c>
    </row>
    <row r="15801" spans="1:2" x14ac:dyDescent="0.4">
      <c r="A15801" s="4">
        <v>501200100</v>
      </c>
      <c r="B15801">
        <v>8210101</v>
      </c>
    </row>
    <row r="15802" spans="1:2" x14ac:dyDescent="0.4">
      <c r="A15802" s="4">
        <v>501200100</v>
      </c>
      <c r="B15802">
        <v>8210102</v>
      </c>
    </row>
    <row r="15803" spans="1:2" x14ac:dyDescent="0.4">
      <c r="A15803" s="4">
        <v>501200100</v>
      </c>
      <c r="B15803">
        <v>8210200</v>
      </c>
    </row>
    <row r="15804" spans="1:2" x14ac:dyDescent="0.4">
      <c r="A15804" s="4">
        <v>501200100</v>
      </c>
      <c r="B15804">
        <v>8210201</v>
      </c>
    </row>
    <row r="15805" spans="1:2" x14ac:dyDescent="0.4">
      <c r="A15805" s="4">
        <v>501200100</v>
      </c>
      <c r="B15805">
        <v>8210202</v>
      </c>
    </row>
    <row r="15806" spans="1:2" x14ac:dyDescent="0.4">
      <c r="A15806" s="4">
        <v>501200100</v>
      </c>
      <c r="B15806">
        <v>8210300</v>
      </c>
    </row>
    <row r="15807" spans="1:2" x14ac:dyDescent="0.4">
      <c r="A15807" s="4">
        <v>501200100</v>
      </c>
      <c r="B15807">
        <v>8210301</v>
      </c>
    </row>
    <row r="15808" spans="1:2" x14ac:dyDescent="0.4">
      <c r="A15808" s="4">
        <v>501200100</v>
      </c>
      <c r="B15808">
        <v>8210302</v>
      </c>
    </row>
    <row r="15809" spans="1:2" x14ac:dyDescent="0.4">
      <c r="A15809" s="4">
        <v>501200100</v>
      </c>
      <c r="B15809">
        <v>8210400</v>
      </c>
    </row>
    <row r="15810" spans="1:2" x14ac:dyDescent="0.4">
      <c r="A15810" s="4">
        <v>501200100</v>
      </c>
      <c r="B15810">
        <v>8210401</v>
      </c>
    </row>
    <row r="15811" spans="1:2" x14ac:dyDescent="0.4">
      <c r="A15811" s="4">
        <v>501200100</v>
      </c>
      <c r="B15811">
        <v>8210402</v>
      </c>
    </row>
    <row r="15812" spans="1:2" x14ac:dyDescent="0.4">
      <c r="A15812" s="4">
        <v>501200100</v>
      </c>
      <c r="B15812">
        <v>8210500</v>
      </c>
    </row>
    <row r="15813" spans="1:2" x14ac:dyDescent="0.4">
      <c r="A15813" s="4">
        <v>501200100</v>
      </c>
      <c r="B15813">
        <v>8210501</v>
      </c>
    </row>
    <row r="15814" spans="1:2" x14ac:dyDescent="0.4">
      <c r="A15814" s="4">
        <v>501200100</v>
      </c>
      <c r="B15814">
        <v>8210502</v>
      </c>
    </row>
    <row r="15815" spans="1:2" x14ac:dyDescent="0.4">
      <c r="A15815" s="4">
        <v>501200100</v>
      </c>
      <c r="B15815">
        <v>8210600</v>
      </c>
    </row>
    <row r="15816" spans="1:2" x14ac:dyDescent="0.4">
      <c r="A15816" s="4">
        <v>501200100</v>
      </c>
      <c r="B15816">
        <v>8210601</v>
      </c>
    </row>
    <row r="15817" spans="1:2" x14ac:dyDescent="0.4">
      <c r="A15817" s="4">
        <v>501200100</v>
      </c>
      <c r="B15817">
        <v>8210602</v>
      </c>
    </row>
    <row r="15818" spans="1:2" x14ac:dyDescent="0.4">
      <c r="A15818" s="4">
        <v>501200100</v>
      </c>
      <c r="B15818">
        <v>8220000</v>
      </c>
    </row>
    <row r="15819" spans="1:2" x14ac:dyDescent="0.4">
      <c r="A15819" s="4">
        <v>501200100</v>
      </c>
      <c r="B15819">
        <v>8220001</v>
      </c>
    </row>
    <row r="15820" spans="1:2" x14ac:dyDescent="0.4">
      <c r="A15820" s="4">
        <v>501200100</v>
      </c>
      <c r="B15820">
        <v>8220002</v>
      </c>
    </row>
    <row r="15821" spans="1:2" x14ac:dyDescent="0.4">
      <c r="A15821" s="4">
        <v>501200100</v>
      </c>
      <c r="B15821">
        <v>8300000</v>
      </c>
    </row>
    <row r="15822" spans="1:2" x14ac:dyDescent="0.4">
      <c r="A15822" s="4">
        <v>501200100</v>
      </c>
      <c r="B15822">
        <v>8300001</v>
      </c>
    </row>
    <row r="15823" spans="1:2" x14ac:dyDescent="0.4">
      <c r="A15823" s="4">
        <v>501200100</v>
      </c>
      <c r="B15823">
        <v>8300002</v>
      </c>
    </row>
    <row r="15824" spans="1:2" x14ac:dyDescent="0.4">
      <c r="A15824" s="4">
        <v>501200100</v>
      </c>
      <c r="B15824">
        <v>8310000</v>
      </c>
    </row>
    <row r="15825" spans="1:2" x14ac:dyDescent="0.4">
      <c r="A15825" s="4">
        <v>501200100</v>
      </c>
      <c r="B15825">
        <v>8310001</v>
      </c>
    </row>
    <row r="15826" spans="1:2" x14ac:dyDescent="0.4">
      <c r="A15826" s="4">
        <v>501200100</v>
      </c>
      <c r="B15826">
        <v>8310002</v>
      </c>
    </row>
    <row r="15827" spans="1:2" x14ac:dyDescent="0.4">
      <c r="A15827" s="4">
        <v>501200100</v>
      </c>
      <c r="B15827">
        <v>8320000</v>
      </c>
    </row>
    <row r="15828" spans="1:2" x14ac:dyDescent="0.4">
      <c r="A15828" s="4">
        <v>501200100</v>
      </c>
      <c r="B15828">
        <v>8320001</v>
      </c>
    </row>
    <row r="15829" spans="1:2" x14ac:dyDescent="0.4">
      <c r="A15829" s="4">
        <v>501200100</v>
      </c>
      <c r="B15829">
        <v>8320002</v>
      </c>
    </row>
    <row r="15830" spans="1:2" x14ac:dyDescent="0.4">
      <c r="A15830" s="4">
        <v>501200100</v>
      </c>
      <c r="B15830">
        <v>8320100</v>
      </c>
    </row>
    <row r="15831" spans="1:2" x14ac:dyDescent="0.4">
      <c r="A15831" s="4">
        <v>501200100</v>
      </c>
      <c r="B15831">
        <v>8320101</v>
      </c>
    </row>
    <row r="15832" spans="1:2" x14ac:dyDescent="0.4">
      <c r="A15832" s="4">
        <v>501200100</v>
      </c>
      <c r="B15832">
        <v>8320102</v>
      </c>
    </row>
    <row r="15833" spans="1:2" x14ac:dyDescent="0.4">
      <c r="A15833" s="4">
        <v>501200100</v>
      </c>
      <c r="B15833">
        <v>8320300</v>
      </c>
    </row>
    <row r="15834" spans="1:2" x14ac:dyDescent="0.4">
      <c r="A15834" s="4">
        <v>501200100</v>
      </c>
      <c r="B15834">
        <v>8320301</v>
      </c>
    </row>
    <row r="15835" spans="1:2" x14ac:dyDescent="0.4">
      <c r="A15835" s="4">
        <v>501200100</v>
      </c>
      <c r="B15835">
        <v>8320302</v>
      </c>
    </row>
    <row r="15836" spans="1:2" x14ac:dyDescent="0.4">
      <c r="A15836" s="4">
        <v>501200100</v>
      </c>
      <c r="B15836">
        <v>8320400</v>
      </c>
    </row>
    <row r="15837" spans="1:2" x14ac:dyDescent="0.4">
      <c r="A15837" s="4">
        <v>501200100</v>
      </c>
      <c r="B15837">
        <v>8320410</v>
      </c>
    </row>
    <row r="15838" spans="1:2" x14ac:dyDescent="0.4">
      <c r="A15838" s="4">
        <v>501200100</v>
      </c>
      <c r="B15838">
        <v>8320420</v>
      </c>
    </row>
    <row r="15839" spans="1:2" x14ac:dyDescent="0.4">
      <c r="A15839" s="4">
        <v>501200100</v>
      </c>
      <c r="B15839">
        <v>8330000</v>
      </c>
    </row>
    <row r="15840" spans="1:2" x14ac:dyDescent="0.4">
      <c r="A15840" s="4">
        <v>501200100</v>
      </c>
      <c r="B15840">
        <v>8330001</v>
      </c>
    </row>
    <row r="15841" spans="1:2" x14ac:dyDescent="0.4">
      <c r="A15841" s="4">
        <v>501200100</v>
      </c>
      <c r="B15841">
        <v>8330002</v>
      </c>
    </row>
    <row r="15842" spans="1:2" x14ac:dyDescent="0.4">
      <c r="A15842" s="4">
        <v>501200100</v>
      </c>
      <c r="B15842">
        <v>8330100</v>
      </c>
    </row>
    <row r="15843" spans="1:2" x14ac:dyDescent="0.4">
      <c r="A15843" s="4">
        <v>501200100</v>
      </c>
      <c r="B15843">
        <v>8330101</v>
      </c>
    </row>
    <row r="15844" spans="1:2" x14ac:dyDescent="0.4">
      <c r="A15844" s="4">
        <v>501200100</v>
      </c>
      <c r="B15844">
        <v>8330102</v>
      </c>
    </row>
    <row r="15845" spans="1:2" x14ac:dyDescent="0.4">
      <c r="A15845" s="4">
        <v>501200100</v>
      </c>
      <c r="B15845">
        <v>8330200</v>
      </c>
    </row>
    <row r="15846" spans="1:2" x14ac:dyDescent="0.4">
      <c r="A15846" s="4">
        <v>501200100</v>
      </c>
      <c r="B15846">
        <v>8330201</v>
      </c>
    </row>
    <row r="15847" spans="1:2" x14ac:dyDescent="0.4">
      <c r="A15847" s="4">
        <v>501200100</v>
      </c>
      <c r="B15847">
        <v>8330202</v>
      </c>
    </row>
    <row r="15848" spans="1:2" x14ac:dyDescent="0.4">
      <c r="A15848" s="4">
        <v>501200100</v>
      </c>
      <c r="B15848">
        <v>8330300</v>
      </c>
    </row>
    <row r="15849" spans="1:2" x14ac:dyDescent="0.4">
      <c r="A15849" s="4">
        <v>501200100</v>
      </c>
      <c r="B15849">
        <v>8330301</v>
      </c>
    </row>
    <row r="15850" spans="1:2" x14ac:dyDescent="0.4">
      <c r="A15850" s="4">
        <v>501200100</v>
      </c>
      <c r="B15850">
        <v>8330302</v>
      </c>
    </row>
    <row r="15851" spans="1:2" x14ac:dyDescent="0.4">
      <c r="A15851" s="4">
        <v>501200100</v>
      </c>
      <c r="B15851">
        <v>8330400</v>
      </c>
    </row>
    <row r="15852" spans="1:2" x14ac:dyDescent="0.4">
      <c r="A15852" s="4">
        <v>501200100</v>
      </c>
      <c r="B15852">
        <v>8330401</v>
      </c>
    </row>
    <row r="15853" spans="1:2" x14ac:dyDescent="0.4">
      <c r="A15853" s="4">
        <v>501200100</v>
      </c>
      <c r="B15853">
        <v>8330600</v>
      </c>
    </row>
    <row r="15854" spans="1:2" x14ac:dyDescent="0.4">
      <c r="A15854" s="4">
        <v>501200100</v>
      </c>
      <c r="B15854">
        <v>8330601</v>
      </c>
    </row>
    <row r="15855" spans="1:2" x14ac:dyDescent="0.4">
      <c r="A15855" s="4">
        <v>501200100</v>
      </c>
      <c r="B15855">
        <v>8330602</v>
      </c>
    </row>
    <row r="15856" spans="1:2" x14ac:dyDescent="0.4">
      <c r="A15856" s="4">
        <v>501200100</v>
      </c>
      <c r="B15856">
        <v>8330900</v>
      </c>
    </row>
    <row r="15857" spans="1:2" x14ac:dyDescent="0.4">
      <c r="A15857" s="4">
        <v>501200100</v>
      </c>
      <c r="B15857">
        <v>8330910</v>
      </c>
    </row>
    <row r="15858" spans="1:2" x14ac:dyDescent="0.4">
      <c r="A15858" s="4">
        <v>501200100</v>
      </c>
      <c r="B15858">
        <v>8330920</v>
      </c>
    </row>
    <row r="15859" spans="1:2" x14ac:dyDescent="0.4">
      <c r="A15859" s="4">
        <v>501200100</v>
      </c>
      <c r="B15859">
        <v>8340000</v>
      </c>
    </row>
    <row r="15860" spans="1:2" x14ac:dyDescent="0.4">
      <c r="A15860" s="4">
        <v>501200100</v>
      </c>
      <c r="B15860">
        <v>8340001</v>
      </c>
    </row>
    <row r="15861" spans="1:2" x14ac:dyDescent="0.4">
      <c r="A15861" s="4">
        <v>501200100</v>
      </c>
      <c r="B15861">
        <v>8340002</v>
      </c>
    </row>
    <row r="15862" spans="1:2" x14ac:dyDescent="0.4">
      <c r="A15862" s="4">
        <v>501200100</v>
      </c>
      <c r="B15862">
        <v>8340100</v>
      </c>
    </row>
    <row r="15863" spans="1:2" x14ac:dyDescent="0.4">
      <c r="A15863" s="4">
        <v>501200100</v>
      </c>
      <c r="B15863">
        <v>8340101</v>
      </c>
    </row>
    <row r="15864" spans="1:2" x14ac:dyDescent="0.4">
      <c r="A15864" s="4">
        <v>501200100</v>
      </c>
      <c r="B15864">
        <v>8340102</v>
      </c>
    </row>
    <row r="15865" spans="1:2" x14ac:dyDescent="0.4">
      <c r="A15865" s="4">
        <v>501200100</v>
      </c>
      <c r="B15865">
        <v>8350000</v>
      </c>
    </row>
    <row r="15866" spans="1:2" x14ac:dyDescent="0.4">
      <c r="A15866" s="4">
        <v>501200100</v>
      </c>
      <c r="B15866">
        <v>8350001</v>
      </c>
    </row>
    <row r="15867" spans="1:2" x14ac:dyDescent="0.4">
      <c r="A15867" s="4">
        <v>501200100</v>
      </c>
      <c r="B15867">
        <v>8350002</v>
      </c>
    </row>
    <row r="15868" spans="1:2" x14ac:dyDescent="0.4">
      <c r="A15868" s="4">
        <v>501200100</v>
      </c>
      <c r="B15868">
        <v>8350200</v>
      </c>
    </row>
    <row r="15869" spans="1:2" x14ac:dyDescent="0.4">
      <c r="A15869" s="4">
        <v>501200100</v>
      </c>
      <c r="B15869">
        <v>8350201</v>
      </c>
    </row>
    <row r="15870" spans="1:2" x14ac:dyDescent="0.4">
      <c r="A15870" s="4">
        <v>501200100</v>
      </c>
      <c r="B15870">
        <v>8350202</v>
      </c>
    </row>
    <row r="15871" spans="1:2" x14ac:dyDescent="0.4">
      <c r="A15871" s="4">
        <v>501200100</v>
      </c>
      <c r="B15871">
        <v>8420000</v>
      </c>
    </row>
    <row r="15872" spans="1:2" x14ac:dyDescent="0.4">
      <c r="A15872" s="4">
        <v>501200100</v>
      </c>
      <c r="B15872">
        <v>8420001</v>
      </c>
    </row>
    <row r="15873" spans="1:2" x14ac:dyDescent="0.4">
      <c r="A15873" s="4">
        <v>501200100</v>
      </c>
      <c r="B15873">
        <v>8420002</v>
      </c>
    </row>
    <row r="15874" spans="1:2" x14ac:dyDescent="0.4">
      <c r="A15874" s="4">
        <v>501200100</v>
      </c>
      <c r="B15874">
        <v>8450000</v>
      </c>
    </row>
    <row r="15875" spans="1:2" x14ac:dyDescent="0.4">
      <c r="A15875" s="4">
        <v>501200100</v>
      </c>
      <c r="B15875">
        <v>8460100</v>
      </c>
    </row>
    <row r="15876" spans="1:2" x14ac:dyDescent="0.4">
      <c r="A15876" s="4">
        <v>501200100</v>
      </c>
      <c r="B15876">
        <v>8460300</v>
      </c>
    </row>
    <row r="15877" spans="1:2" x14ac:dyDescent="0.4">
      <c r="A15877" s="4">
        <v>501200100</v>
      </c>
      <c r="B15877">
        <v>8460500</v>
      </c>
    </row>
    <row r="15878" spans="1:2" x14ac:dyDescent="0.4">
      <c r="A15878" s="4">
        <v>501200100</v>
      </c>
      <c r="B15878">
        <v>8510000</v>
      </c>
    </row>
    <row r="15879" spans="1:2" x14ac:dyDescent="0.4">
      <c r="A15879" s="4">
        <v>501200100</v>
      </c>
      <c r="B15879">
        <v>8510001</v>
      </c>
    </row>
    <row r="15880" spans="1:2" x14ac:dyDescent="0.4">
      <c r="A15880" s="4">
        <v>501200100</v>
      </c>
      <c r="B15880">
        <v>8510002</v>
      </c>
    </row>
    <row r="15881" spans="1:2" x14ac:dyDescent="0.4">
      <c r="A15881" s="4">
        <v>501200100</v>
      </c>
      <c r="B15881">
        <v>8520000</v>
      </c>
    </row>
    <row r="15882" spans="1:2" x14ac:dyDescent="0.4">
      <c r="A15882" s="4">
        <v>501200100</v>
      </c>
      <c r="B15882">
        <v>8520001</v>
      </c>
    </row>
    <row r="15883" spans="1:2" x14ac:dyDescent="0.4">
      <c r="A15883" s="4">
        <v>501200100</v>
      </c>
      <c r="B15883">
        <v>8520002</v>
      </c>
    </row>
    <row r="15884" spans="1:2" x14ac:dyDescent="0.4">
      <c r="A15884" s="4">
        <v>501200100</v>
      </c>
      <c r="B15884">
        <v>8530000</v>
      </c>
    </row>
    <row r="15885" spans="1:2" x14ac:dyDescent="0.4">
      <c r="A15885" s="4">
        <v>501200100</v>
      </c>
      <c r="B15885">
        <v>8530100</v>
      </c>
    </row>
    <row r="15886" spans="1:2" x14ac:dyDescent="0.4">
      <c r="A15886" s="4">
        <v>501200100</v>
      </c>
      <c r="B15886">
        <v>8540000</v>
      </c>
    </row>
    <row r="15887" spans="1:2" x14ac:dyDescent="0.4">
      <c r="A15887" s="4">
        <v>501200100</v>
      </c>
      <c r="B15887">
        <v>8600100</v>
      </c>
    </row>
    <row r="15888" spans="1:2" x14ac:dyDescent="0.4">
      <c r="A15888" s="4">
        <v>501200100</v>
      </c>
      <c r="B15888">
        <v>8600101</v>
      </c>
    </row>
    <row r="15889" spans="1:2" x14ac:dyDescent="0.4">
      <c r="A15889" s="4">
        <v>501200100</v>
      </c>
      <c r="B15889">
        <v>8600102</v>
      </c>
    </row>
    <row r="15890" spans="1:2" x14ac:dyDescent="0.4">
      <c r="A15890" s="4">
        <v>501200100</v>
      </c>
      <c r="B15890">
        <v>8600200</v>
      </c>
    </row>
    <row r="15891" spans="1:2" x14ac:dyDescent="0.4">
      <c r="A15891" s="4">
        <v>501200100</v>
      </c>
      <c r="B15891">
        <v>8600201</v>
      </c>
    </row>
    <row r="15892" spans="1:2" x14ac:dyDescent="0.4">
      <c r="A15892" s="4">
        <v>501200100</v>
      </c>
      <c r="B15892">
        <v>8600202</v>
      </c>
    </row>
    <row r="15893" spans="1:2" x14ac:dyDescent="0.4">
      <c r="A15893" s="4">
        <v>501200100</v>
      </c>
      <c r="B15893">
        <v>8610300</v>
      </c>
    </row>
    <row r="15894" spans="1:2" x14ac:dyDescent="0.4">
      <c r="A15894" s="4">
        <v>501200100</v>
      </c>
      <c r="B15894">
        <v>8610400</v>
      </c>
    </row>
    <row r="15895" spans="1:2" x14ac:dyDescent="0.4">
      <c r="A15895" s="4">
        <v>501200100</v>
      </c>
      <c r="B15895">
        <v>8610500</v>
      </c>
    </row>
    <row r="15896" spans="1:2" x14ac:dyDescent="0.4">
      <c r="A15896" s="4">
        <v>501200100</v>
      </c>
      <c r="B15896">
        <v>8610600</v>
      </c>
    </row>
    <row r="15897" spans="1:2" x14ac:dyDescent="0.4">
      <c r="A15897" s="4">
        <v>501200100</v>
      </c>
      <c r="B15897">
        <v>8610700</v>
      </c>
    </row>
    <row r="15898" spans="1:2" x14ac:dyDescent="0.4">
      <c r="A15898" s="4">
        <v>501200100</v>
      </c>
      <c r="B15898">
        <v>8610710</v>
      </c>
    </row>
    <row r="15899" spans="1:2" x14ac:dyDescent="0.4">
      <c r="A15899" s="4">
        <v>501200100</v>
      </c>
      <c r="B15899">
        <v>8610720</v>
      </c>
    </row>
    <row r="15900" spans="1:2" x14ac:dyDescent="0.4">
      <c r="A15900" s="4">
        <v>501200100</v>
      </c>
      <c r="B15900">
        <v>8620000</v>
      </c>
    </row>
    <row r="15901" spans="1:2" x14ac:dyDescent="0.4">
      <c r="A15901" s="4">
        <v>501200100</v>
      </c>
      <c r="B15901">
        <v>8620010</v>
      </c>
    </row>
    <row r="15902" spans="1:2" x14ac:dyDescent="0.4">
      <c r="A15902" s="4">
        <v>501200100</v>
      </c>
      <c r="B15902">
        <v>8620020</v>
      </c>
    </row>
    <row r="15903" spans="1:2" x14ac:dyDescent="0.4">
      <c r="A15903" s="4">
        <v>501200100</v>
      </c>
      <c r="B15903">
        <v>8620100</v>
      </c>
    </row>
    <row r="15904" spans="1:2" x14ac:dyDescent="0.4">
      <c r="A15904" s="4">
        <v>501200100</v>
      </c>
      <c r="B15904">
        <v>8620110</v>
      </c>
    </row>
    <row r="15905" spans="1:2" x14ac:dyDescent="0.4">
      <c r="A15905" s="4">
        <v>501200100</v>
      </c>
      <c r="B15905">
        <v>8620120</v>
      </c>
    </row>
    <row r="15906" spans="1:2" x14ac:dyDescent="0.4">
      <c r="A15906" s="4">
        <v>501200100</v>
      </c>
      <c r="B15906">
        <v>8630000</v>
      </c>
    </row>
    <row r="15907" spans="1:2" x14ac:dyDescent="0.4">
      <c r="A15907" s="4">
        <v>501200100</v>
      </c>
      <c r="B15907">
        <v>8630000</v>
      </c>
    </row>
    <row r="15908" spans="1:2" x14ac:dyDescent="0.4">
      <c r="A15908" s="4">
        <v>501200100</v>
      </c>
      <c r="B15908">
        <v>8630000</v>
      </c>
    </row>
    <row r="15909" spans="1:2" x14ac:dyDescent="0.4">
      <c r="A15909" s="4">
        <v>501200100</v>
      </c>
      <c r="B15909">
        <v>8630100</v>
      </c>
    </row>
    <row r="15910" spans="1:2" x14ac:dyDescent="0.4">
      <c r="A15910" s="4">
        <v>501200100</v>
      </c>
      <c r="B15910">
        <v>8630100</v>
      </c>
    </row>
    <row r="15911" spans="1:2" x14ac:dyDescent="0.4">
      <c r="A15911" s="4">
        <v>501200100</v>
      </c>
      <c r="B15911">
        <v>8630100</v>
      </c>
    </row>
    <row r="15912" spans="1:2" x14ac:dyDescent="0.4">
      <c r="A15912" s="4">
        <v>501200100</v>
      </c>
      <c r="B15912">
        <v>8630200</v>
      </c>
    </row>
    <row r="15913" spans="1:2" x14ac:dyDescent="0.4">
      <c r="A15913" s="4">
        <v>501200100</v>
      </c>
      <c r="B15913">
        <v>8630300</v>
      </c>
    </row>
    <row r="15914" spans="1:2" x14ac:dyDescent="0.4">
      <c r="A15914" s="4">
        <v>501200100</v>
      </c>
      <c r="B15914">
        <v>8630400</v>
      </c>
    </row>
    <row r="15915" spans="1:2" x14ac:dyDescent="0.4">
      <c r="A15915" s="4">
        <v>501200100</v>
      </c>
      <c r="B15915">
        <v>8630500</v>
      </c>
    </row>
    <row r="15916" spans="1:2" x14ac:dyDescent="0.4">
      <c r="A15916" s="4">
        <v>501200100</v>
      </c>
      <c r="B15916">
        <v>8630600</v>
      </c>
    </row>
    <row r="15917" spans="1:2" x14ac:dyDescent="0.4">
      <c r="A15917" s="4">
        <v>501200100</v>
      </c>
      <c r="B15917">
        <v>8630700</v>
      </c>
    </row>
    <row r="15918" spans="1:2" x14ac:dyDescent="0.4">
      <c r="A15918" s="4">
        <v>501200100</v>
      </c>
      <c r="B15918">
        <v>8630800</v>
      </c>
    </row>
    <row r="15919" spans="1:2" x14ac:dyDescent="0.4">
      <c r="A15919" s="4">
        <v>501200100</v>
      </c>
      <c r="B15919">
        <v>8652000</v>
      </c>
    </row>
    <row r="15920" spans="1:2" x14ac:dyDescent="0.4">
      <c r="A15920" s="4">
        <v>501200100</v>
      </c>
      <c r="B15920">
        <v>8652010</v>
      </c>
    </row>
    <row r="15921" spans="1:2" x14ac:dyDescent="0.4">
      <c r="A15921" s="4">
        <v>501200100</v>
      </c>
      <c r="B15921">
        <v>8652020</v>
      </c>
    </row>
    <row r="15922" spans="1:2" x14ac:dyDescent="0.4">
      <c r="A15922" s="4">
        <v>501200100</v>
      </c>
      <c r="B15922">
        <v>8652100</v>
      </c>
    </row>
    <row r="15923" spans="1:2" x14ac:dyDescent="0.4">
      <c r="A15923" s="4">
        <v>501200100</v>
      </c>
      <c r="B15923">
        <v>8652110</v>
      </c>
    </row>
    <row r="15924" spans="1:2" x14ac:dyDescent="0.4">
      <c r="A15924" s="4">
        <v>501200100</v>
      </c>
      <c r="B15924">
        <v>8652120</v>
      </c>
    </row>
    <row r="15925" spans="1:2" x14ac:dyDescent="0.4">
      <c r="A15925" s="4">
        <v>501200100</v>
      </c>
      <c r="B15925">
        <v>8660000</v>
      </c>
    </row>
    <row r="15926" spans="1:2" x14ac:dyDescent="0.4">
      <c r="A15926" s="4">
        <v>501200100</v>
      </c>
      <c r="B15926">
        <v>8660001</v>
      </c>
    </row>
    <row r="15927" spans="1:2" x14ac:dyDescent="0.4">
      <c r="A15927" s="4">
        <v>501200100</v>
      </c>
      <c r="B15927">
        <v>8660002</v>
      </c>
    </row>
    <row r="15928" spans="1:2" x14ac:dyDescent="0.4">
      <c r="A15928" s="4">
        <v>501200100</v>
      </c>
      <c r="B15928">
        <v>8660100</v>
      </c>
    </row>
    <row r="15929" spans="1:2" x14ac:dyDescent="0.4">
      <c r="A15929" s="4">
        <v>501200100</v>
      </c>
      <c r="B15929">
        <v>8660101</v>
      </c>
    </row>
    <row r="15930" spans="1:2" x14ac:dyDescent="0.4">
      <c r="A15930" s="4">
        <v>501200100</v>
      </c>
      <c r="B15930">
        <v>8660102</v>
      </c>
    </row>
    <row r="15931" spans="1:2" x14ac:dyDescent="0.4">
      <c r="A15931" s="4">
        <v>501200100</v>
      </c>
      <c r="B15931">
        <v>8670000</v>
      </c>
    </row>
    <row r="15932" spans="1:2" x14ac:dyDescent="0.4">
      <c r="A15932" s="4">
        <v>501200100</v>
      </c>
      <c r="B15932">
        <v>8670001</v>
      </c>
    </row>
    <row r="15933" spans="1:2" x14ac:dyDescent="0.4">
      <c r="A15933" s="4">
        <v>501200100</v>
      </c>
      <c r="B15933">
        <v>8670002</v>
      </c>
    </row>
    <row r="15934" spans="1:2" x14ac:dyDescent="0.4">
      <c r="A15934" s="4">
        <v>501200100</v>
      </c>
      <c r="B15934">
        <v>8670100</v>
      </c>
    </row>
    <row r="15935" spans="1:2" x14ac:dyDescent="0.4">
      <c r="A15935" s="4">
        <v>501200100</v>
      </c>
      <c r="B15935">
        <v>8670101</v>
      </c>
    </row>
    <row r="15936" spans="1:2" x14ac:dyDescent="0.4">
      <c r="A15936" s="4">
        <v>501200100</v>
      </c>
      <c r="B15936">
        <v>8670102</v>
      </c>
    </row>
    <row r="15937" spans="1:2" x14ac:dyDescent="0.4">
      <c r="A15937" s="4">
        <v>501200100</v>
      </c>
      <c r="B15937">
        <v>8690000</v>
      </c>
    </row>
    <row r="15938" spans="1:2" x14ac:dyDescent="0.4">
      <c r="A15938" s="4">
        <v>501200100</v>
      </c>
      <c r="B15938">
        <v>8690100</v>
      </c>
    </row>
    <row r="15939" spans="1:2" x14ac:dyDescent="0.4">
      <c r="A15939" s="4">
        <v>501200100</v>
      </c>
      <c r="B15939">
        <v>8690200</v>
      </c>
    </row>
    <row r="15940" spans="1:2" x14ac:dyDescent="0.4">
      <c r="A15940" s="4">
        <v>501200100</v>
      </c>
      <c r="B15940">
        <v>8690300</v>
      </c>
    </row>
    <row r="15941" spans="1:2" x14ac:dyDescent="0.4">
      <c r="A15941" s="4">
        <v>501200100</v>
      </c>
      <c r="B15941">
        <v>8690400</v>
      </c>
    </row>
    <row r="15942" spans="1:2" x14ac:dyDescent="0.4">
      <c r="A15942" s="4">
        <v>501200100</v>
      </c>
      <c r="B15942">
        <v>8320500</v>
      </c>
    </row>
    <row r="15943" spans="1:2" x14ac:dyDescent="0.4">
      <c r="A15943" s="4">
        <v>501200100</v>
      </c>
      <c r="B15943">
        <v>8320510</v>
      </c>
    </row>
    <row r="15944" spans="1:2" x14ac:dyDescent="0.4">
      <c r="A15944" s="4">
        <v>501200100</v>
      </c>
      <c r="B15944">
        <v>8320520</v>
      </c>
    </row>
    <row r="15945" spans="1:2" x14ac:dyDescent="0.4">
      <c r="A15945" s="4">
        <v>501200100</v>
      </c>
      <c r="B15945">
        <v>8320600</v>
      </c>
    </row>
    <row r="15946" spans="1:2" x14ac:dyDescent="0.4">
      <c r="A15946" s="4">
        <v>501200100</v>
      </c>
      <c r="B15946">
        <v>8320610</v>
      </c>
    </row>
    <row r="15947" spans="1:2" x14ac:dyDescent="0.4">
      <c r="A15947" s="4">
        <v>501200100</v>
      </c>
      <c r="B15947">
        <v>8320620</v>
      </c>
    </row>
    <row r="15948" spans="1:2" x14ac:dyDescent="0.4">
      <c r="A15948" s="4">
        <v>501200100</v>
      </c>
      <c r="B15948">
        <v>8320700</v>
      </c>
    </row>
    <row r="15949" spans="1:2" x14ac:dyDescent="0.4">
      <c r="A15949" s="4">
        <v>501200100</v>
      </c>
      <c r="B15949">
        <v>8320710</v>
      </c>
    </row>
    <row r="15950" spans="1:2" x14ac:dyDescent="0.4">
      <c r="A15950" s="4">
        <v>501200100</v>
      </c>
      <c r="B15950">
        <v>8320720</v>
      </c>
    </row>
    <row r="15951" spans="1:2" x14ac:dyDescent="0.4">
      <c r="A15951" s="4">
        <v>501200200</v>
      </c>
      <c r="B15951">
        <v>0</v>
      </c>
    </row>
    <row r="15952" spans="1:2" x14ac:dyDescent="0.4">
      <c r="A15952" s="4">
        <v>501200200</v>
      </c>
      <c r="B15952">
        <v>8100100</v>
      </c>
    </row>
    <row r="15953" spans="1:2" x14ac:dyDescent="0.4">
      <c r="A15953" s="4">
        <v>501200200</v>
      </c>
      <c r="B15953">
        <v>8100101</v>
      </c>
    </row>
    <row r="15954" spans="1:2" x14ac:dyDescent="0.4">
      <c r="A15954" s="4">
        <v>501200200</v>
      </c>
      <c r="B15954">
        <v>8100102</v>
      </c>
    </row>
    <row r="15955" spans="1:2" x14ac:dyDescent="0.4">
      <c r="A15955" s="4">
        <v>501200200</v>
      </c>
      <c r="B15955">
        <v>8100200</v>
      </c>
    </row>
    <row r="15956" spans="1:2" x14ac:dyDescent="0.4">
      <c r="A15956" s="4">
        <v>501200200</v>
      </c>
      <c r="B15956">
        <v>8100201</v>
      </c>
    </row>
    <row r="15957" spans="1:2" x14ac:dyDescent="0.4">
      <c r="A15957" s="4">
        <v>501200200</v>
      </c>
      <c r="B15957">
        <v>8100202</v>
      </c>
    </row>
    <row r="15958" spans="1:2" x14ac:dyDescent="0.4">
      <c r="A15958" s="4">
        <v>501200200</v>
      </c>
      <c r="B15958">
        <v>8100300</v>
      </c>
    </row>
    <row r="15959" spans="1:2" x14ac:dyDescent="0.4">
      <c r="A15959" s="4">
        <v>501200200</v>
      </c>
      <c r="B15959">
        <v>8100301</v>
      </c>
    </row>
    <row r="15960" spans="1:2" x14ac:dyDescent="0.4">
      <c r="A15960" s="4">
        <v>501200200</v>
      </c>
      <c r="B15960">
        <v>8100302</v>
      </c>
    </row>
    <row r="15961" spans="1:2" x14ac:dyDescent="0.4">
      <c r="A15961" s="4">
        <v>501200200</v>
      </c>
      <c r="B15961">
        <v>8100400</v>
      </c>
    </row>
    <row r="15962" spans="1:2" x14ac:dyDescent="0.4">
      <c r="A15962" s="4">
        <v>501200200</v>
      </c>
      <c r="B15962">
        <v>8100401</v>
      </c>
    </row>
    <row r="15963" spans="1:2" x14ac:dyDescent="0.4">
      <c r="A15963" s="4">
        <v>501200200</v>
      </c>
      <c r="B15963">
        <v>8100402</v>
      </c>
    </row>
    <row r="15964" spans="1:2" x14ac:dyDescent="0.4">
      <c r="A15964" s="4">
        <v>501200200</v>
      </c>
      <c r="B15964">
        <v>8130000</v>
      </c>
    </row>
    <row r="15965" spans="1:2" x14ac:dyDescent="0.4">
      <c r="A15965" s="4">
        <v>501200200</v>
      </c>
      <c r="B15965">
        <v>8130001</v>
      </c>
    </row>
    <row r="15966" spans="1:2" x14ac:dyDescent="0.4">
      <c r="A15966" s="4">
        <v>501200200</v>
      </c>
      <c r="B15966">
        <v>8130002</v>
      </c>
    </row>
    <row r="15967" spans="1:2" x14ac:dyDescent="0.4">
      <c r="A15967" s="4">
        <v>501200200</v>
      </c>
      <c r="B15967">
        <v>8140000</v>
      </c>
    </row>
    <row r="15968" spans="1:2" x14ac:dyDescent="0.4">
      <c r="A15968" s="4">
        <v>501200200</v>
      </c>
      <c r="B15968">
        <v>8140001</v>
      </c>
    </row>
    <row r="15969" spans="1:2" x14ac:dyDescent="0.4">
      <c r="A15969" s="4">
        <v>501200200</v>
      </c>
      <c r="B15969">
        <v>8140002</v>
      </c>
    </row>
    <row r="15970" spans="1:2" x14ac:dyDescent="0.4">
      <c r="A15970" s="4">
        <v>501200200</v>
      </c>
      <c r="B15970">
        <v>8200100</v>
      </c>
    </row>
    <row r="15971" spans="1:2" x14ac:dyDescent="0.4">
      <c r="A15971" s="4">
        <v>501200200</v>
      </c>
      <c r="B15971">
        <v>8200101</v>
      </c>
    </row>
    <row r="15972" spans="1:2" x14ac:dyDescent="0.4">
      <c r="A15972" s="4">
        <v>501200200</v>
      </c>
      <c r="B15972">
        <v>8200102</v>
      </c>
    </row>
    <row r="15973" spans="1:2" x14ac:dyDescent="0.4">
      <c r="A15973" s="4">
        <v>501200200</v>
      </c>
      <c r="B15973">
        <v>8200200</v>
      </c>
    </row>
    <row r="15974" spans="1:2" x14ac:dyDescent="0.4">
      <c r="A15974" s="4">
        <v>501200200</v>
      </c>
      <c r="B15974">
        <v>8200201</v>
      </c>
    </row>
    <row r="15975" spans="1:2" x14ac:dyDescent="0.4">
      <c r="A15975" s="4">
        <v>501200200</v>
      </c>
      <c r="B15975">
        <v>8200202</v>
      </c>
    </row>
    <row r="15976" spans="1:2" x14ac:dyDescent="0.4">
      <c r="A15976" s="4">
        <v>501200200</v>
      </c>
      <c r="B15976">
        <v>8200300</v>
      </c>
    </row>
    <row r="15977" spans="1:2" x14ac:dyDescent="0.4">
      <c r="A15977" s="4">
        <v>501200200</v>
      </c>
      <c r="B15977">
        <v>8200301</v>
      </c>
    </row>
    <row r="15978" spans="1:2" x14ac:dyDescent="0.4">
      <c r="A15978" s="4">
        <v>501200200</v>
      </c>
      <c r="B15978">
        <v>8200302</v>
      </c>
    </row>
    <row r="15979" spans="1:2" x14ac:dyDescent="0.4">
      <c r="A15979" s="4">
        <v>501200200</v>
      </c>
      <c r="B15979">
        <v>8200400</v>
      </c>
    </row>
    <row r="15980" spans="1:2" x14ac:dyDescent="0.4">
      <c r="A15980" s="4">
        <v>501200200</v>
      </c>
      <c r="B15980">
        <v>8200401</v>
      </c>
    </row>
    <row r="15981" spans="1:2" x14ac:dyDescent="0.4">
      <c r="A15981" s="4">
        <v>501200200</v>
      </c>
      <c r="B15981">
        <v>8200402</v>
      </c>
    </row>
    <row r="15982" spans="1:2" x14ac:dyDescent="0.4">
      <c r="A15982" s="4">
        <v>501200200</v>
      </c>
      <c r="B15982">
        <v>8210000</v>
      </c>
    </row>
    <row r="15983" spans="1:2" x14ac:dyDescent="0.4">
      <c r="A15983" s="4">
        <v>501200200</v>
      </c>
      <c r="B15983">
        <v>8210001</v>
      </c>
    </row>
    <row r="15984" spans="1:2" x14ac:dyDescent="0.4">
      <c r="A15984" s="4">
        <v>501200200</v>
      </c>
      <c r="B15984">
        <v>8210002</v>
      </c>
    </row>
    <row r="15985" spans="1:2" x14ac:dyDescent="0.4">
      <c r="A15985" s="4">
        <v>501200200</v>
      </c>
      <c r="B15985">
        <v>8210100</v>
      </c>
    </row>
    <row r="15986" spans="1:2" x14ac:dyDescent="0.4">
      <c r="A15986" s="4">
        <v>501200200</v>
      </c>
      <c r="B15986">
        <v>8210101</v>
      </c>
    </row>
    <row r="15987" spans="1:2" x14ac:dyDescent="0.4">
      <c r="A15987" s="4">
        <v>501200200</v>
      </c>
      <c r="B15987">
        <v>8210102</v>
      </c>
    </row>
    <row r="15988" spans="1:2" x14ac:dyDescent="0.4">
      <c r="A15988" s="4">
        <v>501200200</v>
      </c>
      <c r="B15988">
        <v>8210200</v>
      </c>
    </row>
    <row r="15989" spans="1:2" x14ac:dyDescent="0.4">
      <c r="A15989" s="4">
        <v>501200200</v>
      </c>
      <c r="B15989">
        <v>8210201</v>
      </c>
    </row>
    <row r="15990" spans="1:2" x14ac:dyDescent="0.4">
      <c r="A15990" s="4">
        <v>501200200</v>
      </c>
      <c r="B15990">
        <v>8210202</v>
      </c>
    </row>
    <row r="15991" spans="1:2" x14ac:dyDescent="0.4">
      <c r="A15991" s="4">
        <v>501200200</v>
      </c>
      <c r="B15991">
        <v>8210300</v>
      </c>
    </row>
    <row r="15992" spans="1:2" x14ac:dyDescent="0.4">
      <c r="A15992" s="4">
        <v>501200200</v>
      </c>
      <c r="B15992">
        <v>8210301</v>
      </c>
    </row>
    <row r="15993" spans="1:2" x14ac:dyDescent="0.4">
      <c r="A15993" s="4">
        <v>501200200</v>
      </c>
      <c r="B15993">
        <v>8210302</v>
      </c>
    </row>
    <row r="15994" spans="1:2" x14ac:dyDescent="0.4">
      <c r="A15994" s="4">
        <v>501200200</v>
      </c>
      <c r="B15994">
        <v>8210400</v>
      </c>
    </row>
    <row r="15995" spans="1:2" x14ac:dyDescent="0.4">
      <c r="A15995" s="4">
        <v>501200200</v>
      </c>
      <c r="B15995">
        <v>8210401</v>
      </c>
    </row>
    <row r="15996" spans="1:2" x14ac:dyDescent="0.4">
      <c r="A15996" s="4">
        <v>501200200</v>
      </c>
      <c r="B15996">
        <v>8210402</v>
      </c>
    </row>
    <row r="15997" spans="1:2" x14ac:dyDescent="0.4">
      <c r="A15997" s="4">
        <v>501200200</v>
      </c>
      <c r="B15997">
        <v>8210500</v>
      </c>
    </row>
    <row r="15998" spans="1:2" x14ac:dyDescent="0.4">
      <c r="A15998" s="4">
        <v>501200200</v>
      </c>
      <c r="B15998">
        <v>8210501</v>
      </c>
    </row>
    <row r="15999" spans="1:2" x14ac:dyDescent="0.4">
      <c r="A15999" s="4">
        <v>501200200</v>
      </c>
      <c r="B15999">
        <v>8210502</v>
      </c>
    </row>
    <row r="16000" spans="1:2" x14ac:dyDescent="0.4">
      <c r="A16000" s="4">
        <v>501200200</v>
      </c>
      <c r="B16000">
        <v>8210600</v>
      </c>
    </row>
    <row r="16001" spans="1:2" x14ac:dyDescent="0.4">
      <c r="A16001" s="4">
        <v>501200200</v>
      </c>
      <c r="B16001">
        <v>8210601</v>
      </c>
    </row>
    <row r="16002" spans="1:2" x14ac:dyDescent="0.4">
      <c r="A16002" s="4">
        <v>501200200</v>
      </c>
      <c r="B16002">
        <v>8210602</v>
      </c>
    </row>
    <row r="16003" spans="1:2" x14ac:dyDescent="0.4">
      <c r="A16003" s="4">
        <v>501200200</v>
      </c>
      <c r="B16003">
        <v>8220000</v>
      </c>
    </row>
    <row r="16004" spans="1:2" x14ac:dyDescent="0.4">
      <c r="A16004" s="4">
        <v>501200200</v>
      </c>
      <c r="B16004">
        <v>8220001</v>
      </c>
    </row>
    <row r="16005" spans="1:2" x14ac:dyDescent="0.4">
      <c r="A16005" s="4">
        <v>501200200</v>
      </c>
      <c r="B16005">
        <v>8220002</v>
      </c>
    </row>
    <row r="16006" spans="1:2" x14ac:dyDescent="0.4">
      <c r="A16006" s="4">
        <v>501200200</v>
      </c>
      <c r="B16006">
        <v>8300000</v>
      </c>
    </row>
    <row r="16007" spans="1:2" x14ac:dyDescent="0.4">
      <c r="A16007" s="4">
        <v>501200200</v>
      </c>
      <c r="B16007">
        <v>8300001</v>
      </c>
    </row>
    <row r="16008" spans="1:2" x14ac:dyDescent="0.4">
      <c r="A16008" s="4">
        <v>501200200</v>
      </c>
      <c r="B16008">
        <v>8300002</v>
      </c>
    </row>
    <row r="16009" spans="1:2" x14ac:dyDescent="0.4">
      <c r="A16009" s="4">
        <v>501200200</v>
      </c>
      <c r="B16009">
        <v>8310000</v>
      </c>
    </row>
    <row r="16010" spans="1:2" x14ac:dyDescent="0.4">
      <c r="A16010" s="4">
        <v>501200200</v>
      </c>
      <c r="B16010">
        <v>8310001</v>
      </c>
    </row>
    <row r="16011" spans="1:2" x14ac:dyDescent="0.4">
      <c r="A16011" s="4">
        <v>501200200</v>
      </c>
      <c r="B16011">
        <v>8310002</v>
      </c>
    </row>
    <row r="16012" spans="1:2" x14ac:dyDescent="0.4">
      <c r="A16012" s="4">
        <v>501200200</v>
      </c>
      <c r="B16012">
        <v>8320000</v>
      </c>
    </row>
    <row r="16013" spans="1:2" x14ac:dyDescent="0.4">
      <c r="A16013" s="4">
        <v>501200200</v>
      </c>
      <c r="B16013">
        <v>8320001</v>
      </c>
    </row>
    <row r="16014" spans="1:2" x14ac:dyDescent="0.4">
      <c r="A16014" s="4">
        <v>501200200</v>
      </c>
      <c r="B16014">
        <v>8320002</v>
      </c>
    </row>
    <row r="16015" spans="1:2" x14ac:dyDescent="0.4">
      <c r="A16015" s="4">
        <v>501200200</v>
      </c>
      <c r="B16015">
        <v>8320100</v>
      </c>
    </row>
    <row r="16016" spans="1:2" x14ac:dyDescent="0.4">
      <c r="A16016" s="4">
        <v>501200200</v>
      </c>
      <c r="B16016">
        <v>8320101</v>
      </c>
    </row>
    <row r="16017" spans="1:2" x14ac:dyDescent="0.4">
      <c r="A16017" s="4">
        <v>501200200</v>
      </c>
      <c r="B16017">
        <v>8320102</v>
      </c>
    </row>
    <row r="16018" spans="1:2" x14ac:dyDescent="0.4">
      <c r="A16018" s="4">
        <v>501200200</v>
      </c>
      <c r="B16018">
        <v>8320300</v>
      </c>
    </row>
    <row r="16019" spans="1:2" x14ac:dyDescent="0.4">
      <c r="A16019" s="4">
        <v>501200200</v>
      </c>
      <c r="B16019">
        <v>8320301</v>
      </c>
    </row>
    <row r="16020" spans="1:2" x14ac:dyDescent="0.4">
      <c r="A16020" s="4">
        <v>501200200</v>
      </c>
      <c r="B16020">
        <v>8320302</v>
      </c>
    </row>
    <row r="16021" spans="1:2" x14ac:dyDescent="0.4">
      <c r="A16021" s="4">
        <v>501200200</v>
      </c>
      <c r="B16021">
        <v>8320400</v>
      </c>
    </row>
    <row r="16022" spans="1:2" x14ac:dyDescent="0.4">
      <c r="A16022" s="4">
        <v>501200200</v>
      </c>
      <c r="B16022">
        <v>8320410</v>
      </c>
    </row>
    <row r="16023" spans="1:2" x14ac:dyDescent="0.4">
      <c r="A16023" s="4">
        <v>501200200</v>
      </c>
      <c r="B16023">
        <v>8320420</v>
      </c>
    </row>
    <row r="16024" spans="1:2" x14ac:dyDescent="0.4">
      <c r="A16024" s="4">
        <v>501200200</v>
      </c>
      <c r="B16024">
        <v>8330000</v>
      </c>
    </row>
    <row r="16025" spans="1:2" x14ac:dyDescent="0.4">
      <c r="A16025" s="4">
        <v>501200200</v>
      </c>
      <c r="B16025">
        <v>8330001</v>
      </c>
    </row>
    <row r="16026" spans="1:2" x14ac:dyDescent="0.4">
      <c r="A16026" s="4">
        <v>501200200</v>
      </c>
      <c r="B16026">
        <v>8330002</v>
      </c>
    </row>
    <row r="16027" spans="1:2" x14ac:dyDescent="0.4">
      <c r="A16027" s="4">
        <v>501200200</v>
      </c>
      <c r="B16027">
        <v>8330100</v>
      </c>
    </row>
    <row r="16028" spans="1:2" x14ac:dyDescent="0.4">
      <c r="A16028" s="4">
        <v>501200200</v>
      </c>
      <c r="B16028">
        <v>8330101</v>
      </c>
    </row>
    <row r="16029" spans="1:2" x14ac:dyDescent="0.4">
      <c r="A16029" s="4">
        <v>501200200</v>
      </c>
      <c r="B16029">
        <v>8330102</v>
      </c>
    </row>
    <row r="16030" spans="1:2" x14ac:dyDescent="0.4">
      <c r="A16030" s="4">
        <v>501200200</v>
      </c>
      <c r="B16030">
        <v>8330200</v>
      </c>
    </row>
    <row r="16031" spans="1:2" x14ac:dyDescent="0.4">
      <c r="A16031" s="4">
        <v>501200200</v>
      </c>
      <c r="B16031">
        <v>8330201</v>
      </c>
    </row>
    <row r="16032" spans="1:2" x14ac:dyDescent="0.4">
      <c r="A16032" s="4">
        <v>501200200</v>
      </c>
      <c r="B16032">
        <v>8330202</v>
      </c>
    </row>
    <row r="16033" spans="1:2" x14ac:dyDescent="0.4">
      <c r="A16033" s="4">
        <v>501200200</v>
      </c>
      <c r="B16033">
        <v>8330300</v>
      </c>
    </row>
    <row r="16034" spans="1:2" x14ac:dyDescent="0.4">
      <c r="A16034" s="4">
        <v>501200200</v>
      </c>
      <c r="B16034">
        <v>8330301</v>
      </c>
    </row>
    <row r="16035" spans="1:2" x14ac:dyDescent="0.4">
      <c r="A16035" s="4">
        <v>501200200</v>
      </c>
      <c r="B16035">
        <v>8330302</v>
      </c>
    </row>
    <row r="16036" spans="1:2" x14ac:dyDescent="0.4">
      <c r="A16036" s="4">
        <v>501200200</v>
      </c>
      <c r="B16036">
        <v>8330400</v>
      </c>
    </row>
    <row r="16037" spans="1:2" x14ac:dyDescent="0.4">
      <c r="A16037" s="4">
        <v>501200200</v>
      </c>
      <c r="B16037">
        <v>8330401</v>
      </c>
    </row>
    <row r="16038" spans="1:2" x14ac:dyDescent="0.4">
      <c r="A16038" s="4">
        <v>501200200</v>
      </c>
      <c r="B16038">
        <v>8330600</v>
      </c>
    </row>
    <row r="16039" spans="1:2" x14ac:dyDescent="0.4">
      <c r="A16039" s="4">
        <v>501200200</v>
      </c>
      <c r="B16039">
        <v>8330601</v>
      </c>
    </row>
    <row r="16040" spans="1:2" x14ac:dyDescent="0.4">
      <c r="A16040" s="4">
        <v>501200200</v>
      </c>
      <c r="B16040">
        <v>8330602</v>
      </c>
    </row>
    <row r="16041" spans="1:2" x14ac:dyDescent="0.4">
      <c r="A16041" s="4">
        <v>501200200</v>
      </c>
      <c r="B16041">
        <v>8330900</v>
      </c>
    </row>
    <row r="16042" spans="1:2" x14ac:dyDescent="0.4">
      <c r="A16042" s="4">
        <v>501200200</v>
      </c>
      <c r="B16042">
        <v>8330910</v>
      </c>
    </row>
    <row r="16043" spans="1:2" x14ac:dyDescent="0.4">
      <c r="A16043" s="4">
        <v>501200200</v>
      </c>
      <c r="B16043">
        <v>8330920</v>
      </c>
    </row>
    <row r="16044" spans="1:2" x14ac:dyDescent="0.4">
      <c r="A16044" s="4">
        <v>501200200</v>
      </c>
      <c r="B16044">
        <v>8340000</v>
      </c>
    </row>
    <row r="16045" spans="1:2" x14ac:dyDescent="0.4">
      <c r="A16045" s="4">
        <v>501200200</v>
      </c>
      <c r="B16045">
        <v>8340001</v>
      </c>
    </row>
    <row r="16046" spans="1:2" x14ac:dyDescent="0.4">
      <c r="A16046" s="4">
        <v>501200200</v>
      </c>
      <c r="B16046">
        <v>8340002</v>
      </c>
    </row>
    <row r="16047" spans="1:2" x14ac:dyDescent="0.4">
      <c r="A16047" s="4">
        <v>501200200</v>
      </c>
      <c r="B16047">
        <v>8340100</v>
      </c>
    </row>
    <row r="16048" spans="1:2" x14ac:dyDescent="0.4">
      <c r="A16048" s="4">
        <v>501200200</v>
      </c>
      <c r="B16048">
        <v>8340101</v>
      </c>
    </row>
    <row r="16049" spans="1:2" x14ac:dyDescent="0.4">
      <c r="A16049" s="4">
        <v>501200200</v>
      </c>
      <c r="B16049">
        <v>8340102</v>
      </c>
    </row>
    <row r="16050" spans="1:2" x14ac:dyDescent="0.4">
      <c r="A16050" s="4">
        <v>501200200</v>
      </c>
      <c r="B16050">
        <v>8350000</v>
      </c>
    </row>
    <row r="16051" spans="1:2" x14ac:dyDescent="0.4">
      <c r="A16051" s="4">
        <v>501200200</v>
      </c>
      <c r="B16051">
        <v>8350001</v>
      </c>
    </row>
    <row r="16052" spans="1:2" x14ac:dyDescent="0.4">
      <c r="A16052" s="4">
        <v>501200200</v>
      </c>
      <c r="B16052">
        <v>8350002</v>
      </c>
    </row>
    <row r="16053" spans="1:2" x14ac:dyDescent="0.4">
      <c r="A16053" s="4">
        <v>501200200</v>
      </c>
      <c r="B16053">
        <v>8350200</v>
      </c>
    </row>
    <row r="16054" spans="1:2" x14ac:dyDescent="0.4">
      <c r="A16054" s="4">
        <v>501200200</v>
      </c>
      <c r="B16054">
        <v>8350201</v>
      </c>
    </row>
    <row r="16055" spans="1:2" x14ac:dyDescent="0.4">
      <c r="A16055" s="4">
        <v>501200200</v>
      </c>
      <c r="B16055">
        <v>8350202</v>
      </c>
    </row>
    <row r="16056" spans="1:2" x14ac:dyDescent="0.4">
      <c r="A16056" s="4">
        <v>501200200</v>
      </c>
      <c r="B16056">
        <v>8420000</v>
      </c>
    </row>
    <row r="16057" spans="1:2" x14ac:dyDescent="0.4">
      <c r="A16057" s="4">
        <v>501200200</v>
      </c>
      <c r="B16057">
        <v>8420001</v>
      </c>
    </row>
    <row r="16058" spans="1:2" x14ac:dyDescent="0.4">
      <c r="A16058" s="4">
        <v>501200200</v>
      </c>
      <c r="B16058">
        <v>8420002</v>
      </c>
    </row>
    <row r="16059" spans="1:2" x14ac:dyDescent="0.4">
      <c r="A16059" s="4">
        <v>501200200</v>
      </c>
      <c r="B16059">
        <v>8450000</v>
      </c>
    </row>
    <row r="16060" spans="1:2" x14ac:dyDescent="0.4">
      <c r="A16060" s="4">
        <v>501200200</v>
      </c>
      <c r="B16060">
        <v>8460100</v>
      </c>
    </row>
    <row r="16061" spans="1:2" x14ac:dyDescent="0.4">
      <c r="A16061" s="4">
        <v>501200200</v>
      </c>
      <c r="B16061">
        <v>8460300</v>
      </c>
    </row>
    <row r="16062" spans="1:2" x14ac:dyDescent="0.4">
      <c r="A16062" s="4">
        <v>501200200</v>
      </c>
      <c r="B16062">
        <v>8460500</v>
      </c>
    </row>
    <row r="16063" spans="1:2" x14ac:dyDescent="0.4">
      <c r="A16063" s="4">
        <v>501200200</v>
      </c>
      <c r="B16063">
        <v>8510000</v>
      </c>
    </row>
    <row r="16064" spans="1:2" x14ac:dyDescent="0.4">
      <c r="A16064" s="4">
        <v>501200200</v>
      </c>
      <c r="B16064">
        <v>8510001</v>
      </c>
    </row>
    <row r="16065" spans="1:2" x14ac:dyDescent="0.4">
      <c r="A16065" s="4">
        <v>501200200</v>
      </c>
      <c r="B16065">
        <v>8510002</v>
      </c>
    </row>
    <row r="16066" spans="1:2" x14ac:dyDescent="0.4">
      <c r="A16066" s="4">
        <v>501200200</v>
      </c>
      <c r="B16066">
        <v>8520000</v>
      </c>
    </row>
    <row r="16067" spans="1:2" x14ac:dyDescent="0.4">
      <c r="A16067" s="4">
        <v>501200200</v>
      </c>
      <c r="B16067">
        <v>8520001</v>
      </c>
    </row>
    <row r="16068" spans="1:2" x14ac:dyDescent="0.4">
      <c r="A16068" s="4">
        <v>501200200</v>
      </c>
      <c r="B16068">
        <v>8520002</v>
      </c>
    </row>
    <row r="16069" spans="1:2" x14ac:dyDescent="0.4">
      <c r="A16069" s="4">
        <v>501200200</v>
      </c>
      <c r="B16069">
        <v>8530000</v>
      </c>
    </row>
    <row r="16070" spans="1:2" x14ac:dyDescent="0.4">
      <c r="A16070" s="4">
        <v>501200200</v>
      </c>
      <c r="B16070">
        <v>8530100</v>
      </c>
    </row>
    <row r="16071" spans="1:2" x14ac:dyDescent="0.4">
      <c r="A16071" s="4">
        <v>501200200</v>
      </c>
      <c r="B16071">
        <v>8540000</v>
      </c>
    </row>
    <row r="16072" spans="1:2" x14ac:dyDescent="0.4">
      <c r="A16072" s="4">
        <v>501200200</v>
      </c>
      <c r="B16072">
        <v>8600100</v>
      </c>
    </row>
    <row r="16073" spans="1:2" x14ac:dyDescent="0.4">
      <c r="A16073" s="4">
        <v>501200200</v>
      </c>
      <c r="B16073">
        <v>8600101</v>
      </c>
    </row>
    <row r="16074" spans="1:2" x14ac:dyDescent="0.4">
      <c r="A16074" s="4">
        <v>501200200</v>
      </c>
      <c r="B16074">
        <v>8600102</v>
      </c>
    </row>
    <row r="16075" spans="1:2" x14ac:dyDescent="0.4">
      <c r="A16075" s="4">
        <v>501200200</v>
      </c>
      <c r="B16075">
        <v>8600200</v>
      </c>
    </row>
    <row r="16076" spans="1:2" x14ac:dyDescent="0.4">
      <c r="A16076" s="4">
        <v>501200200</v>
      </c>
      <c r="B16076">
        <v>8600201</v>
      </c>
    </row>
    <row r="16077" spans="1:2" x14ac:dyDescent="0.4">
      <c r="A16077" s="4">
        <v>501200200</v>
      </c>
      <c r="B16077">
        <v>8600202</v>
      </c>
    </row>
    <row r="16078" spans="1:2" x14ac:dyDescent="0.4">
      <c r="A16078" s="4">
        <v>501200200</v>
      </c>
      <c r="B16078">
        <v>8610300</v>
      </c>
    </row>
    <row r="16079" spans="1:2" x14ac:dyDescent="0.4">
      <c r="A16079" s="4">
        <v>501200200</v>
      </c>
      <c r="B16079">
        <v>8610400</v>
      </c>
    </row>
    <row r="16080" spans="1:2" x14ac:dyDescent="0.4">
      <c r="A16080" s="4">
        <v>501200200</v>
      </c>
      <c r="B16080">
        <v>8610500</v>
      </c>
    </row>
    <row r="16081" spans="1:2" x14ac:dyDescent="0.4">
      <c r="A16081" s="4">
        <v>501200200</v>
      </c>
      <c r="B16081">
        <v>8610600</v>
      </c>
    </row>
    <row r="16082" spans="1:2" x14ac:dyDescent="0.4">
      <c r="A16082" s="4">
        <v>501200200</v>
      </c>
      <c r="B16082">
        <v>8610700</v>
      </c>
    </row>
    <row r="16083" spans="1:2" x14ac:dyDescent="0.4">
      <c r="A16083" s="4">
        <v>501200200</v>
      </c>
      <c r="B16083">
        <v>8610710</v>
      </c>
    </row>
    <row r="16084" spans="1:2" x14ac:dyDescent="0.4">
      <c r="A16084" s="4">
        <v>501200200</v>
      </c>
      <c r="B16084">
        <v>8610720</v>
      </c>
    </row>
    <row r="16085" spans="1:2" x14ac:dyDescent="0.4">
      <c r="A16085" s="4">
        <v>501200200</v>
      </c>
      <c r="B16085">
        <v>8620000</v>
      </c>
    </row>
    <row r="16086" spans="1:2" x14ac:dyDescent="0.4">
      <c r="A16086" s="4">
        <v>501200200</v>
      </c>
      <c r="B16086">
        <v>8620010</v>
      </c>
    </row>
    <row r="16087" spans="1:2" x14ac:dyDescent="0.4">
      <c r="A16087" s="4">
        <v>501200200</v>
      </c>
      <c r="B16087">
        <v>8620020</v>
      </c>
    </row>
    <row r="16088" spans="1:2" x14ac:dyDescent="0.4">
      <c r="A16088" s="4">
        <v>501200200</v>
      </c>
      <c r="B16088">
        <v>8620100</v>
      </c>
    </row>
    <row r="16089" spans="1:2" x14ac:dyDescent="0.4">
      <c r="A16089" s="4">
        <v>501200200</v>
      </c>
      <c r="B16089">
        <v>8620110</v>
      </c>
    </row>
    <row r="16090" spans="1:2" x14ac:dyDescent="0.4">
      <c r="A16090" s="4">
        <v>501200200</v>
      </c>
      <c r="B16090">
        <v>8620120</v>
      </c>
    </row>
    <row r="16091" spans="1:2" x14ac:dyDescent="0.4">
      <c r="A16091" s="4">
        <v>501200200</v>
      </c>
      <c r="B16091">
        <v>8630000</v>
      </c>
    </row>
    <row r="16092" spans="1:2" x14ac:dyDescent="0.4">
      <c r="A16092" s="4">
        <v>501200200</v>
      </c>
      <c r="B16092">
        <v>8630000</v>
      </c>
    </row>
    <row r="16093" spans="1:2" x14ac:dyDescent="0.4">
      <c r="A16093" s="4">
        <v>501200200</v>
      </c>
      <c r="B16093">
        <v>8630000</v>
      </c>
    </row>
    <row r="16094" spans="1:2" x14ac:dyDescent="0.4">
      <c r="A16094" s="4">
        <v>501200200</v>
      </c>
      <c r="B16094">
        <v>8630100</v>
      </c>
    </row>
    <row r="16095" spans="1:2" x14ac:dyDescent="0.4">
      <c r="A16095" s="4">
        <v>501200200</v>
      </c>
      <c r="B16095">
        <v>8630100</v>
      </c>
    </row>
    <row r="16096" spans="1:2" x14ac:dyDescent="0.4">
      <c r="A16096" s="4">
        <v>501200200</v>
      </c>
      <c r="B16096">
        <v>8630100</v>
      </c>
    </row>
    <row r="16097" spans="1:2" x14ac:dyDescent="0.4">
      <c r="A16097" s="4">
        <v>501200200</v>
      </c>
      <c r="B16097">
        <v>8630200</v>
      </c>
    </row>
    <row r="16098" spans="1:2" x14ac:dyDescent="0.4">
      <c r="A16098" s="4">
        <v>501200200</v>
      </c>
      <c r="B16098">
        <v>8630300</v>
      </c>
    </row>
    <row r="16099" spans="1:2" x14ac:dyDescent="0.4">
      <c r="A16099" s="4">
        <v>501200200</v>
      </c>
      <c r="B16099">
        <v>8630400</v>
      </c>
    </row>
    <row r="16100" spans="1:2" x14ac:dyDescent="0.4">
      <c r="A16100" s="4">
        <v>501200200</v>
      </c>
      <c r="B16100">
        <v>8630500</v>
      </c>
    </row>
    <row r="16101" spans="1:2" x14ac:dyDescent="0.4">
      <c r="A16101" s="4">
        <v>501200200</v>
      </c>
      <c r="B16101">
        <v>8630600</v>
      </c>
    </row>
    <row r="16102" spans="1:2" x14ac:dyDescent="0.4">
      <c r="A16102" s="4">
        <v>501200200</v>
      </c>
      <c r="B16102">
        <v>8630700</v>
      </c>
    </row>
    <row r="16103" spans="1:2" x14ac:dyDescent="0.4">
      <c r="A16103" s="4">
        <v>501200200</v>
      </c>
      <c r="B16103">
        <v>8630800</v>
      </c>
    </row>
    <row r="16104" spans="1:2" x14ac:dyDescent="0.4">
      <c r="A16104" s="4">
        <v>501200200</v>
      </c>
      <c r="B16104">
        <v>8652000</v>
      </c>
    </row>
    <row r="16105" spans="1:2" x14ac:dyDescent="0.4">
      <c r="A16105" s="4">
        <v>501200200</v>
      </c>
      <c r="B16105">
        <v>8652010</v>
      </c>
    </row>
    <row r="16106" spans="1:2" x14ac:dyDescent="0.4">
      <c r="A16106" s="4">
        <v>501200200</v>
      </c>
      <c r="B16106">
        <v>8652020</v>
      </c>
    </row>
    <row r="16107" spans="1:2" x14ac:dyDescent="0.4">
      <c r="A16107" s="4">
        <v>501200200</v>
      </c>
      <c r="B16107">
        <v>8652100</v>
      </c>
    </row>
    <row r="16108" spans="1:2" x14ac:dyDescent="0.4">
      <c r="A16108" s="4">
        <v>501200200</v>
      </c>
      <c r="B16108">
        <v>8652110</v>
      </c>
    </row>
    <row r="16109" spans="1:2" x14ac:dyDescent="0.4">
      <c r="A16109" s="4">
        <v>501200200</v>
      </c>
      <c r="B16109">
        <v>8652120</v>
      </c>
    </row>
    <row r="16110" spans="1:2" x14ac:dyDescent="0.4">
      <c r="A16110" s="4">
        <v>501200200</v>
      </c>
      <c r="B16110">
        <v>8660000</v>
      </c>
    </row>
    <row r="16111" spans="1:2" x14ac:dyDescent="0.4">
      <c r="A16111" s="4">
        <v>501200200</v>
      </c>
      <c r="B16111">
        <v>8660001</v>
      </c>
    </row>
    <row r="16112" spans="1:2" x14ac:dyDescent="0.4">
      <c r="A16112" s="4">
        <v>501200200</v>
      </c>
      <c r="B16112">
        <v>8660002</v>
      </c>
    </row>
    <row r="16113" spans="1:2" x14ac:dyDescent="0.4">
      <c r="A16113" s="4">
        <v>501200200</v>
      </c>
      <c r="B16113">
        <v>8660100</v>
      </c>
    </row>
    <row r="16114" spans="1:2" x14ac:dyDescent="0.4">
      <c r="A16114" s="4">
        <v>501200200</v>
      </c>
      <c r="B16114">
        <v>8660101</v>
      </c>
    </row>
    <row r="16115" spans="1:2" x14ac:dyDescent="0.4">
      <c r="A16115" s="4">
        <v>501200200</v>
      </c>
      <c r="B16115">
        <v>8660102</v>
      </c>
    </row>
    <row r="16116" spans="1:2" x14ac:dyDescent="0.4">
      <c r="A16116" s="4">
        <v>501200200</v>
      </c>
      <c r="B16116">
        <v>8670000</v>
      </c>
    </row>
    <row r="16117" spans="1:2" x14ac:dyDescent="0.4">
      <c r="A16117" s="4">
        <v>501200200</v>
      </c>
      <c r="B16117">
        <v>8670001</v>
      </c>
    </row>
    <row r="16118" spans="1:2" x14ac:dyDescent="0.4">
      <c r="A16118" s="4">
        <v>501200200</v>
      </c>
      <c r="B16118">
        <v>8670002</v>
      </c>
    </row>
    <row r="16119" spans="1:2" x14ac:dyDescent="0.4">
      <c r="A16119" s="4">
        <v>501200200</v>
      </c>
      <c r="B16119">
        <v>8670100</v>
      </c>
    </row>
    <row r="16120" spans="1:2" x14ac:dyDescent="0.4">
      <c r="A16120" s="4">
        <v>501200200</v>
      </c>
      <c r="B16120">
        <v>8670101</v>
      </c>
    </row>
    <row r="16121" spans="1:2" x14ac:dyDescent="0.4">
      <c r="A16121" s="4">
        <v>501200200</v>
      </c>
      <c r="B16121">
        <v>8670102</v>
      </c>
    </row>
    <row r="16122" spans="1:2" x14ac:dyDescent="0.4">
      <c r="A16122" s="4">
        <v>501200200</v>
      </c>
      <c r="B16122">
        <v>8690000</v>
      </c>
    </row>
    <row r="16123" spans="1:2" x14ac:dyDescent="0.4">
      <c r="A16123" s="4">
        <v>501200200</v>
      </c>
      <c r="B16123">
        <v>8690100</v>
      </c>
    </row>
    <row r="16124" spans="1:2" x14ac:dyDescent="0.4">
      <c r="A16124" s="4">
        <v>501200200</v>
      </c>
      <c r="B16124">
        <v>8690200</v>
      </c>
    </row>
    <row r="16125" spans="1:2" x14ac:dyDescent="0.4">
      <c r="A16125" s="4">
        <v>501200200</v>
      </c>
      <c r="B16125">
        <v>8690300</v>
      </c>
    </row>
    <row r="16126" spans="1:2" x14ac:dyDescent="0.4">
      <c r="A16126" s="4">
        <v>501200200</v>
      </c>
      <c r="B16126">
        <v>8690400</v>
      </c>
    </row>
    <row r="16127" spans="1:2" x14ac:dyDescent="0.4">
      <c r="A16127" s="4">
        <v>501200200</v>
      </c>
      <c r="B16127">
        <v>8320500</v>
      </c>
    </row>
    <row r="16128" spans="1:2" x14ac:dyDescent="0.4">
      <c r="A16128" s="4">
        <v>501200200</v>
      </c>
      <c r="B16128">
        <v>8320510</v>
      </c>
    </row>
    <row r="16129" spans="1:2" x14ac:dyDescent="0.4">
      <c r="A16129" s="4">
        <v>501200200</v>
      </c>
      <c r="B16129">
        <v>8320520</v>
      </c>
    </row>
    <row r="16130" spans="1:2" x14ac:dyDescent="0.4">
      <c r="A16130" s="4">
        <v>501200200</v>
      </c>
      <c r="B16130">
        <v>8320600</v>
      </c>
    </row>
    <row r="16131" spans="1:2" x14ac:dyDescent="0.4">
      <c r="A16131" s="4">
        <v>501200200</v>
      </c>
      <c r="B16131">
        <v>8320610</v>
      </c>
    </row>
    <row r="16132" spans="1:2" x14ac:dyDescent="0.4">
      <c r="A16132" s="4">
        <v>501200200</v>
      </c>
      <c r="B16132">
        <v>8320620</v>
      </c>
    </row>
    <row r="16133" spans="1:2" x14ac:dyDescent="0.4">
      <c r="A16133" s="4">
        <v>501200200</v>
      </c>
      <c r="B16133">
        <v>8320700</v>
      </c>
    </row>
    <row r="16134" spans="1:2" x14ac:dyDescent="0.4">
      <c r="A16134" s="4">
        <v>501200200</v>
      </c>
      <c r="B16134">
        <v>8320710</v>
      </c>
    </row>
    <row r="16135" spans="1:2" x14ac:dyDescent="0.4">
      <c r="A16135" s="4">
        <v>501200200</v>
      </c>
      <c r="B16135">
        <v>8320720</v>
      </c>
    </row>
    <row r="16136" spans="1:2" x14ac:dyDescent="0.4">
      <c r="A16136" s="4">
        <v>501300000</v>
      </c>
      <c r="B16136">
        <v>0</v>
      </c>
    </row>
    <row r="16137" spans="1:2" x14ac:dyDescent="0.4">
      <c r="A16137" s="4">
        <v>501300000</v>
      </c>
      <c r="B16137">
        <v>8100100</v>
      </c>
    </row>
    <row r="16138" spans="1:2" x14ac:dyDescent="0.4">
      <c r="A16138" s="4">
        <v>501300000</v>
      </c>
      <c r="B16138">
        <v>8100101</v>
      </c>
    </row>
    <row r="16139" spans="1:2" x14ac:dyDescent="0.4">
      <c r="A16139" s="4">
        <v>501300000</v>
      </c>
      <c r="B16139">
        <v>8100102</v>
      </c>
    </row>
    <row r="16140" spans="1:2" x14ac:dyDescent="0.4">
      <c r="A16140" s="4">
        <v>501300000</v>
      </c>
      <c r="B16140">
        <v>8100200</v>
      </c>
    </row>
    <row r="16141" spans="1:2" x14ac:dyDescent="0.4">
      <c r="A16141" s="4">
        <v>501300000</v>
      </c>
      <c r="B16141">
        <v>8100201</v>
      </c>
    </row>
    <row r="16142" spans="1:2" x14ac:dyDescent="0.4">
      <c r="A16142" s="4">
        <v>501300000</v>
      </c>
      <c r="B16142">
        <v>8100202</v>
      </c>
    </row>
    <row r="16143" spans="1:2" x14ac:dyDescent="0.4">
      <c r="A16143" s="4">
        <v>501300000</v>
      </c>
      <c r="B16143">
        <v>8100300</v>
      </c>
    </row>
    <row r="16144" spans="1:2" x14ac:dyDescent="0.4">
      <c r="A16144" s="4">
        <v>501300000</v>
      </c>
      <c r="B16144">
        <v>8100301</v>
      </c>
    </row>
    <row r="16145" spans="1:2" x14ac:dyDescent="0.4">
      <c r="A16145" s="4">
        <v>501300000</v>
      </c>
      <c r="B16145">
        <v>8100302</v>
      </c>
    </row>
    <row r="16146" spans="1:2" x14ac:dyDescent="0.4">
      <c r="A16146" s="4">
        <v>501300000</v>
      </c>
      <c r="B16146">
        <v>8100400</v>
      </c>
    </row>
    <row r="16147" spans="1:2" x14ac:dyDescent="0.4">
      <c r="A16147" s="4">
        <v>501300000</v>
      </c>
      <c r="B16147">
        <v>8100401</v>
      </c>
    </row>
    <row r="16148" spans="1:2" x14ac:dyDescent="0.4">
      <c r="A16148" s="4">
        <v>501300000</v>
      </c>
      <c r="B16148">
        <v>8100402</v>
      </c>
    </row>
    <row r="16149" spans="1:2" x14ac:dyDescent="0.4">
      <c r="A16149" s="4">
        <v>501300000</v>
      </c>
      <c r="B16149">
        <v>8130000</v>
      </c>
    </row>
    <row r="16150" spans="1:2" x14ac:dyDescent="0.4">
      <c r="A16150" s="4">
        <v>501300000</v>
      </c>
      <c r="B16150">
        <v>8130001</v>
      </c>
    </row>
    <row r="16151" spans="1:2" x14ac:dyDescent="0.4">
      <c r="A16151" s="4">
        <v>501300000</v>
      </c>
      <c r="B16151">
        <v>8130002</v>
      </c>
    </row>
    <row r="16152" spans="1:2" x14ac:dyDescent="0.4">
      <c r="A16152" s="4">
        <v>501300000</v>
      </c>
      <c r="B16152">
        <v>8140000</v>
      </c>
    </row>
    <row r="16153" spans="1:2" x14ac:dyDescent="0.4">
      <c r="A16153" s="4">
        <v>501300000</v>
      </c>
      <c r="B16153">
        <v>8140001</v>
      </c>
    </row>
    <row r="16154" spans="1:2" x14ac:dyDescent="0.4">
      <c r="A16154" s="4">
        <v>501300000</v>
      </c>
      <c r="B16154">
        <v>8140002</v>
      </c>
    </row>
    <row r="16155" spans="1:2" x14ac:dyDescent="0.4">
      <c r="A16155" s="4">
        <v>501300000</v>
      </c>
      <c r="B16155">
        <v>8200100</v>
      </c>
    </row>
    <row r="16156" spans="1:2" x14ac:dyDescent="0.4">
      <c r="A16156" s="4">
        <v>501300000</v>
      </c>
      <c r="B16156">
        <v>8200101</v>
      </c>
    </row>
    <row r="16157" spans="1:2" x14ac:dyDescent="0.4">
      <c r="A16157" s="4">
        <v>501300000</v>
      </c>
      <c r="B16157">
        <v>8200102</v>
      </c>
    </row>
    <row r="16158" spans="1:2" x14ac:dyDescent="0.4">
      <c r="A16158" s="4">
        <v>501300000</v>
      </c>
      <c r="B16158">
        <v>8200200</v>
      </c>
    </row>
    <row r="16159" spans="1:2" x14ac:dyDescent="0.4">
      <c r="A16159" s="4">
        <v>501300000</v>
      </c>
      <c r="B16159">
        <v>8200201</v>
      </c>
    </row>
    <row r="16160" spans="1:2" x14ac:dyDescent="0.4">
      <c r="A16160" s="4">
        <v>501300000</v>
      </c>
      <c r="B16160">
        <v>8200202</v>
      </c>
    </row>
    <row r="16161" spans="1:2" x14ac:dyDescent="0.4">
      <c r="A16161" s="4">
        <v>501300000</v>
      </c>
      <c r="B16161">
        <v>8200300</v>
      </c>
    </row>
    <row r="16162" spans="1:2" x14ac:dyDescent="0.4">
      <c r="A16162" s="4">
        <v>501300000</v>
      </c>
      <c r="B16162">
        <v>8200301</v>
      </c>
    </row>
    <row r="16163" spans="1:2" x14ac:dyDescent="0.4">
      <c r="A16163" s="4">
        <v>501300000</v>
      </c>
      <c r="B16163">
        <v>8200302</v>
      </c>
    </row>
    <row r="16164" spans="1:2" x14ac:dyDescent="0.4">
      <c r="A16164" s="4">
        <v>501300000</v>
      </c>
      <c r="B16164">
        <v>8200400</v>
      </c>
    </row>
    <row r="16165" spans="1:2" x14ac:dyDescent="0.4">
      <c r="A16165" s="4">
        <v>501300000</v>
      </c>
      <c r="B16165">
        <v>8200401</v>
      </c>
    </row>
    <row r="16166" spans="1:2" x14ac:dyDescent="0.4">
      <c r="A16166" s="4">
        <v>501300000</v>
      </c>
      <c r="B16166">
        <v>8200402</v>
      </c>
    </row>
    <row r="16167" spans="1:2" x14ac:dyDescent="0.4">
      <c r="A16167" s="4">
        <v>501300000</v>
      </c>
      <c r="B16167">
        <v>8210000</v>
      </c>
    </row>
    <row r="16168" spans="1:2" x14ac:dyDescent="0.4">
      <c r="A16168" s="4">
        <v>501300000</v>
      </c>
      <c r="B16168">
        <v>8210001</v>
      </c>
    </row>
    <row r="16169" spans="1:2" x14ac:dyDescent="0.4">
      <c r="A16169" s="4">
        <v>501300000</v>
      </c>
      <c r="B16169">
        <v>8210002</v>
      </c>
    </row>
    <row r="16170" spans="1:2" x14ac:dyDescent="0.4">
      <c r="A16170" s="4">
        <v>501300000</v>
      </c>
      <c r="B16170">
        <v>8210100</v>
      </c>
    </row>
    <row r="16171" spans="1:2" x14ac:dyDescent="0.4">
      <c r="A16171" s="4">
        <v>501300000</v>
      </c>
      <c r="B16171">
        <v>8210101</v>
      </c>
    </row>
    <row r="16172" spans="1:2" x14ac:dyDescent="0.4">
      <c r="A16172" s="4">
        <v>501300000</v>
      </c>
      <c r="B16172">
        <v>8210102</v>
      </c>
    </row>
    <row r="16173" spans="1:2" x14ac:dyDescent="0.4">
      <c r="A16173" s="4">
        <v>501300000</v>
      </c>
      <c r="B16173">
        <v>8210200</v>
      </c>
    </row>
    <row r="16174" spans="1:2" x14ac:dyDescent="0.4">
      <c r="A16174" s="4">
        <v>501300000</v>
      </c>
      <c r="B16174">
        <v>8210201</v>
      </c>
    </row>
    <row r="16175" spans="1:2" x14ac:dyDescent="0.4">
      <c r="A16175" s="4">
        <v>501300000</v>
      </c>
      <c r="B16175">
        <v>8210202</v>
      </c>
    </row>
    <row r="16176" spans="1:2" x14ac:dyDescent="0.4">
      <c r="A16176" s="4">
        <v>501300000</v>
      </c>
      <c r="B16176">
        <v>8210300</v>
      </c>
    </row>
    <row r="16177" spans="1:2" x14ac:dyDescent="0.4">
      <c r="A16177" s="4">
        <v>501300000</v>
      </c>
      <c r="B16177">
        <v>8210301</v>
      </c>
    </row>
    <row r="16178" spans="1:2" x14ac:dyDescent="0.4">
      <c r="A16178" s="4">
        <v>501300000</v>
      </c>
      <c r="B16178">
        <v>8210302</v>
      </c>
    </row>
    <row r="16179" spans="1:2" x14ac:dyDescent="0.4">
      <c r="A16179" s="4">
        <v>501300000</v>
      </c>
      <c r="B16179">
        <v>8210400</v>
      </c>
    </row>
    <row r="16180" spans="1:2" x14ac:dyDescent="0.4">
      <c r="A16180" s="4">
        <v>501300000</v>
      </c>
      <c r="B16180">
        <v>8210401</v>
      </c>
    </row>
    <row r="16181" spans="1:2" x14ac:dyDescent="0.4">
      <c r="A16181" s="4">
        <v>501300000</v>
      </c>
      <c r="B16181">
        <v>8210402</v>
      </c>
    </row>
    <row r="16182" spans="1:2" x14ac:dyDescent="0.4">
      <c r="A16182" s="4">
        <v>501300000</v>
      </c>
      <c r="B16182">
        <v>8210500</v>
      </c>
    </row>
    <row r="16183" spans="1:2" x14ac:dyDescent="0.4">
      <c r="A16183" s="4">
        <v>501300000</v>
      </c>
      <c r="B16183">
        <v>8210501</v>
      </c>
    </row>
    <row r="16184" spans="1:2" x14ac:dyDescent="0.4">
      <c r="A16184" s="4">
        <v>501300000</v>
      </c>
      <c r="B16184">
        <v>8210502</v>
      </c>
    </row>
    <row r="16185" spans="1:2" x14ac:dyDescent="0.4">
      <c r="A16185" s="4">
        <v>501300000</v>
      </c>
      <c r="B16185">
        <v>8210600</v>
      </c>
    </row>
    <row r="16186" spans="1:2" x14ac:dyDescent="0.4">
      <c r="A16186" s="4">
        <v>501300000</v>
      </c>
      <c r="B16186">
        <v>8210601</v>
      </c>
    </row>
    <row r="16187" spans="1:2" x14ac:dyDescent="0.4">
      <c r="A16187" s="4">
        <v>501300000</v>
      </c>
      <c r="B16187">
        <v>8210602</v>
      </c>
    </row>
    <row r="16188" spans="1:2" x14ac:dyDescent="0.4">
      <c r="A16188" s="4">
        <v>501300000</v>
      </c>
      <c r="B16188">
        <v>8220000</v>
      </c>
    </row>
    <row r="16189" spans="1:2" x14ac:dyDescent="0.4">
      <c r="A16189" s="4">
        <v>501300000</v>
      </c>
      <c r="B16189">
        <v>8220001</v>
      </c>
    </row>
    <row r="16190" spans="1:2" x14ac:dyDescent="0.4">
      <c r="A16190" s="4">
        <v>501300000</v>
      </c>
      <c r="B16190">
        <v>8220002</v>
      </c>
    </row>
    <row r="16191" spans="1:2" x14ac:dyDescent="0.4">
      <c r="A16191" s="4">
        <v>501300000</v>
      </c>
      <c r="B16191">
        <v>8300000</v>
      </c>
    </row>
    <row r="16192" spans="1:2" x14ac:dyDescent="0.4">
      <c r="A16192" s="4">
        <v>501300000</v>
      </c>
      <c r="B16192">
        <v>8300001</v>
      </c>
    </row>
    <row r="16193" spans="1:2" x14ac:dyDescent="0.4">
      <c r="A16193" s="4">
        <v>501300000</v>
      </c>
      <c r="B16193">
        <v>8300002</v>
      </c>
    </row>
    <row r="16194" spans="1:2" x14ac:dyDescent="0.4">
      <c r="A16194" s="4">
        <v>501300000</v>
      </c>
      <c r="B16194">
        <v>8310000</v>
      </c>
    </row>
    <row r="16195" spans="1:2" x14ac:dyDescent="0.4">
      <c r="A16195" s="4">
        <v>501300000</v>
      </c>
      <c r="B16195">
        <v>8310001</v>
      </c>
    </row>
    <row r="16196" spans="1:2" x14ac:dyDescent="0.4">
      <c r="A16196" s="4">
        <v>501300000</v>
      </c>
      <c r="B16196">
        <v>8310002</v>
      </c>
    </row>
    <row r="16197" spans="1:2" x14ac:dyDescent="0.4">
      <c r="A16197" s="4">
        <v>501300000</v>
      </c>
      <c r="B16197">
        <v>8320000</v>
      </c>
    </row>
    <row r="16198" spans="1:2" x14ac:dyDescent="0.4">
      <c r="A16198" s="4">
        <v>501300000</v>
      </c>
      <c r="B16198">
        <v>8320001</v>
      </c>
    </row>
    <row r="16199" spans="1:2" x14ac:dyDescent="0.4">
      <c r="A16199" s="4">
        <v>501300000</v>
      </c>
      <c r="B16199">
        <v>8320002</v>
      </c>
    </row>
    <row r="16200" spans="1:2" x14ac:dyDescent="0.4">
      <c r="A16200" s="4">
        <v>501300000</v>
      </c>
      <c r="B16200">
        <v>8320100</v>
      </c>
    </row>
    <row r="16201" spans="1:2" x14ac:dyDescent="0.4">
      <c r="A16201" s="4">
        <v>501300000</v>
      </c>
      <c r="B16201">
        <v>8320101</v>
      </c>
    </row>
    <row r="16202" spans="1:2" x14ac:dyDescent="0.4">
      <c r="A16202" s="4">
        <v>501300000</v>
      </c>
      <c r="B16202">
        <v>8320102</v>
      </c>
    </row>
    <row r="16203" spans="1:2" x14ac:dyDescent="0.4">
      <c r="A16203" s="4">
        <v>501300000</v>
      </c>
      <c r="B16203">
        <v>8320300</v>
      </c>
    </row>
    <row r="16204" spans="1:2" x14ac:dyDescent="0.4">
      <c r="A16204" s="4">
        <v>501300000</v>
      </c>
      <c r="B16204">
        <v>8320301</v>
      </c>
    </row>
    <row r="16205" spans="1:2" x14ac:dyDescent="0.4">
      <c r="A16205" s="4">
        <v>501300000</v>
      </c>
      <c r="B16205">
        <v>8320302</v>
      </c>
    </row>
    <row r="16206" spans="1:2" x14ac:dyDescent="0.4">
      <c r="A16206" s="4">
        <v>501300000</v>
      </c>
      <c r="B16206">
        <v>8320400</v>
      </c>
    </row>
    <row r="16207" spans="1:2" x14ac:dyDescent="0.4">
      <c r="A16207" s="4">
        <v>501300000</v>
      </c>
      <c r="B16207">
        <v>8320410</v>
      </c>
    </row>
    <row r="16208" spans="1:2" x14ac:dyDescent="0.4">
      <c r="A16208" s="4">
        <v>501300000</v>
      </c>
      <c r="B16208">
        <v>8320420</v>
      </c>
    </row>
    <row r="16209" spans="1:2" x14ac:dyDescent="0.4">
      <c r="A16209" s="4">
        <v>501300000</v>
      </c>
      <c r="B16209">
        <v>8330000</v>
      </c>
    </row>
    <row r="16210" spans="1:2" x14ac:dyDescent="0.4">
      <c r="A16210" s="4">
        <v>501300000</v>
      </c>
      <c r="B16210">
        <v>8330001</v>
      </c>
    </row>
    <row r="16211" spans="1:2" x14ac:dyDescent="0.4">
      <c r="A16211" s="4">
        <v>501300000</v>
      </c>
      <c r="B16211">
        <v>8330002</v>
      </c>
    </row>
    <row r="16212" spans="1:2" x14ac:dyDescent="0.4">
      <c r="A16212" s="4">
        <v>501300000</v>
      </c>
      <c r="B16212">
        <v>8330100</v>
      </c>
    </row>
    <row r="16213" spans="1:2" x14ac:dyDescent="0.4">
      <c r="A16213" s="4">
        <v>501300000</v>
      </c>
      <c r="B16213">
        <v>8330101</v>
      </c>
    </row>
    <row r="16214" spans="1:2" x14ac:dyDescent="0.4">
      <c r="A16214" s="4">
        <v>501300000</v>
      </c>
      <c r="B16214">
        <v>8330102</v>
      </c>
    </row>
    <row r="16215" spans="1:2" x14ac:dyDescent="0.4">
      <c r="A16215" s="4">
        <v>501300000</v>
      </c>
      <c r="B16215">
        <v>8330200</v>
      </c>
    </row>
    <row r="16216" spans="1:2" x14ac:dyDescent="0.4">
      <c r="A16216" s="4">
        <v>501300000</v>
      </c>
      <c r="B16216">
        <v>8330201</v>
      </c>
    </row>
    <row r="16217" spans="1:2" x14ac:dyDescent="0.4">
      <c r="A16217" s="4">
        <v>501300000</v>
      </c>
      <c r="B16217">
        <v>8330202</v>
      </c>
    </row>
    <row r="16218" spans="1:2" x14ac:dyDescent="0.4">
      <c r="A16218" s="4">
        <v>501300000</v>
      </c>
      <c r="B16218">
        <v>8330300</v>
      </c>
    </row>
    <row r="16219" spans="1:2" x14ac:dyDescent="0.4">
      <c r="A16219" s="4">
        <v>501300000</v>
      </c>
      <c r="B16219">
        <v>8330301</v>
      </c>
    </row>
    <row r="16220" spans="1:2" x14ac:dyDescent="0.4">
      <c r="A16220" s="4">
        <v>501300000</v>
      </c>
      <c r="B16220">
        <v>8330302</v>
      </c>
    </row>
    <row r="16221" spans="1:2" x14ac:dyDescent="0.4">
      <c r="A16221" s="4">
        <v>501300000</v>
      </c>
      <c r="B16221">
        <v>8330400</v>
      </c>
    </row>
    <row r="16222" spans="1:2" x14ac:dyDescent="0.4">
      <c r="A16222" s="4">
        <v>501300000</v>
      </c>
      <c r="B16222">
        <v>8330401</v>
      </c>
    </row>
    <row r="16223" spans="1:2" x14ac:dyDescent="0.4">
      <c r="A16223" s="4">
        <v>501300000</v>
      </c>
      <c r="B16223">
        <v>8330600</v>
      </c>
    </row>
    <row r="16224" spans="1:2" x14ac:dyDescent="0.4">
      <c r="A16224" s="4">
        <v>501300000</v>
      </c>
      <c r="B16224">
        <v>8330601</v>
      </c>
    </row>
    <row r="16225" spans="1:2" x14ac:dyDescent="0.4">
      <c r="A16225" s="4">
        <v>501300000</v>
      </c>
      <c r="B16225">
        <v>8330602</v>
      </c>
    </row>
    <row r="16226" spans="1:2" x14ac:dyDescent="0.4">
      <c r="A16226" s="4">
        <v>501300000</v>
      </c>
      <c r="B16226">
        <v>8330900</v>
      </c>
    </row>
    <row r="16227" spans="1:2" x14ac:dyDescent="0.4">
      <c r="A16227" s="4">
        <v>501300000</v>
      </c>
      <c r="B16227">
        <v>8330910</v>
      </c>
    </row>
    <row r="16228" spans="1:2" x14ac:dyDescent="0.4">
      <c r="A16228" s="4">
        <v>501300000</v>
      </c>
      <c r="B16228">
        <v>8330920</v>
      </c>
    </row>
    <row r="16229" spans="1:2" x14ac:dyDescent="0.4">
      <c r="A16229" s="4">
        <v>501300000</v>
      </c>
      <c r="B16229">
        <v>8340000</v>
      </c>
    </row>
    <row r="16230" spans="1:2" x14ac:dyDescent="0.4">
      <c r="A16230" s="4">
        <v>501300000</v>
      </c>
      <c r="B16230">
        <v>8340001</v>
      </c>
    </row>
    <row r="16231" spans="1:2" x14ac:dyDescent="0.4">
      <c r="A16231" s="4">
        <v>501300000</v>
      </c>
      <c r="B16231">
        <v>8340002</v>
      </c>
    </row>
    <row r="16232" spans="1:2" x14ac:dyDescent="0.4">
      <c r="A16232" s="4">
        <v>501300000</v>
      </c>
      <c r="B16232">
        <v>8340100</v>
      </c>
    </row>
    <row r="16233" spans="1:2" x14ac:dyDescent="0.4">
      <c r="A16233" s="4">
        <v>501300000</v>
      </c>
      <c r="B16233">
        <v>8340101</v>
      </c>
    </row>
    <row r="16234" spans="1:2" x14ac:dyDescent="0.4">
      <c r="A16234" s="4">
        <v>501300000</v>
      </c>
      <c r="B16234">
        <v>8340102</v>
      </c>
    </row>
    <row r="16235" spans="1:2" x14ac:dyDescent="0.4">
      <c r="A16235" s="4">
        <v>501300000</v>
      </c>
      <c r="B16235">
        <v>8350000</v>
      </c>
    </row>
    <row r="16236" spans="1:2" x14ac:dyDescent="0.4">
      <c r="A16236" s="4">
        <v>501300000</v>
      </c>
      <c r="B16236">
        <v>8350001</v>
      </c>
    </row>
    <row r="16237" spans="1:2" x14ac:dyDescent="0.4">
      <c r="A16237" s="4">
        <v>501300000</v>
      </c>
      <c r="B16237">
        <v>8350002</v>
      </c>
    </row>
    <row r="16238" spans="1:2" x14ac:dyDescent="0.4">
      <c r="A16238" s="4">
        <v>501300000</v>
      </c>
      <c r="B16238">
        <v>8350200</v>
      </c>
    </row>
    <row r="16239" spans="1:2" x14ac:dyDescent="0.4">
      <c r="A16239" s="4">
        <v>501300000</v>
      </c>
      <c r="B16239">
        <v>8350201</v>
      </c>
    </row>
    <row r="16240" spans="1:2" x14ac:dyDescent="0.4">
      <c r="A16240" s="4">
        <v>501300000</v>
      </c>
      <c r="B16240">
        <v>8350202</v>
      </c>
    </row>
    <row r="16241" spans="1:2" x14ac:dyDescent="0.4">
      <c r="A16241" s="4">
        <v>501300000</v>
      </c>
      <c r="B16241">
        <v>8420000</v>
      </c>
    </row>
    <row r="16242" spans="1:2" x14ac:dyDescent="0.4">
      <c r="A16242" s="4">
        <v>501300000</v>
      </c>
      <c r="B16242">
        <v>8420001</v>
      </c>
    </row>
    <row r="16243" spans="1:2" x14ac:dyDescent="0.4">
      <c r="A16243" s="4">
        <v>501300000</v>
      </c>
      <c r="B16243">
        <v>8420002</v>
      </c>
    </row>
    <row r="16244" spans="1:2" x14ac:dyDescent="0.4">
      <c r="A16244" s="4">
        <v>501300000</v>
      </c>
      <c r="B16244">
        <v>8450000</v>
      </c>
    </row>
    <row r="16245" spans="1:2" x14ac:dyDescent="0.4">
      <c r="A16245" s="4">
        <v>501300000</v>
      </c>
      <c r="B16245">
        <v>8460100</v>
      </c>
    </row>
    <row r="16246" spans="1:2" x14ac:dyDescent="0.4">
      <c r="A16246" s="4">
        <v>501300000</v>
      </c>
      <c r="B16246">
        <v>8460300</v>
      </c>
    </row>
    <row r="16247" spans="1:2" x14ac:dyDescent="0.4">
      <c r="A16247" s="4">
        <v>501300000</v>
      </c>
      <c r="B16247">
        <v>8460500</v>
      </c>
    </row>
    <row r="16248" spans="1:2" x14ac:dyDescent="0.4">
      <c r="A16248" s="4">
        <v>501300000</v>
      </c>
      <c r="B16248">
        <v>8510000</v>
      </c>
    </row>
    <row r="16249" spans="1:2" x14ac:dyDescent="0.4">
      <c r="A16249" s="4">
        <v>501300000</v>
      </c>
      <c r="B16249">
        <v>8510001</v>
      </c>
    </row>
    <row r="16250" spans="1:2" x14ac:dyDescent="0.4">
      <c r="A16250" s="4">
        <v>501300000</v>
      </c>
      <c r="B16250">
        <v>8510002</v>
      </c>
    </row>
    <row r="16251" spans="1:2" x14ac:dyDescent="0.4">
      <c r="A16251" s="4">
        <v>501300000</v>
      </c>
      <c r="B16251">
        <v>8520000</v>
      </c>
    </row>
    <row r="16252" spans="1:2" x14ac:dyDescent="0.4">
      <c r="A16252" s="4">
        <v>501300000</v>
      </c>
      <c r="B16252">
        <v>8520001</v>
      </c>
    </row>
    <row r="16253" spans="1:2" x14ac:dyDescent="0.4">
      <c r="A16253" s="4">
        <v>501300000</v>
      </c>
      <c r="B16253">
        <v>8520002</v>
      </c>
    </row>
    <row r="16254" spans="1:2" x14ac:dyDescent="0.4">
      <c r="A16254" s="4">
        <v>501300000</v>
      </c>
      <c r="B16254">
        <v>8530000</v>
      </c>
    </row>
    <row r="16255" spans="1:2" x14ac:dyDescent="0.4">
      <c r="A16255" s="4">
        <v>501300000</v>
      </c>
      <c r="B16255">
        <v>8530100</v>
      </c>
    </row>
    <row r="16256" spans="1:2" x14ac:dyDescent="0.4">
      <c r="A16256" s="4">
        <v>501300000</v>
      </c>
      <c r="B16256">
        <v>8540000</v>
      </c>
    </row>
    <row r="16257" spans="1:2" x14ac:dyDescent="0.4">
      <c r="A16257" s="4">
        <v>501300000</v>
      </c>
      <c r="B16257">
        <v>8600100</v>
      </c>
    </row>
    <row r="16258" spans="1:2" x14ac:dyDescent="0.4">
      <c r="A16258" s="4">
        <v>501300000</v>
      </c>
      <c r="B16258">
        <v>8600101</v>
      </c>
    </row>
    <row r="16259" spans="1:2" x14ac:dyDescent="0.4">
      <c r="A16259" s="4">
        <v>501300000</v>
      </c>
      <c r="B16259">
        <v>8600102</v>
      </c>
    </row>
    <row r="16260" spans="1:2" x14ac:dyDescent="0.4">
      <c r="A16260" s="4">
        <v>501300000</v>
      </c>
      <c r="B16260">
        <v>8600200</v>
      </c>
    </row>
    <row r="16261" spans="1:2" x14ac:dyDescent="0.4">
      <c r="A16261" s="4">
        <v>501300000</v>
      </c>
      <c r="B16261">
        <v>8600201</v>
      </c>
    </row>
    <row r="16262" spans="1:2" x14ac:dyDescent="0.4">
      <c r="A16262" s="4">
        <v>501300000</v>
      </c>
      <c r="B16262">
        <v>8600202</v>
      </c>
    </row>
    <row r="16263" spans="1:2" x14ac:dyDescent="0.4">
      <c r="A16263" s="4">
        <v>501300000</v>
      </c>
      <c r="B16263">
        <v>8610300</v>
      </c>
    </row>
    <row r="16264" spans="1:2" x14ac:dyDescent="0.4">
      <c r="A16264" s="4">
        <v>501300000</v>
      </c>
      <c r="B16264">
        <v>8610400</v>
      </c>
    </row>
    <row r="16265" spans="1:2" x14ac:dyDescent="0.4">
      <c r="A16265" s="4">
        <v>501300000</v>
      </c>
      <c r="B16265">
        <v>8610500</v>
      </c>
    </row>
    <row r="16266" spans="1:2" x14ac:dyDescent="0.4">
      <c r="A16266" s="4">
        <v>501300000</v>
      </c>
      <c r="B16266">
        <v>8610600</v>
      </c>
    </row>
    <row r="16267" spans="1:2" x14ac:dyDescent="0.4">
      <c r="A16267" s="4">
        <v>501300000</v>
      </c>
      <c r="B16267">
        <v>8610700</v>
      </c>
    </row>
    <row r="16268" spans="1:2" x14ac:dyDescent="0.4">
      <c r="A16268" s="4">
        <v>501300000</v>
      </c>
      <c r="B16268">
        <v>8610710</v>
      </c>
    </row>
    <row r="16269" spans="1:2" x14ac:dyDescent="0.4">
      <c r="A16269" s="4">
        <v>501300000</v>
      </c>
      <c r="B16269">
        <v>8610720</v>
      </c>
    </row>
    <row r="16270" spans="1:2" x14ac:dyDescent="0.4">
      <c r="A16270" s="4">
        <v>501300000</v>
      </c>
      <c r="B16270">
        <v>8620000</v>
      </c>
    </row>
    <row r="16271" spans="1:2" x14ac:dyDescent="0.4">
      <c r="A16271" s="4">
        <v>501300000</v>
      </c>
      <c r="B16271">
        <v>8620010</v>
      </c>
    </row>
    <row r="16272" spans="1:2" x14ac:dyDescent="0.4">
      <c r="A16272" s="4">
        <v>501300000</v>
      </c>
      <c r="B16272">
        <v>8620020</v>
      </c>
    </row>
    <row r="16273" spans="1:2" x14ac:dyDescent="0.4">
      <c r="A16273" s="4">
        <v>501300000</v>
      </c>
      <c r="B16273">
        <v>8620100</v>
      </c>
    </row>
    <row r="16274" spans="1:2" x14ac:dyDescent="0.4">
      <c r="A16274" s="4">
        <v>501300000</v>
      </c>
      <c r="B16274">
        <v>8620110</v>
      </c>
    </row>
    <row r="16275" spans="1:2" x14ac:dyDescent="0.4">
      <c r="A16275" s="4">
        <v>501300000</v>
      </c>
      <c r="B16275">
        <v>8620120</v>
      </c>
    </row>
    <row r="16276" spans="1:2" x14ac:dyDescent="0.4">
      <c r="A16276" s="4">
        <v>501300000</v>
      </c>
      <c r="B16276">
        <v>8630000</v>
      </c>
    </row>
    <row r="16277" spans="1:2" x14ac:dyDescent="0.4">
      <c r="A16277" s="4">
        <v>501300000</v>
      </c>
      <c r="B16277">
        <v>8630000</v>
      </c>
    </row>
    <row r="16278" spans="1:2" x14ac:dyDescent="0.4">
      <c r="A16278" s="4">
        <v>501300000</v>
      </c>
      <c r="B16278">
        <v>8630000</v>
      </c>
    </row>
    <row r="16279" spans="1:2" x14ac:dyDescent="0.4">
      <c r="A16279" s="4">
        <v>501300000</v>
      </c>
      <c r="B16279">
        <v>8630100</v>
      </c>
    </row>
    <row r="16280" spans="1:2" x14ac:dyDescent="0.4">
      <c r="A16280" s="4">
        <v>501300000</v>
      </c>
      <c r="B16280">
        <v>8630100</v>
      </c>
    </row>
    <row r="16281" spans="1:2" x14ac:dyDescent="0.4">
      <c r="A16281" s="4">
        <v>501300000</v>
      </c>
      <c r="B16281">
        <v>8630100</v>
      </c>
    </row>
    <row r="16282" spans="1:2" x14ac:dyDescent="0.4">
      <c r="A16282" s="4">
        <v>501300000</v>
      </c>
      <c r="B16282">
        <v>8652000</v>
      </c>
    </row>
    <row r="16283" spans="1:2" x14ac:dyDescent="0.4">
      <c r="A16283" s="4">
        <v>501300000</v>
      </c>
      <c r="B16283">
        <v>8652010</v>
      </c>
    </row>
    <row r="16284" spans="1:2" x14ac:dyDescent="0.4">
      <c r="A16284" s="4">
        <v>501300000</v>
      </c>
      <c r="B16284">
        <v>8652020</v>
      </c>
    </row>
    <row r="16285" spans="1:2" x14ac:dyDescent="0.4">
      <c r="A16285" s="4">
        <v>501300000</v>
      </c>
      <c r="B16285">
        <v>8652100</v>
      </c>
    </row>
    <row r="16286" spans="1:2" x14ac:dyDescent="0.4">
      <c r="A16286" s="4">
        <v>501300000</v>
      </c>
      <c r="B16286">
        <v>8652110</v>
      </c>
    </row>
    <row r="16287" spans="1:2" x14ac:dyDescent="0.4">
      <c r="A16287" s="4">
        <v>501300000</v>
      </c>
      <c r="B16287">
        <v>8652120</v>
      </c>
    </row>
    <row r="16288" spans="1:2" x14ac:dyDescent="0.4">
      <c r="A16288" s="4">
        <v>501300000</v>
      </c>
      <c r="B16288">
        <v>8660000</v>
      </c>
    </row>
    <row r="16289" spans="1:2" x14ac:dyDescent="0.4">
      <c r="A16289" s="4">
        <v>501300000</v>
      </c>
      <c r="B16289">
        <v>8660001</v>
      </c>
    </row>
    <row r="16290" spans="1:2" x14ac:dyDescent="0.4">
      <c r="A16290" s="4">
        <v>501300000</v>
      </c>
      <c r="B16290">
        <v>8660002</v>
      </c>
    </row>
    <row r="16291" spans="1:2" x14ac:dyDescent="0.4">
      <c r="A16291" s="4">
        <v>501300000</v>
      </c>
      <c r="B16291">
        <v>8660100</v>
      </c>
    </row>
    <row r="16292" spans="1:2" x14ac:dyDescent="0.4">
      <c r="A16292" s="4">
        <v>501300000</v>
      </c>
      <c r="B16292">
        <v>8660101</v>
      </c>
    </row>
    <row r="16293" spans="1:2" x14ac:dyDescent="0.4">
      <c r="A16293" s="4">
        <v>501300000</v>
      </c>
      <c r="B16293">
        <v>8660102</v>
      </c>
    </row>
    <row r="16294" spans="1:2" x14ac:dyDescent="0.4">
      <c r="A16294" s="4">
        <v>501300000</v>
      </c>
      <c r="B16294">
        <v>8670000</v>
      </c>
    </row>
    <row r="16295" spans="1:2" x14ac:dyDescent="0.4">
      <c r="A16295" s="4">
        <v>501300000</v>
      </c>
      <c r="B16295">
        <v>8670001</v>
      </c>
    </row>
    <row r="16296" spans="1:2" x14ac:dyDescent="0.4">
      <c r="A16296" s="4">
        <v>501300000</v>
      </c>
      <c r="B16296">
        <v>8670002</v>
      </c>
    </row>
    <row r="16297" spans="1:2" x14ac:dyDescent="0.4">
      <c r="A16297" s="4">
        <v>501300000</v>
      </c>
      <c r="B16297">
        <v>8670100</v>
      </c>
    </row>
    <row r="16298" spans="1:2" x14ac:dyDescent="0.4">
      <c r="A16298" s="4">
        <v>501300000</v>
      </c>
      <c r="B16298">
        <v>8670101</v>
      </c>
    </row>
    <row r="16299" spans="1:2" x14ac:dyDescent="0.4">
      <c r="A16299" s="4">
        <v>501300000</v>
      </c>
      <c r="B16299">
        <v>8670102</v>
      </c>
    </row>
    <row r="16300" spans="1:2" x14ac:dyDescent="0.4">
      <c r="A16300" s="4">
        <v>501300000</v>
      </c>
      <c r="B16300">
        <v>8690000</v>
      </c>
    </row>
    <row r="16301" spans="1:2" x14ac:dyDescent="0.4">
      <c r="A16301" s="4">
        <v>501300000</v>
      </c>
      <c r="B16301">
        <v>8690100</v>
      </c>
    </row>
    <row r="16302" spans="1:2" x14ac:dyDescent="0.4">
      <c r="A16302" s="4">
        <v>501300000</v>
      </c>
      <c r="B16302">
        <v>8690200</v>
      </c>
    </row>
    <row r="16303" spans="1:2" x14ac:dyDescent="0.4">
      <c r="A16303" s="4">
        <v>501300000</v>
      </c>
      <c r="B16303">
        <v>8690300</v>
      </c>
    </row>
    <row r="16304" spans="1:2" x14ac:dyDescent="0.4">
      <c r="A16304" s="4">
        <v>501300000</v>
      </c>
      <c r="B16304">
        <v>8690400</v>
      </c>
    </row>
    <row r="16305" spans="1:2" x14ac:dyDescent="0.4">
      <c r="A16305" s="4">
        <v>501300000</v>
      </c>
      <c r="B16305">
        <v>8320500</v>
      </c>
    </row>
    <row r="16306" spans="1:2" x14ac:dyDescent="0.4">
      <c r="A16306" s="4">
        <v>501300000</v>
      </c>
      <c r="B16306">
        <v>8320510</v>
      </c>
    </row>
    <row r="16307" spans="1:2" x14ac:dyDescent="0.4">
      <c r="A16307" s="4">
        <v>501300000</v>
      </c>
      <c r="B16307">
        <v>8320520</v>
      </c>
    </row>
    <row r="16308" spans="1:2" x14ac:dyDescent="0.4">
      <c r="A16308" s="4">
        <v>501300000</v>
      </c>
      <c r="B16308">
        <v>8320600</v>
      </c>
    </row>
    <row r="16309" spans="1:2" x14ac:dyDescent="0.4">
      <c r="A16309" s="4">
        <v>501300000</v>
      </c>
      <c r="B16309">
        <v>8320610</v>
      </c>
    </row>
    <row r="16310" spans="1:2" x14ac:dyDescent="0.4">
      <c r="A16310" s="4">
        <v>501300000</v>
      </c>
      <c r="B16310">
        <v>8320620</v>
      </c>
    </row>
    <row r="16311" spans="1:2" x14ac:dyDescent="0.4">
      <c r="A16311" s="4">
        <v>501300000</v>
      </c>
      <c r="B16311">
        <v>8320700</v>
      </c>
    </row>
    <row r="16312" spans="1:2" x14ac:dyDescent="0.4">
      <c r="A16312" s="4">
        <v>501300000</v>
      </c>
      <c r="B16312">
        <v>8320710</v>
      </c>
    </row>
    <row r="16313" spans="1:2" x14ac:dyDescent="0.4">
      <c r="A16313" s="4">
        <v>501300000</v>
      </c>
      <c r="B16313">
        <v>8320720</v>
      </c>
    </row>
    <row r="16314" spans="1:2" x14ac:dyDescent="0.4">
      <c r="A16314" s="4">
        <v>501300100</v>
      </c>
      <c r="B16314">
        <v>0</v>
      </c>
    </row>
    <row r="16315" spans="1:2" x14ac:dyDescent="0.4">
      <c r="A16315" s="4">
        <v>501300100</v>
      </c>
      <c r="B16315">
        <v>8100100</v>
      </c>
    </row>
    <row r="16316" spans="1:2" x14ac:dyDescent="0.4">
      <c r="A16316" s="4">
        <v>501300100</v>
      </c>
      <c r="B16316">
        <v>8100101</v>
      </c>
    </row>
    <row r="16317" spans="1:2" x14ac:dyDescent="0.4">
      <c r="A16317" s="4">
        <v>501300100</v>
      </c>
      <c r="B16317">
        <v>8100102</v>
      </c>
    </row>
    <row r="16318" spans="1:2" x14ac:dyDescent="0.4">
      <c r="A16318" s="4">
        <v>501300100</v>
      </c>
      <c r="B16318">
        <v>8100200</v>
      </c>
    </row>
    <row r="16319" spans="1:2" x14ac:dyDescent="0.4">
      <c r="A16319" s="4">
        <v>501300100</v>
      </c>
      <c r="B16319">
        <v>8100201</v>
      </c>
    </row>
    <row r="16320" spans="1:2" x14ac:dyDescent="0.4">
      <c r="A16320" s="4">
        <v>501300100</v>
      </c>
      <c r="B16320">
        <v>8100202</v>
      </c>
    </row>
    <row r="16321" spans="1:2" x14ac:dyDescent="0.4">
      <c r="A16321" s="4">
        <v>501300100</v>
      </c>
      <c r="B16321">
        <v>8100300</v>
      </c>
    </row>
    <row r="16322" spans="1:2" x14ac:dyDescent="0.4">
      <c r="A16322" s="4">
        <v>501300100</v>
      </c>
      <c r="B16322">
        <v>8100301</v>
      </c>
    </row>
    <row r="16323" spans="1:2" x14ac:dyDescent="0.4">
      <c r="A16323" s="4">
        <v>501300100</v>
      </c>
      <c r="B16323">
        <v>8100302</v>
      </c>
    </row>
    <row r="16324" spans="1:2" x14ac:dyDescent="0.4">
      <c r="A16324" s="4">
        <v>501300100</v>
      </c>
      <c r="B16324">
        <v>8100400</v>
      </c>
    </row>
    <row r="16325" spans="1:2" x14ac:dyDescent="0.4">
      <c r="A16325" s="4">
        <v>501300100</v>
      </c>
      <c r="B16325">
        <v>8100401</v>
      </c>
    </row>
    <row r="16326" spans="1:2" x14ac:dyDescent="0.4">
      <c r="A16326" s="4">
        <v>501300100</v>
      </c>
      <c r="B16326">
        <v>8100402</v>
      </c>
    </row>
    <row r="16327" spans="1:2" x14ac:dyDescent="0.4">
      <c r="A16327" s="4">
        <v>501300100</v>
      </c>
      <c r="B16327">
        <v>8130000</v>
      </c>
    </row>
    <row r="16328" spans="1:2" x14ac:dyDescent="0.4">
      <c r="A16328" s="4">
        <v>501300100</v>
      </c>
      <c r="B16328">
        <v>8130001</v>
      </c>
    </row>
    <row r="16329" spans="1:2" x14ac:dyDescent="0.4">
      <c r="A16329" s="4">
        <v>501300100</v>
      </c>
      <c r="B16329">
        <v>8130002</v>
      </c>
    </row>
    <row r="16330" spans="1:2" x14ac:dyDescent="0.4">
      <c r="A16330" s="4">
        <v>501300100</v>
      </c>
      <c r="B16330">
        <v>8140000</v>
      </c>
    </row>
    <row r="16331" spans="1:2" x14ac:dyDescent="0.4">
      <c r="A16331" s="4">
        <v>501300100</v>
      </c>
      <c r="B16331">
        <v>8140001</v>
      </c>
    </row>
    <row r="16332" spans="1:2" x14ac:dyDescent="0.4">
      <c r="A16332" s="4">
        <v>501300100</v>
      </c>
      <c r="B16332">
        <v>8140002</v>
      </c>
    </row>
    <row r="16333" spans="1:2" x14ac:dyDescent="0.4">
      <c r="A16333" s="4">
        <v>501300100</v>
      </c>
      <c r="B16333">
        <v>8200100</v>
      </c>
    </row>
    <row r="16334" spans="1:2" x14ac:dyDescent="0.4">
      <c r="A16334" s="4">
        <v>501300100</v>
      </c>
      <c r="B16334">
        <v>8200101</v>
      </c>
    </row>
    <row r="16335" spans="1:2" x14ac:dyDescent="0.4">
      <c r="A16335" s="4">
        <v>501300100</v>
      </c>
      <c r="B16335">
        <v>8200102</v>
      </c>
    </row>
    <row r="16336" spans="1:2" x14ac:dyDescent="0.4">
      <c r="A16336" s="4">
        <v>501300100</v>
      </c>
      <c r="B16336">
        <v>8200200</v>
      </c>
    </row>
    <row r="16337" spans="1:2" x14ac:dyDescent="0.4">
      <c r="A16337" s="4">
        <v>501300100</v>
      </c>
      <c r="B16337">
        <v>8200201</v>
      </c>
    </row>
    <row r="16338" spans="1:2" x14ac:dyDescent="0.4">
      <c r="A16338" s="4">
        <v>501300100</v>
      </c>
      <c r="B16338">
        <v>8200202</v>
      </c>
    </row>
    <row r="16339" spans="1:2" x14ac:dyDescent="0.4">
      <c r="A16339" s="4">
        <v>501300100</v>
      </c>
      <c r="B16339">
        <v>8200300</v>
      </c>
    </row>
    <row r="16340" spans="1:2" x14ac:dyDescent="0.4">
      <c r="A16340" s="4">
        <v>501300100</v>
      </c>
      <c r="B16340">
        <v>8200301</v>
      </c>
    </row>
    <row r="16341" spans="1:2" x14ac:dyDescent="0.4">
      <c r="A16341" s="4">
        <v>501300100</v>
      </c>
      <c r="B16341">
        <v>8200302</v>
      </c>
    </row>
    <row r="16342" spans="1:2" x14ac:dyDescent="0.4">
      <c r="A16342" s="4">
        <v>501300100</v>
      </c>
      <c r="B16342">
        <v>8200400</v>
      </c>
    </row>
    <row r="16343" spans="1:2" x14ac:dyDescent="0.4">
      <c r="A16343" s="4">
        <v>501300100</v>
      </c>
      <c r="B16343">
        <v>8200401</v>
      </c>
    </row>
    <row r="16344" spans="1:2" x14ac:dyDescent="0.4">
      <c r="A16344" s="4">
        <v>501300100</v>
      </c>
      <c r="B16344">
        <v>8200402</v>
      </c>
    </row>
    <row r="16345" spans="1:2" x14ac:dyDescent="0.4">
      <c r="A16345" s="4">
        <v>501300100</v>
      </c>
      <c r="B16345">
        <v>8210000</v>
      </c>
    </row>
    <row r="16346" spans="1:2" x14ac:dyDescent="0.4">
      <c r="A16346" s="4">
        <v>501300100</v>
      </c>
      <c r="B16346">
        <v>8210001</v>
      </c>
    </row>
    <row r="16347" spans="1:2" x14ac:dyDescent="0.4">
      <c r="A16347" s="4">
        <v>501300100</v>
      </c>
      <c r="B16347">
        <v>8210002</v>
      </c>
    </row>
    <row r="16348" spans="1:2" x14ac:dyDescent="0.4">
      <c r="A16348" s="4">
        <v>501300100</v>
      </c>
      <c r="B16348">
        <v>8210100</v>
      </c>
    </row>
    <row r="16349" spans="1:2" x14ac:dyDescent="0.4">
      <c r="A16349" s="4">
        <v>501300100</v>
      </c>
      <c r="B16349">
        <v>8210101</v>
      </c>
    </row>
    <row r="16350" spans="1:2" x14ac:dyDescent="0.4">
      <c r="A16350" s="4">
        <v>501300100</v>
      </c>
      <c r="B16350">
        <v>8210102</v>
      </c>
    </row>
    <row r="16351" spans="1:2" x14ac:dyDescent="0.4">
      <c r="A16351" s="4">
        <v>501300100</v>
      </c>
      <c r="B16351">
        <v>8210200</v>
      </c>
    </row>
    <row r="16352" spans="1:2" x14ac:dyDescent="0.4">
      <c r="A16352" s="4">
        <v>501300100</v>
      </c>
      <c r="B16352">
        <v>8210201</v>
      </c>
    </row>
    <row r="16353" spans="1:2" x14ac:dyDescent="0.4">
      <c r="A16353" s="4">
        <v>501300100</v>
      </c>
      <c r="B16353">
        <v>8210202</v>
      </c>
    </row>
    <row r="16354" spans="1:2" x14ac:dyDescent="0.4">
      <c r="A16354" s="4">
        <v>501300100</v>
      </c>
      <c r="B16354">
        <v>8210300</v>
      </c>
    </row>
    <row r="16355" spans="1:2" x14ac:dyDescent="0.4">
      <c r="A16355" s="4">
        <v>501300100</v>
      </c>
      <c r="B16355">
        <v>8210301</v>
      </c>
    </row>
    <row r="16356" spans="1:2" x14ac:dyDescent="0.4">
      <c r="A16356" s="4">
        <v>501300100</v>
      </c>
      <c r="B16356">
        <v>8210302</v>
      </c>
    </row>
    <row r="16357" spans="1:2" x14ac:dyDescent="0.4">
      <c r="A16357" s="4">
        <v>501300100</v>
      </c>
      <c r="B16357">
        <v>8210400</v>
      </c>
    </row>
    <row r="16358" spans="1:2" x14ac:dyDescent="0.4">
      <c r="A16358" s="4">
        <v>501300100</v>
      </c>
      <c r="B16358">
        <v>8210401</v>
      </c>
    </row>
    <row r="16359" spans="1:2" x14ac:dyDescent="0.4">
      <c r="A16359" s="4">
        <v>501300100</v>
      </c>
      <c r="B16359">
        <v>8210402</v>
      </c>
    </row>
    <row r="16360" spans="1:2" x14ac:dyDescent="0.4">
      <c r="A16360" s="4">
        <v>501300100</v>
      </c>
      <c r="B16360">
        <v>8210500</v>
      </c>
    </row>
    <row r="16361" spans="1:2" x14ac:dyDescent="0.4">
      <c r="A16361" s="4">
        <v>501300100</v>
      </c>
      <c r="B16361">
        <v>8210501</v>
      </c>
    </row>
    <row r="16362" spans="1:2" x14ac:dyDescent="0.4">
      <c r="A16362" s="4">
        <v>501300100</v>
      </c>
      <c r="B16362">
        <v>8210502</v>
      </c>
    </row>
    <row r="16363" spans="1:2" x14ac:dyDescent="0.4">
      <c r="A16363" s="4">
        <v>501300100</v>
      </c>
      <c r="B16363">
        <v>8210600</v>
      </c>
    </row>
    <row r="16364" spans="1:2" x14ac:dyDescent="0.4">
      <c r="A16364" s="4">
        <v>501300100</v>
      </c>
      <c r="B16364">
        <v>8210601</v>
      </c>
    </row>
    <row r="16365" spans="1:2" x14ac:dyDescent="0.4">
      <c r="A16365" s="4">
        <v>501300100</v>
      </c>
      <c r="B16365">
        <v>8210602</v>
      </c>
    </row>
    <row r="16366" spans="1:2" x14ac:dyDescent="0.4">
      <c r="A16366" s="4">
        <v>501300100</v>
      </c>
      <c r="B16366">
        <v>8220000</v>
      </c>
    </row>
    <row r="16367" spans="1:2" x14ac:dyDescent="0.4">
      <c r="A16367" s="4">
        <v>501300100</v>
      </c>
      <c r="B16367">
        <v>8220001</v>
      </c>
    </row>
    <row r="16368" spans="1:2" x14ac:dyDescent="0.4">
      <c r="A16368" s="4">
        <v>501300100</v>
      </c>
      <c r="B16368">
        <v>8220002</v>
      </c>
    </row>
    <row r="16369" spans="1:2" x14ac:dyDescent="0.4">
      <c r="A16369" s="4">
        <v>501300100</v>
      </c>
      <c r="B16369">
        <v>8300000</v>
      </c>
    </row>
    <row r="16370" spans="1:2" x14ac:dyDescent="0.4">
      <c r="A16370" s="4">
        <v>501300100</v>
      </c>
      <c r="B16370">
        <v>8300001</v>
      </c>
    </row>
    <row r="16371" spans="1:2" x14ac:dyDescent="0.4">
      <c r="A16371" s="4">
        <v>501300100</v>
      </c>
      <c r="B16371">
        <v>8300002</v>
      </c>
    </row>
    <row r="16372" spans="1:2" x14ac:dyDescent="0.4">
      <c r="A16372" s="4">
        <v>501300100</v>
      </c>
      <c r="B16372">
        <v>8310000</v>
      </c>
    </row>
    <row r="16373" spans="1:2" x14ac:dyDescent="0.4">
      <c r="A16373" s="4">
        <v>501300100</v>
      </c>
      <c r="B16373">
        <v>8310001</v>
      </c>
    </row>
    <row r="16374" spans="1:2" x14ac:dyDescent="0.4">
      <c r="A16374" s="4">
        <v>501300100</v>
      </c>
      <c r="B16374">
        <v>8310002</v>
      </c>
    </row>
    <row r="16375" spans="1:2" x14ac:dyDescent="0.4">
      <c r="A16375" s="4">
        <v>501300100</v>
      </c>
      <c r="B16375">
        <v>8320000</v>
      </c>
    </row>
    <row r="16376" spans="1:2" x14ac:dyDescent="0.4">
      <c r="A16376" s="4">
        <v>501300100</v>
      </c>
      <c r="B16376">
        <v>8320001</v>
      </c>
    </row>
    <row r="16377" spans="1:2" x14ac:dyDescent="0.4">
      <c r="A16377" s="4">
        <v>501300100</v>
      </c>
      <c r="B16377">
        <v>8320002</v>
      </c>
    </row>
    <row r="16378" spans="1:2" x14ac:dyDescent="0.4">
      <c r="A16378" s="4">
        <v>501300100</v>
      </c>
      <c r="B16378">
        <v>8320100</v>
      </c>
    </row>
    <row r="16379" spans="1:2" x14ac:dyDescent="0.4">
      <c r="A16379" s="4">
        <v>501300100</v>
      </c>
      <c r="B16379">
        <v>8320101</v>
      </c>
    </row>
    <row r="16380" spans="1:2" x14ac:dyDescent="0.4">
      <c r="A16380" s="4">
        <v>501300100</v>
      </c>
      <c r="B16380">
        <v>8320102</v>
      </c>
    </row>
    <row r="16381" spans="1:2" x14ac:dyDescent="0.4">
      <c r="A16381" s="4">
        <v>501300100</v>
      </c>
      <c r="B16381">
        <v>8320300</v>
      </c>
    </row>
    <row r="16382" spans="1:2" x14ac:dyDescent="0.4">
      <c r="A16382" s="4">
        <v>501300100</v>
      </c>
      <c r="B16382">
        <v>8320301</v>
      </c>
    </row>
    <row r="16383" spans="1:2" x14ac:dyDescent="0.4">
      <c r="A16383" s="4">
        <v>501300100</v>
      </c>
      <c r="B16383">
        <v>8320302</v>
      </c>
    </row>
    <row r="16384" spans="1:2" x14ac:dyDescent="0.4">
      <c r="A16384" s="4">
        <v>501300100</v>
      </c>
      <c r="B16384">
        <v>8320400</v>
      </c>
    </row>
    <row r="16385" spans="1:2" x14ac:dyDescent="0.4">
      <c r="A16385" s="4">
        <v>501300100</v>
      </c>
      <c r="B16385">
        <v>8320410</v>
      </c>
    </row>
    <row r="16386" spans="1:2" x14ac:dyDescent="0.4">
      <c r="A16386" s="4">
        <v>501300100</v>
      </c>
      <c r="B16386">
        <v>8320420</v>
      </c>
    </row>
    <row r="16387" spans="1:2" x14ac:dyDescent="0.4">
      <c r="A16387" s="4">
        <v>501300100</v>
      </c>
      <c r="B16387">
        <v>8330000</v>
      </c>
    </row>
    <row r="16388" spans="1:2" x14ac:dyDescent="0.4">
      <c r="A16388" s="4">
        <v>501300100</v>
      </c>
      <c r="B16388">
        <v>8330001</v>
      </c>
    </row>
    <row r="16389" spans="1:2" x14ac:dyDescent="0.4">
      <c r="A16389" s="4">
        <v>501300100</v>
      </c>
      <c r="B16389">
        <v>8330002</v>
      </c>
    </row>
    <row r="16390" spans="1:2" x14ac:dyDescent="0.4">
      <c r="A16390" s="4">
        <v>501300100</v>
      </c>
      <c r="B16390">
        <v>8330100</v>
      </c>
    </row>
    <row r="16391" spans="1:2" x14ac:dyDescent="0.4">
      <c r="A16391" s="4">
        <v>501300100</v>
      </c>
      <c r="B16391">
        <v>8330101</v>
      </c>
    </row>
    <row r="16392" spans="1:2" x14ac:dyDescent="0.4">
      <c r="A16392" s="4">
        <v>501300100</v>
      </c>
      <c r="B16392">
        <v>8330102</v>
      </c>
    </row>
    <row r="16393" spans="1:2" x14ac:dyDescent="0.4">
      <c r="A16393" s="4">
        <v>501300100</v>
      </c>
      <c r="B16393">
        <v>8330200</v>
      </c>
    </row>
    <row r="16394" spans="1:2" x14ac:dyDescent="0.4">
      <c r="A16394" s="4">
        <v>501300100</v>
      </c>
      <c r="B16394">
        <v>8330201</v>
      </c>
    </row>
    <row r="16395" spans="1:2" x14ac:dyDescent="0.4">
      <c r="A16395" s="4">
        <v>501300100</v>
      </c>
      <c r="B16395">
        <v>8330202</v>
      </c>
    </row>
    <row r="16396" spans="1:2" x14ac:dyDescent="0.4">
      <c r="A16396" s="4">
        <v>501300100</v>
      </c>
      <c r="B16396">
        <v>8330300</v>
      </c>
    </row>
    <row r="16397" spans="1:2" x14ac:dyDescent="0.4">
      <c r="A16397" s="4">
        <v>501300100</v>
      </c>
      <c r="B16397">
        <v>8330301</v>
      </c>
    </row>
    <row r="16398" spans="1:2" x14ac:dyDescent="0.4">
      <c r="A16398" s="4">
        <v>501300100</v>
      </c>
      <c r="B16398">
        <v>8330302</v>
      </c>
    </row>
    <row r="16399" spans="1:2" x14ac:dyDescent="0.4">
      <c r="A16399" s="4">
        <v>501300100</v>
      </c>
      <c r="B16399">
        <v>8330400</v>
      </c>
    </row>
    <row r="16400" spans="1:2" x14ac:dyDescent="0.4">
      <c r="A16400" s="4">
        <v>501300100</v>
      </c>
      <c r="B16400">
        <v>8330401</v>
      </c>
    </row>
    <row r="16401" spans="1:2" x14ac:dyDescent="0.4">
      <c r="A16401" s="4">
        <v>501300100</v>
      </c>
      <c r="B16401">
        <v>8330600</v>
      </c>
    </row>
    <row r="16402" spans="1:2" x14ac:dyDescent="0.4">
      <c r="A16402" s="4">
        <v>501300100</v>
      </c>
      <c r="B16402">
        <v>8330601</v>
      </c>
    </row>
    <row r="16403" spans="1:2" x14ac:dyDescent="0.4">
      <c r="A16403" s="4">
        <v>501300100</v>
      </c>
      <c r="B16403">
        <v>8330602</v>
      </c>
    </row>
    <row r="16404" spans="1:2" x14ac:dyDescent="0.4">
      <c r="A16404" s="4">
        <v>501300100</v>
      </c>
      <c r="B16404">
        <v>8330900</v>
      </c>
    </row>
    <row r="16405" spans="1:2" x14ac:dyDescent="0.4">
      <c r="A16405" s="4">
        <v>501300100</v>
      </c>
      <c r="B16405">
        <v>8330910</v>
      </c>
    </row>
    <row r="16406" spans="1:2" x14ac:dyDescent="0.4">
      <c r="A16406" s="4">
        <v>501300100</v>
      </c>
      <c r="B16406">
        <v>8330920</v>
      </c>
    </row>
    <row r="16407" spans="1:2" x14ac:dyDescent="0.4">
      <c r="A16407" s="4">
        <v>501300100</v>
      </c>
      <c r="B16407">
        <v>8340000</v>
      </c>
    </row>
    <row r="16408" spans="1:2" x14ac:dyDescent="0.4">
      <c r="A16408" s="4">
        <v>501300100</v>
      </c>
      <c r="B16408">
        <v>8340001</v>
      </c>
    </row>
    <row r="16409" spans="1:2" x14ac:dyDescent="0.4">
      <c r="A16409" s="4">
        <v>501300100</v>
      </c>
      <c r="B16409">
        <v>8340002</v>
      </c>
    </row>
    <row r="16410" spans="1:2" x14ac:dyDescent="0.4">
      <c r="A16410" s="4">
        <v>501300100</v>
      </c>
      <c r="B16410">
        <v>8340100</v>
      </c>
    </row>
    <row r="16411" spans="1:2" x14ac:dyDescent="0.4">
      <c r="A16411" s="4">
        <v>501300100</v>
      </c>
      <c r="B16411">
        <v>8340101</v>
      </c>
    </row>
    <row r="16412" spans="1:2" x14ac:dyDescent="0.4">
      <c r="A16412" s="4">
        <v>501300100</v>
      </c>
      <c r="B16412">
        <v>8340102</v>
      </c>
    </row>
    <row r="16413" spans="1:2" x14ac:dyDescent="0.4">
      <c r="A16413" s="4">
        <v>501300100</v>
      </c>
      <c r="B16413">
        <v>8350000</v>
      </c>
    </row>
    <row r="16414" spans="1:2" x14ac:dyDescent="0.4">
      <c r="A16414" s="4">
        <v>501300100</v>
      </c>
      <c r="B16414">
        <v>8350001</v>
      </c>
    </row>
    <row r="16415" spans="1:2" x14ac:dyDescent="0.4">
      <c r="A16415" s="4">
        <v>501300100</v>
      </c>
      <c r="B16415">
        <v>8350002</v>
      </c>
    </row>
    <row r="16416" spans="1:2" x14ac:dyDescent="0.4">
      <c r="A16416" s="4">
        <v>501300100</v>
      </c>
      <c r="B16416">
        <v>8350200</v>
      </c>
    </row>
    <row r="16417" spans="1:2" x14ac:dyDescent="0.4">
      <c r="A16417" s="4">
        <v>501300100</v>
      </c>
      <c r="B16417">
        <v>8350201</v>
      </c>
    </row>
    <row r="16418" spans="1:2" x14ac:dyDescent="0.4">
      <c r="A16418" s="4">
        <v>501300100</v>
      </c>
      <c r="B16418">
        <v>8350202</v>
      </c>
    </row>
    <row r="16419" spans="1:2" x14ac:dyDescent="0.4">
      <c r="A16419" s="4">
        <v>501300100</v>
      </c>
      <c r="B16419">
        <v>8420000</v>
      </c>
    </row>
    <row r="16420" spans="1:2" x14ac:dyDescent="0.4">
      <c r="A16420" s="4">
        <v>501300100</v>
      </c>
      <c r="B16420">
        <v>8420001</v>
      </c>
    </row>
    <row r="16421" spans="1:2" x14ac:dyDescent="0.4">
      <c r="A16421" s="4">
        <v>501300100</v>
      </c>
      <c r="B16421">
        <v>8420002</v>
      </c>
    </row>
    <row r="16422" spans="1:2" x14ac:dyDescent="0.4">
      <c r="A16422" s="4">
        <v>501300100</v>
      </c>
      <c r="B16422">
        <v>8450000</v>
      </c>
    </row>
    <row r="16423" spans="1:2" x14ac:dyDescent="0.4">
      <c r="A16423" s="4">
        <v>501300100</v>
      </c>
      <c r="B16423">
        <v>8460100</v>
      </c>
    </row>
    <row r="16424" spans="1:2" x14ac:dyDescent="0.4">
      <c r="A16424" s="4">
        <v>501300100</v>
      </c>
      <c r="B16424">
        <v>8460300</v>
      </c>
    </row>
    <row r="16425" spans="1:2" x14ac:dyDescent="0.4">
      <c r="A16425" s="4">
        <v>501300100</v>
      </c>
      <c r="B16425">
        <v>8460500</v>
      </c>
    </row>
    <row r="16426" spans="1:2" x14ac:dyDescent="0.4">
      <c r="A16426" s="4">
        <v>501300100</v>
      </c>
      <c r="B16426">
        <v>8510000</v>
      </c>
    </row>
    <row r="16427" spans="1:2" x14ac:dyDescent="0.4">
      <c r="A16427" s="4">
        <v>501300100</v>
      </c>
      <c r="B16427">
        <v>8510001</v>
      </c>
    </row>
    <row r="16428" spans="1:2" x14ac:dyDescent="0.4">
      <c r="A16428" s="4">
        <v>501300100</v>
      </c>
      <c r="B16428">
        <v>8510002</v>
      </c>
    </row>
    <row r="16429" spans="1:2" x14ac:dyDescent="0.4">
      <c r="A16429" s="4">
        <v>501300100</v>
      </c>
      <c r="B16429">
        <v>8520000</v>
      </c>
    </row>
    <row r="16430" spans="1:2" x14ac:dyDescent="0.4">
      <c r="A16430" s="4">
        <v>501300100</v>
      </c>
      <c r="B16430">
        <v>8520001</v>
      </c>
    </row>
    <row r="16431" spans="1:2" x14ac:dyDescent="0.4">
      <c r="A16431" s="4">
        <v>501300100</v>
      </c>
      <c r="B16431">
        <v>8520002</v>
      </c>
    </row>
    <row r="16432" spans="1:2" x14ac:dyDescent="0.4">
      <c r="A16432" s="4">
        <v>501300100</v>
      </c>
      <c r="B16432">
        <v>8530000</v>
      </c>
    </row>
    <row r="16433" spans="1:2" x14ac:dyDescent="0.4">
      <c r="A16433" s="4">
        <v>501300100</v>
      </c>
      <c r="B16433">
        <v>8530100</v>
      </c>
    </row>
    <row r="16434" spans="1:2" x14ac:dyDescent="0.4">
      <c r="A16434" s="4">
        <v>501300100</v>
      </c>
      <c r="B16434">
        <v>8540000</v>
      </c>
    </row>
    <row r="16435" spans="1:2" x14ac:dyDescent="0.4">
      <c r="A16435" s="4">
        <v>501300100</v>
      </c>
      <c r="B16435">
        <v>8600100</v>
      </c>
    </row>
    <row r="16436" spans="1:2" x14ac:dyDescent="0.4">
      <c r="A16436" s="4">
        <v>501300100</v>
      </c>
      <c r="B16436">
        <v>8600101</v>
      </c>
    </row>
    <row r="16437" spans="1:2" x14ac:dyDescent="0.4">
      <c r="A16437" s="4">
        <v>501300100</v>
      </c>
      <c r="B16437">
        <v>8600102</v>
      </c>
    </row>
    <row r="16438" spans="1:2" x14ac:dyDescent="0.4">
      <c r="A16438" s="4">
        <v>501300100</v>
      </c>
      <c r="B16438">
        <v>8600200</v>
      </c>
    </row>
    <row r="16439" spans="1:2" x14ac:dyDescent="0.4">
      <c r="A16439" s="4">
        <v>501300100</v>
      </c>
      <c r="B16439">
        <v>8600201</v>
      </c>
    </row>
    <row r="16440" spans="1:2" x14ac:dyDescent="0.4">
      <c r="A16440" s="4">
        <v>501300100</v>
      </c>
      <c r="B16440">
        <v>8600202</v>
      </c>
    </row>
    <row r="16441" spans="1:2" x14ac:dyDescent="0.4">
      <c r="A16441" s="4">
        <v>501300100</v>
      </c>
      <c r="B16441">
        <v>8610300</v>
      </c>
    </row>
    <row r="16442" spans="1:2" x14ac:dyDescent="0.4">
      <c r="A16442" s="4">
        <v>501300100</v>
      </c>
      <c r="B16442">
        <v>8610400</v>
      </c>
    </row>
    <row r="16443" spans="1:2" x14ac:dyDescent="0.4">
      <c r="A16443" s="4">
        <v>501300100</v>
      </c>
      <c r="B16443">
        <v>8610500</v>
      </c>
    </row>
    <row r="16444" spans="1:2" x14ac:dyDescent="0.4">
      <c r="A16444" s="4">
        <v>501300100</v>
      </c>
      <c r="B16444">
        <v>8610600</v>
      </c>
    </row>
    <row r="16445" spans="1:2" x14ac:dyDescent="0.4">
      <c r="A16445" s="4">
        <v>501300100</v>
      </c>
      <c r="B16445">
        <v>8610700</v>
      </c>
    </row>
    <row r="16446" spans="1:2" x14ac:dyDescent="0.4">
      <c r="A16446" s="4">
        <v>501300100</v>
      </c>
      <c r="B16446">
        <v>8610710</v>
      </c>
    </row>
    <row r="16447" spans="1:2" x14ac:dyDescent="0.4">
      <c r="A16447" s="4">
        <v>501300100</v>
      </c>
      <c r="B16447">
        <v>8610720</v>
      </c>
    </row>
    <row r="16448" spans="1:2" x14ac:dyDescent="0.4">
      <c r="A16448" s="4">
        <v>501300100</v>
      </c>
      <c r="B16448">
        <v>8620000</v>
      </c>
    </row>
    <row r="16449" spans="1:2" x14ac:dyDescent="0.4">
      <c r="A16449" s="4">
        <v>501300100</v>
      </c>
      <c r="B16449">
        <v>8620010</v>
      </c>
    </row>
    <row r="16450" spans="1:2" x14ac:dyDescent="0.4">
      <c r="A16450" s="4">
        <v>501300100</v>
      </c>
      <c r="B16450">
        <v>8620020</v>
      </c>
    </row>
    <row r="16451" spans="1:2" x14ac:dyDescent="0.4">
      <c r="A16451" s="4">
        <v>501300100</v>
      </c>
      <c r="B16451">
        <v>8620100</v>
      </c>
    </row>
    <row r="16452" spans="1:2" x14ac:dyDescent="0.4">
      <c r="A16452" s="4">
        <v>501300100</v>
      </c>
      <c r="B16452">
        <v>8620110</v>
      </c>
    </row>
    <row r="16453" spans="1:2" x14ac:dyDescent="0.4">
      <c r="A16453" s="4">
        <v>501300100</v>
      </c>
      <c r="B16453">
        <v>8620120</v>
      </c>
    </row>
    <row r="16454" spans="1:2" x14ac:dyDescent="0.4">
      <c r="A16454" s="4">
        <v>501300100</v>
      </c>
      <c r="B16454">
        <v>8630000</v>
      </c>
    </row>
    <row r="16455" spans="1:2" x14ac:dyDescent="0.4">
      <c r="A16455" s="4">
        <v>501300100</v>
      </c>
      <c r="B16455">
        <v>8630000</v>
      </c>
    </row>
    <row r="16456" spans="1:2" x14ac:dyDescent="0.4">
      <c r="A16456" s="4">
        <v>501300100</v>
      </c>
      <c r="B16456">
        <v>8630000</v>
      </c>
    </row>
    <row r="16457" spans="1:2" x14ac:dyDescent="0.4">
      <c r="A16457" s="4">
        <v>501300100</v>
      </c>
      <c r="B16457">
        <v>8630100</v>
      </c>
    </row>
    <row r="16458" spans="1:2" x14ac:dyDescent="0.4">
      <c r="A16458" s="4">
        <v>501300100</v>
      </c>
      <c r="B16458">
        <v>8630100</v>
      </c>
    </row>
    <row r="16459" spans="1:2" x14ac:dyDescent="0.4">
      <c r="A16459" s="4">
        <v>501300100</v>
      </c>
      <c r="B16459">
        <v>8630100</v>
      </c>
    </row>
    <row r="16460" spans="1:2" x14ac:dyDescent="0.4">
      <c r="A16460" s="4">
        <v>501300100</v>
      </c>
      <c r="B16460">
        <v>8652000</v>
      </c>
    </row>
    <row r="16461" spans="1:2" x14ac:dyDescent="0.4">
      <c r="A16461" s="4">
        <v>501300100</v>
      </c>
      <c r="B16461">
        <v>8652010</v>
      </c>
    </row>
    <row r="16462" spans="1:2" x14ac:dyDescent="0.4">
      <c r="A16462" s="4">
        <v>501300100</v>
      </c>
      <c r="B16462">
        <v>8652020</v>
      </c>
    </row>
    <row r="16463" spans="1:2" x14ac:dyDescent="0.4">
      <c r="A16463" s="4">
        <v>501300100</v>
      </c>
      <c r="B16463">
        <v>8652100</v>
      </c>
    </row>
    <row r="16464" spans="1:2" x14ac:dyDescent="0.4">
      <c r="A16464" s="4">
        <v>501300100</v>
      </c>
      <c r="B16464">
        <v>8652110</v>
      </c>
    </row>
    <row r="16465" spans="1:2" x14ac:dyDescent="0.4">
      <c r="A16465" s="4">
        <v>501300100</v>
      </c>
      <c r="B16465">
        <v>8652120</v>
      </c>
    </row>
    <row r="16466" spans="1:2" x14ac:dyDescent="0.4">
      <c r="A16466" s="4">
        <v>501300100</v>
      </c>
      <c r="B16466">
        <v>8660000</v>
      </c>
    </row>
    <row r="16467" spans="1:2" x14ac:dyDescent="0.4">
      <c r="A16467" s="4">
        <v>501300100</v>
      </c>
      <c r="B16467">
        <v>8660001</v>
      </c>
    </row>
    <row r="16468" spans="1:2" x14ac:dyDescent="0.4">
      <c r="A16468" s="4">
        <v>501300100</v>
      </c>
      <c r="B16468">
        <v>8660002</v>
      </c>
    </row>
    <row r="16469" spans="1:2" x14ac:dyDescent="0.4">
      <c r="A16469" s="4">
        <v>501300100</v>
      </c>
      <c r="B16469">
        <v>8660100</v>
      </c>
    </row>
    <row r="16470" spans="1:2" x14ac:dyDescent="0.4">
      <c r="A16470" s="4">
        <v>501300100</v>
      </c>
      <c r="B16470">
        <v>8660101</v>
      </c>
    </row>
    <row r="16471" spans="1:2" x14ac:dyDescent="0.4">
      <c r="A16471" s="4">
        <v>501300100</v>
      </c>
      <c r="B16471">
        <v>8660102</v>
      </c>
    </row>
    <row r="16472" spans="1:2" x14ac:dyDescent="0.4">
      <c r="A16472" s="4">
        <v>501300100</v>
      </c>
      <c r="B16472">
        <v>8670000</v>
      </c>
    </row>
    <row r="16473" spans="1:2" x14ac:dyDescent="0.4">
      <c r="A16473" s="4">
        <v>501300100</v>
      </c>
      <c r="B16473">
        <v>8670001</v>
      </c>
    </row>
    <row r="16474" spans="1:2" x14ac:dyDescent="0.4">
      <c r="A16474" s="4">
        <v>501300100</v>
      </c>
      <c r="B16474">
        <v>8670002</v>
      </c>
    </row>
    <row r="16475" spans="1:2" x14ac:dyDescent="0.4">
      <c r="A16475" s="4">
        <v>501300100</v>
      </c>
      <c r="B16475">
        <v>8670100</v>
      </c>
    </row>
    <row r="16476" spans="1:2" x14ac:dyDescent="0.4">
      <c r="A16476" s="4">
        <v>501300100</v>
      </c>
      <c r="B16476">
        <v>8670101</v>
      </c>
    </row>
    <row r="16477" spans="1:2" x14ac:dyDescent="0.4">
      <c r="A16477" s="4">
        <v>501300100</v>
      </c>
      <c r="B16477">
        <v>8670102</v>
      </c>
    </row>
    <row r="16478" spans="1:2" x14ac:dyDescent="0.4">
      <c r="A16478" s="4">
        <v>501300100</v>
      </c>
      <c r="B16478">
        <v>8690000</v>
      </c>
    </row>
    <row r="16479" spans="1:2" x14ac:dyDescent="0.4">
      <c r="A16479" s="4">
        <v>501300100</v>
      </c>
      <c r="B16479">
        <v>8690100</v>
      </c>
    </row>
    <row r="16480" spans="1:2" x14ac:dyDescent="0.4">
      <c r="A16480" s="4">
        <v>501300100</v>
      </c>
      <c r="B16480">
        <v>8690200</v>
      </c>
    </row>
    <row r="16481" spans="1:2" x14ac:dyDescent="0.4">
      <c r="A16481" s="4">
        <v>501300100</v>
      </c>
      <c r="B16481">
        <v>8690300</v>
      </c>
    </row>
    <row r="16482" spans="1:2" x14ac:dyDescent="0.4">
      <c r="A16482" s="4">
        <v>501300100</v>
      </c>
      <c r="B16482">
        <v>8690400</v>
      </c>
    </row>
    <row r="16483" spans="1:2" x14ac:dyDescent="0.4">
      <c r="A16483" s="4">
        <v>501300100</v>
      </c>
      <c r="B16483">
        <v>8320500</v>
      </c>
    </row>
    <row r="16484" spans="1:2" x14ac:dyDescent="0.4">
      <c r="A16484" s="4">
        <v>501300100</v>
      </c>
      <c r="B16484">
        <v>8320510</v>
      </c>
    </row>
    <row r="16485" spans="1:2" x14ac:dyDescent="0.4">
      <c r="A16485" s="4">
        <v>501300100</v>
      </c>
      <c r="B16485">
        <v>8320520</v>
      </c>
    </row>
    <row r="16486" spans="1:2" x14ac:dyDescent="0.4">
      <c r="A16486" s="4">
        <v>501300100</v>
      </c>
      <c r="B16486">
        <v>8320600</v>
      </c>
    </row>
    <row r="16487" spans="1:2" x14ac:dyDescent="0.4">
      <c r="A16487" s="4">
        <v>501300100</v>
      </c>
      <c r="B16487">
        <v>8320610</v>
      </c>
    </row>
    <row r="16488" spans="1:2" x14ac:dyDescent="0.4">
      <c r="A16488" s="4">
        <v>501300100</v>
      </c>
      <c r="B16488">
        <v>8320620</v>
      </c>
    </row>
    <row r="16489" spans="1:2" x14ac:dyDescent="0.4">
      <c r="A16489" s="4">
        <v>501300100</v>
      </c>
      <c r="B16489">
        <v>8320700</v>
      </c>
    </row>
    <row r="16490" spans="1:2" x14ac:dyDescent="0.4">
      <c r="A16490" s="4">
        <v>501300100</v>
      </c>
      <c r="B16490">
        <v>8320710</v>
      </c>
    </row>
    <row r="16491" spans="1:2" x14ac:dyDescent="0.4">
      <c r="A16491" s="4">
        <v>501300100</v>
      </c>
      <c r="B16491">
        <v>8320720</v>
      </c>
    </row>
    <row r="16492" spans="1:2" x14ac:dyDescent="0.4">
      <c r="A16492" s="4">
        <v>501300200</v>
      </c>
      <c r="B16492">
        <v>0</v>
      </c>
    </row>
    <row r="16493" spans="1:2" x14ac:dyDescent="0.4">
      <c r="A16493" s="4">
        <v>501300200</v>
      </c>
      <c r="B16493">
        <v>8100100</v>
      </c>
    </row>
    <row r="16494" spans="1:2" x14ac:dyDescent="0.4">
      <c r="A16494" s="4">
        <v>501300200</v>
      </c>
      <c r="B16494">
        <v>8100101</v>
      </c>
    </row>
    <row r="16495" spans="1:2" x14ac:dyDescent="0.4">
      <c r="A16495" s="4">
        <v>501300200</v>
      </c>
      <c r="B16495">
        <v>8100102</v>
      </c>
    </row>
    <row r="16496" spans="1:2" x14ac:dyDescent="0.4">
      <c r="A16496" s="4">
        <v>501300200</v>
      </c>
      <c r="B16496">
        <v>8100200</v>
      </c>
    </row>
    <row r="16497" spans="1:2" x14ac:dyDescent="0.4">
      <c r="A16497" s="4">
        <v>501300200</v>
      </c>
      <c r="B16497">
        <v>8100201</v>
      </c>
    </row>
    <row r="16498" spans="1:2" x14ac:dyDescent="0.4">
      <c r="A16498" s="4">
        <v>501300200</v>
      </c>
      <c r="B16498">
        <v>8100202</v>
      </c>
    </row>
    <row r="16499" spans="1:2" x14ac:dyDescent="0.4">
      <c r="A16499" s="4">
        <v>501300200</v>
      </c>
      <c r="B16499">
        <v>8100300</v>
      </c>
    </row>
    <row r="16500" spans="1:2" x14ac:dyDescent="0.4">
      <c r="A16500" s="4">
        <v>501300200</v>
      </c>
      <c r="B16500">
        <v>8100301</v>
      </c>
    </row>
    <row r="16501" spans="1:2" x14ac:dyDescent="0.4">
      <c r="A16501" s="4">
        <v>501300200</v>
      </c>
      <c r="B16501">
        <v>8100302</v>
      </c>
    </row>
    <row r="16502" spans="1:2" x14ac:dyDescent="0.4">
      <c r="A16502" s="4">
        <v>501300200</v>
      </c>
      <c r="B16502">
        <v>8100400</v>
      </c>
    </row>
    <row r="16503" spans="1:2" x14ac:dyDescent="0.4">
      <c r="A16503" s="4">
        <v>501300200</v>
      </c>
      <c r="B16503">
        <v>8100401</v>
      </c>
    </row>
    <row r="16504" spans="1:2" x14ac:dyDescent="0.4">
      <c r="A16504" s="4">
        <v>501300200</v>
      </c>
      <c r="B16504">
        <v>8100402</v>
      </c>
    </row>
    <row r="16505" spans="1:2" x14ac:dyDescent="0.4">
      <c r="A16505" s="4">
        <v>501300200</v>
      </c>
      <c r="B16505">
        <v>8130000</v>
      </c>
    </row>
    <row r="16506" spans="1:2" x14ac:dyDescent="0.4">
      <c r="A16506" s="4">
        <v>501300200</v>
      </c>
      <c r="B16506">
        <v>8130001</v>
      </c>
    </row>
    <row r="16507" spans="1:2" x14ac:dyDescent="0.4">
      <c r="A16507" s="4">
        <v>501300200</v>
      </c>
      <c r="B16507">
        <v>8130002</v>
      </c>
    </row>
    <row r="16508" spans="1:2" x14ac:dyDescent="0.4">
      <c r="A16508" s="4">
        <v>501300200</v>
      </c>
      <c r="B16508">
        <v>8140000</v>
      </c>
    </row>
    <row r="16509" spans="1:2" x14ac:dyDescent="0.4">
      <c r="A16509" s="4">
        <v>501300200</v>
      </c>
      <c r="B16509">
        <v>8140001</v>
      </c>
    </row>
    <row r="16510" spans="1:2" x14ac:dyDescent="0.4">
      <c r="A16510" s="4">
        <v>501300200</v>
      </c>
      <c r="B16510">
        <v>8140002</v>
      </c>
    </row>
    <row r="16511" spans="1:2" x14ac:dyDescent="0.4">
      <c r="A16511" s="4">
        <v>501300200</v>
      </c>
      <c r="B16511">
        <v>8200100</v>
      </c>
    </row>
    <row r="16512" spans="1:2" x14ac:dyDescent="0.4">
      <c r="A16512" s="4">
        <v>501300200</v>
      </c>
      <c r="B16512">
        <v>8200101</v>
      </c>
    </row>
    <row r="16513" spans="1:2" x14ac:dyDescent="0.4">
      <c r="A16513" s="4">
        <v>501300200</v>
      </c>
      <c r="B16513">
        <v>8200102</v>
      </c>
    </row>
    <row r="16514" spans="1:2" x14ac:dyDescent="0.4">
      <c r="A16514" s="4">
        <v>501300200</v>
      </c>
      <c r="B16514">
        <v>8200200</v>
      </c>
    </row>
    <row r="16515" spans="1:2" x14ac:dyDescent="0.4">
      <c r="A16515" s="4">
        <v>501300200</v>
      </c>
      <c r="B16515">
        <v>8200201</v>
      </c>
    </row>
    <row r="16516" spans="1:2" x14ac:dyDescent="0.4">
      <c r="A16516" s="4">
        <v>501300200</v>
      </c>
      <c r="B16516">
        <v>8200202</v>
      </c>
    </row>
    <row r="16517" spans="1:2" x14ac:dyDescent="0.4">
      <c r="A16517" s="4">
        <v>501300200</v>
      </c>
      <c r="B16517">
        <v>8200300</v>
      </c>
    </row>
    <row r="16518" spans="1:2" x14ac:dyDescent="0.4">
      <c r="A16518" s="4">
        <v>501300200</v>
      </c>
      <c r="B16518">
        <v>8200301</v>
      </c>
    </row>
    <row r="16519" spans="1:2" x14ac:dyDescent="0.4">
      <c r="A16519" s="4">
        <v>501300200</v>
      </c>
      <c r="B16519">
        <v>8200302</v>
      </c>
    </row>
    <row r="16520" spans="1:2" x14ac:dyDescent="0.4">
      <c r="A16520" s="4">
        <v>501300200</v>
      </c>
      <c r="B16520">
        <v>8200400</v>
      </c>
    </row>
    <row r="16521" spans="1:2" x14ac:dyDescent="0.4">
      <c r="A16521" s="4">
        <v>501300200</v>
      </c>
      <c r="B16521">
        <v>8200401</v>
      </c>
    </row>
    <row r="16522" spans="1:2" x14ac:dyDescent="0.4">
      <c r="A16522" s="4">
        <v>501300200</v>
      </c>
      <c r="B16522">
        <v>8200402</v>
      </c>
    </row>
    <row r="16523" spans="1:2" x14ac:dyDescent="0.4">
      <c r="A16523" s="4">
        <v>501300200</v>
      </c>
      <c r="B16523">
        <v>8210000</v>
      </c>
    </row>
    <row r="16524" spans="1:2" x14ac:dyDescent="0.4">
      <c r="A16524" s="4">
        <v>501300200</v>
      </c>
      <c r="B16524">
        <v>8210001</v>
      </c>
    </row>
    <row r="16525" spans="1:2" x14ac:dyDescent="0.4">
      <c r="A16525" s="4">
        <v>501300200</v>
      </c>
      <c r="B16525">
        <v>8210002</v>
      </c>
    </row>
    <row r="16526" spans="1:2" x14ac:dyDescent="0.4">
      <c r="A16526" s="4">
        <v>501300200</v>
      </c>
      <c r="B16526">
        <v>8210100</v>
      </c>
    </row>
    <row r="16527" spans="1:2" x14ac:dyDescent="0.4">
      <c r="A16527" s="4">
        <v>501300200</v>
      </c>
      <c r="B16527">
        <v>8210101</v>
      </c>
    </row>
    <row r="16528" spans="1:2" x14ac:dyDescent="0.4">
      <c r="A16528" s="4">
        <v>501300200</v>
      </c>
      <c r="B16528">
        <v>8210102</v>
      </c>
    </row>
    <row r="16529" spans="1:2" x14ac:dyDescent="0.4">
      <c r="A16529" s="4">
        <v>501300200</v>
      </c>
      <c r="B16529">
        <v>8210200</v>
      </c>
    </row>
    <row r="16530" spans="1:2" x14ac:dyDescent="0.4">
      <c r="A16530" s="4">
        <v>501300200</v>
      </c>
      <c r="B16530">
        <v>8210201</v>
      </c>
    </row>
    <row r="16531" spans="1:2" x14ac:dyDescent="0.4">
      <c r="A16531" s="4">
        <v>501300200</v>
      </c>
      <c r="B16531">
        <v>8210202</v>
      </c>
    </row>
    <row r="16532" spans="1:2" x14ac:dyDescent="0.4">
      <c r="A16532" s="4">
        <v>501300200</v>
      </c>
      <c r="B16532">
        <v>8210300</v>
      </c>
    </row>
    <row r="16533" spans="1:2" x14ac:dyDescent="0.4">
      <c r="A16533" s="4">
        <v>501300200</v>
      </c>
      <c r="B16533">
        <v>8210301</v>
      </c>
    </row>
    <row r="16534" spans="1:2" x14ac:dyDescent="0.4">
      <c r="A16534" s="4">
        <v>501300200</v>
      </c>
      <c r="B16534">
        <v>8210302</v>
      </c>
    </row>
    <row r="16535" spans="1:2" x14ac:dyDescent="0.4">
      <c r="A16535" s="4">
        <v>501300200</v>
      </c>
      <c r="B16535">
        <v>8210400</v>
      </c>
    </row>
    <row r="16536" spans="1:2" x14ac:dyDescent="0.4">
      <c r="A16536" s="4">
        <v>501300200</v>
      </c>
      <c r="B16536">
        <v>8210401</v>
      </c>
    </row>
    <row r="16537" spans="1:2" x14ac:dyDescent="0.4">
      <c r="A16537" s="4">
        <v>501300200</v>
      </c>
      <c r="B16537">
        <v>8210402</v>
      </c>
    </row>
    <row r="16538" spans="1:2" x14ac:dyDescent="0.4">
      <c r="A16538" s="4">
        <v>501300200</v>
      </c>
      <c r="B16538">
        <v>8210500</v>
      </c>
    </row>
    <row r="16539" spans="1:2" x14ac:dyDescent="0.4">
      <c r="A16539" s="4">
        <v>501300200</v>
      </c>
      <c r="B16539">
        <v>8210501</v>
      </c>
    </row>
    <row r="16540" spans="1:2" x14ac:dyDescent="0.4">
      <c r="A16540" s="4">
        <v>501300200</v>
      </c>
      <c r="B16540">
        <v>8210502</v>
      </c>
    </row>
    <row r="16541" spans="1:2" x14ac:dyDescent="0.4">
      <c r="A16541" s="4">
        <v>501300200</v>
      </c>
      <c r="B16541">
        <v>8210600</v>
      </c>
    </row>
    <row r="16542" spans="1:2" x14ac:dyDescent="0.4">
      <c r="A16542" s="4">
        <v>501300200</v>
      </c>
      <c r="B16542">
        <v>8210601</v>
      </c>
    </row>
    <row r="16543" spans="1:2" x14ac:dyDescent="0.4">
      <c r="A16543" s="4">
        <v>501300200</v>
      </c>
      <c r="B16543">
        <v>8210602</v>
      </c>
    </row>
    <row r="16544" spans="1:2" x14ac:dyDescent="0.4">
      <c r="A16544" s="4">
        <v>501300200</v>
      </c>
      <c r="B16544">
        <v>8220000</v>
      </c>
    </row>
    <row r="16545" spans="1:2" x14ac:dyDescent="0.4">
      <c r="A16545" s="4">
        <v>501300200</v>
      </c>
      <c r="B16545">
        <v>8220001</v>
      </c>
    </row>
    <row r="16546" spans="1:2" x14ac:dyDescent="0.4">
      <c r="A16546" s="4">
        <v>501300200</v>
      </c>
      <c r="B16546">
        <v>8220002</v>
      </c>
    </row>
    <row r="16547" spans="1:2" x14ac:dyDescent="0.4">
      <c r="A16547" s="4">
        <v>501300200</v>
      </c>
      <c r="B16547">
        <v>8300000</v>
      </c>
    </row>
    <row r="16548" spans="1:2" x14ac:dyDescent="0.4">
      <c r="A16548" s="4">
        <v>501300200</v>
      </c>
      <c r="B16548">
        <v>8300001</v>
      </c>
    </row>
    <row r="16549" spans="1:2" x14ac:dyDescent="0.4">
      <c r="A16549" s="4">
        <v>501300200</v>
      </c>
      <c r="B16549">
        <v>8300002</v>
      </c>
    </row>
    <row r="16550" spans="1:2" x14ac:dyDescent="0.4">
      <c r="A16550" s="4">
        <v>501300200</v>
      </c>
      <c r="B16550">
        <v>8310000</v>
      </c>
    </row>
    <row r="16551" spans="1:2" x14ac:dyDescent="0.4">
      <c r="A16551" s="4">
        <v>501300200</v>
      </c>
      <c r="B16551">
        <v>8310001</v>
      </c>
    </row>
    <row r="16552" spans="1:2" x14ac:dyDescent="0.4">
      <c r="A16552" s="4">
        <v>501300200</v>
      </c>
      <c r="B16552">
        <v>8310002</v>
      </c>
    </row>
    <row r="16553" spans="1:2" x14ac:dyDescent="0.4">
      <c r="A16553" s="4">
        <v>501300200</v>
      </c>
      <c r="B16553">
        <v>8320000</v>
      </c>
    </row>
    <row r="16554" spans="1:2" x14ac:dyDescent="0.4">
      <c r="A16554" s="4">
        <v>501300200</v>
      </c>
      <c r="B16554">
        <v>8320001</v>
      </c>
    </row>
    <row r="16555" spans="1:2" x14ac:dyDescent="0.4">
      <c r="A16555" s="4">
        <v>501300200</v>
      </c>
      <c r="B16555">
        <v>8320002</v>
      </c>
    </row>
    <row r="16556" spans="1:2" x14ac:dyDescent="0.4">
      <c r="A16556" s="4">
        <v>501300200</v>
      </c>
      <c r="B16556">
        <v>8320100</v>
      </c>
    </row>
    <row r="16557" spans="1:2" x14ac:dyDescent="0.4">
      <c r="A16557" s="4">
        <v>501300200</v>
      </c>
      <c r="B16557">
        <v>8320101</v>
      </c>
    </row>
    <row r="16558" spans="1:2" x14ac:dyDescent="0.4">
      <c r="A16558" s="4">
        <v>501300200</v>
      </c>
      <c r="B16558">
        <v>8320102</v>
      </c>
    </row>
    <row r="16559" spans="1:2" x14ac:dyDescent="0.4">
      <c r="A16559" s="4">
        <v>501300200</v>
      </c>
      <c r="B16559">
        <v>8320300</v>
      </c>
    </row>
    <row r="16560" spans="1:2" x14ac:dyDescent="0.4">
      <c r="A16560" s="4">
        <v>501300200</v>
      </c>
      <c r="B16560">
        <v>8320301</v>
      </c>
    </row>
    <row r="16561" spans="1:2" x14ac:dyDescent="0.4">
      <c r="A16561" s="4">
        <v>501300200</v>
      </c>
      <c r="B16561">
        <v>8320302</v>
      </c>
    </row>
    <row r="16562" spans="1:2" x14ac:dyDescent="0.4">
      <c r="A16562" s="4">
        <v>501300200</v>
      </c>
      <c r="B16562">
        <v>8320400</v>
      </c>
    </row>
    <row r="16563" spans="1:2" x14ac:dyDescent="0.4">
      <c r="A16563" s="4">
        <v>501300200</v>
      </c>
      <c r="B16563">
        <v>8320410</v>
      </c>
    </row>
    <row r="16564" spans="1:2" x14ac:dyDescent="0.4">
      <c r="A16564" s="4">
        <v>501300200</v>
      </c>
      <c r="B16564">
        <v>8320420</v>
      </c>
    </row>
    <row r="16565" spans="1:2" x14ac:dyDescent="0.4">
      <c r="A16565" s="4">
        <v>501300200</v>
      </c>
      <c r="B16565">
        <v>8330000</v>
      </c>
    </row>
    <row r="16566" spans="1:2" x14ac:dyDescent="0.4">
      <c r="A16566" s="4">
        <v>501300200</v>
      </c>
      <c r="B16566">
        <v>8330001</v>
      </c>
    </row>
    <row r="16567" spans="1:2" x14ac:dyDescent="0.4">
      <c r="A16567" s="4">
        <v>501300200</v>
      </c>
      <c r="B16567">
        <v>8330002</v>
      </c>
    </row>
    <row r="16568" spans="1:2" x14ac:dyDescent="0.4">
      <c r="A16568" s="4">
        <v>501300200</v>
      </c>
      <c r="B16568">
        <v>8330100</v>
      </c>
    </row>
    <row r="16569" spans="1:2" x14ac:dyDescent="0.4">
      <c r="A16569" s="4">
        <v>501300200</v>
      </c>
      <c r="B16569">
        <v>8330101</v>
      </c>
    </row>
    <row r="16570" spans="1:2" x14ac:dyDescent="0.4">
      <c r="A16570" s="4">
        <v>501300200</v>
      </c>
      <c r="B16570">
        <v>8330102</v>
      </c>
    </row>
    <row r="16571" spans="1:2" x14ac:dyDescent="0.4">
      <c r="A16571" s="4">
        <v>501300200</v>
      </c>
      <c r="B16571">
        <v>8330200</v>
      </c>
    </row>
    <row r="16572" spans="1:2" x14ac:dyDescent="0.4">
      <c r="A16572" s="4">
        <v>501300200</v>
      </c>
      <c r="B16572">
        <v>8330201</v>
      </c>
    </row>
    <row r="16573" spans="1:2" x14ac:dyDescent="0.4">
      <c r="A16573" s="4">
        <v>501300200</v>
      </c>
      <c r="B16573">
        <v>8330202</v>
      </c>
    </row>
    <row r="16574" spans="1:2" x14ac:dyDescent="0.4">
      <c r="A16574" s="4">
        <v>501300200</v>
      </c>
      <c r="B16574">
        <v>8330300</v>
      </c>
    </row>
    <row r="16575" spans="1:2" x14ac:dyDescent="0.4">
      <c r="A16575" s="4">
        <v>501300200</v>
      </c>
      <c r="B16575">
        <v>8330301</v>
      </c>
    </row>
    <row r="16576" spans="1:2" x14ac:dyDescent="0.4">
      <c r="A16576" s="4">
        <v>501300200</v>
      </c>
      <c r="B16576">
        <v>8330302</v>
      </c>
    </row>
    <row r="16577" spans="1:2" x14ac:dyDescent="0.4">
      <c r="A16577" s="4">
        <v>501300200</v>
      </c>
      <c r="B16577">
        <v>8330400</v>
      </c>
    </row>
    <row r="16578" spans="1:2" x14ac:dyDescent="0.4">
      <c r="A16578" s="4">
        <v>501300200</v>
      </c>
      <c r="B16578">
        <v>8330401</v>
      </c>
    </row>
    <row r="16579" spans="1:2" x14ac:dyDescent="0.4">
      <c r="A16579" s="4">
        <v>501300200</v>
      </c>
      <c r="B16579">
        <v>8330600</v>
      </c>
    </row>
    <row r="16580" spans="1:2" x14ac:dyDescent="0.4">
      <c r="A16580" s="4">
        <v>501300200</v>
      </c>
      <c r="B16580">
        <v>8330601</v>
      </c>
    </row>
    <row r="16581" spans="1:2" x14ac:dyDescent="0.4">
      <c r="A16581" s="4">
        <v>501300200</v>
      </c>
      <c r="B16581">
        <v>8330602</v>
      </c>
    </row>
    <row r="16582" spans="1:2" x14ac:dyDescent="0.4">
      <c r="A16582" s="4">
        <v>501300200</v>
      </c>
      <c r="B16582">
        <v>8330900</v>
      </c>
    </row>
    <row r="16583" spans="1:2" x14ac:dyDescent="0.4">
      <c r="A16583" s="4">
        <v>501300200</v>
      </c>
      <c r="B16583">
        <v>8330910</v>
      </c>
    </row>
    <row r="16584" spans="1:2" x14ac:dyDescent="0.4">
      <c r="A16584" s="4">
        <v>501300200</v>
      </c>
      <c r="B16584">
        <v>8330920</v>
      </c>
    </row>
    <row r="16585" spans="1:2" x14ac:dyDescent="0.4">
      <c r="A16585" s="4">
        <v>501300200</v>
      </c>
      <c r="B16585">
        <v>8340000</v>
      </c>
    </row>
    <row r="16586" spans="1:2" x14ac:dyDescent="0.4">
      <c r="A16586" s="4">
        <v>501300200</v>
      </c>
      <c r="B16586">
        <v>8340001</v>
      </c>
    </row>
    <row r="16587" spans="1:2" x14ac:dyDescent="0.4">
      <c r="A16587" s="4">
        <v>501300200</v>
      </c>
      <c r="B16587">
        <v>8340002</v>
      </c>
    </row>
    <row r="16588" spans="1:2" x14ac:dyDescent="0.4">
      <c r="A16588" s="4">
        <v>501300200</v>
      </c>
      <c r="B16588">
        <v>8340100</v>
      </c>
    </row>
    <row r="16589" spans="1:2" x14ac:dyDescent="0.4">
      <c r="A16589" s="4">
        <v>501300200</v>
      </c>
      <c r="B16589">
        <v>8340101</v>
      </c>
    </row>
    <row r="16590" spans="1:2" x14ac:dyDescent="0.4">
      <c r="A16590" s="4">
        <v>501300200</v>
      </c>
      <c r="B16590">
        <v>8340102</v>
      </c>
    </row>
    <row r="16591" spans="1:2" x14ac:dyDescent="0.4">
      <c r="A16591" s="4">
        <v>501300200</v>
      </c>
      <c r="B16591">
        <v>8350000</v>
      </c>
    </row>
    <row r="16592" spans="1:2" x14ac:dyDescent="0.4">
      <c r="A16592" s="4">
        <v>501300200</v>
      </c>
      <c r="B16592">
        <v>8350001</v>
      </c>
    </row>
    <row r="16593" spans="1:2" x14ac:dyDescent="0.4">
      <c r="A16593" s="4">
        <v>501300200</v>
      </c>
      <c r="B16593">
        <v>8350002</v>
      </c>
    </row>
    <row r="16594" spans="1:2" x14ac:dyDescent="0.4">
      <c r="A16594" s="4">
        <v>501300200</v>
      </c>
      <c r="B16594">
        <v>8350200</v>
      </c>
    </row>
    <row r="16595" spans="1:2" x14ac:dyDescent="0.4">
      <c r="A16595" s="4">
        <v>501300200</v>
      </c>
      <c r="B16595">
        <v>8350201</v>
      </c>
    </row>
    <row r="16596" spans="1:2" x14ac:dyDescent="0.4">
      <c r="A16596" s="4">
        <v>501300200</v>
      </c>
      <c r="B16596">
        <v>8350202</v>
      </c>
    </row>
    <row r="16597" spans="1:2" x14ac:dyDescent="0.4">
      <c r="A16597" s="4">
        <v>501300200</v>
      </c>
      <c r="B16597">
        <v>8420000</v>
      </c>
    </row>
    <row r="16598" spans="1:2" x14ac:dyDescent="0.4">
      <c r="A16598" s="4">
        <v>501300200</v>
      </c>
      <c r="B16598">
        <v>8420001</v>
      </c>
    </row>
    <row r="16599" spans="1:2" x14ac:dyDescent="0.4">
      <c r="A16599" s="4">
        <v>501300200</v>
      </c>
      <c r="B16599">
        <v>8420002</v>
      </c>
    </row>
    <row r="16600" spans="1:2" x14ac:dyDescent="0.4">
      <c r="A16600" s="4">
        <v>501300200</v>
      </c>
      <c r="B16600">
        <v>8450000</v>
      </c>
    </row>
    <row r="16601" spans="1:2" x14ac:dyDescent="0.4">
      <c r="A16601" s="4">
        <v>501300200</v>
      </c>
      <c r="B16601">
        <v>8460100</v>
      </c>
    </row>
    <row r="16602" spans="1:2" x14ac:dyDescent="0.4">
      <c r="A16602" s="4">
        <v>501300200</v>
      </c>
      <c r="B16602">
        <v>8460300</v>
      </c>
    </row>
    <row r="16603" spans="1:2" x14ac:dyDescent="0.4">
      <c r="A16603" s="4">
        <v>501300200</v>
      </c>
      <c r="B16603">
        <v>8460500</v>
      </c>
    </row>
    <row r="16604" spans="1:2" x14ac:dyDescent="0.4">
      <c r="A16604" s="4">
        <v>501300200</v>
      </c>
      <c r="B16604">
        <v>8510000</v>
      </c>
    </row>
    <row r="16605" spans="1:2" x14ac:dyDescent="0.4">
      <c r="A16605" s="4">
        <v>501300200</v>
      </c>
      <c r="B16605">
        <v>8510001</v>
      </c>
    </row>
    <row r="16606" spans="1:2" x14ac:dyDescent="0.4">
      <c r="A16606" s="4">
        <v>501300200</v>
      </c>
      <c r="B16606">
        <v>8510002</v>
      </c>
    </row>
    <row r="16607" spans="1:2" x14ac:dyDescent="0.4">
      <c r="A16607" s="4">
        <v>501300200</v>
      </c>
      <c r="B16607">
        <v>8520000</v>
      </c>
    </row>
    <row r="16608" spans="1:2" x14ac:dyDescent="0.4">
      <c r="A16608" s="4">
        <v>501300200</v>
      </c>
      <c r="B16608">
        <v>8520001</v>
      </c>
    </row>
    <row r="16609" spans="1:2" x14ac:dyDescent="0.4">
      <c r="A16609" s="4">
        <v>501300200</v>
      </c>
      <c r="B16609">
        <v>8520002</v>
      </c>
    </row>
    <row r="16610" spans="1:2" x14ac:dyDescent="0.4">
      <c r="A16610" s="4">
        <v>501300200</v>
      </c>
      <c r="B16610">
        <v>8530000</v>
      </c>
    </row>
    <row r="16611" spans="1:2" x14ac:dyDescent="0.4">
      <c r="A16611" s="4">
        <v>501300200</v>
      </c>
      <c r="B16611">
        <v>8530100</v>
      </c>
    </row>
    <row r="16612" spans="1:2" x14ac:dyDescent="0.4">
      <c r="A16612" s="4">
        <v>501300200</v>
      </c>
      <c r="B16612">
        <v>8540000</v>
      </c>
    </row>
    <row r="16613" spans="1:2" x14ac:dyDescent="0.4">
      <c r="A16613" s="4">
        <v>501300200</v>
      </c>
      <c r="B16613">
        <v>8600100</v>
      </c>
    </row>
    <row r="16614" spans="1:2" x14ac:dyDescent="0.4">
      <c r="A16614" s="4">
        <v>501300200</v>
      </c>
      <c r="B16614">
        <v>8600101</v>
      </c>
    </row>
    <row r="16615" spans="1:2" x14ac:dyDescent="0.4">
      <c r="A16615" s="4">
        <v>501300200</v>
      </c>
      <c r="B16615">
        <v>8600102</v>
      </c>
    </row>
    <row r="16616" spans="1:2" x14ac:dyDescent="0.4">
      <c r="A16616" s="4">
        <v>501300200</v>
      </c>
      <c r="B16616">
        <v>8600200</v>
      </c>
    </row>
    <row r="16617" spans="1:2" x14ac:dyDescent="0.4">
      <c r="A16617" s="4">
        <v>501300200</v>
      </c>
      <c r="B16617">
        <v>8600201</v>
      </c>
    </row>
    <row r="16618" spans="1:2" x14ac:dyDescent="0.4">
      <c r="A16618" s="4">
        <v>501300200</v>
      </c>
      <c r="B16618">
        <v>8600202</v>
      </c>
    </row>
    <row r="16619" spans="1:2" x14ac:dyDescent="0.4">
      <c r="A16619" s="4">
        <v>501300200</v>
      </c>
      <c r="B16619">
        <v>8610300</v>
      </c>
    </row>
    <row r="16620" spans="1:2" x14ac:dyDescent="0.4">
      <c r="A16620" s="4">
        <v>501300200</v>
      </c>
      <c r="B16620">
        <v>8610400</v>
      </c>
    </row>
    <row r="16621" spans="1:2" x14ac:dyDescent="0.4">
      <c r="A16621" s="4">
        <v>501300200</v>
      </c>
      <c r="B16621">
        <v>8610500</v>
      </c>
    </row>
    <row r="16622" spans="1:2" x14ac:dyDescent="0.4">
      <c r="A16622" s="4">
        <v>501300200</v>
      </c>
      <c r="B16622">
        <v>8610600</v>
      </c>
    </row>
    <row r="16623" spans="1:2" x14ac:dyDescent="0.4">
      <c r="A16623" s="4">
        <v>501300200</v>
      </c>
      <c r="B16623">
        <v>8610700</v>
      </c>
    </row>
    <row r="16624" spans="1:2" x14ac:dyDescent="0.4">
      <c r="A16624" s="4">
        <v>501300200</v>
      </c>
      <c r="B16624">
        <v>8610710</v>
      </c>
    </row>
    <row r="16625" spans="1:2" x14ac:dyDescent="0.4">
      <c r="A16625" s="4">
        <v>501300200</v>
      </c>
      <c r="B16625">
        <v>8610720</v>
      </c>
    </row>
    <row r="16626" spans="1:2" x14ac:dyDescent="0.4">
      <c r="A16626" s="4">
        <v>501300200</v>
      </c>
      <c r="B16626">
        <v>8620000</v>
      </c>
    </row>
    <row r="16627" spans="1:2" x14ac:dyDescent="0.4">
      <c r="A16627" s="4">
        <v>501300200</v>
      </c>
      <c r="B16627">
        <v>8620010</v>
      </c>
    </row>
    <row r="16628" spans="1:2" x14ac:dyDescent="0.4">
      <c r="A16628" s="4">
        <v>501300200</v>
      </c>
      <c r="B16628">
        <v>8620020</v>
      </c>
    </row>
    <row r="16629" spans="1:2" x14ac:dyDescent="0.4">
      <c r="A16629" s="4">
        <v>501300200</v>
      </c>
      <c r="B16629">
        <v>8620100</v>
      </c>
    </row>
    <row r="16630" spans="1:2" x14ac:dyDescent="0.4">
      <c r="A16630" s="4">
        <v>501300200</v>
      </c>
      <c r="B16630">
        <v>8620110</v>
      </c>
    </row>
    <row r="16631" spans="1:2" x14ac:dyDescent="0.4">
      <c r="A16631" s="4">
        <v>501300200</v>
      </c>
      <c r="B16631">
        <v>8620120</v>
      </c>
    </row>
    <row r="16632" spans="1:2" x14ac:dyDescent="0.4">
      <c r="A16632" s="4">
        <v>501300200</v>
      </c>
      <c r="B16632">
        <v>8630000</v>
      </c>
    </row>
    <row r="16633" spans="1:2" x14ac:dyDescent="0.4">
      <c r="A16633" s="4">
        <v>501300200</v>
      </c>
      <c r="B16633">
        <v>8630000</v>
      </c>
    </row>
    <row r="16634" spans="1:2" x14ac:dyDescent="0.4">
      <c r="A16634" s="4">
        <v>501300200</v>
      </c>
      <c r="B16634">
        <v>8630000</v>
      </c>
    </row>
    <row r="16635" spans="1:2" x14ac:dyDescent="0.4">
      <c r="A16635" s="4">
        <v>501300200</v>
      </c>
      <c r="B16635">
        <v>8630100</v>
      </c>
    </row>
    <row r="16636" spans="1:2" x14ac:dyDescent="0.4">
      <c r="A16636" s="4">
        <v>501300200</v>
      </c>
      <c r="B16636">
        <v>8630100</v>
      </c>
    </row>
    <row r="16637" spans="1:2" x14ac:dyDescent="0.4">
      <c r="A16637" s="4">
        <v>501300200</v>
      </c>
      <c r="B16637">
        <v>8630100</v>
      </c>
    </row>
    <row r="16638" spans="1:2" x14ac:dyDescent="0.4">
      <c r="A16638" s="4">
        <v>501300200</v>
      </c>
      <c r="B16638">
        <v>8652000</v>
      </c>
    </row>
    <row r="16639" spans="1:2" x14ac:dyDescent="0.4">
      <c r="A16639" s="4">
        <v>501300200</v>
      </c>
      <c r="B16639">
        <v>8652010</v>
      </c>
    </row>
    <row r="16640" spans="1:2" x14ac:dyDescent="0.4">
      <c r="A16640" s="4">
        <v>501300200</v>
      </c>
      <c r="B16640">
        <v>8652020</v>
      </c>
    </row>
    <row r="16641" spans="1:2" x14ac:dyDescent="0.4">
      <c r="A16641" s="4">
        <v>501300200</v>
      </c>
      <c r="B16641">
        <v>8652100</v>
      </c>
    </row>
    <row r="16642" spans="1:2" x14ac:dyDescent="0.4">
      <c r="A16642" s="4">
        <v>501300200</v>
      </c>
      <c r="B16642">
        <v>8652110</v>
      </c>
    </row>
    <row r="16643" spans="1:2" x14ac:dyDescent="0.4">
      <c r="A16643" s="4">
        <v>501300200</v>
      </c>
      <c r="B16643">
        <v>8652120</v>
      </c>
    </row>
    <row r="16644" spans="1:2" x14ac:dyDescent="0.4">
      <c r="A16644" s="4">
        <v>501300200</v>
      </c>
      <c r="B16644">
        <v>8660000</v>
      </c>
    </row>
    <row r="16645" spans="1:2" x14ac:dyDescent="0.4">
      <c r="A16645" s="4">
        <v>501300200</v>
      </c>
      <c r="B16645">
        <v>8660001</v>
      </c>
    </row>
    <row r="16646" spans="1:2" x14ac:dyDescent="0.4">
      <c r="A16646" s="4">
        <v>501300200</v>
      </c>
      <c r="B16646">
        <v>8660002</v>
      </c>
    </row>
    <row r="16647" spans="1:2" x14ac:dyDescent="0.4">
      <c r="A16647" s="4">
        <v>501300200</v>
      </c>
      <c r="B16647">
        <v>8660100</v>
      </c>
    </row>
    <row r="16648" spans="1:2" x14ac:dyDescent="0.4">
      <c r="A16648" s="4">
        <v>501300200</v>
      </c>
      <c r="B16648">
        <v>8660101</v>
      </c>
    </row>
    <row r="16649" spans="1:2" x14ac:dyDescent="0.4">
      <c r="A16649" s="4">
        <v>501300200</v>
      </c>
      <c r="B16649">
        <v>8660102</v>
      </c>
    </row>
    <row r="16650" spans="1:2" x14ac:dyDescent="0.4">
      <c r="A16650" s="4">
        <v>501300200</v>
      </c>
      <c r="B16650">
        <v>8670000</v>
      </c>
    </row>
    <row r="16651" spans="1:2" x14ac:dyDescent="0.4">
      <c r="A16651" s="4">
        <v>501300200</v>
      </c>
      <c r="B16651">
        <v>8670001</v>
      </c>
    </row>
    <row r="16652" spans="1:2" x14ac:dyDescent="0.4">
      <c r="A16652" s="4">
        <v>501300200</v>
      </c>
      <c r="B16652">
        <v>8670002</v>
      </c>
    </row>
    <row r="16653" spans="1:2" x14ac:dyDescent="0.4">
      <c r="A16653" s="4">
        <v>501300200</v>
      </c>
      <c r="B16653">
        <v>8670100</v>
      </c>
    </row>
    <row r="16654" spans="1:2" x14ac:dyDescent="0.4">
      <c r="A16654" s="4">
        <v>501300200</v>
      </c>
      <c r="B16654">
        <v>8670101</v>
      </c>
    </row>
    <row r="16655" spans="1:2" x14ac:dyDescent="0.4">
      <c r="A16655" s="4">
        <v>501300200</v>
      </c>
      <c r="B16655">
        <v>8670102</v>
      </c>
    </row>
    <row r="16656" spans="1:2" x14ac:dyDescent="0.4">
      <c r="A16656" s="4">
        <v>501300200</v>
      </c>
      <c r="B16656">
        <v>8690000</v>
      </c>
    </row>
    <row r="16657" spans="1:2" x14ac:dyDescent="0.4">
      <c r="A16657" s="4">
        <v>501300200</v>
      </c>
      <c r="B16657">
        <v>8690100</v>
      </c>
    </row>
    <row r="16658" spans="1:2" x14ac:dyDescent="0.4">
      <c r="A16658" s="4">
        <v>501300200</v>
      </c>
      <c r="B16658">
        <v>8690200</v>
      </c>
    </row>
    <row r="16659" spans="1:2" x14ac:dyDescent="0.4">
      <c r="A16659" s="4">
        <v>501300200</v>
      </c>
      <c r="B16659">
        <v>8690300</v>
      </c>
    </row>
    <row r="16660" spans="1:2" x14ac:dyDescent="0.4">
      <c r="A16660" s="4">
        <v>501300200</v>
      </c>
      <c r="B16660">
        <v>8690400</v>
      </c>
    </row>
    <row r="16661" spans="1:2" x14ac:dyDescent="0.4">
      <c r="A16661" s="4">
        <v>501300200</v>
      </c>
      <c r="B16661">
        <v>8320500</v>
      </c>
    </row>
    <row r="16662" spans="1:2" x14ac:dyDescent="0.4">
      <c r="A16662" s="4">
        <v>501300200</v>
      </c>
      <c r="B16662">
        <v>8320510</v>
      </c>
    </row>
    <row r="16663" spans="1:2" x14ac:dyDescent="0.4">
      <c r="A16663" s="4">
        <v>501300200</v>
      </c>
      <c r="B16663">
        <v>8320520</v>
      </c>
    </row>
    <row r="16664" spans="1:2" x14ac:dyDescent="0.4">
      <c r="A16664" s="4">
        <v>501300200</v>
      </c>
      <c r="B16664">
        <v>8320600</v>
      </c>
    </row>
    <row r="16665" spans="1:2" x14ac:dyDescent="0.4">
      <c r="A16665" s="4">
        <v>501300200</v>
      </c>
      <c r="B16665">
        <v>8320610</v>
      </c>
    </row>
    <row r="16666" spans="1:2" x14ac:dyDescent="0.4">
      <c r="A16666" s="4">
        <v>501300200</v>
      </c>
      <c r="B16666">
        <v>8320620</v>
      </c>
    </row>
    <row r="16667" spans="1:2" x14ac:dyDescent="0.4">
      <c r="A16667" s="4">
        <v>501300200</v>
      </c>
      <c r="B16667">
        <v>8320700</v>
      </c>
    </row>
    <row r="16668" spans="1:2" x14ac:dyDescent="0.4">
      <c r="A16668" s="4">
        <v>501300200</v>
      </c>
      <c r="B16668">
        <v>8320710</v>
      </c>
    </row>
    <row r="16669" spans="1:2" x14ac:dyDescent="0.4">
      <c r="A16669" s="4">
        <v>501300200</v>
      </c>
      <c r="B16669">
        <v>8320720</v>
      </c>
    </row>
    <row r="16670" spans="1:2" x14ac:dyDescent="0.4">
      <c r="A16670" s="4">
        <v>501400000</v>
      </c>
      <c r="B16670">
        <v>0</v>
      </c>
    </row>
    <row r="16671" spans="1:2" x14ac:dyDescent="0.4">
      <c r="A16671" s="4">
        <v>501400000</v>
      </c>
      <c r="B16671">
        <v>8100100</v>
      </c>
    </row>
    <row r="16672" spans="1:2" x14ac:dyDescent="0.4">
      <c r="A16672" s="4">
        <v>501400000</v>
      </c>
      <c r="B16672">
        <v>8100101</v>
      </c>
    </row>
    <row r="16673" spans="1:2" x14ac:dyDescent="0.4">
      <c r="A16673" s="4">
        <v>501400000</v>
      </c>
      <c r="B16673">
        <v>8100102</v>
      </c>
    </row>
    <row r="16674" spans="1:2" x14ac:dyDescent="0.4">
      <c r="A16674" s="4">
        <v>501400000</v>
      </c>
      <c r="B16674">
        <v>8100200</v>
      </c>
    </row>
    <row r="16675" spans="1:2" x14ac:dyDescent="0.4">
      <c r="A16675" s="4">
        <v>501400000</v>
      </c>
      <c r="B16675">
        <v>8100201</v>
      </c>
    </row>
    <row r="16676" spans="1:2" x14ac:dyDescent="0.4">
      <c r="A16676" s="4">
        <v>501400000</v>
      </c>
      <c r="B16676">
        <v>8100202</v>
      </c>
    </row>
    <row r="16677" spans="1:2" x14ac:dyDescent="0.4">
      <c r="A16677" s="4">
        <v>501400000</v>
      </c>
      <c r="B16677">
        <v>8100300</v>
      </c>
    </row>
    <row r="16678" spans="1:2" x14ac:dyDescent="0.4">
      <c r="A16678" s="4">
        <v>501400000</v>
      </c>
      <c r="B16678">
        <v>8100301</v>
      </c>
    </row>
    <row r="16679" spans="1:2" x14ac:dyDescent="0.4">
      <c r="A16679" s="4">
        <v>501400000</v>
      </c>
      <c r="B16679">
        <v>8100302</v>
      </c>
    </row>
    <row r="16680" spans="1:2" x14ac:dyDescent="0.4">
      <c r="A16680" s="4">
        <v>501400000</v>
      </c>
      <c r="B16680">
        <v>8100400</v>
      </c>
    </row>
    <row r="16681" spans="1:2" x14ac:dyDescent="0.4">
      <c r="A16681" s="4">
        <v>501400000</v>
      </c>
      <c r="B16681">
        <v>8100401</v>
      </c>
    </row>
    <row r="16682" spans="1:2" x14ac:dyDescent="0.4">
      <c r="A16682" s="4">
        <v>501400000</v>
      </c>
      <c r="B16682">
        <v>8100402</v>
      </c>
    </row>
    <row r="16683" spans="1:2" x14ac:dyDescent="0.4">
      <c r="A16683" s="4">
        <v>501400000</v>
      </c>
      <c r="B16683">
        <v>8130000</v>
      </c>
    </row>
    <row r="16684" spans="1:2" x14ac:dyDescent="0.4">
      <c r="A16684" s="4">
        <v>501400000</v>
      </c>
      <c r="B16684">
        <v>8130001</v>
      </c>
    </row>
    <row r="16685" spans="1:2" x14ac:dyDescent="0.4">
      <c r="A16685" s="4">
        <v>501400000</v>
      </c>
      <c r="B16685">
        <v>8130002</v>
      </c>
    </row>
    <row r="16686" spans="1:2" x14ac:dyDescent="0.4">
      <c r="A16686" s="4">
        <v>501400000</v>
      </c>
      <c r="B16686">
        <v>8140000</v>
      </c>
    </row>
    <row r="16687" spans="1:2" x14ac:dyDescent="0.4">
      <c r="A16687" s="4">
        <v>501400000</v>
      </c>
      <c r="B16687">
        <v>8140001</v>
      </c>
    </row>
    <row r="16688" spans="1:2" x14ac:dyDescent="0.4">
      <c r="A16688" s="4">
        <v>501400000</v>
      </c>
      <c r="B16688">
        <v>8140002</v>
      </c>
    </row>
    <row r="16689" spans="1:2" x14ac:dyDescent="0.4">
      <c r="A16689" s="4">
        <v>501400000</v>
      </c>
      <c r="B16689">
        <v>8200100</v>
      </c>
    </row>
    <row r="16690" spans="1:2" x14ac:dyDescent="0.4">
      <c r="A16690" s="4">
        <v>501400000</v>
      </c>
      <c r="B16690">
        <v>8200101</v>
      </c>
    </row>
    <row r="16691" spans="1:2" x14ac:dyDescent="0.4">
      <c r="A16691" s="4">
        <v>501400000</v>
      </c>
      <c r="B16691">
        <v>8200102</v>
      </c>
    </row>
    <row r="16692" spans="1:2" x14ac:dyDescent="0.4">
      <c r="A16692" s="4">
        <v>501400000</v>
      </c>
      <c r="B16692">
        <v>8200200</v>
      </c>
    </row>
    <row r="16693" spans="1:2" x14ac:dyDescent="0.4">
      <c r="A16693" s="4">
        <v>501400000</v>
      </c>
      <c r="B16693">
        <v>8200201</v>
      </c>
    </row>
    <row r="16694" spans="1:2" x14ac:dyDescent="0.4">
      <c r="A16694" s="4">
        <v>501400000</v>
      </c>
      <c r="B16694">
        <v>8200202</v>
      </c>
    </row>
    <row r="16695" spans="1:2" x14ac:dyDescent="0.4">
      <c r="A16695" s="4">
        <v>501400000</v>
      </c>
      <c r="B16695">
        <v>8200300</v>
      </c>
    </row>
    <row r="16696" spans="1:2" x14ac:dyDescent="0.4">
      <c r="A16696" s="4">
        <v>501400000</v>
      </c>
      <c r="B16696">
        <v>8200301</v>
      </c>
    </row>
    <row r="16697" spans="1:2" x14ac:dyDescent="0.4">
      <c r="A16697" s="4">
        <v>501400000</v>
      </c>
      <c r="B16697">
        <v>8200302</v>
      </c>
    </row>
    <row r="16698" spans="1:2" x14ac:dyDescent="0.4">
      <c r="A16698" s="4">
        <v>501400000</v>
      </c>
      <c r="B16698">
        <v>8200400</v>
      </c>
    </row>
    <row r="16699" spans="1:2" x14ac:dyDescent="0.4">
      <c r="A16699" s="4">
        <v>501400000</v>
      </c>
      <c r="B16699">
        <v>8200401</v>
      </c>
    </row>
    <row r="16700" spans="1:2" x14ac:dyDescent="0.4">
      <c r="A16700" s="4">
        <v>501400000</v>
      </c>
      <c r="B16700">
        <v>8200402</v>
      </c>
    </row>
    <row r="16701" spans="1:2" x14ac:dyDescent="0.4">
      <c r="A16701" s="4">
        <v>501400000</v>
      </c>
      <c r="B16701">
        <v>8210000</v>
      </c>
    </row>
    <row r="16702" spans="1:2" x14ac:dyDescent="0.4">
      <c r="A16702" s="4">
        <v>501400000</v>
      </c>
      <c r="B16702">
        <v>8210001</v>
      </c>
    </row>
    <row r="16703" spans="1:2" x14ac:dyDescent="0.4">
      <c r="A16703" s="4">
        <v>501400000</v>
      </c>
      <c r="B16703">
        <v>8210002</v>
      </c>
    </row>
    <row r="16704" spans="1:2" x14ac:dyDescent="0.4">
      <c r="A16704" s="4">
        <v>501400000</v>
      </c>
      <c r="B16704">
        <v>8210100</v>
      </c>
    </row>
    <row r="16705" spans="1:2" x14ac:dyDescent="0.4">
      <c r="A16705" s="4">
        <v>501400000</v>
      </c>
      <c r="B16705">
        <v>8210101</v>
      </c>
    </row>
    <row r="16706" spans="1:2" x14ac:dyDescent="0.4">
      <c r="A16706" s="4">
        <v>501400000</v>
      </c>
      <c r="B16706">
        <v>8210102</v>
      </c>
    </row>
    <row r="16707" spans="1:2" x14ac:dyDescent="0.4">
      <c r="A16707" s="4">
        <v>501400000</v>
      </c>
      <c r="B16707">
        <v>8210200</v>
      </c>
    </row>
    <row r="16708" spans="1:2" x14ac:dyDescent="0.4">
      <c r="A16708" s="4">
        <v>501400000</v>
      </c>
      <c r="B16708">
        <v>8210201</v>
      </c>
    </row>
    <row r="16709" spans="1:2" x14ac:dyDescent="0.4">
      <c r="A16709" s="4">
        <v>501400000</v>
      </c>
      <c r="B16709">
        <v>8210202</v>
      </c>
    </row>
    <row r="16710" spans="1:2" x14ac:dyDescent="0.4">
      <c r="A16710" s="4">
        <v>501400000</v>
      </c>
      <c r="B16710">
        <v>8210300</v>
      </c>
    </row>
    <row r="16711" spans="1:2" x14ac:dyDescent="0.4">
      <c r="A16711" s="4">
        <v>501400000</v>
      </c>
      <c r="B16711">
        <v>8210301</v>
      </c>
    </row>
    <row r="16712" spans="1:2" x14ac:dyDescent="0.4">
      <c r="A16712" s="4">
        <v>501400000</v>
      </c>
      <c r="B16712">
        <v>8210302</v>
      </c>
    </row>
    <row r="16713" spans="1:2" x14ac:dyDescent="0.4">
      <c r="A16713" s="4">
        <v>501400000</v>
      </c>
      <c r="B16713">
        <v>8210400</v>
      </c>
    </row>
    <row r="16714" spans="1:2" x14ac:dyDescent="0.4">
      <c r="A16714" s="4">
        <v>501400000</v>
      </c>
      <c r="B16714">
        <v>8210401</v>
      </c>
    </row>
    <row r="16715" spans="1:2" x14ac:dyDescent="0.4">
      <c r="A16715" s="4">
        <v>501400000</v>
      </c>
      <c r="B16715">
        <v>8210402</v>
      </c>
    </row>
    <row r="16716" spans="1:2" x14ac:dyDescent="0.4">
      <c r="A16716" s="4">
        <v>501400000</v>
      </c>
      <c r="B16716">
        <v>8210500</v>
      </c>
    </row>
    <row r="16717" spans="1:2" x14ac:dyDescent="0.4">
      <c r="A16717" s="4">
        <v>501400000</v>
      </c>
      <c r="B16717">
        <v>8210501</v>
      </c>
    </row>
    <row r="16718" spans="1:2" x14ac:dyDescent="0.4">
      <c r="A16718" s="4">
        <v>501400000</v>
      </c>
      <c r="B16718">
        <v>8210502</v>
      </c>
    </row>
    <row r="16719" spans="1:2" x14ac:dyDescent="0.4">
      <c r="A16719" s="4">
        <v>501400000</v>
      </c>
      <c r="B16719">
        <v>8210600</v>
      </c>
    </row>
    <row r="16720" spans="1:2" x14ac:dyDescent="0.4">
      <c r="A16720" s="4">
        <v>501400000</v>
      </c>
      <c r="B16720">
        <v>8210601</v>
      </c>
    </row>
    <row r="16721" spans="1:2" x14ac:dyDescent="0.4">
      <c r="A16721" s="4">
        <v>501400000</v>
      </c>
      <c r="B16721">
        <v>8210602</v>
      </c>
    </row>
    <row r="16722" spans="1:2" x14ac:dyDescent="0.4">
      <c r="A16722" s="4">
        <v>501400000</v>
      </c>
      <c r="B16722">
        <v>8220000</v>
      </c>
    </row>
    <row r="16723" spans="1:2" x14ac:dyDescent="0.4">
      <c r="A16723" s="4">
        <v>501400000</v>
      </c>
      <c r="B16723">
        <v>8220001</v>
      </c>
    </row>
    <row r="16724" spans="1:2" x14ac:dyDescent="0.4">
      <c r="A16724" s="4">
        <v>501400000</v>
      </c>
      <c r="B16724">
        <v>8220002</v>
      </c>
    </row>
    <row r="16725" spans="1:2" x14ac:dyDescent="0.4">
      <c r="A16725" s="4">
        <v>501400000</v>
      </c>
      <c r="B16725">
        <v>8300000</v>
      </c>
    </row>
    <row r="16726" spans="1:2" x14ac:dyDescent="0.4">
      <c r="A16726" s="4">
        <v>501400000</v>
      </c>
      <c r="B16726">
        <v>8300001</v>
      </c>
    </row>
    <row r="16727" spans="1:2" x14ac:dyDescent="0.4">
      <c r="A16727" s="4">
        <v>501400000</v>
      </c>
      <c r="B16727">
        <v>8300002</v>
      </c>
    </row>
    <row r="16728" spans="1:2" x14ac:dyDescent="0.4">
      <c r="A16728" s="4">
        <v>501400000</v>
      </c>
      <c r="B16728">
        <v>8310000</v>
      </c>
    </row>
    <row r="16729" spans="1:2" x14ac:dyDescent="0.4">
      <c r="A16729" s="4">
        <v>501400000</v>
      </c>
      <c r="B16729">
        <v>8310001</v>
      </c>
    </row>
    <row r="16730" spans="1:2" x14ac:dyDescent="0.4">
      <c r="A16730" s="4">
        <v>501400000</v>
      </c>
      <c r="B16730">
        <v>8310002</v>
      </c>
    </row>
    <row r="16731" spans="1:2" x14ac:dyDescent="0.4">
      <c r="A16731" s="4">
        <v>501400000</v>
      </c>
      <c r="B16731">
        <v>8320000</v>
      </c>
    </row>
    <row r="16732" spans="1:2" x14ac:dyDescent="0.4">
      <c r="A16732" s="4">
        <v>501400000</v>
      </c>
      <c r="B16732">
        <v>8320001</v>
      </c>
    </row>
    <row r="16733" spans="1:2" x14ac:dyDescent="0.4">
      <c r="A16733" s="4">
        <v>501400000</v>
      </c>
      <c r="B16733">
        <v>8320002</v>
      </c>
    </row>
    <row r="16734" spans="1:2" x14ac:dyDescent="0.4">
      <c r="A16734" s="4">
        <v>501400000</v>
      </c>
      <c r="B16734">
        <v>8320100</v>
      </c>
    </row>
    <row r="16735" spans="1:2" x14ac:dyDescent="0.4">
      <c r="A16735" s="4">
        <v>501400000</v>
      </c>
      <c r="B16735">
        <v>8320101</v>
      </c>
    </row>
    <row r="16736" spans="1:2" x14ac:dyDescent="0.4">
      <c r="A16736" s="4">
        <v>501400000</v>
      </c>
      <c r="B16736">
        <v>8320102</v>
      </c>
    </row>
    <row r="16737" spans="1:2" x14ac:dyDescent="0.4">
      <c r="A16737" s="4">
        <v>501400000</v>
      </c>
      <c r="B16737">
        <v>8320300</v>
      </c>
    </row>
    <row r="16738" spans="1:2" x14ac:dyDescent="0.4">
      <c r="A16738" s="4">
        <v>501400000</v>
      </c>
      <c r="B16738">
        <v>8320301</v>
      </c>
    </row>
    <row r="16739" spans="1:2" x14ac:dyDescent="0.4">
      <c r="A16739" s="4">
        <v>501400000</v>
      </c>
      <c r="B16739">
        <v>8320302</v>
      </c>
    </row>
    <row r="16740" spans="1:2" x14ac:dyDescent="0.4">
      <c r="A16740" s="4">
        <v>501400000</v>
      </c>
      <c r="B16740">
        <v>8320400</v>
      </c>
    </row>
    <row r="16741" spans="1:2" x14ac:dyDescent="0.4">
      <c r="A16741" s="4">
        <v>501400000</v>
      </c>
      <c r="B16741">
        <v>8320410</v>
      </c>
    </row>
    <row r="16742" spans="1:2" x14ac:dyDescent="0.4">
      <c r="A16742" s="4">
        <v>501400000</v>
      </c>
      <c r="B16742">
        <v>8320420</v>
      </c>
    </row>
    <row r="16743" spans="1:2" x14ac:dyDescent="0.4">
      <c r="A16743" s="4">
        <v>501400000</v>
      </c>
      <c r="B16743">
        <v>8330000</v>
      </c>
    </row>
    <row r="16744" spans="1:2" x14ac:dyDescent="0.4">
      <c r="A16744" s="4">
        <v>501400000</v>
      </c>
      <c r="B16744">
        <v>8330001</v>
      </c>
    </row>
    <row r="16745" spans="1:2" x14ac:dyDescent="0.4">
      <c r="A16745" s="4">
        <v>501400000</v>
      </c>
      <c r="B16745">
        <v>8330002</v>
      </c>
    </row>
    <row r="16746" spans="1:2" x14ac:dyDescent="0.4">
      <c r="A16746" s="4">
        <v>501400000</v>
      </c>
      <c r="B16746">
        <v>8330100</v>
      </c>
    </row>
    <row r="16747" spans="1:2" x14ac:dyDescent="0.4">
      <c r="A16747" s="4">
        <v>501400000</v>
      </c>
      <c r="B16747">
        <v>8330101</v>
      </c>
    </row>
    <row r="16748" spans="1:2" x14ac:dyDescent="0.4">
      <c r="A16748" s="4">
        <v>501400000</v>
      </c>
      <c r="B16748">
        <v>8330102</v>
      </c>
    </row>
    <row r="16749" spans="1:2" x14ac:dyDescent="0.4">
      <c r="A16749" s="4">
        <v>501400000</v>
      </c>
      <c r="B16749">
        <v>8330200</v>
      </c>
    </row>
    <row r="16750" spans="1:2" x14ac:dyDescent="0.4">
      <c r="A16750" s="4">
        <v>501400000</v>
      </c>
      <c r="B16750">
        <v>8330201</v>
      </c>
    </row>
    <row r="16751" spans="1:2" x14ac:dyDescent="0.4">
      <c r="A16751" s="4">
        <v>501400000</v>
      </c>
      <c r="B16751">
        <v>8330202</v>
      </c>
    </row>
    <row r="16752" spans="1:2" x14ac:dyDescent="0.4">
      <c r="A16752" s="4">
        <v>501400000</v>
      </c>
      <c r="B16752">
        <v>8330300</v>
      </c>
    </row>
    <row r="16753" spans="1:2" x14ac:dyDescent="0.4">
      <c r="A16753" s="4">
        <v>501400000</v>
      </c>
      <c r="B16753">
        <v>8330301</v>
      </c>
    </row>
    <row r="16754" spans="1:2" x14ac:dyDescent="0.4">
      <c r="A16754" s="4">
        <v>501400000</v>
      </c>
      <c r="B16754">
        <v>8330302</v>
      </c>
    </row>
    <row r="16755" spans="1:2" x14ac:dyDescent="0.4">
      <c r="A16755" s="4">
        <v>501400000</v>
      </c>
      <c r="B16755">
        <v>8330400</v>
      </c>
    </row>
    <row r="16756" spans="1:2" x14ac:dyDescent="0.4">
      <c r="A16756" s="4">
        <v>501400000</v>
      </c>
      <c r="B16756">
        <v>8330401</v>
      </c>
    </row>
    <row r="16757" spans="1:2" x14ac:dyDescent="0.4">
      <c r="A16757" s="4">
        <v>501400000</v>
      </c>
      <c r="B16757">
        <v>8330600</v>
      </c>
    </row>
    <row r="16758" spans="1:2" x14ac:dyDescent="0.4">
      <c r="A16758" s="4">
        <v>501400000</v>
      </c>
      <c r="B16758">
        <v>8330601</v>
      </c>
    </row>
    <row r="16759" spans="1:2" x14ac:dyDescent="0.4">
      <c r="A16759" s="4">
        <v>501400000</v>
      </c>
      <c r="B16759">
        <v>8330602</v>
      </c>
    </row>
    <row r="16760" spans="1:2" x14ac:dyDescent="0.4">
      <c r="A16760" s="4">
        <v>501400000</v>
      </c>
      <c r="B16760">
        <v>8330900</v>
      </c>
    </row>
    <row r="16761" spans="1:2" x14ac:dyDescent="0.4">
      <c r="A16761" s="4">
        <v>501400000</v>
      </c>
      <c r="B16761">
        <v>8330910</v>
      </c>
    </row>
    <row r="16762" spans="1:2" x14ac:dyDescent="0.4">
      <c r="A16762" s="4">
        <v>501400000</v>
      </c>
      <c r="B16762">
        <v>8330920</v>
      </c>
    </row>
    <row r="16763" spans="1:2" x14ac:dyDescent="0.4">
      <c r="A16763" s="4">
        <v>501400000</v>
      </c>
      <c r="B16763">
        <v>8340000</v>
      </c>
    </row>
    <row r="16764" spans="1:2" x14ac:dyDescent="0.4">
      <c r="A16764" s="4">
        <v>501400000</v>
      </c>
      <c r="B16764">
        <v>8340001</v>
      </c>
    </row>
    <row r="16765" spans="1:2" x14ac:dyDescent="0.4">
      <c r="A16765" s="4">
        <v>501400000</v>
      </c>
      <c r="B16765">
        <v>8340002</v>
      </c>
    </row>
    <row r="16766" spans="1:2" x14ac:dyDescent="0.4">
      <c r="A16766" s="4">
        <v>501400000</v>
      </c>
      <c r="B16766">
        <v>8340100</v>
      </c>
    </row>
    <row r="16767" spans="1:2" x14ac:dyDescent="0.4">
      <c r="A16767" s="4">
        <v>501400000</v>
      </c>
      <c r="B16767">
        <v>8340101</v>
      </c>
    </row>
    <row r="16768" spans="1:2" x14ac:dyDescent="0.4">
      <c r="A16768" s="4">
        <v>501400000</v>
      </c>
      <c r="B16768">
        <v>8340102</v>
      </c>
    </row>
    <row r="16769" spans="1:2" x14ac:dyDescent="0.4">
      <c r="A16769" s="4">
        <v>501400000</v>
      </c>
      <c r="B16769">
        <v>8350000</v>
      </c>
    </row>
    <row r="16770" spans="1:2" x14ac:dyDescent="0.4">
      <c r="A16770" s="4">
        <v>501400000</v>
      </c>
      <c r="B16770">
        <v>8350001</v>
      </c>
    </row>
    <row r="16771" spans="1:2" x14ac:dyDescent="0.4">
      <c r="A16771" s="4">
        <v>501400000</v>
      </c>
      <c r="B16771">
        <v>8350002</v>
      </c>
    </row>
    <row r="16772" spans="1:2" x14ac:dyDescent="0.4">
      <c r="A16772" s="4">
        <v>501400000</v>
      </c>
      <c r="B16772">
        <v>8350200</v>
      </c>
    </row>
    <row r="16773" spans="1:2" x14ac:dyDescent="0.4">
      <c r="A16773" s="4">
        <v>501400000</v>
      </c>
      <c r="B16773">
        <v>8350201</v>
      </c>
    </row>
    <row r="16774" spans="1:2" x14ac:dyDescent="0.4">
      <c r="A16774" s="4">
        <v>501400000</v>
      </c>
      <c r="B16774">
        <v>8350202</v>
      </c>
    </row>
    <row r="16775" spans="1:2" x14ac:dyDescent="0.4">
      <c r="A16775" s="4">
        <v>501400000</v>
      </c>
      <c r="B16775">
        <v>8420000</v>
      </c>
    </row>
    <row r="16776" spans="1:2" x14ac:dyDescent="0.4">
      <c r="A16776" s="4">
        <v>501400000</v>
      </c>
      <c r="B16776">
        <v>8420001</v>
      </c>
    </row>
    <row r="16777" spans="1:2" x14ac:dyDescent="0.4">
      <c r="A16777" s="4">
        <v>501400000</v>
      </c>
      <c r="B16777">
        <v>8420002</v>
      </c>
    </row>
    <row r="16778" spans="1:2" x14ac:dyDescent="0.4">
      <c r="A16778" s="4">
        <v>501400000</v>
      </c>
      <c r="B16778">
        <v>8450000</v>
      </c>
    </row>
    <row r="16779" spans="1:2" x14ac:dyDescent="0.4">
      <c r="A16779" s="4">
        <v>501400000</v>
      </c>
      <c r="B16779">
        <v>8460100</v>
      </c>
    </row>
    <row r="16780" spans="1:2" x14ac:dyDescent="0.4">
      <c r="A16780" s="4">
        <v>501400000</v>
      </c>
      <c r="B16780">
        <v>8460300</v>
      </c>
    </row>
    <row r="16781" spans="1:2" x14ac:dyDescent="0.4">
      <c r="A16781" s="4">
        <v>501400000</v>
      </c>
      <c r="B16781">
        <v>8460500</v>
      </c>
    </row>
    <row r="16782" spans="1:2" x14ac:dyDescent="0.4">
      <c r="A16782" s="4">
        <v>501400000</v>
      </c>
      <c r="B16782">
        <v>8510000</v>
      </c>
    </row>
    <row r="16783" spans="1:2" x14ac:dyDescent="0.4">
      <c r="A16783" s="4">
        <v>501400000</v>
      </c>
      <c r="B16783">
        <v>8510001</v>
      </c>
    </row>
    <row r="16784" spans="1:2" x14ac:dyDescent="0.4">
      <c r="A16784" s="4">
        <v>501400000</v>
      </c>
      <c r="B16784">
        <v>8510002</v>
      </c>
    </row>
    <row r="16785" spans="1:2" x14ac:dyDescent="0.4">
      <c r="A16785" s="4">
        <v>501400000</v>
      </c>
      <c r="B16785">
        <v>8520000</v>
      </c>
    </row>
    <row r="16786" spans="1:2" x14ac:dyDescent="0.4">
      <c r="A16786" s="4">
        <v>501400000</v>
      </c>
      <c r="B16786">
        <v>8520001</v>
      </c>
    </row>
    <row r="16787" spans="1:2" x14ac:dyDescent="0.4">
      <c r="A16787" s="4">
        <v>501400000</v>
      </c>
      <c r="B16787">
        <v>8520002</v>
      </c>
    </row>
    <row r="16788" spans="1:2" x14ac:dyDescent="0.4">
      <c r="A16788" s="4">
        <v>501400000</v>
      </c>
      <c r="B16788">
        <v>8530000</v>
      </c>
    </row>
    <row r="16789" spans="1:2" x14ac:dyDescent="0.4">
      <c r="A16789" s="4">
        <v>501400000</v>
      </c>
      <c r="B16789">
        <v>8530100</v>
      </c>
    </row>
    <row r="16790" spans="1:2" x14ac:dyDescent="0.4">
      <c r="A16790" s="4">
        <v>501400000</v>
      </c>
      <c r="B16790">
        <v>8540000</v>
      </c>
    </row>
    <row r="16791" spans="1:2" x14ac:dyDescent="0.4">
      <c r="A16791" s="4">
        <v>501400000</v>
      </c>
      <c r="B16791">
        <v>8600100</v>
      </c>
    </row>
    <row r="16792" spans="1:2" x14ac:dyDescent="0.4">
      <c r="A16792" s="4">
        <v>501400000</v>
      </c>
      <c r="B16792">
        <v>8600101</v>
      </c>
    </row>
    <row r="16793" spans="1:2" x14ac:dyDescent="0.4">
      <c r="A16793" s="4">
        <v>501400000</v>
      </c>
      <c r="B16793">
        <v>8600102</v>
      </c>
    </row>
    <row r="16794" spans="1:2" x14ac:dyDescent="0.4">
      <c r="A16794" s="4">
        <v>501400000</v>
      </c>
      <c r="B16794">
        <v>8600200</v>
      </c>
    </row>
    <row r="16795" spans="1:2" x14ac:dyDescent="0.4">
      <c r="A16795" s="4">
        <v>501400000</v>
      </c>
      <c r="B16795">
        <v>8600201</v>
      </c>
    </row>
    <row r="16796" spans="1:2" x14ac:dyDescent="0.4">
      <c r="A16796" s="4">
        <v>501400000</v>
      </c>
      <c r="B16796">
        <v>8600202</v>
      </c>
    </row>
    <row r="16797" spans="1:2" x14ac:dyDescent="0.4">
      <c r="A16797" s="4">
        <v>501400000</v>
      </c>
      <c r="B16797">
        <v>8610700</v>
      </c>
    </row>
    <row r="16798" spans="1:2" x14ac:dyDescent="0.4">
      <c r="A16798" s="4">
        <v>501400000</v>
      </c>
      <c r="B16798">
        <v>8610710</v>
      </c>
    </row>
    <row r="16799" spans="1:2" x14ac:dyDescent="0.4">
      <c r="A16799" s="4">
        <v>501400000</v>
      </c>
      <c r="B16799">
        <v>8610720</v>
      </c>
    </row>
    <row r="16800" spans="1:2" x14ac:dyDescent="0.4">
      <c r="A16800" s="4">
        <v>501400000</v>
      </c>
      <c r="B16800">
        <v>8620000</v>
      </c>
    </row>
    <row r="16801" spans="1:2" x14ac:dyDescent="0.4">
      <c r="A16801" s="4">
        <v>501400000</v>
      </c>
      <c r="B16801">
        <v>8620010</v>
      </c>
    </row>
    <row r="16802" spans="1:2" x14ac:dyDescent="0.4">
      <c r="A16802" s="4">
        <v>501400000</v>
      </c>
      <c r="B16802">
        <v>8620020</v>
      </c>
    </row>
    <row r="16803" spans="1:2" x14ac:dyDescent="0.4">
      <c r="A16803" s="4">
        <v>501400000</v>
      </c>
      <c r="B16803">
        <v>8620100</v>
      </c>
    </row>
    <row r="16804" spans="1:2" x14ac:dyDescent="0.4">
      <c r="A16804" s="4">
        <v>501400000</v>
      </c>
      <c r="B16804">
        <v>8620110</v>
      </c>
    </row>
    <row r="16805" spans="1:2" x14ac:dyDescent="0.4">
      <c r="A16805" s="4">
        <v>501400000</v>
      </c>
      <c r="B16805">
        <v>8620120</v>
      </c>
    </row>
    <row r="16806" spans="1:2" x14ac:dyDescent="0.4">
      <c r="A16806" s="4">
        <v>501400000</v>
      </c>
      <c r="B16806">
        <v>8630000</v>
      </c>
    </row>
    <row r="16807" spans="1:2" x14ac:dyDescent="0.4">
      <c r="A16807" s="4">
        <v>501400000</v>
      </c>
      <c r="B16807">
        <v>8630000</v>
      </c>
    </row>
    <row r="16808" spans="1:2" x14ac:dyDescent="0.4">
      <c r="A16808" s="4">
        <v>501400000</v>
      </c>
      <c r="B16808">
        <v>8630000</v>
      </c>
    </row>
    <row r="16809" spans="1:2" x14ac:dyDescent="0.4">
      <c r="A16809" s="4">
        <v>501400000</v>
      </c>
      <c r="B16809">
        <v>8630100</v>
      </c>
    </row>
    <row r="16810" spans="1:2" x14ac:dyDescent="0.4">
      <c r="A16810" s="4">
        <v>501400000</v>
      </c>
      <c r="B16810">
        <v>8630100</v>
      </c>
    </row>
    <row r="16811" spans="1:2" x14ac:dyDescent="0.4">
      <c r="A16811" s="4">
        <v>501400000</v>
      </c>
      <c r="B16811">
        <v>8630100</v>
      </c>
    </row>
    <row r="16812" spans="1:2" x14ac:dyDescent="0.4">
      <c r="A16812" s="4">
        <v>501400000</v>
      </c>
      <c r="B16812">
        <v>8652000</v>
      </c>
    </row>
    <row r="16813" spans="1:2" x14ac:dyDescent="0.4">
      <c r="A16813" s="4">
        <v>501400000</v>
      </c>
      <c r="B16813">
        <v>8652010</v>
      </c>
    </row>
    <row r="16814" spans="1:2" x14ac:dyDescent="0.4">
      <c r="A16814" s="4">
        <v>501400000</v>
      </c>
      <c r="B16814">
        <v>8652020</v>
      </c>
    </row>
    <row r="16815" spans="1:2" x14ac:dyDescent="0.4">
      <c r="A16815" s="4">
        <v>501400000</v>
      </c>
      <c r="B16815">
        <v>8652100</v>
      </c>
    </row>
    <row r="16816" spans="1:2" x14ac:dyDescent="0.4">
      <c r="A16816" s="4">
        <v>501400000</v>
      </c>
      <c r="B16816">
        <v>8652110</v>
      </c>
    </row>
    <row r="16817" spans="1:2" x14ac:dyDescent="0.4">
      <c r="A16817" s="4">
        <v>501400000</v>
      </c>
      <c r="B16817">
        <v>8652120</v>
      </c>
    </row>
    <row r="16818" spans="1:2" x14ac:dyDescent="0.4">
      <c r="A16818" s="4">
        <v>501400000</v>
      </c>
      <c r="B16818">
        <v>8660000</v>
      </c>
    </row>
    <row r="16819" spans="1:2" x14ac:dyDescent="0.4">
      <c r="A16819" s="4">
        <v>501400000</v>
      </c>
      <c r="B16819">
        <v>8660001</v>
      </c>
    </row>
    <row r="16820" spans="1:2" x14ac:dyDescent="0.4">
      <c r="A16820" s="4">
        <v>501400000</v>
      </c>
      <c r="B16820">
        <v>8660002</v>
      </c>
    </row>
    <row r="16821" spans="1:2" x14ac:dyDescent="0.4">
      <c r="A16821" s="4">
        <v>501400000</v>
      </c>
      <c r="B16821">
        <v>8660100</v>
      </c>
    </row>
    <row r="16822" spans="1:2" x14ac:dyDescent="0.4">
      <c r="A16822" s="4">
        <v>501400000</v>
      </c>
      <c r="B16822">
        <v>8660101</v>
      </c>
    </row>
    <row r="16823" spans="1:2" x14ac:dyDescent="0.4">
      <c r="A16823" s="4">
        <v>501400000</v>
      </c>
      <c r="B16823">
        <v>8660102</v>
      </c>
    </row>
    <row r="16824" spans="1:2" x14ac:dyDescent="0.4">
      <c r="A16824" s="4">
        <v>501400000</v>
      </c>
      <c r="B16824">
        <v>8670000</v>
      </c>
    </row>
    <row r="16825" spans="1:2" x14ac:dyDescent="0.4">
      <c r="A16825" s="4">
        <v>501400000</v>
      </c>
      <c r="B16825">
        <v>8670001</v>
      </c>
    </row>
    <row r="16826" spans="1:2" x14ac:dyDescent="0.4">
      <c r="A16826" s="4">
        <v>501400000</v>
      </c>
      <c r="B16826">
        <v>8670002</v>
      </c>
    </row>
    <row r="16827" spans="1:2" x14ac:dyDescent="0.4">
      <c r="A16827" s="4">
        <v>501400000</v>
      </c>
      <c r="B16827">
        <v>8670100</v>
      </c>
    </row>
    <row r="16828" spans="1:2" x14ac:dyDescent="0.4">
      <c r="A16828" s="4">
        <v>501400000</v>
      </c>
      <c r="B16828">
        <v>8670101</v>
      </c>
    </row>
    <row r="16829" spans="1:2" x14ac:dyDescent="0.4">
      <c r="A16829" s="4">
        <v>501400000</v>
      </c>
      <c r="B16829">
        <v>8670102</v>
      </c>
    </row>
    <row r="16830" spans="1:2" x14ac:dyDescent="0.4">
      <c r="A16830" s="4">
        <v>501400000</v>
      </c>
      <c r="B16830">
        <v>8690000</v>
      </c>
    </row>
    <row r="16831" spans="1:2" x14ac:dyDescent="0.4">
      <c r="A16831" s="4">
        <v>501400000</v>
      </c>
      <c r="B16831">
        <v>8690100</v>
      </c>
    </row>
    <row r="16832" spans="1:2" x14ac:dyDescent="0.4">
      <c r="A16832" s="4">
        <v>501400000</v>
      </c>
      <c r="B16832">
        <v>8690200</v>
      </c>
    </row>
    <row r="16833" spans="1:2" x14ac:dyDescent="0.4">
      <c r="A16833" s="4">
        <v>501400000</v>
      </c>
      <c r="B16833">
        <v>8690300</v>
      </c>
    </row>
    <row r="16834" spans="1:2" x14ac:dyDescent="0.4">
      <c r="A16834" s="4">
        <v>501400000</v>
      </c>
      <c r="B16834">
        <v>8690400</v>
      </c>
    </row>
    <row r="16835" spans="1:2" x14ac:dyDescent="0.4">
      <c r="A16835" s="4">
        <v>501400000</v>
      </c>
      <c r="B16835">
        <v>8320500</v>
      </c>
    </row>
    <row r="16836" spans="1:2" x14ac:dyDescent="0.4">
      <c r="A16836" s="4">
        <v>501400000</v>
      </c>
      <c r="B16836">
        <v>8320510</v>
      </c>
    </row>
    <row r="16837" spans="1:2" x14ac:dyDescent="0.4">
      <c r="A16837" s="4">
        <v>501400000</v>
      </c>
      <c r="B16837">
        <v>8320520</v>
      </c>
    </row>
    <row r="16838" spans="1:2" x14ac:dyDescent="0.4">
      <c r="A16838" s="4">
        <v>501400000</v>
      </c>
      <c r="B16838">
        <v>8320600</v>
      </c>
    </row>
    <row r="16839" spans="1:2" x14ac:dyDescent="0.4">
      <c r="A16839" s="4">
        <v>501400000</v>
      </c>
      <c r="B16839">
        <v>8320610</v>
      </c>
    </row>
    <row r="16840" spans="1:2" x14ac:dyDescent="0.4">
      <c r="A16840" s="4">
        <v>501400000</v>
      </c>
      <c r="B16840">
        <v>8320620</v>
      </c>
    </row>
    <row r="16841" spans="1:2" x14ac:dyDescent="0.4">
      <c r="A16841" s="4">
        <v>501400000</v>
      </c>
      <c r="B16841">
        <v>8320700</v>
      </c>
    </row>
    <row r="16842" spans="1:2" x14ac:dyDescent="0.4">
      <c r="A16842" s="4">
        <v>501400000</v>
      </c>
      <c r="B16842">
        <v>8320710</v>
      </c>
    </row>
    <row r="16843" spans="1:2" x14ac:dyDescent="0.4">
      <c r="A16843" s="4">
        <v>501400000</v>
      </c>
      <c r="B16843">
        <v>8320720</v>
      </c>
    </row>
    <row r="16844" spans="1:2" x14ac:dyDescent="0.4">
      <c r="A16844" s="4">
        <v>501400100</v>
      </c>
      <c r="B16844">
        <v>0</v>
      </c>
    </row>
    <row r="16845" spans="1:2" x14ac:dyDescent="0.4">
      <c r="A16845" s="4">
        <v>501400100</v>
      </c>
      <c r="B16845">
        <v>8100100</v>
      </c>
    </row>
    <row r="16846" spans="1:2" x14ac:dyDescent="0.4">
      <c r="A16846" s="4">
        <v>501400100</v>
      </c>
      <c r="B16846">
        <v>8100101</v>
      </c>
    </row>
    <row r="16847" spans="1:2" x14ac:dyDescent="0.4">
      <c r="A16847" s="4">
        <v>501400100</v>
      </c>
      <c r="B16847">
        <v>8100102</v>
      </c>
    </row>
    <row r="16848" spans="1:2" x14ac:dyDescent="0.4">
      <c r="A16848" s="4">
        <v>501400100</v>
      </c>
      <c r="B16848">
        <v>8100200</v>
      </c>
    </row>
    <row r="16849" spans="1:2" x14ac:dyDescent="0.4">
      <c r="A16849" s="4">
        <v>501400100</v>
      </c>
      <c r="B16849">
        <v>8100201</v>
      </c>
    </row>
    <row r="16850" spans="1:2" x14ac:dyDescent="0.4">
      <c r="A16850" s="4">
        <v>501400100</v>
      </c>
      <c r="B16850">
        <v>8100202</v>
      </c>
    </row>
    <row r="16851" spans="1:2" x14ac:dyDescent="0.4">
      <c r="A16851" s="4">
        <v>501400100</v>
      </c>
      <c r="B16851">
        <v>8100300</v>
      </c>
    </row>
    <row r="16852" spans="1:2" x14ac:dyDescent="0.4">
      <c r="A16852" s="4">
        <v>501400100</v>
      </c>
      <c r="B16852">
        <v>8100301</v>
      </c>
    </row>
    <row r="16853" spans="1:2" x14ac:dyDescent="0.4">
      <c r="A16853" s="4">
        <v>501400100</v>
      </c>
      <c r="B16853">
        <v>8100302</v>
      </c>
    </row>
    <row r="16854" spans="1:2" x14ac:dyDescent="0.4">
      <c r="A16854" s="4">
        <v>501400100</v>
      </c>
      <c r="B16854">
        <v>8100400</v>
      </c>
    </row>
    <row r="16855" spans="1:2" x14ac:dyDescent="0.4">
      <c r="A16855" s="4">
        <v>501400100</v>
      </c>
      <c r="B16855">
        <v>8100401</v>
      </c>
    </row>
    <row r="16856" spans="1:2" x14ac:dyDescent="0.4">
      <c r="A16856" s="4">
        <v>501400100</v>
      </c>
      <c r="B16856">
        <v>8100402</v>
      </c>
    </row>
    <row r="16857" spans="1:2" x14ac:dyDescent="0.4">
      <c r="A16857" s="4">
        <v>501400100</v>
      </c>
      <c r="B16857">
        <v>8130000</v>
      </c>
    </row>
    <row r="16858" spans="1:2" x14ac:dyDescent="0.4">
      <c r="A16858" s="4">
        <v>501400100</v>
      </c>
      <c r="B16858">
        <v>8130001</v>
      </c>
    </row>
    <row r="16859" spans="1:2" x14ac:dyDescent="0.4">
      <c r="A16859" s="4">
        <v>501400100</v>
      </c>
      <c r="B16859">
        <v>8130002</v>
      </c>
    </row>
    <row r="16860" spans="1:2" x14ac:dyDescent="0.4">
      <c r="A16860" s="4">
        <v>501400100</v>
      </c>
      <c r="B16860">
        <v>8140000</v>
      </c>
    </row>
    <row r="16861" spans="1:2" x14ac:dyDescent="0.4">
      <c r="A16861" s="4">
        <v>501400100</v>
      </c>
      <c r="B16861">
        <v>8140001</v>
      </c>
    </row>
    <row r="16862" spans="1:2" x14ac:dyDescent="0.4">
      <c r="A16862" s="4">
        <v>501400100</v>
      </c>
      <c r="B16862">
        <v>8140002</v>
      </c>
    </row>
    <row r="16863" spans="1:2" x14ac:dyDescent="0.4">
      <c r="A16863" s="4">
        <v>501400100</v>
      </c>
      <c r="B16863">
        <v>8200100</v>
      </c>
    </row>
    <row r="16864" spans="1:2" x14ac:dyDescent="0.4">
      <c r="A16864" s="4">
        <v>501400100</v>
      </c>
      <c r="B16864">
        <v>8200101</v>
      </c>
    </row>
    <row r="16865" spans="1:2" x14ac:dyDescent="0.4">
      <c r="A16865" s="4">
        <v>501400100</v>
      </c>
      <c r="B16865">
        <v>8200102</v>
      </c>
    </row>
    <row r="16866" spans="1:2" x14ac:dyDescent="0.4">
      <c r="A16866" s="4">
        <v>501400100</v>
      </c>
      <c r="B16866">
        <v>8200200</v>
      </c>
    </row>
    <row r="16867" spans="1:2" x14ac:dyDescent="0.4">
      <c r="A16867" s="4">
        <v>501400100</v>
      </c>
      <c r="B16867">
        <v>8200201</v>
      </c>
    </row>
    <row r="16868" spans="1:2" x14ac:dyDescent="0.4">
      <c r="A16868" s="4">
        <v>501400100</v>
      </c>
      <c r="B16868">
        <v>8200202</v>
      </c>
    </row>
    <row r="16869" spans="1:2" x14ac:dyDescent="0.4">
      <c r="A16869" s="4">
        <v>501400100</v>
      </c>
      <c r="B16869">
        <v>8200300</v>
      </c>
    </row>
    <row r="16870" spans="1:2" x14ac:dyDescent="0.4">
      <c r="A16870" s="4">
        <v>501400100</v>
      </c>
      <c r="B16870">
        <v>8200301</v>
      </c>
    </row>
    <row r="16871" spans="1:2" x14ac:dyDescent="0.4">
      <c r="A16871" s="4">
        <v>501400100</v>
      </c>
      <c r="B16871">
        <v>8200302</v>
      </c>
    </row>
    <row r="16872" spans="1:2" x14ac:dyDescent="0.4">
      <c r="A16872" s="4">
        <v>501400100</v>
      </c>
      <c r="B16872">
        <v>8200400</v>
      </c>
    </row>
    <row r="16873" spans="1:2" x14ac:dyDescent="0.4">
      <c r="A16873" s="4">
        <v>501400100</v>
      </c>
      <c r="B16873">
        <v>8200401</v>
      </c>
    </row>
    <row r="16874" spans="1:2" x14ac:dyDescent="0.4">
      <c r="A16874" s="4">
        <v>501400100</v>
      </c>
      <c r="B16874">
        <v>8200402</v>
      </c>
    </row>
    <row r="16875" spans="1:2" x14ac:dyDescent="0.4">
      <c r="A16875" s="4">
        <v>501400100</v>
      </c>
      <c r="B16875">
        <v>8210000</v>
      </c>
    </row>
    <row r="16876" spans="1:2" x14ac:dyDescent="0.4">
      <c r="A16876" s="4">
        <v>501400100</v>
      </c>
      <c r="B16876">
        <v>8210001</v>
      </c>
    </row>
    <row r="16877" spans="1:2" x14ac:dyDescent="0.4">
      <c r="A16877" s="4">
        <v>501400100</v>
      </c>
      <c r="B16877">
        <v>8210002</v>
      </c>
    </row>
    <row r="16878" spans="1:2" x14ac:dyDescent="0.4">
      <c r="A16878" s="4">
        <v>501400100</v>
      </c>
      <c r="B16878">
        <v>8210100</v>
      </c>
    </row>
    <row r="16879" spans="1:2" x14ac:dyDescent="0.4">
      <c r="A16879" s="4">
        <v>501400100</v>
      </c>
      <c r="B16879">
        <v>8210101</v>
      </c>
    </row>
    <row r="16880" spans="1:2" x14ac:dyDescent="0.4">
      <c r="A16880" s="4">
        <v>501400100</v>
      </c>
      <c r="B16880">
        <v>8210102</v>
      </c>
    </row>
    <row r="16881" spans="1:2" x14ac:dyDescent="0.4">
      <c r="A16881" s="4">
        <v>501400100</v>
      </c>
      <c r="B16881">
        <v>8210200</v>
      </c>
    </row>
    <row r="16882" spans="1:2" x14ac:dyDescent="0.4">
      <c r="A16882" s="4">
        <v>501400100</v>
      </c>
      <c r="B16882">
        <v>8210201</v>
      </c>
    </row>
    <row r="16883" spans="1:2" x14ac:dyDescent="0.4">
      <c r="A16883" s="4">
        <v>501400100</v>
      </c>
      <c r="B16883">
        <v>8210202</v>
      </c>
    </row>
    <row r="16884" spans="1:2" x14ac:dyDescent="0.4">
      <c r="A16884" s="4">
        <v>501400100</v>
      </c>
      <c r="B16884">
        <v>8210300</v>
      </c>
    </row>
    <row r="16885" spans="1:2" x14ac:dyDescent="0.4">
      <c r="A16885" s="4">
        <v>501400100</v>
      </c>
      <c r="B16885">
        <v>8210301</v>
      </c>
    </row>
    <row r="16886" spans="1:2" x14ac:dyDescent="0.4">
      <c r="A16886" s="4">
        <v>501400100</v>
      </c>
      <c r="B16886">
        <v>8210302</v>
      </c>
    </row>
    <row r="16887" spans="1:2" x14ac:dyDescent="0.4">
      <c r="A16887" s="4">
        <v>501400100</v>
      </c>
      <c r="B16887">
        <v>8210400</v>
      </c>
    </row>
    <row r="16888" spans="1:2" x14ac:dyDescent="0.4">
      <c r="A16888" s="4">
        <v>501400100</v>
      </c>
      <c r="B16888">
        <v>8210401</v>
      </c>
    </row>
    <row r="16889" spans="1:2" x14ac:dyDescent="0.4">
      <c r="A16889" s="4">
        <v>501400100</v>
      </c>
      <c r="B16889">
        <v>8210402</v>
      </c>
    </row>
    <row r="16890" spans="1:2" x14ac:dyDescent="0.4">
      <c r="A16890" s="4">
        <v>501400100</v>
      </c>
      <c r="B16890">
        <v>8210500</v>
      </c>
    </row>
    <row r="16891" spans="1:2" x14ac:dyDescent="0.4">
      <c r="A16891" s="4">
        <v>501400100</v>
      </c>
      <c r="B16891">
        <v>8210501</v>
      </c>
    </row>
    <row r="16892" spans="1:2" x14ac:dyDescent="0.4">
      <c r="A16892" s="4">
        <v>501400100</v>
      </c>
      <c r="B16892">
        <v>8210502</v>
      </c>
    </row>
    <row r="16893" spans="1:2" x14ac:dyDescent="0.4">
      <c r="A16893" s="4">
        <v>501400100</v>
      </c>
      <c r="B16893">
        <v>8210600</v>
      </c>
    </row>
    <row r="16894" spans="1:2" x14ac:dyDescent="0.4">
      <c r="A16894" s="4">
        <v>501400100</v>
      </c>
      <c r="B16894">
        <v>8210601</v>
      </c>
    </row>
    <row r="16895" spans="1:2" x14ac:dyDescent="0.4">
      <c r="A16895" s="4">
        <v>501400100</v>
      </c>
      <c r="B16895">
        <v>8210602</v>
      </c>
    </row>
    <row r="16896" spans="1:2" x14ac:dyDescent="0.4">
      <c r="A16896" s="4">
        <v>501400100</v>
      </c>
      <c r="B16896">
        <v>8220000</v>
      </c>
    </row>
    <row r="16897" spans="1:2" x14ac:dyDescent="0.4">
      <c r="A16897" s="4">
        <v>501400100</v>
      </c>
      <c r="B16897">
        <v>8220001</v>
      </c>
    </row>
    <row r="16898" spans="1:2" x14ac:dyDescent="0.4">
      <c r="A16898" s="4">
        <v>501400100</v>
      </c>
      <c r="B16898">
        <v>8220002</v>
      </c>
    </row>
    <row r="16899" spans="1:2" x14ac:dyDescent="0.4">
      <c r="A16899" s="4">
        <v>501400100</v>
      </c>
      <c r="B16899">
        <v>8300000</v>
      </c>
    </row>
    <row r="16900" spans="1:2" x14ac:dyDescent="0.4">
      <c r="A16900" s="4">
        <v>501400100</v>
      </c>
      <c r="B16900">
        <v>8300001</v>
      </c>
    </row>
    <row r="16901" spans="1:2" x14ac:dyDescent="0.4">
      <c r="A16901" s="4">
        <v>501400100</v>
      </c>
      <c r="B16901">
        <v>8300002</v>
      </c>
    </row>
    <row r="16902" spans="1:2" x14ac:dyDescent="0.4">
      <c r="A16902" s="4">
        <v>501400100</v>
      </c>
      <c r="B16902">
        <v>8310000</v>
      </c>
    </row>
    <row r="16903" spans="1:2" x14ac:dyDescent="0.4">
      <c r="A16903" s="4">
        <v>501400100</v>
      </c>
      <c r="B16903">
        <v>8310001</v>
      </c>
    </row>
    <row r="16904" spans="1:2" x14ac:dyDescent="0.4">
      <c r="A16904" s="4">
        <v>501400100</v>
      </c>
      <c r="B16904">
        <v>8310002</v>
      </c>
    </row>
    <row r="16905" spans="1:2" x14ac:dyDescent="0.4">
      <c r="A16905" s="4">
        <v>501400100</v>
      </c>
      <c r="B16905">
        <v>8320000</v>
      </c>
    </row>
    <row r="16906" spans="1:2" x14ac:dyDescent="0.4">
      <c r="A16906" s="4">
        <v>501400100</v>
      </c>
      <c r="B16906">
        <v>8320001</v>
      </c>
    </row>
    <row r="16907" spans="1:2" x14ac:dyDescent="0.4">
      <c r="A16907" s="4">
        <v>501400100</v>
      </c>
      <c r="B16907">
        <v>8320002</v>
      </c>
    </row>
    <row r="16908" spans="1:2" x14ac:dyDescent="0.4">
      <c r="A16908" s="4">
        <v>501400100</v>
      </c>
      <c r="B16908">
        <v>8320100</v>
      </c>
    </row>
    <row r="16909" spans="1:2" x14ac:dyDescent="0.4">
      <c r="A16909" s="4">
        <v>501400100</v>
      </c>
      <c r="B16909">
        <v>8320101</v>
      </c>
    </row>
    <row r="16910" spans="1:2" x14ac:dyDescent="0.4">
      <c r="A16910" s="4">
        <v>501400100</v>
      </c>
      <c r="B16910">
        <v>8320102</v>
      </c>
    </row>
    <row r="16911" spans="1:2" x14ac:dyDescent="0.4">
      <c r="A16911" s="4">
        <v>501400100</v>
      </c>
      <c r="B16911">
        <v>8320300</v>
      </c>
    </row>
    <row r="16912" spans="1:2" x14ac:dyDescent="0.4">
      <c r="A16912" s="4">
        <v>501400100</v>
      </c>
      <c r="B16912">
        <v>8320301</v>
      </c>
    </row>
    <row r="16913" spans="1:2" x14ac:dyDescent="0.4">
      <c r="A16913" s="4">
        <v>501400100</v>
      </c>
      <c r="B16913">
        <v>8320302</v>
      </c>
    </row>
    <row r="16914" spans="1:2" x14ac:dyDescent="0.4">
      <c r="A16914" s="4">
        <v>501400100</v>
      </c>
      <c r="B16914">
        <v>8320400</v>
      </c>
    </row>
    <row r="16915" spans="1:2" x14ac:dyDescent="0.4">
      <c r="A16915" s="4">
        <v>501400100</v>
      </c>
      <c r="B16915">
        <v>8320410</v>
      </c>
    </row>
    <row r="16916" spans="1:2" x14ac:dyDescent="0.4">
      <c r="A16916" s="4">
        <v>501400100</v>
      </c>
      <c r="B16916">
        <v>8320420</v>
      </c>
    </row>
    <row r="16917" spans="1:2" x14ac:dyDescent="0.4">
      <c r="A16917" s="4">
        <v>501400100</v>
      </c>
      <c r="B16917">
        <v>8330000</v>
      </c>
    </row>
    <row r="16918" spans="1:2" x14ac:dyDescent="0.4">
      <c r="A16918" s="4">
        <v>501400100</v>
      </c>
      <c r="B16918">
        <v>8330001</v>
      </c>
    </row>
    <row r="16919" spans="1:2" x14ac:dyDescent="0.4">
      <c r="A16919" s="4">
        <v>501400100</v>
      </c>
      <c r="B16919">
        <v>8330002</v>
      </c>
    </row>
    <row r="16920" spans="1:2" x14ac:dyDescent="0.4">
      <c r="A16920" s="4">
        <v>501400100</v>
      </c>
      <c r="B16920">
        <v>8330100</v>
      </c>
    </row>
    <row r="16921" spans="1:2" x14ac:dyDescent="0.4">
      <c r="A16921" s="4">
        <v>501400100</v>
      </c>
      <c r="B16921">
        <v>8330101</v>
      </c>
    </row>
    <row r="16922" spans="1:2" x14ac:dyDescent="0.4">
      <c r="A16922" s="4">
        <v>501400100</v>
      </c>
      <c r="B16922">
        <v>8330102</v>
      </c>
    </row>
    <row r="16923" spans="1:2" x14ac:dyDescent="0.4">
      <c r="A16923" s="4">
        <v>501400100</v>
      </c>
      <c r="B16923">
        <v>8330200</v>
      </c>
    </row>
    <row r="16924" spans="1:2" x14ac:dyDescent="0.4">
      <c r="A16924" s="4">
        <v>501400100</v>
      </c>
      <c r="B16924">
        <v>8330201</v>
      </c>
    </row>
    <row r="16925" spans="1:2" x14ac:dyDescent="0.4">
      <c r="A16925" s="4">
        <v>501400100</v>
      </c>
      <c r="B16925">
        <v>8330202</v>
      </c>
    </row>
    <row r="16926" spans="1:2" x14ac:dyDescent="0.4">
      <c r="A16926" s="4">
        <v>501400100</v>
      </c>
      <c r="B16926">
        <v>8330300</v>
      </c>
    </row>
    <row r="16927" spans="1:2" x14ac:dyDescent="0.4">
      <c r="A16927" s="4">
        <v>501400100</v>
      </c>
      <c r="B16927">
        <v>8330301</v>
      </c>
    </row>
    <row r="16928" spans="1:2" x14ac:dyDescent="0.4">
      <c r="A16928" s="4">
        <v>501400100</v>
      </c>
      <c r="B16928">
        <v>8330302</v>
      </c>
    </row>
    <row r="16929" spans="1:2" x14ac:dyDescent="0.4">
      <c r="A16929" s="4">
        <v>501400100</v>
      </c>
      <c r="B16929">
        <v>8330400</v>
      </c>
    </row>
    <row r="16930" spans="1:2" x14ac:dyDescent="0.4">
      <c r="A16930" s="4">
        <v>501400100</v>
      </c>
      <c r="B16930">
        <v>8330401</v>
      </c>
    </row>
    <row r="16931" spans="1:2" x14ac:dyDescent="0.4">
      <c r="A16931" s="4">
        <v>501400100</v>
      </c>
      <c r="B16931">
        <v>8330600</v>
      </c>
    </row>
    <row r="16932" spans="1:2" x14ac:dyDescent="0.4">
      <c r="A16932" s="4">
        <v>501400100</v>
      </c>
      <c r="B16932">
        <v>8330601</v>
      </c>
    </row>
    <row r="16933" spans="1:2" x14ac:dyDescent="0.4">
      <c r="A16933" s="4">
        <v>501400100</v>
      </c>
      <c r="B16933">
        <v>8330602</v>
      </c>
    </row>
    <row r="16934" spans="1:2" x14ac:dyDescent="0.4">
      <c r="A16934" s="4">
        <v>501400100</v>
      </c>
      <c r="B16934">
        <v>8330900</v>
      </c>
    </row>
    <row r="16935" spans="1:2" x14ac:dyDescent="0.4">
      <c r="A16935" s="4">
        <v>501400100</v>
      </c>
      <c r="B16935">
        <v>8330910</v>
      </c>
    </row>
    <row r="16936" spans="1:2" x14ac:dyDescent="0.4">
      <c r="A16936" s="4">
        <v>501400100</v>
      </c>
      <c r="B16936">
        <v>8330920</v>
      </c>
    </row>
    <row r="16937" spans="1:2" x14ac:dyDescent="0.4">
      <c r="A16937" s="4">
        <v>501400100</v>
      </c>
      <c r="B16937">
        <v>8340000</v>
      </c>
    </row>
    <row r="16938" spans="1:2" x14ac:dyDescent="0.4">
      <c r="A16938" s="4">
        <v>501400100</v>
      </c>
      <c r="B16938">
        <v>8340001</v>
      </c>
    </row>
    <row r="16939" spans="1:2" x14ac:dyDescent="0.4">
      <c r="A16939" s="4">
        <v>501400100</v>
      </c>
      <c r="B16939">
        <v>8340002</v>
      </c>
    </row>
    <row r="16940" spans="1:2" x14ac:dyDescent="0.4">
      <c r="A16940" s="4">
        <v>501400100</v>
      </c>
      <c r="B16940">
        <v>8340100</v>
      </c>
    </row>
    <row r="16941" spans="1:2" x14ac:dyDescent="0.4">
      <c r="A16941" s="4">
        <v>501400100</v>
      </c>
      <c r="B16941">
        <v>8340101</v>
      </c>
    </row>
    <row r="16942" spans="1:2" x14ac:dyDescent="0.4">
      <c r="A16942" s="4">
        <v>501400100</v>
      </c>
      <c r="B16942">
        <v>8340102</v>
      </c>
    </row>
    <row r="16943" spans="1:2" x14ac:dyDescent="0.4">
      <c r="A16943" s="4">
        <v>501400100</v>
      </c>
      <c r="B16943">
        <v>8350000</v>
      </c>
    </row>
    <row r="16944" spans="1:2" x14ac:dyDescent="0.4">
      <c r="A16944" s="4">
        <v>501400100</v>
      </c>
      <c r="B16944">
        <v>8350001</v>
      </c>
    </row>
    <row r="16945" spans="1:2" x14ac:dyDescent="0.4">
      <c r="A16945" s="4">
        <v>501400100</v>
      </c>
      <c r="B16945">
        <v>8350002</v>
      </c>
    </row>
    <row r="16946" spans="1:2" x14ac:dyDescent="0.4">
      <c r="A16946" s="4">
        <v>501400100</v>
      </c>
      <c r="B16946">
        <v>8350200</v>
      </c>
    </row>
    <row r="16947" spans="1:2" x14ac:dyDescent="0.4">
      <c r="A16947" s="4">
        <v>501400100</v>
      </c>
      <c r="B16947">
        <v>8350201</v>
      </c>
    </row>
    <row r="16948" spans="1:2" x14ac:dyDescent="0.4">
      <c r="A16948" s="4">
        <v>501400100</v>
      </c>
      <c r="B16948">
        <v>8350202</v>
      </c>
    </row>
    <row r="16949" spans="1:2" x14ac:dyDescent="0.4">
      <c r="A16949" s="4">
        <v>501400100</v>
      </c>
      <c r="B16949">
        <v>8420000</v>
      </c>
    </row>
    <row r="16950" spans="1:2" x14ac:dyDescent="0.4">
      <c r="A16950" s="4">
        <v>501400100</v>
      </c>
      <c r="B16950">
        <v>8420001</v>
      </c>
    </row>
    <row r="16951" spans="1:2" x14ac:dyDescent="0.4">
      <c r="A16951" s="4">
        <v>501400100</v>
      </c>
      <c r="B16951">
        <v>8420002</v>
      </c>
    </row>
    <row r="16952" spans="1:2" x14ac:dyDescent="0.4">
      <c r="A16952" s="4">
        <v>501400100</v>
      </c>
      <c r="B16952">
        <v>8450000</v>
      </c>
    </row>
    <row r="16953" spans="1:2" x14ac:dyDescent="0.4">
      <c r="A16953" s="4">
        <v>501400100</v>
      </c>
      <c r="B16953">
        <v>8460100</v>
      </c>
    </row>
    <row r="16954" spans="1:2" x14ac:dyDescent="0.4">
      <c r="A16954" s="4">
        <v>501400100</v>
      </c>
      <c r="B16954">
        <v>8460300</v>
      </c>
    </row>
    <row r="16955" spans="1:2" x14ac:dyDescent="0.4">
      <c r="A16955" s="4">
        <v>501400100</v>
      </c>
      <c r="B16955">
        <v>8460500</v>
      </c>
    </row>
    <row r="16956" spans="1:2" x14ac:dyDescent="0.4">
      <c r="A16956" s="4">
        <v>501400100</v>
      </c>
      <c r="B16956">
        <v>8510000</v>
      </c>
    </row>
    <row r="16957" spans="1:2" x14ac:dyDescent="0.4">
      <c r="A16957" s="4">
        <v>501400100</v>
      </c>
      <c r="B16957">
        <v>8510001</v>
      </c>
    </row>
    <row r="16958" spans="1:2" x14ac:dyDescent="0.4">
      <c r="A16958" s="4">
        <v>501400100</v>
      </c>
      <c r="B16958">
        <v>8510002</v>
      </c>
    </row>
    <row r="16959" spans="1:2" x14ac:dyDescent="0.4">
      <c r="A16959" s="4">
        <v>501400100</v>
      </c>
      <c r="B16959">
        <v>8520000</v>
      </c>
    </row>
    <row r="16960" spans="1:2" x14ac:dyDescent="0.4">
      <c r="A16960" s="4">
        <v>501400100</v>
      </c>
      <c r="B16960">
        <v>8520001</v>
      </c>
    </row>
    <row r="16961" spans="1:2" x14ac:dyDescent="0.4">
      <c r="A16961" s="4">
        <v>501400100</v>
      </c>
      <c r="B16961">
        <v>8520002</v>
      </c>
    </row>
    <row r="16962" spans="1:2" x14ac:dyDescent="0.4">
      <c r="A16962" s="4">
        <v>501400100</v>
      </c>
      <c r="B16962">
        <v>8530000</v>
      </c>
    </row>
    <row r="16963" spans="1:2" x14ac:dyDescent="0.4">
      <c r="A16963" s="4">
        <v>501400100</v>
      </c>
      <c r="B16963">
        <v>8530100</v>
      </c>
    </row>
    <row r="16964" spans="1:2" x14ac:dyDescent="0.4">
      <c r="A16964" s="4">
        <v>501400100</v>
      </c>
      <c r="B16964">
        <v>8540000</v>
      </c>
    </row>
    <row r="16965" spans="1:2" x14ac:dyDescent="0.4">
      <c r="A16965" s="4">
        <v>501400100</v>
      </c>
      <c r="B16965">
        <v>8600100</v>
      </c>
    </row>
    <row r="16966" spans="1:2" x14ac:dyDescent="0.4">
      <c r="A16966" s="4">
        <v>501400100</v>
      </c>
      <c r="B16966">
        <v>8600101</v>
      </c>
    </row>
    <row r="16967" spans="1:2" x14ac:dyDescent="0.4">
      <c r="A16967" s="4">
        <v>501400100</v>
      </c>
      <c r="B16967">
        <v>8600102</v>
      </c>
    </row>
    <row r="16968" spans="1:2" x14ac:dyDescent="0.4">
      <c r="A16968" s="4">
        <v>501400100</v>
      </c>
      <c r="B16968">
        <v>8600200</v>
      </c>
    </row>
    <row r="16969" spans="1:2" x14ac:dyDescent="0.4">
      <c r="A16969" s="4">
        <v>501400100</v>
      </c>
      <c r="B16969">
        <v>8600201</v>
      </c>
    </row>
    <row r="16970" spans="1:2" x14ac:dyDescent="0.4">
      <c r="A16970" s="4">
        <v>501400100</v>
      </c>
      <c r="B16970">
        <v>8600202</v>
      </c>
    </row>
    <row r="16971" spans="1:2" x14ac:dyDescent="0.4">
      <c r="A16971" s="4">
        <v>501400100</v>
      </c>
      <c r="B16971">
        <v>8610700</v>
      </c>
    </row>
    <row r="16972" spans="1:2" x14ac:dyDescent="0.4">
      <c r="A16972" s="4">
        <v>501400100</v>
      </c>
      <c r="B16972">
        <v>8610710</v>
      </c>
    </row>
    <row r="16973" spans="1:2" x14ac:dyDescent="0.4">
      <c r="A16973" s="4">
        <v>501400100</v>
      </c>
      <c r="B16973">
        <v>8610720</v>
      </c>
    </row>
    <row r="16974" spans="1:2" x14ac:dyDescent="0.4">
      <c r="A16974" s="4">
        <v>501400100</v>
      </c>
      <c r="B16974">
        <v>8620000</v>
      </c>
    </row>
    <row r="16975" spans="1:2" x14ac:dyDescent="0.4">
      <c r="A16975" s="4">
        <v>501400100</v>
      </c>
      <c r="B16975">
        <v>8620010</v>
      </c>
    </row>
    <row r="16976" spans="1:2" x14ac:dyDescent="0.4">
      <c r="A16976" s="4">
        <v>501400100</v>
      </c>
      <c r="B16976">
        <v>8620020</v>
      </c>
    </row>
    <row r="16977" spans="1:2" x14ac:dyDescent="0.4">
      <c r="A16977" s="4">
        <v>501400100</v>
      </c>
      <c r="B16977">
        <v>8620100</v>
      </c>
    </row>
    <row r="16978" spans="1:2" x14ac:dyDescent="0.4">
      <c r="A16978" s="4">
        <v>501400100</v>
      </c>
      <c r="B16978">
        <v>8620110</v>
      </c>
    </row>
    <row r="16979" spans="1:2" x14ac:dyDescent="0.4">
      <c r="A16979" s="4">
        <v>501400100</v>
      </c>
      <c r="B16979">
        <v>8620120</v>
      </c>
    </row>
    <row r="16980" spans="1:2" x14ac:dyDescent="0.4">
      <c r="A16980" s="4">
        <v>501400100</v>
      </c>
      <c r="B16980">
        <v>8630000</v>
      </c>
    </row>
    <row r="16981" spans="1:2" x14ac:dyDescent="0.4">
      <c r="A16981" s="4">
        <v>501400100</v>
      </c>
      <c r="B16981">
        <v>8630000</v>
      </c>
    </row>
    <row r="16982" spans="1:2" x14ac:dyDescent="0.4">
      <c r="A16982" s="4">
        <v>501400100</v>
      </c>
      <c r="B16982">
        <v>8630000</v>
      </c>
    </row>
    <row r="16983" spans="1:2" x14ac:dyDescent="0.4">
      <c r="A16983" s="4">
        <v>501400100</v>
      </c>
      <c r="B16983">
        <v>8630100</v>
      </c>
    </row>
    <row r="16984" spans="1:2" x14ac:dyDescent="0.4">
      <c r="A16984" s="4">
        <v>501400100</v>
      </c>
      <c r="B16984">
        <v>8630100</v>
      </c>
    </row>
    <row r="16985" spans="1:2" x14ac:dyDescent="0.4">
      <c r="A16985" s="4">
        <v>501400100</v>
      </c>
      <c r="B16985">
        <v>8630100</v>
      </c>
    </row>
    <row r="16986" spans="1:2" x14ac:dyDescent="0.4">
      <c r="A16986" s="4">
        <v>501400100</v>
      </c>
      <c r="B16986">
        <v>8652000</v>
      </c>
    </row>
    <row r="16987" spans="1:2" x14ac:dyDescent="0.4">
      <c r="A16987" s="4">
        <v>501400100</v>
      </c>
      <c r="B16987">
        <v>8652010</v>
      </c>
    </row>
    <row r="16988" spans="1:2" x14ac:dyDescent="0.4">
      <c r="A16988" s="4">
        <v>501400100</v>
      </c>
      <c r="B16988">
        <v>8652020</v>
      </c>
    </row>
    <row r="16989" spans="1:2" x14ac:dyDescent="0.4">
      <c r="A16989" s="4">
        <v>501400100</v>
      </c>
      <c r="B16989">
        <v>8652100</v>
      </c>
    </row>
    <row r="16990" spans="1:2" x14ac:dyDescent="0.4">
      <c r="A16990" s="4">
        <v>501400100</v>
      </c>
      <c r="B16990">
        <v>8652110</v>
      </c>
    </row>
    <row r="16991" spans="1:2" x14ac:dyDescent="0.4">
      <c r="A16991" s="4">
        <v>501400100</v>
      </c>
      <c r="B16991">
        <v>8652120</v>
      </c>
    </row>
    <row r="16992" spans="1:2" x14ac:dyDescent="0.4">
      <c r="A16992" s="4">
        <v>501400100</v>
      </c>
      <c r="B16992">
        <v>8660000</v>
      </c>
    </row>
    <row r="16993" spans="1:2" x14ac:dyDescent="0.4">
      <c r="A16993" s="4">
        <v>501400100</v>
      </c>
      <c r="B16993">
        <v>8660001</v>
      </c>
    </row>
    <row r="16994" spans="1:2" x14ac:dyDescent="0.4">
      <c r="A16994" s="4">
        <v>501400100</v>
      </c>
      <c r="B16994">
        <v>8660002</v>
      </c>
    </row>
    <row r="16995" spans="1:2" x14ac:dyDescent="0.4">
      <c r="A16995" s="4">
        <v>501400100</v>
      </c>
      <c r="B16995">
        <v>8660100</v>
      </c>
    </row>
    <row r="16996" spans="1:2" x14ac:dyDescent="0.4">
      <c r="A16996" s="4">
        <v>501400100</v>
      </c>
      <c r="B16996">
        <v>8660101</v>
      </c>
    </row>
    <row r="16997" spans="1:2" x14ac:dyDescent="0.4">
      <c r="A16997" s="4">
        <v>501400100</v>
      </c>
      <c r="B16997">
        <v>8660102</v>
      </c>
    </row>
    <row r="16998" spans="1:2" x14ac:dyDescent="0.4">
      <c r="A16998" s="4">
        <v>501400100</v>
      </c>
      <c r="B16998">
        <v>8670000</v>
      </c>
    </row>
    <row r="16999" spans="1:2" x14ac:dyDescent="0.4">
      <c r="A16999" s="4">
        <v>501400100</v>
      </c>
      <c r="B16999">
        <v>8670001</v>
      </c>
    </row>
    <row r="17000" spans="1:2" x14ac:dyDescent="0.4">
      <c r="A17000" s="4">
        <v>501400100</v>
      </c>
      <c r="B17000">
        <v>8670002</v>
      </c>
    </row>
    <row r="17001" spans="1:2" x14ac:dyDescent="0.4">
      <c r="A17001" s="4">
        <v>501400100</v>
      </c>
      <c r="B17001">
        <v>8670100</v>
      </c>
    </row>
    <row r="17002" spans="1:2" x14ac:dyDescent="0.4">
      <c r="A17002" s="4">
        <v>501400100</v>
      </c>
      <c r="B17002">
        <v>8670101</v>
      </c>
    </row>
    <row r="17003" spans="1:2" x14ac:dyDescent="0.4">
      <c r="A17003" s="4">
        <v>501400100</v>
      </c>
      <c r="B17003">
        <v>8670102</v>
      </c>
    </row>
    <row r="17004" spans="1:2" x14ac:dyDescent="0.4">
      <c r="A17004" s="4">
        <v>501400100</v>
      </c>
      <c r="B17004">
        <v>8690000</v>
      </c>
    </row>
    <row r="17005" spans="1:2" x14ac:dyDescent="0.4">
      <c r="A17005" s="4">
        <v>501400100</v>
      </c>
      <c r="B17005">
        <v>8690100</v>
      </c>
    </row>
    <row r="17006" spans="1:2" x14ac:dyDescent="0.4">
      <c r="A17006" s="4">
        <v>501400100</v>
      </c>
      <c r="B17006">
        <v>8690200</v>
      </c>
    </row>
    <row r="17007" spans="1:2" x14ac:dyDescent="0.4">
      <c r="A17007" s="4">
        <v>501400100</v>
      </c>
      <c r="B17007">
        <v>8690300</v>
      </c>
    </row>
    <row r="17008" spans="1:2" x14ac:dyDescent="0.4">
      <c r="A17008" s="4">
        <v>501400100</v>
      </c>
      <c r="B17008">
        <v>8690400</v>
      </c>
    </row>
    <row r="17009" spans="1:2" x14ac:dyDescent="0.4">
      <c r="A17009" s="4">
        <v>501400100</v>
      </c>
      <c r="B17009">
        <v>8320500</v>
      </c>
    </row>
    <row r="17010" spans="1:2" x14ac:dyDescent="0.4">
      <c r="A17010" s="4">
        <v>501400100</v>
      </c>
      <c r="B17010">
        <v>8320510</v>
      </c>
    </row>
    <row r="17011" spans="1:2" x14ac:dyDescent="0.4">
      <c r="A17011" s="4">
        <v>501400100</v>
      </c>
      <c r="B17011">
        <v>8320520</v>
      </c>
    </row>
    <row r="17012" spans="1:2" x14ac:dyDescent="0.4">
      <c r="A17012" s="4">
        <v>501400100</v>
      </c>
      <c r="B17012">
        <v>8320600</v>
      </c>
    </row>
    <row r="17013" spans="1:2" x14ac:dyDescent="0.4">
      <c r="A17013" s="4">
        <v>501400100</v>
      </c>
      <c r="B17013">
        <v>8320610</v>
      </c>
    </row>
    <row r="17014" spans="1:2" x14ac:dyDescent="0.4">
      <c r="A17014" s="4">
        <v>501400100</v>
      </c>
      <c r="B17014">
        <v>8320620</v>
      </c>
    </row>
    <row r="17015" spans="1:2" x14ac:dyDescent="0.4">
      <c r="A17015" s="4">
        <v>501400100</v>
      </c>
      <c r="B17015">
        <v>8320700</v>
      </c>
    </row>
    <row r="17016" spans="1:2" x14ac:dyDescent="0.4">
      <c r="A17016" s="4">
        <v>501400100</v>
      </c>
      <c r="B17016">
        <v>8320710</v>
      </c>
    </row>
    <row r="17017" spans="1:2" x14ac:dyDescent="0.4">
      <c r="A17017" s="4">
        <v>501400100</v>
      </c>
      <c r="B17017">
        <v>8320720</v>
      </c>
    </row>
    <row r="17018" spans="1:2" x14ac:dyDescent="0.4">
      <c r="A17018" s="4">
        <v>501400200</v>
      </c>
      <c r="B17018">
        <v>0</v>
      </c>
    </row>
    <row r="17019" spans="1:2" x14ac:dyDescent="0.4">
      <c r="A17019" s="4">
        <v>501400200</v>
      </c>
      <c r="B17019">
        <v>8100100</v>
      </c>
    </row>
    <row r="17020" spans="1:2" x14ac:dyDescent="0.4">
      <c r="A17020" s="4">
        <v>501400200</v>
      </c>
      <c r="B17020">
        <v>8100101</v>
      </c>
    </row>
    <row r="17021" spans="1:2" x14ac:dyDescent="0.4">
      <c r="A17021" s="4">
        <v>501400200</v>
      </c>
      <c r="B17021">
        <v>8100102</v>
      </c>
    </row>
    <row r="17022" spans="1:2" x14ac:dyDescent="0.4">
      <c r="A17022" s="4">
        <v>501400200</v>
      </c>
      <c r="B17022">
        <v>8100200</v>
      </c>
    </row>
    <row r="17023" spans="1:2" x14ac:dyDescent="0.4">
      <c r="A17023" s="4">
        <v>501400200</v>
      </c>
      <c r="B17023">
        <v>8100201</v>
      </c>
    </row>
    <row r="17024" spans="1:2" x14ac:dyDescent="0.4">
      <c r="A17024" s="4">
        <v>501400200</v>
      </c>
      <c r="B17024">
        <v>8100202</v>
      </c>
    </row>
    <row r="17025" spans="1:2" x14ac:dyDescent="0.4">
      <c r="A17025" s="4">
        <v>501400200</v>
      </c>
      <c r="B17025">
        <v>8100300</v>
      </c>
    </row>
    <row r="17026" spans="1:2" x14ac:dyDescent="0.4">
      <c r="A17026" s="4">
        <v>501400200</v>
      </c>
      <c r="B17026">
        <v>8100301</v>
      </c>
    </row>
    <row r="17027" spans="1:2" x14ac:dyDescent="0.4">
      <c r="A17027" s="4">
        <v>501400200</v>
      </c>
      <c r="B17027">
        <v>8100302</v>
      </c>
    </row>
    <row r="17028" spans="1:2" x14ac:dyDescent="0.4">
      <c r="A17028" s="4">
        <v>501400200</v>
      </c>
      <c r="B17028">
        <v>8100400</v>
      </c>
    </row>
    <row r="17029" spans="1:2" x14ac:dyDescent="0.4">
      <c r="A17029" s="4">
        <v>501400200</v>
      </c>
      <c r="B17029">
        <v>8100401</v>
      </c>
    </row>
    <row r="17030" spans="1:2" x14ac:dyDescent="0.4">
      <c r="A17030" s="4">
        <v>501400200</v>
      </c>
      <c r="B17030">
        <v>8100402</v>
      </c>
    </row>
    <row r="17031" spans="1:2" x14ac:dyDescent="0.4">
      <c r="A17031" s="4">
        <v>501400200</v>
      </c>
      <c r="B17031">
        <v>8130000</v>
      </c>
    </row>
    <row r="17032" spans="1:2" x14ac:dyDescent="0.4">
      <c r="A17032" s="4">
        <v>501400200</v>
      </c>
      <c r="B17032">
        <v>8130001</v>
      </c>
    </row>
    <row r="17033" spans="1:2" x14ac:dyDescent="0.4">
      <c r="A17033" s="4">
        <v>501400200</v>
      </c>
      <c r="B17033">
        <v>8130002</v>
      </c>
    </row>
    <row r="17034" spans="1:2" x14ac:dyDescent="0.4">
      <c r="A17034" s="4">
        <v>501400200</v>
      </c>
      <c r="B17034">
        <v>8140000</v>
      </c>
    </row>
    <row r="17035" spans="1:2" x14ac:dyDescent="0.4">
      <c r="A17035" s="4">
        <v>501400200</v>
      </c>
      <c r="B17035">
        <v>8140001</v>
      </c>
    </row>
    <row r="17036" spans="1:2" x14ac:dyDescent="0.4">
      <c r="A17036" s="4">
        <v>501400200</v>
      </c>
      <c r="B17036">
        <v>8140002</v>
      </c>
    </row>
    <row r="17037" spans="1:2" x14ac:dyDescent="0.4">
      <c r="A17037" s="4">
        <v>501400200</v>
      </c>
      <c r="B17037">
        <v>8200100</v>
      </c>
    </row>
    <row r="17038" spans="1:2" x14ac:dyDescent="0.4">
      <c r="A17038" s="4">
        <v>501400200</v>
      </c>
      <c r="B17038">
        <v>8200101</v>
      </c>
    </row>
    <row r="17039" spans="1:2" x14ac:dyDescent="0.4">
      <c r="A17039" s="4">
        <v>501400200</v>
      </c>
      <c r="B17039">
        <v>8200102</v>
      </c>
    </row>
    <row r="17040" spans="1:2" x14ac:dyDescent="0.4">
      <c r="A17040" s="4">
        <v>501400200</v>
      </c>
      <c r="B17040">
        <v>8200200</v>
      </c>
    </row>
    <row r="17041" spans="1:2" x14ac:dyDescent="0.4">
      <c r="A17041" s="4">
        <v>501400200</v>
      </c>
      <c r="B17041">
        <v>8200201</v>
      </c>
    </row>
    <row r="17042" spans="1:2" x14ac:dyDescent="0.4">
      <c r="A17042" s="4">
        <v>501400200</v>
      </c>
      <c r="B17042">
        <v>8200202</v>
      </c>
    </row>
    <row r="17043" spans="1:2" x14ac:dyDescent="0.4">
      <c r="A17043" s="4">
        <v>501400200</v>
      </c>
      <c r="B17043">
        <v>8200300</v>
      </c>
    </row>
    <row r="17044" spans="1:2" x14ac:dyDescent="0.4">
      <c r="A17044" s="4">
        <v>501400200</v>
      </c>
      <c r="B17044">
        <v>8200301</v>
      </c>
    </row>
    <row r="17045" spans="1:2" x14ac:dyDescent="0.4">
      <c r="A17045" s="4">
        <v>501400200</v>
      </c>
      <c r="B17045">
        <v>8200302</v>
      </c>
    </row>
    <row r="17046" spans="1:2" x14ac:dyDescent="0.4">
      <c r="A17046" s="4">
        <v>501400200</v>
      </c>
      <c r="B17046">
        <v>8200400</v>
      </c>
    </row>
    <row r="17047" spans="1:2" x14ac:dyDescent="0.4">
      <c r="A17047" s="4">
        <v>501400200</v>
      </c>
      <c r="B17047">
        <v>8200401</v>
      </c>
    </row>
    <row r="17048" spans="1:2" x14ac:dyDescent="0.4">
      <c r="A17048" s="4">
        <v>501400200</v>
      </c>
      <c r="B17048">
        <v>8200402</v>
      </c>
    </row>
    <row r="17049" spans="1:2" x14ac:dyDescent="0.4">
      <c r="A17049" s="4">
        <v>501400200</v>
      </c>
      <c r="B17049">
        <v>8210000</v>
      </c>
    </row>
    <row r="17050" spans="1:2" x14ac:dyDescent="0.4">
      <c r="A17050" s="4">
        <v>501400200</v>
      </c>
      <c r="B17050">
        <v>8210001</v>
      </c>
    </row>
    <row r="17051" spans="1:2" x14ac:dyDescent="0.4">
      <c r="A17051" s="4">
        <v>501400200</v>
      </c>
      <c r="B17051">
        <v>8210002</v>
      </c>
    </row>
    <row r="17052" spans="1:2" x14ac:dyDescent="0.4">
      <c r="A17052" s="4">
        <v>501400200</v>
      </c>
      <c r="B17052">
        <v>8210100</v>
      </c>
    </row>
    <row r="17053" spans="1:2" x14ac:dyDescent="0.4">
      <c r="A17053" s="4">
        <v>501400200</v>
      </c>
      <c r="B17053">
        <v>8210101</v>
      </c>
    </row>
    <row r="17054" spans="1:2" x14ac:dyDescent="0.4">
      <c r="A17054" s="4">
        <v>501400200</v>
      </c>
      <c r="B17054">
        <v>8210102</v>
      </c>
    </row>
    <row r="17055" spans="1:2" x14ac:dyDescent="0.4">
      <c r="A17055" s="4">
        <v>501400200</v>
      </c>
      <c r="B17055">
        <v>8210200</v>
      </c>
    </row>
    <row r="17056" spans="1:2" x14ac:dyDescent="0.4">
      <c r="A17056" s="4">
        <v>501400200</v>
      </c>
      <c r="B17056">
        <v>8210201</v>
      </c>
    </row>
    <row r="17057" spans="1:2" x14ac:dyDescent="0.4">
      <c r="A17057" s="4">
        <v>501400200</v>
      </c>
      <c r="B17057">
        <v>8210202</v>
      </c>
    </row>
    <row r="17058" spans="1:2" x14ac:dyDescent="0.4">
      <c r="A17058" s="4">
        <v>501400200</v>
      </c>
      <c r="B17058">
        <v>8210300</v>
      </c>
    </row>
    <row r="17059" spans="1:2" x14ac:dyDescent="0.4">
      <c r="A17059" s="4">
        <v>501400200</v>
      </c>
      <c r="B17059">
        <v>8210301</v>
      </c>
    </row>
    <row r="17060" spans="1:2" x14ac:dyDescent="0.4">
      <c r="A17060" s="4">
        <v>501400200</v>
      </c>
      <c r="B17060">
        <v>8210302</v>
      </c>
    </row>
    <row r="17061" spans="1:2" x14ac:dyDescent="0.4">
      <c r="A17061" s="4">
        <v>501400200</v>
      </c>
      <c r="B17061">
        <v>8210400</v>
      </c>
    </row>
    <row r="17062" spans="1:2" x14ac:dyDescent="0.4">
      <c r="A17062" s="4">
        <v>501400200</v>
      </c>
      <c r="B17062">
        <v>8210401</v>
      </c>
    </row>
    <row r="17063" spans="1:2" x14ac:dyDescent="0.4">
      <c r="A17063" s="4">
        <v>501400200</v>
      </c>
      <c r="B17063">
        <v>8210402</v>
      </c>
    </row>
    <row r="17064" spans="1:2" x14ac:dyDescent="0.4">
      <c r="A17064" s="4">
        <v>501400200</v>
      </c>
      <c r="B17064">
        <v>8210500</v>
      </c>
    </row>
    <row r="17065" spans="1:2" x14ac:dyDescent="0.4">
      <c r="A17065" s="4">
        <v>501400200</v>
      </c>
      <c r="B17065">
        <v>8210501</v>
      </c>
    </row>
    <row r="17066" spans="1:2" x14ac:dyDescent="0.4">
      <c r="A17066" s="4">
        <v>501400200</v>
      </c>
      <c r="B17066">
        <v>8210502</v>
      </c>
    </row>
    <row r="17067" spans="1:2" x14ac:dyDescent="0.4">
      <c r="A17067" s="4">
        <v>501400200</v>
      </c>
      <c r="B17067">
        <v>8210600</v>
      </c>
    </row>
    <row r="17068" spans="1:2" x14ac:dyDescent="0.4">
      <c r="A17068" s="4">
        <v>501400200</v>
      </c>
      <c r="B17068">
        <v>8210601</v>
      </c>
    </row>
    <row r="17069" spans="1:2" x14ac:dyDescent="0.4">
      <c r="A17069" s="4">
        <v>501400200</v>
      </c>
      <c r="B17069">
        <v>8210602</v>
      </c>
    </row>
    <row r="17070" spans="1:2" x14ac:dyDescent="0.4">
      <c r="A17070" s="4">
        <v>501400200</v>
      </c>
      <c r="B17070">
        <v>8220000</v>
      </c>
    </row>
    <row r="17071" spans="1:2" x14ac:dyDescent="0.4">
      <c r="A17071" s="4">
        <v>501400200</v>
      </c>
      <c r="B17071">
        <v>8220001</v>
      </c>
    </row>
    <row r="17072" spans="1:2" x14ac:dyDescent="0.4">
      <c r="A17072" s="4">
        <v>501400200</v>
      </c>
      <c r="B17072">
        <v>8220002</v>
      </c>
    </row>
    <row r="17073" spans="1:2" x14ac:dyDescent="0.4">
      <c r="A17073" s="4">
        <v>501400200</v>
      </c>
      <c r="B17073">
        <v>8300000</v>
      </c>
    </row>
    <row r="17074" spans="1:2" x14ac:dyDescent="0.4">
      <c r="A17074" s="4">
        <v>501400200</v>
      </c>
      <c r="B17074">
        <v>8300001</v>
      </c>
    </row>
    <row r="17075" spans="1:2" x14ac:dyDescent="0.4">
      <c r="A17075" s="4">
        <v>501400200</v>
      </c>
      <c r="B17075">
        <v>8300002</v>
      </c>
    </row>
    <row r="17076" spans="1:2" x14ac:dyDescent="0.4">
      <c r="A17076" s="4">
        <v>501400200</v>
      </c>
      <c r="B17076">
        <v>8310000</v>
      </c>
    </row>
    <row r="17077" spans="1:2" x14ac:dyDescent="0.4">
      <c r="A17077" s="4">
        <v>501400200</v>
      </c>
      <c r="B17077">
        <v>8310001</v>
      </c>
    </row>
    <row r="17078" spans="1:2" x14ac:dyDescent="0.4">
      <c r="A17078" s="4">
        <v>501400200</v>
      </c>
      <c r="B17078">
        <v>8310002</v>
      </c>
    </row>
    <row r="17079" spans="1:2" x14ac:dyDescent="0.4">
      <c r="A17079" s="4">
        <v>501400200</v>
      </c>
      <c r="B17079">
        <v>8320000</v>
      </c>
    </row>
    <row r="17080" spans="1:2" x14ac:dyDescent="0.4">
      <c r="A17080" s="4">
        <v>501400200</v>
      </c>
      <c r="B17080">
        <v>8320001</v>
      </c>
    </row>
    <row r="17081" spans="1:2" x14ac:dyDescent="0.4">
      <c r="A17081" s="4">
        <v>501400200</v>
      </c>
      <c r="B17081">
        <v>8320002</v>
      </c>
    </row>
    <row r="17082" spans="1:2" x14ac:dyDescent="0.4">
      <c r="A17082" s="4">
        <v>501400200</v>
      </c>
      <c r="B17082">
        <v>8320100</v>
      </c>
    </row>
    <row r="17083" spans="1:2" x14ac:dyDescent="0.4">
      <c r="A17083" s="4">
        <v>501400200</v>
      </c>
      <c r="B17083">
        <v>8320101</v>
      </c>
    </row>
    <row r="17084" spans="1:2" x14ac:dyDescent="0.4">
      <c r="A17084" s="4">
        <v>501400200</v>
      </c>
      <c r="B17084">
        <v>8320102</v>
      </c>
    </row>
    <row r="17085" spans="1:2" x14ac:dyDescent="0.4">
      <c r="A17085" s="4">
        <v>501400200</v>
      </c>
      <c r="B17085">
        <v>8320300</v>
      </c>
    </row>
    <row r="17086" spans="1:2" x14ac:dyDescent="0.4">
      <c r="A17086" s="4">
        <v>501400200</v>
      </c>
      <c r="B17086">
        <v>8320301</v>
      </c>
    </row>
    <row r="17087" spans="1:2" x14ac:dyDescent="0.4">
      <c r="A17087" s="4">
        <v>501400200</v>
      </c>
      <c r="B17087">
        <v>8320302</v>
      </c>
    </row>
    <row r="17088" spans="1:2" x14ac:dyDescent="0.4">
      <c r="A17088" s="4">
        <v>501400200</v>
      </c>
      <c r="B17088">
        <v>8320400</v>
      </c>
    </row>
    <row r="17089" spans="1:2" x14ac:dyDescent="0.4">
      <c r="A17089" s="4">
        <v>501400200</v>
      </c>
      <c r="B17089">
        <v>8320410</v>
      </c>
    </row>
    <row r="17090" spans="1:2" x14ac:dyDescent="0.4">
      <c r="A17090" s="4">
        <v>501400200</v>
      </c>
      <c r="B17090">
        <v>8320420</v>
      </c>
    </row>
    <row r="17091" spans="1:2" x14ac:dyDescent="0.4">
      <c r="A17091" s="4">
        <v>501400200</v>
      </c>
      <c r="B17091">
        <v>8330000</v>
      </c>
    </row>
    <row r="17092" spans="1:2" x14ac:dyDescent="0.4">
      <c r="A17092" s="4">
        <v>501400200</v>
      </c>
      <c r="B17092">
        <v>8330001</v>
      </c>
    </row>
    <row r="17093" spans="1:2" x14ac:dyDescent="0.4">
      <c r="A17093" s="4">
        <v>501400200</v>
      </c>
      <c r="B17093">
        <v>8330002</v>
      </c>
    </row>
    <row r="17094" spans="1:2" x14ac:dyDescent="0.4">
      <c r="A17094" s="4">
        <v>501400200</v>
      </c>
      <c r="B17094">
        <v>8330100</v>
      </c>
    </row>
    <row r="17095" spans="1:2" x14ac:dyDescent="0.4">
      <c r="A17095" s="4">
        <v>501400200</v>
      </c>
      <c r="B17095">
        <v>8330101</v>
      </c>
    </row>
    <row r="17096" spans="1:2" x14ac:dyDescent="0.4">
      <c r="A17096" s="4">
        <v>501400200</v>
      </c>
      <c r="B17096">
        <v>8330102</v>
      </c>
    </row>
    <row r="17097" spans="1:2" x14ac:dyDescent="0.4">
      <c r="A17097" s="4">
        <v>501400200</v>
      </c>
      <c r="B17097">
        <v>8330200</v>
      </c>
    </row>
    <row r="17098" spans="1:2" x14ac:dyDescent="0.4">
      <c r="A17098" s="4">
        <v>501400200</v>
      </c>
      <c r="B17098">
        <v>8330201</v>
      </c>
    </row>
    <row r="17099" spans="1:2" x14ac:dyDescent="0.4">
      <c r="A17099" s="4">
        <v>501400200</v>
      </c>
      <c r="B17099">
        <v>8330202</v>
      </c>
    </row>
    <row r="17100" spans="1:2" x14ac:dyDescent="0.4">
      <c r="A17100" s="4">
        <v>501400200</v>
      </c>
      <c r="B17100">
        <v>8330300</v>
      </c>
    </row>
    <row r="17101" spans="1:2" x14ac:dyDescent="0.4">
      <c r="A17101" s="4">
        <v>501400200</v>
      </c>
      <c r="B17101">
        <v>8330301</v>
      </c>
    </row>
    <row r="17102" spans="1:2" x14ac:dyDescent="0.4">
      <c r="A17102" s="4">
        <v>501400200</v>
      </c>
      <c r="B17102">
        <v>8330302</v>
      </c>
    </row>
    <row r="17103" spans="1:2" x14ac:dyDescent="0.4">
      <c r="A17103" s="4">
        <v>501400200</v>
      </c>
      <c r="B17103">
        <v>8330400</v>
      </c>
    </row>
    <row r="17104" spans="1:2" x14ac:dyDescent="0.4">
      <c r="A17104" s="4">
        <v>501400200</v>
      </c>
      <c r="B17104">
        <v>8330401</v>
      </c>
    </row>
    <row r="17105" spans="1:2" x14ac:dyDescent="0.4">
      <c r="A17105" s="4">
        <v>501400200</v>
      </c>
      <c r="B17105">
        <v>8330600</v>
      </c>
    </row>
    <row r="17106" spans="1:2" x14ac:dyDescent="0.4">
      <c r="A17106" s="4">
        <v>501400200</v>
      </c>
      <c r="B17106">
        <v>8330601</v>
      </c>
    </row>
    <row r="17107" spans="1:2" x14ac:dyDescent="0.4">
      <c r="A17107" s="4">
        <v>501400200</v>
      </c>
      <c r="B17107">
        <v>8330602</v>
      </c>
    </row>
    <row r="17108" spans="1:2" x14ac:dyDescent="0.4">
      <c r="A17108" s="4">
        <v>501400200</v>
      </c>
      <c r="B17108">
        <v>8330900</v>
      </c>
    </row>
    <row r="17109" spans="1:2" x14ac:dyDescent="0.4">
      <c r="A17109" s="4">
        <v>501400200</v>
      </c>
      <c r="B17109">
        <v>8330910</v>
      </c>
    </row>
    <row r="17110" spans="1:2" x14ac:dyDescent="0.4">
      <c r="A17110" s="4">
        <v>501400200</v>
      </c>
      <c r="B17110">
        <v>8330920</v>
      </c>
    </row>
    <row r="17111" spans="1:2" x14ac:dyDescent="0.4">
      <c r="A17111" s="4">
        <v>501400200</v>
      </c>
      <c r="B17111">
        <v>8340000</v>
      </c>
    </row>
    <row r="17112" spans="1:2" x14ac:dyDescent="0.4">
      <c r="A17112" s="4">
        <v>501400200</v>
      </c>
      <c r="B17112">
        <v>8340001</v>
      </c>
    </row>
    <row r="17113" spans="1:2" x14ac:dyDescent="0.4">
      <c r="A17113" s="4">
        <v>501400200</v>
      </c>
      <c r="B17113">
        <v>8340002</v>
      </c>
    </row>
    <row r="17114" spans="1:2" x14ac:dyDescent="0.4">
      <c r="A17114" s="4">
        <v>501400200</v>
      </c>
      <c r="B17114">
        <v>8340100</v>
      </c>
    </row>
    <row r="17115" spans="1:2" x14ac:dyDescent="0.4">
      <c r="A17115" s="4">
        <v>501400200</v>
      </c>
      <c r="B17115">
        <v>8340101</v>
      </c>
    </row>
    <row r="17116" spans="1:2" x14ac:dyDescent="0.4">
      <c r="A17116" s="4">
        <v>501400200</v>
      </c>
      <c r="B17116">
        <v>8340102</v>
      </c>
    </row>
    <row r="17117" spans="1:2" x14ac:dyDescent="0.4">
      <c r="A17117" s="4">
        <v>501400200</v>
      </c>
      <c r="B17117">
        <v>8350000</v>
      </c>
    </row>
    <row r="17118" spans="1:2" x14ac:dyDescent="0.4">
      <c r="A17118" s="4">
        <v>501400200</v>
      </c>
      <c r="B17118">
        <v>8350001</v>
      </c>
    </row>
    <row r="17119" spans="1:2" x14ac:dyDescent="0.4">
      <c r="A17119" s="4">
        <v>501400200</v>
      </c>
      <c r="B17119">
        <v>8350002</v>
      </c>
    </row>
    <row r="17120" spans="1:2" x14ac:dyDescent="0.4">
      <c r="A17120" s="4">
        <v>501400200</v>
      </c>
      <c r="B17120">
        <v>8350200</v>
      </c>
    </row>
    <row r="17121" spans="1:2" x14ac:dyDescent="0.4">
      <c r="A17121" s="4">
        <v>501400200</v>
      </c>
      <c r="B17121">
        <v>8350201</v>
      </c>
    </row>
    <row r="17122" spans="1:2" x14ac:dyDescent="0.4">
      <c r="A17122" s="4">
        <v>501400200</v>
      </c>
      <c r="B17122">
        <v>8350202</v>
      </c>
    </row>
    <row r="17123" spans="1:2" x14ac:dyDescent="0.4">
      <c r="A17123" s="4">
        <v>501400200</v>
      </c>
      <c r="B17123">
        <v>8420000</v>
      </c>
    </row>
    <row r="17124" spans="1:2" x14ac:dyDescent="0.4">
      <c r="A17124" s="4">
        <v>501400200</v>
      </c>
      <c r="B17124">
        <v>8420001</v>
      </c>
    </row>
    <row r="17125" spans="1:2" x14ac:dyDescent="0.4">
      <c r="A17125" s="4">
        <v>501400200</v>
      </c>
      <c r="B17125">
        <v>8420002</v>
      </c>
    </row>
    <row r="17126" spans="1:2" x14ac:dyDescent="0.4">
      <c r="A17126" s="4">
        <v>501400200</v>
      </c>
      <c r="B17126">
        <v>8450000</v>
      </c>
    </row>
    <row r="17127" spans="1:2" x14ac:dyDescent="0.4">
      <c r="A17127" s="4">
        <v>501400200</v>
      </c>
      <c r="B17127">
        <v>8460100</v>
      </c>
    </row>
    <row r="17128" spans="1:2" x14ac:dyDescent="0.4">
      <c r="A17128" s="4">
        <v>501400200</v>
      </c>
      <c r="B17128">
        <v>8460300</v>
      </c>
    </row>
    <row r="17129" spans="1:2" x14ac:dyDescent="0.4">
      <c r="A17129" s="4">
        <v>501400200</v>
      </c>
      <c r="B17129">
        <v>8460500</v>
      </c>
    </row>
    <row r="17130" spans="1:2" x14ac:dyDescent="0.4">
      <c r="A17130" s="4">
        <v>501400200</v>
      </c>
      <c r="B17130">
        <v>8510000</v>
      </c>
    </row>
    <row r="17131" spans="1:2" x14ac:dyDescent="0.4">
      <c r="A17131" s="4">
        <v>501400200</v>
      </c>
      <c r="B17131">
        <v>8510001</v>
      </c>
    </row>
    <row r="17132" spans="1:2" x14ac:dyDescent="0.4">
      <c r="A17132" s="4">
        <v>501400200</v>
      </c>
      <c r="B17132">
        <v>8510002</v>
      </c>
    </row>
    <row r="17133" spans="1:2" x14ac:dyDescent="0.4">
      <c r="A17133" s="4">
        <v>501400200</v>
      </c>
      <c r="B17133">
        <v>8520000</v>
      </c>
    </row>
    <row r="17134" spans="1:2" x14ac:dyDescent="0.4">
      <c r="A17134" s="4">
        <v>501400200</v>
      </c>
      <c r="B17134">
        <v>8520001</v>
      </c>
    </row>
    <row r="17135" spans="1:2" x14ac:dyDescent="0.4">
      <c r="A17135" s="4">
        <v>501400200</v>
      </c>
      <c r="B17135">
        <v>8520002</v>
      </c>
    </row>
    <row r="17136" spans="1:2" x14ac:dyDescent="0.4">
      <c r="A17136" s="4">
        <v>501400200</v>
      </c>
      <c r="B17136">
        <v>8530000</v>
      </c>
    </row>
    <row r="17137" spans="1:2" x14ac:dyDescent="0.4">
      <c r="A17137" s="4">
        <v>501400200</v>
      </c>
      <c r="B17137">
        <v>8530100</v>
      </c>
    </row>
    <row r="17138" spans="1:2" x14ac:dyDescent="0.4">
      <c r="A17138" s="4">
        <v>501400200</v>
      </c>
      <c r="B17138">
        <v>8540000</v>
      </c>
    </row>
    <row r="17139" spans="1:2" x14ac:dyDescent="0.4">
      <c r="A17139" s="4">
        <v>501400200</v>
      </c>
      <c r="B17139">
        <v>8600100</v>
      </c>
    </row>
    <row r="17140" spans="1:2" x14ac:dyDescent="0.4">
      <c r="A17140" s="4">
        <v>501400200</v>
      </c>
      <c r="B17140">
        <v>8600101</v>
      </c>
    </row>
    <row r="17141" spans="1:2" x14ac:dyDescent="0.4">
      <c r="A17141" s="4">
        <v>501400200</v>
      </c>
      <c r="B17141">
        <v>8600102</v>
      </c>
    </row>
    <row r="17142" spans="1:2" x14ac:dyDescent="0.4">
      <c r="A17142" s="4">
        <v>501400200</v>
      </c>
      <c r="B17142">
        <v>8600200</v>
      </c>
    </row>
    <row r="17143" spans="1:2" x14ac:dyDescent="0.4">
      <c r="A17143" s="4">
        <v>501400200</v>
      </c>
      <c r="B17143">
        <v>8600201</v>
      </c>
    </row>
    <row r="17144" spans="1:2" x14ac:dyDescent="0.4">
      <c r="A17144" s="4">
        <v>501400200</v>
      </c>
      <c r="B17144">
        <v>8600202</v>
      </c>
    </row>
    <row r="17145" spans="1:2" x14ac:dyDescent="0.4">
      <c r="A17145" s="4">
        <v>501400200</v>
      </c>
      <c r="B17145">
        <v>8610700</v>
      </c>
    </row>
    <row r="17146" spans="1:2" x14ac:dyDescent="0.4">
      <c r="A17146" s="4">
        <v>501400200</v>
      </c>
      <c r="B17146">
        <v>8610710</v>
      </c>
    </row>
    <row r="17147" spans="1:2" x14ac:dyDescent="0.4">
      <c r="A17147" s="4">
        <v>501400200</v>
      </c>
      <c r="B17147">
        <v>8610720</v>
      </c>
    </row>
    <row r="17148" spans="1:2" x14ac:dyDescent="0.4">
      <c r="A17148" s="4">
        <v>501400200</v>
      </c>
      <c r="B17148">
        <v>8620000</v>
      </c>
    </row>
    <row r="17149" spans="1:2" x14ac:dyDescent="0.4">
      <c r="A17149" s="4">
        <v>501400200</v>
      </c>
      <c r="B17149">
        <v>8620010</v>
      </c>
    </row>
    <row r="17150" spans="1:2" x14ac:dyDescent="0.4">
      <c r="A17150" s="4">
        <v>501400200</v>
      </c>
      <c r="B17150">
        <v>8620020</v>
      </c>
    </row>
    <row r="17151" spans="1:2" x14ac:dyDescent="0.4">
      <c r="A17151" s="4">
        <v>501400200</v>
      </c>
      <c r="B17151">
        <v>8620100</v>
      </c>
    </row>
    <row r="17152" spans="1:2" x14ac:dyDescent="0.4">
      <c r="A17152" s="4">
        <v>501400200</v>
      </c>
      <c r="B17152">
        <v>8620110</v>
      </c>
    </row>
    <row r="17153" spans="1:2" x14ac:dyDescent="0.4">
      <c r="A17153" s="4">
        <v>501400200</v>
      </c>
      <c r="B17153">
        <v>8620120</v>
      </c>
    </row>
    <row r="17154" spans="1:2" x14ac:dyDescent="0.4">
      <c r="A17154" s="4">
        <v>501400200</v>
      </c>
      <c r="B17154">
        <v>8630000</v>
      </c>
    </row>
    <row r="17155" spans="1:2" x14ac:dyDescent="0.4">
      <c r="A17155" s="4">
        <v>501400200</v>
      </c>
      <c r="B17155">
        <v>8630000</v>
      </c>
    </row>
    <row r="17156" spans="1:2" x14ac:dyDescent="0.4">
      <c r="A17156" s="4">
        <v>501400200</v>
      </c>
      <c r="B17156">
        <v>8630000</v>
      </c>
    </row>
    <row r="17157" spans="1:2" x14ac:dyDescent="0.4">
      <c r="A17157" s="4">
        <v>501400200</v>
      </c>
      <c r="B17157">
        <v>8630100</v>
      </c>
    </row>
    <row r="17158" spans="1:2" x14ac:dyDescent="0.4">
      <c r="A17158" s="4">
        <v>501400200</v>
      </c>
      <c r="B17158">
        <v>8630100</v>
      </c>
    </row>
    <row r="17159" spans="1:2" x14ac:dyDescent="0.4">
      <c r="A17159" s="4">
        <v>501400200</v>
      </c>
      <c r="B17159">
        <v>8630100</v>
      </c>
    </row>
    <row r="17160" spans="1:2" x14ac:dyDescent="0.4">
      <c r="A17160" s="4">
        <v>501400200</v>
      </c>
      <c r="B17160">
        <v>8652000</v>
      </c>
    </row>
    <row r="17161" spans="1:2" x14ac:dyDescent="0.4">
      <c r="A17161" s="4">
        <v>501400200</v>
      </c>
      <c r="B17161">
        <v>8652010</v>
      </c>
    </row>
    <row r="17162" spans="1:2" x14ac:dyDescent="0.4">
      <c r="A17162" s="4">
        <v>501400200</v>
      </c>
      <c r="B17162">
        <v>8652020</v>
      </c>
    </row>
    <row r="17163" spans="1:2" x14ac:dyDescent="0.4">
      <c r="A17163" s="4">
        <v>501400200</v>
      </c>
      <c r="B17163">
        <v>8652100</v>
      </c>
    </row>
    <row r="17164" spans="1:2" x14ac:dyDescent="0.4">
      <c r="A17164" s="4">
        <v>501400200</v>
      </c>
      <c r="B17164">
        <v>8652110</v>
      </c>
    </row>
    <row r="17165" spans="1:2" x14ac:dyDescent="0.4">
      <c r="A17165" s="4">
        <v>501400200</v>
      </c>
      <c r="B17165">
        <v>8652120</v>
      </c>
    </row>
    <row r="17166" spans="1:2" x14ac:dyDescent="0.4">
      <c r="A17166" s="4">
        <v>501400200</v>
      </c>
      <c r="B17166">
        <v>8660000</v>
      </c>
    </row>
    <row r="17167" spans="1:2" x14ac:dyDescent="0.4">
      <c r="A17167" s="4">
        <v>501400200</v>
      </c>
      <c r="B17167">
        <v>8660001</v>
      </c>
    </row>
    <row r="17168" spans="1:2" x14ac:dyDescent="0.4">
      <c r="A17168" s="4">
        <v>501400200</v>
      </c>
      <c r="B17168">
        <v>8660002</v>
      </c>
    </row>
    <row r="17169" spans="1:2" x14ac:dyDescent="0.4">
      <c r="A17169" s="4">
        <v>501400200</v>
      </c>
      <c r="B17169">
        <v>8660100</v>
      </c>
    </row>
    <row r="17170" spans="1:2" x14ac:dyDescent="0.4">
      <c r="A17170" s="4">
        <v>501400200</v>
      </c>
      <c r="B17170">
        <v>8660101</v>
      </c>
    </row>
    <row r="17171" spans="1:2" x14ac:dyDescent="0.4">
      <c r="A17171" s="4">
        <v>501400200</v>
      </c>
      <c r="B17171">
        <v>8660102</v>
      </c>
    </row>
    <row r="17172" spans="1:2" x14ac:dyDescent="0.4">
      <c r="A17172" s="4">
        <v>501400200</v>
      </c>
      <c r="B17172">
        <v>8670000</v>
      </c>
    </row>
    <row r="17173" spans="1:2" x14ac:dyDescent="0.4">
      <c r="A17173" s="4">
        <v>501400200</v>
      </c>
      <c r="B17173">
        <v>8670001</v>
      </c>
    </row>
    <row r="17174" spans="1:2" x14ac:dyDescent="0.4">
      <c r="A17174" s="4">
        <v>501400200</v>
      </c>
      <c r="B17174">
        <v>8670002</v>
      </c>
    </row>
    <row r="17175" spans="1:2" x14ac:dyDescent="0.4">
      <c r="A17175" s="4">
        <v>501400200</v>
      </c>
      <c r="B17175">
        <v>8670100</v>
      </c>
    </row>
    <row r="17176" spans="1:2" x14ac:dyDescent="0.4">
      <c r="A17176" s="4">
        <v>501400200</v>
      </c>
      <c r="B17176">
        <v>8670101</v>
      </c>
    </row>
    <row r="17177" spans="1:2" x14ac:dyDescent="0.4">
      <c r="A17177" s="4">
        <v>501400200</v>
      </c>
      <c r="B17177">
        <v>8670102</v>
      </c>
    </row>
    <row r="17178" spans="1:2" x14ac:dyDescent="0.4">
      <c r="A17178" s="4">
        <v>501400200</v>
      </c>
      <c r="B17178">
        <v>8690000</v>
      </c>
    </row>
    <row r="17179" spans="1:2" x14ac:dyDescent="0.4">
      <c r="A17179" s="4">
        <v>501400200</v>
      </c>
      <c r="B17179">
        <v>8690100</v>
      </c>
    </row>
    <row r="17180" spans="1:2" x14ac:dyDescent="0.4">
      <c r="A17180" s="4">
        <v>501400200</v>
      </c>
      <c r="B17180">
        <v>8690200</v>
      </c>
    </row>
    <row r="17181" spans="1:2" x14ac:dyDescent="0.4">
      <c r="A17181" s="4">
        <v>501400200</v>
      </c>
      <c r="B17181">
        <v>8690300</v>
      </c>
    </row>
    <row r="17182" spans="1:2" x14ac:dyDescent="0.4">
      <c r="A17182" s="4">
        <v>501400200</v>
      </c>
      <c r="B17182">
        <v>8690400</v>
      </c>
    </row>
    <row r="17183" spans="1:2" x14ac:dyDescent="0.4">
      <c r="A17183" s="4">
        <v>501400200</v>
      </c>
      <c r="B17183">
        <v>8320500</v>
      </c>
    </row>
    <row r="17184" spans="1:2" x14ac:dyDescent="0.4">
      <c r="A17184" s="4">
        <v>501400200</v>
      </c>
      <c r="B17184">
        <v>8320510</v>
      </c>
    </row>
    <row r="17185" spans="1:2" x14ac:dyDescent="0.4">
      <c r="A17185" s="4">
        <v>501400200</v>
      </c>
      <c r="B17185">
        <v>8320520</v>
      </c>
    </row>
    <row r="17186" spans="1:2" x14ac:dyDescent="0.4">
      <c r="A17186" s="4">
        <v>501400200</v>
      </c>
      <c r="B17186">
        <v>8320600</v>
      </c>
    </row>
    <row r="17187" spans="1:2" x14ac:dyDescent="0.4">
      <c r="A17187" s="4">
        <v>501400200</v>
      </c>
      <c r="B17187">
        <v>8320610</v>
      </c>
    </row>
    <row r="17188" spans="1:2" x14ac:dyDescent="0.4">
      <c r="A17188" s="4">
        <v>501400200</v>
      </c>
      <c r="B17188">
        <v>8320620</v>
      </c>
    </row>
    <row r="17189" spans="1:2" x14ac:dyDescent="0.4">
      <c r="A17189" s="4">
        <v>501400200</v>
      </c>
      <c r="B17189">
        <v>8320700</v>
      </c>
    </row>
    <row r="17190" spans="1:2" x14ac:dyDescent="0.4">
      <c r="A17190" s="4">
        <v>501400200</v>
      </c>
      <c r="B17190">
        <v>8320710</v>
      </c>
    </row>
    <row r="17191" spans="1:2" x14ac:dyDescent="0.4">
      <c r="A17191" s="4">
        <v>501400200</v>
      </c>
      <c r="B17191">
        <v>8320720</v>
      </c>
    </row>
    <row r="17192" spans="1:2" x14ac:dyDescent="0.4">
      <c r="A17192" s="4">
        <v>501500000</v>
      </c>
      <c r="B17192">
        <v>0</v>
      </c>
    </row>
    <row r="17193" spans="1:2" x14ac:dyDescent="0.4">
      <c r="A17193" s="4">
        <v>501500000</v>
      </c>
      <c r="B17193">
        <v>8100100</v>
      </c>
    </row>
    <row r="17194" spans="1:2" x14ac:dyDescent="0.4">
      <c r="A17194" s="4">
        <v>501500000</v>
      </c>
      <c r="B17194">
        <v>8100101</v>
      </c>
    </row>
    <row r="17195" spans="1:2" x14ac:dyDescent="0.4">
      <c r="A17195" s="4">
        <v>501500000</v>
      </c>
      <c r="B17195">
        <v>8100102</v>
      </c>
    </row>
    <row r="17196" spans="1:2" x14ac:dyDescent="0.4">
      <c r="A17196" s="4">
        <v>501500000</v>
      </c>
      <c r="B17196">
        <v>8100200</v>
      </c>
    </row>
    <row r="17197" spans="1:2" x14ac:dyDescent="0.4">
      <c r="A17197" s="4">
        <v>501500000</v>
      </c>
      <c r="B17197">
        <v>8100201</v>
      </c>
    </row>
    <row r="17198" spans="1:2" x14ac:dyDescent="0.4">
      <c r="A17198" s="4">
        <v>501500000</v>
      </c>
      <c r="B17198">
        <v>8100202</v>
      </c>
    </row>
    <row r="17199" spans="1:2" x14ac:dyDescent="0.4">
      <c r="A17199" s="4">
        <v>501500000</v>
      </c>
      <c r="B17199">
        <v>8100300</v>
      </c>
    </row>
    <row r="17200" spans="1:2" x14ac:dyDescent="0.4">
      <c r="A17200" s="4">
        <v>501500000</v>
      </c>
      <c r="B17200">
        <v>8100301</v>
      </c>
    </row>
    <row r="17201" spans="1:2" x14ac:dyDescent="0.4">
      <c r="A17201" s="4">
        <v>501500000</v>
      </c>
      <c r="B17201">
        <v>8100302</v>
      </c>
    </row>
    <row r="17202" spans="1:2" x14ac:dyDescent="0.4">
      <c r="A17202" s="4">
        <v>501500000</v>
      </c>
      <c r="B17202">
        <v>8100400</v>
      </c>
    </row>
    <row r="17203" spans="1:2" x14ac:dyDescent="0.4">
      <c r="A17203" s="4">
        <v>501500000</v>
      </c>
      <c r="B17203">
        <v>8100401</v>
      </c>
    </row>
    <row r="17204" spans="1:2" x14ac:dyDescent="0.4">
      <c r="A17204" s="4">
        <v>501500000</v>
      </c>
      <c r="B17204">
        <v>8100402</v>
      </c>
    </row>
    <row r="17205" spans="1:2" x14ac:dyDescent="0.4">
      <c r="A17205" s="4">
        <v>501500000</v>
      </c>
      <c r="B17205">
        <v>8130000</v>
      </c>
    </row>
    <row r="17206" spans="1:2" x14ac:dyDescent="0.4">
      <c r="A17206" s="4">
        <v>501500000</v>
      </c>
      <c r="B17206">
        <v>8130001</v>
      </c>
    </row>
    <row r="17207" spans="1:2" x14ac:dyDescent="0.4">
      <c r="A17207" s="4">
        <v>501500000</v>
      </c>
      <c r="B17207">
        <v>8130002</v>
      </c>
    </row>
    <row r="17208" spans="1:2" x14ac:dyDescent="0.4">
      <c r="A17208" s="4">
        <v>501500000</v>
      </c>
      <c r="B17208">
        <v>8140000</v>
      </c>
    </row>
    <row r="17209" spans="1:2" x14ac:dyDescent="0.4">
      <c r="A17209" s="4">
        <v>501500000</v>
      </c>
      <c r="B17209">
        <v>8140001</v>
      </c>
    </row>
    <row r="17210" spans="1:2" x14ac:dyDescent="0.4">
      <c r="A17210" s="4">
        <v>501500000</v>
      </c>
      <c r="B17210">
        <v>8140002</v>
      </c>
    </row>
    <row r="17211" spans="1:2" x14ac:dyDescent="0.4">
      <c r="A17211" s="4">
        <v>501500000</v>
      </c>
      <c r="B17211">
        <v>8200100</v>
      </c>
    </row>
    <row r="17212" spans="1:2" x14ac:dyDescent="0.4">
      <c r="A17212" s="4">
        <v>501500000</v>
      </c>
      <c r="B17212">
        <v>8200101</v>
      </c>
    </row>
    <row r="17213" spans="1:2" x14ac:dyDescent="0.4">
      <c r="A17213" s="4">
        <v>501500000</v>
      </c>
      <c r="B17213">
        <v>8200102</v>
      </c>
    </row>
    <row r="17214" spans="1:2" x14ac:dyDescent="0.4">
      <c r="A17214" s="4">
        <v>501500000</v>
      </c>
      <c r="B17214">
        <v>8200200</v>
      </c>
    </row>
    <row r="17215" spans="1:2" x14ac:dyDescent="0.4">
      <c r="A17215" s="4">
        <v>501500000</v>
      </c>
      <c r="B17215">
        <v>8200201</v>
      </c>
    </row>
    <row r="17216" spans="1:2" x14ac:dyDescent="0.4">
      <c r="A17216" s="4">
        <v>501500000</v>
      </c>
      <c r="B17216">
        <v>8200202</v>
      </c>
    </row>
    <row r="17217" spans="1:2" x14ac:dyDescent="0.4">
      <c r="A17217" s="4">
        <v>501500000</v>
      </c>
      <c r="B17217">
        <v>8200300</v>
      </c>
    </row>
    <row r="17218" spans="1:2" x14ac:dyDescent="0.4">
      <c r="A17218" s="4">
        <v>501500000</v>
      </c>
      <c r="B17218">
        <v>8200301</v>
      </c>
    </row>
    <row r="17219" spans="1:2" x14ac:dyDescent="0.4">
      <c r="A17219" s="4">
        <v>501500000</v>
      </c>
      <c r="B17219">
        <v>8200302</v>
      </c>
    </row>
    <row r="17220" spans="1:2" x14ac:dyDescent="0.4">
      <c r="A17220" s="4">
        <v>501500000</v>
      </c>
      <c r="B17220">
        <v>8200400</v>
      </c>
    </row>
    <row r="17221" spans="1:2" x14ac:dyDescent="0.4">
      <c r="A17221" s="4">
        <v>501500000</v>
      </c>
      <c r="B17221">
        <v>8200401</v>
      </c>
    </row>
    <row r="17222" spans="1:2" x14ac:dyDescent="0.4">
      <c r="A17222" s="4">
        <v>501500000</v>
      </c>
      <c r="B17222">
        <v>8200402</v>
      </c>
    </row>
    <row r="17223" spans="1:2" x14ac:dyDescent="0.4">
      <c r="A17223" s="4">
        <v>501500000</v>
      </c>
      <c r="B17223">
        <v>8210000</v>
      </c>
    </row>
    <row r="17224" spans="1:2" x14ac:dyDescent="0.4">
      <c r="A17224" s="4">
        <v>501500000</v>
      </c>
      <c r="B17224">
        <v>8210001</v>
      </c>
    </row>
    <row r="17225" spans="1:2" x14ac:dyDescent="0.4">
      <c r="A17225" s="4">
        <v>501500000</v>
      </c>
      <c r="B17225">
        <v>8210002</v>
      </c>
    </row>
    <row r="17226" spans="1:2" x14ac:dyDescent="0.4">
      <c r="A17226" s="4">
        <v>501500000</v>
      </c>
      <c r="B17226">
        <v>8210100</v>
      </c>
    </row>
    <row r="17227" spans="1:2" x14ac:dyDescent="0.4">
      <c r="A17227" s="4">
        <v>501500000</v>
      </c>
      <c r="B17227">
        <v>8210101</v>
      </c>
    </row>
    <row r="17228" spans="1:2" x14ac:dyDescent="0.4">
      <c r="A17228" s="4">
        <v>501500000</v>
      </c>
      <c r="B17228">
        <v>8210102</v>
      </c>
    </row>
    <row r="17229" spans="1:2" x14ac:dyDescent="0.4">
      <c r="A17229" s="4">
        <v>501500000</v>
      </c>
      <c r="B17229">
        <v>8210200</v>
      </c>
    </row>
    <row r="17230" spans="1:2" x14ac:dyDescent="0.4">
      <c r="A17230" s="4">
        <v>501500000</v>
      </c>
      <c r="B17230">
        <v>8210201</v>
      </c>
    </row>
    <row r="17231" spans="1:2" x14ac:dyDescent="0.4">
      <c r="A17231" s="4">
        <v>501500000</v>
      </c>
      <c r="B17231">
        <v>8210202</v>
      </c>
    </row>
    <row r="17232" spans="1:2" x14ac:dyDescent="0.4">
      <c r="A17232" s="4">
        <v>501500000</v>
      </c>
      <c r="B17232">
        <v>8210300</v>
      </c>
    </row>
    <row r="17233" spans="1:2" x14ac:dyDescent="0.4">
      <c r="A17233" s="4">
        <v>501500000</v>
      </c>
      <c r="B17233">
        <v>8210301</v>
      </c>
    </row>
    <row r="17234" spans="1:2" x14ac:dyDescent="0.4">
      <c r="A17234" s="4">
        <v>501500000</v>
      </c>
      <c r="B17234">
        <v>8210302</v>
      </c>
    </row>
    <row r="17235" spans="1:2" x14ac:dyDescent="0.4">
      <c r="A17235" s="4">
        <v>501500000</v>
      </c>
      <c r="B17235">
        <v>8210400</v>
      </c>
    </row>
    <row r="17236" spans="1:2" x14ac:dyDescent="0.4">
      <c r="A17236" s="4">
        <v>501500000</v>
      </c>
      <c r="B17236">
        <v>8210401</v>
      </c>
    </row>
    <row r="17237" spans="1:2" x14ac:dyDescent="0.4">
      <c r="A17237" s="4">
        <v>501500000</v>
      </c>
      <c r="B17237">
        <v>8210402</v>
      </c>
    </row>
    <row r="17238" spans="1:2" x14ac:dyDescent="0.4">
      <c r="A17238" s="4">
        <v>501500000</v>
      </c>
      <c r="B17238">
        <v>8210500</v>
      </c>
    </row>
    <row r="17239" spans="1:2" x14ac:dyDescent="0.4">
      <c r="A17239" s="4">
        <v>501500000</v>
      </c>
      <c r="B17239">
        <v>8210501</v>
      </c>
    </row>
    <row r="17240" spans="1:2" x14ac:dyDescent="0.4">
      <c r="A17240" s="4">
        <v>501500000</v>
      </c>
      <c r="B17240">
        <v>8210502</v>
      </c>
    </row>
    <row r="17241" spans="1:2" x14ac:dyDescent="0.4">
      <c r="A17241" s="4">
        <v>501500000</v>
      </c>
      <c r="B17241">
        <v>8210600</v>
      </c>
    </row>
    <row r="17242" spans="1:2" x14ac:dyDescent="0.4">
      <c r="A17242" s="4">
        <v>501500000</v>
      </c>
      <c r="B17242">
        <v>8210601</v>
      </c>
    </row>
    <row r="17243" spans="1:2" x14ac:dyDescent="0.4">
      <c r="A17243" s="4">
        <v>501500000</v>
      </c>
      <c r="B17243">
        <v>8210602</v>
      </c>
    </row>
    <row r="17244" spans="1:2" x14ac:dyDescent="0.4">
      <c r="A17244" s="4">
        <v>501500000</v>
      </c>
      <c r="B17244">
        <v>8220000</v>
      </c>
    </row>
    <row r="17245" spans="1:2" x14ac:dyDescent="0.4">
      <c r="A17245" s="4">
        <v>501500000</v>
      </c>
      <c r="B17245">
        <v>8220001</v>
      </c>
    </row>
    <row r="17246" spans="1:2" x14ac:dyDescent="0.4">
      <c r="A17246" s="4">
        <v>501500000</v>
      </c>
      <c r="B17246">
        <v>8220002</v>
      </c>
    </row>
    <row r="17247" spans="1:2" x14ac:dyDescent="0.4">
      <c r="A17247" s="4">
        <v>501500000</v>
      </c>
      <c r="B17247">
        <v>8300000</v>
      </c>
    </row>
    <row r="17248" spans="1:2" x14ac:dyDescent="0.4">
      <c r="A17248" s="4">
        <v>501500000</v>
      </c>
      <c r="B17248">
        <v>8300001</v>
      </c>
    </row>
    <row r="17249" spans="1:2" x14ac:dyDescent="0.4">
      <c r="A17249" s="4">
        <v>501500000</v>
      </c>
      <c r="B17249">
        <v>8300002</v>
      </c>
    </row>
    <row r="17250" spans="1:2" x14ac:dyDescent="0.4">
      <c r="A17250" s="4">
        <v>501500000</v>
      </c>
      <c r="B17250">
        <v>8310000</v>
      </c>
    </row>
    <row r="17251" spans="1:2" x14ac:dyDescent="0.4">
      <c r="A17251" s="4">
        <v>501500000</v>
      </c>
      <c r="B17251">
        <v>8310001</v>
      </c>
    </row>
    <row r="17252" spans="1:2" x14ac:dyDescent="0.4">
      <c r="A17252" s="4">
        <v>501500000</v>
      </c>
      <c r="B17252">
        <v>8310002</v>
      </c>
    </row>
    <row r="17253" spans="1:2" x14ac:dyDescent="0.4">
      <c r="A17253" s="4">
        <v>501500000</v>
      </c>
      <c r="B17253">
        <v>8320000</v>
      </c>
    </row>
    <row r="17254" spans="1:2" x14ac:dyDescent="0.4">
      <c r="A17254" s="4">
        <v>501500000</v>
      </c>
      <c r="B17254">
        <v>8320001</v>
      </c>
    </row>
    <row r="17255" spans="1:2" x14ac:dyDescent="0.4">
      <c r="A17255" s="4">
        <v>501500000</v>
      </c>
      <c r="B17255">
        <v>8320002</v>
      </c>
    </row>
    <row r="17256" spans="1:2" x14ac:dyDescent="0.4">
      <c r="A17256" s="4">
        <v>501500000</v>
      </c>
      <c r="B17256">
        <v>8320100</v>
      </c>
    </row>
    <row r="17257" spans="1:2" x14ac:dyDescent="0.4">
      <c r="A17257" s="4">
        <v>501500000</v>
      </c>
      <c r="B17257">
        <v>8320101</v>
      </c>
    </row>
    <row r="17258" spans="1:2" x14ac:dyDescent="0.4">
      <c r="A17258" s="4">
        <v>501500000</v>
      </c>
      <c r="B17258">
        <v>8320102</v>
      </c>
    </row>
    <row r="17259" spans="1:2" x14ac:dyDescent="0.4">
      <c r="A17259" s="4">
        <v>501500000</v>
      </c>
      <c r="B17259">
        <v>8320300</v>
      </c>
    </row>
    <row r="17260" spans="1:2" x14ac:dyDescent="0.4">
      <c r="A17260" s="4">
        <v>501500000</v>
      </c>
      <c r="B17260">
        <v>8320301</v>
      </c>
    </row>
    <row r="17261" spans="1:2" x14ac:dyDescent="0.4">
      <c r="A17261" s="4">
        <v>501500000</v>
      </c>
      <c r="B17261">
        <v>8320302</v>
      </c>
    </row>
    <row r="17262" spans="1:2" x14ac:dyDescent="0.4">
      <c r="A17262" s="4">
        <v>501500000</v>
      </c>
      <c r="B17262">
        <v>8320400</v>
      </c>
    </row>
    <row r="17263" spans="1:2" x14ac:dyDescent="0.4">
      <c r="A17263" s="4">
        <v>501500000</v>
      </c>
      <c r="B17263">
        <v>8320410</v>
      </c>
    </row>
    <row r="17264" spans="1:2" x14ac:dyDescent="0.4">
      <c r="A17264" s="4">
        <v>501500000</v>
      </c>
      <c r="B17264">
        <v>8320420</v>
      </c>
    </row>
    <row r="17265" spans="1:2" x14ac:dyDescent="0.4">
      <c r="A17265" s="4">
        <v>501500000</v>
      </c>
      <c r="B17265">
        <v>8330000</v>
      </c>
    </row>
    <row r="17266" spans="1:2" x14ac:dyDescent="0.4">
      <c r="A17266" s="4">
        <v>501500000</v>
      </c>
      <c r="B17266">
        <v>8330001</v>
      </c>
    </row>
    <row r="17267" spans="1:2" x14ac:dyDescent="0.4">
      <c r="A17267" s="4">
        <v>501500000</v>
      </c>
      <c r="B17267">
        <v>8330002</v>
      </c>
    </row>
    <row r="17268" spans="1:2" x14ac:dyDescent="0.4">
      <c r="A17268" s="4">
        <v>501500000</v>
      </c>
      <c r="B17268">
        <v>8330100</v>
      </c>
    </row>
    <row r="17269" spans="1:2" x14ac:dyDescent="0.4">
      <c r="A17269" s="4">
        <v>501500000</v>
      </c>
      <c r="B17269">
        <v>8330101</v>
      </c>
    </row>
    <row r="17270" spans="1:2" x14ac:dyDescent="0.4">
      <c r="A17270" s="4">
        <v>501500000</v>
      </c>
      <c r="B17270">
        <v>8330102</v>
      </c>
    </row>
    <row r="17271" spans="1:2" x14ac:dyDescent="0.4">
      <c r="A17271" s="4">
        <v>501500000</v>
      </c>
      <c r="B17271">
        <v>8330200</v>
      </c>
    </row>
    <row r="17272" spans="1:2" x14ac:dyDescent="0.4">
      <c r="A17272" s="4">
        <v>501500000</v>
      </c>
      <c r="B17272">
        <v>8330201</v>
      </c>
    </row>
    <row r="17273" spans="1:2" x14ac:dyDescent="0.4">
      <c r="A17273" s="4">
        <v>501500000</v>
      </c>
      <c r="B17273">
        <v>8330202</v>
      </c>
    </row>
    <row r="17274" spans="1:2" x14ac:dyDescent="0.4">
      <c r="A17274" s="4">
        <v>501500000</v>
      </c>
      <c r="B17274">
        <v>8330300</v>
      </c>
    </row>
    <row r="17275" spans="1:2" x14ac:dyDescent="0.4">
      <c r="A17275" s="4">
        <v>501500000</v>
      </c>
      <c r="B17275">
        <v>8330301</v>
      </c>
    </row>
    <row r="17276" spans="1:2" x14ac:dyDescent="0.4">
      <c r="A17276" s="4">
        <v>501500000</v>
      </c>
      <c r="B17276">
        <v>8330302</v>
      </c>
    </row>
    <row r="17277" spans="1:2" x14ac:dyDescent="0.4">
      <c r="A17277" s="4">
        <v>501500000</v>
      </c>
      <c r="B17277">
        <v>8330400</v>
      </c>
    </row>
    <row r="17278" spans="1:2" x14ac:dyDescent="0.4">
      <c r="A17278" s="4">
        <v>501500000</v>
      </c>
      <c r="B17278">
        <v>8330401</v>
      </c>
    </row>
    <row r="17279" spans="1:2" x14ac:dyDescent="0.4">
      <c r="A17279" s="4">
        <v>501500000</v>
      </c>
      <c r="B17279">
        <v>8330600</v>
      </c>
    </row>
    <row r="17280" spans="1:2" x14ac:dyDescent="0.4">
      <c r="A17280" s="4">
        <v>501500000</v>
      </c>
      <c r="B17280">
        <v>8330601</v>
      </c>
    </row>
    <row r="17281" spans="1:2" x14ac:dyDescent="0.4">
      <c r="A17281" s="4">
        <v>501500000</v>
      </c>
      <c r="B17281">
        <v>8330602</v>
      </c>
    </row>
    <row r="17282" spans="1:2" x14ac:dyDescent="0.4">
      <c r="A17282" s="4">
        <v>501500000</v>
      </c>
      <c r="B17282">
        <v>8330900</v>
      </c>
    </row>
    <row r="17283" spans="1:2" x14ac:dyDescent="0.4">
      <c r="A17283" s="4">
        <v>501500000</v>
      </c>
      <c r="B17283">
        <v>8330910</v>
      </c>
    </row>
    <row r="17284" spans="1:2" x14ac:dyDescent="0.4">
      <c r="A17284" s="4">
        <v>501500000</v>
      </c>
      <c r="B17284">
        <v>8330920</v>
      </c>
    </row>
    <row r="17285" spans="1:2" x14ac:dyDescent="0.4">
      <c r="A17285" s="4">
        <v>501500000</v>
      </c>
      <c r="B17285">
        <v>8340000</v>
      </c>
    </row>
    <row r="17286" spans="1:2" x14ac:dyDescent="0.4">
      <c r="A17286" s="4">
        <v>501500000</v>
      </c>
      <c r="B17286">
        <v>8340001</v>
      </c>
    </row>
    <row r="17287" spans="1:2" x14ac:dyDescent="0.4">
      <c r="A17287" s="4">
        <v>501500000</v>
      </c>
      <c r="B17287">
        <v>8340002</v>
      </c>
    </row>
    <row r="17288" spans="1:2" x14ac:dyDescent="0.4">
      <c r="A17288" s="4">
        <v>501500000</v>
      </c>
      <c r="B17288">
        <v>8340100</v>
      </c>
    </row>
    <row r="17289" spans="1:2" x14ac:dyDescent="0.4">
      <c r="A17289" s="4">
        <v>501500000</v>
      </c>
      <c r="B17289">
        <v>8340101</v>
      </c>
    </row>
    <row r="17290" spans="1:2" x14ac:dyDescent="0.4">
      <c r="A17290" s="4">
        <v>501500000</v>
      </c>
      <c r="B17290">
        <v>8340102</v>
      </c>
    </row>
    <row r="17291" spans="1:2" x14ac:dyDescent="0.4">
      <c r="A17291" s="4">
        <v>501500000</v>
      </c>
      <c r="B17291">
        <v>8350000</v>
      </c>
    </row>
    <row r="17292" spans="1:2" x14ac:dyDescent="0.4">
      <c r="A17292" s="4">
        <v>501500000</v>
      </c>
      <c r="B17292">
        <v>8350001</v>
      </c>
    </row>
    <row r="17293" spans="1:2" x14ac:dyDescent="0.4">
      <c r="A17293" s="4">
        <v>501500000</v>
      </c>
      <c r="B17293">
        <v>8350002</v>
      </c>
    </row>
    <row r="17294" spans="1:2" x14ac:dyDescent="0.4">
      <c r="A17294" s="4">
        <v>501500000</v>
      </c>
      <c r="B17294">
        <v>8350200</v>
      </c>
    </row>
    <row r="17295" spans="1:2" x14ac:dyDescent="0.4">
      <c r="A17295" s="4">
        <v>501500000</v>
      </c>
      <c r="B17295">
        <v>8350201</v>
      </c>
    </row>
    <row r="17296" spans="1:2" x14ac:dyDescent="0.4">
      <c r="A17296" s="4">
        <v>501500000</v>
      </c>
      <c r="B17296">
        <v>8350202</v>
      </c>
    </row>
    <row r="17297" spans="1:2" x14ac:dyDescent="0.4">
      <c r="A17297" s="4">
        <v>501500000</v>
      </c>
      <c r="B17297">
        <v>8420000</v>
      </c>
    </row>
    <row r="17298" spans="1:2" x14ac:dyDescent="0.4">
      <c r="A17298" s="4">
        <v>501500000</v>
      </c>
      <c r="B17298">
        <v>8420001</v>
      </c>
    </row>
    <row r="17299" spans="1:2" x14ac:dyDescent="0.4">
      <c r="A17299" s="4">
        <v>501500000</v>
      </c>
      <c r="B17299">
        <v>8420002</v>
      </c>
    </row>
    <row r="17300" spans="1:2" x14ac:dyDescent="0.4">
      <c r="A17300" s="4">
        <v>501500000</v>
      </c>
      <c r="B17300">
        <v>8450000</v>
      </c>
    </row>
    <row r="17301" spans="1:2" x14ac:dyDescent="0.4">
      <c r="A17301" s="4">
        <v>501500000</v>
      </c>
      <c r="B17301">
        <v>8460100</v>
      </c>
    </row>
    <row r="17302" spans="1:2" x14ac:dyDescent="0.4">
      <c r="A17302" s="4">
        <v>501500000</v>
      </c>
      <c r="B17302">
        <v>8460300</v>
      </c>
    </row>
    <row r="17303" spans="1:2" x14ac:dyDescent="0.4">
      <c r="A17303" s="4">
        <v>501500000</v>
      </c>
      <c r="B17303">
        <v>8460500</v>
      </c>
    </row>
    <row r="17304" spans="1:2" x14ac:dyDescent="0.4">
      <c r="A17304" s="4">
        <v>501500000</v>
      </c>
      <c r="B17304">
        <v>8510000</v>
      </c>
    </row>
    <row r="17305" spans="1:2" x14ac:dyDescent="0.4">
      <c r="A17305" s="4">
        <v>501500000</v>
      </c>
      <c r="B17305">
        <v>8510001</v>
      </c>
    </row>
    <row r="17306" spans="1:2" x14ac:dyDescent="0.4">
      <c r="A17306" s="4">
        <v>501500000</v>
      </c>
      <c r="B17306">
        <v>8510002</v>
      </c>
    </row>
    <row r="17307" spans="1:2" x14ac:dyDescent="0.4">
      <c r="A17307" s="4">
        <v>501500000</v>
      </c>
      <c r="B17307">
        <v>8520000</v>
      </c>
    </row>
    <row r="17308" spans="1:2" x14ac:dyDescent="0.4">
      <c r="A17308" s="4">
        <v>501500000</v>
      </c>
      <c r="B17308">
        <v>8520001</v>
      </c>
    </row>
    <row r="17309" spans="1:2" x14ac:dyDescent="0.4">
      <c r="A17309" s="4">
        <v>501500000</v>
      </c>
      <c r="B17309">
        <v>8520002</v>
      </c>
    </row>
    <row r="17310" spans="1:2" x14ac:dyDescent="0.4">
      <c r="A17310" s="4">
        <v>501500000</v>
      </c>
      <c r="B17310">
        <v>8530000</v>
      </c>
    </row>
    <row r="17311" spans="1:2" x14ac:dyDescent="0.4">
      <c r="A17311" s="4">
        <v>501500000</v>
      </c>
      <c r="B17311">
        <v>8530100</v>
      </c>
    </row>
    <row r="17312" spans="1:2" x14ac:dyDescent="0.4">
      <c r="A17312" s="4">
        <v>501500000</v>
      </c>
      <c r="B17312">
        <v>8540000</v>
      </c>
    </row>
    <row r="17313" spans="1:2" x14ac:dyDescent="0.4">
      <c r="A17313" s="4">
        <v>501500000</v>
      </c>
      <c r="B17313">
        <v>8600100</v>
      </c>
    </row>
    <row r="17314" spans="1:2" x14ac:dyDescent="0.4">
      <c r="A17314" s="4">
        <v>501500000</v>
      </c>
      <c r="B17314">
        <v>8600101</v>
      </c>
    </row>
    <row r="17315" spans="1:2" x14ac:dyDescent="0.4">
      <c r="A17315" s="4">
        <v>501500000</v>
      </c>
      <c r="B17315">
        <v>8600102</v>
      </c>
    </row>
    <row r="17316" spans="1:2" x14ac:dyDescent="0.4">
      <c r="A17316" s="4">
        <v>501500000</v>
      </c>
      <c r="B17316">
        <v>8600200</v>
      </c>
    </row>
    <row r="17317" spans="1:2" x14ac:dyDescent="0.4">
      <c r="A17317" s="4">
        <v>501500000</v>
      </c>
      <c r="B17317">
        <v>8600201</v>
      </c>
    </row>
    <row r="17318" spans="1:2" x14ac:dyDescent="0.4">
      <c r="A17318" s="4">
        <v>501500000</v>
      </c>
      <c r="B17318">
        <v>8600202</v>
      </c>
    </row>
    <row r="17319" spans="1:2" x14ac:dyDescent="0.4">
      <c r="A17319" s="4">
        <v>501500000</v>
      </c>
      <c r="B17319">
        <v>8610700</v>
      </c>
    </row>
    <row r="17320" spans="1:2" x14ac:dyDescent="0.4">
      <c r="A17320" s="4">
        <v>501500000</v>
      </c>
      <c r="B17320">
        <v>8610710</v>
      </c>
    </row>
    <row r="17321" spans="1:2" x14ac:dyDescent="0.4">
      <c r="A17321" s="4">
        <v>501500000</v>
      </c>
      <c r="B17321">
        <v>8610720</v>
      </c>
    </row>
    <row r="17322" spans="1:2" x14ac:dyDescent="0.4">
      <c r="A17322" s="4">
        <v>501500000</v>
      </c>
      <c r="B17322">
        <v>8620000</v>
      </c>
    </row>
    <row r="17323" spans="1:2" x14ac:dyDescent="0.4">
      <c r="A17323" s="4">
        <v>501500000</v>
      </c>
      <c r="B17323">
        <v>8620010</v>
      </c>
    </row>
    <row r="17324" spans="1:2" x14ac:dyDescent="0.4">
      <c r="A17324" s="4">
        <v>501500000</v>
      </c>
      <c r="B17324">
        <v>8620020</v>
      </c>
    </row>
    <row r="17325" spans="1:2" x14ac:dyDescent="0.4">
      <c r="A17325" s="4">
        <v>501500000</v>
      </c>
      <c r="B17325">
        <v>8620100</v>
      </c>
    </row>
    <row r="17326" spans="1:2" x14ac:dyDescent="0.4">
      <c r="A17326" s="4">
        <v>501500000</v>
      </c>
      <c r="B17326">
        <v>8620110</v>
      </c>
    </row>
    <row r="17327" spans="1:2" x14ac:dyDescent="0.4">
      <c r="A17327" s="4">
        <v>501500000</v>
      </c>
      <c r="B17327">
        <v>8620120</v>
      </c>
    </row>
    <row r="17328" spans="1:2" x14ac:dyDescent="0.4">
      <c r="A17328" s="4">
        <v>501500000</v>
      </c>
      <c r="B17328">
        <v>8630000</v>
      </c>
    </row>
    <row r="17329" spans="1:2" x14ac:dyDescent="0.4">
      <c r="A17329" s="4">
        <v>501500000</v>
      </c>
      <c r="B17329">
        <v>8630000</v>
      </c>
    </row>
    <row r="17330" spans="1:2" x14ac:dyDescent="0.4">
      <c r="A17330" s="4">
        <v>501500000</v>
      </c>
      <c r="B17330">
        <v>8630000</v>
      </c>
    </row>
    <row r="17331" spans="1:2" x14ac:dyDescent="0.4">
      <c r="A17331" s="4">
        <v>501500000</v>
      </c>
      <c r="B17331">
        <v>8630100</v>
      </c>
    </row>
    <row r="17332" spans="1:2" x14ac:dyDescent="0.4">
      <c r="A17332" s="4">
        <v>501500000</v>
      </c>
      <c r="B17332">
        <v>8630100</v>
      </c>
    </row>
    <row r="17333" spans="1:2" x14ac:dyDescent="0.4">
      <c r="A17333" s="4">
        <v>501500000</v>
      </c>
      <c r="B17333">
        <v>8630100</v>
      </c>
    </row>
    <row r="17334" spans="1:2" x14ac:dyDescent="0.4">
      <c r="A17334" s="4">
        <v>501500000</v>
      </c>
      <c r="B17334">
        <v>8652000</v>
      </c>
    </row>
    <row r="17335" spans="1:2" x14ac:dyDescent="0.4">
      <c r="A17335" s="4">
        <v>501500000</v>
      </c>
      <c r="B17335">
        <v>8652010</v>
      </c>
    </row>
    <row r="17336" spans="1:2" x14ac:dyDescent="0.4">
      <c r="A17336" s="4">
        <v>501500000</v>
      </c>
      <c r="B17336">
        <v>8652020</v>
      </c>
    </row>
    <row r="17337" spans="1:2" x14ac:dyDescent="0.4">
      <c r="A17337" s="4">
        <v>501500000</v>
      </c>
      <c r="B17337">
        <v>8652100</v>
      </c>
    </row>
    <row r="17338" spans="1:2" x14ac:dyDescent="0.4">
      <c r="A17338" s="4">
        <v>501500000</v>
      </c>
      <c r="B17338">
        <v>8652110</v>
      </c>
    </row>
    <row r="17339" spans="1:2" x14ac:dyDescent="0.4">
      <c r="A17339" s="4">
        <v>501500000</v>
      </c>
      <c r="B17339">
        <v>8652120</v>
      </c>
    </row>
    <row r="17340" spans="1:2" x14ac:dyDescent="0.4">
      <c r="A17340" s="4">
        <v>501500000</v>
      </c>
      <c r="B17340">
        <v>8660000</v>
      </c>
    </row>
    <row r="17341" spans="1:2" x14ac:dyDescent="0.4">
      <c r="A17341" s="4">
        <v>501500000</v>
      </c>
      <c r="B17341">
        <v>8660001</v>
      </c>
    </row>
    <row r="17342" spans="1:2" x14ac:dyDescent="0.4">
      <c r="A17342" s="4">
        <v>501500000</v>
      </c>
      <c r="B17342">
        <v>8660002</v>
      </c>
    </row>
    <row r="17343" spans="1:2" x14ac:dyDescent="0.4">
      <c r="A17343" s="4">
        <v>501500000</v>
      </c>
      <c r="B17343">
        <v>8660100</v>
      </c>
    </row>
    <row r="17344" spans="1:2" x14ac:dyDescent="0.4">
      <c r="A17344" s="4">
        <v>501500000</v>
      </c>
      <c r="B17344">
        <v>8660101</v>
      </c>
    </row>
    <row r="17345" spans="1:2" x14ac:dyDescent="0.4">
      <c r="A17345" s="4">
        <v>501500000</v>
      </c>
      <c r="B17345">
        <v>8660102</v>
      </c>
    </row>
    <row r="17346" spans="1:2" x14ac:dyDescent="0.4">
      <c r="A17346" s="4">
        <v>501500000</v>
      </c>
      <c r="B17346">
        <v>8670000</v>
      </c>
    </row>
    <row r="17347" spans="1:2" x14ac:dyDescent="0.4">
      <c r="A17347" s="4">
        <v>501500000</v>
      </c>
      <c r="B17347">
        <v>8670001</v>
      </c>
    </row>
    <row r="17348" spans="1:2" x14ac:dyDescent="0.4">
      <c r="A17348" s="4">
        <v>501500000</v>
      </c>
      <c r="B17348">
        <v>8670002</v>
      </c>
    </row>
    <row r="17349" spans="1:2" x14ac:dyDescent="0.4">
      <c r="A17349" s="4">
        <v>501500000</v>
      </c>
      <c r="B17349">
        <v>8670100</v>
      </c>
    </row>
    <row r="17350" spans="1:2" x14ac:dyDescent="0.4">
      <c r="A17350" s="4">
        <v>501500000</v>
      </c>
      <c r="B17350">
        <v>8670101</v>
      </c>
    </row>
    <row r="17351" spans="1:2" x14ac:dyDescent="0.4">
      <c r="A17351" s="4">
        <v>501500000</v>
      </c>
      <c r="B17351">
        <v>8670102</v>
      </c>
    </row>
    <row r="17352" spans="1:2" x14ac:dyDescent="0.4">
      <c r="A17352" s="4">
        <v>501500000</v>
      </c>
      <c r="B17352">
        <v>8690000</v>
      </c>
    </row>
    <row r="17353" spans="1:2" x14ac:dyDescent="0.4">
      <c r="A17353" s="4">
        <v>501500000</v>
      </c>
      <c r="B17353">
        <v>8690100</v>
      </c>
    </row>
    <row r="17354" spans="1:2" x14ac:dyDescent="0.4">
      <c r="A17354" s="4">
        <v>501500000</v>
      </c>
      <c r="B17354">
        <v>8690200</v>
      </c>
    </row>
    <row r="17355" spans="1:2" x14ac:dyDescent="0.4">
      <c r="A17355" s="4">
        <v>501500000</v>
      </c>
      <c r="B17355">
        <v>8690300</v>
      </c>
    </row>
    <row r="17356" spans="1:2" x14ac:dyDescent="0.4">
      <c r="A17356" s="4">
        <v>501500000</v>
      </c>
      <c r="B17356">
        <v>8690400</v>
      </c>
    </row>
    <row r="17357" spans="1:2" x14ac:dyDescent="0.4">
      <c r="A17357" s="4">
        <v>501500000</v>
      </c>
      <c r="B17357">
        <v>8320500</v>
      </c>
    </row>
    <row r="17358" spans="1:2" x14ac:dyDescent="0.4">
      <c r="A17358" s="4">
        <v>501500000</v>
      </c>
      <c r="B17358">
        <v>8320510</v>
      </c>
    </row>
    <row r="17359" spans="1:2" x14ac:dyDescent="0.4">
      <c r="A17359" s="4">
        <v>501500000</v>
      </c>
      <c r="B17359">
        <v>8320520</v>
      </c>
    </row>
    <row r="17360" spans="1:2" x14ac:dyDescent="0.4">
      <c r="A17360" s="4">
        <v>501500000</v>
      </c>
      <c r="B17360">
        <v>8320600</v>
      </c>
    </row>
    <row r="17361" spans="1:2" x14ac:dyDescent="0.4">
      <c r="A17361" s="4">
        <v>501500000</v>
      </c>
      <c r="B17361">
        <v>8320610</v>
      </c>
    </row>
    <row r="17362" spans="1:2" x14ac:dyDescent="0.4">
      <c r="A17362" s="4">
        <v>501500000</v>
      </c>
      <c r="B17362">
        <v>8320620</v>
      </c>
    </row>
    <row r="17363" spans="1:2" x14ac:dyDescent="0.4">
      <c r="A17363" s="4">
        <v>501500000</v>
      </c>
      <c r="B17363">
        <v>8320700</v>
      </c>
    </row>
    <row r="17364" spans="1:2" x14ac:dyDescent="0.4">
      <c r="A17364" s="4">
        <v>501500000</v>
      </c>
      <c r="B17364">
        <v>8320710</v>
      </c>
    </row>
    <row r="17365" spans="1:2" x14ac:dyDescent="0.4">
      <c r="A17365" s="4">
        <v>501500000</v>
      </c>
      <c r="B17365">
        <v>8320720</v>
      </c>
    </row>
    <row r="17366" spans="1:2" x14ac:dyDescent="0.4">
      <c r="A17366" s="4">
        <v>501500100</v>
      </c>
      <c r="B17366">
        <v>0</v>
      </c>
    </row>
    <row r="17367" spans="1:2" x14ac:dyDescent="0.4">
      <c r="A17367" s="4">
        <v>501500100</v>
      </c>
      <c r="B17367">
        <v>8100100</v>
      </c>
    </row>
    <row r="17368" spans="1:2" x14ac:dyDescent="0.4">
      <c r="A17368" s="4">
        <v>501500100</v>
      </c>
      <c r="B17368">
        <v>8100101</v>
      </c>
    </row>
    <row r="17369" spans="1:2" x14ac:dyDescent="0.4">
      <c r="A17369" s="4">
        <v>501500100</v>
      </c>
      <c r="B17369">
        <v>8100102</v>
      </c>
    </row>
    <row r="17370" spans="1:2" x14ac:dyDescent="0.4">
      <c r="A17370" s="4">
        <v>501500100</v>
      </c>
      <c r="B17370">
        <v>8100200</v>
      </c>
    </row>
    <row r="17371" spans="1:2" x14ac:dyDescent="0.4">
      <c r="A17371" s="4">
        <v>501500100</v>
      </c>
      <c r="B17371">
        <v>8100201</v>
      </c>
    </row>
    <row r="17372" spans="1:2" x14ac:dyDescent="0.4">
      <c r="A17372" s="4">
        <v>501500100</v>
      </c>
      <c r="B17372">
        <v>8100202</v>
      </c>
    </row>
    <row r="17373" spans="1:2" x14ac:dyDescent="0.4">
      <c r="A17373" s="4">
        <v>501500100</v>
      </c>
      <c r="B17373">
        <v>8100300</v>
      </c>
    </row>
    <row r="17374" spans="1:2" x14ac:dyDescent="0.4">
      <c r="A17374" s="4">
        <v>501500100</v>
      </c>
      <c r="B17374">
        <v>8100301</v>
      </c>
    </row>
    <row r="17375" spans="1:2" x14ac:dyDescent="0.4">
      <c r="A17375" s="4">
        <v>501500100</v>
      </c>
      <c r="B17375">
        <v>8100302</v>
      </c>
    </row>
    <row r="17376" spans="1:2" x14ac:dyDescent="0.4">
      <c r="A17376" s="4">
        <v>501500100</v>
      </c>
      <c r="B17376">
        <v>8100400</v>
      </c>
    </row>
    <row r="17377" spans="1:2" x14ac:dyDescent="0.4">
      <c r="A17377" s="4">
        <v>501500100</v>
      </c>
      <c r="B17377">
        <v>8100401</v>
      </c>
    </row>
    <row r="17378" spans="1:2" x14ac:dyDescent="0.4">
      <c r="A17378" s="4">
        <v>501500100</v>
      </c>
      <c r="B17378">
        <v>8100402</v>
      </c>
    </row>
    <row r="17379" spans="1:2" x14ac:dyDescent="0.4">
      <c r="A17379" s="4">
        <v>501500100</v>
      </c>
      <c r="B17379">
        <v>8130000</v>
      </c>
    </row>
    <row r="17380" spans="1:2" x14ac:dyDescent="0.4">
      <c r="A17380" s="4">
        <v>501500100</v>
      </c>
      <c r="B17380">
        <v>8130001</v>
      </c>
    </row>
    <row r="17381" spans="1:2" x14ac:dyDescent="0.4">
      <c r="A17381" s="4">
        <v>501500100</v>
      </c>
      <c r="B17381">
        <v>8130002</v>
      </c>
    </row>
    <row r="17382" spans="1:2" x14ac:dyDescent="0.4">
      <c r="A17382" s="4">
        <v>501500100</v>
      </c>
      <c r="B17382">
        <v>8140000</v>
      </c>
    </row>
    <row r="17383" spans="1:2" x14ac:dyDescent="0.4">
      <c r="A17383" s="4">
        <v>501500100</v>
      </c>
      <c r="B17383">
        <v>8140001</v>
      </c>
    </row>
    <row r="17384" spans="1:2" x14ac:dyDescent="0.4">
      <c r="A17384" s="4">
        <v>501500100</v>
      </c>
      <c r="B17384">
        <v>8140002</v>
      </c>
    </row>
    <row r="17385" spans="1:2" x14ac:dyDescent="0.4">
      <c r="A17385" s="4">
        <v>501500100</v>
      </c>
      <c r="B17385">
        <v>8200100</v>
      </c>
    </row>
    <row r="17386" spans="1:2" x14ac:dyDescent="0.4">
      <c r="A17386" s="4">
        <v>501500100</v>
      </c>
      <c r="B17386">
        <v>8200101</v>
      </c>
    </row>
    <row r="17387" spans="1:2" x14ac:dyDescent="0.4">
      <c r="A17387" s="4">
        <v>501500100</v>
      </c>
      <c r="B17387">
        <v>8200102</v>
      </c>
    </row>
    <row r="17388" spans="1:2" x14ac:dyDescent="0.4">
      <c r="A17388" s="4">
        <v>501500100</v>
      </c>
      <c r="B17388">
        <v>8200200</v>
      </c>
    </row>
    <row r="17389" spans="1:2" x14ac:dyDescent="0.4">
      <c r="A17389" s="4">
        <v>501500100</v>
      </c>
      <c r="B17389">
        <v>8200201</v>
      </c>
    </row>
    <row r="17390" spans="1:2" x14ac:dyDescent="0.4">
      <c r="A17390" s="4">
        <v>501500100</v>
      </c>
      <c r="B17390">
        <v>8200202</v>
      </c>
    </row>
    <row r="17391" spans="1:2" x14ac:dyDescent="0.4">
      <c r="A17391" s="4">
        <v>501500100</v>
      </c>
      <c r="B17391">
        <v>8200300</v>
      </c>
    </row>
    <row r="17392" spans="1:2" x14ac:dyDescent="0.4">
      <c r="A17392" s="4">
        <v>501500100</v>
      </c>
      <c r="B17392">
        <v>8200301</v>
      </c>
    </row>
    <row r="17393" spans="1:2" x14ac:dyDescent="0.4">
      <c r="A17393" s="4">
        <v>501500100</v>
      </c>
      <c r="B17393">
        <v>8200302</v>
      </c>
    </row>
    <row r="17394" spans="1:2" x14ac:dyDescent="0.4">
      <c r="A17394" s="4">
        <v>501500100</v>
      </c>
      <c r="B17394">
        <v>8200400</v>
      </c>
    </row>
    <row r="17395" spans="1:2" x14ac:dyDescent="0.4">
      <c r="A17395" s="4">
        <v>501500100</v>
      </c>
      <c r="B17395">
        <v>8200401</v>
      </c>
    </row>
    <row r="17396" spans="1:2" x14ac:dyDescent="0.4">
      <c r="A17396" s="4">
        <v>501500100</v>
      </c>
      <c r="B17396">
        <v>8200402</v>
      </c>
    </row>
    <row r="17397" spans="1:2" x14ac:dyDescent="0.4">
      <c r="A17397" s="4">
        <v>501500100</v>
      </c>
      <c r="B17397">
        <v>8210000</v>
      </c>
    </row>
    <row r="17398" spans="1:2" x14ac:dyDescent="0.4">
      <c r="A17398" s="4">
        <v>501500100</v>
      </c>
      <c r="B17398">
        <v>8210001</v>
      </c>
    </row>
    <row r="17399" spans="1:2" x14ac:dyDescent="0.4">
      <c r="A17399" s="4">
        <v>501500100</v>
      </c>
      <c r="B17399">
        <v>8210002</v>
      </c>
    </row>
    <row r="17400" spans="1:2" x14ac:dyDescent="0.4">
      <c r="A17400" s="4">
        <v>501500100</v>
      </c>
      <c r="B17400">
        <v>8210100</v>
      </c>
    </row>
    <row r="17401" spans="1:2" x14ac:dyDescent="0.4">
      <c r="A17401" s="4">
        <v>501500100</v>
      </c>
      <c r="B17401">
        <v>8210101</v>
      </c>
    </row>
    <row r="17402" spans="1:2" x14ac:dyDescent="0.4">
      <c r="A17402" s="4">
        <v>501500100</v>
      </c>
      <c r="B17402">
        <v>8210102</v>
      </c>
    </row>
    <row r="17403" spans="1:2" x14ac:dyDescent="0.4">
      <c r="A17403" s="4">
        <v>501500100</v>
      </c>
      <c r="B17403">
        <v>8210200</v>
      </c>
    </row>
    <row r="17404" spans="1:2" x14ac:dyDescent="0.4">
      <c r="A17404" s="4">
        <v>501500100</v>
      </c>
      <c r="B17404">
        <v>8210201</v>
      </c>
    </row>
    <row r="17405" spans="1:2" x14ac:dyDescent="0.4">
      <c r="A17405" s="4">
        <v>501500100</v>
      </c>
      <c r="B17405">
        <v>8210202</v>
      </c>
    </row>
    <row r="17406" spans="1:2" x14ac:dyDescent="0.4">
      <c r="A17406" s="4">
        <v>501500100</v>
      </c>
      <c r="B17406">
        <v>8210300</v>
      </c>
    </row>
    <row r="17407" spans="1:2" x14ac:dyDescent="0.4">
      <c r="A17407" s="4">
        <v>501500100</v>
      </c>
      <c r="B17407">
        <v>8210301</v>
      </c>
    </row>
    <row r="17408" spans="1:2" x14ac:dyDescent="0.4">
      <c r="A17408" s="4">
        <v>501500100</v>
      </c>
      <c r="B17408">
        <v>8210302</v>
      </c>
    </row>
    <row r="17409" spans="1:2" x14ac:dyDescent="0.4">
      <c r="A17409" s="4">
        <v>501500100</v>
      </c>
      <c r="B17409">
        <v>8210400</v>
      </c>
    </row>
    <row r="17410" spans="1:2" x14ac:dyDescent="0.4">
      <c r="A17410" s="4">
        <v>501500100</v>
      </c>
      <c r="B17410">
        <v>8210401</v>
      </c>
    </row>
    <row r="17411" spans="1:2" x14ac:dyDescent="0.4">
      <c r="A17411" s="4">
        <v>501500100</v>
      </c>
      <c r="B17411">
        <v>8210402</v>
      </c>
    </row>
    <row r="17412" spans="1:2" x14ac:dyDescent="0.4">
      <c r="A17412" s="4">
        <v>501500100</v>
      </c>
      <c r="B17412">
        <v>8210500</v>
      </c>
    </row>
    <row r="17413" spans="1:2" x14ac:dyDescent="0.4">
      <c r="A17413" s="4">
        <v>501500100</v>
      </c>
      <c r="B17413">
        <v>8210501</v>
      </c>
    </row>
    <row r="17414" spans="1:2" x14ac:dyDescent="0.4">
      <c r="A17414" s="4">
        <v>501500100</v>
      </c>
      <c r="B17414">
        <v>8210502</v>
      </c>
    </row>
    <row r="17415" spans="1:2" x14ac:dyDescent="0.4">
      <c r="A17415" s="4">
        <v>501500100</v>
      </c>
      <c r="B17415">
        <v>8210600</v>
      </c>
    </row>
    <row r="17416" spans="1:2" x14ac:dyDescent="0.4">
      <c r="A17416" s="4">
        <v>501500100</v>
      </c>
      <c r="B17416">
        <v>8210601</v>
      </c>
    </row>
    <row r="17417" spans="1:2" x14ac:dyDescent="0.4">
      <c r="A17417" s="4">
        <v>501500100</v>
      </c>
      <c r="B17417">
        <v>8210602</v>
      </c>
    </row>
    <row r="17418" spans="1:2" x14ac:dyDescent="0.4">
      <c r="A17418" s="4">
        <v>501500100</v>
      </c>
      <c r="B17418">
        <v>8220000</v>
      </c>
    </row>
    <row r="17419" spans="1:2" x14ac:dyDescent="0.4">
      <c r="A17419" s="4">
        <v>501500100</v>
      </c>
      <c r="B17419">
        <v>8220001</v>
      </c>
    </row>
    <row r="17420" spans="1:2" x14ac:dyDescent="0.4">
      <c r="A17420" s="4">
        <v>501500100</v>
      </c>
      <c r="B17420">
        <v>8220002</v>
      </c>
    </row>
    <row r="17421" spans="1:2" x14ac:dyDescent="0.4">
      <c r="A17421" s="4">
        <v>501500100</v>
      </c>
      <c r="B17421">
        <v>8300000</v>
      </c>
    </row>
    <row r="17422" spans="1:2" x14ac:dyDescent="0.4">
      <c r="A17422" s="4">
        <v>501500100</v>
      </c>
      <c r="B17422">
        <v>8300001</v>
      </c>
    </row>
    <row r="17423" spans="1:2" x14ac:dyDescent="0.4">
      <c r="A17423" s="4">
        <v>501500100</v>
      </c>
      <c r="B17423">
        <v>8300002</v>
      </c>
    </row>
    <row r="17424" spans="1:2" x14ac:dyDescent="0.4">
      <c r="A17424" s="4">
        <v>501500100</v>
      </c>
      <c r="B17424">
        <v>8310000</v>
      </c>
    </row>
    <row r="17425" spans="1:2" x14ac:dyDescent="0.4">
      <c r="A17425" s="4">
        <v>501500100</v>
      </c>
      <c r="B17425">
        <v>8310001</v>
      </c>
    </row>
    <row r="17426" spans="1:2" x14ac:dyDescent="0.4">
      <c r="A17426" s="4">
        <v>501500100</v>
      </c>
      <c r="B17426">
        <v>8310002</v>
      </c>
    </row>
    <row r="17427" spans="1:2" x14ac:dyDescent="0.4">
      <c r="A17427" s="4">
        <v>501500100</v>
      </c>
      <c r="B17427">
        <v>8320000</v>
      </c>
    </row>
    <row r="17428" spans="1:2" x14ac:dyDescent="0.4">
      <c r="A17428" s="4">
        <v>501500100</v>
      </c>
      <c r="B17428">
        <v>8320001</v>
      </c>
    </row>
    <row r="17429" spans="1:2" x14ac:dyDescent="0.4">
      <c r="A17429" s="4">
        <v>501500100</v>
      </c>
      <c r="B17429">
        <v>8320002</v>
      </c>
    </row>
    <row r="17430" spans="1:2" x14ac:dyDescent="0.4">
      <c r="A17430" s="4">
        <v>501500100</v>
      </c>
      <c r="B17430">
        <v>8320100</v>
      </c>
    </row>
    <row r="17431" spans="1:2" x14ac:dyDescent="0.4">
      <c r="A17431" s="4">
        <v>501500100</v>
      </c>
      <c r="B17431">
        <v>8320101</v>
      </c>
    </row>
    <row r="17432" spans="1:2" x14ac:dyDescent="0.4">
      <c r="A17432" s="4">
        <v>501500100</v>
      </c>
      <c r="B17432">
        <v>8320102</v>
      </c>
    </row>
    <row r="17433" spans="1:2" x14ac:dyDescent="0.4">
      <c r="A17433" s="4">
        <v>501500100</v>
      </c>
      <c r="B17433">
        <v>8320300</v>
      </c>
    </row>
    <row r="17434" spans="1:2" x14ac:dyDescent="0.4">
      <c r="A17434" s="4">
        <v>501500100</v>
      </c>
      <c r="B17434">
        <v>8320301</v>
      </c>
    </row>
    <row r="17435" spans="1:2" x14ac:dyDescent="0.4">
      <c r="A17435" s="4">
        <v>501500100</v>
      </c>
      <c r="B17435">
        <v>8320302</v>
      </c>
    </row>
    <row r="17436" spans="1:2" x14ac:dyDescent="0.4">
      <c r="A17436" s="4">
        <v>501500100</v>
      </c>
      <c r="B17436">
        <v>8320400</v>
      </c>
    </row>
    <row r="17437" spans="1:2" x14ac:dyDescent="0.4">
      <c r="A17437" s="4">
        <v>501500100</v>
      </c>
      <c r="B17437">
        <v>8320410</v>
      </c>
    </row>
    <row r="17438" spans="1:2" x14ac:dyDescent="0.4">
      <c r="A17438" s="4">
        <v>501500100</v>
      </c>
      <c r="B17438">
        <v>8320420</v>
      </c>
    </row>
    <row r="17439" spans="1:2" x14ac:dyDescent="0.4">
      <c r="A17439" s="4">
        <v>501500100</v>
      </c>
      <c r="B17439">
        <v>8330000</v>
      </c>
    </row>
    <row r="17440" spans="1:2" x14ac:dyDescent="0.4">
      <c r="A17440" s="4">
        <v>501500100</v>
      </c>
      <c r="B17440">
        <v>8330001</v>
      </c>
    </row>
    <row r="17441" spans="1:2" x14ac:dyDescent="0.4">
      <c r="A17441" s="4">
        <v>501500100</v>
      </c>
      <c r="B17441">
        <v>8330002</v>
      </c>
    </row>
    <row r="17442" spans="1:2" x14ac:dyDescent="0.4">
      <c r="A17442" s="4">
        <v>501500100</v>
      </c>
      <c r="B17442">
        <v>8330100</v>
      </c>
    </row>
    <row r="17443" spans="1:2" x14ac:dyDescent="0.4">
      <c r="A17443" s="4">
        <v>501500100</v>
      </c>
      <c r="B17443">
        <v>8330101</v>
      </c>
    </row>
    <row r="17444" spans="1:2" x14ac:dyDescent="0.4">
      <c r="A17444" s="4">
        <v>501500100</v>
      </c>
      <c r="B17444">
        <v>8330102</v>
      </c>
    </row>
    <row r="17445" spans="1:2" x14ac:dyDescent="0.4">
      <c r="A17445" s="4">
        <v>501500100</v>
      </c>
      <c r="B17445">
        <v>8330200</v>
      </c>
    </row>
    <row r="17446" spans="1:2" x14ac:dyDescent="0.4">
      <c r="A17446" s="4">
        <v>501500100</v>
      </c>
      <c r="B17446">
        <v>8330201</v>
      </c>
    </row>
    <row r="17447" spans="1:2" x14ac:dyDescent="0.4">
      <c r="A17447" s="4">
        <v>501500100</v>
      </c>
      <c r="B17447">
        <v>8330202</v>
      </c>
    </row>
    <row r="17448" spans="1:2" x14ac:dyDescent="0.4">
      <c r="A17448" s="4">
        <v>501500100</v>
      </c>
      <c r="B17448">
        <v>8330300</v>
      </c>
    </row>
    <row r="17449" spans="1:2" x14ac:dyDescent="0.4">
      <c r="A17449" s="4">
        <v>501500100</v>
      </c>
      <c r="B17449">
        <v>8330301</v>
      </c>
    </row>
    <row r="17450" spans="1:2" x14ac:dyDescent="0.4">
      <c r="A17450" s="4">
        <v>501500100</v>
      </c>
      <c r="B17450">
        <v>8330302</v>
      </c>
    </row>
    <row r="17451" spans="1:2" x14ac:dyDescent="0.4">
      <c r="A17451" s="4">
        <v>501500100</v>
      </c>
      <c r="B17451">
        <v>8330400</v>
      </c>
    </row>
    <row r="17452" spans="1:2" x14ac:dyDescent="0.4">
      <c r="A17452" s="4">
        <v>501500100</v>
      </c>
      <c r="B17452">
        <v>8330401</v>
      </c>
    </row>
    <row r="17453" spans="1:2" x14ac:dyDescent="0.4">
      <c r="A17453" s="4">
        <v>501500100</v>
      </c>
      <c r="B17453">
        <v>8330600</v>
      </c>
    </row>
    <row r="17454" spans="1:2" x14ac:dyDescent="0.4">
      <c r="A17454" s="4">
        <v>501500100</v>
      </c>
      <c r="B17454">
        <v>8330601</v>
      </c>
    </row>
    <row r="17455" spans="1:2" x14ac:dyDescent="0.4">
      <c r="A17455" s="4">
        <v>501500100</v>
      </c>
      <c r="B17455">
        <v>8330602</v>
      </c>
    </row>
    <row r="17456" spans="1:2" x14ac:dyDescent="0.4">
      <c r="A17456" s="4">
        <v>501500100</v>
      </c>
      <c r="B17456">
        <v>8330900</v>
      </c>
    </row>
    <row r="17457" spans="1:2" x14ac:dyDescent="0.4">
      <c r="A17457" s="4">
        <v>501500100</v>
      </c>
      <c r="B17457">
        <v>8330910</v>
      </c>
    </row>
    <row r="17458" spans="1:2" x14ac:dyDescent="0.4">
      <c r="A17458" s="4">
        <v>501500100</v>
      </c>
      <c r="B17458">
        <v>8330920</v>
      </c>
    </row>
    <row r="17459" spans="1:2" x14ac:dyDescent="0.4">
      <c r="A17459" s="4">
        <v>501500100</v>
      </c>
      <c r="B17459">
        <v>8340000</v>
      </c>
    </row>
    <row r="17460" spans="1:2" x14ac:dyDescent="0.4">
      <c r="A17460" s="4">
        <v>501500100</v>
      </c>
      <c r="B17460">
        <v>8340001</v>
      </c>
    </row>
    <row r="17461" spans="1:2" x14ac:dyDescent="0.4">
      <c r="A17461" s="4">
        <v>501500100</v>
      </c>
      <c r="B17461">
        <v>8340002</v>
      </c>
    </row>
    <row r="17462" spans="1:2" x14ac:dyDescent="0.4">
      <c r="A17462" s="4">
        <v>501500100</v>
      </c>
      <c r="B17462">
        <v>8340100</v>
      </c>
    </row>
    <row r="17463" spans="1:2" x14ac:dyDescent="0.4">
      <c r="A17463" s="4">
        <v>501500100</v>
      </c>
      <c r="B17463">
        <v>8340101</v>
      </c>
    </row>
    <row r="17464" spans="1:2" x14ac:dyDescent="0.4">
      <c r="A17464" s="4">
        <v>501500100</v>
      </c>
      <c r="B17464">
        <v>8340102</v>
      </c>
    </row>
    <row r="17465" spans="1:2" x14ac:dyDescent="0.4">
      <c r="A17465" s="4">
        <v>501500100</v>
      </c>
      <c r="B17465">
        <v>8350000</v>
      </c>
    </row>
    <row r="17466" spans="1:2" x14ac:dyDescent="0.4">
      <c r="A17466" s="4">
        <v>501500100</v>
      </c>
      <c r="B17466">
        <v>8350001</v>
      </c>
    </row>
    <row r="17467" spans="1:2" x14ac:dyDescent="0.4">
      <c r="A17467" s="4">
        <v>501500100</v>
      </c>
      <c r="B17467">
        <v>8350002</v>
      </c>
    </row>
    <row r="17468" spans="1:2" x14ac:dyDescent="0.4">
      <c r="A17468" s="4">
        <v>501500100</v>
      </c>
      <c r="B17468">
        <v>8350200</v>
      </c>
    </row>
    <row r="17469" spans="1:2" x14ac:dyDescent="0.4">
      <c r="A17469" s="4">
        <v>501500100</v>
      </c>
      <c r="B17469">
        <v>8350201</v>
      </c>
    </row>
    <row r="17470" spans="1:2" x14ac:dyDescent="0.4">
      <c r="A17470" s="4">
        <v>501500100</v>
      </c>
      <c r="B17470">
        <v>8350202</v>
      </c>
    </row>
    <row r="17471" spans="1:2" x14ac:dyDescent="0.4">
      <c r="A17471" s="4">
        <v>501500100</v>
      </c>
      <c r="B17471">
        <v>8420000</v>
      </c>
    </row>
    <row r="17472" spans="1:2" x14ac:dyDescent="0.4">
      <c r="A17472" s="4">
        <v>501500100</v>
      </c>
      <c r="B17472">
        <v>8420001</v>
      </c>
    </row>
    <row r="17473" spans="1:2" x14ac:dyDescent="0.4">
      <c r="A17473" s="4">
        <v>501500100</v>
      </c>
      <c r="B17473">
        <v>8420002</v>
      </c>
    </row>
    <row r="17474" spans="1:2" x14ac:dyDescent="0.4">
      <c r="A17474" s="4">
        <v>501500100</v>
      </c>
      <c r="B17474">
        <v>8450000</v>
      </c>
    </row>
    <row r="17475" spans="1:2" x14ac:dyDescent="0.4">
      <c r="A17475" s="4">
        <v>501500100</v>
      </c>
      <c r="B17475">
        <v>8460100</v>
      </c>
    </row>
    <row r="17476" spans="1:2" x14ac:dyDescent="0.4">
      <c r="A17476" s="4">
        <v>501500100</v>
      </c>
      <c r="B17476">
        <v>8460300</v>
      </c>
    </row>
    <row r="17477" spans="1:2" x14ac:dyDescent="0.4">
      <c r="A17477" s="4">
        <v>501500100</v>
      </c>
      <c r="B17477">
        <v>8460500</v>
      </c>
    </row>
    <row r="17478" spans="1:2" x14ac:dyDescent="0.4">
      <c r="A17478" s="4">
        <v>501500100</v>
      </c>
      <c r="B17478">
        <v>8510000</v>
      </c>
    </row>
    <row r="17479" spans="1:2" x14ac:dyDescent="0.4">
      <c r="A17479" s="4">
        <v>501500100</v>
      </c>
      <c r="B17479">
        <v>8510001</v>
      </c>
    </row>
    <row r="17480" spans="1:2" x14ac:dyDescent="0.4">
      <c r="A17480" s="4">
        <v>501500100</v>
      </c>
      <c r="B17480">
        <v>8510002</v>
      </c>
    </row>
    <row r="17481" spans="1:2" x14ac:dyDescent="0.4">
      <c r="A17481" s="4">
        <v>501500100</v>
      </c>
      <c r="B17481">
        <v>8520000</v>
      </c>
    </row>
    <row r="17482" spans="1:2" x14ac:dyDescent="0.4">
      <c r="A17482" s="4">
        <v>501500100</v>
      </c>
      <c r="B17482">
        <v>8520001</v>
      </c>
    </row>
    <row r="17483" spans="1:2" x14ac:dyDescent="0.4">
      <c r="A17483" s="4">
        <v>501500100</v>
      </c>
      <c r="B17483">
        <v>8520002</v>
      </c>
    </row>
    <row r="17484" spans="1:2" x14ac:dyDescent="0.4">
      <c r="A17484" s="4">
        <v>501500100</v>
      </c>
      <c r="B17484">
        <v>8530000</v>
      </c>
    </row>
    <row r="17485" spans="1:2" x14ac:dyDescent="0.4">
      <c r="A17485" s="4">
        <v>501500100</v>
      </c>
      <c r="B17485">
        <v>8530100</v>
      </c>
    </row>
    <row r="17486" spans="1:2" x14ac:dyDescent="0.4">
      <c r="A17486" s="4">
        <v>501500100</v>
      </c>
      <c r="B17486">
        <v>8540000</v>
      </c>
    </row>
    <row r="17487" spans="1:2" x14ac:dyDescent="0.4">
      <c r="A17487" s="4">
        <v>501500100</v>
      </c>
      <c r="B17487">
        <v>8600100</v>
      </c>
    </row>
    <row r="17488" spans="1:2" x14ac:dyDescent="0.4">
      <c r="A17488" s="4">
        <v>501500100</v>
      </c>
      <c r="B17488">
        <v>8600101</v>
      </c>
    </row>
    <row r="17489" spans="1:2" x14ac:dyDescent="0.4">
      <c r="A17489" s="4">
        <v>501500100</v>
      </c>
      <c r="B17489">
        <v>8600102</v>
      </c>
    </row>
    <row r="17490" spans="1:2" x14ac:dyDescent="0.4">
      <c r="A17490" s="4">
        <v>501500100</v>
      </c>
      <c r="B17490">
        <v>8600200</v>
      </c>
    </row>
    <row r="17491" spans="1:2" x14ac:dyDescent="0.4">
      <c r="A17491" s="4">
        <v>501500100</v>
      </c>
      <c r="B17491">
        <v>8600201</v>
      </c>
    </row>
    <row r="17492" spans="1:2" x14ac:dyDescent="0.4">
      <c r="A17492" s="4">
        <v>501500100</v>
      </c>
      <c r="B17492">
        <v>8600202</v>
      </c>
    </row>
    <row r="17493" spans="1:2" x14ac:dyDescent="0.4">
      <c r="A17493" s="4">
        <v>501500100</v>
      </c>
      <c r="B17493">
        <v>8610700</v>
      </c>
    </row>
    <row r="17494" spans="1:2" x14ac:dyDescent="0.4">
      <c r="A17494" s="4">
        <v>501500100</v>
      </c>
      <c r="B17494">
        <v>8610710</v>
      </c>
    </row>
    <row r="17495" spans="1:2" x14ac:dyDescent="0.4">
      <c r="A17495" s="4">
        <v>501500100</v>
      </c>
      <c r="B17495">
        <v>8610720</v>
      </c>
    </row>
    <row r="17496" spans="1:2" x14ac:dyDescent="0.4">
      <c r="A17496" s="4">
        <v>501500100</v>
      </c>
      <c r="B17496">
        <v>8620000</v>
      </c>
    </row>
    <row r="17497" spans="1:2" x14ac:dyDescent="0.4">
      <c r="A17497" s="4">
        <v>501500100</v>
      </c>
      <c r="B17497">
        <v>8620010</v>
      </c>
    </row>
    <row r="17498" spans="1:2" x14ac:dyDescent="0.4">
      <c r="A17498" s="4">
        <v>501500100</v>
      </c>
      <c r="B17498">
        <v>8620020</v>
      </c>
    </row>
    <row r="17499" spans="1:2" x14ac:dyDescent="0.4">
      <c r="A17499" s="4">
        <v>501500100</v>
      </c>
      <c r="B17499">
        <v>8620100</v>
      </c>
    </row>
    <row r="17500" spans="1:2" x14ac:dyDescent="0.4">
      <c r="A17500" s="4">
        <v>501500100</v>
      </c>
      <c r="B17500">
        <v>8620110</v>
      </c>
    </row>
    <row r="17501" spans="1:2" x14ac:dyDescent="0.4">
      <c r="A17501" s="4">
        <v>501500100</v>
      </c>
      <c r="B17501">
        <v>8620120</v>
      </c>
    </row>
    <row r="17502" spans="1:2" x14ac:dyDescent="0.4">
      <c r="A17502" s="4">
        <v>501500100</v>
      </c>
      <c r="B17502">
        <v>8630000</v>
      </c>
    </row>
    <row r="17503" spans="1:2" x14ac:dyDescent="0.4">
      <c r="A17503" s="4">
        <v>501500100</v>
      </c>
      <c r="B17503">
        <v>8630000</v>
      </c>
    </row>
    <row r="17504" spans="1:2" x14ac:dyDescent="0.4">
      <c r="A17504" s="4">
        <v>501500100</v>
      </c>
      <c r="B17504">
        <v>8630000</v>
      </c>
    </row>
    <row r="17505" spans="1:2" x14ac:dyDescent="0.4">
      <c r="A17505" s="4">
        <v>501500100</v>
      </c>
      <c r="B17505">
        <v>8630100</v>
      </c>
    </row>
    <row r="17506" spans="1:2" x14ac:dyDescent="0.4">
      <c r="A17506" s="4">
        <v>501500100</v>
      </c>
      <c r="B17506">
        <v>8630100</v>
      </c>
    </row>
    <row r="17507" spans="1:2" x14ac:dyDescent="0.4">
      <c r="A17507" s="4">
        <v>501500100</v>
      </c>
      <c r="B17507">
        <v>8630100</v>
      </c>
    </row>
    <row r="17508" spans="1:2" x14ac:dyDescent="0.4">
      <c r="A17508" s="4">
        <v>501500100</v>
      </c>
      <c r="B17508">
        <v>8652000</v>
      </c>
    </row>
    <row r="17509" spans="1:2" x14ac:dyDescent="0.4">
      <c r="A17509" s="4">
        <v>501500100</v>
      </c>
      <c r="B17509">
        <v>8652010</v>
      </c>
    </row>
    <row r="17510" spans="1:2" x14ac:dyDescent="0.4">
      <c r="A17510" s="4">
        <v>501500100</v>
      </c>
      <c r="B17510">
        <v>8652020</v>
      </c>
    </row>
    <row r="17511" spans="1:2" x14ac:dyDescent="0.4">
      <c r="A17511" s="4">
        <v>501500100</v>
      </c>
      <c r="B17511">
        <v>8652100</v>
      </c>
    </row>
    <row r="17512" spans="1:2" x14ac:dyDescent="0.4">
      <c r="A17512" s="4">
        <v>501500100</v>
      </c>
      <c r="B17512">
        <v>8652110</v>
      </c>
    </row>
    <row r="17513" spans="1:2" x14ac:dyDescent="0.4">
      <c r="A17513" s="4">
        <v>501500100</v>
      </c>
      <c r="B17513">
        <v>8652120</v>
      </c>
    </row>
    <row r="17514" spans="1:2" x14ac:dyDescent="0.4">
      <c r="A17514" s="4">
        <v>501500100</v>
      </c>
      <c r="B17514">
        <v>8660000</v>
      </c>
    </row>
    <row r="17515" spans="1:2" x14ac:dyDescent="0.4">
      <c r="A17515" s="4">
        <v>501500100</v>
      </c>
      <c r="B17515">
        <v>8660001</v>
      </c>
    </row>
    <row r="17516" spans="1:2" x14ac:dyDescent="0.4">
      <c r="A17516" s="4">
        <v>501500100</v>
      </c>
      <c r="B17516">
        <v>8660002</v>
      </c>
    </row>
    <row r="17517" spans="1:2" x14ac:dyDescent="0.4">
      <c r="A17517" s="4">
        <v>501500100</v>
      </c>
      <c r="B17517">
        <v>8660100</v>
      </c>
    </row>
    <row r="17518" spans="1:2" x14ac:dyDescent="0.4">
      <c r="A17518" s="4">
        <v>501500100</v>
      </c>
      <c r="B17518">
        <v>8660101</v>
      </c>
    </row>
    <row r="17519" spans="1:2" x14ac:dyDescent="0.4">
      <c r="A17519" s="4">
        <v>501500100</v>
      </c>
      <c r="B17519">
        <v>8660102</v>
      </c>
    </row>
    <row r="17520" spans="1:2" x14ac:dyDescent="0.4">
      <c r="A17520" s="4">
        <v>501500100</v>
      </c>
      <c r="B17520">
        <v>8670000</v>
      </c>
    </row>
    <row r="17521" spans="1:2" x14ac:dyDescent="0.4">
      <c r="A17521" s="4">
        <v>501500100</v>
      </c>
      <c r="B17521">
        <v>8670001</v>
      </c>
    </row>
    <row r="17522" spans="1:2" x14ac:dyDescent="0.4">
      <c r="A17522" s="4">
        <v>501500100</v>
      </c>
      <c r="B17522">
        <v>8670002</v>
      </c>
    </row>
    <row r="17523" spans="1:2" x14ac:dyDescent="0.4">
      <c r="A17523" s="4">
        <v>501500100</v>
      </c>
      <c r="B17523">
        <v>8670100</v>
      </c>
    </row>
    <row r="17524" spans="1:2" x14ac:dyDescent="0.4">
      <c r="A17524" s="4">
        <v>501500100</v>
      </c>
      <c r="B17524">
        <v>8670101</v>
      </c>
    </row>
    <row r="17525" spans="1:2" x14ac:dyDescent="0.4">
      <c r="A17525" s="4">
        <v>501500100</v>
      </c>
      <c r="B17525">
        <v>8670102</v>
      </c>
    </row>
    <row r="17526" spans="1:2" x14ac:dyDescent="0.4">
      <c r="A17526" s="4">
        <v>501500100</v>
      </c>
      <c r="B17526">
        <v>8690000</v>
      </c>
    </row>
    <row r="17527" spans="1:2" x14ac:dyDescent="0.4">
      <c r="A17527" s="4">
        <v>501500100</v>
      </c>
      <c r="B17527">
        <v>8690100</v>
      </c>
    </row>
    <row r="17528" spans="1:2" x14ac:dyDescent="0.4">
      <c r="A17528" s="4">
        <v>501500100</v>
      </c>
      <c r="B17528">
        <v>8690200</v>
      </c>
    </row>
    <row r="17529" spans="1:2" x14ac:dyDescent="0.4">
      <c r="A17529" s="4">
        <v>501500100</v>
      </c>
      <c r="B17529">
        <v>8690300</v>
      </c>
    </row>
    <row r="17530" spans="1:2" x14ac:dyDescent="0.4">
      <c r="A17530" s="4">
        <v>501500100</v>
      </c>
      <c r="B17530">
        <v>8690400</v>
      </c>
    </row>
    <row r="17531" spans="1:2" x14ac:dyDescent="0.4">
      <c r="A17531" s="4">
        <v>501500100</v>
      </c>
      <c r="B17531">
        <v>8320500</v>
      </c>
    </row>
    <row r="17532" spans="1:2" x14ac:dyDescent="0.4">
      <c r="A17532" s="4">
        <v>501500100</v>
      </c>
      <c r="B17532">
        <v>8320510</v>
      </c>
    </row>
    <row r="17533" spans="1:2" x14ac:dyDescent="0.4">
      <c r="A17533" s="4">
        <v>501500100</v>
      </c>
      <c r="B17533">
        <v>8320520</v>
      </c>
    </row>
    <row r="17534" spans="1:2" x14ac:dyDescent="0.4">
      <c r="A17534" s="4">
        <v>501500100</v>
      </c>
      <c r="B17534">
        <v>8320600</v>
      </c>
    </row>
    <row r="17535" spans="1:2" x14ac:dyDescent="0.4">
      <c r="A17535" s="4">
        <v>501500100</v>
      </c>
      <c r="B17535">
        <v>8320610</v>
      </c>
    </row>
    <row r="17536" spans="1:2" x14ac:dyDescent="0.4">
      <c r="A17536" s="4">
        <v>501500100</v>
      </c>
      <c r="B17536">
        <v>8320620</v>
      </c>
    </row>
    <row r="17537" spans="1:2" x14ac:dyDescent="0.4">
      <c r="A17537" s="4">
        <v>501500100</v>
      </c>
      <c r="B17537">
        <v>8320700</v>
      </c>
    </row>
    <row r="17538" spans="1:2" x14ac:dyDescent="0.4">
      <c r="A17538" s="4">
        <v>501500100</v>
      </c>
      <c r="B17538">
        <v>8320710</v>
      </c>
    </row>
    <row r="17539" spans="1:2" x14ac:dyDescent="0.4">
      <c r="A17539" s="4">
        <v>501500100</v>
      </c>
      <c r="B17539">
        <v>8320720</v>
      </c>
    </row>
    <row r="17540" spans="1:2" x14ac:dyDescent="0.4">
      <c r="A17540" s="4">
        <v>501500200</v>
      </c>
      <c r="B17540">
        <v>0</v>
      </c>
    </row>
    <row r="17541" spans="1:2" x14ac:dyDescent="0.4">
      <c r="A17541" s="4">
        <v>501500200</v>
      </c>
      <c r="B17541">
        <v>8100100</v>
      </c>
    </row>
    <row r="17542" spans="1:2" x14ac:dyDescent="0.4">
      <c r="A17542" s="4">
        <v>501500200</v>
      </c>
      <c r="B17542">
        <v>8100101</v>
      </c>
    </row>
    <row r="17543" spans="1:2" x14ac:dyDescent="0.4">
      <c r="A17543" s="4">
        <v>501500200</v>
      </c>
      <c r="B17543">
        <v>8100102</v>
      </c>
    </row>
    <row r="17544" spans="1:2" x14ac:dyDescent="0.4">
      <c r="A17544" s="4">
        <v>501500200</v>
      </c>
      <c r="B17544">
        <v>8100200</v>
      </c>
    </row>
    <row r="17545" spans="1:2" x14ac:dyDescent="0.4">
      <c r="A17545" s="4">
        <v>501500200</v>
      </c>
      <c r="B17545">
        <v>8100201</v>
      </c>
    </row>
    <row r="17546" spans="1:2" x14ac:dyDescent="0.4">
      <c r="A17546" s="4">
        <v>501500200</v>
      </c>
      <c r="B17546">
        <v>8100202</v>
      </c>
    </row>
    <row r="17547" spans="1:2" x14ac:dyDescent="0.4">
      <c r="A17547" s="4">
        <v>501500200</v>
      </c>
      <c r="B17547">
        <v>8100300</v>
      </c>
    </row>
    <row r="17548" spans="1:2" x14ac:dyDescent="0.4">
      <c r="A17548" s="4">
        <v>501500200</v>
      </c>
      <c r="B17548">
        <v>8100301</v>
      </c>
    </row>
    <row r="17549" spans="1:2" x14ac:dyDescent="0.4">
      <c r="A17549" s="4">
        <v>501500200</v>
      </c>
      <c r="B17549">
        <v>8100302</v>
      </c>
    </row>
    <row r="17550" spans="1:2" x14ac:dyDescent="0.4">
      <c r="A17550" s="4">
        <v>501500200</v>
      </c>
      <c r="B17550">
        <v>8100400</v>
      </c>
    </row>
    <row r="17551" spans="1:2" x14ac:dyDescent="0.4">
      <c r="A17551" s="4">
        <v>501500200</v>
      </c>
      <c r="B17551">
        <v>8100401</v>
      </c>
    </row>
    <row r="17552" spans="1:2" x14ac:dyDescent="0.4">
      <c r="A17552" s="4">
        <v>501500200</v>
      </c>
      <c r="B17552">
        <v>8100402</v>
      </c>
    </row>
    <row r="17553" spans="1:2" x14ac:dyDescent="0.4">
      <c r="A17553" s="4">
        <v>501500200</v>
      </c>
      <c r="B17553">
        <v>8130000</v>
      </c>
    </row>
    <row r="17554" spans="1:2" x14ac:dyDescent="0.4">
      <c r="A17554" s="4">
        <v>501500200</v>
      </c>
      <c r="B17554">
        <v>8130001</v>
      </c>
    </row>
    <row r="17555" spans="1:2" x14ac:dyDescent="0.4">
      <c r="A17555" s="4">
        <v>501500200</v>
      </c>
      <c r="B17555">
        <v>8130002</v>
      </c>
    </row>
    <row r="17556" spans="1:2" x14ac:dyDescent="0.4">
      <c r="A17556" s="4">
        <v>501500200</v>
      </c>
      <c r="B17556">
        <v>8140000</v>
      </c>
    </row>
    <row r="17557" spans="1:2" x14ac:dyDescent="0.4">
      <c r="A17557" s="4">
        <v>501500200</v>
      </c>
      <c r="B17557">
        <v>8140001</v>
      </c>
    </row>
    <row r="17558" spans="1:2" x14ac:dyDescent="0.4">
      <c r="A17558" s="4">
        <v>501500200</v>
      </c>
      <c r="B17558">
        <v>8140002</v>
      </c>
    </row>
    <row r="17559" spans="1:2" x14ac:dyDescent="0.4">
      <c r="A17559" s="4">
        <v>501500200</v>
      </c>
      <c r="B17559">
        <v>8200100</v>
      </c>
    </row>
    <row r="17560" spans="1:2" x14ac:dyDescent="0.4">
      <c r="A17560" s="4">
        <v>501500200</v>
      </c>
      <c r="B17560">
        <v>8200101</v>
      </c>
    </row>
    <row r="17561" spans="1:2" x14ac:dyDescent="0.4">
      <c r="A17561" s="4">
        <v>501500200</v>
      </c>
      <c r="B17561">
        <v>8200102</v>
      </c>
    </row>
    <row r="17562" spans="1:2" x14ac:dyDescent="0.4">
      <c r="A17562" s="4">
        <v>501500200</v>
      </c>
      <c r="B17562">
        <v>8200200</v>
      </c>
    </row>
    <row r="17563" spans="1:2" x14ac:dyDescent="0.4">
      <c r="A17563" s="4">
        <v>501500200</v>
      </c>
      <c r="B17563">
        <v>8200201</v>
      </c>
    </row>
    <row r="17564" spans="1:2" x14ac:dyDescent="0.4">
      <c r="A17564" s="4">
        <v>501500200</v>
      </c>
      <c r="B17564">
        <v>8200202</v>
      </c>
    </row>
    <row r="17565" spans="1:2" x14ac:dyDescent="0.4">
      <c r="A17565" s="4">
        <v>501500200</v>
      </c>
      <c r="B17565">
        <v>8200300</v>
      </c>
    </row>
    <row r="17566" spans="1:2" x14ac:dyDescent="0.4">
      <c r="A17566" s="4">
        <v>501500200</v>
      </c>
      <c r="B17566">
        <v>8200301</v>
      </c>
    </row>
    <row r="17567" spans="1:2" x14ac:dyDescent="0.4">
      <c r="A17567" s="4">
        <v>501500200</v>
      </c>
      <c r="B17567">
        <v>8200302</v>
      </c>
    </row>
    <row r="17568" spans="1:2" x14ac:dyDescent="0.4">
      <c r="A17568" s="4">
        <v>501500200</v>
      </c>
      <c r="B17568">
        <v>8200400</v>
      </c>
    </row>
    <row r="17569" spans="1:2" x14ac:dyDescent="0.4">
      <c r="A17569" s="4">
        <v>501500200</v>
      </c>
      <c r="B17569">
        <v>8200401</v>
      </c>
    </row>
    <row r="17570" spans="1:2" x14ac:dyDescent="0.4">
      <c r="A17570" s="4">
        <v>501500200</v>
      </c>
      <c r="B17570">
        <v>8200402</v>
      </c>
    </row>
    <row r="17571" spans="1:2" x14ac:dyDescent="0.4">
      <c r="A17571" s="4">
        <v>501500200</v>
      </c>
      <c r="B17571">
        <v>8210000</v>
      </c>
    </row>
    <row r="17572" spans="1:2" x14ac:dyDescent="0.4">
      <c r="A17572" s="4">
        <v>501500200</v>
      </c>
      <c r="B17572">
        <v>8210001</v>
      </c>
    </row>
    <row r="17573" spans="1:2" x14ac:dyDescent="0.4">
      <c r="A17573" s="4">
        <v>501500200</v>
      </c>
      <c r="B17573">
        <v>8210002</v>
      </c>
    </row>
    <row r="17574" spans="1:2" x14ac:dyDescent="0.4">
      <c r="A17574" s="4">
        <v>501500200</v>
      </c>
      <c r="B17574">
        <v>8210100</v>
      </c>
    </row>
    <row r="17575" spans="1:2" x14ac:dyDescent="0.4">
      <c r="A17575" s="4">
        <v>501500200</v>
      </c>
      <c r="B17575">
        <v>8210101</v>
      </c>
    </row>
    <row r="17576" spans="1:2" x14ac:dyDescent="0.4">
      <c r="A17576" s="4">
        <v>501500200</v>
      </c>
      <c r="B17576">
        <v>8210102</v>
      </c>
    </row>
    <row r="17577" spans="1:2" x14ac:dyDescent="0.4">
      <c r="A17577" s="4">
        <v>501500200</v>
      </c>
      <c r="B17577">
        <v>8210200</v>
      </c>
    </row>
    <row r="17578" spans="1:2" x14ac:dyDescent="0.4">
      <c r="A17578" s="4">
        <v>501500200</v>
      </c>
      <c r="B17578">
        <v>8210201</v>
      </c>
    </row>
    <row r="17579" spans="1:2" x14ac:dyDescent="0.4">
      <c r="A17579" s="4">
        <v>501500200</v>
      </c>
      <c r="B17579">
        <v>8210202</v>
      </c>
    </row>
    <row r="17580" spans="1:2" x14ac:dyDescent="0.4">
      <c r="A17580" s="4">
        <v>501500200</v>
      </c>
      <c r="B17580">
        <v>8210300</v>
      </c>
    </row>
    <row r="17581" spans="1:2" x14ac:dyDescent="0.4">
      <c r="A17581" s="4">
        <v>501500200</v>
      </c>
      <c r="B17581">
        <v>8210301</v>
      </c>
    </row>
    <row r="17582" spans="1:2" x14ac:dyDescent="0.4">
      <c r="A17582" s="4">
        <v>501500200</v>
      </c>
      <c r="B17582">
        <v>8210302</v>
      </c>
    </row>
    <row r="17583" spans="1:2" x14ac:dyDescent="0.4">
      <c r="A17583" s="4">
        <v>501500200</v>
      </c>
      <c r="B17583">
        <v>8210400</v>
      </c>
    </row>
    <row r="17584" spans="1:2" x14ac:dyDescent="0.4">
      <c r="A17584" s="4">
        <v>501500200</v>
      </c>
      <c r="B17584">
        <v>8210401</v>
      </c>
    </row>
    <row r="17585" spans="1:2" x14ac:dyDescent="0.4">
      <c r="A17585" s="4">
        <v>501500200</v>
      </c>
      <c r="B17585">
        <v>8210402</v>
      </c>
    </row>
    <row r="17586" spans="1:2" x14ac:dyDescent="0.4">
      <c r="A17586" s="4">
        <v>501500200</v>
      </c>
      <c r="B17586">
        <v>8210500</v>
      </c>
    </row>
    <row r="17587" spans="1:2" x14ac:dyDescent="0.4">
      <c r="A17587" s="4">
        <v>501500200</v>
      </c>
      <c r="B17587">
        <v>8210501</v>
      </c>
    </row>
    <row r="17588" spans="1:2" x14ac:dyDescent="0.4">
      <c r="A17588" s="4">
        <v>501500200</v>
      </c>
      <c r="B17588">
        <v>8210502</v>
      </c>
    </row>
    <row r="17589" spans="1:2" x14ac:dyDescent="0.4">
      <c r="A17589" s="4">
        <v>501500200</v>
      </c>
      <c r="B17589">
        <v>8210600</v>
      </c>
    </row>
    <row r="17590" spans="1:2" x14ac:dyDescent="0.4">
      <c r="A17590" s="4">
        <v>501500200</v>
      </c>
      <c r="B17590">
        <v>8210601</v>
      </c>
    </row>
    <row r="17591" spans="1:2" x14ac:dyDescent="0.4">
      <c r="A17591" s="4">
        <v>501500200</v>
      </c>
      <c r="B17591">
        <v>8210602</v>
      </c>
    </row>
    <row r="17592" spans="1:2" x14ac:dyDescent="0.4">
      <c r="A17592" s="4">
        <v>501500200</v>
      </c>
      <c r="B17592">
        <v>8220000</v>
      </c>
    </row>
    <row r="17593" spans="1:2" x14ac:dyDescent="0.4">
      <c r="A17593" s="4">
        <v>501500200</v>
      </c>
      <c r="B17593">
        <v>8220001</v>
      </c>
    </row>
    <row r="17594" spans="1:2" x14ac:dyDescent="0.4">
      <c r="A17594" s="4">
        <v>501500200</v>
      </c>
      <c r="B17594">
        <v>8220002</v>
      </c>
    </row>
    <row r="17595" spans="1:2" x14ac:dyDescent="0.4">
      <c r="A17595" s="4">
        <v>501500200</v>
      </c>
      <c r="B17595">
        <v>8300000</v>
      </c>
    </row>
    <row r="17596" spans="1:2" x14ac:dyDescent="0.4">
      <c r="A17596" s="4">
        <v>501500200</v>
      </c>
      <c r="B17596">
        <v>8300001</v>
      </c>
    </row>
    <row r="17597" spans="1:2" x14ac:dyDescent="0.4">
      <c r="A17597" s="4">
        <v>501500200</v>
      </c>
      <c r="B17597">
        <v>8300002</v>
      </c>
    </row>
    <row r="17598" spans="1:2" x14ac:dyDescent="0.4">
      <c r="A17598" s="4">
        <v>501500200</v>
      </c>
      <c r="B17598">
        <v>8310000</v>
      </c>
    </row>
    <row r="17599" spans="1:2" x14ac:dyDescent="0.4">
      <c r="A17599" s="4">
        <v>501500200</v>
      </c>
      <c r="B17599">
        <v>8310001</v>
      </c>
    </row>
    <row r="17600" spans="1:2" x14ac:dyDescent="0.4">
      <c r="A17600" s="4">
        <v>501500200</v>
      </c>
      <c r="B17600">
        <v>8310002</v>
      </c>
    </row>
    <row r="17601" spans="1:2" x14ac:dyDescent="0.4">
      <c r="A17601" s="4">
        <v>501500200</v>
      </c>
      <c r="B17601">
        <v>8320000</v>
      </c>
    </row>
    <row r="17602" spans="1:2" x14ac:dyDescent="0.4">
      <c r="A17602" s="4">
        <v>501500200</v>
      </c>
      <c r="B17602">
        <v>8320001</v>
      </c>
    </row>
    <row r="17603" spans="1:2" x14ac:dyDescent="0.4">
      <c r="A17603" s="4">
        <v>501500200</v>
      </c>
      <c r="B17603">
        <v>8320002</v>
      </c>
    </row>
    <row r="17604" spans="1:2" x14ac:dyDescent="0.4">
      <c r="A17604" s="4">
        <v>501500200</v>
      </c>
      <c r="B17604">
        <v>8320100</v>
      </c>
    </row>
    <row r="17605" spans="1:2" x14ac:dyDescent="0.4">
      <c r="A17605" s="4">
        <v>501500200</v>
      </c>
      <c r="B17605">
        <v>8320101</v>
      </c>
    </row>
    <row r="17606" spans="1:2" x14ac:dyDescent="0.4">
      <c r="A17606" s="4">
        <v>501500200</v>
      </c>
      <c r="B17606">
        <v>8320102</v>
      </c>
    </row>
    <row r="17607" spans="1:2" x14ac:dyDescent="0.4">
      <c r="A17607" s="4">
        <v>501500200</v>
      </c>
      <c r="B17607">
        <v>8320300</v>
      </c>
    </row>
    <row r="17608" spans="1:2" x14ac:dyDescent="0.4">
      <c r="A17608" s="4">
        <v>501500200</v>
      </c>
      <c r="B17608">
        <v>8320301</v>
      </c>
    </row>
    <row r="17609" spans="1:2" x14ac:dyDescent="0.4">
      <c r="A17609" s="4">
        <v>501500200</v>
      </c>
      <c r="B17609">
        <v>8320302</v>
      </c>
    </row>
    <row r="17610" spans="1:2" x14ac:dyDescent="0.4">
      <c r="A17610" s="4">
        <v>501500200</v>
      </c>
      <c r="B17610">
        <v>8320400</v>
      </c>
    </row>
    <row r="17611" spans="1:2" x14ac:dyDescent="0.4">
      <c r="A17611" s="4">
        <v>501500200</v>
      </c>
      <c r="B17611">
        <v>8320410</v>
      </c>
    </row>
    <row r="17612" spans="1:2" x14ac:dyDescent="0.4">
      <c r="A17612" s="4">
        <v>501500200</v>
      </c>
      <c r="B17612">
        <v>8320420</v>
      </c>
    </row>
    <row r="17613" spans="1:2" x14ac:dyDescent="0.4">
      <c r="A17613" s="4">
        <v>501500200</v>
      </c>
      <c r="B17613">
        <v>8330000</v>
      </c>
    </row>
    <row r="17614" spans="1:2" x14ac:dyDescent="0.4">
      <c r="A17614" s="4">
        <v>501500200</v>
      </c>
      <c r="B17614">
        <v>8330001</v>
      </c>
    </row>
    <row r="17615" spans="1:2" x14ac:dyDescent="0.4">
      <c r="A17615" s="4">
        <v>501500200</v>
      </c>
      <c r="B17615">
        <v>8330002</v>
      </c>
    </row>
    <row r="17616" spans="1:2" x14ac:dyDescent="0.4">
      <c r="A17616" s="4">
        <v>501500200</v>
      </c>
      <c r="B17616">
        <v>8330100</v>
      </c>
    </row>
    <row r="17617" spans="1:2" x14ac:dyDescent="0.4">
      <c r="A17617" s="4">
        <v>501500200</v>
      </c>
      <c r="B17617">
        <v>8330101</v>
      </c>
    </row>
    <row r="17618" spans="1:2" x14ac:dyDescent="0.4">
      <c r="A17618" s="4">
        <v>501500200</v>
      </c>
      <c r="B17618">
        <v>8330102</v>
      </c>
    </row>
    <row r="17619" spans="1:2" x14ac:dyDescent="0.4">
      <c r="A17619" s="4">
        <v>501500200</v>
      </c>
      <c r="B17619">
        <v>8330200</v>
      </c>
    </row>
    <row r="17620" spans="1:2" x14ac:dyDescent="0.4">
      <c r="A17620" s="4">
        <v>501500200</v>
      </c>
      <c r="B17620">
        <v>8330201</v>
      </c>
    </row>
    <row r="17621" spans="1:2" x14ac:dyDescent="0.4">
      <c r="A17621" s="4">
        <v>501500200</v>
      </c>
      <c r="B17621">
        <v>8330202</v>
      </c>
    </row>
    <row r="17622" spans="1:2" x14ac:dyDescent="0.4">
      <c r="A17622" s="4">
        <v>501500200</v>
      </c>
      <c r="B17622">
        <v>8330300</v>
      </c>
    </row>
    <row r="17623" spans="1:2" x14ac:dyDescent="0.4">
      <c r="A17623" s="4">
        <v>501500200</v>
      </c>
      <c r="B17623">
        <v>8330301</v>
      </c>
    </row>
    <row r="17624" spans="1:2" x14ac:dyDescent="0.4">
      <c r="A17624" s="4">
        <v>501500200</v>
      </c>
      <c r="B17624">
        <v>8330302</v>
      </c>
    </row>
    <row r="17625" spans="1:2" x14ac:dyDescent="0.4">
      <c r="A17625" s="4">
        <v>501500200</v>
      </c>
      <c r="B17625">
        <v>8330400</v>
      </c>
    </row>
    <row r="17626" spans="1:2" x14ac:dyDescent="0.4">
      <c r="A17626" s="4">
        <v>501500200</v>
      </c>
      <c r="B17626">
        <v>8330401</v>
      </c>
    </row>
    <row r="17627" spans="1:2" x14ac:dyDescent="0.4">
      <c r="A17627" s="4">
        <v>501500200</v>
      </c>
      <c r="B17627">
        <v>8330600</v>
      </c>
    </row>
    <row r="17628" spans="1:2" x14ac:dyDescent="0.4">
      <c r="A17628" s="4">
        <v>501500200</v>
      </c>
      <c r="B17628">
        <v>8330601</v>
      </c>
    </row>
    <row r="17629" spans="1:2" x14ac:dyDescent="0.4">
      <c r="A17629" s="4">
        <v>501500200</v>
      </c>
      <c r="B17629">
        <v>8330602</v>
      </c>
    </row>
    <row r="17630" spans="1:2" x14ac:dyDescent="0.4">
      <c r="A17630" s="4">
        <v>501500200</v>
      </c>
      <c r="B17630">
        <v>8330900</v>
      </c>
    </row>
    <row r="17631" spans="1:2" x14ac:dyDescent="0.4">
      <c r="A17631" s="4">
        <v>501500200</v>
      </c>
      <c r="B17631">
        <v>8330910</v>
      </c>
    </row>
    <row r="17632" spans="1:2" x14ac:dyDescent="0.4">
      <c r="A17632" s="4">
        <v>501500200</v>
      </c>
      <c r="B17632">
        <v>8330920</v>
      </c>
    </row>
    <row r="17633" spans="1:2" x14ac:dyDescent="0.4">
      <c r="A17633" s="4">
        <v>501500200</v>
      </c>
      <c r="B17633">
        <v>8340000</v>
      </c>
    </row>
    <row r="17634" spans="1:2" x14ac:dyDescent="0.4">
      <c r="A17634" s="4">
        <v>501500200</v>
      </c>
      <c r="B17634">
        <v>8340001</v>
      </c>
    </row>
    <row r="17635" spans="1:2" x14ac:dyDescent="0.4">
      <c r="A17635" s="4">
        <v>501500200</v>
      </c>
      <c r="B17635">
        <v>8340002</v>
      </c>
    </row>
    <row r="17636" spans="1:2" x14ac:dyDescent="0.4">
      <c r="A17636" s="4">
        <v>501500200</v>
      </c>
      <c r="B17636">
        <v>8340100</v>
      </c>
    </row>
    <row r="17637" spans="1:2" x14ac:dyDescent="0.4">
      <c r="A17637" s="4">
        <v>501500200</v>
      </c>
      <c r="B17637">
        <v>8340101</v>
      </c>
    </row>
    <row r="17638" spans="1:2" x14ac:dyDescent="0.4">
      <c r="A17638" s="4">
        <v>501500200</v>
      </c>
      <c r="B17638">
        <v>8340102</v>
      </c>
    </row>
    <row r="17639" spans="1:2" x14ac:dyDescent="0.4">
      <c r="A17639" s="4">
        <v>501500200</v>
      </c>
      <c r="B17639">
        <v>8350000</v>
      </c>
    </row>
    <row r="17640" spans="1:2" x14ac:dyDescent="0.4">
      <c r="A17640" s="4">
        <v>501500200</v>
      </c>
      <c r="B17640">
        <v>8350001</v>
      </c>
    </row>
    <row r="17641" spans="1:2" x14ac:dyDescent="0.4">
      <c r="A17641" s="4">
        <v>501500200</v>
      </c>
      <c r="B17641">
        <v>8350002</v>
      </c>
    </row>
    <row r="17642" spans="1:2" x14ac:dyDescent="0.4">
      <c r="A17642" s="4">
        <v>501500200</v>
      </c>
      <c r="B17642">
        <v>8350200</v>
      </c>
    </row>
    <row r="17643" spans="1:2" x14ac:dyDescent="0.4">
      <c r="A17643" s="4">
        <v>501500200</v>
      </c>
      <c r="B17643">
        <v>8350201</v>
      </c>
    </row>
    <row r="17644" spans="1:2" x14ac:dyDescent="0.4">
      <c r="A17644" s="4">
        <v>501500200</v>
      </c>
      <c r="B17644">
        <v>8350202</v>
      </c>
    </row>
    <row r="17645" spans="1:2" x14ac:dyDescent="0.4">
      <c r="A17645" s="4">
        <v>501500200</v>
      </c>
      <c r="B17645">
        <v>8420000</v>
      </c>
    </row>
    <row r="17646" spans="1:2" x14ac:dyDescent="0.4">
      <c r="A17646" s="4">
        <v>501500200</v>
      </c>
      <c r="B17646">
        <v>8420001</v>
      </c>
    </row>
    <row r="17647" spans="1:2" x14ac:dyDescent="0.4">
      <c r="A17647" s="4">
        <v>501500200</v>
      </c>
      <c r="B17647">
        <v>8420002</v>
      </c>
    </row>
    <row r="17648" spans="1:2" x14ac:dyDescent="0.4">
      <c r="A17648" s="4">
        <v>501500200</v>
      </c>
      <c r="B17648">
        <v>8450000</v>
      </c>
    </row>
    <row r="17649" spans="1:2" x14ac:dyDescent="0.4">
      <c r="A17649" s="4">
        <v>501500200</v>
      </c>
      <c r="B17649">
        <v>8460100</v>
      </c>
    </row>
    <row r="17650" spans="1:2" x14ac:dyDescent="0.4">
      <c r="A17650" s="4">
        <v>501500200</v>
      </c>
      <c r="B17650">
        <v>8460300</v>
      </c>
    </row>
    <row r="17651" spans="1:2" x14ac:dyDescent="0.4">
      <c r="A17651" s="4">
        <v>501500200</v>
      </c>
      <c r="B17651">
        <v>8460500</v>
      </c>
    </row>
    <row r="17652" spans="1:2" x14ac:dyDescent="0.4">
      <c r="A17652" s="4">
        <v>501500200</v>
      </c>
      <c r="B17652">
        <v>8510000</v>
      </c>
    </row>
    <row r="17653" spans="1:2" x14ac:dyDescent="0.4">
      <c r="A17653" s="4">
        <v>501500200</v>
      </c>
      <c r="B17653">
        <v>8510001</v>
      </c>
    </row>
    <row r="17654" spans="1:2" x14ac:dyDescent="0.4">
      <c r="A17654" s="4">
        <v>501500200</v>
      </c>
      <c r="B17654">
        <v>8510002</v>
      </c>
    </row>
    <row r="17655" spans="1:2" x14ac:dyDescent="0.4">
      <c r="A17655" s="4">
        <v>501500200</v>
      </c>
      <c r="B17655">
        <v>8520000</v>
      </c>
    </row>
    <row r="17656" spans="1:2" x14ac:dyDescent="0.4">
      <c r="A17656" s="4">
        <v>501500200</v>
      </c>
      <c r="B17656">
        <v>8520001</v>
      </c>
    </row>
    <row r="17657" spans="1:2" x14ac:dyDescent="0.4">
      <c r="A17657" s="4">
        <v>501500200</v>
      </c>
      <c r="B17657">
        <v>8520002</v>
      </c>
    </row>
    <row r="17658" spans="1:2" x14ac:dyDescent="0.4">
      <c r="A17658" s="4">
        <v>501500200</v>
      </c>
      <c r="B17658">
        <v>8530000</v>
      </c>
    </row>
    <row r="17659" spans="1:2" x14ac:dyDescent="0.4">
      <c r="A17659" s="4">
        <v>501500200</v>
      </c>
      <c r="B17659">
        <v>8530100</v>
      </c>
    </row>
    <row r="17660" spans="1:2" x14ac:dyDescent="0.4">
      <c r="A17660" s="4">
        <v>501500200</v>
      </c>
      <c r="B17660">
        <v>8540000</v>
      </c>
    </row>
    <row r="17661" spans="1:2" x14ac:dyDescent="0.4">
      <c r="A17661" s="4">
        <v>501500200</v>
      </c>
      <c r="B17661">
        <v>8600100</v>
      </c>
    </row>
    <row r="17662" spans="1:2" x14ac:dyDescent="0.4">
      <c r="A17662" s="4">
        <v>501500200</v>
      </c>
      <c r="B17662">
        <v>8600101</v>
      </c>
    </row>
    <row r="17663" spans="1:2" x14ac:dyDescent="0.4">
      <c r="A17663" s="4">
        <v>501500200</v>
      </c>
      <c r="B17663">
        <v>8600102</v>
      </c>
    </row>
    <row r="17664" spans="1:2" x14ac:dyDescent="0.4">
      <c r="A17664" s="4">
        <v>501500200</v>
      </c>
      <c r="B17664">
        <v>8600200</v>
      </c>
    </row>
    <row r="17665" spans="1:2" x14ac:dyDescent="0.4">
      <c r="A17665" s="4">
        <v>501500200</v>
      </c>
      <c r="B17665">
        <v>8600201</v>
      </c>
    </row>
    <row r="17666" spans="1:2" x14ac:dyDescent="0.4">
      <c r="A17666" s="4">
        <v>501500200</v>
      </c>
      <c r="B17666">
        <v>8600202</v>
      </c>
    </row>
    <row r="17667" spans="1:2" x14ac:dyDescent="0.4">
      <c r="A17667" s="4">
        <v>501500200</v>
      </c>
      <c r="B17667">
        <v>8610700</v>
      </c>
    </row>
    <row r="17668" spans="1:2" x14ac:dyDescent="0.4">
      <c r="A17668" s="4">
        <v>501500200</v>
      </c>
      <c r="B17668">
        <v>8610710</v>
      </c>
    </row>
    <row r="17669" spans="1:2" x14ac:dyDescent="0.4">
      <c r="A17669" s="4">
        <v>501500200</v>
      </c>
      <c r="B17669">
        <v>8610720</v>
      </c>
    </row>
    <row r="17670" spans="1:2" x14ac:dyDescent="0.4">
      <c r="A17670" s="4">
        <v>501500200</v>
      </c>
      <c r="B17670">
        <v>8620000</v>
      </c>
    </row>
    <row r="17671" spans="1:2" x14ac:dyDescent="0.4">
      <c r="A17671" s="4">
        <v>501500200</v>
      </c>
      <c r="B17671">
        <v>8620010</v>
      </c>
    </row>
    <row r="17672" spans="1:2" x14ac:dyDescent="0.4">
      <c r="A17672" s="4">
        <v>501500200</v>
      </c>
      <c r="B17672">
        <v>8620020</v>
      </c>
    </row>
    <row r="17673" spans="1:2" x14ac:dyDescent="0.4">
      <c r="A17673" s="4">
        <v>501500200</v>
      </c>
      <c r="B17673">
        <v>8620100</v>
      </c>
    </row>
    <row r="17674" spans="1:2" x14ac:dyDescent="0.4">
      <c r="A17674" s="4">
        <v>501500200</v>
      </c>
      <c r="B17674">
        <v>8620110</v>
      </c>
    </row>
    <row r="17675" spans="1:2" x14ac:dyDescent="0.4">
      <c r="A17675" s="4">
        <v>501500200</v>
      </c>
      <c r="B17675">
        <v>8620120</v>
      </c>
    </row>
    <row r="17676" spans="1:2" x14ac:dyDescent="0.4">
      <c r="A17676" s="4">
        <v>501500200</v>
      </c>
      <c r="B17676">
        <v>8630000</v>
      </c>
    </row>
    <row r="17677" spans="1:2" x14ac:dyDescent="0.4">
      <c r="A17677" s="4">
        <v>501500200</v>
      </c>
      <c r="B17677">
        <v>8630000</v>
      </c>
    </row>
    <row r="17678" spans="1:2" x14ac:dyDescent="0.4">
      <c r="A17678" s="4">
        <v>501500200</v>
      </c>
      <c r="B17678">
        <v>8630000</v>
      </c>
    </row>
    <row r="17679" spans="1:2" x14ac:dyDescent="0.4">
      <c r="A17679" s="4">
        <v>501500200</v>
      </c>
      <c r="B17679">
        <v>8630100</v>
      </c>
    </row>
    <row r="17680" spans="1:2" x14ac:dyDescent="0.4">
      <c r="A17680" s="4">
        <v>501500200</v>
      </c>
      <c r="B17680">
        <v>8630100</v>
      </c>
    </row>
    <row r="17681" spans="1:2" x14ac:dyDescent="0.4">
      <c r="A17681" s="4">
        <v>501500200</v>
      </c>
      <c r="B17681">
        <v>8630100</v>
      </c>
    </row>
    <row r="17682" spans="1:2" x14ac:dyDescent="0.4">
      <c r="A17682" s="4">
        <v>501500200</v>
      </c>
      <c r="B17682">
        <v>8652000</v>
      </c>
    </row>
    <row r="17683" spans="1:2" x14ac:dyDescent="0.4">
      <c r="A17683" s="4">
        <v>501500200</v>
      </c>
      <c r="B17683">
        <v>8652010</v>
      </c>
    </row>
    <row r="17684" spans="1:2" x14ac:dyDescent="0.4">
      <c r="A17684" s="4">
        <v>501500200</v>
      </c>
      <c r="B17684">
        <v>8652020</v>
      </c>
    </row>
    <row r="17685" spans="1:2" x14ac:dyDescent="0.4">
      <c r="A17685" s="4">
        <v>501500200</v>
      </c>
      <c r="B17685">
        <v>8652100</v>
      </c>
    </row>
    <row r="17686" spans="1:2" x14ac:dyDescent="0.4">
      <c r="A17686" s="4">
        <v>501500200</v>
      </c>
      <c r="B17686">
        <v>8652110</v>
      </c>
    </row>
    <row r="17687" spans="1:2" x14ac:dyDescent="0.4">
      <c r="A17687" s="4">
        <v>501500200</v>
      </c>
      <c r="B17687">
        <v>8652120</v>
      </c>
    </row>
    <row r="17688" spans="1:2" x14ac:dyDescent="0.4">
      <c r="A17688" s="4">
        <v>501500200</v>
      </c>
      <c r="B17688">
        <v>8660000</v>
      </c>
    </row>
    <row r="17689" spans="1:2" x14ac:dyDescent="0.4">
      <c r="A17689" s="4">
        <v>501500200</v>
      </c>
      <c r="B17689">
        <v>8660001</v>
      </c>
    </row>
    <row r="17690" spans="1:2" x14ac:dyDescent="0.4">
      <c r="A17690" s="4">
        <v>501500200</v>
      </c>
      <c r="B17690">
        <v>8660002</v>
      </c>
    </row>
    <row r="17691" spans="1:2" x14ac:dyDescent="0.4">
      <c r="A17691" s="4">
        <v>501500200</v>
      </c>
      <c r="B17691">
        <v>8660100</v>
      </c>
    </row>
    <row r="17692" spans="1:2" x14ac:dyDescent="0.4">
      <c r="A17692" s="4">
        <v>501500200</v>
      </c>
      <c r="B17692">
        <v>8660101</v>
      </c>
    </row>
    <row r="17693" spans="1:2" x14ac:dyDescent="0.4">
      <c r="A17693" s="4">
        <v>501500200</v>
      </c>
      <c r="B17693">
        <v>8660102</v>
      </c>
    </row>
    <row r="17694" spans="1:2" x14ac:dyDescent="0.4">
      <c r="A17694" s="4">
        <v>501500200</v>
      </c>
      <c r="B17694">
        <v>8670000</v>
      </c>
    </row>
    <row r="17695" spans="1:2" x14ac:dyDescent="0.4">
      <c r="A17695" s="4">
        <v>501500200</v>
      </c>
      <c r="B17695">
        <v>8670001</v>
      </c>
    </row>
    <row r="17696" spans="1:2" x14ac:dyDescent="0.4">
      <c r="A17696" s="4">
        <v>501500200</v>
      </c>
      <c r="B17696">
        <v>8670002</v>
      </c>
    </row>
    <row r="17697" spans="1:2" x14ac:dyDescent="0.4">
      <c r="A17697" s="4">
        <v>501500200</v>
      </c>
      <c r="B17697">
        <v>8670100</v>
      </c>
    </row>
    <row r="17698" spans="1:2" x14ac:dyDescent="0.4">
      <c r="A17698" s="4">
        <v>501500200</v>
      </c>
      <c r="B17698">
        <v>8670101</v>
      </c>
    </row>
    <row r="17699" spans="1:2" x14ac:dyDescent="0.4">
      <c r="A17699" s="4">
        <v>501500200</v>
      </c>
      <c r="B17699">
        <v>8670102</v>
      </c>
    </row>
    <row r="17700" spans="1:2" x14ac:dyDescent="0.4">
      <c r="A17700" s="4">
        <v>501500200</v>
      </c>
      <c r="B17700">
        <v>8690000</v>
      </c>
    </row>
    <row r="17701" spans="1:2" x14ac:dyDescent="0.4">
      <c r="A17701" s="4">
        <v>501500200</v>
      </c>
      <c r="B17701">
        <v>8690100</v>
      </c>
    </row>
    <row r="17702" spans="1:2" x14ac:dyDescent="0.4">
      <c r="A17702" s="4">
        <v>501500200</v>
      </c>
      <c r="B17702">
        <v>8690200</v>
      </c>
    </row>
    <row r="17703" spans="1:2" x14ac:dyDescent="0.4">
      <c r="A17703" s="4">
        <v>501500200</v>
      </c>
      <c r="B17703">
        <v>8690300</v>
      </c>
    </row>
    <row r="17704" spans="1:2" x14ac:dyDescent="0.4">
      <c r="A17704" s="4">
        <v>501500200</v>
      </c>
      <c r="B17704">
        <v>8690400</v>
      </c>
    </row>
    <row r="17705" spans="1:2" x14ac:dyDescent="0.4">
      <c r="A17705" s="4">
        <v>501500200</v>
      </c>
      <c r="B17705">
        <v>8320500</v>
      </c>
    </row>
    <row r="17706" spans="1:2" x14ac:dyDescent="0.4">
      <c r="A17706" s="4">
        <v>501500200</v>
      </c>
      <c r="B17706">
        <v>8320510</v>
      </c>
    </row>
    <row r="17707" spans="1:2" x14ac:dyDescent="0.4">
      <c r="A17707" s="4">
        <v>501500200</v>
      </c>
      <c r="B17707">
        <v>8320520</v>
      </c>
    </row>
    <row r="17708" spans="1:2" x14ac:dyDescent="0.4">
      <c r="A17708" s="4">
        <v>501500200</v>
      </c>
      <c r="B17708">
        <v>8320600</v>
      </c>
    </row>
    <row r="17709" spans="1:2" x14ac:dyDescent="0.4">
      <c r="A17709" s="4">
        <v>501500200</v>
      </c>
      <c r="B17709">
        <v>8320610</v>
      </c>
    </row>
    <row r="17710" spans="1:2" x14ac:dyDescent="0.4">
      <c r="A17710" s="4">
        <v>501500200</v>
      </c>
      <c r="B17710">
        <v>8320620</v>
      </c>
    </row>
    <row r="17711" spans="1:2" x14ac:dyDescent="0.4">
      <c r="A17711" s="4">
        <v>501500200</v>
      </c>
      <c r="B17711">
        <v>8320700</v>
      </c>
    </row>
    <row r="17712" spans="1:2" x14ac:dyDescent="0.4">
      <c r="A17712" s="4">
        <v>501500200</v>
      </c>
      <c r="B17712">
        <v>8320710</v>
      </c>
    </row>
    <row r="17713" spans="1:2" x14ac:dyDescent="0.4">
      <c r="A17713" s="4">
        <v>501500200</v>
      </c>
      <c r="B17713">
        <v>8320720</v>
      </c>
    </row>
    <row r="17714" spans="1:2" x14ac:dyDescent="0.4">
      <c r="A17714" s="4">
        <v>501600000</v>
      </c>
      <c r="B17714">
        <v>0</v>
      </c>
    </row>
    <row r="17715" spans="1:2" x14ac:dyDescent="0.4">
      <c r="A17715" s="4">
        <v>501600000</v>
      </c>
      <c r="B17715">
        <v>8100100</v>
      </c>
    </row>
    <row r="17716" spans="1:2" x14ac:dyDescent="0.4">
      <c r="A17716" s="4">
        <v>501600000</v>
      </c>
      <c r="B17716">
        <v>8100101</v>
      </c>
    </row>
    <row r="17717" spans="1:2" x14ac:dyDescent="0.4">
      <c r="A17717" s="4">
        <v>501600000</v>
      </c>
      <c r="B17717">
        <v>8100102</v>
      </c>
    </row>
    <row r="17718" spans="1:2" x14ac:dyDescent="0.4">
      <c r="A17718" s="4">
        <v>501600000</v>
      </c>
      <c r="B17718">
        <v>8100200</v>
      </c>
    </row>
    <row r="17719" spans="1:2" x14ac:dyDescent="0.4">
      <c r="A17719" s="4">
        <v>501600000</v>
      </c>
      <c r="B17719">
        <v>8100201</v>
      </c>
    </row>
    <row r="17720" spans="1:2" x14ac:dyDescent="0.4">
      <c r="A17720" s="4">
        <v>501600000</v>
      </c>
      <c r="B17720">
        <v>8100202</v>
      </c>
    </row>
    <row r="17721" spans="1:2" x14ac:dyDescent="0.4">
      <c r="A17721" s="4">
        <v>501600000</v>
      </c>
      <c r="B17721">
        <v>8100300</v>
      </c>
    </row>
    <row r="17722" spans="1:2" x14ac:dyDescent="0.4">
      <c r="A17722" s="4">
        <v>501600000</v>
      </c>
      <c r="B17722">
        <v>8100301</v>
      </c>
    </row>
    <row r="17723" spans="1:2" x14ac:dyDescent="0.4">
      <c r="A17723" s="4">
        <v>501600000</v>
      </c>
      <c r="B17723">
        <v>8100302</v>
      </c>
    </row>
    <row r="17724" spans="1:2" x14ac:dyDescent="0.4">
      <c r="A17724" s="4">
        <v>501600000</v>
      </c>
      <c r="B17724">
        <v>8100400</v>
      </c>
    </row>
    <row r="17725" spans="1:2" x14ac:dyDescent="0.4">
      <c r="A17725" s="4">
        <v>501600000</v>
      </c>
      <c r="B17725">
        <v>8100401</v>
      </c>
    </row>
    <row r="17726" spans="1:2" x14ac:dyDescent="0.4">
      <c r="A17726" s="4">
        <v>501600000</v>
      </c>
      <c r="B17726">
        <v>8100402</v>
      </c>
    </row>
    <row r="17727" spans="1:2" x14ac:dyDescent="0.4">
      <c r="A17727" s="4">
        <v>501600000</v>
      </c>
      <c r="B17727">
        <v>8130000</v>
      </c>
    </row>
    <row r="17728" spans="1:2" x14ac:dyDescent="0.4">
      <c r="A17728" s="4">
        <v>501600000</v>
      </c>
      <c r="B17728">
        <v>8130001</v>
      </c>
    </row>
    <row r="17729" spans="1:2" x14ac:dyDescent="0.4">
      <c r="A17729" s="4">
        <v>501600000</v>
      </c>
      <c r="B17729">
        <v>8130002</v>
      </c>
    </row>
    <row r="17730" spans="1:2" x14ac:dyDescent="0.4">
      <c r="A17730" s="4">
        <v>501600000</v>
      </c>
      <c r="B17730">
        <v>8140000</v>
      </c>
    </row>
    <row r="17731" spans="1:2" x14ac:dyDescent="0.4">
      <c r="A17731" s="4">
        <v>501600000</v>
      </c>
      <c r="B17731">
        <v>8140001</v>
      </c>
    </row>
    <row r="17732" spans="1:2" x14ac:dyDescent="0.4">
      <c r="A17732" s="4">
        <v>501600000</v>
      </c>
      <c r="B17732">
        <v>8140002</v>
      </c>
    </row>
    <row r="17733" spans="1:2" x14ac:dyDescent="0.4">
      <c r="A17733" s="4">
        <v>501600000</v>
      </c>
      <c r="B17733">
        <v>8200100</v>
      </c>
    </row>
    <row r="17734" spans="1:2" x14ac:dyDescent="0.4">
      <c r="A17734" s="4">
        <v>501600000</v>
      </c>
      <c r="B17734">
        <v>8200101</v>
      </c>
    </row>
    <row r="17735" spans="1:2" x14ac:dyDescent="0.4">
      <c r="A17735" s="4">
        <v>501600000</v>
      </c>
      <c r="B17735">
        <v>8200102</v>
      </c>
    </row>
    <row r="17736" spans="1:2" x14ac:dyDescent="0.4">
      <c r="A17736" s="4">
        <v>501600000</v>
      </c>
      <c r="B17736">
        <v>8200200</v>
      </c>
    </row>
    <row r="17737" spans="1:2" x14ac:dyDescent="0.4">
      <c r="A17737" s="4">
        <v>501600000</v>
      </c>
      <c r="B17737">
        <v>8200201</v>
      </c>
    </row>
    <row r="17738" spans="1:2" x14ac:dyDescent="0.4">
      <c r="A17738" s="4">
        <v>501600000</v>
      </c>
      <c r="B17738">
        <v>8200202</v>
      </c>
    </row>
    <row r="17739" spans="1:2" x14ac:dyDescent="0.4">
      <c r="A17739" s="4">
        <v>501600000</v>
      </c>
      <c r="B17739">
        <v>8200300</v>
      </c>
    </row>
    <row r="17740" spans="1:2" x14ac:dyDescent="0.4">
      <c r="A17740" s="4">
        <v>501600000</v>
      </c>
      <c r="B17740">
        <v>8200301</v>
      </c>
    </row>
    <row r="17741" spans="1:2" x14ac:dyDescent="0.4">
      <c r="A17741" s="4">
        <v>501600000</v>
      </c>
      <c r="B17741">
        <v>8200302</v>
      </c>
    </row>
    <row r="17742" spans="1:2" x14ac:dyDescent="0.4">
      <c r="A17742" s="4">
        <v>501600000</v>
      </c>
      <c r="B17742">
        <v>8200400</v>
      </c>
    </row>
    <row r="17743" spans="1:2" x14ac:dyDescent="0.4">
      <c r="A17743" s="4">
        <v>501600000</v>
      </c>
      <c r="B17743">
        <v>8200401</v>
      </c>
    </row>
    <row r="17744" spans="1:2" x14ac:dyDescent="0.4">
      <c r="A17744" s="4">
        <v>501600000</v>
      </c>
      <c r="B17744">
        <v>8200402</v>
      </c>
    </row>
    <row r="17745" spans="1:2" x14ac:dyDescent="0.4">
      <c r="A17745" s="4">
        <v>501600000</v>
      </c>
      <c r="B17745">
        <v>8210000</v>
      </c>
    </row>
    <row r="17746" spans="1:2" x14ac:dyDescent="0.4">
      <c r="A17746" s="4">
        <v>501600000</v>
      </c>
      <c r="B17746">
        <v>8210001</v>
      </c>
    </row>
    <row r="17747" spans="1:2" x14ac:dyDescent="0.4">
      <c r="A17747" s="4">
        <v>501600000</v>
      </c>
      <c r="B17747">
        <v>8210002</v>
      </c>
    </row>
    <row r="17748" spans="1:2" x14ac:dyDescent="0.4">
      <c r="A17748" s="4">
        <v>501600000</v>
      </c>
      <c r="B17748">
        <v>8210100</v>
      </c>
    </row>
    <row r="17749" spans="1:2" x14ac:dyDescent="0.4">
      <c r="A17749" s="4">
        <v>501600000</v>
      </c>
      <c r="B17749">
        <v>8210101</v>
      </c>
    </row>
    <row r="17750" spans="1:2" x14ac:dyDescent="0.4">
      <c r="A17750" s="4">
        <v>501600000</v>
      </c>
      <c r="B17750">
        <v>8210102</v>
      </c>
    </row>
    <row r="17751" spans="1:2" x14ac:dyDescent="0.4">
      <c r="A17751" s="4">
        <v>501600000</v>
      </c>
      <c r="B17751">
        <v>8210200</v>
      </c>
    </row>
    <row r="17752" spans="1:2" x14ac:dyDescent="0.4">
      <c r="A17752" s="4">
        <v>501600000</v>
      </c>
      <c r="B17752">
        <v>8210201</v>
      </c>
    </row>
    <row r="17753" spans="1:2" x14ac:dyDescent="0.4">
      <c r="A17753" s="4">
        <v>501600000</v>
      </c>
      <c r="B17753">
        <v>8210202</v>
      </c>
    </row>
    <row r="17754" spans="1:2" x14ac:dyDescent="0.4">
      <c r="A17754" s="4">
        <v>501600000</v>
      </c>
      <c r="B17754">
        <v>8210300</v>
      </c>
    </row>
    <row r="17755" spans="1:2" x14ac:dyDescent="0.4">
      <c r="A17755" s="4">
        <v>501600000</v>
      </c>
      <c r="B17755">
        <v>8210301</v>
      </c>
    </row>
    <row r="17756" spans="1:2" x14ac:dyDescent="0.4">
      <c r="A17756" s="4">
        <v>501600000</v>
      </c>
      <c r="B17756">
        <v>8210302</v>
      </c>
    </row>
    <row r="17757" spans="1:2" x14ac:dyDescent="0.4">
      <c r="A17757" s="4">
        <v>501600000</v>
      </c>
      <c r="B17757">
        <v>8210400</v>
      </c>
    </row>
    <row r="17758" spans="1:2" x14ac:dyDescent="0.4">
      <c r="A17758" s="4">
        <v>501600000</v>
      </c>
      <c r="B17758">
        <v>8210401</v>
      </c>
    </row>
    <row r="17759" spans="1:2" x14ac:dyDescent="0.4">
      <c r="A17759" s="4">
        <v>501600000</v>
      </c>
      <c r="B17759">
        <v>8210402</v>
      </c>
    </row>
    <row r="17760" spans="1:2" x14ac:dyDescent="0.4">
      <c r="A17760" s="4">
        <v>501600000</v>
      </c>
      <c r="B17760">
        <v>8210500</v>
      </c>
    </row>
    <row r="17761" spans="1:2" x14ac:dyDescent="0.4">
      <c r="A17761" s="4">
        <v>501600000</v>
      </c>
      <c r="B17761">
        <v>8210501</v>
      </c>
    </row>
    <row r="17762" spans="1:2" x14ac:dyDescent="0.4">
      <c r="A17762" s="4">
        <v>501600000</v>
      </c>
      <c r="B17762">
        <v>8210502</v>
      </c>
    </row>
    <row r="17763" spans="1:2" x14ac:dyDescent="0.4">
      <c r="A17763" s="4">
        <v>501600000</v>
      </c>
      <c r="B17763">
        <v>8210600</v>
      </c>
    </row>
    <row r="17764" spans="1:2" x14ac:dyDescent="0.4">
      <c r="A17764" s="4">
        <v>501600000</v>
      </c>
      <c r="B17764">
        <v>8210601</v>
      </c>
    </row>
    <row r="17765" spans="1:2" x14ac:dyDescent="0.4">
      <c r="A17765" s="4">
        <v>501600000</v>
      </c>
      <c r="B17765">
        <v>8210602</v>
      </c>
    </row>
    <row r="17766" spans="1:2" x14ac:dyDescent="0.4">
      <c r="A17766" s="4">
        <v>501600000</v>
      </c>
      <c r="B17766">
        <v>8220000</v>
      </c>
    </row>
    <row r="17767" spans="1:2" x14ac:dyDescent="0.4">
      <c r="A17767" s="4">
        <v>501600000</v>
      </c>
      <c r="B17767">
        <v>8220001</v>
      </c>
    </row>
    <row r="17768" spans="1:2" x14ac:dyDescent="0.4">
      <c r="A17768" s="4">
        <v>501600000</v>
      </c>
      <c r="B17768">
        <v>8220002</v>
      </c>
    </row>
    <row r="17769" spans="1:2" x14ac:dyDescent="0.4">
      <c r="A17769" s="4">
        <v>501600000</v>
      </c>
      <c r="B17769">
        <v>8300000</v>
      </c>
    </row>
    <row r="17770" spans="1:2" x14ac:dyDescent="0.4">
      <c r="A17770" s="4">
        <v>501600000</v>
      </c>
      <c r="B17770">
        <v>8300001</v>
      </c>
    </row>
    <row r="17771" spans="1:2" x14ac:dyDescent="0.4">
      <c r="A17771" s="4">
        <v>501600000</v>
      </c>
      <c r="B17771">
        <v>8300002</v>
      </c>
    </row>
    <row r="17772" spans="1:2" x14ac:dyDescent="0.4">
      <c r="A17772" s="4">
        <v>501600000</v>
      </c>
      <c r="B17772">
        <v>8310000</v>
      </c>
    </row>
    <row r="17773" spans="1:2" x14ac:dyDescent="0.4">
      <c r="A17773" s="4">
        <v>501600000</v>
      </c>
      <c r="B17773">
        <v>8310001</v>
      </c>
    </row>
    <row r="17774" spans="1:2" x14ac:dyDescent="0.4">
      <c r="A17774" s="4">
        <v>501600000</v>
      </c>
      <c r="B17774">
        <v>8310002</v>
      </c>
    </row>
    <row r="17775" spans="1:2" x14ac:dyDescent="0.4">
      <c r="A17775" s="4">
        <v>501600000</v>
      </c>
      <c r="B17775">
        <v>8320000</v>
      </c>
    </row>
    <row r="17776" spans="1:2" x14ac:dyDescent="0.4">
      <c r="A17776" s="4">
        <v>501600000</v>
      </c>
      <c r="B17776">
        <v>8320001</v>
      </c>
    </row>
    <row r="17777" spans="1:2" x14ac:dyDescent="0.4">
      <c r="A17777" s="4">
        <v>501600000</v>
      </c>
      <c r="B17777">
        <v>8320002</v>
      </c>
    </row>
    <row r="17778" spans="1:2" x14ac:dyDescent="0.4">
      <c r="A17778" s="4">
        <v>501600000</v>
      </c>
      <c r="B17778">
        <v>8320100</v>
      </c>
    </row>
    <row r="17779" spans="1:2" x14ac:dyDescent="0.4">
      <c r="A17779" s="4">
        <v>501600000</v>
      </c>
      <c r="B17779">
        <v>8320101</v>
      </c>
    </row>
    <row r="17780" spans="1:2" x14ac:dyDescent="0.4">
      <c r="A17780" s="4">
        <v>501600000</v>
      </c>
      <c r="B17780">
        <v>8320102</v>
      </c>
    </row>
    <row r="17781" spans="1:2" x14ac:dyDescent="0.4">
      <c r="A17781" s="4">
        <v>501600000</v>
      </c>
      <c r="B17781">
        <v>8320300</v>
      </c>
    </row>
    <row r="17782" spans="1:2" x14ac:dyDescent="0.4">
      <c r="A17782" s="4">
        <v>501600000</v>
      </c>
      <c r="B17782">
        <v>8320301</v>
      </c>
    </row>
    <row r="17783" spans="1:2" x14ac:dyDescent="0.4">
      <c r="A17783" s="4">
        <v>501600000</v>
      </c>
      <c r="B17783">
        <v>8320302</v>
      </c>
    </row>
    <row r="17784" spans="1:2" x14ac:dyDescent="0.4">
      <c r="A17784" s="4">
        <v>501600000</v>
      </c>
      <c r="B17784">
        <v>8320400</v>
      </c>
    </row>
    <row r="17785" spans="1:2" x14ac:dyDescent="0.4">
      <c r="A17785" s="4">
        <v>501600000</v>
      </c>
      <c r="B17785">
        <v>8320410</v>
      </c>
    </row>
    <row r="17786" spans="1:2" x14ac:dyDescent="0.4">
      <c r="A17786" s="4">
        <v>501600000</v>
      </c>
      <c r="B17786">
        <v>8320420</v>
      </c>
    </row>
    <row r="17787" spans="1:2" x14ac:dyDescent="0.4">
      <c r="A17787" s="4">
        <v>501600000</v>
      </c>
      <c r="B17787">
        <v>8330000</v>
      </c>
    </row>
    <row r="17788" spans="1:2" x14ac:dyDescent="0.4">
      <c r="A17788" s="4">
        <v>501600000</v>
      </c>
      <c r="B17788">
        <v>8330001</v>
      </c>
    </row>
    <row r="17789" spans="1:2" x14ac:dyDescent="0.4">
      <c r="A17789" s="4">
        <v>501600000</v>
      </c>
      <c r="B17789">
        <v>8330002</v>
      </c>
    </row>
    <row r="17790" spans="1:2" x14ac:dyDescent="0.4">
      <c r="A17790" s="4">
        <v>501600000</v>
      </c>
      <c r="B17790">
        <v>8330100</v>
      </c>
    </row>
    <row r="17791" spans="1:2" x14ac:dyDescent="0.4">
      <c r="A17791" s="4">
        <v>501600000</v>
      </c>
      <c r="B17791">
        <v>8330101</v>
      </c>
    </row>
    <row r="17792" spans="1:2" x14ac:dyDescent="0.4">
      <c r="A17792" s="4">
        <v>501600000</v>
      </c>
      <c r="B17792">
        <v>8330102</v>
      </c>
    </row>
    <row r="17793" spans="1:2" x14ac:dyDescent="0.4">
      <c r="A17793" s="4">
        <v>501600000</v>
      </c>
      <c r="B17793">
        <v>8330200</v>
      </c>
    </row>
    <row r="17794" spans="1:2" x14ac:dyDescent="0.4">
      <c r="A17794" s="4">
        <v>501600000</v>
      </c>
      <c r="B17794">
        <v>8330201</v>
      </c>
    </row>
    <row r="17795" spans="1:2" x14ac:dyDescent="0.4">
      <c r="A17795" s="4">
        <v>501600000</v>
      </c>
      <c r="B17795">
        <v>8330202</v>
      </c>
    </row>
    <row r="17796" spans="1:2" x14ac:dyDescent="0.4">
      <c r="A17796" s="4">
        <v>501600000</v>
      </c>
      <c r="B17796">
        <v>8330300</v>
      </c>
    </row>
    <row r="17797" spans="1:2" x14ac:dyDescent="0.4">
      <c r="A17797" s="4">
        <v>501600000</v>
      </c>
      <c r="B17797">
        <v>8330301</v>
      </c>
    </row>
    <row r="17798" spans="1:2" x14ac:dyDescent="0.4">
      <c r="A17798" s="4">
        <v>501600000</v>
      </c>
      <c r="B17798">
        <v>8330302</v>
      </c>
    </row>
    <row r="17799" spans="1:2" x14ac:dyDescent="0.4">
      <c r="A17799" s="4">
        <v>501600000</v>
      </c>
      <c r="B17799">
        <v>8330400</v>
      </c>
    </row>
    <row r="17800" spans="1:2" x14ac:dyDescent="0.4">
      <c r="A17800" s="4">
        <v>501600000</v>
      </c>
      <c r="B17800">
        <v>8330401</v>
      </c>
    </row>
    <row r="17801" spans="1:2" x14ac:dyDescent="0.4">
      <c r="A17801" s="4">
        <v>501600000</v>
      </c>
      <c r="B17801">
        <v>8330600</v>
      </c>
    </row>
    <row r="17802" spans="1:2" x14ac:dyDescent="0.4">
      <c r="A17802" s="4">
        <v>501600000</v>
      </c>
      <c r="B17802">
        <v>8330601</v>
      </c>
    </row>
    <row r="17803" spans="1:2" x14ac:dyDescent="0.4">
      <c r="A17803" s="4">
        <v>501600000</v>
      </c>
      <c r="B17803">
        <v>8330602</v>
      </c>
    </row>
    <row r="17804" spans="1:2" x14ac:dyDescent="0.4">
      <c r="A17804" s="4">
        <v>501600000</v>
      </c>
      <c r="B17804">
        <v>8330900</v>
      </c>
    </row>
    <row r="17805" spans="1:2" x14ac:dyDescent="0.4">
      <c r="A17805" s="4">
        <v>501600000</v>
      </c>
      <c r="B17805">
        <v>8330910</v>
      </c>
    </row>
    <row r="17806" spans="1:2" x14ac:dyDescent="0.4">
      <c r="A17806" s="4">
        <v>501600000</v>
      </c>
      <c r="B17806">
        <v>8330920</v>
      </c>
    </row>
    <row r="17807" spans="1:2" x14ac:dyDescent="0.4">
      <c r="A17807" s="4">
        <v>501600000</v>
      </c>
      <c r="B17807">
        <v>8340000</v>
      </c>
    </row>
    <row r="17808" spans="1:2" x14ac:dyDescent="0.4">
      <c r="A17808" s="4">
        <v>501600000</v>
      </c>
      <c r="B17808">
        <v>8340001</v>
      </c>
    </row>
    <row r="17809" spans="1:2" x14ac:dyDescent="0.4">
      <c r="A17809" s="4">
        <v>501600000</v>
      </c>
      <c r="B17809">
        <v>8340002</v>
      </c>
    </row>
    <row r="17810" spans="1:2" x14ac:dyDescent="0.4">
      <c r="A17810" s="4">
        <v>501600000</v>
      </c>
      <c r="B17810">
        <v>8340100</v>
      </c>
    </row>
    <row r="17811" spans="1:2" x14ac:dyDescent="0.4">
      <c r="A17811" s="4">
        <v>501600000</v>
      </c>
      <c r="B17811">
        <v>8340101</v>
      </c>
    </row>
    <row r="17812" spans="1:2" x14ac:dyDescent="0.4">
      <c r="A17812" s="4">
        <v>501600000</v>
      </c>
      <c r="B17812">
        <v>8340102</v>
      </c>
    </row>
    <row r="17813" spans="1:2" x14ac:dyDescent="0.4">
      <c r="A17813" s="4">
        <v>501600000</v>
      </c>
      <c r="B17813">
        <v>8350000</v>
      </c>
    </row>
    <row r="17814" spans="1:2" x14ac:dyDescent="0.4">
      <c r="A17814" s="4">
        <v>501600000</v>
      </c>
      <c r="B17814">
        <v>8350001</v>
      </c>
    </row>
    <row r="17815" spans="1:2" x14ac:dyDescent="0.4">
      <c r="A17815" s="4">
        <v>501600000</v>
      </c>
      <c r="B17815">
        <v>8350002</v>
      </c>
    </row>
    <row r="17816" spans="1:2" x14ac:dyDescent="0.4">
      <c r="A17816" s="4">
        <v>501600000</v>
      </c>
      <c r="B17816">
        <v>8350200</v>
      </c>
    </row>
    <row r="17817" spans="1:2" x14ac:dyDescent="0.4">
      <c r="A17817" s="4">
        <v>501600000</v>
      </c>
      <c r="B17817">
        <v>8350201</v>
      </c>
    </row>
    <row r="17818" spans="1:2" x14ac:dyDescent="0.4">
      <c r="A17818" s="4">
        <v>501600000</v>
      </c>
      <c r="B17818">
        <v>8350202</v>
      </c>
    </row>
    <row r="17819" spans="1:2" x14ac:dyDescent="0.4">
      <c r="A17819" s="4">
        <v>501600000</v>
      </c>
      <c r="B17819">
        <v>8420000</v>
      </c>
    </row>
    <row r="17820" spans="1:2" x14ac:dyDescent="0.4">
      <c r="A17820" s="4">
        <v>501600000</v>
      </c>
      <c r="B17820">
        <v>8420001</v>
      </c>
    </row>
    <row r="17821" spans="1:2" x14ac:dyDescent="0.4">
      <c r="A17821" s="4">
        <v>501600000</v>
      </c>
      <c r="B17821">
        <v>8420002</v>
      </c>
    </row>
    <row r="17822" spans="1:2" x14ac:dyDescent="0.4">
      <c r="A17822" s="4">
        <v>501600000</v>
      </c>
      <c r="B17822">
        <v>8450000</v>
      </c>
    </row>
    <row r="17823" spans="1:2" x14ac:dyDescent="0.4">
      <c r="A17823" s="4">
        <v>501600000</v>
      </c>
      <c r="B17823">
        <v>8460100</v>
      </c>
    </row>
    <row r="17824" spans="1:2" x14ac:dyDescent="0.4">
      <c r="A17824" s="4">
        <v>501600000</v>
      </c>
      <c r="B17824">
        <v>8460300</v>
      </c>
    </row>
    <row r="17825" spans="1:2" x14ac:dyDescent="0.4">
      <c r="A17825" s="4">
        <v>501600000</v>
      </c>
      <c r="B17825">
        <v>8460500</v>
      </c>
    </row>
    <row r="17826" spans="1:2" x14ac:dyDescent="0.4">
      <c r="A17826" s="4">
        <v>501600000</v>
      </c>
      <c r="B17826">
        <v>8510000</v>
      </c>
    </row>
    <row r="17827" spans="1:2" x14ac:dyDescent="0.4">
      <c r="A17827" s="4">
        <v>501600000</v>
      </c>
      <c r="B17827">
        <v>8510001</v>
      </c>
    </row>
    <row r="17828" spans="1:2" x14ac:dyDescent="0.4">
      <c r="A17828" s="4">
        <v>501600000</v>
      </c>
      <c r="B17828">
        <v>8510002</v>
      </c>
    </row>
    <row r="17829" spans="1:2" x14ac:dyDescent="0.4">
      <c r="A17829" s="4">
        <v>501600000</v>
      </c>
      <c r="B17829">
        <v>8520000</v>
      </c>
    </row>
    <row r="17830" spans="1:2" x14ac:dyDescent="0.4">
      <c r="A17830" s="4">
        <v>501600000</v>
      </c>
      <c r="B17830">
        <v>8520001</v>
      </c>
    </row>
    <row r="17831" spans="1:2" x14ac:dyDescent="0.4">
      <c r="A17831" s="4">
        <v>501600000</v>
      </c>
      <c r="B17831">
        <v>8520002</v>
      </c>
    </row>
    <row r="17832" spans="1:2" x14ac:dyDescent="0.4">
      <c r="A17832" s="4">
        <v>501600000</v>
      </c>
      <c r="B17832">
        <v>8530000</v>
      </c>
    </row>
    <row r="17833" spans="1:2" x14ac:dyDescent="0.4">
      <c r="A17833" s="4">
        <v>501600000</v>
      </c>
      <c r="B17833">
        <v>8530100</v>
      </c>
    </row>
    <row r="17834" spans="1:2" x14ac:dyDescent="0.4">
      <c r="A17834" s="4">
        <v>501600000</v>
      </c>
      <c r="B17834">
        <v>8540000</v>
      </c>
    </row>
    <row r="17835" spans="1:2" x14ac:dyDescent="0.4">
      <c r="A17835" s="4">
        <v>501600000</v>
      </c>
      <c r="B17835">
        <v>8600100</v>
      </c>
    </row>
    <row r="17836" spans="1:2" x14ac:dyDescent="0.4">
      <c r="A17836" s="4">
        <v>501600000</v>
      </c>
      <c r="B17836">
        <v>8600101</v>
      </c>
    </row>
    <row r="17837" spans="1:2" x14ac:dyDescent="0.4">
      <c r="A17837" s="4">
        <v>501600000</v>
      </c>
      <c r="B17837">
        <v>8600102</v>
      </c>
    </row>
    <row r="17838" spans="1:2" x14ac:dyDescent="0.4">
      <c r="A17838" s="4">
        <v>501600000</v>
      </c>
      <c r="B17838">
        <v>8600200</v>
      </c>
    </row>
    <row r="17839" spans="1:2" x14ac:dyDescent="0.4">
      <c r="A17839" s="4">
        <v>501600000</v>
      </c>
      <c r="B17839">
        <v>8600201</v>
      </c>
    </row>
    <row r="17840" spans="1:2" x14ac:dyDescent="0.4">
      <c r="A17840" s="4">
        <v>501600000</v>
      </c>
      <c r="B17840">
        <v>8600202</v>
      </c>
    </row>
    <row r="17841" spans="1:2" x14ac:dyDescent="0.4">
      <c r="A17841" s="4">
        <v>501600000</v>
      </c>
      <c r="B17841">
        <v>8610700</v>
      </c>
    </row>
    <row r="17842" spans="1:2" x14ac:dyDescent="0.4">
      <c r="A17842" s="4">
        <v>501600000</v>
      </c>
      <c r="B17842">
        <v>8610710</v>
      </c>
    </row>
    <row r="17843" spans="1:2" x14ac:dyDescent="0.4">
      <c r="A17843" s="4">
        <v>501600000</v>
      </c>
      <c r="B17843">
        <v>8610720</v>
      </c>
    </row>
    <row r="17844" spans="1:2" x14ac:dyDescent="0.4">
      <c r="A17844" s="4">
        <v>501600000</v>
      </c>
      <c r="B17844">
        <v>8620000</v>
      </c>
    </row>
    <row r="17845" spans="1:2" x14ac:dyDescent="0.4">
      <c r="A17845" s="4">
        <v>501600000</v>
      </c>
      <c r="B17845">
        <v>8620010</v>
      </c>
    </row>
    <row r="17846" spans="1:2" x14ac:dyDescent="0.4">
      <c r="A17846" s="4">
        <v>501600000</v>
      </c>
      <c r="B17846">
        <v>8620020</v>
      </c>
    </row>
    <row r="17847" spans="1:2" x14ac:dyDescent="0.4">
      <c r="A17847" s="4">
        <v>501600000</v>
      </c>
      <c r="B17847">
        <v>8620100</v>
      </c>
    </row>
    <row r="17848" spans="1:2" x14ac:dyDescent="0.4">
      <c r="A17848" s="4">
        <v>501600000</v>
      </c>
      <c r="B17848">
        <v>8620110</v>
      </c>
    </row>
    <row r="17849" spans="1:2" x14ac:dyDescent="0.4">
      <c r="A17849" s="4">
        <v>501600000</v>
      </c>
      <c r="B17849">
        <v>8620120</v>
      </c>
    </row>
    <row r="17850" spans="1:2" x14ac:dyDescent="0.4">
      <c r="A17850" s="4">
        <v>501600000</v>
      </c>
      <c r="B17850">
        <v>8630000</v>
      </c>
    </row>
    <row r="17851" spans="1:2" x14ac:dyDescent="0.4">
      <c r="A17851" s="4">
        <v>501600000</v>
      </c>
      <c r="B17851">
        <v>8630000</v>
      </c>
    </row>
    <row r="17852" spans="1:2" x14ac:dyDescent="0.4">
      <c r="A17852" s="4">
        <v>501600000</v>
      </c>
      <c r="B17852">
        <v>8630000</v>
      </c>
    </row>
    <row r="17853" spans="1:2" x14ac:dyDescent="0.4">
      <c r="A17853" s="4">
        <v>501600000</v>
      </c>
      <c r="B17853">
        <v>8630100</v>
      </c>
    </row>
    <row r="17854" spans="1:2" x14ac:dyDescent="0.4">
      <c r="A17854" s="4">
        <v>501600000</v>
      </c>
      <c r="B17854">
        <v>8630100</v>
      </c>
    </row>
    <row r="17855" spans="1:2" x14ac:dyDescent="0.4">
      <c r="A17855" s="4">
        <v>501600000</v>
      </c>
      <c r="B17855">
        <v>8630100</v>
      </c>
    </row>
    <row r="17856" spans="1:2" x14ac:dyDescent="0.4">
      <c r="A17856" s="4">
        <v>501600000</v>
      </c>
      <c r="B17856">
        <v>8652000</v>
      </c>
    </row>
    <row r="17857" spans="1:2" x14ac:dyDescent="0.4">
      <c r="A17857" s="4">
        <v>501600000</v>
      </c>
      <c r="B17857">
        <v>8652010</v>
      </c>
    </row>
    <row r="17858" spans="1:2" x14ac:dyDescent="0.4">
      <c r="A17858" s="4">
        <v>501600000</v>
      </c>
      <c r="B17858">
        <v>8652020</v>
      </c>
    </row>
    <row r="17859" spans="1:2" x14ac:dyDescent="0.4">
      <c r="A17859" s="4">
        <v>501600000</v>
      </c>
      <c r="B17859">
        <v>8652100</v>
      </c>
    </row>
    <row r="17860" spans="1:2" x14ac:dyDescent="0.4">
      <c r="A17860" s="4">
        <v>501600000</v>
      </c>
      <c r="B17860">
        <v>8652110</v>
      </c>
    </row>
    <row r="17861" spans="1:2" x14ac:dyDescent="0.4">
      <c r="A17861" s="4">
        <v>501600000</v>
      </c>
      <c r="B17861">
        <v>8652120</v>
      </c>
    </row>
    <row r="17862" spans="1:2" x14ac:dyDescent="0.4">
      <c r="A17862" s="4">
        <v>501600000</v>
      </c>
      <c r="B17862">
        <v>8660000</v>
      </c>
    </row>
    <row r="17863" spans="1:2" x14ac:dyDescent="0.4">
      <c r="A17863" s="4">
        <v>501600000</v>
      </c>
      <c r="B17863">
        <v>8660001</v>
      </c>
    </row>
    <row r="17864" spans="1:2" x14ac:dyDescent="0.4">
      <c r="A17864" s="4">
        <v>501600000</v>
      </c>
      <c r="B17864">
        <v>8660002</v>
      </c>
    </row>
    <row r="17865" spans="1:2" x14ac:dyDescent="0.4">
      <c r="A17865" s="4">
        <v>501600000</v>
      </c>
      <c r="B17865">
        <v>8660100</v>
      </c>
    </row>
    <row r="17866" spans="1:2" x14ac:dyDescent="0.4">
      <c r="A17866" s="4">
        <v>501600000</v>
      </c>
      <c r="B17866">
        <v>8660101</v>
      </c>
    </row>
    <row r="17867" spans="1:2" x14ac:dyDescent="0.4">
      <c r="A17867" s="4">
        <v>501600000</v>
      </c>
      <c r="B17867">
        <v>8660102</v>
      </c>
    </row>
    <row r="17868" spans="1:2" x14ac:dyDescent="0.4">
      <c r="A17868" s="4">
        <v>501600000</v>
      </c>
      <c r="B17868">
        <v>8670000</v>
      </c>
    </row>
    <row r="17869" spans="1:2" x14ac:dyDescent="0.4">
      <c r="A17869" s="4">
        <v>501600000</v>
      </c>
      <c r="B17869">
        <v>8670001</v>
      </c>
    </row>
    <row r="17870" spans="1:2" x14ac:dyDescent="0.4">
      <c r="A17870" s="4">
        <v>501600000</v>
      </c>
      <c r="B17870">
        <v>8670002</v>
      </c>
    </row>
    <row r="17871" spans="1:2" x14ac:dyDescent="0.4">
      <c r="A17871" s="4">
        <v>501600000</v>
      </c>
      <c r="B17871">
        <v>8670100</v>
      </c>
    </row>
    <row r="17872" spans="1:2" x14ac:dyDescent="0.4">
      <c r="A17872" s="4">
        <v>501600000</v>
      </c>
      <c r="B17872">
        <v>8670101</v>
      </c>
    </row>
    <row r="17873" spans="1:2" x14ac:dyDescent="0.4">
      <c r="A17873" s="4">
        <v>501600000</v>
      </c>
      <c r="B17873">
        <v>8670102</v>
      </c>
    </row>
    <row r="17874" spans="1:2" x14ac:dyDescent="0.4">
      <c r="A17874" s="4">
        <v>501600000</v>
      </c>
      <c r="B17874">
        <v>8690000</v>
      </c>
    </row>
    <row r="17875" spans="1:2" x14ac:dyDescent="0.4">
      <c r="A17875" s="4">
        <v>501600000</v>
      </c>
      <c r="B17875">
        <v>8690100</v>
      </c>
    </row>
    <row r="17876" spans="1:2" x14ac:dyDescent="0.4">
      <c r="A17876" s="4">
        <v>501600000</v>
      </c>
      <c r="B17876">
        <v>8690200</v>
      </c>
    </row>
    <row r="17877" spans="1:2" x14ac:dyDescent="0.4">
      <c r="A17877" s="4">
        <v>501600000</v>
      </c>
      <c r="B17877">
        <v>8690300</v>
      </c>
    </row>
    <row r="17878" spans="1:2" x14ac:dyDescent="0.4">
      <c r="A17878" s="4">
        <v>501600000</v>
      </c>
      <c r="B17878">
        <v>8690400</v>
      </c>
    </row>
    <row r="17879" spans="1:2" x14ac:dyDescent="0.4">
      <c r="A17879" s="4">
        <v>501600000</v>
      </c>
      <c r="B17879">
        <v>8320500</v>
      </c>
    </row>
    <row r="17880" spans="1:2" x14ac:dyDescent="0.4">
      <c r="A17880" s="4">
        <v>501600000</v>
      </c>
      <c r="B17880">
        <v>8320510</v>
      </c>
    </row>
    <row r="17881" spans="1:2" x14ac:dyDescent="0.4">
      <c r="A17881" s="4">
        <v>501600000</v>
      </c>
      <c r="B17881">
        <v>8320520</v>
      </c>
    </row>
    <row r="17882" spans="1:2" x14ac:dyDescent="0.4">
      <c r="A17882" s="4">
        <v>501600000</v>
      </c>
      <c r="B17882">
        <v>8320600</v>
      </c>
    </row>
    <row r="17883" spans="1:2" x14ac:dyDescent="0.4">
      <c r="A17883" s="4">
        <v>501600000</v>
      </c>
      <c r="B17883">
        <v>8320610</v>
      </c>
    </row>
    <row r="17884" spans="1:2" x14ac:dyDescent="0.4">
      <c r="A17884" s="4">
        <v>501600000</v>
      </c>
      <c r="B17884">
        <v>8320620</v>
      </c>
    </row>
    <row r="17885" spans="1:2" x14ac:dyDescent="0.4">
      <c r="A17885" s="4">
        <v>501600000</v>
      </c>
      <c r="B17885">
        <v>8320700</v>
      </c>
    </row>
    <row r="17886" spans="1:2" x14ac:dyDescent="0.4">
      <c r="A17886" s="4">
        <v>501600000</v>
      </c>
      <c r="B17886">
        <v>8320710</v>
      </c>
    </row>
    <row r="17887" spans="1:2" x14ac:dyDescent="0.4">
      <c r="A17887" s="4">
        <v>501600000</v>
      </c>
      <c r="B17887">
        <v>8320720</v>
      </c>
    </row>
    <row r="17888" spans="1:2" x14ac:dyDescent="0.4">
      <c r="A17888" s="4">
        <v>501600100</v>
      </c>
      <c r="B17888">
        <v>0</v>
      </c>
    </row>
    <row r="17889" spans="1:2" x14ac:dyDescent="0.4">
      <c r="A17889" s="4">
        <v>501600100</v>
      </c>
      <c r="B17889">
        <v>8100100</v>
      </c>
    </row>
    <row r="17890" spans="1:2" x14ac:dyDescent="0.4">
      <c r="A17890" s="4">
        <v>501600100</v>
      </c>
      <c r="B17890">
        <v>8100101</v>
      </c>
    </row>
    <row r="17891" spans="1:2" x14ac:dyDescent="0.4">
      <c r="A17891" s="4">
        <v>501600100</v>
      </c>
      <c r="B17891">
        <v>8100102</v>
      </c>
    </row>
    <row r="17892" spans="1:2" x14ac:dyDescent="0.4">
      <c r="A17892" s="4">
        <v>501600100</v>
      </c>
      <c r="B17892">
        <v>8100200</v>
      </c>
    </row>
    <row r="17893" spans="1:2" x14ac:dyDescent="0.4">
      <c r="A17893" s="4">
        <v>501600100</v>
      </c>
      <c r="B17893">
        <v>8100201</v>
      </c>
    </row>
    <row r="17894" spans="1:2" x14ac:dyDescent="0.4">
      <c r="A17894" s="4">
        <v>501600100</v>
      </c>
      <c r="B17894">
        <v>8100202</v>
      </c>
    </row>
    <row r="17895" spans="1:2" x14ac:dyDescent="0.4">
      <c r="A17895" s="4">
        <v>501600100</v>
      </c>
      <c r="B17895">
        <v>8100300</v>
      </c>
    </row>
    <row r="17896" spans="1:2" x14ac:dyDescent="0.4">
      <c r="A17896" s="4">
        <v>501600100</v>
      </c>
      <c r="B17896">
        <v>8100301</v>
      </c>
    </row>
    <row r="17897" spans="1:2" x14ac:dyDescent="0.4">
      <c r="A17897" s="4">
        <v>501600100</v>
      </c>
      <c r="B17897">
        <v>8100302</v>
      </c>
    </row>
    <row r="17898" spans="1:2" x14ac:dyDescent="0.4">
      <c r="A17898" s="4">
        <v>501600100</v>
      </c>
      <c r="B17898">
        <v>8100400</v>
      </c>
    </row>
    <row r="17899" spans="1:2" x14ac:dyDescent="0.4">
      <c r="A17899" s="4">
        <v>501600100</v>
      </c>
      <c r="B17899">
        <v>8100401</v>
      </c>
    </row>
    <row r="17900" spans="1:2" x14ac:dyDescent="0.4">
      <c r="A17900" s="4">
        <v>501600100</v>
      </c>
      <c r="B17900">
        <v>8100402</v>
      </c>
    </row>
    <row r="17901" spans="1:2" x14ac:dyDescent="0.4">
      <c r="A17901" s="4">
        <v>501600100</v>
      </c>
      <c r="B17901">
        <v>8130000</v>
      </c>
    </row>
    <row r="17902" spans="1:2" x14ac:dyDescent="0.4">
      <c r="A17902" s="4">
        <v>501600100</v>
      </c>
      <c r="B17902">
        <v>8130001</v>
      </c>
    </row>
    <row r="17903" spans="1:2" x14ac:dyDescent="0.4">
      <c r="A17903" s="4">
        <v>501600100</v>
      </c>
      <c r="B17903">
        <v>8130002</v>
      </c>
    </row>
    <row r="17904" spans="1:2" x14ac:dyDescent="0.4">
      <c r="A17904" s="4">
        <v>501600100</v>
      </c>
      <c r="B17904">
        <v>8140000</v>
      </c>
    </row>
    <row r="17905" spans="1:2" x14ac:dyDescent="0.4">
      <c r="A17905" s="4">
        <v>501600100</v>
      </c>
      <c r="B17905">
        <v>8140001</v>
      </c>
    </row>
    <row r="17906" spans="1:2" x14ac:dyDescent="0.4">
      <c r="A17906" s="4">
        <v>501600100</v>
      </c>
      <c r="B17906">
        <v>8140002</v>
      </c>
    </row>
    <row r="17907" spans="1:2" x14ac:dyDescent="0.4">
      <c r="A17907" s="4">
        <v>501600100</v>
      </c>
      <c r="B17907">
        <v>8200100</v>
      </c>
    </row>
    <row r="17908" spans="1:2" x14ac:dyDescent="0.4">
      <c r="A17908" s="4">
        <v>501600100</v>
      </c>
      <c r="B17908">
        <v>8200101</v>
      </c>
    </row>
    <row r="17909" spans="1:2" x14ac:dyDescent="0.4">
      <c r="A17909" s="4">
        <v>501600100</v>
      </c>
      <c r="B17909">
        <v>8200102</v>
      </c>
    </row>
    <row r="17910" spans="1:2" x14ac:dyDescent="0.4">
      <c r="A17910" s="4">
        <v>501600100</v>
      </c>
      <c r="B17910">
        <v>8200200</v>
      </c>
    </row>
    <row r="17911" spans="1:2" x14ac:dyDescent="0.4">
      <c r="A17911" s="4">
        <v>501600100</v>
      </c>
      <c r="B17911">
        <v>8200201</v>
      </c>
    </row>
    <row r="17912" spans="1:2" x14ac:dyDescent="0.4">
      <c r="A17912" s="4">
        <v>501600100</v>
      </c>
      <c r="B17912">
        <v>8200202</v>
      </c>
    </row>
    <row r="17913" spans="1:2" x14ac:dyDescent="0.4">
      <c r="A17913" s="4">
        <v>501600100</v>
      </c>
      <c r="B17913">
        <v>8200300</v>
      </c>
    </row>
    <row r="17914" spans="1:2" x14ac:dyDescent="0.4">
      <c r="A17914" s="4">
        <v>501600100</v>
      </c>
      <c r="B17914">
        <v>8200301</v>
      </c>
    </row>
    <row r="17915" spans="1:2" x14ac:dyDescent="0.4">
      <c r="A17915" s="4">
        <v>501600100</v>
      </c>
      <c r="B17915">
        <v>8200302</v>
      </c>
    </row>
    <row r="17916" spans="1:2" x14ac:dyDescent="0.4">
      <c r="A17916" s="4">
        <v>501600100</v>
      </c>
      <c r="B17916">
        <v>8200400</v>
      </c>
    </row>
    <row r="17917" spans="1:2" x14ac:dyDescent="0.4">
      <c r="A17917" s="4">
        <v>501600100</v>
      </c>
      <c r="B17917">
        <v>8200401</v>
      </c>
    </row>
    <row r="17918" spans="1:2" x14ac:dyDescent="0.4">
      <c r="A17918" s="4">
        <v>501600100</v>
      </c>
      <c r="B17918">
        <v>8200402</v>
      </c>
    </row>
    <row r="17919" spans="1:2" x14ac:dyDescent="0.4">
      <c r="A17919" s="4">
        <v>501600100</v>
      </c>
      <c r="B17919">
        <v>8210000</v>
      </c>
    </row>
    <row r="17920" spans="1:2" x14ac:dyDescent="0.4">
      <c r="A17920" s="4">
        <v>501600100</v>
      </c>
      <c r="B17920">
        <v>8210001</v>
      </c>
    </row>
    <row r="17921" spans="1:2" x14ac:dyDescent="0.4">
      <c r="A17921" s="4">
        <v>501600100</v>
      </c>
      <c r="B17921">
        <v>8210002</v>
      </c>
    </row>
    <row r="17922" spans="1:2" x14ac:dyDescent="0.4">
      <c r="A17922" s="4">
        <v>501600100</v>
      </c>
      <c r="B17922">
        <v>8210100</v>
      </c>
    </row>
    <row r="17923" spans="1:2" x14ac:dyDescent="0.4">
      <c r="A17923" s="4">
        <v>501600100</v>
      </c>
      <c r="B17923">
        <v>8210101</v>
      </c>
    </row>
    <row r="17924" spans="1:2" x14ac:dyDescent="0.4">
      <c r="A17924" s="4">
        <v>501600100</v>
      </c>
      <c r="B17924">
        <v>8210102</v>
      </c>
    </row>
    <row r="17925" spans="1:2" x14ac:dyDescent="0.4">
      <c r="A17925" s="4">
        <v>501600100</v>
      </c>
      <c r="B17925">
        <v>8210200</v>
      </c>
    </row>
    <row r="17926" spans="1:2" x14ac:dyDescent="0.4">
      <c r="A17926" s="4">
        <v>501600100</v>
      </c>
      <c r="B17926">
        <v>8210201</v>
      </c>
    </row>
    <row r="17927" spans="1:2" x14ac:dyDescent="0.4">
      <c r="A17927" s="4">
        <v>501600100</v>
      </c>
      <c r="B17927">
        <v>8210202</v>
      </c>
    </row>
    <row r="17928" spans="1:2" x14ac:dyDescent="0.4">
      <c r="A17928" s="4">
        <v>501600100</v>
      </c>
      <c r="B17928">
        <v>8210300</v>
      </c>
    </row>
    <row r="17929" spans="1:2" x14ac:dyDescent="0.4">
      <c r="A17929" s="4">
        <v>501600100</v>
      </c>
      <c r="B17929">
        <v>8210301</v>
      </c>
    </row>
    <row r="17930" spans="1:2" x14ac:dyDescent="0.4">
      <c r="A17930" s="4">
        <v>501600100</v>
      </c>
      <c r="B17930">
        <v>8210302</v>
      </c>
    </row>
    <row r="17931" spans="1:2" x14ac:dyDescent="0.4">
      <c r="A17931" s="4">
        <v>501600100</v>
      </c>
      <c r="B17931">
        <v>8210400</v>
      </c>
    </row>
    <row r="17932" spans="1:2" x14ac:dyDescent="0.4">
      <c r="A17932" s="4">
        <v>501600100</v>
      </c>
      <c r="B17932">
        <v>8210401</v>
      </c>
    </row>
    <row r="17933" spans="1:2" x14ac:dyDescent="0.4">
      <c r="A17933" s="4">
        <v>501600100</v>
      </c>
      <c r="B17933">
        <v>8210402</v>
      </c>
    </row>
    <row r="17934" spans="1:2" x14ac:dyDescent="0.4">
      <c r="A17934" s="4">
        <v>501600100</v>
      </c>
      <c r="B17934">
        <v>8210500</v>
      </c>
    </row>
    <row r="17935" spans="1:2" x14ac:dyDescent="0.4">
      <c r="A17935" s="4">
        <v>501600100</v>
      </c>
      <c r="B17935">
        <v>8210501</v>
      </c>
    </row>
    <row r="17936" spans="1:2" x14ac:dyDescent="0.4">
      <c r="A17936" s="4">
        <v>501600100</v>
      </c>
      <c r="B17936">
        <v>8210502</v>
      </c>
    </row>
    <row r="17937" spans="1:2" x14ac:dyDescent="0.4">
      <c r="A17937" s="4">
        <v>501600100</v>
      </c>
      <c r="B17937">
        <v>8210600</v>
      </c>
    </row>
    <row r="17938" spans="1:2" x14ac:dyDescent="0.4">
      <c r="A17938" s="4">
        <v>501600100</v>
      </c>
      <c r="B17938">
        <v>8210601</v>
      </c>
    </row>
    <row r="17939" spans="1:2" x14ac:dyDescent="0.4">
      <c r="A17939" s="4">
        <v>501600100</v>
      </c>
      <c r="B17939">
        <v>8210602</v>
      </c>
    </row>
    <row r="17940" spans="1:2" x14ac:dyDescent="0.4">
      <c r="A17940" s="4">
        <v>501600100</v>
      </c>
      <c r="B17940">
        <v>8220000</v>
      </c>
    </row>
    <row r="17941" spans="1:2" x14ac:dyDescent="0.4">
      <c r="A17941" s="4">
        <v>501600100</v>
      </c>
      <c r="B17941">
        <v>8220001</v>
      </c>
    </row>
    <row r="17942" spans="1:2" x14ac:dyDescent="0.4">
      <c r="A17942" s="4">
        <v>501600100</v>
      </c>
      <c r="B17942">
        <v>8220002</v>
      </c>
    </row>
    <row r="17943" spans="1:2" x14ac:dyDescent="0.4">
      <c r="A17943" s="4">
        <v>501600100</v>
      </c>
      <c r="B17943">
        <v>8300000</v>
      </c>
    </row>
    <row r="17944" spans="1:2" x14ac:dyDescent="0.4">
      <c r="A17944" s="4">
        <v>501600100</v>
      </c>
      <c r="B17944">
        <v>8300001</v>
      </c>
    </row>
    <row r="17945" spans="1:2" x14ac:dyDescent="0.4">
      <c r="A17945" s="4">
        <v>501600100</v>
      </c>
      <c r="B17945">
        <v>8300002</v>
      </c>
    </row>
    <row r="17946" spans="1:2" x14ac:dyDescent="0.4">
      <c r="A17946" s="4">
        <v>501600100</v>
      </c>
      <c r="B17946">
        <v>8310000</v>
      </c>
    </row>
    <row r="17947" spans="1:2" x14ac:dyDescent="0.4">
      <c r="A17947" s="4">
        <v>501600100</v>
      </c>
      <c r="B17947">
        <v>8310001</v>
      </c>
    </row>
    <row r="17948" spans="1:2" x14ac:dyDescent="0.4">
      <c r="A17948" s="4">
        <v>501600100</v>
      </c>
      <c r="B17948">
        <v>8310002</v>
      </c>
    </row>
    <row r="17949" spans="1:2" x14ac:dyDescent="0.4">
      <c r="A17949" s="4">
        <v>501600100</v>
      </c>
      <c r="B17949">
        <v>8320000</v>
      </c>
    </row>
    <row r="17950" spans="1:2" x14ac:dyDescent="0.4">
      <c r="A17950" s="4">
        <v>501600100</v>
      </c>
      <c r="B17950">
        <v>8320001</v>
      </c>
    </row>
    <row r="17951" spans="1:2" x14ac:dyDescent="0.4">
      <c r="A17951" s="4">
        <v>501600100</v>
      </c>
      <c r="B17951">
        <v>8320002</v>
      </c>
    </row>
    <row r="17952" spans="1:2" x14ac:dyDescent="0.4">
      <c r="A17952" s="4">
        <v>501600100</v>
      </c>
      <c r="B17952">
        <v>8320100</v>
      </c>
    </row>
    <row r="17953" spans="1:2" x14ac:dyDescent="0.4">
      <c r="A17953" s="4">
        <v>501600100</v>
      </c>
      <c r="B17953">
        <v>8320101</v>
      </c>
    </row>
    <row r="17954" spans="1:2" x14ac:dyDescent="0.4">
      <c r="A17954" s="4">
        <v>501600100</v>
      </c>
      <c r="B17954">
        <v>8320102</v>
      </c>
    </row>
    <row r="17955" spans="1:2" x14ac:dyDescent="0.4">
      <c r="A17955" s="4">
        <v>501600100</v>
      </c>
      <c r="B17955">
        <v>8320300</v>
      </c>
    </row>
    <row r="17956" spans="1:2" x14ac:dyDescent="0.4">
      <c r="A17956" s="4">
        <v>501600100</v>
      </c>
      <c r="B17956">
        <v>8320301</v>
      </c>
    </row>
    <row r="17957" spans="1:2" x14ac:dyDescent="0.4">
      <c r="A17957" s="4">
        <v>501600100</v>
      </c>
      <c r="B17957">
        <v>8320302</v>
      </c>
    </row>
    <row r="17958" spans="1:2" x14ac:dyDescent="0.4">
      <c r="A17958" s="4">
        <v>501600100</v>
      </c>
      <c r="B17958">
        <v>8320400</v>
      </c>
    </row>
    <row r="17959" spans="1:2" x14ac:dyDescent="0.4">
      <c r="A17959" s="4">
        <v>501600100</v>
      </c>
      <c r="B17959">
        <v>8320410</v>
      </c>
    </row>
    <row r="17960" spans="1:2" x14ac:dyDescent="0.4">
      <c r="A17960" s="4">
        <v>501600100</v>
      </c>
      <c r="B17960">
        <v>8320420</v>
      </c>
    </row>
    <row r="17961" spans="1:2" x14ac:dyDescent="0.4">
      <c r="A17961" s="4">
        <v>501600100</v>
      </c>
      <c r="B17961">
        <v>8330000</v>
      </c>
    </row>
    <row r="17962" spans="1:2" x14ac:dyDescent="0.4">
      <c r="A17962" s="4">
        <v>501600100</v>
      </c>
      <c r="B17962">
        <v>8330001</v>
      </c>
    </row>
    <row r="17963" spans="1:2" x14ac:dyDescent="0.4">
      <c r="A17963" s="4">
        <v>501600100</v>
      </c>
      <c r="B17963">
        <v>8330002</v>
      </c>
    </row>
    <row r="17964" spans="1:2" x14ac:dyDescent="0.4">
      <c r="A17964" s="4">
        <v>501600100</v>
      </c>
      <c r="B17964">
        <v>8330100</v>
      </c>
    </row>
    <row r="17965" spans="1:2" x14ac:dyDescent="0.4">
      <c r="A17965" s="4">
        <v>501600100</v>
      </c>
      <c r="B17965">
        <v>8330101</v>
      </c>
    </row>
    <row r="17966" spans="1:2" x14ac:dyDescent="0.4">
      <c r="A17966" s="4">
        <v>501600100</v>
      </c>
      <c r="B17966">
        <v>8330102</v>
      </c>
    </row>
    <row r="17967" spans="1:2" x14ac:dyDescent="0.4">
      <c r="A17967" s="4">
        <v>501600100</v>
      </c>
      <c r="B17967">
        <v>8330200</v>
      </c>
    </row>
    <row r="17968" spans="1:2" x14ac:dyDescent="0.4">
      <c r="A17968" s="4">
        <v>501600100</v>
      </c>
      <c r="B17968">
        <v>8330201</v>
      </c>
    </row>
    <row r="17969" spans="1:2" x14ac:dyDescent="0.4">
      <c r="A17969" s="4">
        <v>501600100</v>
      </c>
      <c r="B17969">
        <v>8330202</v>
      </c>
    </row>
    <row r="17970" spans="1:2" x14ac:dyDescent="0.4">
      <c r="A17970" s="4">
        <v>501600100</v>
      </c>
      <c r="B17970">
        <v>8330300</v>
      </c>
    </row>
    <row r="17971" spans="1:2" x14ac:dyDescent="0.4">
      <c r="A17971" s="4">
        <v>501600100</v>
      </c>
      <c r="B17971">
        <v>8330301</v>
      </c>
    </row>
    <row r="17972" spans="1:2" x14ac:dyDescent="0.4">
      <c r="A17972" s="4">
        <v>501600100</v>
      </c>
      <c r="B17972">
        <v>8330302</v>
      </c>
    </row>
    <row r="17973" spans="1:2" x14ac:dyDescent="0.4">
      <c r="A17973" s="4">
        <v>501600100</v>
      </c>
      <c r="B17973">
        <v>8330400</v>
      </c>
    </row>
    <row r="17974" spans="1:2" x14ac:dyDescent="0.4">
      <c r="A17974" s="4">
        <v>501600100</v>
      </c>
      <c r="B17974">
        <v>8330401</v>
      </c>
    </row>
    <row r="17975" spans="1:2" x14ac:dyDescent="0.4">
      <c r="A17975" s="4">
        <v>501600100</v>
      </c>
      <c r="B17975">
        <v>8330600</v>
      </c>
    </row>
    <row r="17976" spans="1:2" x14ac:dyDescent="0.4">
      <c r="A17976" s="4">
        <v>501600100</v>
      </c>
      <c r="B17976">
        <v>8330601</v>
      </c>
    </row>
    <row r="17977" spans="1:2" x14ac:dyDescent="0.4">
      <c r="A17977" s="4">
        <v>501600100</v>
      </c>
      <c r="B17977">
        <v>8330602</v>
      </c>
    </row>
    <row r="17978" spans="1:2" x14ac:dyDescent="0.4">
      <c r="A17978" s="4">
        <v>501600100</v>
      </c>
      <c r="B17978">
        <v>8330900</v>
      </c>
    </row>
    <row r="17979" spans="1:2" x14ac:dyDescent="0.4">
      <c r="A17979" s="4">
        <v>501600100</v>
      </c>
      <c r="B17979">
        <v>8330910</v>
      </c>
    </row>
    <row r="17980" spans="1:2" x14ac:dyDescent="0.4">
      <c r="A17980" s="4">
        <v>501600100</v>
      </c>
      <c r="B17980">
        <v>8330920</v>
      </c>
    </row>
    <row r="17981" spans="1:2" x14ac:dyDescent="0.4">
      <c r="A17981" s="4">
        <v>501600100</v>
      </c>
      <c r="B17981">
        <v>8340000</v>
      </c>
    </row>
    <row r="17982" spans="1:2" x14ac:dyDescent="0.4">
      <c r="A17982" s="4">
        <v>501600100</v>
      </c>
      <c r="B17982">
        <v>8340001</v>
      </c>
    </row>
    <row r="17983" spans="1:2" x14ac:dyDescent="0.4">
      <c r="A17983" s="4">
        <v>501600100</v>
      </c>
      <c r="B17983">
        <v>8340002</v>
      </c>
    </row>
    <row r="17984" spans="1:2" x14ac:dyDescent="0.4">
      <c r="A17984" s="4">
        <v>501600100</v>
      </c>
      <c r="B17984">
        <v>8340100</v>
      </c>
    </row>
    <row r="17985" spans="1:2" x14ac:dyDescent="0.4">
      <c r="A17985" s="4">
        <v>501600100</v>
      </c>
      <c r="B17985">
        <v>8340101</v>
      </c>
    </row>
    <row r="17986" spans="1:2" x14ac:dyDescent="0.4">
      <c r="A17986" s="4">
        <v>501600100</v>
      </c>
      <c r="B17986">
        <v>8340102</v>
      </c>
    </row>
    <row r="17987" spans="1:2" x14ac:dyDescent="0.4">
      <c r="A17987" s="4">
        <v>501600100</v>
      </c>
      <c r="B17987">
        <v>8350000</v>
      </c>
    </row>
    <row r="17988" spans="1:2" x14ac:dyDescent="0.4">
      <c r="A17988" s="4">
        <v>501600100</v>
      </c>
      <c r="B17988">
        <v>8350001</v>
      </c>
    </row>
    <row r="17989" spans="1:2" x14ac:dyDescent="0.4">
      <c r="A17989" s="4">
        <v>501600100</v>
      </c>
      <c r="B17989">
        <v>8350002</v>
      </c>
    </row>
    <row r="17990" spans="1:2" x14ac:dyDescent="0.4">
      <c r="A17990" s="4">
        <v>501600100</v>
      </c>
      <c r="B17990">
        <v>8350200</v>
      </c>
    </row>
    <row r="17991" spans="1:2" x14ac:dyDescent="0.4">
      <c r="A17991" s="4">
        <v>501600100</v>
      </c>
      <c r="B17991">
        <v>8350201</v>
      </c>
    </row>
    <row r="17992" spans="1:2" x14ac:dyDescent="0.4">
      <c r="A17992" s="4">
        <v>501600100</v>
      </c>
      <c r="B17992">
        <v>8350202</v>
      </c>
    </row>
    <row r="17993" spans="1:2" x14ac:dyDescent="0.4">
      <c r="A17993" s="4">
        <v>501600100</v>
      </c>
      <c r="B17993">
        <v>8420000</v>
      </c>
    </row>
    <row r="17994" spans="1:2" x14ac:dyDescent="0.4">
      <c r="A17994" s="4">
        <v>501600100</v>
      </c>
      <c r="B17994">
        <v>8420001</v>
      </c>
    </row>
    <row r="17995" spans="1:2" x14ac:dyDescent="0.4">
      <c r="A17995" s="4">
        <v>501600100</v>
      </c>
      <c r="B17995">
        <v>8420002</v>
      </c>
    </row>
    <row r="17996" spans="1:2" x14ac:dyDescent="0.4">
      <c r="A17996" s="4">
        <v>501600100</v>
      </c>
      <c r="B17996">
        <v>8450000</v>
      </c>
    </row>
    <row r="17997" spans="1:2" x14ac:dyDescent="0.4">
      <c r="A17997" s="4">
        <v>501600100</v>
      </c>
      <c r="B17997">
        <v>8460100</v>
      </c>
    </row>
    <row r="17998" spans="1:2" x14ac:dyDescent="0.4">
      <c r="A17998" s="4">
        <v>501600100</v>
      </c>
      <c r="B17998">
        <v>8460300</v>
      </c>
    </row>
    <row r="17999" spans="1:2" x14ac:dyDescent="0.4">
      <c r="A17999" s="4">
        <v>501600100</v>
      </c>
      <c r="B17999">
        <v>8460500</v>
      </c>
    </row>
    <row r="18000" spans="1:2" x14ac:dyDescent="0.4">
      <c r="A18000" s="4">
        <v>501600100</v>
      </c>
      <c r="B18000">
        <v>8510000</v>
      </c>
    </row>
    <row r="18001" spans="1:2" x14ac:dyDescent="0.4">
      <c r="A18001" s="4">
        <v>501600100</v>
      </c>
      <c r="B18001">
        <v>8510001</v>
      </c>
    </row>
    <row r="18002" spans="1:2" x14ac:dyDescent="0.4">
      <c r="A18002" s="4">
        <v>501600100</v>
      </c>
      <c r="B18002">
        <v>8510002</v>
      </c>
    </row>
    <row r="18003" spans="1:2" x14ac:dyDescent="0.4">
      <c r="A18003" s="4">
        <v>501600100</v>
      </c>
      <c r="B18003">
        <v>8520000</v>
      </c>
    </row>
    <row r="18004" spans="1:2" x14ac:dyDescent="0.4">
      <c r="A18004" s="4">
        <v>501600100</v>
      </c>
      <c r="B18004">
        <v>8520001</v>
      </c>
    </row>
    <row r="18005" spans="1:2" x14ac:dyDescent="0.4">
      <c r="A18005" s="4">
        <v>501600100</v>
      </c>
      <c r="B18005">
        <v>8520002</v>
      </c>
    </row>
    <row r="18006" spans="1:2" x14ac:dyDescent="0.4">
      <c r="A18006" s="4">
        <v>501600100</v>
      </c>
      <c r="B18006">
        <v>8530000</v>
      </c>
    </row>
    <row r="18007" spans="1:2" x14ac:dyDescent="0.4">
      <c r="A18007" s="4">
        <v>501600100</v>
      </c>
      <c r="B18007">
        <v>8530100</v>
      </c>
    </row>
    <row r="18008" spans="1:2" x14ac:dyDescent="0.4">
      <c r="A18008" s="4">
        <v>501600100</v>
      </c>
      <c r="B18008">
        <v>8540000</v>
      </c>
    </row>
    <row r="18009" spans="1:2" x14ac:dyDescent="0.4">
      <c r="A18009" s="4">
        <v>501600100</v>
      </c>
      <c r="B18009">
        <v>8600100</v>
      </c>
    </row>
    <row r="18010" spans="1:2" x14ac:dyDescent="0.4">
      <c r="A18010" s="4">
        <v>501600100</v>
      </c>
      <c r="B18010">
        <v>8600101</v>
      </c>
    </row>
    <row r="18011" spans="1:2" x14ac:dyDescent="0.4">
      <c r="A18011" s="4">
        <v>501600100</v>
      </c>
      <c r="B18011">
        <v>8600102</v>
      </c>
    </row>
    <row r="18012" spans="1:2" x14ac:dyDescent="0.4">
      <c r="A18012" s="4">
        <v>501600100</v>
      </c>
      <c r="B18012">
        <v>8600200</v>
      </c>
    </row>
    <row r="18013" spans="1:2" x14ac:dyDescent="0.4">
      <c r="A18013" s="4">
        <v>501600100</v>
      </c>
      <c r="B18013">
        <v>8600201</v>
      </c>
    </row>
    <row r="18014" spans="1:2" x14ac:dyDescent="0.4">
      <c r="A18014" s="4">
        <v>501600100</v>
      </c>
      <c r="B18014">
        <v>8600202</v>
      </c>
    </row>
    <row r="18015" spans="1:2" x14ac:dyDescent="0.4">
      <c r="A18015" s="4">
        <v>501600100</v>
      </c>
      <c r="B18015">
        <v>8610700</v>
      </c>
    </row>
    <row r="18016" spans="1:2" x14ac:dyDescent="0.4">
      <c r="A18016" s="4">
        <v>501600100</v>
      </c>
      <c r="B18016">
        <v>8610710</v>
      </c>
    </row>
    <row r="18017" spans="1:2" x14ac:dyDescent="0.4">
      <c r="A18017" s="4">
        <v>501600100</v>
      </c>
      <c r="B18017">
        <v>8610720</v>
      </c>
    </row>
    <row r="18018" spans="1:2" x14ac:dyDescent="0.4">
      <c r="A18018" s="4">
        <v>501600100</v>
      </c>
      <c r="B18018">
        <v>8620000</v>
      </c>
    </row>
    <row r="18019" spans="1:2" x14ac:dyDescent="0.4">
      <c r="A18019" s="4">
        <v>501600100</v>
      </c>
      <c r="B18019">
        <v>8620010</v>
      </c>
    </row>
    <row r="18020" spans="1:2" x14ac:dyDescent="0.4">
      <c r="A18020" s="4">
        <v>501600100</v>
      </c>
      <c r="B18020">
        <v>8620020</v>
      </c>
    </row>
    <row r="18021" spans="1:2" x14ac:dyDescent="0.4">
      <c r="A18021" s="4">
        <v>501600100</v>
      </c>
      <c r="B18021">
        <v>8620100</v>
      </c>
    </row>
    <row r="18022" spans="1:2" x14ac:dyDescent="0.4">
      <c r="A18022" s="4">
        <v>501600100</v>
      </c>
      <c r="B18022">
        <v>8620110</v>
      </c>
    </row>
    <row r="18023" spans="1:2" x14ac:dyDescent="0.4">
      <c r="A18023" s="4">
        <v>501600100</v>
      </c>
      <c r="B18023">
        <v>8620120</v>
      </c>
    </row>
    <row r="18024" spans="1:2" x14ac:dyDescent="0.4">
      <c r="A18024" s="4">
        <v>501600100</v>
      </c>
      <c r="B18024">
        <v>8630000</v>
      </c>
    </row>
    <row r="18025" spans="1:2" x14ac:dyDescent="0.4">
      <c r="A18025" s="4">
        <v>501600100</v>
      </c>
      <c r="B18025">
        <v>8630000</v>
      </c>
    </row>
    <row r="18026" spans="1:2" x14ac:dyDescent="0.4">
      <c r="A18026" s="4">
        <v>501600100</v>
      </c>
      <c r="B18026">
        <v>8630000</v>
      </c>
    </row>
    <row r="18027" spans="1:2" x14ac:dyDescent="0.4">
      <c r="A18027" s="4">
        <v>501600100</v>
      </c>
      <c r="B18027">
        <v>8630100</v>
      </c>
    </row>
    <row r="18028" spans="1:2" x14ac:dyDescent="0.4">
      <c r="A18028" s="4">
        <v>501600100</v>
      </c>
      <c r="B18028">
        <v>8630100</v>
      </c>
    </row>
    <row r="18029" spans="1:2" x14ac:dyDescent="0.4">
      <c r="A18029" s="4">
        <v>501600100</v>
      </c>
      <c r="B18029">
        <v>8630100</v>
      </c>
    </row>
    <row r="18030" spans="1:2" x14ac:dyDescent="0.4">
      <c r="A18030" s="4">
        <v>501600100</v>
      </c>
      <c r="B18030">
        <v>8652000</v>
      </c>
    </row>
    <row r="18031" spans="1:2" x14ac:dyDescent="0.4">
      <c r="A18031" s="4">
        <v>501600100</v>
      </c>
      <c r="B18031">
        <v>8652010</v>
      </c>
    </row>
    <row r="18032" spans="1:2" x14ac:dyDescent="0.4">
      <c r="A18032" s="4">
        <v>501600100</v>
      </c>
      <c r="B18032">
        <v>8652020</v>
      </c>
    </row>
    <row r="18033" spans="1:2" x14ac:dyDescent="0.4">
      <c r="A18033" s="4">
        <v>501600100</v>
      </c>
      <c r="B18033">
        <v>8652100</v>
      </c>
    </row>
    <row r="18034" spans="1:2" x14ac:dyDescent="0.4">
      <c r="A18034" s="4">
        <v>501600100</v>
      </c>
      <c r="B18034">
        <v>8652110</v>
      </c>
    </row>
    <row r="18035" spans="1:2" x14ac:dyDescent="0.4">
      <c r="A18035" s="4">
        <v>501600100</v>
      </c>
      <c r="B18035">
        <v>8652120</v>
      </c>
    </row>
    <row r="18036" spans="1:2" x14ac:dyDescent="0.4">
      <c r="A18036" s="4">
        <v>501600100</v>
      </c>
      <c r="B18036">
        <v>8660000</v>
      </c>
    </row>
    <row r="18037" spans="1:2" x14ac:dyDescent="0.4">
      <c r="A18037" s="4">
        <v>501600100</v>
      </c>
      <c r="B18037">
        <v>8660001</v>
      </c>
    </row>
    <row r="18038" spans="1:2" x14ac:dyDescent="0.4">
      <c r="A18038" s="4">
        <v>501600100</v>
      </c>
      <c r="B18038">
        <v>8660002</v>
      </c>
    </row>
    <row r="18039" spans="1:2" x14ac:dyDescent="0.4">
      <c r="A18039" s="4">
        <v>501600100</v>
      </c>
      <c r="B18039">
        <v>8660100</v>
      </c>
    </row>
    <row r="18040" spans="1:2" x14ac:dyDescent="0.4">
      <c r="A18040" s="4">
        <v>501600100</v>
      </c>
      <c r="B18040">
        <v>8660101</v>
      </c>
    </row>
    <row r="18041" spans="1:2" x14ac:dyDescent="0.4">
      <c r="A18041" s="4">
        <v>501600100</v>
      </c>
      <c r="B18041">
        <v>8660102</v>
      </c>
    </row>
    <row r="18042" spans="1:2" x14ac:dyDescent="0.4">
      <c r="A18042" s="4">
        <v>501600100</v>
      </c>
      <c r="B18042">
        <v>8670000</v>
      </c>
    </row>
    <row r="18043" spans="1:2" x14ac:dyDescent="0.4">
      <c r="A18043" s="4">
        <v>501600100</v>
      </c>
      <c r="B18043">
        <v>8670001</v>
      </c>
    </row>
    <row r="18044" spans="1:2" x14ac:dyDescent="0.4">
      <c r="A18044" s="4">
        <v>501600100</v>
      </c>
      <c r="B18044">
        <v>8670002</v>
      </c>
    </row>
    <row r="18045" spans="1:2" x14ac:dyDescent="0.4">
      <c r="A18045" s="4">
        <v>501600100</v>
      </c>
      <c r="B18045">
        <v>8670100</v>
      </c>
    </row>
    <row r="18046" spans="1:2" x14ac:dyDescent="0.4">
      <c r="A18046" s="4">
        <v>501600100</v>
      </c>
      <c r="B18046">
        <v>8670101</v>
      </c>
    </row>
    <row r="18047" spans="1:2" x14ac:dyDescent="0.4">
      <c r="A18047" s="4">
        <v>501600100</v>
      </c>
      <c r="B18047">
        <v>8670102</v>
      </c>
    </row>
    <row r="18048" spans="1:2" x14ac:dyDescent="0.4">
      <c r="A18048" s="4">
        <v>501600100</v>
      </c>
      <c r="B18048">
        <v>8690000</v>
      </c>
    </row>
    <row r="18049" spans="1:2" x14ac:dyDescent="0.4">
      <c r="A18049" s="4">
        <v>501600100</v>
      </c>
      <c r="B18049">
        <v>8690100</v>
      </c>
    </row>
    <row r="18050" spans="1:2" x14ac:dyDescent="0.4">
      <c r="A18050" s="4">
        <v>501600100</v>
      </c>
      <c r="B18050">
        <v>8690200</v>
      </c>
    </row>
    <row r="18051" spans="1:2" x14ac:dyDescent="0.4">
      <c r="A18051" s="4">
        <v>501600100</v>
      </c>
      <c r="B18051">
        <v>8690300</v>
      </c>
    </row>
    <row r="18052" spans="1:2" x14ac:dyDescent="0.4">
      <c r="A18052" s="4">
        <v>501600100</v>
      </c>
      <c r="B18052">
        <v>8690400</v>
      </c>
    </row>
    <row r="18053" spans="1:2" x14ac:dyDescent="0.4">
      <c r="A18053" s="4">
        <v>501600100</v>
      </c>
      <c r="B18053">
        <v>8320500</v>
      </c>
    </row>
    <row r="18054" spans="1:2" x14ac:dyDescent="0.4">
      <c r="A18054" s="4">
        <v>501600100</v>
      </c>
      <c r="B18054">
        <v>8320510</v>
      </c>
    </row>
    <row r="18055" spans="1:2" x14ac:dyDescent="0.4">
      <c r="A18055" s="4">
        <v>501600100</v>
      </c>
      <c r="B18055">
        <v>8320520</v>
      </c>
    </row>
    <row r="18056" spans="1:2" x14ac:dyDescent="0.4">
      <c r="A18056" s="4">
        <v>501600100</v>
      </c>
      <c r="B18056">
        <v>8320600</v>
      </c>
    </row>
    <row r="18057" spans="1:2" x14ac:dyDescent="0.4">
      <c r="A18057" s="4">
        <v>501600100</v>
      </c>
      <c r="B18057">
        <v>8320610</v>
      </c>
    </row>
    <row r="18058" spans="1:2" x14ac:dyDescent="0.4">
      <c r="A18058" s="4">
        <v>501600100</v>
      </c>
      <c r="B18058">
        <v>8320620</v>
      </c>
    </row>
    <row r="18059" spans="1:2" x14ac:dyDescent="0.4">
      <c r="A18059" s="4">
        <v>501600100</v>
      </c>
      <c r="B18059">
        <v>8320700</v>
      </c>
    </row>
    <row r="18060" spans="1:2" x14ac:dyDescent="0.4">
      <c r="A18060" s="4">
        <v>501600100</v>
      </c>
      <c r="B18060">
        <v>8320710</v>
      </c>
    </row>
    <row r="18061" spans="1:2" x14ac:dyDescent="0.4">
      <c r="A18061" s="4">
        <v>501600100</v>
      </c>
      <c r="B18061">
        <v>8320720</v>
      </c>
    </row>
    <row r="18062" spans="1:2" x14ac:dyDescent="0.4">
      <c r="A18062" s="4">
        <v>501600200</v>
      </c>
      <c r="B18062">
        <v>0</v>
      </c>
    </row>
    <row r="18063" spans="1:2" x14ac:dyDescent="0.4">
      <c r="A18063" s="4">
        <v>501600200</v>
      </c>
      <c r="B18063">
        <v>8100100</v>
      </c>
    </row>
    <row r="18064" spans="1:2" x14ac:dyDescent="0.4">
      <c r="A18064" s="4">
        <v>501600200</v>
      </c>
      <c r="B18064">
        <v>8100101</v>
      </c>
    </row>
    <row r="18065" spans="1:2" x14ac:dyDescent="0.4">
      <c r="A18065" s="4">
        <v>501600200</v>
      </c>
      <c r="B18065">
        <v>8100102</v>
      </c>
    </row>
    <row r="18066" spans="1:2" x14ac:dyDescent="0.4">
      <c r="A18066" s="4">
        <v>501600200</v>
      </c>
      <c r="B18066">
        <v>8100200</v>
      </c>
    </row>
    <row r="18067" spans="1:2" x14ac:dyDescent="0.4">
      <c r="A18067" s="4">
        <v>501600200</v>
      </c>
      <c r="B18067">
        <v>8100201</v>
      </c>
    </row>
    <row r="18068" spans="1:2" x14ac:dyDescent="0.4">
      <c r="A18068" s="4">
        <v>501600200</v>
      </c>
      <c r="B18068">
        <v>8100202</v>
      </c>
    </row>
    <row r="18069" spans="1:2" x14ac:dyDescent="0.4">
      <c r="A18069" s="4">
        <v>501600200</v>
      </c>
      <c r="B18069">
        <v>8100300</v>
      </c>
    </row>
    <row r="18070" spans="1:2" x14ac:dyDescent="0.4">
      <c r="A18070" s="4">
        <v>501600200</v>
      </c>
      <c r="B18070">
        <v>8100301</v>
      </c>
    </row>
    <row r="18071" spans="1:2" x14ac:dyDescent="0.4">
      <c r="A18071" s="4">
        <v>501600200</v>
      </c>
      <c r="B18071">
        <v>8100302</v>
      </c>
    </row>
    <row r="18072" spans="1:2" x14ac:dyDescent="0.4">
      <c r="A18072" s="4">
        <v>501600200</v>
      </c>
      <c r="B18072">
        <v>8100400</v>
      </c>
    </row>
    <row r="18073" spans="1:2" x14ac:dyDescent="0.4">
      <c r="A18073" s="4">
        <v>501600200</v>
      </c>
      <c r="B18073">
        <v>8100401</v>
      </c>
    </row>
    <row r="18074" spans="1:2" x14ac:dyDescent="0.4">
      <c r="A18074" s="4">
        <v>501600200</v>
      </c>
      <c r="B18074">
        <v>8100402</v>
      </c>
    </row>
    <row r="18075" spans="1:2" x14ac:dyDescent="0.4">
      <c r="A18075" s="4">
        <v>501600200</v>
      </c>
      <c r="B18075">
        <v>8130000</v>
      </c>
    </row>
    <row r="18076" spans="1:2" x14ac:dyDescent="0.4">
      <c r="A18076" s="4">
        <v>501600200</v>
      </c>
      <c r="B18076">
        <v>8130001</v>
      </c>
    </row>
    <row r="18077" spans="1:2" x14ac:dyDescent="0.4">
      <c r="A18077" s="4">
        <v>501600200</v>
      </c>
      <c r="B18077">
        <v>8130002</v>
      </c>
    </row>
    <row r="18078" spans="1:2" x14ac:dyDescent="0.4">
      <c r="A18078" s="4">
        <v>501600200</v>
      </c>
      <c r="B18078">
        <v>8140000</v>
      </c>
    </row>
    <row r="18079" spans="1:2" x14ac:dyDescent="0.4">
      <c r="A18079" s="4">
        <v>501600200</v>
      </c>
      <c r="B18079">
        <v>8140001</v>
      </c>
    </row>
    <row r="18080" spans="1:2" x14ac:dyDescent="0.4">
      <c r="A18080" s="4">
        <v>501600200</v>
      </c>
      <c r="B18080">
        <v>8140002</v>
      </c>
    </row>
    <row r="18081" spans="1:2" x14ac:dyDescent="0.4">
      <c r="A18081" s="4">
        <v>501600200</v>
      </c>
      <c r="B18081">
        <v>8200100</v>
      </c>
    </row>
    <row r="18082" spans="1:2" x14ac:dyDescent="0.4">
      <c r="A18082" s="4">
        <v>501600200</v>
      </c>
      <c r="B18082">
        <v>8200101</v>
      </c>
    </row>
    <row r="18083" spans="1:2" x14ac:dyDescent="0.4">
      <c r="A18083" s="4">
        <v>501600200</v>
      </c>
      <c r="B18083">
        <v>8200102</v>
      </c>
    </row>
    <row r="18084" spans="1:2" x14ac:dyDescent="0.4">
      <c r="A18084" s="4">
        <v>501600200</v>
      </c>
      <c r="B18084">
        <v>8200200</v>
      </c>
    </row>
    <row r="18085" spans="1:2" x14ac:dyDescent="0.4">
      <c r="A18085" s="4">
        <v>501600200</v>
      </c>
      <c r="B18085">
        <v>8200201</v>
      </c>
    </row>
    <row r="18086" spans="1:2" x14ac:dyDescent="0.4">
      <c r="A18086" s="4">
        <v>501600200</v>
      </c>
      <c r="B18086">
        <v>8200202</v>
      </c>
    </row>
    <row r="18087" spans="1:2" x14ac:dyDescent="0.4">
      <c r="A18087" s="4">
        <v>501600200</v>
      </c>
      <c r="B18087">
        <v>8200300</v>
      </c>
    </row>
    <row r="18088" spans="1:2" x14ac:dyDescent="0.4">
      <c r="A18088" s="4">
        <v>501600200</v>
      </c>
      <c r="B18088">
        <v>8200301</v>
      </c>
    </row>
    <row r="18089" spans="1:2" x14ac:dyDescent="0.4">
      <c r="A18089" s="4">
        <v>501600200</v>
      </c>
      <c r="B18089">
        <v>8200302</v>
      </c>
    </row>
    <row r="18090" spans="1:2" x14ac:dyDescent="0.4">
      <c r="A18090" s="4">
        <v>501600200</v>
      </c>
      <c r="B18090">
        <v>8200400</v>
      </c>
    </row>
    <row r="18091" spans="1:2" x14ac:dyDescent="0.4">
      <c r="A18091" s="4">
        <v>501600200</v>
      </c>
      <c r="B18091">
        <v>8200401</v>
      </c>
    </row>
    <row r="18092" spans="1:2" x14ac:dyDescent="0.4">
      <c r="A18092" s="4">
        <v>501600200</v>
      </c>
      <c r="B18092">
        <v>8200402</v>
      </c>
    </row>
    <row r="18093" spans="1:2" x14ac:dyDescent="0.4">
      <c r="A18093" s="4">
        <v>501600200</v>
      </c>
      <c r="B18093">
        <v>8210000</v>
      </c>
    </row>
    <row r="18094" spans="1:2" x14ac:dyDescent="0.4">
      <c r="A18094" s="4">
        <v>501600200</v>
      </c>
      <c r="B18094">
        <v>8210001</v>
      </c>
    </row>
    <row r="18095" spans="1:2" x14ac:dyDescent="0.4">
      <c r="A18095" s="4">
        <v>501600200</v>
      </c>
      <c r="B18095">
        <v>8210002</v>
      </c>
    </row>
    <row r="18096" spans="1:2" x14ac:dyDescent="0.4">
      <c r="A18096" s="4">
        <v>501600200</v>
      </c>
      <c r="B18096">
        <v>8210100</v>
      </c>
    </row>
    <row r="18097" spans="1:2" x14ac:dyDescent="0.4">
      <c r="A18097" s="4">
        <v>501600200</v>
      </c>
      <c r="B18097">
        <v>8210101</v>
      </c>
    </row>
    <row r="18098" spans="1:2" x14ac:dyDescent="0.4">
      <c r="A18098" s="4">
        <v>501600200</v>
      </c>
      <c r="B18098">
        <v>8210102</v>
      </c>
    </row>
    <row r="18099" spans="1:2" x14ac:dyDescent="0.4">
      <c r="A18099" s="4">
        <v>501600200</v>
      </c>
      <c r="B18099">
        <v>8210200</v>
      </c>
    </row>
    <row r="18100" spans="1:2" x14ac:dyDescent="0.4">
      <c r="A18100" s="4">
        <v>501600200</v>
      </c>
      <c r="B18100">
        <v>8210201</v>
      </c>
    </row>
    <row r="18101" spans="1:2" x14ac:dyDescent="0.4">
      <c r="A18101" s="4">
        <v>501600200</v>
      </c>
      <c r="B18101">
        <v>8210202</v>
      </c>
    </row>
    <row r="18102" spans="1:2" x14ac:dyDescent="0.4">
      <c r="A18102" s="4">
        <v>501600200</v>
      </c>
      <c r="B18102">
        <v>8210300</v>
      </c>
    </row>
    <row r="18103" spans="1:2" x14ac:dyDescent="0.4">
      <c r="A18103" s="4">
        <v>501600200</v>
      </c>
      <c r="B18103">
        <v>8210301</v>
      </c>
    </row>
    <row r="18104" spans="1:2" x14ac:dyDescent="0.4">
      <c r="A18104" s="4">
        <v>501600200</v>
      </c>
      <c r="B18104">
        <v>8210302</v>
      </c>
    </row>
    <row r="18105" spans="1:2" x14ac:dyDescent="0.4">
      <c r="A18105" s="4">
        <v>501600200</v>
      </c>
      <c r="B18105">
        <v>8210400</v>
      </c>
    </row>
    <row r="18106" spans="1:2" x14ac:dyDescent="0.4">
      <c r="A18106" s="4">
        <v>501600200</v>
      </c>
      <c r="B18106">
        <v>8210401</v>
      </c>
    </row>
    <row r="18107" spans="1:2" x14ac:dyDescent="0.4">
      <c r="A18107" s="4">
        <v>501600200</v>
      </c>
      <c r="B18107">
        <v>8210402</v>
      </c>
    </row>
    <row r="18108" spans="1:2" x14ac:dyDescent="0.4">
      <c r="A18108" s="4">
        <v>501600200</v>
      </c>
      <c r="B18108">
        <v>8210500</v>
      </c>
    </row>
    <row r="18109" spans="1:2" x14ac:dyDescent="0.4">
      <c r="A18109" s="4">
        <v>501600200</v>
      </c>
      <c r="B18109">
        <v>8210501</v>
      </c>
    </row>
    <row r="18110" spans="1:2" x14ac:dyDescent="0.4">
      <c r="A18110" s="4">
        <v>501600200</v>
      </c>
      <c r="B18110">
        <v>8210502</v>
      </c>
    </row>
    <row r="18111" spans="1:2" x14ac:dyDescent="0.4">
      <c r="A18111" s="4">
        <v>501600200</v>
      </c>
      <c r="B18111">
        <v>8210600</v>
      </c>
    </row>
    <row r="18112" spans="1:2" x14ac:dyDescent="0.4">
      <c r="A18112" s="4">
        <v>501600200</v>
      </c>
      <c r="B18112">
        <v>8210601</v>
      </c>
    </row>
    <row r="18113" spans="1:2" x14ac:dyDescent="0.4">
      <c r="A18113" s="4">
        <v>501600200</v>
      </c>
      <c r="B18113">
        <v>8210602</v>
      </c>
    </row>
    <row r="18114" spans="1:2" x14ac:dyDescent="0.4">
      <c r="A18114" s="4">
        <v>501600200</v>
      </c>
      <c r="B18114">
        <v>8220000</v>
      </c>
    </row>
    <row r="18115" spans="1:2" x14ac:dyDescent="0.4">
      <c r="A18115" s="4">
        <v>501600200</v>
      </c>
      <c r="B18115">
        <v>8220001</v>
      </c>
    </row>
    <row r="18116" spans="1:2" x14ac:dyDescent="0.4">
      <c r="A18116" s="4">
        <v>501600200</v>
      </c>
      <c r="B18116">
        <v>8220002</v>
      </c>
    </row>
    <row r="18117" spans="1:2" x14ac:dyDescent="0.4">
      <c r="A18117" s="4">
        <v>501600200</v>
      </c>
      <c r="B18117">
        <v>8300000</v>
      </c>
    </row>
    <row r="18118" spans="1:2" x14ac:dyDescent="0.4">
      <c r="A18118" s="4">
        <v>501600200</v>
      </c>
      <c r="B18118">
        <v>8300001</v>
      </c>
    </row>
    <row r="18119" spans="1:2" x14ac:dyDescent="0.4">
      <c r="A18119" s="4">
        <v>501600200</v>
      </c>
      <c r="B18119">
        <v>8300002</v>
      </c>
    </row>
    <row r="18120" spans="1:2" x14ac:dyDescent="0.4">
      <c r="A18120" s="4">
        <v>501600200</v>
      </c>
      <c r="B18120">
        <v>8310000</v>
      </c>
    </row>
    <row r="18121" spans="1:2" x14ac:dyDescent="0.4">
      <c r="A18121" s="4">
        <v>501600200</v>
      </c>
      <c r="B18121">
        <v>8310001</v>
      </c>
    </row>
    <row r="18122" spans="1:2" x14ac:dyDescent="0.4">
      <c r="A18122" s="4">
        <v>501600200</v>
      </c>
      <c r="B18122">
        <v>8310002</v>
      </c>
    </row>
    <row r="18123" spans="1:2" x14ac:dyDescent="0.4">
      <c r="A18123" s="4">
        <v>501600200</v>
      </c>
      <c r="B18123">
        <v>8320000</v>
      </c>
    </row>
    <row r="18124" spans="1:2" x14ac:dyDescent="0.4">
      <c r="A18124" s="4">
        <v>501600200</v>
      </c>
      <c r="B18124">
        <v>8320001</v>
      </c>
    </row>
    <row r="18125" spans="1:2" x14ac:dyDescent="0.4">
      <c r="A18125" s="4">
        <v>501600200</v>
      </c>
      <c r="B18125">
        <v>8320002</v>
      </c>
    </row>
    <row r="18126" spans="1:2" x14ac:dyDescent="0.4">
      <c r="A18126" s="4">
        <v>501600200</v>
      </c>
      <c r="B18126">
        <v>8320100</v>
      </c>
    </row>
    <row r="18127" spans="1:2" x14ac:dyDescent="0.4">
      <c r="A18127" s="4">
        <v>501600200</v>
      </c>
      <c r="B18127">
        <v>8320101</v>
      </c>
    </row>
    <row r="18128" spans="1:2" x14ac:dyDescent="0.4">
      <c r="A18128" s="4">
        <v>501600200</v>
      </c>
      <c r="B18128">
        <v>8320102</v>
      </c>
    </row>
    <row r="18129" spans="1:2" x14ac:dyDescent="0.4">
      <c r="A18129" s="4">
        <v>501600200</v>
      </c>
      <c r="B18129">
        <v>8320300</v>
      </c>
    </row>
    <row r="18130" spans="1:2" x14ac:dyDescent="0.4">
      <c r="A18130" s="4">
        <v>501600200</v>
      </c>
      <c r="B18130">
        <v>8320301</v>
      </c>
    </row>
    <row r="18131" spans="1:2" x14ac:dyDescent="0.4">
      <c r="A18131" s="4">
        <v>501600200</v>
      </c>
      <c r="B18131">
        <v>8320302</v>
      </c>
    </row>
    <row r="18132" spans="1:2" x14ac:dyDescent="0.4">
      <c r="A18132" s="4">
        <v>501600200</v>
      </c>
      <c r="B18132">
        <v>8320400</v>
      </c>
    </row>
    <row r="18133" spans="1:2" x14ac:dyDescent="0.4">
      <c r="A18133" s="4">
        <v>501600200</v>
      </c>
      <c r="B18133">
        <v>8320410</v>
      </c>
    </row>
    <row r="18134" spans="1:2" x14ac:dyDescent="0.4">
      <c r="A18134" s="4">
        <v>501600200</v>
      </c>
      <c r="B18134">
        <v>8320420</v>
      </c>
    </row>
    <row r="18135" spans="1:2" x14ac:dyDescent="0.4">
      <c r="A18135" s="4">
        <v>501600200</v>
      </c>
      <c r="B18135">
        <v>8330000</v>
      </c>
    </row>
    <row r="18136" spans="1:2" x14ac:dyDescent="0.4">
      <c r="A18136" s="4">
        <v>501600200</v>
      </c>
      <c r="B18136">
        <v>8330001</v>
      </c>
    </row>
    <row r="18137" spans="1:2" x14ac:dyDescent="0.4">
      <c r="A18137" s="4">
        <v>501600200</v>
      </c>
      <c r="B18137">
        <v>8330002</v>
      </c>
    </row>
    <row r="18138" spans="1:2" x14ac:dyDescent="0.4">
      <c r="A18138" s="4">
        <v>501600200</v>
      </c>
      <c r="B18138">
        <v>8330100</v>
      </c>
    </row>
    <row r="18139" spans="1:2" x14ac:dyDescent="0.4">
      <c r="A18139" s="4">
        <v>501600200</v>
      </c>
      <c r="B18139">
        <v>8330101</v>
      </c>
    </row>
    <row r="18140" spans="1:2" x14ac:dyDescent="0.4">
      <c r="A18140" s="4">
        <v>501600200</v>
      </c>
      <c r="B18140">
        <v>8330102</v>
      </c>
    </row>
    <row r="18141" spans="1:2" x14ac:dyDescent="0.4">
      <c r="A18141" s="4">
        <v>501600200</v>
      </c>
      <c r="B18141">
        <v>8330200</v>
      </c>
    </row>
    <row r="18142" spans="1:2" x14ac:dyDescent="0.4">
      <c r="A18142" s="4">
        <v>501600200</v>
      </c>
      <c r="B18142">
        <v>8330201</v>
      </c>
    </row>
    <row r="18143" spans="1:2" x14ac:dyDescent="0.4">
      <c r="A18143" s="4">
        <v>501600200</v>
      </c>
      <c r="B18143">
        <v>8330202</v>
      </c>
    </row>
    <row r="18144" spans="1:2" x14ac:dyDescent="0.4">
      <c r="A18144" s="4">
        <v>501600200</v>
      </c>
      <c r="B18144">
        <v>8330300</v>
      </c>
    </row>
    <row r="18145" spans="1:2" x14ac:dyDescent="0.4">
      <c r="A18145" s="4">
        <v>501600200</v>
      </c>
      <c r="B18145">
        <v>8330301</v>
      </c>
    </row>
    <row r="18146" spans="1:2" x14ac:dyDescent="0.4">
      <c r="A18146" s="4">
        <v>501600200</v>
      </c>
      <c r="B18146">
        <v>8330302</v>
      </c>
    </row>
    <row r="18147" spans="1:2" x14ac:dyDescent="0.4">
      <c r="A18147" s="4">
        <v>501600200</v>
      </c>
      <c r="B18147">
        <v>8330400</v>
      </c>
    </row>
    <row r="18148" spans="1:2" x14ac:dyDescent="0.4">
      <c r="A18148" s="4">
        <v>501600200</v>
      </c>
      <c r="B18148">
        <v>8330401</v>
      </c>
    </row>
    <row r="18149" spans="1:2" x14ac:dyDescent="0.4">
      <c r="A18149" s="4">
        <v>501600200</v>
      </c>
      <c r="B18149">
        <v>8330600</v>
      </c>
    </row>
    <row r="18150" spans="1:2" x14ac:dyDescent="0.4">
      <c r="A18150" s="4">
        <v>501600200</v>
      </c>
      <c r="B18150">
        <v>8330601</v>
      </c>
    </row>
    <row r="18151" spans="1:2" x14ac:dyDescent="0.4">
      <c r="A18151" s="4">
        <v>501600200</v>
      </c>
      <c r="B18151">
        <v>8330602</v>
      </c>
    </row>
    <row r="18152" spans="1:2" x14ac:dyDescent="0.4">
      <c r="A18152" s="4">
        <v>501600200</v>
      </c>
      <c r="B18152">
        <v>8330900</v>
      </c>
    </row>
    <row r="18153" spans="1:2" x14ac:dyDescent="0.4">
      <c r="A18153" s="4">
        <v>501600200</v>
      </c>
      <c r="B18153">
        <v>8330910</v>
      </c>
    </row>
    <row r="18154" spans="1:2" x14ac:dyDescent="0.4">
      <c r="A18154" s="4">
        <v>501600200</v>
      </c>
      <c r="B18154">
        <v>8330920</v>
      </c>
    </row>
    <row r="18155" spans="1:2" x14ac:dyDescent="0.4">
      <c r="A18155" s="4">
        <v>501600200</v>
      </c>
      <c r="B18155">
        <v>8340000</v>
      </c>
    </row>
    <row r="18156" spans="1:2" x14ac:dyDescent="0.4">
      <c r="A18156" s="4">
        <v>501600200</v>
      </c>
      <c r="B18156">
        <v>8340001</v>
      </c>
    </row>
    <row r="18157" spans="1:2" x14ac:dyDescent="0.4">
      <c r="A18157" s="4">
        <v>501600200</v>
      </c>
      <c r="B18157">
        <v>8340002</v>
      </c>
    </row>
    <row r="18158" spans="1:2" x14ac:dyDescent="0.4">
      <c r="A18158" s="4">
        <v>501600200</v>
      </c>
      <c r="B18158">
        <v>8340100</v>
      </c>
    </row>
    <row r="18159" spans="1:2" x14ac:dyDescent="0.4">
      <c r="A18159" s="4">
        <v>501600200</v>
      </c>
      <c r="B18159">
        <v>8340101</v>
      </c>
    </row>
    <row r="18160" spans="1:2" x14ac:dyDescent="0.4">
      <c r="A18160" s="4">
        <v>501600200</v>
      </c>
      <c r="B18160">
        <v>8340102</v>
      </c>
    </row>
    <row r="18161" spans="1:2" x14ac:dyDescent="0.4">
      <c r="A18161" s="4">
        <v>501600200</v>
      </c>
      <c r="B18161">
        <v>8350000</v>
      </c>
    </row>
    <row r="18162" spans="1:2" x14ac:dyDescent="0.4">
      <c r="A18162" s="4">
        <v>501600200</v>
      </c>
      <c r="B18162">
        <v>8350001</v>
      </c>
    </row>
    <row r="18163" spans="1:2" x14ac:dyDescent="0.4">
      <c r="A18163" s="4">
        <v>501600200</v>
      </c>
      <c r="B18163">
        <v>8350002</v>
      </c>
    </row>
    <row r="18164" spans="1:2" x14ac:dyDescent="0.4">
      <c r="A18164" s="4">
        <v>501600200</v>
      </c>
      <c r="B18164">
        <v>8350200</v>
      </c>
    </row>
    <row r="18165" spans="1:2" x14ac:dyDescent="0.4">
      <c r="A18165" s="4">
        <v>501600200</v>
      </c>
      <c r="B18165">
        <v>8350201</v>
      </c>
    </row>
    <row r="18166" spans="1:2" x14ac:dyDescent="0.4">
      <c r="A18166" s="4">
        <v>501600200</v>
      </c>
      <c r="B18166">
        <v>8350202</v>
      </c>
    </row>
    <row r="18167" spans="1:2" x14ac:dyDescent="0.4">
      <c r="A18167" s="4">
        <v>501600200</v>
      </c>
      <c r="B18167">
        <v>8420000</v>
      </c>
    </row>
    <row r="18168" spans="1:2" x14ac:dyDescent="0.4">
      <c r="A18168" s="4">
        <v>501600200</v>
      </c>
      <c r="B18168">
        <v>8420001</v>
      </c>
    </row>
    <row r="18169" spans="1:2" x14ac:dyDescent="0.4">
      <c r="A18169" s="4">
        <v>501600200</v>
      </c>
      <c r="B18169">
        <v>8420002</v>
      </c>
    </row>
    <row r="18170" spans="1:2" x14ac:dyDescent="0.4">
      <c r="A18170" s="4">
        <v>501600200</v>
      </c>
      <c r="B18170">
        <v>8450000</v>
      </c>
    </row>
    <row r="18171" spans="1:2" x14ac:dyDescent="0.4">
      <c r="A18171" s="4">
        <v>501600200</v>
      </c>
      <c r="B18171">
        <v>8460100</v>
      </c>
    </row>
    <row r="18172" spans="1:2" x14ac:dyDescent="0.4">
      <c r="A18172" s="4">
        <v>501600200</v>
      </c>
      <c r="B18172">
        <v>8460300</v>
      </c>
    </row>
    <row r="18173" spans="1:2" x14ac:dyDescent="0.4">
      <c r="A18173" s="4">
        <v>501600200</v>
      </c>
      <c r="B18173">
        <v>8460500</v>
      </c>
    </row>
    <row r="18174" spans="1:2" x14ac:dyDescent="0.4">
      <c r="A18174" s="4">
        <v>501600200</v>
      </c>
      <c r="B18174">
        <v>8510000</v>
      </c>
    </row>
    <row r="18175" spans="1:2" x14ac:dyDescent="0.4">
      <c r="A18175" s="4">
        <v>501600200</v>
      </c>
      <c r="B18175">
        <v>8510001</v>
      </c>
    </row>
    <row r="18176" spans="1:2" x14ac:dyDescent="0.4">
      <c r="A18176" s="4">
        <v>501600200</v>
      </c>
      <c r="B18176">
        <v>8510002</v>
      </c>
    </row>
    <row r="18177" spans="1:2" x14ac:dyDescent="0.4">
      <c r="A18177" s="4">
        <v>501600200</v>
      </c>
      <c r="B18177">
        <v>8520000</v>
      </c>
    </row>
    <row r="18178" spans="1:2" x14ac:dyDescent="0.4">
      <c r="A18178" s="4">
        <v>501600200</v>
      </c>
      <c r="B18178">
        <v>8520001</v>
      </c>
    </row>
    <row r="18179" spans="1:2" x14ac:dyDescent="0.4">
      <c r="A18179" s="4">
        <v>501600200</v>
      </c>
      <c r="B18179">
        <v>8520002</v>
      </c>
    </row>
    <row r="18180" spans="1:2" x14ac:dyDescent="0.4">
      <c r="A18180" s="4">
        <v>501600200</v>
      </c>
      <c r="B18180">
        <v>8530000</v>
      </c>
    </row>
    <row r="18181" spans="1:2" x14ac:dyDescent="0.4">
      <c r="A18181" s="4">
        <v>501600200</v>
      </c>
      <c r="B18181">
        <v>8530100</v>
      </c>
    </row>
    <row r="18182" spans="1:2" x14ac:dyDescent="0.4">
      <c r="A18182" s="4">
        <v>501600200</v>
      </c>
      <c r="B18182">
        <v>8540000</v>
      </c>
    </row>
    <row r="18183" spans="1:2" x14ac:dyDescent="0.4">
      <c r="A18183" s="4">
        <v>501600200</v>
      </c>
      <c r="B18183">
        <v>8600100</v>
      </c>
    </row>
    <row r="18184" spans="1:2" x14ac:dyDescent="0.4">
      <c r="A18184" s="4">
        <v>501600200</v>
      </c>
      <c r="B18184">
        <v>8600101</v>
      </c>
    </row>
    <row r="18185" spans="1:2" x14ac:dyDescent="0.4">
      <c r="A18185" s="4">
        <v>501600200</v>
      </c>
      <c r="B18185">
        <v>8600102</v>
      </c>
    </row>
    <row r="18186" spans="1:2" x14ac:dyDescent="0.4">
      <c r="A18186" s="4">
        <v>501600200</v>
      </c>
      <c r="B18186">
        <v>8600200</v>
      </c>
    </row>
    <row r="18187" spans="1:2" x14ac:dyDescent="0.4">
      <c r="A18187" s="4">
        <v>501600200</v>
      </c>
      <c r="B18187">
        <v>8600201</v>
      </c>
    </row>
    <row r="18188" spans="1:2" x14ac:dyDescent="0.4">
      <c r="A18188" s="4">
        <v>501600200</v>
      </c>
      <c r="B18188">
        <v>8600202</v>
      </c>
    </row>
    <row r="18189" spans="1:2" x14ac:dyDescent="0.4">
      <c r="A18189" s="4">
        <v>501600200</v>
      </c>
      <c r="B18189">
        <v>8610700</v>
      </c>
    </row>
    <row r="18190" spans="1:2" x14ac:dyDescent="0.4">
      <c r="A18190" s="4">
        <v>501600200</v>
      </c>
      <c r="B18190">
        <v>8610710</v>
      </c>
    </row>
    <row r="18191" spans="1:2" x14ac:dyDescent="0.4">
      <c r="A18191" s="4">
        <v>501600200</v>
      </c>
      <c r="B18191">
        <v>8610720</v>
      </c>
    </row>
    <row r="18192" spans="1:2" x14ac:dyDescent="0.4">
      <c r="A18192" s="4">
        <v>501600200</v>
      </c>
      <c r="B18192">
        <v>8620000</v>
      </c>
    </row>
    <row r="18193" spans="1:2" x14ac:dyDescent="0.4">
      <c r="A18193" s="4">
        <v>501600200</v>
      </c>
      <c r="B18193">
        <v>8620010</v>
      </c>
    </row>
    <row r="18194" spans="1:2" x14ac:dyDescent="0.4">
      <c r="A18194" s="4">
        <v>501600200</v>
      </c>
      <c r="B18194">
        <v>8620020</v>
      </c>
    </row>
    <row r="18195" spans="1:2" x14ac:dyDescent="0.4">
      <c r="A18195" s="4">
        <v>501600200</v>
      </c>
      <c r="B18195">
        <v>8620100</v>
      </c>
    </row>
    <row r="18196" spans="1:2" x14ac:dyDescent="0.4">
      <c r="A18196" s="4">
        <v>501600200</v>
      </c>
      <c r="B18196">
        <v>8620110</v>
      </c>
    </row>
    <row r="18197" spans="1:2" x14ac:dyDescent="0.4">
      <c r="A18197" s="4">
        <v>501600200</v>
      </c>
      <c r="B18197">
        <v>8620120</v>
      </c>
    </row>
    <row r="18198" spans="1:2" x14ac:dyDescent="0.4">
      <c r="A18198" s="4">
        <v>501600200</v>
      </c>
      <c r="B18198">
        <v>8630000</v>
      </c>
    </row>
    <row r="18199" spans="1:2" x14ac:dyDescent="0.4">
      <c r="A18199" s="4">
        <v>501600200</v>
      </c>
      <c r="B18199">
        <v>8630000</v>
      </c>
    </row>
    <row r="18200" spans="1:2" x14ac:dyDescent="0.4">
      <c r="A18200" s="4">
        <v>501600200</v>
      </c>
      <c r="B18200">
        <v>8630000</v>
      </c>
    </row>
    <row r="18201" spans="1:2" x14ac:dyDescent="0.4">
      <c r="A18201" s="4">
        <v>501600200</v>
      </c>
      <c r="B18201">
        <v>8630100</v>
      </c>
    </row>
    <row r="18202" spans="1:2" x14ac:dyDescent="0.4">
      <c r="A18202" s="4">
        <v>501600200</v>
      </c>
      <c r="B18202">
        <v>8630100</v>
      </c>
    </row>
    <row r="18203" spans="1:2" x14ac:dyDescent="0.4">
      <c r="A18203" s="4">
        <v>501600200</v>
      </c>
      <c r="B18203">
        <v>8630100</v>
      </c>
    </row>
    <row r="18204" spans="1:2" x14ac:dyDescent="0.4">
      <c r="A18204" s="4">
        <v>501600200</v>
      </c>
      <c r="B18204">
        <v>8652000</v>
      </c>
    </row>
    <row r="18205" spans="1:2" x14ac:dyDescent="0.4">
      <c r="A18205" s="4">
        <v>501600200</v>
      </c>
      <c r="B18205">
        <v>8652010</v>
      </c>
    </row>
    <row r="18206" spans="1:2" x14ac:dyDescent="0.4">
      <c r="A18206" s="4">
        <v>501600200</v>
      </c>
      <c r="B18206">
        <v>8652020</v>
      </c>
    </row>
    <row r="18207" spans="1:2" x14ac:dyDescent="0.4">
      <c r="A18207" s="4">
        <v>501600200</v>
      </c>
      <c r="B18207">
        <v>8652100</v>
      </c>
    </row>
    <row r="18208" spans="1:2" x14ac:dyDescent="0.4">
      <c r="A18208" s="4">
        <v>501600200</v>
      </c>
      <c r="B18208">
        <v>8652110</v>
      </c>
    </row>
    <row r="18209" spans="1:2" x14ac:dyDescent="0.4">
      <c r="A18209" s="4">
        <v>501600200</v>
      </c>
      <c r="B18209">
        <v>8652120</v>
      </c>
    </row>
    <row r="18210" spans="1:2" x14ac:dyDescent="0.4">
      <c r="A18210" s="4">
        <v>501600200</v>
      </c>
      <c r="B18210">
        <v>8660000</v>
      </c>
    </row>
    <row r="18211" spans="1:2" x14ac:dyDescent="0.4">
      <c r="A18211" s="4">
        <v>501600200</v>
      </c>
      <c r="B18211">
        <v>8660001</v>
      </c>
    </row>
    <row r="18212" spans="1:2" x14ac:dyDescent="0.4">
      <c r="A18212" s="4">
        <v>501600200</v>
      </c>
      <c r="B18212">
        <v>8660002</v>
      </c>
    </row>
    <row r="18213" spans="1:2" x14ac:dyDescent="0.4">
      <c r="A18213" s="4">
        <v>501600200</v>
      </c>
      <c r="B18213">
        <v>8660100</v>
      </c>
    </row>
    <row r="18214" spans="1:2" x14ac:dyDescent="0.4">
      <c r="A18214" s="4">
        <v>501600200</v>
      </c>
      <c r="B18214">
        <v>8660101</v>
      </c>
    </row>
    <row r="18215" spans="1:2" x14ac:dyDescent="0.4">
      <c r="A18215" s="4">
        <v>501600200</v>
      </c>
      <c r="B18215">
        <v>8660102</v>
      </c>
    </row>
    <row r="18216" spans="1:2" x14ac:dyDescent="0.4">
      <c r="A18216" s="4">
        <v>501600200</v>
      </c>
      <c r="B18216">
        <v>8670000</v>
      </c>
    </row>
    <row r="18217" spans="1:2" x14ac:dyDescent="0.4">
      <c r="A18217" s="4">
        <v>501600200</v>
      </c>
      <c r="B18217">
        <v>8670001</v>
      </c>
    </row>
    <row r="18218" spans="1:2" x14ac:dyDescent="0.4">
      <c r="A18218" s="4">
        <v>501600200</v>
      </c>
      <c r="B18218">
        <v>8670002</v>
      </c>
    </row>
    <row r="18219" spans="1:2" x14ac:dyDescent="0.4">
      <c r="A18219" s="4">
        <v>501600200</v>
      </c>
      <c r="B18219">
        <v>8670100</v>
      </c>
    </row>
    <row r="18220" spans="1:2" x14ac:dyDescent="0.4">
      <c r="A18220" s="4">
        <v>501600200</v>
      </c>
      <c r="B18220">
        <v>8670101</v>
      </c>
    </row>
    <row r="18221" spans="1:2" x14ac:dyDescent="0.4">
      <c r="A18221" s="4">
        <v>501600200</v>
      </c>
      <c r="B18221">
        <v>8670102</v>
      </c>
    </row>
    <row r="18222" spans="1:2" x14ac:dyDescent="0.4">
      <c r="A18222" s="4">
        <v>501600200</v>
      </c>
      <c r="B18222">
        <v>8690000</v>
      </c>
    </row>
    <row r="18223" spans="1:2" x14ac:dyDescent="0.4">
      <c r="A18223" s="4">
        <v>501600200</v>
      </c>
      <c r="B18223">
        <v>8690100</v>
      </c>
    </row>
    <row r="18224" spans="1:2" x14ac:dyDescent="0.4">
      <c r="A18224" s="4">
        <v>501600200</v>
      </c>
      <c r="B18224">
        <v>8690200</v>
      </c>
    </row>
    <row r="18225" spans="1:2" x14ac:dyDescent="0.4">
      <c r="A18225" s="4">
        <v>501600200</v>
      </c>
      <c r="B18225">
        <v>8690300</v>
      </c>
    </row>
    <row r="18226" spans="1:2" x14ac:dyDescent="0.4">
      <c r="A18226" s="4">
        <v>501600200</v>
      </c>
      <c r="B18226">
        <v>8690400</v>
      </c>
    </row>
    <row r="18227" spans="1:2" x14ac:dyDescent="0.4">
      <c r="A18227" s="4">
        <v>501600200</v>
      </c>
      <c r="B18227">
        <v>8320500</v>
      </c>
    </row>
    <row r="18228" spans="1:2" x14ac:dyDescent="0.4">
      <c r="A18228" s="4">
        <v>501600200</v>
      </c>
      <c r="B18228">
        <v>8320510</v>
      </c>
    </row>
    <row r="18229" spans="1:2" x14ac:dyDescent="0.4">
      <c r="A18229" s="4">
        <v>501600200</v>
      </c>
      <c r="B18229">
        <v>8320520</v>
      </c>
    </row>
    <row r="18230" spans="1:2" x14ac:dyDescent="0.4">
      <c r="A18230" s="4">
        <v>501600200</v>
      </c>
      <c r="B18230">
        <v>8320600</v>
      </c>
    </row>
    <row r="18231" spans="1:2" x14ac:dyDescent="0.4">
      <c r="A18231" s="4">
        <v>501600200</v>
      </c>
      <c r="B18231">
        <v>8320610</v>
      </c>
    </row>
    <row r="18232" spans="1:2" x14ac:dyDescent="0.4">
      <c r="A18232" s="4">
        <v>501600200</v>
      </c>
      <c r="B18232">
        <v>8320620</v>
      </c>
    </row>
    <row r="18233" spans="1:2" x14ac:dyDescent="0.4">
      <c r="A18233" s="4">
        <v>501600200</v>
      </c>
      <c r="B18233">
        <v>8320700</v>
      </c>
    </row>
    <row r="18234" spans="1:2" x14ac:dyDescent="0.4">
      <c r="A18234" s="4">
        <v>501600200</v>
      </c>
      <c r="B18234">
        <v>8320710</v>
      </c>
    </row>
    <row r="18235" spans="1:2" x14ac:dyDescent="0.4">
      <c r="A18235" s="4">
        <v>501600200</v>
      </c>
      <c r="B18235">
        <v>8320720</v>
      </c>
    </row>
    <row r="18236" spans="1:2" x14ac:dyDescent="0.4">
      <c r="A18236" s="4">
        <v>505000100</v>
      </c>
      <c r="B18236">
        <v>0</v>
      </c>
    </row>
    <row r="18237" spans="1:2" x14ac:dyDescent="0.4">
      <c r="A18237" s="4">
        <v>505000100</v>
      </c>
      <c r="B18237">
        <v>8100100</v>
      </c>
    </row>
    <row r="18238" spans="1:2" x14ac:dyDescent="0.4">
      <c r="A18238" s="4">
        <v>505000100</v>
      </c>
      <c r="B18238">
        <v>8100101</v>
      </c>
    </row>
    <row r="18239" spans="1:2" x14ac:dyDescent="0.4">
      <c r="A18239" s="4">
        <v>505000100</v>
      </c>
      <c r="B18239">
        <v>8100102</v>
      </c>
    </row>
    <row r="18240" spans="1:2" x14ac:dyDescent="0.4">
      <c r="A18240" s="4">
        <v>505000100</v>
      </c>
      <c r="B18240">
        <v>8100200</v>
      </c>
    </row>
    <row r="18241" spans="1:2" x14ac:dyDescent="0.4">
      <c r="A18241" s="4">
        <v>505000100</v>
      </c>
      <c r="B18241">
        <v>8100201</v>
      </c>
    </row>
    <row r="18242" spans="1:2" x14ac:dyDescent="0.4">
      <c r="A18242" s="4">
        <v>505000100</v>
      </c>
      <c r="B18242">
        <v>8100202</v>
      </c>
    </row>
    <row r="18243" spans="1:2" x14ac:dyDescent="0.4">
      <c r="A18243" s="4">
        <v>505000100</v>
      </c>
      <c r="B18243">
        <v>8100300</v>
      </c>
    </row>
    <row r="18244" spans="1:2" x14ac:dyDescent="0.4">
      <c r="A18244" s="4">
        <v>505000100</v>
      </c>
      <c r="B18244">
        <v>8100301</v>
      </c>
    </row>
    <row r="18245" spans="1:2" x14ac:dyDescent="0.4">
      <c r="A18245" s="4">
        <v>505000100</v>
      </c>
      <c r="B18245">
        <v>8100302</v>
      </c>
    </row>
    <row r="18246" spans="1:2" x14ac:dyDescent="0.4">
      <c r="A18246" s="4">
        <v>505000100</v>
      </c>
      <c r="B18246">
        <v>8100400</v>
      </c>
    </row>
    <row r="18247" spans="1:2" x14ac:dyDescent="0.4">
      <c r="A18247" s="4">
        <v>505000100</v>
      </c>
      <c r="B18247">
        <v>8100401</v>
      </c>
    </row>
    <row r="18248" spans="1:2" x14ac:dyDescent="0.4">
      <c r="A18248" s="4">
        <v>505000100</v>
      </c>
      <c r="B18248">
        <v>8100402</v>
      </c>
    </row>
    <row r="18249" spans="1:2" x14ac:dyDescent="0.4">
      <c r="A18249" s="4">
        <v>505000100</v>
      </c>
      <c r="B18249">
        <v>8130000</v>
      </c>
    </row>
    <row r="18250" spans="1:2" x14ac:dyDescent="0.4">
      <c r="A18250" s="4">
        <v>505000100</v>
      </c>
      <c r="B18250">
        <v>8130001</v>
      </c>
    </row>
    <row r="18251" spans="1:2" x14ac:dyDescent="0.4">
      <c r="A18251" s="4">
        <v>505000100</v>
      </c>
      <c r="B18251">
        <v>8130002</v>
      </c>
    </row>
    <row r="18252" spans="1:2" x14ac:dyDescent="0.4">
      <c r="A18252" s="4">
        <v>505000100</v>
      </c>
      <c r="B18252">
        <v>8140000</v>
      </c>
    </row>
    <row r="18253" spans="1:2" x14ac:dyDescent="0.4">
      <c r="A18253" s="4">
        <v>505000100</v>
      </c>
      <c r="B18253">
        <v>8140001</v>
      </c>
    </row>
    <row r="18254" spans="1:2" x14ac:dyDescent="0.4">
      <c r="A18254" s="4">
        <v>505000100</v>
      </c>
      <c r="B18254">
        <v>8140002</v>
      </c>
    </row>
    <row r="18255" spans="1:2" x14ac:dyDescent="0.4">
      <c r="A18255" s="4">
        <v>505000100</v>
      </c>
      <c r="B18255">
        <v>8200100</v>
      </c>
    </row>
    <row r="18256" spans="1:2" x14ac:dyDescent="0.4">
      <c r="A18256" s="4">
        <v>505000100</v>
      </c>
      <c r="B18256">
        <v>8200101</v>
      </c>
    </row>
    <row r="18257" spans="1:2" x14ac:dyDescent="0.4">
      <c r="A18257" s="4">
        <v>505000100</v>
      </c>
      <c r="B18257">
        <v>8200102</v>
      </c>
    </row>
    <row r="18258" spans="1:2" x14ac:dyDescent="0.4">
      <c r="A18258" s="4">
        <v>505000100</v>
      </c>
      <c r="B18258">
        <v>8200200</v>
      </c>
    </row>
    <row r="18259" spans="1:2" x14ac:dyDescent="0.4">
      <c r="A18259" s="4">
        <v>505000100</v>
      </c>
      <c r="B18259">
        <v>8200201</v>
      </c>
    </row>
    <row r="18260" spans="1:2" x14ac:dyDescent="0.4">
      <c r="A18260" s="4">
        <v>505000100</v>
      </c>
      <c r="B18260">
        <v>8200202</v>
      </c>
    </row>
    <row r="18261" spans="1:2" x14ac:dyDescent="0.4">
      <c r="A18261" s="4">
        <v>505000100</v>
      </c>
      <c r="B18261">
        <v>8200300</v>
      </c>
    </row>
    <row r="18262" spans="1:2" x14ac:dyDescent="0.4">
      <c r="A18262" s="4">
        <v>505000100</v>
      </c>
      <c r="B18262">
        <v>8200301</v>
      </c>
    </row>
    <row r="18263" spans="1:2" x14ac:dyDescent="0.4">
      <c r="A18263" s="4">
        <v>505000100</v>
      </c>
      <c r="B18263">
        <v>8200302</v>
      </c>
    </row>
    <row r="18264" spans="1:2" x14ac:dyDescent="0.4">
      <c r="A18264" s="4">
        <v>505000100</v>
      </c>
      <c r="B18264">
        <v>8200400</v>
      </c>
    </row>
    <row r="18265" spans="1:2" x14ac:dyDescent="0.4">
      <c r="A18265" s="4">
        <v>505000100</v>
      </c>
      <c r="B18265">
        <v>8200401</v>
      </c>
    </row>
    <row r="18266" spans="1:2" x14ac:dyDescent="0.4">
      <c r="A18266" s="4">
        <v>505000100</v>
      </c>
      <c r="B18266">
        <v>8200402</v>
      </c>
    </row>
    <row r="18267" spans="1:2" x14ac:dyDescent="0.4">
      <c r="A18267" s="4">
        <v>505000100</v>
      </c>
      <c r="B18267">
        <v>8210000</v>
      </c>
    </row>
    <row r="18268" spans="1:2" x14ac:dyDescent="0.4">
      <c r="A18268" s="4">
        <v>505000100</v>
      </c>
      <c r="B18268">
        <v>8210001</v>
      </c>
    </row>
    <row r="18269" spans="1:2" x14ac:dyDescent="0.4">
      <c r="A18269" s="4">
        <v>505000100</v>
      </c>
      <c r="B18269">
        <v>8210002</v>
      </c>
    </row>
    <row r="18270" spans="1:2" x14ac:dyDescent="0.4">
      <c r="A18270" s="4">
        <v>505000100</v>
      </c>
      <c r="B18270">
        <v>8210100</v>
      </c>
    </row>
    <row r="18271" spans="1:2" x14ac:dyDescent="0.4">
      <c r="A18271" s="4">
        <v>505000100</v>
      </c>
      <c r="B18271">
        <v>8210101</v>
      </c>
    </row>
    <row r="18272" spans="1:2" x14ac:dyDescent="0.4">
      <c r="A18272" s="4">
        <v>505000100</v>
      </c>
      <c r="B18272">
        <v>8210102</v>
      </c>
    </row>
    <row r="18273" spans="1:2" x14ac:dyDescent="0.4">
      <c r="A18273" s="4">
        <v>505000100</v>
      </c>
      <c r="B18273">
        <v>8210200</v>
      </c>
    </row>
    <row r="18274" spans="1:2" x14ac:dyDescent="0.4">
      <c r="A18274" s="4">
        <v>505000100</v>
      </c>
      <c r="B18274">
        <v>8210201</v>
      </c>
    </row>
    <row r="18275" spans="1:2" x14ac:dyDescent="0.4">
      <c r="A18275" s="4">
        <v>505000100</v>
      </c>
      <c r="B18275">
        <v>8210202</v>
      </c>
    </row>
    <row r="18276" spans="1:2" x14ac:dyDescent="0.4">
      <c r="A18276" s="4">
        <v>505000100</v>
      </c>
      <c r="B18276">
        <v>8210300</v>
      </c>
    </row>
    <row r="18277" spans="1:2" x14ac:dyDescent="0.4">
      <c r="A18277" s="4">
        <v>505000100</v>
      </c>
      <c r="B18277">
        <v>8210301</v>
      </c>
    </row>
    <row r="18278" spans="1:2" x14ac:dyDescent="0.4">
      <c r="A18278" s="4">
        <v>505000100</v>
      </c>
      <c r="B18278">
        <v>8210302</v>
      </c>
    </row>
    <row r="18279" spans="1:2" x14ac:dyDescent="0.4">
      <c r="A18279" s="4">
        <v>505000100</v>
      </c>
      <c r="B18279">
        <v>8210400</v>
      </c>
    </row>
    <row r="18280" spans="1:2" x14ac:dyDescent="0.4">
      <c r="A18280" s="4">
        <v>505000100</v>
      </c>
      <c r="B18280">
        <v>8210401</v>
      </c>
    </row>
    <row r="18281" spans="1:2" x14ac:dyDescent="0.4">
      <c r="A18281" s="4">
        <v>505000100</v>
      </c>
      <c r="B18281">
        <v>8210402</v>
      </c>
    </row>
    <row r="18282" spans="1:2" x14ac:dyDescent="0.4">
      <c r="A18282" s="4">
        <v>505000100</v>
      </c>
      <c r="B18282">
        <v>8210500</v>
      </c>
    </row>
    <row r="18283" spans="1:2" x14ac:dyDescent="0.4">
      <c r="A18283" s="4">
        <v>505000100</v>
      </c>
      <c r="B18283">
        <v>8210501</v>
      </c>
    </row>
    <row r="18284" spans="1:2" x14ac:dyDescent="0.4">
      <c r="A18284" s="4">
        <v>505000100</v>
      </c>
      <c r="B18284">
        <v>8210502</v>
      </c>
    </row>
    <row r="18285" spans="1:2" x14ac:dyDescent="0.4">
      <c r="A18285" s="4">
        <v>505000100</v>
      </c>
      <c r="B18285">
        <v>8210600</v>
      </c>
    </row>
    <row r="18286" spans="1:2" x14ac:dyDescent="0.4">
      <c r="A18286" s="4">
        <v>505000100</v>
      </c>
      <c r="B18286">
        <v>8210601</v>
      </c>
    </row>
    <row r="18287" spans="1:2" x14ac:dyDescent="0.4">
      <c r="A18287" s="4">
        <v>505000100</v>
      </c>
      <c r="B18287">
        <v>8210602</v>
      </c>
    </row>
    <row r="18288" spans="1:2" x14ac:dyDescent="0.4">
      <c r="A18288" s="4">
        <v>505000100</v>
      </c>
      <c r="B18288">
        <v>8220000</v>
      </c>
    </row>
    <row r="18289" spans="1:2" x14ac:dyDescent="0.4">
      <c r="A18289" s="4">
        <v>505000100</v>
      </c>
      <c r="B18289">
        <v>8220001</v>
      </c>
    </row>
    <row r="18290" spans="1:2" x14ac:dyDescent="0.4">
      <c r="A18290" s="4">
        <v>505000100</v>
      </c>
      <c r="B18290">
        <v>8220002</v>
      </c>
    </row>
    <row r="18291" spans="1:2" x14ac:dyDescent="0.4">
      <c r="A18291" s="4">
        <v>505000100</v>
      </c>
      <c r="B18291">
        <v>8300000</v>
      </c>
    </row>
    <row r="18292" spans="1:2" x14ac:dyDescent="0.4">
      <c r="A18292" s="4">
        <v>505000100</v>
      </c>
      <c r="B18292">
        <v>8300001</v>
      </c>
    </row>
    <row r="18293" spans="1:2" x14ac:dyDescent="0.4">
      <c r="A18293" s="4">
        <v>505000100</v>
      </c>
      <c r="B18293">
        <v>8300002</v>
      </c>
    </row>
    <row r="18294" spans="1:2" x14ac:dyDescent="0.4">
      <c r="A18294" s="4">
        <v>505000100</v>
      </c>
      <c r="B18294">
        <v>8310000</v>
      </c>
    </row>
    <row r="18295" spans="1:2" x14ac:dyDescent="0.4">
      <c r="A18295" s="4">
        <v>505000100</v>
      </c>
      <c r="B18295">
        <v>8310001</v>
      </c>
    </row>
    <row r="18296" spans="1:2" x14ac:dyDescent="0.4">
      <c r="A18296" s="4">
        <v>505000100</v>
      </c>
      <c r="B18296">
        <v>8310002</v>
      </c>
    </row>
    <row r="18297" spans="1:2" x14ac:dyDescent="0.4">
      <c r="A18297" s="4">
        <v>505000100</v>
      </c>
      <c r="B18297">
        <v>8320000</v>
      </c>
    </row>
    <row r="18298" spans="1:2" x14ac:dyDescent="0.4">
      <c r="A18298" s="4">
        <v>505000100</v>
      </c>
      <c r="B18298">
        <v>8320001</v>
      </c>
    </row>
    <row r="18299" spans="1:2" x14ac:dyDescent="0.4">
      <c r="A18299" s="4">
        <v>505000100</v>
      </c>
      <c r="B18299">
        <v>8320002</v>
      </c>
    </row>
    <row r="18300" spans="1:2" x14ac:dyDescent="0.4">
      <c r="A18300" s="4">
        <v>505000100</v>
      </c>
      <c r="B18300">
        <v>8320100</v>
      </c>
    </row>
    <row r="18301" spans="1:2" x14ac:dyDescent="0.4">
      <c r="A18301" s="4">
        <v>505000100</v>
      </c>
      <c r="B18301">
        <v>8320101</v>
      </c>
    </row>
    <row r="18302" spans="1:2" x14ac:dyDescent="0.4">
      <c r="A18302" s="4">
        <v>505000100</v>
      </c>
      <c r="B18302">
        <v>8320102</v>
      </c>
    </row>
    <row r="18303" spans="1:2" x14ac:dyDescent="0.4">
      <c r="A18303" s="4">
        <v>505000100</v>
      </c>
      <c r="B18303">
        <v>8320300</v>
      </c>
    </row>
    <row r="18304" spans="1:2" x14ac:dyDescent="0.4">
      <c r="A18304" s="4">
        <v>505000100</v>
      </c>
      <c r="B18304">
        <v>8320301</v>
      </c>
    </row>
    <row r="18305" spans="1:2" x14ac:dyDescent="0.4">
      <c r="A18305" s="4">
        <v>505000100</v>
      </c>
      <c r="B18305">
        <v>8320302</v>
      </c>
    </row>
    <row r="18306" spans="1:2" x14ac:dyDescent="0.4">
      <c r="A18306" s="4">
        <v>505000100</v>
      </c>
      <c r="B18306">
        <v>8320400</v>
      </c>
    </row>
    <row r="18307" spans="1:2" x14ac:dyDescent="0.4">
      <c r="A18307" s="4">
        <v>505000100</v>
      </c>
      <c r="B18307">
        <v>8320410</v>
      </c>
    </row>
    <row r="18308" spans="1:2" x14ac:dyDescent="0.4">
      <c r="A18308" s="4">
        <v>505000100</v>
      </c>
      <c r="B18308">
        <v>8320420</v>
      </c>
    </row>
    <row r="18309" spans="1:2" x14ac:dyDescent="0.4">
      <c r="A18309" s="4">
        <v>505000100</v>
      </c>
      <c r="B18309">
        <v>8330000</v>
      </c>
    </row>
    <row r="18310" spans="1:2" x14ac:dyDescent="0.4">
      <c r="A18310" s="4">
        <v>505000100</v>
      </c>
      <c r="B18310">
        <v>8330001</v>
      </c>
    </row>
    <row r="18311" spans="1:2" x14ac:dyDescent="0.4">
      <c r="A18311" s="4">
        <v>505000100</v>
      </c>
      <c r="B18311">
        <v>8330002</v>
      </c>
    </row>
    <row r="18312" spans="1:2" x14ac:dyDescent="0.4">
      <c r="A18312" s="4">
        <v>505000100</v>
      </c>
      <c r="B18312">
        <v>8330100</v>
      </c>
    </row>
    <row r="18313" spans="1:2" x14ac:dyDescent="0.4">
      <c r="A18313" s="4">
        <v>505000100</v>
      </c>
      <c r="B18313">
        <v>8330101</v>
      </c>
    </row>
    <row r="18314" spans="1:2" x14ac:dyDescent="0.4">
      <c r="A18314" s="4">
        <v>505000100</v>
      </c>
      <c r="B18314">
        <v>8330102</v>
      </c>
    </row>
    <row r="18315" spans="1:2" x14ac:dyDescent="0.4">
      <c r="A18315" s="4">
        <v>505000100</v>
      </c>
      <c r="B18315">
        <v>8330200</v>
      </c>
    </row>
    <row r="18316" spans="1:2" x14ac:dyDescent="0.4">
      <c r="A18316" s="4">
        <v>505000100</v>
      </c>
      <c r="B18316">
        <v>8330201</v>
      </c>
    </row>
    <row r="18317" spans="1:2" x14ac:dyDescent="0.4">
      <c r="A18317" s="4">
        <v>505000100</v>
      </c>
      <c r="B18317">
        <v>8330202</v>
      </c>
    </row>
    <row r="18318" spans="1:2" x14ac:dyDescent="0.4">
      <c r="A18318" s="4">
        <v>505000100</v>
      </c>
      <c r="B18318">
        <v>8330300</v>
      </c>
    </row>
    <row r="18319" spans="1:2" x14ac:dyDescent="0.4">
      <c r="A18319" s="4">
        <v>505000100</v>
      </c>
      <c r="B18319">
        <v>8330301</v>
      </c>
    </row>
    <row r="18320" spans="1:2" x14ac:dyDescent="0.4">
      <c r="A18320" s="4">
        <v>505000100</v>
      </c>
      <c r="B18320">
        <v>8330302</v>
      </c>
    </row>
    <row r="18321" spans="1:2" x14ac:dyDescent="0.4">
      <c r="A18321" s="4">
        <v>505000100</v>
      </c>
      <c r="B18321">
        <v>8330400</v>
      </c>
    </row>
    <row r="18322" spans="1:2" x14ac:dyDescent="0.4">
      <c r="A18322" s="4">
        <v>505000100</v>
      </c>
      <c r="B18322">
        <v>8330401</v>
      </c>
    </row>
    <row r="18323" spans="1:2" x14ac:dyDescent="0.4">
      <c r="A18323" s="4">
        <v>505000100</v>
      </c>
      <c r="B18323">
        <v>8330600</v>
      </c>
    </row>
    <row r="18324" spans="1:2" x14ac:dyDescent="0.4">
      <c r="A18324" s="4">
        <v>505000100</v>
      </c>
      <c r="B18324">
        <v>8330601</v>
      </c>
    </row>
    <row r="18325" spans="1:2" x14ac:dyDescent="0.4">
      <c r="A18325" s="4">
        <v>505000100</v>
      </c>
      <c r="B18325">
        <v>8330602</v>
      </c>
    </row>
    <row r="18326" spans="1:2" x14ac:dyDescent="0.4">
      <c r="A18326" s="4">
        <v>505000100</v>
      </c>
      <c r="B18326">
        <v>8330900</v>
      </c>
    </row>
    <row r="18327" spans="1:2" x14ac:dyDescent="0.4">
      <c r="A18327" s="4">
        <v>505000100</v>
      </c>
      <c r="B18327">
        <v>8330910</v>
      </c>
    </row>
    <row r="18328" spans="1:2" x14ac:dyDescent="0.4">
      <c r="A18328" s="4">
        <v>505000100</v>
      </c>
      <c r="B18328">
        <v>8330920</v>
      </c>
    </row>
    <row r="18329" spans="1:2" x14ac:dyDescent="0.4">
      <c r="A18329" s="4">
        <v>505000100</v>
      </c>
      <c r="B18329">
        <v>8340000</v>
      </c>
    </row>
    <row r="18330" spans="1:2" x14ac:dyDescent="0.4">
      <c r="A18330" s="4">
        <v>505000100</v>
      </c>
      <c r="B18330">
        <v>8340001</v>
      </c>
    </row>
    <row r="18331" spans="1:2" x14ac:dyDescent="0.4">
      <c r="A18331" s="4">
        <v>505000100</v>
      </c>
      <c r="B18331">
        <v>8340002</v>
      </c>
    </row>
    <row r="18332" spans="1:2" x14ac:dyDescent="0.4">
      <c r="A18332" s="4">
        <v>505000100</v>
      </c>
      <c r="B18332">
        <v>8340100</v>
      </c>
    </row>
    <row r="18333" spans="1:2" x14ac:dyDescent="0.4">
      <c r="A18333" s="4">
        <v>505000100</v>
      </c>
      <c r="B18333">
        <v>8340101</v>
      </c>
    </row>
    <row r="18334" spans="1:2" x14ac:dyDescent="0.4">
      <c r="A18334" s="4">
        <v>505000100</v>
      </c>
      <c r="B18334">
        <v>8340102</v>
      </c>
    </row>
    <row r="18335" spans="1:2" x14ac:dyDescent="0.4">
      <c r="A18335" s="4">
        <v>505000100</v>
      </c>
      <c r="B18335">
        <v>8350000</v>
      </c>
    </row>
    <row r="18336" spans="1:2" x14ac:dyDescent="0.4">
      <c r="A18336" s="4">
        <v>505000100</v>
      </c>
      <c r="B18336">
        <v>8350001</v>
      </c>
    </row>
    <row r="18337" spans="1:2" x14ac:dyDescent="0.4">
      <c r="A18337" s="4">
        <v>505000100</v>
      </c>
      <c r="B18337">
        <v>8350002</v>
      </c>
    </row>
    <row r="18338" spans="1:2" x14ac:dyDescent="0.4">
      <c r="A18338" s="4">
        <v>505000100</v>
      </c>
      <c r="B18338">
        <v>8350200</v>
      </c>
    </row>
    <row r="18339" spans="1:2" x14ac:dyDescent="0.4">
      <c r="A18339" s="4">
        <v>505000100</v>
      </c>
      <c r="B18339">
        <v>8350201</v>
      </c>
    </row>
    <row r="18340" spans="1:2" x14ac:dyDescent="0.4">
      <c r="A18340" s="4">
        <v>505000100</v>
      </c>
      <c r="B18340">
        <v>8350202</v>
      </c>
    </row>
    <row r="18341" spans="1:2" x14ac:dyDescent="0.4">
      <c r="A18341" s="4">
        <v>505000100</v>
      </c>
      <c r="B18341">
        <v>8420000</v>
      </c>
    </row>
    <row r="18342" spans="1:2" x14ac:dyDescent="0.4">
      <c r="A18342" s="4">
        <v>505000100</v>
      </c>
      <c r="B18342">
        <v>8420001</v>
      </c>
    </row>
    <row r="18343" spans="1:2" x14ac:dyDescent="0.4">
      <c r="A18343" s="4">
        <v>505000100</v>
      </c>
      <c r="B18343">
        <v>8420002</v>
      </c>
    </row>
    <row r="18344" spans="1:2" x14ac:dyDescent="0.4">
      <c r="A18344" s="4">
        <v>505000100</v>
      </c>
      <c r="B18344">
        <v>8450000</v>
      </c>
    </row>
    <row r="18345" spans="1:2" x14ac:dyDescent="0.4">
      <c r="A18345" s="4">
        <v>505000100</v>
      </c>
      <c r="B18345">
        <v>8460100</v>
      </c>
    </row>
    <row r="18346" spans="1:2" x14ac:dyDescent="0.4">
      <c r="A18346" s="4">
        <v>505000100</v>
      </c>
      <c r="B18346">
        <v>8460300</v>
      </c>
    </row>
    <row r="18347" spans="1:2" x14ac:dyDescent="0.4">
      <c r="A18347" s="4">
        <v>505000100</v>
      </c>
      <c r="B18347">
        <v>8460500</v>
      </c>
    </row>
    <row r="18348" spans="1:2" x14ac:dyDescent="0.4">
      <c r="A18348" s="4">
        <v>505000100</v>
      </c>
      <c r="B18348">
        <v>8510000</v>
      </c>
    </row>
    <row r="18349" spans="1:2" x14ac:dyDescent="0.4">
      <c r="A18349" s="4">
        <v>505000100</v>
      </c>
      <c r="B18349">
        <v>8510001</v>
      </c>
    </row>
    <row r="18350" spans="1:2" x14ac:dyDescent="0.4">
      <c r="A18350" s="4">
        <v>505000100</v>
      </c>
      <c r="B18350">
        <v>8510002</v>
      </c>
    </row>
    <row r="18351" spans="1:2" x14ac:dyDescent="0.4">
      <c r="A18351" s="4">
        <v>505000100</v>
      </c>
      <c r="B18351">
        <v>8520000</v>
      </c>
    </row>
    <row r="18352" spans="1:2" x14ac:dyDescent="0.4">
      <c r="A18352" s="4">
        <v>505000100</v>
      </c>
      <c r="B18352">
        <v>8520001</v>
      </c>
    </row>
    <row r="18353" spans="1:2" x14ac:dyDescent="0.4">
      <c r="A18353" s="4">
        <v>505000100</v>
      </c>
      <c r="B18353">
        <v>8520002</v>
      </c>
    </row>
    <row r="18354" spans="1:2" x14ac:dyDescent="0.4">
      <c r="A18354" s="4">
        <v>505000100</v>
      </c>
      <c r="B18354">
        <v>8530000</v>
      </c>
    </row>
    <row r="18355" spans="1:2" x14ac:dyDescent="0.4">
      <c r="A18355" s="4">
        <v>505000100</v>
      </c>
      <c r="B18355">
        <v>8530100</v>
      </c>
    </row>
    <row r="18356" spans="1:2" x14ac:dyDescent="0.4">
      <c r="A18356" s="4">
        <v>505000100</v>
      </c>
      <c r="B18356">
        <v>8540000</v>
      </c>
    </row>
    <row r="18357" spans="1:2" x14ac:dyDescent="0.4">
      <c r="A18357" s="4">
        <v>505000100</v>
      </c>
      <c r="B18357">
        <v>8600100</v>
      </c>
    </row>
    <row r="18358" spans="1:2" x14ac:dyDescent="0.4">
      <c r="A18358" s="4">
        <v>505000100</v>
      </c>
      <c r="B18358">
        <v>8600101</v>
      </c>
    </row>
    <row r="18359" spans="1:2" x14ac:dyDescent="0.4">
      <c r="A18359" s="4">
        <v>505000100</v>
      </c>
      <c r="B18359">
        <v>8600102</v>
      </c>
    </row>
    <row r="18360" spans="1:2" x14ac:dyDescent="0.4">
      <c r="A18360" s="4">
        <v>505000100</v>
      </c>
      <c r="B18360">
        <v>8600200</v>
      </c>
    </row>
    <row r="18361" spans="1:2" x14ac:dyDescent="0.4">
      <c r="A18361" s="4">
        <v>505000100</v>
      </c>
      <c r="B18361">
        <v>8600201</v>
      </c>
    </row>
    <row r="18362" spans="1:2" x14ac:dyDescent="0.4">
      <c r="A18362" s="4">
        <v>505000100</v>
      </c>
      <c r="B18362">
        <v>8600202</v>
      </c>
    </row>
    <row r="18363" spans="1:2" x14ac:dyDescent="0.4">
      <c r="A18363" s="4">
        <v>505000100</v>
      </c>
      <c r="B18363">
        <v>8610300</v>
      </c>
    </row>
    <row r="18364" spans="1:2" x14ac:dyDescent="0.4">
      <c r="A18364" s="4">
        <v>505000100</v>
      </c>
      <c r="B18364">
        <v>8610400</v>
      </c>
    </row>
    <row r="18365" spans="1:2" x14ac:dyDescent="0.4">
      <c r="A18365" s="4">
        <v>505000100</v>
      </c>
      <c r="B18365">
        <v>8610500</v>
      </c>
    </row>
    <row r="18366" spans="1:2" x14ac:dyDescent="0.4">
      <c r="A18366" s="4">
        <v>505000100</v>
      </c>
      <c r="B18366">
        <v>8610600</v>
      </c>
    </row>
    <row r="18367" spans="1:2" x14ac:dyDescent="0.4">
      <c r="A18367" s="4">
        <v>505000100</v>
      </c>
      <c r="B18367">
        <v>8610700</v>
      </c>
    </row>
    <row r="18368" spans="1:2" x14ac:dyDescent="0.4">
      <c r="A18368" s="4">
        <v>505000100</v>
      </c>
      <c r="B18368">
        <v>8610710</v>
      </c>
    </row>
    <row r="18369" spans="1:2" x14ac:dyDescent="0.4">
      <c r="A18369" s="4">
        <v>505000100</v>
      </c>
      <c r="B18369">
        <v>8610720</v>
      </c>
    </row>
    <row r="18370" spans="1:2" x14ac:dyDescent="0.4">
      <c r="A18370" s="4">
        <v>505000100</v>
      </c>
      <c r="B18370">
        <v>8620000</v>
      </c>
    </row>
    <row r="18371" spans="1:2" x14ac:dyDescent="0.4">
      <c r="A18371" s="4">
        <v>505000100</v>
      </c>
      <c r="B18371">
        <v>8620010</v>
      </c>
    </row>
    <row r="18372" spans="1:2" x14ac:dyDescent="0.4">
      <c r="A18372" s="4">
        <v>505000100</v>
      </c>
      <c r="B18372">
        <v>8620020</v>
      </c>
    </row>
    <row r="18373" spans="1:2" x14ac:dyDescent="0.4">
      <c r="A18373" s="4">
        <v>505000100</v>
      </c>
      <c r="B18373">
        <v>8620100</v>
      </c>
    </row>
    <row r="18374" spans="1:2" x14ac:dyDescent="0.4">
      <c r="A18374" s="4">
        <v>505000100</v>
      </c>
      <c r="B18374">
        <v>8620110</v>
      </c>
    </row>
    <row r="18375" spans="1:2" x14ac:dyDescent="0.4">
      <c r="A18375" s="4">
        <v>505000100</v>
      </c>
      <c r="B18375">
        <v>8620120</v>
      </c>
    </row>
    <row r="18376" spans="1:2" x14ac:dyDescent="0.4">
      <c r="A18376" s="4">
        <v>505000100</v>
      </c>
      <c r="B18376">
        <v>8630000</v>
      </c>
    </row>
    <row r="18377" spans="1:2" x14ac:dyDescent="0.4">
      <c r="A18377" s="4">
        <v>505000100</v>
      </c>
      <c r="B18377">
        <v>8630000</v>
      </c>
    </row>
    <row r="18378" spans="1:2" x14ac:dyDescent="0.4">
      <c r="A18378" s="4">
        <v>505000100</v>
      </c>
      <c r="B18378">
        <v>8630000</v>
      </c>
    </row>
    <row r="18379" spans="1:2" x14ac:dyDescent="0.4">
      <c r="A18379" s="4">
        <v>505000100</v>
      </c>
      <c r="B18379">
        <v>8630100</v>
      </c>
    </row>
    <row r="18380" spans="1:2" x14ac:dyDescent="0.4">
      <c r="A18380" s="4">
        <v>505000100</v>
      </c>
      <c r="B18380">
        <v>8630100</v>
      </c>
    </row>
    <row r="18381" spans="1:2" x14ac:dyDescent="0.4">
      <c r="A18381" s="4">
        <v>505000100</v>
      </c>
      <c r="B18381">
        <v>8630100</v>
      </c>
    </row>
    <row r="18382" spans="1:2" x14ac:dyDescent="0.4">
      <c r="A18382" s="4">
        <v>505000100</v>
      </c>
      <c r="B18382">
        <v>8630200</v>
      </c>
    </row>
    <row r="18383" spans="1:2" x14ac:dyDescent="0.4">
      <c r="A18383" s="4">
        <v>505000100</v>
      </c>
      <c r="B18383">
        <v>8630300</v>
      </c>
    </row>
    <row r="18384" spans="1:2" x14ac:dyDescent="0.4">
      <c r="A18384" s="4">
        <v>505000100</v>
      </c>
      <c r="B18384">
        <v>8630400</v>
      </c>
    </row>
    <row r="18385" spans="1:2" x14ac:dyDescent="0.4">
      <c r="A18385" s="4">
        <v>505000100</v>
      </c>
      <c r="B18385">
        <v>8630500</v>
      </c>
    </row>
    <row r="18386" spans="1:2" x14ac:dyDescent="0.4">
      <c r="A18386" s="4">
        <v>505000100</v>
      </c>
      <c r="B18386">
        <v>8630600</v>
      </c>
    </row>
    <row r="18387" spans="1:2" x14ac:dyDescent="0.4">
      <c r="A18387" s="4">
        <v>505000100</v>
      </c>
      <c r="B18387">
        <v>8630700</v>
      </c>
    </row>
    <row r="18388" spans="1:2" x14ac:dyDescent="0.4">
      <c r="A18388" s="4">
        <v>505000100</v>
      </c>
      <c r="B18388">
        <v>8630800</v>
      </c>
    </row>
    <row r="18389" spans="1:2" x14ac:dyDescent="0.4">
      <c r="A18389" s="4">
        <v>505000100</v>
      </c>
      <c r="B18389">
        <v>8652000</v>
      </c>
    </row>
    <row r="18390" spans="1:2" x14ac:dyDescent="0.4">
      <c r="A18390" s="4">
        <v>505000100</v>
      </c>
      <c r="B18390">
        <v>8652010</v>
      </c>
    </row>
    <row r="18391" spans="1:2" x14ac:dyDescent="0.4">
      <c r="A18391" s="4">
        <v>505000100</v>
      </c>
      <c r="B18391">
        <v>8652020</v>
      </c>
    </row>
    <row r="18392" spans="1:2" x14ac:dyDescent="0.4">
      <c r="A18392" s="4">
        <v>505000100</v>
      </c>
      <c r="B18392">
        <v>8652100</v>
      </c>
    </row>
    <row r="18393" spans="1:2" x14ac:dyDescent="0.4">
      <c r="A18393" s="4">
        <v>505000100</v>
      </c>
      <c r="B18393">
        <v>8652110</v>
      </c>
    </row>
    <row r="18394" spans="1:2" x14ac:dyDescent="0.4">
      <c r="A18394" s="4">
        <v>505000100</v>
      </c>
      <c r="B18394">
        <v>8652120</v>
      </c>
    </row>
    <row r="18395" spans="1:2" x14ac:dyDescent="0.4">
      <c r="A18395" s="4">
        <v>505000100</v>
      </c>
      <c r="B18395">
        <v>8660000</v>
      </c>
    </row>
    <row r="18396" spans="1:2" x14ac:dyDescent="0.4">
      <c r="A18396" s="4">
        <v>505000100</v>
      </c>
      <c r="B18396">
        <v>8660001</v>
      </c>
    </row>
    <row r="18397" spans="1:2" x14ac:dyDescent="0.4">
      <c r="A18397" s="4">
        <v>505000100</v>
      </c>
      <c r="B18397">
        <v>8660002</v>
      </c>
    </row>
    <row r="18398" spans="1:2" x14ac:dyDescent="0.4">
      <c r="A18398" s="4">
        <v>505000100</v>
      </c>
      <c r="B18398">
        <v>8660100</v>
      </c>
    </row>
    <row r="18399" spans="1:2" x14ac:dyDescent="0.4">
      <c r="A18399" s="4">
        <v>505000100</v>
      </c>
      <c r="B18399">
        <v>8660101</v>
      </c>
    </row>
    <row r="18400" spans="1:2" x14ac:dyDescent="0.4">
      <c r="A18400" s="4">
        <v>505000100</v>
      </c>
      <c r="B18400">
        <v>8660102</v>
      </c>
    </row>
    <row r="18401" spans="1:2" x14ac:dyDescent="0.4">
      <c r="A18401" s="4">
        <v>505000100</v>
      </c>
      <c r="B18401">
        <v>8670000</v>
      </c>
    </row>
    <row r="18402" spans="1:2" x14ac:dyDescent="0.4">
      <c r="A18402" s="4">
        <v>505000100</v>
      </c>
      <c r="B18402">
        <v>8670001</v>
      </c>
    </row>
    <row r="18403" spans="1:2" x14ac:dyDescent="0.4">
      <c r="A18403" s="4">
        <v>505000100</v>
      </c>
      <c r="B18403">
        <v>8670002</v>
      </c>
    </row>
    <row r="18404" spans="1:2" x14ac:dyDescent="0.4">
      <c r="A18404" s="4">
        <v>505000100</v>
      </c>
      <c r="B18404">
        <v>8670100</v>
      </c>
    </row>
    <row r="18405" spans="1:2" x14ac:dyDescent="0.4">
      <c r="A18405" s="4">
        <v>505000100</v>
      </c>
      <c r="B18405">
        <v>8670101</v>
      </c>
    </row>
    <row r="18406" spans="1:2" x14ac:dyDescent="0.4">
      <c r="A18406" s="4">
        <v>505000100</v>
      </c>
      <c r="B18406">
        <v>8670102</v>
      </c>
    </row>
    <row r="18407" spans="1:2" x14ac:dyDescent="0.4">
      <c r="A18407" s="4">
        <v>505000100</v>
      </c>
      <c r="B18407">
        <v>8690000</v>
      </c>
    </row>
    <row r="18408" spans="1:2" x14ac:dyDescent="0.4">
      <c r="A18408" s="4">
        <v>505000100</v>
      </c>
      <c r="B18408">
        <v>8690100</v>
      </c>
    </row>
    <row r="18409" spans="1:2" x14ac:dyDescent="0.4">
      <c r="A18409" s="4">
        <v>505000100</v>
      </c>
      <c r="B18409">
        <v>8690200</v>
      </c>
    </row>
    <row r="18410" spans="1:2" x14ac:dyDescent="0.4">
      <c r="A18410" s="4">
        <v>505000100</v>
      </c>
      <c r="B18410">
        <v>8690300</v>
      </c>
    </row>
    <row r="18411" spans="1:2" x14ac:dyDescent="0.4">
      <c r="A18411" s="4">
        <v>505000100</v>
      </c>
      <c r="B18411">
        <v>8690400</v>
      </c>
    </row>
    <row r="18412" spans="1:2" x14ac:dyDescent="0.4">
      <c r="A18412" s="4">
        <v>505000100</v>
      </c>
      <c r="B18412">
        <v>8850000</v>
      </c>
    </row>
    <row r="18413" spans="1:2" x14ac:dyDescent="0.4">
      <c r="A18413" s="4">
        <v>505000100</v>
      </c>
      <c r="B18413">
        <v>8850100</v>
      </c>
    </row>
    <row r="18414" spans="1:2" x14ac:dyDescent="0.4">
      <c r="A18414" s="4">
        <v>505000100</v>
      </c>
      <c r="B18414">
        <v>8850200</v>
      </c>
    </row>
    <row r="18415" spans="1:2" x14ac:dyDescent="0.4">
      <c r="A18415" s="4">
        <v>505000100</v>
      </c>
      <c r="B18415">
        <v>8850300</v>
      </c>
    </row>
    <row r="18416" spans="1:2" x14ac:dyDescent="0.4">
      <c r="A18416" s="4">
        <v>505000100</v>
      </c>
      <c r="B18416">
        <v>8850400</v>
      </c>
    </row>
    <row r="18417" spans="1:2" x14ac:dyDescent="0.4">
      <c r="A18417" s="4">
        <v>505000100</v>
      </c>
      <c r="B18417">
        <v>8850500</v>
      </c>
    </row>
    <row r="18418" spans="1:2" x14ac:dyDescent="0.4">
      <c r="A18418" s="4">
        <v>505000100</v>
      </c>
      <c r="B18418">
        <v>8850600</v>
      </c>
    </row>
    <row r="18419" spans="1:2" x14ac:dyDescent="0.4">
      <c r="A18419" s="4">
        <v>505000100</v>
      </c>
      <c r="B18419">
        <v>8850700</v>
      </c>
    </row>
    <row r="18420" spans="1:2" x14ac:dyDescent="0.4">
      <c r="A18420" s="4">
        <v>505000100</v>
      </c>
      <c r="B18420">
        <v>8850800</v>
      </c>
    </row>
    <row r="18421" spans="1:2" x14ac:dyDescent="0.4">
      <c r="A18421" s="4">
        <v>505000100</v>
      </c>
      <c r="B18421">
        <v>8850900</v>
      </c>
    </row>
    <row r="18422" spans="1:2" x14ac:dyDescent="0.4">
      <c r="A18422" s="4">
        <v>505000100</v>
      </c>
      <c r="B18422">
        <v>8851000</v>
      </c>
    </row>
    <row r="18423" spans="1:2" x14ac:dyDescent="0.4">
      <c r="A18423" s="4">
        <v>505000100</v>
      </c>
      <c r="B18423">
        <v>8851100</v>
      </c>
    </row>
    <row r="18424" spans="1:2" x14ac:dyDescent="0.4">
      <c r="A18424" s="4">
        <v>505000100</v>
      </c>
      <c r="B18424">
        <v>8851200</v>
      </c>
    </row>
    <row r="18425" spans="1:2" x14ac:dyDescent="0.4">
      <c r="A18425" s="4">
        <v>505000100</v>
      </c>
      <c r="B18425">
        <v>8851300</v>
      </c>
    </row>
    <row r="18426" spans="1:2" x14ac:dyDescent="0.4">
      <c r="A18426" s="4">
        <v>505000100</v>
      </c>
      <c r="B18426">
        <v>8851800</v>
      </c>
    </row>
    <row r="18427" spans="1:2" x14ac:dyDescent="0.4">
      <c r="A18427" s="4">
        <v>505000100</v>
      </c>
      <c r="B18427">
        <v>8851900</v>
      </c>
    </row>
    <row r="18428" spans="1:2" x14ac:dyDescent="0.4">
      <c r="A18428" s="4">
        <v>505000100</v>
      </c>
      <c r="B18428">
        <v>8852000</v>
      </c>
    </row>
    <row r="18429" spans="1:2" x14ac:dyDescent="0.4">
      <c r="A18429" s="4">
        <v>505000100</v>
      </c>
      <c r="B18429">
        <v>8320500</v>
      </c>
    </row>
    <row r="18430" spans="1:2" x14ac:dyDescent="0.4">
      <c r="A18430" s="4">
        <v>505000100</v>
      </c>
      <c r="B18430">
        <v>8320510</v>
      </c>
    </row>
    <row r="18431" spans="1:2" x14ac:dyDescent="0.4">
      <c r="A18431" s="4">
        <v>505000100</v>
      </c>
      <c r="B18431">
        <v>8320520</v>
      </c>
    </row>
    <row r="18432" spans="1:2" x14ac:dyDescent="0.4">
      <c r="A18432" s="4">
        <v>505000100</v>
      </c>
      <c r="B18432">
        <v>8320600</v>
      </c>
    </row>
    <row r="18433" spans="1:2" x14ac:dyDescent="0.4">
      <c r="A18433" s="4">
        <v>505000100</v>
      </c>
      <c r="B18433">
        <v>8320610</v>
      </c>
    </row>
    <row r="18434" spans="1:2" x14ac:dyDescent="0.4">
      <c r="A18434" s="4">
        <v>505000100</v>
      </c>
      <c r="B18434">
        <v>8320620</v>
      </c>
    </row>
    <row r="18435" spans="1:2" x14ac:dyDescent="0.4">
      <c r="A18435" s="4">
        <v>505000100</v>
      </c>
      <c r="B18435">
        <v>8320700</v>
      </c>
    </row>
    <row r="18436" spans="1:2" x14ac:dyDescent="0.4">
      <c r="A18436" s="4">
        <v>505000100</v>
      </c>
      <c r="B18436">
        <v>8320710</v>
      </c>
    </row>
    <row r="18437" spans="1:2" x14ac:dyDescent="0.4">
      <c r="A18437" s="4">
        <v>505000100</v>
      </c>
      <c r="B18437">
        <v>8320720</v>
      </c>
    </row>
    <row r="18438" spans="1:2" x14ac:dyDescent="0.4">
      <c r="A18438" s="4">
        <v>505000200</v>
      </c>
      <c r="B18438">
        <v>0</v>
      </c>
    </row>
    <row r="18439" spans="1:2" x14ac:dyDescent="0.4">
      <c r="A18439" s="4">
        <v>505000200</v>
      </c>
      <c r="B18439">
        <v>8100100</v>
      </c>
    </row>
    <row r="18440" spans="1:2" x14ac:dyDescent="0.4">
      <c r="A18440" s="4">
        <v>505000200</v>
      </c>
      <c r="B18440">
        <v>8100101</v>
      </c>
    </row>
    <row r="18441" spans="1:2" x14ac:dyDescent="0.4">
      <c r="A18441" s="4">
        <v>505000200</v>
      </c>
      <c r="B18441">
        <v>8100102</v>
      </c>
    </row>
    <row r="18442" spans="1:2" x14ac:dyDescent="0.4">
      <c r="A18442" s="4">
        <v>505000200</v>
      </c>
      <c r="B18442">
        <v>8100200</v>
      </c>
    </row>
    <row r="18443" spans="1:2" x14ac:dyDescent="0.4">
      <c r="A18443" s="4">
        <v>505000200</v>
      </c>
      <c r="B18443">
        <v>8100201</v>
      </c>
    </row>
    <row r="18444" spans="1:2" x14ac:dyDescent="0.4">
      <c r="A18444" s="4">
        <v>505000200</v>
      </c>
      <c r="B18444">
        <v>8100202</v>
      </c>
    </row>
    <row r="18445" spans="1:2" x14ac:dyDescent="0.4">
      <c r="A18445" s="4">
        <v>505000200</v>
      </c>
      <c r="B18445">
        <v>8100300</v>
      </c>
    </row>
    <row r="18446" spans="1:2" x14ac:dyDescent="0.4">
      <c r="A18446" s="4">
        <v>505000200</v>
      </c>
      <c r="B18446">
        <v>8100301</v>
      </c>
    </row>
    <row r="18447" spans="1:2" x14ac:dyDescent="0.4">
      <c r="A18447" s="4">
        <v>505000200</v>
      </c>
      <c r="B18447">
        <v>8100302</v>
      </c>
    </row>
    <row r="18448" spans="1:2" x14ac:dyDescent="0.4">
      <c r="A18448" s="4">
        <v>505000200</v>
      </c>
      <c r="B18448">
        <v>8100400</v>
      </c>
    </row>
    <row r="18449" spans="1:2" x14ac:dyDescent="0.4">
      <c r="A18449" s="4">
        <v>505000200</v>
      </c>
      <c r="B18449">
        <v>8100401</v>
      </c>
    </row>
    <row r="18450" spans="1:2" x14ac:dyDescent="0.4">
      <c r="A18450" s="4">
        <v>505000200</v>
      </c>
      <c r="B18450">
        <v>8100402</v>
      </c>
    </row>
    <row r="18451" spans="1:2" x14ac:dyDescent="0.4">
      <c r="A18451" s="4">
        <v>505000200</v>
      </c>
      <c r="B18451">
        <v>8130000</v>
      </c>
    </row>
    <row r="18452" spans="1:2" x14ac:dyDescent="0.4">
      <c r="A18452" s="4">
        <v>505000200</v>
      </c>
      <c r="B18452">
        <v>8130001</v>
      </c>
    </row>
    <row r="18453" spans="1:2" x14ac:dyDescent="0.4">
      <c r="A18453" s="4">
        <v>505000200</v>
      </c>
      <c r="B18453">
        <v>8130002</v>
      </c>
    </row>
    <row r="18454" spans="1:2" x14ac:dyDescent="0.4">
      <c r="A18454" s="4">
        <v>505000200</v>
      </c>
      <c r="B18454">
        <v>8140000</v>
      </c>
    </row>
    <row r="18455" spans="1:2" x14ac:dyDescent="0.4">
      <c r="A18455" s="4">
        <v>505000200</v>
      </c>
      <c r="B18455">
        <v>8140001</v>
      </c>
    </row>
    <row r="18456" spans="1:2" x14ac:dyDescent="0.4">
      <c r="A18456" s="4">
        <v>505000200</v>
      </c>
      <c r="B18456">
        <v>8140002</v>
      </c>
    </row>
    <row r="18457" spans="1:2" x14ac:dyDescent="0.4">
      <c r="A18457" s="4">
        <v>505000200</v>
      </c>
      <c r="B18457">
        <v>8200100</v>
      </c>
    </row>
    <row r="18458" spans="1:2" x14ac:dyDescent="0.4">
      <c r="A18458" s="4">
        <v>505000200</v>
      </c>
      <c r="B18458">
        <v>8200101</v>
      </c>
    </row>
    <row r="18459" spans="1:2" x14ac:dyDescent="0.4">
      <c r="A18459" s="4">
        <v>505000200</v>
      </c>
      <c r="B18459">
        <v>8200102</v>
      </c>
    </row>
    <row r="18460" spans="1:2" x14ac:dyDescent="0.4">
      <c r="A18460" s="4">
        <v>505000200</v>
      </c>
      <c r="B18460">
        <v>8200200</v>
      </c>
    </row>
    <row r="18461" spans="1:2" x14ac:dyDescent="0.4">
      <c r="A18461" s="4">
        <v>505000200</v>
      </c>
      <c r="B18461">
        <v>8200201</v>
      </c>
    </row>
    <row r="18462" spans="1:2" x14ac:dyDescent="0.4">
      <c r="A18462" s="4">
        <v>505000200</v>
      </c>
      <c r="B18462">
        <v>8200202</v>
      </c>
    </row>
    <row r="18463" spans="1:2" x14ac:dyDescent="0.4">
      <c r="A18463" s="4">
        <v>505000200</v>
      </c>
      <c r="B18463">
        <v>8200300</v>
      </c>
    </row>
    <row r="18464" spans="1:2" x14ac:dyDescent="0.4">
      <c r="A18464" s="4">
        <v>505000200</v>
      </c>
      <c r="B18464">
        <v>8200301</v>
      </c>
    </row>
    <row r="18465" spans="1:2" x14ac:dyDescent="0.4">
      <c r="A18465" s="4">
        <v>505000200</v>
      </c>
      <c r="B18465">
        <v>8200302</v>
      </c>
    </row>
    <row r="18466" spans="1:2" x14ac:dyDescent="0.4">
      <c r="A18466" s="4">
        <v>505000200</v>
      </c>
      <c r="B18466">
        <v>8200400</v>
      </c>
    </row>
    <row r="18467" spans="1:2" x14ac:dyDescent="0.4">
      <c r="A18467" s="4">
        <v>505000200</v>
      </c>
      <c r="B18467">
        <v>8200401</v>
      </c>
    </row>
    <row r="18468" spans="1:2" x14ac:dyDescent="0.4">
      <c r="A18468" s="4">
        <v>505000200</v>
      </c>
      <c r="B18468">
        <v>8200402</v>
      </c>
    </row>
    <row r="18469" spans="1:2" x14ac:dyDescent="0.4">
      <c r="A18469" s="4">
        <v>505000200</v>
      </c>
      <c r="B18469">
        <v>8210000</v>
      </c>
    </row>
    <row r="18470" spans="1:2" x14ac:dyDescent="0.4">
      <c r="A18470" s="4">
        <v>505000200</v>
      </c>
      <c r="B18470">
        <v>8210001</v>
      </c>
    </row>
    <row r="18471" spans="1:2" x14ac:dyDescent="0.4">
      <c r="A18471" s="4">
        <v>505000200</v>
      </c>
      <c r="B18471">
        <v>8210002</v>
      </c>
    </row>
    <row r="18472" spans="1:2" x14ac:dyDescent="0.4">
      <c r="A18472" s="4">
        <v>505000200</v>
      </c>
      <c r="B18472">
        <v>8210100</v>
      </c>
    </row>
    <row r="18473" spans="1:2" x14ac:dyDescent="0.4">
      <c r="A18473" s="4">
        <v>505000200</v>
      </c>
      <c r="B18473">
        <v>8210101</v>
      </c>
    </row>
    <row r="18474" spans="1:2" x14ac:dyDescent="0.4">
      <c r="A18474" s="4">
        <v>505000200</v>
      </c>
      <c r="B18474">
        <v>8210102</v>
      </c>
    </row>
    <row r="18475" spans="1:2" x14ac:dyDescent="0.4">
      <c r="A18475" s="4">
        <v>505000200</v>
      </c>
      <c r="B18475">
        <v>8210200</v>
      </c>
    </row>
    <row r="18476" spans="1:2" x14ac:dyDescent="0.4">
      <c r="A18476" s="4">
        <v>505000200</v>
      </c>
      <c r="B18476">
        <v>8210201</v>
      </c>
    </row>
    <row r="18477" spans="1:2" x14ac:dyDescent="0.4">
      <c r="A18477" s="4">
        <v>505000200</v>
      </c>
      <c r="B18477">
        <v>8210202</v>
      </c>
    </row>
    <row r="18478" spans="1:2" x14ac:dyDescent="0.4">
      <c r="A18478" s="4">
        <v>505000200</v>
      </c>
      <c r="B18478">
        <v>8210300</v>
      </c>
    </row>
    <row r="18479" spans="1:2" x14ac:dyDescent="0.4">
      <c r="A18479" s="4">
        <v>505000200</v>
      </c>
      <c r="B18479">
        <v>8210301</v>
      </c>
    </row>
    <row r="18480" spans="1:2" x14ac:dyDescent="0.4">
      <c r="A18480" s="4">
        <v>505000200</v>
      </c>
      <c r="B18480">
        <v>8210302</v>
      </c>
    </row>
    <row r="18481" spans="1:2" x14ac:dyDescent="0.4">
      <c r="A18481" s="4">
        <v>505000200</v>
      </c>
      <c r="B18481">
        <v>8210400</v>
      </c>
    </row>
    <row r="18482" spans="1:2" x14ac:dyDescent="0.4">
      <c r="A18482" s="4">
        <v>505000200</v>
      </c>
      <c r="B18482">
        <v>8210401</v>
      </c>
    </row>
    <row r="18483" spans="1:2" x14ac:dyDescent="0.4">
      <c r="A18483" s="4">
        <v>505000200</v>
      </c>
      <c r="B18483">
        <v>8210402</v>
      </c>
    </row>
    <row r="18484" spans="1:2" x14ac:dyDescent="0.4">
      <c r="A18484" s="4">
        <v>505000200</v>
      </c>
      <c r="B18484">
        <v>8210500</v>
      </c>
    </row>
    <row r="18485" spans="1:2" x14ac:dyDescent="0.4">
      <c r="A18485" s="4">
        <v>505000200</v>
      </c>
      <c r="B18485">
        <v>8210501</v>
      </c>
    </row>
    <row r="18486" spans="1:2" x14ac:dyDescent="0.4">
      <c r="A18486" s="4">
        <v>505000200</v>
      </c>
      <c r="B18486">
        <v>8210502</v>
      </c>
    </row>
    <row r="18487" spans="1:2" x14ac:dyDescent="0.4">
      <c r="A18487" s="4">
        <v>505000200</v>
      </c>
      <c r="B18487">
        <v>8210600</v>
      </c>
    </row>
    <row r="18488" spans="1:2" x14ac:dyDescent="0.4">
      <c r="A18488" s="4">
        <v>505000200</v>
      </c>
      <c r="B18488">
        <v>8210601</v>
      </c>
    </row>
    <row r="18489" spans="1:2" x14ac:dyDescent="0.4">
      <c r="A18489" s="4">
        <v>505000200</v>
      </c>
      <c r="B18489">
        <v>8210602</v>
      </c>
    </row>
    <row r="18490" spans="1:2" x14ac:dyDescent="0.4">
      <c r="A18490" s="4">
        <v>505000200</v>
      </c>
      <c r="B18490">
        <v>8220000</v>
      </c>
    </row>
    <row r="18491" spans="1:2" x14ac:dyDescent="0.4">
      <c r="A18491" s="4">
        <v>505000200</v>
      </c>
      <c r="B18491">
        <v>8220001</v>
      </c>
    </row>
    <row r="18492" spans="1:2" x14ac:dyDescent="0.4">
      <c r="A18492" s="4">
        <v>505000200</v>
      </c>
      <c r="B18492">
        <v>8220002</v>
      </c>
    </row>
    <row r="18493" spans="1:2" x14ac:dyDescent="0.4">
      <c r="A18493" s="4">
        <v>505000200</v>
      </c>
      <c r="B18493">
        <v>8300000</v>
      </c>
    </row>
    <row r="18494" spans="1:2" x14ac:dyDescent="0.4">
      <c r="A18494" s="4">
        <v>505000200</v>
      </c>
      <c r="B18494">
        <v>8300001</v>
      </c>
    </row>
    <row r="18495" spans="1:2" x14ac:dyDescent="0.4">
      <c r="A18495" s="4">
        <v>505000200</v>
      </c>
      <c r="B18495">
        <v>8300002</v>
      </c>
    </row>
    <row r="18496" spans="1:2" x14ac:dyDescent="0.4">
      <c r="A18496" s="4">
        <v>505000200</v>
      </c>
      <c r="B18496">
        <v>8310000</v>
      </c>
    </row>
    <row r="18497" spans="1:2" x14ac:dyDescent="0.4">
      <c r="A18497" s="4">
        <v>505000200</v>
      </c>
      <c r="B18497">
        <v>8310001</v>
      </c>
    </row>
    <row r="18498" spans="1:2" x14ac:dyDescent="0.4">
      <c r="A18498" s="4">
        <v>505000200</v>
      </c>
      <c r="B18498">
        <v>8310002</v>
      </c>
    </row>
    <row r="18499" spans="1:2" x14ac:dyDescent="0.4">
      <c r="A18499" s="4">
        <v>505000200</v>
      </c>
      <c r="B18499">
        <v>8320000</v>
      </c>
    </row>
    <row r="18500" spans="1:2" x14ac:dyDescent="0.4">
      <c r="A18500" s="4">
        <v>505000200</v>
      </c>
      <c r="B18500">
        <v>8320001</v>
      </c>
    </row>
    <row r="18501" spans="1:2" x14ac:dyDescent="0.4">
      <c r="A18501" s="4">
        <v>505000200</v>
      </c>
      <c r="B18501">
        <v>8320002</v>
      </c>
    </row>
    <row r="18502" spans="1:2" x14ac:dyDescent="0.4">
      <c r="A18502" s="4">
        <v>505000200</v>
      </c>
      <c r="B18502">
        <v>8320100</v>
      </c>
    </row>
    <row r="18503" spans="1:2" x14ac:dyDescent="0.4">
      <c r="A18503" s="4">
        <v>505000200</v>
      </c>
      <c r="B18503">
        <v>8320101</v>
      </c>
    </row>
    <row r="18504" spans="1:2" x14ac:dyDescent="0.4">
      <c r="A18504" s="4">
        <v>505000200</v>
      </c>
      <c r="B18504">
        <v>8320102</v>
      </c>
    </row>
    <row r="18505" spans="1:2" x14ac:dyDescent="0.4">
      <c r="A18505" s="4">
        <v>505000200</v>
      </c>
      <c r="B18505">
        <v>8320300</v>
      </c>
    </row>
    <row r="18506" spans="1:2" x14ac:dyDescent="0.4">
      <c r="A18506" s="4">
        <v>505000200</v>
      </c>
      <c r="B18506">
        <v>8320301</v>
      </c>
    </row>
    <row r="18507" spans="1:2" x14ac:dyDescent="0.4">
      <c r="A18507" s="4">
        <v>505000200</v>
      </c>
      <c r="B18507">
        <v>8320302</v>
      </c>
    </row>
    <row r="18508" spans="1:2" x14ac:dyDescent="0.4">
      <c r="A18508" s="4">
        <v>505000200</v>
      </c>
      <c r="B18508">
        <v>8320400</v>
      </c>
    </row>
    <row r="18509" spans="1:2" x14ac:dyDescent="0.4">
      <c r="A18509" s="4">
        <v>505000200</v>
      </c>
      <c r="B18509">
        <v>8320410</v>
      </c>
    </row>
    <row r="18510" spans="1:2" x14ac:dyDescent="0.4">
      <c r="A18510" s="4">
        <v>505000200</v>
      </c>
      <c r="B18510">
        <v>8320420</v>
      </c>
    </row>
    <row r="18511" spans="1:2" x14ac:dyDescent="0.4">
      <c r="A18511" s="4">
        <v>505000200</v>
      </c>
      <c r="B18511">
        <v>8330000</v>
      </c>
    </row>
    <row r="18512" spans="1:2" x14ac:dyDescent="0.4">
      <c r="A18512" s="4">
        <v>505000200</v>
      </c>
      <c r="B18512">
        <v>8330001</v>
      </c>
    </row>
    <row r="18513" spans="1:2" x14ac:dyDescent="0.4">
      <c r="A18513" s="4">
        <v>505000200</v>
      </c>
      <c r="B18513">
        <v>8330002</v>
      </c>
    </row>
    <row r="18514" spans="1:2" x14ac:dyDescent="0.4">
      <c r="A18514" s="4">
        <v>505000200</v>
      </c>
      <c r="B18514">
        <v>8330100</v>
      </c>
    </row>
    <row r="18515" spans="1:2" x14ac:dyDescent="0.4">
      <c r="A18515" s="4">
        <v>505000200</v>
      </c>
      <c r="B18515">
        <v>8330101</v>
      </c>
    </row>
    <row r="18516" spans="1:2" x14ac:dyDescent="0.4">
      <c r="A18516" s="4">
        <v>505000200</v>
      </c>
      <c r="B18516">
        <v>8330102</v>
      </c>
    </row>
    <row r="18517" spans="1:2" x14ac:dyDescent="0.4">
      <c r="A18517" s="4">
        <v>505000200</v>
      </c>
      <c r="B18517">
        <v>8330200</v>
      </c>
    </row>
    <row r="18518" spans="1:2" x14ac:dyDescent="0.4">
      <c r="A18518" s="4">
        <v>505000200</v>
      </c>
      <c r="B18518">
        <v>8330201</v>
      </c>
    </row>
    <row r="18519" spans="1:2" x14ac:dyDescent="0.4">
      <c r="A18519" s="4">
        <v>505000200</v>
      </c>
      <c r="B18519">
        <v>8330202</v>
      </c>
    </row>
    <row r="18520" spans="1:2" x14ac:dyDescent="0.4">
      <c r="A18520" s="4">
        <v>505000200</v>
      </c>
      <c r="B18520">
        <v>8330300</v>
      </c>
    </row>
    <row r="18521" spans="1:2" x14ac:dyDescent="0.4">
      <c r="A18521" s="4">
        <v>505000200</v>
      </c>
      <c r="B18521">
        <v>8330301</v>
      </c>
    </row>
    <row r="18522" spans="1:2" x14ac:dyDescent="0.4">
      <c r="A18522" s="4">
        <v>505000200</v>
      </c>
      <c r="B18522">
        <v>8330302</v>
      </c>
    </row>
    <row r="18523" spans="1:2" x14ac:dyDescent="0.4">
      <c r="A18523" s="4">
        <v>505000200</v>
      </c>
      <c r="B18523">
        <v>8330400</v>
      </c>
    </row>
    <row r="18524" spans="1:2" x14ac:dyDescent="0.4">
      <c r="A18524" s="4">
        <v>505000200</v>
      </c>
      <c r="B18524">
        <v>8330401</v>
      </c>
    </row>
    <row r="18525" spans="1:2" x14ac:dyDescent="0.4">
      <c r="A18525" s="4">
        <v>505000200</v>
      </c>
      <c r="B18525">
        <v>8330600</v>
      </c>
    </row>
    <row r="18526" spans="1:2" x14ac:dyDescent="0.4">
      <c r="A18526" s="4">
        <v>505000200</v>
      </c>
      <c r="B18526">
        <v>8330601</v>
      </c>
    </row>
    <row r="18527" spans="1:2" x14ac:dyDescent="0.4">
      <c r="A18527" s="4">
        <v>505000200</v>
      </c>
      <c r="B18527">
        <v>8330602</v>
      </c>
    </row>
    <row r="18528" spans="1:2" x14ac:dyDescent="0.4">
      <c r="A18528" s="4">
        <v>505000200</v>
      </c>
      <c r="B18528">
        <v>8330900</v>
      </c>
    </row>
    <row r="18529" spans="1:2" x14ac:dyDescent="0.4">
      <c r="A18529" s="4">
        <v>505000200</v>
      </c>
      <c r="B18529">
        <v>8330910</v>
      </c>
    </row>
    <row r="18530" spans="1:2" x14ac:dyDescent="0.4">
      <c r="A18530" s="4">
        <v>505000200</v>
      </c>
      <c r="B18530">
        <v>8330920</v>
      </c>
    </row>
    <row r="18531" spans="1:2" x14ac:dyDescent="0.4">
      <c r="A18531" s="4">
        <v>505000200</v>
      </c>
      <c r="B18531">
        <v>8340000</v>
      </c>
    </row>
    <row r="18532" spans="1:2" x14ac:dyDescent="0.4">
      <c r="A18532" s="4">
        <v>505000200</v>
      </c>
      <c r="B18532">
        <v>8340001</v>
      </c>
    </row>
    <row r="18533" spans="1:2" x14ac:dyDescent="0.4">
      <c r="A18533" s="4">
        <v>505000200</v>
      </c>
      <c r="B18533">
        <v>8340002</v>
      </c>
    </row>
    <row r="18534" spans="1:2" x14ac:dyDescent="0.4">
      <c r="A18534" s="4">
        <v>505000200</v>
      </c>
      <c r="B18534">
        <v>8340100</v>
      </c>
    </row>
    <row r="18535" spans="1:2" x14ac:dyDescent="0.4">
      <c r="A18535" s="4">
        <v>505000200</v>
      </c>
      <c r="B18535">
        <v>8340101</v>
      </c>
    </row>
    <row r="18536" spans="1:2" x14ac:dyDescent="0.4">
      <c r="A18536" s="4">
        <v>505000200</v>
      </c>
      <c r="B18536">
        <v>8340102</v>
      </c>
    </row>
    <row r="18537" spans="1:2" x14ac:dyDescent="0.4">
      <c r="A18537" s="4">
        <v>505000200</v>
      </c>
      <c r="B18537">
        <v>8350000</v>
      </c>
    </row>
    <row r="18538" spans="1:2" x14ac:dyDescent="0.4">
      <c r="A18538" s="4">
        <v>505000200</v>
      </c>
      <c r="B18538">
        <v>8350001</v>
      </c>
    </row>
    <row r="18539" spans="1:2" x14ac:dyDescent="0.4">
      <c r="A18539" s="4">
        <v>505000200</v>
      </c>
      <c r="B18539">
        <v>8350002</v>
      </c>
    </row>
    <row r="18540" spans="1:2" x14ac:dyDescent="0.4">
      <c r="A18540" s="4">
        <v>505000200</v>
      </c>
      <c r="B18540">
        <v>8350200</v>
      </c>
    </row>
    <row r="18541" spans="1:2" x14ac:dyDescent="0.4">
      <c r="A18541" s="4">
        <v>505000200</v>
      </c>
      <c r="B18541">
        <v>8350201</v>
      </c>
    </row>
    <row r="18542" spans="1:2" x14ac:dyDescent="0.4">
      <c r="A18542" s="4">
        <v>505000200</v>
      </c>
      <c r="B18542">
        <v>8350202</v>
      </c>
    </row>
    <row r="18543" spans="1:2" x14ac:dyDescent="0.4">
      <c r="A18543" s="4">
        <v>505000200</v>
      </c>
      <c r="B18543">
        <v>8420000</v>
      </c>
    </row>
    <row r="18544" spans="1:2" x14ac:dyDescent="0.4">
      <c r="A18544" s="4">
        <v>505000200</v>
      </c>
      <c r="B18544">
        <v>8420001</v>
      </c>
    </row>
    <row r="18545" spans="1:2" x14ac:dyDescent="0.4">
      <c r="A18545" s="4">
        <v>505000200</v>
      </c>
      <c r="B18545">
        <v>8420002</v>
      </c>
    </row>
    <row r="18546" spans="1:2" x14ac:dyDescent="0.4">
      <c r="A18546" s="4">
        <v>505000200</v>
      </c>
      <c r="B18546">
        <v>8450000</v>
      </c>
    </row>
    <row r="18547" spans="1:2" x14ac:dyDescent="0.4">
      <c r="A18547" s="4">
        <v>505000200</v>
      </c>
      <c r="B18547">
        <v>8460100</v>
      </c>
    </row>
    <row r="18548" spans="1:2" x14ac:dyDescent="0.4">
      <c r="A18548" s="4">
        <v>505000200</v>
      </c>
      <c r="B18548">
        <v>8460300</v>
      </c>
    </row>
    <row r="18549" spans="1:2" x14ac:dyDescent="0.4">
      <c r="A18549" s="4">
        <v>505000200</v>
      </c>
      <c r="B18549">
        <v>8460500</v>
      </c>
    </row>
    <row r="18550" spans="1:2" x14ac:dyDescent="0.4">
      <c r="A18550" s="4">
        <v>505000200</v>
      </c>
      <c r="B18550">
        <v>8510000</v>
      </c>
    </row>
    <row r="18551" spans="1:2" x14ac:dyDescent="0.4">
      <c r="A18551" s="4">
        <v>505000200</v>
      </c>
      <c r="B18551">
        <v>8510001</v>
      </c>
    </row>
    <row r="18552" spans="1:2" x14ac:dyDescent="0.4">
      <c r="A18552" s="4">
        <v>505000200</v>
      </c>
      <c r="B18552">
        <v>8510002</v>
      </c>
    </row>
    <row r="18553" spans="1:2" x14ac:dyDescent="0.4">
      <c r="A18553" s="4">
        <v>505000200</v>
      </c>
      <c r="B18553">
        <v>8520000</v>
      </c>
    </row>
    <row r="18554" spans="1:2" x14ac:dyDescent="0.4">
      <c r="A18554" s="4">
        <v>505000200</v>
      </c>
      <c r="B18554">
        <v>8520001</v>
      </c>
    </row>
    <row r="18555" spans="1:2" x14ac:dyDescent="0.4">
      <c r="A18555" s="4">
        <v>505000200</v>
      </c>
      <c r="B18555">
        <v>8520002</v>
      </c>
    </row>
    <row r="18556" spans="1:2" x14ac:dyDescent="0.4">
      <c r="A18556" s="4">
        <v>505000200</v>
      </c>
      <c r="B18556">
        <v>8530000</v>
      </c>
    </row>
    <row r="18557" spans="1:2" x14ac:dyDescent="0.4">
      <c r="A18557" s="4">
        <v>505000200</v>
      </c>
      <c r="B18557">
        <v>8530100</v>
      </c>
    </row>
    <row r="18558" spans="1:2" x14ac:dyDescent="0.4">
      <c r="A18558" s="4">
        <v>505000200</v>
      </c>
      <c r="B18558">
        <v>8540000</v>
      </c>
    </row>
    <row r="18559" spans="1:2" x14ac:dyDescent="0.4">
      <c r="A18559" s="4">
        <v>505000200</v>
      </c>
      <c r="B18559">
        <v>8600100</v>
      </c>
    </row>
    <row r="18560" spans="1:2" x14ac:dyDescent="0.4">
      <c r="A18560" s="4">
        <v>505000200</v>
      </c>
      <c r="B18560">
        <v>8600101</v>
      </c>
    </row>
    <row r="18561" spans="1:2" x14ac:dyDescent="0.4">
      <c r="A18561" s="4">
        <v>505000200</v>
      </c>
      <c r="B18561">
        <v>8600102</v>
      </c>
    </row>
    <row r="18562" spans="1:2" x14ac:dyDescent="0.4">
      <c r="A18562" s="4">
        <v>505000200</v>
      </c>
      <c r="B18562">
        <v>8600200</v>
      </c>
    </row>
    <row r="18563" spans="1:2" x14ac:dyDescent="0.4">
      <c r="A18563" s="4">
        <v>505000200</v>
      </c>
      <c r="B18563">
        <v>8600201</v>
      </c>
    </row>
    <row r="18564" spans="1:2" x14ac:dyDescent="0.4">
      <c r="A18564" s="4">
        <v>505000200</v>
      </c>
      <c r="B18564">
        <v>8600202</v>
      </c>
    </row>
    <row r="18565" spans="1:2" x14ac:dyDescent="0.4">
      <c r="A18565" s="4">
        <v>505000200</v>
      </c>
      <c r="B18565">
        <v>8610300</v>
      </c>
    </row>
    <row r="18566" spans="1:2" x14ac:dyDescent="0.4">
      <c r="A18566" s="4">
        <v>505000200</v>
      </c>
      <c r="B18566">
        <v>8610400</v>
      </c>
    </row>
    <row r="18567" spans="1:2" x14ac:dyDescent="0.4">
      <c r="A18567" s="4">
        <v>505000200</v>
      </c>
      <c r="B18567">
        <v>8610500</v>
      </c>
    </row>
    <row r="18568" spans="1:2" x14ac:dyDescent="0.4">
      <c r="A18568" s="4">
        <v>505000200</v>
      </c>
      <c r="B18568">
        <v>8610600</v>
      </c>
    </row>
    <row r="18569" spans="1:2" x14ac:dyDescent="0.4">
      <c r="A18569" s="4">
        <v>505000200</v>
      </c>
      <c r="B18569">
        <v>8610700</v>
      </c>
    </row>
    <row r="18570" spans="1:2" x14ac:dyDescent="0.4">
      <c r="A18570" s="4">
        <v>505000200</v>
      </c>
      <c r="B18570">
        <v>8610710</v>
      </c>
    </row>
    <row r="18571" spans="1:2" x14ac:dyDescent="0.4">
      <c r="A18571" s="4">
        <v>505000200</v>
      </c>
      <c r="B18571">
        <v>8610720</v>
      </c>
    </row>
    <row r="18572" spans="1:2" x14ac:dyDescent="0.4">
      <c r="A18572" s="4">
        <v>505000200</v>
      </c>
      <c r="B18572">
        <v>8620000</v>
      </c>
    </row>
    <row r="18573" spans="1:2" x14ac:dyDescent="0.4">
      <c r="A18573" s="4">
        <v>505000200</v>
      </c>
      <c r="B18573">
        <v>8620010</v>
      </c>
    </row>
    <row r="18574" spans="1:2" x14ac:dyDescent="0.4">
      <c r="A18574" s="4">
        <v>505000200</v>
      </c>
      <c r="B18574">
        <v>8620020</v>
      </c>
    </row>
    <row r="18575" spans="1:2" x14ac:dyDescent="0.4">
      <c r="A18575" s="4">
        <v>505000200</v>
      </c>
      <c r="B18575">
        <v>8620100</v>
      </c>
    </row>
    <row r="18576" spans="1:2" x14ac:dyDescent="0.4">
      <c r="A18576" s="4">
        <v>505000200</v>
      </c>
      <c r="B18576">
        <v>8620110</v>
      </c>
    </row>
    <row r="18577" spans="1:2" x14ac:dyDescent="0.4">
      <c r="A18577" s="4">
        <v>505000200</v>
      </c>
      <c r="B18577">
        <v>8620120</v>
      </c>
    </row>
    <row r="18578" spans="1:2" x14ac:dyDescent="0.4">
      <c r="A18578" s="4">
        <v>505000200</v>
      </c>
      <c r="B18578">
        <v>8630000</v>
      </c>
    </row>
    <row r="18579" spans="1:2" x14ac:dyDescent="0.4">
      <c r="A18579" s="4">
        <v>505000200</v>
      </c>
      <c r="B18579">
        <v>8630000</v>
      </c>
    </row>
    <row r="18580" spans="1:2" x14ac:dyDescent="0.4">
      <c r="A18580" s="4">
        <v>505000200</v>
      </c>
      <c r="B18580">
        <v>8630000</v>
      </c>
    </row>
    <row r="18581" spans="1:2" x14ac:dyDescent="0.4">
      <c r="A18581" s="4">
        <v>505000200</v>
      </c>
      <c r="B18581">
        <v>8630100</v>
      </c>
    </row>
    <row r="18582" spans="1:2" x14ac:dyDescent="0.4">
      <c r="A18582" s="4">
        <v>505000200</v>
      </c>
      <c r="B18582">
        <v>8630100</v>
      </c>
    </row>
    <row r="18583" spans="1:2" x14ac:dyDescent="0.4">
      <c r="A18583" s="4">
        <v>505000200</v>
      </c>
      <c r="B18583">
        <v>8630100</v>
      </c>
    </row>
    <row r="18584" spans="1:2" x14ac:dyDescent="0.4">
      <c r="A18584" s="4">
        <v>505000200</v>
      </c>
      <c r="B18584">
        <v>8630200</v>
      </c>
    </row>
    <row r="18585" spans="1:2" x14ac:dyDescent="0.4">
      <c r="A18585" s="4">
        <v>505000200</v>
      </c>
      <c r="B18585">
        <v>8630300</v>
      </c>
    </row>
    <row r="18586" spans="1:2" x14ac:dyDescent="0.4">
      <c r="A18586" s="4">
        <v>505000200</v>
      </c>
      <c r="B18586">
        <v>8630400</v>
      </c>
    </row>
    <row r="18587" spans="1:2" x14ac:dyDescent="0.4">
      <c r="A18587" s="4">
        <v>505000200</v>
      </c>
      <c r="B18587">
        <v>8630500</v>
      </c>
    </row>
    <row r="18588" spans="1:2" x14ac:dyDescent="0.4">
      <c r="A18588" s="4">
        <v>505000200</v>
      </c>
      <c r="B18588">
        <v>8630600</v>
      </c>
    </row>
    <row r="18589" spans="1:2" x14ac:dyDescent="0.4">
      <c r="A18589" s="4">
        <v>505000200</v>
      </c>
      <c r="B18589">
        <v>8630700</v>
      </c>
    </row>
    <row r="18590" spans="1:2" x14ac:dyDescent="0.4">
      <c r="A18590" s="4">
        <v>505000200</v>
      </c>
      <c r="B18590">
        <v>8630800</v>
      </c>
    </row>
    <row r="18591" spans="1:2" x14ac:dyDescent="0.4">
      <c r="A18591" s="4">
        <v>505000200</v>
      </c>
      <c r="B18591">
        <v>8652000</v>
      </c>
    </row>
    <row r="18592" spans="1:2" x14ac:dyDescent="0.4">
      <c r="A18592" s="4">
        <v>505000200</v>
      </c>
      <c r="B18592">
        <v>8652010</v>
      </c>
    </row>
    <row r="18593" spans="1:2" x14ac:dyDescent="0.4">
      <c r="A18593" s="4">
        <v>505000200</v>
      </c>
      <c r="B18593">
        <v>8652020</v>
      </c>
    </row>
    <row r="18594" spans="1:2" x14ac:dyDescent="0.4">
      <c r="A18594" s="4">
        <v>505000200</v>
      </c>
      <c r="B18594">
        <v>8652100</v>
      </c>
    </row>
    <row r="18595" spans="1:2" x14ac:dyDescent="0.4">
      <c r="A18595" s="4">
        <v>505000200</v>
      </c>
      <c r="B18595">
        <v>8652110</v>
      </c>
    </row>
    <row r="18596" spans="1:2" x14ac:dyDescent="0.4">
      <c r="A18596" s="4">
        <v>505000200</v>
      </c>
      <c r="B18596">
        <v>8652120</v>
      </c>
    </row>
    <row r="18597" spans="1:2" x14ac:dyDescent="0.4">
      <c r="A18597" s="4">
        <v>505000200</v>
      </c>
      <c r="B18597">
        <v>8660000</v>
      </c>
    </row>
    <row r="18598" spans="1:2" x14ac:dyDescent="0.4">
      <c r="A18598" s="4">
        <v>505000200</v>
      </c>
      <c r="B18598">
        <v>8660001</v>
      </c>
    </row>
    <row r="18599" spans="1:2" x14ac:dyDescent="0.4">
      <c r="A18599" s="4">
        <v>505000200</v>
      </c>
      <c r="B18599">
        <v>8660002</v>
      </c>
    </row>
    <row r="18600" spans="1:2" x14ac:dyDescent="0.4">
      <c r="A18600" s="4">
        <v>505000200</v>
      </c>
      <c r="B18600">
        <v>8660100</v>
      </c>
    </row>
    <row r="18601" spans="1:2" x14ac:dyDescent="0.4">
      <c r="A18601" s="4">
        <v>505000200</v>
      </c>
      <c r="B18601">
        <v>8660101</v>
      </c>
    </row>
    <row r="18602" spans="1:2" x14ac:dyDescent="0.4">
      <c r="A18602" s="4">
        <v>505000200</v>
      </c>
      <c r="B18602">
        <v>8660102</v>
      </c>
    </row>
    <row r="18603" spans="1:2" x14ac:dyDescent="0.4">
      <c r="A18603" s="4">
        <v>505000200</v>
      </c>
      <c r="B18603">
        <v>8670000</v>
      </c>
    </row>
    <row r="18604" spans="1:2" x14ac:dyDescent="0.4">
      <c r="A18604" s="4">
        <v>505000200</v>
      </c>
      <c r="B18604">
        <v>8670001</v>
      </c>
    </row>
    <row r="18605" spans="1:2" x14ac:dyDescent="0.4">
      <c r="A18605" s="4">
        <v>505000200</v>
      </c>
      <c r="B18605">
        <v>8670002</v>
      </c>
    </row>
    <row r="18606" spans="1:2" x14ac:dyDescent="0.4">
      <c r="A18606" s="4">
        <v>505000200</v>
      </c>
      <c r="B18606">
        <v>8670100</v>
      </c>
    </row>
    <row r="18607" spans="1:2" x14ac:dyDescent="0.4">
      <c r="A18607" s="4">
        <v>505000200</v>
      </c>
      <c r="B18607">
        <v>8670101</v>
      </c>
    </row>
    <row r="18608" spans="1:2" x14ac:dyDescent="0.4">
      <c r="A18608" s="4">
        <v>505000200</v>
      </c>
      <c r="B18608">
        <v>8670102</v>
      </c>
    </row>
    <row r="18609" spans="1:2" x14ac:dyDescent="0.4">
      <c r="A18609" s="4">
        <v>505000200</v>
      </c>
      <c r="B18609">
        <v>8690000</v>
      </c>
    </row>
    <row r="18610" spans="1:2" x14ac:dyDescent="0.4">
      <c r="A18610" s="4">
        <v>505000200</v>
      </c>
      <c r="B18610">
        <v>8690100</v>
      </c>
    </row>
    <row r="18611" spans="1:2" x14ac:dyDescent="0.4">
      <c r="A18611" s="4">
        <v>505000200</v>
      </c>
      <c r="B18611">
        <v>8690200</v>
      </c>
    </row>
    <row r="18612" spans="1:2" x14ac:dyDescent="0.4">
      <c r="A18612" s="4">
        <v>505000200</v>
      </c>
      <c r="B18612">
        <v>8690300</v>
      </c>
    </row>
    <row r="18613" spans="1:2" x14ac:dyDescent="0.4">
      <c r="A18613" s="4">
        <v>505000200</v>
      </c>
      <c r="B18613">
        <v>8690400</v>
      </c>
    </row>
    <row r="18614" spans="1:2" x14ac:dyDescent="0.4">
      <c r="A18614" s="4">
        <v>505000200</v>
      </c>
      <c r="B18614">
        <v>8850000</v>
      </c>
    </row>
    <row r="18615" spans="1:2" x14ac:dyDescent="0.4">
      <c r="A18615" s="4">
        <v>505000200</v>
      </c>
      <c r="B18615">
        <v>8850100</v>
      </c>
    </row>
    <row r="18616" spans="1:2" x14ac:dyDescent="0.4">
      <c r="A18616" s="4">
        <v>505000200</v>
      </c>
      <c r="B18616">
        <v>8850200</v>
      </c>
    </row>
    <row r="18617" spans="1:2" x14ac:dyDescent="0.4">
      <c r="A18617" s="4">
        <v>505000200</v>
      </c>
      <c r="B18617">
        <v>8850300</v>
      </c>
    </row>
    <row r="18618" spans="1:2" x14ac:dyDescent="0.4">
      <c r="A18618" s="4">
        <v>505000200</v>
      </c>
      <c r="B18618">
        <v>8850400</v>
      </c>
    </row>
    <row r="18619" spans="1:2" x14ac:dyDescent="0.4">
      <c r="A18619" s="4">
        <v>505000200</v>
      </c>
      <c r="B18619">
        <v>8850500</v>
      </c>
    </row>
    <row r="18620" spans="1:2" x14ac:dyDescent="0.4">
      <c r="A18620" s="4">
        <v>505000200</v>
      </c>
      <c r="B18620">
        <v>8850600</v>
      </c>
    </row>
    <row r="18621" spans="1:2" x14ac:dyDescent="0.4">
      <c r="A18621" s="4">
        <v>505000200</v>
      </c>
      <c r="B18621">
        <v>8850700</v>
      </c>
    </row>
    <row r="18622" spans="1:2" x14ac:dyDescent="0.4">
      <c r="A18622" s="4">
        <v>505000200</v>
      </c>
      <c r="B18622">
        <v>8850800</v>
      </c>
    </row>
    <row r="18623" spans="1:2" x14ac:dyDescent="0.4">
      <c r="A18623" s="4">
        <v>505000200</v>
      </c>
      <c r="B18623">
        <v>8850900</v>
      </c>
    </row>
    <row r="18624" spans="1:2" x14ac:dyDescent="0.4">
      <c r="A18624" s="4">
        <v>505000200</v>
      </c>
      <c r="B18624">
        <v>8851000</v>
      </c>
    </row>
    <row r="18625" spans="1:2" x14ac:dyDescent="0.4">
      <c r="A18625" s="4">
        <v>505000200</v>
      </c>
      <c r="B18625">
        <v>8851100</v>
      </c>
    </row>
    <row r="18626" spans="1:2" x14ac:dyDescent="0.4">
      <c r="A18626" s="4">
        <v>505000200</v>
      </c>
      <c r="B18626">
        <v>8851200</v>
      </c>
    </row>
    <row r="18627" spans="1:2" x14ac:dyDescent="0.4">
      <c r="A18627" s="4">
        <v>505000200</v>
      </c>
      <c r="B18627">
        <v>8851300</v>
      </c>
    </row>
    <row r="18628" spans="1:2" x14ac:dyDescent="0.4">
      <c r="A18628" s="4">
        <v>505000200</v>
      </c>
      <c r="B18628">
        <v>8851800</v>
      </c>
    </row>
    <row r="18629" spans="1:2" x14ac:dyDescent="0.4">
      <c r="A18629" s="4">
        <v>505000200</v>
      </c>
      <c r="B18629">
        <v>8851900</v>
      </c>
    </row>
    <row r="18630" spans="1:2" x14ac:dyDescent="0.4">
      <c r="A18630" s="4">
        <v>505000200</v>
      </c>
      <c r="B18630">
        <v>8852000</v>
      </c>
    </row>
    <row r="18631" spans="1:2" x14ac:dyDescent="0.4">
      <c r="A18631" s="4">
        <v>505000200</v>
      </c>
      <c r="B18631">
        <v>8320500</v>
      </c>
    </row>
    <row r="18632" spans="1:2" x14ac:dyDescent="0.4">
      <c r="A18632" s="4">
        <v>505000200</v>
      </c>
      <c r="B18632">
        <v>8320510</v>
      </c>
    </row>
    <row r="18633" spans="1:2" x14ac:dyDescent="0.4">
      <c r="A18633" s="4">
        <v>505000200</v>
      </c>
      <c r="B18633">
        <v>8320520</v>
      </c>
    </row>
    <row r="18634" spans="1:2" x14ac:dyDescent="0.4">
      <c r="A18634" s="4">
        <v>505000200</v>
      </c>
      <c r="B18634">
        <v>8320600</v>
      </c>
    </row>
    <row r="18635" spans="1:2" x14ac:dyDescent="0.4">
      <c r="A18635" s="4">
        <v>505000200</v>
      </c>
      <c r="B18635">
        <v>8320610</v>
      </c>
    </row>
    <row r="18636" spans="1:2" x14ac:dyDescent="0.4">
      <c r="A18636" s="4">
        <v>505000200</v>
      </c>
      <c r="B18636">
        <v>8320620</v>
      </c>
    </row>
    <row r="18637" spans="1:2" x14ac:dyDescent="0.4">
      <c r="A18637" s="4">
        <v>505000200</v>
      </c>
      <c r="B18637">
        <v>8320700</v>
      </c>
    </row>
    <row r="18638" spans="1:2" x14ac:dyDescent="0.4">
      <c r="A18638" s="4">
        <v>505000200</v>
      </c>
      <c r="B18638">
        <v>8320710</v>
      </c>
    </row>
    <row r="18639" spans="1:2" x14ac:dyDescent="0.4">
      <c r="A18639" s="4">
        <v>505000200</v>
      </c>
      <c r="B18639">
        <v>8320720</v>
      </c>
    </row>
    <row r="18640" spans="1:2" x14ac:dyDescent="0.4">
      <c r="A18640" s="4">
        <v>505100100</v>
      </c>
      <c r="B18640">
        <v>0</v>
      </c>
    </row>
    <row r="18641" spans="1:2" x14ac:dyDescent="0.4">
      <c r="A18641" s="4">
        <v>505100100</v>
      </c>
      <c r="B18641">
        <v>8100100</v>
      </c>
    </row>
    <row r="18642" spans="1:2" x14ac:dyDescent="0.4">
      <c r="A18642" s="4">
        <v>505100100</v>
      </c>
      <c r="B18642">
        <v>8100101</v>
      </c>
    </row>
    <row r="18643" spans="1:2" x14ac:dyDescent="0.4">
      <c r="A18643" s="4">
        <v>505100100</v>
      </c>
      <c r="B18643">
        <v>8100102</v>
      </c>
    </row>
    <row r="18644" spans="1:2" x14ac:dyDescent="0.4">
      <c r="A18644" s="4">
        <v>505100100</v>
      </c>
      <c r="B18644">
        <v>8100200</v>
      </c>
    </row>
    <row r="18645" spans="1:2" x14ac:dyDescent="0.4">
      <c r="A18645" s="4">
        <v>505100100</v>
      </c>
      <c r="B18645">
        <v>8100201</v>
      </c>
    </row>
    <row r="18646" spans="1:2" x14ac:dyDescent="0.4">
      <c r="A18646" s="4">
        <v>505100100</v>
      </c>
      <c r="B18646">
        <v>8100202</v>
      </c>
    </row>
    <row r="18647" spans="1:2" x14ac:dyDescent="0.4">
      <c r="A18647" s="4">
        <v>505100100</v>
      </c>
      <c r="B18647">
        <v>8100300</v>
      </c>
    </row>
    <row r="18648" spans="1:2" x14ac:dyDescent="0.4">
      <c r="A18648" s="4">
        <v>505100100</v>
      </c>
      <c r="B18648">
        <v>8100301</v>
      </c>
    </row>
    <row r="18649" spans="1:2" x14ac:dyDescent="0.4">
      <c r="A18649" s="4">
        <v>505100100</v>
      </c>
      <c r="B18649">
        <v>8100302</v>
      </c>
    </row>
    <row r="18650" spans="1:2" x14ac:dyDescent="0.4">
      <c r="A18650" s="4">
        <v>505100100</v>
      </c>
      <c r="B18650">
        <v>8100400</v>
      </c>
    </row>
    <row r="18651" spans="1:2" x14ac:dyDescent="0.4">
      <c r="A18651" s="4">
        <v>505100100</v>
      </c>
      <c r="B18651">
        <v>8100401</v>
      </c>
    </row>
    <row r="18652" spans="1:2" x14ac:dyDescent="0.4">
      <c r="A18652" s="4">
        <v>505100100</v>
      </c>
      <c r="B18652">
        <v>8100402</v>
      </c>
    </row>
    <row r="18653" spans="1:2" x14ac:dyDescent="0.4">
      <c r="A18653" s="4">
        <v>505100100</v>
      </c>
      <c r="B18653">
        <v>8130000</v>
      </c>
    </row>
    <row r="18654" spans="1:2" x14ac:dyDescent="0.4">
      <c r="A18654" s="4">
        <v>505100100</v>
      </c>
      <c r="B18654">
        <v>8130001</v>
      </c>
    </row>
    <row r="18655" spans="1:2" x14ac:dyDescent="0.4">
      <c r="A18655" s="4">
        <v>505100100</v>
      </c>
      <c r="B18655">
        <v>8130002</v>
      </c>
    </row>
    <row r="18656" spans="1:2" x14ac:dyDescent="0.4">
      <c r="A18656" s="4">
        <v>505100100</v>
      </c>
      <c r="B18656">
        <v>8140000</v>
      </c>
    </row>
    <row r="18657" spans="1:2" x14ac:dyDescent="0.4">
      <c r="A18657" s="4">
        <v>505100100</v>
      </c>
      <c r="B18657">
        <v>8140001</v>
      </c>
    </row>
    <row r="18658" spans="1:2" x14ac:dyDescent="0.4">
      <c r="A18658" s="4">
        <v>505100100</v>
      </c>
      <c r="B18658">
        <v>8140002</v>
      </c>
    </row>
    <row r="18659" spans="1:2" x14ac:dyDescent="0.4">
      <c r="A18659" s="4">
        <v>505100100</v>
      </c>
      <c r="B18659">
        <v>8200100</v>
      </c>
    </row>
    <row r="18660" spans="1:2" x14ac:dyDescent="0.4">
      <c r="A18660" s="4">
        <v>505100100</v>
      </c>
      <c r="B18660">
        <v>8200101</v>
      </c>
    </row>
    <row r="18661" spans="1:2" x14ac:dyDescent="0.4">
      <c r="A18661" s="4">
        <v>505100100</v>
      </c>
      <c r="B18661">
        <v>8200102</v>
      </c>
    </row>
    <row r="18662" spans="1:2" x14ac:dyDescent="0.4">
      <c r="A18662" s="4">
        <v>505100100</v>
      </c>
      <c r="B18662">
        <v>8200200</v>
      </c>
    </row>
    <row r="18663" spans="1:2" x14ac:dyDescent="0.4">
      <c r="A18663" s="4">
        <v>505100100</v>
      </c>
      <c r="B18663">
        <v>8200201</v>
      </c>
    </row>
    <row r="18664" spans="1:2" x14ac:dyDescent="0.4">
      <c r="A18664" s="4">
        <v>505100100</v>
      </c>
      <c r="B18664">
        <v>8200202</v>
      </c>
    </row>
    <row r="18665" spans="1:2" x14ac:dyDescent="0.4">
      <c r="A18665" s="4">
        <v>505100100</v>
      </c>
      <c r="B18665">
        <v>8200300</v>
      </c>
    </row>
    <row r="18666" spans="1:2" x14ac:dyDescent="0.4">
      <c r="A18666" s="4">
        <v>505100100</v>
      </c>
      <c r="B18666">
        <v>8200301</v>
      </c>
    </row>
    <row r="18667" spans="1:2" x14ac:dyDescent="0.4">
      <c r="A18667" s="4">
        <v>505100100</v>
      </c>
      <c r="B18667">
        <v>8200302</v>
      </c>
    </row>
    <row r="18668" spans="1:2" x14ac:dyDescent="0.4">
      <c r="A18668" s="4">
        <v>505100100</v>
      </c>
      <c r="B18668">
        <v>8200400</v>
      </c>
    </row>
    <row r="18669" spans="1:2" x14ac:dyDescent="0.4">
      <c r="A18669" s="4">
        <v>505100100</v>
      </c>
      <c r="B18669">
        <v>8200401</v>
      </c>
    </row>
    <row r="18670" spans="1:2" x14ac:dyDescent="0.4">
      <c r="A18670" s="4">
        <v>505100100</v>
      </c>
      <c r="B18670">
        <v>8200402</v>
      </c>
    </row>
    <row r="18671" spans="1:2" x14ac:dyDescent="0.4">
      <c r="A18671" s="4">
        <v>505100100</v>
      </c>
      <c r="B18671">
        <v>8210000</v>
      </c>
    </row>
    <row r="18672" spans="1:2" x14ac:dyDescent="0.4">
      <c r="A18672" s="4">
        <v>505100100</v>
      </c>
      <c r="B18672">
        <v>8210001</v>
      </c>
    </row>
    <row r="18673" spans="1:2" x14ac:dyDescent="0.4">
      <c r="A18673" s="4">
        <v>505100100</v>
      </c>
      <c r="B18673">
        <v>8210002</v>
      </c>
    </row>
    <row r="18674" spans="1:2" x14ac:dyDescent="0.4">
      <c r="A18674" s="4">
        <v>505100100</v>
      </c>
      <c r="B18674">
        <v>8210100</v>
      </c>
    </row>
    <row r="18675" spans="1:2" x14ac:dyDescent="0.4">
      <c r="A18675" s="4">
        <v>505100100</v>
      </c>
      <c r="B18675">
        <v>8210101</v>
      </c>
    </row>
    <row r="18676" spans="1:2" x14ac:dyDescent="0.4">
      <c r="A18676" s="4">
        <v>505100100</v>
      </c>
      <c r="B18676">
        <v>8210102</v>
      </c>
    </row>
    <row r="18677" spans="1:2" x14ac:dyDescent="0.4">
      <c r="A18677" s="4">
        <v>505100100</v>
      </c>
      <c r="B18677">
        <v>8210200</v>
      </c>
    </row>
    <row r="18678" spans="1:2" x14ac:dyDescent="0.4">
      <c r="A18678" s="4">
        <v>505100100</v>
      </c>
      <c r="B18678">
        <v>8210201</v>
      </c>
    </row>
    <row r="18679" spans="1:2" x14ac:dyDescent="0.4">
      <c r="A18679" s="4">
        <v>505100100</v>
      </c>
      <c r="B18679">
        <v>8210202</v>
      </c>
    </row>
    <row r="18680" spans="1:2" x14ac:dyDescent="0.4">
      <c r="A18680" s="4">
        <v>505100100</v>
      </c>
      <c r="B18680">
        <v>8210300</v>
      </c>
    </row>
    <row r="18681" spans="1:2" x14ac:dyDescent="0.4">
      <c r="A18681" s="4">
        <v>505100100</v>
      </c>
      <c r="B18681">
        <v>8210301</v>
      </c>
    </row>
    <row r="18682" spans="1:2" x14ac:dyDescent="0.4">
      <c r="A18682" s="4">
        <v>505100100</v>
      </c>
      <c r="B18682">
        <v>8210302</v>
      </c>
    </row>
    <row r="18683" spans="1:2" x14ac:dyDescent="0.4">
      <c r="A18683" s="4">
        <v>505100100</v>
      </c>
      <c r="B18683">
        <v>8210400</v>
      </c>
    </row>
    <row r="18684" spans="1:2" x14ac:dyDescent="0.4">
      <c r="A18684" s="4">
        <v>505100100</v>
      </c>
      <c r="B18684">
        <v>8210401</v>
      </c>
    </row>
    <row r="18685" spans="1:2" x14ac:dyDescent="0.4">
      <c r="A18685" s="4">
        <v>505100100</v>
      </c>
      <c r="B18685">
        <v>8210402</v>
      </c>
    </row>
    <row r="18686" spans="1:2" x14ac:dyDescent="0.4">
      <c r="A18686" s="4">
        <v>505100100</v>
      </c>
      <c r="B18686">
        <v>8210500</v>
      </c>
    </row>
    <row r="18687" spans="1:2" x14ac:dyDescent="0.4">
      <c r="A18687" s="4">
        <v>505100100</v>
      </c>
      <c r="B18687">
        <v>8210501</v>
      </c>
    </row>
    <row r="18688" spans="1:2" x14ac:dyDescent="0.4">
      <c r="A18688" s="4">
        <v>505100100</v>
      </c>
      <c r="B18688">
        <v>8210502</v>
      </c>
    </row>
    <row r="18689" spans="1:2" x14ac:dyDescent="0.4">
      <c r="A18689" s="4">
        <v>505100100</v>
      </c>
      <c r="B18689">
        <v>8210600</v>
      </c>
    </row>
    <row r="18690" spans="1:2" x14ac:dyDescent="0.4">
      <c r="A18690" s="4">
        <v>505100100</v>
      </c>
      <c r="B18690">
        <v>8210601</v>
      </c>
    </row>
    <row r="18691" spans="1:2" x14ac:dyDescent="0.4">
      <c r="A18691" s="4">
        <v>505100100</v>
      </c>
      <c r="B18691">
        <v>8210602</v>
      </c>
    </row>
    <row r="18692" spans="1:2" x14ac:dyDescent="0.4">
      <c r="A18692" s="4">
        <v>505100100</v>
      </c>
      <c r="B18692">
        <v>8220000</v>
      </c>
    </row>
    <row r="18693" spans="1:2" x14ac:dyDescent="0.4">
      <c r="A18693" s="4">
        <v>505100100</v>
      </c>
      <c r="B18693">
        <v>8220001</v>
      </c>
    </row>
    <row r="18694" spans="1:2" x14ac:dyDescent="0.4">
      <c r="A18694" s="4">
        <v>505100100</v>
      </c>
      <c r="B18694">
        <v>8220002</v>
      </c>
    </row>
    <row r="18695" spans="1:2" x14ac:dyDescent="0.4">
      <c r="A18695" s="4">
        <v>505100100</v>
      </c>
      <c r="B18695">
        <v>8300000</v>
      </c>
    </row>
    <row r="18696" spans="1:2" x14ac:dyDescent="0.4">
      <c r="A18696" s="4">
        <v>505100100</v>
      </c>
      <c r="B18696">
        <v>8300001</v>
      </c>
    </row>
    <row r="18697" spans="1:2" x14ac:dyDescent="0.4">
      <c r="A18697" s="4">
        <v>505100100</v>
      </c>
      <c r="B18697">
        <v>8300002</v>
      </c>
    </row>
    <row r="18698" spans="1:2" x14ac:dyDescent="0.4">
      <c r="A18698" s="4">
        <v>505100100</v>
      </c>
      <c r="B18698">
        <v>8310000</v>
      </c>
    </row>
    <row r="18699" spans="1:2" x14ac:dyDescent="0.4">
      <c r="A18699" s="4">
        <v>505100100</v>
      </c>
      <c r="B18699">
        <v>8310001</v>
      </c>
    </row>
    <row r="18700" spans="1:2" x14ac:dyDescent="0.4">
      <c r="A18700" s="4">
        <v>505100100</v>
      </c>
      <c r="B18700">
        <v>8310002</v>
      </c>
    </row>
    <row r="18701" spans="1:2" x14ac:dyDescent="0.4">
      <c r="A18701" s="4">
        <v>505100100</v>
      </c>
      <c r="B18701">
        <v>8320000</v>
      </c>
    </row>
    <row r="18702" spans="1:2" x14ac:dyDescent="0.4">
      <c r="A18702" s="4">
        <v>505100100</v>
      </c>
      <c r="B18702">
        <v>8320001</v>
      </c>
    </row>
    <row r="18703" spans="1:2" x14ac:dyDescent="0.4">
      <c r="A18703" s="4">
        <v>505100100</v>
      </c>
      <c r="B18703">
        <v>8320002</v>
      </c>
    </row>
    <row r="18704" spans="1:2" x14ac:dyDescent="0.4">
      <c r="A18704" s="4">
        <v>505100100</v>
      </c>
      <c r="B18704">
        <v>8320100</v>
      </c>
    </row>
    <row r="18705" spans="1:2" x14ac:dyDescent="0.4">
      <c r="A18705" s="4">
        <v>505100100</v>
      </c>
      <c r="B18705">
        <v>8320101</v>
      </c>
    </row>
    <row r="18706" spans="1:2" x14ac:dyDescent="0.4">
      <c r="A18706" s="4">
        <v>505100100</v>
      </c>
      <c r="B18706">
        <v>8320102</v>
      </c>
    </row>
    <row r="18707" spans="1:2" x14ac:dyDescent="0.4">
      <c r="A18707" s="4">
        <v>505100100</v>
      </c>
      <c r="B18707">
        <v>8320300</v>
      </c>
    </row>
    <row r="18708" spans="1:2" x14ac:dyDescent="0.4">
      <c r="A18708" s="4">
        <v>505100100</v>
      </c>
      <c r="B18708">
        <v>8320301</v>
      </c>
    </row>
    <row r="18709" spans="1:2" x14ac:dyDescent="0.4">
      <c r="A18709" s="4">
        <v>505100100</v>
      </c>
      <c r="B18709">
        <v>8320302</v>
      </c>
    </row>
    <row r="18710" spans="1:2" x14ac:dyDescent="0.4">
      <c r="A18710" s="4">
        <v>505100100</v>
      </c>
      <c r="B18710">
        <v>8320400</v>
      </c>
    </row>
    <row r="18711" spans="1:2" x14ac:dyDescent="0.4">
      <c r="A18711" s="4">
        <v>505100100</v>
      </c>
      <c r="B18711">
        <v>8320410</v>
      </c>
    </row>
    <row r="18712" spans="1:2" x14ac:dyDescent="0.4">
      <c r="A18712" s="4">
        <v>505100100</v>
      </c>
      <c r="B18712">
        <v>8320420</v>
      </c>
    </row>
    <row r="18713" spans="1:2" x14ac:dyDescent="0.4">
      <c r="A18713" s="4">
        <v>505100100</v>
      </c>
      <c r="B18713">
        <v>8330000</v>
      </c>
    </row>
    <row r="18714" spans="1:2" x14ac:dyDescent="0.4">
      <c r="A18714" s="4">
        <v>505100100</v>
      </c>
      <c r="B18714">
        <v>8330001</v>
      </c>
    </row>
    <row r="18715" spans="1:2" x14ac:dyDescent="0.4">
      <c r="A18715" s="4">
        <v>505100100</v>
      </c>
      <c r="B18715">
        <v>8330002</v>
      </c>
    </row>
    <row r="18716" spans="1:2" x14ac:dyDescent="0.4">
      <c r="A18716" s="4">
        <v>505100100</v>
      </c>
      <c r="B18716">
        <v>8330100</v>
      </c>
    </row>
    <row r="18717" spans="1:2" x14ac:dyDescent="0.4">
      <c r="A18717" s="4">
        <v>505100100</v>
      </c>
      <c r="B18717">
        <v>8330101</v>
      </c>
    </row>
    <row r="18718" spans="1:2" x14ac:dyDescent="0.4">
      <c r="A18718" s="4">
        <v>505100100</v>
      </c>
      <c r="B18718">
        <v>8330102</v>
      </c>
    </row>
    <row r="18719" spans="1:2" x14ac:dyDescent="0.4">
      <c r="A18719" s="4">
        <v>505100100</v>
      </c>
      <c r="B18719">
        <v>8330200</v>
      </c>
    </row>
    <row r="18720" spans="1:2" x14ac:dyDescent="0.4">
      <c r="A18720" s="4">
        <v>505100100</v>
      </c>
      <c r="B18720">
        <v>8330201</v>
      </c>
    </row>
    <row r="18721" spans="1:2" x14ac:dyDescent="0.4">
      <c r="A18721" s="4">
        <v>505100100</v>
      </c>
      <c r="B18721">
        <v>8330202</v>
      </c>
    </row>
    <row r="18722" spans="1:2" x14ac:dyDescent="0.4">
      <c r="A18722" s="4">
        <v>505100100</v>
      </c>
      <c r="B18722">
        <v>8330300</v>
      </c>
    </row>
    <row r="18723" spans="1:2" x14ac:dyDescent="0.4">
      <c r="A18723" s="4">
        <v>505100100</v>
      </c>
      <c r="B18723">
        <v>8330301</v>
      </c>
    </row>
    <row r="18724" spans="1:2" x14ac:dyDescent="0.4">
      <c r="A18724" s="4">
        <v>505100100</v>
      </c>
      <c r="B18724">
        <v>8330302</v>
      </c>
    </row>
    <row r="18725" spans="1:2" x14ac:dyDescent="0.4">
      <c r="A18725" s="4">
        <v>505100100</v>
      </c>
      <c r="B18725">
        <v>8330400</v>
      </c>
    </row>
    <row r="18726" spans="1:2" x14ac:dyDescent="0.4">
      <c r="A18726" s="4">
        <v>505100100</v>
      </c>
      <c r="B18726">
        <v>8330401</v>
      </c>
    </row>
    <row r="18727" spans="1:2" x14ac:dyDescent="0.4">
      <c r="A18727" s="4">
        <v>505100100</v>
      </c>
      <c r="B18727">
        <v>8330600</v>
      </c>
    </row>
    <row r="18728" spans="1:2" x14ac:dyDescent="0.4">
      <c r="A18728" s="4">
        <v>505100100</v>
      </c>
      <c r="B18728">
        <v>8330601</v>
      </c>
    </row>
    <row r="18729" spans="1:2" x14ac:dyDescent="0.4">
      <c r="A18729" s="4">
        <v>505100100</v>
      </c>
      <c r="B18729">
        <v>8330602</v>
      </c>
    </row>
    <row r="18730" spans="1:2" x14ac:dyDescent="0.4">
      <c r="A18730" s="4">
        <v>505100100</v>
      </c>
      <c r="B18730">
        <v>8330900</v>
      </c>
    </row>
    <row r="18731" spans="1:2" x14ac:dyDescent="0.4">
      <c r="A18731" s="4">
        <v>505100100</v>
      </c>
      <c r="B18731">
        <v>8330910</v>
      </c>
    </row>
    <row r="18732" spans="1:2" x14ac:dyDescent="0.4">
      <c r="A18732" s="4">
        <v>505100100</v>
      </c>
      <c r="B18732">
        <v>8330920</v>
      </c>
    </row>
    <row r="18733" spans="1:2" x14ac:dyDescent="0.4">
      <c r="A18733" s="4">
        <v>505100100</v>
      </c>
      <c r="B18733">
        <v>8340000</v>
      </c>
    </row>
    <row r="18734" spans="1:2" x14ac:dyDescent="0.4">
      <c r="A18734" s="4">
        <v>505100100</v>
      </c>
      <c r="B18734">
        <v>8340001</v>
      </c>
    </row>
    <row r="18735" spans="1:2" x14ac:dyDescent="0.4">
      <c r="A18735" s="4">
        <v>505100100</v>
      </c>
      <c r="B18735">
        <v>8340002</v>
      </c>
    </row>
    <row r="18736" spans="1:2" x14ac:dyDescent="0.4">
      <c r="A18736" s="4">
        <v>505100100</v>
      </c>
      <c r="B18736">
        <v>8340100</v>
      </c>
    </row>
    <row r="18737" spans="1:2" x14ac:dyDescent="0.4">
      <c r="A18737" s="4">
        <v>505100100</v>
      </c>
      <c r="B18737">
        <v>8340101</v>
      </c>
    </row>
    <row r="18738" spans="1:2" x14ac:dyDescent="0.4">
      <c r="A18738" s="4">
        <v>505100100</v>
      </c>
      <c r="B18738">
        <v>8340102</v>
      </c>
    </row>
    <row r="18739" spans="1:2" x14ac:dyDescent="0.4">
      <c r="A18739" s="4">
        <v>505100100</v>
      </c>
      <c r="B18739">
        <v>8350000</v>
      </c>
    </row>
    <row r="18740" spans="1:2" x14ac:dyDescent="0.4">
      <c r="A18740" s="4">
        <v>505100100</v>
      </c>
      <c r="B18740">
        <v>8350001</v>
      </c>
    </row>
    <row r="18741" spans="1:2" x14ac:dyDescent="0.4">
      <c r="A18741" s="4">
        <v>505100100</v>
      </c>
      <c r="B18741">
        <v>8350002</v>
      </c>
    </row>
    <row r="18742" spans="1:2" x14ac:dyDescent="0.4">
      <c r="A18742" s="4">
        <v>505100100</v>
      </c>
      <c r="B18742">
        <v>8350200</v>
      </c>
    </row>
    <row r="18743" spans="1:2" x14ac:dyDescent="0.4">
      <c r="A18743" s="4">
        <v>505100100</v>
      </c>
      <c r="B18743">
        <v>8350201</v>
      </c>
    </row>
    <row r="18744" spans="1:2" x14ac:dyDescent="0.4">
      <c r="A18744" s="4">
        <v>505100100</v>
      </c>
      <c r="B18744">
        <v>8350202</v>
      </c>
    </row>
    <row r="18745" spans="1:2" x14ac:dyDescent="0.4">
      <c r="A18745" s="4">
        <v>505100100</v>
      </c>
      <c r="B18745">
        <v>8420000</v>
      </c>
    </row>
    <row r="18746" spans="1:2" x14ac:dyDescent="0.4">
      <c r="A18746" s="4">
        <v>505100100</v>
      </c>
      <c r="B18746">
        <v>8420001</v>
      </c>
    </row>
    <row r="18747" spans="1:2" x14ac:dyDescent="0.4">
      <c r="A18747" s="4">
        <v>505100100</v>
      </c>
      <c r="B18747">
        <v>8420002</v>
      </c>
    </row>
    <row r="18748" spans="1:2" x14ac:dyDescent="0.4">
      <c r="A18748" s="4">
        <v>505100100</v>
      </c>
      <c r="B18748">
        <v>8450000</v>
      </c>
    </row>
    <row r="18749" spans="1:2" x14ac:dyDescent="0.4">
      <c r="A18749" s="4">
        <v>505100100</v>
      </c>
      <c r="B18749">
        <v>8460100</v>
      </c>
    </row>
    <row r="18750" spans="1:2" x14ac:dyDescent="0.4">
      <c r="A18750" s="4">
        <v>505100100</v>
      </c>
      <c r="B18750">
        <v>8460300</v>
      </c>
    </row>
    <row r="18751" spans="1:2" x14ac:dyDescent="0.4">
      <c r="A18751" s="4">
        <v>505100100</v>
      </c>
      <c r="B18751">
        <v>8460500</v>
      </c>
    </row>
    <row r="18752" spans="1:2" x14ac:dyDescent="0.4">
      <c r="A18752" s="4">
        <v>505100100</v>
      </c>
      <c r="B18752">
        <v>8510000</v>
      </c>
    </row>
    <row r="18753" spans="1:2" x14ac:dyDescent="0.4">
      <c r="A18753" s="4">
        <v>505100100</v>
      </c>
      <c r="B18753">
        <v>8510001</v>
      </c>
    </row>
    <row r="18754" spans="1:2" x14ac:dyDescent="0.4">
      <c r="A18754" s="4">
        <v>505100100</v>
      </c>
      <c r="B18754">
        <v>8510002</v>
      </c>
    </row>
    <row r="18755" spans="1:2" x14ac:dyDescent="0.4">
      <c r="A18755" s="4">
        <v>505100100</v>
      </c>
      <c r="B18755">
        <v>8520000</v>
      </c>
    </row>
    <row r="18756" spans="1:2" x14ac:dyDescent="0.4">
      <c r="A18756" s="4">
        <v>505100100</v>
      </c>
      <c r="B18756">
        <v>8520001</v>
      </c>
    </row>
    <row r="18757" spans="1:2" x14ac:dyDescent="0.4">
      <c r="A18757" s="4">
        <v>505100100</v>
      </c>
      <c r="B18757">
        <v>8520002</v>
      </c>
    </row>
    <row r="18758" spans="1:2" x14ac:dyDescent="0.4">
      <c r="A18758" s="4">
        <v>505100100</v>
      </c>
      <c r="B18758">
        <v>8530000</v>
      </c>
    </row>
    <row r="18759" spans="1:2" x14ac:dyDescent="0.4">
      <c r="A18759" s="4">
        <v>505100100</v>
      </c>
      <c r="B18759">
        <v>8530100</v>
      </c>
    </row>
    <row r="18760" spans="1:2" x14ac:dyDescent="0.4">
      <c r="A18760" s="4">
        <v>505100100</v>
      </c>
      <c r="B18760">
        <v>8540000</v>
      </c>
    </row>
    <row r="18761" spans="1:2" x14ac:dyDescent="0.4">
      <c r="A18761" s="4">
        <v>505100100</v>
      </c>
      <c r="B18761">
        <v>8600100</v>
      </c>
    </row>
    <row r="18762" spans="1:2" x14ac:dyDescent="0.4">
      <c r="A18762" s="4">
        <v>505100100</v>
      </c>
      <c r="B18762">
        <v>8600101</v>
      </c>
    </row>
    <row r="18763" spans="1:2" x14ac:dyDescent="0.4">
      <c r="A18763" s="4">
        <v>505100100</v>
      </c>
      <c r="B18763">
        <v>8600102</v>
      </c>
    </row>
    <row r="18764" spans="1:2" x14ac:dyDescent="0.4">
      <c r="A18764" s="4">
        <v>505100100</v>
      </c>
      <c r="B18764">
        <v>8600200</v>
      </c>
    </row>
    <row r="18765" spans="1:2" x14ac:dyDescent="0.4">
      <c r="A18765" s="4">
        <v>505100100</v>
      </c>
      <c r="B18765">
        <v>8600201</v>
      </c>
    </row>
    <row r="18766" spans="1:2" x14ac:dyDescent="0.4">
      <c r="A18766" s="4">
        <v>505100100</v>
      </c>
      <c r="B18766">
        <v>8600202</v>
      </c>
    </row>
    <row r="18767" spans="1:2" x14ac:dyDescent="0.4">
      <c r="A18767" s="4">
        <v>505100100</v>
      </c>
      <c r="B18767">
        <v>8610300</v>
      </c>
    </row>
    <row r="18768" spans="1:2" x14ac:dyDescent="0.4">
      <c r="A18768" s="4">
        <v>505100100</v>
      </c>
      <c r="B18768">
        <v>8610400</v>
      </c>
    </row>
    <row r="18769" spans="1:2" x14ac:dyDescent="0.4">
      <c r="A18769" s="4">
        <v>505100100</v>
      </c>
      <c r="B18769">
        <v>8610500</v>
      </c>
    </row>
    <row r="18770" spans="1:2" x14ac:dyDescent="0.4">
      <c r="A18770" s="4">
        <v>505100100</v>
      </c>
      <c r="B18770">
        <v>8610600</v>
      </c>
    </row>
    <row r="18771" spans="1:2" x14ac:dyDescent="0.4">
      <c r="A18771" s="4">
        <v>505100100</v>
      </c>
      <c r="B18771">
        <v>8610700</v>
      </c>
    </row>
    <row r="18772" spans="1:2" x14ac:dyDescent="0.4">
      <c r="A18772" s="4">
        <v>505100100</v>
      </c>
      <c r="B18772">
        <v>8610710</v>
      </c>
    </row>
    <row r="18773" spans="1:2" x14ac:dyDescent="0.4">
      <c r="A18773" s="4">
        <v>505100100</v>
      </c>
      <c r="B18773">
        <v>8610720</v>
      </c>
    </row>
    <row r="18774" spans="1:2" x14ac:dyDescent="0.4">
      <c r="A18774" s="4">
        <v>505100100</v>
      </c>
      <c r="B18774">
        <v>8620000</v>
      </c>
    </row>
    <row r="18775" spans="1:2" x14ac:dyDescent="0.4">
      <c r="A18775" s="4">
        <v>505100100</v>
      </c>
      <c r="B18775">
        <v>8620010</v>
      </c>
    </row>
    <row r="18776" spans="1:2" x14ac:dyDescent="0.4">
      <c r="A18776" s="4">
        <v>505100100</v>
      </c>
      <c r="B18776">
        <v>8620020</v>
      </c>
    </row>
    <row r="18777" spans="1:2" x14ac:dyDescent="0.4">
      <c r="A18777" s="4">
        <v>505100100</v>
      </c>
      <c r="B18777">
        <v>8620100</v>
      </c>
    </row>
    <row r="18778" spans="1:2" x14ac:dyDescent="0.4">
      <c r="A18778" s="4">
        <v>505100100</v>
      </c>
      <c r="B18778">
        <v>8620110</v>
      </c>
    </row>
    <row r="18779" spans="1:2" x14ac:dyDescent="0.4">
      <c r="A18779" s="4">
        <v>505100100</v>
      </c>
      <c r="B18779">
        <v>8620120</v>
      </c>
    </row>
    <row r="18780" spans="1:2" x14ac:dyDescent="0.4">
      <c r="A18780" s="4">
        <v>505100100</v>
      </c>
      <c r="B18780">
        <v>8630000</v>
      </c>
    </row>
    <row r="18781" spans="1:2" x14ac:dyDescent="0.4">
      <c r="A18781" s="4">
        <v>505100100</v>
      </c>
      <c r="B18781">
        <v>8630000</v>
      </c>
    </row>
    <row r="18782" spans="1:2" x14ac:dyDescent="0.4">
      <c r="A18782" s="4">
        <v>505100100</v>
      </c>
      <c r="B18782">
        <v>8630000</v>
      </c>
    </row>
    <row r="18783" spans="1:2" x14ac:dyDescent="0.4">
      <c r="A18783" s="4">
        <v>505100100</v>
      </c>
      <c r="B18783">
        <v>8630100</v>
      </c>
    </row>
    <row r="18784" spans="1:2" x14ac:dyDescent="0.4">
      <c r="A18784" s="4">
        <v>505100100</v>
      </c>
      <c r="B18784">
        <v>8630100</v>
      </c>
    </row>
    <row r="18785" spans="1:2" x14ac:dyDescent="0.4">
      <c r="A18785" s="4">
        <v>505100100</v>
      </c>
      <c r="B18785">
        <v>8630100</v>
      </c>
    </row>
    <row r="18786" spans="1:2" x14ac:dyDescent="0.4">
      <c r="A18786" s="4">
        <v>505100100</v>
      </c>
      <c r="B18786">
        <v>8630200</v>
      </c>
    </row>
    <row r="18787" spans="1:2" x14ac:dyDescent="0.4">
      <c r="A18787" s="4">
        <v>505100100</v>
      </c>
      <c r="B18787">
        <v>8630300</v>
      </c>
    </row>
    <row r="18788" spans="1:2" x14ac:dyDescent="0.4">
      <c r="A18788" s="4">
        <v>505100100</v>
      </c>
      <c r="B18788">
        <v>8630400</v>
      </c>
    </row>
    <row r="18789" spans="1:2" x14ac:dyDescent="0.4">
      <c r="A18789" s="4">
        <v>505100100</v>
      </c>
      <c r="B18789">
        <v>8630500</v>
      </c>
    </row>
    <row r="18790" spans="1:2" x14ac:dyDescent="0.4">
      <c r="A18790" s="4">
        <v>505100100</v>
      </c>
      <c r="B18790">
        <v>8630600</v>
      </c>
    </row>
    <row r="18791" spans="1:2" x14ac:dyDescent="0.4">
      <c r="A18791" s="4">
        <v>505100100</v>
      </c>
      <c r="B18791">
        <v>8630700</v>
      </c>
    </row>
    <row r="18792" spans="1:2" x14ac:dyDescent="0.4">
      <c r="A18792" s="4">
        <v>505100100</v>
      </c>
      <c r="B18792">
        <v>8630800</v>
      </c>
    </row>
    <row r="18793" spans="1:2" x14ac:dyDescent="0.4">
      <c r="A18793" s="4">
        <v>505100100</v>
      </c>
      <c r="B18793">
        <v>8652000</v>
      </c>
    </row>
    <row r="18794" spans="1:2" x14ac:dyDescent="0.4">
      <c r="A18794" s="4">
        <v>505100100</v>
      </c>
      <c r="B18794">
        <v>8652010</v>
      </c>
    </row>
    <row r="18795" spans="1:2" x14ac:dyDescent="0.4">
      <c r="A18795" s="4">
        <v>505100100</v>
      </c>
      <c r="B18795">
        <v>8652020</v>
      </c>
    </row>
    <row r="18796" spans="1:2" x14ac:dyDescent="0.4">
      <c r="A18796" s="4">
        <v>505100100</v>
      </c>
      <c r="B18796">
        <v>8652100</v>
      </c>
    </row>
    <row r="18797" spans="1:2" x14ac:dyDescent="0.4">
      <c r="A18797" s="4">
        <v>505100100</v>
      </c>
      <c r="B18797">
        <v>8652110</v>
      </c>
    </row>
    <row r="18798" spans="1:2" x14ac:dyDescent="0.4">
      <c r="A18798" s="4">
        <v>505100100</v>
      </c>
      <c r="B18798">
        <v>8652120</v>
      </c>
    </row>
    <row r="18799" spans="1:2" x14ac:dyDescent="0.4">
      <c r="A18799" s="4">
        <v>505100100</v>
      </c>
      <c r="B18799">
        <v>8660000</v>
      </c>
    </row>
    <row r="18800" spans="1:2" x14ac:dyDescent="0.4">
      <c r="A18800" s="4">
        <v>505100100</v>
      </c>
      <c r="B18800">
        <v>8660001</v>
      </c>
    </row>
    <row r="18801" spans="1:2" x14ac:dyDescent="0.4">
      <c r="A18801" s="4">
        <v>505100100</v>
      </c>
      <c r="B18801">
        <v>8660002</v>
      </c>
    </row>
    <row r="18802" spans="1:2" x14ac:dyDescent="0.4">
      <c r="A18802" s="4">
        <v>505100100</v>
      </c>
      <c r="B18802">
        <v>8660100</v>
      </c>
    </row>
    <row r="18803" spans="1:2" x14ac:dyDescent="0.4">
      <c r="A18803" s="4">
        <v>505100100</v>
      </c>
      <c r="B18803">
        <v>8660101</v>
      </c>
    </row>
    <row r="18804" spans="1:2" x14ac:dyDescent="0.4">
      <c r="A18804" s="4">
        <v>505100100</v>
      </c>
      <c r="B18804">
        <v>8660102</v>
      </c>
    </row>
    <row r="18805" spans="1:2" x14ac:dyDescent="0.4">
      <c r="A18805" s="4">
        <v>505100100</v>
      </c>
      <c r="B18805">
        <v>8670000</v>
      </c>
    </row>
    <row r="18806" spans="1:2" x14ac:dyDescent="0.4">
      <c r="A18806" s="4">
        <v>505100100</v>
      </c>
      <c r="B18806">
        <v>8670001</v>
      </c>
    </row>
    <row r="18807" spans="1:2" x14ac:dyDescent="0.4">
      <c r="A18807" s="4">
        <v>505100100</v>
      </c>
      <c r="B18807">
        <v>8670002</v>
      </c>
    </row>
    <row r="18808" spans="1:2" x14ac:dyDescent="0.4">
      <c r="A18808" s="4">
        <v>505100100</v>
      </c>
      <c r="B18808">
        <v>8670100</v>
      </c>
    </row>
    <row r="18809" spans="1:2" x14ac:dyDescent="0.4">
      <c r="A18809" s="4">
        <v>505100100</v>
      </c>
      <c r="B18809">
        <v>8670101</v>
      </c>
    </row>
    <row r="18810" spans="1:2" x14ac:dyDescent="0.4">
      <c r="A18810" s="4">
        <v>505100100</v>
      </c>
      <c r="B18810">
        <v>8670102</v>
      </c>
    </row>
    <row r="18811" spans="1:2" x14ac:dyDescent="0.4">
      <c r="A18811" s="4">
        <v>505100100</v>
      </c>
      <c r="B18811">
        <v>8690000</v>
      </c>
    </row>
    <row r="18812" spans="1:2" x14ac:dyDescent="0.4">
      <c r="A18812" s="4">
        <v>505100100</v>
      </c>
      <c r="B18812">
        <v>8690100</v>
      </c>
    </row>
    <row r="18813" spans="1:2" x14ac:dyDescent="0.4">
      <c r="A18813" s="4">
        <v>505100100</v>
      </c>
      <c r="B18813">
        <v>8690200</v>
      </c>
    </row>
    <row r="18814" spans="1:2" x14ac:dyDescent="0.4">
      <c r="A18814" s="4">
        <v>505100100</v>
      </c>
      <c r="B18814">
        <v>8690300</v>
      </c>
    </row>
    <row r="18815" spans="1:2" x14ac:dyDescent="0.4">
      <c r="A18815" s="4">
        <v>505100100</v>
      </c>
      <c r="B18815">
        <v>8690400</v>
      </c>
    </row>
    <row r="18816" spans="1:2" x14ac:dyDescent="0.4">
      <c r="A18816" s="4">
        <v>505100100</v>
      </c>
      <c r="B18816">
        <v>8850000</v>
      </c>
    </row>
    <row r="18817" spans="1:2" x14ac:dyDescent="0.4">
      <c r="A18817" s="4">
        <v>505100100</v>
      </c>
      <c r="B18817">
        <v>8850100</v>
      </c>
    </row>
    <row r="18818" spans="1:2" x14ac:dyDescent="0.4">
      <c r="A18818" s="4">
        <v>505100100</v>
      </c>
      <c r="B18818">
        <v>8850200</v>
      </c>
    </row>
    <row r="18819" spans="1:2" x14ac:dyDescent="0.4">
      <c r="A18819" s="4">
        <v>505100100</v>
      </c>
      <c r="B18819">
        <v>8850300</v>
      </c>
    </row>
    <row r="18820" spans="1:2" x14ac:dyDescent="0.4">
      <c r="A18820" s="4">
        <v>505100100</v>
      </c>
      <c r="B18820">
        <v>8850400</v>
      </c>
    </row>
    <row r="18821" spans="1:2" x14ac:dyDescent="0.4">
      <c r="A18821" s="4">
        <v>505100100</v>
      </c>
      <c r="B18821">
        <v>8850500</v>
      </c>
    </row>
    <row r="18822" spans="1:2" x14ac:dyDescent="0.4">
      <c r="A18822" s="4">
        <v>505100100</v>
      </c>
      <c r="B18822">
        <v>8850600</v>
      </c>
    </row>
    <row r="18823" spans="1:2" x14ac:dyDescent="0.4">
      <c r="A18823" s="4">
        <v>505100100</v>
      </c>
      <c r="B18823">
        <v>8850700</v>
      </c>
    </row>
    <row r="18824" spans="1:2" x14ac:dyDescent="0.4">
      <c r="A18824" s="4">
        <v>505100100</v>
      </c>
      <c r="B18824">
        <v>8850800</v>
      </c>
    </row>
    <row r="18825" spans="1:2" x14ac:dyDescent="0.4">
      <c r="A18825" s="4">
        <v>505100100</v>
      </c>
      <c r="B18825">
        <v>8850900</v>
      </c>
    </row>
    <row r="18826" spans="1:2" x14ac:dyDescent="0.4">
      <c r="A18826" s="4">
        <v>505100100</v>
      </c>
      <c r="B18826">
        <v>8851000</v>
      </c>
    </row>
    <row r="18827" spans="1:2" x14ac:dyDescent="0.4">
      <c r="A18827" s="4">
        <v>505100100</v>
      </c>
      <c r="B18827">
        <v>8851100</v>
      </c>
    </row>
    <row r="18828" spans="1:2" x14ac:dyDescent="0.4">
      <c r="A18828" s="4">
        <v>505100100</v>
      </c>
      <c r="B18828">
        <v>8851200</v>
      </c>
    </row>
    <row r="18829" spans="1:2" x14ac:dyDescent="0.4">
      <c r="A18829" s="4">
        <v>505100100</v>
      </c>
      <c r="B18829">
        <v>8851300</v>
      </c>
    </row>
    <row r="18830" spans="1:2" x14ac:dyDescent="0.4">
      <c r="A18830" s="4">
        <v>505100100</v>
      </c>
      <c r="B18830">
        <v>8851800</v>
      </c>
    </row>
    <row r="18831" spans="1:2" x14ac:dyDescent="0.4">
      <c r="A18831" s="4">
        <v>505100100</v>
      </c>
      <c r="B18831">
        <v>8851900</v>
      </c>
    </row>
    <row r="18832" spans="1:2" x14ac:dyDescent="0.4">
      <c r="A18832" s="4">
        <v>505100100</v>
      </c>
      <c r="B18832">
        <v>8852000</v>
      </c>
    </row>
    <row r="18833" spans="1:2" x14ac:dyDescent="0.4">
      <c r="A18833" s="4">
        <v>505100100</v>
      </c>
      <c r="B18833">
        <v>8320500</v>
      </c>
    </row>
    <row r="18834" spans="1:2" x14ac:dyDescent="0.4">
      <c r="A18834" s="4">
        <v>505100100</v>
      </c>
      <c r="B18834">
        <v>8320510</v>
      </c>
    </row>
    <row r="18835" spans="1:2" x14ac:dyDescent="0.4">
      <c r="A18835" s="4">
        <v>505100100</v>
      </c>
      <c r="B18835">
        <v>8320520</v>
      </c>
    </row>
    <row r="18836" spans="1:2" x14ac:dyDescent="0.4">
      <c r="A18836" s="4">
        <v>505100100</v>
      </c>
      <c r="B18836">
        <v>8320600</v>
      </c>
    </row>
    <row r="18837" spans="1:2" x14ac:dyDescent="0.4">
      <c r="A18837" s="4">
        <v>505100100</v>
      </c>
      <c r="B18837">
        <v>8320610</v>
      </c>
    </row>
    <row r="18838" spans="1:2" x14ac:dyDescent="0.4">
      <c r="A18838" s="4">
        <v>505100100</v>
      </c>
      <c r="B18838">
        <v>8320620</v>
      </c>
    </row>
    <row r="18839" spans="1:2" x14ac:dyDescent="0.4">
      <c r="A18839" s="4">
        <v>505100100</v>
      </c>
      <c r="B18839">
        <v>8320700</v>
      </c>
    </row>
    <row r="18840" spans="1:2" x14ac:dyDescent="0.4">
      <c r="A18840" s="4">
        <v>505100100</v>
      </c>
      <c r="B18840">
        <v>8320710</v>
      </c>
    </row>
    <row r="18841" spans="1:2" x14ac:dyDescent="0.4">
      <c r="A18841" s="4">
        <v>505100100</v>
      </c>
      <c r="B18841">
        <v>8320720</v>
      </c>
    </row>
    <row r="18842" spans="1:2" x14ac:dyDescent="0.4">
      <c r="A18842" s="4">
        <v>505100200</v>
      </c>
      <c r="B18842">
        <v>0</v>
      </c>
    </row>
    <row r="18843" spans="1:2" x14ac:dyDescent="0.4">
      <c r="A18843" s="4">
        <v>505100200</v>
      </c>
      <c r="B18843">
        <v>8100100</v>
      </c>
    </row>
    <row r="18844" spans="1:2" x14ac:dyDescent="0.4">
      <c r="A18844" s="4">
        <v>505100200</v>
      </c>
      <c r="B18844">
        <v>8100101</v>
      </c>
    </row>
    <row r="18845" spans="1:2" x14ac:dyDescent="0.4">
      <c r="A18845" s="4">
        <v>505100200</v>
      </c>
      <c r="B18845">
        <v>8100102</v>
      </c>
    </row>
    <row r="18846" spans="1:2" x14ac:dyDescent="0.4">
      <c r="A18846" s="4">
        <v>505100200</v>
      </c>
      <c r="B18846">
        <v>8100200</v>
      </c>
    </row>
    <row r="18847" spans="1:2" x14ac:dyDescent="0.4">
      <c r="A18847" s="4">
        <v>505100200</v>
      </c>
      <c r="B18847">
        <v>8100201</v>
      </c>
    </row>
    <row r="18848" spans="1:2" x14ac:dyDescent="0.4">
      <c r="A18848" s="4">
        <v>505100200</v>
      </c>
      <c r="B18848">
        <v>8100202</v>
      </c>
    </row>
    <row r="18849" spans="1:2" x14ac:dyDescent="0.4">
      <c r="A18849" s="4">
        <v>505100200</v>
      </c>
      <c r="B18849">
        <v>8100300</v>
      </c>
    </row>
    <row r="18850" spans="1:2" x14ac:dyDescent="0.4">
      <c r="A18850" s="4">
        <v>505100200</v>
      </c>
      <c r="B18850">
        <v>8100301</v>
      </c>
    </row>
    <row r="18851" spans="1:2" x14ac:dyDescent="0.4">
      <c r="A18851" s="4">
        <v>505100200</v>
      </c>
      <c r="B18851">
        <v>8100302</v>
      </c>
    </row>
    <row r="18852" spans="1:2" x14ac:dyDescent="0.4">
      <c r="A18852" s="4">
        <v>505100200</v>
      </c>
      <c r="B18852">
        <v>8100400</v>
      </c>
    </row>
    <row r="18853" spans="1:2" x14ac:dyDescent="0.4">
      <c r="A18853" s="4">
        <v>505100200</v>
      </c>
      <c r="B18853">
        <v>8100401</v>
      </c>
    </row>
    <row r="18854" spans="1:2" x14ac:dyDescent="0.4">
      <c r="A18854" s="4">
        <v>505100200</v>
      </c>
      <c r="B18854">
        <v>8100402</v>
      </c>
    </row>
    <row r="18855" spans="1:2" x14ac:dyDescent="0.4">
      <c r="A18855" s="4">
        <v>505100200</v>
      </c>
      <c r="B18855">
        <v>8130000</v>
      </c>
    </row>
    <row r="18856" spans="1:2" x14ac:dyDescent="0.4">
      <c r="A18856" s="4">
        <v>505100200</v>
      </c>
      <c r="B18856">
        <v>8130001</v>
      </c>
    </row>
    <row r="18857" spans="1:2" x14ac:dyDescent="0.4">
      <c r="A18857" s="4">
        <v>505100200</v>
      </c>
      <c r="B18857">
        <v>8130002</v>
      </c>
    </row>
    <row r="18858" spans="1:2" x14ac:dyDescent="0.4">
      <c r="A18858" s="4">
        <v>505100200</v>
      </c>
      <c r="B18858">
        <v>8140000</v>
      </c>
    </row>
    <row r="18859" spans="1:2" x14ac:dyDescent="0.4">
      <c r="A18859" s="4">
        <v>505100200</v>
      </c>
      <c r="B18859">
        <v>8140001</v>
      </c>
    </row>
    <row r="18860" spans="1:2" x14ac:dyDescent="0.4">
      <c r="A18860" s="4">
        <v>505100200</v>
      </c>
      <c r="B18860">
        <v>8140002</v>
      </c>
    </row>
    <row r="18861" spans="1:2" x14ac:dyDescent="0.4">
      <c r="A18861" s="4">
        <v>505100200</v>
      </c>
      <c r="B18861">
        <v>8200100</v>
      </c>
    </row>
    <row r="18862" spans="1:2" x14ac:dyDescent="0.4">
      <c r="A18862" s="4">
        <v>505100200</v>
      </c>
      <c r="B18862">
        <v>8200101</v>
      </c>
    </row>
    <row r="18863" spans="1:2" x14ac:dyDescent="0.4">
      <c r="A18863" s="4">
        <v>505100200</v>
      </c>
      <c r="B18863">
        <v>8200102</v>
      </c>
    </row>
    <row r="18864" spans="1:2" x14ac:dyDescent="0.4">
      <c r="A18864" s="4">
        <v>505100200</v>
      </c>
      <c r="B18864">
        <v>8200200</v>
      </c>
    </row>
    <row r="18865" spans="1:2" x14ac:dyDescent="0.4">
      <c r="A18865" s="4">
        <v>505100200</v>
      </c>
      <c r="B18865">
        <v>8200201</v>
      </c>
    </row>
    <row r="18866" spans="1:2" x14ac:dyDescent="0.4">
      <c r="A18866" s="4">
        <v>505100200</v>
      </c>
      <c r="B18866">
        <v>8200202</v>
      </c>
    </row>
    <row r="18867" spans="1:2" x14ac:dyDescent="0.4">
      <c r="A18867" s="4">
        <v>505100200</v>
      </c>
      <c r="B18867">
        <v>8200300</v>
      </c>
    </row>
    <row r="18868" spans="1:2" x14ac:dyDescent="0.4">
      <c r="A18868" s="4">
        <v>505100200</v>
      </c>
      <c r="B18868">
        <v>8200301</v>
      </c>
    </row>
    <row r="18869" spans="1:2" x14ac:dyDescent="0.4">
      <c r="A18869" s="4">
        <v>505100200</v>
      </c>
      <c r="B18869">
        <v>8200302</v>
      </c>
    </row>
    <row r="18870" spans="1:2" x14ac:dyDescent="0.4">
      <c r="A18870" s="4">
        <v>505100200</v>
      </c>
      <c r="B18870">
        <v>8200400</v>
      </c>
    </row>
    <row r="18871" spans="1:2" x14ac:dyDescent="0.4">
      <c r="A18871" s="4">
        <v>505100200</v>
      </c>
      <c r="B18871">
        <v>8200401</v>
      </c>
    </row>
    <row r="18872" spans="1:2" x14ac:dyDescent="0.4">
      <c r="A18872" s="4">
        <v>505100200</v>
      </c>
      <c r="B18872">
        <v>8200402</v>
      </c>
    </row>
    <row r="18873" spans="1:2" x14ac:dyDescent="0.4">
      <c r="A18873" s="4">
        <v>505100200</v>
      </c>
      <c r="B18873">
        <v>8210000</v>
      </c>
    </row>
    <row r="18874" spans="1:2" x14ac:dyDescent="0.4">
      <c r="A18874" s="4">
        <v>505100200</v>
      </c>
      <c r="B18874">
        <v>8210001</v>
      </c>
    </row>
    <row r="18875" spans="1:2" x14ac:dyDescent="0.4">
      <c r="A18875" s="4">
        <v>505100200</v>
      </c>
      <c r="B18875">
        <v>8210002</v>
      </c>
    </row>
    <row r="18876" spans="1:2" x14ac:dyDescent="0.4">
      <c r="A18876" s="4">
        <v>505100200</v>
      </c>
      <c r="B18876">
        <v>8210100</v>
      </c>
    </row>
    <row r="18877" spans="1:2" x14ac:dyDescent="0.4">
      <c r="A18877" s="4">
        <v>505100200</v>
      </c>
      <c r="B18877">
        <v>8210101</v>
      </c>
    </row>
    <row r="18878" spans="1:2" x14ac:dyDescent="0.4">
      <c r="A18878" s="4">
        <v>505100200</v>
      </c>
      <c r="B18878">
        <v>8210102</v>
      </c>
    </row>
    <row r="18879" spans="1:2" x14ac:dyDescent="0.4">
      <c r="A18879" s="4">
        <v>505100200</v>
      </c>
      <c r="B18879">
        <v>8210200</v>
      </c>
    </row>
    <row r="18880" spans="1:2" x14ac:dyDescent="0.4">
      <c r="A18880" s="4">
        <v>505100200</v>
      </c>
      <c r="B18880">
        <v>8210201</v>
      </c>
    </row>
    <row r="18881" spans="1:2" x14ac:dyDescent="0.4">
      <c r="A18881" s="4">
        <v>505100200</v>
      </c>
      <c r="B18881">
        <v>8210202</v>
      </c>
    </row>
    <row r="18882" spans="1:2" x14ac:dyDescent="0.4">
      <c r="A18882" s="4">
        <v>505100200</v>
      </c>
      <c r="B18882">
        <v>8210300</v>
      </c>
    </row>
    <row r="18883" spans="1:2" x14ac:dyDescent="0.4">
      <c r="A18883" s="4">
        <v>505100200</v>
      </c>
      <c r="B18883">
        <v>8210301</v>
      </c>
    </row>
    <row r="18884" spans="1:2" x14ac:dyDescent="0.4">
      <c r="A18884" s="4">
        <v>505100200</v>
      </c>
      <c r="B18884">
        <v>8210302</v>
      </c>
    </row>
    <row r="18885" spans="1:2" x14ac:dyDescent="0.4">
      <c r="A18885" s="4">
        <v>505100200</v>
      </c>
      <c r="B18885">
        <v>8210400</v>
      </c>
    </row>
    <row r="18886" spans="1:2" x14ac:dyDescent="0.4">
      <c r="A18886" s="4">
        <v>505100200</v>
      </c>
      <c r="B18886">
        <v>8210401</v>
      </c>
    </row>
    <row r="18887" spans="1:2" x14ac:dyDescent="0.4">
      <c r="A18887" s="4">
        <v>505100200</v>
      </c>
      <c r="B18887">
        <v>8210402</v>
      </c>
    </row>
    <row r="18888" spans="1:2" x14ac:dyDescent="0.4">
      <c r="A18888" s="4">
        <v>505100200</v>
      </c>
      <c r="B18888">
        <v>8210500</v>
      </c>
    </row>
    <row r="18889" spans="1:2" x14ac:dyDescent="0.4">
      <c r="A18889" s="4">
        <v>505100200</v>
      </c>
      <c r="B18889">
        <v>8210501</v>
      </c>
    </row>
    <row r="18890" spans="1:2" x14ac:dyDescent="0.4">
      <c r="A18890" s="4">
        <v>505100200</v>
      </c>
      <c r="B18890">
        <v>8210502</v>
      </c>
    </row>
    <row r="18891" spans="1:2" x14ac:dyDescent="0.4">
      <c r="A18891" s="4">
        <v>505100200</v>
      </c>
      <c r="B18891">
        <v>8210600</v>
      </c>
    </row>
    <row r="18892" spans="1:2" x14ac:dyDescent="0.4">
      <c r="A18892" s="4">
        <v>505100200</v>
      </c>
      <c r="B18892">
        <v>8210601</v>
      </c>
    </row>
    <row r="18893" spans="1:2" x14ac:dyDescent="0.4">
      <c r="A18893" s="4">
        <v>505100200</v>
      </c>
      <c r="B18893">
        <v>8210602</v>
      </c>
    </row>
    <row r="18894" spans="1:2" x14ac:dyDescent="0.4">
      <c r="A18894" s="4">
        <v>505100200</v>
      </c>
      <c r="B18894">
        <v>8220000</v>
      </c>
    </row>
    <row r="18895" spans="1:2" x14ac:dyDescent="0.4">
      <c r="A18895" s="4">
        <v>505100200</v>
      </c>
      <c r="B18895">
        <v>8220001</v>
      </c>
    </row>
    <row r="18896" spans="1:2" x14ac:dyDescent="0.4">
      <c r="A18896" s="4">
        <v>505100200</v>
      </c>
      <c r="B18896">
        <v>8220002</v>
      </c>
    </row>
    <row r="18897" spans="1:2" x14ac:dyDescent="0.4">
      <c r="A18897" s="4">
        <v>505100200</v>
      </c>
      <c r="B18897">
        <v>8300000</v>
      </c>
    </row>
    <row r="18898" spans="1:2" x14ac:dyDescent="0.4">
      <c r="A18898" s="4">
        <v>505100200</v>
      </c>
      <c r="B18898">
        <v>8300001</v>
      </c>
    </row>
    <row r="18899" spans="1:2" x14ac:dyDescent="0.4">
      <c r="A18899" s="4">
        <v>505100200</v>
      </c>
      <c r="B18899">
        <v>8300002</v>
      </c>
    </row>
    <row r="18900" spans="1:2" x14ac:dyDescent="0.4">
      <c r="A18900" s="4">
        <v>505100200</v>
      </c>
      <c r="B18900">
        <v>8310000</v>
      </c>
    </row>
    <row r="18901" spans="1:2" x14ac:dyDescent="0.4">
      <c r="A18901" s="4">
        <v>505100200</v>
      </c>
      <c r="B18901">
        <v>8310001</v>
      </c>
    </row>
    <row r="18902" spans="1:2" x14ac:dyDescent="0.4">
      <c r="A18902" s="4">
        <v>505100200</v>
      </c>
      <c r="B18902">
        <v>8310002</v>
      </c>
    </row>
    <row r="18903" spans="1:2" x14ac:dyDescent="0.4">
      <c r="A18903" s="4">
        <v>505100200</v>
      </c>
      <c r="B18903">
        <v>8320000</v>
      </c>
    </row>
    <row r="18904" spans="1:2" x14ac:dyDescent="0.4">
      <c r="A18904" s="4">
        <v>505100200</v>
      </c>
      <c r="B18904">
        <v>8320001</v>
      </c>
    </row>
    <row r="18905" spans="1:2" x14ac:dyDescent="0.4">
      <c r="A18905" s="4">
        <v>505100200</v>
      </c>
      <c r="B18905">
        <v>8320002</v>
      </c>
    </row>
    <row r="18906" spans="1:2" x14ac:dyDescent="0.4">
      <c r="A18906" s="4">
        <v>505100200</v>
      </c>
      <c r="B18906">
        <v>8320100</v>
      </c>
    </row>
    <row r="18907" spans="1:2" x14ac:dyDescent="0.4">
      <c r="A18907" s="4">
        <v>505100200</v>
      </c>
      <c r="B18907">
        <v>8320101</v>
      </c>
    </row>
    <row r="18908" spans="1:2" x14ac:dyDescent="0.4">
      <c r="A18908" s="4">
        <v>505100200</v>
      </c>
      <c r="B18908">
        <v>8320102</v>
      </c>
    </row>
    <row r="18909" spans="1:2" x14ac:dyDescent="0.4">
      <c r="A18909" s="4">
        <v>505100200</v>
      </c>
      <c r="B18909">
        <v>8320300</v>
      </c>
    </row>
    <row r="18910" spans="1:2" x14ac:dyDescent="0.4">
      <c r="A18910" s="4">
        <v>505100200</v>
      </c>
      <c r="B18910">
        <v>8320301</v>
      </c>
    </row>
    <row r="18911" spans="1:2" x14ac:dyDescent="0.4">
      <c r="A18911" s="4">
        <v>505100200</v>
      </c>
      <c r="B18911">
        <v>8320302</v>
      </c>
    </row>
    <row r="18912" spans="1:2" x14ac:dyDescent="0.4">
      <c r="A18912" s="4">
        <v>505100200</v>
      </c>
      <c r="B18912">
        <v>8320400</v>
      </c>
    </row>
    <row r="18913" spans="1:2" x14ac:dyDescent="0.4">
      <c r="A18913" s="4">
        <v>505100200</v>
      </c>
      <c r="B18913">
        <v>8320410</v>
      </c>
    </row>
    <row r="18914" spans="1:2" x14ac:dyDescent="0.4">
      <c r="A18914" s="4">
        <v>505100200</v>
      </c>
      <c r="B18914">
        <v>8320420</v>
      </c>
    </row>
    <row r="18915" spans="1:2" x14ac:dyDescent="0.4">
      <c r="A18915" s="4">
        <v>505100200</v>
      </c>
      <c r="B18915">
        <v>8330000</v>
      </c>
    </row>
    <row r="18916" spans="1:2" x14ac:dyDescent="0.4">
      <c r="A18916" s="4">
        <v>505100200</v>
      </c>
      <c r="B18916">
        <v>8330001</v>
      </c>
    </row>
    <row r="18917" spans="1:2" x14ac:dyDescent="0.4">
      <c r="A18917" s="4">
        <v>505100200</v>
      </c>
      <c r="B18917">
        <v>8330002</v>
      </c>
    </row>
    <row r="18918" spans="1:2" x14ac:dyDescent="0.4">
      <c r="A18918" s="4">
        <v>505100200</v>
      </c>
      <c r="B18918">
        <v>8330100</v>
      </c>
    </row>
    <row r="18919" spans="1:2" x14ac:dyDescent="0.4">
      <c r="A18919" s="4">
        <v>505100200</v>
      </c>
      <c r="B18919">
        <v>8330101</v>
      </c>
    </row>
    <row r="18920" spans="1:2" x14ac:dyDescent="0.4">
      <c r="A18920" s="4">
        <v>505100200</v>
      </c>
      <c r="B18920">
        <v>8330102</v>
      </c>
    </row>
    <row r="18921" spans="1:2" x14ac:dyDescent="0.4">
      <c r="A18921" s="4">
        <v>505100200</v>
      </c>
      <c r="B18921">
        <v>8330200</v>
      </c>
    </row>
    <row r="18922" spans="1:2" x14ac:dyDescent="0.4">
      <c r="A18922" s="4">
        <v>505100200</v>
      </c>
      <c r="B18922">
        <v>8330201</v>
      </c>
    </row>
    <row r="18923" spans="1:2" x14ac:dyDescent="0.4">
      <c r="A18923" s="4">
        <v>505100200</v>
      </c>
      <c r="B18923">
        <v>8330202</v>
      </c>
    </row>
    <row r="18924" spans="1:2" x14ac:dyDescent="0.4">
      <c r="A18924" s="4">
        <v>505100200</v>
      </c>
      <c r="B18924">
        <v>8330300</v>
      </c>
    </row>
    <row r="18925" spans="1:2" x14ac:dyDescent="0.4">
      <c r="A18925" s="4">
        <v>505100200</v>
      </c>
      <c r="B18925">
        <v>8330301</v>
      </c>
    </row>
    <row r="18926" spans="1:2" x14ac:dyDescent="0.4">
      <c r="A18926" s="4">
        <v>505100200</v>
      </c>
      <c r="B18926">
        <v>8330302</v>
      </c>
    </row>
    <row r="18927" spans="1:2" x14ac:dyDescent="0.4">
      <c r="A18927" s="4">
        <v>505100200</v>
      </c>
      <c r="B18927">
        <v>8330400</v>
      </c>
    </row>
    <row r="18928" spans="1:2" x14ac:dyDescent="0.4">
      <c r="A18928" s="4">
        <v>505100200</v>
      </c>
      <c r="B18928">
        <v>8330401</v>
      </c>
    </row>
    <row r="18929" spans="1:2" x14ac:dyDescent="0.4">
      <c r="A18929" s="4">
        <v>505100200</v>
      </c>
      <c r="B18929">
        <v>8330600</v>
      </c>
    </row>
    <row r="18930" spans="1:2" x14ac:dyDescent="0.4">
      <c r="A18930" s="4">
        <v>505100200</v>
      </c>
      <c r="B18930">
        <v>8330601</v>
      </c>
    </row>
    <row r="18931" spans="1:2" x14ac:dyDescent="0.4">
      <c r="A18931" s="4">
        <v>505100200</v>
      </c>
      <c r="B18931">
        <v>8330602</v>
      </c>
    </row>
    <row r="18932" spans="1:2" x14ac:dyDescent="0.4">
      <c r="A18932" s="4">
        <v>505100200</v>
      </c>
      <c r="B18932">
        <v>8330900</v>
      </c>
    </row>
    <row r="18933" spans="1:2" x14ac:dyDescent="0.4">
      <c r="A18933" s="4">
        <v>505100200</v>
      </c>
      <c r="B18933">
        <v>8330910</v>
      </c>
    </row>
    <row r="18934" spans="1:2" x14ac:dyDescent="0.4">
      <c r="A18934" s="4">
        <v>505100200</v>
      </c>
      <c r="B18934">
        <v>8330920</v>
      </c>
    </row>
    <row r="18935" spans="1:2" x14ac:dyDescent="0.4">
      <c r="A18935" s="4">
        <v>505100200</v>
      </c>
      <c r="B18935">
        <v>8340000</v>
      </c>
    </row>
    <row r="18936" spans="1:2" x14ac:dyDescent="0.4">
      <c r="A18936" s="4">
        <v>505100200</v>
      </c>
      <c r="B18936">
        <v>8340001</v>
      </c>
    </row>
    <row r="18937" spans="1:2" x14ac:dyDescent="0.4">
      <c r="A18937" s="4">
        <v>505100200</v>
      </c>
      <c r="B18937">
        <v>8340002</v>
      </c>
    </row>
    <row r="18938" spans="1:2" x14ac:dyDescent="0.4">
      <c r="A18938" s="4">
        <v>505100200</v>
      </c>
      <c r="B18938">
        <v>8340100</v>
      </c>
    </row>
    <row r="18939" spans="1:2" x14ac:dyDescent="0.4">
      <c r="A18939" s="4">
        <v>505100200</v>
      </c>
      <c r="B18939">
        <v>8340101</v>
      </c>
    </row>
    <row r="18940" spans="1:2" x14ac:dyDescent="0.4">
      <c r="A18940" s="4">
        <v>505100200</v>
      </c>
      <c r="B18940">
        <v>8340102</v>
      </c>
    </row>
    <row r="18941" spans="1:2" x14ac:dyDescent="0.4">
      <c r="A18941" s="4">
        <v>505100200</v>
      </c>
      <c r="B18941">
        <v>8350000</v>
      </c>
    </row>
    <row r="18942" spans="1:2" x14ac:dyDescent="0.4">
      <c r="A18942" s="4">
        <v>505100200</v>
      </c>
      <c r="B18942">
        <v>8350001</v>
      </c>
    </row>
    <row r="18943" spans="1:2" x14ac:dyDescent="0.4">
      <c r="A18943" s="4">
        <v>505100200</v>
      </c>
      <c r="B18943">
        <v>8350002</v>
      </c>
    </row>
    <row r="18944" spans="1:2" x14ac:dyDescent="0.4">
      <c r="A18944" s="4">
        <v>505100200</v>
      </c>
      <c r="B18944">
        <v>8350200</v>
      </c>
    </row>
    <row r="18945" spans="1:2" x14ac:dyDescent="0.4">
      <c r="A18945" s="4">
        <v>505100200</v>
      </c>
      <c r="B18945">
        <v>8350201</v>
      </c>
    </row>
    <row r="18946" spans="1:2" x14ac:dyDescent="0.4">
      <c r="A18946" s="4">
        <v>505100200</v>
      </c>
      <c r="B18946">
        <v>8350202</v>
      </c>
    </row>
    <row r="18947" spans="1:2" x14ac:dyDescent="0.4">
      <c r="A18947" s="4">
        <v>505100200</v>
      </c>
      <c r="B18947">
        <v>8420000</v>
      </c>
    </row>
    <row r="18948" spans="1:2" x14ac:dyDescent="0.4">
      <c r="A18948" s="4">
        <v>505100200</v>
      </c>
      <c r="B18948">
        <v>8420001</v>
      </c>
    </row>
    <row r="18949" spans="1:2" x14ac:dyDescent="0.4">
      <c r="A18949" s="4">
        <v>505100200</v>
      </c>
      <c r="B18949">
        <v>8420002</v>
      </c>
    </row>
    <row r="18950" spans="1:2" x14ac:dyDescent="0.4">
      <c r="A18950" s="4">
        <v>505100200</v>
      </c>
      <c r="B18950">
        <v>8450000</v>
      </c>
    </row>
    <row r="18951" spans="1:2" x14ac:dyDescent="0.4">
      <c r="A18951" s="4">
        <v>505100200</v>
      </c>
      <c r="B18951">
        <v>8460100</v>
      </c>
    </row>
    <row r="18952" spans="1:2" x14ac:dyDescent="0.4">
      <c r="A18952" s="4">
        <v>505100200</v>
      </c>
      <c r="B18952">
        <v>8460300</v>
      </c>
    </row>
    <row r="18953" spans="1:2" x14ac:dyDescent="0.4">
      <c r="A18953" s="4">
        <v>505100200</v>
      </c>
      <c r="B18953">
        <v>8460500</v>
      </c>
    </row>
    <row r="18954" spans="1:2" x14ac:dyDescent="0.4">
      <c r="A18954" s="4">
        <v>505100200</v>
      </c>
      <c r="B18954">
        <v>8510000</v>
      </c>
    </row>
    <row r="18955" spans="1:2" x14ac:dyDescent="0.4">
      <c r="A18955" s="4">
        <v>505100200</v>
      </c>
      <c r="B18955">
        <v>8510001</v>
      </c>
    </row>
    <row r="18956" spans="1:2" x14ac:dyDescent="0.4">
      <c r="A18956" s="4">
        <v>505100200</v>
      </c>
      <c r="B18956">
        <v>8510002</v>
      </c>
    </row>
    <row r="18957" spans="1:2" x14ac:dyDescent="0.4">
      <c r="A18957" s="4">
        <v>505100200</v>
      </c>
      <c r="B18957">
        <v>8520000</v>
      </c>
    </row>
    <row r="18958" spans="1:2" x14ac:dyDescent="0.4">
      <c r="A18958" s="4">
        <v>505100200</v>
      </c>
      <c r="B18958">
        <v>8520001</v>
      </c>
    </row>
    <row r="18959" spans="1:2" x14ac:dyDescent="0.4">
      <c r="A18959" s="4">
        <v>505100200</v>
      </c>
      <c r="B18959">
        <v>8520002</v>
      </c>
    </row>
    <row r="18960" spans="1:2" x14ac:dyDescent="0.4">
      <c r="A18960" s="4">
        <v>505100200</v>
      </c>
      <c r="B18960">
        <v>8530000</v>
      </c>
    </row>
    <row r="18961" spans="1:2" x14ac:dyDescent="0.4">
      <c r="A18961" s="4">
        <v>505100200</v>
      </c>
      <c r="B18961">
        <v>8530100</v>
      </c>
    </row>
    <row r="18962" spans="1:2" x14ac:dyDescent="0.4">
      <c r="A18962" s="4">
        <v>505100200</v>
      </c>
      <c r="B18962">
        <v>8540000</v>
      </c>
    </row>
    <row r="18963" spans="1:2" x14ac:dyDescent="0.4">
      <c r="A18963" s="4">
        <v>505100200</v>
      </c>
      <c r="B18963">
        <v>8600100</v>
      </c>
    </row>
    <row r="18964" spans="1:2" x14ac:dyDescent="0.4">
      <c r="A18964" s="4">
        <v>505100200</v>
      </c>
      <c r="B18964">
        <v>8600101</v>
      </c>
    </row>
    <row r="18965" spans="1:2" x14ac:dyDescent="0.4">
      <c r="A18965" s="4">
        <v>505100200</v>
      </c>
      <c r="B18965">
        <v>8600102</v>
      </c>
    </row>
    <row r="18966" spans="1:2" x14ac:dyDescent="0.4">
      <c r="A18966" s="4">
        <v>505100200</v>
      </c>
      <c r="B18966">
        <v>8600200</v>
      </c>
    </row>
    <row r="18967" spans="1:2" x14ac:dyDescent="0.4">
      <c r="A18967" s="4">
        <v>505100200</v>
      </c>
      <c r="B18967">
        <v>8600201</v>
      </c>
    </row>
    <row r="18968" spans="1:2" x14ac:dyDescent="0.4">
      <c r="A18968" s="4">
        <v>505100200</v>
      </c>
      <c r="B18968">
        <v>8600202</v>
      </c>
    </row>
    <row r="18969" spans="1:2" x14ac:dyDescent="0.4">
      <c r="A18969" s="4">
        <v>505100200</v>
      </c>
      <c r="B18969">
        <v>8610300</v>
      </c>
    </row>
    <row r="18970" spans="1:2" x14ac:dyDescent="0.4">
      <c r="A18970" s="4">
        <v>505100200</v>
      </c>
      <c r="B18970">
        <v>8610400</v>
      </c>
    </row>
    <row r="18971" spans="1:2" x14ac:dyDescent="0.4">
      <c r="A18971" s="4">
        <v>505100200</v>
      </c>
      <c r="B18971">
        <v>8610500</v>
      </c>
    </row>
    <row r="18972" spans="1:2" x14ac:dyDescent="0.4">
      <c r="A18972" s="4">
        <v>505100200</v>
      </c>
      <c r="B18972">
        <v>8610600</v>
      </c>
    </row>
    <row r="18973" spans="1:2" x14ac:dyDescent="0.4">
      <c r="A18973" s="4">
        <v>505100200</v>
      </c>
      <c r="B18973">
        <v>8610700</v>
      </c>
    </row>
    <row r="18974" spans="1:2" x14ac:dyDescent="0.4">
      <c r="A18974" s="4">
        <v>505100200</v>
      </c>
      <c r="B18974">
        <v>8610710</v>
      </c>
    </row>
    <row r="18975" spans="1:2" x14ac:dyDescent="0.4">
      <c r="A18975" s="4">
        <v>505100200</v>
      </c>
      <c r="B18975">
        <v>8610720</v>
      </c>
    </row>
    <row r="18976" spans="1:2" x14ac:dyDescent="0.4">
      <c r="A18976" s="4">
        <v>505100200</v>
      </c>
      <c r="B18976">
        <v>8620000</v>
      </c>
    </row>
    <row r="18977" spans="1:2" x14ac:dyDescent="0.4">
      <c r="A18977" s="4">
        <v>505100200</v>
      </c>
      <c r="B18977">
        <v>8620010</v>
      </c>
    </row>
    <row r="18978" spans="1:2" x14ac:dyDescent="0.4">
      <c r="A18978" s="4">
        <v>505100200</v>
      </c>
      <c r="B18978">
        <v>8620020</v>
      </c>
    </row>
    <row r="18979" spans="1:2" x14ac:dyDescent="0.4">
      <c r="A18979" s="4">
        <v>505100200</v>
      </c>
      <c r="B18979">
        <v>8620100</v>
      </c>
    </row>
    <row r="18980" spans="1:2" x14ac:dyDescent="0.4">
      <c r="A18980" s="4">
        <v>505100200</v>
      </c>
      <c r="B18980">
        <v>8620110</v>
      </c>
    </row>
    <row r="18981" spans="1:2" x14ac:dyDescent="0.4">
      <c r="A18981" s="4">
        <v>505100200</v>
      </c>
      <c r="B18981">
        <v>8620120</v>
      </c>
    </row>
    <row r="18982" spans="1:2" x14ac:dyDescent="0.4">
      <c r="A18982" s="4">
        <v>505100200</v>
      </c>
      <c r="B18982">
        <v>8630000</v>
      </c>
    </row>
    <row r="18983" spans="1:2" x14ac:dyDescent="0.4">
      <c r="A18983" s="4">
        <v>505100200</v>
      </c>
      <c r="B18983">
        <v>8630000</v>
      </c>
    </row>
    <row r="18984" spans="1:2" x14ac:dyDescent="0.4">
      <c r="A18984" s="4">
        <v>505100200</v>
      </c>
      <c r="B18984">
        <v>8630000</v>
      </c>
    </row>
    <row r="18985" spans="1:2" x14ac:dyDescent="0.4">
      <c r="A18985" s="4">
        <v>505100200</v>
      </c>
      <c r="B18985">
        <v>8630100</v>
      </c>
    </row>
    <row r="18986" spans="1:2" x14ac:dyDescent="0.4">
      <c r="A18986" s="4">
        <v>505100200</v>
      </c>
      <c r="B18986">
        <v>8630100</v>
      </c>
    </row>
    <row r="18987" spans="1:2" x14ac:dyDescent="0.4">
      <c r="A18987" s="4">
        <v>505100200</v>
      </c>
      <c r="B18987">
        <v>8630100</v>
      </c>
    </row>
    <row r="18988" spans="1:2" x14ac:dyDescent="0.4">
      <c r="A18988" s="4">
        <v>505100200</v>
      </c>
      <c r="B18988">
        <v>8630200</v>
      </c>
    </row>
    <row r="18989" spans="1:2" x14ac:dyDescent="0.4">
      <c r="A18989" s="4">
        <v>505100200</v>
      </c>
      <c r="B18989">
        <v>8630300</v>
      </c>
    </row>
    <row r="18990" spans="1:2" x14ac:dyDescent="0.4">
      <c r="A18990" s="4">
        <v>505100200</v>
      </c>
      <c r="B18990">
        <v>8630400</v>
      </c>
    </row>
    <row r="18991" spans="1:2" x14ac:dyDescent="0.4">
      <c r="A18991" s="4">
        <v>505100200</v>
      </c>
      <c r="B18991">
        <v>8630500</v>
      </c>
    </row>
    <row r="18992" spans="1:2" x14ac:dyDescent="0.4">
      <c r="A18992" s="4">
        <v>505100200</v>
      </c>
      <c r="B18992">
        <v>8630600</v>
      </c>
    </row>
    <row r="18993" spans="1:2" x14ac:dyDescent="0.4">
      <c r="A18993" s="4">
        <v>505100200</v>
      </c>
      <c r="B18993">
        <v>8630700</v>
      </c>
    </row>
    <row r="18994" spans="1:2" x14ac:dyDescent="0.4">
      <c r="A18994" s="4">
        <v>505100200</v>
      </c>
      <c r="B18994">
        <v>8630800</v>
      </c>
    </row>
    <row r="18995" spans="1:2" x14ac:dyDescent="0.4">
      <c r="A18995" s="4">
        <v>505100200</v>
      </c>
      <c r="B18995">
        <v>8652000</v>
      </c>
    </row>
    <row r="18996" spans="1:2" x14ac:dyDescent="0.4">
      <c r="A18996" s="4">
        <v>505100200</v>
      </c>
      <c r="B18996">
        <v>8652010</v>
      </c>
    </row>
    <row r="18997" spans="1:2" x14ac:dyDescent="0.4">
      <c r="A18997" s="4">
        <v>505100200</v>
      </c>
      <c r="B18997">
        <v>8652020</v>
      </c>
    </row>
    <row r="18998" spans="1:2" x14ac:dyDescent="0.4">
      <c r="A18998" s="4">
        <v>505100200</v>
      </c>
      <c r="B18998">
        <v>8652100</v>
      </c>
    </row>
    <row r="18999" spans="1:2" x14ac:dyDescent="0.4">
      <c r="A18999" s="4">
        <v>505100200</v>
      </c>
      <c r="B18999">
        <v>8652110</v>
      </c>
    </row>
    <row r="19000" spans="1:2" x14ac:dyDescent="0.4">
      <c r="A19000" s="4">
        <v>505100200</v>
      </c>
      <c r="B19000">
        <v>8652120</v>
      </c>
    </row>
    <row r="19001" spans="1:2" x14ac:dyDescent="0.4">
      <c r="A19001" s="4">
        <v>505100200</v>
      </c>
      <c r="B19001">
        <v>8660000</v>
      </c>
    </row>
    <row r="19002" spans="1:2" x14ac:dyDescent="0.4">
      <c r="A19002" s="4">
        <v>505100200</v>
      </c>
      <c r="B19002">
        <v>8660001</v>
      </c>
    </row>
    <row r="19003" spans="1:2" x14ac:dyDescent="0.4">
      <c r="A19003" s="4">
        <v>505100200</v>
      </c>
      <c r="B19003">
        <v>8660002</v>
      </c>
    </row>
    <row r="19004" spans="1:2" x14ac:dyDescent="0.4">
      <c r="A19004" s="4">
        <v>505100200</v>
      </c>
      <c r="B19004">
        <v>8660100</v>
      </c>
    </row>
    <row r="19005" spans="1:2" x14ac:dyDescent="0.4">
      <c r="A19005" s="4">
        <v>505100200</v>
      </c>
      <c r="B19005">
        <v>8660101</v>
      </c>
    </row>
    <row r="19006" spans="1:2" x14ac:dyDescent="0.4">
      <c r="A19006" s="4">
        <v>505100200</v>
      </c>
      <c r="B19006">
        <v>8660102</v>
      </c>
    </row>
    <row r="19007" spans="1:2" x14ac:dyDescent="0.4">
      <c r="A19007" s="4">
        <v>505100200</v>
      </c>
      <c r="B19007">
        <v>8670000</v>
      </c>
    </row>
    <row r="19008" spans="1:2" x14ac:dyDescent="0.4">
      <c r="A19008" s="4">
        <v>505100200</v>
      </c>
      <c r="B19008">
        <v>8670001</v>
      </c>
    </row>
    <row r="19009" spans="1:2" x14ac:dyDescent="0.4">
      <c r="A19009" s="4">
        <v>505100200</v>
      </c>
      <c r="B19009">
        <v>8670002</v>
      </c>
    </row>
    <row r="19010" spans="1:2" x14ac:dyDescent="0.4">
      <c r="A19010" s="4">
        <v>505100200</v>
      </c>
      <c r="B19010">
        <v>8670100</v>
      </c>
    </row>
    <row r="19011" spans="1:2" x14ac:dyDescent="0.4">
      <c r="A19011" s="4">
        <v>505100200</v>
      </c>
      <c r="B19011">
        <v>8670101</v>
      </c>
    </row>
    <row r="19012" spans="1:2" x14ac:dyDescent="0.4">
      <c r="A19012" s="4">
        <v>505100200</v>
      </c>
      <c r="B19012">
        <v>8670102</v>
      </c>
    </row>
    <row r="19013" spans="1:2" x14ac:dyDescent="0.4">
      <c r="A19013" s="4">
        <v>505100200</v>
      </c>
      <c r="B19013">
        <v>8690000</v>
      </c>
    </row>
    <row r="19014" spans="1:2" x14ac:dyDescent="0.4">
      <c r="A19014" s="4">
        <v>505100200</v>
      </c>
      <c r="B19014">
        <v>8690100</v>
      </c>
    </row>
    <row r="19015" spans="1:2" x14ac:dyDescent="0.4">
      <c r="A19015" s="4">
        <v>505100200</v>
      </c>
      <c r="B19015">
        <v>8690200</v>
      </c>
    </row>
    <row r="19016" spans="1:2" x14ac:dyDescent="0.4">
      <c r="A19016" s="4">
        <v>505100200</v>
      </c>
      <c r="B19016">
        <v>8690300</v>
      </c>
    </row>
    <row r="19017" spans="1:2" x14ac:dyDescent="0.4">
      <c r="A19017" s="4">
        <v>505100200</v>
      </c>
      <c r="B19017">
        <v>8690400</v>
      </c>
    </row>
    <row r="19018" spans="1:2" x14ac:dyDescent="0.4">
      <c r="A19018" s="4">
        <v>505100200</v>
      </c>
      <c r="B19018">
        <v>8850000</v>
      </c>
    </row>
    <row r="19019" spans="1:2" x14ac:dyDescent="0.4">
      <c r="A19019" s="4">
        <v>505100200</v>
      </c>
      <c r="B19019">
        <v>8850100</v>
      </c>
    </row>
    <row r="19020" spans="1:2" x14ac:dyDescent="0.4">
      <c r="A19020" s="4">
        <v>505100200</v>
      </c>
      <c r="B19020">
        <v>8850200</v>
      </c>
    </row>
    <row r="19021" spans="1:2" x14ac:dyDescent="0.4">
      <c r="A19021" s="4">
        <v>505100200</v>
      </c>
      <c r="B19021">
        <v>8850300</v>
      </c>
    </row>
    <row r="19022" spans="1:2" x14ac:dyDescent="0.4">
      <c r="A19022" s="4">
        <v>505100200</v>
      </c>
      <c r="B19022">
        <v>8850400</v>
      </c>
    </row>
    <row r="19023" spans="1:2" x14ac:dyDescent="0.4">
      <c r="A19023" s="4">
        <v>505100200</v>
      </c>
      <c r="B19023">
        <v>8850500</v>
      </c>
    </row>
    <row r="19024" spans="1:2" x14ac:dyDescent="0.4">
      <c r="A19024" s="4">
        <v>505100200</v>
      </c>
      <c r="B19024">
        <v>8850600</v>
      </c>
    </row>
    <row r="19025" spans="1:2" x14ac:dyDescent="0.4">
      <c r="A19025" s="4">
        <v>505100200</v>
      </c>
      <c r="B19025">
        <v>8850700</v>
      </c>
    </row>
    <row r="19026" spans="1:2" x14ac:dyDescent="0.4">
      <c r="A19026" s="4">
        <v>505100200</v>
      </c>
      <c r="B19026">
        <v>8850800</v>
      </c>
    </row>
    <row r="19027" spans="1:2" x14ac:dyDescent="0.4">
      <c r="A19027" s="4">
        <v>505100200</v>
      </c>
      <c r="B19027">
        <v>8850900</v>
      </c>
    </row>
    <row r="19028" spans="1:2" x14ac:dyDescent="0.4">
      <c r="A19028" s="4">
        <v>505100200</v>
      </c>
      <c r="B19028">
        <v>8851000</v>
      </c>
    </row>
    <row r="19029" spans="1:2" x14ac:dyDescent="0.4">
      <c r="A19029" s="4">
        <v>505100200</v>
      </c>
      <c r="B19029">
        <v>8851100</v>
      </c>
    </row>
    <row r="19030" spans="1:2" x14ac:dyDescent="0.4">
      <c r="A19030" s="4">
        <v>505100200</v>
      </c>
      <c r="B19030">
        <v>8851200</v>
      </c>
    </row>
    <row r="19031" spans="1:2" x14ac:dyDescent="0.4">
      <c r="A19031" s="4">
        <v>505100200</v>
      </c>
      <c r="B19031">
        <v>8851300</v>
      </c>
    </row>
    <row r="19032" spans="1:2" x14ac:dyDescent="0.4">
      <c r="A19032" s="4">
        <v>505100200</v>
      </c>
      <c r="B19032">
        <v>8851800</v>
      </c>
    </row>
    <row r="19033" spans="1:2" x14ac:dyDescent="0.4">
      <c r="A19033" s="4">
        <v>505100200</v>
      </c>
      <c r="B19033">
        <v>8851900</v>
      </c>
    </row>
    <row r="19034" spans="1:2" x14ac:dyDescent="0.4">
      <c r="A19034" s="4">
        <v>505100200</v>
      </c>
      <c r="B19034">
        <v>8852000</v>
      </c>
    </row>
    <row r="19035" spans="1:2" x14ac:dyDescent="0.4">
      <c r="A19035" s="4">
        <v>505100200</v>
      </c>
      <c r="B19035">
        <v>8320500</v>
      </c>
    </row>
    <row r="19036" spans="1:2" x14ac:dyDescent="0.4">
      <c r="A19036" s="4">
        <v>505100200</v>
      </c>
      <c r="B19036">
        <v>8320510</v>
      </c>
    </row>
    <row r="19037" spans="1:2" x14ac:dyDescent="0.4">
      <c r="A19037" s="4">
        <v>505100200</v>
      </c>
      <c r="B19037">
        <v>8320520</v>
      </c>
    </row>
    <row r="19038" spans="1:2" x14ac:dyDescent="0.4">
      <c r="A19038" s="4">
        <v>505100200</v>
      </c>
      <c r="B19038">
        <v>8320600</v>
      </c>
    </row>
    <row r="19039" spans="1:2" x14ac:dyDescent="0.4">
      <c r="A19039" s="4">
        <v>505100200</v>
      </c>
      <c r="B19039">
        <v>8320610</v>
      </c>
    </row>
    <row r="19040" spans="1:2" x14ac:dyDescent="0.4">
      <c r="A19040" s="4">
        <v>505100200</v>
      </c>
      <c r="B19040">
        <v>8320620</v>
      </c>
    </row>
    <row r="19041" spans="1:2" x14ac:dyDescent="0.4">
      <c r="A19041" s="4">
        <v>505100200</v>
      </c>
      <c r="B19041">
        <v>8320700</v>
      </c>
    </row>
    <row r="19042" spans="1:2" x14ac:dyDescent="0.4">
      <c r="A19042" s="4">
        <v>505100200</v>
      </c>
      <c r="B19042">
        <v>8320710</v>
      </c>
    </row>
    <row r="19043" spans="1:2" x14ac:dyDescent="0.4">
      <c r="A19043" s="4">
        <v>505100200</v>
      </c>
      <c r="B19043">
        <v>8320720</v>
      </c>
    </row>
    <row r="19044" spans="1:2" x14ac:dyDescent="0.4">
      <c r="A19044" s="4">
        <v>505200100</v>
      </c>
      <c r="B19044">
        <v>0</v>
      </c>
    </row>
    <row r="19045" spans="1:2" x14ac:dyDescent="0.4">
      <c r="A19045" s="4">
        <v>505200100</v>
      </c>
      <c r="B19045">
        <v>8100100</v>
      </c>
    </row>
    <row r="19046" spans="1:2" x14ac:dyDescent="0.4">
      <c r="A19046" s="4">
        <v>505200100</v>
      </c>
      <c r="B19046">
        <v>8100101</v>
      </c>
    </row>
    <row r="19047" spans="1:2" x14ac:dyDescent="0.4">
      <c r="A19047" s="4">
        <v>505200100</v>
      </c>
      <c r="B19047">
        <v>8100102</v>
      </c>
    </row>
    <row r="19048" spans="1:2" x14ac:dyDescent="0.4">
      <c r="A19048" s="4">
        <v>505200100</v>
      </c>
      <c r="B19048">
        <v>8100200</v>
      </c>
    </row>
    <row r="19049" spans="1:2" x14ac:dyDescent="0.4">
      <c r="A19049" s="4">
        <v>505200100</v>
      </c>
      <c r="B19049">
        <v>8100201</v>
      </c>
    </row>
    <row r="19050" spans="1:2" x14ac:dyDescent="0.4">
      <c r="A19050" s="4">
        <v>505200100</v>
      </c>
      <c r="B19050">
        <v>8100202</v>
      </c>
    </row>
    <row r="19051" spans="1:2" x14ac:dyDescent="0.4">
      <c r="A19051" s="4">
        <v>505200100</v>
      </c>
      <c r="B19051">
        <v>8100300</v>
      </c>
    </row>
    <row r="19052" spans="1:2" x14ac:dyDescent="0.4">
      <c r="A19052" s="4">
        <v>505200100</v>
      </c>
      <c r="B19052">
        <v>8100301</v>
      </c>
    </row>
    <row r="19053" spans="1:2" x14ac:dyDescent="0.4">
      <c r="A19053" s="4">
        <v>505200100</v>
      </c>
      <c r="B19053">
        <v>8100302</v>
      </c>
    </row>
    <row r="19054" spans="1:2" x14ac:dyDescent="0.4">
      <c r="A19054" s="4">
        <v>505200100</v>
      </c>
      <c r="B19054">
        <v>8100400</v>
      </c>
    </row>
    <row r="19055" spans="1:2" x14ac:dyDescent="0.4">
      <c r="A19055" s="4">
        <v>505200100</v>
      </c>
      <c r="B19055">
        <v>8100401</v>
      </c>
    </row>
    <row r="19056" spans="1:2" x14ac:dyDescent="0.4">
      <c r="A19056" s="4">
        <v>505200100</v>
      </c>
      <c r="B19056">
        <v>8100402</v>
      </c>
    </row>
    <row r="19057" spans="1:2" x14ac:dyDescent="0.4">
      <c r="A19057" s="4">
        <v>505200100</v>
      </c>
      <c r="B19057">
        <v>8130000</v>
      </c>
    </row>
    <row r="19058" spans="1:2" x14ac:dyDescent="0.4">
      <c r="A19058" s="4">
        <v>505200100</v>
      </c>
      <c r="B19058">
        <v>8130001</v>
      </c>
    </row>
    <row r="19059" spans="1:2" x14ac:dyDescent="0.4">
      <c r="A19059" s="4">
        <v>505200100</v>
      </c>
      <c r="B19059">
        <v>8130002</v>
      </c>
    </row>
    <row r="19060" spans="1:2" x14ac:dyDescent="0.4">
      <c r="A19060" s="4">
        <v>505200100</v>
      </c>
      <c r="B19060">
        <v>8140000</v>
      </c>
    </row>
    <row r="19061" spans="1:2" x14ac:dyDescent="0.4">
      <c r="A19061" s="4">
        <v>505200100</v>
      </c>
      <c r="B19061">
        <v>8140001</v>
      </c>
    </row>
    <row r="19062" spans="1:2" x14ac:dyDescent="0.4">
      <c r="A19062" s="4">
        <v>505200100</v>
      </c>
      <c r="B19062">
        <v>8140002</v>
      </c>
    </row>
    <row r="19063" spans="1:2" x14ac:dyDescent="0.4">
      <c r="A19063" s="4">
        <v>505200100</v>
      </c>
      <c r="B19063">
        <v>8200100</v>
      </c>
    </row>
    <row r="19064" spans="1:2" x14ac:dyDescent="0.4">
      <c r="A19064" s="4">
        <v>505200100</v>
      </c>
      <c r="B19064">
        <v>8200101</v>
      </c>
    </row>
    <row r="19065" spans="1:2" x14ac:dyDescent="0.4">
      <c r="A19065" s="4">
        <v>505200100</v>
      </c>
      <c r="B19065">
        <v>8200102</v>
      </c>
    </row>
    <row r="19066" spans="1:2" x14ac:dyDescent="0.4">
      <c r="A19066" s="4">
        <v>505200100</v>
      </c>
      <c r="B19066">
        <v>8200200</v>
      </c>
    </row>
    <row r="19067" spans="1:2" x14ac:dyDescent="0.4">
      <c r="A19067" s="4">
        <v>505200100</v>
      </c>
      <c r="B19067">
        <v>8200201</v>
      </c>
    </row>
    <row r="19068" spans="1:2" x14ac:dyDescent="0.4">
      <c r="A19068" s="4">
        <v>505200100</v>
      </c>
      <c r="B19068">
        <v>8200202</v>
      </c>
    </row>
    <row r="19069" spans="1:2" x14ac:dyDescent="0.4">
      <c r="A19069" s="4">
        <v>505200100</v>
      </c>
      <c r="B19069">
        <v>8200300</v>
      </c>
    </row>
    <row r="19070" spans="1:2" x14ac:dyDescent="0.4">
      <c r="A19070" s="4">
        <v>505200100</v>
      </c>
      <c r="B19070">
        <v>8200301</v>
      </c>
    </row>
    <row r="19071" spans="1:2" x14ac:dyDescent="0.4">
      <c r="A19071" s="4">
        <v>505200100</v>
      </c>
      <c r="B19071">
        <v>8200302</v>
      </c>
    </row>
    <row r="19072" spans="1:2" x14ac:dyDescent="0.4">
      <c r="A19072" s="4">
        <v>505200100</v>
      </c>
      <c r="B19072">
        <v>8200400</v>
      </c>
    </row>
    <row r="19073" spans="1:2" x14ac:dyDescent="0.4">
      <c r="A19073" s="4">
        <v>505200100</v>
      </c>
      <c r="B19073">
        <v>8200401</v>
      </c>
    </row>
    <row r="19074" spans="1:2" x14ac:dyDescent="0.4">
      <c r="A19074" s="4">
        <v>505200100</v>
      </c>
      <c r="B19074">
        <v>8200402</v>
      </c>
    </row>
    <row r="19075" spans="1:2" x14ac:dyDescent="0.4">
      <c r="A19075" s="4">
        <v>505200100</v>
      </c>
      <c r="B19075">
        <v>8210000</v>
      </c>
    </row>
    <row r="19076" spans="1:2" x14ac:dyDescent="0.4">
      <c r="A19076" s="4">
        <v>505200100</v>
      </c>
      <c r="B19076">
        <v>8210001</v>
      </c>
    </row>
    <row r="19077" spans="1:2" x14ac:dyDescent="0.4">
      <c r="A19077" s="4">
        <v>505200100</v>
      </c>
      <c r="B19077">
        <v>8210002</v>
      </c>
    </row>
    <row r="19078" spans="1:2" x14ac:dyDescent="0.4">
      <c r="A19078" s="4">
        <v>505200100</v>
      </c>
      <c r="B19078">
        <v>8210100</v>
      </c>
    </row>
    <row r="19079" spans="1:2" x14ac:dyDescent="0.4">
      <c r="A19079" s="4">
        <v>505200100</v>
      </c>
      <c r="B19079">
        <v>8210101</v>
      </c>
    </row>
    <row r="19080" spans="1:2" x14ac:dyDescent="0.4">
      <c r="A19080" s="4">
        <v>505200100</v>
      </c>
      <c r="B19080">
        <v>8210102</v>
      </c>
    </row>
    <row r="19081" spans="1:2" x14ac:dyDescent="0.4">
      <c r="A19081" s="4">
        <v>505200100</v>
      </c>
      <c r="B19081">
        <v>8210200</v>
      </c>
    </row>
    <row r="19082" spans="1:2" x14ac:dyDescent="0.4">
      <c r="A19082" s="4">
        <v>505200100</v>
      </c>
      <c r="B19082">
        <v>8210201</v>
      </c>
    </row>
    <row r="19083" spans="1:2" x14ac:dyDescent="0.4">
      <c r="A19083" s="4">
        <v>505200100</v>
      </c>
      <c r="B19083">
        <v>8210202</v>
      </c>
    </row>
    <row r="19084" spans="1:2" x14ac:dyDescent="0.4">
      <c r="A19084" s="4">
        <v>505200100</v>
      </c>
      <c r="B19084">
        <v>8210300</v>
      </c>
    </row>
    <row r="19085" spans="1:2" x14ac:dyDescent="0.4">
      <c r="A19085" s="4">
        <v>505200100</v>
      </c>
      <c r="B19085">
        <v>8210301</v>
      </c>
    </row>
    <row r="19086" spans="1:2" x14ac:dyDescent="0.4">
      <c r="A19086" s="4">
        <v>505200100</v>
      </c>
      <c r="B19086">
        <v>8210302</v>
      </c>
    </row>
    <row r="19087" spans="1:2" x14ac:dyDescent="0.4">
      <c r="A19087" s="4">
        <v>505200100</v>
      </c>
      <c r="B19087">
        <v>8210400</v>
      </c>
    </row>
    <row r="19088" spans="1:2" x14ac:dyDescent="0.4">
      <c r="A19088" s="4">
        <v>505200100</v>
      </c>
      <c r="B19088">
        <v>8210401</v>
      </c>
    </row>
    <row r="19089" spans="1:2" x14ac:dyDescent="0.4">
      <c r="A19089" s="4">
        <v>505200100</v>
      </c>
      <c r="B19089">
        <v>8210402</v>
      </c>
    </row>
    <row r="19090" spans="1:2" x14ac:dyDescent="0.4">
      <c r="A19090" s="4">
        <v>505200100</v>
      </c>
      <c r="B19090">
        <v>8210500</v>
      </c>
    </row>
    <row r="19091" spans="1:2" x14ac:dyDescent="0.4">
      <c r="A19091" s="4">
        <v>505200100</v>
      </c>
      <c r="B19091">
        <v>8210501</v>
      </c>
    </row>
    <row r="19092" spans="1:2" x14ac:dyDescent="0.4">
      <c r="A19092" s="4">
        <v>505200100</v>
      </c>
      <c r="B19092">
        <v>8210502</v>
      </c>
    </row>
    <row r="19093" spans="1:2" x14ac:dyDescent="0.4">
      <c r="A19093" s="4">
        <v>505200100</v>
      </c>
      <c r="B19093">
        <v>8210600</v>
      </c>
    </row>
    <row r="19094" spans="1:2" x14ac:dyDescent="0.4">
      <c r="A19094" s="4">
        <v>505200100</v>
      </c>
      <c r="B19094">
        <v>8210601</v>
      </c>
    </row>
    <row r="19095" spans="1:2" x14ac:dyDescent="0.4">
      <c r="A19095" s="4">
        <v>505200100</v>
      </c>
      <c r="B19095">
        <v>8210602</v>
      </c>
    </row>
    <row r="19096" spans="1:2" x14ac:dyDescent="0.4">
      <c r="A19096" s="4">
        <v>505200100</v>
      </c>
      <c r="B19096">
        <v>8220000</v>
      </c>
    </row>
    <row r="19097" spans="1:2" x14ac:dyDescent="0.4">
      <c r="A19097" s="4">
        <v>505200100</v>
      </c>
      <c r="B19097">
        <v>8220001</v>
      </c>
    </row>
    <row r="19098" spans="1:2" x14ac:dyDescent="0.4">
      <c r="A19098" s="4">
        <v>505200100</v>
      </c>
      <c r="B19098">
        <v>8220002</v>
      </c>
    </row>
    <row r="19099" spans="1:2" x14ac:dyDescent="0.4">
      <c r="A19099" s="4">
        <v>505200100</v>
      </c>
      <c r="B19099">
        <v>8300000</v>
      </c>
    </row>
    <row r="19100" spans="1:2" x14ac:dyDescent="0.4">
      <c r="A19100" s="4">
        <v>505200100</v>
      </c>
      <c r="B19100">
        <v>8300001</v>
      </c>
    </row>
    <row r="19101" spans="1:2" x14ac:dyDescent="0.4">
      <c r="A19101" s="4">
        <v>505200100</v>
      </c>
      <c r="B19101">
        <v>8300002</v>
      </c>
    </row>
    <row r="19102" spans="1:2" x14ac:dyDescent="0.4">
      <c r="A19102" s="4">
        <v>505200100</v>
      </c>
      <c r="B19102">
        <v>8310000</v>
      </c>
    </row>
    <row r="19103" spans="1:2" x14ac:dyDescent="0.4">
      <c r="A19103" s="4">
        <v>505200100</v>
      </c>
      <c r="B19103">
        <v>8310001</v>
      </c>
    </row>
    <row r="19104" spans="1:2" x14ac:dyDescent="0.4">
      <c r="A19104" s="4">
        <v>505200100</v>
      </c>
      <c r="B19104">
        <v>8310002</v>
      </c>
    </row>
    <row r="19105" spans="1:2" x14ac:dyDescent="0.4">
      <c r="A19105" s="4">
        <v>505200100</v>
      </c>
      <c r="B19105">
        <v>8320000</v>
      </c>
    </row>
    <row r="19106" spans="1:2" x14ac:dyDescent="0.4">
      <c r="A19106" s="4">
        <v>505200100</v>
      </c>
      <c r="B19106">
        <v>8320001</v>
      </c>
    </row>
    <row r="19107" spans="1:2" x14ac:dyDescent="0.4">
      <c r="A19107" s="4">
        <v>505200100</v>
      </c>
      <c r="B19107">
        <v>8320002</v>
      </c>
    </row>
    <row r="19108" spans="1:2" x14ac:dyDescent="0.4">
      <c r="A19108" s="4">
        <v>505200100</v>
      </c>
      <c r="B19108">
        <v>8320100</v>
      </c>
    </row>
    <row r="19109" spans="1:2" x14ac:dyDescent="0.4">
      <c r="A19109" s="4">
        <v>505200100</v>
      </c>
      <c r="B19109">
        <v>8320101</v>
      </c>
    </row>
    <row r="19110" spans="1:2" x14ac:dyDescent="0.4">
      <c r="A19110" s="4">
        <v>505200100</v>
      </c>
      <c r="B19110">
        <v>8320102</v>
      </c>
    </row>
    <row r="19111" spans="1:2" x14ac:dyDescent="0.4">
      <c r="A19111" s="4">
        <v>505200100</v>
      </c>
      <c r="B19111">
        <v>8320300</v>
      </c>
    </row>
    <row r="19112" spans="1:2" x14ac:dyDescent="0.4">
      <c r="A19112" s="4">
        <v>505200100</v>
      </c>
      <c r="B19112">
        <v>8320301</v>
      </c>
    </row>
    <row r="19113" spans="1:2" x14ac:dyDescent="0.4">
      <c r="A19113" s="4">
        <v>505200100</v>
      </c>
      <c r="B19113">
        <v>8320302</v>
      </c>
    </row>
    <row r="19114" spans="1:2" x14ac:dyDescent="0.4">
      <c r="A19114" s="4">
        <v>505200100</v>
      </c>
      <c r="B19114">
        <v>8320400</v>
      </c>
    </row>
    <row r="19115" spans="1:2" x14ac:dyDescent="0.4">
      <c r="A19115" s="4">
        <v>505200100</v>
      </c>
      <c r="B19115">
        <v>8320410</v>
      </c>
    </row>
    <row r="19116" spans="1:2" x14ac:dyDescent="0.4">
      <c r="A19116" s="4">
        <v>505200100</v>
      </c>
      <c r="B19116">
        <v>8320420</v>
      </c>
    </row>
    <row r="19117" spans="1:2" x14ac:dyDescent="0.4">
      <c r="A19117" s="4">
        <v>505200100</v>
      </c>
      <c r="B19117">
        <v>8330000</v>
      </c>
    </row>
    <row r="19118" spans="1:2" x14ac:dyDescent="0.4">
      <c r="A19118" s="4">
        <v>505200100</v>
      </c>
      <c r="B19118">
        <v>8330001</v>
      </c>
    </row>
    <row r="19119" spans="1:2" x14ac:dyDescent="0.4">
      <c r="A19119" s="4">
        <v>505200100</v>
      </c>
      <c r="B19119">
        <v>8330002</v>
      </c>
    </row>
    <row r="19120" spans="1:2" x14ac:dyDescent="0.4">
      <c r="A19120" s="4">
        <v>505200100</v>
      </c>
      <c r="B19120">
        <v>8330100</v>
      </c>
    </row>
    <row r="19121" spans="1:2" x14ac:dyDescent="0.4">
      <c r="A19121" s="4">
        <v>505200100</v>
      </c>
      <c r="B19121">
        <v>8330101</v>
      </c>
    </row>
    <row r="19122" spans="1:2" x14ac:dyDescent="0.4">
      <c r="A19122" s="4">
        <v>505200100</v>
      </c>
      <c r="B19122">
        <v>8330102</v>
      </c>
    </row>
    <row r="19123" spans="1:2" x14ac:dyDescent="0.4">
      <c r="A19123" s="4">
        <v>505200100</v>
      </c>
      <c r="B19123">
        <v>8330200</v>
      </c>
    </row>
    <row r="19124" spans="1:2" x14ac:dyDescent="0.4">
      <c r="A19124" s="4">
        <v>505200100</v>
      </c>
      <c r="B19124">
        <v>8330201</v>
      </c>
    </row>
    <row r="19125" spans="1:2" x14ac:dyDescent="0.4">
      <c r="A19125" s="4">
        <v>505200100</v>
      </c>
      <c r="B19125">
        <v>8330202</v>
      </c>
    </row>
    <row r="19126" spans="1:2" x14ac:dyDescent="0.4">
      <c r="A19126" s="4">
        <v>505200100</v>
      </c>
      <c r="B19126">
        <v>8330300</v>
      </c>
    </row>
    <row r="19127" spans="1:2" x14ac:dyDescent="0.4">
      <c r="A19127" s="4">
        <v>505200100</v>
      </c>
      <c r="B19127">
        <v>8330301</v>
      </c>
    </row>
    <row r="19128" spans="1:2" x14ac:dyDescent="0.4">
      <c r="A19128" s="4">
        <v>505200100</v>
      </c>
      <c r="B19128">
        <v>8330302</v>
      </c>
    </row>
    <row r="19129" spans="1:2" x14ac:dyDescent="0.4">
      <c r="A19129" s="4">
        <v>505200100</v>
      </c>
      <c r="B19129">
        <v>8330400</v>
      </c>
    </row>
    <row r="19130" spans="1:2" x14ac:dyDescent="0.4">
      <c r="A19130" s="4">
        <v>505200100</v>
      </c>
      <c r="B19130">
        <v>8330401</v>
      </c>
    </row>
    <row r="19131" spans="1:2" x14ac:dyDescent="0.4">
      <c r="A19131" s="4">
        <v>505200100</v>
      </c>
      <c r="B19131">
        <v>8330600</v>
      </c>
    </row>
    <row r="19132" spans="1:2" x14ac:dyDescent="0.4">
      <c r="A19132" s="4">
        <v>505200100</v>
      </c>
      <c r="B19132">
        <v>8330601</v>
      </c>
    </row>
    <row r="19133" spans="1:2" x14ac:dyDescent="0.4">
      <c r="A19133" s="4">
        <v>505200100</v>
      </c>
      <c r="B19133">
        <v>8330602</v>
      </c>
    </row>
    <row r="19134" spans="1:2" x14ac:dyDescent="0.4">
      <c r="A19134" s="4">
        <v>505200100</v>
      </c>
      <c r="B19134">
        <v>8330900</v>
      </c>
    </row>
    <row r="19135" spans="1:2" x14ac:dyDescent="0.4">
      <c r="A19135" s="4">
        <v>505200100</v>
      </c>
      <c r="B19135">
        <v>8330910</v>
      </c>
    </row>
    <row r="19136" spans="1:2" x14ac:dyDescent="0.4">
      <c r="A19136" s="4">
        <v>505200100</v>
      </c>
      <c r="B19136">
        <v>8330920</v>
      </c>
    </row>
    <row r="19137" spans="1:2" x14ac:dyDescent="0.4">
      <c r="A19137" s="4">
        <v>505200100</v>
      </c>
      <c r="B19137">
        <v>8340000</v>
      </c>
    </row>
    <row r="19138" spans="1:2" x14ac:dyDescent="0.4">
      <c r="A19138" s="4">
        <v>505200100</v>
      </c>
      <c r="B19138">
        <v>8340001</v>
      </c>
    </row>
    <row r="19139" spans="1:2" x14ac:dyDescent="0.4">
      <c r="A19139" s="4">
        <v>505200100</v>
      </c>
      <c r="B19139">
        <v>8340002</v>
      </c>
    </row>
    <row r="19140" spans="1:2" x14ac:dyDescent="0.4">
      <c r="A19140" s="4">
        <v>505200100</v>
      </c>
      <c r="B19140">
        <v>8340100</v>
      </c>
    </row>
    <row r="19141" spans="1:2" x14ac:dyDescent="0.4">
      <c r="A19141" s="4">
        <v>505200100</v>
      </c>
      <c r="B19141">
        <v>8340101</v>
      </c>
    </row>
    <row r="19142" spans="1:2" x14ac:dyDescent="0.4">
      <c r="A19142" s="4">
        <v>505200100</v>
      </c>
      <c r="B19142">
        <v>8340102</v>
      </c>
    </row>
    <row r="19143" spans="1:2" x14ac:dyDescent="0.4">
      <c r="A19143" s="4">
        <v>505200100</v>
      </c>
      <c r="B19143">
        <v>8350000</v>
      </c>
    </row>
    <row r="19144" spans="1:2" x14ac:dyDescent="0.4">
      <c r="A19144" s="4">
        <v>505200100</v>
      </c>
      <c r="B19144">
        <v>8350001</v>
      </c>
    </row>
    <row r="19145" spans="1:2" x14ac:dyDescent="0.4">
      <c r="A19145" s="4">
        <v>505200100</v>
      </c>
      <c r="B19145">
        <v>8350002</v>
      </c>
    </row>
    <row r="19146" spans="1:2" x14ac:dyDescent="0.4">
      <c r="A19146" s="4">
        <v>505200100</v>
      </c>
      <c r="B19146">
        <v>8350200</v>
      </c>
    </row>
    <row r="19147" spans="1:2" x14ac:dyDescent="0.4">
      <c r="A19147" s="4">
        <v>505200100</v>
      </c>
      <c r="B19147">
        <v>8350201</v>
      </c>
    </row>
    <row r="19148" spans="1:2" x14ac:dyDescent="0.4">
      <c r="A19148" s="4">
        <v>505200100</v>
      </c>
      <c r="B19148">
        <v>8350202</v>
      </c>
    </row>
    <row r="19149" spans="1:2" x14ac:dyDescent="0.4">
      <c r="A19149" s="4">
        <v>505200100</v>
      </c>
      <c r="B19149">
        <v>8420000</v>
      </c>
    </row>
    <row r="19150" spans="1:2" x14ac:dyDescent="0.4">
      <c r="A19150" s="4">
        <v>505200100</v>
      </c>
      <c r="B19150">
        <v>8420001</v>
      </c>
    </row>
    <row r="19151" spans="1:2" x14ac:dyDescent="0.4">
      <c r="A19151" s="4">
        <v>505200100</v>
      </c>
      <c r="B19151">
        <v>8420002</v>
      </c>
    </row>
    <row r="19152" spans="1:2" x14ac:dyDescent="0.4">
      <c r="A19152" s="4">
        <v>505200100</v>
      </c>
      <c r="B19152">
        <v>8450000</v>
      </c>
    </row>
    <row r="19153" spans="1:2" x14ac:dyDescent="0.4">
      <c r="A19153" s="4">
        <v>505200100</v>
      </c>
      <c r="B19153">
        <v>8460100</v>
      </c>
    </row>
    <row r="19154" spans="1:2" x14ac:dyDescent="0.4">
      <c r="A19154" s="4">
        <v>505200100</v>
      </c>
      <c r="B19154">
        <v>8460300</v>
      </c>
    </row>
    <row r="19155" spans="1:2" x14ac:dyDescent="0.4">
      <c r="A19155" s="4">
        <v>505200100</v>
      </c>
      <c r="B19155">
        <v>8460500</v>
      </c>
    </row>
    <row r="19156" spans="1:2" x14ac:dyDescent="0.4">
      <c r="A19156" s="4">
        <v>505200100</v>
      </c>
      <c r="B19156">
        <v>8510000</v>
      </c>
    </row>
    <row r="19157" spans="1:2" x14ac:dyDescent="0.4">
      <c r="A19157" s="4">
        <v>505200100</v>
      </c>
      <c r="B19157">
        <v>8510001</v>
      </c>
    </row>
    <row r="19158" spans="1:2" x14ac:dyDescent="0.4">
      <c r="A19158" s="4">
        <v>505200100</v>
      </c>
      <c r="B19158">
        <v>8510002</v>
      </c>
    </row>
    <row r="19159" spans="1:2" x14ac:dyDescent="0.4">
      <c r="A19159" s="4">
        <v>505200100</v>
      </c>
      <c r="B19159">
        <v>8520000</v>
      </c>
    </row>
    <row r="19160" spans="1:2" x14ac:dyDescent="0.4">
      <c r="A19160" s="4">
        <v>505200100</v>
      </c>
      <c r="B19160">
        <v>8520001</v>
      </c>
    </row>
    <row r="19161" spans="1:2" x14ac:dyDescent="0.4">
      <c r="A19161" s="4">
        <v>505200100</v>
      </c>
      <c r="B19161">
        <v>8520002</v>
      </c>
    </row>
    <row r="19162" spans="1:2" x14ac:dyDescent="0.4">
      <c r="A19162" s="4">
        <v>505200100</v>
      </c>
      <c r="B19162">
        <v>8530000</v>
      </c>
    </row>
    <row r="19163" spans="1:2" x14ac:dyDescent="0.4">
      <c r="A19163" s="4">
        <v>505200100</v>
      </c>
      <c r="B19163">
        <v>8530100</v>
      </c>
    </row>
    <row r="19164" spans="1:2" x14ac:dyDescent="0.4">
      <c r="A19164" s="4">
        <v>505200100</v>
      </c>
      <c r="B19164">
        <v>8540000</v>
      </c>
    </row>
    <row r="19165" spans="1:2" x14ac:dyDescent="0.4">
      <c r="A19165" s="4">
        <v>505200100</v>
      </c>
      <c r="B19165">
        <v>8600100</v>
      </c>
    </row>
    <row r="19166" spans="1:2" x14ac:dyDescent="0.4">
      <c r="A19166" s="4">
        <v>505200100</v>
      </c>
      <c r="B19166">
        <v>8600101</v>
      </c>
    </row>
    <row r="19167" spans="1:2" x14ac:dyDescent="0.4">
      <c r="A19167" s="4">
        <v>505200100</v>
      </c>
      <c r="B19167">
        <v>8600102</v>
      </c>
    </row>
    <row r="19168" spans="1:2" x14ac:dyDescent="0.4">
      <c r="A19168" s="4">
        <v>505200100</v>
      </c>
      <c r="B19168">
        <v>8600200</v>
      </c>
    </row>
    <row r="19169" spans="1:2" x14ac:dyDescent="0.4">
      <c r="A19169" s="4">
        <v>505200100</v>
      </c>
      <c r="B19169">
        <v>8600201</v>
      </c>
    </row>
    <row r="19170" spans="1:2" x14ac:dyDescent="0.4">
      <c r="A19170" s="4">
        <v>505200100</v>
      </c>
      <c r="B19170">
        <v>8600202</v>
      </c>
    </row>
    <row r="19171" spans="1:2" x14ac:dyDescent="0.4">
      <c r="A19171" s="4">
        <v>505200100</v>
      </c>
      <c r="B19171">
        <v>8610300</v>
      </c>
    </row>
    <row r="19172" spans="1:2" x14ac:dyDescent="0.4">
      <c r="A19172" s="4">
        <v>505200100</v>
      </c>
      <c r="B19172">
        <v>8610400</v>
      </c>
    </row>
    <row r="19173" spans="1:2" x14ac:dyDescent="0.4">
      <c r="A19173" s="4">
        <v>505200100</v>
      </c>
      <c r="B19173">
        <v>8610500</v>
      </c>
    </row>
    <row r="19174" spans="1:2" x14ac:dyDescent="0.4">
      <c r="A19174" s="4">
        <v>505200100</v>
      </c>
      <c r="B19174">
        <v>8610600</v>
      </c>
    </row>
    <row r="19175" spans="1:2" x14ac:dyDescent="0.4">
      <c r="A19175" s="4">
        <v>505200100</v>
      </c>
      <c r="B19175">
        <v>8610700</v>
      </c>
    </row>
    <row r="19176" spans="1:2" x14ac:dyDescent="0.4">
      <c r="A19176" s="4">
        <v>505200100</v>
      </c>
      <c r="B19176">
        <v>8610710</v>
      </c>
    </row>
    <row r="19177" spans="1:2" x14ac:dyDescent="0.4">
      <c r="A19177" s="4">
        <v>505200100</v>
      </c>
      <c r="B19177">
        <v>8610720</v>
      </c>
    </row>
    <row r="19178" spans="1:2" x14ac:dyDescent="0.4">
      <c r="A19178" s="4">
        <v>505200100</v>
      </c>
      <c r="B19178">
        <v>8620000</v>
      </c>
    </row>
    <row r="19179" spans="1:2" x14ac:dyDescent="0.4">
      <c r="A19179" s="4">
        <v>505200100</v>
      </c>
      <c r="B19179">
        <v>8620010</v>
      </c>
    </row>
    <row r="19180" spans="1:2" x14ac:dyDescent="0.4">
      <c r="A19180" s="4">
        <v>505200100</v>
      </c>
      <c r="B19180">
        <v>8620020</v>
      </c>
    </row>
    <row r="19181" spans="1:2" x14ac:dyDescent="0.4">
      <c r="A19181" s="4">
        <v>505200100</v>
      </c>
      <c r="B19181">
        <v>8620100</v>
      </c>
    </row>
    <row r="19182" spans="1:2" x14ac:dyDescent="0.4">
      <c r="A19182" s="4">
        <v>505200100</v>
      </c>
      <c r="B19182">
        <v>8620110</v>
      </c>
    </row>
    <row r="19183" spans="1:2" x14ac:dyDescent="0.4">
      <c r="A19183" s="4">
        <v>505200100</v>
      </c>
      <c r="B19183">
        <v>8620120</v>
      </c>
    </row>
    <row r="19184" spans="1:2" x14ac:dyDescent="0.4">
      <c r="A19184" s="4">
        <v>505200100</v>
      </c>
      <c r="B19184">
        <v>8630000</v>
      </c>
    </row>
    <row r="19185" spans="1:2" x14ac:dyDescent="0.4">
      <c r="A19185" s="4">
        <v>505200100</v>
      </c>
      <c r="B19185">
        <v>8630000</v>
      </c>
    </row>
    <row r="19186" spans="1:2" x14ac:dyDescent="0.4">
      <c r="A19186" s="4">
        <v>505200100</v>
      </c>
      <c r="B19186">
        <v>8630000</v>
      </c>
    </row>
    <row r="19187" spans="1:2" x14ac:dyDescent="0.4">
      <c r="A19187" s="4">
        <v>505200100</v>
      </c>
      <c r="B19187">
        <v>8630100</v>
      </c>
    </row>
    <row r="19188" spans="1:2" x14ac:dyDescent="0.4">
      <c r="A19188" s="4">
        <v>505200100</v>
      </c>
      <c r="B19188">
        <v>8630100</v>
      </c>
    </row>
    <row r="19189" spans="1:2" x14ac:dyDescent="0.4">
      <c r="A19189" s="4">
        <v>505200100</v>
      </c>
      <c r="B19189">
        <v>8630100</v>
      </c>
    </row>
    <row r="19190" spans="1:2" x14ac:dyDescent="0.4">
      <c r="A19190" s="4">
        <v>505200100</v>
      </c>
      <c r="B19190">
        <v>8630200</v>
      </c>
    </row>
    <row r="19191" spans="1:2" x14ac:dyDescent="0.4">
      <c r="A19191" s="4">
        <v>505200100</v>
      </c>
      <c r="B19191">
        <v>8630300</v>
      </c>
    </row>
    <row r="19192" spans="1:2" x14ac:dyDescent="0.4">
      <c r="A19192" s="4">
        <v>505200100</v>
      </c>
      <c r="B19192">
        <v>8630400</v>
      </c>
    </row>
    <row r="19193" spans="1:2" x14ac:dyDescent="0.4">
      <c r="A19193" s="4">
        <v>505200100</v>
      </c>
      <c r="B19193">
        <v>8630500</v>
      </c>
    </row>
    <row r="19194" spans="1:2" x14ac:dyDescent="0.4">
      <c r="A19194" s="4">
        <v>505200100</v>
      </c>
      <c r="B19194">
        <v>8630600</v>
      </c>
    </row>
    <row r="19195" spans="1:2" x14ac:dyDescent="0.4">
      <c r="A19195" s="4">
        <v>505200100</v>
      </c>
      <c r="B19195">
        <v>8630700</v>
      </c>
    </row>
    <row r="19196" spans="1:2" x14ac:dyDescent="0.4">
      <c r="A19196" s="4">
        <v>505200100</v>
      </c>
      <c r="B19196">
        <v>8630800</v>
      </c>
    </row>
    <row r="19197" spans="1:2" x14ac:dyDescent="0.4">
      <c r="A19197" s="4">
        <v>505200100</v>
      </c>
      <c r="B19197">
        <v>8652000</v>
      </c>
    </row>
    <row r="19198" spans="1:2" x14ac:dyDescent="0.4">
      <c r="A19198" s="4">
        <v>505200100</v>
      </c>
      <c r="B19198">
        <v>8652010</v>
      </c>
    </row>
    <row r="19199" spans="1:2" x14ac:dyDescent="0.4">
      <c r="A19199" s="4">
        <v>505200100</v>
      </c>
      <c r="B19199">
        <v>8652020</v>
      </c>
    </row>
    <row r="19200" spans="1:2" x14ac:dyDescent="0.4">
      <c r="A19200" s="4">
        <v>505200100</v>
      </c>
      <c r="B19200">
        <v>8652100</v>
      </c>
    </row>
    <row r="19201" spans="1:2" x14ac:dyDescent="0.4">
      <c r="A19201" s="4">
        <v>505200100</v>
      </c>
      <c r="B19201">
        <v>8652110</v>
      </c>
    </row>
    <row r="19202" spans="1:2" x14ac:dyDescent="0.4">
      <c r="A19202" s="4">
        <v>505200100</v>
      </c>
      <c r="B19202">
        <v>8652120</v>
      </c>
    </row>
    <row r="19203" spans="1:2" x14ac:dyDescent="0.4">
      <c r="A19203" s="4">
        <v>505200100</v>
      </c>
      <c r="B19203">
        <v>8660000</v>
      </c>
    </row>
    <row r="19204" spans="1:2" x14ac:dyDescent="0.4">
      <c r="A19204" s="4">
        <v>505200100</v>
      </c>
      <c r="B19204">
        <v>8660001</v>
      </c>
    </row>
    <row r="19205" spans="1:2" x14ac:dyDescent="0.4">
      <c r="A19205" s="4">
        <v>505200100</v>
      </c>
      <c r="B19205">
        <v>8660002</v>
      </c>
    </row>
    <row r="19206" spans="1:2" x14ac:dyDescent="0.4">
      <c r="A19206" s="4">
        <v>505200100</v>
      </c>
      <c r="B19206">
        <v>8660100</v>
      </c>
    </row>
    <row r="19207" spans="1:2" x14ac:dyDescent="0.4">
      <c r="A19207" s="4">
        <v>505200100</v>
      </c>
      <c r="B19207">
        <v>8660101</v>
      </c>
    </row>
    <row r="19208" spans="1:2" x14ac:dyDescent="0.4">
      <c r="A19208" s="4">
        <v>505200100</v>
      </c>
      <c r="B19208">
        <v>8660102</v>
      </c>
    </row>
    <row r="19209" spans="1:2" x14ac:dyDescent="0.4">
      <c r="A19209" s="4">
        <v>505200100</v>
      </c>
      <c r="B19209">
        <v>8670000</v>
      </c>
    </row>
    <row r="19210" spans="1:2" x14ac:dyDescent="0.4">
      <c r="A19210" s="4">
        <v>505200100</v>
      </c>
      <c r="B19210">
        <v>8670001</v>
      </c>
    </row>
    <row r="19211" spans="1:2" x14ac:dyDescent="0.4">
      <c r="A19211" s="4">
        <v>505200100</v>
      </c>
      <c r="B19211">
        <v>8670002</v>
      </c>
    </row>
    <row r="19212" spans="1:2" x14ac:dyDescent="0.4">
      <c r="A19212" s="4">
        <v>505200100</v>
      </c>
      <c r="B19212">
        <v>8670100</v>
      </c>
    </row>
    <row r="19213" spans="1:2" x14ac:dyDescent="0.4">
      <c r="A19213" s="4">
        <v>505200100</v>
      </c>
      <c r="B19213">
        <v>8670101</v>
      </c>
    </row>
    <row r="19214" spans="1:2" x14ac:dyDescent="0.4">
      <c r="A19214" s="4">
        <v>505200100</v>
      </c>
      <c r="B19214">
        <v>8670102</v>
      </c>
    </row>
    <row r="19215" spans="1:2" x14ac:dyDescent="0.4">
      <c r="A19215" s="4">
        <v>505200100</v>
      </c>
      <c r="B19215">
        <v>8690000</v>
      </c>
    </row>
    <row r="19216" spans="1:2" x14ac:dyDescent="0.4">
      <c r="A19216" s="4">
        <v>505200100</v>
      </c>
      <c r="B19216">
        <v>8690100</v>
      </c>
    </row>
    <row r="19217" spans="1:2" x14ac:dyDescent="0.4">
      <c r="A19217" s="4">
        <v>505200100</v>
      </c>
      <c r="B19217">
        <v>8690200</v>
      </c>
    </row>
    <row r="19218" spans="1:2" x14ac:dyDescent="0.4">
      <c r="A19218" s="4">
        <v>505200100</v>
      </c>
      <c r="B19218">
        <v>8690300</v>
      </c>
    </row>
    <row r="19219" spans="1:2" x14ac:dyDescent="0.4">
      <c r="A19219" s="4">
        <v>505200100</v>
      </c>
      <c r="B19219">
        <v>8690400</v>
      </c>
    </row>
    <row r="19220" spans="1:2" x14ac:dyDescent="0.4">
      <c r="A19220" s="4">
        <v>505200100</v>
      </c>
      <c r="B19220">
        <v>8850000</v>
      </c>
    </row>
    <row r="19221" spans="1:2" x14ac:dyDescent="0.4">
      <c r="A19221" s="4">
        <v>505200100</v>
      </c>
      <c r="B19221">
        <v>8850100</v>
      </c>
    </row>
    <row r="19222" spans="1:2" x14ac:dyDescent="0.4">
      <c r="A19222" s="4">
        <v>505200100</v>
      </c>
      <c r="B19222">
        <v>8850200</v>
      </c>
    </row>
    <row r="19223" spans="1:2" x14ac:dyDescent="0.4">
      <c r="A19223" s="4">
        <v>505200100</v>
      </c>
      <c r="B19223">
        <v>8850300</v>
      </c>
    </row>
    <row r="19224" spans="1:2" x14ac:dyDescent="0.4">
      <c r="A19224" s="4">
        <v>505200100</v>
      </c>
      <c r="B19224">
        <v>8850400</v>
      </c>
    </row>
    <row r="19225" spans="1:2" x14ac:dyDescent="0.4">
      <c r="A19225" s="4">
        <v>505200100</v>
      </c>
      <c r="B19225">
        <v>8850500</v>
      </c>
    </row>
    <row r="19226" spans="1:2" x14ac:dyDescent="0.4">
      <c r="A19226" s="4">
        <v>505200100</v>
      </c>
      <c r="B19226">
        <v>8850600</v>
      </c>
    </row>
    <row r="19227" spans="1:2" x14ac:dyDescent="0.4">
      <c r="A19227" s="4">
        <v>505200100</v>
      </c>
      <c r="B19227">
        <v>8850700</v>
      </c>
    </row>
    <row r="19228" spans="1:2" x14ac:dyDescent="0.4">
      <c r="A19228" s="4">
        <v>505200100</v>
      </c>
      <c r="B19228">
        <v>8850800</v>
      </c>
    </row>
    <row r="19229" spans="1:2" x14ac:dyDescent="0.4">
      <c r="A19229" s="4">
        <v>505200100</v>
      </c>
      <c r="B19229">
        <v>8850900</v>
      </c>
    </row>
    <row r="19230" spans="1:2" x14ac:dyDescent="0.4">
      <c r="A19230" s="4">
        <v>505200100</v>
      </c>
      <c r="B19230">
        <v>8851000</v>
      </c>
    </row>
    <row r="19231" spans="1:2" x14ac:dyDescent="0.4">
      <c r="A19231" s="4">
        <v>505200100</v>
      </c>
      <c r="B19231">
        <v>8851100</v>
      </c>
    </row>
    <row r="19232" spans="1:2" x14ac:dyDescent="0.4">
      <c r="A19232" s="4">
        <v>505200100</v>
      </c>
      <c r="B19232">
        <v>8851200</v>
      </c>
    </row>
    <row r="19233" spans="1:2" x14ac:dyDescent="0.4">
      <c r="A19233" s="4">
        <v>505200100</v>
      </c>
      <c r="B19233">
        <v>8851300</v>
      </c>
    </row>
    <row r="19234" spans="1:2" x14ac:dyDescent="0.4">
      <c r="A19234" s="4">
        <v>505200100</v>
      </c>
      <c r="B19234">
        <v>8851800</v>
      </c>
    </row>
    <row r="19235" spans="1:2" x14ac:dyDescent="0.4">
      <c r="A19235" s="4">
        <v>505200100</v>
      </c>
      <c r="B19235">
        <v>8851900</v>
      </c>
    </row>
    <row r="19236" spans="1:2" x14ac:dyDescent="0.4">
      <c r="A19236" s="4">
        <v>505200100</v>
      </c>
      <c r="B19236">
        <v>8852000</v>
      </c>
    </row>
    <row r="19237" spans="1:2" x14ac:dyDescent="0.4">
      <c r="A19237" s="4">
        <v>505200100</v>
      </c>
      <c r="B19237">
        <v>8320500</v>
      </c>
    </row>
    <row r="19238" spans="1:2" x14ac:dyDescent="0.4">
      <c r="A19238" s="4">
        <v>505200100</v>
      </c>
      <c r="B19238">
        <v>8320510</v>
      </c>
    </row>
    <row r="19239" spans="1:2" x14ac:dyDescent="0.4">
      <c r="A19239" s="4">
        <v>505200100</v>
      </c>
      <c r="B19239">
        <v>8320520</v>
      </c>
    </row>
    <row r="19240" spans="1:2" x14ac:dyDescent="0.4">
      <c r="A19240" s="4">
        <v>505200100</v>
      </c>
      <c r="B19240">
        <v>8320600</v>
      </c>
    </row>
    <row r="19241" spans="1:2" x14ac:dyDescent="0.4">
      <c r="A19241" s="4">
        <v>505200100</v>
      </c>
      <c r="B19241">
        <v>8320610</v>
      </c>
    </row>
    <row r="19242" spans="1:2" x14ac:dyDescent="0.4">
      <c r="A19242" s="4">
        <v>505200100</v>
      </c>
      <c r="B19242">
        <v>8320620</v>
      </c>
    </row>
    <row r="19243" spans="1:2" x14ac:dyDescent="0.4">
      <c r="A19243" s="4">
        <v>505200100</v>
      </c>
      <c r="B19243">
        <v>8320700</v>
      </c>
    </row>
    <row r="19244" spans="1:2" x14ac:dyDescent="0.4">
      <c r="A19244" s="4">
        <v>505200100</v>
      </c>
      <c r="B19244">
        <v>8320710</v>
      </c>
    </row>
    <row r="19245" spans="1:2" x14ac:dyDescent="0.4">
      <c r="A19245" s="4">
        <v>505200100</v>
      </c>
      <c r="B19245">
        <v>8320720</v>
      </c>
    </row>
    <row r="19246" spans="1:2" x14ac:dyDescent="0.4">
      <c r="A19246" s="4">
        <v>505200200</v>
      </c>
      <c r="B19246">
        <v>0</v>
      </c>
    </row>
    <row r="19247" spans="1:2" x14ac:dyDescent="0.4">
      <c r="A19247" s="4">
        <v>505200200</v>
      </c>
      <c r="B19247">
        <v>8100100</v>
      </c>
    </row>
    <row r="19248" spans="1:2" x14ac:dyDescent="0.4">
      <c r="A19248" s="4">
        <v>505200200</v>
      </c>
      <c r="B19248">
        <v>8100101</v>
      </c>
    </row>
    <row r="19249" spans="1:2" x14ac:dyDescent="0.4">
      <c r="A19249" s="4">
        <v>505200200</v>
      </c>
      <c r="B19249">
        <v>8100102</v>
      </c>
    </row>
    <row r="19250" spans="1:2" x14ac:dyDescent="0.4">
      <c r="A19250" s="4">
        <v>505200200</v>
      </c>
      <c r="B19250">
        <v>8100200</v>
      </c>
    </row>
    <row r="19251" spans="1:2" x14ac:dyDescent="0.4">
      <c r="A19251" s="4">
        <v>505200200</v>
      </c>
      <c r="B19251">
        <v>8100201</v>
      </c>
    </row>
    <row r="19252" spans="1:2" x14ac:dyDescent="0.4">
      <c r="A19252" s="4">
        <v>505200200</v>
      </c>
      <c r="B19252">
        <v>8100202</v>
      </c>
    </row>
    <row r="19253" spans="1:2" x14ac:dyDescent="0.4">
      <c r="A19253" s="4">
        <v>505200200</v>
      </c>
      <c r="B19253">
        <v>8100300</v>
      </c>
    </row>
    <row r="19254" spans="1:2" x14ac:dyDescent="0.4">
      <c r="A19254" s="4">
        <v>505200200</v>
      </c>
      <c r="B19254">
        <v>8100301</v>
      </c>
    </row>
    <row r="19255" spans="1:2" x14ac:dyDescent="0.4">
      <c r="A19255" s="4">
        <v>505200200</v>
      </c>
      <c r="B19255">
        <v>8100302</v>
      </c>
    </row>
    <row r="19256" spans="1:2" x14ac:dyDescent="0.4">
      <c r="A19256" s="4">
        <v>505200200</v>
      </c>
      <c r="B19256">
        <v>8100400</v>
      </c>
    </row>
    <row r="19257" spans="1:2" x14ac:dyDescent="0.4">
      <c r="A19257" s="4">
        <v>505200200</v>
      </c>
      <c r="B19257">
        <v>8100401</v>
      </c>
    </row>
    <row r="19258" spans="1:2" x14ac:dyDescent="0.4">
      <c r="A19258" s="4">
        <v>505200200</v>
      </c>
      <c r="B19258">
        <v>8100402</v>
      </c>
    </row>
    <row r="19259" spans="1:2" x14ac:dyDescent="0.4">
      <c r="A19259" s="4">
        <v>505200200</v>
      </c>
      <c r="B19259">
        <v>8130000</v>
      </c>
    </row>
    <row r="19260" spans="1:2" x14ac:dyDescent="0.4">
      <c r="A19260" s="4">
        <v>505200200</v>
      </c>
      <c r="B19260">
        <v>8130001</v>
      </c>
    </row>
    <row r="19261" spans="1:2" x14ac:dyDescent="0.4">
      <c r="A19261" s="4">
        <v>505200200</v>
      </c>
      <c r="B19261">
        <v>8130002</v>
      </c>
    </row>
    <row r="19262" spans="1:2" x14ac:dyDescent="0.4">
      <c r="A19262" s="4">
        <v>505200200</v>
      </c>
      <c r="B19262">
        <v>8140000</v>
      </c>
    </row>
    <row r="19263" spans="1:2" x14ac:dyDescent="0.4">
      <c r="A19263" s="4">
        <v>505200200</v>
      </c>
      <c r="B19263">
        <v>8140001</v>
      </c>
    </row>
    <row r="19264" spans="1:2" x14ac:dyDescent="0.4">
      <c r="A19264" s="4">
        <v>505200200</v>
      </c>
      <c r="B19264">
        <v>8140002</v>
      </c>
    </row>
    <row r="19265" spans="1:2" x14ac:dyDescent="0.4">
      <c r="A19265" s="4">
        <v>505200200</v>
      </c>
      <c r="B19265">
        <v>8200100</v>
      </c>
    </row>
    <row r="19266" spans="1:2" x14ac:dyDescent="0.4">
      <c r="A19266" s="4">
        <v>505200200</v>
      </c>
      <c r="B19266">
        <v>8200101</v>
      </c>
    </row>
    <row r="19267" spans="1:2" x14ac:dyDescent="0.4">
      <c r="A19267" s="4">
        <v>505200200</v>
      </c>
      <c r="B19267">
        <v>8200102</v>
      </c>
    </row>
    <row r="19268" spans="1:2" x14ac:dyDescent="0.4">
      <c r="A19268" s="4">
        <v>505200200</v>
      </c>
      <c r="B19268">
        <v>8200200</v>
      </c>
    </row>
    <row r="19269" spans="1:2" x14ac:dyDescent="0.4">
      <c r="A19269" s="4">
        <v>505200200</v>
      </c>
      <c r="B19269">
        <v>8200201</v>
      </c>
    </row>
    <row r="19270" spans="1:2" x14ac:dyDescent="0.4">
      <c r="A19270" s="4">
        <v>505200200</v>
      </c>
      <c r="B19270">
        <v>8200202</v>
      </c>
    </row>
    <row r="19271" spans="1:2" x14ac:dyDescent="0.4">
      <c r="A19271" s="4">
        <v>505200200</v>
      </c>
      <c r="B19271">
        <v>8200300</v>
      </c>
    </row>
    <row r="19272" spans="1:2" x14ac:dyDescent="0.4">
      <c r="A19272" s="4">
        <v>505200200</v>
      </c>
      <c r="B19272">
        <v>8200301</v>
      </c>
    </row>
    <row r="19273" spans="1:2" x14ac:dyDescent="0.4">
      <c r="A19273" s="4">
        <v>505200200</v>
      </c>
      <c r="B19273">
        <v>8200302</v>
      </c>
    </row>
    <row r="19274" spans="1:2" x14ac:dyDescent="0.4">
      <c r="A19274" s="4">
        <v>505200200</v>
      </c>
      <c r="B19274">
        <v>8200400</v>
      </c>
    </row>
    <row r="19275" spans="1:2" x14ac:dyDescent="0.4">
      <c r="A19275" s="4">
        <v>505200200</v>
      </c>
      <c r="B19275">
        <v>8200401</v>
      </c>
    </row>
    <row r="19276" spans="1:2" x14ac:dyDescent="0.4">
      <c r="A19276" s="4">
        <v>505200200</v>
      </c>
      <c r="B19276">
        <v>8200402</v>
      </c>
    </row>
    <row r="19277" spans="1:2" x14ac:dyDescent="0.4">
      <c r="A19277" s="4">
        <v>505200200</v>
      </c>
      <c r="B19277">
        <v>8210000</v>
      </c>
    </row>
    <row r="19278" spans="1:2" x14ac:dyDescent="0.4">
      <c r="A19278" s="4">
        <v>505200200</v>
      </c>
      <c r="B19278">
        <v>8210001</v>
      </c>
    </row>
    <row r="19279" spans="1:2" x14ac:dyDescent="0.4">
      <c r="A19279" s="4">
        <v>505200200</v>
      </c>
      <c r="B19279">
        <v>8210002</v>
      </c>
    </row>
    <row r="19280" spans="1:2" x14ac:dyDescent="0.4">
      <c r="A19280" s="4">
        <v>505200200</v>
      </c>
      <c r="B19280">
        <v>8210100</v>
      </c>
    </row>
    <row r="19281" spans="1:2" x14ac:dyDescent="0.4">
      <c r="A19281" s="4">
        <v>505200200</v>
      </c>
      <c r="B19281">
        <v>8210101</v>
      </c>
    </row>
    <row r="19282" spans="1:2" x14ac:dyDescent="0.4">
      <c r="A19282" s="4">
        <v>505200200</v>
      </c>
      <c r="B19282">
        <v>8210102</v>
      </c>
    </row>
    <row r="19283" spans="1:2" x14ac:dyDescent="0.4">
      <c r="A19283" s="4">
        <v>505200200</v>
      </c>
      <c r="B19283">
        <v>8210200</v>
      </c>
    </row>
    <row r="19284" spans="1:2" x14ac:dyDescent="0.4">
      <c r="A19284" s="4">
        <v>505200200</v>
      </c>
      <c r="B19284">
        <v>8210201</v>
      </c>
    </row>
    <row r="19285" spans="1:2" x14ac:dyDescent="0.4">
      <c r="A19285" s="4">
        <v>505200200</v>
      </c>
      <c r="B19285">
        <v>8210202</v>
      </c>
    </row>
    <row r="19286" spans="1:2" x14ac:dyDescent="0.4">
      <c r="A19286" s="4">
        <v>505200200</v>
      </c>
      <c r="B19286">
        <v>8210300</v>
      </c>
    </row>
    <row r="19287" spans="1:2" x14ac:dyDescent="0.4">
      <c r="A19287" s="4">
        <v>505200200</v>
      </c>
      <c r="B19287">
        <v>8210301</v>
      </c>
    </row>
    <row r="19288" spans="1:2" x14ac:dyDescent="0.4">
      <c r="A19288" s="4">
        <v>505200200</v>
      </c>
      <c r="B19288">
        <v>8210302</v>
      </c>
    </row>
    <row r="19289" spans="1:2" x14ac:dyDescent="0.4">
      <c r="A19289" s="4">
        <v>505200200</v>
      </c>
      <c r="B19289">
        <v>8210400</v>
      </c>
    </row>
    <row r="19290" spans="1:2" x14ac:dyDescent="0.4">
      <c r="A19290" s="4">
        <v>505200200</v>
      </c>
      <c r="B19290">
        <v>8210401</v>
      </c>
    </row>
    <row r="19291" spans="1:2" x14ac:dyDescent="0.4">
      <c r="A19291" s="4">
        <v>505200200</v>
      </c>
      <c r="B19291">
        <v>8210402</v>
      </c>
    </row>
    <row r="19292" spans="1:2" x14ac:dyDescent="0.4">
      <c r="A19292" s="4">
        <v>505200200</v>
      </c>
      <c r="B19292">
        <v>8210500</v>
      </c>
    </row>
    <row r="19293" spans="1:2" x14ac:dyDescent="0.4">
      <c r="A19293" s="4">
        <v>505200200</v>
      </c>
      <c r="B19293">
        <v>8210501</v>
      </c>
    </row>
    <row r="19294" spans="1:2" x14ac:dyDescent="0.4">
      <c r="A19294" s="4">
        <v>505200200</v>
      </c>
      <c r="B19294">
        <v>8210502</v>
      </c>
    </row>
    <row r="19295" spans="1:2" x14ac:dyDescent="0.4">
      <c r="A19295" s="4">
        <v>505200200</v>
      </c>
      <c r="B19295">
        <v>8210600</v>
      </c>
    </row>
    <row r="19296" spans="1:2" x14ac:dyDescent="0.4">
      <c r="A19296" s="4">
        <v>505200200</v>
      </c>
      <c r="B19296">
        <v>8210601</v>
      </c>
    </row>
    <row r="19297" spans="1:2" x14ac:dyDescent="0.4">
      <c r="A19297" s="4">
        <v>505200200</v>
      </c>
      <c r="B19297">
        <v>8210602</v>
      </c>
    </row>
    <row r="19298" spans="1:2" x14ac:dyDescent="0.4">
      <c r="A19298" s="4">
        <v>505200200</v>
      </c>
      <c r="B19298">
        <v>8220000</v>
      </c>
    </row>
    <row r="19299" spans="1:2" x14ac:dyDescent="0.4">
      <c r="A19299" s="4">
        <v>505200200</v>
      </c>
      <c r="B19299">
        <v>8220001</v>
      </c>
    </row>
    <row r="19300" spans="1:2" x14ac:dyDescent="0.4">
      <c r="A19300" s="4">
        <v>505200200</v>
      </c>
      <c r="B19300">
        <v>8220002</v>
      </c>
    </row>
    <row r="19301" spans="1:2" x14ac:dyDescent="0.4">
      <c r="A19301" s="4">
        <v>505200200</v>
      </c>
      <c r="B19301">
        <v>8300000</v>
      </c>
    </row>
    <row r="19302" spans="1:2" x14ac:dyDescent="0.4">
      <c r="A19302" s="4">
        <v>505200200</v>
      </c>
      <c r="B19302">
        <v>8300001</v>
      </c>
    </row>
    <row r="19303" spans="1:2" x14ac:dyDescent="0.4">
      <c r="A19303" s="4">
        <v>505200200</v>
      </c>
      <c r="B19303">
        <v>8300002</v>
      </c>
    </row>
    <row r="19304" spans="1:2" x14ac:dyDescent="0.4">
      <c r="A19304" s="4">
        <v>505200200</v>
      </c>
      <c r="B19304">
        <v>8310000</v>
      </c>
    </row>
    <row r="19305" spans="1:2" x14ac:dyDescent="0.4">
      <c r="A19305" s="4">
        <v>505200200</v>
      </c>
      <c r="B19305">
        <v>8310001</v>
      </c>
    </row>
    <row r="19306" spans="1:2" x14ac:dyDescent="0.4">
      <c r="A19306" s="4">
        <v>505200200</v>
      </c>
      <c r="B19306">
        <v>8310002</v>
      </c>
    </row>
    <row r="19307" spans="1:2" x14ac:dyDescent="0.4">
      <c r="A19307" s="4">
        <v>505200200</v>
      </c>
      <c r="B19307">
        <v>8320000</v>
      </c>
    </row>
    <row r="19308" spans="1:2" x14ac:dyDescent="0.4">
      <c r="A19308" s="4">
        <v>505200200</v>
      </c>
      <c r="B19308">
        <v>8320001</v>
      </c>
    </row>
    <row r="19309" spans="1:2" x14ac:dyDescent="0.4">
      <c r="A19309" s="4">
        <v>505200200</v>
      </c>
      <c r="B19309">
        <v>8320002</v>
      </c>
    </row>
    <row r="19310" spans="1:2" x14ac:dyDescent="0.4">
      <c r="A19310" s="4">
        <v>505200200</v>
      </c>
      <c r="B19310">
        <v>8320100</v>
      </c>
    </row>
    <row r="19311" spans="1:2" x14ac:dyDescent="0.4">
      <c r="A19311" s="4">
        <v>505200200</v>
      </c>
      <c r="B19311">
        <v>8320101</v>
      </c>
    </row>
    <row r="19312" spans="1:2" x14ac:dyDescent="0.4">
      <c r="A19312" s="4">
        <v>505200200</v>
      </c>
      <c r="B19312">
        <v>8320102</v>
      </c>
    </row>
    <row r="19313" spans="1:2" x14ac:dyDescent="0.4">
      <c r="A19313" s="4">
        <v>505200200</v>
      </c>
      <c r="B19313">
        <v>8320300</v>
      </c>
    </row>
    <row r="19314" spans="1:2" x14ac:dyDescent="0.4">
      <c r="A19314" s="4">
        <v>505200200</v>
      </c>
      <c r="B19314">
        <v>8320301</v>
      </c>
    </row>
    <row r="19315" spans="1:2" x14ac:dyDescent="0.4">
      <c r="A19315" s="4">
        <v>505200200</v>
      </c>
      <c r="B19315">
        <v>8320302</v>
      </c>
    </row>
    <row r="19316" spans="1:2" x14ac:dyDescent="0.4">
      <c r="A19316" s="4">
        <v>505200200</v>
      </c>
      <c r="B19316">
        <v>8320400</v>
      </c>
    </row>
    <row r="19317" spans="1:2" x14ac:dyDescent="0.4">
      <c r="A19317" s="4">
        <v>505200200</v>
      </c>
      <c r="B19317">
        <v>8320410</v>
      </c>
    </row>
    <row r="19318" spans="1:2" x14ac:dyDescent="0.4">
      <c r="A19318" s="4">
        <v>505200200</v>
      </c>
      <c r="B19318">
        <v>8320420</v>
      </c>
    </row>
    <row r="19319" spans="1:2" x14ac:dyDescent="0.4">
      <c r="A19319" s="4">
        <v>505200200</v>
      </c>
      <c r="B19319">
        <v>8330000</v>
      </c>
    </row>
    <row r="19320" spans="1:2" x14ac:dyDescent="0.4">
      <c r="A19320" s="4">
        <v>505200200</v>
      </c>
      <c r="B19320">
        <v>8330001</v>
      </c>
    </row>
    <row r="19321" spans="1:2" x14ac:dyDescent="0.4">
      <c r="A19321" s="4">
        <v>505200200</v>
      </c>
      <c r="B19321">
        <v>8330002</v>
      </c>
    </row>
    <row r="19322" spans="1:2" x14ac:dyDescent="0.4">
      <c r="A19322" s="4">
        <v>505200200</v>
      </c>
      <c r="B19322">
        <v>8330100</v>
      </c>
    </row>
    <row r="19323" spans="1:2" x14ac:dyDescent="0.4">
      <c r="A19323" s="4">
        <v>505200200</v>
      </c>
      <c r="B19323">
        <v>8330101</v>
      </c>
    </row>
    <row r="19324" spans="1:2" x14ac:dyDescent="0.4">
      <c r="A19324" s="4">
        <v>505200200</v>
      </c>
      <c r="B19324">
        <v>8330102</v>
      </c>
    </row>
    <row r="19325" spans="1:2" x14ac:dyDescent="0.4">
      <c r="A19325" s="4">
        <v>505200200</v>
      </c>
      <c r="B19325">
        <v>8330200</v>
      </c>
    </row>
    <row r="19326" spans="1:2" x14ac:dyDescent="0.4">
      <c r="A19326" s="4">
        <v>505200200</v>
      </c>
      <c r="B19326">
        <v>8330201</v>
      </c>
    </row>
    <row r="19327" spans="1:2" x14ac:dyDescent="0.4">
      <c r="A19327" s="4">
        <v>505200200</v>
      </c>
      <c r="B19327">
        <v>8330202</v>
      </c>
    </row>
    <row r="19328" spans="1:2" x14ac:dyDescent="0.4">
      <c r="A19328" s="4">
        <v>505200200</v>
      </c>
      <c r="B19328">
        <v>8330300</v>
      </c>
    </row>
    <row r="19329" spans="1:2" x14ac:dyDescent="0.4">
      <c r="A19329" s="4">
        <v>505200200</v>
      </c>
      <c r="B19329">
        <v>8330301</v>
      </c>
    </row>
    <row r="19330" spans="1:2" x14ac:dyDescent="0.4">
      <c r="A19330" s="4">
        <v>505200200</v>
      </c>
      <c r="B19330">
        <v>8330302</v>
      </c>
    </row>
    <row r="19331" spans="1:2" x14ac:dyDescent="0.4">
      <c r="A19331" s="4">
        <v>505200200</v>
      </c>
      <c r="B19331">
        <v>8330400</v>
      </c>
    </row>
    <row r="19332" spans="1:2" x14ac:dyDescent="0.4">
      <c r="A19332" s="4">
        <v>505200200</v>
      </c>
      <c r="B19332">
        <v>8330401</v>
      </c>
    </row>
    <row r="19333" spans="1:2" x14ac:dyDescent="0.4">
      <c r="A19333" s="4">
        <v>505200200</v>
      </c>
      <c r="B19333">
        <v>8330600</v>
      </c>
    </row>
    <row r="19334" spans="1:2" x14ac:dyDescent="0.4">
      <c r="A19334" s="4">
        <v>505200200</v>
      </c>
      <c r="B19334">
        <v>8330601</v>
      </c>
    </row>
    <row r="19335" spans="1:2" x14ac:dyDescent="0.4">
      <c r="A19335" s="4">
        <v>505200200</v>
      </c>
      <c r="B19335">
        <v>8330602</v>
      </c>
    </row>
    <row r="19336" spans="1:2" x14ac:dyDescent="0.4">
      <c r="A19336" s="4">
        <v>505200200</v>
      </c>
      <c r="B19336">
        <v>8330900</v>
      </c>
    </row>
    <row r="19337" spans="1:2" x14ac:dyDescent="0.4">
      <c r="A19337" s="4">
        <v>505200200</v>
      </c>
      <c r="B19337">
        <v>8330910</v>
      </c>
    </row>
    <row r="19338" spans="1:2" x14ac:dyDescent="0.4">
      <c r="A19338" s="4">
        <v>505200200</v>
      </c>
      <c r="B19338">
        <v>8330920</v>
      </c>
    </row>
    <row r="19339" spans="1:2" x14ac:dyDescent="0.4">
      <c r="A19339" s="4">
        <v>505200200</v>
      </c>
      <c r="B19339">
        <v>8340000</v>
      </c>
    </row>
    <row r="19340" spans="1:2" x14ac:dyDescent="0.4">
      <c r="A19340" s="4">
        <v>505200200</v>
      </c>
      <c r="B19340">
        <v>8340001</v>
      </c>
    </row>
    <row r="19341" spans="1:2" x14ac:dyDescent="0.4">
      <c r="A19341" s="4">
        <v>505200200</v>
      </c>
      <c r="B19341">
        <v>8340002</v>
      </c>
    </row>
    <row r="19342" spans="1:2" x14ac:dyDescent="0.4">
      <c r="A19342" s="4">
        <v>505200200</v>
      </c>
      <c r="B19342">
        <v>8340100</v>
      </c>
    </row>
    <row r="19343" spans="1:2" x14ac:dyDescent="0.4">
      <c r="A19343" s="4">
        <v>505200200</v>
      </c>
      <c r="B19343">
        <v>8340101</v>
      </c>
    </row>
    <row r="19344" spans="1:2" x14ac:dyDescent="0.4">
      <c r="A19344" s="4">
        <v>505200200</v>
      </c>
      <c r="B19344">
        <v>8340102</v>
      </c>
    </row>
    <row r="19345" spans="1:2" x14ac:dyDescent="0.4">
      <c r="A19345" s="4">
        <v>505200200</v>
      </c>
      <c r="B19345">
        <v>8350000</v>
      </c>
    </row>
    <row r="19346" spans="1:2" x14ac:dyDescent="0.4">
      <c r="A19346" s="4">
        <v>505200200</v>
      </c>
      <c r="B19346">
        <v>8350001</v>
      </c>
    </row>
    <row r="19347" spans="1:2" x14ac:dyDescent="0.4">
      <c r="A19347" s="4">
        <v>505200200</v>
      </c>
      <c r="B19347">
        <v>8350002</v>
      </c>
    </row>
    <row r="19348" spans="1:2" x14ac:dyDescent="0.4">
      <c r="A19348" s="4">
        <v>505200200</v>
      </c>
      <c r="B19348">
        <v>8350200</v>
      </c>
    </row>
    <row r="19349" spans="1:2" x14ac:dyDescent="0.4">
      <c r="A19349" s="4">
        <v>505200200</v>
      </c>
      <c r="B19349">
        <v>8350201</v>
      </c>
    </row>
    <row r="19350" spans="1:2" x14ac:dyDescent="0.4">
      <c r="A19350" s="4">
        <v>505200200</v>
      </c>
      <c r="B19350">
        <v>8350202</v>
      </c>
    </row>
    <row r="19351" spans="1:2" x14ac:dyDescent="0.4">
      <c r="A19351" s="4">
        <v>505200200</v>
      </c>
      <c r="B19351">
        <v>8420000</v>
      </c>
    </row>
    <row r="19352" spans="1:2" x14ac:dyDescent="0.4">
      <c r="A19352" s="4">
        <v>505200200</v>
      </c>
      <c r="B19352">
        <v>8420001</v>
      </c>
    </row>
    <row r="19353" spans="1:2" x14ac:dyDescent="0.4">
      <c r="A19353" s="4">
        <v>505200200</v>
      </c>
      <c r="B19353">
        <v>8420002</v>
      </c>
    </row>
    <row r="19354" spans="1:2" x14ac:dyDescent="0.4">
      <c r="A19354" s="4">
        <v>505200200</v>
      </c>
      <c r="B19354">
        <v>8450000</v>
      </c>
    </row>
    <row r="19355" spans="1:2" x14ac:dyDescent="0.4">
      <c r="A19355" s="4">
        <v>505200200</v>
      </c>
      <c r="B19355">
        <v>8460100</v>
      </c>
    </row>
    <row r="19356" spans="1:2" x14ac:dyDescent="0.4">
      <c r="A19356" s="4">
        <v>505200200</v>
      </c>
      <c r="B19356">
        <v>8460300</v>
      </c>
    </row>
    <row r="19357" spans="1:2" x14ac:dyDescent="0.4">
      <c r="A19357" s="4">
        <v>505200200</v>
      </c>
      <c r="B19357">
        <v>8460500</v>
      </c>
    </row>
    <row r="19358" spans="1:2" x14ac:dyDescent="0.4">
      <c r="A19358" s="4">
        <v>505200200</v>
      </c>
      <c r="B19358">
        <v>8510000</v>
      </c>
    </row>
    <row r="19359" spans="1:2" x14ac:dyDescent="0.4">
      <c r="A19359" s="4">
        <v>505200200</v>
      </c>
      <c r="B19359">
        <v>8510001</v>
      </c>
    </row>
    <row r="19360" spans="1:2" x14ac:dyDescent="0.4">
      <c r="A19360" s="4">
        <v>505200200</v>
      </c>
      <c r="B19360">
        <v>8510002</v>
      </c>
    </row>
    <row r="19361" spans="1:2" x14ac:dyDescent="0.4">
      <c r="A19361" s="4">
        <v>505200200</v>
      </c>
      <c r="B19361">
        <v>8520000</v>
      </c>
    </row>
    <row r="19362" spans="1:2" x14ac:dyDescent="0.4">
      <c r="A19362" s="4">
        <v>505200200</v>
      </c>
      <c r="B19362">
        <v>8520001</v>
      </c>
    </row>
    <row r="19363" spans="1:2" x14ac:dyDescent="0.4">
      <c r="A19363" s="4">
        <v>505200200</v>
      </c>
      <c r="B19363">
        <v>8520002</v>
      </c>
    </row>
    <row r="19364" spans="1:2" x14ac:dyDescent="0.4">
      <c r="A19364" s="4">
        <v>505200200</v>
      </c>
      <c r="B19364">
        <v>8530000</v>
      </c>
    </row>
    <row r="19365" spans="1:2" x14ac:dyDescent="0.4">
      <c r="A19365" s="4">
        <v>505200200</v>
      </c>
      <c r="B19365">
        <v>8530100</v>
      </c>
    </row>
    <row r="19366" spans="1:2" x14ac:dyDescent="0.4">
      <c r="A19366" s="4">
        <v>505200200</v>
      </c>
      <c r="B19366">
        <v>8540000</v>
      </c>
    </row>
    <row r="19367" spans="1:2" x14ac:dyDescent="0.4">
      <c r="A19367" s="4">
        <v>505200200</v>
      </c>
      <c r="B19367">
        <v>8600100</v>
      </c>
    </row>
    <row r="19368" spans="1:2" x14ac:dyDescent="0.4">
      <c r="A19368" s="4">
        <v>505200200</v>
      </c>
      <c r="B19368">
        <v>8600101</v>
      </c>
    </row>
    <row r="19369" spans="1:2" x14ac:dyDescent="0.4">
      <c r="A19369" s="4">
        <v>505200200</v>
      </c>
      <c r="B19369">
        <v>8600102</v>
      </c>
    </row>
    <row r="19370" spans="1:2" x14ac:dyDescent="0.4">
      <c r="A19370" s="4">
        <v>505200200</v>
      </c>
      <c r="B19370">
        <v>8600200</v>
      </c>
    </row>
    <row r="19371" spans="1:2" x14ac:dyDescent="0.4">
      <c r="A19371" s="4">
        <v>505200200</v>
      </c>
      <c r="B19371">
        <v>8600201</v>
      </c>
    </row>
    <row r="19372" spans="1:2" x14ac:dyDescent="0.4">
      <c r="A19372" s="4">
        <v>505200200</v>
      </c>
      <c r="B19372">
        <v>8600202</v>
      </c>
    </row>
    <row r="19373" spans="1:2" x14ac:dyDescent="0.4">
      <c r="A19373" s="4">
        <v>505200200</v>
      </c>
      <c r="B19373">
        <v>8610300</v>
      </c>
    </row>
    <row r="19374" spans="1:2" x14ac:dyDescent="0.4">
      <c r="A19374" s="4">
        <v>505200200</v>
      </c>
      <c r="B19374">
        <v>8610400</v>
      </c>
    </row>
    <row r="19375" spans="1:2" x14ac:dyDescent="0.4">
      <c r="A19375" s="4">
        <v>505200200</v>
      </c>
      <c r="B19375">
        <v>8610500</v>
      </c>
    </row>
    <row r="19376" spans="1:2" x14ac:dyDescent="0.4">
      <c r="A19376" s="4">
        <v>505200200</v>
      </c>
      <c r="B19376">
        <v>8610600</v>
      </c>
    </row>
    <row r="19377" spans="1:2" x14ac:dyDescent="0.4">
      <c r="A19377" s="4">
        <v>505200200</v>
      </c>
      <c r="B19377">
        <v>8610700</v>
      </c>
    </row>
    <row r="19378" spans="1:2" x14ac:dyDescent="0.4">
      <c r="A19378" s="4">
        <v>505200200</v>
      </c>
      <c r="B19378">
        <v>8610710</v>
      </c>
    </row>
    <row r="19379" spans="1:2" x14ac:dyDescent="0.4">
      <c r="A19379" s="4">
        <v>505200200</v>
      </c>
      <c r="B19379">
        <v>8610720</v>
      </c>
    </row>
    <row r="19380" spans="1:2" x14ac:dyDescent="0.4">
      <c r="A19380" s="4">
        <v>505200200</v>
      </c>
      <c r="B19380">
        <v>8620000</v>
      </c>
    </row>
    <row r="19381" spans="1:2" x14ac:dyDescent="0.4">
      <c r="A19381" s="4">
        <v>505200200</v>
      </c>
      <c r="B19381">
        <v>8620010</v>
      </c>
    </row>
    <row r="19382" spans="1:2" x14ac:dyDescent="0.4">
      <c r="A19382" s="4">
        <v>505200200</v>
      </c>
      <c r="B19382">
        <v>8620020</v>
      </c>
    </row>
    <row r="19383" spans="1:2" x14ac:dyDescent="0.4">
      <c r="A19383" s="4">
        <v>505200200</v>
      </c>
      <c r="B19383">
        <v>8620100</v>
      </c>
    </row>
    <row r="19384" spans="1:2" x14ac:dyDescent="0.4">
      <c r="A19384" s="4">
        <v>505200200</v>
      </c>
      <c r="B19384">
        <v>8620110</v>
      </c>
    </row>
    <row r="19385" spans="1:2" x14ac:dyDescent="0.4">
      <c r="A19385" s="4">
        <v>505200200</v>
      </c>
      <c r="B19385">
        <v>8620120</v>
      </c>
    </row>
    <row r="19386" spans="1:2" x14ac:dyDescent="0.4">
      <c r="A19386" s="4">
        <v>505200200</v>
      </c>
      <c r="B19386">
        <v>8630000</v>
      </c>
    </row>
    <row r="19387" spans="1:2" x14ac:dyDescent="0.4">
      <c r="A19387" s="4">
        <v>505200200</v>
      </c>
      <c r="B19387">
        <v>8630000</v>
      </c>
    </row>
    <row r="19388" spans="1:2" x14ac:dyDescent="0.4">
      <c r="A19388" s="4">
        <v>505200200</v>
      </c>
      <c r="B19388">
        <v>8630000</v>
      </c>
    </row>
    <row r="19389" spans="1:2" x14ac:dyDescent="0.4">
      <c r="A19389" s="4">
        <v>505200200</v>
      </c>
      <c r="B19389">
        <v>8630100</v>
      </c>
    </row>
    <row r="19390" spans="1:2" x14ac:dyDescent="0.4">
      <c r="A19390" s="4">
        <v>505200200</v>
      </c>
      <c r="B19390">
        <v>8630100</v>
      </c>
    </row>
    <row r="19391" spans="1:2" x14ac:dyDescent="0.4">
      <c r="A19391" s="4">
        <v>505200200</v>
      </c>
      <c r="B19391">
        <v>8630100</v>
      </c>
    </row>
    <row r="19392" spans="1:2" x14ac:dyDescent="0.4">
      <c r="A19392" s="4">
        <v>505200200</v>
      </c>
      <c r="B19392">
        <v>8630200</v>
      </c>
    </row>
    <row r="19393" spans="1:2" x14ac:dyDescent="0.4">
      <c r="A19393" s="4">
        <v>505200200</v>
      </c>
      <c r="B19393">
        <v>8630300</v>
      </c>
    </row>
    <row r="19394" spans="1:2" x14ac:dyDescent="0.4">
      <c r="A19394" s="4">
        <v>505200200</v>
      </c>
      <c r="B19394">
        <v>8630400</v>
      </c>
    </row>
    <row r="19395" spans="1:2" x14ac:dyDescent="0.4">
      <c r="A19395" s="4">
        <v>505200200</v>
      </c>
      <c r="B19395">
        <v>8630500</v>
      </c>
    </row>
    <row r="19396" spans="1:2" x14ac:dyDescent="0.4">
      <c r="A19396" s="4">
        <v>505200200</v>
      </c>
      <c r="B19396">
        <v>8630600</v>
      </c>
    </row>
    <row r="19397" spans="1:2" x14ac:dyDescent="0.4">
      <c r="A19397" s="4">
        <v>505200200</v>
      </c>
      <c r="B19397">
        <v>8630700</v>
      </c>
    </row>
    <row r="19398" spans="1:2" x14ac:dyDescent="0.4">
      <c r="A19398" s="4">
        <v>505200200</v>
      </c>
      <c r="B19398">
        <v>8630800</v>
      </c>
    </row>
    <row r="19399" spans="1:2" x14ac:dyDescent="0.4">
      <c r="A19399" s="4">
        <v>505200200</v>
      </c>
      <c r="B19399">
        <v>8652000</v>
      </c>
    </row>
    <row r="19400" spans="1:2" x14ac:dyDescent="0.4">
      <c r="A19400" s="4">
        <v>505200200</v>
      </c>
      <c r="B19400">
        <v>8652010</v>
      </c>
    </row>
    <row r="19401" spans="1:2" x14ac:dyDescent="0.4">
      <c r="A19401" s="4">
        <v>505200200</v>
      </c>
      <c r="B19401">
        <v>8652020</v>
      </c>
    </row>
    <row r="19402" spans="1:2" x14ac:dyDescent="0.4">
      <c r="A19402" s="4">
        <v>505200200</v>
      </c>
      <c r="B19402">
        <v>8652100</v>
      </c>
    </row>
    <row r="19403" spans="1:2" x14ac:dyDescent="0.4">
      <c r="A19403" s="4">
        <v>505200200</v>
      </c>
      <c r="B19403">
        <v>8652110</v>
      </c>
    </row>
    <row r="19404" spans="1:2" x14ac:dyDescent="0.4">
      <c r="A19404" s="4">
        <v>505200200</v>
      </c>
      <c r="B19404">
        <v>8652120</v>
      </c>
    </row>
    <row r="19405" spans="1:2" x14ac:dyDescent="0.4">
      <c r="A19405" s="4">
        <v>505200200</v>
      </c>
      <c r="B19405">
        <v>8660000</v>
      </c>
    </row>
    <row r="19406" spans="1:2" x14ac:dyDescent="0.4">
      <c r="A19406" s="4">
        <v>505200200</v>
      </c>
      <c r="B19406">
        <v>8660001</v>
      </c>
    </row>
    <row r="19407" spans="1:2" x14ac:dyDescent="0.4">
      <c r="A19407" s="4">
        <v>505200200</v>
      </c>
      <c r="B19407">
        <v>8660002</v>
      </c>
    </row>
    <row r="19408" spans="1:2" x14ac:dyDescent="0.4">
      <c r="A19408" s="4">
        <v>505200200</v>
      </c>
      <c r="B19408">
        <v>8660100</v>
      </c>
    </row>
    <row r="19409" spans="1:2" x14ac:dyDescent="0.4">
      <c r="A19409" s="4">
        <v>505200200</v>
      </c>
      <c r="B19409">
        <v>8660101</v>
      </c>
    </row>
    <row r="19410" spans="1:2" x14ac:dyDescent="0.4">
      <c r="A19410" s="4">
        <v>505200200</v>
      </c>
      <c r="B19410">
        <v>8660102</v>
      </c>
    </row>
    <row r="19411" spans="1:2" x14ac:dyDescent="0.4">
      <c r="A19411" s="4">
        <v>505200200</v>
      </c>
      <c r="B19411">
        <v>8670000</v>
      </c>
    </row>
    <row r="19412" spans="1:2" x14ac:dyDescent="0.4">
      <c r="A19412" s="4">
        <v>505200200</v>
      </c>
      <c r="B19412">
        <v>8670001</v>
      </c>
    </row>
    <row r="19413" spans="1:2" x14ac:dyDescent="0.4">
      <c r="A19413" s="4">
        <v>505200200</v>
      </c>
      <c r="B19413">
        <v>8670002</v>
      </c>
    </row>
    <row r="19414" spans="1:2" x14ac:dyDescent="0.4">
      <c r="A19414" s="4">
        <v>505200200</v>
      </c>
      <c r="B19414">
        <v>8670100</v>
      </c>
    </row>
    <row r="19415" spans="1:2" x14ac:dyDescent="0.4">
      <c r="A19415" s="4">
        <v>505200200</v>
      </c>
      <c r="B19415">
        <v>8670101</v>
      </c>
    </row>
    <row r="19416" spans="1:2" x14ac:dyDescent="0.4">
      <c r="A19416" s="4">
        <v>505200200</v>
      </c>
      <c r="B19416">
        <v>8670102</v>
      </c>
    </row>
    <row r="19417" spans="1:2" x14ac:dyDescent="0.4">
      <c r="A19417" s="4">
        <v>505200200</v>
      </c>
      <c r="B19417">
        <v>8690000</v>
      </c>
    </row>
    <row r="19418" spans="1:2" x14ac:dyDescent="0.4">
      <c r="A19418" s="4">
        <v>505200200</v>
      </c>
      <c r="B19418">
        <v>8690100</v>
      </c>
    </row>
    <row r="19419" spans="1:2" x14ac:dyDescent="0.4">
      <c r="A19419" s="4">
        <v>505200200</v>
      </c>
      <c r="B19419">
        <v>8690200</v>
      </c>
    </row>
    <row r="19420" spans="1:2" x14ac:dyDescent="0.4">
      <c r="A19420" s="4">
        <v>505200200</v>
      </c>
      <c r="B19420">
        <v>8690300</v>
      </c>
    </row>
    <row r="19421" spans="1:2" x14ac:dyDescent="0.4">
      <c r="A19421" s="4">
        <v>505200200</v>
      </c>
      <c r="B19421">
        <v>8690400</v>
      </c>
    </row>
    <row r="19422" spans="1:2" x14ac:dyDescent="0.4">
      <c r="A19422" s="4">
        <v>505200200</v>
      </c>
      <c r="B19422">
        <v>8850000</v>
      </c>
    </row>
    <row r="19423" spans="1:2" x14ac:dyDescent="0.4">
      <c r="A19423" s="4">
        <v>505200200</v>
      </c>
      <c r="B19423">
        <v>8850100</v>
      </c>
    </row>
    <row r="19424" spans="1:2" x14ac:dyDescent="0.4">
      <c r="A19424" s="4">
        <v>505200200</v>
      </c>
      <c r="B19424">
        <v>8850200</v>
      </c>
    </row>
    <row r="19425" spans="1:2" x14ac:dyDescent="0.4">
      <c r="A19425" s="4">
        <v>505200200</v>
      </c>
      <c r="B19425">
        <v>8850300</v>
      </c>
    </row>
    <row r="19426" spans="1:2" x14ac:dyDescent="0.4">
      <c r="A19426" s="4">
        <v>505200200</v>
      </c>
      <c r="B19426">
        <v>8850400</v>
      </c>
    </row>
    <row r="19427" spans="1:2" x14ac:dyDescent="0.4">
      <c r="A19427" s="4">
        <v>505200200</v>
      </c>
      <c r="B19427">
        <v>8850500</v>
      </c>
    </row>
    <row r="19428" spans="1:2" x14ac:dyDescent="0.4">
      <c r="A19428" s="4">
        <v>505200200</v>
      </c>
      <c r="B19428">
        <v>8850600</v>
      </c>
    </row>
    <row r="19429" spans="1:2" x14ac:dyDescent="0.4">
      <c r="A19429" s="4">
        <v>505200200</v>
      </c>
      <c r="B19429">
        <v>8850700</v>
      </c>
    </row>
    <row r="19430" spans="1:2" x14ac:dyDescent="0.4">
      <c r="A19430" s="4">
        <v>505200200</v>
      </c>
      <c r="B19430">
        <v>8850800</v>
      </c>
    </row>
    <row r="19431" spans="1:2" x14ac:dyDescent="0.4">
      <c r="A19431" s="4">
        <v>505200200</v>
      </c>
      <c r="B19431">
        <v>8850900</v>
      </c>
    </row>
    <row r="19432" spans="1:2" x14ac:dyDescent="0.4">
      <c r="A19432" s="4">
        <v>505200200</v>
      </c>
      <c r="B19432">
        <v>8851000</v>
      </c>
    </row>
    <row r="19433" spans="1:2" x14ac:dyDescent="0.4">
      <c r="A19433" s="4">
        <v>505200200</v>
      </c>
      <c r="B19433">
        <v>8851100</v>
      </c>
    </row>
    <row r="19434" spans="1:2" x14ac:dyDescent="0.4">
      <c r="A19434" s="4">
        <v>505200200</v>
      </c>
      <c r="B19434">
        <v>8851200</v>
      </c>
    </row>
    <row r="19435" spans="1:2" x14ac:dyDescent="0.4">
      <c r="A19435" s="4">
        <v>505200200</v>
      </c>
      <c r="B19435">
        <v>8851300</v>
      </c>
    </row>
    <row r="19436" spans="1:2" x14ac:dyDescent="0.4">
      <c r="A19436" s="4">
        <v>505200200</v>
      </c>
      <c r="B19436">
        <v>8851800</v>
      </c>
    </row>
    <row r="19437" spans="1:2" x14ac:dyDescent="0.4">
      <c r="A19437" s="4">
        <v>505200200</v>
      </c>
      <c r="B19437">
        <v>8851900</v>
      </c>
    </row>
    <row r="19438" spans="1:2" x14ac:dyDescent="0.4">
      <c r="A19438" s="4">
        <v>505200200</v>
      </c>
      <c r="B19438">
        <v>8852000</v>
      </c>
    </row>
    <row r="19439" spans="1:2" x14ac:dyDescent="0.4">
      <c r="A19439" s="4">
        <v>505200200</v>
      </c>
      <c r="B19439">
        <v>8320500</v>
      </c>
    </row>
    <row r="19440" spans="1:2" x14ac:dyDescent="0.4">
      <c r="A19440" s="4">
        <v>505200200</v>
      </c>
      <c r="B19440">
        <v>8320510</v>
      </c>
    </row>
    <row r="19441" spans="1:2" x14ac:dyDescent="0.4">
      <c r="A19441" s="4">
        <v>505200200</v>
      </c>
      <c r="B19441">
        <v>8320520</v>
      </c>
    </row>
    <row r="19442" spans="1:2" x14ac:dyDescent="0.4">
      <c r="A19442" s="4">
        <v>505200200</v>
      </c>
      <c r="B19442">
        <v>8320600</v>
      </c>
    </row>
    <row r="19443" spans="1:2" x14ac:dyDescent="0.4">
      <c r="A19443" s="4">
        <v>505200200</v>
      </c>
      <c r="B19443">
        <v>8320610</v>
      </c>
    </row>
    <row r="19444" spans="1:2" x14ac:dyDescent="0.4">
      <c r="A19444" s="4">
        <v>505200200</v>
      </c>
      <c r="B19444">
        <v>8320620</v>
      </c>
    </row>
    <row r="19445" spans="1:2" x14ac:dyDescent="0.4">
      <c r="A19445" s="4">
        <v>505200200</v>
      </c>
      <c r="B19445">
        <v>8320700</v>
      </c>
    </row>
    <row r="19446" spans="1:2" x14ac:dyDescent="0.4">
      <c r="A19446" s="4">
        <v>505200200</v>
      </c>
      <c r="B19446">
        <v>8320710</v>
      </c>
    </row>
    <row r="19447" spans="1:2" x14ac:dyDescent="0.4">
      <c r="A19447" s="4">
        <v>505200200</v>
      </c>
      <c r="B19447">
        <v>8320720</v>
      </c>
    </row>
    <row r="19448" spans="1:2" x14ac:dyDescent="0.4">
      <c r="A19448" s="4">
        <v>505300100</v>
      </c>
      <c r="B19448">
        <v>0</v>
      </c>
    </row>
    <row r="19449" spans="1:2" x14ac:dyDescent="0.4">
      <c r="A19449" s="4">
        <v>505300100</v>
      </c>
      <c r="B19449">
        <v>8100100</v>
      </c>
    </row>
    <row r="19450" spans="1:2" x14ac:dyDescent="0.4">
      <c r="A19450" s="4">
        <v>505300100</v>
      </c>
      <c r="B19450">
        <v>8100101</v>
      </c>
    </row>
    <row r="19451" spans="1:2" x14ac:dyDescent="0.4">
      <c r="A19451" s="4">
        <v>505300100</v>
      </c>
      <c r="B19451">
        <v>8100102</v>
      </c>
    </row>
    <row r="19452" spans="1:2" x14ac:dyDescent="0.4">
      <c r="A19452" s="4">
        <v>505300100</v>
      </c>
      <c r="B19452">
        <v>8100200</v>
      </c>
    </row>
    <row r="19453" spans="1:2" x14ac:dyDescent="0.4">
      <c r="A19453" s="4">
        <v>505300100</v>
      </c>
      <c r="B19453">
        <v>8100201</v>
      </c>
    </row>
    <row r="19454" spans="1:2" x14ac:dyDescent="0.4">
      <c r="A19454" s="4">
        <v>505300100</v>
      </c>
      <c r="B19454">
        <v>8100202</v>
      </c>
    </row>
    <row r="19455" spans="1:2" x14ac:dyDescent="0.4">
      <c r="A19455" s="4">
        <v>505300100</v>
      </c>
      <c r="B19455">
        <v>8100300</v>
      </c>
    </row>
    <row r="19456" spans="1:2" x14ac:dyDescent="0.4">
      <c r="A19456" s="4">
        <v>505300100</v>
      </c>
      <c r="B19456">
        <v>8100301</v>
      </c>
    </row>
    <row r="19457" spans="1:2" x14ac:dyDescent="0.4">
      <c r="A19457" s="4">
        <v>505300100</v>
      </c>
      <c r="B19457">
        <v>8100302</v>
      </c>
    </row>
    <row r="19458" spans="1:2" x14ac:dyDescent="0.4">
      <c r="A19458" s="4">
        <v>505300100</v>
      </c>
      <c r="B19458">
        <v>8100400</v>
      </c>
    </row>
    <row r="19459" spans="1:2" x14ac:dyDescent="0.4">
      <c r="A19459" s="4">
        <v>505300100</v>
      </c>
      <c r="B19459">
        <v>8100401</v>
      </c>
    </row>
    <row r="19460" spans="1:2" x14ac:dyDescent="0.4">
      <c r="A19460" s="4">
        <v>505300100</v>
      </c>
      <c r="B19460">
        <v>8100402</v>
      </c>
    </row>
    <row r="19461" spans="1:2" x14ac:dyDescent="0.4">
      <c r="A19461" s="4">
        <v>505300100</v>
      </c>
      <c r="B19461">
        <v>8130000</v>
      </c>
    </row>
    <row r="19462" spans="1:2" x14ac:dyDescent="0.4">
      <c r="A19462" s="4">
        <v>505300100</v>
      </c>
      <c r="B19462">
        <v>8130001</v>
      </c>
    </row>
    <row r="19463" spans="1:2" x14ac:dyDescent="0.4">
      <c r="A19463" s="4">
        <v>505300100</v>
      </c>
      <c r="B19463">
        <v>8130002</v>
      </c>
    </row>
    <row r="19464" spans="1:2" x14ac:dyDescent="0.4">
      <c r="A19464" s="4">
        <v>505300100</v>
      </c>
      <c r="B19464">
        <v>8140000</v>
      </c>
    </row>
    <row r="19465" spans="1:2" x14ac:dyDescent="0.4">
      <c r="A19465" s="4">
        <v>505300100</v>
      </c>
      <c r="B19465">
        <v>8140001</v>
      </c>
    </row>
    <row r="19466" spans="1:2" x14ac:dyDescent="0.4">
      <c r="A19466" s="4">
        <v>505300100</v>
      </c>
      <c r="B19466">
        <v>8140002</v>
      </c>
    </row>
    <row r="19467" spans="1:2" x14ac:dyDescent="0.4">
      <c r="A19467" s="4">
        <v>505300100</v>
      </c>
      <c r="B19467">
        <v>8200100</v>
      </c>
    </row>
    <row r="19468" spans="1:2" x14ac:dyDescent="0.4">
      <c r="A19468" s="4">
        <v>505300100</v>
      </c>
      <c r="B19468">
        <v>8200101</v>
      </c>
    </row>
    <row r="19469" spans="1:2" x14ac:dyDescent="0.4">
      <c r="A19469" s="4">
        <v>505300100</v>
      </c>
      <c r="B19469">
        <v>8200102</v>
      </c>
    </row>
    <row r="19470" spans="1:2" x14ac:dyDescent="0.4">
      <c r="A19470" s="4">
        <v>505300100</v>
      </c>
      <c r="B19470">
        <v>8200200</v>
      </c>
    </row>
    <row r="19471" spans="1:2" x14ac:dyDescent="0.4">
      <c r="A19471" s="4">
        <v>505300100</v>
      </c>
      <c r="B19471">
        <v>8200201</v>
      </c>
    </row>
    <row r="19472" spans="1:2" x14ac:dyDescent="0.4">
      <c r="A19472" s="4">
        <v>505300100</v>
      </c>
      <c r="B19472">
        <v>8200202</v>
      </c>
    </row>
    <row r="19473" spans="1:2" x14ac:dyDescent="0.4">
      <c r="A19473" s="4">
        <v>505300100</v>
      </c>
      <c r="B19473">
        <v>8200300</v>
      </c>
    </row>
    <row r="19474" spans="1:2" x14ac:dyDescent="0.4">
      <c r="A19474" s="4">
        <v>505300100</v>
      </c>
      <c r="B19474">
        <v>8200301</v>
      </c>
    </row>
    <row r="19475" spans="1:2" x14ac:dyDescent="0.4">
      <c r="A19475" s="4">
        <v>505300100</v>
      </c>
      <c r="B19475">
        <v>8200302</v>
      </c>
    </row>
    <row r="19476" spans="1:2" x14ac:dyDescent="0.4">
      <c r="A19476" s="4">
        <v>505300100</v>
      </c>
      <c r="B19476">
        <v>8200400</v>
      </c>
    </row>
    <row r="19477" spans="1:2" x14ac:dyDescent="0.4">
      <c r="A19477" s="4">
        <v>505300100</v>
      </c>
      <c r="B19477">
        <v>8200401</v>
      </c>
    </row>
    <row r="19478" spans="1:2" x14ac:dyDescent="0.4">
      <c r="A19478" s="4">
        <v>505300100</v>
      </c>
      <c r="B19478">
        <v>8200402</v>
      </c>
    </row>
    <row r="19479" spans="1:2" x14ac:dyDescent="0.4">
      <c r="A19479" s="4">
        <v>505300100</v>
      </c>
      <c r="B19479">
        <v>8210000</v>
      </c>
    </row>
    <row r="19480" spans="1:2" x14ac:dyDescent="0.4">
      <c r="A19480" s="4">
        <v>505300100</v>
      </c>
      <c r="B19480">
        <v>8210001</v>
      </c>
    </row>
    <row r="19481" spans="1:2" x14ac:dyDescent="0.4">
      <c r="A19481" s="4">
        <v>505300100</v>
      </c>
      <c r="B19481">
        <v>8210002</v>
      </c>
    </row>
    <row r="19482" spans="1:2" x14ac:dyDescent="0.4">
      <c r="A19482" s="4">
        <v>505300100</v>
      </c>
      <c r="B19482">
        <v>8210100</v>
      </c>
    </row>
    <row r="19483" spans="1:2" x14ac:dyDescent="0.4">
      <c r="A19483" s="4">
        <v>505300100</v>
      </c>
      <c r="B19483">
        <v>8210101</v>
      </c>
    </row>
    <row r="19484" spans="1:2" x14ac:dyDescent="0.4">
      <c r="A19484" s="4">
        <v>505300100</v>
      </c>
      <c r="B19484">
        <v>8210102</v>
      </c>
    </row>
    <row r="19485" spans="1:2" x14ac:dyDescent="0.4">
      <c r="A19485" s="4">
        <v>505300100</v>
      </c>
      <c r="B19485">
        <v>8210200</v>
      </c>
    </row>
    <row r="19486" spans="1:2" x14ac:dyDescent="0.4">
      <c r="A19486" s="4">
        <v>505300100</v>
      </c>
      <c r="B19486">
        <v>8210201</v>
      </c>
    </row>
    <row r="19487" spans="1:2" x14ac:dyDescent="0.4">
      <c r="A19487" s="4">
        <v>505300100</v>
      </c>
      <c r="B19487">
        <v>8210202</v>
      </c>
    </row>
    <row r="19488" spans="1:2" x14ac:dyDescent="0.4">
      <c r="A19488" s="4">
        <v>505300100</v>
      </c>
      <c r="B19488">
        <v>8210300</v>
      </c>
    </row>
    <row r="19489" spans="1:2" x14ac:dyDescent="0.4">
      <c r="A19489" s="4">
        <v>505300100</v>
      </c>
      <c r="B19489">
        <v>8210301</v>
      </c>
    </row>
    <row r="19490" spans="1:2" x14ac:dyDescent="0.4">
      <c r="A19490" s="4">
        <v>505300100</v>
      </c>
      <c r="B19490">
        <v>8210302</v>
      </c>
    </row>
    <row r="19491" spans="1:2" x14ac:dyDescent="0.4">
      <c r="A19491" s="4">
        <v>505300100</v>
      </c>
      <c r="B19491">
        <v>8210400</v>
      </c>
    </row>
    <row r="19492" spans="1:2" x14ac:dyDescent="0.4">
      <c r="A19492" s="4">
        <v>505300100</v>
      </c>
      <c r="B19492">
        <v>8210401</v>
      </c>
    </row>
    <row r="19493" spans="1:2" x14ac:dyDescent="0.4">
      <c r="A19493" s="4">
        <v>505300100</v>
      </c>
      <c r="B19493">
        <v>8210402</v>
      </c>
    </row>
    <row r="19494" spans="1:2" x14ac:dyDescent="0.4">
      <c r="A19494" s="4">
        <v>505300100</v>
      </c>
      <c r="B19494">
        <v>8210500</v>
      </c>
    </row>
    <row r="19495" spans="1:2" x14ac:dyDescent="0.4">
      <c r="A19495" s="4">
        <v>505300100</v>
      </c>
      <c r="B19495">
        <v>8210501</v>
      </c>
    </row>
    <row r="19496" spans="1:2" x14ac:dyDescent="0.4">
      <c r="A19496" s="4">
        <v>505300100</v>
      </c>
      <c r="B19496">
        <v>8210502</v>
      </c>
    </row>
    <row r="19497" spans="1:2" x14ac:dyDescent="0.4">
      <c r="A19497" s="4">
        <v>505300100</v>
      </c>
      <c r="B19497">
        <v>8210600</v>
      </c>
    </row>
    <row r="19498" spans="1:2" x14ac:dyDescent="0.4">
      <c r="A19498" s="4">
        <v>505300100</v>
      </c>
      <c r="B19498">
        <v>8210601</v>
      </c>
    </row>
    <row r="19499" spans="1:2" x14ac:dyDescent="0.4">
      <c r="A19499" s="4">
        <v>505300100</v>
      </c>
      <c r="B19499">
        <v>8210602</v>
      </c>
    </row>
    <row r="19500" spans="1:2" x14ac:dyDescent="0.4">
      <c r="A19500" s="4">
        <v>505300100</v>
      </c>
      <c r="B19500">
        <v>8220000</v>
      </c>
    </row>
    <row r="19501" spans="1:2" x14ac:dyDescent="0.4">
      <c r="A19501" s="4">
        <v>505300100</v>
      </c>
      <c r="B19501">
        <v>8220001</v>
      </c>
    </row>
    <row r="19502" spans="1:2" x14ac:dyDescent="0.4">
      <c r="A19502" s="4">
        <v>505300100</v>
      </c>
      <c r="B19502">
        <v>8220002</v>
      </c>
    </row>
    <row r="19503" spans="1:2" x14ac:dyDescent="0.4">
      <c r="A19503" s="4">
        <v>505300100</v>
      </c>
      <c r="B19503">
        <v>8300000</v>
      </c>
    </row>
    <row r="19504" spans="1:2" x14ac:dyDescent="0.4">
      <c r="A19504" s="4">
        <v>505300100</v>
      </c>
      <c r="B19504">
        <v>8300001</v>
      </c>
    </row>
    <row r="19505" spans="1:2" x14ac:dyDescent="0.4">
      <c r="A19505" s="4">
        <v>505300100</v>
      </c>
      <c r="B19505">
        <v>8300002</v>
      </c>
    </row>
    <row r="19506" spans="1:2" x14ac:dyDescent="0.4">
      <c r="A19506" s="4">
        <v>505300100</v>
      </c>
      <c r="B19506">
        <v>8310000</v>
      </c>
    </row>
    <row r="19507" spans="1:2" x14ac:dyDescent="0.4">
      <c r="A19507" s="4">
        <v>505300100</v>
      </c>
      <c r="B19507">
        <v>8310001</v>
      </c>
    </row>
    <row r="19508" spans="1:2" x14ac:dyDescent="0.4">
      <c r="A19508" s="4">
        <v>505300100</v>
      </c>
      <c r="B19508">
        <v>8310002</v>
      </c>
    </row>
    <row r="19509" spans="1:2" x14ac:dyDescent="0.4">
      <c r="A19509" s="4">
        <v>505300100</v>
      </c>
      <c r="B19509">
        <v>8320000</v>
      </c>
    </row>
    <row r="19510" spans="1:2" x14ac:dyDescent="0.4">
      <c r="A19510" s="4">
        <v>505300100</v>
      </c>
      <c r="B19510">
        <v>8320001</v>
      </c>
    </row>
    <row r="19511" spans="1:2" x14ac:dyDescent="0.4">
      <c r="A19511" s="4">
        <v>505300100</v>
      </c>
      <c r="B19511">
        <v>8320002</v>
      </c>
    </row>
    <row r="19512" spans="1:2" x14ac:dyDescent="0.4">
      <c r="A19512" s="4">
        <v>505300100</v>
      </c>
      <c r="B19512">
        <v>8320100</v>
      </c>
    </row>
    <row r="19513" spans="1:2" x14ac:dyDescent="0.4">
      <c r="A19513" s="4">
        <v>505300100</v>
      </c>
      <c r="B19513">
        <v>8320101</v>
      </c>
    </row>
    <row r="19514" spans="1:2" x14ac:dyDescent="0.4">
      <c r="A19514" s="4">
        <v>505300100</v>
      </c>
      <c r="B19514">
        <v>8320102</v>
      </c>
    </row>
    <row r="19515" spans="1:2" x14ac:dyDescent="0.4">
      <c r="A19515" s="4">
        <v>505300100</v>
      </c>
      <c r="B19515">
        <v>8320300</v>
      </c>
    </row>
    <row r="19516" spans="1:2" x14ac:dyDescent="0.4">
      <c r="A19516" s="4">
        <v>505300100</v>
      </c>
      <c r="B19516">
        <v>8320301</v>
      </c>
    </row>
    <row r="19517" spans="1:2" x14ac:dyDescent="0.4">
      <c r="A19517" s="4">
        <v>505300100</v>
      </c>
      <c r="B19517">
        <v>8320302</v>
      </c>
    </row>
    <row r="19518" spans="1:2" x14ac:dyDescent="0.4">
      <c r="A19518" s="4">
        <v>505300100</v>
      </c>
      <c r="B19518">
        <v>8320400</v>
      </c>
    </row>
    <row r="19519" spans="1:2" x14ac:dyDescent="0.4">
      <c r="A19519" s="4">
        <v>505300100</v>
      </c>
      <c r="B19519">
        <v>8320410</v>
      </c>
    </row>
    <row r="19520" spans="1:2" x14ac:dyDescent="0.4">
      <c r="A19520" s="4">
        <v>505300100</v>
      </c>
      <c r="B19520">
        <v>8320420</v>
      </c>
    </row>
    <row r="19521" spans="1:2" x14ac:dyDescent="0.4">
      <c r="A19521" s="4">
        <v>505300100</v>
      </c>
      <c r="B19521">
        <v>8330000</v>
      </c>
    </row>
    <row r="19522" spans="1:2" x14ac:dyDescent="0.4">
      <c r="A19522" s="4">
        <v>505300100</v>
      </c>
      <c r="B19522">
        <v>8330001</v>
      </c>
    </row>
    <row r="19523" spans="1:2" x14ac:dyDescent="0.4">
      <c r="A19523" s="4">
        <v>505300100</v>
      </c>
      <c r="B19523">
        <v>8330002</v>
      </c>
    </row>
    <row r="19524" spans="1:2" x14ac:dyDescent="0.4">
      <c r="A19524" s="4">
        <v>505300100</v>
      </c>
      <c r="B19524">
        <v>8330100</v>
      </c>
    </row>
    <row r="19525" spans="1:2" x14ac:dyDescent="0.4">
      <c r="A19525" s="4">
        <v>505300100</v>
      </c>
      <c r="B19525">
        <v>8330101</v>
      </c>
    </row>
    <row r="19526" spans="1:2" x14ac:dyDescent="0.4">
      <c r="A19526" s="4">
        <v>505300100</v>
      </c>
      <c r="B19526">
        <v>8330102</v>
      </c>
    </row>
    <row r="19527" spans="1:2" x14ac:dyDescent="0.4">
      <c r="A19527" s="4">
        <v>505300100</v>
      </c>
      <c r="B19527">
        <v>8330200</v>
      </c>
    </row>
    <row r="19528" spans="1:2" x14ac:dyDescent="0.4">
      <c r="A19528" s="4">
        <v>505300100</v>
      </c>
      <c r="B19528">
        <v>8330201</v>
      </c>
    </row>
    <row r="19529" spans="1:2" x14ac:dyDescent="0.4">
      <c r="A19529" s="4">
        <v>505300100</v>
      </c>
      <c r="B19529">
        <v>8330202</v>
      </c>
    </row>
    <row r="19530" spans="1:2" x14ac:dyDescent="0.4">
      <c r="A19530" s="4">
        <v>505300100</v>
      </c>
      <c r="B19530">
        <v>8330300</v>
      </c>
    </row>
    <row r="19531" spans="1:2" x14ac:dyDescent="0.4">
      <c r="A19531" s="4">
        <v>505300100</v>
      </c>
      <c r="B19531">
        <v>8330301</v>
      </c>
    </row>
    <row r="19532" spans="1:2" x14ac:dyDescent="0.4">
      <c r="A19532" s="4">
        <v>505300100</v>
      </c>
      <c r="B19532">
        <v>8330302</v>
      </c>
    </row>
    <row r="19533" spans="1:2" x14ac:dyDescent="0.4">
      <c r="A19533" s="4">
        <v>505300100</v>
      </c>
      <c r="B19533">
        <v>8330400</v>
      </c>
    </row>
    <row r="19534" spans="1:2" x14ac:dyDescent="0.4">
      <c r="A19534" s="4">
        <v>505300100</v>
      </c>
      <c r="B19534">
        <v>8330401</v>
      </c>
    </row>
    <row r="19535" spans="1:2" x14ac:dyDescent="0.4">
      <c r="A19535" s="4">
        <v>505300100</v>
      </c>
      <c r="B19535">
        <v>8330600</v>
      </c>
    </row>
    <row r="19536" spans="1:2" x14ac:dyDescent="0.4">
      <c r="A19536" s="4">
        <v>505300100</v>
      </c>
      <c r="B19536">
        <v>8330601</v>
      </c>
    </row>
    <row r="19537" spans="1:2" x14ac:dyDescent="0.4">
      <c r="A19537" s="4">
        <v>505300100</v>
      </c>
      <c r="B19537">
        <v>8330602</v>
      </c>
    </row>
    <row r="19538" spans="1:2" x14ac:dyDescent="0.4">
      <c r="A19538" s="4">
        <v>505300100</v>
      </c>
      <c r="B19538">
        <v>8330900</v>
      </c>
    </row>
    <row r="19539" spans="1:2" x14ac:dyDescent="0.4">
      <c r="A19539" s="4">
        <v>505300100</v>
      </c>
      <c r="B19539">
        <v>8330910</v>
      </c>
    </row>
    <row r="19540" spans="1:2" x14ac:dyDescent="0.4">
      <c r="A19540" s="4">
        <v>505300100</v>
      </c>
      <c r="B19540">
        <v>8330920</v>
      </c>
    </row>
    <row r="19541" spans="1:2" x14ac:dyDescent="0.4">
      <c r="A19541" s="4">
        <v>505300100</v>
      </c>
      <c r="B19541">
        <v>8340000</v>
      </c>
    </row>
    <row r="19542" spans="1:2" x14ac:dyDescent="0.4">
      <c r="A19542" s="4">
        <v>505300100</v>
      </c>
      <c r="B19542">
        <v>8340001</v>
      </c>
    </row>
    <row r="19543" spans="1:2" x14ac:dyDescent="0.4">
      <c r="A19543" s="4">
        <v>505300100</v>
      </c>
      <c r="B19543">
        <v>8340002</v>
      </c>
    </row>
    <row r="19544" spans="1:2" x14ac:dyDescent="0.4">
      <c r="A19544" s="4">
        <v>505300100</v>
      </c>
      <c r="B19544">
        <v>8340100</v>
      </c>
    </row>
    <row r="19545" spans="1:2" x14ac:dyDescent="0.4">
      <c r="A19545" s="4">
        <v>505300100</v>
      </c>
      <c r="B19545">
        <v>8340101</v>
      </c>
    </row>
    <row r="19546" spans="1:2" x14ac:dyDescent="0.4">
      <c r="A19546" s="4">
        <v>505300100</v>
      </c>
      <c r="B19546">
        <v>8340102</v>
      </c>
    </row>
    <row r="19547" spans="1:2" x14ac:dyDescent="0.4">
      <c r="A19547" s="4">
        <v>505300100</v>
      </c>
      <c r="B19547">
        <v>8350000</v>
      </c>
    </row>
    <row r="19548" spans="1:2" x14ac:dyDescent="0.4">
      <c r="A19548" s="4">
        <v>505300100</v>
      </c>
      <c r="B19548">
        <v>8350001</v>
      </c>
    </row>
    <row r="19549" spans="1:2" x14ac:dyDescent="0.4">
      <c r="A19549" s="4">
        <v>505300100</v>
      </c>
      <c r="B19549">
        <v>8350002</v>
      </c>
    </row>
    <row r="19550" spans="1:2" x14ac:dyDescent="0.4">
      <c r="A19550" s="4">
        <v>505300100</v>
      </c>
      <c r="B19550">
        <v>8350200</v>
      </c>
    </row>
    <row r="19551" spans="1:2" x14ac:dyDescent="0.4">
      <c r="A19551" s="4">
        <v>505300100</v>
      </c>
      <c r="B19551">
        <v>8350201</v>
      </c>
    </row>
    <row r="19552" spans="1:2" x14ac:dyDescent="0.4">
      <c r="A19552" s="4">
        <v>505300100</v>
      </c>
      <c r="B19552">
        <v>8350202</v>
      </c>
    </row>
    <row r="19553" spans="1:2" x14ac:dyDescent="0.4">
      <c r="A19553" s="4">
        <v>505300100</v>
      </c>
      <c r="B19553">
        <v>8420000</v>
      </c>
    </row>
    <row r="19554" spans="1:2" x14ac:dyDescent="0.4">
      <c r="A19554" s="4">
        <v>505300100</v>
      </c>
      <c r="B19554">
        <v>8420001</v>
      </c>
    </row>
    <row r="19555" spans="1:2" x14ac:dyDescent="0.4">
      <c r="A19555" s="4">
        <v>505300100</v>
      </c>
      <c r="B19555">
        <v>8420002</v>
      </c>
    </row>
    <row r="19556" spans="1:2" x14ac:dyDescent="0.4">
      <c r="A19556" s="4">
        <v>505300100</v>
      </c>
      <c r="B19556">
        <v>8450000</v>
      </c>
    </row>
    <row r="19557" spans="1:2" x14ac:dyDescent="0.4">
      <c r="A19557" s="4">
        <v>505300100</v>
      </c>
      <c r="B19557">
        <v>8460100</v>
      </c>
    </row>
    <row r="19558" spans="1:2" x14ac:dyDescent="0.4">
      <c r="A19558" s="4">
        <v>505300100</v>
      </c>
      <c r="B19558">
        <v>8460300</v>
      </c>
    </row>
    <row r="19559" spans="1:2" x14ac:dyDescent="0.4">
      <c r="A19559" s="4">
        <v>505300100</v>
      </c>
      <c r="B19559">
        <v>8460500</v>
      </c>
    </row>
    <row r="19560" spans="1:2" x14ac:dyDescent="0.4">
      <c r="A19560" s="4">
        <v>505300100</v>
      </c>
      <c r="B19560">
        <v>8510000</v>
      </c>
    </row>
    <row r="19561" spans="1:2" x14ac:dyDescent="0.4">
      <c r="A19561" s="4">
        <v>505300100</v>
      </c>
      <c r="B19561">
        <v>8510001</v>
      </c>
    </row>
    <row r="19562" spans="1:2" x14ac:dyDescent="0.4">
      <c r="A19562" s="4">
        <v>505300100</v>
      </c>
      <c r="B19562">
        <v>8510002</v>
      </c>
    </row>
    <row r="19563" spans="1:2" x14ac:dyDescent="0.4">
      <c r="A19563" s="4">
        <v>505300100</v>
      </c>
      <c r="B19563">
        <v>8520000</v>
      </c>
    </row>
    <row r="19564" spans="1:2" x14ac:dyDescent="0.4">
      <c r="A19564" s="4">
        <v>505300100</v>
      </c>
      <c r="B19564">
        <v>8520001</v>
      </c>
    </row>
    <row r="19565" spans="1:2" x14ac:dyDescent="0.4">
      <c r="A19565" s="4">
        <v>505300100</v>
      </c>
      <c r="B19565">
        <v>8520002</v>
      </c>
    </row>
    <row r="19566" spans="1:2" x14ac:dyDescent="0.4">
      <c r="A19566" s="4">
        <v>505300100</v>
      </c>
      <c r="B19566">
        <v>8530000</v>
      </c>
    </row>
    <row r="19567" spans="1:2" x14ac:dyDescent="0.4">
      <c r="A19567" s="4">
        <v>505300100</v>
      </c>
      <c r="B19567">
        <v>8530100</v>
      </c>
    </row>
    <row r="19568" spans="1:2" x14ac:dyDescent="0.4">
      <c r="A19568" s="4">
        <v>505300100</v>
      </c>
      <c r="B19568">
        <v>8540000</v>
      </c>
    </row>
    <row r="19569" spans="1:2" x14ac:dyDescent="0.4">
      <c r="A19569" s="4">
        <v>505300100</v>
      </c>
      <c r="B19569">
        <v>8600100</v>
      </c>
    </row>
    <row r="19570" spans="1:2" x14ac:dyDescent="0.4">
      <c r="A19570" s="4">
        <v>505300100</v>
      </c>
      <c r="B19570">
        <v>8600101</v>
      </c>
    </row>
    <row r="19571" spans="1:2" x14ac:dyDescent="0.4">
      <c r="A19571" s="4">
        <v>505300100</v>
      </c>
      <c r="B19571">
        <v>8600102</v>
      </c>
    </row>
    <row r="19572" spans="1:2" x14ac:dyDescent="0.4">
      <c r="A19572" s="4">
        <v>505300100</v>
      </c>
      <c r="B19572">
        <v>8600200</v>
      </c>
    </row>
    <row r="19573" spans="1:2" x14ac:dyDescent="0.4">
      <c r="A19573" s="4">
        <v>505300100</v>
      </c>
      <c r="B19573">
        <v>8600201</v>
      </c>
    </row>
    <row r="19574" spans="1:2" x14ac:dyDescent="0.4">
      <c r="A19574" s="4">
        <v>505300100</v>
      </c>
      <c r="B19574">
        <v>8600202</v>
      </c>
    </row>
    <row r="19575" spans="1:2" x14ac:dyDescent="0.4">
      <c r="A19575" s="4">
        <v>505300100</v>
      </c>
      <c r="B19575">
        <v>8610300</v>
      </c>
    </row>
    <row r="19576" spans="1:2" x14ac:dyDescent="0.4">
      <c r="A19576" s="4">
        <v>505300100</v>
      </c>
      <c r="B19576">
        <v>8610400</v>
      </c>
    </row>
    <row r="19577" spans="1:2" x14ac:dyDescent="0.4">
      <c r="A19577" s="4">
        <v>505300100</v>
      </c>
      <c r="B19577">
        <v>8610500</v>
      </c>
    </row>
    <row r="19578" spans="1:2" x14ac:dyDescent="0.4">
      <c r="A19578" s="4">
        <v>505300100</v>
      </c>
      <c r="B19578">
        <v>8610600</v>
      </c>
    </row>
    <row r="19579" spans="1:2" x14ac:dyDescent="0.4">
      <c r="A19579" s="4">
        <v>505300100</v>
      </c>
      <c r="B19579">
        <v>8610700</v>
      </c>
    </row>
    <row r="19580" spans="1:2" x14ac:dyDescent="0.4">
      <c r="A19580" s="4">
        <v>505300100</v>
      </c>
      <c r="B19580">
        <v>8610710</v>
      </c>
    </row>
    <row r="19581" spans="1:2" x14ac:dyDescent="0.4">
      <c r="A19581" s="4">
        <v>505300100</v>
      </c>
      <c r="B19581">
        <v>8610720</v>
      </c>
    </row>
    <row r="19582" spans="1:2" x14ac:dyDescent="0.4">
      <c r="A19582" s="4">
        <v>505300100</v>
      </c>
      <c r="B19582">
        <v>8620000</v>
      </c>
    </row>
    <row r="19583" spans="1:2" x14ac:dyDescent="0.4">
      <c r="A19583" s="4">
        <v>505300100</v>
      </c>
      <c r="B19583">
        <v>8620010</v>
      </c>
    </row>
    <row r="19584" spans="1:2" x14ac:dyDescent="0.4">
      <c r="A19584" s="4">
        <v>505300100</v>
      </c>
      <c r="B19584">
        <v>8620020</v>
      </c>
    </row>
    <row r="19585" spans="1:2" x14ac:dyDescent="0.4">
      <c r="A19585" s="4">
        <v>505300100</v>
      </c>
      <c r="B19585">
        <v>8620100</v>
      </c>
    </row>
    <row r="19586" spans="1:2" x14ac:dyDescent="0.4">
      <c r="A19586" s="4">
        <v>505300100</v>
      </c>
      <c r="B19586">
        <v>8620110</v>
      </c>
    </row>
    <row r="19587" spans="1:2" x14ac:dyDescent="0.4">
      <c r="A19587" s="4">
        <v>505300100</v>
      </c>
      <c r="B19587">
        <v>8620120</v>
      </c>
    </row>
    <row r="19588" spans="1:2" x14ac:dyDescent="0.4">
      <c r="A19588" s="4">
        <v>505300100</v>
      </c>
      <c r="B19588">
        <v>8630000</v>
      </c>
    </row>
    <row r="19589" spans="1:2" x14ac:dyDescent="0.4">
      <c r="A19589" s="4">
        <v>505300100</v>
      </c>
      <c r="B19589">
        <v>8630000</v>
      </c>
    </row>
    <row r="19590" spans="1:2" x14ac:dyDescent="0.4">
      <c r="A19590" s="4">
        <v>505300100</v>
      </c>
      <c r="B19590">
        <v>8630000</v>
      </c>
    </row>
    <row r="19591" spans="1:2" x14ac:dyDescent="0.4">
      <c r="A19591" s="4">
        <v>505300100</v>
      </c>
      <c r="B19591">
        <v>8630100</v>
      </c>
    </row>
    <row r="19592" spans="1:2" x14ac:dyDescent="0.4">
      <c r="A19592" s="4">
        <v>505300100</v>
      </c>
      <c r="B19592">
        <v>8630100</v>
      </c>
    </row>
    <row r="19593" spans="1:2" x14ac:dyDescent="0.4">
      <c r="A19593" s="4">
        <v>505300100</v>
      </c>
      <c r="B19593">
        <v>8630100</v>
      </c>
    </row>
    <row r="19594" spans="1:2" x14ac:dyDescent="0.4">
      <c r="A19594" s="4">
        <v>505300100</v>
      </c>
      <c r="B19594">
        <v>8652000</v>
      </c>
    </row>
    <row r="19595" spans="1:2" x14ac:dyDescent="0.4">
      <c r="A19595" s="4">
        <v>505300100</v>
      </c>
      <c r="B19595">
        <v>8652010</v>
      </c>
    </row>
    <row r="19596" spans="1:2" x14ac:dyDescent="0.4">
      <c r="A19596" s="4">
        <v>505300100</v>
      </c>
      <c r="B19596">
        <v>8652020</v>
      </c>
    </row>
    <row r="19597" spans="1:2" x14ac:dyDescent="0.4">
      <c r="A19597" s="4">
        <v>505300100</v>
      </c>
      <c r="B19597">
        <v>8652100</v>
      </c>
    </row>
    <row r="19598" spans="1:2" x14ac:dyDescent="0.4">
      <c r="A19598" s="4">
        <v>505300100</v>
      </c>
      <c r="B19598">
        <v>8652110</v>
      </c>
    </row>
    <row r="19599" spans="1:2" x14ac:dyDescent="0.4">
      <c r="A19599" s="4">
        <v>505300100</v>
      </c>
      <c r="B19599">
        <v>8652120</v>
      </c>
    </row>
    <row r="19600" spans="1:2" x14ac:dyDescent="0.4">
      <c r="A19600" s="4">
        <v>505300100</v>
      </c>
      <c r="B19600">
        <v>8660000</v>
      </c>
    </row>
    <row r="19601" spans="1:2" x14ac:dyDescent="0.4">
      <c r="A19601" s="4">
        <v>505300100</v>
      </c>
      <c r="B19601">
        <v>8660001</v>
      </c>
    </row>
    <row r="19602" spans="1:2" x14ac:dyDescent="0.4">
      <c r="A19602" s="4">
        <v>505300100</v>
      </c>
      <c r="B19602">
        <v>8660002</v>
      </c>
    </row>
    <row r="19603" spans="1:2" x14ac:dyDescent="0.4">
      <c r="A19603" s="4">
        <v>505300100</v>
      </c>
      <c r="B19603">
        <v>8660100</v>
      </c>
    </row>
    <row r="19604" spans="1:2" x14ac:dyDescent="0.4">
      <c r="A19604" s="4">
        <v>505300100</v>
      </c>
      <c r="B19604">
        <v>8660101</v>
      </c>
    </row>
    <row r="19605" spans="1:2" x14ac:dyDescent="0.4">
      <c r="A19605" s="4">
        <v>505300100</v>
      </c>
      <c r="B19605">
        <v>8660102</v>
      </c>
    </row>
    <row r="19606" spans="1:2" x14ac:dyDescent="0.4">
      <c r="A19606" s="4">
        <v>505300100</v>
      </c>
      <c r="B19606">
        <v>8670000</v>
      </c>
    </row>
    <row r="19607" spans="1:2" x14ac:dyDescent="0.4">
      <c r="A19607" s="4">
        <v>505300100</v>
      </c>
      <c r="B19607">
        <v>8670001</v>
      </c>
    </row>
    <row r="19608" spans="1:2" x14ac:dyDescent="0.4">
      <c r="A19608" s="4">
        <v>505300100</v>
      </c>
      <c r="B19608">
        <v>8670002</v>
      </c>
    </row>
    <row r="19609" spans="1:2" x14ac:dyDescent="0.4">
      <c r="A19609" s="4">
        <v>505300100</v>
      </c>
      <c r="B19609">
        <v>8670100</v>
      </c>
    </row>
    <row r="19610" spans="1:2" x14ac:dyDescent="0.4">
      <c r="A19610" s="4">
        <v>505300100</v>
      </c>
      <c r="B19610">
        <v>8670101</v>
      </c>
    </row>
    <row r="19611" spans="1:2" x14ac:dyDescent="0.4">
      <c r="A19611" s="4">
        <v>505300100</v>
      </c>
      <c r="B19611">
        <v>8670102</v>
      </c>
    </row>
    <row r="19612" spans="1:2" x14ac:dyDescent="0.4">
      <c r="A19612" s="4">
        <v>505300100</v>
      </c>
      <c r="B19612">
        <v>8690000</v>
      </c>
    </row>
    <row r="19613" spans="1:2" x14ac:dyDescent="0.4">
      <c r="A19613" s="4">
        <v>505300100</v>
      </c>
      <c r="B19613">
        <v>8690100</v>
      </c>
    </row>
    <row r="19614" spans="1:2" x14ac:dyDescent="0.4">
      <c r="A19614" s="4">
        <v>505300100</v>
      </c>
      <c r="B19614">
        <v>8690200</v>
      </c>
    </row>
    <row r="19615" spans="1:2" x14ac:dyDescent="0.4">
      <c r="A19615" s="4">
        <v>505300100</v>
      </c>
      <c r="B19615">
        <v>8690300</v>
      </c>
    </row>
    <row r="19616" spans="1:2" x14ac:dyDescent="0.4">
      <c r="A19616" s="4">
        <v>505300100</v>
      </c>
      <c r="B19616">
        <v>8690400</v>
      </c>
    </row>
    <row r="19617" spans="1:2" x14ac:dyDescent="0.4">
      <c r="A19617" s="4">
        <v>505300100</v>
      </c>
      <c r="B19617">
        <v>8850000</v>
      </c>
    </row>
    <row r="19618" spans="1:2" x14ac:dyDescent="0.4">
      <c r="A19618" s="4">
        <v>505300100</v>
      </c>
      <c r="B19618">
        <v>8850100</v>
      </c>
    </row>
    <row r="19619" spans="1:2" x14ac:dyDescent="0.4">
      <c r="A19619" s="4">
        <v>505300100</v>
      </c>
      <c r="B19619">
        <v>8850200</v>
      </c>
    </row>
    <row r="19620" spans="1:2" x14ac:dyDescent="0.4">
      <c r="A19620" s="4">
        <v>505300100</v>
      </c>
      <c r="B19620">
        <v>8850300</v>
      </c>
    </row>
    <row r="19621" spans="1:2" x14ac:dyDescent="0.4">
      <c r="A19621" s="4">
        <v>505300100</v>
      </c>
      <c r="B19621">
        <v>8850400</v>
      </c>
    </row>
    <row r="19622" spans="1:2" x14ac:dyDescent="0.4">
      <c r="A19622" s="4">
        <v>505300100</v>
      </c>
      <c r="B19622">
        <v>8850500</v>
      </c>
    </row>
    <row r="19623" spans="1:2" x14ac:dyDescent="0.4">
      <c r="A19623" s="4">
        <v>505300100</v>
      </c>
      <c r="B19623">
        <v>8850600</v>
      </c>
    </row>
    <row r="19624" spans="1:2" x14ac:dyDescent="0.4">
      <c r="A19624" s="4">
        <v>505300100</v>
      </c>
      <c r="B19624">
        <v>8850700</v>
      </c>
    </row>
    <row r="19625" spans="1:2" x14ac:dyDescent="0.4">
      <c r="A19625" s="4">
        <v>505300100</v>
      </c>
      <c r="B19625">
        <v>8850800</v>
      </c>
    </row>
    <row r="19626" spans="1:2" x14ac:dyDescent="0.4">
      <c r="A19626" s="4">
        <v>505300100</v>
      </c>
      <c r="B19626">
        <v>8850900</v>
      </c>
    </row>
    <row r="19627" spans="1:2" x14ac:dyDescent="0.4">
      <c r="A19627" s="4">
        <v>505300100</v>
      </c>
      <c r="B19627">
        <v>8851000</v>
      </c>
    </row>
    <row r="19628" spans="1:2" x14ac:dyDescent="0.4">
      <c r="A19628" s="4">
        <v>505300100</v>
      </c>
      <c r="B19628">
        <v>8851100</v>
      </c>
    </row>
    <row r="19629" spans="1:2" x14ac:dyDescent="0.4">
      <c r="A19629" s="4">
        <v>505300100</v>
      </c>
      <c r="B19629">
        <v>8851200</v>
      </c>
    </row>
    <row r="19630" spans="1:2" x14ac:dyDescent="0.4">
      <c r="A19630" s="4">
        <v>505300100</v>
      </c>
      <c r="B19630">
        <v>8851300</v>
      </c>
    </row>
    <row r="19631" spans="1:2" x14ac:dyDescent="0.4">
      <c r="A19631" s="4">
        <v>505300100</v>
      </c>
      <c r="B19631">
        <v>8851800</v>
      </c>
    </row>
    <row r="19632" spans="1:2" x14ac:dyDescent="0.4">
      <c r="A19632" s="4">
        <v>505300100</v>
      </c>
      <c r="B19632">
        <v>8851900</v>
      </c>
    </row>
    <row r="19633" spans="1:2" x14ac:dyDescent="0.4">
      <c r="A19633" s="4">
        <v>505300100</v>
      </c>
      <c r="B19633">
        <v>8852000</v>
      </c>
    </row>
    <row r="19634" spans="1:2" x14ac:dyDescent="0.4">
      <c r="A19634" s="4">
        <v>505300100</v>
      </c>
      <c r="B19634">
        <v>8320500</v>
      </c>
    </row>
    <row r="19635" spans="1:2" x14ac:dyDescent="0.4">
      <c r="A19635" s="4">
        <v>505300100</v>
      </c>
      <c r="B19635">
        <v>8320510</v>
      </c>
    </row>
    <row r="19636" spans="1:2" x14ac:dyDescent="0.4">
      <c r="A19636" s="4">
        <v>505300100</v>
      </c>
      <c r="B19636">
        <v>8320520</v>
      </c>
    </row>
    <row r="19637" spans="1:2" x14ac:dyDescent="0.4">
      <c r="A19637" s="4">
        <v>505300100</v>
      </c>
      <c r="B19637">
        <v>8320600</v>
      </c>
    </row>
    <row r="19638" spans="1:2" x14ac:dyDescent="0.4">
      <c r="A19638" s="4">
        <v>505300100</v>
      </c>
      <c r="B19638">
        <v>8320610</v>
      </c>
    </row>
    <row r="19639" spans="1:2" x14ac:dyDescent="0.4">
      <c r="A19639" s="4">
        <v>505300100</v>
      </c>
      <c r="B19639">
        <v>8320620</v>
      </c>
    </row>
    <row r="19640" spans="1:2" x14ac:dyDescent="0.4">
      <c r="A19640" s="4">
        <v>505300100</v>
      </c>
      <c r="B19640">
        <v>8320700</v>
      </c>
    </row>
    <row r="19641" spans="1:2" x14ac:dyDescent="0.4">
      <c r="A19641" s="4">
        <v>505300100</v>
      </c>
      <c r="B19641">
        <v>8320710</v>
      </c>
    </row>
    <row r="19642" spans="1:2" x14ac:dyDescent="0.4">
      <c r="A19642" s="4">
        <v>505300100</v>
      </c>
      <c r="B19642">
        <v>8320720</v>
      </c>
    </row>
    <row r="19643" spans="1:2" x14ac:dyDescent="0.4">
      <c r="A19643" s="4">
        <v>505300200</v>
      </c>
      <c r="B19643">
        <v>0</v>
      </c>
    </row>
    <row r="19644" spans="1:2" x14ac:dyDescent="0.4">
      <c r="A19644" s="4">
        <v>505300200</v>
      </c>
      <c r="B19644">
        <v>8100100</v>
      </c>
    </row>
    <row r="19645" spans="1:2" x14ac:dyDescent="0.4">
      <c r="A19645" s="4">
        <v>505300200</v>
      </c>
      <c r="B19645">
        <v>8100101</v>
      </c>
    </row>
    <row r="19646" spans="1:2" x14ac:dyDescent="0.4">
      <c r="A19646" s="4">
        <v>505300200</v>
      </c>
      <c r="B19646">
        <v>8100102</v>
      </c>
    </row>
    <row r="19647" spans="1:2" x14ac:dyDescent="0.4">
      <c r="A19647" s="4">
        <v>505300200</v>
      </c>
      <c r="B19647">
        <v>8100200</v>
      </c>
    </row>
    <row r="19648" spans="1:2" x14ac:dyDescent="0.4">
      <c r="A19648" s="4">
        <v>505300200</v>
      </c>
      <c r="B19648">
        <v>8100201</v>
      </c>
    </row>
    <row r="19649" spans="1:2" x14ac:dyDescent="0.4">
      <c r="A19649" s="4">
        <v>505300200</v>
      </c>
      <c r="B19649">
        <v>8100202</v>
      </c>
    </row>
    <row r="19650" spans="1:2" x14ac:dyDescent="0.4">
      <c r="A19650" s="4">
        <v>505300200</v>
      </c>
      <c r="B19650">
        <v>8100300</v>
      </c>
    </row>
    <row r="19651" spans="1:2" x14ac:dyDescent="0.4">
      <c r="A19651" s="4">
        <v>505300200</v>
      </c>
      <c r="B19651">
        <v>8100301</v>
      </c>
    </row>
    <row r="19652" spans="1:2" x14ac:dyDescent="0.4">
      <c r="A19652" s="4">
        <v>505300200</v>
      </c>
      <c r="B19652">
        <v>8100302</v>
      </c>
    </row>
    <row r="19653" spans="1:2" x14ac:dyDescent="0.4">
      <c r="A19653" s="4">
        <v>505300200</v>
      </c>
      <c r="B19653">
        <v>8100400</v>
      </c>
    </row>
    <row r="19654" spans="1:2" x14ac:dyDescent="0.4">
      <c r="A19654" s="4">
        <v>505300200</v>
      </c>
      <c r="B19654">
        <v>8100401</v>
      </c>
    </row>
    <row r="19655" spans="1:2" x14ac:dyDescent="0.4">
      <c r="A19655" s="4">
        <v>505300200</v>
      </c>
      <c r="B19655">
        <v>8100402</v>
      </c>
    </row>
    <row r="19656" spans="1:2" x14ac:dyDescent="0.4">
      <c r="A19656" s="4">
        <v>505300200</v>
      </c>
      <c r="B19656">
        <v>8130000</v>
      </c>
    </row>
    <row r="19657" spans="1:2" x14ac:dyDescent="0.4">
      <c r="A19657" s="4">
        <v>505300200</v>
      </c>
      <c r="B19657">
        <v>8130001</v>
      </c>
    </row>
    <row r="19658" spans="1:2" x14ac:dyDescent="0.4">
      <c r="A19658" s="4">
        <v>505300200</v>
      </c>
      <c r="B19658">
        <v>8130002</v>
      </c>
    </row>
    <row r="19659" spans="1:2" x14ac:dyDescent="0.4">
      <c r="A19659" s="4">
        <v>505300200</v>
      </c>
      <c r="B19659">
        <v>8140000</v>
      </c>
    </row>
    <row r="19660" spans="1:2" x14ac:dyDescent="0.4">
      <c r="A19660" s="4">
        <v>505300200</v>
      </c>
      <c r="B19660">
        <v>8140001</v>
      </c>
    </row>
    <row r="19661" spans="1:2" x14ac:dyDescent="0.4">
      <c r="A19661" s="4">
        <v>505300200</v>
      </c>
      <c r="B19661">
        <v>8140002</v>
      </c>
    </row>
    <row r="19662" spans="1:2" x14ac:dyDescent="0.4">
      <c r="A19662" s="4">
        <v>505300200</v>
      </c>
      <c r="B19662">
        <v>8200100</v>
      </c>
    </row>
    <row r="19663" spans="1:2" x14ac:dyDescent="0.4">
      <c r="A19663" s="4">
        <v>505300200</v>
      </c>
      <c r="B19663">
        <v>8200101</v>
      </c>
    </row>
    <row r="19664" spans="1:2" x14ac:dyDescent="0.4">
      <c r="A19664" s="4">
        <v>505300200</v>
      </c>
      <c r="B19664">
        <v>8200102</v>
      </c>
    </row>
    <row r="19665" spans="1:2" x14ac:dyDescent="0.4">
      <c r="A19665" s="4">
        <v>505300200</v>
      </c>
      <c r="B19665">
        <v>8200200</v>
      </c>
    </row>
    <row r="19666" spans="1:2" x14ac:dyDescent="0.4">
      <c r="A19666" s="4">
        <v>505300200</v>
      </c>
      <c r="B19666">
        <v>8200201</v>
      </c>
    </row>
    <row r="19667" spans="1:2" x14ac:dyDescent="0.4">
      <c r="A19667" s="4">
        <v>505300200</v>
      </c>
      <c r="B19667">
        <v>8200202</v>
      </c>
    </row>
    <row r="19668" spans="1:2" x14ac:dyDescent="0.4">
      <c r="A19668" s="4">
        <v>505300200</v>
      </c>
      <c r="B19668">
        <v>8200300</v>
      </c>
    </row>
    <row r="19669" spans="1:2" x14ac:dyDescent="0.4">
      <c r="A19669" s="4">
        <v>505300200</v>
      </c>
      <c r="B19669">
        <v>8200301</v>
      </c>
    </row>
    <row r="19670" spans="1:2" x14ac:dyDescent="0.4">
      <c r="A19670" s="4">
        <v>505300200</v>
      </c>
      <c r="B19670">
        <v>8200302</v>
      </c>
    </row>
    <row r="19671" spans="1:2" x14ac:dyDescent="0.4">
      <c r="A19671" s="4">
        <v>505300200</v>
      </c>
      <c r="B19671">
        <v>8200400</v>
      </c>
    </row>
    <row r="19672" spans="1:2" x14ac:dyDescent="0.4">
      <c r="A19672" s="4">
        <v>505300200</v>
      </c>
      <c r="B19672">
        <v>8200401</v>
      </c>
    </row>
    <row r="19673" spans="1:2" x14ac:dyDescent="0.4">
      <c r="A19673" s="4">
        <v>505300200</v>
      </c>
      <c r="B19673">
        <v>8200402</v>
      </c>
    </row>
    <row r="19674" spans="1:2" x14ac:dyDescent="0.4">
      <c r="A19674" s="4">
        <v>505300200</v>
      </c>
      <c r="B19674">
        <v>8210000</v>
      </c>
    </row>
    <row r="19675" spans="1:2" x14ac:dyDescent="0.4">
      <c r="A19675" s="4">
        <v>505300200</v>
      </c>
      <c r="B19675">
        <v>8210001</v>
      </c>
    </row>
    <row r="19676" spans="1:2" x14ac:dyDescent="0.4">
      <c r="A19676" s="4">
        <v>505300200</v>
      </c>
      <c r="B19676">
        <v>8210002</v>
      </c>
    </row>
    <row r="19677" spans="1:2" x14ac:dyDescent="0.4">
      <c r="A19677" s="4">
        <v>505300200</v>
      </c>
      <c r="B19677">
        <v>8210100</v>
      </c>
    </row>
    <row r="19678" spans="1:2" x14ac:dyDescent="0.4">
      <c r="A19678" s="4">
        <v>505300200</v>
      </c>
      <c r="B19678">
        <v>8210101</v>
      </c>
    </row>
    <row r="19679" spans="1:2" x14ac:dyDescent="0.4">
      <c r="A19679" s="4">
        <v>505300200</v>
      </c>
      <c r="B19679">
        <v>8210102</v>
      </c>
    </row>
    <row r="19680" spans="1:2" x14ac:dyDescent="0.4">
      <c r="A19680" s="4">
        <v>505300200</v>
      </c>
      <c r="B19680">
        <v>8210200</v>
      </c>
    </row>
    <row r="19681" spans="1:2" x14ac:dyDescent="0.4">
      <c r="A19681" s="4">
        <v>505300200</v>
      </c>
      <c r="B19681">
        <v>8210201</v>
      </c>
    </row>
    <row r="19682" spans="1:2" x14ac:dyDescent="0.4">
      <c r="A19682" s="4">
        <v>505300200</v>
      </c>
      <c r="B19682">
        <v>8210202</v>
      </c>
    </row>
    <row r="19683" spans="1:2" x14ac:dyDescent="0.4">
      <c r="A19683" s="4">
        <v>505300200</v>
      </c>
      <c r="B19683">
        <v>8210300</v>
      </c>
    </row>
    <row r="19684" spans="1:2" x14ac:dyDescent="0.4">
      <c r="A19684" s="4">
        <v>505300200</v>
      </c>
      <c r="B19684">
        <v>8210301</v>
      </c>
    </row>
    <row r="19685" spans="1:2" x14ac:dyDescent="0.4">
      <c r="A19685" s="4">
        <v>505300200</v>
      </c>
      <c r="B19685">
        <v>8210302</v>
      </c>
    </row>
    <row r="19686" spans="1:2" x14ac:dyDescent="0.4">
      <c r="A19686" s="4">
        <v>505300200</v>
      </c>
      <c r="B19686">
        <v>8210400</v>
      </c>
    </row>
    <row r="19687" spans="1:2" x14ac:dyDescent="0.4">
      <c r="A19687" s="4">
        <v>505300200</v>
      </c>
      <c r="B19687">
        <v>8210401</v>
      </c>
    </row>
    <row r="19688" spans="1:2" x14ac:dyDescent="0.4">
      <c r="A19688" s="4">
        <v>505300200</v>
      </c>
      <c r="B19688">
        <v>8210402</v>
      </c>
    </row>
    <row r="19689" spans="1:2" x14ac:dyDescent="0.4">
      <c r="A19689" s="4">
        <v>505300200</v>
      </c>
      <c r="B19689">
        <v>8210500</v>
      </c>
    </row>
    <row r="19690" spans="1:2" x14ac:dyDescent="0.4">
      <c r="A19690" s="4">
        <v>505300200</v>
      </c>
      <c r="B19690">
        <v>8210501</v>
      </c>
    </row>
    <row r="19691" spans="1:2" x14ac:dyDescent="0.4">
      <c r="A19691" s="4">
        <v>505300200</v>
      </c>
      <c r="B19691">
        <v>8210502</v>
      </c>
    </row>
    <row r="19692" spans="1:2" x14ac:dyDescent="0.4">
      <c r="A19692" s="4">
        <v>505300200</v>
      </c>
      <c r="B19692">
        <v>8210600</v>
      </c>
    </row>
    <row r="19693" spans="1:2" x14ac:dyDescent="0.4">
      <c r="A19693" s="4">
        <v>505300200</v>
      </c>
      <c r="B19693">
        <v>8210601</v>
      </c>
    </row>
    <row r="19694" spans="1:2" x14ac:dyDescent="0.4">
      <c r="A19694" s="4">
        <v>505300200</v>
      </c>
      <c r="B19694">
        <v>8210602</v>
      </c>
    </row>
    <row r="19695" spans="1:2" x14ac:dyDescent="0.4">
      <c r="A19695" s="4">
        <v>505300200</v>
      </c>
      <c r="B19695">
        <v>8220000</v>
      </c>
    </row>
    <row r="19696" spans="1:2" x14ac:dyDescent="0.4">
      <c r="A19696" s="4">
        <v>505300200</v>
      </c>
      <c r="B19696">
        <v>8220001</v>
      </c>
    </row>
    <row r="19697" spans="1:2" x14ac:dyDescent="0.4">
      <c r="A19697" s="4">
        <v>505300200</v>
      </c>
      <c r="B19697">
        <v>8220002</v>
      </c>
    </row>
    <row r="19698" spans="1:2" x14ac:dyDescent="0.4">
      <c r="A19698" s="4">
        <v>505300200</v>
      </c>
      <c r="B19698">
        <v>8300000</v>
      </c>
    </row>
    <row r="19699" spans="1:2" x14ac:dyDescent="0.4">
      <c r="A19699" s="4">
        <v>505300200</v>
      </c>
      <c r="B19699">
        <v>8300001</v>
      </c>
    </row>
    <row r="19700" spans="1:2" x14ac:dyDescent="0.4">
      <c r="A19700" s="4">
        <v>505300200</v>
      </c>
      <c r="B19700">
        <v>8300002</v>
      </c>
    </row>
    <row r="19701" spans="1:2" x14ac:dyDescent="0.4">
      <c r="A19701" s="4">
        <v>505300200</v>
      </c>
      <c r="B19701">
        <v>8310000</v>
      </c>
    </row>
    <row r="19702" spans="1:2" x14ac:dyDescent="0.4">
      <c r="A19702" s="4">
        <v>505300200</v>
      </c>
      <c r="B19702">
        <v>8310001</v>
      </c>
    </row>
    <row r="19703" spans="1:2" x14ac:dyDescent="0.4">
      <c r="A19703" s="4">
        <v>505300200</v>
      </c>
      <c r="B19703">
        <v>8310002</v>
      </c>
    </row>
    <row r="19704" spans="1:2" x14ac:dyDescent="0.4">
      <c r="A19704" s="4">
        <v>505300200</v>
      </c>
      <c r="B19704">
        <v>8320000</v>
      </c>
    </row>
    <row r="19705" spans="1:2" x14ac:dyDescent="0.4">
      <c r="A19705" s="4">
        <v>505300200</v>
      </c>
      <c r="B19705">
        <v>8320001</v>
      </c>
    </row>
    <row r="19706" spans="1:2" x14ac:dyDescent="0.4">
      <c r="A19706" s="4">
        <v>505300200</v>
      </c>
      <c r="B19706">
        <v>8320002</v>
      </c>
    </row>
    <row r="19707" spans="1:2" x14ac:dyDescent="0.4">
      <c r="A19707" s="4">
        <v>505300200</v>
      </c>
      <c r="B19707">
        <v>8320100</v>
      </c>
    </row>
    <row r="19708" spans="1:2" x14ac:dyDescent="0.4">
      <c r="A19708" s="4">
        <v>505300200</v>
      </c>
      <c r="B19708">
        <v>8320101</v>
      </c>
    </row>
    <row r="19709" spans="1:2" x14ac:dyDescent="0.4">
      <c r="A19709" s="4">
        <v>505300200</v>
      </c>
      <c r="B19709">
        <v>8320102</v>
      </c>
    </row>
    <row r="19710" spans="1:2" x14ac:dyDescent="0.4">
      <c r="A19710" s="4">
        <v>505300200</v>
      </c>
      <c r="B19710">
        <v>8320300</v>
      </c>
    </row>
    <row r="19711" spans="1:2" x14ac:dyDescent="0.4">
      <c r="A19711" s="4">
        <v>505300200</v>
      </c>
      <c r="B19711">
        <v>8320301</v>
      </c>
    </row>
    <row r="19712" spans="1:2" x14ac:dyDescent="0.4">
      <c r="A19712" s="4">
        <v>505300200</v>
      </c>
      <c r="B19712">
        <v>8320302</v>
      </c>
    </row>
    <row r="19713" spans="1:2" x14ac:dyDescent="0.4">
      <c r="A19713" s="4">
        <v>505300200</v>
      </c>
      <c r="B19713">
        <v>8320400</v>
      </c>
    </row>
    <row r="19714" spans="1:2" x14ac:dyDescent="0.4">
      <c r="A19714" s="4">
        <v>505300200</v>
      </c>
      <c r="B19714">
        <v>8320410</v>
      </c>
    </row>
    <row r="19715" spans="1:2" x14ac:dyDescent="0.4">
      <c r="A19715" s="4">
        <v>505300200</v>
      </c>
      <c r="B19715">
        <v>8320420</v>
      </c>
    </row>
    <row r="19716" spans="1:2" x14ac:dyDescent="0.4">
      <c r="A19716" s="4">
        <v>505300200</v>
      </c>
      <c r="B19716">
        <v>8330000</v>
      </c>
    </row>
    <row r="19717" spans="1:2" x14ac:dyDescent="0.4">
      <c r="A19717" s="4">
        <v>505300200</v>
      </c>
      <c r="B19717">
        <v>8330001</v>
      </c>
    </row>
    <row r="19718" spans="1:2" x14ac:dyDescent="0.4">
      <c r="A19718" s="4">
        <v>505300200</v>
      </c>
      <c r="B19718">
        <v>8330002</v>
      </c>
    </row>
    <row r="19719" spans="1:2" x14ac:dyDescent="0.4">
      <c r="A19719" s="4">
        <v>505300200</v>
      </c>
      <c r="B19719">
        <v>8330100</v>
      </c>
    </row>
    <row r="19720" spans="1:2" x14ac:dyDescent="0.4">
      <c r="A19720" s="4">
        <v>505300200</v>
      </c>
      <c r="B19720">
        <v>8330101</v>
      </c>
    </row>
    <row r="19721" spans="1:2" x14ac:dyDescent="0.4">
      <c r="A19721" s="4">
        <v>505300200</v>
      </c>
      <c r="B19721">
        <v>8330102</v>
      </c>
    </row>
    <row r="19722" spans="1:2" x14ac:dyDescent="0.4">
      <c r="A19722" s="4">
        <v>505300200</v>
      </c>
      <c r="B19722">
        <v>8330200</v>
      </c>
    </row>
    <row r="19723" spans="1:2" x14ac:dyDescent="0.4">
      <c r="A19723" s="4">
        <v>505300200</v>
      </c>
      <c r="B19723">
        <v>8330201</v>
      </c>
    </row>
    <row r="19724" spans="1:2" x14ac:dyDescent="0.4">
      <c r="A19724" s="4">
        <v>505300200</v>
      </c>
      <c r="B19724">
        <v>8330202</v>
      </c>
    </row>
    <row r="19725" spans="1:2" x14ac:dyDescent="0.4">
      <c r="A19725" s="4">
        <v>505300200</v>
      </c>
      <c r="B19725">
        <v>8330300</v>
      </c>
    </row>
    <row r="19726" spans="1:2" x14ac:dyDescent="0.4">
      <c r="A19726" s="4">
        <v>505300200</v>
      </c>
      <c r="B19726">
        <v>8330301</v>
      </c>
    </row>
    <row r="19727" spans="1:2" x14ac:dyDescent="0.4">
      <c r="A19727" s="4">
        <v>505300200</v>
      </c>
      <c r="B19727">
        <v>8330302</v>
      </c>
    </row>
    <row r="19728" spans="1:2" x14ac:dyDescent="0.4">
      <c r="A19728" s="4">
        <v>505300200</v>
      </c>
      <c r="B19728">
        <v>8330400</v>
      </c>
    </row>
    <row r="19729" spans="1:2" x14ac:dyDescent="0.4">
      <c r="A19729" s="4">
        <v>505300200</v>
      </c>
      <c r="B19729">
        <v>8330401</v>
      </c>
    </row>
    <row r="19730" spans="1:2" x14ac:dyDescent="0.4">
      <c r="A19730" s="4">
        <v>505300200</v>
      </c>
      <c r="B19730">
        <v>8330600</v>
      </c>
    </row>
    <row r="19731" spans="1:2" x14ac:dyDescent="0.4">
      <c r="A19731" s="4">
        <v>505300200</v>
      </c>
      <c r="B19731">
        <v>8330601</v>
      </c>
    </row>
    <row r="19732" spans="1:2" x14ac:dyDescent="0.4">
      <c r="A19732" s="4">
        <v>505300200</v>
      </c>
      <c r="B19732">
        <v>8330602</v>
      </c>
    </row>
    <row r="19733" spans="1:2" x14ac:dyDescent="0.4">
      <c r="A19733" s="4">
        <v>505300200</v>
      </c>
      <c r="B19733">
        <v>8330900</v>
      </c>
    </row>
    <row r="19734" spans="1:2" x14ac:dyDescent="0.4">
      <c r="A19734" s="4">
        <v>505300200</v>
      </c>
      <c r="B19734">
        <v>8330910</v>
      </c>
    </row>
    <row r="19735" spans="1:2" x14ac:dyDescent="0.4">
      <c r="A19735" s="4">
        <v>505300200</v>
      </c>
      <c r="B19735">
        <v>8330920</v>
      </c>
    </row>
    <row r="19736" spans="1:2" x14ac:dyDescent="0.4">
      <c r="A19736" s="4">
        <v>505300200</v>
      </c>
      <c r="B19736">
        <v>8340000</v>
      </c>
    </row>
    <row r="19737" spans="1:2" x14ac:dyDescent="0.4">
      <c r="A19737" s="4">
        <v>505300200</v>
      </c>
      <c r="B19737">
        <v>8340001</v>
      </c>
    </row>
    <row r="19738" spans="1:2" x14ac:dyDescent="0.4">
      <c r="A19738" s="4">
        <v>505300200</v>
      </c>
      <c r="B19738">
        <v>8340002</v>
      </c>
    </row>
    <row r="19739" spans="1:2" x14ac:dyDescent="0.4">
      <c r="A19739" s="4">
        <v>505300200</v>
      </c>
      <c r="B19739">
        <v>8340100</v>
      </c>
    </row>
    <row r="19740" spans="1:2" x14ac:dyDescent="0.4">
      <c r="A19740" s="4">
        <v>505300200</v>
      </c>
      <c r="B19740">
        <v>8340101</v>
      </c>
    </row>
    <row r="19741" spans="1:2" x14ac:dyDescent="0.4">
      <c r="A19741" s="4">
        <v>505300200</v>
      </c>
      <c r="B19741">
        <v>8340102</v>
      </c>
    </row>
    <row r="19742" spans="1:2" x14ac:dyDescent="0.4">
      <c r="A19742" s="4">
        <v>505300200</v>
      </c>
      <c r="B19742">
        <v>8350000</v>
      </c>
    </row>
    <row r="19743" spans="1:2" x14ac:dyDescent="0.4">
      <c r="A19743" s="4">
        <v>505300200</v>
      </c>
      <c r="B19743">
        <v>8350001</v>
      </c>
    </row>
    <row r="19744" spans="1:2" x14ac:dyDescent="0.4">
      <c r="A19744" s="4">
        <v>505300200</v>
      </c>
      <c r="B19744">
        <v>8350002</v>
      </c>
    </row>
    <row r="19745" spans="1:2" x14ac:dyDescent="0.4">
      <c r="A19745" s="4">
        <v>505300200</v>
      </c>
      <c r="B19745">
        <v>8350200</v>
      </c>
    </row>
    <row r="19746" spans="1:2" x14ac:dyDescent="0.4">
      <c r="A19746" s="4">
        <v>505300200</v>
      </c>
      <c r="B19746">
        <v>8350201</v>
      </c>
    </row>
    <row r="19747" spans="1:2" x14ac:dyDescent="0.4">
      <c r="A19747" s="4">
        <v>505300200</v>
      </c>
      <c r="B19747">
        <v>8350202</v>
      </c>
    </row>
    <row r="19748" spans="1:2" x14ac:dyDescent="0.4">
      <c r="A19748" s="4">
        <v>505300200</v>
      </c>
      <c r="B19748">
        <v>8420000</v>
      </c>
    </row>
    <row r="19749" spans="1:2" x14ac:dyDescent="0.4">
      <c r="A19749" s="4">
        <v>505300200</v>
      </c>
      <c r="B19749">
        <v>8420001</v>
      </c>
    </row>
    <row r="19750" spans="1:2" x14ac:dyDescent="0.4">
      <c r="A19750" s="4">
        <v>505300200</v>
      </c>
      <c r="B19750">
        <v>8420002</v>
      </c>
    </row>
    <row r="19751" spans="1:2" x14ac:dyDescent="0.4">
      <c r="A19751" s="4">
        <v>505300200</v>
      </c>
      <c r="B19751">
        <v>8450000</v>
      </c>
    </row>
    <row r="19752" spans="1:2" x14ac:dyDescent="0.4">
      <c r="A19752" s="4">
        <v>505300200</v>
      </c>
      <c r="B19752">
        <v>8460100</v>
      </c>
    </row>
    <row r="19753" spans="1:2" x14ac:dyDescent="0.4">
      <c r="A19753" s="4">
        <v>505300200</v>
      </c>
      <c r="B19753">
        <v>8460300</v>
      </c>
    </row>
    <row r="19754" spans="1:2" x14ac:dyDescent="0.4">
      <c r="A19754" s="4">
        <v>505300200</v>
      </c>
      <c r="B19754">
        <v>8460500</v>
      </c>
    </row>
    <row r="19755" spans="1:2" x14ac:dyDescent="0.4">
      <c r="A19755" s="4">
        <v>505300200</v>
      </c>
      <c r="B19755">
        <v>8510000</v>
      </c>
    </row>
    <row r="19756" spans="1:2" x14ac:dyDescent="0.4">
      <c r="A19756" s="4">
        <v>505300200</v>
      </c>
      <c r="B19756">
        <v>8510001</v>
      </c>
    </row>
    <row r="19757" spans="1:2" x14ac:dyDescent="0.4">
      <c r="A19757" s="4">
        <v>505300200</v>
      </c>
      <c r="B19757">
        <v>8510002</v>
      </c>
    </row>
    <row r="19758" spans="1:2" x14ac:dyDescent="0.4">
      <c r="A19758" s="4">
        <v>505300200</v>
      </c>
      <c r="B19758">
        <v>8520000</v>
      </c>
    </row>
    <row r="19759" spans="1:2" x14ac:dyDescent="0.4">
      <c r="A19759" s="4">
        <v>505300200</v>
      </c>
      <c r="B19759">
        <v>8520001</v>
      </c>
    </row>
    <row r="19760" spans="1:2" x14ac:dyDescent="0.4">
      <c r="A19760" s="4">
        <v>505300200</v>
      </c>
      <c r="B19760">
        <v>8520002</v>
      </c>
    </row>
    <row r="19761" spans="1:2" x14ac:dyDescent="0.4">
      <c r="A19761" s="4">
        <v>505300200</v>
      </c>
      <c r="B19761">
        <v>8530000</v>
      </c>
    </row>
    <row r="19762" spans="1:2" x14ac:dyDescent="0.4">
      <c r="A19762" s="4">
        <v>505300200</v>
      </c>
      <c r="B19762">
        <v>8530100</v>
      </c>
    </row>
    <row r="19763" spans="1:2" x14ac:dyDescent="0.4">
      <c r="A19763" s="4">
        <v>505300200</v>
      </c>
      <c r="B19763">
        <v>8540000</v>
      </c>
    </row>
    <row r="19764" spans="1:2" x14ac:dyDescent="0.4">
      <c r="A19764" s="4">
        <v>505300200</v>
      </c>
      <c r="B19764">
        <v>8600100</v>
      </c>
    </row>
    <row r="19765" spans="1:2" x14ac:dyDescent="0.4">
      <c r="A19765" s="4">
        <v>505300200</v>
      </c>
      <c r="B19765">
        <v>8600101</v>
      </c>
    </row>
    <row r="19766" spans="1:2" x14ac:dyDescent="0.4">
      <c r="A19766" s="4">
        <v>505300200</v>
      </c>
      <c r="B19766">
        <v>8600102</v>
      </c>
    </row>
    <row r="19767" spans="1:2" x14ac:dyDescent="0.4">
      <c r="A19767" s="4">
        <v>505300200</v>
      </c>
      <c r="B19767">
        <v>8600200</v>
      </c>
    </row>
    <row r="19768" spans="1:2" x14ac:dyDescent="0.4">
      <c r="A19768" s="4">
        <v>505300200</v>
      </c>
      <c r="B19768">
        <v>8600201</v>
      </c>
    </row>
    <row r="19769" spans="1:2" x14ac:dyDescent="0.4">
      <c r="A19769" s="4">
        <v>505300200</v>
      </c>
      <c r="B19769">
        <v>8600202</v>
      </c>
    </row>
    <row r="19770" spans="1:2" x14ac:dyDescent="0.4">
      <c r="A19770" s="4">
        <v>505300200</v>
      </c>
      <c r="B19770">
        <v>8610300</v>
      </c>
    </row>
    <row r="19771" spans="1:2" x14ac:dyDescent="0.4">
      <c r="A19771" s="4">
        <v>505300200</v>
      </c>
      <c r="B19771">
        <v>8610400</v>
      </c>
    </row>
    <row r="19772" spans="1:2" x14ac:dyDescent="0.4">
      <c r="A19772" s="4">
        <v>505300200</v>
      </c>
      <c r="B19772">
        <v>8610500</v>
      </c>
    </row>
    <row r="19773" spans="1:2" x14ac:dyDescent="0.4">
      <c r="A19773" s="4">
        <v>505300200</v>
      </c>
      <c r="B19773">
        <v>8610600</v>
      </c>
    </row>
    <row r="19774" spans="1:2" x14ac:dyDescent="0.4">
      <c r="A19774" s="4">
        <v>505300200</v>
      </c>
      <c r="B19774">
        <v>8610700</v>
      </c>
    </row>
    <row r="19775" spans="1:2" x14ac:dyDescent="0.4">
      <c r="A19775" s="4">
        <v>505300200</v>
      </c>
      <c r="B19775">
        <v>8610710</v>
      </c>
    </row>
    <row r="19776" spans="1:2" x14ac:dyDescent="0.4">
      <c r="A19776" s="4">
        <v>505300200</v>
      </c>
      <c r="B19776">
        <v>8610720</v>
      </c>
    </row>
    <row r="19777" spans="1:2" x14ac:dyDescent="0.4">
      <c r="A19777" s="4">
        <v>505300200</v>
      </c>
      <c r="B19777">
        <v>8620000</v>
      </c>
    </row>
    <row r="19778" spans="1:2" x14ac:dyDescent="0.4">
      <c r="A19778" s="4">
        <v>505300200</v>
      </c>
      <c r="B19778">
        <v>8620010</v>
      </c>
    </row>
    <row r="19779" spans="1:2" x14ac:dyDescent="0.4">
      <c r="A19779" s="4">
        <v>505300200</v>
      </c>
      <c r="B19779">
        <v>8620020</v>
      </c>
    </row>
    <row r="19780" spans="1:2" x14ac:dyDescent="0.4">
      <c r="A19780" s="4">
        <v>505300200</v>
      </c>
      <c r="B19780">
        <v>8620100</v>
      </c>
    </row>
    <row r="19781" spans="1:2" x14ac:dyDescent="0.4">
      <c r="A19781" s="4">
        <v>505300200</v>
      </c>
      <c r="B19781">
        <v>8620110</v>
      </c>
    </row>
    <row r="19782" spans="1:2" x14ac:dyDescent="0.4">
      <c r="A19782" s="4">
        <v>505300200</v>
      </c>
      <c r="B19782">
        <v>8620120</v>
      </c>
    </row>
    <row r="19783" spans="1:2" x14ac:dyDescent="0.4">
      <c r="A19783" s="4">
        <v>505300200</v>
      </c>
      <c r="B19783">
        <v>8630000</v>
      </c>
    </row>
    <row r="19784" spans="1:2" x14ac:dyDescent="0.4">
      <c r="A19784" s="4">
        <v>505300200</v>
      </c>
      <c r="B19784">
        <v>8630000</v>
      </c>
    </row>
    <row r="19785" spans="1:2" x14ac:dyDescent="0.4">
      <c r="A19785" s="4">
        <v>505300200</v>
      </c>
      <c r="B19785">
        <v>8630000</v>
      </c>
    </row>
    <row r="19786" spans="1:2" x14ac:dyDescent="0.4">
      <c r="A19786" s="4">
        <v>505300200</v>
      </c>
      <c r="B19786">
        <v>8630100</v>
      </c>
    </row>
    <row r="19787" spans="1:2" x14ac:dyDescent="0.4">
      <c r="A19787" s="4">
        <v>505300200</v>
      </c>
      <c r="B19787">
        <v>8630100</v>
      </c>
    </row>
    <row r="19788" spans="1:2" x14ac:dyDescent="0.4">
      <c r="A19788" s="4">
        <v>505300200</v>
      </c>
      <c r="B19788">
        <v>8630100</v>
      </c>
    </row>
    <row r="19789" spans="1:2" x14ac:dyDescent="0.4">
      <c r="A19789" s="4">
        <v>505300200</v>
      </c>
      <c r="B19789">
        <v>8652000</v>
      </c>
    </row>
    <row r="19790" spans="1:2" x14ac:dyDescent="0.4">
      <c r="A19790" s="4">
        <v>505300200</v>
      </c>
      <c r="B19790">
        <v>8652010</v>
      </c>
    </row>
    <row r="19791" spans="1:2" x14ac:dyDescent="0.4">
      <c r="A19791" s="4">
        <v>505300200</v>
      </c>
      <c r="B19791">
        <v>8652020</v>
      </c>
    </row>
    <row r="19792" spans="1:2" x14ac:dyDescent="0.4">
      <c r="A19792" s="4">
        <v>505300200</v>
      </c>
      <c r="B19792">
        <v>8652100</v>
      </c>
    </row>
    <row r="19793" spans="1:2" x14ac:dyDescent="0.4">
      <c r="A19793" s="4">
        <v>505300200</v>
      </c>
      <c r="B19793">
        <v>8652110</v>
      </c>
    </row>
    <row r="19794" spans="1:2" x14ac:dyDescent="0.4">
      <c r="A19794" s="4">
        <v>505300200</v>
      </c>
      <c r="B19794">
        <v>8652120</v>
      </c>
    </row>
    <row r="19795" spans="1:2" x14ac:dyDescent="0.4">
      <c r="A19795" s="4">
        <v>505300200</v>
      </c>
      <c r="B19795">
        <v>8660000</v>
      </c>
    </row>
    <row r="19796" spans="1:2" x14ac:dyDescent="0.4">
      <c r="A19796" s="4">
        <v>505300200</v>
      </c>
      <c r="B19796">
        <v>8660001</v>
      </c>
    </row>
    <row r="19797" spans="1:2" x14ac:dyDescent="0.4">
      <c r="A19797" s="4">
        <v>505300200</v>
      </c>
      <c r="B19797">
        <v>8660002</v>
      </c>
    </row>
    <row r="19798" spans="1:2" x14ac:dyDescent="0.4">
      <c r="A19798" s="4">
        <v>505300200</v>
      </c>
      <c r="B19798">
        <v>8660100</v>
      </c>
    </row>
    <row r="19799" spans="1:2" x14ac:dyDescent="0.4">
      <c r="A19799" s="4">
        <v>505300200</v>
      </c>
      <c r="B19799">
        <v>8660101</v>
      </c>
    </row>
    <row r="19800" spans="1:2" x14ac:dyDescent="0.4">
      <c r="A19800" s="4">
        <v>505300200</v>
      </c>
      <c r="B19800">
        <v>8660102</v>
      </c>
    </row>
    <row r="19801" spans="1:2" x14ac:dyDescent="0.4">
      <c r="A19801" s="4">
        <v>505300200</v>
      </c>
      <c r="B19801">
        <v>8670000</v>
      </c>
    </row>
    <row r="19802" spans="1:2" x14ac:dyDescent="0.4">
      <c r="A19802" s="4">
        <v>505300200</v>
      </c>
      <c r="B19802">
        <v>8670001</v>
      </c>
    </row>
    <row r="19803" spans="1:2" x14ac:dyDescent="0.4">
      <c r="A19803" s="4">
        <v>505300200</v>
      </c>
      <c r="B19803">
        <v>8670002</v>
      </c>
    </row>
    <row r="19804" spans="1:2" x14ac:dyDescent="0.4">
      <c r="A19804" s="4">
        <v>505300200</v>
      </c>
      <c r="B19804">
        <v>8670100</v>
      </c>
    </row>
    <row r="19805" spans="1:2" x14ac:dyDescent="0.4">
      <c r="A19805" s="4">
        <v>505300200</v>
      </c>
      <c r="B19805">
        <v>8670101</v>
      </c>
    </row>
    <row r="19806" spans="1:2" x14ac:dyDescent="0.4">
      <c r="A19806" s="4">
        <v>505300200</v>
      </c>
      <c r="B19806">
        <v>8670102</v>
      </c>
    </row>
    <row r="19807" spans="1:2" x14ac:dyDescent="0.4">
      <c r="A19807" s="4">
        <v>505300200</v>
      </c>
      <c r="B19807">
        <v>8690000</v>
      </c>
    </row>
    <row r="19808" spans="1:2" x14ac:dyDescent="0.4">
      <c r="A19808" s="4">
        <v>505300200</v>
      </c>
      <c r="B19808">
        <v>8690100</v>
      </c>
    </row>
    <row r="19809" spans="1:2" x14ac:dyDescent="0.4">
      <c r="A19809" s="4">
        <v>505300200</v>
      </c>
      <c r="B19809">
        <v>8690200</v>
      </c>
    </row>
    <row r="19810" spans="1:2" x14ac:dyDescent="0.4">
      <c r="A19810" s="4">
        <v>505300200</v>
      </c>
      <c r="B19810">
        <v>8690300</v>
      </c>
    </row>
    <row r="19811" spans="1:2" x14ac:dyDescent="0.4">
      <c r="A19811" s="4">
        <v>505300200</v>
      </c>
      <c r="B19811">
        <v>8690400</v>
      </c>
    </row>
    <row r="19812" spans="1:2" x14ac:dyDescent="0.4">
      <c r="A19812" s="4">
        <v>505300200</v>
      </c>
      <c r="B19812">
        <v>8850000</v>
      </c>
    </row>
    <row r="19813" spans="1:2" x14ac:dyDescent="0.4">
      <c r="A19813" s="4">
        <v>505300200</v>
      </c>
      <c r="B19813">
        <v>8850100</v>
      </c>
    </row>
    <row r="19814" spans="1:2" x14ac:dyDescent="0.4">
      <c r="A19814" s="4">
        <v>505300200</v>
      </c>
      <c r="B19814">
        <v>8850200</v>
      </c>
    </row>
    <row r="19815" spans="1:2" x14ac:dyDescent="0.4">
      <c r="A19815" s="4">
        <v>505300200</v>
      </c>
      <c r="B19815">
        <v>8850300</v>
      </c>
    </row>
    <row r="19816" spans="1:2" x14ac:dyDescent="0.4">
      <c r="A19816" s="4">
        <v>505300200</v>
      </c>
      <c r="B19816">
        <v>8850400</v>
      </c>
    </row>
    <row r="19817" spans="1:2" x14ac:dyDescent="0.4">
      <c r="A19817" s="4">
        <v>505300200</v>
      </c>
      <c r="B19817">
        <v>8850500</v>
      </c>
    </row>
    <row r="19818" spans="1:2" x14ac:dyDescent="0.4">
      <c r="A19818" s="4">
        <v>505300200</v>
      </c>
      <c r="B19818">
        <v>8850600</v>
      </c>
    </row>
    <row r="19819" spans="1:2" x14ac:dyDescent="0.4">
      <c r="A19819" s="4">
        <v>505300200</v>
      </c>
      <c r="B19819">
        <v>8850700</v>
      </c>
    </row>
    <row r="19820" spans="1:2" x14ac:dyDescent="0.4">
      <c r="A19820" s="4">
        <v>505300200</v>
      </c>
      <c r="B19820">
        <v>8850800</v>
      </c>
    </row>
    <row r="19821" spans="1:2" x14ac:dyDescent="0.4">
      <c r="A19821" s="4">
        <v>505300200</v>
      </c>
      <c r="B19821">
        <v>8850900</v>
      </c>
    </row>
    <row r="19822" spans="1:2" x14ac:dyDescent="0.4">
      <c r="A19822" s="4">
        <v>505300200</v>
      </c>
      <c r="B19822">
        <v>8851000</v>
      </c>
    </row>
    <row r="19823" spans="1:2" x14ac:dyDescent="0.4">
      <c r="A19823" s="4">
        <v>505300200</v>
      </c>
      <c r="B19823">
        <v>8851100</v>
      </c>
    </row>
    <row r="19824" spans="1:2" x14ac:dyDescent="0.4">
      <c r="A19824" s="4">
        <v>505300200</v>
      </c>
      <c r="B19824">
        <v>8851200</v>
      </c>
    </row>
    <row r="19825" spans="1:2" x14ac:dyDescent="0.4">
      <c r="A19825" s="4">
        <v>505300200</v>
      </c>
      <c r="B19825">
        <v>8851300</v>
      </c>
    </row>
    <row r="19826" spans="1:2" x14ac:dyDescent="0.4">
      <c r="A19826" s="4">
        <v>505300200</v>
      </c>
      <c r="B19826">
        <v>8851800</v>
      </c>
    </row>
    <row r="19827" spans="1:2" x14ac:dyDescent="0.4">
      <c r="A19827" s="4">
        <v>505300200</v>
      </c>
      <c r="B19827">
        <v>8851900</v>
      </c>
    </row>
    <row r="19828" spans="1:2" x14ac:dyDescent="0.4">
      <c r="A19828" s="4">
        <v>505300200</v>
      </c>
      <c r="B19828">
        <v>8852000</v>
      </c>
    </row>
    <row r="19829" spans="1:2" x14ac:dyDescent="0.4">
      <c r="A19829" s="4">
        <v>505300200</v>
      </c>
      <c r="B19829">
        <v>8320500</v>
      </c>
    </row>
    <row r="19830" spans="1:2" x14ac:dyDescent="0.4">
      <c r="A19830" s="4">
        <v>505300200</v>
      </c>
      <c r="B19830">
        <v>8320510</v>
      </c>
    </row>
    <row r="19831" spans="1:2" x14ac:dyDescent="0.4">
      <c r="A19831" s="4">
        <v>505300200</v>
      </c>
      <c r="B19831">
        <v>8320520</v>
      </c>
    </row>
    <row r="19832" spans="1:2" x14ac:dyDescent="0.4">
      <c r="A19832" s="4">
        <v>505300200</v>
      </c>
      <c r="B19832">
        <v>8320600</v>
      </c>
    </row>
    <row r="19833" spans="1:2" x14ac:dyDescent="0.4">
      <c r="A19833" s="4">
        <v>505300200</v>
      </c>
      <c r="B19833">
        <v>8320610</v>
      </c>
    </row>
    <row r="19834" spans="1:2" x14ac:dyDescent="0.4">
      <c r="A19834" s="4">
        <v>505300200</v>
      </c>
      <c r="B19834">
        <v>8320620</v>
      </c>
    </row>
    <row r="19835" spans="1:2" x14ac:dyDescent="0.4">
      <c r="A19835" s="4">
        <v>505300200</v>
      </c>
      <c r="B19835">
        <v>8320700</v>
      </c>
    </row>
    <row r="19836" spans="1:2" x14ac:dyDescent="0.4">
      <c r="A19836" s="4">
        <v>505300200</v>
      </c>
      <c r="B19836">
        <v>8320710</v>
      </c>
    </row>
    <row r="19837" spans="1:2" x14ac:dyDescent="0.4">
      <c r="A19837" s="4">
        <v>505300200</v>
      </c>
      <c r="B19837">
        <v>8320720</v>
      </c>
    </row>
    <row r="19838" spans="1:2" x14ac:dyDescent="0.4">
      <c r="A19838" s="4">
        <v>505400100</v>
      </c>
      <c r="B19838">
        <v>0</v>
      </c>
    </row>
    <row r="19839" spans="1:2" x14ac:dyDescent="0.4">
      <c r="A19839" s="4">
        <v>505400100</v>
      </c>
      <c r="B19839">
        <v>8100100</v>
      </c>
    </row>
    <row r="19840" spans="1:2" x14ac:dyDescent="0.4">
      <c r="A19840" s="4">
        <v>505400100</v>
      </c>
      <c r="B19840">
        <v>8100101</v>
      </c>
    </row>
    <row r="19841" spans="1:2" x14ac:dyDescent="0.4">
      <c r="A19841" s="4">
        <v>505400100</v>
      </c>
      <c r="B19841">
        <v>8100102</v>
      </c>
    </row>
    <row r="19842" spans="1:2" x14ac:dyDescent="0.4">
      <c r="A19842" s="4">
        <v>505400100</v>
      </c>
      <c r="B19842">
        <v>8100200</v>
      </c>
    </row>
    <row r="19843" spans="1:2" x14ac:dyDescent="0.4">
      <c r="A19843" s="4">
        <v>505400100</v>
      </c>
      <c r="B19843">
        <v>8100201</v>
      </c>
    </row>
    <row r="19844" spans="1:2" x14ac:dyDescent="0.4">
      <c r="A19844" s="4">
        <v>505400100</v>
      </c>
      <c r="B19844">
        <v>8100202</v>
      </c>
    </row>
    <row r="19845" spans="1:2" x14ac:dyDescent="0.4">
      <c r="A19845" s="4">
        <v>505400100</v>
      </c>
      <c r="B19845">
        <v>8100300</v>
      </c>
    </row>
    <row r="19846" spans="1:2" x14ac:dyDescent="0.4">
      <c r="A19846" s="4">
        <v>505400100</v>
      </c>
      <c r="B19846">
        <v>8100301</v>
      </c>
    </row>
    <row r="19847" spans="1:2" x14ac:dyDescent="0.4">
      <c r="A19847" s="4">
        <v>505400100</v>
      </c>
      <c r="B19847">
        <v>8100302</v>
      </c>
    </row>
    <row r="19848" spans="1:2" x14ac:dyDescent="0.4">
      <c r="A19848" s="4">
        <v>505400100</v>
      </c>
      <c r="B19848">
        <v>8100400</v>
      </c>
    </row>
    <row r="19849" spans="1:2" x14ac:dyDescent="0.4">
      <c r="A19849" s="4">
        <v>505400100</v>
      </c>
      <c r="B19849">
        <v>8100401</v>
      </c>
    </row>
    <row r="19850" spans="1:2" x14ac:dyDescent="0.4">
      <c r="A19850" s="4">
        <v>505400100</v>
      </c>
      <c r="B19850">
        <v>8100402</v>
      </c>
    </row>
    <row r="19851" spans="1:2" x14ac:dyDescent="0.4">
      <c r="A19851" s="4">
        <v>505400100</v>
      </c>
      <c r="B19851">
        <v>8130000</v>
      </c>
    </row>
    <row r="19852" spans="1:2" x14ac:dyDescent="0.4">
      <c r="A19852" s="4">
        <v>505400100</v>
      </c>
      <c r="B19852">
        <v>8130001</v>
      </c>
    </row>
    <row r="19853" spans="1:2" x14ac:dyDescent="0.4">
      <c r="A19853" s="4">
        <v>505400100</v>
      </c>
      <c r="B19853">
        <v>8130002</v>
      </c>
    </row>
    <row r="19854" spans="1:2" x14ac:dyDescent="0.4">
      <c r="A19854" s="4">
        <v>505400100</v>
      </c>
      <c r="B19854">
        <v>8140000</v>
      </c>
    </row>
    <row r="19855" spans="1:2" x14ac:dyDescent="0.4">
      <c r="A19855" s="4">
        <v>505400100</v>
      </c>
      <c r="B19855">
        <v>8140001</v>
      </c>
    </row>
    <row r="19856" spans="1:2" x14ac:dyDescent="0.4">
      <c r="A19856" s="4">
        <v>505400100</v>
      </c>
      <c r="B19856">
        <v>8140002</v>
      </c>
    </row>
    <row r="19857" spans="1:2" x14ac:dyDescent="0.4">
      <c r="A19857" s="4">
        <v>505400100</v>
      </c>
      <c r="B19857">
        <v>8200100</v>
      </c>
    </row>
    <row r="19858" spans="1:2" x14ac:dyDescent="0.4">
      <c r="A19858" s="4">
        <v>505400100</v>
      </c>
      <c r="B19858">
        <v>8200101</v>
      </c>
    </row>
    <row r="19859" spans="1:2" x14ac:dyDescent="0.4">
      <c r="A19859" s="4">
        <v>505400100</v>
      </c>
      <c r="B19859">
        <v>8200102</v>
      </c>
    </row>
    <row r="19860" spans="1:2" x14ac:dyDescent="0.4">
      <c r="A19860" s="4">
        <v>505400100</v>
      </c>
      <c r="B19860">
        <v>8200200</v>
      </c>
    </row>
    <row r="19861" spans="1:2" x14ac:dyDescent="0.4">
      <c r="A19861" s="4">
        <v>505400100</v>
      </c>
      <c r="B19861">
        <v>8200201</v>
      </c>
    </row>
    <row r="19862" spans="1:2" x14ac:dyDescent="0.4">
      <c r="A19862" s="4">
        <v>505400100</v>
      </c>
      <c r="B19862">
        <v>8200202</v>
      </c>
    </row>
    <row r="19863" spans="1:2" x14ac:dyDescent="0.4">
      <c r="A19863" s="4">
        <v>505400100</v>
      </c>
      <c r="B19863">
        <v>8200300</v>
      </c>
    </row>
    <row r="19864" spans="1:2" x14ac:dyDescent="0.4">
      <c r="A19864" s="4">
        <v>505400100</v>
      </c>
      <c r="B19864">
        <v>8200301</v>
      </c>
    </row>
    <row r="19865" spans="1:2" x14ac:dyDescent="0.4">
      <c r="A19865" s="4">
        <v>505400100</v>
      </c>
      <c r="B19865">
        <v>8200302</v>
      </c>
    </row>
    <row r="19866" spans="1:2" x14ac:dyDescent="0.4">
      <c r="A19866" s="4">
        <v>505400100</v>
      </c>
      <c r="B19866">
        <v>8200400</v>
      </c>
    </row>
    <row r="19867" spans="1:2" x14ac:dyDescent="0.4">
      <c r="A19867" s="4">
        <v>505400100</v>
      </c>
      <c r="B19867">
        <v>8200401</v>
      </c>
    </row>
    <row r="19868" spans="1:2" x14ac:dyDescent="0.4">
      <c r="A19868" s="4">
        <v>505400100</v>
      </c>
      <c r="B19868">
        <v>8200402</v>
      </c>
    </row>
    <row r="19869" spans="1:2" x14ac:dyDescent="0.4">
      <c r="A19869" s="4">
        <v>505400100</v>
      </c>
      <c r="B19869">
        <v>8210000</v>
      </c>
    </row>
    <row r="19870" spans="1:2" x14ac:dyDescent="0.4">
      <c r="A19870" s="4">
        <v>505400100</v>
      </c>
      <c r="B19870">
        <v>8210001</v>
      </c>
    </row>
    <row r="19871" spans="1:2" x14ac:dyDescent="0.4">
      <c r="A19871" s="4">
        <v>505400100</v>
      </c>
      <c r="B19871">
        <v>8210002</v>
      </c>
    </row>
    <row r="19872" spans="1:2" x14ac:dyDescent="0.4">
      <c r="A19872" s="4">
        <v>505400100</v>
      </c>
      <c r="B19872">
        <v>8210100</v>
      </c>
    </row>
    <row r="19873" spans="1:2" x14ac:dyDescent="0.4">
      <c r="A19873" s="4">
        <v>505400100</v>
      </c>
      <c r="B19873">
        <v>8210101</v>
      </c>
    </row>
    <row r="19874" spans="1:2" x14ac:dyDescent="0.4">
      <c r="A19874" s="4">
        <v>505400100</v>
      </c>
      <c r="B19874">
        <v>8210102</v>
      </c>
    </row>
    <row r="19875" spans="1:2" x14ac:dyDescent="0.4">
      <c r="A19875" s="4">
        <v>505400100</v>
      </c>
      <c r="B19875">
        <v>8210200</v>
      </c>
    </row>
    <row r="19876" spans="1:2" x14ac:dyDescent="0.4">
      <c r="A19876" s="4">
        <v>505400100</v>
      </c>
      <c r="B19876">
        <v>8210201</v>
      </c>
    </row>
    <row r="19877" spans="1:2" x14ac:dyDescent="0.4">
      <c r="A19877" s="4">
        <v>505400100</v>
      </c>
      <c r="B19877">
        <v>8210202</v>
      </c>
    </row>
    <row r="19878" spans="1:2" x14ac:dyDescent="0.4">
      <c r="A19878" s="4">
        <v>505400100</v>
      </c>
      <c r="B19878">
        <v>8210300</v>
      </c>
    </row>
    <row r="19879" spans="1:2" x14ac:dyDescent="0.4">
      <c r="A19879" s="4">
        <v>505400100</v>
      </c>
      <c r="B19879">
        <v>8210301</v>
      </c>
    </row>
    <row r="19880" spans="1:2" x14ac:dyDescent="0.4">
      <c r="A19880" s="4">
        <v>505400100</v>
      </c>
      <c r="B19880">
        <v>8210302</v>
      </c>
    </row>
    <row r="19881" spans="1:2" x14ac:dyDescent="0.4">
      <c r="A19881" s="4">
        <v>505400100</v>
      </c>
      <c r="B19881">
        <v>8210400</v>
      </c>
    </row>
    <row r="19882" spans="1:2" x14ac:dyDescent="0.4">
      <c r="A19882" s="4">
        <v>505400100</v>
      </c>
      <c r="B19882">
        <v>8210401</v>
      </c>
    </row>
    <row r="19883" spans="1:2" x14ac:dyDescent="0.4">
      <c r="A19883" s="4">
        <v>505400100</v>
      </c>
      <c r="B19883">
        <v>8210402</v>
      </c>
    </row>
    <row r="19884" spans="1:2" x14ac:dyDescent="0.4">
      <c r="A19884" s="4">
        <v>505400100</v>
      </c>
      <c r="B19884">
        <v>8210500</v>
      </c>
    </row>
    <row r="19885" spans="1:2" x14ac:dyDescent="0.4">
      <c r="A19885" s="4">
        <v>505400100</v>
      </c>
      <c r="B19885">
        <v>8210501</v>
      </c>
    </row>
    <row r="19886" spans="1:2" x14ac:dyDescent="0.4">
      <c r="A19886" s="4">
        <v>505400100</v>
      </c>
      <c r="B19886">
        <v>8210502</v>
      </c>
    </row>
    <row r="19887" spans="1:2" x14ac:dyDescent="0.4">
      <c r="A19887" s="4">
        <v>505400100</v>
      </c>
      <c r="B19887">
        <v>8210600</v>
      </c>
    </row>
    <row r="19888" spans="1:2" x14ac:dyDescent="0.4">
      <c r="A19888" s="4">
        <v>505400100</v>
      </c>
      <c r="B19888">
        <v>8210601</v>
      </c>
    </row>
    <row r="19889" spans="1:2" x14ac:dyDescent="0.4">
      <c r="A19889" s="4">
        <v>505400100</v>
      </c>
      <c r="B19889">
        <v>8210602</v>
      </c>
    </row>
    <row r="19890" spans="1:2" x14ac:dyDescent="0.4">
      <c r="A19890" s="4">
        <v>505400100</v>
      </c>
      <c r="B19890">
        <v>8220000</v>
      </c>
    </row>
    <row r="19891" spans="1:2" x14ac:dyDescent="0.4">
      <c r="A19891" s="4">
        <v>505400100</v>
      </c>
      <c r="B19891">
        <v>8220001</v>
      </c>
    </row>
    <row r="19892" spans="1:2" x14ac:dyDescent="0.4">
      <c r="A19892" s="4">
        <v>505400100</v>
      </c>
      <c r="B19892">
        <v>8220002</v>
      </c>
    </row>
    <row r="19893" spans="1:2" x14ac:dyDescent="0.4">
      <c r="A19893" s="4">
        <v>505400100</v>
      </c>
      <c r="B19893">
        <v>8300000</v>
      </c>
    </row>
    <row r="19894" spans="1:2" x14ac:dyDescent="0.4">
      <c r="A19894" s="4">
        <v>505400100</v>
      </c>
      <c r="B19894">
        <v>8300001</v>
      </c>
    </row>
    <row r="19895" spans="1:2" x14ac:dyDescent="0.4">
      <c r="A19895" s="4">
        <v>505400100</v>
      </c>
      <c r="B19895">
        <v>8300002</v>
      </c>
    </row>
    <row r="19896" spans="1:2" x14ac:dyDescent="0.4">
      <c r="A19896" s="4">
        <v>505400100</v>
      </c>
      <c r="B19896">
        <v>8310000</v>
      </c>
    </row>
    <row r="19897" spans="1:2" x14ac:dyDescent="0.4">
      <c r="A19897" s="4">
        <v>505400100</v>
      </c>
      <c r="B19897">
        <v>8310001</v>
      </c>
    </row>
    <row r="19898" spans="1:2" x14ac:dyDescent="0.4">
      <c r="A19898" s="4">
        <v>505400100</v>
      </c>
      <c r="B19898">
        <v>8310002</v>
      </c>
    </row>
    <row r="19899" spans="1:2" x14ac:dyDescent="0.4">
      <c r="A19899" s="4">
        <v>505400100</v>
      </c>
      <c r="B19899">
        <v>8320000</v>
      </c>
    </row>
    <row r="19900" spans="1:2" x14ac:dyDescent="0.4">
      <c r="A19900" s="4">
        <v>505400100</v>
      </c>
      <c r="B19900">
        <v>8320001</v>
      </c>
    </row>
    <row r="19901" spans="1:2" x14ac:dyDescent="0.4">
      <c r="A19901" s="4">
        <v>505400100</v>
      </c>
      <c r="B19901">
        <v>8320002</v>
      </c>
    </row>
    <row r="19902" spans="1:2" x14ac:dyDescent="0.4">
      <c r="A19902" s="4">
        <v>505400100</v>
      </c>
      <c r="B19902">
        <v>8320100</v>
      </c>
    </row>
    <row r="19903" spans="1:2" x14ac:dyDescent="0.4">
      <c r="A19903" s="4">
        <v>505400100</v>
      </c>
      <c r="B19903">
        <v>8320101</v>
      </c>
    </row>
    <row r="19904" spans="1:2" x14ac:dyDescent="0.4">
      <c r="A19904" s="4">
        <v>505400100</v>
      </c>
      <c r="B19904">
        <v>8320102</v>
      </c>
    </row>
    <row r="19905" spans="1:2" x14ac:dyDescent="0.4">
      <c r="A19905" s="4">
        <v>505400100</v>
      </c>
      <c r="B19905">
        <v>8320300</v>
      </c>
    </row>
    <row r="19906" spans="1:2" x14ac:dyDescent="0.4">
      <c r="A19906" s="4">
        <v>505400100</v>
      </c>
      <c r="B19906">
        <v>8320301</v>
      </c>
    </row>
    <row r="19907" spans="1:2" x14ac:dyDescent="0.4">
      <c r="A19907" s="4">
        <v>505400100</v>
      </c>
      <c r="B19907">
        <v>8320302</v>
      </c>
    </row>
    <row r="19908" spans="1:2" x14ac:dyDescent="0.4">
      <c r="A19908" s="4">
        <v>505400100</v>
      </c>
      <c r="B19908">
        <v>8320400</v>
      </c>
    </row>
    <row r="19909" spans="1:2" x14ac:dyDescent="0.4">
      <c r="A19909" s="4">
        <v>505400100</v>
      </c>
      <c r="B19909">
        <v>8320410</v>
      </c>
    </row>
    <row r="19910" spans="1:2" x14ac:dyDescent="0.4">
      <c r="A19910" s="4">
        <v>505400100</v>
      </c>
      <c r="B19910">
        <v>8320420</v>
      </c>
    </row>
    <row r="19911" spans="1:2" x14ac:dyDescent="0.4">
      <c r="A19911" s="4">
        <v>505400100</v>
      </c>
      <c r="B19911">
        <v>8330000</v>
      </c>
    </row>
    <row r="19912" spans="1:2" x14ac:dyDescent="0.4">
      <c r="A19912" s="4">
        <v>505400100</v>
      </c>
      <c r="B19912">
        <v>8330001</v>
      </c>
    </row>
    <row r="19913" spans="1:2" x14ac:dyDescent="0.4">
      <c r="A19913" s="4">
        <v>505400100</v>
      </c>
      <c r="B19913">
        <v>8330002</v>
      </c>
    </row>
    <row r="19914" spans="1:2" x14ac:dyDescent="0.4">
      <c r="A19914" s="4">
        <v>505400100</v>
      </c>
      <c r="B19914">
        <v>8330100</v>
      </c>
    </row>
    <row r="19915" spans="1:2" x14ac:dyDescent="0.4">
      <c r="A19915" s="4">
        <v>505400100</v>
      </c>
      <c r="B19915">
        <v>8330101</v>
      </c>
    </row>
    <row r="19916" spans="1:2" x14ac:dyDescent="0.4">
      <c r="A19916" s="4">
        <v>505400100</v>
      </c>
      <c r="B19916">
        <v>8330102</v>
      </c>
    </row>
    <row r="19917" spans="1:2" x14ac:dyDescent="0.4">
      <c r="A19917" s="4">
        <v>505400100</v>
      </c>
      <c r="B19917">
        <v>8330200</v>
      </c>
    </row>
    <row r="19918" spans="1:2" x14ac:dyDescent="0.4">
      <c r="A19918" s="4">
        <v>505400100</v>
      </c>
      <c r="B19918">
        <v>8330201</v>
      </c>
    </row>
    <row r="19919" spans="1:2" x14ac:dyDescent="0.4">
      <c r="A19919" s="4">
        <v>505400100</v>
      </c>
      <c r="B19919">
        <v>8330202</v>
      </c>
    </row>
    <row r="19920" spans="1:2" x14ac:dyDescent="0.4">
      <c r="A19920" s="4">
        <v>505400100</v>
      </c>
      <c r="B19920">
        <v>8330300</v>
      </c>
    </row>
    <row r="19921" spans="1:2" x14ac:dyDescent="0.4">
      <c r="A19921" s="4">
        <v>505400100</v>
      </c>
      <c r="B19921">
        <v>8330301</v>
      </c>
    </row>
    <row r="19922" spans="1:2" x14ac:dyDescent="0.4">
      <c r="A19922" s="4">
        <v>505400100</v>
      </c>
      <c r="B19922">
        <v>8330302</v>
      </c>
    </row>
    <row r="19923" spans="1:2" x14ac:dyDescent="0.4">
      <c r="A19923" s="4">
        <v>505400100</v>
      </c>
      <c r="B19923">
        <v>8330400</v>
      </c>
    </row>
    <row r="19924" spans="1:2" x14ac:dyDescent="0.4">
      <c r="A19924" s="4">
        <v>505400100</v>
      </c>
      <c r="B19924">
        <v>8330401</v>
      </c>
    </row>
    <row r="19925" spans="1:2" x14ac:dyDescent="0.4">
      <c r="A19925" s="4">
        <v>505400100</v>
      </c>
      <c r="B19925">
        <v>8330600</v>
      </c>
    </row>
    <row r="19926" spans="1:2" x14ac:dyDescent="0.4">
      <c r="A19926" s="4">
        <v>505400100</v>
      </c>
      <c r="B19926">
        <v>8330601</v>
      </c>
    </row>
    <row r="19927" spans="1:2" x14ac:dyDescent="0.4">
      <c r="A19927" s="4">
        <v>505400100</v>
      </c>
      <c r="B19927">
        <v>8330602</v>
      </c>
    </row>
    <row r="19928" spans="1:2" x14ac:dyDescent="0.4">
      <c r="A19928" s="4">
        <v>505400100</v>
      </c>
      <c r="B19928">
        <v>8330900</v>
      </c>
    </row>
    <row r="19929" spans="1:2" x14ac:dyDescent="0.4">
      <c r="A19929" s="4">
        <v>505400100</v>
      </c>
      <c r="B19929">
        <v>8330910</v>
      </c>
    </row>
    <row r="19930" spans="1:2" x14ac:dyDescent="0.4">
      <c r="A19930" s="4">
        <v>505400100</v>
      </c>
      <c r="B19930">
        <v>8330920</v>
      </c>
    </row>
    <row r="19931" spans="1:2" x14ac:dyDescent="0.4">
      <c r="A19931" s="4">
        <v>505400100</v>
      </c>
      <c r="B19931">
        <v>8340000</v>
      </c>
    </row>
    <row r="19932" spans="1:2" x14ac:dyDescent="0.4">
      <c r="A19932" s="4">
        <v>505400100</v>
      </c>
      <c r="B19932">
        <v>8340001</v>
      </c>
    </row>
    <row r="19933" spans="1:2" x14ac:dyDescent="0.4">
      <c r="A19933" s="4">
        <v>505400100</v>
      </c>
      <c r="B19933">
        <v>8340002</v>
      </c>
    </row>
    <row r="19934" spans="1:2" x14ac:dyDescent="0.4">
      <c r="A19934" s="4">
        <v>505400100</v>
      </c>
      <c r="B19934">
        <v>8340100</v>
      </c>
    </row>
    <row r="19935" spans="1:2" x14ac:dyDescent="0.4">
      <c r="A19935" s="4">
        <v>505400100</v>
      </c>
      <c r="B19935">
        <v>8340101</v>
      </c>
    </row>
    <row r="19936" spans="1:2" x14ac:dyDescent="0.4">
      <c r="A19936" s="4">
        <v>505400100</v>
      </c>
      <c r="B19936">
        <v>8340102</v>
      </c>
    </row>
    <row r="19937" spans="1:2" x14ac:dyDescent="0.4">
      <c r="A19937" s="4">
        <v>505400100</v>
      </c>
      <c r="B19937">
        <v>8350000</v>
      </c>
    </row>
    <row r="19938" spans="1:2" x14ac:dyDescent="0.4">
      <c r="A19938" s="4">
        <v>505400100</v>
      </c>
      <c r="B19938">
        <v>8350001</v>
      </c>
    </row>
    <row r="19939" spans="1:2" x14ac:dyDescent="0.4">
      <c r="A19939" s="4">
        <v>505400100</v>
      </c>
      <c r="B19939">
        <v>8350002</v>
      </c>
    </row>
    <row r="19940" spans="1:2" x14ac:dyDescent="0.4">
      <c r="A19940" s="4">
        <v>505400100</v>
      </c>
      <c r="B19940">
        <v>8350200</v>
      </c>
    </row>
    <row r="19941" spans="1:2" x14ac:dyDescent="0.4">
      <c r="A19941" s="4">
        <v>505400100</v>
      </c>
      <c r="B19941">
        <v>8350201</v>
      </c>
    </row>
    <row r="19942" spans="1:2" x14ac:dyDescent="0.4">
      <c r="A19942" s="4">
        <v>505400100</v>
      </c>
      <c r="B19942">
        <v>8350202</v>
      </c>
    </row>
    <row r="19943" spans="1:2" x14ac:dyDescent="0.4">
      <c r="A19943" s="4">
        <v>505400100</v>
      </c>
      <c r="B19943">
        <v>8420000</v>
      </c>
    </row>
    <row r="19944" spans="1:2" x14ac:dyDescent="0.4">
      <c r="A19944" s="4">
        <v>505400100</v>
      </c>
      <c r="B19944">
        <v>8420001</v>
      </c>
    </row>
    <row r="19945" spans="1:2" x14ac:dyDescent="0.4">
      <c r="A19945" s="4">
        <v>505400100</v>
      </c>
      <c r="B19945">
        <v>8420002</v>
      </c>
    </row>
    <row r="19946" spans="1:2" x14ac:dyDescent="0.4">
      <c r="A19946" s="4">
        <v>505400100</v>
      </c>
      <c r="B19946">
        <v>8450000</v>
      </c>
    </row>
    <row r="19947" spans="1:2" x14ac:dyDescent="0.4">
      <c r="A19947" s="4">
        <v>505400100</v>
      </c>
      <c r="B19947">
        <v>8460100</v>
      </c>
    </row>
    <row r="19948" spans="1:2" x14ac:dyDescent="0.4">
      <c r="A19948" s="4">
        <v>505400100</v>
      </c>
      <c r="B19948">
        <v>8460300</v>
      </c>
    </row>
    <row r="19949" spans="1:2" x14ac:dyDescent="0.4">
      <c r="A19949" s="4">
        <v>505400100</v>
      </c>
      <c r="B19949">
        <v>8460500</v>
      </c>
    </row>
    <row r="19950" spans="1:2" x14ac:dyDescent="0.4">
      <c r="A19950" s="4">
        <v>505400100</v>
      </c>
      <c r="B19950">
        <v>8510000</v>
      </c>
    </row>
    <row r="19951" spans="1:2" x14ac:dyDescent="0.4">
      <c r="A19951" s="4">
        <v>505400100</v>
      </c>
      <c r="B19951">
        <v>8510001</v>
      </c>
    </row>
    <row r="19952" spans="1:2" x14ac:dyDescent="0.4">
      <c r="A19952" s="4">
        <v>505400100</v>
      </c>
      <c r="B19952">
        <v>8510002</v>
      </c>
    </row>
    <row r="19953" spans="1:2" x14ac:dyDescent="0.4">
      <c r="A19953" s="4">
        <v>505400100</v>
      </c>
      <c r="B19953">
        <v>8520000</v>
      </c>
    </row>
    <row r="19954" spans="1:2" x14ac:dyDescent="0.4">
      <c r="A19954" s="4">
        <v>505400100</v>
      </c>
      <c r="B19954">
        <v>8520001</v>
      </c>
    </row>
    <row r="19955" spans="1:2" x14ac:dyDescent="0.4">
      <c r="A19955" s="4">
        <v>505400100</v>
      </c>
      <c r="B19955">
        <v>8520002</v>
      </c>
    </row>
    <row r="19956" spans="1:2" x14ac:dyDescent="0.4">
      <c r="A19956" s="4">
        <v>505400100</v>
      </c>
      <c r="B19956">
        <v>8530000</v>
      </c>
    </row>
    <row r="19957" spans="1:2" x14ac:dyDescent="0.4">
      <c r="A19957" s="4">
        <v>505400100</v>
      </c>
      <c r="B19957">
        <v>8530100</v>
      </c>
    </row>
    <row r="19958" spans="1:2" x14ac:dyDescent="0.4">
      <c r="A19958" s="4">
        <v>505400100</v>
      </c>
      <c r="B19958">
        <v>8540000</v>
      </c>
    </row>
    <row r="19959" spans="1:2" x14ac:dyDescent="0.4">
      <c r="A19959" s="4">
        <v>505400100</v>
      </c>
      <c r="B19959">
        <v>8600100</v>
      </c>
    </row>
    <row r="19960" spans="1:2" x14ac:dyDescent="0.4">
      <c r="A19960" s="4">
        <v>505400100</v>
      </c>
      <c r="B19960">
        <v>8600101</v>
      </c>
    </row>
    <row r="19961" spans="1:2" x14ac:dyDescent="0.4">
      <c r="A19961" s="4">
        <v>505400100</v>
      </c>
      <c r="B19961">
        <v>8600102</v>
      </c>
    </row>
    <row r="19962" spans="1:2" x14ac:dyDescent="0.4">
      <c r="A19962" s="4">
        <v>505400100</v>
      </c>
      <c r="B19962">
        <v>8600200</v>
      </c>
    </row>
    <row r="19963" spans="1:2" x14ac:dyDescent="0.4">
      <c r="A19963" s="4">
        <v>505400100</v>
      </c>
      <c r="B19963">
        <v>8600201</v>
      </c>
    </row>
    <row r="19964" spans="1:2" x14ac:dyDescent="0.4">
      <c r="A19964" s="4">
        <v>505400100</v>
      </c>
      <c r="B19964">
        <v>8600202</v>
      </c>
    </row>
    <row r="19965" spans="1:2" x14ac:dyDescent="0.4">
      <c r="A19965" s="4">
        <v>505400100</v>
      </c>
      <c r="B19965">
        <v>8610700</v>
      </c>
    </row>
    <row r="19966" spans="1:2" x14ac:dyDescent="0.4">
      <c r="A19966" s="4">
        <v>505400100</v>
      </c>
      <c r="B19966">
        <v>8610710</v>
      </c>
    </row>
    <row r="19967" spans="1:2" x14ac:dyDescent="0.4">
      <c r="A19967" s="4">
        <v>505400100</v>
      </c>
      <c r="B19967">
        <v>8610720</v>
      </c>
    </row>
    <row r="19968" spans="1:2" x14ac:dyDescent="0.4">
      <c r="A19968" s="4">
        <v>505400100</v>
      </c>
      <c r="B19968">
        <v>8620000</v>
      </c>
    </row>
    <row r="19969" spans="1:2" x14ac:dyDescent="0.4">
      <c r="A19969" s="4">
        <v>505400100</v>
      </c>
      <c r="B19969">
        <v>8620010</v>
      </c>
    </row>
    <row r="19970" spans="1:2" x14ac:dyDescent="0.4">
      <c r="A19970" s="4">
        <v>505400100</v>
      </c>
      <c r="B19970">
        <v>8620020</v>
      </c>
    </row>
    <row r="19971" spans="1:2" x14ac:dyDescent="0.4">
      <c r="A19971" s="4">
        <v>505400100</v>
      </c>
      <c r="B19971">
        <v>8620100</v>
      </c>
    </row>
    <row r="19972" spans="1:2" x14ac:dyDescent="0.4">
      <c r="A19972" s="4">
        <v>505400100</v>
      </c>
      <c r="B19972">
        <v>8620110</v>
      </c>
    </row>
    <row r="19973" spans="1:2" x14ac:dyDescent="0.4">
      <c r="A19973" s="4">
        <v>505400100</v>
      </c>
      <c r="B19973">
        <v>8620120</v>
      </c>
    </row>
    <row r="19974" spans="1:2" x14ac:dyDescent="0.4">
      <c r="A19974" s="4">
        <v>505400100</v>
      </c>
      <c r="B19974">
        <v>8630000</v>
      </c>
    </row>
    <row r="19975" spans="1:2" x14ac:dyDescent="0.4">
      <c r="A19975" s="4">
        <v>505400100</v>
      </c>
      <c r="B19975">
        <v>8630000</v>
      </c>
    </row>
    <row r="19976" spans="1:2" x14ac:dyDescent="0.4">
      <c r="A19976" s="4">
        <v>505400100</v>
      </c>
      <c r="B19976">
        <v>8630000</v>
      </c>
    </row>
    <row r="19977" spans="1:2" x14ac:dyDescent="0.4">
      <c r="A19977" s="4">
        <v>505400100</v>
      </c>
      <c r="B19977">
        <v>8630100</v>
      </c>
    </row>
    <row r="19978" spans="1:2" x14ac:dyDescent="0.4">
      <c r="A19978" s="4">
        <v>505400100</v>
      </c>
      <c r="B19978">
        <v>8630100</v>
      </c>
    </row>
    <row r="19979" spans="1:2" x14ac:dyDescent="0.4">
      <c r="A19979" s="4">
        <v>505400100</v>
      </c>
      <c r="B19979">
        <v>8630100</v>
      </c>
    </row>
    <row r="19980" spans="1:2" x14ac:dyDescent="0.4">
      <c r="A19980" s="4">
        <v>505400100</v>
      </c>
      <c r="B19980">
        <v>8652000</v>
      </c>
    </row>
    <row r="19981" spans="1:2" x14ac:dyDescent="0.4">
      <c r="A19981" s="4">
        <v>505400100</v>
      </c>
      <c r="B19981">
        <v>8652010</v>
      </c>
    </row>
    <row r="19982" spans="1:2" x14ac:dyDescent="0.4">
      <c r="A19982" s="4">
        <v>505400100</v>
      </c>
      <c r="B19982">
        <v>8652020</v>
      </c>
    </row>
    <row r="19983" spans="1:2" x14ac:dyDescent="0.4">
      <c r="A19983" s="4">
        <v>505400100</v>
      </c>
      <c r="B19983">
        <v>8652100</v>
      </c>
    </row>
    <row r="19984" spans="1:2" x14ac:dyDescent="0.4">
      <c r="A19984" s="4">
        <v>505400100</v>
      </c>
      <c r="B19984">
        <v>8652110</v>
      </c>
    </row>
    <row r="19985" spans="1:2" x14ac:dyDescent="0.4">
      <c r="A19985" s="4">
        <v>505400100</v>
      </c>
      <c r="B19985">
        <v>8652120</v>
      </c>
    </row>
    <row r="19986" spans="1:2" x14ac:dyDescent="0.4">
      <c r="A19986" s="4">
        <v>505400100</v>
      </c>
      <c r="B19986">
        <v>8660000</v>
      </c>
    </row>
    <row r="19987" spans="1:2" x14ac:dyDescent="0.4">
      <c r="A19987" s="4">
        <v>505400100</v>
      </c>
      <c r="B19987">
        <v>8660001</v>
      </c>
    </row>
    <row r="19988" spans="1:2" x14ac:dyDescent="0.4">
      <c r="A19988" s="4">
        <v>505400100</v>
      </c>
      <c r="B19988">
        <v>8660002</v>
      </c>
    </row>
    <row r="19989" spans="1:2" x14ac:dyDescent="0.4">
      <c r="A19989" s="4">
        <v>505400100</v>
      </c>
      <c r="B19989">
        <v>8660100</v>
      </c>
    </row>
    <row r="19990" spans="1:2" x14ac:dyDescent="0.4">
      <c r="A19990" s="4">
        <v>505400100</v>
      </c>
      <c r="B19990">
        <v>8660101</v>
      </c>
    </row>
    <row r="19991" spans="1:2" x14ac:dyDescent="0.4">
      <c r="A19991" s="4">
        <v>505400100</v>
      </c>
      <c r="B19991">
        <v>8660102</v>
      </c>
    </row>
    <row r="19992" spans="1:2" x14ac:dyDescent="0.4">
      <c r="A19992" s="4">
        <v>505400100</v>
      </c>
      <c r="B19992">
        <v>8670000</v>
      </c>
    </row>
    <row r="19993" spans="1:2" x14ac:dyDescent="0.4">
      <c r="A19993" s="4">
        <v>505400100</v>
      </c>
      <c r="B19993">
        <v>8670001</v>
      </c>
    </row>
    <row r="19994" spans="1:2" x14ac:dyDescent="0.4">
      <c r="A19994" s="4">
        <v>505400100</v>
      </c>
      <c r="B19994">
        <v>8670002</v>
      </c>
    </row>
    <row r="19995" spans="1:2" x14ac:dyDescent="0.4">
      <c r="A19995" s="4">
        <v>505400100</v>
      </c>
      <c r="B19995">
        <v>8670100</v>
      </c>
    </row>
    <row r="19996" spans="1:2" x14ac:dyDescent="0.4">
      <c r="A19996" s="4">
        <v>505400100</v>
      </c>
      <c r="B19996">
        <v>8670101</v>
      </c>
    </row>
    <row r="19997" spans="1:2" x14ac:dyDescent="0.4">
      <c r="A19997" s="4">
        <v>505400100</v>
      </c>
      <c r="B19997">
        <v>8670102</v>
      </c>
    </row>
    <row r="19998" spans="1:2" x14ac:dyDescent="0.4">
      <c r="A19998" s="4">
        <v>505400100</v>
      </c>
      <c r="B19998">
        <v>8690000</v>
      </c>
    </row>
    <row r="19999" spans="1:2" x14ac:dyDescent="0.4">
      <c r="A19999" s="4">
        <v>505400100</v>
      </c>
      <c r="B19999">
        <v>8690100</v>
      </c>
    </row>
    <row r="20000" spans="1:2" x14ac:dyDescent="0.4">
      <c r="A20000" s="4">
        <v>505400100</v>
      </c>
      <c r="B20000">
        <v>8690200</v>
      </c>
    </row>
    <row r="20001" spans="1:2" x14ac:dyDescent="0.4">
      <c r="A20001" s="4">
        <v>505400100</v>
      </c>
      <c r="B20001">
        <v>8690300</v>
      </c>
    </row>
    <row r="20002" spans="1:2" x14ac:dyDescent="0.4">
      <c r="A20002" s="4">
        <v>505400100</v>
      </c>
      <c r="B20002">
        <v>8690400</v>
      </c>
    </row>
    <row r="20003" spans="1:2" x14ac:dyDescent="0.4">
      <c r="A20003" s="4">
        <v>505400100</v>
      </c>
      <c r="B20003">
        <v>8850000</v>
      </c>
    </row>
    <row r="20004" spans="1:2" x14ac:dyDescent="0.4">
      <c r="A20004" s="4">
        <v>505400100</v>
      </c>
      <c r="B20004">
        <v>8850100</v>
      </c>
    </row>
    <row r="20005" spans="1:2" x14ac:dyDescent="0.4">
      <c r="A20005" s="4">
        <v>505400100</v>
      </c>
      <c r="B20005">
        <v>8850200</v>
      </c>
    </row>
    <row r="20006" spans="1:2" x14ac:dyDescent="0.4">
      <c r="A20006" s="4">
        <v>505400100</v>
      </c>
      <c r="B20006">
        <v>8850300</v>
      </c>
    </row>
    <row r="20007" spans="1:2" x14ac:dyDescent="0.4">
      <c r="A20007" s="4">
        <v>505400100</v>
      </c>
      <c r="B20007">
        <v>8850400</v>
      </c>
    </row>
    <row r="20008" spans="1:2" x14ac:dyDescent="0.4">
      <c r="A20008" s="4">
        <v>505400100</v>
      </c>
      <c r="B20008">
        <v>8850500</v>
      </c>
    </row>
    <row r="20009" spans="1:2" x14ac:dyDescent="0.4">
      <c r="A20009" s="4">
        <v>505400100</v>
      </c>
      <c r="B20009">
        <v>8850600</v>
      </c>
    </row>
    <row r="20010" spans="1:2" x14ac:dyDescent="0.4">
      <c r="A20010" s="4">
        <v>505400100</v>
      </c>
      <c r="B20010">
        <v>8850700</v>
      </c>
    </row>
    <row r="20011" spans="1:2" x14ac:dyDescent="0.4">
      <c r="A20011" s="4">
        <v>505400100</v>
      </c>
      <c r="B20011">
        <v>8850800</v>
      </c>
    </row>
    <row r="20012" spans="1:2" x14ac:dyDescent="0.4">
      <c r="A20012" s="4">
        <v>505400100</v>
      </c>
      <c r="B20012">
        <v>8850900</v>
      </c>
    </row>
    <row r="20013" spans="1:2" x14ac:dyDescent="0.4">
      <c r="A20013" s="4">
        <v>505400100</v>
      </c>
      <c r="B20013">
        <v>8851000</v>
      </c>
    </row>
    <row r="20014" spans="1:2" x14ac:dyDescent="0.4">
      <c r="A20014" s="4">
        <v>505400100</v>
      </c>
      <c r="B20014">
        <v>8851100</v>
      </c>
    </row>
    <row r="20015" spans="1:2" x14ac:dyDescent="0.4">
      <c r="A20015" s="4">
        <v>505400100</v>
      </c>
      <c r="B20015">
        <v>8851200</v>
      </c>
    </row>
    <row r="20016" spans="1:2" x14ac:dyDescent="0.4">
      <c r="A20016" s="4">
        <v>505400100</v>
      </c>
      <c r="B20016">
        <v>8851300</v>
      </c>
    </row>
    <row r="20017" spans="1:2" x14ac:dyDescent="0.4">
      <c r="A20017" s="4">
        <v>505400100</v>
      </c>
      <c r="B20017">
        <v>8851800</v>
      </c>
    </row>
    <row r="20018" spans="1:2" x14ac:dyDescent="0.4">
      <c r="A20018" s="4">
        <v>505400100</v>
      </c>
      <c r="B20018">
        <v>8851900</v>
      </c>
    </row>
    <row r="20019" spans="1:2" x14ac:dyDescent="0.4">
      <c r="A20019" s="4">
        <v>505400100</v>
      </c>
      <c r="B20019">
        <v>8852000</v>
      </c>
    </row>
    <row r="20020" spans="1:2" x14ac:dyDescent="0.4">
      <c r="A20020" s="4">
        <v>505400100</v>
      </c>
      <c r="B20020">
        <v>8320500</v>
      </c>
    </row>
    <row r="20021" spans="1:2" x14ac:dyDescent="0.4">
      <c r="A20021" s="4">
        <v>505400100</v>
      </c>
      <c r="B20021">
        <v>8320510</v>
      </c>
    </row>
    <row r="20022" spans="1:2" x14ac:dyDescent="0.4">
      <c r="A20022" s="4">
        <v>505400100</v>
      </c>
      <c r="B20022">
        <v>8320520</v>
      </c>
    </row>
    <row r="20023" spans="1:2" x14ac:dyDescent="0.4">
      <c r="A20023" s="4">
        <v>505400100</v>
      </c>
      <c r="B20023">
        <v>8320600</v>
      </c>
    </row>
    <row r="20024" spans="1:2" x14ac:dyDescent="0.4">
      <c r="A20024" s="4">
        <v>505400100</v>
      </c>
      <c r="B20024">
        <v>8320610</v>
      </c>
    </row>
    <row r="20025" spans="1:2" x14ac:dyDescent="0.4">
      <c r="A20025" s="4">
        <v>505400100</v>
      </c>
      <c r="B20025">
        <v>8320620</v>
      </c>
    </row>
    <row r="20026" spans="1:2" x14ac:dyDescent="0.4">
      <c r="A20026" s="4">
        <v>505400100</v>
      </c>
      <c r="B20026">
        <v>8320700</v>
      </c>
    </row>
    <row r="20027" spans="1:2" x14ac:dyDescent="0.4">
      <c r="A20027" s="4">
        <v>505400100</v>
      </c>
      <c r="B20027">
        <v>8320710</v>
      </c>
    </row>
    <row r="20028" spans="1:2" x14ac:dyDescent="0.4">
      <c r="A20028" s="4">
        <v>505400100</v>
      </c>
      <c r="B20028">
        <v>8320720</v>
      </c>
    </row>
    <row r="20029" spans="1:2" x14ac:dyDescent="0.4">
      <c r="A20029" s="4">
        <v>505400200</v>
      </c>
      <c r="B20029">
        <v>0</v>
      </c>
    </row>
    <row r="20030" spans="1:2" x14ac:dyDescent="0.4">
      <c r="A20030" s="4">
        <v>505400200</v>
      </c>
      <c r="B20030">
        <v>8100100</v>
      </c>
    </row>
    <row r="20031" spans="1:2" x14ac:dyDescent="0.4">
      <c r="A20031" s="4">
        <v>505400200</v>
      </c>
      <c r="B20031">
        <v>8100101</v>
      </c>
    </row>
    <row r="20032" spans="1:2" x14ac:dyDescent="0.4">
      <c r="A20032" s="4">
        <v>505400200</v>
      </c>
      <c r="B20032">
        <v>8100102</v>
      </c>
    </row>
    <row r="20033" spans="1:2" x14ac:dyDescent="0.4">
      <c r="A20033" s="4">
        <v>505400200</v>
      </c>
      <c r="B20033">
        <v>8100200</v>
      </c>
    </row>
    <row r="20034" spans="1:2" x14ac:dyDescent="0.4">
      <c r="A20034" s="4">
        <v>505400200</v>
      </c>
      <c r="B20034">
        <v>8100201</v>
      </c>
    </row>
    <row r="20035" spans="1:2" x14ac:dyDescent="0.4">
      <c r="A20035" s="4">
        <v>505400200</v>
      </c>
      <c r="B20035">
        <v>8100202</v>
      </c>
    </row>
    <row r="20036" spans="1:2" x14ac:dyDescent="0.4">
      <c r="A20036" s="4">
        <v>505400200</v>
      </c>
      <c r="B20036">
        <v>8100300</v>
      </c>
    </row>
    <row r="20037" spans="1:2" x14ac:dyDescent="0.4">
      <c r="A20037" s="4">
        <v>505400200</v>
      </c>
      <c r="B20037">
        <v>8100301</v>
      </c>
    </row>
    <row r="20038" spans="1:2" x14ac:dyDescent="0.4">
      <c r="A20038" s="4">
        <v>505400200</v>
      </c>
      <c r="B20038">
        <v>8100302</v>
      </c>
    </row>
    <row r="20039" spans="1:2" x14ac:dyDescent="0.4">
      <c r="A20039" s="4">
        <v>505400200</v>
      </c>
      <c r="B20039">
        <v>8100400</v>
      </c>
    </row>
    <row r="20040" spans="1:2" x14ac:dyDescent="0.4">
      <c r="A20040" s="4">
        <v>505400200</v>
      </c>
      <c r="B20040">
        <v>8100401</v>
      </c>
    </row>
    <row r="20041" spans="1:2" x14ac:dyDescent="0.4">
      <c r="A20041" s="4">
        <v>505400200</v>
      </c>
      <c r="B20041">
        <v>8100402</v>
      </c>
    </row>
    <row r="20042" spans="1:2" x14ac:dyDescent="0.4">
      <c r="A20042" s="4">
        <v>505400200</v>
      </c>
      <c r="B20042">
        <v>8130000</v>
      </c>
    </row>
    <row r="20043" spans="1:2" x14ac:dyDescent="0.4">
      <c r="A20043" s="4">
        <v>505400200</v>
      </c>
      <c r="B20043">
        <v>8130001</v>
      </c>
    </row>
    <row r="20044" spans="1:2" x14ac:dyDescent="0.4">
      <c r="A20044" s="4">
        <v>505400200</v>
      </c>
      <c r="B20044">
        <v>8130002</v>
      </c>
    </row>
    <row r="20045" spans="1:2" x14ac:dyDescent="0.4">
      <c r="A20045" s="4">
        <v>505400200</v>
      </c>
      <c r="B20045">
        <v>8140000</v>
      </c>
    </row>
    <row r="20046" spans="1:2" x14ac:dyDescent="0.4">
      <c r="A20046" s="4">
        <v>505400200</v>
      </c>
      <c r="B20046">
        <v>8140001</v>
      </c>
    </row>
    <row r="20047" spans="1:2" x14ac:dyDescent="0.4">
      <c r="A20047" s="4">
        <v>505400200</v>
      </c>
      <c r="B20047">
        <v>8140002</v>
      </c>
    </row>
    <row r="20048" spans="1:2" x14ac:dyDescent="0.4">
      <c r="A20048" s="4">
        <v>505400200</v>
      </c>
      <c r="B20048">
        <v>8200100</v>
      </c>
    </row>
    <row r="20049" spans="1:2" x14ac:dyDescent="0.4">
      <c r="A20049" s="4">
        <v>505400200</v>
      </c>
      <c r="B20049">
        <v>8200101</v>
      </c>
    </row>
    <row r="20050" spans="1:2" x14ac:dyDescent="0.4">
      <c r="A20050" s="4">
        <v>505400200</v>
      </c>
      <c r="B20050">
        <v>8200102</v>
      </c>
    </row>
    <row r="20051" spans="1:2" x14ac:dyDescent="0.4">
      <c r="A20051" s="4">
        <v>505400200</v>
      </c>
      <c r="B20051">
        <v>8200200</v>
      </c>
    </row>
    <row r="20052" spans="1:2" x14ac:dyDescent="0.4">
      <c r="A20052" s="4">
        <v>505400200</v>
      </c>
      <c r="B20052">
        <v>8200201</v>
      </c>
    </row>
    <row r="20053" spans="1:2" x14ac:dyDescent="0.4">
      <c r="A20053" s="4">
        <v>505400200</v>
      </c>
      <c r="B20053">
        <v>8200202</v>
      </c>
    </row>
    <row r="20054" spans="1:2" x14ac:dyDescent="0.4">
      <c r="A20054" s="4">
        <v>505400200</v>
      </c>
      <c r="B20054">
        <v>8200300</v>
      </c>
    </row>
    <row r="20055" spans="1:2" x14ac:dyDescent="0.4">
      <c r="A20055" s="4">
        <v>505400200</v>
      </c>
      <c r="B20055">
        <v>8200301</v>
      </c>
    </row>
    <row r="20056" spans="1:2" x14ac:dyDescent="0.4">
      <c r="A20056" s="4">
        <v>505400200</v>
      </c>
      <c r="B20056">
        <v>8200302</v>
      </c>
    </row>
    <row r="20057" spans="1:2" x14ac:dyDescent="0.4">
      <c r="A20057" s="4">
        <v>505400200</v>
      </c>
      <c r="B20057">
        <v>8200400</v>
      </c>
    </row>
    <row r="20058" spans="1:2" x14ac:dyDescent="0.4">
      <c r="A20058" s="4">
        <v>505400200</v>
      </c>
      <c r="B20058">
        <v>8200401</v>
      </c>
    </row>
    <row r="20059" spans="1:2" x14ac:dyDescent="0.4">
      <c r="A20059" s="4">
        <v>505400200</v>
      </c>
      <c r="B20059">
        <v>8200402</v>
      </c>
    </row>
    <row r="20060" spans="1:2" x14ac:dyDescent="0.4">
      <c r="A20060" s="4">
        <v>505400200</v>
      </c>
      <c r="B20060">
        <v>8210000</v>
      </c>
    </row>
    <row r="20061" spans="1:2" x14ac:dyDescent="0.4">
      <c r="A20061" s="4">
        <v>505400200</v>
      </c>
      <c r="B20061">
        <v>8210001</v>
      </c>
    </row>
    <row r="20062" spans="1:2" x14ac:dyDescent="0.4">
      <c r="A20062" s="4">
        <v>505400200</v>
      </c>
      <c r="B20062">
        <v>8210002</v>
      </c>
    </row>
    <row r="20063" spans="1:2" x14ac:dyDescent="0.4">
      <c r="A20063" s="4">
        <v>505400200</v>
      </c>
      <c r="B20063">
        <v>8210100</v>
      </c>
    </row>
    <row r="20064" spans="1:2" x14ac:dyDescent="0.4">
      <c r="A20064" s="4">
        <v>505400200</v>
      </c>
      <c r="B20064">
        <v>8210101</v>
      </c>
    </row>
    <row r="20065" spans="1:2" x14ac:dyDescent="0.4">
      <c r="A20065" s="4">
        <v>505400200</v>
      </c>
      <c r="B20065">
        <v>8210102</v>
      </c>
    </row>
    <row r="20066" spans="1:2" x14ac:dyDescent="0.4">
      <c r="A20066" s="4">
        <v>505400200</v>
      </c>
      <c r="B20066">
        <v>8210200</v>
      </c>
    </row>
    <row r="20067" spans="1:2" x14ac:dyDescent="0.4">
      <c r="A20067" s="4">
        <v>505400200</v>
      </c>
      <c r="B20067">
        <v>8210201</v>
      </c>
    </row>
    <row r="20068" spans="1:2" x14ac:dyDescent="0.4">
      <c r="A20068" s="4">
        <v>505400200</v>
      </c>
      <c r="B20068">
        <v>8210202</v>
      </c>
    </row>
    <row r="20069" spans="1:2" x14ac:dyDescent="0.4">
      <c r="A20069" s="4">
        <v>505400200</v>
      </c>
      <c r="B20069">
        <v>8210300</v>
      </c>
    </row>
    <row r="20070" spans="1:2" x14ac:dyDescent="0.4">
      <c r="A20070" s="4">
        <v>505400200</v>
      </c>
      <c r="B20070">
        <v>8210301</v>
      </c>
    </row>
    <row r="20071" spans="1:2" x14ac:dyDescent="0.4">
      <c r="A20071" s="4">
        <v>505400200</v>
      </c>
      <c r="B20071">
        <v>8210302</v>
      </c>
    </row>
    <row r="20072" spans="1:2" x14ac:dyDescent="0.4">
      <c r="A20072" s="4">
        <v>505400200</v>
      </c>
      <c r="B20072">
        <v>8210400</v>
      </c>
    </row>
    <row r="20073" spans="1:2" x14ac:dyDescent="0.4">
      <c r="A20073" s="4">
        <v>505400200</v>
      </c>
      <c r="B20073">
        <v>8210401</v>
      </c>
    </row>
    <row r="20074" spans="1:2" x14ac:dyDescent="0.4">
      <c r="A20074" s="4">
        <v>505400200</v>
      </c>
      <c r="B20074">
        <v>8210402</v>
      </c>
    </row>
    <row r="20075" spans="1:2" x14ac:dyDescent="0.4">
      <c r="A20075" s="4">
        <v>505400200</v>
      </c>
      <c r="B20075">
        <v>8210500</v>
      </c>
    </row>
    <row r="20076" spans="1:2" x14ac:dyDescent="0.4">
      <c r="A20076" s="4">
        <v>505400200</v>
      </c>
      <c r="B20076">
        <v>8210501</v>
      </c>
    </row>
    <row r="20077" spans="1:2" x14ac:dyDescent="0.4">
      <c r="A20077" s="4">
        <v>505400200</v>
      </c>
      <c r="B20077">
        <v>8210502</v>
      </c>
    </row>
    <row r="20078" spans="1:2" x14ac:dyDescent="0.4">
      <c r="A20078" s="4">
        <v>505400200</v>
      </c>
      <c r="B20078">
        <v>8210600</v>
      </c>
    </row>
    <row r="20079" spans="1:2" x14ac:dyDescent="0.4">
      <c r="A20079" s="4">
        <v>505400200</v>
      </c>
      <c r="B20079">
        <v>8210601</v>
      </c>
    </row>
    <row r="20080" spans="1:2" x14ac:dyDescent="0.4">
      <c r="A20080" s="4">
        <v>505400200</v>
      </c>
      <c r="B20080">
        <v>8210602</v>
      </c>
    </row>
    <row r="20081" spans="1:2" x14ac:dyDescent="0.4">
      <c r="A20081" s="4">
        <v>505400200</v>
      </c>
      <c r="B20081">
        <v>8220000</v>
      </c>
    </row>
    <row r="20082" spans="1:2" x14ac:dyDescent="0.4">
      <c r="A20082" s="4">
        <v>505400200</v>
      </c>
      <c r="B20082">
        <v>8220001</v>
      </c>
    </row>
    <row r="20083" spans="1:2" x14ac:dyDescent="0.4">
      <c r="A20083" s="4">
        <v>505400200</v>
      </c>
      <c r="B20083">
        <v>8220002</v>
      </c>
    </row>
    <row r="20084" spans="1:2" x14ac:dyDescent="0.4">
      <c r="A20084" s="4">
        <v>505400200</v>
      </c>
      <c r="B20084">
        <v>8300000</v>
      </c>
    </row>
    <row r="20085" spans="1:2" x14ac:dyDescent="0.4">
      <c r="A20085" s="4">
        <v>505400200</v>
      </c>
      <c r="B20085">
        <v>8300001</v>
      </c>
    </row>
    <row r="20086" spans="1:2" x14ac:dyDescent="0.4">
      <c r="A20086" s="4">
        <v>505400200</v>
      </c>
      <c r="B20086">
        <v>8300002</v>
      </c>
    </row>
    <row r="20087" spans="1:2" x14ac:dyDescent="0.4">
      <c r="A20087" s="4">
        <v>505400200</v>
      </c>
      <c r="B20087">
        <v>8310000</v>
      </c>
    </row>
    <row r="20088" spans="1:2" x14ac:dyDescent="0.4">
      <c r="A20088" s="4">
        <v>505400200</v>
      </c>
      <c r="B20088">
        <v>8310001</v>
      </c>
    </row>
    <row r="20089" spans="1:2" x14ac:dyDescent="0.4">
      <c r="A20089" s="4">
        <v>505400200</v>
      </c>
      <c r="B20089">
        <v>8310002</v>
      </c>
    </row>
    <row r="20090" spans="1:2" x14ac:dyDescent="0.4">
      <c r="A20090" s="4">
        <v>505400200</v>
      </c>
      <c r="B20090">
        <v>8320000</v>
      </c>
    </row>
    <row r="20091" spans="1:2" x14ac:dyDescent="0.4">
      <c r="A20091" s="4">
        <v>505400200</v>
      </c>
      <c r="B20091">
        <v>8320001</v>
      </c>
    </row>
    <row r="20092" spans="1:2" x14ac:dyDescent="0.4">
      <c r="A20092" s="4">
        <v>505400200</v>
      </c>
      <c r="B20092">
        <v>8320002</v>
      </c>
    </row>
    <row r="20093" spans="1:2" x14ac:dyDescent="0.4">
      <c r="A20093" s="4">
        <v>505400200</v>
      </c>
      <c r="B20093">
        <v>8320100</v>
      </c>
    </row>
    <row r="20094" spans="1:2" x14ac:dyDescent="0.4">
      <c r="A20094" s="4">
        <v>505400200</v>
      </c>
      <c r="B20094">
        <v>8320101</v>
      </c>
    </row>
    <row r="20095" spans="1:2" x14ac:dyDescent="0.4">
      <c r="A20095" s="4">
        <v>505400200</v>
      </c>
      <c r="B20095">
        <v>8320102</v>
      </c>
    </row>
    <row r="20096" spans="1:2" x14ac:dyDescent="0.4">
      <c r="A20096" s="4">
        <v>505400200</v>
      </c>
      <c r="B20096">
        <v>8320300</v>
      </c>
    </row>
    <row r="20097" spans="1:2" x14ac:dyDescent="0.4">
      <c r="A20097" s="4">
        <v>505400200</v>
      </c>
      <c r="B20097">
        <v>8320301</v>
      </c>
    </row>
    <row r="20098" spans="1:2" x14ac:dyDescent="0.4">
      <c r="A20098" s="4">
        <v>505400200</v>
      </c>
      <c r="B20098">
        <v>8320302</v>
      </c>
    </row>
    <row r="20099" spans="1:2" x14ac:dyDescent="0.4">
      <c r="A20099" s="4">
        <v>505400200</v>
      </c>
      <c r="B20099">
        <v>8320400</v>
      </c>
    </row>
    <row r="20100" spans="1:2" x14ac:dyDescent="0.4">
      <c r="A20100" s="4">
        <v>505400200</v>
      </c>
      <c r="B20100">
        <v>8320410</v>
      </c>
    </row>
    <row r="20101" spans="1:2" x14ac:dyDescent="0.4">
      <c r="A20101" s="4">
        <v>505400200</v>
      </c>
      <c r="B20101">
        <v>8320420</v>
      </c>
    </row>
    <row r="20102" spans="1:2" x14ac:dyDescent="0.4">
      <c r="A20102" s="4">
        <v>505400200</v>
      </c>
      <c r="B20102">
        <v>8330000</v>
      </c>
    </row>
    <row r="20103" spans="1:2" x14ac:dyDescent="0.4">
      <c r="A20103" s="4">
        <v>505400200</v>
      </c>
      <c r="B20103">
        <v>8330001</v>
      </c>
    </row>
    <row r="20104" spans="1:2" x14ac:dyDescent="0.4">
      <c r="A20104" s="4">
        <v>505400200</v>
      </c>
      <c r="B20104">
        <v>8330002</v>
      </c>
    </row>
    <row r="20105" spans="1:2" x14ac:dyDescent="0.4">
      <c r="A20105" s="4">
        <v>505400200</v>
      </c>
      <c r="B20105">
        <v>8330100</v>
      </c>
    </row>
    <row r="20106" spans="1:2" x14ac:dyDescent="0.4">
      <c r="A20106" s="4">
        <v>505400200</v>
      </c>
      <c r="B20106">
        <v>8330101</v>
      </c>
    </row>
    <row r="20107" spans="1:2" x14ac:dyDescent="0.4">
      <c r="A20107" s="4">
        <v>505400200</v>
      </c>
      <c r="B20107">
        <v>8330102</v>
      </c>
    </row>
    <row r="20108" spans="1:2" x14ac:dyDescent="0.4">
      <c r="A20108" s="4">
        <v>505400200</v>
      </c>
      <c r="B20108">
        <v>8330200</v>
      </c>
    </row>
    <row r="20109" spans="1:2" x14ac:dyDescent="0.4">
      <c r="A20109" s="4">
        <v>505400200</v>
      </c>
      <c r="B20109">
        <v>8330201</v>
      </c>
    </row>
    <row r="20110" spans="1:2" x14ac:dyDescent="0.4">
      <c r="A20110" s="4">
        <v>505400200</v>
      </c>
      <c r="B20110">
        <v>8330202</v>
      </c>
    </row>
    <row r="20111" spans="1:2" x14ac:dyDescent="0.4">
      <c r="A20111" s="4">
        <v>505400200</v>
      </c>
      <c r="B20111">
        <v>8330300</v>
      </c>
    </row>
    <row r="20112" spans="1:2" x14ac:dyDescent="0.4">
      <c r="A20112" s="4">
        <v>505400200</v>
      </c>
      <c r="B20112">
        <v>8330301</v>
      </c>
    </row>
    <row r="20113" spans="1:2" x14ac:dyDescent="0.4">
      <c r="A20113" s="4">
        <v>505400200</v>
      </c>
      <c r="B20113">
        <v>8330302</v>
      </c>
    </row>
    <row r="20114" spans="1:2" x14ac:dyDescent="0.4">
      <c r="A20114" s="4">
        <v>505400200</v>
      </c>
      <c r="B20114">
        <v>8330400</v>
      </c>
    </row>
    <row r="20115" spans="1:2" x14ac:dyDescent="0.4">
      <c r="A20115" s="4">
        <v>505400200</v>
      </c>
      <c r="B20115">
        <v>8330401</v>
      </c>
    </row>
    <row r="20116" spans="1:2" x14ac:dyDescent="0.4">
      <c r="A20116" s="4">
        <v>505400200</v>
      </c>
      <c r="B20116">
        <v>8330600</v>
      </c>
    </row>
    <row r="20117" spans="1:2" x14ac:dyDescent="0.4">
      <c r="A20117" s="4">
        <v>505400200</v>
      </c>
      <c r="B20117">
        <v>8330601</v>
      </c>
    </row>
    <row r="20118" spans="1:2" x14ac:dyDescent="0.4">
      <c r="A20118" s="4">
        <v>505400200</v>
      </c>
      <c r="B20118">
        <v>8330602</v>
      </c>
    </row>
    <row r="20119" spans="1:2" x14ac:dyDescent="0.4">
      <c r="A20119" s="4">
        <v>505400200</v>
      </c>
      <c r="B20119">
        <v>8330900</v>
      </c>
    </row>
    <row r="20120" spans="1:2" x14ac:dyDescent="0.4">
      <c r="A20120" s="4">
        <v>505400200</v>
      </c>
      <c r="B20120">
        <v>8330910</v>
      </c>
    </row>
    <row r="20121" spans="1:2" x14ac:dyDescent="0.4">
      <c r="A20121" s="4">
        <v>505400200</v>
      </c>
      <c r="B20121">
        <v>8330920</v>
      </c>
    </row>
    <row r="20122" spans="1:2" x14ac:dyDescent="0.4">
      <c r="A20122" s="4">
        <v>505400200</v>
      </c>
      <c r="B20122">
        <v>8340000</v>
      </c>
    </row>
    <row r="20123" spans="1:2" x14ac:dyDescent="0.4">
      <c r="A20123" s="4">
        <v>505400200</v>
      </c>
      <c r="B20123">
        <v>8340001</v>
      </c>
    </row>
    <row r="20124" spans="1:2" x14ac:dyDescent="0.4">
      <c r="A20124" s="4">
        <v>505400200</v>
      </c>
      <c r="B20124">
        <v>8340002</v>
      </c>
    </row>
    <row r="20125" spans="1:2" x14ac:dyDescent="0.4">
      <c r="A20125" s="4">
        <v>505400200</v>
      </c>
      <c r="B20125">
        <v>8340100</v>
      </c>
    </row>
    <row r="20126" spans="1:2" x14ac:dyDescent="0.4">
      <c r="A20126" s="4">
        <v>505400200</v>
      </c>
      <c r="B20126">
        <v>8340101</v>
      </c>
    </row>
    <row r="20127" spans="1:2" x14ac:dyDescent="0.4">
      <c r="A20127" s="4">
        <v>505400200</v>
      </c>
      <c r="B20127">
        <v>8340102</v>
      </c>
    </row>
    <row r="20128" spans="1:2" x14ac:dyDescent="0.4">
      <c r="A20128" s="4">
        <v>505400200</v>
      </c>
      <c r="B20128">
        <v>8350000</v>
      </c>
    </row>
    <row r="20129" spans="1:2" x14ac:dyDescent="0.4">
      <c r="A20129" s="4">
        <v>505400200</v>
      </c>
      <c r="B20129">
        <v>8350001</v>
      </c>
    </row>
    <row r="20130" spans="1:2" x14ac:dyDescent="0.4">
      <c r="A20130" s="4">
        <v>505400200</v>
      </c>
      <c r="B20130">
        <v>8350002</v>
      </c>
    </row>
    <row r="20131" spans="1:2" x14ac:dyDescent="0.4">
      <c r="A20131" s="4">
        <v>505400200</v>
      </c>
      <c r="B20131">
        <v>8350200</v>
      </c>
    </row>
    <row r="20132" spans="1:2" x14ac:dyDescent="0.4">
      <c r="A20132" s="4">
        <v>505400200</v>
      </c>
      <c r="B20132">
        <v>8350201</v>
      </c>
    </row>
    <row r="20133" spans="1:2" x14ac:dyDescent="0.4">
      <c r="A20133" s="4">
        <v>505400200</v>
      </c>
      <c r="B20133">
        <v>8350202</v>
      </c>
    </row>
    <row r="20134" spans="1:2" x14ac:dyDescent="0.4">
      <c r="A20134" s="4">
        <v>505400200</v>
      </c>
      <c r="B20134">
        <v>8420000</v>
      </c>
    </row>
    <row r="20135" spans="1:2" x14ac:dyDescent="0.4">
      <c r="A20135" s="4">
        <v>505400200</v>
      </c>
      <c r="B20135">
        <v>8420001</v>
      </c>
    </row>
    <row r="20136" spans="1:2" x14ac:dyDescent="0.4">
      <c r="A20136" s="4">
        <v>505400200</v>
      </c>
      <c r="B20136">
        <v>8420002</v>
      </c>
    </row>
    <row r="20137" spans="1:2" x14ac:dyDescent="0.4">
      <c r="A20137" s="4">
        <v>505400200</v>
      </c>
      <c r="B20137">
        <v>8450000</v>
      </c>
    </row>
    <row r="20138" spans="1:2" x14ac:dyDescent="0.4">
      <c r="A20138" s="4">
        <v>505400200</v>
      </c>
      <c r="B20138">
        <v>8460100</v>
      </c>
    </row>
    <row r="20139" spans="1:2" x14ac:dyDescent="0.4">
      <c r="A20139" s="4">
        <v>505400200</v>
      </c>
      <c r="B20139">
        <v>8460300</v>
      </c>
    </row>
    <row r="20140" spans="1:2" x14ac:dyDescent="0.4">
      <c r="A20140" s="4">
        <v>505400200</v>
      </c>
      <c r="B20140">
        <v>8460500</v>
      </c>
    </row>
    <row r="20141" spans="1:2" x14ac:dyDescent="0.4">
      <c r="A20141" s="4">
        <v>505400200</v>
      </c>
      <c r="B20141">
        <v>8510000</v>
      </c>
    </row>
    <row r="20142" spans="1:2" x14ac:dyDescent="0.4">
      <c r="A20142" s="4">
        <v>505400200</v>
      </c>
      <c r="B20142">
        <v>8510001</v>
      </c>
    </row>
    <row r="20143" spans="1:2" x14ac:dyDescent="0.4">
      <c r="A20143" s="4">
        <v>505400200</v>
      </c>
      <c r="B20143">
        <v>8510002</v>
      </c>
    </row>
    <row r="20144" spans="1:2" x14ac:dyDescent="0.4">
      <c r="A20144" s="4">
        <v>505400200</v>
      </c>
      <c r="B20144">
        <v>8520000</v>
      </c>
    </row>
    <row r="20145" spans="1:2" x14ac:dyDescent="0.4">
      <c r="A20145" s="4">
        <v>505400200</v>
      </c>
      <c r="B20145">
        <v>8520001</v>
      </c>
    </row>
    <row r="20146" spans="1:2" x14ac:dyDescent="0.4">
      <c r="A20146" s="4">
        <v>505400200</v>
      </c>
      <c r="B20146">
        <v>8520002</v>
      </c>
    </row>
    <row r="20147" spans="1:2" x14ac:dyDescent="0.4">
      <c r="A20147" s="4">
        <v>505400200</v>
      </c>
      <c r="B20147">
        <v>8530000</v>
      </c>
    </row>
    <row r="20148" spans="1:2" x14ac:dyDescent="0.4">
      <c r="A20148" s="4">
        <v>505400200</v>
      </c>
      <c r="B20148">
        <v>8530100</v>
      </c>
    </row>
    <row r="20149" spans="1:2" x14ac:dyDescent="0.4">
      <c r="A20149" s="4">
        <v>505400200</v>
      </c>
      <c r="B20149">
        <v>8540000</v>
      </c>
    </row>
    <row r="20150" spans="1:2" x14ac:dyDescent="0.4">
      <c r="A20150" s="4">
        <v>505400200</v>
      </c>
      <c r="B20150">
        <v>8600100</v>
      </c>
    </row>
    <row r="20151" spans="1:2" x14ac:dyDescent="0.4">
      <c r="A20151" s="4">
        <v>505400200</v>
      </c>
      <c r="B20151">
        <v>8600101</v>
      </c>
    </row>
    <row r="20152" spans="1:2" x14ac:dyDescent="0.4">
      <c r="A20152" s="4">
        <v>505400200</v>
      </c>
      <c r="B20152">
        <v>8600102</v>
      </c>
    </row>
    <row r="20153" spans="1:2" x14ac:dyDescent="0.4">
      <c r="A20153" s="4">
        <v>505400200</v>
      </c>
      <c r="B20153">
        <v>8600200</v>
      </c>
    </row>
    <row r="20154" spans="1:2" x14ac:dyDescent="0.4">
      <c r="A20154" s="4">
        <v>505400200</v>
      </c>
      <c r="B20154">
        <v>8600201</v>
      </c>
    </row>
    <row r="20155" spans="1:2" x14ac:dyDescent="0.4">
      <c r="A20155" s="4">
        <v>505400200</v>
      </c>
      <c r="B20155">
        <v>8600202</v>
      </c>
    </row>
    <row r="20156" spans="1:2" x14ac:dyDescent="0.4">
      <c r="A20156" s="4">
        <v>505400200</v>
      </c>
      <c r="B20156">
        <v>8610700</v>
      </c>
    </row>
    <row r="20157" spans="1:2" x14ac:dyDescent="0.4">
      <c r="A20157" s="4">
        <v>505400200</v>
      </c>
      <c r="B20157">
        <v>8610710</v>
      </c>
    </row>
    <row r="20158" spans="1:2" x14ac:dyDescent="0.4">
      <c r="A20158" s="4">
        <v>505400200</v>
      </c>
      <c r="B20158">
        <v>8610720</v>
      </c>
    </row>
    <row r="20159" spans="1:2" x14ac:dyDescent="0.4">
      <c r="A20159" s="4">
        <v>505400200</v>
      </c>
      <c r="B20159">
        <v>8620000</v>
      </c>
    </row>
    <row r="20160" spans="1:2" x14ac:dyDescent="0.4">
      <c r="A20160" s="4">
        <v>505400200</v>
      </c>
      <c r="B20160">
        <v>8620010</v>
      </c>
    </row>
    <row r="20161" spans="1:2" x14ac:dyDescent="0.4">
      <c r="A20161" s="4">
        <v>505400200</v>
      </c>
      <c r="B20161">
        <v>8620020</v>
      </c>
    </row>
    <row r="20162" spans="1:2" x14ac:dyDescent="0.4">
      <c r="A20162" s="4">
        <v>505400200</v>
      </c>
      <c r="B20162">
        <v>8620100</v>
      </c>
    </row>
    <row r="20163" spans="1:2" x14ac:dyDescent="0.4">
      <c r="A20163" s="4">
        <v>505400200</v>
      </c>
      <c r="B20163">
        <v>8620110</v>
      </c>
    </row>
    <row r="20164" spans="1:2" x14ac:dyDescent="0.4">
      <c r="A20164" s="4">
        <v>505400200</v>
      </c>
      <c r="B20164">
        <v>8620120</v>
      </c>
    </row>
    <row r="20165" spans="1:2" x14ac:dyDescent="0.4">
      <c r="A20165" s="4">
        <v>505400200</v>
      </c>
      <c r="B20165">
        <v>8630000</v>
      </c>
    </row>
    <row r="20166" spans="1:2" x14ac:dyDescent="0.4">
      <c r="A20166" s="4">
        <v>505400200</v>
      </c>
      <c r="B20166">
        <v>8630000</v>
      </c>
    </row>
    <row r="20167" spans="1:2" x14ac:dyDescent="0.4">
      <c r="A20167" s="4">
        <v>505400200</v>
      </c>
      <c r="B20167">
        <v>8630000</v>
      </c>
    </row>
    <row r="20168" spans="1:2" x14ac:dyDescent="0.4">
      <c r="A20168" s="4">
        <v>505400200</v>
      </c>
      <c r="B20168">
        <v>8630100</v>
      </c>
    </row>
    <row r="20169" spans="1:2" x14ac:dyDescent="0.4">
      <c r="A20169" s="4">
        <v>505400200</v>
      </c>
      <c r="B20169">
        <v>8630100</v>
      </c>
    </row>
    <row r="20170" spans="1:2" x14ac:dyDescent="0.4">
      <c r="A20170" s="4">
        <v>505400200</v>
      </c>
      <c r="B20170">
        <v>8630100</v>
      </c>
    </row>
    <row r="20171" spans="1:2" x14ac:dyDescent="0.4">
      <c r="A20171" s="4">
        <v>505400200</v>
      </c>
      <c r="B20171">
        <v>8652000</v>
      </c>
    </row>
    <row r="20172" spans="1:2" x14ac:dyDescent="0.4">
      <c r="A20172" s="4">
        <v>505400200</v>
      </c>
      <c r="B20172">
        <v>8652010</v>
      </c>
    </row>
    <row r="20173" spans="1:2" x14ac:dyDescent="0.4">
      <c r="A20173" s="4">
        <v>505400200</v>
      </c>
      <c r="B20173">
        <v>8652020</v>
      </c>
    </row>
    <row r="20174" spans="1:2" x14ac:dyDescent="0.4">
      <c r="A20174" s="4">
        <v>505400200</v>
      </c>
      <c r="B20174">
        <v>8652100</v>
      </c>
    </row>
    <row r="20175" spans="1:2" x14ac:dyDescent="0.4">
      <c r="A20175" s="4">
        <v>505400200</v>
      </c>
      <c r="B20175">
        <v>8652110</v>
      </c>
    </row>
    <row r="20176" spans="1:2" x14ac:dyDescent="0.4">
      <c r="A20176" s="4">
        <v>505400200</v>
      </c>
      <c r="B20176">
        <v>8652120</v>
      </c>
    </row>
    <row r="20177" spans="1:2" x14ac:dyDescent="0.4">
      <c r="A20177" s="4">
        <v>505400200</v>
      </c>
      <c r="B20177">
        <v>8660000</v>
      </c>
    </row>
    <row r="20178" spans="1:2" x14ac:dyDescent="0.4">
      <c r="A20178" s="4">
        <v>505400200</v>
      </c>
      <c r="B20178">
        <v>8660001</v>
      </c>
    </row>
    <row r="20179" spans="1:2" x14ac:dyDescent="0.4">
      <c r="A20179" s="4">
        <v>505400200</v>
      </c>
      <c r="B20179">
        <v>8660002</v>
      </c>
    </row>
    <row r="20180" spans="1:2" x14ac:dyDescent="0.4">
      <c r="A20180" s="4">
        <v>505400200</v>
      </c>
      <c r="B20180">
        <v>8660100</v>
      </c>
    </row>
    <row r="20181" spans="1:2" x14ac:dyDescent="0.4">
      <c r="A20181" s="4">
        <v>505400200</v>
      </c>
      <c r="B20181">
        <v>8660101</v>
      </c>
    </row>
    <row r="20182" spans="1:2" x14ac:dyDescent="0.4">
      <c r="A20182" s="4">
        <v>505400200</v>
      </c>
      <c r="B20182">
        <v>8660102</v>
      </c>
    </row>
    <row r="20183" spans="1:2" x14ac:dyDescent="0.4">
      <c r="A20183" s="4">
        <v>505400200</v>
      </c>
      <c r="B20183">
        <v>8670000</v>
      </c>
    </row>
    <row r="20184" spans="1:2" x14ac:dyDescent="0.4">
      <c r="A20184" s="4">
        <v>505400200</v>
      </c>
      <c r="B20184">
        <v>8670001</v>
      </c>
    </row>
    <row r="20185" spans="1:2" x14ac:dyDescent="0.4">
      <c r="A20185" s="4">
        <v>505400200</v>
      </c>
      <c r="B20185">
        <v>8670002</v>
      </c>
    </row>
    <row r="20186" spans="1:2" x14ac:dyDescent="0.4">
      <c r="A20186" s="4">
        <v>505400200</v>
      </c>
      <c r="B20186">
        <v>8670100</v>
      </c>
    </row>
    <row r="20187" spans="1:2" x14ac:dyDescent="0.4">
      <c r="A20187" s="4">
        <v>505400200</v>
      </c>
      <c r="B20187">
        <v>8670101</v>
      </c>
    </row>
    <row r="20188" spans="1:2" x14ac:dyDescent="0.4">
      <c r="A20188" s="4">
        <v>505400200</v>
      </c>
      <c r="B20188">
        <v>8670102</v>
      </c>
    </row>
    <row r="20189" spans="1:2" x14ac:dyDescent="0.4">
      <c r="A20189" s="4">
        <v>505400200</v>
      </c>
      <c r="B20189">
        <v>8690000</v>
      </c>
    </row>
    <row r="20190" spans="1:2" x14ac:dyDescent="0.4">
      <c r="A20190" s="4">
        <v>505400200</v>
      </c>
      <c r="B20190">
        <v>8690100</v>
      </c>
    </row>
    <row r="20191" spans="1:2" x14ac:dyDescent="0.4">
      <c r="A20191" s="4">
        <v>505400200</v>
      </c>
      <c r="B20191">
        <v>8690200</v>
      </c>
    </row>
    <row r="20192" spans="1:2" x14ac:dyDescent="0.4">
      <c r="A20192" s="4">
        <v>505400200</v>
      </c>
      <c r="B20192">
        <v>8690300</v>
      </c>
    </row>
    <row r="20193" spans="1:2" x14ac:dyDescent="0.4">
      <c r="A20193" s="4">
        <v>505400200</v>
      </c>
      <c r="B20193">
        <v>8690400</v>
      </c>
    </row>
    <row r="20194" spans="1:2" x14ac:dyDescent="0.4">
      <c r="A20194" s="4">
        <v>505400200</v>
      </c>
      <c r="B20194">
        <v>8850000</v>
      </c>
    </row>
    <row r="20195" spans="1:2" x14ac:dyDescent="0.4">
      <c r="A20195" s="4">
        <v>505400200</v>
      </c>
      <c r="B20195">
        <v>8850100</v>
      </c>
    </row>
    <row r="20196" spans="1:2" x14ac:dyDescent="0.4">
      <c r="A20196" s="4">
        <v>505400200</v>
      </c>
      <c r="B20196">
        <v>8850200</v>
      </c>
    </row>
    <row r="20197" spans="1:2" x14ac:dyDescent="0.4">
      <c r="A20197" s="4">
        <v>505400200</v>
      </c>
      <c r="B20197">
        <v>8850300</v>
      </c>
    </row>
    <row r="20198" spans="1:2" x14ac:dyDescent="0.4">
      <c r="A20198" s="4">
        <v>505400200</v>
      </c>
      <c r="B20198">
        <v>8850400</v>
      </c>
    </row>
    <row r="20199" spans="1:2" x14ac:dyDescent="0.4">
      <c r="A20199" s="4">
        <v>505400200</v>
      </c>
      <c r="B20199">
        <v>8850500</v>
      </c>
    </row>
    <row r="20200" spans="1:2" x14ac:dyDescent="0.4">
      <c r="A20200" s="4">
        <v>505400200</v>
      </c>
      <c r="B20200">
        <v>8850600</v>
      </c>
    </row>
    <row r="20201" spans="1:2" x14ac:dyDescent="0.4">
      <c r="A20201" s="4">
        <v>505400200</v>
      </c>
      <c r="B20201">
        <v>8850700</v>
      </c>
    </row>
    <row r="20202" spans="1:2" x14ac:dyDescent="0.4">
      <c r="A20202" s="4">
        <v>505400200</v>
      </c>
      <c r="B20202">
        <v>8850800</v>
      </c>
    </row>
    <row r="20203" spans="1:2" x14ac:dyDescent="0.4">
      <c r="A20203" s="4">
        <v>505400200</v>
      </c>
      <c r="B20203">
        <v>8850900</v>
      </c>
    </row>
    <row r="20204" spans="1:2" x14ac:dyDescent="0.4">
      <c r="A20204" s="4">
        <v>505400200</v>
      </c>
      <c r="B20204">
        <v>8851000</v>
      </c>
    </row>
    <row r="20205" spans="1:2" x14ac:dyDescent="0.4">
      <c r="A20205" s="4">
        <v>505400200</v>
      </c>
      <c r="B20205">
        <v>8851100</v>
      </c>
    </row>
    <row r="20206" spans="1:2" x14ac:dyDescent="0.4">
      <c r="A20206" s="4">
        <v>505400200</v>
      </c>
      <c r="B20206">
        <v>8851200</v>
      </c>
    </row>
    <row r="20207" spans="1:2" x14ac:dyDescent="0.4">
      <c r="A20207" s="4">
        <v>505400200</v>
      </c>
      <c r="B20207">
        <v>8851300</v>
      </c>
    </row>
    <row r="20208" spans="1:2" x14ac:dyDescent="0.4">
      <c r="A20208" s="4">
        <v>505400200</v>
      </c>
      <c r="B20208">
        <v>8851800</v>
      </c>
    </row>
    <row r="20209" spans="1:2" x14ac:dyDescent="0.4">
      <c r="A20209" s="4">
        <v>505400200</v>
      </c>
      <c r="B20209">
        <v>8851900</v>
      </c>
    </row>
    <row r="20210" spans="1:2" x14ac:dyDescent="0.4">
      <c r="A20210" s="4">
        <v>505400200</v>
      </c>
      <c r="B20210">
        <v>8852000</v>
      </c>
    </row>
    <row r="20211" spans="1:2" x14ac:dyDescent="0.4">
      <c r="A20211" s="4">
        <v>505400200</v>
      </c>
      <c r="B20211">
        <v>8320500</v>
      </c>
    </row>
    <row r="20212" spans="1:2" x14ac:dyDescent="0.4">
      <c r="A20212" s="4">
        <v>505400200</v>
      </c>
      <c r="B20212">
        <v>8320510</v>
      </c>
    </row>
    <row r="20213" spans="1:2" x14ac:dyDescent="0.4">
      <c r="A20213" s="4">
        <v>505400200</v>
      </c>
      <c r="B20213">
        <v>8320520</v>
      </c>
    </row>
    <row r="20214" spans="1:2" x14ac:dyDescent="0.4">
      <c r="A20214" s="4">
        <v>505400200</v>
      </c>
      <c r="B20214">
        <v>8320600</v>
      </c>
    </row>
    <row r="20215" spans="1:2" x14ac:dyDescent="0.4">
      <c r="A20215" s="4">
        <v>505400200</v>
      </c>
      <c r="B20215">
        <v>8320610</v>
      </c>
    </row>
    <row r="20216" spans="1:2" x14ac:dyDescent="0.4">
      <c r="A20216" s="4">
        <v>505400200</v>
      </c>
      <c r="B20216">
        <v>8320620</v>
      </c>
    </row>
    <row r="20217" spans="1:2" x14ac:dyDescent="0.4">
      <c r="A20217" s="4">
        <v>505400200</v>
      </c>
      <c r="B20217">
        <v>8320700</v>
      </c>
    </row>
    <row r="20218" spans="1:2" x14ac:dyDescent="0.4">
      <c r="A20218" s="4">
        <v>505400200</v>
      </c>
      <c r="B20218">
        <v>8320710</v>
      </c>
    </row>
    <row r="20219" spans="1:2" x14ac:dyDescent="0.4">
      <c r="A20219" s="4">
        <v>505400200</v>
      </c>
      <c r="B20219">
        <v>8320720</v>
      </c>
    </row>
    <row r="20220" spans="1:2" x14ac:dyDescent="0.4">
      <c r="A20220" s="4">
        <v>505500100</v>
      </c>
      <c r="B20220">
        <v>0</v>
      </c>
    </row>
    <row r="20221" spans="1:2" x14ac:dyDescent="0.4">
      <c r="A20221" s="4">
        <v>505500100</v>
      </c>
      <c r="B20221">
        <v>8100100</v>
      </c>
    </row>
    <row r="20222" spans="1:2" x14ac:dyDescent="0.4">
      <c r="A20222" s="4">
        <v>505500100</v>
      </c>
      <c r="B20222">
        <v>8100101</v>
      </c>
    </row>
    <row r="20223" spans="1:2" x14ac:dyDescent="0.4">
      <c r="A20223" s="4">
        <v>505500100</v>
      </c>
      <c r="B20223">
        <v>8100102</v>
      </c>
    </row>
    <row r="20224" spans="1:2" x14ac:dyDescent="0.4">
      <c r="A20224" s="4">
        <v>505500100</v>
      </c>
      <c r="B20224">
        <v>8100200</v>
      </c>
    </row>
    <row r="20225" spans="1:2" x14ac:dyDescent="0.4">
      <c r="A20225" s="4">
        <v>505500100</v>
      </c>
      <c r="B20225">
        <v>8100201</v>
      </c>
    </row>
    <row r="20226" spans="1:2" x14ac:dyDescent="0.4">
      <c r="A20226" s="4">
        <v>505500100</v>
      </c>
      <c r="B20226">
        <v>8100202</v>
      </c>
    </row>
    <row r="20227" spans="1:2" x14ac:dyDescent="0.4">
      <c r="A20227" s="4">
        <v>505500100</v>
      </c>
      <c r="B20227">
        <v>8100300</v>
      </c>
    </row>
    <row r="20228" spans="1:2" x14ac:dyDescent="0.4">
      <c r="A20228" s="4">
        <v>505500100</v>
      </c>
      <c r="B20228">
        <v>8100301</v>
      </c>
    </row>
    <row r="20229" spans="1:2" x14ac:dyDescent="0.4">
      <c r="A20229" s="4">
        <v>505500100</v>
      </c>
      <c r="B20229">
        <v>8100302</v>
      </c>
    </row>
    <row r="20230" spans="1:2" x14ac:dyDescent="0.4">
      <c r="A20230" s="4">
        <v>505500100</v>
      </c>
      <c r="B20230">
        <v>8100400</v>
      </c>
    </row>
    <row r="20231" spans="1:2" x14ac:dyDescent="0.4">
      <c r="A20231" s="4">
        <v>505500100</v>
      </c>
      <c r="B20231">
        <v>8100401</v>
      </c>
    </row>
    <row r="20232" spans="1:2" x14ac:dyDescent="0.4">
      <c r="A20232" s="4">
        <v>505500100</v>
      </c>
      <c r="B20232">
        <v>8100402</v>
      </c>
    </row>
    <row r="20233" spans="1:2" x14ac:dyDescent="0.4">
      <c r="A20233" s="4">
        <v>505500100</v>
      </c>
      <c r="B20233">
        <v>8130000</v>
      </c>
    </row>
    <row r="20234" spans="1:2" x14ac:dyDescent="0.4">
      <c r="A20234" s="4">
        <v>505500100</v>
      </c>
      <c r="B20234">
        <v>8130001</v>
      </c>
    </row>
    <row r="20235" spans="1:2" x14ac:dyDescent="0.4">
      <c r="A20235" s="4">
        <v>505500100</v>
      </c>
      <c r="B20235">
        <v>8130002</v>
      </c>
    </row>
    <row r="20236" spans="1:2" x14ac:dyDescent="0.4">
      <c r="A20236" s="4">
        <v>505500100</v>
      </c>
      <c r="B20236">
        <v>8140000</v>
      </c>
    </row>
    <row r="20237" spans="1:2" x14ac:dyDescent="0.4">
      <c r="A20237" s="4">
        <v>505500100</v>
      </c>
      <c r="B20237">
        <v>8140001</v>
      </c>
    </row>
    <row r="20238" spans="1:2" x14ac:dyDescent="0.4">
      <c r="A20238" s="4">
        <v>505500100</v>
      </c>
      <c r="B20238">
        <v>8140002</v>
      </c>
    </row>
    <row r="20239" spans="1:2" x14ac:dyDescent="0.4">
      <c r="A20239" s="4">
        <v>505500100</v>
      </c>
      <c r="B20239">
        <v>8200100</v>
      </c>
    </row>
    <row r="20240" spans="1:2" x14ac:dyDescent="0.4">
      <c r="A20240" s="4">
        <v>505500100</v>
      </c>
      <c r="B20240">
        <v>8200101</v>
      </c>
    </row>
    <row r="20241" spans="1:2" x14ac:dyDescent="0.4">
      <c r="A20241" s="4">
        <v>505500100</v>
      </c>
      <c r="B20241">
        <v>8200102</v>
      </c>
    </row>
    <row r="20242" spans="1:2" x14ac:dyDescent="0.4">
      <c r="A20242" s="4">
        <v>505500100</v>
      </c>
      <c r="B20242">
        <v>8200200</v>
      </c>
    </row>
    <row r="20243" spans="1:2" x14ac:dyDescent="0.4">
      <c r="A20243" s="4">
        <v>505500100</v>
      </c>
      <c r="B20243">
        <v>8200201</v>
      </c>
    </row>
    <row r="20244" spans="1:2" x14ac:dyDescent="0.4">
      <c r="A20244" s="4">
        <v>505500100</v>
      </c>
      <c r="B20244">
        <v>8200202</v>
      </c>
    </row>
    <row r="20245" spans="1:2" x14ac:dyDescent="0.4">
      <c r="A20245" s="4">
        <v>505500100</v>
      </c>
      <c r="B20245">
        <v>8200300</v>
      </c>
    </row>
    <row r="20246" spans="1:2" x14ac:dyDescent="0.4">
      <c r="A20246" s="4">
        <v>505500100</v>
      </c>
      <c r="B20246">
        <v>8200301</v>
      </c>
    </row>
    <row r="20247" spans="1:2" x14ac:dyDescent="0.4">
      <c r="A20247" s="4">
        <v>505500100</v>
      </c>
      <c r="B20247">
        <v>8200302</v>
      </c>
    </row>
    <row r="20248" spans="1:2" x14ac:dyDescent="0.4">
      <c r="A20248" s="4">
        <v>505500100</v>
      </c>
      <c r="B20248">
        <v>8200400</v>
      </c>
    </row>
    <row r="20249" spans="1:2" x14ac:dyDescent="0.4">
      <c r="A20249" s="4">
        <v>505500100</v>
      </c>
      <c r="B20249">
        <v>8200401</v>
      </c>
    </row>
    <row r="20250" spans="1:2" x14ac:dyDescent="0.4">
      <c r="A20250" s="4">
        <v>505500100</v>
      </c>
      <c r="B20250">
        <v>8200402</v>
      </c>
    </row>
    <row r="20251" spans="1:2" x14ac:dyDescent="0.4">
      <c r="A20251" s="4">
        <v>505500100</v>
      </c>
      <c r="B20251">
        <v>8210000</v>
      </c>
    </row>
    <row r="20252" spans="1:2" x14ac:dyDescent="0.4">
      <c r="A20252" s="4">
        <v>505500100</v>
      </c>
      <c r="B20252">
        <v>8210001</v>
      </c>
    </row>
    <row r="20253" spans="1:2" x14ac:dyDescent="0.4">
      <c r="A20253" s="4">
        <v>505500100</v>
      </c>
      <c r="B20253">
        <v>8210002</v>
      </c>
    </row>
    <row r="20254" spans="1:2" x14ac:dyDescent="0.4">
      <c r="A20254" s="4">
        <v>505500100</v>
      </c>
      <c r="B20254">
        <v>8210100</v>
      </c>
    </row>
    <row r="20255" spans="1:2" x14ac:dyDescent="0.4">
      <c r="A20255" s="4">
        <v>505500100</v>
      </c>
      <c r="B20255">
        <v>8210101</v>
      </c>
    </row>
    <row r="20256" spans="1:2" x14ac:dyDescent="0.4">
      <c r="A20256" s="4">
        <v>505500100</v>
      </c>
      <c r="B20256">
        <v>8210102</v>
      </c>
    </row>
    <row r="20257" spans="1:2" x14ac:dyDescent="0.4">
      <c r="A20257" s="4">
        <v>505500100</v>
      </c>
      <c r="B20257">
        <v>8210200</v>
      </c>
    </row>
    <row r="20258" spans="1:2" x14ac:dyDescent="0.4">
      <c r="A20258" s="4">
        <v>505500100</v>
      </c>
      <c r="B20258">
        <v>8210201</v>
      </c>
    </row>
    <row r="20259" spans="1:2" x14ac:dyDescent="0.4">
      <c r="A20259" s="4">
        <v>505500100</v>
      </c>
      <c r="B20259">
        <v>8210202</v>
      </c>
    </row>
    <row r="20260" spans="1:2" x14ac:dyDescent="0.4">
      <c r="A20260" s="4">
        <v>505500100</v>
      </c>
      <c r="B20260">
        <v>8210300</v>
      </c>
    </row>
    <row r="20261" spans="1:2" x14ac:dyDescent="0.4">
      <c r="A20261" s="4">
        <v>505500100</v>
      </c>
      <c r="B20261">
        <v>8210301</v>
      </c>
    </row>
    <row r="20262" spans="1:2" x14ac:dyDescent="0.4">
      <c r="A20262" s="4">
        <v>505500100</v>
      </c>
      <c r="B20262">
        <v>8210302</v>
      </c>
    </row>
    <row r="20263" spans="1:2" x14ac:dyDescent="0.4">
      <c r="A20263" s="4">
        <v>505500100</v>
      </c>
      <c r="B20263">
        <v>8210400</v>
      </c>
    </row>
    <row r="20264" spans="1:2" x14ac:dyDescent="0.4">
      <c r="A20264" s="4">
        <v>505500100</v>
      </c>
      <c r="B20264">
        <v>8210401</v>
      </c>
    </row>
    <row r="20265" spans="1:2" x14ac:dyDescent="0.4">
      <c r="A20265" s="4">
        <v>505500100</v>
      </c>
      <c r="B20265">
        <v>8210402</v>
      </c>
    </row>
    <row r="20266" spans="1:2" x14ac:dyDescent="0.4">
      <c r="A20266" s="4">
        <v>505500100</v>
      </c>
      <c r="B20266">
        <v>8210500</v>
      </c>
    </row>
    <row r="20267" spans="1:2" x14ac:dyDescent="0.4">
      <c r="A20267" s="4">
        <v>505500100</v>
      </c>
      <c r="B20267">
        <v>8210501</v>
      </c>
    </row>
    <row r="20268" spans="1:2" x14ac:dyDescent="0.4">
      <c r="A20268" s="4">
        <v>505500100</v>
      </c>
      <c r="B20268">
        <v>8210502</v>
      </c>
    </row>
    <row r="20269" spans="1:2" x14ac:dyDescent="0.4">
      <c r="A20269" s="4">
        <v>505500100</v>
      </c>
      <c r="B20269">
        <v>8210600</v>
      </c>
    </row>
    <row r="20270" spans="1:2" x14ac:dyDescent="0.4">
      <c r="A20270" s="4">
        <v>505500100</v>
      </c>
      <c r="B20270">
        <v>8210601</v>
      </c>
    </row>
    <row r="20271" spans="1:2" x14ac:dyDescent="0.4">
      <c r="A20271" s="4">
        <v>505500100</v>
      </c>
      <c r="B20271">
        <v>8210602</v>
      </c>
    </row>
    <row r="20272" spans="1:2" x14ac:dyDescent="0.4">
      <c r="A20272" s="4">
        <v>505500100</v>
      </c>
      <c r="B20272">
        <v>8220000</v>
      </c>
    </row>
    <row r="20273" spans="1:2" x14ac:dyDescent="0.4">
      <c r="A20273" s="4">
        <v>505500100</v>
      </c>
      <c r="B20273">
        <v>8220001</v>
      </c>
    </row>
    <row r="20274" spans="1:2" x14ac:dyDescent="0.4">
      <c r="A20274" s="4">
        <v>505500100</v>
      </c>
      <c r="B20274">
        <v>8220002</v>
      </c>
    </row>
    <row r="20275" spans="1:2" x14ac:dyDescent="0.4">
      <c r="A20275" s="4">
        <v>505500100</v>
      </c>
      <c r="B20275">
        <v>8300000</v>
      </c>
    </row>
    <row r="20276" spans="1:2" x14ac:dyDescent="0.4">
      <c r="A20276" s="4">
        <v>505500100</v>
      </c>
      <c r="B20276">
        <v>8300001</v>
      </c>
    </row>
    <row r="20277" spans="1:2" x14ac:dyDescent="0.4">
      <c r="A20277" s="4">
        <v>505500100</v>
      </c>
      <c r="B20277">
        <v>8300002</v>
      </c>
    </row>
    <row r="20278" spans="1:2" x14ac:dyDescent="0.4">
      <c r="A20278" s="4">
        <v>505500100</v>
      </c>
      <c r="B20278">
        <v>8310000</v>
      </c>
    </row>
    <row r="20279" spans="1:2" x14ac:dyDescent="0.4">
      <c r="A20279" s="4">
        <v>505500100</v>
      </c>
      <c r="B20279">
        <v>8310001</v>
      </c>
    </row>
    <row r="20280" spans="1:2" x14ac:dyDescent="0.4">
      <c r="A20280" s="4">
        <v>505500100</v>
      </c>
      <c r="B20280">
        <v>8310002</v>
      </c>
    </row>
    <row r="20281" spans="1:2" x14ac:dyDescent="0.4">
      <c r="A20281" s="4">
        <v>505500100</v>
      </c>
      <c r="B20281">
        <v>8320000</v>
      </c>
    </row>
    <row r="20282" spans="1:2" x14ac:dyDescent="0.4">
      <c r="A20282" s="4">
        <v>505500100</v>
      </c>
      <c r="B20282">
        <v>8320001</v>
      </c>
    </row>
    <row r="20283" spans="1:2" x14ac:dyDescent="0.4">
      <c r="A20283" s="4">
        <v>505500100</v>
      </c>
      <c r="B20283">
        <v>8320002</v>
      </c>
    </row>
    <row r="20284" spans="1:2" x14ac:dyDescent="0.4">
      <c r="A20284" s="4">
        <v>505500100</v>
      </c>
      <c r="B20284">
        <v>8320100</v>
      </c>
    </row>
    <row r="20285" spans="1:2" x14ac:dyDescent="0.4">
      <c r="A20285" s="4">
        <v>505500100</v>
      </c>
      <c r="B20285">
        <v>8320101</v>
      </c>
    </row>
    <row r="20286" spans="1:2" x14ac:dyDescent="0.4">
      <c r="A20286" s="4">
        <v>505500100</v>
      </c>
      <c r="B20286">
        <v>8320102</v>
      </c>
    </row>
    <row r="20287" spans="1:2" x14ac:dyDescent="0.4">
      <c r="A20287" s="4">
        <v>505500100</v>
      </c>
      <c r="B20287">
        <v>8320300</v>
      </c>
    </row>
    <row r="20288" spans="1:2" x14ac:dyDescent="0.4">
      <c r="A20288" s="4">
        <v>505500100</v>
      </c>
      <c r="B20288">
        <v>8320301</v>
      </c>
    </row>
    <row r="20289" spans="1:2" x14ac:dyDescent="0.4">
      <c r="A20289" s="4">
        <v>505500100</v>
      </c>
      <c r="B20289">
        <v>8320302</v>
      </c>
    </row>
    <row r="20290" spans="1:2" x14ac:dyDescent="0.4">
      <c r="A20290" s="4">
        <v>505500100</v>
      </c>
      <c r="B20290">
        <v>8320400</v>
      </c>
    </row>
    <row r="20291" spans="1:2" x14ac:dyDescent="0.4">
      <c r="A20291" s="4">
        <v>505500100</v>
      </c>
      <c r="B20291">
        <v>8320410</v>
      </c>
    </row>
    <row r="20292" spans="1:2" x14ac:dyDescent="0.4">
      <c r="A20292" s="4">
        <v>505500100</v>
      </c>
      <c r="B20292">
        <v>8320420</v>
      </c>
    </row>
    <row r="20293" spans="1:2" x14ac:dyDescent="0.4">
      <c r="A20293" s="4">
        <v>505500100</v>
      </c>
      <c r="B20293">
        <v>8330000</v>
      </c>
    </row>
    <row r="20294" spans="1:2" x14ac:dyDescent="0.4">
      <c r="A20294" s="4">
        <v>505500100</v>
      </c>
      <c r="B20294">
        <v>8330001</v>
      </c>
    </row>
    <row r="20295" spans="1:2" x14ac:dyDescent="0.4">
      <c r="A20295" s="4">
        <v>505500100</v>
      </c>
      <c r="B20295">
        <v>8330002</v>
      </c>
    </row>
    <row r="20296" spans="1:2" x14ac:dyDescent="0.4">
      <c r="A20296" s="4">
        <v>505500100</v>
      </c>
      <c r="B20296">
        <v>8330100</v>
      </c>
    </row>
    <row r="20297" spans="1:2" x14ac:dyDescent="0.4">
      <c r="A20297" s="4">
        <v>505500100</v>
      </c>
      <c r="B20297">
        <v>8330101</v>
      </c>
    </row>
    <row r="20298" spans="1:2" x14ac:dyDescent="0.4">
      <c r="A20298" s="4">
        <v>505500100</v>
      </c>
      <c r="B20298">
        <v>8330102</v>
      </c>
    </row>
    <row r="20299" spans="1:2" x14ac:dyDescent="0.4">
      <c r="A20299" s="4">
        <v>505500100</v>
      </c>
      <c r="B20299">
        <v>8330200</v>
      </c>
    </row>
    <row r="20300" spans="1:2" x14ac:dyDescent="0.4">
      <c r="A20300" s="4">
        <v>505500100</v>
      </c>
      <c r="B20300">
        <v>8330201</v>
      </c>
    </row>
    <row r="20301" spans="1:2" x14ac:dyDescent="0.4">
      <c r="A20301" s="4">
        <v>505500100</v>
      </c>
      <c r="B20301">
        <v>8330202</v>
      </c>
    </row>
    <row r="20302" spans="1:2" x14ac:dyDescent="0.4">
      <c r="A20302" s="4">
        <v>505500100</v>
      </c>
      <c r="B20302">
        <v>8330300</v>
      </c>
    </row>
    <row r="20303" spans="1:2" x14ac:dyDescent="0.4">
      <c r="A20303" s="4">
        <v>505500100</v>
      </c>
      <c r="B20303">
        <v>8330301</v>
      </c>
    </row>
    <row r="20304" spans="1:2" x14ac:dyDescent="0.4">
      <c r="A20304" s="4">
        <v>505500100</v>
      </c>
      <c r="B20304">
        <v>8330302</v>
      </c>
    </row>
    <row r="20305" spans="1:2" x14ac:dyDescent="0.4">
      <c r="A20305" s="4">
        <v>505500100</v>
      </c>
      <c r="B20305">
        <v>8330400</v>
      </c>
    </row>
    <row r="20306" spans="1:2" x14ac:dyDescent="0.4">
      <c r="A20306" s="4">
        <v>505500100</v>
      </c>
      <c r="B20306">
        <v>8330401</v>
      </c>
    </row>
    <row r="20307" spans="1:2" x14ac:dyDescent="0.4">
      <c r="A20307" s="4">
        <v>505500100</v>
      </c>
      <c r="B20307">
        <v>8330600</v>
      </c>
    </row>
    <row r="20308" spans="1:2" x14ac:dyDescent="0.4">
      <c r="A20308" s="4">
        <v>505500100</v>
      </c>
      <c r="B20308">
        <v>8330601</v>
      </c>
    </row>
    <row r="20309" spans="1:2" x14ac:dyDescent="0.4">
      <c r="A20309" s="4">
        <v>505500100</v>
      </c>
      <c r="B20309">
        <v>8330602</v>
      </c>
    </row>
    <row r="20310" spans="1:2" x14ac:dyDescent="0.4">
      <c r="A20310" s="4">
        <v>505500100</v>
      </c>
      <c r="B20310">
        <v>8330900</v>
      </c>
    </row>
    <row r="20311" spans="1:2" x14ac:dyDescent="0.4">
      <c r="A20311" s="4">
        <v>505500100</v>
      </c>
      <c r="B20311">
        <v>8330910</v>
      </c>
    </row>
    <row r="20312" spans="1:2" x14ac:dyDescent="0.4">
      <c r="A20312" s="4">
        <v>505500100</v>
      </c>
      <c r="B20312">
        <v>8330920</v>
      </c>
    </row>
    <row r="20313" spans="1:2" x14ac:dyDescent="0.4">
      <c r="A20313" s="4">
        <v>505500100</v>
      </c>
      <c r="B20313">
        <v>8340000</v>
      </c>
    </row>
    <row r="20314" spans="1:2" x14ac:dyDescent="0.4">
      <c r="A20314" s="4">
        <v>505500100</v>
      </c>
      <c r="B20314">
        <v>8340001</v>
      </c>
    </row>
    <row r="20315" spans="1:2" x14ac:dyDescent="0.4">
      <c r="A20315" s="4">
        <v>505500100</v>
      </c>
      <c r="B20315">
        <v>8340002</v>
      </c>
    </row>
    <row r="20316" spans="1:2" x14ac:dyDescent="0.4">
      <c r="A20316" s="4">
        <v>505500100</v>
      </c>
      <c r="B20316">
        <v>8340100</v>
      </c>
    </row>
    <row r="20317" spans="1:2" x14ac:dyDescent="0.4">
      <c r="A20317" s="4">
        <v>505500100</v>
      </c>
      <c r="B20317">
        <v>8340101</v>
      </c>
    </row>
    <row r="20318" spans="1:2" x14ac:dyDescent="0.4">
      <c r="A20318" s="4">
        <v>505500100</v>
      </c>
      <c r="B20318">
        <v>8340102</v>
      </c>
    </row>
    <row r="20319" spans="1:2" x14ac:dyDescent="0.4">
      <c r="A20319" s="4">
        <v>505500100</v>
      </c>
      <c r="B20319">
        <v>8350000</v>
      </c>
    </row>
    <row r="20320" spans="1:2" x14ac:dyDescent="0.4">
      <c r="A20320" s="4">
        <v>505500100</v>
      </c>
      <c r="B20320">
        <v>8350001</v>
      </c>
    </row>
    <row r="20321" spans="1:2" x14ac:dyDescent="0.4">
      <c r="A20321" s="4">
        <v>505500100</v>
      </c>
      <c r="B20321">
        <v>8350002</v>
      </c>
    </row>
    <row r="20322" spans="1:2" x14ac:dyDescent="0.4">
      <c r="A20322" s="4">
        <v>505500100</v>
      </c>
      <c r="B20322">
        <v>8350200</v>
      </c>
    </row>
    <row r="20323" spans="1:2" x14ac:dyDescent="0.4">
      <c r="A20323" s="4">
        <v>505500100</v>
      </c>
      <c r="B20323">
        <v>8350201</v>
      </c>
    </row>
    <row r="20324" spans="1:2" x14ac:dyDescent="0.4">
      <c r="A20324" s="4">
        <v>505500100</v>
      </c>
      <c r="B20324">
        <v>8350202</v>
      </c>
    </row>
    <row r="20325" spans="1:2" x14ac:dyDescent="0.4">
      <c r="A20325" s="4">
        <v>505500100</v>
      </c>
      <c r="B20325">
        <v>8420000</v>
      </c>
    </row>
    <row r="20326" spans="1:2" x14ac:dyDescent="0.4">
      <c r="A20326" s="4">
        <v>505500100</v>
      </c>
      <c r="B20326">
        <v>8420001</v>
      </c>
    </row>
    <row r="20327" spans="1:2" x14ac:dyDescent="0.4">
      <c r="A20327" s="4">
        <v>505500100</v>
      </c>
      <c r="B20327">
        <v>8420002</v>
      </c>
    </row>
    <row r="20328" spans="1:2" x14ac:dyDescent="0.4">
      <c r="A20328" s="4">
        <v>505500100</v>
      </c>
      <c r="B20328">
        <v>8450000</v>
      </c>
    </row>
    <row r="20329" spans="1:2" x14ac:dyDescent="0.4">
      <c r="A20329" s="4">
        <v>505500100</v>
      </c>
      <c r="B20329">
        <v>8460100</v>
      </c>
    </row>
    <row r="20330" spans="1:2" x14ac:dyDescent="0.4">
      <c r="A20330" s="4">
        <v>505500100</v>
      </c>
      <c r="B20330">
        <v>8460300</v>
      </c>
    </row>
    <row r="20331" spans="1:2" x14ac:dyDescent="0.4">
      <c r="A20331" s="4">
        <v>505500100</v>
      </c>
      <c r="B20331">
        <v>8460500</v>
      </c>
    </row>
    <row r="20332" spans="1:2" x14ac:dyDescent="0.4">
      <c r="A20332" s="4">
        <v>505500100</v>
      </c>
      <c r="B20332">
        <v>8510000</v>
      </c>
    </row>
    <row r="20333" spans="1:2" x14ac:dyDescent="0.4">
      <c r="A20333" s="4">
        <v>505500100</v>
      </c>
      <c r="B20333">
        <v>8510001</v>
      </c>
    </row>
    <row r="20334" spans="1:2" x14ac:dyDescent="0.4">
      <c r="A20334" s="4">
        <v>505500100</v>
      </c>
      <c r="B20334">
        <v>8510002</v>
      </c>
    </row>
    <row r="20335" spans="1:2" x14ac:dyDescent="0.4">
      <c r="A20335" s="4">
        <v>505500100</v>
      </c>
      <c r="B20335">
        <v>8520000</v>
      </c>
    </row>
    <row r="20336" spans="1:2" x14ac:dyDescent="0.4">
      <c r="A20336" s="4">
        <v>505500100</v>
      </c>
      <c r="B20336">
        <v>8520001</v>
      </c>
    </row>
    <row r="20337" spans="1:2" x14ac:dyDescent="0.4">
      <c r="A20337" s="4">
        <v>505500100</v>
      </c>
      <c r="B20337">
        <v>8520002</v>
      </c>
    </row>
    <row r="20338" spans="1:2" x14ac:dyDescent="0.4">
      <c r="A20338" s="4">
        <v>505500100</v>
      </c>
      <c r="B20338">
        <v>8530000</v>
      </c>
    </row>
    <row r="20339" spans="1:2" x14ac:dyDescent="0.4">
      <c r="A20339" s="4">
        <v>505500100</v>
      </c>
      <c r="B20339">
        <v>8530100</v>
      </c>
    </row>
    <row r="20340" spans="1:2" x14ac:dyDescent="0.4">
      <c r="A20340" s="4">
        <v>505500100</v>
      </c>
      <c r="B20340">
        <v>8540000</v>
      </c>
    </row>
    <row r="20341" spans="1:2" x14ac:dyDescent="0.4">
      <c r="A20341" s="4">
        <v>505500100</v>
      </c>
      <c r="B20341">
        <v>8600100</v>
      </c>
    </row>
    <row r="20342" spans="1:2" x14ac:dyDescent="0.4">
      <c r="A20342" s="4">
        <v>505500100</v>
      </c>
      <c r="B20342">
        <v>8600101</v>
      </c>
    </row>
    <row r="20343" spans="1:2" x14ac:dyDescent="0.4">
      <c r="A20343" s="4">
        <v>505500100</v>
      </c>
      <c r="B20343">
        <v>8600102</v>
      </c>
    </row>
    <row r="20344" spans="1:2" x14ac:dyDescent="0.4">
      <c r="A20344" s="4">
        <v>505500100</v>
      </c>
      <c r="B20344">
        <v>8600200</v>
      </c>
    </row>
    <row r="20345" spans="1:2" x14ac:dyDescent="0.4">
      <c r="A20345" s="4">
        <v>505500100</v>
      </c>
      <c r="B20345">
        <v>8600201</v>
      </c>
    </row>
    <row r="20346" spans="1:2" x14ac:dyDescent="0.4">
      <c r="A20346" s="4">
        <v>505500100</v>
      </c>
      <c r="B20346">
        <v>8600202</v>
      </c>
    </row>
    <row r="20347" spans="1:2" x14ac:dyDescent="0.4">
      <c r="A20347" s="4">
        <v>505500100</v>
      </c>
      <c r="B20347">
        <v>8610700</v>
      </c>
    </row>
    <row r="20348" spans="1:2" x14ac:dyDescent="0.4">
      <c r="A20348" s="4">
        <v>505500100</v>
      </c>
      <c r="B20348">
        <v>8610710</v>
      </c>
    </row>
    <row r="20349" spans="1:2" x14ac:dyDescent="0.4">
      <c r="A20349" s="4">
        <v>505500100</v>
      </c>
      <c r="B20349">
        <v>8610720</v>
      </c>
    </row>
    <row r="20350" spans="1:2" x14ac:dyDescent="0.4">
      <c r="A20350" s="4">
        <v>505500100</v>
      </c>
      <c r="B20350">
        <v>8620000</v>
      </c>
    </row>
    <row r="20351" spans="1:2" x14ac:dyDescent="0.4">
      <c r="A20351" s="4">
        <v>505500100</v>
      </c>
      <c r="B20351">
        <v>8620010</v>
      </c>
    </row>
    <row r="20352" spans="1:2" x14ac:dyDescent="0.4">
      <c r="A20352" s="4">
        <v>505500100</v>
      </c>
      <c r="B20352">
        <v>8620020</v>
      </c>
    </row>
    <row r="20353" spans="1:2" x14ac:dyDescent="0.4">
      <c r="A20353" s="4">
        <v>505500100</v>
      </c>
      <c r="B20353">
        <v>8620100</v>
      </c>
    </row>
    <row r="20354" spans="1:2" x14ac:dyDescent="0.4">
      <c r="A20354" s="4">
        <v>505500100</v>
      </c>
      <c r="B20354">
        <v>8620110</v>
      </c>
    </row>
    <row r="20355" spans="1:2" x14ac:dyDescent="0.4">
      <c r="A20355" s="4">
        <v>505500100</v>
      </c>
      <c r="B20355">
        <v>8620120</v>
      </c>
    </row>
    <row r="20356" spans="1:2" x14ac:dyDescent="0.4">
      <c r="A20356" s="4">
        <v>505500100</v>
      </c>
      <c r="B20356">
        <v>8630000</v>
      </c>
    </row>
    <row r="20357" spans="1:2" x14ac:dyDescent="0.4">
      <c r="A20357" s="4">
        <v>505500100</v>
      </c>
      <c r="B20357">
        <v>8630000</v>
      </c>
    </row>
    <row r="20358" spans="1:2" x14ac:dyDescent="0.4">
      <c r="A20358" s="4">
        <v>505500100</v>
      </c>
      <c r="B20358">
        <v>8630000</v>
      </c>
    </row>
    <row r="20359" spans="1:2" x14ac:dyDescent="0.4">
      <c r="A20359" s="4">
        <v>505500100</v>
      </c>
      <c r="B20359">
        <v>8630100</v>
      </c>
    </row>
    <row r="20360" spans="1:2" x14ac:dyDescent="0.4">
      <c r="A20360" s="4">
        <v>505500100</v>
      </c>
      <c r="B20360">
        <v>8630100</v>
      </c>
    </row>
    <row r="20361" spans="1:2" x14ac:dyDescent="0.4">
      <c r="A20361" s="4">
        <v>505500100</v>
      </c>
      <c r="B20361">
        <v>8630100</v>
      </c>
    </row>
    <row r="20362" spans="1:2" x14ac:dyDescent="0.4">
      <c r="A20362" s="4">
        <v>505500100</v>
      </c>
      <c r="B20362">
        <v>8652000</v>
      </c>
    </row>
    <row r="20363" spans="1:2" x14ac:dyDescent="0.4">
      <c r="A20363" s="4">
        <v>505500100</v>
      </c>
      <c r="B20363">
        <v>8652010</v>
      </c>
    </row>
    <row r="20364" spans="1:2" x14ac:dyDescent="0.4">
      <c r="A20364" s="4">
        <v>505500100</v>
      </c>
      <c r="B20364">
        <v>8652020</v>
      </c>
    </row>
    <row r="20365" spans="1:2" x14ac:dyDescent="0.4">
      <c r="A20365" s="4">
        <v>505500100</v>
      </c>
      <c r="B20365">
        <v>8652100</v>
      </c>
    </row>
    <row r="20366" spans="1:2" x14ac:dyDescent="0.4">
      <c r="A20366" s="4">
        <v>505500100</v>
      </c>
      <c r="B20366">
        <v>8652110</v>
      </c>
    </row>
    <row r="20367" spans="1:2" x14ac:dyDescent="0.4">
      <c r="A20367" s="4">
        <v>505500100</v>
      </c>
      <c r="B20367">
        <v>8652120</v>
      </c>
    </row>
    <row r="20368" spans="1:2" x14ac:dyDescent="0.4">
      <c r="A20368" s="4">
        <v>505500100</v>
      </c>
      <c r="B20368">
        <v>8660000</v>
      </c>
    </row>
    <row r="20369" spans="1:2" x14ac:dyDescent="0.4">
      <c r="A20369" s="4">
        <v>505500100</v>
      </c>
      <c r="B20369">
        <v>8660001</v>
      </c>
    </row>
    <row r="20370" spans="1:2" x14ac:dyDescent="0.4">
      <c r="A20370" s="4">
        <v>505500100</v>
      </c>
      <c r="B20370">
        <v>8660002</v>
      </c>
    </row>
    <row r="20371" spans="1:2" x14ac:dyDescent="0.4">
      <c r="A20371" s="4">
        <v>505500100</v>
      </c>
      <c r="B20371">
        <v>8660100</v>
      </c>
    </row>
    <row r="20372" spans="1:2" x14ac:dyDescent="0.4">
      <c r="A20372" s="4">
        <v>505500100</v>
      </c>
      <c r="B20372">
        <v>8660101</v>
      </c>
    </row>
    <row r="20373" spans="1:2" x14ac:dyDescent="0.4">
      <c r="A20373" s="4">
        <v>505500100</v>
      </c>
      <c r="B20373">
        <v>8660102</v>
      </c>
    </row>
    <row r="20374" spans="1:2" x14ac:dyDescent="0.4">
      <c r="A20374" s="4">
        <v>505500100</v>
      </c>
      <c r="B20374">
        <v>8670000</v>
      </c>
    </row>
    <row r="20375" spans="1:2" x14ac:dyDescent="0.4">
      <c r="A20375" s="4">
        <v>505500100</v>
      </c>
      <c r="B20375">
        <v>8670001</v>
      </c>
    </row>
    <row r="20376" spans="1:2" x14ac:dyDescent="0.4">
      <c r="A20376" s="4">
        <v>505500100</v>
      </c>
      <c r="B20376">
        <v>8670002</v>
      </c>
    </row>
    <row r="20377" spans="1:2" x14ac:dyDescent="0.4">
      <c r="A20377" s="4">
        <v>505500100</v>
      </c>
      <c r="B20377">
        <v>8670100</v>
      </c>
    </row>
    <row r="20378" spans="1:2" x14ac:dyDescent="0.4">
      <c r="A20378" s="4">
        <v>505500100</v>
      </c>
      <c r="B20378">
        <v>8670101</v>
      </c>
    </row>
    <row r="20379" spans="1:2" x14ac:dyDescent="0.4">
      <c r="A20379" s="4">
        <v>505500100</v>
      </c>
      <c r="B20379">
        <v>8670102</v>
      </c>
    </row>
    <row r="20380" spans="1:2" x14ac:dyDescent="0.4">
      <c r="A20380" s="4">
        <v>505500100</v>
      </c>
      <c r="B20380">
        <v>8690000</v>
      </c>
    </row>
    <row r="20381" spans="1:2" x14ac:dyDescent="0.4">
      <c r="A20381" s="4">
        <v>505500100</v>
      </c>
      <c r="B20381">
        <v>8690100</v>
      </c>
    </row>
    <row r="20382" spans="1:2" x14ac:dyDescent="0.4">
      <c r="A20382" s="4">
        <v>505500100</v>
      </c>
      <c r="B20382">
        <v>8690200</v>
      </c>
    </row>
    <row r="20383" spans="1:2" x14ac:dyDescent="0.4">
      <c r="A20383" s="4">
        <v>505500100</v>
      </c>
      <c r="B20383">
        <v>8690300</v>
      </c>
    </row>
    <row r="20384" spans="1:2" x14ac:dyDescent="0.4">
      <c r="A20384" s="4">
        <v>505500100</v>
      </c>
      <c r="B20384">
        <v>8690400</v>
      </c>
    </row>
    <row r="20385" spans="1:2" x14ac:dyDescent="0.4">
      <c r="A20385" s="4">
        <v>505500100</v>
      </c>
      <c r="B20385">
        <v>8850000</v>
      </c>
    </row>
    <row r="20386" spans="1:2" x14ac:dyDescent="0.4">
      <c r="A20386" s="4">
        <v>505500100</v>
      </c>
      <c r="B20386">
        <v>8850100</v>
      </c>
    </row>
    <row r="20387" spans="1:2" x14ac:dyDescent="0.4">
      <c r="A20387" s="4">
        <v>505500100</v>
      </c>
      <c r="B20387">
        <v>8850200</v>
      </c>
    </row>
    <row r="20388" spans="1:2" x14ac:dyDescent="0.4">
      <c r="A20388" s="4">
        <v>505500100</v>
      </c>
      <c r="B20388">
        <v>8850300</v>
      </c>
    </row>
    <row r="20389" spans="1:2" x14ac:dyDescent="0.4">
      <c r="A20389" s="4">
        <v>505500100</v>
      </c>
      <c r="B20389">
        <v>8850400</v>
      </c>
    </row>
    <row r="20390" spans="1:2" x14ac:dyDescent="0.4">
      <c r="A20390" s="4">
        <v>505500100</v>
      </c>
      <c r="B20390">
        <v>8850500</v>
      </c>
    </row>
    <row r="20391" spans="1:2" x14ac:dyDescent="0.4">
      <c r="A20391" s="4">
        <v>505500100</v>
      </c>
      <c r="B20391">
        <v>8850600</v>
      </c>
    </row>
    <row r="20392" spans="1:2" x14ac:dyDescent="0.4">
      <c r="A20392" s="4">
        <v>505500100</v>
      </c>
      <c r="B20392">
        <v>8850700</v>
      </c>
    </row>
    <row r="20393" spans="1:2" x14ac:dyDescent="0.4">
      <c r="A20393" s="4">
        <v>505500100</v>
      </c>
      <c r="B20393">
        <v>8850800</v>
      </c>
    </row>
    <row r="20394" spans="1:2" x14ac:dyDescent="0.4">
      <c r="A20394" s="4">
        <v>505500100</v>
      </c>
      <c r="B20394">
        <v>8850900</v>
      </c>
    </row>
    <row r="20395" spans="1:2" x14ac:dyDescent="0.4">
      <c r="A20395" s="4">
        <v>505500100</v>
      </c>
      <c r="B20395">
        <v>8851000</v>
      </c>
    </row>
    <row r="20396" spans="1:2" x14ac:dyDescent="0.4">
      <c r="A20396" s="4">
        <v>505500100</v>
      </c>
      <c r="B20396">
        <v>8851100</v>
      </c>
    </row>
    <row r="20397" spans="1:2" x14ac:dyDescent="0.4">
      <c r="A20397" s="4">
        <v>505500100</v>
      </c>
      <c r="B20397">
        <v>8851200</v>
      </c>
    </row>
    <row r="20398" spans="1:2" x14ac:dyDescent="0.4">
      <c r="A20398" s="4">
        <v>505500100</v>
      </c>
      <c r="B20398">
        <v>8851300</v>
      </c>
    </row>
    <row r="20399" spans="1:2" x14ac:dyDescent="0.4">
      <c r="A20399" s="4">
        <v>505500100</v>
      </c>
      <c r="B20399">
        <v>8851800</v>
      </c>
    </row>
    <row r="20400" spans="1:2" x14ac:dyDescent="0.4">
      <c r="A20400" s="4">
        <v>505500100</v>
      </c>
      <c r="B20400">
        <v>8851900</v>
      </c>
    </row>
    <row r="20401" spans="1:2" x14ac:dyDescent="0.4">
      <c r="A20401" s="4">
        <v>505500100</v>
      </c>
      <c r="B20401">
        <v>8852000</v>
      </c>
    </row>
    <row r="20402" spans="1:2" x14ac:dyDescent="0.4">
      <c r="A20402" s="4">
        <v>505500100</v>
      </c>
      <c r="B20402">
        <v>8320500</v>
      </c>
    </row>
    <row r="20403" spans="1:2" x14ac:dyDescent="0.4">
      <c r="A20403" s="4">
        <v>505500100</v>
      </c>
      <c r="B20403">
        <v>8320510</v>
      </c>
    </row>
    <row r="20404" spans="1:2" x14ac:dyDescent="0.4">
      <c r="A20404" s="4">
        <v>505500100</v>
      </c>
      <c r="B20404">
        <v>8320520</v>
      </c>
    </row>
    <row r="20405" spans="1:2" x14ac:dyDescent="0.4">
      <c r="A20405" s="4">
        <v>505500100</v>
      </c>
      <c r="B20405">
        <v>8320600</v>
      </c>
    </row>
    <row r="20406" spans="1:2" x14ac:dyDescent="0.4">
      <c r="A20406" s="4">
        <v>505500100</v>
      </c>
      <c r="B20406">
        <v>8320610</v>
      </c>
    </row>
    <row r="20407" spans="1:2" x14ac:dyDescent="0.4">
      <c r="A20407" s="4">
        <v>505500100</v>
      </c>
      <c r="B20407">
        <v>8320620</v>
      </c>
    </row>
    <row r="20408" spans="1:2" x14ac:dyDescent="0.4">
      <c r="A20408" s="4">
        <v>505500100</v>
      </c>
      <c r="B20408">
        <v>8320700</v>
      </c>
    </row>
    <row r="20409" spans="1:2" x14ac:dyDescent="0.4">
      <c r="A20409" s="4">
        <v>505500100</v>
      </c>
      <c r="B20409">
        <v>8320710</v>
      </c>
    </row>
    <row r="20410" spans="1:2" x14ac:dyDescent="0.4">
      <c r="A20410" s="4">
        <v>505500100</v>
      </c>
      <c r="B20410">
        <v>8320720</v>
      </c>
    </row>
    <row r="20411" spans="1:2" x14ac:dyDescent="0.4">
      <c r="A20411" s="4">
        <v>505500200</v>
      </c>
      <c r="B20411">
        <v>0</v>
      </c>
    </row>
    <row r="20412" spans="1:2" x14ac:dyDescent="0.4">
      <c r="A20412" s="4">
        <v>505500200</v>
      </c>
      <c r="B20412">
        <v>8100100</v>
      </c>
    </row>
    <row r="20413" spans="1:2" x14ac:dyDescent="0.4">
      <c r="A20413" s="4">
        <v>505500200</v>
      </c>
      <c r="B20413">
        <v>8100101</v>
      </c>
    </row>
    <row r="20414" spans="1:2" x14ac:dyDescent="0.4">
      <c r="A20414" s="4">
        <v>505500200</v>
      </c>
      <c r="B20414">
        <v>8100102</v>
      </c>
    </row>
    <row r="20415" spans="1:2" x14ac:dyDescent="0.4">
      <c r="A20415" s="4">
        <v>505500200</v>
      </c>
      <c r="B20415">
        <v>8100200</v>
      </c>
    </row>
    <row r="20416" spans="1:2" x14ac:dyDescent="0.4">
      <c r="A20416" s="4">
        <v>505500200</v>
      </c>
      <c r="B20416">
        <v>8100201</v>
      </c>
    </row>
    <row r="20417" spans="1:2" x14ac:dyDescent="0.4">
      <c r="A20417" s="4">
        <v>505500200</v>
      </c>
      <c r="B20417">
        <v>8100202</v>
      </c>
    </row>
    <row r="20418" spans="1:2" x14ac:dyDescent="0.4">
      <c r="A20418" s="4">
        <v>505500200</v>
      </c>
      <c r="B20418">
        <v>8100300</v>
      </c>
    </row>
    <row r="20419" spans="1:2" x14ac:dyDescent="0.4">
      <c r="A20419" s="4">
        <v>505500200</v>
      </c>
      <c r="B20419">
        <v>8100301</v>
      </c>
    </row>
    <row r="20420" spans="1:2" x14ac:dyDescent="0.4">
      <c r="A20420" s="4">
        <v>505500200</v>
      </c>
      <c r="B20420">
        <v>8100302</v>
      </c>
    </row>
    <row r="20421" spans="1:2" x14ac:dyDescent="0.4">
      <c r="A20421" s="4">
        <v>505500200</v>
      </c>
      <c r="B20421">
        <v>8100400</v>
      </c>
    </row>
    <row r="20422" spans="1:2" x14ac:dyDescent="0.4">
      <c r="A20422" s="4">
        <v>505500200</v>
      </c>
      <c r="B20422">
        <v>8100401</v>
      </c>
    </row>
    <row r="20423" spans="1:2" x14ac:dyDescent="0.4">
      <c r="A20423" s="4">
        <v>505500200</v>
      </c>
      <c r="B20423">
        <v>8100402</v>
      </c>
    </row>
    <row r="20424" spans="1:2" x14ac:dyDescent="0.4">
      <c r="A20424" s="4">
        <v>505500200</v>
      </c>
      <c r="B20424">
        <v>8130000</v>
      </c>
    </row>
    <row r="20425" spans="1:2" x14ac:dyDescent="0.4">
      <c r="A20425" s="4">
        <v>505500200</v>
      </c>
      <c r="B20425">
        <v>8130001</v>
      </c>
    </row>
    <row r="20426" spans="1:2" x14ac:dyDescent="0.4">
      <c r="A20426" s="4">
        <v>505500200</v>
      </c>
      <c r="B20426">
        <v>8130002</v>
      </c>
    </row>
    <row r="20427" spans="1:2" x14ac:dyDescent="0.4">
      <c r="A20427" s="4">
        <v>505500200</v>
      </c>
      <c r="B20427">
        <v>8140000</v>
      </c>
    </row>
    <row r="20428" spans="1:2" x14ac:dyDescent="0.4">
      <c r="A20428" s="4">
        <v>505500200</v>
      </c>
      <c r="B20428">
        <v>8140001</v>
      </c>
    </row>
    <row r="20429" spans="1:2" x14ac:dyDescent="0.4">
      <c r="A20429" s="4">
        <v>505500200</v>
      </c>
      <c r="B20429">
        <v>8140002</v>
      </c>
    </row>
    <row r="20430" spans="1:2" x14ac:dyDescent="0.4">
      <c r="A20430" s="4">
        <v>505500200</v>
      </c>
      <c r="B20430">
        <v>8200100</v>
      </c>
    </row>
    <row r="20431" spans="1:2" x14ac:dyDescent="0.4">
      <c r="A20431" s="4">
        <v>505500200</v>
      </c>
      <c r="B20431">
        <v>8200101</v>
      </c>
    </row>
    <row r="20432" spans="1:2" x14ac:dyDescent="0.4">
      <c r="A20432" s="4">
        <v>505500200</v>
      </c>
      <c r="B20432">
        <v>8200102</v>
      </c>
    </row>
    <row r="20433" spans="1:2" x14ac:dyDescent="0.4">
      <c r="A20433" s="4">
        <v>505500200</v>
      </c>
      <c r="B20433">
        <v>8200200</v>
      </c>
    </row>
    <row r="20434" spans="1:2" x14ac:dyDescent="0.4">
      <c r="A20434" s="4">
        <v>505500200</v>
      </c>
      <c r="B20434">
        <v>8200201</v>
      </c>
    </row>
    <row r="20435" spans="1:2" x14ac:dyDescent="0.4">
      <c r="A20435" s="4">
        <v>505500200</v>
      </c>
      <c r="B20435">
        <v>8200202</v>
      </c>
    </row>
    <row r="20436" spans="1:2" x14ac:dyDescent="0.4">
      <c r="A20436" s="4">
        <v>505500200</v>
      </c>
      <c r="B20436">
        <v>8200300</v>
      </c>
    </row>
    <row r="20437" spans="1:2" x14ac:dyDescent="0.4">
      <c r="A20437" s="4">
        <v>505500200</v>
      </c>
      <c r="B20437">
        <v>8200301</v>
      </c>
    </row>
    <row r="20438" spans="1:2" x14ac:dyDescent="0.4">
      <c r="A20438" s="4">
        <v>505500200</v>
      </c>
      <c r="B20438">
        <v>8200302</v>
      </c>
    </row>
    <row r="20439" spans="1:2" x14ac:dyDescent="0.4">
      <c r="A20439" s="4">
        <v>505500200</v>
      </c>
      <c r="B20439">
        <v>8200400</v>
      </c>
    </row>
    <row r="20440" spans="1:2" x14ac:dyDescent="0.4">
      <c r="A20440" s="4">
        <v>505500200</v>
      </c>
      <c r="B20440">
        <v>8200401</v>
      </c>
    </row>
    <row r="20441" spans="1:2" x14ac:dyDescent="0.4">
      <c r="A20441" s="4">
        <v>505500200</v>
      </c>
      <c r="B20441">
        <v>8200402</v>
      </c>
    </row>
    <row r="20442" spans="1:2" x14ac:dyDescent="0.4">
      <c r="A20442" s="4">
        <v>505500200</v>
      </c>
      <c r="B20442">
        <v>8210000</v>
      </c>
    </row>
    <row r="20443" spans="1:2" x14ac:dyDescent="0.4">
      <c r="A20443" s="4">
        <v>505500200</v>
      </c>
      <c r="B20443">
        <v>8210001</v>
      </c>
    </row>
    <row r="20444" spans="1:2" x14ac:dyDescent="0.4">
      <c r="A20444" s="4">
        <v>505500200</v>
      </c>
      <c r="B20444">
        <v>8210002</v>
      </c>
    </row>
    <row r="20445" spans="1:2" x14ac:dyDescent="0.4">
      <c r="A20445" s="4">
        <v>505500200</v>
      </c>
      <c r="B20445">
        <v>8210100</v>
      </c>
    </row>
    <row r="20446" spans="1:2" x14ac:dyDescent="0.4">
      <c r="A20446" s="4">
        <v>505500200</v>
      </c>
      <c r="B20446">
        <v>8210101</v>
      </c>
    </row>
    <row r="20447" spans="1:2" x14ac:dyDescent="0.4">
      <c r="A20447" s="4">
        <v>505500200</v>
      </c>
      <c r="B20447">
        <v>8210102</v>
      </c>
    </row>
    <row r="20448" spans="1:2" x14ac:dyDescent="0.4">
      <c r="A20448" s="4">
        <v>505500200</v>
      </c>
      <c r="B20448">
        <v>8210200</v>
      </c>
    </row>
    <row r="20449" spans="1:2" x14ac:dyDescent="0.4">
      <c r="A20449" s="4">
        <v>505500200</v>
      </c>
      <c r="B20449">
        <v>8210201</v>
      </c>
    </row>
    <row r="20450" spans="1:2" x14ac:dyDescent="0.4">
      <c r="A20450" s="4">
        <v>505500200</v>
      </c>
      <c r="B20450">
        <v>8210202</v>
      </c>
    </row>
    <row r="20451" spans="1:2" x14ac:dyDescent="0.4">
      <c r="A20451" s="4">
        <v>505500200</v>
      </c>
      <c r="B20451">
        <v>8210300</v>
      </c>
    </row>
    <row r="20452" spans="1:2" x14ac:dyDescent="0.4">
      <c r="A20452" s="4">
        <v>505500200</v>
      </c>
      <c r="B20452">
        <v>8210301</v>
      </c>
    </row>
    <row r="20453" spans="1:2" x14ac:dyDescent="0.4">
      <c r="A20453" s="4">
        <v>505500200</v>
      </c>
      <c r="B20453">
        <v>8210302</v>
      </c>
    </row>
    <row r="20454" spans="1:2" x14ac:dyDescent="0.4">
      <c r="A20454" s="4">
        <v>505500200</v>
      </c>
      <c r="B20454">
        <v>8210400</v>
      </c>
    </row>
    <row r="20455" spans="1:2" x14ac:dyDescent="0.4">
      <c r="A20455" s="4">
        <v>505500200</v>
      </c>
      <c r="B20455">
        <v>8210401</v>
      </c>
    </row>
    <row r="20456" spans="1:2" x14ac:dyDescent="0.4">
      <c r="A20456" s="4">
        <v>505500200</v>
      </c>
      <c r="B20456">
        <v>8210402</v>
      </c>
    </row>
    <row r="20457" spans="1:2" x14ac:dyDescent="0.4">
      <c r="A20457" s="4">
        <v>505500200</v>
      </c>
      <c r="B20457">
        <v>8210500</v>
      </c>
    </row>
    <row r="20458" spans="1:2" x14ac:dyDescent="0.4">
      <c r="A20458" s="4">
        <v>505500200</v>
      </c>
      <c r="B20458">
        <v>8210501</v>
      </c>
    </row>
    <row r="20459" spans="1:2" x14ac:dyDescent="0.4">
      <c r="A20459" s="4">
        <v>505500200</v>
      </c>
      <c r="B20459">
        <v>8210502</v>
      </c>
    </row>
    <row r="20460" spans="1:2" x14ac:dyDescent="0.4">
      <c r="A20460" s="4">
        <v>505500200</v>
      </c>
      <c r="B20460">
        <v>8210600</v>
      </c>
    </row>
    <row r="20461" spans="1:2" x14ac:dyDescent="0.4">
      <c r="A20461" s="4">
        <v>505500200</v>
      </c>
      <c r="B20461">
        <v>8210601</v>
      </c>
    </row>
    <row r="20462" spans="1:2" x14ac:dyDescent="0.4">
      <c r="A20462" s="4">
        <v>505500200</v>
      </c>
      <c r="B20462">
        <v>8210602</v>
      </c>
    </row>
    <row r="20463" spans="1:2" x14ac:dyDescent="0.4">
      <c r="A20463" s="4">
        <v>505500200</v>
      </c>
      <c r="B20463">
        <v>8220000</v>
      </c>
    </row>
    <row r="20464" spans="1:2" x14ac:dyDescent="0.4">
      <c r="A20464" s="4">
        <v>505500200</v>
      </c>
      <c r="B20464">
        <v>8220001</v>
      </c>
    </row>
    <row r="20465" spans="1:2" x14ac:dyDescent="0.4">
      <c r="A20465" s="4">
        <v>505500200</v>
      </c>
      <c r="B20465">
        <v>8220002</v>
      </c>
    </row>
    <row r="20466" spans="1:2" x14ac:dyDescent="0.4">
      <c r="A20466" s="4">
        <v>505500200</v>
      </c>
      <c r="B20466">
        <v>8300000</v>
      </c>
    </row>
    <row r="20467" spans="1:2" x14ac:dyDescent="0.4">
      <c r="A20467" s="4">
        <v>505500200</v>
      </c>
      <c r="B20467">
        <v>8300001</v>
      </c>
    </row>
    <row r="20468" spans="1:2" x14ac:dyDescent="0.4">
      <c r="A20468" s="4">
        <v>505500200</v>
      </c>
      <c r="B20468">
        <v>8300002</v>
      </c>
    </row>
    <row r="20469" spans="1:2" x14ac:dyDescent="0.4">
      <c r="A20469" s="4">
        <v>505500200</v>
      </c>
      <c r="B20469">
        <v>8310000</v>
      </c>
    </row>
    <row r="20470" spans="1:2" x14ac:dyDescent="0.4">
      <c r="A20470" s="4">
        <v>505500200</v>
      </c>
      <c r="B20470">
        <v>8310001</v>
      </c>
    </row>
    <row r="20471" spans="1:2" x14ac:dyDescent="0.4">
      <c r="A20471" s="4">
        <v>505500200</v>
      </c>
      <c r="B20471">
        <v>8310002</v>
      </c>
    </row>
    <row r="20472" spans="1:2" x14ac:dyDescent="0.4">
      <c r="A20472" s="4">
        <v>505500200</v>
      </c>
      <c r="B20472">
        <v>8320000</v>
      </c>
    </row>
    <row r="20473" spans="1:2" x14ac:dyDescent="0.4">
      <c r="A20473" s="4">
        <v>505500200</v>
      </c>
      <c r="B20473">
        <v>8320001</v>
      </c>
    </row>
    <row r="20474" spans="1:2" x14ac:dyDescent="0.4">
      <c r="A20474" s="4">
        <v>505500200</v>
      </c>
      <c r="B20474">
        <v>8320002</v>
      </c>
    </row>
    <row r="20475" spans="1:2" x14ac:dyDescent="0.4">
      <c r="A20475" s="4">
        <v>505500200</v>
      </c>
      <c r="B20475">
        <v>8320100</v>
      </c>
    </row>
    <row r="20476" spans="1:2" x14ac:dyDescent="0.4">
      <c r="A20476" s="4">
        <v>505500200</v>
      </c>
      <c r="B20476">
        <v>8320101</v>
      </c>
    </row>
    <row r="20477" spans="1:2" x14ac:dyDescent="0.4">
      <c r="A20477" s="4">
        <v>505500200</v>
      </c>
      <c r="B20477">
        <v>8320102</v>
      </c>
    </row>
    <row r="20478" spans="1:2" x14ac:dyDescent="0.4">
      <c r="A20478" s="4">
        <v>505500200</v>
      </c>
      <c r="B20478">
        <v>8320300</v>
      </c>
    </row>
    <row r="20479" spans="1:2" x14ac:dyDescent="0.4">
      <c r="A20479" s="4">
        <v>505500200</v>
      </c>
      <c r="B20479">
        <v>8320301</v>
      </c>
    </row>
    <row r="20480" spans="1:2" x14ac:dyDescent="0.4">
      <c r="A20480" s="4">
        <v>505500200</v>
      </c>
      <c r="B20480">
        <v>8320302</v>
      </c>
    </row>
    <row r="20481" spans="1:2" x14ac:dyDescent="0.4">
      <c r="A20481" s="4">
        <v>505500200</v>
      </c>
      <c r="B20481">
        <v>8320400</v>
      </c>
    </row>
    <row r="20482" spans="1:2" x14ac:dyDescent="0.4">
      <c r="A20482" s="4">
        <v>505500200</v>
      </c>
      <c r="B20482">
        <v>8320410</v>
      </c>
    </row>
    <row r="20483" spans="1:2" x14ac:dyDescent="0.4">
      <c r="A20483" s="4">
        <v>505500200</v>
      </c>
      <c r="B20483">
        <v>8320420</v>
      </c>
    </row>
    <row r="20484" spans="1:2" x14ac:dyDescent="0.4">
      <c r="A20484" s="4">
        <v>505500200</v>
      </c>
      <c r="B20484">
        <v>8330000</v>
      </c>
    </row>
    <row r="20485" spans="1:2" x14ac:dyDescent="0.4">
      <c r="A20485" s="4">
        <v>505500200</v>
      </c>
      <c r="B20485">
        <v>8330001</v>
      </c>
    </row>
    <row r="20486" spans="1:2" x14ac:dyDescent="0.4">
      <c r="A20486" s="4">
        <v>505500200</v>
      </c>
      <c r="B20486">
        <v>8330002</v>
      </c>
    </row>
    <row r="20487" spans="1:2" x14ac:dyDescent="0.4">
      <c r="A20487" s="4">
        <v>505500200</v>
      </c>
      <c r="B20487">
        <v>8330100</v>
      </c>
    </row>
    <row r="20488" spans="1:2" x14ac:dyDescent="0.4">
      <c r="A20488" s="4">
        <v>505500200</v>
      </c>
      <c r="B20488">
        <v>8330101</v>
      </c>
    </row>
    <row r="20489" spans="1:2" x14ac:dyDescent="0.4">
      <c r="A20489" s="4">
        <v>505500200</v>
      </c>
      <c r="B20489">
        <v>8330102</v>
      </c>
    </row>
    <row r="20490" spans="1:2" x14ac:dyDescent="0.4">
      <c r="A20490" s="4">
        <v>505500200</v>
      </c>
      <c r="B20490">
        <v>8330200</v>
      </c>
    </row>
    <row r="20491" spans="1:2" x14ac:dyDescent="0.4">
      <c r="A20491" s="4">
        <v>505500200</v>
      </c>
      <c r="B20491">
        <v>8330201</v>
      </c>
    </row>
    <row r="20492" spans="1:2" x14ac:dyDescent="0.4">
      <c r="A20492" s="4">
        <v>505500200</v>
      </c>
      <c r="B20492">
        <v>8330202</v>
      </c>
    </row>
    <row r="20493" spans="1:2" x14ac:dyDescent="0.4">
      <c r="A20493" s="4">
        <v>505500200</v>
      </c>
      <c r="B20493">
        <v>8330300</v>
      </c>
    </row>
    <row r="20494" spans="1:2" x14ac:dyDescent="0.4">
      <c r="A20494" s="4">
        <v>505500200</v>
      </c>
      <c r="B20494">
        <v>8330301</v>
      </c>
    </row>
    <row r="20495" spans="1:2" x14ac:dyDescent="0.4">
      <c r="A20495" s="4">
        <v>505500200</v>
      </c>
      <c r="B20495">
        <v>8330302</v>
      </c>
    </row>
    <row r="20496" spans="1:2" x14ac:dyDescent="0.4">
      <c r="A20496" s="4">
        <v>505500200</v>
      </c>
      <c r="B20496">
        <v>8330400</v>
      </c>
    </row>
    <row r="20497" spans="1:2" x14ac:dyDescent="0.4">
      <c r="A20497" s="4">
        <v>505500200</v>
      </c>
      <c r="B20497">
        <v>8330401</v>
      </c>
    </row>
    <row r="20498" spans="1:2" x14ac:dyDescent="0.4">
      <c r="A20498" s="4">
        <v>505500200</v>
      </c>
      <c r="B20498">
        <v>8330600</v>
      </c>
    </row>
    <row r="20499" spans="1:2" x14ac:dyDescent="0.4">
      <c r="A20499" s="4">
        <v>505500200</v>
      </c>
      <c r="B20499">
        <v>8330601</v>
      </c>
    </row>
    <row r="20500" spans="1:2" x14ac:dyDescent="0.4">
      <c r="A20500" s="4">
        <v>505500200</v>
      </c>
      <c r="B20500">
        <v>8330602</v>
      </c>
    </row>
    <row r="20501" spans="1:2" x14ac:dyDescent="0.4">
      <c r="A20501" s="4">
        <v>505500200</v>
      </c>
      <c r="B20501">
        <v>8330900</v>
      </c>
    </row>
    <row r="20502" spans="1:2" x14ac:dyDescent="0.4">
      <c r="A20502" s="4">
        <v>505500200</v>
      </c>
      <c r="B20502">
        <v>8330910</v>
      </c>
    </row>
    <row r="20503" spans="1:2" x14ac:dyDescent="0.4">
      <c r="A20503" s="4">
        <v>505500200</v>
      </c>
      <c r="B20503">
        <v>8330920</v>
      </c>
    </row>
    <row r="20504" spans="1:2" x14ac:dyDescent="0.4">
      <c r="A20504" s="4">
        <v>505500200</v>
      </c>
      <c r="B20504">
        <v>8340000</v>
      </c>
    </row>
    <row r="20505" spans="1:2" x14ac:dyDescent="0.4">
      <c r="A20505" s="4">
        <v>505500200</v>
      </c>
      <c r="B20505">
        <v>8340001</v>
      </c>
    </row>
    <row r="20506" spans="1:2" x14ac:dyDescent="0.4">
      <c r="A20506" s="4">
        <v>505500200</v>
      </c>
      <c r="B20506">
        <v>8340002</v>
      </c>
    </row>
    <row r="20507" spans="1:2" x14ac:dyDescent="0.4">
      <c r="A20507" s="4">
        <v>505500200</v>
      </c>
      <c r="B20507">
        <v>8340100</v>
      </c>
    </row>
    <row r="20508" spans="1:2" x14ac:dyDescent="0.4">
      <c r="A20508" s="4">
        <v>505500200</v>
      </c>
      <c r="B20508">
        <v>8340101</v>
      </c>
    </row>
    <row r="20509" spans="1:2" x14ac:dyDescent="0.4">
      <c r="A20509" s="4">
        <v>505500200</v>
      </c>
      <c r="B20509">
        <v>8340102</v>
      </c>
    </row>
    <row r="20510" spans="1:2" x14ac:dyDescent="0.4">
      <c r="A20510" s="4">
        <v>505500200</v>
      </c>
      <c r="B20510">
        <v>8350000</v>
      </c>
    </row>
    <row r="20511" spans="1:2" x14ac:dyDescent="0.4">
      <c r="A20511" s="4">
        <v>505500200</v>
      </c>
      <c r="B20511">
        <v>8350001</v>
      </c>
    </row>
    <row r="20512" spans="1:2" x14ac:dyDescent="0.4">
      <c r="A20512" s="4">
        <v>505500200</v>
      </c>
      <c r="B20512">
        <v>8350002</v>
      </c>
    </row>
    <row r="20513" spans="1:2" x14ac:dyDescent="0.4">
      <c r="A20513" s="4">
        <v>505500200</v>
      </c>
      <c r="B20513">
        <v>8350200</v>
      </c>
    </row>
    <row r="20514" spans="1:2" x14ac:dyDescent="0.4">
      <c r="A20514" s="4">
        <v>505500200</v>
      </c>
      <c r="B20514">
        <v>8350201</v>
      </c>
    </row>
    <row r="20515" spans="1:2" x14ac:dyDescent="0.4">
      <c r="A20515" s="4">
        <v>505500200</v>
      </c>
      <c r="B20515">
        <v>8350202</v>
      </c>
    </row>
    <row r="20516" spans="1:2" x14ac:dyDescent="0.4">
      <c r="A20516" s="4">
        <v>505500200</v>
      </c>
      <c r="B20516">
        <v>8420000</v>
      </c>
    </row>
    <row r="20517" spans="1:2" x14ac:dyDescent="0.4">
      <c r="A20517" s="4">
        <v>505500200</v>
      </c>
      <c r="B20517">
        <v>8420001</v>
      </c>
    </row>
    <row r="20518" spans="1:2" x14ac:dyDescent="0.4">
      <c r="A20518" s="4">
        <v>505500200</v>
      </c>
      <c r="B20518">
        <v>8420002</v>
      </c>
    </row>
    <row r="20519" spans="1:2" x14ac:dyDescent="0.4">
      <c r="A20519" s="4">
        <v>505500200</v>
      </c>
      <c r="B20519">
        <v>8450000</v>
      </c>
    </row>
    <row r="20520" spans="1:2" x14ac:dyDescent="0.4">
      <c r="A20520" s="4">
        <v>505500200</v>
      </c>
      <c r="B20520">
        <v>8460100</v>
      </c>
    </row>
    <row r="20521" spans="1:2" x14ac:dyDescent="0.4">
      <c r="A20521" s="4">
        <v>505500200</v>
      </c>
      <c r="B20521">
        <v>8460300</v>
      </c>
    </row>
    <row r="20522" spans="1:2" x14ac:dyDescent="0.4">
      <c r="A20522" s="4">
        <v>505500200</v>
      </c>
      <c r="B20522">
        <v>8460500</v>
      </c>
    </row>
    <row r="20523" spans="1:2" x14ac:dyDescent="0.4">
      <c r="A20523" s="4">
        <v>505500200</v>
      </c>
      <c r="B20523">
        <v>8510000</v>
      </c>
    </row>
    <row r="20524" spans="1:2" x14ac:dyDescent="0.4">
      <c r="A20524" s="4">
        <v>505500200</v>
      </c>
      <c r="B20524">
        <v>8510001</v>
      </c>
    </row>
    <row r="20525" spans="1:2" x14ac:dyDescent="0.4">
      <c r="A20525" s="4">
        <v>505500200</v>
      </c>
      <c r="B20525">
        <v>8510002</v>
      </c>
    </row>
    <row r="20526" spans="1:2" x14ac:dyDescent="0.4">
      <c r="A20526" s="4">
        <v>505500200</v>
      </c>
      <c r="B20526">
        <v>8520000</v>
      </c>
    </row>
    <row r="20527" spans="1:2" x14ac:dyDescent="0.4">
      <c r="A20527" s="4">
        <v>505500200</v>
      </c>
      <c r="B20527">
        <v>8520001</v>
      </c>
    </row>
    <row r="20528" spans="1:2" x14ac:dyDescent="0.4">
      <c r="A20528" s="4">
        <v>505500200</v>
      </c>
      <c r="B20528">
        <v>8520002</v>
      </c>
    </row>
    <row r="20529" spans="1:2" x14ac:dyDescent="0.4">
      <c r="A20529" s="4">
        <v>505500200</v>
      </c>
      <c r="B20529">
        <v>8530000</v>
      </c>
    </row>
    <row r="20530" spans="1:2" x14ac:dyDescent="0.4">
      <c r="A20530" s="4">
        <v>505500200</v>
      </c>
      <c r="B20530">
        <v>8530100</v>
      </c>
    </row>
    <row r="20531" spans="1:2" x14ac:dyDescent="0.4">
      <c r="A20531" s="4">
        <v>505500200</v>
      </c>
      <c r="B20531">
        <v>8540000</v>
      </c>
    </row>
    <row r="20532" spans="1:2" x14ac:dyDescent="0.4">
      <c r="A20532" s="4">
        <v>505500200</v>
      </c>
      <c r="B20532">
        <v>8600100</v>
      </c>
    </row>
    <row r="20533" spans="1:2" x14ac:dyDescent="0.4">
      <c r="A20533" s="4">
        <v>505500200</v>
      </c>
      <c r="B20533">
        <v>8600101</v>
      </c>
    </row>
    <row r="20534" spans="1:2" x14ac:dyDescent="0.4">
      <c r="A20534" s="4">
        <v>505500200</v>
      </c>
      <c r="B20534">
        <v>8600102</v>
      </c>
    </row>
    <row r="20535" spans="1:2" x14ac:dyDescent="0.4">
      <c r="A20535" s="4">
        <v>505500200</v>
      </c>
      <c r="B20535">
        <v>8600200</v>
      </c>
    </row>
    <row r="20536" spans="1:2" x14ac:dyDescent="0.4">
      <c r="A20536" s="4">
        <v>505500200</v>
      </c>
      <c r="B20536">
        <v>8600201</v>
      </c>
    </row>
    <row r="20537" spans="1:2" x14ac:dyDescent="0.4">
      <c r="A20537" s="4">
        <v>505500200</v>
      </c>
      <c r="B20537">
        <v>8600202</v>
      </c>
    </row>
    <row r="20538" spans="1:2" x14ac:dyDescent="0.4">
      <c r="A20538" s="4">
        <v>505500200</v>
      </c>
      <c r="B20538">
        <v>8610700</v>
      </c>
    </row>
    <row r="20539" spans="1:2" x14ac:dyDescent="0.4">
      <c r="A20539" s="4">
        <v>505500200</v>
      </c>
      <c r="B20539">
        <v>8610710</v>
      </c>
    </row>
    <row r="20540" spans="1:2" x14ac:dyDescent="0.4">
      <c r="A20540" s="4">
        <v>505500200</v>
      </c>
      <c r="B20540">
        <v>8610720</v>
      </c>
    </row>
    <row r="20541" spans="1:2" x14ac:dyDescent="0.4">
      <c r="A20541" s="4">
        <v>505500200</v>
      </c>
      <c r="B20541">
        <v>8620000</v>
      </c>
    </row>
    <row r="20542" spans="1:2" x14ac:dyDescent="0.4">
      <c r="A20542" s="4">
        <v>505500200</v>
      </c>
      <c r="B20542">
        <v>8620010</v>
      </c>
    </row>
    <row r="20543" spans="1:2" x14ac:dyDescent="0.4">
      <c r="A20543" s="4">
        <v>505500200</v>
      </c>
      <c r="B20543">
        <v>8620020</v>
      </c>
    </row>
    <row r="20544" spans="1:2" x14ac:dyDescent="0.4">
      <c r="A20544" s="4">
        <v>505500200</v>
      </c>
      <c r="B20544">
        <v>8620100</v>
      </c>
    </row>
    <row r="20545" spans="1:2" x14ac:dyDescent="0.4">
      <c r="A20545" s="4">
        <v>505500200</v>
      </c>
      <c r="B20545">
        <v>8620110</v>
      </c>
    </row>
    <row r="20546" spans="1:2" x14ac:dyDescent="0.4">
      <c r="A20546" s="4">
        <v>505500200</v>
      </c>
      <c r="B20546">
        <v>8620120</v>
      </c>
    </row>
    <row r="20547" spans="1:2" x14ac:dyDescent="0.4">
      <c r="A20547" s="4">
        <v>505500200</v>
      </c>
      <c r="B20547">
        <v>8630000</v>
      </c>
    </row>
    <row r="20548" spans="1:2" x14ac:dyDescent="0.4">
      <c r="A20548" s="4">
        <v>505500200</v>
      </c>
      <c r="B20548">
        <v>8630000</v>
      </c>
    </row>
    <row r="20549" spans="1:2" x14ac:dyDescent="0.4">
      <c r="A20549" s="4">
        <v>505500200</v>
      </c>
      <c r="B20549">
        <v>8630000</v>
      </c>
    </row>
    <row r="20550" spans="1:2" x14ac:dyDescent="0.4">
      <c r="A20550" s="4">
        <v>505500200</v>
      </c>
      <c r="B20550">
        <v>8630100</v>
      </c>
    </row>
    <row r="20551" spans="1:2" x14ac:dyDescent="0.4">
      <c r="A20551" s="4">
        <v>505500200</v>
      </c>
      <c r="B20551">
        <v>8630100</v>
      </c>
    </row>
    <row r="20552" spans="1:2" x14ac:dyDescent="0.4">
      <c r="A20552" s="4">
        <v>505500200</v>
      </c>
      <c r="B20552">
        <v>8630100</v>
      </c>
    </row>
    <row r="20553" spans="1:2" x14ac:dyDescent="0.4">
      <c r="A20553" s="4">
        <v>505500200</v>
      </c>
      <c r="B20553">
        <v>8652000</v>
      </c>
    </row>
    <row r="20554" spans="1:2" x14ac:dyDescent="0.4">
      <c r="A20554" s="4">
        <v>505500200</v>
      </c>
      <c r="B20554">
        <v>8652010</v>
      </c>
    </row>
    <row r="20555" spans="1:2" x14ac:dyDescent="0.4">
      <c r="A20555" s="4">
        <v>505500200</v>
      </c>
      <c r="B20555">
        <v>8652020</v>
      </c>
    </row>
    <row r="20556" spans="1:2" x14ac:dyDescent="0.4">
      <c r="A20556" s="4">
        <v>505500200</v>
      </c>
      <c r="B20556">
        <v>8652100</v>
      </c>
    </row>
    <row r="20557" spans="1:2" x14ac:dyDescent="0.4">
      <c r="A20557" s="4">
        <v>505500200</v>
      </c>
      <c r="B20557">
        <v>8652110</v>
      </c>
    </row>
    <row r="20558" spans="1:2" x14ac:dyDescent="0.4">
      <c r="A20558" s="4">
        <v>505500200</v>
      </c>
      <c r="B20558">
        <v>8652120</v>
      </c>
    </row>
    <row r="20559" spans="1:2" x14ac:dyDescent="0.4">
      <c r="A20559" s="4">
        <v>505500200</v>
      </c>
      <c r="B20559">
        <v>8660000</v>
      </c>
    </row>
    <row r="20560" spans="1:2" x14ac:dyDescent="0.4">
      <c r="A20560" s="4">
        <v>505500200</v>
      </c>
      <c r="B20560">
        <v>8660001</v>
      </c>
    </row>
    <row r="20561" spans="1:2" x14ac:dyDescent="0.4">
      <c r="A20561" s="4">
        <v>505500200</v>
      </c>
      <c r="B20561">
        <v>8660002</v>
      </c>
    </row>
    <row r="20562" spans="1:2" x14ac:dyDescent="0.4">
      <c r="A20562" s="4">
        <v>505500200</v>
      </c>
      <c r="B20562">
        <v>8660100</v>
      </c>
    </row>
    <row r="20563" spans="1:2" x14ac:dyDescent="0.4">
      <c r="A20563" s="4">
        <v>505500200</v>
      </c>
      <c r="B20563">
        <v>8660101</v>
      </c>
    </row>
    <row r="20564" spans="1:2" x14ac:dyDescent="0.4">
      <c r="A20564" s="4">
        <v>505500200</v>
      </c>
      <c r="B20564">
        <v>8660102</v>
      </c>
    </row>
    <row r="20565" spans="1:2" x14ac:dyDescent="0.4">
      <c r="A20565" s="4">
        <v>505500200</v>
      </c>
      <c r="B20565">
        <v>8670000</v>
      </c>
    </row>
    <row r="20566" spans="1:2" x14ac:dyDescent="0.4">
      <c r="A20566" s="4">
        <v>505500200</v>
      </c>
      <c r="B20566">
        <v>8670001</v>
      </c>
    </row>
    <row r="20567" spans="1:2" x14ac:dyDescent="0.4">
      <c r="A20567" s="4">
        <v>505500200</v>
      </c>
      <c r="B20567">
        <v>8670002</v>
      </c>
    </row>
    <row r="20568" spans="1:2" x14ac:dyDescent="0.4">
      <c r="A20568" s="4">
        <v>505500200</v>
      </c>
      <c r="B20568">
        <v>8670100</v>
      </c>
    </row>
    <row r="20569" spans="1:2" x14ac:dyDescent="0.4">
      <c r="A20569" s="4">
        <v>505500200</v>
      </c>
      <c r="B20569">
        <v>8670101</v>
      </c>
    </row>
    <row r="20570" spans="1:2" x14ac:dyDescent="0.4">
      <c r="A20570" s="4">
        <v>505500200</v>
      </c>
      <c r="B20570">
        <v>8670102</v>
      </c>
    </row>
    <row r="20571" spans="1:2" x14ac:dyDescent="0.4">
      <c r="A20571" s="4">
        <v>505500200</v>
      </c>
      <c r="B20571">
        <v>8690000</v>
      </c>
    </row>
    <row r="20572" spans="1:2" x14ac:dyDescent="0.4">
      <c r="A20572" s="4">
        <v>505500200</v>
      </c>
      <c r="B20572">
        <v>8690100</v>
      </c>
    </row>
    <row r="20573" spans="1:2" x14ac:dyDescent="0.4">
      <c r="A20573" s="4">
        <v>505500200</v>
      </c>
      <c r="B20573">
        <v>8690200</v>
      </c>
    </row>
    <row r="20574" spans="1:2" x14ac:dyDescent="0.4">
      <c r="A20574" s="4">
        <v>505500200</v>
      </c>
      <c r="B20574">
        <v>8690300</v>
      </c>
    </row>
    <row r="20575" spans="1:2" x14ac:dyDescent="0.4">
      <c r="A20575" s="4">
        <v>505500200</v>
      </c>
      <c r="B20575">
        <v>8690400</v>
      </c>
    </row>
    <row r="20576" spans="1:2" x14ac:dyDescent="0.4">
      <c r="A20576" s="4">
        <v>505500200</v>
      </c>
      <c r="B20576">
        <v>8850000</v>
      </c>
    </row>
    <row r="20577" spans="1:2" x14ac:dyDescent="0.4">
      <c r="A20577" s="4">
        <v>505500200</v>
      </c>
      <c r="B20577">
        <v>8850100</v>
      </c>
    </row>
    <row r="20578" spans="1:2" x14ac:dyDescent="0.4">
      <c r="A20578" s="4">
        <v>505500200</v>
      </c>
      <c r="B20578">
        <v>8850200</v>
      </c>
    </row>
    <row r="20579" spans="1:2" x14ac:dyDescent="0.4">
      <c r="A20579" s="4">
        <v>505500200</v>
      </c>
      <c r="B20579">
        <v>8850300</v>
      </c>
    </row>
    <row r="20580" spans="1:2" x14ac:dyDescent="0.4">
      <c r="A20580" s="4">
        <v>505500200</v>
      </c>
      <c r="B20580">
        <v>8850400</v>
      </c>
    </row>
    <row r="20581" spans="1:2" x14ac:dyDescent="0.4">
      <c r="A20581" s="4">
        <v>505500200</v>
      </c>
      <c r="B20581">
        <v>8850500</v>
      </c>
    </row>
    <row r="20582" spans="1:2" x14ac:dyDescent="0.4">
      <c r="A20582" s="4">
        <v>505500200</v>
      </c>
      <c r="B20582">
        <v>8850600</v>
      </c>
    </row>
    <row r="20583" spans="1:2" x14ac:dyDescent="0.4">
      <c r="A20583" s="4">
        <v>505500200</v>
      </c>
      <c r="B20583">
        <v>8850700</v>
      </c>
    </row>
    <row r="20584" spans="1:2" x14ac:dyDescent="0.4">
      <c r="A20584" s="4">
        <v>505500200</v>
      </c>
      <c r="B20584">
        <v>8850800</v>
      </c>
    </row>
    <row r="20585" spans="1:2" x14ac:dyDescent="0.4">
      <c r="A20585" s="4">
        <v>505500200</v>
      </c>
      <c r="B20585">
        <v>8850900</v>
      </c>
    </row>
    <row r="20586" spans="1:2" x14ac:dyDescent="0.4">
      <c r="A20586" s="4">
        <v>505500200</v>
      </c>
      <c r="B20586">
        <v>8851000</v>
      </c>
    </row>
    <row r="20587" spans="1:2" x14ac:dyDescent="0.4">
      <c r="A20587" s="4">
        <v>505500200</v>
      </c>
      <c r="B20587">
        <v>8851100</v>
      </c>
    </row>
    <row r="20588" spans="1:2" x14ac:dyDescent="0.4">
      <c r="A20588" s="4">
        <v>505500200</v>
      </c>
      <c r="B20588">
        <v>8851200</v>
      </c>
    </row>
    <row r="20589" spans="1:2" x14ac:dyDescent="0.4">
      <c r="A20589" s="4">
        <v>505500200</v>
      </c>
      <c r="B20589">
        <v>8851300</v>
      </c>
    </row>
    <row r="20590" spans="1:2" x14ac:dyDescent="0.4">
      <c r="A20590" s="4">
        <v>505500200</v>
      </c>
      <c r="B20590">
        <v>8851800</v>
      </c>
    </row>
    <row r="20591" spans="1:2" x14ac:dyDescent="0.4">
      <c r="A20591" s="4">
        <v>505500200</v>
      </c>
      <c r="B20591">
        <v>8851900</v>
      </c>
    </row>
    <row r="20592" spans="1:2" x14ac:dyDescent="0.4">
      <c r="A20592" s="4">
        <v>505500200</v>
      </c>
      <c r="B20592">
        <v>8852000</v>
      </c>
    </row>
    <row r="20593" spans="1:2" x14ac:dyDescent="0.4">
      <c r="A20593" s="4">
        <v>505500200</v>
      </c>
      <c r="B20593">
        <v>8320500</v>
      </c>
    </row>
    <row r="20594" spans="1:2" x14ac:dyDescent="0.4">
      <c r="A20594" s="4">
        <v>505500200</v>
      </c>
      <c r="B20594">
        <v>8320510</v>
      </c>
    </row>
    <row r="20595" spans="1:2" x14ac:dyDescent="0.4">
      <c r="A20595" s="4">
        <v>505500200</v>
      </c>
      <c r="B20595">
        <v>8320520</v>
      </c>
    </row>
    <row r="20596" spans="1:2" x14ac:dyDescent="0.4">
      <c r="A20596" s="4">
        <v>505500200</v>
      </c>
      <c r="B20596">
        <v>8320600</v>
      </c>
    </row>
    <row r="20597" spans="1:2" x14ac:dyDescent="0.4">
      <c r="A20597" s="4">
        <v>505500200</v>
      </c>
      <c r="B20597">
        <v>8320610</v>
      </c>
    </row>
    <row r="20598" spans="1:2" x14ac:dyDescent="0.4">
      <c r="A20598" s="4">
        <v>505500200</v>
      </c>
      <c r="B20598">
        <v>8320620</v>
      </c>
    </row>
    <row r="20599" spans="1:2" x14ac:dyDescent="0.4">
      <c r="A20599" s="4">
        <v>505500200</v>
      </c>
      <c r="B20599">
        <v>8320700</v>
      </c>
    </row>
    <row r="20600" spans="1:2" x14ac:dyDescent="0.4">
      <c r="A20600" s="4">
        <v>505500200</v>
      </c>
      <c r="B20600">
        <v>8320710</v>
      </c>
    </row>
    <row r="20601" spans="1:2" x14ac:dyDescent="0.4">
      <c r="A20601" s="4">
        <v>505500200</v>
      </c>
      <c r="B20601">
        <v>8320720</v>
      </c>
    </row>
    <row r="20602" spans="1:2" x14ac:dyDescent="0.4">
      <c r="A20602" s="4">
        <v>505600100</v>
      </c>
      <c r="B20602">
        <v>0</v>
      </c>
    </row>
    <row r="20603" spans="1:2" x14ac:dyDescent="0.4">
      <c r="A20603" s="4">
        <v>505600100</v>
      </c>
      <c r="B20603">
        <v>8100100</v>
      </c>
    </row>
    <row r="20604" spans="1:2" x14ac:dyDescent="0.4">
      <c r="A20604" s="4">
        <v>505600100</v>
      </c>
      <c r="B20604">
        <v>8100101</v>
      </c>
    </row>
    <row r="20605" spans="1:2" x14ac:dyDescent="0.4">
      <c r="A20605" s="4">
        <v>505600100</v>
      </c>
      <c r="B20605">
        <v>8100102</v>
      </c>
    </row>
    <row r="20606" spans="1:2" x14ac:dyDescent="0.4">
      <c r="A20606" s="4">
        <v>505600100</v>
      </c>
      <c r="B20606">
        <v>8100200</v>
      </c>
    </row>
    <row r="20607" spans="1:2" x14ac:dyDescent="0.4">
      <c r="A20607" s="4">
        <v>505600100</v>
      </c>
      <c r="B20607">
        <v>8100201</v>
      </c>
    </row>
    <row r="20608" spans="1:2" x14ac:dyDescent="0.4">
      <c r="A20608" s="4">
        <v>505600100</v>
      </c>
      <c r="B20608">
        <v>8100202</v>
      </c>
    </row>
    <row r="20609" spans="1:2" x14ac:dyDescent="0.4">
      <c r="A20609" s="4">
        <v>505600100</v>
      </c>
      <c r="B20609">
        <v>8100300</v>
      </c>
    </row>
    <row r="20610" spans="1:2" x14ac:dyDescent="0.4">
      <c r="A20610" s="4">
        <v>505600100</v>
      </c>
      <c r="B20610">
        <v>8100301</v>
      </c>
    </row>
    <row r="20611" spans="1:2" x14ac:dyDescent="0.4">
      <c r="A20611" s="4">
        <v>505600100</v>
      </c>
      <c r="B20611">
        <v>8100302</v>
      </c>
    </row>
    <row r="20612" spans="1:2" x14ac:dyDescent="0.4">
      <c r="A20612" s="4">
        <v>505600100</v>
      </c>
      <c r="B20612">
        <v>8100400</v>
      </c>
    </row>
    <row r="20613" spans="1:2" x14ac:dyDescent="0.4">
      <c r="A20613" s="4">
        <v>505600100</v>
      </c>
      <c r="B20613">
        <v>8100401</v>
      </c>
    </row>
    <row r="20614" spans="1:2" x14ac:dyDescent="0.4">
      <c r="A20614" s="4">
        <v>505600100</v>
      </c>
      <c r="B20614">
        <v>8100402</v>
      </c>
    </row>
    <row r="20615" spans="1:2" x14ac:dyDescent="0.4">
      <c r="A20615" s="4">
        <v>505600100</v>
      </c>
      <c r="B20615">
        <v>8130000</v>
      </c>
    </row>
    <row r="20616" spans="1:2" x14ac:dyDescent="0.4">
      <c r="A20616" s="4">
        <v>505600100</v>
      </c>
      <c r="B20616">
        <v>8130001</v>
      </c>
    </row>
    <row r="20617" spans="1:2" x14ac:dyDescent="0.4">
      <c r="A20617" s="4">
        <v>505600100</v>
      </c>
      <c r="B20617">
        <v>8130002</v>
      </c>
    </row>
    <row r="20618" spans="1:2" x14ac:dyDescent="0.4">
      <c r="A20618" s="4">
        <v>505600100</v>
      </c>
      <c r="B20618">
        <v>8140000</v>
      </c>
    </row>
    <row r="20619" spans="1:2" x14ac:dyDescent="0.4">
      <c r="A20619" s="4">
        <v>505600100</v>
      </c>
      <c r="B20619">
        <v>8140001</v>
      </c>
    </row>
    <row r="20620" spans="1:2" x14ac:dyDescent="0.4">
      <c r="A20620" s="4">
        <v>505600100</v>
      </c>
      <c r="B20620">
        <v>8140002</v>
      </c>
    </row>
    <row r="20621" spans="1:2" x14ac:dyDescent="0.4">
      <c r="A20621" s="4">
        <v>505600100</v>
      </c>
      <c r="B20621">
        <v>8200100</v>
      </c>
    </row>
    <row r="20622" spans="1:2" x14ac:dyDescent="0.4">
      <c r="A20622" s="4">
        <v>505600100</v>
      </c>
      <c r="B20622">
        <v>8200101</v>
      </c>
    </row>
    <row r="20623" spans="1:2" x14ac:dyDescent="0.4">
      <c r="A20623" s="4">
        <v>505600100</v>
      </c>
      <c r="B20623">
        <v>8200102</v>
      </c>
    </row>
    <row r="20624" spans="1:2" x14ac:dyDescent="0.4">
      <c r="A20624" s="4">
        <v>505600100</v>
      </c>
      <c r="B20624">
        <v>8200200</v>
      </c>
    </row>
    <row r="20625" spans="1:2" x14ac:dyDescent="0.4">
      <c r="A20625" s="4">
        <v>505600100</v>
      </c>
      <c r="B20625">
        <v>8200201</v>
      </c>
    </row>
    <row r="20626" spans="1:2" x14ac:dyDescent="0.4">
      <c r="A20626" s="4">
        <v>505600100</v>
      </c>
      <c r="B20626">
        <v>8200202</v>
      </c>
    </row>
    <row r="20627" spans="1:2" x14ac:dyDescent="0.4">
      <c r="A20627" s="4">
        <v>505600100</v>
      </c>
      <c r="B20627">
        <v>8200300</v>
      </c>
    </row>
    <row r="20628" spans="1:2" x14ac:dyDescent="0.4">
      <c r="A20628" s="4">
        <v>505600100</v>
      </c>
      <c r="B20628">
        <v>8200301</v>
      </c>
    </row>
    <row r="20629" spans="1:2" x14ac:dyDescent="0.4">
      <c r="A20629" s="4">
        <v>505600100</v>
      </c>
      <c r="B20629">
        <v>8200302</v>
      </c>
    </row>
    <row r="20630" spans="1:2" x14ac:dyDescent="0.4">
      <c r="A20630" s="4">
        <v>505600100</v>
      </c>
      <c r="B20630">
        <v>8200400</v>
      </c>
    </row>
    <row r="20631" spans="1:2" x14ac:dyDescent="0.4">
      <c r="A20631" s="4">
        <v>505600100</v>
      </c>
      <c r="B20631">
        <v>8200401</v>
      </c>
    </row>
    <row r="20632" spans="1:2" x14ac:dyDescent="0.4">
      <c r="A20632" s="4">
        <v>505600100</v>
      </c>
      <c r="B20632">
        <v>8200402</v>
      </c>
    </row>
    <row r="20633" spans="1:2" x14ac:dyDescent="0.4">
      <c r="A20633" s="4">
        <v>505600100</v>
      </c>
      <c r="B20633">
        <v>8210000</v>
      </c>
    </row>
    <row r="20634" spans="1:2" x14ac:dyDescent="0.4">
      <c r="A20634" s="4">
        <v>505600100</v>
      </c>
      <c r="B20634">
        <v>8210001</v>
      </c>
    </row>
    <row r="20635" spans="1:2" x14ac:dyDescent="0.4">
      <c r="A20635" s="4">
        <v>505600100</v>
      </c>
      <c r="B20635">
        <v>8210002</v>
      </c>
    </row>
    <row r="20636" spans="1:2" x14ac:dyDescent="0.4">
      <c r="A20636" s="4">
        <v>505600100</v>
      </c>
      <c r="B20636">
        <v>8210100</v>
      </c>
    </row>
    <row r="20637" spans="1:2" x14ac:dyDescent="0.4">
      <c r="A20637" s="4">
        <v>505600100</v>
      </c>
      <c r="B20637">
        <v>8210101</v>
      </c>
    </row>
    <row r="20638" spans="1:2" x14ac:dyDescent="0.4">
      <c r="A20638" s="4">
        <v>505600100</v>
      </c>
      <c r="B20638">
        <v>8210102</v>
      </c>
    </row>
    <row r="20639" spans="1:2" x14ac:dyDescent="0.4">
      <c r="A20639" s="4">
        <v>505600100</v>
      </c>
      <c r="B20639">
        <v>8210200</v>
      </c>
    </row>
    <row r="20640" spans="1:2" x14ac:dyDescent="0.4">
      <c r="A20640" s="4">
        <v>505600100</v>
      </c>
      <c r="B20640">
        <v>8210201</v>
      </c>
    </row>
    <row r="20641" spans="1:2" x14ac:dyDescent="0.4">
      <c r="A20641" s="4">
        <v>505600100</v>
      </c>
      <c r="B20641">
        <v>8210202</v>
      </c>
    </row>
    <row r="20642" spans="1:2" x14ac:dyDescent="0.4">
      <c r="A20642" s="4">
        <v>505600100</v>
      </c>
      <c r="B20642">
        <v>8210300</v>
      </c>
    </row>
    <row r="20643" spans="1:2" x14ac:dyDescent="0.4">
      <c r="A20643" s="4">
        <v>505600100</v>
      </c>
      <c r="B20643">
        <v>8210301</v>
      </c>
    </row>
    <row r="20644" spans="1:2" x14ac:dyDescent="0.4">
      <c r="A20644" s="4">
        <v>505600100</v>
      </c>
      <c r="B20644">
        <v>8210302</v>
      </c>
    </row>
    <row r="20645" spans="1:2" x14ac:dyDescent="0.4">
      <c r="A20645" s="4">
        <v>505600100</v>
      </c>
      <c r="B20645">
        <v>8210400</v>
      </c>
    </row>
    <row r="20646" spans="1:2" x14ac:dyDescent="0.4">
      <c r="A20646" s="4">
        <v>505600100</v>
      </c>
      <c r="B20646">
        <v>8210401</v>
      </c>
    </row>
    <row r="20647" spans="1:2" x14ac:dyDescent="0.4">
      <c r="A20647" s="4">
        <v>505600100</v>
      </c>
      <c r="B20647">
        <v>8210402</v>
      </c>
    </row>
    <row r="20648" spans="1:2" x14ac:dyDescent="0.4">
      <c r="A20648" s="4">
        <v>505600100</v>
      </c>
      <c r="B20648">
        <v>8210500</v>
      </c>
    </row>
    <row r="20649" spans="1:2" x14ac:dyDescent="0.4">
      <c r="A20649" s="4">
        <v>505600100</v>
      </c>
      <c r="B20649">
        <v>8210501</v>
      </c>
    </row>
    <row r="20650" spans="1:2" x14ac:dyDescent="0.4">
      <c r="A20650" s="4">
        <v>505600100</v>
      </c>
      <c r="B20650">
        <v>8210502</v>
      </c>
    </row>
    <row r="20651" spans="1:2" x14ac:dyDescent="0.4">
      <c r="A20651" s="4">
        <v>505600100</v>
      </c>
      <c r="B20651">
        <v>8210600</v>
      </c>
    </row>
    <row r="20652" spans="1:2" x14ac:dyDescent="0.4">
      <c r="A20652" s="4">
        <v>505600100</v>
      </c>
      <c r="B20652">
        <v>8210601</v>
      </c>
    </row>
    <row r="20653" spans="1:2" x14ac:dyDescent="0.4">
      <c r="A20653" s="4">
        <v>505600100</v>
      </c>
      <c r="B20653">
        <v>8210602</v>
      </c>
    </row>
    <row r="20654" spans="1:2" x14ac:dyDescent="0.4">
      <c r="A20654" s="4">
        <v>505600100</v>
      </c>
      <c r="B20654">
        <v>8220000</v>
      </c>
    </row>
    <row r="20655" spans="1:2" x14ac:dyDescent="0.4">
      <c r="A20655" s="4">
        <v>505600100</v>
      </c>
      <c r="B20655">
        <v>8220001</v>
      </c>
    </row>
    <row r="20656" spans="1:2" x14ac:dyDescent="0.4">
      <c r="A20656" s="4">
        <v>505600100</v>
      </c>
      <c r="B20656">
        <v>8220002</v>
      </c>
    </row>
    <row r="20657" spans="1:2" x14ac:dyDescent="0.4">
      <c r="A20657" s="4">
        <v>505600100</v>
      </c>
      <c r="B20657">
        <v>8300000</v>
      </c>
    </row>
    <row r="20658" spans="1:2" x14ac:dyDescent="0.4">
      <c r="A20658" s="4">
        <v>505600100</v>
      </c>
      <c r="B20658">
        <v>8300001</v>
      </c>
    </row>
    <row r="20659" spans="1:2" x14ac:dyDescent="0.4">
      <c r="A20659" s="4">
        <v>505600100</v>
      </c>
      <c r="B20659">
        <v>8300002</v>
      </c>
    </row>
    <row r="20660" spans="1:2" x14ac:dyDescent="0.4">
      <c r="A20660" s="4">
        <v>505600100</v>
      </c>
      <c r="B20660">
        <v>8310000</v>
      </c>
    </row>
    <row r="20661" spans="1:2" x14ac:dyDescent="0.4">
      <c r="A20661" s="4">
        <v>505600100</v>
      </c>
      <c r="B20661">
        <v>8310001</v>
      </c>
    </row>
    <row r="20662" spans="1:2" x14ac:dyDescent="0.4">
      <c r="A20662" s="4">
        <v>505600100</v>
      </c>
      <c r="B20662">
        <v>8310002</v>
      </c>
    </row>
    <row r="20663" spans="1:2" x14ac:dyDescent="0.4">
      <c r="A20663" s="4">
        <v>505600100</v>
      </c>
      <c r="B20663">
        <v>8320000</v>
      </c>
    </row>
    <row r="20664" spans="1:2" x14ac:dyDescent="0.4">
      <c r="A20664" s="4">
        <v>505600100</v>
      </c>
      <c r="B20664">
        <v>8320001</v>
      </c>
    </row>
    <row r="20665" spans="1:2" x14ac:dyDescent="0.4">
      <c r="A20665" s="4">
        <v>505600100</v>
      </c>
      <c r="B20665">
        <v>8320002</v>
      </c>
    </row>
    <row r="20666" spans="1:2" x14ac:dyDescent="0.4">
      <c r="A20666" s="4">
        <v>505600100</v>
      </c>
      <c r="B20666">
        <v>8320100</v>
      </c>
    </row>
    <row r="20667" spans="1:2" x14ac:dyDescent="0.4">
      <c r="A20667" s="4">
        <v>505600100</v>
      </c>
      <c r="B20667">
        <v>8320101</v>
      </c>
    </row>
    <row r="20668" spans="1:2" x14ac:dyDescent="0.4">
      <c r="A20668" s="4">
        <v>505600100</v>
      </c>
      <c r="B20668">
        <v>8320102</v>
      </c>
    </row>
    <row r="20669" spans="1:2" x14ac:dyDescent="0.4">
      <c r="A20669" s="4">
        <v>505600100</v>
      </c>
      <c r="B20669">
        <v>8320300</v>
      </c>
    </row>
    <row r="20670" spans="1:2" x14ac:dyDescent="0.4">
      <c r="A20670" s="4">
        <v>505600100</v>
      </c>
      <c r="B20670">
        <v>8320301</v>
      </c>
    </row>
    <row r="20671" spans="1:2" x14ac:dyDescent="0.4">
      <c r="A20671" s="4">
        <v>505600100</v>
      </c>
      <c r="B20671">
        <v>8320302</v>
      </c>
    </row>
    <row r="20672" spans="1:2" x14ac:dyDescent="0.4">
      <c r="A20672" s="4">
        <v>505600100</v>
      </c>
      <c r="B20672">
        <v>8320400</v>
      </c>
    </row>
    <row r="20673" spans="1:2" x14ac:dyDescent="0.4">
      <c r="A20673" s="4">
        <v>505600100</v>
      </c>
      <c r="B20673">
        <v>8320410</v>
      </c>
    </row>
    <row r="20674" spans="1:2" x14ac:dyDescent="0.4">
      <c r="A20674" s="4">
        <v>505600100</v>
      </c>
      <c r="B20674">
        <v>8320420</v>
      </c>
    </row>
    <row r="20675" spans="1:2" x14ac:dyDescent="0.4">
      <c r="A20675" s="4">
        <v>505600100</v>
      </c>
      <c r="B20675">
        <v>8330000</v>
      </c>
    </row>
    <row r="20676" spans="1:2" x14ac:dyDescent="0.4">
      <c r="A20676" s="4">
        <v>505600100</v>
      </c>
      <c r="B20676">
        <v>8330001</v>
      </c>
    </row>
    <row r="20677" spans="1:2" x14ac:dyDescent="0.4">
      <c r="A20677" s="4">
        <v>505600100</v>
      </c>
      <c r="B20677">
        <v>8330002</v>
      </c>
    </row>
    <row r="20678" spans="1:2" x14ac:dyDescent="0.4">
      <c r="A20678" s="4">
        <v>505600100</v>
      </c>
      <c r="B20678">
        <v>8330100</v>
      </c>
    </row>
    <row r="20679" spans="1:2" x14ac:dyDescent="0.4">
      <c r="A20679" s="4">
        <v>505600100</v>
      </c>
      <c r="B20679">
        <v>8330101</v>
      </c>
    </row>
    <row r="20680" spans="1:2" x14ac:dyDescent="0.4">
      <c r="A20680" s="4">
        <v>505600100</v>
      </c>
      <c r="B20680">
        <v>8330102</v>
      </c>
    </row>
    <row r="20681" spans="1:2" x14ac:dyDescent="0.4">
      <c r="A20681" s="4">
        <v>505600100</v>
      </c>
      <c r="B20681">
        <v>8330200</v>
      </c>
    </row>
    <row r="20682" spans="1:2" x14ac:dyDescent="0.4">
      <c r="A20682" s="4">
        <v>505600100</v>
      </c>
      <c r="B20682">
        <v>8330201</v>
      </c>
    </row>
    <row r="20683" spans="1:2" x14ac:dyDescent="0.4">
      <c r="A20683" s="4">
        <v>505600100</v>
      </c>
      <c r="B20683">
        <v>8330202</v>
      </c>
    </row>
    <row r="20684" spans="1:2" x14ac:dyDescent="0.4">
      <c r="A20684" s="4">
        <v>505600100</v>
      </c>
      <c r="B20684">
        <v>8330300</v>
      </c>
    </row>
    <row r="20685" spans="1:2" x14ac:dyDescent="0.4">
      <c r="A20685" s="4">
        <v>505600100</v>
      </c>
      <c r="B20685">
        <v>8330301</v>
      </c>
    </row>
    <row r="20686" spans="1:2" x14ac:dyDescent="0.4">
      <c r="A20686" s="4">
        <v>505600100</v>
      </c>
      <c r="B20686">
        <v>8330302</v>
      </c>
    </row>
    <row r="20687" spans="1:2" x14ac:dyDescent="0.4">
      <c r="A20687" s="4">
        <v>505600100</v>
      </c>
      <c r="B20687">
        <v>8330400</v>
      </c>
    </row>
    <row r="20688" spans="1:2" x14ac:dyDescent="0.4">
      <c r="A20688" s="4">
        <v>505600100</v>
      </c>
      <c r="B20688">
        <v>8330401</v>
      </c>
    </row>
    <row r="20689" spans="1:2" x14ac:dyDescent="0.4">
      <c r="A20689" s="4">
        <v>505600100</v>
      </c>
      <c r="B20689">
        <v>8330600</v>
      </c>
    </row>
    <row r="20690" spans="1:2" x14ac:dyDescent="0.4">
      <c r="A20690" s="4">
        <v>505600100</v>
      </c>
      <c r="B20690">
        <v>8330601</v>
      </c>
    </row>
    <row r="20691" spans="1:2" x14ac:dyDescent="0.4">
      <c r="A20691" s="4">
        <v>505600100</v>
      </c>
      <c r="B20691">
        <v>8330602</v>
      </c>
    </row>
    <row r="20692" spans="1:2" x14ac:dyDescent="0.4">
      <c r="A20692" s="4">
        <v>505600100</v>
      </c>
      <c r="B20692">
        <v>8330900</v>
      </c>
    </row>
    <row r="20693" spans="1:2" x14ac:dyDescent="0.4">
      <c r="A20693" s="4">
        <v>505600100</v>
      </c>
      <c r="B20693">
        <v>8330910</v>
      </c>
    </row>
    <row r="20694" spans="1:2" x14ac:dyDescent="0.4">
      <c r="A20694" s="4">
        <v>505600100</v>
      </c>
      <c r="B20694">
        <v>8330920</v>
      </c>
    </row>
    <row r="20695" spans="1:2" x14ac:dyDescent="0.4">
      <c r="A20695" s="4">
        <v>505600100</v>
      </c>
      <c r="B20695">
        <v>8340000</v>
      </c>
    </row>
    <row r="20696" spans="1:2" x14ac:dyDescent="0.4">
      <c r="A20696" s="4">
        <v>505600100</v>
      </c>
      <c r="B20696">
        <v>8340001</v>
      </c>
    </row>
    <row r="20697" spans="1:2" x14ac:dyDescent="0.4">
      <c r="A20697" s="4">
        <v>505600100</v>
      </c>
      <c r="B20697">
        <v>8340002</v>
      </c>
    </row>
    <row r="20698" spans="1:2" x14ac:dyDescent="0.4">
      <c r="A20698" s="4">
        <v>505600100</v>
      </c>
      <c r="B20698">
        <v>8340100</v>
      </c>
    </row>
    <row r="20699" spans="1:2" x14ac:dyDescent="0.4">
      <c r="A20699" s="4">
        <v>505600100</v>
      </c>
      <c r="B20699">
        <v>8340101</v>
      </c>
    </row>
    <row r="20700" spans="1:2" x14ac:dyDescent="0.4">
      <c r="A20700" s="4">
        <v>505600100</v>
      </c>
      <c r="B20700">
        <v>8340102</v>
      </c>
    </row>
    <row r="20701" spans="1:2" x14ac:dyDescent="0.4">
      <c r="A20701" s="4">
        <v>505600100</v>
      </c>
      <c r="B20701">
        <v>8350000</v>
      </c>
    </row>
    <row r="20702" spans="1:2" x14ac:dyDescent="0.4">
      <c r="A20702" s="4">
        <v>505600100</v>
      </c>
      <c r="B20702">
        <v>8350001</v>
      </c>
    </row>
    <row r="20703" spans="1:2" x14ac:dyDescent="0.4">
      <c r="A20703" s="4">
        <v>505600100</v>
      </c>
      <c r="B20703">
        <v>8350002</v>
      </c>
    </row>
    <row r="20704" spans="1:2" x14ac:dyDescent="0.4">
      <c r="A20704" s="4">
        <v>505600100</v>
      </c>
      <c r="B20704">
        <v>8350200</v>
      </c>
    </row>
    <row r="20705" spans="1:2" x14ac:dyDescent="0.4">
      <c r="A20705" s="4">
        <v>505600100</v>
      </c>
      <c r="B20705">
        <v>8350201</v>
      </c>
    </row>
    <row r="20706" spans="1:2" x14ac:dyDescent="0.4">
      <c r="A20706" s="4">
        <v>505600100</v>
      </c>
      <c r="B20706">
        <v>8350202</v>
      </c>
    </row>
    <row r="20707" spans="1:2" x14ac:dyDescent="0.4">
      <c r="A20707" s="4">
        <v>505600100</v>
      </c>
      <c r="B20707">
        <v>8420000</v>
      </c>
    </row>
    <row r="20708" spans="1:2" x14ac:dyDescent="0.4">
      <c r="A20708" s="4">
        <v>505600100</v>
      </c>
      <c r="B20708">
        <v>8420001</v>
      </c>
    </row>
    <row r="20709" spans="1:2" x14ac:dyDescent="0.4">
      <c r="A20709" s="4">
        <v>505600100</v>
      </c>
      <c r="B20709">
        <v>8420002</v>
      </c>
    </row>
    <row r="20710" spans="1:2" x14ac:dyDescent="0.4">
      <c r="A20710" s="4">
        <v>505600100</v>
      </c>
      <c r="B20710">
        <v>8450000</v>
      </c>
    </row>
    <row r="20711" spans="1:2" x14ac:dyDescent="0.4">
      <c r="A20711" s="4">
        <v>505600100</v>
      </c>
      <c r="B20711">
        <v>8460100</v>
      </c>
    </row>
    <row r="20712" spans="1:2" x14ac:dyDescent="0.4">
      <c r="A20712" s="4">
        <v>505600100</v>
      </c>
      <c r="B20712">
        <v>8460300</v>
      </c>
    </row>
    <row r="20713" spans="1:2" x14ac:dyDescent="0.4">
      <c r="A20713" s="4">
        <v>505600100</v>
      </c>
      <c r="B20713">
        <v>8460500</v>
      </c>
    </row>
    <row r="20714" spans="1:2" x14ac:dyDescent="0.4">
      <c r="A20714" s="4">
        <v>505600100</v>
      </c>
      <c r="B20714">
        <v>8510000</v>
      </c>
    </row>
    <row r="20715" spans="1:2" x14ac:dyDescent="0.4">
      <c r="A20715" s="4">
        <v>505600100</v>
      </c>
      <c r="B20715">
        <v>8510001</v>
      </c>
    </row>
    <row r="20716" spans="1:2" x14ac:dyDescent="0.4">
      <c r="A20716" s="4">
        <v>505600100</v>
      </c>
      <c r="B20716">
        <v>8510002</v>
      </c>
    </row>
    <row r="20717" spans="1:2" x14ac:dyDescent="0.4">
      <c r="A20717" s="4">
        <v>505600100</v>
      </c>
      <c r="B20717">
        <v>8520000</v>
      </c>
    </row>
    <row r="20718" spans="1:2" x14ac:dyDescent="0.4">
      <c r="A20718" s="4">
        <v>505600100</v>
      </c>
      <c r="B20718">
        <v>8520001</v>
      </c>
    </row>
    <row r="20719" spans="1:2" x14ac:dyDescent="0.4">
      <c r="A20719" s="4">
        <v>505600100</v>
      </c>
      <c r="B20719">
        <v>8520002</v>
      </c>
    </row>
    <row r="20720" spans="1:2" x14ac:dyDescent="0.4">
      <c r="A20720" s="4">
        <v>505600100</v>
      </c>
      <c r="B20720">
        <v>8530000</v>
      </c>
    </row>
    <row r="20721" spans="1:2" x14ac:dyDescent="0.4">
      <c r="A20721" s="4">
        <v>505600100</v>
      </c>
      <c r="B20721">
        <v>8530100</v>
      </c>
    </row>
    <row r="20722" spans="1:2" x14ac:dyDescent="0.4">
      <c r="A20722" s="4">
        <v>505600100</v>
      </c>
      <c r="B20722">
        <v>8540000</v>
      </c>
    </row>
    <row r="20723" spans="1:2" x14ac:dyDescent="0.4">
      <c r="A20723" s="4">
        <v>505600100</v>
      </c>
      <c r="B20723">
        <v>8600100</v>
      </c>
    </row>
    <row r="20724" spans="1:2" x14ac:dyDescent="0.4">
      <c r="A20724" s="4">
        <v>505600100</v>
      </c>
      <c r="B20724">
        <v>8600101</v>
      </c>
    </row>
    <row r="20725" spans="1:2" x14ac:dyDescent="0.4">
      <c r="A20725" s="4">
        <v>505600100</v>
      </c>
      <c r="B20725">
        <v>8600102</v>
      </c>
    </row>
    <row r="20726" spans="1:2" x14ac:dyDescent="0.4">
      <c r="A20726" s="4">
        <v>505600100</v>
      </c>
      <c r="B20726">
        <v>8600200</v>
      </c>
    </row>
    <row r="20727" spans="1:2" x14ac:dyDescent="0.4">
      <c r="A20727" s="4">
        <v>505600100</v>
      </c>
      <c r="B20727">
        <v>8600201</v>
      </c>
    </row>
    <row r="20728" spans="1:2" x14ac:dyDescent="0.4">
      <c r="A20728" s="4">
        <v>505600100</v>
      </c>
      <c r="B20728">
        <v>8600202</v>
      </c>
    </row>
    <row r="20729" spans="1:2" x14ac:dyDescent="0.4">
      <c r="A20729" s="4">
        <v>505600100</v>
      </c>
      <c r="B20729">
        <v>8610700</v>
      </c>
    </row>
    <row r="20730" spans="1:2" x14ac:dyDescent="0.4">
      <c r="A20730" s="4">
        <v>505600100</v>
      </c>
      <c r="B20730">
        <v>8610710</v>
      </c>
    </row>
    <row r="20731" spans="1:2" x14ac:dyDescent="0.4">
      <c r="A20731" s="4">
        <v>505600100</v>
      </c>
      <c r="B20731">
        <v>8610720</v>
      </c>
    </row>
    <row r="20732" spans="1:2" x14ac:dyDescent="0.4">
      <c r="A20732" s="4">
        <v>505600100</v>
      </c>
      <c r="B20732">
        <v>8620000</v>
      </c>
    </row>
    <row r="20733" spans="1:2" x14ac:dyDescent="0.4">
      <c r="A20733" s="4">
        <v>505600100</v>
      </c>
      <c r="B20733">
        <v>8620010</v>
      </c>
    </row>
    <row r="20734" spans="1:2" x14ac:dyDescent="0.4">
      <c r="A20734" s="4">
        <v>505600100</v>
      </c>
      <c r="B20734">
        <v>8620020</v>
      </c>
    </row>
    <row r="20735" spans="1:2" x14ac:dyDescent="0.4">
      <c r="A20735" s="4">
        <v>505600100</v>
      </c>
      <c r="B20735">
        <v>8620100</v>
      </c>
    </row>
    <row r="20736" spans="1:2" x14ac:dyDescent="0.4">
      <c r="A20736" s="4">
        <v>505600100</v>
      </c>
      <c r="B20736">
        <v>8620110</v>
      </c>
    </row>
    <row r="20737" spans="1:2" x14ac:dyDescent="0.4">
      <c r="A20737" s="4">
        <v>505600100</v>
      </c>
      <c r="B20737">
        <v>8620120</v>
      </c>
    </row>
    <row r="20738" spans="1:2" x14ac:dyDescent="0.4">
      <c r="A20738" s="4">
        <v>505600100</v>
      </c>
      <c r="B20738">
        <v>8630000</v>
      </c>
    </row>
    <row r="20739" spans="1:2" x14ac:dyDescent="0.4">
      <c r="A20739" s="4">
        <v>505600100</v>
      </c>
      <c r="B20739">
        <v>8630000</v>
      </c>
    </row>
    <row r="20740" spans="1:2" x14ac:dyDescent="0.4">
      <c r="A20740" s="4">
        <v>505600100</v>
      </c>
      <c r="B20740">
        <v>8630000</v>
      </c>
    </row>
    <row r="20741" spans="1:2" x14ac:dyDescent="0.4">
      <c r="A20741" s="4">
        <v>505600100</v>
      </c>
      <c r="B20741">
        <v>8630100</v>
      </c>
    </row>
    <row r="20742" spans="1:2" x14ac:dyDescent="0.4">
      <c r="A20742" s="4">
        <v>505600100</v>
      </c>
      <c r="B20742">
        <v>8630100</v>
      </c>
    </row>
    <row r="20743" spans="1:2" x14ac:dyDescent="0.4">
      <c r="A20743" s="4">
        <v>505600100</v>
      </c>
      <c r="B20743">
        <v>8630100</v>
      </c>
    </row>
    <row r="20744" spans="1:2" x14ac:dyDescent="0.4">
      <c r="A20744" s="4">
        <v>505600100</v>
      </c>
      <c r="B20744">
        <v>8652000</v>
      </c>
    </row>
    <row r="20745" spans="1:2" x14ac:dyDescent="0.4">
      <c r="A20745" s="4">
        <v>505600100</v>
      </c>
      <c r="B20745">
        <v>8652010</v>
      </c>
    </row>
    <row r="20746" spans="1:2" x14ac:dyDescent="0.4">
      <c r="A20746" s="4">
        <v>505600100</v>
      </c>
      <c r="B20746">
        <v>8652020</v>
      </c>
    </row>
    <row r="20747" spans="1:2" x14ac:dyDescent="0.4">
      <c r="A20747" s="4">
        <v>505600100</v>
      </c>
      <c r="B20747">
        <v>8652100</v>
      </c>
    </row>
    <row r="20748" spans="1:2" x14ac:dyDescent="0.4">
      <c r="A20748" s="4">
        <v>505600100</v>
      </c>
      <c r="B20748">
        <v>8652110</v>
      </c>
    </row>
    <row r="20749" spans="1:2" x14ac:dyDescent="0.4">
      <c r="A20749" s="4">
        <v>505600100</v>
      </c>
      <c r="B20749">
        <v>8652120</v>
      </c>
    </row>
    <row r="20750" spans="1:2" x14ac:dyDescent="0.4">
      <c r="A20750" s="4">
        <v>505600100</v>
      </c>
      <c r="B20750">
        <v>8660000</v>
      </c>
    </row>
    <row r="20751" spans="1:2" x14ac:dyDescent="0.4">
      <c r="A20751" s="4">
        <v>505600100</v>
      </c>
      <c r="B20751">
        <v>8660001</v>
      </c>
    </row>
    <row r="20752" spans="1:2" x14ac:dyDescent="0.4">
      <c r="A20752" s="4">
        <v>505600100</v>
      </c>
      <c r="B20752">
        <v>8660002</v>
      </c>
    </row>
    <row r="20753" spans="1:2" x14ac:dyDescent="0.4">
      <c r="A20753" s="4">
        <v>505600100</v>
      </c>
      <c r="B20753">
        <v>8660100</v>
      </c>
    </row>
    <row r="20754" spans="1:2" x14ac:dyDescent="0.4">
      <c r="A20754" s="4">
        <v>505600100</v>
      </c>
      <c r="B20754">
        <v>8660101</v>
      </c>
    </row>
    <row r="20755" spans="1:2" x14ac:dyDescent="0.4">
      <c r="A20755" s="4">
        <v>505600100</v>
      </c>
      <c r="B20755">
        <v>8660102</v>
      </c>
    </row>
    <row r="20756" spans="1:2" x14ac:dyDescent="0.4">
      <c r="A20756" s="4">
        <v>505600100</v>
      </c>
      <c r="B20756">
        <v>8670000</v>
      </c>
    </row>
    <row r="20757" spans="1:2" x14ac:dyDescent="0.4">
      <c r="A20757" s="4">
        <v>505600100</v>
      </c>
      <c r="B20757">
        <v>8670001</v>
      </c>
    </row>
    <row r="20758" spans="1:2" x14ac:dyDescent="0.4">
      <c r="A20758" s="4">
        <v>505600100</v>
      </c>
      <c r="B20758">
        <v>8670002</v>
      </c>
    </row>
    <row r="20759" spans="1:2" x14ac:dyDescent="0.4">
      <c r="A20759" s="4">
        <v>505600100</v>
      </c>
      <c r="B20759">
        <v>8670100</v>
      </c>
    </row>
    <row r="20760" spans="1:2" x14ac:dyDescent="0.4">
      <c r="A20760" s="4">
        <v>505600100</v>
      </c>
      <c r="B20760">
        <v>8670101</v>
      </c>
    </row>
    <row r="20761" spans="1:2" x14ac:dyDescent="0.4">
      <c r="A20761" s="4">
        <v>505600100</v>
      </c>
      <c r="B20761">
        <v>8670102</v>
      </c>
    </row>
    <row r="20762" spans="1:2" x14ac:dyDescent="0.4">
      <c r="A20762" s="4">
        <v>505600100</v>
      </c>
      <c r="B20762">
        <v>8690000</v>
      </c>
    </row>
    <row r="20763" spans="1:2" x14ac:dyDescent="0.4">
      <c r="A20763" s="4">
        <v>505600100</v>
      </c>
      <c r="B20763">
        <v>8690100</v>
      </c>
    </row>
    <row r="20764" spans="1:2" x14ac:dyDescent="0.4">
      <c r="A20764" s="4">
        <v>505600100</v>
      </c>
      <c r="B20764">
        <v>8690200</v>
      </c>
    </row>
    <row r="20765" spans="1:2" x14ac:dyDescent="0.4">
      <c r="A20765" s="4">
        <v>505600100</v>
      </c>
      <c r="B20765">
        <v>8690300</v>
      </c>
    </row>
    <row r="20766" spans="1:2" x14ac:dyDescent="0.4">
      <c r="A20766" s="4">
        <v>505600100</v>
      </c>
      <c r="B20766">
        <v>8690400</v>
      </c>
    </row>
    <row r="20767" spans="1:2" x14ac:dyDescent="0.4">
      <c r="A20767" s="4">
        <v>505600100</v>
      </c>
      <c r="B20767">
        <v>8850000</v>
      </c>
    </row>
    <row r="20768" spans="1:2" x14ac:dyDescent="0.4">
      <c r="A20768" s="4">
        <v>505600100</v>
      </c>
      <c r="B20768">
        <v>8850100</v>
      </c>
    </row>
    <row r="20769" spans="1:2" x14ac:dyDescent="0.4">
      <c r="A20769" s="4">
        <v>505600100</v>
      </c>
      <c r="B20769">
        <v>8850200</v>
      </c>
    </row>
    <row r="20770" spans="1:2" x14ac:dyDescent="0.4">
      <c r="A20770" s="4">
        <v>505600100</v>
      </c>
      <c r="B20770">
        <v>8850300</v>
      </c>
    </row>
    <row r="20771" spans="1:2" x14ac:dyDescent="0.4">
      <c r="A20771" s="4">
        <v>505600100</v>
      </c>
      <c r="B20771">
        <v>8850400</v>
      </c>
    </row>
    <row r="20772" spans="1:2" x14ac:dyDescent="0.4">
      <c r="A20772" s="4">
        <v>505600100</v>
      </c>
      <c r="B20772">
        <v>8850500</v>
      </c>
    </row>
    <row r="20773" spans="1:2" x14ac:dyDescent="0.4">
      <c r="A20773" s="4">
        <v>505600100</v>
      </c>
      <c r="B20773">
        <v>8850600</v>
      </c>
    </row>
    <row r="20774" spans="1:2" x14ac:dyDescent="0.4">
      <c r="A20774" s="4">
        <v>505600100</v>
      </c>
      <c r="B20774">
        <v>8850700</v>
      </c>
    </row>
    <row r="20775" spans="1:2" x14ac:dyDescent="0.4">
      <c r="A20775" s="4">
        <v>505600100</v>
      </c>
      <c r="B20775">
        <v>8850800</v>
      </c>
    </row>
    <row r="20776" spans="1:2" x14ac:dyDescent="0.4">
      <c r="A20776" s="4">
        <v>505600100</v>
      </c>
      <c r="B20776">
        <v>8850900</v>
      </c>
    </row>
    <row r="20777" spans="1:2" x14ac:dyDescent="0.4">
      <c r="A20777" s="4">
        <v>505600100</v>
      </c>
      <c r="B20777">
        <v>8851000</v>
      </c>
    </row>
    <row r="20778" spans="1:2" x14ac:dyDescent="0.4">
      <c r="A20778" s="4">
        <v>505600100</v>
      </c>
      <c r="B20778">
        <v>8851100</v>
      </c>
    </row>
    <row r="20779" spans="1:2" x14ac:dyDescent="0.4">
      <c r="A20779" s="4">
        <v>505600100</v>
      </c>
      <c r="B20779">
        <v>8851200</v>
      </c>
    </row>
    <row r="20780" spans="1:2" x14ac:dyDescent="0.4">
      <c r="A20780" s="4">
        <v>505600100</v>
      </c>
      <c r="B20780">
        <v>8851300</v>
      </c>
    </row>
    <row r="20781" spans="1:2" x14ac:dyDescent="0.4">
      <c r="A20781" s="4">
        <v>505600100</v>
      </c>
      <c r="B20781">
        <v>8851800</v>
      </c>
    </row>
    <row r="20782" spans="1:2" x14ac:dyDescent="0.4">
      <c r="A20782" s="4">
        <v>505600100</v>
      </c>
      <c r="B20782">
        <v>8851900</v>
      </c>
    </row>
    <row r="20783" spans="1:2" x14ac:dyDescent="0.4">
      <c r="A20783" s="4">
        <v>505600100</v>
      </c>
      <c r="B20783">
        <v>8852000</v>
      </c>
    </row>
    <row r="20784" spans="1:2" x14ac:dyDescent="0.4">
      <c r="A20784" s="4">
        <v>505600100</v>
      </c>
      <c r="B20784">
        <v>8320500</v>
      </c>
    </row>
    <row r="20785" spans="1:2" x14ac:dyDescent="0.4">
      <c r="A20785" s="4">
        <v>505600100</v>
      </c>
      <c r="B20785">
        <v>8320510</v>
      </c>
    </row>
    <row r="20786" spans="1:2" x14ac:dyDescent="0.4">
      <c r="A20786" s="4">
        <v>505600100</v>
      </c>
      <c r="B20786">
        <v>8320520</v>
      </c>
    </row>
    <row r="20787" spans="1:2" x14ac:dyDescent="0.4">
      <c r="A20787" s="4">
        <v>505600100</v>
      </c>
      <c r="B20787">
        <v>8320600</v>
      </c>
    </row>
    <row r="20788" spans="1:2" x14ac:dyDescent="0.4">
      <c r="A20788" s="4">
        <v>505600100</v>
      </c>
      <c r="B20788">
        <v>8320610</v>
      </c>
    </row>
    <row r="20789" spans="1:2" x14ac:dyDescent="0.4">
      <c r="A20789" s="4">
        <v>505600100</v>
      </c>
      <c r="B20789">
        <v>8320620</v>
      </c>
    </row>
    <row r="20790" spans="1:2" x14ac:dyDescent="0.4">
      <c r="A20790" s="4">
        <v>505600100</v>
      </c>
      <c r="B20790">
        <v>8320700</v>
      </c>
    </row>
    <row r="20791" spans="1:2" x14ac:dyDescent="0.4">
      <c r="A20791" s="4">
        <v>505600100</v>
      </c>
      <c r="B20791">
        <v>8320710</v>
      </c>
    </row>
    <row r="20792" spans="1:2" x14ac:dyDescent="0.4">
      <c r="A20792" s="4">
        <v>505600100</v>
      </c>
      <c r="B20792">
        <v>8320720</v>
      </c>
    </row>
    <row r="20793" spans="1:2" x14ac:dyDescent="0.4">
      <c r="A20793" s="4">
        <v>505600200</v>
      </c>
      <c r="B20793">
        <v>0</v>
      </c>
    </row>
    <row r="20794" spans="1:2" x14ac:dyDescent="0.4">
      <c r="A20794" s="4">
        <v>505600200</v>
      </c>
      <c r="B20794">
        <v>8100100</v>
      </c>
    </row>
    <row r="20795" spans="1:2" x14ac:dyDescent="0.4">
      <c r="A20795" s="4">
        <v>505600200</v>
      </c>
      <c r="B20795">
        <v>8100101</v>
      </c>
    </row>
    <row r="20796" spans="1:2" x14ac:dyDescent="0.4">
      <c r="A20796" s="4">
        <v>505600200</v>
      </c>
      <c r="B20796">
        <v>8100102</v>
      </c>
    </row>
    <row r="20797" spans="1:2" x14ac:dyDescent="0.4">
      <c r="A20797" s="4">
        <v>505600200</v>
      </c>
      <c r="B20797">
        <v>8100200</v>
      </c>
    </row>
    <row r="20798" spans="1:2" x14ac:dyDescent="0.4">
      <c r="A20798" s="4">
        <v>505600200</v>
      </c>
      <c r="B20798">
        <v>8100201</v>
      </c>
    </row>
    <row r="20799" spans="1:2" x14ac:dyDescent="0.4">
      <c r="A20799" s="4">
        <v>505600200</v>
      </c>
      <c r="B20799">
        <v>8100202</v>
      </c>
    </row>
    <row r="20800" spans="1:2" x14ac:dyDescent="0.4">
      <c r="A20800" s="4">
        <v>505600200</v>
      </c>
      <c r="B20800">
        <v>8100300</v>
      </c>
    </row>
    <row r="20801" spans="1:2" x14ac:dyDescent="0.4">
      <c r="A20801" s="4">
        <v>505600200</v>
      </c>
      <c r="B20801">
        <v>8100301</v>
      </c>
    </row>
    <row r="20802" spans="1:2" x14ac:dyDescent="0.4">
      <c r="A20802" s="4">
        <v>505600200</v>
      </c>
      <c r="B20802">
        <v>8100302</v>
      </c>
    </row>
    <row r="20803" spans="1:2" x14ac:dyDescent="0.4">
      <c r="A20803" s="4">
        <v>505600200</v>
      </c>
      <c r="B20803">
        <v>8100400</v>
      </c>
    </row>
    <row r="20804" spans="1:2" x14ac:dyDescent="0.4">
      <c r="A20804" s="4">
        <v>505600200</v>
      </c>
      <c r="B20804">
        <v>8100401</v>
      </c>
    </row>
    <row r="20805" spans="1:2" x14ac:dyDescent="0.4">
      <c r="A20805" s="4">
        <v>505600200</v>
      </c>
      <c r="B20805">
        <v>8100402</v>
      </c>
    </row>
    <row r="20806" spans="1:2" x14ac:dyDescent="0.4">
      <c r="A20806" s="4">
        <v>505600200</v>
      </c>
      <c r="B20806">
        <v>8130000</v>
      </c>
    </row>
    <row r="20807" spans="1:2" x14ac:dyDescent="0.4">
      <c r="A20807" s="4">
        <v>505600200</v>
      </c>
      <c r="B20807">
        <v>8130001</v>
      </c>
    </row>
    <row r="20808" spans="1:2" x14ac:dyDescent="0.4">
      <c r="A20808" s="4">
        <v>505600200</v>
      </c>
      <c r="B20808">
        <v>8130002</v>
      </c>
    </row>
    <row r="20809" spans="1:2" x14ac:dyDescent="0.4">
      <c r="A20809" s="4">
        <v>505600200</v>
      </c>
      <c r="B20809">
        <v>8140000</v>
      </c>
    </row>
    <row r="20810" spans="1:2" x14ac:dyDescent="0.4">
      <c r="A20810" s="4">
        <v>505600200</v>
      </c>
      <c r="B20810">
        <v>8140001</v>
      </c>
    </row>
    <row r="20811" spans="1:2" x14ac:dyDescent="0.4">
      <c r="A20811" s="4">
        <v>505600200</v>
      </c>
      <c r="B20811">
        <v>8140002</v>
      </c>
    </row>
    <row r="20812" spans="1:2" x14ac:dyDescent="0.4">
      <c r="A20812" s="4">
        <v>505600200</v>
      </c>
      <c r="B20812">
        <v>8200100</v>
      </c>
    </row>
    <row r="20813" spans="1:2" x14ac:dyDescent="0.4">
      <c r="A20813" s="4">
        <v>505600200</v>
      </c>
      <c r="B20813">
        <v>8200101</v>
      </c>
    </row>
    <row r="20814" spans="1:2" x14ac:dyDescent="0.4">
      <c r="A20814" s="4">
        <v>505600200</v>
      </c>
      <c r="B20814">
        <v>8200102</v>
      </c>
    </row>
    <row r="20815" spans="1:2" x14ac:dyDescent="0.4">
      <c r="A20815" s="4">
        <v>505600200</v>
      </c>
      <c r="B20815">
        <v>8200200</v>
      </c>
    </row>
    <row r="20816" spans="1:2" x14ac:dyDescent="0.4">
      <c r="A20816" s="4">
        <v>505600200</v>
      </c>
      <c r="B20816">
        <v>8200201</v>
      </c>
    </row>
    <row r="20817" spans="1:2" x14ac:dyDescent="0.4">
      <c r="A20817" s="4">
        <v>505600200</v>
      </c>
      <c r="B20817">
        <v>8200202</v>
      </c>
    </row>
    <row r="20818" spans="1:2" x14ac:dyDescent="0.4">
      <c r="A20818" s="4">
        <v>505600200</v>
      </c>
      <c r="B20818">
        <v>8200300</v>
      </c>
    </row>
    <row r="20819" spans="1:2" x14ac:dyDescent="0.4">
      <c r="A20819" s="4">
        <v>505600200</v>
      </c>
      <c r="B20819">
        <v>8200301</v>
      </c>
    </row>
    <row r="20820" spans="1:2" x14ac:dyDescent="0.4">
      <c r="A20820" s="4">
        <v>505600200</v>
      </c>
      <c r="B20820">
        <v>8200302</v>
      </c>
    </row>
    <row r="20821" spans="1:2" x14ac:dyDescent="0.4">
      <c r="A20821" s="4">
        <v>505600200</v>
      </c>
      <c r="B20821">
        <v>8200400</v>
      </c>
    </row>
    <row r="20822" spans="1:2" x14ac:dyDescent="0.4">
      <c r="A20822" s="4">
        <v>505600200</v>
      </c>
      <c r="B20822">
        <v>8200401</v>
      </c>
    </row>
    <row r="20823" spans="1:2" x14ac:dyDescent="0.4">
      <c r="A20823" s="4">
        <v>505600200</v>
      </c>
      <c r="B20823">
        <v>8200402</v>
      </c>
    </row>
    <row r="20824" spans="1:2" x14ac:dyDescent="0.4">
      <c r="A20824" s="4">
        <v>505600200</v>
      </c>
      <c r="B20824">
        <v>8210000</v>
      </c>
    </row>
    <row r="20825" spans="1:2" x14ac:dyDescent="0.4">
      <c r="A20825" s="4">
        <v>505600200</v>
      </c>
      <c r="B20825">
        <v>8210001</v>
      </c>
    </row>
    <row r="20826" spans="1:2" x14ac:dyDescent="0.4">
      <c r="A20826" s="4">
        <v>505600200</v>
      </c>
      <c r="B20826">
        <v>8210002</v>
      </c>
    </row>
    <row r="20827" spans="1:2" x14ac:dyDescent="0.4">
      <c r="A20827" s="4">
        <v>505600200</v>
      </c>
      <c r="B20827">
        <v>8210100</v>
      </c>
    </row>
    <row r="20828" spans="1:2" x14ac:dyDescent="0.4">
      <c r="A20828" s="4">
        <v>505600200</v>
      </c>
      <c r="B20828">
        <v>8210101</v>
      </c>
    </row>
    <row r="20829" spans="1:2" x14ac:dyDescent="0.4">
      <c r="A20829" s="4">
        <v>505600200</v>
      </c>
      <c r="B20829">
        <v>8210102</v>
      </c>
    </row>
    <row r="20830" spans="1:2" x14ac:dyDescent="0.4">
      <c r="A20830" s="4">
        <v>505600200</v>
      </c>
      <c r="B20830">
        <v>8210200</v>
      </c>
    </row>
    <row r="20831" spans="1:2" x14ac:dyDescent="0.4">
      <c r="A20831" s="4">
        <v>505600200</v>
      </c>
      <c r="B20831">
        <v>8210201</v>
      </c>
    </row>
    <row r="20832" spans="1:2" x14ac:dyDescent="0.4">
      <c r="A20832" s="4">
        <v>505600200</v>
      </c>
      <c r="B20832">
        <v>8210202</v>
      </c>
    </row>
    <row r="20833" spans="1:2" x14ac:dyDescent="0.4">
      <c r="A20833" s="4">
        <v>505600200</v>
      </c>
      <c r="B20833">
        <v>8210300</v>
      </c>
    </row>
    <row r="20834" spans="1:2" x14ac:dyDescent="0.4">
      <c r="A20834" s="4">
        <v>505600200</v>
      </c>
      <c r="B20834">
        <v>8210301</v>
      </c>
    </row>
    <row r="20835" spans="1:2" x14ac:dyDescent="0.4">
      <c r="A20835" s="4">
        <v>505600200</v>
      </c>
      <c r="B20835">
        <v>8210302</v>
      </c>
    </row>
    <row r="20836" spans="1:2" x14ac:dyDescent="0.4">
      <c r="A20836" s="4">
        <v>505600200</v>
      </c>
      <c r="B20836">
        <v>8210400</v>
      </c>
    </row>
    <row r="20837" spans="1:2" x14ac:dyDescent="0.4">
      <c r="A20837" s="4">
        <v>505600200</v>
      </c>
      <c r="B20837">
        <v>8210401</v>
      </c>
    </row>
    <row r="20838" spans="1:2" x14ac:dyDescent="0.4">
      <c r="A20838" s="4">
        <v>505600200</v>
      </c>
      <c r="B20838">
        <v>8210402</v>
      </c>
    </row>
    <row r="20839" spans="1:2" x14ac:dyDescent="0.4">
      <c r="A20839" s="4">
        <v>505600200</v>
      </c>
      <c r="B20839">
        <v>8210500</v>
      </c>
    </row>
    <row r="20840" spans="1:2" x14ac:dyDescent="0.4">
      <c r="A20840" s="4">
        <v>505600200</v>
      </c>
      <c r="B20840">
        <v>8210501</v>
      </c>
    </row>
    <row r="20841" spans="1:2" x14ac:dyDescent="0.4">
      <c r="A20841" s="4">
        <v>505600200</v>
      </c>
      <c r="B20841">
        <v>8210502</v>
      </c>
    </row>
    <row r="20842" spans="1:2" x14ac:dyDescent="0.4">
      <c r="A20842" s="4">
        <v>505600200</v>
      </c>
      <c r="B20842">
        <v>8210600</v>
      </c>
    </row>
    <row r="20843" spans="1:2" x14ac:dyDescent="0.4">
      <c r="A20843" s="4">
        <v>505600200</v>
      </c>
      <c r="B20843">
        <v>8210601</v>
      </c>
    </row>
    <row r="20844" spans="1:2" x14ac:dyDescent="0.4">
      <c r="A20844" s="4">
        <v>505600200</v>
      </c>
      <c r="B20844">
        <v>8210602</v>
      </c>
    </row>
    <row r="20845" spans="1:2" x14ac:dyDescent="0.4">
      <c r="A20845" s="4">
        <v>505600200</v>
      </c>
      <c r="B20845">
        <v>8220000</v>
      </c>
    </row>
    <row r="20846" spans="1:2" x14ac:dyDescent="0.4">
      <c r="A20846" s="4">
        <v>505600200</v>
      </c>
      <c r="B20846">
        <v>8220001</v>
      </c>
    </row>
    <row r="20847" spans="1:2" x14ac:dyDescent="0.4">
      <c r="A20847" s="4">
        <v>505600200</v>
      </c>
      <c r="B20847">
        <v>8220002</v>
      </c>
    </row>
    <row r="20848" spans="1:2" x14ac:dyDescent="0.4">
      <c r="A20848" s="4">
        <v>505600200</v>
      </c>
      <c r="B20848">
        <v>8300000</v>
      </c>
    </row>
    <row r="20849" spans="1:2" x14ac:dyDescent="0.4">
      <c r="A20849" s="4">
        <v>505600200</v>
      </c>
      <c r="B20849">
        <v>8300001</v>
      </c>
    </row>
    <row r="20850" spans="1:2" x14ac:dyDescent="0.4">
      <c r="A20850" s="4">
        <v>505600200</v>
      </c>
      <c r="B20850">
        <v>8300002</v>
      </c>
    </row>
    <row r="20851" spans="1:2" x14ac:dyDescent="0.4">
      <c r="A20851" s="4">
        <v>505600200</v>
      </c>
      <c r="B20851">
        <v>8310000</v>
      </c>
    </row>
    <row r="20852" spans="1:2" x14ac:dyDescent="0.4">
      <c r="A20852" s="4">
        <v>505600200</v>
      </c>
      <c r="B20852">
        <v>8310001</v>
      </c>
    </row>
    <row r="20853" spans="1:2" x14ac:dyDescent="0.4">
      <c r="A20853" s="4">
        <v>505600200</v>
      </c>
      <c r="B20853">
        <v>8310002</v>
      </c>
    </row>
    <row r="20854" spans="1:2" x14ac:dyDescent="0.4">
      <c r="A20854" s="4">
        <v>505600200</v>
      </c>
      <c r="B20854">
        <v>8320000</v>
      </c>
    </row>
    <row r="20855" spans="1:2" x14ac:dyDescent="0.4">
      <c r="A20855" s="4">
        <v>505600200</v>
      </c>
      <c r="B20855">
        <v>8320001</v>
      </c>
    </row>
    <row r="20856" spans="1:2" x14ac:dyDescent="0.4">
      <c r="A20856" s="4">
        <v>505600200</v>
      </c>
      <c r="B20856">
        <v>8320002</v>
      </c>
    </row>
    <row r="20857" spans="1:2" x14ac:dyDescent="0.4">
      <c r="A20857" s="4">
        <v>505600200</v>
      </c>
      <c r="B20857">
        <v>8320100</v>
      </c>
    </row>
    <row r="20858" spans="1:2" x14ac:dyDescent="0.4">
      <c r="A20858" s="4">
        <v>505600200</v>
      </c>
      <c r="B20858">
        <v>8320101</v>
      </c>
    </row>
    <row r="20859" spans="1:2" x14ac:dyDescent="0.4">
      <c r="A20859" s="4">
        <v>505600200</v>
      </c>
      <c r="B20859">
        <v>8320102</v>
      </c>
    </row>
    <row r="20860" spans="1:2" x14ac:dyDescent="0.4">
      <c r="A20860" s="4">
        <v>505600200</v>
      </c>
      <c r="B20860">
        <v>8320300</v>
      </c>
    </row>
    <row r="20861" spans="1:2" x14ac:dyDescent="0.4">
      <c r="A20861" s="4">
        <v>505600200</v>
      </c>
      <c r="B20861">
        <v>8320301</v>
      </c>
    </row>
    <row r="20862" spans="1:2" x14ac:dyDescent="0.4">
      <c r="A20862" s="4">
        <v>505600200</v>
      </c>
      <c r="B20862">
        <v>8320302</v>
      </c>
    </row>
    <row r="20863" spans="1:2" x14ac:dyDescent="0.4">
      <c r="A20863" s="4">
        <v>505600200</v>
      </c>
      <c r="B20863">
        <v>8320400</v>
      </c>
    </row>
    <row r="20864" spans="1:2" x14ac:dyDescent="0.4">
      <c r="A20864" s="4">
        <v>505600200</v>
      </c>
      <c r="B20864">
        <v>8320410</v>
      </c>
    </row>
    <row r="20865" spans="1:2" x14ac:dyDescent="0.4">
      <c r="A20865" s="4">
        <v>505600200</v>
      </c>
      <c r="B20865">
        <v>8320420</v>
      </c>
    </row>
    <row r="20866" spans="1:2" x14ac:dyDescent="0.4">
      <c r="A20866" s="4">
        <v>505600200</v>
      </c>
      <c r="B20866">
        <v>8330000</v>
      </c>
    </row>
    <row r="20867" spans="1:2" x14ac:dyDescent="0.4">
      <c r="A20867" s="4">
        <v>505600200</v>
      </c>
      <c r="B20867">
        <v>8330001</v>
      </c>
    </row>
    <row r="20868" spans="1:2" x14ac:dyDescent="0.4">
      <c r="A20868" s="4">
        <v>505600200</v>
      </c>
      <c r="B20868">
        <v>8330002</v>
      </c>
    </row>
    <row r="20869" spans="1:2" x14ac:dyDescent="0.4">
      <c r="A20869" s="4">
        <v>505600200</v>
      </c>
      <c r="B20869">
        <v>8330100</v>
      </c>
    </row>
    <row r="20870" spans="1:2" x14ac:dyDescent="0.4">
      <c r="A20870" s="4">
        <v>505600200</v>
      </c>
      <c r="B20870">
        <v>8330101</v>
      </c>
    </row>
    <row r="20871" spans="1:2" x14ac:dyDescent="0.4">
      <c r="A20871" s="4">
        <v>505600200</v>
      </c>
      <c r="B20871">
        <v>8330102</v>
      </c>
    </row>
    <row r="20872" spans="1:2" x14ac:dyDescent="0.4">
      <c r="A20872" s="4">
        <v>505600200</v>
      </c>
      <c r="B20872">
        <v>8330200</v>
      </c>
    </row>
    <row r="20873" spans="1:2" x14ac:dyDescent="0.4">
      <c r="A20873" s="4">
        <v>505600200</v>
      </c>
      <c r="B20873">
        <v>8330201</v>
      </c>
    </row>
    <row r="20874" spans="1:2" x14ac:dyDescent="0.4">
      <c r="A20874" s="4">
        <v>505600200</v>
      </c>
      <c r="B20874">
        <v>8330202</v>
      </c>
    </row>
    <row r="20875" spans="1:2" x14ac:dyDescent="0.4">
      <c r="A20875" s="4">
        <v>505600200</v>
      </c>
      <c r="B20875">
        <v>8330300</v>
      </c>
    </row>
    <row r="20876" spans="1:2" x14ac:dyDescent="0.4">
      <c r="A20876" s="4">
        <v>505600200</v>
      </c>
      <c r="B20876">
        <v>8330301</v>
      </c>
    </row>
    <row r="20877" spans="1:2" x14ac:dyDescent="0.4">
      <c r="A20877" s="4">
        <v>505600200</v>
      </c>
      <c r="B20877">
        <v>8330302</v>
      </c>
    </row>
    <row r="20878" spans="1:2" x14ac:dyDescent="0.4">
      <c r="A20878" s="4">
        <v>505600200</v>
      </c>
      <c r="B20878">
        <v>8330400</v>
      </c>
    </row>
    <row r="20879" spans="1:2" x14ac:dyDescent="0.4">
      <c r="A20879" s="4">
        <v>505600200</v>
      </c>
      <c r="B20879">
        <v>8330401</v>
      </c>
    </row>
    <row r="20880" spans="1:2" x14ac:dyDescent="0.4">
      <c r="A20880" s="4">
        <v>505600200</v>
      </c>
      <c r="B20880">
        <v>8330600</v>
      </c>
    </row>
    <row r="20881" spans="1:2" x14ac:dyDescent="0.4">
      <c r="A20881" s="4">
        <v>505600200</v>
      </c>
      <c r="B20881">
        <v>8330601</v>
      </c>
    </row>
    <row r="20882" spans="1:2" x14ac:dyDescent="0.4">
      <c r="A20882" s="4">
        <v>505600200</v>
      </c>
      <c r="B20882">
        <v>8330602</v>
      </c>
    </row>
    <row r="20883" spans="1:2" x14ac:dyDescent="0.4">
      <c r="A20883" s="4">
        <v>505600200</v>
      </c>
      <c r="B20883">
        <v>8330900</v>
      </c>
    </row>
    <row r="20884" spans="1:2" x14ac:dyDescent="0.4">
      <c r="A20884" s="4">
        <v>505600200</v>
      </c>
      <c r="B20884">
        <v>8330910</v>
      </c>
    </row>
    <row r="20885" spans="1:2" x14ac:dyDescent="0.4">
      <c r="A20885" s="4">
        <v>505600200</v>
      </c>
      <c r="B20885">
        <v>8330920</v>
      </c>
    </row>
    <row r="20886" spans="1:2" x14ac:dyDescent="0.4">
      <c r="A20886" s="4">
        <v>505600200</v>
      </c>
      <c r="B20886">
        <v>8340000</v>
      </c>
    </row>
    <row r="20887" spans="1:2" x14ac:dyDescent="0.4">
      <c r="A20887" s="4">
        <v>505600200</v>
      </c>
      <c r="B20887">
        <v>8340001</v>
      </c>
    </row>
    <row r="20888" spans="1:2" x14ac:dyDescent="0.4">
      <c r="A20888" s="4">
        <v>505600200</v>
      </c>
      <c r="B20888">
        <v>8340002</v>
      </c>
    </row>
    <row r="20889" spans="1:2" x14ac:dyDescent="0.4">
      <c r="A20889" s="4">
        <v>505600200</v>
      </c>
      <c r="B20889">
        <v>8340100</v>
      </c>
    </row>
    <row r="20890" spans="1:2" x14ac:dyDescent="0.4">
      <c r="A20890" s="4">
        <v>505600200</v>
      </c>
      <c r="B20890">
        <v>8340101</v>
      </c>
    </row>
    <row r="20891" spans="1:2" x14ac:dyDescent="0.4">
      <c r="A20891" s="4">
        <v>505600200</v>
      </c>
      <c r="B20891">
        <v>8340102</v>
      </c>
    </row>
    <row r="20892" spans="1:2" x14ac:dyDescent="0.4">
      <c r="A20892" s="4">
        <v>505600200</v>
      </c>
      <c r="B20892">
        <v>8350000</v>
      </c>
    </row>
    <row r="20893" spans="1:2" x14ac:dyDescent="0.4">
      <c r="A20893" s="4">
        <v>505600200</v>
      </c>
      <c r="B20893">
        <v>8350001</v>
      </c>
    </row>
    <row r="20894" spans="1:2" x14ac:dyDescent="0.4">
      <c r="A20894" s="4">
        <v>505600200</v>
      </c>
      <c r="B20894">
        <v>8350002</v>
      </c>
    </row>
    <row r="20895" spans="1:2" x14ac:dyDescent="0.4">
      <c r="A20895" s="4">
        <v>505600200</v>
      </c>
      <c r="B20895">
        <v>8350200</v>
      </c>
    </row>
    <row r="20896" spans="1:2" x14ac:dyDescent="0.4">
      <c r="A20896" s="4">
        <v>505600200</v>
      </c>
      <c r="B20896">
        <v>8350201</v>
      </c>
    </row>
    <row r="20897" spans="1:2" x14ac:dyDescent="0.4">
      <c r="A20897" s="4">
        <v>505600200</v>
      </c>
      <c r="B20897">
        <v>8350202</v>
      </c>
    </row>
    <row r="20898" spans="1:2" x14ac:dyDescent="0.4">
      <c r="A20898" s="4">
        <v>505600200</v>
      </c>
      <c r="B20898">
        <v>8420000</v>
      </c>
    </row>
    <row r="20899" spans="1:2" x14ac:dyDescent="0.4">
      <c r="A20899" s="4">
        <v>505600200</v>
      </c>
      <c r="B20899">
        <v>8420001</v>
      </c>
    </row>
    <row r="20900" spans="1:2" x14ac:dyDescent="0.4">
      <c r="A20900" s="4">
        <v>505600200</v>
      </c>
      <c r="B20900">
        <v>8420002</v>
      </c>
    </row>
    <row r="20901" spans="1:2" x14ac:dyDescent="0.4">
      <c r="A20901" s="4">
        <v>505600200</v>
      </c>
      <c r="B20901">
        <v>8450000</v>
      </c>
    </row>
    <row r="20902" spans="1:2" x14ac:dyDescent="0.4">
      <c r="A20902" s="4">
        <v>505600200</v>
      </c>
      <c r="B20902">
        <v>8460100</v>
      </c>
    </row>
    <row r="20903" spans="1:2" x14ac:dyDescent="0.4">
      <c r="A20903" s="4">
        <v>505600200</v>
      </c>
      <c r="B20903">
        <v>8460300</v>
      </c>
    </row>
    <row r="20904" spans="1:2" x14ac:dyDescent="0.4">
      <c r="A20904" s="4">
        <v>505600200</v>
      </c>
      <c r="B20904">
        <v>8460500</v>
      </c>
    </row>
    <row r="20905" spans="1:2" x14ac:dyDescent="0.4">
      <c r="A20905" s="4">
        <v>505600200</v>
      </c>
      <c r="B20905">
        <v>8510000</v>
      </c>
    </row>
    <row r="20906" spans="1:2" x14ac:dyDescent="0.4">
      <c r="A20906" s="4">
        <v>505600200</v>
      </c>
      <c r="B20906">
        <v>8510001</v>
      </c>
    </row>
    <row r="20907" spans="1:2" x14ac:dyDescent="0.4">
      <c r="A20907" s="4">
        <v>505600200</v>
      </c>
      <c r="B20907">
        <v>8510002</v>
      </c>
    </row>
    <row r="20908" spans="1:2" x14ac:dyDescent="0.4">
      <c r="A20908" s="4">
        <v>505600200</v>
      </c>
      <c r="B20908">
        <v>8520000</v>
      </c>
    </row>
    <row r="20909" spans="1:2" x14ac:dyDescent="0.4">
      <c r="A20909" s="4">
        <v>505600200</v>
      </c>
      <c r="B20909">
        <v>8520001</v>
      </c>
    </row>
    <row r="20910" spans="1:2" x14ac:dyDescent="0.4">
      <c r="A20910" s="4">
        <v>505600200</v>
      </c>
      <c r="B20910">
        <v>8520002</v>
      </c>
    </row>
    <row r="20911" spans="1:2" x14ac:dyDescent="0.4">
      <c r="A20911" s="4">
        <v>505600200</v>
      </c>
      <c r="B20911">
        <v>8530000</v>
      </c>
    </row>
    <row r="20912" spans="1:2" x14ac:dyDescent="0.4">
      <c r="A20912" s="4">
        <v>505600200</v>
      </c>
      <c r="B20912">
        <v>8530100</v>
      </c>
    </row>
    <row r="20913" spans="1:2" x14ac:dyDescent="0.4">
      <c r="A20913" s="4">
        <v>505600200</v>
      </c>
      <c r="B20913">
        <v>8540000</v>
      </c>
    </row>
    <row r="20914" spans="1:2" x14ac:dyDescent="0.4">
      <c r="A20914" s="4">
        <v>505600200</v>
      </c>
      <c r="B20914">
        <v>8600100</v>
      </c>
    </row>
    <row r="20915" spans="1:2" x14ac:dyDescent="0.4">
      <c r="A20915" s="4">
        <v>505600200</v>
      </c>
      <c r="B20915">
        <v>8600101</v>
      </c>
    </row>
    <row r="20916" spans="1:2" x14ac:dyDescent="0.4">
      <c r="A20916" s="4">
        <v>505600200</v>
      </c>
      <c r="B20916">
        <v>8600102</v>
      </c>
    </row>
    <row r="20917" spans="1:2" x14ac:dyDescent="0.4">
      <c r="A20917" s="4">
        <v>505600200</v>
      </c>
      <c r="B20917">
        <v>8600200</v>
      </c>
    </row>
    <row r="20918" spans="1:2" x14ac:dyDescent="0.4">
      <c r="A20918" s="4">
        <v>505600200</v>
      </c>
      <c r="B20918">
        <v>8600201</v>
      </c>
    </row>
    <row r="20919" spans="1:2" x14ac:dyDescent="0.4">
      <c r="A20919" s="4">
        <v>505600200</v>
      </c>
      <c r="B20919">
        <v>8600202</v>
      </c>
    </row>
    <row r="20920" spans="1:2" x14ac:dyDescent="0.4">
      <c r="A20920" s="4">
        <v>505600200</v>
      </c>
      <c r="B20920">
        <v>8610700</v>
      </c>
    </row>
    <row r="20921" spans="1:2" x14ac:dyDescent="0.4">
      <c r="A20921" s="4">
        <v>505600200</v>
      </c>
      <c r="B20921">
        <v>8610710</v>
      </c>
    </row>
    <row r="20922" spans="1:2" x14ac:dyDescent="0.4">
      <c r="A20922" s="4">
        <v>505600200</v>
      </c>
      <c r="B20922">
        <v>8610720</v>
      </c>
    </row>
    <row r="20923" spans="1:2" x14ac:dyDescent="0.4">
      <c r="A20923" s="4">
        <v>505600200</v>
      </c>
      <c r="B20923">
        <v>8620000</v>
      </c>
    </row>
    <row r="20924" spans="1:2" x14ac:dyDescent="0.4">
      <c r="A20924" s="4">
        <v>505600200</v>
      </c>
      <c r="B20924">
        <v>8620010</v>
      </c>
    </row>
    <row r="20925" spans="1:2" x14ac:dyDescent="0.4">
      <c r="A20925" s="4">
        <v>505600200</v>
      </c>
      <c r="B20925">
        <v>8620020</v>
      </c>
    </row>
    <row r="20926" spans="1:2" x14ac:dyDescent="0.4">
      <c r="A20926" s="4">
        <v>505600200</v>
      </c>
      <c r="B20926">
        <v>8620100</v>
      </c>
    </row>
    <row r="20927" spans="1:2" x14ac:dyDescent="0.4">
      <c r="A20927" s="4">
        <v>505600200</v>
      </c>
      <c r="B20927">
        <v>8620110</v>
      </c>
    </row>
    <row r="20928" spans="1:2" x14ac:dyDescent="0.4">
      <c r="A20928" s="4">
        <v>505600200</v>
      </c>
      <c r="B20928">
        <v>8620120</v>
      </c>
    </row>
    <row r="20929" spans="1:2" x14ac:dyDescent="0.4">
      <c r="A20929" s="4">
        <v>505600200</v>
      </c>
      <c r="B20929">
        <v>8630000</v>
      </c>
    </row>
    <row r="20930" spans="1:2" x14ac:dyDescent="0.4">
      <c r="A20930" s="4">
        <v>505600200</v>
      </c>
      <c r="B20930">
        <v>8630000</v>
      </c>
    </row>
    <row r="20931" spans="1:2" x14ac:dyDescent="0.4">
      <c r="A20931" s="4">
        <v>505600200</v>
      </c>
      <c r="B20931">
        <v>8630000</v>
      </c>
    </row>
    <row r="20932" spans="1:2" x14ac:dyDescent="0.4">
      <c r="A20932" s="4">
        <v>505600200</v>
      </c>
      <c r="B20932">
        <v>8630100</v>
      </c>
    </row>
    <row r="20933" spans="1:2" x14ac:dyDescent="0.4">
      <c r="A20933" s="4">
        <v>505600200</v>
      </c>
      <c r="B20933">
        <v>8630100</v>
      </c>
    </row>
    <row r="20934" spans="1:2" x14ac:dyDescent="0.4">
      <c r="A20934" s="4">
        <v>505600200</v>
      </c>
      <c r="B20934">
        <v>8630100</v>
      </c>
    </row>
    <row r="20935" spans="1:2" x14ac:dyDescent="0.4">
      <c r="A20935" s="4">
        <v>505600200</v>
      </c>
      <c r="B20935">
        <v>8652000</v>
      </c>
    </row>
    <row r="20936" spans="1:2" x14ac:dyDescent="0.4">
      <c r="A20936" s="4">
        <v>505600200</v>
      </c>
      <c r="B20936">
        <v>8652010</v>
      </c>
    </row>
    <row r="20937" spans="1:2" x14ac:dyDescent="0.4">
      <c r="A20937" s="4">
        <v>505600200</v>
      </c>
      <c r="B20937">
        <v>8652020</v>
      </c>
    </row>
    <row r="20938" spans="1:2" x14ac:dyDescent="0.4">
      <c r="A20938" s="4">
        <v>505600200</v>
      </c>
      <c r="B20938">
        <v>8652100</v>
      </c>
    </row>
    <row r="20939" spans="1:2" x14ac:dyDescent="0.4">
      <c r="A20939" s="4">
        <v>505600200</v>
      </c>
      <c r="B20939">
        <v>8652110</v>
      </c>
    </row>
    <row r="20940" spans="1:2" x14ac:dyDescent="0.4">
      <c r="A20940" s="4">
        <v>505600200</v>
      </c>
      <c r="B20940">
        <v>8652120</v>
      </c>
    </row>
    <row r="20941" spans="1:2" x14ac:dyDescent="0.4">
      <c r="A20941" s="4">
        <v>505600200</v>
      </c>
      <c r="B20941">
        <v>8660000</v>
      </c>
    </row>
    <row r="20942" spans="1:2" x14ac:dyDescent="0.4">
      <c r="A20942" s="4">
        <v>505600200</v>
      </c>
      <c r="B20942">
        <v>8660001</v>
      </c>
    </row>
    <row r="20943" spans="1:2" x14ac:dyDescent="0.4">
      <c r="A20943" s="4">
        <v>505600200</v>
      </c>
      <c r="B20943">
        <v>8660002</v>
      </c>
    </row>
    <row r="20944" spans="1:2" x14ac:dyDescent="0.4">
      <c r="A20944" s="4">
        <v>505600200</v>
      </c>
      <c r="B20944">
        <v>8660100</v>
      </c>
    </row>
    <row r="20945" spans="1:2" x14ac:dyDescent="0.4">
      <c r="A20945" s="4">
        <v>505600200</v>
      </c>
      <c r="B20945">
        <v>8660101</v>
      </c>
    </row>
    <row r="20946" spans="1:2" x14ac:dyDescent="0.4">
      <c r="A20946" s="4">
        <v>505600200</v>
      </c>
      <c r="B20946">
        <v>8660102</v>
      </c>
    </row>
    <row r="20947" spans="1:2" x14ac:dyDescent="0.4">
      <c r="A20947" s="4">
        <v>505600200</v>
      </c>
      <c r="B20947">
        <v>8670000</v>
      </c>
    </row>
    <row r="20948" spans="1:2" x14ac:dyDescent="0.4">
      <c r="A20948" s="4">
        <v>505600200</v>
      </c>
      <c r="B20948">
        <v>8670001</v>
      </c>
    </row>
    <row r="20949" spans="1:2" x14ac:dyDescent="0.4">
      <c r="A20949" s="4">
        <v>505600200</v>
      </c>
      <c r="B20949">
        <v>8670002</v>
      </c>
    </row>
    <row r="20950" spans="1:2" x14ac:dyDescent="0.4">
      <c r="A20950" s="4">
        <v>505600200</v>
      </c>
      <c r="B20950">
        <v>8670100</v>
      </c>
    </row>
    <row r="20951" spans="1:2" x14ac:dyDescent="0.4">
      <c r="A20951" s="4">
        <v>505600200</v>
      </c>
      <c r="B20951">
        <v>8670101</v>
      </c>
    </row>
    <row r="20952" spans="1:2" x14ac:dyDescent="0.4">
      <c r="A20952" s="4">
        <v>505600200</v>
      </c>
      <c r="B20952">
        <v>8670102</v>
      </c>
    </row>
    <row r="20953" spans="1:2" x14ac:dyDescent="0.4">
      <c r="A20953" s="4">
        <v>505600200</v>
      </c>
      <c r="B20953">
        <v>8690000</v>
      </c>
    </row>
    <row r="20954" spans="1:2" x14ac:dyDescent="0.4">
      <c r="A20954" s="4">
        <v>505600200</v>
      </c>
      <c r="B20954">
        <v>8690100</v>
      </c>
    </row>
    <row r="20955" spans="1:2" x14ac:dyDescent="0.4">
      <c r="A20955" s="4">
        <v>505600200</v>
      </c>
      <c r="B20955">
        <v>8690200</v>
      </c>
    </row>
    <row r="20956" spans="1:2" x14ac:dyDescent="0.4">
      <c r="A20956" s="4">
        <v>505600200</v>
      </c>
      <c r="B20956">
        <v>8690300</v>
      </c>
    </row>
    <row r="20957" spans="1:2" x14ac:dyDescent="0.4">
      <c r="A20957" s="4">
        <v>505600200</v>
      </c>
      <c r="B20957">
        <v>8690400</v>
      </c>
    </row>
    <row r="20958" spans="1:2" x14ac:dyDescent="0.4">
      <c r="A20958" s="4">
        <v>505600200</v>
      </c>
      <c r="B20958">
        <v>8850000</v>
      </c>
    </row>
    <row r="20959" spans="1:2" x14ac:dyDescent="0.4">
      <c r="A20959" s="4">
        <v>505600200</v>
      </c>
      <c r="B20959">
        <v>8850100</v>
      </c>
    </row>
    <row r="20960" spans="1:2" x14ac:dyDescent="0.4">
      <c r="A20960" s="4">
        <v>505600200</v>
      </c>
      <c r="B20960">
        <v>8850200</v>
      </c>
    </row>
    <row r="20961" spans="1:2" x14ac:dyDescent="0.4">
      <c r="A20961" s="4">
        <v>505600200</v>
      </c>
      <c r="B20961">
        <v>8850300</v>
      </c>
    </row>
    <row r="20962" spans="1:2" x14ac:dyDescent="0.4">
      <c r="A20962" s="4">
        <v>505600200</v>
      </c>
      <c r="B20962">
        <v>8850400</v>
      </c>
    </row>
    <row r="20963" spans="1:2" x14ac:dyDescent="0.4">
      <c r="A20963" s="4">
        <v>505600200</v>
      </c>
      <c r="B20963">
        <v>8850500</v>
      </c>
    </row>
    <row r="20964" spans="1:2" x14ac:dyDescent="0.4">
      <c r="A20964" s="4">
        <v>505600200</v>
      </c>
      <c r="B20964">
        <v>8850600</v>
      </c>
    </row>
    <row r="20965" spans="1:2" x14ac:dyDescent="0.4">
      <c r="A20965" s="4">
        <v>505600200</v>
      </c>
      <c r="B20965">
        <v>8850700</v>
      </c>
    </row>
    <row r="20966" spans="1:2" x14ac:dyDescent="0.4">
      <c r="A20966" s="4">
        <v>505600200</v>
      </c>
      <c r="B20966">
        <v>8850800</v>
      </c>
    </row>
    <row r="20967" spans="1:2" x14ac:dyDescent="0.4">
      <c r="A20967" s="4">
        <v>505600200</v>
      </c>
      <c r="B20967">
        <v>8850900</v>
      </c>
    </row>
    <row r="20968" spans="1:2" x14ac:dyDescent="0.4">
      <c r="A20968" s="4">
        <v>505600200</v>
      </c>
      <c r="B20968">
        <v>8851000</v>
      </c>
    </row>
    <row r="20969" spans="1:2" x14ac:dyDescent="0.4">
      <c r="A20969" s="4">
        <v>505600200</v>
      </c>
      <c r="B20969">
        <v>8851100</v>
      </c>
    </row>
    <row r="20970" spans="1:2" x14ac:dyDescent="0.4">
      <c r="A20970" s="4">
        <v>505600200</v>
      </c>
      <c r="B20970">
        <v>8851200</v>
      </c>
    </row>
    <row r="20971" spans="1:2" x14ac:dyDescent="0.4">
      <c r="A20971" s="4">
        <v>505600200</v>
      </c>
      <c r="B20971">
        <v>8851300</v>
      </c>
    </row>
    <row r="20972" spans="1:2" x14ac:dyDescent="0.4">
      <c r="A20972" s="4">
        <v>505600200</v>
      </c>
      <c r="B20972">
        <v>8851800</v>
      </c>
    </row>
    <row r="20973" spans="1:2" x14ac:dyDescent="0.4">
      <c r="A20973" s="4">
        <v>505600200</v>
      </c>
      <c r="B20973">
        <v>8851900</v>
      </c>
    </row>
    <row r="20974" spans="1:2" x14ac:dyDescent="0.4">
      <c r="A20974" s="4">
        <v>505600200</v>
      </c>
      <c r="B20974">
        <v>8852000</v>
      </c>
    </row>
    <row r="20975" spans="1:2" x14ac:dyDescent="0.4">
      <c r="A20975" s="4">
        <v>505600200</v>
      </c>
      <c r="B20975">
        <v>8320500</v>
      </c>
    </row>
    <row r="20976" spans="1:2" x14ac:dyDescent="0.4">
      <c r="A20976" s="4">
        <v>505600200</v>
      </c>
      <c r="B20976">
        <v>8320510</v>
      </c>
    </row>
    <row r="20977" spans="1:2" x14ac:dyDescent="0.4">
      <c r="A20977" s="4">
        <v>505600200</v>
      </c>
      <c r="B20977">
        <v>8320520</v>
      </c>
    </row>
    <row r="20978" spans="1:2" x14ac:dyDescent="0.4">
      <c r="A20978" s="4">
        <v>505600200</v>
      </c>
      <c r="B20978">
        <v>8320600</v>
      </c>
    </row>
    <row r="20979" spans="1:2" x14ac:dyDescent="0.4">
      <c r="A20979" s="4">
        <v>505600200</v>
      </c>
      <c r="B20979">
        <v>8320610</v>
      </c>
    </row>
    <row r="20980" spans="1:2" x14ac:dyDescent="0.4">
      <c r="A20980" s="4">
        <v>505600200</v>
      </c>
      <c r="B20980">
        <v>8320620</v>
      </c>
    </row>
    <row r="20981" spans="1:2" x14ac:dyDescent="0.4">
      <c r="A20981" s="4">
        <v>505600200</v>
      </c>
      <c r="B20981">
        <v>8320700</v>
      </c>
    </row>
    <row r="20982" spans="1:2" x14ac:dyDescent="0.4">
      <c r="A20982" s="4">
        <v>505600200</v>
      </c>
      <c r="B20982">
        <v>8320710</v>
      </c>
    </row>
    <row r="20983" spans="1:2" x14ac:dyDescent="0.4">
      <c r="A20983" s="4">
        <v>505600200</v>
      </c>
      <c r="B20983">
        <v>8320720</v>
      </c>
    </row>
    <row r="20984" spans="1:2" x14ac:dyDescent="0.4">
      <c r="A20984" s="4">
        <v>600000000</v>
      </c>
      <c r="B20984">
        <v>8530000</v>
      </c>
    </row>
    <row r="20985" spans="1:2" x14ac:dyDescent="0.4">
      <c r="A20985" s="4">
        <v>600000001</v>
      </c>
      <c r="B20985">
        <v>8630010</v>
      </c>
    </row>
    <row r="20986" spans="1:2" x14ac:dyDescent="0.4">
      <c r="A20986" s="4">
        <v>600000002</v>
      </c>
      <c r="B20986">
        <v>8320300</v>
      </c>
    </row>
    <row r="20987" spans="1:2" x14ac:dyDescent="0.4">
      <c r="A20987" s="4">
        <v>600000003</v>
      </c>
      <c r="B20987">
        <v>8320100</v>
      </c>
    </row>
    <row r="20988" spans="1:2" x14ac:dyDescent="0.4">
      <c r="A20988" s="4">
        <v>601000000</v>
      </c>
      <c r="B20988">
        <v>8350002</v>
      </c>
    </row>
    <row r="20989" spans="1:2" x14ac:dyDescent="0.4">
      <c r="A20989" s="4">
        <v>601000000</v>
      </c>
      <c r="B20989">
        <v>8350202</v>
      </c>
    </row>
    <row r="20990" spans="1:2" x14ac:dyDescent="0.4">
      <c r="A20990" s="4">
        <v>601000000</v>
      </c>
      <c r="B20990">
        <v>8540000</v>
      </c>
    </row>
    <row r="20991" spans="1:2" x14ac:dyDescent="0.4">
      <c r="A20991" s="4">
        <v>601000000</v>
      </c>
      <c r="B20991">
        <v>8600102</v>
      </c>
    </row>
    <row r="20992" spans="1:2" x14ac:dyDescent="0.4">
      <c r="A20992" s="4">
        <v>601000000</v>
      </c>
      <c r="B20992">
        <v>8600202</v>
      </c>
    </row>
    <row r="20993" spans="1:2" x14ac:dyDescent="0.4">
      <c r="A20993" s="4">
        <v>601000000</v>
      </c>
      <c r="B20993">
        <v>8620020</v>
      </c>
    </row>
    <row r="20994" spans="1:2" x14ac:dyDescent="0.4">
      <c r="A20994" s="4">
        <v>601000000</v>
      </c>
      <c r="B20994">
        <v>8620120</v>
      </c>
    </row>
    <row r="20995" spans="1:2" x14ac:dyDescent="0.4">
      <c r="A20995" s="4">
        <v>601000100</v>
      </c>
      <c r="B20995">
        <v>8200102</v>
      </c>
    </row>
    <row r="20996" spans="1:2" x14ac:dyDescent="0.4">
      <c r="A20996" s="4">
        <v>601000100</v>
      </c>
      <c r="B20996">
        <v>8200202</v>
      </c>
    </row>
    <row r="20997" spans="1:2" x14ac:dyDescent="0.4">
      <c r="A20997" s="4">
        <v>601000100</v>
      </c>
      <c r="B20997">
        <v>8200302</v>
      </c>
    </row>
    <row r="20998" spans="1:2" x14ac:dyDescent="0.4">
      <c r="A20998" s="4">
        <v>601000100</v>
      </c>
      <c r="B20998">
        <v>8200402</v>
      </c>
    </row>
    <row r="20999" spans="1:2" x14ac:dyDescent="0.4">
      <c r="A20999" s="4">
        <v>601000100</v>
      </c>
      <c r="B20999">
        <v>8220002</v>
      </c>
    </row>
    <row r="21000" spans="1:2" x14ac:dyDescent="0.4">
      <c r="A21000" s="4">
        <v>601000100</v>
      </c>
      <c r="B21000">
        <v>8420002</v>
      </c>
    </row>
    <row r="21001" spans="1:2" x14ac:dyDescent="0.4">
      <c r="A21001" s="4">
        <v>601000100</v>
      </c>
      <c r="B21001">
        <v>8652020</v>
      </c>
    </row>
    <row r="21002" spans="1:2" x14ac:dyDescent="0.4">
      <c r="A21002" s="4">
        <v>601000100</v>
      </c>
      <c r="B21002">
        <v>8652120</v>
      </c>
    </row>
    <row r="21003" spans="1:2" x14ac:dyDescent="0.4">
      <c r="A21003" s="4">
        <v>601000200</v>
      </c>
      <c r="B21003">
        <v>8340002</v>
      </c>
    </row>
    <row r="21004" spans="1:2" x14ac:dyDescent="0.4">
      <c r="A21004" s="4">
        <v>601000200</v>
      </c>
      <c r="B21004">
        <v>8510002</v>
      </c>
    </row>
    <row r="21005" spans="1:2" x14ac:dyDescent="0.4">
      <c r="A21005" s="4">
        <v>601000200</v>
      </c>
      <c r="B21005">
        <v>8520002</v>
      </c>
    </row>
    <row r="21006" spans="1:2" x14ac:dyDescent="0.4">
      <c r="A21006" s="4">
        <v>601000200</v>
      </c>
      <c r="B21006">
        <v>8540000</v>
      </c>
    </row>
    <row r="21007" spans="1:2" x14ac:dyDescent="0.4">
      <c r="A21007" s="4">
        <v>601000200</v>
      </c>
      <c r="B21007">
        <v>8630000</v>
      </c>
    </row>
    <row r="21008" spans="1:2" x14ac:dyDescent="0.4">
      <c r="A21008" s="4">
        <v>601000200</v>
      </c>
      <c r="B21008">
        <v>8670002</v>
      </c>
    </row>
    <row r="21009" spans="1:2" x14ac:dyDescent="0.4">
      <c r="A21009" s="4">
        <v>601000200</v>
      </c>
      <c r="B21009">
        <v>8670102</v>
      </c>
    </row>
    <row r="21010" spans="1:2" x14ac:dyDescent="0.4">
      <c r="A21010" s="4">
        <v>601000300</v>
      </c>
      <c r="B21010">
        <v>8130002</v>
      </c>
    </row>
    <row r="21011" spans="1:2" x14ac:dyDescent="0.4">
      <c r="A21011" s="4">
        <v>601000300</v>
      </c>
      <c r="B21011">
        <v>8310002</v>
      </c>
    </row>
    <row r="21012" spans="1:2" x14ac:dyDescent="0.4">
      <c r="A21012" s="4">
        <v>601000300</v>
      </c>
      <c r="B21012">
        <v>8530000</v>
      </c>
    </row>
    <row r="21013" spans="1:2" x14ac:dyDescent="0.4">
      <c r="A21013" s="4">
        <v>601000300</v>
      </c>
      <c r="B21013">
        <v>8600102</v>
      </c>
    </row>
    <row r="21014" spans="1:2" x14ac:dyDescent="0.4">
      <c r="A21014" s="4">
        <v>601000300</v>
      </c>
      <c r="B21014">
        <v>8610720</v>
      </c>
    </row>
    <row r="21015" spans="1:2" x14ac:dyDescent="0.4">
      <c r="A21015" s="4">
        <v>601000300</v>
      </c>
      <c r="B21015">
        <v>8670002</v>
      </c>
    </row>
    <row r="21016" spans="1:2" x14ac:dyDescent="0.4">
      <c r="A21016" s="4">
        <v>601000300</v>
      </c>
      <c r="B21016">
        <v>8670102</v>
      </c>
    </row>
    <row r="21017" spans="1:2" x14ac:dyDescent="0.4">
      <c r="A21017" s="4">
        <v>601000400</v>
      </c>
      <c r="B21017">
        <v>8300002</v>
      </c>
    </row>
    <row r="21018" spans="1:2" x14ac:dyDescent="0.4">
      <c r="A21018" s="4">
        <v>601000400</v>
      </c>
      <c r="B21018">
        <v>8310002</v>
      </c>
    </row>
    <row r="21019" spans="1:2" x14ac:dyDescent="0.4">
      <c r="A21019" s="4">
        <v>601000400</v>
      </c>
      <c r="B21019">
        <v>8320102</v>
      </c>
    </row>
    <row r="21020" spans="1:2" x14ac:dyDescent="0.4">
      <c r="A21020" s="4">
        <v>601000400</v>
      </c>
      <c r="B21020">
        <v>8320302</v>
      </c>
    </row>
    <row r="21021" spans="1:2" x14ac:dyDescent="0.4">
      <c r="A21021" s="4">
        <v>601000400</v>
      </c>
      <c r="B21021">
        <v>8320420</v>
      </c>
    </row>
    <row r="21022" spans="1:2" x14ac:dyDescent="0.4">
      <c r="A21022" s="4">
        <v>601000400</v>
      </c>
      <c r="B21022">
        <v>8620020</v>
      </c>
    </row>
    <row r="21023" spans="1:2" x14ac:dyDescent="0.4">
      <c r="A21023" s="4">
        <v>601000400</v>
      </c>
      <c r="B21023">
        <v>8620120</v>
      </c>
    </row>
    <row r="21024" spans="1:2" x14ac:dyDescent="0.4">
      <c r="A21024" s="4">
        <v>601000500</v>
      </c>
      <c r="B21024">
        <v>8100102</v>
      </c>
    </row>
    <row r="21025" spans="1:2" x14ac:dyDescent="0.4">
      <c r="A21025" s="4">
        <v>601000500</v>
      </c>
      <c r="B21025">
        <v>8300002</v>
      </c>
    </row>
    <row r="21026" spans="1:2" x14ac:dyDescent="0.4">
      <c r="A21026" s="4">
        <v>601000500</v>
      </c>
      <c r="B21026">
        <v>8520002</v>
      </c>
    </row>
    <row r="21027" spans="1:2" x14ac:dyDescent="0.4">
      <c r="A21027" s="4">
        <v>601000500</v>
      </c>
      <c r="B21027">
        <v>8530000</v>
      </c>
    </row>
    <row r="21028" spans="1:2" x14ac:dyDescent="0.4">
      <c r="A21028" s="4">
        <v>601000500</v>
      </c>
      <c r="B21028">
        <v>8600102</v>
      </c>
    </row>
    <row r="21029" spans="1:2" x14ac:dyDescent="0.4">
      <c r="A21029" s="4">
        <v>601000500</v>
      </c>
      <c r="B21029">
        <v>8670002</v>
      </c>
    </row>
    <row r="21030" spans="1:2" x14ac:dyDescent="0.4">
      <c r="A21030" s="4">
        <v>601000500</v>
      </c>
      <c r="B21030">
        <v>8670102</v>
      </c>
    </row>
    <row r="21031" spans="1:2" x14ac:dyDescent="0.4">
      <c r="A21031" s="4">
        <v>601000600</v>
      </c>
      <c r="B21031">
        <v>8100102</v>
      </c>
    </row>
    <row r="21032" spans="1:2" x14ac:dyDescent="0.4">
      <c r="A21032" s="4">
        <v>601000600</v>
      </c>
      <c r="B21032">
        <v>8330002</v>
      </c>
    </row>
    <row r="21033" spans="1:2" x14ac:dyDescent="0.4">
      <c r="A21033" s="4">
        <v>601000600</v>
      </c>
      <c r="B21033">
        <v>8330202</v>
      </c>
    </row>
    <row r="21034" spans="1:2" x14ac:dyDescent="0.4">
      <c r="A21034" s="4">
        <v>601000600</v>
      </c>
      <c r="B21034">
        <v>8330401</v>
      </c>
    </row>
    <row r="21035" spans="1:2" x14ac:dyDescent="0.4">
      <c r="A21035" s="4">
        <v>601000600</v>
      </c>
      <c r="B21035">
        <v>8330602</v>
      </c>
    </row>
    <row r="21036" spans="1:2" x14ac:dyDescent="0.4">
      <c r="A21036" s="4">
        <v>601000600</v>
      </c>
      <c r="B21036">
        <v>8330920</v>
      </c>
    </row>
    <row r="21037" spans="1:2" x14ac:dyDescent="0.4">
      <c r="A21037" s="4">
        <v>601000600</v>
      </c>
      <c r="B21037">
        <v>8670102</v>
      </c>
    </row>
    <row r="21038" spans="1:2" x14ac:dyDescent="0.4">
      <c r="A21038" s="4">
        <v>601000700</v>
      </c>
      <c r="B21038">
        <v>8300002</v>
      </c>
    </row>
    <row r="21039" spans="1:2" x14ac:dyDescent="0.4">
      <c r="A21039" s="4">
        <v>601000700</v>
      </c>
      <c r="B21039">
        <v>8350002</v>
      </c>
    </row>
    <row r="21040" spans="1:2" x14ac:dyDescent="0.4">
      <c r="A21040" s="4">
        <v>601000700</v>
      </c>
      <c r="B21040">
        <v>8350202</v>
      </c>
    </row>
    <row r="21041" spans="1:2" x14ac:dyDescent="0.4">
      <c r="A21041" s="4">
        <v>601000700</v>
      </c>
      <c r="B21041">
        <v>8600102</v>
      </c>
    </row>
    <row r="21042" spans="1:2" x14ac:dyDescent="0.4">
      <c r="A21042" s="4">
        <v>601000700</v>
      </c>
      <c r="B21042">
        <v>8610720</v>
      </c>
    </row>
    <row r="21043" spans="1:2" x14ac:dyDescent="0.4">
      <c r="A21043" s="4">
        <v>601000700</v>
      </c>
      <c r="B21043">
        <v>8630000</v>
      </c>
    </row>
    <row r="21044" spans="1:2" x14ac:dyDescent="0.4">
      <c r="A21044" s="4">
        <v>601000700</v>
      </c>
      <c r="B21044">
        <v>8630100</v>
      </c>
    </row>
    <row r="21045" spans="1:2" x14ac:dyDescent="0.4">
      <c r="A21045" s="4">
        <v>601000800</v>
      </c>
      <c r="B21045">
        <v>8670102</v>
      </c>
    </row>
    <row r="21046" spans="1:2" x14ac:dyDescent="0.4">
      <c r="A21046" s="4">
        <v>601000800</v>
      </c>
      <c r="B21046">
        <v>8670002</v>
      </c>
    </row>
    <row r="21047" spans="1:2" x14ac:dyDescent="0.4">
      <c r="A21047" s="4">
        <v>601000800</v>
      </c>
      <c r="B21047">
        <v>8610720</v>
      </c>
    </row>
    <row r="21048" spans="1:2" x14ac:dyDescent="0.4">
      <c r="A21048" s="4">
        <v>601000800</v>
      </c>
      <c r="B21048">
        <v>8600102</v>
      </c>
    </row>
    <row r="21049" spans="1:2" x14ac:dyDescent="0.4">
      <c r="A21049" s="4">
        <v>601000800</v>
      </c>
      <c r="B21049">
        <v>8600202</v>
      </c>
    </row>
    <row r="21050" spans="1:2" x14ac:dyDescent="0.4">
      <c r="A21050" s="4">
        <v>601000800</v>
      </c>
      <c r="B21050">
        <v>8320520</v>
      </c>
    </row>
    <row r="21051" spans="1:2" x14ac:dyDescent="0.4">
      <c r="A21051" s="4">
        <v>601000800</v>
      </c>
      <c r="B21051">
        <v>8320720</v>
      </c>
    </row>
    <row r="21052" spans="1:2" x14ac:dyDescent="0.4">
      <c r="A21052" s="4">
        <v>601000900</v>
      </c>
      <c r="B21052">
        <v>8620120</v>
      </c>
    </row>
    <row r="21053" spans="1:2" x14ac:dyDescent="0.4">
      <c r="A21053" s="4">
        <v>601000900</v>
      </c>
      <c r="B21053">
        <v>8320520</v>
      </c>
    </row>
    <row r="21054" spans="1:2" x14ac:dyDescent="0.4">
      <c r="A21054" s="4">
        <v>601000900</v>
      </c>
      <c r="B21054">
        <v>8670102</v>
      </c>
    </row>
    <row r="21055" spans="1:2" x14ac:dyDescent="0.4">
      <c r="A21055" s="4">
        <v>601000900</v>
      </c>
      <c r="B21055">
        <v>8670002</v>
      </c>
    </row>
    <row r="21056" spans="1:2" x14ac:dyDescent="0.4">
      <c r="A21056" s="4">
        <v>601000900</v>
      </c>
      <c r="B21056">
        <v>8320002</v>
      </c>
    </row>
    <row r="21057" spans="1:2" x14ac:dyDescent="0.4">
      <c r="A21057" s="4">
        <v>601000900</v>
      </c>
      <c r="B21057">
        <v>8350002</v>
      </c>
    </row>
    <row r="21058" spans="1:2" x14ac:dyDescent="0.4">
      <c r="A21058" s="4">
        <v>601000900</v>
      </c>
      <c r="B21058">
        <v>8350202</v>
      </c>
    </row>
    <row r="21059" spans="1:2" x14ac:dyDescent="0.4">
      <c r="A21059" s="4">
        <v>602000000</v>
      </c>
      <c r="B21059">
        <v>8850000</v>
      </c>
    </row>
    <row r="21060" spans="1:2" x14ac:dyDescent="0.4">
      <c r="A21060" s="4">
        <v>602000000</v>
      </c>
      <c r="B21060">
        <v>8850100</v>
      </c>
    </row>
    <row r="21061" spans="1:2" x14ac:dyDescent="0.4">
      <c r="A21061" s="4">
        <v>602000000</v>
      </c>
      <c r="B21061">
        <v>8850200</v>
      </c>
    </row>
    <row r="21062" spans="1:2" x14ac:dyDescent="0.4">
      <c r="A21062" s="4">
        <v>602000000</v>
      </c>
      <c r="B21062">
        <v>8850300</v>
      </c>
    </row>
    <row r="21063" spans="1:2" x14ac:dyDescent="0.4">
      <c r="A21063" s="4">
        <v>602000000</v>
      </c>
      <c r="B21063">
        <v>8850400</v>
      </c>
    </row>
    <row r="21064" spans="1:2" x14ac:dyDescent="0.4">
      <c r="A21064" s="4">
        <v>602000000</v>
      </c>
      <c r="B21064">
        <v>8850500</v>
      </c>
    </row>
    <row r="21065" spans="1:2" x14ac:dyDescent="0.4">
      <c r="A21065" s="4">
        <v>602000000</v>
      </c>
      <c r="B21065">
        <v>8850600</v>
      </c>
    </row>
    <row r="21066" spans="1:2" x14ac:dyDescent="0.4">
      <c r="A21066" s="4">
        <v>602000000</v>
      </c>
      <c r="B21066">
        <v>8850700</v>
      </c>
    </row>
    <row r="21067" spans="1:2" x14ac:dyDescent="0.4">
      <c r="A21067" s="4">
        <v>602000000</v>
      </c>
      <c r="B21067">
        <v>8850800</v>
      </c>
    </row>
    <row r="21068" spans="1:2" x14ac:dyDescent="0.4">
      <c r="A21068" s="4">
        <v>602000000</v>
      </c>
      <c r="B21068">
        <v>8850900</v>
      </c>
    </row>
    <row r="21069" spans="1:2" x14ac:dyDescent="0.4">
      <c r="A21069" s="4">
        <v>602000000</v>
      </c>
      <c r="B21069">
        <v>8851000</v>
      </c>
    </row>
    <row r="21070" spans="1:2" x14ac:dyDescent="0.4">
      <c r="A21070" s="4">
        <v>602000000</v>
      </c>
      <c r="B21070">
        <v>8851100</v>
      </c>
    </row>
    <row r="21071" spans="1:2" x14ac:dyDescent="0.4">
      <c r="A21071" s="4">
        <v>602000000</v>
      </c>
      <c r="B21071">
        <v>8851200</v>
      </c>
    </row>
    <row r="21072" spans="1:2" x14ac:dyDescent="0.4">
      <c r="A21072" s="4">
        <v>602000000</v>
      </c>
      <c r="B21072">
        <v>8851300</v>
      </c>
    </row>
    <row r="21073" spans="1:2" x14ac:dyDescent="0.4">
      <c r="A21073" s="4">
        <v>602000000</v>
      </c>
      <c r="B21073">
        <v>8851800</v>
      </c>
    </row>
    <row r="21074" spans="1:2" x14ac:dyDescent="0.4">
      <c r="A21074" s="4">
        <v>602000000</v>
      </c>
      <c r="B21074">
        <v>8851900</v>
      </c>
    </row>
    <row r="21075" spans="1:2" x14ac:dyDescent="0.4">
      <c r="A21075" s="4">
        <v>602000000</v>
      </c>
      <c r="B21075">
        <v>8852000</v>
      </c>
    </row>
    <row r="21076" spans="1:2" x14ac:dyDescent="0.4">
      <c r="A21076" s="4">
        <v>603000000</v>
      </c>
      <c r="B21076">
        <v>8850050</v>
      </c>
    </row>
    <row r="21077" spans="1:2" x14ac:dyDescent="0.4">
      <c r="A21077" s="4">
        <v>603000000</v>
      </c>
      <c r="B21077">
        <v>8850150</v>
      </c>
    </row>
    <row r="21078" spans="1:2" x14ac:dyDescent="0.4">
      <c r="A21078" s="4">
        <v>603000000</v>
      </c>
      <c r="B21078">
        <v>8850250</v>
      </c>
    </row>
    <row r="21079" spans="1:2" x14ac:dyDescent="0.4">
      <c r="A21079" s="4">
        <v>603000000</v>
      </c>
      <c r="B21079">
        <v>8850350</v>
      </c>
    </row>
    <row r="21080" spans="1:2" x14ac:dyDescent="0.4">
      <c r="A21080" s="4">
        <v>603000000</v>
      </c>
      <c r="B21080">
        <v>8850450</v>
      </c>
    </row>
    <row r="21081" spans="1:2" x14ac:dyDescent="0.4">
      <c r="A21081" s="4">
        <v>603000000</v>
      </c>
      <c r="B21081">
        <v>8850550</v>
      </c>
    </row>
    <row r="21082" spans="1:2" x14ac:dyDescent="0.4">
      <c r="A21082" s="4">
        <v>603000000</v>
      </c>
      <c r="B21082">
        <v>8850650</v>
      </c>
    </row>
    <row r="21083" spans="1:2" x14ac:dyDescent="0.4">
      <c r="A21083" s="4">
        <v>603000000</v>
      </c>
      <c r="B21083">
        <v>8850750</v>
      </c>
    </row>
    <row r="21084" spans="1:2" x14ac:dyDescent="0.4">
      <c r="A21084" s="4">
        <v>603000000</v>
      </c>
      <c r="B21084">
        <v>8850850</v>
      </c>
    </row>
    <row r="21085" spans="1:2" x14ac:dyDescent="0.4">
      <c r="A21085" s="4">
        <v>603000000</v>
      </c>
      <c r="B21085">
        <v>8850950</v>
      </c>
    </row>
    <row r="21086" spans="1:2" x14ac:dyDescent="0.4">
      <c r="A21086" s="4">
        <v>603000000</v>
      </c>
      <c r="B21086">
        <v>8851050</v>
      </c>
    </row>
    <row r="21087" spans="1:2" x14ac:dyDescent="0.4">
      <c r="A21087" s="4">
        <v>603000000</v>
      </c>
      <c r="B21087">
        <v>8851150</v>
      </c>
    </row>
    <row r="21088" spans="1:2" x14ac:dyDescent="0.4">
      <c r="A21088" s="4">
        <v>603000000</v>
      </c>
      <c r="B21088">
        <v>8851250</v>
      </c>
    </row>
    <row r="21089" spans="1:2" x14ac:dyDescent="0.4">
      <c r="A21089" s="4">
        <v>603000000</v>
      </c>
      <c r="B21089">
        <v>8851350</v>
      </c>
    </row>
    <row r="21090" spans="1:2" x14ac:dyDescent="0.4">
      <c r="A21090" s="4">
        <v>603000000</v>
      </c>
      <c r="B21090">
        <v>8851850</v>
      </c>
    </row>
    <row r="21091" spans="1:2" x14ac:dyDescent="0.4">
      <c r="A21091" s="4">
        <v>603000000</v>
      </c>
      <c r="B21091">
        <v>8851950</v>
      </c>
    </row>
    <row r="21092" spans="1:2" x14ac:dyDescent="0.4">
      <c r="A21092" s="4">
        <v>603000000</v>
      </c>
      <c r="B21092">
        <v>8852050</v>
      </c>
    </row>
    <row r="21093" spans="1:2" x14ac:dyDescent="0.4">
      <c r="A21093" s="4">
        <v>603000000</v>
      </c>
      <c r="B21093">
        <v>8880000</v>
      </c>
    </row>
    <row r="21094" spans="1:2" x14ac:dyDescent="0.4">
      <c r="A21094" s="4">
        <v>603000000</v>
      </c>
      <c r="B21094">
        <v>8880200</v>
      </c>
    </row>
    <row r="21095" spans="1:2" x14ac:dyDescent="0.4">
      <c r="A21095" s="4">
        <v>603000000</v>
      </c>
      <c r="B21095">
        <v>8880300</v>
      </c>
    </row>
    <row r="21096" spans="1:2" x14ac:dyDescent="0.4">
      <c r="A21096" s="4">
        <v>603000000</v>
      </c>
      <c r="B21096">
        <v>8881000</v>
      </c>
    </row>
    <row r="21097" spans="1:2" x14ac:dyDescent="0.4">
      <c r="A21097" s="4">
        <v>603000000</v>
      </c>
      <c r="B21097">
        <v>8881200</v>
      </c>
    </row>
    <row r="21098" spans="1:2" x14ac:dyDescent="0.4">
      <c r="A21098" s="4">
        <v>603000000</v>
      </c>
      <c r="B21098">
        <v>8881500</v>
      </c>
    </row>
    <row r="21099" spans="1:2" x14ac:dyDescent="0.4">
      <c r="A21099" s="4">
        <v>603000000</v>
      </c>
      <c r="B21099">
        <v>8882100</v>
      </c>
    </row>
    <row r="21100" spans="1:2" x14ac:dyDescent="0.4">
      <c r="A21100" s="4">
        <v>603000000</v>
      </c>
      <c r="B21100">
        <v>8882500</v>
      </c>
    </row>
    <row r="21101" spans="1:2" x14ac:dyDescent="0.4">
      <c r="A21101" s="4">
        <v>603000100</v>
      </c>
      <c r="B21101">
        <v>8850050</v>
      </c>
    </row>
    <row r="21102" spans="1:2" x14ac:dyDescent="0.4">
      <c r="A21102" s="4">
        <v>603000100</v>
      </c>
      <c r="B21102">
        <v>8850150</v>
      </c>
    </row>
    <row r="21103" spans="1:2" x14ac:dyDescent="0.4">
      <c r="A21103" s="4">
        <v>603000100</v>
      </c>
      <c r="B21103">
        <v>8850250</v>
      </c>
    </row>
    <row r="21104" spans="1:2" x14ac:dyDescent="0.4">
      <c r="A21104" s="4">
        <v>603000100</v>
      </c>
      <c r="B21104">
        <v>8850350</v>
      </c>
    </row>
    <row r="21105" spans="1:2" x14ac:dyDescent="0.4">
      <c r="A21105" s="4">
        <v>603000100</v>
      </c>
      <c r="B21105">
        <v>8850450</v>
      </c>
    </row>
    <row r="21106" spans="1:2" x14ac:dyDescent="0.4">
      <c r="A21106" s="4">
        <v>603000100</v>
      </c>
      <c r="B21106">
        <v>8850550</v>
      </c>
    </row>
    <row r="21107" spans="1:2" x14ac:dyDescent="0.4">
      <c r="A21107" s="4">
        <v>603000100</v>
      </c>
      <c r="B21107">
        <v>8850650</v>
      </c>
    </row>
    <row r="21108" spans="1:2" x14ac:dyDescent="0.4">
      <c r="A21108" s="4">
        <v>603000100</v>
      </c>
      <c r="B21108">
        <v>8850750</v>
      </c>
    </row>
    <row r="21109" spans="1:2" x14ac:dyDescent="0.4">
      <c r="A21109" s="4">
        <v>603000100</v>
      </c>
      <c r="B21109">
        <v>8850850</v>
      </c>
    </row>
    <row r="21110" spans="1:2" x14ac:dyDescent="0.4">
      <c r="A21110" s="4">
        <v>603000100</v>
      </c>
      <c r="B21110">
        <v>8850950</v>
      </c>
    </row>
    <row r="21111" spans="1:2" x14ac:dyDescent="0.4">
      <c r="A21111" s="4">
        <v>603000100</v>
      </c>
      <c r="B21111">
        <v>8851050</v>
      </c>
    </row>
    <row r="21112" spans="1:2" x14ac:dyDescent="0.4">
      <c r="A21112" s="4">
        <v>603000100</v>
      </c>
      <c r="B21112">
        <v>8851150</v>
      </c>
    </row>
    <row r="21113" spans="1:2" x14ac:dyDescent="0.4">
      <c r="A21113" s="4">
        <v>603000100</v>
      </c>
      <c r="B21113">
        <v>8851250</v>
      </c>
    </row>
    <row r="21114" spans="1:2" x14ac:dyDescent="0.4">
      <c r="A21114" s="4">
        <v>603000100</v>
      </c>
      <c r="B21114">
        <v>8851350</v>
      </c>
    </row>
    <row r="21115" spans="1:2" x14ac:dyDescent="0.4">
      <c r="A21115" s="4">
        <v>603000100</v>
      </c>
      <c r="B21115">
        <v>8851850</v>
      </c>
    </row>
    <row r="21116" spans="1:2" x14ac:dyDescent="0.4">
      <c r="A21116" s="4">
        <v>603000100</v>
      </c>
      <c r="B21116">
        <v>8851950</v>
      </c>
    </row>
    <row r="21117" spans="1:2" x14ac:dyDescent="0.4">
      <c r="A21117" s="4">
        <v>603000100</v>
      </c>
      <c r="B21117">
        <v>8852050</v>
      </c>
    </row>
    <row r="21118" spans="1:2" x14ac:dyDescent="0.4">
      <c r="A21118" s="4">
        <v>603000100</v>
      </c>
      <c r="B21118">
        <v>8883000</v>
      </c>
    </row>
    <row r="21119" spans="1:2" x14ac:dyDescent="0.4">
      <c r="A21119" s="4">
        <v>603000100</v>
      </c>
      <c r="B21119">
        <v>8883100</v>
      </c>
    </row>
    <row r="21120" spans="1:2" x14ac:dyDescent="0.4">
      <c r="A21120" s="4">
        <v>603000100</v>
      </c>
      <c r="B21120">
        <v>8883200</v>
      </c>
    </row>
    <row r="21121" spans="1:2" x14ac:dyDescent="0.4">
      <c r="A21121" s="4">
        <v>603000100</v>
      </c>
      <c r="B21121">
        <v>8883300</v>
      </c>
    </row>
    <row r="21122" spans="1:2" x14ac:dyDescent="0.4">
      <c r="A21122" s="4">
        <v>603000100</v>
      </c>
      <c r="B21122">
        <v>8883400</v>
      </c>
    </row>
    <row r="21123" spans="1:2" x14ac:dyDescent="0.4">
      <c r="A21123" s="4">
        <v>603000200</v>
      </c>
      <c r="B21123">
        <v>8850050</v>
      </c>
    </row>
    <row r="21124" spans="1:2" x14ac:dyDescent="0.4">
      <c r="A21124" s="4">
        <v>603000200</v>
      </c>
      <c r="B21124">
        <v>8850150</v>
      </c>
    </row>
    <row r="21125" spans="1:2" x14ac:dyDescent="0.4">
      <c r="A21125" s="4">
        <v>603000200</v>
      </c>
      <c r="B21125">
        <v>8850250</v>
      </c>
    </row>
    <row r="21126" spans="1:2" x14ac:dyDescent="0.4">
      <c r="A21126" s="4">
        <v>603000200</v>
      </c>
      <c r="B21126">
        <v>8850350</v>
      </c>
    </row>
    <row r="21127" spans="1:2" x14ac:dyDescent="0.4">
      <c r="A21127" s="4">
        <v>603000200</v>
      </c>
      <c r="B21127">
        <v>8850450</v>
      </c>
    </row>
    <row r="21128" spans="1:2" x14ac:dyDescent="0.4">
      <c r="A21128" s="4">
        <v>603000200</v>
      </c>
      <c r="B21128">
        <v>8850550</v>
      </c>
    </row>
    <row r="21129" spans="1:2" x14ac:dyDescent="0.4">
      <c r="A21129" s="4">
        <v>603000200</v>
      </c>
      <c r="B21129">
        <v>8850650</v>
      </c>
    </row>
    <row r="21130" spans="1:2" x14ac:dyDescent="0.4">
      <c r="A21130" s="4">
        <v>603000200</v>
      </c>
      <c r="B21130">
        <v>8850750</v>
      </c>
    </row>
    <row r="21131" spans="1:2" x14ac:dyDescent="0.4">
      <c r="A21131" s="4">
        <v>603000200</v>
      </c>
      <c r="B21131">
        <v>8850850</v>
      </c>
    </row>
    <row r="21132" spans="1:2" x14ac:dyDescent="0.4">
      <c r="A21132" s="4">
        <v>603000200</v>
      </c>
      <c r="B21132">
        <v>8850950</v>
      </c>
    </row>
    <row r="21133" spans="1:2" x14ac:dyDescent="0.4">
      <c r="A21133" s="4">
        <v>603000200</v>
      </c>
      <c r="B21133">
        <v>8851050</v>
      </c>
    </row>
    <row r="21134" spans="1:2" x14ac:dyDescent="0.4">
      <c r="A21134" s="4">
        <v>603000200</v>
      </c>
      <c r="B21134">
        <v>8851150</v>
      </c>
    </row>
    <row r="21135" spans="1:2" x14ac:dyDescent="0.4">
      <c r="A21135" s="4">
        <v>603000200</v>
      </c>
      <c r="B21135">
        <v>8851250</v>
      </c>
    </row>
    <row r="21136" spans="1:2" x14ac:dyDescent="0.4">
      <c r="A21136" s="4">
        <v>603000200</v>
      </c>
      <c r="B21136">
        <v>8851350</v>
      </c>
    </row>
    <row r="21137" spans="1:2" x14ac:dyDescent="0.4">
      <c r="A21137" s="4">
        <v>603000200</v>
      </c>
      <c r="B21137">
        <v>8851850</v>
      </c>
    </row>
    <row r="21138" spans="1:2" x14ac:dyDescent="0.4">
      <c r="A21138" s="4">
        <v>603000200</v>
      </c>
      <c r="B21138">
        <v>8851950</v>
      </c>
    </row>
    <row r="21139" spans="1:2" x14ac:dyDescent="0.4">
      <c r="A21139" s="4">
        <v>603000200</v>
      </c>
      <c r="B21139">
        <v>8852050</v>
      </c>
    </row>
    <row r="21140" spans="1:2" x14ac:dyDescent="0.4">
      <c r="A21140" s="4">
        <v>603000200</v>
      </c>
      <c r="B21140">
        <v>8885000</v>
      </c>
    </row>
    <row r="21141" spans="1:2" x14ac:dyDescent="0.4">
      <c r="A21141" s="4">
        <v>603000200</v>
      </c>
      <c r="B21141">
        <v>8885100</v>
      </c>
    </row>
    <row r="21142" spans="1:2" x14ac:dyDescent="0.4">
      <c r="A21142" s="4">
        <v>603000200</v>
      </c>
      <c r="B21142">
        <v>8885200</v>
      </c>
    </row>
    <row r="21143" spans="1:2" x14ac:dyDescent="0.4">
      <c r="A21143" s="4">
        <v>610000000</v>
      </c>
      <c r="B21143">
        <v>8760000</v>
      </c>
    </row>
    <row r="21144" spans="1:2" x14ac:dyDescent="0.4">
      <c r="A21144" s="4">
        <v>610000000</v>
      </c>
      <c r="B21144">
        <v>8760100</v>
      </c>
    </row>
    <row r="21145" spans="1:2" x14ac:dyDescent="0.4">
      <c r="A21145" s="4">
        <v>610000000</v>
      </c>
      <c r="B21145">
        <v>8760200</v>
      </c>
    </row>
    <row r="21146" spans="1:2" x14ac:dyDescent="0.4">
      <c r="A21146" s="4">
        <v>610000000</v>
      </c>
      <c r="B21146">
        <v>8761000</v>
      </c>
    </row>
    <row r="21147" spans="1:2" x14ac:dyDescent="0.4">
      <c r="A21147" s="4">
        <v>610000000</v>
      </c>
      <c r="B21147">
        <v>8761100</v>
      </c>
    </row>
    <row r="21148" spans="1:2" x14ac:dyDescent="0.4">
      <c r="A21148" s="4">
        <v>610000000</v>
      </c>
      <c r="B21148">
        <v>8762000</v>
      </c>
    </row>
    <row r="21149" spans="1:2" x14ac:dyDescent="0.4">
      <c r="A21149" s="4">
        <v>610000000</v>
      </c>
      <c r="B21149">
        <v>8763000</v>
      </c>
    </row>
    <row r="21150" spans="1:2" x14ac:dyDescent="0.4">
      <c r="A21150" s="4">
        <v>610000000</v>
      </c>
      <c r="B21150">
        <v>8766000</v>
      </c>
    </row>
    <row r="21151" spans="1:2" x14ac:dyDescent="0.4">
      <c r="A21151" s="4">
        <v>610000000</v>
      </c>
      <c r="B21151">
        <v>8770000</v>
      </c>
    </row>
    <row r="21152" spans="1:2" x14ac:dyDescent="0.4">
      <c r="A21152" s="4">
        <v>610000000</v>
      </c>
      <c r="B21152">
        <v>8771000</v>
      </c>
    </row>
    <row r="21153" spans="1:2" x14ac:dyDescent="0.4">
      <c r="A21153" s="4">
        <v>610000000</v>
      </c>
      <c r="B21153">
        <v>8800100</v>
      </c>
    </row>
    <row r="21154" spans="1:2" x14ac:dyDescent="0.4">
      <c r="A21154" s="4">
        <v>610000000</v>
      </c>
      <c r="B21154">
        <v>8800200</v>
      </c>
    </row>
    <row r="21155" spans="1:2" x14ac:dyDescent="0.4">
      <c r="A21155" s="4">
        <v>610000000</v>
      </c>
      <c r="B21155">
        <v>8801000</v>
      </c>
    </row>
    <row r="21156" spans="1:2" x14ac:dyDescent="0.4">
      <c r="A21156" s="4">
        <v>610000000</v>
      </c>
      <c r="B21156">
        <v>8810000</v>
      </c>
    </row>
    <row r="21157" spans="1:2" x14ac:dyDescent="0.4">
      <c r="A21157" s="4">
        <v>610000000</v>
      </c>
      <c r="B21157">
        <v>8810200</v>
      </c>
    </row>
    <row r="21158" spans="1:2" x14ac:dyDescent="0.4">
      <c r="A21158" s="4">
        <v>610000000</v>
      </c>
      <c r="B21158">
        <v>8810300</v>
      </c>
    </row>
    <row r="21159" spans="1:2" x14ac:dyDescent="0.4">
      <c r="A21159" s="4">
        <v>610000000</v>
      </c>
      <c r="B21159">
        <v>8810400</v>
      </c>
    </row>
    <row r="21160" spans="1:2" x14ac:dyDescent="0.4">
      <c r="A21160" s="4">
        <v>610000000</v>
      </c>
      <c r="B21160">
        <v>8813100</v>
      </c>
    </row>
    <row r="21161" spans="1:2" x14ac:dyDescent="0.4">
      <c r="A21161" s="4">
        <v>610000000</v>
      </c>
      <c r="B21161">
        <v>8821000</v>
      </c>
    </row>
    <row r="21162" spans="1:2" x14ac:dyDescent="0.4">
      <c r="A21162" s="4">
        <v>610000000</v>
      </c>
      <c r="B21162">
        <v>8830000</v>
      </c>
    </row>
    <row r="21163" spans="1:2" x14ac:dyDescent="0.4">
      <c r="A21163" s="4">
        <v>610000000</v>
      </c>
      <c r="B21163">
        <v>8831000</v>
      </c>
    </row>
    <row r="21164" spans="1:2" x14ac:dyDescent="0.4">
      <c r="A21164" s="4">
        <v>610000000</v>
      </c>
      <c r="B21164">
        <v>8831200</v>
      </c>
    </row>
    <row r="21165" spans="1:2" x14ac:dyDescent="0.4">
      <c r="A21165" s="4">
        <v>620000000</v>
      </c>
      <c r="B21165">
        <v>8760000</v>
      </c>
    </row>
    <row r="21166" spans="1:2" x14ac:dyDescent="0.4">
      <c r="A21166" s="4">
        <v>620000000</v>
      </c>
      <c r="B21166">
        <v>8760100</v>
      </c>
    </row>
    <row r="21167" spans="1:2" x14ac:dyDescent="0.4">
      <c r="A21167" s="4">
        <v>620000000</v>
      </c>
      <c r="B21167">
        <v>8760200</v>
      </c>
    </row>
    <row r="21168" spans="1:2" x14ac:dyDescent="0.4">
      <c r="A21168" s="4">
        <v>620000000</v>
      </c>
      <c r="B21168">
        <v>8761000</v>
      </c>
    </row>
    <row r="21169" spans="1:2" x14ac:dyDescent="0.4">
      <c r="A21169" s="4">
        <v>620000000</v>
      </c>
      <c r="B21169">
        <v>8761100</v>
      </c>
    </row>
    <row r="21170" spans="1:2" x14ac:dyDescent="0.4">
      <c r="A21170" s="4">
        <v>620000000</v>
      </c>
      <c r="B21170">
        <v>8762000</v>
      </c>
    </row>
    <row r="21171" spans="1:2" x14ac:dyDescent="0.4">
      <c r="A21171" s="4">
        <v>620000000</v>
      </c>
      <c r="B21171">
        <v>8763000</v>
      </c>
    </row>
    <row r="21172" spans="1:2" x14ac:dyDescent="0.4">
      <c r="A21172" s="4">
        <v>620000000</v>
      </c>
      <c r="B21172">
        <v>8766000</v>
      </c>
    </row>
    <row r="21173" spans="1:2" x14ac:dyDescent="0.4">
      <c r="A21173" s="4">
        <v>620000000</v>
      </c>
      <c r="B21173">
        <v>8770000</v>
      </c>
    </row>
    <row r="21174" spans="1:2" x14ac:dyDescent="0.4">
      <c r="A21174" s="4">
        <v>620000000</v>
      </c>
      <c r="B21174">
        <v>8771000</v>
      </c>
    </row>
    <row r="21175" spans="1:2" x14ac:dyDescent="0.4">
      <c r="A21175" s="4">
        <v>620000000</v>
      </c>
      <c r="B21175">
        <v>8800100</v>
      </c>
    </row>
    <row r="21176" spans="1:2" x14ac:dyDescent="0.4">
      <c r="A21176" s="4">
        <v>620000000</v>
      </c>
      <c r="B21176">
        <v>8800200</v>
      </c>
    </row>
    <row r="21177" spans="1:2" x14ac:dyDescent="0.4">
      <c r="A21177" s="4">
        <v>620000000</v>
      </c>
      <c r="B21177">
        <v>8801000</v>
      </c>
    </row>
    <row r="21178" spans="1:2" x14ac:dyDescent="0.4">
      <c r="A21178" s="4">
        <v>620000000</v>
      </c>
      <c r="B21178">
        <v>8810000</v>
      </c>
    </row>
    <row r="21179" spans="1:2" x14ac:dyDescent="0.4">
      <c r="A21179" s="4">
        <v>620000000</v>
      </c>
      <c r="B21179">
        <v>8810200</v>
      </c>
    </row>
    <row r="21180" spans="1:2" x14ac:dyDescent="0.4">
      <c r="A21180" s="4">
        <v>620000000</v>
      </c>
      <c r="B21180">
        <v>8810300</v>
      </c>
    </row>
    <row r="21181" spans="1:2" x14ac:dyDescent="0.4">
      <c r="A21181" s="4">
        <v>620000000</v>
      </c>
      <c r="B21181">
        <v>8810400</v>
      </c>
    </row>
    <row r="21182" spans="1:2" x14ac:dyDescent="0.4">
      <c r="A21182" s="4">
        <v>620000000</v>
      </c>
      <c r="B21182">
        <v>8813100</v>
      </c>
    </row>
    <row r="21183" spans="1:2" x14ac:dyDescent="0.4">
      <c r="A21183" s="4">
        <v>620000000</v>
      </c>
      <c r="B21183">
        <v>8821000</v>
      </c>
    </row>
    <row r="21184" spans="1:2" x14ac:dyDescent="0.4">
      <c r="A21184" s="4">
        <v>620000000</v>
      </c>
      <c r="B21184">
        <v>8830000</v>
      </c>
    </row>
    <row r="21185" spans="1:2" x14ac:dyDescent="0.4">
      <c r="A21185" s="4">
        <v>620000000</v>
      </c>
      <c r="B21185">
        <v>8831000</v>
      </c>
    </row>
    <row r="21186" spans="1:2" x14ac:dyDescent="0.4">
      <c r="A21186" s="4">
        <v>620000000</v>
      </c>
      <c r="B21186">
        <v>8831200</v>
      </c>
    </row>
    <row r="21187" spans="1:2" x14ac:dyDescent="0.4">
      <c r="A21187" s="4">
        <v>630000000</v>
      </c>
      <c r="B21187">
        <v>8760050</v>
      </c>
    </row>
    <row r="21188" spans="1:2" x14ac:dyDescent="0.4">
      <c r="A21188" s="4">
        <v>630000000</v>
      </c>
      <c r="B21188">
        <v>8760150</v>
      </c>
    </row>
    <row r="21189" spans="1:2" x14ac:dyDescent="0.4">
      <c r="A21189" s="4">
        <v>630000000</v>
      </c>
      <c r="B21189">
        <v>8760250</v>
      </c>
    </row>
    <row r="21190" spans="1:2" x14ac:dyDescent="0.4">
      <c r="A21190" s="4">
        <v>630000000</v>
      </c>
      <c r="B21190">
        <v>8761050</v>
      </c>
    </row>
    <row r="21191" spans="1:2" x14ac:dyDescent="0.4">
      <c r="A21191" s="4">
        <v>630000000</v>
      </c>
      <c r="B21191">
        <v>8761150</v>
      </c>
    </row>
    <row r="21192" spans="1:2" x14ac:dyDescent="0.4">
      <c r="A21192" s="4">
        <v>630000000</v>
      </c>
      <c r="B21192">
        <v>8762050</v>
      </c>
    </row>
    <row r="21193" spans="1:2" x14ac:dyDescent="0.4">
      <c r="A21193" s="4">
        <v>630000000</v>
      </c>
      <c r="B21193">
        <v>8763050</v>
      </c>
    </row>
    <row r="21194" spans="1:2" x14ac:dyDescent="0.4">
      <c r="A21194" s="4">
        <v>630000000</v>
      </c>
      <c r="B21194">
        <v>8766050</v>
      </c>
    </row>
    <row r="21195" spans="1:2" x14ac:dyDescent="0.4">
      <c r="A21195" s="4">
        <v>630000000</v>
      </c>
      <c r="B21195">
        <v>8770050</v>
      </c>
    </row>
    <row r="21196" spans="1:2" x14ac:dyDescent="0.4">
      <c r="A21196" s="4">
        <v>630000000</v>
      </c>
      <c r="B21196">
        <v>8771050</v>
      </c>
    </row>
    <row r="21197" spans="1:2" x14ac:dyDescent="0.4">
      <c r="A21197" s="4">
        <v>630000000</v>
      </c>
      <c r="B21197">
        <v>8800150</v>
      </c>
    </row>
    <row r="21198" spans="1:2" x14ac:dyDescent="0.4">
      <c r="A21198" s="4">
        <v>630000000</v>
      </c>
      <c r="B21198">
        <v>8800250</v>
      </c>
    </row>
    <row r="21199" spans="1:2" x14ac:dyDescent="0.4">
      <c r="A21199" s="4">
        <v>630000000</v>
      </c>
      <c r="B21199">
        <v>8801050</v>
      </c>
    </row>
    <row r="21200" spans="1:2" x14ac:dyDescent="0.4">
      <c r="A21200" s="4">
        <v>630000000</v>
      </c>
      <c r="B21200">
        <v>8810050</v>
      </c>
    </row>
    <row r="21201" spans="1:2" x14ac:dyDescent="0.4">
      <c r="A21201" s="4">
        <v>630000000</v>
      </c>
      <c r="B21201">
        <v>8810250</v>
      </c>
    </row>
    <row r="21202" spans="1:2" x14ac:dyDescent="0.4">
      <c r="A21202" s="4">
        <v>630000000</v>
      </c>
      <c r="B21202">
        <v>8810350</v>
      </c>
    </row>
    <row r="21203" spans="1:2" x14ac:dyDescent="0.4">
      <c r="A21203" s="4">
        <v>630000000</v>
      </c>
      <c r="B21203">
        <v>8810450</v>
      </c>
    </row>
    <row r="21204" spans="1:2" x14ac:dyDescent="0.4">
      <c r="A21204" s="4">
        <v>630000000</v>
      </c>
      <c r="B21204">
        <v>8813150</v>
      </c>
    </row>
    <row r="21205" spans="1:2" x14ac:dyDescent="0.4">
      <c r="A21205" s="4">
        <v>630000000</v>
      </c>
      <c r="B21205">
        <v>8821050</v>
      </c>
    </row>
    <row r="21206" spans="1:2" x14ac:dyDescent="0.4">
      <c r="A21206" s="4">
        <v>630000000</v>
      </c>
      <c r="B21206">
        <v>8830050</v>
      </c>
    </row>
    <row r="21207" spans="1:2" x14ac:dyDescent="0.4">
      <c r="A21207" s="4">
        <v>630000000</v>
      </c>
      <c r="B21207">
        <v>8831050</v>
      </c>
    </row>
    <row r="21208" spans="1:2" x14ac:dyDescent="0.4">
      <c r="A21208" s="4">
        <v>630000000</v>
      </c>
      <c r="B21208">
        <v>8831250</v>
      </c>
    </row>
    <row r="21209" spans="1:2" x14ac:dyDescent="0.4">
      <c r="A21209" s="4">
        <v>707000000</v>
      </c>
      <c r="B21209">
        <v>7000000</v>
      </c>
    </row>
    <row r="21210" spans="1:2" x14ac:dyDescent="0.4">
      <c r="A21210" s="4">
        <v>707000001</v>
      </c>
      <c r="B21210">
        <v>7000001</v>
      </c>
    </row>
    <row r="21211" spans="1:2" x14ac:dyDescent="0.4">
      <c r="A21211" s="4">
        <v>707000002</v>
      </c>
      <c r="B21211">
        <v>7000002</v>
      </c>
    </row>
    <row r="21212" spans="1:2" x14ac:dyDescent="0.4">
      <c r="A21212" s="4">
        <v>707000090</v>
      </c>
      <c r="B21212">
        <v>7000090</v>
      </c>
    </row>
    <row r="21213" spans="1:2" x14ac:dyDescent="0.4">
      <c r="A21213" s="4">
        <v>707000100</v>
      </c>
      <c r="B21213">
        <v>7000100</v>
      </c>
    </row>
    <row r="21214" spans="1:2" x14ac:dyDescent="0.4">
      <c r="A21214" s="4">
        <v>707000101</v>
      </c>
      <c r="B21214">
        <v>7000101</v>
      </c>
    </row>
    <row r="21215" spans="1:2" x14ac:dyDescent="0.4">
      <c r="A21215" s="4">
        <v>707000102</v>
      </c>
      <c r="B21215">
        <v>7000102</v>
      </c>
    </row>
    <row r="21216" spans="1:2" x14ac:dyDescent="0.4">
      <c r="A21216" s="4">
        <v>707000190</v>
      </c>
      <c r="B21216">
        <v>7000190</v>
      </c>
    </row>
    <row r="21217" spans="1:2" x14ac:dyDescent="0.4">
      <c r="A21217" s="4">
        <v>707000200</v>
      </c>
      <c r="B21217">
        <v>7000200</v>
      </c>
    </row>
    <row r="21218" spans="1:2" x14ac:dyDescent="0.4">
      <c r="A21218" s="4">
        <v>707000201</v>
      </c>
      <c r="B21218">
        <v>7000201</v>
      </c>
    </row>
    <row r="21219" spans="1:2" x14ac:dyDescent="0.4">
      <c r="A21219" s="4">
        <v>707000202</v>
      </c>
      <c r="B21219">
        <v>7000202</v>
      </c>
    </row>
    <row r="21220" spans="1:2" x14ac:dyDescent="0.4">
      <c r="A21220" s="4">
        <v>707000290</v>
      </c>
      <c r="B21220">
        <v>7000290</v>
      </c>
    </row>
    <row r="21221" spans="1:2" x14ac:dyDescent="0.4">
      <c r="A21221" s="4">
        <v>707000300</v>
      </c>
      <c r="B21221">
        <v>7000300</v>
      </c>
    </row>
    <row r="21222" spans="1:2" x14ac:dyDescent="0.4">
      <c r="A21222" s="4">
        <v>707000301</v>
      </c>
      <c r="B21222">
        <v>7000301</v>
      </c>
    </row>
    <row r="21223" spans="1:2" x14ac:dyDescent="0.4">
      <c r="A21223" s="4">
        <v>707000302</v>
      </c>
      <c r="B21223">
        <v>7000302</v>
      </c>
    </row>
    <row r="21224" spans="1:2" x14ac:dyDescent="0.4">
      <c r="A21224" s="4">
        <v>707000400</v>
      </c>
      <c r="B21224">
        <v>7000400</v>
      </c>
    </row>
    <row r="21225" spans="1:2" x14ac:dyDescent="0.4">
      <c r="A21225" s="4">
        <v>707000401</v>
      </c>
      <c r="B21225">
        <v>7000401</v>
      </c>
    </row>
    <row r="21226" spans="1:2" x14ac:dyDescent="0.4">
      <c r="A21226" s="4">
        <v>707000402</v>
      </c>
      <c r="B21226">
        <v>7000402</v>
      </c>
    </row>
    <row r="21227" spans="1:2" x14ac:dyDescent="0.4">
      <c r="A21227" s="4">
        <v>707000500</v>
      </c>
      <c r="B21227">
        <v>7000500</v>
      </c>
    </row>
    <row r="21228" spans="1:2" x14ac:dyDescent="0.4">
      <c r="A21228" s="4">
        <v>707000501</v>
      </c>
      <c r="B21228">
        <v>7000501</v>
      </c>
    </row>
    <row r="21229" spans="1:2" x14ac:dyDescent="0.4">
      <c r="A21229" s="4">
        <v>707000502</v>
      </c>
      <c r="B21229">
        <v>7000502</v>
      </c>
    </row>
    <row r="21230" spans="1:2" x14ac:dyDescent="0.4">
      <c r="A21230" s="4">
        <v>707000600</v>
      </c>
      <c r="B21230">
        <v>7000600</v>
      </c>
    </row>
    <row r="21231" spans="1:2" x14ac:dyDescent="0.4">
      <c r="A21231" s="4">
        <v>707000601</v>
      </c>
      <c r="B21231">
        <v>7000601</v>
      </c>
    </row>
    <row r="21232" spans="1:2" x14ac:dyDescent="0.4">
      <c r="A21232" s="4">
        <v>707000602</v>
      </c>
      <c r="B21232">
        <v>7000602</v>
      </c>
    </row>
    <row r="21233" spans="1:2" x14ac:dyDescent="0.4">
      <c r="A21233" s="4">
        <v>707000700</v>
      </c>
      <c r="B21233">
        <v>7000700</v>
      </c>
    </row>
    <row r="21234" spans="1:2" x14ac:dyDescent="0.4">
      <c r="A21234" s="4">
        <v>707000701</v>
      </c>
      <c r="B21234">
        <v>7000701</v>
      </c>
    </row>
    <row r="21235" spans="1:2" x14ac:dyDescent="0.4">
      <c r="A21235" s="4">
        <v>707000702</v>
      </c>
      <c r="B21235">
        <v>7000702</v>
      </c>
    </row>
    <row r="21236" spans="1:2" x14ac:dyDescent="0.4">
      <c r="A21236" s="4">
        <v>707000800</v>
      </c>
      <c r="B21236">
        <v>7000800</v>
      </c>
    </row>
    <row r="21237" spans="1:2" x14ac:dyDescent="0.4">
      <c r="A21237" s="4">
        <v>707000801</v>
      </c>
      <c r="B21237">
        <v>7000801</v>
      </c>
    </row>
    <row r="21238" spans="1:2" x14ac:dyDescent="0.4">
      <c r="A21238" s="4">
        <v>707000802</v>
      </c>
      <c r="B21238">
        <v>7000802</v>
      </c>
    </row>
    <row r="21239" spans="1:2" x14ac:dyDescent="0.4">
      <c r="A21239" s="4">
        <v>707000900</v>
      </c>
      <c r="B21239">
        <v>7000900</v>
      </c>
    </row>
    <row r="21240" spans="1:2" x14ac:dyDescent="0.4">
      <c r="A21240" s="4">
        <v>707000901</v>
      </c>
      <c r="B21240">
        <v>7000901</v>
      </c>
    </row>
    <row r="21241" spans="1:2" x14ac:dyDescent="0.4">
      <c r="A21241" s="4">
        <v>707000902</v>
      </c>
      <c r="B21241">
        <v>7000902</v>
      </c>
    </row>
    <row r="21242" spans="1:2" x14ac:dyDescent="0.4">
      <c r="A21242" s="4">
        <v>707001000</v>
      </c>
      <c r="B21242">
        <v>7001000</v>
      </c>
    </row>
    <row r="21243" spans="1:2" x14ac:dyDescent="0.4">
      <c r="A21243" s="4">
        <v>707001001</v>
      </c>
      <c r="B21243">
        <v>7001001</v>
      </c>
    </row>
    <row r="21244" spans="1:2" x14ac:dyDescent="0.4">
      <c r="A21244" s="4">
        <v>707001002</v>
      </c>
      <c r="B21244">
        <v>7001002</v>
      </c>
    </row>
    <row r="21245" spans="1:2" x14ac:dyDescent="0.4">
      <c r="A21245" s="4">
        <v>707001100</v>
      </c>
      <c r="B21245">
        <v>7001100</v>
      </c>
    </row>
    <row r="21246" spans="1:2" x14ac:dyDescent="0.4">
      <c r="A21246" s="4">
        <v>707001400</v>
      </c>
      <c r="B21246">
        <v>7001400</v>
      </c>
    </row>
    <row r="21247" spans="1:2" x14ac:dyDescent="0.4">
      <c r="A21247" s="4">
        <v>707001401</v>
      </c>
      <c r="B21247">
        <v>7001401</v>
      </c>
    </row>
    <row r="21248" spans="1:2" x14ac:dyDescent="0.4">
      <c r="A21248" s="4">
        <v>707001402</v>
      </c>
      <c r="B21248">
        <v>7001402</v>
      </c>
    </row>
    <row r="21249" spans="1:2" x14ac:dyDescent="0.4">
      <c r="A21249" s="4">
        <v>707001409</v>
      </c>
      <c r="B21249">
        <v>7001409</v>
      </c>
    </row>
    <row r="21250" spans="1:2" x14ac:dyDescent="0.4">
      <c r="A21250" s="4">
        <v>707001500</v>
      </c>
      <c r="B21250">
        <v>7001500</v>
      </c>
    </row>
    <row r="21251" spans="1:2" x14ac:dyDescent="0.4">
      <c r="A21251" s="4">
        <v>707001501</v>
      </c>
      <c r="B21251">
        <v>7001501</v>
      </c>
    </row>
    <row r="21252" spans="1:2" x14ac:dyDescent="0.4">
      <c r="A21252" s="4">
        <v>707001502</v>
      </c>
      <c r="B21252">
        <v>7001502</v>
      </c>
    </row>
    <row r="21253" spans="1:2" x14ac:dyDescent="0.4">
      <c r="A21253" s="4">
        <v>707001600</v>
      </c>
      <c r="B21253">
        <v>7001600</v>
      </c>
    </row>
    <row r="21254" spans="1:2" x14ac:dyDescent="0.4">
      <c r="A21254" s="4">
        <v>707001601</v>
      </c>
      <c r="B21254">
        <v>7001601</v>
      </c>
    </row>
    <row r="21255" spans="1:2" x14ac:dyDescent="0.4">
      <c r="A21255" s="4">
        <v>707001602</v>
      </c>
      <c r="B21255">
        <v>7001602</v>
      </c>
    </row>
    <row r="21256" spans="1:2" x14ac:dyDescent="0.4">
      <c r="A21256" s="4">
        <v>707001700</v>
      </c>
      <c r="B21256">
        <v>7001700</v>
      </c>
    </row>
    <row r="21257" spans="1:2" x14ac:dyDescent="0.4">
      <c r="A21257" s="4">
        <v>707001701</v>
      </c>
      <c r="B21257">
        <v>7001701</v>
      </c>
    </row>
    <row r="21258" spans="1:2" x14ac:dyDescent="0.4">
      <c r="A21258" s="4">
        <v>707001702</v>
      </c>
      <c r="B21258">
        <v>7001702</v>
      </c>
    </row>
    <row r="21259" spans="1:2" x14ac:dyDescent="0.4">
      <c r="A21259" s="4">
        <v>707001800</v>
      </c>
      <c r="B21259">
        <v>7001800</v>
      </c>
    </row>
    <row r="21260" spans="1:2" x14ac:dyDescent="0.4">
      <c r="A21260" s="4">
        <v>707001801</v>
      </c>
      <c r="B21260">
        <v>7001801</v>
      </c>
    </row>
    <row r="21261" spans="1:2" x14ac:dyDescent="0.4">
      <c r="A21261" s="4">
        <v>707001802</v>
      </c>
      <c r="B21261">
        <v>7001802</v>
      </c>
    </row>
    <row r="21262" spans="1:2" x14ac:dyDescent="0.4">
      <c r="A21262" s="4">
        <v>707002600</v>
      </c>
      <c r="B21262">
        <v>7002600</v>
      </c>
    </row>
    <row r="21263" spans="1:2" x14ac:dyDescent="0.4">
      <c r="A21263" s="4">
        <v>707002700</v>
      </c>
      <c r="B21263">
        <v>7002700</v>
      </c>
    </row>
    <row r="21264" spans="1:2" x14ac:dyDescent="0.4">
      <c r="A21264" s="4">
        <v>707002800</v>
      </c>
      <c r="B21264">
        <v>7002800</v>
      </c>
    </row>
    <row r="21265" spans="1:2" x14ac:dyDescent="0.4">
      <c r="A21265" s="4">
        <v>707002900</v>
      </c>
      <c r="B21265">
        <v>7002900</v>
      </c>
    </row>
    <row r="21266" spans="1:2" x14ac:dyDescent="0.4">
      <c r="A21266" s="4">
        <v>707003000</v>
      </c>
      <c r="B21266">
        <v>7003000</v>
      </c>
    </row>
    <row r="21267" spans="1:2" x14ac:dyDescent="0.4">
      <c r="A21267" s="4">
        <v>707003100</v>
      </c>
      <c r="B21267">
        <v>7003100</v>
      </c>
    </row>
    <row r="21268" spans="1:2" x14ac:dyDescent="0.4">
      <c r="A21268" s="4">
        <v>707003200</v>
      </c>
      <c r="B21268">
        <v>7003200</v>
      </c>
    </row>
    <row r="21269" spans="1:2" x14ac:dyDescent="0.4">
      <c r="A21269" s="4">
        <v>707003300</v>
      </c>
      <c r="B21269">
        <v>7003300</v>
      </c>
    </row>
    <row r="21270" spans="1:2" x14ac:dyDescent="0.4">
      <c r="A21270" s="4">
        <v>707003400</v>
      </c>
      <c r="B21270">
        <v>7003400</v>
      </c>
    </row>
    <row r="21271" spans="1:2" x14ac:dyDescent="0.4">
      <c r="A21271" s="4">
        <v>707003500</v>
      </c>
      <c r="B21271">
        <v>7003500</v>
      </c>
    </row>
    <row r="21272" spans="1:2" x14ac:dyDescent="0.4">
      <c r="A21272" s="4">
        <v>707003600</v>
      </c>
      <c r="B21272">
        <v>7003600</v>
      </c>
    </row>
    <row r="21273" spans="1:2" x14ac:dyDescent="0.4">
      <c r="A21273" s="4">
        <v>707005600</v>
      </c>
      <c r="B21273">
        <v>7005600</v>
      </c>
    </row>
    <row r="21274" spans="1:2" x14ac:dyDescent="0.4">
      <c r="A21274" s="4">
        <v>707006000</v>
      </c>
      <c r="B21274">
        <v>7006000</v>
      </c>
    </row>
    <row r="21275" spans="1:2" x14ac:dyDescent="0.4">
      <c r="A21275" s="4">
        <v>707006001</v>
      </c>
      <c r="B21275">
        <v>7006001</v>
      </c>
    </row>
    <row r="21276" spans="1:2" x14ac:dyDescent="0.4">
      <c r="A21276" s="4">
        <v>707006100</v>
      </c>
      <c r="B21276">
        <v>7006100</v>
      </c>
    </row>
    <row r="21277" spans="1:2" x14ac:dyDescent="0.4">
      <c r="A21277" s="4">
        <v>707006101</v>
      </c>
      <c r="B21277">
        <v>7006101</v>
      </c>
    </row>
    <row r="21278" spans="1:2" x14ac:dyDescent="0.4">
      <c r="A21278" s="4">
        <v>707006200</v>
      </c>
      <c r="B21278">
        <v>7006200</v>
      </c>
    </row>
    <row r="21279" spans="1:2" x14ac:dyDescent="0.4">
      <c r="A21279" s="4">
        <v>707006300</v>
      </c>
      <c r="B21279">
        <v>7006300</v>
      </c>
    </row>
    <row r="21280" spans="1:2" x14ac:dyDescent="0.4">
      <c r="A21280" s="4">
        <v>707006400</v>
      </c>
      <c r="B21280">
        <v>7006400</v>
      </c>
    </row>
    <row r="21281" spans="1:2" x14ac:dyDescent="0.4">
      <c r="A21281" s="4">
        <v>707006500</v>
      </c>
      <c r="B21281">
        <v>7006500</v>
      </c>
    </row>
    <row r="21282" spans="1:2" x14ac:dyDescent="0.4">
      <c r="A21282" s="4">
        <v>707006600</v>
      </c>
      <c r="B21282">
        <v>7006600</v>
      </c>
    </row>
    <row r="21283" spans="1:2" x14ac:dyDescent="0.4">
      <c r="A21283" s="4">
        <v>707006700</v>
      </c>
      <c r="B21283">
        <v>7006700</v>
      </c>
    </row>
    <row r="21284" spans="1:2" x14ac:dyDescent="0.4">
      <c r="A21284" s="4">
        <v>707010200</v>
      </c>
      <c r="B21284">
        <v>7010200</v>
      </c>
    </row>
    <row r="21285" spans="1:2" x14ac:dyDescent="0.4">
      <c r="A21285" s="4">
        <v>707010500</v>
      </c>
      <c r="B21285">
        <v>7010500</v>
      </c>
    </row>
    <row r="21286" spans="1:2" x14ac:dyDescent="0.4">
      <c r="A21286" s="4">
        <v>707010700</v>
      </c>
      <c r="B21286">
        <v>7010700</v>
      </c>
    </row>
    <row r="21287" spans="1:2" x14ac:dyDescent="0.4">
      <c r="A21287" s="4">
        <v>707010900</v>
      </c>
      <c r="B21287">
        <v>7010900</v>
      </c>
    </row>
    <row r="21288" spans="1:2" x14ac:dyDescent="0.4">
      <c r="A21288" s="4">
        <v>707011000</v>
      </c>
      <c r="B21288">
        <v>7011000</v>
      </c>
    </row>
    <row r="21289" spans="1:2" x14ac:dyDescent="0.4">
      <c r="A21289" s="4">
        <v>707011200</v>
      </c>
      <c r="B21289">
        <v>7011200</v>
      </c>
    </row>
    <row r="21290" spans="1:2" x14ac:dyDescent="0.4">
      <c r="A21290" s="4">
        <v>707011600</v>
      </c>
      <c r="B21290">
        <v>7011600</v>
      </c>
    </row>
    <row r="21291" spans="1:2" x14ac:dyDescent="0.4">
      <c r="A21291" s="4">
        <v>707011700</v>
      </c>
      <c r="B21291">
        <v>7011700</v>
      </c>
    </row>
    <row r="21292" spans="1:2" x14ac:dyDescent="0.4">
      <c r="A21292" s="4">
        <v>707012000</v>
      </c>
      <c r="B21292">
        <v>7012000</v>
      </c>
    </row>
    <row r="21293" spans="1:2" x14ac:dyDescent="0.4">
      <c r="A21293" s="4">
        <v>707012200</v>
      </c>
      <c r="B21293">
        <v>7012200</v>
      </c>
    </row>
    <row r="21294" spans="1:2" x14ac:dyDescent="0.4">
      <c r="A21294" s="4">
        <v>707012300</v>
      </c>
      <c r="B21294">
        <v>7012300</v>
      </c>
    </row>
    <row r="21295" spans="1:2" x14ac:dyDescent="0.4">
      <c r="A21295" s="4">
        <v>707020000</v>
      </c>
      <c r="B21295">
        <v>7020000</v>
      </c>
    </row>
    <row r="21296" spans="1:2" x14ac:dyDescent="0.4">
      <c r="A21296" s="4">
        <v>707030000</v>
      </c>
      <c r="B21296">
        <v>7030000</v>
      </c>
    </row>
    <row r="21297" spans="1:2" x14ac:dyDescent="0.4">
      <c r="A21297" s="4">
        <v>707030200</v>
      </c>
      <c r="B21297">
        <v>7030200</v>
      </c>
    </row>
    <row r="21298" spans="1:2" x14ac:dyDescent="0.4">
      <c r="A21298" s="4">
        <v>707030600</v>
      </c>
      <c r="B21298">
        <v>7030600</v>
      </c>
    </row>
    <row r="21299" spans="1:2" x14ac:dyDescent="0.4">
      <c r="A21299" s="4">
        <v>707030700</v>
      </c>
      <c r="B21299">
        <v>7030700</v>
      </c>
    </row>
    <row r="21300" spans="1:2" x14ac:dyDescent="0.4">
      <c r="A21300" s="4">
        <v>707030800</v>
      </c>
      <c r="B21300">
        <v>7030800</v>
      </c>
    </row>
    <row r="21301" spans="1:2" x14ac:dyDescent="0.4">
      <c r="A21301" s="4">
        <v>707030900</v>
      </c>
      <c r="B21301">
        <v>7030900</v>
      </c>
    </row>
    <row r="21302" spans="1:2" x14ac:dyDescent="0.4">
      <c r="A21302" s="4">
        <v>707031200</v>
      </c>
      <c r="B21302">
        <v>7031200</v>
      </c>
    </row>
    <row r="21303" spans="1:2" x14ac:dyDescent="0.4">
      <c r="A21303" s="4">
        <v>707031300</v>
      </c>
      <c r="B21303">
        <v>7031300</v>
      </c>
    </row>
    <row r="21304" spans="1:2" x14ac:dyDescent="0.4">
      <c r="A21304" s="4">
        <v>707031800</v>
      </c>
      <c r="B21304">
        <v>7031800</v>
      </c>
    </row>
    <row r="21305" spans="1:2" x14ac:dyDescent="0.4">
      <c r="A21305" s="4">
        <v>707031900</v>
      </c>
      <c r="B21305">
        <v>7031900</v>
      </c>
    </row>
    <row r="21306" spans="1:2" x14ac:dyDescent="0.4">
      <c r="A21306" s="4">
        <v>707032200</v>
      </c>
      <c r="B21306">
        <v>7032200</v>
      </c>
    </row>
    <row r="21307" spans="1:2" x14ac:dyDescent="0.4">
      <c r="A21307" s="4">
        <v>707032400</v>
      </c>
      <c r="B21307">
        <v>7032400</v>
      </c>
    </row>
    <row r="21308" spans="1:2" x14ac:dyDescent="0.4">
      <c r="A21308" s="4">
        <v>707032700</v>
      </c>
      <c r="B21308">
        <v>7032700</v>
      </c>
    </row>
    <row r="21309" spans="1:2" x14ac:dyDescent="0.4">
      <c r="A21309" s="4">
        <v>707032800</v>
      </c>
      <c r="B21309">
        <v>7032800</v>
      </c>
    </row>
    <row r="21310" spans="1:2" x14ac:dyDescent="0.4">
      <c r="A21310" s="4">
        <v>707032900</v>
      </c>
      <c r="B21310">
        <v>7032900</v>
      </c>
    </row>
    <row r="21311" spans="1:2" x14ac:dyDescent="0.4">
      <c r="A21311" s="4">
        <v>707033200</v>
      </c>
      <c r="B21311">
        <v>7033200</v>
      </c>
    </row>
    <row r="21312" spans="1:2" x14ac:dyDescent="0.4">
      <c r="A21312" s="4">
        <v>707033400</v>
      </c>
      <c r="B21312">
        <v>7033400</v>
      </c>
    </row>
    <row r="21313" spans="1:2" x14ac:dyDescent="0.4">
      <c r="A21313" s="4">
        <v>707034100</v>
      </c>
      <c r="B21313">
        <v>7034100</v>
      </c>
    </row>
    <row r="21314" spans="1:2" x14ac:dyDescent="0.4">
      <c r="A21314" s="4">
        <v>707034400</v>
      </c>
      <c r="B21314">
        <v>7034400</v>
      </c>
    </row>
    <row r="21315" spans="1:2" x14ac:dyDescent="0.4">
      <c r="A21315" s="4">
        <v>707034500</v>
      </c>
      <c r="B21315">
        <v>7034500</v>
      </c>
    </row>
    <row r="21316" spans="1:2" x14ac:dyDescent="0.4">
      <c r="A21316" s="4">
        <v>707034600</v>
      </c>
      <c r="B21316">
        <v>7034600</v>
      </c>
    </row>
    <row r="21317" spans="1:2" x14ac:dyDescent="0.4">
      <c r="A21317" s="4">
        <v>707034700</v>
      </c>
      <c r="B21317">
        <v>7034700</v>
      </c>
    </row>
    <row r="21318" spans="1:2" x14ac:dyDescent="0.4">
      <c r="A21318" s="4">
        <v>707035100</v>
      </c>
      <c r="B21318">
        <v>7035100</v>
      </c>
    </row>
    <row r="21319" spans="1:2" x14ac:dyDescent="0.4">
      <c r="A21319" s="4">
        <v>707035400</v>
      </c>
      <c r="B21319">
        <v>7035400</v>
      </c>
    </row>
    <row r="21320" spans="1:2" x14ac:dyDescent="0.4">
      <c r="A21320" s="4">
        <v>707035410</v>
      </c>
      <c r="B21320">
        <v>7035410</v>
      </c>
    </row>
    <row r="21321" spans="1:2" x14ac:dyDescent="0.4">
      <c r="A21321" s="4">
        <v>707035500</v>
      </c>
      <c r="B21321">
        <v>7035500</v>
      </c>
    </row>
    <row r="21322" spans="1:2" x14ac:dyDescent="0.4">
      <c r="A21322" s="4">
        <v>707035510</v>
      </c>
      <c r="B21322">
        <v>7035510</v>
      </c>
    </row>
    <row r="21323" spans="1:2" x14ac:dyDescent="0.4">
      <c r="A21323" s="4">
        <v>707035700</v>
      </c>
      <c r="B21323">
        <v>7035700</v>
      </c>
    </row>
    <row r="21324" spans="1:2" x14ac:dyDescent="0.4">
      <c r="A21324" s="4">
        <v>707035800</v>
      </c>
      <c r="B21324">
        <v>7035800</v>
      </c>
    </row>
    <row r="21325" spans="1:2" x14ac:dyDescent="0.4">
      <c r="A21325" s="4">
        <v>707035900</v>
      </c>
      <c r="B21325">
        <v>7035900</v>
      </c>
    </row>
    <row r="21326" spans="1:2" x14ac:dyDescent="0.4">
      <c r="A21326" s="4">
        <v>707036000</v>
      </c>
      <c r="B21326">
        <v>7036000</v>
      </c>
    </row>
    <row r="21327" spans="1:2" x14ac:dyDescent="0.4">
      <c r="A21327" s="4">
        <v>707036100</v>
      </c>
      <c r="B21327">
        <v>7036100</v>
      </c>
    </row>
    <row r="21328" spans="1:2" x14ac:dyDescent="0.4">
      <c r="A21328" s="4">
        <v>707036200</v>
      </c>
      <c r="B21328">
        <v>7036200</v>
      </c>
    </row>
    <row r="21329" spans="1:2" x14ac:dyDescent="0.4">
      <c r="A21329" s="4">
        <v>707036300</v>
      </c>
      <c r="B21329">
        <v>7036300</v>
      </c>
    </row>
    <row r="21330" spans="1:2" x14ac:dyDescent="0.4">
      <c r="A21330" s="4">
        <v>707036400</v>
      </c>
      <c r="B21330">
        <v>7036400</v>
      </c>
    </row>
    <row r="21331" spans="1:2" x14ac:dyDescent="0.4">
      <c r="A21331" s="4">
        <v>707036500</v>
      </c>
      <c r="B21331">
        <v>7036500</v>
      </c>
    </row>
    <row r="21332" spans="1:2" x14ac:dyDescent="0.4">
      <c r="A21332" s="4">
        <v>707036800</v>
      </c>
      <c r="B21332">
        <v>7036800</v>
      </c>
    </row>
    <row r="21333" spans="1:2" x14ac:dyDescent="0.4">
      <c r="A21333" s="4">
        <v>707036900</v>
      </c>
      <c r="B21333">
        <v>7036900</v>
      </c>
    </row>
    <row r="21334" spans="1:2" x14ac:dyDescent="0.4">
      <c r="A21334" s="4">
        <v>707037000</v>
      </c>
      <c r="B21334">
        <v>7037000</v>
      </c>
    </row>
    <row r="21335" spans="1:2" x14ac:dyDescent="0.4">
      <c r="A21335" s="4">
        <v>707037300</v>
      </c>
      <c r="B21335">
        <v>7037300</v>
      </c>
    </row>
    <row r="21336" spans="1:2" x14ac:dyDescent="0.4">
      <c r="A21336" s="4">
        <v>707037600</v>
      </c>
      <c r="B21336">
        <v>7037600</v>
      </c>
    </row>
    <row r="21337" spans="1:2" x14ac:dyDescent="0.4">
      <c r="A21337" s="4">
        <v>707037700</v>
      </c>
      <c r="B21337">
        <v>7037700</v>
      </c>
    </row>
    <row r="21338" spans="1:2" x14ac:dyDescent="0.4">
      <c r="A21338" s="4">
        <v>707037800</v>
      </c>
      <c r="B21338">
        <v>7037800</v>
      </c>
    </row>
    <row r="21339" spans="1:2" x14ac:dyDescent="0.4">
      <c r="A21339" s="4">
        <v>707040000</v>
      </c>
      <c r="B21339">
        <v>7040000</v>
      </c>
    </row>
    <row r="21340" spans="1:2" x14ac:dyDescent="0.4">
      <c r="A21340" s="4">
        <v>707040100</v>
      </c>
      <c r="B21340">
        <v>7040100</v>
      </c>
    </row>
    <row r="21341" spans="1:2" x14ac:dyDescent="0.4">
      <c r="A21341" s="4">
        <v>707040200</v>
      </c>
      <c r="B21341">
        <v>7040200</v>
      </c>
    </row>
    <row r="21342" spans="1:2" x14ac:dyDescent="0.4">
      <c r="A21342" s="4">
        <v>707040201</v>
      </c>
      <c r="B21342">
        <v>7040201</v>
      </c>
    </row>
    <row r="21343" spans="1:2" x14ac:dyDescent="0.4">
      <c r="A21343" s="4">
        <v>707040300</v>
      </c>
      <c r="B21343">
        <v>7040300</v>
      </c>
    </row>
    <row r="21344" spans="1:2" x14ac:dyDescent="0.4">
      <c r="A21344" s="4">
        <v>707040400</v>
      </c>
      <c r="B21344">
        <v>7040400</v>
      </c>
    </row>
    <row r="21345" spans="1:2" x14ac:dyDescent="0.4">
      <c r="A21345" s="4">
        <v>707040500</v>
      </c>
      <c r="B21345">
        <v>7040500</v>
      </c>
    </row>
    <row r="21346" spans="1:2" x14ac:dyDescent="0.4">
      <c r="A21346" s="4">
        <v>707043000</v>
      </c>
      <c r="B21346">
        <v>7043000</v>
      </c>
    </row>
    <row r="21347" spans="1:2" x14ac:dyDescent="0.4">
      <c r="A21347" s="4">
        <v>707043100</v>
      </c>
      <c r="B21347">
        <v>7043100</v>
      </c>
    </row>
    <row r="21348" spans="1:2" x14ac:dyDescent="0.4">
      <c r="A21348" s="4">
        <v>707043200</v>
      </c>
      <c r="B21348">
        <v>7043200</v>
      </c>
    </row>
    <row r="21349" spans="1:2" x14ac:dyDescent="0.4">
      <c r="A21349" s="4">
        <v>707043300</v>
      </c>
      <c r="B21349">
        <v>7043300</v>
      </c>
    </row>
    <row r="21350" spans="1:2" x14ac:dyDescent="0.4">
      <c r="A21350" s="4">
        <v>707043400</v>
      </c>
      <c r="B21350">
        <v>7043400</v>
      </c>
    </row>
    <row r="21351" spans="1:2" x14ac:dyDescent="0.4">
      <c r="A21351" s="4">
        <v>707043500</v>
      </c>
      <c r="B21351">
        <v>7043500</v>
      </c>
    </row>
    <row r="21352" spans="1:2" x14ac:dyDescent="0.4">
      <c r="A21352" s="4">
        <v>707043600</v>
      </c>
      <c r="B21352">
        <v>7043600</v>
      </c>
    </row>
    <row r="21353" spans="1:2" x14ac:dyDescent="0.4">
      <c r="A21353" s="4">
        <v>707043700</v>
      </c>
      <c r="B21353">
        <v>7043700</v>
      </c>
    </row>
    <row r="21354" spans="1:2" x14ac:dyDescent="0.4">
      <c r="A21354" s="4">
        <v>707043800</v>
      </c>
      <c r="B21354">
        <v>7043800</v>
      </c>
    </row>
    <row r="21355" spans="1:2" x14ac:dyDescent="0.4">
      <c r="A21355" s="4">
        <v>707044000</v>
      </c>
      <c r="B21355">
        <v>7044000</v>
      </c>
    </row>
    <row r="21356" spans="1:2" x14ac:dyDescent="0.4">
      <c r="A21356" s="4">
        <v>707044100</v>
      </c>
      <c r="B21356">
        <v>7044100</v>
      </c>
    </row>
    <row r="21357" spans="1:2" x14ac:dyDescent="0.4">
      <c r="A21357" s="4">
        <v>707044200</v>
      </c>
      <c r="B21357">
        <v>7044200</v>
      </c>
    </row>
    <row r="21358" spans="1:2" x14ac:dyDescent="0.4">
      <c r="A21358" s="4">
        <v>707044300</v>
      </c>
      <c r="B21358">
        <v>7044300</v>
      </c>
    </row>
    <row r="21359" spans="1:2" x14ac:dyDescent="0.4">
      <c r="A21359" s="4">
        <v>707044400</v>
      </c>
      <c r="B21359">
        <v>7044400</v>
      </c>
    </row>
    <row r="21360" spans="1:2" x14ac:dyDescent="0.4">
      <c r="A21360" s="4">
        <v>707044500</v>
      </c>
      <c r="B21360">
        <v>7044500</v>
      </c>
    </row>
    <row r="21361" spans="1:2" x14ac:dyDescent="0.4">
      <c r="A21361" s="4">
        <v>707044600</v>
      </c>
      <c r="B21361">
        <v>7044600</v>
      </c>
    </row>
    <row r="21362" spans="1:2" x14ac:dyDescent="0.4">
      <c r="A21362" s="4">
        <v>707050000</v>
      </c>
      <c r="B21362">
        <v>7050000</v>
      </c>
    </row>
    <row r="21363" spans="1:2" x14ac:dyDescent="0.4">
      <c r="A21363" s="4">
        <v>707050100</v>
      </c>
      <c r="B21363">
        <v>7050100</v>
      </c>
    </row>
    <row r="21364" spans="1:2" x14ac:dyDescent="0.4">
      <c r="A21364" s="4">
        <v>707060000</v>
      </c>
      <c r="B21364">
        <v>7060000</v>
      </c>
    </row>
    <row r="21365" spans="1:2" x14ac:dyDescent="0.4">
      <c r="A21365" s="4">
        <v>707060100</v>
      </c>
      <c r="B21365">
        <v>7060100</v>
      </c>
    </row>
    <row r="21366" spans="1:2" x14ac:dyDescent="0.4">
      <c r="A21366" s="4">
        <v>707060200</v>
      </c>
      <c r="B21366">
        <v>7060200</v>
      </c>
    </row>
    <row r="21367" spans="1:2" x14ac:dyDescent="0.4">
      <c r="A21367" s="4">
        <v>707070000</v>
      </c>
      <c r="B21367">
        <v>7070000</v>
      </c>
    </row>
    <row r="21368" spans="1:2" x14ac:dyDescent="0.4">
      <c r="A21368" s="4">
        <v>707080000</v>
      </c>
      <c r="B21368">
        <v>7080000</v>
      </c>
    </row>
    <row r="21369" spans="1:2" x14ac:dyDescent="0.4">
      <c r="A21369" s="4">
        <v>707080100</v>
      </c>
      <c r="B21369">
        <v>7080100</v>
      </c>
    </row>
    <row r="21370" spans="1:2" x14ac:dyDescent="0.4">
      <c r="A21370" s="4">
        <v>707080200</v>
      </c>
      <c r="B21370">
        <v>7080200</v>
      </c>
    </row>
    <row r="21371" spans="1:2" x14ac:dyDescent="0.4">
      <c r="A21371" s="4">
        <v>707080300</v>
      </c>
      <c r="B21371">
        <v>7080300</v>
      </c>
    </row>
    <row r="21372" spans="1:2" x14ac:dyDescent="0.4">
      <c r="A21372" s="4">
        <v>707080400</v>
      </c>
      <c r="B21372">
        <v>7080400</v>
      </c>
    </row>
    <row r="21373" spans="1:2" x14ac:dyDescent="0.4">
      <c r="A21373" s="4">
        <v>707080500</v>
      </c>
      <c r="B21373">
        <v>7080500</v>
      </c>
    </row>
    <row r="21374" spans="1:2" x14ac:dyDescent="0.4">
      <c r="A21374" s="4">
        <v>707080600</v>
      </c>
      <c r="B21374">
        <v>7080600</v>
      </c>
    </row>
    <row r="21375" spans="1:2" x14ac:dyDescent="0.4">
      <c r="A21375" s="4">
        <v>707080700</v>
      </c>
      <c r="B21375">
        <v>7080700</v>
      </c>
    </row>
    <row r="21376" spans="1:2" x14ac:dyDescent="0.4">
      <c r="A21376" s="4">
        <v>707080800</v>
      </c>
      <c r="B21376">
        <v>7080800</v>
      </c>
    </row>
    <row r="21377" spans="1:2" x14ac:dyDescent="0.4">
      <c r="A21377" s="4">
        <v>707080900</v>
      </c>
      <c r="B21377">
        <v>7080900</v>
      </c>
    </row>
    <row r="21378" spans="1:2" x14ac:dyDescent="0.4">
      <c r="A21378" s="4">
        <v>707081000</v>
      </c>
      <c r="B21378">
        <v>7081000</v>
      </c>
    </row>
    <row r="21379" spans="1:2" x14ac:dyDescent="0.4">
      <c r="A21379" s="4">
        <v>707081100</v>
      </c>
      <c r="B21379">
        <v>7081100</v>
      </c>
    </row>
    <row r="21380" spans="1:2" x14ac:dyDescent="0.4">
      <c r="A21380" s="4">
        <v>707081200</v>
      </c>
      <c r="B21380">
        <v>7081200</v>
      </c>
    </row>
    <row r="21381" spans="1:2" x14ac:dyDescent="0.4">
      <c r="A21381" s="4">
        <v>707081300</v>
      </c>
      <c r="B21381">
        <v>7081300</v>
      </c>
    </row>
    <row r="21382" spans="1:2" x14ac:dyDescent="0.4">
      <c r="A21382" s="4">
        <v>707081400</v>
      </c>
      <c r="B21382">
        <v>7081400</v>
      </c>
    </row>
    <row r="21383" spans="1:2" x14ac:dyDescent="0.4">
      <c r="A21383" s="4">
        <v>707081500</v>
      </c>
      <c r="B21383">
        <v>7081500</v>
      </c>
    </row>
    <row r="21384" spans="1:2" x14ac:dyDescent="0.4">
      <c r="A21384" s="4">
        <v>707081700</v>
      </c>
      <c r="B21384">
        <v>7081700</v>
      </c>
    </row>
    <row r="21385" spans="1:2" x14ac:dyDescent="0.4">
      <c r="A21385" s="4">
        <v>707081800</v>
      </c>
      <c r="B21385">
        <v>7081800</v>
      </c>
    </row>
    <row r="21386" spans="1:2" x14ac:dyDescent="0.4">
      <c r="A21386" s="4">
        <v>707081900</v>
      </c>
      <c r="B21386">
        <v>7081900</v>
      </c>
    </row>
    <row r="21387" spans="1:2" x14ac:dyDescent="0.4">
      <c r="A21387" s="4">
        <v>707082000</v>
      </c>
      <c r="B21387">
        <v>7082000</v>
      </c>
    </row>
    <row r="21388" spans="1:2" x14ac:dyDescent="0.4">
      <c r="A21388" s="4">
        <v>707082100</v>
      </c>
      <c r="B21388">
        <v>7082100</v>
      </c>
    </row>
    <row r="21389" spans="1:2" x14ac:dyDescent="0.4">
      <c r="A21389" s="4">
        <v>707082200</v>
      </c>
      <c r="B21389">
        <v>7082200</v>
      </c>
    </row>
    <row r="21390" spans="1:2" x14ac:dyDescent="0.4">
      <c r="A21390" s="4">
        <v>707082300</v>
      </c>
      <c r="B21390">
        <v>7082300</v>
      </c>
    </row>
    <row r="21391" spans="1:2" x14ac:dyDescent="0.4">
      <c r="A21391" s="4">
        <v>707082400</v>
      </c>
      <c r="B21391">
        <v>7082400</v>
      </c>
    </row>
    <row r="21392" spans="1:2" x14ac:dyDescent="0.4">
      <c r="A21392" s="4">
        <v>707082500</v>
      </c>
      <c r="B21392">
        <v>7082500</v>
      </c>
    </row>
    <row r="21393" spans="1:2" x14ac:dyDescent="0.4">
      <c r="A21393" s="4">
        <v>707082600</v>
      </c>
      <c r="B21393">
        <v>7082600</v>
      </c>
    </row>
    <row r="21394" spans="1:2" x14ac:dyDescent="0.4">
      <c r="A21394" s="4">
        <v>707082700</v>
      </c>
      <c r="B21394">
        <v>7082700</v>
      </c>
    </row>
    <row r="21395" spans="1:2" x14ac:dyDescent="0.4">
      <c r="A21395" s="4">
        <v>707082800</v>
      </c>
      <c r="B21395">
        <v>7082800</v>
      </c>
    </row>
    <row r="21396" spans="1:2" x14ac:dyDescent="0.4">
      <c r="A21396" s="4">
        <v>707082900</v>
      </c>
      <c r="B21396">
        <v>7082900</v>
      </c>
    </row>
    <row r="21397" spans="1:2" x14ac:dyDescent="0.4">
      <c r="A21397" s="4">
        <v>707090000</v>
      </c>
      <c r="B21397">
        <v>7090000</v>
      </c>
    </row>
    <row r="21398" spans="1:2" x14ac:dyDescent="0.4">
      <c r="A21398" s="4">
        <v>707090100</v>
      </c>
      <c r="B21398">
        <v>7090100</v>
      </c>
    </row>
    <row r="21399" spans="1:2" x14ac:dyDescent="0.4">
      <c r="A21399" s="4">
        <v>707090300</v>
      </c>
      <c r="B21399">
        <v>7090300</v>
      </c>
    </row>
    <row r="21400" spans="1:2" x14ac:dyDescent="0.4">
      <c r="A21400" s="4">
        <v>707100100</v>
      </c>
      <c r="B21400">
        <v>7100100</v>
      </c>
    </row>
    <row r="21401" spans="1:2" x14ac:dyDescent="0.4">
      <c r="A21401" s="4">
        <v>707100110</v>
      </c>
      <c r="B21401">
        <v>7100110</v>
      </c>
    </row>
    <row r="21402" spans="1:2" x14ac:dyDescent="0.4">
      <c r="A21402" s="4">
        <v>707110000</v>
      </c>
      <c r="B21402">
        <v>7110000</v>
      </c>
    </row>
    <row r="21403" spans="1:2" x14ac:dyDescent="0.4">
      <c r="A21403" s="4">
        <v>707120000</v>
      </c>
      <c r="B21403">
        <v>7120000</v>
      </c>
    </row>
    <row r="21404" spans="1:2" x14ac:dyDescent="0.4">
      <c r="A21404" s="4">
        <v>707120100</v>
      </c>
      <c r="B21404">
        <v>7120100</v>
      </c>
    </row>
    <row r="21405" spans="1:2" x14ac:dyDescent="0.4">
      <c r="A21405" s="4">
        <v>707120200</v>
      </c>
      <c r="B21405">
        <v>7120200</v>
      </c>
    </row>
    <row r="21406" spans="1:2" x14ac:dyDescent="0.4">
      <c r="A21406" s="4">
        <v>707120300</v>
      </c>
      <c r="B21406">
        <v>7120300</v>
      </c>
    </row>
    <row r="21407" spans="1:2" x14ac:dyDescent="0.4">
      <c r="A21407" s="4">
        <v>707120400</v>
      </c>
      <c r="B21407">
        <v>7120400</v>
      </c>
    </row>
    <row r="21408" spans="1:2" x14ac:dyDescent="0.4">
      <c r="A21408" s="4">
        <v>707120500</v>
      </c>
      <c r="B21408">
        <v>7120500</v>
      </c>
    </row>
    <row r="21409" spans="1:2" x14ac:dyDescent="0.4">
      <c r="A21409" s="4">
        <v>707120600</v>
      </c>
      <c r="B21409">
        <v>7120600</v>
      </c>
    </row>
    <row r="21410" spans="1:2" x14ac:dyDescent="0.4">
      <c r="A21410" s="4">
        <v>707120900</v>
      </c>
      <c r="B21410">
        <v>7120900</v>
      </c>
    </row>
    <row r="21411" spans="1:2" x14ac:dyDescent="0.4">
      <c r="A21411" s="4">
        <v>707121000</v>
      </c>
      <c r="B21411">
        <v>7121000</v>
      </c>
    </row>
    <row r="21412" spans="1:2" x14ac:dyDescent="0.4">
      <c r="A21412" s="4">
        <v>707121001</v>
      </c>
      <c r="B21412">
        <v>7121001</v>
      </c>
    </row>
    <row r="21413" spans="1:2" x14ac:dyDescent="0.4">
      <c r="A21413" s="4">
        <v>707121100</v>
      </c>
      <c r="B21413">
        <v>7121100</v>
      </c>
    </row>
    <row r="21414" spans="1:2" x14ac:dyDescent="0.4">
      <c r="A21414" s="4">
        <v>707121200</v>
      </c>
      <c r="B21414">
        <v>7121200</v>
      </c>
    </row>
    <row r="21415" spans="1:2" x14ac:dyDescent="0.4">
      <c r="A21415" s="4">
        <v>707121300</v>
      </c>
      <c r="B21415">
        <v>7121300</v>
      </c>
    </row>
    <row r="21416" spans="1:2" x14ac:dyDescent="0.4">
      <c r="A21416" s="4">
        <v>707121400</v>
      </c>
      <c r="B21416">
        <v>7121400</v>
      </c>
    </row>
    <row r="21417" spans="1:2" x14ac:dyDescent="0.4">
      <c r="A21417" s="4">
        <v>707121500</v>
      </c>
      <c r="B21417">
        <v>7121500</v>
      </c>
    </row>
    <row r="21418" spans="1:2" x14ac:dyDescent="0.4">
      <c r="A21418" s="4">
        <v>707121600</v>
      </c>
      <c r="B21418">
        <v>7121600</v>
      </c>
    </row>
    <row r="21419" spans="1:2" x14ac:dyDescent="0.4">
      <c r="A21419" s="4">
        <v>707121700</v>
      </c>
      <c r="B21419">
        <v>7121700</v>
      </c>
    </row>
    <row r="21420" spans="1:2" x14ac:dyDescent="0.4">
      <c r="A21420" s="4">
        <v>707121800</v>
      </c>
      <c r="B21420">
        <v>7121800</v>
      </c>
    </row>
    <row r="21421" spans="1:2" x14ac:dyDescent="0.4">
      <c r="A21421" s="4">
        <v>707121900</v>
      </c>
      <c r="B21421">
        <v>7121900</v>
      </c>
    </row>
    <row r="21422" spans="1:2" x14ac:dyDescent="0.4">
      <c r="A21422" s="4">
        <v>707122000</v>
      </c>
      <c r="B21422">
        <v>7122000</v>
      </c>
    </row>
    <row r="21423" spans="1:2" x14ac:dyDescent="0.4">
      <c r="A21423" s="4">
        <v>707122100</v>
      </c>
      <c r="B21423">
        <v>7122100</v>
      </c>
    </row>
    <row r="21424" spans="1:2" x14ac:dyDescent="0.4">
      <c r="A21424" s="4">
        <v>707122200</v>
      </c>
      <c r="B21424">
        <v>7122200</v>
      </c>
    </row>
    <row r="21425" spans="1:2" x14ac:dyDescent="0.4">
      <c r="A21425" s="4">
        <v>707122300</v>
      </c>
      <c r="B21425">
        <v>7122300</v>
      </c>
    </row>
    <row r="21426" spans="1:2" x14ac:dyDescent="0.4">
      <c r="A21426" s="4">
        <v>707122400</v>
      </c>
      <c r="B21426">
        <v>7122400</v>
      </c>
    </row>
    <row r="21427" spans="1:2" x14ac:dyDescent="0.4">
      <c r="A21427" s="4">
        <v>707122500</v>
      </c>
      <c r="B21427">
        <v>7122500</v>
      </c>
    </row>
    <row r="21428" spans="1:2" x14ac:dyDescent="0.4">
      <c r="A21428" s="4">
        <v>707122600</v>
      </c>
      <c r="B21428">
        <v>7122600</v>
      </c>
    </row>
    <row r="21429" spans="1:2" x14ac:dyDescent="0.4">
      <c r="A21429" s="4">
        <v>707122700</v>
      </c>
      <c r="B21429">
        <v>7122700</v>
      </c>
    </row>
    <row r="21430" spans="1:2" x14ac:dyDescent="0.4">
      <c r="A21430" s="4">
        <v>707122800</v>
      </c>
      <c r="B21430">
        <v>7122800</v>
      </c>
    </row>
    <row r="21431" spans="1:2" x14ac:dyDescent="0.4">
      <c r="A21431" s="4">
        <v>707122900</v>
      </c>
      <c r="B21431">
        <v>7122900</v>
      </c>
    </row>
    <row r="21432" spans="1:2" x14ac:dyDescent="0.4">
      <c r="A21432" s="4">
        <v>707123000</v>
      </c>
      <c r="B21432">
        <v>7123000</v>
      </c>
    </row>
    <row r="21433" spans="1:2" x14ac:dyDescent="0.4">
      <c r="A21433" s="4">
        <v>707123100</v>
      </c>
      <c r="B21433">
        <v>7123100</v>
      </c>
    </row>
    <row r="21434" spans="1:2" x14ac:dyDescent="0.4">
      <c r="A21434" s="4">
        <v>707123200</v>
      </c>
      <c r="B21434">
        <v>7123200</v>
      </c>
    </row>
    <row r="21435" spans="1:2" x14ac:dyDescent="0.4">
      <c r="A21435" s="4">
        <v>707123300</v>
      </c>
      <c r="B21435">
        <v>7123300</v>
      </c>
    </row>
    <row r="21436" spans="1:2" x14ac:dyDescent="0.4">
      <c r="A21436" s="4">
        <v>707123400</v>
      </c>
      <c r="B21436">
        <v>7123400</v>
      </c>
    </row>
    <row r="21437" spans="1:2" x14ac:dyDescent="0.4">
      <c r="A21437" s="4">
        <v>707123500</v>
      </c>
      <c r="B21437">
        <v>7123500</v>
      </c>
    </row>
    <row r="21438" spans="1:2" x14ac:dyDescent="0.4">
      <c r="A21438" s="4">
        <v>707123600</v>
      </c>
      <c r="B21438">
        <v>7123600</v>
      </c>
    </row>
    <row r="21439" spans="1:2" x14ac:dyDescent="0.4">
      <c r="A21439" s="4">
        <v>707123700</v>
      </c>
      <c r="B21439">
        <v>7123700</v>
      </c>
    </row>
    <row r="21440" spans="1:2" x14ac:dyDescent="0.4">
      <c r="A21440" s="4">
        <v>707123800</v>
      </c>
      <c r="B21440">
        <v>7123800</v>
      </c>
    </row>
    <row r="21441" spans="1:2" x14ac:dyDescent="0.4">
      <c r="A21441" s="4">
        <v>707123900</v>
      </c>
      <c r="B21441">
        <v>7123900</v>
      </c>
    </row>
    <row r="21442" spans="1:2" x14ac:dyDescent="0.4">
      <c r="A21442" s="4">
        <v>707124000</v>
      </c>
      <c r="B21442">
        <v>7124000</v>
      </c>
    </row>
    <row r="21443" spans="1:2" x14ac:dyDescent="0.4">
      <c r="A21443" s="4">
        <v>707124100</v>
      </c>
      <c r="B21443">
        <v>7124100</v>
      </c>
    </row>
    <row r="21444" spans="1:2" x14ac:dyDescent="0.4">
      <c r="A21444" s="4">
        <v>707124300</v>
      </c>
      <c r="B21444">
        <v>7124300</v>
      </c>
    </row>
    <row r="21445" spans="1:2" x14ac:dyDescent="0.4">
      <c r="A21445" s="4">
        <v>707124400</v>
      </c>
      <c r="B21445">
        <v>7124400</v>
      </c>
    </row>
    <row r="21446" spans="1:2" x14ac:dyDescent="0.4">
      <c r="A21446" s="4">
        <v>707124500</v>
      </c>
      <c r="B21446">
        <v>7124500</v>
      </c>
    </row>
    <row r="21447" spans="1:2" x14ac:dyDescent="0.4">
      <c r="A21447" s="4">
        <v>707124600</v>
      </c>
      <c r="B21447">
        <v>7124600</v>
      </c>
    </row>
    <row r="21448" spans="1:2" x14ac:dyDescent="0.4">
      <c r="A21448" s="4">
        <v>707124700</v>
      </c>
      <c r="B21448">
        <v>7124700</v>
      </c>
    </row>
    <row r="21449" spans="1:2" x14ac:dyDescent="0.4">
      <c r="A21449" s="4">
        <v>707126000</v>
      </c>
      <c r="B21449">
        <v>7126000</v>
      </c>
    </row>
    <row r="21450" spans="1:2" x14ac:dyDescent="0.4">
      <c r="A21450" s="4">
        <v>707126001</v>
      </c>
      <c r="B21450">
        <v>7126001</v>
      </c>
    </row>
    <row r="21451" spans="1:2" x14ac:dyDescent="0.4">
      <c r="A21451" s="4">
        <v>707126002</v>
      </c>
      <c r="B21451">
        <v>7126002</v>
      </c>
    </row>
    <row r="21452" spans="1:2" x14ac:dyDescent="0.4">
      <c r="A21452" s="4">
        <v>707150000</v>
      </c>
      <c r="B21452">
        <v>7150000</v>
      </c>
    </row>
    <row r="21453" spans="1:2" x14ac:dyDescent="0.4">
      <c r="A21453" s="4">
        <v>707160000</v>
      </c>
      <c r="B21453">
        <v>7160000</v>
      </c>
    </row>
    <row r="21454" spans="1:2" x14ac:dyDescent="0.4">
      <c r="A21454" s="4">
        <v>707170100</v>
      </c>
      <c r="B21454">
        <v>7170100</v>
      </c>
    </row>
    <row r="21455" spans="1:2" x14ac:dyDescent="0.4">
      <c r="A21455" s="4">
        <v>707220000</v>
      </c>
      <c r="B21455">
        <v>7220000</v>
      </c>
    </row>
    <row r="21456" spans="1:2" x14ac:dyDescent="0.4">
      <c r="A21456" s="4">
        <v>707220100</v>
      </c>
      <c r="B21456">
        <v>7220100</v>
      </c>
    </row>
    <row r="21457" spans="1:2" x14ac:dyDescent="0.4">
      <c r="A21457" s="4">
        <v>707230000</v>
      </c>
      <c r="B21457">
        <v>7230000</v>
      </c>
    </row>
    <row r="21458" spans="1:2" x14ac:dyDescent="0.4">
      <c r="A21458" s="4">
        <v>707230001</v>
      </c>
      <c r="B21458">
        <v>7230001</v>
      </c>
    </row>
    <row r="21459" spans="1:2" x14ac:dyDescent="0.4">
      <c r="A21459" s="4">
        <v>707240000</v>
      </c>
      <c r="B21459">
        <v>7240000</v>
      </c>
    </row>
    <row r="21460" spans="1:2" x14ac:dyDescent="0.4">
      <c r="A21460" s="4">
        <v>707260000</v>
      </c>
      <c r="B21460">
        <v>7260000</v>
      </c>
    </row>
    <row r="21461" spans="1:2" x14ac:dyDescent="0.4">
      <c r="A21461" s="4">
        <v>707260300</v>
      </c>
      <c r="B21461">
        <v>7260300</v>
      </c>
    </row>
    <row r="21462" spans="1:2" x14ac:dyDescent="0.4">
      <c r="A21462" s="4">
        <v>707260400</v>
      </c>
      <c r="B21462">
        <v>7260400</v>
      </c>
    </row>
    <row r="21463" spans="1:2" x14ac:dyDescent="0.4">
      <c r="A21463" s="4">
        <v>707260700</v>
      </c>
      <c r="B21463">
        <v>7260700</v>
      </c>
    </row>
    <row r="21464" spans="1:2" x14ac:dyDescent="0.4">
      <c r="A21464" s="4">
        <v>707260800</v>
      </c>
      <c r="B21464">
        <v>7260800</v>
      </c>
    </row>
    <row r="21465" spans="1:2" x14ac:dyDescent="0.4">
      <c r="A21465" s="4">
        <v>707260900</v>
      </c>
      <c r="B21465">
        <v>7260900</v>
      </c>
    </row>
    <row r="21466" spans="1:2" x14ac:dyDescent="0.4">
      <c r="A21466" s="4">
        <v>707270100</v>
      </c>
      <c r="B21466">
        <v>7270100</v>
      </c>
    </row>
    <row r="21467" spans="1:2" x14ac:dyDescent="0.4">
      <c r="A21467" s="4">
        <v>707280000</v>
      </c>
      <c r="B21467">
        <v>7280000</v>
      </c>
    </row>
    <row r="21468" spans="1:2" x14ac:dyDescent="0.4">
      <c r="A21468" s="4">
        <v>707290000</v>
      </c>
      <c r="B21468">
        <v>7290000</v>
      </c>
    </row>
    <row r="21469" spans="1:2" x14ac:dyDescent="0.4">
      <c r="A21469" s="4">
        <v>707310000</v>
      </c>
      <c r="B21469">
        <v>7310000</v>
      </c>
    </row>
    <row r="21470" spans="1:2" x14ac:dyDescent="0.4">
      <c r="A21470" s="4">
        <v>707320000</v>
      </c>
      <c r="B21470">
        <v>7320000</v>
      </c>
    </row>
    <row r="21471" spans="1:2" x14ac:dyDescent="0.4">
      <c r="A21471" s="4">
        <v>707330000</v>
      </c>
      <c r="B21471">
        <v>7330000</v>
      </c>
    </row>
    <row r="21472" spans="1:2" x14ac:dyDescent="0.4">
      <c r="A21472" s="4">
        <v>707330100</v>
      </c>
      <c r="B21472">
        <v>7330100</v>
      </c>
    </row>
    <row r="21473" spans="1:2" x14ac:dyDescent="0.4">
      <c r="A21473" s="4">
        <v>707330200</v>
      </c>
      <c r="B21473">
        <v>7330200</v>
      </c>
    </row>
    <row r="21474" spans="1:2" x14ac:dyDescent="0.4">
      <c r="A21474" s="4">
        <v>707330300</v>
      </c>
      <c r="B21474">
        <v>7330300</v>
      </c>
    </row>
    <row r="21475" spans="1:2" x14ac:dyDescent="0.4">
      <c r="A21475" s="4">
        <v>707330400</v>
      </c>
      <c r="B21475">
        <v>7330400</v>
      </c>
    </row>
    <row r="21476" spans="1:2" x14ac:dyDescent="0.4">
      <c r="A21476" s="4">
        <v>707330500</v>
      </c>
      <c r="B21476">
        <v>7330500</v>
      </c>
    </row>
    <row r="21477" spans="1:2" x14ac:dyDescent="0.4">
      <c r="A21477" s="4">
        <v>707330600</v>
      </c>
      <c r="B21477">
        <v>7330600</v>
      </c>
    </row>
    <row r="21478" spans="1:2" x14ac:dyDescent="0.4">
      <c r="A21478" s="4">
        <v>707330700</v>
      </c>
      <c r="B21478">
        <v>7330700</v>
      </c>
    </row>
    <row r="21479" spans="1:2" x14ac:dyDescent="0.4">
      <c r="A21479" s="4">
        <v>707330800</v>
      </c>
      <c r="B21479">
        <v>7330800</v>
      </c>
    </row>
    <row r="21480" spans="1:2" x14ac:dyDescent="0.4">
      <c r="A21480" s="4">
        <v>707330900</v>
      </c>
      <c r="B21480">
        <v>7330900</v>
      </c>
    </row>
    <row r="21481" spans="1:2" x14ac:dyDescent="0.4">
      <c r="A21481" s="4">
        <v>707331000</v>
      </c>
      <c r="B21481">
        <v>7331000</v>
      </c>
    </row>
    <row r="21482" spans="1:2" x14ac:dyDescent="0.4">
      <c r="A21482" s="4">
        <v>707331100</v>
      </c>
      <c r="B21482">
        <v>7331100</v>
      </c>
    </row>
    <row r="21483" spans="1:2" x14ac:dyDescent="0.4">
      <c r="A21483" s="4">
        <v>707331200</v>
      </c>
      <c r="B21483">
        <v>7331200</v>
      </c>
    </row>
    <row r="21484" spans="1:2" x14ac:dyDescent="0.4">
      <c r="A21484" s="4">
        <v>707331300</v>
      </c>
      <c r="B21484">
        <v>7331300</v>
      </c>
    </row>
    <row r="21485" spans="1:2" x14ac:dyDescent="0.4">
      <c r="A21485" s="4">
        <v>707331400</v>
      </c>
      <c r="B21485">
        <v>7331400</v>
      </c>
    </row>
    <row r="21486" spans="1:2" x14ac:dyDescent="0.4">
      <c r="A21486" s="4">
        <v>707331500</v>
      </c>
      <c r="B21486">
        <v>7331500</v>
      </c>
    </row>
    <row r="21487" spans="1:2" x14ac:dyDescent="0.4">
      <c r="A21487" s="4">
        <v>707331700</v>
      </c>
      <c r="B21487">
        <v>7331700</v>
      </c>
    </row>
    <row r="21488" spans="1:2" x14ac:dyDescent="0.4">
      <c r="A21488" s="4">
        <v>707331800</v>
      </c>
      <c r="B21488">
        <v>7331800</v>
      </c>
    </row>
    <row r="21489" spans="1:2" x14ac:dyDescent="0.4">
      <c r="A21489" s="4">
        <v>707331900</v>
      </c>
      <c r="B21489">
        <v>7331900</v>
      </c>
    </row>
    <row r="21490" spans="1:2" x14ac:dyDescent="0.4">
      <c r="A21490" s="4">
        <v>707332000</v>
      </c>
      <c r="B21490">
        <v>7332000</v>
      </c>
    </row>
    <row r="21491" spans="1:2" x14ac:dyDescent="0.4">
      <c r="A21491" s="4">
        <v>707332100</v>
      </c>
      <c r="B21491">
        <v>7332100</v>
      </c>
    </row>
    <row r="21492" spans="1:2" x14ac:dyDescent="0.4">
      <c r="A21492" s="4">
        <v>707332200</v>
      </c>
      <c r="B21492">
        <v>7332200</v>
      </c>
    </row>
    <row r="21493" spans="1:2" x14ac:dyDescent="0.4">
      <c r="A21493" s="4">
        <v>707332300</v>
      </c>
      <c r="B21493">
        <v>7332300</v>
      </c>
    </row>
    <row r="21494" spans="1:2" x14ac:dyDescent="0.4">
      <c r="A21494" s="4">
        <v>707332400</v>
      </c>
      <c r="B21494">
        <v>7332400</v>
      </c>
    </row>
    <row r="21495" spans="1:2" x14ac:dyDescent="0.4">
      <c r="A21495" s="4">
        <v>707340000</v>
      </c>
      <c r="B21495">
        <v>7340000</v>
      </c>
    </row>
    <row r="21496" spans="1:2" x14ac:dyDescent="0.4">
      <c r="A21496" s="4">
        <v>707340100</v>
      </c>
      <c r="B21496">
        <v>7340100</v>
      </c>
    </row>
    <row r="21497" spans="1:2" x14ac:dyDescent="0.4">
      <c r="A21497" s="4">
        <v>707340200</v>
      </c>
      <c r="B21497">
        <v>7340200</v>
      </c>
    </row>
    <row r="21498" spans="1:2" x14ac:dyDescent="0.4">
      <c r="A21498" s="4">
        <v>707340300</v>
      </c>
      <c r="B21498">
        <v>7340300</v>
      </c>
    </row>
    <row r="21499" spans="1:2" x14ac:dyDescent="0.4">
      <c r="A21499" s="4">
        <v>707340400</v>
      </c>
      <c r="B21499">
        <v>7340400</v>
      </c>
    </row>
    <row r="21500" spans="1:2" x14ac:dyDescent="0.4">
      <c r="A21500" s="4">
        <v>707340500</v>
      </c>
      <c r="B21500">
        <v>7340500</v>
      </c>
    </row>
    <row r="21501" spans="1:2" x14ac:dyDescent="0.4">
      <c r="A21501" s="4">
        <v>707340600</v>
      </c>
      <c r="B21501">
        <v>7340600</v>
      </c>
    </row>
    <row r="21502" spans="1:2" x14ac:dyDescent="0.4">
      <c r="A21502" s="4">
        <v>707340700</v>
      </c>
      <c r="B21502">
        <v>7340700</v>
      </c>
    </row>
    <row r="21503" spans="1:2" x14ac:dyDescent="0.4">
      <c r="A21503" s="4">
        <v>707340800</v>
      </c>
      <c r="B21503">
        <v>7340800</v>
      </c>
    </row>
    <row r="21504" spans="1:2" x14ac:dyDescent="0.4">
      <c r="A21504" s="4">
        <v>707340900</v>
      </c>
      <c r="B21504">
        <v>7340900</v>
      </c>
    </row>
    <row r="21505" spans="1:2" x14ac:dyDescent="0.4">
      <c r="A21505" s="4">
        <v>707341000</v>
      </c>
      <c r="B21505">
        <v>7341000</v>
      </c>
    </row>
    <row r="21506" spans="1:2" x14ac:dyDescent="0.4">
      <c r="A21506" s="4">
        <v>707341100</v>
      </c>
      <c r="B21506">
        <v>7341100</v>
      </c>
    </row>
    <row r="21507" spans="1:2" x14ac:dyDescent="0.4">
      <c r="A21507" s="4">
        <v>707341200</v>
      </c>
      <c r="B21507">
        <v>7341200</v>
      </c>
    </row>
    <row r="21508" spans="1:2" x14ac:dyDescent="0.4">
      <c r="A21508" s="4">
        <v>707341300</v>
      </c>
      <c r="B21508">
        <v>7341300</v>
      </c>
    </row>
    <row r="21509" spans="1:2" x14ac:dyDescent="0.4">
      <c r="A21509" s="4">
        <v>707341400</v>
      </c>
      <c r="B21509">
        <v>7341400</v>
      </c>
    </row>
    <row r="21510" spans="1:2" x14ac:dyDescent="0.4">
      <c r="A21510" s="4">
        <v>707341500</v>
      </c>
      <c r="B21510">
        <v>7341500</v>
      </c>
    </row>
    <row r="21511" spans="1:2" x14ac:dyDescent="0.4">
      <c r="A21511" s="4">
        <v>707341700</v>
      </c>
      <c r="B21511">
        <v>7341700</v>
      </c>
    </row>
    <row r="21512" spans="1:2" x14ac:dyDescent="0.4">
      <c r="A21512" s="4">
        <v>707341800</v>
      </c>
      <c r="B21512">
        <v>7341800</v>
      </c>
    </row>
    <row r="21513" spans="1:2" x14ac:dyDescent="0.4">
      <c r="A21513" s="4">
        <v>707341900</v>
      </c>
      <c r="B21513">
        <v>7341900</v>
      </c>
    </row>
    <row r="21514" spans="1:2" x14ac:dyDescent="0.4">
      <c r="A21514" s="4">
        <v>707342000</v>
      </c>
      <c r="B21514">
        <v>7342000</v>
      </c>
    </row>
    <row r="21515" spans="1:2" x14ac:dyDescent="0.4">
      <c r="A21515" s="4">
        <v>707342100</v>
      </c>
      <c r="B21515">
        <v>7342100</v>
      </c>
    </row>
    <row r="21516" spans="1:2" x14ac:dyDescent="0.4">
      <c r="A21516" s="4">
        <v>707342200</v>
      </c>
      <c r="B21516">
        <v>7342200</v>
      </c>
    </row>
    <row r="21517" spans="1:2" x14ac:dyDescent="0.4">
      <c r="A21517" s="4">
        <v>707342300</v>
      </c>
      <c r="B21517">
        <v>7342300</v>
      </c>
    </row>
    <row r="21518" spans="1:2" x14ac:dyDescent="0.4">
      <c r="A21518" s="4">
        <v>707342400</v>
      </c>
      <c r="B21518">
        <v>7342400</v>
      </c>
    </row>
    <row r="21519" spans="1:2" x14ac:dyDescent="0.4">
      <c r="A21519" s="4">
        <v>707350000</v>
      </c>
      <c r="B21519">
        <v>7350000</v>
      </c>
    </row>
    <row r="21520" spans="1:2" x14ac:dyDescent="0.4">
      <c r="A21520" s="4">
        <v>707350100</v>
      </c>
      <c r="B21520">
        <v>7350100</v>
      </c>
    </row>
    <row r="21521" spans="1:2" x14ac:dyDescent="0.4">
      <c r="A21521" s="4">
        <v>707350200</v>
      </c>
      <c r="B21521">
        <v>7350200</v>
      </c>
    </row>
    <row r="21522" spans="1:2" x14ac:dyDescent="0.4">
      <c r="A21522" s="4">
        <v>707350300</v>
      </c>
      <c r="B21522">
        <v>7350300</v>
      </c>
    </row>
    <row r="21523" spans="1:2" x14ac:dyDescent="0.4">
      <c r="A21523" s="4">
        <v>707350400</v>
      </c>
      <c r="B21523">
        <v>7350400</v>
      </c>
    </row>
    <row r="21524" spans="1:2" x14ac:dyDescent="0.4">
      <c r="A21524" s="4">
        <v>707350500</v>
      </c>
      <c r="B21524">
        <v>7350500</v>
      </c>
    </row>
    <row r="21525" spans="1:2" x14ac:dyDescent="0.4">
      <c r="A21525" s="4">
        <v>707350600</v>
      </c>
      <c r="B21525">
        <v>7350600</v>
      </c>
    </row>
    <row r="21526" spans="1:2" x14ac:dyDescent="0.4">
      <c r="A21526" s="4">
        <v>707350700</v>
      </c>
      <c r="B21526">
        <v>7350700</v>
      </c>
    </row>
    <row r="21527" spans="1:2" x14ac:dyDescent="0.4">
      <c r="A21527" s="4">
        <v>707350800</v>
      </c>
      <c r="B21527">
        <v>7350800</v>
      </c>
    </row>
    <row r="21528" spans="1:2" x14ac:dyDescent="0.4">
      <c r="A21528" s="4">
        <v>707350900</v>
      </c>
      <c r="B21528">
        <v>7350900</v>
      </c>
    </row>
    <row r="21529" spans="1:2" x14ac:dyDescent="0.4">
      <c r="A21529" s="4">
        <v>707351000</v>
      </c>
      <c r="B21529">
        <v>7351000</v>
      </c>
    </row>
    <row r="21530" spans="1:2" x14ac:dyDescent="0.4">
      <c r="A21530" s="4">
        <v>707351100</v>
      </c>
      <c r="B21530">
        <v>7351100</v>
      </c>
    </row>
    <row r="21531" spans="1:2" x14ac:dyDescent="0.4">
      <c r="A21531" s="4">
        <v>707351200</v>
      </c>
      <c r="B21531">
        <v>7351200</v>
      </c>
    </row>
    <row r="21532" spans="1:2" x14ac:dyDescent="0.4">
      <c r="A21532" s="4">
        <v>707351300</v>
      </c>
      <c r="B21532">
        <v>7351300</v>
      </c>
    </row>
    <row r="21533" spans="1:2" x14ac:dyDescent="0.4">
      <c r="A21533" s="4">
        <v>707351400</v>
      </c>
      <c r="B21533">
        <v>7351400</v>
      </c>
    </row>
    <row r="21534" spans="1:2" x14ac:dyDescent="0.4">
      <c r="A21534" s="4">
        <v>707351500</v>
      </c>
      <c r="B21534">
        <v>7351500</v>
      </c>
    </row>
    <row r="21535" spans="1:2" x14ac:dyDescent="0.4">
      <c r="A21535" s="4">
        <v>707351700</v>
      </c>
      <c r="B21535">
        <v>7351700</v>
      </c>
    </row>
    <row r="21536" spans="1:2" x14ac:dyDescent="0.4">
      <c r="A21536" s="4">
        <v>707351800</v>
      </c>
      <c r="B21536">
        <v>7351800</v>
      </c>
    </row>
    <row r="21537" spans="1:2" x14ac:dyDescent="0.4">
      <c r="A21537" s="4">
        <v>707351900</v>
      </c>
      <c r="B21537">
        <v>7351900</v>
      </c>
    </row>
    <row r="21538" spans="1:2" x14ac:dyDescent="0.4">
      <c r="A21538" s="4">
        <v>707352000</v>
      </c>
      <c r="B21538">
        <v>7352000</v>
      </c>
    </row>
    <row r="21539" spans="1:2" x14ac:dyDescent="0.4">
      <c r="A21539" s="4">
        <v>707352100</v>
      </c>
      <c r="B21539">
        <v>7352100</v>
      </c>
    </row>
    <row r="21540" spans="1:2" x14ac:dyDescent="0.4">
      <c r="A21540" s="4">
        <v>707352200</v>
      </c>
      <c r="B21540">
        <v>7352200</v>
      </c>
    </row>
    <row r="21541" spans="1:2" x14ac:dyDescent="0.4">
      <c r="A21541" s="4">
        <v>707352300</v>
      </c>
      <c r="B21541">
        <v>7352300</v>
      </c>
    </row>
    <row r="21542" spans="1:2" x14ac:dyDescent="0.4">
      <c r="A21542" s="4">
        <v>707352400</v>
      </c>
      <c r="B21542">
        <v>7352400</v>
      </c>
    </row>
    <row r="21543" spans="1:2" x14ac:dyDescent="0.4">
      <c r="A21543" s="4">
        <v>707360600</v>
      </c>
      <c r="B21543">
        <v>7360600</v>
      </c>
    </row>
    <row r="21544" spans="1:2" x14ac:dyDescent="0.4">
      <c r="A21544" s="4">
        <v>707360900</v>
      </c>
      <c r="B21544">
        <v>7360900</v>
      </c>
    </row>
    <row r="21545" spans="1:2" x14ac:dyDescent="0.4">
      <c r="A21545" s="4">
        <v>707361200</v>
      </c>
      <c r="B21545">
        <v>7361200</v>
      </c>
    </row>
    <row r="21546" spans="1:2" x14ac:dyDescent="0.4">
      <c r="A21546" s="4">
        <v>707361300</v>
      </c>
      <c r="B21546">
        <v>7361300</v>
      </c>
    </row>
    <row r="21547" spans="1:2" x14ac:dyDescent="0.4">
      <c r="A21547" s="4">
        <v>707362100</v>
      </c>
      <c r="B21547">
        <v>7362100</v>
      </c>
    </row>
    <row r="21548" spans="1:2" x14ac:dyDescent="0.4">
      <c r="A21548" s="4">
        <v>707370300</v>
      </c>
      <c r="B21548">
        <v>7370300</v>
      </c>
    </row>
    <row r="21549" spans="1:2" x14ac:dyDescent="0.4">
      <c r="A21549" s="4">
        <v>707370400</v>
      </c>
      <c r="B21549">
        <v>7370400</v>
      </c>
    </row>
    <row r="21550" spans="1:2" x14ac:dyDescent="0.4">
      <c r="A21550" s="4">
        <v>707370600</v>
      </c>
      <c r="B21550">
        <v>7370600</v>
      </c>
    </row>
    <row r="21551" spans="1:2" x14ac:dyDescent="0.4">
      <c r="A21551" s="4">
        <v>707370900</v>
      </c>
      <c r="B21551">
        <v>7370900</v>
      </c>
    </row>
    <row r="21552" spans="1:2" x14ac:dyDescent="0.4">
      <c r="A21552" s="4">
        <v>707371500</v>
      </c>
      <c r="B21552">
        <v>7371500</v>
      </c>
    </row>
    <row r="21553" spans="1:2" x14ac:dyDescent="0.4">
      <c r="A21553" s="4">
        <v>808100100</v>
      </c>
      <c r="B21553">
        <v>8100100</v>
      </c>
    </row>
    <row r="21554" spans="1:2" x14ac:dyDescent="0.4">
      <c r="A21554" s="4">
        <v>808100101</v>
      </c>
      <c r="B21554">
        <v>8100101</v>
      </c>
    </row>
    <row r="21555" spans="1:2" x14ac:dyDescent="0.4">
      <c r="A21555" s="4">
        <v>808100102</v>
      </c>
      <c r="B21555">
        <v>8100102</v>
      </c>
    </row>
    <row r="21556" spans="1:2" x14ac:dyDescent="0.4">
      <c r="A21556" s="4">
        <v>808100200</v>
      </c>
      <c r="B21556">
        <v>8100200</v>
      </c>
    </row>
    <row r="21557" spans="1:2" x14ac:dyDescent="0.4">
      <c r="A21557" s="4">
        <v>808100201</v>
      </c>
      <c r="B21557">
        <v>8100201</v>
      </c>
    </row>
    <row r="21558" spans="1:2" x14ac:dyDescent="0.4">
      <c r="A21558" s="4">
        <v>808100202</v>
      </c>
      <c r="B21558">
        <v>8100202</v>
      </c>
    </row>
    <row r="21559" spans="1:2" x14ac:dyDescent="0.4">
      <c r="A21559" s="4">
        <v>808100300</v>
      </c>
      <c r="B21559">
        <v>8100300</v>
      </c>
    </row>
    <row r="21560" spans="1:2" x14ac:dyDescent="0.4">
      <c r="A21560" s="4">
        <v>808100301</v>
      </c>
      <c r="B21560">
        <v>8100301</v>
      </c>
    </row>
    <row r="21561" spans="1:2" x14ac:dyDescent="0.4">
      <c r="A21561" s="4">
        <v>808100302</v>
      </c>
      <c r="B21561">
        <v>8100302</v>
      </c>
    </row>
    <row r="21562" spans="1:2" x14ac:dyDescent="0.4">
      <c r="A21562" s="4">
        <v>808100400</v>
      </c>
      <c r="B21562">
        <v>8100400</v>
      </c>
    </row>
    <row r="21563" spans="1:2" x14ac:dyDescent="0.4">
      <c r="A21563" s="4">
        <v>808100401</v>
      </c>
      <c r="B21563">
        <v>8100401</v>
      </c>
    </row>
    <row r="21564" spans="1:2" x14ac:dyDescent="0.4">
      <c r="A21564" s="4">
        <v>808100402</v>
      </c>
      <c r="B21564">
        <v>8100402</v>
      </c>
    </row>
    <row r="21565" spans="1:2" x14ac:dyDescent="0.4">
      <c r="A21565" s="4">
        <v>808110000</v>
      </c>
      <c r="B21565">
        <v>8110000</v>
      </c>
    </row>
    <row r="21566" spans="1:2" x14ac:dyDescent="0.4">
      <c r="A21566" s="4">
        <v>808110001</v>
      </c>
      <c r="B21566">
        <v>8110001</v>
      </c>
    </row>
    <row r="21567" spans="1:2" x14ac:dyDescent="0.4">
      <c r="A21567" s="4">
        <v>808110002</v>
      </c>
      <c r="B21567">
        <v>8110002</v>
      </c>
    </row>
    <row r="21568" spans="1:2" x14ac:dyDescent="0.4">
      <c r="A21568" s="4">
        <v>808110010</v>
      </c>
      <c r="B21568">
        <v>8110010</v>
      </c>
    </row>
    <row r="21569" spans="1:2" x14ac:dyDescent="0.4">
      <c r="A21569" s="4">
        <v>808110011</v>
      </c>
      <c r="B21569">
        <v>8110011</v>
      </c>
    </row>
    <row r="21570" spans="1:2" x14ac:dyDescent="0.4">
      <c r="A21570" s="4">
        <v>808110012</v>
      </c>
      <c r="B21570">
        <v>8110012</v>
      </c>
    </row>
    <row r="21571" spans="1:2" x14ac:dyDescent="0.4">
      <c r="A21571" s="4">
        <v>808110100</v>
      </c>
      <c r="B21571">
        <v>8110100</v>
      </c>
    </row>
    <row r="21572" spans="1:2" x14ac:dyDescent="0.4">
      <c r="A21572" s="4">
        <v>808110101</v>
      </c>
      <c r="B21572">
        <v>8110101</v>
      </c>
    </row>
    <row r="21573" spans="1:2" x14ac:dyDescent="0.4">
      <c r="A21573" s="4">
        <v>808110102</v>
      </c>
      <c r="B21573">
        <v>8110102</v>
      </c>
    </row>
    <row r="21574" spans="1:2" x14ac:dyDescent="0.4">
      <c r="A21574" s="4">
        <v>808110110</v>
      </c>
      <c r="B21574">
        <v>8110110</v>
      </c>
    </row>
    <row r="21575" spans="1:2" x14ac:dyDescent="0.4">
      <c r="A21575" s="4">
        <v>808110111</v>
      </c>
      <c r="B21575">
        <v>8110111</v>
      </c>
    </row>
    <row r="21576" spans="1:2" x14ac:dyDescent="0.4">
      <c r="A21576" s="4">
        <v>808110112</v>
      </c>
      <c r="B21576">
        <v>8110112</v>
      </c>
    </row>
    <row r="21577" spans="1:2" x14ac:dyDescent="0.4">
      <c r="A21577" s="4">
        <v>808110200</v>
      </c>
      <c r="B21577">
        <v>8110200</v>
      </c>
    </row>
    <row r="21578" spans="1:2" x14ac:dyDescent="0.4">
      <c r="A21578" s="4">
        <v>808110201</v>
      </c>
      <c r="B21578">
        <v>8110201</v>
      </c>
    </row>
    <row r="21579" spans="1:2" x14ac:dyDescent="0.4">
      <c r="A21579" s="4">
        <v>808110202</v>
      </c>
      <c r="B21579">
        <v>8110202</v>
      </c>
    </row>
    <row r="21580" spans="1:2" x14ac:dyDescent="0.4">
      <c r="A21580" s="4">
        <v>808110210</v>
      </c>
      <c r="B21580">
        <v>8110210</v>
      </c>
    </row>
    <row r="21581" spans="1:2" x14ac:dyDescent="0.4">
      <c r="A21581" s="4">
        <v>808110211</v>
      </c>
      <c r="B21581">
        <v>8110211</v>
      </c>
    </row>
    <row r="21582" spans="1:2" x14ac:dyDescent="0.4">
      <c r="A21582" s="4">
        <v>808110212</v>
      </c>
      <c r="B21582">
        <v>8110212</v>
      </c>
    </row>
    <row r="21583" spans="1:2" x14ac:dyDescent="0.4">
      <c r="A21583" s="4">
        <v>808110400</v>
      </c>
      <c r="B21583">
        <v>8110400</v>
      </c>
    </row>
    <row r="21584" spans="1:2" x14ac:dyDescent="0.4">
      <c r="A21584" s="4">
        <v>808110401</v>
      </c>
      <c r="B21584">
        <v>8110401</v>
      </c>
    </row>
    <row r="21585" spans="1:2" x14ac:dyDescent="0.4">
      <c r="A21585" s="4">
        <v>808110402</v>
      </c>
      <c r="B21585">
        <v>8110402</v>
      </c>
    </row>
    <row r="21586" spans="1:2" x14ac:dyDescent="0.4">
      <c r="A21586" s="4">
        <v>808110410</v>
      </c>
      <c r="B21586">
        <v>8110410</v>
      </c>
    </row>
    <row r="21587" spans="1:2" x14ac:dyDescent="0.4">
      <c r="A21587" s="4">
        <v>808110411</v>
      </c>
      <c r="B21587">
        <v>8110411</v>
      </c>
    </row>
    <row r="21588" spans="1:2" x14ac:dyDescent="0.4">
      <c r="A21588" s="4">
        <v>808110412</v>
      </c>
      <c r="B21588">
        <v>8110412</v>
      </c>
    </row>
    <row r="21589" spans="1:2" x14ac:dyDescent="0.4">
      <c r="A21589" s="4">
        <v>808110500</v>
      </c>
      <c r="B21589">
        <v>8110500</v>
      </c>
    </row>
    <row r="21590" spans="1:2" x14ac:dyDescent="0.4">
      <c r="A21590" s="4">
        <v>808110501</v>
      </c>
      <c r="B21590">
        <v>8110501</v>
      </c>
    </row>
    <row r="21591" spans="1:2" x14ac:dyDescent="0.4">
      <c r="A21591" s="4">
        <v>808110502</v>
      </c>
      <c r="B21591">
        <v>8110502</v>
      </c>
    </row>
    <row r="21592" spans="1:2" x14ac:dyDescent="0.4">
      <c r="A21592" s="4">
        <v>808110510</v>
      </c>
      <c r="B21592">
        <v>8110510</v>
      </c>
    </row>
    <row r="21593" spans="1:2" x14ac:dyDescent="0.4">
      <c r="A21593" s="4">
        <v>808110511</v>
      </c>
      <c r="B21593">
        <v>8110511</v>
      </c>
    </row>
    <row r="21594" spans="1:2" x14ac:dyDescent="0.4">
      <c r="A21594" s="4">
        <v>808110512</v>
      </c>
      <c r="B21594">
        <v>8110512</v>
      </c>
    </row>
    <row r="21595" spans="1:2" x14ac:dyDescent="0.4">
      <c r="A21595" s="4">
        <v>808110700</v>
      </c>
      <c r="B21595">
        <v>8110700</v>
      </c>
    </row>
    <row r="21596" spans="1:2" x14ac:dyDescent="0.4">
      <c r="A21596" s="4">
        <v>808110701</v>
      </c>
      <c r="B21596">
        <v>8110701</v>
      </c>
    </row>
    <row r="21597" spans="1:2" x14ac:dyDescent="0.4">
      <c r="A21597" s="4">
        <v>808110702</v>
      </c>
      <c r="B21597">
        <v>8110702</v>
      </c>
    </row>
    <row r="21598" spans="1:2" x14ac:dyDescent="0.4">
      <c r="A21598" s="4">
        <v>808110703</v>
      </c>
      <c r="B21598">
        <v>8110703</v>
      </c>
    </row>
    <row r="21599" spans="1:2" x14ac:dyDescent="0.4">
      <c r="A21599" s="4">
        <v>808110705</v>
      </c>
      <c r="B21599">
        <v>8110705</v>
      </c>
    </row>
    <row r="21600" spans="1:2" x14ac:dyDescent="0.4">
      <c r="A21600" s="4">
        <v>808110706</v>
      </c>
      <c r="B21600">
        <v>8110706</v>
      </c>
    </row>
    <row r="21601" spans="1:2" x14ac:dyDescent="0.4">
      <c r="A21601" s="4">
        <v>808110707</v>
      </c>
      <c r="B21601">
        <v>8110707</v>
      </c>
    </row>
    <row r="21602" spans="1:2" x14ac:dyDescent="0.4">
      <c r="A21602" s="4">
        <v>808110710</v>
      </c>
      <c r="B21602">
        <v>8110710</v>
      </c>
    </row>
    <row r="21603" spans="1:2" x14ac:dyDescent="0.4">
      <c r="A21603" s="4">
        <v>808110711</v>
      </c>
      <c r="B21603">
        <v>8110711</v>
      </c>
    </row>
    <row r="21604" spans="1:2" x14ac:dyDescent="0.4">
      <c r="A21604" s="4">
        <v>808110712</v>
      </c>
      <c r="B21604">
        <v>8110712</v>
      </c>
    </row>
    <row r="21605" spans="1:2" x14ac:dyDescent="0.4">
      <c r="A21605" s="4">
        <v>808110715</v>
      </c>
      <c r="B21605">
        <v>8110715</v>
      </c>
    </row>
    <row r="21606" spans="1:2" x14ac:dyDescent="0.4">
      <c r="A21606" s="4">
        <v>808110716</v>
      </c>
      <c r="B21606">
        <v>8110716</v>
      </c>
    </row>
    <row r="21607" spans="1:2" x14ac:dyDescent="0.4">
      <c r="A21607" s="4">
        <v>808110800</v>
      </c>
      <c r="B21607">
        <v>8110800</v>
      </c>
    </row>
    <row r="21608" spans="1:2" x14ac:dyDescent="0.4">
      <c r="A21608" s="4">
        <v>808110801</v>
      </c>
      <c r="B21608">
        <v>8110801</v>
      </c>
    </row>
    <row r="21609" spans="1:2" x14ac:dyDescent="0.4">
      <c r="A21609" s="4">
        <v>808110802</v>
      </c>
      <c r="B21609">
        <v>8110802</v>
      </c>
    </row>
    <row r="21610" spans="1:2" x14ac:dyDescent="0.4">
      <c r="A21610" s="4">
        <v>808110803</v>
      </c>
      <c r="B21610">
        <v>8110803</v>
      </c>
    </row>
    <row r="21611" spans="1:2" x14ac:dyDescent="0.4">
      <c r="A21611" s="4">
        <v>808110805</v>
      </c>
      <c r="B21611">
        <v>8110805</v>
      </c>
    </row>
    <row r="21612" spans="1:2" x14ac:dyDescent="0.4">
      <c r="A21612" s="4">
        <v>808110806</v>
      </c>
      <c r="B21612">
        <v>8110806</v>
      </c>
    </row>
    <row r="21613" spans="1:2" x14ac:dyDescent="0.4">
      <c r="A21613" s="4">
        <v>808110807</v>
      </c>
      <c r="B21613">
        <v>8110807</v>
      </c>
    </row>
    <row r="21614" spans="1:2" x14ac:dyDescent="0.4">
      <c r="A21614" s="4">
        <v>808110810</v>
      </c>
      <c r="B21614">
        <v>8110810</v>
      </c>
    </row>
    <row r="21615" spans="1:2" x14ac:dyDescent="0.4">
      <c r="A21615" s="4">
        <v>808110811</v>
      </c>
      <c r="B21615">
        <v>8110811</v>
      </c>
    </row>
    <row r="21616" spans="1:2" x14ac:dyDescent="0.4">
      <c r="A21616" s="4">
        <v>808110812</v>
      </c>
      <c r="B21616">
        <v>8110812</v>
      </c>
    </row>
    <row r="21617" spans="1:2" x14ac:dyDescent="0.4">
      <c r="A21617" s="4">
        <v>808110815</v>
      </c>
      <c r="B21617">
        <v>8110815</v>
      </c>
    </row>
    <row r="21618" spans="1:2" x14ac:dyDescent="0.4">
      <c r="A21618" s="4">
        <v>808110816</v>
      </c>
      <c r="B21618">
        <v>8110816</v>
      </c>
    </row>
    <row r="21619" spans="1:2" x14ac:dyDescent="0.4">
      <c r="A21619" s="4">
        <v>808110900</v>
      </c>
      <c r="B21619">
        <v>8110900</v>
      </c>
    </row>
    <row r="21620" spans="1:2" x14ac:dyDescent="0.4">
      <c r="A21620" s="4">
        <v>808110901</v>
      </c>
      <c r="B21620">
        <v>8110901</v>
      </c>
    </row>
    <row r="21621" spans="1:2" x14ac:dyDescent="0.4">
      <c r="A21621" s="4">
        <v>808110902</v>
      </c>
      <c r="B21621">
        <v>8110902</v>
      </c>
    </row>
    <row r="21622" spans="1:2" x14ac:dyDescent="0.4">
      <c r="A21622" s="4">
        <v>808110903</v>
      </c>
      <c r="B21622">
        <v>8110903</v>
      </c>
    </row>
    <row r="21623" spans="1:2" x14ac:dyDescent="0.4">
      <c r="A21623" s="4">
        <v>808110905</v>
      </c>
      <c r="B21623">
        <v>8110905</v>
      </c>
    </row>
    <row r="21624" spans="1:2" x14ac:dyDescent="0.4">
      <c r="A21624" s="4">
        <v>808110906</v>
      </c>
      <c r="B21624">
        <v>8110906</v>
      </c>
    </row>
    <row r="21625" spans="1:2" x14ac:dyDescent="0.4">
      <c r="A21625" s="4">
        <v>808110907</v>
      </c>
      <c r="B21625">
        <v>8110907</v>
      </c>
    </row>
    <row r="21626" spans="1:2" x14ac:dyDescent="0.4">
      <c r="A21626" s="4">
        <v>808110910</v>
      </c>
      <c r="B21626">
        <v>8110910</v>
      </c>
    </row>
    <row r="21627" spans="1:2" x14ac:dyDescent="0.4">
      <c r="A21627" s="4">
        <v>808110911</v>
      </c>
      <c r="B21627">
        <v>8110911</v>
      </c>
    </row>
    <row r="21628" spans="1:2" x14ac:dyDescent="0.4">
      <c r="A21628" s="4">
        <v>808110912</v>
      </c>
      <c r="B21628">
        <v>8110912</v>
      </c>
    </row>
    <row r="21629" spans="1:2" x14ac:dyDescent="0.4">
      <c r="A21629" s="4">
        <v>808110915</v>
      </c>
      <c r="B21629">
        <v>8110915</v>
      </c>
    </row>
    <row r="21630" spans="1:2" x14ac:dyDescent="0.4">
      <c r="A21630" s="4">
        <v>808110916</v>
      </c>
      <c r="B21630">
        <v>8110916</v>
      </c>
    </row>
    <row r="21631" spans="1:2" x14ac:dyDescent="0.4">
      <c r="A21631" s="4">
        <v>808111000</v>
      </c>
      <c r="B21631">
        <v>8111000</v>
      </c>
    </row>
    <row r="21632" spans="1:2" x14ac:dyDescent="0.4">
      <c r="A21632" s="4">
        <v>808111001</v>
      </c>
      <c r="B21632">
        <v>8111001</v>
      </c>
    </row>
    <row r="21633" spans="1:2" x14ac:dyDescent="0.4">
      <c r="A21633" s="4">
        <v>808111002</v>
      </c>
      <c r="B21633">
        <v>8111002</v>
      </c>
    </row>
    <row r="21634" spans="1:2" x14ac:dyDescent="0.4">
      <c r="A21634" s="4">
        <v>808111003</v>
      </c>
      <c r="B21634">
        <v>8111003</v>
      </c>
    </row>
    <row r="21635" spans="1:2" x14ac:dyDescent="0.4">
      <c r="A21635" s="4">
        <v>808111005</v>
      </c>
      <c r="B21635">
        <v>8111005</v>
      </c>
    </row>
    <row r="21636" spans="1:2" x14ac:dyDescent="0.4">
      <c r="A21636" s="4">
        <v>808111006</v>
      </c>
      <c r="B21636">
        <v>8111006</v>
      </c>
    </row>
    <row r="21637" spans="1:2" x14ac:dyDescent="0.4">
      <c r="A21637" s="4">
        <v>808111007</v>
      </c>
      <c r="B21637">
        <v>8111007</v>
      </c>
    </row>
    <row r="21638" spans="1:2" x14ac:dyDescent="0.4">
      <c r="A21638" s="4">
        <v>808111010</v>
      </c>
      <c r="B21638">
        <v>8111010</v>
      </c>
    </row>
    <row r="21639" spans="1:2" x14ac:dyDescent="0.4">
      <c r="A21639" s="4">
        <v>808111011</v>
      </c>
      <c r="B21639">
        <v>8111011</v>
      </c>
    </row>
    <row r="21640" spans="1:2" x14ac:dyDescent="0.4">
      <c r="A21640" s="4">
        <v>808111012</v>
      </c>
      <c r="B21640">
        <v>8111012</v>
      </c>
    </row>
    <row r="21641" spans="1:2" x14ac:dyDescent="0.4">
      <c r="A21641" s="4">
        <v>808111015</v>
      </c>
      <c r="B21641">
        <v>8111015</v>
      </c>
    </row>
    <row r="21642" spans="1:2" x14ac:dyDescent="0.4">
      <c r="A21642" s="4">
        <v>808111016</v>
      </c>
      <c r="B21642">
        <v>8111016</v>
      </c>
    </row>
    <row r="21643" spans="1:2" x14ac:dyDescent="0.4">
      <c r="A21643" s="4">
        <v>808119980</v>
      </c>
      <c r="B21643">
        <v>8110700</v>
      </c>
    </row>
    <row r="21644" spans="1:2" x14ac:dyDescent="0.4">
      <c r="A21644" s="4">
        <v>808119980</v>
      </c>
      <c r="B21644">
        <v>8110800</v>
      </c>
    </row>
    <row r="21645" spans="1:2" x14ac:dyDescent="0.4">
      <c r="A21645" s="4">
        <v>808119980</v>
      </c>
      <c r="B21645">
        <v>8110900</v>
      </c>
    </row>
    <row r="21646" spans="1:2" x14ac:dyDescent="0.4">
      <c r="A21646" s="4">
        <v>808119980</v>
      </c>
      <c r="B21646">
        <v>8111000</v>
      </c>
    </row>
    <row r="21647" spans="1:2" x14ac:dyDescent="0.4">
      <c r="A21647" s="4">
        <v>808119981</v>
      </c>
      <c r="B21647">
        <v>8110701</v>
      </c>
    </row>
    <row r="21648" spans="1:2" x14ac:dyDescent="0.4">
      <c r="A21648" s="4">
        <v>808119981</v>
      </c>
      <c r="B21648">
        <v>8110801</v>
      </c>
    </row>
    <row r="21649" spans="1:2" x14ac:dyDescent="0.4">
      <c r="A21649" s="4">
        <v>808119981</v>
      </c>
      <c r="B21649">
        <v>8110901</v>
      </c>
    </row>
    <row r="21650" spans="1:2" x14ac:dyDescent="0.4">
      <c r="A21650" s="4">
        <v>808119981</v>
      </c>
      <c r="B21650">
        <v>8111001</v>
      </c>
    </row>
    <row r="21651" spans="1:2" x14ac:dyDescent="0.4">
      <c r="A21651" s="4">
        <v>808119982</v>
      </c>
      <c r="B21651">
        <v>8110702</v>
      </c>
    </row>
    <row r="21652" spans="1:2" x14ac:dyDescent="0.4">
      <c r="A21652" s="4">
        <v>808119982</v>
      </c>
      <c r="B21652">
        <v>8110802</v>
      </c>
    </row>
    <row r="21653" spans="1:2" x14ac:dyDescent="0.4">
      <c r="A21653" s="4">
        <v>808119982</v>
      </c>
      <c r="B21653">
        <v>8110902</v>
      </c>
    </row>
    <row r="21654" spans="1:2" x14ac:dyDescent="0.4">
      <c r="A21654" s="4">
        <v>808119982</v>
      </c>
      <c r="B21654">
        <v>8111002</v>
      </c>
    </row>
    <row r="21655" spans="1:2" x14ac:dyDescent="0.4">
      <c r="A21655" s="4">
        <v>808119983</v>
      </c>
      <c r="B21655">
        <v>8110703</v>
      </c>
    </row>
    <row r="21656" spans="1:2" x14ac:dyDescent="0.4">
      <c r="A21656" s="4">
        <v>808119983</v>
      </c>
      <c r="B21656">
        <v>8110803</v>
      </c>
    </row>
    <row r="21657" spans="1:2" x14ac:dyDescent="0.4">
      <c r="A21657" s="4">
        <v>808119983</v>
      </c>
      <c r="B21657">
        <v>8110903</v>
      </c>
    </row>
    <row r="21658" spans="1:2" x14ac:dyDescent="0.4">
      <c r="A21658" s="4">
        <v>808119983</v>
      </c>
      <c r="B21658">
        <v>8111003</v>
      </c>
    </row>
    <row r="21659" spans="1:2" x14ac:dyDescent="0.4">
      <c r="A21659" s="4">
        <v>808119985</v>
      </c>
      <c r="B21659">
        <v>8110705</v>
      </c>
    </row>
    <row r="21660" spans="1:2" x14ac:dyDescent="0.4">
      <c r="A21660" s="4">
        <v>808119985</v>
      </c>
      <c r="B21660">
        <v>8110805</v>
      </c>
    </row>
    <row r="21661" spans="1:2" x14ac:dyDescent="0.4">
      <c r="A21661" s="4">
        <v>808119985</v>
      </c>
      <c r="B21661">
        <v>8110905</v>
      </c>
    </row>
    <row r="21662" spans="1:2" x14ac:dyDescent="0.4">
      <c r="A21662" s="4">
        <v>808119985</v>
      </c>
      <c r="B21662">
        <v>8111005</v>
      </c>
    </row>
    <row r="21663" spans="1:2" x14ac:dyDescent="0.4">
      <c r="A21663" s="4">
        <v>808119986</v>
      </c>
      <c r="B21663">
        <v>8110706</v>
      </c>
    </row>
    <row r="21664" spans="1:2" x14ac:dyDescent="0.4">
      <c r="A21664" s="4">
        <v>808119986</v>
      </c>
      <c r="B21664">
        <v>8110806</v>
      </c>
    </row>
    <row r="21665" spans="1:2" x14ac:dyDescent="0.4">
      <c r="A21665" s="4">
        <v>808119986</v>
      </c>
      <c r="B21665">
        <v>8110906</v>
      </c>
    </row>
    <row r="21666" spans="1:2" x14ac:dyDescent="0.4">
      <c r="A21666" s="4">
        <v>808119986</v>
      </c>
      <c r="B21666">
        <v>8111006</v>
      </c>
    </row>
    <row r="21667" spans="1:2" x14ac:dyDescent="0.4">
      <c r="A21667" s="4">
        <v>808119987</v>
      </c>
      <c r="B21667">
        <v>8110707</v>
      </c>
    </row>
    <row r="21668" spans="1:2" x14ac:dyDescent="0.4">
      <c r="A21668" s="4">
        <v>808119987</v>
      </c>
      <c r="B21668">
        <v>8110807</v>
      </c>
    </row>
    <row r="21669" spans="1:2" x14ac:dyDescent="0.4">
      <c r="A21669" s="4">
        <v>808119987</v>
      </c>
      <c r="B21669">
        <v>8110907</v>
      </c>
    </row>
    <row r="21670" spans="1:2" x14ac:dyDescent="0.4">
      <c r="A21670" s="4">
        <v>808119987</v>
      </c>
      <c r="B21670">
        <v>8111007</v>
      </c>
    </row>
    <row r="21671" spans="1:2" x14ac:dyDescent="0.4">
      <c r="A21671" s="4">
        <v>808119990</v>
      </c>
      <c r="B21671">
        <v>8110710</v>
      </c>
    </row>
    <row r="21672" spans="1:2" x14ac:dyDescent="0.4">
      <c r="A21672" s="4">
        <v>808119990</v>
      </c>
      <c r="B21672">
        <v>8110810</v>
      </c>
    </row>
    <row r="21673" spans="1:2" x14ac:dyDescent="0.4">
      <c r="A21673" s="4">
        <v>808119990</v>
      </c>
      <c r="B21673">
        <v>8110910</v>
      </c>
    </row>
    <row r="21674" spans="1:2" x14ac:dyDescent="0.4">
      <c r="A21674" s="4">
        <v>808119990</v>
      </c>
      <c r="B21674">
        <v>8111010</v>
      </c>
    </row>
    <row r="21675" spans="1:2" x14ac:dyDescent="0.4">
      <c r="A21675" s="4">
        <v>808119991</v>
      </c>
      <c r="B21675">
        <v>8110711</v>
      </c>
    </row>
    <row r="21676" spans="1:2" x14ac:dyDescent="0.4">
      <c r="A21676" s="4">
        <v>808119991</v>
      </c>
      <c r="B21676">
        <v>8110811</v>
      </c>
    </row>
    <row r="21677" spans="1:2" x14ac:dyDescent="0.4">
      <c r="A21677" s="4">
        <v>808119991</v>
      </c>
      <c r="B21677">
        <v>8110911</v>
      </c>
    </row>
    <row r="21678" spans="1:2" x14ac:dyDescent="0.4">
      <c r="A21678" s="4">
        <v>808119991</v>
      </c>
      <c r="B21678">
        <v>8111011</v>
      </c>
    </row>
    <row r="21679" spans="1:2" x14ac:dyDescent="0.4">
      <c r="A21679" s="4">
        <v>808119992</v>
      </c>
      <c r="B21679">
        <v>8110712</v>
      </c>
    </row>
    <row r="21680" spans="1:2" x14ac:dyDescent="0.4">
      <c r="A21680" s="4">
        <v>808119992</v>
      </c>
      <c r="B21680">
        <v>8110812</v>
      </c>
    </row>
    <row r="21681" spans="1:2" x14ac:dyDescent="0.4">
      <c r="A21681" s="4">
        <v>808119992</v>
      </c>
      <c r="B21681">
        <v>8110912</v>
      </c>
    </row>
    <row r="21682" spans="1:2" x14ac:dyDescent="0.4">
      <c r="A21682" s="4">
        <v>808119992</v>
      </c>
      <c r="B21682">
        <v>8111012</v>
      </c>
    </row>
    <row r="21683" spans="1:2" x14ac:dyDescent="0.4">
      <c r="A21683" s="4">
        <v>808119995</v>
      </c>
      <c r="B21683">
        <v>8110715</v>
      </c>
    </row>
    <row r="21684" spans="1:2" x14ac:dyDescent="0.4">
      <c r="A21684" s="4">
        <v>808119995</v>
      </c>
      <c r="B21684">
        <v>8110815</v>
      </c>
    </row>
    <row r="21685" spans="1:2" x14ac:dyDescent="0.4">
      <c r="A21685" s="4">
        <v>808119995</v>
      </c>
      <c r="B21685">
        <v>8110915</v>
      </c>
    </row>
    <row r="21686" spans="1:2" x14ac:dyDescent="0.4">
      <c r="A21686" s="4">
        <v>808119995</v>
      </c>
      <c r="B21686">
        <v>8111015</v>
      </c>
    </row>
    <row r="21687" spans="1:2" x14ac:dyDescent="0.4">
      <c r="A21687" s="4">
        <v>808119996</v>
      </c>
      <c r="B21687">
        <v>8110716</v>
      </c>
    </row>
    <row r="21688" spans="1:2" x14ac:dyDescent="0.4">
      <c r="A21688" s="4">
        <v>808119996</v>
      </c>
      <c r="B21688">
        <v>8110816</v>
      </c>
    </row>
    <row r="21689" spans="1:2" x14ac:dyDescent="0.4">
      <c r="A21689" s="4">
        <v>808119996</v>
      </c>
      <c r="B21689">
        <v>8110916</v>
      </c>
    </row>
    <row r="21690" spans="1:2" x14ac:dyDescent="0.4">
      <c r="A21690" s="4">
        <v>808119996</v>
      </c>
      <c r="B21690">
        <v>8111016</v>
      </c>
    </row>
    <row r="21691" spans="1:2" x14ac:dyDescent="0.4">
      <c r="A21691" s="4">
        <v>808130000</v>
      </c>
      <c r="B21691">
        <v>8130000</v>
      </c>
    </row>
    <row r="21692" spans="1:2" x14ac:dyDescent="0.4">
      <c r="A21692" s="4">
        <v>808130001</v>
      </c>
      <c r="B21692">
        <v>8130001</v>
      </c>
    </row>
    <row r="21693" spans="1:2" x14ac:dyDescent="0.4">
      <c r="A21693" s="4">
        <v>808130002</v>
      </c>
      <c r="B21693">
        <v>8130002</v>
      </c>
    </row>
    <row r="21694" spans="1:2" x14ac:dyDescent="0.4">
      <c r="A21694" s="4">
        <v>808140000</v>
      </c>
      <c r="B21694">
        <v>8140000</v>
      </c>
    </row>
    <row r="21695" spans="1:2" x14ac:dyDescent="0.4">
      <c r="A21695" s="4">
        <v>808140001</v>
      </c>
      <c r="B21695">
        <v>8140001</v>
      </c>
    </row>
    <row r="21696" spans="1:2" x14ac:dyDescent="0.4">
      <c r="A21696" s="4">
        <v>808140002</v>
      </c>
      <c r="B21696">
        <v>8140002</v>
      </c>
    </row>
    <row r="21697" spans="1:2" x14ac:dyDescent="0.4">
      <c r="A21697" s="4">
        <v>808200100</v>
      </c>
      <c r="B21697">
        <v>8200100</v>
      </c>
    </row>
    <row r="21698" spans="1:2" x14ac:dyDescent="0.4">
      <c r="A21698" s="4">
        <v>808200101</v>
      </c>
      <c r="B21698">
        <v>8200101</v>
      </c>
    </row>
    <row r="21699" spans="1:2" x14ac:dyDescent="0.4">
      <c r="A21699" s="4">
        <v>808200102</v>
      </c>
      <c r="B21699">
        <v>8200102</v>
      </c>
    </row>
    <row r="21700" spans="1:2" x14ac:dyDescent="0.4">
      <c r="A21700" s="4">
        <v>808200200</v>
      </c>
      <c r="B21700">
        <v>8200200</v>
      </c>
    </row>
    <row r="21701" spans="1:2" x14ac:dyDescent="0.4">
      <c r="A21701" s="4">
        <v>808200201</v>
      </c>
      <c r="B21701">
        <v>8200201</v>
      </c>
    </row>
    <row r="21702" spans="1:2" x14ac:dyDescent="0.4">
      <c r="A21702" s="4">
        <v>808200202</v>
      </c>
      <c r="B21702">
        <v>8200202</v>
      </c>
    </row>
    <row r="21703" spans="1:2" x14ac:dyDescent="0.4">
      <c r="A21703" s="4">
        <v>808200300</v>
      </c>
      <c r="B21703">
        <v>8200300</v>
      </c>
    </row>
    <row r="21704" spans="1:2" x14ac:dyDescent="0.4">
      <c r="A21704" s="4">
        <v>808200301</v>
      </c>
      <c r="B21704">
        <v>8200301</v>
      </c>
    </row>
    <row r="21705" spans="1:2" x14ac:dyDescent="0.4">
      <c r="A21705" s="4">
        <v>808200302</v>
      </c>
      <c r="B21705">
        <v>8200302</v>
      </c>
    </row>
    <row r="21706" spans="1:2" x14ac:dyDescent="0.4">
      <c r="A21706" s="4">
        <v>808200400</v>
      </c>
      <c r="B21706">
        <v>8200400</v>
      </c>
    </row>
    <row r="21707" spans="1:2" x14ac:dyDescent="0.4">
      <c r="A21707" s="4">
        <v>808200401</v>
      </c>
      <c r="B21707">
        <v>8200401</v>
      </c>
    </row>
    <row r="21708" spans="1:2" x14ac:dyDescent="0.4">
      <c r="A21708" s="4">
        <v>808200402</v>
      </c>
      <c r="B21708">
        <v>8200402</v>
      </c>
    </row>
    <row r="21709" spans="1:2" x14ac:dyDescent="0.4">
      <c r="A21709" s="4">
        <v>808210000</v>
      </c>
      <c r="B21709">
        <v>8210000</v>
      </c>
    </row>
    <row r="21710" spans="1:2" x14ac:dyDescent="0.4">
      <c r="A21710" s="4">
        <v>808210001</v>
      </c>
      <c r="B21710">
        <v>8210001</v>
      </c>
    </row>
    <row r="21711" spans="1:2" x14ac:dyDescent="0.4">
      <c r="A21711" s="4">
        <v>808210002</v>
      </c>
      <c r="B21711">
        <v>8210002</v>
      </c>
    </row>
    <row r="21712" spans="1:2" x14ac:dyDescent="0.4">
      <c r="A21712" s="4">
        <v>808210100</v>
      </c>
      <c r="B21712">
        <v>8210100</v>
      </c>
    </row>
    <row r="21713" spans="1:2" x14ac:dyDescent="0.4">
      <c r="A21713" s="4">
        <v>808210101</v>
      </c>
      <c r="B21713">
        <v>8210101</v>
      </c>
    </row>
    <row r="21714" spans="1:2" x14ac:dyDescent="0.4">
      <c r="A21714" s="4">
        <v>808210102</v>
      </c>
      <c r="B21714">
        <v>8210102</v>
      </c>
    </row>
    <row r="21715" spans="1:2" x14ac:dyDescent="0.4">
      <c r="A21715" s="4">
        <v>808210200</v>
      </c>
      <c r="B21715">
        <v>8210200</v>
      </c>
    </row>
    <row r="21716" spans="1:2" x14ac:dyDescent="0.4">
      <c r="A21716" s="4">
        <v>808210201</v>
      </c>
      <c r="B21716">
        <v>8210201</v>
      </c>
    </row>
    <row r="21717" spans="1:2" x14ac:dyDescent="0.4">
      <c r="A21717" s="4">
        <v>808210202</v>
      </c>
      <c r="B21717">
        <v>8210202</v>
      </c>
    </row>
    <row r="21718" spans="1:2" x14ac:dyDescent="0.4">
      <c r="A21718" s="4">
        <v>808210300</v>
      </c>
      <c r="B21718">
        <v>8210300</v>
      </c>
    </row>
    <row r="21719" spans="1:2" x14ac:dyDescent="0.4">
      <c r="A21719" s="4">
        <v>808210301</v>
      </c>
      <c r="B21719">
        <v>8210301</v>
      </c>
    </row>
    <row r="21720" spans="1:2" x14ac:dyDescent="0.4">
      <c r="A21720" s="4">
        <v>808210302</v>
      </c>
      <c r="B21720">
        <v>8210302</v>
      </c>
    </row>
    <row r="21721" spans="1:2" x14ac:dyDescent="0.4">
      <c r="A21721" s="4">
        <v>808210400</v>
      </c>
      <c r="B21721">
        <v>8210400</v>
      </c>
    </row>
    <row r="21722" spans="1:2" x14ac:dyDescent="0.4">
      <c r="A21722" s="4">
        <v>808210401</v>
      </c>
      <c r="B21722">
        <v>8210401</v>
      </c>
    </row>
    <row r="21723" spans="1:2" x14ac:dyDescent="0.4">
      <c r="A21723" s="4">
        <v>808210402</v>
      </c>
      <c r="B21723">
        <v>8210402</v>
      </c>
    </row>
    <row r="21724" spans="1:2" x14ac:dyDescent="0.4">
      <c r="A21724" s="4">
        <v>808210500</v>
      </c>
      <c r="B21724">
        <v>8210500</v>
      </c>
    </row>
    <row r="21725" spans="1:2" x14ac:dyDescent="0.4">
      <c r="A21725" s="4">
        <v>808210501</v>
      </c>
      <c r="B21725">
        <v>8210501</v>
      </c>
    </row>
    <row r="21726" spans="1:2" x14ac:dyDescent="0.4">
      <c r="A21726" s="4">
        <v>808210502</v>
      </c>
      <c r="B21726">
        <v>8210502</v>
      </c>
    </row>
    <row r="21727" spans="1:2" x14ac:dyDescent="0.4">
      <c r="A21727" s="4">
        <v>808210600</v>
      </c>
      <c r="B21727">
        <v>8210600</v>
      </c>
    </row>
    <row r="21728" spans="1:2" x14ac:dyDescent="0.4">
      <c r="A21728" s="4">
        <v>808210601</v>
      </c>
      <c r="B21728">
        <v>8210601</v>
      </c>
    </row>
    <row r="21729" spans="1:2" x14ac:dyDescent="0.4">
      <c r="A21729" s="4">
        <v>808210602</v>
      </c>
      <c r="B21729">
        <v>8210602</v>
      </c>
    </row>
    <row r="21730" spans="1:2" x14ac:dyDescent="0.4">
      <c r="A21730" s="4">
        <v>808220000</v>
      </c>
      <c r="B21730">
        <v>8220000</v>
      </c>
    </row>
    <row r="21731" spans="1:2" x14ac:dyDescent="0.4">
      <c r="A21731" s="4">
        <v>808220001</v>
      </c>
      <c r="B21731">
        <v>8220001</v>
      </c>
    </row>
    <row r="21732" spans="1:2" x14ac:dyDescent="0.4">
      <c r="A21732" s="4">
        <v>808220002</v>
      </c>
      <c r="B21732">
        <v>8220002</v>
      </c>
    </row>
    <row r="21733" spans="1:2" x14ac:dyDescent="0.4">
      <c r="A21733" s="4">
        <v>808300000</v>
      </c>
      <c r="B21733">
        <v>8300000</v>
      </c>
    </row>
    <row r="21734" spans="1:2" x14ac:dyDescent="0.4">
      <c r="A21734" s="4">
        <v>808300001</v>
      </c>
      <c r="B21734">
        <v>8300001</v>
      </c>
    </row>
    <row r="21735" spans="1:2" x14ac:dyDescent="0.4">
      <c r="A21735" s="4">
        <v>808300002</v>
      </c>
      <c r="B21735">
        <v>8300002</v>
      </c>
    </row>
    <row r="21736" spans="1:2" x14ac:dyDescent="0.4">
      <c r="A21736" s="4">
        <v>808310000</v>
      </c>
      <c r="B21736">
        <v>8310000</v>
      </c>
    </row>
    <row r="21737" spans="1:2" x14ac:dyDescent="0.4">
      <c r="A21737" s="4">
        <v>808310001</v>
      </c>
      <c r="B21737">
        <v>8310001</v>
      </c>
    </row>
    <row r="21738" spans="1:2" x14ac:dyDescent="0.4">
      <c r="A21738" s="4">
        <v>808310002</v>
      </c>
      <c r="B21738">
        <v>8310002</v>
      </c>
    </row>
    <row r="21739" spans="1:2" x14ac:dyDescent="0.4">
      <c r="A21739" s="4">
        <v>808320000</v>
      </c>
      <c r="B21739">
        <v>8320000</v>
      </c>
    </row>
    <row r="21740" spans="1:2" x14ac:dyDescent="0.4">
      <c r="A21740" s="4">
        <v>808320001</v>
      </c>
      <c r="B21740">
        <v>8320001</v>
      </c>
    </row>
    <row r="21741" spans="1:2" x14ac:dyDescent="0.4">
      <c r="A21741" s="4">
        <v>808320002</v>
      </c>
      <c r="B21741">
        <v>8320002</v>
      </c>
    </row>
    <row r="21742" spans="1:2" x14ac:dyDescent="0.4">
      <c r="A21742" s="4">
        <v>808320100</v>
      </c>
      <c r="B21742">
        <v>8320100</v>
      </c>
    </row>
    <row r="21743" spans="1:2" x14ac:dyDescent="0.4">
      <c r="A21743" s="4">
        <v>808320101</v>
      </c>
      <c r="B21743">
        <v>8320101</v>
      </c>
    </row>
    <row r="21744" spans="1:2" x14ac:dyDescent="0.4">
      <c r="A21744" s="4">
        <v>808320102</v>
      </c>
      <c r="B21744">
        <v>8320102</v>
      </c>
    </row>
    <row r="21745" spans="1:2" x14ac:dyDescent="0.4">
      <c r="A21745" s="4">
        <v>808320300</v>
      </c>
      <c r="B21745">
        <v>8320300</v>
      </c>
    </row>
    <row r="21746" spans="1:2" x14ac:dyDescent="0.4">
      <c r="A21746" s="4">
        <v>808320301</v>
      </c>
      <c r="B21746">
        <v>8320301</v>
      </c>
    </row>
    <row r="21747" spans="1:2" x14ac:dyDescent="0.4">
      <c r="A21747" s="4">
        <v>808320302</v>
      </c>
      <c r="B21747">
        <v>8320302</v>
      </c>
    </row>
    <row r="21748" spans="1:2" x14ac:dyDescent="0.4">
      <c r="A21748" s="4">
        <v>808320400</v>
      </c>
      <c r="B21748">
        <v>8320400</v>
      </c>
    </row>
    <row r="21749" spans="1:2" x14ac:dyDescent="0.4">
      <c r="A21749" s="4">
        <v>808320410</v>
      </c>
      <c r="B21749">
        <v>8320410</v>
      </c>
    </row>
    <row r="21750" spans="1:2" x14ac:dyDescent="0.4">
      <c r="A21750" s="4">
        <v>808320420</v>
      </c>
      <c r="B21750">
        <v>8320420</v>
      </c>
    </row>
    <row r="21751" spans="1:2" x14ac:dyDescent="0.4">
      <c r="A21751" s="4">
        <v>808320500</v>
      </c>
      <c r="B21751">
        <v>8320500</v>
      </c>
    </row>
    <row r="21752" spans="1:2" x14ac:dyDescent="0.4">
      <c r="A21752" s="4">
        <v>808320510</v>
      </c>
      <c r="B21752">
        <v>8320510</v>
      </c>
    </row>
    <row r="21753" spans="1:2" x14ac:dyDescent="0.4">
      <c r="A21753" s="4">
        <v>808320520</v>
      </c>
      <c r="B21753">
        <v>8320520</v>
      </c>
    </row>
    <row r="21754" spans="1:2" x14ac:dyDescent="0.4">
      <c r="A21754" s="4">
        <v>808320600</v>
      </c>
      <c r="B21754">
        <v>8320600</v>
      </c>
    </row>
    <row r="21755" spans="1:2" x14ac:dyDescent="0.4">
      <c r="A21755" s="4">
        <v>808320610</v>
      </c>
      <c r="B21755">
        <v>8320610</v>
      </c>
    </row>
    <row r="21756" spans="1:2" x14ac:dyDescent="0.4">
      <c r="A21756" s="4">
        <v>808320620</v>
      </c>
      <c r="B21756">
        <v>8320620</v>
      </c>
    </row>
    <row r="21757" spans="1:2" x14ac:dyDescent="0.4">
      <c r="A21757" s="4">
        <v>808320700</v>
      </c>
      <c r="B21757">
        <v>8320700</v>
      </c>
    </row>
    <row r="21758" spans="1:2" x14ac:dyDescent="0.4">
      <c r="A21758" s="4">
        <v>808320710</v>
      </c>
      <c r="B21758">
        <v>8320710</v>
      </c>
    </row>
    <row r="21759" spans="1:2" x14ac:dyDescent="0.4">
      <c r="A21759" s="4">
        <v>808320720</v>
      </c>
      <c r="B21759">
        <v>8320720</v>
      </c>
    </row>
    <row r="21760" spans="1:2" x14ac:dyDescent="0.4">
      <c r="A21760" s="4">
        <v>808330000</v>
      </c>
      <c r="B21760">
        <v>8330000</v>
      </c>
    </row>
    <row r="21761" spans="1:2" x14ac:dyDescent="0.4">
      <c r="A21761" s="4">
        <v>808330001</v>
      </c>
      <c r="B21761">
        <v>8330001</v>
      </c>
    </row>
    <row r="21762" spans="1:2" x14ac:dyDescent="0.4">
      <c r="A21762" s="4">
        <v>808330002</v>
      </c>
      <c r="B21762">
        <v>8330002</v>
      </c>
    </row>
    <row r="21763" spans="1:2" x14ac:dyDescent="0.4">
      <c r="A21763" s="4">
        <v>808330100</v>
      </c>
      <c r="B21763">
        <v>8330100</v>
      </c>
    </row>
    <row r="21764" spans="1:2" x14ac:dyDescent="0.4">
      <c r="A21764" s="4">
        <v>808330101</v>
      </c>
      <c r="B21764">
        <v>8330101</v>
      </c>
    </row>
    <row r="21765" spans="1:2" x14ac:dyDescent="0.4">
      <c r="A21765" s="4">
        <v>808330102</v>
      </c>
      <c r="B21765">
        <v>8330102</v>
      </c>
    </row>
    <row r="21766" spans="1:2" x14ac:dyDescent="0.4">
      <c r="A21766" s="4">
        <v>808330200</v>
      </c>
      <c r="B21766">
        <v>8330200</v>
      </c>
    </row>
    <row r="21767" spans="1:2" x14ac:dyDescent="0.4">
      <c r="A21767" s="4">
        <v>808330201</v>
      </c>
      <c r="B21767">
        <v>8330201</v>
      </c>
    </row>
    <row r="21768" spans="1:2" x14ac:dyDescent="0.4">
      <c r="A21768" s="4">
        <v>808330202</v>
      </c>
      <c r="B21768">
        <v>8330202</v>
      </c>
    </row>
    <row r="21769" spans="1:2" x14ac:dyDescent="0.4">
      <c r="A21769" s="4">
        <v>808330300</v>
      </c>
      <c r="B21769">
        <v>8330300</v>
      </c>
    </row>
    <row r="21770" spans="1:2" x14ac:dyDescent="0.4">
      <c r="A21770" s="4">
        <v>808330301</v>
      </c>
      <c r="B21770">
        <v>8330301</v>
      </c>
    </row>
    <row r="21771" spans="1:2" x14ac:dyDescent="0.4">
      <c r="A21771" s="4">
        <v>808330302</v>
      </c>
      <c r="B21771">
        <v>8330302</v>
      </c>
    </row>
    <row r="21772" spans="1:2" x14ac:dyDescent="0.4">
      <c r="A21772" s="4">
        <v>808330400</v>
      </c>
      <c r="B21772">
        <v>8330400</v>
      </c>
    </row>
    <row r="21773" spans="1:2" x14ac:dyDescent="0.4">
      <c r="A21773" s="4">
        <v>808330401</v>
      </c>
      <c r="B21773">
        <v>8330401</v>
      </c>
    </row>
    <row r="21774" spans="1:2" x14ac:dyDescent="0.4">
      <c r="A21774" s="4">
        <v>808330600</v>
      </c>
      <c r="B21774">
        <v>8330600</v>
      </c>
    </row>
    <row r="21775" spans="1:2" x14ac:dyDescent="0.4">
      <c r="A21775" s="4">
        <v>808330601</v>
      </c>
      <c r="B21775">
        <v>8330601</v>
      </c>
    </row>
    <row r="21776" spans="1:2" x14ac:dyDescent="0.4">
      <c r="A21776" s="4">
        <v>808330602</v>
      </c>
      <c r="B21776">
        <v>8330602</v>
      </c>
    </row>
    <row r="21777" spans="1:2" x14ac:dyDescent="0.4">
      <c r="A21777" s="4">
        <v>808330700</v>
      </c>
      <c r="B21777">
        <v>8330700</v>
      </c>
    </row>
    <row r="21778" spans="1:2" x14ac:dyDescent="0.4">
      <c r="A21778" s="4">
        <v>808330900</v>
      </c>
      <c r="B21778">
        <v>8330900</v>
      </c>
    </row>
    <row r="21779" spans="1:2" x14ac:dyDescent="0.4">
      <c r="A21779" s="4">
        <v>808330910</v>
      </c>
      <c r="B21779">
        <v>8330910</v>
      </c>
    </row>
    <row r="21780" spans="1:2" x14ac:dyDescent="0.4">
      <c r="A21780" s="4">
        <v>808330920</v>
      </c>
      <c r="B21780">
        <v>8330920</v>
      </c>
    </row>
    <row r="21781" spans="1:2" x14ac:dyDescent="0.4">
      <c r="A21781" s="4">
        <v>808340000</v>
      </c>
      <c r="B21781">
        <v>8340000</v>
      </c>
    </row>
    <row r="21782" spans="1:2" x14ac:dyDescent="0.4">
      <c r="A21782" s="4">
        <v>808340001</v>
      </c>
      <c r="B21782">
        <v>8340001</v>
      </c>
    </row>
    <row r="21783" spans="1:2" x14ac:dyDescent="0.4">
      <c r="A21783" s="4">
        <v>808340002</v>
      </c>
      <c r="B21783">
        <v>8340002</v>
      </c>
    </row>
    <row r="21784" spans="1:2" x14ac:dyDescent="0.4">
      <c r="A21784" s="4">
        <v>808340100</v>
      </c>
      <c r="B21784">
        <v>8340100</v>
      </c>
    </row>
    <row r="21785" spans="1:2" x14ac:dyDescent="0.4">
      <c r="A21785" s="4">
        <v>808340101</v>
      </c>
      <c r="B21785">
        <v>8340101</v>
      </c>
    </row>
    <row r="21786" spans="1:2" x14ac:dyDescent="0.4">
      <c r="A21786" s="4">
        <v>808340102</v>
      </c>
      <c r="B21786">
        <v>8340102</v>
      </c>
    </row>
    <row r="21787" spans="1:2" x14ac:dyDescent="0.4">
      <c r="A21787" s="4">
        <v>808350000</v>
      </c>
      <c r="B21787">
        <v>8350000</v>
      </c>
    </row>
    <row r="21788" spans="1:2" x14ac:dyDescent="0.4">
      <c r="A21788" s="4">
        <v>808350001</v>
      </c>
      <c r="B21788">
        <v>8350001</v>
      </c>
    </row>
    <row r="21789" spans="1:2" x14ac:dyDescent="0.4">
      <c r="A21789" s="4">
        <v>808350002</v>
      </c>
      <c r="B21789">
        <v>8350002</v>
      </c>
    </row>
    <row r="21790" spans="1:2" x14ac:dyDescent="0.4">
      <c r="A21790" s="4">
        <v>808350200</v>
      </c>
      <c r="B21790">
        <v>8350200</v>
      </c>
    </row>
    <row r="21791" spans="1:2" x14ac:dyDescent="0.4">
      <c r="A21791" s="4">
        <v>808350201</v>
      </c>
      <c r="B21791">
        <v>8350201</v>
      </c>
    </row>
    <row r="21792" spans="1:2" x14ac:dyDescent="0.4">
      <c r="A21792" s="4">
        <v>808350202</v>
      </c>
      <c r="B21792">
        <v>8350202</v>
      </c>
    </row>
    <row r="21793" spans="1:2" x14ac:dyDescent="0.4">
      <c r="A21793" s="4">
        <v>808420000</v>
      </c>
      <c r="B21793">
        <v>8420000</v>
      </c>
    </row>
    <row r="21794" spans="1:2" x14ac:dyDescent="0.4">
      <c r="A21794" s="4">
        <v>808420001</v>
      </c>
      <c r="B21794">
        <v>8420001</v>
      </c>
    </row>
    <row r="21795" spans="1:2" x14ac:dyDescent="0.4">
      <c r="A21795" s="4">
        <v>808420002</v>
      </c>
      <c r="B21795">
        <v>8420002</v>
      </c>
    </row>
    <row r="21796" spans="1:2" x14ac:dyDescent="0.4">
      <c r="A21796" s="4">
        <v>808450000</v>
      </c>
      <c r="B21796">
        <v>8450000</v>
      </c>
    </row>
    <row r="21797" spans="1:2" x14ac:dyDescent="0.4">
      <c r="A21797" s="4">
        <v>808460100</v>
      </c>
      <c r="B21797">
        <v>8460100</v>
      </c>
    </row>
    <row r="21798" spans="1:2" x14ac:dyDescent="0.4">
      <c r="A21798" s="4">
        <v>808460300</v>
      </c>
      <c r="B21798">
        <v>8460300</v>
      </c>
    </row>
    <row r="21799" spans="1:2" x14ac:dyDescent="0.4">
      <c r="A21799" s="4">
        <v>808460500</v>
      </c>
      <c r="B21799">
        <v>8460500</v>
      </c>
    </row>
    <row r="21800" spans="1:2" x14ac:dyDescent="0.4">
      <c r="A21800" s="4">
        <v>808510000</v>
      </c>
      <c r="B21800">
        <v>8510000</v>
      </c>
    </row>
    <row r="21801" spans="1:2" x14ac:dyDescent="0.4">
      <c r="A21801" s="4">
        <v>808510001</v>
      </c>
      <c r="B21801">
        <v>8510001</v>
      </c>
    </row>
    <row r="21802" spans="1:2" x14ac:dyDescent="0.4">
      <c r="A21802" s="4">
        <v>808510002</v>
      </c>
      <c r="B21802">
        <v>8510002</v>
      </c>
    </row>
    <row r="21803" spans="1:2" x14ac:dyDescent="0.4">
      <c r="A21803" s="4">
        <v>808520000</v>
      </c>
      <c r="B21803">
        <v>8520000</v>
      </c>
    </row>
    <row r="21804" spans="1:2" x14ac:dyDescent="0.4">
      <c r="A21804" s="4">
        <v>808520001</v>
      </c>
      <c r="B21804">
        <v>8520001</v>
      </c>
    </row>
    <row r="21805" spans="1:2" x14ac:dyDescent="0.4">
      <c r="A21805" s="4">
        <v>808520002</v>
      </c>
      <c r="B21805">
        <v>8520002</v>
      </c>
    </row>
    <row r="21806" spans="1:2" x14ac:dyDescent="0.4">
      <c r="A21806" s="4">
        <v>808530000</v>
      </c>
      <c r="B21806">
        <v>8530000</v>
      </c>
    </row>
    <row r="21807" spans="1:2" x14ac:dyDescent="0.4">
      <c r="A21807" s="4">
        <v>808530100</v>
      </c>
      <c r="B21807">
        <v>8530100</v>
      </c>
    </row>
    <row r="21808" spans="1:2" x14ac:dyDescent="0.4">
      <c r="A21808" s="4">
        <v>808540000</v>
      </c>
      <c r="B21808">
        <v>8540000</v>
      </c>
    </row>
    <row r="21809" spans="1:2" x14ac:dyDescent="0.4">
      <c r="A21809" s="4">
        <v>808600100</v>
      </c>
      <c r="B21809">
        <v>8600100</v>
      </c>
    </row>
    <row r="21810" spans="1:2" x14ac:dyDescent="0.4">
      <c r="A21810" s="4">
        <v>808600101</v>
      </c>
      <c r="B21810">
        <v>8600101</v>
      </c>
    </row>
    <row r="21811" spans="1:2" x14ac:dyDescent="0.4">
      <c r="A21811" s="4">
        <v>808600102</v>
      </c>
      <c r="B21811">
        <v>8600102</v>
      </c>
    </row>
    <row r="21812" spans="1:2" x14ac:dyDescent="0.4">
      <c r="A21812" s="4">
        <v>808600200</v>
      </c>
      <c r="B21812">
        <v>8600200</v>
      </c>
    </row>
    <row r="21813" spans="1:2" x14ac:dyDescent="0.4">
      <c r="A21813" s="4">
        <v>808600201</v>
      </c>
      <c r="B21813">
        <v>8600201</v>
      </c>
    </row>
    <row r="21814" spans="1:2" x14ac:dyDescent="0.4">
      <c r="A21814" s="4">
        <v>808600202</v>
      </c>
      <c r="B21814">
        <v>8600202</v>
      </c>
    </row>
    <row r="21815" spans="1:2" x14ac:dyDescent="0.4">
      <c r="A21815" s="4">
        <v>808610300</v>
      </c>
      <c r="B21815">
        <v>8610300</v>
      </c>
    </row>
    <row r="21816" spans="1:2" x14ac:dyDescent="0.4">
      <c r="A21816" s="4">
        <v>808610400</v>
      </c>
      <c r="B21816">
        <v>8610400</v>
      </c>
    </row>
    <row r="21817" spans="1:2" x14ac:dyDescent="0.4">
      <c r="A21817" s="4">
        <v>808610500</v>
      </c>
      <c r="B21817">
        <v>8610500</v>
      </c>
    </row>
    <row r="21818" spans="1:2" x14ac:dyDescent="0.4">
      <c r="A21818" s="4">
        <v>808610600</v>
      </c>
      <c r="B21818">
        <v>8610600</v>
      </c>
    </row>
    <row r="21819" spans="1:2" x14ac:dyDescent="0.4">
      <c r="A21819" s="4">
        <v>808610700</v>
      </c>
      <c r="B21819">
        <v>8610700</v>
      </c>
    </row>
    <row r="21820" spans="1:2" x14ac:dyDescent="0.4">
      <c r="A21820" s="4">
        <v>808610710</v>
      </c>
      <c r="B21820">
        <v>8610710</v>
      </c>
    </row>
    <row r="21821" spans="1:2" x14ac:dyDescent="0.4">
      <c r="A21821" s="4">
        <v>808610720</v>
      </c>
      <c r="B21821">
        <v>8610720</v>
      </c>
    </row>
    <row r="21822" spans="1:2" x14ac:dyDescent="0.4">
      <c r="A21822" s="4">
        <v>808620000</v>
      </c>
      <c r="B21822">
        <v>8620000</v>
      </c>
    </row>
    <row r="21823" spans="1:2" x14ac:dyDescent="0.4">
      <c r="A21823" s="4">
        <v>808620010</v>
      </c>
      <c r="B21823">
        <v>8620010</v>
      </c>
    </row>
    <row r="21824" spans="1:2" x14ac:dyDescent="0.4">
      <c r="A21824" s="4">
        <v>808620020</v>
      </c>
      <c r="B21824">
        <v>8620020</v>
      </c>
    </row>
    <row r="21825" spans="1:2" x14ac:dyDescent="0.4">
      <c r="A21825" s="4">
        <v>808620100</v>
      </c>
      <c r="B21825">
        <v>8620100</v>
      </c>
    </row>
    <row r="21826" spans="1:2" x14ac:dyDescent="0.4">
      <c r="A21826" s="4">
        <v>808620110</v>
      </c>
      <c r="B21826">
        <v>8620110</v>
      </c>
    </row>
    <row r="21827" spans="1:2" x14ac:dyDescent="0.4">
      <c r="A21827" s="4">
        <v>808620120</v>
      </c>
      <c r="B21827">
        <v>8620120</v>
      </c>
    </row>
    <row r="21828" spans="1:2" x14ac:dyDescent="0.4">
      <c r="A21828" s="4">
        <v>808630000</v>
      </c>
      <c r="B21828">
        <v>8630000</v>
      </c>
    </row>
    <row r="21829" spans="1:2" x14ac:dyDescent="0.4">
      <c r="A21829" s="4">
        <v>808630010</v>
      </c>
      <c r="B21829">
        <v>8630010</v>
      </c>
    </row>
    <row r="21830" spans="1:2" x14ac:dyDescent="0.4">
      <c r="A21830" s="4">
        <v>808630020</v>
      </c>
      <c r="B21830">
        <v>8630020</v>
      </c>
    </row>
    <row r="21831" spans="1:2" x14ac:dyDescent="0.4">
      <c r="A21831" s="4">
        <v>808630100</v>
      </c>
      <c r="B21831">
        <v>8630100</v>
      </c>
    </row>
    <row r="21832" spans="1:2" x14ac:dyDescent="0.4">
      <c r="A21832" s="4">
        <v>808630110</v>
      </c>
      <c r="B21832">
        <v>8630110</v>
      </c>
    </row>
    <row r="21833" spans="1:2" x14ac:dyDescent="0.4">
      <c r="A21833" s="4">
        <v>808630120</v>
      </c>
      <c r="B21833">
        <v>8630120</v>
      </c>
    </row>
    <row r="21834" spans="1:2" x14ac:dyDescent="0.4">
      <c r="A21834" s="4">
        <v>808630200</v>
      </c>
      <c r="B21834">
        <v>8630200</v>
      </c>
    </row>
    <row r="21835" spans="1:2" x14ac:dyDescent="0.4">
      <c r="A21835" s="4">
        <v>808630300</v>
      </c>
      <c r="B21835">
        <v>8630300</v>
      </c>
    </row>
    <row r="21836" spans="1:2" x14ac:dyDescent="0.4">
      <c r="A21836" s="4">
        <v>808630400</v>
      </c>
      <c r="B21836">
        <v>8630400</v>
      </c>
    </row>
    <row r="21837" spans="1:2" x14ac:dyDescent="0.4">
      <c r="A21837" s="4">
        <v>808630500</v>
      </c>
      <c r="B21837">
        <v>8630500</v>
      </c>
    </row>
    <row r="21838" spans="1:2" x14ac:dyDescent="0.4">
      <c r="A21838" s="4">
        <v>808630600</v>
      </c>
      <c r="B21838">
        <v>8630600</v>
      </c>
    </row>
    <row r="21839" spans="1:2" x14ac:dyDescent="0.4">
      <c r="A21839" s="4">
        <v>808630700</v>
      </c>
      <c r="B21839">
        <v>8630700</v>
      </c>
    </row>
    <row r="21840" spans="1:2" x14ac:dyDescent="0.4">
      <c r="A21840" s="4">
        <v>808630800</v>
      </c>
      <c r="B21840">
        <v>8630800</v>
      </c>
    </row>
    <row r="21841" spans="1:2" x14ac:dyDescent="0.4">
      <c r="A21841" s="4">
        <v>808652000</v>
      </c>
      <c r="B21841">
        <v>8652000</v>
      </c>
    </row>
    <row r="21842" spans="1:2" x14ac:dyDescent="0.4">
      <c r="A21842" s="4">
        <v>808652010</v>
      </c>
      <c r="B21842">
        <v>8652010</v>
      </c>
    </row>
    <row r="21843" spans="1:2" x14ac:dyDescent="0.4">
      <c r="A21843" s="4">
        <v>808652020</v>
      </c>
      <c r="B21843">
        <v>8652020</v>
      </c>
    </row>
    <row r="21844" spans="1:2" x14ac:dyDescent="0.4">
      <c r="A21844" s="4">
        <v>808652100</v>
      </c>
      <c r="B21844">
        <v>8652100</v>
      </c>
    </row>
    <row r="21845" spans="1:2" x14ac:dyDescent="0.4">
      <c r="A21845" s="4">
        <v>808652110</v>
      </c>
      <c r="B21845">
        <v>8652110</v>
      </c>
    </row>
    <row r="21846" spans="1:2" x14ac:dyDescent="0.4">
      <c r="A21846" s="4">
        <v>808652120</v>
      </c>
      <c r="B21846">
        <v>8652120</v>
      </c>
    </row>
    <row r="21847" spans="1:2" x14ac:dyDescent="0.4">
      <c r="A21847" s="4">
        <v>808660000</v>
      </c>
      <c r="B21847">
        <v>8660000</v>
      </c>
    </row>
    <row r="21848" spans="1:2" x14ac:dyDescent="0.4">
      <c r="A21848" s="4">
        <v>808660001</v>
      </c>
      <c r="B21848">
        <v>8660001</v>
      </c>
    </row>
    <row r="21849" spans="1:2" x14ac:dyDescent="0.4">
      <c r="A21849" s="4">
        <v>808660002</v>
      </c>
      <c r="B21849">
        <v>8660002</v>
      </c>
    </row>
    <row r="21850" spans="1:2" x14ac:dyDescent="0.4">
      <c r="A21850" s="4">
        <v>808660100</v>
      </c>
      <c r="B21850">
        <v>8660100</v>
      </c>
    </row>
    <row r="21851" spans="1:2" x14ac:dyDescent="0.4">
      <c r="A21851" s="4">
        <v>808660101</v>
      </c>
      <c r="B21851">
        <v>8660101</v>
      </c>
    </row>
    <row r="21852" spans="1:2" x14ac:dyDescent="0.4">
      <c r="A21852" s="4">
        <v>808660102</v>
      </c>
      <c r="B21852">
        <v>8660102</v>
      </c>
    </row>
    <row r="21853" spans="1:2" x14ac:dyDescent="0.4">
      <c r="A21853" s="4">
        <v>808670000</v>
      </c>
      <c r="B21853">
        <v>8670000</v>
      </c>
    </row>
    <row r="21854" spans="1:2" x14ac:dyDescent="0.4">
      <c r="A21854" s="4">
        <v>808670001</v>
      </c>
      <c r="B21854">
        <v>8670001</v>
      </c>
    </row>
    <row r="21855" spans="1:2" x14ac:dyDescent="0.4">
      <c r="A21855" s="4">
        <v>808670002</v>
      </c>
      <c r="B21855">
        <v>8670002</v>
      </c>
    </row>
    <row r="21856" spans="1:2" x14ac:dyDescent="0.4">
      <c r="A21856" s="4">
        <v>808670100</v>
      </c>
      <c r="B21856">
        <v>8670100</v>
      </c>
    </row>
    <row r="21857" spans="1:2" x14ac:dyDescent="0.4">
      <c r="A21857" s="4">
        <v>808670101</v>
      </c>
      <c r="B21857">
        <v>8670101</v>
      </c>
    </row>
    <row r="21858" spans="1:2" x14ac:dyDescent="0.4">
      <c r="A21858" s="4">
        <v>808670102</v>
      </c>
      <c r="B21858">
        <v>8670102</v>
      </c>
    </row>
    <row r="21859" spans="1:2" x14ac:dyDescent="0.4">
      <c r="A21859" s="4">
        <v>808690000</v>
      </c>
      <c r="B21859">
        <v>8690000</v>
      </c>
    </row>
    <row r="21860" spans="1:2" x14ac:dyDescent="0.4">
      <c r="A21860" s="4">
        <v>808690100</v>
      </c>
      <c r="B21860">
        <v>8690100</v>
      </c>
    </row>
    <row r="21861" spans="1:2" x14ac:dyDescent="0.4">
      <c r="A21861" s="4">
        <v>808690200</v>
      </c>
      <c r="B21861">
        <v>8690200</v>
      </c>
    </row>
    <row r="21862" spans="1:2" x14ac:dyDescent="0.4">
      <c r="A21862" s="4">
        <v>808690300</v>
      </c>
      <c r="B21862">
        <v>8690300</v>
      </c>
    </row>
    <row r="21863" spans="1:2" x14ac:dyDescent="0.4">
      <c r="A21863" s="4">
        <v>808690400</v>
      </c>
      <c r="B21863">
        <v>8690400</v>
      </c>
    </row>
    <row r="21864" spans="1:2" x14ac:dyDescent="0.4">
      <c r="A21864" s="4">
        <v>808760000</v>
      </c>
      <c r="B21864">
        <v>8760000</v>
      </c>
    </row>
    <row r="21865" spans="1:2" x14ac:dyDescent="0.4">
      <c r="A21865" s="4">
        <v>808760050</v>
      </c>
      <c r="B21865">
        <v>8760050</v>
      </c>
    </row>
    <row r="21866" spans="1:2" x14ac:dyDescent="0.4">
      <c r="A21866" s="4">
        <v>808760100</v>
      </c>
      <c r="B21866">
        <v>8760100</v>
      </c>
    </row>
    <row r="21867" spans="1:2" x14ac:dyDescent="0.4">
      <c r="A21867" s="4">
        <v>808760150</v>
      </c>
      <c r="B21867">
        <v>8760150</v>
      </c>
    </row>
    <row r="21868" spans="1:2" x14ac:dyDescent="0.4">
      <c r="A21868" s="4">
        <v>808760200</v>
      </c>
      <c r="B21868">
        <v>8760200</v>
      </c>
    </row>
    <row r="21869" spans="1:2" x14ac:dyDescent="0.4">
      <c r="A21869" s="4">
        <v>808760250</v>
      </c>
      <c r="B21869">
        <v>8760250</v>
      </c>
    </row>
    <row r="21870" spans="1:2" x14ac:dyDescent="0.4">
      <c r="A21870" s="4">
        <v>808761000</v>
      </c>
      <c r="B21870">
        <v>8761000</v>
      </c>
    </row>
    <row r="21871" spans="1:2" x14ac:dyDescent="0.4">
      <c r="A21871" s="4">
        <v>808761050</v>
      </c>
      <c r="B21871">
        <v>8761050</v>
      </c>
    </row>
    <row r="21872" spans="1:2" x14ac:dyDescent="0.4">
      <c r="A21872" s="4">
        <v>808761100</v>
      </c>
      <c r="B21872">
        <v>8761100</v>
      </c>
    </row>
    <row r="21873" spans="1:2" x14ac:dyDescent="0.4">
      <c r="A21873" s="4">
        <v>808761150</v>
      </c>
      <c r="B21873">
        <v>8761150</v>
      </c>
    </row>
    <row r="21874" spans="1:2" x14ac:dyDescent="0.4">
      <c r="A21874" s="4">
        <v>808762000</v>
      </c>
      <c r="B21874">
        <v>8762000</v>
      </c>
    </row>
    <row r="21875" spans="1:2" x14ac:dyDescent="0.4">
      <c r="A21875" s="4">
        <v>808762050</v>
      </c>
      <c r="B21875">
        <v>8762050</v>
      </c>
    </row>
    <row r="21876" spans="1:2" x14ac:dyDescent="0.4">
      <c r="A21876" s="4">
        <v>808763000</v>
      </c>
      <c r="B21876">
        <v>8763000</v>
      </c>
    </row>
    <row r="21877" spans="1:2" x14ac:dyDescent="0.4">
      <c r="A21877" s="4">
        <v>808763050</v>
      </c>
      <c r="B21877">
        <v>8763050</v>
      </c>
    </row>
    <row r="21878" spans="1:2" x14ac:dyDescent="0.4">
      <c r="A21878" s="4">
        <v>808766000</v>
      </c>
      <c r="B21878">
        <v>8766000</v>
      </c>
    </row>
    <row r="21879" spans="1:2" x14ac:dyDescent="0.4">
      <c r="A21879" s="4">
        <v>808766050</v>
      </c>
      <c r="B21879">
        <v>8766050</v>
      </c>
    </row>
    <row r="21880" spans="1:2" x14ac:dyDescent="0.4">
      <c r="A21880" s="4">
        <v>808770000</v>
      </c>
      <c r="B21880">
        <v>8770000</v>
      </c>
    </row>
    <row r="21881" spans="1:2" x14ac:dyDescent="0.4">
      <c r="A21881" s="4">
        <v>808770050</v>
      </c>
      <c r="B21881">
        <v>8770050</v>
      </c>
    </row>
    <row r="21882" spans="1:2" x14ac:dyDescent="0.4">
      <c r="A21882" s="4">
        <v>808771000</v>
      </c>
      <c r="B21882">
        <v>8771000</v>
      </c>
    </row>
    <row r="21883" spans="1:2" x14ac:dyDescent="0.4">
      <c r="A21883" s="4">
        <v>808771050</v>
      </c>
      <c r="B21883">
        <v>8771050</v>
      </c>
    </row>
    <row r="21884" spans="1:2" x14ac:dyDescent="0.4">
      <c r="A21884" s="4">
        <v>808800100</v>
      </c>
      <c r="B21884">
        <v>8800100</v>
      </c>
    </row>
    <row r="21885" spans="1:2" x14ac:dyDescent="0.4">
      <c r="A21885" s="4">
        <v>808800150</v>
      </c>
      <c r="B21885">
        <v>8800150</v>
      </c>
    </row>
    <row r="21886" spans="1:2" x14ac:dyDescent="0.4">
      <c r="A21886" s="4">
        <v>808800200</v>
      </c>
      <c r="B21886">
        <v>8800200</v>
      </c>
    </row>
    <row r="21887" spans="1:2" x14ac:dyDescent="0.4">
      <c r="A21887" s="4">
        <v>808800250</v>
      </c>
      <c r="B21887">
        <v>8800250</v>
      </c>
    </row>
    <row r="21888" spans="1:2" x14ac:dyDescent="0.4">
      <c r="A21888" s="4">
        <v>808801000</v>
      </c>
      <c r="B21888">
        <v>8801000</v>
      </c>
    </row>
    <row r="21889" spans="1:2" x14ac:dyDescent="0.4">
      <c r="A21889" s="4">
        <v>808801050</v>
      </c>
      <c r="B21889">
        <v>8801050</v>
      </c>
    </row>
    <row r="21890" spans="1:2" x14ac:dyDescent="0.4">
      <c r="A21890" s="4">
        <v>808810000</v>
      </c>
      <c r="B21890">
        <v>8810000</v>
      </c>
    </row>
    <row r="21891" spans="1:2" x14ac:dyDescent="0.4">
      <c r="A21891" s="4">
        <v>808810050</v>
      </c>
      <c r="B21891">
        <v>8810050</v>
      </c>
    </row>
    <row r="21892" spans="1:2" x14ac:dyDescent="0.4">
      <c r="A21892" s="4">
        <v>808810200</v>
      </c>
      <c r="B21892">
        <v>8810200</v>
      </c>
    </row>
    <row r="21893" spans="1:2" x14ac:dyDescent="0.4">
      <c r="A21893" s="4">
        <v>808810250</v>
      </c>
      <c r="B21893">
        <v>8810250</v>
      </c>
    </row>
    <row r="21894" spans="1:2" x14ac:dyDescent="0.4">
      <c r="A21894" s="4">
        <v>808810300</v>
      </c>
      <c r="B21894">
        <v>8810300</v>
      </c>
    </row>
    <row r="21895" spans="1:2" x14ac:dyDescent="0.4">
      <c r="A21895" s="4">
        <v>808810350</v>
      </c>
      <c r="B21895">
        <v>8810350</v>
      </c>
    </row>
    <row r="21896" spans="1:2" x14ac:dyDescent="0.4">
      <c r="A21896" s="4">
        <v>808810400</v>
      </c>
      <c r="B21896">
        <v>8810400</v>
      </c>
    </row>
    <row r="21897" spans="1:2" x14ac:dyDescent="0.4">
      <c r="A21897" s="4">
        <v>808810450</v>
      </c>
      <c r="B21897">
        <v>8810450</v>
      </c>
    </row>
    <row r="21898" spans="1:2" x14ac:dyDescent="0.4">
      <c r="A21898" s="4">
        <v>808813100</v>
      </c>
      <c r="B21898">
        <v>8813100</v>
      </c>
    </row>
    <row r="21899" spans="1:2" x14ac:dyDescent="0.4">
      <c r="A21899" s="4">
        <v>808813150</v>
      </c>
      <c r="B21899">
        <v>8813150</v>
      </c>
    </row>
    <row r="21900" spans="1:2" x14ac:dyDescent="0.4">
      <c r="A21900" s="4">
        <v>808821000</v>
      </c>
      <c r="B21900">
        <v>8821000</v>
      </c>
    </row>
    <row r="21901" spans="1:2" x14ac:dyDescent="0.4">
      <c r="A21901" s="4">
        <v>808821050</v>
      </c>
      <c r="B21901">
        <v>8821050</v>
      </c>
    </row>
    <row r="21902" spans="1:2" x14ac:dyDescent="0.4">
      <c r="A21902" s="4">
        <v>808830000</v>
      </c>
      <c r="B21902">
        <v>8830000</v>
      </c>
    </row>
    <row r="21903" spans="1:2" x14ac:dyDescent="0.4">
      <c r="A21903" s="4">
        <v>808830050</v>
      </c>
      <c r="B21903">
        <v>8830050</v>
      </c>
    </row>
    <row r="21904" spans="1:2" x14ac:dyDescent="0.4">
      <c r="A21904" s="4">
        <v>808831000</v>
      </c>
      <c r="B21904">
        <v>8831000</v>
      </c>
    </row>
    <row r="21905" spans="1:2" x14ac:dyDescent="0.4">
      <c r="A21905" s="4">
        <v>808831050</v>
      </c>
      <c r="B21905">
        <v>8831050</v>
      </c>
    </row>
    <row r="21906" spans="1:2" x14ac:dyDescent="0.4">
      <c r="A21906" s="4">
        <v>808831200</v>
      </c>
      <c r="B21906">
        <v>8831200</v>
      </c>
    </row>
    <row r="21907" spans="1:2" x14ac:dyDescent="0.4">
      <c r="A21907" s="4">
        <v>808831250</v>
      </c>
      <c r="B21907">
        <v>8831250</v>
      </c>
    </row>
    <row r="21908" spans="1:2" x14ac:dyDescent="0.4">
      <c r="A21908" s="4">
        <v>808850000</v>
      </c>
      <c r="B21908">
        <v>8850000</v>
      </c>
    </row>
    <row r="21909" spans="1:2" x14ac:dyDescent="0.4">
      <c r="A21909" s="4">
        <v>808850050</v>
      </c>
      <c r="B21909">
        <v>8850050</v>
      </c>
    </row>
    <row r="21910" spans="1:2" x14ac:dyDescent="0.4">
      <c r="A21910" s="4">
        <v>808850100</v>
      </c>
      <c r="B21910">
        <v>8850100</v>
      </c>
    </row>
    <row r="21911" spans="1:2" x14ac:dyDescent="0.4">
      <c r="A21911" s="4">
        <v>808850150</v>
      </c>
      <c r="B21911">
        <v>8850150</v>
      </c>
    </row>
    <row r="21912" spans="1:2" x14ac:dyDescent="0.4">
      <c r="A21912" s="4">
        <v>808850200</v>
      </c>
      <c r="B21912">
        <v>8850200</v>
      </c>
    </row>
    <row r="21913" spans="1:2" x14ac:dyDescent="0.4">
      <c r="A21913" s="4">
        <v>808850250</v>
      </c>
      <c r="B21913">
        <v>8850250</v>
      </c>
    </row>
    <row r="21914" spans="1:2" x14ac:dyDescent="0.4">
      <c r="A21914" s="4">
        <v>808850300</v>
      </c>
      <c r="B21914">
        <v>8850300</v>
      </c>
    </row>
    <row r="21915" spans="1:2" x14ac:dyDescent="0.4">
      <c r="A21915" s="4">
        <v>808850350</v>
      </c>
      <c r="B21915">
        <v>8850350</v>
      </c>
    </row>
    <row r="21916" spans="1:2" x14ac:dyDescent="0.4">
      <c r="A21916" s="4">
        <v>808850400</v>
      </c>
      <c r="B21916">
        <v>8850400</v>
      </c>
    </row>
    <row r="21917" spans="1:2" x14ac:dyDescent="0.4">
      <c r="A21917" s="4">
        <v>808850450</v>
      </c>
      <c r="B21917">
        <v>8850450</v>
      </c>
    </row>
    <row r="21918" spans="1:2" x14ac:dyDescent="0.4">
      <c r="A21918" s="4">
        <v>808850500</v>
      </c>
      <c r="B21918">
        <v>8850500</v>
      </c>
    </row>
    <row r="21919" spans="1:2" x14ac:dyDescent="0.4">
      <c r="A21919" s="4">
        <v>808850550</v>
      </c>
      <c r="B21919">
        <v>8850550</v>
      </c>
    </row>
    <row r="21920" spans="1:2" x14ac:dyDescent="0.4">
      <c r="A21920" s="4">
        <v>808850600</v>
      </c>
      <c r="B21920">
        <v>8850600</v>
      </c>
    </row>
    <row r="21921" spans="1:2" x14ac:dyDescent="0.4">
      <c r="A21921" s="4">
        <v>808850650</v>
      </c>
      <c r="B21921">
        <v>8850650</v>
      </c>
    </row>
    <row r="21922" spans="1:2" x14ac:dyDescent="0.4">
      <c r="A21922" s="4">
        <v>808850700</v>
      </c>
      <c r="B21922">
        <v>8850700</v>
      </c>
    </row>
    <row r="21923" spans="1:2" x14ac:dyDescent="0.4">
      <c r="A21923" s="4">
        <v>808850750</v>
      </c>
      <c r="B21923">
        <v>8850750</v>
      </c>
    </row>
    <row r="21924" spans="1:2" x14ac:dyDescent="0.4">
      <c r="A21924" s="4">
        <v>808850800</v>
      </c>
      <c r="B21924">
        <v>8850800</v>
      </c>
    </row>
    <row r="21925" spans="1:2" x14ac:dyDescent="0.4">
      <c r="A21925" s="4">
        <v>808850850</v>
      </c>
      <c r="B21925">
        <v>8850850</v>
      </c>
    </row>
    <row r="21926" spans="1:2" x14ac:dyDescent="0.4">
      <c r="A21926" s="4">
        <v>808850900</v>
      </c>
      <c r="B21926">
        <v>8850900</v>
      </c>
    </row>
    <row r="21927" spans="1:2" x14ac:dyDescent="0.4">
      <c r="A21927" s="4">
        <v>808850950</v>
      </c>
      <c r="B21927">
        <v>8850950</v>
      </c>
    </row>
    <row r="21928" spans="1:2" x14ac:dyDescent="0.4">
      <c r="A21928" s="4">
        <v>808851000</v>
      </c>
      <c r="B21928">
        <v>8851000</v>
      </c>
    </row>
    <row r="21929" spans="1:2" x14ac:dyDescent="0.4">
      <c r="A21929" s="4">
        <v>808851050</v>
      </c>
      <c r="B21929">
        <v>8851050</v>
      </c>
    </row>
    <row r="21930" spans="1:2" x14ac:dyDescent="0.4">
      <c r="A21930" s="4">
        <v>808851100</v>
      </c>
      <c r="B21930">
        <v>8851100</v>
      </c>
    </row>
    <row r="21931" spans="1:2" x14ac:dyDescent="0.4">
      <c r="A21931" s="4">
        <v>808851150</v>
      </c>
      <c r="B21931">
        <v>8851150</v>
      </c>
    </row>
    <row r="21932" spans="1:2" x14ac:dyDescent="0.4">
      <c r="A21932" s="4">
        <v>808851200</v>
      </c>
      <c r="B21932">
        <v>8851200</v>
      </c>
    </row>
    <row r="21933" spans="1:2" x14ac:dyDescent="0.4">
      <c r="A21933" s="4">
        <v>808851250</v>
      </c>
      <c r="B21933">
        <v>8851250</v>
      </c>
    </row>
    <row r="21934" spans="1:2" x14ac:dyDescent="0.4">
      <c r="A21934" s="4">
        <v>808851300</v>
      </c>
      <c r="B21934">
        <v>8851300</v>
      </c>
    </row>
    <row r="21935" spans="1:2" x14ac:dyDescent="0.4">
      <c r="A21935" s="4">
        <v>808851350</v>
      </c>
      <c r="B21935">
        <v>8851350</v>
      </c>
    </row>
    <row r="21936" spans="1:2" x14ac:dyDescent="0.4">
      <c r="A21936" s="4">
        <v>808851800</v>
      </c>
      <c r="B21936">
        <v>8851800</v>
      </c>
    </row>
    <row r="21937" spans="1:2" x14ac:dyDescent="0.4">
      <c r="A21937" s="4">
        <v>808851850</v>
      </c>
      <c r="B21937">
        <v>8851850</v>
      </c>
    </row>
    <row r="21938" spans="1:2" x14ac:dyDescent="0.4">
      <c r="A21938" s="4">
        <v>808851900</v>
      </c>
      <c r="B21938">
        <v>8851900</v>
      </c>
    </row>
    <row r="21939" spans="1:2" x14ac:dyDescent="0.4">
      <c r="A21939" s="4">
        <v>808851950</v>
      </c>
      <c r="B21939">
        <v>8851950</v>
      </c>
    </row>
    <row r="21940" spans="1:2" x14ac:dyDescent="0.4">
      <c r="A21940" s="4">
        <v>808852000</v>
      </c>
      <c r="B21940">
        <v>8852000</v>
      </c>
    </row>
    <row r="21941" spans="1:2" x14ac:dyDescent="0.4">
      <c r="A21941" s="4">
        <v>808852050</v>
      </c>
      <c r="B21941">
        <v>8852050</v>
      </c>
    </row>
    <row r="21942" spans="1:2" x14ac:dyDescent="0.4">
      <c r="A21942" s="4">
        <v>808880000</v>
      </c>
      <c r="B21942">
        <v>8880000</v>
      </c>
    </row>
    <row r="21943" spans="1:2" x14ac:dyDescent="0.4">
      <c r="A21943" s="4">
        <v>808880200</v>
      </c>
      <c r="B21943">
        <v>8880200</v>
      </c>
    </row>
    <row r="21944" spans="1:2" x14ac:dyDescent="0.4">
      <c r="A21944" s="4">
        <v>808880300</v>
      </c>
      <c r="B21944">
        <v>8880300</v>
      </c>
    </row>
    <row r="21945" spans="1:2" x14ac:dyDescent="0.4">
      <c r="A21945" s="4">
        <v>808881000</v>
      </c>
      <c r="B21945">
        <v>8881000</v>
      </c>
    </row>
    <row r="21946" spans="1:2" x14ac:dyDescent="0.4">
      <c r="A21946" s="4">
        <v>808881200</v>
      </c>
      <c r="B21946">
        <v>8881200</v>
      </c>
    </row>
    <row r="21947" spans="1:2" x14ac:dyDescent="0.4">
      <c r="A21947" s="4">
        <v>808881500</v>
      </c>
      <c r="B21947">
        <v>8881500</v>
      </c>
    </row>
    <row r="21948" spans="1:2" x14ac:dyDescent="0.4">
      <c r="A21948" s="4">
        <v>808882100</v>
      </c>
      <c r="B21948">
        <v>8882100</v>
      </c>
    </row>
    <row r="21949" spans="1:2" x14ac:dyDescent="0.4">
      <c r="A21949" s="4">
        <v>808882500</v>
      </c>
      <c r="B21949">
        <v>8882500</v>
      </c>
    </row>
    <row r="21950" spans="1:2" x14ac:dyDescent="0.4">
      <c r="A21950" s="4">
        <v>808883000</v>
      </c>
      <c r="B21950">
        <v>8883000</v>
      </c>
    </row>
    <row r="21951" spans="1:2" x14ac:dyDescent="0.4">
      <c r="A21951" s="4">
        <v>808883100</v>
      </c>
      <c r="B21951">
        <v>8883100</v>
      </c>
    </row>
    <row r="21952" spans="1:2" x14ac:dyDescent="0.4">
      <c r="A21952" s="4">
        <v>808883200</v>
      </c>
      <c r="B21952">
        <v>8883200</v>
      </c>
    </row>
    <row r="21953" spans="1:2" x14ac:dyDescent="0.4">
      <c r="A21953" s="4">
        <v>808883300</v>
      </c>
      <c r="B21953">
        <v>8883300</v>
      </c>
    </row>
    <row r="21954" spans="1:2" x14ac:dyDescent="0.4">
      <c r="A21954" s="4">
        <v>808883400</v>
      </c>
      <c r="B21954">
        <v>8883400</v>
      </c>
    </row>
    <row r="21955" spans="1:2" x14ac:dyDescent="0.4">
      <c r="A21955" s="4">
        <v>808884200</v>
      </c>
      <c r="B21955">
        <v>8884200</v>
      </c>
    </row>
    <row r="21956" spans="1:2" x14ac:dyDescent="0.4">
      <c r="A21956" s="4">
        <v>808884300</v>
      </c>
      <c r="B21956">
        <v>8884300</v>
      </c>
    </row>
    <row r="21957" spans="1:2" x14ac:dyDescent="0.4">
      <c r="A21957" s="4">
        <v>808885000</v>
      </c>
      <c r="B21957">
        <v>8885000</v>
      </c>
    </row>
    <row r="21958" spans="1:2" x14ac:dyDescent="0.4">
      <c r="A21958" s="4">
        <v>808885100</v>
      </c>
      <c r="B21958">
        <v>8885100</v>
      </c>
    </row>
    <row r="21959" spans="1:2" x14ac:dyDescent="0.4">
      <c r="A21959" s="4">
        <v>808885200</v>
      </c>
      <c r="B21959">
        <v>8885200</v>
      </c>
    </row>
    <row r="21960" spans="1:2" x14ac:dyDescent="0.4">
      <c r="A21960" s="4">
        <v>810000000</v>
      </c>
      <c r="B21960">
        <v>8880000</v>
      </c>
    </row>
    <row r="21961" spans="1:2" x14ac:dyDescent="0.4">
      <c r="A21961" s="4">
        <v>810000000</v>
      </c>
      <c r="B21961">
        <v>8880200</v>
      </c>
    </row>
    <row r="21962" spans="1:2" x14ac:dyDescent="0.4">
      <c r="A21962" s="4">
        <v>810000000</v>
      </c>
      <c r="B21962">
        <v>8880300</v>
      </c>
    </row>
    <row r="21963" spans="1:2" x14ac:dyDescent="0.4">
      <c r="A21963" s="4">
        <v>810000000</v>
      </c>
      <c r="B21963">
        <v>8881000</v>
      </c>
    </row>
    <row r="21964" spans="1:2" x14ac:dyDescent="0.4">
      <c r="A21964" s="4">
        <v>810000000</v>
      </c>
      <c r="B21964">
        <v>8881200</v>
      </c>
    </row>
    <row r="21965" spans="1:2" x14ac:dyDescent="0.4">
      <c r="A21965" s="4">
        <v>810000000</v>
      </c>
      <c r="B21965">
        <v>8881500</v>
      </c>
    </row>
    <row r="21966" spans="1:2" x14ac:dyDescent="0.4">
      <c r="A21966" s="4">
        <v>810000000</v>
      </c>
      <c r="B21966">
        <v>8882100</v>
      </c>
    </row>
    <row r="21967" spans="1:2" x14ac:dyDescent="0.4">
      <c r="A21967" s="4">
        <v>810000000</v>
      </c>
      <c r="B21967">
        <v>8882500</v>
      </c>
    </row>
    <row r="21968" spans="1:2" x14ac:dyDescent="0.4">
      <c r="A21968" s="4">
        <v>810000000</v>
      </c>
      <c r="B21968">
        <v>8885000</v>
      </c>
    </row>
    <row r="21969" spans="1:2" x14ac:dyDescent="0.4">
      <c r="A21969" s="4">
        <v>810000000</v>
      </c>
      <c r="B21969">
        <v>8850050</v>
      </c>
    </row>
    <row r="21970" spans="1:2" x14ac:dyDescent="0.4">
      <c r="A21970" s="4">
        <v>810000000</v>
      </c>
      <c r="B21970">
        <v>8850150</v>
      </c>
    </row>
    <row r="21971" spans="1:2" x14ac:dyDescent="0.4">
      <c r="A21971" s="4">
        <v>810000000</v>
      </c>
      <c r="B21971">
        <v>8850250</v>
      </c>
    </row>
    <row r="21972" spans="1:2" x14ac:dyDescent="0.4">
      <c r="A21972" s="4">
        <v>810000000</v>
      </c>
      <c r="B21972">
        <v>8850350</v>
      </c>
    </row>
    <row r="21973" spans="1:2" x14ac:dyDescent="0.4">
      <c r="A21973" s="4">
        <v>810000000</v>
      </c>
      <c r="B21973">
        <v>8850450</v>
      </c>
    </row>
    <row r="21974" spans="1:2" x14ac:dyDescent="0.4">
      <c r="A21974" s="4">
        <v>810000000</v>
      </c>
      <c r="B21974">
        <v>8850550</v>
      </c>
    </row>
    <row r="21975" spans="1:2" x14ac:dyDescent="0.4">
      <c r="A21975" s="4">
        <v>810000000</v>
      </c>
      <c r="B21975">
        <v>8850650</v>
      </c>
    </row>
    <row r="21976" spans="1:2" x14ac:dyDescent="0.4">
      <c r="A21976" s="4">
        <v>810000000</v>
      </c>
      <c r="B21976">
        <v>8850750</v>
      </c>
    </row>
    <row r="21977" spans="1:2" x14ac:dyDescent="0.4">
      <c r="A21977" s="4">
        <v>810000000</v>
      </c>
      <c r="B21977">
        <v>8850850</v>
      </c>
    </row>
    <row r="21978" spans="1:2" x14ac:dyDescent="0.4">
      <c r="A21978" s="4">
        <v>810000000</v>
      </c>
      <c r="B21978">
        <v>8850950</v>
      </c>
    </row>
    <row r="21979" spans="1:2" x14ac:dyDescent="0.4">
      <c r="A21979" s="4">
        <v>810000000</v>
      </c>
      <c r="B21979">
        <v>8851050</v>
      </c>
    </row>
    <row r="21980" spans="1:2" x14ac:dyDescent="0.4">
      <c r="A21980" s="4">
        <v>810000000</v>
      </c>
      <c r="B21980">
        <v>8851150</v>
      </c>
    </row>
    <row r="21981" spans="1:2" x14ac:dyDescent="0.4">
      <c r="A21981" s="4">
        <v>810000000</v>
      </c>
      <c r="B21981">
        <v>8851250</v>
      </c>
    </row>
    <row r="21982" spans="1:2" x14ac:dyDescent="0.4">
      <c r="A21982" s="4">
        <v>810000000</v>
      </c>
      <c r="B21982">
        <v>8851350</v>
      </c>
    </row>
    <row r="21983" spans="1:2" x14ac:dyDescent="0.4">
      <c r="A21983" s="4">
        <v>810000000</v>
      </c>
      <c r="B21983">
        <v>8851850</v>
      </c>
    </row>
    <row r="21984" spans="1:2" x14ac:dyDescent="0.4">
      <c r="A21984" s="4">
        <v>810000000</v>
      </c>
      <c r="B21984">
        <v>8851950</v>
      </c>
    </row>
    <row r="21985" spans="1:2" x14ac:dyDescent="0.4">
      <c r="A21985" s="4">
        <v>810000000</v>
      </c>
      <c r="B21985">
        <v>8852050</v>
      </c>
    </row>
    <row r="21986" spans="1:2" x14ac:dyDescent="0.4">
      <c r="A21986" s="4">
        <v>811000000</v>
      </c>
      <c r="B21986">
        <v>8883000</v>
      </c>
    </row>
    <row r="21987" spans="1:2" x14ac:dyDescent="0.4">
      <c r="A21987" s="4">
        <v>811000000</v>
      </c>
      <c r="B21987">
        <v>8883100</v>
      </c>
    </row>
    <row r="21988" spans="1:2" x14ac:dyDescent="0.4">
      <c r="A21988" s="4">
        <v>811000000</v>
      </c>
      <c r="B21988">
        <v>8883200</v>
      </c>
    </row>
    <row r="21989" spans="1:2" x14ac:dyDescent="0.4">
      <c r="A21989" s="4">
        <v>811000000</v>
      </c>
      <c r="B21989">
        <v>8883300</v>
      </c>
    </row>
    <row r="21990" spans="1:2" x14ac:dyDescent="0.4">
      <c r="A21990" s="4">
        <v>811000000</v>
      </c>
      <c r="B21990">
        <v>8883400</v>
      </c>
    </row>
    <row r="21991" spans="1:2" x14ac:dyDescent="0.4">
      <c r="A21991" s="4">
        <v>811000000</v>
      </c>
      <c r="B21991">
        <v>8885000</v>
      </c>
    </row>
    <row r="21992" spans="1:2" x14ac:dyDescent="0.4">
      <c r="A21992" s="4">
        <v>811000000</v>
      </c>
      <c r="B21992">
        <v>8850050</v>
      </c>
    </row>
    <row r="21993" spans="1:2" x14ac:dyDescent="0.4">
      <c r="A21993" s="4">
        <v>811000000</v>
      </c>
      <c r="B21993">
        <v>8850150</v>
      </c>
    </row>
    <row r="21994" spans="1:2" x14ac:dyDescent="0.4">
      <c r="A21994" s="4">
        <v>811000000</v>
      </c>
      <c r="B21994">
        <v>8850250</v>
      </c>
    </row>
    <row r="21995" spans="1:2" x14ac:dyDescent="0.4">
      <c r="A21995" s="4">
        <v>811000000</v>
      </c>
      <c r="B21995">
        <v>8850350</v>
      </c>
    </row>
    <row r="21996" spans="1:2" x14ac:dyDescent="0.4">
      <c r="A21996" s="4">
        <v>811000000</v>
      </c>
      <c r="B21996">
        <v>8850450</v>
      </c>
    </row>
    <row r="21997" spans="1:2" x14ac:dyDescent="0.4">
      <c r="A21997" s="4">
        <v>811000000</v>
      </c>
      <c r="B21997">
        <v>8850550</v>
      </c>
    </row>
    <row r="21998" spans="1:2" x14ac:dyDescent="0.4">
      <c r="A21998" s="4">
        <v>811000000</v>
      </c>
      <c r="B21998">
        <v>8850650</v>
      </c>
    </row>
    <row r="21999" spans="1:2" x14ac:dyDescent="0.4">
      <c r="A21999" s="4">
        <v>811000000</v>
      </c>
      <c r="B21999">
        <v>8850750</v>
      </c>
    </row>
    <row r="22000" spans="1:2" x14ac:dyDescent="0.4">
      <c r="A22000" s="4">
        <v>811000000</v>
      </c>
      <c r="B22000">
        <v>8850850</v>
      </c>
    </row>
    <row r="22001" spans="1:2" x14ac:dyDescent="0.4">
      <c r="A22001" s="4">
        <v>811000000</v>
      </c>
      <c r="B22001">
        <v>8850950</v>
      </c>
    </row>
    <row r="22002" spans="1:2" x14ac:dyDescent="0.4">
      <c r="A22002" s="4">
        <v>811000000</v>
      </c>
      <c r="B22002">
        <v>8851050</v>
      </c>
    </row>
    <row r="22003" spans="1:2" x14ac:dyDescent="0.4">
      <c r="A22003" s="4">
        <v>811000000</v>
      </c>
      <c r="B22003">
        <v>8851150</v>
      </c>
    </row>
    <row r="22004" spans="1:2" x14ac:dyDescent="0.4">
      <c r="A22004" s="4">
        <v>811000000</v>
      </c>
      <c r="B22004">
        <v>8851250</v>
      </c>
    </row>
    <row r="22005" spans="1:2" x14ac:dyDescent="0.4">
      <c r="A22005" s="4">
        <v>811000000</v>
      </c>
      <c r="B22005">
        <v>8851350</v>
      </c>
    </row>
    <row r="22006" spans="1:2" x14ac:dyDescent="0.4">
      <c r="A22006" s="4">
        <v>811000000</v>
      </c>
      <c r="B22006">
        <v>8851850</v>
      </c>
    </row>
    <row r="22007" spans="1:2" x14ac:dyDescent="0.4">
      <c r="A22007" s="4">
        <v>811000000</v>
      </c>
      <c r="B22007">
        <v>8851950</v>
      </c>
    </row>
    <row r="22008" spans="1:2" x14ac:dyDescent="0.4">
      <c r="A22008" s="4">
        <v>811000000</v>
      </c>
      <c r="B22008">
        <v>8852050</v>
      </c>
    </row>
    <row r="22009" spans="1:2" x14ac:dyDescent="0.4">
      <c r="A22009" s="4">
        <v>812000000</v>
      </c>
      <c r="B22009">
        <v>8883100</v>
      </c>
    </row>
    <row r="22010" spans="1:2" x14ac:dyDescent="0.4">
      <c r="A22010" s="4">
        <v>812000000</v>
      </c>
      <c r="B22010">
        <v>8883200</v>
      </c>
    </row>
    <row r="22011" spans="1:2" x14ac:dyDescent="0.4">
      <c r="A22011" s="4">
        <v>812000000</v>
      </c>
      <c r="B22011">
        <v>8883300</v>
      </c>
    </row>
    <row r="22012" spans="1:2" x14ac:dyDescent="0.4">
      <c r="A22012" s="4">
        <v>812000000</v>
      </c>
      <c r="B22012">
        <v>8883400</v>
      </c>
    </row>
    <row r="22013" spans="1:2" x14ac:dyDescent="0.4">
      <c r="A22013" s="4">
        <v>812000000</v>
      </c>
      <c r="B22013">
        <v>8885000</v>
      </c>
    </row>
    <row r="22014" spans="1:2" x14ac:dyDescent="0.4">
      <c r="A22014" s="4">
        <v>812000000</v>
      </c>
      <c r="B22014">
        <v>8850050</v>
      </c>
    </row>
    <row r="22015" spans="1:2" x14ac:dyDescent="0.4">
      <c r="A22015" s="4">
        <v>812000000</v>
      </c>
      <c r="B22015">
        <v>8850150</v>
      </c>
    </row>
    <row r="22016" spans="1:2" x14ac:dyDescent="0.4">
      <c r="A22016" s="4">
        <v>812000000</v>
      </c>
      <c r="B22016">
        <v>8850250</v>
      </c>
    </row>
    <row r="22017" spans="1:2" x14ac:dyDescent="0.4">
      <c r="A22017" s="4">
        <v>812000000</v>
      </c>
      <c r="B22017">
        <v>8850350</v>
      </c>
    </row>
    <row r="22018" spans="1:2" x14ac:dyDescent="0.4">
      <c r="A22018" s="4">
        <v>812000000</v>
      </c>
      <c r="B22018">
        <v>8850450</v>
      </c>
    </row>
    <row r="22019" spans="1:2" x14ac:dyDescent="0.4">
      <c r="A22019" s="4">
        <v>812000000</v>
      </c>
      <c r="B22019">
        <v>8850550</v>
      </c>
    </row>
    <row r="22020" spans="1:2" x14ac:dyDescent="0.4">
      <c r="A22020" s="4">
        <v>812000000</v>
      </c>
      <c r="B22020">
        <v>8850650</v>
      </c>
    </row>
    <row r="22021" spans="1:2" x14ac:dyDescent="0.4">
      <c r="A22021" s="4">
        <v>812000000</v>
      </c>
      <c r="B22021">
        <v>8850750</v>
      </c>
    </row>
    <row r="22022" spans="1:2" x14ac:dyDescent="0.4">
      <c r="A22022" s="4">
        <v>812000000</v>
      </c>
      <c r="B22022">
        <v>8850850</v>
      </c>
    </row>
    <row r="22023" spans="1:2" x14ac:dyDescent="0.4">
      <c r="A22023" s="4">
        <v>812000000</v>
      </c>
      <c r="B22023">
        <v>8850950</v>
      </c>
    </row>
    <row r="22024" spans="1:2" x14ac:dyDescent="0.4">
      <c r="A22024" s="4">
        <v>812000000</v>
      </c>
      <c r="B22024">
        <v>8851050</v>
      </c>
    </row>
    <row r="22025" spans="1:2" x14ac:dyDescent="0.4">
      <c r="A22025" s="4">
        <v>812000000</v>
      </c>
      <c r="B22025">
        <v>8851150</v>
      </c>
    </row>
    <row r="22026" spans="1:2" x14ac:dyDescent="0.4">
      <c r="A22026" s="4">
        <v>812000000</v>
      </c>
      <c r="B22026">
        <v>8851250</v>
      </c>
    </row>
    <row r="22027" spans="1:2" x14ac:dyDescent="0.4">
      <c r="A22027" s="4">
        <v>812000000</v>
      </c>
      <c r="B22027">
        <v>8851350</v>
      </c>
    </row>
    <row r="22028" spans="1:2" x14ac:dyDescent="0.4">
      <c r="A22028" s="4">
        <v>812000000</v>
      </c>
      <c r="B22028">
        <v>8851850</v>
      </c>
    </row>
    <row r="22029" spans="1:2" x14ac:dyDescent="0.4">
      <c r="A22029" s="4">
        <v>812000000</v>
      </c>
      <c r="B22029">
        <v>8851950</v>
      </c>
    </row>
    <row r="22030" spans="1:2" x14ac:dyDescent="0.4">
      <c r="A22030" s="4">
        <v>812000000</v>
      </c>
      <c r="B22030">
        <v>8852050</v>
      </c>
    </row>
    <row r="22031" spans="1:2" x14ac:dyDescent="0.4">
      <c r="A22031" s="4">
        <v>813000000</v>
      </c>
      <c r="B22031">
        <v>8885100</v>
      </c>
    </row>
    <row r="22032" spans="1:2" x14ac:dyDescent="0.4">
      <c r="A22032" s="4">
        <v>813000000</v>
      </c>
      <c r="B22032">
        <v>8885000</v>
      </c>
    </row>
    <row r="22033" spans="1:2" x14ac:dyDescent="0.4">
      <c r="A22033" s="4">
        <v>813000000</v>
      </c>
      <c r="B22033">
        <v>8885200</v>
      </c>
    </row>
    <row r="22034" spans="1:2" x14ac:dyDescent="0.4">
      <c r="A22034" s="4">
        <v>813000000</v>
      </c>
      <c r="B22034">
        <v>8850050</v>
      </c>
    </row>
    <row r="22035" spans="1:2" x14ac:dyDescent="0.4">
      <c r="A22035" s="4">
        <v>813000000</v>
      </c>
      <c r="B22035">
        <v>8850150</v>
      </c>
    </row>
    <row r="22036" spans="1:2" x14ac:dyDescent="0.4">
      <c r="A22036" s="4">
        <v>813000000</v>
      </c>
      <c r="B22036">
        <v>8850250</v>
      </c>
    </row>
    <row r="22037" spans="1:2" x14ac:dyDescent="0.4">
      <c r="A22037" s="4">
        <v>813000000</v>
      </c>
      <c r="B22037">
        <v>8850350</v>
      </c>
    </row>
    <row r="22038" spans="1:2" x14ac:dyDescent="0.4">
      <c r="A22038" s="4">
        <v>813000000</v>
      </c>
      <c r="B22038">
        <v>8850450</v>
      </c>
    </row>
    <row r="22039" spans="1:2" x14ac:dyDescent="0.4">
      <c r="A22039" s="4">
        <v>813000000</v>
      </c>
      <c r="B22039">
        <v>8850550</v>
      </c>
    </row>
    <row r="22040" spans="1:2" x14ac:dyDescent="0.4">
      <c r="A22040" s="4">
        <v>813000000</v>
      </c>
      <c r="B22040">
        <v>8850650</v>
      </c>
    </row>
    <row r="22041" spans="1:2" x14ac:dyDescent="0.4">
      <c r="A22041" s="4">
        <v>813000000</v>
      </c>
      <c r="B22041">
        <v>8850750</v>
      </c>
    </row>
    <row r="22042" spans="1:2" x14ac:dyDescent="0.4">
      <c r="A22042" s="4">
        <v>813000000</v>
      </c>
      <c r="B22042">
        <v>8850850</v>
      </c>
    </row>
    <row r="22043" spans="1:2" x14ac:dyDescent="0.4">
      <c r="A22043" s="4">
        <v>813000000</v>
      </c>
      <c r="B22043">
        <v>8850950</v>
      </c>
    </row>
    <row r="22044" spans="1:2" x14ac:dyDescent="0.4">
      <c r="A22044" s="4">
        <v>813000000</v>
      </c>
      <c r="B22044">
        <v>8851050</v>
      </c>
    </row>
    <row r="22045" spans="1:2" x14ac:dyDescent="0.4">
      <c r="A22045" s="4">
        <v>813000000</v>
      </c>
      <c r="B22045">
        <v>8851150</v>
      </c>
    </row>
    <row r="22046" spans="1:2" x14ac:dyDescent="0.4">
      <c r="A22046" s="4">
        <v>813000000</v>
      </c>
      <c r="B22046">
        <v>8851250</v>
      </c>
    </row>
    <row r="22047" spans="1:2" x14ac:dyDescent="0.4">
      <c r="A22047" s="4">
        <v>813000000</v>
      </c>
      <c r="B22047">
        <v>8851350</v>
      </c>
    </row>
    <row r="22048" spans="1:2" x14ac:dyDescent="0.4">
      <c r="A22048" s="4">
        <v>813000000</v>
      </c>
      <c r="B22048">
        <v>8851850</v>
      </c>
    </row>
    <row r="22049" spans="1:2" x14ac:dyDescent="0.4">
      <c r="A22049" s="4">
        <v>813000000</v>
      </c>
      <c r="B22049">
        <v>8851950</v>
      </c>
    </row>
    <row r="22050" spans="1:2" x14ac:dyDescent="0.4">
      <c r="A22050" s="4">
        <v>813000000</v>
      </c>
      <c r="B22050">
        <v>8852050</v>
      </c>
    </row>
    <row r="22051" spans="1:2" x14ac:dyDescent="0.4">
      <c r="A22051" s="4">
        <v>814000000</v>
      </c>
      <c r="B22051">
        <v>8884200</v>
      </c>
    </row>
    <row r="22052" spans="1:2" x14ac:dyDescent="0.4">
      <c r="A22052" s="4">
        <v>814000000</v>
      </c>
      <c r="B22052">
        <v>8884300</v>
      </c>
    </row>
    <row r="22053" spans="1:2" x14ac:dyDescent="0.4">
      <c r="A22053" s="4">
        <v>814000000</v>
      </c>
      <c r="B22053">
        <v>8885000</v>
      </c>
    </row>
    <row r="22054" spans="1:2" x14ac:dyDescent="0.4">
      <c r="A22054" s="4">
        <v>814000000</v>
      </c>
      <c r="B22054">
        <v>8850050</v>
      </c>
    </row>
    <row r="22055" spans="1:2" x14ac:dyDescent="0.4">
      <c r="A22055" s="4">
        <v>814000000</v>
      </c>
      <c r="B22055">
        <v>8850150</v>
      </c>
    </row>
    <row r="22056" spans="1:2" x14ac:dyDescent="0.4">
      <c r="A22056" s="4">
        <v>814000000</v>
      </c>
      <c r="B22056">
        <v>8850250</v>
      </c>
    </row>
    <row r="22057" spans="1:2" x14ac:dyDescent="0.4">
      <c r="A22057" s="4">
        <v>814000000</v>
      </c>
      <c r="B22057">
        <v>8850350</v>
      </c>
    </row>
    <row r="22058" spans="1:2" x14ac:dyDescent="0.4">
      <c r="A22058" s="4">
        <v>814000000</v>
      </c>
      <c r="B22058">
        <v>8850450</v>
      </c>
    </row>
    <row r="22059" spans="1:2" x14ac:dyDescent="0.4">
      <c r="A22059" s="4">
        <v>814000000</v>
      </c>
      <c r="B22059">
        <v>8850550</v>
      </c>
    </row>
    <row r="22060" spans="1:2" x14ac:dyDescent="0.4">
      <c r="A22060" s="4">
        <v>814000000</v>
      </c>
      <c r="B22060">
        <v>8850650</v>
      </c>
    </row>
    <row r="22061" spans="1:2" x14ac:dyDescent="0.4">
      <c r="A22061" s="4">
        <v>814000000</v>
      </c>
      <c r="B22061">
        <v>8850750</v>
      </c>
    </row>
    <row r="22062" spans="1:2" x14ac:dyDescent="0.4">
      <c r="A22062" s="4">
        <v>814000000</v>
      </c>
      <c r="B22062">
        <v>8850850</v>
      </c>
    </row>
    <row r="22063" spans="1:2" x14ac:dyDescent="0.4">
      <c r="A22063" s="4">
        <v>814000000</v>
      </c>
      <c r="B22063">
        <v>8850950</v>
      </c>
    </row>
    <row r="22064" spans="1:2" x14ac:dyDescent="0.4">
      <c r="A22064" s="4">
        <v>814000000</v>
      </c>
      <c r="B22064">
        <v>8851050</v>
      </c>
    </row>
    <row r="22065" spans="1:2" x14ac:dyDescent="0.4">
      <c r="A22065" s="4">
        <v>814000000</v>
      </c>
      <c r="B22065">
        <v>8851150</v>
      </c>
    </row>
    <row r="22066" spans="1:2" x14ac:dyDescent="0.4">
      <c r="A22066" s="4">
        <v>814000000</v>
      </c>
      <c r="B22066">
        <v>8851250</v>
      </c>
    </row>
    <row r="22067" spans="1:2" x14ac:dyDescent="0.4">
      <c r="A22067" s="4">
        <v>814000000</v>
      </c>
      <c r="B22067">
        <v>8851350</v>
      </c>
    </row>
    <row r="22068" spans="1:2" x14ac:dyDescent="0.4">
      <c r="A22068" s="4">
        <v>814000000</v>
      </c>
      <c r="B22068">
        <v>8851850</v>
      </c>
    </row>
    <row r="22069" spans="1:2" x14ac:dyDescent="0.4">
      <c r="A22069" s="4">
        <v>814000000</v>
      </c>
      <c r="B22069">
        <v>8851950</v>
      </c>
    </row>
    <row r="22070" spans="1:2" x14ac:dyDescent="0.4">
      <c r="A22070" s="4">
        <v>814000000</v>
      </c>
      <c r="B22070">
        <v>8852050</v>
      </c>
    </row>
    <row r="22071" spans="1:2" x14ac:dyDescent="0.4">
      <c r="A22071" s="4">
        <v>900000000</v>
      </c>
      <c r="B22071">
        <v>8880000</v>
      </c>
    </row>
    <row r="22072" spans="1:2" x14ac:dyDescent="0.4">
      <c r="A22072" s="4">
        <v>900000001</v>
      </c>
      <c r="B22072">
        <v>8880200</v>
      </c>
    </row>
    <row r="22073" spans="1:2" x14ac:dyDescent="0.4">
      <c r="A22073" s="4">
        <v>900000002</v>
      </c>
      <c r="B22073">
        <v>8880300</v>
      </c>
    </row>
    <row r="22074" spans="1:2" x14ac:dyDescent="0.4">
      <c r="A22074" s="4">
        <v>900000003</v>
      </c>
      <c r="B22074">
        <v>8881000</v>
      </c>
    </row>
    <row r="22075" spans="1:2" x14ac:dyDescent="0.4">
      <c r="A22075" s="4">
        <v>900000004</v>
      </c>
      <c r="B22075">
        <v>8881200</v>
      </c>
    </row>
    <row r="22076" spans="1:2" x14ac:dyDescent="0.4">
      <c r="A22076" s="4">
        <v>900000005</v>
      </c>
      <c r="B22076">
        <v>8881500</v>
      </c>
    </row>
    <row r="22077" spans="1:2" x14ac:dyDescent="0.4">
      <c r="A22077" s="4">
        <v>900000006</v>
      </c>
      <c r="B22077">
        <v>8882100</v>
      </c>
    </row>
    <row r="22078" spans="1:2" x14ac:dyDescent="0.4">
      <c r="A22078" s="4">
        <v>900000007</v>
      </c>
      <c r="B22078">
        <v>8882500</v>
      </c>
    </row>
    <row r="22079" spans="1:2" x14ac:dyDescent="0.4">
      <c r="A22079" s="4">
        <v>900000008</v>
      </c>
      <c r="B22079">
        <v>8883000</v>
      </c>
    </row>
    <row r="22080" spans="1:2" x14ac:dyDescent="0.4">
      <c r="A22080" s="4">
        <v>900000009</v>
      </c>
      <c r="B22080">
        <v>8883100</v>
      </c>
    </row>
    <row r="22081" spans="1:2" x14ac:dyDescent="0.4">
      <c r="A22081" s="4">
        <v>900000010</v>
      </c>
      <c r="B22081">
        <v>8883200</v>
      </c>
    </row>
    <row r="22082" spans="1:2" x14ac:dyDescent="0.4">
      <c r="A22082" s="4">
        <v>900000011</v>
      </c>
      <c r="B22082">
        <v>8883300</v>
      </c>
    </row>
    <row r="22083" spans="1:2" x14ac:dyDescent="0.4">
      <c r="A22083" s="4">
        <v>900000012</v>
      </c>
      <c r="B22083">
        <v>8883400</v>
      </c>
    </row>
    <row r="22084" spans="1:2" x14ac:dyDescent="0.4">
      <c r="A22084" s="4">
        <v>900000013</v>
      </c>
      <c r="B22084">
        <v>8884200</v>
      </c>
    </row>
    <row r="22085" spans="1:2" x14ac:dyDescent="0.4">
      <c r="A22085" s="4">
        <v>900000014</v>
      </c>
      <c r="B22085">
        <v>8884300</v>
      </c>
    </row>
    <row r="22086" spans="1:2" x14ac:dyDescent="0.4">
      <c r="A22086" s="4">
        <v>900000015</v>
      </c>
      <c r="B22086">
        <v>8885000</v>
      </c>
    </row>
    <row r="22087" spans="1:2" x14ac:dyDescent="0.4">
      <c r="A22087" s="4">
        <v>900000016</v>
      </c>
      <c r="B22087">
        <v>8885100</v>
      </c>
    </row>
    <row r="22088" spans="1:2" x14ac:dyDescent="0.4">
      <c r="A22088" s="4">
        <v>900000017</v>
      </c>
      <c r="B22088">
        <v>8885200</v>
      </c>
    </row>
    <row r="22089" spans="1:2" x14ac:dyDescent="0.4">
      <c r="A22089" s="4">
        <v>999999999</v>
      </c>
      <c r="B22089">
        <v>-1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E5A2-E8B2-44D5-BFE6-9A3F98C6A1E4}">
  <dimension ref="A1:D2080"/>
  <sheetViews>
    <sheetView topLeftCell="A2062" workbookViewId="0">
      <selection sqref="A1:A1048576"/>
    </sheetView>
  </sheetViews>
  <sheetFormatPr defaultRowHeight="17" x14ac:dyDescent="0.4"/>
  <cols>
    <col min="1" max="1" width="11.1796875" bestFit="1" customWidth="1"/>
    <col min="2" max="2" width="18.453125" bestFit="1" customWidth="1"/>
    <col min="3" max="3" width="15.54296875" bestFit="1" customWidth="1"/>
    <col min="4" max="4" width="19.453125" bestFit="1" customWidth="1"/>
    <col min="5" max="5" width="14.54296875" bestFit="1" customWidth="1"/>
    <col min="6" max="8" width="23.453125" bestFit="1" customWidth="1"/>
    <col min="9" max="9" width="18.453125" bestFit="1" customWidth="1"/>
    <col min="10" max="10" width="15.54296875" bestFit="1" customWidth="1"/>
    <col min="11" max="11" width="20.54296875" bestFit="1" customWidth="1"/>
    <col min="12" max="12" width="19.54296875" bestFit="1" customWidth="1"/>
    <col min="13" max="13" width="20.08984375" bestFit="1" customWidth="1"/>
    <col min="14" max="14" width="16.90625" bestFit="1" customWidth="1"/>
    <col min="15" max="15" width="11.81640625" bestFit="1" customWidth="1"/>
    <col min="16" max="16" width="15.6328125" bestFit="1" customWidth="1"/>
    <col min="17" max="17" width="15.81640625" bestFit="1" customWidth="1"/>
    <col min="18" max="18" width="28.6328125" bestFit="1" customWidth="1"/>
    <col min="19" max="19" width="16" bestFit="1" customWidth="1"/>
    <col min="20" max="20" width="17.81640625" bestFit="1" customWidth="1"/>
    <col min="21" max="21" width="16.08984375" bestFit="1" customWidth="1"/>
    <col min="22" max="22" width="17" bestFit="1" customWidth="1"/>
    <col min="23" max="23" width="15.1796875" bestFit="1" customWidth="1"/>
    <col min="24" max="24" width="17.90625" bestFit="1" customWidth="1"/>
    <col min="25" max="25" width="16.453125" bestFit="1" customWidth="1"/>
    <col min="26" max="26" width="17.453125" bestFit="1" customWidth="1"/>
    <col min="27" max="29" width="16.90625" bestFit="1" customWidth="1"/>
    <col min="30" max="30" width="15.81640625" bestFit="1" customWidth="1"/>
    <col min="31" max="31" width="15.08984375" bestFit="1" customWidth="1"/>
    <col min="32" max="32" width="24.36328125" bestFit="1" customWidth="1"/>
    <col min="33" max="33" width="27.36328125" bestFit="1" customWidth="1"/>
    <col min="34" max="34" width="19.453125" bestFit="1" customWidth="1"/>
    <col min="35" max="35" width="22.81640625" bestFit="1" customWidth="1"/>
    <col min="36" max="36" width="16" bestFit="1" customWidth="1"/>
    <col min="37" max="37" width="24.08984375" bestFit="1" customWidth="1"/>
    <col min="38" max="38" width="12.1796875" bestFit="1" customWidth="1"/>
  </cols>
  <sheetData>
    <row r="1" spans="1:4" x14ac:dyDescent="0.4">
      <c r="A1" t="s">
        <v>2017</v>
      </c>
      <c r="B1" t="s">
        <v>9</v>
      </c>
      <c r="C1" t="s">
        <v>10</v>
      </c>
      <c r="D1" t="s">
        <v>11</v>
      </c>
    </row>
    <row r="2" spans="1:4" x14ac:dyDescent="0.4">
      <c r="A2" s="3">
        <v>0</v>
      </c>
      <c r="B2">
        <v>-1</v>
      </c>
      <c r="C2">
        <v>-1</v>
      </c>
      <c r="D2">
        <v>0</v>
      </c>
    </row>
    <row r="3" spans="1:4" x14ac:dyDescent="0.4">
      <c r="A3" s="3">
        <v>10000</v>
      </c>
      <c r="B3">
        <v>-1</v>
      </c>
      <c r="C3">
        <v>8610100</v>
      </c>
      <c r="D3">
        <v>1</v>
      </c>
    </row>
    <row r="4" spans="1:4" x14ac:dyDescent="0.4">
      <c r="A4" s="3">
        <v>10001</v>
      </c>
      <c r="B4">
        <v>-1</v>
      </c>
      <c r="C4">
        <v>7032200</v>
      </c>
      <c r="D4">
        <v>1</v>
      </c>
    </row>
    <row r="5" spans="1:4" x14ac:dyDescent="0.4">
      <c r="A5" s="3">
        <v>10002</v>
      </c>
      <c r="B5">
        <v>-1</v>
      </c>
      <c r="C5">
        <v>7035900</v>
      </c>
      <c r="D5">
        <v>1</v>
      </c>
    </row>
    <row r="6" spans="1:4" x14ac:dyDescent="0.4">
      <c r="A6" s="3">
        <v>11000</v>
      </c>
      <c r="B6">
        <v>-1</v>
      </c>
      <c r="C6">
        <v>7033200</v>
      </c>
      <c r="D6">
        <v>1</v>
      </c>
    </row>
    <row r="7" spans="1:4" x14ac:dyDescent="0.4">
      <c r="A7" s="3">
        <v>11001</v>
      </c>
      <c r="B7">
        <v>-1</v>
      </c>
      <c r="C7">
        <v>7010200</v>
      </c>
      <c r="D7">
        <v>1</v>
      </c>
    </row>
    <row r="8" spans="1:4" x14ac:dyDescent="0.4">
      <c r="A8" s="3">
        <v>11002</v>
      </c>
      <c r="B8">
        <v>-1</v>
      </c>
      <c r="C8">
        <v>7032400</v>
      </c>
      <c r="D8">
        <v>1</v>
      </c>
    </row>
    <row r="9" spans="1:4" x14ac:dyDescent="0.4">
      <c r="A9" s="3">
        <v>12000</v>
      </c>
      <c r="B9">
        <v>-1</v>
      </c>
      <c r="C9">
        <v>7011000</v>
      </c>
      <c r="D9">
        <v>1</v>
      </c>
    </row>
    <row r="10" spans="1:4" x14ac:dyDescent="0.4">
      <c r="A10" s="3">
        <v>12001</v>
      </c>
      <c r="B10">
        <v>-1</v>
      </c>
      <c r="C10">
        <v>7030600</v>
      </c>
      <c r="D10">
        <v>1</v>
      </c>
    </row>
    <row r="11" spans="1:4" x14ac:dyDescent="0.4">
      <c r="A11" s="3">
        <v>12002</v>
      </c>
      <c r="B11">
        <v>-1</v>
      </c>
      <c r="C11">
        <v>7012000</v>
      </c>
      <c r="D11">
        <v>1</v>
      </c>
    </row>
    <row r="12" spans="1:4" x14ac:dyDescent="0.4">
      <c r="A12" s="3">
        <v>12003</v>
      </c>
      <c r="B12">
        <v>-1</v>
      </c>
      <c r="C12">
        <v>7012000</v>
      </c>
      <c r="D12">
        <v>1</v>
      </c>
    </row>
    <row r="13" spans="1:4" x14ac:dyDescent="0.4">
      <c r="A13" s="3">
        <v>13000</v>
      </c>
      <c r="B13">
        <v>-1</v>
      </c>
      <c r="C13">
        <v>7030900</v>
      </c>
      <c r="D13">
        <v>1</v>
      </c>
    </row>
    <row r="14" spans="1:4" x14ac:dyDescent="0.4">
      <c r="A14" s="3">
        <v>13001</v>
      </c>
      <c r="B14">
        <v>-1</v>
      </c>
      <c r="C14">
        <v>7031900</v>
      </c>
      <c r="D14">
        <v>1</v>
      </c>
    </row>
    <row r="15" spans="1:4" x14ac:dyDescent="0.4">
      <c r="A15" s="3">
        <v>13002</v>
      </c>
      <c r="B15">
        <v>-1</v>
      </c>
      <c r="C15">
        <v>7082400</v>
      </c>
      <c r="D15">
        <v>1</v>
      </c>
    </row>
    <row r="16" spans="1:4" x14ac:dyDescent="0.4">
      <c r="A16" s="3">
        <v>14000</v>
      </c>
      <c r="B16">
        <v>-1</v>
      </c>
      <c r="C16">
        <v>7010700</v>
      </c>
      <c r="D16">
        <v>1</v>
      </c>
    </row>
    <row r="17" spans="1:4" x14ac:dyDescent="0.4">
      <c r="A17" s="3">
        <v>14001</v>
      </c>
      <c r="B17">
        <v>-1</v>
      </c>
      <c r="C17">
        <v>7031800</v>
      </c>
      <c r="D17">
        <v>1</v>
      </c>
    </row>
    <row r="18" spans="1:4" x14ac:dyDescent="0.4">
      <c r="A18" s="3">
        <v>14002</v>
      </c>
      <c r="B18">
        <v>-1</v>
      </c>
      <c r="C18">
        <v>7012200</v>
      </c>
      <c r="D18">
        <v>1</v>
      </c>
    </row>
    <row r="19" spans="1:4" x14ac:dyDescent="0.4">
      <c r="A19" s="3">
        <v>15000</v>
      </c>
      <c r="B19">
        <v>-1</v>
      </c>
      <c r="C19">
        <v>7310000</v>
      </c>
      <c r="D19">
        <v>1</v>
      </c>
    </row>
    <row r="20" spans="1:4" x14ac:dyDescent="0.4">
      <c r="A20" s="3">
        <v>15001</v>
      </c>
      <c r="B20">
        <v>-1</v>
      </c>
      <c r="C20">
        <v>7031300</v>
      </c>
      <c r="D20">
        <v>1</v>
      </c>
    </row>
    <row r="21" spans="1:4" x14ac:dyDescent="0.4">
      <c r="A21" s="3">
        <v>15002</v>
      </c>
      <c r="B21">
        <v>-1</v>
      </c>
      <c r="C21">
        <v>7090300</v>
      </c>
      <c r="D21">
        <v>1</v>
      </c>
    </row>
    <row r="22" spans="1:4" x14ac:dyDescent="0.4">
      <c r="A22" s="3">
        <v>16000</v>
      </c>
      <c r="B22">
        <v>-1</v>
      </c>
      <c r="C22">
        <v>7031200</v>
      </c>
      <c r="D22">
        <v>1</v>
      </c>
    </row>
    <row r="23" spans="1:4" x14ac:dyDescent="0.4">
      <c r="A23" s="3">
        <v>16001</v>
      </c>
      <c r="B23">
        <v>-1</v>
      </c>
      <c r="C23">
        <v>7110000</v>
      </c>
      <c r="D23">
        <v>1</v>
      </c>
    </row>
    <row r="24" spans="1:4" x14ac:dyDescent="0.4">
      <c r="A24" s="3">
        <v>16002</v>
      </c>
      <c r="B24">
        <v>-1</v>
      </c>
      <c r="C24">
        <v>7010900</v>
      </c>
      <c r="D24">
        <v>1</v>
      </c>
    </row>
    <row r="25" spans="1:4" x14ac:dyDescent="0.4">
      <c r="A25" s="3">
        <v>17000</v>
      </c>
      <c r="B25">
        <v>-1</v>
      </c>
      <c r="C25">
        <v>7060000</v>
      </c>
      <c r="D25">
        <v>1</v>
      </c>
    </row>
    <row r="26" spans="1:4" x14ac:dyDescent="0.4">
      <c r="A26" s="3">
        <v>17001</v>
      </c>
      <c r="B26">
        <v>-1</v>
      </c>
      <c r="C26">
        <v>7082500</v>
      </c>
      <c r="D26">
        <v>1</v>
      </c>
    </row>
    <row r="27" spans="1:4" x14ac:dyDescent="0.4">
      <c r="A27" s="3">
        <v>17002</v>
      </c>
      <c r="B27">
        <v>-1</v>
      </c>
      <c r="C27">
        <v>7032900</v>
      </c>
      <c r="D27">
        <v>1</v>
      </c>
    </row>
    <row r="28" spans="1:4" x14ac:dyDescent="0.4">
      <c r="A28" s="3">
        <v>18000</v>
      </c>
      <c r="B28">
        <v>-1</v>
      </c>
      <c r="C28">
        <v>7030200</v>
      </c>
      <c r="D28">
        <v>1</v>
      </c>
    </row>
    <row r="29" spans="1:4" x14ac:dyDescent="0.4">
      <c r="A29" s="3">
        <v>18001</v>
      </c>
      <c r="B29">
        <v>-1</v>
      </c>
      <c r="C29">
        <v>7030800</v>
      </c>
      <c r="D29">
        <v>1</v>
      </c>
    </row>
    <row r="30" spans="1:4" x14ac:dyDescent="0.4">
      <c r="A30" s="3">
        <v>18002</v>
      </c>
      <c r="B30">
        <v>-1</v>
      </c>
      <c r="C30">
        <v>7011700</v>
      </c>
      <c r="D30">
        <v>1</v>
      </c>
    </row>
    <row r="31" spans="1:4" x14ac:dyDescent="0.4">
      <c r="A31" s="3">
        <v>19001</v>
      </c>
      <c r="B31">
        <v>-1</v>
      </c>
      <c r="C31">
        <v>7036300</v>
      </c>
      <c r="D31">
        <v>1</v>
      </c>
    </row>
    <row r="32" spans="1:4" x14ac:dyDescent="0.4">
      <c r="A32" s="3">
        <v>100000</v>
      </c>
      <c r="B32">
        <v>-1</v>
      </c>
      <c r="C32">
        <v>7032200</v>
      </c>
      <c r="D32">
        <v>100</v>
      </c>
    </row>
    <row r="33" spans="1:4" x14ac:dyDescent="0.4">
      <c r="A33" s="3">
        <v>310000</v>
      </c>
      <c r="B33">
        <v>-1</v>
      </c>
      <c r="C33">
        <v>310000</v>
      </c>
      <c r="D33">
        <v>0</v>
      </c>
    </row>
    <row r="34" spans="1:4" x14ac:dyDescent="0.4">
      <c r="A34" s="3">
        <v>310100</v>
      </c>
      <c r="B34">
        <v>-1</v>
      </c>
      <c r="C34">
        <v>310100</v>
      </c>
      <c r="D34">
        <v>0</v>
      </c>
    </row>
    <row r="35" spans="1:4" x14ac:dyDescent="0.4">
      <c r="A35" s="3">
        <v>310200</v>
      </c>
      <c r="B35">
        <v>-1</v>
      </c>
      <c r="C35">
        <v>310200</v>
      </c>
      <c r="D35">
        <v>0</v>
      </c>
    </row>
    <row r="36" spans="1:4" x14ac:dyDescent="0.4">
      <c r="A36" s="3">
        <v>310400</v>
      </c>
      <c r="B36">
        <v>-1</v>
      </c>
      <c r="C36">
        <v>310400</v>
      </c>
      <c r="D36">
        <v>0</v>
      </c>
    </row>
    <row r="37" spans="1:4" x14ac:dyDescent="0.4">
      <c r="A37" s="3">
        <v>310401</v>
      </c>
      <c r="B37">
        <v>-1</v>
      </c>
      <c r="C37">
        <v>310401</v>
      </c>
      <c r="D37">
        <v>0</v>
      </c>
    </row>
    <row r="38" spans="1:4" x14ac:dyDescent="0.4">
      <c r="A38" s="3">
        <v>311000</v>
      </c>
      <c r="B38">
        <v>-1</v>
      </c>
      <c r="C38">
        <v>311000</v>
      </c>
      <c r="D38">
        <v>0</v>
      </c>
    </row>
    <row r="39" spans="1:4" x14ac:dyDescent="0.4">
      <c r="A39" s="3">
        <v>311100</v>
      </c>
      <c r="B39">
        <v>-1</v>
      </c>
      <c r="C39">
        <v>311100</v>
      </c>
      <c r="D39">
        <v>0</v>
      </c>
    </row>
    <row r="40" spans="1:4" x14ac:dyDescent="0.4">
      <c r="A40" s="3">
        <v>311500</v>
      </c>
      <c r="B40">
        <v>-1</v>
      </c>
      <c r="C40">
        <v>311500</v>
      </c>
      <c r="D40">
        <v>0</v>
      </c>
    </row>
    <row r="41" spans="1:4" x14ac:dyDescent="0.4">
      <c r="A41" s="3">
        <v>311600</v>
      </c>
      <c r="B41">
        <v>-1</v>
      </c>
      <c r="C41">
        <v>311600</v>
      </c>
      <c r="D41">
        <v>0</v>
      </c>
    </row>
    <row r="42" spans="1:4" x14ac:dyDescent="0.4">
      <c r="A42" s="3">
        <v>311601</v>
      </c>
      <c r="B42">
        <v>-1</v>
      </c>
      <c r="C42">
        <v>311601</v>
      </c>
      <c r="D42">
        <v>0</v>
      </c>
    </row>
    <row r="43" spans="1:4" x14ac:dyDescent="0.4">
      <c r="A43" s="3">
        <v>311700</v>
      </c>
      <c r="B43">
        <v>-1</v>
      </c>
      <c r="C43">
        <v>311700</v>
      </c>
      <c r="D43">
        <v>0</v>
      </c>
    </row>
    <row r="44" spans="1:4" x14ac:dyDescent="0.4">
      <c r="A44" s="3">
        <v>311701</v>
      </c>
      <c r="B44">
        <v>-1</v>
      </c>
      <c r="C44">
        <v>311701</v>
      </c>
      <c r="D44">
        <v>0</v>
      </c>
    </row>
    <row r="45" spans="1:4" x14ac:dyDescent="0.4">
      <c r="A45" s="3">
        <v>311800</v>
      </c>
      <c r="B45">
        <v>-1</v>
      </c>
      <c r="C45">
        <v>311800</v>
      </c>
      <c r="D45">
        <v>0</v>
      </c>
    </row>
    <row r="46" spans="1:4" x14ac:dyDescent="0.4">
      <c r="A46" s="3">
        <v>311801</v>
      </c>
      <c r="B46">
        <v>-1</v>
      </c>
      <c r="C46">
        <v>311801</v>
      </c>
      <c r="D46">
        <v>0</v>
      </c>
    </row>
    <row r="47" spans="1:4" x14ac:dyDescent="0.4">
      <c r="A47" s="3">
        <v>311900</v>
      </c>
      <c r="B47">
        <v>-1</v>
      </c>
      <c r="C47">
        <v>311900</v>
      </c>
      <c r="D47">
        <v>0</v>
      </c>
    </row>
    <row r="48" spans="1:4" x14ac:dyDescent="0.4">
      <c r="A48" s="3">
        <v>312000</v>
      </c>
      <c r="B48">
        <v>-1</v>
      </c>
      <c r="C48">
        <v>312000</v>
      </c>
      <c r="D48">
        <v>0</v>
      </c>
    </row>
    <row r="49" spans="1:4" x14ac:dyDescent="0.4">
      <c r="A49" s="3">
        <v>312001</v>
      </c>
      <c r="B49">
        <v>-1</v>
      </c>
      <c r="C49">
        <v>312001</v>
      </c>
      <c r="D49">
        <v>0</v>
      </c>
    </row>
    <row r="50" spans="1:4" x14ac:dyDescent="0.4">
      <c r="A50" s="3">
        <v>312002</v>
      </c>
      <c r="B50">
        <v>-1</v>
      </c>
      <c r="C50">
        <v>312002</v>
      </c>
      <c r="D50">
        <v>0</v>
      </c>
    </row>
    <row r="51" spans="1:4" x14ac:dyDescent="0.4">
      <c r="A51" s="3">
        <v>312100</v>
      </c>
      <c r="B51">
        <v>-1</v>
      </c>
      <c r="C51">
        <v>312100</v>
      </c>
      <c r="D51">
        <v>0</v>
      </c>
    </row>
    <row r="52" spans="1:4" x14ac:dyDescent="0.4">
      <c r="A52" s="3">
        <v>312300</v>
      </c>
      <c r="B52">
        <v>-1</v>
      </c>
      <c r="C52">
        <v>312300</v>
      </c>
      <c r="D52">
        <v>0</v>
      </c>
    </row>
    <row r="53" spans="1:4" x14ac:dyDescent="0.4">
      <c r="A53" s="3">
        <v>312500</v>
      </c>
      <c r="B53">
        <v>-1</v>
      </c>
      <c r="C53">
        <v>312500</v>
      </c>
      <c r="D53">
        <v>0</v>
      </c>
    </row>
    <row r="54" spans="1:4" x14ac:dyDescent="0.4">
      <c r="A54" s="3">
        <v>312501</v>
      </c>
      <c r="B54">
        <v>-1</v>
      </c>
      <c r="C54">
        <v>312501</v>
      </c>
      <c r="D54">
        <v>0</v>
      </c>
    </row>
    <row r="55" spans="1:4" x14ac:dyDescent="0.4">
      <c r="A55" s="3">
        <v>320000</v>
      </c>
      <c r="B55">
        <v>-1</v>
      </c>
      <c r="C55">
        <v>320000</v>
      </c>
      <c r="D55">
        <v>0</v>
      </c>
    </row>
    <row r="56" spans="1:4" x14ac:dyDescent="0.4">
      <c r="A56" s="3">
        <v>320001</v>
      </c>
      <c r="B56">
        <v>-1</v>
      </c>
      <c r="C56">
        <v>320001</v>
      </c>
      <c r="D56">
        <v>0</v>
      </c>
    </row>
    <row r="57" spans="1:4" x14ac:dyDescent="0.4">
      <c r="A57" s="3">
        <v>320100</v>
      </c>
      <c r="B57">
        <v>-1</v>
      </c>
      <c r="C57">
        <v>320100</v>
      </c>
      <c r="D57">
        <v>0</v>
      </c>
    </row>
    <row r="58" spans="1:4" x14ac:dyDescent="0.4">
      <c r="A58" s="3">
        <v>320101</v>
      </c>
      <c r="B58">
        <v>-1</v>
      </c>
      <c r="C58">
        <v>320101</v>
      </c>
      <c r="D58">
        <v>0</v>
      </c>
    </row>
    <row r="59" spans="1:4" x14ac:dyDescent="0.4">
      <c r="A59" s="3">
        <v>320200</v>
      </c>
      <c r="B59">
        <v>-1</v>
      </c>
      <c r="C59">
        <v>320200</v>
      </c>
      <c r="D59">
        <v>0</v>
      </c>
    </row>
    <row r="60" spans="1:4" x14ac:dyDescent="0.4">
      <c r="A60" s="3">
        <v>320201</v>
      </c>
      <c r="B60">
        <v>-1</v>
      </c>
      <c r="C60">
        <v>320201</v>
      </c>
      <c r="D60">
        <v>0</v>
      </c>
    </row>
    <row r="61" spans="1:4" x14ac:dyDescent="0.4">
      <c r="A61" s="3">
        <v>320300</v>
      </c>
      <c r="B61">
        <v>-1</v>
      </c>
      <c r="C61">
        <v>320300</v>
      </c>
      <c r="D61">
        <v>0</v>
      </c>
    </row>
    <row r="62" spans="1:4" x14ac:dyDescent="0.4">
      <c r="A62" s="3">
        <v>320301</v>
      </c>
      <c r="B62">
        <v>-1</v>
      </c>
      <c r="C62">
        <v>320301</v>
      </c>
      <c r="D62">
        <v>0</v>
      </c>
    </row>
    <row r="63" spans="1:4" x14ac:dyDescent="0.4">
      <c r="A63" s="3">
        <v>320400</v>
      </c>
      <c r="B63">
        <v>-1</v>
      </c>
      <c r="C63">
        <v>320400</v>
      </c>
      <c r="D63">
        <v>0</v>
      </c>
    </row>
    <row r="64" spans="1:4" x14ac:dyDescent="0.4">
      <c r="A64" s="3">
        <v>320500</v>
      </c>
      <c r="B64">
        <v>-1</v>
      </c>
      <c r="C64">
        <v>320500</v>
      </c>
      <c r="D64">
        <v>0</v>
      </c>
    </row>
    <row r="65" spans="1:4" x14ac:dyDescent="0.4">
      <c r="A65" s="3">
        <v>320600</v>
      </c>
      <c r="B65">
        <v>-1</v>
      </c>
      <c r="C65">
        <v>320600</v>
      </c>
      <c r="D65">
        <v>0</v>
      </c>
    </row>
    <row r="66" spans="1:4" x14ac:dyDescent="0.4">
      <c r="A66" s="3">
        <v>320700</v>
      </c>
      <c r="B66">
        <v>-1</v>
      </c>
      <c r="C66">
        <v>320700</v>
      </c>
      <c r="D66">
        <v>0</v>
      </c>
    </row>
    <row r="67" spans="1:4" x14ac:dyDescent="0.4">
      <c r="A67" s="3">
        <v>320800</v>
      </c>
      <c r="B67">
        <v>-1</v>
      </c>
      <c r="C67">
        <v>320800</v>
      </c>
      <c r="D67">
        <v>0</v>
      </c>
    </row>
    <row r="68" spans="1:4" x14ac:dyDescent="0.4">
      <c r="A68" s="3">
        <v>320801</v>
      </c>
      <c r="B68">
        <v>-1</v>
      </c>
      <c r="C68">
        <v>-1</v>
      </c>
      <c r="D68">
        <v>0</v>
      </c>
    </row>
    <row r="69" spans="1:4" x14ac:dyDescent="0.4">
      <c r="A69" s="3">
        <v>320900</v>
      </c>
      <c r="B69">
        <v>-1</v>
      </c>
      <c r="C69">
        <v>320900</v>
      </c>
      <c r="D69">
        <v>0</v>
      </c>
    </row>
    <row r="70" spans="1:4" x14ac:dyDescent="0.4">
      <c r="A70" s="3">
        <v>321000</v>
      </c>
      <c r="B70">
        <v>-1</v>
      </c>
      <c r="C70">
        <v>321000</v>
      </c>
      <c r="D70">
        <v>0</v>
      </c>
    </row>
    <row r="71" spans="1:4" x14ac:dyDescent="0.4">
      <c r="A71" s="3">
        <v>321200</v>
      </c>
      <c r="B71">
        <v>-1</v>
      </c>
      <c r="C71">
        <v>321200</v>
      </c>
      <c r="D71">
        <v>0</v>
      </c>
    </row>
    <row r="72" spans="1:4" x14ac:dyDescent="0.4">
      <c r="A72" s="3">
        <v>321300</v>
      </c>
      <c r="B72">
        <v>-1</v>
      </c>
      <c r="C72">
        <v>321300</v>
      </c>
      <c r="D72">
        <v>0</v>
      </c>
    </row>
    <row r="73" spans="1:4" x14ac:dyDescent="0.4">
      <c r="A73" s="3">
        <v>321500</v>
      </c>
      <c r="B73">
        <v>-1</v>
      </c>
      <c r="C73">
        <v>321500</v>
      </c>
      <c r="D73">
        <v>0</v>
      </c>
    </row>
    <row r="74" spans="1:4" x14ac:dyDescent="0.4">
      <c r="A74" s="3">
        <v>321600</v>
      </c>
      <c r="B74">
        <v>-1</v>
      </c>
      <c r="C74">
        <v>321600</v>
      </c>
      <c r="D74">
        <v>0</v>
      </c>
    </row>
    <row r="75" spans="1:4" x14ac:dyDescent="0.4">
      <c r="A75" s="3">
        <v>321700</v>
      </c>
      <c r="B75">
        <v>-1</v>
      </c>
      <c r="C75">
        <v>321700</v>
      </c>
      <c r="D75">
        <v>0</v>
      </c>
    </row>
    <row r="76" spans="1:4" x14ac:dyDescent="0.4">
      <c r="A76" s="3">
        <v>321800</v>
      </c>
      <c r="B76">
        <v>-1</v>
      </c>
      <c r="C76">
        <v>321800</v>
      </c>
      <c r="D76">
        <v>0</v>
      </c>
    </row>
    <row r="77" spans="1:4" x14ac:dyDescent="0.4">
      <c r="A77" s="3">
        <v>321900</v>
      </c>
      <c r="B77">
        <v>-1</v>
      </c>
      <c r="C77">
        <v>321900</v>
      </c>
      <c r="D77">
        <v>0</v>
      </c>
    </row>
    <row r="78" spans="1:4" x14ac:dyDescent="0.4">
      <c r="A78" s="3">
        <v>322000</v>
      </c>
      <c r="B78">
        <v>-1</v>
      </c>
      <c r="C78">
        <v>322000</v>
      </c>
      <c r="D78">
        <v>0</v>
      </c>
    </row>
    <row r="79" spans="1:4" x14ac:dyDescent="0.4">
      <c r="A79" s="3">
        <v>322100</v>
      </c>
      <c r="B79">
        <v>-1</v>
      </c>
      <c r="C79">
        <v>322100</v>
      </c>
      <c r="D79">
        <v>0</v>
      </c>
    </row>
    <row r="80" spans="1:4" x14ac:dyDescent="0.4">
      <c r="A80" s="3">
        <v>322200</v>
      </c>
      <c r="B80">
        <v>-1</v>
      </c>
      <c r="C80">
        <v>322200</v>
      </c>
      <c r="D80">
        <v>0</v>
      </c>
    </row>
    <row r="81" spans="1:4" x14ac:dyDescent="0.4">
      <c r="A81" s="3">
        <v>330000</v>
      </c>
      <c r="B81">
        <v>-1</v>
      </c>
      <c r="C81">
        <v>330000</v>
      </c>
      <c r="D81">
        <v>0</v>
      </c>
    </row>
    <row r="82" spans="1:4" x14ac:dyDescent="0.4">
      <c r="A82" s="3">
        <v>330400</v>
      </c>
      <c r="B82">
        <v>-1</v>
      </c>
      <c r="C82">
        <v>330400</v>
      </c>
      <c r="D82">
        <v>0</v>
      </c>
    </row>
    <row r="83" spans="1:4" x14ac:dyDescent="0.4">
      <c r="A83" s="3">
        <v>330600</v>
      </c>
      <c r="B83">
        <v>-1</v>
      </c>
      <c r="C83">
        <v>330600</v>
      </c>
      <c r="D83">
        <v>0</v>
      </c>
    </row>
    <row r="84" spans="1:4" x14ac:dyDescent="0.4">
      <c r="A84" s="3">
        <v>330700</v>
      </c>
      <c r="B84">
        <v>-1</v>
      </c>
      <c r="C84">
        <v>330700</v>
      </c>
      <c r="D84">
        <v>0</v>
      </c>
    </row>
    <row r="85" spans="1:4" x14ac:dyDescent="0.4">
      <c r="A85" s="3">
        <v>330800</v>
      </c>
      <c r="B85">
        <v>-1</v>
      </c>
      <c r="C85">
        <v>330800</v>
      </c>
      <c r="D85">
        <v>0</v>
      </c>
    </row>
    <row r="86" spans="1:4" x14ac:dyDescent="0.4">
      <c r="A86" s="3">
        <v>330801</v>
      </c>
      <c r="B86">
        <v>-1</v>
      </c>
      <c r="C86">
        <v>330801</v>
      </c>
      <c r="D86">
        <v>0</v>
      </c>
    </row>
    <row r="87" spans="1:4" x14ac:dyDescent="0.4">
      <c r="A87" s="3">
        <v>330900</v>
      </c>
      <c r="B87">
        <v>-1</v>
      </c>
      <c r="C87">
        <v>330900</v>
      </c>
      <c r="D87">
        <v>0</v>
      </c>
    </row>
    <row r="88" spans="1:4" x14ac:dyDescent="0.4">
      <c r="A88" s="3">
        <v>340000</v>
      </c>
      <c r="B88">
        <v>-1</v>
      </c>
      <c r="C88">
        <v>340000</v>
      </c>
      <c r="D88">
        <v>0</v>
      </c>
    </row>
    <row r="89" spans="1:4" x14ac:dyDescent="0.4">
      <c r="A89" s="3">
        <v>340100</v>
      </c>
      <c r="B89">
        <v>-1</v>
      </c>
      <c r="C89">
        <v>340100</v>
      </c>
      <c r="D89">
        <v>0</v>
      </c>
    </row>
    <row r="90" spans="1:4" x14ac:dyDescent="0.4">
      <c r="A90" s="3">
        <v>340200</v>
      </c>
      <c r="B90">
        <v>-1</v>
      </c>
      <c r="C90">
        <v>340200</v>
      </c>
      <c r="D90">
        <v>0</v>
      </c>
    </row>
    <row r="91" spans="1:4" x14ac:dyDescent="0.4">
      <c r="A91" s="3">
        <v>340300</v>
      </c>
      <c r="B91">
        <v>-1</v>
      </c>
      <c r="C91">
        <v>340300</v>
      </c>
      <c r="D91">
        <v>0</v>
      </c>
    </row>
    <row r="92" spans="1:4" x14ac:dyDescent="0.4">
      <c r="A92" s="3">
        <v>340400</v>
      </c>
      <c r="B92">
        <v>-1</v>
      </c>
      <c r="C92">
        <v>340400</v>
      </c>
      <c r="D92">
        <v>0</v>
      </c>
    </row>
    <row r="93" spans="1:4" x14ac:dyDescent="0.4">
      <c r="A93" s="3">
        <v>340500</v>
      </c>
      <c r="B93">
        <v>-1</v>
      </c>
      <c r="C93">
        <v>340500</v>
      </c>
      <c r="D93">
        <v>0</v>
      </c>
    </row>
    <row r="94" spans="1:4" x14ac:dyDescent="0.4">
      <c r="A94" s="3">
        <v>340700</v>
      </c>
      <c r="B94">
        <v>-1</v>
      </c>
      <c r="C94">
        <v>340700</v>
      </c>
      <c r="D94">
        <v>0</v>
      </c>
    </row>
    <row r="95" spans="1:4" x14ac:dyDescent="0.4">
      <c r="A95" s="3">
        <v>340701</v>
      </c>
      <c r="B95">
        <v>-1</v>
      </c>
      <c r="C95">
        <v>340701</v>
      </c>
      <c r="D95">
        <v>0</v>
      </c>
    </row>
    <row r="96" spans="1:4" x14ac:dyDescent="0.4">
      <c r="A96" s="3">
        <v>340800</v>
      </c>
      <c r="B96">
        <v>-1</v>
      </c>
      <c r="C96">
        <v>340800</v>
      </c>
      <c r="D96">
        <v>0</v>
      </c>
    </row>
    <row r="97" spans="1:4" x14ac:dyDescent="0.4">
      <c r="A97" s="3">
        <v>340900</v>
      </c>
      <c r="B97">
        <v>-1</v>
      </c>
      <c r="C97">
        <v>340900</v>
      </c>
      <c r="D97">
        <v>0</v>
      </c>
    </row>
    <row r="98" spans="1:4" x14ac:dyDescent="0.4">
      <c r="A98" s="3">
        <v>341000</v>
      </c>
      <c r="B98">
        <v>-1</v>
      </c>
      <c r="C98">
        <v>341000</v>
      </c>
      <c r="D98">
        <v>0</v>
      </c>
    </row>
    <row r="99" spans="1:4" x14ac:dyDescent="0.4">
      <c r="A99" s="3">
        <v>350000</v>
      </c>
      <c r="B99">
        <v>-1</v>
      </c>
      <c r="C99">
        <v>350000</v>
      </c>
      <c r="D99">
        <v>0</v>
      </c>
    </row>
    <row r="100" spans="1:4" x14ac:dyDescent="0.4">
      <c r="A100" s="3">
        <v>350200</v>
      </c>
      <c r="B100">
        <v>-1</v>
      </c>
      <c r="C100">
        <v>350200</v>
      </c>
      <c r="D100">
        <v>0</v>
      </c>
    </row>
    <row r="101" spans="1:4" x14ac:dyDescent="0.4">
      <c r="A101" s="3">
        <v>350300</v>
      </c>
      <c r="B101">
        <v>-1</v>
      </c>
      <c r="C101">
        <v>350300</v>
      </c>
      <c r="D101">
        <v>0</v>
      </c>
    </row>
    <row r="102" spans="1:4" x14ac:dyDescent="0.4">
      <c r="A102" s="3">
        <v>350400</v>
      </c>
      <c r="B102">
        <v>-1</v>
      </c>
      <c r="C102">
        <v>350400</v>
      </c>
      <c r="D102">
        <v>0</v>
      </c>
    </row>
    <row r="103" spans="1:4" x14ac:dyDescent="0.4">
      <c r="A103" s="3">
        <v>350500</v>
      </c>
      <c r="B103">
        <v>-1</v>
      </c>
      <c r="C103">
        <v>350500</v>
      </c>
      <c r="D103">
        <v>0</v>
      </c>
    </row>
    <row r="104" spans="1:4" x14ac:dyDescent="0.4">
      <c r="A104" s="3">
        <v>350600</v>
      </c>
      <c r="B104">
        <v>-1</v>
      </c>
      <c r="C104">
        <v>350600</v>
      </c>
      <c r="D104">
        <v>0</v>
      </c>
    </row>
    <row r="105" spans="1:4" x14ac:dyDescent="0.4">
      <c r="A105" s="3">
        <v>360200</v>
      </c>
      <c r="B105">
        <v>-1</v>
      </c>
      <c r="C105">
        <v>360200</v>
      </c>
      <c r="D105">
        <v>0</v>
      </c>
    </row>
    <row r="106" spans="1:4" x14ac:dyDescent="0.4">
      <c r="A106" s="3">
        <v>360700</v>
      </c>
      <c r="B106">
        <v>-1</v>
      </c>
      <c r="C106">
        <v>360700</v>
      </c>
      <c r="D106">
        <v>0</v>
      </c>
    </row>
    <row r="107" spans="1:4" x14ac:dyDescent="0.4">
      <c r="A107" s="3">
        <v>361100</v>
      </c>
      <c r="B107">
        <v>-1</v>
      </c>
      <c r="C107">
        <v>361100</v>
      </c>
      <c r="D107">
        <v>0</v>
      </c>
    </row>
    <row r="108" spans="1:4" x14ac:dyDescent="0.4">
      <c r="A108" s="3">
        <v>370000</v>
      </c>
      <c r="B108">
        <v>-1</v>
      </c>
      <c r="C108">
        <v>370000</v>
      </c>
      <c r="D108">
        <v>0</v>
      </c>
    </row>
    <row r="109" spans="1:4" x14ac:dyDescent="0.4">
      <c r="A109" s="3">
        <v>370001</v>
      </c>
      <c r="B109">
        <v>-1</v>
      </c>
      <c r="C109">
        <v>370001</v>
      </c>
      <c r="D109">
        <v>0</v>
      </c>
    </row>
    <row r="110" spans="1:4" x14ac:dyDescent="0.4">
      <c r="A110" s="3">
        <v>370002</v>
      </c>
      <c r="B110">
        <v>-1</v>
      </c>
      <c r="C110">
        <v>370002</v>
      </c>
      <c r="D110">
        <v>0</v>
      </c>
    </row>
    <row r="111" spans="1:4" x14ac:dyDescent="0.4">
      <c r="A111" s="3">
        <v>6001400</v>
      </c>
      <c r="B111">
        <v>100</v>
      </c>
      <c r="C111">
        <v>7001403</v>
      </c>
      <c r="D111">
        <v>1000</v>
      </c>
    </row>
    <row r="112" spans="1:4" x14ac:dyDescent="0.4">
      <c r="A112" s="3">
        <v>6001401</v>
      </c>
      <c r="B112">
        <v>100</v>
      </c>
      <c r="C112">
        <v>6001400</v>
      </c>
      <c r="D112">
        <v>1000</v>
      </c>
    </row>
    <row r="113" spans="1:4" x14ac:dyDescent="0.4">
      <c r="A113" s="3">
        <v>6001500</v>
      </c>
      <c r="B113">
        <v>100</v>
      </c>
      <c r="C113">
        <v>6001500</v>
      </c>
      <c r="D113">
        <v>1000</v>
      </c>
    </row>
    <row r="114" spans="1:4" x14ac:dyDescent="0.4">
      <c r="A114" s="3">
        <v>6001501</v>
      </c>
      <c r="B114">
        <v>100</v>
      </c>
      <c r="C114">
        <v>6001501</v>
      </c>
      <c r="D114">
        <v>1000</v>
      </c>
    </row>
    <row r="115" spans="1:4" x14ac:dyDescent="0.4">
      <c r="A115" s="3">
        <v>6001600</v>
      </c>
      <c r="B115">
        <v>100</v>
      </c>
      <c r="C115">
        <v>6001600</v>
      </c>
      <c r="D115">
        <v>1000</v>
      </c>
    </row>
    <row r="116" spans="1:4" x14ac:dyDescent="0.4">
      <c r="A116" s="3">
        <v>6001601</v>
      </c>
      <c r="B116">
        <v>100</v>
      </c>
      <c r="C116">
        <v>6001601</v>
      </c>
      <c r="D116">
        <v>1000</v>
      </c>
    </row>
    <row r="117" spans="1:4" x14ac:dyDescent="0.4">
      <c r="A117" s="3">
        <v>6001700</v>
      </c>
      <c r="B117">
        <v>100</v>
      </c>
      <c r="C117">
        <v>6001700</v>
      </c>
      <c r="D117">
        <v>1000</v>
      </c>
    </row>
    <row r="118" spans="1:4" x14ac:dyDescent="0.4">
      <c r="A118" s="3">
        <v>6001701</v>
      </c>
      <c r="B118">
        <v>100</v>
      </c>
      <c r="C118">
        <v>6001701</v>
      </c>
      <c r="D118">
        <v>1000</v>
      </c>
    </row>
    <row r="119" spans="1:4" x14ac:dyDescent="0.4">
      <c r="A119" s="3">
        <v>6001800</v>
      </c>
      <c r="B119">
        <v>100</v>
      </c>
      <c r="C119">
        <v>6001800</v>
      </c>
      <c r="D119">
        <v>1000</v>
      </c>
    </row>
    <row r="120" spans="1:4" x14ac:dyDescent="0.4">
      <c r="A120" s="3">
        <v>6001801</v>
      </c>
      <c r="B120">
        <v>100</v>
      </c>
      <c r="C120">
        <v>6001801</v>
      </c>
      <c r="D120">
        <v>1000</v>
      </c>
    </row>
    <row r="121" spans="1:4" x14ac:dyDescent="0.4">
      <c r="A121" s="3">
        <v>6002600</v>
      </c>
      <c r="B121">
        <v>7002600</v>
      </c>
      <c r="C121">
        <v>6002600</v>
      </c>
      <c r="D121">
        <v>1000</v>
      </c>
    </row>
    <row r="122" spans="1:4" x14ac:dyDescent="0.4">
      <c r="A122" s="3">
        <v>6002601</v>
      </c>
      <c r="B122">
        <v>7002600</v>
      </c>
      <c r="C122">
        <v>6002601</v>
      </c>
      <c r="D122">
        <v>1000</v>
      </c>
    </row>
    <row r="123" spans="1:4" x14ac:dyDescent="0.4">
      <c r="A123" s="3">
        <v>6002700</v>
      </c>
      <c r="B123">
        <v>7002700</v>
      </c>
      <c r="C123">
        <v>6002700</v>
      </c>
      <c r="D123">
        <v>1000</v>
      </c>
    </row>
    <row r="124" spans="1:4" x14ac:dyDescent="0.4">
      <c r="A124" s="3">
        <v>6002701</v>
      </c>
      <c r="B124">
        <v>7002700</v>
      </c>
      <c r="C124">
        <v>6002701</v>
      </c>
      <c r="D124">
        <v>1000</v>
      </c>
    </row>
    <row r="125" spans="1:4" x14ac:dyDescent="0.4">
      <c r="A125" s="3">
        <v>6002800</v>
      </c>
      <c r="B125">
        <v>7002800</v>
      </c>
      <c r="C125">
        <v>6002800</v>
      </c>
      <c r="D125">
        <v>1000</v>
      </c>
    </row>
    <row r="126" spans="1:4" x14ac:dyDescent="0.4">
      <c r="A126" s="3">
        <v>6002801</v>
      </c>
      <c r="B126">
        <v>7002800</v>
      </c>
      <c r="C126">
        <v>6002801</v>
      </c>
      <c r="D126">
        <v>1000</v>
      </c>
    </row>
    <row r="127" spans="1:4" x14ac:dyDescent="0.4">
      <c r="A127" s="3">
        <v>6002900</v>
      </c>
      <c r="B127">
        <v>7002900</v>
      </c>
      <c r="C127">
        <v>6002900</v>
      </c>
      <c r="D127">
        <v>1000</v>
      </c>
    </row>
    <row r="128" spans="1:4" x14ac:dyDescent="0.4">
      <c r="A128" s="3">
        <v>6002901</v>
      </c>
      <c r="B128">
        <v>7002900</v>
      </c>
      <c r="C128">
        <v>6002901</v>
      </c>
      <c r="D128">
        <v>1000</v>
      </c>
    </row>
    <row r="129" spans="1:4" x14ac:dyDescent="0.4">
      <c r="A129" s="3">
        <v>6003000</v>
      </c>
      <c r="B129">
        <v>7003000</v>
      </c>
      <c r="C129">
        <v>6003000</v>
      </c>
      <c r="D129">
        <v>1000</v>
      </c>
    </row>
    <row r="130" spans="1:4" x14ac:dyDescent="0.4">
      <c r="A130" s="3">
        <v>6003001</v>
      </c>
      <c r="B130">
        <v>7003000</v>
      </c>
      <c r="C130">
        <v>6003001</v>
      </c>
      <c r="D130">
        <v>1000</v>
      </c>
    </row>
    <row r="131" spans="1:4" x14ac:dyDescent="0.4">
      <c r="A131" s="3">
        <v>6003100</v>
      </c>
      <c r="B131">
        <v>7003100</v>
      </c>
      <c r="C131">
        <v>6003100</v>
      </c>
      <c r="D131">
        <v>1000</v>
      </c>
    </row>
    <row r="132" spans="1:4" x14ac:dyDescent="0.4">
      <c r="A132" s="3">
        <v>6003101</v>
      </c>
      <c r="B132">
        <v>7003100</v>
      </c>
      <c r="C132">
        <v>6003101</v>
      </c>
      <c r="D132">
        <v>1000</v>
      </c>
    </row>
    <row r="133" spans="1:4" x14ac:dyDescent="0.4">
      <c r="A133" s="3">
        <v>6003200</v>
      </c>
      <c r="B133">
        <v>7003200</v>
      </c>
      <c r="C133">
        <v>6003200</v>
      </c>
      <c r="D133">
        <v>1000</v>
      </c>
    </row>
    <row r="134" spans="1:4" x14ac:dyDescent="0.4">
      <c r="A134" s="3">
        <v>6003201</v>
      </c>
      <c r="B134">
        <v>7003200</v>
      </c>
      <c r="C134">
        <v>6003201</v>
      </c>
      <c r="D134">
        <v>1000</v>
      </c>
    </row>
    <row r="135" spans="1:4" x14ac:dyDescent="0.4">
      <c r="A135" s="3">
        <v>6003300</v>
      </c>
      <c r="B135">
        <v>7003300</v>
      </c>
      <c r="C135">
        <v>6003300</v>
      </c>
      <c r="D135">
        <v>1000</v>
      </c>
    </row>
    <row r="136" spans="1:4" x14ac:dyDescent="0.4">
      <c r="A136" s="3">
        <v>6003301</v>
      </c>
      <c r="B136">
        <v>7003300</v>
      </c>
      <c r="C136">
        <v>6003301</v>
      </c>
      <c r="D136">
        <v>1000</v>
      </c>
    </row>
    <row r="137" spans="1:4" x14ac:dyDescent="0.4">
      <c r="A137" s="3">
        <v>6003400</v>
      </c>
      <c r="B137">
        <v>7003400</v>
      </c>
      <c r="C137">
        <v>6003400</v>
      </c>
      <c r="D137">
        <v>1000</v>
      </c>
    </row>
    <row r="138" spans="1:4" x14ac:dyDescent="0.4">
      <c r="A138" s="3">
        <v>6003401</v>
      </c>
      <c r="B138">
        <v>7003400</v>
      </c>
      <c r="C138">
        <v>6003401</v>
      </c>
      <c r="D138">
        <v>1000</v>
      </c>
    </row>
    <row r="139" spans="1:4" x14ac:dyDescent="0.4">
      <c r="A139" s="3">
        <v>6003500</v>
      </c>
      <c r="B139">
        <v>7003500</v>
      </c>
      <c r="C139">
        <v>6003500</v>
      </c>
      <c r="D139">
        <v>1000</v>
      </c>
    </row>
    <row r="140" spans="1:4" x14ac:dyDescent="0.4">
      <c r="A140" s="3">
        <v>6003501</v>
      </c>
      <c r="B140">
        <v>7003500</v>
      </c>
      <c r="C140">
        <v>6003501</v>
      </c>
      <c r="D140">
        <v>1000</v>
      </c>
    </row>
    <row r="141" spans="1:4" x14ac:dyDescent="0.4">
      <c r="A141" s="3">
        <v>6003600</v>
      </c>
      <c r="B141">
        <v>7003600</v>
      </c>
      <c r="C141">
        <v>6003600</v>
      </c>
      <c r="D141">
        <v>1000</v>
      </c>
    </row>
    <row r="142" spans="1:4" x14ac:dyDescent="0.4">
      <c r="A142" s="3">
        <v>6003601</v>
      </c>
      <c r="B142">
        <v>7003600</v>
      </c>
      <c r="C142">
        <v>6003601</v>
      </c>
      <c r="D142">
        <v>1000</v>
      </c>
    </row>
    <row r="143" spans="1:4" x14ac:dyDescent="0.4">
      <c r="A143" s="3">
        <v>6005600</v>
      </c>
      <c r="B143">
        <v>7005600</v>
      </c>
      <c r="C143">
        <v>6005600</v>
      </c>
      <c r="D143">
        <v>100</v>
      </c>
    </row>
    <row r="144" spans="1:4" x14ac:dyDescent="0.4">
      <c r="A144" s="3">
        <v>6005601</v>
      </c>
      <c r="B144">
        <v>7005600</v>
      </c>
      <c r="C144">
        <v>6005601</v>
      </c>
      <c r="D144">
        <v>100</v>
      </c>
    </row>
    <row r="145" spans="1:4" x14ac:dyDescent="0.4">
      <c r="A145" s="3">
        <v>6030200</v>
      </c>
      <c r="B145">
        <v>7030200</v>
      </c>
      <c r="C145">
        <v>6030200</v>
      </c>
      <c r="D145">
        <v>100</v>
      </c>
    </row>
    <row r="146" spans="1:4" x14ac:dyDescent="0.4">
      <c r="A146" s="3">
        <v>6030600</v>
      </c>
      <c r="B146">
        <v>7030600</v>
      </c>
      <c r="C146">
        <v>6030600</v>
      </c>
      <c r="D146">
        <v>100</v>
      </c>
    </row>
    <row r="147" spans="1:4" x14ac:dyDescent="0.4">
      <c r="A147" s="3">
        <v>6030800</v>
      </c>
      <c r="B147">
        <v>7030800</v>
      </c>
      <c r="C147">
        <v>6030800</v>
      </c>
      <c r="D147">
        <v>100</v>
      </c>
    </row>
    <row r="148" spans="1:4" x14ac:dyDescent="0.4">
      <c r="A148" s="3">
        <v>6030900</v>
      </c>
      <c r="B148">
        <v>100</v>
      </c>
      <c r="C148">
        <v>6030900</v>
      </c>
      <c r="D148">
        <v>100</v>
      </c>
    </row>
    <row r="149" spans="1:4" x14ac:dyDescent="0.4">
      <c r="A149" s="3">
        <v>6030901</v>
      </c>
      <c r="B149">
        <v>100</v>
      </c>
      <c r="C149">
        <v>6030901</v>
      </c>
      <c r="D149">
        <v>100</v>
      </c>
    </row>
    <row r="150" spans="1:4" x14ac:dyDescent="0.4">
      <c r="A150" s="3">
        <v>6035100</v>
      </c>
      <c r="B150">
        <v>7035100</v>
      </c>
      <c r="C150">
        <v>6035100</v>
      </c>
      <c r="D150">
        <v>100</v>
      </c>
    </row>
    <row r="151" spans="1:4" x14ac:dyDescent="0.4">
      <c r="A151" s="3">
        <v>6040100</v>
      </c>
      <c r="B151">
        <v>100</v>
      </c>
      <c r="C151">
        <v>6040100</v>
      </c>
      <c r="D151">
        <v>100</v>
      </c>
    </row>
    <row r="152" spans="1:4" x14ac:dyDescent="0.4">
      <c r="A152" s="3">
        <v>6040101</v>
      </c>
      <c r="B152">
        <v>100</v>
      </c>
      <c r="C152">
        <v>6040101</v>
      </c>
      <c r="D152">
        <v>100</v>
      </c>
    </row>
    <row r="153" spans="1:4" x14ac:dyDescent="0.4">
      <c r="A153" s="3">
        <v>6040300</v>
      </c>
      <c r="B153">
        <v>7040300</v>
      </c>
      <c r="C153">
        <v>6040300</v>
      </c>
      <c r="D153">
        <v>100</v>
      </c>
    </row>
    <row r="154" spans="1:4" x14ac:dyDescent="0.4">
      <c r="A154" s="3">
        <v>6040400</v>
      </c>
      <c r="B154">
        <v>7040400</v>
      </c>
      <c r="C154">
        <v>6040400</v>
      </c>
      <c r="D154">
        <v>100</v>
      </c>
    </row>
    <row r="155" spans="1:4" x14ac:dyDescent="0.4">
      <c r="A155" s="3">
        <v>6040500</v>
      </c>
      <c r="B155">
        <v>7040500</v>
      </c>
      <c r="C155">
        <v>6040500</v>
      </c>
      <c r="D155">
        <v>100</v>
      </c>
    </row>
    <row r="156" spans="1:4" x14ac:dyDescent="0.4">
      <c r="A156" s="3">
        <v>6043100</v>
      </c>
      <c r="B156">
        <v>7043100</v>
      </c>
      <c r="C156">
        <v>6043100</v>
      </c>
      <c r="D156">
        <v>100</v>
      </c>
    </row>
    <row r="157" spans="1:4" x14ac:dyDescent="0.4">
      <c r="A157" s="3">
        <v>6060300</v>
      </c>
      <c r="B157">
        <v>6060300</v>
      </c>
      <c r="C157">
        <v>6060300</v>
      </c>
      <c r="D157">
        <v>100</v>
      </c>
    </row>
    <row r="158" spans="1:4" x14ac:dyDescent="0.4">
      <c r="A158" s="3">
        <v>6060400</v>
      </c>
      <c r="B158">
        <v>6060400</v>
      </c>
      <c r="C158">
        <v>6060400</v>
      </c>
      <c r="D158">
        <v>100</v>
      </c>
    </row>
    <row r="159" spans="1:4" x14ac:dyDescent="0.4">
      <c r="A159" s="3">
        <v>6060500</v>
      </c>
      <c r="B159">
        <v>6060500</v>
      </c>
      <c r="C159">
        <v>6060500</v>
      </c>
      <c r="D159">
        <v>100</v>
      </c>
    </row>
    <row r="160" spans="1:4" x14ac:dyDescent="0.4">
      <c r="A160" s="3">
        <v>6060600</v>
      </c>
      <c r="B160">
        <v>6060600</v>
      </c>
      <c r="C160">
        <v>6060600</v>
      </c>
      <c r="D160">
        <v>100</v>
      </c>
    </row>
    <row r="161" spans="1:4" x14ac:dyDescent="0.4">
      <c r="A161" s="3">
        <v>6090000</v>
      </c>
      <c r="B161">
        <v>7090000</v>
      </c>
      <c r="C161">
        <v>6090000</v>
      </c>
      <c r="D161">
        <v>100</v>
      </c>
    </row>
    <row r="162" spans="1:4" x14ac:dyDescent="0.4">
      <c r="A162" s="3">
        <v>6160000</v>
      </c>
      <c r="B162">
        <v>7160000</v>
      </c>
      <c r="C162">
        <v>6160000</v>
      </c>
      <c r="D162">
        <v>100</v>
      </c>
    </row>
    <row r="163" spans="1:4" x14ac:dyDescent="0.4">
      <c r="A163" s="3">
        <v>6260000</v>
      </c>
      <c r="B163">
        <v>7260300</v>
      </c>
      <c r="C163">
        <v>6260000</v>
      </c>
      <c r="D163">
        <v>100</v>
      </c>
    </row>
    <row r="164" spans="1:4" x14ac:dyDescent="0.4">
      <c r="A164" s="3">
        <v>6260001</v>
      </c>
      <c r="B164">
        <v>7260300</v>
      </c>
      <c r="C164">
        <v>6260001</v>
      </c>
      <c r="D164">
        <v>100</v>
      </c>
    </row>
    <row r="165" spans="1:4" x14ac:dyDescent="0.4">
      <c r="A165" s="3">
        <v>6260300</v>
      </c>
      <c r="B165">
        <v>7260300</v>
      </c>
      <c r="C165">
        <v>6260300</v>
      </c>
      <c r="D165">
        <v>100</v>
      </c>
    </row>
    <row r="166" spans="1:4" x14ac:dyDescent="0.4">
      <c r="A166" s="3">
        <v>6260301</v>
      </c>
      <c r="B166">
        <v>7260300</v>
      </c>
      <c r="C166">
        <v>6260301</v>
      </c>
      <c r="D166">
        <v>100</v>
      </c>
    </row>
    <row r="167" spans="1:4" x14ac:dyDescent="0.4">
      <c r="A167" s="3">
        <v>6260400</v>
      </c>
      <c r="B167">
        <v>7260400</v>
      </c>
      <c r="C167">
        <v>6260400</v>
      </c>
      <c r="D167">
        <v>100</v>
      </c>
    </row>
    <row r="168" spans="1:4" x14ac:dyDescent="0.4">
      <c r="A168" s="3">
        <v>6260401</v>
      </c>
      <c r="B168">
        <v>7260400</v>
      </c>
      <c r="C168">
        <v>6260401</v>
      </c>
      <c r="D168">
        <v>100</v>
      </c>
    </row>
    <row r="169" spans="1:4" x14ac:dyDescent="0.4">
      <c r="A169" s="3">
        <v>6500000</v>
      </c>
      <c r="B169">
        <v>900</v>
      </c>
      <c r="C169">
        <v>6500000</v>
      </c>
      <c r="D169">
        <v>1</v>
      </c>
    </row>
    <row r="170" spans="1:4" x14ac:dyDescent="0.4">
      <c r="A170" s="3">
        <v>6500100</v>
      </c>
      <c r="B170">
        <v>900</v>
      </c>
      <c r="C170">
        <v>6500100</v>
      </c>
      <c r="D170">
        <v>1</v>
      </c>
    </row>
    <row r="171" spans="1:4" x14ac:dyDescent="0.4">
      <c r="A171" s="3">
        <v>6500200</v>
      </c>
      <c r="B171">
        <v>900</v>
      </c>
      <c r="C171">
        <v>6500200</v>
      </c>
      <c r="D171">
        <v>1</v>
      </c>
    </row>
    <row r="172" spans="1:4" x14ac:dyDescent="0.4">
      <c r="A172" s="3">
        <v>6500300</v>
      </c>
      <c r="B172">
        <v>900</v>
      </c>
      <c r="C172">
        <v>6500300</v>
      </c>
      <c r="D172">
        <v>1</v>
      </c>
    </row>
    <row r="173" spans="1:4" x14ac:dyDescent="0.4">
      <c r="A173" s="3">
        <v>6500400</v>
      </c>
      <c r="B173">
        <v>900</v>
      </c>
      <c r="C173">
        <v>6500400</v>
      </c>
      <c r="D173">
        <v>1</v>
      </c>
    </row>
    <row r="174" spans="1:4" x14ac:dyDescent="0.4">
      <c r="A174" s="3">
        <v>6500500</v>
      </c>
      <c r="B174">
        <v>900</v>
      </c>
      <c r="C174">
        <v>6500500</v>
      </c>
      <c r="D174">
        <v>1</v>
      </c>
    </row>
    <row r="175" spans="1:4" x14ac:dyDescent="0.4">
      <c r="A175" s="3">
        <v>6500600</v>
      </c>
      <c r="B175">
        <v>900</v>
      </c>
      <c r="C175">
        <v>6500600</v>
      </c>
      <c r="D175">
        <v>1</v>
      </c>
    </row>
    <row r="176" spans="1:4" x14ac:dyDescent="0.4">
      <c r="A176" s="3">
        <v>6500700</v>
      </c>
      <c r="B176">
        <v>900</v>
      </c>
      <c r="C176">
        <v>6500700</v>
      </c>
      <c r="D176">
        <v>1</v>
      </c>
    </row>
    <row r="177" spans="1:4" x14ac:dyDescent="0.4">
      <c r="A177" s="3">
        <v>6500800</v>
      </c>
      <c r="B177">
        <v>900</v>
      </c>
      <c r="C177">
        <v>6500800</v>
      </c>
      <c r="D177">
        <v>1</v>
      </c>
    </row>
    <row r="178" spans="1:4" x14ac:dyDescent="0.4">
      <c r="A178" s="3">
        <v>6500900</v>
      </c>
      <c r="B178">
        <v>900</v>
      </c>
      <c r="C178">
        <v>6500900</v>
      </c>
      <c r="D178">
        <v>1</v>
      </c>
    </row>
    <row r="179" spans="1:4" x14ac:dyDescent="0.4">
      <c r="A179" s="3">
        <v>6600000</v>
      </c>
      <c r="B179">
        <v>100</v>
      </c>
      <c r="C179">
        <v>6600000</v>
      </c>
      <c r="D179">
        <v>100</v>
      </c>
    </row>
    <row r="180" spans="1:4" x14ac:dyDescent="0.4">
      <c r="A180" s="3">
        <v>6600001</v>
      </c>
      <c r="B180">
        <v>100</v>
      </c>
      <c r="C180">
        <v>6600001</v>
      </c>
      <c r="D180">
        <v>100</v>
      </c>
    </row>
    <row r="181" spans="1:4" x14ac:dyDescent="0.4">
      <c r="A181" s="3">
        <v>6600100</v>
      </c>
      <c r="B181">
        <v>100</v>
      </c>
      <c r="C181">
        <v>6600100</v>
      </c>
      <c r="D181">
        <v>100</v>
      </c>
    </row>
    <row r="182" spans="1:4" x14ac:dyDescent="0.4">
      <c r="A182" s="3">
        <v>6600101</v>
      </c>
      <c r="B182">
        <v>100</v>
      </c>
      <c r="C182">
        <v>6600101</v>
      </c>
      <c r="D182">
        <v>100</v>
      </c>
    </row>
    <row r="183" spans="1:4" x14ac:dyDescent="0.4">
      <c r="A183" s="3">
        <v>6610400</v>
      </c>
      <c r="B183">
        <v>6610400</v>
      </c>
      <c r="C183">
        <v>6610400</v>
      </c>
      <c r="D183">
        <v>1000</v>
      </c>
    </row>
    <row r="184" spans="1:4" x14ac:dyDescent="0.4">
      <c r="A184" s="3">
        <v>6610500</v>
      </c>
      <c r="B184">
        <v>6610500</v>
      </c>
      <c r="C184">
        <v>6610500</v>
      </c>
      <c r="D184">
        <v>1000</v>
      </c>
    </row>
    <row r="185" spans="1:4" x14ac:dyDescent="0.4">
      <c r="A185" s="3">
        <v>6610600</v>
      </c>
      <c r="B185">
        <v>6610600</v>
      </c>
      <c r="C185">
        <v>6610600</v>
      </c>
      <c r="D185">
        <v>1000</v>
      </c>
    </row>
    <row r="186" spans="1:4" x14ac:dyDescent="0.4">
      <c r="A186" s="3">
        <v>6610700</v>
      </c>
      <c r="B186">
        <v>6610700</v>
      </c>
      <c r="C186">
        <v>6610700</v>
      </c>
      <c r="D186">
        <v>1000</v>
      </c>
    </row>
    <row r="187" spans="1:4" x14ac:dyDescent="0.4">
      <c r="A187" s="3">
        <v>6610800</v>
      </c>
      <c r="B187">
        <v>100</v>
      </c>
      <c r="C187">
        <v>6610800</v>
      </c>
      <c r="D187">
        <v>1000</v>
      </c>
    </row>
    <row r="188" spans="1:4" x14ac:dyDescent="0.4">
      <c r="A188" s="3">
        <v>6610801</v>
      </c>
      <c r="B188">
        <v>100</v>
      </c>
      <c r="C188">
        <v>6610801</v>
      </c>
      <c r="D188">
        <v>1000</v>
      </c>
    </row>
    <row r="189" spans="1:4" x14ac:dyDescent="0.4">
      <c r="A189" s="3">
        <v>6610802</v>
      </c>
      <c r="B189">
        <v>100</v>
      </c>
      <c r="C189">
        <v>6610802</v>
      </c>
      <c r="D189">
        <v>1000</v>
      </c>
    </row>
    <row r="190" spans="1:4" x14ac:dyDescent="0.4">
      <c r="A190" s="3">
        <v>6611001</v>
      </c>
      <c r="B190">
        <v>7006200</v>
      </c>
      <c r="C190">
        <v>6611001</v>
      </c>
      <c r="D190">
        <v>1000</v>
      </c>
    </row>
    <row r="191" spans="1:4" x14ac:dyDescent="0.4">
      <c r="A191" s="3">
        <v>6611002</v>
      </c>
      <c r="B191">
        <v>7006200</v>
      </c>
      <c r="C191">
        <v>6611002</v>
      </c>
      <c r="D191">
        <v>1000</v>
      </c>
    </row>
    <row r="192" spans="1:4" x14ac:dyDescent="0.4">
      <c r="A192" s="3">
        <v>6611100</v>
      </c>
      <c r="B192">
        <v>6611100</v>
      </c>
      <c r="C192">
        <v>6611100</v>
      </c>
      <c r="D192">
        <v>1000</v>
      </c>
    </row>
    <row r="193" spans="1:4" x14ac:dyDescent="0.4">
      <c r="A193" s="3">
        <v>6611101</v>
      </c>
      <c r="B193">
        <v>6611100</v>
      </c>
      <c r="C193">
        <v>6611101</v>
      </c>
      <c r="D193">
        <v>1000</v>
      </c>
    </row>
    <row r="194" spans="1:4" x14ac:dyDescent="0.4">
      <c r="A194" s="3">
        <v>6611102</v>
      </c>
      <c r="B194">
        <v>6611100</v>
      </c>
      <c r="C194">
        <v>6611102</v>
      </c>
      <c r="D194">
        <v>1000</v>
      </c>
    </row>
    <row r="195" spans="1:4" x14ac:dyDescent="0.4">
      <c r="A195" s="3">
        <v>6611200</v>
      </c>
      <c r="B195">
        <v>100</v>
      </c>
      <c r="C195">
        <v>6611200</v>
      </c>
      <c r="D195">
        <v>100</v>
      </c>
    </row>
    <row r="196" spans="1:4" x14ac:dyDescent="0.4">
      <c r="A196" s="3">
        <v>6611201</v>
      </c>
      <c r="B196">
        <v>100</v>
      </c>
      <c r="C196">
        <v>6611201</v>
      </c>
      <c r="D196">
        <v>100</v>
      </c>
    </row>
    <row r="197" spans="1:4" x14ac:dyDescent="0.4">
      <c r="A197" s="3">
        <v>6611202</v>
      </c>
      <c r="B197">
        <v>100</v>
      </c>
      <c r="C197">
        <v>6611202</v>
      </c>
      <c r="D197">
        <v>100</v>
      </c>
    </row>
    <row r="198" spans="1:4" x14ac:dyDescent="0.4">
      <c r="A198" s="3">
        <v>6611300</v>
      </c>
      <c r="B198">
        <v>100</v>
      </c>
      <c r="C198">
        <v>6611300</v>
      </c>
      <c r="D198">
        <v>100</v>
      </c>
    </row>
    <row r="199" spans="1:4" x14ac:dyDescent="0.4">
      <c r="A199" s="3">
        <v>6611301</v>
      </c>
      <c r="B199">
        <v>100</v>
      </c>
      <c r="C199">
        <v>6611301</v>
      </c>
      <c r="D199">
        <v>100</v>
      </c>
    </row>
    <row r="200" spans="1:4" x14ac:dyDescent="0.4">
      <c r="A200" s="3">
        <v>6611302</v>
      </c>
      <c r="B200">
        <v>100</v>
      </c>
      <c r="C200">
        <v>6611302</v>
      </c>
      <c r="D200">
        <v>100</v>
      </c>
    </row>
    <row r="201" spans="1:4" x14ac:dyDescent="0.4">
      <c r="A201" s="3">
        <v>6611400</v>
      </c>
      <c r="B201">
        <v>6611400</v>
      </c>
      <c r="C201">
        <v>6611400</v>
      </c>
      <c r="D201">
        <v>100</v>
      </c>
    </row>
    <row r="202" spans="1:4" x14ac:dyDescent="0.4">
      <c r="A202" s="3">
        <v>6621000</v>
      </c>
      <c r="B202">
        <v>6621000</v>
      </c>
      <c r="C202">
        <v>6621000</v>
      </c>
      <c r="D202">
        <v>100</v>
      </c>
    </row>
    <row r="203" spans="1:4" x14ac:dyDescent="0.4">
      <c r="A203" s="3">
        <v>6621100</v>
      </c>
      <c r="B203">
        <v>6621000</v>
      </c>
      <c r="C203">
        <v>6621100</v>
      </c>
      <c r="D203">
        <v>100</v>
      </c>
    </row>
    <row r="204" spans="1:4" x14ac:dyDescent="0.4">
      <c r="A204" s="3">
        <v>6621200</v>
      </c>
      <c r="B204">
        <v>6621000</v>
      </c>
      <c r="C204">
        <v>6621200</v>
      </c>
      <c r="D204">
        <v>100</v>
      </c>
    </row>
    <row r="205" spans="1:4" x14ac:dyDescent="0.4">
      <c r="A205" s="3">
        <v>6621300</v>
      </c>
      <c r="B205">
        <v>6621000</v>
      </c>
      <c r="C205">
        <v>6621300</v>
      </c>
      <c r="D205">
        <v>100</v>
      </c>
    </row>
    <row r="206" spans="1:4" x14ac:dyDescent="0.4">
      <c r="A206" s="3">
        <v>6621400</v>
      </c>
      <c r="B206">
        <v>6621000</v>
      </c>
      <c r="C206">
        <v>6621400</v>
      </c>
      <c r="D206">
        <v>100</v>
      </c>
    </row>
    <row r="207" spans="1:4" x14ac:dyDescent="0.4">
      <c r="A207" s="3">
        <v>6621500</v>
      </c>
      <c r="B207">
        <v>6621000</v>
      </c>
      <c r="C207">
        <v>6621500</v>
      </c>
      <c r="D207">
        <v>100</v>
      </c>
    </row>
    <row r="208" spans="1:4" x14ac:dyDescent="0.4">
      <c r="A208" s="3">
        <v>6621600</v>
      </c>
      <c r="B208">
        <v>6621000</v>
      </c>
      <c r="C208">
        <v>6621600</v>
      </c>
      <c r="D208">
        <v>100</v>
      </c>
    </row>
    <row r="209" spans="1:4" x14ac:dyDescent="0.4">
      <c r="A209" s="3">
        <v>6621700</v>
      </c>
      <c r="B209">
        <v>6621000</v>
      </c>
      <c r="C209">
        <v>6621700</v>
      </c>
      <c r="D209">
        <v>100</v>
      </c>
    </row>
    <row r="210" spans="1:4" x14ac:dyDescent="0.4">
      <c r="A210" s="3">
        <v>6621800</v>
      </c>
      <c r="B210">
        <v>6621000</v>
      </c>
      <c r="C210">
        <v>6621800</v>
      </c>
      <c r="D210">
        <v>100</v>
      </c>
    </row>
    <row r="211" spans="1:4" x14ac:dyDescent="0.4">
      <c r="A211" s="3">
        <v>6621900</v>
      </c>
      <c r="B211">
        <v>6621000</v>
      </c>
      <c r="C211">
        <v>6621900</v>
      </c>
      <c r="D211">
        <v>100</v>
      </c>
    </row>
    <row r="212" spans="1:4" x14ac:dyDescent="0.4">
      <c r="A212" s="3">
        <v>6622000</v>
      </c>
      <c r="B212">
        <v>6621000</v>
      </c>
      <c r="C212">
        <v>6622000</v>
      </c>
      <c r="D212">
        <v>100</v>
      </c>
    </row>
    <row r="213" spans="1:4" x14ac:dyDescent="0.4">
      <c r="A213" s="3">
        <v>6622100</v>
      </c>
      <c r="B213">
        <v>6621000</v>
      </c>
      <c r="C213">
        <v>6622100</v>
      </c>
      <c r="D213">
        <v>100</v>
      </c>
    </row>
    <row r="214" spans="1:4" x14ac:dyDescent="0.4">
      <c r="A214" s="3">
        <v>6622200</v>
      </c>
      <c r="B214">
        <v>6621000</v>
      </c>
      <c r="C214">
        <v>6622200</v>
      </c>
      <c r="D214">
        <v>100</v>
      </c>
    </row>
    <row r="215" spans="1:4" x14ac:dyDescent="0.4">
      <c r="A215" s="3">
        <v>6622300</v>
      </c>
      <c r="B215">
        <v>6621000</v>
      </c>
      <c r="C215">
        <v>6622300</v>
      </c>
      <c r="D215">
        <v>100</v>
      </c>
    </row>
    <row r="216" spans="1:4" x14ac:dyDescent="0.4">
      <c r="A216" s="3">
        <v>6622400</v>
      </c>
      <c r="B216">
        <v>6621000</v>
      </c>
      <c r="C216">
        <v>6622400</v>
      </c>
      <c r="D216">
        <v>100</v>
      </c>
    </row>
    <row r="217" spans="1:4" x14ac:dyDescent="0.4">
      <c r="A217" s="3">
        <v>6622500</v>
      </c>
      <c r="B217">
        <v>6621000</v>
      </c>
      <c r="C217">
        <v>6622500</v>
      </c>
      <c r="D217">
        <v>100</v>
      </c>
    </row>
    <row r="218" spans="1:4" x14ac:dyDescent="0.4">
      <c r="A218" s="3">
        <v>6622600</v>
      </c>
      <c r="B218">
        <v>6621000</v>
      </c>
      <c r="C218">
        <v>6622600</v>
      </c>
      <c r="D218">
        <v>100</v>
      </c>
    </row>
    <row r="219" spans="1:4" x14ac:dyDescent="0.4">
      <c r="A219" s="3">
        <v>6622700</v>
      </c>
      <c r="B219">
        <v>6621000</v>
      </c>
      <c r="C219">
        <v>6622700</v>
      </c>
      <c r="D219">
        <v>100</v>
      </c>
    </row>
    <row r="220" spans="1:4" x14ac:dyDescent="0.4">
      <c r="A220" s="3">
        <v>6622800</v>
      </c>
      <c r="B220">
        <v>6621000</v>
      </c>
      <c r="C220">
        <v>6622800</v>
      </c>
      <c r="D220">
        <v>100</v>
      </c>
    </row>
    <row r="221" spans="1:4" x14ac:dyDescent="0.4">
      <c r="A221" s="3">
        <v>6622900</v>
      </c>
      <c r="B221">
        <v>6621000</v>
      </c>
      <c r="C221">
        <v>6622900</v>
      </c>
      <c r="D221">
        <v>100</v>
      </c>
    </row>
    <row r="222" spans="1:4" x14ac:dyDescent="0.4">
      <c r="A222" s="3">
        <v>6623000</v>
      </c>
      <c r="B222">
        <v>6621000</v>
      </c>
      <c r="C222">
        <v>6623000</v>
      </c>
      <c r="D222">
        <v>100</v>
      </c>
    </row>
    <row r="223" spans="1:4" x14ac:dyDescent="0.4">
      <c r="A223" s="3">
        <v>6623100</v>
      </c>
      <c r="B223">
        <v>6621000</v>
      </c>
      <c r="C223">
        <v>6623100</v>
      </c>
      <c r="D223">
        <v>100</v>
      </c>
    </row>
    <row r="224" spans="1:4" x14ac:dyDescent="0.4">
      <c r="A224" s="3">
        <v>6623200</v>
      </c>
      <c r="B224">
        <v>6621000</v>
      </c>
      <c r="C224">
        <v>6623200</v>
      </c>
      <c r="D224">
        <v>100</v>
      </c>
    </row>
    <row r="225" spans="1:4" x14ac:dyDescent="0.4">
      <c r="A225" s="3">
        <v>6624000</v>
      </c>
      <c r="B225">
        <v>6624000</v>
      </c>
      <c r="C225">
        <v>6624000</v>
      </c>
      <c r="D225">
        <v>100</v>
      </c>
    </row>
    <row r="226" spans="1:4" x14ac:dyDescent="0.4">
      <c r="A226" s="3">
        <v>6624100</v>
      </c>
      <c r="B226">
        <v>6624000</v>
      </c>
      <c r="C226">
        <v>6624100</v>
      </c>
      <c r="D226">
        <v>100</v>
      </c>
    </row>
    <row r="227" spans="1:4" x14ac:dyDescent="0.4">
      <c r="A227" s="3">
        <v>6624200</v>
      </c>
      <c r="B227">
        <v>6624000</v>
      </c>
      <c r="C227">
        <v>6624200</v>
      </c>
      <c r="D227">
        <v>100</v>
      </c>
    </row>
    <row r="228" spans="1:4" x14ac:dyDescent="0.4">
      <c r="A228" s="3">
        <v>6624300</v>
      </c>
      <c r="B228">
        <v>6624000</v>
      </c>
      <c r="C228">
        <v>6624300</v>
      </c>
      <c r="D228">
        <v>100</v>
      </c>
    </row>
    <row r="229" spans="1:4" x14ac:dyDescent="0.4">
      <c r="A229" s="3">
        <v>6624400</v>
      </c>
      <c r="B229">
        <v>6624000</v>
      </c>
      <c r="C229">
        <v>6624400</v>
      </c>
      <c r="D229">
        <v>100</v>
      </c>
    </row>
    <row r="230" spans="1:4" x14ac:dyDescent="0.4">
      <c r="A230" s="3">
        <v>6624500</v>
      </c>
      <c r="B230">
        <v>6624000</v>
      </c>
      <c r="C230">
        <v>6624500</v>
      </c>
      <c r="D230">
        <v>100</v>
      </c>
    </row>
    <row r="231" spans="1:4" x14ac:dyDescent="0.4">
      <c r="A231" s="3">
        <v>6630000</v>
      </c>
      <c r="B231">
        <v>6630000</v>
      </c>
      <c r="C231">
        <v>6630000</v>
      </c>
      <c r="D231">
        <v>100</v>
      </c>
    </row>
    <row r="232" spans="1:4" x14ac:dyDescent="0.4">
      <c r="A232" s="3">
        <v>6630100</v>
      </c>
      <c r="B232">
        <v>6630000</v>
      </c>
      <c r="C232">
        <v>6630100</v>
      </c>
      <c r="D232">
        <v>100</v>
      </c>
    </row>
    <row r="233" spans="1:4" x14ac:dyDescent="0.4">
      <c r="A233" s="3">
        <v>6630200</v>
      </c>
      <c r="B233">
        <v>6630000</v>
      </c>
      <c r="C233">
        <v>6630200</v>
      </c>
      <c r="D233">
        <v>100</v>
      </c>
    </row>
    <row r="234" spans="1:4" x14ac:dyDescent="0.4">
      <c r="A234" s="3">
        <v>6630300</v>
      </c>
      <c r="B234">
        <v>6630000</v>
      </c>
      <c r="C234">
        <v>6630300</v>
      </c>
      <c r="D234">
        <v>100</v>
      </c>
    </row>
    <row r="235" spans="1:4" x14ac:dyDescent="0.4">
      <c r="A235" s="3">
        <v>6630400</v>
      </c>
      <c r="B235">
        <v>6630000</v>
      </c>
      <c r="C235">
        <v>6630400</v>
      </c>
      <c r="D235">
        <v>100</v>
      </c>
    </row>
    <row r="236" spans="1:4" x14ac:dyDescent="0.4">
      <c r="A236" s="3">
        <v>6630500</v>
      </c>
      <c r="B236">
        <v>6630000</v>
      </c>
      <c r="C236">
        <v>6630500</v>
      </c>
      <c r="D236">
        <v>100</v>
      </c>
    </row>
    <row r="237" spans="1:4" x14ac:dyDescent="0.4">
      <c r="A237" s="3">
        <v>6630600</v>
      </c>
      <c r="B237">
        <v>6630000</v>
      </c>
      <c r="C237">
        <v>6630600</v>
      </c>
      <c r="D237">
        <v>100</v>
      </c>
    </row>
    <row r="238" spans="1:4" x14ac:dyDescent="0.4">
      <c r="A238" s="3">
        <v>6630700</v>
      </c>
      <c r="B238">
        <v>6630000</v>
      </c>
      <c r="C238">
        <v>6630700</v>
      </c>
      <c r="D238">
        <v>100</v>
      </c>
    </row>
    <row r="239" spans="1:4" x14ac:dyDescent="0.4">
      <c r="A239" s="3">
        <v>6630800</v>
      </c>
      <c r="B239">
        <v>6630000</v>
      </c>
      <c r="C239">
        <v>6630800</v>
      </c>
      <c r="D239">
        <v>100</v>
      </c>
    </row>
    <row r="240" spans="1:4" x14ac:dyDescent="0.4">
      <c r="A240" s="3">
        <v>6630900</v>
      </c>
      <c r="B240">
        <v>6630000</v>
      </c>
      <c r="C240">
        <v>6630900</v>
      </c>
      <c r="D240">
        <v>100</v>
      </c>
    </row>
    <row r="241" spans="1:4" x14ac:dyDescent="0.4">
      <c r="A241" s="3">
        <v>6631000</v>
      </c>
      <c r="B241">
        <v>6630000</v>
      </c>
      <c r="C241">
        <v>6631000</v>
      </c>
      <c r="D241">
        <v>100</v>
      </c>
    </row>
    <row r="242" spans="1:4" x14ac:dyDescent="0.4">
      <c r="A242" s="3">
        <v>6631100</v>
      </c>
      <c r="B242">
        <v>6630000</v>
      </c>
      <c r="C242">
        <v>6631100</v>
      </c>
      <c r="D242">
        <v>100</v>
      </c>
    </row>
    <row r="243" spans="1:4" x14ac:dyDescent="0.4">
      <c r="A243" s="3">
        <v>6631200</v>
      </c>
      <c r="B243">
        <v>6630000</v>
      </c>
      <c r="C243">
        <v>6631200</v>
      </c>
      <c r="D243">
        <v>100</v>
      </c>
    </row>
    <row r="244" spans="1:4" x14ac:dyDescent="0.4">
      <c r="A244" s="3">
        <v>6631300</v>
      </c>
      <c r="B244">
        <v>6630000</v>
      </c>
      <c r="C244">
        <v>6631300</v>
      </c>
      <c r="D244">
        <v>100</v>
      </c>
    </row>
    <row r="245" spans="1:4" x14ac:dyDescent="0.4">
      <c r="A245" s="3">
        <v>6631400</v>
      </c>
      <c r="B245">
        <v>6630000</v>
      </c>
      <c r="C245">
        <v>6631400</v>
      </c>
      <c r="D245">
        <v>100</v>
      </c>
    </row>
    <row r="246" spans="1:4" x14ac:dyDescent="0.4">
      <c r="A246" s="3">
        <v>6631500</v>
      </c>
      <c r="B246">
        <v>6630000</v>
      </c>
      <c r="C246">
        <v>6631500</v>
      </c>
      <c r="D246">
        <v>100</v>
      </c>
    </row>
    <row r="247" spans="1:4" x14ac:dyDescent="0.4">
      <c r="A247" s="3">
        <v>6631600</v>
      </c>
      <c r="B247">
        <v>6630000</v>
      </c>
      <c r="C247">
        <v>6631600</v>
      </c>
      <c r="D247">
        <v>100</v>
      </c>
    </row>
    <row r="248" spans="1:4" x14ac:dyDescent="0.4">
      <c r="A248" s="3">
        <v>6631700</v>
      </c>
      <c r="B248">
        <v>6630000</v>
      </c>
      <c r="C248">
        <v>6631700</v>
      </c>
      <c r="D248">
        <v>100</v>
      </c>
    </row>
    <row r="249" spans="1:4" x14ac:dyDescent="0.4">
      <c r="A249" s="3">
        <v>6631800</v>
      </c>
      <c r="B249">
        <v>6630000</v>
      </c>
      <c r="C249">
        <v>6631800</v>
      </c>
      <c r="D249">
        <v>100</v>
      </c>
    </row>
    <row r="250" spans="1:4" x14ac:dyDescent="0.4">
      <c r="A250" s="3">
        <v>6631900</v>
      </c>
      <c r="B250">
        <v>6630000</v>
      </c>
      <c r="C250">
        <v>6631900</v>
      </c>
      <c r="D250">
        <v>100</v>
      </c>
    </row>
    <row r="251" spans="1:4" x14ac:dyDescent="0.4">
      <c r="A251" s="3">
        <v>6632000</v>
      </c>
      <c r="B251">
        <v>6630000</v>
      </c>
      <c r="C251">
        <v>6632000</v>
      </c>
      <c r="D251">
        <v>100</v>
      </c>
    </row>
    <row r="252" spans="1:4" x14ac:dyDescent="0.4">
      <c r="A252" s="3">
        <v>6632100</v>
      </c>
      <c r="B252">
        <v>6630000</v>
      </c>
      <c r="C252">
        <v>6632100</v>
      </c>
      <c r="D252">
        <v>100</v>
      </c>
    </row>
    <row r="253" spans="1:4" x14ac:dyDescent="0.4">
      <c r="A253" s="3">
        <v>6632200</v>
      </c>
      <c r="B253">
        <v>6630000</v>
      </c>
      <c r="C253">
        <v>6632200</v>
      </c>
      <c r="D253">
        <v>100</v>
      </c>
    </row>
    <row r="254" spans="1:4" x14ac:dyDescent="0.4">
      <c r="A254" s="3">
        <v>6632300</v>
      </c>
      <c r="B254">
        <v>6630000</v>
      </c>
      <c r="C254">
        <v>6632300</v>
      </c>
      <c r="D254">
        <v>100</v>
      </c>
    </row>
    <row r="255" spans="1:4" x14ac:dyDescent="0.4">
      <c r="A255" s="3">
        <v>6632400</v>
      </c>
      <c r="B255">
        <v>6630000</v>
      </c>
      <c r="C255">
        <v>6632400</v>
      </c>
      <c r="D255">
        <v>100</v>
      </c>
    </row>
    <row r="256" spans="1:4" x14ac:dyDescent="0.4">
      <c r="A256" s="3">
        <v>6632500</v>
      </c>
      <c r="B256">
        <v>6630000</v>
      </c>
      <c r="C256">
        <v>6632500</v>
      </c>
      <c r="D256">
        <v>100</v>
      </c>
    </row>
    <row r="257" spans="1:4" x14ac:dyDescent="0.4">
      <c r="A257" s="3">
        <v>6632600</v>
      </c>
      <c r="B257">
        <v>6630000</v>
      </c>
      <c r="C257">
        <v>6632600</v>
      </c>
      <c r="D257">
        <v>100</v>
      </c>
    </row>
    <row r="258" spans="1:4" x14ac:dyDescent="0.4">
      <c r="A258" s="3">
        <v>6632700</v>
      </c>
      <c r="B258">
        <v>6630000</v>
      </c>
      <c r="C258">
        <v>6632700</v>
      </c>
      <c r="D258">
        <v>100</v>
      </c>
    </row>
    <row r="259" spans="1:4" x14ac:dyDescent="0.4">
      <c r="A259" s="3">
        <v>6632800</v>
      </c>
      <c r="B259">
        <v>6630000</v>
      </c>
      <c r="C259">
        <v>6632800</v>
      </c>
      <c r="D259">
        <v>100</v>
      </c>
    </row>
    <row r="260" spans="1:4" x14ac:dyDescent="0.4">
      <c r="A260" s="3">
        <v>6632900</v>
      </c>
      <c r="B260">
        <v>6630000</v>
      </c>
      <c r="C260">
        <v>6632900</v>
      </c>
      <c r="D260">
        <v>100</v>
      </c>
    </row>
    <row r="261" spans="1:4" x14ac:dyDescent="0.4">
      <c r="A261" s="3">
        <v>6633000</v>
      </c>
      <c r="B261">
        <v>6630000</v>
      </c>
      <c r="C261">
        <v>6633000</v>
      </c>
      <c r="D261">
        <v>100</v>
      </c>
    </row>
    <row r="262" spans="1:4" x14ac:dyDescent="0.4">
      <c r="A262" s="3">
        <v>6633100</v>
      </c>
      <c r="B262">
        <v>6630000</v>
      </c>
      <c r="C262">
        <v>6633100</v>
      </c>
      <c r="D262">
        <v>100</v>
      </c>
    </row>
    <row r="263" spans="1:4" x14ac:dyDescent="0.4">
      <c r="A263" s="3">
        <v>6633200</v>
      </c>
      <c r="B263">
        <v>6630000</v>
      </c>
      <c r="C263">
        <v>6633200</v>
      </c>
      <c r="D263">
        <v>100</v>
      </c>
    </row>
    <row r="264" spans="1:4" x14ac:dyDescent="0.4">
      <c r="A264" s="3">
        <v>6640000</v>
      </c>
      <c r="B264">
        <v>900</v>
      </c>
      <c r="C264">
        <v>6640000</v>
      </c>
      <c r="D264">
        <v>1</v>
      </c>
    </row>
    <row r="265" spans="1:4" x14ac:dyDescent="0.4">
      <c r="A265" s="3">
        <v>6640100</v>
      </c>
      <c r="B265">
        <v>900</v>
      </c>
      <c r="C265">
        <v>6640100</v>
      </c>
      <c r="D265">
        <v>1</v>
      </c>
    </row>
    <row r="266" spans="1:4" x14ac:dyDescent="0.4">
      <c r="A266" s="3">
        <v>6641000</v>
      </c>
      <c r="B266">
        <v>900</v>
      </c>
      <c r="C266">
        <v>6641000</v>
      </c>
      <c r="D266">
        <v>1</v>
      </c>
    </row>
    <row r="267" spans="1:4" x14ac:dyDescent="0.4">
      <c r="A267" s="3">
        <v>6641100</v>
      </c>
      <c r="B267">
        <v>900</v>
      </c>
      <c r="C267">
        <v>6641100</v>
      </c>
      <c r="D267">
        <v>1</v>
      </c>
    </row>
    <row r="268" spans="1:4" x14ac:dyDescent="0.4">
      <c r="A268" s="3">
        <v>6642000</v>
      </c>
      <c r="B268">
        <v>900</v>
      </c>
      <c r="C268">
        <v>6642000</v>
      </c>
      <c r="D268">
        <v>1</v>
      </c>
    </row>
    <row r="269" spans="1:4" x14ac:dyDescent="0.4">
      <c r="A269" s="3">
        <v>6642100</v>
      </c>
      <c r="B269">
        <v>900</v>
      </c>
      <c r="C269">
        <v>6642100</v>
      </c>
      <c r="D269">
        <v>1</v>
      </c>
    </row>
    <row r="270" spans="1:4" x14ac:dyDescent="0.4">
      <c r="A270" s="3">
        <v>6643000</v>
      </c>
      <c r="B270">
        <v>900</v>
      </c>
      <c r="C270">
        <v>6643000</v>
      </c>
      <c r="D270">
        <v>1</v>
      </c>
    </row>
    <row r="271" spans="1:4" x14ac:dyDescent="0.4">
      <c r="A271" s="3">
        <v>6643100</v>
      </c>
      <c r="B271">
        <v>900</v>
      </c>
      <c r="C271">
        <v>6643100</v>
      </c>
      <c r="D271">
        <v>1</v>
      </c>
    </row>
    <row r="272" spans="1:4" x14ac:dyDescent="0.4">
      <c r="A272" s="3">
        <v>6644000</v>
      </c>
      <c r="B272">
        <v>900</v>
      </c>
      <c r="C272">
        <v>6644000</v>
      </c>
      <c r="D272">
        <v>1</v>
      </c>
    </row>
    <row r="273" spans="1:4" x14ac:dyDescent="0.4">
      <c r="A273" s="3">
        <v>6644100</v>
      </c>
      <c r="B273">
        <v>900</v>
      </c>
      <c r="C273">
        <v>6644100</v>
      </c>
      <c r="D273">
        <v>1</v>
      </c>
    </row>
    <row r="274" spans="1:4" x14ac:dyDescent="0.4">
      <c r="A274" s="3">
        <v>6645000</v>
      </c>
      <c r="B274">
        <v>900</v>
      </c>
      <c r="C274">
        <v>6645000</v>
      </c>
      <c r="D274">
        <v>1</v>
      </c>
    </row>
    <row r="275" spans="1:4" x14ac:dyDescent="0.4">
      <c r="A275" s="3">
        <v>6645100</v>
      </c>
      <c r="B275">
        <v>900</v>
      </c>
      <c r="C275">
        <v>6645100</v>
      </c>
      <c r="D275">
        <v>1</v>
      </c>
    </row>
    <row r="276" spans="1:4" x14ac:dyDescent="0.4">
      <c r="A276" s="3">
        <v>6646000</v>
      </c>
      <c r="B276">
        <v>900</v>
      </c>
      <c r="C276">
        <v>6646000</v>
      </c>
      <c r="D276">
        <v>1</v>
      </c>
    </row>
    <row r="277" spans="1:4" x14ac:dyDescent="0.4">
      <c r="A277" s="3">
        <v>6646100</v>
      </c>
      <c r="B277">
        <v>900</v>
      </c>
      <c r="C277">
        <v>6646100</v>
      </c>
      <c r="D277">
        <v>1</v>
      </c>
    </row>
    <row r="278" spans="1:4" x14ac:dyDescent="0.4">
      <c r="A278" s="3">
        <v>6647000</v>
      </c>
      <c r="B278">
        <v>900</v>
      </c>
      <c r="C278">
        <v>6647000</v>
      </c>
      <c r="D278">
        <v>1</v>
      </c>
    </row>
    <row r="279" spans="1:4" x14ac:dyDescent="0.4">
      <c r="A279" s="3">
        <v>6647100</v>
      </c>
      <c r="B279">
        <v>900</v>
      </c>
      <c r="C279">
        <v>6647100</v>
      </c>
      <c r="D279">
        <v>1</v>
      </c>
    </row>
    <row r="280" spans="1:4" x14ac:dyDescent="0.4">
      <c r="A280" s="3">
        <v>6647200</v>
      </c>
      <c r="B280">
        <v>900</v>
      </c>
      <c r="C280">
        <v>6647200</v>
      </c>
      <c r="D280">
        <v>1</v>
      </c>
    </row>
    <row r="281" spans="1:4" x14ac:dyDescent="0.4">
      <c r="A281" s="3">
        <v>6647300</v>
      </c>
      <c r="B281">
        <v>900</v>
      </c>
      <c r="C281">
        <v>6647300</v>
      </c>
      <c r="D281">
        <v>1</v>
      </c>
    </row>
    <row r="282" spans="1:4" x14ac:dyDescent="0.4">
      <c r="A282" s="3">
        <v>6647400</v>
      </c>
      <c r="B282">
        <v>900</v>
      </c>
      <c r="C282">
        <v>6647400</v>
      </c>
      <c r="D282">
        <v>1</v>
      </c>
    </row>
    <row r="283" spans="1:4" x14ac:dyDescent="0.4">
      <c r="A283" s="3">
        <v>6647500</v>
      </c>
      <c r="B283">
        <v>900</v>
      </c>
      <c r="C283">
        <v>6647500</v>
      </c>
      <c r="D283">
        <v>1</v>
      </c>
    </row>
    <row r="284" spans="1:4" x14ac:dyDescent="0.4">
      <c r="A284" s="3">
        <v>6820000</v>
      </c>
      <c r="B284">
        <v>6820000</v>
      </c>
      <c r="C284">
        <v>6820000</v>
      </c>
      <c r="D284">
        <v>6820000</v>
      </c>
    </row>
    <row r="285" spans="1:4" x14ac:dyDescent="0.4">
      <c r="A285" s="3">
        <v>6820100</v>
      </c>
      <c r="B285">
        <v>6820100</v>
      </c>
      <c r="C285">
        <v>6820100</v>
      </c>
      <c r="D285">
        <v>6820100</v>
      </c>
    </row>
    <row r="286" spans="1:4" x14ac:dyDescent="0.4">
      <c r="A286" s="3">
        <v>6820200</v>
      </c>
      <c r="B286">
        <v>6820200</v>
      </c>
      <c r="C286">
        <v>6820200</v>
      </c>
      <c r="D286">
        <v>6820200</v>
      </c>
    </row>
    <row r="287" spans="1:4" x14ac:dyDescent="0.4">
      <c r="A287" s="3">
        <v>6820300</v>
      </c>
      <c r="B287">
        <v>6820300</v>
      </c>
      <c r="C287">
        <v>6820300</v>
      </c>
      <c r="D287">
        <v>6820300</v>
      </c>
    </row>
    <row r="288" spans="1:4" x14ac:dyDescent="0.4">
      <c r="A288" s="3">
        <v>6820400</v>
      </c>
      <c r="B288">
        <v>6820400</v>
      </c>
      <c r="C288">
        <v>6820400</v>
      </c>
      <c r="D288">
        <v>6820400</v>
      </c>
    </row>
    <row r="289" spans="1:4" x14ac:dyDescent="0.4">
      <c r="A289" s="3">
        <v>6820500</v>
      </c>
      <c r="B289">
        <v>6820500</v>
      </c>
      <c r="C289">
        <v>6820500</v>
      </c>
      <c r="D289">
        <v>6820500</v>
      </c>
    </row>
    <row r="290" spans="1:4" x14ac:dyDescent="0.4">
      <c r="A290" s="3">
        <v>6820600</v>
      </c>
      <c r="B290">
        <v>6820600</v>
      </c>
      <c r="C290">
        <v>6820600</v>
      </c>
      <c r="D290">
        <v>6820600</v>
      </c>
    </row>
    <row r="291" spans="1:4" x14ac:dyDescent="0.4">
      <c r="A291" s="3">
        <v>6830000</v>
      </c>
      <c r="B291">
        <v>6830000</v>
      </c>
      <c r="C291">
        <v>6830000</v>
      </c>
      <c r="D291">
        <v>6830000</v>
      </c>
    </row>
    <row r="292" spans="1:4" x14ac:dyDescent="0.4">
      <c r="A292" s="3">
        <v>6830100</v>
      </c>
      <c r="B292">
        <v>6830100</v>
      </c>
      <c r="C292">
        <v>6830100</v>
      </c>
      <c r="D292">
        <v>6830100</v>
      </c>
    </row>
    <row r="293" spans="1:4" x14ac:dyDescent="0.4">
      <c r="A293" s="3">
        <v>6830200</v>
      </c>
      <c r="B293">
        <v>6830200</v>
      </c>
      <c r="C293">
        <v>6830200</v>
      </c>
      <c r="D293">
        <v>6830200</v>
      </c>
    </row>
    <row r="294" spans="1:4" x14ac:dyDescent="0.4">
      <c r="A294" s="3">
        <v>6830300</v>
      </c>
      <c r="B294">
        <v>6830300</v>
      </c>
      <c r="C294">
        <v>6830300</v>
      </c>
      <c r="D294">
        <v>6830300</v>
      </c>
    </row>
    <row r="295" spans="1:4" x14ac:dyDescent="0.4">
      <c r="A295" s="3">
        <v>6830400</v>
      </c>
      <c r="B295">
        <v>6830400</v>
      </c>
      <c r="C295">
        <v>6830400</v>
      </c>
      <c r="D295">
        <v>6830400</v>
      </c>
    </row>
    <row r="296" spans="1:4" x14ac:dyDescent="0.4">
      <c r="A296" s="3">
        <v>6840000</v>
      </c>
      <c r="B296">
        <v>6840000</v>
      </c>
      <c r="C296">
        <v>6840000</v>
      </c>
      <c r="D296">
        <v>6840000</v>
      </c>
    </row>
    <row r="297" spans="1:4" x14ac:dyDescent="0.4">
      <c r="A297" s="3">
        <v>6840100</v>
      </c>
      <c r="B297">
        <v>6840100</v>
      </c>
      <c r="C297">
        <v>6840100</v>
      </c>
      <c r="D297">
        <v>6840100</v>
      </c>
    </row>
    <row r="298" spans="1:4" x14ac:dyDescent="0.4">
      <c r="A298" s="3">
        <v>6840200</v>
      </c>
      <c r="B298">
        <v>6840200</v>
      </c>
      <c r="C298">
        <v>6840200</v>
      </c>
      <c r="D298">
        <v>6840200</v>
      </c>
    </row>
    <row r="299" spans="1:4" x14ac:dyDescent="0.4">
      <c r="A299" s="3">
        <v>6850200</v>
      </c>
      <c r="B299">
        <v>6850200</v>
      </c>
      <c r="C299">
        <v>8762000</v>
      </c>
      <c r="D299">
        <v>900000050</v>
      </c>
    </row>
    <row r="300" spans="1:4" x14ac:dyDescent="0.4">
      <c r="A300" s="3">
        <v>6850500</v>
      </c>
      <c r="B300">
        <v>6850500</v>
      </c>
      <c r="C300">
        <v>8766000</v>
      </c>
      <c r="D300">
        <v>900000080</v>
      </c>
    </row>
    <row r="301" spans="1:4" x14ac:dyDescent="0.4">
      <c r="A301" s="3">
        <v>6850700</v>
      </c>
      <c r="B301">
        <v>6850700</v>
      </c>
      <c r="C301">
        <v>8800100</v>
      </c>
      <c r="D301">
        <v>900000120</v>
      </c>
    </row>
    <row r="302" spans="1:4" x14ac:dyDescent="0.4">
      <c r="A302" s="3">
        <v>6850800</v>
      </c>
      <c r="B302">
        <v>6850800</v>
      </c>
      <c r="C302">
        <v>8800200</v>
      </c>
      <c r="D302">
        <v>900000130</v>
      </c>
    </row>
    <row r="303" spans="1:4" x14ac:dyDescent="0.4">
      <c r="A303" s="3">
        <v>6850900</v>
      </c>
      <c r="B303">
        <v>6850900</v>
      </c>
      <c r="C303">
        <v>8801000</v>
      </c>
      <c r="D303">
        <v>900000140</v>
      </c>
    </row>
    <row r="304" spans="1:4" x14ac:dyDescent="0.4">
      <c r="A304" s="3">
        <v>6851200</v>
      </c>
      <c r="B304">
        <v>6851200</v>
      </c>
      <c r="C304">
        <v>8810000</v>
      </c>
      <c r="D304">
        <v>900000170</v>
      </c>
    </row>
    <row r="305" spans="1:4" x14ac:dyDescent="0.4">
      <c r="A305" s="3">
        <v>6851300</v>
      </c>
      <c r="B305">
        <v>6851300</v>
      </c>
      <c r="C305">
        <v>8810300</v>
      </c>
      <c r="D305">
        <v>900000190</v>
      </c>
    </row>
    <row r="306" spans="1:4" x14ac:dyDescent="0.4">
      <c r="A306" s="3">
        <v>6851400</v>
      </c>
      <c r="B306">
        <v>6851400</v>
      </c>
      <c r="C306">
        <v>8810400</v>
      </c>
      <c r="D306">
        <v>900000200</v>
      </c>
    </row>
    <row r="307" spans="1:4" x14ac:dyDescent="0.4">
      <c r="A307" s="3">
        <v>6851700</v>
      </c>
      <c r="B307">
        <v>6851700</v>
      </c>
      <c r="C307">
        <v>8831200</v>
      </c>
      <c r="D307">
        <v>900000300</v>
      </c>
    </row>
    <row r="308" spans="1:4" x14ac:dyDescent="0.4">
      <c r="A308" s="3">
        <v>7000000</v>
      </c>
      <c r="B308">
        <v>7000000</v>
      </c>
      <c r="C308">
        <v>7000000</v>
      </c>
      <c r="D308">
        <v>1000</v>
      </c>
    </row>
    <row r="309" spans="1:4" x14ac:dyDescent="0.4">
      <c r="A309" s="3">
        <v>7000001</v>
      </c>
      <c r="B309">
        <v>7000000</v>
      </c>
      <c r="C309">
        <v>7000001</v>
      </c>
      <c r="D309">
        <v>1000</v>
      </c>
    </row>
    <row r="310" spans="1:4" x14ac:dyDescent="0.4">
      <c r="A310" s="3">
        <v>7000002</v>
      </c>
      <c r="B310">
        <v>7000000</v>
      </c>
      <c r="C310">
        <v>7000002</v>
      </c>
      <c r="D310">
        <v>1000</v>
      </c>
    </row>
    <row r="311" spans="1:4" x14ac:dyDescent="0.4">
      <c r="A311" s="3">
        <v>7000090</v>
      </c>
      <c r="B311">
        <v>7000000</v>
      </c>
      <c r="C311">
        <v>7000090</v>
      </c>
      <c r="D311">
        <v>1</v>
      </c>
    </row>
    <row r="312" spans="1:4" x14ac:dyDescent="0.4">
      <c r="A312" s="3">
        <v>7000100</v>
      </c>
      <c r="B312">
        <v>7000100</v>
      </c>
      <c r="C312">
        <v>7000100</v>
      </c>
      <c r="D312">
        <v>1000</v>
      </c>
    </row>
    <row r="313" spans="1:4" x14ac:dyDescent="0.4">
      <c r="A313" s="3">
        <v>7000101</v>
      </c>
      <c r="B313">
        <v>7000100</v>
      </c>
      <c r="C313">
        <v>7000101</v>
      </c>
      <c r="D313">
        <v>1000</v>
      </c>
    </row>
    <row r="314" spans="1:4" x14ac:dyDescent="0.4">
      <c r="A314" s="3">
        <v>7000102</v>
      </c>
      <c r="B314">
        <v>7000100</v>
      </c>
      <c r="C314">
        <v>7000102</v>
      </c>
      <c r="D314">
        <v>1000</v>
      </c>
    </row>
    <row r="315" spans="1:4" x14ac:dyDescent="0.4">
      <c r="A315" s="3">
        <v>7000190</v>
      </c>
      <c r="B315">
        <v>7000100</v>
      </c>
      <c r="C315">
        <v>7000190</v>
      </c>
      <c r="D315">
        <v>1</v>
      </c>
    </row>
    <row r="316" spans="1:4" x14ac:dyDescent="0.4">
      <c r="A316" s="3">
        <v>7000200</v>
      </c>
      <c r="B316">
        <v>7000200</v>
      </c>
      <c r="C316">
        <v>7000200</v>
      </c>
      <c r="D316">
        <v>1000</v>
      </c>
    </row>
    <row r="317" spans="1:4" x14ac:dyDescent="0.4">
      <c r="A317" s="3">
        <v>7000201</v>
      </c>
      <c r="B317">
        <v>7000200</v>
      </c>
      <c r="C317">
        <v>7000201</v>
      </c>
      <c r="D317">
        <v>1000</v>
      </c>
    </row>
    <row r="318" spans="1:4" x14ac:dyDescent="0.4">
      <c r="A318" s="3">
        <v>7000202</v>
      </c>
      <c r="B318">
        <v>7000200</v>
      </c>
      <c r="C318">
        <v>7000202</v>
      </c>
      <c r="D318">
        <v>1000</v>
      </c>
    </row>
    <row r="319" spans="1:4" x14ac:dyDescent="0.4">
      <c r="A319" s="3">
        <v>7000290</v>
      </c>
      <c r="B319">
        <v>7000200</v>
      </c>
      <c r="C319">
        <v>7000290</v>
      </c>
      <c r="D319">
        <v>1</v>
      </c>
    </row>
    <row r="320" spans="1:4" x14ac:dyDescent="0.4">
      <c r="A320" s="3">
        <v>7000300</v>
      </c>
      <c r="B320">
        <v>7000300</v>
      </c>
      <c r="C320">
        <v>7000300</v>
      </c>
      <c r="D320">
        <v>1000</v>
      </c>
    </row>
    <row r="321" spans="1:4" x14ac:dyDescent="0.4">
      <c r="A321" s="3">
        <v>7000301</v>
      </c>
      <c r="B321">
        <v>7000300</v>
      </c>
      <c r="C321">
        <v>7000301</v>
      </c>
      <c r="D321">
        <v>1000</v>
      </c>
    </row>
    <row r="322" spans="1:4" x14ac:dyDescent="0.4">
      <c r="A322" s="3">
        <v>7000302</v>
      </c>
      <c r="B322">
        <v>7000300</v>
      </c>
      <c r="C322">
        <v>7000302</v>
      </c>
      <c r="D322">
        <v>1000</v>
      </c>
    </row>
    <row r="323" spans="1:4" x14ac:dyDescent="0.4">
      <c r="A323" s="3">
        <v>7000400</v>
      </c>
      <c r="B323">
        <v>7000400</v>
      </c>
      <c r="C323">
        <v>7000400</v>
      </c>
      <c r="D323">
        <v>1000</v>
      </c>
    </row>
    <row r="324" spans="1:4" x14ac:dyDescent="0.4">
      <c r="A324" s="3">
        <v>7000401</v>
      </c>
      <c r="B324">
        <v>7000400</v>
      </c>
      <c r="C324">
        <v>7000401</v>
      </c>
      <c r="D324">
        <v>1000</v>
      </c>
    </row>
    <row r="325" spans="1:4" x14ac:dyDescent="0.4">
      <c r="A325" s="3">
        <v>7000402</v>
      </c>
      <c r="B325">
        <v>7000400</v>
      </c>
      <c r="C325">
        <v>7000402</v>
      </c>
      <c r="D325">
        <v>1000</v>
      </c>
    </row>
    <row r="326" spans="1:4" x14ac:dyDescent="0.4">
      <c r="A326" s="3">
        <v>7000500</v>
      </c>
      <c r="B326">
        <v>7000500</v>
      </c>
      <c r="C326">
        <v>7000500</v>
      </c>
      <c r="D326">
        <v>1000</v>
      </c>
    </row>
    <row r="327" spans="1:4" x14ac:dyDescent="0.4">
      <c r="A327" s="3">
        <v>7000501</v>
      </c>
      <c r="B327">
        <v>7000500</v>
      </c>
      <c r="C327">
        <v>7000501</v>
      </c>
      <c r="D327">
        <v>1000</v>
      </c>
    </row>
    <row r="328" spans="1:4" x14ac:dyDescent="0.4">
      <c r="A328" s="3">
        <v>7000502</v>
      </c>
      <c r="B328">
        <v>7000500</v>
      </c>
      <c r="C328">
        <v>7000502</v>
      </c>
      <c r="D328">
        <v>1000</v>
      </c>
    </row>
    <row r="329" spans="1:4" x14ac:dyDescent="0.4">
      <c r="A329" s="3">
        <v>7000600</v>
      </c>
      <c r="B329">
        <v>7000600</v>
      </c>
      <c r="C329">
        <v>7000600</v>
      </c>
      <c r="D329">
        <v>1000</v>
      </c>
    </row>
    <row r="330" spans="1:4" x14ac:dyDescent="0.4">
      <c r="A330" s="3">
        <v>7000601</v>
      </c>
      <c r="B330">
        <v>7000600</v>
      </c>
      <c r="C330">
        <v>7000601</v>
      </c>
      <c r="D330">
        <v>1000</v>
      </c>
    </row>
    <row r="331" spans="1:4" x14ac:dyDescent="0.4">
      <c r="A331" s="3">
        <v>7000602</v>
      </c>
      <c r="B331">
        <v>7000600</v>
      </c>
      <c r="C331">
        <v>7000602</v>
      </c>
      <c r="D331">
        <v>1000</v>
      </c>
    </row>
    <row r="332" spans="1:4" x14ac:dyDescent="0.4">
      <c r="A332" s="3">
        <v>7000700</v>
      </c>
      <c r="B332">
        <v>7000700</v>
      </c>
      <c r="C332">
        <v>7000700</v>
      </c>
      <c r="D332">
        <v>1000</v>
      </c>
    </row>
    <row r="333" spans="1:4" x14ac:dyDescent="0.4">
      <c r="A333" s="3">
        <v>7000701</v>
      </c>
      <c r="B333">
        <v>7000700</v>
      </c>
      <c r="C333">
        <v>7000701</v>
      </c>
      <c r="D333">
        <v>1000</v>
      </c>
    </row>
    <row r="334" spans="1:4" x14ac:dyDescent="0.4">
      <c r="A334" s="3">
        <v>7000702</v>
      </c>
      <c r="B334">
        <v>7000700</v>
      </c>
      <c r="C334">
        <v>7000702</v>
      </c>
      <c r="D334">
        <v>1000</v>
      </c>
    </row>
    <row r="335" spans="1:4" x14ac:dyDescent="0.4">
      <c r="A335" s="3">
        <v>7000800</v>
      </c>
      <c r="B335">
        <v>7000800</v>
      </c>
      <c r="C335">
        <v>7000800</v>
      </c>
      <c r="D335">
        <v>1000</v>
      </c>
    </row>
    <row r="336" spans="1:4" x14ac:dyDescent="0.4">
      <c r="A336" s="3">
        <v>7000801</v>
      </c>
      <c r="B336">
        <v>7000800</v>
      </c>
      <c r="C336">
        <v>7000801</v>
      </c>
      <c r="D336">
        <v>1000</v>
      </c>
    </row>
    <row r="337" spans="1:4" x14ac:dyDescent="0.4">
      <c r="A337" s="3">
        <v>7000802</v>
      </c>
      <c r="B337">
        <v>7000800</v>
      </c>
      <c r="C337">
        <v>7000802</v>
      </c>
      <c r="D337">
        <v>1000</v>
      </c>
    </row>
    <row r="338" spans="1:4" x14ac:dyDescent="0.4">
      <c r="A338" s="3">
        <v>7000900</v>
      </c>
      <c r="B338">
        <v>7000900</v>
      </c>
      <c r="C338">
        <v>7000900</v>
      </c>
      <c r="D338">
        <v>1000</v>
      </c>
    </row>
    <row r="339" spans="1:4" x14ac:dyDescent="0.4">
      <c r="A339" s="3">
        <v>7000901</v>
      </c>
      <c r="B339">
        <v>7000900</v>
      </c>
      <c r="C339">
        <v>7000901</v>
      </c>
      <c r="D339">
        <v>1000</v>
      </c>
    </row>
    <row r="340" spans="1:4" x14ac:dyDescent="0.4">
      <c r="A340" s="3">
        <v>7000902</v>
      </c>
      <c r="B340">
        <v>7000900</v>
      </c>
      <c r="C340">
        <v>7000902</v>
      </c>
      <c r="D340">
        <v>1000</v>
      </c>
    </row>
    <row r="341" spans="1:4" x14ac:dyDescent="0.4">
      <c r="A341" s="3">
        <v>7001000</v>
      </c>
      <c r="B341">
        <v>7001000</v>
      </c>
      <c r="C341">
        <v>7001000</v>
      </c>
      <c r="D341">
        <v>1000</v>
      </c>
    </row>
    <row r="342" spans="1:4" x14ac:dyDescent="0.4">
      <c r="A342" s="3">
        <v>7001001</v>
      </c>
      <c r="B342">
        <v>7001000</v>
      </c>
      <c r="C342">
        <v>7001001</v>
      </c>
      <c r="D342">
        <v>1000</v>
      </c>
    </row>
    <row r="343" spans="1:4" x14ac:dyDescent="0.4">
      <c r="A343" s="3">
        <v>7001002</v>
      </c>
      <c r="B343">
        <v>7001000</v>
      </c>
      <c r="C343">
        <v>7001002</v>
      </c>
      <c r="D343">
        <v>1000</v>
      </c>
    </row>
    <row r="344" spans="1:4" x14ac:dyDescent="0.4">
      <c r="A344" s="3">
        <v>7001100</v>
      </c>
      <c r="B344">
        <v>7001100</v>
      </c>
      <c r="C344">
        <v>8540000</v>
      </c>
      <c r="D344">
        <v>100</v>
      </c>
    </row>
    <row r="345" spans="1:4" x14ac:dyDescent="0.4">
      <c r="A345" s="3">
        <v>7001400</v>
      </c>
      <c r="B345">
        <v>100</v>
      </c>
      <c r="C345">
        <v>7001400</v>
      </c>
      <c r="D345">
        <v>1000</v>
      </c>
    </row>
    <row r="346" spans="1:4" x14ac:dyDescent="0.4">
      <c r="A346" s="3">
        <v>7001401</v>
      </c>
      <c r="B346">
        <v>100</v>
      </c>
      <c r="C346">
        <v>7001401</v>
      </c>
      <c r="D346">
        <v>1000</v>
      </c>
    </row>
    <row r="347" spans="1:4" x14ac:dyDescent="0.4">
      <c r="A347" s="3">
        <v>7001402</v>
      </c>
      <c r="B347">
        <v>100</v>
      </c>
      <c r="C347">
        <v>7001402</v>
      </c>
      <c r="D347">
        <v>1000</v>
      </c>
    </row>
    <row r="348" spans="1:4" x14ac:dyDescent="0.4">
      <c r="A348" s="3">
        <v>7001409</v>
      </c>
      <c r="B348">
        <v>-1</v>
      </c>
      <c r="C348">
        <v>7001402</v>
      </c>
      <c r="D348">
        <v>1000</v>
      </c>
    </row>
    <row r="349" spans="1:4" x14ac:dyDescent="0.4">
      <c r="A349" s="3">
        <v>7001500</v>
      </c>
      <c r="B349">
        <v>100</v>
      </c>
      <c r="C349">
        <v>7001500</v>
      </c>
      <c r="D349">
        <v>1000</v>
      </c>
    </row>
    <row r="350" spans="1:4" x14ac:dyDescent="0.4">
      <c r="A350" s="3">
        <v>7001501</v>
      </c>
      <c r="B350">
        <v>100</v>
      </c>
      <c r="C350">
        <v>7001501</v>
      </c>
      <c r="D350">
        <v>1000</v>
      </c>
    </row>
    <row r="351" spans="1:4" x14ac:dyDescent="0.4">
      <c r="A351" s="3">
        <v>7001502</v>
      </c>
      <c r="B351">
        <v>100</v>
      </c>
      <c r="C351">
        <v>7001502</v>
      </c>
      <c r="D351">
        <v>1000</v>
      </c>
    </row>
    <row r="352" spans="1:4" x14ac:dyDescent="0.4">
      <c r="A352" s="3">
        <v>7001600</v>
      </c>
      <c r="B352">
        <v>100</v>
      </c>
      <c r="C352">
        <v>7001600</v>
      </c>
      <c r="D352">
        <v>1000</v>
      </c>
    </row>
    <row r="353" spans="1:4" x14ac:dyDescent="0.4">
      <c r="A353" s="3">
        <v>7001601</v>
      </c>
      <c r="B353">
        <v>100</v>
      </c>
      <c r="C353">
        <v>7001601</v>
      </c>
      <c r="D353">
        <v>1000</v>
      </c>
    </row>
    <row r="354" spans="1:4" x14ac:dyDescent="0.4">
      <c r="A354" s="3">
        <v>7001602</v>
      </c>
      <c r="B354">
        <v>100</v>
      </c>
      <c r="C354">
        <v>7001602</v>
      </c>
      <c r="D354">
        <v>1000</v>
      </c>
    </row>
    <row r="355" spans="1:4" x14ac:dyDescent="0.4">
      <c r="A355" s="3">
        <v>7001700</v>
      </c>
      <c r="B355">
        <v>100</v>
      </c>
      <c r="C355">
        <v>7001700</v>
      </c>
      <c r="D355">
        <v>1000</v>
      </c>
    </row>
    <row r="356" spans="1:4" x14ac:dyDescent="0.4">
      <c r="A356" s="3">
        <v>7001701</v>
      </c>
      <c r="B356">
        <v>100</v>
      </c>
      <c r="C356">
        <v>7001701</v>
      </c>
      <c r="D356">
        <v>1000</v>
      </c>
    </row>
    <row r="357" spans="1:4" x14ac:dyDescent="0.4">
      <c r="A357" s="3">
        <v>7001702</v>
      </c>
      <c r="B357">
        <v>100</v>
      </c>
      <c r="C357">
        <v>7001702</v>
      </c>
      <c r="D357">
        <v>1000</v>
      </c>
    </row>
    <row r="358" spans="1:4" x14ac:dyDescent="0.4">
      <c r="A358" s="3">
        <v>7001800</v>
      </c>
      <c r="B358">
        <v>100</v>
      </c>
      <c r="C358">
        <v>7001800</v>
      </c>
      <c r="D358">
        <v>1000</v>
      </c>
    </row>
    <row r="359" spans="1:4" x14ac:dyDescent="0.4">
      <c r="A359" s="3">
        <v>7001801</v>
      </c>
      <c r="B359">
        <v>100</v>
      </c>
      <c r="C359">
        <v>7001801</v>
      </c>
      <c r="D359">
        <v>1000</v>
      </c>
    </row>
    <row r="360" spans="1:4" x14ac:dyDescent="0.4">
      <c r="A360" s="3">
        <v>7001802</v>
      </c>
      <c r="B360">
        <v>100</v>
      </c>
      <c r="C360">
        <v>7001802</v>
      </c>
      <c r="D360">
        <v>1000</v>
      </c>
    </row>
    <row r="361" spans="1:4" x14ac:dyDescent="0.4">
      <c r="A361" s="3">
        <v>7002600</v>
      </c>
      <c r="B361">
        <v>7002600</v>
      </c>
      <c r="C361">
        <v>7002600</v>
      </c>
      <c r="D361">
        <v>1000</v>
      </c>
    </row>
    <row r="362" spans="1:4" x14ac:dyDescent="0.4">
      <c r="A362" s="3">
        <v>7002700</v>
      </c>
      <c r="B362">
        <v>7002700</v>
      </c>
      <c r="C362">
        <v>7002700</v>
      </c>
      <c r="D362">
        <v>1000</v>
      </c>
    </row>
    <row r="363" spans="1:4" x14ac:dyDescent="0.4">
      <c r="A363" s="3">
        <v>7002800</v>
      </c>
      <c r="B363">
        <v>7002800</v>
      </c>
      <c r="C363">
        <v>7002800</v>
      </c>
      <c r="D363">
        <v>1000</v>
      </c>
    </row>
    <row r="364" spans="1:4" x14ac:dyDescent="0.4">
      <c r="A364" s="3">
        <v>7002900</v>
      </c>
      <c r="B364">
        <v>7002900</v>
      </c>
      <c r="C364">
        <v>7002900</v>
      </c>
      <c r="D364">
        <v>1000</v>
      </c>
    </row>
    <row r="365" spans="1:4" x14ac:dyDescent="0.4">
      <c r="A365" s="3">
        <v>7003000</v>
      </c>
      <c r="B365">
        <v>7003000</v>
      </c>
      <c r="C365">
        <v>7003000</v>
      </c>
      <c r="D365">
        <v>1000</v>
      </c>
    </row>
    <row r="366" spans="1:4" x14ac:dyDescent="0.4">
      <c r="A366" s="3">
        <v>7003100</v>
      </c>
      <c r="B366">
        <v>7003100</v>
      </c>
      <c r="C366">
        <v>7003100</v>
      </c>
      <c r="D366">
        <v>1000</v>
      </c>
    </row>
    <row r="367" spans="1:4" x14ac:dyDescent="0.4">
      <c r="A367" s="3">
        <v>7003200</v>
      </c>
      <c r="B367">
        <v>7003200</v>
      </c>
      <c r="C367">
        <v>7003200</v>
      </c>
      <c r="D367">
        <v>1000</v>
      </c>
    </row>
    <row r="368" spans="1:4" x14ac:dyDescent="0.4">
      <c r="A368" s="3">
        <v>7003300</v>
      </c>
      <c r="B368">
        <v>7003300</v>
      </c>
      <c r="C368">
        <v>7003300</v>
      </c>
      <c r="D368">
        <v>1000</v>
      </c>
    </row>
    <row r="369" spans="1:4" x14ac:dyDescent="0.4">
      <c r="A369" s="3">
        <v>7003400</v>
      </c>
      <c r="B369">
        <v>7003400</v>
      </c>
      <c r="C369">
        <v>7003400</v>
      </c>
      <c r="D369">
        <v>1000</v>
      </c>
    </row>
    <row r="370" spans="1:4" x14ac:dyDescent="0.4">
      <c r="A370" s="3">
        <v>7003500</v>
      </c>
      <c r="B370">
        <v>7003500</v>
      </c>
      <c r="C370">
        <v>7003500</v>
      </c>
      <c r="D370">
        <v>1000</v>
      </c>
    </row>
    <row r="371" spans="1:4" x14ac:dyDescent="0.4">
      <c r="A371" s="3">
        <v>7003600</v>
      </c>
      <c r="B371">
        <v>7003600</v>
      </c>
      <c r="C371">
        <v>7003600</v>
      </c>
      <c r="D371">
        <v>1000</v>
      </c>
    </row>
    <row r="372" spans="1:4" x14ac:dyDescent="0.4">
      <c r="A372" s="3">
        <v>7005600</v>
      </c>
      <c r="B372">
        <v>7005600</v>
      </c>
      <c r="C372">
        <v>7005600</v>
      </c>
      <c r="D372">
        <v>100</v>
      </c>
    </row>
    <row r="373" spans="1:4" x14ac:dyDescent="0.4">
      <c r="A373" s="3">
        <v>7006000</v>
      </c>
      <c r="B373">
        <v>100</v>
      </c>
      <c r="C373">
        <v>8300100</v>
      </c>
      <c r="D373">
        <v>100</v>
      </c>
    </row>
    <row r="374" spans="1:4" x14ac:dyDescent="0.4">
      <c r="A374" s="3">
        <v>7006001</v>
      </c>
      <c r="B374">
        <v>7006001</v>
      </c>
      <c r="C374">
        <v>8300100</v>
      </c>
      <c r="D374">
        <v>100</v>
      </c>
    </row>
    <row r="375" spans="1:4" x14ac:dyDescent="0.4">
      <c r="A375" s="3">
        <v>7006100</v>
      </c>
      <c r="B375">
        <v>100</v>
      </c>
      <c r="C375">
        <v>8310100</v>
      </c>
      <c r="D375">
        <v>100</v>
      </c>
    </row>
    <row r="376" spans="1:4" x14ac:dyDescent="0.4">
      <c r="A376" s="3">
        <v>7006101</v>
      </c>
      <c r="B376">
        <v>7006101</v>
      </c>
      <c r="C376">
        <v>8310100</v>
      </c>
      <c r="D376">
        <v>100</v>
      </c>
    </row>
    <row r="377" spans="1:4" x14ac:dyDescent="0.4">
      <c r="A377" s="3">
        <v>7006200</v>
      </c>
      <c r="B377">
        <v>7006200</v>
      </c>
      <c r="C377">
        <v>8200000</v>
      </c>
      <c r="D377">
        <v>1000</v>
      </c>
    </row>
    <row r="378" spans="1:4" x14ac:dyDescent="0.4">
      <c r="A378" s="3">
        <v>7006300</v>
      </c>
      <c r="B378">
        <v>-1</v>
      </c>
      <c r="C378">
        <v>6611100</v>
      </c>
      <c r="D378">
        <v>2</v>
      </c>
    </row>
    <row r="379" spans="1:4" x14ac:dyDescent="0.4">
      <c r="A379" s="3">
        <v>7006400</v>
      </c>
      <c r="B379">
        <v>-1</v>
      </c>
      <c r="C379">
        <v>8330500</v>
      </c>
      <c r="D379">
        <v>2</v>
      </c>
    </row>
    <row r="380" spans="1:4" x14ac:dyDescent="0.4">
      <c r="A380" s="3">
        <v>7006500</v>
      </c>
      <c r="B380">
        <v>-1</v>
      </c>
      <c r="C380">
        <v>7006500</v>
      </c>
      <c r="D380">
        <v>3</v>
      </c>
    </row>
    <row r="381" spans="1:4" x14ac:dyDescent="0.4">
      <c r="A381" s="3">
        <v>7006600</v>
      </c>
      <c r="B381">
        <v>-1</v>
      </c>
      <c r="C381">
        <v>7006600</v>
      </c>
      <c r="D381">
        <v>1</v>
      </c>
    </row>
    <row r="382" spans="1:4" x14ac:dyDescent="0.4">
      <c r="A382" s="3">
        <v>7006700</v>
      </c>
      <c r="B382">
        <v>-1</v>
      </c>
      <c r="C382">
        <v>7006700</v>
      </c>
      <c r="D382">
        <v>2</v>
      </c>
    </row>
    <row r="383" spans="1:4" x14ac:dyDescent="0.4">
      <c r="A383" s="3">
        <v>7010200</v>
      </c>
      <c r="B383">
        <v>7010200</v>
      </c>
      <c r="C383">
        <v>7010200</v>
      </c>
      <c r="D383">
        <v>100</v>
      </c>
    </row>
    <row r="384" spans="1:4" x14ac:dyDescent="0.4">
      <c r="A384" s="3">
        <v>7010500</v>
      </c>
      <c r="B384">
        <v>900</v>
      </c>
      <c r="C384">
        <v>7010500</v>
      </c>
      <c r="D384">
        <v>1</v>
      </c>
    </row>
    <row r="385" spans="1:4" x14ac:dyDescent="0.4">
      <c r="A385" s="3">
        <v>7010700</v>
      </c>
      <c r="B385">
        <v>900</v>
      </c>
      <c r="C385">
        <v>7010700</v>
      </c>
      <c r="D385">
        <v>1</v>
      </c>
    </row>
    <row r="386" spans="1:4" x14ac:dyDescent="0.4">
      <c r="A386" s="3">
        <v>7010900</v>
      </c>
      <c r="B386">
        <v>900</v>
      </c>
      <c r="C386">
        <v>7010900</v>
      </c>
      <c r="D386">
        <v>1</v>
      </c>
    </row>
    <row r="387" spans="1:4" x14ac:dyDescent="0.4">
      <c r="A387" s="3">
        <v>7011000</v>
      </c>
      <c r="B387">
        <v>900</v>
      </c>
      <c r="C387">
        <v>7011000</v>
      </c>
      <c r="D387">
        <v>1</v>
      </c>
    </row>
    <row r="388" spans="1:4" x14ac:dyDescent="0.4">
      <c r="A388" s="3">
        <v>7011200</v>
      </c>
      <c r="B388">
        <v>900</v>
      </c>
      <c r="C388">
        <v>7011200</v>
      </c>
      <c r="D388">
        <v>1</v>
      </c>
    </row>
    <row r="389" spans="1:4" x14ac:dyDescent="0.4">
      <c r="A389" s="3">
        <v>7011600</v>
      </c>
      <c r="B389">
        <v>900</v>
      </c>
      <c r="C389">
        <v>7011600</v>
      </c>
      <c r="D389">
        <v>1</v>
      </c>
    </row>
    <row r="390" spans="1:4" x14ac:dyDescent="0.4">
      <c r="A390" s="3">
        <v>7011700</v>
      </c>
      <c r="B390">
        <v>900</v>
      </c>
      <c r="C390">
        <v>7011700</v>
      </c>
      <c r="D390">
        <v>1</v>
      </c>
    </row>
    <row r="391" spans="1:4" x14ac:dyDescent="0.4">
      <c r="A391" s="3">
        <v>7012000</v>
      </c>
      <c r="B391">
        <v>900</v>
      </c>
      <c r="C391">
        <v>7012000</v>
      </c>
      <c r="D391">
        <v>1</v>
      </c>
    </row>
    <row r="392" spans="1:4" x14ac:dyDescent="0.4">
      <c r="A392" s="3">
        <v>7012200</v>
      </c>
      <c r="B392">
        <v>7012200</v>
      </c>
      <c r="C392">
        <v>7012200</v>
      </c>
      <c r="D392">
        <v>100</v>
      </c>
    </row>
    <row r="393" spans="1:4" x14ac:dyDescent="0.4">
      <c r="A393" s="3">
        <v>7012300</v>
      </c>
      <c r="B393">
        <v>7012300</v>
      </c>
      <c r="C393">
        <v>7012300</v>
      </c>
      <c r="D393">
        <v>100</v>
      </c>
    </row>
    <row r="394" spans="1:4" x14ac:dyDescent="0.4">
      <c r="A394" s="3">
        <v>7020000</v>
      </c>
      <c r="B394">
        <v>900</v>
      </c>
      <c r="C394">
        <v>7020000</v>
      </c>
      <c r="D394">
        <v>1</v>
      </c>
    </row>
    <row r="395" spans="1:4" x14ac:dyDescent="0.4">
      <c r="A395" s="3">
        <v>7030000</v>
      </c>
      <c r="B395">
        <v>900</v>
      </c>
      <c r="C395">
        <v>7030000</v>
      </c>
      <c r="D395">
        <v>1</v>
      </c>
    </row>
    <row r="396" spans="1:4" x14ac:dyDescent="0.4">
      <c r="A396" s="3">
        <v>7030200</v>
      </c>
      <c r="B396">
        <v>7030200</v>
      </c>
      <c r="C396">
        <v>7030200</v>
      </c>
      <c r="D396">
        <v>100</v>
      </c>
    </row>
    <row r="397" spans="1:4" x14ac:dyDescent="0.4">
      <c r="A397" s="3">
        <v>7030600</v>
      </c>
      <c r="B397">
        <v>7030600</v>
      </c>
      <c r="C397">
        <v>7030600</v>
      </c>
      <c r="D397">
        <v>100</v>
      </c>
    </row>
    <row r="398" spans="1:4" x14ac:dyDescent="0.4">
      <c r="A398" s="3">
        <v>7030700</v>
      </c>
      <c r="B398">
        <v>7030700</v>
      </c>
      <c r="C398">
        <v>7030700</v>
      </c>
      <c r="D398">
        <v>100</v>
      </c>
    </row>
    <row r="399" spans="1:4" x14ac:dyDescent="0.4">
      <c r="A399" s="3">
        <v>7030800</v>
      </c>
      <c r="B399">
        <v>7030800</v>
      </c>
      <c r="C399">
        <v>7030800</v>
      </c>
      <c r="D399">
        <v>100</v>
      </c>
    </row>
    <row r="400" spans="1:4" x14ac:dyDescent="0.4">
      <c r="A400" s="3">
        <v>7030900</v>
      </c>
      <c r="B400">
        <v>100</v>
      </c>
      <c r="C400">
        <v>7030900</v>
      </c>
      <c r="D400">
        <v>100</v>
      </c>
    </row>
    <row r="401" spans="1:4" x14ac:dyDescent="0.4">
      <c r="A401" s="3">
        <v>7031200</v>
      </c>
      <c r="B401">
        <v>900</v>
      </c>
      <c r="C401">
        <v>7031200</v>
      </c>
      <c r="D401">
        <v>1</v>
      </c>
    </row>
    <row r="402" spans="1:4" x14ac:dyDescent="0.4">
      <c r="A402" s="3">
        <v>7031300</v>
      </c>
      <c r="B402">
        <v>900</v>
      </c>
      <c r="C402">
        <v>7031300</v>
      </c>
      <c r="D402">
        <v>1</v>
      </c>
    </row>
    <row r="403" spans="1:4" x14ac:dyDescent="0.4">
      <c r="A403" s="3">
        <v>7031800</v>
      </c>
      <c r="B403">
        <v>900</v>
      </c>
      <c r="C403">
        <v>7031800</v>
      </c>
      <c r="D403">
        <v>1</v>
      </c>
    </row>
    <row r="404" spans="1:4" x14ac:dyDescent="0.4">
      <c r="A404" s="3">
        <v>7031900</v>
      </c>
      <c r="B404">
        <v>7031900</v>
      </c>
      <c r="C404">
        <v>7031900</v>
      </c>
      <c r="D404">
        <v>101</v>
      </c>
    </row>
    <row r="405" spans="1:4" x14ac:dyDescent="0.4">
      <c r="A405" s="3">
        <v>7032200</v>
      </c>
      <c r="B405">
        <v>100</v>
      </c>
      <c r="C405">
        <v>7032200</v>
      </c>
      <c r="D405">
        <v>100</v>
      </c>
    </row>
    <row r="406" spans="1:4" x14ac:dyDescent="0.4">
      <c r="A406" s="3">
        <v>7032400</v>
      </c>
      <c r="B406">
        <v>900</v>
      </c>
      <c r="C406">
        <v>7032400</v>
      </c>
      <c r="D406">
        <v>1</v>
      </c>
    </row>
    <row r="407" spans="1:4" x14ac:dyDescent="0.4">
      <c r="A407" s="3">
        <v>7032700</v>
      </c>
      <c r="B407">
        <v>900</v>
      </c>
      <c r="C407">
        <v>7032700</v>
      </c>
      <c r="D407">
        <v>1</v>
      </c>
    </row>
    <row r="408" spans="1:4" x14ac:dyDescent="0.4">
      <c r="A408" s="3">
        <v>7032800</v>
      </c>
      <c r="B408">
        <v>900</v>
      </c>
      <c r="C408">
        <v>7032800</v>
      </c>
      <c r="D408">
        <v>1</v>
      </c>
    </row>
    <row r="409" spans="1:4" x14ac:dyDescent="0.4">
      <c r="A409" s="3">
        <v>7032900</v>
      </c>
      <c r="B409">
        <v>900</v>
      </c>
      <c r="C409">
        <v>7032900</v>
      </c>
      <c r="D409">
        <v>1</v>
      </c>
    </row>
    <row r="410" spans="1:4" x14ac:dyDescent="0.4">
      <c r="A410" s="3">
        <v>7033200</v>
      </c>
      <c r="B410">
        <v>900</v>
      </c>
      <c r="C410">
        <v>7033200</v>
      </c>
      <c r="D410">
        <v>1</v>
      </c>
    </row>
    <row r="411" spans="1:4" x14ac:dyDescent="0.4">
      <c r="A411" s="3">
        <v>7033400</v>
      </c>
      <c r="B411">
        <v>900</v>
      </c>
      <c r="C411">
        <v>7033400</v>
      </c>
      <c r="D411">
        <v>1</v>
      </c>
    </row>
    <row r="412" spans="1:4" x14ac:dyDescent="0.4">
      <c r="A412" s="3">
        <v>7034100</v>
      </c>
      <c r="B412">
        <v>900</v>
      </c>
      <c r="C412">
        <v>7034100</v>
      </c>
      <c r="D412">
        <v>1</v>
      </c>
    </row>
    <row r="413" spans="1:4" x14ac:dyDescent="0.4">
      <c r="A413" s="3">
        <v>7034400</v>
      </c>
      <c r="B413">
        <v>900</v>
      </c>
      <c r="C413">
        <v>7034400</v>
      </c>
      <c r="D413">
        <v>1</v>
      </c>
    </row>
    <row r="414" spans="1:4" x14ac:dyDescent="0.4">
      <c r="A414" s="3">
        <v>7034500</v>
      </c>
      <c r="B414">
        <v>900</v>
      </c>
      <c r="C414">
        <v>7034500</v>
      </c>
      <c r="D414">
        <v>1</v>
      </c>
    </row>
    <row r="415" spans="1:4" x14ac:dyDescent="0.4">
      <c r="A415" s="3">
        <v>7034600</v>
      </c>
      <c r="B415">
        <v>900</v>
      </c>
      <c r="C415">
        <v>7034600</v>
      </c>
      <c r="D415">
        <v>1</v>
      </c>
    </row>
    <row r="416" spans="1:4" x14ac:dyDescent="0.4">
      <c r="A416" s="3">
        <v>7034700</v>
      </c>
      <c r="B416">
        <v>900</v>
      </c>
      <c r="C416">
        <v>7034700</v>
      </c>
      <c r="D416">
        <v>1</v>
      </c>
    </row>
    <row r="417" spans="1:4" x14ac:dyDescent="0.4">
      <c r="A417" s="3">
        <v>7035100</v>
      </c>
      <c r="B417">
        <v>7035100</v>
      </c>
      <c r="C417">
        <v>7035100</v>
      </c>
      <c r="D417">
        <v>100</v>
      </c>
    </row>
    <row r="418" spans="1:4" x14ac:dyDescent="0.4">
      <c r="A418" s="3">
        <v>7035400</v>
      </c>
      <c r="B418">
        <v>7035400</v>
      </c>
      <c r="C418">
        <v>7035400</v>
      </c>
      <c r="D418">
        <v>100</v>
      </c>
    </row>
    <row r="419" spans="1:4" x14ac:dyDescent="0.4">
      <c r="A419" s="3">
        <v>7035410</v>
      </c>
      <c r="B419">
        <v>7035410</v>
      </c>
      <c r="C419">
        <v>7035400</v>
      </c>
      <c r="D419">
        <v>100</v>
      </c>
    </row>
    <row r="420" spans="1:4" x14ac:dyDescent="0.4">
      <c r="A420" s="3">
        <v>7035500</v>
      </c>
      <c r="B420">
        <v>7035500</v>
      </c>
      <c r="C420">
        <v>7035500</v>
      </c>
      <c r="D420">
        <v>100</v>
      </c>
    </row>
    <row r="421" spans="1:4" x14ac:dyDescent="0.4">
      <c r="A421" s="3">
        <v>7035510</v>
      </c>
      <c r="B421">
        <v>7035510</v>
      </c>
      <c r="C421">
        <v>7035500</v>
      </c>
      <c r="D421">
        <v>100</v>
      </c>
    </row>
    <row r="422" spans="1:4" x14ac:dyDescent="0.4">
      <c r="A422" s="3">
        <v>7035700</v>
      </c>
      <c r="B422">
        <v>7035700</v>
      </c>
      <c r="C422">
        <v>7035700</v>
      </c>
      <c r="D422">
        <v>1</v>
      </c>
    </row>
    <row r="423" spans="1:4" x14ac:dyDescent="0.4">
      <c r="A423" s="3">
        <v>7035800</v>
      </c>
      <c r="B423">
        <v>7035800</v>
      </c>
      <c r="C423">
        <v>7035800</v>
      </c>
      <c r="D423">
        <v>10</v>
      </c>
    </row>
    <row r="424" spans="1:4" x14ac:dyDescent="0.4">
      <c r="A424" s="3">
        <v>7035900</v>
      </c>
      <c r="B424">
        <v>100</v>
      </c>
      <c r="C424">
        <v>7035900</v>
      </c>
      <c r="D424">
        <v>100</v>
      </c>
    </row>
    <row r="425" spans="1:4" x14ac:dyDescent="0.4">
      <c r="A425" s="3">
        <v>7036000</v>
      </c>
      <c r="B425">
        <v>7036000</v>
      </c>
      <c r="C425">
        <v>8610100</v>
      </c>
      <c r="D425">
        <v>1</v>
      </c>
    </row>
    <row r="426" spans="1:4" x14ac:dyDescent="0.4">
      <c r="A426" s="3">
        <v>7036100</v>
      </c>
      <c r="B426">
        <v>7036100</v>
      </c>
      <c r="C426">
        <v>8650000</v>
      </c>
      <c r="D426">
        <v>1</v>
      </c>
    </row>
    <row r="427" spans="1:4" x14ac:dyDescent="0.4">
      <c r="A427" s="3">
        <v>7036200</v>
      </c>
      <c r="B427">
        <v>900</v>
      </c>
      <c r="C427">
        <v>7036200</v>
      </c>
      <c r="D427">
        <v>1</v>
      </c>
    </row>
    <row r="428" spans="1:4" x14ac:dyDescent="0.4">
      <c r="A428" s="3">
        <v>7036300</v>
      </c>
      <c r="B428">
        <v>900</v>
      </c>
      <c r="C428">
        <v>7036300</v>
      </c>
      <c r="D428">
        <v>1</v>
      </c>
    </row>
    <row r="429" spans="1:4" x14ac:dyDescent="0.4">
      <c r="A429" s="3">
        <v>7036400</v>
      </c>
      <c r="B429">
        <v>900</v>
      </c>
      <c r="C429">
        <v>7036400</v>
      </c>
      <c r="D429">
        <v>1</v>
      </c>
    </row>
    <row r="430" spans="1:4" x14ac:dyDescent="0.4">
      <c r="A430" s="3">
        <v>7036500</v>
      </c>
      <c r="B430">
        <v>900</v>
      </c>
      <c r="C430">
        <v>7036500</v>
      </c>
      <c r="D430">
        <v>1</v>
      </c>
    </row>
    <row r="431" spans="1:4" x14ac:dyDescent="0.4">
      <c r="A431" s="3">
        <v>7036800</v>
      </c>
      <c r="B431">
        <v>900</v>
      </c>
      <c r="C431">
        <v>7036800</v>
      </c>
      <c r="D431">
        <v>1</v>
      </c>
    </row>
    <row r="432" spans="1:4" x14ac:dyDescent="0.4">
      <c r="A432" s="3">
        <v>7036900</v>
      </c>
      <c r="B432">
        <v>900</v>
      </c>
      <c r="C432">
        <v>7036900</v>
      </c>
      <c r="D432">
        <v>1</v>
      </c>
    </row>
    <row r="433" spans="1:4" x14ac:dyDescent="0.4">
      <c r="A433" s="3">
        <v>7037000</v>
      </c>
      <c r="B433">
        <v>900</v>
      </c>
      <c r="C433">
        <v>7037000</v>
      </c>
      <c r="D433">
        <v>1</v>
      </c>
    </row>
    <row r="434" spans="1:4" x14ac:dyDescent="0.4">
      <c r="A434" s="3">
        <v>7037300</v>
      </c>
      <c r="B434">
        <v>900</v>
      </c>
      <c r="C434">
        <v>7037300</v>
      </c>
      <c r="D434">
        <v>1</v>
      </c>
    </row>
    <row r="435" spans="1:4" x14ac:dyDescent="0.4">
      <c r="A435" s="3">
        <v>7037600</v>
      </c>
      <c r="B435">
        <v>-1</v>
      </c>
      <c r="C435">
        <v>320800</v>
      </c>
      <c r="D435">
        <v>2</v>
      </c>
    </row>
    <row r="436" spans="1:4" x14ac:dyDescent="0.4">
      <c r="A436" s="3">
        <v>7037700</v>
      </c>
      <c r="B436">
        <v>-1</v>
      </c>
      <c r="C436">
        <v>7037700</v>
      </c>
      <c r="D436">
        <v>1</v>
      </c>
    </row>
    <row r="437" spans="1:4" x14ac:dyDescent="0.4">
      <c r="A437" s="3">
        <v>7037800</v>
      </c>
      <c r="B437">
        <v>-1</v>
      </c>
      <c r="C437">
        <v>7037800</v>
      </c>
      <c r="D437">
        <v>2</v>
      </c>
    </row>
    <row r="438" spans="1:4" x14ac:dyDescent="0.4">
      <c r="A438" s="3">
        <v>7040000</v>
      </c>
      <c r="B438">
        <v>100</v>
      </c>
      <c r="C438">
        <v>7040000</v>
      </c>
      <c r="D438">
        <v>100</v>
      </c>
    </row>
    <row r="439" spans="1:4" x14ac:dyDescent="0.4">
      <c r="A439" s="3">
        <v>7040100</v>
      </c>
      <c r="B439">
        <v>100</v>
      </c>
      <c r="C439">
        <v>7040100</v>
      </c>
      <c r="D439">
        <v>100</v>
      </c>
    </row>
    <row r="440" spans="1:4" x14ac:dyDescent="0.4">
      <c r="A440" s="3">
        <v>7040200</v>
      </c>
      <c r="B440">
        <v>100</v>
      </c>
      <c r="C440">
        <v>7040200</v>
      </c>
      <c r="D440">
        <v>100</v>
      </c>
    </row>
    <row r="441" spans="1:4" x14ac:dyDescent="0.4">
      <c r="A441" s="3">
        <v>7040201</v>
      </c>
      <c r="B441">
        <v>7040201</v>
      </c>
      <c r="C441">
        <v>7040290</v>
      </c>
      <c r="D441">
        <v>1</v>
      </c>
    </row>
    <row r="442" spans="1:4" x14ac:dyDescent="0.4">
      <c r="A442" s="3">
        <v>7040300</v>
      </c>
      <c r="B442">
        <v>7040300</v>
      </c>
      <c r="C442">
        <v>7040300</v>
      </c>
      <c r="D442">
        <v>100</v>
      </c>
    </row>
    <row r="443" spans="1:4" x14ac:dyDescent="0.4">
      <c r="A443" s="3">
        <v>7040400</v>
      </c>
      <c r="B443">
        <v>7040400</v>
      </c>
      <c r="C443">
        <v>7040400</v>
      </c>
      <c r="D443">
        <v>100</v>
      </c>
    </row>
    <row r="444" spans="1:4" x14ac:dyDescent="0.4">
      <c r="A444" s="3">
        <v>7040500</v>
      </c>
      <c r="B444">
        <v>7040500</v>
      </c>
      <c r="C444">
        <v>7040500</v>
      </c>
      <c r="D444">
        <v>100</v>
      </c>
    </row>
    <row r="445" spans="1:4" x14ac:dyDescent="0.4">
      <c r="A445" s="3">
        <v>7043000</v>
      </c>
      <c r="B445">
        <v>100</v>
      </c>
      <c r="C445">
        <v>8380000</v>
      </c>
      <c r="D445">
        <v>100</v>
      </c>
    </row>
    <row r="446" spans="1:4" x14ac:dyDescent="0.4">
      <c r="A446" s="3">
        <v>7043100</v>
      </c>
      <c r="B446">
        <v>7043100</v>
      </c>
      <c r="C446">
        <v>8400000</v>
      </c>
      <c r="D446">
        <v>100</v>
      </c>
    </row>
    <row r="447" spans="1:4" x14ac:dyDescent="0.4">
      <c r="A447" s="3">
        <v>7043200</v>
      </c>
      <c r="B447">
        <v>800</v>
      </c>
      <c r="C447">
        <v>7043200</v>
      </c>
      <c r="D447">
        <v>100</v>
      </c>
    </row>
    <row r="448" spans="1:4" x14ac:dyDescent="0.4">
      <c r="A448" s="3">
        <v>7043300</v>
      </c>
      <c r="B448">
        <v>800</v>
      </c>
      <c r="C448">
        <v>7043300</v>
      </c>
      <c r="D448">
        <v>100</v>
      </c>
    </row>
    <row r="449" spans="1:4" x14ac:dyDescent="0.4">
      <c r="A449" s="3">
        <v>7043400</v>
      </c>
      <c r="B449">
        <v>800</v>
      </c>
      <c r="C449">
        <v>7043400</v>
      </c>
      <c r="D449">
        <v>100</v>
      </c>
    </row>
    <row r="450" spans="1:4" x14ac:dyDescent="0.4">
      <c r="A450" s="3">
        <v>7043500</v>
      </c>
      <c r="B450">
        <v>800</v>
      </c>
      <c r="C450">
        <v>7043500</v>
      </c>
      <c r="D450">
        <v>100</v>
      </c>
    </row>
    <row r="451" spans="1:4" x14ac:dyDescent="0.4">
      <c r="A451" s="3">
        <v>7043600</v>
      </c>
      <c r="B451">
        <v>800</v>
      </c>
      <c r="C451">
        <v>7043600</v>
      </c>
      <c r="D451">
        <v>100</v>
      </c>
    </row>
    <row r="452" spans="1:4" x14ac:dyDescent="0.4">
      <c r="A452" s="3">
        <v>7043700</v>
      </c>
      <c r="B452">
        <v>800</v>
      </c>
      <c r="C452">
        <v>7043700</v>
      </c>
      <c r="D452">
        <v>100</v>
      </c>
    </row>
    <row r="453" spans="1:4" x14ac:dyDescent="0.4">
      <c r="A453" s="3">
        <v>7043800</v>
      </c>
      <c r="B453">
        <v>800</v>
      </c>
      <c r="C453">
        <v>7043800</v>
      </c>
      <c r="D453">
        <v>100</v>
      </c>
    </row>
    <row r="454" spans="1:4" x14ac:dyDescent="0.4">
      <c r="A454" s="3">
        <v>7044000</v>
      </c>
      <c r="B454">
        <v>800</v>
      </c>
      <c r="C454">
        <v>7044000</v>
      </c>
      <c r="D454">
        <v>100</v>
      </c>
    </row>
    <row r="455" spans="1:4" x14ac:dyDescent="0.4">
      <c r="A455" s="3">
        <v>7044100</v>
      </c>
      <c r="B455">
        <v>800</v>
      </c>
      <c r="C455">
        <v>7044100</v>
      </c>
      <c r="D455">
        <v>100</v>
      </c>
    </row>
    <row r="456" spans="1:4" x14ac:dyDescent="0.4">
      <c r="A456" s="3">
        <v>7044200</v>
      </c>
      <c r="B456">
        <v>800</v>
      </c>
      <c r="C456">
        <v>7044200</v>
      </c>
      <c r="D456">
        <v>100</v>
      </c>
    </row>
    <row r="457" spans="1:4" x14ac:dyDescent="0.4">
      <c r="A457" s="3">
        <v>7044300</v>
      </c>
      <c r="B457">
        <v>800</v>
      </c>
      <c r="C457">
        <v>7044300</v>
      </c>
      <c r="D457">
        <v>100</v>
      </c>
    </row>
    <row r="458" spans="1:4" x14ac:dyDescent="0.4">
      <c r="A458" s="3">
        <v>7044400</v>
      </c>
      <c r="B458">
        <v>800</v>
      </c>
      <c r="C458">
        <v>7044400</v>
      </c>
      <c r="D458">
        <v>100</v>
      </c>
    </row>
    <row r="459" spans="1:4" x14ac:dyDescent="0.4">
      <c r="A459" s="3">
        <v>7044500</v>
      </c>
      <c r="B459">
        <v>800</v>
      </c>
      <c r="C459">
        <v>7044500</v>
      </c>
      <c r="D459">
        <v>100</v>
      </c>
    </row>
    <row r="460" spans="1:4" x14ac:dyDescent="0.4">
      <c r="A460" s="3">
        <v>7044600</v>
      </c>
      <c r="B460">
        <v>800</v>
      </c>
      <c r="C460">
        <v>7044600</v>
      </c>
      <c r="D460">
        <v>100</v>
      </c>
    </row>
    <row r="461" spans="1:4" x14ac:dyDescent="0.4">
      <c r="A461" s="3">
        <v>7050000</v>
      </c>
      <c r="B461">
        <v>7050000</v>
      </c>
      <c r="C461">
        <v>7050000</v>
      </c>
      <c r="D461">
        <v>100</v>
      </c>
    </row>
    <row r="462" spans="1:4" x14ac:dyDescent="0.4">
      <c r="A462" s="3">
        <v>7050100</v>
      </c>
      <c r="B462">
        <v>7050100</v>
      </c>
      <c r="C462">
        <v>7050100</v>
      </c>
      <c r="D462">
        <v>100</v>
      </c>
    </row>
    <row r="463" spans="1:4" x14ac:dyDescent="0.4">
      <c r="A463" s="3">
        <v>7060000</v>
      </c>
      <c r="B463">
        <v>100</v>
      </c>
      <c r="C463">
        <v>7060000</v>
      </c>
      <c r="D463">
        <v>100</v>
      </c>
    </row>
    <row r="464" spans="1:4" x14ac:dyDescent="0.4">
      <c r="A464" s="3">
        <v>7060100</v>
      </c>
      <c r="B464">
        <v>7060100</v>
      </c>
      <c r="C464">
        <v>7060100</v>
      </c>
      <c r="D464">
        <v>100</v>
      </c>
    </row>
    <row r="465" spans="1:4" x14ac:dyDescent="0.4">
      <c r="A465" s="3">
        <v>7060200</v>
      </c>
      <c r="B465">
        <v>100</v>
      </c>
      <c r="C465">
        <v>7060200</v>
      </c>
      <c r="D465">
        <v>100</v>
      </c>
    </row>
    <row r="466" spans="1:4" x14ac:dyDescent="0.4">
      <c r="A466" s="3">
        <v>7070000</v>
      </c>
      <c r="B466">
        <v>7070000</v>
      </c>
      <c r="C466">
        <v>7070000</v>
      </c>
      <c r="D466">
        <v>100</v>
      </c>
    </row>
    <row r="467" spans="1:4" x14ac:dyDescent="0.4">
      <c r="A467" s="3">
        <v>7080000</v>
      </c>
      <c r="B467">
        <v>100</v>
      </c>
      <c r="C467">
        <v>7080000</v>
      </c>
      <c r="D467">
        <v>10</v>
      </c>
    </row>
    <row r="468" spans="1:4" x14ac:dyDescent="0.4">
      <c r="A468" s="3">
        <v>7080100</v>
      </c>
      <c r="B468">
        <v>100</v>
      </c>
      <c r="C468">
        <v>7080100</v>
      </c>
      <c r="D468">
        <v>10</v>
      </c>
    </row>
    <row r="469" spans="1:4" x14ac:dyDescent="0.4">
      <c r="A469" s="3">
        <v>7080200</v>
      </c>
      <c r="B469">
        <v>100</v>
      </c>
      <c r="C469">
        <v>7080200</v>
      </c>
      <c r="D469">
        <v>10</v>
      </c>
    </row>
    <row r="470" spans="1:4" x14ac:dyDescent="0.4">
      <c r="A470" s="3">
        <v>7080300</v>
      </c>
      <c r="B470">
        <v>100</v>
      </c>
      <c r="C470">
        <v>7080300</v>
      </c>
      <c r="D470">
        <v>10</v>
      </c>
    </row>
    <row r="471" spans="1:4" x14ac:dyDescent="0.4">
      <c r="A471" s="3">
        <v>7080400</v>
      </c>
      <c r="B471">
        <v>100</v>
      </c>
      <c r="C471">
        <v>7080400</v>
      </c>
      <c r="D471">
        <v>10</v>
      </c>
    </row>
    <row r="472" spans="1:4" x14ac:dyDescent="0.4">
      <c r="A472" s="3">
        <v>7080500</v>
      </c>
      <c r="B472">
        <v>100</v>
      </c>
      <c r="C472">
        <v>7080500</v>
      </c>
      <c r="D472">
        <v>10</v>
      </c>
    </row>
    <row r="473" spans="1:4" x14ac:dyDescent="0.4">
      <c r="A473" s="3">
        <v>7080600</v>
      </c>
      <c r="B473">
        <v>100</v>
      </c>
      <c r="C473">
        <v>7080600</v>
      </c>
      <c r="D473">
        <v>10</v>
      </c>
    </row>
    <row r="474" spans="1:4" x14ac:dyDescent="0.4">
      <c r="A474" s="3">
        <v>7080700</v>
      </c>
      <c r="B474">
        <v>100</v>
      </c>
      <c r="C474">
        <v>7080700</v>
      </c>
      <c r="D474">
        <v>10</v>
      </c>
    </row>
    <row r="475" spans="1:4" x14ac:dyDescent="0.4">
      <c r="A475" s="3">
        <v>7080800</v>
      </c>
      <c r="B475">
        <v>100</v>
      </c>
      <c r="C475">
        <v>7080800</v>
      </c>
      <c r="D475">
        <v>10</v>
      </c>
    </row>
    <row r="476" spans="1:4" x14ac:dyDescent="0.4">
      <c r="A476" s="3">
        <v>7080900</v>
      </c>
      <c r="B476">
        <v>100</v>
      </c>
      <c r="C476">
        <v>7080900</v>
      </c>
      <c r="D476">
        <v>10</v>
      </c>
    </row>
    <row r="477" spans="1:4" x14ac:dyDescent="0.4">
      <c r="A477" s="3">
        <v>7081000</v>
      </c>
      <c r="B477">
        <v>100</v>
      </c>
      <c r="C477">
        <v>7081000</v>
      </c>
      <c r="D477">
        <v>10</v>
      </c>
    </row>
    <row r="478" spans="1:4" x14ac:dyDescent="0.4">
      <c r="A478" s="3">
        <v>7081100</v>
      </c>
      <c r="B478">
        <v>100</v>
      </c>
      <c r="C478">
        <v>7081100</v>
      </c>
      <c r="D478">
        <v>10</v>
      </c>
    </row>
    <row r="479" spans="1:4" x14ac:dyDescent="0.4">
      <c r="A479" s="3">
        <v>7081200</v>
      </c>
      <c r="B479">
        <v>100</v>
      </c>
      <c r="C479">
        <v>7081200</v>
      </c>
      <c r="D479">
        <v>10</v>
      </c>
    </row>
    <row r="480" spans="1:4" x14ac:dyDescent="0.4">
      <c r="A480" s="3">
        <v>7081300</v>
      </c>
      <c r="B480">
        <v>100</v>
      </c>
      <c r="C480">
        <v>7081300</v>
      </c>
      <c r="D480">
        <v>10</v>
      </c>
    </row>
    <row r="481" spans="1:4" x14ac:dyDescent="0.4">
      <c r="A481" s="3">
        <v>7081400</v>
      </c>
      <c r="B481">
        <v>100</v>
      </c>
      <c r="C481">
        <v>7081400</v>
      </c>
      <c r="D481">
        <v>10</v>
      </c>
    </row>
    <row r="482" spans="1:4" x14ac:dyDescent="0.4">
      <c r="A482" s="3">
        <v>7081500</v>
      </c>
      <c r="B482">
        <v>100</v>
      </c>
      <c r="C482">
        <v>7081500</v>
      </c>
      <c r="D482">
        <v>10</v>
      </c>
    </row>
    <row r="483" spans="1:4" x14ac:dyDescent="0.4">
      <c r="A483" s="3">
        <v>7081700</v>
      </c>
      <c r="B483">
        <v>100</v>
      </c>
      <c r="C483">
        <v>7081700</v>
      </c>
      <c r="D483">
        <v>10</v>
      </c>
    </row>
    <row r="484" spans="1:4" x14ac:dyDescent="0.4">
      <c r="A484" s="3">
        <v>7081800</v>
      </c>
      <c r="B484">
        <v>100</v>
      </c>
      <c r="C484">
        <v>7081800</v>
      </c>
      <c r="D484">
        <v>10</v>
      </c>
    </row>
    <row r="485" spans="1:4" x14ac:dyDescent="0.4">
      <c r="A485" s="3">
        <v>7081900</v>
      </c>
      <c r="B485">
        <v>100</v>
      </c>
      <c r="C485">
        <v>7081900</v>
      </c>
      <c r="D485">
        <v>10</v>
      </c>
    </row>
    <row r="486" spans="1:4" x14ac:dyDescent="0.4">
      <c r="A486" s="3">
        <v>7082000</v>
      </c>
      <c r="B486">
        <v>100</v>
      </c>
      <c r="C486">
        <v>7082000</v>
      </c>
      <c r="D486">
        <v>10</v>
      </c>
    </row>
    <row r="487" spans="1:4" x14ac:dyDescent="0.4">
      <c r="A487" s="3">
        <v>7082100</v>
      </c>
      <c r="B487">
        <v>100</v>
      </c>
      <c r="C487">
        <v>7082100</v>
      </c>
      <c r="D487">
        <v>10</v>
      </c>
    </row>
    <row r="488" spans="1:4" x14ac:dyDescent="0.4">
      <c r="A488" s="3">
        <v>7082200</v>
      </c>
      <c r="B488">
        <v>100</v>
      </c>
      <c r="C488">
        <v>7082200</v>
      </c>
      <c r="D488">
        <v>10</v>
      </c>
    </row>
    <row r="489" spans="1:4" x14ac:dyDescent="0.4">
      <c r="A489" s="3">
        <v>7082300</v>
      </c>
      <c r="B489">
        <v>100</v>
      </c>
      <c r="C489">
        <v>7082300</v>
      </c>
      <c r="D489">
        <v>10</v>
      </c>
    </row>
    <row r="490" spans="1:4" x14ac:dyDescent="0.4">
      <c r="A490" s="3">
        <v>7082400</v>
      </c>
      <c r="B490">
        <v>100</v>
      </c>
      <c r="C490">
        <v>7082400</v>
      </c>
      <c r="D490">
        <v>10</v>
      </c>
    </row>
    <row r="491" spans="1:4" x14ac:dyDescent="0.4">
      <c r="A491" s="3">
        <v>7082500</v>
      </c>
      <c r="B491">
        <v>7082500</v>
      </c>
      <c r="C491">
        <v>7082500</v>
      </c>
      <c r="D491">
        <v>10</v>
      </c>
    </row>
    <row r="492" spans="1:4" x14ac:dyDescent="0.4">
      <c r="A492" s="3">
        <v>7082600</v>
      </c>
      <c r="B492">
        <v>7082500</v>
      </c>
      <c r="C492">
        <v>7082600</v>
      </c>
      <c r="D492">
        <v>10</v>
      </c>
    </row>
    <row r="493" spans="1:4" x14ac:dyDescent="0.4">
      <c r="A493" s="3">
        <v>7082700</v>
      </c>
      <c r="B493">
        <v>7082700</v>
      </c>
      <c r="C493">
        <v>7082700</v>
      </c>
      <c r="D493">
        <v>10</v>
      </c>
    </row>
    <row r="494" spans="1:4" x14ac:dyDescent="0.4">
      <c r="A494" s="3">
        <v>7082800</v>
      </c>
      <c r="B494">
        <v>7082700</v>
      </c>
      <c r="C494">
        <v>7082800</v>
      </c>
      <c r="D494">
        <v>10</v>
      </c>
    </row>
    <row r="495" spans="1:4" x14ac:dyDescent="0.4">
      <c r="A495" s="3">
        <v>7082900</v>
      </c>
      <c r="B495">
        <v>7082700</v>
      </c>
      <c r="C495">
        <v>7082900</v>
      </c>
      <c r="D495">
        <v>10</v>
      </c>
    </row>
    <row r="496" spans="1:4" x14ac:dyDescent="0.4">
      <c r="A496" s="3">
        <v>7090000</v>
      </c>
      <c r="B496">
        <v>7090000</v>
      </c>
      <c r="C496">
        <v>7090000</v>
      </c>
      <c r="D496">
        <v>100</v>
      </c>
    </row>
    <row r="497" spans="1:4" x14ac:dyDescent="0.4">
      <c r="A497" s="3">
        <v>7090100</v>
      </c>
      <c r="B497">
        <v>7090100</v>
      </c>
      <c r="C497">
        <v>7090100</v>
      </c>
      <c r="D497">
        <v>100</v>
      </c>
    </row>
    <row r="498" spans="1:4" x14ac:dyDescent="0.4">
      <c r="A498" s="3">
        <v>7090300</v>
      </c>
      <c r="B498">
        <v>900</v>
      </c>
      <c r="C498">
        <v>7090300</v>
      </c>
      <c r="D498">
        <v>1</v>
      </c>
    </row>
    <row r="499" spans="1:4" x14ac:dyDescent="0.4">
      <c r="A499" s="3">
        <v>7100100</v>
      </c>
      <c r="B499">
        <v>7100100</v>
      </c>
      <c r="C499">
        <v>7100100</v>
      </c>
      <c r="D499">
        <v>100</v>
      </c>
    </row>
    <row r="500" spans="1:4" x14ac:dyDescent="0.4">
      <c r="A500" s="3">
        <v>7100110</v>
      </c>
      <c r="B500">
        <v>7100110</v>
      </c>
      <c r="C500">
        <v>7100190</v>
      </c>
      <c r="D500">
        <v>1</v>
      </c>
    </row>
    <row r="501" spans="1:4" x14ac:dyDescent="0.4">
      <c r="A501" s="3">
        <v>7110000</v>
      </c>
      <c r="B501">
        <v>7110000</v>
      </c>
      <c r="C501">
        <v>7110000</v>
      </c>
      <c r="D501">
        <v>100</v>
      </c>
    </row>
    <row r="502" spans="1:4" x14ac:dyDescent="0.4">
      <c r="A502" s="3">
        <v>7120000</v>
      </c>
      <c r="B502">
        <v>200</v>
      </c>
      <c r="C502">
        <v>7120000</v>
      </c>
      <c r="D502">
        <v>100</v>
      </c>
    </row>
    <row r="503" spans="1:4" x14ac:dyDescent="0.4">
      <c r="A503" s="3">
        <v>7120100</v>
      </c>
      <c r="B503">
        <v>200</v>
      </c>
      <c r="C503">
        <v>7120100</v>
      </c>
      <c r="D503">
        <v>100</v>
      </c>
    </row>
    <row r="504" spans="1:4" x14ac:dyDescent="0.4">
      <c r="A504" s="3">
        <v>7120200</v>
      </c>
      <c r="B504">
        <v>200</v>
      </c>
      <c r="C504">
        <v>7120200</v>
      </c>
      <c r="D504">
        <v>100</v>
      </c>
    </row>
    <row r="505" spans="1:4" x14ac:dyDescent="0.4">
      <c r="A505" s="3">
        <v>7120300</v>
      </c>
      <c r="B505">
        <v>200</v>
      </c>
      <c r="C505">
        <v>7120300</v>
      </c>
      <c r="D505">
        <v>100</v>
      </c>
    </row>
    <row r="506" spans="1:4" x14ac:dyDescent="0.4">
      <c r="A506" s="3">
        <v>7120400</v>
      </c>
      <c r="B506">
        <v>200</v>
      </c>
      <c r="C506">
        <v>7120400</v>
      </c>
      <c r="D506">
        <v>100</v>
      </c>
    </row>
    <row r="507" spans="1:4" x14ac:dyDescent="0.4">
      <c r="A507" s="3">
        <v>7120500</v>
      </c>
      <c r="B507">
        <v>200</v>
      </c>
      <c r="C507">
        <v>7120500</v>
      </c>
      <c r="D507">
        <v>100</v>
      </c>
    </row>
    <row r="508" spans="1:4" x14ac:dyDescent="0.4">
      <c r="A508" s="3">
        <v>7120600</v>
      </c>
      <c r="B508">
        <v>200</v>
      </c>
      <c r="C508">
        <v>7120600</v>
      </c>
      <c r="D508">
        <v>100</v>
      </c>
    </row>
    <row r="509" spans="1:4" x14ac:dyDescent="0.4">
      <c r="A509" s="3">
        <v>7120900</v>
      </c>
      <c r="B509">
        <v>7120900</v>
      </c>
      <c r="C509">
        <v>7120900</v>
      </c>
      <c r="D509">
        <v>100</v>
      </c>
    </row>
    <row r="510" spans="1:4" x14ac:dyDescent="0.4">
      <c r="A510" s="3">
        <v>7121000</v>
      </c>
      <c r="B510">
        <v>7121000</v>
      </c>
      <c r="C510">
        <v>7121000</v>
      </c>
      <c r="D510">
        <v>100</v>
      </c>
    </row>
    <row r="511" spans="1:4" x14ac:dyDescent="0.4">
      <c r="A511" s="3">
        <v>7121001</v>
      </c>
      <c r="B511">
        <v>7121001</v>
      </c>
      <c r="C511">
        <v>7121000</v>
      </c>
      <c r="D511">
        <v>100</v>
      </c>
    </row>
    <row r="512" spans="1:4" x14ac:dyDescent="0.4">
      <c r="A512" s="3">
        <v>7121100</v>
      </c>
      <c r="B512">
        <v>7121100</v>
      </c>
      <c r="C512">
        <v>7121100</v>
      </c>
      <c r="D512">
        <v>100</v>
      </c>
    </row>
    <row r="513" spans="1:4" x14ac:dyDescent="0.4">
      <c r="A513" s="3">
        <v>7121200</v>
      </c>
      <c r="B513">
        <v>7121200</v>
      </c>
      <c r="C513">
        <v>7121200</v>
      </c>
      <c r="D513">
        <v>100</v>
      </c>
    </row>
    <row r="514" spans="1:4" x14ac:dyDescent="0.4">
      <c r="A514" s="3">
        <v>7121300</v>
      </c>
      <c r="B514">
        <v>7121300</v>
      </c>
      <c r="C514">
        <v>7121300</v>
      </c>
      <c r="D514">
        <v>100</v>
      </c>
    </row>
    <row r="515" spans="1:4" x14ac:dyDescent="0.4">
      <c r="A515" s="3">
        <v>7121400</v>
      </c>
      <c r="B515">
        <v>7121400</v>
      </c>
      <c r="C515">
        <v>7121400</v>
      </c>
      <c r="D515">
        <v>100</v>
      </c>
    </row>
    <row r="516" spans="1:4" x14ac:dyDescent="0.4">
      <c r="A516" s="3">
        <v>7121500</v>
      </c>
      <c r="B516">
        <v>7121500</v>
      </c>
      <c r="C516">
        <v>7121500</v>
      </c>
      <c r="D516">
        <v>100</v>
      </c>
    </row>
    <row r="517" spans="1:4" x14ac:dyDescent="0.4">
      <c r="A517" s="3">
        <v>7121600</v>
      </c>
      <c r="B517">
        <v>7121600</v>
      </c>
      <c r="C517">
        <v>7121600</v>
      </c>
      <c r="D517">
        <v>100</v>
      </c>
    </row>
    <row r="518" spans="1:4" x14ac:dyDescent="0.4">
      <c r="A518" s="3">
        <v>7121700</v>
      </c>
      <c r="B518">
        <v>7121700</v>
      </c>
      <c r="C518">
        <v>7121700</v>
      </c>
      <c r="D518">
        <v>100</v>
      </c>
    </row>
    <row r="519" spans="1:4" x14ac:dyDescent="0.4">
      <c r="A519" s="3">
        <v>7121800</v>
      </c>
      <c r="B519">
        <v>7121800</v>
      </c>
      <c r="C519">
        <v>7121800</v>
      </c>
      <c r="D519">
        <v>100</v>
      </c>
    </row>
    <row r="520" spans="1:4" x14ac:dyDescent="0.4">
      <c r="A520" s="3">
        <v>7121900</v>
      </c>
      <c r="B520">
        <v>7121900</v>
      </c>
      <c r="C520">
        <v>7121900</v>
      </c>
      <c r="D520">
        <v>100</v>
      </c>
    </row>
    <row r="521" spans="1:4" x14ac:dyDescent="0.4">
      <c r="A521" s="3">
        <v>7122000</v>
      </c>
      <c r="B521">
        <v>7122000</v>
      </c>
      <c r="C521">
        <v>7122000</v>
      </c>
      <c r="D521">
        <v>100</v>
      </c>
    </row>
    <row r="522" spans="1:4" x14ac:dyDescent="0.4">
      <c r="A522" s="3">
        <v>7122100</v>
      </c>
      <c r="B522">
        <v>7122100</v>
      </c>
      <c r="C522">
        <v>7122100</v>
      </c>
      <c r="D522">
        <v>100</v>
      </c>
    </row>
    <row r="523" spans="1:4" x14ac:dyDescent="0.4">
      <c r="A523" s="3">
        <v>7122200</v>
      </c>
      <c r="B523">
        <v>7122200</v>
      </c>
      <c r="C523">
        <v>7122200</v>
      </c>
      <c r="D523">
        <v>100</v>
      </c>
    </row>
    <row r="524" spans="1:4" x14ac:dyDescent="0.4">
      <c r="A524" s="3">
        <v>7122300</v>
      </c>
      <c r="B524">
        <v>7122300</v>
      </c>
      <c r="C524">
        <v>7122300</v>
      </c>
      <c r="D524">
        <v>100</v>
      </c>
    </row>
    <row r="525" spans="1:4" x14ac:dyDescent="0.4">
      <c r="A525" s="3">
        <v>7122400</v>
      </c>
      <c r="B525">
        <v>7122400</v>
      </c>
      <c r="C525">
        <v>7122400</v>
      </c>
      <c r="D525">
        <v>100</v>
      </c>
    </row>
    <row r="526" spans="1:4" x14ac:dyDescent="0.4">
      <c r="A526" s="3">
        <v>7122500</v>
      </c>
      <c r="B526">
        <v>7122500</v>
      </c>
      <c r="C526">
        <v>7122500</v>
      </c>
      <c r="D526">
        <v>100</v>
      </c>
    </row>
    <row r="527" spans="1:4" x14ac:dyDescent="0.4">
      <c r="A527" s="3">
        <v>7122600</v>
      </c>
      <c r="B527">
        <v>7122600</v>
      </c>
      <c r="C527">
        <v>7122600</v>
      </c>
      <c r="D527">
        <v>100</v>
      </c>
    </row>
    <row r="528" spans="1:4" x14ac:dyDescent="0.4">
      <c r="A528" s="3">
        <v>7122700</v>
      </c>
      <c r="B528">
        <v>300</v>
      </c>
      <c r="C528">
        <v>7122700</v>
      </c>
      <c r="D528">
        <v>100</v>
      </c>
    </row>
    <row r="529" spans="1:4" x14ac:dyDescent="0.4">
      <c r="A529" s="3">
        <v>7122800</v>
      </c>
      <c r="B529">
        <v>300</v>
      </c>
      <c r="C529">
        <v>7122800</v>
      </c>
      <c r="D529">
        <v>100</v>
      </c>
    </row>
    <row r="530" spans="1:4" x14ac:dyDescent="0.4">
      <c r="A530" s="3">
        <v>7122900</v>
      </c>
      <c r="B530">
        <v>300</v>
      </c>
      <c r="C530">
        <v>7122900</v>
      </c>
      <c r="D530">
        <v>100</v>
      </c>
    </row>
    <row r="531" spans="1:4" x14ac:dyDescent="0.4">
      <c r="A531" s="3">
        <v>7123000</v>
      </c>
      <c r="B531">
        <v>300</v>
      </c>
      <c r="C531">
        <v>7123000</v>
      </c>
      <c r="D531">
        <v>100</v>
      </c>
    </row>
    <row r="532" spans="1:4" x14ac:dyDescent="0.4">
      <c r="A532" s="3">
        <v>7123100</v>
      </c>
      <c r="B532">
        <v>300</v>
      </c>
      <c r="C532">
        <v>7123100</v>
      </c>
      <c r="D532">
        <v>100</v>
      </c>
    </row>
    <row r="533" spans="1:4" x14ac:dyDescent="0.4">
      <c r="A533" s="3">
        <v>7123200</v>
      </c>
      <c r="B533">
        <v>300</v>
      </c>
      <c r="C533">
        <v>7123200</v>
      </c>
      <c r="D533">
        <v>100</v>
      </c>
    </row>
    <row r="534" spans="1:4" x14ac:dyDescent="0.4">
      <c r="A534" s="3">
        <v>7123300</v>
      </c>
      <c r="B534">
        <v>300</v>
      </c>
      <c r="C534">
        <v>7123300</v>
      </c>
      <c r="D534">
        <v>100</v>
      </c>
    </row>
    <row r="535" spans="1:4" x14ac:dyDescent="0.4">
      <c r="A535" s="3">
        <v>7123400</v>
      </c>
      <c r="B535">
        <v>300</v>
      </c>
      <c r="C535">
        <v>7123400</v>
      </c>
      <c r="D535">
        <v>100</v>
      </c>
    </row>
    <row r="536" spans="1:4" x14ac:dyDescent="0.4">
      <c r="A536" s="3">
        <v>7123500</v>
      </c>
      <c r="B536">
        <v>300</v>
      </c>
      <c r="C536">
        <v>7123500</v>
      </c>
      <c r="D536">
        <v>100</v>
      </c>
    </row>
    <row r="537" spans="1:4" x14ac:dyDescent="0.4">
      <c r="A537" s="3">
        <v>7123600</v>
      </c>
      <c r="B537">
        <v>300</v>
      </c>
      <c r="C537">
        <v>7123600</v>
      </c>
      <c r="D537">
        <v>100</v>
      </c>
    </row>
    <row r="538" spans="1:4" x14ac:dyDescent="0.4">
      <c r="A538" s="3">
        <v>7123700</v>
      </c>
      <c r="B538">
        <v>300</v>
      </c>
      <c r="C538">
        <v>7123700</v>
      </c>
      <c r="D538">
        <v>100</v>
      </c>
    </row>
    <row r="539" spans="1:4" x14ac:dyDescent="0.4">
      <c r="A539" s="3">
        <v>7123800</v>
      </c>
      <c r="B539">
        <v>300</v>
      </c>
      <c r="C539">
        <v>7123800</v>
      </c>
      <c r="D539">
        <v>100</v>
      </c>
    </row>
    <row r="540" spans="1:4" x14ac:dyDescent="0.4">
      <c r="A540" s="3">
        <v>7123900</v>
      </c>
      <c r="B540">
        <v>300</v>
      </c>
      <c r="C540">
        <v>7123900</v>
      </c>
      <c r="D540">
        <v>100</v>
      </c>
    </row>
    <row r="541" spans="1:4" x14ac:dyDescent="0.4">
      <c r="A541" s="3">
        <v>7124000</v>
      </c>
      <c r="B541">
        <v>300</v>
      </c>
      <c r="C541">
        <v>7124000</v>
      </c>
      <c r="D541">
        <v>100</v>
      </c>
    </row>
    <row r="542" spans="1:4" x14ac:dyDescent="0.4">
      <c r="A542" s="3">
        <v>7124100</v>
      </c>
      <c r="B542">
        <v>300</v>
      </c>
      <c r="C542">
        <v>7124100</v>
      </c>
      <c r="D542">
        <v>100</v>
      </c>
    </row>
    <row r="543" spans="1:4" x14ac:dyDescent="0.4">
      <c r="A543" s="3">
        <v>7124300</v>
      </c>
      <c r="B543">
        <v>300</v>
      </c>
      <c r="C543">
        <v>7124300</v>
      </c>
      <c r="D543">
        <v>100</v>
      </c>
    </row>
    <row r="544" spans="1:4" x14ac:dyDescent="0.4">
      <c r="A544" s="3">
        <v>7124400</v>
      </c>
      <c r="B544">
        <v>300</v>
      </c>
      <c r="C544">
        <v>7124400</v>
      </c>
      <c r="D544">
        <v>100</v>
      </c>
    </row>
    <row r="545" spans="1:4" x14ac:dyDescent="0.4">
      <c r="A545" s="3">
        <v>7124500</v>
      </c>
      <c r="B545">
        <v>300</v>
      </c>
      <c r="C545">
        <v>7124500</v>
      </c>
      <c r="D545">
        <v>100</v>
      </c>
    </row>
    <row r="546" spans="1:4" x14ac:dyDescent="0.4">
      <c r="A546" s="3">
        <v>7124600</v>
      </c>
      <c r="B546">
        <v>300</v>
      </c>
      <c r="C546">
        <v>7124600</v>
      </c>
      <c r="D546">
        <v>100</v>
      </c>
    </row>
    <row r="547" spans="1:4" x14ac:dyDescent="0.4">
      <c r="A547" s="3">
        <v>7124700</v>
      </c>
      <c r="B547">
        <v>300</v>
      </c>
      <c r="C547">
        <v>7124700</v>
      </c>
      <c r="D547">
        <v>100</v>
      </c>
    </row>
    <row r="548" spans="1:4" x14ac:dyDescent="0.4">
      <c r="A548" s="3">
        <v>7126000</v>
      </c>
      <c r="B548">
        <v>7126000</v>
      </c>
      <c r="C548">
        <v>7126000</v>
      </c>
      <c r="D548">
        <v>100</v>
      </c>
    </row>
    <row r="549" spans="1:4" x14ac:dyDescent="0.4">
      <c r="A549" s="3">
        <v>7126001</v>
      </c>
      <c r="B549">
        <v>7126001</v>
      </c>
      <c r="C549">
        <v>7126000</v>
      </c>
      <c r="D549">
        <v>100</v>
      </c>
    </row>
    <row r="550" spans="1:4" x14ac:dyDescent="0.4">
      <c r="A550" s="3">
        <v>7126002</v>
      </c>
      <c r="B550">
        <v>7126002</v>
      </c>
      <c r="C550">
        <v>7126000</v>
      </c>
      <c r="D550">
        <v>100</v>
      </c>
    </row>
    <row r="551" spans="1:4" x14ac:dyDescent="0.4">
      <c r="A551" s="3">
        <v>7150000</v>
      </c>
      <c r="B551">
        <v>100</v>
      </c>
      <c r="C551">
        <v>7150000</v>
      </c>
      <c r="D551">
        <v>100</v>
      </c>
    </row>
    <row r="552" spans="1:4" x14ac:dyDescent="0.4">
      <c r="A552" s="3">
        <v>7160000</v>
      </c>
      <c r="B552">
        <v>7160000</v>
      </c>
      <c r="C552">
        <v>7160000</v>
      </c>
      <c r="D552">
        <v>100</v>
      </c>
    </row>
    <row r="553" spans="1:4" x14ac:dyDescent="0.4">
      <c r="A553" s="3">
        <v>7170100</v>
      </c>
      <c r="B553">
        <v>-1</v>
      </c>
      <c r="C553">
        <v>7170100</v>
      </c>
      <c r="D553">
        <v>1</v>
      </c>
    </row>
    <row r="554" spans="1:4" x14ac:dyDescent="0.4">
      <c r="A554" s="3">
        <v>7220000</v>
      </c>
      <c r="B554">
        <v>900</v>
      </c>
      <c r="C554">
        <v>7220000</v>
      </c>
      <c r="D554">
        <v>1</v>
      </c>
    </row>
    <row r="555" spans="1:4" x14ac:dyDescent="0.4">
      <c r="A555" s="3">
        <v>7230000</v>
      </c>
      <c r="B555">
        <v>7230000</v>
      </c>
      <c r="C555">
        <v>7230000</v>
      </c>
      <c r="D555">
        <v>100</v>
      </c>
    </row>
    <row r="556" spans="1:4" x14ac:dyDescent="0.4">
      <c r="A556" s="3">
        <v>7230001</v>
      </c>
      <c r="B556">
        <v>7230001</v>
      </c>
      <c r="C556">
        <v>7230001</v>
      </c>
      <c r="D556">
        <v>1</v>
      </c>
    </row>
    <row r="557" spans="1:4" x14ac:dyDescent="0.4">
      <c r="A557" s="3">
        <v>7240000</v>
      </c>
      <c r="B557">
        <v>7240000</v>
      </c>
      <c r="C557">
        <v>7240000</v>
      </c>
      <c r="D557">
        <v>100</v>
      </c>
    </row>
    <row r="558" spans="1:4" x14ac:dyDescent="0.4">
      <c r="A558" s="3">
        <v>7260000</v>
      </c>
      <c r="B558">
        <v>7260300</v>
      </c>
      <c r="C558">
        <v>7260000</v>
      </c>
      <c r="D558">
        <v>100</v>
      </c>
    </row>
    <row r="559" spans="1:4" x14ac:dyDescent="0.4">
      <c r="A559" s="3">
        <v>7260300</v>
      </c>
      <c r="B559">
        <v>7260300</v>
      </c>
      <c r="C559">
        <v>7260300</v>
      </c>
      <c r="D559">
        <v>100</v>
      </c>
    </row>
    <row r="560" spans="1:4" x14ac:dyDescent="0.4">
      <c r="A560" s="3">
        <v>7260400</v>
      </c>
      <c r="B560">
        <v>7260400</v>
      </c>
      <c r="C560">
        <v>7260400</v>
      </c>
      <c r="D560">
        <v>100</v>
      </c>
    </row>
    <row r="561" spans="1:4" x14ac:dyDescent="0.4">
      <c r="A561" s="3">
        <v>7260700</v>
      </c>
      <c r="B561">
        <v>7260700</v>
      </c>
      <c r="C561">
        <v>7260700</v>
      </c>
      <c r="D561">
        <v>1</v>
      </c>
    </row>
    <row r="562" spans="1:4" x14ac:dyDescent="0.4">
      <c r="A562" s="3">
        <v>7260800</v>
      </c>
      <c r="B562">
        <v>7260800</v>
      </c>
      <c r="C562">
        <v>7260710</v>
      </c>
      <c r="D562">
        <v>100</v>
      </c>
    </row>
    <row r="563" spans="1:4" x14ac:dyDescent="0.4">
      <c r="A563" s="3">
        <v>7260900</v>
      </c>
      <c r="B563">
        <v>-1</v>
      </c>
      <c r="C563">
        <v>7260900</v>
      </c>
      <c r="D563">
        <v>1</v>
      </c>
    </row>
    <row r="564" spans="1:4" x14ac:dyDescent="0.4">
      <c r="A564" s="3">
        <v>7270100</v>
      </c>
      <c r="B564">
        <v>900</v>
      </c>
      <c r="C564">
        <v>7270100</v>
      </c>
      <c r="D564">
        <v>1</v>
      </c>
    </row>
    <row r="565" spans="1:4" x14ac:dyDescent="0.4">
      <c r="A565" s="3">
        <v>7280000</v>
      </c>
      <c r="B565">
        <v>900</v>
      </c>
      <c r="C565">
        <v>7280000</v>
      </c>
      <c r="D565">
        <v>1</v>
      </c>
    </row>
    <row r="566" spans="1:4" x14ac:dyDescent="0.4">
      <c r="A566" s="3">
        <v>7290000</v>
      </c>
      <c r="B566">
        <v>900</v>
      </c>
      <c r="C566">
        <v>7290000</v>
      </c>
      <c r="D566">
        <v>1</v>
      </c>
    </row>
    <row r="567" spans="1:4" x14ac:dyDescent="0.4">
      <c r="A567" s="3">
        <v>7310000</v>
      </c>
      <c r="B567">
        <v>900</v>
      </c>
      <c r="C567">
        <v>7310000</v>
      </c>
      <c r="D567">
        <v>1</v>
      </c>
    </row>
    <row r="568" spans="1:4" x14ac:dyDescent="0.4">
      <c r="A568" s="3">
        <v>7330000</v>
      </c>
      <c r="B568">
        <v>100</v>
      </c>
      <c r="C568">
        <v>7330000</v>
      </c>
      <c r="D568">
        <v>10</v>
      </c>
    </row>
    <row r="569" spans="1:4" x14ac:dyDescent="0.4">
      <c r="A569" s="3">
        <v>7330100</v>
      </c>
      <c r="B569">
        <v>100</v>
      </c>
      <c r="C569">
        <v>7330100</v>
      </c>
      <c r="D569">
        <v>10</v>
      </c>
    </row>
    <row r="570" spans="1:4" x14ac:dyDescent="0.4">
      <c r="A570" s="3">
        <v>7330200</v>
      </c>
      <c r="B570">
        <v>100</v>
      </c>
      <c r="C570">
        <v>7330200</v>
      </c>
      <c r="D570">
        <v>10</v>
      </c>
    </row>
    <row r="571" spans="1:4" x14ac:dyDescent="0.4">
      <c r="A571" s="3">
        <v>7330300</v>
      </c>
      <c r="B571">
        <v>100</v>
      </c>
      <c r="C571">
        <v>7330300</v>
      </c>
      <c r="D571">
        <v>10</v>
      </c>
    </row>
    <row r="572" spans="1:4" x14ac:dyDescent="0.4">
      <c r="A572" s="3">
        <v>7330400</v>
      </c>
      <c r="B572">
        <v>100</v>
      </c>
      <c r="C572">
        <v>7330400</v>
      </c>
      <c r="D572">
        <v>10</v>
      </c>
    </row>
    <row r="573" spans="1:4" x14ac:dyDescent="0.4">
      <c r="A573" s="3">
        <v>7330500</v>
      </c>
      <c r="B573">
        <v>100</v>
      </c>
      <c r="C573">
        <v>7330500</v>
      </c>
      <c r="D573">
        <v>10</v>
      </c>
    </row>
    <row r="574" spans="1:4" x14ac:dyDescent="0.4">
      <c r="A574" s="3">
        <v>7330600</v>
      </c>
      <c r="B574">
        <v>100</v>
      </c>
      <c r="C574">
        <v>7330600</v>
      </c>
      <c r="D574">
        <v>10</v>
      </c>
    </row>
    <row r="575" spans="1:4" x14ac:dyDescent="0.4">
      <c r="A575" s="3">
        <v>7330700</v>
      </c>
      <c r="B575">
        <v>100</v>
      </c>
      <c r="C575">
        <v>7330700</v>
      </c>
      <c r="D575">
        <v>10</v>
      </c>
    </row>
    <row r="576" spans="1:4" x14ac:dyDescent="0.4">
      <c r="A576" s="3">
        <v>7330800</v>
      </c>
      <c r="B576">
        <v>100</v>
      </c>
      <c r="C576">
        <v>7330800</v>
      </c>
      <c r="D576">
        <v>10</v>
      </c>
    </row>
    <row r="577" spans="1:4" x14ac:dyDescent="0.4">
      <c r="A577" s="3">
        <v>7330900</v>
      </c>
      <c r="B577">
        <v>100</v>
      </c>
      <c r="C577">
        <v>7330900</v>
      </c>
      <c r="D577">
        <v>10</v>
      </c>
    </row>
    <row r="578" spans="1:4" x14ac:dyDescent="0.4">
      <c r="A578" s="3">
        <v>7331000</v>
      </c>
      <c r="B578">
        <v>100</v>
      </c>
      <c r="C578">
        <v>7331000</v>
      </c>
      <c r="D578">
        <v>10</v>
      </c>
    </row>
    <row r="579" spans="1:4" x14ac:dyDescent="0.4">
      <c r="A579" s="3">
        <v>7331100</v>
      </c>
      <c r="B579">
        <v>100</v>
      </c>
      <c r="C579">
        <v>7331100</v>
      </c>
      <c r="D579">
        <v>10</v>
      </c>
    </row>
    <row r="580" spans="1:4" x14ac:dyDescent="0.4">
      <c r="A580" s="3">
        <v>7331200</v>
      </c>
      <c r="B580">
        <v>100</v>
      </c>
      <c r="C580">
        <v>7331200</v>
      </c>
      <c r="D580">
        <v>10</v>
      </c>
    </row>
    <row r="581" spans="1:4" x14ac:dyDescent="0.4">
      <c r="A581" s="3">
        <v>7331300</v>
      </c>
      <c r="B581">
        <v>100</v>
      </c>
      <c r="C581">
        <v>7331300</v>
      </c>
      <c r="D581">
        <v>10</v>
      </c>
    </row>
    <row r="582" spans="1:4" x14ac:dyDescent="0.4">
      <c r="A582" s="3">
        <v>7331400</v>
      </c>
      <c r="B582">
        <v>100</v>
      </c>
      <c r="C582">
        <v>7331400</v>
      </c>
      <c r="D582">
        <v>10</v>
      </c>
    </row>
    <row r="583" spans="1:4" x14ac:dyDescent="0.4">
      <c r="A583" s="3">
        <v>7331500</v>
      </c>
      <c r="B583">
        <v>100</v>
      </c>
      <c r="C583">
        <v>7331500</v>
      </c>
      <c r="D583">
        <v>10</v>
      </c>
    </row>
    <row r="584" spans="1:4" x14ac:dyDescent="0.4">
      <c r="A584" s="3">
        <v>7331700</v>
      </c>
      <c r="B584">
        <v>100</v>
      </c>
      <c r="C584">
        <v>7331700</v>
      </c>
      <c r="D584">
        <v>10</v>
      </c>
    </row>
    <row r="585" spans="1:4" x14ac:dyDescent="0.4">
      <c r="A585" s="3">
        <v>7331800</v>
      </c>
      <c r="B585">
        <v>100</v>
      </c>
      <c r="C585">
        <v>7331800</v>
      </c>
      <c r="D585">
        <v>10</v>
      </c>
    </row>
    <row r="586" spans="1:4" x14ac:dyDescent="0.4">
      <c r="A586" s="3">
        <v>7331900</v>
      </c>
      <c r="B586">
        <v>100</v>
      </c>
      <c r="C586">
        <v>7331900</v>
      </c>
      <c r="D586">
        <v>10</v>
      </c>
    </row>
    <row r="587" spans="1:4" x14ac:dyDescent="0.4">
      <c r="A587" s="3">
        <v>7332000</v>
      </c>
      <c r="B587">
        <v>100</v>
      </c>
      <c r="C587">
        <v>7332000</v>
      </c>
      <c r="D587">
        <v>10</v>
      </c>
    </row>
    <row r="588" spans="1:4" x14ac:dyDescent="0.4">
      <c r="A588" s="3">
        <v>7332100</v>
      </c>
      <c r="B588">
        <v>100</v>
      </c>
      <c r="C588">
        <v>7332100</v>
      </c>
      <c r="D588">
        <v>10</v>
      </c>
    </row>
    <row r="589" spans="1:4" x14ac:dyDescent="0.4">
      <c r="A589" s="3">
        <v>7332200</v>
      </c>
      <c r="B589">
        <v>100</v>
      </c>
      <c r="C589">
        <v>7332200</v>
      </c>
      <c r="D589">
        <v>10</v>
      </c>
    </row>
    <row r="590" spans="1:4" x14ac:dyDescent="0.4">
      <c r="A590" s="3">
        <v>7332300</v>
      </c>
      <c r="B590">
        <v>100</v>
      </c>
      <c r="C590">
        <v>7332300</v>
      </c>
      <c r="D590">
        <v>10</v>
      </c>
    </row>
    <row r="591" spans="1:4" x14ac:dyDescent="0.4">
      <c r="A591" s="3">
        <v>7332400</v>
      </c>
      <c r="B591">
        <v>100</v>
      </c>
      <c r="C591">
        <v>7332400</v>
      </c>
      <c r="D591">
        <v>10</v>
      </c>
    </row>
    <row r="592" spans="1:4" x14ac:dyDescent="0.4">
      <c r="A592" s="3">
        <v>7340000</v>
      </c>
      <c r="B592">
        <v>7340000</v>
      </c>
      <c r="C592">
        <v>7340000</v>
      </c>
      <c r="D592">
        <v>10</v>
      </c>
    </row>
    <row r="593" spans="1:4" x14ac:dyDescent="0.4">
      <c r="A593" s="3">
        <v>7340100</v>
      </c>
      <c r="B593">
        <v>7340000</v>
      </c>
      <c r="C593">
        <v>7340100</v>
      </c>
      <c r="D593">
        <v>10</v>
      </c>
    </row>
    <row r="594" spans="1:4" x14ac:dyDescent="0.4">
      <c r="A594" s="3">
        <v>7340200</v>
      </c>
      <c r="B594">
        <v>7340000</v>
      </c>
      <c r="C594">
        <v>7340200</v>
      </c>
      <c r="D594">
        <v>10</v>
      </c>
    </row>
    <row r="595" spans="1:4" x14ac:dyDescent="0.4">
      <c r="A595" s="3">
        <v>7340300</v>
      </c>
      <c r="B595">
        <v>7340000</v>
      </c>
      <c r="C595">
        <v>7340300</v>
      </c>
      <c r="D595">
        <v>10</v>
      </c>
    </row>
    <row r="596" spans="1:4" x14ac:dyDescent="0.4">
      <c r="A596" s="3">
        <v>7340400</v>
      </c>
      <c r="B596">
        <v>7340000</v>
      </c>
      <c r="C596">
        <v>7340400</v>
      </c>
      <c r="D596">
        <v>10</v>
      </c>
    </row>
    <row r="597" spans="1:4" x14ac:dyDescent="0.4">
      <c r="A597" s="3">
        <v>7340500</v>
      </c>
      <c r="B597">
        <v>7340000</v>
      </c>
      <c r="C597">
        <v>7340500</v>
      </c>
      <c r="D597">
        <v>10</v>
      </c>
    </row>
    <row r="598" spans="1:4" x14ac:dyDescent="0.4">
      <c r="A598" s="3">
        <v>7340600</v>
      </c>
      <c r="B598">
        <v>7340000</v>
      </c>
      <c r="C598">
        <v>7340600</v>
      </c>
      <c r="D598">
        <v>10</v>
      </c>
    </row>
    <row r="599" spans="1:4" x14ac:dyDescent="0.4">
      <c r="A599" s="3">
        <v>7340700</v>
      </c>
      <c r="B599">
        <v>7340000</v>
      </c>
      <c r="C599">
        <v>7340700</v>
      </c>
      <c r="D599">
        <v>10</v>
      </c>
    </row>
    <row r="600" spans="1:4" x14ac:dyDescent="0.4">
      <c r="A600" s="3">
        <v>7340800</v>
      </c>
      <c r="B600">
        <v>7340000</v>
      </c>
      <c r="C600">
        <v>7340800</v>
      </c>
      <c r="D600">
        <v>10</v>
      </c>
    </row>
    <row r="601" spans="1:4" x14ac:dyDescent="0.4">
      <c r="A601" s="3">
        <v>7340900</v>
      </c>
      <c r="B601">
        <v>7340000</v>
      </c>
      <c r="C601">
        <v>7340900</v>
      </c>
      <c r="D601">
        <v>10</v>
      </c>
    </row>
    <row r="602" spans="1:4" x14ac:dyDescent="0.4">
      <c r="A602" s="3">
        <v>7341000</v>
      </c>
      <c r="B602">
        <v>7340000</v>
      </c>
      <c r="C602">
        <v>7341000</v>
      </c>
      <c r="D602">
        <v>10</v>
      </c>
    </row>
    <row r="603" spans="1:4" x14ac:dyDescent="0.4">
      <c r="A603" s="3">
        <v>7341100</v>
      </c>
      <c r="B603">
        <v>7340000</v>
      </c>
      <c r="C603">
        <v>7341100</v>
      </c>
      <c r="D603">
        <v>10</v>
      </c>
    </row>
    <row r="604" spans="1:4" x14ac:dyDescent="0.4">
      <c r="A604" s="3">
        <v>7341200</v>
      </c>
      <c r="B604">
        <v>7340000</v>
      </c>
      <c r="C604">
        <v>7341200</v>
      </c>
      <c r="D604">
        <v>10</v>
      </c>
    </row>
    <row r="605" spans="1:4" x14ac:dyDescent="0.4">
      <c r="A605" s="3">
        <v>7341300</v>
      </c>
      <c r="B605">
        <v>7340000</v>
      </c>
      <c r="C605">
        <v>7341300</v>
      </c>
      <c r="D605">
        <v>10</v>
      </c>
    </row>
    <row r="606" spans="1:4" x14ac:dyDescent="0.4">
      <c r="A606" s="3">
        <v>7341400</v>
      </c>
      <c r="B606">
        <v>7340000</v>
      </c>
      <c r="C606">
        <v>7341400</v>
      </c>
      <c r="D606">
        <v>10</v>
      </c>
    </row>
    <row r="607" spans="1:4" x14ac:dyDescent="0.4">
      <c r="A607" s="3">
        <v>7341500</v>
      </c>
      <c r="B607">
        <v>7340000</v>
      </c>
      <c r="C607">
        <v>7341500</v>
      </c>
      <c r="D607">
        <v>10</v>
      </c>
    </row>
    <row r="608" spans="1:4" x14ac:dyDescent="0.4">
      <c r="A608" s="3">
        <v>7341700</v>
      </c>
      <c r="B608">
        <v>7340000</v>
      </c>
      <c r="C608">
        <v>7341700</v>
      </c>
      <c r="D608">
        <v>10</v>
      </c>
    </row>
    <row r="609" spans="1:4" x14ac:dyDescent="0.4">
      <c r="A609" s="3">
        <v>7341800</v>
      </c>
      <c r="B609">
        <v>7340000</v>
      </c>
      <c r="C609">
        <v>7341800</v>
      </c>
      <c r="D609">
        <v>10</v>
      </c>
    </row>
    <row r="610" spans="1:4" x14ac:dyDescent="0.4">
      <c r="A610" s="3">
        <v>7341900</v>
      </c>
      <c r="B610">
        <v>7340000</v>
      </c>
      <c r="C610">
        <v>7341900</v>
      </c>
      <c r="D610">
        <v>10</v>
      </c>
    </row>
    <row r="611" spans="1:4" x14ac:dyDescent="0.4">
      <c r="A611" s="3">
        <v>7342000</v>
      </c>
      <c r="B611">
        <v>7340000</v>
      </c>
      <c r="C611">
        <v>7342000</v>
      </c>
      <c r="D611">
        <v>10</v>
      </c>
    </row>
    <row r="612" spans="1:4" x14ac:dyDescent="0.4">
      <c r="A612" s="3">
        <v>7342100</v>
      </c>
      <c r="B612">
        <v>7340000</v>
      </c>
      <c r="C612">
        <v>7342100</v>
      </c>
      <c r="D612">
        <v>10</v>
      </c>
    </row>
    <row r="613" spans="1:4" x14ac:dyDescent="0.4">
      <c r="A613" s="3">
        <v>7342200</v>
      </c>
      <c r="B613">
        <v>7340000</v>
      </c>
      <c r="C613">
        <v>7342200</v>
      </c>
      <c r="D613">
        <v>10</v>
      </c>
    </row>
    <row r="614" spans="1:4" x14ac:dyDescent="0.4">
      <c r="A614" s="3">
        <v>7342300</v>
      </c>
      <c r="B614">
        <v>7340000</v>
      </c>
      <c r="C614">
        <v>7342300</v>
      </c>
      <c r="D614">
        <v>10</v>
      </c>
    </row>
    <row r="615" spans="1:4" x14ac:dyDescent="0.4">
      <c r="A615" s="3">
        <v>7342400</v>
      </c>
      <c r="B615">
        <v>7340000</v>
      </c>
      <c r="C615">
        <v>7342400</v>
      </c>
      <c r="D615">
        <v>10</v>
      </c>
    </row>
    <row r="616" spans="1:4" x14ac:dyDescent="0.4">
      <c r="A616" s="3">
        <v>7350000</v>
      </c>
      <c r="B616">
        <v>7350000</v>
      </c>
      <c r="C616">
        <v>7350000</v>
      </c>
      <c r="D616">
        <v>10</v>
      </c>
    </row>
    <row r="617" spans="1:4" x14ac:dyDescent="0.4">
      <c r="A617" s="3">
        <v>7350100</v>
      </c>
      <c r="B617">
        <v>7350000</v>
      </c>
      <c r="C617">
        <v>7350100</v>
      </c>
      <c r="D617">
        <v>10</v>
      </c>
    </row>
    <row r="618" spans="1:4" x14ac:dyDescent="0.4">
      <c r="A618" s="3">
        <v>7350200</v>
      </c>
      <c r="B618">
        <v>7350000</v>
      </c>
      <c r="C618">
        <v>7350200</v>
      </c>
      <c r="D618">
        <v>10</v>
      </c>
    </row>
    <row r="619" spans="1:4" x14ac:dyDescent="0.4">
      <c r="A619" s="3">
        <v>7350300</v>
      </c>
      <c r="B619">
        <v>7350000</v>
      </c>
      <c r="C619">
        <v>7350300</v>
      </c>
      <c r="D619">
        <v>10</v>
      </c>
    </row>
    <row r="620" spans="1:4" x14ac:dyDescent="0.4">
      <c r="A620" s="3">
        <v>7350400</v>
      </c>
      <c r="B620">
        <v>7350000</v>
      </c>
      <c r="C620">
        <v>7350400</v>
      </c>
      <c r="D620">
        <v>10</v>
      </c>
    </row>
    <row r="621" spans="1:4" x14ac:dyDescent="0.4">
      <c r="A621" s="3">
        <v>7350500</v>
      </c>
      <c r="B621">
        <v>7350000</v>
      </c>
      <c r="C621">
        <v>7350500</v>
      </c>
      <c r="D621">
        <v>10</v>
      </c>
    </row>
    <row r="622" spans="1:4" x14ac:dyDescent="0.4">
      <c r="A622" s="3">
        <v>7350600</v>
      </c>
      <c r="B622">
        <v>7350000</v>
      </c>
      <c r="C622">
        <v>7350600</v>
      </c>
      <c r="D622">
        <v>10</v>
      </c>
    </row>
    <row r="623" spans="1:4" x14ac:dyDescent="0.4">
      <c r="A623" s="3">
        <v>7350700</v>
      </c>
      <c r="B623">
        <v>7350000</v>
      </c>
      <c r="C623">
        <v>7350700</v>
      </c>
      <c r="D623">
        <v>10</v>
      </c>
    </row>
    <row r="624" spans="1:4" x14ac:dyDescent="0.4">
      <c r="A624" s="3">
        <v>7350800</v>
      </c>
      <c r="B624">
        <v>7350000</v>
      </c>
      <c r="C624">
        <v>7350800</v>
      </c>
      <c r="D624">
        <v>10</v>
      </c>
    </row>
    <row r="625" spans="1:4" x14ac:dyDescent="0.4">
      <c r="A625" s="3">
        <v>7350900</v>
      </c>
      <c r="B625">
        <v>7350000</v>
      </c>
      <c r="C625">
        <v>7350900</v>
      </c>
      <c r="D625">
        <v>10</v>
      </c>
    </row>
    <row r="626" spans="1:4" x14ac:dyDescent="0.4">
      <c r="A626" s="3">
        <v>7351000</v>
      </c>
      <c r="B626">
        <v>7350000</v>
      </c>
      <c r="C626">
        <v>7351000</v>
      </c>
      <c r="D626">
        <v>10</v>
      </c>
    </row>
    <row r="627" spans="1:4" x14ac:dyDescent="0.4">
      <c r="A627" s="3">
        <v>7351100</v>
      </c>
      <c r="B627">
        <v>7350000</v>
      </c>
      <c r="C627">
        <v>7351100</v>
      </c>
      <c r="D627">
        <v>10</v>
      </c>
    </row>
    <row r="628" spans="1:4" x14ac:dyDescent="0.4">
      <c r="A628" s="3">
        <v>7351200</v>
      </c>
      <c r="B628">
        <v>7350000</v>
      </c>
      <c r="C628">
        <v>7351200</v>
      </c>
      <c r="D628">
        <v>10</v>
      </c>
    </row>
    <row r="629" spans="1:4" x14ac:dyDescent="0.4">
      <c r="A629" s="3">
        <v>7351300</v>
      </c>
      <c r="B629">
        <v>7350000</v>
      </c>
      <c r="C629">
        <v>7351300</v>
      </c>
      <c r="D629">
        <v>10</v>
      </c>
    </row>
    <row r="630" spans="1:4" x14ac:dyDescent="0.4">
      <c r="A630" s="3">
        <v>7351400</v>
      </c>
      <c r="B630">
        <v>7350000</v>
      </c>
      <c r="C630">
        <v>7351400</v>
      </c>
      <c r="D630">
        <v>10</v>
      </c>
    </row>
    <row r="631" spans="1:4" x14ac:dyDescent="0.4">
      <c r="A631" s="3">
        <v>7351500</v>
      </c>
      <c r="B631">
        <v>7350000</v>
      </c>
      <c r="C631">
        <v>7351500</v>
      </c>
      <c r="D631">
        <v>10</v>
      </c>
    </row>
    <row r="632" spans="1:4" x14ac:dyDescent="0.4">
      <c r="A632" s="3">
        <v>7351700</v>
      </c>
      <c r="B632">
        <v>7350000</v>
      </c>
      <c r="C632">
        <v>7351700</v>
      </c>
      <c r="D632">
        <v>10</v>
      </c>
    </row>
    <row r="633" spans="1:4" x14ac:dyDescent="0.4">
      <c r="A633" s="3">
        <v>7351800</v>
      </c>
      <c r="B633">
        <v>7350000</v>
      </c>
      <c r="C633">
        <v>7351800</v>
      </c>
      <c r="D633">
        <v>10</v>
      </c>
    </row>
    <row r="634" spans="1:4" x14ac:dyDescent="0.4">
      <c r="A634" s="3">
        <v>7351900</v>
      </c>
      <c r="B634">
        <v>7350000</v>
      </c>
      <c r="C634">
        <v>7351900</v>
      </c>
      <c r="D634">
        <v>10</v>
      </c>
    </row>
    <row r="635" spans="1:4" x14ac:dyDescent="0.4">
      <c r="A635" s="3">
        <v>7352000</v>
      </c>
      <c r="B635">
        <v>7350000</v>
      </c>
      <c r="C635">
        <v>7352000</v>
      </c>
      <c r="D635">
        <v>10</v>
      </c>
    </row>
    <row r="636" spans="1:4" x14ac:dyDescent="0.4">
      <c r="A636" s="3">
        <v>7352100</v>
      </c>
      <c r="B636">
        <v>7350000</v>
      </c>
      <c r="C636">
        <v>7352100</v>
      </c>
      <c r="D636">
        <v>10</v>
      </c>
    </row>
    <row r="637" spans="1:4" x14ac:dyDescent="0.4">
      <c r="A637" s="3">
        <v>7352200</v>
      </c>
      <c r="B637">
        <v>7350000</v>
      </c>
      <c r="C637">
        <v>7352200</v>
      </c>
      <c r="D637">
        <v>10</v>
      </c>
    </row>
    <row r="638" spans="1:4" x14ac:dyDescent="0.4">
      <c r="A638" s="3">
        <v>7352300</v>
      </c>
      <c r="B638">
        <v>7350000</v>
      </c>
      <c r="C638">
        <v>7352300</v>
      </c>
      <c r="D638">
        <v>10</v>
      </c>
    </row>
    <row r="639" spans="1:4" x14ac:dyDescent="0.4">
      <c r="A639" s="3">
        <v>7352400</v>
      </c>
      <c r="B639">
        <v>7350000</v>
      </c>
      <c r="C639">
        <v>7352400</v>
      </c>
      <c r="D639">
        <v>10</v>
      </c>
    </row>
    <row r="640" spans="1:4" x14ac:dyDescent="0.4">
      <c r="A640" s="3">
        <v>7360600</v>
      </c>
      <c r="B640">
        <v>300</v>
      </c>
      <c r="C640">
        <v>7360600</v>
      </c>
      <c r="D640">
        <v>100</v>
      </c>
    </row>
    <row r="641" spans="1:4" x14ac:dyDescent="0.4">
      <c r="A641" s="3">
        <v>7360900</v>
      </c>
      <c r="B641">
        <v>300</v>
      </c>
      <c r="C641">
        <v>7360900</v>
      </c>
      <c r="D641">
        <v>100</v>
      </c>
    </row>
    <row r="642" spans="1:4" x14ac:dyDescent="0.4">
      <c r="A642" s="3">
        <v>7361200</v>
      </c>
      <c r="B642">
        <v>300</v>
      </c>
      <c r="C642">
        <v>7361200</v>
      </c>
      <c r="D642">
        <v>100</v>
      </c>
    </row>
    <row r="643" spans="1:4" x14ac:dyDescent="0.4">
      <c r="A643" s="3">
        <v>7361300</v>
      </c>
      <c r="B643">
        <v>300</v>
      </c>
      <c r="C643">
        <v>7361300</v>
      </c>
      <c r="D643">
        <v>100</v>
      </c>
    </row>
    <row r="644" spans="1:4" x14ac:dyDescent="0.4">
      <c r="A644" s="3">
        <v>7362100</v>
      </c>
      <c r="B644">
        <v>300</v>
      </c>
      <c r="C644">
        <v>7362100</v>
      </c>
      <c r="D644">
        <v>100</v>
      </c>
    </row>
    <row r="645" spans="1:4" x14ac:dyDescent="0.4">
      <c r="A645" s="3">
        <v>7370300</v>
      </c>
      <c r="B645">
        <v>300</v>
      </c>
      <c r="C645">
        <v>7370300</v>
      </c>
      <c r="D645">
        <v>100</v>
      </c>
    </row>
    <row r="646" spans="1:4" x14ac:dyDescent="0.4">
      <c r="A646" s="3">
        <v>7370400</v>
      </c>
      <c r="B646">
        <v>300</v>
      </c>
      <c r="C646">
        <v>7370400</v>
      </c>
      <c r="D646">
        <v>100</v>
      </c>
    </row>
    <row r="647" spans="1:4" x14ac:dyDescent="0.4">
      <c r="A647" s="3">
        <v>7370600</v>
      </c>
      <c r="B647">
        <v>300</v>
      </c>
      <c r="C647">
        <v>7370600</v>
      </c>
      <c r="D647">
        <v>100</v>
      </c>
    </row>
    <row r="648" spans="1:4" x14ac:dyDescent="0.4">
      <c r="A648" s="3">
        <v>7370900</v>
      </c>
      <c r="B648">
        <v>300</v>
      </c>
      <c r="C648">
        <v>7370900</v>
      </c>
      <c r="D648">
        <v>100</v>
      </c>
    </row>
    <row r="649" spans="1:4" x14ac:dyDescent="0.4">
      <c r="A649" s="3">
        <v>7371500</v>
      </c>
      <c r="B649">
        <v>300</v>
      </c>
      <c r="C649">
        <v>7371500</v>
      </c>
      <c r="D649">
        <v>100</v>
      </c>
    </row>
    <row r="650" spans="1:4" x14ac:dyDescent="0.4">
      <c r="A650" s="3">
        <v>8000000</v>
      </c>
      <c r="B650">
        <v>400000</v>
      </c>
      <c r="C650">
        <v>8000000</v>
      </c>
      <c r="D650">
        <v>2000</v>
      </c>
    </row>
    <row r="651" spans="1:4" x14ac:dyDescent="0.4">
      <c r="A651" s="3">
        <v>8000001</v>
      </c>
      <c r="B651">
        <v>400000</v>
      </c>
      <c r="C651">
        <v>8000000</v>
      </c>
      <c r="D651">
        <v>2010</v>
      </c>
    </row>
    <row r="652" spans="1:4" x14ac:dyDescent="0.4">
      <c r="A652" s="3">
        <v>8010000</v>
      </c>
      <c r="B652">
        <v>400010</v>
      </c>
      <c r="C652">
        <v>8010000</v>
      </c>
      <c r="D652">
        <v>2020</v>
      </c>
    </row>
    <row r="653" spans="1:4" x14ac:dyDescent="0.4">
      <c r="A653" s="3">
        <v>8010001</v>
      </c>
      <c r="B653">
        <v>400010</v>
      </c>
      <c r="C653">
        <v>8010000</v>
      </c>
      <c r="D653">
        <v>2030</v>
      </c>
    </row>
    <row r="654" spans="1:4" x14ac:dyDescent="0.4">
      <c r="A654" s="3">
        <v>8010100</v>
      </c>
      <c r="B654">
        <v>400020</v>
      </c>
      <c r="C654">
        <v>8010100</v>
      </c>
      <c r="D654">
        <v>2040</v>
      </c>
    </row>
    <row r="655" spans="1:4" x14ac:dyDescent="0.4">
      <c r="A655" s="3">
        <v>8010101</v>
      </c>
      <c r="B655">
        <v>400020</v>
      </c>
      <c r="C655">
        <v>8010100</v>
      </c>
      <c r="D655">
        <v>2050</v>
      </c>
    </row>
    <row r="656" spans="1:4" x14ac:dyDescent="0.4">
      <c r="A656" s="3">
        <v>8020000</v>
      </c>
      <c r="B656">
        <v>400020</v>
      </c>
      <c r="C656">
        <v>8020000</v>
      </c>
      <c r="D656">
        <v>2060</v>
      </c>
    </row>
    <row r="657" spans="1:4" x14ac:dyDescent="0.4">
      <c r="A657" s="3">
        <v>8020001</v>
      </c>
      <c r="B657">
        <v>400020</v>
      </c>
      <c r="C657">
        <v>8020000</v>
      </c>
      <c r="D657">
        <v>2070</v>
      </c>
    </row>
    <row r="658" spans="1:4" x14ac:dyDescent="0.4">
      <c r="A658" s="3">
        <v>8020200</v>
      </c>
      <c r="B658">
        <v>400030</v>
      </c>
      <c r="C658">
        <v>8020200</v>
      </c>
      <c r="D658">
        <v>2080</v>
      </c>
    </row>
    <row r="659" spans="1:4" x14ac:dyDescent="0.4">
      <c r="A659" s="3">
        <v>8020201</v>
      </c>
      <c r="B659">
        <v>400030</v>
      </c>
      <c r="C659">
        <v>8020200</v>
      </c>
      <c r="D659">
        <v>2090</v>
      </c>
    </row>
    <row r="660" spans="1:4" x14ac:dyDescent="0.4">
      <c r="A660" s="3">
        <v>8100000</v>
      </c>
      <c r="B660">
        <v>-1</v>
      </c>
      <c r="C660">
        <v>8100000</v>
      </c>
      <c r="D660">
        <v>2100</v>
      </c>
    </row>
    <row r="661" spans="1:4" x14ac:dyDescent="0.4">
      <c r="A661" s="3">
        <v>8100001</v>
      </c>
      <c r="B661">
        <v>-1</v>
      </c>
      <c r="C661">
        <v>8100000</v>
      </c>
      <c r="D661">
        <v>2110</v>
      </c>
    </row>
    <row r="662" spans="1:4" x14ac:dyDescent="0.4">
      <c r="A662" s="3">
        <v>8100100</v>
      </c>
      <c r="B662">
        <v>401000</v>
      </c>
      <c r="C662">
        <v>8100100</v>
      </c>
      <c r="D662">
        <v>8100100</v>
      </c>
    </row>
    <row r="663" spans="1:4" x14ac:dyDescent="0.4">
      <c r="A663" s="3">
        <v>8100101</v>
      </c>
      <c r="B663">
        <v>401000</v>
      </c>
      <c r="C663">
        <v>8100100</v>
      </c>
      <c r="D663">
        <v>8100101</v>
      </c>
    </row>
    <row r="664" spans="1:4" x14ac:dyDescent="0.4">
      <c r="A664" s="3">
        <v>8100102</v>
      </c>
      <c r="B664">
        <v>401000</v>
      </c>
      <c r="C664">
        <v>8100100</v>
      </c>
      <c r="D664">
        <v>8100102</v>
      </c>
    </row>
    <row r="665" spans="1:4" x14ac:dyDescent="0.4">
      <c r="A665" s="3">
        <v>8100200</v>
      </c>
      <c r="B665">
        <v>401000</v>
      </c>
      <c r="C665">
        <v>8100200</v>
      </c>
      <c r="D665">
        <v>8100200</v>
      </c>
    </row>
    <row r="666" spans="1:4" x14ac:dyDescent="0.4">
      <c r="A666" s="3">
        <v>8100201</v>
      </c>
      <c r="B666">
        <v>401000</v>
      </c>
      <c r="C666">
        <v>8100200</v>
      </c>
      <c r="D666">
        <v>8100201</v>
      </c>
    </row>
    <row r="667" spans="1:4" x14ac:dyDescent="0.4">
      <c r="A667" s="3">
        <v>8100202</v>
      </c>
      <c r="B667">
        <v>401000</v>
      </c>
      <c r="C667">
        <v>8100200</v>
      </c>
      <c r="D667">
        <v>8100202</v>
      </c>
    </row>
    <row r="668" spans="1:4" x14ac:dyDescent="0.4">
      <c r="A668" s="3">
        <v>8100300</v>
      </c>
      <c r="B668">
        <v>401000</v>
      </c>
      <c r="C668">
        <v>8100300</v>
      </c>
      <c r="D668">
        <v>8100300</v>
      </c>
    </row>
    <row r="669" spans="1:4" x14ac:dyDescent="0.4">
      <c r="A669" s="3">
        <v>8100301</v>
      </c>
      <c r="B669">
        <v>401000</v>
      </c>
      <c r="C669">
        <v>8100300</v>
      </c>
      <c r="D669">
        <v>8100301</v>
      </c>
    </row>
    <row r="670" spans="1:4" x14ac:dyDescent="0.4">
      <c r="A670" s="3">
        <v>8100302</v>
      </c>
      <c r="B670">
        <v>401000</v>
      </c>
      <c r="C670">
        <v>8100300</v>
      </c>
      <c r="D670">
        <v>8100302</v>
      </c>
    </row>
    <row r="671" spans="1:4" x14ac:dyDescent="0.4">
      <c r="A671" s="3">
        <v>8100400</v>
      </c>
      <c r="B671">
        <v>401000</v>
      </c>
      <c r="C671">
        <v>8100400</v>
      </c>
      <c r="D671">
        <v>8100400</v>
      </c>
    </row>
    <row r="672" spans="1:4" x14ac:dyDescent="0.4">
      <c r="A672" s="3">
        <v>8100401</v>
      </c>
      <c r="B672">
        <v>401000</v>
      </c>
      <c r="C672">
        <v>8100400</v>
      </c>
      <c r="D672">
        <v>8100401</v>
      </c>
    </row>
    <row r="673" spans="1:4" x14ac:dyDescent="0.4">
      <c r="A673" s="3">
        <v>8100402</v>
      </c>
      <c r="B673">
        <v>401000</v>
      </c>
      <c r="C673">
        <v>8100400</v>
      </c>
      <c r="D673">
        <v>8100402</v>
      </c>
    </row>
    <row r="674" spans="1:4" x14ac:dyDescent="0.4">
      <c r="A674" s="3">
        <v>8100500</v>
      </c>
      <c r="B674">
        <v>-1</v>
      </c>
      <c r="C674">
        <v>8100500</v>
      </c>
      <c r="D674">
        <v>2120</v>
      </c>
    </row>
    <row r="675" spans="1:4" x14ac:dyDescent="0.4">
      <c r="A675" s="3">
        <v>8100501</v>
      </c>
      <c r="B675">
        <v>-1</v>
      </c>
      <c r="C675">
        <v>8100500</v>
      </c>
      <c r="D675">
        <v>2130</v>
      </c>
    </row>
    <row r="676" spans="1:4" x14ac:dyDescent="0.4">
      <c r="A676" s="3">
        <v>8110000</v>
      </c>
      <c r="B676">
        <v>401000</v>
      </c>
      <c r="C676">
        <v>8110000</v>
      </c>
      <c r="D676">
        <v>8110000</v>
      </c>
    </row>
    <row r="677" spans="1:4" x14ac:dyDescent="0.4">
      <c r="A677" s="3">
        <v>8110001</v>
      </c>
      <c r="B677">
        <v>401000</v>
      </c>
      <c r="C677">
        <v>8110000</v>
      </c>
      <c r="D677">
        <v>8110001</v>
      </c>
    </row>
    <row r="678" spans="1:4" x14ac:dyDescent="0.4">
      <c r="A678" s="3">
        <v>8110002</v>
      </c>
      <c r="B678">
        <v>401000</v>
      </c>
      <c r="C678">
        <v>8110000</v>
      </c>
      <c r="D678">
        <v>8110002</v>
      </c>
    </row>
    <row r="679" spans="1:4" x14ac:dyDescent="0.4">
      <c r="A679" s="3">
        <v>8110010</v>
      </c>
      <c r="B679">
        <v>401000</v>
      </c>
      <c r="C679">
        <v>8110000</v>
      </c>
      <c r="D679">
        <v>8110010</v>
      </c>
    </row>
    <row r="680" spans="1:4" x14ac:dyDescent="0.4">
      <c r="A680" s="3">
        <v>8110011</v>
      </c>
      <c r="B680">
        <v>401000</v>
      </c>
      <c r="C680">
        <v>8110000</v>
      </c>
      <c r="D680">
        <v>8110011</v>
      </c>
    </row>
    <row r="681" spans="1:4" x14ac:dyDescent="0.4">
      <c r="A681" s="3">
        <v>8110012</v>
      </c>
      <c r="B681">
        <v>401000</v>
      </c>
      <c r="C681">
        <v>8110000</v>
      </c>
      <c r="D681">
        <v>8110012</v>
      </c>
    </row>
    <row r="682" spans="1:4" x14ac:dyDescent="0.4">
      <c r="A682" s="3">
        <v>8110100</v>
      </c>
      <c r="B682">
        <v>401000</v>
      </c>
      <c r="C682">
        <v>8110100</v>
      </c>
      <c r="D682">
        <v>8110100</v>
      </c>
    </row>
    <row r="683" spans="1:4" x14ac:dyDescent="0.4">
      <c r="A683" s="3">
        <v>8110101</v>
      </c>
      <c r="B683">
        <v>401000</v>
      </c>
      <c r="C683">
        <v>8110100</v>
      </c>
      <c r="D683">
        <v>8110101</v>
      </c>
    </row>
    <row r="684" spans="1:4" x14ac:dyDescent="0.4">
      <c r="A684" s="3">
        <v>8110102</v>
      </c>
      <c r="B684">
        <v>401000</v>
      </c>
      <c r="C684">
        <v>8110100</v>
      </c>
      <c r="D684">
        <v>8110102</v>
      </c>
    </row>
    <row r="685" spans="1:4" x14ac:dyDescent="0.4">
      <c r="A685" s="3">
        <v>8110110</v>
      </c>
      <c r="B685">
        <v>401000</v>
      </c>
      <c r="C685">
        <v>8110100</v>
      </c>
      <c r="D685">
        <v>8110110</v>
      </c>
    </row>
    <row r="686" spans="1:4" x14ac:dyDescent="0.4">
      <c r="A686" s="3">
        <v>8110111</v>
      </c>
      <c r="B686">
        <v>401000</v>
      </c>
      <c r="C686">
        <v>8110100</v>
      </c>
      <c r="D686">
        <v>8110111</v>
      </c>
    </row>
    <row r="687" spans="1:4" x14ac:dyDescent="0.4">
      <c r="A687" s="3">
        <v>8110112</v>
      </c>
      <c r="B687">
        <v>401000</v>
      </c>
      <c r="C687">
        <v>8110100</v>
      </c>
      <c r="D687">
        <v>8110112</v>
      </c>
    </row>
    <row r="688" spans="1:4" x14ac:dyDescent="0.4">
      <c r="A688" s="3">
        <v>8110200</v>
      </c>
      <c r="B688">
        <v>401000</v>
      </c>
      <c r="C688">
        <v>8110200</v>
      </c>
      <c r="D688">
        <v>8110200</v>
      </c>
    </row>
    <row r="689" spans="1:4" x14ac:dyDescent="0.4">
      <c r="A689" s="3">
        <v>8110201</v>
      </c>
      <c r="B689">
        <v>401000</v>
      </c>
      <c r="C689">
        <v>8110200</v>
      </c>
      <c r="D689">
        <v>8110201</v>
      </c>
    </row>
    <row r="690" spans="1:4" x14ac:dyDescent="0.4">
      <c r="A690" s="3">
        <v>8110202</v>
      </c>
      <c r="B690">
        <v>401000</v>
      </c>
      <c r="C690">
        <v>8110200</v>
      </c>
      <c r="D690">
        <v>8110202</v>
      </c>
    </row>
    <row r="691" spans="1:4" x14ac:dyDescent="0.4">
      <c r="A691" s="3">
        <v>8110210</v>
      </c>
      <c r="B691">
        <v>401000</v>
      </c>
      <c r="C691">
        <v>8110200</v>
      </c>
      <c r="D691">
        <v>8110210</v>
      </c>
    </row>
    <row r="692" spans="1:4" x14ac:dyDescent="0.4">
      <c r="A692" s="3">
        <v>8110211</v>
      </c>
      <c r="B692">
        <v>401000</v>
      </c>
      <c r="C692">
        <v>8110200</v>
      </c>
      <c r="D692">
        <v>8110211</v>
      </c>
    </row>
    <row r="693" spans="1:4" x14ac:dyDescent="0.4">
      <c r="A693" s="3">
        <v>8110212</v>
      </c>
      <c r="B693">
        <v>401000</v>
      </c>
      <c r="C693">
        <v>8110200</v>
      </c>
      <c r="D693">
        <v>8110212</v>
      </c>
    </row>
    <row r="694" spans="1:4" x14ac:dyDescent="0.4">
      <c r="A694" s="3">
        <v>8110400</v>
      </c>
      <c r="B694">
        <v>401000</v>
      </c>
      <c r="C694">
        <v>8110400</v>
      </c>
      <c r="D694">
        <v>8110400</v>
      </c>
    </row>
    <row r="695" spans="1:4" x14ac:dyDescent="0.4">
      <c r="A695" s="3">
        <v>8110401</v>
      </c>
      <c r="B695">
        <v>401000</v>
      </c>
      <c r="C695">
        <v>8110400</v>
      </c>
      <c r="D695">
        <v>8110401</v>
      </c>
    </row>
    <row r="696" spans="1:4" x14ac:dyDescent="0.4">
      <c r="A696" s="3">
        <v>8110402</v>
      </c>
      <c r="B696">
        <v>401000</v>
      </c>
      <c r="C696">
        <v>8110400</v>
      </c>
      <c r="D696">
        <v>8110402</v>
      </c>
    </row>
    <row r="697" spans="1:4" x14ac:dyDescent="0.4">
      <c r="A697" s="3">
        <v>8110410</v>
      </c>
      <c r="B697">
        <v>401000</v>
      </c>
      <c r="C697">
        <v>8110400</v>
      </c>
      <c r="D697">
        <v>8110410</v>
      </c>
    </row>
    <row r="698" spans="1:4" x14ac:dyDescent="0.4">
      <c r="A698" s="3">
        <v>8110411</v>
      </c>
      <c r="B698">
        <v>401000</v>
      </c>
      <c r="C698">
        <v>8110400</v>
      </c>
      <c r="D698">
        <v>8110411</v>
      </c>
    </row>
    <row r="699" spans="1:4" x14ac:dyDescent="0.4">
      <c r="A699" s="3">
        <v>8110412</v>
      </c>
      <c r="B699">
        <v>401000</v>
      </c>
      <c r="C699">
        <v>8110400</v>
      </c>
      <c r="D699">
        <v>8110412</v>
      </c>
    </row>
    <row r="700" spans="1:4" x14ac:dyDescent="0.4">
      <c r="A700" s="3">
        <v>8110500</v>
      </c>
      <c r="B700">
        <v>401000</v>
      </c>
      <c r="C700">
        <v>8110500</v>
      </c>
      <c r="D700">
        <v>8110500</v>
      </c>
    </row>
    <row r="701" spans="1:4" x14ac:dyDescent="0.4">
      <c r="A701" s="3">
        <v>8110501</v>
      </c>
      <c r="B701">
        <v>401000</v>
      </c>
      <c r="C701">
        <v>8110500</v>
      </c>
      <c r="D701">
        <v>8110501</v>
      </c>
    </row>
    <row r="702" spans="1:4" x14ac:dyDescent="0.4">
      <c r="A702" s="3">
        <v>8110502</v>
      </c>
      <c r="B702">
        <v>401000</v>
      </c>
      <c r="C702">
        <v>8110500</v>
      </c>
      <c r="D702">
        <v>8110502</v>
      </c>
    </row>
    <row r="703" spans="1:4" x14ac:dyDescent="0.4">
      <c r="A703" s="3">
        <v>8110510</v>
      </c>
      <c r="B703">
        <v>401000</v>
      </c>
      <c r="C703">
        <v>8110500</v>
      </c>
      <c r="D703">
        <v>8110510</v>
      </c>
    </row>
    <row r="704" spans="1:4" x14ac:dyDescent="0.4">
      <c r="A704" s="3">
        <v>8110511</v>
      </c>
      <c r="B704">
        <v>401000</v>
      </c>
      <c r="C704">
        <v>8110500</v>
      </c>
      <c r="D704">
        <v>8110511</v>
      </c>
    </row>
    <row r="705" spans="1:4" x14ac:dyDescent="0.4">
      <c r="A705" s="3">
        <v>8110512</v>
      </c>
      <c r="B705">
        <v>401000</v>
      </c>
      <c r="C705">
        <v>8110500</v>
      </c>
      <c r="D705">
        <v>8110512</v>
      </c>
    </row>
    <row r="706" spans="1:4" x14ac:dyDescent="0.4">
      <c r="A706" s="3">
        <v>8110700</v>
      </c>
      <c r="B706">
        <v>401000</v>
      </c>
      <c r="C706">
        <v>8110700</v>
      </c>
      <c r="D706">
        <v>8110700</v>
      </c>
    </row>
    <row r="707" spans="1:4" x14ac:dyDescent="0.4">
      <c r="A707" s="3">
        <v>8110701</v>
      </c>
      <c r="B707">
        <v>401000</v>
      </c>
      <c r="C707">
        <v>8110700</v>
      </c>
      <c r="D707">
        <v>8110701</v>
      </c>
    </row>
    <row r="708" spans="1:4" x14ac:dyDescent="0.4">
      <c r="A708" s="3">
        <v>8110702</v>
      </c>
      <c r="B708">
        <v>401000</v>
      </c>
      <c r="C708">
        <v>8110700</v>
      </c>
      <c r="D708">
        <v>8110702</v>
      </c>
    </row>
    <row r="709" spans="1:4" x14ac:dyDescent="0.4">
      <c r="A709" s="3">
        <v>8110703</v>
      </c>
      <c r="B709">
        <v>401000</v>
      </c>
      <c r="C709">
        <v>8110700</v>
      </c>
      <c r="D709">
        <v>8110703</v>
      </c>
    </row>
    <row r="710" spans="1:4" x14ac:dyDescent="0.4">
      <c r="A710" s="3">
        <v>8110800</v>
      </c>
      <c r="B710">
        <v>401000</v>
      </c>
      <c r="C710">
        <v>8110800</v>
      </c>
      <c r="D710">
        <v>8110800</v>
      </c>
    </row>
    <row r="711" spans="1:4" x14ac:dyDescent="0.4">
      <c r="A711" s="3">
        <v>8110801</v>
      </c>
      <c r="B711">
        <v>401000</v>
      </c>
      <c r="C711">
        <v>8110800</v>
      </c>
      <c r="D711">
        <v>8110801</v>
      </c>
    </row>
    <row r="712" spans="1:4" x14ac:dyDescent="0.4">
      <c r="A712" s="3">
        <v>8110802</v>
      </c>
      <c r="B712">
        <v>401000</v>
      </c>
      <c r="C712">
        <v>8110800</v>
      </c>
      <c r="D712">
        <v>8110802</v>
      </c>
    </row>
    <row r="713" spans="1:4" x14ac:dyDescent="0.4">
      <c r="A713" s="3">
        <v>8110803</v>
      </c>
      <c r="B713">
        <v>401000</v>
      </c>
      <c r="C713">
        <v>8110800</v>
      </c>
      <c r="D713">
        <v>8110803</v>
      </c>
    </row>
    <row r="714" spans="1:4" x14ac:dyDescent="0.4">
      <c r="A714" s="3">
        <v>8110900</v>
      </c>
      <c r="B714">
        <v>401000</v>
      </c>
      <c r="C714">
        <v>8110900</v>
      </c>
      <c r="D714">
        <v>8110900</v>
      </c>
    </row>
    <row r="715" spans="1:4" x14ac:dyDescent="0.4">
      <c r="A715" s="3">
        <v>8110901</v>
      </c>
      <c r="B715">
        <v>401000</v>
      </c>
      <c r="C715">
        <v>8110900</v>
      </c>
      <c r="D715">
        <v>8110901</v>
      </c>
    </row>
    <row r="716" spans="1:4" x14ac:dyDescent="0.4">
      <c r="A716" s="3">
        <v>8110902</v>
      </c>
      <c r="B716">
        <v>401000</v>
      </c>
      <c r="C716">
        <v>8110900</v>
      </c>
      <c r="D716">
        <v>8110902</v>
      </c>
    </row>
    <row r="717" spans="1:4" x14ac:dyDescent="0.4">
      <c r="A717" s="3">
        <v>8110903</v>
      </c>
      <c r="B717">
        <v>401000</v>
      </c>
      <c r="C717">
        <v>8110900</v>
      </c>
      <c r="D717">
        <v>8110903</v>
      </c>
    </row>
    <row r="718" spans="1:4" x14ac:dyDescent="0.4">
      <c r="A718" s="3">
        <v>8111000</v>
      </c>
      <c r="B718">
        <v>401000</v>
      </c>
      <c r="C718">
        <v>8111000</v>
      </c>
      <c r="D718">
        <v>8111000</v>
      </c>
    </row>
    <row r="719" spans="1:4" x14ac:dyDescent="0.4">
      <c r="A719" s="3">
        <v>8111001</v>
      </c>
      <c r="B719">
        <v>401000</v>
      </c>
      <c r="C719">
        <v>8111000</v>
      </c>
      <c r="D719">
        <v>8111001</v>
      </c>
    </row>
    <row r="720" spans="1:4" x14ac:dyDescent="0.4">
      <c r="A720" s="3">
        <v>8111002</v>
      </c>
      <c r="B720">
        <v>401000</v>
      </c>
      <c r="C720">
        <v>8111000</v>
      </c>
      <c r="D720">
        <v>8111002</v>
      </c>
    </row>
    <row r="721" spans="1:4" x14ac:dyDescent="0.4">
      <c r="A721" s="3">
        <v>8111003</v>
      </c>
      <c r="B721">
        <v>401000</v>
      </c>
      <c r="C721">
        <v>8111000</v>
      </c>
      <c r="D721">
        <v>8111003</v>
      </c>
    </row>
    <row r="722" spans="1:4" x14ac:dyDescent="0.4">
      <c r="A722" s="3">
        <v>8120000</v>
      </c>
      <c r="B722">
        <v>-1</v>
      </c>
      <c r="C722">
        <v>8120000</v>
      </c>
      <c r="D722">
        <v>2140</v>
      </c>
    </row>
    <row r="723" spans="1:4" x14ac:dyDescent="0.4">
      <c r="A723" s="3">
        <v>8120001</v>
      </c>
      <c r="B723">
        <v>-1</v>
      </c>
      <c r="C723">
        <v>8120000</v>
      </c>
      <c r="D723">
        <v>2150</v>
      </c>
    </row>
    <row r="724" spans="1:4" x14ac:dyDescent="0.4">
      <c r="A724" s="3">
        <v>8130000</v>
      </c>
      <c r="B724">
        <v>-1</v>
      </c>
      <c r="C724">
        <v>8130000</v>
      </c>
      <c r="D724">
        <v>8130000</v>
      </c>
    </row>
    <row r="725" spans="1:4" x14ac:dyDescent="0.4">
      <c r="A725" s="3">
        <v>8130001</v>
      </c>
      <c r="B725">
        <v>-1</v>
      </c>
      <c r="C725">
        <v>8130000</v>
      </c>
      <c r="D725">
        <v>8130001</v>
      </c>
    </row>
    <row r="726" spans="1:4" x14ac:dyDescent="0.4">
      <c r="A726" s="3">
        <v>8130002</v>
      </c>
      <c r="B726">
        <v>-1</v>
      </c>
      <c r="C726">
        <v>8130000</v>
      </c>
      <c r="D726">
        <v>8130002</v>
      </c>
    </row>
    <row r="727" spans="1:4" x14ac:dyDescent="0.4">
      <c r="A727" s="3">
        <v>8140000</v>
      </c>
      <c r="B727">
        <v>-1</v>
      </c>
      <c r="C727">
        <v>8140000</v>
      </c>
      <c r="D727">
        <v>8140000</v>
      </c>
    </row>
    <row r="728" spans="1:4" x14ac:dyDescent="0.4">
      <c r="A728" s="3">
        <v>8140001</v>
      </c>
      <c r="B728">
        <v>-1</v>
      </c>
      <c r="C728">
        <v>8140000</v>
      </c>
      <c r="D728">
        <v>8140001</v>
      </c>
    </row>
    <row r="729" spans="1:4" x14ac:dyDescent="0.4">
      <c r="A729" s="3">
        <v>8140002</v>
      </c>
      <c r="B729">
        <v>-1</v>
      </c>
      <c r="C729">
        <v>8140000</v>
      </c>
      <c r="D729">
        <v>8140002</v>
      </c>
    </row>
    <row r="730" spans="1:4" x14ac:dyDescent="0.4">
      <c r="A730" s="3">
        <v>8200000</v>
      </c>
      <c r="B730">
        <v>400030</v>
      </c>
      <c r="C730">
        <v>8200000</v>
      </c>
      <c r="D730">
        <v>2160</v>
      </c>
    </row>
    <row r="731" spans="1:4" x14ac:dyDescent="0.4">
      <c r="A731" s="3">
        <v>8200001</v>
      </c>
      <c r="B731">
        <v>400030</v>
      </c>
      <c r="C731">
        <v>8200000</v>
      </c>
      <c r="D731">
        <v>2170</v>
      </c>
    </row>
    <row r="732" spans="1:4" x14ac:dyDescent="0.4">
      <c r="A732" s="3">
        <v>8200100</v>
      </c>
      <c r="B732">
        <v>401010</v>
      </c>
      <c r="C732">
        <v>8200100</v>
      </c>
      <c r="D732">
        <v>8200100</v>
      </c>
    </row>
    <row r="733" spans="1:4" x14ac:dyDescent="0.4">
      <c r="A733" s="3">
        <v>8200101</v>
      </c>
      <c r="B733">
        <v>401010</v>
      </c>
      <c r="C733">
        <v>8200100</v>
      </c>
      <c r="D733">
        <v>8200101</v>
      </c>
    </row>
    <row r="734" spans="1:4" x14ac:dyDescent="0.4">
      <c r="A734" s="3">
        <v>8200102</v>
      </c>
      <c r="B734">
        <v>401010</v>
      </c>
      <c r="C734">
        <v>8200100</v>
      </c>
      <c r="D734">
        <v>8200102</v>
      </c>
    </row>
    <row r="735" spans="1:4" x14ac:dyDescent="0.4">
      <c r="A735" s="3">
        <v>8200200</v>
      </c>
      <c r="B735">
        <v>401010</v>
      </c>
      <c r="C735">
        <v>8200200</v>
      </c>
      <c r="D735">
        <v>8200200</v>
      </c>
    </row>
    <row r="736" spans="1:4" x14ac:dyDescent="0.4">
      <c r="A736" s="3">
        <v>8200201</v>
      </c>
      <c r="B736">
        <v>401010</v>
      </c>
      <c r="C736">
        <v>8200200</v>
      </c>
      <c r="D736">
        <v>8200201</v>
      </c>
    </row>
    <row r="737" spans="1:4" x14ac:dyDescent="0.4">
      <c r="A737" s="3">
        <v>8200202</v>
      </c>
      <c r="B737">
        <v>401010</v>
      </c>
      <c r="C737">
        <v>8200200</v>
      </c>
      <c r="D737">
        <v>8200202</v>
      </c>
    </row>
    <row r="738" spans="1:4" x14ac:dyDescent="0.4">
      <c r="A738" s="3">
        <v>8200300</v>
      </c>
      <c r="B738">
        <v>401010</v>
      </c>
      <c r="C738">
        <v>8200300</v>
      </c>
      <c r="D738">
        <v>8200300</v>
      </c>
    </row>
    <row r="739" spans="1:4" x14ac:dyDescent="0.4">
      <c r="A739" s="3">
        <v>8200301</v>
      </c>
      <c r="B739">
        <v>401010</v>
      </c>
      <c r="C739">
        <v>8200300</v>
      </c>
      <c r="D739">
        <v>8200301</v>
      </c>
    </row>
    <row r="740" spans="1:4" x14ac:dyDescent="0.4">
      <c r="A740" s="3">
        <v>8200302</v>
      </c>
      <c r="B740">
        <v>401010</v>
      </c>
      <c r="C740">
        <v>8200300</v>
      </c>
      <c r="D740">
        <v>8200302</v>
      </c>
    </row>
    <row r="741" spans="1:4" x14ac:dyDescent="0.4">
      <c r="A741" s="3">
        <v>8200400</v>
      </c>
      <c r="B741">
        <v>401010</v>
      </c>
      <c r="C741">
        <v>8200400</v>
      </c>
      <c r="D741">
        <v>8200400</v>
      </c>
    </row>
    <row r="742" spans="1:4" x14ac:dyDescent="0.4">
      <c r="A742" s="3">
        <v>8200401</v>
      </c>
      <c r="B742">
        <v>401010</v>
      </c>
      <c r="C742">
        <v>8200400</v>
      </c>
      <c r="D742">
        <v>8200401</v>
      </c>
    </row>
    <row r="743" spans="1:4" x14ac:dyDescent="0.4">
      <c r="A743" s="3">
        <v>8200402</v>
      </c>
      <c r="B743">
        <v>401010</v>
      </c>
      <c r="C743">
        <v>8200400</v>
      </c>
      <c r="D743">
        <v>8200402</v>
      </c>
    </row>
    <row r="744" spans="1:4" x14ac:dyDescent="0.4">
      <c r="A744" s="3">
        <v>8200500</v>
      </c>
      <c r="B744">
        <v>400040</v>
      </c>
      <c r="C744">
        <v>8200500</v>
      </c>
      <c r="D744">
        <v>2180</v>
      </c>
    </row>
    <row r="745" spans="1:4" x14ac:dyDescent="0.4">
      <c r="A745" s="3">
        <v>8200501</v>
      </c>
      <c r="B745">
        <v>400040</v>
      </c>
      <c r="C745">
        <v>8200500</v>
      </c>
      <c r="D745">
        <v>2190</v>
      </c>
    </row>
    <row r="746" spans="1:4" x14ac:dyDescent="0.4">
      <c r="A746" s="3">
        <v>8210000</v>
      </c>
      <c r="B746">
        <v>401010</v>
      </c>
      <c r="C746">
        <v>8210000</v>
      </c>
      <c r="D746">
        <v>8210000</v>
      </c>
    </row>
    <row r="747" spans="1:4" x14ac:dyDescent="0.4">
      <c r="A747" s="3">
        <v>8210001</v>
      </c>
      <c r="B747">
        <v>401010</v>
      </c>
      <c r="C747">
        <v>8210000</v>
      </c>
      <c r="D747">
        <v>8210001</v>
      </c>
    </row>
    <row r="748" spans="1:4" x14ac:dyDescent="0.4">
      <c r="A748" s="3">
        <v>8210002</v>
      </c>
      <c r="B748">
        <v>401010</v>
      </c>
      <c r="C748">
        <v>8210000</v>
      </c>
      <c r="D748">
        <v>8210002</v>
      </c>
    </row>
    <row r="749" spans="1:4" x14ac:dyDescent="0.4">
      <c r="A749" s="3">
        <v>8210100</v>
      </c>
      <c r="B749">
        <v>401010</v>
      </c>
      <c r="C749">
        <v>8210100</v>
      </c>
      <c r="D749">
        <v>8210100</v>
      </c>
    </row>
    <row r="750" spans="1:4" x14ac:dyDescent="0.4">
      <c r="A750" s="3">
        <v>8210101</v>
      </c>
      <c r="B750">
        <v>401010</v>
      </c>
      <c r="C750">
        <v>8210100</v>
      </c>
      <c r="D750">
        <v>8210101</v>
      </c>
    </row>
    <row r="751" spans="1:4" x14ac:dyDescent="0.4">
      <c r="A751" s="3">
        <v>8210102</v>
      </c>
      <c r="B751">
        <v>401010</v>
      </c>
      <c r="C751">
        <v>8210100</v>
      </c>
      <c r="D751">
        <v>8210102</v>
      </c>
    </row>
    <row r="752" spans="1:4" x14ac:dyDescent="0.4">
      <c r="A752" s="3">
        <v>8210200</v>
      </c>
      <c r="B752">
        <v>401010</v>
      </c>
      <c r="C752">
        <v>8210200</v>
      </c>
      <c r="D752">
        <v>8210200</v>
      </c>
    </row>
    <row r="753" spans="1:4" x14ac:dyDescent="0.4">
      <c r="A753" s="3">
        <v>8210201</v>
      </c>
      <c r="B753">
        <v>401010</v>
      </c>
      <c r="C753">
        <v>8210200</v>
      </c>
      <c r="D753">
        <v>8210201</v>
      </c>
    </row>
    <row r="754" spans="1:4" x14ac:dyDescent="0.4">
      <c r="A754" s="3">
        <v>8210202</v>
      </c>
      <c r="B754">
        <v>401010</v>
      </c>
      <c r="C754">
        <v>8210200</v>
      </c>
      <c r="D754">
        <v>8210202</v>
      </c>
    </row>
    <row r="755" spans="1:4" x14ac:dyDescent="0.4">
      <c r="A755" s="3">
        <v>8210300</v>
      </c>
      <c r="B755">
        <v>401010</v>
      </c>
      <c r="C755">
        <v>8210300</v>
      </c>
      <c r="D755">
        <v>8210300</v>
      </c>
    </row>
    <row r="756" spans="1:4" x14ac:dyDescent="0.4">
      <c r="A756" s="3">
        <v>8210301</v>
      </c>
      <c r="B756">
        <v>401010</v>
      </c>
      <c r="C756">
        <v>8210300</v>
      </c>
      <c r="D756">
        <v>8210301</v>
      </c>
    </row>
    <row r="757" spans="1:4" x14ac:dyDescent="0.4">
      <c r="A757" s="3">
        <v>8210302</v>
      </c>
      <c r="B757">
        <v>401010</v>
      </c>
      <c r="C757">
        <v>8210300</v>
      </c>
      <c r="D757">
        <v>8210302</v>
      </c>
    </row>
    <row r="758" spans="1:4" x14ac:dyDescent="0.4">
      <c r="A758" s="3">
        <v>8210400</v>
      </c>
      <c r="B758">
        <v>401010</v>
      </c>
      <c r="C758">
        <v>8210400</v>
      </c>
      <c r="D758">
        <v>8210400</v>
      </c>
    </row>
    <row r="759" spans="1:4" x14ac:dyDescent="0.4">
      <c r="A759" s="3">
        <v>8210401</v>
      </c>
      <c r="B759">
        <v>401010</v>
      </c>
      <c r="C759">
        <v>8210400</v>
      </c>
      <c r="D759">
        <v>8210401</v>
      </c>
    </row>
    <row r="760" spans="1:4" x14ac:dyDescent="0.4">
      <c r="A760" s="3">
        <v>8210402</v>
      </c>
      <c r="B760">
        <v>401010</v>
      </c>
      <c r="C760">
        <v>8210400</v>
      </c>
      <c r="D760">
        <v>8210402</v>
      </c>
    </row>
    <row r="761" spans="1:4" x14ac:dyDescent="0.4">
      <c r="A761" s="3">
        <v>8210500</v>
      </c>
      <c r="B761">
        <v>401010</v>
      </c>
      <c r="C761">
        <v>8210500</v>
      </c>
      <c r="D761">
        <v>8210500</v>
      </c>
    </row>
    <row r="762" spans="1:4" x14ac:dyDescent="0.4">
      <c r="A762" s="3">
        <v>8210501</v>
      </c>
      <c r="B762">
        <v>401010</v>
      </c>
      <c r="C762">
        <v>8210500</v>
      </c>
      <c r="D762">
        <v>8210501</v>
      </c>
    </row>
    <row r="763" spans="1:4" x14ac:dyDescent="0.4">
      <c r="A763" s="3">
        <v>8210502</v>
      </c>
      <c r="B763">
        <v>401010</v>
      </c>
      <c r="C763">
        <v>8210500</v>
      </c>
      <c r="D763">
        <v>8210502</v>
      </c>
    </row>
    <row r="764" spans="1:4" x14ac:dyDescent="0.4">
      <c r="A764" s="3">
        <v>8210600</v>
      </c>
      <c r="B764">
        <v>401010</v>
      </c>
      <c r="C764">
        <v>8210600</v>
      </c>
      <c r="D764">
        <v>8210600</v>
      </c>
    </row>
    <row r="765" spans="1:4" x14ac:dyDescent="0.4">
      <c r="A765" s="3">
        <v>8210601</v>
      </c>
      <c r="B765">
        <v>401010</v>
      </c>
      <c r="C765">
        <v>8210600</v>
      </c>
      <c r="D765">
        <v>8210601</v>
      </c>
    </row>
    <row r="766" spans="1:4" x14ac:dyDescent="0.4">
      <c r="A766" s="3">
        <v>8210602</v>
      </c>
      <c r="B766">
        <v>401010</v>
      </c>
      <c r="C766">
        <v>8210600</v>
      </c>
      <c r="D766">
        <v>8210602</v>
      </c>
    </row>
    <row r="767" spans="1:4" x14ac:dyDescent="0.4">
      <c r="A767" s="3">
        <v>8210700</v>
      </c>
      <c r="B767">
        <v>400050</v>
      </c>
      <c r="C767">
        <v>8210700</v>
      </c>
      <c r="D767">
        <v>2200</v>
      </c>
    </row>
    <row r="768" spans="1:4" x14ac:dyDescent="0.4">
      <c r="A768" s="3">
        <v>8210701</v>
      </c>
      <c r="B768">
        <v>400050</v>
      </c>
      <c r="C768">
        <v>8210700</v>
      </c>
      <c r="D768">
        <v>2210</v>
      </c>
    </row>
    <row r="769" spans="1:4" x14ac:dyDescent="0.4">
      <c r="A769" s="3">
        <v>8220000</v>
      </c>
      <c r="B769">
        <v>-1</v>
      </c>
      <c r="C769">
        <v>8220000</v>
      </c>
      <c r="D769">
        <v>8220000</v>
      </c>
    </row>
    <row r="770" spans="1:4" x14ac:dyDescent="0.4">
      <c r="A770" s="3">
        <v>8220001</v>
      </c>
      <c r="B770">
        <v>-1</v>
      </c>
      <c r="C770">
        <v>8220000</v>
      </c>
      <c r="D770">
        <v>8220001</v>
      </c>
    </row>
    <row r="771" spans="1:4" x14ac:dyDescent="0.4">
      <c r="A771" s="3">
        <v>8220002</v>
      </c>
      <c r="B771">
        <v>-1</v>
      </c>
      <c r="C771">
        <v>8220000</v>
      </c>
      <c r="D771">
        <v>8220002</v>
      </c>
    </row>
    <row r="772" spans="1:4" x14ac:dyDescent="0.4">
      <c r="A772" s="3">
        <v>8230000</v>
      </c>
      <c r="B772">
        <v>-1</v>
      </c>
      <c r="C772">
        <v>8230000</v>
      </c>
      <c r="D772">
        <v>2220</v>
      </c>
    </row>
    <row r="773" spans="1:4" x14ac:dyDescent="0.4">
      <c r="A773" s="3">
        <v>8230001</v>
      </c>
      <c r="B773">
        <v>-1</v>
      </c>
      <c r="C773">
        <v>8230000</v>
      </c>
      <c r="D773">
        <v>2230</v>
      </c>
    </row>
    <row r="774" spans="1:4" x14ac:dyDescent="0.4">
      <c r="A774" s="3">
        <v>8300000</v>
      </c>
      <c r="B774">
        <v>401020</v>
      </c>
      <c r="C774">
        <v>8300000</v>
      </c>
      <c r="D774">
        <v>8300000</v>
      </c>
    </row>
    <row r="775" spans="1:4" x14ac:dyDescent="0.4">
      <c r="A775" s="3">
        <v>8300001</v>
      </c>
      <c r="B775">
        <v>401020</v>
      </c>
      <c r="C775">
        <v>8300000</v>
      </c>
      <c r="D775">
        <v>8300001</v>
      </c>
    </row>
    <row r="776" spans="1:4" x14ac:dyDescent="0.4">
      <c r="A776" s="3">
        <v>8300002</v>
      </c>
      <c r="B776">
        <v>401020</v>
      </c>
      <c r="C776">
        <v>8300000</v>
      </c>
      <c r="D776">
        <v>8300002</v>
      </c>
    </row>
    <row r="777" spans="1:4" x14ac:dyDescent="0.4">
      <c r="A777" s="3">
        <v>8310000</v>
      </c>
      <c r="B777">
        <v>401020</v>
      </c>
      <c r="C777">
        <v>8310000</v>
      </c>
      <c r="D777">
        <v>8310000</v>
      </c>
    </row>
    <row r="778" spans="1:4" x14ac:dyDescent="0.4">
      <c r="A778" s="3">
        <v>8310001</v>
      </c>
      <c r="B778">
        <v>401020</v>
      </c>
      <c r="C778">
        <v>8310000</v>
      </c>
      <c r="D778">
        <v>8310001</v>
      </c>
    </row>
    <row r="779" spans="1:4" x14ac:dyDescent="0.4">
      <c r="A779" s="3">
        <v>8310002</v>
      </c>
      <c r="B779">
        <v>401020</v>
      </c>
      <c r="C779">
        <v>8310000</v>
      </c>
      <c r="D779">
        <v>8310002</v>
      </c>
    </row>
    <row r="780" spans="1:4" x14ac:dyDescent="0.4">
      <c r="A780" s="3">
        <v>8320000</v>
      </c>
      <c r="B780">
        <v>401020</v>
      </c>
      <c r="C780">
        <v>8320000</v>
      </c>
      <c r="D780">
        <v>8320000</v>
      </c>
    </row>
    <row r="781" spans="1:4" x14ac:dyDescent="0.4">
      <c r="A781" s="3">
        <v>8320001</v>
      </c>
      <c r="B781">
        <v>401020</v>
      </c>
      <c r="C781">
        <v>8320000</v>
      </c>
      <c r="D781">
        <v>8320001</v>
      </c>
    </row>
    <row r="782" spans="1:4" x14ac:dyDescent="0.4">
      <c r="A782" s="3">
        <v>8320002</v>
      </c>
      <c r="B782">
        <v>401020</v>
      </c>
      <c r="C782">
        <v>8320000</v>
      </c>
      <c r="D782">
        <v>8320002</v>
      </c>
    </row>
    <row r="783" spans="1:4" x14ac:dyDescent="0.4">
      <c r="A783" s="3">
        <v>8320100</v>
      </c>
      <c r="B783">
        <v>401020</v>
      </c>
      <c r="C783">
        <v>8320100</v>
      </c>
      <c r="D783">
        <v>8320100</v>
      </c>
    </row>
    <row r="784" spans="1:4" x14ac:dyDescent="0.4">
      <c r="A784" s="3">
        <v>8320101</v>
      </c>
      <c r="B784">
        <v>401020</v>
      </c>
      <c r="C784">
        <v>8320100</v>
      </c>
      <c r="D784">
        <v>8320101</v>
      </c>
    </row>
    <row r="785" spans="1:4" x14ac:dyDescent="0.4">
      <c r="A785" s="3">
        <v>8320102</v>
      </c>
      <c r="B785">
        <v>401020</v>
      </c>
      <c r="C785">
        <v>8320100</v>
      </c>
      <c r="D785">
        <v>8320102</v>
      </c>
    </row>
    <row r="786" spans="1:4" x14ac:dyDescent="0.4">
      <c r="A786" s="3">
        <v>8320300</v>
      </c>
      <c r="B786">
        <v>401020</v>
      </c>
      <c r="C786">
        <v>8320300</v>
      </c>
      <c r="D786">
        <v>8320300</v>
      </c>
    </row>
    <row r="787" spans="1:4" x14ac:dyDescent="0.4">
      <c r="A787" s="3">
        <v>8320301</v>
      </c>
      <c r="B787">
        <v>401020</v>
      </c>
      <c r="C787">
        <v>8320300</v>
      </c>
      <c r="D787">
        <v>8320301</v>
      </c>
    </row>
    <row r="788" spans="1:4" x14ac:dyDescent="0.4">
      <c r="A788" s="3">
        <v>8320302</v>
      </c>
      <c r="B788">
        <v>401020</v>
      </c>
      <c r="C788">
        <v>8320300</v>
      </c>
      <c r="D788">
        <v>8320302</v>
      </c>
    </row>
    <row r="789" spans="1:4" x14ac:dyDescent="0.4">
      <c r="A789" s="3">
        <v>8320400</v>
      </c>
      <c r="B789">
        <v>401020</v>
      </c>
      <c r="C789">
        <v>8320400</v>
      </c>
      <c r="D789">
        <v>8320400</v>
      </c>
    </row>
    <row r="790" spans="1:4" x14ac:dyDescent="0.4">
      <c r="A790" s="3">
        <v>8320410</v>
      </c>
      <c r="B790">
        <v>401020</v>
      </c>
      <c r="C790">
        <v>8320400</v>
      </c>
      <c r="D790">
        <v>8320410</v>
      </c>
    </row>
    <row r="791" spans="1:4" x14ac:dyDescent="0.4">
      <c r="A791" s="3">
        <v>8320420</v>
      </c>
      <c r="B791">
        <v>401020</v>
      </c>
      <c r="C791">
        <v>8320400</v>
      </c>
      <c r="D791">
        <v>8320420</v>
      </c>
    </row>
    <row r="792" spans="1:4" x14ac:dyDescent="0.4">
      <c r="A792" s="3">
        <v>8320500</v>
      </c>
      <c r="B792">
        <v>401020</v>
      </c>
      <c r="C792">
        <v>8320500</v>
      </c>
      <c r="D792">
        <v>8320500</v>
      </c>
    </row>
    <row r="793" spans="1:4" x14ac:dyDescent="0.4">
      <c r="A793" s="3">
        <v>8320510</v>
      </c>
      <c r="B793">
        <v>401020</v>
      </c>
      <c r="C793">
        <v>8320500</v>
      </c>
      <c r="D793">
        <v>8320510</v>
      </c>
    </row>
    <row r="794" spans="1:4" x14ac:dyDescent="0.4">
      <c r="A794" s="3">
        <v>8320520</v>
      </c>
      <c r="B794">
        <v>401020</v>
      </c>
      <c r="C794">
        <v>8320500</v>
      </c>
      <c r="D794">
        <v>8320520</v>
      </c>
    </row>
    <row r="795" spans="1:4" x14ac:dyDescent="0.4">
      <c r="A795" s="3">
        <v>8320600</v>
      </c>
      <c r="B795">
        <v>401020</v>
      </c>
      <c r="C795">
        <v>8320600</v>
      </c>
      <c r="D795">
        <v>8320600</v>
      </c>
    </row>
    <row r="796" spans="1:4" x14ac:dyDescent="0.4">
      <c r="A796" s="3">
        <v>8320610</v>
      </c>
      <c r="B796">
        <v>401020</v>
      </c>
      <c r="C796">
        <v>8320600</v>
      </c>
      <c r="D796">
        <v>8320610</v>
      </c>
    </row>
    <row r="797" spans="1:4" x14ac:dyDescent="0.4">
      <c r="A797" s="3">
        <v>8320620</v>
      </c>
      <c r="B797">
        <v>401020</v>
      </c>
      <c r="C797">
        <v>8320600</v>
      </c>
      <c r="D797">
        <v>8320620</v>
      </c>
    </row>
    <row r="798" spans="1:4" x14ac:dyDescent="0.4">
      <c r="A798" s="3">
        <v>8320700</v>
      </c>
      <c r="B798">
        <v>401020</v>
      </c>
      <c r="C798">
        <v>8320700</v>
      </c>
      <c r="D798">
        <v>8320700</v>
      </c>
    </row>
    <row r="799" spans="1:4" x14ac:dyDescent="0.4">
      <c r="A799" s="3">
        <v>8320710</v>
      </c>
      <c r="B799">
        <v>401020</v>
      </c>
      <c r="C799">
        <v>8320700</v>
      </c>
      <c r="D799">
        <v>8320710</v>
      </c>
    </row>
    <row r="800" spans="1:4" x14ac:dyDescent="0.4">
      <c r="A800" s="3">
        <v>8320720</v>
      </c>
      <c r="B800">
        <v>401020</v>
      </c>
      <c r="C800">
        <v>8320700</v>
      </c>
      <c r="D800">
        <v>8320720</v>
      </c>
    </row>
    <row r="801" spans="1:4" x14ac:dyDescent="0.4">
      <c r="A801" s="3">
        <v>8330000</v>
      </c>
      <c r="B801">
        <v>401020</v>
      </c>
      <c r="C801">
        <v>8330000</v>
      </c>
      <c r="D801">
        <v>8330000</v>
      </c>
    </row>
    <row r="802" spans="1:4" x14ac:dyDescent="0.4">
      <c r="A802" s="3">
        <v>8330001</v>
      </c>
      <c r="B802">
        <v>401020</v>
      </c>
      <c r="C802">
        <v>8330000</v>
      </c>
      <c r="D802">
        <v>8330001</v>
      </c>
    </row>
    <row r="803" spans="1:4" x14ac:dyDescent="0.4">
      <c r="A803" s="3">
        <v>8330002</v>
      </c>
      <c r="B803">
        <v>401020</v>
      </c>
      <c r="C803">
        <v>8330000</v>
      </c>
      <c r="D803">
        <v>8330002</v>
      </c>
    </row>
    <row r="804" spans="1:4" x14ac:dyDescent="0.4">
      <c r="A804" s="3">
        <v>8330100</v>
      </c>
      <c r="B804">
        <v>401020</v>
      </c>
      <c r="C804">
        <v>8330100</v>
      </c>
      <c r="D804">
        <v>8330100</v>
      </c>
    </row>
    <row r="805" spans="1:4" x14ac:dyDescent="0.4">
      <c r="A805" s="3">
        <v>8330101</v>
      </c>
      <c r="B805">
        <v>401020</v>
      </c>
      <c r="C805">
        <v>8330100</v>
      </c>
      <c r="D805">
        <v>8330101</v>
      </c>
    </row>
    <row r="806" spans="1:4" x14ac:dyDescent="0.4">
      <c r="A806" s="3">
        <v>8330102</v>
      </c>
      <c r="B806">
        <v>401020</v>
      </c>
      <c r="C806">
        <v>8330100</v>
      </c>
      <c r="D806">
        <v>8330102</v>
      </c>
    </row>
    <row r="807" spans="1:4" x14ac:dyDescent="0.4">
      <c r="A807" s="3">
        <v>8330103</v>
      </c>
      <c r="B807">
        <v>401020</v>
      </c>
      <c r="C807">
        <v>8330103</v>
      </c>
      <c r="D807">
        <v>2240</v>
      </c>
    </row>
    <row r="808" spans="1:4" x14ac:dyDescent="0.4">
      <c r="A808" s="3">
        <v>8330104</v>
      </c>
      <c r="B808">
        <v>401020</v>
      </c>
      <c r="C808">
        <v>8330104</v>
      </c>
      <c r="D808">
        <v>2250</v>
      </c>
    </row>
    <row r="809" spans="1:4" x14ac:dyDescent="0.4">
      <c r="A809" s="3">
        <v>8330200</v>
      </c>
      <c r="B809">
        <v>401020</v>
      </c>
      <c r="C809">
        <v>8330200</v>
      </c>
      <c r="D809">
        <v>8330200</v>
      </c>
    </row>
    <row r="810" spans="1:4" x14ac:dyDescent="0.4">
      <c r="A810" s="3">
        <v>8330201</v>
      </c>
      <c r="B810">
        <v>401020</v>
      </c>
      <c r="C810">
        <v>8330200</v>
      </c>
      <c r="D810">
        <v>8330201</v>
      </c>
    </row>
    <row r="811" spans="1:4" x14ac:dyDescent="0.4">
      <c r="A811" s="3">
        <v>8330202</v>
      </c>
      <c r="B811">
        <v>401020</v>
      </c>
      <c r="C811">
        <v>8330200</v>
      </c>
      <c r="D811">
        <v>8330202</v>
      </c>
    </row>
    <row r="812" spans="1:4" x14ac:dyDescent="0.4">
      <c r="A812" s="3">
        <v>8330300</v>
      </c>
      <c r="B812">
        <v>401020</v>
      </c>
      <c r="C812">
        <v>8330300</v>
      </c>
      <c r="D812">
        <v>8330300</v>
      </c>
    </row>
    <row r="813" spans="1:4" x14ac:dyDescent="0.4">
      <c r="A813" s="3">
        <v>8330301</v>
      </c>
      <c r="B813">
        <v>401020</v>
      </c>
      <c r="C813">
        <v>8330300</v>
      </c>
      <c r="D813">
        <v>8330301</v>
      </c>
    </row>
    <row r="814" spans="1:4" x14ac:dyDescent="0.4">
      <c r="A814" s="3">
        <v>8330302</v>
      </c>
      <c r="B814">
        <v>401020</v>
      </c>
      <c r="C814">
        <v>8330300</v>
      </c>
      <c r="D814">
        <v>8330302</v>
      </c>
    </row>
    <row r="815" spans="1:4" x14ac:dyDescent="0.4">
      <c r="A815" s="3">
        <v>8330400</v>
      </c>
      <c r="B815">
        <v>401020</v>
      </c>
      <c r="C815">
        <v>8330400</v>
      </c>
      <c r="D815">
        <v>8330400</v>
      </c>
    </row>
    <row r="816" spans="1:4" x14ac:dyDescent="0.4">
      <c r="A816" s="3">
        <v>8330401</v>
      </c>
      <c r="B816">
        <v>401020</v>
      </c>
      <c r="C816">
        <v>8330400</v>
      </c>
      <c r="D816">
        <v>8330401</v>
      </c>
    </row>
    <row r="817" spans="1:4" x14ac:dyDescent="0.4">
      <c r="A817" s="3">
        <v>8330500</v>
      </c>
      <c r="B817">
        <v>401020</v>
      </c>
      <c r="C817">
        <v>8330500</v>
      </c>
      <c r="D817">
        <v>2260</v>
      </c>
    </row>
    <row r="818" spans="1:4" x14ac:dyDescent="0.4">
      <c r="A818" s="3">
        <v>8330600</v>
      </c>
      <c r="B818">
        <v>401020</v>
      </c>
      <c r="C818">
        <v>8330600</v>
      </c>
      <c r="D818">
        <v>8330600</v>
      </c>
    </row>
    <row r="819" spans="1:4" x14ac:dyDescent="0.4">
      <c r="A819" s="3">
        <v>8330601</v>
      </c>
      <c r="B819">
        <v>401020</v>
      </c>
      <c r="C819">
        <v>8330600</v>
      </c>
      <c r="D819">
        <v>8330601</v>
      </c>
    </row>
    <row r="820" spans="1:4" x14ac:dyDescent="0.4">
      <c r="A820" s="3">
        <v>8330602</v>
      </c>
      <c r="B820">
        <v>401020</v>
      </c>
      <c r="C820">
        <v>8330600</v>
      </c>
      <c r="D820">
        <v>8330602</v>
      </c>
    </row>
    <row r="821" spans="1:4" x14ac:dyDescent="0.4">
      <c r="A821" s="3">
        <v>8330700</v>
      </c>
      <c r="B821">
        <v>401020</v>
      </c>
      <c r="C821">
        <v>8330700</v>
      </c>
      <c r="D821">
        <v>2270</v>
      </c>
    </row>
    <row r="822" spans="1:4" x14ac:dyDescent="0.4">
      <c r="A822" s="3">
        <v>8330900</v>
      </c>
      <c r="B822">
        <v>401020</v>
      </c>
      <c r="C822">
        <v>8330900</v>
      </c>
      <c r="D822">
        <v>8330900</v>
      </c>
    </row>
    <row r="823" spans="1:4" x14ac:dyDescent="0.4">
      <c r="A823" s="3">
        <v>8330910</v>
      </c>
      <c r="B823">
        <v>401020</v>
      </c>
      <c r="C823">
        <v>8330900</v>
      </c>
      <c r="D823">
        <v>8330910</v>
      </c>
    </row>
    <row r="824" spans="1:4" x14ac:dyDescent="0.4">
      <c r="A824" s="3">
        <v>8330920</v>
      </c>
      <c r="B824">
        <v>401020</v>
      </c>
      <c r="C824">
        <v>8330900</v>
      </c>
      <c r="D824">
        <v>8330920</v>
      </c>
    </row>
    <row r="825" spans="1:4" x14ac:dyDescent="0.4">
      <c r="A825" s="3">
        <v>8340000</v>
      </c>
      <c r="B825">
        <v>401020</v>
      </c>
      <c r="C825">
        <v>8340000</v>
      </c>
      <c r="D825">
        <v>8340000</v>
      </c>
    </row>
    <row r="826" spans="1:4" x14ac:dyDescent="0.4">
      <c r="A826" s="3">
        <v>8340001</v>
      </c>
      <c r="B826">
        <v>401020</v>
      </c>
      <c r="C826">
        <v>8340000</v>
      </c>
      <c r="D826">
        <v>8340001</v>
      </c>
    </row>
    <row r="827" spans="1:4" x14ac:dyDescent="0.4">
      <c r="A827" s="3">
        <v>8340002</v>
      </c>
      <c r="B827">
        <v>401020</v>
      </c>
      <c r="C827">
        <v>8340000</v>
      </c>
      <c r="D827">
        <v>8340002</v>
      </c>
    </row>
    <row r="828" spans="1:4" x14ac:dyDescent="0.4">
      <c r="A828" s="3">
        <v>8340100</v>
      </c>
      <c r="B828">
        <v>401020</v>
      </c>
      <c r="C828">
        <v>8340100</v>
      </c>
      <c r="D828">
        <v>8340100</v>
      </c>
    </row>
    <row r="829" spans="1:4" x14ac:dyDescent="0.4">
      <c r="A829" s="3">
        <v>8340101</v>
      </c>
      <c r="B829">
        <v>401020</v>
      </c>
      <c r="C829">
        <v>8340100</v>
      </c>
      <c r="D829">
        <v>8340101</v>
      </c>
    </row>
    <row r="830" spans="1:4" x14ac:dyDescent="0.4">
      <c r="A830" s="3">
        <v>8340102</v>
      </c>
      <c r="B830">
        <v>401020</v>
      </c>
      <c r="C830">
        <v>8340100</v>
      </c>
      <c r="D830">
        <v>8340102</v>
      </c>
    </row>
    <row r="831" spans="1:4" x14ac:dyDescent="0.4">
      <c r="A831" s="3">
        <v>8350000</v>
      </c>
      <c r="B831">
        <v>401020</v>
      </c>
      <c r="C831">
        <v>8350000</v>
      </c>
      <c r="D831">
        <v>8350000</v>
      </c>
    </row>
    <row r="832" spans="1:4" x14ac:dyDescent="0.4">
      <c r="A832" s="3">
        <v>8350001</v>
      </c>
      <c r="B832">
        <v>401020</v>
      </c>
      <c r="C832">
        <v>8350000</v>
      </c>
      <c r="D832">
        <v>8350001</v>
      </c>
    </row>
    <row r="833" spans="1:4" x14ac:dyDescent="0.4">
      <c r="A833" s="3">
        <v>8350002</v>
      </c>
      <c r="B833">
        <v>401020</v>
      </c>
      <c r="C833">
        <v>8350000</v>
      </c>
      <c r="D833">
        <v>8350002</v>
      </c>
    </row>
    <row r="834" spans="1:4" x14ac:dyDescent="0.4">
      <c r="A834" s="3">
        <v>8350200</v>
      </c>
      <c r="B834">
        <v>401020</v>
      </c>
      <c r="C834">
        <v>8350200</v>
      </c>
      <c r="D834">
        <v>8350200</v>
      </c>
    </row>
    <row r="835" spans="1:4" x14ac:dyDescent="0.4">
      <c r="A835" s="3">
        <v>8350201</v>
      </c>
      <c r="B835">
        <v>401020</v>
      </c>
      <c r="C835">
        <v>8350200</v>
      </c>
      <c r="D835">
        <v>8350201</v>
      </c>
    </row>
    <row r="836" spans="1:4" x14ac:dyDescent="0.4">
      <c r="A836" s="3">
        <v>8350202</v>
      </c>
      <c r="B836">
        <v>401020</v>
      </c>
      <c r="C836">
        <v>8350200</v>
      </c>
      <c r="D836">
        <v>8350202</v>
      </c>
    </row>
    <row r="837" spans="1:4" x14ac:dyDescent="0.4">
      <c r="A837" s="3">
        <v>8350400</v>
      </c>
      <c r="B837">
        <v>401020</v>
      </c>
      <c r="C837">
        <v>8350400</v>
      </c>
      <c r="D837">
        <v>2280</v>
      </c>
    </row>
    <row r="838" spans="1:4" x14ac:dyDescent="0.4">
      <c r="A838" s="3">
        <v>8360000</v>
      </c>
      <c r="B838">
        <v>-1</v>
      </c>
      <c r="C838">
        <v>8360000</v>
      </c>
      <c r="D838">
        <v>2290</v>
      </c>
    </row>
    <row r="839" spans="1:4" x14ac:dyDescent="0.4">
      <c r="A839" s="3">
        <v>8370000</v>
      </c>
      <c r="B839">
        <v>-1</v>
      </c>
      <c r="C839">
        <v>8370000</v>
      </c>
      <c r="D839">
        <v>2300</v>
      </c>
    </row>
    <row r="840" spans="1:4" x14ac:dyDescent="0.4">
      <c r="A840" s="3">
        <v>8410000</v>
      </c>
      <c r="B840">
        <v>8410000</v>
      </c>
      <c r="C840">
        <v>8410000</v>
      </c>
      <c r="D840">
        <v>2310</v>
      </c>
    </row>
    <row r="841" spans="1:4" x14ac:dyDescent="0.4">
      <c r="A841" s="3">
        <v>8410100</v>
      </c>
      <c r="B841">
        <v>401030</v>
      </c>
      <c r="C841">
        <v>8410100</v>
      </c>
      <c r="D841">
        <v>2320</v>
      </c>
    </row>
    <row r="842" spans="1:4" x14ac:dyDescent="0.4">
      <c r="A842" s="3">
        <v>8420000</v>
      </c>
      <c r="B842">
        <v>401020</v>
      </c>
      <c r="C842">
        <v>8420000</v>
      </c>
      <c r="D842">
        <v>8420000</v>
      </c>
    </row>
    <row r="843" spans="1:4" x14ac:dyDescent="0.4">
      <c r="A843" s="3">
        <v>8420001</v>
      </c>
      <c r="B843">
        <v>401020</v>
      </c>
      <c r="C843">
        <v>8420000</v>
      </c>
      <c r="D843">
        <v>8420001</v>
      </c>
    </row>
    <row r="844" spans="1:4" x14ac:dyDescent="0.4">
      <c r="A844" s="3">
        <v>8420002</v>
      </c>
      <c r="B844">
        <v>401020</v>
      </c>
      <c r="C844">
        <v>8420000</v>
      </c>
      <c r="D844">
        <v>8420002</v>
      </c>
    </row>
    <row r="845" spans="1:4" x14ac:dyDescent="0.4">
      <c r="A845" s="3">
        <v>8420100</v>
      </c>
      <c r="B845">
        <v>401020</v>
      </c>
      <c r="C845">
        <v>8420100</v>
      </c>
      <c r="D845">
        <v>2330</v>
      </c>
    </row>
    <row r="846" spans="1:4" x14ac:dyDescent="0.4">
      <c r="A846" s="3">
        <v>8420200</v>
      </c>
      <c r="B846">
        <v>401020</v>
      </c>
      <c r="C846">
        <v>8420200</v>
      </c>
      <c r="D846">
        <v>2340</v>
      </c>
    </row>
    <row r="847" spans="1:4" x14ac:dyDescent="0.4">
      <c r="A847" s="3">
        <v>8430000</v>
      </c>
      <c r="B847">
        <v>401020</v>
      </c>
      <c r="C847">
        <v>8430000</v>
      </c>
      <c r="D847">
        <v>2350</v>
      </c>
    </row>
    <row r="848" spans="1:4" x14ac:dyDescent="0.4">
      <c r="A848" s="3">
        <v>8440000</v>
      </c>
      <c r="B848">
        <v>400060</v>
      </c>
      <c r="C848">
        <v>8440000</v>
      </c>
      <c r="D848">
        <v>2360</v>
      </c>
    </row>
    <row r="849" spans="1:4" x14ac:dyDescent="0.4">
      <c r="A849" s="3">
        <v>8440001</v>
      </c>
      <c r="B849">
        <v>400060</v>
      </c>
      <c r="C849">
        <v>8440000</v>
      </c>
      <c r="D849">
        <v>2370</v>
      </c>
    </row>
    <row r="850" spans="1:4" x14ac:dyDescent="0.4">
      <c r="A850" s="3">
        <v>8440200</v>
      </c>
      <c r="B850">
        <v>8440200</v>
      </c>
      <c r="C850">
        <v>8440200</v>
      </c>
      <c r="D850">
        <v>2380</v>
      </c>
    </row>
    <row r="851" spans="1:4" x14ac:dyDescent="0.4">
      <c r="A851" s="3">
        <v>8450000</v>
      </c>
      <c r="B851">
        <v>401030</v>
      </c>
      <c r="C851">
        <v>8450000</v>
      </c>
      <c r="D851">
        <v>8450000</v>
      </c>
    </row>
    <row r="852" spans="1:4" x14ac:dyDescent="0.4">
      <c r="A852" s="3">
        <v>8450100</v>
      </c>
      <c r="B852">
        <v>401030</v>
      </c>
      <c r="C852">
        <v>8450100</v>
      </c>
      <c r="D852">
        <v>2390</v>
      </c>
    </row>
    <row r="853" spans="1:4" x14ac:dyDescent="0.4">
      <c r="A853" s="3">
        <v>8460100</v>
      </c>
      <c r="B853">
        <v>401030</v>
      </c>
      <c r="C853">
        <v>8460100</v>
      </c>
      <c r="D853">
        <v>8460100</v>
      </c>
    </row>
    <row r="854" spans="1:4" x14ac:dyDescent="0.4">
      <c r="A854" s="3">
        <v>8460200</v>
      </c>
      <c r="B854">
        <v>401030</v>
      </c>
      <c r="C854">
        <v>8460200</v>
      </c>
      <c r="D854">
        <v>2400</v>
      </c>
    </row>
    <row r="855" spans="1:4" x14ac:dyDescent="0.4">
      <c r="A855" s="3">
        <v>8460300</v>
      </c>
      <c r="B855">
        <v>401030</v>
      </c>
      <c r="C855">
        <v>8460300</v>
      </c>
      <c r="D855">
        <v>8460300</v>
      </c>
    </row>
    <row r="856" spans="1:4" x14ac:dyDescent="0.4">
      <c r="A856" s="3">
        <v>8460400</v>
      </c>
      <c r="B856">
        <v>401030</v>
      </c>
      <c r="C856">
        <v>8460400</v>
      </c>
      <c r="D856">
        <v>2410</v>
      </c>
    </row>
    <row r="857" spans="1:4" x14ac:dyDescent="0.4">
      <c r="A857" s="3">
        <v>8460500</v>
      </c>
      <c r="B857">
        <v>401030</v>
      </c>
      <c r="C857">
        <v>8460500</v>
      </c>
      <c r="D857">
        <v>8460500</v>
      </c>
    </row>
    <row r="858" spans="1:4" x14ac:dyDescent="0.4">
      <c r="A858" s="3">
        <v>8500000</v>
      </c>
      <c r="B858">
        <v>-1</v>
      </c>
      <c r="C858">
        <v>8500000</v>
      </c>
      <c r="D858">
        <v>2420</v>
      </c>
    </row>
    <row r="859" spans="1:4" x14ac:dyDescent="0.4">
      <c r="A859" s="3">
        <v>8500100</v>
      </c>
      <c r="B859">
        <v>-1</v>
      </c>
      <c r="C859">
        <v>8500100</v>
      </c>
      <c r="D859">
        <v>2430</v>
      </c>
    </row>
    <row r="860" spans="1:4" x14ac:dyDescent="0.4">
      <c r="A860" s="3">
        <v>8500101</v>
      </c>
      <c r="B860">
        <v>-1</v>
      </c>
      <c r="C860">
        <v>8500101</v>
      </c>
      <c r="D860">
        <v>2440</v>
      </c>
    </row>
    <row r="861" spans="1:4" x14ac:dyDescent="0.4">
      <c r="A861" s="3">
        <v>8500102</v>
      </c>
      <c r="B861">
        <v>-1</v>
      </c>
      <c r="C861">
        <v>8500102</v>
      </c>
      <c r="D861">
        <v>2450</v>
      </c>
    </row>
    <row r="862" spans="1:4" x14ac:dyDescent="0.4">
      <c r="A862" s="3">
        <v>8510000</v>
      </c>
      <c r="B862">
        <v>-1</v>
      </c>
      <c r="C862">
        <v>8510000</v>
      </c>
      <c r="D862">
        <v>8510000</v>
      </c>
    </row>
    <row r="863" spans="1:4" x14ac:dyDescent="0.4">
      <c r="A863" s="3">
        <v>8510001</v>
      </c>
      <c r="B863">
        <v>-1</v>
      </c>
      <c r="C863">
        <v>8510000</v>
      </c>
      <c r="D863">
        <v>8510001</v>
      </c>
    </row>
    <row r="864" spans="1:4" x14ac:dyDescent="0.4">
      <c r="A864" s="3">
        <v>8510002</v>
      </c>
      <c r="B864">
        <v>-1</v>
      </c>
      <c r="C864">
        <v>8510000</v>
      </c>
      <c r="D864">
        <v>8510002</v>
      </c>
    </row>
    <row r="865" spans="1:4" x14ac:dyDescent="0.4">
      <c r="A865" s="3">
        <v>8520000</v>
      </c>
      <c r="B865">
        <v>-1</v>
      </c>
      <c r="C865">
        <v>8520000</v>
      </c>
      <c r="D865">
        <v>8520000</v>
      </c>
    </row>
    <row r="866" spans="1:4" x14ac:dyDescent="0.4">
      <c r="A866" s="3">
        <v>8520001</v>
      </c>
      <c r="B866">
        <v>-1</v>
      </c>
      <c r="C866">
        <v>8520000</v>
      </c>
      <c r="D866">
        <v>8520001</v>
      </c>
    </row>
    <row r="867" spans="1:4" x14ac:dyDescent="0.4">
      <c r="A867" s="3">
        <v>8520002</v>
      </c>
      <c r="B867">
        <v>-1</v>
      </c>
      <c r="C867">
        <v>8520000</v>
      </c>
      <c r="D867">
        <v>8520002</v>
      </c>
    </row>
    <row r="868" spans="1:4" x14ac:dyDescent="0.4">
      <c r="A868" s="3">
        <v>8530000</v>
      </c>
      <c r="B868">
        <v>401030</v>
      </c>
      <c r="C868">
        <v>8530000</v>
      </c>
      <c r="D868">
        <v>8530000</v>
      </c>
    </row>
    <row r="869" spans="1:4" x14ac:dyDescent="0.4">
      <c r="A869" s="3">
        <v>8530100</v>
      </c>
      <c r="B869">
        <v>401030</v>
      </c>
      <c r="C869">
        <v>8530100</v>
      </c>
      <c r="D869">
        <v>8530100</v>
      </c>
    </row>
    <row r="870" spans="1:4" x14ac:dyDescent="0.4">
      <c r="A870" s="3">
        <v>8530200</v>
      </c>
      <c r="B870">
        <v>401030</v>
      </c>
      <c r="C870">
        <v>8530200</v>
      </c>
      <c r="D870">
        <v>2460</v>
      </c>
    </row>
    <row r="871" spans="1:4" x14ac:dyDescent="0.4">
      <c r="A871" s="3">
        <v>8540000</v>
      </c>
      <c r="B871">
        <v>401050</v>
      </c>
      <c r="C871">
        <v>8540000</v>
      </c>
      <c r="D871">
        <v>8540000</v>
      </c>
    </row>
    <row r="872" spans="1:4" x14ac:dyDescent="0.4">
      <c r="A872" s="3">
        <v>8600100</v>
      </c>
      <c r="B872">
        <v>-1</v>
      </c>
      <c r="C872">
        <v>8600100</v>
      </c>
      <c r="D872">
        <v>8600100</v>
      </c>
    </row>
    <row r="873" spans="1:4" x14ac:dyDescent="0.4">
      <c r="A873" s="3">
        <v>8600101</v>
      </c>
      <c r="B873">
        <v>-1</v>
      </c>
      <c r="C873">
        <v>8600100</v>
      </c>
      <c r="D873">
        <v>8600101</v>
      </c>
    </row>
    <row r="874" spans="1:4" x14ac:dyDescent="0.4">
      <c r="A874" s="3">
        <v>8600102</v>
      </c>
      <c r="B874">
        <v>-1</v>
      </c>
      <c r="C874">
        <v>8600100</v>
      </c>
      <c r="D874">
        <v>8600102</v>
      </c>
    </row>
    <row r="875" spans="1:4" x14ac:dyDescent="0.4">
      <c r="A875" s="3">
        <v>8600200</v>
      </c>
      <c r="B875">
        <v>-1</v>
      </c>
      <c r="C875">
        <v>8600200</v>
      </c>
      <c r="D875">
        <v>8600200</v>
      </c>
    </row>
    <row r="876" spans="1:4" x14ac:dyDescent="0.4">
      <c r="A876" s="3">
        <v>8600201</v>
      </c>
      <c r="B876">
        <v>-1</v>
      </c>
      <c r="C876">
        <v>8600200</v>
      </c>
      <c r="D876">
        <v>8600201</v>
      </c>
    </row>
    <row r="877" spans="1:4" x14ac:dyDescent="0.4">
      <c r="A877" s="3">
        <v>8600202</v>
      </c>
      <c r="B877">
        <v>-1</v>
      </c>
      <c r="C877">
        <v>8600200</v>
      </c>
      <c r="D877">
        <v>8600202</v>
      </c>
    </row>
    <row r="878" spans="1:4" x14ac:dyDescent="0.4">
      <c r="A878" s="3">
        <v>8600300</v>
      </c>
      <c r="B878">
        <v>8600300</v>
      </c>
      <c r="C878">
        <v>8600300</v>
      </c>
      <c r="D878">
        <v>2470</v>
      </c>
    </row>
    <row r="879" spans="1:4" x14ac:dyDescent="0.4">
      <c r="A879" s="3">
        <v>8610000</v>
      </c>
      <c r="B879">
        <v>-1</v>
      </c>
      <c r="C879">
        <v>8610000</v>
      </c>
      <c r="D879">
        <v>2480</v>
      </c>
    </row>
    <row r="880" spans="1:4" x14ac:dyDescent="0.4">
      <c r="A880" s="3">
        <v>8610100</v>
      </c>
      <c r="B880">
        <v>-1</v>
      </c>
      <c r="C880">
        <v>8610100</v>
      </c>
      <c r="D880">
        <v>2490</v>
      </c>
    </row>
    <row r="881" spans="1:4" x14ac:dyDescent="0.4">
      <c r="A881" s="3">
        <v>8610300</v>
      </c>
      <c r="B881">
        <v>401020</v>
      </c>
      <c r="C881">
        <v>8610300</v>
      </c>
      <c r="D881">
        <v>8610300</v>
      </c>
    </row>
    <row r="882" spans="1:4" x14ac:dyDescent="0.4">
      <c r="A882" s="3">
        <v>8610400</v>
      </c>
      <c r="B882">
        <v>401020</v>
      </c>
      <c r="C882">
        <v>8610400</v>
      </c>
      <c r="D882">
        <v>8610400</v>
      </c>
    </row>
    <row r="883" spans="1:4" x14ac:dyDescent="0.4">
      <c r="A883" s="3">
        <v>8610500</v>
      </c>
      <c r="B883">
        <v>401020</v>
      </c>
      <c r="C883">
        <v>8610500</v>
      </c>
      <c r="D883">
        <v>8610500</v>
      </c>
    </row>
    <row r="884" spans="1:4" x14ac:dyDescent="0.4">
      <c r="A884" s="3">
        <v>8610600</v>
      </c>
      <c r="B884">
        <v>401020</v>
      </c>
      <c r="C884">
        <v>8610600</v>
      </c>
      <c r="D884">
        <v>8610600</v>
      </c>
    </row>
    <row r="885" spans="1:4" x14ac:dyDescent="0.4">
      <c r="A885" s="3">
        <v>8610700</v>
      </c>
      <c r="B885">
        <v>8610700</v>
      </c>
      <c r="C885">
        <v>8610700</v>
      </c>
      <c r="D885">
        <v>8610700</v>
      </c>
    </row>
    <row r="886" spans="1:4" x14ac:dyDescent="0.4">
      <c r="A886" s="3">
        <v>8610710</v>
      </c>
      <c r="B886">
        <v>8610700</v>
      </c>
      <c r="C886">
        <v>8610700</v>
      </c>
      <c r="D886">
        <v>8610710</v>
      </c>
    </row>
    <row r="887" spans="1:4" x14ac:dyDescent="0.4">
      <c r="A887" s="3">
        <v>8610720</v>
      </c>
      <c r="B887">
        <v>8610700</v>
      </c>
      <c r="C887">
        <v>8610700</v>
      </c>
      <c r="D887">
        <v>8610720</v>
      </c>
    </row>
    <row r="888" spans="1:4" x14ac:dyDescent="0.4">
      <c r="A888" s="3">
        <v>8620000</v>
      </c>
      <c r="B888">
        <v>8620000</v>
      </c>
      <c r="C888">
        <v>8620000</v>
      </c>
      <c r="D888">
        <v>8620000</v>
      </c>
    </row>
    <row r="889" spans="1:4" x14ac:dyDescent="0.4">
      <c r="A889" s="3">
        <v>8620010</v>
      </c>
      <c r="B889">
        <v>8620000</v>
      </c>
      <c r="C889">
        <v>8620000</v>
      </c>
      <c r="D889">
        <v>8620010</v>
      </c>
    </row>
    <row r="890" spans="1:4" x14ac:dyDescent="0.4">
      <c r="A890" s="3">
        <v>8620020</v>
      </c>
      <c r="B890">
        <v>8620000</v>
      </c>
      <c r="C890">
        <v>8620000</v>
      </c>
      <c r="D890">
        <v>8620020</v>
      </c>
    </row>
    <row r="891" spans="1:4" x14ac:dyDescent="0.4">
      <c r="A891" s="3">
        <v>8620100</v>
      </c>
      <c r="B891">
        <v>8620100</v>
      </c>
      <c r="C891">
        <v>8620100</v>
      </c>
      <c r="D891">
        <v>8620100</v>
      </c>
    </row>
    <row r="892" spans="1:4" x14ac:dyDescent="0.4">
      <c r="A892" s="3">
        <v>8620110</v>
      </c>
      <c r="B892">
        <v>8620100</v>
      </c>
      <c r="C892">
        <v>8620100</v>
      </c>
      <c r="D892">
        <v>8620110</v>
      </c>
    </row>
    <row r="893" spans="1:4" x14ac:dyDescent="0.4">
      <c r="A893" s="3">
        <v>8620120</v>
      </c>
      <c r="B893">
        <v>8620100</v>
      </c>
      <c r="C893">
        <v>8620100</v>
      </c>
      <c r="D893">
        <v>8620120</v>
      </c>
    </row>
    <row r="894" spans="1:4" x14ac:dyDescent="0.4">
      <c r="A894" s="3">
        <v>8630000</v>
      </c>
      <c r="B894">
        <v>-1</v>
      </c>
      <c r="C894">
        <v>8630000</v>
      </c>
      <c r="D894">
        <v>8630000</v>
      </c>
    </row>
    <row r="895" spans="1:4" x14ac:dyDescent="0.4">
      <c r="A895" s="3">
        <v>8630010</v>
      </c>
      <c r="B895">
        <v>-1</v>
      </c>
      <c r="C895">
        <v>8630000</v>
      </c>
      <c r="D895">
        <v>8630010</v>
      </c>
    </row>
    <row r="896" spans="1:4" x14ac:dyDescent="0.4">
      <c r="A896" s="3">
        <v>8630020</v>
      </c>
      <c r="B896">
        <v>-1</v>
      </c>
      <c r="C896">
        <v>8630000</v>
      </c>
      <c r="D896">
        <v>8630020</v>
      </c>
    </row>
    <row r="897" spans="1:4" x14ac:dyDescent="0.4">
      <c r="A897" s="3">
        <v>8630100</v>
      </c>
      <c r="B897">
        <v>-1</v>
      </c>
      <c r="C897">
        <v>8630100</v>
      </c>
      <c r="D897">
        <v>8630100</v>
      </c>
    </row>
    <row r="898" spans="1:4" x14ac:dyDescent="0.4">
      <c r="A898" s="3">
        <v>8630110</v>
      </c>
      <c r="B898">
        <v>-1</v>
      </c>
      <c r="C898">
        <v>8630100</v>
      </c>
      <c r="D898">
        <v>8630110</v>
      </c>
    </row>
    <row r="899" spans="1:4" x14ac:dyDescent="0.4">
      <c r="A899" s="3">
        <v>8630120</v>
      </c>
      <c r="B899">
        <v>-1</v>
      </c>
      <c r="C899">
        <v>8630100</v>
      </c>
      <c r="D899">
        <v>8630120</v>
      </c>
    </row>
    <row r="900" spans="1:4" x14ac:dyDescent="0.4">
      <c r="A900" s="3">
        <v>8630200</v>
      </c>
      <c r="B900">
        <v>8630200</v>
      </c>
      <c r="C900">
        <v>8630200</v>
      </c>
      <c r="D900">
        <v>8630200</v>
      </c>
    </row>
    <row r="901" spans="1:4" x14ac:dyDescent="0.4">
      <c r="A901" s="3">
        <v>8630300</v>
      </c>
      <c r="B901">
        <v>8630200</v>
      </c>
      <c r="C901">
        <v>8630300</v>
      </c>
      <c r="D901">
        <v>8630300</v>
      </c>
    </row>
    <row r="902" spans="1:4" x14ac:dyDescent="0.4">
      <c r="A902" s="3">
        <v>8630400</v>
      </c>
      <c r="B902">
        <v>8630200</v>
      </c>
      <c r="C902">
        <v>8630400</v>
      </c>
      <c r="D902">
        <v>8630400</v>
      </c>
    </row>
    <row r="903" spans="1:4" x14ac:dyDescent="0.4">
      <c r="A903" s="3">
        <v>8630500</v>
      </c>
      <c r="B903">
        <v>8630200</v>
      </c>
      <c r="C903">
        <v>8630500</v>
      </c>
      <c r="D903">
        <v>8630500</v>
      </c>
    </row>
    <row r="904" spans="1:4" x14ac:dyDescent="0.4">
      <c r="A904" s="3">
        <v>8630600</v>
      </c>
      <c r="B904">
        <v>8630200</v>
      </c>
      <c r="C904">
        <v>8630600</v>
      </c>
      <c r="D904">
        <v>8630600</v>
      </c>
    </row>
    <row r="905" spans="1:4" x14ac:dyDescent="0.4">
      <c r="A905" s="3">
        <v>8630700</v>
      </c>
      <c r="B905">
        <v>8630200</v>
      </c>
      <c r="C905">
        <v>8630700</v>
      </c>
      <c r="D905">
        <v>8630700</v>
      </c>
    </row>
    <row r="906" spans="1:4" x14ac:dyDescent="0.4">
      <c r="A906" s="3">
        <v>8630800</v>
      </c>
      <c r="B906">
        <v>8630200</v>
      </c>
      <c r="C906">
        <v>8630800</v>
      </c>
      <c r="D906">
        <v>8630800</v>
      </c>
    </row>
    <row r="907" spans="1:4" x14ac:dyDescent="0.4">
      <c r="A907" s="3">
        <v>8640000</v>
      </c>
      <c r="B907">
        <v>-1</v>
      </c>
      <c r="C907">
        <v>8640000</v>
      </c>
      <c r="D907">
        <v>2500</v>
      </c>
    </row>
    <row r="908" spans="1:4" x14ac:dyDescent="0.4">
      <c r="A908" s="3">
        <v>8640100</v>
      </c>
      <c r="B908">
        <v>-1</v>
      </c>
      <c r="C908">
        <v>8640100</v>
      </c>
      <c r="D908">
        <v>2510</v>
      </c>
    </row>
    <row r="909" spans="1:4" x14ac:dyDescent="0.4">
      <c r="A909" s="3">
        <v>8642000</v>
      </c>
      <c r="B909">
        <v>-1</v>
      </c>
      <c r="C909">
        <v>8640200</v>
      </c>
      <c r="D909">
        <v>2520</v>
      </c>
    </row>
    <row r="910" spans="1:4" x14ac:dyDescent="0.4">
      <c r="A910" s="3">
        <v>8650000</v>
      </c>
      <c r="B910">
        <v>-1</v>
      </c>
      <c r="C910">
        <v>8650000</v>
      </c>
      <c r="D910">
        <v>2530</v>
      </c>
    </row>
    <row r="911" spans="1:4" x14ac:dyDescent="0.4">
      <c r="A911" s="3">
        <v>8650100</v>
      </c>
      <c r="B911">
        <v>-1</v>
      </c>
      <c r="C911">
        <v>8650100</v>
      </c>
      <c r="D911">
        <v>2540</v>
      </c>
    </row>
    <row r="912" spans="1:4" x14ac:dyDescent="0.4">
      <c r="A912" s="3">
        <v>8652000</v>
      </c>
      <c r="B912">
        <v>8652000</v>
      </c>
      <c r="C912">
        <v>8652000</v>
      </c>
      <c r="D912">
        <v>8652000</v>
      </c>
    </row>
    <row r="913" spans="1:4" x14ac:dyDescent="0.4">
      <c r="A913" s="3">
        <v>8652010</v>
      </c>
      <c r="B913">
        <v>8652000</v>
      </c>
      <c r="C913">
        <v>8652000</v>
      </c>
      <c r="D913">
        <v>8652010</v>
      </c>
    </row>
    <row r="914" spans="1:4" x14ac:dyDescent="0.4">
      <c r="A914" s="3">
        <v>8652020</v>
      </c>
      <c r="B914">
        <v>8652000</v>
      </c>
      <c r="C914">
        <v>8652000</v>
      </c>
      <c r="D914">
        <v>8652020</v>
      </c>
    </row>
    <row r="915" spans="1:4" x14ac:dyDescent="0.4">
      <c r="A915" s="3">
        <v>8652100</v>
      </c>
      <c r="B915">
        <v>8652100</v>
      </c>
      <c r="C915">
        <v>8652100</v>
      </c>
      <c r="D915">
        <v>8652100</v>
      </c>
    </row>
    <row r="916" spans="1:4" x14ac:dyDescent="0.4">
      <c r="A916" s="3">
        <v>8652110</v>
      </c>
      <c r="B916">
        <v>8652100</v>
      </c>
      <c r="C916">
        <v>8652100</v>
      </c>
      <c r="D916">
        <v>8652110</v>
      </c>
    </row>
    <row r="917" spans="1:4" x14ac:dyDescent="0.4">
      <c r="A917" s="3">
        <v>8652120</v>
      </c>
      <c r="B917">
        <v>8652100</v>
      </c>
      <c r="C917">
        <v>8652100</v>
      </c>
      <c r="D917">
        <v>8652120</v>
      </c>
    </row>
    <row r="918" spans="1:4" x14ac:dyDescent="0.4">
      <c r="A918" s="3">
        <v>8660000</v>
      </c>
      <c r="B918">
        <v>-1</v>
      </c>
      <c r="C918">
        <v>8660000</v>
      </c>
      <c r="D918">
        <v>8660000</v>
      </c>
    </row>
    <row r="919" spans="1:4" x14ac:dyDescent="0.4">
      <c r="A919" s="3">
        <v>8660001</v>
      </c>
      <c r="B919">
        <v>-1</v>
      </c>
      <c r="C919">
        <v>8660000</v>
      </c>
      <c r="D919">
        <v>8660001</v>
      </c>
    </row>
    <row r="920" spans="1:4" x14ac:dyDescent="0.4">
      <c r="A920" s="3">
        <v>8660002</v>
      </c>
      <c r="B920">
        <v>-1</v>
      </c>
      <c r="C920">
        <v>8660000</v>
      </c>
      <c r="D920">
        <v>8660002</v>
      </c>
    </row>
    <row r="921" spans="1:4" x14ac:dyDescent="0.4">
      <c r="A921" s="3">
        <v>8660100</v>
      </c>
      <c r="B921">
        <v>-1</v>
      </c>
      <c r="C921">
        <v>8660101</v>
      </c>
      <c r="D921">
        <v>8660100</v>
      </c>
    </row>
    <row r="922" spans="1:4" x14ac:dyDescent="0.4">
      <c r="A922" s="3">
        <v>8660101</v>
      </c>
      <c r="B922">
        <v>-1</v>
      </c>
      <c r="C922">
        <v>8660101</v>
      </c>
      <c r="D922">
        <v>8660101</v>
      </c>
    </row>
    <row r="923" spans="1:4" x14ac:dyDescent="0.4">
      <c r="A923" s="3">
        <v>8660102</v>
      </c>
      <c r="B923">
        <v>-1</v>
      </c>
      <c r="C923">
        <v>8660101</v>
      </c>
      <c r="D923">
        <v>8660102</v>
      </c>
    </row>
    <row r="924" spans="1:4" x14ac:dyDescent="0.4">
      <c r="A924" s="3">
        <v>8660200</v>
      </c>
      <c r="B924">
        <v>8660200</v>
      </c>
      <c r="C924">
        <v>8660200</v>
      </c>
      <c r="D924">
        <v>2550</v>
      </c>
    </row>
    <row r="925" spans="1:4" x14ac:dyDescent="0.4">
      <c r="A925" s="3">
        <v>8660300</v>
      </c>
      <c r="B925">
        <v>8660300</v>
      </c>
      <c r="C925">
        <v>8660300</v>
      </c>
      <c r="D925">
        <v>2560</v>
      </c>
    </row>
    <row r="926" spans="1:4" x14ac:dyDescent="0.4">
      <c r="A926" s="3">
        <v>8670000</v>
      </c>
      <c r="B926">
        <v>-1</v>
      </c>
      <c r="C926">
        <v>8670000</v>
      </c>
      <c r="D926">
        <v>8670000</v>
      </c>
    </row>
    <row r="927" spans="1:4" x14ac:dyDescent="0.4">
      <c r="A927" s="3">
        <v>8670001</v>
      </c>
      <c r="B927">
        <v>-1</v>
      </c>
      <c r="C927">
        <v>8670000</v>
      </c>
      <c r="D927">
        <v>8670001</v>
      </c>
    </row>
    <row r="928" spans="1:4" x14ac:dyDescent="0.4">
      <c r="A928" s="3">
        <v>8670002</v>
      </c>
      <c r="B928">
        <v>-1</v>
      </c>
      <c r="C928">
        <v>8670000</v>
      </c>
      <c r="D928">
        <v>8670002</v>
      </c>
    </row>
    <row r="929" spans="1:4" x14ac:dyDescent="0.4">
      <c r="A929" s="3">
        <v>8670100</v>
      </c>
      <c r="B929">
        <v>-1</v>
      </c>
      <c r="C929">
        <v>8670101</v>
      </c>
      <c r="D929">
        <v>8670100</v>
      </c>
    </row>
    <row r="930" spans="1:4" x14ac:dyDescent="0.4">
      <c r="A930" s="3">
        <v>8670101</v>
      </c>
      <c r="B930">
        <v>-1</v>
      </c>
      <c r="C930">
        <v>8670101</v>
      </c>
      <c r="D930">
        <v>8670101</v>
      </c>
    </row>
    <row r="931" spans="1:4" x14ac:dyDescent="0.4">
      <c r="A931" s="3">
        <v>8670102</v>
      </c>
      <c r="B931">
        <v>-1</v>
      </c>
      <c r="C931">
        <v>8670101</v>
      </c>
      <c r="D931">
        <v>8670102</v>
      </c>
    </row>
    <row r="932" spans="1:4" x14ac:dyDescent="0.4">
      <c r="A932" s="3">
        <v>8690000</v>
      </c>
      <c r="B932">
        <v>401040</v>
      </c>
      <c r="C932">
        <v>8690000</v>
      </c>
      <c r="D932">
        <v>8690000</v>
      </c>
    </row>
    <row r="933" spans="1:4" x14ac:dyDescent="0.4">
      <c r="A933" s="3">
        <v>8690100</v>
      </c>
      <c r="B933">
        <v>401040</v>
      </c>
      <c r="C933">
        <v>8690100</v>
      </c>
      <c r="D933">
        <v>8690100</v>
      </c>
    </row>
    <row r="934" spans="1:4" x14ac:dyDescent="0.4">
      <c r="A934" s="3">
        <v>8690200</v>
      </c>
      <c r="B934">
        <v>401040</v>
      </c>
      <c r="C934">
        <v>8690200</v>
      </c>
      <c r="D934">
        <v>8690200</v>
      </c>
    </row>
    <row r="935" spans="1:4" x14ac:dyDescent="0.4">
      <c r="A935" s="3">
        <v>8690300</v>
      </c>
      <c r="B935">
        <v>401040</v>
      </c>
      <c r="C935">
        <v>8690300</v>
      </c>
      <c r="D935">
        <v>8690300</v>
      </c>
    </row>
    <row r="936" spans="1:4" x14ac:dyDescent="0.4">
      <c r="A936" s="3">
        <v>8690400</v>
      </c>
      <c r="B936">
        <v>401040</v>
      </c>
      <c r="C936">
        <v>8690400</v>
      </c>
      <c r="D936">
        <v>8690400</v>
      </c>
    </row>
    <row r="937" spans="1:4" x14ac:dyDescent="0.4">
      <c r="A937" s="3">
        <v>8700002</v>
      </c>
      <c r="B937">
        <v>401040</v>
      </c>
      <c r="C937">
        <v>8700000</v>
      </c>
      <c r="D937">
        <v>2570</v>
      </c>
    </row>
    <row r="938" spans="1:4" x14ac:dyDescent="0.4">
      <c r="A938" s="3">
        <v>8710002</v>
      </c>
      <c r="B938">
        <v>401040</v>
      </c>
      <c r="C938">
        <v>8710000</v>
      </c>
      <c r="D938">
        <v>2580</v>
      </c>
    </row>
    <row r="939" spans="1:4" x14ac:dyDescent="0.4">
      <c r="A939" s="3">
        <v>8760000</v>
      </c>
      <c r="B939">
        <v>400000</v>
      </c>
      <c r="C939">
        <v>8760000</v>
      </c>
      <c r="D939">
        <v>900000000</v>
      </c>
    </row>
    <row r="940" spans="1:4" x14ac:dyDescent="0.4">
      <c r="A940" s="3">
        <v>8760050</v>
      </c>
      <c r="B940">
        <v>400000</v>
      </c>
      <c r="C940">
        <v>8760000</v>
      </c>
      <c r="D940">
        <v>900000000</v>
      </c>
    </row>
    <row r="941" spans="1:4" x14ac:dyDescent="0.4">
      <c r="A941" s="3">
        <v>8760100</v>
      </c>
      <c r="B941">
        <v>400010</v>
      </c>
      <c r="C941">
        <v>8760100</v>
      </c>
      <c r="D941">
        <v>900000010</v>
      </c>
    </row>
    <row r="942" spans="1:4" x14ac:dyDescent="0.4">
      <c r="A942" s="3">
        <v>8760150</v>
      </c>
      <c r="B942">
        <v>400010</v>
      </c>
      <c r="C942">
        <v>8760100</v>
      </c>
      <c r="D942">
        <v>900000010</v>
      </c>
    </row>
    <row r="943" spans="1:4" x14ac:dyDescent="0.4">
      <c r="A943" s="3">
        <v>8760200</v>
      </c>
      <c r="B943">
        <v>400020</v>
      </c>
      <c r="C943">
        <v>8760200</v>
      </c>
      <c r="D943">
        <v>900000020</v>
      </c>
    </row>
    <row r="944" spans="1:4" x14ac:dyDescent="0.4">
      <c r="A944" s="3">
        <v>8760250</v>
      </c>
      <c r="B944">
        <v>400020</v>
      </c>
      <c r="C944">
        <v>8760200</v>
      </c>
      <c r="D944">
        <v>900000020</v>
      </c>
    </row>
    <row r="945" spans="1:4" x14ac:dyDescent="0.4">
      <c r="A945" s="3">
        <v>8761000</v>
      </c>
      <c r="B945">
        <v>400030</v>
      </c>
      <c r="C945">
        <v>8761000</v>
      </c>
      <c r="D945">
        <v>900000030</v>
      </c>
    </row>
    <row r="946" spans="1:4" x14ac:dyDescent="0.4">
      <c r="A946" s="3">
        <v>8761050</v>
      </c>
      <c r="B946">
        <v>400030</v>
      </c>
      <c r="C946">
        <v>8761000</v>
      </c>
      <c r="D946">
        <v>900000030</v>
      </c>
    </row>
    <row r="947" spans="1:4" x14ac:dyDescent="0.4">
      <c r="A947" s="3">
        <v>8761100</v>
      </c>
      <c r="B947">
        <v>400040</v>
      </c>
      <c r="C947">
        <v>8761100</v>
      </c>
      <c r="D947">
        <v>900000040</v>
      </c>
    </row>
    <row r="948" spans="1:4" x14ac:dyDescent="0.4">
      <c r="A948" s="3">
        <v>8761150</v>
      </c>
      <c r="B948">
        <v>400040</v>
      </c>
      <c r="C948">
        <v>8761100</v>
      </c>
      <c r="D948">
        <v>900000040</v>
      </c>
    </row>
    <row r="949" spans="1:4" x14ac:dyDescent="0.4">
      <c r="A949" s="3">
        <v>8762000</v>
      </c>
      <c r="B949">
        <v>400050</v>
      </c>
      <c r="C949">
        <v>8762000</v>
      </c>
      <c r="D949">
        <v>900000050</v>
      </c>
    </row>
    <row r="950" spans="1:4" x14ac:dyDescent="0.4">
      <c r="A950" s="3">
        <v>8762050</v>
      </c>
      <c r="B950">
        <v>400050</v>
      </c>
      <c r="C950">
        <v>8762000</v>
      </c>
      <c r="D950">
        <v>900000050</v>
      </c>
    </row>
    <row r="951" spans="1:4" x14ac:dyDescent="0.4">
      <c r="A951" s="3">
        <v>8763000</v>
      </c>
      <c r="B951">
        <v>400060</v>
      </c>
      <c r="C951">
        <v>8763000</v>
      </c>
      <c r="D951">
        <v>900000060</v>
      </c>
    </row>
    <row r="952" spans="1:4" x14ac:dyDescent="0.4">
      <c r="A952" s="3">
        <v>8763050</v>
      </c>
      <c r="B952">
        <v>400060</v>
      </c>
      <c r="C952">
        <v>8763000</v>
      </c>
      <c r="D952">
        <v>900000060</v>
      </c>
    </row>
    <row r="953" spans="1:4" x14ac:dyDescent="0.4">
      <c r="A953" s="3">
        <v>8766000</v>
      </c>
      <c r="B953">
        <v>401050</v>
      </c>
      <c r="C953">
        <v>8766000</v>
      </c>
      <c r="D953">
        <v>900000080</v>
      </c>
    </row>
    <row r="954" spans="1:4" x14ac:dyDescent="0.4">
      <c r="A954" s="3">
        <v>8766050</v>
      </c>
      <c r="B954">
        <v>401050</v>
      </c>
      <c r="C954">
        <v>8766000</v>
      </c>
      <c r="D954">
        <v>900000080</v>
      </c>
    </row>
    <row r="955" spans="1:4" x14ac:dyDescent="0.4">
      <c r="A955" s="3">
        <v>8770000</v>
      </c>
      <c r="B955">
        <v>8770000</v>
      </c>
      <c r="C955">
        <v>8770000</v>
      </c>
      <c r="D955">
        <v>900000090</v>
      </c>
    </row>
    <row r="956" spans="1:4" x14ac:dyDescent="0.4">
      <c r="A956" s="3">
        <v>8770050</v>
      </c>
      <c r="B956">
        <v>8770050</v>
      </c>
      <c r="C956">
        <v>8770000</v>
      </c>
      <c r="D956">
        <v>900000090</v>
      </c>
    </row>
    <row r="957" spans="1:4" x14ac:dyDescent="0.4">
      <c r="A957" s="3">
        <v>8771000</v>
      </c>
      <c r="B957">
        <v>8771000</v>
      </c>
      <c r="C957">
        <v>8771000</v>
      </c>
      <c r="D957">
        <v>900000100</v>
      </c>
    </row>
    <row r="958" spans="1:4" x14ac:dyDescent="0.4">
      <c r="A958" s="3">
        <v>8771050</v>
      </c>
      <c r="B958">
        <v>8771050</v>
      </c>
      <c r="C958">
        <v>8771000</v>
      </c>
      <c r="D958">
        <v>900000100</v>
      </c>
    </row>
    <row r="959" spans="1:4" x14ac:dyDescent="0.4">
      <c r="A959" s="3">
        <v>8800100</v>
      </c>
      <c r="B959">
        <v>8800100</v>
      </c>
      <c r="C959">
        <v>8800100</v>
      </c>
      <c r="D959">
        <v>900000120</v>
      </c>
    </row>
    <row r="960" spans="1:4" x14ac:dyDescent="0.4">
      <c r="A960" s="3">
        <v>8800150</v>
      </c>
      <c r="B960">
        <v>8800150</v>
      </c>
      <c r="C960">
        <v>8800100</v>
      </c>
      <c r="D960">
        <v>900000120</v>
      </c>
    </row>
    <row r="961" spans="1:4" x14ac:dyDescent="0.4">
      <c r="A961" s="3">
        <v>8800200</v>
      </c>
      <c r="B961">
        <v>8800200</v>
      </c>
      <c r="C961">
        <v>8800200</v>
      </c>
      <c r="D961">
        <v>900000130</v>
      </c>
    </row>
    <row r="962" spans="1:4" x14ac:dyDescent="0.4">
      <c r="A962" s="3">
        <v>8800250</v>
      </c>
      <c r="B962">
        <v>8800250</v>
      </c>
      <c r="C962">
        <v>8800200</v>
      </c>
      <c r="D962">
        <v>900000130</v>
      </c>
    </row>
    <row r="963" spans="1:4" x14ac:dyDescent="0.4">
      <c r="A963" s="3">
        <v>8801000</v>
      </c>
      <c r="B963">
        <v>8801000</v>
      </c>
      <c r="C963">
        <v>8801000</v>
      </c>
      <c r="D963">
        <v>900000140</v>
      </c>
    </row>
    <row r="964" spans="1:4" x14ac:dyDescent="0.4">
      <c r="A964" s="3">
        <v>8801050</v>
      </c>
      <c r="B964">
        <v>8801050</v>
      </c>
      <c r="C964">
        <v>8801000</v>
      </c>
      <c r="D964">
        <v>900000140</v>
      </c>
    </row>
    <row r="965" spans="1:4" x14ac:dyDescent="0.4">
      <c r="A965" s="3">
        <v>8810000</v>
      </c>
      <c r="B965">
        <v>8810000</v>
      </c>
      <c r="C965">
        <v>8810000</v>
      </c>
      <c r="D965">
        <v>900000170</v>
      </c>
    </row>
    <row r="966" spans="1:4" x14ac:dyDescent="0.4">
      <c r="A966" s="3">
        <v>8810050</v>
      </c>
      <c r="B966">
        <v>8810050</v>
      </c>
      <c r="C966">
        <v>8810000</v>
      </c>
      <c r="D966">
        <v>900000170</v>
      </c>
    </row>
    <row r="967" spans="1:4" x14ac:dyDescent="0.4">
      <c r="A967" s="3">
        <v>8810200</v>
      </c>
      <c r="B967">
        <v>8810200</v>
      </c>
      <c r="C967">
        <v>8810200</v>
      </c>
      <c r="D967">
        <v>900000180</v>
      </c>
    </row>
    <row r="968" spans="1:4" x14ac:dyDescent="0.4">
      <c r="A968" s="3">
        <v>8810250</v>
      </c>
      <c r="B968">
        <v>8810250</v>
      </c>
      <c r="C968">
        <v>8810200</v>
      </c>
      <c r="D968">
        <v>900000180</v>
      </c>
    </row>
    <row r="969" spans="1:4" x14ac:dyDescent="0.4">
      <c r="A969" s="3">
        <v>8810300</v>
      </c>
      <c r="B969">
        <v>8810300</v>
      </c>
      <c r="C969">
        <v>8810300</v>
      </c>
      <c r="D969">
        <v>900000190</v>
      </c>
    </row>
    <row r="970" spans="1:4" x14ac:dyDescent="0.4">
      <c r="A970" s="3">
        <v>8810350</v>
      </c>
      <c r="B970">
        <v>8810350</v>
      </c>
      <c r="C970">
        <v>8810300</v>
      </c>
      <c r="D970">
        <v>900000190</v>
      </c>
    </row>
    <row r="971" spans="1:4" x14ac:dyDescent="0.4">
      <c r="A971" s="3">
        <v>8810400</v>
      </c>
      <c r="B971">
        <v>8810400</v>
      </c>
      <c r="C971">
        <v>8810400</v>
      </c>
      <c r="D971">
        <v>900000200</v>
      </c>
    </row>
    <row r="972" spans="1:4" x14ac:dyDescent="0.4">
      <c r="A972" s="3">
        <v>8810450</v>
      </c>
      <c r="B972">
        <v>8810450</v>
      </c>
      <c r="C972">
        <v>8810400</v>
      </c>
      <c r="D972">
        <v>900000200</v>
      </c>
    </row>
    <row r="973" spans="1:4" x14ac:dyDescent="0.4">
      <c r="A973" s="3">
        <v>8813100</v>
      </c>
      <c r="B973">
        <v>8813100</v>
      </c>
      <c r="C973">
        <v>8813100</v>
      </c>
      <c r="D973">
        <v>900000230</v>
      </c>
    </row>
    <row r="974" spans="1:4" x14ac:dyDescent="0.4">
      <c r="A974" s="3">
        <v>8813150</v>
      </c>
      <c r="B974">
        <v>8813150</v>
      </c>
      <c r="C974">
        <v>8813100</v>
      </c>
      <c r="D974">
        <v>900000230</v>
      </c>
    </row>
    <row r="975" spans="1:4" x14ac:dyDescent="0.4">
      <c r="A975" s="3">
        <v>8821000</v>
      </c>
      <c r="B975">
        <v>8821000</v>
      </c>
      <c r="C975">
        <v>8821000</v>
      </c>
      <c r="D975">
        <v>900000240</v>
      </c>
    </row>
    <row r="976" spans="1:4" x14ac:dyDescent="0.4">
      <c r="A976" s="3">
        <v>8821050</v>
      </c>
      <c r="B976">
        <v>8821050</v>
      </c>
      <c r="C976">
        <v>8821000</v>
      </c>
      <c r="D976">
        <v>900000240</v>
      </c>
    </row>
    <row r="977" spans="1:4" x14ac:dyDescent="0.4">
      <c r="A977" s="3">
        <v>8830000</v>
      </c>
      <c r="B977">
        <v>8830000</v>
      </c>
      <c r="C977">
        <v>8830000</v>
      </c>
      <c r="D977">
        <v>900000270</v>
      </c>
    </row>
    <row r="978" spans="1:4" x14ac:dyDescent="0.4">
      <c r="A978" s="3">
        <v>8830050</v>
      </c>
      <c r="B978">
        <v>8830050</v>
      </c>
      <c r="C978">
        <v>8830000</v>
      </c>
      <c r="D978">
        <v>900000270</v>
      </c>
    </row>
    <row r="979" spans="1:4" x14ac:dyDescent="0.4">
      <c r="A979" s="3">
        <v>8831000</v>
      </c>
      <c r="B979">
        <v>8831000</v>
      </c>
      <c r="C979">
        <v>8831000</v>
      </c>
      <c r="D979">
        <v>900000280</v>
      </c>
    </row>
    <row r="980" spans="1:4" x14ac:dyDescent="0.4">
      <c r="A980" s="3">
        <v>8831050</v>
      </c>
      <c r="B980">
        <v>8831050</v>
      </c>
      <c r="C980">
        <v>8831000</v>
      </c>
      <c r="D980">
        <v>900000280</v>
      </c>
    </row>
    <row r="981" spans="1:4" x14ac:dyDescent="0.4">
      <c r="A981" s="3">
        <v>8831200</v>
      </c>
      <c r="B981">
        <v>8831200</v>
      </c>
      <c r="C981">
        <v>8831200</v>
      </c>
      <c r="D981">
        <v>900000300</v>
      </c>
    </row>
    <row r="982" spans="1:4" x14ac:dyDescent="0.4">
      <c r="A982" s="3">
        <v>8831250</v>
      </c>
      <c r="B982">
        <v>8831250</v>
      </c>
      <c r="C982">
        <v>8831200</v>
      </c>
      <c r="D982">
        <v>900000300</v>
      </c>
    </row>
    <row r="983" spans="1:4" x14ac:dyDescent="0.4">
      <c r="A983" s="3">
        <v>8850000</v>
      </c>
      <c r="B983">
        <v>400000</v>
      </c>
      <c r="C983">
        <v>18000000</v>
      </c>
      <c r="D983">
        <v>2000</v>
      </c>
    </row>
    <row r="984" spans="1:4" x14ac:dyDescent="0.4">
      <c r="A984" s="3">
        <v>8850050</v>
      </c>
      <c r="B984">
        <v>400000</v>
      </c>
      <c r="C984">
        <v>18000000</v>
      </c>
      <c r="D984">
        <v>2000</v>
      </c>
    </row>
    <row r="985" spans="1:4" x14ac:dyDescent="0.4">
      <c r="A985" s="3">
        <v>8850100</v>
      </c>
      <c r="B985">
        <v>400010</v>
      </c>
      <c r="C985">
        <v>18010000</v>
      </c>
      <c r="D985">
        <v>2020</v>
      </c>
    </row>
    <row r="986" spans="1:4" x14ac:dyDescent="0.4">
      <c r="A986" s="3">
        <v>8850150</v>
      </c>
      <c r="B986">
        <v>400010</v>
      </c>
      <c r="C986">
        <v>18010000</v>
      </c>
      <c r="D986">
        <v>2020</v>
      </c>
    </row>
    <row r="987" spans="1:4" x14ac:dyDescent="0.4">
      <c r="A987" s="3">
        <v>8850200</v>
      </c>
      <c r="B987">
        <v>400010</v>
      </c>
      <c r="C987">
        <v>18010100</v>
      </c>
      <c r="D987">
        <v>2040</v>
      </c>
    </row>
    <row r="988" spans="1:4" x14ac:dyDescent="0.4">
      <c r="A988" s="3">
        <v>8850250</v>
      </c>
      <c r="B988">
        <v>400010</v>
      </c>
      <c r="C988">
        <v>18010100</v>
      </c>
      <c r="D988">
        <v>2040</v>
      </c>
    </row>
    <row r="989" spans="1:4" x14ac:dyDescent="0.4">
      <c r="A989" s="3">
        <v>8850300</v>
      </c>
      <c r="B989">
        <v>400020</v>
      </c>
      <c r="C989">
        <v>18020000</v>
      </c>
      <c r="D989">
        <v>2060</v>
      </c>
    </row>
    <row r="990" spans="1:4" x14ac:dyDescent="0.4">
      <c r="A990" s="3">
        <v>8850350</v>
      </c>
      <c r="B990">
        <v>400020</v>
      </c>
      <c r="C990">
        <v>18020000</v>
      </c>
      <c r="D990">
        <v>2060</v>
      </c>
    </row>
    <row r="991" spans="1:4" x14ac:dyDescent="0.4">
      <c r="A991" s="3">
        <v>8850400</v>
      </c>
      <c r="B991">
        <v>400020</v>
      </c>
      <c r="C991">
        <v>18020200</v>
      </c>
      <c r="D991">
        <v>2080</v>
      </c>
    </row>
    <row r="992" spans="1:4" x14ac:dyDescent="0.4">
      <c r="A992" s="3">
        <v>8850450</v>
      </c>
      <c r="B992">
        <v>400020</v>
      </c>
      <c r="C992">
        <v>18020200</v>
      </c>
      <c r="D992">
        <v>2080</v>
      </c>
    </row>
    <row r="993" spans="1:4" x14ac:dyDescent="0.4">
      <c r="A993" s="3">
        <v>8850500</v>
      </c>
      <c r="B993">
        <v>8850500</v>
      </c>
      <c r="C993">
        <v>18100000</v>
      </c>
      <c r="D993">
        <v>2100</v>
      </c>
    </row>
    <row r="994" spans="1:4" x14ac:dyDescent="0.4">
      <c r="A994" s="3">
        <v>8850550</v>
      </c>
      <c r="B994">
        <v>8850550</v>
      </c>
      <c r="C994">
        <v>18100000</v>
      </c>
      <c r="D994">
        <v>2100</v>
      </c>
    </row>
    <row r="995" spans="1:4" x14ac:dyDescent="0.4">
      <c r="A995" s="3">
        <v>8850600</v>
      </c>
      <c r="B995">
        <v>8850600</v>
      </c>
      <c r="C995">
        <v>18100500</v>
      </c>
      <c r="D995">
        <v>2120</v>
      </c>
    </row>
    <row r="996" spans="1:4" x14ac:dyDescent="0.4">
      <c r="A996" s="3">
        <v>8850650</v>
      </c>
      <c r="B996">
        <v>8850650</v>
      </c>
      <c r="C996">
        <v>18100500</v>
      </c>
      <c r="D996">
        <v>2120</v>
      </c>
    </row>
    <row r="997" spans="1:4" x14ac:dyDescent="0.4">
      <c r="A997" s="3">
        <v>8850700</v>
      </c>
      <c r="B997">
        <v>8850700</v>
      </c>
      <c r="C997">
        <v>18120000</v>
      </c>
      <c r="D997">
        <v>2140</v>
      </c>
    </row>
    <row r="998" spans="1:4" x14ac:dyDescent="0.4">
      <c r="A998" s="3">
        <v>8850750</v>
      </c>
      <c r="B998">
        <v>8850750</v>
      </c>
      <c r="C998">
        <v>18120000</v>
      </c>
      <c r="D998">
        <v>2140</v>
      </c>
    </row>
    <row r="999" spans="1:4" x14ac:dyDescent="0.4">
      <c r="A999" s="3">
        <v>8850800</v>
      </c>
      <c r="B999">
        <v>400030</v>
      </c>
      <c r="C999">
        <v>18200000</v>
      </c>
      <c r="D999">
        <v>2160</v>
      </c>
    </row>
    <row r="1000" spans="1:4" x14ac:dyDescent="0.4">
      <c r="A1000" s="3">
        <v>8850850</v>
      </c>
      <c r="B1000">
        <v>400030</v>
      </c>
      <c r="C1000">
        <v>18200000</v>
      </c>
      <c r="D1000">
        <v>2160</v>
      </c>
    </row>
    <row r="1001" spans="1:4" x14ac:dyDescent="0.4">
      <c r="A1001" s="3">
        <v>8850900</v>
      </c>
      <c r="B1001">
        <v>400040</v>
      </c>
      <c r="C1001">
        <v>18200500</v>
      </c>
      <c r="D1001">
        <v>2180</v>
      </c>
    </row>
    <row r="1002" spans="1:4" x14ac:dyDescent="0.4">
      <c r="A1002" s="3">
        <v>8850950</v>
      </c>
      <c r="B1002">
        <v>400040</v>
      </c>
      <c r="C1002">
        <v>18200500</v>
      </c>
      <c r="D1002">
        <v>2180</v>
      </c>
    </row>
    <row r="1003" spans="1:4" x14ac:dyDescent="0.4">
      <c r="A1003" s="3">
        <v>8851000</v>
      </c>
      <c r="B1003">
        <v>400050</v>
      </c>
      <c r="C1003">
        <v>18210700</v>
      </c>
      <c r="D1003">
        <v>2200</v>
      </c>
    </row>
    <row r="1004" spans="1:4" x14ac:dyDescent="0.4">
      <c r="A1004" s="3">
        <v>8851050</v>
      </c>
      <c r="B1004">
        <v>400050</v>
      </c>
      <c r="C1004">
        <v>18210700</v>
      </c>
      <c r="D1004">
        <v>2200</v>
      </c>
    </row>
    <row r="1005" spans="1:4" x14ac:dyDescent="0.4">
      <c r="A1005" s="3">
        <v>8851100</v>
      </c>
      <c r="B1005">
        <v>8851100</v>
      </c>
      <c r="C1005">
        <v>18230000</v>
      </c>
      <c r="D1005">
        <v>2220</v>
      </c>
    </row>
    <row r="1006" spans="1:4" x14ac:dyDescent="0.4">
      <c r="A1006" s="3">
        <v>8851150</v>
      </c>
      <c r="B1006">
        <v>8851150</v>
      </c>
      <c r="C1006">
        <v>18230000</v>
      </c>
      <c r="D1006">
        <v>2220</v>
      </c>
    </row>
    <row r="1007" spans="1:4" x14ac:dyDescent="0.4">
      <c r="A1007" s="3">
        <v>8851200</v>
      </c>
      <c r="B1007">
        <v>8851200</v>
      </c>
      <c r="C1007">
        <v>18330103</v>
      </c>
      <c r="D1007">
        <v>2240</v>
      </c>
    </row>
    <row r="1008" spans="1:4" x14ac:dyDescent="0.4">
      <c r="A1008" s="3">
        <v>8851250</v>
      </c>
      <c r="B1008">
        <v>8851250</v>
      </c>
      <c r="C1008">
        <v>18330103</v>
      </c>
      <c r="D1008">
        <v>2240</v>
      </c>
    </row>
    <row r="1009" spans="1:4" x14ac:dyDescent="0.4">
      <c r="A1009" s="3">
        <v>8851300</v>
      </c>
      <c r="B1009">
        <v>8851300</v>
      </c>
      <c r="C1009">
        <v>18330500</v>
      </c>
      <c r="D1009">
        <v>2260</v>
      </c>
    </row>
    <row r="1010" spans="1:4" x14ac:dyDescent="0.4">
      <c r="A1010" s="3">
        <v>8851350</v>
      </c>
      <c r="B1010">
        <v>8851350</v>
      </c>
      <c r="C1010">
        <v>18330500</v>
      </c>
      <c r="D1010">
        <v>2260</v>
      </c>
    </row>
    <row r="1011" spans="1:4" x14ac:dyDescent="0.4">
      <c r="A1011" s="3">
        <v>8851800</v>
      </c>
      <c r="B1011">
        <v>8851800</v>
      </c>
      <c r="C1011">
        <v>18430000</v>
      </c>
      <c r="D1011">
        <v>2350</v>
      </c>
    </row>
    <row r="1012" spans="1:4" x14ac:dyDescent="0.4">
      <c r="A1012" s="3">
        <v>8851850</v>
      </c>
      <c r="B1012">
        <v>8851850</v>
      </c>
      <c r="C1012">
        <v>18430000</v>
      </c>
      <c r="D1012">
        <v>2350</v>
      </c>
    </row>
    <row r="1013" spans="1:4" x14ac:dyDescent="0.4">
      <c r="A1013" s="3">
        <v>8851900</v>
      </c>
      <c r="B1013">
        <v>400060</v>
      </c>
      <c r="C1013">
        <v>18440000</v>
      </c>
      <c r="D1013">
        <v>2360</v>
      </c>
    </row>
    <row r="1014" spans="1:4" x14ac:dyDescent="0.4">
      <c r="A1014" s="3">
        <v>8851950</v>
      </c>
      <c r="B1014">
        <v>400060</v>
      </c>
      <c r="C1014">
        <v>18440000</v>
      </c>
      <c r="D1014">
        <v>2360</v>
      </c>
    </row>
    <row r="1015" spans="1:4" x14ac:dyDescent="0.4">
      <c r="A1015" s="3">
        <v>8852000</v>
      </c>
      <c r="B1015">
        <v>8852000</v>
      </c>
      <c r="C1015">
        <v>18500000</v>
      </c>
      <c r="D1015">
        <v>2420</v>
      </c>
    </row>
    <row r="1016" spans="1:4" x14ac:dyDescent="0.4">
      <c r="A1016" s="3">
        <v>8852050</v>
      </c>
      <c r="B1016">
        <v>8852050</v>
      </c>
      <c r="C1016">
        <v>18500000</v>
      </c>
      <c r="D1016">
        <v>2420</v>
      </c>
    </row>
    <row r="1017" spans="1:4" x14ac:dyDescent="0.4">
      <c r="A1017" s="3">
        <v>8880000</v>
      </c>
      <c r="B1017">
        <v>8880000</v>
      </c>
      <c r="C1017">
        <v>8880000</v>
      </c>
      <c r="D1017">
        <v>5</v>
      </c>
    </row>
    <row r="1018" spans="1:4" x14ac:dyDescent="0.4">
      <c r="A1018" s="3">
        <v>8880200</v>
      </c>
      <c r="B1018">
        <v>8880200</v>
      </c>
      <c r="C1018">
        <v>8880200</v>
      </c>
      <c r="D1018">
        <v>5</v>
      </c>
    </row>
    <row r="1019" spans="1:4" x14ac:dyDescent="0.4">
      <c r="A1019" s="3">
        <v>8880300</v>
      </c>
      <c r="B1019">
        <v>8880300</v>
      </c>
      <c r="C1019">
        <v>8880300</v>
      </c>
      <c r="D1019">
        <v>5</v>
      </c>
    </row>
    <row r="1020" spans="1:4" x14ac:dyDescent="0.4">
      <c r="A1020" s="3">
        <v>8881000</v>
      </c>
      <c r="B1020">
        <v>8881000</v>
      </c>
      <c r="C1020">
        <v>8881000</v>
      </c>
      <c r="D1020">
        <v>5</v>
      </c>
    </row>
    <row r="1021" spans="1:4" x14ac:dyDescent="0.4">
      <c r="A1021" s="3">
        <v>8881200</v>
      </c>
      <c r="B1021">
        <v>8881200</v>
      </c>
      <c r="C1021">
        <v>8881200</v>
      </c>
      <c r="D1021">
        <v>5</v>
      </c>
    </row>
    <row r="1022" spans="1:4" x14ac:dyDescent="0.4">
      <c r="A1022" s="3">
        <v>8881500</v>
      </c>
      <c r="B1022">
        <v>8881500</v>
      </c>
      <c r="C1022">
        <v>8881500</v>
      </c>
      <c r="D1022">
        <v>5</v>
      </c>
    </row>
    <row r="1023" spans="1:4" x14ac:dyDescent="0.4">
      <c r="A1023" s="3">
        <v>8882100</v>
      </c>
      <c r="B1023">
        <v>8882100</v>
      </c>
      <c r="C1023">
        <v>8882100</v>
      </c>
      <c r="D1023">
        <v>5</v>
      </c>
    </row>
    <row r="1024" spans="1:4" x14ac:dyDescent="0.4">
      <c r="A1024" s="3">
        <v>8882500</v>
      </c>
      <c r="B1024">
        <v>8882500</v>
      </c>
      <c r="C1024">
        <v>8882500</v>
      </c>
      <c r="D1024">
        <v>5</v>
      </c>
    </row>
    <row r="1025" spans="1:4" x14ac:dyDescent="0.4">
      <c r="A1025" s="3">
        <v>8883000</v>
      </c>
      <c r="B1025">
        <v>8883000</v>
      </c>
      <c r="C1025">
        <v>8883000</v>
      </c>
      <c r="D1025">
        <v>5</v>
      </c>
    </row>
    <row r="1026" spans="1:4" x14ac:dyDescent="0.4">
      <c r="A1026" s="3">
        <v>8883100</v>
      </c>
      <c r="B1026">
        <v>8883100</v>
      </c>
      <c r="C1026">
        <v>8883100</v>
      </c>
      <c r="D1026">
        <v>5</v>
      </c>
    </row>
    <row r="1027" spans="1:4" x14ac:dyDescent="0.4">
      <c r="A1027" s="3">
        <v>8883200</v>
      </c>
      <c r="B1027">
        <v>8883200</v>
      </c>
      <c r="C1027">
        <v>8883200</v>
      </c>
      <c r="D1027">
        <v>5</v>
      </c>
    </row>
    <row r="1028" spans="1:4" x14ac:dyDescent="0.4">
      <c r="A1028" s="3">
        <v>8883300</v>
      </c>
      <c r="B1028">
        <v>8883300</v>
      </c>
      <c r="C1028">
        <v>8883300</v>
      </c>
      <c r="D1028">
        <v>5</v>
      </c>
    </row>
    <row r="1029" spans="1:4" x14ac:dyDescent="0.4">
      <c r="A1029" s="3">
        <v>8883400</v>
      </c>
      <c r="B1029">
        <v>8883400</v>
      </c>
      <c r="C1029">
        <v>8883400</v>
      </c>
      <c r="D1029">
        <v>5</v>
      </c>
    </row>
    <row r="1030" spans="1:4" x14ac:dyDescent="0.4">
      <c r="A1030" s="3">
        <v>8884200</v>
      </c>
      <c r="B1030">
        <v>8884200</v>
      </c>
      <c r="C1030">
        <v>8884200</v>
      </c>
      <c r="D1030">
        <v>5</v>
      </c>
    </row>
    <row r="1031" spans="1:4" x14ac:dyDescent="0.4">
      <c r="A1031" s="3">
        <v>8884300</v>
      </c>
      <c r="B1031">
        <v>8884300</v>
      </c>
      <c r="C1031">
        <v>8884300</v>
      </c>
      <c r="D1031">
        <v>5</v>
      </c>
    </row>
    <row r="1032" spans="1:4" x14ac:dyDescent="0.4">
      <c r="A1032" s="3">
        <v>8885000</v>
      </c>
      <c r="B1032">
        <v>8885000</v>
      </c>
      <c r="C1032">
        <v>8885000</v>
      </c>
      <c r="D1032">
        <v>5</v>
      </c>
    </row>
    <row r="1033" spans="1:4" x14ac:dyDescent="0.4">
      <c r="A1033" s="3">
        <v>8885100</v>
      </c>
      <c r="B1033">
        <v>8885100</v>
      </c>
      <c r="C1033">
        <v>8885100</v>
      </c>
      <c r="D1033">
        <v>5</v>
      </c>
    </row>
    <row r="1034" spans="1:4" x14ac:dyDescent="0.4">
      <c r="A1034" s="3">
        <v>8885200</v>
      </c>
      <c r="B1034">
        <v>8885200</v>
      </c>
      <c r="C1034">
        <v>8885200</v>
      </c>
      <c r="D1034">
        <v>5</v>
      </c>
    </row>
    <row r="1035" spans="1:4" x14ac:dyDescent="0.4">
      <c r="A1035" s="3">
        <v>8990000</v>
      </c>
      <c r="B1035">
        <v>200</v>
      </c>
      <c r="C1035">
        <v>8100100</v>
      </c>
      <c r="D1035">
        <v>8100100</v>
      </c>
    </row>
    <row r="1036" spans="1:4" x14ac:dyDescent="0.4">
      <c r="A1036" s="3">
        <v>8990010</v>
      </c>
      <c r="B1036">
        <v>200</v>
      </c>
      <c r="C1036">
        <v>8100100</v>
      </c>
      <c r="D1036">
        <v>8100100</v>
      </c>
    </row>
    <row r="1037" spans="1:4" x14ac:dyDescent="0.4">
      <c r="A1037" s="3">
        <v>8990020</v>
      </c>
      <c r="B1037">
        <v>200</v>
      </c>
      <c r="C1037">
        <v>8100100</v>
      </c>
      <c r="D1037">
        <v>8100100</v>
      </c>
    </row>
    <row r="1038" spans="1:4" x14ac:dyDescent="0.4">
      <c r="A1038" s="3">
        <v>8990030</v>
      </c>
      <c r="B1038">
        <v>200</v>
      </c>
      <c r="C1038">
        <v>8100100</v>
      </c>
      <c r="D1038">
        <v>8100100</v>
      </c>
    </row>
    <row r="1039" spans="1:4" x14ac:dyDescent="0.4">
      <c r="A1039" s="3">
        <v>8990040</v>
      </c>
      <c r="B1039">
        <v>200</v>
      </c>
      <c r="C1039">
        <v>8100100</v>
      </c>
      <c r="D1039">
        <v>8100100</v>
      </c>
    </row>
    <row r="1040" spans="1:4" x14ac:dyDescent="0.4">
      <c r="A1040" s="3">
        <v>8990050</v>
      </c>
      <c r="B1040">
        <v>200</v>
      </c>
      <c r="C1040">
        <v>8100100</v>
      </c>
      <c r="D1040">
        <v>8100100</v>
      </c>
    </row>
    <row r="1041" spans="1:4" x14ac:dyDescent="0.4">
      <c r="A1041" s="3">
        <v>8990100</v>
      </c>
      <c r="B1041">
        <v>200</v>
      </c>
      <c r="C1041">
        <v>8100100</v>
      </c>
      <c r="D1041">
        <v>8100100</v>
      </c>
    </row>
    <row r="1042" spans="1:4" x14ac:dyDescent="0.4">
      <c r="A1042" s="3">
        <v>8990110</v>
      </c>
      <c r="B1042">
        <v>200</v>
      </c>
      <c r="C1042">
        <v>8100100</v>
      </c>
      <c r="D1042">
        <v>8100100</v>
      </c>
    </row>
    <row r="1043" spans="1:4" x14ac:dyDescent="0.4">
      <c r="A1043" s="3">
        <v>8990120</v>
      </c>
      <c r="B1043">
        <v>200</v>
      </c>
      <c r="C1043">
        <v>8100100</v>
      </c>
      <c r="D1043">
        <v>8100100</v>
      </c>
    </row>
    <row r="1044" spans="1:4" x14ac:dyDescent="0.4">
      <c r="A1044" s="3">
        <v>8990130</v>
      </c>
      <c r="B1044">
        <v>200</v>
      </c>
      <c r="C1044">
        <v>8100100</v>
      </c>
      <c r="D1044">
        <v>8100100</v>
      </c>
    </row>
    <row r="1045" spans="1:4" x14ac:dyDescent="0.4">
      <c r="A1045" s="3">
        <v>8990140</v>
      </c>
      <c r="B1045">
        <v>200</v>
      </c>
      <c r="C1045">
        <v>8100100</v>
      </c>
      <c r="D1045">
        <v>8100100</v>
      </c>
    </row>
    <row r="1046" spans="1:4" x14ac:dyDescent="0.4">
      <c r="A1046" s="3">
        <v>8990150</v>
      </c>
      <c r="B1046">
        <v>200</v>
      </c>
      <c r="C1046">
        <v>8100100</v>
      </c>
      <c r="D1046">
        <v>8100100</v>
      </c>
    </row>
    <row r="1047" spans="1:4" x14ac:dyDescent="0.4">
      <c r="A1047" s="3">
        <v>8990200</v>
      </c>
      <c r="B1047">
        <v>200</v>
      </c>
      <c r="C1047">
        <v>8100100</v>
      </c>
      <c r="D1047">
        <v>8100100</v>
      </c>
    </row>
    <row r="1048" spans="1:4" x14ac:dyDescent="0.4">
      <c r="A1048" s="3">
        <v>8990210</v>
      </c>
      <c r="B1048">
        <v>200</v>
      </c>
      <c r="C1048">
        <v>8100100</v>
      </c>
      <c r="D1048">
        <v>8100100</v>
      </c>
    </row>
    <row r="1049" spans="1:4" x14ac:dyDescent="0.4">
      <c r="A1049" s="3">
        <v>8990220</v>
      </c>
      <c r="B1049">
        <v>200</v>
      </c>
      <c r="C1049">
        <v>8100100</v>
      </c>
      <c r="D1049">
        <v>8100100</v>
      </c>
    </row>
    <row r="1050" spans="1:4" x14ac:dyDescent="0.4">
      <c r="A1050" s="3">
        <v>8990230</v>
      </c>
      <c r="B1050">
        <v>200</v>
      </c>
      <c r="C1050">
        <v>8100100</v>
      </c>
      <c r="D1050">
        <v>8100100</v>
      </c>
    </row>
    <row r="1051" spans="1:4" x14ac:dyDescent="0.4">
      <c r="A1051" s="3">
        <v>8990240</v>
      </c>
      <c r="B1051">
        <v>200</v>
      </c>
      <c r="C1051">
        <v>8100100</v>
      </c>
      <c r="D1051">
        <v>8100100</v>
      </c>
    </row>
    <row r="1052" spans="1:4" x14ac:dyDescent="0.4">
      <c r="A1052" s="3">
        <v>8990250</v>
      </c>
      <c r="B1052">
        <v>200</v>
      </c>
      <c r="C1052">
        <v>8100100</v>
      </c>
      <c r="D1052">
        <v>8100100</v>
      </c>
    </row>
    <row r="1053" spans="1:4" x14ac:dyDescent="0.4">
      <c r="A1053" s="3">
        <v>9021400</v>
      </c>
      <c r="B1053">
        <v>100</v>
      </c>
      <c r="C1053">
        <v>9021400</v>
      </c>
      <c r="D1053">
        <v>1</v>
      </c>
    </row>
    <row r="1054" spans="1:4" x14ac:dyDescent="0.4">
      <c r="A1054" s="3">
        <v>9030900</v>
      </c>
      <c r="B1054">
        <v>100</v>
      </c>
      <c r="C1054">
        <v>9030900</v>
      </c>
      <c r="D1054">
        <v>1</v>
      </c>
    </row>
    <row r="1055" spans="1:4" x14ac:dyDescent="0.4">
      <c r="A1055" s="3">
        <v>9031000</v>
      </c>
      <c r="B1055">
        <v>100</v>
      </c>
      <c r="C1055">
        <v>9031000</v>
      </c>
      <c r="D1055">
        <v>1</v>
      </c>
    </row>
    <row r="1056" spans="1:4" x14ac:dyDescent="0.4">
      <c r="A1056" s="3">
        <v>9031400</v>
      </c>
      <c r="B1056">
        <v>100</v>
      </c>
      <c r="C1056">
        <v>9031400</v>
      </c>
      <c r="D1056">
        <v>1</v>
      </c>
    </row>
    <row r="1057" spans="1:4" x14ac:dyDescent="0.4">
      <c r="A1057" s="3">
        <v>9031500</v>
      </c>
      <c r="B1057">
        <v>100</v>
      </c>
      <c r="C1057">
        <v>9031500</v>
      </c>
      <c r="D1057">
        <v>1</v>
      </c>
    </row>
    <row r="1058" spans="1:4" x14ac:dyDescent="0.4">
      <c r="A1058" s="3">
        <v>9031700</v>
      </c>
      <c r="B1058">
        <v>100</v>
      </c>
      <c r="C1058">
        <v>9031700</v>
      </c>
      <c r="D1058">
        <v>1</v>
      </c>
    </row>
    <row r="1059" spans="1:4" x14ac:dyDescent="0.4">
      <c r="A1059" s="3">
        <v>9040200</v>
      </c>
      <c r="B1059">
        <v>100</v>
      </c>
      <c r="C1059">
        <v>9040200</v>
      </c>
      <c r="D1059">
        <v>1</v>
      </c>
    </row>
    <row r="1060" spans="1:4" x14ac:dyDescent="0.4">
      <c r="A1060" s="3">
        <v>9040500</v>
      </c>
      <c r="B1060">
        <v>100</v>
      </c>
      <c r="C1060">
        <v>9040500</v>
      </c>
      <c r="D1060">
        <v>1</v>
      </c>
    </row>
    <row r="1061" spans="1:4" x14ac:dyDescent="0.4">
      <c r="A1061" s="3">
        <v>9040800</v>
      </c>
      <c r="B1061">
        <v>100</v>
      </c>
      <c r="C1061">
        <v>9040800</v>
      </c>
      <c r="D1061">
        <v>1</v>
      </c>
    </row>
    <row r="1062" spans="1:4" x14ac:dyDescent="0.4">
      <c r="A1062" s="3">
        <v>9041000</v>
      </c>
      <c r="B1062">
        <v>100</v>
      </c>
      <c r="C1062">
        <v>9041000</v>
      </c>
      <c r="D1062">
        <v>1</v>
      </c>
    </row>
    <row r="1063" spans="1:4" x14ac:dyDescent="0.4">
      <c r="A1063" s="3">
        <v>9060400</v>
      </c>
      <c r="B1063">
        <v>100</v>
      </c>
      <c r="C1063">
        <v>9060400</v>
      </c>
      <c r="D1063">
        <v>1</v>
      </c>
    </row>
    <row r="1064" spans="1:4" x14ac:dyDescent="0.4">
      <c r="A1064" s="3">
        <v>9071000</v>
      </c>
      <c r="B1064">
        <v>100</v>
      </c>
      <c r="C1064">
        <v>9071000</v>
      </c>
      <c r="D1064">
        <v>1</v>
      </c>
    </row>
    <row r="1065" spans="1:4" x14ac:dyDescent="0.4">
      <c r="A1065" s="3">
        <v>9081000</v>
      </c>
      <c r="B1065">
        <v>100</v>
      </c>
      <c r="C1065">
        <v>9081000</v>
      </c>
      <c r="D1065">
        <v>1</v>
      </c>
    </row>
    <row r="1066" spans="1:4" x14ac:dyDescent="0.4">
      <c r="A1066" s="3">
        <v>9090200</v>
      </c>
      <c r="B1066">
        <v>100</v>
      </c>
      <c r="C1066">
        <v>9090200</v>
      </c>
      <c r="D1066">
        <v>1</v>
      </c>
    </row>
    <row r="1067" spans="1:4" x14ac:dyDescent="0.4">
      <c r="A1067" s="3">
        <v>9111500</v>
      </c>
      <c r="B1067">
        <v>100</v>
      </c>
      <c r="C1067">
        <v>9111500</v>
      </c>
      <c r="D1067">
        <v>1</v>
      </c>
    </row>
    <row r="1068" spans="1:4" x14ac:dyDescent="0.4">
      <c r="A1068" s="3">
        <v>9122000</v>
      </c>
      <c r="B1068">
        <v>100</v>
      </c>
      <c r="C1068">
        <v>9122000</v>
      </c>
      <c r="D1068">
        <v>1</v>
      </c>
    </row>
    <row r="1069" spans="1:4" x14ac:dyDescent="0.4">
      <c r="A1069" s="3">
        <v>9130300</v>
      </c>
      <c r="B1069">
        <v>100</v>
      </c>
      <c r="C1069">
        <v>9130300</v>
      </c>
      <c r="D1069">
        <v>1</v>
      </c>
    </row>
    <row r="1070" spans="1:4" x14ac:dyDescent="0.4">
      <c r="A1070" s="3">
        <v>9150400</v>
      </c>
      <c r="B1070">
        <v>100</v>
      </c>
      <c r="C1070">
        <v>9150400</v>
      </c>
      <c r="D1070">
        <v>1</v>
      </c>
    </row>
    <row r="1071" spans="1:4" x14ac:dyDescent="0.4">
      <c r="A1071" s="3">
        <v>9151100</v>
      </c>
      <c r="B1071">
        <v>100</v>
      </c>
      <c r="C1071">
        <v>9151100</v>
      </c>
      <c r="D1071">
        <v>1</v>
      </c>
    </row>
    <row r="1072" spans="1:4" x14ac:dyDescent="0.4">
      <c r="A1072" s="3">
        <v>9160900</v>
      </c>
      <c r="B1072">
        <v>100</v>
      </c>
      <c r="C1072">
        <v>9160900</v>
      </c>
      <c r="D1072">
        <v>1</v>
      </c>
    </row>
    <row r="1073" spans="1:4" x14ac:dyDescent="0.4">
      <c r="A1073" s="3">
        <v>9170100</v>
      </c>
      <c r="B1073">
        <v>100</v>
      </c>
      <c r="C1073">
        <v>9170100</v>
      </c>
      <c r="D1073">
        <v>1</v>
      </c>
    </row>
    <row r="1074" spans="1:4" x14ac:dyDescent="0.4">
      <c r="A1074" s="3">
        <v>9200600</v>
      </c>
      <c r="B1074">
        <v>100</v>
      </c>
      <c r="C1074">
        <v>9200600</v>
      </c>
      <c r="D1074">
        <v>1</v>
      </c>
    </row>
    <row r="1075" spans="1:4" x14ac:dyDescent="0.4">
      <c r="A1075" s="3">
        <v>9210600</v>
      </c>
      <c r="B1075">
        <v>100</v>
      </c>
      <c r="C1075">
        <v>9210600</v>
      </c>
      <c r="D1075">
        <v>1</v>
      </c>
    </row>
    <row r="1076" spans="1:4" x14ac:dyDescent="0.4">
      <c r="A1076" s="3">
        <v>9230500</v>
      </c>
      <c r="B1076">
        <v>100</v>
      </c>
      <c r="C1076">
        <v>9230500</v>
      </c>
      <c r="D1076">
        <v>1</v>
      </c>
    </row>
    <row r="1077" spans="1:4" x14ac:dyDescent="0.4">
      <c r="A1077" s="3">
        <v>9330900</v>
      </c>
      <c r="B1077">
        <v>100</v>
      </c>
      <c r="C1077">
        <v>9330900</v>
      </c>
      <c r="D1077">
        <v>1</v>
      </c>
    </row>
    <row r="1078" spans="1:4" x14ac:dyDescent="0.4">
      <c r="A1078" s="3">
        <v>9420000</v>
      </c>
      <c r="B1078">
        <v>100</v>
      </c>
      <c r="C1078">
        <v>9420000</v>
      </c>
      <c r="D1078">
        <v>1</v>
      </c>
    </row>
    <row r="1079" spans="1:4" x14ac:dyDescent="0.4">
      <c r="A1079" s="3">
        <v>9990000</v>
      </c>
      <c r="B1079">
        <v>-1</v>
      </c>
      <c r="C1079">
        <v>-1</v>
      </c>
      <c r="D1079">
        <v>1</v>
      </c>
    </row>
    <row r="1080" spans="1:4" x14ac:dyDescent="0.4">
      <c r="A1080" s="3">
        <v>9990100</v>
      </c>
      <c r="B1080">
        <v>100</v>
      </c>
      <c r="C1080">
        <v>9990100</v>
      </c>
      <c r="D1080">
        <v>1</v>
      </c>
    </row>
    <row r="1081" spans="1:4" x14ac:dyDescent="0.4">
      <c r="A1081" s="3">
        <v>9990101</v>
      </c>
      <c r="B1081">
        <v>100</v>
      </c>
      <c r="C1081">
        <v>9990100</v>
      </c>
      <c r="D1081">
        <v>1</v>
      </c>
    </row>
    <row r="1082" spans="1:4" x14ac:dyDescent="0.4">
      <c r="A1082" s="3">
        <v>9990102</v>
      </c>
      <c r="B1082">
        <v>100</v>
      </c>
      <c r="C1082">
        <v>9990100</v>
      </c>
      <c r="D1082">
        <v>1</v>
      </c>
    </row>
    <row r="1083" spans="1:4" x14ac:dyDescent="0.4">
      <c r="A1083" s="3">
        <v>9990103</v>
      </c>
      <c r="B1083">
        <v>100</v>
      </c>
      <c r="C1083">
        <v>9990100</v>
      </c>
      <c r="D1083">
        <v>1</v>
      </c>
    </row>
    <row r="1084" spans="1:4" x14ac:dyDescent="0.4">
      <c r="A1084" s="3">
        <v>9990104</v>
      </c>
      <c r="B1084">
        <v>100</v>
      </c>
      <c r="C1084">
        <v>9990100</v>
      </c>
      <c r="D1084">
        <v>1</v>
      </c>
    </row>
    <row r="1085" spans="1:4" x14ac:dyDescent="0.4">
      <c r="A1085" s="3">
        <v>9990105</v>
      </c>
      <c r="B1085">
        <v>100</v>
      </c>
      <c r="C1085">
        <v>9990100</v>
      </c>
      <c r="D1085">
        <v>1</v>
      </c>
    </row>
    <row r="1086" spans="1:4" x14ac:dyDescent="0.4">
      <c r="A1086" s="3">
        <v>9990106</v>
      </c>
      <c r="B1086">
        <v>100</v>
      </c>
      <c r="C1086">
        <v>9990100</v>
      </c>
      <c r="D1086">
        <v>1</v>
      </c>
    </row>
    <row r="1087" spans="1:4" x14ac:dyDescent="0.4">
      <c r="A1087" s="3">
        <v>9990107</v>
      </c>
      <c r="B1087">
        <v>100</v>
      </c>
      <c r="C1087">
        <v>9990100</v>
      </c>
      <c r="D1087">
        <v>1</v>
      </c>
    </row>
    <row r="1088" spans="1:4" x14ac:dyDescent="0.4">
      <c r="A1088" s="3">
        <v>9990108</v>
      </c>
      <c r="B1088">
        <v>100</v>
      </c>
      <c r="C1088">
        <v>9990100</v>
      </c>
      <c r="D1088">
        <v>1</v>
      </c>
    </row>
    <row r="1089" spans="1:4" x14ac:dyDescent="0.4">
      <c r="A1089" s="3">
        <v>9990109</v>
      </c>
      <c r="B1089">
        <v>100</v>
      </c>
      <c r="C1089">
        <v>9990100</v>
      </c>
      <c r="D1089">
        <v>1</v>
      </c>
    </row>
    <row r="1090" spans="1:4" x14ac:dyDescent="0.4">
      <c r="A1090" s="3">
        <v>9990110</v>
      </c>
      <c r="B1090">
        <v>100</v>
      </c>
      <c r="C1090">
        <v>9990100</v>
      </c>
      <c r="D1090">
        <v>1</v>
      </c>
    </row>
    <row r="1091" spans="1:4" x14ac:dyDescent="0.4">
      <c r="A1091" s="3">
        <v>9990111</v>
      </c>
      <c r="B1091">
        <v>100</v>
      </c>
      <c r="C1091">
        <v>9990100</v>
      </c>
      <c r="D1091">
        <v>1</v>
      </c>
    </row>
    <row r="1092" spans="1:4" x14ac:dyDescent="0.4">
      <c r="A1092" s="3">
        <v>9990112</v>
      </c>
      <c r="B1092">
        <v>100</v>
      </c>
      <c r="C1092">
        <v>9990100</v>
      </c>
      <c r="D1092">
        <v>1</v>
      </c>
    </row>
    <row r="1093" spans="1:4" x14ac:dyDescent="0.4">
      <c r="A1093" s="3">
        <v>9990113</v>
      </c>
      <c r="B1093">
        <v>100</v>
      </c>
      <c r="C1093">
        <v>9990100</v>
      </c>
      <c r="D1093">
        <v>1</v>
      </c>
    </row>
    <row r="1094" spans="1:4" x14ac:dyDescent="0.4">
      <c r="A1094" s="3">
        <v>9990114</v>
      </c>
      <c r="B1094">
        <v>100</v>
      </c>
      <c r="C1094">
        <v>9990100</v>
      </c>
      <c r="D1094">
        <v>1</v>
      </c>
    </row>
    <row r="1095" spans="1:4" x14ac:dyDescent="0.4">
      <c r="A1095" s="3">
        <v>9990115</v>
      </c>
      <c r="B1095">
        <v>100</v>
      </c>
      <c r="C1095">
        <v>9990100</v>
      </c>
      <c r="D1095">
        <v>1</v>
      </c>
    </row>
    <row r="1096" spans="1:4" x14ac:dyDescent="0.4">
      <c r="A1096" s="3">
        <v>9990116</v>
      </c>
      <c r="B1096">
        <v>100</v>
      </c>
      <c r="C1096">
        <v>9990100</v>
      </c>
      <c r="D1096">
        <v>1</v>
      </c>
    </row>
    <row r="1097" spans="1:4" x14ac:dyDescent="0.4">
      <c r="A1097" s="3">
        <v>9990117</v>
      </c>
      <c r="B1097">
        <v>100</v>
      </c>
      <c r="C1097">
        <v>9990100</v>
      </c>
      <c r="D1097">
        <v>1</v>
      </c>
    </row>
    <row r="1098" spans="1:4" x14ac:dyDescent="0.4">
      <c r="A1098" s="3">
        <v>9990118</v>
      </c>
      <c r="B1098">
        <v>100</v>
      </c>
      <c r="C1098">
        <v>9990100</v>
      </c>
      <c r="D1098">
        <v>1</v>
      </c>
    </row>
    <row r="1099" spans="1:4" x14ac:dyDescent="0.4">
      <c r="A1099" s="3">
        <v>9990119</v>
      </c>
      <c r="B1099">
        <v>100</v>
      </c>
      <c r="C1099">
        <v>9990100</v>
      </c>
      <c r="D1099">
        <v>1</v>
      </c>
    </row>
    <row r="1100" spans="1:4" x14ac:dyDescent="0.4">
      <c r="A1100" s="3">
        <v>9990120</v>
      </c>
      <c r="B1100">
        <v>100</v>
      </c>
      <c r="C1100">
        <v>9990100</v>
      </c>
      <c r="D1100">
        <v>1</v>
      </c>
    </row>
    <row r="1101" spans="1:4" x14ac:dyDescent="0.4">
      <c r="A1101" s="3">
        <v>9990121</v>
      </c>
      <c r="B1101">
        <v>100</v>
      </c>
      <c r="C1101">
        <v>9990100</v>
      </c>
      <c r="D1101">
        <v>1</v>
      </c>
    </row>
    <row r="1102" spans="1:4" x14ac:dyDescent="0.4">
      <c r="A1102" s="3">
        <v>9990122</v>
      </c>
      <c r="B1102">
        <v>100</v>
      </c>
      <c r="C1102">
        <v>9990100</v>
      </c>
      <c r="D1102">
        <v>1</v>
      </c>
    </row>
    <row r="1103" spans="1:4" x14ac:dyDescent="0.4">
      <c r="A1103" s="3">
        <v>9990123</v>
      </c>
      <c r="B1103">
        <v>100</v>
      </c>
      <c r="C1103">
        <v>9990100</v>
      </c>
      <c r="D1103">
        <v>1</v>
      </c>
    </row>
    <row r="1104" spans="1:4" x14ac:dyDescent="0.4">
      <c r="A1104" s="3">
        <v>9990124</v>
      </c>
      <c r="B1104">
        <v>100</v>
      </c>
      <c r="C1104">
        <v>9990100</v>
      </c>
      <c r="D1104">
        <v>1</v>
      </c>
    </row>
    <row r="1105" spans="1:4" x14ac:dyDescent="0.4">
      <c r="A1105" s="3">
        <v>9990125</v>
      </c>
      <c r="B1105">
        <v>100</v>
      </c>
      <c r="C1105">
        <v>9990100</v>
      </c>
      <c r="D1105">
        <v>1</v>
      </c>
    </row>
    <row r="1106" spans="1:4" x14ac:dyDescent="0.4">
      <c r="A1106" s="3">
        <v>9990126</v>
      </c>
      <c r="B1106">
        <v>100</v>
      </c>
      <c r="C1106">
        <v>9990100</v>
      </c>
      <c r="D1106">
        <v>1</v>
      </c>
    </row>
    <row r="1107" spans="1:4" x14ac:dyDescent="0.4">
      <c r="A1107" s="3">
        <v>9990127</v>
      </c>
      <c r="B1107">
        <v>100</v>
      </c>
      <c r="C1107">
        <v>9990100</v>
      </c>
      <c r="D1107">
        <v>1</v>
      </c>
    </row>
    <row r="1108" spans="1:4" x14ac:dyDescent="0.4">
      <c r="A1108" s="3">
        <v>9990128</v>
      </c>
      <c r="B1108">
        <v>100</v>
      </c>
      <c r="C1108">
        <v>9990100</v>
      </c>
      <c r="D1108">
        <v>1</v>
      </c>
    </row>
    <row r="1109" spans="1:4" x14ac:dyDescent="0.4">
      <c r="A1109" s="3">
        <v>9990129</v>
      </c>
      <c r="B1109">
        <v>100</v>
      </c>
      <c r="C1109">
        <v>9990100</v>
      </c>
      <c r="D1109">
        <v>1</v>
      </c>
    </row>
    <row r="1110" spans="1:4" x14ac:dyDescent="0.4">
      <c r="A1110" s="3">
        <v>9990130</v>
      </c>
      <c r="B1110">
        <v>100</v>
      </c>
      <c r="C1110">
        <v>9990100</v>
      </c>
      <c r="D1110">
        <v>1</v>
      </c>
    </row>
    <row r="1111" spans="1:4" x14ac:dyDescent="0.4">
      <c r="A1111" s="3">
        <v>9990131</v>
      </c>
      <c r="B1111">
        <v>100</v>
      </c>
      <c r="C1111">
        <v>9990100</v>
      </c>
      <c r="D1111">
        <v>1</v>
      </c>
    </row>
    <row r="1112" spans="1:4" x14ac:dyDescent="0.4">
      <c r="A1112" s="3">
        <v>9990132</v>
      </c>
      <c r="B1112">
        <v>100</v>
      </c>
      <c r="C1112">
        <v>9990100</v>
      </c>
      <c r="D1112">
        <v>1</v>
      </c>
    </row>
    <row r="1113" spans="1:4" x14ac:dyDescent="0.4">
      <c r="A1113" s="3">
        <v>9990133</v>
      </c>
      <c r="B1113">
        <v>100</v>
      </c>
      <c r="C1113">
        <v>9990100</v>
      </c>
      <c r="D1113">
        <v>1</v>
      </c>
    </row>
    <row r="1114" spans="1:4" x14ac:dyDescent="0.4">
      <c r="A1114" s="3">
        <v>9990134</v>
      </c>
      <c r="B1114">
        <v>100</v>
      </c>
      <c r="C1114">
        <v>9990100</v>
      </c>
      <c r="D1114">
        <v>1</v>
      </c>
    </row>
    <row r="1115" spans="1:4" x14ac:dyDescent="0.4">
      <c r="A1115" s="3">
        <v>9990135</v>
      </c>
      <c r="B1115">
        <v>100</v>
      </c>
      <c r="C1115">
        <v>9990100</v>
      </c>
      <c r="D1115">
        <v>1</v>
      </c>
    </row>
    <row r="1116" spans="1:4" x14ac:dyDescent="0.4">
      <c r="A1116" s="3">
        <v>9990136</v>
      </c>
      <c r="B1116">
        <v>100</v>
      </c>
      <c r="C1116">
        <v>9990100</v>
      </c>
      <c r="D1116">
        <v>1</v>
      </c>
    </row>
    <row r="1117" spans="1:4" x14ac:dyDescent="0.4">
      <c r="A1117" s="3">
        <v>9990137</v>
      </c>
      <c r="B1117">
        <v>100</v>
      </c>
      <c r="C1117">
        <v>9990100</v>
      </c>
      <c r="D1117">
        <v>1</v>
      </c>
    </row>
    <row r="1118" spans="1:4" x14ac:dyDescent="0.4">
      <c r="A1118" s="3">
        <v>9990138</v>
      </c>
      <c r="B1118">
        <v>100</v>
      </c>
      <c r="C1118">
        <v>9990100</v>
      </c>
      <c r="D1118">
        <v>1</v>
      </c>
    </row>
    <row r="1119" spans="1:4" x14ac:dyDescent="0.4">
      <c r="A1119" s="3">
        <v>9990139</v>
      </c>
      <c r="B1119">
        <v>100</v>
      </c>
      <c r="C1119">
        <v>9990100</v>
      </c>
      <c r="D1119">
        <v>1</v>
      </c>
    </row>
    <row r="1120" spans="1:4" x14ac:dyDescent="0.4">
      <c r="A1120" s="3">
        <v>9990140</v>
      </c>
      <c r="B1120">
        <v>100</v>
      </c>
      <c r="C1120">
        <v>9990100</v>
      </c>
      <c r="D1120">
        <v>1</v>
      </c>
    </row>
    <row r="1121" spans="1:4" x14ac:dyDescent="0.4">
      <c r="A1121" s="3">
        <v>9990141</v>
      </c>
      <c r="B1121">
        <v>100</v>
      </c>
      <c r="C1121">
        <v>9990100</v>
      </c>
      <c r="D1121">
        <v>1</v>
      </c>
    </row>
    <row r="1122" spans="1:4" x14ac:dyDescent="0.4">
      <c r="A1122" s="3">
        <v>9990142</v>
      </c>
      <c r="B1122">
        <v>100</v>
      </c>
      <c r="C1122">
        <v>9990100</v>
      </c>
      <c r="D1122">
        <v>1</v>
      </c>
    </row>
    <row r="1123" spans="1:4" x14ac:dyDescent="0.4">
      <c r="A1123" s="3">
        <v>9990143</v>
      </c>
      <c r="B1123">
        <v>100</v>
      </c>
      <c r="C1123">
        <v>9990100</v>
      </c>
      <c r="D1123">
        <v>1</v>
      </c>
    </row>
    <row r="1124" spans="1:4" x14ac:dyDescent="0.4">
      <c r="A1124" s="3">
        <v>9990144</v>
      </c>
      <c r="B1124">
        <v>100</v>
      </c>
      <c r="C1124">
        <v>9990100</v>
      </c>
      <c r="D1124">
        <v>1</v>
      </c>
    </row>
    <row r="1125" spans="1:4" x14ac:dyDescent="0.4">
      <c r="A1125" s="3">
        <v>9990145</v>
      </c>
      <c r="B1125">
        <v>100</v>
      </c>
      <c r="C1125">
        <v>9990100</v>
      </c>
      <c r="D1125">
        <v>1</v>
      </c>
    </row>
    <row r="1126" spans="1:4" x14ac:dyDescent="0.4">
      <c r="A1126" s="3">
        <v>9990146</v>
      </c>
      <c r="B1126">
        <v>100</v>
      </c>
      <c r="C1126">
        <v>9990100</v>
      </c>
      <c r="D1126">
        <v>1</v>
      </c>
    </row>
    <row r="1127" spans="1:4" x14ac:dyDescent="0.4">
      <c r="A1127" s="3">
        <v>9990147</v>
      </c>
      <c r="B1127">
        <v>100</v>
      </c>
      <c r="C1127">
        <v>9990100</v>
      </c>
      <c r="D1127">
        <v>1</v>
      </c>
    </row>
    <row r="1128" spans="1:4" x14ac:dyDescent="0.4">
      <c r="A1128" s="3">
        <v>9990148</v>
      </c>
      <c r="B1128">
        <v>100</v>
      </c>
      <c r="C1128">
        <v>9990100</v>
      </c>
      <c r="D1128">
        <v>1</v>
      </c>
    </row>
    <row r="1129" spans="1:4" x14ac:dyDescent="0.4">
      <c r="A1129" s="3">
        <v>9990149</v>
      </c>
      <c r="B1129">
        <v>100</v>
      </c>
      <c r="C1129">
        <v>9990100</v>
      </c>
      <c r="D1129">
        <v>1</v>
      </c>
    </row>
    <row r="1130" spans="1:4" x14ac:dyDescent="0.4">
      <c r="A1130" s="3">
        <v>9990150</v>
      </c>
      <c r="B1130">
        <v>100</v>
      </c>
      <c r="C1130">
        <v>9990100</v>
      </c>
      <c r="D1130">
        <v>1</v>
      </c>
    </row>
    <row r="1131" spans="1:4" x14ac:dyDescent="0.4">
      <c r="A1131" s="3">
        <v>9990151</v>
      </c>
      <c r="B1131">
        <v>100</v>
      </c>
      <c r="C1131">
        <v>9990100</v>
      </c>
      <c r="D1131">
        <v>1</v>
      </c>
    </row>
    <row r="1132" spans="1:4" x14ac:dyDescent="0.4">
      <c r="A1132" s="3">
        <v>9990152</v>
      </c>
      <c r="B1132">
        <v>100</v>
      </c>
      <c r="C1132">
        <v>9990100</v>
      </c>
      <c r="D1132">
        <v>1</v>
      </c>
    </row>
    <row r="1133" spans="1:4" x14ac:dyDescent="0.4">
      <c r="A1133" s="3">
        <v>9990153</v>
      </c>
      <c r="B1133">
        <v>100</v>
      </c>
      <c r="C1133">
        <v>9990100</v>
      </c>
      <c r="D1133">
        <v>1</v>
      </c>
    </row>
    <row r="1134" spans="1:4" x14ac:dyDescent="0.4">
      <c r="A1134" s="3">
        <v>9990154</v>
      </c>
      <c r="B1134">
        <v>100</v>
      </c>
      <c r="C1134">
        <v>9990100</v>
      </c>
      <c r="D1134">
        <v>1</v>
      </c>
    </row>
    <row r="1135" spans="1:4" x14ac:dyDescent="0.4">
      <c r="A1135" s="3">
        <v>9990155</v>
      </c>
      <c r="B1135">
        <v>100</v>
      </c>
      <c r="C1135">
        <v>9990100</v>
      </c>
      <c r="D1135">
        <v>1</v>
      </c>
    </row>
    <row r="1136" spans="1:4" x14ac:dyDescent="0.4">
      <c r="A1136" s="3">
        <v>9990156</v>
      </c>
      <c r="B1136">
        <v>100</v>
      </c>
      <c r="C1136">
        <v>9990100</v>
      </c>
      <c r="D1136">
        <v>1</v>
      </c>
    </row>
    <row r="1137" spans="1:4" x14ac:dyDescent="0.4">
      <c r="A1137" s="3">
        <v>9990157</v>
      </c>
      <c r="B1137">
        <v>100</v>
      </c>
      <c r="C1137">
        <v>9990100</v>
      </c>
      <c r="D1137">
        <v>1</v>
      </c>
    </row>
    <row r="1138" spans="1:4" x14ac:dyDescent="0.4">
      <c r="A1138" s="3">
        <v>9990158</v>
      </c>
      <c r="B1138">
        <v>100</v>
      </c>
      <c r="C1138">
        <v>9990100</v>
      </c>
      <c r="D1138">
        <v>1</v>
      </c>
    </row>
    <row r="1139" spans="1:4" x14ac:dyDescent="0.4">
      <c r="A1139" s="3">
        <v>9990159</v>
      </c>
      <c r="B1139">
        <v>100</v>
      </c>
      <c r="C1139">
        <v>9990100</v>
      </c>
      <c r="D1139">
        <v>1</v>
      </c>
    </row>
    <row r="1140" spans="1:4" x14ac:dyDescent="0.4">
      <c r="A1140" s="3">
        <v>9990160</v>
      </c>
      <c r="B1140">
        <v>100</v>
      </c>
      <c r="C1140">
        <v>9990100</v>
      </c>
      <c r="D1140">
        <v>1</v>
      </c>
    </row>
    <row r="1141" spans="1:4" x14ac:dyDescent="0.4">
      <c r="A1141" s="3">
        <v>9990161</v>
      </c>
      <c r="B1141">
        <v>100</v>
      </c>
      <c r="C1141">
        <v>9990100</v>
      </c>
      <c r="D1141">
        <v>1</v>
      </c>
    </row>
    <row r="1142" spans="1:4" x14ac:dyDescent="0.4">
      <c r="A1142" s="3">
        <v>9990162</v>
      </c>
      <c r="B1142">
        <v>100</v>
      </c>
      <c r="C1142">
        <v>9990100</v>
      </c>
      <c r="D1142">
        <v>1</v>
      </c>
    </row>
    <row r="1143" spans="1:4" x14ac:dyDescent="0.4">
      <c r="A1143" s="3">
        <v>9990163</v>
      </c>
      <c r="B1143">
        <v>100</v>
      </c>
      <c r="C1143">
        <v>9990100</v>
      </c>
      <c r="D1143">
        <v>1</v>
      </c>
    </row>
    <row r="1144" spans="1:4" x14ac:dyDescent="0.4">
      <c r="A1144" s="3">
        <v>9990164</v>
      </c>
      <c r="B1144">
        <v>100</v>
      </c>
      <c r="C1144">
        <v>9990100</v>
      </c>
      <c r="D1144">
        <v>1</v>
      </c>
    </row>
    <row r="1145" spans="1:4" x14ac:dyDescent="0.4">
      <c r="A1145" s="3">
        <v>9990165</v>
      </c>
      <c r="B1145">
        <v>100</v>
      </c>
      <c r="C1145">
        <v>9990100</v>
      </c>
      <c r="D1145">
        <v>1</v>
      </c>
    </row>
    <row r="1146" spans="1:4" x14ac:dyDescent="0.4">
      <c r="A1146" s="3">
        <v>9990166</v>
      </c>
      <c r="B1146">
        <v>100</v>
      </c>
      <c r="C1146">
        <v>9990100</v>
      </c>
      <c r="D1146">
        <v>1</v>
      </c>
    </row>
    <row r="1147" spans="1:4" x14ac:dyDescent="0.4">
      <c r="A1147" s="3">
        <v>9990167</v>
      </c>
      <c r="B1147">
        <v>100</v>
      </c>
      <c r="C1147">
        <v>9990100</v>
      </c>
      <c r="D1147">
        <v>1</v>
      </c>
    </row>
    <row r="1148" spans="1:4" x14ac:dyDescent="0.4">
      <c r="A1148" s="3">
        <v>9990168</v>
      </c>
      <c r="B1148">
        <v>100</v>
      </c>
      <c r="C1148">
        <v>9990100</v>
      </c>
      <c r="D1148">
        <v>1</v>
      </c>
    </row>
    <row r="1149" spans="1:4" x14ac:dyDescent="0.4">
      <c r="A1149" s="3">
        <v>9990169</v>
      </c>
      <c r="B1149">
        <v>100</v>
      </c>
      <c r="C1149">
        <v>9990100</v>
      </c>
      <c r="D1149">
        <v>1</v>
      </c>
    </row>
    <row r="1150" spans="1:4" x14ac:dyDescent="0.4">
      <c r="A1150" s="3">
        <v>9990170</v>
      </c>
      <c r="B1150">
        <v>100</v>
      </c>
      <c r="C1150">
        <v>9990100</v>
      </c>
      <c r="D1150">
        <v>1</v>
      </c>
    </row>
    <row r="1151" spans="1:4" x14ac:dyDescent="0.4">
      <c r="A1151" s="3">
        <v>9990171</v>
      </c>
      <c r="B1151">
        <v>100</v>
      </c>
      <c r="C1151">
        <v>9990100</v>
      </c>
      <c r="D1151">
        <v>1</v>
      </c>
    </row>
    <row r="1152" spans="1:4" x14ac:dyDescent="0.4">
      <c r="A1152" s="3">
        <v>9990172</v>
      </c>
      <c r="B1152">
        <v>100</v>
      </c>
      <c r="C1152">
        <v>9990100</v>
      </c>
      <c r="D1152">
        <v>1</v>
      </c>
    </row>
    <row r="1153" spans="1:4" x14ac:dyDescent="0.4">
      <c r="A1153" s="3">
        <v>9990173</v>
      </c>
      <c r="B1153">
        <v>100</v>
      </c>
      <c r="C1153">
        <v>9990100</v>
      </c>
      <c r="D1153">
        <v>1</v>
      </c>
    </row>
    <row r="1154" spans="1:4" x14ac:dyDescent="0.4">
      <c r="A1154" s="3">
        <v>9990174</v>
      </c>
      <c r="B1154">
        <v>100</v>
      </c>
      <c r="C1154">
        <v>9990100</v>
      </c>
      <c r="D1154">
        <v>1</v>
      </c>
    </row>
    <row r="1155" spans="1:4" x14ac:dyDescent="0.4">
      <c r="A1155" s="3">
        <v>9990175</v>
      </c>
      <c r="B1155">
        <v>100</v>
      </c>
      <c r="C1155">
        <v>9990100</v>
      </c>
      <c r="D1155">
        <v>1</v>
      </c>
    </row>
    <row r="1156" spans="1:4" x14ac:dyDescent="0.4">
      <c r="A1156" s="3">
        <v>9990176</v>
      </c>
      <c r="B1156">
        <v>100</v>
      </c>
      <c r="C1156">
        <v>9990100</v>
      </c>
      <c r="D1156">
        <v>1</v>
      </c>
    </row>
    <row r="1157" spans="1:4" x14ac:dyDescent="0.4">
      <c r="A1157" s="3">
        <v>9990177</v>
      </c>
      <c r="B1157">
        <v>100</v>
      </c>
      <c r="C1157">
        <v>9990100</v>
      </c>
      <c r="D1157">
        <v>1</v>
      </c>
    </row>
    <row r="1158" spans="1:4" x14ac:dyDescent="0.4">
      <c r="A1158" s="3">
        <v>9990178</v>
      </c>
      <c r="B1158">
        <v>100</v>
      </c>
      <c r="C1158">
        <v>9990100</v>
      </c>
      <c r="D1158">
        <v>1</v>
      </c>
    </row>
    <row r="1159" spans="1:4" x14ac:dyDescent="0.4">
      <c r="A1159" s="3">
        <v>9990179</v>
      </c>
      <c r="B1159">
        <v>100</v>
      </c>
      <c r="C1159">
        <v>9990100</v>
      </c>
      <c r="D1159">
        <v>1</v>
      </c>
    </row>
    <row r="1160" spans="1:4" x14ac:dyDescent="0.4">
      <c r="A1160" s="3">
        <v>9990180</v>
      </c>
      <c r="B1160">
        <v>100</v>
      </c>
      <c r="C1160">
        <v>9990100</v>
      </c>
      <c r="D1160">
        <v>1</v>
      </c>
    </row>
    <row r="1161" spans="1:4" x14ac:dyDescent="0.4">
      <c r="A1161" s="3">
        <v>9990181</v>
      </c>
      <c r="B1161">
        <v>100</v>
      </c>
      <c r="C1161">
        <v>9990100</v>
      </c>
      <c r="D1161">
        <v>1</v>
      </c>
    </row>
    <row r="1162" spans="1:4" x14ac:dyDescent="0.4">
      <c r="A1162" s="3">
        <v>9990182</v>
      </c>
      <c r="B1162">
        <v>100</v>
      </c>
      <c r="C1162">
        <v>9990100</v>
      </c>
      <c r="D1162">
        <v>1</v>
      </c>
    </row>
    <row r="1163" spans="1:4" x14ac:dyDescent="0.4">
      <c r="A1163" s="3">
        <v>9990183</v>
      </c>
      <c r="B1163">
        <v>100</v>
      </c>
      <c r="C1163">
        <v>9990100</v>
      </c>
      <c r="D1163">
        <v>1</v>
      </c>
    </row>
    <row r="1164" spans="1:4" x14ac:dyDescent="0.4">
      <c r="A1164" s="3">
        <v>9990184</v>
      </c>
      <c r="B1164">
        <v>100</v>
      </c>
      <c r="C1164">
        <v>9990100</v>
      </c>
      <c r="D1164">
        <v>1</v>
      </c>
    </row>
    <row r="1165" spans="1:4" x14ac:dyDescent="0.4">
      <c r="A1165" s="3">
        <v>9990185</v>
      </c>
      <c r="B1165">
        <v>100</v>
      </c>
      <c r="C1165">
        <v>9990100</v>
      </c>
      <c r="D1165">
        <v>1</v>
      </c>
    </row>
    <row r="1166" spans="1:4" x14ac:dyDescent="0.4">
      <c r="A1166" s="3">
        <v>9990186</v>
      </c>
      <c r="B1166">
        <v>100</v>
      </c>
      <c r="C1166">
        <v>9990100</v>
      </c>
      <c r="D1166">
        <v>1</v>
      </c>
    </row>
    <row r="1167" spans="1:4" x14ac:dyDescent="0.4">
      <c r="A1167" s="3">
        <v>9990187</v>
      </c>
      <c r="B1167">
        <v>100</v>
      </c>
      <c r="C1167">
        <v>9990100</v>
      </c>
      <c r="D1167">
        <v>1</v>
      </c>
    </row>
    <row r="1168" spans="1:4" x14ac:dyDescent="0.4">
      <c r="A1168" s="3">
        <v>9990188</v>
      </c>
      <c r="B1168">
        <v>100</v>
      </c>
      <c r="C1168">
        <v>9990100</v>
      </c>
      <c r="D1168">
        <v>1</v>
      </c>
    </row>
    <row r="1169" spans="1:4" x14ac:dyDescent="0.4">
      <c r="A1169" s="3">
        <v>9990189</v>
      </c>
      <c r="B1169">
        <v>100</v>
      </c>
      <c r="C1169">
        <v>9990100</v>
      </c>
      <c r="D1169">
        <v>1</v>
      </c>
    </row>
    <row r="1170" spans="1:4" x14ac:dyDescent="0.4">
      <c r="A1170" s="3">
        <v>9990190</v>
      </c>
      <c r="B1170">
        <v>100</v>
      </c>
      <c r="C1170">
        <v>9990100</v>
      </c>
      <c r="D1170">
        <v>1</v>
      </c>
    </row>
    <row r="1171" spans="1:4" x14ac:dyDescent="0.4">
      <c r="A1171" s="3">
        <v>9990191</v>
      </c>
      <c r="B1171">
        <v>100</v>
      </c>
      <c r="C1171">
        <v>9990100</v>
      </c>
      <c r="D1171">
        <v>1</v>
      </c>
    </row>
    <row r="1172" spans="1:4" x14ac:dyDescent="0.4">
      <c r="A1172" s="3">
        <v>9990192</v>
      </c>
      <c r="B1172">
        <v>100</v>
      </c>
      <c r="C1172">
        <v>9990100</v>
      </c>
      <c r="D1172">
        <v>1</v>
      </c>
    </row>
    <row r="1173" spans="1:4" x14ac:dyDescent="0.4">
      <c r="A1173" s="3">
        <v>9990193</v>
      </c>
      <c r="B1173">
        <v>100</v>
      </c>
      <c r="C1173">
        <v>9990100</v>
      </c>
      <c r="D1173">
        <v>1</v>
      </c>
    </row>
    <row r="1174" spans="1:4" x14ac:dyDescent="0.4">
      <c r="A1174" s="3">
        <v>9990194</v>
      </c>
      <c r="B1174">
        <v>100</v>
      </c>
      <c r="C1174">
        <v>9990100</v>
      </c>
      <c r="D1174">
        <v>1</v>
      </c>
    </row>
    <row r="1175" spans="1:4" x14ac:dyDescent="0.4">
      <c r="A1175" s="3">
        <v>9990195</v>
      </c>
      <c r="B1175">
        <v>100</v>
      </c>
      <c r="C1175">
        <v>9990100</v>
      </c>
      <c r="D1175">
        <v>1</v>
      </c>
    </row>
    <row r="1176" spans="1:4" x14ac:dyDescent="0.4">
      <c r="A1176" s="3">
        <v>9990196</v>
      </c>
      <c r="B1176">
        <v>100</v>
      </c>
      <c r="C1176">
        <v>9990100</v>
      </c>
      <c r="D1176">
        <v>1</v>
      </c>
    </row>
    <row r="1177" spans="1:4" x14ac:dyDescent="0.4">
      <c r="A1177" s="3">
        <v>9990197</v>
      </c>
      <c r="B1177">
        <v>100</v>
      </c>
      <c r="C1177">
        <v>9990100</v>
      </c>
      <c r="D1177">
        <v>1</v>
      </c>
    </row>
    <row r="1178" spans="1:4" x14ac:dyDescent="0.4">
      <c r="A1178" s="3">
        <v>9990198</v>
      </c>
      <c r="B1178">
        <v>100</v>
      </c>
      <c r="C1178">
        <v>9990100</v>
      </c>
      <c r="D1178">
        <v>1</v>
      </c>
    </row>
    <row r="1179" spans="1:4" x14ac:dyDescent="0.4">
      <c r="A1179" s="3">
        <v>9990199</v>
      </c>
      <c r="B1179">
        <v>100</v>
      </c>
      <c r="C1179">
        <v>9990100</v>
      </c>
      <c r="D1179">
        <v>1</v>
      </c>
    </row>
    <row r="1180" spans="1:4" x14ac:dyDescent="0.4">
      <c r="A1180" s="3">
        <v>9990200</v>
      </c>
      <c r="B1180">
        <v>100</v>
      </c>
      <c r="C1180">
        <v>9990200</v>
      </c>
      <c r="D1180">
        <v>1</v>
      </c>
    </row>
    <row r="1181" spans="1:4" x14ac:dyDescent="0.4">
      <c r="A1181" s="3">
        <v>9990201</v>
      </c>
      <c r="B1181">
        <v>100</v>
      </c>
      <c r="C1181">
        <v>9990200</v>
      </c>
      <c r="D1181">
        <v>1</v>
      </c>
    </row>
    <row r="1182" spans="1:4" x14ac:dyDescent="0.4">
      <c r="A1182" s="3">
        <v>9990202</v>
      </c>
      <c r="B1182">
        <v>100</v>
      </c>
      <c r="C1182">
        <v>9990200</v>
      </c>
      <c r="D1182">
        <v>1</v>
      </c>
    </row>
    <row r="1183" spans="1:4" x14ac:dyDescent="0.4">
      <c r="A1183" s="3">
        <v>9990203</v>
      </c>
      <c r="B1183">
        <v>100</v>
      </c>
      <c r="C1183">
        <v>9990200</v>
      </c>
      <c r="D1183">
        <v>1</v>
      </c>
    </row>
    <row r="1184" spans="1:4" x14ac:dyDescent="0.4">
      <c r="A1184" s="3">
        <v>9990204</v>
      </c>
      <c r="B1184">
        <v>100</v>
      </c>
      <c r="C1184">
        <v>9990200</v>
      </c>
      <c r="D1184">
        <v>1</v>
      </c>
    </row>
    <row r="1185" spans="1:4" x14ac:dyDescent="0.4">
      <c r="A1185" s="3">
        <v>9990205</v>
      </c>
      <c r="B1185">
        <v>100</v>
      </c>
      <c r="C1185">
        <v>9990200</v>
      </c>
      <c r="D1185">
        <v>1</v>
      </c>
    </row>
    <row r="1186" spans="1:4" x14ac:dyDescent="0.4">
      <c r="A1186" s="3">
        <v>9990206</v>
      </c>
      <c r="B1186">
        <v>100</v>
      </c>
      <c r="C1186">
        <v>9990200</v>
      </c>
      <c r="D1186">
        <v>1</v>
      </c>
    </row>
    <row r="1187" spans="1:4" x14ac:dyDescent="0.4">
      <c r="A1187" s="3">
        <v>9990207</v>
      </c>
      <c r="B1187">
        <v>100</v>
      </c>
      <c r="C1187">
        <v>9990200</v>
      </c>
      <c r="D1187">
        <v>1</v>
      </c>
    </row>
    <row r="1188" spans="1:4" x14ac:dyDescent="0.4">
      <c r="A1188" s="3">
        <v>9990208</v>
      </c>
      <c r="B1188">
        <v>100</v>
      </c>
      <c r="C1188">
        <v>9990200</v>
      </c>
      <c r="D1188">
        <v>1</v>
      </c>
    </row>
    <row r="1189" spans="1:4" x14ac:dyDescent="0.4">
      <c r="A1189" s="3">
        <v>9990209</v>
      </c>
      <c r="B1189">
        <v>100</v>
      </c>
      <c r="C1189">
        <v>9990200</v>
      </c>
      <c r="D1189">
        <v>1</v>
      </c>
    </row>
    <row r="1190" spans="1:4" x14ac:dyDescent="0.4">
      <c r="A1190" s="3">
        <v>9990210</v>
      </c>
      <c r="B1190">
        <v>100</v>
      </c>
      <c r="C1190">
        <v>9990200</v>
      </c>
      <c r="D1190">
        <v>1</v>
      </c>
    </row>
    <row r="1191" spans="1:4" x14ac:dyDescent="0.4">
      <c r="A1191" s="3">
        <v>9990211</v>
      </c>
      <c r="B1191">
        <v>100</v>
      </c>
      <c r="C1191">
        <v>9990200</v>
      </c>
      <c r="D1191">
        <v>1</v>
      </c>
    </row>
    <row r="1192" spans="1:4" x14ac:dyDescent="0.4">
      <c r="A1192" s="3">
        <v>9990212</v>
      </c>
      <c r="B1192">
        <v>100</v>
      </c>
      <c r="C1192">
        <v>9990200</v>
      </c>
      <c r="D1192">
        <v>1</v>
      </c>
    </row>
    <row r="1193" spans="1:4" x14ac:dyDescent="0.4">
      <c r="A1193" s="3">
        <v>9990213</v>
      </c>
      <c r="B1193">
        <v>100</v>
      </c>
      <c r="C1193">
        <v>9990200</v>
      </c>
      <c r="D1193">
        <v>1</v>
      </c>
    </row>
    <row r="1194" spans="1:4" x14ac:dyDescent="0.4">
      <c r="A1194" s="3">
        <v>9990214</v>
      </c>
      <c r="B1194">
        <v>100</v>
      </c>
      <c r="C1194">
        <v>9990200</v>
      </c>
      <c r="D1194">
        <v>1</v>
      </c>
    </row>
    <row r="1195" spans="1:4" x14ac:dyDescent="0.4">
      <c r="A1195" s="3">
        <v>9990215</v>
      </c>
      <c r="B1195">
        <v>100</v>
      </c>
      <c r="C1195">
        <v>9990200</v>
      </c>
      <c r="D1195">
        <v>1</v>
      </c>
    </row>
    <row r="1196" spans="1:4" x14ac:dyDescent="0.4">
      <c r="A1196" s="3">
        <v>9990216</v>
      </c>
      <c r="B1196">
        <v>100</v>
      </c>
      <c r="C1196">
        <v>9990200</v>
      </c>
      <c r="D1196">
        <v>1</v>
      </c>
    </row>
    <row r="1197" spans="1:4" x14ac:dyDescent="0.4">
      <c r="A1197" s="3">
        <v>9990217</v>
      </c>
      <c r="B1197">
        <v>100</v>
      </c>
      <c r="C1197">
        <v>9990200</v>
      </c>
      <c r="D1197">
        <v>1</v>
      </c>
    </row>
    <row r="1198" spans="1:4" x14ac:dyDescent="0.4">
      <c r="A1198" s="3">
        <v>9990218</v>
      </c>
      <c r="B1198">
        <v>100</v>
      </c>
      <c r="C1198">
        <v>9990200</v>
      </c>
      <c r="D1198">
        <v>1</v>
      </c>
    </row>
    <row r="1199" spans="1:4" x14ac:dyDescent="0.4">
      <c r="A1199" s="3">
        <v>9990219</v>
      </c>
      <c r="B1199">
        <v>100</v>
      </c>
      <c r="C1199">
        <v>9990200</v>
      </c>
      <c r="D1199">
        <v>1</v>
      </c>
    </row>
    <row r="1200" spans="1:4" x14ac:dyDescent="0.4">
      <c r="A1200" s="3">
        <v>9990220</v>
      </c>
      <c r="B1200">
        <v>100</v>
      </c>
      <c r="C1200">
        <v>9990200</v>
      </c>
      <c r="D1200">
        <v>1</v>
      </c>
    </row>
    <row r="1201" spans="1:4" x14ac:dyDescent="0.4">
      <c r="A1201" s="3">
        <v>9990221</v>
      </c>
      <c r="B1201">
        <v>100</v>
      </c>
      <c r="C1201">
        <v>9990200</v>
      </c>
      <c r="D1201">
        <v>1</v>
      </c>
    </row>
    <row r="1202" spans="1:4" x14ac:dyDescent="0.4">
      <c r="A1202" s="3">
        <v>9990222</v>
      </c>
      <c r="B1202">
        <v>100</v>
      </c>
      <c r="C1202">
        <v>9990200</v>
      </c>
      <c r="D1202">
        <v>1</v>
      </c>
    </row>
    <row r="1203" spans="1:4" x14ac:dyDescent="0.4">
      <c r="A1203" s="3">
        <v>9990223</v>
      </c>
      <c r="B1203">
        <v>100</v>
      </c>
      <c r="C1203">
        <v>9990200</v>
      </c>
      <c r="D1203">
        <v>1</v>
      </c>
    </row>
    <row r="1204" spans="1:4" x14ac:dyDescent="0.4">
      <c r="A1204" s="3">
        <v>9990224</v>
      </c>
      <c r="B1204">
        <v>100</v>
      </c>
      <c r="C1204">
        <v>9990200</v>
      </c>
      <c r="D1204">
        <v>1</v>
      </c>
    </row>
    <row r="1205" spans="1:4" x14ac:dyDescent="0.4">
      <c r="A1205" s="3">
        <v>9990225</v>
      </c>
      <c r="B1205">
        <v>100</v>
      </c>
      <c r="C1205">
        <v>9990200</v>
      </c>
      <c r="D1205">
        <v>1</v>
      </c>
    </row>
    <row r="1206" spans="1:4" x14ac:dyDescent="0.4">
      <c r="A1206" s="3">
        <v>9990226</v>
      </c>
      <c r="B1206">
        <v>100</v>
      </c>
      <c r="C1206">
        <v>9990200</v>
      </c>
      <c r="D1206">
        <v>1</v>
      </c>
    </row>
    <row r="1207" spans="1:4" x14ac:dyDescent="0.4">
      <c r="A1207" s="3">
        <v>9990227</v>
      </c>
      <c r="B1207">
        <v>100</v>
      </c>
      <c r="C1207">
        <v>9990200</v>
      </c>
      <c r="D1207">
        <v>1</v>
      </c>
    </row>
    <row r="1208" spans="1:4" x14ac:dyDescent="0.4">
      <c r="A1208" s="3">
        <v>9990228</v>
      </c>
      <c r="B1208">
        <v>100</v>
      </c>
      <c r="C1208">
        <v>9990200</v>
      </c>
      <c r="D1208">
        <v>1</v>
      </c>
    </row>
    <row r="1209" spans="1:4" x14ac:dyDescent="0.4">
      <c r="A1209" s="3">
        <v>9990229</v>
      </c>
      <c r="B1209">
        <v>100</v>
      </c>
      <c r="C1209">
        <v>9990200</v>
      </c>
      <c r="D1209">
        <v>1</v>
      </c>
    </row>
    <row r="1210" spans="1:4" x14ac:dyDescent="0.4">
      <c r="A1210" s="3">
        <v>9990230</v>
      </c>
      <c r="B1210">
        <v>100</v>
      </c>
      <c r="C1210">
        <v>9990200</v>
      </c>
      <c r="D1210">
        <v>1</v>
      </c>
    </row>
    <row r="1211" spans="1:4" x14ac:dyDescent="0.4">
      <c r="A1211" s="3">
        <v>9990231</v>
      </c>
      <c r="B1211">
        <v>100</v>
      </c>
      <c r="C1211">
        <v>9990200</v>
      </c>
      <c r="D1211">
        <v>1</v>
      </c>
    </row>
    <row r="1212" spans="1:4" x14ac:dyDescent="0.4">
      <c r="A1212" s="3">
        <v>9990232</v>
      </c>
      <c r="B1212">
        <v>100</v>
      </c>
      <c r="C1212">
        <v>9990200</v>
      </c>
      <c r="D1212">
        <v>1</v>
      </c>
    </row>
    <row r="1213" spans="1:4" x14ac:dyDescent="0.4">
      <c r="A1213" s="3">
        <v>9990233</v>
      </c>
      <c r="B1213">
        <v>100</v>
      </c>
      <c r="C1213">
        <v>9990200</v>
      </c>
      <c r="D1213">
        <v>1</v>
      </c>
    </row>
    <row r="1214" spans="1:4" x14ac:dyDescent="0.4">
      <c r="A1214" s="3">
        <v>9990234</v>
      </c>
      <c r="B1214">
        <v>100</v>
      </c>
      <c r="C1214">
        <v>9990200</v>
      </c>
      <c r="D1214">
        <v>1</v>
      </c>
    </row>
    <row r="1215" spans="1:4" x14ac:dyDescent="0.4">
      <c r="A1215" s="3">
        <v>9990235</v>
      </c>
      <c r="B1215">
        <v>100</v>
      </c>
      <c r="C1215">
        <v>9990200</v>
      </c>
      <c r="D1215">
        <v>1</v>
      </c>
    </row>
    <row r="1216" spans="1:4" x14ac:dyDescent="0.4">
      <c r="A1216" s="3">
        <v>9990236</v>
      </c>
      <c r="B1216">
        <v>100</v>
      </c>
      <c r="C1216">
        <v>9990200</v>
      </c>
      <c r="D1216">
        <v>1</v>
      </c>
    </row>
    <row r="1217" spans="1:4" x14ac:dyDescent="0.4">
      <c r="A1217" s="3">
        <v>9990237</v>
      </c>
      <c r="B1217">
        <v>100</v>
      </c>
      <c r="C1217">
        <v>9990200</v>
      </c>
      <c r="D1217">
        <v>1</v>
      </c>
    </row>
    <row r="1218" spans="1:4" x14ac:dyDescent="0.4">
      <c r="A1218" s="3">
        <v>9990238</v>
      </c>
      <c r="B1218">
        <v>100</v>
      </c>
      <c r="C1218">
        <v>9990200</v>
      </c>
      <c r="D1218">
        <v>1</v>
      </c>
    </row>
    <row r="1219" spans="1:4" x14ac:dyDescent="0.4">
      <c r="A1219" s="3">
        <v>9990239</v>
      </c>
      <c r="B1219">
        <v>100</v>
      </c>
      <c r="C1219">
        <v>9990200</v>
      </c>
      <c r="D1219">
        <v>1</v>
      </c>
    </row>
    <row r="1220" spans="1:4" x14ac:dyDescent="0.4">
      <c r="A1220" s="3">
        <v>9990240</v>
      </c>
      <c r="B1220">
        <v>100</v>
      </c>
      <c r="C1220">
        <v>9990200</v>
      </c>
      <c r="D1220">
        <v>1</v>
      </c>
    </row>
    <row r="1221" spans="1:4" x14ac:dyDescent="0.4">
      <c r="A1221" s="3">
        <v>9990241</v>
      </c>
      <c r="B1221">
        <v>100</v>
      </c>
      <c r="C1221">
        <v>9990200</v>
      </c>
      <c r="D1221">
        <v>1</v>
      </c>
    </row>
    <row r="1222" spans="1:4" x14ac:dyDescent="0.4">
      <c r="A1222" s="3">
        <v>9990242</v>
      </c>
      <c r="B1222">
        <v>100</v>
      </c>
      <c r="C1222">
        <v>9990200</v>
      </c>
      <c r="D1222">
        <v>1</v>
      </c>
    </row>
    <row r="1223" spans="1:4" x14ac:dyDescent="0.4">
      <c r="A1223" s="3">
        <v>9990243</v>
      </c>
      <c r="B1223">
        <v>100</v>
      </c>
      <c r="C1223">
        <v>9990200</v>
      </c>
      <c r="D1223">
        <v>1</v>
      </c>
    </row>
    <row r="1224" spans="1:4" x14ac:dyDescent="0.4">
      <c r="A1224" s="3">
        <v>9990244</v>
      </c>
      <c r="B1224">
        <v>100</v>
      </c>
      <c r="C1224">
        <v>9990200</v>
      </c>
      <c r="D1224">
        <v>1</v>
      </c>
    </row>
    <row r="1225" spans="1:4" x14ac:dyDescent="0.4">
      <c r="A1225" s="3">
        <v>9990245</v>
      </c>
      <c r="B1225">
        <v>100</v>
      </c>
      <c r="C1225">
        <v>9990200</v>
      </c>
      <c r="D1225">
        <v>1</v>
      </c>
    </row>
    <row r="1226" spans="1:4" x14ac:dyDescent="0.4">
      <c r="A1226" s="3">
        <v>9990246</v>
      </c>
      <c r="B1226">
        <v>100</v>
      </c>
      <c r="C1226">
        <v>9990200</v>
      </c>
      <c r="D1226">
        <v>1</v>
      </c>
    </row>
    <row r="1227" spans="1:4" x14ac:dyDescent="0.4">
      <c r="A1227" s="3">
        <v>9990247</v>
      </c>
      <c r="B1227">
        <v>100</v>
      </c>
      <c r="C1227">
        <v>9990200</v>
      </c>
      <c r="D1227">
        <v>1</v>
      </c>
    </row>
    <row r="1228" spans="1:4" x14ac:dyDescent="0.4">
      <c r="A1228" s="3">
        <v>9990248</v>
      </c>
      <c r="B1228">
        <v>100</v>
      </c>
      <c r="C1228">
        <v>9990200</v>
      </c>
      <c r="D1228">
        <v>1</v>
      </c>
    </row>
    <row r="1229" spans="1:4" x14ac:dyDescent="0.4">
      <c r="A1229" s="3">
        <v>9990249</v>
      </c>
      <c r="B1229">
        <v>100</v>
      </c>
      <c r="C1229">
        <v>9990200</v>
      </c>
      <c r="D1229">
        <v>1</v>
      </c>
    </row>
    <row r="1230" spans="1:4" x14ac:dyDescent="0.4">
      <c r="A1230" s="3">
        <v>9990250</v>
      </c>
      <c r="B1230">
        <v>100</v>
      </c>
      <c r="C1230">
        <v>9990200</v>
      </c>
      <c r="D1230">
        <v>1</v>
      </c>
    </row>
    <row r="1231" spans="1:4" x14ac:dyDescent="0.4">
      <c r="A1231" s="3">
        <v>9990251</v>
      </c>
      <c r="B1231">
        <v>100</v>
      </c>
      <c r="C1231">
        <v>9990200</v>
      </c>
      <c r="D1231">
        <v>1</v>
      </c>
    </row>
    <row r="1232" spans="1:4" x14ac:dyDescent="0.4">
      <c r="A1232" s="3">
        <v>9990252</v>
      </c>
      <c r="B1232">
        <v>100</v>
      </c>
      <c r="C1232">
        <v>9990200</v>
      </c>
      <c r="D1232">
        <v>1</v>
      </c>
    </row>
    <row r="1233" spans="1:4" x14ac:dyDescent="0.4">
      <c r="A1233" s="3">
        <v>9990253</v>
      </c>
      <c r="B1233">
        <v>100</v>
      </c>
      <c r="C1233">
        <v>9990200</v>
      </c>
      <c r="D1233">
        <v>1</v>
      </c>
    </row>
    <row r="1234" spans="1:4" x14ac:dyDescent="0.4">
      <c r="A1234" s="3">
        <v>9990254</v>
      </c>
      <c r="B1234">
        <v>100</v>
      </c>
      <c r="C1234">
        <v>9990200</v>
      </c>
      <c r="D1234">
        <v>1</v>
      </c>
    </row>
    <row r="1235" spans="1:4" x14ac:dyDescent="0.4">
      <c r="A1235" s="3">
        <v>9990255</v>
      </c>
      <c r="B1235">
        <v>100</v>
      </c>
      <c r="C1235">
        <v>9990200</v>
      </c>
      <c r="D1235">
        <v>1</v>
      </c>
    </row>
    <row r="1236" spans="1:4" x14ac:dyDescent="0.4">
      <c r="A1236" s="3">
        <v>9990256</v>
      </c>
      <c r="B1236">
        <v>100</v>
      </c>
      <c r="C1236">
        <v>9990200</v>
      </c>
      <c r="D1236">
        <v>1</v>
      </c>
    </row>
    <row r="1237" spans="1:4" x14ac:dyDescent="0.4">
      <c r="A1237" s="3">
        <v>9990257</v>
      </c>
      <c r="B1237">
        <v>100</v>
      </c>
      <c r="C1237">
        <v>9990200</v>
      </c>
      <c r="D1237">
        <v>1</v>
      </c>
    </row>
    <row r="1238" spans="1:4" x14ac:dyDescent="0.4">
      <c r="A1238" s="3">
        <v>9990258</v>
      </c>
      <c r="B1238">
        <v>100</v>
      </c>
      <c r="C1238">
        <v>9990200</v>
      </c>
      <c r="D1238">
        <v>1</v>
      </c>
    </row>
    <row r="1239" spans="1:4" x14ac:dyDescent="0.4">
      <c r="A1239" s="3">
        <v>9990259</v>
      </c>
      <c r="B1239">
        <v>100</v>
      </c>
      <c r="C1239">
        <v>9990200</v>
      </c>
      <c r="D1239">
        <v>1</v>
      </c>
    </row>
    <row r="1240" spans="1:4" x14ac:dyDescent="0.4">
      <c r="A1240" s="3">
        <v>9990260</v>
      </c>
      <c r="B1240">
        <v>100</v>
      </c>
      <c r="C1240">
        <v>9990200</v>
      </c>
      <c r="D1240">
        <v>1</v>
      </c>
    </row>
    <row r="1241" spans="1:4" x14ac:dyDescent="0.4">
      <c r="A1241" s="3">
        <v>9990261</v>
      </c>
      <c r="B1241">
        <v>100</v>
      </c>
      <c r="C1241">
        <v>9990200</v>
      </c>
      <c r="D1241">
        <v>1</v>
      </c>
    </row>
    <row r="1242" spans="1:4" x14ac:dyDescent="0.4">
      <c r="A1242" s="3">
        <v>9990262</v>
      </c>
      <c r="B1242">
        <v>100</v>
      </c>
      <c r="C1242">
        <v>9990200</v>
      </c>
      <c r="D1242">
        <v>1</v>
      </c>
    </row>
    <row r="1243" spans="1:4" x14ac:dyDescent="0.4">
      <c r="A1243" s="3">
        <v>9990263</v>
      </c>
      <c r="B1243">
        <v>100</v>
      </c>
      <c r="C1243">
        <v>9990200</v>
      </c>
      <c r="D1243">
        <v>1</v>
      </c>
    </row>
    <row r="1244" spans="1:4" x14ac:dyDescent="0.4">
      <c r="A1244" s="3">
        <v>9990264</v>
      </c>
      <c r="B1244">
        <v>100</v>
      </c>
      <c r="C1244">
        <v>9990200</v>
      </c>
      <c r="D1244">
        <v>1</v>
      </c>
    </row>
    <row r="1245" spans="1:4" x14ac:dyDescent="0.4">
      <c r="A1245" s="3">
        <v>9990265</v>
      </c>
      <c r="B1245">
        <v>100</v>
      </c>
      <c r="C1245">
        <v>9990200</v>
      </c>
      <c r="D1245">
        <v>1</v>
      </c>
    </row>
    <row r="1246" spans="1:4" x14ac:dyDescent="0.4">
      <c r="A1246" s="3">
        <v>9990266</v>
      </c>
      <c r="B1246">
        <v>100</v>
      </c>
      <c r="C1246">
        <v>9990200</v>
      </c>
      <c r="D1246">
        <v>1</v>
      </c>
    </row>
    <row r="1247" spans="1:4" x14ac:dyDescent="0.4">
      <c r="A1247" s="3">
        <v>9990267</v>
      </c>
      <c r="B1247">
        <v>100</v>
      </c>
      <c r="C1247">
        <v>9990200</v>
      </c>
      <c r="D1247">
        <v>1</v>
      </c>
    </row>
    <row r="1248" spans="1:4" x14ac:dyDescent="0.4">
      <c r="A1248" s="3">
        <v>9990268</v>
      </c>
      <c r="B1248">
        <v>100</v>
      </c>
      <c r="C1248">
        <v>9990200</v>
      </c>
      <c r="D1248">
        <v>1</v>
      </c>
    </row>
    <row r="1249" spans="1:4" x14ac:dyDescent="0.4">
      <c r="A1249" s="3">
        <v>9990269</v>
      </c>
      <c r="B1249">
        <v>100</v>
      </c>
      <c r="C1249">
        <v>9990200</v>
      </c>
      <c r="D1249">
        <v>1</v>
      </c>
    </row>
    <row r="1250" spans="1:4" x14ac:dyDescent="0.4">
      <c r="A1250" s="3">
        <v>9990270</v>
      </c>
      <c r="B1250">
        <v>100</v>
      </c>
      <c r="C1250">
        <v>9990200</v>
      </c>
      <c r="D1250">
        <v>1</v>
      </c>
    </row>
    <row r="1251" spans="1:4" x14ac:dyDescent="0.4">
      <c r="A1251" s="3">
        <v>9990271</v>
      </c>
      <c r="B1251">
        <v>100</v>
      </c>
      <c r="C1251">
        <v>9990200</v>
      </c>
      <c r="D1251">
        <v>1</v>
      </c>
    </row>
    <row r="1252" spans="1:4" x14ac:dyDescent="0.4">
      <c r="A1252" s="3">
        <v>9990272</v>
      </c>
      <c r="B1252">
        <v>100</v>
      </c>
      <c r="C1252">
        <v>9990200</v>
      </c>
      <c r="D1252">
        <v>1</v>
      </c>
    </row>
    <row r="1253" spans="1:4" x14ac:dyDescent="0.4">
      <c r="A1253" s="3">
        <v>9990273</v>
      </c>
      <c r="B1253">
        <v>100</v>
      </c>
      <c r="C1253">
        <v>9990200</v>
      </c>
      <c r="D1253">
        <v>1</v>
      </c>
    </row>
    <row r="1254" spans="1:4" x14ac:dyDescent="0.4">
      <c r="A1254" s="3">
        <v>9990274</v>
      </c>
      <c r="B1254">
        <v>100</v>
      </c>
      <c r="C1254">
        <v>9990200</v>
      </c>
      <c r="D1254">
        <v>1</v>
      </c>
    </row>
    <row r="1255" spans="1:4" x14ac:dyDescent="0.4">
      <c r="A1255" s="3">
        <v>9990275</v>
      </c>
      <c r="B1255">
        <v>100</v>
      </c>
      <c r="C1255">
        <v>9990200</v>
      </c>
      <c r="D1255">
        <v>1</v>
      </c>
    </row>
    <row r="1256" spans="1:4" x14ac:dyDescent="0.4">
      <c r="A1256" s="3">
        <v>9990276</v>
      </c>
      <c r="B1256">
        <v>100</v>
      </c>
      <c r="C1256">
        <v>9990200</v>
      </c>
      <c r="D1256">
        <v>1</v>
      </c>
    </row>
    <row r="1257" spans="1:4" x14ac:dyDescent="0.4">
      <c r="A1257" s="3">
        <v>9990277</v>
      </c>
      <c r="B1257">
        <v>100</v>
      </c>
      <c r="C1257">
        <v>9990200</v>
      </c>
      <c r="D1257">
        <v>1</v>
      </c>
    </row>
    <row r="1258" spans="1:4" x14ac:dyDescent="0.4">
      <c r="A1258" s="3">
        <v>9990278</v>
      </c>
      <c r="B1258">
        <v>100</v>
      </c>
      <c r="C1258">
        <v>9990200</v>
      </c>
      <c r="D1258">
        <v>1</v>
      </c>
    </row>
    <row r="1259" spans="1:4" x14ac:dyDescent="0.4">
      <c r="A1259" s="3">
        <v>9990279</v>
      </c>
      <c r="B1259">
        <v>100</v>
      </c>
      <c r="C1259">
        <v>9990200</v>
      </c>
      <c r="D1259">
        <v>1</v>
      </c>
    </row>
    <row r="1260" spans="1:4" x14ac:dyDescent="0.4">
      <c r="A1260" s="3">
        <v>9990280</v>
      </c>
      <c r="B1260">
        <v>100</v>
      </c>
      <c r="C1260">
        <v>9990200</v>
      </c>
      <c r="D1260">
        <v>1</v>
      </c>
    </row>
    <row r="1261" spans="1:4" x14ac:dyDescent="0.4">
      <c r="A1261" s="3">
        <v>9990281</v>
      </c>
      <c r="B1261">
        <v>100</v>
      </c>
      <c r="C1261">
        <v>9990200</v>
      </c>
      <c r="D1261">
        <v>1</v>
      </c>
    </row>
    <row r="1262" spans="1:4" x14ac:dyDescent="0.4">
      <c r="A1262" s="3">
        <v>9990282</v>
      </c>
      <c r="B1262">
        <v>100</v>
      </c>
      <c r="C1262">
        <v>9990200</v>
      </c>
      <c r="D1262">
        <v>1</v>
      </c>
    </row>
    <row r="1263" spans="1:4" x14ac:dyDescent="0.4">
      <c r="A1263" s="3">
        <v>9990283</v>
      </c>
      <c r="B1263">
        <v>100</v>
      </c>
      <c r="C1263">
        <v>9990200</v>
      </c>
      <c r="D1263">
        <v>1</v>
      </c>
    </row>
    <row r="1264" spans="1:4" x14ac:dyDescent="0.4">
      <c r="A1264" s="3">
        <v>9990284</v>
      </c>
      <c r="B1264">
        <v>100</v>
      </c>
      <c r="C1264">
        <v>9990200</v>
      </c>
      <c r="D1264">
        <v>1</v>
      </c>
    </row>
    <row r="1265" spans="1:4" x14ac:dyDescent="0.4">
      <c r="A1265" s="3">
        <v>9990285</v>
      </c>
      <c r="B1265">
        <v>100</v>
      </c>
      <c r="C1265">
        <v>9990200</v>
      </c>
      <c r="D1265">
        <v>1</v>
      </c>
    </row>
    <row r="1266" spans="1:4" x14ac:dyDescent="0.4">
      <c r="A1266" s="3">
        <v>9990286</v>
      </c>
      <c r="B1266">
        <v>100</v>
      </c>
      <c r="C1266">
        <v>9990200</v>
      </c>
      <c r="D1266">
        <v>1</v>
      </c>
    </row>
    <row r="1267" spans="1:4" x14ac:dyDescent="0.4">
      <c r="A1267" s="3">
        <v>9990287</v>
      </c>
      <c r="B1267">
        <v>100</v>
      </c>
      <c r="C1267">
        <v>9990200</v>
      </c>
      <c r="D1267">
        <v>1</v>
      </c>
    </row>
    <row r="1268" spans="1:4" x14ac:dyDescent="0.4">
      <c r="A1268" s="3">
        <v>9990288</v>
      </c>
      <c r="B1268">
        <v>100</v>
      </c>
      <c r="C1268">
        <v>9990200</v>
      </c>
      <c r="D1268">
        <v>1</v>
      </c>
    </row>
    <row r="1269" spans="1:4" x14ac:dyDescent="0.4">
      <c r="A1269" s="3">
        <v>9990289</v>
      </c>
      <c r="B1269">
        <v>100</v>
      </c>
      <c r="C1269">
        <v>9990200</v>
      </c>
      <c r="D1269">
        <v>1</v>
      </c>
    </row>
    <row r="1270" spans="1:4" x14ac:dyDescent="0.4">
      <c r="A1270" s="3">
        <v>9990290</v>
      </c>
      <c r="B1270">
        <v>100</v>
      </c>
      <c r="C1270">
        <v>9990200</v>
      </c>
      <c r="D1270">
        <v>1</v>
      </c>
    </row>
    <row r="1271" spans="1:4" x14ac:dyDescent="0.4">
      <c r="A1271" s="3">
        <v>9990291</v>
      </c>
      <c r="B1271">
        <v>100</v>
      </c>
      <c r="C1271">
        <v>9990200</v>
      </c>
      <c r="D1271">
        <v>1</v>
      </c>
    </row>
    <row r="1272" spans="1:4" x14ac:dyDescent="0.4">
      <c r="A1272" s="3">
        <v>9990292</v>
      </c>
      <c r="B1272">
        <v>100</v>
      </c>
      <c r="C1272">
        <v>9990200</v>
      </c>
      <c r="D1272">
        <v>1</v>
      </c>
    </row>
    <row r="1273" spans="1:4" x14ac:dyDescent="0.4">
      <c r="A1273" s="3">
        <v>9990293</v>
      </c>
      <c r="B1273">
        <v>100</v>
      </c>
      <c r="C1273">
        <v>9990200</v>
      </c>
      <c r="D1273">
        <v>1</v>
      </c>
    </row>
    <row r="1274" spans="1:4" x14ac:dyDescent="0.4">
      <c r="A1274" s="3">
        <v>9990294</v>
      </c>
      <c r="B1274">
        <v>100</v>
      </c>
      <c r="C1274">
        <v>9990200</v>
      </c>
      <c r="D1274">
        <v>1</v>
      </c>
    </row>
    <row r="1275" spans="1:4" x14ac:dyDescent="0.4">
      <c r="A1275" s="3">
        <v>9990295</v>
      </c>
      <c r="B1275">
        <v>100</v>
      </c>
      <c r="C1275">
        <v>9990200</v>
      </c>
      <c r="D1275">
        <v>1</v>
      </c>
    </row>
    <row r="1276" spans="1:4" x14ac:dyDescent="0.4">
      <c r="A1276" s="3">
        <v>9990296</v>
      </c>
      <c r="B1276">
        <v>100</v>
      </c>
      <c r="C1276">
        <v>9990200</v>
      </c>
      <c r="D1276">
        <v>1</v>
      </c>
    </row>
    <row r="1277" spans="1:4" x14ac:dyDescent="0.4">
      <c r="A1277" s="3">
        <v>9990297</v>
      </c>
      <c r="B1277">
        <v>100</v>
      </c>
      <c r="C1277">
        <v>9990200</v>
      </c>
      <c r="D1277">
        <v>1</v>
      </c>
    </row>
    <row r="1278" spans="1:4" x14ac:dyDescent="0.4">
      <c r="A1278" s="3">
        <v>9990298</v>
      </c>
      <c r="B1278">
        <v>100</v>
      </c>
      <c r="C1278">
        <v>9990200</v>
      </c>
      <c r="D1278">
        <v>1</v>
      </c>
    </row>
    <row r="1279" spans="1:4" x14ac:dyDescent="0.4">
      <c r="A1279" s="3">
        <v>9990299</v>
      </c>
      <c r="B1279">
        <v>100</v>
      </c>
      <c r="C1279">
        <v>9990200</v>
      </c>
      <c r="D1279">
        <v>1</v>
      </c>
    </row>
    <row r="1280" spans="1:4" x14ac:dyDescent="0.4">
      <c r="A1280" s="3">
        <v>9990300</v>
      </c>
      <c r="B1280">
        <v>100</v>
      </c>
      <c r="C1280">
        <v>9990300</v>
      </c>
      <c r="D1280">
        <v>1</v>
      </c>
    </row>
    <row r="1281" spans="1:4" x14ac:dyDescent="0.4">
      <c r="A1281" s="3">
        <v>9990301</v>
      </c>
      <c r="B1281">
        <v>100</v>
      </c>
      <c r="C1281">
        <v>9990300</v>
      </c>
      <c r="D1281">
        <v>1</v>
      </c>
    </row>
    <row r="1282" spans="1:4" x14ac:dyDescent="0.4">
      <c r="A1282" s="3">
        <v>9990302</v>
      </c>
      <c r="B1282">
        <v>100</v>
      </c>
      <c r="C1282">
        <v>9990300</v>
      </c>
      <c r="D1282">
        <v>1</v>
      </c>
    </row>
    <row r="1283" spans="1:4" x14ac:dyDescent="0.4">
      <c r="A1283" s="3">
        <v>9990303</v>
      </c>
      <c r="B1283">
        <v>100</v>
      </c>
      <c r="C1283">
        <v>9990300</v>
      </c>
      <c r="D1283">
        <v>1</v>
      </c>
    </row>
    <row r="1284" spans="1:4" x14ac:dyDescent="0.4">
      <c r="A1284" s="3">
        <v>9990304</v>
      </c>
      <c r="B1284">
        <v>100</v>
      </c>
      <c r="C1284">
        <v>9990300</v>
      </c>
      <c r="D1284">
        <v>1</v>
      </c>
    </row>
    <row r="1285" spans="1:4" x14ac:dyDescent="0.4">
      <c r="A1285" s="3">
        <v>9990305</v>
      </c>
      <c r="B1285">
        <v>100</v>
      </c>
      <c r="C1285">
        <v>9990300</v>
      </c>
      <c r="D1285">
        <v>1</v>
      </c>
    </row>
    <row r="1286" spans="1:4" x14ac:dyDescent="0.4">
      <c r="A1286" s="3">
        <v>9990306</v>
      </c>
      <c r="B1286">
        <v>100</v>
      </c>
      <c r="C1286">
        <v>9990300</v>
      </c>
      <c r="D1286">
        <v>1</v>
      </c>
    </row>
    <row r="1287" spans="1:4" x14ac:dyDescent="0.4">
      <c r="A1287" s="3">
        <v>9990307</v>
      </c>
      <c r="B1287">
        <v>100</v>
      </c>
      <c r="C1287">
        <v>9990300</v>
      </c>
      <c r="D1287">
        <v>1</v>
      </c>
    </row>
    <row r="1288" spans="1:4" x14ac:dyDescent="0.4">
      <c r="A1288" s="3">
        <v>9990308</v>
      </c>
      <c r="B1288">
        <v>100</v>
      </c>
      <c r="C1288">
        <v>9990300</v>
      </c>
      <c r="D1288">
        <v>1</v>
      </c>
    </row>
    <row r="1289" spans="1:4" x14ac:dyDescent="0.4">
      <c r="A1289" s="3">
        <v>9990309</v>
      </c>
      <c r="B1289">
        <v>100</v>
      </c>
      <c r="C1289">
        <v>9990300</v>
      </c>
      <c r="D1289">
        <v>1</v>
      </c>
    </row>
    <row r="1290" spans="1:4" x14ac:dyDescent="0.4">
      <c r="A1290" s="3">
        <v>9990310</v>
      </c>
      <c r="B1290">
        <v>100</v>
      </c>
      <c r="C1290">
        <v>9990300</v>
      </c>
      <c r="D1290">
        <v>1</v>
      </c>
    </row>
    <row r="1291" spans="1:4" x14ac:dyDescent="0.4">
      <c r="A1291" s="3">
        <v>9990311</v>
      </c>
      <c r="B1291">
        <v>100</v>
      </c>
      <c r="C1291">
        <v>9990300</v>
      </c>
      <c r="D1291">
        <v>1</v>
      </c>
    </row>
    <row r="1292" spans="1:4" x14ac:dyDescent="0.4">
      <c r="A1292" s="3">
        <v>9990312</v>
      </c>
      <c r="B1292">
        <v>100</v>
      </c>
      <c r="C1292">
        <v>9990300</v>
      </c>
      <c r="D1292">
        <v>1</v>
      </c>
    </row>
    <row r="1293" spans="1:4" x14ac:dyDescent="0.4">
      <c r="A1293" s="3">
        <v>9990313</v>
      </c>
      <c r="B1293">
        <v>100</v>
      </c>
      <c r="C1293">
        <v>9990300</v>
      </c>
      <c r="D1293">
        <v>1</v>
      </c>
    </row>
    <row r="1294" spans="1:4" x14ac:dyDescent="0.4">
      <c r="A1294" s="3">
        <v>9990314</v>
      </c>
      <c r="B1294">
        <v>100</v>
      </c>
      <c r="C1294">
        <v>9990300</v>
      </c>
      <c r="D1294">
        <v>1</v>
      </c>
    </row>
    <row r="1295" spans="1:4" x14ac:dyDescent="0.4">
      <c r="A1295" s="3">
        <v>9990315</v>
      </c>
      <c r="B1295">
        <v>100</v>
      </c>
      <c r="C1295">
        <v>9990300</v>
      </c>
      <c r="D1295">
        <v>1</v>
      </c>
    </row>
    <row r="1296" spans="1:4" x14ac:dyDescent="0.4">
      <c r="A1296" s="3">
        <v>9990316</v>
      </c>
      <c r="B1296">
        <v>100</v>
      </c>
      <c r="C1296">
        <v>9990300</v>
      </c>
      <c r="D1296">
        <v>1</v>
      </c>
    </row>
    <row r="1297" spans="1:4" x14ac:dyDescent="0.4">
      <c r="A1297" s="3">
        <v>9990317</v>
      </c>
      <c r="B1297">
        <v>100</v>
      </c>
      <c r="C1297">
        <v>9990300</v>
      </c>
      <c r="D1297">
        <v>1</v>
      </c>
    </row>
    <row r="1298" spans="1:4" x14ac:dyDescent="0.4">
      <c r="A1298" s="3">
        <v>9990318</v>
      </c>
      <c r="B1298">
        <v>100</v>
      </c>
      <c r="C1298">
        <v>9990300</v>
      </c>
      <c r="D1298">
        <v>1</v>
      </c>
    </row>
    <row r="1299" spans="1:4" x14ac:dyDescent="0.4">
      <c r="A1299" s="3">
        <v>9990319</v>
      </c>
      <c r="B1299">
        <v>100</v>
      </c>
      <c r="C1299">
        <v>9990300</v>
      </c>
      <c r="D1299">
        <v>1</v>
      </c>
    </row>
    <row r="1300" spans="1:4" x14ac:dyDescent="0.4">
      <c r="A1300" s="3">
        <v>9990320</v>
      </c>
      <c r="B1300">
        <v>100</v>
      </c>
      <c r="C1300">
        <v>9990300</v>
      </c>
      <c r="D1300">
        <v>1</v>
      </c>
    </row>
    <row r="1301" spans="1:4" x14ac:dyDescent="0.4">
      <c r="A1301" s="3">
        <v>9990321</v>
      </c>
      <c r="B1301">
        <v>100</v>
      </c>
      <c r="C1301">
        <v>9990300</v>
      </c>
      <c r="D1301">
        <v>1</v>
      </c>
    </row>
    <row r="1302" spans="1:4" x14ac:dyDescent="0.4">
      <c r="A1302" s="3">
        <v>9990322</v>
      </c>
      <c r="B1302">
        <v>100</v>
      </c>
      <c r="C1302">
        <v>9990300</v>
      </c>
      <c r="D1302">
        <v>1</v>
      </c>
    </row>
    <row r="1303" spans="1:4" x14ac:dyDescent="0.4">
      <c r="A1303" s="3">
        <v>9990323</v>
      </c>
      <c r="B1303">
        <v>100</v>
      </c>
      <c r="C1303">
        <v>9990300</v>
      </c>
      <c r="D1303">
        <v>1</v>
      </c>
    </row>
    <row r="1304" spans="1:4" x14ac:dyDescent="0.4">
      <c r="A1304" s="3">
        <v>9990324</v>
      </c>
      <c r="B1304">
        <v>100</v>
      </c>
      <c r="C1304">
        <v>9990300</v>
      </c>
      <c r="D1304">
        <v>1</v>
      </c>
    </row>
    <row r="1305" spans="1:4" x14ac:dyDescent="0.4">
      <c r="A1305" s="3">
        <v>9990325</v>
      </c>
      <c r="B1305">
        <v>100</v>
      </c>
      <c r="C1305">
        <v>9990300</v>
      </c>
      <c r="D1305">
        <v>1</v>
      </c>
    </row>
    <row r="1306" spans="1:4" x14ac:dyDescent="0.4">
      <c r="A1306" s="3">
        <v>9990326</v>
      </c>
      <c r="B1306">
        <v>100</v>
      </c>
      <c r="C1306">
        <v>9990300</v>
      </c>
      <c r="D1306">
        <v>1</v>
      </c>
    </row>
    <row r="1307" spans="1:4" x14ac:dyDescent="0.4">
      <c r="A1307" s="3">
        <v>9990327</v>
      </c>
      <c r="B1307">
        <v>100</v>
      </c>
      <c r="C1307">
        <v>9990300</v>
      </c>
      <c r="D1307">
        <v>1</v>
      </c>
    </row>
    <row r="1308" spans="1:4" x14ac:dyDescent="0.4">
      <c r="A1308" s="3">
        <v>9990328</v>
      </c>
      <c r="B1308">
        <v>100</v>
      </c>
      <c r="C1308">
        <v>9990300</v>
      </c>
      <c r="D1308">
        <v>1</v>
      </c>
    </row>
    <row r="1309" spans="1:4" x14ac:dyDescent="0.4">
      <c r="A1309" s="3">
        <v>9990329</v>
      </c>
      <c r="B1309">
        <v>100</v>
      </c>
      <c r="C1309">
        <v>9990300</v>
      </c>
      <c r="D1309">
        <v>1</v>
      </c>
    </row>
    <row r="1310" spans="1:4" x14ac:dyDescent="0.4">
      <c r="A1310" s="3">
        <v>9990330</v>
      </c>
      <c r="B1310">
        <v>100</v>
      </c>
      <c r="C1310">
        <v>9990300</v>
      </c>
      <c r="D1310">
        <v>1</v>
      </c>
    </row>
    <row r="1311" spans="1:4" x14ac:dyDescent="0.4">
      <c r="A1311" s="3">
        <v>9990331</v>
      </c>
      <c r="B1311">
        <v>100</v>
      </c>
      <c r="C1311">
        <v>9990300</v>
      </c>
      <c r="D1311">
        <v>1</v>
      </c>
    </row>
    <row r="1312" spans="1:4" x14ac:dyDescent="0.4">
      <c r="A1312" s="3">
        <v>9990332</v>
      </c>
      <c r="B1312">
        <v>100</v>
      </c>
      <c r="C1312">
        <v>9990300</v>
      </c>
      <c r="D1312">
        <v>1</v>
      </c>
    </row>
    <row r="1313" spans="1:4" x14ac:dyDescent="0.4">
      <c r="A1313" s="3">
        <v>9990333</v>
      </c>
      <c r="B1313">
        <v>100</v>
      </c>
      <c r="C1313">
        <v>9990300</v>
      </c>
      <c r="D1313">
        <v>1</v>
      </c>
    </row>
    <row r="1314" spans="1:4" x14ac:dyDescent="0.4">
      <c r="A1314" s="3">
        <v>9990334</v>
      </c>
      <c r="B1314">
        <v>100</v>
      </c>
      <c r="C1314">
        <v>9990300</v>
      </c>
      <c r="D1314">
        <v>1</v>
      </c>
    </row>
    <row r="1315" spans="1:4" x14ac:dyDescent="0.4">
      <c r="A1315" s="3">
        <v>9990335</v>
      </c>
      <c r="B1315">
        <v>100</v>
      </c>
      <c r="C1315">
        <v>9990300</v>
      </c>
      <c r="D1315">
        <v>1</v>
      </c>
    </row>
    <row r="1316" spans="1:4" x14ac:dyDescent="0.4">
      <c r="A1316" s="3">
        <v>9990336</v>
      </c>
      <c r="B1316">
        <v>100</v>
      </c>
      <c r="C1316">
        <v>9990300</v>
      </c>
      <c r="D1316">
        <v>1</v>
      </c>
    </row>
    <row r="1317" spans="1:4" x14ac:dyDescent="0.4">
      <c r="A1317" s="3">
        <v>9990337</v>
      </c>
      <c r="B1317">
        <v>100</v>
      </c>
      <c r="C1317">
        <v>9990300</v>
      </c>
      <c r="D1317">
        <v>1</v>
      </c>
    </row>
    <row r="1318" spans="1:4" x14ac:dyDescent="0.4">
      <c r="A1318" s="3">
        <v>9990338</v>
      </c>
      <c r="B1318">
        <v>100</v>
      </c>
      <c r="C1318">
        <v>9990300</v>
      </c>
      <c r="D1318">
        <v>1</v>
      </c>
    </row>
    <row r="1319" spans="1:4" x14ac:dyDescent="0.4">
      <c r="A1319" s="3">
        <v>9990339</v>
      </c>
      <c r="B1319">
        <v>100</v>
      </c>
      <c r="C1319">
        <v>9990300</v>
      </c>
      <c r="D1319">
        <v>1</v>
      </c>
    </row>
    <row r="1320" spans="1:4" x14ac:dyDescent="0.4">
      <c r="A1320" s="3">
        <v>9990340</v>
      </c>
      <c r="B1320">
        <v>100</v>
      </c>
      <c r="C1320">
        <v>9990300</v>
      </c>
      <c r="D1320">
        <v>1</v>
      </c>
    </row>
    <row r="1321" spans="1:4" x14ac:dyDescent="0.4">
      <c r="A1321" s="3">
        <v>9990341</v>
      </c>
      <c r="B1321">
        <v>100</v>
      </c>
      <c r="C1321">
        <v>9990300</v>
      </c>
      <c r="D1321">
        <v>1</v>
      </c>
    </row>
    <row r="1322" spans="1:4" x14ac:dyDescent="0.4">
      <c r="A1322" s="3">
        <v>9990342</v>
      </c>
      <c r="B1322">
        <v>100</v>
      </c>
      <c r="C1322">
        <v>9990300</v>
      </c>
      <c r="D1322">
        <v>1</v>
      </c>
    </row>
    <row r="1323" spans="1:4" x14ac:dyDescent="0.4">
      <c r="A1323" s="3">
        <v>9990343</v>
      </c>
      <c r="B1323">
        <v>100</v>
      </c>
      <c r="C1323">
        <v>9990300</v>
      </c>
      <c r="D1323">
        <v>1</v>
      </c>
    </row>
    <row r="1324" spans="1:4" x14ac:dyDescent="0.4">
      <c r="A1324" s="3">
        <v>9990344</v>
      </c>
      <c r="B1324">
        <v>100</v>
      </c>
      <c r="C1324">
        <v>9990300</v>
      </c>
      <c r="D1324">
        <v>1</v>
      </c>
    </row>
    <row r="1325" spans="1:4" x14ac:dyDescent="0.4">
      <c r="A1325" s="3">
        <v>9990345</v>
      </c>
      <c r="B1325">
        <v>100</v>
      </c>
      <c r="C1325">
        <v>9990300</v>
      </c>
      <c r="D1325">
        <v>1</v>
      </c>
    </row>
    <row r="1326" spans="1:4" x14ac:dyDescent="0.4">
      <c r="A1326" s="3">
        <v>9990346</v>
      </c>
      <c r="B1326">
        <v>100</v>
      </c>
      <c r="C1326">
        <v>9990300</v>
      </c>
      <c r="D1326">
        <v>1</v>
      </c>
    </row>
    <row r="1327" spans="1:4" x14ac:dyDescent="0.4">
      <c r="A1327" s="3">
        <v>9990347</v>
      </c>
      <c r="B1327">
        <v>100</v>
      </c>
      <c r="C1327">
        <v>9990300</v>
      </c>
      <c r="D1327">
        <v>1</v>
      </c>
    </row>
    <row r="1328" spans="1:4" x14ac:dyDescent="0.4">
      <c r="A1328" s="3">
        <v>9990348</v>
      </c>
      <c r="B1328">
        <v>100</v>
      </c>
      <c r="C1328">
        <v>9990300</v>
      </c>
      <c r="D1328">
        <v>1</v>
      </c>
    </row>
    <row r="1329" spans="1:4" x14ac:dyDescent="0.4">
      <c r="A1329" s="3">
        <v>9990349</v>
      </c>
      <c r="B1329">
        <v>100</v>
      </c>
      <c r="C1329">
        <v>9990300</v>
      </c>
      <c r="D1329">
        <v>1</v>
      </c>
    </row>
    <row r="1330" spans="1:4" x14ac:dyDescent="0.4">
      <c r="A1330" s="3">
        <v>9990350</v>
      </c>
      <c r="B1330">
        <v>100</v>
      </c>
      <c r="C1330">
        <v>9990300</v>
      </c>
      <c r="D1330">
        <v>1</v>
      </c>
    </row>
    <row r="1331" spans="1:4" x14ac:dyDescent="0.4">
      <c r="A1331" s="3">
        <v>9990351</v>
      </c>
      <c r="B1331">
        <v>100</v>
      </c>
      <c r="C1331">
        <v>9990300</v>
      </c>
      <c r="D1331">
        <v>1</v>
      </c>
    </row>
    <row r="1332" spans="1:4" x14ac:dyDescent="0.4">
      <c r="A1332" s="3">
        <v>9990352</v>
      </c>
      <c r="B1332">
        <v>100</v>
      </c>
      <c r="C1332">
        <v>9990300</v>
      </c>
      <c r="D1332">
        <v>1</v>
      </c>
    </row>
    <row r="1333" spans="1:4" x14ac:dyDescent="0.4">
      <c r="A1333" s="3">
        <v>9990353</v>
      </c>
      <c r="B1333">
        <v>100</v>
      </c>
      <c r="C1333">
        <v>9990300</v>
      </c>
      <c r="D1333">
        <v>1</v>
      </c>
    </row>
    <row r="1334" spans="1:4" x14ac:dyDescent="0.4">
      <c r="A1334" s="3">
        <v>9990354</v>
      </c>
      <c r="B1334">
        <v>100</v>
      </c>
      <c r="C1334">
        <v>9990300</v>
      </c>
      <c r="D1334">
        <v>1</v>
      </c>
    </row>
    <row r="1335" spans="1:4" x14ac:dyDescent="0.4">
      <c r="A1335" s="3">
        <v>9990355</v>
      </c>
      <c r="B1335">
        <v>100</v>
      </c>
      <c r="C1335">
        <v>9990300</v>
      </c>
      <c r="D1335">
        <v>1</v>
      </c>
    </row>
    <row r="1336" spans="1:4" x14ac:dyDescent="0.4">
      <c r="A1336" s="3">
        <v>9990356</v>
      </c>
      <c r="B1336">
        <v>100</v>
      </c>
      <c r="C1336">
        <v>9990300</v>
      </c>
      <c r="D1336">
        <v>1</v>
      </c>
    </row>
    <row r="1337" spans="1:4" x14ac:dyDescent="0.4">
      <c r="A1337" s="3">
        <v>9990357</v>
      </c>
      <c r="B1337">
        <v>100</v>
      </c>
      <c r="C1337">
        <v>9990300</v>
      </c>
      <c r="D1337">
        <v>1</v>
      </c>
    </row>
    <row r="1338" spans="1:4" x14ac:dyDescent="0.4">
      <c r="A1338" s="3">
        <v>9990358</v>
      </c>
      <c r="B1338">
        <v>100</v>
      </c>
      <c r="C1338">
        <v>9990300</v>
      </c>
      <c r="D1338">
        <v>1</v>
      </c>
    </row>
    <row r="1339" spans="1:4" x14ac:dyDescent="0.4">
      <c r="A1339" s="3">
        <v>9990359</v>
      </c>
      <c r="B1339">
        <v>100</v>
      </c>
      <c r="C1339">
        <v>9990300</v>
      </c>
      <c r="D1339">
        <v>1</v>
      </c>
    </row>
    <row r="1340" spans="1:4" x14ac:dyDescent="0.4">
      <c r="A1340" s="3">
        <v>9990360</v>
      </c>
      <c r="B1340">
        <v>100</v>
      </c>
      <c r="C1340">
        <v>9990300</v>
      </c>
      <c r="D1340">
        <v>1</v>
      </c>
    </row>
    <row r="1341" spans="1:4" x14ac:dyDescent="0.4">
      <c r="A1341" s="3">
        <v>9990361</v>
      </c>
      <c r="B1341">
        <v>100</v>
      </c>
      <c r="C1341">
        <v>9990300</v>
      </c>
      <c r="D1341">
        <v>1</v>
      </c>
    </row>
    <row r="1342" spans="1:4" x14ac:dyDescent="0.4">
      <c r="A1342" s="3">
        <v>9990362</v>
      </c>
      <c r="B1342">
        <v>100</v>
      </c>
      <c r="C1342">
        <v>9990300</v>
      </c>
      <c r="D1342">
        <v>1</v>
      </c>
    </row>
    <row r="1343" spans="1:4" x14ac:dyDescent="0.4">
      <c r="A1343" s="3">
        <v>9990363</v>
      </c>
      <c r="B1343">
        <v>100</v>
      </c>
      <c r="C1343">
        <v>9990300</v>
      </c>
      <c r="D1343">
        <v>1</v>
      </c>
    </row>
    <row r="1344" spans="1:4" x14ac:dyDescent="0.4">
      <c r="A1344" s="3">
        <v>9990364</v>
      </c>
      <c r="B1344">
        <v>100</v>
      </c>
      <c r="C1344">
        <v>9990300</v>
      </c>
      <c r="D1344">
        <v>1</v>
      </c>
    </row>
    <row r="1345" spans="1:4" x14ac:dyDescent="0.4">
      <c r="A1345" s="3">
        <v>9990365</v>
      </c>
      <c r="B1345">
        <v>100</v>
      </c>
      <c r="C1345">
        <v>9990300</v>
      </c>
      <c r="D1345">
        <v>1</v>
      </c>
    </row>
    <row r="1346" spans="1:4" x14ac:dyDescent="0.4">
      <c r="A1346" s="3">
        <v>9990366</v>
      </c>
      <c r="B1346">
        <v>100</v>
      </c>
      <c r="C1346">
        <v>9990300</v>
      </c>
      <c r="D1346">
        <v>1</v>
      </c>
    </row>
    <row r="1347" spans="1:4" x14ac:dyDescent="0.4">
      <c r="A1347" s="3">
        <v>9990367</v>
      </c>
      <c r="B1347">
        <v>100</v>
      </c>
      <c r="C1347">
        <v>9990300</v>
      </c>
      <c r="D1347">
        <v>1</v>
      </c>
    </row>
    <row r="1348" spans="1:4" x14ac:dyDescent="0.4">
      <c r="A1348" s="3">
        <v>9990368</v>
      </c>
      <c r="B1348">
        <v>100</v>
      </c>
      <c r="C1348">
        <v>9990300</v>
      </c>
      <c r="D1348">
        <v>1</v>
      </c>
    </row>
    <row r="1349" spans="1:4" x14ac:dyDescent="0.4">
      <c r="A1349" s="3">
        <v>9990369</v>
      </c>
      <c r="B1349">
        <v>100</v>
      </c>
      <c r="C1349">
        <v>9990300</v>
      </c>
      <c r="D1349">
        <v>1</v>
      </c>
    </row>
    <row r="1350" spans="1:4" x14ac:dyDescent="0.4">
      <c r="A1350" s="3">
        <v>9990370</v>
      </c>
      <c r="B1350">
        <v>100</v>
      </c>
      <c r="C1350">
        <v>9990300</v>
      </c>
      <c r="D1350">
        <v>1</v>
      </c>
    </row>
    <row r="1351" spans="1:4" x14ac:dyDescent="0.4">
      <c r="A1351" s="3">
        <v>9990371</v>
      </c>
      <c r="B1351">
        <v>100</v>
      </c>
      <c r="C1351">
        <v>9990300</v>
      </c>
      <c r="D1351">
        <v>1</v>
      </c>
    </row>
    <row r="1352" spans="1:4" x14ac:dyDescent="0.4">
      <c r="A1352" s="3">
        <v>9990372</v>
      </c>
      <c r="B1352">
        <v>100</v>
      </c>
      <c r="C1352">
        <v>9990300</v>
      </c>
      <c r="D1352">
        <v>1</v>
      </c>
    </row>
    <row r="1353" spans="1:4" x14ac:dyDescent="0.4">
      <c r="A1353" s="3">
        <v>9990373</v>
      </c>
      <c r="B1353">
        <v>100</v>
      </c>
      <c r="C1353">
        <v>9990300</v>
      </c>
      <c r="D1353">
        <v>1</v>
      </c>
    </row>
    <row r="1354" spans="1:4" x14ac:dyDescent="0.4">
      <c r="A1354" s="3">
        <v>9990374</v>
      </c>
      <c r="B1354">
        <v>100</v>
      </c>
      <c r="C1354">
        <v>9990300</v>
      </c>
      <c r="D1354">
        <v>1</v>
      </c>
    </row>
    <row r="1355" spans="1:4" x14ac:dyDescent="0.4">
      <c r="A1355" s="3">
        <v>9990375</v>
      </c>
      <c r="B1355">
        <v>100</v>
      </c>
      <c r="C1355">
        <v>9990300</v>
      </c>
      <c r="D1355">
        <v>1</v>
      </c>
    </row>
    <row r="1356" spans="1:4" x14ac:dyDescent="0.4">
      <c r="A1356" s="3">
        <v>9990376</v>
      </c>
      <c r="B1356">
        <v>100</v>
      </c>
      <c r="C1356">
        <v>9990300</v>
      </c>
      <c r="D1356">
        <v>1</v>
      </c>
    </row>
    <row r="1357" spans="1:4" x14ac:dyDescent="0.4">
      <c r="A1357" s="3">
        <v>9990377</v>
      </c>
      <c r="B1357">
        <v>100</v>
      </c>
      <c r="C1357">
        <v>9990300</v>
      </c>
      <c r="D1357">
        <v>1</v>
      </c>
    </row>
    <row r="1358" spans="1:4" x14ac:dyDescent="0.4">
      <c r="A1358" s="3">
        <v>9990378</v>
      </c>
      <c r="B1358">
        <v>100</v>
      </c>
      <c r="C1358">
        <v>9990300</v>
      </c>
      <c r="D1358">
        <v>1</v>
      </c>
    </row>
    <row r="1359" spans="1:4" x14ac:dyDescent="0.4">
      <c r="A1359" s="3">
        <v>9990379</v>
      </c>
      <c r="B1359">
        <v>100</v>
      </c>
      <c r="C1359">
        <v>9990300</v>
      </c>
      <c r="D1359">
        <v>1</v>
      </c>
    </row>
    <row r="1360" spans="1:4" x14ac:dyDescent="0.4">
      <c r="A1360" s="3">
        <v>9990380</v>
      </c>
      <c r="B1360">
        <v>100</v>
      </c>
      <c r="C1360">
        <v>9990300</v>
      </c>
      <c r="D1360">
        <v>1</v>
      </c>
    </row>
    <row r="1361" spans="1:4" x14ac:dyDescent="0.4">
      <c r="A1361" s="3">
        <v>9990381</v>
      </c>
      <c r="B1361">
        <v>100</v>
      </c>
      <c r="C1361">
        <v>9990300</v>
      </c>
      <c r="D1361">
        <v>1</v>
      </c>
    </row>
    <row r="1362" spans="1:4" x14ac:dyDescent="0.4">
      <c r="A1362" s="3">
        <v>9990382</v>
      </c>
      <c r="B1362">
        <v>100</v>
      </c>
      <c r="C1362">
        <v>9990300</v>
      </c>
      <c r="D1362">
        <v>1</v>
      </c>
    </row>
    <row r="1363" spans="1:4" x14ac:dyDescent="0.4">
      <c r="A1363" s="3">
        <v>9990383</v>
      </c>
      <c r="B1363">
        <v>100</v>
      </c>
      <c r="C1363">
        <v>9990300</v>
      </c>
      <c r="D1363">
        <v>1</v>
      </c>
    </row>
    <row r="1364" spans="1:4" x14ac:dyDescent="0.4">
      <c r="A1364" s="3">
        <v>9990384</v>
      </c>
      <c r="B1364">
        <v>100</v>
      </c>
      <c r="C1364">
        <v>9990300</v>
      </c>
      <c r="D1364">
        <v>1</v>
      </c>
    </row>
    <row r="1365" spans="1:4" x14ac:dyDescent="0.4">
      <c r="A1365" s="3">
        <v>9990385</v>
      </c>
      <c r="B1365">
        <v>100</v>
      </c>
      <c r="C1365">
        <v>9990300</v>
      </c>
      <c r="D1365">
        <v>1</v>
      </c>
    </row>
    <row r="1366" spans="1:4" x14ac:dyDescent="0.4">
      <c r="A1366" s="3">
        <v>9990386</v>
      </c>
      <c r="B1366">
        <v>100</v>
      </c>
      <c r="C1366">
        <v>9990300</v>
      </c>
      <c r="D1366">
        <v>1</v>
      </c>
    </row>
    <row r="1367" spans="1:4" x14ac:dyDescent="0.4">
      <c r="A1367" s="3">
        <v>9990387</v>
      </c>
      <c r="B1367">
        <v>100</v>
      </c>
      <c r="C1367">
        <v>9990300</v>
      </c>
      <c r="D1367">
        <v>1</v>
      </c>
    </row>
    <row r="1368" spans="1:4" x14ac:dyDescent="0.4">
      <c r="A1368" s="3">
        <v>9990388</v>
      </c>
      <c r="B1368">
        <v>100</v>
      </c>
      <c r="C1368">
        <v>9990300</v>
      </c>
      <c r="D1368">
        <v>1</v>
      </c>
    </row>
    <row r="1369" spans="1:4" x14ac:dyDescent="0.4">
      <c r="A1369" s="3">
        <v>9990389</v>
      </c>
      <c r="B1369">
        <v>100</v>
      </c>
      <c r="C1369">
        <v>9990300</v>
      </c>
      <c r="D1369">
        <v>1</v>
      </c>
    </row>
    <row r="1370" spans="1:4" x14ac:dyDescent="0.4">
      <c r="A1370" s="3">
        <v>9990390</v>
      </c>
      <c r="B1370">
        <v>100</v>
      </c>
      <c r="C1370">
        <v>9990300</v>
      </c>
      <c r="D1370">
        <v>1</v>
      </c>
    </row>
    <row r="1371" spans="1:4" x14ac:dyDescent="0.4">
      <c r="A1371" s="3">
        <v>9990391</v>
      </c>
      <c r="B1371">
        <v>100</v>
      </c>
      <c r="C1371">
        <v>9990300</v>
      </c>
      <c r="D1371">
        <v>1</v>
      </c>
    </row>
    <row r="1372" spans="1:4" x14ac:dyDescent="0.4">
      <c r="A1372" s="3">
        <v>9990392</v>
      </c>
      <c r="B1372">
        <v>100</v>
      </c>
      <c r="C1372">
        <v>9990300</v>
      </c>
      <c r="D1372">
        <v>1</v>
      </c>
    </row>
    <row r="1373" spans="1:4" x14ac:dyDescent="0.4">
      <c r="A1373" s="3">
        <v>9990393</v>
      </c>
      <c r="B1373">
        <v>100</v>
      </c>
      <c r="C1373">
        <v>9990300</v>
      </c>
      <c r="D1373">
        <v>1</v>
      </c>
    </row>
    <row r="1374" spans="1:4" x14ac:dyDescent="0.4">
      <c r="A1374" s="3">
        <v>9990394</v>
      </c>
      <c r="B1374">
        <v>100</v>
      </c>
      <c r="C1374">
        <v>9990300</v>
      </c>
      <c r="D1374">
        <v>1</v>
      </c>
    </row>
    <row r="1375" spans="1:4" x14ac:dyDescent="0.4">
      <c r="A1375" s="3">
        <v>9990395</v>
      </c>
      <c r="B1375">
        <v>100</v>
      </c>
      <c r="C1375">
        <v>9990300</v>
      </c>
      <c r="D1375">
        <v>1</v>
      </c>
    </row>
    <row r="1376" spans="1:4" x14ac:dyDescent="0.4">
      <c r="A1376" s="3">
        <v>9990396</v>
      </c>
      <c r="B1376">
        <v>100</v>
      </c>
      <c r="C1376">
        <v>9990300</v>
      </c>
      <c r="D1376">
        <v>1</v>
      </c>
    </row>
    <row r="1377" spans="1:4" x14ac:dyDescent="0.4">
      <c r="A1377" s="3">
        <v>9990397</v>
      </c>
      <c r="B1377">
        <v>100</v>
      </c>
      <c r="C1377">
        <v>9990300</v>
      </c>
      <c r="D1377">
        <v>1</v>
      </c>
    </row>
    <row r="1378" spans="1:4" x14ac:dyDescent="0.4">
      <c r="A1378" s="3">
        <v>9990398</v>
      </c>
      <c r="B1378">
        <v>100</v>
      </c>
      <c r="C1378">
        <v>9990300</v>
      </c>
      <c r="D1378">
        <v>1</v>
      </c>
    </row>
    <row r="1379" spans="1:4" x14ac:dyDescent="0.4">
      <c r="A1379" s="3">
        <v>9990399</v>
      </c>
      <c r="B1379">
        <v>100</v>
      </c>
      <c r="C1379">
        <v>9990300</v>
      </c>
      <c r="D1379">
        <v>1</v>
      </c>
    </row>
    <row r="1380" spans="1:4" x14ac:dyDescent="0.4">
      <c r="A1380" s="3">
        <v>9990400</v>
      </c>
      <c r="B1380">
        <v>100</v>
      </c>
      <c r="C1380">
        <v>9990400</v>
      </c>
      <c r="D1380">
        <v>1</v>
      </c>
    </row>
    <row r="1381" spans="1:4" x14ac:dyDescent="0.4">
      <c r="A1381" s="3">
        <v>9990401</v>
      </c>
      <c r="B1381">
        <v>100</v>
      </c>
      <c r="C1381">
        <v>9990400</v>
      </c>
      <c r="D1381">
        <v>1</v>
      </c>
    </row>
    <row r="1382" spans="1:4" x14ac:dyDescent="0.4">
      <c r="A1382" s="3">
        <v>9990402</v>
      </c>
      <c r="B1382">
        <v>100</v>
      </c>
      <c r="C1382">
        <v>9990400</v>
      </c>
      <c r="D1382">
        <v>1</v>
      </c>
    </row>
    <row r="1383" spans="1:4" x14ac:dyDescent="0.4">
      <c r="A1383" s="3">
        <v>9990403</v>
      </c>
      <c r="B1383">
        <v>100</v>
      </c>
      <c r="C1383">
        <v>9990400</v>
      </c>
      <c r="D1383">
        <v>1</v>
      </c>
    </row>
    <row r="1384" spans="1:4" x14ac:dyDescent="0.4">
      <c r="A1384" s="3">
        <v>9990404</v>
      </c>
      <c r="B1384">
        <v>100</v>
      </c>
      <c r="C1384">
        <v>9990400</v>
      </c>
      <c r="D1384">
        <v>1</v>
      </c>
    </row>
    <row r="1385" spans="1:4" x14ac:dyDescent="0.4">
      <c r="A1385" s="3">
        <v>9990405</v>
      </c>
      <c r="B1385">
        <v>100</v>
      </c>
      <c r="C1385">
        <v>9990400</v>
      </c>
      <c r="D1385">
        <v>1</v>
      </c>
    </row>
    <row r="1386" spans="1:4" x14ac:dyDescent="0.4">
      <c r="A1386" s="3">
        <v>9990406</v>
      </c>
      <c r="B1386">
        <v>100</v>
      </c>
      <c r="C1386">
        <v>9990400</v>
      </c>
      <c r="D1386">
        <v>1</v>
      </c>
    </row>
    <row r="1387" spans="1:4" x14ac:dyDescent="0.4">
      <c r="A1387" s="3">
        <v>9990407</v>
      </c>
      <c r="B1387">
        <v>100</v>
      </c>
      <c r="C1387">
        <v>9990400</v>
      </c>
      <c r="D1387">
        <v>1</v>
      </c>
    </row>
    <row r="1388" spans="1:4" x14ac:dyDescent="0.4">
      <c r="A1388" s="3">
        <v>9990408</v>
      </c>
      <c r="B1388">
        <v>100</v>
      </c>
      <c r="C1388">
        <v>9990400</v>
      </c>
      <c r="D1388">
        <v>1</v>
      </c>
    </row>
    <row r="1389" spans="1:4" x14ac:dyDescent="0.4">
      <c r="A1389" s="3">
        <v>9990409</v>
      </c>
      <c r="B1389">
        <v>100</v>
      </c>
      <c r="C1389">
        <v>9990400</v>
      </c>
      <c r="D1389">
        <v>1</v>
      </c>
    </row>
    <row r="1390" spans="1:4" x14ac:dyDescent="0.4">
      <c r="A1390" s="3">
        <v>9990410</v>
      </c>
      <c r="B1390">
        <v>100</v>
      </c>
      <c r="C1390">
        <v>9990400</v>
      </c>
      <c r="D1390">
        <v>1</v>
      </c>
    </row>
    <row r="1391" spans="1:4" x14ac:dyDescent="0.4">
      <c r="A1391" s="3">
        <v>9990411</v>
      </c>
      <c r="B1391">
        <v>100</v>
      </c>
      <c r="C1391">
        <v>9990400</v>
      </c>
      <c r="D1391">
        <v>1</v>
      </c>
    </row>
    <row r="1392" spans="1:4" x14ac:dyDescent="0.4">
      <c r="A1392" s="3">
        <v>9990412</v>
      </c>
      <c r="B1392">
        <v>100</v>
      </c>
      <c r="C1392">
        <v>9990400</v>
      </c>
      <c r="D1392">
        <v>1</v>
      </c>
    </row>
    <row r="1393" spans="1:4" x14ac:dyDescent="0.4">
      <c r="A1393" s="3">
        <v>9990413</v>
      </c>
      <c r="B1393">
        <v>100</v>
      </c>
      <c r="C1393">
        <v>9990400</v>
      </c>
      <c r="D1393">
        <v>1</v>
      </c>
    </row>
    <row r="1394" spans="1:4" x14ac:dyDescent="0.4">
      <c r="A1394" s="3">
        <v>9990414</v>
      </c>
      <c r="B1394">
        <v>100</v>
      </c>
      <c r="C1394">
        <v>9990400</v>
      </c>
      <c r="D1394">
        <v>1</v>
      </c>
    </row>
    <row r="1395" spans="1:4" x14ac:dyDescent="0.4">
      <c r="A1395" s="3">
        <v>9990415</v>
      </c>
      <c r="B1395">
        <v>100</v>
      </c>
      <c r="C1395">
        <v>9990400</v>
      </c>
      <c r="D1395">
        <v>1</v>
      </c>
    </row>
    <row r="1396" spans="1:4" x14ac:dyDescent="0.4">
      <c r="A1396" s="3">
        <v>9990416</v>
      </c>
      <c r="B1396">
        <v>100</v>
      </c>
      <c r="C1396">
        <v>9990400</v>
      </c>
      <c r="D1396">
        <v>1</v>
      </c>
    </row>
    <row r="1397" spans="1:4" x14ac:dyDescent="0.4">
      <c r="A1397" s="3">
        <v>9990417</v>
      </c>
      <c r="B1397">
        <v>100</v>
      </c>
      <c r="C1397">
        <v>9990400</v>
      </c>
      <c r="D1397">
        <v>1</v>
      </c>
    </row>
    <row r="1398" spans="1:4" x14ac:dyDescent="0.4">
      <c r="A1398" s="3">
        <v>9990418</v>
      </c>
      <c r="B1398">
        <v>100</v>
      </c>
      <c r="C1398">
        <v>9990400</v>
      </c>
      <c r="D1398">
        <v>1</v>
      </c>
    </row>
    <row r="1399" spans="1:4" x14ac:dyDescent="0.4">
      <c r="A1399" s="3">
        <v>9990419</v>
      </c>
      <c r="B1399">
        <v>100</v>
      </c>
      <c r="C1399">
        <v>9990400</v>
      </c>
      <c r="D1399">
        <v>1</v>
      </c>
    </row>
    <row r="1400" spans="1:4" x14ac:dyDescent="0.4">
      <c r="A1400" s="3">
        <v>9990420</v>
      </c>
      <c r="B1400">
        <v>100</v>
      </c>
      <c r="C1400">
        <v>9990400</v>
      </c>
      <c r="D1400">
        <v>1</v>
      </c>
    </row>
    <row r="1401" spans="1:4" x14ac:dyDescent="0.4">
      <c r="A1401" s="3">
        <v>9990421</v>
      </c>
      <c r="B1401">
        <v>100</v>
      </c>
      <c r="C1401">
        <v>9990400</v>
      </c>
      <c r="D1401">
        <v>1</v>
      </c>
    </row>
    <row r="1402" spans="1:4" x14ac:dyDescent="0.4">
      <c r="A1402" s="3">
        <v>9990422</v>
      </c>
      <c r="B1402">
        <v>100</v>
      </c>
      <c r="C1402">
        <v>9990400</v>
      </c>
      <c r="D1402">
        <v>1</v>
      </c>
    </row>
    <row r="1403" spans="1:4" x14ac:dyDescent="0.4">
      <c r="A1403" s="3">
        <v>9990423</v>
      </c>
      <c r="B1403">
        <v>100</v>
      </c>
      <c r="C1403">
        <v>9990400</v>
      </c>
      <c r="D1403">
        <v>1</v>
      </c>
    </row>
    <row r="1404" spans="1:4" x14ac:dyDescent="0.4">
      <c r="A1404" s="3">
        <v>9990424</v>
      </c>
      <c r="B1404">
        <v>100</v>
      </c>
      <c r="C1404">
        <v>9990400</v>
      </c>
      <c r="D1404">
        <v>1</v>
      </c>
    </row>
    <row r="1405" spans="1:4" x14ac:dyDescent="0.4">
      <c r="A1405" s="3">
        <v>9990425</v>
      </c>
      <c r="B1405">
        <v>100</v>
      </c>
      <c r="C1405">
        <v>9990400</v>
      </c>
      <c r="D1405">
        <v>1</v>
      </c>
    </row>
    <row r="1406" spans="1:4" x14ac:dyDescent="0.4">
      <c r="A1406" s="3">
        <v>9990426</v>
      </c>
      <c r="B1406">
        <v>100</v>
      </c>
      <c r="C1406">
        <v>9990400</v>
      </c>
      <c r="D1406">
        <v>1</v>
      </c>
    </row>
    <row r="1407" spans="1:4" x14ac:dyDescent="0.4">
      <c r="A1407" s="3">
        <v>9990427</v>
      </c>
      <c r="B1407">
        <v>100</v>
      </c>
      <c r="C1407">
        <v>9990400</v>
      </c>
      <c r="D1407">
        <v>1</v>
      </c>
    </row>
    <row r="1408" spans="1:4" x14ac:dyDescent="0.4">
      <c r="A1408" s="3">
        <v>9990428</v>
      </c>
      <c r="B1408">
        <v>100</v>
      </c>
      <c r="C1408">
        <v>9990400</v>
      </c>
      <c r="D1408">
        <v>1</v>
      </c>
    </row>
    <row r="1409" spans="1:4" x14ac:dyDescent="0.4">
      <c r="A1409" s="3">
        <v>9990429</v>
      </c>
      <c r="B1409">
        <v>100</v>
      </c>
      <c r="C1409">
        <v>9990400</v>
      </c>
      <c r="D1409">
        <v>1</v>
      </c>
    </row>
    <row r="1410" spans="1:4" x14ac:dyDescent="0.4">
      <c r="A1410" s="3">
        <v>9990430</v>
      </c>
      <c r="B1410">
        <v>100</v>
      </c>
      <c r="C1410">
        <v>9990400</v>
      </c>
      <c r="D1410">
        <v>1</v>
      </c>
    </row>
    <row r="1411" spans="1:4" x14ac:dyDescent="0.4">
      <c r="A1411" s="3">
        <v>9990431</v>
      </c>
      <c r="B1411">
        <v>100</v>
      </c>
      <c r="C1411">
        <v>9990400</v>
      </c>
      <c r="D1411">
        <v>1</v>
      </c>
    </row>
    <row r="1412" spans="1:4" x14ac:dyDescent="0.4">
      <c r="A1412" s="3">
        <v>9990432</v>
      </c>
      <c r="B1412">
        <v>100</v>
      </c>
      <c r="C1412">
        <v>9990400</v>
      </c>
      <c r="D1412">
        <v>1</v>
      </c>
    </row>
    <row r="1413" spans="1:4" x14ac:dyDescent="0.4">
      <c r="A1413" s="3">
        <v>9990433</v>
      </c>
      <c r="B1413">
        <v>100</v>
      </c>
      <c r="C1413">
        <v>9990400</v>
      </c>
      <c r="D1413">
        <v>1</v>
      </c>
    </row>
    <row r="1414" spans="1:4" x14ac:dyDescent="0.4">
      <c r="A1414" s="3">
        <v>9990434</v>
      </c>
      <c r="B1414">
        <v>100</v>
      </c>
      <c r="C1414">
        <v>9990400</v>
      </c>
      <c r="D1414">
        <v>1</v>
      </c>
    </row>
    <row r="1415" spans="1:4" x14ac:dyDescent="0.4">
      <c r="A1415" s="3">
        <v>9990435</v>
      </c>
      <c r="B1415">
        <v>100</v>
      </c>
      <c r="C1415">
        <v>9990400</v>
      </c>
      <c r="D1415">
        <v>1</v>
      </c>
    </row>
    <row r="1416" spans="1:4" x14ac:dyDescent="0.4">
      <c r="A1416" s="3">
        <v>9990436</v>
      </c>
      <c r="B1416">
        <v>100</v>
      </c>
      <c r="C1416">
        <v>9990400</v>
      </c>
      <c r="D1416">
        <v>1</v>
      </c>
    </row>
    <row r="1417" spans="1:4" x14ac:dyDescent="0.4">
      <c r="A1417" s="3">
        <v>9990437</v>
      </c>
      <c r="B1417">
        <v>100</v>
      </c>
      <c r="C1417">
        <v>9990400</v>
      </c>
      <c r="D1417">
        <v>1</v>
      </c>
    </row>
    <row r="1418" spans="1:4" x14ac:dyDescent="0.4">
      <c r="A1418" s="3">
        <v>9990438</v>
      </c>
      <c r="B1418">
        <v>100</v>
      </c>
      <c r="C1418">
        <v>9990400</v>
      </c>
      <c r="D1418">
        <v>1</v>
      </c>
    </row>
    <row r="1419" spans="1:4" x14ac:dyDescent="0.4">
      <c r="A1419" s="3">
        <v>9990439</v>
      </c>
      <c r="B1419">
        <v>100</v>
      </c>
      <c r="C1419">
        <v>9990400</v>
      </c>
      <c r="D1419">
        <v>1</v>
      </c>
    </row>
    <row r="1420" spans="1:4" x14ac:dyDescent="0.4">
      <c r="A1420" s="3">
        <v>9990440</v>
      </c>
      <c r="B1420">
        <v>100</v>
      </c>
      <c r="C1420">
        <v>9990400</v>
      </c>
      <c r="D1420">
        <v>1</v>
      </c>
    </row>
    <row r="1421" spans="1:4" x14ac:dyDescent="0.4">
      <c r="A1421" s="3">
        <v>9990441</v>
      </c>
      <c r="B1421">
        <v>100</v>
      </c>
      <c r="C1421">
        <v>9990400</v>
      </c>
      <c r="D1421">
        <v>1</v>
      </c>
    </row>
    <row r="1422" spans="1:4" x14ac:dyDescent="0.4">
      <c r="A1422" s="3">
        <v>9990442</v>
      </c>
      <c r="B1422">
        <v>100</v>
      </c>
      <c r="C1422">
        <v>9990400</v>
      </c>
      <c r="D1422">
        <v>1</v>
      </c>
    </row>
    <row r="1423" spans="1:4" x14ac:dyDescent="0.4">
      <c r="A1423" s="3">
        <v>9990443</v>
      </c>
      <c r="B1423">
        <v>100</v>
      </c>
      <c r="C1423">
        <v>9990400</v>
      </c>
      <c r="D1423">
        <v>1</v>
      </c>
    </row>
    <row r="1424" spans="1:4" x14ac:dyDescent="0.4">
      <c r="A1424" s="3">
        <v>9990444</v>
      </c>
      <c r="B1424">
        <v>100</v>
      </c>
      <c r="C1424">
        <v>9990400</v>
      </c>
      <c r="D1424">
        <v>1</v>
      </c>
    </row>
    <row r="1425" spans="1:4" x14ac:dyDescent="0.4">
      <c r="A1425" s="3">
        <v>9990445</v>
      </c>
      <c r="B1425">
        <v>100</v>
      </c>
      <c r="C1425">
        <v>9990400</v>
      </c>
      <c r="D1425">
        <v>1</v>
      </c>
    </row>
    <row r="1426" spans="1:4" x14ac:dyDescent="0.4">
      <c r="A1426" s="3">
        <v>9990446</v>
      </c>
      <c r="B1426">
        <v>100</v>
      </c>
      <c r="C1426">
        <v>9990400</v>
      </c>
      <c r="D1426">
        <v>1</v>
      </c>
    </row>
    <row r="1427" spans="1:4" x14ac:dyDescent="0.4">
      <c r="A1427" s="3">
        <v>9990447</v>
      </c>
      <c r="B1427">
        <v>100</v>
      </c>
      <c r="C1427">
        <v>9990400</v>
      </c>
      <c r="D1427">
        <v>1</v>
      </c>
    </row>
    <row r="1428" spans="1:4" x14ac:dyDescent="0.4">
      <c r="A1428" s="3">
        <v>9990448</v>
      </c>
      <c r="B1428">
        <v>100</v>
      </c>
      <c r="C1428">
        <v>9990400</v>
      </c>
      <c r="D1428">
        <v>1</v>
      </c>
    </row>
    <row r="1429" spans="1:4" x14ac:dyDescent="0.4">
      <c r="A1429" s="3">
        <v>9990449</v>
      </c>
      <c r="B1429">
        <v>100</v>
      </c>
      <c r="C1429">
        <v>9990400</v>
      </c>
      <c r="D1429">
        <v>1</v>
      </c>
    </row>
    <row r="1430" spans="1:4" x14ac:dyDescent="0.4">
      <c r="A1430" s="3">
        <v>9990450</v>
      </c>
      <c r="B1430">
        <v>100</v>
      </c>
      <c r="C1430">
        <v>9990400</v>
      </c>
      <c r="D1430">
        <v>1</v>
      </c>
    </row>
    <row r="1431" spans="1:4" x14ac:dyDescent="0.4">
      <c r="A1431" s="3">
        <v>9990451</v>
      </c>
      <c r="B1431">
        <v>100</v>
      </c>
      <c r="C1431">
        <v>9990400</v>
      </c>
      <c r="D1431">
        <v>1</v>
      </c>
    </row>
    <row r="1432" spans="1:4" x14ac:dyDescent="0.4">
      <c r="A1432" s="3">
        <v>9990452</v>
      </c>
      <c r="B1432">
        <v>100</v>
      </c>
      <c r="C1432">
        <v>9990400</v>
      </c>
      <c r="D1432">
        <v>1</v>
      </c>
    </row>
    <row r="1433" spans="1:4" x14ac:dyDescent="0.4">
      <c r="A1433" s="3">
        <v>9990453</v>
      </c>
      <c r="B1433">
        <v>100</v>
      </c>
      <c r="C1433">
        <v>9990400</v>
      </c>
      <c r="D1433">
        <v>1</v>
      </c>
    </row>
    <row r="1434" spans="1:4" x14ac:dyDescent="0.4">
      <c r="A1434" s="3">
        <v>9990454</v>
      </c>
      <c r="B1434">
        <v>100</v>
      </c>
      <c r="C1434">
        <v>9990400</v>
      </c>
      <c r="D1434">
        <v>1</v>
      </c>
    </row>
    <row r="1435" spans="1:4" x14ac:dyDescent="0.4">
      <c r="A1435" s="3">
        <v>9990455</v>
      </c>
      <c r="B1435">
        <v>100</v>
      </c>
      <c r="C1435">
        <v>9990400</v>
      </c>
      <c r="D1435">
        <v>1</v>
      </c>
    </row>
    <row r="1436" spans="1:4" x14ac:dyDescent="0.4">
      <c r="A1436" s="3">
        <v>9990456</v>
      </c>
      <c r="B1436">
        <v>100</v>
      </c>
      <c r="C1436">
        <v>9990400</v>
      </c>
      <c r="D1436">
        <v>1</v>
      </c>
    </row>
    <row r="1437" spans="1:4" x14ac:dyDescent="0.4">
      <c r="A1437" s="3">
        <v>9990457</v>
      </c>
      <c r="B1437">
        <v>100</v>
      </c>
      <c r="C1437">
        <v>9990400</v>
      </c>
      <c r="D1437">
        <v>1</v>
      </c>
    </row>
    <row r="1438" spans="1:4" x14ac:dyDescent="0.4">
      <c r="A1438" s="3">
        <v>9990458</v>
      </c>
      <c r="B1438">
        <v>100</v>
      </c>
      <c r="C1438">
        <v>9990400</v>
      </c>
      <c r="D1438">
        <v>1</v>
      </c>
    </row>
    <row r="1439" spans="1:4" x14ac:dyDescent="0.4">
      <c r="A1439" s="3">
        <v>9990459</v>
      </c>
      <c r="B1439">
        <v>100</v>
      </c>
      <c r="C1439">
        <v>9990400</v>
      </c>
      <c r="D1439">
        <v>1</v>
      </c>
    </row>
    <row r="1440" spans="1:4" x14ac:dyDescent="0.4">
      <c r="A1440" s="3">
        <v>9990460</v>
      </c>
      <c r="B1440">
        <v>100</v>
      </c>
      <c r="C1440">
        <v>9990400</v>
      </c>
      <c r="D1440">
        <v>1</v>
      </c>
    </row>
    <row r="1441" spans="1:4" x14ac:dyDescent="0.4">
      <c r="A1441" s="3">
        <v>9990461</v>
      </c>
      <c r="B1441">
        <v>100</v>
      </c>
      <c r="C1441">
        <v>9990400</v>
      </c>
      <c r="D1441">
        <v>1</v>
      </c>
    </row>
    <row r="1442" spans="1:4" x14ac:dyDescent="0.4">
      <c r="A1442" s="3">
        <v>9990462</v>
      </c>
      <c r="B1442">
        <v>100</v>
      </c>
      <c r="C1442">
        <v>9990400</v>
      </c>
      <c r="D1442">
        <v>1</v>
      </c>
    </row>
    <row r="1443" spans="1:4" x14ac:dyDescent="0.4">
      <c r="A1443" s="3">
        <v>9990463</v>
      </c>
      <c r="B1443">
        <v>100</v>
      </c>
      <c r="C1443">
        <v>9990400</v>
      </c>
      <c r="D1443">
        <v>1</v>
      </c>
    </row>
    <row r="1444" spans="1:4" x14ac:dyDescent="0.4">
      <c r="A1444" s="3">
        <v>9990464</v>
      </c>
      <c r="B1444">
        <v>100</v>
      </c>
      <c r="C1444">
        <v>9990400</v>
      </c>
      <c r="D1444">
        <v>1</v>
      </c>
    </row>
    <row r="1445" spans="1:4" x14ac:dyDescent="0.4">
      <c r="A1445" s="3">
        <v>9990465</v>
      </c>
      <c r="B1445">
        <v>100</v>
      </c>
      <c r="C1445">
        <v>9990400</v>
      </c>
      <c r="D1445">
        <v>1</v>
      </c>
    </row>
    <row r="1446" spans="1:4" x14ac:dyDescent="0.4">
      <c r="A1446" s="3">
        <v>9990466</v>
      </c>
      <c r="B1446">
        <v>100</v>
      </c>
      <c r="C1446">
        <v>9990400</v>
      </c>
      <c r="D1446">
        <v>1</v>
      </c>
    </row>
    <row r="1447" spans="1:4" x14ac:dyDescent="0.4">
      <c r="A1447" s="3">
        <v>9990467</v>
      </c>
      <c r="B1447">
        <v>100</v>
      </c>
      <c r="C1447">
        <v>9990400</v>
      </c>
      <c r="D1447">
        <v>1</v>
      </c>
    </row>
    <row r="1448" spans="1:4" x14ac:dyDescent="0.4">
      <c r="A1448" s="3">
        <v>9990468</v>
      </c>
      <c r="B1448">
        <v>100</v>
      </c>
      <c r="C1448">
        <v>9990400</v>
      </c>
      <c r="D1448">
        <v>1</v>
      </c>
    </row>
    <row r="1449" spans="1:4" x14ac:dyDescent="0.4">
      <c r="A1449" s="3">
        <v>9990469</v>
      </c>
      <c r="B1449">
        <v>100</v>
      </c>
      <c r="C1449">
        <v>9990400</v>
      </c>
      <c r="D1449">
        <v>1</v>
      </c>
    </row>
    <row r="1450" spans="1:4" x14ac:dyDescent="0.4">
      <c r="A1450" s="3">
        <v>9990470</v>
      </c>
      <c r="B1450">
        <v>100</v>
      </c>
      <c r="C1450">
        <v>9990400</v>
      </c>
      <c r="D1450">
        <v>1</v>
      </c>
    </row>
    <row r="1451" spans="1:4" x14ac:dyDescent="0.4">
      <c r="A1451" s="3">
        <v>9990471</v>
      </c>
      <c r="B1451">
        <v>100</v>
      </c>
      <c r="C1451">
        <v>9990400</v>
      </c>
      <c r="D1451">
        <v>1</v>
      </c>
    </row>
    <row r="1452" spans="1:4" x14ac:dyDescent="0.4">
      <c r="A1452" s="3">
        <v>9990472</v>
      </c>
      <c r="B1452">
        <v>100</v>
      </c>
      <c r="C1452">
        <v>9990400</v>
      </c>
      <c r="D1452">
        <v>1</v>
      </c>
    </row>
    <row r="1453" spans="1:4" x14ac:dyDescent="0.4">
      <c r="A1453" s="3">
        <v>9990473</v>
      </c>
      <c r="B1453">
        <v>100</v>
      </c>
      <c r="C1453">
        <v>9990400</v>
      </c>
      <c r="D1453">
        <v>1</v>
      </c>
    </row>
    <row r="1454" spans="1:4" x14ac:dyDescent="0.4">
      <c r="A1454" s="3">
        <v>9990474</v>
      </c>
      <c r="B1454">
        <v>100</v>
      </c>
      <c r="C1454">
        <v>9990400</v>
      </c>
      <c r="D1454">
        <v>1</v>
      </c>
    </row>
    <row r="1455" spans="1:4" x14ac:dyDescent="0.4">
      <c r="A1455" s="3">
        <v>9990475</v>
      </c>
      <c r="B1455">
        <v>100</v>
      </c>
      <c r="C1455">
        <v>9990400</v>
      </c>
      <c r="D1455">
        <v>1</v>
      </c>
    </row>
    <row r="1456" spans="1:4" x14ac:dyDescent="0.4">
      <c r="A1456" s="3">
        <v>9990476</v>
      </c>
      <c r="B1456">
        <v>100</v>
      </c>
      <c r="C1456">
        <v>9990400</v>
      </c>
      <c r="D1456">
        <v>1</v>
      </c>
    </row>
    <row r="1457" spans="1:4" x14ac:dyDescent="0.4">
      <c r="A1457" s="3">
        <v>9990477</v>
      </c>
      <c r="B1457">
        <v>100</v>
      </c>
      <c r="C1457">
        <v>9990400</v>
      </c>
      <c r="D1457">
        <v>1</v>
      </c>
    </row>
    <row r="1458" spans="1:4" x14ac:dyDescent="0.4">
      <c r="A1458" s="3">
        <v>9990478</v>
      </c>
      <c r="B1458">
        <v>100</v>
      </c>
      <c r="C1458">
        <v>9990400</v>
      </c>
      <c r="D1458">
        <v>1</v>
      </c>
    </row>
    <row r="1459" spans="1:4" x14ac:dyDescent="0.4">
      <c r="A1459" s="3">
        <v>9990479</v>
      </c>
      <c r="B1459">
        <v>100</v>
      </c>
      <c r="C1459">
        <v>9990400</v>
      </c>
      <c r="D1459">
        <v>1</v>
      </c>
    </row>
    <row r="1460" spans="1:4" x14ac:dyDescent="0.4">
      <c r="A1460" s="3">
        <v>9990480</v>
      </c>
      <c r="B1460">
        <v>100</v>
      </c>
      <c r="C1460">
        <v>9990400</v>
      </c>
      <c r="D1460">
        <v>1</v>
      </c>
    </row>
    <row r="1461" spans="1:4" x14ac:dyDescent="0.4">
      <c r="A1461" s="3">
        <v>9990481</v>
      </c>
      <c r="B1461">
        <v>100</v>
      </c>
      <c r="C1461">
        <v>9990400</v>
      </c>
      <c r="D1461">
        <v>1</v>
      </c>
    </row>
    <row r="1462" spans="1:4" x14ac:dyDescent="0.4">
      <c r="A1462" s="3">
        <v>9990482</v>
      </c>
      <c r="B1462">
        <v>100</v>
      </c>
      <c r="C1462">
        <v>9990400</v>
      </c>
      <c r="D1462">
        <v>1</v>
      </c>
    </row>
    <row r="1463" spans="1:4" x14ac:dyDescent="0.4">
      <c r="A1463" s="3">
        <v>9990483</v>
      </c>
      <c r="B1463">
        <v>100</v>
      </c>
      <c r="C1463">
        <v>9990400</v>
      </c>
      <c r="D1463">
        <v>1</v>
      </c>
    </row>
    <row r="1464" spans="1:4" x14ac:dyDescent="0.4">
      <c r="A1464" s="3">
        <v>9990484</v>
      </c>
      <c r="B1464">
        <v>100</v>
      </c>
      <c r="C1464">
        <v>9990400</v>
      </c>
      <c r="D1464">
        <v>1</v>
      </c>
    </row>
    <row r="1465" spans="1:4" x14ac:dyDescent="0.4">
      <c r="A1465" s="3">
        <v>9990485</v>
      </c>
      <c r="B1465">
        <v>100</v>
      </c>
      <c r="C1465">
        <v>9990400</v>
      </c>
      <c r="D1465">
        <v>1</v>
      </c>
    </row>
    <row r="1466" spans="1:4" x14ac:dyDescent="0.4">
      <c r="A1466" s="3">
        <v>9990486</v>
      </c>
      <c r="B1466">
        <v>100</v>
      </c>
      <c r="C1466">
        <v>9990400</v>
      </c>
      <c r="D1466">
        <v>1</v>
      </c>
    </row>
    <row r="1467" spans="1:4" x14ac:dyDescent="0.4">
      <c r="A1467" s="3">
        <v>9990487</v>
      </c>
      <c r="B1467">
        <v>100</v>
      </c>
      <c r="C1467">
        <v>9990400</v>
      </c>
      <c r="D1467">
        <v>1</v>
      </c>
    </row>
    <row r="1468" spans="1:4" x14ac:dyDescent="0.4">
      <c r="A1468" s="3">
        <v>9990488</v>
      </c>
      <c r="B1468">
        <v>100</v>
      </c>
      <c r="C1468">
        <v>9990400</v>
      </c>
      <c r="D1468">
        <v>1</v>
      </c>
    </row>
    <row r="1469" spans="1:4" x14ac:dyDescent="0.4">
      <c r="A1469" s="3">
        <v>9990489</v>
      </c>
      <c r="B1469">
        <v>100</v>
      </c>
      <c r="C1469">
        <v>9990400</v>
      </c>
      <c r="D1469">
        <v>1</v>
      </c>
    </row>
    <row r="1470" spans="1:4" x14ac:dyDescent="0.4">
      <c r="A1470" s="3">
        <v>9990490</v>
      </c>
      <c r="B1470">
        <v>100</v>
      </c>
      <c r="C1470">
        <v>9990400</v>
      </c>
      <c r="D1470">
        <v>1</v>
      </c>
    </row>
    <row r="1471" spans="1:4" x14ac:dyDescent="0.4">
      <c r="A1471" s="3">
        <v>9990491</v>
      </c>
      <c r="B1471">
        <v>100</v>
      </c>
      <c r="C1471">
        <v>9990400</v>
      </c>
      <c r="D1471">
        <v>1</v>
      </c>
    </row>
    <row r="1472" spans="1:4" x14ac:dyDescent="0.4">
      <c r="A1472" s="3">
        <v>9990492</v>
      </c>
      <c r="B1472">
        <v>100</v>
      </c>
      <c r="C1472">
        <v>9990400</v>
      </c>
      <c r="D1472">
        <v>1</v>
      </c>
    </row>
    <row r="1473" spans="1:4" x14ac:dyDescent="0.4">
      <c r="A1473" s="3">
        <v>9990493</v>
      </c>
      <c r="B1473">
        <v>100</v>
      </c>
      <c r="C1473">
        <v>9990400</v>
      </c>
      <c r="D1473">
        <v>1</v>
      </c>
    </row>
    <row r="1474" spans="1:4" x14ac:dyDescent="0.4">
      <c r="A1474" s="3">
        <v>9990494</v>
      </c>
      <c r="B1474">
        <v>100</v>
      </c>
      <c r="C1474">
        <v>9990400</v>
      </c>
      <c r="D1474">
        <v>1</v>
      </c>
    </row>
    <row r="1475" spans="1:4" x14ac:dyDescent="0.4">
      <c r="A1475" s="3">
        <v>9990495</v>
      </c>
      <c r="B1475">
        <v>100</v>
      </c>
      <c r="C1475">
        <v>9990400</v>
      </c>
      <c r="D1475">
        <v>1</v>
      </c>
    </row>
    <row r="1476" spans="1:4" x14ac:dyDescent="0.4">
      <c r="A1476" s="3">
        <v>9990496</v>
      </c>
      <c r="B1476">
        <v>100</v>
      </c>
      <c r="C1476">
        <v>9990400</v>
      </c>
      <c r="D1476">
        <v>1</v>
      </c>
    </row>
    <row r="1477" spans="1:4" x14ac:dyDescent="0.4">
      <c r="A1477" s="3">
        <v>9990497</v>
      </c>
      <c r="B1477">
        <v>100</v>
      </c>
      <c r="C1477">
        <v>9990400</v>
      </c>
      <c r="D1477">
        <v>1</v>
      </c>
    </row>
    <row r="1478" spans="1:4" x14ac:dyDescent="0.4">
      <c r="A1478" s="3">
        <v>9990498</v>
      </c>
      <c r="B1478">
        <v>100</v>
      </c>
      <c r="C1478">
        <v>9990400</v>
      </c>
      <c r="D1478">
        <v>1</v>
      </c>
    </row>
    <row r="1479" spans="1:4" x14ac:dyDescent="0.4">
      <c r="A1479" s="3">
        <v>9990499</v>
      </c>
      <c r="B1479">
        <v>100</v>
      </c>
      <c r="C1479">
        <v>9990400</v>
      </c>
      <c r="D1479">
        <v>1</v>
      </c>
    </row>
    <row r="1480" spans="1:4" x14ac:dyDescent="0.4">
      <c r="A1480" s="3">
        <v>9990500</v>
      </c>
      <c r="B1480">
        <v>100</v>
      </c>
      <c r="C1480">
        <v>9990500</v>
      </c>
      <c r="D1480">
        <v>1</v>
      </c>
    </row>
    <row r="1481" spans="1:4" x14ac:dyDescent="0.4">
      <c r="A1481" s="3">
        <v>9990501</v>
      </c>
      <c r="B1481">
        <v>100</v>
      </c>
      <c r="C1481">
        <v>9990500</v>
      </c>
      <c r="D1481">
        <v>1</v>
      </c>
    </row>
    <row r="1482" spans="1:4" x14ac:dyDescent="0.4">
      <c r="A1482" s="3">
        <v>9990502</v>
      </c>
      <c r="B1482">
        <v>100</v>
      </c>
      <c r="C1482">
        <v>9990500</v>
      </c>
      <c r="D1482">
        <v>1</v>
      </c>
    </row>
    <row r="1483" spans="1:4" x14ac:dyDescent="0.4">
      <c r="A1483" s="3">
        <v>9990503</v>
      </c>
      <c r="B1483">
        <v>100</v>
      </c>
      <c r="C1483">
        <v>9990500</v>
      </c>
      <c r="D1483">
        <v>1</v>
      </c>
    </row>
    <row r="1484" spans="1:4" x14ac:dyDescent="0.4">
      <c r="A1484" s="3">
        <v>9990504</v>
      </c>
      <c r="B1484">
        <v>100</v>
      </c>
      <c r="C1484">
        <v>9990500</v>
      </c>
      <c r="D1484">
        <v>1</v>
      </c>
    </row>
    <row r="1485" spans="1:4" x14ac:dyDescent="0.4">
      <c r="A1485" s="3">
        <v>9990505</v>
      </c>
      <c r="B1485">
        <v>100</v>
      </c>
      <c r="C1485">
        <v>9990500</v>
      </c>
      <c r="D1485">
        <v>1</v>
      </c>
    </row>
    <row r="1486" spans="1:4" x14ac:dyDescent="0.4">
      <c r="A1486" s="3">
        <v>9990506</v>
      </c>
      <c r="B1486">
        <v>100</v>
      </c>
      <c r="C1486">
        <v>9990500</v>
      </c>
      <c r="D1486">
        <v>1</v>
      </c>
    </row>
    <row r="1487" spans="1:4" x14ac:dyDescent="0.4">
      <c r="A1487" s="3">
        <v>9990507</v>
      </c>
      <c r="B1487">
        <v>100</v>
      </c>
      <c r="C1487">
        <v>9990500</v>
      </c>
      <c r="D1487">
        <v>1</v>
      </c>
    </row>
    <row r="1488" spans="1:4" x14ac:dyDescent="0.4">
      <c r="A1488" s="3">
        <v>9990508</v>
      </c>
      <c r="B1488">
        <v>100</v>
      </c>
      <c r="C1488">
        <v>9990500</v>
      </c>
      <c r="D1488">
        <v>1</v>
      </c>
    </row>
    <row r="1489" spans="1:4" x14ac:dyDescent="0.4">
      <c r="A1489" s="3">
        <v>9990509</v>
      </c>
      <c r="B1489">
        <v>100</v>
      </c>
      <c r="C1489">
        <v>9990500</v>
      </c>
      <c r="D1489">
        <v>1</v>
      </c>
    </row>
    <row r="1490" spans="1:4" x14ac:dyDescent="0.4">
      <c r="A1490" s="3">
        <v>9990510</v>
      </c>
      <c r="B1490">
        <v>100</v>
      </c>
      <c r="C1490">
        <v>9990500</v>
      </c>
      <c r="D1490">
        <v>1</v>
      </c>
    </row>
    <row r="1491" spans="1:4" x14ac:dyDescent="0.4">
      <c r="A1491" s="3">
        <v>9990511</v>
      </c>
      <c r="B1491">
        <v>100</v>
      </c>
      <c r="C1491">
        <v>9990500</v>
      </c>
      <c r="D1491">
        <v>1</v>
      </c>
    </row>
    <row r="1492" spans="1:4" x14ac:dyDescent="0.4">
      <c r="A1492" s="3">
        <v>9990512</v>
      </c>
      <c r="B1492">
        <v>100</v>
      </c>
      <c r="C1492">
        <v>9990500</v>
      </c>
      <c r="D1492">
        <v>1</v>
      </c>
    </row>
    <row r="1493" spans="1:4" x14ac:dyDescent="0.4">
      <c r="A1493" s="3">
        <v>9990513</v>
      </c>
      <c r="B1493">
        <v>100</v>
      </c>
      <c r="C1493">
        <v>9990500</v>
      </c>
      <c r="D1493">
        <v>1</v>
      </c>
    </row>
    <row r="1494" spans="1:4" x14ac:dyDescent="0.4">
      <c r="A1494" s="3">
        <v>9990514</v>
      </c>
      <c r="B1494">
        <v>100</v>
      </c>
      <c r="C1494">
        <v>9990500</v>
      </c>
      <c r="D1494">
        <v>1</v>
      </c>
    </row>
    <row r="1495" spans="1:4" x14ac:dyDescent="0.4">
      <c r="A1495" s="3">
        <v>9990515</v>
      </c>
      <c r="B1495">
        <v>100</v>
      </c>
      <c r="C1495">
        <v>9990500</v>
      </c>
      <c r="D1495">
        <v>1</v>
      </c>
    </row>
    <row r="1496" spans="1:4" x14ac:dyDescent="0.4">
      <c r="A1496" s="3">
        <v>9990516</v>
      </c>
      <c r="B1496">
        <v>100</v>
      </c>
      <c r="C1496">
        <v>9990500</v>
      </c>
      <c r="D1496">
        <v>1</v>
      </c>
    </row>
    <row r="1497" spans="1:4" x14ac:dyDescent="0.4">
      <c r="A1497" s="3">
        <v>9990517</v>
      </c>
      <c r="B1497">
        <v>100</v>
      </c>
      <c r="C1497">
        <v>9990500</v>
      </c>
      <c r="D1497">
        <v>1</v>
      </c>
    </row>
    <row r="1498" spans="1:4" x14ac:dyDescent="0.4">
      <c r="A1498" s="3">
        <v>9990518</v>
      </c>
      <c r="B1498">
        <v>100</v>
      </c>
      <c r="C1498">
        <v>9990500</v>
      </c>
      <c r="D1498">
        <v>1</v>
      </c>
    </row>
    <row r="1499" spans="1:4" x14ac:dyDescent="0.4">
      <c r="A1499" s="3">
        <v>9990519</v>
      </c>
      <c r="B1499">
        <v>100</v>
      </c>
      <c r="C1499">
        <v>9990500</v>
      </c>
      <c r="D1499">
        <v>1</v>
      </c>
    </row>
    <row r="1500" spans="1:4" x14ac:dyDescent="0.4">
      <c r="A1500" s="3">
        <v>9990520</v>
      </c>
      <c r="B1500">
        <v>100</v>
      </c>
      <c r="C1500">
        <v>9990500</v>
      </c>
      <c r="D1500">
        <v>1</v>
      </c>
    </row>
    <row r="1501" spans="1:4" x14ac:dyDescent="0.4">
      <c r="A1501" s="3">
        <v>9990521</v>
      </c>
      <c r="B1501">
        <v>100</v>
      </c>
      <c r="C1501">
        <v>9990500</v>
      </c>
      <c r="D1501">
        <v>1</v>
      </c>
    </row>
    <row r="1502" spans="1:4" x14ac:dyDescent="0.4">
      <c r="A1502" s="3">
        <v>9990522</v>
      </c>
      <c r="B1502">
        <v>100</v>
      </c>
      <c r="C1502">
        <v>9990500</v>
      </c>
      <c r="D1502">
        <v>1</v>
      </c>
    </row>
    <row r="1503" spans="1:4" x14ac:dyDescent="0.4">
      <c r="A1503" s="3">
        <v>9990523</v>
      </c>
      <c r="B1503">
        <v>100</v>
      </c>
      <c r="C1503">
        <v>9990500</v>
      </c>
      <c r="D1503">
        <v>1</v>
      </c>
    </row>
    <row r="1504" spans="1:4" x14ac:dyDescent="0.4">
      <c r="A1504" s="3">
        <v>9990524</v>
      </c>
      <c r="B1504">
        <v>100</v>
      </c>
      <c r="C1504">
        <v>9990500</v>
      </c>
      <c r="D1504">
        <v>1</v>
      </c>
    </row>
    <row r="1505" spans="1:4" x14ac:dyDescent="0.4">
      <c r="A1505" s="3">
        <v>9990525</v>
      </c>
      <c r="B1505">
        <v>100</v>
      </c>
      <c r="C1505">
        <v>9990500</v>
      </c>
      <c r="D1505">
        <v>1</v>
      </c>
    </row>
    <row r="1506" spans="1:4" x14ac:dyDescent="0.4">
      <c r="A1506" s="3">
        <v>9990526</v>
      </c>
      <c r="B1506">
        <v>100</v>
      </c>
      <c r="C1506">
        <v>9990500</v>
      </c>
      <c r="D1506">
        <v>1</v>
      </c>
    </row>
    <row r="1507" spans="1:4" x14ac:dyDescent="0.4">
      <c r="A1507" s="3">
        <v>9990527</v>
      </c>
      <c r="B1507">
        <v>100</v>
      </c>
      <c r="C1507">
        <v>9990500</v>
      </c>
      <c r="D1507">
        <v>1</v>
      </c>
    </row>
    <row r="1508" spans="1:4" x14ac:dyDescent="0.4">
      <c r="A1508" s="3">
        <v>9990528</v>
      </c>
      <c r="B1508">
        <v>100</v>
      </c>
      <c r="C1508">
        <v>9990500</v>
      </c>
      <c r="D1508">
        <v>1</v>
      </c>
    </row>
    <row r="1509" spans="1:4" x14ac:dyDescent="0.4">
      <c r="A1509" s="3">
        <v>9990529</v>
      </c>
      <c r="B1509">
        <v>100</v>
      </c>
      <c r="C1509">
        <v>9990500</v>
      </c>
      <c r="D1509">
        <v>1</v>
      </c>
    </row>
    <row r="1510" spans="1:4" x14ac:dyDescent="0.4">
      <c r="A1510" s="3">
        <v>9990530</v>
      </c>
      <c r="B1510">
        <v>100</v>
      </c>
      <c r="C1510">
        <v>9990500</v>
      </c>
      <c r="D1510">
        <v>1</v>
      </c>
    </row>
    <row r="1511" spans="1:4" x14ac:dyDescent="0.4">
      <c r="A1511" s="3">
        <v>9990531</v>
      </c>
      <c r="B1511">
        <v>100</v>
      </c>
      <c r="C1511">
        <v>9990500</v>
      </c>
      <c r="D1511">
        <v>1</v>
      </c>
    </row>
    <row r="1512" spans="1:4" x14ac:dyDescent="0.4">
      <c r="A1512" s="3">
        <v>9990532</v>
      </c>
      <c r="B1512">
        <v>100</v>
      </c>
      <c r="C1512">
        <v>9990500</v>
      </c>
      <c r="D1512">
        <v>1</v>
      </c>
    </row>
    <row r="1513" spans="1:4" x14ac:dyDescent="0.4">
      <c r="A1513" s="3">
        <v>9990533</v>
      </c>
      <c r="B1513">
        <v>100</v>
      </c>
      <c r="C1513">
        <v>9990500</v>
      </c>
      <c r="D1513">
        <v>1</v>
      </c>
    </row>
    <row r="1514" spans="1:4" x14ac:dyDescent="0.4">
      <c r="A1514" s="3">
        <v>9990534</v>
      </c>
      <c r="B1514">
        <v>100</v>
      </c>
      <c r="C1514">
        <v>9990500</v>
      </c>
      <c r="D1514">
        <v>1</v>
      </c>
    </row>
    <row r="1515" spans="1:4" x14ac:dyDescent="0.4">
      <c r="A1515" s="3">
        <v>9990535</v>
      </c>
      <c r="B1515">
        <v>100</v>
      </c>
      <c r="C1515">
        <v>9990500</v>
      </c>
      <c r="D1515">
        <v>1</v>
      </c>
    </row>
    <row r="1516" spans="1:4" x14ac:dyDescent="0.4">
      <c r="A1516" s="3">
        <v>9990536</v>
      </c>
      <c r="B1516">
        <v>100</v>
      </c>
      <c r="C1516">
        <v>9990500</v>
      </c>
      <c r="D1516">
        <v>1</v>
      </c>
    </row>
    <row r="1517" spans="1:4" x14ac:dyDescent="0.4">
      <c r="A1517" s="3">
        <v>9990537</v>
      </c>
      <c r="B1517">
        <v>100</v>
      </c>
      <c r="C1517">
        <v>9990500</v>
      </c>
      <c r="D1517">
        <v>1</v>
      </c>
    </row>
    <row r="1518" spans="1:4" x14ac:dyDescent="0.4">
      <c r="A1518" s="3">
        <v>9990538</v>
      </c>
      <c r="B1518">
        <v>100</v>
      </c>
      <c r="C1518">
        <v>9990500</v>
      </c>
      <c r="D1518">
        <v>1</v>
      </c>
    </row>
    <row r="1519" spans="1:4" x14ac:dyDescent="0.4">
      <c r="A1519" s="3">
        <v>9990539</v>
      </c>
      <c r="B1519">
        <v>100</v>
      </c>
      <c r="C1519">
        <v>9990500</v>
      </c>
      <c r="D1519">
        <v>1</v>
      </c>
    </row>
    <row r="1520" spans="1:4" x14ac:dyDescent="0.4">
      <c r="A1520" s="3">
        <v>9990540</v>
      </c>
      <c r="B1520">
        <v>100</v>
      </c>
      <c r="C1520">
        <v>9990500</v>
      </c>
      <c r="D1520">
        <v>1</v>
      </c>
    </row>
    <row r="1521" spans="1:4" x14ac:dyDescent="0.4">
      <c r="A1521" s="3">
        <v>9990541</v>
      </c>
      <c r="B1521">
        <v>100</v>
      </c>
      <c r="C1521">
        <v>9990500</v>
      </c>
      <c r="D1521">
        <v>1</v>
      </c>
    </row>
    <row r="1522" spans="1:4" x14ac:dyDescent="0.4">
      <c r="A1522" s="3">
        <v>9990542</v>
      </c>
      <c r="B1522">
        <v>100</v>
      </c>
      <c r="C1522">
        <v>9990500</v>
      </c>
      <c r="D1522">
        <v>1</v>
      </c>
    </row>
    <row r="1523" spans="1:4" x14ac:dyDescent="0.4">
      <c r="A1523" s="3">
        <v>9990543</v>
      </c>
      <c r="B1523">
        <v>100</v>
      </c>
      <c r="C1523">
        <v>9990500</v>
      </c>
      <c r="D1523">
        <v>1</v>
      </c>
    </row>
    <row r="1524" spans="1:4" x14ac:dyDescent="0.4">
      <c r="A1524" s="3">
        <v>9990544</v>
      </c>
      <c r="B1524">
        <v>100</v>
      </c>
      <c r="C1524">
        <v>9990500</v>
      </c>
      <c r="D1524">
        <v>1</v>
      </c>
    </row>
    <row r="1525" spans="1:4" x14ac:dyDescent="0.4">
      <c r="A1525" s="3">
        <v>9990545</v>
      </c>
      <c r="B1525">
        <v>100</v>
      </c>
      <c r="C1525">
        <v>9990500</v>
      </c>
      <c r="D1525">
        <v>1</v>
      </c>
    </row>
    <row r="1526" spans="1:4" x14ac:dyDescent="0.4">
      <c r="A1526" s="3">
        <v>9990546</v>
      </c>
      <c r="B1526">
        <v>100</v>
      </c>
      <c r="C1526">
        <v>9990500</v>
      </c>
      <c r="D1526">
        <v>1</v>
      </c>
    </row>
    <row r="1527" spans="1:4" x14ac:dyDescent="0.4">
      <c r="A1527" s="3">
        <v>9990547</v>
      </c>
      <c r="B1527">
        <v>100</v>
      </c>
      <c r="C1527">
        <v>9990500</v>
      </c>
      <c r="D1527">
        <v>1</v>
      </c>
    </row>
    <row r="1528" spans="1:4" x14ac:dyDescent="0.4">
      <c r="A1528" s="3">
        <v>9990548</v>
      </c>
      <c r="B1528">
        <v>100</v>
      </c>
      <c r="C1528">
        <v>9990500</v>
      </c>
      <c r="D1528">
        <v>1</v>
      </c>
    </row>
    <row r="1529" spans="1:4" x14ac:dyDescent="0.4">
      <c r="A1529" s="3">
        <v>9990549</v>
      </c>
      <c r="B1529">
        <v>100</v>
      </c>
      <c r="C1529">
        <v>9990500</v>
      </c>
      <c r="D1529">
        <v>1</v>
      </c>
    </row>
    <row r="1530" spans="1:4" x14ac:dyDescent="0.4">
      <c r="A1530" s="3">
        <v>9990550</v>
      </c>
      <c r="B1530">
        <v>100</v>
      </c>
      <c r="C1530">
        <v>9990500</v>
      </c>
      <c r="D1530">
        <v>1</v>
      </c>
    </row>
    <row r="1531" spans="1:4" x14ac:dyDescent="0.4">
      <c r="A1531" s="3">
        <v>9990551</v>
      </c>
      <c r="B1531">
        <v>100</v>
      </c>
      <c r="C1531">
        <v>9990500</v>
      </c>
      <c r="D1531">
        <v>1</v>
      </c>
    </row>
    <row r="1532" spans="1:4" x14ac:dyDescent="0.4">
      <c r="A1532" s="3">
        <v>9990552</v>
      </c>
      <c r="B1532">
        <v>100</v>
      </c>
      <c r="C1532">
        <v>9990500</v>
      </c>
      <c r="D1532">
        <v>1</v>
      </c>
    </row>
    <row r="1533" spans="1:4" x14ac:dyDescent="0.4">
      <c r="A1533" s="3">
        <v>9990553</v>
      </c>
      <c r="B1533">
        <v>100</v>
      </c>
      <c r="C1533">
        <v>9990500</v>
      </c>
      <c r="D1533">
        <v>1</v>
      </c>
    </row>
    <row r="1534" spans="1:4" x14ac:dyDescent="0.4">
      <c r="A1534" s="3">
        <v>9990554</v>
      </c>
      <c r="B1534">
        <v>100</v>
      </c>
      <c r="C1534">
        <v>9990500</v>
      </c>
      <c r="D1534">
        <v>1</v>
      </c>
    </row>
    <row r="1535" spans="1:4" x14ac:dyDescent="0.4">
      <c r="A1535" s="3">
        <v>9990555</v>
      </c>
      <c r="B1535">
        <v>100</v>
      </c>
      <c r="C1535">
        <v>9990500</v>
      </c>
      <c r="D1535">
        <v>1</v>
      </c>
    </row>
    <row r="1536" spans="1:4" x14ac:dyDescent="0.4">
      <c r="A1536" s="3">
        <v>9990556</v>
      </c>
      <c r="B1536">
        <v>100</v>
      </c>
      <c r="C1536">
        <v>9990500</v>
      </c>
      <c r="D1536">
        <v>1</v>
      </c>
    </row>
    <row r="1537" spans="1:4" x14ac:dyDescent="0.4">
      <c r="A1537" s="3">
        <v>9990557</v>
      </c>
      <c r="B1537">
        <v>100</v>
      </c>
      <c r="C1537">
        <v>9990500</v>
      </c>
      <c r="D1537">
        <v>1</v>
      </c>
    </row>
    <row r="1538" spans="1:4" x14ac:dyDescent="0.4">
      <c r="A1538" s="3">
        <v>9990558</v>
      </c>
      <c r="B1538">
        <v>100</v>
      </c>
      <c r="C1538">
        <v>9990500</v>
      </c>
      <c r="D1538">
        <v>1</v>
      </c>
    </row>
    <row r="1539" spans="1:4" x14ac:dyDescent="0.4">
      <c r="A1539" s="3">
        <v>9990559</v>
      </c>
      <c r="B1539">
        <v>100</v>
      </c>
      <c r="C1539">
        <v>9990500</v>
      </c>
      <c r="D1539">
        <v>1</v>
      </c>
    </row>
    <row r="1540" spans="1:4" x14ac:dyDescent="0.4">
      <c r="A1540" s="3">
        <v>9990560</v>
      </c>
      <c r="B1540">
        <v>100</v>
      </c>
      <c r="C1540">
        <v>9990500</v>
      </c>
      <c r="D1540">
        <v>1</v>
      </c>
    </row>
    <row r="1541" spans="1:4" x14ac:dyDescent="0.4">
      <c r="A1541" s="3">
        <v>9990561</v>
      </c>
      <c r="B1541">
        <v>100</v>
      </c>
      <c r="C1541">
        <v>9990500</v>
      </c>
      <c r="D1541">
        <v>1</v>
      </c>
    </row>
    <row r="1542" spans="1:4" x14ac:dyDescent="0.4">
      <c r="A1542" s="3">
        <v>9990562</v>
      </c>
      <c r="B1542">
        <v>100</v>
      </c>
      <c r="C1542">
        <v>9990500</v>
      </c>
      <c r="D1542">
        <v>1</v>
      </c>
    </row>
    <row r="1543" spans="1:4" x14ac:dyDescent="0.4">
      <c r="A1543" s="3">
        <v>9990563</v>
      </c>
      <c r="B1543">
        <v>100</v>
      </c>
      <c r="C1543">
        <v>9990500</v>
      </c>
      <c r="D1543">
        <v>1</v>
      </c>
    </row>
    <row r="1544" spans="1:4" x14ac:dyDescent="0.4">
      <c r="A1544" s="3">
        <v>9990564</v>
      </c>
      <c r="B1544">
        <v>100</v>
      </c>
      <c r="C1544">
        <v>9990500</v>
      </c>
      <c r="D1544">
        <v>1</v>
      </c>
    </row>
    <row r="1545" spans="1:4" x14ac:dyDescent="0.4">
      <c r="A1545" s="3">
        <v>9990565</v>
      </c>
      <c r="B1545">
        <v>100</v>
      </c>
      <c r="C1545">
        <v>9990500</v>
      </c>
      <c r="D1545">
        <v>1</v>
      </c>
    </row>
    <row r="1546" spans="1:4" x14ac:dyDescent="0.4">
      <c r="A1546" s="3">
        <v>9990566</v>
      </c>
      <c r="B1546">
        <v>100</v>
      </c>
      <c r="C1546">
        <v>9990500</v>
      </c>
      <c r="D1546">
        <v>1</v>
      </c>
    </row>
    <row r="1547" spans="1:4" x14ac:dyDescent="0.4">
      <c r="A1547" s="3">
        <v>9990567</v>
      </c>
      <c r="B1547">
        <v>100</v>
      </c>
      <c r="C1547">
        <v>9990500</v>
      </c>
      <c r="D1547">
        <v>1</v>
      </c>
    </row>
    <row r="1548" spans="1:4" x14ac:dyDescent="0.4">
      <c r="A1548" s="3">
        <v>9990568</v>
      </c>
      <c r="B1548">
        <v>100</v>
      </c>
      <c r="C1548">
        <v>9990500</v>
      </c>
      <c r="D1548">
        <v>1</v>
      </c>
    </row>
    <row r="1549" spans="1:4" x14ac:dyDescent="0.4">
      <c r="A1549" s="3">
        <v>9990569</v>
      </c>
      <c r="B1549">
        <v>100</v>
      </c>
      <c r="C1549">
        <v>9990500</v>
      </c>
      <c r="D1549">
        <v>1</v>
      </c>
    </row>
    <row r="1550" spans="1:4" x14ac:dyDescent="0.4">
      <c r="A1550" s="3">
        <v>9990570</v>
      </c>
      <c r="B1550">
        <v>100</v>
      </c>
      <c r="C1550">
        <v>9990500</v>
      </c>
      <c r="D1550">
        <v>1</v>
      </c>
    </row>
    <row r="1551" spans="1:4" x14ac:dyDescent="0.4">
      <c r="A1551" s="3">
        <v>9990571</v>
      </c>
      <c r="B1551">
        <v>100</v>
      </c>
      <c r="C1551">
        <v>9990500</v>
      </c>
      <c r="D1551">
        <v>1</v>
      </c>
    </row>
    <row r="1552" spans="1:4" x14ac:dyDescent="0.4">
      <c r="A1552" s="3">
        <v>9990572</v>
      </c>
      <c r="B1552">
        <v>100</v>
      </c>
      <c r="C1552">
        <v>9990500</v>
      </c>
      <c r="D1552">
        <v>1</v>
      </c>
    </row>
    <row r="1553" spans="1:4" x14ac:dyDescent="0.4">
      <c r="A1553" s="3">
        <v>9990573</v>
      </c>
      <c r="B1553">
        <v>100</v>
      </c>
      <c r="C1553">
        <v>9990500</v>
      </c>
      <c r="D1553">
        <v>1</v>
      </c>
    </row>
    <row r="1554" spans="1:4" x14ac:dyDescent="0.4">
      <c r="A1554" s="3">
        <v>9990574</v>
      </c>
      <c r="B1554">
        <v>100</v>
      </c>
      <c r="C1554">
        <v>9990500</v>
      </c>
      <c r="D1554">
        <v>1</v>
      </c>
    </row>
    <row r="1555" spans="1:4" x14ac:dyDescent="0.4">
      <c r="A1555" s="3">
        <v>9990575</v>
      </c>
      <c r="B1555">
        <v>100</v>
      </c>
      <c r="C1555">
        <v>9990500</v>
      </c>
      <c r="D1555">
        <v>1</v>
      </c>
    </row>
    <row r="1556" spans="1:4" x14ac:dyDescent="0.4">
      <c r="A1556" s="3">
        <v>9990576</v>
      </c>
      <c r="B1556">
        <v>100</v>
      </c>
      <c r="C1556">
        <v>9990500</v>
      </c>
      <c r="D1556">
        <v>1</v>
      </c>
    </row>
    <row r="1557" spans="1:4" x14ac:dyDescent="0.4">
      <c r="A1557" s="3">
        <v>9990577</v>
      </c>
      <c r="B1557">
        <v>100</v>
      </c>
      <c r="C1557">
        <v>9990500</v>
      </c>
      <c r="D1557">
        <v>1</v>
      </c>
    </row>
    <row r="1558" spans="1:4" x14ac:dyDescent="0.4">
      <c r="A1558" s="3">
        <v>9990578</v>
      </c>
      <c r="B1558">
        <v>100</v>
      </c>
      <c r="C1558">
        <v>9990500</v>
      </c>
      <c r="D1558">
        <v>1</v>
      </c>
    </row>
    <row r="1559" spans="1:4" x14ac:dyDescent="0.4">
      <c r="A1559" s="3">
        <v>9990579</v>
      </c>
      <c r="B1559">
        <v>100</v>
      </c>
      <c r="C1559">
        <v>9990500</v>
      </c>
      <c r="D1559">
        <v>1</v>
      </c>
    </row>
    <row r="1560" spans="1:4" x14ac:dyDescent="0.4">
      <c r="A1560" s="3">
        <v>9990580</v>
      </c>
      <c r="B1560">
        <v>100</v>
      </c>
      <c r="C1560">
        <v>9990500</v>
      </c>
      <c r="D1560">
        <v>1</v>
      </c>
    </row>
    <row r="1561" spans="1:4" x14ac:dyDescent="0.4">
      <c r="A1561" s="3">
        <v>9990581</v>
      </c>
      <c r="B1561">
        <v>100</v>
      </c>
      <c r="C1561">
        <v>9990500</v>
      </c>
      <c r="D1561">
        <v>1</v>
      </c>
    </row>
    <row r="1562" spans="1:4" x14ac:dyDescent="0.4">
      <c r="A1562" s="3">
        <v>9990582</v>
      </c>
      <c r="B1562">
        <v>100</v>
      </c>
      <c r="C1562">
        <v>9990500</v>
      </c>
      <c r="D1562">
        <v>1</v>
      </c>
    </row>
    <row r="1563" spans="1:4" x14ac:dyDescent="0.4">
      <c r="A1563" s="3">
        <v>9990583</v>
      </c>
      <c r="B1563">
        <v>100</v>
      </c>
      <c r="C1563">
        <v>9990500</v>
      </c>
      <c r="D1563">
        <v>1</v>
      </c>
    </row>
    <row r="1564" spans="1:4" x14ac:dyDescent="0.4">
      <c r="A1564" s="3">
        <v>9990584</v>
      </c>
      <c r="B1564">
        <v>100</v>
      </c>
      <c r="C1564">
        <v>9990500</v>
      </c>
      <c r="D1564">
        <v>1</v>
      </c>
    </row>
    <row r="1565" spans="1:4" x14ac:dyDescent="0.4">
      <c r="A1565" s="3">
        <v>9990585</v>
      </c>
      <c r="B1565">
        <v>100</v>
      </c>
      <c r="C1565">
        <v>9990500</v>
      </c>
      <c r="D1565">
        <v>1</v>
      </c>
    </row>
    <row r="1566" spans="1:4" x14ac:dyDescent="0.4">
      <c r="A1566" s="3">
        <v>9990586</v>
      </c>
      <c r="B1566">
        <v>100</v>
      </c>
      <c r="C1566">
        <v>9990500</v>
      </c>
      <c r="D1566">
        <v>1</v>
      </c>
    </row>
    <row r="1567" spans="1:4" x14ac:dyDescent="0.4">
      <c r="A1567" s="3">
        <v>9990587</v>
      </c>
      <c r="B1567">
        <v>100</v>
      </c>
      <c r="C1567">
        <v>9990500</v>
      </c>
      <c r="D1567">
        <v>1</v>
      </c>
    </row>
    <row r="1568" spans="1:4" x14ac:dyDescent="0.4">
      <c r="A1568" s="3">
        <v>9990588</v>
      </c>
      <c r="B1568">
        <v>100</v>
      </c>
      <c r="C1568">
        <v>9990500</v>
      </c>
      <c r="D1568">
        <v>1</v>
      </c>
    </row>
    <row r="1569" spans="1:4" x14ac:dyDescent="0.4">
      <c r="A1569" s="3">
        <v>9990589</v>
      </c>
      <c r="B1569">
        <v>100</v>
      </c>
      <c r="C1569">
        <v>9990500</v>
      </c>
      <c r="D1569">
        <v>1</v>
      </c>
    </row>
    <row r="1570" spans="1:4" x14ac:dyDescent="0.4">
      <c r="A1570" s="3">
        <v>9990590</v>
      </c>
      <c r="B1570">
        <v>100</v>
      </c>
      <c r="C1570">
        <v>9990500</v>
      </c>
      <c r="D1570">
        <v>1</v>
      </c>
    </row>
    <row r="1571" spans="1:4" x14ac:dyDescent="0.4">
      <c r="A1571" s="3">
        <v>9990591</v>
      </c>
      <c r="B1571">
        <v>100</v>
      </c>
      <c r="C1571">
        <v>9990500</v>
      </c>
      <c r="D1571">
        <v>1</v>
      </c>
    </row>
    <row r="1572" spans="1:4" x14ac:dyDescent="0.4">
      <c r="A1572" s="3">
        <v>9990592</v>
      </c>
      <c r="B1572">
        <v>100</v>
      </c>
      <c r="C1572">
        <v>9990500</v>
      </c>
      <c r="D1572">
        <v>1</v>
      </c>
    </row>
    <row r="1573" spans="1:4" x14ac:dyDescent="0.4">
      <c r="A1573" s="3">
        <v>9990593</v>
      </c>
      <c r="B1573">
        <v>100</v>
      </c>
      <c r="C1573">
        <v>9990500</v>
      </c>
      <c r="D1573">
        <v>1</v>
      </c>
    </row>
    <row r="1574" spans="1:4" x14ac:dyDescent="0.4">
      <c r="A1574" s="3">
        <v>9990594</v>
      </c>
      <c r="B1574">
        <v>100</v>
      </c>
      <c r="C1574">
        <v>9990500</v>
      </c>
      <c r="D1574">
        <v>1</v>
      </c>
    </row>
    <row r="1575" spans="1:4" x14ac:dyDescent="0.4">
      <c r="A1575" s="3">
        <v>9990595</v>
      </c>
      <c r="B1575">
        <v>100</v>
      </c>
      <c r="C1575">
        <v>9990500</v>
      </c>
      <c r="D1575">
        <v>1</v>
      </c>
    </row>
    <row r="1576" spans="1:4" x14ac:dyDescent="0.4">
      <c r="A1576" s="3">
        <v>9990596</v>
      </c>
      <c r="B1576">
        <v>100</v>
      </c>
      <c r="C1576">
        <v>9990500</v>
      </c>
      <c r="D1576">
        <v>1</v>
      </c>
    </row>
    <row r="1577" spans="1:4" x14ac:dyDescent="0.4">
      <c r="A1577" s="3">
        <v>9990597</v>
      </c>
      <c r="B1577">
        <v>100</v>
      </c>
      <c r="C1577">
        <v>9990500</v>
      </c>
      <c r="D1577">
        <v>1</v>
      </c>
    </row>
    <row r="1578" spans="1:4" x14ac:dyDescent="0.4">
      <c r="A1578" s="3">
        <v>9990598</v>
      </c>
      <c r="B1578">
        <v>100</v>
      </c>
      <c r="C1578">
        <v>9990500</v>
      </c>
      <c r="D1578">
        <v>1</v>
      </c>
    </row>
    <row r="1579" spans="1:4" x14ac:dyDescent="0.4">
      <c r="A1579" s="3">
        <v>9990599</v>
      </c>
      <c r="B1579">
        <v>100</v>
      </c>
      <c r="C1579">
        <v>9990500</v>
      </c>
      <c r="D1579">
        <v>1</v>
      </c>
    </row>
    <row r="1580" spans="1:4" x14ac:dyDescent="0.4">
      <c r="A1580" s="3">
        <v>9990600</v>
      </c>
      <c r="B1580">
        <v>100</v>
      </c>
      <c r="C1580">
        <v>9990600</v>
      </c>
      <c r="D1580">
        <v>1</v>
      </c>
    </row>
    <row r="1581" spans="1:4" x14ac:dyDescent="0.4">
      <c r="A1581" s="3">
        <v>9990601</v>
      </c>
      <c r="B1581">
        <v>100</v>
      </c>
      <c r="C1581">
        <v>9990600</v>
      </c>
      <c r="D1581">
        <v>1</v>
      </c>
    </row>
    <row r="1582" spans="1:4" x14ac:dyDescent="0.4">
      <c r="A1582" s="3">
        <v>9990602</v>
      </c>
      <c r="B1582">
        <v>100</v>
      </c>
      <c r="C1582">
        <v>9990600</v>
      </c>
      <c r="D1582">
        <v>1</v>
      </c>
    </row>
    <row r="1583" spans="1:4" x14ac:dyDescent="0.4">
      <c r="A1583" s="3">
        <v>9990603</v>
      </c>
      <c r="B1583">
        <v>100</v>
      </c>
      <c r="C1583">
        <v>9990600</v>
      </c>
      <c r="D1583">
        <v>1</v>
      </c>
    </row>
    <row r="1584" spans="1:4" x14ac:dyDescent="0.4">
      <c r="A1584" s="3">
        <v>9990604</v>
      </c>
      <c r="B1584">
        <v>100</v>
      </c>
      <c r="C1584">
        <v>9990600</v>
      </c>
      <c r="D1584">
        <v>1</v>
      </c>
    </row>
    <row r="1585" spans="1:4" x14ac:dyDescent="0.4">
      <c r="A1585" s="3">
        <v>9990605</v>
      </c>
      <c r="B1585">
        <v>100</v>
      </c>
      <c r="C1585">
        <v>9990600</v>
      </c>
      <c r="D1585">
        <v>1</v>
      </c>
    </row>
    <row r="1586" spans="1:4" x14ac:dyDescent="0.4">
      <c r="A1586" s="3">
        <v>9990606</v>
      </c>
      <c r="B1586">
        <v>100</v>
      </c>
      <c r="C1586">
        <v>9990600</v>
      </c>
      <c r="D1586">
        <v>1</v>
      </c>
    </row>
    <row r="1587" spans="1:4" x14ac:dyDescent="0.4">
      <c r="A1587" s="3">
        <v>9990607</v>
      </c>
      <c r="B1587">
        <v>100</v>
      </c>
      <c r="C1587">
        <v>9990600</v>
      </c>
      <c r="D1587">
        <v>1</v>
      </c>
    </row>
    <row r="1588" spans="1:4" x14ac:dyDescent="0.4">
      <c r="A1588" s="3">
        <v>9990608</v>
      </c>
      <c r="B1588">
        <v>100</v>
      </c>
      <c r="C1588">
        <v>9990600</v>
      </c>
      <c r="D1588">
        <v>1</v>
      </c>
    </row>
    <row r="1589" spans="1:4" x14ac:dyDescent="0.4">
      <c r="A1589" s="3">
        <v>9990609</v>
      </c>
      <c r="B1589">
        <v>100</v>
      </c>
      <c r="C1589">
        <v>9990600</v>
      </c>
      <c r="D1589">
        <v>1</v>
      </c>
    </row>
    <row r="1590" spans="1:4" x14ac:dyDescent="0.4">
      <c r="A1590" s="3">
        <v>9990610</v>
      </c>
      <c r="B1590">
        <v>100</v>
      </c>
      <c r="C1590">
        <v>9990600</v>
      </c>
      <c r="D1590">
        <v>1</v>
      </c>
    </row>
    <row r="1591" spans="1:4" x14ac:dyDescent="0.4">
      <c r="A1591" s="3">
        <v>9990611</v>
      </c>
      <c r="B1591">
        <v>100</v>
      </c>
      <c r="C1591">
        <v>9990600</v>
      </c>
      <c r="D1591">
        <v>1</v>
      </c>
    </row>
    <row r="1592" spans="1:4" x14ac:dyDescent="0.4">
      <c r="A1592" s="3">
        <v>9990612</v>
      </c>
      <c r="B1592">
        <v>100</v>
      </c>
      <c r="C1592">
        <v>9990600</v>
      </c>
      <c r="D1592">
        <v>1</v>
      </c>
    </row>
    <row r="1593" spans="1:4" x14ac:dyDescent="0.4">
      <c r="A1593" s="3">
        <v>9990613</v>
      </c>
      <c r="B1593">
        <v>100</v>
      </c>
      <c r="C1593">
        <v>9990600</v>
      </c>
      <c r="D1593">
        <v>1</v>
      </c>
    </row>
    <row r="1594" spans="1:4" x14ac:dyDescent="0.4">
      <c r="A1594" s="3">
        <v>9990614</v>
      </c>
      <c r="B1594">
        <v>100</v>
      </c>
      <c r="C1594">
        <v>9990600</v>
      </c>
      <c r="D1594">
        <v>1</v>
      </c>
    </row>
    <row r="1595" spans="1:4" x14ac:dyDescent="0.4">
      <c r="A1595" s="3">
        <v>9990615</v>
      </c>
      <c r="B1595">
        <v>100</v>
      </c>
      <c r="C1595">
        <v>9990600</v>
      </c>
      <c r="D1595">
        <v>1</v>
      </c>
    </row>
    <row r="1596" spans="1:4" x14ac:dyDescent="0.4">
      <c r="A1596" s="3">
        <v>9990616</v>
      </c>
      <c r="B1596">
        <v>100</v>
      </c>
      <c r="C1596">
        <v>9990600</v>
      </c>
      <c r="D1596">
        <v>1</v>
      </c>
    </row>
    <row r="1597" spans="1:4" x14ac:dyDescent="0.4">
      <c r="A1597" s="3">
        <v>9990617</v>
      </c>
      <c r="B1597">
        <v>100</v>
      </c>
      <c r="C1597">
        <v>9990600</v>
      </c>
      <c r="D1597">
        <v>1</v>
      </c>
    </row>
    <row r="1598" spans="1:4" x14ac:dyDescent="0.4">
      <c r="A1598" s="3">
        <v>9990618</v>
      </c>
      <c r="B1598">
        <v>100</v>
      </c>
      <c r="C1598">
        <v>9990600</v>
      </c>
      <c r="D1598">
        <v>1</v>
      </c>
    </row>
    <row r="1599" spans="1:4" x14ac:dyDescent="0.4">
      <c r="A1599" s="3">
        <v>9990619</v>
      </c>
      <c r="B1599">
        <v>100</v>
      </c>
      <c r="C1599">
        <v>9990600</v>
      </c>
      <c r="D1599">
        <v>1</v>
      </c>
    </row>
    <row r="1600" spans="1:4" x14ac:dyDescent="0.4">
      <c r="A1600" s="3">
        <v>9990620</v>
      </c>
      <c r="B1600">
        <v>100</v>
      </c>
      <c r="C1600">
        <v>9990600</v>
      </c>
      <c r="D1600">
        <v>1</v>
      </c>
    </row>
    <row r="1601" spans="1:4" x14ac:dyDescent="0.4">
      <c r="A1601" s="3">
        <v>9990621</v>
      </c>
      <c r="B1601">
        <v>100</v>
      </c>
      <c r="C1601">
        <v>9990600</v>
      </c>
      <c r="D1601">
        <v>1</v>
      </c>
    </row>
    <row r="1602" spans="1:4" x14ac:dyDescent="0.4">
      <c r="A1602" s="3">
        <v>9990622</v>
      </c>
      <c r="B1602">
        <v>100</v>
      </c>
      <c r="C1602">
        <v>9990600</v>
      </c>
      <c r="D1602">
        <v>1</v>
      </c>
    </row>
    <row r="1603" spans="1:4" x14ac:dyDescent="0.4">
      <c r="A1603" s="3">
        <v>9990623</v>
      </c>
      <c r="B1603">
        <v>100</v>
      </c>
      <c r="C1603">
        <v>9990600</v>
      </c>
      <c r="D1603">
        <v>1</v>
      </c>
    </row>
    <row r="1604" spans="1:4" x14ac:dyDescent="0.4">
      <c r="A1604" s="3">
        <v>9990624</v>
      </c>
      <c r="B1604">
        <v>100</v>
      </c>
      <c r="C1604">
        <v>9990600</v>
      </c>
      <c r="D1604">
        <v>1</v>
      </c>
    </row>
    <row r="1605" spans="1:4" x14ac:dyDescent="0.4">
      <c r="A1605" s="3">
        <v>9990625</v>
      </c>
      <c r="B1605">
        <v>100</v>
      </c>
      <c r="C1605">
        <v>9990600</v>
      </c>
      <c r="D1605">
        <v>1</v>
      </c>
    </row>
    <row r="1606" spans="1:4" x14ac:dyDescent="0.4">
      <c r="A1606" s="3">
        <v>9990626</v>
      </c>
      <c r="B1606">
        <v>100</v>
      </c>
      <c r="C1606">
        <v>9990600</v>
      </c>
      <c r="D1606">
        <v>1</v>
      </c>
    </row>
    <row r="1607" spans="1:4" x14ac:dyDescent="0.4">
      <c r="A1607" s="3">
        <v>9990627</v>
      </c>
      <c r="B1607">
        <v>100</v>
      </c>
      <c r="C1607">
        <v>9990600</v>
      </c>
      <c r="D1607">
        <v>1</v>
      </c>
    </row>
    <row r="1608" spans="1:4" x14ac:dyDescent="0.4">
      <c r="A1608" s="3">
        <v>9990628</v>
      </c>
      <c r="B1608">
        <v>100</v>
      </c>
      <c r="C1608">
        <v>9990600</v>
      </c>
      <c r="D1608">
        <v>1</v>
      </c>
    </row>
    <row r="1609" spans="1:4" x14ac:dyDescent="0.4">
      <c r="A1609" s="3">
        <v>9990629</v>
      </c>
      <c r="B1609">
        <v>100</v>
      </c>
      <c r="C1609">
        <v>9990600</v>
      </c>
      <c r="D1609">
        <v>1</v>
      </c>
    </row>
    <row r="1610" spans="1:4" x14ac:dyDescent="0.4">
      <c r="A1610" s="3">
        <v>9990630</v>
      </c>
      <c r="B1610">
        <v>100</v>
      </c>
      <c r="C1610">
        <v>9990600</v>
      </c>
      <c r="D1610">
        <v>1</v>
      </c>
    </row>
    <row r="1611" spans="1:4" x14ac:dyDescent="0.4">
      <c r="A1611" s="3">
        <v>9990631</v>
      </c>
      <c r="B1611">
        <v>100</v>
      </c>
      <c r="C1611">
        <v>9990600</v>
      </c>
      <c r="D1611">
        <v>1</v>
      </c>
    </row>
    <row r="1612" spans="1:4" x14ac:dyDescent="0.4">
      <c r="A1612" s="3">
        <v>9990632</v>
      </c>
      <c r="B1612">
        <v>100</v>
      </c>
      <c r="C1612">
        <v>9990600</v>
      </c>
      <c r="D1612">
        <v>1</v>
      </c>
    </row>
    <row r="1613" spans="1:4" x14ac:dyDescent="0.4">
      <c r="A1613" s="3">
        <v>9990633</v>
      </c>
      <c r="B1613">
        <v>100</v>
      </c>
      <c r="C1613">
        <v>9990600</v>
      </c>
      <c r="D1613">
        <v>1</v>
      </c>
    </row>
    <row r="1614" spans="1:4" x14ac:dyDescent="0.4">
      <c r="A1614" s="3">
        <v>9990634</v>
      </c>
      <c r="B1614">
        <v>100</v>
      </c>
      <c r="C1614">
        <v>9990600</v>
      </c>
      <c r="D1614">
        <v>1</v>
      </c>
    </row>
    <row r="1615" spans="1:4" x14ac:dyDescent="0.4">
      <c r="A1615" s="3">
        <v>9990635</v>
      </c>
      <c r="B1615">
        <v>100</v>
      </c>
      <c r="C1615">
        <v>9990600</v>
      </c>
      <c r="D1615">
        <v>1</v>
      </c>
    </row>
    <row r="1616" spans="1:4" x14ac:dyDescent="0.4">
      <c r="A1616" s="3">
        <v>9990636</v>
      </c>
      <c r="B1616">
        <v>100</v>
      </c>
      <c r="C1616">
        <v>9990600</v>
      </c>
      <c r="D1616">
        <v>1</v>
      </c>
    </row>
    <row r="1617" spans="1:4" x14ac:dyDescent="0.4">
      <c r="A1617" s="3">
        <v>9990637</v>
      </c>
      <c r="B1617">
        <v>100</v>
      </c>
      <c r="C1617">
        <v>9990600</v>
      </c>
      <c r="D1617">
        <v>1</v>
      </c>
    </row>
    <row r="1618" spans="1:4" x14ac:dyDescent="0.4">
      <c r="A1618" s="3">
        <v>9990638</v>
      </c>
      <c r="B1618">
        <v>100</v>
      </c>
      <c r="C1618">
        <v>9990600</v>
      </c>
      <c r="D1618">
        <v>1</v>
      </c>
    </row>
    <row r="1619" spans="1:4" x14ac:dyDescent="0.4">
      <c r="A1619" s="3">
        <v>9990639</v>
      </c>
      <c r="B1619">
        <v>100</v>
      </c>
      <c r="C1619">
        <v>9990600</v>
      </c>
      <c r="D1619">
        <v>1</v>
      </c>
    </row>
    <row r="1620" spans="1:4" x14ac:dyDescent="0.4">
      <c r="A1620" s="3">
        <v>9990640</v>
      </c>
      <c r="B1620">
        <v>100</v>
      </c>
      <c r="C1620">
        <v>9990600</v>
      </c>
      <c r="D1620">
        <v>1</v>
      </c>
    </row>
    <row r="1621" spans="1:4" x14ac:dyDescent="0.4">
      <c r="A1621" s="3">
        <v>9990641</v>
      </c>
      <c r="B1621">
        <v>100</v>
      </c>
      <c r="C1621">
        <v>9990600</v>
      </c>
      <c r="D1621">
        <v>1</v>
      </c>
    </row>
    <row r="1622" spans="1:4" x14ac:dyDescent="0.4">
      <c r="A1622" s="3">
        <v>9990642</v>
      </c>
      <c r="B1622">
        <v>100</v>
      </c>
      <c r="C1622">
        <v>9990600</v>
      </c>
      <c r="D1622">
        <v>1</v>
      </c>
    </row>
    <row r="1623" spans="1:4" x14ac:dyDescent="0.4">
      <c r="A1623" s="3">
        <v>9990643</v>
      </c>
      <c r="B1623">
        <v>100</v>
      </c>
      <c r="C1623">
        <v>9990600</v>
      </c>
      <c r="D1623">
        <v>1</v>
      </c>
    </row>
    <row r="1624" spans="1:4" x14ac:dyDescent="0.4">
      <c r="A1624" s="3">
        <v>9990644</v>
      </c>
      <c r="B1624">
        <v>100</v>
      </c>
      <c r="C1624">
        <v>9990600</v>
      </c>
      <c r="D1624">
        <v>1</v>
      </c>
    </row>
    <row r="1625" spans="1:4" x14ac:dyDescent="0.4">
      <c r="A1625" s="3">
        <v>9990645</v>
      </c>
      <c r="B1625">
        <v>100</v>
      </c>
      <c r="C1625">
        <v>9990600</v>
      </c>
      <c r="D1625">
        <v>1</v>
      </c>
    </row>
    <row r="1626" spans="1:4" x14ac:dyDescent="0.4">
      <c r="A1626" s="3">
        <v>9990646</v>
      </c>
      <c r="B1626">
        <v>100</v>
      </c>
      <c r="C1626">
        <v>9990600</v>
      </c>
      <c r="D1626">
        <v>1</v>
      </c>
    </row>
    <row r="1627" spans="1:4" x14ac:dyDescent="0.4">
      <c r="A1627" s="3">
        <v>9990647</v>
      </c>
      <c r="B1627">
        <v>100</v>
      </c>
      <c r="C1627">
        <v>9990600</v>
      </c>
      <c r="D1627">
        <v>1</v>
      </c>
    </row>
    <row r="1628" spans="1:4" x14ac:dyDescent="0.4">
      <c r="A1628" s="3">
        <v>9990648</v>
      </c>
      <c r="B1628">
        <v>100</v>
      </c>
      <c r="C1628">
        <v>9990600</v>
      </c>
      <c r="D1628">
        <v>1</v>
      </c>
    </row>
    <row r="1629" spans="1:4" x14ac:dyDescent="0.4">
      <c r="A1629" s="3">
        <v>9990649</v>
      </c>
      <c r="B1629">
        <v>100</v>
      </c>
      <c r="C1629">
        <v>9990600</v>
      </c>
      <c r="D1629">
        <v>1</v>
      </c>
    </row>
    <row r="1630" spans="1:4" x14ac:dyDescent="0.4">
      <c r="A1630" s="3">
        <v>9990650</v>
      </c>
      <c r="B1630">
        <v>100</v>
      </c>
      <c r="C1630">
        <v>9990600</v>
      </c>
      <c r="D1630">
        <v>1</v>
      </c>
    </row>
    <row r="1631" spans="1:4" x14ac:dyDescent="0.4">
      <c r="A1631" s="3">
        <v>9990651</v>
      </c>
      <c r="B1631">
        <v>100</v>
      </c>
      <c r="C1631">
        <v>9990600</v>
      </c>
      <c r="D1631">
        <v>1</v>
      </c>
    </row>
    <row r="1632" spans="1:4" x14ac:dyDescent="0.4">
      <c r="A1632" s="3">
        <v>9990652</v>
      </c>
      <c r="B1632">
        <v>100</v>
      </c>
      <c r="C1632">
        <v>9990600</v>
      </c>
      <c r="D1632">
        <v>1</v>
      </c>
    </row>
    <row r="1633" spans="1:4" x14ac:dyDescent="0.4">
      <c r="A1633" s="3">
        <v>9990653</v>
      </c>
      <c r="B1633">
        <v>100</v>
      </c>
      <c r="C1633">
        <v>9990600</v>
      </c>
      <c r="D1633">
        <v>1</v>
      </c>
    </row>
    <row r="1634" spans="1:4" x14ac:dyDescent="0.4">
      <c r="A1634" s="3">
        <v>9990654</v>
      </c>
      <c r="B1634">
        <v>100</v>
      </c>
      <c r="C1634">
        <v>9990600</v>
      </c>
      <c r="D1634">
        <v>1</v>
      </c>
    </row>
    <row r="1635" spans="1:4" x14ac:dyDescent="0.4">
      <c r="A1635" s="3">
        <v>9990655</v>
      </c>
      <c r="B1635">
        <v>100</v>
      </c>
      <c r="C1635">
        <v>9990600</v>
      </c>
      <c r="D1635">
        <v>1</v>
      </c>
    </row>
    <row r="1636" spans="1:4" x14ac:dyDescent="0.4">
      <c r="A1636" s="3">
        <v>9990656</v>
      </c>
      <c r="B1636">
        <v>100</v>
      </c>
      <c r="C1636">
        <v>9990600</v>
      </c>
      <c r="D1636">
        <v>1</v>
      </c>
    </row>
    <row r="1637" spans="1:4" x14ac:dyDescent="0.4">
      <c r="A1637" s="3">
        <v>9990657</v>
      </c>
      <c r="B1637">
        <v>100</v>
      </c>
      <c r="C1637">
        <v>9990600</v>
      </c>
      <c r="D1637">
        <v>1</v>
      </c>
    </row>
    <row r="1638" spans="1:4" x14ac:dyDescent="0.4">
      <c r="A1638" s="3">
        <v>9990658</v>
      </c>
      <c r="B1638">
        <v>100</v>
      </c>
      <c r="C1638">
        <v>9990600</v>
      </c>
      <c r="D1638">
        <v>1</v>
      </c>
    </row>
    <row r="1639" spans="1:4" x14ac:dyDescent="0.4">
      <c r="A1639" s="3">
        <v>9990659</v>
      </c>
      <c r="B1639">
        <v>100</v>
      </c>
      <c r="C1639">
        <v>9990600</v>
      </c>
      <c r="D1639">
        <v>1</v>
      </c>
    </row>
    <row r="1640" spans="1:4" x14ac:dyDescent="0.4">
      <c r="A1640" s="3">
        <v>9990660</v>
      </c>
      <c r="B1640">
        <v>100</v>
      </c>
      <c r="C1640">
        <v>9990600</v>
      </c>
      <c r="D1640">
        <v>1</v>
      </c>
    </row>
    <row r="1641" spans="1:4" x14ac:dyDescent="0.4">
      <c r="A1641" s="3">
        <v>9990661</v>
      </c>
      <c r="B1641">
        <v>100</v>
      </c>
      <c r="C1641">
        <v>9990600</v>
      </c>
      <c r="D1641">
        <v>1</v>
      </c>
    </row>
    <row r="1642" spans="1:4" x14ac:dyDescent="0.4">
      <c r="A1642" s="3">
        <v>9990662</v>
      </c>
      <c r="B1642">
        <v>100</v>
      </c>
      <c r="C1642">
        <v>9990600</v>
      </c>
      <c r="D1642">
        <v>1</v>
      </c>
    </row>
    <row r="1643" spans="1:4" x14ac:dyDescent="0.4">
      <c r="A1643" s="3">
        <v>9990663</v>
      </c>
      <c r="B1643">
        <v>100</v>
      </c>
      <c r="C1643">
        <v>9990600</v>
      </c>
      <c r="D1643">
        <v>1</v>
      </c>
    </row>
    <row r="1644" spans="1:4" x14ac:dyDescent="0.4">
      <c r="A1644" s="3">
        <v>9990664</v>
      </c>
      <c r="B1644">
        <v>100</v>
      </c>
      <c r="C1644">
        <v>9990600</v>
      </c>
      <c r="D1644">
        <v>1</v>
      </c>
    </row>
    <row r="1645" spans="1:4" x14ac:dyDescent="0.4">
      <c r="A1645" s="3">
        <v>9990665</v>
      </c>
      <c r="B1645">
        <v>100</v>
      </c>
      <c r="C1645">
        <v>9990600</v>
      </c>
      <c r="D1645">
        <v>1</v>
      </c>
    </row>
    <row r="1646" spans="1:4" x14ac:dyDescent="0.4">
      <c r="A1646" s="3">
        <v>9990666</v>
      </c>
      <c r="B1646">
        <v>100</v>
      </c>
      <c r="C1646">
        <v>9990600</v>
      </c>
      <c r="D1646">
        <v>1</v>
      </c>
    </row>
    <row r="1647" spans="1:4" x14ac:dyDescent="0.4">
      <c r="A1647" s="3">
        <v>9990667</v>
      </c>
      <c r="B1647">
        <v>100</v>
      </c>
      <c r="C1647">
        <v>9990600</v>
      </c>
      <c r="D1647">
        <v>1</v>
      </c>
    </row>
    <row r="1648" spans="1:4" x14ac:dyDescent="0.4">
      <c r="A1648" s="3">
        <v>9990668</v>
      </c>
      <c r="B1648">
        <v>100</v>
      </c>
      <c r="C1648">
        <v>9990600</v>
      </c>
      <c r="D1648">
        <v>1</v>
      </c>
    </row>
    <row r="1649" spans="1:4" x14ac:dyDescent="0.4">
      <c r="A1649" s="3">
        <v>9990669</v>
      </c>
      <c r="B1649">
        <v>100</v>
      </c>
      <c r="C1649">
        <v>9990600</v>
      </c>
      <c r="D1649">
        <v>1</v>
      </c>
    </row>
    <row r="1650" spans="1:4" x14ac:dyDescent="0.4">
      <c r="A1650" s="3">
        <v>9990670</v>
      </c>
      <c r="B1650">
        <v>100</v>
      </c>
      <c r="C1650">
        <v>9990600</v>
      </c>
      <c r="D1650">
        <v>1</v>
      </c>
    </row>
    <row r="1651" spans="1:4" x14ac:dyDescent="0.4">
      <c r="A1651" s="3">
        <v>9990671</v>
      </c>
      <c r="B1651">
        <v>100</v>
      </c>
      <c r="C1651">
        <v>9990600</v>
      </c>
      <c r="D1651">
        <v>1</v>
      </c>
    </row>
    <row r="1652" spans="1:4" x14ac:dyDescent="0.4">
      <c r="A1652" s="3">
        <v>9990672</v>
      </c>
      <c r="B1652">
        <v>100</v>
      </c>
      <c r="C1652">
        <v>9990600</v>
      </c>
      <c r="D1652">
        <v>1</v>
      </c>
    </row>
    <row r="1653" spans="1:4" x14ac:dyDescent="0.4">
      <c r="A1653" s="3">
        <v>9990673</v>
      </c>
      <c r="B1653">
        <v>100</v>
      </c>
      <c r="C1653">
        <v>9990600</v>
      </c>
      <c r="D1653">
        <v>1</v>
      </c>
    </row>
    <row r="1654" spans="1:4" x14ac:dyDescent="0.4">
      <c r="A1654" s="3">
        <v>9990674</v>
      </c>
      <c r="B1654">
        <v>100</v>
      </c>
      <c r="C1654">
        <v>9990600</v>
      </c>
      <c r="D1654">
        <v>1</v>
      </c>
    </row>
    <row r="1655" spans="1:4" x14ac:dyDescent="0.4">
      <c r="A1655" s="3">
        <v>9990675</v>
      </c>
      <c r="B1655">
        <v>100</v>
      </c>
      <c r="C1655">
        <v>9990600</v>
      </c>
      <c r="D1655">
        <v>1</v>
      </c>
    </row>
    <row r="1656" spans="1:4" x14ac:dyDescent="0.4">
      <c r="A1656" s="3">
        <v>9990676</v>
      </c>
      <c r="B1656">
        <v>100</v>
      </c>
      <c r="C1656">
        <v>9990600</v>
      </c>
      <c r="D1656">
        <v>1</v>
      </c>
    </row>
    <row r="1657" spans="1:4" x14ac:dyDescent="0.4">
      <c r="A1657" s="3">
        <v>9990677</v>
      </c>
      <c r="B1657">
        <v>100</v>
      </c>
      <c r="C1657">
        <v>9990600</v>
      </c>
      <c r="D1657">
        <v>1</v>
      </c>
    </row>
    <row r="1658" spans="1:4" x14ac:dyDescent="0.4">
      <c r="A1658" s="3">
        <v>9990678</v>
      </c>
      <c r="B1658">
        <v>100</v>
      </c>
      <c r="C1658">
        <v>9990600</v>
      </c>
      <c r="D1658">
        <v>1</v>
      </c>
    </row>
    <row r="1659" spans="1:4" x14ac:dyDescent="0.4">
      <c r="A1659" s="3">
        <v>9990679</v>
      </c>
      <c r="B1659">
        <v>100</v>
      </c>
      <c r="C1659">
        <v>9990600</v>
      </c>
      <c r="D1659">
        <v>1</v>
      </c>
    </row>
    <row r="1660" spans="1:4" x14ac:dyDescent="0.4">
      <c r="A1660" s="3">
        <v>9990680</v>
      </c>
      <c r="B1660">
        <v>100</v>
      </c>
      <c r="C1660">
        <v>9990600</v>
      </c>
      <c r="D1660">
        <v>1</v>
      </c>
    </row>
    <row r="1661" spans="1:4" x14ac:dyDescent="0.4">
      <c r="A1661" s="3">
        <v>9990681</v>
      </c>
      <c r="B1661">
        <v>100</v>
      </c>
      <c r="C1661">
        <v>9990600</v>
      </c>
      <c r="D1661">
        <v>1</v>
      </c>
    </row>
    <row r="1662" spans="1:4" x14ac:dyDescent="0.4">
      <c r="A1662" s="3">
        <v>9990682</v>
      </c>
      <c r="B1662">
        <v>100</v>
      </c>
      <c r="C1662">
        <v>9990600</v>
      </c>
      <c r="D1662">
        <v>1</v>
      </c>
    </row>
    <row r="1663" spans="1:4" x14ac:dyDescent="0.4">
      <c r="A1663" s="3">
        <v>9990683</v>
      </c>
      <c r="B1663">
        <v>100</v>
      </c>
      <c r="C1663">
        <v>9990600</v>
      </c>
      <c r="D1663">
        <v>1</v>
      </c>
    </row>
    <row r="1664" spans="1:4" x14ac:dyDescent="0.4">
      <c r="A1664" s="3">
        <v>9990684</v>
      </c>
      <c r="B1664">
        <v>100</v>
      </c>
      <c r="C1664">
        <v>9990600</v>
      </c>
      <c r="D1664">
        <v>1</v>
      </c>
    </row>
    <row r="1665" spans="1:4" x14ac:dyDescent="0.4">
      <c r="A1665" s="3">
        <v>9990685</v>
      </c>
      <c r="B1665">
        <v>100</v>
      </c>
      <c r="C1665">
        <v>9990600</v>
      </c>
      <c r="D1665">
        <v>1</v>
      </c>
    </row>
    <row r="1666" spans="1:4" x14ac:dyDescent="0.4">
      <c r="A1666" s="3">
        <v>9990686</v>
      </c>
      <c r="B1666">
        <v>100</v>
      </c>
      <c r="C1666">
        <v>9990600</v>
      </c>
      <c r="D1666">
        <v>1</v>
      </c>
    </row>
    <row r="1667" spans="1:4" x14ac:dyDescent="0.4">
      <c r="A1667" s="3">
        <v>9990687</v>
      </c>
      <c r="B1667">
        <v>100</v>
      </c>
      <c r="C1667">
        <v>9990600</v>
      </c>
      <c r="D1667">
        <v>1</v>
      </c>
    </row>
    <row r="1668" spans="1:4" x14ac:dyDescent="0.4">
      <c r="A1668" s="3">
        <v>9990688</v>
      </c>
      <c r="B1668">
        <v>100</v>
      </c>
      <c r="C1668">
        <v>9990600</v>
      </c>
      <c r="D1668">
        <v>1</v>
      </c>
    </row>
    <row r="1669" spans="1:4" x14ac:dyDescent="0.4">
      <c r="A1669" s="3">
        <v>9990689</v>
      </c>
      <c r="B1669">
        <v>100</v>
      </c>
      <c r="C1669">
        <v>9990600</v>
      </c>
      <c r="D1669">
        <v>1</v>
      </c>
    </row>
    <row r="1670" spans="1:4" x14ac:dyDescent="0.4">
      <c r="A1670" s="3">
        <v>9990690</v>
      </c>
      <c r="B1670">
        <v>100</v>
      </c>
      <c r="C1670">
        <v>9990600</v>
      </c>
      <c r="D1670">
        <v>1</v>
      </c>
    </row>
    <row r="1671" spans="1:4" x14ac:dyDescent="0.4">
      <c r="A1671" s="3">
        <v>9990691</v>
      </c>
      <c r="B1671">
        <v>100</v>
      </c>
      <c r="C1671">
        <v>9990600</v>
      </c>
      <c r="D1671">
        <v>1</v>
      </c>
    </row>
    <row r="1672" spans="1:4" x14ac:dyDescent="0.4">
      <c r="A1672" s="3">
        <v>9990692</v>
      </c>
      <c r="B1672">
        <v>100</v>
      </c>
      <c r="C1672">
        <v>9990600</v>
      </c>
      <c r="D1672">
        <v>1</v>
      </c>
    </row>
    <row r="1673" spans="1:4" x14ac:dyDescent="0.4">
      <c r="A1673" s="3">
        <v>9990693</v>
      </c>
      <c r="B1673">
        <v>100</v>
      </c>
      <c r="C1673">
        <v>9990600</v>
      </c>
      <c r="D1673">
        <v>1</v>
      </c>
    </row>
    <row r="1674" spans="1:4" x14ac:dyDescent="0.4">
      <c r="A1674" s="3">
        <v>9990694</v>
      </c>
      <c r="B1674">
        <v>100</v>
      </c>
      <c r="C1674">
        <v>9990600</v>
      </c>
      <c r="D1674">
        <v>1</v>
      </c>
    </row>
    <row r="1675" spans="1:4" x14ac:dyDescent="0.4">
      <c r="A1675" s="3">
        <v>9990695</v>
      </c>
      <c r="B1675">
        <v>100</v>
      </c>
      <c r="C1675">
        <v>9990600</v>
      </c>
      <c r="D1675">
        <v>1</v>
      </c>
    </row>
    <row r="1676" spans="1:4" x14ac:dyDescent="0.4">
      <c r="A1676" s="3">
        <v>9990696</v>
      </c>
      <c r="B1676">
        <v>100</v>
      </c>
      <c r="C1676">
        <v>9990600</v>
      </c>
      <c r="D1676">
        <v>1</v>
      </c>
    </row>
    <row r="1677" spans="1:4" x14ac:dyDescent="0.4">
      <c r="A1677" s="3">
        <v>9990697</v>
      </c>
      <c r="B1677">
        <v>100</v>
      </c>
      <c r="C1677">
        <v>9990600</v>
      </c>
      <c r="D1677">
        <v>1</v>
      </c>
    </row>
    <row r="1678" spans="1:4" x14ac:dyDescent="0.4">
      <c r="A1678" s="3">
        <v>9990698</v>
      </c>
      <c r="B1678">
        <v>100</v>
      </c>
      <c r="C1678">
        <v>9990600</v>
      </c>
      <c r="D1678">
        <v>1</v>
      </c>
    </row>
    <row r="1679" spans="1:4" x14ac:dyDescent="0.4">
      <c r="A1679" s="3">
        <v>9990699</v>
      </c>
      <c r="B1679">
        <v>100</v>
      </c>
      <c r="C1679">
        <v>9990600</v>
      </c>
      <c r="D1679">
        <v>1</v>
      </c>
    </row>
    <row r="1680" spans="1:4" x14ac:dyDescent="0.4">
      <c r="A1680" s="3">
        <v>9990700</v>
      </c>
      <c r="B1680">
        <v>100</v>
      </c>
      <c r="C1680">
        <v>9990700</v>
      </c>
      <c r="D1680">
        <v>1</v>
      </c>
    </row>
    <row r="1681" spans="1:4" x14ac:dyDescent="0.4">
      <c r="A1681" s="3">
        <v>9990701</v>
      </c>
      <c r="B1681">
        <v>100</v>
      </c>
      <c r="C1681">
        <v>9990700</v>
      </c>
      <c r="D1681">
        <v>1</v>
      </c>
    </row>
    <row r="1682" spans="1:4" x14ac:dyDescent="0.4">
      <c r="A1682" s="3">
        <v>9990702</v>
      </c>
      <c r="B1682">
        <v>100</v>
      </c>
      <c r="C1682">
        <v>9990700</v>
      </c>
      <c r="D1682">
        <v>1</v>
      </c>
    </row>
    <row r="1683" spans="1:4" x14ac:dyDescent="0.4">
      <c r="A1683" s="3">
        <v>9990703</v>
      </c>
      <c r="B1683">
        <v>100</v>
      </c>
      <c r="C1683">
        <v>9990700</v>
      </c>
      <c r="D1683">
        <v>1</v>
      </c>
    </row>
    <row r="1684" spans="1:4" x14ac:dyDescent="0.4">
      <c r="A1684" s="3">
        <v>9990704</v>
      </c>
      <c r="B1684">
        <v>100</v>
      </c>
      <c r="C1684">
        <v>9990700</v>
      </c>
      <c r="D1684">
        <v>1</v>
      </c>
    </row>
    <row r="1685" spans="1:4" x14ac:dyDescent="0.4">
      <c r="A1685" s="3">
        <v>9990705</v>
      </c>
      <c r="B1685">
        <v>100</v>
      </c>
      <c r="C1685">
        <v>9990700</v>
      </c>
      <c r="D1685">
        <v>1</v>
      </c>
    </row>
    <row r="1686" spans="1:4" x14ac:dyDescent="0.4">
      <c r="A1686" s="3">
        <v>9990706</v>
      </c>
      <c r="B1686">
        <v>100</v>
      </c>
      <c r="C1686">
        <v>9990700</v>
      </c>
      <c r="D1686">
        <v>1</v>
      </c>
    </row>
    <row r="1687" spans="1:4" x14ac:dyDescent="0.4">
      <c r="A1687" s="3">
        <v>9990707</v>
      </c>
      <c r="B1687">
        <v>100</v>
      </c>
      <c r="C1687">
        <v>9990700</v>
      </c>
      <c r="D1687">
        <v>1</v>
      </c>
    </row>
    <row r="1688" spans="1:4" x14ac:dyDescent="0.4">
      <c r="A1688" s="3">
        <v>9990708</v>
      </c>
      <c r="B1688">
        <v>100</v>
      </c>
      <c r="C1688">
        <v>9990700</v>
      </c>
      <c r="D1688">
        <v>1</v>
      </c>
    </row>
    <row r="1689" spans="1:4" x14ac:dyDescent="0.4">
      <c r="A1689" s="3">
        <v>9990709</v>
      </c>
      <c r="B1689">
        <v>100</v>
      </c>
      <c r="C1689">
        <v>9990700</v>
      </c>
      <c r="D1689">
        <v>1</v>
      </c>
    </row>
    <row r="1690" spans="1:4" x14ac:dyDescent="0.4">
      <c r="A1690" s="3">
        <v>9990710</v>
      </c>
      <c r="B1690">
        <v>100</v>
      </c>
      <c r="C1690">
        <v>9990700</v>
      </c>
      <c r="D1690">
        <v>1</v>
      </c>
    </row>
    <row r="1691" spans="1:4" x14ac:dyDescent="0.4">
      <c r="A1691" s="3">
        <v>9990711</v>
      </c>
      <c r="B1691">
        <v>100</v>
      </c>
      <c r="C1691">
        <v>9990700</v>
      </c>
      <c r="D1691">
        <v>1</v>
      </c>
    </row>
    <row r="1692" spans="1:4" x14ac:dyDescent="0.4">
      <c r="A1692" s="3">
        <v>9990712</v>
      </c>
      <c r="B1692">
        <v>100</v>
      </c>
      <c r="C1692">
        <v>9990700</v>
      </c>
      <c r="D1692">
        <v>1</v>
      </c>
    </row>
    <row r="1693" spans="1:4" x14ac:dyDescent="0.4">
      <c r="A1693" s="3">
        <v>9990713</v>
      </c>
      <c r="B1693">
        <v>100</v>
      </c>
      <c r="C1693">
        <v>9990700</v>
      </c>
      <c r="D1693">
        <v>1</v>
      </c>
    </row>
    <row r="1694" spans="1:4" x14ac:dyDescent="0.4">
      <c r="A1694" s="3">
        <v>9990714</v>
      </c>
      <c r="B1694">
        <v>100</v>
      </c>
      <c r="C1694">
        <v>9990700</v>
      </c>
      <c r="D1694">
        <v>1</v>
      </c>
    </row>
    <row r="1695" spans="1:4" x14ac:dyDescent="0.4">
      <c r="A1695" s="3">
        <v>9990715</v>
      </c>
      <c r="B1695">
        <v>100</v>
      </c>
      <c r="C1695">
        <v>9990700</v>
      </c>
      <c r="D1695">
        <v>1</v>
      </c>
    </row>
    <row r="1696" spans="1:4" x14ac:dyDescent="0.4">
      <c r="A1696" s="3">
        <v>9990716</v>
      </c>
      <c r="B1696">
        <v>100</v>
      </c>
      <c r="C1696">
        <v>9990700</v>
      </c>
      <c r="D1696">
        <v>1</v>
      </c>
    </row>
    <row r="1697" spans="1:4" x14ac:dyDescent="0.4">
      <c r="A1697" s="3">
        <v>9990717</v>
      </c>
      <c r="B1697">
        <v>100</v>
      </c>
      <c r="C1697">
        <v>9990700</v>
      </c>
      <c r="D1697">
        <v>1</v>
      </c>
    </row>
    <row r="1698" spans="1:4" x14ac:dyDescent="0.4">
      <c r="A1698" s="3">
        <v>9990718</v>
      </c>
      <c r="B1698">
        <v>100</v>
      </c>
      <c r="C1698">
        <v>9990700</v>
      </c>
      <c r="D1698">
        <v>1</v>
      </c>
    </row>
    <row r="1699" spans="1:4" x14ac:dyDescent="0.4">
      <c r="A1699" s="3">
        <v>9990719</v>
      </c>
      <c r="B1699">
        <v>100</v>
      </c>
      <c r="C1699">
        <v>9990700</v>
      </c>
      <c r="D1699">
        <v>1</v>
      </c>
    </row>
    <row r="1700" spans="1:4" x14ac:dyDescent="0.4">
      <c r="A1700" s="3">
        <v>9990720</v>
      </c>
      <c r="B1700">
        <v>100</v>
      </c>
      <c r="C1700">
        <v>9990700</v>
      </c>
      <c r="D1700">
        <v>1</v>
      </c>
    </row>
    <row r="1701" spans="1:4" x14ac:dyDescent="0.4">
      <c r="A1701" s="3">
        <v>9990721</v>
      </c>
      <c r="B1701">
        <v>100</v>
      </c>
      <c r="C1701">
        <v>9990700</v>
      </c>
      <c r="D1701">
        <v>1</v>
      </c>
    </row>
    <row r="1702" spans="1:4" x14ac:dyDescent="0.4">
      <c r="A1702" s="3">
        <v>9990722</v>
      </c>
      <c r="B1702">
        <v>100</v>
      </c>
      <c r="C1702">
        <v>9990700</v>
      </c>
      <c r="D1702">
        <v>1</v>
      </c>
    </row>
    <row r="1703" spans="1:4" x14ac:dyDescent="0.4">
      <c r="A1703" s="3">
        <v>9990723</v>
      </c>
      <c r="B1703">
        <v>100</v>
      </c>
      <c r="C1703">
        <v>9990700</v>
      </c>
      <c r="D1703">
        <v>1</v>
      </c>
    </row>
    <row r="1704" spans="1:4" x14ac:dyDescent="0.4">
      <c r="A1704" s="3">
        <v>9990724</v>
      </c>
      <c r="B1704">
        <v>100</v>
      </c>
      <c r="C1704">
        <v>9990700</v>
      </c>
      <c r="D1704">
        <v>1</v>
      </c>
    </row>
    <row r="1705" spans="1:4" x14ac:dyDescent="0.4">
      <c r="A1705" s="3">
        <v>9990725</v>
      </c>
      <c r="B1705">
        <v>100</v>
      </c>
      <c r="C1705">
        <v>9990700</v>
      </c>
      <c r="D1705">
        <v>1</v>
      </c>
    </row>
    <row r="1706" spans="1:4" x14ac:dyDescent="0.4">
      <c r="A1706" s="3">
        <v>9990726</v>
      </c>
      <c r="B1706">
        <v>100</v>
      </c>
      <c r="C1706">
        <v>9990700</v>
      </c>
      <c r="D1706">
        <v>1</v>
      </c>
    </row>
    <row r="1707" spans="1:4" x14ac:dyDescent="0.4">
      <c r="A1707" s="3">
        <v>9990727</v>
      </c>
      <c r="B1707">
        <v>100</v>
      </c>
      <c r="C1707">
        <v>9990700</v>
      </c>
      <c r="D1707">
        <v>1</v>
      </c>
    </row>
    <row r="1708" spans="1:4" x14ac:dyDescent="0.4">
      <c r="A1708" s="3">
        <v>9990728</v>
      </c>
      <c r="B1708">
        <v>100</v>
      </c>
      <c r="C1708">
        <v>9990700</v>
      </c>
      <c r="D1708">
        <v>1</v>
      </c>
    </row>
    <row r="1709" spans="1:4" x14ac:dyDescent="0.4">
      <c r="A1709" s="3">
        <v>9990729</v>
      </c>
      <c r="B1709">
        <v>100</v>
      </c>
      <c r="C1709">
        <v>9990700</v>
      </c>
      <c r="D1709">
        <v>1</v>
      </c>
    </row>
    <row r="1710" spans="1:4" x14ac:dyDescent="0.4">
      <c r="A1710" s="3">
        <v>9990730</v>
      </c>
      <c r="B1710">
        <v>100</v>
      </c>
      <c r="C1710">
        <v>9990700</v>
      </c>
      <c r="D1710">
        <v>1</v>
      </c>
    </row>
    <row r="1711" spans="1:4" x14ac:dyDescent="0.4">
      <c r="A1711" s="3">
        <v>9990731</v>
      </c>
      <c r="B1711">
        <v>100</v>
      </c>
      <c r="C1711">
        <v>9990700</v>
      </c>
      <c r="D1711">
        <v>1</v>
      </c>
    </row>
    <row r="1712" spans="1:4" x14ac:dyDescent="0.4">
      <c r="A1712" s="3">
        <v>9990732</v>
      </c>
      <c r="B1712">
        <v>100</v>
      </c>
      <c r="C1712">
        <v>9990700</v>
      </c>
      <c r="D1712">
        <v>1</v>
      </c>
    </row>
    <row r="1713" spans="1:4" x14ac:dyDescent="0.4">
      <c r="A1713" s="3">
        <v>9990733</v>
      </c>
      <c r="B1713">
        <v>100</v>
      </c>
      <c r="C1713">
        <v>9990700</v>
      </c>
      <c r="D1713">
        <v>1</v>
      </c>
    </row>
    <row r="1714" spans="1:4" x14ac:dyDescent="0.4">
      <c r="A1714" s="3">
        <v>9990734</v>
      </c>
      <c r="B1714">
        <v>100</v>
      </c>
      <c r="C1714">
        <v>9990700</v>
      </c>
      <c r="D1714">
        <v>1</v>
      </c>
    </row>
    <row r="1715" spans="1:4" x14ac:dyDescent="0.4">
      <c r="A1715" s="3">
        <v>9990735</v>
      </c>
      <c r="B1715">
        <v>100</v>
      </c>
      <c r="C1715">
        <v>9990700</v>
      </c>
      <c r="D1715">
        <v>1</v>
      </c>
    </row>
    <row r="1716" spans="1:4" x14ac:dyDescent="0.4">
      <c r="A1716" s="3">
        <v>9990736</v>
      </c>
      <c r="B1716">
        <v>100</v>
      </c>
      <c r="C1716">
        <v>9990700</v>
      </c>
      <c r="D1716">
        <v>1</v>
      </c>
    </row>
    <row r="1717" spans="1:4" x14ac:dyDescent="0.4">
      <c r="A1717" s="3">
        <v>9990737</v>
      </c>
      <c r="B1717">
        <v>100</v>
      </c>
      <c r="C1717">
        <v>9990700</v>
      </c>
      <c r="D1717">
        <v>1</v>
      </c>
    </row>
    <row r="1718" spans="1:4" x14ac:dyDescent="0.4">
      <c r="A1718" s="3">
        <v>9990738</v>
      </c>
      <c r="B1718">
        <v>100</v>
      </c>
      <c r="C1718">
        <v>9990700</v>
      </c>
      <c r="D1718">
        <v>1</v>
      </c>
    </row>
    <row r="1719" spans="1:4" x14ac:dyDescent="0.4">
      <c r="A1719" s="3">
        <v>9990739</v>
      </c>
      <c r="B1719">
        <v>100</v>
      </c>
      <c r="C1719">
        <v>9990700</v>
      </c>
      <c r="D1719">
        <v>1</v>
      </c>
    </row>
    <row r="1720" spans="1:4" x14ac:dyDescent="0.4">
      <c r="A1720" s="3">
        <v>9990740</v>
      </c>
      <c r="B1720">
        <v>100</v>
      </c>
      <c r="C1720">
        <v>9990700</v>
      </c>
      <c r="D1720">
        <v>1</v>
      </c>
    </row>
    <row r="1721" spans="1:4" x14ac:dyDescent="0.4">
      <c r="A1721" s="3">
        <v>9990741</v>
      </c>
      <c r="B1721">
        <v>100</v>
      </c>
      <c r="C1721">
        <v>9990700</v>
      </c>
      <c r="D1721">
        <v>1</v>
      </c>
    </row>
    <row r="1722" spans="1:4" x14ac:dyDescent="0.4">
      <c r="A1722" s="3">
        <v>9990742</v>
      </c>
      <c r="B1722">
        <v>100</v>
      </c>
      <c r="C1722">
        <v>9990700</v>
      </c>
      <c r="D1722">
        <v>1</v>
      </c>
    </row>
    <row r="1723" spans="1:4" x14ac:dyDescent="0.4">
      <c r="A1723" s="3">
        <v>9990743</v>
      </c>
      <c r="B1723">
        <v>100</v>
      </c>
      <c r="C1723">
        <v>9990700</v>
      </c>
      <c r="D1723">
        <v>1</v>
      </c>
    </row>
    <row r="1724" spans="1:4" x14ac:dyDescent="0.4">
      <c r="A1724" s="3">
        <v>9990744</v>
      </c>
      <c r="B1724">
        <v>100</v>
      </c>
      <c r="C1724">
        <v>9990700</v>
      </c>
      <c r="D1724">
        <v>1</v>
      </c>
    </row>
    <row r="1725" spans="1:4" x14ac:dyDescent="0.4">
      <c r="A1725" s="3">
        <v>9990745</v>
      </c>
      <c r="B1725">
        <v>100</v>
      </c>
      <c r="C1725">
        <v>9990700</v>
      </c>
      <c r="D1725">
        <v>1</v>
      </c>
    </row>
    <row r="1726" spans="1:4" x14ac:dyDescent="0.4">
      <c r="A1726" s="3">
        <v>9990746</v>
      </c>
      <c r="B1726">
        <v>100</v>
      </c>
      <c r="C1726">
        <v>9990700</v>
      </c>
      <c r="D1726">
        <v>1</v>
      </c>
    </row>
    <row r="1727" spans="1:4" x14ac:dyDescent="0.4">
      <c r="A1727" s="3">
        <v>9990747</v>
      </c>
      <c r="B1727">
        <v>100</v>
      </c>
      <c r="C1727">
        <v>9990700</v>
      </c>
      <c r="D1727">
        <v>1</v>
      </c>
    </row>
    <row r="1728" spans="1:4" x14ac:dyDescent="0.4">
      <c r="A1728" s="3">
        <v>9990748</v>
      </c>
      <c r="B1728">
        <v>100</v>
      </c>
      <c r="C1728">
        <v>9990700</v>
      </c>
      <c r="D1728">
        <v>1</v>
      </c>
    </row>
    <row r="1729" spans="1:4" x14ac:dyDescent="0.4">
      <c r="A1729" s="3">
        <v>9990749</v>
      </c>
      <c r="B1729">
        <v>100</v>
      </c>
      <c r="C1729">
        <v>9990700</v>
      </c>
      <c r="D1729">
        <v>1</v>
      </c>
    </row>
    <row r="1730" spans="1:4" x14ac:dyDescent="0.4">
      <c r="A1730" s="3">
        <v>9990750</v>
      </c>
      <c r="B1730">
        <v>100</v>
      </c>
      <c r="C1730">
        <v>9990700</v>
      </c>
      <c r="D1730">
        <v>1</v>
      </c>
    </row>
    <row r="1731" spans="1:4" x14ac:dyDescent="0.4">
      <c r="A1731" s="3">
        <v>9990751</v>
      </c>
      <c r="B1731">
        <v>100</v>
      </c>
      <c r="C1731">
        <v>9990700</v>
      </c>
      <c r="D1731">
        <v>1</v>
      </c>
    </row>
    <row r="1732" spans="1:4" x14ac:dyDescent="0.4">
      <c r="A1732" s="3">
        <v>9990752</v>
      </c>
      <c r="B1732">
        <v>100</v>
      </c>
      <c r="C1732">
        <v>9990700</v>
      </c>
      <c r="D1732">
        <v>1</v>
      </c>
    </row>
    <row r="1733" spans="1:4" x14ac:dyDescent="0.4">
      <c r="A1733" s="3">
        <v>9990753</v>
      </c>
      <c r="B1733">
        <v>100</v>
      </c>
      <c r="C1733">
        <v>9990700</v>
      </c>
      <c r="D1733">
        <v>1</v>
      </c>
    </row>
    <row r="1734" spans="1:4" x14ac:dyDescent="0.4">
      <c r="A1734" s="3">
        <v>9990754</v>
      </c>
      <c r="B1734">
        <v>100</v>
      </c>
      <c r="C1734">
        <v>9990700</v>
      </c>
      <c r="D1734">
        <v>1</v>
      </c>
    </row>
    <row r="1735" spans="1:4" x14ac:dyDescent="0.4">
      <c r="A1735" s="3">
        <v>9990755</v>
      </c>
      <c r="B1735">
        <v>100</v>
      </c>
      <c r="C1735">
        <v>9990700</v>
      </c>
      <c r="D1735">
        <v>1</v>
      </c>
    </row>
    <row r="1736" spans="1:4" x14ac:dyDescent="0.4">
      <c r="A1736" s="3">
        <v>9990756</v>
      </c>
      <c r="B1736">
        <v>100</v>
      </c>
      <c r="C1736">
        <v>9990700</v>
      </c>
      <c r="D1736">
        <v>1</v>
      </c>
    </row>
    <row r="1737" spans="1:4" x14ac:dyDescent="0.4">
      <c r="A1737" s="3">
        <v>9990757</v>
      </c>
      <c r="B1737">
        <v>100</v>
      </c>
      <c r="C1737">
        <v>9990700</v>
      </c>
      <c r="D1737">
        <v>1</v>
      </c>
    </row>
    <row r="1738" spans="1:4" x14ac:dyDescent="0.4">
      <c r="A1738" s="3">
        <v>9990758</v>
      </c>
      <c r="B1738">
        <v>100</v>
      </c>
      <c r="C1738">
        <v>9990700</v>
      </c>
      <c r="D1738">
        <v>1</v>
      </c>
    </row>
    <row r="1739" spans="1:4" x14ac:dyDescent="0.4">
      <c r="A1739" s="3">
        <v>9990759</v>
      </c>
      <c r="B1739">
        <v>100</v>
      </c>
      <c r="C1739">
        <v>9990700</v>
      </c>
      <c r="D1739">
        <v>1</v>
      </c>
    </row>
    <row r="1740" spans="1:4" x14ac:dyDescent="0.4">
      <c r="A1740" s="3">
        <v>9990760</v>
      </c>
      <c r="B1740">
        <v>100</v>
      </c>
      <c r="C1740">
        <v>9990700</v>
      </c>
      <c r="D1740">
        <v>1</v>
      </c>
    </row>
    <row r="1741" spans="1:4" x14ac:dyDescent="0.4">
      <c r="A1741" s="3">
        <v>9990761</v>
      </c>
      <c r="B1741">
        <v>100</v>
      </c>
      <c r="C1741">
        <v>9990700</v>
      </c>
      <c r="D1741">
        <v>1</v>
      </c>
    </row>
    <row r="1742" spans="1:4" x14ac:dyDescent="0.4">
      <c r="A1742" s="3">
        <v>9990762</v>
      </c>
      <c r="B1742">
        <v>100</v>
      </c>
      <c r="C1742">
        <v>9990700</v>
      </c>
      <c r="D1742">
        <v>1</v>
      </c>
    </row>
    <row r="1743" spans="1:4" x14ac:dyDescent="0.4">
      <c r="A1743" s="3">
        <v>9990763</v>
      </c>
      <c r="B1743">
        <v>100</v>
      </c>
      <c r="C1743">
        <v>9990700</v>
      </c>
      <c r="D1743">
        <v>1</v>
      </c>
    </row>
    <row r="1744" spans="1:4" x14ac:dyDescent="0.4">
      <c r="A1744" s="3">
        <v>9990764</v>
      </c>
      <c r="B1744">
        <v>100</v>
      </c>
      <c r="C1744">
        <v>9990700</v>
      </c>
      <c r="D1744">
        <v>1</v>
      </c>
    </row>
    <row r="1745" spans="1:4" x14ac:dyDescent="0.4">
      <c r="A1745" s="3">
        <v>9990765</v>
      </c>
      <c r="B1745">
        <v>100</v>
      </c>
      <c r="C1745">
        <v>9990700</v>
      </c>
      <c r="D1745">
        <v>1</v>
      </c>
    </row>
    <row r="1746" spans="1:4" x14ac:dyDescent="0.4">
      <c r="A1746" s="3">
        <v>9990766</v>
      </c>
      <c r="B1746">
        <v>100</v>
      </c>
      <c r="C1746">
        <v>9990700</v>
      </c>
      <c r="D1746">
        <v>1</v>
      </c>
    </row>
    <row r="1747" spans="1:4" x14ac:dyDescent="0.4">
      <c r="A1747" s="3">
        <v>9990767</v>
      </c>
      <c r="B1747">
        <v>100</v>
      </c>
      <c r="C1747">
        <v>9990700</v>
      </c>
      <c r="D1747">
        <v>1</v>
      </c>
    </row>
    <row r="1748" spans="1:4" x14ac:dyDescent="0.4">
      <c r="A1748" s="3">
        <v>9990768</v>
      </c>
      <c r="B1748">
        <v>100</v>
      </c>
      <c r="C1748">
        <v>9990700</v>
      </c>
      <c r="D1748">
        <v>1</v>
      </c>
    </row>
    <row r="1749" spans="1:4" x14ac:dyDescent="0.4">
      <c r="A1749" s="3">
        <v>9990769</v>
      </c>
      <c r="B1749">
        <v>100</v>
      </c>
      <c r="C1749">
        <v>9990700</v>
      </c>
      <c r="D1749">
        <v>1</v>
      </c>
    </row>
    <row r="1750" spans="1:4" x14ac:dyDescent="0.4">
      <c r="A1750" s="3">
        <v>9990770</v>
      </c>
      <c r="B1750">
        <v>100</v>
      </c>
      <c r="C1750">
        <v>9990700</v>
      </c>
      <c r="D1750">
        <v>1</v>
      </c>
    </row>
    <row r="1751" spans="1:4" x14ac:dyDescent="0.4">
      <c r="A1751" s="3">
        <v>9990771</v>
      </c>
      <c r="B1751">
        <v>100</v>
      </c>
      <c r="C1751">
        <v>9990700</v>
      </c>
      <c r="D1751">
        <v>1</v>
      </c>
    </row>
    <row r="1752" spans="1:4" x14ac:dyDescent="0.4">
      <c r="A1752" s="3">
        <v>9990772</v>
      </c>
      <c r="B1752">
        <v>100</v>
      </c>
      <c r="C1752">
        <v>9990700</v>
      </c>
      <c r="D1752">
        <v>1</v>
      </c>
    </row>
    <row r="1753" spans="1:4" x14ac:dyDescent="0.4">
      <c r="A1753" s="3">
        <v>9990773</v>
      </c>
      <c r="B1753">
        <v>100</v>
      </c>
      <c r="C1753">
        <v>9990700</v>
      </c>
      <c r="D1753">
        <v>1</v>
      </c>
    </row>
    <row r="1754" spans="1:4" x14ac:dyDescent="0.4">
      <c r="A1754" s="3">
        <v>9990774</v>
      </c>
      <c r="B1754">
        <v>100</v>
      </c>
      <c r="C1754">
        <v>9990700</v>
      </c>
      <c r="D1754">
        <v>1</v>
      </c>
    </row>
    <row r="1755" spans="1:4" x14ac:dyDescent="0.4">
      <c r="A1755" s="3">
        <v>9990775</v>
      </c>
      <c r="B1755">
        <v>100</v>
      </c>
      <c r="C1755">
        <v>9990700</v>
      </c>
      <c r="D1755">
        <v>1</v>
      </c>
    </row>
    <row r="1756" spans="1:4" x14ac:dyDescent="0.4">
      <c r="A1756" s="3">
        <v>9990776</v>
      </c>
      <c r="B1756">
        <v>100</v>
      </c>
      <c r="C1756">
        <v>9990700</v>
      </c>
      <c r="D1756">
        <v>1</v>
      </c>
    </row>
    <row r="1757" spans="1:4" x14ac:dyDescent="0.4">
      <c r="A1757" s="3">
        <v>9990777</v>
      </c>
      <c r="B1757">
        <v>100</v>
      </c>
      <c r="C1757">
        <v>9990700</v>
      </c>
      <c r="D1757">
        <v>1</v>
      </c>
    </row>
    <row r="1758" spans="1:4" x14ac:dyDescent="0.4">
      <c r="A1758" s="3">
        <v>9990778</v>
      </c>
      <c r="B1758">
        <v>100</v>
      </c>
      <c r="C1758">
        <v>9990700</v>
      </c>
      <c r="D1758">
        <v>1</v>
      </c>
    </row>
    <row r="1759" spans="1:4" x14ac:dyDescent="0.4">
      <c r="A1759" s="3">
        <v>9990779</v>
      </c>
      <c r="B1759">
        <v>100</v>
      </c>
      <c r="C1759">
        <v>9990700</v>
      </c>
      <c r="D1759">
        <v>1</v>
      </c>
    </row>
    <row r="1760" spans="1:4" x14ac:dyDescent="0.4">
      <c r="A1760" s="3">
        <v>9990780</v>
      </c>
      <c r="B1760">
        <v>100</v>
      </c>
      <c r="C1760">
        <v>9990700</v>
      </c>
      <c r="D1760">
        <v>1</v>
      </c>
    </row>
    <row r="1761" spans="1:4" x14ac:dyDescent="0.4">
      <c r="A1761" s="3">
        <v>9990781</v>
      </c>
      <c r="B1761">
        <v>100</v>
      </c>
      <c r="C1761">
        <v>9990700</v>
      </c>
      <c r="D1761">
        <v>1</v>
      </c>
    </row>
    <row r="1762" spans="1:4" x14ac:dyDescent="0.4">
      <c r="A1762" s="3">
        <v>9990782</v>
      </c>
      <c r="B1762">
        <v>100</v>
      </c>
      <c r="C1762">
        <v>9990700</v>
      </c>
      <c r="D1762">
        <v>1</v>
      </c>
    </row>
    <row r="1763" spans="1:4" x14ac:dyDescent="0.4">
      <c r="A1763" s="3">
        <v>9990783</v>
      </c>
      <c r="B1763">
        <v>100</v>
      </c>
      <c r="C1763">
        <v>9990700</v>
      </c>
      <c r="D1763">
        <v>1</v>
      </c>
    </row>
    <row r="1764" spans="1:4" x14ac:dyDescent="0.4">
      <c r="A1764" s="3">
        <v>9990784</v>
      </c>
      <c r="B1764">
        <v>100</v>
      </c>
      <c r="C1764">
        <v>9990700</v>
      </c>
      <c r="D1764">
        <v>1</v>
      </c>
    </row>
    <row r="1765" spans="1:4" x14ac:dyDescent="0.4">
      <c r="A1765" s="3">
        <v>9990785</v>
      </c>
      <c r="B1765">
        <v>100</v>
      </c>
      <c r="C1765">
        <v>9990700</v>
      </c>
      <c r="D1765">
        <v>1</v>
      </c>
    </row>
    <row r="1766" spans="1:4" x14ac:dyDescent="0.4">
      <c r="A1766" s="3">
        <v>9990786</v>
      </c>
      <c r="B1766">
        <v>100</v>
      </c>
      <c r="C1766">
        <v>9990700</v>
      </c>
      <c r="D1766">
        <v>1</v>
      </c>
    </row>
    <row r="1767" spans="1:4" x14ac:dyDescent="0.4">
      <c r="A1767" s="3">
        <v>9990787</v>
      </c>
      <c r="B1767">
        <v>100</v>
      </c>
      <c r="C1767">
        <v>9990700</v>
      </c>
      <c r="D1767">
        <v>1</v>
      </c>
    </row>
    <row r="1768" spans="1:4" x14ac:dyDescent="0.4">
      <c r="A1768" s="3">
        <v>9990788</v>
      </c>
      <c r="B1768">
        <v>100</v>
      </c>
      <c r="C1768">
        <v>9990700</v>
      </c>
      <c r="D1768">
        <v>1</v>
      </c>
    </row>
    <row r="1769" spans="1:4" x14ac:dyDescent="0.4">
      <c r="A1769" s="3">
        <v>9990789</v>
      </c>
      <c r="B1769">
        <v>100</v>
      </c>
      <c r="C1769">
        <v>9990700</v>
      </c>
      <c r="D1769">
        <v>1</v>
      </c>
    </row>
    <row r="1770" spans="1:4" x14ac:dyDescent="0.4">
      <c r="A1770" s="3">
        <v>9990790</v>
      </c>
      <c r="B1770">
        <v>100</v>
      </c>
      <c r="C1770">
        <v>9990700</v>
      </c>
      <c r="D1770">
        <v>1</v>
      </c>
    </row>
    <row r="1771" spans="1:4" x14ac:dyDescent="0.4">
      <c r="A1771" s="3">
        <v>9990791</v>
      </c>
      <c r="B1771">
        <v>100</v>
      </c>
      <c r="C1771">
        <v>9990700</v>
      </c>
      <c r="D1771">
        <v>1</v>
      </c>
    </row>
    <row r="1772" spans="1:4" x14ac:dyDescent="0.4">
      <c r="A1772" s="3">
        <v>9990792</v>
      </c>
      <c r="B1772">
        <v>100</v>
      </c>
      <c r="C1772">
        <v>9990700</v>
      </c>
      <c r="D1772">
        <v>1</v>
      </c>
    </row>
    <row r="1773" spans="1:4" x14ac:dyDescent="0.4">
      <c r="A1773" s="3">
        <v>9990793</v>
      </c>
      <c r="B1773">
        <v>100</v>
      </c>
      <c r="C1773">
        <v>9990700</v>
      </c>
      <c r="D1773">
        <v>1</v>
      </c>
    </row>
    <row r="1774" spans="1:4" x14ac:dyDescent="0.4">
      <c r="A1774" s="3">
        <v>9990794</v>
      </c>
      <c r="B1774">
        <v>100</v>
      </c>
      <c r="C1774">
        <v>9990700</v>
      </c>
      <c r="D1774">
        <v>1</v>
      </c>
    </row>
    <row r="1775" spans="1:4" x14ac:dyDescent="0.4">
      <c r="A1775" s="3">
        <v>9990795</v>
      </c>
      <c r="B1775">
        <v>100</v>
      </c>
      <c r="C1775">
        <v>9990700</v>
      </c>
      <c r="D1775">
        <v>1</v>
      </c>
    </row>
    <row r="1776" spans="1:4" x14ac:dyDescent="0.4">
      <c r="A1776" s="3">
        <v>9990796</v>
      </c>
      <c r="B1776">
        <v>100</v>
      </c>
      <c r="C1776">
        <v>9990700</v>
      </c>
      <c r="D1776">
        <v>1</v>
      </c>
    </row>
    <row r="1777" spans="1:4" x14ac:dyDescent="0.4">
      <c r="A1777" s="3">
        <v>9990797</v>
      </c>
      <c r="B1777">
        <v>100</v>
      </c>
      <c r="C1777">
        <v>9990700</v>
      </c>
      <c r="D1777">
        <v>1</v>
      </c>
    </row>
    <row r="1778" spans="1:4" x14ac:dyDescent="0.4">
      <c r="A1778" s="3">
        <v>9990798</v>
      </c>
      <c r="B1778">
        <v>100</v>
      </c>
      <c r="C1778">
        <v>9990700</v>
      </c>
      <c r="D1778">
        <v>1</v>
      </c>
    </row>
    <row r="1779" spans="1:4" x14ac:dyDescent="0.4">
      <c r="A1779" s="3">
        <v>9990799</v>
      </c>
      <c r="B1779">
        <v>100</v>
      </c>
      <c r="C1779">
        <v>9990700</v>
      </c>
      <c r="D1779">
        <v>1</v>
      </c>
    </row>
    <row r="1780" spans="1:4" x14ac:dyDescent="0.4">
      <c r="A1780" s="3">
        <v>9990800</v>
      </c>
      <c r="B1780">
        <v>100</v>
      </c>
      <c r="C1780">
        <v>9990800</v>
      </c>
      <c r="D1780">
        <v>1</v>
      </c>
    </row>
    <row r="1781" spans="1:4" x14ac:dyDescent="0.4">
      <c r="A1781" s="3">
        <v>9990801</v>
      </c>
      <c r="B1781">
        <v>100</v>
      </c>
      <c r="C1781">
        <v>9990800</v>
      </c>
      <c r="D1781">
        <v>1</v>
      </c>
    </row>
    <row r="1782" spans="1:4" x14ac:dyDescent="0.4">
      <c r="A1782" s="3">
        <v>9990802</v>
      </c>
      <c r="B1782">
        <v>100</v>
      </c>
      <c r="C1782">
        <v>9990800</v>
      </c>
      <c r="D1782">
        <v>1</v>
      </c>
    </row>
    <row r="1783" spans="1:4" x14ac:dyDescent="0.4">
      <c r="A1783" s="3">
        <v>9990803</v>
      </c>
      <c r="B1783">
        <v>100</v>
      </c>
      <c r="C1783">
        <v>9990800</v>
      </c>
      <c r="D1783">
        <v>1</v>
      </c>
    </row>
    <row r="1784" spans="1:4" x14ac:dyDescent="0.4">
      <c r="A1784" s="3">
        <v>9990804</v>
      </c>
      <c r="B1784">
        <v>100</v>
      </c>
      <c r="C1784">
        <v>9990800</v>
      </c>
      <c r="D1784">
        <v>1</v>
      </c>
    </row>
    <row r="1785" spans="1:4" x14ac:dyDescent="0.4">
      <c r="A1785" s="3">
        <v>9990805</v>
      </c>
      <c r="B1785">
        <v>100</v>
      </c>
      <c r="C1785">
        <v>9990800</v>
      </c>
      <c r="D1785">
        <v>1</v>
      </c>
    </row>
    <row r="1786" spans="1:4" x14ac:dyDescent="0.4">
      <c r="A1786" s="3">
        <v>9990806</v>
      </c>
      <c r="B1786">
        <v>100</v>
      </c>
      <c r="C1786">
        <v>9990800</v>
      </c>
      <c r="D1786">
        <v>1</v>
      </c>
    </row>
    <row r="1787" spans="1:4" x14ac:dyDescent="0.4">
      <c r="A1787" s="3">
        <v>9990807</v>
      </c>
      <c r="B1787">
        <v>100</v>
      </c>
      <c r="C1787">
        <v>9990800</v>
      </c>
      <c r="D1787">
        <v>1</v>
      </c>
    </row>
    <row r="1788" spans="1:4" x14ac:dyDescent="0.4">
      <c r="A1788" s="3">
        <v>9990808</v>
      </c>
      <c r="B1788">
        <v>100</v>
      </c>
      <c r="C1788">
        <v>9990800</v>
      </c>
      <c r="D1788">
        <v>1</v>
      </c>
    </row>
    <row r="1789" spans="1:4" x14ac:dyDescent="0.4">
      <c r="A1789" s="3">
        <v>9990809</v>
      </c>
      <c r="B1789">
        <v>100</v>
      </c>
      <c r="C1789">
        <v>9990800</v>
      </c>
      <c r="D1789">
        <v>1</v>
      </c>
    </row>
    <row r="1790" spans="1:4" x14ac:dyDescent="0.4">
      <c r="A1790" s="3">
        <v>9990810</v>
      </c>
      <c r="B1790">
        <v>100</v>
      </c>
      <c r="C1790">
        <v>9990800</v>
      </c>
      <c r="D1790">
        <v>1</v>
      </c>
    </row>
    <row r="1791" spans="1:4" x14ac:dyDescent="0.4">
      <c r="A1791" s="3">
        <v>9990811</v>
      </c>
      <c r="B1791">
        <v>100</v>
      </c>
      <c r="C1791">
        <v>9990800</v>
      </c>
      <c r="D1791">
        <v>1</v>
      </c>
    </row>
    <row r="1792" spans="1:4" x14ac:dyDescent="0.4">
      <c r="A1792" s="3">
        <v>9990812</v>
      </c>
      <c r="B1792">
        <v>100</v>
      </c>
      <c r="C1792">
        <v>9990800</v>
      </c>
      <c r="D1792">
        <v>1</v>
      </c>
    </row>
    <row r="1793" spans="1:4" x14ac:dyDescent="0.4">
      <c r="A1793" s="3">
        <v>9990813</v>
      </c>
      <c r="B1793">
        <v>100</v>
      </c>
      <c r="C1793">
        <v>9990800</v>
      </c>
      <c r="D1793">
        <v>1</v>
      </c>
    </row>
    <row r="1794" spans="1:4" x14ac:dyDescent="0.4">
      <c r="A1794" s="3">
        <v>9990814</v>
      </c>
      <c r="B1794">
        <v>100</v>
      </c>
      <c r="C1794">
        <v>9990800</v>
      </c>
      <c r="D1794">
        <v>1</v>
      </c>
    </row>
    <row r="1795" spans="1:4" x14ac:dyDescent="0.4">
      <c r="A1795" s="3">
        <v>9990815</v>
      </c>
      <c r="B1795">
        <v>100</v>
      </c>
      <c r="C1795">
        <v>9990800</v>
      </c>
      <c r="D1795">
        <v>1</v>
      </c>
    </row>
    <row r="1796" spans="1:4" x14ac:dyDescent="0.4">
      <c r="A1796" s="3">
        <v>9990816</v>
      </c>
      <c r="B1796">
        <v>100</v>
      </c>
      <c r="C1796">
        <v>9990800</v>
      </c>
      <c r="D1796">
        <v>1</v>
      </c>
    </row>
    <row r="1797" spans="1:4" x14ac:dyDescent="0.4">
      <c r="A1797" s="3">
        <v>9990817</v>
      </c>
      <c r="B1797">
        <v>100</v>
      </c>
      <c r="C1797">
        <v>9990800</v>
      </c>
      <c r="D1797">
        <v>1</v>
      </c>
    </row>
    <row r="1798" spans="1:4" x14ac:dyDescent="0.4">
      <c r="A1798" s="3">
        <v>9990818</v>
      </c>
      <c r="B1798">
        <v>100</v>
      </c>
      <c r="C1798">
        <v>9990800</v>
      </c>
      <c r="D1798">
        <v>1</v>
      </c>
    </row>
    <row r="1799" spans="1:4" x14ac:dyDescent="0.4">
      <c r="A1799" s="3">
        <v>9990819</v>
      </c>
      <c r="B1799">
        <v>100</v>
      </c>
      <c r="C1799">
        <v>9990800</v>
      </c>
      <c r="D1799">
        <v>1</v>
      </c>
    </row>
    <row r="1800" spans="1:4" x14ac:dyDescent="0.4">
      <c r="A1800" s="3">
        <v>9990820</v>
      </c>
      <c r="B1800">
        <v>100</v>
      </c>
      <c r="C1800">
        <v>9990800</v>
      </c>
      <c r="D1800">
        <v>1</v>
      </c>
    </row>
    <row r="1801" spans="1:4" x14ac:dyDescent="0.4">
      <c r="A1801" s="3">
        <v>9990821</v>
      </c>
      <c r="B1801">
        <v>100</v>
      </c>
      <c r="C1801">
        <v>9990800</v>
      </c>
      <c r="D1801">
        <v>1</v>
      </c>
    </row>
    <row r="1802" spans="1:4" x14ac:dyDescent="0.4">
      <c r="A1802" s="3">
        <v>9990822</v>
      </c>
      <c r="B1802">
        <v>100</v>
      </c>
      <c r="C1802">
        <v>9990800</v>
      </c>
      <c r="D1802">
        <v>1</v>
      </c>
    </row>
    <row r="1803" spans="1:4" x14ac:dyDescent="0.4">
      <c r="A1803" s="3">
        <v>9990823</v>
      </c>
      <c r="B1803">
        <v>100</v>
      </c>
      <c r="C1803">
        <v>9990800</v>
      </c>
      <c r="D1803">
        <v>1</v>
      </c>
    </row>
    <row r="1804" spans="1:4" x14ac:dyDescent="0.4">
      <c r="A1804" s="3">
        <v>9990824</v>
      </c>
      <c r="B1804">
        <v>100</v>
      </c>
      <c r="C1804">
        <v>9990800</v>
      </c>
      <c r="D1804">
        <v>1</v>
      </c>
    </row>
    <row r="1805" spans="1:4" x14ac:dyDescent="0.4">
      <c r="A1805" s="3">
        <v>9990825</v>
      </c>
      <c r="B1805">
        <v>100</v>
      </c>
      <c r="C1805">
        <v>9990800</v>
      </c>
      <c r="D1805">
        <v>1</v>
      </c>
    </row>
    <row r="1806" spans="1:4" x14ac:dyDescent="0.4">
      <c r="A1806" s="3">
        <v>9990826</v>
      </c>
      <c r="B1806">
        <v>100</v>
      </c>
      <c r="C1806">
        <v>9990800</v>
      </c>
      <c r="D1806">
        <v>1</v>
      </c>
    </row>
    <row r="1807" spans="1:4" x14ac:dyDescent="0.4">
      <c r="A1807" s="3">
        <v>9990827</v>
      </c>
      <c r="B1807">
        <v>100</v>
      </c>
      <c r="C1807">
        <v>9990800</v>
      </c>
      <c r="D1807">
        <v>1</v>
      </c>
    </row>
    <row r="1808" spans="1:4" x14ac:dyDescent="0.4">
      <c r="A1808" s="3">
        <v>9990828</v>
      </c>
      <c r="B1808">
        <v>100</v>
      </c>
      <c r="C1808">
        <v>9990800</v>
      </c>
      <c r="D1808">
        <v>1</v>
      </c>
    </row>
    <row r="1809" spans="1:4" x14ac:dyDescent="0.4">
      <c r="A1809" s="3">
        <v>9990829</v>
      </c>
      <c r="B1809">
        <v>100</v>
      </c>
      <c r="C1809">
        <v>9990800</v>
      </c>
      <c r="D1809">
        <v>1</v>
      </c>
    </row>
    <row r="1810" spans="1:4" x14ac:dyDescent="0.4">
      <c r="A1810" s="3">
        <v>9990830</v>
      </c>
      <c r="B1810">
        <v>100</v>
      </c>
      <c r="C1810">
        <v>9990800</v>
      </c>
      <c r="D1810">
        <v>1</v>
      </c>
    </row>
    <row r="1811" spans="1:4" x14ac:dyDescent="0.4">
      <c r="A1811" s="3">
        <v>9990831</v>
      </c>
      <c r="B1811">
        <v>100</v>
      </c>
      <c r="C1811">
        <v>9990800</v>
      </c>
      <c r="D1811">
        <v>1</v>
      </c>
    </row>
    <row r="1812" spans="1:4" x14ac:dyDescent="0.4">
      <c r="A1812" s="3">
        <v>9990832</v>
      </c>
      <c r="B1812">
        <v>100</v>
      </c>
      <c r="C1812">
        <v>9990800</v>
      </c>
      <c r="D1812">
        <v>1</v>
      </c>
    </row>
    <row r="1813" spans="1:4" x14ac:dyDescent="0.4">
      <c r="A1813" s="3">
        <v>9990833</v>
      </c>
      <c r="B1813">
        <v>100</v>
      </c>
      <c r="C1813">
        <v>9990800</v>
      </c>
      <c r="D1813">
        <v>1</v>
      </c>
    </row>
    <row r="1814" spans="1:4" x14ac:dyDescent="0.4">
      <c r="A1814" s="3">
        <v>9990834</v>
      </c>
      <c r="B1814">
        <v>100</v>
      </c>
      <c r="C1814">
        <v>9990800</v>
      </c>
      <c r="D1814">
        <v>1</v>
      </c>
    </row>
    <row r="1815" spans="1:4" x14ac:dyDescent="0.4">
      <c r="A1815" s="3">
        <v>9990835</v>
      </c>
      <c r="B1815">
        <v>100</v>
      </c>
      <c r="C1815">
        <v>9990800</v>
      </c>
      <c r="D1815">
        <v>1</v>
      </c>
    </row>
    <row r="1816" spans="1:4" x14ac:dyDescent="0.4">
      <c r="A1816" s="3">
        <v>9990836</v>
      </c>
      <c r="B1816">
        <v>100</v>
      </c>
      <c r="C1816">
        <v>9990800</v>
      </c>
      <c r="D1816">
        <v>1</v>
      </c>
    </row>
    <row r="1817" spans="1:4" x14ac:dyDescent="0.4">
      <c r="A1817" s="3">
        <v>9990837</v>
      </c>
      <c r="B1817">
        <v>100</v>
      </c>
      <c r="C1817">
        <v>9990800</v>
      </c>
      <c r="D1817">
        <v>1</v>
      </c>
    </row>
    <row r="1818" spans="1:4" x14ac:dyDescent="0.4">
      <c r="A1818" s="3">
        <v>9990838</v>
      </c>
      <c r="B1818">
        <v>100</v>
      </c>
      <c r="C1818">
        <v>9990800</v>
      </c>
      <c r="D1818">
        <v>1</v>
      </c>
    </row>
    <row r="1819" spans="1:4" x14ac:dyDescent="0.4">
      <c r="A1819" s="3">
        <v>9990839</v>
      </c>
      <c r="B1819">
        <v>100</v>
      </c>
      <c r="C1819">
        <v>9990800</v>
      </c>
      <c r="D1819">
        <v>1</v>
      </c>
    </row>
    <row r="1820" spans="1:4" x14ac:dyDescent="0.4">
      <c r="A1820" s="3">
        <v>9990840</v>
      </c>
      <c r="B1820">
        <v>100</v>
      </c>
      <c r="C1820">
        <v>9990800</v>
      </c>
      <c r="D1820">
        <v>1</v>
      </c>
    </row>
    <row r="1821" spans="1:4" x14ac:dyDescent="0.4">
      <c r="A1821" s="3">
        <v>9990841</v>
      </c>
      <c r="B1821">
        <v>100</v>
      </c>
      <c r="C1821">
        <v>9990800</v>
      </c>
      <c r="D1821">
        <v>1</v>
      </c>
    </row>
    <row r="1822" spans="1:4" x14ac:dyDescent="0.4">
      <c r="A1822" s="3">
        <v>9990842</v>
      </c>
      <c r="B1822">
        <v>100</v>
      </c>
      <c r="C1822">
        <v>9990800</v>
      </c>
      <c r="D1822">
        <v>1</v>
      </c>
    </row>
    <row r="1823" spans="1:4" x14ac:dyDescent="0.4">
      <c r="A1823" s="3">
        <v>9990843</v>
      </c>
      <c r="B1823">
        <v>100</v>
      </c>
      <c r="C1823">
        <v>9990800</v>
      </c>
      <c r="D1823">
        <v>1</v>
      </c>
    </row>
    <row r="1824" spans="1:4" x14ac:dyDescent="0.4">
      <c r="A1824" s="3">
        <v>9990844</v>
      </c>
      <c r="B1824">
        <v>100</v>
      </c>
      <c r="C1824">
        <v>9990800</v>
      </c>
      <c r="D1824">
        <v>1</v>
      </c>
    </row>
    <row r="1825" spans="1:4" x14ac:dyDescent="0.4">
      <c r="A1825" s="3">
        <v>9990845</v>
      </c>
      <c r="B1825">
        <v>100</v>
      </c>
      <c r="C1825">
        <v>9990800</v>
      </c>
      <c r="D1825">
        <v>1</v>
      </c>
    </row>
    <row r="1826" spans="1:4" x14ac:dyDescent="0.4">
      <c r="A1826" s="3">
        <v>9990846</v>
      </c>
      <c r="B1826">
        <v>100</v>
      </c>
      <c r="C1826">
        <v>9990800</v>
      </c>
      <c r="D1826">
        <v>1</v>
      </c>
    </row>
    <row r="1827" spans="1:4" x14ac:dyDescent="0.4">
      <c r="A1827" s="3">
        <v>9990847</v>
      </c>
      <c r="B1827">
        <v>100</v>
      </c>
      <c r="C1827">
        <v>9990800</v>
      </c>
      <c r="D1827">
        <v>1</v>
      </c>
    </row>
    <row r="1828" spans="1:4" x14ac:dyDescent="0.4">
      <c r="A1828" s="3">
        <v>9990848</v>
      </c>
      <c r="B1828">
        <v>100</v>
      </c>
      <c r="C1828">
        <v>9990800</v>
      </c>
      <c r="D1828">
        <v>1</v>
      </c>
    </row>
    <row r="1829" spans="1:4" x14ac:dyDescent="0.4">
      <c r="A1829" s="3">
        <v>9990849</v>
      </c>
      <c r="B1829">
        <v>100</v>
      </c>
      <c r="C1829">
        <v>9990800</v>
      </c>
      <c r="D1829">
        <v>1</v>
      </c>
    </row>
    <row r="1830" spans="1:4" x14ac:dyDescent="0.4">
      <c r="A1830" s="3">
        <v>9990850</v>
      </c>
      <c r="B1830">
        <v>100</v>
      </c>
      <c r="C1830">
        <v>9990800</v>
      </c>
      <c r="D1830">
        <v>1</v>
      </c>
    </row>
    <row r="1831" spans="1:4" x14ac:dyDescent="0.4">
      <c r="A1831" s="3">
        <v>9990851</v>
      </c>
      <c r="B1831">
        <v>100</v>
      </c>
      <c r="C1831">
        <v>9990800</v>
      </c>
      <c r="D1831">
        <v>1</v>
      </c>
    </row>
    <row r="1832" spans="1:4" x14ac:dyDescent="0.4">
      <c r="A1832" s="3">
        <v>9990852</v>
      </c>
      <c r="B1832">
        <v>100</v>
      </c>
      <c r="C1832">
        <v>9990800</v>
      </c>
      <c r="D1832">
        <v>1</v>
      </c>
    </row>
    <row r="1833" spans="1:4" x14ac:dyDescent="0.4">
      <c r="A1833" s="3">
        <v>9990853</v>
      </c>
      <c r="B1833">
        <v>100</v>
      </c>
      <c r="C1833">
        <v>9990800</v>
      </c>
      <c r="D1833">
        <v>1</v>
      </c>
    </row>
    <row r="1834" spans="1:4" x14ac:dyDescent="0.4">
      <c r="A1834" s="3">
        <v>9990854</v>
      </c>
      <c r="B1834">
        <v>100</v>
      </c>
      <c r="C1834">
        <v>9990800</v>
      </c>
      <c r="D1834">
        <v>1</v>
      </c>
    </row>
    <row r="1835" spans="1:4" x14ac:dyDescent="0.4">
      <c r="A1835" s="3">
        <v>9990855</v>
      </c>
      <c r="B1835">
        <v>100</v>
      </c>
      <c r="C1835">
        <v>9990800</v>
      </c>
      <c r="D1835">
        <v>1</v>
      </c>
    </row>
    <row r="1836" spans="1:4" x14ac:dyDescent="0.4">
      <c r="A1836" s="3">
        <v>9990856</v>
      </c>
      <c r="B1836">
        <v>100</v>
      </c>
      <c r="C1836">
        <v>9990800</v>
      </c>
      <c r="D1836">
        <v>1</v>
      </c>
    </row>
    <row r="1837" spans="1:4" x14ac:dyDescent="0.4">
      <c r="A1837" s="3">
        <v>9990857</v>
      </c>
      <c r="B1837">
        <v>100</v>
      </c>
      <c r="C1837">
        <v>9990800</v>
      </c>
      <c r="D1837">
        <v>1</v>
      </c>
    </row>
    <row r="1838" spans="1:4" x14ac:dyDescent="0.4">
      <c r="A1838" s="3">
        <v>9990858</v>
      </c>
      <c r="B1838">
        <v>100</v>
      </c>
      <c r="C1838">
        <v>9990800</v>
      </c>
      <c r="D1838">
        <v>1</v>
      </c>
    </row>
    <row r="1839" spans="1:4" x14ac:dyDescent="0.4">
      <c r="A1839" s="3">
        <v>9990859</v>
      </c>
      <c r="B1839">
        <v>100</v>
      </c>
      <c r="C1839">
        <v>9990800</v>
      </c>
      <c r="D1839">
        <v>1</v>
      </c>
    </row>
    <row r="1840" spans="1:4" x14ac:dyDescent="0.4">
      <c r="A1840" s="3">
        <v>9990860</v>
      </c>
      <c r="B1840">
        <v>100</v>
      </c>
      <c r="C1840">
        <v>9990800</v>
      </c>
      <c r="D1840">
        <v>1</v>
      </c>
    </row>
    <row r="1841" spans="1:4" x14ac:dyDescent="0.4">
      <c r="A1841" s="3">
        <v>9990861</v>
      </c>
      <c r="B1841">
        <v>100</v>
      </c>
      <c r="C1841">
        <v>9990800</v>
      </c>
      <c r="D1841">
        <v>1</v>
      </c>
    </row>
    <row r="1842" spans="1:4" x14ac:dyDescent="0.4">
      <c r="A1842" s="3">
        <v>9990862</v>
      </c>
      <c r="B1842">
        <v>100</v>
      </c>
      <c r="C1842">
        <v>9990800</v>
      </c>
      <c r="D1842">
        <v>1</v>
      </c>
    </row>
    <row r="1843" spans="1:4" x14ac:dyDescent="0.4">
      <c r="A1843" s="3">
        <v>9990863</v>
      </c>
      <c r="B1843">
        <v>100</v>
      </c>
      <c r="C1843">
        <v>9990800</v>
      </c>
      <c r="D1843">
        <v>1</v>
      </c>
    </row>
    <row r="1844" spans="1:4" x14ac:dyDescent="0.4">
      <c r="A1844" s="3">
        <v>9990864</v>
      </c>
      <c r="B1844">
        <v>100</v>
      </c>
      <c r="C1844">
        <v>9990800</v>
      </c>
      <c r="D1844">
        <v>1</v>
      </c>
    </row>
    <row r="1845" spans="1:4" x14ac:dyDescent="0.4">
      <c r="A1845" s="3">
        <v>9990865</v>
      </c>
      <c r="B1845">
        <v>100</v>
      </c>
      <c r="C1845">
        <v>9990800</v>
      </c>
      <c r="D1845">
        <v>1</v>
      </c>
    </row>
    <row r="1846" spans="1:4" x14ac:dyDescent="0.4">
      <c r="A1846" s="3">
        <v>9990866</v>
      </c>
      <c r="B1846">
        <v>100</v>
      </c>
      <c r="C1846">
        <v>9990800</v>
      </c>
      <c r="D1846">
        <v>1</v>
      </c>
    </row>
    <row r="1847" spans="1:4" x14ac:dyDescent="0.4">
      <c r="A1847" s="3">
        <v>9990867</v>
      </c>
      <c r="B1847">
        <v>100</v>
      </c>
      <c r="C1847">
        <v>9990800</v>
      </c>
      <c r="D1847">
        <v>1</v>
      </c>
    </row>
    <row r="1848" spans="1:4" x14ac:dyDescent="0.4">
      <c r="A1848" s="3">
        <v>9990868</v>
      </c>
      <c r="B1848">
        <v>100</v>
      </c>
      <c r="C1848">
        <v>9990800</v>
      </c>
      <c r="D1848">
        <v>1</v>
      </c>
    </row>
    <row r="1849" spans="1:4" x14ac:dyDescent="0.4">
      <c r="A1849" s="3">
        <v>9990869</v>
      </c>
      <c r="B1849">
        <v>100</v>
      </c>
      <c r="C1849">
        <v>9990800</v>
      </c>
      <c r="D1849">
        <v>1</v>
      </c>
    </row>
    <row r="1850" spans="1:4" x14ac:dyDescent="0.4">
      <c r="A1850" s="3">
        <v>9990870</v>
      </c>
      <c r="B1850">
        <v>100</v>
      </c>
      <c r="C1850">
        <v>9990800</v>
      </c>
      <c r="D1850">
        <v>1</v>
      </c>
    </row>
    <row r="1851" spans="1:4" x14ac:dyDescent="0.4">
      <c r="A1851" s="3">
        <v>9990871</v>
      </c>
      <c r="B1851">
        <v>100</v>
      </c>
      <c r="C1851">
        <v>9990800</v>
      </c>
      <c r="D1851">
        <v>1</v>
      </c>
    </row>
    <row r="1852" spans="1:4" x14ac:dyDescent="0.4">
      <c r="A1852" s="3">
        <v>9990872</v>
      </c>
      <c r="B1852">
        <v>100</v>
      </c>
      <c r="C1852">
        <v>9990800</v>
      </c>
      <c r="D1852">
        <v>1</v>
      </c>
    </row>
    <row r="1853" spans="1:4" x14ac:dyDescent="0.4">
      <c r="A1853" s="3">
        <v>9990873</v>
      </c>
      <c r="B1853">
        <v>100</v>
      </c>
      <c r="C1853">
        <v>9990800</v>
      </c>
      <c r="D1853">
        <v>1</v>
      </c>
    </row>
    <row r="1854" spans="1:4" x14ac:dyDescent="0.4">
      <c r="A1854" s="3">
        <v>9990874</v>
      </c>
      <c r="B1854">
        <v>100</v>
      </c>
      <c r="C1854">
        <v>9990800</v>
      </c>
      <c r="D1854">
        <v>1</v>
      </c>
    </row>
    <row r="1855" spans="1:4" x14ac:dyDescent="0.4">
      <c r="A1855" s="3">
        <v>9990875</v>
      </c>
      <c r="B1855">
        <v>100</v>
      </c>
      <c r="C1855">
        <v>9990800</v>
      </c>
      <c r="D1855">
        <v>1</v>
      </c>
    </row>
    <row r="1856" spans="1:4" x14ac:dyDescent="0.4">
      <c r="A1856" s="3">
        <v>9990876</v>
      </c>
      <c r="B1856">
        <v>100</v>
      </c>
      <c r="C1856">
        <v>9990800</v>
      </c>
      <c r="D1856">
        <v>1</v>
      </c>
    </row>
    <row r="1857" spans="1:4" x14ac:dyDescent="0.4">
      <c r="A1857" s="3">
        <v>9990877</v>
      </c>
      <c r="B1857">
        <v>100</v>
      </c>
      <c r="C1857">
        <v>9990800</v>
      </c>
      <c r="D1857">
        <v>1</v>
      </c>
    </row>
    <row r="1858" spans="1:4" x14ac:dyDescent="0.4">
      <c r="A1858" s="3">
        <v>9990878</v>
      </c>
      <c r="B1858">
        <v>100</v>
      </c>
      <c r="C1858">
        <v>9990800</v>
      </c>
      <c r="D1858">
        <v>1</v>
      </c>
    </row>
    <row r="1859" spans="1:4" x14ac:dyDescent="0.4">
      <c r="A1859" s="3">
        <v>9990879</v>
      </c>
      <c r="B1859">
        <v>100</v>
      </c>
      <c r="C1859">
        <v>9990800</v>
      </c>
      <c r="D1859">
        <v>1</v>
      </c>
    </row>
    <row r="1860" spans="1:4" x14ac:dyDescent="0.4">
      <c r="A1860" s="3">
        <v>9990880</v>
      </c>
      <c r="B1860">
        <v>100</v>
      </c>
      <c r="C1860">
        <v>9990800</v>
      </c>
      <c r="D1860">
        <v>1</v>
      </c>
    </row>
    <row r="1861" spans="1:4" x14ac:dyDescent="0.4">
      <c r="A1861" s="3">
        <v>9990881</v>
      </c>
      <c r="B1861">
        <v>100</v>
      </c>
      <c r="C1861">
        <v>9990800</v>
      </c>
      <c r="D1861">
        <v>1</v>
      </c>
    </row>
    <row r="1862" spans="1:4" x14ac:dyDescent="0.4">
      <c r="A1862" s="3">
        <v>9990882</v>
      </c>
      <c r="B1862">
        <v>100</v>
      </c>
      <c r="C1862">
        <v>9990800</v>
      </c>
      <c r="D1862">
        <v>1</v>
      </c>
    </row>
    <row r="1863" spans="1:4" x14ac:dyDescent="0.4">
      <c r="A1863" s="3">
        <v>9990883</v>
      </c>
      <c r="B1863">
        <v>100</v>
      </c>
      <c r="C1863">
        <v>9990800</v>
      </c>
      <c r="D1863">
        <v>1</v>
      </c>
    </row>
    <row r="1864" spans="1:4" x14ac:dyDescent="0.4">
      <c r="A1864" s="3">
        <v>9990884</v>
      </c>
      <c r="B1864">
        <v>100</v>
      </c>
      <c r="C1864">
        <v>9990800</v>
      </c>
      <c r="D1864">
        <v>1</v>
      </c>
    </row>
    <row r="1865" spans="1:4" x14ac:dyDescent="0.4">
      <c r="A1865" s="3">
        <v>9990885</v>
      </c>
      <c r="B1865">
        <v>100</v>
      </c>
      <c r="C1865">
        <v>9990800</v>
      </c>
      <c r="D1865">
        <v>1</v>
      </c>
    </row>
    <row r="1866" spans="1:4" x14ac:dyDescent="0.4">
      <c r="A1866" s="3">
        <v>9990886</v>
      </c>
      <c r="B1866">
        <v>100</v>
      </c>
      <c r="C1866">
        <v>9990800</v>
      </c>
      <c r="D1866">
        <v>1</v>
      </c>
    </row>
    <row r="1867" spans="1:4" x14ac:dyDescent="0.4">
      <c r="A1867" s="3">
        <v>9990887</v>
      </c>
      <c r="B1867">
        <v>100</v>
      </c>
      <c r="C1867">
        <v>9990800</v>
      </c>
      <c r="D1867">
        <v>1</v>
      </c>
    </row>
    <row r="1868" spans="1:4" x14ac:dyDescent="0.4">
      <c r="A1868" s="3">
        <v>9990888</v>
      </c>
      <c r="B1868">
        <v>100</v>
      </c>
      <c r="C1868">
        <v>9990800</v>
      </c>
      <c r="D1868">
        <v>1</v>
      </c>
    </row>
    <row r="1869" spans="1:4" x14ac:dyDescent="0.4">
      <c r="A1869" s="3">
        <v>9990889</v>
      </c>
      <c r="B1869">
        <v>100</v>
      </c>
      <c r="C1869">
        <v>9990800</v>
      </c>
      <c r="D1869">
        <v>1</v>
      </c>
    </row>
    <row r="1870" spans="1:4" x14ac:dyDescent="0.4">
      <c r="A1870" s="3">
        <v>9990890</v>
      </c>
      <c r="B1870">
        <v>100</v>
      </c>
      <c r="C1870">
        <v>9990800</v>
      </c>
      <c r="D1870">
        <v>1</v>
      </c>
    </row>
    <row r="1871" spans="1:4" x14ac:dyDescent="0.4">
      <c r="A1871" s="3">
        <v>9990891</v>
      </c>
      <c r="B1871">
        <v>100</v>
      </c>
      <c r="C1871">
        <v>9990800</v>
      </c>
      <c r="D1871">
        <v>1</v>
      </c>
    </row>
    <row r="1872" spans="1:4" x14ac:dyDescent="0.4">
      <c r="A1872" s="3">
        <v>9990892</v>
      </c>
      <c r="B1872">
        <v>100</v>
      </c>
      <c r="C1872">
        <v>9990800</v>
      </c>
      <c r="D1872">
        <v>1</v>
      </c>
    </row>
    <row r="1873" spans="1:4" x14ac:dyDescent="0.4">
      <c r="A1873" s="3">
        <v>9990893</v>
      </c>
      <c r="B1873">
        <v>100</v>
      </c>
      <c r="C1873">
        <v>9990800</v>
      </c>
      <c r="D1873">
        <v>1</v>
      </c>
    </row>
    <row r="1874" spans="1:4" x14ac:dyDescent="0.4">
      <c r="A1874" s="3">
        <v>9990894</v>
      </c>
      <c r="B1874">
        <v>100</v>
      </c>
      <c r="C1874">
        <v>9990800</v>
      </c>
      <c r="D1874">
        <v>1</v>
      </c>
    </row>
    <row r="1875" spans="1:4" x14ac:dyDescent="0.4">
      <c r="A1875" s="3">
        <v>9990895</v>
      </c>
      <c r="B1875">
        <v>100</v>
      </c>
      <c r="C1875">
        <v>9990800</v>
      </c>
      <c r="D1875">
        <v>1</v>
      </c>
    </row>
    <row r="1876" spans="1:4" x14ac:dyDescent="0.4">
      <c r="A1876" s="3">
        <v>9990896</v>
      </c>
      <c r="B1876">
        <v>100</v>
      </c>
      <c r="C1876">
        <v>9990800</v>
      </c>
      <c r="D1876">
        <v>1</v>
      </c>
    </row>
    <row r="1877" spans="1:4" x14ac:dyDescent="0.4">
      <c r="A1877" s="3">
        <v>9990897</v>
      </c>
      <c r="B1877">
        <v>100</v>
      </c>
      <c r="C1877">
        <v>9990800</v>
      </c>
      <c r="D1877">
        <v>1</v>
      </c>
    </row>
    <row r="1878" spans="1:4" x14ac:dyDescent="0.4">
      <c r="A1878" s="3">
        <v>9990898</v>
      </c>
      <c r="B1878">
        <v>100</v>
      </c>
      <c r="C1878">
        <v>9990800</v>
      </c>
      <c r="D1878">
        <v>1</v>
      </c>
    </row>
    <row r="1879" spans="1:4" x14ac:dyDescent="0.4">
      <c r="A1879" s="3">
        <v>9990899</v>
      </c>
      <c r="B1879">
        <v>100</v>
      </c>
      <c r="C1879">
        <v>9990800</v>
      </c>
      <c r="D1879">
        <v>1</v>
      </c>
    </row>
    <row r="1880" spans="1:4" x14ac:dyDescent="0.4">
      <c r="A1880" s="3">
        <v>9990900</v>
      </c>
      <c r="B1880">
        <v>100</v>
      </c>
      <c r="C1880">
        <v>9990900</v>
      </c>
      <c r="D1880">
        <v>1</v>
      </c>
    </row>
    <row r="1881" spans="1:4" x14ac:dyDescent="0.4">
      <c r="A1881" s="3">
        <v>9990901</v>
      </c>
      <c r="B1881">
        <v>100</v>
      </c>
      <c r="C1881">
        <v>9990900</v>
      </c>
      <c r="D1881">
        <v>1</v>
      </c>
    </row>
    <row r="1882" spans="1:4" x14ac:dyDescent="0.4">
      <c r="A1882" s="3">
        <v>9990902</v>
      </c>
      <c r="B1882">
        <v>100</v>
      </c>
      <c r="C1882">
        <v>9990900</v>
      </c>
      <c r="D1882">
        <v>1</v>
      </c>
    </row>
    <row r="1883" spans="1:4" x14ac:dyDescent="0.4">
      <c r="A1883" s="3">
        <v>9990903</v>
      </c>
      <c r="B1883">
        <v>100</v>
      </c>
      <c r="C1883">
        <v>9990900</v>
      </c>
      <c r="D1883">
        <v>1</v>
      </c>
    </row>
    <row r="1884" spans="1:4" x14ac:dyDescent="0.4">
      <c r="A1884" s="3">
        <v>9990904</v>
      </c>
      <c r="B1884">
        <v>100</v>
      </c>
      <c r="C1884">
        <v>9990900</v>
      </c>
      <c r="D1884">
        <v>1</v>
      </c>
    </row>
    <row r="1885" spans="1:4" x14ac:dyDescent="0.4">
      <c r="A1885" s="3">
        <v>9990905</v>
      </c>
      <c r="B1885">
        <v>100</v>
      </c>
      <c r="C1885">
        <v>9990900</v>
      </c>
      <c r="D1885">
        <v>1</v>
      </c>
    </row>
    <row r="1886" spans="1:4" x14ac:dyDescent="0.4">
      <c r="A1886" s="3">
        <v>9990906</v>
      </c>
      <c r="B1886">
        <v>100</v>
      </c>
      <c r="C1886">
        <v>9990900</v>
      </c>
      <c r="D1886">
        <v>1</v>
      </c>
    </row>
    <row r="1887" spans="1:4" x14ac:dyDescent="0.4">
      <c r="A1887" s="3">
        <v>9990907</v>
      </c>
      <c r="B1887">
        <v>100</v>
      </c>
      <c r="C1887">
        <v>9990900</v>
      </c>
      <c r="D1887">
        <v>1</v>
      </c>
    </row>
    <row r="1888" spans="1:4" x14ac:dyDescent="0.4">
      <c r="A1888" s="3">
        <v>9990908</v>
      </c>
      <c r="B1888">
        <v>100</v>
      </c>
      <c r="C1888">
        <v>9990900</v>
      </c>
      <c r="D1888">
        <v>1</v>
      </c>
    </row>
    <row r="1889" spans="1:4" x14ac:dyDescent="0.4">
      <c r="A1889" s="3">
        <v>9990909</v>
      </c>
      <c r="B1889">
        <v>100</v>
      </c>
      <c r="C1889">
        <v>9990900</v>
      </c>
      <c r="D1889">
        <v>1</v>
      </c>
    </row>
    <row r="1890" spans="1:4" x14ac:dyDescent="0.4">
      <c r="A1890" s="3">
        <v>9990910</v>
      </c>
      <c r="B1890">
        <v>100</v>
      </c>
      <c r="C1890">
        <v>9990900</v>
      </c>
      <c r="D1890">
        <v>1</v>
      </c>
    </row>
    <row r="1891" spans="1:4" x14ac:dyDescent="0.4">
      <c r="A1891" s="3">
        <v>9990911</v>
      </c>
      <c r="B1891">
        <v>100</v>
      </c>
      <c r="C1891">
        <v>9990900</v>
      </c>
      <c r="D1891">
        <v>1</v>
      </c>
    </row>
    <row r="1892" spans="1:4" x14ac:dyDescent="0.4">
      <c r="A1892" s="3">
        <v>9990912</v>
      </c>
      <c r="B1892">
        <v>100</v>
      </c>
      <c r="C1892">
        <v>9990900</v>
      </c>
      <c r="D1892">
        <v>1</v>
      </c>
    </row>
    <row r="1893" spans="1:4" x14ac:dyDescent="0.4">
      <c r="A1893" s="3">
        <v>9990913</v>
      </c>
      <c r="B1893">
        <v>100</v>
      </c>
      <c r="C1893">
        <v>9990900</v>
      </c>
      <c r="D1893">
        <v>1</v>
      </c>
    </row>
    <row r="1894" spans="1:4" x14ac:dyDescent="0.4">
      <c r="A1894" s="3">
        <v>9990914</v>
      </c>
      <c r="B1894">
        <v>100</v>
      </c>
      <c r="C1894">
        <v>9990900</v>
      </c>
      <c r="D1894">
        <v>1</v>
      </c>
    </row>
    <row r="1895" spans="1:4" x14ac:dyDescent="0.4">
      <c r="A1895" s="3">
        <v>9990915</v>
      </c>
      <c r="B1895">
        <v>100</v>
      </c>
      <c r="C1895">
        <v>9990900</v>
      </c>
      <c r="D1895">
        <v>1</v>
      </c>
    </row>
    <row r="1896" spans="1:4" x14ac:dyDescent="0.4">
      <c r="A1896" s="3">
        <v>9990916</v>
      </c>
      <c r="B1896">
        <v>100</v>
      </c>
      <c r="C1896">
        <v>9990900</v>
      </c>
      <c r="D1896">
        <v>1</v>
      </c>
    </row>
    <row r="1897" spans="1:4" x14ac:dyDescent="0.4">
      <c r="A1897" s="3">
        <v>9990917</v>
      </c>
      <c r="B1897">
        <v>100</v>
      </c>
      <c r="C1897">
        <v>9990900</v>
      </c>
      <c r="D1897">
        <v>1</v>
      </c>
    </row>
    <row r="1898" spans="1:4" x14ac:dyDescent="0.4">
      <c r="A1898" s="3">
        <v>9990918</v>
      </c>
      <c r="B1898">
        <v>100</v>
      </c>
      <c r="C1898">
        <v>9990900</v>
      </c>
      <c r="D1898">
        <v>1</v>
      </c>
    </row>
    <row r="1899" spans="1:4" x14ac:dyDescent="0.4">
      <c r="A1899" s="3">
        <v>9990919</v>
      </c>
      <c r="B1899">
        <v>100</v>
      </c>
      <c r="C1899">
        <v>9990900</v>
      </c>
      <c r="D1899">
        <v>1</v>
      </c>
    </row>
    <row r="1900" spans="1:4" x14ac:dyDescent="0.4">
      <c r="A1900" s="3">
        <v>9990920</v>
      </c>
      <c r="B1900">
        <v>100</v>
      </c>
      <c r="C1900">
        <v>9990900</v>
      </c>
      <c r="D1900">
        <v>1</v>
      </c>
    </row>
    <row r="1901" spans="1:4" x14ac:dyDescent="0.4">
      <c r="A1901" s="3">
        <v>9990921</v>
      </c>
      <c r="B1901">
        <v>100</v>
      </c>
      <c r="C1901">
        <v>9990900</v>
      </c>
      <c r="D1901">
        <v>1</v>
      </c>
    </row>
    <row r="1902" spans="1:4" x14ac:dyDescent="0.4">
      <c r="A1902" s="3">
        <v>9990922</v>
      </c>
      <c r="B1902">
        <v>100</v>
      </c>
      <c r="C1902">
        <v>9990900</v>
      </c>
      <c r="D1902">
        <v>1</v>
      </c>
    </row>
    <row r="1903" spans="1:4" x14ac:dyDescent="0.4">
      <c r="A1903" s="3">
        <v>9990923</v>
      </c>
      <c r="B1903">
        <v>100</v>
      </c>
      <c r="C1903">
        <v>9990900</v>
      </c>
      <c r="D1903">
        <v>1</v>
      </c>
    </row>
    <row r="1904" spans="1:4" x14ac:dyDescent="0.4">
      <c r="A1904" s="3">
        <v>9990924</v>
      </c>
      <c r="B1904">
        <v>100</v>
      </c>
      <c r="C1904">
        <v>9990900</v>
      </c>
      <c r="D1904">
        <v>1</v>
      </c>
    </row>
    <row r="1905" spans="1:4" x14ac:dyDescent="0.4">
      <c r="A1905" s="3">
        <v>9990925</v>
      </c>
      <c r="B1905">
        <v>100</v>
      </c>
      <c r="C1905">
        <v>9990900</v>
      </c>
      <c r="D1905">
        <v>1</v>
      </c>
    </row>
    <row r="1906" spans="1:4" x14ac:dyDescent="0.4">
      <c r="A1906" s="3">
        <v>9990926</v>
      </c>
      <c r="B1906">
        <v>100</v>
      </c>
      <c r="C1906">
        <v>9990900</v>
      </c>
      <c r="D1906">
        <v>1</v>
      </c>
    </row>
    <row r="1907" spans="1:4" x14ac:dyDescent="0.4">
      <c r="A1907" s="3">
        <v>9990927</v>
      </c>
      <c r="B1907">
        <v>100</v>
      </c>
      <c r="C1907">
        <v>9990900</v>
      </c>
      <c r="D1907">
        <v>1</v>
      </c>
    </row>
    <row r="1908" spans="1:4" x14ac:dyDescent="0.4">
      <c r="A1908" s="3">
        <v>9990928</v>
      </c>
      <c r="B1908">
        <v>100</v>
      </c>
      <c r="C1908">
        <v>9990900</v>
      </c>
      <c r="D1908">
        <v>1</v>
      </c>
    </row>
    <row r="1909" spans="1:4" x14ac:dyDescent="0.4">
      <c r="A1909" s="3">
        <v>9990929</v>
      </c>
      <c r="B1909">
        <v>100</v>
      </c>
      <c r="C1909">
        <v>9990900</v>
      </c>
      <c r="D1909">
        <v>1</v>
      </c>
    </row>
    <row r="1910" spans="1:4" x14ac:dyDescent="0.4">
      <c r="A1910" s="3">
        <v>9990930</v>
      </c>
      <c r="B1910">
        <v>100</v>
      </c>
      <c r="C1910">
        <v>9990900</v>
      </c>
      <c r="D1910">
        <v>1</v>
      </c>
    </row>
    <row r="1911" spans="1:4" x14ac:dyDescent="0.4">
      <c r="A1911" s="3">
        <v>9990931</v>
      </c>
      <c r="B1911">
        <v>100</v>
      </c>
      <c r="C1911">
        <v>9990900</v>
      </c>
      <c r="D1911">
        <v>1</v>
      </c>
    </row>
    <row r="1912" spans="1:4" x14ac:dyDescent="0.4">
      <c r="A1912" s="3">
        <v>9990932</v>
      </c>
      <c r="B1912">
        <v>100</v>
      </c>
      <c r="C1912">
        <v>9990900</v>
      </c>
      <c r="D1912">
        <v>1</v>
      </c>
    </row>
    <row r="1913" spans="1:4" x14ac:dyDescent="0.4">
      <c r="A1913" s="3">
        <v>9990933</v>
      </c>
      <c r="B1913">
        <v>100</v>
      </c>
      <c r="C1913">
        <v>9990900</v>
      </c>
      <c r="D1913">
        <v>1</v>
      </c>
    </row>
    <row r="1914" spans="1:4" x14ac:dyDescent="0.4">
      <c r="A1914" s="3">
        <v>9990934</v>
      </c>
      <c r="B1914">
        <v>100</v>
      </c>
      <c r="C1914">
        <v>9990900</v>
      </c>
      <c r="D1914">
        <v>1</v>
      </c>
    </row>
    <row r="1915" spans="1:4" x14ac:dyDescent="0.4">
      <c r="A1915" s="3">
        <v>9990935</v>
      </c>
      <c r="B1915">
        <v>100</v>
      </c>
      <c r="C1915">
        <v>9990900</v>
      </c>
      <c r="D1915">
        <v>1</v>
      </c>
    </row>
    <row r="1916" spans="1:4" x14ac:dyDescent="0.4">
      <c r="A1916" s="3">
        <v>9990936</v>
      </c>
      <c r="B1916">
        <v>100</v>
      </c>
      <c r="C1916">
        <v>9990900</v>
      </c>
      <c r="D1916">
        <v>1</v>
      </c>
    </row>
    <row r="1917" spans="1:4" x14ac:dyDescent="0.4">
      <c r="A1917" s="3">
        <v>9990937</v>
      </c>
      <c r="B1917">
        <v>100</v>
      </c>
      <c r="C1917">
        <v>9990900</v>
      </c>
      <c r="D1917">
        <v>1</v>
      </c>
    </row>
    <row r="1918" spans="1:4" x14ac:dyDescent="0.4">
      <c r="A1918" s="3">
        <v>9990938</v>
      </c>
      <c r="B1918">
        <v>100</v>
      </c>
      <c r="C1918">
        <v>9990900</v>
      </c>
      <c r="D1918">
        <v>1</v>
      </c>
    </row>
    <row r="1919" spans="1:4" x14ac:dyDescent="0.4">
      <c r="A1919" s="3">
        <v>9990939</v>
      </c>
      <c r="B1919">
        <v>100</v>
      </c>
      <c r="C1919">
        <v>9990900</v>
      </c>
      <c r="D1919">
        <v>1</v>
      </c>
    </row>
    <row r="1920" spans="1:4" x14ac:dyDescent="0.4">
      <c r="A1920" s="3">
        <v>9990940</v>
      </c>
      <c r="B1920">
        <v>100</v>
      </c>
      <c r="C1920">
        <v>9990900</v>
      </c>
      <c r="D1920">
        <v>1</v>
      </c>
    </row>
    <row r="1921" spans="1:4" x14ac:dyDescent="0.4">
      <c r="A1921" s="3">
        <v>9990941</v>
      </c>
      <c r="B1921">
        <v>100</v>
      </c>
      <c r="C1921">
        <v>9990900</v>
      </c>
      <c r="D1921">
        <v>1</v>
      </c>
    </row>
    <row r="1922" spans="1:4" x14ac:dyDescent="0.4">
      <c r="A1922" s="3">
        <v>9990942</v>
      </c>
      <c r="B1922">
        <v>100</v>
      </c>
      <c r="C1922">
        <v>9990900</v>
      </c>
      <c r="D1922">
        <v>1</v>
      </c>
    </row>
    <row r="1923" spans="1:4" x14ac:dyDescent="0.4">
      <c r="A1923" s="3">
        <v>9990943</v>
      </c>
      <c r="B1923">
        <v>100</v>
      </c>
      <c r="C1923">
        <v>9990900</v>
      </c>
      <c r="D1923">
        <v>1</v>
      </c>
    </row>
    <row r="1924" spans="1:4" x14ac:dyDescent="0.4">
      <c r="A1924" s="3">
        <v>9990944</v>
      </c>
      <c r="B1924">
        <v>100</v>
      </c>
      <c r="C1924">
        <v>9990900</v>
      </c>
      <c r="D1924">
        <v>1</v>
      </c>
    </row>
    <row r="1925" spans="1:4" x14ac:dyDescent="0.4">
      <c r="A1925" s="3">
        <v>9990945</v>
      </c>
      <c r="B1925">
        <v>100</v>
      </c>
      <c r="C1925">
        <v>9990900</v>
      </c>
      <c r="D1925">
        <v>1</v>
      </c>
    </row>
    <row r="1926" spans="1:4" x14ac:dyDescent="0.4">
      <c r="A1926" s="3">
        <v>9990946</v>
      </c>
      <c r="B1926">
        <v>100</v>
      </c>
      <c r="C1926">
        <v>9990900</v>
      </c>
      <c r="D1926">
        <v>1</v>
      </c>
    </row>
    <row r="1927" spans="1:4" x14ac:dyDescent="0.4">
      <c r="A1927" s="3">
        <v>9990947</v>
      </c>
      <c r="B1927">
        <v>100</v>
      </c>
      <c r="C1927">
        <v>9990900</v>
      </c>
      <c r="D1927">
        <v>1</v>
      </c>
    </row>
    <row r="1928" spans="1:4" x14ac:dyDescent="0.4">
      <c r="A1928" s="3">
        <v>9990948</v>
      </c>
      <c r="B1928">
        <v>100</v>
      </c>
      <c r="C1928">
        <v>9990900</v>
      </c>
      <c r="D1928">
        <v>1</v>
      </c>
    </row>
    <row r="1929" spans="1:4" x14ac:dyDescent="0.4">
      <c r="A1929" s="3">
        <v>9990949</v>
      </c>
      <c r="B1929">
        <v>100</v>
      </c>
      <c r="C1929">
        <v>9990900</v>
      </c>
      <c r="D1929">
        <v>1</v>
      </c>
    </row>
    <row r="1930" spans="1:4" x14ac:dyDescent="0.4">
      <c r="A1930" s="3">
        <v>9990950</v>
      </c>
      <c r="B1930">
        <v>100</v>
      </c>
      <c r="C1930">
        <v>9990900</v>
      </c>
      <c r="D1930">
        <v>1</v>
      </c>
    </row>
    <row r="1931" spans="1:4" x14ac:dyDescent="0.4">
      <c r="A1931" s="3">
        <v>9990951</v>
      </c>
      <c r="B1931">
        <v>100</v>
      </c>
      <c r="C1931">
        <v>9990900</v>
      </c>
      <c r="D1931">
        <v>1</v>
      </c>
    </row>
    <row r="1932" spans="1:4" x14ac:dyDescent="0.4">
      <c r="A1932" s="3">
        <v>9990952</v>
      </c>
      <c r="B1932">
        <v>100</v>
      </c>
      <c r="C1932">
        <v>9990900</v>
      </c>
      <c r="D1932">
        <v>1</v>
      </c>
    </row>
    <row r="1933" spans="1:4" x14ac:dyDescent="0.4">
      <c r="A1933" s="3">
        <v>9990953</v>
      </c>
      <c r="B1933">
        <v>100</v>
      </c>
      <c r="C1933">
        <v>9990900</v>
      </c>
      <c r="D1933">
        <v>1</v>
      </c>
    </row>
    <row r="1934" spans="1:4" x14ac:dyDescent="0.4">
      <c r="A1934" s="3">
        <v>9990954</v>
      </c>
      <c r="B1934">
        <v>100</v>
      </c>
      <c r="C1934">
        <v>9990900</v>
      </c>
      <c r="D1934">
        <v>1</v>
      </c>
    </row>
    <row r="1935" spans="1:4" x14ac:dyDescent="0.4">
      <c r="A1935" s="3">
        <v>9990955</v>
      </c>
      <c r="B1935">
        <v>100</v>
      </c>
      <c r="C1935">
        <v>9990900</v>
      </c>
      <c r="D1935">
        <v>1</v>
      </c>
    </row>
    <row r="1936" spans="1:4" x14ac:dyDescent="0.4">
      <c r="A1936" s="3">
        <v>9990956</v>
      </c>
      <c r="B1936">
        <v>100</v>
      </c>
      <c r="C1936">
        <v>9990900</v>
      </c>
      <c r="D1936">
        <v>1</v>
      </c>
    </row>
    <row r="1937" spans="1:4" x14ac:dyDescent="0.4">
      <c r="A1937" s="3">
        <v>9990957</v>
      </c>
      <c r="B1937">
        <v>100</v>
      </c>
      <c r="C1937">
        <v>9990900</v>
      </c>
      <c r="D1937">
        <v>1</v>
      </c>
    </row>
    <row r="1938" spans="1:4" x14ac:dyDescent="0.4">
      <c r="A1938" s="3">
        <v>9990958</v>
      </c>
      <c r="B1938">
        <v>100</v>
      </c>
      <c r="C1938">
        <v>9990900</v>
      </c>
      <c r="D1938">
        <v>1</v>
      </c>
    </row>
    <row r="1939" spans="1:4" x14ac:dyDescent="0.4">
      <c r="A1939" s="3">
        <v>9990959</v>
      </c>
      <c r="B1939">
        <v>100</v>
      </c>
      <c r="C1939">
        <v>9990900</v>
      </c>
      <c r="D1939">
        <v>1</v>
      </c>
    </row>
    <row r="1940" spans="1:4" x14ac:dyDescent="0.4">
      <c r="A1940" s="3">
        <v>9990960</v>
      </c>
      <c r="B1940">
        <v>100</v>
      </c>
      <c r="C1940">
        <v>9990900</v>
      </c>
      <c r="D1940">
        <v>1</v>
      </c>
    </row>
    <row r="1941" spans="1:4" x14ac:dyDescent="0.4">
      <c r="A1941" s="3">
        <v>9990961</v>
      </c>
      <c r="B1941">
        <v>100</v>
      </c>
      <c r="C1941">
        <v>9990900</v>
      </c>
      <c r="D1941">
        <v>1</v>
      </c>
    </row>
    <row r="1942" spans="1:4" x14ac:dyDescent="0.4">
      <c r="A1942" s="3">
        <v>9990962</v>
      </c>
      <c r="B1942">
        <v>100</v>
      </c>
      <c r="C1942">
        <v>9990900</v>
      </c>
      <c r="D1942">
        <v>1</v>
      </c>
    </row>
    <row r="1943" spans="1:4" x14ac:dyDescent="0.4">
      <c r="A1943" s="3">
        <v>9990963</v>
      </c>
      <c r="B1943">
        <v>100</v>
      </c>
      <c r="C1943">
        <v>9990900</v>
      </c>
      <c r="D1943">
        <v>1</v>
      </c>
    </row>
    <row r="1944" spans="1:4" x14ac:dyDescent="0.4">
      <c r="A1944" s="3">
        <v>9990964</v>
      </c>
      <c r="B1944">
        <v>100</v>
      </c>
      <c r="C1944">
        <v>9990900</v>
      </c>
      <c r="D1944">
        <v>1</v>
      </c>
    </row>
    <row r="1945" spans="1:4" x14ac:dyDescent="0.4">
      <c r="A1945" s="3">
        <v>9990965</v>
      </c>
      <c r="B1945">
        <v>100</v>
      </c>
      <c r="C1945">
        <v>9990900</v>
      </c>
      <c r="D1945">
        <v>1</v>
      </c>
    </row>
    <row r="1946" spans="1:4" x14ac:dyDescent="0.4">
      <c r="A1946" s="3">
        <v>9990966</v>
      </c>
      <c r="B1946">
        <v>100</v>
      </c>
      <c r="C1946">
        <v>9990900</v>
      </c>
      <c r="D1946">
        <v>1</v>
      </c>
    </row>
    <row r="1947" spans="1:4" x14ac:dyDescent="0.4">
      <c r="A1947" s="3">
        <v>9990967</v>
      </c>
      <c r="B1947">
        <v>100</v>
      </c>
      <c r="C1947">
        <v>9990900</v>
      </c>
      <c r="D1947">
        <v>1</v>
      </c>
    </row>
    <row r="1948" spans="1:4" x14ac:dyDescent="0.4">
      <c r="A1948" s="3">
        <v>9990968</v>
      </c>
      <c r="B1948">
        <v>100</v>
      </c>
      <c r="C1948">
        <v>9990900</v>
      </c>
      <c r="D1948">
        <v>1</v>
      </c>
    </row>
    <row r="1949" spans="1:4" x14ac:dyDescent="0.4">
      <c r="A1949" s="3">
        <v>9990969</v>
      </c>
      <c r="B1949">
        <v>100</v>
      </c>
      <c r="C1949">
        <v>9990900</v>
      </c>
      <c r="D1949">
        <v>1</v>
      </c>
    </row>
    <row r="1950" spans="1:4" x14ac:dyDescent="0.4">
      <c r="A1950" s="3">
        <v>9990970</v>
      </c>
      <c r="B1950">
        <v>100</v>
      </c>
      <c r="C1950">
        <v>9990900</v>
      </c>
      <c r="D1950">
        <v>1</v>
      </c>
    </row>
    <row r="1951" spans="1:4" x14ac:dyDescent="0.4">
      <c r="A1951" s="3">
        <v>9990971</v>
      </c>
      <c r="B1951">
        <v>100</v>
      </c>
      <c r="C1951">
        <v>9990900</v>
      </c>
      <c r="D1951">
        <v>1</v>
      </c>
    </row>
    <row r="1952" spans="1:4" x14ac:dyDescent="0.4">
      <c r="A1952" s="3">
        <v>9990972</v>
      </c>
      <c r="B1952">
        <v>100</v>
      </c>
      <c r="C1952">
        <v>9990900</v>
      </c>
      <c r="D1952">
        <v>1</v>
      </c>
    </row>
    <row r="1953" spans="1:4" x14ac:dyDescent="0.4">
      <c r="A1953" s="3">
        <v>9990973</v>
      </c>
      <c r="B1953">
        <v>100</v>
      </c>
      <c r="C1953">
        <v>9990900</v>
      </c>
      <c r="D1953">
        <v>1</v>
      </c>
    </row>
    <row r="1954" spans="1:4" x14ac:dyDescent="0.4">
      <c r="A1954" s="3">
        <v>9990974</v>
      </c>
      <c r="B1954">
        <v>100</v>
      </c>
      <c r="C1954">
        <v>9990900</v>
      </c>
      <c r="D1954">
        <v>1</v>
      </c>
    </row>
    <row r="1955" spans="1:4" x14ac:dyDescent="0.4">
      <c r="A1955" s="3">
        <v>9990975</v>
      </c>
      <c r="B1955">
        <v>100</v>
      </c>
      <c r="C1955">
        <v>9990900</v>
      </c>
      <c r="D1955">
        <v>1</v>
      </c>
    </row>
    <row r="1956" spans="1:4" x14ac:dyDescent="0.4">
      <c r="A1956" s="3">
        <v>9990976</v>
      </c>
      <c r="B1956">
        <v>100</v>
      </c>
      <c r="C1956">
        <v>9990900</v>
      </c>
      <c r="D1956">
        <v>1</v>
      </c>
    </row>
    <row r="1957" spans="1:4" x14ac:dyDescent="0.4">
      <c r="A1957" s="3">
        <v>9990977</v>
      </c>
      <c r="B1957">
        <v>100</v>
      </c>
      <c r="C1957">
        <v>9990900</v>
      </c>
      <c r="D1957">
        <v>1</v>
      </c>
    </row>
    <row r="1958" spans="1:4" x14ac:dyDescent="0.4">
      <c r="A1958" s="3">
        <v>9990978</v>
      </c>
      <c r="B1958">
        <v>100</v>
      </c>
      <c r="C1958">
        <v>9990900</v>
      </c>
      <c r="D1958">
        <v>1</v>
      </c>
    </row>
    <row r="1959" spans="1:4" x14ac:dyDescent="0.4">
      <c r="A1959" s="3">
        <v>9990979</v>
      </c>
      <c r="B1959">
        <v>100</v>
      </c>
      <c r="C1959">
        <v>9990900</v>
      </c>
      <c r="D1959">
        <v>1</v>
      </c>
    </row>
    <row r="1960" spans="1:4" x14ac:dyDescent="0.4">
      <c r="A1960" s="3">
        <v>9990980</v>
      </c>
      <c r="B1960">
        <v>100</v>
      </c>
      <c r="C1960">
        <v>9990900</v>
      </c>
      <c r="D1960">
        <v>1</v>
      </c>
    </row>
    <row r="1961" spans="1:4" x14ac:dyDescent="0.4">
      <c r="A1961" s="3">
        <v>9990981</v>
      </c>
      <c r="B1961">
        <v>100</v>
      </c>
      <c r="C1961">
        <v>9990900</v>
      </c>
      <c r="D1961">
        <v>1</v>
      </c>
    </row>
    <row r="1962" spans="1:4" x14ac:dyDescent="0.4">
      <c r="A1962" s="3">
        <v>9990982</v>
      </c>
      <c r="B1962">
        <v>100</v>
      </c>
      <c r="C1962">
        <v>9990900</v>
      </c>
      <c r="D1962">
        <v>1</v>
      </c>
    </row>
    <row r="1963" spans="1:4" x14ac:dyDescent="0.4">
      <c r="A1963" s="3">
        <v>9990983</v>
      </c>
      <c r="B1963">
        <v>100</v>
      </c>
      <c r="C1963">
        <v>9990900</v>
      </c>
      <c r="D1963">
        <v>1</v>
      </c>
    </row>
    <row r="1964" spans="1:4" x14ac:dyDescent="0.4">
      <c r="A1964" s="3">
        <v>9990984</v>
      </c>
      <c r="B1964">
        <v>100</v>
      </c>
      <c r="C1964">
        <v>9990900</v>
      </c>
      <c r="D1964">
        <v>1</v>
      </c>
    </row>
    <row r="1965" spans="1:4" x14ac:dyDescent="0.4">
      <c r="A1965" s="3">
        <v>9990985</v>
      </c>
      <c r="B1965">
        <v>100</v>
      </c>
      <c r="C1965">
        <v>9990900</v>
      </c>
      <c r="D1965">
        <v>1</v>
      </c>
    </row>
    <row r="1966" spans="1:4" x14ac:dyDescent="0.4">
      <c r="A1966" s="3">
        <v>9990986</v>
      </c>
      <c r="B1966">
        <v>100</v>
      </c>
      <c r="C1966">
        <v>9990900</v>
      </c>
      <c r="D1966">
        <v>1</v>
      </c>
    </row>
    <row r="1967" spans="1:4" x14ac:dyDescent="0.4">
      <c r="A1967" s="3">
        <v>9990987</v>
      </c>
      <c r="B1967">
        <v>100</v>
      </c>
      <c r="C1967">
        <v>9990900</v>
      </c>
      <c r="D1967">
        <v>1</v>
      </c>
    </row>
    <row r="1968" spans="1:4" x14ac:dyDescent="0.4">
      <c r="A1968" s="3">
        <v>9990988</v>
      </c>
      <c r="B1968">
        <v>100</v>
      </c>
      <c r="C1968">
        <v>9990900</v>
      </c>
      <c r="D1968">
        <v>1</v>
      </c>
    </row>
    <row r="1969" spans="1:4" x14ac:dyDescent="0.4">
      <c r="A1969" s="3">
        <v>9990989</v>
      </c>
      <c r="B1969">
        <v>100</v>
      </c>
      <c r="C1969">
        <v>9990900</v>
      </c>
      <c r="D1969">
        <v>1</v>
      </c>
    </row>
    <row r="1970" spans="1:4" x14ac:dyDescent="0.4">
      <c r="A1970" s="3">
        <v>9990990</v>
      </c>
      <c r="B1970">
        <v>100</v>
      </c>
      <c r="C1970">
        <v>9990900</v>
      </c>
      <c r="D1970">
        <v>1</v>
      </c>
    </row>
    <row r="1971" spans="1:4" x14ac:dyDescent="0.4">
      <c r="A1971" s="3">
        <v>9990991</v>
      </c>
      <c r="B1971">
        <v>100</v>
      </c>
      <c r="C1971">
        <v>9990900</v>
      </c>
      <c r="D1971">
        <v>1</v>
      </c>
    </row>
    <row r="1972" spans="1:4" x14ac:dyDescent="0.4">
      <c r="A1972" s="3">
        <v>9990992</v>
      </c>
      <c r="B1972">
        <v>100</v>
      </c>
      <c r="C1972">
        <v>9990900</v>
      </c>
      <c r="D1972">
        <v>1</v>
      </c>
    </row>
    <row r="1973" spans="1:4" x14ac:dyDescent="0.4">
      <c r="A1973" s="3">
        <v>9990993</v>
      </c>
      <c r="B1973">
        <v>100</v>
      </c>
      <c r="C1973">
        <v>9990900</v>
      </c>
      <c r="D1973">
        <v>1</v>
      </c>
    </row>
    <row r="1974" spans="1:4" x14ac:dyDescent="0.4">
      <c r="A1974" s="3">
        <v>9990994</v>
      </c>
      <c r="B1974">
        <v>100</v>
      </c>
      <c r="C1974">
        <v>9990900</v>
      </c>
      <c r="D1974">
        <v>1</v>
      </c>
    </row>
    <row r="1975" spans="1:4" x14ac:dyDescent="0.4">
      <c r="A1975" s="3">
        <v>9990995</v>
      </c>
      <c r="B1975">
        <v>100</v>
      </c>
      <c r="C1975">
        <v>9990900</v>
      </c>
      <c r="D1975">
        <v>1</v>
      </c>
    </row>
    <row r="1976" spans="1:4" x14ac:dyDescent="0.4">
      <c r="A1976" s="3">
        <v>9990996</v>
      </c>
      <c r="B1976">
        <v>100</v>
      </c>
      <c r="C1976">
        <v>9990900</v>
      </c>
      <c r="D1976">
        <v>1</v>
      </c>
    </row>
    <row r="1977" spans="1:4" x14ac:dyDescent="0.4">
      <c r="A1977" s="3">
        <v>9990997</v>
      </c>
      <c r="B1977">
        <v>100</v>
      </c>
      <c r="C1977">
        <v>9990900</v>
      </c>
      <c r="D1977">
        <v>1</v>
      </c>
    </row>
    <row r="1978" spans="1:4" x14ac:dyDescent="0.4">
      <c r="A1978" s="3">
        <v>9990998</v>
      </c>
      <c r="B1978">
        <v>100</v>
      </c>
      <c r="C1978">
        <v>9990900</v>
      </c>
      <c r="D1978">
        <v>1</v>
      </c>
    </row>
    <row r="1979" spans="1:4" x14ac:dyDescent="0.4">
      <c r="A1979" s="3">
        <v>9990999</v>
      </c>
      <c r="B1979">
        <v>100</v>
      </c>
      <c r="C1979">
        <v>9990900</v>
      </c>
      <c r="D1979">
        <v>1</v>
      </c>
    </row>
    <row r="1980" spans="1:4" x14ac:dyDescent="0.4">
      <c r="A1980" s="3">
        <v>9991000</v>
      </c>
      <c r="B1980">
        <v>100</v>
      </c>
      <c r="C1980">
        <v>9991000</v>
      </c>
      <c r="D1980">
        <v>1</v>
      </c>
    </row>
    <row r="1981" spans="1:4" x14ac:dyDescent="0.4">
      <c r="A1981" s="3">
        <v>9991001</v>
      </c>
      <c r="B1981">
        <v>100</v>
      </c>
      <c r="C1981">
        <v>9991000</v>
      </c>
      <c r="D1981">
        <v>1</v>
      </c>
    </row>
    <row r="1982" spans="1:4" x14ac:dyDescent="0.4">
      <c r="A1982" s="3">
        <v>9991002</v>
      </c>
      <c r="B1982">
        <v>100</v>
      </c>
      <c r="C1982">
        <v>9991000</v>
      </c>
      <c r="D1982">
        <v>1</v>
      </c>
    </row>
    <row r="1983" spans="1:4" x14ac:dyDescent="0.4">
      <c r="A1983" s="3">
        <v>9991003</v>
      </c>
      <c r="B1983">
        <v>100</v>
      </c>
      <c r="C1983">
        <v>9991000</v>
      </c>
      <c r="D1983">
        <v>1</v>
      </c>
    </row>
    <row r="1984" spans="1:4" x14ac:dyDescent="0.4">
      <c r="A1984" s="3">
        <v>9991004</v>
      </c>
      <c r="B1984">
        <v>100</v>
      </c>
      <c r="C1984">
        <v>9991000</v>
      </c>
      <c r="D1984">
        <v>1</v>
      </c>
    </row>
    <row r="1985" spans="1:4" x14ac:dyDescent="0.4">
      <c r="A1985" s="3">
        <v>9991005</v>
      </c>
      <c r="B1985">
        <v>100</v>
      </c>
      <c r="C1985">
        <v>9991000</v>
      </c>
      <c r="D1985">
        <v>1</v>
      </c>
    </row>
    <row r="1986" spans="1:4" x14ac:dyDescent="0.4">
      <c r="A1986" s="3">
        <v>9991006</v>
      </c>
      <c r="B1986">
        <v>100</v>
      </c>
      <c r="C1986">
        <v>9991000</v>
      </c>
      <c r="D1986">
        <v>1</v>
      </c>
    </row>
    <row r="1987" spans="1:4" x14ac:dyDescent="0.4">
      <c r="A1987" s="3">
        <v>9991007</v>
      </c>
      <c r="B1987">
        <v>100</v>
      </c>
      <c r="C1987">
        <v>9991000</v>
      </c>
      <c r="D1987">
        <v>1</v>
      </c>
    </row>
    <row r="1988" spans="1:4" x14ac:dyDescent="0.4">
      <c r="A1988" s="3">
        <v>9991008</v>
      </c>
      <c r="B1988">
        <v>100</v>
      </c>
      <c r="C1988">
        <v>9991000</v>
      </c>
      <c r="D1988">
        <v>1</v>
      </c>
    </row>
    <row r="1989" spans="1:4" x14ac:dyDescent="0.4">
      <c r="A1989" s="3">
        <v>9991009</v>
      </c>
      <c r="B1989">
        <v>100</v>
      </c>
      <c r="C1989">
        <v>9991000</v>
      </c>
      <c r="D1989">
        <v>1</v>
      </c>
    </row>
    <row r="1990" spans="1:4" x14ac:dyDescent="0.4">
      <c r="A1990" s="3">
        <v>9991010</v>
      </c>
      <c r="B1990">
        <v>100</v>
      </c>
      <c r="C1990">
        <v>9991000</v>
      </c>
      <c r="D1990">
        <v>1</v>
      </c>
    </row>
    <row r="1991" spans="1:4" x14ac:dyDescent="0.4">
      <c r="A1991" s="3">
        <v>9991011</v>
      </c>
      <c r="B1991">
        <v>100</v>
      </c>
      <c r="C1991">
        <v>9991000</v>
      </c>
      <c r="D1991">
        <v>1</v>
      </c>
    </row>
    <row r="1992" spans="1:4" x14ac:dyDescent="0.4">
      <c r="A1992" s="3">
        <v>9991012</v>
      </c>
      <c r="B1992">
        <v>100</v>
      </c>
      <c r="C1992">
        <v>9991000</v>
      </c>
      <c r="D1992">
        <v>1</v>
      </c>
    </row>
    <row r="1993" spans="1:4" x14ac:dyDescent="0.4">
      <c r="A1993" s="3">
        <v>9991013</v>
      </c>
      <c r="B1993">
        <v>100</v>
      </c>
      <c r="C1993">
        <v>9991000</v>
      </c>
      <c r="D1993">
        <v>1</v>
      </c>
    </row>
    <row r="1994" spans="1:4" x14ac:dyDescent="0.4">
      <c r="A1994" s="3">
        <v>9991014</v>
      </c>
      <c r="B1994">
        <v>100</v>
      </c>
      <c r="C1994">
        <v>9991000</v>
      </c>
      <c r="D1994">
        <v>1</v>
      </c>
    </row>
    <row r="1995" spans="1:4" x14ac:dyDescent="0.4">
      <c r="A1995" s="3">
        <v>9991015</v>
      </c>
      <c r="B1995">
        <v>100</v>
      </c>
      <c r="C1995">
        <v>9991000</v>
      </c>
      <c r="D1995">
        <v>1</v>
      </c>
    </row>
    <row r="1996" spans="1:4" x14ac:dyDescent="0.4">
      <c r="A1996" s="3">
        <v>9991016</v>
      </c>
      <c r="B1996">
        <v>100</v>
      </c>
      <c r="C1996">
        <v>9991000</v>
      </c>
      <c r="D1996">
        <v>1</v>
      </c>
    </row>
    <row r="1997" spans="1:4" x14ac:dyDescent="0.4">
      <c r="A1997" s="3">
        <v>9991017</v>
      </c>
      <c r="B1997">
        <v>100</v>
      </c>
      <c r="C1997">
        <v>9991000</v>
      </c>
      <c r="D1997">
        <v>1</v>
      </c>
    </row>
    <row r="1998" spans="1:4" x14ac:dyDescent="0.4">
      <c r="A1998" s="3">
        <v>9991018</v>
      </c>
      <c r="B1998">
        <v>100</v>
      </c>
      <c r="C1998">
        <v>9991000</v>
      </c>
      <c r="D1998">
        <v>1</v>
      </c>
    </row>
    <row r="1999" spans="1:4" x14ac:dyDescent="0.4">
      <c r="A1999" s="3">
        <v>9991019</v>
      </c>
      <c r="B1999">
        <v>100</v>
      </c>
      <c r="C1999">
        <v>9991000</v>
      </c>
      <c r="D1999">
        <v>1</v>
      </c>
    </row>
    <row r="2000" spans="1:4" x14ac:dyDescent="0.4">
      <c r="A2000" s="3">
        <v>9991020</v>
      </c>
      <c r="B2000">
        <v>100</v>
      </c>
      <c r="C2000">
        <v>9991000</v>
      </c>
      <c r="D2000">
        <v>1</v>
      </c>
    </row>
    <row r="2001" spans="1:4" x14ac:dyDescent="0.4">
      <c r="A2001" s="3">
        <v>9991021</v>
      </c>
      <c r="B2001">
        <v>100</v>
      </c>
      <c r="C2001">
        <v>9991000</v>
      </c>
      <c r="D2001">
        <v>1</v>
      </c>
    </row>
    <row r="2002" spans="1:4" x14ac:dyDescent="0.4">
      <c r="A2002" s="3">
        <v>9991022</v>
      </c>
      <c r="B2002">
        <v>100</v>
      </c>
      <c r="C2002">
        <v>9991000</v>
      </c>
      <c r="D2002">
        <v>1</v>
      </c>
    </row>
    <row r="2003" spans="1:4" x14ac:dyDescent="0.4">
      <c r="A2003" s="3">
        <v>9991023</v>
      </c>
      <c r="B2003">
        <v>100</v>
      </c>
      <c r="C2003">
        <v>9991000</v>
      </c>
      <c r="D2003">
        <v>1</v>
      </c>
    </row>
    <row r="2004" spans="1:4" x14ac:dyDescent="0.4">
      <c r="A2004" s="3">
        <v>9991024</v>
      </c>
      <c r="B2004">
        <v>100</v>
      </c>
      <c r="C2004">
        <v>9991000</v>
      </c>
      <c r="D2004">
        <v>1</v>
      </c>
    </row>
    <row r="2005" spans="1:4" x14ac:dyDescent="0.4">
      <c r="A2005" s="3">
        <v>9991025</v>
      </c>
      <c r="B2005">
        <v>100</v>
      </c>
      <c r="C2005">
        <v>9991000</v>
      </c>
      <c r="D2005">
        <v>1</v>
      </c>
    </row>
    <row r="2006" spans="1:4" x14ac:dyDescent="0.4">
      <c r="A2006" s="3">
        <v>9991026</v>
      </c>
      <c r="B2006">
        <v>100</v>
      </c>
      <c r="C2006">
        <v>9991000</v>
      </c>
      <c r="D2006">
        <v>1</v>
      </c>
    </row>
    <row r="2007" spans="1:4" x14ac:dyDescent="0.4">
      <c r="A2007" s="3">
        <v>9991027</v>
      </c>
      <c r="B2007">
        <v>100</v>
      </c>
      <c r="C2007">
        <v>9991000</v>
      </c>
      <c r="D2007">
        <v>1</v>
      </c>
    </row>
    <row r="2008" spans="1:4" x14ac:dyDescent="0.4">
      <c r="A2008" s="3">
        <v>9991028</v>
      </c>
      <c r="B2008">
        <v>100</v>
      </c>
      <c r="C2008">
        <v>9991000</v>
      </c>
      <c r="D2008">
        <v>1</v>
      </c>
    </row>
    <row r="2009" spans="1:4" x14ac:dyDescent="0.4">
      <c r="A2009" s="3">
        <v>9991029</v>
      </c>
      <c r="B2009">
        <v>100</v>
      </c>
      <c r="C2009">
        <v>9991000</v>
      </c>
      <c r="D2009">
        <v>1</v>
      </c>
    </row>
    <row r="2010" spans="1:4" x14ac:dyDescent="0.4">
      <c r="A2010" s="3">
        <v>9991030</v>
      </c>
      <c r="B2010">
        <v>100</v>
      </c>
      <c r="C2010">
        <v>9991000</v>
      </c>
      <c r="D2010">
        <v>1</v>
      </c>
    </row>
    <row r="2011" spans="1:4" x14ac:dyDescent="0.4">
      <c r="A2011" s="3">
        <v>9991031</v>
      </c>
      <c r="B2011">
        <v>100</v>
      </c>
      <c r="C2011">
        <v>9991000</v>
      </c>
      <c r="D2011">
        <v>1</v>
      </c>
    </row>
    <row r="2012" spans="1:4" x14ac:dyDescent="0.4">
      <c r="A2012" s="3">
        <v>9991032</v>
      </c>
      <c r="B2012">
        <v>100</v>
      </c>
      <c r="C2012">
        <v>9991000</v>
      </c>
      <c r="D2012">
        <v>1</v>
      </c>
    </row>
    <row r="2013" spans="1:4" x14ac:dyDescent="0.4">
      <c r="A2013" s="3">
        <v>9991033</v>
      </c>
      <c r="B2013">
        <v>100</v>
      </c>
      <c r="C2013">
        <v>9991000</v>
      </c>
      <c r="D2013">
        <v>1</v>
      </c>
    </row>
    <row r="2014" spans="1:4" x14ac:dyDescent="0.4">
      <c r="A2014" s="3">
        <v>9991034</v>
      </c>
      <c r="B2014">
        <v>100</v>
      </c>
      <c r="C2014">
        <v>9991000</v>
      </c>
      <c r="D2014">
        <v>1</v>
      </c>
    </row>
    <row r="2015" spans="1:4" x14ac:dyDescent="0.4">
      <c r="A2015" s="3">
        <v>9991035</v>
      </c>
      <c r="B2015">
        <v>100</v>
      </c>
      <c r="C2015">
        <v>9991000</v>
      </c>
      <c r="D2015">
        <v>1</v>
      </c>
    </row>
    <row r="2016" spans="1:4" x14ac:dyDescent="0.4">
      <c r="A2016" s="3">
        <v>9991036</v>
      </c>
      <c r="B2016">
        <v>100</v>
      </c>
      <c r="C2016">
        <v>9991000</v>
      </c>
      <c r="D2016">
        <v>1</v>
      </c>
    </row>
    <row r="2017" spans="1:4" x14ac:dyDescent="0.4">
      <c r="A2017" s="3">
        <v>9991037</v>
      </c>
      <c r="B2017">
        <v>100</v>
      </c>
      <c r="C2017">
        <v>9991000</v>
      </c>
      <c r="D2017">
        <v>1</v>
      </c>
    </row>
    <row r="2018" spans="1:4" x14ac:dyDescent="0.4">
      <c r="A2018" s="3">
        <v>9991038</v>
      </c>
      <c r="B2018">
        <v>100</v>
      </c>
      <c r="C2018">
        <v>9991000</v>
      </c>
      <c r="D2018">
        <v>1</v>
      </c>
    </row>
    <row r="2019" spans="1:4" x14ac:dyDescent="0.4">
      <c r="A2019" s="3">
        <v>9991039</v>
      </c>
      <c r="B2019">
        <v>100</v>
      </c>
      <c r="C2019">
        <v>9991000</v>
      </c>
      <c r="D2019">
        <v>1</v>
      </c>
    </row>
    <row r="2020" spans="1:4" x14ac:dyDescent="0.4">
      <c r="A2020" s="3">
        <v>9991040</v>
      </c>
      <c r="B2020">
        <v>100</v>
      </c>
      <c r="C2020">
        <v>9991000</v>
      </c>
      <c r="D2020">
        <v>1</v>
      </c>
    </row>
    <row r="2021" spans="1:4" x14ac:dyDescent="0.4">
      <c r="A2021" s="3">
        <v>9991041</v>
      </c>
      <c r="B2021">
        <v>100</v>
      </c>
      <c r="C2021">
        <v>9991000</v>
      </c>
      <c r="D2021">
        <v>1</v>
      </c>
    </row>
    <row r="2022" spans="1:4" x14ac:dyDescent="0.4">
      <c r="A2022" s="3">
        <v>9991042</v>
      </c>
      <c r="B2022">
        <v>100</v>
      </c>
      <c r="C2022">
        <v>9991000</v>
      </c>
      <c r="D2022">
        <v>1</v>
      </c>
    </row>
    <row r="2023" spans="1:4" x14ac:dyDescent="0.4">
      <c r="A2023" s="3">
        <v>9991043</v>
      </c>
      <c r="B2023">
        <v>100</v>
      </c>
      <c r="C2023">
        <v>9991000</v>
      </c>
      <c r="D2023">
        <v>1</v>
      </c>
    </row>
    <row r="2024" spans="1:4" x14ac:dyDescent="0.4">
      <c r="A2024" s="3">
        <v>9991044</v>
      </c>
      <c r="B2024">
        <v>100</v>
      </c>
      <c r="C2024">
        <v>9991000</v>
      </c>
      <c r="D2024">
        <v>1</v>
      </c>
    </row>
    <row r="2025" spans="1:4" x14ac:dyDescent="0.4">
      <c r="A2025" s="3">
        <v>9991045</v>
      </c>
      <c r="B2025">
        <v>100</v>
      </c>
      <c r="C2025">
        <v>9991000</v>
      </c>
      <c r="D2025">
        <v>1</v>
      </c>
    </row>
    <row r="2026" spans="1:4" x14ac:dyDescent="0.4">
      <c r="A2026" s="3">
        <v>9991046</v>
      </c>
      <c r="B2026">
        <v>100</v>
      </c>
      <c r="C2026">
        <v>9991000</v>
      </c>
      <c r="D2026">
        <v>1</v>
      </c>
    </row>
    <row r="2027" spans="1:4" x14ac:dyDescent="0.4">
      <c r="A2027" s="3">
        <v>9991047</v>
      </c>
      <c r="B2027">
        <v>100</v>
      </c>
      <c r="C2027">
        <v>9991000</v>
      </c>
      <c r="D2027">
        <v>1</v>
      </c>
    </row>
    <row r="2028" spans="1:4" x14ac:dyDescent="0.4">
      <c r="A2028" s="3">
        <v>9991048</v>
      </c>
      <c r="B2028">
        <v>100</v>
      </c>
      <c r="C2028">
        <v>9991000</v>
      </c>
      <c r="D2028">
        <v>1</v>
      </c>
    </row>
    <row r="2029" spans="1:4" x14ac:dyDescent="0.4">
      <c r="A2029" s="3">
        <v>9991049</v>
      </c>
      <c r="B2029">
        <v>100</v>
      </c>
      <c r="C2029">
        <v>9991000</v>
      </c>
      <c r="D2029">
        <v>1</v>
      </c>
    </row>
    <row r="2030" spans="1:4" x14ac:dyDescent="0.4">
      <c r="A2030" s="3">
        <v>9991050</v>
      </c>
      <c r="B2030">
        <v>100</v>
      </c>
      <c r="C2030">
        <v>9991000</v>
      </c>
      <c r="D2030">
        <v>1</v>
      </c>
    </row>
    <row r="2031" spans="1:4" x14ac:dyDescent="0.4">
      <c r="A2031" s="3">
        <v>9991051</v>
      </c>
      <c r="B2031">
        <v>100</v>
      </c>
      <c r="C2031">
        <v>9991000</v>
      </c>
      <c r="D2031">
        <v>1</v>
      </c>
    </row>
    <row r="2032" spans="1:4" x14ac:dyDescent="0.4">
      <c r="A2032" s="3">
        <v>9991052</v>
      </c>
      <c r="B2032">
        <v>100</v>
      </c>
      <c r="C2032">
        <v>9991000</v>
      </c>
      <c r="D2032">
        <v>1</v>
      </c>
    </row>
    <row r="2033" spans="1:4" x14ac:dyDescent="0.4">
      <c r="A2033" s="3">
        <v>9991053</v>
      </c>
      <c r="B2033">
        <v>100</v>
      </c>
      <c r="C2033">
        <v>9991000</v>
      </c>
      <c r="D2033">
        <v>1</v>
      </c>
    </row>
    <row r="2034" spans="1:4" x14ac:dyDescent="0.4">
      <c r="A2034" s="3">
        <v>9991054</v>
      </c>
      <c r="B2034">
        <v>100</v>
      </c>
      <c r="C2034">
        <v>9991000</v>
      </c>
      <c r="D2034">
        <v>1</v>
      </c>
    </row>
    <row r="2035" spans="1:4" x14ac:dyDescent="0.4">
      <c r="A2035" s="3">
        <v>9991055</v>
      </c>
      <c r="B2035">
        <v>100</v>
      </c>
      <c r="C2035">
        <v>9991000</v>
      </c>
      <c r="D2035">
        <v>1</v>
      </c>
    </row>
    <row r="2036" spans="1:4" x14ac:dyDescent="0.4">
      <c r="A2036" s="3">
        <v>9991056</v>
      </c>
      <c r="B2036">
        <v>100</v>
      </c>
      <c r="C2036">
        <v>9991000</v>
      </c>
      <c r="D2036">
        <v>1</v>
      </c>
    </row>
    <row r="2037" spans="1:4" x14ac:dyDescent="0.4">
      <c r="A2037" s="3">
        <v>9991057</v>
      </c>
      <c r="B2037">
        <v>100</v>
      </c>
      <c r="C2037">
        <v>9991000</v>
      </c>
      <c r="D2037">
        <v>1</v>
      </c>
    </row>
    <row r="2038" spans="1:4" x14ac:dyDescent="0.4">
      <c r="A2038" s="3">
        <v>9991058</v>
      </c>
      <c r="B2038">
        <v>100</v>
      </c>
      <c r="C2038">
        <v>9991000</v>
      </c>
      <c r="D2038">
        <v>1</v>
      </c>
    </row>
    <row r="2039" spans="1:4" x14ac:dyDescent="0.4">
      <c r="A2039" s="3">
        <v>9991059</v>
      </c>
      <c r="B2039">
        <v>100</v>
      </c>
      <c r="C2039">
        <v>9991000</v>
      </c>
      <c r="D2039">
        <v>1</v>
      </c>
    </row>
    <row r="2040" spans="1:4" x14ac:dyDescent="0.4">
      <c r="A2040" s="3">
        <v>9991060</v>
      </c>
      <c r="B2040">
        <v>100</v>
      </c>
      <c r="C2040">
        <v>9991000</v>
      </c>
      <c r="D2040">
        <v>1</v>
      </c>
    </row>
    <row r="2041" spans="1:4" x14ac:dyDescent="0.4">
      <c r="A2041" s="3">
        <v>9991061</v>
      </c>
      <c r="B2041">
        <v>100</v>
      </c>
      <c r="C2041">
        <v>9991000</v>
      </c>
      <c r="D2041">
        <v>1</v>
      </c>
    </row>
    <row r="2042" spans="1:4" x14ac:dyDescent="0.4">
      <c r="A2042" s="3">
        <v>9991062</v>
      </c>
      <c r="B2042">
        <v>100</v>
      </c>
      <c r="C2042">
        <v>9991000</v>
      </c>
      <c r="D2042">
        <v>1</v>
      </c>
    </row>
    <row r="2043" spans="1:4" x14ac:dyDescent="0.4">
      <c r="A2043" s="3">
        <v>9991063</v>
      </c>
      <c r="B2043">
        <v>100</v>
      </c>
      <c r="C2043">
        <v>9991000</v>
      </c>
      <c r="D2043">
        <v>1</v>
      </c>
    </row>
    <row r="2044" spans="1:4" x14ac:dyDescent="0.4">
      <c r="A2044" s="3">
        <v>9991064</v>
      </c>
      <c r="B2044">
        <v>100</v>
      </c>
      <c r="C2044">
        <v>9991000</v>
      </c>
      <c r="D2044">
        <v>1</v>
      </c>
    </row>
    <row r="2045" spans="1:4" x14ac:dyDescent="0.4">
      <c r="A2045" s="3">
        <v>9991065</v>
      </c>
      <c r="B2045">
        <v>100</v>
      </c>
      <c r="C2045">
        <v>9991000</v>
      </c>
      <c r="D2045">
        <v>1</v>
      </c>
    </row>
    <row r="2046" spans="1:4" x14ac:dyDescent="0.4">
      <c r="A2046" s="3">
        <v>9991066</v>
      </c>
      <c r="B2046">
        <v>100</v>
      </c>
      <c r="C2046">
        <v>9991000</v>
      </c>
      <c r="D2046">
        <v>1</v>
      </c>
    </row>
    <row r="2047" spans="1:4" x14ac:dyDescent="0.4">
      <c r="A2047" s="3">
        <v>9991067</v>
      </c>
      <c r="B2047">
        <v>100</v>
      </c>
      <c r="C2047">
        <v>9991000</v>
      </c>
      <c r="D2047">
        <v>1</v>
      </c>
    </row>
    <row r="2048" spans="1:4" x14ac:dyDescent="0.4">
      <c r="A2048" s="3">
        <v>9991068</v>
      </c>
      <c r="B2048">
        <v>100</v>
      </c>
      <c r="C2048">
        <v>9991000</v>
      </c>
      <c r="D2048">
        <v>1</v>
      </c>
    </row>
    <row r="2049" spans="1:4" x14ac:dyDescent="0.4">
      <c r="A2049" s="3">
        <v>9991069</v>
      </c>
      <c r="B2049">
        <v>100</v>
      </c>
      <c r="C2049">
        <v>9991000</v>
      </c>
      <c r="D2049">
        <v>1</v>
      </c>
    </row>
    <row r="2050" spans="1:4" x14ac:dyDescent="0.4">
      <c r="A2050" s="3">
        <v>9991070</v>
      </c>
      <c r="B2050">
        <v>100</v>
      </c>
      <c r="C2050">
        <v>9991000</v>
      </c>
      <c r="D2050">
        <v>1</v>
      </c>
    </row>
    <row r="2051" spans="1:4" x14ac:dyDescent="0.4">
      <c r="A2051" s="3">
        <v>9991071</v>
      </c>
      <c r="B2051">
        <v>100</v>
      </c>
      <c r="C2051">
        <v>9991000</v>
      </c>
      <c r="D2051">
        <v>1</v>
      </c>
    </row>
    <row r="2052" spans="1:4" x14ac:dyDescent="0.4">
      <c r="A2052" s="3">
        <v>9991072</v>
      </c>
      <c r="B2052">
        <v>100</v>
      </c>
      <c r="C2052">
        <v>9991000</v>
      </c>
      <c r="D2052">
        <v>1</v>
      </c>
    </row>
    <row r="2053" spans="1:4" x14ac:dyDescent="0.4">
      <c r="A2053" s="3">
        <v>9991073</v>
      </c>
      <c r="B2053">
        <v>100</v>
      </c>
      <c r="C2053">
        <v>9991000</v>
      </c>
      <c r="D2053">
        <v>1</v>
      </c>
    </row>
    <row r="2054" spans="1:4" x14ac:dyDescent="0.4">
      <c r="A2054" s="3">
        <v>9991074</v>
      </c>
      <c r="B2054">
        <v>100</v>
      </c>
      <c r="C2054">
        <v>9991000</v>
      </c>
      <c r="D2054">
        <v>1</v>
      </c>
    </row>
    <row r="2055" spans="1:4" x14ac:dyDescent="0.4">
      <c r="A2055" s="3">
        <v>9991075</v>
      </c>
      <c r="B2055">
        <v>100</v>
      </c>
      <c r="C2055">
        <v>9991000</v>
      </c>
      <c r="D2055">
        <v>1</v>
      </c>
    </row>
    <row r="2056" spans="1:4" x14ac:dyDescent="0.4">
      <c r="A2056" s="3">
        <v>9991076</v>
      </c>
      <c r="B2056">
        <v>100</v>
      </c>
      <c r="C2056">
        <v>9991000</v>
      </c>
      <c r="D2056">
        <v>1</v>
      </c>
    </row>
    <row r="2057" spans="1:4" x14ac:dyDescent="0.4">
      <c r="A2057" s="3">
        <v>9991077</v>
      </c>
      <c r="B2057">
        <v>100</v>
      </c>
      <c r="C2057">
        <v>9991000</v>
      </c>
      <c r="D2057">
        <v>1</v>
      </c>
    </row>
    <row r="2058" spans="1:4" x14ac:dyDescent="0.4">
      <c r="A2058" s="3">
        <v>9991078</v>
      </c>
      <c r="B2058">
        <v>100</v>
      </c>
      <c r="C2058">
        <v>9991000</v>
      </c>
      <c r="D2058">
        <v>1</v>
      </c>
    </row>
    <row r="2059" spans="1:4" x14ac:dyDescent="0.4">
      <c r="A2059" s="3">
        <v>9991079</v>
      </c>
      <c r="B2059">
        <v>100</v>
      </c>
      <c r="C2059">
        <v>9991000</v>
      </c>
      <c r="D2059">
        <v>1</v>
      </c>
    </row>
    <row r="2060" spans="1:4" x14ac:dyDescent="0.4">
      <c r="A2060" s="3">
        <v>9991080</v>
      </c>
      <c r="B2060">
        <v>100</v>
      </c>
      <c r="C2060">
        <v>9991000</v>
      </c>
      <c r="D2060">
        <v>1</v>
      </c>
    </row>
    <row r="2061" spans="1:4" x14ac:dyDescent="0.4">
      <c r="A2061" s="3">
        <v>9991081</v>
      </c>
      <c r="B2061">
        <v>100</v>
      </c>
      <c r="C2061">
        <v>9991000</v>
      </c>
      <c r="D2061">
        <v>1</v>
      </c>
    </row>
    <row r="2062" spans="1:4" x14ac:dyDescent="0.4">
      <c r="A2062" s="3">
        <v>9991082</v>
      </c>
      <c r="B2062">
        <v>100</v>
      </c>
      <c r="C2062">
        <v>9991000</v>
      </c>
      <c r="D2062">
        <v>1</v>
      </c>
    </row>
    <row r="2063" spans="1:4" x14ac:dyDescent="0.4">
      <c r="A2063" s="3">
        <v>9991083</v>
      </c>
      <c r="B2063">
        <v>100</v>
      </c>
      <c r="C2063">
        <v>9991000</v>
      </c>
      <c r="D2063">
        <v>1</v>
      </c>
    </row>
    <row r="2064" spans="1:4" x14ac:dyDescent="0.4">
      <c r="A2064" s="3">
        <v>9991084</v>
      </c>
      <c r="B2064">
        <v>100</v>
      </c>
      <c r="C2064">
        <v>9991000</v>
      </c>
      <c r="D2064">
        <v>1</v>
      </c>
    </row>
    <row r="2065" spans="1:4" x14ac:dyDescent="0.4">
      <c r="A2065" s="3">
        <v>9991085</v>
      </c>
      <c r="B2065">
        <v>100</v>
      </c>
      <c r="C2065">
        <v>9991000</v>
      </c>
      <c r="D2065">
        <v>1</v>
      </c>
    </row>
    <row r="2066" spans="1:4" x14ac:dyDescent="0.4">
      <c r="A2066" s="3">
        <v>9991086</v>
      </c>
      <c r="B2066">
        <v>100</v>
      </c>
      <c r="C2066">
        <v>9991000</v>
      </c>
      <c r="D2066">
        <v>1</v>
      </c>
    </row>
    <row r="2067" spans="1:4" x14ac:dyDescent="0.4">
      <c r="A2067" s="3">
        <v>9991087</v>
      </c>
      <c r="B2067">
        <v>100</v>
      </c>
      <c r="C2067">
        <v>9991000</v>
      </c>
      <c r="D2067">
        <v>1</v>
      </c>
    </row>
    <row r="2068" spans="1:4" x14ac:dyDescent="0.4">
      <c r="A2068" s="3">
        <v>9991088</v>
      </c>
      <c r="B2068">
        <v>100</v>
      </c>
      <c r="C2068">
        <v>9991000</v>
      </c>
      <c r="D2068">
        <v>1</v>
      </c>
    </row>
    <row r="2069" spans="1:4" x14ac:dyDescent="0.4">
      <c r="A2069" s="3">
        <v>9991089</v>
      </c>
      <c r="B2069">
        <v>100</v>
      </c>
      <c r="C2069">
        <v>9991000</v>
      </c>
      <c r="D2069">
        <v>1</v>
      </c>
    </row>
    <row r="2070" spans="1:4" x14ac:dyDescent="0.4">
      <c r="A2070" s="3">
        <v>9991090</v>
      </c>
      <c r="B2070">
        <v>100</v>
      </c>
      <c r="C2070">
        <v>9991000</v>
      </c>
      <c r="D2070">
        <v>1</v>
      </c>
    </row>
    <row r="2071" spans="1:4" x14ac:dyDescent="0.4">
      <c r="A2071" s="3">
        <v>9991091</v>
      </c>
      <c r="B2071">
        <v>100</v>
      </c>
      <c r="C2071">
        <v>9991000</v>
      </c>
      <c r="D2071">
        <v>1</v>
      </c>
    </row>
    <row r="2072" spans="1:4" x14ac:dyDescent="0.4">
      <c r="A2072" s="3">
        <v>9991092</v>
      </c>
      <c r="B2072">
        <v>100</v>
      </c>
      <c r="C2072">
        <v>9991000</v>
      </c>
      <c r="D2072">
        <v>1</v>
      </c>
    </row>
    <row r="2073" spans="1:4" x14ac:dyDescent="0.4">
      <c r="A2073" s="3">
        <v>9991093</v>
      </c>
      <c r="B2073">
        <v>100</v>
      </c>
      <c r="C2073">
        <v>9991000</v>
      </c>
      <c r="D2073">
        <v>1</v>
      </c>
    </row>
    <row r="2074" spans="1:4" x14ac:dyDescent="0.4">
      <c r="A2074" s="3">
        <v>9991094</v>
      </c>
      <c r="B2074">
        <v>100</v>
      </c>
      <c r="C2074">
        <v>9991000</v>
      </c>
      <c r="D2074">
        <v>1</v>
      </c>
    </row>
    <row r="2075" spans="1:4" x14ac:dyDescent="0.4">
      <c r="A2075" s="3">
        <v>9991095</v>
      </c>
      <c r="B2075">
        <v>100</v>
      </c>
      <c r="C2075">
        <v>9991000</v>
      </c>
      <c r="D2075">
        <v>1</v>
      </c>
    </row>
    <row r="2076" spans="1:4" x14ac:dyDescent="0.4">
      <c r="A2076" s="3">
        <v>9991096</v>
      </c>
      <c r="B2076">
        <v>100</v>
      </c>
      <c r="C2076">
        <v>9991000</v>
      </c>
      <c r="D2076">
        <v>1</v>
      </c>
    </row>
    <row r="2077" spans="1:4" x14ac:dyDescent="0.4">
      <c r="A2077" s="3">
        <v>9991097</v>
      </c>
      <c r="B2077">
        <v>100</v>
      </c>
      <c r="C2077">
        <v>9991000</v>
      </c>
      <c r="D2077">
        <v>1</v>
      </c>
    </row>
    <row r="2078" spans="1:4" x14ac:dyDescent="0.4">
      <c r="A2078" s="3">
        <v>9991098</v>
      </c>
      <c r="B2078">
        <v>100</v>
      </c>
      <c r="C2078">
        <v>9991000</v>
      </c>
      <c r="D2078">
        <v>1</v>
      </c>
    </row>
    <row r="2079" spans="1:4" x14ac:dyDescent="0.4">
      <c r="A2079" s="3">
        <v>9991099</v>
      </c>
      <c r="B2079">
        <v>100</v>
      </c>
      <c r="C2079">
        <v>9991000</v>
      </c>
      <c r="D2079">
        <v>1</v>
      </c>
    </row>
    <row r="2080" spans="1:4" x14ac:dyDescent="0.4">
      <c r="A2080" s="3">
        <v>999999999</v>
      </c>
      <c r="B2080">
        <v>-1</v>
      </c>
      <c r="C2080">
        <v>-1</v>
      </c>
      <c r="D208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B1D3-EBC2-4F01-9226-6269921E10CD}">
  <dimension ref="A1:B55"/>
  <sheetViews>
    <sheetView workbookViewId="0">
      <selection activeCell="C2" sqref="C2:C11"/>
    </sheetView>
  </sheetViews>
  <sheetFormatPr defaultRowHeight="17" x14ac:dyDescent="0.4"/>
  <cols>
    <col min="1" max="1" width="8.54296875" bestFit="1" customWidth="1"/>
    <col min="2" max="2" width="72" bestFit="1" customWidth="1"/>
    <col min="3" max="3" width="14.81640625" bestFit="1" customWidth="1"/>
    <col min="4" max="4" width="72" bestFit="1" customWidth="1"/>
  </cols>
  <sheetData>
    <row r="1" spans="1:2" x14ac:dyDescent="0.4">
      <c r="A1" t="s">
        <v>0</v>
      </c>
      <c r="B1" t="s">
        <v>1004</v>
      </c>
    </row>
    <row r="2" spans="1:2" x14ac:dyDescent="0.4">
      <c r="A2">
        <v>6500800</v>
      </c>
      <c r="B2" s="1" t="s">
        <v>961</v>
      </c>
    </row>
    <row r="3" spans="1:2" x14ac:dyDescent="0.4">
      <c r="A3">
        <v>6500900</v>
      </c>
      <c r="B3" s="1" t="s">
        <v>962</v>
      </c>
    </row>
    <row r="4" spans="1:2" x14ac:dyDescent="0.4">
      <c r="A4">
        <v>6623200</v>
      </c>
      <c r="B4" s="1" t="s">
        <v>320</v>
      </c>
    </row>
    <row r="5" spans="1:2" x14ac:dyDescent="0.4">
      <c r="A5">
        <v>6647200</v>
      </c>
      <c r="B5" s="1" t="s">
        <v>963</v>
      </c>
    </row>
    <row r="6" spans="1:2" x14ac:dyDescent="0.4">
      <c r="A6">
        <v>6647300</v>
      </c>
      <c r="B6" s="1" t="s">
        <v>964</v>
      </c>
    </row>
    <row r="7" spans="1:2" x14ac:dyDescent="0.4">
      <c r="A7">
        <v>6647400</v>
      </c>
      <c r="B7" s="1" t="s">
        <v>965</v>
      </c>
    </row>
    <row r="8" spans="1:2" x14ac:dyDescent="0.4">
      <c r="A8">
        <v>6647500</v>
      </c>
      <c r="B8" s="1" t="s">
        <v>966</v>
      </c>
    </row>
    <row r="9" spans="1:2" x14ac:dyDescent="0.4">
      <c r="A9">
        <v>7006500</v>
      </c>
      <c r="B9" s="1" t="s">
        <v>967</v>
      </c>
    </row>
    <row r="10" spans="1:2" x14ac:dyDescent="0.4">
      <c r="A10">
        <v>7006600</v>
      </c>
      <c r="B10" s="1" t="s">
        <v>968</v>
      </c>
    </row>
    <row r="11" spans="1:2" x14ac:dyDescent="0.4">
      <c r="A11">
        <v>7006700</v>
      </c>
      <c r="B11" s="1" t="s">
        <v>146</v>
      </c>
    </row>
    <row r="12" spans="1:2" x14ac:dyDescent="0.4">
      <c r="A12">
        <v>7036200</v>
      </c>
      <c r="B12" s="1" t="s">
        <v>969</v>
      </c>
    </row>
    <row r="13" spans="1:2" x14ac:dyDescent="0.4">
      <c r="A13">
        <v>7036300</v>
      </c>
      <c r="B13" s="1" t="s">
        <v>970</v>
      </c>
    </row>
    <row r="14" spans="1:2" x14ac:dyDescent="0.4">
      <c r="A14">
        <v>7036400</v>
      </c>
      <c r="B14" s="1" t="s">
        <v>971</v>
      </c>
    </row>
    <row r="15" spans="1:2" x14ac:dyDescent="0.4">
      <c r="A15">
        <v>7036500</v>
      </c>
      <c r="B15" s="1" t="s">
        <v>972</v>
      </c>
    </row>
    <row r="16" spans="1:2" x14ac:dyDescent="0.4">
      <c r="A16">
        <v>7036800</v>
      </c>
      <c r="B16" s="1" t="s">
        <v>973</v>
      </c>
    </row>
    <row r="17" spans="1:2" x14ac:dyDescent="0.4">
      <c r="A17">
        <v>7036900</v>
      </c>
      <c r="B17" s="1" t="s">
        <v>974</v>
      </c>
    </row>
    <row r="18" spans="1:2" x14ac:dyDescent="0.4">
      <c r="A18">
        <v>7037000</v>
      </c>
      <c r="B18" s="1" t="s">
        <v>975</v>
      </c>
    </row>
    <row r="19" spans="1:2" x14ac:dyDescent="0.4">
      <c r="A19">
        <v>7037300</v>
      </c>
      <c r="B19" s="1" t="s">
        <v>976</v>
      </c>
    </row>
    <row r="20" spans="1:2" x14ac:dyDescent="0.4">
      <c r="A20">
        <v>7037700</v>
      </c>
      <c r="B20" s="1" t="s">
        <v>977</v>
      </c>
    </row>
    <row r="21" spans="1:2" x14ac:dyDescent="0.4">
      <c r="A21">
        <v>7037800</v>
      </c>
      <c r="B21" s="1" t="s">
        <v>978</v>
      </c>
    </row>
    <row r="22" spans="1:2" x14ac:dyDescent="0.4">
      <c r="A22">
        <v>7170100</v>
      </c>
      <c r="B22" s="1" t="s">
        <v>979</v>
      </c>
    </row>
    <row r="23" spans="1:2" x14ac:dyDescent="0.4">
      <c r="A23">
        <v>7260900</v>
      </c>
      <c r="B23" s="1" t="s">
        <v>980</v>
      </c>
    </row>
    <row r="24" spans="1:2" x14ac:dyDescent="0.4">
      <c r="A24">
        <v>7360600</v>
      </c>
      <c r="B24" s="1" t="s">
        <v>981</v>
      </c>
    </row>
    <row r="25" spans="1:2" x14ac:dyDescent="0.4">
      <c r="A25">
        <v>7360900</v>
      </c>
      <c r="B25" s="1" t="s">
        <v>982</v>
      </c>
    </row>
    <row r="26" spans="1:2" x14ac:dyDescent="0.4">
      <c r="A26">
        <v>7361200</v>
      </c>
      <c r="B26" s="1" t="s">
        <v>983</v>
      </c>
    </row>
    <row r="27" spans="1:2" x14ac:dyDescent="0.4">
      <c r="A27">
        <v>7361300</v>
      </c>
      <c r="B27" s="1" t="s">
        <v>984</v>
      </c>
    </row>
    <row r="28" spans="1:2" x14ac:dyDescent="0.4">
      <c r="A28">
        <v>7361500</v>
      </c>
      <c r="B28" s="1" t="s">
        <v>985</v>
      </c>
    </row>
    <row r="29" spans="1:2" x14ac:dyDescent="0.4">
      <c r="A29">
        <v>7361800</v>
      </c>
      <c r="B29" s="1" t="s">
        <v>986</v>
      </c>
    </row>
    <row r="30" spans="1:2" x14ac:dyDescent="0.4">
      <c r="A30">
        <v>7362100</v>
      </c>
      <c r="B30" s="1" t="s">
        <v>987</v>
      </c>
    </row>
    <row r="31" spans="1:2" x14ac:dyDescent="0.4">
      <c r="A31">
        <v>7370000</v>
      </c>
      <c r="B31" s="1" t="s">
        <v>988</v>
      </c>
    </row>
    <row r="32" spans="1:2" x14ac:dyDescent="0.4">
      <c r="A32">
        <v>7370200</v>
      </c>
      <c r="B32" s="1" t="s">
        <v>989</v>
      </c>
    </row>
    <row r="33" spans="1:2" x14ac:dyDescent="0.4">
      <c r="A33">
        <v>7370300</v>
      </c>
      <c r="B33" s="1" t="s">
        <v>990</v>
      </c>
    </row>
    <row r="34" spans="1:2" x14ac:dyDescent="0.4">
      <c r="A34">
        <v>7370400</v>
      </c>
      <c r="B34" s="1" t="s">
        <v>991</v>
      </c>
    </row>
    <row r="35" spans="1:2" x14ac:dyDescent="0.4">
      <c r="A35">
        <v>7370500</v>
      </c>
      <c r="B35" s="1" t="s">
        <v>992</v>
      </c>
    </row>
    <row r="36" spans="1:2" x14ac:dyDescent="0.4">
      <c r="A36">
        <v>7370600</v>
      </c>
      <c r="B36" s="1" t="s">
        <v>993</v>
      </c>
    </row>
    <row r="37" spans="1:2" x14ac:dyDescent="0.4">
      <c r="A37">
        <v>7370800</v>
      </c>
      <c r="B37" s="1" t="s">
        <v>994</v>
      </c>
    </row>
    <row r="38" spans="1:2" x14ac:dyDescent="0.4">
      <c r="A38">
        <v>7370900</v>
      </c>
      <c r="B38" s="1" t="s">
        <v>995</v>
      </c>
    </row>
    <row r="39" spans="1:2" x14ac:dyDescent="0.4">
      <c r="A39">
        <v>7371200</v>
      </c>
      <c r="B39" s="1" t="s">
        <v>996</v>
      </c>
    </row>
    <row r="40" spans="1:2" x14ac:dyDescent="0.4">
      <c r="A40">
        <v>7371500</v>
      </c>
      <c r="B40" s="1" t="s">
        <v>997</v>
      </c>
    </row>
    <row r="41" spans="1:2" x14ac:dyDescent="0.4">
      <c r="A41">
        <v>8320500</v>
      </c>
      <c r="B41" s="1" t="s">
        <v>968</v>
      </c>
    </row>
    <row r="42" spans="1:2" x14ac:dyDescent="0.4">
      <c r="A42">
        <v>8320600</v>
      </c>
      <c r="B42" s="1" t="s">
        <v>998</v>
      </c>
    </row>
    <row r="43" spans="1:2" x14ac:dyDescent="0.4">
      <c r="A43">
        <v>8320700</v>
      </c>
      <c r="B43" s="1" t="s">
        <v>999</v>
      </c>
    </row>
    <row r="44" spans="1:2" x14ac:dyDescent="0.4">
      <c r="A44">
        <v>8360000</v>
      </c>
      <c r="B44" s="1" t="s">
        <v>803</v>
      </c>
    </row>
    <row r="45" spans="1:2" x14ac:dyDescent="0.4">
      <c r="A45">
        <v>8880000</v>
      </c>
      <c r="B45" s="1" t="s">
        <v>880</v>
      </c>
    </row>
    <row r="46" spans="1:2" x14ac:dyDescent="0.4">
      <c r="A46">
        <v>8880200</v>
      </c>
      <c r="B46" s="1" t="s">
        <v>882</v>
      </c>
    </row>
    <row r="47" spans="1:2" x14ac:dyDescent="0.4">
      <c r="A47">
        <v>8880300</v>
      </c>
      <c r="B47" s="1" t="s">
        <v>883</v>
      </c>
    </row>
    <row r="48" spans="1:2" x14ac:dyDescent="0.4">
      <c r="A48">
        <v>8881000</v>
      </c>
      <c r="B48" s="1" t="s">
        <v>885</v>
      </c>
    </row>
    <row r="49" spans="1:2" x14ac:dyDescent="0.4">
      <c r="A49">
        <v>8881200</v>
      </c>
      <c r="B49" s="1" t="s">
        <v>887</v>
      </c>
    </row>
    <row r="50" spans="1:2" x14ac:dyDescent="0.4">
      <c r="A50">
        <v>8881500</v>
      </c>
      <c r="B50" s="1" t="s">
        <v>890</v>
      </c>
    </row>
    <row r="51" spans="1:2" x14ac:dyDescent="0.4">
      <c r="A51">
        <v>8882100</v>
      </c>
      <c r="B51" s="1" t="s">
        <v>893</v>
      </c>
    </row>
    <row r="52" spans="1:2" x14ac:dyDescent="0.4">
      <c r="A52">
        <v>8882500</v>
      </c>
      <c r="B52" s="1" t="s">
        <v>897</v>
      </c>
    </row>
    <row r="53" spans="1:2" x14ac:dyDescent="0.4">
      <c r="A53">
        <v>8885200</v>
      </c>
      <c r="B53" s="1" t="s">
        <v>1000</v>
      </c>
    </row>
    <row r="54" spans="1:2" x14ac:dyDescent="0.4">
      <c r="A54">
        <v>9990900</v>
      </c>
      <c r="B54" s="1" t="s">
        <v>1001</v>
      </c>
    </row>
    <row r="55" spans="1:2" x14ac:dyDescent="0.4">
      <c r="A55">
        <v>9991000</v>
      </c>
      <c r="B55" s="1" t="s">
        <v>1002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57EA-36DF-4C75-A8AA-648B8C1D1C4E}">
  <dimension ref="A1:C1196"/>
  <sheetViews>
    <sheetView workbookViewId="0">
      <selection activeCell="C2" sqref="C2:C11"/>
    </sheetView>
  </sheetViews>
  <sheetFormatPr defaultRowHeight="17" x14ac:dyDescent="0.4"/>
  <cols>
    <col min="1" max="1" width="9.54296875" bestFit="1" customWidth="1"/>
    <col min="2" max="3" width="80.90625" bestFit="1" customWidth="1"/>
  </cols>
  <sheetData>
    <row r="1" spans="1:3" x14ac:dyDescent="0.4">
      <c r="A1" t="s">
        <v>0</v>
      </c>
      <c r="B1" t="s">
        <v>1020</v>
      </c>
      <c r="C1" t="s">
        <v>1004</v>
      </c>
    </row>
    <row r="2" spans="1:3" x14ac:dyDescent="0.4">
      <c r="A2">
        <v>1</v>
      </c>
      <c r="B2" s="1" t="s">
        <v>40</v>
      </c>
      <c r="C2" s="1" t="s">
        <v>40</v>
      </c>
    </row>
    <row r="3" spans="1:3" x14ac:dyDescent="0.4">
      <c r="A3">
        <v>2</v>
      </c>
      <c r="B3" s="1" t="s">
        <v>40</v>
      </c>
      <c r="C3" s="1" t="s">
        <v>40</v>
      </c>
    </row>
    <row r="4" spans="1:3" x14ac:dyDescent="0.4">
      <c r="A4">
        <v>3</v>
      </c>
      <c r="B4" s="1" t="s">
        <v>40</v>
      </c>
      <c r="C4" s="1" t="s">
        <v>40</v>
      </c>
    </row>
    <row r="5" spans="1:3" x14ac:dyDescent="0.4">
      <c r="A5">
        <v>100</v>
      </c>
      <c r="B5" s="1" t="s">
        <v>40</v>
      </c>
      <c r="C5" s="1" t="s">
        <v>40</v>
      </c>
    </row>
    <row r="6" spans="1:3" x14ac:dyDescent="0.4">
      <c r="A6">
        <v>310000</v>
      </c>
      <c r="B6" s="1" t="s">
        <v>1105</v>
      </c>
      <c r="C6" s="1" t="s">
        <v>129</v>
      </c>
    </row>
    <row r="7" spans="1:3" x14ac:dyDescent="0.4">
      <c r="A7">
        <v>310100</v>
      </c>
      <c r="B7" s="1" t="s">
        <v>1106</v>
      </c>
      <c r="C7" s="1" t="s">
        <v>130</v>
      </c>
    </row>
    <row r="8" spans="1:3" x14ac:dyDescent="0.4">
      <c r="A8">
        <v>310200</v>
      </c>
      <c r="B8" s="1" t="s">
        <v>1107</v>
      </c>
      <c r="C8" s="1" t="s">
        <v>131</v>
      </c>
    </row>
    <row r="9" spans="1:3" x14ac:dyDescent="0.4">
      <c r="A9">
        <v>310400</v>
      </c>
      <c r="B9" s="1" t="s">
        <v>1105</v>
      </c>
      <c r="C9" s="1" t="s">
        <v>129</v>
      </c>
    </row>
    <row r="10" spans="1:3" x14ac:dyDescent="0.4">
      <c r="A10">
        <v>310401</v>
      </c>
      <c r="B10" s="1" t="s">
        <v>1107</v>
      </c>
      <c r="C10" s="1" t="s">
        <v>131</v>
      </c>
    </row>
    <row r="11" spans="1:3" x14ac:dyDescent="0.4">
      <c r="A11">
        <v>311000</v>
      </c>
      <c r="B11" s="1" t="s">
        <v>1108</v>
      </c>
      <c r="C11" s="1" t="s">
        <v>132</v>
      </c>
    </row>
    <row r="12" spans="1:3" x14ac:dyDescent="0.4">
      <c r="A12">
        <v>311100</v>
      </c>
      <c r="B12" s="1" t="s">
        <v>1109</v>
      </c>
      <c r="C12" s="1" t="s">
        <v>133</v>
      </c>
    </row>
    <row r="13" spans="1:3" x14ac:dyDescent="0.4">
      <c r="A13">
        <v>311500</v>
      </c>
      <c r="B13" s="1" t="s">
        <v>1110</v>
      </c>
      <c r="C13" s="1" t="s">
        <v>134</v>
      </c>
    </row>
    <row r="14" spans="1:3" x14ac:dyDescent="0.4">
      <c r="A14">
        <v>311600</v>
      </c>
      <c r="B14" s="1" t="s">
        <v>1111</v>
      </c>
      <c r="C14" s="1" t="s">
        <v>135</v>
      </c>
    </row>
    <row r="15" spans="1:3" x14ac:dyDescent="0.4">
      <c r="A15">
        <v>311601</v>
      </c>
      <c r="B15" s="1" t="s">
        <v>1112</v>
      </c>
      <c r="C15" s="1" t="s">
        <v>136</v>
      </c>
    </row>
    <row r="16" spans="1:3" x14ac:dyDescent="0.4">
      <c r="A16">
        <v>311700</v>
      </c>
      <c r="B16" s="1" t="s">
        <v>1113</v>
      </c>
      <c r="C16" s="1" t="s">
        <v>137</v>
      </c>
    </row>
    <row r="17" spans="1:3" x14ac:dyDescent="0.4">
      <c r="A17">
        <v>311701</v>
      </c>
      <c r="B17" s="1" t="s">
        <v>1114</v>
      </c>
      <c r="C17" s="1" t="s">
        <v>138</v>
      </c>
    </row>
    <row r="18" spans="1:3" x14ac:dyDescent="0.4">
      <c r="A18">
        <v>311800</v>
      </c>
      <c r="B18" s="1" t="s">
        <v>1115</v>
      </c>
      <c r="C18" s="1" t="s">
        <v>139</v>
      </c>
    </row>
    <row r="19" spans="1:3" x14ac:dyDescent="0.4">
      <c r="A19">
        <v>311801</v>
      </c>
      <c r="B19" s="1" t="s">
        <v>1116</v>
      </c>
      <c r="C19" s="1" t="s">
        <v>140</v>
      </c>
    </row>
    <row r="20" spans="1:3" x14ac:dyDescent="0.4">
      <c r="A20">
        <v>311900</v>
      </c>
      <c r="B20" s="1" t="s">
        <v>1117</v>
      </c>
      <c r="C20" s="1" t="s">
        <v>141</v>
      </c>
    </row>
    <row r="21" spans="1:3" x14ac:dyDescent="0.4">
      <c r="A21">
        <v>312000</v>
      </c>
      <c r="B21" s="1" t="s">
        <v>1118</v>
      </c>
      <c r="C21" s="1" t="s">
        <v>142</v>
      </c>
    </row>
    <row r="22" spans="1:3" x14ac:dyDescent="0.4">
      <c r="A22">
        <v>312001</v>
      </c>
      <c r="B22" s="1" t="s">
        <v>1119</v>
      </c>
      <c r="C22" s="1" t="s">
        <v>143</v>
      </c>
    </row>
    <row r="23" spans="1:3" x14ac:dyDescent="0.4">
      <c r="A23">
        <v>312002</v>
      </c>
      <c r="B23" s="1" t="s">
        <v>1120</v>
      </c>
      <c r="C23" s="1" t="s">
        <v>144</v>
      </c>
    </row>
    <row r="24" spans="1:3" x14ac:dyDescent="0.4">
      <c r="A24">
        <v>312100</v>
      </c>
      <c r="B24" s="1" t="s">
        <v>1121</v>
      </c>
      <c r="C24" s="1" t="s">
        <v>145</v>
      </c>
    </row>
    <row r="25" spans="1:3" x14ac:dyDescent="0.4">
      <c r="A25">
        <v>312300</v>
      </c>
      <c r="B25" s="1" t="s">
        <v>1122</v>
      </c>
      <c r="C25" s="1" t="s">
        <v>146</v>
      </c>
    </row>
    <row r="26" spans="1:3" x14ac:dyDescent="0.4">
      <c r="A26">
        <v>312500</v>
      </c>
      <c r="B26" s="1" t="s">
        <v>1123</v>
      </c>
      <c r="C26" s="1" t="s">
        <v>147</v>
      </c>
    </row>
    <row r="27" spans="1:3" x14ac:dyDescent="0.4">
      <c r="A27">
        <v>312501</v>
      </c>
      <c r="B27" s="1" t="s">
        <v>1124</v>
      </c>
      <c r="C27" s="1" t="s">
        <v>148</v>
      </c>
    </row>
    <row r="28" spans="1:3" x14ac:dyDescent="0.4">
      <c r="A28">
        <v>320000</v>
      </c>
      <c r="B28" s="1" t="s">
        <v>1125</v>
      </c>
      <c r="C28" s="1" t="s">
        <v>149</v>
      </c>
    </row>
    <row r="29" spans="1:3" x14ac:dyDescent="0.4">
      <c r="A29">
        <v>320001</v>
      </c>
      <c r="B29" s="1" t="s">
        <v>1126</v>
      </c>
      <c r="C29" s="1" t="s">
        <v>150</v>
      </c>
    </row>
    <row r="30" spans="1:3" x14ac:dyDescent="0.4">
      <c r="A30">
        <v>320100</v>
      </c>
      <c r="B30" s="1" t="s">
        <v>1127</v>
      </c>
      <c r="C30" s="1" t="s">
        <v>151</v>
      </c>
    </row>
    <row r="31" spans="1:3" x14ac:dyDescent="0.4">
      <c r="A31">
        <v>320101</v>
      </c>
      <c r="B31" s="1" t="s">
        <v>1126</v>
      </c>
      <c r="C31" s="1" t="s">
        <v>150</v>
      </c>
    </row>
    <row r="32" spans="1:3" x14ac:dyDescent="0.4">
      <c r="A32">
        <v>320200</v>
      </c>
      <c r="B32" s="1" t="s">
        <v>1128</v>
      </c>
      <c r="C32" s="1" t="s">
        <v>152</v>
      </c>
    </row>
    <row r="33" spans="1:3" x14ac:dyDescent="0.4">
      <c r="A33">
        <v>320201</v>
      </c>
      <c r="B33" s="1" t="s">
        <v>1126</v>
      </c>
      <c r="C33" s="1" t="s">
        <v>150</v>
      </c>
    </row>
    <row r="34" spans="1:3" x14ac:dyDescent="0.4">
      <c r="A34">
        <v>320300</v>
      </c>
      <c r="B34" s="1" t="s">
        <v>1129</v>
      </c>
      <c r="C34" s="1" t="s">
        <v>153</v>
      </c>
    </row>
    <row r="35" spans="1:3" x14ac:dyDescent="0.4">
      <c r="A35">
        <v>320301</v>
      </c>
      <c r="B35" s="1" t="s">
        <v>1126</v>
      </c>
      <c r="C35" s="1" t="s">
        <v>150</v>
      </c>
    </row>
    <row r="36" spans="1:3" x14ac:dyDescent="0.4">
      <c r="A36">
        <v>320400</v>
      </c>
      <c r="B36" s="1" t="s">
        <v>1130</v>
      </c>
      <c r="C36" s="1" t="s">
        <v>154</v>
      </c>
    </row>
    <row r="37" spans="1:3" x14ac:dyDescent="0.4">
      <c r="A37">
        <v>320500</v>
      </c>
      <c r="B37" s="1" t="s">
        <v>1131</v>
      </c>
      <c r="C37" s="1" t="s">
        <v>155</v>
      </c>
    </row>
    <row r="38" spans="1:3" x14ac:dyDescent="0.4">
      <c r="A38">
        <v>320600</v>
      </c>
      <c r="B38" s="1" t="s">
        <v>1132</v>
      </c>
      <c r="C38" s="1" t="s">
        <v>156</v>
      </c>
    </row>
    <row r="39" spans="1:3" x14ac:dyDescent="0.4">
      <c r="A39">
        <v>320700</v>
      </c>
      <c r="B39" s="1" t="s">
        <v>1133</v>
      </c>
      <c r="C39" s="1" t="s">
        <v>157</v>
      </c>
    </row>
    <row r="40" spans="1:3" x14ac:dyDescent="0.4">
      <c r="A40">
        <v>320800</v>
      </c>
      <c r="B40" s="1" t="s">
        <v>1124</v>
      </c>
      <c r="C40" s="1" t="s">
        <v>148</v>
      </c>
    </row>
    <row r="41" spans="1:3" x14ac:dyDescent="0.4">
      <c r="A41">
        <v>320900</v>
      </c>
      <c r="B41" s="1" t="s">
        <v>1134</v>
      </c>
      <c r="C41" s="1" t="s">
        <v>158</v>
      </c>
    </row>
    <row r="42" spans="1:3" x14ac:dyDescent="0.4">
      <c r="A42">
        <v>321000</v>
      </c>
      <c r="B42" s="1" t="s">
        <v>1135</v>
      </c>
      <c r="C42" s="1" t="s">
        <v>159</v>
      </c>
    </row>
    <row r="43" spans="1:3" x14ac:dyDescent="0.4">
      <c r="A43">
        <v>321200</v>
      </c>
      <c r="B43" s="1" t="s">
        <v>1136</v>
      </c>
      <c r="C43" s="1" t="s">
        <v>160</v>
      </c>
    </row>
    <row r="44" spans="1:3" x14ac:dyDescent="0.4">
      <c r="A44">
        <v>321300</v>
      </c>
      <c r="B44" s="1" t="s">
        <v>1137</v>
      </c>
      <c r="C44" s="1" t="s">
        <v>161</v>
      </c>
    </row>
    <row r="45" spans="1:3" x14ac:dyDescent="0.4">
      <c r="A45">
        <v>321500</v>
      </c>
      <c r="B45" s="1" t="s">
        <v>1138</v>
      </c>
      <c r="C45" s="1" t="s">
        <v>162</v>
      </c>
    </row>
    <row r="46" spans="1:3" x14ac:dyDescent="0.4">
      <c r="A46">
        <v>321600</v>
      </c>
      <c r="B46" s="1" t="s">
        <v>1139</v>
      </c>
      <c r="C46" s="1" t="s">
        <v>163</v>
      </c>
    </row>
    <row r="47" spans="1:3" x14ac:dyDescent="0.4">
      <c r="A47">
        <v>321700</v>
      </c>
      <c r="B47" s="1" t="s">
        <v>1140</v>
      </c>
      <c r="C47" s="1" t="s">
        <v>164</v>
      </c>
    </row>
    <row r="48" spans="1:3" x14ac:dyDescent="0.4">
      <c r="A48">
        <v>321800</v>
      </c>
      <c r="B48" s="1" t="s">
        <v>1141</v>
      </c>
      <c r="C48" s="1" t="s">
        <v>165</v>
      </c>
    </row>
    <row r="49" spans="1:3" x14ac:dyDescent="0.4">
      <c r="A49">
        <v>321900</v>
      </c>
      <c r="B49" s="1" t="s">
        <v>1142</v>
      </c>
      <c r="C49" s="1" t="s">
        <v>166</v>
      </c>
    </row>
    <row r="50" spans="1:3" x14ac:dyDescent="0.4">
      <c r="A50">
        <v>322000</v>
      </c>
      <c r="B50" s="1" t="s">
        <v>1143</v>
      </c>
      <c r="C50" s="1" t="s">
        <v>167</v>
      </c>
    </row>
    <row r="51" spans="1:3" x14ac:dyDescent="0.4">
      <c r="A51">
        <v>322100</v>
      </c>
      <c r="B51" s="1" t="s">
        <v>1144</v>
      </c>
      <c r="C51" s="1" t="s">
        <v>168</v>
      </c>
    </row>
    <row r="52" spans="1:3" x14ac:dyDescent="0.4">
      <c r="A52">
        <v>322200</v>
      </c>
      <c r="B52" s="1" t="s">
        <v>1145</v>
      </c>
      <c r="C52" s="1" t="s">
        <v>169</v>
      </c>
    </row>
    <row r="53" spans="1:3" x14ac:dyDescent="0.4">
      <c r="A53">
        <v>330000</v>
      </c>
      <c r="B53" s="1" t="s">
        <v>1146</v>
      </c>
      <c r="C53" s="1" t="s">
        <v>170</v>
      </c>
    </row>
    <row r="54" spans="1:3" x14ac:dyDescent="0.4">
      <c r="A54">
        <v>330400</v>
      </c>
      <c r="B54" s="1" t="s">
        <v>1147</v>
      </c>
      <c r="C54" s="1" t="s">
        <v>171</v>
      </c>
    </row>
    <row r="55" spans="1:3" x14ac:dyDescent="0.4">
      <c r="A55">
        <v>330600</v>
      </c>
      <c r="B55" s="1" t="s">
        <v>1148</v>
      </c>
      <c r="C55" s="1" t="s">
        <v>172</v>
      </c>
    </row>
    <row r="56" spans="1:3" x14ac:dyDescent="0.4">
      <c r="A56">
        <v>330700</v>
      </c>
      <c r="B56" s="1" t="s">
        <v>1149</v>
      </c>
      <c r="C56" s="1" t="s">
        <v>173</v>
      </c>
    </row>
    <row r="57" spans="1:3" x14ac:dyDescent="0.4">
      <c r="A57">
        <v>330800</v>
      </c>
      <c r="B57" s="1" t="s">
        <v>1150</v>
      </c>
      <c r="C57" s="1" t="s">
        <v>174</v>
      </c>
    </row>
    <row r="58" spans="1:3" x14ac:dyDescent="0.4">
      <c r="A58">
        <v>330801</v>
      </c>
      <c r="B58" s="1" t="s">
        <v>1151</v>
      </c>
      <c r="C58" s="1" t="s">
        <v>175</v>
      </c>
    </row>
    <row r="59" spans="1:3" x14ac:dyDescent="0.4">
      <c r="A59">
        <v>330900</v>
      </c>
      <c r="B59" s="1" t="s">
        <v>1152</v>
      </c>
      <c r="C59" s="1" t="s">
        <v>176</v>
      </c>
    </row>
    <row r="60" spans="1:3" x14ac:dyDescent="0.4">
      <c r="A60">
        <v>340000</v>
      </c>
      <c r="B60" s="1" t="s">
        <v>1153</v>
      </c>
      <c r="C60" s="1" t="s">
        <v>177</v>
      </c>
    </row>
    <row r="61" spans="1:3" x14ac:dyDescent="0.4">
      <c r="A61">
        <v>340100</v>
      </c>
      <c r="B61" s="1" t="s">
        <v>1154</v>
      </c>
      <c r="C61" s="1" t="s">
        <v>178</v>
      </c>
    </row>
    <row r="62" spans="1:3" x14ac:dyDescent="0.4">
      <c r="A62">
        <v>340200</v>
      </c>
      <c r="B62" s="1" t="s">
        <v>1155</v>
      </c>
      <c r="C62" s="1" t="s">
        <v>179</v>
      </c>
    </row>
    <row r="63" spans="1:3" x14ac:dyDescent="0.4">
      <c r="A63">
        <v>340300</v>
      </c>
      <c r="B63" s="1" t="s">
        <v>1156</v>
      </c>
      <c r="C63" s="1" t="s">
        <v>180</v>
      </c>
    </row>
    <row r="64" spans="1:3" x14ac:dyDescent="0.4">
      <c r="A64">
        <v>340400</v>
      </c>
      <c r="B64" s="1" t="s">
        <v>1157</v>
      </c>
      <c r="C64" s="1" t="s">
        <v>181</v>
      </c>
    </row>
    <row r="65" spans="1:3" x14ac:dyDescent="0.4">
      <c r="A65">
        <v>340500</v>
      </c>
      <c r="B65" s="1" t="s">
        <v>1158</v>
      </c>
      <c r="C65" s="1" t="s">
        <v>182</v>
      </c>
    </row>
    <row r="66" spans="1:3" x14ac:dyDescent="0.4">
      <c r="A66">
        <v>340700</v>
      </c>
      <c r="B66" s="1" t="s">
        <v>1159</v>
      </c>
      <c r="C66" s="1" t="s">
        <v>183</v>
      </c>
    </row>
    <row r="67" spans="1:3" x14ac:dyDescent="0.4">
      <c r="A67">
        <v>340701</v>
      </c>
      <c r="B67" s="1" t="s">
        <v>1160</v>
      </c>
      <c r="C67" s="1" t="s">
        <v>184</v>
      </c>
    </row>
    <row r="68" spans="1:3" x14ac:dyDescent="0.4">
      <c r="A68">
        <v>340800</v>
      </c>
      <c r="B68" s="1" t="s">
        <v>1161</v>
      </c>
      <c r="C68" s="1" t="s">
        <v>185</v>
      </c>
    </row>
    <row r="69" spans="1:3" x14ac:dyDescent="0.4">
      <c r="A69">
        <v>340900</v>
      </c>
      <c r="B69" s="1" t="s">
        <v>1162</v>
      </c>
      <c r="C69" s="1" t="s">
        <v>186</v>
      </c>
    </row>
    <row r="70" spans="1:3" x14ac:dyDescent="0.4">
      <c r="A70">
        <v>341000</v>
      </c>
      <c r="B70" s="1" t="s">
        <v>1163</v>
      </c>
      <c r="C70" s="1" t="s">
        <v>187</v>
      </c>
    </row>
    <row r="71" spans="1:3" x14ac:dyDescent="0.4">
      <c r="A71">
        <v>350000</v>
      </c>
      <c r="B71" s="1" t="s">
        <v>1164</v>
      </c>
      <c r="C71" s="1" t="s">
        <v>188</v>
      </c>
    </row>
    <row r="72" spans="1:3" x14ac:dyDescent="0.4">
      <c r="A72">
        <v>350200</v>
      </c>
      <c r="B72" s="1" t="s">
        <v>1165</v>
      </c>
      <c r="C72" s="1" t="s">
        <v>189</v>
      </c>
    </row>
    <row r="73" spans="1:3" x14ac:dyDescent="0.4">
      <c r="A73">
        <v>350300</v>
      </c>
      <c r="B73" s="1" t="s">
        <v>1166</v>
      </c>
      <c r="C73" s="1" t="s">
        <v>190</v>
      </c>
    </row>
    <row r="74" spans="1:3" x14ac:dyDescent="0.4">
      <c r="A74">
        <v>350400</v>
      </c>
      <c r="B74" s="1" t="s">
        <v>1167</v>
      </c>
      <c r="C74" s="1" t="s">
        <v>191</v>
      </c>
    </row>
    <row r="75" spans="1:3" x14ac:dyDescent="0.4">
      <c r="A75">
        <v>350500</v>
      </c>
      <c r="B75" s="1" t="s">
        <v>1168</v>
      </c>
      <c r="C75" s="1" t="s">
        <v>192</v>
      </c>
    </row>
    <row r="76" spans="1:3" x14ac:dyDescent="0.4">
      <c r="A76">
        <v>350600</v>
      </c>
      <c r="B76" s="1" t="s">
        <v>1169</v>
      </c>
      <c r="C76" s="1" t="s">
        <v>193</v>
      </c>
    </row>
    <row r="77" spans="1:3" x14ac:dyDescent="0.4">
      <c r="A77">
        <v>360200</v>
      </c>
      <c r="B77" s="1" t="s">
        <v>1170</v>
      </c>
      <c r="C77" s="1" t="s">
        <v>194</v>
      </c>
    </row>
    <row r="78" spans="1:3" x14ac:dyDescent="0.4">
      <c r="A78">
        <v>360700</v>
      </c>
      <c r="B78" s="1" t="s">
        <v>1171</v>
      </c>
      <c r="C78" s="1" t="s">
        <v>195</v>
      </c>
    </row>
    <row r="79" spans="1:3" x14ac:dyDescent="0.4">
      <c r="A79">
        <v>361100</v>
      </c>
      <c r="B79" s="1" t="s">
        <v>1172</v>
      </c>
      <c r="C79" s="1" t="s">
        <v>196</v>
      </c>
    </row>
    <row r="80" spans="1:3" x14ac:dyDescent="0.4">
      <c r="A80">
        <v>370000</v>
      </c>
      <c r="B80" s="1" t="s">
        <v>1108</v>
      </c>
      <c r="C80" s="1" t="s">
        <v>132</v>
      </c>
    </row>
    <row r="81" spans="1:3" x14ac:dyDescent="0.4">
      <c r="A81">
        <v>370001</v>
      </c>
      <c r="B81" s="1" t="s">
        <v>1109</v>
      </c>
      <c r="C81" s="1" t="s">
        <v>133</v>
      </c>
    </row>
    <row r="82" spans="1:3" x14ac:dyDescent="0.4">
      <c r="A82">
        <v>370002</v>
      </c>
      <c r="B82" s="1" t="s">
        <v>1173</v>
      </c>
      <c r="C82" s="1" t="s">
        <v>197</v>
      </c>
    </row>
    <row r="83" spans="1:3" x14ac:dyDescent="0.4">
      <c r="A83">
        <v>6000800</v>
      </c>
      <c r="B83" s="1" t="s">
        <v>1174</v>
      </c>
      <c r="C83" s="1" t="s">
        <v>198</v>
      </c>
    </row>
    <row r="84" spans="1:3" x14ac:dyDescent="0.4">
      <c r="A84">
        <v>6000801</v>
      </c>
      <c r="B84" s="1" t="s">
        <v>1175</v>
      </c>
      <c r="C84" s="1" t="s">
        <v>199</v>
      </c>
    </row>
    <row r="85" spans="1:3" x14ac:dyDescent="0.4">
      <c r="A85">
        <v>6000900</v>
      </c>
      <c r="B85" s="1" t="s">
        <v>1176</v>
      </c>
      <c r="C85" s="1" t="s">
        <v>200</v>
      </c>
    </row>
    <row r="86" spans="1:3" x14ac:dyDescent="0.4">
      <c r="A86">
        <v>6000901</v>
      </c>
      <c r="B86" s="1" t="s">
        <v>1177</v>
      </c>
      <c r="C86" s="1" t="s">
        <v>201</v>
      </c>
    </row>
    <row r="87" spans="1:3" x14ac:dyDescent="0.4">
      <c r="A87">
        <v>6001000</v>
      </c>
      <c r="B87" s="1" t="s">
        <v>1178</v>
      </c>
      <c r="C87" s="1" t="s">
        <v>202</v>
      </c>
    </row>
    <row r="88" spans="1:3" x14ac:dyDescent="0.4">
      <c r="A88">
        <v>6001001</v>
      </c>
      <c r="B88" s="1" t="s">
        <v>1179</v>
      </c>
      <c r="C88" s="1" t="s">
        <v>203</v>
      </c>
    </row>
    <row r="89" spans="1:3" x14ac:dyDescent="0.4">
      <c r="A89">
        <v>6001400</v>
      </c>
      <c r="B89" s="1" t="s">
        <v>1180</v>
      </c>
      <c r="C89" s="1" t="s">
        <v>204</v>
      </c>
    </row>
    <row r="90" spans="1:3" x14ac:dyDescent="0.4">
      <c r="A90">
        <v>6001401</v>
      </c>
      <c r="B90" s="1" t="s">
        <v>40</v>
      </c>
      <c r="C90" s="1" t="s">
        <v>40</v>
      </c>
    </row>
    <row r="91" spans="1:3" x14ac:dyDescent="0.4">
      <c r="A91">
        <v>6001500</v>
      </c>
      <c r="B91" s="1" t="s">
        <v>1181</v>
      </c>
      <c r="C91" s="1" t="s">
        <v>205</v>
      </c>
    </row>
    <row r="92" spans="1:3" x14ac:dyDescent="0.4">
      <c r="A92">
        <v>6001501</v>
      </c>
      <c r="B92" s="1" t="s">
        <v>1182</v>
      </c>
      <c r="C92" s="1" t="s">
        <v>206</v>
      </c>
    </row>
    <row r="93" spans="1:3" x14ac:dyDescent="0.4">
      <c r="A93">
        <v>6001600</v>
      </c>
      <c r="B93" s="1" t="s">
        <v>1183</v>
      </c>
      <c r="C93" s="1" t="s">
        <v>207</v>
      </c>
    </row>
    <row r="94" spans="1:3" x14ac:dyDescent="0.4">
      <c r="A94">
        <v>6001601</v>
      </c>
      <c r="B94" s="1" t="s">
        <v>1184</v>
      </c>
      <c r="C94" s="1" t="s">
        <v>208</v>
      </c>
    </row>
    <row r="95" spans="1:3" x14ac:dyDescent="0.4">
      <c r="A95">
        <v>6001700</v>
      </c>
      <c r="B95" s="1" t="s">
        <v>1185</v>
      </c>
      <c r="C95" s="1" t="s">
        <v>209</v>
      </c>
    </row>
    <row r="96" spans="1:3" x14ac:dyDescent="0.4">
      <c r="A96">
        <v>6001701</v>
      </c>
      <c r="B96" s="1" t="s">
        <v>1186</v>
      </c>
      <c r="C96" s="1" t="s">
        <v>210</v>
      </c>
    </row>
    <row r="97" spans="1:3" x14ac:dyDescent="0.4">
      <c r="A97">
        <v>6001800</v>
      </c>
      <c r="B97" s="1" t="s">
        <v>1187</v>
      </c>
      <c r="C97" s="1" t="s">
        <v>211</v>
      </c>
    </row>
    <row r="98" spans="1:3" x14ac:dyDescent="0.4">
      <c r="A98">
        <v>6001801</v>
      </c>
      <c r="B98" s="1" t="s">
        <v>1188</v>
      </c>
      <c r="C98" s="1" t="s">
        <v>212</v>
      </c>
    </row>
    <row r="99" spans="1:3" x14ac:dyDescent="0.4">
      <c r="A99">
        <v>6002600</v>
      </c>
      <c r="B99" s="1" t="s">
        <v>1189</v>
      </c>
      <c r="C99" s="1" t="s">
        <v>213</v>
      </c>
    </row>
    <row r="100" spans="1:3" x14ac:dyDescent="0.4">
      <c r="A100">
        <v>6002601</v>
      </c>
      <c r="B100" s="1" t="s">
        <v>1190</v>
      </c>
      <c r="C100" s="1" t="s">
        <v>214</v>
      </c>
    </row>
    <row r="101" spans="1:3" x14ac:dyDescent="0.4">
      <c r="A101">
        <v>6002700</v>
      </c>
      <c r="B101" s="1" t="s">
        <v>1191</v>
      </c>
      <c r="C101" s="1" t="s">
        <v>215</v>
      </c>
    </row>
    <row r="102" spans="1:3" x14ac:dyDescent="0.4">
      <c r="A102">
        <v>6002701</v>
      </c>
      <c r="B102" s="1" t="s">
        <v>1192</v>
      </c>
      <c r="C102" s="1" t="s">
        <v>216</v>
      </c>
    </row>
    <row r="103" spans="1:3" x14ac:dyDescent="0.4">
      <c r="A103">
        <v>6002800</v>
      </c>
      <c r="B103" s="1" t="s">
        <v>1193</v>
      </c>
      <c r="C103" s="1" t="s">
        <v>217</v>
      </c>
    </row>
    <row r="104" spans="1:3" x14ac:dyDescent="0.4">
      <c r="A104">
        <v>6002801</v>
      </c>
      <c r="B104" s="1" t="s">
        <v>1194</v>
      </c>
      <c r="C104" s="1" t="s">
        <v>218</v>
      </c>
    </row>
    <row r="105" spans="1:3" x14ac:dyDescent="0.4">
      <c r="A105">
        <v>6002900</v>
      </c>
      <c r="B105" s="1" t="s">
        <v>1195</v>
      </c>
      <c r="C105" s="1" t="s">
        <v>219</v>
      </c>
    </row>
    <row r="106" spans="1:3" x14ac:dyDescent="0.4">
      <c r="A106">
        <v>6002901</v>
      </c>
      <c r="B106" s="1" t="s">
        <v>1196</v>
      </c>
      <c r="C106" s="1" t="s">
        <v>220</v>
      </c>
    </row>
    <row r="107" spans="1:3" x14ac:dyDescent="0.4">
      <c r="A107">
        <v>6003000</v>
      </c>
      <c r="B107" s="1" t="s">
        <v>1197</v>
      </c>
      <c r="C107" s="1" t="s">
        <v>221</v>
      </c>
    </row>
    <row r="108" spans="1:3" x14ac:dyDescent="0.4">
      <c r="A108">
        <v>6003001</v>
      </c>
      <c r="B108" s="1" t="s">
        <v>1198</v>
      </c>
      <c r="C108" s="1" t="s">
        <v>222</v>
      </c>
    </row>
    <row r="109" spans="1:3" x14ac:dyDescent="0.4">
      <c r="A109">
        <v>6003100</v>
      </c>
      <c r="B109" s="1" t="s">
        <v>1199</v>
      </c>
      <c r="C109" s="1" t="s">
        <v>223</v>
      </c>
    </row>
    <row r="110" spans="1:3" x14ac:dyDescent="0.4">
      <c r="A110">
        <v>6003101</v>
      </c>
      <c r="B110" s="1" t="s">
        <v>1200</v>
      </c>
      <c r="C110" s="1" t="s">
        <v>224</v>
      </c>
    </row>
    <row r="111" spans="1:3" x14ac:dyDescent="0.4">
      <c r="A111">
        <v>6003200</v>
      </c>
      <c r="B111" s="1" t="s">
        <v>1201</v>
      </c>
      <c r="C111" s="1" t="s">
        <v>225</v>
      </c>
    </row>
    <row r="112" spans="1:3" x14ac:dyDescent="0.4">
      <c r="A112">
        <v>6003201</v>
      </c>
      <c r="B112" s="1" t="s">
        <v>1202</v>
      </c>
      <c r="C112" s="1" t="s">
        <v>226</v>
      </c>
    </row>
    <row r="113" spans="1:3" x14ac:dyDescent="0.4">
      <c r="A113">
        <v>6003300</v>
      </c>
      <c r="B113" s="1" t="s">
        <v>1203</v>
      </c>
      <c r="C113" s="1" t="s">
        <v>227</v>
      </c>
    </row>
    <row r="114" spans="1:3" x14ac:dyDescent="0.4">
      <c r="A114">
        <v>6003301</v>
      </c>
      <c r="B114" s="1" t="s">
        <v>1204</v>
      </c>
      <c r="C114" s="1" t="s">
        <v>228</v>
      </c>
    </row>
    <row r="115" spans="1:3" x14ac:dyDescent="0.4">
      <c r="A115">
        <v>6003400</v>
      </c>
      <c r="B115" s="1" t="s">
        <v>1205</v>
      </c>
      <c r="C115" s="1" t="s">
        <v>229</v>
      </c>
    </row>
    <row r="116" spans="1:3" x14ac:dyDescent="0.4">
      <c r="A116">
        <v>6003401</v>
      </c>
      <c r="B116" s="1" t="s">
        <v>1206</v>
      </c>
      <c r="C116" s="1" t="s">
        <v>230</v>
      </c>
    </row>
    <row r="117" spans="1:3" x14ac:dyDescent="0.4">
      <c r="A117">
        <v>6003500</v>
      </c>
      <c r="B117" s="1" t="s">
        <v>1207</v>
      </c>
      <c r="C117" s="1" t="s">
        <v>231</v>
      </c>
    </row>
    <row r="118" spans="1:3" x14ac:dyDescent="0.4">
      <c r="A118">
        <v>6003501</v>
      </c>
      <c r="B118" s="1" t="s">
        <v>1208</v>
      </c>
      <c r="C118" s="1" t="s">
        <v>232</v>
      </c>
    </row>
    <row r="119" spans="1:3" x14ac:dyDescent="0.4">
      <c r="A119">
        <v>6003600</v>
      </c>
      <c r="B119" s="1" t="s">
        <v>1209</v>
      </c>
      <c r="C119" s="1" t="s">
        <v>233</v>
      </c>
    </row>
    <row r="120" spans="1:3" x14ac:dyDescent="0.4">
      <c r="A120">
        <v>6003601</v>
      </c>
      <c r="B120" s="1" t="s">
        <v>1210</v>
      </c>
      <c r="C120" s="1" t="s">
        <v>234</v>
      </c>
    </row>
    <row r="121" spans="1:3" x14ac:dyDescent="0.4">
      <c r="A121">
        <v>6005600</v>
      </c>
      <c r="B121" s="1" t="s">
        <v>1211</v>
      </c>
      <c r="C121" s="1" t="s">
        <v>235</v>
      </c>
    </row>
    <row r="122" spans="1:3" x14ac:dyDescent="0.4">
      <c r="A122">
        <v>6005601</v>
      </c>
      <c r="B122" s="1" t="s">
        <v>1212</v>
      </c>
      <c r="C122" s="1" t="s">
        <v>236</v>
      </c>
    </row>
    <row r="123" spans="1:3" x14ac:dyDescent="0.4">
      <c r="A123">
        <v>6006000</v>
      </c>
      <c r="B123" s="1" t="s">
        <v>1213</v>
      </c>
      <c r="C123" s="1" t="s">
        <v>237</v>
      </c>
    </row>
    <row r="124" spans="1:3" x14ac:dyDescent="0.4">
      <c r="A124">
        <v>6006001</v>
      </c>
      <c r="B124" s="1" t="s">
        <v>1214</v>
      </c>
      <c r="C124" s="1" t="s">
        <v>238</v>
      </c>
    </row>
    <row r="125" spans="1:3" x14ac:dyDescent="0.4">
      <c r="A125">
        <v>6006100</v>
      </c>
      <c r="B125" s="1" t="s">
        <v>1215</v>
      </c>
      <c r="C125" s="1" t="s">
        <v>239</v>
      </c>
    </row>
    <row r="126" spans="1:3" x14ac:dyDescent="0.4">
      <c r="A126">
        <v>6006101</v>
      </c>
      <c r="B126" s="1" t="s">
        <v>1216</v>
      </c>
      <c r="C126" s="1" t="s">
        <v>240</v>
      </c>
    </row>
    <row r="127" spans="1:3" x14ac:dyDescent="0.4">
      <c r="A127">
        <v>6012300</v>
      </c>
      <c r="B127" s="1" t="s">
        <v>1217</v>
      </c>
      <c r="C127" s="1" t="s">
        <v>241</v>
      </c>
    </row>
    <row r="128" spans="1:3" x14ac:dyDescent="0.4">
      <c r="A128">
        <v>6012301</v>
      </c>
      <c r="B128" s="1" t="s">
        <v>1218</v>
      </c>
      <c r="C128" s="1" t="s">
        <v>242</v>
      </c>
    </row>
    <row r="129" spans="1:3" x14ac:dyDescent="0.4">
      <c r="A129">
        <v>6030200</v>
      </c>
      <c r="B129" s="1" t="s">
        <v>1219</v>
      </c>
      <c r="C129" s="1" t="s">
        <v>243</v>
      </c>
    </row>
    <row r="130" spans="1:3" x14ac:dyDescent="0.4">
      <c r="A130">
        <v>6030201</v>
      </c>
      <c r="B130" s="1" t="s">
        <v>1220</v>
      </c>
      <c r="C130" s="1" t="s">
        <v>244</v>
      </c>
    </row>
    <row r="131" spans="1:3" x14ac:dyDescent="0.4">
      <c r="A131">
        <v>6030600</v>
      </c>
      <c r="B131" s="1" t="s">
        <v>1221</v>
      </c>
      <c r="C131" s="1" t="s">
        <v>245</v>
      </c>
    </row>
    <row r="132" spans="1:3" x14ac:dyDescent="0.4">
      <c r="A132">
        <v>6030601</v>
      </c>
      <c r="B132" s="1" t="s">
        <v>1222</v>
      </c>
      <c r="C132" s="1" t="s">
        <v>246</v>
      </c>
    </row>
    <row r="133" spans="1:3" x14ac:dyDescent="0.4">
      <c r="A133">
        <v>6030800</v>
      </c>
      <c r="B133" s="1" t="s">
        <v>1223</v>
      </c>
      <c r="C133" s="1" t="s">
        <v>247</v>
      </c>
    </row>
    <row r="134" spans="1:3" x14ac:dyDescent="0.4">
      <c r="A134">
        <v>6030801</v>
      </c>
      <c r="B134" s="1" t="s">
        <v>1224</v>
      </c>
      <c r="C134" s="1" t="s">
        <v>248</v>
      </c>
    </row>
    <row r="135" spans="1:3" x14ac:dyDescent="0.4">
      <c r="A135">
        <v>6030900</v>
      </c>
      <c r="B135" s="1" t="s">
        <v>1225</v>
      </c>
      <c r="C135" s="1" t="s">
        <v>249</v>
      </c>
    </row>
    <row r="136" spans="1:3" x14ac:dyDescent="0.4">
      <c r="A136">
        <v>6030901</v>
      </c>
      <c r="B136" s="1" t="s">
        <v>1226</v>
      </c>
      <c r="C136" s="1" t="s">
        <v>250</v>
      </c>
    </row>
    <row r="137" spans="1:3" x14ac:dyDescent="0.4">
      <c r="A137">
        <v>6031900</v>
      </c>
      <c r="B137" s="1" t="s">
        <v>1227</v>
      </c>
      <c r="C137" s="1" t="s">
        <v>251</v>
      </c>
    </row>
    <row r="138" spans="1:3" x14ac:dyDescent="0.4">
      <c r="A138">
        <v>6031901</v>
      </c>
      <c r="B138" s="1" t="s">
        <v>1228</v>
      </c>
      <c r="C138" s="1" t="s">
        <v>252</v>
      </c>
    </row>
    <row r="139" spans="1:3" x14ac:dyDescent="0.4">
      <c r="A139">
        <v>6032200</v>
      </c>
      <c r="B139" s="1" t="s">
        <v>1229</v>
      </c>
      <c r="C139" s="1" t="s">
        <v>253</v>
      </c>
    </row>
    <row r="140" spans="1:3" x14ac:dyDescent="0.4">
      <c r="A140">
        <v>6032201</v>
      </c>
      <c r="B140" s="1" t="s">
        <v>1230</v>
      </c>
      <c r="C140" s="1" t="s">
        <v>254</v>
      </c>
    </row>
    <row r="141" spans="1:3" x14ac:dyDescent="0.4">
      <c r="A141">
        <v>6035100</v>
      </c>
      <c r="B141" s="1" t="s">
        <v>1231</v>
      </c>
      <c r="C141" s="1" t="s">
        <v>255</v>
      </c>
    </row>
    <row r="142" spans="1:3" x14ac:dyDescent="0.4">
      <c r="A142">
        <v>6035101</v>
      </c>
      <c r="B142" s="1" t="s">
        <v>1232</v>
      </c>
      <c r="C142" s="1" t="s">
        <v>256</v>
      </c>
    </row>
    <row r="143" spans="1:3" x14ac:dyDescent="0.4">
      <c r="A143">
        <v>6040000</v>
      </c>
      <c r="B143" s="1" t="s">
        <v>1233</v>
      </c>
      <c r="C143" s="1" t="s">
        <v>257</v>
      </c>
    </row>
    <row r="144" spans="1:3" x14ac:dyDescent="0.4">
      <c r="A144">
        <v>6040001</v>
      </c>
      <c r="B144" s="1" t="s">
        <v>1234</v>
      </c>
      <c r="C144" s="1" t="s">
        <v>258</v>
      </c>
    </row>
    <row r="145" spans="1:3" x14ac:dyDescent="0.4">
      <c r="A145">
        <v>6040100</v>
      </c>
      <c r="B145" s="1" t="s">
        <v>1235</v>
      </c>
      <c r="C145" s="1" t="s">
        <v>259</v>
      </c>
    </row>
    <row r="146" spans="1:3" x14ac:dyDescent="0.4">
      <c r="A146">
        <v>6040101</v>
      </c>
      <c r="B146" s="1" t="s">
        <v>1236</v>
      </c>
      <c r="C146" s="1" t="s">
        <v>260</v>
      </c>
    </row>
    <row r="147" spans="1:3" x14ac:dyDescent="0.4">
      <c r="A147">
        <v>6040300</v>
      </c>
      <c r="B147" s="1" t="s">
        <v>1237</v>
      </c>
      <c r="C147" s="1" t="s">
        <v>261</v>
      </c>
    </row>
    <row r="148" spans="1:3" x14ac:dyDescent="0.4">
      <c r="A148">
        <v>6040301</v>
      </c>
      <c r="B148" s="1" t="s">
        <v>1238</v>
      </c>
      <c r="C148" s="1" t="s">
        <v>262</v>
      </c>
    </row>
    <row r="149" spans="1:3" x14ac:dyDescent="0.4">
      <c r="A149">
        <v>6040400</v>
      </c>
      <c r="B149" s="1" t="s">
        <v>1239</v>
      </c>
      <c r="C149" s="1" t="s">
        <v>263</v>
      </c>
    </row>
    <row r="150" spans="1:3" x14ac:dyDescent="0.4">
      <c r="A150">
        <v>6040401</v>
      </c>
      <c r="B150" s="1" t="s">
        <v>1240</v>
      </c>
      <c r="C150" s="1" t="s">
        <v>264</v>
      </c>
    </row>
    <row r="151" spans="1:3" x14ac:dyDescent="0.4">
      <c r="A151">
        <v>6040500</v>
      </c>
      <c r="B151" s="1" t="s">
        <v>1241</v>
      </c>
      <c r="C151" s="1" t="s">
        <v>265</v>
      </c>
    </row>
    <row r="152" spans="1:3" x14ac:dyDescent="0.4">
      <c r="A152">
        <v>6040501</v>
      </c>
      <c r="B152" s="1" t="s">
        <v>1242</v>
      </c>
      <c r="C152" s="1" t="s">
        <v>266</v>
      </c>
    </row>
    <row r="153" spans="1:3" x14ac:dyDescent="0.4">
      <c r="A153">
        <v>6043000</v>
      </c>
      <c r="B153" s="1" t="s">
        <v>1243</v>
      </c>
      <c r="C153" s="1" t="s">
        <v>267</v>
      </c>
    </row>
    <row r="154" spans="1:3" x14ac:dyDescent="0.4">
      <c r="A154">
        <v>6043001</v>
      </c>
      <c r="B154" s="1" t="s">
        <v>1244</v>
      </c>
      <c r="C154" s="1" t="s">
        <v>268</v>
      </c>
    </row>
    <row r="155" spans="1:3" x14ac:dyDescent="0.4">
      <c r="A155">
        <v>6043100</v>
      </c>
      <c r="B155" s="1" t="s">
        <v>1245</v>
      </c>
      <c r="C155" s="1" t="s">
        <v>269</v>
      </c>
    </row>
    <row r="156" spans="1:3" x14ac:dyDescent="0.4">
      <c r="A156">
        <v>6043101</v>
      </c>
      <c r="B156" s="1" t="s">
        <v>1246</v>
      </c>
      <c r="C156" s="1" t="s">
        <v>270</v>
      </c>
    </row>
    <row r="157" spans="1:3" x14ac:dyDescent="0.4">
      <c r="A157">
        <v>6060300</v>
      </c>
      <c r="B157" s="1" t="s">
        <v>1247</v>
      </c>
      <c r="C157" s="1" t="s">
        <v>271</v>
      </c>
    </row>
    <row r="158" spans="1:3" x14ac:dyDescent="0.4">
      <c r="A158">
        <v>6060400</v>
      </c>
      <c r="B158" s="1" t="s">
        <v>1248</v>
      </c>
      <c r="C158" s="1" t="s">
        <v>272</v>
      </c>
    </row>
    <row r="159" spans="1:3" x14ac:dyDescent="0.4">
      <c r="A159">
        <v>6060500</v>
      </c>
      <c r="B159" s="1" t="s">
        <v>1249</v>
      </c>
      <c r="C159" s="1" t="s">
        <v>273</v>
      </c>
    </row>
    <row r="160" spans="1:3" x14ac:dyDescent="0.4">
      <c r="A160">
        <v>6060600</v>
      </c>
      <c r="B160" s="1" t="s">
        <v>1250</v>
      </c>
      <c r="C160" s="1" t="s">
        <v>274</v>
      </c>
    </row>
    <row r="161" spans="1:3" x14ac:dyDescent="0.4">
      <c r="A161">
        <v>6090000</v>
      </c>
      <c r="B161" s="1" t="s">
        <v>1251</v>
      </c>
      <c r="C161" s="1" t="s">
        <v>275</v>
      </c>
    </row>
    <row r="162" spans="1:3" x14ac:dyDescent="0.4">
      <c r="A162">
        <v>6090001</v>
      </c>
      <c r="B162" s="1" t="s">
        <v>1252</v>
      </c>
      <c r="C162" s="1" t="s">
        <v>276</v>
      </c>
    </row>
    <row r="163" spans="1:3" x14ac:dyDescent="0.4">
      <c r="A163">
        <v>6160000</v>
      </c>
      <c r="B163" s="1" t="s">
        <v>1253</v>
      </c>
      <c r="C163" s="1" t="s">
        <v>277</v>
      </c>
    </row>
    <row r="164" spans="1:3" x14ac:dyDescent="0.4">
      <c r="A164">
        <v>6160001</v>
      </c>
      <c r="B164" s="1" t="s">
        <v>1254</v>
      </c>
      <c r="C164" s="1" t="s">
        <v>278</v>
      </c>
    </row>
    <row r="165" spans="1:3" x14ac:dyDescent="0.4">
      <c r="A165">
        <v>6260000</v>
      </c>
      <c r="B165" s="1" t="s">
        <v>1255</v>
      </c>
      <c r="C165" s="1" t="s">
        <v>279</v>
      </c>
    </row>
    <row r="166" spans="1:3" x14ac:dyDescent="0.4">
      <c r="A166">
        <v>6260001</v>
      </c>
      <c r="B166" s="1" t="s">
        <v>1256</v>
      </c>
      <c r="C166" s="1" t="s">
        <v>280</v>
      </c>
    </row>
    <row r="167" spans="1:3" x14ac:dyDescent="0.4">
      <c r="A167">
        <v>6260300</v>
      </c>
      <c r="B167" s="1" t="s">
        <v>1257</v>
      </c>
      <c r="C167" s="1" t="s">
        <v>281</v>
      </c>
    </row>
    <row r="168" spans="1:3" x14ac:dyDescent="0.4">
      <c r="A168">
        <v>6260301</v>
      </c>
      <c r="B168" s="1" t="s">
        <v>1258</v>
      </c>
      <c r="C168" s="1" t="s">
        <v>282</v>
      </c>
    </row>
    <row r="169" spans="1:3" x14ac:dyDescent="0.4">
      <c r="A169">
        <v>6260400</v>
      </c>
      <c r="B169" s="1" t="s">
        <v>1259</v>
      </c>
      <c r="C169" s="1" t="s">
        <v>283</v>
      </c>
    </row>
    <row r="170" spans="1:3" x14ac:dyDescent="0.4">
      <c r="A170">
        <v>6260401</v>
      </c>
      <c r="B170" s="1" t="s">
        <v>1260</v>
      </c>
      <c r="C170" s="1" t="s">
        <v>284</v>
      </c>
    </row>
    <row r="171" spans="1:3" x14ac:dyDescent="0.4">
      <c r="A171">
        <v>6500000</v>
      </c>
      <c r="B171" s="1" t="s">
        <v>1261</v>
      </c>
      <c r="C171" s="1" t="s">
        <v>285</v>
      </c>
    </row>
    <row r="172" spans="1:3" x14ac:dyDescent="0.4">
      <c r="A172">
        <v>6500100</v>
      </c>
      <c r="B172" s="1" t="s">
        <v>1262</v>
      </c>
      <c r="C172" s="1" t="s">
        <v>286</v>
      </c>
    </row>
    <row r="173" spans="1:3" x14ac:dyDescent="0.4">
      <c r="A173">
        <v>6500200</v>
      </c>
      <c r="B173" s="1" t="s">
        <v>1263</v>
      </c>
      <c r="C173" s="1" t="s">
        <v>287</v>
      </c>
    </row>
    <row r="174" spans="1:3" x14ac:dyDescent="0.4">
      <c r="A174">
        <v>6500300</v>
      </c>
      <c r="B174" s="1" t="s">
        <v>1264</v>
      </c>
      <c r="C174" s="1" t="s">
        <v>288</v>
      </c>
    </row>
    <row r="175" spans="1:3" x14ac:dyDescent="0.4">
      <c r="A175">
        <v>6500400</v>
      </c>
      <c r="B175" s="1" t="s">
        <v>1265</v>
      </c>
      <c r="C175" s="1" t="s">
        <v>289</v>
      </c>
    </row>
    <row r="176" spans="1:3" x14ac:dyDescent="0.4">
      <c r="A176">
        <v>6500500</v>
      </c>
      <c r="B176" s="1" t="s">
        <v>1266</v>
      </c>
      <c r="C176" s="1" t="s">
        <v>290</v>
      </c>
    </row>
    <row r="177" spans="1:3" x14ac:dyDescent="0.4">
      <c r="A177">
        <v>6500600</v>
      </c>
      <c r="B177" s="1" t="s">
        <v>1267</v>
      </c>
      <c r="C177" s="1" t="s">
        <v>291</v>
      </c>
    </row>
    <row r="178" spans="1:3" x14ac:dyDescent="0.4">
      <c r="A178">
        <v>6500700</v>
      </c>
      <c r="B178" s="1" t="s">
        <v>1268</v>
      </c>
      <c r="C178" s="1" t="s">
        <v>292</v>
      </c>
    </row>
    <row r="179" spans="1:3" x14ac:dyDescent="0.4">
      <c r="A179">
        <v>6500800</v>
      </c>
      <c r="B179" s="1" t="s">
        <v>1269</v>
      </c>
      <c r="C179" s="1" t="s">
        <v>961</v>
      </c>
    </row>
    <row r="180" spans="1:3" x14ac:dyDescent="0.4">
      <c r="A180">
        <v>6500900</v>
      </c>
      <c r="B180" s="1" t="s">
        <v>1270</v>
      </c>
      <c r="C180" s="1" t="s">
        <v>962</v>
      </c>
    </row>
    <row r="181" spans="1:3" x14ac:dyDescent="0.4">
      <c r="A181">
        <v>6600000</v>
      </c>
      <c r="B181" s="1" t="s">
        <v>1271</v>
      </c>
      <c r="C181" s="1" t="s">
        <v>293</v>
      </c>
    </row>
    <row r="182" spans="1:3" x14ac:dyDescent="0.4">
      <c r="A182">
        <v>6600001</v>
      </c>
      <c r="B182" s="1" t="s">
        <v>1272</v>
      </c>
      <c r="C182" s="1" t="s">
        <v>294</v>
      </c>
    </row>
    <row r="183" spans="1:3" x14ac:dyDescent="0.4">
      <c r="A183">
        <v>6600002</v>
      </c>
      <c r="B183" s="1" t="s">
        <v>1273</v>
      </c>
      <c r="C183" s="1" t="s">
        <v>295</v>
      </c>
    </row>
    <row r="184" spans="1:3" x14ac:dyDescent="0.4">
      <c r="A184">
        <v>6600100</v>
      </c>
      <c r="B184" s="1" t="s">
        <v>1274</v>
      </c>
      <c r="C184" s="1" t="s">
        <v>296</v>
      </c>
    </row>
    <row r="185" spans="1:3" x14ac:dyDescent="0.4">
      <c r="A185">
        <v>6600101</v>
      </c>
      <c r="B185" s="1" t="s">
        <v>1275</v>
      </c>
      <c r="C185" s="1" t="s">
        <v>297</v>
      </c>
    </row>
    <row r="186" spans="1:3" x14ac:dyDescent="0.4">
      <c r="A186">
        <v>6600102</v>
      </c>
      <c r="B186" s="1" t="s">
        <v>1276</v>
      </c>
      <c r="C186" s="1" t="s">
        <v>298</v>
      </c>
    </row>
    <row r="187" spans="1:3" x14ac:dyDescent="0.4">
      <c r="A187">
        <v>6610400</v>
      </c>
      <c r="B187" s="1" t="s">
        <v>1277</v>
      </c>
      <c r="C187" s="1" t="s">
        <v>129</v>
      </c>
    </row>
    <row r="188" spans="1:3" x14ac:dyDescent="0.4">
      <c r="A188">
        <v>6610500</v>
      </c>
      <c r="B188" s="1" t="s">
        <v>1278</v>
      </c>
      <c r="C188" s="1" t="s">
        <v>130</v>
      </c>
    </row>
    <row r="189" spans="1:3" x14ac:dyDescent="0.4">
      <c r="A189">
        <v>6610600</v>
      </c>
      <c r="B189" s="1" t="s">
        <v>1279</v>
      </c>
      <c r="C189" s="1" t="s">
        <v>131</v>
      </c>
    </row>
    <row r="190" spans="1:3" x14ac:dyDescent="0.4">
      <c r="A190">
        <v>6610700</v>
      </c>
      <c r="B190" s="1" t="s">
        <v>1280</v>
      </c>
      <c r="C190" s="1" t="s">
        <v>299</v>
      </c>
    </row>
    <row r="191" spans="1:3" x14ac:dyDescent="0.4">
      <c r="A191">
        <v>6610701</v>
      </c>
      <c r="B191" s="1" t="s">
        <v>1281</v>
      </c>
      <c r="C191" s="1" t="s">
        <v>300</v>
      </c>
    </row>
    <row r="192" spans="1:3" x14ac:dyDescent="0.4">
      <c r="A192">
        <v>6610702</v>
      </c>
      <c r="B192" s="1" t="s">
        <v>1282</v>
      </c>
      <c r="C192" s="1" t="s">
        <v>301</v>
      </c>
    </row>
    <row r="193" spans="1:3" x14ac:dyDescent="0.4">
      <c r="A193">
        <v>6610800</v>
      </c>
      <c r="B193" s="1" t="s">
        <v>1283</v>
      </c>
      <c r="C193" s="1" t="s">
        <v>302</v>
      </c>
    </row>
    <row r="194" spans="1:3" x14ac:dyDescent="0.4">
      <c r="A194">
        <v>6610801</v>
      </c>
      <c r="B194" s="1" t="s">
        <v>1284</v>
      </c>
      <c r="C194" s="1" t="s">
        <v>303</v>
      </c>
    </row>
    <row r="195" spans="1:3" x14ac:dyDescent="0.4">
      <c r="A195">
        <v>6610802</v>
      </c>
      <c r="B195" s="1" t="s">
        <v>1285</v>
      </c>
      <c r="C195" s="1" t="s">
        <v>304</v>
      </c>
    </row>
    <row r="196" spans="1:3" x14ac:dyDescent="0.4">
      <c r="A196">
        <v>6611000</v>
      </c>
      <c r="B196" s="1" t="s">
        <v>1153</v>
      </c>
      <c r="C196" s="1" t="s">
        <v>177</v>
      </c>
    </row>
    <row r="197" spans="1:3" x14ac:dyDescent="0.4">
      <c r="A197">
        <v>6611001</v>
      </c>
      <c r="B197" s="1" t="s">
        <v>1286</v>
      </c>
      <c r="C197" s="1" t="s">
        <v>305</v>
      </c>
    </row>
    <row r="198" spans="1:3" x14ac:dyDescent="0.4">
      <c r="A198">
        <v>6611002</v>
      </c>
      <c r="B198" s="1" t="s">
        <v>1287</v>
      </c>
      <c r="C198" s="1" t="s">
        <v>306</v>
      </c>
    </row>
    <row r="199" spans="1:3" x14ac:dyDescent="0.4">
      <c r="A199">
        <v>6611100</v>
      </c>
      <c r="B199" s="1" t="s">
        <v>1158</v>
      </c>
      <c r="C199" s="1" t="s">
        <v>182</v>
      </c>
    </row>
    <row r="200" spans="1:3" x14ac:dyDescent="0.4">
      <c r="A200">
        <v>6611101</v>
      </c>
      <c r="B200" s="1" t="s">
        <v>1288</v>
      </c>
      <c r="C200" s="1" t="s">
        <v>307</v>
      </c>
    </row>
    <row r="201" spans="1:3" x14ac:dyDescent="0.4">
      <c r="A201">
        <v>6611102</v>
      </c>
      <c r="B201" s="1" t="s">
        <v>1289</v>
      </c>
      <c r="C201" s="1" t="s">
        <v>308</v>
      </c>
    </row>
    <row r="202" spans="1:3" x14ac:dyDescent="0.4">
      <c r="A202">
        <v>6611200</v>
      </c>
      <c r="B202" s="1" t="s">
        <v>1146</v>
      </c>
      <c r="C202" s="1" t="s">
        <v>170</v>
      </c>
    </row>
    <row r="203" spans="1:3" x14ac:dyDescent="0.4">
      <c r="A203">
        <v>6611201</v>
      </c>
      <c r="B203" s="1" t="s">
        <v>1290</v>
      </c>
      <c r="C203" s="1" t="s">
        <v>309</v>
      </c>
    </row>
    <row r="204" spans="1:3" x14ac:dyDescent="0.4">
      <c r="A204">
        <v>6611202</v>
      </c>
      <c r="B204" s="1" t="s">
        <v>1291</v>
      </c>
      <c r="C204" s="1" t="s">
        <v>310</v>
      </c>
    </row>
    <row r="205" spans="1:3" x14ac:dyDescent="0.4">
      <c r="A205">
        <v>6611300</v>
      </c>
      <c r="B205" s="1" t="s">
        <v>1147</v>
      </c>
      <c r="C205" s="1" t="s">
        <v>171</v>
      </c>
    </row>
    <row r="206" spans="1:3" x14ac:dyDescent="0.4">
      <c r="A206">
        <v>6611301</v>
      </c>
      <c r="B206" s="1" t="s">
        <v>1292</v>
      </c>
      <c r="C206" s="1" t="s">
        <v>311</v>
      </c>
    </row>
    <row r="207" spans="1:3" x14ac:dyDescent="0.4">
      <c r="A207">
        <v>6611302</v>
      </c>
      <c r="B207" s="1" t="s">
        <v>1293</v>
      </c>
      <c r="C207" s="1" t="s">
        <v>312</v>
      </c>
    </row>
    <row r="208" spans="1:3" x14ac:dyDescent="0.4">
      <c r="A208">
        <v>6611400</v>
      </c>
      <c r="B208" s="1" t="s">
        <v>1164</v>
      </c>
      <c r="C208" s="1" t="s">
        <v>188</v>
      </c>
    </row>
    <row r="209" spans="1:3" x14ac:dyDescent="0.4">
      <c r="A209">
        <v>6621000</v>
      </c>
      <c r="B209" s="1" t="s">
        <v>1294</v>
      </c>
      <c r="C209" s="1" t="s">
        <v>313</v>
      </c>
    </row>
    <row r="210" spans="1:3" x14ac:dyDescent="0.4">
      <c r="A210">
        <v>6621100</v>
      </c>
      <c r="B210" s="1" t="s">
        <v>1295</v>
      </c>
      <c r="C210" s="1" t="s">
        <v>314</v>
      </c>
    </row>
    <row r="211" spans="1:3" x14ac:dyDescent="0.4">
      <c r="A211">
        <v>6621200</v>
      </c>
      <c r="B211" s="1" t="s">
        <v>1296</v>
      </c>
      <c r="C211" s="1" t="s">
        <v>315</v>
      </c>
    </row>
    <row r="212" spans="1:3" x14ac:dyDescent="0.4">
      <c r="A212">
        <v>6621300</v>
      </c>
      <c r="B212" s="1" t="s">
        <v>1297</v>
      </c>
      <c r="C212" s="1" t="s">
        <v>316</v>
      </c>
    </row>
    <row r="213" spans="1:3" x14ac:dyDescent="0.4">
      <c r="A213">
        <v>6621400</v>
      </c>
      <c r="B213" s="1" t="s">
        <v>1298</v>
      </c>
      <c r="C213" s="1" t="s">
        <v>317</v>
      </c>
    </row>
    <row r="214" spans="1:3" x14ac:dyDescent="0.4">
      <c r="A214">
        <v>6621500</v>
      </c>
      <c r="B214" s="1" t="s">
        <v>1299</v>
      </c>
      <c r="C214" s="1" t="s">
        <v>318</v>
      </c>
    </row>
    <row r="215" spans="1:3" x14ac:dyDescent="0.4">
      <c r="A215">
        <v>6621600</v>
      </c>
      <c r="B215" s="1" t="s">
        <v>1300</v>
      </c>
      <c r="C215" s="1" t="s">
        <v>319</v>
      </c>
    </row>
    <row r="216" spans="1:3" x14ac:dyDescent="0.4">
      <c r="A216">
        <v>6621700</v>
      </c>
      <c r="B216" s="1" t="s">
        <v>1301</v>
      </c>
      <c r="C216" s="1" t="s">
        <v>320</v>
      </c>
    </row>
    <row r="217" spans="1:3" x14ac:dyDescent="0.4">
      <c r="A217">
        <v>6621800</v>
      </c>
      <c r="B217" s="1" t="s">
        <v>1302</v>
      </c>
      <c r="C217" s="1" t="s">
        <v>321</v>
      </c>
    </row>
    <row r="218" spans="1:3" x14ac:dyDescent="0.4">
      <c r="A218">
        <v>6621900</v>
      </c>
      <c r="B218" s="1" t="s">
        <v>1303</v>
      </c>
      <c r="C218" s="1" t="s">
        <v>322</v>
      </c>
    </row>
    <row r="219" spans="1:3" x14ac:dyDescent="0.4">
      <c r="A219">
        <v>6622000</v>
      </c>
      <c r="B219" s="1" t="s">
        <v>1304</v>
      </c>
      <c r="C219" s="1" t="s">
        <v>323</v>
      </c>
    </row>
    <row r="220" spans="1:3" x14ac:dyDescent="0.4">
      <c r="A220">
        <v>6622100</v>
      </c>
      <c r="B220" s="1" t="s">
        <v>1305</v>
      </c>
      <c r="C220" s="1" t="s">
        <v>324</v>
      </c>
    </row>
    <row r="221" spans="1:3" x14ac:dyDescent="0.4">
      <c r="A221">
        <v>6622200</v>
      </c>
      <c r="B221" s="1" t="s">
        <v>1306</v>
      </c>
      <c r="C221" s="1" t="s">
        <v>325</v>
      </c>
    </row>
    <row r="222" spans="1:3" x14ac:dyDescent="0.4">
      <c r="A222">
        <v>6622300</v>
      </c>
      <c r="B222" s="1" t="s">
        <v>1307</v>
      </c>
      <c r="C222" s="1" t="s">
        <v>326</v>
      </c>
    </row>
    <row r="223" spans="1:3" x14ac:dyDescent="0.4">
      <c r="A223">
        <v>6622400</v>
      </c>
      <c r="B223" s="1" t="s">
        <v>1308</v>
      </c>
      <c r="C223" s="1" t="s">
        <v>327</v>
      </c>
    </row>
    <row r="224" spans="1:3" x14ac:dyDescent="0.4">
      <c r="A224">
        <v>6622500</v>
      </c>
      <c r="B224" s="1" t="s">
        <v>1309</v>
      </c>
      <c r="C224" s="1" t="s">
        <v>328</v>
      </c>
    </row>
    <row r="225" spans="1:3" x14ac:dyDescent="0.4">
      <c r="A225">
        <v>6622600</v>
      </c>
      <c r="B225" s="1" t="s">
        <v>1310</v>
      </c>
      <c r="C225" s="1" t="s">
        <v>329</v>
      </c>
    </row>
    <row r="226" spans="1:3" x14ac:dyDescent="0.4">
      <c r="A226">
        <v>6622700</v>
      </c>
      <c r="B226" s="1" t="s">
        <v>1311</v>
      </c>
      <c r="C226" s="1" t="s">
        <v>330</v>
      </c>
    </row>
    <row r="227" spans="1:3" x14ac:dyDescent="0.4">
      <c r="A227">
        <v>6622800</v>
      </c>
      <c r="B227" s="1" t="s">
        <v>1312</v>
      </c>
      <c r="C227" s="1" t="s">
        <v>331</v>
      </c>
    </row>
    <row r="228" spans="1:3" x14ac:dyDescent="0.4">
      <c r="A228">
        <v>6622900</v>
      </c>
      <c r="B228" s="1" t="s">
        <v>1313</v>
      </c>
      <c r="C228" s="1" t="s">
        <v>332</v>
      </c>
    </row>
    <row r="229" spans="1:3" x14ac:dyDescent="0.4">
      <c r="A229">
        <v>6623000</v>
      </c>
      <c r="B229" s="1" t="s">
        <v>1314</v>
      </c>
      <c r="C229" s="1" t="s">
        <v>333</v>
      </c>
    </row>
    <row r="230" spans="1:3" x14ac:dyDescent="0.4">
      <c r="A230">
        <v>6623100</v>
      </c>
      <c r="B230" s="1" t="s">
        <v>1315</v>
      </c>
      <c r="C230" s="1" t="s">
        <v>334</v>
      </c>
    </row>
    <row r="231" spans="1:3" x14ac:dyDescent="0.4">
      <c r="A231">
        <v>6623200</v>
      </c>
      <c r="B231" s="1" t="s">
        <v>1316</v>
      </c>
      <c r="C231" s="1" t="s">
        <v>320</v>
      </c>
    </row>
    <row r="232" spans="1:3" x14ac:dyDescent="0.4">
      <c r="A232">
        <v>6624000</v>
      </c>
      <c r="B232" s="1" t="s">
        <v>1317</v>
      </c>
      <c r="C232" s="1" t="s">
        <v>335</v>
      </c>
    </row>
    <row r="233" spans="1:3" x14ac:dyDescent="0.4">
      <c r="A233">
        <v>6624100</v>
      </c>
      <c r="B233" s="1" t="s">
        <v>1318</v>
      </c>
      <c r="C233" s="1" t="s">
        <v>336</v>
      </c>
    </row>
    <row r="234" spans="1:3" x14ac:dyDescent="0.4">
      <c r="A234">
        <v>6624200</v>
      </c>
      <c r="B234" s="1" t="s">
        <v>1319</v>
      </c>
      <c r="C234" s="1" t="s">
        <v>337</v>
      </c>
    </row>
    <row r="235" spans="1:3" x14ac:dyDescent="0.4">
      <c r="A235">
        <v>6624300</v>
      </c>
      <c r="B235" s="1" t="s">
        <v>1320</v>
      </c>
      <c r="C235" s="1" t="s">
        <v>338</v>
      </c>
    </row>
    <row r="236" spans="1:3" x14ac:dyDescent="0.4">
      <c r="A236">
        <v>6624400</v>
      </c>
      <c r="B236" s="1" t="s">
        <v>1321</v>
      </c>
      <c r="C236" s="1" t="s">
        <v>339</v>
      </c>
    </row>
    <row r="237" spans="1:3" x14ac:dyDescent="0.4">
      <c r="A237">
        <v>6624500</v>
      </c>
      <c r="B237" s="1" t="s">
        <v>1322</v>
      </c>
      <c r="C237" s="1" t="s">
        <v>340</v>
      </c>
    </row>
    <row r="238" spans="1:3" x14ac:dyDescent="0.4">
      <c r="A238">
        <v>6630000</v>
      </c>
      <c r="B238" s="1" t="s">
        <v>1323</v>
      </c>
      <c r="C238" s="1" t="s">
        <v>341</v>
      </c>
    </row>
    <row r="239" spans="1:3" x14ac:dyDescent="0.4">
      <c r="A239">
        <v>6630100</v>
      </c>
      <c r="B239" s="1" t="s">
        <v>1324</v>
      </c>
      <c r="C239" s="1" t="s">
        <v>342</v>
      </c>
    </row>
    <row r="240" spans="1:3" x14ac:dyDescent="0.4">
      <c r="A240">
        <v>6630200</v>
      </c>
      <c r="B240" s="1" t="s">
        <v>1325</v>
      </c>
      <c r="C240" s="1" t="s">
        <v>343</v>
      </c>
    </row>
    <row r="241" spans="1:3" x14ac:dyDescent="0.4">
      <c r="A241">
        <v>6630300</v>
      </c>
      <c r="B241" s="1" t="s">
        <v>1326</v>
      </c>
      <c r="C241" s="1" t="s">
        <v>344</v>
      </c>
    </row>
    <row r="242" spans="1:3" x14ac:dyDescent="0.4">
      <c r="A242">
        <v>6630400</v>
      </c>
      <c r="B242" s="1" t="s">
        <v>1327</v>
      </c>
      <c r="C242" s="1" t="s">
        <v>345</v>
      </c>
    </row>
    <row r="243" spans="1:3" x14ac:dyDescent="0.4">
      <c r="A243">
        <v>6630500</v>
      </c>
      <c r="B243" s="1" t="s">
        <v>1328</v>
      </c>
      <c r="C243" s="1" t="s">
        <v>346</v>
      </c>
    </row>
    <row r="244" spans="1:3" x14ac:dyDescent="0.4">
      <c r="A244">
        <v>6630600</v>
      </c>
      <c r="B244" s="1" t="s">
        <v>1329</v>
      </c>
      <c r="C244" s="1" t="s">
        <v>347</v>
      </c>
    </row>
    <row r="245" spans="1:3" x14ac:dyDescent="0.4">
      <c r="A245">
        <v>6630700</v>
      </c>
      <c r="B245" s="1" t="s">
        <v>1330</v>
      </c>
      <c r="C245" s="1" t="s">
        <v>348</v>
      </c>
    </row>
    <row r="246" spans="1:3" x14ac:dyDescent="0.4">
      <c r="A246">
        <v>6630800</v>
      </c>
      <c r="B246" s="1" t="s">
        <v>1331</v>
      </c>
      <c r="C246" s="1" t="s">
        <v>349</v>
      </c>
    </row>
    <row r="247" spans="1:3" x14ac:dyDescent="0.4">
      <c r="A247">
        <v>6630900</v>
      </c>
      <c r="B247" s="1" t="s">
        <v>1332</v>
      </c>
      <c r="C247" s="1" t="s">
        <v>350</v>
      </c>
    </row>
    <row r="248" spans="1:3" x14ac:dyDescent="0.4">
      <c r="A248">
        <v>6631000</v>
      </c>
      <c r="B248" s="1" t="s">
        <v>1333</v>
      </c>
      <c r="C248" s="1" t="s">
        <v>351</v>
      </c>
    </row>
    <row r="249" spans="1:3" x14ac:dyDescent="0.4">
      <c r="A249">
        <v>6631100</v>
      </c>
      <c r="B249" s="1" t="s">
        <v>1334</v>
      </c>
      <c r="C249" s="1" t="s">
        <v>352</v>
      </c>
    </row>
    <row r="250" spans="1:3" x14ac:dyDescent="0.4">
      <c r="A250">
        <v>6631200</v>
      </c>
      <c r="B250" s="1" t="s">
        <v>1335</v>
      </c>
      <c r="C250" s="1" t="s">
        <v>353</v>
      </c>
    </row>
    <row r="251" spans="1:3" x14ac:dyDescent="0.4">
      <c r="A251">
        <v>6631300</v>
      </c>
      <c r="B251" s="1" t="s">
        <v>1336</v>
      </c>
      <c r="C251" s="1" t="s">
        <v>354</v>
      </c>
    </row>
    <row r="252" spans="1:3" x14ac:dyDescent="0.4">
      <c r="A252">
        <v>6631400</v>
      </c>
      <c r="B252" s="1" t="s">
        <v>1337</v>
      </c>
      <c r="C252" s="1" t="s">
        <v>355</v>
      </c>
    </row>
    <row r="253" spans="1:3" x14ac:dyDescent="0.4">
      <c r="A253">
        <v>6631500</v>
      </c>
      <c r="B253" s="1" t="s">
        <v>1338</v>
      </c>
      <c r="C253" s="1" t="s">
        <v>356</v>
      </c>
    </row>
    <row r="254" spans="1:3" x14ac:dyDescent="0.4">
      <c r="A254">
        <v>6631600</v>
      </c>
      <c r="B254" s="1" t="s">
        <v>1339</v>
      </c>
      <c r="C254" s="1" t="s">
        <v>357</v>
      </c>
    </row>
    <row r="255" spans="1:3" x14ac:dyDescent="0.4">
      <c r="A255">
        <v>6631700</v>
      </c>
      <c r="B255" s="1" t="s">
        <v>1340</v>
      </c>
      <c r="C255" s="1" t="s">
        <v>358</v>
      </c>
    </row>
    <row r="256" spans="1:3" x14ac:dyDescent="0.4">
      <c r="A256">
        <v>6631800</v>
      </c>
      <c r="B256" s="1" t="s">
        <v>1341</v>
      </c>
      <c r="C256" s="1" t="s">
        <v>359</v>
      </c>
    </row>
    <row r="257" spans="1:3" x14ac:dyDescent="0.4">
      <c r="A257">
        <v>6631900</v>
      </c>
      <c r="B257" s="1" t="s">
        <v>1342</v>
      </c>
      <c r="C257" s="1" t="s">
        <v>360</v>
      </c>
    </row>
    <row r="258" spans="1:3" x14ac:dyDescent="0.4">
      <c r="A258">
        <v>6632000</v>
      </c>
      <c r="B258" s="1" t="s">
        <v>1343</v>
      </c>
      <c r="C258" s="1" t="s">
        <v>361</v>
      </c>
    </row>
    <row r="259" spans="1:3" x14ac:dyDescent="0.4">
      <c r="A259">
        <v>6632100</v>
      </c>
      <c r="B259" s="1" t="s">
        <v>1344</v>
      </c>
      <c r="C259" s="1" t="s">
        <v>362</v>
      </c>
    </row>
    <row r="260" spans="1:3" x14ac:dyDescent="0.4">
      <c r="A260">
        <v>6632200</v>
      </c>
      <c r="B260" s="1" t="s">
        <v>1345</v>
      </c>
      <c r="C260" s="1" t="s">
        <v>363</v>
      </c>
    </row>
    <row r="261" spans="1:3" x14ac:dyDescent="0.4">
      <c r="A261">
        <v>6632300</v>
      </c>
      <c r="B261" s="1" t="s">
        <v>1346</v>
      </c>
      <c r="C261" s="1" t="s">
        <v>364</v>
      </c>
    </row>
    <row r="262" spans="1:3" x14ac:dyDescent="0.4">
      <c r="A262">
        <v>6632400</v>
      </c>
      <c r="B262" s="1" t="s">
        <v>1347</v>
      </c>
      <c r="C262" s="1" t="s">
        <v>365</v>
      </c>
    </row>
    <row r="263" spans="1:3" x14ac:dyDescent="0.4">
      <c r="A263">
        <v>6632500</v>
      </c>
      <c r="B263" s="1" t="s">
        <v>1348</v>
      </c>
      <c r="C263" s="1" t="s">
        <v>366</v>
      </c>
    </row>
    <row r="264" spans="1:3" x14ac:dyDescent="0.4">
      <c r="A264">
        <v>6632600</v>
      </c>
      <c r="B264" s="1" t="s">
        <v>1349</v>
      </c>
      <c r="C264" s="1" t="s">
        <v>367</v>
      </c>
    </row>
    <row r="265" spans="1:3" x14ac:dyDescent="0.4">
      <c r="A265">
        <v>6632700</v>
      </c>
      <c r="B265" s="1" t="s">
        <v>1350</v>
      </c>
      <c r="C265" s="1" t="s">
        <v>368</v>
      </c>
    </row>
    <row r="266" spans="1:3" x14ac:dyDescent="0.4">
      <c r="A266">
        <v>6632800</v>
      </c>
      <c r="B266" s="1" t="s">
        <v>1351</v>
      </c>
      <c r="C266" s="1" t="s">
        <v>369</v>
      </c>
    </row>
    <row r="267" spans="1:3" x14ac:dyDescent="0.4">
      <c r="A267">
        <v>6632900</v>
      </c>
      <c r="B267" s="1" t="s">
        <v>1352</v>
      </c>
      <c r="C267" s="1" t="s">
        <v>370</v>
      </c>
    </row>
    <row r="268" spans="1:3" x14ac:dyDescent="0.4">
      <c r="A268">
        <v>6633000</v>
      </c>
      <c r="B268" s="1" t="s">
        <v>1353</v>
      </c>
      <c r="C268" s="1" t="s">
        <v>371</v>
      </c>
    </row>
    <row r="269" spans="1:3" x14ac:dyDescent="0.4">
      <c r="A269">
        <v>6633100</v>
      </c>
      <c r="B269" s="1" t="s">
        <v>1354</v>
      </c>
      <c r="C269" s="1" t="s">
        <v>372</v>
      </c>
    </row>
    <row r="270" spans="1:3" x14ac:dyDescent="0.4">
      <c r="A270">
        <v>6633200</v>
      </c>
      <c r="B270" s="1" t="s">
        <v>1355</v>
      </c>
      <c r="C270" s="1" t="s">
        <v>373</v>
      </c>
    </row>
    <row r="271" spans="1:3" x14ac:dyDescent="0.4">
      <c r="A271">
        <v>6640000</v>
      </c>
      <c r="B271" s="1" t="s">
        <v>1356</v>
      </c>
      <c r="C271" s="1" t="s">
        <v>374</v>
      </c>
    </row>
    <row r="272" spans="1:3" x14ac:dyDescent="0.4">
      <c r="A272">
        <v>6640100</v>
      </c>
      <c r="B272" s="1" t="s">
        <v>1357</v>
      </c>
      <c r="C272" s="1" t="s">
        <v>375</v>
      </c>
    </row>
    <row r="273" spans="1:3" x14ac:dyDescent="0.4">
      <c r="A273">
        <v>6641000</v>
      </c>
      <c r="B273" s="1" t="s">
        <v>1358</v>
      </c>
      <c r="C273" s="1" t="s">
        <v>376</v>
      </c>
    </row>
    <row r="274" spans="1:3" x14ac:dyDescent="0.4">
      <c r="A274">
        <v>6641100</v>
      </c>
      <c r="B274" s="1" t="s">
        <v>1359</v>
      </c>
      <c r="C274" s="1" t="s">
        <v>377</v>
      </c>
    </row>
    <row r="275" spans="1:3" x14ac:dyDescent="0.4">
      <c r="A275">
        <v>6642000</v>
      </c>
      <c r="B275" s="1" t="s">
        <v>1360</v>
      </c>
      <c r="C275" s="1" t="s">
        <v>378</v>
      </c>
    </row>
    <row r="276" spans="1:3" x14ac:dyDescent="0.4">
      <c r="A276">
        <v>6642100</v>
      </c>
      <c r="B276" s="1" t="s">
        <v>1361</v>
      </c>
      <c r="C276" s="1" t="s">
        <v>379</v>
      </c>
    </row>
    <row r="277" spans="1:3" x14ac:dyDescent="0.4">
      <c r="A277">
        <v>6643000</v>
      </c>
      <c r="B277" s="1" t="s">
        <v>1362</v>
      </c>
      <c r="C277" s="1" t="s">
        <v>380</v>
      </c>
    </row>
    <row r="278" spans="1:3" x14ac:dyDescent="0.4">
      <c r="A278">
        <v>6643100</v>
      </c>
      <c r="B278" s="1" t="s">
        <v>1363</v>
      </c>
      <c r="C278" s="1" t="s">
        <v>381</v>
      </c>
    </row>
    <row r="279" spans="1:3" x14ac:dyDescent="0.4">
      <c r="A279">
        <v>6644000</v>
      </c>
      <c r="B279" s="1" t="s">
        <v>1364</v>
      </c>
      <c r="C279" s="1" t="s">
        <v>382</v>
      </c>
    </row>
    <row r="280" spans="1:3" x14ac:dyDescent="0.4">
      <c r="A280">
        <v>6644100</v>
      </c>
      <c r="B280" s="1" t="s">
        <v>1365</v>
      </c>
      <c r="C280" s="1" t="s">
        <v>383</v>
      </c>
    </row>
    <row r="281" spans="1:3" x14ac:dyDescent="0.4">
      <c r="A281">
        <v>6645000</v>
      </c>
      <c r="B281" s="1" t="s">
        <v>1366</v>
      </c>
      <c r="C281" s="1" t="s">
        <v>384</v>
      </c>
    </row>
    <row r="282" spans="1:3" x14ac:dyDescent="0.4">
      <c r="A282">
        <v>6645100</v>
      </c>
      <c r="B282" s="1" t="s">
        <v>1367</v>
      </c>
      <c r="C282" s="1" t="s">
        <v>385</v>
      </c>
    </row>
    <row r="283" spans="1:3" x14ac:dyDescent="0.4">
      <c r="A283">
        <v>6646000</v>
      </c>
      <c r="B283" s="1" t="s">
        <v>1368</v>
      </c>
      <c r="C283" s="1" t="s">
        <v>386</v>
      </c>
    </row>
    <row r="284" spans="1:3" x14ac:dyDescent="0.4">
      <c r="A284">
        <v>6646100</v>
      </c>
      <c r="B284" s="1" t="s">
        <v>1369</v>
      </c>
      <c r="C284" s="1" t="s">
        <v>387</v>
      </c>
    </row>
    <row r="285" spans="1:3" x14ac:dyDescent="0.4">
      <c r="A285">
        <v>6647000</v>
      </c>
      <c r="B285" s="1" t="s">
        <v>1370</v>
      </c>
      <c r="C285" s="1" t="s">
        <v>388</v>
      </c>
    </row>
    <row r="286" spans="1:3" x14ac:dyDescent="0.4">
      <c r="A286">
        <v>6647100</v>
      </c>
      <c r="B286" s="1" t="s">
        <v>1371</v>
      </c>
      <c r="C286" s="1" t="s">
        <v>389</v>
      </c>
    </row>
    <row r="287" spans="1:3" x14ac:dyDescent="0.4">
      <c r="A287">
        <v>6647200</v>
      </c>
      <c r="B287" s="1" t="s">
        <v>1372</v>
      </c>
      <c r="C287" s="1" t="s">
        <v>963</v>
      </c>
    </row>
    <row r="288" spans="1:3" x14ac:dyDescent="0.4">
      <c r="A288">
        <v>6647300</v>
      </c>
      <c r="B288" s="1" t="s">
        <v>1373</v>
      </c>
      <c r="C288" s="1" t="s">
        <v>964</v>
      </c>
    </row>
    <row r="289" spans="1:3" x14ac:dyDescent="0.4">
      <c r="A289">
        <v>6647400</v>
      </c>
      <c r="B289" s="1" t="s">
        <v>1374</v>
      </c>
      <c r="C289" s="1" t="s">
        <v>965</v>
      </c>
    </row>
    <row r="290" spans="1:3" x14ac:dyDescent="0.4">
      <c r="A290">
        <v>6647500</v>
      </c>
      <c r="B290" s="1" t="s">
        <v>1375</v>
      </c>
      <c r="C290" s="1" t="s">
        <v>966</v>
      </c>
    </row>
    <row r="291" spans="1:3" x14ac:dyDescent="0.4">
      <c r="A291">
        <v>6800000</v>
      </c>
      <c r="B291" s="1" t="s">
        <v>1376</v>
      </c>
      <c r="C291" s="1" t="s">
        <v>390</v>
      </c>
    </row>
    <row r="292" spans="1:3" x14ac:dyDescent="0.4">
      <c r="A292">
        <v>6800200</v>
      </c>
      <c r="B292" s="1" t="s">
        <v>1377</v>
      </c>
      <c r="C292" s="1" t="s">
        <v>391</v>
      </c>
    </row>
    <row r="293" spans="1:3" x14ac:dyDescent="0.4">
      <c r="A293">
        <v>6810100</v>
      </c>
      <c r="B293" s="1" t="s">
        <v>1160</v>
      </c>
      <c r="C293" s="1" t="s">
        <v>184</v>
      </c>
    </row>
    <row r="294" spans="1:3" x14ac:dyDescent="0.4">
      <c r="A294">
        <v>6820000</v>
      </c>
      <c r="B294" s="1" t="s">
        <v>1378</v>
      </c>
      <c r="C294" s="1" t="s">
        <v>392</v>
      </c>
    </row>
    <row r="295" spans="1:3" x14ac:dyDescent="0.4">
      <c r="A295">
        <v>6820100</v>
      </c>
      <c r="B295" s="1" t="s">
        <v>1379</v>
      </c>
      <c r="C295" s="1" t="s">
        <v>393</v>
      </c>
    </row>
    <row r="296" spans="1:3" x14ac:dyDescent="0.4">
      <c r="A296">
        <v>6820200</v>
      </c>
      <c r="B296" s="1" t="s">
        <v>1380</v>
      </c>
      <c r="C296" s="1" t="s">
        <v>394</v>
      </c>
    </row>
    <row r="297" spans="1:3" x14ac:dyDescent="0.4">
      <c r="A297">
        <v>6820300</v>
      </c>
      <c r="B297" s="1" t="s">
        <v>1381</v>
      </c>
      <c r="C297" s="1" t="s">
        <v>395</v>
      </c>
    </row>
    <row r="298" spans="1:3" x14ac:dyDescent="0.4">
      <c r="A298">
        <v>6820400</v>
      </c>
      <c r="B298" s="1" t="s">
        <v>1382</v>
      </c>
      <c r="C298" s="1" t="s">
        <v>396</v>
      </c>
    </row>
    <row r="299" spans="1:3" x14ac:dyDescent="0.4">
      <c r="A299">
        <v>6820500</v>
      </c>
      <c r="B299" s="1" t="s">
        <v>1383</v>
      </c>
      <c r="C299" s="1" t="s">
        <v>397</v>
      </c>
    </row>
    <row r="300" spans="1:3" x14ac:dyDescent="0.4">
      <c r="A300">
        <v>6820600</v>
      </c>
      <c r="B300" s="1" t="s">
        <v>1384</v>
      </c>
      <c r="C300" s="1" t="s">
        <v>398</v>
      </c>
    </row>
    <row r="301" spans="1:3" x14ac:dyDescent="0.4">
      <c r="A301">
        <v>6830000</v>
      </c>
      <c r="B301" s="1" t="s">
        <v>1385</v>
      </c>
      <c r="C301" s="1" t="s">
        <v>399</v>
      </c>
    </row>
    <row r="302" spans="1:3" x14ac:dyDescent="0.4">
      <c r="A302">
        <v>6830100</v>
      </c>
      <c r="B302" s="1" t="s">
        <v>1386</v>
      </c>
      <c r="C302" s="1" t="s">
        <v>400</v>
      </c>
    </row>
    <row r="303" spans="1:3" x14ac:dyDescent="0.4">
      <c r="A303">
        <v>6830200</v>
      </c>
      <c r="B303" s="1" t="s">
        <v>1387</v>
      </c>
      <c r="C303" s="1" t="s">
        <v>401</v>
      </c>
    </row>
    <row r="304" spans="1:3" x14ac:dyDescent="0.4">
      <c r="A304">
        <v>6830300</v>
      </c>
      <c r="B304" s="1" t="s">
        <v>1388</v>
      </c>
      <c r="C304" s="1" t="s">
        <v>402</v>
      </c>
    </row>
    <row r="305" spans="1:3" x14ac:dyDescent="0.4">
      <c r="A305">
        <v>6830400</v>
      </c>
      <c r="B305" s="1" t="s">
        <v>1389</v>
      </c>
      <c r="C305" s="1" t="s">
        <v>403</v>
      </c>
    </row>
    <row r="306" spans="1:3" x14ac:dyDescent="0.4">
      <c r="A306">
        <v>6840000</v>
      </c>
      <c r="B306" s="1" t="s">
        <v>1390</v>
      </c>
      <c r="C306" s="1" t="s">
        <v>404</v>
      </c>
    </row>
    <row r="307" spans="1:3" x14ac:dyDescent="0.4">
      <c r="A307">
        <v>6840100</v>
      </c>
      <c r="B307" s="1" t="s">
        <v>1391</v>
      </c>
      <c r="C307" s="1" t="s">
        <v>405</v>
      </c>
    </row>
    <row r="308" spans="1:3" x14ac:dyDescent="0.4">
      <c r="A308">
        <v>6840200</v>
      </c>
      <c r="B308" s="1" t="s">
        <v>1392</v>
      </c>
      <c r="C308" s="1" t="s">
        <v>406</v>
      </c>
    </row>
    <row r="309" spans="1:3" x14ac:dyDescent="0.4">
      <c r="A309">
        <v>6850000</v>
      </c>
      <c r="B309" s="1" t="s">
        <v>1126</v>
      </c>
      <c r="C309" s="1" t="s">
        <v>150</v>
      </c>
    </row>
    <row r="310" spans="1:3" x14ac:dyDescent="0.4">
      <c r="A310">
        <v>6850100</v>
      </c>
      <c r="B310" s="1" t="s">
        <v>1393</v>
      </c>
      <c r="C310" s="1" t="s">
        <v>407</v>
      </c>
    </row>
    <row r="311" spans="1:3" x14ac:dyDescent="0.4">
      <c r="A311">
        <v>6850200</v>
      </c>
      <c r="B311" s="1" t="s">
        <v>1394</v>
      </c>
      <c r="C311" s="1" t="s">
        <v>408</v>
      </c>
    </row>
    <row r="312" spans="1:3" x14ac:dyDescent="0.4">
      <c r="A312">
        <v>6850300</v>
      </c>
      <c r="B312" s="1" t="s">
        <v>1391</v>
      </c>
      <c r="C312" s="1" t="s">
        <v>405</v>
      </c>
    </row>
    <row r="313" spans="1:3" x14ac:dyDescent="0.4">
      <c r="A313">
        <v>6850400</v>
      </c>
      <c r="B313" s="1" t="s">
        <v>1395</v>
      </c>
      <c r="C313" s="1" t="s">
        <v>409</v>
      </c>
    </row>
    <row r="314" spans="1:3" x14ac:dyDescent="0.4">
      <c r="A314">
        <v>6850500</v>
      </c>
      <c r="B314" s="1" t="s">
        <v>1173</v>
      </c>
      <c r="C314" s="1" t="s">
        <v>197</v>
      </c>
    </row>
    <row r="315" spans="1:3" x14ac:dyDescent="0.4">
      <c r="A315">
        <v>6850600</v>
      </c>
      <c r="B315" s="1" t="s">
        <v>1396</v>
      </c>
      <c r="C315" s="1" t="s">
        <v>410</v>
      </c>
    </row>
    <row r="316" spans="1:3" x14ac:dyDescent="0.4">
      <c r="A316">
        <v>6850700</v>
      </c>
      <c r="B316" s="1" t="s">
        <v>1397</v>
      </c>
      <c r="C316" s="1" t="s">
        <v>411</v>
      </c>
    </row>
    <row r="317" spans="1:3" x14ac:dyDescent="0.4">
      <c r="A317">
        <v>6850800</v>
      </c>
      <c r="B317" s="1" t="s">
        <v>1398</v>
      </c>
      <c r="C317" s="1" t="s">
        <v>412</v>
      </c>
    </row>
    <row r="318" spans="1:3" x14ac:dyDescent="0.4">
      <c r="A318">
        <v>6850900</v>
      </c>
      <c r="B318" s="1" t="s">
        <v>1399</v>
      </c>
      <c r="C318" s="1" t="s">
        <v>413</v>
      </c>
    </row>
    <row r="319" spans="1:3" x14ac:dyDescent="0.4">
      <c r="A319">
        <v>6851000</v>
      </c>
      <c r="B319" s="1" t="s">
        <v>1400</v>
      </c>
      <c r="C319" s="1" t="s">
        <v>414</v>
      </c>
    </row>
    <row r="320" spans="1:3" x14ac:dyDescent="0.4">
      <c r="A320">
        <v>6851100</v>
      </c>
      <c r="B320" s="1" t="s">
        <v>1401</v>
      </c>
      <c r="C320" s="1" t="s">
        <v>415</v>
      </c>
    </row>
    <row r="321" spans="1:3" x14ac:dyDescent="0.4">
      <c r="A321">
        <v>6851200</v>
      </c>
      <c r="B321" s="1" t="s">
        <v>1402</v>
      </c>
      <c r="C321" s="1" t="s">
        <v>416</v>
      </c>
    </row>
    <row r="322" spans="1:3" x14ac:dyDescent="0.4">
      <c r="A322">
        <v>6851300</v>
      </c>
      <c r="B322" s="1" t="s">
        <v>1403</v>
      </c>
      <c r="C322" s="1" t="s">
        <v>417</v>
      </c>
    </row>
    <row r="323" spans="1:3" x14ac:dyDescent="0.4">
      <c r="A323">
        <v>6851400</v>
      </c>
      <c r="B323" s="1" t="s">
        <v>1404</v>
      </c>
      <c r="C323" s="1" t="s">
        <v>418</v>
      </c>
    </row>
    <row r="324" spans="1:3" x14ac:dyDescent="0.4">
      <c r="A324">
        <v>6851500</v>
      </c>
      <c r="B324" s="1" t="s">
        <v>1405</v>
      </c>
      <c r="C324" s="1" t="s">
        <v>419</v>
      </c>
    </row>
    <row r="325" spans="1:3" x14ac:dyDescent="0.4">
      <c r="A325">
        <v>6851600</v>
      </c>
      <c r="B325" s="1" t="s">
        <v>1406</v>
      </c>
      <c r="C325" s="1" t="s">
        <v>420</v>
      </c>
    </row>
    <row r="326" spans="1:3" x14ac:dyDescent="0.4">
      <c r="A326">
        <v>6851700</v>
      </c>
      <c r="B326" s="1" t="s">
        <v>1407</v>
      </c>
      <c r="C326" s="1" t="s">
        <v>421</v>
      </c>
    </row>
    <row r="327" spans="1:3" x14ac:dyDescent="0.4">
      <c r="A327">
        <v>7000000</v>
      </c>
      <c r="B327" s="1" t="s">
        <v>1408</v>
      </c>
      <c r="C327" s="1" t="s">
        <v>422</v>
      </c>
    </row>
    <row r="328" spans="1:3" x14ac:dyDescent="0.4">
      <c r="A328">
        <v>7000001</v>
      </c>
      <c r="B328" s="1" t="s">
        <v>1409</v>
      </c>
      <c r="C328" s="1" t="s">
        <v>423</v>
      </c>
    </row>
    <row r="329" spans="1:3" x14ac:dyDescent="0.4">
      <c r="A329">
        <v>7000002</v>
      </c>
      <c r="B329" s="1" t="s">
        <v>1410</v>
      </c>
      <c r="C329" s="1" t="s">
        <v>424</v>
      </c>
    </row>
    <row r="330" spans="1:3" x14ac:dyDescent="0.4">
      <c r="A330">
        <v>7000090</v>
      </c>
      <c r="B330" s="1" t="s">
        <v>1105</v>
      </c>
      <c r="C330" s="1" t="s">
        <v>129</v>
      </c>
    </row>
    <row r="331" spans="1:3" x14ac:dyDescent="0.4">
      <c r="A331">
        <v>7000091</v>
      </c>
      <c r="B331" s="1" t="s">
        <v>40</v>
      </c>
      <c r="C331" s="1" t="s">
        <v>40</v>
      </c>
    </row>
    <row r="332" spans="1:3" x14ac:dyDescent="0.4">
      <c r="A332">
        <v>7000092</v>
      </c>
      <c r="B332" s="1" t="s">
        <v>40</v>
      </c>
      <c r="C332" s="1" t="s">
        <v>40</v>
      </c>
    </row>
    <row r="333" spans="1:3" x14ac:dyDescent="0.4">
      <c r="A333">
        <v>7000093</v>
      </c>
      <c r="B333" s="1" t="s">
        <v>40</v>
      </c>
      <c r="C333" s="1" t="s">
        <v>40</v>
      </c>
    </row>
    <row r="334" spans="1:3" x14ac:dyDescent="0.4">
      <c r="A334">
        <v>7000094</v>
      </c>
      <c r="B334" s="1" t="s">
        <v>40</v>
      </c>
      <c r="C334" s="1" t="s">
        <v>40</v>
      </c>
    </row>
    <row r="335" spans="1:3" x14ac:dyDescent="0.4">
      <c r="A335">
        <v>7000095</v>
      </c>
      <c r="B335" s="1" t="s">
        <v>40</v>
      </c>
      <c r="C335" s="1" t="s">
        <v>40</v>
      </c>
    </row>
    <row r="336" spans="1:3" x14ac:dyDescent="0.4">
      <c r="A336">
        <v>7000096</v>
      </c>
      <c r="B336" s="1" t="s">
        <v>40</v>
      </c>
      <c r="C336" s="1" t="s">
        <v>40</v>
      </c>
    </row>
    <row r="337" spans="1:3" x14ac:dyDescent="0.4">
      <c r="A337">
        <v>7000097</v>
      </c>
      <c r="B337" s="1" t="s">
        <v>40</v>
      </c>
      <c r="C337" s="1" t="s">
        <v>40</v>
      </c>
    </row>
    <row r="338" spans="1:3" x14ac:dyDescent="0.4">
      <c r="A338">
        <v>7000098</v>
      </c>
      <c r="B338" s="1" t="s">
        <v>40</v>
      </c>
      <c r="C338" s="1" t="s">
        <v>40</v>
      </c>
    </row>
    <row r="339" spans="1:3" x14ac:dyDescent="0.4">
      <c r="A339">
        <v>7000099</v>
      </c>
      <c r="B339" s="1" t="s">
        <v>40</v>
      </c>
      <c r="C339" s="1" t="s">
        <v>40</v>
      </c>
    </row>
    <row r="340" spans="1:3" x14ac:dyDescent="0.4">
      <c r="A340">
        <v>7000100</v>
      </c>
      <c r="B340" s="1" t="s">
        <v>1411</v>
      </c>
      <c r="C340" s="1" t="s">
        <v>425</v>
      </c>
    </row>
    <row r="341" spans="1:3" x14ac:dyDescent="0.4">
      <c r="A341">
        <v>7000101</v>
      </c>
      <c r="B341" s="1" t="s">
        <v>1412</v>
      </c>
      <c r="C341" s="1" t="s">
        <v>426</v>
      </c>
    </row>
    <row r="342" spans="1:3" x14ac:dyDescent="0.4">
      <c r="A342">
        <v>7000102</v>
      </c>
      <c r="B342" s="1" t="s">
        <v>1413</v>
      </c>
      <c r="C342" s="1" t="s">
        <v>427</v>
      </c>
    </row>
    <row r="343" spans="1:3" x14ac:dyDescent="0.4">
      <c r="A343">
        <v>7000190</v>
      </c>
      <c r="B343" s="1" t="s">
        <v>1106</v>
      </c>
      <c r="C343" s="1" t="s">
        <v>130</v>
      </c>
    </row>
    <row r="344" spans="1:3" x14ac:dyDescent="0.4">
      <c r="A344">
        <v>7000191</v>
      </c>
      <c r="B344" s="1" t="s">
        <v>40</v>
      </c>
      <c r="C344" s="1" t="s">
        <v>40</v>
      </c>
    </row>
    <row r="345" spans="1:3" x14ac:dyDescent="0.4">
      <c r="A345">
        <v>7000192</v>
      </c>
      <c r="B345" s="1" t="s">
        <v>40</v>
      </c>
      <c r="C345" s="1" t="s">
        <v>40</v>
      </c>
    </row>
    <row r="346" spans="1:3" x14ac:dyDescent="0.4">
      <c r="A346">
        <v>7000193</v>
      </c>
      <c r="B346" s="1" t="s">
        <v>40</v>
      </c>
      <c r="C346" s="1" t="s">
        <v>40</v>
      </c>
    </row>
    <row r="347" spans="1:3" x14ac:dyDescent="0.4">
      <c r="A347">
        <v>7000194</v>
      </c>
      <c r="B347" s="1" t="s">
        <v>40</v>
      </c>
      <c r="C347" s="1" t="s">
        <v>40</v>
      </c>
    </row>
    <row r="348" spans="1:3" x14ac:dyDescent="0.4">
      <c r="A348">
        <v>7000195</v>
      </c>
      <c r="B348" s="1" t="s">
        <v>40</v>
      </c>
      <c r="C348" s="1" t="s">
        <v>40</v>
      </c>
    </row>
    <row r="349" spans="1:3" x14ac:dyDescent="0.4">
      <c r="A349">
        <v>7000196</v>
      </c>
      <c r="B349" s="1" t="s">
        <v>40</v>
      </c>
      <c r="C349" s="1" t="s">
        <v>40</v>
      </c>
    </row>
    <row r="350" spans="1:3" x14ac:dyDescent="0.4">
      <c r="A350">
        <v>7000197</v>
      </c>
      <c r="B350" s="1" t="s">
        <v>40</v>
      </c>
      <c r="C350" s="1" t="s">
        <v>40</v>
      </c>
    </row>
    <row r="351" spans="1:3" x14ac:dyDescent="0.4">
      <c r="A351">
        <v>7000198</v>
      </c>
      <c r="B351" s="1" t="s">
        <v>40</v>
      </c>
      <c r="C351" s="1" t="s">
        <v>40</v>
      </c>
    </row>
    <row r="352" spans="1:3" x14ac:dyDescent="0.4">
      <c r="A352">
        <v>7000199</v>
      </c>
      <c r="B352" s="1" t="s">
        <v>40</v>
      </c>
      <c r="C352" s="1" t="s">
        <v>40</v>
      </c>
    </row>
    <row r="353" spans="1:3" x14ac:dyDescent="0.4">
      <c r="A353">
        <v>7000200</v>
      </c>
      <c r="B353" s="1" t="s">
        <v>1414</v>
      </c>
      <c r="C353" s="1" t="s">
        <v>428</v>
      </c>
    </row>
    <row r="354" spans="1:3" x14ac:dyDescent="0.4">
      <c r="A354">
        <v>7000201</v>
      </c>
      <c r="B354" s="1" t="s">
        <v>1415</v>
      </c>
      <c r="C354" s="1" t="s">
        <v>429</v>
      </c>
    </row>
    <row r="355" spans="1:3" x14ac:dyDescent="0.4">
      <c r="A355">
        <v>7000202</v>
      </c>
      <c r="B355" s="1" t="s">
        <v>1416</v>
      </c>
      <c r="C355" s="1" t="s">
        <v>430</v>
      </c>
    </row>
    <row r="356" spans="1:3" x14ac:dyDescent="0.4">
      <c r="A356">
        <v>7000290</v>
      </c>
      <c r="B356" s="1" t="s">
        <v>1107</v>
      </c>
      <c r="C356" s="1" t="s">
        <v>131</v>
      </c>
    </row>
    <row r="357" spans="1:3" x14ac:dyDescent="0.4">
      <c r="A357">
        <v>7000291</v>
      </c>
      <c r="B357" s="1" t="s">
        <v>40</v>
      </c>
      <c r="C357" s="1" t="s">
        <v>40</v>
      </c>
    </row>
    <row r="358" spans="1:3" x14ac:dyDescent="0.4">
      <c r="A358">
        <v>7000292</v>
      </c>
      <c r="B358" s="1" t="s">
        <v>40</v>
      </c>
      <c r="C358" s="1" t="s">
        <v>40</v>
      </c>
    </row>
    <row r="359" spans="1:3" x14ac:dyDescent="0.4">
      <c r="A359">
        <v>7000293</v>
      </c>
      <c r="B359" s="1" t="s">
        <v>40</v>
      </c>
      <c r="C359" s="1" t="s">
        <v>40</v>
      </c>
    </row>
    <row r="360" spans="1:3" x14ac:dyDescent="0.4">
      <c r="A360">
        <v>7000294</v>
      </c>
      <c r="B360" s="1" t="s">
        <v>40</v>
      </c>
      <c r="C360" s="1" t="s">
        <v>40</v>
      </c>
    </row>
    <row r="361" spans="1:3" x14ac:dyDescent="0.4">
      <c r="A361">
        <v>7000295</v>
      </c>
      <c r="B361" s="1" t="s">
        <v>40</v>
      </c>
      <c r="C361" s="1" t="s">
        <v>40</v>
      </c>
    </row>
    <row r="362" spans="1:3" x14ac:dyDescent="0.4">
      <c r="A362">
        <v>7000296</v>
      </c>
      <c r="B362" s="1" t="s">
        <v>40</v>
      </c>
      <c r="C362" s="1" t="s">
        <v>40</v>
      </c>
    </row>
    <row r="363" spans="1:3" x14ac:dyDescent="0.4">
      <c r="A363">
        <v>7000297</v>
      </c>
      <c r="B363" s="1" t="s">
        <v>40</v>
      </c>
      <c r="C363" s="1" t="s">
        <v>40</v>
      </c>
    </row>
    <row r="364" spans="1:3" x14ac:dyDescent="0.4">
      <c r="A364">
        <v>7000298</v>
      </c>
      <c r="B364" s="1" t="s">
        <v>40</v>
      </c>
      <c r="C364" s="1" t="s">
        <v>40</v>
      </c>
    </row>
    <row r="365" spans="1:3" x14ac:dyDescent="0.4">
      <c r="A365">
        <v>7000299</v>
      </c>
      <c r="B365" s="1" t="s">
        <v>40</v>
      </c>
      <c r="C365" s="1" t="s">
        <v>40</v>
      </c>
    </row>
    <row r="366" spans="1:3" x14ac:dyDescent="0.4">
      <c r="A366">
        <v>7000300</v>
      </c>
      <c r="B366" s="1" t="s">
        <v>1417</v>
      </c>
      <c r="C366" s="1" t="s">
        <v>431</v>
      </c>
    </row>
    <row r="367" spans="1:3" x14ac:dyDescent="0.4">
      <c r="A367">
        <v>7000301</v>
      </c>
      <c r="B367" s="1" t="s">
        <v>1418</v>
      </c>
      <c r="C367" s="1" t="s">
        <v>432</v>
      </c>
    </row>
    <row r="368" spans="1:3" x14ac:dyDescent="0.4">
      <c r="A368">
        <v>7000302</v>
      </c>
      <c r="B368" s="1" t="s">
        <v>1419</v>
      </c>
      <c r="C368" s="1" t="s">
        <v>433</v>
      </c>
    </row>
    <row r="369" spans="1:3" x14ac:dyDescent="0.4">
      <c r="A369">
        <v>7000400</v>
      </c>
      <c r="B369" s="1" t="s">
        <v>1420</v>
      </c>
      <c r="C369" s="1" t="s">
        <v>434</v>
      </c>
    </row>
    <row r="370" spans="1:3" x14ac:dyDescent="0.4">
      <c r="A370">
        <v>7000401</v>
      </c>
      <c r="B370" s="1" t="s">
        <v>1421</v>
      </c>
      <c r="C370" s="1" t="s">
        <v>435</v>
      </c>
    </row>
    <row r="371" spans="1:3" x14ac:dyDescent="0.4">
      <c r="A371">
        <v>7000402</v>
      </c>
      <c r="B371" s="1" t="s">
        <v>1422</v>
      </c>
      <c r="C371" s="1" t="s">
        <v>436</v>
      </c>
    </row>
    <row r="372" spans="1:3" x14ac:dyDescent="0.4">
      <c r="A372">
        <v>7000500</v>
      </c>
      <c r="B372" s="1" t="s">
        <v>1423</v>
      </c>
      <c r="C372" s="1" t="s">
        <v>437</v>
      </c>
    </row>
    <row r="373" spans="1:3" x14ac:dyDescent="0.4">
      <c r="A373">
        <v>7000501</v>
      </c>
      <c r="B373" s="1" t="s">
        <v>1424</v>
      </c>
      <c r="C373" s="1" t="s">
        <v>438</v>
      </c>
    </row>
    <row r="374" spans="1:3" x14ac:dyDescent="0.4">
      <c r="A374">
        <v>7000502</v>
      </c>
      <c r="B374" s="1" t="s">
        <v>1425</v>
      </c>
      <c r="C374" s="1" t="s">
        <v>439</v>
      </c>
    </row>
    <row r="375" spans="1:3" x14ac:dyDescent="0.4">
      <c r="A375">
        <v>7000600</v>
      </c>
      <c r="B375" s="1" t="s">
        <v>1426</v>
      </c>
      <c r="C375" s="1" t="s">
        <v>440</v>
      </c>
    </row>
    <row r="376" spans="1:3" x14ac:dyDescent="0.4">
      <c r="A376">
        <v>7000601</v>
      </c>
      <c r="B376" s="1" t="s">
        <v>1427</v>
      </c>
      <c r="C376" s="1" t="s">
        <v>441</v>
      </c>
    </row>
    <row r="377" spans="1:3" x14ac:dyDescent="0.4">
      <c r="A377">
        <v>7000602</v>
      </c>
      <c r="B377" s="1" t="s">
        <v>1428</v>
      </c>
      <c r="C377" s="1" t="s">
        <v>442</v>
      </c>
    </row>
    <row r="378" spans="1:3" x14ac:dyDescent="0.4">
      <c r="A378">
        <v>7000700</v>
      </c>
      <c r="B378" s="1" t="s">
        <v>1429</v>
      </c>
      <c r="C378" s="1" t="s">
        <v>443</v>
      </c>
    </row>
    <row r="379" spans="1:3" x14ac:dyDescent="0.4">
      <c r="A379">
        <v>7000701</v>
      </c>
      <c r="B379" s="1" t="s">
        <v>1430</v>
      </c>
      <c r="C379" s="1" t="s">
        <v>444</v>
      </c>
    </row>
    <row r="380" spans="1:3" x14ac:dyDescent="0.4">
      <c r="A380">
        <v>7000702</v>
      </c>
      <c r="B380" s="1" t="s">
        <v>1431</v>
      </c>
      <c r="C380" s="1" t="s">
        <v>445</v>
      </c>
    </row>
    <row r="381" spans="1:3" x14ac:dyDescent="0.4">
      <c r="A381">
        <v>7000800</v>
      </c>
      <c r="B381" s="1" t="s">
        <v>1432</v>
      </c>
      <c r="C381" s="1" t="s">
        <v>446</v>
      </c>
    </row>
    <row r="382" spans="1:3" x14ac:dyDescent="0.4">
      <c r="A382">
        <v>7000801</v>
      </c>
      <c r="B382" s="1" t="s">
        <v>1433</v>
      </c>
      <c r="C382" s="1" t="s">
        <v>447</v>
      </c>
    </row>
    <row r="383" spans="1:3" x14ac:dyDescent="0.4">
      <c r="A383">
        <v>7000802</v>
      </c>
      <c r="B383" s="1" t="s">
        <v>1434</v>
      </c>
      <c r="C383" s="1" t="s">
        <v>448</v>
      </c>
    </row>
    <row r="384" spans="1:3" x14ac:dyDescent="0.4">
      <c r="A384">
        <v>7000900</v>
      </c>
      <c r="B384" s="1" t="s">
        <v>1435</v>
      </c>
      <c r="C384" s="1" t="s">
        <v>449</v>
      </c>
    </row>
    <row r="385" spans="1:3" x14ac:dyDescent="0.4">
      <c r="A385">
        <v>7000901</v>
      </c>
      <c r="B385" s="1" t="s">
        <v>1436</v>
      </c>
      <c r="C385" s="1" t="s">
        <v>450</v>
      </c>
    </row>
    <row r="386" spans="1:3" x14ac:dyDescent="0.4">
      <c r="A386">
        <v>7000902</v>
      </c>
      <c r="B386" s="1" t="s">
        <v>1437</v>
      </c>
      <c r="C386" s="1" t="s">
        <v>451</v>
      </c>
    </row>
    <row r="387" spans="1:3" x14ac:dyDescent="0.4">
      <c r="A387">
        <v>7001000</v>
      </c>
      <c r="B387" s="1" t="s">
        <v>1438</v>
      </c>
      <c r="C387" s="1" t="s">
        <v>452</v>
      </c>
    </row>
    <row r="388" spans="1:3" x14ac:dyDescent="0.4">
      <c r="A388">
        <v>7001001</v>
      </c>
      <c r="B388" s="1" t="s">
        <v>1439</v>
      </c>
      <c r="C388" s="1" t="s">
        <v>453</v>
      </c>
    </row>
    <row r="389" spans="1:3" x14ac:dyDescent="0.4">
      <c r="A389">
        <v>7001002</v>
      </c>
      <c r="B389" s="1" t="s">
        <v>1440</v>
      </c>
      <c r="C389" s="1" t="s">
        <v>454</v>
      </c>
    </row>
    <row r="390" spans="1:3" x14ac:dyDescent="0.4">
      <c r="A390">
        <v>7001400</v>
      </c>
      <c r="B390" s="1" t="s">
        <v>1441</v>
      </c>
      <c r="C390" s="1" t="s">
        <v>455</v>
      </c>
    </row>
    <row r="391" spans="1:3" x14ac:dyDescent="0.4">
      <c r="A391">
        <v>7001401</v>
      </c>
      <c r="B391" s="1" t="s">
        <v>1442</v>
      </c>
      <c r="C391" s="1" t="s">
        <v>456</v>
      </c>
    </row>
    <row r="392" spans="1:3" x14ac:dyDescent="0.4">
      <c r="A392">
        <v>7001402</v>
      </c>
      <c r="B392" s="1" t="s">
        <v>1443</v>
      </c>
      <c r="C392" s="1" t="s">
        <v>457</v>
      </c>
    </row>
    <row r="393" spans="1:3" x14ac:dyDescent="0.4">
      <c r="A393">
        <v>7001403</v>
      </c>
      <c r="B393" s="1" t="s">
        <v>1444</v>
      </c>
      <c r="C393" s="1" t="s">
        <v>458</v>
      </c>
    </row>
    <row r="394" spans="1:3" x14ac:dyDescent="0.4">
      <c r="A394">
        <v>7001500</v>
      </c>
      <c r="B394" s="1" t="s">
        <v>1445</v>
      </c>
      <c r="C394" s="1" t="s">
        <v>149</v>
      </c>
    </row>
    <row r="395" spans="1:3" x14ac:dyDescent="0.4">
      <c r="A395">
        <v>7001501</v>
      </c>
      <c r="B395" s="1" t="s">
        <v>1446</v>
      </c>
      <c r="C395" s="1" t="s">
        <v>459</v>
      </c>
    </row>
    <row r="396" spans="1:3" x14ac:dyDescent="0.4">
      <c r="A396">
        <v>7001502</v>
      </c>
      <c r="B396" s="1" t="s">
        <v>1447</v>
      </c>
      <c r="C396" s="1" t="s">
        <v>460</v>
      </c>
    </row>
    <row r="397" spans="1:3" x14ac:dyDescent="0.4">
      <c r="A397">
        <v>7001600</v>
      </c>
      <c r="B397" s="1" t="s">
        <v>1448</v>
      </c>
      <c r="C397" s="1" t="s">
        <v>152</v>
      </c>
    </row>
    <row r="398" spans="1:3" x14ac:dyDescent="0.4">
      <c r="A398">
        <v>7001601</v>
      </c>
      <c r="B398" s="1" t="s">
        <v>1449</v>
      </c>
      <c r="C398" s="1" t="s">
        <v>461</v>
      </c>
    </row>
    <row r="399" spans="1:3" x14ac:dyDescent="0.4">
      <c r="A399">
        <v>7001602</v>
      </c>
      <c r="B399" s="1" t="s">
        <v>1450</v>
      </c>
      <c r="C399" s="1" t="s">
        <v>462</v>
      </c>
    </row>
    <row r="400" spans="1:3" x14ac:dyDescent="0.4">
      <c r="A400">
        <v>7001700</v>
      </c>
      <c r="B400" s="1" t="s">
        <v>1451</v>
      </c>
      <c r="C400" s="1" t="s">
        <v>151</v>
      </c>
    </row>
    <row r="401" spans="1:3" x14ac:dyDescent="0.4">
      <c r="A401">
        <v>7001701</v>
      </c>
      <c r="B401" s="1" t="s">
        <v>1452</v>
      </c>
      <c r="C401" s="1" t="s">
        <v>463</v>
      </c>
    </row>
    <row r="402" spans="1:3" x14ac:dyDescent="0.4">
      <c r="A402">
        <v>7001702</v>
      </c>
      <c r="B402" s="1" t="s">
        <v>1453</v>
      </c>
      <c r="C402" s="1" t="s">
        <v>464</v>
      </c>
    </row>
    <row r="403" spans="1:3" x14ac:dyDescent="0.4">
      <c r="A403">
        <v>7001800</v>
      </c>
      <c r="B403" s="1" t="s">
        <v>1454</v>
      </c>
      <c r="C403" s="1" t="s">
        <v>153</v>
      </c>
    </row>
    <row r="404" spans="1:3" x14ac:dyDescent="0.4">
      <c r="A404">
        <v>7001801</v>
      </c>
      <c r="B404" s="1" t="s">
        <v>1455</v>
      </c>
      <c r="C404" s="1" t="s">
        <v>465</v>
      </c>
    </row>
    <row r="405" spans="1:3" x14ac:dyDescent="0.4">
      <c r="A405">
        <v>7001802</v>
      </c>
      <c r="B405" s="1" t="s">
        <v>1456</v>
      </c>
      <c r="C405" s="1" t="s">
        <v>466</v>
      </c>
    </row>
    <row r="406" spans="1:3" x14ac:dyDescent="0.4">
      <c r="A406">
        <v>7001900</v>
      </c>
      <c r="B406" s="1" t="s">
        <v>1457</v>
      </c>
      <c r="C406" s="1" t="s">
        <v>467</v>
      </c>
    </row>
    <row r="407" spans="1:3" x14ac:dyDescent="0.4">
      <c r="A407">
        <v>7001901</v>
      </c>
      <c r="B407" s="1" t="s">
        <v>1458</v>
      </c>
      <c r="C407" s="1" t="s">
        <v>468</v>
      </c>
    </row>
    <row r="408" spans="1:3" x14ac:dyDescent="0.4">
      <c r="A408">
        <v>7001902</v>
      </c>
      <c r="B408" s="1" t="s">
        <v>1459</v>
      </c>
      <c r="C408" s="1" t="s">
        <v>469</v>
      </c>
    </row>
    <row r="409" spans="1:3" x14ac:dyDescent="0.4">
      <c r="A409">
        <v>7002000</v>
      </c>
      <c r="B409" s="1" t="s">
        <v>1460</v>
      </c>
      <c r="C409" s="1" t="s">
        <v>470</v>
      </c>
    </row>
    <row r="410" spans="1:3" x14ac:dyDescent="0.4">
      <c r="A410">
        <v>7002001</v>
      </c>
      <c r="B410" s="1" t="s">
        <v>1461</v>
      </c>
      <c r="C410" s="1" t="s">
        <v>471</v>
      </c>
    </row>
    <row r="411" spans="1:3" x14ac:dyDescent="0.4">
      <c r="A411">
        <v>7002002</v>
      </c>
      <c r="B411" s="1" t="s">
        <v>1462</v>
      </c>
      <c r="C411" s="1" t="s">
        <v>472</v>
      </c>
    </row>
    <row r="412" spans="1:3" x14ac:dyDescent="0.4">
      <c r="A412">
        <v>7002100</v>
      </c>
      <c r="B412" s="1" t="s">
        <v>1463</v>
      </c>
      <c r="C412" s="1" t="s">
        <v>473</v>
      </c>
    </row>
    <row r="413" spans="1:3" x14ac:dyDescent="0.4">
      <c r="A413">
        <v>7002101</v>
      </c>
      <c r="B413" s="1" t="s">
        <v>1464</v>
      </c>
      <c r="C413" s="1" t="s">
        <v>474</v>
      </c>
    </row>
    <row r="414" spans="1:3" x14ac:dyDescent="0.4">
      <c r="A414">
        <v>7002102</v>
      </c>
      <c r="B414" s="1" t="s">
        <v>1465</v>
      </c>
      <c r="C414" s="1" t="s">
        <v>475</v>
      </c>
    </row>
    <row r="415" spans="1:3" x14ac:dyDescent="0.4">
      <c r="A415">
        <v>7002103</v>
      </c>
      <c r="B415" s="1" t="s">
        <v>1466</v>
      </c>
      <c r="C415" s="1" t="s">
        <v>476</v>
      </c>
    </row>
    <row r="416" spans="1:3" x14ac:dyDescent="0.4">
      <c r="A416">
        <v>7002200</v>
      </c>
      <c r="B416" s="1" t="s">
        <v>1467</v>
      </c>
      <c r="C416" s="1" t="s">
        <v>477</v>
      </c>
    </row>
    <row r="417" spans="1:3" x14ac:dyDescent="0.4">
      <c r="A417">
        <v>7002300</v>
      </c>
      <c r="B417" s="1" t="s">
        <v>1468</v>
      </c>
      <c r="C417" s="1" t="s">
        <v>478</v>
      </c>
    </row>
    <row r="418" spans="1:3" x14ac:dyDescent="0.4">
      <c r="A418">
        <v>7002301</v>
      </c>
      <c r="B418" s="1" t="s">
        <v>1469</v>
      </c>
      <c r="C418" s="1" t="s">
        <v>479</v>
      </c>
    </row>
    <row r="419" spans="1:3" x14ac:dyDescent="0.4">
      <c r="A419">
        <v>7002302</v>
      </c>
      <c r="B419" s="1" t="s">
        <v>1470</v>
      </c>
      <c r="C419" s="1" t="s">
        <v>480</v>
      </c>
    </row>
    <row r="420" spans="1:3" x14ac:dyDescent="0.4">
      <c r="A420">
        <v>7002400</v>
      </c>
      <c r="B420" s="1" t="s">
        <v>1471</v>
      </c>
      <c r="C420" s="1" t="s">
        <v>481</v>
      </c>
    </row>
    <row r="421" spans="1:3" x14ac:dyDescent="0.4">
      <c r="A421">
        <v>7002401</v>
      </c>
      <c r="B421" s="1" t="s">
        <v>1472</v>
      </c>
      <c r="C421" s="1" t="s">
        <v>482</v>
      </c>
    </row>
    <row r="422" spans="1:3" x14ac:dyDescent="0.4">
      <c r="A422">
        <v>7002402</v>
      </c>
      <c r="B422" s="1" t="s">
        <v>1473</v>
      </c>
      <c r="C422" s="1" t="s">
        <v>483</v>
      </c>
    </row>
    <row r="423" spans="1:3" x14ac:dyDescent="0.4">
      <c r="A423">
        <v>7002403</v>
      </c>
      <c r="B423" s="1" t="s">
        <v>1474</v>
      </c>
      <c r="C423" s="1" t="s">
        <v>484</v>
      </c>
    </row>
    <row r="424" spans="1:3" x14ac:dyDescent="0.4">
      <c r="A424">
        <v>7002500</v>
      </c>
      <c r="B424" s="1" t="s">
        <v>1475</v>
      </c>
      <c r="C424" s="1" t="s">
        <v>485</v>
      </c>
    </row>
    <row r="425" spans="1:3" x14ac:dyDescent="0.4">
      <c r="A425">
        <v>7002600</v>
      </c>
      <c r="B425" s="1" t="s">
        <v>1476</v>
      </c>
      <c r="C425" s="1" t="s">
        <v>178</v>
      </c>
    </row>
    <row r="426" spans="1:3" x14ac:dyDescent="0.4">
      <c r="A426">
        <v>7002700</v>
      </c>
      <c r="B426" s="1" t="s">
        <v>1477</v>
      </c>
      <c r="C426" s="1" t="s">
        <v>179</v>
      </c>
    </row>
    <row r="427" spans="1:3" x14ac:dyDescent="0.4">
      <c r="A427">
        <v>7002800</v>
      </c>
      <c r="B427" s="1" t="s">
        <v>1478</v>
      </c>
      <c r="C427" s="1" t="s">
        <v>180</v>
      </c>
    </row>
    <row r="428" spans="1:3" x14ac:dyDescent="0.4">
      <c r="A428">
        <v>7002900</v>
      </c>
      <c r="B428" s="1" t="s">
        <v>1479</v>
      </c>
      <c r="C428" s="1" t="s">
        <v>181</v>
      </c>
    </row>
    <row r="429" spans="1:3" x14ac:dyDescent="0.4">
      <c r="A429">
        <v>7003000</v>
      </c>
      <c r="B429" s="1" t="s">
        <v>1113</v>
      </c>
      <c r="C429" s="1" t="s">
        <v>137</v>
      </c>
    </row>
    <row r="430" spans="1:3" x14ac:dyDescent="0.4">
      <c r="A430">
        <v>7003100</v>
      </c>
      <c r="B430" s="1" t="s">
        <v>1111</v>
      </c>
      <c r="C430" s="1" t="s">
        <v>135</v>
      </c>
    </row>
    <row r="431" spans="1:3" x14ac:dyDescent="0.4">
      <c r="A431">
        <v>7003200</v>
      </c>
      <c r="B431" s="1" t="s">
        <v>1115</v>
      </c>
      <c r="C431" s="1" t="s">
        <v>139</v>
      </c>
    </row>
    <row r="432" spans="1:3" x14ac:dyDescent="0.4">
      <c r="A432">
        <v>7003300</v>
      </c>
      <c r="B432" s="1" t="s">
        <v>1117</v>
      </c>
      <c r="C432" s="1" t="s">
        <v>141</v>
      </c>
    </row>
    <row r="433" spans="1:3" x14ac:dyDescent="0.4">
      <c r="A433">
        <v>7003400</v>
      </c>
      <c r="B433" s="1" t="s">
        <v>1114</v>
      </c>
      <c r="C433" s="1" t="s">
        <v>486</v>
      </c>
    </row>
    <row r="434" spans="1:3" x14ac:dyDescent="0.4">
      <c r="A434">
        <v>7003500</v>
      </c>
      <c r="B434" s="1" t="s">
        <v>1112</v>
      </c>
      <c r="C434" s="1" t="s">
        <v>136</v>
      </c>
    </row>
    <row r="435" spans="1:3" x14ac:dyDescent="0.4">
      <c r="A435">
        <v>7003600</v>
      </c>
      <c r="B435" s="1" t="s">
        <v>1116</v>
      </c>
      <c r="C435" s="1" t="s">
        <v>140</v>
      </c>
    </row>
    <row r="436" spans="1:3" x14ac:dyDescent="0.4">
      <c r="A436">
        <v>7005600</v>
      </c>
      <c r="B436" s="1" t="s">
        <v>1480</v>
      </c>
      <c r="C436" s="1" t="s">
        <v>487</v>
      </c>
    </row>
    <row r="437" spans="1:3" x14ac:dyDescent="0.4">
      <c r="A437">
        <v>7006500</v>
      </c>
      <c r="B437" s="1" t="s">
        <v>1481</v>
      </c>
      <c r="C437" s="1" t="s">
        <v>967</v>
      </c>
    </row>
    <row r="438" spans="1:3" x14ac:dyDescent="0.4">
      <c r="A438">
        <v>7006600</v>
      </c>
      <c r="B438" s="1" t="s">
        <v>1482</v>
      </c>
      <c r="C438" s="1" t="s">
        <v>968</v>
      </c>
    </row>
    <row r="439" spans="1:3" x14ac:dyDescent="0.4">
      <c r="A439">
        <v>7006700</v>
      </c>
      <c r="B439" s="1" t="s">
        <v>1122</v>
      </c>
      <c r="C439" s="1" t="s">
        <v>146</v>
      </c>
    </row>
    <row r="440" spans="1:3" x14ac:dyDescent="0.4">
      <c r="A440">
        <v>7010000</v>
      </c>
      <c r="B440" s="1" t="s">
        <v>1483</v>
      </c>
      <c r="C440" s="1" t="s">
        <v>488</v>
      </c>
    </row>
    <row r="441" spans="1:3" x14ac:dyDescent="0.4">
      <c r="A441">
        <v>7010200</v>
      </c>
      <c r="B441" s="1" t="s">
        <v>1484</v>
      </c>
      <c r="C441" s="1" t="s">
        <v>489</v>
      </c>
    </row>
    <row r="442" spans="1:3" x14ac:dyDescent="0.4">
      <c r="A442">
        <v>7010500</v>
      </c>
      <c r="B442" s="1" t="s">
        <v>1485</v>
      </c>
      <c r="C442" s="1" t="s">
        <v>490</v>
      </c>
    </row>
    <row r="443" spans="1:3" x14ac:dyDescent="0.4">
      <c r="A443">
        <v>7010700</v>
      </c>
      <c r="B443" s="1" t="s">
        <v>1486</v>
      </c>
      <c r="C443" s="1" t="s">
        <v>491</v>
      </c>
    </row>
    <row r="444" spans="1:3" x14ac:dyDescent="0.4">
      <c r="A444">
        <v>7010800</v>
      </c>
      <c r="B444" s="1" t="s">
        <v>1487</v>
      </c>
      <c r="C444" s="1" t="s">
        <v>492</v>
      </c>
    </row>
    <row r="445" spans="1:3" x14ac:dyDescent="0.4">
      <c r="A445">
        <v>7010900</v>
      </c>
      <c r="B445" s="1" t="s">
        <v>1488</v>
      </c>
      <c r="C445" s="1" t="s">
        <v>493</v>
      </c>
    </row>
    <row r="446" spans="1:3" x14ac:dyDescent="0.4">
      <c r="A446">
        <v>7011000</v>
      </c>
      <c r="B446" s="1" t="s">
        <v>1489</v>
      </c>
      <c r="C446" s="1" t="s">
        <v>494</v>
      </c>
    </row>
    <row r="447" spans="1:3" x14ac:dyDescent="0.4">
      <c r="A447">
        <v>7011100</v>
      </c>
      <c r="B447" s="1" t="s">
        <v>1490</v>
      </c>
      <c r="C447" s="1" t="s">
        <v>495</v>
      </c>
    </row>
    <row r="448" spans="1:3" x14ac:dyDescent="0.4">
      <c r="A448">
        <v>7011200</v>
      </c>
      <c r="B448" s="1" t="s">
        <v>1491</v>
      </c>
      <c r="C448" s="1" t="s">
        <v>496</v>
      </c>
    </row>
    <row r="449" spans="1:3" x14ac:dyDescent="0.4">
      <c r="A449">
        <v>7011400</v>
      </c>
      <c r="B449" s="1" t="s">
        <v>1492</v>
      </c>
      <c r="C449" s="1" t="s">
        <v>497</v>
      </c>
    </row>
    <row r="450" spans="1:3" x14ac:dyDescent="0.4">
      <c r="A450">
        <v>7011500</v>
      </c>
      <c r="B450" s="1" t="s">
        <v>1261</v>
      </c>
      <c r="C450" s="1" t="s">
        <v>285</v>
      </c>
    </row>
    <row r="451" spans="1:3" x14ac:dyDescent="0.4">
      <c r="A451">
        <v>7011600</v>
      </c>
      <c r="B451" s="1" t="s">
        <v>1493</v>
      </c>
      <c r="C451" s="1" t="s">
        <v>498</v>
      </c>
    </row>
    <row r="452" spans="1:3" x14ac:dyDescent="0.4">
      <c r="A452">
        <v>7011700</v>
      </c>
      <c r="B452" s="1" t="s">
        <v>1494</v>
      </c>
      <c r="C452" s="1" t="s">
        <v>499</v>
      </c>
    </row>
    <row r="453" spans="1:3" x14ac:dyDescent="0.4">
      <c r="A453">
        <v>7011900</v>
      </c>
      <c r="B453" s="1" t="s">
        <v>1495</v>
      </c>
      <c r="C453" s="1" t="s">
        <v>500</v>
      </c>
    </row>
    <row r="454" spans="1:3" x14ac:dyDescent="0.4">
      <c r="A454">
        <v>7012000</v>
      </c>
      <c r="B454" s="1" t="s">
        <v>1496</v>
      </c>
      <c r="C454" s="1" t="s">
        <v>501</v>
      </c>
    </row>
    <row r="455" spans="1:3" x14ac:dyDescent="0.4">
      <c r="A455">
        <v>7012200</v>
      </c>
      <c r="B455" s="1" t="s">
        <v>1497</v>
      </c>
      <c r="C455" s="1" t="s">
        <v>502</v>
      </c>
    </row>
    <row r="456" spans="1:3" x14ac:dyDescent="0.4">
      <c r="A456">
        <v>7012300</v>
      </c>
      <c r="B456" s="1" t="s">
        <v>1161</v>
      </c>
      <c r="C456" s="1" t="s">
        <v>503</v>
      </c>
    </row>
    <row r="457" spans="1:3" x14ac:dyDescent="0.4">
      <c r="A457">
        <v>7012400</v>
      </c>
      <c r="B457" s="1" t="s">
        <v>1498</v>
      </c>
      <c r="C457" s="1" t="s">
        <v>504</v>
      </c>
    </row>
    <row r="458" spans="1:3" x14ac:dyDescent="0.4">
      <c r="A458">
        <v>7012500</v>
      </c>
      <c r="B458" s="1" t="s">
        <v>1499</v>
      </c>
      <c r="C458" s="1" t="s">
        <v>505</v>
      </c>
    </row>
    <row r="459" spans="1:3" x14ac:dyDescent="0.4">
      <c r="A459">
        <v>7012600</v>
      </c>
      <c r="B459" s="1" t="s">
        <v>1500</v>
      </c>
      <c r="C459" s="1" t="s">
        <v>506</v>
      </c>
    </row>
    <row r="460" spans="1:3" x14ac:dyDescent="0.4">
      <c r="A460">
        <v>7012700</v>
      </c>
      <c r="B460" s="1" t="s">
        <v>1501</v>
      </c>
      <c r="C460" s="1" t="s">
        <v>507</v>
      </c>
    </row>
    <row r="461" spans="1:3" x14ac:dyDescent="0.4">
      <c r="A461">
        <v>7020000</v>
      </c>
      <c r="B461" s="1" t="s">
        <v>1502</v>
      </c>
      <c r="C461" s="1" t="s">
        <v>508</v>
      </c>
    </row>
    <row r="462" spans="1:3" x14ac:dyDescent="0.4">
      <c r="A462">
        <v>7030000</v>
      </c>
      <c r="B462" s="1" t="s">
        <v>1503</v>
      </c>
      <c r="C462" s="1" t="s">
        <v>509</v>
      </c>
    </row>
    <row r="463" spans="1:3" x14ac:dyDescent="0.4">
      <c r="A463">
        <v>7030200</v>
      </c>
      <c r="B463" s="1" t="s">
        <v>1504</v>
      </c>
      <c r="C463" s="1" t="s">
        <v>510</v>
      </c>
    </row>
    <row r="464" spans="1:3" x14ac:dyDescent="0.4">
      <c r="A464">
        <v>7030500</v>
      </c>
      <c r="B464" s="1" t="s">
        <v>1505</v>
      </c>
      <c r="C464" s="1" t="s">
        <v>511</v>
      </c>
    </row>
    <row r="465" spans="1:3" x14ac:dyDescent="0.4">
      <c r="A465">
        <v>7030600</v>
      </c>
      <c r="B465" s="1" t="s">
        <v>1506</v>
      </c>
      <c r="C465" s="1" t="s">
        <v>512</v>
      </c>
    </row>
    <row r="466" spans="1:3" x14ac:dyDescent="0.4">
      <c r="A466">
        <v>7030700</v>
      </c>
      <c r="B466" s="1" t="s">
        <v>1507</v>
      </c>
      <c r="C466" s="1" t="s">
        <v>513</v>
      </c>
    </row>
    <row r="467" spans="1:3" x14ac:dyDescent="0.4">
      <c r="A467">
        <v>7030800</v>
      </c>
      <c r="B467" s="1" t="s">
        <v>1508</v>
      </c>
      <c r="C467" s="1" t="s">
        <v>514</v>
      </c>
    </row>
    <row r="468" spans="1:3" x14ac:dyDescent="0.4">
      <c r="A468">
        <v>7030900</v>
      </c>
      <c r="B468" s="1" t="s">
        <v>1509</v>
      </c>
      <c r="C468" s="1" t="s">
        <v>515</v>
      </c>
    </row>
    <row r="469" spans="1:3" x14ac:dyDescent="0.4">
      <c r="A469">
        <v>7031200</v>
      </c>
      <c r="B469" s="1" t="s">
        <v>1510</v>
      </c>
      <c r="C469" s="1" t="s">
        <v>516</v>
      </c>
    </row>
    <row r="470" spans="1:3" x14ac:dyDescent="0.4">
      <c r="A470">
        <v>7031300</v>
      </c>
      <c r="B470" s="1" t="s">
        <v>1511</v>
      </c>
      <c r="C470" s="1" t="s">
        <v>517</v>
      </c>
    </row>
    <row r="471" spans="1:3" x14ac:dyDescent="0.4">
      <c r="A471">
        <v>7031400</v>
      </c>
      <c r="B471" s="1" t="s">
        <v>1512</v>
      </c>
      <c r="C471" s="1" t="s">
        <v>518</v>
      </c>
    </row>
    <row r="472" spans="1:3" x14ac:dyDescent="0.4">
      <c r="A472">
        <v>7031600</v>
      </c>
      <c r="B472" s="1" t="s">
        <v>1513</v>
      </c>
      <c r="C472" s="1" t="s">
        <v>519</v>
      </c>
    </row>
    <row r="473" spans="1:3" x14ac:dyDescent="0.4">
      <c r="A473">
        <v>7031700</v>
      </c>
      <c r="B473" s="1" t="s">
        <v>1514</v>
      </c>
      <c r="C473" s="1" t="s">
        <v>520</v>
      </c>
    </row>
    <row r="474" spans="1:3" x14ac:dyDescent="0.4">
      <c r="A474">
        <v>7031800</v>
      </c>
      <c r="B474" s="1" t="s">
        <v>1515</v>
      </c>
      <c r="C474" s="1" t="s">
        <v>521</v>
      </c>
    </row>
    <row r="475" spans="1:3" x14ac:dyDescent="0.4">
      <c r="A475">
        <v>7031900</v>
      </c>
      <c r="B475" s="1" t="s">
        <v>1516</v>
      </c>
      <c r="C475" s="1" t="s">
        <v>522</v>
      </c>
    </row>
    <row r="476" spans="1:3" x14ac:dyDescent="0.4">
      <c r="A476">
        <v>7032200</v>
      </c>
      <c r="B476" s="1" t="s">
        <v>1517</v>
      </c>
      <c r="C476" s="1" t="s">
        <v>523</v>
      </c>
    </row>
    <row r="477" spans="1:3" x14ac:dyDescent="0.4">
      <c r="A477">
        <v>7032300</v>
      </c>
      <c r="B477" s="1" t="s">
        <v>1518</v>
      </c>
      <c r="C477" s="1" t="s">
        <v>524</v>
      </c>
    </row>
    <row r="478" spans="1:3" x14ac:dyDescent="0.4">
      <c r="A478">
        <v>7032400</v>
      </c>
      <c r="B478" s="1" t="s">
        <v>1519</v>
      </c>
      <c r="C478" s="1" t="s">
        <v>525</v>
      </c>
    </row>
    <row r="479" spans="1:3" x14ac:dyDescent="0.4">
      <c r="A479">
        <v>7032700</v>
      </c>
      <c r="B479" s="1" t="s">
        <v>1520</v>
      </c>
      <c r="C479" s="1" t="s">
        <v>526</v>
      </c>
    </row>
    <row r="480" spans="1:3" x14ac:dyDescent="0.4">
      <c r="A480">
        <v>7032800</v>
      </c>
      <c r="B480" s="1" t="s">
        <v>1521</v>
      </c>
      <c r="C480" s="1" t="s">
        <v>527</v>
      </c>
    </row>
    <row r="481" spans="1:3" x14ac:dyDescent="0.4">
      <c r="A481">
        <v>7032900</v>
      </c>
      <c r="B481" s="1" t="s">
        <v>1522</v>
      </c>
      <c r="C481" s="1" t="s">
        <v>528</v>
      </c>
    </row>
    <row r="482" spans="1:3" x14ac:dyDescent="0.4">
      <c r="A482">
        <v>7033000</v>
      </c>
      <c r="B482" s="1" t="s">
        <v>1523</v>
      </c>
      <c r="C482" s="1" t="s">
        <v>529</v>
      </c>
    </row>
    <row r="483" spans="1:3" x14ac:dyDescent="0.4">
      <c r="A483">
        <v>7033100</v>
      </c>
      <c r="B483" s="1" t="s">
        <v>40</v>
      </c>
      <c r="C483" s="1" t="s">
        <v>40</v>
      </c>
    </row>
    <row r="484" spans="1:3" x14ac:dyDescent="0.4">
      <c r="A484">
        <v>7033200</v>
      </c>
      <c r="B484" s="1" t="s">
        <v>1524</v>
      </c>
      <c r="C484" s="1" t="s">
        <v>530</v>
      </c>
    </row>
    <row r="485" spans="1:3" x14ac:dyDescent="0.4">
      <c r="A485">
        <v>7033300</v>
      </c>
      <c r="B485" s="1" t="s">
        <v>1525</v>
      </c>
      <c r="C485" s="1" t="s">
        <v>531</v>
      </c>
    </row>
    <row r="486" spans="1:3" x14ac:dyDescent="0.4">
      <c r="A486">
        <v>7033400</v>
      </c>
      <c r="B486" s="1" t="s">
        <v>1526</v>
      </c>
      <c r="C486" s="1" t="s">
        <v>532</v>
      </c>
    </row>
    <row r="487" spans="1:3" x14ac:dyDescent="0.4">
      <c r="A487">
        <v>7033600</v>
      </c>
      <c r="B487" s="1" t="s">
        <v>1527</v>
      </c>
      <c r="C487" s="1" t="s">
        <v>533</v>
      </c>
    </row>
    <row r="488" spans="1:3" x14ac:dyDescent="0.4">
      <c r="A488">
        <v>7033700</v>
      </c>
      <c r="B488" s="1" t="s">
        <v>1528</v>
      </c>
      <c r="C488" s="1" t="s">
        <v>534</v>
      </c>
    </row>
    <row r="489" spans="1:3" x14ac:dyDescent="0.4">
      <c r="A489">
        <v>7033800</v>
      </c>
      <c r="B489" s="1" t="s">
        <v>1529</v>
      </c>
      <c r="C489" s="1" t="s">
        <v>535</v>
      </c>
    </row>
    <row r="490" spans="1:3" x14ac:dyDescent="0.4">
      <c r="A490">
        <v>7033900</v>
      </c>
      <c r="B490" s="1" t="s">
        <v>1530</v>
      </c>
      <c r="C490" s="1" t="s">
        <v>536</v>
      </c>
    </row>
    <row r="491" spans="1:3" x14ac:dyDescent="0.4">
      <c r="A491">
        <v>7034000</v>
      </c>
      <c r="B491" s="1" t="s">
        <v>1531</v>
      </c>
      <c r="C491" s="1" t="s">
        <v>537</v>
      </c>
    </row>
    <row r="492" spans="1:3" x14ac:dyDescent="0.4">
      <c r="A492">
        <v>7034100</v>
      </c>
      <c r="B492" s="1" t="s">
        <v>1532</v>
      </c>
      <c r="C492" s="1" t="s">
        <v>538</v>
      </c>
    </row>
    <row r="493" spans="1:3" x14ac:dyDescent="0.4">
      <c r="A493">
        <v>7034200</v>
      </c>
      <c r="B493" s="1" t="s">
        <v>1533</v>
      </c>
      <c r="C493" s="1" t="s">
        <v>539</v>
      </c>
    </row>
    <row r="494" spans="1:3" x14ac:dyDescent="0.4">
      <c r="A494">
        <v>7034300</v>
      </c>
      <c r="B494" s="1" t="s">
        <v>1534</v>
      </c>
      <c r="C494" s="1" t="s">
        <v>540</v>
      </c>
    </row>
    <row r="495" spans="1:3" x14ac:dyDescent="0.4">
      <c r="A495">
        <v>7034400</v>
      </c>
      <c r="B495" s="1" t="s">
        <v>1535</v>
      </c>
      <c r="C495" s="1" t="s">
        <v>541</v>
      </c>
    </row>
    <row r="496" spans="1:3" x14ac:dyDescent="0.4">
      <c r="A496">
        <v>7034500</v>
      </c>
      <c r="B496" s="1" t="s">
        <v>1536</v>
      </c>
      <c r="C496" s="1" t="s">
        <v>542</v>
      </c>
    </row>
    <row r="497" spans="1:3" x14ac:dyDescent="0.4">
      <c r="A497">
        <v>7034600</v>
      </c>
      <c r="B497" s="1" t="s">
        <v>1537</v>
      </c>
      <c r="C497" s="1" t="s">
        <v>543</v>
      </c>
    </row>
    <row r="498" spans="1:3" x14ac:dyDescent="0.4">
      <c r="A498">
        <v>7034700</v>
      </c>
      <c r="B498" s="1" t="s">
        <v>1538</v>
      </c>
      <c r="C498" s="1" t="s">
        <v>544</v>
      </c>
    </row>
    <row r="499" spans="1:3" x14ac:dyDescent="0.4">
      <c r="A499">
        <v>7034800</v>
      </c>
      <c r="B499" s="1" t="s">
        <v>1539</v>
      </c>
      <c r="C499" s="1" t="s">
        <v>545</v>
      </c>
    </row>
    <row r="500" spans="1:3" x14ac:dyDescent="0.4">
      <c r="A500">
        <v>7034900</v>
      </c>
      <c r="B500" s="1" t="s">
        <v>1168</v>
      </c>
      <c r="C500" s="1" t="s">
        <v>546</v>
      </c>
    </row>
    <row r="501" spans="1:3" x14ac:dyDescent="0.4">
      <c r="A501">
        <v>7035000</v>
      </c>
      <c r="B501" s="1" t="s">
        <v>1540</v>
      </c>
      <c r="C501" s="1" t="s">
        <v>547</v>
      </c>
    </row>
    <row r="502" spans="1:3" x14ac:dyDescent="0.4">
      <c r="A502">
        <v>7035100</v>
      </c>
      <c r="B502" s="1" t="s">
        <v>1541</v>
      </c>
      <c r="C502" s="1" t="s">
        <v>548</v>
      </c>
    </row>
    <row r="503" spans="1:3" x14ac:dyDescent="0.4">
      <c r="A503">
        <v>7035200</v>
      </c>
      <c r="B503" s="1" t="s">
        <v>1542</v>
      </c>
      <c r="C503" s="1" t="s">
        <v>549</v>
      </c>
    </row>
    <row r="504" spans="1:3" x14ac:dyDescent="0.4">
      <c r="A504">
        <v>7035300</v>
      </c>
      <c r="B504" s="1" t="s">
        <v>1543</v>
      </c>
      <c r="C504" s="1" t="s">
        <v>550</v>
      </c>
    </row>
    <row r="505" spans="1:3" x14ac:dyDescent="0.4">
      <c r="A505">
        <v>7035400</v>
      </c>
      <c r="B505" s="1" t="s">
        <v>1544</v>
      </c>
      <c r="C505" s="1" t="s">
        <v>551</v>
      </c>
    </row>
    <row r="506" spans="1:3" x14ac:dyDescent="0.4">
      <c r="A506">
        <v>7035500</v>
      </c>
      <c r="B506" s="1" t="s">
        <v>1545</v>
      </c>
      <c r="C506" s="1" t="s">
        <v>552</v>
      </c>
    </row>
    <row r="507" spans="1:3" x14ac:dyDescent="0.4">
      <c r="A507">
        <v>7035600</v>
      </c>
      <c r="B507" s="1" t="s">
        <v>1546</v>
      </c>
      <c r="C507" s="1" t="s">
        <v>553</v>
      </c>
    </row>
    <row r="508" spans="1:3" x14ac:dyDescent="0.4">
      <c r="A508">
        <v>7035700</v>
      </c>
      <c r="B508" s="1" t="s">
        <v>1547</v>
      </c>
      <c r="C508" s="1" t="s">
        <v>554</v>
      </c>
    </row>
    <row r="509" spans="1:3" x14ac:dyDescent="0.4">
      <c r="A509">
        <v>7035800</v>
      </c>
      <c r="B509" s="1" t="s">
        <v>1548</v>
      </c>
      <c r="C509" s="1" t="s">
        <v>555</v>
      </c>
    </row>
    <row r="510" spans="1:3" x14ac:dyDescent="0.4">
      <c r="A510">
        <v>7035900</v>
      </c>
      <c r="B510" s="1" t="s">
        <v>1549</v>
      </c>
      <c r="C510" s="1" t="s">
        <v>556</v>
      </c>
    </row>
    <row r="511" spans="1:3" x14ac:dyDescent="0.4">
      <c r="A511">
        <v>7036200</v>
      </c>
      <c r="B511" s="1" t="s">
        <v>1550</v>
      </c>
      <c r="C511" s="1" t="s">
        <v>969</v>
      </c>
    </row>
    <row r="512" spans="1:3" x14ac:dyDescent="0.4">
      <c r="A512">
        <v>7036300</v>
      </c>
      <c r="B512" s="1" t="s">
        <v>1551</v>
      </c>
      <c r="C512" s="1" t="s">
        <v>970</v>
      </c>
    </row>
    <row r="513" spans="1:3" x14ac:dyDescent="0.4">
      <c r="A513">
        <v>7036400</v>
      </c>
      <c r="B513" s="1" t="s">
        <v>1552</v>
      </c>
      <c r="C513" s="1" t="s">
        <v>971</v>
      </c>
    </row>
    <row r="514" spans="1:3" x14ac:dyDescent="0.4">
      <c r="A514">
        <v>7036500</v>
      </c>
      <c r="B514" s="1" t="s">
        <v>1553</v>
      </c>
      <c r="C514" s="1" t="s">
        <v>972</v>
      </c>
    </row>
    <row r="515" spans="1:3" x14ac:dyDescent="0.4">
      <c r="A515">
        <v>7036800</v>
      </c>
      <c r="B515" s="1" t="s">
        <v>1554</v>
      </c>
      <c r="C515" s="1" t="s">
        <v>973</v>
      </c>
    </row>
    <row r="516" spans="1:3" x14ac:dyDescent="0.4">
      <c r="A516">
        <v>7036900</v>
      </c>
      <c r="B516" s="1" t="s">
        <v>1555</v>
      </c>
      <c r="C516" s="1" t="s">
        <v>974</v>
      </c>
    </row>
    <row r="517" spans="1:3" x14ac:dyDescent="0.4">
      <c r="A517">
        <v>7037000</v>
      </c>
      <c r="B517" s="1" t="s">
        <v>1556</v>
      </c>
      <c r="C517" s="1" t="s">
        <v>975</v>
      </c>
    </row>
    <row r="518" spans="1:3" x14ac:dyDescent="0.4">
      <c r="A518">
        <v>7037300</v>
      </c>
      <c r="B518" s="1" t="s">
        <v>1557</v>
      </c>
      <c r="C518" s="1" t="s">
        <v>976</v>
      </c>
    </row>
    <row r="519" spans="1:3" x14ac:dyDescent="0.4">
      <c r="A519">
        <v>7037700</v>
      </c>
      <c r="B519" s="1" t="s">
        <v>1558</v>
      </c>
      <c r="C519" s="1" t="s">
        <v>977</v>
      </c>
    </row>
    <row r="520" spans="1:3" x14ac:dyDescent="0.4">
      <c r="A520">
        <v>7037800</v>
      </c>
      <c r="B520" s="1" t="s">
        <v>1559</v>
      </c>
      <c r="C520" s="1" t="s">
        <v>978</v>
      </c>
    </row>
    <row r="521" spans="1:3" x14ac:dyDescent="0.4">
      <c r="A521">
        <v>7040000</v>
      </c>
      <c r="B521" s="1" t="s">
        <v>1560</v>
      </c>
      <c r="C521" s="1" t="s">
        <v>557</v>
      </c>
    </row>
    <row r="522" spans="1:3" x14ac:dyDescent="0.4">
      <c r="A522">
        <v>7040100</v>
      </c>
      <c r="B522" s="1" t="s">
        <v>1143</v>
      </c>
      <c r="C522" s="1" t="s">
        <v>167</v>
      </c>
    </row>
    <row r="523" spans="1:3" x14ac:dyDescent="0.4">
      <c r="A523">
        <v>7040200</v>
      </c>
      <c r="B523" s="1" t="s">
        <v>1134</v>
      </c>
      <c r="C523" s="1" t="s">
        <v>158</v>
      </c>
    </row>
    <row r="524" spans="1:3" x14ac:dyDescent="0.4">
      <c r="A524">
        <v>7040290</v>
      </c>
      <c r="B524" s="1" t="s">
        <v>1561</v>
      </c>
      <c r="C524" s="1" t="s">
        <v>558</v>
      </c>
    </row>
    <row r="525" spans="1:3" x14ac:dyDescent="0.4">
      <c r="A525">
        <v>7040291</v>
      </c>
      <c r="B525" s="1" t="s">
        <v>40</v>
      </c>
      <c r="C525" s="1" t="s">
        <v>40</v>
      </c>
    </row>
    <row r="526" spans="1:3" x14ac:dyDescent="0.4">
      <c r="A526">
        <v>7040292</v>
      </c>
      <c r="B526" s="1" t="s">
        <v>40</v>
      </c>
      <c r="C526" s="1" t="s">
        <v>40</v>
      </c>
    </row>
    <row r="527" spans="1:3" x14ac:dyDescent="0.4">
      <c r="A527">
        <v>7040293</v>
      </c>
      <c r="B527" s="1" t="s">
        <v>40</v>
      </c>
      <c r="C527" s="1" t="s">
        <v>40</v>
      </c>
    </row>
    <row r="528" spans="1:3" x14ac:dyDescent="0.4">
      <c r="A528">
        <v>7040294</v>
      </c>
      <c r="B528" s="1" t="s">
        <v>40</v>
      </c>
      <c r="C528" s="1" t="s">
        <v>40</v>
      </c>
    </row>
    <row r="529" spans="1:3" x14ac:dyDescent="0.4">
      <c r="A529">
        <v>7040295</v>
      </c>
      <c r="B529" s="1" t="s">
        <v>40</v>
      </c>
      <c r="C529" s="1" t="s">
        <v>40</v>
      </c>
    </row>
    <row r="530" spans="1:3" x14ac:dyDescent="0.4">
      <c r="A530">
        <v>7040296</v>
      </c>
      <c r="B530" s="1" t="s">
        <v>40</v>
      </c>
      <c r="C530" s="1" t="s">
        <v>40</v>
      </c>
    </row>
    <row r="531" spans="1:3" x14ac:dyDescent="0.4">
      <c r="A531">
        <v>7040297</v>
      </c>
      <c r="B531" s="1" t="s">
        <v>40</v>
      </c>
      <c r="C531" s="1" t="s">
        <v>40</v>
      </c>
    </row>
    <row r="532" spans="1:3" x14ac:dyDescent="0.4">
      <c r="A532">
        <v>7040298</v>
      </c>
      <c r="B532" s="1" t="s">
        <v>40</v>
      </c>
      <c r="C532" s="1" t="s">
        <v>40</v>
      </c>
    </row>
    <row r="533" spans="1:3" x14ac:dyDescent="0.4">
      <c r="A533">
        <v>7040299</v>
      </c>
      <c r="B533" s="1" t="s">
        <v>40</v>
      </c>
      <c r="C533" s="1" t="s">
        <v>40</v>
      </c>
    </row>
    <row r="534" spans="1:3" x14ac:dyDescent="0.4">
      <c r="A534">
        <v>7040300</v>
      </c>
      <c r="B534" s="1" t="s">
        <v>1562</v>
      </c>
      <c r="C534" s="1" t="s">
        <v>559</v>
      </c>
    </row>
    <row r="535" spans="1:3" x14ac:dyDescent="0.4">
      <c r="A535">
        <v>7040400</v>
      </c>
      <c r="B535" s="1" t="s">
        <v>1563</v>
      </c>
      <c r="C535" s="1" t="s">
        <v>560</v>
      </c>
    </row>
    <row r="536" spans="1:3" x14ac:dyDescent="0.4">
      <c r="A536">
        <v>7040500</v>
      </c>
      <c r="B536" s="1" t="s">
        <v>1564</v>
      </c>
      <c r="C536" s="1" t="s">
        <v>561</v>
      </c>
    </row>
    <row r="537" spans="1:3" x14ac:dyDescent="0.4">
      <c r="A537">
        <v>7043200</v>
      </c>
      <c r="B537" s="1" t="s">
        <v>1565</v>
      </c>
      <c r="C537" s="1" t="s">
        <v>562</v>
      </c>
    </row>
    <row r="538" spans="1:3" x14ac:dyDescent="0.4">
      <c r="A538">
        <v>7043300</v>
      </c>
      <c r="B538" s="1" t="s">
        <v>1566</v>
      </c>
      <c r="C538" s="1" t="s">
        <v>563</v>
      </c>
    </row>
    <row r="539" spans="1:3" x14ac:dyDescent="0.4">
      <c r="A539">
        <v>7043400</v>
      </c>
      <c r="B539" s="1" t="s">
        <v>1567</v>
      </c>
      <c r="C539" s="1" t="s">
        <v>564</v>
      </c>
    </row>
    <row r="540" spans="1:3" x14ac:dyDescent="0.4">
      <c r="A540">
        <v>7043500</v>
      </c>
      <c r="B540" s="1" t="s">
        <v>1568</v>
      </c>
      <c r="C540" s="1" t="s">
        <v>565</v>
      </c>
    </row>
    <row r="541" spans="1:3" x14ac:dyDescent="0.4">
      <c r="A541">
        <v>7043600</v>
      </c>
      <c r="B541" s="1" t="s">
        <v>1569</v>
      </c>
      <c r="C541" s="1" t="s">
        <v>566</v>
      </c>
    </row>
    <row r="542" spans="1:3" x14ac:dyDescent="0.4">
      <c r="A542">
        <v>7043700</v>
      </c>
      <c r="B542" s="1" t="s">
        <v>1570</v>
      </c>
      <c r="C542" s="1" t="s">
        <v>567</v>
      </c>
    </row>
    <row r="543" spans="1:3" x14ac:dyDescent="0.4">
      <c r="A543">
        <v>7043800</v>
      </c>
      <c r="B543" s="1" t="s">
        <v>1571</v>
      </c>
      <c r="C543" s="1" t="s">
        <v>568</v>
      </c>
    </row>
    <row r="544" spans="1:3" x14ac:dyDescent="0.4">
      <c r="A544">
        <v>7043900</v>
      </c>
      <c r="B544" s="1" t="s">
        <v>1572</v>
      </c>
      <c r="C544" s="1" t="s">
        <v>569</v>
      </c>
    </row>
    <row r="545" spans="1:3" x14ac:dyDescent="0.4">
      <c r="A545">
        <v>7044000</v>
      </c>
      <c r="B545" s="1" t="s">
        <v>1573</v>
      </c>
      <c r="C545" s="1" t="s">
        <v>570</v>
      </c>
    </row>
    <row r="546" spans="1:3" x14ac:dyDescent="0.4">
      <c r="A546">
        <v>7044100</v>
      </c>
      <c r="B546" s="1" t="s">
        <v>1574</v>
      </c>
      <c r="C546" s="1" t="s">
        <v>571</v>
      </c>
    </row>
    <row r="547" spans="1:3" x14ac:dyDescent="0.4">
      <c r="A547">
        <v>7044200</v>
      </c>
      <c r="B547" s="1" t="s">
        <v>1575</v>
      </c>
      <c r="C547" s="1" t="s">
        <v>572</v>
      </c>
    </row>
    <row r="548" spans="1:3" x14ac:dyDescent="0.4">
      <c r="A548">
        <v>7044300</v>
      </c>
      <c r="B548" s="1" t="s">
        <v>1576</v>
      </c>
      <c r="C548" s="1" t="s">
        <v>573</v>
      </c>
    </row>
    <row r="549" spans="1:3" x14ac:dyDescent="0.4">
      <c r="A549">
        <v>7044400</v>
      </c>
      <c r="B549" s="1" t="s">
        <v>1577</v>
      </c>
      <c r="C549" s="1" t="s">
        <v>574</v>
      </c>
    </row>
    <row r="550" spans="1:3" x14ac:dyDescent="0.4">
      <c r="A550">
        <v>7044500</v>
      </c>
      <c r="B550" s="1" t="s">
        <v>1578</v>
      </c>
      <c r="C550" s="1" t="s">
        <v>575</v>
      </c>
    </row>
    <row r="551" spans="1:3" x14ac:dyDescent="0.4">
      <c r="A551">
        <v>7044600</v>
      </c>
      <c r="B551" s="1" t="s">
        <v>1579</v>
      </c>
      <c r="C551" s="1" t="s">
        <v>576</v>
      </c>
    </row>
    <row r="552" spans="1:3" x14ac:dyDescent="0.4">
      <c r="A552">
        <v>7050000</v>
      </c>
      <c r="B552" s="1" t="s">
        <v>1580</v>
      </c>
      <c r="C552" s="1" t="s">
        <v>577</v>
      </c>
    </row>
    <row r="553" spans="1:3" x14ac:dyDescent="0.4">
      <c r="A553">
        <v>7050100</v>
      </c>
      <c r="B553" s="1" t="s">
        <v>1581</v>
      </c>
      <c r="C553" s="1" t="s">
        <v>578</v>
      </c>
    </row>
    <row r="554" spans="1:3" x14ac:dyDescent="0.4">
      <c r="A554">
        <v>7060000</v>
      </c>
      <c r="B554" s="1" t="s">
        <v>1582</v>
      </c>
      <c r="C554" s="1" t="s">
        <v>579</v>
      </c>
    </row>
    <row r="555" spans="1:3" x14ac:dyDescent="0.4">
      <c r="A555">
        <v>7060100</v>
      </c>
      <c r="B555" s="1" t="s">
        <v>1583</v>
      </c>
      <c r="C555" s="1" t="s">
        <v>580</v>
      </c>
    </row>
    <row r="556" spans="1:3" x14ac:dyDescent="0.4">
      <c r="A556">
        <v>7060200</v>
      </c>
      <c r="B556" s="1" t="s">
        <v>1584</v>
      </c>
      <c r="C556" s="1" t="s">
        <v>581</v>
      </c>
    </row>
    <row r="557" spans="1:3" x14ac:dyDescent="0.4">
      <c r="A557">
        <v>7070000</v>
      </c>
      <c r="B557" s="1" t="s">
        <v>1585</v>
      </c>
      <c r="C557" s="1" t="s">
        <v>582</v>
      </c>
    </row>
    <row r="558" spans="1:3" x14ac:dyDescent="0.4">
      <c r="A558">
        <v>7080000</v>
      </c>
      <c r="B558" s="1" t="s">
        <v>1586</v>
      </c>
      <c r="C558" s="1" t="s">
        <v>583</v>
      </c>
    </row>
    <row r="559" spans="1:3" x14ac:dyDescent="0.4">
      <c r="A559">
        <v>7080100</v>
      </c>
      <c r="B559" s="1" t="s">
        <v>1587</v>
      </c>
      <c r="C559" s="1" t="s">
        <v>584</v>
      </c>
    </row>
    <row r="560" spans="1:3" x14ac:dyDescent="0.4">
      <c r="A560">
        <v>7080200</v>
      </c>
      <c r="B560" s="1" t="s">
        <v>1588</v>
      </c>
      <c r="C560" s="1" t="s">
        <v>585</v>
      </c>
    </row>
    <row r="561" spans="1:3" x14ac:dyDescent="0.4">
      <c r="A561">
        <v>7080300</v>
      </c>
      <c r="B561" s="1" t="s">
        <v>1589</v>
      </c>
      <c r="C561" s="1" t="s">
        <v>586</v>
      </c>
    </row>
    <row r="562" spans="1:3" x14ac:dyDescent="0.4">
      <c r="A562">
        <v>7080400</v>
      </c>
      <c r="B562" s="1" t="s">
        <v>1590</v>
      </c>
      <c r="C562" s="1" t="s">
        <v>587</v>
      </c>
    </row>
    <row r="563" spans="1:3" x14ac:dyDescent="0.4">
      <c r="A563">
        <v>7080500</v>
      </c>
      <c r="B563" s="1" t="s">
        <v>1591</v>
      </c>
      <c r="C563" s="1" t="s">
        <v>588</v>
      </c>
    </row>
    <row r="564" spans="1:3" x14ac:dyDescent="0.4">
      <c r="A564">
        <v>7080600</v>
      </c>
      <c r="B564" s="1" t="s">
        <v>1592</v>
      </c>
      <c r="C564" s="1" t="s">
        <v>589</v>
      </c>
    </row>
    <row r="565" spans="1:3" x14ac:dyDescent="0.4">
      <c r="A565">
        <v>7080700</v>
      </c>
      <c r="B565" s="1" t="s">
        <v>1593</v>
      </c>
      <c r="C565" s="1" t="s">
        <v>590</v>
      </c>
    </row>
    <row r="566" spans="1:3" x14ac:dyDescent="0.4">
      <c r="A566">
        <v>7080800</v>
      </c>
      <c r="B566" s="1" t="s">
        <v>1594</v>
      </c>
      <c r="C566" s="1" t="s">
        <v>591</v>
      </c>
    </row>
    <row r="567" spans="1:3" x14ac:dyDescent="0.4">
      <c r="A567">
        <v>7080900</v>
      </c>
      <c r="B567" s="1" t="s">
        <v>1595</v>
      </c>
      <c r="C567" s="1" t="s">
        <v>592</v>
      </c>
    </row>
    <row r="568" spans="1:3" x14ac:dyDescent="0.4">
      <c r="A568">
        <v>7081000</v>
      </c>
      <c r="B568" s="1" t="s">
        <v>1596</v>
      </c>
      <c r="C568" s="1" t="s">
        <v>593</v>
      </c>
    </row>
    <row r="569" spans="1:3" x14ac:dyDescent="0.4">
      <c r="A569">
        <v>7081100</v>
      </c>
      <c r="B569" s="1" t="s">
        <v>1597</v>
      </c>
      <c r="C569" s="1" t="s">
        <v>594</v>
      </c>
    </row>
    <row r="570" spans="1:3" x14ac:dyDescent="0.4">
      <c r="A570">
        <v>7081200</v>
      </c>
      <c r="B570" s="1" t="s">
        <v>1598</v>
      </c>
      <c r="C570" s="1" t="s">
        <v>595</v>
      </c>
    </row>
    <row r="571" spans="1:3" x14ac:dyDescent="0.4">
      <c r="A571">
        <v>7081300</v>
      </c>
      <c r="B571" s="1" t="s">
        <v>1599</v>
      </c>
      <c r="C571" s="1" t="s">
        <v>596</v>
      </c>
    </row>
    <row r="572" spans="1:3" x14ac:dyDescent="0.4">
      <c r="A572">
        <v>7081400</v>
      </c>
      <c r="B572" s="1" t="s">
        <v>1600</v>
      </c>
      <c r="C572" s="1" t="s">
        <v>597</v>
      </c>
    </row>
    <row r="573" spans="1:3" x14ac:dyDescent="0.4">
      <c r="A573">
        <v>7081500</v>
      </c>
      <c r="B573" s="1" t="s">
        <v>1601</v>
      </c>
      <c r="C573" s="1" t="s">
        <v>598</v>
      </c>
    </row>
    <row r="574" spans="1:3" x14ac:dyDescent="0.4">
      <c r="A574">
        <v>7081700</v>
      </c>
      <c r="B574" s="1" t="s">
        <v>1602</v>
      </c>
      <c r="C574" s="1" t="s">
        <v>599</v>
      </c>
    </row>
    <row r="575" spans="1:3" x14ac:dyDescent="0.4">
      <c r="A575">
        <v>7081800</v>
      </c>
      <c r="B575" s="1" t="s">
        <v>1603</v>
      </c>
      <c r="C575" s="1" t="s">
        <v>600</v>
      </c>
    </row>
    <row r="576" spans="1:3" x14ac:dyDescent="0.4">
      <c r="A576">
        <v>7081900</v>
      </c>
      <c r="B576" s="1" t="s">
        <v>1604</v>
      </c>
      <c r="C576" s="1" t="s">
        <v>601</v>
      </c>
    </row>
    <row r="577" spans="1:3" x14ac:dyDescent="0.4">
      <c r="A577">
        <v>7082000</v>
      </c>
      <c r="B577" s="1" t="s">
        <v>1605</v>
      </c>
      <c r="C577" s="1" t="s">
        <v>602</v>
      </c>
    </row>
    <row r="578" spans="1:3" x14ac:dyDescent="0.4">
      <c r="A578">
        <v>7082100</v>
      </c>
      <c r="B578" s="1" t="s">
        <v>1606</v>
      </c>
      <c r="C578" s="1" t="s">
        <v>603</v>
      </c>
    </row>
    <row r="579" spans="1:3" x14ac:dyDescent="0.4">
      <c r="A579">
        <v>7082200</v>
      </c>
      <c r="B579" s="1" t="s">
        <v>1607</v>
      </c>
      <c r="C579" s="1" t="s">
        <v>604</v>
      </c>
    </row>
    <row r="580" spans="1:3" x14ac:dyDescent="0.4">
      <c r="A580">
        <v>7082300</v>
      </c>
      <c r="B580" s="1" t="s">
        <v>1608</v>
      </c>
      <c r="C580" s="1" t="s">
        <v>605</v>
      </c>
    </row>
    <row r="581" spans="1:3" x14ac:dyDescent="0.4">
      <c r="A581">
        <v>7082400</v>
      </c>
      <c r="B581" s="1" t="s">
        <v>1609</v>
      </c>
      <c r="C581" s="1" t="s">
        <v>606</v>
      </c>
    </row>
    <row r="582" spans="1:3" x14ac:dyDescent="0.4">
      <c r="A582">
        <v>7082500</v>
      </c>
      <c r="B582" s="1" t="s">
        <v>1610</v>
      </c>
      <c r="C582" s="1" t="s">
        <v>607</v>
      </c>
    </row>
    <row r="583" spans="1:3" x14ac:dyDescent="0.4">
      <c r="A583">
        <v>7082600</v>
      </c>
      <c r="B583" s="1" t="s">
        <v>1611</v>
      </c>
      <c r="C583" s="1" t="s">
        <v>608</v>
      </c>
    </row>
    <row r="584" spans="1:3" x14ac:dyDescent="0.4">
      <c r="A584">
        <v>7082700</v>
      </c>
      <c r="B584" s="1" t="s">
        <v>1612</v>
      </c>
      <c r="C584" s="1" t="s">
        <v>609</v>
      </c>
    </row>
    <row r="585" spans="1:3" x14ac:dyDescent="0.4">
      <c r="A585">
        <v>7082800</v>
      </c>
      <c r="B585" s="1" t="s">
        <v>1613</v>
      </c>
      <c r="C585" s="1" t="s">
        <v>610</v>
      </c>
    </row>
    <row r="586" spans="1:3" x14ac:dyDescent="0.4">
      <c r="A586">
        <v>7082900</v>
      </c>
      <c r="B586" s="1" t="s">
        <v>1614</v>
      </c>
      <c r="C586" s="1" t="s">
        <v>611</v>
      </c>
    </row>
    <row r="587" spans="1:3" x14ac:dyDescent="0.4">
      <c r="A587">
        <v>7090000</v>
      </c>
      <c r="B587" s="1" t="s">
        <v>1615</v>
      </c>
      <c r="C587" s="1" t="s">
        <v>612</v>
      </c>
    </row>
    <row r="588" spans="1:3" x14ac:dyDescent="0.4">
      <c r="A588">
        <v>7090100</v>
      </c>
      <c r="B588" s="1" t="s">
        <v>1616</v>
      </c>
      <c r="C588" s="1" t="s">
        <v>613</v>
      </c>
    </row>
    <row r="589" spans="1:3" x14ac:dyDescent="0.4">
      <c r="A589">
        <v>7090300</v>
      </c>
      <c r="B589" s="1" t="s">
        <v>1617</v>
      </c>
      <c r="C589" s="1" t="s">
        <v>614</v>
      </c>
    </row>
    <row r="590" spans="1:3" x14ac:dyDescent="0.4">
      <c r="A590">
        <v>7100000</v>
      </c>
      <c r="B590" s="1" t="s">
        <v>1618</v>
      </c>
      <c r="C590" s="1" t="s">
        <v>615</v>
      </c>
    </row>
    <row r="591" spans="1:3" x14ac:dyDescent="0.4">
      <c r="A591">
        <v>7100100</v>
      </c>
      <c r="B591" s="1" t="s">
        <v>1619</v>
      </c>
      <c r="C591" s="1" t="s">
        <v>616</v>
      </c>
    </row>
    <row r="592" spans="1:3" x14ac:dyDescent="0.4">
      <c r="A592">
        <v>7100190</v>
      </c>
      <c r="B592" s="1" t="s">
        <v>1620</v>
      </c>
      <c r="C592" s="1" t="s">
        <v>617</v>
      </c>
    </row>
    <row r="593" spans="1:3" x14ac:dyDescent="0.4">
      <c r="A593">
        <v>7110000</v>
      </c>
      <c r="B593" s="1" t="s">
        <v>1621</v>
      </c>
      <c r="C593" s="1" t="s">
        <v>618</v>
      </c>
    </row>
    <row r="594" spans="1:3" x14ac:dyDescent="0.4">
      <c r="A594">
        <v>7120000</v>
      </c>
      <c r="B594" s="1" t="s">
        <v>1622</v>
      </c>
      <c r="C594" s="1" t="s">
        <v>619</v>
      </c>
    </row>
    <row r="595" spans="1:3" x14ac:dyDescent="0.4">
      <c r="A595">
        <v>7120100</v>
      </c>
      <c r="B595" s="1" t="s">
        <v>1623</v>
      </c>
      <c r="C595" s="1" t="s">
        <v>620</v>
      </c>
    </row>
    <row r="596" spans="1:3" x14ac:dyDescent="0.4">
      <c r="A596">
        <v>7120101</v>
      </c>
      <c r="B596" s="1" t="s">
        <v>1624</v>
      </c>
      <c r="C596" s="1" t="s">
        <v>621</v>
      </c>
    </row>
    <row r="597" spans="1:3" x14ac:dyDescent="0.4">
      <c r="A597">
        <v>7120200</v>
      </c>
      <c r="B597" s="1" t="s">
        <v>1625</v>
      </c>
      <c r="C597" s="1" t="s">
        <v>622</v>
      </c>
    </row>
    <row r="598" spans="1:3" x14ac:dyDescent="0.4">
      <c r="A598">
        <v>7120300</v>
      </c>
      <c r="B598" s="1" t="s">
        <v>1626</v>
      </c>
      <c r="C598" s="1" t="s">
        <v>623</v>
      </c>
    </row>
    <row r="599" spans="1:3" x14ac:dyDescent="0.4">
      <c r="A599">
        <v>7120400</v>
      </c>
      <c r="B599" s="1" t="s">
        <v>1627</v>
      </c>
      <c r="C599" s="1" t="s">
        <v>624</v>
      </c>
    </row>
    <row r="600" spans="1:3" x14ac:dyDescent="0.4">
      <c r="A600">
        <v>7120500</v>
      </c>
      <c r="B600" s="1" t="s">
        <v>1628</v>
      </c>
      <c r="C600" s="1" t="s">
        <v>625</v>
      </c>
    </row>
    <row r="601" spans="1:3" x14ac:dyDescent="0.4">
      <c r="A601">
        <v>7120600</v>
      </c>
      <c r="B601" s="1" t="s">
        <v>1629</v>
      </c>
      <c r="C601" s="1" t="s">
        <v>626</v>
      </c>
    </row>
    <row r="602" spans="1:3" x14ac:dyDescent="0.4">
      <c r="A602">
        <v>7120700</v>
      </c>
      <c r="B602" s="1" t="s">
        <v>1630</v>
      </c>
      <c r="C602" s="1" t="s">
        <v>627</v>
      </c>
    </row>
    <row r="603" spans="1:3" x14ac:dyDescent="0.4">
      <c r="A603">
        <v>7120900</v>
      </c>
      <c r="B603" s="1" t="s">
        <v>1631</v>
      </c>
      <c r="C603" s="1" t="s">
        <v>628</v>
      </c>
    </row>
    <row r="604" spans="1:3" x14ac:dyDescent="0.4">
      <c r="A604">
        <v>7121000</v>
      </c>
      <c r="B604" s="1" t="s">
        <v>1632</v>
      </c>
      <c r="C604" s="1" t="s">
        <v>629</v>
      </c>
    </row>
    <row r="605" spans="1:3" x14ac:dyDescent="0.4">
      <c r="A605">
        <v>7121100</v>
      </c>
      <c r="B605" s="1" t="s">
        <v>1633</v>
      </c>
      <c r="C605" s="1" t="s">
        <v>630</v>
      </c>
    </row>
    <row r="606" spans="1:3" x14ac:dyDescent="0.4">
      <c r="A606">
        <v>7121200</v>
      </c>
      <c r="B606" s="1" t="s">
        <v>1634</v>
      </c>
      <c r="C606" s="1" t="s">
        <v>631</v>
      </c>
    </row>
    <row r="607" spans="1:3" x14ac:dyDescent="0.4">
      <c r="A607">
        <v>7121300</v>
      </c>
      <c r="B607" s="1" t="s">
        <v>1635</v>
      </c>
      <c r="C607" s="1" t="s">
        <v>632</v>
      </c>
    </row>
    <row r="608" spans="1:3" x14ac:dyDescent="0.4">
      <c r="A608">
        <v>7121400</v>
      </c>
      <c r="B608" s="1" t="s">
        <v>1636</v>
      </c>
      <c r="C608" s="1" t="s">
        <v>633</v>
      </c>
    </row>
    <row r="609" spans="1:3" x14ac:dyDescent="0.4">
      <c r="A609">
        <v>7121500</v>
      </c>
      <c r="B609" s="1" t="s">
        <v>1637</v>
      </c>
      <c r="C609" s="1" t="s">
        <v>634</v>
      </c>
    </row>
    <row r="610" spans="1:3" x14ac:dyDescent="0.4">
      <c r="A610">
        <v>7121600</v>
      </c>
      <c r="B610" s="1" t="s">
        <v>1638</v>
      </c>
      <c r="C610" s="1" t="s">
        <v>635</v>
      </c>
    </row>
    <row r="611" spans="1:3" x14ac:dyDescent="0.4">
      <c r="A611">
        <v>7121700</v>
      </c>
      <c r="B611" s="1" t="s">
        <v>1639</v>
      </c>
      <c r="C611" s="1" t="s">
        <v>636</v>
      </c>
    </row>
    <row r="612" spans="1:3" x14ac:dyDescent="0.4">
      <c r="A612">
        <v>7121800</v>
      </c>
      <c r="B612" s="1" t="s">
        <v>1640</v>
      </c>
      <c r="C612" s="1" t="s">
        <v>637</v>
      </c>
    </row>
    <row r="613" spans="1:3" x14ac:dyDescent="0.4">
      <c r="A613">
        <v>7121900</v>
      </c>
      <c r="B613" s="1" t="s">
        <v>1641</v>
      </c>
      <c r="C613" s="1" t="s">
        <v>638</v>
      </c>
    </row>
    <row r="614" spans="1:3" x14ac:dyDescent="0.4">
      <c r="A614">
        <v>7122000</v>
      </c>
      <c r="B614" s="1" t="s">
        <v>1642</v>
      </c>
      <c r="C614" s="1" t="s">
        <v>639</v>
      </c>
    </row>
    <row r="615" spans="1:3" x14ac:dyDescent="0.4">
      <c r="A615">
        <v>7122100</v>
      </c>
      <c r="B615" s="1" t="s">
        <v>1643</v>
      </c>
      <c r="C615" s="1" t="s">
        <v>640</v>
      </c>
    </row>
    <row r="616" spans="1:3" x14ac:dyDescent="0.4">
      <c r="A616">
        <v>7122200</v>
      </c>
      <c r="B616" s="1" t="s">
        <v>1644</v>
      </c>
      <c r="C616" s="1" t="s">
        <v>641</v>
      </c>
    </row>
    <row r="617" spans="1:3" x14ac:dyDescent="0.4">
      <c r="A617">
        <v>7122300</v>
      </c>
      <c r="B617" s="1" t="s">
        <v>1645</v>
      </c>
      <c r="C617" s="1" t="s">
        <v>642</v>
      </c>
    </row>
    <row r="618" spans="1:3" x14ac:dyDescent="0.4">
      <c r="A618">
        <v>7122400</v>
      </c>
      <c r="B618" s="1" t="s">
        <v>1646</v>
      </c>
      <c r="C618" s="1" t="s">
        <v>643</v>
      </c>
    </row>
    <row r="619" spans="1:3" x14ac:dyDescent="0.4">
      <c r="A619">
        <v>7122500</v>
      </c>
      <c r="B619" s="1" t="s">
        <v>1647</v>
      </c>
      <c r="C619" s="1" t="s">
        <v>644</v>
      </c>
    </row>
    <row r="620" spans="1:3" x14ac:dyDescent="0.4">
      <c r="A620">
        <v>7122600</v>
      </c>
      <c r="B620" s="1" t="s">
        <v>1648</v>
      </c>
      <c r="C620" s="1" t="s">
        <v>645</v>
      </c>
    </row>
    <row r="621" spans="1:3" x14ac:dyDescent="0.4">
      <c r="A621">
        <v>7122700</v>
      </c>
      <c r="B621" s="1" t="s">
        <v>1649</v>
      </c>
      <c r="C621" s="1" t="s">
        <v>646</v>
      </c>
    </row>
    <row r="622" spans="1:3" x14ac:dyDescent="0.4">
      <c r="A622">
        <v>7122800</v>
      </c>
      <c r="B622" s="1" t="s">
        <v>1650</v>
      </c>
      <c r="C622" s="1" t="s">
        <v>647</v>
      </c>
    </row>
    <row r="623" spans="1:3" x14ac:dyDescent="0.4">
      <c r="A623">
        <v>7122900</v>
      </c>
      <c r="B623" s="1" t="s">
        <v>1651</v>
      </c>
      <c r="C623" s="1" t="s">
        <v>648</v>
      </c>
    </row>
    <row r="624" spans="1:3" x14ac:dyDescent="0.4">
      <c r="A624">
        <v>7123000</v>
      </c>
      <c r="B624" s="1" t="s">
        <v>1652</v>
      </c>
      <c r="C624" s="1" t="s">
        <v>649</v>
      </c>
    </row>
    <row r="625" spans="1:3" x14ac:dyDescent="0.4">
      <c r="A625">
        <v>7123100</v>
      </c>
      <c r="B625" s="1" t="s">
        <v>1653</v>
      </c>
      <c r="C625" s="1" t="s">
        <v>650</v>
      </c>
    </row>
    <row r="626" spans="1:3" x14ac:dyDescent="0.4">
      <c r="A626">
        <v>7123200</v>
      </c>
      <c r="B626" s="1" t="s">
        <v>1654</v>
      </c>
      <c r="C626" s="1" t="s">
        <v>651</v>
      </c>
    </row>
    <row r="627" spans="1:3" x14ac:dyDescent="0.4">
      <c r="A627">
        <v>7123300</v>
      </c>
      <c r="B627" s="1" t="s">
        <v>1655</v>
      </c>
      <c r="C627" s="1" t="s">
        <v>652</v>
      </c>
    </row>
    <row r="628" spans="1:3" x14ac:dyDescent="0.4">
      <c r="A628">
        <v>7123400</v>
      </c>
      <c r="B628" s="1" t="s">
        <v>1656</v>
      </c>
      <c r="C628" s="1" t="s">
        <v>653</v>
      </c>
    </row>
    <row r="629" spans="1:3" x14ac:dyDescent="0.4">
      <c r="A629">
        <v>7123500</v>
      </c>
      <c r="B629" s="1" t="s">
        <v>1657</v>
      </c>
      <c r="C629" s="1" t="s">
        <v>654</v>
      </c>
    </row>
    <row r="630" spans="1:3" x14ac:dyDescent="0.4">
      <c r="A630">
        <v>7123600</v>
      </c>
      <c r="B630" s="1" t="s">
        <v>1658</v>
      </c>
      <c r="C630" s="1" t="s">
        <v>655</v>
      </c>
    </row>
    <row r="631" spans="1:3" x14ac:dyDescent="0.4">
      <c r="A631">
        <v>7123700</v>
      </c>
      <c r="B631" s="1" t="s">
        <v>1659</v>
      </c>
      <c r="C631" s="1" t="s">
        <v>656</v>
      </c>
    </row>
    <row r="632" spans="1:3" x14ac:dyDescent="0.4">
      <c r="A632">
        <v>7123800</v>
      </c>
      <c r="B632" s="1" t="s">
        <v>1660</v>
      </c>
      <c r="C632" s="1" t="s">
        <v>657</v>
      </c>
    </row>
    <row r="633" spans="1:3" x14ac:dyDescent="0.4">
      <c r="A633">
        <v>7123900</v>
      </c>
      <c r="B633" s="1" t="s">
        <v>1661</v>
      </c>
      <c r="C633" s="1" t="s">
        <v>658</v>
      </c>
    </row>
    <row r="634" spans="1:3" x14ac:dyDescent="0.4">
      <c r="A634">
        <v>7124000</v>
      </c>
      <c r="B634" s="1" t="s">
        <v>1662</v>
      </c>
      <c r="C634" s="1" t="s">
        <v>659</v>
      </c>
    </row>
    <row r="635" spans="1:3" x14ac:dyDescent="0.4">
      <c r="A635">
        <v>7124100</v>
      </c>
      <c r="B635" s="1" t="s">
        <v>1663</v>
      </c>
      <c r="C635" s="1" t="s">
        <v>660</v>
      </c>
    </row>
    <row r="636" spans="1:3" x14ac:dyDescent="0.4">
      <c r="A636">
        <v>7124300</v>
      </c>
      <c r="B636" s="1" t="s">
        <v>1664</v>
      </c>
      <c r="C636" s="1" t="s">
        <v>661</v>
      </c>
    </row>
    <row r="637" spans="1:3" x14ac:dyDescent="0.4">
      <c r="A637">
        <v>7124400</v>
      </c>
      <c r="B637" s="1" t="s">
        <v>1665</v>
      </c>
      <c r="C637" s="1" t="s">
        <v>662</v>
      </c>
    </row>
    <row r="638" spans="1:3" x14ac:dyDescent="0.4">
      <c r="A638">
        <v>7124500</v>
      </c>
      <c r="B638" s="1" t="s">
        <v>1666</v>
      </c>
      <c r="C638" s="1" t="s">
        <v>663</v>
      </c>
    </row>
    <row r="639" spans="1:3" x14ac:dyDescent="0.4">
      <c r="A639">
        <v>7124600</v>
      </c>
      <c r="B639" s="1" t="s">
        <v>1667</v>
      </c>
      <c r="C639" s="1" t="s">
        <v>664</v>
      </c>
    </row>
    <row r="640" spans="1:3" x14ac:dyDescent="0.4">
      <c r="A640">
        <v>7124700</v>
      </c>
      <c r="B640" s="1" t="s">
        <v>1668</v>
      </c>
      <c r="C640" s="1" t="s">
        <v>665</v>
      </c>
    </row>
    <row r="641" spans="1:3" x14ac:dyDescent="0.4">
      <c r="A641">
        <v>7126000</v>
      </c>
      <c r="B641" s="1" t="s">
        <v>1669</v>
      </c>
      <c r="C641" s="1" t="s">
        <v>666</v>
      </c>
    </row>
    <row r="642" spans="1:3" x14ac:dyDescent="0.4">
      <c r="A642">
        <v>7150000</v>
      </c>
      <c r="B642" s="1" t="s">
        <v>1670</v>
      </c>
      <c r="C642" s="1" t="s">
        <v>667</v>
      </c>
    </row>
    <row r="643" spans="1:3" x14ac:dyDescent="0.4">
      <c r="A643">
        <v>7160000</v>
      </c>
      <c r="B643" s="1" t="s">
        <v>1671</v>
      </c>
      <c r="C643" s="1" t="s">
        <v>668</v>
      </c>
    </row>
    <row r="644" spans="1:3" x14ac:dyDescent="0.4">
      <c r="A644">
        <v>7170100</v>
      </c>
      <c r="B644" s="1" t="s">
        <v>1672</v>
      </c>
      <c r="C644" s="1" t="s">
        <v>979</v>
      </c>
    </row>
    <row r="645" spans="1:3" x14ac:dyDescent="0.4">
      <c r="A645">
        <v>7200000</v>
      </c>
      <c r="B645" s="1" t="s">
        <v>1673</v>
      </c>
      <c r="C645" s="1" t="s">
        <v>669</v>
      </c>
    </row>
    <row r="646" spans="1:3" x14ac:dyDescent="0.4">
      <c r="A646">
        <v>7200100</v>
      </c>
      <c r="B646" s="1" t="s">
        <v>1674</v>
      </c>
      <c r="C646" s="1" t="s">
        <v>670</v>
      </c>
    </row>
    <row r="647" spans="1:3" x14ac:dyDescent="0.4">
      <c r="A647">
        <v>7220000</v>
      </c>
      <c r="B647" s="1" t="s">
        <v>1675</v>
      </c>
      <c r="C647" s="1" t="s">
        <v>671</v>
      </c>
    </row>
    <row r="648" spans="1:3" x14ac:dyDescent="0.4">
      <c r="A648">
        <v>7230000</v>
      </c>
      <c r="B648" s="1" t="s">
        <v>1676</v>
      </c>
      <c r="C648" s="1" t="s">
        <v>672</v>
      </c>
    </row>
    <row r="649" spans="1:3" x14ac:dyDescent="0.4">
      <c r="A649">
        <v>7230001</v>
      </c>
      <c r="B649" s="1" t="s">
        <v>1677</v>
      </c>
      <c r="C649" s="1" t="s">
        <v>673</v>
      </c>
    </row>
    <row r="650" spans="1:3" x14ac:dyDescent="0.4">
      <c r="A650">
        <v>7240000</v>
      </c>
      <c r="B650" s="1" t="s">
        <v>1678</v>
      </c>
      <c r="C650" s="1" t="s">
        <v>674</v>
      </c>
    </row>
    <row r="651" spans="1:3" x14ac:dyDescent="0.4">
      <c r="A651">
        <v>7260000</v>
      </c>
      <c r="B651" s="1" t="s">
        <v>1679</v>
      </c>
      <c r="C651" s="1" t="s">
        <v>675</v>
      </c>
    </row>
    <row r="652" spans="1:3" x14ac:dyDescent="0.4">
      <c r="A652">
        <v>7260200</v>
      </c>
      <c r="B652" s="1" t="s">
        <v>1680</v>
      </c>
      <c r="C652" s="1" t="s">
        <v>676</v>
      </c>
    </row>
    <row r="653" spans="1:3" x14ac:dyDescent="0.4">
      <c r="A653">
        <v>7260300</v>
      </c>
      <c r="B653" s="1" t="s">
        <v>1681</v>
      </c>
      <c r="C653" s="1" t="s">
        <v>677</v>
      </c>
    </row>
    <row r="654" spans="1:3" x14ac:dyDescent="0.4">
      <c r="A654">
        <v>7260400</v>
      </c>
      <c r="B654" s="1" t="s">
        <v>1682</v>
      </c>
      <c r="C654" s="1" t="s">
        <v>678</v>
      </c>
    </row>
    <row r="655" spans="1:3" x14ac:dyDescent="0.4">
      <c r="A655">
        <v>7260600</v>
      </c>
      <c r="B655" s="1" t="s">
        <v>1683</v>
      </c>
      <c r="C655" s="1" t="s">
        <v>679</v>
      </c>
    </row>
    <row r="656" spans="1:3" x14ac:dyDescent="0.4">
      <c r="A656">
        <v>7260700</v>
      </c>
      <c r="B656" s="1" t="s">
        <v>1684</v>
      </c>
      <c r="C656" s="1" t="s">
        <v>680</v>
      </c>
    </row>
    <row r="657" spans="1:3" x14ac:dyDescent="0.4">
      <c r="A657">
        <v>7260701</v>
      </c>
      <c r="B657" s="1" t="s">
        <v>40</v>
      </c>
      <c r="C657" s="1" t="s">
        <v>40</v>
      </c>
    </row>
    <row r="658" spans="1:3" x14ac:dyDescent="0.4">
      <c r="A658">
        <v>7260702</v>
      </c>
      <c r="B658" s="1" t="s">
        <v>40</v>
      </c>
      <c r="C658" s="1" t="s">
        <v>40</v>
      </c>
    </row>
    <row r="659" spans="1:3" x14ac:dyDescent="0.4">
      <c r="A659">
        <v>7260703</v>
      </c>
      <c r="B659" s="1" t="s">
        <v>40</v>
      </c>
      <c r="C659" s="1" t="s">
        <v>40</v>
      </c>
    </row>
    <row r="660" spans="1:3" x14ac:dyDescent="0.4">
      <c r="A660">
        <v>7260704</v>
      </c>
      <c r="B660" s="1" t="s">
        <v>40</v>
      </c>
      <c r="C660" s="1" t="s">
        <v>40</v>
      </c>
    </row>
    <row r="661" spans="1:3" x14ac:dyDescent="0.4">
      <c r="A661">
        <v>7260705</v>
      </c>
      <c r="B661" s="1" t="s">
        <v>40</v>
      </c>
      <c r="C661" s="1" t="s">
        <v>40</v>
      </c>
    </row>
    <row r="662" spans="1:3" x14ac:dyDescent="0.4">
      <c r="A662">
        <v>7260706</v>
      </c>
      <c r="B662" s="1" t="s">
        <v>40</v>
      </c>
      <c r="C662" s="1" t="s">
        <v>40</v>
      </c>
    </row>
    <row r="663" spans="1:3" x14ac:dyDescent="0.4">
      <c r="A663">
        <v>7260707</v>
      </c>
      <c r="B663" s="1" t="s">
        <v>40</v>
      </c>
      <c r="C663" s="1" t="s">
        <v>40</v>
      </c>
    </row>
    <row r="664" spans="1:3" x14ac:dyDescent="0.4">
      <c r="A664">
        <v>7260708</v>
      </c>
      <c r="B664" s="1" t="s">
        <v>40</v>
      </c>
      <c r="C664" s="1" t="s">
        <v>40</v>
      </c>
    </row>
    <row r="665" spans="1:3" x14ac:dyDescent="0.4">
      <c r="A665">
        <v>7260709</v>
      </c>
      <c r="B665" s="1" t="s">
        <v>40</v>
      </c>
      <c r="C665" s="1" t="s">
        <v>40</v>
      </c>
    </row>
    <row r="666" spans="1:3" x14ac:dyDescent="0.4">
      <c r="A666">
        <v>7260710</v>
      </c>
      <c r="B666" s="1" t="s">
        <v>1140</v>
      </c>
      <c r="C666" s="1" t="s">
        <v>681</v>
      </c>
    </row>
    <row r="667" spans="1:3" x14ac:dyDescent="0.4">
      <c r="A667">
        <v>7260900</v>
      </c>
      <c r="B667" s="1" t="s">
        <v>1685</v>
      </c>
      <c r="C667" s="1" t="s">
        <v>980</v>
      </c>
    </row>
    <row r="668" spans="1:3" x14ac:dyDescent="0.4">
      <c r="A668">
        <v>7270100</v>
      </c>
      <c r="B668" s="1" t="s">
        <v>1686</v>
      </c>
      <c r="C668" s="1" t="s">
        <v>682</v>
      </c>
    </row>
    <row r="669" spans="1:3" x14ac:dyDescent="0.4">
      <c r="A669">
        <v>7280000</v>
      </c>
      <c r="B669" s="1" t="s">
        <v>1687</v>
      </c>
      <c r="C669" s="1" t="s">
        <v>683</v>
      </c>
    </row>
    <row r="670" spans="1:3" x14ac:dyDescent="0.4">
      <c r="A670">
        <v>7290000</v>
      </c>
      <c r="B670" s="1" t="s">
        <v>1688</v>
      </c>
      <c r="C670" s="1" t="s">
        <v>684</v>
      </c>
    </row>
    <row r="671" spans="1:3" x14ac:dyDescent="0.4">
      <c r="A671">
        <v>7300000</v>
      </c>
      <c r="B671" s="1" t="s">
        <v>1689</v>
      </c>
      <c r="C671" s="1" t="s">
        <v>685</v>
      </c>
    </row>
    <row r="672" spans="1:3" x14ac:dyDescent="0.4">
      <c r="A672">
        <v>7310000</v>
      </c>
      <c r="B672" s="1" t="s">
        <v>1690</v>
      </c>
      <c r="C672" s="1" t="s">
        <v>686</v>
      </c>
    </row>
    <row r="673" spans="1:3" x14ac:dyDescent="0.4">
      <c r="A673">
        <v>7320000</v>
      </c>
      <c r="B673" s="1" t="s">
        <v>1691</v>
      </c>
      <c r="C673" s="1" t="s">
        <v>687</v>
      </c>
    </row>
    <row r="674" spans="1:3" x14ac:dyDescent="0.4">
      <c r="A674">
        <v>7330000</v>
      </c>
      <c r="B674" s="1" t="s">
        <v>1692</v>
      </c>
      <c r="C674" s="1" t="s">
        <v>688</v>
      </c>
    </row>
    <row r="675" spans="1:3" x14ac:dyDescent="0.4">
      <c r="A675">
        <v>7330100</v>
      </c>
      <c r="B675" s="1" t="s">
        <v>1693</v>
      </c>
      <c r="C675" s="1" t="s">
        <v>689</v>
      </c>
    </row>
    <row r="676" spans="1:3" x14ac:dyDescent="0.4">
      <c r="A676">
        <v>7330200</v>
      </c>
      <c r="B676" s="1" t="s">
        <v>1694</v>
      </c>
      <c r="C676" s="1" t="s">
        <v>690</v>
      </c>
    </row>
    <row r="677" spans="1:3" x14ac:dyDescent="0.4">
      <c r="A677">
        <v>7330300</v>
      </c>
      <c r="B677" s="1" t="s">
        <v>1695</v>
      </c>
      <c r="C677" s="1" t="s">
        <v>691</v>
      </c>
    </row>
    <row r="678" spans="1:3" x14ac:dyDescent="0.4">
      <c r="A678">
        <v>7330400</v>
      </c>
      <c r="B678" s="1" t="s">
        <v>1696</v>
      </c>
      <c r="C678" s="1" t="s">
        <v>692</v>
      </c>
    </row>
    <row r="679" spans="1:3" x14ac:dyDescent="0.4">
      <c r="A679">
        <v>7330500</v>
      </c>
      <c r="B679" s="1" t="s">
        <v>1697</v>
      </c>
      <c r="C679" s="1" t="s">
        <v>693</v>
      </c>
    </row>
    <row r="680" spans="1:3" x14ac:dyDescent="0.4">
      <c r="A680">
        <v>7330600</v>
      </c>
      <c r="B680" s="1" t="s">
        <v>1698</v>
      </c>
      <c r="C680" s="1" t="s">
        <v>694</v>
      </c>
    </row>
    <row r="681" spans="1:3" x14ac:dyDescent="0.4">
      <c r="A681">
        <v>7330700</v>
      </c>
      <c r="B681" s="1" t="s">
        <v>1699</v>
      </c>
      <c r="C681" s="1" t="s">
        <v>695</v>
      </c>
    </row>
    <row r="682" spans="1:3" x14ac:dyDescent="0.4">
      <c r="A682">
        <v>7330800</v>
      </c>
      <c r="B682" s="1" t="s">
        <v>1700</v>
      </c>
      <c r="C682" s="1" t="s">
        <v>696</v>
      </c>
    </row>
    <row r="683" spans="1:3" x14ac:dyDescent="0.4">
      <c r="A683">
        <v>7330900</v>
      </c>
      <c r="B683" s="1" t="s">
        <v>1701</v>
      </c>
      <c r="C683" s="1" t="s">
        <v>697</v>
      </c>
    </row>
    <row r="684" spans="1:3" x14ac:dyDescent="0.4">
      <c r="A684">
        <v>7331000</v>
      </c>
      <c r="B684" s="1" t="s">
        <v>1702</v>
      </c>
      <c r="C684" s="1" t="s">
        <v>698</v>
      </c>
    </row>
    <row r="685" spans="1:3" x14ac:dyDescent="0.4">
      <c r="A685">
        <v>7331100</v>
      </c>
      <c r="B685" s="1" t="s">
        <v>1703</v>
      </c>
      <c r="C685" s="1" t="s">
        <v>699</v>
      </c>
    </row>
    <row r="686" spans="1:3" x14ac:dyDescent="0.4">
      <c r="A686">
        <v>7331200</v>
      </c>
      <c r="B686" s="1" t="s">
        <v>1704</v>
      </c>
      <c r="C686" s="1" t="s">
        <v>700</v>
      </c>
    </row>
    <row r="687" spans="1:3" x14ac:dyDescent="0.4">
      <c r="A687">
        <v>7331300</v>
      </c>
      <c r="B687" s="1" t="s">
        <v>1705</v>
      </c>
      <c r="C687" s="1" t="s">
        <v>701</v>
      </c>
    </row>
    <row r="688" spans="1:3" x14ac:dyDescent="0.4">
      <c r="A688">
        <v>7331400</v>
      </c>
      <c r="B688" s="1" t="s">
        <v>1706</v>
      </c>
      <c r="C688" s="1" t="s">
        <v>702</v>
      </c>
    </row>
    <row r="689" spans="1:3" x14ac:dyDescent="0.4">
      <c r="A689">
        <v>7331500</v>
      </c>
      <c r="B689" s="1" t="s">
        <v>1707</v>
      </c>
      <c r="C689" s="1" t="s">
        <v>703</v>
      </c>
    </row>
    <row r="690" spans="1:3" x14ac:dyDescent="0.4">
      <c r="A690">
        <v>7331600</v>
      </c>
      <c r="B690" s="1" t="s">
        <v>1708</v>
      </c>
      <c r="C690" s="1" t="s">
        <v>704</v>
      </c>
    </row>
    <row r="691" spans="1:3" x14ac:dyDescent="0.4">
      <c r="A691">
        <v>7331700</v>
      </c>
      <c r="B691" s="1" t="s">
        <v>1709</v>
      </c>
      <c r="C691" s="1" t="s">
        <v>705</v>
      </c>
    </row>
    <row r="692" spans="1:3" x14ac:dyDescent="0.4">
      <c r="A692">
        <v>7331800</v>
      </c>
      <c r="B692" s="1" t="s">
        <v>1710</v>
      </c>
      <c r="C692" s="1" t="s">
        <v>706</v>
      </c>
    </row>
    <row r="693" spans="1:3" x14ac:dyDescent="0.4">
      <c r="A693">
        <v>7331900</v>
      </c>
      <c r="B693" s="1" t="s">
        <v>1711</v>
      </c>
      <c r="C693" s="1" t="s">
        <v>707</v>
      </c>
    </row>
    <row r="694" spans="1:3" x14ac:dyDescent="0.4">
      <c r="A694">
        <v>7332000</v>
      </c>
      <c r="B694" s="1" t="s">
        <v>1712</v>
      </c>
      <c r="C694" s="1" t="s">
        <v>708</v>
      </c>
    </row>
    <row r="695" spans="1:3" x14ac:dyDescent="0.4">
      <c r="A695">
        <v>7332100</v>
      </c>
      <c r="B695" s="1" t="s">
        <v>1713</v>
      </c>
      <c r="C695" s="1" t="s">
        <v>709</v>
      </c>
    </row>
    <row r="696" spans="1:3" x14ac:dyDescent="0.4">
      <c r="A696">
        <v>7332200</v>
      </c>
      <c r="B696" s="1" t="s">
        <v>1714</v>
      </c>
      <c r="C696" s="1" t="s">
        <v>710</v>
      </c>
    </row>
    <row r="697" spans="1:3" x14ac:dyDescent="0.4">
      <c r="A697">
        <v>7332300</v>
      </c>
      <c r="B697" s="1" t="s">
        <v>1715</v>
      </c>
      <c r="C697" s="1" t="s">
        <v>711</v>
      </c>
    </row>
    <row r="698" spans="1:3" x14ac:dyDescent="0.4">
      <c r="A698">
        <v>7332400</v>
      </c>
      <c r="B698" s="1" t="s">
        <v>1716</v>
      </c>
      <c r="C698" s="1" t="s">
        <v>712</v>
      </c>
    </row>
    <row r="699" spans="1:3" x14ac:dyDescent="0.4">
      <c r="A699">
        <v>7332500</v>
      </c>
      <c r="B699" s="1" t="s">
        <v>1717</v>
      </c>
      <c r="C699" s="1" t="s">
        <v>713</v>
      </c>
    </row>
    <row r="700" spans="1:3" x14ac:dyDescent="0.4">
      <c r="A700">
        <v>7332600</v>
      </c>
      <c r="B700" s="1" t="s">
        <v>1718</v>
      </c>
      <c r="C700" s="1" t="s">
        <v>714</v>
      </c>
    </row>
    <row r="701" spans="1:3" x14ac:dyDescent="0.4">
      <c r="A701">
        <v>7332700</v>
      </c>
      <c r="B701" s="1" t="s">
        <v>1719</v>
      </c>
      <c r="C701" s="1" t="s">
        <v>715</v>
      </c>
    </row>
    <row r="702" spans="1:3" x14ac:dyDescent="0.4">
      <c r="A702">
        <v>7340000</v>
      </c>
      <c r="B702" s="1" t="s">
        <v>1720</v>
      </c>
      <c r="C702" s="1" t="s">
        <v>716</v>
      </c>
    </row>
    <row r="703" spans="1:3" x14ac:dyDescent="0.4">
      <c r="A703">
        <v>7340100</v>
      </c>
      <c r="B703" s="1" t="s">
        <v>1721</v>
      </c>
      <c r="C703" s="1" t="s">
        <v>717</v>
      </c>
    </row>
    <row r="704" spans="1:3" x14ac:dyDescent="0.4">
      <c r="A704">
        <v>7340200</v>
      </c>
      <c r="B704" s="1" t="s">
        <v>1722</v>
      </c>
      <c r="C704" s="1" t="s">
        <v>718</v>
      </c>
    </row>
    <row r="705" spans="1:3" x14ac:dyDescent="0.4">
      <c r="A705">
        <v>7340300</v>
      </c>
      <c r="B705" s="1" t="s">
        <v>1723</v>
      </c>
      <c r="C705" s="1" t="s">
        <v>719</v>
      </c>
    </row>
    <row r="706" spans="1:3" x14ac:dyDescent="0.4">
      <c r="A706">
        <v>7340400</v>
      </c>
      <c r="B706" s="1" t="s">
        <v>1724</v>
      </c>
      <c r="C706" s="1" t="s">
        <v>720</v>
      </c>
    </row>
    <row r="707" spans="1:3" x14ac:dyDescent="0.4">
      <c r="A707">
        <v>7340500</v>
      </c>
      <c r="B707" s="1" t="s">
        <v>1725</v>
      </c>
      <c r="C707" s="1" t="s">
        <v>721</v>
      </c>
    </row>
    <row r="708" spans="1:3" x14ac:dyDescent="0.4">
      <c r="A708">
        <v>7340600</v>
      </c>
      <c r="B708" s="1" t="s">
        <v>1726</v>
      </c>
      <c r="C708" s="1" t="s">
        <v>722</v>
      </c>
    </row>
    <row r="709" spans="1:3" x14ac:dyDescent="0.4">
      <c r="A709">
        <v>7340700</v>
      </c>
      <c r="B709" s="1" t="s">
        <v>1727</v>
      </c>
      <c r="C709" s="1" t="s">
        <v>723</v>
      </c>
    </row>
    <row r="710" spans="1:3" x14ac:dyDescent="0.4">
      <c r="A710">
        <v>7340800</v>
      </c>
      <c r="B710" s="1" t="s">
        <v>1728</v>
      </c>
      <c r="C710" s="1" t="s">
        <v>724</v>
      </c>
    </row>
    <row r="711" spans="1:3" x14ac:dyDescent="0.4">
      <c r="A711">
        <v>7340900</v>
      </c>
      <c r="B711" s="1" t="s">
        <v>1729</v>
      </c>
      <c r="C711" s="1" t="s">
        <v>725</v>
      </c>
    </row>
    <row r="712" spans="1:3" x14ac:dyDescent="0.4">
      <c r="A712">
        <v>7341000</v>
      </c>
      <c r="B712" s="1" t="s">
        <v>1730</v>
      </c>
      <c r="C712" s="1" t="s">
        <v>726</v>
      </c>
    </row>
    <row r="713" spans="1:3" x14ac:dyDescent="0.4">
      <c r="A713">
        <v>7341100</v>
      </c>
      <c r="B713" s="1" t="s">
        <v>1731</v>
      </c>
      <c r="C713" s="1" t="s">
        <v>727</v>
      </c>
    </row>
    <row r="714" spans="1:3" x14ac:dyDescent="0.4">
      <c r="A714">
        <v>7341200</v>
      </c>
      <c r="B714" s="1" t="s">
        <v>1732</v>
      </c>
      <c r="C714" s="1" t="s">
        <v>728</v>
      </c>
    </row>
    <row r="715" spans="1:3" x14ac:dyDescent="0.4">
      <c r="A715">
        <v>7341300</v>
      </c>
      <c r="B715" s="1" t="s">
        <v>1733</v>
      </c>
      <c r="C715" s="1" t="s">
        <v>729</v>
      </c>
    </row>
    <row r="716" spans="1:3" x14ac:dyDescent="0.4">
      <c r="A716">
        <v>7341400</v>
      </c>
      <c r="B716" s="1" t="s">
        <v>1734</v>
      </c>
      <c r="C716" s="1" t="s">
        <v>730</v>
      </c>
    </row>
    <row r="717" spans="1:3" x14ac:dyDescent="0.4">
      <c r="A717">
        <v>7341500</v>
      </c>
      <c r="B717" s="1" t="s">
        <v>1735</v>
      </c>
      <c r="C717" s="1" t="s">
        <v>731</v>
      </c>
    </row>
    <row r="718" spans="1:3" x14ac:dyDescent="0.4">
      <c r="A718">
        <v>7341600</v>
      </c>
      <c r="B718" s="1" t="s">
        <v>1736</v>
      </c>
      <c r="C718" s="1" t="s">
        <v>732</v>
      </c>
    </row>
    <row r="719" spans="1:3" x14ac:dyDescent="0.4">
      <c r="A719">
        <v>7341700</v>
      </c>
      <c r="B719" s="1" t="s">
        <v>1737</v>
      </c>
      <c r="C719" s="1" t="s">
        <v>733</v>
      </c>
    </row>
    <row r="720" spans="1:3" x14ac:dyDescent="0.4">
      <c r="A720">
        <v>7341800</v>
      </c>
      <c r="B720" s="1" t="s">
        <v>1738</v>
      </c>
      <c r="C720" s="1" t="s">
        <v>734</v>
      </c>
    </row>
    <row r="721" spans="1:3" x14ac:dyDescent="0.4">
      <c r="A721">
        <v>7341900</v>
      </c>
      <c r="B721" s="1" t="s">
        <v>1739</v>
      </c>
      <c r="C721" s="1" t="s">
        <v>735</v>
      </c>
    </row>
    <row r="722" spans="1:3" x14ac:dyDescent="0.4">
      <c r="A722">
        <v>7342000</v>
      </c>
      <c r="B722" s="1" t="s">
        <v>1740</v>
      </c>
      <c r="C722" s="1" t="s">
        <v>736</v>
      </c>
    </row>
    <row r="723" spans="1:3" x14ac:dyDescent="0.4">
      <c r="A723">
        <v>7342100</v>
      </c>
      <c r="B723" s="1" t="s">
        <v>1741</v>
      </c>
      <c r="C723" s="1" t="s">
        <v>737</v>
      </c>
    </row>
    <row r="724" spans="1:3" x14ac:dyDescent="0.4">
      <c r="A724">
        <v>7342200</v>
      </c>
      <c r="B724" s="1" t="s">
        <v>1742</v>
      </c>
      <c r="C724" s="1" t="s">
        <v>738</v>
      </c>
    </row>
    <row r="725" spans="1:3" x14ac:dyDescent="0.4">
      <c r="A725">
        <v>7342300</v>
      </c>
      <c r="B725" s="1" t="s">
        <v>1743</v>
      </c>
      <c r="C725" s="1" t="s">
        <v>739</v>
      </c>
    </row>
    <row r="726" spans="1:3" x14ac:dyDescent="0.4">
      <c r="A726">
        <v>7342400</v>
      </c>
      <c r="B726" s="1" t="s">
        <v>1744</v>
      </c>
      <c r="C726" s="1" t="s">
        <v>740</v>
      </c>
    </row>
    <row r="727" spans="1:3" x14ac:dyDescent="0.4">
      <c r="A727">
        <v>7342500</v>
      </c>
      <c r="B727" s="1" t="s">
        <v>1745</v>
      </c>
      <c r="C727" s="1" t="s">
        <v>741</v>
      </c>
    </row>
    <row r="728" spans="1:3" x14ac:dyDescent="0.4">
      <c r="A728">
        <v>7342600</v>
      </c>
      <c r="B728" s="1" t="s">
        <v>1746</v>
      </c>
      <c r="C728" s="1" t="s">
        <v>742</v>
      </c>
    </row>
    <row r="729" spans="1:3" x14ac:dyDescent="0.4">
      <c r="A729">
        <v>7342700</v>
      </c>
      <c r="B729" s="1" t="s">
        <v>1747</v>
      </c>
      <c r="C729" s="1" t="s">
        <v>743</v>
      </c>
    </row>
    <row r="730" spans="1:3" x14ac:dyDescent="0.4">
      <c r="A730">
        <v>7350000</v>
      </c>
      <c r="B730" s="1" t="s">
        <v>1748</v>
      </c>
      <c r="C730" s="1" t="s">
        <v>744</v>
      </c>
    </row>
    <row r="731" spans="1:3" x14ac:dyDescent="0.4">
      <c r="A731">
        <v>7350100</v>
      </c>
      <c r="B731" s="1" t="s">
        <v>1749</v>
      </c>
      <c r="C731" s="1" t="s">
        <v>745</v>
      </c>
    </row>
    <row r="732" spans="1:3" x14ac:dyDescent="0.4">
      <c r="A732">
        <v>7350200</v>
      </c>
      <c r="B732" s="1" t="s">
        <v>1750</v>
      </c>
      <c r="C732" s="1" t="s">
        <v>746</v>
      </c>
    </row>
    <row r="733" spans="1:3" x14ac:dyDescent="0.4">
      <c r="A733">
        <v>7350300</v>
      </c>
      <c r="B733" s="1" t="s">
        <v>1751</v>
      </c>
      <c r="C733" s="1" t="s">
        <v>747</v>
      </c>
    </row>
    <row r="734" spans="1:3" x14ac:dyDescent="0.4">
      <c r="A734">
        <v>7350400</v>
      </c>
      <c r="B734" s="1" t="s">
        <v>1752</v>
      </c>
      <c r="C734" s="1" t="s">
        <v>748</v>
      </c>
    </row>
    <row r="735" spans="1:3" x14ac:dyDescent="0.4">
      <c r="A735">
        <v>7350500</v>
      </c>
      <c r="B735" s="1" t="s">
        <v>1753</v>
      </c>
      <c r="C735" s="1" t="s">
        <v>749</v>
      </c>
    </row>
    <row r="736" spans="1:3" x14ac:dyDescent="0.4">
      <c r="A736">
        <v>7350600</v>
      </c>
      <c r="B736" s="1" t="s">
        <v>1754</v>
      </c>
      <c r="C736" s="1" t="s">
        <v>750</v>
      </c>
    </row>
    <row r="737" spans="1:3" x14ac:dyDescent="0.4">
      <c r="A737">
        <v>7350700</v>
      </c>
      <c r="B737" s="1" t="s">
        <v>1755</v>
      </c>
      <c r="C737" s="1" t="s">
        <v>751</v>
      </c>
    </row>
    <row r="738" spans="1:3" x14ac:dyDescent="0.4">
      <c r="A738">
        <v>7350800</v>
      </c>
      <c r="B738" s="1" t="s">
        <v>1756</v>
      </c>
      <c r="C738" s="1" t="s">
        <v>752</v>
      </c>
    </row>
    <row r="739" spans="1:3" x14ac:dyDescent="0.4">
      <c r="A739">
        <v>7350900</v>
      </c>
      <c r="B739" s="1" t="s">
        <v>1757</v>
      </c>
      <c r="C739" s="1" t="s">
        <v>753</v>
      </c>
    </row>
    <row r="740" spans="1:3" x14ac:dyDescent="0.4">
      <c r="A740">
        <v>7351000</v>
      </c>
      <c r="B740" s="1" t="s">
        <v>1758</v>
      </c>
      <c r="C740" s="1" t="s">
        <v>754</v>
      </c>
    </row>
    <row r="741" spans="1:3" x14ac:dyDescent="0.4">
      <c r="A741">
        <v>7351100</v>
      </c>
      <c r="B741" s="1" t="s">
        <v>1759</v>
      </c>
      <c r="C741" s="1" t="s">
        <v>755</v>
      </c>
    </row>
    <row r="742" spans="1:3" x14ac:dyDescent="0.4">
      <c r="A742">
        <v>7351200</v>
      </c>
      <c r="B742" s="1" t="s">
        <v>1760</v>
      </c>
      <c r="C742" s="1" t="s">
        <v>756</v>
      </c>
    </row>
    <row r="743" spans="1:3" x14ac:dyDescent="0.4">
      <c r="A743">
        <v>7351300</v>
      </c>
      <c r="B743" s="1" t="s">
        <v>1761</v>
      </c>
      <c r="C743" s="1" t="s">
        <v>757</v>
      </c>
    </row>
    <row r="744" spans="1:3" x14ac:dyDescent="0.4">
      <c r="A744">
        <v>7351400</v>
      </c>
      <c r="B744" s="1" t="s">
        <v>1762</v>
      </c>
      <c r="C744" s="1" t="s">
        <v>758</v>
      </c>
    </row>
    <row r="745" spans="1:3" x14ac:dyDescent="0.4">
      <c r="A745">
        <v>7351500</v>
      </c>
      <c r="B745" s="1" t="s">
        <v>1763</v>
      </c>
      <c r="C745" s="1" t="s">
        <v>759</v>
      </c>
    </row>
    <row r="746" spans="1:3" x14ac:dyDescent="0.4">
      <c r="A746">
        <v>7351600</v>
      </c>
      <c r="B746" s="1" t="s">
        <v>1764</v>
      </c>
      <c r="C746" s="1" t="s">
        <v>760</v>
      </c>
    </row>
    <row r="747" spans="1:3" x14ac:dyDescent="0.4">
      <c r="A747">
        <v>7351700</v>
      </c>
      <c r="B747" s="1" t="s">
        <v>1765</v>
      </c>
      <c r="C747" s="1" t="s">
        <v>761</v>
      </c>
    </row>
    <row r="748" spans="1:3" x14ac:dyDescent="0.4">
      <c r="A748">
        <v>7351800</v>
      </c>
      <c r="B748" s="1" t="s">
        <v>1766</v>
      </c>
      <c r="C748" s="1" t="s">
        <v>762</v>
      </c>
    </row>
    <row r="749" spans="1:3" x14ac:dyDescent="0.4">
      <c r="A749">
        <v>7351900</v>
      </c>
      <c r="B749" s="1" t="s">
        <v>1767</v>
      </c>
      <c r="C749" s="1" t="s">
        <v>763</v>
      </c>
    </row>
    <row r="750" spans="1:3" x14ac:dyDescent="0.4">
      <c r="A750">
        <v>7352000</v>
      </c>
      <c r="B750" s="1" t="s">
        <v>1768</v>
      </c>
      <c r="C750" s="1" t="s">
        <v>764</v>
      </c>
    </row>
    <row r="751" spans="1:3" x14ac:dyDescent="0.4">
      <c r="A751">
        <v>7352100</v>
      </c>
      <c r="B751" s="1" t="s">
        <v>1769</v>
      </c>
      <c r="C751" s="1" t="s">
        <v>765</v>
      </c>
    </row>
    <row r="752" spans="1:3" x14ac:dyDescent="0.4">
      <c r="A752">
        <v>7352200</v>
      </c>
      <c r="B752" s="1" t="s">
        <v>1770</v>
      </c>
      <c r="C752" s="1" t="s">
        <v>766</v>
      </c>
    </row>
    <row r="753" spans="1:3" x14ac:dyDescent="0.4">
      <c r="A753">
        <v>7352300</v>
      </c>
      <c r="B753" s="1" t="s">
        <v>1771</v>
      </c>
      <c r="C753" s="1" t="s">
        <v>767</v>
      </c>
    </row>
    <row r="754" spans="1:3" x14ac:dyDescent="0.4">
      <c r="A754">
        <v>7352400</v>
      </c>
      <c r="B754" s="1" t="s">
        <v>1772</v>
      </c>
      <c r="C754" s="1" t="s">
        <v>768</v>
      </c>
    </row>
    <row r="755" spans="1:3" x14ac:dyDescent="0.4">
      <c r="A755">
        <v>7352500</v>
      </c>
      <c r="B755" s="1" t="s">
        <v>1773</v>
      </c>
      <c r="C755" s="1" t="s">
        <v>769</v>
      </c>
    </row>
    <row r="756" spans="1:3" x14ac:dyDescent="0.4">
      <c r="A756">
        <v>7352600</v>
      </c>
      <c r="B756" s="1" t="s">
        <v>1774</v>
      </c>
      <c r="C756" s="1" t="s">
        <v>770</v>
      </c>
    </row>
    <row r="757" spans="1:3" x14ac:dyDescent="0.4">
      <c r="A757">
        <v>7352700</v>
      </c>
      <c r="B757" s="1" t="s">
        <v>1775</v>
      </c>
      <c r="C757" s="1" t="s">
        <v>771</v>
      </c>
    </row>
    <row r="758" spans="1:3" x14ac:dyDescent="0.4">
      <c r="A758">
        <v>7360600</v>
      </c>
      <c r="B758" s="1" t="s">
        <v>1776</v>
      </c>
      <c r="C758" s="1" t="s">
        <v>981</v>
      </c>
    </row>
    <row r="759" spans="1:3" x14ac:dyDescent="0.4">
      <c r="A759">
        <v>7360900</v>
      </c>
      <c r="B759" s="1" t="s">
        <v>1777</v>
      </c>
      <c r="C759" s="1" t="s">
        <v>982</v>
      </c>
    </row>
    <row r="760" spans="1:3" x14ac:dyDescent="0.4">
      <c r="A760">
        <v>7361200</v>
      </c>
      <c r="B760" s="1" t="s">
        <v>1778</v>
      </c>
      <c r="C760" s="1" t="s">
        <v>983</v>
      </c>
    </row>
    <row r="761" spans="1:3" x14ac:dyDescent="0.4">
      <c r="A761">
        <v>7361300</v>
      </c>
      <c r="B761" s="1" t="s">
        <v>1779</v>
      </c>
      <c r="C761" s="1" t="s">
        <v>984</v>
      </c>
    </row>
    <row r="762" spans="1:3" x14ac:dyDescent="0.4">
      <c r="A762">
        <v>7361500</v>
      </c>
      <c r="B762" s="1" t="s">
        <v>1780</v>
      </c>
      <c r="C762" s="1" t="s">
        <v>985</v>
      </c>
    </row>
    <row r="763" spans="1:3" x14ac:dyDescent="0.4">
      <c r="A763">
        <v>7361800</v>
      </c>
      <c r="B763" s="1" t="s">
        <v>1781</v>
      </c>
      <c r="C763" s="1" t="s">
        <v>986</v>
      </c>
    </row>
    <row r="764" spans="1:3" x14ac:dyDescent="0.4">
      <c r="A764">
        <v>7362100</v>
      </c>
      <c r="B764" s="1" t="s">
        <v>1782</v>
      </c>
      <c r="C764" s="1" t="s">
        <v>987</v>
      </c>
    </row>
    <row r="765" spans="1:3" x14ac:dyDescent="0.4">
      <c r="A765">
        <v>7370000</v>
      </c>
      <c r="B765" s="1" t="s">
        <v>1783</v>
      </c>
      <c r="C765" s="1" t="s">
        <v>988</v>
      </c>
    </row>
    <row r="766" spans="1:3" x14ac:dyDescent="0.4">
      <c r="A766">
        <v>7370200</v>
      </c>
      <c r="B766" s="1" t="s">
        <v>1784</v>
      </c>
      <c r="C766" s="1" t="s">
        <v>989</v>
      </c>
    </row>
    <row r="767" spans="1:3" x14ac:dyDescent="0.4">
      <c r="A767">
        <v>7370300</v>
      </c>
      <c r="B767" s="1" t="s">
        <v>1785</v>
      </c>
      <c r="C767" s="1" t="s">
        <v>990</v>
      </c>
    </row>
    <row r="768" spans="1:3" x14ac:dyDescent="0.4">
      <c r="A768">
        <v>7370400</v>
      </c>
      <c r="B768" s="1" t="s">
        <v>1786</v>
      </c>
      <c r="C768" s="1" t="s">
        <v>991</v>
      </c>
    </row>
    <row r="769" spans="1:3" x14ac:dyDescent="0.4">
      <c r="A769">
        <v>7370500</v>
      </c>
      <c r="B769" s="1" t="s">
        <v>1787</v>
      </c>
      <c r="C769" s="1" t="s">
        <v>992</v>
      </c>
    </row>
    <row r="770" spans="1:3" x14ac:dyDescent="0.4">
      <c r="A770">
        <v>7370600</v>
      </c>
      <c r="B770" s="1" t="s">
        <v>1788</v>
      </c>
      <c r="C770" s="1" t="s">
        <v>993</v>
      </c>
    </row>
    <row r="771" spans="1:3" x14ac:dyDescent="0.4">
      <c r="A771">
        <v>7370800</v>
      </c>
      <c r="B771" s="1" t="s">
        <v>1789</v>
      </c>
      <c r="C771" s="1" t="s">
        <v>994</v>
      </c>
    </row>
    <row r="772" spans="1:3" x14ac:dyDescent="0.4">
      <c r="A772">
        <v>7370900</v>
      </c>
      <c r="B772" s="1" t="s">
        <v>1790</v>
      </c>
      <c r="C772" s="1" t="s">
        <v>995</v>
      </c>
    </row>
    <row r="773" spans="1:3" x14ac:dyDescent="0.4">
      <c r="A773">
        <v>7371200</v>
      </c>
      <c r="B773" s="1" t="s">
        <v>1791</v>
      </c>
      <c r="C773" s="1" t="s">
        <v>996</v>
      </c>
    </row>
    <row r="774" spans="1:3" x14ac:dyDescent="0.4">
      <c r="A774">
        <v>7371500</v>
      </c>
      <c r="B774" s="1" t="s">
        <v>1792</v>
      </c>
      <c r="C774" s="1" t="s">
        <v>997</v>
      </c>
    </row>
    <row r="775" spans="1:3" x14ac:dyDescent="0.4">
      <c r="A775">
        <v>8000000</v>
      </c>
      <c r="B775" s="1" t="s">
        <v>1105</v>
      </c>
      <c r="C775" s="1" t="s">
        <v>129</v>
      </c>
    </row>
    <row r="776" spans="1:3" x14ac:dyDescent="0.4">
      <c r="A776">
        <v>8010000</v>
      </c>
      <c r="B776" s="1" t="s">
        <v>1106</v>
      </c>
      <c r="C776" s="1" t="s">
        <v>130</v>
      </c>
    </row>
    <row r="777" spans="1:3" x14ac:dyDescent="0.4">
      <c r="A777">
        <v>8010100</v>
      </c>
      <c r="B777" s="1" t="s">
        <v>1280</v>
      </c>
      <c r="C777" s="1" t="s">
        <v>299</v>
      </c>
    </row>
    <row r="778" spans="1:3" x14ac:dyDescent="0.4">
      <c r="A778">
        <v>8020000</v>
      </c>
      <c r="B778" s="1" t="s">
        <v>1107</v>
      </c>
      <c r="C778" s="1" t="s">
        <v>131</v>
      </c>
    </row>
    <row r="779" spans="1:3" x14ac:dyDescent="0.4">
      <c r="A779">
        <v>8020100</v>
      </c>
      <c r="B779" s="1" t="s">
        <v>1793</v>
      </c>
      <c r="C779" s="1" t="s">
        <v>772</v>
      </c>
    </row>
    <row r="780" spans="1:3" x14ac:dyDescent="0.4">
      <c r="A780">
        <v>8020200</v>
      </c>
      <c r="B780" s="1" t="s">
        <v>1110</v>
      </c>
      <c r="C780" s="1" t="s">
        <v>134</v>
      </c>
    </row>
    <row r="781" spans="1:3" x14ac:dyDescent="0.4">
      <c r="A781">
        <v>8100000</v>
      </c>
      <c r="B781" s="1" t="s">
        <v>1794</v>
      </c>
      <c r="C781" s="1" t="s">
        <v>455</v>
      </c>
    </row>
    <row r="782" spans="1:3" x14ac:dyDescent="0.4">
      <c r="A782">
        <v>8100100</v>
      </c>
      <c r="B782" s="1" t="s">
        <v>1125</v>
      </c>
      <c r="C782" s="1" t="s">
        <v>149</v>
      </c>
    </row>
    <row r="783" spans="1:3" x14ac:dyDescent="0.4">
      <c r="A783">
        <v>8100200</v>
      </c>
      <c r="B783" s="1" t="s">
        <v>1128</v>
      </c>
      <c r="C783" s="1" t="s">
        <v>152</v>
      </c>
    </row>
    <row r="784" spans="1:3" x14ac:dyDescent="0.4">
      <c r="A784">
        <v>8100300</v>
      </c>
      <c r="B784" s="1" t="s">
        <v>1127</v>
      </c>
      <c r="C784" s="1" t="s">
        <v>151</v>
      </c>
    </row>
    <row r="785" spans="1:3" x14ac:dyDescent="0.4">
      <c r="A785">
        <v>8100400</v>
      </c>
      <c r="B785" s="1" t="s">
        <v>1129</v>
      </c>
      <c r="C785" s="1" t="s">
        <v>153</v>
      </c>
    </row>
    <row r="786" spans="1:3" x14ac:dyDescent="0.4">
      <c r="A786">
        <v>8110000</v>
      </c>
      <c r="B786" s="1" t="s">
        <v>1457</v>
      </c>
      <c r="C786" s="1" t="s">
        <v>773</v>
      </c>
    </row>
    <row r="787" spans="1:3" x14ac:dyDescent="0.4">
      <c r="A787">
        <v>8110100</v>
      </c>
      <c r="B787" s="1" t="s">
        <v>1460</v>
      </c>
      <c r="C787" s="1" t="s">
        <v>774</v>
      </c>
    </row>
    <row r="788" spans="1:3" x14ac:dyDescent="0.4">
      <c r="A788">
        <v>8110200</v>
      </c>
      <c r="B788" s="1" t="s">
        <v>1463</v>
      </c>
      <c r="C788" s="1" t="s">
        <v>775</v>
      </c>
    </row>
    <row r="789" spans="1:3" x14ac:dyDescent="0.4">
      <c r="A789">
        <v>8110300</v>
      </c>
      <c r="B789" s="1" t="s">
        <v>1467</v>
      </c>
      <c r="C789" s="1" t="s">
        <v>776</v>
      </c>
    </row>
    <row r="790" spans="1:3" x14ac:dyDescent="0.4">
      <c r="A790">
        <v>8110400</v>
      </c>
      <c r="B790" s="1" t="s">
        <v>1795</v>
      </c>
      <c r="C790" s="1" t="s">
        <v>777</v>
      </c>
    </row>
    <row r="791" spans="1:3" x14ac:dyDescent="0.4">
      <c r="A791">
        <v>8110500</v>
      </c>
      <c r="B791" s="1" t="s">
        <v>1471</v>
      </c>
      <c r="C791" s="1" t="s">
        <v>778</v>
      </c>
    </row>
    <row r="792" spans="1:3" x14ac:dyDescent="0.4">
      <c r="A792">
        <v>8110600</v>
      </c>
      <c r="B792" s="1" t="s">
        <v>1475</v>
      </c>
      <c r="C792" s="1" t="s">
        <v>779</v>
      </c>
    </row>
    <row r="793" spans="1:3" x14ac:dyDescent="0.4">
      <c r="A793">
        <v>8110700</v>
      </c>
      <c r="B793" s="1" t="s">
        <v>1796</v>
      </c>
      <c r="C793" s="1" t="s">
        <v>780</v>
      </c>
    </row>
    <row r="794" spans="1:3" x14ac:dyDescent="0.4">
      <c r="A794">
        <v>8110800</v>
      </c>
      <c r="B794" s="1" t="s">
        <v>1797</v>
      </c>
      <c r="C794" s="1" t="s">
        <v>781</v>
      </c>
    </row>
    <row r="795" spans="1:3" x14ac:dyDescent="0.4">
      <c r="A795">
        <v>8110900</v>
      </c>
      <c r="B795" s="1" t="s">
        <v>1798</v>
      </c>
      <c r="C795" s="1" t="s">
        <v>782</v>
      </c>
    </row>
    <row r="796" spans="1:3" x14ac:dyDescent="0.4">
      <c r="A796">
        <v>8111000</v>
      </c>
      <c r="B796" s="1" t="s">
        <v>1799</v>
      </c>
      <c r="C796" s="1" t="s">
        <v>783</v>
      </c>
    </row>
    <row r="797" spans="1:3" x14ac:dyDescent="0.4">
      <c r="A797">
        <v>8120000</v>
      </c>
      <c r="B797" s="1" t="s">
        <v>1800</v>
      </c>
      <c r="C797" s="1" t="s">
        <v>784</v>
      </c>
    </row>
    <row r="798" spans="1:3" x14ac:dyDescent="0.4">
      <c r="A798">
        <v>8130000</v>
      </c>
      <c r="B798" s="1" t="s">
        <v>1134</v>
      </c>
      <c r="C798" s="1" t="s">
        <v>158</v>
      </c>
    </row>
    <row r="799" spans="1:3" x14ac:dyDescent="0.4">
      <c r="A799">
        <v>8140000</v>
      </c>
      <c r="B799" s="1" t="s">
        <v>1133</v>
      </c>
      <c r="C799" s="1" t="s">
        <v>157</v>
      </c>
    </row>
    <row r="800" spans="1:3" x14ac:dyDescent="0.4">
      <c r="A800">
        <v>8150000</v>
      </c>
      <c r="B800" s="1" t="s">
        <v>1801</v>
      </c>
      <c r="C800" s="1" t="s">
        <v>785</v>
      </c>
    </row>
    <row r="801" spans="1:3" x14ac:dyDescent="0.4">
      <c r="A801">
        <v>8150100</v>
      </c>
      <c r="B801" s="1" t="s">
        <v>1802</v>
      </c>
      <c r="C801" s="1" t="s">
        <v>786</v>
      </c>
    </row>
    <row r="802" spans="1:3" x14ac:dyDescent="0.4">
      <c r="A802">
        <v>8150300</v>
      </c>
      <c r="B802" s="1" t="s">
        <v>1803</v>
      </c>
      <c r="C802" s="1" t="s">
        <v>787</v>
      </c>
    </row>
    <row r="803" spans="1:3" x14ac:dyDescent="0.4">
      <c r="A803">
        <v>8200000</v>
      </c>
      <c r="B803" s="1" t="s">
        <v>1153</v>
      </c>
      <c r="C803" s="1" t="s">
        <v>177</v>
      </c>
    </row>
    <row r="804" spans="1:3" x14ac:dyDescent="0.4">
      <c r="A804">
        <v>8200100</v>
      </c>
      <c r="B804" s="1" t="s">
        <v>1154</v>
      </c>
      <c r="C804" s="1" t="s">
        <v>178</v>
      </c>
    </row>
    <row r="805" spans="1:3" x14ac:dyDescent="0.4">
      <c r="A805">
        <v>8200200</v>
      </c>
      <c r="B805" s="1" t="s">
        <v>1155</v>
      </c>
      <c r="C805" s="1" t="s">
        <v>179</v>
      </c>
    </row>
    <row r="806" spans="1:3" x14ac:dyDescent="0.4">
      <c r="A806">
        <v>8200300</v>
      </c>
      <c r="B806" s="1" t="s">
        <v>1156</v>
      </c>
      <c r="C806" s="1" t="s">
        <v>180</v>
      </c>
    </row>
    <row r="807" spans="1:3" x14ac:dyDescent="0.4">
      <c r="A807">
        <v>8200400</v>
      </c>
      <c r="B807" s="1" t="s">
        <v>1157</v>
      </c>
      <c r="C807" s="1" t="s">
        <v>181</v>
      </c>
    </row>
    <row r="808" spans="1:3" x14ac:dyDescent="0.4">
      <c r="A808">
        <v>8200500</v>
      </c>
      <c r="B808" s="1" t="s">
        <v>1158</v>
      </c>
      <c r="C808" s="1" t="s">
        <v>182</v>
      </c>
    </row>
    <row r="809" spans="1:3" x14ac:dyDescent="0.4">
      <c r="A809">
        <v>8210000</v>
      </c>
      <c r="B809" s="1" t="s">
        <v>1113</v>
      </c>
      <c r="C809" s="1" t="s">
        <v>137</v>
      </c>
    </row>
    <row r="810" spans="1:3" x14ac:dyDescent="0.4">
      <c r="A810">
        <v>8210100</v>
      </c>
      <c r="B810" s="1" t="s">
        <v>1111</v>
      </c>
      <c r="C810" s="1" t="s">
        <v>135</v>
      </c>
    </row>
    <row r="811" spans="1:3" x14ac:dyDescent="0.4">
      <c r="A811">
        <v>8210200</v>
      </c>
      <c r="B811" s="1" t="s">
        <v>1115</v>
      </c>
      <c r="C811" s="1" t="s">
        <v>139</v>
      </c>
    </row>
    <row r="812" spans="1:3" x14ac:dyDescent="0.4">
      <c r="A812">
        <v>8210300</v>
      </c>
      <c r="B812" s="1" t="s">
        <v>1117</v>
      </c>
      <c r="C812" s="1" t="s">
        <v>141</v>
      </c>
    </row>
    <row r="813" spans="1:3" x14ac:dyDescent="0.4">
      <c r="A813">
        <v>8210400</v>
      </c>
      <c r="B813" s="1" t="s">
        <v>1114</v>
      </c>
      <c r="C813" s="1" t="s">
        <v>138</v>
      </c>
    </row>
    <row r="814" spans="1:3" x14ac:dyDescent="0.4">
      <c r="A814">
        <v>8210500</v>
      </c>
      <c r="B814" s="1" t="s">
        <v>1112</v>
      </c>
      <c r="C814" s="1" t="s">
        <v>136</v>
      </c>
    </row>
    <row r="815" spans="1:3" x14ac:dyDescent="0.4">
      <c r="A815">
        <v>8210600</v>
      </c>
      <c r="B815" s="1" t="s">
        <v>1116</v>
      </c>
      <c r="C815" s="1" t="s">
        <v>140</v>
      </c>
    </row>
    <row r="816" spans="1:3" x14ac:dyDescent="0.4">
      <c r="A816">
        <v>8220000</v>
      </c>
      <c r="B816" s="1" t="s">
        <v>1163</v>
      </c>
      <c r="C816" s="1" t="s">
        <v>187</v>
      </c>
    </row>
    <row r="817" spans="1:3" x14ac:dyDescent="0.4">
      <c r="A817">
        <v>8220001</v>
      </c>
      <c r="B817" s="1" t="s">
        <v>1804</v>
      </c>
      <c r="C817" s="1" t="s">
        <v>788</v>
      </c>
    </row>
    <row r="818" spans="1:3" x14ac:dyDescent="0.4">
      <c r="A818">
        <v>8220002</v>
      </c>
      <c r="B818" s="1" t="s">
        <v>1805</v>
      </c>
      <c r="C818" s="1" t="s">
        <v>789</v>
      </c>
    </row>
    <row r="819" spans="1:3" x14ac:dyDescent="0.4">
      <c r="A819">
        <v>8230000</v>
      </c>
      <c r="B819" s="1" t="s">
        <v>1121</v>
      </c>
      <c r="C819" s="1" t="s">
        <v>145</v>
      </c>
    </row>
    <row r="820" spans="1:3" x14ac:dyDescent="0.4">
      <c r="A820">
        <v>8300000</v>
      </c>
      <c r="B820" s="1" t="s">
        <v>1806</v>
      </c>
      <c r="C820" s="1" t="s">
        <v>790</v>
      </c>
    </row>
    <row r="821" spans="1:3" x14ac:dyDescent="0.4">
      <c r="A821">
        <v>8300100</v>
      </c>
      <c r="B821" s="1" t="s">
        <v>1807</v>
      </c>
      <c r="C821" s="1" t="s">
        <v>791</v>
      </c>
    </row>
    <row r="822" spans="1:3" x14ac:dyDescent="0.4">
      <c r="A822">
        <v>8310000</v>
      </c>
      <c r="B822" s="1" t="s">
        <v>1808</v>
      </c>
      <c r="C822" s="1" t="s">
        <v>792</v>
      </c>
    </row>
    <row r="823" spans="1:3" x14ac:dyDescent="0.4">
      <c r="A823">
        <v>8310100</v>
      </c>
      <c r="B823" s="1" t="s">
        <v>1809</v>
      </c>
      <c r="C823" s="1" t="s">
        <v>793</v>
      </c>
    </row>
    <row r="824" spans="1:3" x14ac:dyDescent="0.4">
      <c r="A824">
        <v>8320000</v>
      </c>
      <c r="B824" s="1" t="s">
        <v>1136</v>
      </c>
      <c r="C824" s="1" t="s">
        <v>160</v>
      </c>
    </row>
    <row r="825" spans="1:3" x14ac:dyDescent="0.4">
      <c r="A825">
        <v>8320100</v>
      </c>
      <c r="B825" s="1" t="s">
        <v>1137</v>
      </c>
      <c r="C825" s="1" t="s">
        <v>161</v>
      </c>
    </row>
    <row r="826" spans="1:3" x14ac:dyDescent="0.4">
      <c r="A826">
        <v>8320200</v>
      </c>
      <c r="B826" s="1" t="s">
        <v>1810</v>
      </c>
      <c r="C826" s="1" t="s">
        <v>794</v>
      </c>
    </row>
    <row r="827" spans="1:3" x14ac:dyDescent="0.4">
      <c r="A827">
        <v>8320300</v>
      </c>
      <c r="B827" s="1" t="s">
        <v>1141</v>
      </c>
      <c r="C827" s="1" t="s">
        <v>165</v>
      </c>
    </row>
    <row r="828" spans="1:3" x14ac:dyDescent="0.4">
      <c r="A828">
        <v>8320400</v>
      </c>
      <c r="B828" s="1" t="s">
        <v>1811</v>
      </c>
      <c r="C828" s="1" t="s">
        <v>795</v>
      </c>
    </row>
    <row r="829" spans="1:3" x14ac:dyDescent="0.4">
      <c r="A829">
        <v>8320500</v>
      </c>
      <c r="B829" s="1" t="s">
        <v>1482</v>
      </c>
      <c r="C829" s="1" t="s">
        <v>968</v>
      </c>
    </row>
    <row r="830" spans="1:3" x14ac:dyDescent="0.4">
      <c r="A830">
        <v>8320600</v>
      </c>
      <c r="B830" s="1" t="s">
        <v>1812</v>
      </c>
      <c r="C830" s="1" t="s">
        <v>998</v>
      </c>
    </row>
    <row r="831" spans="1:3" x14ac:dyDescent="0.4">
      <c r="A831">
        <v>8320700</v>
      </c>
      <c r="B831" s="1" t="s">
        <v>1813</v>
      </c>
      <c r="C831" s="1" t="s">
        <v>999</v>
      </c>
    </row>
    <row r="832" spans="1:3" x14ac:dyDescent="0.4">
      <c r="A832">
        <v>8330000</v>
      </c>
      <c r="B832" s="1" t="s">
        <v>1146</v>
      </c>
      <c r="C832" s="1" t="s">
        <v>170</v>
      </c>
    </row>
    <row r="833" spans="1:3" x14ac:dyDescent="0.4">
      <c r="A833">
        <v>8330100</v>
      </c>
      <c r="B833" s="1" t="s">
        <v>1147</v>
      </c>
      <c r="C833" s="1" t="s">
        <v>171</v>
      </c>
    </row>
    <row r="834" spans="1:3" x14ac:dyDescent="0.4">
      <c r="A834">
        <v>8330200</v>
      </c>
      <c r="B834" s="1" t="s">
        <v>1814</v>
      </c>
      <c r="C834" s="1" t="s">
        <v>796</v>
      </c>
    </row>
    <row r="835" spans="1:3" x14ac:dyDescent="0.4">
      <c r="A835">
        <v>8330300</v>
      </c>
      <c r="B835" s="1" t="s">
        <v>1815</v>
      </c>
      <c r="C835" s="1" t="s">
        <v>797</v>
      </c>
    </row>
    <row r="836" spans="1:3" x14ac:dyDescent="0.4">
      <c r="A836">
        <v>8330400</v>
      </c>
      <c r="B836" s="1" t="s">
        <v>1149</v>
      </c>
      <c r="C836" s="1" t="s">
        <v>173</v>
      </c>
    </row>
    <row r="837" spans="1:3" x14ac:dyDescent="0.4">
      <c r="A837">
        <v>8330500</v>
      </c>
      <c r="B837" s="1" t="s">
        <v>1148</v>
      </c>
      <c r="C837" s="1" t="s">
        <v>172</v>
      </c>
    </row>
    <row r="838" spans="1:3" x14ac:dyDescent="0.4">
      <c r="A838">
        <v>8330600</v>
      </c>
      <c r="B838" s="1" t="s">
        <v>1150</v>
      </c>
      <c r="C838" s="1" t="s">
        <v>174</v>
      </c>
    </row>
    <row r="839" spans="1:3" x14ac:dyDescent="0.4">
      <c r="A839">
        <v>8330700</v>
      </c>
      <c r="B839" s="1" t="s">
        <v>1816</v>
      </c>
      <c r="C839" s="1" t="s">
        <v>798</v>
      </c>
    </row>
    <row r="840" spans="1:3" x14ac:dyDescent="0.4">
      <c r="A840">
        <v>8330900</v>
      </c>
      <c r="B840" s="1" t="s">
        <v>1817</v>
      </c>
      <c r="C840" s="1" t="s">
        <v>799</v>
      </c>
    </row>
    <row r="841" spans="1:3" x14ac:dyDescent="0.4">
      <c r="A841">
        <v>8340000</v>
      </c>
      <c r="B841" s="1" t="s">
        <v>1138</v>
      </c>
      <c r="C841" s="1" t="s">
        <v>162</v>
      </c>
    </row>
    <row r="842" spans="1:3" x14ac:dyDescent="0.4">
      <c r="A842">
        <v>8340100</v>
      </c>
      <c r="B842" s="1" t="s">
        <v>1135</v>
      </c>
      <c r="C842" s="1" t="s">
        <v>159</v>
      </c>
    </row>
    <row r="843" spans="1:3" x14ac:dyDescent="0.4">
      <c r="A843">
        <v>8350000</v>
      </c>
      <c r="B843" s="1" t="s">
        <v>1122</v>
      </c>
      <c r="C843" s="1" t="s">
        <v>146</v>
      </c>
    </row>
    <row r="844" spans="1:3" x14ac:dyDescent="0.4">
      <c r="A844">
        <v>8350100</v>
      </c>
      <c r="B844" s="1" t="s">
        <v>1818</v>
      </c>
      <c r="C844" s="1" t="s">
        <v>800</v>
      </c>
    </row>
    <row r="845" spans="1:3" x14ac:dyDescent="0.4">
      <c r="A845">
        <v>8350200</v>
      </c>
      <c r="B845" s="1" t="s">
        <v>1170</v>
      </c>
      <c r="C845" s="1" t="s">
        <v>194</v>
      </c>
    </row>
    <row r="846" spans="1:3" x14ac:dyDescent="0.4">
      <c r="A846">
        <v>8350300</v>
      </c>
      <c r="B846" s="1" t="s">
        <v>1819</v>
      </c>
      <c r="C846" s="1" t="s">
        <v>801</v>
      </c>
    </row>
    <row r="847" spans="1:3" x14ac:dyDescent="0.4">
      <c r="A847">
        <v>8350400</v>
      </c>
      <c r="B847" s="1" t="s">
        <v>1820</v>
      </c>
      <c r="C847" s="1" t="s">
        <v>802</v>
      </c>
    </row>
    <row r="848" spans="1:3" x14ac:dyDescent="0.4">
      <c r="A848">
        <v>8360000</v>
      </c>
      <c r="B848" s="1" t="s">
        <v>1821</v>
      </c>
      <c r="C848" s="1" t="s">
        <v>803</v>
      </c>
    </row>
    <row r="849" spans="1:3" x14ac:dyDescent="0.4">
      <c r="A849">
        <v>8360000</v>
      </c>
      <c r="B849" s="1" t="s">
        <v>1821</v>
      </c>
      <c r="C849" s="1" t="s">
        <v>803</v>
      </c>
    </row>
    <row r="850" spans="1:3" x14ac:dyDescent="0.4">
      <c r="A850">
        <v>8360000</v>
      </c>
      <c r="B850" s="1" t="s">
        <v>1821</v>
      </c>
      <c r="C850" s="1" t="s">
        <v>803</v>
      </c>
    </row>
    <row r="851" spans="1:3" x14ac:dyDescent="0.4">
      <c r="A851">
        <v>8360000</v>
      </c>
      <c r="B851" s="1" t="s">
        <v>1821</v>
      </c>
      <c r="C851" s="1" t="s">
        <v>803</v>
      </c>
    </row>
    <row r="852" spans="1:3" x14ac:dyDescent="0.4">
      <c r="A852">
        <v>8370000</v>
      </c>
      <c r="B852" s="1" t="s">
        <v>1822</v>
      </c>
      <c r="C852" s="1" t="s">
        <v>804</v>
      </c>
    </row>
    <row r="853" spans="1:3" x14ac:dyDescent="0.4">
      <c r="A853">
        <v>8380000</v>
      </c>
      <c r="B853" s="1" t="s">
        <v>1142</v>
      </c>
      <c r="C853" s="1" t="s">
        <v>166</v>
      </c>
    </row>
    <row r="854" spans="1:3" x14ac:dyDescent="0.4">
      <c r="A854">
        <v>8390000</v>
      </c>
      <c r="B854" s="1" t="s">
        <v>1144</v>
      </c>
      <c r="C854" s="1" t="s">
        <v>168</v>
      </c>
    </row>
    <row r="855" spans="1:3" x14ac:dyDescent="0.4">
      <c r="A855">
        <v>8400000</v>
      </c>
      <c r="B855" s="1" t="s">
        <v>1145</v>
      </c>
      <c r="C855" s="1" t="s">
        <v>169</v>
      </c>
    </row>
    <row r="856" spans="1:3" x14ac:dyDescent="0.4">
      <c r="A856">
        <v>8410000</v>
      </c>
      <c r="B856" s="1" t="s">
        <v>1159</v>
      </c>
      <c r="C856" s="1" t="s">
        <v>805</v>
      </c>
    </row>
    <row r="857" spans="1:3" x14ac:dyDescent="0.4">
      <c r="A857">
        <v>8410100</v>
      </c>
      <c r="B857" s="1" t="s">
        <v>1823</v>
      </c>
      <c r="C857" s="1" t="s">
        <v>806</v>
      </c>
    </row>
    <row r="858" spans="1:3" x14ac:dyDescent="0.4">
      <c r="A858">
        <v>8420000</v>
      </c>
      <c r="B858" s="1" t="s">
        <v>1143</v>
      </c>
      <c r="C858" s="1" t="s">
        <v>167</v>
      </c>
    </row>
    <row r="859" spans="1:3" x14ac:dyDescent="0.4">
      <c r="A859">
        <v>8420100</v>
      </c>
      <c r="B859" s="1" t="s">
        <v>1824</v>
      </c>
      <c r="C859" s="1" t="s">
        <v>807</v>
      </c>
    </row>
    <row r="860" spans="1:3" x14ac:dyDescent="0.4">
      <c r="A860">
        <v>8420200</v>
      </c>
      <c r="B860" s="1" t="s">
        <v>1825</v>
      </c>
      <c r="C860" s="1" t="s">
        <v>808</v>
      </c>
    </row>
    <row r="861" spans="1:3" x14ac:dyDescent="0.4">
      <c r="A861">
        <v>8430000</v>
      </c>
      <c r="B861" s="1" t="s">
        <v>1132</v>
      </c>
      <c r="C861" s="1" t="s">
        <v>156</v>
      </c>
    </row>
    <row r="862" spans="1:3" x14ac:dyDescent="0.4">
      <c r="A862">
        <v>8440000</v>
      </c>
      <c r="B862" s="1" t="s">
        <v>1164</v>
      </c>
      <c r="C862" s="1" t="s">
        <v>188</v>
      </c>
    </row>
    <row r="863" spans="1:3" x14ac:dyDescent="0.4">
      <c r="A863">
        <v>8440100</v>
      </c>
      <c r="B863" s="1" t="s">
        <v>1484</v>
      </c>
      <c r="C863" s="1" t="s">
        <v>489</v>
      </c>
    </row>
    <row r="864" spans="1:3" x14ac:dyDescent="0.4">
      <c r="A864">
        <v>8440200</v>
      </c>
      <c r="B864" s="1" t="s">
        <v>1826</v>
      </c>
      <c r="C864" s="1" t="s">
        <v>809</v>
      </c>
    </row>
    <row r="865" spans="1:3" x14ac:dyDescent="0.4">
      <c r="A865">
        <v>8450000</v>
      </c>
      <c r="B865" s="1" t="s">
        <v>1827</v>
      </c>
      <c r="C865" s="1" t="s">
        <v>810</v>
      </c>
    </row>
    <row r="866" spans="1:3" x14ac:dyDescent="0.4">
      <c r="A866">
        <v>8450100</v>
      </c>
      <c r="B866" s="1" t="s">
        <v>1828</v>
      </c>
      <c r="C866" s="1" t="s">
        <v>811</v>
      </c>
    </row>
    <row r="867" spans="1:3" x14ac:dyDescent="0.4">
      <c r="A867">
        <v>8460000</v>
      </c>
      <c r="B867" s="1" t="s">
        <v>1829</v>
      </c>
      <c r="C867" s="1" t="s">
        <v>812</v>
      </c>
    </row>
    <row r="868" spans="1:3" x14ac:dyDescent="0.4">
      <c r="A868">
        <v>8460100</v>
      </c>
      <c r="B868" s="1" t="s">
        <v>1830</v>
      </c>
      <c r="C868" s="1" t="s">
        <v>813</v>
      </c>
    </row>
    <row r="869" spans="1:3" x14ac:dyDescent="0.4">
      <c r="A869">
        <v>8460200</v>
      </c>
      <c r="B869" s="1" t="s">
        <v>1831</v>
      </c>
      <c r="C869" s="1" t="s">
        <v>814</v>
      </c>
    </row>
    <row r="870" spans="1:3" x14ac:dyDescent="0.4">
      <c r="A870">
        <v>8460300</v>
      </c>
      <c r="B870" s="1" t="s">
        <v>1832</v>
      </c>
      <c r="C870" s="1" t="s">
        <v>815</v>
      </c>
    </row>
    <row r="871" spans="1:3" x14ac:dyDescent="0.4">
      <c r="A871">
        <v>8460400</v>
      </c>
      <c r="B871" s="1" t="s">
        <v>1833</v>
      </c>
      <c r="C871" s="1" t="s">
        <v>816</v>
      </c>
    </row>
    <row r="872" spans="1:3" x14ac:dyDescent="0.4">
      <c r="A872">
        <v>8460500</v>
      </c>
      <c r="B872" s="1" t="s">
        <v>1834</v>
      </c>
      <c r="C872" s="1" t="s">
        <v>817</v>
      </c>
    </row>
    <row r="873" spans="1:3" x14ac:dyDescent="0.4">
      <c r="A873">
        <v>8500000</v>
      </c>
      <c r="B873" s="1" t="s">
        <v>1109</v>
      </c>
      <c r="C873" s="1" t="s">
        <v>133</v>
      </c>
    </row>
    <row r="874" spans="1:3" x14ac:dyDescent="0.4">
      <c r="A874">
        <v>8510000</v>
      </c>
      <c r="B874" s="1" t="s">
        <v>1108</v>
      </c>
      <c r="C874" s="1" t="s">
        <v>132</v>
      </c>
    </row>
    <row r="875" spans="1:3" x14ac:dyDescent="0.4">
      <c r="A875">
        <v>8520000</v>
      </c>
      <c r="B875" s="1" t="s">
        <v>1835</v>
      </c>
      <c r="C875" s="1" t="s">
        <v>818</v>
      </c>
    </row>
    <row r="876" spans="1:3" x14ac:dyDescent="0.4">
      <c r="A876">
        <v>8530000</v>
      </c>
      <c r="B876" s="1" t="s">
        <v>1836</v>
      </c>
      <c r="C876" s="1" t="s">
        <v>819</v>
      </c>
    </row>
    <row r="877" spans="1:3" x14ac:dyDescent="0.4">
      <c r="A877">
        <v>8530100</v>
      </c>
      <c r="B877" s="1" t="s">
        <v>1837</v>
      </c>
      <c r="C877" s="1" t="s">
        <v>820</v>
      </c>
    </row>
    <row r="878" spans="1:3" x14ac:dyDescent="0.4">
      <c r="A878">
        <v>8530200</v>
      </c>
      <c r="B878" s="1" t="s">
        <v>1838</v>
      </c>
      <c r="C878" s="1" t="s">
        <v>821</v>
      </c>
    </row>
    <row r="879" spans="1:3" x14ac:dyDescent="0.4">
      <c r="A879">
        <v>8540000</v>
      </c>
      <c r="B879" s="1" t="s">
        <v>1165</v>
      </c>
      <c r="C879" s="1" t="s">
        <v>189</v>
      </c>
    </row>
    <row r="880" spans="1:3" x14ac:dyDescent="0.4">
      <c r="A880">
        <v>8600100</v>
      </c>
      <c r="B880" s="1" t="s">
        <v>1839</v>
      </c>
      <c r="C880" s="1" t="s">
        <v>822</v>
      </c>
    </row>
    <row r="881" spans="1:3" x14ac:dyDescent="0.4">
      <c r="A881">
        <v>8600200</v>
      </c>
      <c r="B881" s="1" t="s">
        <v>1840</v>
      </c>
      <c r="C881" s="1" t="s">
        <v>823</v>
      </c>
    </row>
    <row r="882" spans="1:3" x14ac:dyDescent="0.4">
      <c r="A882">
        <v>8600300</v>
      </c>
      <c r="B882" s="1" t="s">
        <v>1841</v>
      </c>
      <c r="C882" s="1" t="s">
        <v>824</v>
      </c>
    </row>
    <row r="883" spans="1:3" x14ac:dyDescent="0.4">
      <c r="A883">
        <v>8610000</v>
      </c>
      <c r="B883" s="1" t="s">
        <v>1842</v>
      </c>
      <c r="C883" s="1" t="s">
        <v>191</v>
      </c>
    </row>
    <row r="884" spans="1:3" x14ac:dyDescent="0.4">
      <c r="A884">
        <v>8610100</v>
      </c>
      <c r="B884" s="1" t="s">
        <v>1843</v>
      </c>
      <c r="C884" s="1" t="s">
        <v>825</v>
      </c>
    </row>
    <row r="885" spans="1:3" x14ac:dyDescent="0.4">
      <c r="A885">
        <v>8610200</v>
      </c>
      <c r="B885" s="1" t="s">
        <v>1124</v>
      </c>
      <c r="C885" s="1" t="s">
        <v>148</v>
      </c>
    </row>
    <row r="886" spans="1:3" x14ac:dyDescent="0.4">
      <c r="A886">
        <v>8610300</v>
      </c>
      <c r="B886" s="1" t="s">
        <v>1844</v>
      </c>
      <c r="C886" s="1" t="s">
        <v>826</v>
      </c>
    </row>
    <row r="887" spans="1:3" x14ac:dyDescent="0.4">
      <c r="A887">
        <v>8610400</v>
      </c>
      <c r="B887" s="1" t="s">
        <v>1845</v>
      </c>
      <c r="C887" s="1" t="s">
        <v>827</v>
      </c>
    </row>
    <row r="888" spans="1:3" x14ac:dyDescent="0.4">
      <c r="A888">
        <v>8610500</v>
      </c>
      <c r="B888" s="1" t="s">
        <v>1846</v>
      </c>
      <c r="C888" s="1" t="s">
        <v>828</v>
      </c>
    </row>
    <row r="889" spans="1:3" x14ac:dyDescent="0.4">
      <c r="A889">
        <v>8610600</v>
      </c>
      <c r="B889" s="1" t="s">
        <v>1847</v>
      </c>
      <c r="C889" s="1" t="s">
        <v>829</v>
      </c>
    </row>
    <row r="890" spans="1:3" x14ac:dyDescent="0.4">
      <c r="A890">
        <v>8610700</v>
      </c>
      <c r="B890" s="1" t="s">
        <v>1848</v>
      </c>
      <c r="C890" s="1" t="s">
        <v>830</v>
      </c>
    </row>
    <row r="891" spans="1:3" x14ac:dyDescent="0.4">
      <c r="A891">
        <v>8620000</v>
      </c>
      <c r="B891" s="1" t="s">
        <v>1849</v>
      </c>
      <c r="C891" s="1" t="s">
        <v>831</v>
      </c>
    </row>
    <row r="892" spans="1:3" x14ac:dyDescent="0.4">
      <c r="A892">
        <v>8620100</v>
      </c>
      <c r="B892" s="1" t="s">
        <v>1850</v>
      </c>
      <c r="C892" s="1" t="s">
        <v>832</v>
      </c>
    </row>
    <row r="893" spans="1:3" x14ac:dyDescent="0.4">
      <c r="A893">
        <v>8630000</v>
      </c>
      <c r="B893" s="1" t="s">
        <v>1166</v>
      </c>
      <c r="C893" s="1" t="s">
        <v>190</v>
      </c>
    </row>
    <row r="894" spans="1:3" x14ac:dyDescent="0.4">
      <c r="A894">
        <v>8630100</v>
      </c>
      <c r="B894" s="1" t="s">
        <v>1172</v>
      </c>
      <c r="C894" s="1" t="s">
        <v>196</v>
      </c>
    </row>
    <row r="895" spans="1:3" x14ac:dyDescent="0.4">
      <c r="A895">
        <v>8630200</v>
      </c>
      <c r="B895" s="1" t="s">
        <v>1851</v>
      </c>
      <c r="C895" s="1" t="s">
        <v>833</v>
      </c>
    </row>
    <row r="896" spans="1:3" x14ac:dyDescent="0.4">
      <c r="A896">
        <v>8630300</v>
      </c>
      <c r="B896" s="1" t="s">
        <v>1852</v>
      </c>
      <c r="C896" s="1" t="s">
        <v>834</v>
      </c>
    </row>
    <row r="897" spans="1:3" x14ac:dyDescent="0.4">
      <c r="A897">
        <v>8630400</v>
      </c>
      <c r="B897" s="1" t="s">
        <v>1853</v>
      </c>
      <c r="C897" s="1" t="s">
        <v>835</v>
      </c>
    </row>
    <row r="898" spans="1:3" x14ac:dyDescent="0.4">
      <c r="A898">
        <v>8630500</v>
      </c>
      <c r="B898" s="1" t="s">
        <v>1854</v>
      </c>
      <c r="C898" s="1" t="s">
        <v>836</v>
      </c>
    </row>
    <row r="899" spans="1:3" x14ac:dyDescent="0.4">
      <c r="A899">
        <v>8630600</v>
      </c>
      <c r="B899" s="1" t="s">
        <v>1855</v>
      </c>
      <c r="C899" s="1" t="s">
        <v>837</v>
      </c>
    </row>
    <row r="900" spans="1:3" x14ac:dyDescent="0.4">
      <c r="A900">
        <v>8630700</v>
      </c>
      <c r="B900" s="1" t="s">
        <v>1856</v>
      </c>
      <c r="C900" s="1" t="s">
        <v>838</v>
      </c>
    </row>
    <row r="901" spans="1:3" x14ac:dyDescent="0.4">
      <c r="A901">
        <v>8630800</v>
      </c>
      <c r="B901" s="1" t="s">
        <v>1857</v>
      </c>
      <c r="C901" s="1" t="s">
        <v>839</v>
      </c>
    </row>
    <row r="902" spans="1:3" x14ac:dyDescent="0.4">
      <c r="A902">
        <v>8640000</v>
      </c>
      <c r="B902" s="1" t="s">
        <v>1168</v>
      </c>
      <c r="C902" s="1" t="s">
        <v>192</v>
      </c>
    </row>
    <row r="903" spans="1:3" x14ac:dyDescent="0.4">
      <c r="A903">
        <v>8640100</v>
      </c>
      <c r="B903" s="1" t="s">
        <v>1169</v>
      </c>
      <c r="C903" s="1" t="s">
        <v>193</v>
      </c>
    </row>
    <row r="904" spans="1:3" x14ac:dyDescent="0.4">
      <c r="A904">
        <v>8640200</v>
      </c>
      <c r="B904" s="1" t="s">
        <v>1858</v>
      </c>
      <c r="C904" s="1" t="s">
        <v>840</v>
      </c>
    </row>
    <row r="905" spans="1:3" x14ac:dyDescent="0.4">
      <c r="A905">
        <v>8640300</v>
      </c>
      <c r="B905" s="1" t="s">
        <v>1859</v>
      </c>
      <c r="C905" s="1" t="s">
        <v>841</v>
      </c>
    </row>
    <row r="906" spans="1:3" x14ac:dyDescent="0.4">
      <c r="A906">
        <v>8640400</v>
      </c>
      <c r="B906" s="1" t="s">
        <v>1860</v>
      </c>
      <c r="C906" s="1" t="s">
        <v>842</v>
      </c>
    </row>
    <row r="907" spans="1:3" x14ac:dyDescent="0.4">
      <c r="A907">
        <v>8640500</v>
      </c>
      <c r="B907" s="1" t="s">
        <v>1861</v>
      </c>
      <c r="C907" s="1" t="s">
        <v>843</v>
      </c>
    </row>
    <row r="908" spans="1:3" x14ac:dyDescent="0.4">
      <c r="A908">
        <v>8640600</v>
      </c>
      <c r="B908" s="1" t="s">
        <v>1862</v>
      </c>
      <c r="C908" s="1" t="s">
        <v>844</v>
      </c>
    </row>
    <row r="909" spans="1:3" x14ac:dyDescent="0.4">
      <c r="A909">
        <v>8640700</v>
      </c>
      <c r="B909" s="1" t="s">
        <v>1863</v>
      </c>
      <c r="C909" s="1" t="s">
        <v>845</v>
      </c>
    </row>
    <row r="910" spans="1:3" x14ac:dyDescent="0.4">
      <c r="A910">
        <v>8640800</v>
      </c>
      <c r="B910" s="1" t="s">
        <v>1864</v>
      </c>
      <c r="C910" s="1" t="s">
        <v>846</v>
      </c>
    </row>
    <row r="911" spans="1:3" x14ac:dyDescent="0.4">
      <c r="A911">
        <v>8640900</v>
      </c>
      <c r="B911" s="1" t="s">
        <v>1865</v>
      </c>
      <c r="C911" s="1" t="s">
        <v>847</v>
      </c>
    </row>
    <row r="912" spans="1:3" x14ac:dyDescent="0.4">
      <c r="A912">
        <v>8641000</v>
      </c>
      <c r="B912" s="1" t="s">
        <v>1866</v>
      </c>
      <c r="C912" s="1" t="s">
        <v>848</v>
      </c>
    </row>
    <row r="913" spans="1:3" x14ac:dyDescent="0.4">
      <c r="A913">
        <v>8641100</v>
      </c>
      <c r="B913" s="1" t="s">
        <v>1867</v>
      </c>
      <c r="C913" s="1" t="s">
        <v>849</v>
      </c>
    </row>
    <row r="914" spans="1:3" x14ac:dyDescent="0.4">
      <c r="A914">
        <v>8641200</v>
      </c>
      <c r="B914" s="1" t="s">
        <v>1868</v>
      </c>
      <c r="C914" s="1" t="s">
        <v>850</v>
      </c>
    </row>
    <row r="915" spans="1:3" x14ac:dyDescent="0.4">
      <c r="A915">
        <v>8650000</v>
      </c>
      <c r="B915" s="1" t="s">
        <v>1869</v>
      </c>
      <c r="C915" s="1" t="s">
        <v>851</v>
      </c>
    </row>
    <row r="916" spans="1:3" x14ac:dyDescent="0.4">
      <c r="A916">
        <v>8650100</v>
      </c>
      <c r="B916" s="1" t="s">
        <v>1870</v>
      </c>
      <c r="C916" s="1" t="s">
        <v>852</v>
      </c>
    </row>
    <row r="917" spans="1:3" x14ac:dyDescent="0.4">
      <c r="A917">
        <v>8652000</v>
      </c>
      <c r="B917" s="1" t="s">
        <v>1871</v>
      </c>
      <c r="C917" s="1" t="s">
        <v>853</v>
      </c>
    </row>
    <row r="918" spans="1:3" x14ac:dyDescent="0.4">
      <c r="A918">
        <v>8652100</v>
      </c>
      <c r="B918" s="1" t="s">
        <v>1872</v>
      </c>
      <c r="C918" s="1" t="s">
        <v>854</v>
      </c>
    </row>
    <row r="919" spans="1:3" x14ac:dyDescent="0.4">
      <c r="A919">
        <v>8660000</v>
      </c>
      <c r="B919" s="1" t="s">
        <v>1130</v>
      </c>
      <c r="C919" s="1" t="s">
        <v>154</v>
      </c>
    </row>
    <row r="920" spans="1:3" x14ac:dyDescent="0.4">
      <c r="A920">
        <v>8660101</v>
      </c>
      <c r="B920" s="1" t="s">
        <v>1161</v>
      </c>
      <c r="C920" s="1" t="s">
        <v>185</v>
      </c>
    </row>
    <row r="921" spans="1:3" x14ac:dyDescent="0.4">
      <c r="A921">
        <v>8660200</v>
      </c>
      <c r="B921" s="1" t="s">
        <v>1873</v>
      </c>
      <c r="C921" s="1" t="s">
        <v>855</v>
      </c>
    </row>
    <row r="922" spans="1:3" x14ac:dyDescent="0.4">
      <c r="A922">
        <v>8660300</v>
      </c>
      <c r="B922" s="1" t="s">
        <v>1874</v>
      </c>
      <c r="C922" s="1" t="s">
        <v>856</v>
      </c>
    </row>
    <row r="923" spans="1:3" x14ac:dyDescent="0.4">
      <c r="A923">
        <v>8660400</v>
      </c>
      <c r="B923" s="1" t="s">
        <v>1875</v>
      </c>
      <c r="C923" s="1" t="s">
        <v>857</v>
      </c>
    </row>
    <row r="924" spans="1:3" x14ac:dyDescent="0.4">
      <c r="A924">
        <v>8670000</v>
      </c>
      <c r="B924" s="1" t="s">
        <v>1131</v>
      </c>
      <c r="C924" s="1" t="s">
        <v>155</v>
      </c>
    </row>
    <row r="925" spans="1:3" x14ac:dyDescent="0.4">
      <c r="A925">
        <v>8670101</v>
      </c>
      <c r="B925" s="1" t="s">
        <v>1162</v>
      </c>
      <c r="C925" s="1" t="s">
        <v>186</v>
      </c>
    </row>
    <row r="926" spans="1:3" x14ac:dyDescent="0.4">
      <c r="A926">
        <v>8690000</v>
      </c>
      <c r="B926" s="1" t="s">
        <v>1876</v>
      </c>
      <c r="C926" s="1" t="s">
        <v>858</v>
      </c>
    </row>
    <row r="927" spans="1:3" x14ac:dyDescent="0.4">
      <c r="A927">
        <v>8690100</v>
      </c>
      <c r="B927" s="1" t="s">
        <v>1877</v>
      </c>
      <c r="C927" s="1" t="s">
        <v>859</v>
      </c>
    </row>
    <row r="928" spans="1:3" x14ac:dyDescent="0.4">
      <c r="A928">
        <v>8690200</v>
      </c>
      <c r="B928" s="1" t="s">
        <v>1878</v>
      </c>
      <c r="C928" s="1" t="s">
        <v>860</v>
      </c>
    </row>
    <row r="929" spans="1:3" x14ac:dyDescent="0.4">
      <c r="A929">
        <v>8690300</v>
      </c>
      <c r="B929" s="1" t="s">
        <v>1879</v>
      </c>
      <c r="C929" s="1" t="s">
        <v>861</v>
      </c>
    </row>
    <row r="930" spans="1:3" x14ac:dyDescent="0.4">
      <c r="A930">
        <v>8690400</v>
      </c>
      <c r="B930" s="1" t="s">
        <v>1880</v>
      </c>
      <c r="C930" s="1" t="s">
        <v>862</v>
      </c>
    </row>
    <row r="931" spans="1:3" x14ac:dyDescent="0.4">
      <c r="A931">
        <v>8700000</v>
      </c>
      <c r="B931" s="1" t="s">
        <v>1881</v>
      </c>
      <c r="C931" s="1" t="s">
        <v>863</v>
      </c>
    </row>
    <row r="932" spans="1:3" x14ac:dyDescent="0.4">
      <c r="A932">
        <v>8710000</v>
      </c>
      <c r="B932" s="1" t="s">
        <v>1882</v>
      </c>
      <c r="C932" s="1" t="s">
        <v>864</v>
      </c>
    </row>
    <row r="933" spans="1:3" x14ac:dyDescent="0.4">
      <c r="A933">
        <v>8720000</v>
      </c>
      <c r="B933" s="1" t="s">
        <v>1883</v>
      </c>
      <c r="C933" s="1" t="s">
        <v>865</v>
      </c>
    </row>
    <row r="934" spans="1:3" x14ac:dyDescent="0.4">
      <c r="A934">
        <v>8740000</v>
      </c>
      <c r="B934" s="1" t="s">
        <v>1884</v>
      </c>
      <c r="C934" s="1" t="s">
        <v>866</v>
      </c>
    </row>
    <row r="935" spans="1:3" x14ac:dyDescent="0.4">
      <c r="A935">
        <v>8750000</v>
      </c>
      <c r="B935" s="1" t="s">
        <v>1885</v>
      </c>
      <c r="C935" s="1" t="s">
        <v>867</v>
      </c>
    </row>
    <row r="936" spans="1:3" x14ac:dyDescent="0.4">
      <c r="A936">
        <v>8760000</v>
      </c>
      <c r="B936" s="1" t="s">
        <v>1151</v>
      </c>
      <c r="C936" s="1" t="s">
        <v>175</v>
      </c>
    </row>
    <row r="937" spans="1:3" x14ac:dyDescent="0.4">
      <c r="A937">
        <v>8760100</v>
      </c>
      <c r="B937" s="1" t="s">
        <v>1886</v>
      </c>
      <c r="C937" s="1" t="s">
        <v>868</v>
      </c>
    </row>
    <row r="938" spans="1:3" x14ac:dyDescent="0.4">
      <c r="A938">
        <v>8760200</v>
      </c>
      <c r="B938" s="1" t="s">
        <v>1887</v>
      </c>
      <c r="C938" s="1" t="s">
        <v>869</v>
      </c>
    </row>
    <row r="939" spans="1:3" x14ac:dyDescent="0.4">
      <c r="A939">
        <v>8761000</v>
      </c>
      <c r="B939" s="1" t="s">
        <v>1126</v>
      </c>
      <c r="C939" s="1" t="s">
        <v>150</v>
      </c>
    </row>
    <row r="940" spans="1:3" x14ac:dyDescent="0.4">
      <c r="A940">
        <v>8761100</v>
      </c>
      <c r="B940" s="1" t="s">
        <v>1393</v>
      </c>
      <c r="C940" s="1" t="s">
        <v>407</v>
      </c>
    </row>
    <row r="941" spans="1:3" x14ac:dyDescent="0.4">
      <c r="A941">
        <v>8762000</v>
      </c>
      <c r="B941" s="1" t="s">
        <v>1394</v>
      </c>
      <c r="C941" s="1" t="s">
        <v>408</v>
      </c>
    </row>
    <row r="942" spans="1:3" x14ac:dyDescent="0.4">
      <c r="A942">
        <v>8763000</v>
      </c>
      <c r="B942" s="1" t="s">
        <v>1391</v>
      </c>
      <c r="C942" s="1" t="s">
        <v>405</v>
      </c>
    </row>
    <row r="943" spans="1:3" x14ac:dyDescent="0.4">
      <c r="A943">
        <v>8764000</v>
      </c>
      <c r="B943" s="1" t="s">
        <v>1395</v>
      </c>
      <c r="C943" s="1" t="s">
        <v>409</v>
      </c>
    </row>
    <row r="944" spans="1:3" x14ac:dyDescent="0.4">
      <c r="A944">
        <v>8765000</v>
      </c>
      <c r="B944" s="1" t="s">
        <v>1392</v>
      </c>
      <c r="C944" s="1" t="s">
        <v>406</v>
      </c>
    </row>
    <row r="945" spans="1:3" x14ac:dyDescent="0.4">
      <c r="A945">
        <v>8766000</v>
      </c>
      <c r="B945" s="1" t="s">
        <v>1173</v>
      </c>
      <c r="C945" s="1" t="s">
        <v>197</v>
      </c>
    </row>
    <row r="946" spans="1:3" x14ac:dyDescent="0.4">
      <c r="A946">
        <v>8770000</v>
      </c>
      <c r="B946" s="1" t="s">
        <v>1888</v>
      </c>
      <c r="C946" s="1" t="s">
        <v>870</v>
      </c>
    </row>
    <row r="947" spans="1:3" x14ac:dyDescent="0.4">
      <c r="A947">
        <v>8771000</v>
      </c>
      <c r="B947" s="1" t="s">
        <v>1889</v>
      </c>
      <c r="C947" s="1" t="s">
        <v>871</v>
      </c>
    </row>
    <row r="948" spans="1:3" x14ac:dyDescent="0.4">
      <c r="A948">
        <v>8800000</v>
      </c>
      <c r="B948" s="1" t="s">
        <v>1396</v>
      </c>
      <c r="C948" s="1" t="s">
        <v>410</v>
      </c>
    </row>
    <row r="949" spans="1:3" x14ac:dyDescent="0.4">
      <c r="A949">
        <v>8800100</v>
      </c>
      <c r="B949" s="1" t="s">
        <v>1397</v>
      </c>
      <c r="C949" s="1" t="s">
        <v>411</v>
      </c>
    </row>
    <row r="950" spans="1:3" x14ac:dyDescent="0.4">
      <c r="A950">
        <v>8800200</v>
      </c>
      <c r="B950" s="1" t="s">
        <v>1398</v>
      </c>
      <c r="C950" s="1" t="s">
        <v>412</v>
      </c>
    </row>
    <row r="951" spans="1:3" x14ac:dyDescent="0.4">
      <c r="A951">
        <v>8801000</v>
      </c>
      <c r="B951" s="1" t="s">
        <v>1399</v>
      </c>
      <c r="C951" s="1" t="s">
        <v>413</v>
      </c>
    </row>
    <row r="952" spans="1:3" x14ac:dyDescent="0.4">
      <c r="A952">
        <v>8801100</v>
      </c>
      <c r="B952" s="1" t="s">
        <v>1400</v>
      </c>
      <c r="C952" s="1" t="s">
        <v>414</v>
      </c>
    </row>
    <row r="953" spans="1:3" x14ac:dyDescent="0.4">
      <c r="A953">
        <v>8801200</v>
      </c>
      <c r="B953" s="1" t="s">
        <v>1401</v>
      </c>
      <c r="C953" s="1" t="s">
        <v>415</v>
      </c>
    </row>
    <row r="954" spans="1:3" x14ac:dyDescent="0.4">
      <c r="A954">
        <v>8810000</v>
      </c>
      <c r="B954" s="1" t="s">
        <v>1402</v>
      </c>
      <c r="C954" s="1" t="s">
        <v>416</v>
      </c>
    </row>
    <row r="955" spans="1:3" x14ac:dyDescent="0.4">
      <c r="A955">
        <v>8810200</v>
      </c>
      <c r="B955" s="1" t="s">
        <v>1890</v>
      </c>
      <c r="C955" s="1" t="s">
        <v>872</v>
      </c>
    </row>
    <row r="956" spans="1:3" x14ac:dyDescent="0.4">
      <c r="A956">
        <v>8810300</v>
      </c>
      <c r="B956" s="1" t="s">
        <v>1403</v>
      </c>
      <c r="C956" s="1" t="s">
        <v>417</v>
      </c>
    </row>
    <row r="957" spans="1:3" x14ac:dyDescent="0.4">
      <c r="A957">
        <v>8810400</v>
      </c>
      <c r="B957" s="1" t="s">
        <v>1404</v>
      </c>
      <c r="C957" s="1" t="s">
        <v>418</v>
      </c>
    </row>
    <row r="958" spans="1:3" x14ac:dyDescent="0.4">
      <c r="A958">
        <v>8811000</v>
      </c>
      <c r="B958" s="1" t="s">
        <v>1405</v>
      </c>
      <c r="C958" s="1" t="s">
        <v>419</v>
      </c>
    </row>
    <row r="959" spans="1:3" x14ac:dyDescent="0.4">
      <c r="A959">
        <v>8811200</v>
      </c>
      <c r="B959" s="1" t="s">
        <v>1891</v>
      </c>
      <c r="C959" s="1" t="s">
        <v>873</v>
      </c>
    </row>
    <row r="960" spans="1:3" x14ac:dyDescent="0.4">
      <c r="A960">
        <v>8813100</v>
      </c>
      <c r="B960" s="1" t="s">
        <v>1892</v>
      </c>
      <c r="C960" s="1" t="s">
        <v>874</v>
      </c>
    </row>
    <row r="961" spans="1:3" x14ac:dyDescent="0.4">
      <c r="A961">
        <v>8821000</v>
      </c>
      <c r="B961" s="1" t="s">
        <v>1893</v>
      </c>
      <c r="C961" s="1" t="s">
        <v>875</v>
      </c>
    </row>
    <row r="962" spans="1:3" x14ac:dyDescent="0.4">
      <c r="A962">
        <v>8821100</v>
      </c>
      <c r="B962" s="1" t="s">
        <v>1894</v>
      </c>
      <c r="C962" s="1" t="s">
        <v>876</v>
      </c>
    </row>
    <row r="963" spans="1:3" x14ac:dyDescent="0.4">
      <c r="A963">
        <v>8821200</v>
      </c>
      <c r="B963" s="1" t="s">
        <v>1895</v>
      </c>
      <c r="C963" s="1" t="s">
        <v>877</v>
      </c>
    </row>
    <row r="964" spans="1:3" x14ac:dyDescent="0.4">
      <c r="A964">
        <v>8830000</v>
      </c>
      <c r="B964" s="1" t="s">
        <v>1896</v>
      </c>
      <c r="C964" s="1" t="s">
        <v>878</v>
      </c>
    </row>
    <row r="965" spans="1:3" x14ac:dyDescent="0.4">
      <c r="A965">
        <v>8831000</v>
      </c>
      <c r="B965" s="1" t="s">
        <v>1897</v>
      </c>
      <c r="C965" s="1" t="s">
        <v>879</v>
      </c>
    </row>
    <row r="966" spans="1:3" x14ac:dyDescent="0.4">
      <c r="A966">
        <v>8831100</v>
      </c>
      <c r="B966" s="1" t="s">
        <v>1406</v>
      </c>
      <c r="C966" s="1" t="s">
        <v>420</v>
      </c>
    </row>
    <row r="967" spans="1:3" x14ac:dyDescent="0.4">
      <c r="A967">
        <v>8831200</v>
      </c>
      <c r="B967" s="1" t="s">
        <v>1407</v>
      </c>
      <c r="C967" s="1" t="s">
        <v>421</v>
      </c>
    </row>
    <row r="968" spans="1:3" x14ac:dyDescent="0.4">
      <c r="A968">
        <v>8880000</v>
      </c>
      <c r="B968" s="1" t="s">
        <v>1898</v>
      </c>
      <c r="C968" s="1" t="s">
        <v>880</v>
      </c>
    </row>
    <row r="969" spans="1:3" x14ac:dyDescent="0.4">
      <c r="A969">
        <v>8880000</v>
      </c>
      <c r="B969" s="1" t="s">
        <v>1898</v>
      </c>
      <c r="C969" s="1" t="s">
        <v>880</v>
      </c>
    </row>
    <row r="970" spans="1:3" x14ac:dyDescent="0.4">
      <c r="A970">
        <v>8880000</v>
      </c>
      <c r="B970" s="1" t="s">
        <v>1898</v>
      </c>
      <c r="C970" s="1" t="s">
        <v>880</v>
      </c>
    </row>
    <row r="971" spans="1:3" x14ac:dyDescent="0.4">
      <c r="A971">
        <v>8880000</v>
      </c>
      <c r="B971" s="1" t="s">
        <v>1898</v>
      </c>
      <c r="C971" s="1" t="s">
        <v>880</v>
      </c>
    </row>
    <row r="972" spans="1:3" x14ac:dyDescent="0.4">
      <c r="A972">
        <v>8880100</v>
      </c>
      <c r="B972" s="1" t="s">
        <v>1899</v>
      </c>
      <c r="C972" s="1" t="s">
        <v>881</v>
      </c>
    </row>
    <row r="973" spans="1:3" x14ac:dyDescent="0.4">
      <c r="A973">
        <v>8880200</v>
      </c>
      <c r="B973" s="1" t="s">
        <v>1900</v>
      </c>
      <c r="C973" s="1" t="s">
        <v>882</v>
      </c>
    </row>
    <row r="974" spans="1:3" x14ac:dyDescent="0.4">
      <c r="A974">
        <v>8880200</v>
      </c>
      <c r="B974" s="1" t="s">
        <v>1900</v>
      </c>
      <c r="C974" s="1" t="s">
        <v>882</v>
      </c>
    </row>
    <row r="975" spans="1:3" x14ac:dyDescent="0.4">
      <c r="A975">
        <v>8880200</v>
      </c>
      <c r="B975" s="1" t="s">
        <v>1900</v>
      </c>
      <c r="C975" s="1" t="s">
        <v>882</v>
      </c>
    </row>
    <row r="976" spans="1:3" x14ac:dyDescent="0.4">
      <c r="A976">
        <v>8880200</v>
      </c>
      <c r="B976" s="1" t="s">
        <v>1900</v>
      </c>
      <c r="C976" s="1" t="s">
        <v>882</v>
      </c>
    </row>
    <row r="977" spans="1:3" x14ac:dyDescent="0.4">
      <c r="A977">
        <v>8880300</v>
      </c>
      <c r="B977" s="1" t="s">
        <v>1901</v>
      </c>
      <c r="C977" s="1" t="s">
        <v>883</v>
      </c>
    </row>
    <row r="978" spans="1:3" x14ac:dyDescent="0.4">
      <c r="A978">
        <v>8880300</v>
      </c>
      <c r="B978" s="1" t="s">
        <v>1901</v>
      </c>
      <c r="C978" s="1" t="s">
        <v>883</v>
      </c>
    </row>
    <row r="979" spans="1:3" x14ac:dyDescent="0.4">
      <c r="A979">
        <v>8880300</v>
      </c>
      <c r="B979" s="1" t="s">
        <v>1901</v>
      </c>
      <c r="C979" s="1" t="s">
        <v>883</v>
      </c>
    </row>
    <row r="980" spans="1:3" x14ac:dyDescent="0.4">
      <c r="A980">
        <v>8880300</v>
      </c>
      <c r="B980" s="1" t="s">
        <v>1901</v>
      </c>
      <c r="C980" s="1" t="s">
        <v>883</v>
      </c>
    </row>
    <row r="981" spans="1:3" x14ac:dyDescent="0.4">
      <c r="A981">
        <v>8880400</v>
      </c>
      <c r="B981" s="1" t="s">
        <v>1902</v>
      </c>
      <c r="C981" s="1" t="s">
        <v>884</v>
      </c>
    </row>
    <row r="982" spans="1:3" x14ac:dyDescent="0.4">
      <c r="A982">
        <v>8881000</v>
      </c>
      <c r="B982" s="1" t="s">
        <v>1903</v>
      </c>
      <c r="C982" s="1" t="s">
        <v>885</v>
      </c>
    </row>
    <row r="983" spans="1:3" x14ac:dyDescent="0.4">
      <c r="A983">
        <v>8881000</v>
      </c>
      <c r="B983" s="1" t="s">
        <v>1903</v>
      </c>
      <c r="C983" s="1" t="s">
        <v>885</v>
      </c>
    </row>
    <row r="984" spans="1:3" x14ac:dyDescent="0.4">
      <c r="A984">
        <v>8881000</v>
      </c>
      <c r="B984" s="1" t="s">
        <v>1903</v>
      </c>
      <c r="C984" s="1" t="s">
        <v>885</v>
      </c>
    </row>
    <row r="985" spans="1:3" x14ac:dyDescent="0.4">
      <c r="A985">
        <v>8881000</v>
      </c>
      <c r="B985" s="1" t="s">
        <v>1903</v>
      </c>
      <c r="C985" s="1" t="s">
        <v>885</v>
      </c>
    </row>
    <row r="986" spans="1:3" x14ac:dyDescent="0.4">
      <c r="A986">
        <v>8881100</v>
      </c>
      <c r="B986" s="1" t="s">
        <v>1904</v>
      </c>
      <c r="C986" s="1" t="s">
        <v>886</v>
      </c>
    </row>
    <row r="987" spans="1:3" x14ac:dyDescent="0.4">
      <c r="A987">
        <v>8881200</v>
      </c>
      <c r="B987" s="1" t="s">
        <v>1905</v>
      </c>
      <c r="C987" s="1" t="s">
        <v>887</v>
      </c>
    </row>
    <row r="988" spans="1:3" x14ac:dyDescent="0.4">
      <c r="A988">
        <v>8881200</v>
      </c>
      <c r="B988" s="1" t="s">
        <v>1905</v>
      </c>
      <c r="C988" s="1" t="s">
        <v>887</v>
      </c>
    </row>
    <row r="989" spans="1:3" x14ac:dyDescent="0.4">
      <c r="A989">
        <v>8881200</v>
      </c>
      <c r="B989" s="1" t="s">
        <v>1905</v>
      </c>
      <c r="C989" s="1" t="s">
        <v>887</v>
      </c>
    </row>
    <row r="990" spans="1:3" x14ac:dyDescent="0.4">
      <c r="A990">
        <v>8881200</v>
      </c>
      <c r="B990" s="1" t="s">
        <v>1905</v>
      </c>
      <c r="C990" s="1" t="s">
        <v>887</v>
      </c>
    </row>
    <row r="991" spans="1:3" x14ac:dyDescent="0.4">
      <c r="A991">
        <v>8881300</v>
      </c>
      <c r="B991" s="1" t="s">
        <v>1906</v>
      </c>
      <c r="C991" s="1" t="s">
        <v>888</v>
      </c>
    </row>
    <row r="992" spans="1:3" x14ac:dyDescent="0.4">
      <c r="A992">
        <v>8881400</v>
      </c>
      <c r="B992" s="1" t="s">
        <v>1907</v>
      </c>
      <c r="C992" s="1" t="s">
        <v>889</v>
      </c>
    </row>
    <row r="993" spans="1:3" x14ac:dyDescent="0.4">
      <c r="A993">
        <v>8881500</v>
      </c>
      <c r="B993" s="1" t="s">
        <v>1908</v>
      </c>
      <c r="C993" s="1" t="s">
        <v>890</v>
      </c>
    </row>
    <row r="994" spans="1:3" x14ac:dyDescent="0.4">
      <c r="A994">
        <v>8881500</v>
      </c>
      <c r="B994" s="1" t="s">
        <v>1908</v>
      </c>
      <c r="C994" s="1" t="s">
        <v>890</v>
      </c>
    </row>
    <row r="995" spans="1:3" x14ac:dyDescent="0.4">
      <c r="A995">
        <v>8881500</v>
      </c>
      <c r="B995" s="1" t="s">
        <v>1908</v>
      </c>
      <c r="C995" s="1" t="s">
        <v>890</v>
      </c>
    </row>
    <row r="996" spans="1:3" x14ac:dyDescent="0.4">
      <c r="A996">
        <v>8881500</v>
      </c>
      <c r="B996" s="1" t="s">
        <v>1908</v>
      </c>
      <c r="C996" s="1" t="s">
        <v>890</v>
      </c>
    </row>
    <row r="997" spans="1:3" x14ac:dyDescent="0.4">
      <c r="A997">
        <v>8881600</v>
      </c>
      <c r="B997" s="1" t="s">
        <v>1909</v>
      </c>
      <c r="C997" s="1" t="s">
        <v>891</v>
      </c>
    </row>
    <row r="998" spans="1:3" x14ac:dyDescent="0.4">
      <c r="A998">
        <v>8882000</v>
      </c>
      <c r="B998" s="1" t="s">
        <v>1910</v>
      </c>
      <c r="C998" s="1" t="s">
        <v>892</v>
      </c>
    </row>
    <row r="999" spans="1:3" x14ac:dyDescent="0.4">
      <c r="A999">
        <v>8882100</v>
      </c>
      <c r="B999" s="1" t="s">
        <v>1911</v>
      </c>
      <c r="C999" s="1" t="s">
        <v>893</v>
      </c>
    </row>
    <row r="1000" spans="1:3" x14ac:dyDescent="0.4">
      <c r="A1000">
        <v>8882100</v>
      </c>
      <c r="B1000" s="1" t="s">
        <v>1911</v>
      </c>
      <c r="C1000" s="1" t="s">
        <v>893</v>
      </c>
    </row>
    <row r="1001" spans="1:3" x14ac:dyDescent="0.4">
      <c r="A1001">
        <v>8882100</v>
      </c>
      <c r="B1001" s="1" t="s">
        <v>1911</v>
      </c>
      <c r="C1001" s="1" t="s">
        <v>893</v>
      </c>
    </row>
    <row r="1002" spans="1:3" x14ac:dyDescent="0.4">
      <c r="A1002">
        <v>8882100</v>
      </c>
      <c r="B1002" s="1" t="s">
        <v>1911</v>
      </c>
      <c r="C1002" s="1" t="s">
        <v>893</v>
      </c>
    </row>
    <row r="1003" spans="1:3" x14ac:dyDescent="0.4">
      <c r="A1003">
        <v>8882200</v>
      </c>
      <c r="B1003" s="1" t="s">
        <v>1912</v>
      </c>
      <c r="C1003" s="1" t="s">
        <v>894</v>
      </c>
    </row>
    <row r="1004" spans="1:3" x14ac:dyDescent="0.4">
      <c r="A1004">
        <v>8882300</v>
      </c>
      <c r="B1004" s="1" t="s">
        <v>1913</v>
      </c>
      <c r="C1004" s="1" t="s">
        <v>895</v>
      </c>
    </row>
    <row r="1005" spans="1:3" x14ac:dyDescent="0.4">
      <c r="A1005">
        <v>8882400</v>
      </c>
      <c r="B1005" s="1" t="s">
        <v>1914</v>
      </c>
      <c r="C1005" s="1" t="s">
        <v>896</v>
      </c>
    </row>
    <row r="1006" spans="1:3" x14ac:dyDescent="0.4">
      <c r="A1006">
        <v>8882500</v>
      </c>
      <c r="B1006" s="1" t="s">
        <v>1915</v>
      </c>
      <c r="C1006" s="1" t="s">
        <v>897</v>
      </c>
    </row>
    <row r="1007" spans="1:3" x14ac:dyDescent="0.4">
      <c r="A1007">
        <v>8882500</v>
      </c>
      <c r="B1007" s="1" t="s">
        <v>1915</v>
      </c>
      <c r="C1007" s="1" t="s">
        <v>897</v>
      </c>
    </row>
    <row r="1008" spans="1:3" x14ac:dyDescent="0.4">
      <c r="A1008">
        <v>8882500</v>
      </c>
      <c r="B1008" s="1" t="s">
        <v>1915</v>
      </c>
      <c r="C1008" s="1" t="s">
        <v>897</v>
      </c>
    </row>
    <row r="1009" spans="1:3" x14ac:dyDescent="0.4">
      <c r="A1009">
        <v>8882500</v>
      </c>
      <c r="B1009" s="1" t="s">
        <v>1915</v>
      </c>
      <c r="C1009" s="1" t="s">
        <v>897</v>
      </c>
    </row>
    <row r="1010" spans="1:3" x14ac:dyDescent="0.4">
      <c r="A1010">
        <v>8883000</v>
      </c>
      <c r="B1010" s="1" t="s">
        <v>1916</v>
      </c>
      <c r="C1010" s="1" t="s">
        <v>898</v>
      </c>
    </row>
    <row r="1011" spans="1:3" x14ac:dyDescent="0.4">
      <c r="A1011">
        <v>8883100</v>
      </c>
      <c r="B1011" s="1" t="s">
        <v>1917</v>
      </c>
      <c r="C1011" s="1" t="s">
        <v>899</v>
      </c>
    </row>
    <row r="1012" spans="1:3" x14ac:dyDescent="0.4">
      <c r="A1012">
        <v>8883200</v>
      </c>
      <c r="B1012" s="1" t="s">
        <v>1918</v>
      </c>
      <c r="C1012" s="1" t="s">
        <v>900</v>
      </c>
    </row>
    <row r="1013" spans="1:3" x14ac:dyDescent="0.4">
      <c r="A1013">
        <v>8883300</v>
      </c>
      <c r="B1013" s="1" t="s">
        <v>1919</v>
      </c>
      <c r="C1013" s="1" t="s">
        <v>901</v>
      </c>
    </row>
    <row r="1014" spans="1:3" x14ac:dyDescent="0.4">
      <c r="A1014">
        <v>8883400</v>
      </c>
      <c r="B1014" s="1" t="s">
        <v>1920</v>
      </c>
      <c r="C1014" s="1" t="s">
        <v>902</v>
      </c>
    </row>
    <row r="1015" spans="1:3" x14ac:dyDescent="0.4">
      <c r="A1015">
        <v>8884000</v>
      </c>
      <c r="B1015" s="1" t="s">
        <v>1921</v>
      </c>
      <c r="C1015" s="1" t="s">
        <v>903</v>
      </c>
    </row>
    <row r="1016" spans="1:3" x14ac:dyDescent="0.4">
      <c r="A1016">
        <v>8884100</v>
      </c>
      <c r="B1016" s="1" t="s">
        <v>1922</v>
      </c>
      <c r="C1016" s="1" t="s">
        <v>904</v>
      </c>
    </row>
    <row r="1017" spans="1:3" x14ac:dyDescent="0.4">
      <c r="A1017">
        <v>8884200</v>
      </c>
      <c r="B1017" s="1" t="s">
        <v>1923</v>
      </c>
      <c r="C1017" s="1" t="s">
        <v>905</v>
      </c>
    </row>
    <row r="1018" spans="1:3" x14ac:dyDescent="0.4">
      <c r="A1018">
        <v>8884300</v>
      </c>
      <c r="B1018" s="1" t="s">
        <v>1924</v>
      </c>
      <c r="C1018" s="1" t="s">
        <v>906</v>
      </c>
    </row>
    <row r="1019" spans="1:3" x14ac:dyDescent="0.4">
      <c r="A1019">
        <v>8885000</v>
      </c>
      <c r="B1019" s="1" t="s">
        <v>1925</v>
      </c>
      <c r="C1019" s="1" t="s">
        <v>907</v>
      </c>
    </row>
    <row r="1020" spans="1:3" x14ac:dyDescent="0.4">
      <c r="A1020">
        <v>8885100</v>
      </c>
      <c r="B1020" s="1" t="s">
        <v>1926</v>
      </c>
      <c r="C1020" s="1" t="s">
        <v>908</v>
      </c>
    </row>
    <row r="1021" spans="1:3" x14ac:dyDescent="0.4">
      <c r="A1021">
        <v>8885200</v>
      </c>
      <c r="B1021" s="1" t="s">
        <v>1927</v>
      </c>
      <c r="C1021" s="1" t="s">
        <v>1000</v>
      </c>
    </row>
    <row r="1022" spans="1:3" x14ac:dyDescent="0.4">
      <c r="A1022">
        <v>8885200</v>
      </c>
      <c r="B1022" s="1" t="s">
        <v>1927</v>
      </c>
      <c r="C1022" s="1" t="s">
        <v>909</v>
      </c>
    </row>
    <row r="1023" spans="1:3" x14ac:dyDescent="0.4">
      <c r="A1023">
        <v>8885200</v>
      </c>
      <c r="B1023" s="1" t="s">
        <v>1928</v>
      </c>
      <c r="C1023" s="1" t="s">
        <v>1000</v>
      </c>
    </row>
    <row r="1024" spans="1:3" x14ac:dyDescent="0.4">
      <c r="A1024">
        <v>8885200</v>
      </c>
      <c r="B1024" s="1" t="s">
        <v>1928</v>
      </c>
      <c r="C1024" s="1" t="s">
        <v>909</v>
      </c>
    </row>
    <row r="1025" spans="1:3" x14ac:dyDescent="0.4">
      <c r="A1025">
        <v>8920100</v>
      </c>
      <c r="B1025" s="1" t="s">
        <v>1283</v>
      </c>
      <c r="C1025" s="1" t="s">
        <v>302</v>
      </c>
    </row>
    <row r="1026" spans="1:3" x14ac:dyDescent="0.4">
      <c r="A1026">
        <v>8921400</v>
      </c>
      <c r="B1026" s="1" t="s">
        <v>1929</v>
      </c>
      <c r="C1026" s="1" t="s">
        <v>910</v>
      </c>
    </row>
    <row r="1027" spans="1:3" x14ac:dyDescent="0.4">
      <c r="A1027">
        <v>8960100</v>
      </c>
      <c r="B1027" s="1" t="s">
        <v>1930</v>
      </c>
      <c r="C1027" s="1" t="s">
        <v>911</v>
      </c>
    </row>
    <row r="1028" spans="1:3" x14ac:dyDescent="0.4">
      <c r="A1028">
        <v>8960200</v>
      </c>
      <c r="B1028" s="1" t="s">
        <v>1931</v>
      </c>
      <c r="C1028" s="1" t="s">
        <v>912</v>
      </c>
    </row>
    <row r="1029" spans="1:3" x14ac:dyDescent="0.4">
      <c r="A1029">
        <v>9021400</v>
      </c>
      <c r="B1029" s="1" t="s">
        <v>1932</v>
      </c>
      <c r="C1029" s="1" t="s">
        <v>913</v>
      </c>
    </row>
    <row r="1030" spans="1:3" x14ac:dyDescent="0.4">
      <c r="A1030">
        <v>9030900</v>
      </c>
      <c r="B1030" s="1" t="s">
        <v>1933</v>
      </c>
      <c r="C1030" s="1" t="s">
        <v>914</v>
      </c>
    </row>
    <row r="1031" spans="1:3" x14ac:dyDescent="0.4">
      <c r="A1031">
        <v>9031000</v>
      </c>
      <c r="B1031" s="1" t="s">
        <v>1934</v>
      </c>
      <c r="C1031" s="1" t="s">
        <v>915</v>
      </c>
    </row>
    <row r="1032" spans="1:3" x14ac:dyDescent="0.4">
      <c r="A1032">
        <v>9031400</v>
      </c>
      <c r="B1032" s="1" t="s">
        <v>1935</v>
      </c>
      <c r="C1032" s="1" t="s">
        <v>916</v>
      </c>
    </row>
    <row r="1033" spans="1:3" x14ac:dyDescent="0.4">
      <c r="A1033">
        <v>9031500</v>
      </c>
      <c r="B1033" s="1" t="s">
        <v>1936</v>
      </c>
      <c r="C1033" s="1" t="s">
        <v>917</v>
      </c>
    </row>
    <row r="1034" spans="1:3" x14ac:dyDescent="0.4">
      <c r="A1034">
        <v>9031700</v>
      </c>
      <c r="B1034" s="1" t="s">
        <v>1937</v>
      </c>
      <c r="C1034" s="1" t="s">
        <v>918</v>
      </c>
    </row>
    <row r="1035" spans="1:3" x14ac:dyDescent="0.4">
      <c r="A1035">
        <v>9040200</v>
      </c>
      <c r="B1035" s="1" t="s">
        <v>1938</v>
      </c>
      <c r="C1035" s="1" t="s">
        <v>919</v>
      </c>
    </row>
    <row r="1036" spans="1:3" x14ac:dyDescent="0.4">
      <c r="A1036">
        <v>9040500</v>
      </c>
      <c r="B1036" s="1" t="s">
        <v>1939</v>
      </c>
      <c r="C1036" s="1" t="s">
        <v>920</v>
      </c>
    </row>
    <row r="1037" spans="1:3" x14ac:dyDescent="0.4">
      <c r="A1037">
        <v>9040800</v>
      </c>
      <c r="B1037" s="1" t="s">
        <v>1940</v>
      </c>
      <c r="C1037" s="1" t="s">
        <v>921</v>
      </c>
    </row>
    <row r="1038" spans="1:3" x14ac:dyDescent="0.4">
      <c r="A1038">
        <v>9041000</v>
      </c>
      <c r="B1038" s="1" t="s">
        <v>1941</v>
      </c>
      <c r="C1038" s="1" t="s">
        <v>922</v>
      </c>
    </row>
    <row r="1039" spans="1:3" x14ac:dyDescent="0.4">
      <c r="A1039">
        <v>9060400</v>
      </c>
      <c r="B1039" s="1" t="s">
        <v>1942</v>
      </c>
      <c r="C1039" s="1" t="s">
        <v>923</v>
      </c>
    </row>
    <row r="1040" spans="1:3" x14ac:dyDescent="0.4">
      <c r="A1040">
        <v>9071000</v>
      </c>
      <c r="B1040" s="1" t="s">
        <v>1943</v>
      </c>
      <c r="C1040" s="1" t="s">
        <v>924</v>
      </c>
    </row>
    <row r="1041" spans="1:3" x14ac:dyDescent="0.4">
      <c r="A1041">
        <v>9081000</v>
      </c>
      <c r="B1041" s="1" t="s">
        <v>1944</v>
      </c>
      <c r="C1041" s="1" t="s">
        <v>925</v>
      </c>
    </row>
    <row r="1042" spans="1:3" x14ac:dyDescent="0.4">
      <c r="A1042">
        <v>9090200</v>
      </c>
      <c r="B1042" s="1" t="s">
        <v>1945</v>
      </c>
      <c r="C1042" s="1" t="s">
        <v>926</v>
      </c>
    </row>
    <row r="1043" spans="1:3" x14ac:dyDescent="0.4">
      <c r="A1043">
        <v>9111500</v>
      </c>
      <c r="B1043" s="1" t="s">
        <v>1946</v>
      </c>
      <c r="C1043" s="1" t="s">
        <v>927</v>
      </c>
    </row>
    <row r="1044" spans="1:3" x14ac:dyDescent="0.4">
      <c r="A1044">
        <v>9122000</v>
      </c>
      <c r="B1044" s="1" t="s">
        <v>1935</v>
      </c>
      <c r="C1044" s="1" t="s">
        <v>916</v>
      </c>
    </row>
    <row r="1045" spans="1:3" x14ac:dyDescent="0.4">
      <c r="A1045">
        <v>9130300</v>
      </c>
      <c r="B1045" s="1" t="s">
        <v>1947</v>
      </c>
      <c r="C1045" s="1" t="s">
        <v>928</v>
      </c>
    </row>
    <row r="1046" spans="1:3" x14ac:dyDescent="0.4">
      <c r="A1046">
        <v>9150400</v>
      </c>
      <c r="B1046" s="1" t="s">
        <v>1948</v>
      </c>
      <c r="C1046" s="1" t="s">
        <v>929</v>
      </c>
    </row>
    <row r="1047" spans="1:3" x14ac:dyDescent="0.4">
      <c r="A1047">
        <v>9151100</v>
      </c>
      <c r="B1047" s="1" t="s">
        <v>1949</v>
      </c>
      <c r="C1047" s="1" t="s">
        <v>930</v>
      </c>
    </row>
    <row r="1048" spans="1:3" x14ac:dyDescent="0.4">
      <c r="A1048">
        <v>9160900</v>
      </c>
      <c r="B1048" s="1" t="s">
        <v>1950</v>
      </c>
      <c r="C1048" s="1" t="s">
        <v>931</v>
      </c>
    </row>
    <row r="1049" spans="1:3" x14ac:dyDescent="0.4">
      <c r="A1049">
        <v>9170100</v>
      </c>
      <c r="B1049" s="1" t="s">
        <v>1951</v>
      </c>
      <c r="C1049" s="1" t="s">
        <v>932</v>
      </c>
    </row>
    <row r="1050" spans="1:3" x14ac:dyDescent="0.4">
      <c r="A1050">
        <v>9200600</v>
      </c>
      <c r="B1050" s="1" t="s">
        <v>1952</v>
      </c>
      <c r="C1050" s="1" t="s">
        <v>933</v>
      </c>
    </row>
    <row r="1051" spans="1:3" x14ac:dyDescent="0.4">
      <c r="A1051">
        <v>9210600</v>
      </c>
      <c r="B1051" s="1" t="s">
        <v>1953</v>
      </c>
      <c r="C1051" s="1" t="s">
        <v>934</v>
      </c>
    </row>
    <row r="1052" spans="1:3" x14ac:dyDescent="0.4">
      <c r="A1052">
        <v>9230500</v>
      </c>
      <c r="B1052" s="1" t="s">
        <v>1954</v>
      </c>
      <c r="C1052" s="1" t="s">
        <v>935</v>
      </c>
    </row>
    <row r="1053" spans="1:3" x14ac:dyDescent="0.4">
      <c r="A1053">
        <v>9330900</v>
      </c>
      <c r="B1053" s="1" t="s">
        <v>1955</v>
      </c>
      <c r="C1053" s="1" t="s">
        <v>936</v>
      </c>
    </row>
    <row r="1054" spans="1:3" x14ac:dyDescent="0.4">
      <c r="A1054">
        <v>9420000</v>
      </c>
      <c r="B1054" s="1" t="s">
        <v>1956</v>
      </c>
      <c r="C1054" s="1" t="s">
        <v>937</v>
      </c>
    </row>
    <row r="1055" spans="1:3" x14ac:dyDescent="0.4">
      <c r="A1055">
        <v>9990100</v>
      </c>
      <c r="B1055" s="1" t="s">
        <v>1957</v>
      </c>
      <c r="C1055" s="1" t="s">
        <v>938</v>
      </c>
    </row>
    <row r="1056" spans="1:3" x14ac:dyDescent="0.4">
      <c r="A1056">
        <v>9990200</v>
      </c>
      <c r="B1056" s="1" t="s">
        <v>1958</v>
      </c>
      <c r="C1056" s="1" t="s">
        <v>939</v>
      </c>
    </row>
    <row r="1057" spans="1:3" x14ac:dyDescent="0.4">
      <c r="A1057">
        <v>9990300</v>
      </c>
      <c r="B1057" s="1" t="s">
        <v>1959</v>
      </c>
      <c r="C1057" s="1" t="s">
        <v>940</v>
      </c>
    </row>
    <row r="1058" spans="1:3" x14ac:dyDescent="0.4">
      <c r="A1058">
        <v>9990400</v>
      </c>
      <c r="B1058" s="1" t="s">
        <v>1960</v>
      </c>
      <c r="C1058" s="1" t="s">
        <v>941</v>
      </c>
    </row>
    <row r="1059" spans="1:3" x14ac:dyDescent="0.4">
      <c r="A1059">
        <v>9990500</v>
      </c>
      <c r="B1059" s="1" t="s">
        <v>1961</v>
      </c>
      <c r="C1059" s="1" t="s">
        <v>942</v>
      </c>
    </row>
    <row r="1060" spans="1:3" x14ac:dyDescent="0.4">
      <c r="A1060">
        <v>9990600</v>
      </c>
      <c r="B1060" s="1" t="s">
        <v>1962</v>
      </c>
      <c r="C1060" s="1" t="s">
        <v>943</v>
      </c>
    </row>
    <row r="1061" spans="1:3" x14ac:dyDescent="0.4">
      <c r="A1061">
        <v>9990700</v>
      </c>
      <c r="B1061" s="1" t="s">
        <v>1963</v>
      </c>
      <c r="C1061" s="1" t="s">
        <v>944</v>
      </c>
    </row>
    <row r="1062" spans="1:3" x14ac:dyDescent="0.4">
      <c r="A1062">
        <v>9990800</v>
      </c>
      <c r="B1062" s="1" t="s">
        <v>1964</v>
      </c>
      <c r="C1062" s="1" t="s">
        <v>945</v>
      </c>
    </row>
    <row r="1063" spans="1:3" x14ac:dyDescent="0.4">
      <c r="A1063">
        <v>9990900</v>
      </c>
      <c r="B1063" s="1" t="s">
        <v>1965</v>
      </c>
      <c r="C1063" s="1" t="s">
        <v>1001</v>
      </c>
    </row>
    <row r="1064" spans="1:3" x14ac:dyDescent="0.4">
      <c r="A1064">
        <v>9991000</v>
      </c>
      <c r="B1064" s="1" t="s">
        <v>1966</v>
      </c>
      <c r="C1064" s="1" t="s">
        <v>1002</v>
      </c>
    </row>
    <row r="1065" spans="1:3" x14ac:dyDescent="0.4">
      <c r="A1065">
        <v>18000000</v>
      </c>
      <c r="B1065" s="1" t="s">
        <v>1105</v>
      </c>
      <c r="C1065" s="1" t="s">
        <v>129</v>
      </c>
    </row>
    <row r="1066" spans="1:3" x14ac:dyDescent="0.4">
      <c r="A1066">
        <v>18010000</v>
      </c>
      <c r="B1066" s="1" t="s">
        <v>1106</v>
      </c>
      <c r="C1066" s="1" t="s">
        <v>130</v>
      </c>
    </row>
    <row r="1067" spans="1:3" x14ac:dyDescent="0.4">
      <c r="A1067">
        <v>18010100</v>
      </c>
      <c r="B1067" s="1" t="s">
        <v>1280</v>
      </c>
      <c r="C1067" s="1" t="s">
        <v>299</v>
      </c>
    </row>
    <row r="1068" spans="1:3" x14ac:dyDescent="0.4">
      <c r="A1068">
        <v>18020000</v>
      </c>
      <c r="B1068" s="1" t="s">
        <v>1107</v>
      </c>
      <c r="C1068" s="1" t="s">
        <v>131</v>
      </c>
    </row>
    <row r="1069" spans="1:3" x14ac:dyDescent="0.4">
      <c r="A1069">
        <v>18020200</v>
      </c>
      <c r="B1069" s="1" t="s">
        <v>1110</v>
      </c>
      <c r="C1069" s="1" t="s">
        <v>134</v>
      </c>
    </row>
    <row r="1070" spans="1:3" x14ac:dyDescent="0.4">
      <c r="A1070">
        <v>18100000</v>
      </c>
      <c r="B1070" s="1" t="s">
        <v>1441</v>
      </c>
      <c r="C1070" s="1" t="s">
        <v>455</v>
      </c>
    </row>
    <row r="1071" spans="1:3" x14ac:dyDescent="0.4">
      <c r="A1071">
        <v>18100500</v>
      </c>
      <c r="B1071" s="1" t="s">
        <v>1283</v>
      </c>
      <c r="C1071" s="1" t="s">
        <v>302</v>
      </c>
    </row>
    <row r="1072" spans="1:3" x14ac:dyDescent="0.4">
      <c r="A1072">
        <v>18120000</v>
      </c>
      <c r="B1072" s="1" t="s">
        <v>1800</v>
      </c>
      <c r="C1072" s="1" t="s">
        <v>784</v>
      </c>
    </row>
    <row r="1073" spans="1:3" x14ac:dyDescent="0.4">
      <c r="A1073">
        <v>18200000</v>
      </c>
      <c r="B1073" s="1" t="s">
        <v>1153</v>
      </c>
      <c r="C1073" s="1" t="s">
        <v>177</v>
      </c>
    </row>
    <row r="1074" spans="1:3" x14ac:dyDescent="0.4">
      <c r="A1074">
        <v>18200500</v>
      </c>
      <c r="B1074" s="1" t="s">
        <v>1158</v>
      </c>
      <c r="C1074" s="1" t="s">
        <v>182</v>
      </c>
    </row>
    <row r="1075" spans="1:3" x14ac:dyDescent="0.4">
      <c r="A1075">
        <v>18210700</v>
      </c>
      <c r="B1075" s="1" t="s">
        <v>1967</v>
      </c>
      <c r="C1075" s="1" t="s">
        <v>946</v>
      </c>
    </row>
    <row r="1076" spans="1:3" x14ac:dyDescent="0.4">
      <c r="A1076">
        <v>18230000</v>
      </c>
      <c r="B1076" s="1" t="s">
        <v>1121</v>
      </c>
      <c r="C1076" s="1" t="s">
        <v>145</v>
      </c>
    </row>
    <row r="1077" spans="1:3" x14ac:dyDescent="0.4">
      <c r="A1077">
        <v>18330103</v>
      </c>
      <c r="B1077" s="1" t="s">
        <v>1968</v>
      </c>
      <c r="C1077" s="1" t="s">
        <v>947</v>
      </c>
    </row>
    <row r="1078" spans="1:3" x14ac:dyDescent="0.4">
      <c r="A1078">
        <v>18330500</v>
      </c>
      <c r="B1078" s="1" t="s">
        <v>1969</v>
      </c>
      <c r="C1078" s="1" t="s">
        <v>172</v>
      </c>
    </row>
    <row r="1079" spans="1:3" x14ac:dyDescent="0.4">
      <c r="A1079">
        <v>18330700</v>
      </c>
      <c r="B1079" s="1" t="s">
        <v>1816</v>
      </c>
      <c r="C1079" s="1" t="s">
        <v>798</v>
      </c>
    </row>
    <row r="1080" spans="1:3" x14ac:dyDescent="0.4">
      <c r="A1080">
        <v>18350400</v>
      </c>
      <c r="B1080" s="1" t="s">
        <v>1970</v>
      </c>
      <c r="C1080" s="1" t="s">
        <v>948</v>
      </c>
    </row>
    <row r="1081" spans="1:3" x14ac:dyDescent="0.4">
      <c r="A1081">
        <v>18420100</v>
      </c>
      <c r="B1081" s="1" t="s">
        <v>1824</v>
      </c>
      <c r="C1081" s="1" t="s">
        <v>807</v>
      </c>
    </row>
    <row r="1082" spans="1:3" x14ac:dyDescent="0.4">
      <c r="A1082">
        <v>18420200</v>
      </c>
      <c r="B1082" s="1" t="s">
        <v>1825</v>
      </c>
      <c r="C1082" s="1" t="s">
        <v>808</v>
      </c>
    </row>
    <row r="1083" spans="1:3" x14ac:dyDescent="0.4">
      <c r="A1083">
        <v>18430000</v>
      </c>
      <c r="B1083" s="1" t="s">
        <v>1132</v>
      </c>
      <c r="C1083" s="1" t="s">
        <v>156</v>
      </c>
    </row>
    <row r="1084" spans="1:3" x14ac:dyDescent="0.4">
      <c r="A1084">
        <v>18440000</v>
      </c>
      <c r="B1084" s="1" t="s">
        <v>1164</v>
      </c>
      <c r="C1084" s="1" t="s">
        <v>188</v>
      </c>
    </row>
    <row r="1085" spans="1:3" x14ac:dyDescent="0.4">
      <c r="A1085">
        <v>18500000</v>
      </c>
      <c r="B1085" s="1" t="s">
        <v>1109</v>
      </c>
      <c r="C1085" s="1" t="s">
        <v>133</v>
      </c>
    </row>
    <row r="1086" spans="1:3" x14ac:dyDescent="0.4">
      <c r="A1086">
        <v>18640000</v>
      </c>
      <c r="B1086" s="1" t="s">
        <v>1168</v>
      </c>
      <c r="C1086" s="1" t="s">
        <v>192</v>
      </c>
    </row>
    <row r="1087" spans="1:3" x14ac:dyDescent="0.4">
      <c r="A1087">
        <v>18640100</v>
      </c>
      <c r="B1087" s="1" t="s">
        <v>1169</v>
      </c>
      <c r="C1087" s="1" t="s">
        <v>193</v>
      </c>
    </row>
    <row r="1088" spans="1:3" x14ac:dyDescent="0.4">
      <c r="A1088">
        <v>18640200</v>
      </c>
      <c r="B1088" s="1" t="s">
        <v>1858</v>
      </c>
      <c r="C1088" s="1" t="s">
        <v>840</v>
      </c>
    </row>
    <row r="1089" spans="1:3" x14ac:dyDescent="0.4">
      <c r="A1089">
        <v>18650000</v>
      </c>
      <c r="B1089" s="1" t="s">
        <v>1869</v>
      </c>
      <c r="C1089" s="1" t="s">
        <v>851</v>
      </c>
    </row>
    <row r="1090" spans="1:3" x14ac:dyDescent="0.4">
      <c r="A1090">
        <v>18650100</v>
      </c>
      <c r="B1090" s="1" t="s">
        <v>1870</v>
      </c>
      <c r="C1090" s="1" t="s">
        <v>852</v>
      </c>
    </row>
    <row r="1091" spans="1:3" x14ac:dyDescent="0.4">
      <c r="A1091">
        <v>18660200</v>
      </c>
      <c r="B1091" s="1" t="s">
        <v>1873</v>
      </c>
      <c r="C1091" s="1" t="s">
        <v>855</v>
      </c>
    </row>
    <row r="1092" spans="1:3" x14ac:dyDescent="0.4">
      <c r="A1092">
        <v>18660300</v>
      </c>
      <c r="B1092" s="1" t="s">
        <v>1874</v>
      </c>
      <c r="C1092" s="1" t="s">
        <v>856</v>
      </c>
    </row>
    <row r="1093" spans="1:3" x14ac:dyDescent="0.4">
      <c r="A1093">
        <v>18700000</v>
      </c>
      <c r="B1093" s="1" t="s">
        <v>1971</v>
      </c>
      <c r="C1093" s="1" t="s">
        <v>949</v>
      </c>
    </row>
    <row r="1094" spans="1:3" x14ac:dyDescent="0.4">
      <c r="A1094">
        <v>18710000</v>
      </c>
      <c r="B1094" s="1" t="s">
        <v>1139</v>
      </c>
      <c r="C1094" s="1" t="s">
        <v>163</v>
      </c>
    </row>
    <row r="1095" spans="1:3" x14ac:dyDescent="0.4">
      <c r="A1095">
        <v>19700000</v>
      </c>
      <c r="B1095" s="1" t="s">
        <v>1972</v>
      </c>
      <c r="C1095" s="1" t="s">
        <v>950</v>
      </c>
    </row>
    <row r="1096" spans="1:3" x14ac:dyDescent="0.4">
      <c r="A1096">
        <v>19700001</v>
      </c>
      <c r="B1096" s="1" t="s">
        <v>40</v>
      </c>
      <c r="C1096" s="1" t="s">
        <v>40</v>
      </c>
    </row>
    <row r="1097" spans="1:3" x14ac:dyDescent="0.4">
      <c r="A1097">
        <v>19700002</v>
      </c>
      <c r="B1097" s="1" t="s">
        <v>40</v>
      </c>
      <c r="C1097" s="1" t="s">
        <v>40</v>
      </c>
    </row>
    <row r="1098" spans="1:3" x14ac:dyDescent="0.4">
      <c r="A1098">
        <v>19700003</v>
      </c>
      <c r="B1098" s="1" t="s">
        <v>40</v>
      </c>
      <c r="C1098" s="1" t="s">
        <v>40</v>
      </c>
    </row>
    <row r="1099" spans="1:3" x14ac:dyDescent="0.4">
      <c r="A1099">
        <v>19700004</v>
      </c>
      <c r="B1099" s="1" t="s">
        <v>40</v>
      </c>
      <c r="C1099" s="1" t="s">
        <v>40</v>
      </c>
    </row>
    <row r="1100" spans="1:3" x14ac:dyDescent="0.4">
      <c r="A1100">
        <v>19700005</v>
      </c>
      <c r="B1100" s="1" t="s">
        <v>40</v>
      </c>
      <c r="C1100" s="1" t="s">
        <v>40</v>
      </c>
    </row>
    <row r="1101" spans="1:3" x14ac:dyDescent="0.4">
      <c r="A1101">
        <v>19700006</v>
      </c>
      <c r="B1101" s="1" t="s">
        <v>40</v>
      </c>
      <c r="C1101" s="1" t="s">
        <v>40</v>
      </c>
    </row>
    <row r="1102" spans="1:3" x14ac:dyDescent="0.4">
      <c r="A1102">
        <v>19700007</v>
      </c>
      <c r="B1102" s="1" t="s">
        <v>40</v>
      </c>
      <c r="C1102" s="1" t="s">
        <v>40</v>
      </c>
    </row>
    <row r="1103" spans="1:3" x14ac:dyDescent="0.4">
      <c r="A1103">
        <v>19700008</v>
      </c>
      <c r="B1103" s="1" t="s">
        <v>40</v>
      </c>
      <c r="C1103" s="1" t="s">
        <v>40</v>
      </c>
    </row>
    <row r="1104" spans="1:3" x14ac:dyDescent="0.4">
      <c r="A1104">
        <v>19700009</v>
      </c>
      <c r="B1104" s="1" t="s">
        <v>40</v>
      </c>
      <c r="C1104" s="1" t="s">
        <v>40</v>
      </c>
    </row>
    <row r="1105" spans="1:3" x14ac:dyDescent="0.4">
      <c r="A1105">
        <v>19700010</v>
      </c>
      <c r="B1105" s="1" t="s">
        <v>1973</v>
      </c>
      <c r="C1105" s="1" t="s">
        <v>951</v>
      </c>
    </row>
    <row r="1106" spans="1:3" x14ac:dyDescent="0.4">
      <c r="A1106">
        <v>19700011</v>
      </c>
      <c r="B1106" s="1" t="s">
        <v>40</v>
      </c>
      <c r="C1106" s="1" t="s">
        <v>40</v>
      </c>
    </row>
    <row r="1107" spans="1:3" x14ac:dyDescent="0.4">
      <c r="A1107">
        <v>19700012</v>
      </c>
      <c r="B1107" s="1" t="s">
        <v>40</v>
      </c>
      <c r="C1107" s="1" t="s">
        <v>40</v>
      </c>
    </row>
    <row r="1108" spans="1:3" x14ac:dyDescent="0.4">
      <c r="A1108">
        <v>19700013</v>
      </c>
      <c r="B1108" s="1" t="s">
        <v>40</v>
      </c>
      <c r="C1108" s="1" t="s">
        <v>40</v>
      </c>
    </row>
    <row r="1109" spans="1:3" x14ac:dyDescent="0.4">
      <c r="A1109">
        <v>19700014</v>
      </c>
      <c r="B1109" s="1" t="s">
        <v>40</v>
      </c>
      <c r="C1109" s="1" t="s">
        <v>40</v>
      </c>
    </row>
    <row r="1110" spans="1:3" x14ac:dyDescent="0.4">
      <c r="A1110">
        <v>19700015</v>
      </c>
      <c r="B1110" s="1" t="s">
        <v>40</v>
      </c>
      <c r="C1110" s="1" t="s">
        <v>40</v>
      </c>
    </row>
    <row r="1111" spans="1:3" x14ac:dyDescent="0.4">
      <c r="A1111">
        <v>19700016</v>
      </c>
      <c r="B1111" s="1" t="s">
        <v>40</v>
      </c>
      <c r="C1111" s="1" t="s">
        <v>40</v>
      </c>
    </row>
    <row r="1112" spans="1:3" x14ac:dyDescent="0.4">
      <c r="A1112">
        <v>19700017</v>
      </c>
      <c r="B1112" s="1" t="s">
        <v>40</v>
      </c>
      <c r="C1112" s="1" t="s">
        <v>40</v>
      </c>
    </row>
    <row r="1113" spans="1:3" x14ac:dyDescent="0.4">
      <c r="A1113">
        <v>19700018</v>
      </c>
      <c r="B1113" s="1" t="s">
        <v>40</v>
      </c>
      <c r="C1113" s="1" t="s">
        <v>40</v>
      </c>
    </row>
    <row r="1114" spans="1:3" x14ac:dyDescent="0.4">
      <c r="A1114">
        <v>19700019</v>
      </c>
      <c r="B1114" s="1" t="s">
        <v>40</v>
      </c>
      <c r="C1114" s="1" t="s">
        <v>40</v>
      </c>
    </row>
    <row r="1115" spans="1:3" x14ac:dyDescent="0.4">
      <c r="A1115">
        <v>19700020</v>
      </c>
      <c r="B1115" s="1" t="s">
        <v>1974</v>
      </c>
      <c r="C1115" s="1" t="s">
        <v>952</v>
      </c>
    </row>
    <row r="1116" spans="1:3" x14ac:dyDescent="0.4">
      <c r="A1116">
        <v>19700021</v>
      </c>
      <c r="B1116" s="1" t="s">
        <v>40</v>
      </c>
      <c r="C1116" s="1" t="s">
        <v>40</v>
      </c>
    </row>
    <row r="1117" spans="1:3" x14ac:dyDescent="0.4">
      <c r="A1117">
        <v>19700022</v>
      </c>
      <c r="B1117" s="1" t="s">
        <v>40</v>
      </c>
      <c r="C1117" s="1" t="s">
        <v>40</v>
      </c>
    </row>
    <row r="1118" spans="1:3" x14ac:dyDescent="0.4">
      <c r="A1118">
        <v>19700023</v>
      </c>
      <c r="B1118" s="1" t="s">
        <v>40</v>
      </c>
      <c r="C1118" s="1" t="s">
        <v>40</v>
      </c>
    </row>
    <row r="1119" spans="1:3" x14ac:dyDescent="0.4">
      <c r="A1119">
        <v>19700024</v>
      </c>
      <c r="B1119" s="1" t="s">
        <v>40</v>
      </c>
      <c r="C1119" s="1" t="s">
        <v>40</v>
      </c>
    </row>
    <row r="1120" spans="1:3" x14ac:dyDescent="0.4">
      <c r="A1120">
        <v>19700025</v>
      </c>
      <c r="B1120" s="1" t="s">
        <v>40</v>
      </c>
      <c r="C1120" s="1" t="s">
        <v>40</v>
      </c>
    </row>
    <row r="1121" spans="1:3" x14ac:dyDescent="0.4">
      <c r="A1121">
        <v>19700026</v>
      </c>
      <c r="B1121" s="1" t="s">
        <v>40</v>
      </c>
      <c r="C1121" s="1" t="s">
        <v>40</v>
      </c>
    </row>
    <row r="1122" spans="1:3" x14ac:dyDescent="0.4">
      <c r="A1122">
        <v>19700027</v>
      </c>
      <c r="B1122" s="1" t="s">
        <v>40</v>
      </c>
      <c r="C1122" s="1" t="s">
        <v>40</v>
      </c>
    </row>
    <row r="1123" spans="1:3" x14ac:dyDescent="0.4">
      <c r="A1123">
        <v>19700028</v>
      </c>
      <c r="B1123" s="1" t="s">
        <v>40</v>
      </c>
      <c r="C1123" s="1" t="s">
        <v>40</v>
      </c>
    </row>
    <row r="1124" spans="1:3" x14ac:dyDescent="0.4">
      <c r="A1124">
        <v>19700029</v>
      </c>
      <c r="B1124" s="1" t="s">
        <v>40</v>
      </c>
      <c r="C1124" s="1" t="s">
        <v>40</v>
      </c>
    </row>
    <row r="1125" spans="1:3" x14ac:dyDescent="0.4">
      <c r="A1125">
        <v>19700030</v>
      </c>
      <c r="B1125" s="1" t="s">
        <v>1975</v>
      </c>
      <c r="C1125" s="1" t="s">
        <v>953</v>
      </c>
    </row>
    <row r="1126" spans="1:3" x14ac:dyDescent="0.4">
      <c r="A1126">
        <v>19700031</v>
      </c>
      <c r="B1126" s="1" t="s">
        <v>40</v>
      </c>
      <c r="C1126" s="1" t="s">
        <v>40</v>
      </c>
    </row>
    <row r="1127" spans="1:3" x14ac:dyDescent="0.4">
      <c r="A1127">
        <v>19700032</v>
      </c>
      <c r="B1127" s="1" t="s">
        <v>40</v>
      </c>
      <c r="C1127" s="1" t="s">
        <v>40</v>
      </c>
    </row>
    <row r="1128" spans="1:3" x14ac:dyDescent="0.4">
      <c r="A1128">
        <v>19700033</v>
      </c>
      <c r="B1128" s="1" t="s">
        <v>40</v>
      </c>
      <c r="C1128" s="1" t="s">
        <v>40</v>
      </c>
    </row>
    <row r="1129" spans="1:3" x14ac:dyDescent="0.4">
      <c r="A1129">
        <v>19700034</v>
      </c>
      <c r="B1129" s="1" t="s">
        <v>40</v>
      </c>
      <c r="C1129" s="1" t="s">
        <v>40</v>
      </c>
    </row>
    <row r="1130" spans="1:3" x14ac:dyDescent="0.4">
      <c r="A1130">
        <v>19700035</v>
      </c>
      <c r="B1130" s="1" t="s">
        <v>40</v>
      </c>
      <c r="C1130" s="1" t="s">
        <v>40</v>
      </c>
    </row>
    <row r="1131" spans="1:3" x14ac:dyDescent="0.4">
      <c r="A1131">
        <v>19700036</v>
      </c>
      <c r="B1131" s="1" t="s">
        <v>40</v>
      </c>
      <c r="C1131" s="1" t="s">
        <v>40</v>
      </c>
    </row>
    <row r="1132" spans="1:3" x14ac:dyDescent="0.4">
      <c r="A1132">
        <v>19700037</v>
      </c>
      <c r="B1132" s="1" t="s">
        <v>40</v>
      </c>
      <c r="C1132" s="1" t="s">
        <v>40</v>
      </c>
    </row>
    <row r="1133" spans="1:3" x14ac:dyDescent="0.4">
      <c r="A1133">
        <v>19700038</v>
      </c>
      <c r="B1133" s="1" t="s">
        <v>40</v>
      </c>
      <c r="C1133" s="1" t="s">
        <v>40</v>
      </c>
    </row>
    <row r="1134" spans="1:3" x14ac:dyDescent="0.4">
      <c r="A1134">
        <v>19700039</v>
      </c>
      <c r="B1134" s="1" t="s">
        <v>40</v>
      </c>
      <c r="C1134" s="1" t="s">
        <v>40</v>
      </c>
    </row>
    <row r="1135" spans="1:3" x14ac:dyDescent="0.4">
      <c r="A1135">
        <v>19700040</v>
      </c>
      <c r="B1135" s="1" t="s">
        <v>1976</v>
      </c>
      <c r="C1135" s="1" t="s">
        <v>954</v>
      </c>
    </row>
    <row r="1136" spans="1:3" x14ac:dyDescent="0.4">
      <c r="A1136">
        <v>19700041</v>
      </c>
      <c r="B1136" s="1" t="s">
        <v>40</v>
      </c>
      <c r="C1136" s="1" t="s">
        <v>40</v>
      </c>
    </row>
    <row r="1137" spans="1:3" x14ac:dyDescent="0.4">
      <c r="A1137">
        <v>19700042</v>
      </c>
      <c r="B1137" s="1" t="s">
        <v>40</v>
      </c>
      <c r="C1137" s="1" t="s">
        <v>40</v>
      </c>
    </row>
    <row r="1138" spans="1:3" x14ac:dyDescent="0.4">
      <c r="A1138">
        <v>19700043</v>
      </c>
      <c r="B1138" s="1" t="s">
        <v>40</v>
      </c>
      <c r="C1138" s="1" t="s">
        <v>40</v>
      </c>
    </row>
    <row r="1139" spans="1:3" x14ac:dyDescent="0.4">
      <c r="A1139">
        <v>19700044</v>
      </c>
      <c r="B1139" s="1" t="s">
        <v>40</v>
      </c>
      <c r="C1139" s="1" t="s">
        <v>40</v>
      </c>
    </row>
    <row r="1140" spans="1:3" x14ac:dyDescent="0.4">
      <c r="A1140">
        <v>19700045</v>
      </c>
      <c r="B1140" s="1" t="s">
        <v>40</v>
      </c>
      <c r="C1140" s="1" t="s">
        <v>40</v>
      </c>
    </row>
    <row r="1141" spans="1:3" x14ac:dyDescent="0.4">
      <c r="A1141">
        <v>19700046</v>
      </c>
      <c r="B1141" s="1" t="s">
        <v>40</v>
      </c>
      <c r="C1141" s="1" t="s">
        <v>40</v>
      </c>
    </row>
    <row r="1142" spans="1:3" x14ac:dyDescent="0.4">
      <c r="A1142">
        <v>19700047</v>
      </c>
      <c r="B1142" s="1" t="s">
        <v>40</v>
      </c>
      <c r="C1142" s="1" t="s">
        <v>40</v>
      </c>
    </row>
    <row r="1143" spans="1:3" x14ac:dyDescent="0.4">
      <c r="A1143">
        <v>19700048</v>
      </c>
      <c r="B1143" s="1" t="s">
        <v>40</v>
      </c>
      <c r="C1143" s="1" t="s">
        <v>40</v>
      </c>
    </row>
    <row r="1144" spans="1:3" x14ac:dyDescent="0.4">
      <c r="A1144">
        <v>19700049</v>
      </c>
      <c r="B1144" s="1" t="s">
        <v>40</v>
      </c>
      <c r="C1144" s="1" t="s">
        <v>40</v>
      </c>
    </row>
    <row r="1145" spans="1:3" x14ac:dyDescent="0.4">
      <c r="A1145">
        <v>19700050</v>
      </c>
      <c r="B1145" s="1" t="s">
        <v>1977</v>
      </c>
      <c r="C1145" s="1" t="s">
        <v>955</v>
      </c>
    </row>
    <row r="1146" spans="1:3" x14ac:dyDescent="0.4">
      <c r="A1146">
        <v>19700051</v>
      </c>
      <c r="B1146" s="1" t="s">
        <v>40</v>
      </c>
      <c r="C1146" s="1" t="s">
        <v>40</v>
      </c>
    </row>
    <row r="1147" spans="1:3" x14ac:dyDescent="0.4">
      <c r="A1147">
        <v>19700052</v>
      </c>
      <c r="B1147" s="1" t="s">
        <v>40</v>
      </c>
      <c r="C1147" s="1" t="s">
        <v>40</v>
      </c>
    </row>
    <row r="1148" spans="1:3" x14ac:dyDescent="0.4">
      <c r="A1148">
        <v>19700053</v>
      </c>
      <c r="B1148" s="1" t="s">
        <v>40</v>
      </c>
      <c r="C1148" s="1" t="s">
        <v>40</v>
      </c>
    </row>
    <row r="1149" spans="1:3" x14ac:dyDescent="0.4">
      <c r="A1149">
        <v>19700054</v>
      </c>
      <c r="B1149" s="1" t="s">
        <v>40</v>
      </c>
      <c r="C1149" s="1" t="s">
        <v>40</v>
      </c>
    </row>
    <row r="1150" spans="1:3" x14ac:dyDescent="0.4">
      <c r="A1150">
        <v>19700055</v>
      </c>
      <c r="B1150" s="1" t="s">
        <v>40</v>
      </c>
      <c r="C1150" s="1" t="s">
        <v>40</v>
      </c>
    </row>
    <row r="1151" spans="1:3" x14ac:dyDescent="0.4">
      <c r="A1151">
        <v>19700056</v>
      </c>
      <c r="B1151" s="1" t="s">
        <v>40</v>
      </c>
      <c r="C1151" s="1" t="s">
        <v>40</v>
      </c>
    </row>
    <row r="1152" spans="1:3" x14ac:dyDescent="0.4">
      <c r="A1152">
        <v>19700057</v>
      </c>
      <c r="B1152" s="1" t="s">
        <v>40</v>
      </c>
      <c r="C1152" s="1" t="s">
        <v>40</v>
      </c>
    </row>
    <row r="1153" spans="1:3" x14ac:dyDescent="0.4">
      <c r="A1153">
        <v>19700058</v>
      </c>
      <c r="B1153" s="1" t="s">
        <v>40</v>
      </c>
      <c r="C1153" s="1" t="s">
        <v>40</v>
      </c>
    </row>
    <row r="1154" spans="1:3" x14ac:dyDescent="0.4">
      <c r="A1154">
        <v>19700059</v>
      </c>
      <c r="B1154" s="1" t="s">
        <v>40</v>
      </c>
      <c r="C1154" s="1" t="s">
        <v>40</v>
      </c>
    </row>
    <row r="1155" spans="1:3" x14ac:dyDescent="0.4">
      <c r="A1155">
        <v>19700060</v>
      </c>
      <c r="B1155" s="1" t="s">
        <v>1978</v>
      </c>
      <c r="C1155" s="1" t="s">
        <v>956</v>
      </c>
    </row>
    <row r="1156" spans="1:3" x14ac:dyDescent="0.4">
      <c r="A1156">
        <v>19700061</v>
      </c>
      <c r="B1156" s="1" t="s">
        <v>40</v>
      </c>
      <c r="C1156" s="1" t="s">
        <v>40</v>
      </c>
    </row>
    <row r="1157" spans="1:3" x14ac:dyDescent="0.4">
      <c r="A1157">
        <v>19700062</v>
      </c>
      <c r="B1157" s="1" t="s">
        <v>40</v>
      </c>
      <c r="C1157" s="1" t="s">
        <v>40</v>
      </c>
    </row>
    <row r="1158" spans="1:3" x14ac:dyDescent="0.4">
      <c r="A1158">
        <v>19700063</v>
      </c>
      <c r="B1158" s="1" t="s">
        <v>40</v>
      </c>
      <c r="C1158" s="1" t="s">
        <v>40</v>
      </c>
    </row>
    <row r="1159" spans="1:3" x14ac:dyDescent="0.4">
      <c r="A1159">
        <v>19700064</v>
      </c>
      <c r="B1159" s="1" t="s">
        <v>40</v>
      </c>
      <c r="C1159" s="1" t="s">
        <v>40</v>
      </c>
    </row>
    <row r="1160" spans="1:3" x14ac:dyDescent="0.4">
      <c r="A1160">
        <v>19700065</v>
      </c>
      <c r="B1160" s="1" t="s">
        <v>40</v>
      </c>
      <c r="C1160" s="1" t="s">
        <v>40</v>
      </c>
    </row>
    <row r="1161" spans="1:3" x14ac:dyDescent="0.4">
      <c r="A1161">
        <v>19700066</v>
      </c>
      <c r="B1161" s="1" t="s">
        <v>40</v>
      </c>
      <c r="C1161" s="1" t="s">
        <v>40</v>
      </c>
    </row>
    <row r="1162" spans="1:3" x14ac:dyDescent="0.4">
      <c r="A1162">
        <v>19700067</v>
      </c>
      <c r="B1162" s="1" t="s">
        <v>40</v>
      </c>
      <c r="C1162" s="1" t="s">
        <v>40</v>
      </c>
    </row>
    <row r="1163" spans="1:3" x14ac:dyDescent="0.4">
      <c r="A1163">
        <v>19700068</v>
      </c>
      <c r="B1163" s="1" t="s">
        <v>40</v>
      </c>
      <c r="C1163" s="1" t="s">
        <v>40</v>
      </c>
    </row>
    <row r="1164" spans="1:3" x14ac:dyDescent="0.4">
      <c r="A1164">
        <v>19700069</v>
      </c>
      <c r="B1164" s="1" t="s">
        <v>40</v>
      </c>
      <c r="C1164" s="1" t="s">
        <v>40</v>
      </c>
    </row>
    <row r="1165" spans="1:3" x14ac:dyDescent="0.4">
      <c r="A1165">
        <v>19700070</v>
      </c>
      <c r="B1165" s="1" t="s">
        <v>1979</v>
      </c>
      <c r="C1165" s="1" t="s">
        <v>957</v>
      </c>
    </row>
    <row r="1166" spans="1:3" x14ac:dyDescent="0.4">
      <c r="A1166">
        <v>19700071</v>
      </c>
      <c r="B1166" s="1" t="s">
        <v>40</v>
      </c>
      <c r="C1166" s="1" t="s">
        <v>40</v>
      </c>
    </row>
    <row r="1167" spans="1:3" x14ac:dyDescent="0.4">
      <c r="A1167">
        <v>19700072</v>
      </c>
      <c r="B1167" s="1" t="s">
        <v>40</v>
      </c>
      <c r="C1167" s="1" t="s">
        <v>40</v>
      </c>
    </row>
    <row r="1168" spans="1:3" x14ac:dyDescent="0.4">
      <c r="A1168">
        <v>19700073</v>
      </c>
      <c r="B1168" s="1" t="s">
        <v>40</v>
      </c>
      <c r="C1168" s="1" t="s">
        <v>40</v>
      </c>
    </row>
    <row r="1169" spans="1:3" x14ac:dyDescent="0.4">
      <c r="A1169">
        <v>19700074</v>
      </c>
      <c r="B1169" s="1" t="s">
        <v>40</v>
      </c>
      <c r="C1169" s="1" t="s">
        <v>40</v>
      </c>
    </row>
    <row r="1170" spans="1:3" x14ac:dyDescent="0.4">
      <c r="A1170">
        <v>19700075</v>
      </c>
      <c r="B1170" s="1" t="s">
        <v>40</v>
      </c>
      <c r="C1170" s="1" t="s">
        <v>40</v>
      </c>
    </row>
    <row r="1171" spans="1:3" x14ac:dyDescent="0.4">
      <c r="A1171">
        <v>19700076</v>
      </c>
      <c r="B1171" s="1" t="s">
        <v>40</v>
      </c>
      <c r="C1171" s="1" t="s">
        <v>40</v>
      </c>
    </row>
    <row r="1172" spans="1:3" x14ac:dyDescent="0.4">
      <c r="A1172">
        <v>19700077</v>
      </c>
      <c r="B1172" s="1" t="s">
        <v>40</v>
      </c>
      <c r="C1172" s="1" t="s">
        <v>40</v>
      </c>
    </row>
    <row r="1173" spans="1:3" x14ac:dyDescent="0.4">
      <c r="A1173">
        <v>19700078</v>
      </c>
      <c r="B1173" s="1" t="s">
        <v>40</v>
      </c>
      <c r="C1173" s="1" t="s">
        <v>40</v>
      </c>
    </row>
    <row r="1174" spans="1:3" x14ac:dyDescent="0.4">
      <c r="A1174">
        <v>19700079</v>
      </c>
      <c r="B1174" s="1" t="s">
        <v>40</v>
      </c>
      <c r="C1174" s="1" t="s">
        <v>40</v>
      </c>
    </row>
    <row r="1175" spans="1:3" x14ac:dyDescent="0.4">
      <c r="A1175">
        <v>19700080</v>
      </c>
      <c r="B1175" s="1" t="s">
        <v>1822</v>
      </c>
      <c r="C1175" s="1" t="s">
        <v>804</v>
      </c>
    </row>
    <row r="1176" spans="1:3" x14ac:dyDescent="0.4">
      <c r="A1176">
        <v>19700081</v>
      </c>
      <c r="B1176" s="1" t="s">
        <v>40</v>
      </c>
      <c r="C1176" s="1" t="s">
        <v>40</v>
      </c>
    </row>
    <row r="1177" spans="1:3" x14ac:dyDescent="0.4">
      <c r="A1177">
        <v>19700082</v>
      </c>
      <c r="B1177" s="1" t="s">
        <v>40</v>
      </c>
      <c r="C1177" s="1" t="s">
        <v>40</v>
      </c>
    </row>
    <row r="1178" spans="1:3" x14ac:dyDescent="0.4">
      <c r="A1178">
        <v>19700083</v>
      </c>
      <c r="B1178" s="1" t="s">
        <v>40</v>
      </c>
      <c r="C1178" s="1" t="s">
        <v>40</v>
      </c>
    </row>
    <row r="1179" spans="1:3" x14ac:dyDescent="0.4">
      <c r="A1179">
        <v>19700084</v>
      </c>
      <c r="B1179" s="1" t="s">
        <v>40</v>
      </c>
      <c r="C1179" s="1" t="s">
        <v>40</v>
      </c>
    </row>
    <row r="1180" spans="1:3" x14ac:dyDescent="0.4">
      <c r="A1180">
        <v>19700085</v>
      </c>
      <c r="B1180" s="1" t="s">
        <v>40</v>
      </c>
      <c r="C1180" s="1" t="s">
        <v>40</v>
      </c>
    </row>
    <row r="1181" spans="1:3" x14ac:dyDescent="0.4">
      <c r="A1181">
        <v>19700086</v>
      </c>
      <c r="B1181" s="1" t="s">
        <v>40</v>
      </c>
      <c r="C1181" s="1" t="s">
        <v>40</v>
      </c>
    </row>
    <row r="1182" spans="1:3" x14ac:dyDescent="0.4">
      <c r="A1182">
        <v>19700087</v>
      </c>
      <c r="B1182" s="1" t="s">
        <v>40</v>
      </c>
      <c r="C1182" s="1" t="s">
        <v>40</v>
      </c>
    </row>
    <row r="1183" spans="1:3" x14ac:dyDescent="0.4">
      <c r="A1183">
        <v>19700088</v>
      </c>
      <c r="B1183" s="1" t="s">
        <v>40</v>
      </c>
      <c r="C1183" s="1" t="s">
        <v>40</v>
      </c>
    </row>
    <row r="1184" spans="1:3" x14ac:dyDescent="0.4">
      <c r="A1184">
        <v>19700089</v>
      </c>
      <c r="B1184" s="1" t="s">
        <v>40</v>
      </c>
      <c r="C1184" s="1" t="s">
        <v>40</v>
      </c>
    </row>
    <row r="1185" spans="1:3" x14ac:dyDescent="0.4">
      <c r="A1185">
        <v>19700090</v>
      </c>
      <c r="B1185" s="1" t="s">
        <v>1980</v>
      </c>
      <c r="C1185" s="1" t="s">
        <v>958</v>
      </c>
    </row>
    <row r="1186" spans="1:3" x14ac:dyDescent="0.4">
      <c r="A1186">
        <v>19700091</v>
      </c>
      <c r="B1186" s="1" t="s">
        <v>40</v>
      </c>
      <c r="C1186" s="1" t="s">
        <v>40</v>
      </c>
    </row>
    <row r="1187" spans="1:3" x14ac:dyDescent="0.4">
      <c r="A1187">
        <v>19700092</v>
      </c>
      <c r="B1187" s="1" t="s">
        <v>40</v>
      </c>
      <c r="C1187" s="1" t="s">
        <v>40</v>
      </c>
    </row>
    <row r="1188" spans="1:3" x14ac:dyDescent="0.4">
      <c r="A1188">
        <v>19700093</v>
      </c>
      <c r="B1188" s="1" t="s">
        <v>40</v>
      </c>
      <c r="C1188" s="1" t="s">
        <v>40</v>
      </c>
    </row>
    <row r="1189" spans="1:3" x14ac:dyDescent="0.4">
      <c r="A1189">
        <v>19700094</v>
      </c>
      <c r="B1189" s="1" t="s">
        <v>40</v>
      </c>
      <c r="C1189" s="1" t="s">
        <v>40</v>
      </c>
    </row>
    <row r="1190" spans="1:3" x14ac:dyDescent="0.4">
      <c r="A1190">
        <v>19700095</v>
      </c>
      <c r="B1190" s="1" t="s">
        <v>40</v>
      </c>
      <c r="C1190" s="1" t="s">
        <v>40</v>
      </c>
    </row>
    <row r="1191" spans="1:3" x14ac:dyDescent="0.4">
      <c r="A1191">
        <v>19700096</v>
      </c>
      <c r="B1191" s="1" t="s">
        <v>40</v>
      </c>
      <c r="C1191" s="1" t="s">
        <v>40</v>
      </c>
    </row>
    <row r="1192" spans="1:3" x14ac:dyDescent="0.4">
      <c r="A1192">
        <v>19700097</v>
      </c>
      <c r="B1192" s="1" t="s">
        <v>40</v>
      </c>
      <c r="C1192" s="1" t="s">
        <v>40</v>
      </c>
    </row>
    <row r="1193" spans="1:3" x14ac:dyDescent="0.4">
      <c r="A1193">
        <v>19700098</v>
      </c>
      <c r="B1193" s="1" t="s">
        <v>40</v>
      </c>
      <c r="C1193" s="1" t="s">
        <v>40</v>
      </c>
    </row>
    <row r="1194" spans="1:3" x14ac:dyDescent="0.4">
      <c r="A1194">
        <v>19700099</v>
      </c>
      <c r="B1194" s="1" t="s">
        <v>40</v>
      </c>
      <c r="C1194" s="1" t="s">
        <v>40</v>
      </c>
    </row>
    <row r="1195" spans="1:3" x14ac:dyDescent="0.4">
      <c r="A1195">
        <v>19700100</v>
      </c>
      <c r="B1195" s="1" t="s">
        <v>1981</v>
      </c>
      <c r="C1195" s="1" t="s">
        <v>959</v>
      </c>
    </row>
    <row r="1196" spans="1:3" x14ac:dyDescent="0.4">
      <c r="A1196">
        <v>19799999</v>
      </c>
      <c r="B1196" s="1" t="s">
        <v>1982</v>
      </c>
      <c r="C1196" s="1" t="s">
        <v>960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CB4F-E214-46EA-B73F-D3D762EDD48C}">
  <dimension ref="A1:C2637"/>
  <sheetViews>
    <sheetView workbookViewId="0">
      <selection activeCell="C2" sqref="C2:C11"/>
    </sheetView>
  </sheetViews>
  <sheetFormatPr defaultRowHeight="17" x14ac:dyDescent="0.4"/>
  <cols>
    <col min="1" max="1" width="8.54296875" bestFit="1" customWidth="1"/>
    <col min="2" max="2" width="29.81640625" bestFit="1" customWidth="1"/>
    <col min="3" max="3" width="22.6328125" bestFit="1" customWidth="1"/>
  </cols>
  <sheetData>
    <row r="1" spans="1:3" x14ac:dyDescent="0.4">
      <c r="A1" t="s">
        <v>0</v>
      </c>
      <c r="B1" t="s">
        <v>1020</v>
      </c>
      <c r="C1" t="s">
        <v>1004</v>
      </c>
    </row>
    <row r="2" spans="1:3" x14ac:dyDescent="0.4">
      <c r="A2">
        <v>1</v>
      </c>
      <c r="B2" s="1" t="s">
        <v>1021</v>
      </c>
      <c r="C2" s="1" t="s">
        <v>40</v>
      </c>
    </row>
    <row r="3" spans="1:3" x14ac:dyDescent="0.4">
      <c r="A3">
        <v>2</v>
      </c>
      <c r="B3" s="1" t="s">
        <v>1021</v>
      </c>
      <c r="C3" s="1" t="s">
        <v>40</v>
      </c>
    </row>
    <row r="4" spans="1:3" x14ac:dyDescent="0.4">
      <c r="A4">
        <v>3</v>
      </c>
      <c r="B4" s="1" t="s">
        <v>1021</v>
      </c>
      <c r="C4" s="1" t="s">
        <v>40</v>
      </c>
    </row>
    <row r="5" spans="1:3" x14ac:dyDescent="0.4">
      <c r="A5">
        <v>4</v>
      </c>
      <c r="B5" s="1" t="s">
        <v>1021</v>
      </c>
      <c r="C5" s="1" t="s">
        <v>40</v>
      </c>
    </row>
    <row r="6" spans="1:3" x14ac:dyDescent="0.4">
      <c r="A6">
        <v>5</v>
      </c>
      <c r="B6" s="1" t="s">
        <v>1021</v>
      </c>
      <c r="C6" s="1" t="s">
        <v>40</v>
      </c>
    </row>
    <row r="7" spans="1:3" x14ac:dyDescent="0.4">
      <c r="A7">
        <v>6</v>
      </c>
      <c r="B7" s="1" t="s">
        <v>1021</v>
      </c>
      <c r="C7" s="1" t="s">
        <v>40</v>
      </c>
    </row>
    <row r="8" spans="1:3" x14ac:dyDescent="0.4">
      <c r="A8">
        <v>7</v>
      </c>
      <c r="B8" s="1" t="s">
        <v>40</v>
      </c>
      <c r="C8" s="1" t="s">
        <v>40</v>
      </c>
    </row>
    <row r="9" spans="1:3" x14ac:dyDescent="0.4">
      <c r="A9">
        <v>8</v>
      </c>
      <c r="B9" s="1" t="s">
        <v>40</v>
      </c>
      <c r="C9" s="1" t="s">
        <v>40</v>
      </c>
    </row>
    <row r="10" spans="1:3" x14ac:dyDescent="0.4">
      <c r="A10">
        <v>9</v>
      </c>
      <c r="B10" s="1" t="s">
        <v>40</v>
      </c>
      <c r="C10" s="1" t="s">
        <v>40</v>
      </c>
    </row>
    <row r="11" spans="1:3" x14ac:dyDescent="0.4">
      <c r="A11">
        <v>10</v>
      </c>
      <c r="B11" s="1" t="s">
        <v>1022</v>
      </c>
      <c r="C11" s="1" t="s">
        <v>41</v>
      </c>
    </row>
    <row r="12" spans="1:3" x14ac:dyDescent="0.4">
      <c r="A12">
        <v>11</v>
      </c>
      <c r="B12" s="1" t="s">
        <v>1023</v>
      </c>
      <c r="C12" s="1" t="s">
        <v>42</v>
      </c>
    </row>
    <row r="13" spans="1:3" x14ac:dyDescent="0.4">
      <c r="A13">
        <v>12</v>
      </c>
      <c r="B13" s="1" t="s">
        <v>40</v>
      </c>
      <c r="C13" s="1" t="s">
        <v>40</v>
      </c>
    </row>
    <row r="14" spans="1:3" x14ac:dyDescent="0.4">
      <c r="A14">
        <v>13</v>
      </c>
      <c r="B14" s="1" t="s">
        <v>40</v>
      </c>
      <c r="C14" s="1" t="s">
        <v>40</v>
      </c>
    </row>
    <row r="15" spans="1:3" x14ac:dyDescent="0.4">
      <c r="A15">
        <v>14</v>
      </c>
      <c r="B15" s="1" t="s">
        <v>40</v>
      </c>
      <c r="C15" s="1" t="s">
        <v>40</v>
      </c>
    </row>
    <row r="16" spans="1:3" x14ac:dyDescent="0.4">
      <c r="A16">
        <v>15</v>
      </c>
      <c r="B16" s="1" t="s">
        <v>40</v>
      </c>
      <c r="C16" s="1" t="s">
        <v>40</v>
      </c>
    </row>
    <row r="17" spans="1:3" x14ac:dyDescent="0.4">
      <c r="A17">
        <v>16</v>
      </c>
      <c r="B17" s="1" t="s">
        <v>40</v>
      </c>
      <c r="C17" s="1" t="s">
        <v>40</v>
      </c>
    </row>
    <row r="18" spans="1:3" x14ac:dyDescent="0.4">
      <c r="A18">
        <v>17</v>
      </c>
      <c r="B18" s="1" t="s">
        <v>40</v>
      </c>
      <c r="C18" s="1" t="s">
        <v>40</v>
      </c>
    </row>
    <row r="19" spans="1:3" x14ac:dyDescent="0.4">
      <c r="A19">
        <v>18</v>
      </c>
      <c r="B19" s="1" t="s">
        <v>40</v>
      </c>
      <c r="C19" s="1" t="s">
        <v>40</v>
      </c>
    </row>
    <row r="20" spans="1:3" x14ac:dyDescent="0.4">
      <c r="A20">
        <v>19</v>
      </c>
      <c r="B20" s="1" t="s">
        <v>40</v>
      </c>
      <c r="C20" s="1" t="s">
        <v>40</v>
      </c>
    </row>
    <row r="21" spans="1:3" x14ac:dyDescent="0.4">
      <c r="A21">
        <v>20</v>
      </c>
      <c r="B21" s="1" t="s">
        <v>1024</v>
      </c>
      <c r="C21" s="1" t="s">
        <v>43</v>
      </c>
    </row>
    <row r="22" spans="1:3" x14ac:dyDescent="0.4">
      <c r="A22">
        <v>21</v>
      </c>
      <c r="B22" s="1" t="s">
        <v>40</v>
      </c>
      <c r="C22" s="1" t="s">
        <v>40</v>
      </c>
    </row>
    <row r="23" spans="1:3" x14ac:dyDescent="0.4">
      <c r="A23">
        <v>22</v>
      </c>
      <c r="B23" s="1" t="s">
        <v>40</v>
      </c>
      <c r="C23" s="1" t="s">
        <v>40</v>
      </c>
    </row>
    <row r="24" spans="1:3" x14ac:dyDescent="0.4">
      <c r="A24">
        <v>23</v>
      </c>
      <c r="B24" s="1" t="s">
        <v>40</v>
      </c>
      <c r="C24" s="1" t="s">
        <v>40</v>
      </c>
    </row>
    <row r="25" spans="1:3" x14ac:dyDescent="0.4">
      <c r="A25">
        <v>24</v>
      </c>
      <c r="B25" s="1" t="s">
        <v>40</v>
      </c>
      <c r="C25" s="1" t="s">
        <v>40</v>
      </c>
    </row>
    <row r="26" spans="1:3" x14ac:dyDescent="0.4">
      <c r="A26">
        <v>25</v>
      </c>
      <c r="B26" s="1" t="s">
        <v>40</v>
      </c>
      <c r="C26" s="1" t="s">
        <v>40</v>
      </c>
    </row>
    <row r="27" spans="1:3" x14ac:dyDescent="0.4">
      <c r="A27">
        <v>26</v>
      </c>
      <c r="B27" s="1" t="s">
        <v>40</v>
      </c>
      <c r="C27" s="1" t="s">
        <v>40</v>
      </c>
    </row>
    <row r="28" spans="1:3" x14ac:dyDescent="0.4">
      <c r="A28">
        <v>27</v>
      </c>
      <c r="B28" s="1" t="s">
        <v>40</v>
      </c>
      <c r="C28" s="1" t="s">
        <v>40</v>
      </c>
    </row>
    <row r="29" spans="1:3" x14ac:dyDescent="0.4">
      <c r="A29">
        <v>28</v>
      </c>
      <c r="B29" s="1" t="s">
        <v>40</v>
      </c>
      <c r="C29" s="1" t="s">
        <v>40</v>
      </c>
    </row>
    <row r="30" spans="1:3" x14ac:dyDescent="0.4">
      <c r="A30">
        <v>29</v>
      </c>
      <c r="B30" s="1" t="s">
        <v>40</v>
      </c>
      <c r="C30" s="1" t="s">
        <v>40</v>
      </c>
    </row>
    <row r="31" spans="1:3" x14ac:dyDescent="0.4">
      <c r="A31">
        <v>30</v>
      </c>
      <c r="B31" s="1" t="s">
        <v>1025</v>
      </c>
      <c r="C31" s="1" t="s">
        <v>44</v>
      </c>
    </row>
    <row r="32" spans="1:3" x14ac:dyDescent="0.4">
      <c r="A32">
        <v>40</v>
      </c>
      <c r="B32" s="1" t="s">
        <v>1024</v>
      </c>
      <c r="C32" s="1" t="s">
        <v>43</v>
      </c>
    </row>
    <row r="33" spans="1:3" x14ac:dyDescent="0.4">
      <c r="A33">
        <v>41</v>
      </c>
      <c r="B33" s="1" t="s">
        <v>40</v>
      </c>
      <c r="C33" s="1" t="s">
        <v>40</v>
      </c>
    </row>
    <row r="34" spans="1:3" x14ac:dyDescent="0.4">
      <c r="A34">
        <v>42</v>
      </c>
      <c r="B34" s="1" t="s">
        <v>40</v>
      </c>
      <c r="C34" s="1" t="s">
        <v>40</v>
      </c>
    </row>
    <row r="35" spans="1:3" x14ac:dyDescent="0.4">
      <c r="A35">
        <v>43</v>
      </c>
      <c r="B35" s="1" t="s">
        <v>40</v>
      </c>
      <c r="C35" s="1" t="s">
        <v>40</v>
      </c>
    </row>
    <row r="36" spans="1:3" x14ac:dyDescent="0.4">
      <c r="A36">
        <v>44</v>
      </c>
      <c r="B36" s="1" t="s">
        <v>40</v>
      </c>
      <c r="C36" s="1" t="s">
        <v>40</v>
      </c>
    </row>
    <row r="37" spans="1:3" x14ac:dyDescent="0.4">
      <c r="A37">
        <v>45</v>
      </c>
      <c r="B37" s="1" t="s">
        <v>40</v>
      </c>
      <c r="C37" s="1" t="s">
        <v>40</v>
      </c>
    </row>
    <row r="38" spans="1:3" x14ac:dyDescent="0.4">
      <c r="A38">
        <v>46</v>
      </c>
      <c r="B38" s="1" t="s">
        <v>40</v>
      </c>
      <c r="C38" s="1" t="s">
        <v>40</v>
      </c>
    </row>
    <row r="39" spans="1:3" x14ac:dyDescent="0.4">
      <c r="A39">
        <v>47</v>
      </c>
      <c r="B39" s="1" t="s">
        <v>40</v>
      </c>
      <c r="C39" s="1" t="s">
        <v>40</v>
      </c>
    </row>
    <row r="40" spans="1:3" x14ac:dyDescent="0.4">
      <c r="A40">
        <v>48</v>
      </c>
      <c r="B40" s="1" t="s">
        <v>40</v>
      </c>
      <c r="C40" s="1" t="s">
        <v>40</v>
      </c>
    </row>
    <row r="41" spans="1:3" x14ac:dyDescent="0.4">
      <c r="A41">
        <v>49</v>
      </c>
      <c r="B41" s="1" t="s">
        <v>40</v>
      </c>
      <c r="C41" s="1" t="s">
        <v>40</v>
      </c>
    </row>
    <row r="42" spans="1:3" x14ac:dyDescent="0.4">
      <c r="A42">
        <v>50</v>
      </c>
      <c r="B42" s="1" t="s">
        <v>1025</v>
      </c>
      <c r="C42" s="1" t="s">
        <v>44</v>
      </c>
    </row>
    <row r="43" spans="1:3" x14ac:dyDescent="0.4">
      <c r="A43">
        <v>60</v>
      </c>
      <c r="B43" s="1" t="s">
        <v>1026</v>
      </c>
      <c r="C43" s="1" t="s">
        <v>45</v>
      </c>
    </row>
    <row r="44" spans="1:3" x14ac:dyDescent="0.4">
      <c r="A44">
        <v>70</v>
      </c>
      <c r="B44" s="1" t="s">
        <v>1027</v>
      </c>
      <c r="C44" s="1" t="s">
        <v>112</v>
      </c>
    </row>
    <row r="45" spans="1:3" x14ac:dyDescent="0.4">
      <c r="A45">
        <v>71</v>
      </c>
      <c r="B45" s="1" t="s">
        <v>40</v>
      </c>
      <c r="C45" s="1" t="s">
        <v>40</v>
      </c>
    </row>
    <row r="46" spans="1:3" x14ac:dyDescent="0.4">
      <c r="A46">
        <v>72</v>
      </c>
      <c r="B46" s="1" t="s">
        <v>40</v>
      </c>
      <c r="C46" s="1" t="s">
        <v>40</v>
      </c>
    </row>
    <row r="47" spans="1:3" x14ac:dyDescent="0.4">
      <c r="A47">
        <v>73</v>
      </c>
      <c r="B47" s="1" t="s">
        <v>40</v>
      </c>
      <c r="C47" s="1" t="s">
        <v>40</v>
      </c>
    </row>
    <row r="48" spans="1:3" x14ac:dyDescent="0.4">
      <c r="A48">
        <v>74</v>
      </c>
      <c r="B48" s="1" t="s">
        <v>40</v>
      </c>
      <c r="C48" s="1" t="s">
        <v>40</v>
      </c>
    </row>
    <row r="49" spans="1:3" x14ac:dyDescent="0.4">
      <c r="A49">
        <v>75</v>
      </c>
      <c r="B49" s="1" t="s">
        <v>40</v>
      </c>
      <c r="C49" s="1" t="s">
        <v>40</v>
      </c>
    </row>
    <row r="50" spans="1:3" x14ac:dyDescent="0.4">
      <c r="A50">
        <v>76</v>
      </c>
      <c r="B50" s="1" t="s">
        <v>40</v>
      </c>
      <c r="C50" s="1" t="s">
        <v>40</v>
      </c>
    </row>
    <row r="51" spans="1:3" x14ac:dyDescent="0.4">
      <c r="A51">
        <v>77</v>
      </c>
      <c r="B51" s="1" t="s">
        <v>40</v>
      </c>
      <c r="C51" s="1" t="s">
        <v>40</v>
      </c>
    </row>
    <row r="52" spans="1:3" x14ac:dyDescent="0.4">
      <c r="A52">
        <v>78</v>
      </c>
      <c r="B52" s="1" t="s">
        <v>40</v>
      </c>
      <c r="C52" s="1" t="s">
        <v>40</v>
      </c>
    </row>
    <row r="53" spans="1:3" x14ac:dyDescent="0.4">
      <c r="A53">
        <v>79</v>
      </c>
      <c r="B53" s="1" t="s">
        <v>40</v>
      </c>
      <c r="C53" s="1" t="s">
        <v>40</v>
      </c>
    </row>
    <row r="54" spans="1:3" x14ac:dyDescent="0.4">
      <c r="A54">
        <v>80</v>
      </c>
      <c r="B54" s="1" t="s">
        <v>1026</v>
      </c>
      <c r="C54" s="1" t="s">
        <v>45</v>
      </c>
    </row>
    <row r="55" spans="1:3" x14ac:dyDescent="0.4">
      <c r="A55">
        <v>81</v>
      </c>
      <c r="B55" s="1" t="s">
        <v>40</v>
      </c>
      <c r="C55" s="1" t="s">
        <v>40</v>
      </c>
    </row>
    <row r="56" spans="1:3" x14ac:dyDescent="0.4">
      <c r="A56">
        <v>82</v>
      </c>
      <c r="B56" s="1" t="s">
        <v>40</v>
      </c>
      <c r="C56" s="1" t="s">
        <v>40</v>
      </c>
    </row>
    <row r="57" spans="1:3" x14ac:dyDescent="0.4">
      <c r="A57">
        <v>83</v>
      </c>
      <c r="B57" s="1" t="s">
        <v>40</v>
      </c>
      <c r="C57" s="1" t="s">
        <v>40</v>
      </c>
    </row>
    <row r="58" spans="1:3" x14ac:dyDescent="0.4">
      <c r="A58">
        <v>84</v>
      </c>
      <c r="B58" s="1" t="s">
        <v>40</v>
      </c>
      <c r="C58" s="1" t="s">
        <v>40</v>
      </c>
    </row>
    <row r="59" spans="1:3" x14ac:dyDescent="0.4">
      <c r="A59">
        <v>85</v>
      </c>
      <c r="B59" s="1" t="s">
        <v>40</v>
      </c>
      <c r="C59" s="1" t="s">
        <v>40</v>
      </c>
    </row>
    <row r="60" spans="1:3" x14ac:dyDescent="0.4">
      <c r="A60">
        <v>86</v>
      </c>
      <c r="B60" s="1" t="s">
        <v>40</v>
      </c>
      <c r="C60" s="1" t="s">
        <v>40</v>
      </c>
    </row>
    <row r="61" spans="1:3" x14ac:dyDescent="0.4">
      <c r="A61">
        <v>87</v>
      </c>
      <c r="B61" s="1" t="s">
        <v>40</v>
      </c>
      <c r="C61" s="1" t="s">
        <v>40</v>
      </c>
    </row>
    <row r="62" spans="1:3" x14ac:dyDescent="0.4">
      <c r="A62">
        <v>88</v>
      </c>
      <c r="B62" s="1" t="s">
        <v>40</v>
      </c>
      <c r="C62" s="1" t="s">
        <v>40</v>
      </c>
    </row>
    <row r="63" spans="1:3" x14ac:dyDescent="0.4">
      <c r="A63">
        <v>89</v>
      </c>
      <c r="B63" s="1" t="s">
        <v>40</v>
      </c>
      <c r="C63" s="1" t="s">
        <v>40</v>
      </c>
    </row>
    <row r="64" spans="1:3" x14ac:dyDescent="0.4">
      <c r="A64">
        <v>90</v>
      </c>
      <c r="B64" s="1" t="s">
        <v>1027</v>
      </c>
      <c r="C64" s="1" t="s">
        <v>112</v>
      </c>
    </row>
    <row r="65" spans="1:3" x14ac:dyDescent="0.4">
      <c r="A65">
        <v>100</v>
      </c>
      <c r="B65" s="1" t="s">
        <v>1028</v>
      </c>
      <c r="C65" s="1" t="s">
        <v>46</v>
      </c>
    </row>
    <row r="66" spans="1:3" x14ac:dyDescent="0.4">
      <c r="A66">
        <v>101</v>
      </c>
      <c r="B66" s="1" t="s">
        <v>1029</v>
      </c>
      <c r="C66" s="1" t="s">
        <v>47</v>
      </c>
    </row>
    <row r="67" spans="1:3" x14ac:dyDescent="0.4">
      <c r="A67">
        <v>102</v>
      </c>
      <c r="B67" s="1" t="s">
        <v>1030</v>
      </c>
      <c r="C67" s="1" t="s">
        <v>48</v>
      </c>
    </row>
    <row r="68" spans="1:3" x14ac:dyDescent="0.4">
      <c r="A68">
        <v>103</v>
      </c>
      <c r="B68" s="1" t="s">
        <v>1028</v>
      </c>
      <c r="C68" s="1" t="s">
        <v>46</v>
      </c>
    </row>
    <row r="69" spans="1:3" x14ac:dyDescent="0.4">
      <c r="A69">
        <v>104</v>
      </c>
      <c r="B69" s="1" t="s">
        <v>1029</v>
      </c>
      <c r="C69" s="1" t="s">
        <v>47</v>
      </c>
    </row>
    <row r="70" spans="1:3" x14ac:dyDescent="0.4">
      <c r="A70">
        <v>105</v>
      </c>
      <c r="B70" s="1" t="s">
        <v>1030</v>
      </c>
      <c r="C70" s="1" t="s">
        <v>48</v>
      </c>
    </row>
    <row r="71" spans="1:3" x14ac:dyDescent="0.4">
      <c r="A71">
        <v>106</v>
      </c>
      <c r="B71" s="1" t="s">
        <v>1028</v>
      </c>
      <c r="C71" s="1" t="s">
        <v>46</v>
      </c>
    </row>
    <row r="72" spans="1:3" x14ac:dyDescent="0.4">
      <c r="A72">
        <v>107</v>
      </c>
      <c r="B72" s="1" t="s">
        <v>1029</v>
      </c>
      <c r="C72" s="1" t="s">
        <v>47</v>
      </c>
    </row>
    <row r="73" spans="1:3" x14ac:dyDescent="0.4">
      <c r="A73">
        <v>108</v>
      </c>
      <c r="B73" s="1" t="s">
        <v>1030</v>
      </c>
      <c r="C73" s="1" t="s">
        <v>48</v>
      </c>
    </row>
    <row r="74" spans="1:3" x14ac:dyDescent="0.4">
      <c r="A74">
        <v>109</v>
      </c>
      <c r="B74" s="1" t="s">
        <v>1031</v>
      </c>
      <c r="C74" s="1" t="s">
        <v>49</v>
      </c>
    </row>
    <row r="75" spans="1:3" x14ac:dyDescent="0.4">
      <c r="A75">
        <v>110</v>
      </c>
      <c r="B75" s="1" t="s">
        <v>1032</v>
      </c>
      <c r="C75" s="1" t="s">
        <v>50</v>
      </c>
    </row>
    <row r="76" spans="1:3" x14ac:dyDescent="0.4">
      <c r="A76">
        <v>111</v>
      </c>
      <c r="B76" s="1" t="s">
        <v>1033</v>
      </c>
      <c r="C76" s="1" t="s">
        <v>51</v>
      </c>
    </row>
    <row r="77" spans="1:3" x14ac:dyDescent="0.4">
      <c r="A77">
        <v>112</v>
      </c>
      <c r="B77" s="1" t="s">
        <v>1031</v>
      </c>
      <c r="C77" s="1" t="s">
        <v>49</v>
      </c>
    </row>
    <row r="78" spans="1:3" x14ac:dyDescent="0.4">
      <c r="A78">
        <v>113</v>
      </c>
      <c r="B78" s="1" t="s">
        <v>1032</v>
      </c>
      <c r="C78" s="1" t="s">
        <v>50</v>
      </c>
    </row>
    <row r="79" spans="1:3" x14ac:dyDescent="0.4">
      <c r="A79">
        <v>114</v>
      </c>
      <c r="B79" s="1" t="s">
        <v>1033</v>
      </c>
      <c r="C79" s="1" t="s">
        <v>51</v>
      </c>
    </row>
    <row r="80" spans="1:3" x14ac:dyDescent="0.4">
      <c r="A80">
        <v>115</v>
      </c>
      <c r="B80" s="1" t="s">
        <v>1031</v>
      </c>
      <c r="C80" s="1" t="s">
        <v>49</v>
      </c>
    </row>
    <row r="81" spans="1:3" x14ac:dyDescent="0.4">
      <c r="A81">
        <v>116</v>
      </c>
      <c r="B81" s="1" t="s">
        <v>1032</v>
      </c>
      <c r="C81" s="1" t="s">
        <v>50</v>
      </c>
    </row>
    <row r="82" spans="1:3" x14ac:dyDescent="0.4">
      <c r="A82">
        <v>117</v>
      </c>
      <c r="B82" s="1" t="s">
        <v>1033</v>
      </c>
      <c r="C82" s="1" t="s">
        <v>51</v>
      </c>
    </row>
    <row r="83" spans="1:3" x14ac:dyDescent="0.4">
      <c r="A83">
        <v>118</v>
      </c>
      <c r="B83" s="1" t="s">
        <v>1034</v>
      </c>
      <c r="C83" s="1" t="s">
        <v>52</v>
      </c>
    </row>
    <row r="84" spans="1:3" x14ac:dyDescent="0.4">
      <c r="A84">
        <v>119</v>
      </c>
      <c r="B84" s="1" t="s">
        <v>1035</v>
      </c>
      <c r="C84" s="1" t="s">
        <v>53</v>
      </c>
    </row>
    <row r="85" spans="1:3" x14ac:dyDescent="0.4">
      <c r="A85">
        <v>120</v>
      </c>
      <c r="B85" s="1" t="s">
        <v>1036</v>
      </c>
      <c r="C85" s="1" t="s">
        <v>54</v>
      </c>
    </row>
    <row r="86" spans="1:3" x14ac:dyDescent="0.4">
      <c r="A86">
        <v>121</v>
      </c>
      <c r="B86" s="1" t="s">
        <v>1034</v>
      </c>
      <c r="C86" s="1" t="s">
        <v>52</v>
      </c>
    </row>
    <row r="87" spans="1:3" x14ac:dyDescent="0.4">
      <c r="A87">
        <v>122</v>
      </c>
      <c r="B87" s="1" t="s">
        <v>1035</v>
      </c>
      <c r="C87" s="1" t="s">
        <v>53</v>
      </c>
    </row>
    <row r="88" spans="1:3" x14ac:dyDescent="0.4">
      <c r="A88">
        <v>123</v>
      </c>
      <c r="B88" s="1" t="s">
        <v>1036</v>
      </c>
      <c r="C88" s="1" t="s">
        <v>54</v>
      </c>
    </row>
    <row r="89" spans="1:3" x14ac:dyDescent="0.4">
      <c r="A89">
        <v>124</v>
      </c>
      <c r="B89" s="1" t="s">
        <v>1034</v>
      </c>
      <c r="C89" s="1" t="s">
        <v>52</v>
      </c>
    </row>
    <row r="90" spans="1:3" x14ac:dyDescent="0.4">
      <c r="A90">
        <v>125</v>
      </c>
      <c r="B90" s="1" t="s">
        <v>1035</v>
      </c>
      <c r="C90" s="1" t="s">
        <v>53</v>
      </c>
    </row>
    <row r="91" spans="1:3" x14ac:dyDescent="0.4">
      <c r="A91">
        <v>126</v>
      </c>
      <c r="B91" s="1" t="s">
        <v>1036</v>
      </c>
      <c r="C91" s="1" t="s">
        <v>54</v>
      </c>
    </row>
    <row r="92" spans="1:3" x14ac:dyDescent="0.4">
      <c r="A92">
        <v>127</v>
      </c>
      <c r="B92" s="1" t="s">
        <v>1037</v>
      </c>
      <c r="C92" s="1" t="s">
        <v>55</v>
      </c>
    </row>
    <row r="93" spans="1:3" x14ac:dyDescent="0.4">
      <c r="A93">
        <v>128</v>
      </c>
      <c r="B93" s="1" t="s">
        <v>1038</v>
      </c>
      <c r="C93" s="1" t="s">
        <v>56</v>
      </c>
    </row>
    <row r="94" spans="1:3" x14ac:dyDescent="0.4">
      <c r="A94">
        <v>129</v>
      </c>
      <c r="B94" s="1" t="s">
        <v>1039</v>
      </c>
      <c r="C94" s="1" t="s">
        <v>57</v>
      </c>
    </row>
    <row r="95" spans="1:3" x14ac:dyDescent="0.4">
      <c r="A95">
        <v>130</v>
      </c>
      <c r="B95" s="1" t="s">
        <v>1037</v>
      </c>
      <c r="C95" s="1" t="s">
        <v>55</v>
      </c>
    </row>
    <row r="96" spans="1:3" x14ac:dyDescent="0.4">
      <c r="A96">
        <v>131</v>
      </c>
      <c r="B96" s="1" t="s">
        <v>1038</v>
      </c>
      <c r="C96" s="1" t="s">
        <v>56</v>
      </c>
    </row>
    <row r="97" spans="1:3" x14ac:dyDescent="0.4">
      <c r="A97">
        <v>132</v>
      </c>
      <c r="B97" s="1" t="s">
        <v>1039</v>
      </c>
      <c r="C97" s="1" t="s">
        <v>57</v>
      </c>
    </row>
    <row r="98" spans="1:3" x14ac:dyDescent="0.4">
      <c r="A98">
        <v>133</v>
      </c>
      <c r="B98" s="1" t="s">
        <v>1037</v>
      </c>
      <c r="C98" s="1" t="s">
        <v>55</v>
      </c>
    </row>
    <row r="99" spans="1:3" x14ac:dyDescent="0.4">
      <c r="A99">
        <v>134</v>
      </c>
      <c r="B99" s="1" t="s">
        <v>1038</v>
      </c>
      <c r="C99" s="1" t="s">
        <v>56</v>
      </c>
    </row>
    <row r="100" spans="1:3" x14ac:dyDescent="0.4">
      <c r="A100">
        <v>135</v>
      </c>
      <c r="B100" s="1" t="s">
        <v>1039</v>
      </c>
      <c r="C100" s="1" t="s">
        <v>57</v>
      </c>
    </row>
    <row r="101" spans="1:3" x14ac:dyDescent="0.4">
      <c r="A101">
        <v>200</v>
      </c>
      <c r="B101" s="1" t="s">
        <v>1028</v>
      </c>
      <c r="C101" s="1" t="s">
        <v>46</v>
      </c>
    </row>
    <row r="102" spans="1:3" x14ac:dyDescent="0.4">
      <c r="A102">
        <v>201</v>
      </c>
      <c r="B102" s="1" t="s">
        <v>1029</v>
      </c>
      <c r="C102" s="1" t="s">
        <v>47</v>
      </c>
    </row>
    <row r="103" spans="1:3" x14ac:dyDescent="0.4">
      <c r="A103">
        <v>202</v>
      </c>
      <c r="B103" s="1" t="s">
        <v>1030</v>
      </c>
      <c r="C103" s="1" t="s">
        <v>48</v>
      </c>
    </row>
    <row r="104" spans="1:3" x14ac:dyDescent="0.4">
      <c r="A104">
        <v>203</v>
      </c>
      <c r="B104" s="1" t="s">
        <v>1028</v>
      </c>
      <c r="C104" s="1" t="s">
        <v>46</v>
      </c>
    </row>
    <row r="105" spans="1:3" x14ac:dyDescent="0.4">
      <c r="A105">
        <v>204</v>
      </c>
      <c r="B105" s="1" t="s">
        <v>1029</v>
      </c>
      <c r="C105" s="1" t="s">
        <v>47</v>
      </c>
    </row>
    <row r="106" spans="1:3" x14ac:dyDescent="0.4">
      <c r="A106">
        <v>205</v>
      </c>
      <c r="B106" s="1" t="s">
        <v>1030</v>
      </c>
      <c r="C106" s="1" t="s">
        <v>48</v>
      </c>
    </row>
    <row r="107" spans="1:3" x14ac:dyDescent="0.4">
      <c r="A107">
        <v>206</v>
      </c>
      <c r="B107" s="1" t="s">
        <v>1028</v>
      </c>
      <c r="C107" s="1" t="s">
        <v>46</v>
      </c>
    </row>
    <row r="108" spans="1:3" x14ac:dyDescent="0.4">
      <c r="A108">
        <v>207</v>
      </c>
      <c r="B108" s="1" t="s">
        <v>1029</v>
      </c>
      <c r="C108" s="1" t="s">
        <v>47</v>
      </c>
    </row>
    <row r="109" spans="1:3" x14ac:dyDescent="0.4">
      <c r="A109">
        <v>208</v>
      </c>
      <c r="B109" s="1" t="s">
        <v>1030</v>
      </c>
      <c r="C109" s="1" t="s">
        <v>48</v>
      </c>
    </row>
    <row r="110" spans="1:3" x14ac:dyDescent="0.4">
      <c r="A110">
        <v>209</v>
      </c>
      <c r="B110" s="1" t="s">
        <v>1031</v>
      </c>
      <c r="C110" s="1" t="s">
        <v>49</v>
      </c>
    </row>
    <row r="111" spans="1:3" x14ac:dyDescent="0.4">
      <c r="A111">
        <v>210</v>
      </c>
      <c r="B111" s="1" t="s">
        <v>1032</v>
      </c>
      <c r="C111" s="1" t="s">
        <v>50</v>
      </c>
    </row>
    <row r="112" spans="1:3" x14ac:dyDescent="0.4">
      <c r="A112">
        <v>211</v>
      </c>
      <c r="B112" s="1" t="s">
        <v>1033</v>
      </c>
      <c r="C112" s="1" t="s">
        <v>51</v>
      </c>
    </row>
    <row r="113" spans="1:3" x14ac:dyDescent="0.4">
      <c r="A113">
        <v>212</v>
      </c>
      <c r="B113" s="1" t="s">
        <v>1031</v>
      </c>
      <c r="C113" s="1" t="s">
        <v>49</v>
      </c>
    </row>
    <row r="114" spans="1:3" x14ac:dyDescent="0.4">
      <c r="A114">
        <v>213</v>
      </c>
      <c r="B114" s="1" t="s">
        <v>1032</v>
      </c>
      <c r="C114" s="1" t="s">
        <v>50</v>
      </c>
    </row>
    <row r="115" spans="1:3" x14ac:dyDescent="0.4">
      <c r="A115">
        <v>214</v>
      </c>
      <c r="B115" s="1" t="s">
        <v>1033</v>
      </c>
      <c r="C115" s="1" t="s">
        <v>51</v>
      </c>
    </row>
    <row r="116" spans="1:3" x14ac:dyDescent="0.4">
      <c r="A116">
        <v>215</v>
      </c>
      <c r="B116" s="1" t="s">
        <v>1031</v>
      </c>
      <c r="C116" s="1" t="s">
        <v>49</v>
      </c>
    </row>
    <row r="117" spans="1:3" x14ac:dyDescent="0.4">
      <c r="A117">
        <v>216</v>
      </c>
      <c r="B117" s="1" t="s">
        <v>1032</v>
      </c>
      <c r="C117" s="1" t="s">
        <v>50</v>
      </c>
    </row>
    <row r="118" spans="1:3" x14ac:dyDescent="0.4">
      <c r="A118">
        <v>217</v>
      </c>
      <c r="B118" s="1" t="s">
        <v>1033</v>
      </c>
      <c r="C118" s="1" t="s">
        <v>51</v>
      </c>
    </row>
    <row r="119" spans="1:3" x14ac:dyDescent="0.4">
      <c r="A119">
        <v>218</v>
      </c>
      <c r="B119" s="1" t="s">
        <v>1034</v>
      </c>
      <c r="C119" s="1" t="s">
        <v>52</v>
      </c>
    </row>
    <row r="120" spans="1:3" x14ac:dyDescent="0.4">
      <c r="A120">
        <v>219</v>
      </c>
      <c r="B120" s="1" t="s">
        <v>1035</v>
      </c>
      <c r="C120" s="1" t="s">
        <v>53</v>
      </c>
    </row>
    <row r="121" spans="1:3" x14ac:dyDescent="0.4">
      <c r="A121">
        <v>220</v>
      </c>
      <c r="B121" s="1" t="s">
        <v>1036</v>
      </c>
      <c r="C121" s="1" t="s">
        <v>54</v>
      </c>
    </row>
    <row r="122" spans="1:3" x14ac:dyDescent="0.4">
      <c r="A122">
        <v>221</v>
      </c>
      <c r="B122" s="1" t="s">
        <v>1034</v>
      </c>
      <c r="C122" s="1" t="s">
        <v>52</v>
      </c>
    </row>
    <row r="123" spans="1:3" x14ac:dyDescent="0.4">
      <c r="A123">
        <v>222</v>
      </c>
      <c r="B123" s="1" t="s">
        <v>1035</v>
      </c>
      <c r="C123" s="1" t="s">
        <v>53</v>
      </c>
    </row>
    <row r="124" spans="1:3" x14ac:dyDescent="0.4">
      <c r="A124">
        <v>223</v>
      </c>
      <c r="B124" s="1" t="s">
        <v>1036</v>
      </c>
      <c r="C124" s="1" t="s">
        <v>54</v>
      </c>
    </row>
    <row r="125" spans="1:3" x14ac:dyDescent="0.4">
      <c r="A125">
        <v>224</v>
      </c>
      <c r="B125" s="1" t="s">
        <v>1034</v>
      </c>
      <c r="C125" s="1" t="s">
        <v>52</v>
      </c>
    </row>
    <row r="126" spans="1:3" x14ac:dyDescent="0.4">
      <c r="A126">
        <v>225</v>
      </c>
      <c r="B126" s="1" t="s">
        <v>1035</v>
      </c>
      <c r="C126" s="1" t="s">
        <v>53</v>
      </c>
    </row>
    <row r="127" spans="1:3" x14ac:dyDescent="0.4">
      <c r="A127">
        <v>226</v>
      </c>
      <c r="B127" s="1" t="s">
        <v>1036</v>
      </c>
      <c r="C127" s="1" t="s">
        <v>54</v>
      </c>
    </row>
    <row r="128" spans="1:3" x14ac:dyDescent="0.4">
      <c r="A128">
        <v>227</v>
      </c>
      <c r="B128" s="1" t="s">
        <v>1037</v>
      </c>
      <c r="C128" s="1" t="s">
        <v>55</v>
      </c>
    </row>
    <row r="129" spans="1:3" x14ac:dyDescent="0.4">
      <c r="A129">
        <v>228</v>
      </c>
      <c r="B129" s="1" t="s">
        <v>1038</v>
      </c>
      <c r="C129" s="1" t="s">
        <v>56</v>
      </c>
    </row>
    <row r="130" spans="1:3" x14ac:dyDescent="0.4">
      <c r="A130">
        <v>229</v>
      </c>
      <c r="B130" s="1" t="s">
        <v>1039</v>
      </c>
      <c r="C130" s="1" t="s">
        <v>57</v>
      </c>
    </row>
    <row r="131" spans="1:3" x14ac:dyDescent="0.4">
      <c r="A131">
        <v>230</v>
      </c>
      <c r="B131" s="1" t="s">
        <v>1037</v>
      </c>
      <c r="C131" s="1" t="s">
        <v>55</v>
      </c>
    </row>
    <row r="132" spans="1:3" x14ac:dyDescent="0.4">
      <c r="A132">
        <v>231</v>
      </c>
      <c r="B132" s="1" t="s">
        <v>1038</v>
      </c>
      <c r="C132" s="1" t="s">
        <v>56</v>
      </c>
    </row>
    <row r="133" spans="1:3" x14ac:dyDescent="0.4">
      <c r="A133">
        <v>232</v>
      </c>
      <c r="B133" s="1" t="s">
        <v>1039</v>
      </c>
      <c r="C133" s="1" t="s">
        <v>57</v>
      </c>
    </row>
    <row r="134" spans="1:3" x14ac:dyDescent="0.4">
      <c r="A134">
        <v>233</v>
      </c>
      <c r="B134" s="1" t="s">
        <v>1037</v>
      </c>
      <c r="C134" s="1" t="s">
        <v>55</v>
      </c>
    </row>
    <row r="135" spans="1:3" x14ac:dyDescent="0.4">
      <c r="A135">
        <v>234</v>
      </c>
      <c r="B135" s="1" t="s">
        <v>1038</v>
      </c>
      <c r="C135" s="1" t="s">
        <v>56</v>
      </c>
    </row>
    <row r="136" spans="1:3" x14ac:dyDescent="0.4">
      <c r="A136">
        <v>235</v>
      </c>
      <c r="B136" s="1" t="s">
        <v>1039</v>
      </c>
      <c r="C136" s="1" t="s">
        <v>57</v>
      </c>
    </row>
    <row r="137" spans="1:3" x14ac:dyDescent="0.4">
      <c r="A137">
        <v>1000</v>
      </c>
      <c r="B137" s="1" t="s">
        <v>1028</v>
      </c>
      <c r="C137" s="1" t="s">
        <v>46</v>
      </c>
    </row>
    <row r="138" spans="1:3" x14ac:dyDescent="0.4">
      <c r="A138">
        <v>1001</v>
      </c>
      <c r="B138" s="1" t="s">
        <v>40</v>
      </c>
      <c r="C138" s="1" t="s">
        <v>40</v>
      </c>
    </row>
    <row r="139" spans="1:3" x14ac:dyDescent="0.4">
      <c r="A139">
        <v>1002</v>
      </c>
      <c r="B139" s="1" t="s">
        <v>40</v>
      </c>
      <c r="C139" s="1" t="s">
        <v>40</v>
      </c>
    </row>
    <row r="140" spans="1:3" x14ac:dyDescent="0.4">
      <c r="A140">
        <v>1003</v>
      </c>
      <c r="B140" s="1" t="s">
        <v>40</v>
      </c>
      <c r="C140" s="1" t="s">
        <v>40</v>
      </c>
    </row>
    <row r="141" spans="1:3" x14ac:dyDescent="0.4">
      <c r="A141">
        <v>1004</v>
      </c>
      <c r="B141" s="1" t="s">
        <v>40</v>
      </c>
      <c r="C141" s="1" t="s">
        <v>40</v>
      </c>
    </row>
    <row r="142" spans="1:3" x14ac:dyDescent="0.4">
      <c r="A142">
        <v>1005</v>
      </c>
      <c r="B142" s="1" t="s">
        <v>40</v>
      </c>
      <c r="C142" s="1" t="s">
        <v>40</v>
      </c>
    </row>
    <row r="143" spans="1:3" x14ac:dyDescent="0.4">
      <c r="A143">
        <v>1006</v>
      </c>
      <c r="B143" s="1" t="s">
        <v>40</v>
      </c>
      <c r="C143" s="1" t="s">
        <v>40</v>
      </c>
    </row>
    <row r="144" spans="1:3" x14ac:dyDescent="0.4">
      <c r="A144">
        <v>1007</v>
      </c>
      <c r="B144" s="1" t="s">
        <v>40</v>
      </c>
      <c r="C144" s="1" t="s">
        <v>40</v>
      </c>
    </row>
    <row r="145" spans="1:3" x14ac:dyDescent="0.4">
      <c r="A145">
        <v>1008</v>
      </c>
      <c r="B145" s="1" t="s">
        <v>40</v>
      </c>
      <c r="C145" s="1" t="s">
        <v>40</v>
      </c>
    </row>
    <row r="146" spans="1:3" x14ac:dyDescent="0.4">
      <c r="A146">
        <v>1009</v>
      </c>
      <c r="B146" s="1" t="s">
        <v>40</v>
      </c>
      <c r="C146" s="1" t="s">
        <v>40</v>
      </c>
    </row>
    <row r="147" spans="1:3" x14ac:dyDescent="0.4">
      <c r="A147">
        <v>1010</v>
      </c>
      <c r="B147" s="1" t="s">
        <v>1031</v>
      </c>
      <c r="C147" s="1" t="s">
        <v>49</v>
      </c>
    </row>
    <row r="148" spans="1:3" x14ac:dyDescent="0.4">
      <c r="A148">
        <v>1011</v>
      </c>
      <c r="B148" s="1" t="s">
        <v>40</v>
      </c>
      <c r="C148" s="1" t="s">
        <v>40</v>
      </c>
    </row>
    <row r="149" spans="1:3" x14ac:dyDescent="0.4">
      <c r="A149">
        <v>1012</v>
      </c>
      <c r="B149" s="1" t="s">
        <v>40</v>
      </c>
      <c r="C149" s="1" t="s">
        <v>40</v>
      </c>
    </row>
    <row r="150" spans="1:3" x14ac:dyDescent="0.4">
      <c r="A150">
        <v>1013</v>
      </c>
      <c r="B150" s="1" t="s">
        <v>40</v>
      </c>
      <c r="C150" s="1" t="s">
        <v>40</v>
      </c>
    </row>
    <row r="151" spans="1:3" x14ac:dyDescent="0.4">
      <c r="A151">
        <v>1014</v>
      </c>
      <c r="B151" s="1" t="s">
        <v>40</v>
      </c>
      <c r="C151" s="1" t="s">
        <v>40</v>
      </c>
    </row>
    <row r="152" spans="1:3" x14ac:dyDescent="0.4">
      <c r="A152">
        <v>1015</v>
      </c>
      <c r="B152" s="1" t="s">
        <v>40</v>
      </c>
      <c r="C152" s="1" t="s">
        <v>40</v>
      </c>
    </row>
    <row r="153" spans="1:3" x14ac:dyDescent="0.4">
      <c r="A153">
        <v>1016</v>
      </c>
      <c r="B153" s="1" t="s">
        <v>40</v>
      </c>
      <c r="C153" s="1" t="s">
        <v>40</v>
      </c>
    </row>
    <row r="154" spans="1:3" x14ac:dyDescent="0.4">
      <c r="A154">
        <v>1017</v>
      </c>
      <c r="B154" s="1" t="s">
        <v>40</v>
      </c>
      <c r="C154" s="1" t="s">
        <v>40</v>
      </c>
    </row>
    <row r="155" spans="1:3" x14ac:dyDescent="0.4">
      <c r="A155">
        <v>1018</v>
      </c>
      <c r="B155" s="1" t="s">
        <v>40</v>
      </c>
      <c r="C155" s="1" t="s">
        <v>40</v>
      </c>
    </row>
    <row r="156" spans="1:3" x14ac:dyDescent="0.4">
      <c r="A156">
        <v>1019</v>
      </c>
      <c r="B156" s="1" t="s">
        <v>40</v>
      </c>
      <c r="C156" s="1" t="s">
        <v>40</v>
      </c>
    </row>
    <row r="157" spans="1:3" x14ac:dyDescent="0.4">
      <c r="A157">
        <v>1020</v>
      </c>
      <c r="B157" s="1" t="s">
        <v>1034</v>
      </c>
      <c r="C157" s="1" t="s">
        <v>52</v>
      </c>
    </row>
    <row r="158" spans="1:3" x14ac:dyDescent="0.4">
      <c r="A158">
        <v>1021</v>
      </c>
      <c r="B158" s="1" t="s">
        <v>40</v>
      </c>
      <c r="C158" s="1" t="s">
        <v>40</v>
      </c>
    </row>
    <row r="159" spans="1:3" x14ac:dyDescent="0.4">
      <c r="A159">
        <v>1022</v>
      </c>
      <c r="B159" s="1" t="s">
        <v>40</v>
      </c>
      <c r="C159" s="1" t="s">
        <v>40</v>
      </c>
    </row>
    <row r="160" spans="1:3" x14ac:dyDescent="0.4">
      <c r="A160">
        <v>1023</v>
      </c>
      <c r="B160" s="1" t="s">
        <v>40</v>
      </c>
      <c r="C160" s="1" t="s">
        <v>40</v>
      </c>
    </row>
    <row r="161" spans="1:3" x14ac:dyDescent="0.4">
      <c r="A161">
        <v>1024</v>
      </c>
      <c r="B161" s="1" t="s">
        <v>40</v>
      </c>
      <c r="C161" s="1" t="s">
        <v>40</v>
      </c>
    </row>
    <row r="162" spans="1:3" x14ac:dyDescent="0.4">
      <c r="A162">
        <v>1025</v>
      </c>
      <c r="B162" s="1" t="s">
        <v>40</v>
      </c>
      <c r="C162" s="1" t="s">
        <v>40</v>
      </c>
    </row>
    <row r="163" spans="1:3" x14ac:dyDescent="0.4">
      <c r="A163">
        <v>1026</v>
      </c>
      <c r="B163" s="1" t="s">
        <v>40</v>
      </c>
      <c r="C163" s="1" t="s">
        <v>40</v>
      </c>
    </row>
    <row r="164" spans="1:3" x14ac:dyDescent="0.4">
      <c r="A164">
        <v>1027</v>
      </c>
      <c r="B164" s="1" t="s">
        <v>40</v>
      </c>
      <c r="C164" s="1" t="s">
        <v>40</v>
      </c>
    </row>
    <row r="165" spans="1:3" x14ac:dyDescent="0.4">
      <c r="A165">
        <v>1028</v>
      </c>
      <c r="B165" s="1" t="s">
        <v>40</v>
      </c>
      <c r="C165" s="1" t="s">
        <v>40</v>
      </c>
    </row>
    <row r="166" spans="1:3" x14ac:dyDescent="0.4">
      <c r="A166">
        <v>1029</v>
      </c>
      <c r="B166" s="1" t="s">
        <v>40</v>
      </c>
      <c r="C166" s="1" t="s">
        <v>40</v>
      </c>
    </row>
    <row r="167" spans="1:3" x14ac:dyDescent="0.4">
      <c r="A167">
        <v>1030</v>
      </c>
      <c r="B167" s="1" t="s">
        <v>1037</v>
      </c>
      <c r="C167" s="1" t="s">
        <v>55</v>
      </c>
    </row>
    <row r="168" spans="1:3" x14ac:dyDescent="0.4">
      <c r="A168">
        <v>1031</v>
      </c>
      <c r="B168" s="1" t="s">
        <v>40</v>
      </c>
      <c r="C168" s="1" t="s">
        <v>40</v>
      </c>
    </row>
    <row r="169" spans="1:3" x14ac:dyDescent="0.4">
      <c r="A169">
        <v>1032</v>
      </c>
      <c r="B169" s="1" t="s">
        <v>40</v>
      </c>
      <c r="C169" s="1" t="s">
        <v>40</v>
      </c>
    </row>
    <row r="170" spans="1:3" x14ac:dyDescent="0.4">
      <c r="A170">
        <v>1033</v>
      </c>
      <c r="B170" s="1" t="s">
        <v>40</v>
      </c>
      <c r="C170" s="1" t="s">
        <v>40</v>
      </c>
    </row>
    <row r="171" spans="1:3" x14ac:dyDescent="0.4">
      <c r="A171">
        <v>1034</v>
      </c>
      <c r="B171" s="1" t="s">
        <v>40</v>
      </c>
      <c r="C171" s="1" t="s">
        <v>40</v>
      </c>
    </row>
    <row r="172" spans="1:3" x14ac:dyDescent="0.4">
      <c r="A172">
        <v>1035</v>
      </c>
      <c r="B172" s="1" t="s">
        <v>40</v>
      </c>
      <c r="C172" s="1" t="s">
        <v>40</v>
      </c>
    </row>
    <row r="173" spans="1:3" x14ac:dyDescent="0.4">
      <c r="A173">
        <v>1036</v>
      </c>
      <c r="B173" s="1" t="s">
        <v>40</v>
      </c>
      <c r="C173" s="1" t="s">
        <v>40</v>
      </c>
    </row>
    <row r="174" spans="1:3" x14ac:dyDescent="0.4">
      <c r="A174">
        <v>1037</v>
      </c>
      <c r="B174" s="1" t="s">
        <v>40</v>
      </c>
      <c r="C174" s="1" t="s">
        <v>40</v>
      </c>
    </row>
    <row r="175" spans="1:3" x14ac:dyDescent="0.4">
      <c r="A175">
        <v>1038</v>
      </c>
      <c r="B175" s="1" t="s">
        <v>40</v>
      </c>
      <c r="C175" s="1" t="s">
        <v>40</v>
      </c>
    </row>
    <row r="176" spans="1:3" x14ac:dyDescent="0.4">
      <c r="A176">
        <v>1039</v>
      </c>
      <c r="B176" s="1" t="s">
        <v>40</v>
      </c>
      <c r="C176" s="1" t="s">
        <v>40</v>
      </c>
    </row>
    <row r="177" spans="1:3" x14ac:dyDescent="0.4">
      <c r="A177">
        <v>1040</v>
      </c>
      <c r="B177" s="1" t="s">
        <v>1029</v>
      </c>
      <c r="C177" s="1" t="s">
        <v>47</v>
      </c>
    </row>
    <row r="178" spans="1:3" x14ac:dyDescent="0.4">
      <c r="A178">
        <v>1041</v>
      </c>
      <c r="B178" s="1" t="s">
        <v>40</v>
      </c>
      <c r="C178" s="1" t="s">
        <v>40</v>
      </c>
    </row>
    <row r="179" spans="1:3" x14ac:dyDescent="0.4">
      <c r="A179">
        <v>1042</v>
      </c>
      <c r="B179" s="1" t="s">
        <v>40</v>
      </c>
      <c r="C179" s="1" t="s">
        <v>40</v>
      </c>
    </row>
    <row r="180" spans="1:3" x14ac:dyDescent="0.4">
      <c r="A180">
        <v>1043</v>
      </c>
      <c r="B180" s="1" t="s">
        <v>40</v>
      </c>
      <c r="C180" s="1" t="s">
        <v>40</v>
      </c>
    </row>
    <row r="181" spans="1:3" x14ac:dyDescent="0.4">
      <c r="A181">
        <v>1044</v>
      </c>
      <c r="B181" s="1" t="s">
        <v>40</v>
      </c>
      <c r="C181" s="1" t="s">
        <v>40</v>
      </c>
    </row>
    <row r="182" spans="1:3" x14ac:dyDescent="0.4">
      <c r="A182">
        <v>1045</v>
      </c>
      <c r="B182" s="1" t="s">
        <v>40</v>
      </c>
      <c r="C182" s="1" t="s">
        <v>40</v>
      </c>
    </row>
    <row r="183" spans="1:3" x14ac:dyDescent="0.4">
      <c r="A183">
        <v>1046</v>
      </c>
      <c r="B183" s="1" t="s">
        <v>40</v>
      </c>
      <c r="C183" s="1" t="s">
        <v>40</v>
      </c>
    </row>
    <row r="184" spans="1:3" x14ac:dyDescent="0.4">
      <c r="A184">
        <v>1047</v>
      </c>
      <c r="B184" s="1" t="s">
        <v>40</v>
      </c>
      <c r="C184" s="1" t="s">
        <v>40</v>
      </c>
    </row>
    <row r="185" spans="1:3" x14ac:dyDescent="0.4">
      <c r="A185">
        <v>1048</v>
      </c>
      <c r="B185" s="1" t="s">
        <v>40</v>
      </c>
      <c r="C185" s="1" t="s">
        <v>40</v>
      </c>
    </row>
    <row r="186" spans="1:3" x14ac:dyDescent="0.4">
      <c r="A186">
        <v>1049</v>
      </c>
      <c r="B186" s="1" t="s">
        <v>40</v>
      </c>
      <c r="C186" s="1" t="s">
        <v>40</v>
      </c>
    </row>
    <row r="187" spans="1:3" x14ac:dyDescent="0.4">
      <c r="A187">
        <v>1050</v>
      </c>
      <c r="B187" s="1" t="s">
        <v>1034</v>
      </c>
      <c r="C187" s="1" t="s">
        <v>52</v>
      </c>
    </row>
    <row r="188" spans="1:3" x14ac:dyDescent="0.4">
      <c r="A188">
        <v>1051</v>
      </c>
      <c r="B188" s="1" t="s">
        <v>40</v>
      </c>
      <c r="C188" s="1" t="s">
        <v>40</v>
      </c>
    </row>
    <row r="189" spans="1:3" x14ac:dyDescent="0.4">
      <c r="A189">
        <v>1052</v>
      </c>
      <c r="B189" s="1" t="s">
        <v>40</v>
      </c>
      <c r="C189" s="1" t="s">
        <v>40</v>
      </c>
    </row>
    <row r="190" spans="1:3" x14ac:dyDescent="0.4">
      <c r="A190">
        <v>1053</v>
      </c>
      <c r="B190" s="1" t="s">
        <v>40</v>
      </c>
      <c r="C190" s="1" t="s">
        <v>40</v>
      </c>
    </row>
    <row r="191" spans="1:3" x14ac:dyDescent="0.4">
      <c r="A191">
        <v>1054</v>
      </c>
      <c r="B191" s="1" t="s">
        <v>40</v>
      </c>
      <c r="C191" s="1" t="s">
        <v>40</v>
      </c>
    </row>
    <row r="192" spans="1:3" x14ac:dyDescent="0.4">
      <c r="A192">
        <v>1055</v>
      </c>
      <c r="B192" s="1" t="s">
        <v>40</v>
      </c>
      <c r="C192" s="1" t="s">
        <v>40</v>
      </c>
    </row>
    <row r="193" spans="1:3" x14ac:dyDescent="0.4">
      <c r="A193">
        <v>1056</v>
      </c>
      <c r="B193" s="1" t="s">
        <v>40</v>
      </c>
      <c r="C193" s="1" t="s">
        <v>40</v>
      </c>
    </row>
    <row r="194" spans="1:3" x14ac:dyDescent="0.4">
      <c r="A194">
        <v>1057</v>
      </c>
      <c r="B194" s="1" t="s">
        <v>40</v>
      </c>
      <c r="C194" s="1" t="s">
        <v>40</v>
      </c>
    </row>
    <row r="195" spans="1:3" x14ac:dyDescent="0.4">
      <c r="A195">
        <v>1058</v>
      </c>
      <c r="B195" s="1" t="s">
        <v>40</v>
      </c>
      <c r="C195" s="1" t="s">
        <v>40</v>
      </c>
    </row>
    <row r="196" spans="1:3" x14ac:dyDescent="0.4">
      <c r="A196">
        <v>1059</v>
      </c>
      <c r="B196" s="1" t="s">
        <v>40</v>
      </c>
      <c r="C196" s="1" t="s">
        <v>40</v>
      </c>
    </row>
    <row r="197" spans="1:3" x14ac:dyDescent="0.4">
      <c r="A197">
        <v>1060</v>
      </c>
      <c r="B197" s="1" t="s">
        <v>1038</v>
      </c>
      <c r="C197" s="1" t="s">
        <v>56</v>
      </c>
    </row>
    <row r="198" spans="1:3" x14ac:dyDescent="0.4">
      <c r="A198">
        <v>1061</v>
      </c>
      <c r="B198" s="1" t="s">
        <v>40</v>
      </c>
      <c r="C198" s="1" t="s">
        <v>40</v>
      </c>
    </row>
    <row r="199" spans="1:3" x14ac:dyDescent="0.4">
      <c r="A199">
        <v>1062</v>
      </c>
      <c r="B199" s="1" t="s">
        <v>40</v>
      </c>
      <c r="C199" s="1" t="s">
        <v>40</v>
      </c>
    </row>
    <row r="200" spans="1:3" x14ac:dyDescent="0.4">
      <c r="A200">
        <v>1063</v>
      </c>
      <c r="B200" s="1" t="s">
        <v>40</v>
      </c>
      <c r="C200" s="1" t="s">
        <v>40</v>
      </c>
    </row>
    <row r="201" spans="1:3" x14ac:dyDescent="0.4">
      <c r="A201">
        <v>1064</v>
      </c>
      <c r="B201" s="1" t="s">
        <v>40</v>
      </c>
      <c r="C201" s="1" t="s">
        <v>40</v>
      </c>
    </row>
    <row r="202" spans="1:3" x14ac:dyDescent="0.4">
      <c r="A202">
        <v>1065</v>
      </c>
      <c r="B202" s="1" t="s">
        <v>40</v>
      </c>
      <c r="C202" s="1" t="s">
        <v>40</v>
      </c>
    </row>
    <row r="203" spans="1:3" x14ac:dyDescent="0.4">
      <c r="A203">
        <v>1066</v>
      </c>
      <c r="B203" s="1" t="s">
        <v>40</v>
      </c>
      <c r="C203" s="1" t="s">
        <v>40</v>
      </c>
    </row>
    <row r="204" spans="1:3" x14ac:dyDescent="0.4">
      <c r="A204">
        <v>1067</v>
      </c>
      <c r="B204" s="1" t="s">
        <v>40</v>
      </c>
      <c r="C204" s="1" t="s">
        <v>40</v>
      </c>
    </row>
    <row r="205" spans="1:3" x14ac:dyDescent="0.4">
      <c r="A205">
        <v>1068</v>
      </c>
      <c r="B205" s="1" t="s">
        <v>40</v>
      </c>
      <c r="C205" s="1" t="s">
        <v>40</v>
      </c>
    </row>
    <row r="206" spans="1:3" x14ac:dyDescent="0.4">
      <c r="A206">
        <v>1069</v>
      </c>
      <c r="B206" s="1" t="s">
        <v>40</v>
      </c>
      <c r="C206" s="1" t="s">
        <v>40</v>
      </c>
    </row>
    <row r="207" spans="1:3" x14ac:dyDescent="0.4">
      <c r="A207">
        <v>1070</v>
      </c>
      <c r="B207" s="1" t="s">
        <v>1032</v>
      </c>
      <c r="C207" s="1" t="s">
        <v>50</v>
      </c>
    </row>
    <row r="208" spans="1:3" x14ac:dyDescent="0.4">
      <c r="A208">
        <v>1071</v>
      </c>
      <c r="B208" s="1" t="s">
        <v>40</v>
      </c>
      <c r="C208" s="1" t="s">
        <v>40</v>
      </c>
    </row>
    <row r="209" spans="1:3" x14ac:dyDescent="0.4">
      <c r="A209">
        <v>1072</v>
      </c>
      <c r="B209" s="1" t="s">
        <v>40</v>
      </c>
      <c r="C209" s="1" t="s">
        <v>40</v>
      </c>
    </row>
    <row r="210" spans="1:3" x14ac:dyDescent="0.4">
      <c r="A210">
        <v>1073</v>
      </c>
      <c r="B210" s="1" t="s">
        <v>40</v>
      </c>
      <c r="C210" s="1" t="s">
        <v>40</v>
      </c>
    </row>
    <row r="211" spans="1:3" x14ac:dyDescent="0.4">
      <c r="A211">
        <v>1074</v>
      </c>
      <c r="B211" s="1" t="s">
        <v>40</v>
      </c>
      <c r="C211" s="1" t="s">
        <v>40</v>
      </c>
    </row>
    <row r="212" spans="1:3" x14ac:dyDescent="0.4">
      <c r="A212">
        <v>1075</v>
      </c>
      <c r="B212" s="1" t="s">
        <v>40</v>
      </c>
      <c r="C212" s="1" t="s">
        <v>40</v>
      </c>
    </row>
    <row r="213" spans="1:3" x14ac:dyDescent="0.4">
      <c r="A213">
        <v>1076</v>
      </c>
      <c r="B213" s="1" t="s">
        <v>40</v>
      </c>
      <c r="C213" s="1" t="s">
        <v>40</v>
      </c>
    </row>
    <row r="214" spans="1:3" x14ac:dyDescent="0.4">
      <c r="A214">
        <v>1077</v>
      </c>
      <c r="B214" s="1" t="s">
        <v>40</v>
      </c>
      <c r="C214" s="1" t="s">
        <v>40</v>
      </c>
    </row>
    <row r="215" spans="1:3" x14ac:dyDescent="0.4">
      <c r="A215">
        <v>1078</v>
      </c>
      <c r="B215" s="1" t="s">
        <v>40</v>
      </c>
      <c r="C215" s="1" t="s">
        <v>40</v>
      </c>
    </row>
    <row r="216" spans="1:3" x14ac:dyDescent="0.4">
      <c r="A216">
        <v>1079</v>
      </c>
      <c r="B216" s="1" t="s">
        <v>40</v>
      </c>
      <c r="C216" s="1" t="s">
        <v>40</v>
      </c>
    </row>
    <row r="217" spans="1:3" x14ac:dyDescent="0.4">
      <c r="A217">
        <v>1080</v>
      </c>
      <c r="B217" s="1" t="s">
        <v>1029</v>
      </c>
      <c r="C217" s="1" t="s">
        <v>47</v>
      </c>
    </row>
    <row r="218" spans="1:3" x14ac:dyDescent="0.4">
      <c r="A218">
        <v>1081</v>
      </c>
      <c r="B218" s="1" t="s">
        <v>40</v>
      </c>
      <c r="C218" s="1" t="s">
        <v>40</v>
      </c>
    </row>
    <row r="219" spans="1:3" x14ac:dyDescent="0.4">
      <c r="A219">
        <v>1082</v>
      </c>
      <c r="B219" s="1" t="s">
        <v>40</v>
      </c>
      <c r="C219" s="1" t="s">
        <v>40</v>
      </c>
    </row>
    <row r="220" spans="1:3" x14ac:dyDescent="0.4">
      <c r="A220">
        <v>1083</v>
      </c>
      <c r="B220" s="1" t="s">
        <v>40</v>
      </c>
      <c r="C220" s="1" t="s">
        <v>40</v>
      </c>
    </row>
    <row r="221" spans="1:3" x14ac:dyDescent="0.4">
      <c r="A221">
        <v>1084</v>
      </c>
      <c r="B221" s="1" t="s">
        <v>40</v>
      </c>
      <c r="C221" s="1" t="s">
        <v>40</v>
      </c>
    </row>
    <row r="222" spans="1:3" x14ac:dyDescent="0.4">
      <c r="A222">
        <v>1085</v>
      </c>
      <c r="B222" s="1" t="s">
        <v>40</v>
      </c>
      <c r="C222" s="1" t="s">
        <v>40</v>
      </c>
    </row>
    <row r="223" spans="1:3" x14ac:dyDescent="0.4">
      <c r="A223">
        <v>1086</v>
      </c>
      <c r="B223" s="1" t="s">
        <v>40</v>
      </c>
      <c r="C223" s="1" t="s">
        <v>40</v>
      </c>
    </row>
    <row r="224" spans="1:3" x14ac:dyDescent="0.4">
      <c r="A224">
        <v>1087</v>
      </c>
      <c r="B224" s="1" t="s">
        <v>40</v>
      </c>
      <c r="C224" s="1" t="s">
        <v>40</v>
      </c>
    </row>
    <row r="225" spans="1:3" x14ac:dyDescent="0.4">
      <c r="A225">
        <v>1088</v>
      </c>
      <c r="B225" s="1" t="s">
        <v>40</v>
      </c>
      <c r="C225" s="1" t="s">
        <v>40</v>
      </c>
    </row>
    <row r="226" spans="1:3" x14ac:dyDescent="0.4">
      <c r="A226">
        <v>1089</v>
      </c>
      <c r="B226" s="1" t="s">
        <v>40</v>
      </c>
      <c r="C226" s="1" t="s">
        <v>40</v>
      </c>
    </row>
    <row r="227" spans="1:3" x14ac:dyDescent="0.4">
      <c r="A227">
        <v>1090</v>
      </c>
      <c r="B227" s="1" t="s">
        <v>1038</v>
      </c>
      <c r="C227" s="1" t="s">
        <v>56</v>
      </c>
    </row>
    <row r="228" spans="1:3" x14ac:dyDescent="0.4">
      <c r="A228">
        <v>1091</v>
      </c>
      <c r="B228" s="1" t="s">
        <v>40</v>
      </c>
      <c r="C228" s="1" t="s">
        <v>40</v>
      </c>
    </row>
    <row r="229" spans="1:3" x14ac:dyDescent="0.4">
      <c r="A229">
        <v>1092</v>
      </c>
      <c r="B229" s="1" t="s">
        <v>40</v>
      </c>
      <c r="C229" s="1" t="s">
        <v>40</v>
      </c>
    </row>
    <row r="230" spans="1:3" x14ac:dyDescent="0.4">
      <c r="A230">
        <v>1093</v>
      </c>
      <c r="B230" s="1" t="s">
        <v>40</v>
      </c>
      <c r="C230" s="1" t="s">
        <v>40</v>
      </c>
    </row>
    <row r="231" spans="1:3" x14ac:dyDescent="0.4">
      <c r="A231">
        <v>1094</v>
      </c>
      <c r="B231" s="1" t="s">
        <v>40</v>
      </c>
      <c r="C231" s="1" t="s">
        <v>40</v>
      </c>
    </row>
    <row r="232" spans="1:3" x14ac:dyDescent="0.4">
      <c r="A232">
        <v>1095</v>
      </c>
      <c r="B232" s="1" t="s">
        <v>40</v>
      </c>
      <c r="C232" s="1" t="s">
        <v>40</v>
      </c>
    </row>
    <row r="233" spans="1:3" x14ac:dyDescent="0.4">
      <c r="A233">
        <v>1096</v>
      </c>
      <c r="B233" s="1" t="s">
        <v>40</v>
      </c>
      <c r="C233" s="1" t="s">
        <v>40</v>
      </c>
    </row>
    <row r="234" spans="1:3" x14ac:dyDescent="0.4">
      <c r="A234">
        <v>1097</v>
      </c>
      <c r="B234" s="1" t="s">
        <v>40</v>
      </c>
      <c r="C234" s="1" t="s">
        <v>40</v>
      </c>
    </row>
    <row r="235" spans="1:3" x14ac:dyDescent="0.4">
      <c r="A235">
        <v>1098</v>
      </c>
      <c r="B235" s="1" t="s">
        <v>40</v>
      </c>
      <c r="C235" s="1" t="s">
        <v>40</v>
      </c>
    </row>
    <row r="236" spans="1:3" x14ac:dyDescent="0.4">
      <c r="A236">
        <v>1099</v>
      </c>
      <c r="B236" s="1" t="s">
        <v>40</v>
      </c>
      <c r="C236" s="1" t="s">
        <v>40</v>
      </c>
    </row>
    <row r="237" spans="1:3" x14ac:dyDescent="0.4">
      <c r="A237">
        <v>1100</v>
      </c>
      <c r="B237" s="1" t="s">
        <v>1038</v>
      </c>
      <c r="C237" s="1" t="s">
        <v>56</v>
      </c>
    </row>
    <row r="238" spans="1:3" x14ac:dyDescent="0.4">
      <c r="A238">
        <v>1101</v>
      </c>
      <c r="B238" s="1" t="s">
        <v>40</v>
      </c>
      <c r="C238" s="1" t="s">
        <v>40</v>
      </c>
    </row>
    <row r="239" spans="1:3" x14ac:dyDescent="0.4">
      <c r="A239">
        <v>1102</v>
      </c>
      <c r="B239" s="1" t="s">
        <v>40</v>
      </c>
      <c r="C239" s="1" t="s">
        <v>40</v>
      </c>
    </row>
    <row r="240" spans="1:3" x14ac:dyDescent="0.4">
      <c r="A240">
        <v>1103</v>
      </c>
      <c r="B240" s="1" t="s">
        <v>40</v>
      </c>
      <c r="C240" s="1" t="s">
        <v>40</v>
      </c>
    </row>
    <row r="241" spans="1:3" x14ac:dyDescent="0.4">
      <c r="A241">
        <v>1104</v>
      </c>
      <c r="B241" s="1" t="s">
        <v>40</v>
      </c>
      <c r="C241" s="1" t="s">
        <v>40</v>
      </c>
    </row>
    <row r="242" spans="1:3" x14ac:dyDescent="0.4">
      <c r="A242">
        <v>1105</v>
      </c>
      <c r="B242" s="1" t="s">
        <v>40</v>
      </c>
      <c r="C242" s="1" t="s">
        <v>40</v>
      </c>
    </row>
    <row r="243" spans="1:3" x14ac:dyDescent="0.4">
      <c r="A243">
        <v>1106</v>
      </c>
      <c r="B243" s="1" t="s">
        <v>40</v>
      </c>
      <c r="C243" s="1" t="s">
        <v>40</v>
      </c>
    </row>
    <row r="244" spans="1:3" x14ac:dyDescent="0.4">
      <c r="A244">
        <v>1107</v>
      </c>
      <c r="B244" s="1" t="s">
        <v>40</v>
      </c>
      <c r="C244" s="1" t="s">
        <v>40</v>
      </c>
    </row>
    <row r="245" spans="1:3" x14ac:dyDescent="0.4">
      <c r="A245">
        <v>1108</v>
      </c>
      <c r="B245" s="1" t="s">
        <v>40</v>
      </c>
      <c r="C245" s="1" t="s">
        <v>40</v>
      </c>
    </row>
    <row r="246" spans="1:3" x14ac:dyDescent="0.4">
      <c r="A246">
        <v>1109</v>
      </c>
      <c r="B246" s="1" t="s">
        <v>40</v>
      </c>
      <c r="C246" s="1" t="s">
        <v>40</v>
      </c>
    </row>
    <row r="247" spans="1:3" x14ac:dyDescent="0.4">
      <c r="A247">
        <v>1110</v>
      </c>
      <c r="B247" s="1" t="s">
        <v>1029</v>
      </c>
      <c r="C247" s="1" t="s">
        <v>47</v>
      </c>
    </row>
    <row r="248" spans="1:3" x14ac:dyDescent="0.4">
      <c r="A248">
        <v>1111</v>
      </c>
      <c r="B248" s="1" t="s">
        <v>40</v>
      </c>
      <c r="C248" s="1" t="s">
        <v>40</v>
      </c>
    </row>
    <row r="249" spans="1:3" x14ac:dyDescent="0.4">
      <c r="A249">
        <v>1112</v>
      </c>
      <c r="B249" s="1" t="s">
        <v>40</v>
      </c>
      <c r="C249" s="1" t="s">
        <v>40</v>
      </c>
    </row>
    <row r="250" spans="1:3" x14ac:dyDescent="0.4">
      <c r="A250">
        <v>1113</v>
      </c>
      <c r="B250" s="1" t="s">
        <v>40</v>
      </c>
      <c r="C250" s="1" t="s">
        <v>40</v>
      </c>
    </row>
    <row r="251" spans="1:3" x14ac:dyDescent="0.4">
      <c r="A251">
        <v>1114</v>
      </c>
      <c r="B251" s="1" t="s">
        <v>40</v>
      </c>
      <c r="C251" s="1" t="s">
        <v>40</v>
      </c>
    </row>
    <row r="252" spans="1:3" x14ac:dyDescent="0.4">
      <c r="A252">
        <v>1115</v>
      </c>
      <c r="B252" s="1" t="s">
        <v>40</v>
      </c>
      <c r="C252" s="1" t="s">
        <v>40</v>
      </c>
    </row>
    <row r="253" spans="1:3" x14ac:dyDescent="0.4">
      <c r="A253">
        <v>1116</v>
      </c>
      <c r="B253" s="1" t="s">
        <v>40</v>
      </c>
      <c r="C253" s="1" t="s">
        <v>40</v>
      </c>
    </row>
    <row r="254" spans="1:3" x14ac:dyDescent="0.4">
      <c r="A254">
        <v>1117</v>
      </c>
      <c r="B254" s="1" t="s">
        <v>40</v>
      </c>
      <c r="C254" s="1" t="s">
        <v>40</v>
      </c>
    </row>
    <row r="255" spans="1:3" x14ac:dyDescent="0.4">
      <c r="A255">
        <v>1118</v>
      </c>
      <c r="B255" s="1" t="s">
        <v>40</v>
      </c>
      <c r="C255" s="1" t="s">
        <v>40</v>
      </c>
    </row>
    <row r="256" spans="1:3" x14ac:dyDescent="0.4">
      <c r="A256">
        <v>1119</v>
      </c>
      <c r="B256" s="1" t="s">
        <v>40</v>
      </c>
      <c r="C256" s="1" t="s">
        <v>40</v>
      </c>
    </row>
    <row r="257" spans="1:3" x14ac:dyDescent="0.4">
      <c r="A257">
        <v>1120</v>
      </c>
      <c r="B257" s="1" t="s">
        <v>1029</v>
      </c>
      <c r="C257" s="1" t="s">
        <v>47</v>
      </c>
    </row>
    <row r="258" spans="1:3" x14ac:dyDescent="0.4">
      <c r="A258">
        <v>1121</v>
      </c>
      <c r="B258" s="1" t="s">
        <v>40</v>
      </c>
      <c r="C258" s="1" t="s">
        <v>40</v>
      </c>
    </row>
    <row r="259" spans="1:3" x14ac:dyDescent="0.4">
      <c r="A259">
        <v>1122</v>
      </c>
      <c r="B259" s="1" t="s">
        <v>40</v>
      </c>
      <c r="C259" s="1" t="s">
        <v>40</v>
      </c>
    </row>
    <row r="260" spans="1:3" x14ac:dyDescent="0.4">
      <c r="A260">
        <v>1123</v>
      </c>
      <c r="B260" s="1" t="s">
        <v>40</v>
      </c>
      <c r="C260" s="1" t="s">
        <v>40</v>
      </c>
    </row>
    <row r="261" spans="1:3" x14ac:dyDescent="0.4">
      <c r="A261">
        <v>1124</v>
      </c>
      <c r="B261" s="1" t="s">
        <v>40</v>
      </c>
      <c r="C261" s="1" t="s">
        <v>40</v>
      </c>
    </row>
    <row r="262" spans="1:3" x14ac:dyDescent="0.4">
      <c r="A262">
        <v>1125</v>
      </c>
      <c r="B262" s="1" t="s">
        <v>40</v>
      </c>
      <c r="C262" s="1" t="s">
        <v>40</v>
      </c>
    </row>
    <row r="263" spans="1:3" x14ac:dyDescent="0.4">
      <c r="A263">
        <v>1126</v>
      </c>
      <c r="B263" s="1" t="s">
        <v>40</v>
      </c>
      <c r="C263" s="1" t="s">
        <v>40</v>
      </c>
    </row>
    <row r="264" spans="1:3" x14ac:dyDescent="0.4">
      <c r="A264">
        <v>1127</v>
      </c>
      <c r="B264" s="1" t="s">
        <v>40</v>
      </c>
      <c r="C264" s="1" t="s">
        <v>40</v>
      </c>
    </row>
    <row r="265" spans="1:3" x14ac:dyDescent="0.4">
      <c r="A265">
        <v>1128</v>
      </c>
      <c r="B265" s="1" t="s">
        <v>40</v>
      </c>
      <c r="C265" s="1" t="s">
        <v>40</v>
      </c>
    </row>
    <row r="266" spans="1:3" x14ac:dyDescent="0.4">
      <c r="A266">
        <v>1129</v>
      </c>
      <c r="B266" s="1" t="s">
        <v>40</v>
      </c>
      <c r="C266" s="1" t="s">
        <v>40</v>
      </c>
    </row>
    <row r="267" spans="1:3" x14ac:dyDescent="0.4">
      <c r="A267">
        <v>1130</v>
      </c>
      <c r="B267" s="1" t="s">
        <v>1038</v>
      </c>
      <c r="C267" s="1" t="s">
        <v>56</v>
      </c>
    </row>
    <row r="268" spans="1:3" x14ac:dyDescent="0.4">
      <c r="A268">
        <v>1131</v>
      </c>
      <c r="B268" s="1" t="s">
        <v>40</v>
      </c>
      <c r="C268" s="1" t="s">
        <v>40</v>
      </c>
    </row>
    <row r="269" spans="1:3" x14ac:dyDescent="0.4">
      <c r="A269">
        <v>1132</v>
      </c>
      <c r="B269" s="1" t="s">
        <v>40</v>
      </c>
      <c r="C269" s="1" t="s">
        <v>40</v>
      </c>
    </row>
    <row r="270" spans="1:3" x14ac:dyDescent="0.4">
      <c r="A270">
        <v>1133</v>
      </c>
      <c r="B270" s="1" t="s">
        <v>40</v>
      </c>
      <c r="C270" s="1" t="s">
        <v>40</v>
      </c>
    </row>
    <row r="271" spans="1:3" x14ac:dyDescent="0.4">
      <c r="A271">
        <v>1134</v>
      </c>
      <c r="B271" s="1" t="s">
        <v>40</v>
      </c>
      <c r="C271" s="1" t="s">
        <v>40</v>
      </c>
    </row>
    <row r="272" spans="1:3" x14ac:dyDescent="0.4">
      <c r="A272">
        <v>1135</v>
      </c>
      <c r="B272" s="1" t="s">
        <v>40</v>
      </c>
      <c r="C272" s="1" t="s">
        <v>40</v>
      </c>
    </row>
    <row r="273" spans="1:3" x14ac:dyDescent="0.4">
      <c r="A273">
        <v>1136</v>
      </c>
      <c r="B273" s="1" t="s">
        <v>40</v>
      </c>
      <c r="C273" s="1" t="s">
        <v>40</v>
      </c>
    </row>
    <row r="274" spans="1:3" x14ac:dyDescent="0.4">
      <c r="A274">
        <v>1137</v>
      </c>
      <c r="B274" s="1" t="s">
        <v>40</v>
      </c>
      <c r="C274" s="1" t="s">
        <v>40</v>
      </c>
    </row>
    <row r="275" spans="1:3" x14ac:dyDescent="0.4">
      <c r="A275">
        <v>1138</v>
      </c>
      <c r="B275" s="1" t="s">
        <v>40</v>
      </c>
      <c r="C275" s="1" t="s">
        <v>40</v>
      </c>
    </row>
    <row r="276" spans="1:3" x14ac:dyDescent="0.4">
      <c r="A276">
        <v>1139</v>
      </c>
      <c r="B276" s="1" t="s">
        <v>40</v>
      </c>
      <c r="C276" s="1" t="s">
        <v>40</v>
      </c>
    </row>
    <row r="277" spans="1:3" x14ac:dyDescent="0.4">
      <c r="A277">
        <v>1140</v>
      </c>
      <c r="B277" s="1" t="s">
        <v>1035</v>
      </c>
      <c r="C277" s="1" t="s">
        <v>53</v>
      </c>
    </row>
    <row r="278" spans="1:3" x14ac:dyDescent="0.4">
      <c r="A278">
        <v>1141</v>
      </c>
      <c r="B278" s="1" t="s">
        <v>40</v>
      </c>
      <c r="C278" s="1" t="s">
        <v>40</v>
      </c>
    </row>
    <row r="279" spans="1:3" x14ac:dyDescent="0.4">
      <c r="A279">
        <v>1142</v>
      </c>
      <c r="B279" s="1" t="s">
        <v>40</v>
      </c>
      <c r="C279" s="1" t="s">
        <v>40</v>
      </c>
    </row>
    <row r="280" spans="1:3" x14ac:dyDescent="0.4">
      <c r="A280">
        <v>1143</v>
      </c>
      <c r="B280" s="1" t="s">
        <v>40</v>
      </c>
      <c r="C280" s="1" t="s">
        <v>40</v>
      </c>
    </row>
    <row r="281" spans="1:3" x14ac:dyDescent="0.4">
      <c r="A281">
        <v>1144</v>
      </c>
      <c r="B281" s="1" t="s">
        <v>40</v>
      </c>
      <c r="C281" s="1" t="s">
        <v>40</v>
      </c>
    </row>
    <row r="282" spans="1:3" x14ac:dyDescent="0.4">
      <c r="A282">
        <v>1145</v>
      </c>
      <c r="B282" s="1" t="s">
        <v>40</v>
      </c>
      <c r="C282" s="1" t="s">
        <v>40</v>
      </c>
    </row>
    <row r="283" spans="1:3" x14ac:dyDescent="0.4">
      <c r="A283">
        <v>1146</v>
      </c>
      <c r="B283" s="1" t="s">
        <v>40</v>
      </c>
      <c r="C283" s="1" t="s">
        <v>40</v>
      </c>
    </row>
    <row r="284" spans="1:3" x14ac:dyDescent="0.4">
      <c r="A284">
        <v>1147</v>
      </c>
      <c r="B284" s="1" t="s">
        <v>40</v>
      </c>
      <c r="C284" s="1" t="s">
        <v>40</v>
      </c>
    </row>
    <row r="285" spans="1:3" x14ac:dyDescent="0.4">
      <c r="A285">
        <v>1148</v>
      </c>
      <c r="B285" s="1" t="s">
        <v>40</v>
      </c>
      <c r="C285" s="1" t="s">
        <v>40</v>
      </c>
    </row>
    <row r="286" spans="1:3" x14ac:dyDescent="0.4">
      <c r="A286">
        <v>1149</v>
      </c>
      <c r="B286" s="1" t="s">
        <v>40</v>
      </c>
      <c r="C286" s="1" t="s">
        <v>40</v>
      </c>
    </row>
    <row r="287" spans="1:3" x14ac:dyDescent="0.4">
      <c r="A287">
        <v>1150</v>
      </c>
      <c r="B287" s="1" t="s">
        <v>1035</v>
      </c>
      <c r="C287" s="1" t="s">
        <v>53</v>
      </c>
    </row>
    <row r="288" spans="1:3" x14ac:dyDescent="0.4">
      <c r="A288">
        <v>1151</v>
      </c>
      <c r="B288" s="1" t="s">
        <v>40</v>
      </c>
      <c r="C288" s="1" t="s">
        <v>40</v>
      </c>
    </row>
    <row r="289" spans="1:3" x14ac:dyDescent="0.4">
      <c r="A289">
        <v>1152</v>
      </c>
      <c r="B289" s="1" t="s">
        <v>40</v>
      </c>
      <c r="C289" s="1" t="s">
        <v>40</v>
      </c>
    </row>
    <row r="290" spans="1:3" x14ac:dyDescent="0.4">
      <c r="A290">
        <v>1153</v>
      </c>
      <c r="B290" s="1" t="s">
        <v>40</v>
      </c>
      <c r="C290" s="1" t="s">
        <v>40</v>
      </c>
    </row>
    <row r="291" spans="1:3" x14ac:dyDescent="0.4">
      <c r="A291">
        <v>1154</v>
      </c>
      <c r="B291" s="1" t="s">
        <v>40</v>
      </c>
      <c r="C291" s="1" t="s">
        <v>40</v>
      </c>
    </row>
    <row r="292" spans="1:3" x14ac:dyDescent="0.4">
      <c r="A292">
        <v>1155</v>
      </c>
      <c r="B292" s="1" t="s">
        <v>40</v>
      </c>
      <c r="C292" s="1" t="s">
        <v>40</v>
      </c>
    </row>
    <row r="293" spans="1:3" x14ac:dyDescent="0.4">
      <c r="A293">
        <v>1156</v>
      </c>
      <c r="B293" s="1" t="s">
        <v>40</v>
      </c>
      <c r="C293" s="1" t="s">
        <v>40</v>
      </c>
    </row>
    <row r="294" spans="1:3" x14ac:dyDescent="0.4">
      <c r="A294">
        <v>1157</v>
      </c>
      <c r="B294" s="1" t="s">
        <v>40</v>
      </c>
      <c r="C294" s="1" t="s">
        <v>40</v>
      </c>
    </row>
    <row r="295" spans="1:3" x14ac:dyDescent="0.4">
      <c r="A295">
        <v>1158</v>
      </c>
      <c r="B295" s="1" t="s">
        <v>40</v>
      </c>
      <c r="C295" s="1" t="s">
        <v>40</v>
      </c>
    </row>
    <row r="296" spans="1:3" x14ac:dyDescent="0.4">
      <c r="A296">
        <v>1159</v>
      </c>
      <c r="B296" s="1" t="s">
        <v>40</v>
      </c>
      <c r="C296" s="1" t="s">
        <v>40</v>
      </c>
    </row>
    <row r="297" spans="1:3" x14ac:dyDescent="0.4">
      <c r="A297">
        <v>1160</v>
      </c>
      <c r="B297" s="1" t="s">
        <v>1032</v>
      </c>
      <c r="C297" s="1" t="s">
        <v>50</v>
      </c>
    </row>
    <row r="298" spans="1:3" x14ac:dyDescent="0.4">
      <c r="A298">
        <v>1161</v>
      </c>
      <c r="B298" s="1" t="s">
        <v>40</v>
      </c>
      <c r="C298" s="1" t="s">
        <v>40</v>
      </c>
    </row>
    <row r="299" spans="1:3" x14ac:dyDescent="0.4">
      <c r="A299">
        <v>1162</v>
      </c>
      <c r="B299" s="1" t="s">
        <v>40</v>
      </c>
      <c r="C299" s="1" t="s">
        <v>40</v>
      </c>
    </row>
    <row r="300" spans="1:3" x14ac:dyDescent="0.4">
      <c r="A300">
        <v>1163</v>
      </c>
      <c r="B300" s="1" t="s">
        <v>40</v>
      </c>
      <c r="C300" s="1" t="s">
        <v>40</v>
      </c>
    </row>
    <row r="301" spans="1:3" x14ac:dyDescent="0.4">
      <c r="A301">
        <v>1164</v>
      </c>
      <c r="B301" s="1" t="s">
        <v>40</v>
      </c>
      <c r="C301" s="1" t="s">
        <v>40</v>
      </c>
    </row>
    <row r="302" spans="1:3" x14ac:dyDescent="0.4">
      <c r="A302">
        <v>1165</v>
      </c>
      <c r="B302" s="1" t="s">
        <v>40</v>
      </c>
      <c r="C302" s="1" t="s">
        <v>40</v>
      </c>
    </row>
    <row r="303" spans="1:3" x14ac:dyDescent="0.4">
      <c r="A303">
        <v>1166</v>
      </c>
      <c r="B303" s="1" t="s">
        <v>40</v>
      </c>
      <c r="C303" s="1" t="s">
        <v>40</v>
      </c>
    </row>
    <row r="304" spans="1:3" x14ac:dyDescent="0.4">
      <c r="A304">
        <v>1167</v>
      </c>
      <c r="B304" s="1" t="s">
        <v>40</v>
      </c>
      <c r="C304" s="1" t="s">
        <v>40</v>
      </c>
    </row>
    <row r="305" spans="1:3" x14ac:dyDescent="0.4">
      <c r="A305">
        <v>1168</v>
      </c>
      <c r="B305" s="1" t="s">
        <v>40</v>
      </c>
      <c r="C305" s="1" t="s">
        <v>40</v>
      </c>
    </row>
    <row r="306" spans="1:3" x14ac:dyDescent="0.4">
      <c r="A306">
        <v>1169</v>
      </c>
      <c r="B306" s="1" t="s">
        <v>40</v>
      </c>
      <c r="C306" s="1" t="s">
        <v>40</v>
      </c>
    </row>
    <row r="307" spans="1:3" x14ac:dyDescent="0.4">
      <c r="A307">
        <v>1170</v>
      </c>
      <c r="B307" s="1" t="s">
        <v>1032</v>
      </c>
      <c r="C307" s="1" t="s">
        <v>50</v>
      </c>
    </row>
    <row r="308" spans="1:3" x14ac:dyDescent="0.4">
      <c r="A308">
        <v>1171</v>
      </c>
      <c r="B308" s="1" t="s">
        <v>40</v>
      </c>
      <c r="C308" s="1" t="s">
        <v>40</v>
      </c>
    </row>
    <row r="309" spans="1:3" x14ac:dyDescent="0.4">
      <c r="A309">
        <v>1172</v>
      </c>
      <c r="B309" s="1" t="s">
        <v>40</v>
      </c>
      <c r="C309" s="1" t="s">
        <v>40</v>
      </c>
    </row>
    <row r="310" spans="1:3" x14ac:dyDescent="0.4">
      <c r="A310">
        <v>1173</v>
      </c>
      <c r="B310" s="1" t="s">
        <v>40</v>
      </c>
      <c r="C310" s="1" t="s">
        <v>40</v>
      </c>
    </row>
    <row r="311" spans="1:3" x14ac:dyDescent="0.4">
      <c r="A311">
        <v>1174</v>
      </c>
      <c r="B311" s="1" t="s">
        <v>40</v>
      </c>
      <c r="C311" s="1" t="s">
        <v>40</v>
      </c>
    </row>
    <row r="312" spans="1:3" x14ac:dyDescent="0.4">
      <c r="A312">
        <v>1175</v>
      </c>
      <c r="B312" s="1" t="s">
        <v>40</v>
      </c>
      <c r="C312" s="1" t="s">
        <v>40</v>
      </c>
    </row>
    <row r="313" spans="1:3" x14ac:dyDescent="0.4">
      <c r="A313">
        <v>1176</v>
      </c>
      <c r="B313" s="1" t="s">
        <v>40</v>
      </c>
      <c r="C313" s="1" t="s">
        <v>40</v>
      </c>
    </row>
    <row r="314" spans="1:3" x14ac:dyDescent="0.4">
      <c r="A314">
        <v>1177</v>
      </c>
      <c r="B314" s="1" t="s">
        <v>40</v>
      </c>
      <c r="C314" s="1" t="s">
        <v>40</v>
      </c>
    </row>
    <row r="315" spans="1:3" x14ac:dyDescent="0.4">
      <c r="A315">
        <v>1178</v>
      </c>
      <c r="B315" s="1" t="s">
        <v>40</v>
      </c>
      <c r="C315" s="1" t="s">
        <v>40</v>
      </c>
    </row>
    <row r="316" spans="1:3" x14ac:dyDescent="0.4">
      <c r="A316">
        <v>1179</v>
      </c>
      <c r="B316" s="1" t="s">
        <v>40</v>
      </c>
      <c r="C316" s="1" t="s">
        <v>40</v>
      </c>
    </row>
    <row r="317" spans="1:3" x14ac:dyDescent="0.4">
      <c r="A317">
        <v>1180</v>
      </c>
      <c r="B317" s="1" t="s">
        <v>1030</v>
      </c>
      <c r="C317" s="1" t="s">
        <v>48</v>
      </c>
    </row>
    <row r="318" spans="1:3" x14ac:dyDescent="0.4">
      <c r="A318">
        <v>1181</v>
      </c>
      <c r="B318" s="1" t="s">
        <v>40</v>
      </c>
      <c r="C318" s="1" t="s">
        <v>40</v>
      </c>
    </row>
    <row r="319" spans="1:3" x14ac:dyDescent="0.4">
      <c r="A319">
        <v>1182</v>
      </c>
      <c r="B319" s="1" t="s">
        <v>40</v>
      </c>
      <c r="C319" s="1" t="s">
        <v>40</v>
      </c>
    </row>
    <row r="320" spans="1:3" x14ac:dyDescent="0.4">
      <c r="A320">
        <v>1183</v>
      </c>
      <c r="B320" s="1" t="s">
        <v>40</v>
      </c>
      <c r="C320" s="1" t="s">
        <v>40</v>
      </c>
    </row>
    <row r="321" spans="1:3" x14ac:dyDescent="0.4">
      <c r="A321">
        <v>1184</v>
      </c>
      <c r="B321" s="1" t="s">
        <v>40</v>
      </c>
      <c r="C321" s="1" t="s">
        <v>40</v>
      </c>
    </row>
    <row r="322" spans="1:3" x14ac:dyDescent="0.4">
      <c r="A322">
        <v>1185</v>
      </c>
      <c r="B322" s="1" t="s">
        <v>40</v>
      </c>
      <c r="C322" s="1" t="s">
        <v>40</v>
      </c>
    </row>
    <row r="323" spans="1:3" x14ac:dyDescent="0.4">
      <c r="A323">
        <v>1186</v>
      </c>
      <c r="B323" s="1" t="s">
        <v>40</v>
      </c>
      <c r="C323" s="1" t="s">
        <v>40</v>
      </c>
    </row>
    <row r="324" spans="1:3" x14ac:dyDescent="0.4">
      <c r="A324">
        <v>1187</v>
      </c>
      <c r="B324" s="1" t="s">
        <v>40</v>
      </c>
      <c r="C324" s="1" t="s">
        <v>40</v>
      </c>
    </row>
    <row r="325" spans="1:3" x14ac:dyDescent="0.4">
      <c r="A325">
        <v>1188</v>
      </c>
      <c r="B325" s="1" t="s">
        <v>40</v>
      </c>
      <c r="C325" s="1" t="s">
        <v>40</v>
      </c>
    </row>
    <row r="326" spans="1:3" x14ac:dyDescent="0.4">
      <c r="A326">
        <v>1189</v>
      </c>
      <c r="B326" s="1" t="s">
        <v>40</v>
      </c>
      <c r="C326" s="1" t="s">
        <v>40</v>
      </c>
    </row>
    <row r="327" spans="1:3" x14ac:dyDescent="0.4">
      <c r="A327">
        <v>1190</v>
      </c>
      <c r="B327" s="1" t="s">
        <v>1033</v>
      </c>
      <c r="C327" s="1" t="s">
        <v>51</v>
      </c>
    </row>
    <row r="328" spans="1:3" x14ac:dyDescent="0.4">
      <c r="A328">
        <v>1191</v>
      </c>
      <c r="B328" s="1" t="s">
        <v>40</v>
      </c>
      <c r="C328" s="1" t="s">
        <v>40</v>
      </c>
    </row>
    <row r="329" spans="1:3" x14ac:dyDescent="0.4">
      <c r="A329">
        <v>1192</v>
      </c>
      <c r="B329" s="1" t="s">
        <v>40</v>
      </c>
      <c r="C329" s="1" t="s">
        <v>40</v>
      </c>
    </row>
    <row r="330" spans="1:3" x14ac:dyDescent="0.4">
      <c r="A330">
        <v>1193</v>
      </c>
      <c r="B330" s="1" t="s">
        <v>40</v>
      </c>
      <c r="C330" s="1" t="s">
        <v>40</v>
      </c>
    </row>
    <row r="331" spans="1:3" x14ac:dyDescent="0.4">
      <c r="A331">
        <v>1194</v>
      </c>
      <c r="B331" s="1" t="s">
        <v>40</v>
      </c>
      <c r="C331" s="1" t="s">
        <v>40</v>
      </c>
    </row>
    <row r="332" spans="1:3" x14ac:dyDescent="0.4">
      <c r="A332">
        <v>1195</v>
      </c>
      <c r="B332" s="1" t="s">
        <v>40</v>
      </c>
      <c r="C332" s="1" t="s">
        <v>40</v>
      </c>
    </row>
    <row r="333" spans="1:3" x14ac:dyDescent="0.4">
      <c r="A333">
        <v>1196</v>
      </c>
      <c r="B333" s="1" t="s">
        <v>40</v>
      </c>
      <c r="C333" s="1" t="s">
        <v>40</v>
      </c>
    </row>
    <row r="334" spans="1:3" x14ac:dyDescent="0.4">
      <c r="A334">
        <v>1197</v>
      </c>
      <c r="B334" s="1" t="s">
        <v>40</v>
      </c>
      <c r="C334" s="1" t="s">
        <v>40</v>
      </c>
    </row>
    <row r="335" spans="1:3" x14ac:dyDescent="0.4">
      <c r="A335">
        <v>1198</v>
      </c>
      <c r="B335" s="1" t="s">
        <v>40</v>
      </c>
      <c r="C335" s="1" t="s">
        <v>40</v>
      </c>
    </row>
    <row r="336" spans="1:3" x14ac:dyDescent="0.4">
      <c r="A336">
        <v>1199</v>
      </c>
      <c r="B336" s="1" t="s">
        <v>40</v>
      </c>
      <c r="C336" s="1" t="s">
        <v>40</v>
      </c>
    </row>
    <row r="337" spans="1:3" x14ac:dyDescent="0.4">
      <c r="A337">
        <v>1200</v>
      </c>
      <c r="B337" s="1" t="s">
        <v>1039</v>
      </c>
      <c r="C337" s="1" t="s">
        <v>57</v>
      </c>
    </row>
    <row r="338" spans="1:3" x14ac:dyDescent="0.4">
      <c r="A338">
        <v>1201</v>
      </c>
      <c r="B338" s="1" t="s">
        <v>40</v>
      </c>
      <c r="C338" s="1" t="s">
        <v>40</v>
      </c>
    </row>
    <row r="339" spans="1:3" x14ac:dyDescent="0.4">
      <c r="A339">
        <v>1202</v>
      </c>
      <c r="B339" s="1" t="s">
        <v>40</v>
      </c>
      <c r="C339" s="1" t="s">
        <v>40</v>
      </c>
    </row>
    <row r="340" spans="1:3" x14ac:dyDescent="0.4">
      <c r="A340">
        <v>1203</v>
      </c>
      <c r="B340" s="1" t="s">
        <v>40</v>
      </c>
      <c r="C340" s="1" t="s">
        <v>40</v>
      </c>
    </row>
    <row r="341" spans="1:3" x14ac:dyDescent="0.4">
      <c r="A341">
        <v>1204</v>
      </c>
      <c r="B341" s="1" t="s">
        <v>40</v>
      </c>
      <c r="C341" s="1" t="s">
        <v>40</v>
      </c>
    </row>
    <row r="342" spans="1:3" x14ac:dyDescent="0.4">
      <c r="A342">
        <v>1205</v>
      </c>
      <c r="B342" s="1" t="s">
        <v>40</v>
      </c>
      <c r="C342" s="1" t="s">
        <v>40</v>
      </c>
    </row>
    <row r="343" spans="1:3" x14ac:dyDescent="0.4">
      <c r="A343">
        <v>1206</v>
      </c>
      <c r="B343" s="1" t="s">
        <v>40</v>
      </c>
      <c r="C343" s="1" t="s">
        <v>40</v>
      </c>
    </row>
    <row r="344" spans="1:3" x14ac:dyDescent="0.4">
      <c r="A344">
        <v>1207</v>
      </c>
      <c r="B344" s="1" t="s">
        <v>40</v>
      </c>
      <c r="C344" s="1" t="s">
        <v>40</v>
      </c>
    </row>
    <row r="345" spans="1:3" x14ac:dyDescent="0.4">
      <c r="A345">
        <v>1208</v>
      </c>
      <c r="B345" s="1" t="s">
        <v>40</v>
      </c>
      <c r="C345" s="1" t="s">
        <v>40</v>
      </c>
    </row>
    <row r="346" spans="1:3" x14ac:dyDescent="0.4">
      <c r="A346">
        <v>1209</v>
      </c>
      <c r="B346" s="1" t="s">
        <v>40</v>
      </c>
      <c r="C346" s="1" t="s">
        <v>40</v>
      </c>
    </row>
    <row r="347" spans="1:3" x14ac:dyDescent="0.4">
      <c r="A347">
        <v>1210</v>
      </c>
      <c r="B347" s="1" t="s">
        <v>1039</v>
      </c>
      <c r="C347" s="1" t="s">
        <v>57</v>
      </c>
    </row>
    <row r="348" spans="1:3" x14ac:dyDescent="0.4">
      <c r="A348">
        <v>1211</v>
      </c>
      <c r="B348" s="1" t="s">
        <v>40</v>
      </c>
      <c r="C348" s="1" t="s">
        <v>40</v>
      </c>
    </row>
    <row r="349" spans="1:3" x14ac:dyDescent="0.4">
      <c r="A349">
        <v>1212</v>
      </c>
      <c r="B349" s="1" t="s">
        <v>40</v>
      </c>
      <c r="C349" s="1" t="s">
        <v>40</v>
      </c>
    </row>
    <row r="350" spans="1:3" x14ac:dyDescent="0.4">
      <c r="A350">
        <v>1213</v>
      </c>
      <c r="B350" s="1" t="s">
        <v>40</v>
      </c>
      <c r="C350" s="1" t="s">
        <v>40</v>
      </c>
    </row>
    <row r="351" spans="1:3" x14ac:dyDescent="0.4">
      <c r="A351">
        <v>1214</v>
      </c>
      <c r="B351" s="1" t="s">
        <v>40</v>
      </c>
      <c r="C351" s="1" t="s">
        <v>40</v>
      </c>
    </row>
    <row r="352" spans="1:3" x14ac:dyDescent="0.4">
      <c r="A352">
        <v>1215</v>
      </c>
      <c r="B352" s="1" t="s">
        <v>40</v>
      </c>
      <c r="C352" s="1" t="s">
        <v>40</v>
      </c>
    </row>
    <row r="353" spans="1:3" x14ac:dyDescent="0.4">
      <c r="A353">
        <v>1216</v>
      </c>
      <c r="B353" s="1" t="s">
        <v>40</v>
      </c>
      <c r="C353" s="1" t="s">
        <v>40</v>
      </c>
    </row>
    <row r="354" spans="1:3" x14ac:dyDescent="0.4">
      <c r="A354">
        <v>1217</v>
      </c>
      <c r="B354" s="1" t="s">
        <v>40</v>
      </c>
      <c r="C354" s="1" t="s">
        <v>40</v>
      </c>
    </row>
    <row r="355" spans="1:3" x14ac:dyDescent="0.4">
      <c r="A355">
        <v>1218</v>
      </c>
      <c r="B355" s="1" t="s">
        <v>40</v>
      </c>
      <c r="C355" s="1" t="s">
        <v>40</v>
      </c>
    </row>
    <row r="356" spans="1:3" x14ac:dyDescent="0.4">
      <c r="A356">
        <v>1219</v>
      </c>
      <c r="B356" s="1" t="s">
        <v>40</v>
      </c>
      <c r="C356" s="1" t="s">
        <v>40</v>
      </c>
    </row>
    <row r="357" spans="1:3" x14ac:dyDescent="0.4">
      <c r="A357">
        <v>1220</v>
      </c>
      <c r="B357" s="1" t="s">
        <v>1036</v>
      </c>
      <c r="C357" s="1" t="s">
        <v>54</v>
      </c>
    </row>
    <row r="358" spans="1:3" x14ac:dyDescent="0.4">
      <c r="A358">
        <v>1221</v>
      </c>
      <c r="B358" s="1" t="s">
        <v>40</v>
      </c>
      <c r="C358" s="1" t="s">
        <v>40</v>
      </c>
    </row>
    <row r="359" spans="1:3" x14ac:dyDescent="0.4">
      <c r="A359">
        <v>1222</v>
      </c>
      <c r="B359" s="1" t="s">
        <v>40</v>
      </c>
      <c r="C359" s="1" t="s">
        <v>40</v>
      </c>
    </row>
    <row r="360" spans="1:3" x14ac:dyDescent="0.4">
      <c r="A360">
        <v>1223</v>
      </c>
      <c r="B360" s="1" t="s">
        <v>40</v>
      </c>
      <c r="C360" s="1" t="s">
        <v>40</v>
      </c>
    </row>
    <row r="361" spans="1:3" x14ac:dyDescent="0.4">
      <c r="A361">
        <v>1224</v>
      </c>
      <c r="B361" s="1" t="s">
        <v>40</v>
      </c>
      <c r="C361" s="1" t="s">
        <v>40</v>
      </c>
    </row>
    <row r="362" spans="1:3" x14ac:dyDescent="0.4">
      <c r="A362">
        <v>1225</v>
      </c>
      <c r="B362" s="1" t="s">
        <v>40</v>
      </c>
      <c r="C362" s="1" t="s">
        <v>40</v>
      </c>
    </row>
    <row r="363" spans="1:3" x14ac:dyDescent="0.4">
      <c r="A363">
        <v>1226</v>
      </c>
      <c r="B363" s="1" t="s">
        <v>40</v>
      </c>
      <c r="C363" s="1" t="s">
        <v>40</v>
      </c>
    </row>
    <row r="364" spans="1:3" x14ac:dyDescent="0.4">
      <c r="A364">
        <v>1227</v>
      </c>
      <c r="B364" s="1" t="s">
        <v>40</v>
      </c>
      <c r="C364" s="1" t="s">
        <v>40</v>
      </c>
    </row>
    <row r="365" spans="1:3" x14ac:dyDescent="0.4">
      <c r="A365">
        <v>1228</v>
      </c>
      <c r="B365" s="1" t="s">
        <v>40</v>
      </c>
      <c r="C365" s="1" t="s">
        <v>40</v>
      </c>
    </row>
    <row r="366" spans="1:3" x14ac:dyDescent="0.4">
      <c r="A366">
        <v>1229</v>
      </c>
      <c r="B366" s="1" t="s">
        <v>40</v>
      </c>
      <c r="C366" s="1" t="s">
        <v>40</v>
      </c>
    </row>
    <row r="367" spans="1:3" x14ac:dyDescent="0.4">
      <c r="A367">
        <v>1230</v>
      </c>
      <c r="B367" s="1" t="s">
        <v>1033</v>
      </c>
      <c r="C367" s="1" t="s">
        <v>51</v>
      </c>
    </row>
    <row r="368" spans="1:3" x14ac:dyDescent="0.4">
      <c r="A368">
        <v>1231</v>
      </c>
      <c r="B368" s="1" t="s">
        <v>40</v>
      </c>
      <c r="C368" s="1" t="s">
        <v>40</v>
      </c>
    </row>
    <row r="369" spans="1:3" x14ac:dyDescent="0.4">
      <c r="A369">
        <v>1232</v>
      </c>
      <c r="B369" s="1" t="s">
        <v>40</v>
      </c>
      <c r="C369" s="1" t="s">
        <v>40</v>
      </c>
    </row>
    <row r="370" spans="1:3" x14ac:dyDescent="0.4">
      <c r="A370">
        <v>1233</v>
      </c>
      <c r="B370" s="1" t="s">
        <v>40</v>
      </c>
      <c r="C370" s="1" t="s">
        <v>40</v>
      </c>
    </row>
    <row r="371" spans="1:3" x14ac:dyDescent="0.4">
      <c r="A371">
        <v>1234</v>
      </c>
      <c r="B371" s="1" t="s">
        <v>40</v>
      </c>
      <c r="C371" s="1" t="s">
        <v>40</v>
      </c>
    </row>
    <row r="372" spans="1:3" x14ac:dyDescent="0.4">
      <c r="A372">
        <v>1235</v>
      </c>
      <c r="B372" s="1" t="s">
        <v>40</v>
      </c>
      <c r="C372" s="1" t="s">
        <v>40</v>
      </c>
    </row>
    <row r="373" spans="1:3" x14ac:dyDescent="0.4">
      <c r="A373">
        <v>1236</v>
      </c>
      <c r="B373" s="1" t="s">
        <v>40</v>
      </c>
      <c r="C373" s="1" t="s">
        <v>40</v>
      </c>
    </row>
    <row r="374" spans="1:3" x14ac:dyDescent="0.4">
      <c r="A374">
        <v>1237</v>
      </c>
      <c r="B374" s="1" t="s">
        <v>40</v>
      </c>
      <c r="C374" s="1" t="s">
        <v>40</v>
      </c>
    </row>
    <row r="375" spans="1:3" x14ac:dyDescent="0.4">
      <c r="A375">
        <v>1238</v>
      </c>
      <c r="B375" s="1" t="s">
        <v>40</v>
      </c>
      <c r="C375" s="1" t="s">
        <v>40</v>
      </c>
    </row>
    <row r="376" spans="1:3" x14ac:dyDescent="0.4">
      <c r="A376">
        <v>1239</v>
      </c>
      <c r="B376" s="1" t="s">
        <v>40</v>
      </c>
      <c r="C376" s="1" t="s">
        <v>40</v>
      </c>
    </row>
    <row r="377" spans="1:3" x14ac:dyDescent="0.4">
      <c r="A377">
        <v>1240</v>
      </c>
      <c r="B377" s="1" t="s">
        <v>1033</v>
      </c>
      <c r="C377" s="1" t="s">
        <v>51</v>
      </c>
    </row>
    <row r="378" spans="1:3" x14ac:dyDescent="0.4">
      <c r="A378">
        <v>1241</v>
      </c>
      <c r="B378" s="1" t="s">
        <v>40</v>
      </c>
      <c r="C378" s="1" t="s">
        <v>40</v>
      </c>
    </row>
    <row r="379" spans="1:3" x14ac:dyDescent="0.4">
      <c r="A379">
        <v>1242</v>
      </c>
      <c r="B379" s="1" t="s">
        <v>40</v>
      </c>
      <c r="C379" s="1" t="s">
        <v>40</v>
      </c>
    </row>
    <row r="380" spans="1:3" x14ac:dyDescent="0.4">
      <c r="A380">
        <v>1243</v>
      </c>
      <c r="B380" s="1" t="s">
        <v>40</v>
      </c>
      <c r="C380" s="1" t="s">
        <v>40</v>
      </c>
    </row>
    <row r="381" spans="1:3" x14ac:dyDescent="0.4">
      <c r="A381">
        <v>1244</v>
      </c>
      <c r="B381" s="1" t="s">
        <v>40</v>
      </c>
      <c r="C381" s="1" t="s">
        <v>40</v>
      </c>
    </row>
    <row r="382" spans="1:3" x14ac:dyDescent="0.4">
      <c r="A382">
        <v>1245</v>
      </c>
      <c r="B382" s="1" t="s">
        <v>40</v>
      </c>
      <c r="C382" s="1" t="s">
        <v>40</v>
      </c>
    </row>
    <row r="383" spans="1:3" x14ac:dyDescent="0.4">
      <c r="A383">
        <v>1246</v>
      </c>
      <c r="B383" s="1" t="s">
        <v>40</v>
      </c>
      <c r="C383" s="1" t="s">
        <v>40</v>
      </c>
    </row>
    <row r="384" spans="1:3" x14ac:dyDescent="0.4">
      <c r="A384">
        <v>1247</v>
      </c>
      <c r="B384" s="1" t="s">
        <v>40</v>
      </c>
      <c r="C384" s="1" t="s">
        <v>40</v>
      </c>
    </row>
    <row r="385" spans="1:3" x14ac:dyDescent="0.4">
      <c r="A385">
        <v>1248</v>
      </c>
      <c r="B385" s="1" t="s">
        <v>40</v>
      </c>
      <c r="C385" s="1" t="s">
        <v>40</v>
      </c>
    </row>
    <row r="386" spans="1:3" x14ac:dyDescent="0.4">
      <c r="A386">
        <v>1249</v>
      </c>
      <c r="B386" s="1" t="s">
        <v>40</v>
      </c>
      <c r="C386" s="1" t="s">
        <v>40</v>
      </c>
    </row>
    <row r="387" spans="1:3" x14ac:dyDescent="0.4">
      <c r="A387">
        <v>1250</v>
      </c>
      <c r="B387" s="1" t="s">
        <v>1030</v>
      </c>
      <c r="C387" s="1" t="s">
        <v>48</v>
      </c>
    </row>
    <row r="388" spans="1:3" x14ac:dyDescent="0.4">
      <c r="A388">
        <v>1251</v>
      </c>
      <c r="B388" s="1" t="s">
        <v>40</v>
      </c>
      <c r="C388" s="1" t="s">
        <v>40</v>
      </c>
    </row>
    <row r="389" spans="1:3" x14ac:dyDescent="0.4">
      <c r="A389">
        <v>1252</v>
      </c>
      <c r="B389" s="1" t="s">
        <v>40</v>
      </c>
      <c r="C389" s="1" t="s">
        <v>40</v>
      </c>
    </row>
    <row r="390" spans="1:3" x14ac:dyDescent="0.4">
      <c r="A390">
        <v>1253</v>
      </c>
      <c r="B390" s="1" t="s">
        <v>40</v>
      </c>
      <c r="C390" s="1" t="s">
        <v>40</v>
      </c>
    </row>
    <row r="391" spans="1:3" x14ac:dyDescent="0.4">
      <c r="A391">
        <v>1254</v>
      </c>
      <c r="B391" s="1" t="s">
        <v>40</v>
      </c>
      <c r="C391" s="1" t="s">
        <v>40</v>
      </c>
    </row>
    <row r="392" spans="1:3" x14ac:dyDescent="0.4">
      <c r="A392">
        <v>1255</v>
      </c>
      <c r="B392" s="1" t="s">
        <v>40</v>
      </c>
      <c r="C392" s="1" t="s">
        <v>40</v>
      </c>
    </row>
    <row r="393" spans="1:3" x14ac:dyDescent="0.4">
      <c r="A393">
        <v>1256</v>
      </c>
      <c r="B393" s="1" t="s">
        <v>40</v>
      </c>
      <c r="C393" s="1" t="s">
        <v>40</v>
      </c>
    </row>
    <row r="394" spans="1:3" x14ac:dyDescent="0.4">
      <c r="A394">
        <v>1257</v>
      </c>
      <c r="B394" s="1" t="s">
        <v>40</v>
      </c>
      <c r="C394" s="1" t="s">
        <v>40</v>
      </c>
    </row>
    <row r="395" spans="1:3" x14ac:dyDescent="0.4">
      <c r="A395">
        <v>1258</v>
      </c>
      <c r="B395" s="1" t="s">
        <v>40</v>
      </c>
      <c r="C395" s="1" t="s">
        <v>40</v>
      </c>
    </row>
    <row r="396" spans="1:3" x14ac:dyDescent="0.4">
      <c r="A396">
        <v>1259</v>
      </c>
      <c r="B396" s="1" t="s">
        <v>40</v>
      </c>
      <c r="C396" s="1" t="s">
        <v>40</v>
      </c>
    </row>
    <row r="397" spans="1:3" x14ac:dyDescent="0.4">
      <c r="A397">
        <v>1260</v>
      </c>
      <c r="B397" s="1" t="s">
        <v>1030</v>
      </c>
      <c r="C397" s="1" t="s">
        <v>48</v>
      </c>
    </row>
    <row r="398" spans="1:3" x14ac:dyDescent="0.4">
      <c r="A398">
        <v>1261</v>
      </c>
      <c r="B398" s="1" t="s">
        <v>40</v>
      </c>
      <c r="C398" s="1" t="s">
        <v>40</v>
      </c>
    </row>
    <row r="399" spans="1:3" x14ac:dyDescent="0.4">
      <c r="A399">
        <v>1262</v>
      </c>
      <c r="B399" s="1" t="s">
        <v>40</v>
      </c>
      <c r="C399" s="1" t="s">
        <v>40</v>
      </c>
    </row>
    <row r="400" spans="1:3" x14ac:dyDescent="0.4">
      <c r="A400">
        <v>1263</v>
      </c>
      <c r="B400" s="1" t="s">
        <v>40</v>
      </c>
      <c r="C400" s="1" t="s">
        <v>40</v>
      </c>
    </row>
    <row r="401" spans="1:3" x14ac:dyDescent="0.4">
      <c r="A401">
        <v>1264</v>
      </c>
      <c r="B401" s="1" t="s">
        <v>40</v>
      </c>
      <c r="C401" s="1" t="s">
        <v>40</v>
      </c>
    </row>
    <row r="402" spans="1:3" x14ac:dyDescent="0.4">
      <c r="A402">
        <v>1265</v>
      </c>
      <c r="B402" s="1" t="s">
        <v>40</v>
      </c>
      <c r="C402" s="1" t="s">
        <v>40</v>
      </c>
    </row>
    <row r="403" spans="1:3" x14ac:dyDescent="0.4">
      <c r="A403">
        <v>1266</v>
      </c>
      <c r="B403" s="1" t="s">
        <v>40</v>
      </c>
      <c r="C403" s="1" t="s">
        <v>40</v>
      </c>
    </row>
    <row r="404" spans="1:3" x14ac:dyDescent="0.4">
      <c r="A404">
        <v>1267</v>
      </c>
      <c r="B404" s="1" t="s">
        <v>40</v>
      </c>
      <c r="C404" s="1" t="s">
        <v>40</v>
      </c>
    </row>
    <row r="405" spans="1:3" x14ac:dyDescent="0.4">
      <c r="A405">
        <v>1268</v>
      </c>
      <c r="B405" s="1" t="s">
        <v>40</v>
      </c>
      <c r="C405" s="1" t="s">
        <v>40</v>
      </c>
    </row>
    <row r="406" spans="1:3" x14ac:dyDescent="0.4">
      <c r="A406">
        <v>1269</v>
      </c>
      <c r="B406" s="1" t="s">
        <v>40</v>
      </c>
      <c r="C406" s="1" t="s">
        <v>40</v>
      </c>
    </row>
    <row r="407" spans="1:3" x14ac:dyDescent="0.4">
      <c r="A407">
        <v>1270</v>
      </c>
      <c r="B407" s="1" t="s">
        <v>1039</v>
      </c>
      <c r="C407" s="1" t="s">
        <v>57</v>
      </c>
    </row>
    <row r="408" spans="1:3" x14ac:dyDescent="0.4">
      <c r="A408">
        <v>1300</v>
      </c>
      <c r="B408" s="1" t="s">
        <v>1030</v>
      </c>
      <c r="C408" s="1" t="s">
        <v>48</v>
      </c>
    </row>
    <row r="409" spans="1:3" x14ac:dyDescent="0.4">
      <c r="A409">
        <v>1301</v>
      </c>
      <c r="B409" s="1" t="s">
        <v>40</v>
      </c>
      <c r="C409" s="1" t="s">
        <v>40</v>
      </c>
    </row>
    <row r="410" spans="1:3" x14ac:dyDescent="0.4">
      <c r="A410">
        <v>1302</v>
      </c>
      <c r="B410" s="1" t="s">
        <v>40</v>
      </c>
      <c r="C410" s="1" t="s">
        <v>40</v>
      </c>
    </row>
    <row r="411" spans="1:3" x14ac:dyDescent="0.4">
      <c r="A411">
        <v>1303</v>
      </c>
      <c r="B411" s="1" t="s">
        <v>40</v>
      </c>
      <c r="C411" s="1" t="s">
        <v>40</v>
      </c>
    </row>
    <row r="412" spans="1:3" x14ac:dyDescent="0.4">
      <c r="A412">
        <v>1304</v>
      </c>
      <c r="B412" s="1" t="s">
        <v>40</v>
      </c>
      <c r="C412" s="1" t="s">
        <v>40</v>
      </c>
    </row>
    <row r="413" spans="1:3" x14ac:dyDescent="0.4">
      <c r="A413">
        <v>1305</v>
      </c>
      <c r="B413" s="1" t="s">
        <v>40</v>
      </c>
      <c r="C413" s="1" t="s">
        <v>40</v>
      </c>
    </row>
    <row r="414" spans="1:3" x14ac:dyDescent="0.4">
      <c r="A414">
        <v>1306</v>
      </c>
      <c r="B414" s="1" t="s">
        <v>40</v>
      </c>
      <c r="C414" s="1" t="s">
        <v>40</v>
      </c>
    </row>
    <row r="415" spans="1:3" x14ac:dyDescent="0.4">
      <c r="A415">
        <v>1307</v>
      </c>
      <c r="B415" s="1" t="s">
        <v>40</v>
      </c>
      <c r="C415" s="1" t="s">
        <v>40</v>
      </c>
    </row>
    <row r="416" spans="1:3" x14ac:dyDescent="0.4">
      <c r="A416">
        <v>1308</v>
      </c>
      <c r="B416" s="1" t="s">
        <v>40</v>
      </c>
      <c r="C416" s="1" t="s">
        <v>40</v>
      </c>
    </row>
    <row r="417" spans="1:3" x14ac:dyDescent="0.4">
      <c r="A417">
        <v>1309</v>
      </c>
      <c r="B417" s="1" t="s">
        <v>40</v>
      </c>
      <c r="C417" s="1" t="s">
        <v>40</v>
      </c>
    </row>
    <row r="418" spans="1:3" x14ac:dyDescent="0.4">
      <c r="A418">
        <v>1310</v>
      </c>
      <c r="B418" s="1" t="s">
        <v>1039</v>
      </c>
      <c r="C418" s="1" t="s">
        <v>57</v>
      </c>
    </row>
    <row r="419" spans="1:3" x14ac:dyDescent="0.4">
      <c r="A419">
        <v>1400</v>
      </c>
      <c r="B419" s="1" t="s">
        <v>1033</v>
      </c>
      <c r="C419" s="1" t="s">
        <v>51</v>
      </c>
    </row>
    <row r="420" spans="1:3" x14ac:dyDescent="0.4">
      <c r="A420">
        <v>1401</v>
      </c>
      <c r="B420" s="1" t="s">
        <v>40</v>
      </c>
      <c r="C420" s="1" t="s">
        <v>40</v>
      </c>
    </row>
    <row r="421" spans="1:3" x14ac:dyDescent="0.4">
      <c r="A421">
        <v>1402</v>
      </c>
      <c r="B421" s="1" t="s">
        <v>40</v>
      </c>
      <c r="C421" s="1" t="s">
        <v>40</v>
      </c>
    </row>
    <row r="422" spans="1:3" x14ac:dyDescent="0.4">
      <c r="A422">
        <v>1403</v>
      </c>
      <c r="B422" s="1" t="s">
        <v>40</v>
      </c>
      <c r="C422" s="1" t="s">
        <v>40</v>
      </c>
    </row>
    <row r="423" spans="1:3" x14ac:dyDescent="0.4">
      <c r="A423">
        <v>1404</v>
      </c>
      <c r="B423" s="1" t="s">
        <v>40</v>
      </c>
      <c r="C423" s="1" t="s">
        <v>40</v>
      </c>
    </row>
    <row r="424" spans="1:3" x14ac:dyDescent="0.4">
      <c r="A424">
        <v>1405</v>
      </c>
      <c r="B424" s="1" t="s">
        <v>40</v>
      </c>
      <c r="C424" s="1" t="s">
        <v>40</v>
      </c>
    </row>
    <row r="425" spans="1:3" x14ac:dyDescent="0.4">
      <c r="A425">
        <v>1406</v>
      </c>
      <c r="B425" s="1" t="s">
        <v>40</v>
      </c>
      <c r="C425" s="1" t="s">
        <v>40</v>
      </c>
    </row>
    <row r="426" spans="1:3" x14ac:dyDescent="0.4">
      <c r="A426">
        <v>1407</v>
      </c>
      <c r="B426" s="1" t="s">
        <v>40</v>
      </c>
      <c r="C426" s="1" t="s">
        <v>40</v>
      </c>
    </row>
    <row r="427" spans="1:3" x14ac:dyDescent="0.4">
      <c r="A427">
        <v>1408</v>
      </c>
      <c r="B427" s="1" t="s">
        <v>40</v>
      </c>
      <c r="C427" s="1" t="s">
        <v>40</v>
      </c>
    </row>
    <row r="428" spans="1:3" x14ac:dyDescent="0.4">
      <c r="A428">
        <v>1409</v>
      </c>
      <c r="B428" s="1" t="s">
        <v>40</v>
      </c>
      <c r="C428" s="1" t="s">
        <v>40</v>
      </c>
    </row>
    <row r="429" spans="1:3" x14ac:dyDescent="0.4">
      <c r="A429">
        <v>1410</v>
      </c>
      <c r="B429" s="1" t="s">
        <v>1030</v>
      </c>
      <c r="C429" s="1" t="s">
        <v>48</v>
      </c>
    </row>
    <row r="430" spans="1:3" x14ac:dyDescent="0.4">
      <c r="A430">
        <v>1411</v>
      </c>
      <c r="B430" s="1" t="s">
        <v>40</v>
      </c>
      <c r="C430" s="1" t="s">
        <v>40</v>
      </c>
    </row>
    <row r="431" spans="1:3" x14ac:dyDescent="0.4">
      <c r="A431">
        <v>1412</v>
      </c>
      <c r="B431" s="1" t="s">
        <v>40</v>
      </c>
      <c r="C431" s="1" t="s">
        <v>40</v>
      </c>
    </row>
    <row r="432" spans="1:3" x14ac:dyDescent="0.4">
      <c r="A432">
        <v>1413</v>
      </c>
      <c r="B432" s="1" t="s">
        <v>40</v>
      </c>
      <c r="C432" s="1" t="s">
        <v>40</v>
      </c>
    </row>
    <row r="433" spans="1:3" x14ac:dyDescent="0.4">
      <c r="A433">
        <v>1414</v>
      </c>
      <c r="B433" s="1" t="s">
        <v>40</v>
      </c>
      <c r="C433" s="1" t="s">
        <v>40</v>
      </c>
    </row>
    <row r="434" spans="1:3" x14ac:dyDescent="0.4">
      <c r="A434">
        <v>1415</v>
      </c>
      <c r="B434" s="1" t="s">
        <v>40</v>
      </c>
      <c r="C434" s="1" t="s">
        <v>40</v>
      </c>
    </row>
    <row r="435" spans="1:3" x14ac:dyDescent="0.4">
      <c r="A435">
        <v>1416</v>
      </c>
      <c r="B435" s="1" t="s">
        <v>40</v>
      </c>
      <c r="C435" s="1" t="s">
        <v>40</v>
      </c>
    </row>
    <row r="436" spans="1:3" x14ac:dyDescent="0.4">
      <c r="A436">
        <v>1417</v>
      </c>
      <c r="B436" s="1" t="s">
        <v>40</v>
      </c>
      <c r="C436" s="1" t="s">
        <v>40</v>
      </c>
    </row>
    <row r="437" spans="1:3" x14ac:dyDescent="0.4">
      <c r="A437">
        <v>1418</v>
      </c>
      <c r="B437" s="1" t="s">
        <v>40</v>
      </c>
      <c r="C437" s="1" t="s">
        <v>40</v>
      </c>
    </row>
    <row r="438" spans="1:3" x14ac:dyDescent="0.4">
      <c r="A438">
        <v>1419</v>
      </c>
      <c r="B438" s="1" t="s">
        <v>40</v>
      </c>
      <c r="C438" s="1" t="s">
        <v>40</v>
      </c>
    </row>
    <row r="439" spans="1:3" x14ac:dyDescent="0.4">
      <c r="A439">
        <v>1420</v>
      </c>
      <c r="B439" s="1" t="s">
        <v>1039</v>
      </c>
      <c r="C439" s="1" t="s">
        <v>57</v>
      </c>
    </row>
    <row r="440" spans="1:3" x14ac:dyDescent="0.4">
      <c r="A440">
        <v>1421</v>
      </c>
      <c r="B440" s="1" t="s">
        <v>40</v>
      </c>
      <c r="C440" s="1" t="s">
        <v>40</v>
      </c>
    </row>
    <row r="441" spans="1:3" x14ac:dyDescent="0.4">
      <c r="A441">
        <v>1422</v>
      </c>
      <c r="B441" s="1" t="s">
        <v>40</v>
      </c>
      <c r="C441" s="1" t="s">
        <v>40</v>
      </c>
    </row>
    <row r="442" spans="1:3" x14ac:dyDescent="0.4">
      <c r="A442">
        <v>1423</v>
      </c>
      <c r="B442" s="1" t="s">
        <v>40</v>
      </c>
      <c r="C442" s="1" t="s">
        <v>40</v>
      </c>
    </row>
    <row r="443" spans="1:3" x14ac:dyDescent="0.4">
      <c r="A443">
        <v>1424</v>
      </c>
      <c r="B443" s="1" t="s">
        <v>40</v>
      </c>
      <c r="C443" s="1" t="s">
        <v>40</v>
      </c>
    </row>
    <row r="444" spans="1:3" x14ac:dyDescent="0.4">
      <c r="A444">
        <v>1425</v>
      </c>
      <c r="B444" s="1" t="s">
        <v>40</v>
      </c>
      <c r="C444" s="1" t="s">
        <v>40</v>
      </c>
    </row>
    <row r="445" spans="1:3" x14ac:dyDescent="0.4">
      <c r="A445">
        <v>1426</v>
      </c>
      <c r="B445" s="1" t="s">
        <v>40</v>
      </c>
      <c r="C445" s="1" t="s">
        <v>40</v>
      </c>
    </row>
    <row r="446" spans="1:3" x14ac:dyDescent="0.4">
      <c r="A446">
        <v>1427</v>
      </c>
      <c r="B446" s="1" t="s">
        <v>40</v>
      </c>
      <c r="C446" s="1" t="s">
        <v>40</v>
      </c>
    </row>
    <row r="447" spans="1:3" x14ac:dyDescent="0.4">
      <c r="A447">
        <v>1428</v>
      </c>
      <c r="B447" s="1" t="s">
        <v>40</v>
      </c>
      <c r="C447" s="1" t="s">
        <v>40</v>
      </c>
    </row>
    <row r="448" spans="1:3" x14ac:dyDescent="0.4">
      <c r="A448">
        <v>1429</v>
      </c>
      <c r="B448" s="1" t="s">
        <v>40</v>
      </c>
      <c r="C448" s="1" t="s">
        <v>40</v>
      </c>
    </row>
    <row r="449" spans="1:3" x14ac:dyDescent="0.4">
      <c r="A449">
        <v>1430</v>
      </c>
      <c r="B449" s="1" t="s">
        <v>1039</v>
      </c>
      <c r="C449" s="1" t="s">
        <v>57</v>
      </c>
    </row>
    <row r="450" spans="1:3" x14ac:dyDescent="0.4">
      <c r="A450">
        <v>1431</v>
      </c>
      <c r="B450" s="1" t="s">
        <v>40</v>
      </c>
      <c r="C450" s="1" t="s">
        <v>40</v>
      </c>
    </row>
    <row r="451" spans="1:3" x14ac:dyDescent="0.4">
      <c r="A451">
        <v>1432</v>
      </c>
      <c r="B451" s="1" t="s">
        <v>40</v>
      </c>
      <c r="C451" s="1" t="s">
        <v>40</v>
      </c>
    </row>
    <row r="452" spans="1:3" x14ac:dyDescent="0.4">
      <c r="A452">
        <v>1433</v>
      </c>
      <c r="B452" s="1" t="s">
        <v>40</v>
      </c>
      <c r="C452" s="1" t="s">
        <v>40</v>
      </c>
    </row>
    <row r="453" spans="1:3" x14ac:dyDescent="0.4">
      <c r="A453">
        <v>1434</v>
      </c>
      <c r="B453" s="1" t="s">
        <v>40</v>
      </c>
      <c r="C453" s="1" t="s">
        <v>40</v>
      </c>
    </row>
    <row r="454" spans="1:3" x14ac:dyDescent="0.4">
      <c r="A454">
        <v>1435</v>
      </c>
      <c r="B454" s="1" t="s">
        <v>40</v>
      </c>
      <c r="C454" s="1" t="s">
        <v>40</v>
      </c>
    </row>
    <row r="455" spans="1:3" x14ac:dyDescent="0.4">
      <c r="A455">
        <v>1436</v>
      </c>
      <c r="B455" s="1" t="s">
        <v>40</v>
      </c>
      <c r="C455" s="1" t="s">
        <v>40</v>
      </c>
    </row>
    <row r="456" spans="1:3" x14ac:dyDescent="0.4">
      <c r="A456">
        <v>1437</v>
      </c>
      <c r="B456" s="1" t="s">
        <v>40</v>
      </c>
      <c r="C456" s="1" t="s">
        <v>40</v>
      </c>
    </row>
    <row r="457" spans="1:3" x14ac:dyDescent="0.4">
      <c r="A457">
        <v>1438</v>
      </c>
      <c r="B457" s="1" t="s">
        <v>40</v>
      </c>
      <c r="C457" s="1" t="s">
        <v>40</v>
      </c>
    </row>
    <row r="458" spans="1:3" x14ac:dyDescent="0.4">
      <c r="A458">
        <v>1439</v>
      </c>
      <c r="B458" s="1" t="s">
        <v>40</v>
      </c>
      <c r="C458" s="1" t="s">
        <v>40</v>
      </c>
    </row>
    <row r="459" spans="1:3" x14ac:dyDescent="0.4">
      <c r="A459">
        <v>1440</v>
      </c>
      <c r="B459" s="1" t="s">
        <v>1030</v>
      </c>
      <c r="C459" s="1" t="s">
        <v>48</v>
      </c>
    </row>
    <row r="460" spans="1:3" x14ac:dyDescent="0.4">
      <c r="A460">
        <v>1441</v>
      </c>
      <c r="B460" s="1" t="s">
        <v>40</v>
      </c>
      <c r="C460" s="1" t="s">
        <v>40</v>
      </c>
    </row>
    <row r="461" spans="1:3" x14ac:dyDescent="0.4">
      <c r="A461">
        <v>1442</v>
      </c>
      <c r="B461" s="1" t="s">
        <v>40</v>
      </c>
      <c r="C461" s="1" t="s">
        <v>40</v>
      </c>
    </row>
    <row r="462" spans="1:3" x14ac:dyDescent="0.4">
      <c r="A462">
        <v>1443</v>
      </c>
      <c r="B462" s="1" t="s">
        <v>40</v>
      </c>
      <c r="C462" s="1" t="s">
        <v>40</v>
      </c>
    </row>
    <row r="463" spans="1:3" x14ac:dyDescent="0.4">
      <c r="A463">
        <v>1444</v>
      </c>
      <c r="B463" s="1" t="s">
        <v>40</v>
      </c>
      <c r="C463" s="1" t="s">
        <v>40</v>
      </c>
    </row>
    <row r="464" spans="1:3" x14ac:dyDescent="0.4">
      <c r="A464">
        <v>1445</v>
      </c>
      <c r="B464" s="1" t="s">
        <v>40</v>
      </c>
      <c r="C464" s="1" t="s">
        <v>40</v>
      </c>
    </row>
    <row r="465" spans="1:3" x14ac:dyDescent="0.4">
      <c r="A465">
        <v>1446</v>
      </c>
      <c r="B465" s="1" t="s">
        <v>40</v>
      </c>
      <c r="C465" s="1" t="s">
        <v>40</v>
      </c>
    </row>
    <row r="466" spans="1:3" x14ac:dyDescent="0.4">
      <c r="A466">
        <v>1447</v>
      </c>
      <c r="B466" s="1" t="s">
        <v>40</v>
      </c>
      <c r="C466" s="1" t="s">
        <v>40</v>
      </c>
    </row>
    <row r="467" spans="1:3" x14ac:dyDescent="0.4">
      <c r="A467">
        <v>1448</v>
      </c>
      <c r="B467" s="1" t="s">
        <v>40</v>
      </c>
      <c r="C467" s="1" t="s">
        <v>40</v>
      </c>
    </row>
    <row r="468" spans="1:3" x14ac:dyDescent="0.4">
      <c r="A468">
        <v>1449</v>
      </c>
      <c r="B468" s="1" t="s">
        <v>40</v>
      </c>
      <c r="C468" s="1" t="s">
        <v>40</v>
      </c>
    </row>
    <row r="469" spans="1:3" x14ac:dyDescent="0.4">
      <c r="A469">
        <v>1450</v>
      </c>
      <c r="B469" s="1" t="s">
        <v>1036</v>
      </c>
      <c r="C469" s="1" t="s">
        <v>54</v>
      </c>
    </row>
    <row r="470" spans="1:3" x14ac:dyDescent="0.4">
      <c r="A470">
        <v>1451</v>
      </c>
      <c r="B470" s="1" t="s">
        <v>40</v>
      </c>
      <c r="C470" s="1" t="s">
        <v>40</v>
      </c>
    </row>
    <row r="471" spans="1:3" x14ac:dyDescent="0.4">
      <c r="A471">
        <v>1452</v>
      </c>
      <c r="B471" s="1" t="s">
        <v>40</v>
      </c>
      <c r="C471" s="1" t="s">
        <v>40</v>
      </c>
    </row>
    <row r="472" spans="1:3" x14ac:dyDescent="0.4">
      <c r="A472">
        <v>1453</v>
      </c>
      <c r="B472" s="1" t="s">
        <v>40</v>
      </c>
      <c r="C472" s="1" t="s">
        <v>40</v>
      </c>
    </row>
    <row r="473" spans="1:3" x14ac:dyDescent="0.4">
      <c r="A473">
        <v>1454</v>
      </c>
      <c r="B473" s="1" t="s">
        <v>40</v>
      </c>
      <c r="C473" s="1" t="s">
        <v>40</v>
      </c>
    </row>
    <row r="474" spans="1:3" x14ac:dyDescent="0.4">
      <c r="A474">
        <v>1455</v>
      </c>
      <c r="B474" s="1" t="s">
        <v>40</v>
      </c>
      <c r="C474" s="1" t="s">
        <v>40</v>
      </c>
    </row>
    <row r="475" spans="1:3" x14ac:dyDescent="0.4">
      <c r="A475">
        <v>1456</v>
      </c>
      <c r="B475" s="1" t="s">
        <v>40</v>
      </c>
      <c r="C475" s="1" t="s">
        <v>40</v>
      </c>
    </row>
    <row r="476" spans="1:3" x14ac:dyDescent="0.4">
      <c r="A476">
        <v>1457</v>
      </c>
      <c r="B476" s="1" t="s">
        <v>40</v>
      </c>
      <c r="C476" s="1" t="s">
        <v>40</v>
      </c>
    </row>
    <row r="477" spans="1:3" x14ac:dyDescent="0.4">
      <c r="A477">
        <v>1458</v>
      </c>
      <c r="B477" s="1" t="s">
        <v>40</v>
      </c>
      <c r="C477" s="1" t="s">
        <v>40</v>
      </c>
    </row>
    <row r="478" spans="1:3" x14ac:dyDescent="0.4">
      <c r="A478">
        <v>1459</v>
      </c>
      <c r="B478" s="1" t="s">
        <v>40</v>
      </c>
      <c r="C478" s="1" t="s">
        <v>40</v>
      </c>
    </row>
    <row r="479" spans="1:3" x14ac:dyDescent="0.4">
      <c r="A479">
        <v>1460</v>
      </c>
      <c r="B479" s="1" t="s">
        <v>1033</v>
      </c>
      <c r="C479" s="1" t="s">
        <v>51</v>
      </c>
    </row>
    <row r="480" spans="1:3" x14ac:dyDescent="0.4">
      <c r="A480">
        <v>1461</v>
      </c>
      <c r="B480" s="1" t="s">
        <v>40</v>
      </c>
      <c r="C480" s="1" t="s">
        <v>40</v>
      </c>
    </row>
    <row r="481" spans="1:3" x14ac:dyDescent="0.4">
      <c r="A481">
        <v>1462</v>
      </c>
      <c r="B481" s="1" t="s">
        <v>40</v>
      </c>
      <c r="C481" s="1" t="s">
        <v>40</v>
      </c>
    </row>
    <row r="482" spans="1:3" x14ac:dyDescent="0.4">
      <c r="A482">
        <v>1463</v>
      </c>
      <c r="B482" s="1" t="s">
        <v>40</v>
      </c>
      <c r="C482" s="1" t="s">
        <v>40</v>
      </c>
    </row>
    <row r="483" spans="1:3" x14ac:dyDescent="0.4">
      <c r="A483">
        <v>1464</v>
      </c>
      <c r="B483" s="1" t="s">
        <v>40</v>
      </c>
      <c r="C483" s="1" t="s">
        <v>40</v>
      </c>
    </row>
    <row r="484" spans="1:3" x14ac:dyDescent="0.4">
      <c r="A484">
        <v>1465</v>
      </c>
      <c r="B484" s="1" t="s">
        <v>40</v>
      </c>
      <c r="C484" s="1" t="s">
        <v>40</v>
      </c>
    </row>
    <row r="485" spans="1:3" x14ac:dyDescent="0.4">
      <c r="A485">
        <v>1466</v>
      </c>
      <c r="B485" s="1" t="s">
        <v>40</v>
      </c>
      <c r="C485" s="1" t="s">
        <v>40</v>
      </c>
    </row>
    <row r="486" spans="1:3" x14ac:dyDescent="0.4">
      <c r="A486">
        <v>1467</v>
      </c>
      <c r="B486" s="1" t="s">
        <v>40</v>
      </c>
      <c r="C486" s="1" t="s">
        <v>40</v>
      </c>
    </row>
    <row r="487" spans="1:3" x14ac:dyDescent="0.4">
      <c r="A487">
        <v>1468</v>
      </c>
      <c r="B487" s="1" t="s">
        <v>40</v>
      </c>
      <c r="C487" s="1" t="s">
        <v>40</v>
      </c>
    </row>
    <row r="488" spans="1:3" x14ac:dyDescent="0.4">
      <c r="A488">
        <v>1469</v>
      </c>
      <c r="B488" s="1" t="s">
        <v>40</v>
      </c>
      <c r="C488" s="1" t="s">
        <v>40</v>
      </c>
    </row>
    <row r="489" spans="1:3" x14ac:dyDescent="0.4">
      <c r="A489">
        <v>1470</v>
      </c>
      <c r="B489" s="1" t="s">
        <v>1036</v>
      </c>
      <c r="C489" s="1" t="s">
        <v>54</v>
      </c>
    </row>
    <row r="490" spans="1:3" x14ac:dyDescent="0.4">
      <c r="A490">
        <v>1471</v>
      </c>
      <c r="B490" s="1" t="s">
        <v>40</v>
      </c>
      <c r="C490" s="1" t="s">
        <v>40</v>
      </c>
    </row>
    <row r="491" spans="1:3" x14ac:dyDescent="0.4">
      <c r="A491">
        <v>1472</v>
      </c>
      <c r="B491" s="1" t="s">
        <v>40</v>
      </c>
      <c r="C491" s="1" t="s">
        <v>40</v>
      </c>
    </row>
    <row r="492" spans="1:3" x14ac:dyDescent="0.4">
      <c r="A492">
        <v>1473</v>
      </c>
      <c r="B492" s="1" t="s">
        <v>40</v>
      </c>
      <c r="C492" s="1" t="s">
        <v>40</v>
      </c>
    </row>
    <row r="493" spans="1:3" x14ac:dyDescent="0.4">
      <c r="A493">
        <v>1474</v>
      </c>
      <c r="B493" s="1" t="s">
        <v>40</v>
      </c>
      <c r="C493" s="1" t="s">
        <v>40</v>
      </c>
    </row>
    <row r="494" spans="1:3" x14ac:dyDescent="0.4">
      <c r="A494">
        <v>1475</v>
      </c>
      <c r="B494" s="1" t="s">
        <v>40</v>
      </c>
      <c r="C494" s="1" t="s">
        <v>40</v>
      </c>
    </row>
    <row r="495" spans="1:3" x14ac:dyDescent="0.4">
      <c r="A495">
        <v>1476</v>
      </c>
      <c r="B495" s="1" t="s">
        <v>40</v>
      </c>
      <c r="C495" s="1" t="s">
        <v>40</v>
      </c>
    </row>
    <row r="496" spans="1:3" x14ac:dyDescent="0.4">
      <c r="A496">
        <v>1477</v>
      </c>
      <c r="B496" s="1" t="s">
        <v>40</v>
      </c>
      <c r="C496" s="1" t="s">
        <v>40</v>
      </c>
    </row>
    <row r="497" spans="1:3" x14ac:dyDescent="0.4">
      <c r="A497">
        <v>1478</v>
      </c>
      <c r="B497" s="1" t="s">
        <v>40</v>
      </c>
      <c r="C497" s="1" t="s">
        <v>40</v>
      </c>
    </row>
    <row r="498" spans="1:3" x14ac:dyDescent="0.4">
      <c r="A498">
        <v>1479</v>
      </c>
      <c r="B498" s="1" t="s">
        <v>40</v>
      </c>
      <c r="C498" s="1" t="s">
        <v>40</v>
      </c>
    </row>
    <row r="499" spans="1:3" x14ac:dyDescent="0.4">
      <c r="A499">
        <v>1480</v>
      </c>
      <c r="B499" s="1" t="s">
        <v>1030</v>
      </c>
      <c r="C499" s="1" t="s">
        <v>48</v>
      </c>
    </row>
    <row r="500" spans="1:3" x14ac:dyDescent="0.4">
      <c r="A500">
        <v>1481</v>
      </c>
      <c r="B500" s="1" t="s">
        <v>40</v>
      </c>
      <c r="C500" s="1" t="s">
        <v>40</v>
      </c>
    </row>
    <row r="501" spans="1:3" x14ac:dyDescent="0.4">
      <c r="A501">
        <v>1482</v>
      </c>
      <c r="B501" s="1" t="s">
        <v>40</v>
      </c>
      <c r="C501" s="1" t="s">
        <v>40</v>
      </c>
    </row>
    <row r="502" spans="1:3" x14ac:dyDescent="0.4">
      <c r="A502">
        <v>1483</v>
      </c>
      <c r="B502" s="1" t="s">
        <v>40</v>
      </c>
      <c r="C502" s="1" t="s">
        <v>40</v>
      </c>
    </row>
    <row r="503" spans="1:3" x14ac:dyDescent="0.4">
      <c r="A503">
        <v>1484</v>
      </c>
      <c r="B503" s="1" t="s">
        <v>40</v>
      </c>
      <c r="C503" s="1" t="s">
        <v>40</v>
      </c>
    </row>
    <row r="504" spans="1:3" x14ac:dyDescent="0.4">
      <c r="A504">
        <v>1485</v>
      </c>
      <c r="B504" s="1" t="s">
        <v>40</v>
      </c>
      <c r="C504" s="1" t="s">
        <v>40</v>
      </c>
    </row>
    <row r="505" spans="1:3" x14ac:dyDescent="0.4">
      <c r="A505">
        <v>1486</v>
      </c>
      <c r="B505" s="1" t="s">
        <v>40</v>
      </c>
      <c r="C505" s="1" t="s">
        <v>40</v>
      </c>
    </row>
    <row r="506" spans="1:3" x14ac:dyDescent="0.4">
      <c r="A506">
        <v>1487</v>
      </c>
      <c r="B506" s="1" t="s">
        <v>40</v>
      </c>
      <c r="C506" s="1" t="s">
        <v>40</v>
      </c>
    </row>
    <row r="507" spans="1:3" x14ac:dyDescent="0.4">
      <c r="A507">
        <v>1488</v>
      </c>
      <c r="B507" s="1" t="s">
        <v>40</v>
      </c>
      <c r="C507" s="1" t="s">
        <v>40</v>
      </c>
    </row>
    <row r="508" spans="1:3" x14ac:dyDescent="0.4">
      <c r="A508">
        <v>1489</v>
      </c>
      <c r="B508" s="1" t="s">
        <v>40</v>
      </c>
      <c r="C508" s="1" t="s">
        <v>40</v>
      </c>
    </row>
    <row r="509" spans="1:3" x14ac:dyDescent="0.4">
      <c r="A509">
        <v>1490</v>
      </c>
      <c r="B509" s="1" t="s">
        <v>1039</v>
      </c>
      <c r="C509" s="1" t="s">
        <v>57</v>
      </c>
    </row>
    <row r="510" spans="1:3" x14ac:dyDescent="0.4">
      <c r="A510">
        <v>1491</v>
      </c>
      <c r="B510" s="1" t="s">
        <v>40</v>
      </c>
      <c r="C510" s="1" t="s">
        <v>40</v>
      </c>
    </row>
    <row r="511" spans="1:3" x14ac:dyDescent="0.4">
      <c r="A511">
        <v>1492</v>
      </c>
      <c r="B511" s="1" t="s">
        <v>40</v>
      </c>
      <c r="C511" s="1" t="s">
        <v>40</v>
      </c>
    </row>
    <row r="512" spans="1:3" x14ac:dyDescent="0.4">
      <c r="A512">
        <v>1493</v>
      </c>
      <c r="B512" s="1" t="s">
        <v>40</v>
      </c>
      <c r="C512" s="1" t="s">
        <v>40</v>
      </c>
    </row>
    <row r="513" spans="1:3" x14ac:dyDescent="0.4">
      <c r="A513">
        <v>1494</v>
      </c>
      <c r="B513" s="1" t="s">
        <v>40</v>
      </c>
      <c r="C513" s="1" t="s">
        <v>40</v>
      </c>
    </row>
    <row r="514" spans="1:3" x14ac:dyDescent="0.4">
      <c r="A514">
        <v>1495</v>
      </c>
      <c r="B514" s="1" t="s">
        <v>40</v>
      </c>
      <c r="C514" s="1" t="s">
        <v>40</v>
      </c>
    </row>
    <row r="515" spans="1:3" x14ac:dyDescent="0.4">
      <c r="A515">
        <v>1496</v>
      </c>
      <c r="B515" s="1" t="s">
        <v>40</v>
      </c>
      <c r="C515" s="1" t="s">
        <v>40</v>
      </c>
    </row>
    <row r="516" spans="1:3" x14ac:dyDescent="0.4">
      <c r="A516">
        <v>1497</v>
      </c>
      <c r="B516" s="1" t="s">
        <v>40</v>
      </c>
      <c r="C516" s="1" t="s">
        <v>40</v>
      </c>
    </row>
    <row r="517" spans="1:3" x14ac:dyDescent="0.4">
      <c r="A517">
        <v>1498</v>
      </c>
      <c r="B517" s="1" t="s">
        <v>40</v>
      </c>
      <c r="C517" s="1" t="s">
        <v>40</v>
      </c>
    </row>
    <row r="518" spans="1:3" x14ac:dyDescent="0.4">
      <c r="A518">
        <v>1499</v>
      </c>
      <c r="B518" s="1" t="s">
        <v>40</v>
      </c>
      <c r="C518" s="1" t="s">
        <v>40</v>
      </c>
    </row>
    <row r="519" spans="1:3" x14ac:dyDescent="0.4">
      <c r="A519">
        <v>1500</v>
      </c>
      <c r="B519" s="1" t="s">
        <v>1030</v>
      </c>
      <c r="C519" s="1" t="s">
        <v>48</v>
      </c>
    </row>
    <row r="520" spans="1:3" x14ac:dyDescent="0.4">
      <c r="A520">
        <v>1501</v>
      </c>
      <c r="B520" s="1" t="s">
        <v>40</v>
      </c>
      <c r="C520" s="1" t="s">
        <v>40</v>
      </c>
    </row>
    <row r="521" spans="1:3" x14ac:dyDescent="0.4">
      <c r="A521">
        <v>1502</v>
      </c>
      <c r="B521" s="1" t="s">
        <v>40</v>
      </c>
      <c r="C521" s="1" t="s">
        <v>40</v>
      </c>
    </row>
    <row r="522" spans="1:3" x14ac:dyDescent="0.4">
      <c r="A522">
        <v>1503</v>
      </c>
      <c r="B522" s="1" t="s">
        <v>40</v>
      </c>
      <c r="C522" s="1" t="s">
        <v>40</v>
      </c>
    </row>
    <row r="523" spans="1:3" x14ac:dyDescent="0.4">
      <c r="A523">
        <v>1504</v>
      </c>
      <c r="B523" s="1" t="s">
        <v>40</v>
      </c>
      <c r="C523" s="1" t="s">
        <v>40</v>
      </c>
    </row>
    <row r="524" spans="1:3" x14ac:dyDescent="0.4">
      <c r="A524">
        <v>1505</v>
      </c>
      <c r="B524" s="1" t="s">
        <v>40</v>
      </c>
      <c r="C524" s="1" t="s">
        <v>40</v>
      </c>
    </row>
    <row r="525" spans="1:3" x14ac:dyDescent="0.4">
      <c r="A525">
        <v>1506</v>
      </c>
      <c r="B525" s="1" t="s">
        <v>40</v>
      </c>
      <c r="C525" s="1" t="s">
        <v>40</v>
      </c>
    </row>
    <row r="526" spans="1:3" x14ac:dyDescent="0.4">
      <c r="A526">
        <v>1507</v>
      </c>
      <c r="B526" s="1" t="s">
        <v>40</v>
      </c>
      <c r="C526" s="1" t="s">
        <v>40</v>
      </c>
    </row>
    <row r="527" spans="1:3" x14ac:dyDescent="0.4">
      <c r="A527">
        <v>1508</v>
      </c>
      <c r="B527" s="1" t="s">
        <v>40</v>
      </c>
      <c r="C527" s="1" t="s">
        <v>40</v>
      </c>
    </row>
    <row r="528" spans="1:3" x14ac:dyDescent="0.4">
      <c r="A528">
        <v>1509</v>
      </c>
      <c r="B528" s="1" t="s">
        <v>40</v>
      </c>
      <c r="C528" s="1" t="s">
        <v>40</v>
      </c>
    </row>
    <row r="529" spans="1:3" x14ac:dyDescent="0.4">
      <c r="A529">
        <v>1510</v>
      </c>
      <c r="B529" s="1" t="s">
        <v>1036</v>
      </c>
      <c r="C529" s="1" t="s">
        <v>54</v>
      </c>
    </row>
    <row r="530" spans="1:3" x14ac:dyDescent="0.4">
      <c r="A530">
        <v>1511</v>
      </c>
      <c r="B530" s="1" t="s">
        <v>40</v>
      </c>
      <c r="C530" s="1" t="s">
        <v>40</v>
      </c>
    </row>
    <row r="531" spans="1:3" x14ac:dyDescent="0.4">
      <c r="A531">
        <v>1512</v>
      </c>
      <c r="B531" s="1" t="s">
        <v>40</v>
      </c>
      <c r="C531" s="1" t="s">
        <v>40</v>
      </c>
    </row>
    <row r="532" spans="1:3" x14ac:dyDescent="0.4">
      <c r="A532">
        <v>1513</v>
      </c>
      <c r="B532" s="1" t="s">
        <v>40</v>
      </c>
      <c r="C532" s="1" t="s">
        <v>40</v>
      </c>
    </row>
    <row r="533" spans="1:3" x14ac:dyDescent="0.4">
      <c r="A533">
        <v>1514</v>
      </c>
      <c r="B533" s="1" t="s">
        <v>40</v>
      </c>
      <c r="C533" s="1" t="s">
        <v>40</v>
      </c>
    </row>
    <row r="534" spans="1:3" x14ac:dyDescent="0.4">
      <c r="A534">
        <v>1515</v>
      </c>
      <c r="B534" s="1" t="s">
        <v>40</v>
      </c>
      <c r="C534" s="1" t="s">
        <v>40</v>
      </c>
    </row>
    <row r="535" spans="1:3" x14ac:dyDescent="0.4">
      <c r="A535">
        <v>1516</v>
      </c>
      <c r="B535" s="1" t="s">
        <v>40</v>
      </c>
      <c r="C535" s="1" t="s">
        <v>40</v>
      </c>
    </row>
    <row r="536" spans="1:3" x14ac:dyDescent="0.4">
      <c r="A536">
        <v>1517</v>
      </c>
      <c r="B536" s="1" t="s">
        <v>40</v>
      </c>
      <c r="C536" s="1" t="s">
        <v>40</v>
      </c>
    </row>
    <row r="537" spans="1:3" x14ac:dyDescent="0.4">
      <c r="A537">
        <v>1518</v>
      </c>
      <c r="B537" s="1" t="s">
        <v>40</v>
      </c>
      <c r="C537" s="1" t="s">
        <v>40</v>
      </c>
    </row>
    <row r="538" spans="1:3" x14ac:dyDescent="0.4">
      <c r="A538">
        <v>1519</v>
      </c>
      <c r="B538" s="1" t="s">
        <v>40</v>
      </c>
      <c r="C538" s="1" t="s">
        <v>40</v>
      </c>
    </row>
    <row r="539" spans="1:3" x14ac:dyDescent="0.4">
      <c r="A539">
        <v>1520</v>
      </c>
      <c r="B539" s="1" t="s">
        <v>1033</v>
      </c>
      <c r="C539" s="1" t="s">
        <v>51</v>
      </c>
    </row>
    <row r="540" spans="1:3" x14ac:dyDescent="0.4">
      <c r="A540">
        <v>1600</v>
      </c>
      <c r="B540" s="1" t="s">
        <v>1036</v>
      </c>
      <c r="C540" s="1" t="s">
        <v>54</v>
      </c>
    </row>
    <row r="541" spans="1:3" x14ac:dyDescent="0.4">
      <c r="A541">
        <v>1601</v>
      </c>
      <c r="B541" s="1" t="s">
        <v>40</v>
      </c>
      <c r="C541" s="1" t="s">
        <v>40</v>
      </c>
    </row>
    <row r="542" spans="1:3" x14ac:dyDescent="0.4">
      <c r="A542">
        <v>1602</v>
      </c>
      <c r="B542" s="1" t="s">
        <v>40</v>
      </c>
      <c r="C542" s="1" t="s">
        <v>40</v>
      </c>
    </row>
    <row r="543" spans="1:3" x14ac:dyDescent="0.4">
      <c r="A543">
        <v>1603</v>
      </c>
      <c r="B543" s="1" t="s">
        <v>40</v>
      </c>
      <c r="C543" s="1" t="s">
        <v>40</v>
      </c>
    </row>
    <row r="544" spans="1:3" x14ac:dyDescent="0.4">
      <c r="A544">
        <v>1604</v>
      </c>
      <c r="B544" s="1" t="s">
        <v>40</v>
      </c>
      <c r="C544" s="1" t="s">
        <v>40</v>
      </c>
    </row>
    <row r="545" spans="1:3" x14ac:dyDescent="0.4">
      <c r="A545">
        <v>1605</v>
      </c>
      <c r="B545" s="1" t="s">
        <v>40</v>
      </c>
      <c r="C545" s="1" t="s">
        <v>40</v>
      </c>
    </row>
    <row r="546" spans="1:3" x14ac:dyDescent="0.4">
      <c r="A546">
        <v>1606</v>
      </c>
      <c r="B546" s="1" t="s">
        <v>40</v>
      </c>
      <c r="C546" s="1" t="s">
        <v>40</v>
      </c>
    </row>
    <row r="547" spans="1:3" x14ac:dyDescent="0.4">
      <c r="A547">
        <v>1607</v>
      </c>
      <c r="B547" s="1" t="s">
        <v>40</v>
      </c>
      <c r="C547" s="1" t="s">
        <v>40</v>
      </c>
    </row>
    <row r="548" spans="1:3" x14ac:dyDescent="0.4">
      <c r="A548">
        <v>1608</v>
      </c>
      <c r="B548" s="1" t="s">
        <v>40</v>
      </c>
      <c r="C548" s="1" t="s">
        <v>40</v>
      </c>
    </row>
    <row r="549" spans="1:3" x14ac:dyDescent="0.4">
      <c r="A549">
        <v>1609</v>
      </c>
      <c r="B549" s="1" t="s">
        <v>40</v>
      </c>
      <c r="C549" s="1" t="s">
        <v>40</v>
      </c>
    </row>
    <row r="550" spans="1:3" x14ac:dyDescent="0.4">
      <c r="A550">
        <v>1610</v>
      </c>
      <c r="B550" s="1" t="s">
        <v>1033</v>
      </c>
      <c r="C550" s="1" t="s">
        <v>51</v>
      </c>
    </row>
    <row r="551" spans="1:3" x14ac:dyDescent="0.4">
      <c r="A551">
        <v>1611</v>
      </c>
      <c r="B551" s="1" t="s">
        <v>40</v>
      </c>
      <c r="C551" s="1" t="s">
        <v>40</v>
      </c>
    </row>
    <row r="552" spans="1:3" x14ac:dyDescent="0.4">
      <c r="A552">
        <v>1612</v>
      </c>
      <c r="B552" s="1" t="s">
        <v>40</v>
      </c>
      <c r="C552" s="1" t="s">
        <v>40</v>
      </c>
    </row>
    <row r="553" spans="1:3" x14ac:dyDescent="0.4">
      <c r="A553">
        <v>1613</v>
      </c>
      <c r="B553" s="1" t="s">
        <v>40</v>
      </c>
      <c r="C553" s="1" t="s">
        <v>40</v>
      </c>
    </row>
    <row r="554" spans="1:3" x14ac:dyDescent="0.4">
      <c r="A554">
        <v>1614</v>
      </c>
      <c r="B554" s="1" t="s">
        <v>40</v>
      </c>
      <c r="C554" s="1" t="s">
        <v>40</v>
      </c>
    </row>
    <row r="555" spans="1:3" x14ac:dyDescent="0.4">
      <c r="A555">
        <v>1615</v>
      </c>
      <c r="B555" s="1" t="s">
        <v>40</v>
      </c>
      <c r="C555" s="1" t="s">
        <v>40</v>
      </c>
    </row>
    <row r="556" spans="1:3" x14ac:dyDescent="0.4">
      <c r="A556">
        <v>1616</v>
      </c>
      <c r="B556" s="1" t="s">
        <v>40</v>
      </c>
      <c r="C556" s="1" t="s">
        <v>40</v>
      </c>
    </row>
    <row r="557" spans="1:3" x14ac:dyDescent="0.4">
      <c r="A557">
        <v>1617</v>
      </c>
      <c r="B557" s="1" t="s">
        <v>40</v>
      </c>
      <c r="C557" s="1" t="s">
        <v>40</v>
      </c>
    </row>
    <row r="558" spans="1:3" x14ac:dyDescent="0.4">
      <c r="A558">
        <v>1618</v>
      </c>
      <c r="B558" s="1" t="s">
        <v>40</v>
      </c>
      <c r="C558" s="1" t="s">
        <v>40</v>
      </c>
    </row>
    <row r="559" spans="1:3" x14ac:dyDescent="0.4">
      <c r="A559">
        <v>1619</v>
      </c>
      <c r="B559" s="1" t="s">
        <v>40</v>
      </c>
      <c r="C559" s="1" t="s">
        <v>40</v>
      </c>
    </row>
    <row r="560" spans="1:3" x14ac:dyDescent="0.4">
      <c r="A560">
        <v>1620</v>
      </c>
      <c r="B560" s="1" t="s">
        <v>1039</v>
      </c>
      <c r="C560" s="1" t="s">
        <v>57</v>
      </c>
    </row>
    <row r="561" spans="1:3" x14ac:dyDescent="0.4">
      <c r="A561">
        <v>1621</v>
      </c>
      <c r="B561" s="1" t="s">
        <v>40</v>
      </c>
      <c r="C561" s="1" t="s">
        <v>40</v>
      </c>
    </row>
    <row r="562" spans="1:3" x14ac:dyDescent="0.4">
      <c r="A562">
        <v>1622</v>
      </c>
      <c r="B562" s="1" t="s">
        <v>40</v>
      </c>
      <c r="C562" s="1" t="s">
        <v>40</v>
      </c>
    </row>
    <row r="563" spans="1:3" x14ac:dyDescent="0.4">
      <c r="A563">
        <v>1623</v>
      </c>
      <c r="B563" s="1" t="s">
        <v>40</v>
      </c>
      <c r="C563" s="1" t="s">
        <v>40</v>
      </c>
    </row>
    <row r="564" spans="1:3" x14ac:dyDescent="0.4">
      <c r="A564">
        <v>1624</v>
      </c>
      <c r="B564" s="1" t="s">
        <v>40</v>
      </c>
      <c r="C564" s="1" t="s">
        <v>40</v>
      </c>
    </row>
    <row r="565" spans="1:3" x14ac:dyDescent="0.4">
      <c r="A565">
        <v>1625</v>
      </c>
      <c r="B565" s="1" t="s">
        <v>40</v>
      </c>
      <c r="C565" s="1" t="s">
        <v>40</v>
      </c>
    </row>
    <row r="566" spans="1:3" x14ac:dyDescent="0.4">
      <c r="A566">
        <v>1626</v>
      </c>
      <c r="B566" s="1" t="s">
        <v>40</v>
      </c>
      <c r="C566" s="1" t="s">
        <v>40</v>
      </c>
    </row>
    <row r="567" spans="1:3" x14ac:dyDescent="0.4">
      <c r="A567">
        <v>1627</v>
      </c>
      <c r="B567" s="1" t="s">
        <v>40</v>
      </c>
      <c r="C567" s="1" t="s">
        <v>40</v>
      </c>
    </row>
    <row r="568" spans="1:3" x14ac:dyDescent="0.4">
      <c r="A568">
        <v>1628</v>
      </c>
      <c r="B568" s="1" t="s">
        <v>40</v>
      </c>
      <c r="C568" s="1" t="s">
        <v>40</v>
      </c>
    </row>
    <row r="569" spans="1:3" x14ac:dyDescent="0.4">
      <c r="A569">
        <v>1629</v>
      </c>
      <c r="B569" s="1" t="s">
        <v>40</v>
      </c>
      <c r="C569" s="1" t="s">
        <v>40</v>
      </c>
    </row>
    <row r="570" spans="1:3" x14ac:dyDescent="0.4">
      <c r="A570">
        <v>1630</v>
      </c>
      <c r="B570" s="1" t="s">
        <v>1036</v>
      </c>
      <c r="C570" s="1" t="s">
        <v>54</v>
      </c>
    </row>
    <row r="571" spans="1:3" x14ac:dyDescent="0.4">
      <c r="A571">
        <v>1631</v>
      </c>
      <c r="B571" s="1" t="s">
        <v>40</v>
      </c>
      <c r="C571" s="1" t="s">
        <v>40</v>
      </c>
    </row>
    <row r="572" spans="1:3" x14ac:dyDescent="0.4">
      <c r="A572">
        <v>1632</v>
      </c>
      <c r="B572" s="1" t="s">
        <v>40</v>
      </c>
      <c r="C572" s="1" t="s">
        <v>40</v>
      </c>
    </row>
    <row r="573" spans="1:3" x14ac:dyDescent="0.4">
      <c r="A573">
        <v>1633</v>
      </c>
      <c r="B573" s="1" t="s">
        <v>40</v>
      </c>
      <c r="C573" s="1" t="s">
        <v>40</v>
      </c>
    </row>
    <row r="574" spans="1:3" x14ac:dyDescent="0.4">
      <c r="A574">
        <v>1634</v>
      </c>
      <c r="B574" s="1" t="s">
        <v>40</v>
      </c>
      <c r="C574" s="1" t="s">
        <v>40</v>
      </c>
    </row>
    <row r="575" spans="1:3" x14ac:dyDescent="0.4">
      <c r="A575">
        <v>1635</v>
      </c>
      <c r="B575" s="1" t="s">
        <v>40</v>
      </c>
      <c r="C575" s="1" t="s">
        <v>40</v>
      </c>
    </row>
    <row r="576" spans="1:3" x14ac:dyDescent="0.4">
      <c r="A576">
        <v>1636</v>
      </c>
      <c r="B576" s="1" t="s">
        <v>40</v>
      </c>
      <c r="C576" s="1" t="s">
        <v>40</v>
      </c>
    </row>
    <row r="577" spans="1:3" x14ac:dyDescent="0.4">
      <c r="A577">
        <v>1637</v>
      </c>
      <c r="B577" s="1" t="s">
        <v>40</v>
      </c>
      <c r="C577" s="1" t="s">
        <v>40</v>
      </c>
    </row>
    <row r="578" spans="1:3" x14ac:dyDescent="0.4">
      <c r="A578">
        <v>1638</v>
      </c>
      <c r="B578" s="1" t="s">
        <v>40</v>
      </c>
      <c r="C578" s="1" t="s">
        <v>40</v>
      </c>
    </row>
    <row r="579" spans="1:3" x14ac:dyDescent="0.4">
      <c r="A579">
        <v>1639</v>
      </c>
      <c r="B579" s="1" t="s">
        <v>40</v>
      </c>
      <c r="C579" s="1" t="s">
        <v>40</v>
      </c>
    </row>
    <row r="580" spans="1:3" x14ac:dyDescent="0.4">
      <c r="A580">
        <v>1640</v>
      </c>
      <c r="B580" s="1" t="s">
        <v>1039</v>
      </c>
      <c r="C580" s="1" t="s">
        <v>57</v>
      </c>
    </row>
    <row r="581" spans="1:3" x14ac:dyDescent="0.4">
      <c r="A581">
        <v>1641</v>
      </c>
      <c r="B581" s="1" t="s">
        <v>40</v>
      </c>
      <c r="C581" s="1" t="s">
        <v>40</v>
      </c>
    </row>
    <row r="582" spans="1:3" x14ac:dyDescent="0.4">
      <c r="A582">
        <v>1642</v>
      </c>
      <c r="B582" s="1" t="s">
        <v>40</v>
      </c>
      <c r="C582" s="1" t="s">
        <v>40</v>
      </c>
    </row>
    <row r="583" spans="1:3" x14ac:dyDescent="0.4">
      <c r="A583">
        <v>1643</v>
      </c>
      <c r="B583" s="1" t="s">
        <v>40</v>
      </c>
      <c r="C583" s="1" t="s">
        <v>40</v>
      </c>
    </row>
    <row r="584" spans="1:3" x14ac:dyDescent="0.4">
      <c r="A584">
        <v>1644</v>
      </c>
      <c r="B584" s="1" t="s">
        <v>40</v>
      </c>
      <c r="C584" s="1" t="s">
        <v>40</v>
      </c>
    </row>
    <row r="585" spans="1:3" x14ac:dyDescent="0.4">
      <c r="A585">
        <v>1645</v>
      </c>
      <c r="B585" s="1" t="s">
        <v>40</v>
      </c>
      <c r="C585" s="1" t="s">
        <v>40</v>
      </c>
    </row>
    <row r="586" spans="1:3" x14ac:dyDescent="0.4">
      <c r="A586">
        <v>1646</v>
      </c>
      <c r="B586" s="1" t="s">
        <v>40</v>
      </c>
      <c r="C586" s="1" t="s">
        <v>40</v>
      </c>
    </row>
    <row r="587" spans="1:3" x14ac:dyDescent="0.4">
      <c r="A587">
        <v>1647</v>
      </c>
      <c r="B587" s="1" t="s">
        <v>40</v>
      </c>
      <c r="C587" s="1" t="s">
        <v>40</v>
      </c>
    </row>
    <row r="588" spans="1:3" x14ac:dyDescent="0.4">
      <c r="A588">
        <v>1648</v>
      </c>
      <c r="B588" s="1" t="s">
        <v>40</v>
      </c>
      <c r="C588" s="1" t="s">
        <v>40</v>
      </c>
    </row>
    <row r="589" spans="1:3" x14ac:dyDescent="0.4">
      <c r="A589">
        <v>1649</v>
      </c>
      <c r="B589" s="1" t="s">
        <v>40</v>
      </c>
      <c r="C589" s="1" t="s">
        <v>40</v>
      </c>
    </row>
    <row r="590" spans="1:3" x14ac:dyDescent="0.4">
      <c r="A590">
        <v>1650</v>
      </c>
      <c r="B590" s="1" t="s">
        <v>1030</v>
      </c>
      <c r="C590" s="1" t="s">
        <v>48</v>
      </c>
    </row>
    <row r="591" spans="1:3" x14ac:dyDescent="0.4">
      <c r="A591">
        <v>1651</v>
      </c>
      <c r="B591" s="1" t="s">
        <v>40</v>
      </c>
      <c r="C591" s="1" t="s">
        <v>40</v>
      </c>
    </row>
    <row r="592" spans="1:3" x14ac:dyDescent="0.4">
      <c r="A592">
        <v>1652</v>
      </c>
      <c r="B592" s="1" t="s">
        <v>40</v>
      </c>
      <c r="C592" s="1" t="s">
        <v>40</v>
      </c>
    </row>
    <row r="593" spans="1:3" x14ac:dyDescent="0.4">
      <c r="A593">
        <v>1653</v>
      </c>
      <c r="B593" s="1" t="s">
        <v>40</v>
      </c>
      <c r="C593" s="1" t="s">
        <v>40</v>
      </c>
    </row>
    <row r="594" spans="1:3" x14ac:dyDescent="0.4">
      <c r="A594">
        <v>1654</v>
      </c>
      <c r="B594" s="1" t="s">
        <v>40</v>
      </c>
      <c r="C594" s="1" t="s">
        <v>40</v>
      </c>
    </row>
    <row r="595" spans="1:3" x14ac:dyDescent="0.4">
      <c r="A595">
        <v>1655</v>
      </c>
      <c r="B595" s="1" t="s">
        <v>40</v>
      </c>
      <c r="C595" s="1" t="s">
        <v>40</v>
      </c>
    </row>
    <row r="596" spans="1:3" x14ac:dyDescent="0.4">
      <c r="A596">
        <v>1656</v>
      </c>
      <c r="B596" s="1" t="s">
        <v>40</v>
      </c>
      <c r="C596" s="1" t="s">
        <v>40</v>
      </c>
    </row>
    <row r="597" spans="1:3" x14ac:dyDescent="0.4">
      <c r="A597">
        <v>1657</v>
      </c>
      <c r="B597" s="1" t="s">
        <v>40</v>
      </c>
      <c r="C597" s="1" t="s">
        <v>40</v>
      </c>
    </row>
    <row r="598" spans="1:3" x14ac:dyDescent="0.4">
      <c r="A598">
        <v>1658</v>
      </c>
      <c r="B598" s="1" t="s">
        <v>40</v>
      </c>
      <c r="C598" s="1" t="s">
        <v>40</v>
      </c>
    </row>
    <row r="599" spans="1:3" x14ac:dyDescent="0.4">
      <c r="A599">
        <v>1659</v>
      </c>
      <c r="B599" s="1" t="s">
        <v>40</v>
      </c>
      <c r="C599" s="1" t="s">
        <v>40</v>
      </c>
    </row>
    <row r="600" spans="1:3" x14ac:dyDescent="0.4">
      <c r="A600">
        <v>1660</v>
      </c>
      <c r="B600" s="1" t="s">
        <v>1030</v>
      </c>
      <c r="C600" s="1" t="s">
        <v>48</v>
      </c>
    </row>
    <row r="601" spans="1:3" x14ac:dyDescent="0.4">
      <c r="A601">
        <v>1661</v>
      </c>
      <c r="B601" s="1" t="s">
        <v>40</v>
      </c>
      <c r="C601" s="1" t="s">
        <v>40</v>
      </c>
    </row>
    <row r="602" spans="1:3" x14ac:dyDescent="0.4">
      <c r="A602">
        <v>1662</v>
      </c>
      <c r="B602" s="1" t="s">
        <v>40</v>
      </c>
      <c r="C602" s="1" t="s">
        <v>40</v>
      </c>
    </row>
    <row r="603" spans="1:3" x14ac:dyDescent="0.4">
      <c r="A603">
        <v>1663</v>
      </c>
      <c r="B603" s="1" t="s">
        <v>40</v>
      </c>
      <c r="C603" s="1" t="s">
        <v>40</v>
      </c>
    </row>
    <row r="604" spans="1:3" x14ac:dyDescent="0.4">
      <c r="A604">
        <v>1664</v>
      </c>
      <c r="B604" s="1" t="s">
        <v>40</v>
      </c>
      <c r="C604" s="1" t="s">
        <v>40</v>
      </c>
    </row>
    <row r="605" spans="1:3" x14ac:dyDescent="0.4">
      <c r="A605">
        <v>1665</v>
      </c>
      <c r="B605" s="1" t="s">
        <v>40</v>
      </c>
      <c r="C605" s="1" t="s">
        <v>40</v>
      </c>
    </row>
    <row r="606" spans="1:3" x14ac:dyDescent="0.4">
      <c r="A606">
        <v>1666</v>
      </c>
      <c r="B606" s="1" t="s">
        <v>40</v>
      </c>
      <c r="C606" s="1" t="s">
        <v>40</v>
      </c>
    </row>
    <row r="607" spans="1:3" x14ac:dyDescent="0.4">
      <c r="A607">
        <v>1667</v>
      </c>
      <c r="B607" s="1" t="s">
        <v>40</v>
      </c>
      <c r="C607" s="1" t="s">
        <v>40</v>
      </c>
    </row>
    <row r="608" spans="1:3" x14ac:dyDescent="0.4">
      <c r="A608">
        <v>1668</v>
      </c>
      <c r="B608" s="1" t="s">
        <v>40</v>
      </c>
      <c r="C608" s="1" t="s">
        <v>40</v>
      </c>
    </row>
    <row r="609" spans="1:3" x14ac:dyDescent="0.4">
      <c r="A609">
        <v>1669</v>
      </c>
      <c r="B609" s="1" t="s">
        <v>40</v>
      </c>
      <c r="C609" s="1" t="s">
        <v>40</v>
      </c>
    </row>
    <row r="610" spans="1:3" x14ac:dyDescent="0.4">
      <c r="A610">
        <v>1670</v>
      </c>
      <c r="B610" s="1" t="s">
        <v>1036</v>
      </c>
      <c r="C610" s="1" t="s">
        <v>54</v>
      </c>
    </row>
    <row r="611" spans="1:3" x14ac:dyDescent="0.4">
      <c r="A611">
        <v>1671</v>
      </c>
      <c r="B611" s="1" t="s">
        <v>40</v>
      </c>
      <c r="C611" s="1" t="s">
        <v>40</v>
      </c>
    </row>
    <row r="612" spans="1:3" x14ac:dyDescent="0.4">
      <c r="A612">
        <v>1672</v>
      </c>
      <c r="B612" s="1" t="s">
        <v>40</v>
      </c>
      <c r="C612" s="1" t="s">
        <v>40</v>
      </c>
    </row>
    <row r="613" spans="1:3" x14ac:dyDescent="0.4">
      <c r="A613">
        <v>1673</v>
      </c>
      <c r="B613" s="1" t="s">
        <v>40</v>
      </c>
      <c r="C613" s="1" t="s">
        <v>40</v>
      </c>
    </row>
    <row r="614" spans="1:3" x14ac:dyDescent="0.4">
      <c r="A614">
        <v>1674</v>
      </c>
      <c r="B614" s="1" t="s">
        <v>40</v>
      </c>
      <c r="C614" s="1" t="s">
        <v>40</v>
      </c>
    </row>
    <row r="615" spans="1:3" x14ac:dyDescent="0.4">
      <c r="A615">
        <v>1675</v>
      </c>
      <c r="B615" s="1" t="s">
        <v>40</v>
      </c>
      <c r="C615" s="1" t="s">
        <v>40</v>
      </c>
    </row>
    <row r="616" spans="1:3" x14ac:dyDescent="0.4">
      <c r="A616">
        <v>1676</v>
      </c>
      <c r="B616" s="1" t="s">
        <v>40</v>
      </c>
      <c r="C616" s="1" t="s">
        <v>40</v>
      </c>
    </row>
    <row r="617" spans="1:3" x14ac:dyDescent="0.4">
      <c r="A617">
        <v>1677</v>
      </c>
      <c r="B617" s="1" t="s">
        <v>40</v>
      </c>
      <c r="C617" s="1" t="s">
        <v>40</v>
      </c>
    </row>
    <row r="618" spans="1:3" x14ac:dyDescent="0.4">
      <c r="A618">
        <v>1678</v>
      </c>
      <c r="B618" s="1" t="s">
        <v>40</v>
      </c>
      <c r="C618" s="1" t="s">
        <v>40</v>
      </c>
    </row>
    <row r="619" spans="1:3" x14ac:dyDescent="0.4">
      <c r="A619">
        <v>1679</v>
      </c>
      <c r="B619" s="1" t="s">
        <v>40</v>
      </c>
      <c r="C619" s="1" t="s">
        <v>40</v>
      </c>
    </row>
    <row r="620" spans="1:3" x14ac:dyDescent="0.4">
      <c r="A620">
        <v>1680</v>
      </c>
      <c r="B620" s="1" t="s">
        <v>1033</v>
      </c>
      <c r="C620" s="1" t="s">
        <v>51</v>
      </c>
    </row>
    <row r="621" spans="1:3" x14ac:dyDescent="0.4">
      <c r="A621">
        <v>1681</v>
      </c>
      <c r="B621" s="1" t="s">
        <v>40</v>
      </c>
      <c r="C621" s="1" t="s">
        <v>40</v>
      </c>
    </row>
    <row r="622" spans="1:3" x14ac:dyDescent="0.4">
      <c r="A622">
        <v>1682</v>
      </c>
      <c r="B622" s="1" t="s">
        <v>40</v>
      </c>
      <c r="C622" s="1" t="s">
        <v>40</v>
      </c>
    </row>
    <row r="623" spans="1:3" x14ac:dyDescent="0.4">
      <c r="A623">
        <v>1683</v>
      </c>
      <c r="B623" s="1" t="s">
        <v>40</v>
      </c>
      <c r="C623" s="1" t="s">
        <v>40</v>
      </c>
    </row>
    <row r="624" spans="1:3" x14ac:dyDescent="0.4">
      <c r="A624">
        <v>1684</v>
      </c>
      <c r="B624" s="1" t="s">
        <v>40</v>
      </c>
      <c r="C624" s="1" t="s">
        <v>40</v>
      </c>
    </row>
    <row r="625" spans="1:3" x14ac:dyDescent="0.4">
      <c r="A625">
        <v>1685</v>
      </c>
      <c r="B625" s="1" t="s">
        <v>40</v>
      </c>
      <c r="C625" s="1" t="s">
        <v>40</v>
      </c>
    </row>
    <row r="626" spans="1:3" x14ac:dyDescent="0.4">
      <c r="A626">
        <v>1686</v>
      </c>
      <c r="B626" s="1" t="s">
        <v>40</v>
      </c>
      <c r="C626" s="1" t="s">
        <v>40</v>
      </c>
    </row>
    <row r="627" spans="1:3" x14ac:dyDescent="0.4">
      <c r="A627">
        <v>1687</v>
      </c>
      <c r="B627" s="1" t="s">
        <v>40</v>
      </c>
      <c r="C627" s="1" t="s">
        <v>40</v>
      </c>
    </row>
    <row r="628" spans="1:3" x14ac:dyDescent="0.4">
      <c r="A628">
        <v>1688</v>
      </c>
      <c r="B628" s="1" t="s">
        <v>40</v>
      </c>
      <c r="C628" s="1" t="s">
        <v>40</v>
      </c>
    </row>
    <row r="629" spans="1:3" x14ac:dyDescent="0.4">
      <c r="A629">
        <v>1689</v>
      </c>
      <c r="B629" s="1" t="s">
        <v>40</v>
      </c>
      <c r="C629" s="1" t="s">
        <v>40</v>
      </c>
    </row>
    <row r="630" spans="1:3" x14ac:dyDescent="0.4">
      <c r="A630">
        <v>1690</v>
      </c>
      <c r="B630" s="1" t="s">
        <v>1039</v>
      </c>
      <c r="C630" s="1" t="s">
        <v>57</v>
      </c>
    </row>
    <row r="631" spans="1:3" x14ac:dyDescent="0.4">
      <c r="A631">
        <v>1691</v>
      </c>
      <c r="B631" s="1" t="s">
        <v>40</v>
      </c>
      <c r="C631" s="1" t="s">
        <v>40</v>
      </c>
    </row>
    <row r="632" spans="1:3" x14ac:dyDescent="0.4">
      <c r="A632">
        <v>1692</v>
      </c>
      <c r="B632" s="1" t="s">
        <v>40</v>
      </c>
      <c r="C632" s="1" t="s">
        <v>40</v>
      </c>
    </row>
    <row r="633" spans="1:3" x14ac:dyDescent="0.4">
      <c r="A633">
        <v>1693</v>
      </c>
      <c r="B633" s="1" t="s">
        <v>40</v>
      </c>
      <c r="C633" s="1" t="s">
        <v>40</v>
      </c>
    </row>
    <row r="634" spans="1:3" x14ac:dyDescent="0.4">
      <c r="A634">
        <v>1694</v>
      </c>
      <c r="B634" s="1" t="s">
        <v>40</v>
      </c>
      <c r="C634" s="1" t="s">
        <v>40</v>
      </c>
    </row>
    <row r="635" spans="1:3" x14ac:dyDescent="0.4">
      <c r="A635">
        <v>1695</v>
      </c>
      <c r="B635" s="1" t="s">
        <v>40</v>
      </c>
      <c r="C635" s="1" t="s">
        <v>40</v>
      </c>
    </row>
    <row r="636" spans="1:3" x14ac:dyDescent="0.4">
      <c r="A636">
        <v>1696</v>
      </c>
      <c r="B636" s="1" t="s">
        <v>40</v>
      </c>
      <c r="C636" s="1" t="s">
        <v>40</v>
      </c>
    </row>
    <row r="637" spans="1:3" x14ac:dyDescent="0.4">
      <c r="A637">
        <v>1697</v>
      </c>
      <c r="B637" s="1" t="s">
        <v>40</v>
      </c>
      <c r="C637" s="1" t="s">
        <v>40</v>
      </c>
    </row>
    <row r="638" spans="1:3" x14ac:dyDescent="0.4">
      <c r="A638">
        <v>1698</v>
      </c>
      <c r="B638" s="1" t="s">
        <v>40</v>
      </c>
      <c r="C638" s="1" t="s">
        <v>40</v>
      </c>
    </row>
    <row r="639" spans="1:3" x14ac:dyDescent="0.4">
      <c r="A639">
        <v>1699</v>
      </c>
      <c r="B639" s="1" t="s">
        <v>40</v>
      </c>
      <c r="C639" s="1" t="s">
        <v>40</v>
      </c>
    </row>
    <row r="640" spans="1:3" x14ac:dyDescent="0.4">
      <c r="A640">
        <v>1700</v>
      </c>
      <c r="B640" s="1" t="s">
        <v>1033</v>
      </c>
      <c r="C640" s="1" t="s">
        <v>51</v>
      </c>
    </row>
    <row r="641" spans="1:3" x14ac:dyDescent="0.4">
      <c r="A641">
        <v>1701</v>
      </c>
      <c r="B641" s="1" t="s">
        <v>40</v>
      </c>
      <c r="C641" s="1" t="s">
        <v>40</v>
      </c>
    </row>
    <row r="642" spans="1:3" x14ac:dyDescent="0.4">
      <c r="A642">
        <v>1702</v>
      </c>
      <c r="B642" s="1" t="s">
        <v>40</v>
      </c>
      <c r="C642" s="1" t="s">
        <v>40</v>
      </c>
    </row>
    <row r="643" spans="1:3" x14ac:dyDescent="0.4">
      <c r="A643">
        <v>1703</v>
      </c>
      <c r="B643" s="1" t="s">
        <v>40</v>
      </c>
      <c r="C643" s="1" t="s">
        <v>40</v>
      </c>
    </row>
    <row r="644" spans="1:3" x14ac:dyDescent="0.4">
      <c r="A644">
        <v>1704</v>
      </c>
      <c r="B644" s="1" t="s">
        <v>40</v>
      </c>
      <c r="C644" s="1" t="s">
        <v>40</v>
      </c>
    </row>
    <row r="645" spans="1:3" x14ac:dyDescent="0.4">
      <c r="A645">
        <v>1705</v>
      </c>
      <c r="B645" s="1" t="s">
        <v>40</v>
      </c>
      <c r="C645" s="1" t="s">
        <v>40</v>
      </c>
    </row>
    <row r="646" spans="1:3" x14ac:dyDescent="0.4">
      <c r="A646">
        <v>1706</v>
      </c>
      <c r="B646" s="1" t="s">
        <v>40</v>
      </c>
      <c r="C646" s="1" t="s">
        <v>40</v>
      </c>
    </row>
    <row r="647" spans="1:3" x14ac:dyDescent="0.4">
      <c r="A647">
        <v>1707</v>
      </c>
      <c r="B647" s="1" t="s">
        <v>40</v>
      </c>
      <c r="C647" s="1" t="s">
        <v>40</v>
      </c>
    </row>
    <row r="648" spans="1:3" x14ac:dyDescent="0.4">
      <c r="A648">
        <v>1708</v>
      </c>
      <c r="B648" s="1" t="s">
        <v>40</v>
      </c>
      <c r="C648" s="1" t="s">
        <v>40</v>
      </c>
    </row>
    <row r="649" spans="1:3" x14ac:dyDescent="0.4">
      <c r="A649">
        <v>1709</v>
      </c>
      <c r="B649" s="1" t="s">
        <v>40</v>
      </c>
      <c r="C649" s="1" t="s">
        <v>40</v>
      </c>
    </row>
    <row r="650" spans="1:3" x14ac:dyDescent="0.4">
      <c r="A650">
        <v>1710</v>
      </c>
      <c r="B650" s="1" t="s">
        <v>1030</v>
      </c>
      <c r="C650" s="1" t="s">
        <v>48</v>
      </c>
    </row>
    <row r="651" spans="1:3" x14ac:dyDescent="0.4">
      <c r="A651">
        <v>1711</v>
      </c>
      <c r="B651" s="1" t="s">
        <v>40</v>
      </c>
      <c r="C651" s="1" t="s">
        <v>40</v>
      </c>
    </row>
    <row r="652" spans="1:3" x14ac:dyDescent="0.4">
      <c r="A652">
        <v>1712</v>
      </c>
      <c r="B652" s="1" t="s">
        <v>40</v>
      </c>
      <c r="C652" s="1" t="s">
        <v>40</v>
      </c>
    </row>
    <row r="653" spans="1:3" x14ac:dyDescent="0.4">
      <c r="A653">
        <v>1713</v>
      </c>
      <c r="B653" s="1" t="s">
        <v>40</v>
      </c>
      <c r="C653" s="1" t="s">
        <v>40</v>
      </c>
    </row>
    <row r="654" spans="1:3" x14ac:dyDescent="0.4">
      <c r="A654">
        <v>1714</v>
      </c>
      <c r="B654" s="1" t="s">
        <v>40</v>
      </c>
      <c r="C654" s="1" t="s">
        <v>40</v>
      </c>
    </row>
    <row r="655" spans="1:3" x14ac:dyDescent="0.4">
      <c r="A655">
        <v>1715</v>
      </c>
      <c r="B655" s="1" t="s">
        <v>40</v>
      </c>
      <c r="C655" s="1" t="s">
        <v>40</v>
      </c>
    </row>
    <row r="656" spans="1:3" x14ac:dyDescent="0.4">
      <c r="A656">
        <v>1716</v>
      </c>
      <c r="B656" s="1" t="s">
        <v>40</v>
      </c>
      <c r="C656" s="1" t="s">
        <v>40</v>
      </c>
    </row>
    <row r="657" spans="1:3" x14ac:dyDescent="0.4">
      <c r="A657">
        <v>1717</v>
      </c>
      <c r="B657" s="1" t="s">
        <v>40</v>
      </c>
      <c r="C657" s="1" t="s">
        <v>40</v>
      </c>
    </row>
    <row r="658" spans="1:3" x14ac:dyDescent="0.4">
      <c r="A658">
        <v>1718</v>
      </c>
      <c r="B658" s="1" t="s">
        <v>40</v>
      </c>
      <c r="C658" s="1" t="s">
        <v>40</v>
      </c>
    </row>
    <row r="659" spans="1:3" x14ac:dyDescent="0.4">
      <c r="A659">
        <v>1719</v>
      </c>
      <c r="B659" s="1" t="s">
        <v>40</v>
      </c>
      <c r="C659" s="1" t="s">
        <v>40</v>
      </c>
    </row>
    <row r="660" spans="1:3" x14ac:dyDescent="0.4">
      <c r="A660">
        <v>1720</v>
      </c>
      <c r="B660" s="1" t="s">
        <v>1030</v>
      </c>
      <c r="C660" s="1" t="s">
        <v>48</v>
      </c>
    </row>
    <row r="661" spans="1:3" x14ac:dyDescent="0.4">
      <c r="A661">
        <v>1721</v>
      </c>
      <c r="B661" s="1" t="s">
        <v>40</v>
      </c>
      <c r="C661" s="1" t="s">
        <v>40</v>
      </c>
    </row>
    <row r="662" spans="1:3" x14ac:dyDescent="0.4">
      <c r="A662">
        <v>1722</v>
      </c>
      <c r="B662" s="1" t="s">
        <v>40</v>
      </c>
      <c r="C662" s="1" t="s">
        <v>40</v>
      </c>
    </row>
    <row r="663" spans="1:3" x14ac:dyDescent="0.4">
      <c r="A663">
        <v>1723</v>
      </c>
      <c r="B663" s="1" t="s">
        <v>40</v>
      </c>
      <c r="C663" s="1" t="s">
        <v>40</v>
      </c>
    </row>
    <row r="664" spans="1:3" x14ac:dyDescent="0.4">
      <c r="A664">
        <v>1724</v>
      </c>
      <c r="B664" s="1" t="s">
        <v>40</v>
      </c>
      <c r="C664" s="1" t="s">
        <v>40</v>
      </c>
    </row>
    <row r="665" spans="1:3" x14ac:dyDescent="0.4">
      <c r="A665">
        <v>1725</v>
      </c>
      <c r="B665" s="1" t="s">
        <v>40</v>
      </c>
      <c r="C665" s="1" t="s">
        <v>40</v>
      </c>
    </row>
    <row r="666" spans="1:3" x14ac:dyDescent="0.4">
      <c r="A666">
        <v>1726</v>
      </c>
      <c r="B666" s="1" t="s">
        <v>40</v>
      </c>
      <c r="C666" s="1" t="s">
        <v>40</v>
      </c>
    </row>
    <row r="667" spans="1:3" x14ac:dyDescent="0.4">
      <c r="A667">
        <v>1727</v>
      </c>
      <c r="B667" s="1" t="s">
        <v>40</v>
      </c>
      <c r="C667" s="1" t="s">
        <v>40</v>
      </c>
    </row>
    <row r="668" spans="1:3" x14ac:dyDescent="0.4">
      <c r="A668">
        <v>1728</v>
      </c>
      <c r="B668" s="1" t="s">
        <v>40</v>
      </c>
      <c r="C668" s="1" t="s">
        <v>40</v>
      </c>
    </row>
    <row r="669" spans="1:3" x14ac:dyDescent="0.4">
      <c r="A669">
        <v>1729</v>
      </c>
      <c r="B669" s="1" t="s">
        <v>40</v>
      </c>
      <c r="C669" s="1" t="s">
        <v>40</v>
      </c>
    </row>
    <row r="670" spans="1:3" x14ac:dyDescent="0.4">
      <c r="A670">
        <v>1730</v>
      </c>
      <c r="B670" s="1" t="s">
        <v>1033</v>
      </c>
      <c r="C670" s="1" t="s">
        <v>51</v>
      </c>
    </row>
    <row r="671" spans="1:3" x14ac:dyDescent="0.4">
      <c r="A671">
        <v>1731</v>
      </c>
      <c r="B671" s="1" t="s">
        <v>40</v>
      </c>
      <c r="C671" s="1" t="s">
        <v>40</v>
      </c>
    </row>
    <row r="672" spans="1:3" x14ac:dyDescent="0.4">
      <c r="A672">
        <v>1732</v>
      </c>
      <c r="B672" s="1" t="s">
        <v>40</v>
      </c>
      <c r="C672" s="1" t="s">
        <v>40</v>
      </c>
    </row>
    <row r="673" spans="1:3" x14ac:dyDescent="0.4">
      <c r="A673">
        <v>1733</v>
      </c>
      <c r="B673" s="1" t="s">
        <v>40</v>
      </c>
      <c r="C673" s="1" t="s">
        <v>40</v>
      </c>
    </row>
    <row r="674" spans="1:3" x14ac:dyDescent="0.4">
      <c r="A674">
        <v>1734</v>
      </c>
      <c r="B674" s="1" t="s">
        <v>40</v>
      </c>
      <c r="C674" s="1" t="s">
        <v>40</v>
      </c>
    </row>
    <row r="675" spans="1:3" x14ac:dyDescent="0.4">
      <c r="A675">
        <v>1735</v>
      </c>
      <c r="B675" s="1" t="s">
        <v>40</v>
      </c>
      <c r="C675" s="1" t="s">
        <v>40</v>
      </c>
    </row>
    <row r="676" spans="1:3" x14ac:dyDescent="0.4">
      <c r="A676">
        <v>1736</v>
      </c>
      <c r="B676" s="1" t="s">
        <v>40</v>
      </c>
      <c r="C676" s="1" t="s">
        <v>40</v>
      </c>
    </row>
    <row r="677" spans="1:3" x14ac:dyDescent="0.4">
      <c r="A677">
        <v>1737</v>
      </c>
      <c r="B677" s="1" t="s">
        <v>40</v>
      </c>
      <c r="C677" s="1" t="s">
        <v>40</v>
      </c>
    </row>
    <row r="678" spans="1:3" x14ac:dyDescent="0.4">
      <c r="A678">
        <v>1738</v>
      </c>
      <c r="B678" s="1" t="s">
        <v>40</v>
      </c>
      <c r="C678" s="1" t="s">
        <v>40</v>
      </c>
    </row>
    <row r="679" spans="1:3" x14ac:dyDescent="0.4">
      <c r="A679">
        <v>1739</v>
      </c>
      <c r="B679" s="1" t="s">
        <v>40</v>
      </c>
      <c r="C679" s="1" t="s">
        <v>40</v>
      </c>
    </row>
    <row r="680" spans="1:3" x14ac:dyDescent="0.4">
      <c r="A680">
        <v>1740</v>
      </c>
      <c r="B680" s="1" t="s">
        <v>1036</v>
      </c>
      <c r="C680" s="1" t="s">
        <v>54</v>
      </c>
    </row>
    <row r="681" spans="1:3" x14ac:dyDescent="0.4">
      <c r="A681">
        <v>1741</v>
      </c>
      <c r="B681" s="1" t="s">
        <v>40</v>
      </c>
      <c r="C681" s="1" t="s">
        <v>40</v>
      </c>
    </row>
    <row r="682" spans="1:3" x14ac:dyDescent="0.4">
      <c r="A682">
        <v>1742</v>
      </c>
      <c r="B682" s="1" t="s">
        <v>40</v>
      </c>
      <c r="C682" s="1" t="s">
        <v>40</v>
      </c>
    </row>
    <row r="683" spans="1:3" x14ac:dyDescent="0.4">
      <c r="A683">
        <v>1743</v>
      </c>
      <c r="B683" s="1" t="s">
        <v>40</v>
      </c>
      <c r="C683" s="1" t="s">
        <v>40</v>
      </c>
    </row>
    <row r="684" spans="1:3" x14ac:dyDescent="0.4">
      <c r="A684">
        <v>1744</v>
      </c>
      <c r="B684" s="1" t="s">
        <v>40</v>
      </c>
      <c r="C684" s="1" t="s">
        <v>40</v>
      </c>
    </row>
    <row r="685" spans="1:3" x14ac:dyDescent="0.4">
      <c r="A685">
        <v>1745</v>
      </c>
      <c r="B685" s="1" t="s">
        <v>40</v>
      </c>
      <c r="C685" s="1" t="s">
        <v>40</v>
      </c>
    </row>
    <row r="686" spans="1:3" x14ac:dyDescent="0.4">
      <c r="A686">
        <v>1746</v>
      </c>
      <c r="B686" s="1" t="s">
        <v>40</v>
      </c>
      <c r="C686" s="1" t="s">
        <v>40</v>
      </c>
    </row>
    <row r="687" spans="1:3" x14ac:dyDescent="0.4">
      <c r="A687">
        <v>1747</v>
      </c>
      <c r="B687" s="1" t="s">
        <v>40</v>
      </c>
      <c r="C687" s="1" t="s">
        <v>40</v>
      </c>
    </row>
    <row r="688" spans="1:3" x14ac:dyDescent="0.4">
      <c r="A688">
        <v>1748</v>
      </c>
      <c r="B688" s="1" t="s">
        <v>40</v>
      </c>
      <c r="C688" s="1" t="s">
        <v>40</v>
      </c>
    </row>
    <row r="689" spans="1:3" x14ac:dyDescent="0.4">
      <c r="A689">
        <v>1749</v>
      </c>
      <c r="B689" s="1" t="s">
        <v>40</v>
      </c>
      <c r="C689" s="1" t="s">
        <v>40</v>
      </c>
    </row>
    <row r="690" spans="1:3" x14ac:dyDescent="0.4">
      <c r="A690">
        <v>1750</v>
      </c>
      <c r="B690" s="1" t="s">
        <v>1039</v>
      </c>
      <c r="C690" s="1" t="s">
        <v>57</v>
      </c>
    </row>
    <row r="691" spans="1:3" x14ac:dyDescent="0.4">
      <c r="A691">
        <v>1800</v>
      </c>
      <c r="B691" s="1" t="s">
        <v>1036</v>
      </c>
      <c r="C691" s="1" t="s">
        <v>54</v>
      </c>
    </row>
    <row r="692" spans="1:3" x14ac:dyDescent="0.4">
      <c r="A692">
        <v>1801</v>
      </c>
      <c r="B692" s="1" t="s">
        <v>40</v>
      </c>
      <c r="C692" s="1" t="s">
        <v>40</v>
      </c>
    </row>
    <row r="693" spans="1:3" x14ac:dyDescent="0.4">
      <c r="A693">
        <v>1802</v>
      </c>
      <c r="B693" s="1" t="s">
        <v>40</v>
      </c>
      <c r="C693" s="1" t="s">
        <v>40</v>
      </c>
    </row>
    <row r="694" spans="1:3" x14ac:dyDescent="0.4">
      <c r="A694">
        <v>1803</v>
      </c>
      <c r="B694" s="1" t="s">
        <v>40</v>
      </c>
      <c r="C694" s="1" t="s">
        <v>40</v>
      </c>
    </row>
    <row r="695" spans="1:3" x14ac:dyDescent="0.4">
      <c r="A695">
        <v>1804</v>
      </c>
      <c r="B695" s="1" t="s">
        <v>40</v>
      </c>
      <c r="C695" s="1" t="s">
        <v>40</v>
      </c>
    </row>
    <row r="696" spans="1:3" x14ac:dyDescent="0.4">
      <c r="A696">
        <v>1805</v>
      </c>
      <c r="B696" s="1" t="s">
        <v>40</v>
      </c>
      <c r="C696" s="1" t="s">
        <v>40</v>
      </c>
    </row>
    <row r="697" spans="1:3" x14ac:dyDescent="0.4">
      <c r="A697">
        <v>1806</v>
      </c>
      <c r="B697" s="1" t="s">
        <v>40</v>
      </c>
      <c r="C697" s="1" t="s">
        <v>40</v>
      </c>
    </row>
    <row r="698" spans="1:3" x14ac:dyDescent="0.4">
      <c r="A698">
        <v>1807</v>
      </c>
      <c r="B698" s="1" t="s">
        <v>40</v>
      </c>
      <c r="C698" s="1" t="s">
        <v>40</v>
      </c>
    </row>
    <row r="699" spans="1:3" x14ac:dyDescent="0.4">
      <c r="A699">
        <v>1808</v>
      </c>
      <c r="B699" s="1" t="s">
        <v>40</v>
      </c>
      <c r="C699" s="1" t="s">
        <v>40</v>
      </c>
    </row>
    <row r="700" spans="1:3" x14ac:dyDescent="0.4">
      <c r="A700">
        <v>1809</v>
      </c>
      <c r="B700" s="1" t="s">
        <v>40</v>
      </c>
      <c r="C700" s="1" t="s">
        <v>40</v>
      </c>
    </row>
    <row r="701" spans="1:3" x14ac:dyDescent="0.4">
      <c r="A701">
        <v>1810</v>
      </c>
      <c r="B701" s="1" t="s">
        <v>1039</v>
      </c>
      <c r="C701" s="1" t="s">
        <v>57</v>
      </c>
    </row>
    <row r="702" spans="1:3" x14ac:dyDescent="0.4">
      <c r="A702">
        <v>1811</v>
      </c>
      <c r="B702" s="1" t="s">
        <v>40</v>
      </c>
      <c r="C702" s="1" t="s">
        <v>40</v>
      </c>
    </row>
    <row r="703" spans="1:3" x14ac:dyDescent="0.4">
      <c r="A703">
        <v>1812</v>
      </c>
      <c r="B703" s="1" t="s">
        <v>40</v>
      </c>
      <c r="C703" s="1" t="s">
        <v>40</v>
      </c>
    </row>
    <row r="704" spans="1:3" x14ac:dyDescent="0.4">
      <c r="A704">
        <v>1813</v>
      </c>
      <c r="B704" s="1" t="s">
        <v>40</v>
      </c>
      <c r="C704" s="1" t="s">
        <v>40</v>
      </c>
    </row>
    <row r="705" spans="1:3" x14ac:dyDescent="0.4">
      <c r="A705">
        <v>1814</v>
      </c>
      <c r="B705" s="1" t="s">
        <v>40</v>
      </c>
      <c r="C705" s="1" t="s">
        <v>40</v>
      </c>
    </row>
    <row r="706" spans="1:3" x14ac:dyDescent="0.4">
      <c r="A706">
        <v>1815</v>
      </c>
      <c r="B706" s="1" t="s">
        <v>40</v>
      </c>
      <c r="C706" s="1" t="s">
        <v>40</v>
      </c>
    </row>
    <row r="707" spans="1:3" x14ac:dyDescent="0.4">
      <c r="A707">
        <v>1816</v>
      </c>
      <c r="B707" s="1" t="s">
        <v>40</v>
      </c>
      <c r="C707" s="1" t="s">
        <v>40</v>
      </c>
    </row>
    <row r="708" spans="1:3" x14ac:dyDescent="0.4">
      <c r="A708">
        <v>1817</v>
      </c>
      <c r="B708" s="1" t="s">
        <v>40</v>
      </c>
      <c r="C708" s="1" t="s">
        <v>40</v>
      </c>
    </row>
    <row r="709" spans="1:3" x14ac:dyDescent="0.4">
      <c r="A709">
        <v>1818</v>
      </c>
      <c r="B709" s="1" t="s">
        <v>40</v>
      </c>
      <c r="C709" s="1" t="s">
        <v>40</v>
      </c>
    </row>
    <row r="710" spans="1:3" x14ac:dyDescent="0.4">
      <c r="A710">
        <v>1819</v>
      </c>
      <c r="B710" s="1" t="s">
        <v>40</v>
      </c>
      <c r="C710" s="1" t="s">
        <v>40</v>
      </c>
    </row>
    <row r="711" spans="1:3" x14ac:dyDescent="0.4">
      <c r="A711">
        <v>1820</v>
      </c>
      <c r="B711" s="1" t="s">
        <v>1033</v>
      </c>
      <c r="C711" s="1" t="s">
        <v>51</v>
      </c>
    </row>
    <row r="712" spans="1:3" x14ac:dyDescent="0.4">
      <c r="A712">
        <v>1821</v>
      </c>
      <c r="B712" s="1" t="s">
        <v>40</v>
      </c>
      <c r="C712" s="1" t="s">
        <v>40</v>
      </c>
    </row>
    <row r="713" spans="1:3" x14ac:dyDescent="0.4">
      <c r="A713">
        <v>1822</v>
      </c>
      <c r="B713" s="1" t="s">
        <v>40</v>
      </c>
      <c r="C713" s="1" t="s">
        <v>40</v>
      </c>
    </row>
    <row r="714" spans="1:3" x14ac:dyDescent="0.4">
      <c r="A714">
        <v>1823</v>
      </c>
      <c r="B714" s="1" t="s">
        <v>40</v>
      </c>
      <c r="C714" s="1" t="s">
        <v>40</v>
      </c>
    </row>
    <row r="715" spans="1:3" x14ac:dyDescent="0.4">
      <c r="A715">
        <v>1824</v>
      </c>
      <c r="B715" s="1" t="s">
        <v>40</v>
      </c>
      <c r="C715" s="1" t="s">
        <v>40</v>
      </c>
    </row>
    <row r="716" spans="1:3" x14ac:dyDescent="0.4">
      <c r="A716">
        <v>1825</v>
      </c>
      <c r="B716" s="1" t="s">
        <v>40</v>
      </c>
      <c r="C716" s="1" t="s">
        <v>40</v>
      </c>
    </row>
    <row r="717" spans="1:3" x14ac:dyDescent="0.4">
      <c r="A717">
        <v>1826</v>
      </c>
      <c r="B717" s="1" t="s">
        <v>40</v>
      </c>
      <c r="C717" s="1" t="s">
        <v>40</v>
      </c>
    </row>
    <row r="718" spans="1:3" x14ac:dyDescent="0.4">
      <c r="A718">
        <v>1827</v>
      </c>
      <c r="B718" s="1" t="s">
        <v>40</v>
      </c>
      <c r="C718" s="1" t="s">
        <v>40</v>
      </c>
    </row>
    <row r="719" spans="1:3" x14ac:dyDescent="0.4">
      <c r="A719">
        <v>1828</v>
      </c>
      <c r="B719" s="1" t="s">
        <v>40</v>
      </c>
      <c r="C719" s="1" t="s">
        <v>40</v>
      </c>
    </row>
    <row r="720" spans="1:3" x14ac:dyDescent="0.4">
      <c r="A720">
        <v>1829</v>
      </c>
      <c r="B720" s="1" t="s">
        <v>40</v>
      </c>
      <c r="C720" s="1" t="s">
        <v>40</v>
      </c>
    </row>
    <row r="721" spans="1:3" x14ac:dyDescent="0.4">
      <c r="A721">
        <v>1830</v>
      </c>
      <c r="B721" s="1" t="s">
        <v>1033</v>
      </c>
      <c r="C721" s="1" t="s">
        <v>51</v>
      </c>
    </row>
    <row r="722" spans="1:3" x14ac:dyDescent="0.4">
      <c r="A722">
        <v>1831</v>
      </c>
      <c r="B722" s="1" t="s">
        <v>40</v>
      </c>
      <c r="C722" s="1" t="s">
        <v>40</v>
      </c>
    </row>
    <row r="723" spans="1:3" x14ac:dyDescent="0.4">
      <c r="A723">
        <v>1832</v>
      </c>
      <c r="B723" s="1" t="s">
        <v>40</v>
      </c>
      <c r="C723" s="1" t="s">
        <v>40</v>
      </c>
    </row>
    <row r="724" spans="1:3" x14ac:dyDescent="0.4">
      <c r="A724">
        <v>1833</v>
      </c>
      <c r="B724" s="1" t="s">
        <v>40</v>
      </c>
      <c r="C724" s="1" t="s">
        <v>40</v>
      </c>
    </row>
    <row r="725" spans="1:3" x14ac:dyDescent="0.4">
      <c r="A725">
        <v>1834</v>
      </c>
      <c r="B725" s="1" t="s">
        <v>40</v>
      </c>
      <c r="C725" s="1" t="s">
        <v>40</v>
      </c>
    </row>
    <row r="726" spans="1:3" x14ac:dyDescent="0.4">
      <c r="A726">
        <v>1835</v>
      </c>
      <c r="B726" s="1" t="s">
        <v>40</v>
      </c>
      <c r="C726" s="1" t="s">
        <v>40</v>
      </c>
    </row>
    <row r="727" spans="1:3" x14ac:dyDescent="0.4">
      <c r="A727">
        <v>1836</v>
      </c>
      <c r="B727" s="1" t="s">
        <v>40</v>
      </c>
      <c r="C727" s="1" t="s">
        <v>40</v>
      </c>
    </row>
    <row r="728" spans="1:3" x14ac:dyDescent="0.4">
      <c r="A728">
        <v>1837</v>
      </c>
      <c r="B728" s="1" t="s">
        <v>40</v>
      </c>
      <c r="C728" s="1" t="s">
        <v>40</v>
      </c>
    </row>
    <row r="729" spans="1:3" x14ac:dyDescent="0.4">
      <c r="A729">
        <v>1838</v>
      </c>
      <c r="B729" s="1" t="s">
        <v>40</v>
      </c>
      <c r="C729" s="1" t="s">
        <v>40</v>
      </c>
    </row>
    <row r="730" spans="1:3" x14ac:dyDescent="0.4">
      <c r="A730">
        <v>1839</v>
      </c>
      <c r="B730" s="1" t="s">
        <v>40</v>
      </c>
      <c r="C730" s="1" t="s">
        <v>40</v>
      </c>
    </row>
    <row r="731" spans="1:3" x14ac:dyDescent="0.4">
      <c r="A731">
        <v>1840</v>
      </c>
      <c r="B731" s="1" t="s">
        <v>1039</v>
      </c>
      <c r="C731" s="1" t="s">
        <v>57</v>
      </c>
    </row>
    <row r="732" spans="1:3" x14ac:dyDescent="0.4">
      <c r="A732">
        <v>1841</v>
      </c>
      <c r="B732" s="1" t="s">
        <v>40</v>
      </c>
      <c r="C732" s="1" t="s">
        <v>40</v>
      </c>
    </row>
    <row r="733" spans="1:3" x14ac:dyDescent="0.4">
      <c r="A733">
        <v>1842</v>
      </c>
      <c r="B733" s="1" t="s">
        <v>40</v>
      </c>
      <c r="C733" s="1" t="s">
        <v>40</v>
      </c>
    </row>
    <row r="734" spans="1:3" x14ac:dyDescent="0.4">
      <c r="A734">
        <v>1843</v>
      </c>
      <c r="B734" s="1" t="s">
        <v>40</v>
      </c>
      <c r="C734" s="1" t="s">
        <v>40</v>
      </c>
    </row>
    <row r="735" spans="1:3" x14ac:dyDescent="0.4">
      <c r="A735">
        <v>1844</v>
      </c>
      <c r="B735" s="1" t="s">
        <v>40</v>
      </c>
      <c r="C735" s="1" t="s">
        <v>40</v>
      </c>
    </row>
    <row r="736" spans="1:3" x14ac:dyDescent="0.4">
      <c r="A736">
        <v>1845</v>
      </c>
      <c r="B736" s="1" t="s">
        <v>40</v>
      </c>
      <c r="C736" s="1" t="s">
        <v>40</v>
      </c>
    </row>
    <row r="737" spans="1:3" x14ac:dyDescent="0.4">
      <c r="A737">
        <v>1846</v>
      </c>
      <c r="B737" s="1" t="s">
        <v>40</v>
      </c>
      <c r="C737" s="1" t="s">
        <v>40</v>
      </c>
    </row>
    <row r="738" spans="1:3" x14ac:dyDescent="0.4">
      <c r="A738">
        <v>1847</v>
      </c>
      <c r="B738" s="1" t="s">
        <v>40</v>
      </c>
      <c r="C738" s="1" t="s">
        <v>40</v>
      </c>
    </row>
    <row r="739" spans="1:3" x14ac:dyDescent="0.4">
      <c r="A739">
        <v>1848</v>
      </c>
      <c r="B739" s="1" t="s">
        <v>40</v>
      </c>
      <c r="C739" s="1" t="s">
        <v>40</v>
      </c>
    </row>
    <row r="740" spans="1:3" x14ac:dyDescent="0.4">
      <c r="A740">
        <v>1849</v>
      </c>
      <c r="B740" s="1" t="s">
        <v>40</v>
      </c>
      <c r="C740" s="1" t="s">
        <v>40</v>
      </c>
    </row>
    <row r="741" spans="1:3" x14ac:dyDescent="0.4">
      <c r="A741">
        <v>1850</v>
      </c>
      <c r="B741" s="1" t="s">
        <v>1030</v>
      </c>
      <c r="C741" s="1" t="s">
        <v>48</v>
      </c>
    </row>
    <row r="742" spans="1:3" x14ac:dyDescent="0.4">
      <c r="A742">
        <v>1851</v>
      </c>
      <c r="B742" s="1" t="s">
        <v>40</v>
      </c>
      <c r="C742" s="1" t="s">
        <v>40</v>
      </c>
    </row>
    <row r="743" spans="1:3" x14ac:dyDescent="0.4">
      <c r="A743">
        <v>1852</v>
      </c>
      <c r="B743" s="1" t="s">
        <v>40</v>
      </c>
      <c r="C743" s="1" t="s">
        <v>40</v>
      </c>
    </row>
    <row r="744" spans="1:3" x14ac:dyDescent="0.4">
      <c r="A744">
        <v>1853</v>
      </c>
      <c r="B744" s="1" t="s">
        <v>40</v>
      </c>
      <c r="C744" s="1" t="s">
        <v>40</v>
      </c>
    </row>
    <row r="745" spans="1:3" x14ac:dyDescent="0.4">
      <c r="A745">
        <v>1854</v>
      </c>
      <c r="B745" s="1" t="s">
        <v>40</v>
      </c>
      <c r="C745" s="1" t="s">
        <v>40</v>
      </c>
    </row>
    <row r="746" spans="1:3" x14ac:dyDescent="0.4">
      <c r="A746">
        <v>1855</v>
      </c>
      <c r="B746" s="1" t="s">
        <v>40</v>
      </c>
      <c r="C746" s="1" t="s">
        <v>40</v>
      </c>
    </row>
    <row r="747" spans="1:3" x14ac:dyDescent="0.4">
      <c r="A747">
        <v>1856</v>
      </c>
      <c r="B747" s="1" t="s">
        <v>40</v>
      </c>
      <c r="C747" s="1" t="s">
        <v>40</v>
      </c>
    </row>
    <row r="748" spans="1:3" x14ac:dyDescent="0.4">
      <c r="A748">
        <v>1857</v>
      </c>
      <c r="B748" s="1" t="s">
        <v>40</v>
      </c>
      <c r="C748" s="1" t="s">
        <v>40</v>
      </c>
    </row>
    <row r="749" spans="1:3" x14ac:dyDescent="0.4">
      <c r="A749">
        <v>1858</v>
      </c>
      <c r="B749" s="1" t="s">
        <v>40</v>
      </c>
      <c r="C749" s="1" t="s">
        <v>40</v>
      </c>
    </row>
    <row r="750" spans="1:3" x14ac:dyDescent="0.4">
      <c r="A750">
        <v>1859</v>
      </c>
      <c r="B750" s="1" t="s">
        <v>40</v>
      </c>
      <c r="C750" s="1" t="s">
        <v>40</v>
      </c>
    </row>
    <row r="751" spans="1:3" x14ac:dyDescent="0.4">
      <c r="A751">
        <v>1860</v>
      </c>
      <c r="B751" s="1" t="s">
        <v>1030</v>
      </c>
      <c r="C751" s="1" t="s">
        <v>48</v>
      </c>
    </row>
    <row r="752" spans="1:3" x14ac:dyDescent="0.4">
      <c r="A752">
        <v>1861</v>
      </c>
      <c r="B752" s="1" t="s">
        <v>40</v>
      </c>
      <c r="C752" s="1" t="s">
        <v>40</v>
      </c>
    </row>
    <row r="753" spans="1:3" x14ac:dyDescent="0.4">
      <c r="A753">
        <v>1862</v>
      </c>
      <c r="B753" s="1" t="s">
        <v>40</v>
      </c>
      <c r="C753" s="1" t="s">
        <v>40</v>
      </c>
    </row>
    <row r="754" spans="1:3" x14ac:dyDescent="0.4">
      <c r="A754">
        <v>1863</v>
      </c>
      <c r="B754" s="1" t="s">
        <v>40</v>
      </c>
      <c r="C754" s="1" t="s">
        <v>40</v>
      </c>
    </row>
    <row r="755" spans="1:3" x14ac:dyDescent="0.4">
      <c r="A755">
        <v>1864</v>
      </c>
      <c r="B755" s="1" t="s">
        <v>40</v>
      </c>
      <c r="C755" s="1" t="s">
        <v>40</v>
      </c>
    </row>
    <row r="756" spans="1:3" x14ac:dyDescent="0.4">
      <c r="A756">
        <v>1865</v>
      </c>
      <c r="B756" s="1" t="s">
        <v>40</v>
      </c>
      <c r="C756" s="1" t="s">
        <v>40</v>
      </c>
    </row>
    <row r="757" spans="1:3" x14ac:dyDescent="0.4">
      <c r="A757">
        <v>1866</v>
      </c>
      <c r="B757" s="1" t="s">
        <v>40</v>
      </c>
      <c r="C757" s="1" t="s">
        <v>40</v>
      </c>
    </row>
    <row r="758" spans="1:3" x14ac:dyDescent="0.4">
      <c r="A758">
        <v>1867</v>
      </c>
      <c r="B758" s="1" t="s">
        <v>40</v>
      </c>
      <c r="C758" s="1" t="s">
        <v>40</v>
      </c>
    </row>
    <row r="759" spans="1:3" x14ac:dyDescent="0.4">
      <c r="A759">
        <v>1868</v>
      </c>
      <c r="B759" s="1" t="s">
        <v>40</v>
      </c>
      <c r="C759" s="1" t="s">
        <v>40</v>
      </c>
    </row>
    <row r="760" spans="1:3" x14ac:dyDescent="0.4">
      <c r="A760">
        <v>1869</v>
      </c>
      <c r="B760" s="1" t="s">
        <v>40</v>
      </c>
      <c r="C760" s="1" t="s">
        <v>40</v>
      </c>
    </row>
    <row r="761" spans="1:3" x14ac:dyDescent="0.4">
      <c r="A761">
        <v>1870</v>
      </c>
      <c r="B761" s="1" t="s">
        <v>1033</v>
      </c>
      <c r="C761" s="1" t="s">
        <v>51</v>
      </c>
    </row>
    <row r="762" spans="1:3" x14ac:dyDescent="0.4">
      <c r="A762">
        <v>1871</v>
      </c>
      <c r="B762" s="1" t="s">
        <v>40</v>
      </c>
      <c r="C762" s="1" t="s">
        <v>40</v>
      </c>
    </row>
    <row r="763" spans="1:3" x14ac:dyDescent="0.4">
      <c r="A763">
        <v>1872</v>
      </c>
      <c r="B763" s="1" t="s">
        <v>40</v>
      </c>
      <c r="C763" s="1" t="s">
        <v>40</v>
      </c>
    </row>
    <row r="764" spans="1:3" x14ac:dyDescent="0.4">
      <c r="A764">
        <v>1873</v>
      </c>
      <c r="B764" s="1" t="s">
        <v>40</v>
      </c>
      <c r="C764" s="1" t="s">
        <v>40</v>
      </c>
    </row>
    <row r="765" spans="1:3" x14ac:dyDescent="0.4">
      <c r="A765">
        <v>1874</v>
      </c>
      <c r="B765" s="1" t="s">
        <v>40</v>
      </c>
      <c r="C765" s="1" t="s">
        <v>40</v>
      </c>
    </row>
    <row r="766" spans="1:3" x14ac:dyDescent="0.4">
      <c r="A766">
        <v>1875</v>
      </c>
      <c r="B766" s="1" t="s">
        <v>40</v>
      </c>
      <c r="C766" s="1" t="s">
        <v>40</v>
      </c>
    </row>
    <row r="767" spans="1:3" x14ac:dyDescent="0.4">
      <c r="A767">
        <v>1876</v>
      </c>
      <c r="B767" s="1" t="s">
        <v>40</v>
      </c>
      <c r="C767" s="1" t="s">
        <v>40</v>
      </c>
    </row>
    <row r="768" spans="1:3" x14ac:dyDescent="0.4">
      <c r="A768">
        <v>1877</v>
      </c>
      <c r="B768" s="1" t="s">
        <v>40</v>
      </c>
      <c r="C768" s="1" t="s">
        <v>40</v>
      </c>
    </row>
    <row r="769" spans="1:3" x14ac:dyDescent="0.4">
      <c r="A769">
        <v>1878</v>
      </c>
      <c r="B769" s="1" t="s">
        <v>40</v>
      </c>
      <c r="C769" s="1" t="s">
        <v>40</v>
      </c>
    </row>
    <row r="770" spans="1:3" x14ac:dyDescent="0.4">
      <c r="A770">
        <v>1879</v>
      </c>
      <c r="B770" s="1" t="s">
        <v>40</v>
      </c>
      <c r="C770" s="1" t="s">
        <v>40</v>
      </c>
    </row>
    <row r="771" spans="1:3" x14ac:dyDescent="0.4">
      <c r="A771">
        <v>1880</v>
      </c>
      <c r="B771" s="1" t="s">
        <v>1039</v>
      </c>
      <c r="C771" s="1" t="s">
        <v>57</v>
      </c>
    </row>
    <row r="772" spans="1:3" x14ac:dyDescent="0.4">
      <c r="A772">
        <v>1881</v>
      </c>
      <c r="B772" s="1" t="s">
        <v>40</v>
      </c>
      <c r="C772" s="1" t="s">
        <v>40</v>
      </c>
    </row>
    <row r="773" spans="1:3" x14ac:dyDescent="0.4">
      <c r="A773">
        <v>1882</v>
      </c>
      <c r="B773" s="1" t="s">
        <v>40</v>
      </c>
      <c r="C773" s="1" t="s">
        <v>40</v>
      </c>
    </row>
    <row r="774" spans="1:3" x14ac:dyDescent="0.4">
      <c r="A774">
        <v>1883</v>
      </c>
      <c r="B774" s="1" t="s">
        <v>40</v>
      </c>
      <c r="C774" s="1" t="s">
        <v>40</v>
      </c>
    </row>
    <row r="775" spans="1:3" x14ac:dyDescent="0.4">
      <c r="A775">
        <v>1884</v>
      </c>
      <c r="B775" s="1" t="s">
        <v>40</v>
      </c>
      <c r="C775" s="1" t="s">
        <v>40</v>
      </c>
    </row>
    <row r="776" spans="1:3" x14ac:dyDescent="0.4">
      <c r="A776">
        <v>1885</v>
      </c>
      <c r="B776" s="1" t="s">
        <v>40</v>
      </c>
      <c r="C776" s="1" t="s">
        <v>40</v>
      </c>
    </row>
    <row r="777" spans="1:3" x14ac:dyDescent="0.4">
      <c r="A777">
        <v>1886</v>
      </c>
      <c r="B777" s="1" t="s">
        <v>40</v>
      </c>
      <c r="C777" s="1" t="s">
        <v>40</v>
      </c>
    </row>
    <row r="778" spans="1:3" x14ac:dyDescent="0.4">
      <c r="A778">
        <v>1887</v>
      </c>
      <c r="B778" s="1" t="s">
        <v>40</v>
      </c>
      <c r="C778" s="1" t="s">
        <v>40</v>
      </c>
    </row>
    <row r="779" spans="1:3" x14ac:dyDescent="0.4">
      <c r="A779">
        <v>1888</v>
      </c>
      <c r="B779" s="1" t="s">
        <v>40</v>
      </c>
      <c r="C779" s="1" t="s">
        <v>40</v>
      </c>
    </row>
    <row r="780" spans="1:3" x14ac:dyDescent="0.4">
      <c r="A780">
        <v>1889</v>
      </c>
      <c r="B780" s="1" t="s">
        <v>40</v>
      </c>
      <c r="C780" s="1" t="s">
        <v>40</v>
      </c>
    </row>
    <row r="781" spans="1:3" x14ac:dyDescent="0.4">
      <c r="A781">
        <v>1890</v>
      </c>
      <c r="B781" s="1" t="s">
        <v>1036</v>
      </c>
      <c r="C781" s="1" t="s">
        <v>54</v>
      </c>
    </row>
    <row r="782" spans="1:3" x14ac:dyDescent="0.4">
      <c r="A782">
        <v>1891</v>
      </c>
      <c r="B782" s="1" t="s">
        <v>40</v>
      </c>
      <c r="C782" s="1" t="s">
        <v>40</v>
      </c>
    </row>
    <row r="783" spans="1:3" x14ac:dyDescent="0.4">
      <c r="A783">
        <v>1892</v>
      </c>
      <c r="B783" s="1" t="s">
        <v>40</v>
      </c>
      <c r="C783" s="1" t="s">
        <v>40</v>
      </c>
    </row>
    <row r="784" spans="1:3" x14ac:dyDescent="0.4">
      <c r="A784">
        <v>1893</v>
      </c>
      <c r="B784" s="1" t="s">
        <v>40</v>
      </c>
      <c r="C784" s="1" t="s">
        <v>40</v>
      </c>
    </row>
    <row r="785" spans="1:3" x14ac:dyDescent="0.4">
      <c r="A785">
        <v>1894</v>
      </c>
      <c r="B785" s="1" t="s">
        <v>40</v>
      </c>
      <c r="C785" s="1" t="s">
        <v>40</v>
      </c>
    </row>
    <row r="786" spans="1:3" x14ac:dyDescent="0.4">
      <c r="A786">
        <v>1895</v>
      </c>
      <c r="B786" s="1" t="s">
        <v>40</v>
      </c>
      <c r="C786" s="1" t="s">
        <v>40</v>
      </c>
    </row>
    <row r="787" spans="1:3" x14ac:dyDescent="0.4">
      <c r="A787">
        <v>1896</v>
      </c>
      <c r="B787" s="1" t="s">
        <v>40</v>
      </c>
      <c r="C787" s="1" t="s">
        <v>40</v>
      </c>
    </row>
    <row r="788" spans="1:3" x14ac:dyDescent="0.4">
      <c r="A788">
        <v>1897</v>
      </c>
      <c r="B788" s="1" t="s">
        <v>40</v>
      </c>
      <c r="C788" s="1" t="s">
        <v>40</v>
      </c>
    </row>
    <row r="789" spans="1:3" x14ac:dyDescent="0.4">
      <c r="A789">
        <v>1898</v>
      </c>
      <c r="B789" s="1" t="s">
        <v>40</v>
      </c>
      <c r="C789" s="1" t="s">
        <v>40</v>
      </c>
    </row>
    <row r="790" spans="1:3" x14ac:dyDescent="0.4">
      <c r="A790">
        <v>1899</v>
      </c>
      <c r="B790" s="1" t="s">
        <v>40</v>
      </c>
      <c r="C790" s="1" t="s">
        <v>40</v>
      </c>
    </row>
    <row r="791" spans="1:3" x14ac:dyDescent="0.4">
      <c r="A791">
        <v>1900</v>
      </c>
      <c r="B791" s="1" t="s">
        <v>1030</v>
      </c>
      <c r="C791" s="1" t="s">
        <v>48</v>
      </c>
    </row>
    <row r="792" spans="1:3" x14ac:dyDescent="0.4">
      <c r="A792">
        <v>1901</v>
      </c>
      <c r="B792" s="1" t="s">
        <v>40</v>
      </c>
      <c r="C792" s="1" t="s">
        <v>40</v>
      </c>
    </row>
    <row r="793" spans="1:3" x14ac:dyDescent="0.4">
      <c r="A793">
        <v>1902</v>
      </c>
      <c r="B793" s="1" t="s">
        <v>40</v>
      </c>
      <c r="C793" s="1" t="s">
        <v>40</v>
      </c>
    </row>
    <row r="794" spans="1:3" x14ac:dyDescent="0.4">
      <c r="A794">
        <v>1903</v>
      </c>
      <c r="B794" s="1" t="s">
        <v>40</v>
      </c>
      <c r="C794" s="1" t="s">
        <v>40</v>
      </c>
    </row>
    <row r="795" spans="1:3" x14ac:dyDescent="0.4">
      <c r="A795">
        <v>1904</v>
      </c>
      <c r="B795" s="1" t="s">
        <v>40</v>
      </c>
      <c r="C795" s="1" t="s">
        <v>40</v>
      </c>
    </row>
    <row r="796" spans="1:3" x14ac:dyDescent="0.4">
      <c r="A796">
        <v>1905</v>
      </c>
      <c r="B796" s="1" t="s">
        <v>40</v>
      </c>
      <c r="C796" s="1" t="s">
        <v>40</v>
      </c>
    </row>
    <row r="797" spans="1:3" x14ac:dyDescent="0.4">
      <c r="A797">
        <v>1906</v>
      </c>
      <c r="B797" s="1" t="s">
        <v>40</v>
      </c>
      <c r="C797" s="1" t="s">
        <v>40</v>
      </c>
    </row>
    <row r="798" spans="1:3" x14ac:dyDescent="0.4">
      <c r="A798">
        <v>1907</v>
      </c>
      <c r="B798" s="1" t="s">
        <v>40</v>
      </c>
      <c r="C798" s="1" t="s">
        <v>40</v>
      </c>
    </row>
    <row r="799" spans="1:3" x14ac:dyDescent="0.4">
      <c r="A799">
        <v>1908</v>
      </c>
      <c r="B799" s="1" t="s">
        <v>40</v>
      </c>
      <c r="C799" s="1" t="s">
        <v>40</v>
      </c>
    </row>
    <row r="800" spans="1:3" x14ac:dyDescent="0.4">
      <c r="A800">
        <v>1909</v>
      </c>
      <c r="B800" s="1" t="s">
        <v>40</v>
      </c>
      <c r="C800" s="1" t="s">
        <v>40</v>
      </c>
    </row>
    <row r="801" spans="1:3" x14ac:dyDescent="0.4">
      <c r="A801">
        <v>1910</v>
      </c>
      <c r="B801" s="1" t="s">
        <v>1033</v>
      </c>
      <c r="C801" s="1" t="s">
        <v>51</v>
      </c>
    </row>
    <row r="802" spans="1:3" x14ac:dyDescent="0.4">
      <c r="A802">
        <v>1911</v>
      </c>
      <c r="B802" s="1" t="s">
        <v>40</v>
      </c>
      <c r="C802" s="1" t="s">
        <v>40</v>
      </c>
    </row>
    <row r="803" spans="1:3" x14ac:dyDescent="0.4">
      <c r="A803">
        <v>1912</v>
      </c>
      <c r="B803" s="1" t="s">
        <v>40</v>
      </c>
      <c r="C803" s="1" t="s">
        <v>40</v>
      </c>
    </row>
    <row r="804" spans="1:3" x14ac:dyDescent="0.4">
      <c r="A804">
        <v>1913</v>
      </c>
      <c r="B804" s="1" t="s">
        <v>40</v>
      </c>
      <c r="C804" s="1" t="s">
        <v>40</v>
      </c>
    </row>
    <row r="805" spans="1:3" x14ac:dyDescent="0.4">
      <c r="A805">
        <v>1914</v>
      </c>
      <c r="B805" s="1" t="s">
        <v>40</v>
      </c>
      <c r="C805" s="1" t="s">
        <v>40</v>
      </c>
    </row>
    <row r="806" spans="1:3" x14ac:dyDescent="0.4">
      <c r="A806">
        <v>1915</v>
      </c>
      <c r="B806" s="1" t="s">
        <v>40</v>
      </c>
      <c r="C806" s="1" t="s">
        <v>40</v>
      </c>
    </row>
    <row r="807" spans="1:3" x14ac:dyDescent="0.4">
      <c r="A807">
        <v>1916</v>
      </c>
      <c r="B807" s="1" t="s">
        <v>40</v>
      </c>
      <c r="C807" s="1" t="s">
        <v>40</v>
      </c>
    </row>
    <row r="808" spans="1:3" x14ac:dyDescent="0.4">
      <c r="A808">
        <v>1917</v>
      </c>
      <c r="B808" s="1" t="s">
        <v>40</v>
      </c>
      <c r="C808" s="1" t="s">
        <v>40</v>
      </c>
    </row>
    <row r="809" spans="1:3" x14ac:dyDescent="0.4">
      <c r="A809">
        <v>1918</v>
      </c>
      <c r="B809" s="1" t="s">
        <v>40</v>
      </c>
      <c r="C809" s="1" t="s">
        <v>40</v>
      </c>
    </row>
    <row r="810" spans="1:3" x14ac:dyDescent="0.4">
      <c r="A810">
        <v>1919</v>
      </c>
      <c r="B810" s="1" t="s">
        <v>40</v>
      </c>
      <c r="C810" s="1" t="s">
        <v>40</v>
      </c>
    </row>
    <row r="811" spans="1:3" x14ac:dyDescent="0.4">
      <c r="A811">
        <v>1920</v>
      </c>
      <c r="B811" s="1" t="s">
        <v>1036</v>
      </c>
      <c r="C811" s="1" t="s">
        <v>54</v>
      </c>
    </row>
    <row r="812" spans="1:3" x14ac:dyDescent="0.4">
      <c r="A812">
        <v>1921</v>
      </c>
      <c r="B812" s="1" t="s">
        <v>40</v>
      </c>
      <c r="C812" s="1" t="s">
        <v>40</v>
      </c>
    </row>
    <row r="813" spans="1:3" x14ac:dyDescent="0.4">
      <c r="A813">
        <v>1922</v>
      </c>
      <c r="B813" s="1" t="s">
        <v>40</v>
      </c>
      <c r="C813" s="1" t="s">
        <v>40</v>
      </c>
    </row>
    <row r="814" spans="1:3" x14ac:dyDescent="0.4">
      <c r="A814">
        <v>1923</v>
      </c>
      <c r="B814" s="1" t="s">
        <v>40</v>
      </c>
      <c r="C814" s="1" t="s">
        <v>40</v>
      </c>
    </row>
    <row r="815" spans="1:3" x14ac:dyDescent="0.4">
      <c r="A815">
        <v>1924</v>
      </c>
      <c r="B815" s="1" t="s">
        <v>40</v>
      </c>
      <c r="C815" s="1" t="s">
        <v>40</v>
      </c>
    </row>
    <row r="816" spans="1:3" x14ac:dyDescent="0.4">
      <c r="A816">
        <v>1925</v>
      </c>
      <c r="B816" s="1" t="s">
        <v>40</v>
      </c>
      <c r="C816" s="1" t="s">
        <v>40</v>
      </c>
    </row>
    <row r="817" spans="1:3" x14ac:dyDescent="0.4">
      <c r="A817">
        <v>1926</v>
      </c>
      <c r="B817" s="1" t="s">
        <v>40</v>
      </c>
      <c r="C817" s="1" t="s">
        <v>40</v>
      </c>
    </row>
    <row r="818" spans="1:3" x14ac:dyDescent="0.4">
      <c r="A818">
        <v>1927</v>
      </c>
      <c r="B818" s="1" t="s">
        <v>40</v>
      </c>
      <c r="C818" s="1" t="s">
        <v>40</v>
      </c>
    </row>
    <row r="819" spans="1:3" x14ac:dyDescent="0.4">
      <c r="A819">
        <v>1928</v>
      </c>
      <c r="B819" s="1" t="s">
        <v>40</v>
      </c>
      <c r="C819" s="1" t="s">
        <v>40</v>
      </c>
    </row>
    <row r="820" spans="1:3" x14ac:dyDescent="0.4">
      <c r="A820">
        <v>1929</v>
      </c>
      <c r="B820" s="1" t="s">
        <v>40</v>
      </c>
      <c r="C820" s="1" t="s">
        <v>40</v>
      </c>
    </row>
    <row r="821" spans="1:3" x14ac:dyDescent="0.4">
      <c r="A821">
        <v>1930</v>
      </c>
      <c r="B821" s="1" t="s">
        <v>1039</v>
      </c>
      <c r="C821" s="1" t="s">
        <v>57</v>
      </c>
    </row>
    <row r="822" spans="1:3" x14ac:dyDescent="0.4">
      <c r="A822">
        <v>2000</v>
      </c>
      <c r="B822" s="1" t="s">
        <v>1040</v>
      </c>
      <c r="C822" s="1" t="s">
        <v>58</v>
      </c>
    </row>
    <row r="823" spans="1:3" x14ac:dyDescent="0.4">
      <c r="A823">
        <v>2001</v>
      </c>
      <c r="B823" s="1" t="s">
        <v>1041</v>
      </c>
      <c r="C823" s="1" t="s">
        <v>59</v>
      </c>
    </row>
    <row r="824" spans="1:3" x14ac:dyDescent="0.4">
      <c r="A824">
        <v>2002</v>
      </c>
      <c r="B824" s="1" t="s">
        <v>40</v>
      </c>
      <c r="C824" s="1" t="s">
        <v>40</v>
      </c>
    </row>
    <row r="825" spans="1:3" x14ac:dyDescent="0.4">
      <c r="A825">
        <v>2003</v>
      </c>
      <c r="B825" s="1" t="s">
        <v>40</v>
      </c>
      <c r="C825" s="1" t="s">
        <v>40</v>
      </c>
    </row>
    <row r="826" spans="1:3" x14ac:dyDescent="0.4">
      <c r="A826">
        <v>2004</v>
      </c>
      <c r="B826" s="1" t="s">
        <v>40</v>
      </c>
      <c r="C826" s="1" t="s">
        <v>40</v>
      </c>
    </row>
    <row r="827" spans="1:3" x14ac:dyDescent="0.4">
      <c r="A827">
        <v>2005</v>
      </c>
      <c r="B827" s="1" t="s">
        <v>40</v>
      </c>
      <c r="C827" s="1" t="s">
        <v>40</v>
      </c>
    </row>
    <row r="828" spans="1:3" x14ac:dyDescent="0.4">
      <c r="A828">
        <v>2006</v>
      </c>
      <c r="B828" s="1" t="s">
        <v>40</v>
      </c>
      <c r="C828" s="1" t="s">
        <v>40</v>
      </c>
    </row>
    <row r="829" spans="1:3" x14ac:dyDescent="0.4">
      <c r="A829">
        <v>2007</v>
      </c>
      <c r="B829" s="1" t="s">
        <v>40</v>
      </c>
      <c r="C829" s="1" t="s">
        <v>40</v>
      </c>
    </row>
    <row r="830" spans="1:3" x14ac:dyDescent="0.4">
      <c r="A830">
        <v>2008</v>
      </c>
      <c r="B830" s="1" t="s">
        <v>40</v>
      </c>
      <c r="C830" s="1" t="s">
        <v>40</v>
      </c>
    </row>
    <row r="831" spans="1:3" x14ac:dyDescent="0.4">
      <c r="A831">
        <v>2009</v>
      </c>
      <c r="B831" s="1" t="s">
        <v>40</v>
      </c>
      <c r="C831" s="1" t="s">
        <v>40</v>
      </c>
    </row>
    <row r="832" spans="1:3" x14ac:dyDescent="0.4">
      <c r="A832">
        <v>2010</v>
      </c>
      <c r="B832" s="1" t="s">
        <v>1042</v>
      </c>
      <c r="C832" s="1" t="s">
        <v>60</v>
      </c>
    </row>
    <row r="833" spans="1:3" x14ac:dyDescent="0.4">
      <c r="A833">
        <v>2011</v>
      </c>
      <c r="B833" s="1" t="s">
        <v>1043</v>
      </c>
      <c r="C833" s="1" t="s">
        <v>61</v>
      </c>
    </row>
    <row r="834" spans="1:3" x14ac:dyDescent="0.4">
      <c r="A834">
        <v>2012</v>
      </c>
      <c r="B834" s="1" t="s">
        <v>40</v>
      </c>
      <c r="C834" s="1" t="s">
        <v>40</v>
      </c>
    </row>
    <row r="835" spans="1:3" x14ac:dyDescent="0.4">
      <c r="A835">
        <v>2013</v>
      </c>
      <c r="B835" s="1" t="s">
        <v>40</v>
      </c>
      <c r="C835" s="1" t="s">
        <v>40</v>
      </c>
    </row>
    <row r="836" spans="1:3" x14ac:dyDescent="0.4">
      <c r="A836">
        <v>2014</v>
      </c>
      <c r="B836" s="1" t="s">
        <v>40</v>
      </c>
      <c r="C836" s="1" t="s">
        <v>40</v>
      </c>
    </row>
    <row r="837" spans="1:3" x14ac:dyDescent="0.4">
      <c r="A837">
        <v>2015</v>
      </c>
      <c r="B837" s="1" t="s">
        <v>40</v>
      </c>
      <c r="C837" s="1" t="s">
        <v>40</v>
      </c>
    </row>
    <row r="838" spans="1:3" x14ac:dyDescent="0.4">
      <c r="A838">
        <v>2016</v>
      </c>
      <c r="B838" s="1" t="s">
        <v>40</v>
      </c>
      <c r="C838" s="1" t="s">
        <v>40</v>
      </c>
    </row>
    <row r="839" spans="1:3" x14ac:dyDescent="0.4">
      <c r="A839">
        <v>2017</v>
      </c>
      <c r="B839" s="1" t="s">
        <v>40</v>
      </c>
      <c r="C839" s="1" t="s">
        <v>40</v>
      </c>
    </row>
    <row r="840" spans="1:3" x14ac:dyDescent="0.4">
      <c r="A840">
        <v>2018</v>
      </c>
      <c r="B840" s="1" t="s">
        <v>40</v>
      </c>
      <c r="C840" s="1" t="s">
        <v>40</v>
      </c>
    </row>
    <row r="841" spans="1:3" x14ac:dyDescent="0.4">
      <c r="A841">
        <v>2019</v>
      </c>
      <c r="B841" s="1" t="s">
        <v>40</v>
      </c>
      <c r="C841" s="1" t="s">
        <v>40</v>
      </c>
    </row>
    <row r="842" spans="1:3" x14ac:dyDescent="0.4">
      <c r="A842">
        <v>2020</v>
      </c>
      <c r="B842" s="1" t="s">
        <v>1044</v>
      </c>
      <c r="C842" s="1" t="s">
        <v>62</v>
      </c>
    </row>
    <row r="843" spans="1:3" x14ac:dyDescent="0.4">
      <c r="A843">
        <v>2021</v>
      </c>
      <c r="B843" s="1" t="s">
        <v>1045</v>
      </c>
      <c r="C843" s="1" t="s">
        <v>63</v>
      </c>
    </row>
    <row r="844" spans="1:3" x14ac:dyDescent="0.4">
      <c r="A844">
        <v>2022</v>
      </c>
      <c r="B844" s="1" t="s">
        <v>40</v>
      </c>
      <c r="C844" s="1" t="s">
        <v>40</v>
      </c>
    </row>
    <row r="845" spans="1:3" x14ac:dyDescent="0.4">
      <c r="A845">
        <v>2023</v>
      </c>
      <c r="B845" s="1" t="s">
        <v>40</v>
      </c>
      <c r="C845" s="1" t="s">
        <v>40</v>
      </c>
    </row>
    <row r="846" spans="1:3" x14ac:dyDescent="0.4">
      <c r="A846">
        <v>2024</v>
      </c>
      <c r="B846" s="1" t="s">
        <v>40</v>
      </c>
      <c r="C846" s="1" t="s">
        <v>40</v>
      </c>
    </row>
    <row r="847" spans="1:3" x14ac:dyDescent="0.4">
      <c r="A847">
        <v>2025</v>
      </c>
      <c r="B847" s="1" t="s">
        <v>40</v>
      </c>
      <c r="C847" s="1" t="s">
        <v>40</v>
      </c>
    </row>
    <row r="848" spans="1:3" x14ac:dyDescent="0.4">
      <c r="A848">
        <v>2026</v>
      </c>
      <c r="B848" s="1" t="s">
        <v>40</v>
      </c>
      <c r="C848" s="1" t="s">
        <v>40</v>
      </c>
    </row>
    <row r="849" spans="1:3" x14ac:dyDescent="0.4">
      <c r="A849">
        <v>2027</v>
      </c>
      <c r="B849" s="1" t="s">
        <v>40</v>
      </c>
      <c r="C849" s="1" t="s">
        <v>40</v>
      </c>
    </row>
    <row r="850" spans="1:3" x14ac:dyDescent="0.4">
      <c r="A850">
        <v>2028</v>
      </c>
      <c r="B850" s="1" t="s">
        <v>40</v>
      </c>
      <c r="C850" s="1" t="s">
        <v>40</v>
      </c>
    </row>
    <row r="851" spans="1:3" x14ac:dyDescent="0.4">
      <c r="A851">
        <v>2029</v>
      </c>
      <c r="B851" s="1" t="s">
        <v>40</v>
      </c>
      <c r="C851" s="1" t="s">
        <v>40</v>
      </c>
    </row>
    <row r="852" spans="1:3" x14ac:dyDescent="0.4">
      <c r="A852">
        <v>2030</v>
      </c>
      <c r="B852" s="1" t="s">
        <v>1046</v>
      </c>
      <c r="C852" s="1" t="s">
        <v>64</v>
      </c>
    </row>
    <row r="853" spans="1:3" x14ac:dyDescent="0.4">
      <c r="A853">
        <v>2031</v>
      </c>
      <c r="B853" s="1" t="s">
        <v>1047</v>
      </c>
      <c r="C853" s="1" t="s">
        <v>65</v>
      </c>
    </row>
    <row r="854" spans="1:3" x14ac:dyDescent="0.4">
      <c r="A854">
        <v>2032</v>
      </c>
      <c r="B854" s="1" t="s">
        <v>40</v>
      </c>
      <c r="C854" s="1" t="s">
        <v>40</v>
      </c>
    </row>
    <row r="855" spans="1:3" x14ac:dyDescent="0.4">
      <c r="A855">
        <v>2033</v>
      </c>
      <c r="B855" s="1" t="s">
        <v>40</v>
      </c>
      <c r="C855" s="1" t="s">
        <v>40</v>
      </c>
    </row>
    <row r="856" spans="1:3" x14ac:dyDescent="0.4">
      <c r="A856">
        <v>2034</v>
      </c>
      <c r="B856" s="1" t="s">
        <v>40</v>
      </c>
      <c r="C856" s="1" t="s">
        <v>40</v>
      </c>
    </row>
    <row r="857" spans="1:3" x14ac:dyDescent="0.4">
      <c r="A857">
        <v>2035</v>
      </c>
      <c r="B857" s="1" t="s">
        <v>40</v>
      </c>
      <c r="C857" s="1" t="s">
        <v>40</v>
      </c>
    </row>
    <row r="858" spans="1:3" x14ac:dyDescent="0.4">
      <c r="A858">
        <v>2036</v>
      </c>
      <c r="B858" s="1" t="s">
        <v>40</v>
      </c>
      <c r="C858" s="1" t="s">
        <v>40</v>
      </c>
    </row>
    <row r="859" spans="1:3" x14ac:dyDescent="0.4">
      <c r="A859">
        <v>2037</v>
      </c>
      <c r="B859" s="1" t="s">
        <v>40</v>
      </c>
      <c r="C859" s="1" t="s">
        <v>40</v>
      </c>
    </row>
    <row r="860" spans="1:3" x14ac:dyDescent="0.4">
      <c r="A860">
        <v>2038</v>
      </c>
      <c r="B860" s="1" t="s">
        <v>40</v>
      </c>
      <c r="C860" s="1" t="s">
        <v>40</v>
      </c>
    </row>
    <row r="861" spans="1:3" x14ac:dyDescent="0.4">
      <c r="A861">
        <v>2039</v>
      </c>
      <c r="B861" s="1" t="s">
        <v>40</v>
      </c>
      <c r="C861" s="1" t="s">
        <v>40</v>
      </c>
    </row>
    <row r="862" spans="1:3" x14ac:dyDescent="0.4">
      <c r="A862">
        <v>2040</v>
      </c>
      <c r="B862" s="1" t="s">
        <v>1048</v>
      </c>
      <c r="C862" s="1" t="s">
        <v>66</v>
      </c>
    </row>
    <row r="863" spans="1:3" x14ac:dyDescent="0.4">
      <c r="A863">
        <v>2041</v>
      </c>
      <c r="B863" s="1" t="s">
        <v>1049</v>
      </c>
      <c r="C863" s="1" t="s">
        <v>67</v>
      </c>
    </row>
    <row r="864" spans="1:3" x14ac:dyDescent="0.4">
      <c r="A864">
        <v>2042</v>
      </c>
      <c r="B864" s="1" t="s">
        <v>40</v>
      </c>
      <c r="C864" s="1" t="s">
        <v>40</v>
      </c>
    </row>
    <row r="865" spans="1:3" x14ac:dyDescent="0.4">
      <c r="A865">
        <v>2043</v>
      </c>
      <c r="B865" s="1" t="s">
        <v>40</v>
      </c>
      <c r="C865" s="1" t="s">
        <v>40</v>
      </c>
    </row>
    <row r="866" spans="1:3" x14ac:dyDescent="0.4">
      <c r="A866">
        <v>2044</v>
      </c>
      <c r="B866" s="1" t="s">
        <v>40</v>
      </c>
      <c r="C866" s="1" t="s">
        <v>40</v>
      </c>
    </row>
    <row r="867" spans="1:3" x14ac:dyDescent="0.4">
      <c r="A867">
        <v>2045</v>
      </c>
      <c r="B867" s="1" t="s">
        <v>40</v>
      </c>
      <c r="C867" s="1" t="s">
        <v>40</v>
      </c>
    </row>
    <row r="868" spans="1:3" x14ac:dyDescent="0.4">
      <c r="A868">
        <v>2046</v>
      </c>
      <c r="B868" s="1" t="s">
        <v>40</v>
      </c>
      <c r="C868" s="1" t="s">
        <v>40</v>
      </c>
    </row>
    <row r="869" spans="1:3" x14ac:dyDescent="0.4">
      <c r="A869">
        <v>2047</v>
      </c>
      <c r="B869" s="1" t="s">
        <v>40</v>
      </c>
      <c r="C869" s="1" t="s">
        <v>40</v>
      </c>
    </row>
    <row r="870" spans="1:3" x14ac:dyDescent="0.4">
      <c r="A870">
        <v>2048</v>
      </c>
      <c r="B870" s="1" t="s">
        <v>40</v>
      </c>
      <c r="C870" s="1" t="s">
        <v>40</v>
      </c>
    </row>
    <row r="871" spans="1:3" x14ac:dyDescent="0.4">
      <c r="A871">
        <v>2049</v>
      </c>
      <c r="B871" s="1" t="s">
        <v>40</v>
      </c>
      <c r="C871" s="1" t="s">
        <v>40</v>
      </c>
    </row>
    <row r="872" spans="1:3" x14ac:dyDescent="0.4">
      <c r="A872">
        <v>2050</v>
      </c>
      <c r="B872" s="1" t="s">
        <v>1050</v>
      </c>
      <c r="C872" s="1" t="s">
        <v>68</v>
      </c>
    </row>
    <row r="873" spans="1:3" x14ac:dyDescent="0.4">
      <c r="A873">
        <v>2051</v>
      </c>
      <c r="B873" s="1" t="s">
        <v>1051</v>
      </c>
      <c r="C873" s="1" t="s">
        <v>69</v>
      </c>
    </row>
    <row r="874" spans="1:3" x14ac:dyDescent="0.4">
      <c r="A874">
        <v>2052</v>
      </c>
      <c r="B874" s="1" t="s">
        <v>40</v>
      </c>
      <c r="C874" s="1" t="s">
        <v>40</v>
      </c>
    </row>
    <row r="875" spans="1:3" x14ac:dyDescent="0.4">
      <c r="A875">
        <v>2053</v>
      </c>
      <c r="B875" s="1" t="s">
        <v>40</v>
      </c>
      <c r="C875" s="1" t="s">
        <v>40</v>
      </c>
    </row>
    <row r="876" spans="1:3" x14ac:dyDescent="0.4">
      <c r="A876">
        <v>2054</v>
      </c>
      <c r="B876" s="1" t="s">
        <v>40</v>
      </c>
      <c r="C876" s="1" t="s">
        <v>40</v>
      </c>
    </row>
    <row r="877" spans="1:3" x14ac:dyDescent="0.4">
      <c r="A877">
        <v>2055</v>
      </c>
      <c r="B877" s="1" t="s">
        <v>40</v>
      </c>
      <c r="C877" s="1" t="s">
        <v>40</v>
      </c>
    </row>
    <row r="878" spans="1:3" x14ac:dyDescent="0.4">
      <c r="A878">
        <v>2056</v>
      </c>
      <c r="B878" s="1" t="s">
        <v>40</v>
      </c>
      <c r="C878" s="1" t="s">
        <v>40</v>
      </c>
    </row>
    <row r="879" spans="1:3" x14ac:dyDescent="0.4">
      <c r="A879">
        <v>2057</v>
      </c>
      <c r="B879" s="1" t="s">
        <v>40</v>
      </c>
      <c r="C879" s="1" t="s">
        <v>40</v>
      </c>
    </row>
    <row r="880" spans="1:3" x14ac:dyDescent="0.4">
      <c r="A880">
        <v>2058</v>
      </c>
      <c r="B880" s="1" t="s">
        <v>40</v>
      </c>
      <c r="C880" s="1" t="s">
        <v>40</v>
      </c>
    </row>
    <row r="881" spans="1:3" x14ac:dyDescent="0.4">
      <c r="A881">
        <v>2059</v>
      </c>
      <c r="B881" s="1" t="s">
        <v>40</v>
      </c>
      <c r="C881" s="1" t="s">
        <v>40</v>
      </c>
    </row>
    <row r="882" spans="1:3" x14ac:dyDescent="0.4">
      <c r="A882">
        <v>2060</v>
      </c>
      <c r="B882" s="1" t="s">
        <v>1052</v>
      </c>
      <c r="C882" s="1" t="s">
        <v>70</v>
      </c>
    </row>
    <row r="883" spans="1:3" x14ac:dyDescent="0.4">
      <c r="A883">
        <v>2061</v>
      </c>
      <c r="B883" s="1" t="s">
        <v>1053</v>
      </c>
      <c r="C883" s="1" t="s">
        <v>71</v>
      </c>
    </row>
    <row r="884" spans="1:3" x14ac:dyDescent="0.4">
      <c r="A884">
        <v>2070</v>
      </c>
      <c r="B884" s="1" t="s">
        <v>1054</v>
      </c>
      <c r="C884" s="1" t="s">
        <v>113</v>
      </c>
    </row>
    <row r="885" spans="1:3" x14ac:dyDescent="0.4">
      <c r="A885">
        <v>2071</v>
      </c>
      <c r="B885" s="1" t="s">
        <v>1055</v>
      </c>
      <c r="C885" s="1" t="s">
        <v>114</v>
      </c>
    </row>
    <row r="886" spans="1:3" x14ac:dyDescent="0.4">
      <c r="A886">
        <v>2072</v>
      </c>
      <c r="B886" s="1" t="s">
        <v>40</v>
      </c>
      <c r="C886" s="1" t="s">
        <v>40</v>
      </c>
    </row>
    <row r="887" spans="1:3" x14ac:dyDescent="0.4">
      <c r="A887">
        <v>2073</v>
      </c>
      <c r="B887" s="1" t="s">
        <v>40</v>
      </c>
      <c r="C887" s="1" t="s">
        <v>40</v>
      </c>
    </row>
    <row r="888" spans="1:3" x14ac:dyDescent="0.4">
      <c r="A888">
        <v>2074</v>
      </c>
      <c r="B888" s="1" t="s">
        <v>40</v>
      </c>
      <c r="C888" s="1" t="s">
        <v>40</v>
      </c>
    </row>
    <row r="889" spans="1:3" x14ac:dyDescent="0.4">
      <c r="A889">
        <v>2075</v>
      </c>
      <c r="B889" s="1" t="s">
        <v>40</v>
      </c>
      <c r="C889" s="1" t="s">
        <v>40</v>
      </c>
    </row>
    <row r="890" spans="1:3" x14ac:dyDescent="0.4">
      <c r="A890">
        <v>2076</v>
      </c>
      <c r="B890" s="1" t="s">
        <v>40</v>
      </c>
      <c r="C890" s="1" t="s">
        <v>40</v>
      </c>
    </row>
    <row r="891" spans="1:3" x14ac:dyDescent="0.4">
      <c r="A891">
        <v>2077</v>
      </c>
      <c r="B891" s="1" t="s">
        <v>40</v>
      </c>
      <c r="C891" s="1" t="s">
        <v>40</v>
      </c>
    </row>
    <row r="892" spans="1:3" x14ac:dyDescent="0.4">
      <c r="A892">
        <v>2078</v>
      </c>
      <c r="B892" s="1" t="s">
        <v>40</v>
      </c>
      <c r="C892" s="1" t="s">
        <v>40</v>
      </c>
    </row>
    <row r="893" spans="1:3" x14ac:dyDescent="0.4">
      <c r="A893">
        <v>2079</v>
      </c>
      <c r="B893" s="1" t="s">
        <v>40</v>
      </c>
      <c r="C893" s="1" t="s">
        <v>40</v>
      </c>
    </row>
    <row r="894" spans="1:3" x14ac:dyDescent="0.4">
      <c r="A894">
        <v>2080</v>
      </c>
      <c r="B894" s="1" t="s">
        <v>1056</v>
      </c>
      <c r="C894" s="1" t="s">
        <v>115</v>
      </c>
    </row>
    <row r="895" spans="1:3" x14ac:dyDescent="0.4">
      <c r="A895">
        <v>2100</v>
      </c>
      <c r="B895" s="1" t="s">
        <v>1057</v>
      </c>
      <c r="C895" s="1" t="s">
        <v>72</v>
      </c>
    </row>
    <row r="896" spans="1:3" x14ac:dyDescent="0.4">
      <c r="A896">
        <v>10000</v>
      </c>
      <c r="B896" s="1" t="s">
        <v>1058</v>
      </c>
      <c r="C896" s="1" t="s">
        <v>73</v>
      </c>
    </row>
    <row r="897" spans="1:3" x14ac:dyDescent="0.4">
      <c r="A897">
        <v>10001</v>
      </c>
      <c r="B897" s="1" t="s">
        <v>1059</v>
      </c>
      <c r="C897" s="1" t="s">
        <v>74</v>
      </c>
    </row>
    <row r="898" spans="1:3" x14ac:dyDescent="0.4">
      <c r="A898">
        <v>10002</v>
      </c>
      <c r="B898" s="1" t="s">
        <v>1060</v>
      </c>
      <c r="C898" s="1" t="s">
        <v>75</v>
      </c>
    </row>
    <row r="899" spans="1:3" x14ac:dyDescent="0.4">
      <c r="A899">
        <v>11000</v>
      </c>
      <c r="B899" s="1" t="s">
        <v>1061</v>
      </c>
      <c r="C899" s="1" t="s">
        <v>76</v>
      </c>
    </row>
    <row r="900" spans="1:3" x14ac:dyDescent="0.4">
      <c r="A900">
        <v>11001</v>
      </c>
      <c r="B900" s="1" t="s">
        <v>1062</v>
      </c>
      <c r="C900" s="1" t="s">
        <v>77</v>
      </c>
    </row>
    <row r="901" spans="1:3" x14ac:dyDescent="0.4">
      <c r="A901">
        <v>11002</v>
      </c>
      <c r="B901" s="1" t="s">
        <v>1063</v>
      </c>
      <c r="C901" s="1" t="s">
        <v>78</v>
      </c>
    </row>
    <row r="902" spans="1:3" x14ac:dyDescent="0.4">
      <c r="A902">
        <v>11003</v>
      </c>
      <c r="B902" s="1" t="s">
        <v>1028</v>
      </c>
      <c r="C902" s="1" t="s">
        <v>46</v>
      </c>
    </row>
    <row r="903" spans="1:3" x14ac:dyDescent="0.4">
      <c r="A903">
        <v>11004</v>
      </c>
      <c r="B903" s="1" t="s">
        <v>1028</v>
      </c>
      <c r="C903" s="1" t="s">
        <v>46</v>
      </c>
    </row>
    <row r="904" spans="1:3" x14ac:dyDescent="0.4">
      <c r="A904">
        <v>12000</v>
      </c>
      <c r="B904" s="1" t="s">
        <v>1064</v>
      </c>
      <c r="C904" s="1" t="s">
        <v>79</v>
      </c>
    </row>
    <row r="905" spans="1:3" x14ac:dyDescent="0.4">
      <c r="A905">
        <v>12001</v>
      </c>
      <c r="B905" s="1" t="s">
        <v>1065</v>
      </c>
      <c r="C905" s="1" t="s">
        <v>80</v>
      </c>
    </row>
    <row r="906" spans="1:3" x14ac:dyDescent="0.4">
      <c r="A906">
        <v>12002</v>
      </c>
      <c r="B906" s="1" t="s">
        <v>1066</v>
      </c>
      <c r="C906" s="1" t="s">
        <v>81</v>
      </c>
    </row>
    <row r="907" spans="1:3" x14ac:dyDescent="0.4">
      <c r="A907">
        <v>12003</v>
      </c>
      <c r="B907" s="1" t="s">
        <v>1067</v>
      </c>
      <c r="C907" s="1" t="s">
        <v>82</v>
      </c>
    </row>
    <row r="908" spans="1:3" x14ac:dyDescent="0.4">
      <c r="A908">
        <v>12004</v>
      </c>
      <c r="B908" s="1" t="s">
        <v>1034</v>
      </c>
      <c r="C908" s="1" t="s">
        <v>52</v>
      </c>
    </row>
    <row r="909" spans="1:3" x14ac:dyDescent="0.4">
      <c r="A909">
        <v>12005</v>
      </c>
      <c r="B909" s="1" t="s">
        <v>1031</v>
      </c>
      <c r="C909" s="1" t="s">
        <v>49</v>
      </c>
    </row>
    <row r="910" spans="1:3" x14ac:dyDescent="0.4">
      <c r="A910">
        <v>12006</v>
      </c>
      <c r="B910" s="1" t="s">
        <v>1031</v>
      </c>
      <c r="C910" s="1" t="s">
        <v>49</v>
      </c>
    </row>
    <row r="911" spans="1:3" x14ac:dyDescent="0.4">
      <c r="A911">
        <v>12007</v>
      </c>
      <c r="B911" s="1" t="s">
        <v>1037</v>
      </c>
      <c r="C911" s="1" t="s">
        <v>55</v>
      </c>
    </row>
    <row r="912" spans="1:3" x14ac:dyDescent="0.4">
      <c r="A912">
        <v>13000</v>
      </c>
      <c r="B912" s="1" t="s">
        <v>1068</v>
      </c>
      <c r="C912" s="1" t="s">
        <v>83</v>
      </c>
    </row>
    <row r="913" spans="1:3" x14ac:dyDescent="0.4">
      <c r="A913">
        <v>13001</v>
      </c>
      <c r="B913" s="1" t="s">
        <v>1069</v>
      </c>
      <c r="C913" s="1" t="s">
        <v>84</v>
      </c>
    </row>
    <row r="914" spans="1:3" x14ac:dyDescent="0.4">
      <c r="A914">
        <v>13002</v>
      </c>
      <c r="B914" s="1" t="s">
        <v>1070</v>
      </c>
      <c r="C914" s="1" t="s">
        <v>85</v>
      </c>
    </row>
    <row r="915" spans="1:3" x14ac:dyDescent="0.4">
      <c r="A915">
        <v>14000</v>
      </c>
      <c r="B915" s="1" t="s">
        <v>1071</v>
      </c>
      <c r="C915" s="1" t="s">
        <v>86</v>
      </c>
    </row>
    <row r="916" spans="1:3" x14ac:dyDescent="0.4">
      <c r="A916">
        <v>14001</v>
      </c>
      <c r="B916" s="1" t="s">
        <v>1072</v>
      </c>
      <c r="C916" s="1" t="s">
        <v>87</v>
      </c>
    </row>
    <row r="917" spans="1:3" x14ac:dyDescent="0.4">
      <c r="A917">
        <v>14002</v>
      </c>
      <c r="B917" s="1" t="s">
        <v>1073</v>
      </c>
      <c r="C917" s="1" t="s">
        <v>88</v>
      </c>
    </row>
    <row r="918" spans="1:3" x14ac:dyDescent="0.4">
      <c r="A918">
        <v>15000</v>
      </c>
      <c r="B918" s="1" t="s">
        <v>1074</v>
      </c>
      <c r="C918" s="1" t="s">
        <v>89</v>
      </c>
    </row>
    <row r="919" spans="1:3" x14ac:dyDescent="0.4">
      <c r="A919">
        <v>15001</v>
      </c>
      <c r="B919" s="1" t="s">
        <v>40</v>
      </c>
      <c r="C919" s="1" t="s">
        <v>40</v>
      </c>
    </row>
    <row r="920" spans="1:3" x14ac:dyDescent="0.4">
      <c r="A920">
        <v>15002</v>
      </c>
      <c r="B920" s="1" t="s">
        <v>1075</v>
      </c>
      <c r="C920" s="1" t="s">
        <v>90</v>
      </c>
    </row>
    <row r="921" spans="1:3" x14ac:dyDescent="0.4">
      <c r="A921">
        <v>16000</v>
      </c>
      <c r="B921" s="1" t="s">
        <v>1076</v>
      </c>
      <c r="C921" s="1" t="s">
        <v>91</v>
      </c>
    </row>
    <row r="922" spans="1:3" x14ac:dyDescent="0.4">
      <c r="A922">
        <v>16001</v>
      </c>
      <c r="B922" s="1" t="s">
        <v>1077</v>
      </c>
      <c r="C922" s="1" t="s">
        <v>92</v>
      </c>
    </row>
    <row r="923" spans="1:3" x14ac:dyDescent="0.4">
      <c r="A923">
        <v>16002</v>
      </c>
      <c r="B923" s="1" t="s">
        <v>1078</v>
      </c>
      <c r="C923" s="1" t="s">
        <v>93</v>
      </c>
    </row>
    <row r="924" spans="1:3" x14ac:dyDescent="0.4">
      <c r="A924">
        <v>17000</v>
      </c>
      <c r="B924" s="1" t="s">
        <v>1079</v>
      </c>
      <c r="C924" s="1" t="s">
        <v>94</v>
      </c>
    </row>
    <row r="925" spans="1:3" x14ac:dyDescent="0.4">
      <c r="A925">
        <v>17001</v>
      </c>
      <c r="B925" s="1" t="s">
        <v>1080</v>
      </c>
      <c r="C925" s="1" t="s">
        <v>95</v>
      </c>
    </row>
    <row r="926" spans="1:3" x14ac:dyDescent="0.4">
      <c r="A926">
        <v>17002</v>
      </c>
      <c r="B926" s="1" t="s">
        <v>1081</v>
      </c>
      <c r="C926" s="1" t="s">
        <v>96</v>
      </c>
    </row>
    <row r="927" spans="1:3" x14ac:dyDescent="0.4">
      <c r="A927">
        <v>18000</v>
      </c>
      <c r="B927" s="1" t="s">
        <v>1082</v>
      </c>
      <c r="C927" s="1" t="s">
        <v>97</v>
      </c>
    </row>
    <row r="928" spans="1:3" x14ac:dyDescent="0.4">
      <c r="A928">
        <v>18001</v>
      </c>
      <c r="B928" s="1" t="s">
        <v>1083</v>
      </c>
      <c r="C928" s="1" t="s">
        <v>98</v>
      </c>
    </row>
    <row r="929" spans="1:3" x14ac:dyDescent="0.4">
      <c r="A929">
        <v>18002</v>
      </c>
      <c r="B929" s="1" t="s">
        <v>1084</v>
      </c>
      <c r="C929" s="1" t="s">
        <v>99</v>
      </c>
    </row>
    <row r="930" spans="1:3" x14ac:dyDescent="0.4">
      <c r="A930">
        <v>19000</v>
      </c>
      <c r="B930" s="1" t="s">
        <v>1085</v>
      </c>
      <c r="C930" s="1" t="s">
        <v>116</v>
      </c>
    </row>
    <row r="931" spans="1:3" x14ac:dyDescent="0.4">
      <c r="A931">
        <v>19001</v>
      </c>
      <c r="B931" s="1" t="s">
        <v>1086</v>
      </c>
      <c r="C931" s="1" t="s">
        <v>117</v>
      </c>
    </row>
    <row r="932" spans="1:3" x14ac:dyDescent="0.4">
      <c r="A932">
        <v>19050</v>
      </c>
      <c r="B932" s="1" t="s">
        <v>1087</v>
      </c>
      <c r="C932" s="1" t="s">
        <v>118</v>
      </c>
    </row>
    <row r="933" spans="1:3" x14ac:dyDescent="0.4">
      <c r="A933">
        <v>19051</v>
      </c>
      <c r="B933" s="1" t="s">
        <v>1088</v>
      </c>
      <c r="C933" s="1" t="s">
        <v>119</v>
      </c>
    </row>
    <row r="934" spans="1:3" x14ac:dyDescent="0.4">
      <c r="A934">
        <v>20000</v>
      </c>
      <c r="B934" s="1" t="s">
        <v>1028</v>
      </c>
      <c r="C934" s="1" t="s">
        <v>46</v>
      </c>
    </row>
    <row r="935" spans="1:3" x14ac:dyDescent="0.4">
      <c r="A935">
        <v>20001</v>
      </c>
      <c r="B935" s="1" t="s">
        <v>1029</v>
      </c>
      <c r="C935" s="1" t="s">
        <v>47</v>
      </c>
    </row>
    <row r="936" spans="1:3" x14ac:dyDescent="0.4">
      <c r="A936">
        <v>20002</v>
      </c>
      <c r="B936" s="1" t="s">
        <v>1030</v>
      </c>
      <c r="C936" s="1" t="s">
        <v>48</v>
      </c>
    </row>
    <row r="937" spans="1:3" x14ac:dyDescent="0.4">
      <c r="A937">
        <v>20003</v>
      </c>
      <c r="B937" s="1" t="s">
        <v>1028</v>
      </c>
      <c r="C937" s="1" t="s">
        <v>46</v>
      </c>
    </row>
    <row r="938" spans="1:3" x14ac:dyDescent="0.4">
      <c r="A938">
        <v>20004</v>
      </c>
      <c r="B938" s="1" t="s">
        <v>1029</v>
      </c>
      <c r="C938" s="1" t="s">
        <v>47</v>
      </c>
    </row>
    <row r="939" spans="1:3" x14ac:dyDescent="0.4">
      <c r="A939">
        <v>20005</v>
      </c>
      <c r="B939" s="1" t="s">
        <v>1030</v>
      </c>
      <c r="C939" s="1" t="s">
        <v>48</v>
      </c>
    </row>
    <row r="940" spans="1:3" x14ac:dyDescent="0.4">
      <c r="A940">
        <v>20006</v>
      </c>
      <c r="B940" s="1" t="s">
        <v>1028</v>
      </c>
      <c r="C940" s="1" t="s">
        <v>46</v>
      </c>
    </row>
    <row r="941" spans="1:3" x14ac:dyDescent="0.4">
      <c r="A941">
        <v>20007</v>
      </c>
      <c r="B941" s="1" t="s">
        <v>1029</v>
      </c>
      <c r="C941" s="1" t="s">
        <v>47</v>
      </c>
    </row>
    <row r="942" spans="1:3" x14ac:dyDescent="0.4">
      <c r="A942">
        <v>20008</v>
      </c>
      <c r="B942" s="1" t="s">
        <v>1030</v>
      </c>
      <c r="C942" s="1" t="s">
        <v>48</v>
      </c>
    </row>
    <row r="943" spans="1:3" x14ac:dyDescent="0.4">
      <c r="A943">
        <v>20009</v>
      </c>
      <c r="B943" s="1" t="s">
        <v>1031</v>
      </c>
      <c r="C943" s="1" t="s">
        <v>49</v>
      </c>
    </row>
    <row r="944" spans="1:3" x14ac:dyDescent="0.4">
      <c r="A944">
        <v>20010</v>
      </c>
      <c r="B944" s="1" t="s">
        <v>1032</v>
      </c>
      <c r="C944" s="1" t="s">
        <v>50</v>
      </c>
    </row>
    <row r="945" spans="1:3" x14ac:dyDescent="0.4">
      <c r="A945">
        <v>20011</v>
      </c>
      <c r="B945" s="1" t="s">
        <v>1033</v>
      </c>
      <c r="C945" s="1" t="s">
        <v>51</v>
      </c>
    </row>
    <row r="946" spans="1:3" x14ac:dyDescent="0.4">
      <c r="A946">
        <v>20012</v>
      </c>
      <c r="B946" s="1" t="s">
        <v>1031</v>
      </c>
      <c r="C946" s="1" t="s">
        <v>49</v>
      </c>
    </row>
    <row r="947" spans="1:3" x14ac:dyDescent="0.4">
      <c r="A947">
        <v>20013</v>
      </c>
      <c r="B947" s="1" t="s">
        <v>1032</v>
      </c>
      <c r="C947" s="1" t="s">
        <v>50</v>
      </c>
    </row>
    <row r="948" spans="1:3" x14ac:dyDescent="0.4">
      <c r="A948">
        <v>20014</v>
      </c>
      <c r="B948" s="1" t="s">
        <v>1033</v>
      </c>
      <c r="C948" s="1" t="s">
        <v>51</v>
      </c>
    </row>
    <row r="949" spans="1:3" x14ac:dyDescent="0.4">
      <c r="A949">
        <v>20015</v>
      </c>
      <c r="B949" s="1" t="s">
        <v>1031</v>
      </c>
      <c r="C949" s="1" t="s">
        <v>49</v>
      </c>
    </row>
    <row r="950" spans="1:3" x14ac:dyDescent="0.4">
      <c r="A950">
        <v>20016</v>
      </c>
      <c r="B950" s="1" t="s">
        <v>1032</v>
      </c>
      <c r="C950" s="1" t="s">
        <v>50</v>
      </c>
    </row>
    <row r="951" spans="1:3" x14ac:dyDescent="0.4">
      <c r="A951">
        <v>20017</v>
      </c>
      <c r="B951" s="1" t="s">
        <v>1033</v>
      </c>
      <c r="C951" s="1" t="s">
        <v>51</v>
      </c>
    </row>
    <row r="952" spans="1:3" x14ac:dyDescent="0.4">
      <c r="A952">
        <v>20018</v>
      </c>
      <c r="B952" s="1" t="s">
        <v>1034</v>
      </c>
      <c r="C952" s="1" t="s">
        <v>52</v>
      </c>
    </row>
    <row r="953" spans="1:3" x14ac:dyDescent="0.4">
      <c r="A953">
        <v>20019</v>
      </c>
      <c r="B953" s="1" t="s">
        <v>1035</v>
      </c>
      <c r="C953" s="1" t="s">
        <v>53</v>
      </c>
    </row>
    <row r="954" spans="1:3" x14ac:dyDescent="0.4">
      <c r="A954">
        <v>20020</v>
      </c>
      <c r="B954" s="1" t="s">
        <v>1036</v>
      </c>
      <c r="C954" s="1" t="s">
        <v>54</v>
      </c>
    </row>
    <row r="955" spans="1:3" x14ac:dyDescent="0.4">
      <c r="A955">
        <v>20021</v>
      </c>
      <c r="B955" s="1" t="s">
        <v>1034</v>
      </c>
      <c r="C955" s="1" t="s">
        <v>52</v>
      </c>
    </row>
    <row r="956" spans="1:3" x14ac:dyDescent="0.4">
      <c r="A956">
        <v>20022</v>
      </c>
      <c r="B956" s="1" t="s">
        <v>1035</v>
      </c>
      <c r="C956" s="1" t="s">
        <v>53</v>
      </c>
    </row>
    <row r="957" spans="1:3" x14ac:dyDescent="0.4">
      <c r="A957">
        <v>20023</v>
      </c>
      <c r="B957" s="1" t="s">
        <v>1036</v>
      </c>
      <c r="C957" s="1" t="s">
        <v>54</v>
      </c>
    </row>
    <row r="958" spans="1:3" x14ac:dyDescent="0.4">
      <c r="A958">
        <v>20024</v>
      </c>
      <c r="B958" s="1" t="s">
        <v>1034</v>
      </c>
      <c r="C958" s="1" t="s">
        <v>52</v>
      </c>
    </row>
    <row r="959" spans="1:3" x14ac:dyDescent="0.4">
      <c r="A959">
        <v>20025</v>
      </c>
      <c r="B959" s="1" t="s">
        <v>1035</v>
      </c>
      <c r="C959" s="1" t="s">
        <v>53</v>
      </c>
    </row>
    <row r="960" spans="1:3" x14ac:dyDescent="0.4">
      <c r="A960">
        <v>20026</v>
      </c>
      <c r="B960" s="1" t="s">
        <v>1036</v>
      </c>
      <c r="C960" s="1" t="s">
        <v>54</v>
      </c>
    </row>
    <row r="961" spans="1:3" x14ac:dyDescent="0.4">
      <c r="A961">
        <v>20027</v>
      </c>
      <c r="B961" s="1" t="s">
        <v>1037</v>
      </c>
      <c r="C961" s="1" t="s">
        <v>55</v>
      </c>
    </row>
    <row r="962" spans="1:3" x14ac:dyDescent="0.4">
      <c r="A962">
        <v>20028</v>
      </c>
      <c r="B962" s="1" t="s">
        <v>1038</v>
      </c>
      <c r="C962" s="1" t="s">
        <v>56</v>
      </c>
    </row>
    <row r="963" spans="1:3" x14ac:dyDescent="0.4">
      <c r="A963">
        <v>20029</v>
      </c>
      <c r="B963" s="1" t="s">
        <v>1039</v>
      </c>
      <c r="C963" s="1" t="s">
        <v>57</v>
      </c>
    </row>
    <row r="964" spans="1:3" x14ac:dyDescent="0.4">
      <c r="A964">
        <v>20030</v>
      </c>
      <c r="B964" s="1" t="s">
        <v>1037</v>
      </c>
      <c r="C964" s="1" t="s">
        <v>55</v>
      </c>
    </row>
    <row r="965" spans="1:3" x14ac:dyDescent="0.4">
      <c r="A965">
        <v>20031</v>
      </c>
      <c r="B965" s="1" t="s">
        <v>1038</v>
      </c>
      <c r="C965" s="1" t="s">
        <v>56</v>
      </c>
    </row>
    <row r="966" spans="1:3" x14ac:dyDescent="0.4">
      <c r="A966">
        <v>20032</v>
      </c>
      <c r="B966" s="1" t="s">
        <v>1039</v>
      </c>
      <c r="C966" s="1" t="s">
        <v>57</v>
      </c>
    </row>
    <row r="967" spans="1:3" x14ac:dyDescent="0.4">
      <c r="A967">
        <v>20033</v>
      </c>
      <c r="B967" s="1" t="s">
        <v>1037</v>
      </c>
      <c r="C967" s="1" t="s">
        <v>55</v>
      </c>
    </row>
    <row r="968" spans="1:3" x14ac:dyDescent="0.4">
      <c r="A968">
        <v>20034</v>
      </c>
      <c r="B968" s="1" t="s">
        <v>1038</v>
      </c>
      <c r="C968" s="1" t="s">
        <v>56</v>
      </c>
    </row>
    <row r="969" spans="1:3" x14ac:dyDescent="0.4">
      <c r="A969">
        <v>20035</v>
      </c>
      <c r="B969" s="1" t="s">
        <v>1039</v>
      </c>
      <c r="C969" s="1" t="s">
        <v>57</v>
      </c>
    </row>
    <row r="970" spans="1:3" x14ac:dyDescent="0.4">
      <c r="A970">
        <v>30000</v>
      </c>
      <c r="B970" s="1" t="s">
        <v>1089</v>
      </c>
      <c r="C970" s="1" t="s">
        <v>100</v>
      </c>
    </row>
    <row r="971" spans="1:3" x14ac:dyDescent="0.4">
      <c r="A971">
        <v>30001</v>
      </c>
      <c r="B971" s="1" t="s">
        <v>1090</v>
      </c>
      <c r="C971" s="1" t="s">
        <v>101</v>
      </c>
    </row>
    <row r="972" spans="1:3" x14ac:dyDescent="0.4">
      <c r="A972">
        <v>30002</v>
      </c>
      <c r="B972" s="1" t="s">
        <v>1091</v>
      </c>
      <c r="C972" s="1" t="s">
        <v>102</v>
      </c>
    </row>
    <row r="973" spans="1:3" x14ac:dyDescent="0.4">
      <c r="A973">
        <v>30003</v>
      </c>
      <c r="B973" s="1" t="s">
        <v>1089</v>
      </c>
      <c r="C973" s="1" t="s">
        <v>100</v>
      </c>
    </row>
    <row r="974" spans="1:3" x14ac:dyDescent="0.4">
      <c r="A974">
        <v>30004</v>
      </c>
      <c r="B974" s="1" t="s">
        <v>1090</v>
      </c>
      <c r="C974" s="1" t="s">
        <v>101</v>
      </c>
    </row>
    <row r="975" spans="1:3" x14ac:dyDescent="0.4">
      <c r="A975">
        <v>30005</v>
      </c>
      <c r="B975" s="1" t="s">
        <v>1091</v>
      </c>
      <c r="C975" s="1" t="s">
        <v>102</v>
      </c>
    </row>
    <row r="976" spans="1:3" x14ac:dyDescent="0.4">
      <c r="A976">
        <v>30006</v>
      </c>
      <c r="B976" s="1" t="s">
        <v>1089</v>
      </c>
      <c r="C976" s="1" t="s">
        <v>100</v>
      </c>
    </row>
    <row r="977" spans="1:3" x14ac:dyDescent="0.4">
      <c r="A977">
        <v>30007</v>
      </c>
      <c r="B977" s="1" t="s">
        <v>1090</v>
      </c>
      <c r="C977" s="1" t="s">
        <v>101</v>
      </c>
    </row>
    <row r="978" spans="1:3" x14ac:dyDescent="0.4">
      <c r="A978">
        <v>30008</v>
      </c>
      <c r="B978" s="1" t="s">
        <v>1091</v>
      </c>
      <c r="C978" s="1" t="s">
        <v>102</v>
      </c>
    </row>
    <row r="979" spans="1:3" x14ac:dyDescent="0.4">
      <c r="A979">
        <v>30009</v>
      </c>
      <c r="B979" s="1" t="s">
        <v>1092</v>
      </c>
      <c r="C979" s="1" t="s">
        <v>103</v>
      </c>
    </row>
    <row r="980" spans="1:3" x14ac:dyDescent="0.4">
      <c r="A980">
        <v>30010</v>
      </c>
      <c r="B980" s="1" t="s">
        <v>1093</v>
      </c>
      <c r="C980" s="1" t="s">
        <v>104</v>
      </c>
    </row>
    <row r="981" spans="1:3" x14ac:dyDescent="0.4">
      <c r="A981">
        <v>30011</v>
      </c>
      <c r="B981" s="1" t="s">
        <v>1094</v>
      </c>
      <c r="C981" s="1" t="s">
        <v>105</v>
      </c>
    </row>
    <row r="982" spans="1:3" x14ac:dyDescent="0.4">
      <c r="A982">
        <v>30012</v>
      </c>
      <c r="B982" s="1" t="s">
        <v>1092</v>
      </c>
      <c r="C982" s="1" t="s">
        <v>103</v>
      </c>
    </row>
    <row r="983" spans="1:3" x14ac:dyDescent="0.4">
      <c r="A983">
        <v>30013</v>
      </c>
      <c r="B983" s="1" t="s">
        <v>1093</v>
      </c>
      <c r="C983" s="1" t="s">
        <v>104</v>
      </c>
    </row>
    <row r="984" spans="1:3" x14ac:dyDescent="0.4">
      <c r="A984">
        <v>30014</v>
      </c>
      <c r="B984" s="1" t="s">
        <v>1094</v>
      </c>
      <c r="C984" s="1" t="s">
        <v>105</v>
      </c>
    </row>
    <row r="985" spans="1:3" x14ac:dyDescent="0.4">
      <c r="A985">
        <v>30015</v>
      </c>
      <c r="B985" s="1" t="s">
        <v>1092</v>
      </c>
      <c r="C985" s="1" t="s">
        <v>103</v>
      </c>
    </row>
    <row r="986" spans="1:3" x14ac:dyDescent="0.4">
      <c r="A986">
        <v>30016</v>
      </c>
      <c r="B986" s="1" t="s">
        <v>1093</v>
      </c>
      <c r="C986" s="1" t="s">
        <v>104</v>
      </c>
    </row>
    <row r="987" spans="1:3" x14ac:dyDescent="0.4">
      <c r="A987">
        <v>30017</v>
      </c>
      <c r="B987" s="1" t="s">
        <v>1094</v>
      </c>
      <c r="C987" s="1" t="s">
        <v>105</v>
      </c>
    </row>
    <row r="988" spans="1:3" x14ac:dyDescent="0.4">
      <c r="A988">
        <v>30018</v>
      </c>
      <c r="B988" s="1" t="s">
        <v>1095</v>
      </c>
      <c r="C988" s="1" t="s">
        <v>106</v>
      </c>
    </row>
    <row r="989" spans="1:3" x14ac:dyDescent="0.4">
      <c r="A989">
        <v>30019</v>
      </c>
      <c r="B989" s="1" t="s">
        <v>1096</v>
      </c>
      <c r="C989" s="1" t="s">
        <v>107</v>
      </c>
    </row>
    <row r="990" spans="1:3" x14ac:dyDescent="0.4">
      <c r="A990">
        <v>30020</v>
      </c>
      <c r="B990" s="1" t="s">
        <v>1097</v>
      </c>
      <c r="C990" s="1" t="s">
        <v>108</v>
      </c>
    </row>
    <row r="991" spans="1:3" x14ac:dyDescent="0.4">
      <c r="A991">
        <v>30021</v>
      </c>
      <c r="B991" s="1" t="s">
        <v>1095</v>
      </c>
      <c r="C991" s="1" t="s">
        <v>106</v>
      </c>
    </row>
    <row r="992" spans="1:3" x14ac:dyDescent="0.4">
      <c r="A992">
        <v>30022</v>
      </c>
      <c r="B992" s="1" t="s">
        <v>1096</v>
      </c>
      <c r="C992" s="1" t="s">
        <v>107</v>
      </c>
    </row>
    <row r="993" spans="1:3" x14ac:dyDescent="0.4">
      <c r="A993">
        <v>30023</v>
      </c>
      <c r="B993" s="1" t="s">
        <v>1097</v>
      </c>
      <c r="C993" s="1" t="s">
        <v>108</v>
      </c>
    </row>
    <row r="994" spans="1:3" x14ac:dyDescent="0.4">
      <c r="A994">
        <v>30024</v>
      </c>
      <c r="B994" s="1" t="s">
        <v>1095</v>
      </c>
      <c r="C994" s="1" t="s">
        <v>106</v>
      </c>
    </row>
    <row r="995" spans="1:3" x14ac:dyDescent="0.4">
      <c r="A995">
        <v>30025</v>
      </c>
      <c r="B995" s="1" t="s">
        <v>1096</v>
      </c>
      <c r="C995" s="1" t="s">
        <v>107</v>
      </c>
    </row>
    <row r="996" spans="1:3" x14ac:dyDescent="0.4">
      <c r="A996">
        <v>30026</v>
      </c>
      <c r="B996" s="1" t="s">
        <v>1097</v>
      </c>
      <c r="C996" s="1" t="s">
        <v>108</v>
      </c>
    </row>
    <row r="997" spans="1:3" x14ac:dyDescent="0.4">
      <c r="A997">
        <v>30027</v>
      </c>
      <c r="B997" s="1" t="s">
        <v>1098</v>
      </c>
      <c r="C997" s="1" t="s">
        <v>109</v>
      </c>
    </row>
    <row r="998" spans="1:3" x14ac:dyDescent="0.4">
      <c r="A998">
        <v>30028</v>
      </c>
      <c r="B998" s="1" t="s">
        <v>1099</v>
      </c>
      <c r="C998" s="1" t="s">
        <v>110</v>
      </c>
    </row>
    <row r="999" spans="1:3" x14ac:dyDescent="0.4">
      <c r="A999">
        <v>30029</v>
      </c>
      <c r="B999" s="1" t="s">
        <v>1100</v>
      </c>
      <c r="C999" s="1" t="s">
        <v>111</v>
      </c>
    </row>
    <row r="1000" spans="1:3" x14ac:dyDescent="0.4">
      <c r="A1000">
        <v>30030</v>
      </c>
      <c r="B1000" s="1" t="s">
        <v>1098</v>
      </c>
      <c r="C1000" s="1" t="s">
        <v>109</v>
      </c>
    </row>
    <row r="1001" spans="1:3" x14ac:dyDescent="0.4">
      <c r="A1001">
        <v>30031</v>
      </c>
      <c r="B1001" s="1" t="s">
        <v>1099</v>
      </c>
      <c r="C1001" s="1" t="s">
        <v>110</v>
      </c>
    </row>
    <row r="1002" spans="1:3" x14ac:dyDescent="0.4">
      <c r="A1002">
        <v>30032</v>
      </c>
      <c r="B1002" s="1" t="s">
        <v>1100</v>
      </c>
      <c r="C1002" s="1" t="s">
        <v>111</v>
      </c>
    </row>
    <row r="1003" spans="1:3" x14ac:dyDescent="0.4">
      <c r="A1003">
        <v>30033</v>
      </c>
      <c r="B1003" s="1" t="s">
        <v>1098</v>
      </c>
      <c r="C1003" s="1" t="s">
        <v>109</v>
      </c>
    </row>
    <row r="1004" spans="1:3" x14ac:dyDescent="0.4">
      <c r="A1004">
        <v>30034</v>
      </c>
      <c r="B1004" s="1" t="s">
        <v>1099</v>
      </c>
      <c r="C1004" s="1" t="s">
        <v>110</v>
      </c>
    </row>
    <row r="1005" spans="1:3" x14ac:dyDescent="0.4">
      <c r="A1005">
        <v>30035</v>
      </c>
      <c r="B1005" s="1" t="s">
        <v>1100</v>
      </c>
      <c r="C1005" s="1" t="s">
        <v>111</v>
      </c>
    </row>
    <row r="1006" spans="1:3" x14ac:dyDescent="0.4">
      <c r="A1006">
        <v>1000000</v>
      </c>
      <c r="B1006" s="1" t="s">
        <v>1028</v>
      </c>
      <c r="C1006" s="1" t="s">
        <v>46</v>
      </c>
    </row>
    <row r="1007" spans="1:3" x14ac:dyDescent="0.4">
      <c r="A1007">
        <v>1000001</v>
      </c>
      <c r="B1007" s="1" t="s">
        <v>1029</v>
      </c>
      <c r="C1007" s="1" t="s">
        <v>47</v>
      </c>
    </row>
    <row r="1008" spans="1:3" x14ac:dyDescent="0.4">
      <c r="A1008">
        <v>1000002</v>
      </c>
      <c r="B1008" s="1" t="s">
        <v>1030</v>
      </c>
      <c r="C1008" s="1" t="s">
        <v>48</v>
      </c>
    </row>
    <row r="1009" spans="1:3" x14ac:dyDescent="0.4">
      <c r="A1009">
        <v>1000003</v>
      </c>
      <c r="B1009" s="1" t="s">
        <v>40</v>
      </c>
      <c r="C1009" s="1" t="s">
        <v>40</v>
      </c>
    </row>
    <row r="1010" spans="1:3" x14ac:dyDescent="0.4">
      <c r="A1010">
        <v>1000004</v>
      </c>
      <c r="B1010" s="1" t="s">
        <v>40</v>
      </c>
      <c r="C1010" s="1" t="s">
        <v>40</v>
      </c>
    </row>
    <row r="1011" spans="1:3" x14ac:dyDescent="0.4">
      <c r="A1011">
        <v>1000005</v>
      </c>
      <c r="B1011" s="1" t="s">
        <v>40</v>
      </c>
      <c r="C1011" s="1" t="s">
        <v>40</v>
      </c>
    </row>
    <row r="1012" spans="1:3" x14ac:dyDescent="0.4">
      <c r="A1012">
        <v>1000006</v>
      </c>
      <c r="B1012" s="1" t="s">
        <v>40</v>
      </c>
      <c r="C1012" s="1" t="s">
        <v>40</v>
      </c>
    </row>
    <row r="1013" spans="1:3" x14ac:dyDescent="0.4">
      <c r="A1013">
        <v>1000007</v>
      </c>
      <c r="B1013" s="1" t="s">
        <v>40</v>
      </c>
      <c r="C1013" s="1" t="s">
        <v>40</v>
      </c>
    </row>
    <row r="1014" spans="1:3" x14ac:dyDescent="0.4">
      <c r="A1014">
        <v>1000008</v>
      </c>
      <c r="B1014" s="1" t="s">
        <v>40</v>
      </c>
      <c r="C1014" s="1" t="s">
        <v>40</v>
      </c>
    </row>
    <row r="1015" spans="1:3" x14ac:dyDescent="0.4">
      <c r="A1015">
        <v>1000009</v>
      </c>
      <c r="B1015" s="1" t="s">
        <v>40</v>
      </c>
      <c r="C1015" s="1" t="s">
        <v>40</v>
      </c>
    </row>
    <row r="1016" spans="1:3" x14ac:dyDescent="0.4">
      <c r="A1016">
        <v>1000010</v>
      </c>
      <c r="B1016" s="1" t="s">
        <v>1028</v>
      </c>
      <c r="C1016" s="1" t="s">
        <v>46</v>
      </c>
    </row>
    <row r="1017" spans="1:3" x14ac:dyDescent="0.4">
      <c r="A1017">
        <v>1000011</v>
      </c>
      <c r="B1017" s="1" t="s">
        <v>1029</v>
      </c>
      <c r="C1017" s="1" t="s">
        <v>47</v>
      </c>
    </row>
    <row r="1018" spans="1:3" x14ac:dyDescent="0.4">
      <c r="A1018">
        <v>1000012</v>
      </c>
      <c r="B1018" s="1" t="s">
        <v>1030</v>
      </c>
      <c r="C1018" s="1" t="s">
        <v>48</v>
      </c>
    </row>
    <row r="1019" spans="1:3" x14ac:dyDescent="0.4">
      <c r="A1019">
        <v>1000013</v>
      </c>
      <c r="B1019" s="1" t="s">
        <v>40</v>
      </c>
      <c r="C1019" s="1" t="s">
        <v>40</v>
      </c>
    </row>
    <row r="1020" spans="1:3" x14ac:dyDescent="0.4">
      <c r="A1020">
        <v>1000014</v>
      </c>
      <c r="B1020" s="1" t="s">
        <v>40</v>
      </c>
      <c r="C1020" s="1" t="s">
        <v>40</v>
      </c>
    </row>
    <row r="1021" spans="1:3" x14ac:dyDescent="0.4">
      <c r="A1021">
        <v>1000015</v>
      </c>
      <c r="B1021" s="1" t="s">
        <v>40</v>
      </c>
      <c r="C1021" s="1" t="s">
        <v>40</v>
      </c>
    </row>
    <row r="1022" spans="1:3" x14ac:dyDescent="0.4">
      <c r="A1022">
        <v>1000016</v>
      </c>
      <c r="B1022" s="1" t="s">
        <v>40</v>
      </c>
      <c r="C1022" s="1" t="s">
        <v>40</v>
      </c>
    </row>
    <row r="1023" spans="1:3" x14ac:dyDescent="0.4">
      <c r="A1023">
        <v>1000017</v>
      </c>
      <c r="B1023" s="1" t="s">
        <v>40</v>
      </c>
      <c r="C1023" s="1" t="s">
        <v>40</v>
      </c>
    </row>
    <row r="1024" spans="1:3" x14ac:dyDescent="0.4">
      <c r="A1024">
        <v>1000018</v>
      </c>
      <c r="B1024" s="1" t="s">
        <v>40</v>
      </c>
      <c r="C1024" s="1" t="s">
        <v>40</v>
      </c>
    </row>
    <row r="1025" spans="1:3" x14ac:dyDescent="0.4">
      <c r="A1025">
        <v>1000019</v>
      </c>
      <c r="B1025" s="1" t="s">
        <v>40</v>
      </c>
      <c r="C1025" s="1" t="s">
        <v>40</v>
      </c>
    </row>
    <row r="1026" spans="1:3" x14ac:dyDescent="0.4">
      <c r="A1026">
        <v>1000020</v>
      </c>
      <c r="B1026" s="1" t="s">
        <v>1028</v>
      </c>
      <c r="C1026" s="1" t="s">
        <v>46</v>
      </c>
    </row>
    <row r="1027" spans="1:3" x14ac:dyDescent="0.4">
      <c r="A1027">
        <v>1000021</v>
      </c>
      <c r="B1027" s="1" t="s">
        <v>1029</v>
      </c>
      <c r="C1027" s="1" t="s">
        <v>47</v>
      </c>
    </row>
    <row r="1028" spans="1:3" x14ac:dyDescent="0.4">
      <c r="A1028">
        <v>1000022</v>
      </c>
      <c r="B1028" s="1" t="s">
        <v>1030</v>
      </c>
      <c r="C1028" s="1" t="s">
        <v>48</v>
      </c>
    </row>
    <row r="1029" spans="1:3" x14ac:dyDescent="0.4">
      <c r="A1029">
        <v>1000100</v>
      </c>
      <c r="B1029" s="1" t="s">
        <v>1031</v>
      </c>
      <c r="C1029" s="1" t="s">
        <v>49</v>
      </c>
    </row>
    <row r="1030" spans="1:3" x14ac:dyDescent="0.4">
      <c r="A1030">
        <v>1000101</v>
      </c>
      <c r="B1030" s="1" t="s">
        <v>1032</v>
      </c>
      <c r="C1030" s="1" t="s">
        <v>50</v>
      </c>
    </row>
    <row r="1031" spans="1:3" x14ac:dyDescent="0.4">
      <c r="A1031">
        <v>1000102</v>
      </c>
      <c r="B1031" s="1" t="s">
        <v>1033</v>
      </c>
      <c r="C1031" s="1" t="s">
        <v>51</v>
      </c>
    </row>
    <row r="1032" spans="1:3" x14ac:dyDescent="0.4">
      <c r="A1032">
        <v>1000103</v>
      </c>
      <c r="B1032" s="1" t="s">
        <v>40</v>
      </c>
      <c r="C1032" s="1" t="s">
        <v>40</v>
      </c>
    </row>
    <row r="1033" spans="1:3" x14ac:dyDescent="0.4">
      <c r="A1033">
        <v>1000104</v>
      </c>
      <c r="B1033" s="1" t="s">
        <v>40</v>
      </c>
      <c r="C1033" s="1" t="s">
        <v>40</v>
      </c>
    </row>
    <row r="1034" spans="1:3" x14ac:dyDescent="0.4">
      <c r="A1034">
        <v>1000105</v>
      </c>
      <c r="B1034" s="1" t="s">
        <v>40</v>
      </c>
      <c r="C1034" s="1" t="s">
        <v>40</v>
      </c>
    </row>
    <row r="1035" spans="1:3" x14ac:dyDescent="0.4">
      <c r="A1035">
        <v>1000106</v>
      </c>
      <c r="B1035" s="1" t="s">
        <v>40</v>
      </c>
      <c r="C1035" s="1" t="s">
        <v>40</v>
      </c>
    </row>
    <row r="1036" spans="1:3" x14ac:dyDescent="0.4">
      <c r="A1036">
        <v>1000107</v>
      </c>
      <c r="B1036" s="1" t="s">
        <v>40</v>
      </c>
      <c r="C1036" s="1" t="s">
        <v>40</v>
      </c>
    </row>
    <row r="1037" spans="1:3" x14ac:dyDescent="0.4">
      <c r="A1037">
        <v>1000108</v>
      </c>
      <c r="B1037" s="1" t="s">
        <v>40</v>
      </c>
      <c r="C1037" s="1" t="s">
        <v>40</v>
      </c>
    </row>
    <row r="1038" spans="1:3" x14ac:dyDescent="0.4">
      <c r="A1038">
        <v>1000109</v>
      </c>
      <c r="B1038" s="1" t="s">
        <v>40</v>
      </c>
      <c r="C1038" s="1" t="s">
        <v>40</v>
      </c>
    </row>
    <row r="1039" spans="1:3" x14ac:dyDescent="0.4">
      <c r="A1039">
        <v>1000110</v>
      </c>
      <c r="B1039" s="1" t="s">
        <v>1031</v>
      </c>
      <c r="C1039" s="1" t="s">
        <v>49</v>
      </c>
    </row>
    <row r="1040" spans="1:3" x14ac:dyDescent="0.4">
      <c r="A1040">
        <v>1000111</v>
      </c>
      <c r="B1040" s="1" t="s">
        <v>1032</v>
      </c>
      <c r="C1040" s="1" t="s">
        <v>50</v>
      </c>
    </row>
    <row r="1041" spans="1:3" x14ac:dyDescent="0.4">
      <c r="A1041">
        <v>1000112</v>
      </c>
      <c r="B1041" s="1" t="s">
        <v>1033</v>
      </c>
      <c r="C1041" s="1" t="s">
        <v>51</v>
      </c>
    </row>
    <row r="1042" spans="1:3" x14ac:dyDescent="0.4">
      <c r="A1042">
        <v>1000113</v>
      </c>
      <c r="B1042" s="1" t="s">
        <v>40</v>
      </c>
      <c r="C1042" s="1" t="s">
        <v>40</v>
      </c>
    </row>
    <row r="1043" spans="1:3" x14ac:dyDescent="0.4">
      <c r="A1043">
        <v>1000114</v>
      </c>
      <c r="B1043" s="1" t="s">
        <v>40</v>
      </c>
      <c r="C1043" s="1" t="s">
        <v>40</v>
      </c>
    </row>
    <row r="1044" spans="1:3" x14ac:dyDescent="0.4">
      <c r="A1044">
        <v>1000115</v>
      </c>
      <c r="B1044" s="1" t="s">
        <v>40</v>
      </c>
      <c r="C1044" s="1" t="s">
        <v>40</v>
      </c>
    </row>
    <row r="1045" spans="1:3" x14ac:dyDescent="0.4">
      <c r="A1045">
        <v>1000116</v>
      </c>
      <c r="B1045" s="1" t="s">
        <v>40</v>
      </c>
      <c r="C1045" s="1" t="s">
        <v>40</v>
      </c>
    </row>
    <row r="1046" spans="1:3" x14ac:dyDescent="0.4">
      <c r="A1046">
        <v>1000117</v>
      </c>
      <c r="B1046" s="1" t="s">
        <v>40</v>
      </c>
      <c r="C1046" s="1" t="s">
        <v>40</v>
      </c>
    </row>
    <row r="1047" spans="1:3" x14ac:dyDescent="0.4">
      <c r="A1047">
        <v>1000118</v>
      </c>
      <c r="B1047" s="1" t="s">
        <v>40</v>
      </c>
      <c r="C1047" s="1" t="s">
        <v>40</v>
      </c>
    </row>
    <row r="1048" spans="1:3" x14ac:dyDescent="0.4">
      <c r="A1048">
        <v>1000119</v>
      </c>
      <c r="B1048" s="1" t="s">
        <v>40</v>
      </c>
      <c r="C1048" s="1" t="s">
        <v>40</v>
      </c>
    </row>
    <row r="1049" spans="1:3" x14ac:dyDescent="0.4">
      <c r="A1049">
        <v>1000120</v>
      </c>
      <c r="B1049" s="1" t="s">
        <v>1031</v>
      </c>
      <c r="C1049" s="1" t="s">
        <v>49</v>
      </c>
    </row>
    <row r="1050" spans="1:3" x14ac:dyDescent="0.4">
      <c r="A1050">
        <v>1000121</v>
      </c>
      <c r="B1050" s="1" t="s">
        <v>1032</v>
      </c>
      <c r="C1050" s="1" t="s">
        <v>50</v>
      </c>
    </row>
    <row r="1051" spans="1:3" x14ac:dyDescent="0.4">
      <c r="A1051">
        <v>1000122</v>
      </c>
      <c r="B1051" s="1" t="s">
        <v>1033</v>
      </c>
      <c r="C1051" s="1" t="s">
        <v>51</v>
      </c>
    </row>
    <row r="1052" spans="1:3" x14ac:dyDescent="0.4">
      <c r="A1052">
        <v>1000200</v>
      </c>
      <c r="B1052" s="1" t="s">
        <v>1034</v>
      </c>
      <c r="C1052" s="1" t="s">
        <v>52</v>
      </c>
    </row>
    <row r="1053" spans="1:3" x14ac:dyDescent="0.4">
      <c r="A1053">
        <v>1000201</v>
      </c>
      <c r="B1053" s="1" t="s">
        <v>1035</v>
      </c>
      <c r="C1053" s="1" t="s">
        <v>53</v>
      </c>
    </row>
    <row r="1054" spans="1:3" x14ac:dyDescent="0.4">
      <c r="A1054">
        <v>1000202</v>
      </c>
      <c r="B1054" s="1" t="s">
        <v>1036</v>
      </c>
      <c r="C1054" s="1" t="s">
        <v>54</v>
      </c>
    </row>
    <row r="1055" spans="1:3" x14ac:dyDescent="0.4">
      <c r="A1055">
        <v>1000203</v>
      </c>
      <c r="B1055" s="1" t="s">
        <v>40</v>
      </c>
      <c r="C1055" s="1" t="s">
        <v>40</v>
      </c>
    </row>
    <row r="1056" spans="1:3" x14ac:dyDescent="0.4">
      <c r="A1056">
        <v>1000204</v>
      </c>
      <c r="B1056" s="1" t="s">
        <v>40</v>
      </c>
      <c r="C1056" s="1" t="s">
        <v>40</v>
      </c>
    </row>
    <row r="1057" spans="1:3" x14ac:dyDescent="0.4">
      <c r="A1057">
        <v>1000205</v>
      </c>
      <c r="B1057" s="1" t="s">
        <v>40</v>
      </c>
      <c r="C1057" s="1" t="s">
        <v>40</v>
      </c>
    </row>
    <row r="1058" spans="1:3" x14ac:dyDescent="0.4">
      <c r="A1058">
        <v>1000206</v>
      </c>
      <c r="B1058" s="1" t="s">
        <v>40</v>
      </c>
      <c r="C1058" s="1" t="s">
        <v>40</v>
      </c>
    </row>
    <row r="1059" spans="1:3" x14ac:dyDescent="0.4">
      <c r="A1059">
        <v>1000207</v>
      </c>
      <c r="B1059" s="1" t="s">
        <v>40</v>
      </c>
      <c r="C1059" s="1" t="s">
        <v>40</v>
      </c>
    </row>
    <row r="1060" spans="1:3" x14ac:dyDescent="0.4">
      <c r="A1060">
        <v>1000208</v>
      </c>
      <c r="B1060" s="1" t="s">
        <v>40</v>
      </c>
      <c r="C1060" s="1" t="s">
        <v>40</v>
      </c>
    </row>
    <row r="1061" spans="1:3" x14ac:dyDescent="0.4">
      <c r="A1061">
        <v>1000209</v>
      </c>
      <c r="B1061" s="1" t="s">
        <v>40</v>
      </c>
      <c r="C1061" s="1" t="s">
        <v>40</v>
      </c>
    </row>
    <row r="1062" spans="1:3" x14ac:dyDescent="0.4">
      <c r="A1062">
        <v>1000210</v>
      </c>
      <c r="B1062" s="1" t="s">
        <v>1034</v>
      </c>
      <c r="C1062" s="1" t="s">
        <v>52</v>
      </c>
    </row>
    <row r="1063" spans="1:3" x14ac:dyDescent="0.4">
      <c r="A1063">
        <v>1000211</v>
      </c>
      <c r="B1063" s="1" t="s">
        <v>1035</v>
      </c>
      <c r="C1063" s="1" t="s">
        <v>53</v>
      </c>
    </row>
    <row r="1064" spans="1:3" x14ac:dyDescent="0.4">
      <c r="A1064">
        <v>1000212</v>
      </c>
      <c r="B1064" s="1" t="s">
        <v>1036</v>
      </c>
      <c r="C1064" s="1" t="s">
        <v>54</v>
      </c>
    </row>
    <row r="1065" spans="1:3" x14ac:dyDescent="0.4">
      <c r="A1065">
        <v>1000213</v>
      </c>
      <c r="B1065" s="1" t="s">
        <v>40</v>
      </c>
      <c r="C1065" s="1" t="s">
        <v>40</v>
      </c>
    </row>
    <row r="1066" spans="1:3" x14ac:dyDescent="0.4">
      <c r="A1066">
        <v>1000214</v>
      </c>
      <c r="B1066" s="1" t="s">
        <v>40</v>
      </c>
      <c r="C1066" s="1" t="s">
        <v>40</v>
      </c>
    </row>
    <row r="1067" spans="1:3" x14ac:dyDescent="0.4">
      <c r="A1067">
        <v>1000215</v>
      </c>
      <c r="B1067" s="1" t="s">
        <v>40</v>
      </c>
      <c r="C1067" s="1" t="s">
        <v>40</v>
      </c>
    </row>
    <row r="1068" spans="1:3" x14ac:dyDescent="0.4">
      <c r="A1068">
        <v>1000216</v>
      </c>
      <c r="B1068" s="1" t="s">
        <v>40</v>
      </c>
      <c r="C1068" s="1" t="s">
        <v>40</v>
      </c>
    </row>
    <row r="1069" spans="1:3" x14ac:dyDescent="0.4">
      <c r="A1069">
        <v>1000217</v>
      </c>
      <c r="B1069" s="1" t="s">
        <v>40</v>
      </c>
      <c r="C1069" s="1" t="s">
        <v>40</v>
      </c>
    </row>
    <row r="1070" spans="1:3" x14ac:dyDescent="0.4">
      <c r="A1070">
        <v>1000218</v>
      </c>
      <c r="B1070" s="1" t="s">
        <v>40</v>
      </c>
      <c r="C1070" s="1" t="s">
        <v>40</v>
      </c>
    </row>
    <row r="1071" spans="1:3" x14ac:dyDescent="0.4">
      <c r="A1071">
        <v>1000219</v>
      </c>
      <c r="B1071" s="1" t="s">
        <v>40</v>
      </c>
      <c r="C1071" s="1" t="s">
        <v>40</v>
      </c>
    </row>
    <row r="1072" spans="1:3" x14ac:dyDescent="0.4">
      <c r="A1072">
        <v>1000220</v>
      </c>
      <c r="B1072" s="1" t="s">
        <v>1034</v>
      </c>
      <c r="C1072" s="1" t="s">
        <v>52</v>
      </c>
    </row>
    <row r="1073" spans="1:3" x14ac:dyDescent="0.4">
      <c r="A1073">
        <v>1000221</v>
      </c>
      <c r="B1073" s="1" t="s">
        <v>1035</v>
      </c>
      <c r="C1073" s="1" t="s">
        <v>53</v>
      </c>
    </row>
    <row r="1074" spans="1:3" x14ac:dyDescent="0.4">
      <c r="A1074">
        <v>1000222</v>
      </c>
      <c r="B1074" s="1" t="s">
        <v>1036</v>
      </c>
      <c r="C1074" s="1" t="s">
        <v>54</v>
      </c>
    </row>
    <row r="1075" spans="1:3" x14ac:dyDescent="0.4">
      <c r="A1075">
        <v>1000300</v>
      </c>
      <c r="B1075" s="1" t="s">
        <v>1037</v>
      </c>
      <c r="C1075" s="1" t="s">
        <v>55</v>
      </c>
    </row>
    <row r="1076" spans="1:3" x14ac:dyDescent="0.4">
      <c r="A1076">
        <v>1000301</v>
      </c>
      <c r="B1076" s="1" t="s">
        <v>1038</v>
      </c>
      <c r="C1076" s="1" t="s">
        <v>56</v>
      </c>
    </row>
    <row r="1077" spans="1:3" x14ac:dyDescent="0.4">
      <c r="A1077">
        <v>1000302</v>
      </c>
      <c r="B1077" s="1" t="s">
        <v>1039</v>
      </c>
      <c r="C1077" s="1" t="s">
        <v>57</v>
      </c>
    </row>
    <row r="1078" spans="1:3" x14ac:dyDescent="0.4">
      <c r="A1078">
        <v>1000303</v>
      </c>
      <c r="B1078" s="1" t="s">
        <v>40</v>
      </c>
      <c r="C1078" s="1" t="s">
        <v>40</v>
      </c>
    </row>
    <row r="1079" spans="1:3" x14ac:dyDescent="0.4">
      <c r="A1079">
        <v>1000304</v>
      </c>
      <c r="B1079" s="1" t="s">
        <v>40</v>
      </c>
      <c r="C1079" s="1" t="s">
        <v>40</v>
      </c>
    </row>
    <row r="1080" spans="1:3" x14ac:dyDescent="0.4">
      <c r="A1080">
        <v>1000305</v>
      </c>
      <c r="B1080" s="1" t="s">
        <v>40</v>
      </c>
      <c r="C1080" s="1" t="s">
        <v>40</v>
      </c>
    </row>
    <row r="1081" spans="1:3" x14ac:dyDescent="0.4">
      <c r="A1081">
        <v>1000306</v>
      </c>
      <c r="B1081" s="1" t="s">
        <v>40</v>
      </c>
      <c r="C1081" s="1" t="s">
        <v>40</v>
      </c>
    </row>
    <row r="1082" spans="1:3" x14ac:dyDescent="0.4">
      <c r="A1082">
        <v>1000307</v>
      </c>
      <c r="B1082" s="1" t="s">
        <v>40</v>
      </c>
      <c r="C1082" s="1" t="s">
        <v>40</v>
      </c>
    </row>
    <row r="1083" spans="1:3" x14ac:dyDescent="0.4">
      <c r="A1083">
        <v>1000308</v>
      </c>
      <c r="B1083" s="1" t="s">
        <v>40</v>
      </c>
      <c r="C1083" s="1" t="s">
        <v>40</v>
      </c>
    </row>
    <row r="1084" spans="1:3" x14ac:dyDescent="0.4">
      <c r="A1084">
        <v>1000309</v>
      </c>
      <c r="B1084" s="1" t="s">
        <v>40</v>
      </c>
      <c r="C1084" s="1" t="s">
        <v>40</v>
      </c>
    </row>
    <row r="1085" spans="1:3" x14ac:dyDescent="0.4">
      <c r="A1085">
        <v>1000310</v>
      </c>
      <c r="B1085" s="1" t="s">
        <v>1037</v>
      </c>
      <c r="C1085" s="1" t="s">
        <v>55</v>
      </c>
    </row>
    <row r="1086" spans="1:3" x14ac:dyDescent="0.4">
      <c r="A1086">
        <v>1000311</v>
      </c>
      <c r="B1086" s="1" t="s">
        <v>1038</v>
      </c>
      <c r="C1086" s="1" t="s">
        <v>56</v>
      </c>
    </row>
    <row r="1087" spans="1:3" x14ac:dyDescent="0.4">
      <c r="A1087">
        <v>1000312</v>
      </c>
      <c r="B1087" s="1" t="s">
        <v>1039</v>
      </c>
      <c r="C1087" s="1" t="s">
        <v>57</v>
      </c>
    </row>
    <row r="1088" spans="1:3" x14ac:dyDescent="0.4">
      <c r="A1088">
        <v>1000313</v>
      </c>
      <c r="B1088" s="1" t="s">
        <v>40</v>
      </c>
      <c r="C1088" s="1" t="s">
        <v>40</v>
      </c>
    </row>
    <row r="1089" spans="1:3" x14ac:dyDescent="0.4">
      <c r="A1089">
        <v>1000314</v>
      </c>
      <c r="B1089" s="1" t="s">
        <v>40</v>
      </c>
      <c r="C1089" s="1" t="s">
        <v>40</v>
      </c>
    </row>
    <row r="1090" spans="1:3" x14ac:dyDescent="0.4">
      <c r="A1090">
        <v>1000315</v>
      </c>
      <c r="B1090" s="1" t="s">
        <v>40</v>
      </c>
      <c r="C1090" s="1" t="s">
        <v>40</v>
      </c>
    </row>
    <row r="1091" spans="1:3" x14ac:dyDescent="0.4">
      <c r="A1091">
        <v>1000316</v>
      </c>
      <c r="B1091" s="1" t="s">
        <v>40</v>
      </c>
      <c r="C1091" s="1" t="s">
        <v>40</v>
      </c>
    </row>
    <row r="1092" spans="1:3" x14ac:dyDescent="0.4">
      <c r="A1092">
        <v>1000317</v>
      </c>
      <c r="B1092" s="1" t="s">
        <v>40</v>
      </c>
      <c r="C1092" s="1" t="s">
        <v>40</v>
      </c>
    </row>
    <row r="1093" spans="1:3" x14ac:dyDescent="0.4">
      <c r="A1093">
        <v>1000318</v>
      </c>
      <c r="B1093" s="1" t="s">
        <v>40</v>
      </c>
      <c r="C1093" s="1" t="s">
        <v>40</v>
      </c>
    </row>
    <row r="1094" spans="1:3" x14ac:dyDescent="0.4">
      <c r="A1094">
        <v>1000319</v>
      </c>
      <c r="B1094" s="1" t="s">
        <v>40</v>
      </c>
      <c r="C1094" s="1" t="s">
        <v>40</v>
      </c>
    </row>
    <row r="1095" spans="1:3" x14ac:dyDescent="0.4">
      <c r="A1095">
        <v>1000320</v>
      </c>
      <c r="B1095" s="1" t="s">
        <v>1037</v>
      </c>
      <c r="C1095" s="1" t="s">
        <v>55</v>
      </c>
    </row>
    <row r="1096" spans="1:3" x14ac:dyDescent="0.4">
      <c r="A1096">
        <v>1000321</v>
      </c>
      <c r="B1096" s="1" t="s">
        <v>1038</v>
      </c>
      <c r="C1096" s="1" t="s">
        <v>56</v>
      </c>
    </row>
    <row r="1097" spans="1:3" x14ac:dyDescent="0.4">
      <c r="A1097">
        <v>1000322</v>
      </c>
      <c r="B1097" s="1" t="s">
        <v>1039</v>
      </c>
      <c r="C1097" s="1" t="s">
        <v>57</v>
      </c>
    </row>
    <row r="1098" spans="1:3" x14ac:dyDescent="0.4">
      <c r="A1098">
        <v>1001000</v>
      </c>
      <c r="B1098" s="1" t="s">
        <v>1028</v>
      </c>
      <c r="C1098" s="1" t="s">
        <v>46</v>
      </c>
    </row>
    <row r="1099" spans="1:3" x14ac:dyDescent="0.4">
      <c r="A1099">
        <v>1001001</v>
      </c>
      <c r="B1099" s="1" t="s">
        <v>1029</v>
      </c>
      <c r="C1099" s="1" t="s">
        <v>47</v>
      </c>
    </row>
    <row r="1100" spans="1:3" x14ac:dyDescent="0.4">
      <c r="A1100">
        <v>1001002</v>
      </c>
      <c r="B1100" s="1" t="s">
        <v>1030</v>
      </c>
      <c r="C1100" s="1" t="s">
        <v>48</v>
      </c>
    </row>
    <row r="1101" spans="1:3" x14ac:dyDescent="0.4">
      <c r="A1101">
        <v>1001003</v>
      </c>
      <c r="B1101" s="1" t="s">
        <v>40</v>
      </c>
      <c r="C1101" s="1" t="s">
        <v>40</v>
      </c>
    </row>
    <row r="1102" spans="1:3" x14ac:dyDescent="0.4">
      <c r="A1102">
        <v>1001004</v>
      </c>
      <c r="B1102" s="1" t="s">
        <v>40</v>
      </c>
      <c r="C1102" s="1" t="s">
        <v>40</v>
      </c>
    </row>
    <row r="1103" spans="1:3" x14ac:dyDescent="0.4">
      <c r="A1103">
        <v>1001005</v>
      </c>
      <c r="B1103" s="1" t="s">
        <v>40</v>
      </c>
      <c r="C1103" s="1" t="s">
        <v>40</v>
      </c>
    </row>
    <row r="1104" spans="1:3" x14ac:dyDescent="0.4">
      <c r="A1104">
        <v>1001006</v>
      </c>
      <c r="B1104" s="1" t="s">
        <v>40</v>
      </c>
      <c r="C1104" s="1" t="s">
        <v>40</v>
      </c>
    </row>
    <row r="1105" spans="1:3" x14ac:dyDescent="0.4">
      <c r="A1105">
        <v>1001007</v>
      </c>
      <c r="B1105" s="1" t="s">
        <v>40</v>
      </c>
      <c r="C1105" s="1" t="s">
        <v>40</v>
      </c>
    </row>
    <row r="1106" spans="1:3" x14ac:dyDescent="0.4">
      <c r="A1106">
        <v>1001008</v>
      </c>
      <c r="B1106" s="1" t="s">
        <v>40</v>
      </c>
      <c r="C1106" s="1" t="s">
        <v>40</v>
      </c>
    </row>
    <row r="1107" spans="1:3" x14ac:dyDescent="0.4">
      <c r="A1107">
        <v>1001009</v>
      </c>
      <c r="B1107" s="1" t="s">
        <v>40</v>
      </c>
      <c r="C1107" s="1" t="s">
        <v>40</v>
      </c>
    </row>
    <row r="1108" spans="1:3" x14ac:dyDescent="0.4">
      <c r="A1108">
        <v>1001010</v>
      </c>
      <c r="B1108" s="1" t="s">
        <v>1028</v>
      </c>
      <c r="C1108" s="1" t="s">
        <v>46</v>
      </c>
    </row>
    <row r="1109" spans="1:3" x14ac:dyDescent="0.4">
      <c r="A1109">
        <v>1001011</v>
      </c>
      <c r="B1109" s="1" t="s">
        <v>1029</v>
      </c>
      <c r="C1109" s="1" t="s">
        <v>47</v>
      </c>
    </row>
    <row r="1110" spans="1:3" x14ac:dyDescent="0.4">
      <c r="A1110">
        <v>1001012</v>
      </c>
      <c r="B1110" s="1" t="s">
        <v>1030</v>
      </c>
      <c r="C1110" s="1" t="s">
        <v>48</v>
      </c>
    </row>
    <row r="1111" spans="1:3" x14ac:dyDescent="0.4">
      <c r="A1111">
        <v>1001013</v>
      </c>
      <c r="B1111" s="1" t="s">
        <v>40</v>
      </c>
      <c r="C1111" s="1" t="s">
        <v>40</v>
      </c>
    </row>
    <row r="1112" spans="1:3" x14ac:dyDescent="0.4">
      <c r="A1112">
        <v>1001014</v>
      </c>
      <c r="B1112" s="1" t="s">
        <v>40</v>
      </c>
      <c r="C1112" s="1" t="s">
        <v>40</v>
      </c>
    </row>
    <row r="1113" spans="1:3" x14ac:dyDescent="0.4">
      <c r="A1113">
        <v>1001015</v>
      </c>
      <c r="B1113" s="1" t="s">
        <v>40</v>
      </c>
      <c r="C1113" s="1" t="s">
        <v>40</v>
      </c>
    </row>
    <row r="1114" spans="1:3" x14ac:dyDescent="0.4">
      <c r="A1114">
        <v>1001016</v>
      </c>
      <c r="B1114" s="1" t="s">
        <v>40</v>
      </c>
      <c r="C1114" s="1" t="s">
        <v>40</v>
      </c>
    </row>
    <row r="1115" spans="1:3" x14ac:dyDescent="0.4">
      <c r="A1115">
        <v>1001017</v>
      </c>
      <c r="B1115" s="1" t="s">
        <v>40</v>
      </c>
      <c r="C1115" s="1" t="s">
        <v>40</v>
      </c>
    </row>
    <row r="1116" spans="1:3" x14ac:dyDescent="0.4">
      <c r="A1116">
        <v>1001018</v>
      </c>
      <c r="B1116" s="1" t="s">
        <v>40</v>
      </c>
      <c r="C1116" s="1" t="s">
        <v>40</v>
      </c>
    </row>
    <row r="1117" spans="1:3" x14ac:dyDescent="0.4">
      <c r="A1117">
        <v>1001019</v>
      </c>
      <c r="B1117" s="1" t="s">
        <v>40</v>
      </c>
      <c r="C1117" s="1" t="s">
        <v>40</v>
      </c>
    </row>
    <row r="1118" spans="1:3" x14ac:dyDescent="0.4">
      <c r="A1118">
        <v>1001020</v>
      </c>
      <c r="B1118" s="1" t="s">
        <v>1028</v>
      </c>
      <c r="C1118" s="1" t="s">
        <v>46</v>
      </c>
    </row>
    <row r="1119" spans="1:3" x14ac:dyDescent="0.4">
      <c r="A1119">
        <v>1001021</v>
      </c>
      <c r="B1119" s="1" t="s">
        <v>1029</v>
      </c>
      <c r="C1119" s="1" t="s">
        <v>47</v>
      </c>
    </row>
    <row r="1120" spans="1:3" x14ac:dyDescent="0.4">
      <c r="A1120">
        <v>1001022</v>
      </c>
      <c r="B1120" s="1" t="s">
        <v>1030</v>
      </c>
      <c r="C1120" s="1" t="s">
        <v>48</v>
      </c>
    </row>
    <row r="1121" spans="1:3" x14ac:dyDescent="0.4">
      <c r="A1121">
        <v>1001100</v>
      </c>
      <c r="B1121" s="1" t="s">
        <v>1031</v>
      </c>
      <c r="C1121" s="1" t="s">
        <v>49</v>
      </c>
    </row>
    <row r="1122" spans="1:3" x14ac:dyDescent="0.4">
      <c r="A1122">
        <v>1001101</v>
      </c>
      <c r="B1122" s="1" t="s">
        <v>1032</v>
      </c>
      <c r="C1122" s="1" t="s">
        <v>50</v>
      </c>
    </row>
    <row r="1123" spans="1:3" x14ac:dyDescent="0.4">
      <c r="A1123">
        <v>1001102</v>
      </c>
      <c r="B1123" s="1" t="s">
        <v>1033</v>
      </c>
      <c r="C1123" s="1" t="s">
        <v>51</v>
      </c>
    </row>
    <row r="1124" spans="1:3" x14ac:dyDescent="0.4">
      <c r="A1124">
        <v>1001103</v>
      </c>
      <c r="B1124" s="1" t="s">
        <v>40</v>
      </c>
      <c r="C1124" s="1" t="s">
        <v>40</v>
      </c>
    </row>
    <row r="1125" spans="1:3" x14ac:dyDescent="0.4">
      <c r="A1125">
        <v>1001104</v>
      </c>
      <c r="B1125" s="1" t="s">
        <v>40</v>
      </c>
      <c r="C1125" s="1" t="s">
        <v>40</v>
      </c>
    </row>
    <row r="1126" spans="1:3" x14ac:dyDescent="0.4">
      <c r="A1126">
        <v>1001105</v>
      </c>
      <c r="B1126" s="1" t="s">
        <v>40</v>
      </c>
      <c r="C1126" s="1" t="s">
        <v>40</v>
      </c>
    </row>
    <row r="1127" spans="1:3" x14ac:dyDescent="0.4">
      <c r="A1127">
        <v>1001106</v>
      </c>
      <c r="B1127" s="1" t="s">
        <v>40</v>
      </c>
      <c r="C1127" s="1" t="s">
        <v>40</v>
      </c>
    </row>
    <row r="1128" spans="1:3" x14ac:dyDescent="0.4">
      <c r="A1128">
        <v>1001107</v>
      </c>
      <c r="B1128" s="1" t="s">
        <v>40</v>
      </c>
      <c r="C1128" s="1" t="s">
        <v>40</v>
      </c>
    </row>
    <row r="1129" spans="1:3" x14ac:dyDescent="0.4">
      <c r="A1129">
        <v>1001108</v>
      </c>
      <c r="B1129" s="1" t="s">
        <v>40</v>
      </c>
      <c r="C1129" s="1" t="s">
        <v>40</v>
      </c>
    </row>
    <row r="1130" spans="1:3" x14ac:dyDescent="0.4">
      <c r="A1130">
        <v>1001109</v>
      </c>
      <c r="B1130" s="1" t="s">
        <v>40</v>
      </c>
      <c r="C1130" s="1" t="s">
        <v>40</v>
      </c>
    </row>
    <row r="1131" spans="1:3" x14ac:dyDescent="0.4">
      <c r="A1131">
        <v>1001110</v>
      </c>
      <c r="B1131" s="1" t="s">
        <v>1031</v>
      </c>
      <c r="C1131" s="1" t="s">
        <v>49</v>
      </c>
    </row>
    <row r="1132" spans="1:3" x14ac:dyDescent="0.4">
      <c r="A1132">
        <v>1001111</v>
      </c>
      <c r="B1132" s="1" t="s">
        <v>1032</v>
      </c>
      <c r="C1132" s="1" t="s">
        <v>50</v>
      </c>
    </row>
    <row r="1133" spans="1:3" x14ac:dyDescent="0.4">
      <c r="A1133">
        <v>1001112</v>
      </c>
      <c r="B1133" s="1" t="s">
        <v>1033</v>
      </c>
      <c r="C1133" s="1" t="s">
        <v>51</v>
      </c>
    </row>
    <row r="1134" spans="1:3" x14ac:dyDescent="0.4">
      <c r="A1134">
        <v>1001113</v>
      </c>
      <c r="B1134" s="1" t="s">
        <v>40</v>
      </c>
      <c r="C1134" s="1" t="s">
        <v>40</v>
      </c>
    </row>
    <row r="1135" spans="1:3" x14ac:dyDescent="0.4">
      <c r="A1135">
        <v>1001114</v>
      </c>
      <c r="B1135" s="1" t="s">
        <v>40</v>
      </c>
      <c r="C1135" s="1" t="s">
        <v>40</v>
      </c>
    </row>
    <row r="1136" spans="1:3" x14ac:dyDescent="0.4">
      <c r="A1136">
        <v>1001115</v>
      </c>
      <c r="B1136" s="1" t="s">
        <v>40</v>
      </c>
      <c r="C1136" s="1" t="s">
        <v>40</v>
      </c>
    </row>
    <row r="1137" spans="1:3" x14ac:dyDescent="0.4">
      <c r="A1137">
        <v>1001116</v>
      </c>
      <c r="B1137" s="1" t="s">
        <v>40</v>
      </c>
      <c r="C1137" s="1" t="s">
        <v>40</v>
      </c>
    </row>
    <row r="1138" spans="1:3" x14ac:dyDescent="0.4">
      <c r="A1138">
        <v>1001117</v>
      </c>
      <c r="B1138" s="1" t="s">
        <v>40</v>
      </c>
      <c r="C1138" s="1" t="s">
        <v>40</v>
      </c>
    </row>
    <row r="1139" spans="1:3" x14ac:dyDescent="0.4">
      <c r="A1139">
        <v>1001118</v>
      </c>
      <c r="B1139" s="1" t="s">
        <v>40</v>
      </c>
      <c r="C1139" s="1" t="s">
        <v>40</v>
      </c>
    </row>
    <row r="1140" spans="1:3" x14ac:dyDescent="0.4">
      <c r="A1140">
        <v>1001119</v>
      </c>
      <c r="B1140" s="1" t="s">
        <v>40</v>
      </c>
      <c r="C1140" s="1" t="s">
        <v>40</v>
      </c>
    </row>
    <row r="1141" spans="1:3" x14ac:dyDescent="0.4">
      <c r="A1141">
        <v>1001120</v>
      </c>
      <c r="B1141" s="1" t="s">
        <v>1031</v>
      </c>
      <c r="C1141" s="1" t="s">
        <v>49</v>
      </c>
    </row>
    <row r="1142" spans="1:3" x14ac:dyDescent="0.4">
      <c r="A1142">
        <v>1001121</v>
      </c>
      <c r="B1142" s="1" t="s">
        <v>1032</v>
      </c>
      <c r="C1142" s="1" t="s">
        <v>50</v>
      </c>
    </row>
    <row r="1143" spans="1:3" x14ac:dyDescent="0.4">
      <c r="A1143">
        <v>1001122</v>
      </c>
      <c r="B1143" s="1" t="s">
        <v>1033</v>
      </c>
      <c r="C1143" s="1" t="s">
        <v>51</v>
      </c>
    </row>
    <row r="1144" spans="1:3" x14ac:dyDescent="0.4">
      <c r="A1144">
        <v>1001200</v>
      </c>
      <c r="B1144" s="1" t="s">
        <v>1034</v>
      </c>
      <c r="C1144" s="1" t="s">
        <v>52</v>
      </c>
    </row>
    <row r="1145" spans="1:3" x14ac:dyDescent="0.4">
      <c r="A1145">
        <v>1001201</v>
      </c>
      <c r="B1145" s="1" t="s">
        <v>1035</v>
      </c>
      <c r="C1145" s="1" t="s">
        <v>53</v>
      </c>
    </row>
    <row r="1146" spans="1:3" x14ac:dyDescent="0.4">
      <c r="A1146">
        <v>1001202</v>
      </c>
      <c r="B1146" s="1" t="s">
        <v>1036</v>
      </c>
      <c r="C1146" s="1" t="s">
        <v>54</v>
      </c>
    </row>
    <row r="1147" spans="1:3" x14ac:dyDescent="0.4">
      <c r="A1147">
        <v>1001203</v>
      </c>
      <c r="B1147" s="1" t="s">
        <v>40</v>
      </c>
      <c r="C1147" s="1" t="s">
        <v>40</v>
      </c>
    </row>
    <row r="1148" spans="1:3" x14ac:dyDescent="0.4">
      <c r="A1148">
        <v>1001204</v>
      </c>
      <c r="B1148" s="1" t="s">
        <v>40</v>
      </c>
      <c r="C1148" s="1" t="s">
        <v>40</v>
      </c>
    </row>
    <row r="1149" spans="1:3" x14ac:dyDescent="0.4">
      <c r="A1149">
        <v>1001205</v>
      </c>
      <c r="B1149" s="1" t="s">
        <v>40</v>
      </c>
      <c r="C1149" s="1" t="s">
        <v>40</v>
      </c>
    </row>
    <row r="1150" spans="1:3" x14ac:dyDescent="0.4">
      <c r="A1150">
        <v>1001206</v>
      </c>
      <c r="B1150" s="1" t="s">
        <v>40</v>
      </c>
      <c r="C1150" s="1" t="s">
        <v>40</v>
      </c>
    </row>
    <row r="1151" spans="1:3" x14ac:dyDescent="0.4">
      <c r="A1151">
        <v>1001207</v>
      </c>
      <c r="B1151" s="1" t="s">
        <v>40</v>
      </c>
      <c r="C1151" s="1" t="s">
        <v>40</v>
      </c>
    </row>
    <row r="1152" spans="1:3" x14ac:dyDescent="0.4">
      <c r="A1152">
        <v>1001208</v>
      </c>
      <c r="B1152" s="1" t="s">
        <v>40</v>
      </c>
      <c r="C1152" s="1" t="s">
        <v>40</v>
      </c>
    </row>
    <row r="1153" spans="1:3" x14ac:dyDescent="0.4">
      <c r="A1153">
        <v>1001209</v>
      </c>
      <c r="B1153" s="1" t="s">
        <v>40</v>
      </c>
      <c r="C1153" s="1" t="s">
        <v>40</v>
      </c>
    </row>
    <row r="1154" spans="1:3" x14ac:dyDescent="0.4">
      <c r="A1154">
        <v>1001210</v>
      </c>
      <c r="B1154" s="1" t="s">
        <v>1034</v>
      </c>
      <c r="C1154" s="1" t="s">
        <v>52</v>
      </c>
    </row>
    <row r="1155" spans="1:3" x14ac:dyDescent="0.4">
      <c r="A1155">
        <v>1001211</v>
      </c>
      <c r="B1155" s="1" t="s">
        <v>1035</v>
      </c>
      <c r="C1155" s="1" t="s">
        <v>53</v>
      </c>
    </row>
    <row r="1156" spans="1:3" x14ac:dyDescent="0.4">
      <c r="A1156">
        <v>1001212</v>
      </c>
      <c r="B1156" s="1" t="s">
        <v>1036</v>
      </c>
      <c r="C1156" s="1" t="s">
        <v>54</v>
      </c>
    </row>
    <row r="1157" spans="1:3" x14ac:dyDescent="0.4">
      <c r="A1157">
        <v>1001213</v>
      </c>
      <c r="B1157" s="1" t="s">
        <v>40</v>
      </c>
      <c r="C1157" s="1" t="s">
        <v>40</v>
      </c>
    </row>
    <row r="1158" spans="1:3" x14ac:dyDescent="0.4">
      <c r="A1158">
        <v>1001214</v>
      </c>
      <c r="B1158" s="1" t="s">
        <v>40</v>
      </c>
      <c r="C1158" s="1" t="s">
        <v>40</v>
      </c>
    </row>
    <row r="1159" spans="1:3" x14ac:dyDescent="0.4">
      <c r="A1159">
        <v>1001215</v>
      </c>
      <c r="B1159" s="1" t="s">
        <v>40</v>
      </c>
      <c r="C1159" s="1" t="s">
        <v>40</v>
      </c>
    </row>
    <row r="1160" spans="1:3" x14ac:dyDescent="0.4">
      <c r="A1160">
        <v>1001216</v>
      </c>
      <c r="B1160" s="1" t="s">
        <v>40</v>
      </c>
      <c r="C1160" s="1" t="s">
        <v>40</v>
      </c>
    </row>
    <row r="1161" spans="1:3" x14ac:dyDescent="0.4">
      <c r="A1161">
        <v>1001217</v>
      </c>
      <c r="B1161" s="1" t="s">
        <v>40</v>
      </c>
      <c r="C1161" s="1" t="s">
        <v>40</v>
      </c>
    </row>
    <row r="1162" spans="1:3" x14ac:dyDescent="0.4">
      <c r="A1162">
        <v>1001218</v>
      </c>
      <c r="B1162" s="1" t="s">
        <v>40</v>
      </c>
      <c r="C1162" s="1" t="s">
        <v>40</v>
      </c>
    </row>
    <row r="1163" spans="1:3" x14ac:dyDescent="0.4">
      <c r="A1163">
        <v>1001219</v>
      </c>
      <c r="B1163" s="1" t="s">
        <v>40</v>
      </c>
      <c r="C1163" s="1" t="s">
        <v>40</v>
      </c>
    </row>
    <row r="1164" spans="1:3" x14ac:dyDescent="0.4">
      <c r="A1164">
        <v>1001220</v>
      </c>
      <c r="B1164" s="1" t="s">
        <v>1034</v>
      </c>
      <c r="C1164" s="1" t="s">
        <v>52</v>
      </c>
    </row>
    <row r="1165" spans="1:3" x14ac:dyDescent="0.4">
      <c r="A1165">
        <v>1001221</v>
      </c>
      <c r="B1165" s="1" t="s">
        <v>1035</v>
      </c>
      <c r="C1165" s="1" t="s">
        <v>53</v>
      </c>
    </row>
    <row r="1166" spans="1:3" x14ac:dyDescent="0.4">
      <c r="A1166">
        <v>1001222</v>
      </c>
      <c r="B1166" s="1" t="s">
        <v>1036</v>
      </c>
      <c r="C1166" s="1" t="s">
        <v>54</v>
      </c>
    </row>
    <row r="1167" spans="1:3" x14ac:dyDescent="0.4">
      <c r="A1167">
        <v>1001300</v>
      </c>
      <c r="B1167" s="1" t="s">
        <v>1037</v>
      </c>
      <c r="C1167" s="1" t="s">
        <v>55</v>
      </c>
    </row>
    <row r="1168" spans="1:3" x14ac:dyDescent="0.4">
      <c r="A1168">
        <v>1001301</v>
      </c>
      <c r="B1168" s="1" t="s">
        <v>1038</v>
      </c>
      <c r="C1168" s="1" t="s">
        <v>56</v>
      </c>
    </row>
    <row r="1169" spans="1:3" x14ac:dyDescent="0.4">
      <c r="A1169">
        <v>1001302</v>
      </c>
      <c r="B1169" s="1" t="s">
        <v>1039</v>
      </c>
      <c r="C1169" s="1" t="s">
        <v>57</v>
      </c>
    </row>
    <row r="1170" spans="1:3" x14ac:dyDescent="0.4">
      <c r="A1170">
        <v>1001303</v>
      </c>
      <c r="B1170" s="1" t="s">
        <v>40</v>
      </c>
      <c r="C1170" s="1" t="s">
        <v>40</v>
      </c>
    </row>
    <row r="1171" spans="1:3" x14ac:dyDescent="0.4">
      <c r="A1171">
        <v>1001304</v>
      </c>
      <c r="B1171" s="1" t="s">
        <v>40</v>
      </c>
      <c r="C1171" s="1" t="s">
        <v>40</v>
      </c>
    </row>
    <row r="1172" spans="1:3" x14ac:dyDescent="0.4">
      <c r="A1172">
        <v>1001305</v>
      </c>
      <c r="B1172" s="1" t="s">
        <v>40</v>
      </c>
      <c r="C1172" s="1" t="s">
        <v>40</v>
      </c>
    </row>
    <row r="1173" spans="1:3" x14ac:dyDescent="0.4">
      <c r="A1173">
        <v>1001306</v>
      </c>
      <c r="B1173" s="1" t="s">
        <v>40</v>
      </c>
      <c r="C1173" s="1" t="s">
        <v>40</v>
      </c>
    </row>
    <row r="1174" spans="1:3" x14ac:dyDescent="0.4">
      <c r="A1174">
        <v>1001307</v>
      </c>
      <c r="B1174" s="1" t="s">
        <v>40</v>
      </c>
      <c r="C1174" s="1" t="s">
        <v>40</v>
      </c>
    </row>
    <row r="1175" spans="1:3" x14ac:dyDescent="0.4">
      <c r="A1175">
        <v>1001308</v>
      </c>
      <c r="B1175" s="1" t="s">
        <v>40</v>
      </c>
      <c r="C1175" s="1" t="s">
        <v>40</v>
      </c>
    </row>
    <row r="1176" spans="1:3" x14ac:dyDescent="0.4">
      <c r="A1176">
        <v>1001309</v>
      </c>
      <c r="B1176" s="1" t="s">
        <v>40</v>
      </c>
      <c r="C1176" s="1" t="s">
        <v>40</v>
      </c>
    </row>
    <row r="1177" spans="1:3" x14ac:dyDescent="0.4">
      <c r="A1177">
        <v>1001310</v>
      </c>
      <c r="B1177" s="1" t="s">
        <v>1037</v>
      </c>
      <c r="C1177" s="1" t="s">
        <v>55</v>
      </c>
    </row>
    <row r="1178" spans="1:3" x14ac:dyDescent="0.4">
      <c r="A1178">
        <v>1001311</v>
      </c>
      <c r="B1178" s="1" t="s">
        <v>1038</v>
      </c>
      <c r="C1178" s="1" t="s">
        <v>56</v>
      </c>
    </row>
    <row r="1179" spans="1:3" x14ac:dyDescent="0.4">
      <c r="A1179">
        <v>1001312</v>
      </c>
      <c r="B1179" s="1" t="s">
        <v>1039</v>
      </c>
      <c r="C1179" s="1" t="s">
        <v>57</v>
      </c>
    </row>
    <row r="1180" spans="1:3" x14ac:dyDescent="0.4">
      <c r="A1180">
        <v>1001313</v>
      </c>
      <c r="B1180" s="1" t="s">
        <v>40</v>
      </c>
      <c r="C1180" s="1" t="s">
        <v>40</v>
      </c>
    </row>
    <row r="1181" spans="1:3" x14ac:dyDescent="0.4">
      <c r="A1181">
        <v>1001314</v>
      </c>
      <c r="B1181" s="1" t="s">
        <v>40</v>
      </c>
      <c r="C1181" s="1" t="s">
        <v>40</v>
      </c>
    </row>
    <row r="1182" spans="1:3" x14ac:dyDescent="0.4">
      <c r="A1182">
        <v>1001315</v>
      </c>
      <c r="B1182" s="1" t="s">
        <v>40</v>
      </c>
      <c r="C1182" s="1" t="s">
        <v>40</v>
      </c>
    </row>
    <row r="1183" spans="1:3" x14ac:dyDescent="0.4">
      <c r="A1183">
        <v>1001316</v>
      </c>
      <c r="B1183" s="1" t="s">
        <v>40</v>
      </c>
      <c r="C1183" s="1" t="s">
        <v>40</v>
      </c>
    </row>
    <row r="1184" spans="1:3" x14ac:dyDescent="0.4">
      <c r="A1184">
        <v>1001317</v>
      </c>
      <c r="B1184" s="1" t="s">
        <v>40</v>
      </c>
      <c r="C1184" s="1" t="s">
        <v>40</v>
      </c>
    </row>
    <row r="1185" spans="1:3" x14ac:dyDescent="0.4">
      <c r="A1185">
        <v>1001318</v>
      </c>
      <c r="B1185" s="1" t="s">
        <v>40</v>
      </c>
      <c r="C1185" s="1" t="s">
        <v>40</v>
      </c>
    </row>
    <row r="1186" spans="1:3" x14ac:dyDescent="0.4">
      <c r="A1186">
        <v>1001319</v>
      </c>
      <c r="B1186" s="1" t="s">
        <v>40</v>
      </c>
      <c r="C1186" s="1" t="s">
        <v>40</v>
      </c>
    </row>
    <row r="1187" spans="1:3" x14ac:dyDescent="0.4">
      <c r="A1187">
        <v>1001320</v>
      </c>
      <c r="B1187" s="1" t="s">
        <v>1037</v>
      </c>
      <c r="C1187" s="1" t="s">
        <v>55</v>
      </c>
    </row>
    <row r="1188" spans="1:3" x14ac:dyDescent="0.4">
      <c r="A1188">
        <v>1001321</v>
      </c>
      <c r="B1188" s="1" t="s">
        <v>1038</v>
      </c>
      <c r="C1188" s="1" t="s">
        <v>56</v>
      </c>
    </row>
    <row r="1189" spans="1:3" x14ac:dyDescent="0.4">
      <c r="A1189">
        <v>1001322</v>
      </c>
      <c r="B1189" s="1" t="s">
        <v>1039</v>
      </c>
      <c r="C1189" s="1" t="s">
        <v>57</v>
      </c>
    </row>
    <row r="1190" spans="1:3" x14ac:dyDescent="0.4">
      <c r="A1190">
        <v>1002000</v>
      </c>
      <c r="B1190" s="1" t="s">
        <v>1028</v>
      </c>
      <c r="C1190" s="1" t="s">
        <v>46</v>
      </c>
    </row>
    <row r="1191" spans="1:3" x14ac:dyDescent="0.4">
      <c r="A1191">
        <v>1002001</v>
      </c>
      <c r="B1191" s="1" t="s">
        <v>1029</v>
      </c>
      <c r="C1191" s="1" t="s">
        <v>47</v>
      </c>
    </row>
    <row r="1192" spans="1:3" x14ac:dyDescent="0.4">
      <c r="A1192">
        <v>1002002</v>
      </c>
      <c r="B1192" s="1" t="s">
        <v>1030</v>
      </c>
      <c r="C1192" s="1" t="s">
        <v>48</v>
      </c>
    </row>
    <row r="1193" spans="1:3" x14ac:dyDescent="0.4">
      <c r="A1193">
        <v>1002003</v>
      </c>
      <c r="B1193" s="1" t="s">
        <v>40</v>
      </c>
      <c r="C1193" s="1" t="s">
        <v>40</v>
      </c>
    </row>
    <row r="1194" spans="1:3" x14ac:dyDescent="0.4">
      <c r="A1194">
        <v>1002004</v>
      </c>
      <c r="B1194" s="1" t="s">
        <v>40</v>
      </c>
      <c r="C1194" s="1" t="s">
        <v>40</v>
      </c>
    </row>
    <row r="1195" spans="1:3" x14ac:dyDescent="0.4">
      <c r="A1195">
        <v>1002005</v>
      </c>
      <c r="B1195" s="1" t="s">
        <v>40</v>
      </c>
      <c r="C1195" s="1" t="s">
        <v>40</v>
      </c>
    </row>
    <row r="1196" spans="1:3" x14ac:dyDescent="0.4">
      <c r="A1196">
        <v>1002006</v>
      </c>
      <c r="B1196" s="1" t="s">
        <v>40</v>
      </c>
      <c r="C1196" s="1" t="s">
        <v>40</v>
      </c>
    </row>
    <row r="1197" spans="1:3" x14ac:dyDescent="0.4">
      <c r="A1197">
        <v>1002007</v>
      </c>
      <c r="B1197" s="1" t="s">
        <v>40</v>
      </c>
      <c r="C1197" s="1" t="s">
        <v>40</v>
      </c>
    </row>
    <row r="1198" spans="1:3" x14ac:dyDescent="0.4">
      <c r="A1198">
        <v>1002008</v>
      </c>
      <c r="B1198" s="1" t="s">
        <v>40</v>
      </c>
      <c r="C1198" s="1" t="s">
        <v>40</v>
      </c>
    </row>
    <row r="1199" spans="1:3" x14ac:dyDescent="0.4">
      <c r="A1199">
        <v>1002009</v>
      </c>
      <c r="B1199" s="1" t="s">
        <v>40</v>
      </c>
      <c r="C1199" s="1" t="s">
        <v>40</v>
      </c>
    </row>
    <row r="1200" spans="1:3" x14ac:dyDescent="0.4">
      <c r="A1200">
        <v>1002010</v>
      </c>
      <c r="B1200" s="1" t="s">
        <v>1028</v>
      </c>
      <c r="C1200" s="1" t="s">
        <v>46</v>
      </c>
    </row>
    <row r="1201" spans="1:3" x14ac:dyDescent="0.4">
      <c r="A1201">
        <v>1002011</v>
      </c>
      <c r="B1201" s="1" t="s">
        <v>1029</v>
      </c>
      <c r="C1201" s="1" t="s">
        <v>47</v>
      </c>
    </row>
    <row r="1202" spans="1:3" x14ac:dyDescent="0.4">
      <c r="A1202">
        <v>1002012</v>
      </c>
      <c r="B1202" s="1" t="s">
        <v>1030</v>
      </c>
      <c r="C1202" s="1" t="s">
        <v>48</v>
      </c>
    </row>
    <row r="1203" spans="1:3" x14ac:dyDescent="0.4">
      <c r="A1203">
        <v>1002013</v>
      </c>
      <c r="B1203" s="1" t="s">
        <v>40</v>
      </c>
      <c r="C1203" s="1" t="s">
        <v>40</v>
      </c>
    </row>
    <row r="1204" spans="1:3" x14ac:dyDescent="0.4">
      <c r="A1204">
        <v>1002014</v>
      </c>
      <c r="B1204" s="1" t="s">
        <v>40</v>
      </c>
      <c r="C1204" s="1" t="s">
        <v>40</v>
      </c>
    </row>
    <row r="1205" spans="1:3" x14ac:dyDescent="0.4">
      <c r="A1205">
        <v>1002015</v>
      </c>
      <c r="B1205" s="1" t="s">
        <v>40</v>
      </c>
      <c r="C1205" s="1" t="s">
        <v>40</v>
      </c>
    </row>
    <row r="1206" spans="1:3" x14ac:dyDescent="0.4">
      <c r="A1206">
        <v>1002016</v>
      </c>
      <c r="B1206" s="1" t="s">
        <v>40</v>
      </c>
      <c r="C1206" s="1" t="s">
        <v>40</v>
      </c>
    </row>
    <row r="1207" spans="1:3" x14ac:dyDescent="0.4">
      <c r="A1207">
        <v>1002017</v>
      </c>
      <c r="B1207" s="1" t="s">
        <v>40</v>
      </c>
      <c r="C1207" s="1" t="s">
        <v>40</v>
      </c>
    </row>
    <row r="1208" spans="1:3" x14ac:dyDescent="0.4">
      <c r="A1208">
        <v>1002018</v>
      </c>
      <c r="B1208" s="1" t="s">
        <v>40</v>
      </c>
      <c r="C1208" s="1" t="s">
        <v>40</v>
      </c>
    </row>
    <row r="1209" spans="1:3" x14ac:dyDescent="0.4">
      <c r="A1209">
        <v>1002019</v>
      </c>
      <c r="B1209" s="1" t="s">
        <v>40</v>
      </c>
      <c r="C1209" s="1" t="s">
        <v>40</v>
      </c>
    </row>
    <row r="1210" spans="1:3" x14ac:dyDescent="0.4">
      <c r="A1210">
        <v>1002020</v>
      </c>
      <c r="B1210" s="1" t="s">
        <v>1028</v>
      </c>
      <c r="C1210" s="1" t="s">
        <v>46</v>
      </c>
    </row>
    <row r="1211" spans="1:3" x14ac:dyDescent="0.4">
      <c r="A1211">
        <v>1002021</v>
      </c>
      <c r="B1211" s="1" t="s">
        <v>1029</v>
      </c>
      <c r="C1211" s="1" t="s">
        <v>47</v>
      </c>
    </row>
    <row r="1212" spans="1:3" x14ac:dyDescent="0.4">
      <c r="A1212">
        <v>1002022</v>
      </c>
      <c r="B1212" s="1" t="s">
        <v>1030</v>
      </c>
      <c r="C1212" s="1" t="s">
        <v>48</v>
      </c>
    </row>
    <row r="1213" spans="1:3" x14ac:dyDescent="0.4">
      <c r="A1213">
        <v>1002100</v>
      </c>
      <c r="B1213" s="1" t="s">
        <v>1031</v>
      </c>
      <c r="C1213" s="1" t="s">
        <v>49</v>
      </c>
    </row>
    <row r="1214" spans="1:3" x14ac:dyDescent="0.4">
      <c r="A1214">
        <v>1002101</v>
      </c>
      <c r="B1214" s="1" t="s">
        <v>1032</v>
      </c>
      <c r="C1214" s="1" t="s">
        <v>50</v>
      </c>
    </row>
    <row r="1215" spans="1:3" x14ac:dyDescent="0.4">
      <c r="A1215">
        <v>1002102</v>
      </c>
      <c r="B1215" s="1" t="s">
        <v>1033</v>
      </c>
      <c r="C1215" s="1" t="s">
        <v>51</v>
      </c>
    </row>
    <row r="1216" spans="1:3" x14ac:dyDescent="0.4">
      <c r="A1216">
        <v>1002103</v>
      </c>
      <c r="B1216" s="1" t="s">
        <v>40</v>
      </c>
      <c r="C1216" s="1" t="s">
        <v>40</v>
      </c>
    </row>
    <row r="1217" spans="1:3" x14ac:dyDescent="0.4">
      <c r="A1217">
        <v>1002104</v>
      </c>
      <c r="B1217" s="1" t="s">
        <v>40</v>
      </c>
      <c r="C1217" s="1" t="s">
        <v>40</v>
      </c>
    </row>
    <row r="1218" spans="1:3" x14ac:dyDescent="0.4">
      <c r="A1218">
        <v>1002105</v>
      </c>
      <c r="B1218" s="1" t="s">
        <v>40</v>
      </c>
      <c r="C1218" s="1" t="s">
        <v>40</v>
      </c>
    </row>
    <row r="1219" spans="1:3" x14ac:dyDescent="0.4">
      <c r="A1219">
        <v>1002106</v>
      </c>
      <c r="B1219" s="1" t="s">
        <v>40</v>
      </c>
      <c r="C1219" s="1" t="s">
        <v>40</v>
      </c>
    </row>
    <row r="1220" spans="1:3" x14ac:dyDescent="0.4">
      <c r="A1220">
        <v>1002107</v>
      </c>
      <c r="B1220" s="1" t="s">
        <v>40</v>
      </c>
      <c r="C1220" s="1" t="s">
        <v>40</v>
      </c>
    </row>
    <row r="1221" spans="1:3" x14ac:dyDescent="0.4">
      <c r="A1221">
        <v>1002108</v>
      </c>
      <c r="B1221" s="1" t="s">
        <v>40</v>
      </c>
      <c r="C1221" s="1" t="s">
        <v>40</v>
      </c>
    </row>
    <row r="1222" spans="1:3" x14ac:dyDescent="0.4">
      <c r="A1222">
        <v>1002109</v>
      </c>
      <c r="B1222" s="1" t="s">
        <v>40</v>
      </c>
      <c r="C1222" s="1" t="s">
        <v>40</v>
      </c>
    </row>
    <row r="1223" spans="1:3" x14ac:dyDescent="0.4">
      <c r="A1223">
        <v>1002110</v>
      </c>
      <c r="B1223" s="1" t="s">
        <v>1031</v>
      </c>
      <c r="C1223" s="1" t="s">
        <v>49</v>
      </c>
    </row>
    <row r="1224" spans="1:3" x14ac:dyDescent="0.4">
      <c r="A1224">
        <v>1002111</v>
      </c>
      <c r="B1224" s="1" t="s">
        <v>1032</v>
      </c>
      <c r="C1224" s="1" t="s">
        <v>50</v>
      </c>
    </row>
    <row r="1225" spans="1:3" x14ac:dyDescent="0.4">
      <c r="A1225">
        <v>1002112</v>
      </c>
      <c r="B1225" s="1" t="s">
        <v>1033</v>
      </c>
      <c r="C1225" s="1" t="s">
        <v>51</v>
      </c>
    </row>
    <row r="1226" spans="1:3" x14ac:dyDescent="0.4">
      <c r="A1226">
        <v>1002113</v>
      </c>
      <c r="B1226" s="1" t="s">
        <v>40</v>
      </c>
      <c r="C1226" s="1" t="s">
        <v>40</v>
      </c>
    </row>
    <row r="1227" spans="1:3" x14ac:dyDescent="0.4">
      <c r="A1227">
        <v>1002114</v>
      </c>
      <c r="B1227" s="1" t="s">
        <v>40</v>
      </c>
      <c r="C1227" s="1" t="s">
        <v>40</v>
      </c>
    </row>
    <row r="1228" spans="1:3" x14ac:dyDescent="0.4">
      <c r="A1228">
        <v>1002115</v>
      </c>
      <c r="B1228" s="1" t="s">
        <v>40</v>
      </c>
      <c r="C1228" s="1" t="s">
        <v>40</v>
      </c>
    </row>
    <row r="1229" spans="1:3" x14ac:dyDescent="0.4">
      <c r="A1229">
        <v>1002116</v>
      </c>
      <c r="B1229" s="1" t="s">
        <v>40</v>
      </c>
      <c r="C1229" s="1" t="s">
        <v>40</v>
      </c>
    </row>
    <row r="1230" spans="1:3" x14ac:dyDescent="0.4">
      <c r="A1230">
        <v>1002117</v>
      </c>
      <c r="B1230" s="1" t="s">
        <v>40</v>
      </c>
      <c r="C1230" s="1" t="s">
        <v>40</v>
      </c>
    </row>
    <row r="1231" spans="1:3" x14ac:dyDescent="0.4">
      <c r="A1231">
        <v>1002118</v>
      </c>
      <c r="B1231" s="1" t="s">
        <v>40</v>
      </c>
      <c r="C1231" s="1" t="s">
        <v>40</v>
      </c>
    </row>
    <row r="1232" spans="1:3" x14ac:dyDescent="0.4">
      <c r="A1232">
        <v>1002119</v>
      </c>
      <c r="B1232" s="1" t="s">
        <v>40</v>
      </c>
      <c r="C1232" s="1" t="s">
        <v>40</v>
      </c>
    </row>
    <row r="1233" spans="1:3" x14ac:dyDescent="0.4">
      <c r="A1233">
        <v>1002120</v>
      </c>
      <c r="B1233" s="1" t="s">
        <v>1031</v>
      </c>
      <c r="C1233" s="1" t="s">
        <v>49</v>
      </c>
    </row>
    <row r="1234" spans="1:3" x14ac:dyDescent="0.4">
      <c r="A1234">
        <v>1002121</v>
      </c>
      <c r="B1234" s="1" t="s">
        <v>1032</v>
      </c>
      <c r="C1234" s="1" t="s">
        <v>50</v>
      </c>
    </row>
    <row r="1235" spans="1:3" x14ac:dyDescent="0.4">
      <c r="A1235">
        <v>1002122</v>
      </c>
      <c r="B1235" s="1" t="s">
        <v>1033</v>
      </c>
      <c r="C1235" s="1" t="s">
        <v>51</v>
      </c>
    </row>
    <row r="1236" spans="1:3" x14ac:dyDescent="0.4">
      <c r="A1236">
        <v>1002200</v>
      </c>
      <c r="B1236" s="1" t="s">
        <v>1034</v>
      </c>
      <c r="C1236" s="1" t="s">
        <v>52</v>
      </c>
    </row>
    <row r="1237" spans="1:3" x14ac:dyDescent="0.4">
      <c r="A1237">
        <v>1002201</v>
      </c>
      <c r="B1237" s="1" t="s">
        <v>1035</v>
      </c>
      <c r="C1237" s="1" t="s">
        <v>53</v>
      </c>
    </row>
    <row r="1238" spans="1:3" x14ac:dyDescent="0.4">
      <c r="A1238">
        <v>1002202</v>
      </c>
      <c r="B1238" s="1" t="s">
        <v>1036</v>
      </c>
      <c r="C1238" s="1" t="s">
        <v>54</v>
      </c>
    </row>
    <row r="1239" spans="1:3" x14ac:dyDescent="0.4">
      <c r="A1239">
        <v>1002203</v>
      </c>
      <c r="B1239" s="1" t="s">
        <v>40</v>
      </c>
      <c r="C1239" s="1" t="s">
        <v>40</v>
      </c>
    </row>
    <row r="1240" spans="1:3" x14ac:dyDescent="0.4">
      <c r="A1240">
        <v>1002204</v>
      </c>
      <c r="B1240" s="1" t="s">
        <v>40</v>
      </c>
      <c r="C1240" s="1" t="s">
        <v>40</v>
      </c>
    </row>
    <row r="1241" spans="1:3" x14ac:dyDescent="0.4">
      <c r="A1241">
        <v>1002205</v>
      </c>
      <c r="B1241" s="1" t="s">
        <v>40</v>
      </c>
      <c r="C1241" s="1" t="s">
        <v>40</v>
      </c>
    </row>
    <row r="1242" spans="1:3" x14ac:dyDescent="0.4">
      <c r="A1242">
        <v>1002206</v>
      </c>
      <c r="B1242" s="1" t="s">
        <v>40</v>
      </c>
      <c r="C1242" s="1" t="s">
        <v>40</v>
      </c>
    </row>
    <row r="1243" spans="1:3" x14ac:dyDescent="0.4">
      <c r="A1243">
        <v>1002207</v>
      </c>
      <c r="B1243" s="1" t="s">
        <v>40</v>
      </c>
      <c r="C1243" s="1" t="s">
        <v>40</v>
      </c>
    </row>
    <row r="1244" spans="1:3" x14ac:dyDescent="0.4">
      <c r="A1244">
        <v>1002208</v>
      </c>
      <c r="B1244" s="1" t="s">
        <v>40</v>
      </c>
      <c r="C1244" s="1" t="s">
        <v>40</v>
      </c>
    </row>
    <row r="1245" spans="1:3" x14ac:dyDescent="0.4">
      <c r="A1245">
        <v>1002209</v>
      </c>
      <c r="B1245" s="1" t="s">
        <v>40</v>
      </c>
      <c r="C1245" s="1" t="s">
        <v>40</v>
      </c>
    </row>
    <row r="1246" spans="1:3" x14ac:dyDescent="0.4">
      <c r="A1246">
        <v>1002210</v>
      </c>
      <c r="B1246" s="1" t="s">
        <v>1034</v>
      </c>
      <c r="C1246" s="1" t="s">
        <v>52</v>
      </c>
    </row>
    <row r="1247" spans="1:3" x14ac:dyDescent="0.4">
      <c r="A1247">
        <v>1002211</v>
      </c>
      <c r="B1247" s="1" t="s">
        <v>1035</v>
      </c>
      <c r="C1247" s="1" t="s">
        <v>53</v>
      </c>
    </row>
    <row r="1248" spans="1:3" x14ac:dyDescent="0.4">
      <c r="A1248">
        <v>1002212</v>
      </c>
      <c r="B1248" s="1" t="s">
        <v>1036</v>
      </c>
      <c r="C1248" s="1" t="s">
        <v>54</v>
      </c>
    </row>
    <row r="1249" spans="1:3" x14ac:dyDescent="0.4">
      <c r="A1249">
        <v>1002213</v>
      </c>
      <c r="B1249" s="1" t="s">
        <v>40</v>
      </c>
      <c r="C1249" s="1" t="s">
        <v>40</v>
      </c>
    </row>
    <row r="1250" spans="1:3" x14ac:dyDescent="0.4">
      <c r="A1250">
        <v>1002214</v>
      </c>
      <c r="B1250" s="1" t="s">
        <v>40</v>
      </c>
      <c r="C1250" s="1" t="s">
        <v>40</v>
      </c>
    </row>
    <row r="1251" spans="1:3" x14ac:dyDescent="0.4">
      <c r="A1251">
        <v>1002215</v>
      </c>
      <c r="B1251" s="1" t="s">
        <v>40</v>
      </c>
      <c r="C1251" s="1" t="s">
        <v>40</v>
      </c>
    </row>
    <row r="1252" spans="1:3" x14ac:dyDescent="0.4">
      <c r="A1252">
        <v>1002216</v>
      </c>
      <c r="B1252" s="1" t="s">
        <v>40</v>
      </c>
      <c r="C1252" s="1" t="s">
        <v>40</v>
      </c>
    </row>
    <row r="1253" spans="1:3" x14ac:dyDescent="0.4">
      <c r="A1253">
        <v>1002217</v>
      </c>
      <c r="B1253" s="1" t="s">
        <v>40</v>
      </c>
      <c r="C1253" s="1" t="s">
        <v>40</v>
      </c>
    </row>
    <row r="1254" spans="1:3" x14ac:dyDescent="0.4">
      <c r="A1254">
        <v>1002218</v>
      </c>
      <c r="B1254" s="1" t="s">
        <v>40</v>
      </c>
      <c r="C1254" s="1" t="s">
        <v>40</v>
      </c>
    </row>
    <row r="1255" spans="1:3" x14ac:dyDescent="0.4">
      <c r="A1255">
        <v>1002219</v>
      </c>
      <c r="B1255" s="1" t="s">
        <v>40</v>
      </c>
      <c r="C1255" s="1" t="s">
        <v>40</v>
      </c>
    </row>
    <row r="1256" spans="1:3" x14ac:dyDescent="0.4">
      <c r="A1256">
        <v>1002220</v>
      </c>
      <c r="B1256" s="1" t="s">
        <v>1034</v>
      </c>
      <c r="C1256" s="1" t="s">
        <v>52</v>
      </c>
    </row>
    <row r="1257" spans="1:3" x14ac:dyDescent="0.4">
      <c r="A1257">
        <v>1002221</v>
      </c>
      <c r="B1257" s="1" t="s">
        <v>1035</v>
      </c>
      <c r="C1257" s="1" t="s">
        <v>53</v>
      </c>
    </row>
    <row r="1258" spans="1:3" x14ac:dyDescent="0.4">
      <c r="A1258">
        <v>1002222</v>
      </c>
      <c r="B1258" s="1" t="s">
        <v>1036</v>
      </c>
      <c r="C1258" s="1" t="s">
        <v>54</v>
      </c>
    </row>
    <row r="1259" spans="1:3" x14ac:dyDescent="0.4">
      <c r="A1259">
        <v>1002300</v>
      </c>
      <c r="B1259" s="1" t="s">
        <v>1037</v>
      </c>
      <c r="C1259" s="1" t="s">
        <v>55</v>
      </c>
    </row>
    <row r="1260" spans="1:3" x14ac:dyDescent="0.4">
      <c r="A1260">
        <v>1002301</v>
      </c>
      <c r="B1260" s="1" t="s">
        <v>1038</v>
      </c>
      <c r="C1260" s="1" t="s">
        <v>56</v>
      </c>
    </row>
    <row r="1261" spans="1:3" x14ac:dyDescent="0.4">
      <c r="A1261">
        <v>1002302</v>
      </c>
      <c r="B1261" s="1" t="s">
        <v>1039</v>
      </c>
      <c r="C1261" s="1" t="s">
        <v>57</v>
      </c>
    </row>
    <row r="1262" spans="1:3" x14ac:dyDescent="0.4">
      <c r="A1262">
        <v>1002303</v>
      </c>
      <c r="B1262" s="1" t="s">
        <v>40</v>
      </c>
      <c r="C1262" s="1" t="s">
        <v>40</v>
      </c>
    </row>
    <row r="1263" spans="1:3" x14ac:dyDescent="0.4">
      <c r="A1263">
        <v>1002304</v>
      </c>
      <c r="B1263" s="1" t="s">
        <v>40</v>
      </c>
      <c r="C1263" s="1" t="s">
        <v>40</v>
      </c>
    </row>
    <row r="1264" spans="1:3" x14ac:dyDescent="0.4">
      <c r="A1264">
        <v>1002305</v>
      </c>
      <c r="B1264" s="1" t="s">
        <v>40</v>
      </c>
      <c r="C1264" s="1" t="s">
        <v>40</v>
      </c>
    </row>
    <row r="1265" spans="1:3" x14ac:dyDescent="0.4">
      <c r="A1265">
        <v>1002306</v>
      </c>
      <c r="B1265" s="1" t="s">
        <v>40</v>
      </c>
      <c r="C1265" s="1" t="s">
        <v>40</v>
      </c>
    </row>
    <row r="1266" spans="1:3" x14ac:dyDescent="0.4">
      <c r="A1266">
        <v>1002307</v>
      </c>
      <c r="B1266" s="1" t="s">
        <v>40</v>
      </c>
      <c r="C1266" s="1" t="s">
        <v>40</v>
      </c>
    </row>
    <row r="1267" spans="1:3" x14ac:dyDescent="0.4">
      <c r="A1267">
        <v>1002308</v>
      </c>
      <c r="B1267" s="1" t="s">
        <v>40</v>
      </c>
      <c r="C1267" s="1" t="s">
        <v>40</v>
      </c>
    </row>
    <row r="1268" spans="1:3" x14ac:dyDescent="0.4">
      <c r="A1268">
        <v>1002309</v>
      </c>
      <c r="B1268" s="1" t="s">
        <v>40</v>
      </c>
      <c r="C1268" s="1" t="s">
        <v>40</v>
      </c>
    </row>
    <row r="1269" spans="1:3" x14ac:dyDescent="0.4">
      <c r="A1269">
        <v>1002310</v>
      </c>
      <c r="B1269" s="1" t="s">
        <v>1037</v>
      </c>
      <c r="C1269" s="1" t="s">
        <v>55</v>
      </c>
    </row>
    <row r="1270" spans="1:3" x14ac:dyDescent="0.4">
      <c r="A1270">
        <v>1002311</v>
      </c>
      <c r="B1270" s="1" t="s">
        <v>1038</v>
      </c>
      <c r="C1270" s="1" t="s">
        <v>56</v>
      </c>
    </row>
    <row r="1271" spans="1:3" x14ac:dyDescent="0.4">
      <c r="A1271">
        <v>1002312</v>
      </c>
      <c r="B1271" s="1" t="s">
        <v>1039</v>
      </c>
      <c r="C1271" s="1" t="s">
        <v>57</v>
      </c>
    </row>
    <row r="1272" spans="1:3" x14ac:dyDescent="0.4">
      <c r="A1272">
        <v>1002313</v>
      </c>
      <c r="B1272" s="1" t="s">
        <v>40</v>
      </c>
      <c r="C1272" s="1" t="s">
        <v>40</v>
      </c>
    </row>
    <row r="1273" spans="1:3" x14ac:dyDescent="0.4">
      <c r="A1273">
        <v>1002314</v>
      </c>
      <c r="B1273" s="1" t="s">
        <v>40</v>
      </c>
      <c r="C1273" s="1" t="s">
        <v>40</v>
      </c>
    </row>
    <row r="1274" spans="1:3" x14ac:dyDescent="0.4">
      <c r="A1274">
        <v>1002315</v>
      </c>
      <c r="B1274" s="1" t="s">
        <v>40</v>
      </c>
      <c r="C1274" s="1" t="s">
        <v>40</v>
      </c>
    </row>
    <row r="1275" spans="1:3" x14ac:dyDescent="0.4">
      <c r="A1275">
        <v>1002316</v>
      </c>
      <c r="B1275" s="1" t="s">
        <v>40</v>
      </c>
      <c r="C1275" s="1" t="s">
        <v>40</v>
      </c>
    </row>
    <row r="1276" spans="1:3" x14ac:dyDescent="0.4">
      <c r="A1276">
        <v>1002317</v>
      </c>
      <c r="B1276" s="1" t="s">
        <v>40</v>
      </c>
      <c r="C1276" s="1" t="s">
        <v>40</v>
      </c>
    </row>
    <row r="1277" spans="1:3" x14ac:dyDescent="0.4">
      <c r="A1277">
        <v>1002318</v>
      </c>
      <c r="B1277" s="1" t="s">
        <v>40</v>
      </c>
      <c r="C1277" s="1" t="s">
        <v>40</v>
      </c>
    </row>
    <row r="1278" spans="1:3" x14ac:dyDescent="0.4">
      <c r="A1278">
        <v>1002319</v>
      </c>
      <c r="B1278" s="1" t="s">
        <v>40</v>
      </c>
      <c r="C1278" s="1" t="s">
        <v>40</v>
      </c>
    </row>
    <row r="1279" spans="1:3" x14ac:dyDescent="0.4">
      <c r="A1279">
        <v>1002320</v>
      </c>
      <c r="B1279" s="1" t="s">
        <v>1037</v>
      </c>
      <c r="C1279" s="1" t="s">
        <v>55</v>
      </c>
    </row>
    <row r="1280" spans="1:3" x14ac:dyDescent="0.4">
      <c r="A1280">
        <v>1002321</v>
      </c>
      <c r="B1280" s="1" t="s">
        <v>1038</v>
      </c>
      <c r="C1280" s="1" t="s">
        <v>56</v>
      </c>
    </row>
    <row r="1281" spans="1:3" x14ac:dyDescent="0.4">
      <c r="A1281">
        <v>1002322</v>
      </c>
      <c r="B1281" s="1" t="s">
        <v>1039</v>
      </c>
      <c r="C1281" s="1" t="s">
        <v>57</v>
      </c>
    </row>
    <row r="1282" spans="1:3" x14ac:dyDescent="0.4">
      <c r="A1282">
        <v>1003000</v>
      </c>
      <c r="B1282" s="1" t="s">
        <v>1028</v>
      </c>
      <c r="C1282" s="1" t="s">
        <v>46</v>
      </c>
    </row>
    <row r="1283" spans="1:3" x14ac:dyDescent="0.4">
      <c r="A1283">
        <v>1003001</v>
      </c>
      <c r="B1283" s="1" t="s">
        <v>1029</v>
      </c>
      <c r="C1283" s="1" t="s">
        <v>47</v>
      </c>
    </row>
    <row r="1284" spans="1:3" x14ac:dyDescent="0.4">
      <c r="A1284">
        <v>1003002</v>
      </c>
      <c r="B1284" s="1" t="s">
        <v>1030</v>
      </c>
      <c r="C1284" s="1" t="s">
        <v>48</v>
      </c>
    </row>
    <row r="1285" spans="1:3" x14ac:dyDescent="0.4">
      <c r="A1285">
        <v>1003003</v>
      </c>
      <c r="B1285" s="1" t="s">
        <v>40</v>
      </c>
      <c r="C1285" s="1" t="s">
        <v>40</v>
      </c>
    </row>
    <row r="1286" spans="1:3" x14ac:dyDescent="0.4">
      <c r="A1286">
        <v>1003004</v>
      </c>
      <c r="B1286" s="1" t="s">
        <v>40</v>
      </c>
      <c r="C1286" s="1" t="s">
        <v>40</v>
      </c>
    </row>
    <row r="1287" spans="1:3" x14ac:dyDescent="0.4">
      <c r="A1287">
        <v>1003005</v>
      </c>
      <c r="B1287" s="1" t="s">
        <v>40</v>
      </c>
      <c r="C1287" s="1" t="s">
        <v>40</v>
      </c>
    </row>
    <row r="1288" spans="1:3" x14ac:dyDescent="0.4">
      <c r="A1288">
        <v>1003006</v>
      </c>
      <c r="B1288" s="1" t="s">
        <v>40</v>
      </c>
      <c r="C1288" s="1" t="s">
        <v>40</v>
      </c>
    </row>
    <row r="1289" spans="1:3" x14ac:dyDescent="0.4">
      <c r="A1289">
        <v>1003007</v>
      </c>
      <c r="B1289" s="1" t="s">
        <v>40</v>
      </c>
      <c r="C1289" s="1" t="s">
        <v>40</v>
      </c>
    </row>
    <row r="1290" spans="1:3" x14ac:dyDescent="0.4">
      <c r="A1290">
        <v>1003008</v>
      </c>
      <c r="B1290" s="1" t="s">
        <v>40</v>
      </c>
      <c r="C1290" s="1" t="s">
        <v>40</v>
      </c>
    </row>
    <row r="1291" spans="1:3" x14ac:dyDescent="0.4">
      <c r="A1291">
        <v>1003009</v>
      </c>
      <c r="B1291" s="1" t="s">
        <v>40</v>
      </c>
      <c r="C1291" s="1" t="s">
        <v>40</v>
      </c>
    </row>
    <row r="1292" spans="1:3" x14ac:dyDescent="0.4">
      <c r="A1292">
        <v>1003010</v>
      </c>
      <c r="B1292" s="1" t="s">
        <v>1028</v>
      </c>
      <c r="C1292" s="1" t="s">
        <v>46</v>
      </c>
    </row>
    <row r="1293" spans="1:3" x14ac:dyDescent="0.4">
      <c r="A1293">
        <v>1003011</v>
      </c>
      <c r="B1293" s="1" t="s">
        <v>1029</v>
      </c>
      <c r="C1293" s="1" t="s">
        <v>47</v>
      </c>
    </row>
    <row r="1294" spans="1:3" x14ac:dyDescent="0.4">
      <c r="A1294">
        <v>1003012</v>
      </c>
      <c r="B1294" s="1" t="s">
        <v>1030</v>
      </c>
      <c r="C1294" s="1" t="s">
        <v>48</v>
      </c>
    </row>
    <row r="1295" spans="1:3" x14ac:dyDescent="0.4">
      <c r="A1295">
        <v>1003013</v>
      </c>
      <c r="B1295" s="1" t="s">
        <v>40</v>
      </c>
      <c r="C1295" s="1" t="s">
        <v>40</v>
      </c>
    </row>
    <row r="1296" spans="1:3" x14ac:dyDescent="0.4">
      <c r="A1296">
        <v>1003014</v>
      </c>
      <c r="B1296" s="1" t="s">
        <v>40</v>
      </c>
      <c r="C1296" s="1" t="s">
        <v>40</v>
      </c>
    </row>
    <row r="1297" spans="1:3" x14ac:dyDescent="0.4">
      <c r="A1297">
        <v>1003015</v>
      </c>
      <c r="B1297" s="1" t="s">
        <v>40</v>
      </c>
      <c r="C1297" s="1" t="s">
        <v>40</v>
      </c>
    </row>
    <row r="1298" spans="1:3" x14ac:dyDescent="0.4">
      <c r="A1298">
        <v>1003016</v>
      </c>
      <c r="B1298" s="1" t="s">
        <v>40</v>
      </c>
      <c r="C1298" s="1" t="s">
        <v>40</v>
      </c>
    </row>
    <row r="1299" spans="1:3" x14ac:dyDescent="0.4">
      <c r="A1299">
        <v>1003017</v>
      </c>
      <c r="B1299" s="1" t="s">
        <v>40</v>
      </c>
      <c r="C1299" s="1" t="s">
        <v>40</v>
      </c>
    </row>
    <row r="1300" spans="1:3" x14ac:dyDescent="0.4">
      <c r="A1300">
        <v>1003018</v>
      </c>
      <c r="B1300" s="1" t="s">
        <v>40</v>
      </c>
      <c r="C1300" s="1" t="s">
        <v>40</v>
      </c>
    </row>
    <row r="1301" spans="1:3" x14ac:dyDescent="0.4">
      <c r="A1301">
        <v>1003019</v>
      </c>
      <c r="B1301" s="1" t="s">
        <v>40</v>
      </c>
      <c r="C1301" s="1" t="s">
        <v>40</v>
      </c>
    </row>
    <row r="1302" spans="1:3" x14ac:dyDescent="0.4">
      <c r="A1302">
        <v>1003020</v>
      </c>
      <c r="B1302" s="1" t="s">
        <v>1028</v>
      </c>
      <c r="C1302" s="1" t="s">
        <v>46</v>
      </c>
    </row>
    <row r="1303" spans="1:3" x14ac:dyDescent="0.4">
      <c r="A1303">
        <v>1003021</v>
      </c>
      <c r="B1303" s="1" t="s">
        <v>1029</v>
      </c>
      <c r="C1303" s="1" t="s">
        <v>47</v>
      </c>
    </row>
    <row r="1304" spans="1:3" x14ac:dyDescent="0.4">
      <c r="A1304">
        <v>1003022</v>
      </c>
      <c r="B1304" s="1" t="s">
        <v>1030</v>
      </c>
      <c r="C1304" s="1" t="s">
        <v>48</v>
      </c>
    </row>
    <row r="1305" spans="1:3" x14ac:dyDescent="0.4">
      <c r="A1305">
        <v>1003100</v>
      </c>
      <c r="B1305" s="1" t="s">
        <v>1031</v>
      </c>
      <c r="C1305" s="1" t="s">
        <v>49</v>
      </c>
    </row>
    <row r="1306" spans="1:3" x14ac:dyDescent="0.4">
      <c r="A1306">
        <v>1003101</v>
      </c>
      <c r="B1306" s="1" t="s">
        <v>1032</v>
      </c>
      <c r="C1306" s="1" t="s">
        <v>50</v>
      </c>
    </row>
    <row r="1307" spans="1:3" x14ac:dyDescent="0.4">
      <c r="A1307">
        <v>1003102</v>
      </c>
      <c r="B1307" s="1" t="s">
        <v>1033</v>
      </c>
      <c r="C1307" s="1" t="s">
        <v>51</v>
      </c>
    </row>
    <row r="1308" spans="1:3" x14ac:dyDescent="0.4">
      <c r="A1308">
        <v>1003103</v>
      </c>
      <c r="B1308" s="1" t="s">
        <v>40</v>
      </c>
      <c r="C1308" s="1" t="s">
        <v>40</v>
      </c>
    </row>
    <row r="1309" spans="1:3" x14ac:dyDescent="0.4">
      <c r="A1309">
        <v>1003104</v>
      </c>
      <c r="B1309" s="1" t="s">
        <v>40</v>
      </c>
      <c r="C1309" s="1" t="s">
        <v>40</v>
      </c>
    </row>
    <row r="1310" spans="1:3" x14ac:dyDescent="0.4">
      <c r="A1310">
        <v>1003105</v>
      </c>
      <c r="B1310" s="1" t="s">
        <v>40</v>
      </c>
      <c r="C1310" s="1" t="s">
        <v>40</v>
      </c>
    </row>
    <row r="1311" spans="1:3" x14ac:dyDescent="0.4">
      <c r="A1311">
        <v>1003106</v>
      </c>
      <c r="B1311" s="1" t="s">
        <v>40</v>
      </c>
      <c r="C1311" s="1" t="s">
        <v>40</v>
      </c>
    </row>
    <row r="1312" spans="1:3" x14ac:dyDescent="0.4">
      <c r="A1312">
        <v>1003107</v>
      </c>
      <c r="B1312" s="1" t="s">
        <v>40</v>
      </c>
      <c r="C1312" s="1" t="s">
        <v>40</v>
      </c>
    </row>
    <row r="1313" spans="1:3" x14ac:dyDescent="0.4">
      <c r="A1313">
        <v>1003108</v>
      </c>
      <c r="B1313" s="1" t="s">
        <v>40</v>
      </c>
      <c r="C1313" s="1" t="s">
        <v>40</v>
      </c>
    </row>
    <row r="1314" spans="1:3" x14ac:dyDescent="0.4">
      <c r="A1314">
        <v>1003109</v>
      </c>
      <c r="B1314" s="1" t="s">
        <v>40</v>
      </c>
      <c r="C1314" s="1" t="s">
        <v>40</v>
      </c>
    </row>
    <row r="1315" spans="1:3" x14ac:dyDescent="0.4">
      <c r="A1315">
        <v>1003110</v>
      </c>
      <c r="B1315" s="1" t="s">
        <v>1031</v>
      </c>
      <c r="C1315" s="1" t="s">
        <v>49</v>
      </c>
    </row>
    <row r="1316" spans="1:3" x14ac:dyDescent="0.4">
      <c r="A1316">
        <v>1003111</v>
      </c>
      <c r="B1316" s="1" t="s">
        <v>1032</v>
      </c>
      <c r="C1316" s="1" t="s">
        <v>50</v>
      </c>
    </row>
    <row r="1317" spans="1:3" x14ac:dyDescent="0.4">
      <c r="A1317">
        <v>1003112</v>
      </c>
      <c r="B1317" s="1" t="s">
        <v>1033</v>
      </c>
      <c r="C1317" s="1" t="s">
        <v>51</v>
      </c>
    </row>
    <row r="1318" spans="1:3" x14ac:dyDescent="0.4">
      <c r="A1318">
        <v>1003113</v>
      </c>
      <c r="B1318" s="1" t="s">
        <v>40</v>
      </c>
      <c r="C1318" s="1" t="s">
        <v>40</v>
      </c>
    </row>
    <row r="1319" spans="1:3" x14ac:dyDescent="0.4">
      <c r="A1319">
        <v>1003114</v>
      </c>
      <c r="B1319" s="1" t="s">
        <v>40</v>
      </c>
      <c r="C1319" s="1" t="s">
        <v>40</v>
      </c>
    </row>
    <row r="1320" spans="1:3" x14ac:dyDescent="0.4">
      <c r="A1320">
        <v>1003115</v>
      </c>
      <c r="B1320" s="1" t="s">
        <v>40</v>
      </c>
      <c r="C1320" s="1" t="s">
        <v>40</v>
      </c>
    </row>
    <row r="1321" spans="1:3" x14ac:dyDescent="0.4">
      <c r="A1321">
        <v>1003116</v>
      </c>
      <c r="B1321" s="1" t="s">
        <v>40</v>
      </c>
      <c r="C1321" s="1" t="s">
        <v>40</v>
      </c>
    </row>
    <row r="1322" spans="1:3" x14ac:dyDescent="0.4">
      <c r="A1322">
        <v>1003117</v>
      </c>
      <c r="B1322" s="1" t="s">
        <v>40</v>
      </c>
      <c r="C1322" s="1" t="s">
        <v>40</v>
      </c>
    </row>
    <row r="1323" spans="1:3" x14ac:dyDescent="0.4">
      <c r="A1323">
        <v>1003118</v>
      </c>
      <c r="B1323" s="1" t="s">
        <v>40</v>
      </c>
      <c r="C1323" s="1" t="s">
        <v>40</v>
      </c>
    </row>
    <row r="1324" spans="1:3" x14ac:dyDescent="0.4">
      <c r="A1324">
        <v>1003119</v>
      </c>
      <c r="B1324" s="1" t="s">
        <v>40</v>
      </c>
      <c r="C1324" s="1" t="s">
        <v>40</v>
      </c>
    </row>
    <row r="1325" spans="1:3" x14ac:dyDescent="0.4">
      <c r="A1325">
        <v>1003120</v>
      </c>
      <c r="B1325" s="1" t="s">
        <v>1031</v>
      </c>
      <c r="C1325" s="1" t="s">
        <v>49</v>
      </c>
    </row>
    <row r="1326" spans="1:3" x14ac:dyDescent="0.4">
      <c r="A1326">
        <v>1003121</v>
      </c>
      <c r="B1326" s="1" t="s">
        <v>1032</v>
      </c>
      <c r="C1326" s="1" t="s">
        <v>50</v>
      </c>
    </row>
    <row r="1327" spans="1:3" x14ac:dyDescent="0.4">
      <c r="A1327">
        <v>1003122</v>
      </c>
      <c r="B1327" s="1" t="s">
        <v>1033</v>
      </c>
      <c r="C1327" s="1" t="s">
        <v>51</v>
      </c>
    </row>
    <row r="1328" spans="1:3" x14ac:dyDescent="0.4">
      <c r="A1328">
        <v>1003200</v>
      </c>
      <c r="B1328" s="1" t="s">
        <v>1034</v>
      </c>
      <c r="C1328" s="1" t="s">
        <v>52</v>
      </c>
    </row>
    <row r="1329" spans="1:3" x14ac:dyDescent="0.4">
      <c r="A1329">
        <v>1003201</v>
      </c>
      <c r="B1329" s="1" t="s">
        <v>1035</v>
      </c>
      <c r="C1329" s="1" t="s">
        <v>53</v>
      </c>
    </row>
    <row r="1330" spans="1:3" x14ac:dyDescent="0.4">
      <c r="A1330">
        <v>1003202</v>
      </c>
      <c r="B1330" s="1" t="s">
        <v>1036</v>
      </c>
      <c r="C1330" s="1" t="s">
        <v>54</v>
      </c>
    </row>
    <row r="1331" spans="1:3" x14ac:dyDescent="0.4">
      <c r="A1331">
        <v>1003203</v>
      </c>
      <c r="B1331" s="1" t="s">
        <v>40</v>
      </c>
      <c r="C1331" s="1" t="s">
        <v>40</v>
      </c>
    </row>
    <row r="1332" spans="1:3" x14ac:dyDescent="0.4">
      <c r="A1332">
        <v>1003204</v>
      </c>
      <c r="B1332" s="1" t="s">
        <v>40</v>
      </c>
      <c r="C1332" s="1" t="s">
        <v>40</v>
      </c>
    </row>
    <row r="1333" spans="1:3" x14ac:dyDescent="0.4">
      <c r="A1333">
        <v>1003205</v>
      </c>
      <c r="B1333" s="1" t="s">
        <v>40</v>
      </c>
      <c r="C1333" s="1" t="s">
        <v>40</v>
      </c>
    </row>
    <row r="1334" spans="1:3" x14ac:dyDescent="0.4">
      <c r="A1334">
        <v>1003206</v>
      </c>
      <c r="B1334" s="1" t="s">
        <v>40</v>
      </c>
      <c r="C1334" s="1" t="s">
        <v>40</v>
      </c>
    </row>
    <row r="1335" spans="1:3" x14ac:dyDescent="0.4">
      <c r="A1335">
        <v>1003207</v>
      </c>
      <c r="B1335" s="1" t="s">
        <v>40</v>
      </c>
      <c r="C1335" s="1" t="s">
        <v>40</v>
      </c>
    </row>
    <row r="1336" spans="1:3" x14ac:dyDescent="0.4">
      <c r="A1336">
        <v>1003208</v>
      </c>
      <c r="B1336" s="1" t="s">
        <v>40</v>
      </c>
      <c r="C1336" s="1" t="s">
        <v>40</v>
      </c>
    </row>
    <row r="1337" spans="1:3" x14ac:dyDescent="0.4">
      <c r="A1337">
        <v>1003209</v>
      </c>
      <c r="B1337" s="1" t="s">
        <v>40</v>
      </c>
      <c r="C1337" s="1" t="s">
        <v>40</v>
      </c>
    </row>
    <row r="1338" spans="1:3" x14ac:dyDescent="0.4">
      <c r="A1338">
        <v>1003210</v>
      </c>
      <c r="B1338" s="1" t="s">
        <v>1034</v>
      </c>
      <c r="C1338" s="1" t="s">
        <v>52</v>
      </c>
    </row>
    <row r="1339" spans="1:3" x14ac:dyDescent="0.4">
      <c r="A1339">
        <v>1003211</v>
      </c>
      <c r="B1339" s="1" t="s">
        <v>1035</v>
      </c>
      <c r="C1339" s="1" t="s">
        <v>53</v>
      </c>
    </row>
    <row r="1340" spans="1:3" x14ac:dyDescent="0.4">
      <c r="A1340">
        <v>1003212</v>
      </c>
      <c r="B1340" s="1" t="s">
        <v>1036</v>
      </c>
      <c r="C1340" s="1" t="s">
        <v>54</v>
      </c>
    </row>
    <row r="1341" spans="1:3" x14ac:dyDescent="0.4">
      <c r="A1341">
        <v>1003213</v>
      </c>
      <c r="B1341" s="1" t="s">
        <v>40</v>
      </c>
      <c r="C1341" s="1" t="s">
        <v>40</v>
      </c>
    </row>
    <row r="1342" spans="1:3" x14ac:dyDescent="0.4">
      <c r="A1342">
        <v>1003214</v>
      </c>
      <c r="B1342" s="1" t="s">
        <v>40</v>
      </c>
      <c r="C1342" s="1" t="s">
        <v>40</v>
      </c>
    </row>
    <row r="1343" spans="1:3" x14ac:dyDescent="0.4">
      <c r="A1343">
        <v>1003215</v>
      </c>
      <c r="B1343" s="1" t="s">
        <v>40</v>
      </c>
      <c r="C1343" s="1" t="s">
        <v>40</v>
      </c>
    </row>
    <row r="1344" spans="1:3" x14ac:dyDescent="0.4">
      <c r="A1344">
        <v>1003216</v>
      </c>
      <c r="B1344" s="1" t="s">
        <v>40</v>
      </c>
      <c r="C1344" s="1" t="s">
        <v>40</v>
      </c>
    </row>
    <row r="1345" spans="1:3" x14ac:dyDescent="0.4">
      <c r="A1345">
        <v>1003217</v>
      </c>
      <c r="B1345" s="1" t="s">
        <v>40</v>
      </c>
      <c r="C1345" s="1" t="s">
        <v>40</v>
      </c>
    </row>
    <row r="1346" spans="1:3" x14ac:dyDescent="0.4">
      <c r="A1346">
        <v>1003218</v>
      </c>
      <c r="B1346" s="1" t="s">
        <v>40</v>
      </c>
      <c r="C1346" s="1" t="s">
        <v>40</v>
      </c>
    </row>
    <row r="1347" spans="1:3" x14ac:dyDescent="0.4">
      <c r="A1347">
        <v>1003219</v>
      </c>
      <c r="B1347" s="1" t="s">
        <v>40</v>
      </c>
      <c r="C1347" s="1" t="s">
        <v>40</v>
      </c>
    </row>
    <row r="1348" spans="1:3" x14ac:dyDescent="0.4">
      <c r="A1348">
        <v>1003220</v>
      </c>
      <c r="B1348" s="1" t="s">
        <v>1034</v>
      </c>
      <c r="C1348" s="1" t="s">
        <v>52</v>
      </c>
    </row>
    <row r="1349" spans="1:3" x14ac:dyDescent="0.4">
      <c r="A1349">
        <v>1003221</v>
      </c>
      <c r="B1349" s="1" t="s">
        <v>1035</v>
      </c>
      <c r="C1349" s="1" t="s">
        <v>53</v>
      </c>
    </row>
    <row r="1350" spans="1:3" x14ac:dyDescent="0.4">
      <c r="A1350">
        <v>1003222</v>
      </c>
      <c r="B1350" s="1" t="s">
        <v>1036</v>
      </c>
      <c r="C1350" s="1" t="s">
        <v>54</v>
      </c>
    </row>
    <row r="1351" spans="1:3" x14ac:dyDescent="0.4">
      <c r="A1351">
        <v>1003300</v>
      </c>
      <c r="B1351" s="1" t="s">
        <v>1037</v>
      </c>
      <c r="C1351" s="1" t="s">
        <v>55</v>
      </c>
    </row>
    <row r="1352" spans="1:3" x14ac:dyDescent="0.4">
      <c r="A1352">
        <v>1003301</v>
      </c>
      <c r="B1352" s="1" t="s">
        <v>1038</v>
      </c>
      <c r="C1352" s="1" t="s">
        <v>56</v>
      </c>
    </row>
    <row r="1353" spans="1:3" x14ac:dyDescent="0.4">
      <c r="A1353">
        <v>1003302</v>
      </c>
      <c r="B1353" s="1" t="s">
        <v>1039</v>
      </c>
      <c r="C1353" s="1" t="s">
        <v>57</v>
      </c>
    </row>
    <row r="1354" spans="1:3" x14ac:dyDescent="0.4">
      <c r="A1354">
        <v>1003303</v>
      </c>
      <c r="B1354" s="1" t="s">
        <v>40</v>
      </c>
      <c r="C1354" s="1" t="s">
        <v>40</v>
      </c>
    </row>
    <row r="1355" spans="1:3" x14ac:dyDescent="0.4">
      <c r="A1355">
        <v>1003304</v>
      </c>
      <c r="B1355" s="1" t="s">
        <v>40</v>
      </c>
      <c r="C1355" s="1" t="s">
        <v>40</v>
      </c>
    </row>
    <row r="1356" spans="1:3" x14ac:dyDescent="0.4">
      <c r="A1356">
        <v>1003305</v>
      </c>
      <c r="B1356" s="1" t="s">
        <v>40</v>
      </c>
      <c r="C1356" s="1" t="s">
        <v>40</v>
      </c>
    </row>
    <row r="1357" spans="1:3" x14ac:dyDescent="0.4">
      <c r="A1357">
        <v>1003306</v>
      </c>
      <c r="B1357" s="1" t="s">
        <v>40</v>
      </c>
      <c r="C1357" s="1" t="s">
        <v>40</v>
      </c>
    </row>
    <row r="1358" spans="1:3" x14ac:dyDescent="0.4">
      <c r="A1358">
        <v>1003307</v>
      </c>
      <c r="B1358" s="1" t="s">
        <v>40</v>
      </c>
      <c r="C1358" s="1" t="s">
        <v>40</v>
      </c>
    </row>
    <row r="1359" spans="1:3" x14ac:dyDescent="0.4">
      <c r="A1359">
        <v>1003308</v>
      </c>
      <c r="B1359" s="1" t="s">
        <v>40</v>
      </c>
      <c r="C1359" s="1" t="s">
        <v>40</v>
      </c>
    </row>
    <row r="1360" spans="1:3" x14ac:dyDescent="0.4">
      <c r="A1360">
        <v>1003309</v>
      </c>
      <c r="B1360" s="1" t="s">
        <v>40</v>
      </c>
      <c r="C1360" s="1" t="s">
        <v>40</v>
      </c>
    </row>
    <row r="1361" spans="1:3" x14ac:dyDescent="0.4">
      <c r="A1361">
        <v>1003310</v>
      </c>
      <c r="B1361" s="1" t="s">
        <v>1037</v>
      </c>
      <c r="C1361" s="1" t="s">
        <v>55</v>
      </c>
    </row>
    <row r="1362" spans="1:3" x14ac:dyDescent="0.4">
      <c r="A1362">
        <v>1003311</v>
      </c>
      <c r="B1362" s="1" t="s">
        <v>1038</v>
      </c>
      <c r="C1362" s="1" t="s">
        <v>56</v>
      </c>
    </row>
    <row r="1363" spans="1:3" x14ac:dyDescent="0.4">
      <c r="A1363">
        <v>1003312</v>
      </c>
      <c r="B1363" s="1" t="s">
        <v>1039</v>
      </c>
      <c r="C1363" s="1" t="s">
        <v>57</v>
      </c>
    </row>
    <row r="1364" spans="1:3" x14ac:dyDescent="0.4">
      <c r="A1364">
        <v>1003313</v>
      </c>
      <c r="B1364" s="1" t="s">
        <v>40</v>
      </c>
      <c r="C1364" s="1" t="s">
        <v>40</v>
      </c>
    </row>
    <row r="1365" spans="1:3" x14ac:dyDescent="0.4">
      <c r="A1365">
        <v>1003314</v>
      </c>
      <c r="B1365" s="1" t="s">
        <v>40</v>
      </c>
      <c r="C1365" s="1" t="s">
        <v>40</v>
      </c>
    </row>
    <row r="1366" spans="1:3" x14ac:dyDescent="0.4">
      <c r="A1366">
        <v>1003315</v>
      </c>
      <c r="B1366" s="1" t="s">
        <v>40</v>
      </c>
      <c r="C1366" s="1" t="s">
        <v>40</v>
      </c>
    </row>
    <row r="1367" spans="1:3" x14ac:dyDescent="0.4">
      <c r="A1367">
        <v>1003316</v>
      </c>
      <c r="B1367" s="1" t="s">
        <v>40</v>
      </c>
      <c r="C1367" s="1" t="s">
        <v>40</v>
      </c>
    </row>
    <row r="1368" spans="1:3" x14ac:dyDescent="0.4">
      <c r="A1368">
        <v>1003317</v>
      </c>
      <c r="B1368" s="1" t="s">
        <v>40</v>
      </c>
      <c r="C1368" s="1" t="s">
        <v>40</v>
      </c>
    </row>
    <row r="1369" spans="1:3" x14ac:dyDescent="0.4">
      <c r="A1369">
        <v>1003318</v>
      </c>
      <c r="B1369" s="1" t="s">
        <v>40</v>
      </c>
      <c r="C1369" s="1" t="s">
        <v>40</v>
      </c>
    </row>
    <row r="1370" spans="1:3" x14ac:dyDescent="0.4">
      <c r="A1370">
        <v>1003319</v>
      </c>
      <c r="B1370" s="1" t="s">
        <v>40</v>
      </c>
      <c r="C1370" s="1" t="s">
        <v>40</v>
      </c>
    </row>
    <row r="1371" spans="1:3" x14ac:dyDescent="0.4">
      <c r="A1371">
        <v>1003320</v>
      </c>
      <c r="B1371" s="1" t="s">
        <v>1037</v>
      </c>
      <c r="C1371" s="1" t="s">
        <v>55</v>
      </c>
    </row>
    <row r="1372" spans="1:3" x14ac:dyDescent="0.4">
      <c r="A1372">
        <v>1003321</v>
      </c>
      <c r="B1372" s="1" t="s">
        <v>1038</v>
      </c>
      <c r="C1372" s="1" t="s">
        <v>56</v>
      </c>
    </row>
    <row r="1373" spans="1:3" x14ac:dyDescent="0.4">
      <c r="A1373">
        <v>1003322</v>
      </c>
      <c r="B1373" s="1" t="s">
        <v>1039</v>
      </c>
      <c r="C1373" s="1" t="s">
        <v>57</v>
      </c>
    </row>
    <row r="1374" spans="1:3" x14ac:dyDescent="0.4">
      <c r="A1374">
        <v>1004000</v>
      </c>
      <c r="B1374" s="1" t="s">
        <v>1028</v>
      </c>
      <c r="C1374" s="1" t="s">
        <v>46</v>
      </c>
    </row>
    <row r="1375" spans="1:3" x14ac:dyDescent="0.4">
      <c r="A1375">
        <v>1004001</v>
      </c>
      <c r="B1375" s="1" t="s">
        <v>1029</v>
      </c>
      <c r="C1375" s="1" t="s">
        <v>47</v>
      </c>
    </row>
    <row r="1376" spans="1:3" x14ac:dyDescent="0.4">
      <c r="A1376">
        <v>1004002</v>
      </c>
      <c r="B1376" s="1" t="s">
        <v>1030</v>
      </c>
      <c r="C1376" s="1" t="s">
        <v>48</v>
      </c>
    </row>
    <row r="1377" spans="1:3" x14ac:dyDescent="0.4">
      <c r="A1377">
        <v>1004003</v>
      </c>
      <c r="B1377" s="1" t="s">
        <v>40</v>
      </c>
      <c r="C1377" s="1" t="s">
        <v>40</v>
      </c>
    </row>
    <row r="1378" spans="1:3" x14ac:dyDescent="0.4">
      <c r="A1378">
        <v>1004004</v>
      </c>
      <c r="B1378" s="1" t="s">
        <v>40</v>
      </c>
      <c r="C1378" s="1" t="s">
        <v>40</v>
      </c>
    </row>
    <row r="1379" spans="1:3" x14ac:dyDescent="0.4">
      <c r="A1379">
        <v>1004005</v>
      </c>
      <c r="B1379" s="1" t="s">
        <v>40</v>
      </c>
      <c r="C1379" s="1" t="s">
        <v>40</v>
      </c>
    </row>
    <row r="1380" spans="1:3" x14ac:dyDescent="0.4">
      <c r="A1380">
        <v>1004006</v>
      </c>
      <c r="B1380" s="1" t="s">
        <v>40</v>
      </c>
      <c r="C1380" s="1" t="s">
        <v>40</v>
      </c>
    </row>
    <row r="1381" spans="1:3" x14ac:dyDescent="0.4">
      <c r="A1381">
        <v>1004007</v>
      </c>
      <c r="B1381" s="1" t="s">
        <v>40</v>
      </c>
      <c r="C1381" s="1" t="s">
        <v>40</v>
      </c>
    </row>
    <row r="1382" spans="1:3" x14ac:dyDescent="0.4">
      <c r="A1382">
        <v>1004008</v>
      </c>
      <c r="B1382" s="1" t="s">
        <v>40</v>
      </c>
      <c r="C1382" s="1" t="s">
        <v>40</v>
      </c>
    </row>
    <row r="1383" spans="1:3" x14ac:dyDescent="0.4">
      <c r="A1383">
        <v>1004009</v>
      </c>
      <c r="B1383" s="1" t="s">
        <v>40</v>
      </c>
      <c r="C1383" s="1" t="s">
        <v>40</v>
      </c>
    </row>
    <row r="1384" spans="1:3" x14ac:dyDescent="0.4">
      <c r="A1384">
        <v>1004010</v>
      </c>
      <c r="B1384" s="1" t="s">
        <v>1028</v>
      </c>
      <c r="C1384" s="1" t="s">
        <v>46</v>
      </c>
    </row>
    <row r="1385" spans="1:3" x14ac:dyDescent="0.4">
      <c r="A1385">
        <v>1004011</v>
      </c>
      <c r="B1385" s="1" t="s">
        <v>1029</v>
      </c>
      <c r="C1385" s="1" t="s">
        <v>47</v>
      </c>
    </row>
    <row r="1386" spans="1:3" x14ac:dyDescent="0.4">
      <c r="A1386">
        <v>1004012</v>
      </c>
      <c r="B1386" s="1" t="s">
        <v>1030</v>
      </c>
      <c r="C1386" s="1" t="s">
        <v>48</v>
      </c>
    </row>
    <row r="1387" spans="1:3" x14ac:dyDescent="0.4">
      <c r="A1387">
        <v>1004013</v>
      </c>
      <c r="B1387" s="1" t="s">
        <v>40</v>
      </c>
      <c r="C1387" s="1" t="s">
        <v>40</v>
      </c>
    </row>
    <row r="1388" spans="1:3" x14ac:dyDescent="0.4">
      <c r="A1388">
        <v>1004014</v>
      </c>
      <c r="B1388" s="1" t="s">
        <v>40</v>
      </c>
      <c r="C1388" s="1" t="s">
        <v>40</v>
      </c>
    </row>
    <row r="1389" spans="1:3" x14ac:dyDescent="0.4">
      <c r="A1389">
        <v>1004015</v>
      </c>
      <c r="B1389" s="1" t="s">
        <v>40</v>
      </c>
      <c r="C1389" s="1" t="s">
        <v>40</v>
      </c>
    </row>
    <row r="1390" spans="1:3" x14ac:dyDescent="0.4">
      <c r="A1390">
        <v>1004016</v>
      </c>
      <c r="B1390" s="1" t="s">
        <v>40</v>
      </c>
      <c r="C1390" s="1" t="s">
        <v>40</v>
      </c>
    </row>
    <row r="1391" spans="1:3" x14ac:dyDescent="0.4">
      <c r="A1391">
        <v>1004017</v>
      </c>
      <c r="B1391" s="1" t="s">
        <v>40</v>
      </c>
      <c r="C1391" s="1" t="s">
        <v>40</v>
      </c>
    </row>
    <row r="1392" spans="1:3" x14ac:dyDescent="0.4">
      <c r="A1392">
        <v>1004018</v>
      </c>
      <c r="B1392" s="1" t="s">
        <v>40</v>
      </c>
      <c r="C1392" s="1" t="s">
        <v>40</v>
      </c>
    </row>
    <row r="1393" spans="1:3" x14ac:dyDescent="0.4">
      <c r="A1393">
        <v>1004019</v>
      </c>
      <c r="B1393" s="1" t="s">
        <v>40</v>
      </c>
      <c r="C1393" s="1" t="s">
        <v>40</v>
      </c>
    </row>
    <row r="1394" spans="1:3" x14ac:dyDescent="0.4">
      <c r="A1394">
        <v>1004020</v>
      </c>
      <c r="B1394" s="1" t="s">
        <v>1028</v>
      </c>
      <c r="C1394" s="1" t="s">
        <v>46</v>
      </c>
    </row>
    <row r="1395" spans="1:3" x14ac:dyDescent="0.4">
      <c r="A1395">
        <v>1004021</v>
      </c>
      <c r="B1395" s="1" t="s">
        <v>1029</v>
      </c>
      <c r="C1395" s="1" t="s">
        <v>47</v>
      </c>
    </row>
    <row r="1396" spans="1:3" x14ac:dyDescent="0.4">
      <c r="A1396">
        <v>1004022</v>
      </c>
      <c r="B1396" s="1" t="s">
        <v>1030</v>
      </c>
      <c r="C1396" s="1" t="s">
        <v>48</v>
      </c>
    </row>
    <row r="1397" spans="1:3" x14ac:dyDescent="0.4">
      <c r="A1397">
        <v>1004100</v>
      </c>
      <c r="B1397" s="1" t="s">
        <v>1031</v>
      </c>
      <c r="C1397" s="1" t="s">
        <v>49</v>
      </c>
    </row>
    <row r="1398" spans="1:3" x14ac:dyDescent="0.4">
      <c r="A1398">
        <v>1004101</v>
      </c>
      <c r="B1398" s="1" t="s">
        <v>1032</v>
      </c>
      <c r="C1398" s="1" t="s">
        <v>50</v>
      </c>
    </row>
    <row r="1399" spans="1:3" x14ac:dyDescent="0.4">
      <c r="A1399">
        <v>1004102</v>
      </c>
      <c r="B1399" s="1" t="s">
        <v>1033</v>
      </c>
      <c r="C1399" s="1" t="s">
        <v>51</v>
      </c>
    </row>
    <row r="1400" spans="1:3" x14ac:dyDescent="0.4">
      <c r="A1400">
        <v>1004103</v>
      </c>
      <c r="B1400" s="1" t="s">
        <v>40</v>
      </c>
      <c r="C1400" s="1" t="s">
        <v>40</v>
      </c>
    </row>
    <row r="1401" spans="1:3" x14ac:dyDescent="0.4">
      <c r="A1401">
        <v>1004104</v>
      </c>
      <c r="B1401" s="1" t="s">
        <v>40</v>
      </c>
      <c r="C1401" s="1" t="s">
        <v>40</v>
      </c>
    </row>
    <row r="1402" spans="1:3" x14ac:dyDescent="0.4">
      <c r="A1402">
        <v>1004105</v>
      </c>
      <c r="B1402" s="1" t="s">
        <v>40</v>
      </c>
      <c r="C1402" s="1" t="s">
        <v>40</v>
      </c>
    </row>
    <row r="1403" spans="1:3" x14ac:dyDescent="0.4">
      <c r="A1403">
        <v>1004106</v>
      </c>
      <c r="B1403" s="1" t="s">
        <v>40</v>
      </c>
      <c r="C1403" s="1" t="s">
        <v>40</v>
      </c>
    </row>
    <row r="1404" spans="1:3" x14ac:dyDescent="0.4">
      <c r="A1404">
        <v>1004107</v>
      </c>
      <c r="B1404" s="1" t="s">
        <v>40</v>
      </c>
      <c r="C1404" s="1" t="s">
        <v>40</v>
      </c>
    </row>
    <row r="1405" spans="1:3" x14ac:dyDescent="0.4">
      <c r="A1405">
        <v>1004108</v>
      </c>
      <c r="B1405" s="1" t="s">
        <v>40</v>
      </c>
      <c r="C1405" s="1" t="s">
        <v>40</v>
      </c>
    </row>
    <row r="1406" spans="1:3" x14ac:dyDescent="0.4">
      <c r="A1406">
        <v>1004109</v>
      </c>
      <c r="B1406" s="1" t="s">
        <v>40</v>
      </c>
      <c r="C1406" s="1" t="s">
        <v>40</v>
      </c>
    </row>
    <row r="1407" spans="1:3" x14ac:dyDescent="0.4">
      <c r="A1407">
        <v>1004110</v>
      </c>
      <c r="B1407" s="1" t="s">
        <v>1031</v>
      </c>
      <c r="C1407" s="1" t="s">
        <v>49</v>
      </c>
    </row>
    <row r="1408" spans="1:3" x14ac:dyDescent="0.4">
      <c r="A1408">
        <v>1004111</v>
      </c>
      <c r="B1408" s="1" t="s">
        <v>1032</v>
      </c>
      <c r="C1408" s="1" t="s">
        <v>50</v>
      </c>
    </row>
    <row r="1409" spans="1:3" x14ac:dyDescent="0.4">
      <c r="A1409">
        <v>1004112</v>
      </c>
      <c r="B1409" s="1" t="s">
        <v>1033</v>
      </c>
      <c r="C1409" s="1" t="s">
        <v>51</v>
      </c>
    </row>
    <row r="1410" spans="1:3" x14ac:dyDescent="0.4">
      <c r="A1410">
        <v>1004113</v>
      </c>
      <c r="B1410" s="1" t="s">
        <v>40</v>
      </c>
      <c r="C1410" s="1" t="s">
        <v>40</v>
      </c>
    </row>
    <row r="1411" spans="1:3" x14ac:dyDescent="0.4">
      <c r="A1411">
        <v>1004114</v>
      </c>
      <c r="B1411" s="1" t="s">
        <v>40</v>
      </c>
      <c r="C1411" s="1" t="s">
        <v>40</v>
      </c>
    </row>
    <row r="1412" spans="1:3" x14ac:dyDescent="0.4">
      <c r="A1412">
        <v>1004115</v>
      </c>
      <c r="B1412" s="1" t="s">
        <v>40</v>
      </c>
      <c r="C1412" s="1" t="s">
        <v>40</v>
      </c>
    </row>
    <row r="1413" spans="1:3" x14ac:dyDescent="0.4">
      <c r="A1413">
        <v>1004116</v>
      </c>
      <c r="B1413" s="1" t="s">
        <v>40</v>
      </c>
      <c r="C1413" s="1" t="s">
        <v>40</v>
      </c>
    </row>
    <row r="1414" spans="1:3" x14ac:dyDescent="0.4">
      <c r="A1414">
        <v>1004117</v>
      </c>
      <c r="B1414" s="1" t="s">
        <v>40</v>
      </c>
      <c r="C1414" s="1" t="s">
        <v>40</v>
      </c>
    </row>
    <row r="1415" spans="1:3" x14ac:dyDescent="0.4">
      <c r="A1415">
        <v>1004118</v>
      </c>
      <c r="B1415" s="1" t="s">
        <v>40</v>
      </c>
      <c r="C1415" s="1" t="s">
        <v>40</v>
      </c>
    </row>
    <row r="1416" spans="1:3" x14ac:dyDescent="0.4">
      <c r="A1416">
        <v>1004119</v>
      </c>
      <c r="B1416" s="1" t="s">
        <v>40</v>
      </c>
      <c r="C1416" s="1" t="s">
        <v>40</v>
      </c>
    </row>
    <row r="1417" spans="1:3" x14ac:dyDescent="0.4">
      <c r="A1417">
        <v>1004120</v>
      </c>
      <c r="B1417" s="1" t="s">
        <v>1031</v>
      </c>
      <c r="C1417" s="1" t="s">
        <v>49</v>
      </c>
    </row>
    <row r="1418" spans="1:3" x14ac:dyDescent="0.4">
      <c r="A1418">
        <v>1004121</v>
      </c>
      <c r="B1418" s="1" t="s">
        <v>1032</v>
      </c>
      <c r="C1418" s="1" t="s">
        <v>50</v>
      </c>
    </row>
    <row r="1419" spans="1:3" x14ac:dyDescent="0.4">
      <c r="A1419">
        <v>1004122</v>
      </c>
      <c r="B1419" s="1" t="s">
        <v>1033</v>
      </c>
      <c r="C1419" s="1" t="s">
        <v>51</v>
      </c>
    </row>
    <row r="1420" spans="1:3" x14ac:dyDescent="0.4">
      <c r="A1420">
        <v>1004200</v>
      </c>
      <c r="B1420" s="1" t="s">
        <v>1034</v>
      </c>
      <c r="C1420" s="1" t="s">
        <v>52</v>
      </c>
    </row>
    <row r="1421" spans="1:3" x14ac:dyDescent="0.4">
      <c r="A1421">
        <v>1004201</v>
      </c>
      <c r="B1421" s="1" t="s">
        <v>1035</v>
      </c>
      <c r="C1421" s="1" t="s">
        <v>53</v>
      </c>
    </row>
    <row r="1422" spans="1:3" x14ac:dyDescent="0.4">
      <c r="A1422">
        <v>1004202</v>
      </c>
      <c r="B1422" s="1" t="s">
        <v>1036</v>
      </c>
      <c r="C1422" s="1" t="s">
        <v>54</v>
      </c>
    </row>
    <row r="1423" spans="1:3" x14ac:dyDescent="0.4">
      <c r="A1423">
        <v>1004203</v>
      </c>
      <c r="B1423" s="1" t="s">
        <v>40</v>
      </c>
      <c r="C1423" s="1" t="s">
        <v>40</v>
      </c>
    </row>
    <row r="1424" spans="1:3" x14ac:dyDescent="0.4">
      <c r="A1424">
        <v>1004204</v>
      </c>
      <c r="B1424" s="1" t="s">
        <v>40</v>
      </c>
      <c r="C1424" s="1" t="s">
        <v>40</v>
      </c>
    </row>
    <row r="1425" spans="1:3" x14ac:dyDescent="0.4">
      <c r="A1425">
        <v>1004205</v>
      </c>
      <c r="B1425" s="1" t="s">
        <v>40</v>
      </c>
      <c r="C1425" s="1" t="s">
        <v>40</v>
      </c>
    </row>
    <row r="1426" spans="1:3" x14ac:dyDescent="0.4">
      <c r="A1426">
        <v>1004206</v>
      </c>
      <c r="B1426" s="1" t="s">
        <v>40</v>
      </c>
      <c r="C1426" s="1" t="s">
        <v>40</v>
      </c>
    </row>
    <row r="1427" spans="1:3" x14ac:dyDescent="0.4">
      <c r="A1427">
        <v>1004207</v>
      </c>
      <c r="B1427" s="1" t="s">
        <v>40</v>
      </c>
      <c r="C1427" s="1" t="s">
        <v>40</v>
      </c>
    </row>
    <row r="1428" spans="1:3" x14ac:dyDescent="0.4">
      <c r="A1428">
        <v>1004208</v>
      </c>
      <c r="B1428" s="1" t="s">
        <v>40</v>
      </c>
      <c r="C1428" s="1" t="s">
        <v>40</v>
      </c>
    </row>
    <row r="1429" spans="1:3" x14ac:dyDescent="0.4">
      <c r="A1429">
        <v>1004209</v>
      </c>
      <c r="B1429" s="1" t="s">
        <v>40</v>
      </c>
      <c r="C1429" s="1" t="s">
        <v>40</v>
      </c>
    </row>
    <row r="1430" spans="1:3" x14ac:dyDescent="0.4">
      <c r="A1430">
        <v>1004210</v>
      </c>
      <c r="B1430" s="1" t="s">
        <v>1034</v>
      </c>
      <c r="C1430" s="1" t="s">
        <v>52</v>
      </c>
    </row>
    <row r="1431" spans="1:3" x14ac:dyDescent="0.4">
      <c r="A1431">
        <v>1004211</v>
      </c>
      <c r="B1431" s="1" t="s">
        <v>1035</v>
      </c>
      <c r="C1431" s="1" t="s">
        <v>53</v>
      </c>
    </row>
    <row r="1432" spans="1:3" x14ac:dyDescent="0.4">
      <c r="A1432">
        <v>1004212</v>
      </c>
      <c r="B1432" s="1" t="s">
        <v>1036</v>
      </c>
      <c r="C1432" s="1" t="s">
        <v>54</v>
      </c>
    </row>
    <row r="1433" spans="1:3" x14ac:dyDescent="0.4">
      <c r="A1433">
        <v>1004213</v>
      </c>
      <c r="B1433" s="1" t="s">
        <v>40</v>
      </c>
      <c r="C1433" s="1" t="s">
        <v>40</v>
      </c>
    </row>
    <row r="1434" spans="1:3" x14ac:dyDescent="0.4">
      <c r="A1434">
        <v>1004214</v>
      </c>
      <c r="B1434" s="1" t="s">
        <v>40</v>
      </c>
      <c r="C1434" s="1" t="s">
        <v>40</v>
      </c>
    </row>
    <row r="1435" spans="1:3" x14ac:dyDescent="0.4">
      <c r="A1435">
        <v>1004215</v>
      </c>
      <c r="B1435" s="1" t="s">
        <v>40</v>
      </c>
      <c r="C1435" s="1" t="s">
        <v>40</v>
      </c>
    </row>
    <row r="1436" spans="1:3" x14ac:dyDescent="0.4">
      <c r="A1436">
        <v>1004216</v>
      </c>
      <c r="B1436" s="1" t="s">
        <v>40</v>
      </c>
      <c r="C1436" s="1" t="s">
        <v>40</v>
      </c>
    </row>
    <row r="1437" spans="1:3" x14ac:dyDescent="0.4">
      <c r="A1437">
        <v>1004217</v>
      </c>
      <c r="B1437" s="1" t="s">
        <v>40</v>
      </c>
      <c r="C1437" s="1" t="s">
        <v>40</v>
      </c>
    </row>
    <row r="1438" spans="1:3" x14ac:dyDescent="0.4">
      <c r="A1438">
        <v>1004218</v>
      </c>
      <c r="B1438" s="1" t="s">
        <v>40</v>
      </c>
      <c r="C1438" s="1" t="s">
        <v>40</v>
      </c>
    </row>
    <row r="1439" spans="1:3" x14ac:dyDescent="0.4">
      <c r="A1439">
        <v>1004219</v>
      </c>
      <c r="B1439" s="1" t="s">
        <v>40</v>
      </c>
      <c r="C1439" s="1" t="s">
        <v>40</v>
      </c>
    </row>
    <row r="1440" spans="1:3" x14ac:dyDescent="0.4">
      <c r="A1440">
        <v>1004220</v>
      </c>
      <c r="B1440" s="1" t="s">
        <v>1034</v>
      </c>
      <c r="C1440" s="1" t="s">
        <v>52</v>
      </c>
    </row>
    <row r="1441" spans="1:3" x14ac:dyDescent="0.4">
      <c r="A1441">
        <v>1004221</v>
      </c>
      <c r="B1441" s="1" t="s">
        <v>1035</v>
      </c>
      <c r="C1441" s="1" t="s">
        <v>53</v>
      </c>
    </row>
    <row r="1442" spans="1:3" x14ac:dyDescent="0.4">
      <c r="A1442">
        <v>1004222</v>
      </c>
      <c r="B1442" s="1" t="s">
        <v>1036</v>
      </c>
      <c r="C1442" s="1" t="s">
        <v>54</v>
      </c>
    </row>
    <row r="1443" spans="1:3" x14ac:dyDescent="0.4">
      <c r="A1443">
        <v>1004300</v>
      </c>
      <c r="B1443" s="1" t="s">
        <v>1037</v>
      </c>
      <c r="C1443" s="1" t="s">
        <v>55</v>
      </c>
    </row>
    <row r="1444" spans="1:3" x14ac:dyDescent="0.4">
      <c r="A1444">
        <v>1004301</v>
      </c>
      <c r="B1444" s="1" t="s">
        <v>1038</v>
      </c>
      <c r="C1444" s="1" t="s">
        <v>56</v>
      </c>
    </row>
    <row r="1445" spans="1:3" x14ac:dyDescent="0.4">
      <c r="A1445">
        <v>1004302</v>
      </c>
      <c r="B1445" s="1" t="s">
        <v>1039</v>
      </c>
      <c r="C1445" s="1" t="s">
        <v>57</v>
      </c>
    </row>
    <row r="1446" spans="1:3" x14ac:dyDescent="0.4">
      <c r="A1446">
        <v>1004303</v>
      </c>
      <c r="B1446" s="1" t="s">
        <v>40</v>
      </c>
      <c r="C1446" s="1" t="s">
        <v>40</v>
      </c>
    </row>
    <row r="1447" spans="1:3" x14ac:dyDescent="0.4">
      <c r="A1447">
        <v>1004304</v>
      </c>
      <c r="B1447" s="1" t="s">
        <v>40</v>
      </c>
      <c r="C1447" s="1" t="s">
        <v>40</v>
      </c>
    </row>
    <row r="1448" spans="1:3" x14ac:dyDescent="0.4">
      <c r="A1448">
        <v>1004305</v>
      </c>
      <c r="B1448" s="1" t="s">
        <v>40</v>
      </c>
      <c r="C1448" s="1" t="s">
        <v>40</v>
      </c>
    </row>
    <row r="1449" spans="1:3" x14ac:dyDescent="0.4">
      <c r="A1449">
        <v>1004306</v>
      </c>
      <c r="B1449" s="1" t="s">
        <v>40</v>
      </c>
      <c r="C1449" s="1" t="s">
        <v>40</v>
      </c>
    </row>
    <row r="1450" spans="1:3" x14ac:dyDescent="0.4">
      <c r="A1450">
        <v>1004307</v>
      </c>
      <c r="B1450" s="1" t="s">
        <v>40</v>
      </c>
      <c r="C1450" s="1" t="s">
        <v>40</v>
      </c>
    </row>
    <row r="1451" spans="1:3" x14ac:dyDescent="0.4">
      <c r="A1451">
        <v>1004308</v>
      </c>
      <c r="B1451" s="1" t="s">
        <v>40</v>
      </c>
      <c r="C1451" s="1" t="s">
        <v>40</v>
      </c>
    </row>
    <row r="1452" spans="1:3" x14ac:dyDescent="0.4">
      <c r="A1452">
        <v>1004309</v>
      </c>
      <c r="B1452" s="1" t="s">
        <v>40</v>
      </c>
      <c r="C1452" s="1" t="s">
        <v>40</v>
      </c>
    </row>
    <row r="1453" spans="1:3" x14ac:dyDescent="0.4">
      <c r="A1453">
        <v>1004310</v>
      </c>
      <c r="B1453" s="1" t="s">
        <v>1037</v>
      </c>
      <c r="C1453" s="1" t="s">
        <v>55</v>
      </c>
    </row>
    <row r="1454" spans="1:3" x14ac:dyDescent="0.4">
      <c r="A1454">
        <v>1004311</v>
      </c>
      <c r="B1454" s="1" t="s">
        <v>1038</v>
      </c>
      <c r="C1454" s="1" t="s">
        <v>56</v>
      </c>
    </row>
    <row r="1455" spans="1:3" x14ac:dyDescent="0.4">
      <c r="A1455">
        <v>1004312</v>
      </c>
      <c r="B1455" s="1" t="s">
        <v>1039</v>
      </c>
      <c r="C1455" s="1" t="s">
        <v>57</v>
      </c>
    </row>
    <row r="1456" spans="1:3" x14ac:dyDescent="0.4">
      <c r="A1456">
        <v>1004313</v>
      </c>
      <c r="B1456" s="1" t="s">
        <v>40</v>
      </c>
      <c r="C1456" s="1" t="s">
        <v>40</v>
      </c>
    </row>
    <row r="1457" spans="1:3" x14ac:dyDescent="0.4">
      <c r="A1457">
        <v>1004314</v>
      </c>
      <c r="B1457" s="1" t="s">
        <v>40</v>
      </c>
      <c r="C1457" s="1" t="s">
        <v>40</v>
      </c>
    </row>
    <row r="1458" spans="1:3" x14ac:dyDescent="0.4">
      <c r="A1458">
        <v>1004315</v>
      </c>
      <c r="B1458" s="1" t="s">
        <v>40</v>
      </c>
      <c r="C1458" s="1" t="s">
        <v>40</v>
      </c>
    </row>
    <row r="1459" spans="1:3" x14ac:dyDescent="0.4">
      <c r="A1459">
        <v>1004316</v>
      </c>
      <c r="B1459" s="1" t="s">
        <v>40</v>
      </c>
      <c r="C1459" s="1" t="s">
        <v>40</v>
      </c>
    </row>
    <row r="1460" spans="1:3" x14ac:dyDescent="0.4">
      <c r="A1460">
        <v>1004317</v>
      </c>
      <c r="B1460" s="1" t="s">
        <v>40</v>
      </c>
      <c r="C1460" s="1" t="s">
        <v>40</v>
      </c>
    </row>
    <row r="1461" spans="1:3" x14ac:dyDescent="0.4">
      <c r="A1461">
        <v>1004318</v>
      </c>
      <c r="B1461" s="1" t="s">
        <v>40</v>
      </c>
      <c r="C1461" s="1" t="s">
        <v>40</v>
      </c>
    </row>
    <row r="1462" spans="1:3" x14ac:dyDescent="0.4">
      <c r="A1462">
        <v>1004319</v>
      </c>
      <c r="B1462" s="1" t="s">
        <v>40</v>
      </c>
      <c r="C1462" s="1" t="s">
        <v>40</v>
      </c>
    </row>
    <row r="1463" spans="1:3" x14ac:dyDescent="0.4">
      <c r="A1463">
        <v>1004320</v>
      </c>
      <c r="B1463" s="1" t="s">
        <v>1037</v>
      </c>
      <c r="C1463" s="1" t="s">
        <v>55</v>
      </c>
    </row>
    <row r="1464" spans="1:3" x14ac:dyDescent="0.4">
      <c r="A1464">
        <v>1004321</v>
      </c>
      <c r="B1464" s="1" t="s">
        <v>1038</v>
      </c>
      <c r="C1464" s="1" t="s">
        <v>56</v>
      </c>
    </row>
    <row r="1465" spans="1:3" x14ac:dyDescent="0.4">
      <c r="A1465">
        <v>1004322</v>
      </c>
      <c r="B1465" s="1" t="s">
        <v>1039</v>
      </c>
      <c r="C1465" s="1" t="s">
        <v>57</v>
      </c>
    </row>
    <row r="1466" spans="1:3" x14ac:dyDescent="0.4">
      <c r="A1466">
        <v>1005000</v>
      </c>
      <c r="B1466" s="1" t="s">
        <v>1028</v>
      </c>
      <c r="C1466" s="1" t="s">
        <v>46</v>
      </c>
    </row>
    <row r="1467" spans="1:3" x14ac:dyDescent="0.4">
      <c r="A1467">
        <v>1005001</v>
      </c>
      <c r="B1467" s="1" t="s">
        <v>1029</v>
      </c>
      <c r="C1467" s="1" t="s">
        <v>47</v>
      </c>
    </row>
    <row r="1468" spans="1:3" x14ac:dyDescent="0.4">
      <c r="A1468">
        <v>1005002</v>
      </c>
      <c r="B1468" s="1" t="s">
        <v>1030</v>
      </c>
      <c r="C1468" s="1" t="s">
        <v>48</v>
      </c>
    </row>
    <row r="1469" spans="1:3" x14ac:dyDescent="0.4">
      <c r="A1469">
        <v>1005003</v>
      </c>
      <c r="B1469" s="1" t="s">
        <v>40</v>
      </c>
      <c r="C1469" s="1" t="s">
        <v>40</v>
      </c>
    </row>
    <row r="1470" spans="1:3" x14ac:dyDescent="0.4">
      <c r="A1470">
        <v>1005004</v>
      </c>
      <c r="B1470" s="1" t="s">
        <v>40</v>
      </c>
      <c r="C1470" s="1" t="s">
        <v>40</v>
      </c>
    </row>
    <row r="1471" spans="1:3" x14ac:dyDescent="0.4">
      <c r="A1471">
        <v>1005005</v>
      </c>
      <c r="B1471" s="1" t="s">
        <v>40</v>
      </c>
      <c r="C1471" s="1" t="s">
        <v>40</v>
      </c>
    </row>
    <row r="1472" spans="1:3" x14ac:dyDescent="0.4">
      <c r="A1472">
        <v>1005006</v>
      </c>
      <c r="B1472" s="1" t="s">
        <v>40</v>
      </c>
      <c r="C1472" s="1" t="s">
        <v>40</v>
      </c>
    </row>
    <row r="1473" spans="1:3" x14ac:dyDescent="0.4">
      <c r="A1473">
        <v>1005007</v>
      </c>
      <c r="B1473" s="1" t="s">
        <v>40</v>
      </c>
      <c r="C1473" s="1" t="s">
        <v>40</v>
      </c>
    </row>
    <row r="1474" spans="1:3" x14ac:dyDescent="0.4">
      <c r="A1474">
        <v>1005008</v>
      </c>
      <c r="B1474" s="1" t="s">
        <v>40</v>
      </c>
      <c r="C1474" s="1" t="s">
        <v>40</v>
      </c>
    </row>
    <row r="1475" spans="1:3" x14ac:dyDescent="0.4">
      <c r="A1475">
        <v>1005009</v>
      </c>
      <c r="B1475" s="1" t="s">
        <v>40</v>
      </c>
      <c r="C1475" s="1" t="s">
        <v>40</v>
      </c>
    </row>
    <row r="1476" spans="1:3" x14ac:dyDescent="0.4">
      <c r="A1476">
        <v>1005010</v>
      </c>
      <c r="B1476" s="1" t="s">
        <v>1028</v>
      </c>
      <c r="C1476" s="1" t="s">
        <v>46</v>
      </c>
    </row>
    <row r="1477" spans="1:3" x14ac:dyDescent="0.4">
      <c r="A1477">
        <v>1005011</v>
      </c>
      <c r="B1477" s="1" t="s">
        <v>1029</v>
      </c>
      <c r="C1477" s="1" t="s">
        <v>47</v>
      </c>
    </row>
    <row r="1478" spans="1:3" x14ac:dyDescent="0.4">
      <c r="A1478">
        <v>1005012</v>
      </c>
      <c r="B1478" s="1" t="s">
        <v>1030</v>
      </c>
      <c r="C1478" s="1" t="s">
        <v>48</v>
      </c>
    </row>
    <row r="1479" spans="1:3" x14ac:dyDescent="0.4">
      <c r="A1479">
        <v>1005013</v>
      </c>
      <c r="B1479" s="1" t="s">
        <v>40</v>
      </c>
      <c r="C1479" s="1" t="s">
        <v>40</v>
      </c>
    </row>
    <row r="1480" spans="1:3" x14ac:dyDescent="0.4">
      <c r="A1480">
        <v>1005014</v>
      </c>
      <c r="B1480" s="1" t="s">
        <v>40</v>
      </c>
      <c r="C1480" s="1" t="s">
        <v>40</v>
      </c>
    </row>
    <row r="1481" spans="1:3" x14ac:dyDescent="0.4">
      <c r="A1481">
        <v>1005015</v>
      </c>
      <c r="B1481" s="1" t="s">
        <v>40</v>
      </c>
      <c r="C1481" s="1" t="s">
        <v>40</v>
      </c>
    </row>
    <row r="1482" spans="1:3" x14ac:dyDescent="0.4">
      <c r="A1482">
        <v>1005016</v>
      </c>
      <c r="B1482" s="1" t="s">
        <v>40</v>
      </c>
      <c r="C1482" s="1" t="s">
        <v>40</v>
      </c>
    </row>
    <row r="1483" spans="1:3" x14ac:dyDescent="0.4">
      <c r="A1483">
        <v>1005017</v>
      </c>
      <c r="B1483" s="1" t="s">
        <v>40</v>
      </c>
      <c r="C1483" s="1" t="s">
        <v>40</v>
      </c>
    </row>
    <row r="1484" spans="1:3" x14ac:dyDescent="0.4">
      <c r="A1484">
        <v>1005018</v>
      </c>
      <c r="B1484" s="1" t="s">
        <v>40</v>
      </c>
      <c r="C1484" s="1" t="s">
        <v>40</v>
      </c>
    </row>
    <row r="1485" spans="1:3" x14ac:dyDescent="0.4">
      <c r="A1485">
        <v>1005019</v>
      </c>
      <c r="B1485" s="1" t="s">
        <v>40</v>
      </c>
      <c r="C1485" s="1" t="s">
        <v>40</v>
      </c>
    </row>
    <row r="1486" spans="1:3" x14ac:dyDescent="0.4">
      <c r="A1486">
        <v>1005020</v>
      </c>
      <c r="B1486" s="1" t="s">
        <v>1028</v>
      </c>
      <c r="C1486" s="1" t="s">
        <v>46</v>
      </c>
    </row>
    <row r="1487" spans="1:3" x14ac:dyDescent="0.4">
      <c r="A1487">
        <v>1005021</v>
      </c>
      <c r="B1487" s="1" t="s">
        <v>1029</v>
      </c>
      <c r="C1487" s="1" t="s">
        <v>47</v>
      </c>
    </row>
    <row r="1488" spans="1:3" x14ac:dyDescent="0.4">
      <c r="A1488">
        <v>1005022</v>
      </c>
      <c r="B1488" s="1" t="s">
        <v>1030</v>
      </c>
      <c r="C1488" s="1" t="s">
        <v>48</v>
      </c>
    </row>
    <row r="1489" spans="1:3" x14ac:dyDescent="0.4">
      <c r="A1489">
        <v>1005100</v>
      </c>
      <c r="B1489" s="1" t="s">
        <v>1031</v>
      </c>
      <c r="C1489" s="1" t="s">
        <v>49</v>
      </c>
    </row>
    <row r="1490" spans="1:3" x14ac:dyDescent="0.4">
      <c r="A1490">
        <v>1005101</v>
      </c>
      <c r="B1490" s="1" t="s">
        <v>1032</v>
      </c>
      <c r="C1490" s="1" t="s">
        <v>50</v>
      </c>
    </row>
    <row r="1491" spans="1:3" x14ac:dyDescent="0.4">
      <c r="A1491">
        <v>1005102</v>
      </c>
      <c r="B1491" s="1" t="s">
        <v>1033</v>
      </c>
      <c r="C1491" s="1" t="s">
        <v>51</v>
      </c>
    </row>
    <row r="1492" spans="1:3" x14ac:dyDescent="0.4">
      <c r="A1492">
        <v>1005103</v>
      </c>
      <c r="B1492" s="1" t="s">
        <v>40</v>
      </c>
      <c r="C1492" s="1" t="s">
        <v>40</v>
      </c>
    </row>
    <row r="1493" spans="1:3" x14ac:dyDescent="0.4">
      <c r="A1493">
        <v>1005104</v>
      </c>
      <c r="B1493" s="1" t="s">
        <v>40</v>
      </c>
      <c r="C1493" s="1" t="s">
        <v>40</v>
      </c>
    </row>
    <row r="1494" spans="1:3" x14ac:dyDescent="0.4">
      <c r="A1494">
        <v>1005105</v>
      </c>
      <c r="B1494" s="1" t="s">
        <v>40</v>
      </c>
      <c r="C1494" s="1" t="s">
        <v>40</v>
      </c>
    </row>
    <row r="1495" spans="1:3" x14ac:dyDescent="0.4">
      <c r="A1495">
        <v>1005106</v>
      </c>
      <c r="B1495" s="1" t="s">
        <v>40</v>
      </c>
      <c r="C1495" s="1" t="s">
        <v>40</v>
      </c>
    </row>
    <row r="1496" spans="1:3" x14ac:dyDescent="0.4">
      <c r="A1496">
        <v>1005107</v>
      </c>
      <c r="B1496" s="1" t="s">
        <v>40</v>
      </c>
      <c r="C1496" s="1" t="s">
        <v>40</v>
      </c>
    </row>
    <row r="1497" spans="1:3" x14ac:dyDescent="0.4">
      <c r="A1497">
        <v>1005108</v>
      </c>
      <c r="B1497" s="1" t="s">
        <v>40</v>
      </c>
      <c r="C1497" s="1" t="s">
        <v>40</v>
      </c>
    </row>
    <row r="1498" spans="1:3" x14ac:dyDescent="0.4">
      <c r="A1498">
        <v>1005109</v>
      </c>
      <c r="B1498" s="1" t="s">
        <v>40</v>
      </c>
      <c r="C1498" s="1" t="s">
        <v>40</v>
      </c>
    </row>
    <row r="1499" spans="1:3" x14ac:dyDescent="0.4">
      <c r="A1499">
        <v>1005110</v>
      </c>
      <c r="B1499" s="1" t="s">
        <v>1031</v>
      </c>
      <c r="C1499" s="1" t="s">
        <v>49</v>
      </c>
    </row>
    <row r="1500" spans="1:3" x14ac:dyDescent="0.4">
      <c r="A1500">
        <v>1005111</v>
      </c>
      <c r="B1500" s="1" t="s">
        <v>1032</v>
      </c>
      <c r="C1500" s="1" t="s">
        <v>50</v>
      </c>
    </row>
    <row r="1501" spans="1:3" x14ac:dyDescent="0.4">
      <c r="A1501">
        <v>1005112</v>
      </c>
      <c r="B1501" s="1" t="s">
        <v>1033</v>
      </c>
      <c r="C1501" s="1" t="s">
        <v>51</v>
      </c>
    </row>
    <row r="1502" spans="1:3" x14ac:dyDescent="0.4">
      <c r="A1502">
        <v>1005113</v>
      </c>
      <c r="B1502" s="1" t="s">
        <v>40</v>
      </c>
      <c r="C1502" s="1" t="s">
        <v>40</v>
      </c>
    </row>
    <row r="1503" spans="1:3" x14ac:dyDescent="0.4">
      <c r="A1503">
        <v>1005114</v>
      </c>
      <c r="B1503" s="1" t="s">
        <v>40</v>
      </c>
      <c r="C1503" s="1" t="s">
        <v>40</v>
      </c>
    </row>
    <row r="1504" spans="1:3" x14ac:dyDescent="0.4">
      <c r="A1504">
        <v>1005115</v>
      </c>
      <c r="B1504" s="1" t="s">
        <v>40</v>
      </c>
      <c r="C1504" s="1" t="s">
        <v>40</v>
      </c>
    </row>
    <row r="1505" spans="1:3" x14ac:dyDescent="0.4">
      <c r="A1505">
        <v>1005116</v>
      </c>
      <c r="B1505" s="1" t="s">
        <v>40</v>
      </c>
      <c r="C1505" s="1" t="s">
        <v>40</v>
      </c>
    </row>
    <row r="1506" spans="1:3" x14ac:dyDescent="0.4">
      <c r="A1506">
        <v>1005117</v>
      </c>
      <c r="B1506" s="1" t="s">
        <v>40</v>
      </c>
      <c r="C1506" s="1" t="s">
        <v>40</v>
      </c>
    </row>
    <row r="1507" spans="1:3" x14ac:dyDescent="0.4">
      <c r="A1507">
        <v>1005118</v>
      </c>
      <c r="B1507" s="1" t="s">
        <v>40</v>
      </c>
      <c r="C1507" s="1" t="s">
        <v>40</v>
      </c>
    </row>
    <row r="1508" spans="1:3" x14ac:dyDescent="0.4">
      <c r="A1508">
        <v>1005119</v>
      </c>
      <c r="B1508" s="1" t="s">
        <v>40</v>
      </c>
      <c r="C1508" s="1" t="s">
        <v>40</v>
      </c>
    </row>
    <row r="1509" spans="1:3" x14ac:dyDescent="0.4">
      <c r="A1509">
        <v>1005120</v>
      </c>
      <c r="B1509" s="1" t="s">
        <v>1031</v>
      </c>
      <c r="C1509" s="1" t="s">
        <v>49</v>
      </c>
    </row>
    <row r="1510" spans="1:3" x14ac:dyDescent="0.4">
      <c r="A1510">
        <v>1005121</v>
      </c>
      <c r="B1510" s="1" t="s">
        <v>1032</v>
      </c>
      <c r="C1510" s="1" t="s">
        <v>50</v>
      </c>
    </row>
    <row r="1511" spans="1:3" x14ac:dyDescent="0.4">
      <c r="A1511">
        <v>1005122</v>
      </c>
      <c r="B1511" s="1" t="s">
        <v>1033</v>
      </c>
      <c r="C1511" s="1" t="s">
        <v>51</v>
      </c>
    </row>
    <row r="1512" spans="1:3" x14ac:dyDescent="0.4">
      <c r="A1512">
        <v>1005200</v>
      </c>
      <c r="B1512" s="1" t="s">
        <v>1034</v>
      </c>
      <c r="C1512" s="1" t="s">
        <v>52</v>
      </c>
    </row>
    <row r="1513" spans="1:3" x14ac:dyDescent="0.4">
      <c r="A1513">
        <v>1005201</v>
      </c>
      <c r="B1513" s="1" t="s">
        <v>1035</v>
      </c>
      <c r="C1513" s="1" t="s">
        <v>53</v>
      </c>
    </row>
    <row r="1514" spans="1:3" x14ac:dyDescent="0.4">
      <c r="A1514">
        <v>1005202</v>
      </c>
      <c r="B1514" s="1" t="s">
        <v>1036</v>
      </c>
      <c r="C1514" s="1" t="s">
        <v>54</v>
      </c>
    </row>
    <row r="1515" spans="1:3" x14ac:dyDescent="0.4">
      <c r="A1515">
        <v>1005203</v>
      </c>
      <c r="B1515" s="1" t="s">
        <v>40</v>
      </c>
      <c r="C1515" s="1" t="s">
        <v>40</v>
      </c>
    </row>
    <row r="1516" spans="1:3" x14ac:dyDescent="0.4">
      <c r="A1516">
        <v>1005204</v>
      </c>
      <c r="B1516" s="1" t="s">
        <v>40</v>
      </c>
      <c r="C1516" s="1" t="s">
        <v>40</v>
      </c>
    </row>
    <row r="1517" spans="1:3" x14ac:dyDescent="0.4">
      <c r="A1517">
        <v>1005205</v>
      </c>
      <c r="B1517" s="1" t="s">
        <v>40</v>
      </c>
      <c r="C1517" s="1" t="s">
        <v>40</v>
      </c>
    </row>
    <row r="1518" spans="1:3" x14ac:dyDescent="0.4">
      <c r="A1518">
        <v>1005206</v>
      </c>
      <c r="B1518" s="1" t="s">
        <v>40</v>
      </c>
      <c r="C1518" s="1" t="s">
        <v>40</v>
      </c>
    </row>
    <row r="1519" spans="1:3" x14ac:dyDescent="0.4">
      <c r="A1519">
        <v>1005207</v>
      </c>
      <c r="B1519" s="1" t="s">
        <v>40</v>
      </c>
      <c r="C1519" s="1" t="s">
        <v>40</v>
      </c>
    </row>
    <row r="1520" spans="1:3" x14ac:dyDescent="0.4">
      <c r="A1520">
        <v>1005208</v>
      </c>
      <c r="B1520" s="1" t="s">
        <v>40</v>
      </c>
      <c r="C1520" s="1" t="s">
        <v>40</v>
      </c>
    </row>
    <row r="1521" spans="1:3" x14ac:dyDescent="0.4">
      <c r="A1521">
        <v>1005209</v>
      </c>
      <c r="B1521" s="1" t="s">
        <v>40</v>
      </c>
      <c r="C1521" s="1" t="s">
        <v>40</v>
      </c>
    </row>
    <row r="1522" spans="1:3" x14ac:dyDescent="0.4">
      <c r="A1522">
        <v>1005210</v>
      </c>
      <c r="B1522" s="1" t="s">
        <v>1034</v>
      </c>
      <c r="C1522" s="1" t="s">
        <v>52</v>
      </c>
    </row>
    <row r="1523" spans="1:3" x14ac:dyDescent="0.4">
      <c r="A1523">
        <v>1005211</v>
      </c>
      <c r="B1523" s="1" t="s">
        <v>1035</v>
      </c>
      <c r="C1523" s="1" t="s">
        <v>53</v>
      </c>
    </row>
    <row r="1524" spans="1:3" x14ac:dyDescent="0.4">
      <c r="A1524">
        <v>1005212</v>
      </c>
      <c r="B1524" s="1" t="s">
        <v>1036</v>
      </c>
      <c r="C1524" s="1" t="s">
        <v>54</v>
      </c>
    </row>
    <row r="1525" spans="1:3" x14ac:dyDescent="0.4">
      <c r="A1525">
        <v>1005213</v>
      </c>
      <c r="B1525" s="1" t="s">
        <v>40</v>
      </c>
      <c r="C1525" s="1" t="s">
        <v>40</v>
      </c>
    </row>
    <row r="1526" spans="1:3" x14ac:dyDescent="0.4">
      <c r="A1526">
        <v>1005214</v>
      </c>
      <c r="B1526" s="1" t="s">
        <v>40</v>
      </c>
      <c r="C1526" s="1" t="s">
        <v>40</v>
      </c>
    </row>
    <row r="1527" spans="1:3" x14ac:dyDescent="0.4">
      <c r="A1527">
        <v>1005215</v>
      </c>
      <c r="B1527" s="1" t="s">
        <v>40</v>
      </c>
      <c r="C1527" s="1" t="s">
        <v>40</v>
      </c>
    </row>
    <row r="1528" spans="1:3" x14ac:dyDescent="0.4">
      <c r="A1528">
        <v>1005216</v>
      </c>
      <c r="B1528" s="1" t="s">
        <v>40</v>
      </c>
      <c r="C1528" s="1" t="s">
        <v>40</v>
      </c>
    </row>
    <row r="1529" spans="1:3" x14ac:dyDescent="0.4">
      <c r="A1529">
        <v>1005217</v>
      </c>
      <c r="B1529" s="1" t="s">
        <v>40</v>
      </c>
      <c r="C1529" s="1" t="s">
        <v>40</v>
      </c>
    </row>
    <row r="1530" spans="1:3" x14ac:dyDescent="0.4">
      <c r="A1530">
        <v>1005218</v>
      </c>
      <c r="B1530" s="1" t="s">
        <v>40</v>
      </c>
      <c r="C1530" s="1" t="s">
        <v>40</v>
      </c>
    </row>
    <row r="1531" spans="1:3" x14ac:dyDescent="0.4">
      <c r="A1531">
        <v>1005219</v>
      </c>
      <c r="B1531" s="1" t="s">
        <v>40</v>
      </c>
      <c r="C1531" s="1" t="s">
        <v>40</v>
      </c>
    </row>
    <row r="1532" spans="1:3" x14ac:dyDescent="0.4">
      <c r="A1532">
        <v>1005220</v>
      </c>
      <c r="B1532" s="1" t="s">
        <v>1034</v>
      </c>
      <c r="C1532" s="1" t="s">
        <v>52</v>
      </c>
    </row>
    <row r="1533" spans="1:3" x14ac:dyDescent="0.4">
      <c r="A1533">
        <v>1005221</v>
      </c>
      <c r="B1533" s="1" t="s">
        <v>1035</v>
      </c>
      <c r="C1533" s="1" t="s">
        <v>53</v>
      </c>
    </row>
    <row r="1534" spans="1:3" x14ac:dyDescent="0.4">
      <c r="A1534">
        <v>1005222</v>
      </c>
      <c r="B1534" s="1" t="s">
        <v>1036</v>
      </c>
      <c r="C1534" s="1" t="s">
        <v>54</v>
      </c>
    </row>
    <row r="1535" spans="1:3" x14ac:dyDescent="0.4">
      <c r="A1535">
        <v>1005300</v>
      </c>
      <c r="B1535" s="1" t="s">
        <v>1037</v>
      </c>
      <c r="C1535" s="1" t="s">
        <v>55</v>
      </c>
    </row>
    <row r="1536" spans="1:3" x14ac:dyDescent="0.4">
      <c r="A1536">
        <v>1005301</v>
      </c>
      <c r="B1536" s="1" t="s">
        <v>1038</v>
      </c>
      <c r="C1536" s="1" t="s">
        <v>56</v>
      </c>
    </row>
    <row r="1537" spans="1:3" x14ac:dyDescent="0.4">
      <c r="A1537">
        <v>1005302</v>
      </c>
      <c r="B1537" s="1" t="s">
        <v>1039</v>
      </c>
      <c r="C1537" s="1" t="s">
        <v>57</v>
      </c>
    </row>
    <row r="1538" spans="1:3" x14ac:dyDescent="0.4">
      <c r="A1538">
        <v>1005303</v>
      </c>
      <c r="B1538" s="1" t="s">
        <v>40</v>
      </c>
      <c r="C1538" s="1" t="s">
        <v>40</v>
      </c>
    </row>
    <row r="1539" spans="1:3" x14ac:dyDescent="0.4">
      <c r="A1539">
        <v>1005304</v>
      </c>
      <c r="B1539" s="1" t="s">
        <v>40</v>
      </c>
      <c r="C1539" s="1" t="s">
        <v>40</v>
      </c>
    </row>
    <row r="1540" spans="1:3" x14ac:dyDescent="0.4">
      <c r="A1540">
        <v>1005305</v>
      </c>
      <c r="B1540" s="1" t="s">
        <v>40</v>
      </c>
      <c r="C1540" s="1" t="s">
        <v>40</v>
      </c>
    </row>
    <row r="1541" spans="1:3" x14ac:dyDescent="0.4">
      <c r="A1541">
        <v>1005306</v>
      </c>
      <c r="B1541" s="1" t="s">
        <v>40</v>
      </c>
      <c r="C1541" s="1" t="s">
        <v>40</v>
      </c>
    </row>
    <row r="1542" spans="1:3" x14ac:dyDescent="0.4">
      <c r="A1542">
        <v>1005307</v>
      </c>
      <c r="B1542" s="1" t="s">
        <v>40</v>
      </c>
      <c r="C1542" s="1" t="s">
        <v>40</v>
      </c>
    </row>
    <row r="1543" spans="1:3" x14ac:dyDescent="0.4">
      <c r="A1543">
        <v>1005308</v>
      </c>
      <c r="B1543" s="1" t="s">
        <v>40</v>
      </c>
      <c r="C1543" s="1" t="s">
        <v>40</v>
      </c>
    </row>
    <row r="1544" spans="1:3" x14ac:dyDescent="0.4">
      <c r="A1544">
        <v>1005309</v>
      </c>
      <c r="B1544" s="1" t="s">
        <v>40</v>
      </c>
      <c r="C1544" s="1" t="s">
        <v>40</v>
      </c>
    </row>
    <row r="1545" spans="1:3" x14ac:dyDescent="0.4">
      <c r="A1545">
        <v>1005310</v>
      </c>
      <c r="B1545" s="1" t="s">
        <v>1037</v>
      </c>
      <c r="C1545" s="1" t="s">
        <v>55</v>
      </c>
    </row>
    <row r="1546" spans="1:3" x14ac:dyDescent="0.4">
      <c r="A1546">
        <v>1005311</v>
      </c>
      <c r="B1546" s="1" t="s">
        <v>1038</v>
      </c>
      <c r="C1546" s="1" t="s">
        <v>56</v>
      </c>
    </row>
    <row r="1547" spans="1:3" x14ac:dyDescent="0.4">
      <c r="A1547">
        <v>1005312</v>
      </c>
      <c r="B1547" s="1" t="s">
        <v>1039</v>
      </c>
      <c r="C1547" s="1" t="s">
        <v>57</v>
      </c>
    </row>
    <row r="1548" spans="1:3" x14ac:dyDescent="0.4">
      <c r="A1548">
        <v>1005313</v>
      </c>
      <c r="B1548" s="1" t="s">
        <v>40</v>
      </c>
      <c r="C1548" s="1" t="s">
        <v>40</v>
      </c>
    </row>
    <row r="1549" spans="1:3" x14ac:dyDescent="0.4">
      <c r="A1549">
        <v>1005314</v>
      </c>
      <c r="B1549" s="1" t="s">
        <v>40</v>
      </c>
      <c r="C1549" s="1" t="s">
        <v>40</v>
      </c>
    </row>
    <row r="1550" spans="1:3" x14ac:dyDescent="0.4">
      <c r="A1550">
        <v>1005315</v>
      </c>
      <c r="B1550" s="1" t="s">
        <v>40</v>
      </c>
      <c r="C1550" s="1" t="s">
        <v>40</v>
      </c>
    </row>
    <row r="1551" spans="1:3" x14ac:dyDescent="0.4">
      <c r="A1551">
        <v>1005316</v>
      </c>
      <c r="B1551" s="1" t="s">
        <v>40</v>
      </c>
      <c r="C1551" s="1" t="s">
        <v>40</v>
      </c>
    </row>
    <row r="1552" spans="1:3" x14ac:dyDescent="0.4">
      <c r="A1552">
        <v>1005317</v>
      </c>
      <c r="B1552" s="1" t="s">
        <v>40</v>
      </c>
      <c r="C1552" s="1" t="s">
        <v>40</v>
      </c>
    </row>
    <row r="1553" spans="1:3" x14ac:dyDescent="0.4">
      <c r="A1553">
        <v>1005318</v>
      </c>
      <c r="B1553" s="1" t="s">
        <v>40</v>
      </c>
      <c r="C1553" s="1" t="s">
        <v>40</v>
      </c>
    </row>
    <row r="1554" spans="1:3" x14ac:dyDescent="0.4">
      <c r="A1554">
        <v>1005319</v>
      </c>
      <c r="B1554" s="1" t="s">
        <v>40</v>
      </c>
      <c r="C1554" s="1" t="s">
        <v>40</v>
      </c>
    </row>
    <row r="1555" spans="1:3" x14ac:dyDescent="0.4">
      <c r="A1555">
        <v>1005320</v>
      </c>
      <c r="B1555" s="1" t="s">
        <v>1037</v>
      </c>
      <c r="C1555" s="1" t="s">
        <v>55</v>
      </c>
    </row>
    <row r="1556" spans="1:3" x14ac:dyDescent="0.4">
      <c r="A1556">
        <v>1005321</v>
      </c>
      <c r="B1556" s="1" t="s">
        <v>1038</v>
      </c>
      <c r="C1556" s="1" t="s">
        <v>56</v>
      </c>
    </row>
    <row r="1557" spans="1:3" x14ac:dyDescent="0.4">
      <c r="A1557">
        <v>1005322</v>
      </c>
      <c r="B1557" s="1" t="s">
        <v>1039</v>
      </c>
      <c r="C1557" s="1" t="s">
        <v>57</v>
      </c>
    </row>
    <row r="1558" spans="1:3" x14ac:dyDescent="0.4">
      <c r="A1558">
        <v>1006000</v>
      </c>
      <c r="B1558" s="1" t="s">
        <v>1028</v>
      </c>
      <c r="C1558" s="1" t="s">
        <v>46</v>
      </c>
    </row>
    <row r="1559" spans="1:3" x14ac:dyDescent="0.4">
      <c r="A1559">
        <v>1006001</v>
      </c>
      <c r="B1559" s="1" t="s">
        <v>1029</v>
      </c>
      <c r="C1559" s="1" t="s">
        <v>47</v>
      </c>
    </row>
    <row r="1560" spans="1:3" x14ac:dyDescent="0.4">
      <c r="A1560">
        <v>1006002</v>
      </c>
      <c r="B1560" s="1" t="s">
        <v>1030</v>
      </c>
      <c r="C1560" s="1" t="s">
        <v>48</v>
      </c>
    </row>
    <row r="1561" spans="1:3" x14ac:dyDescent="0.4">
      <c r="A1561">
        <v>1006003</v>
      </c>
      <c r="B1561" s="1" t="s">
        <v>40</v>
      </c>
      <c r="C1561" s="1" t="s">
        <v>40</v>
      </c>
    </row>
    <row r="1562" spans="1:3" x14ac:dyDescent="0.4">
      <c r="A1562">
        <v>1006004</v>
      </c>
      <c r="B1562" s="1" t="s">
        <v>40</v>
      </c>
      <c r="C1562" s="1" t="s">
        <v>40</v>
      </c>
    </row>
    <row r="1563" spans="1:3" x14ac:dyDescent="0.4">
      <c r="A1563">
        <v>1006005</v>
      </c>
      <c r="B1563" s="1" t="s">
        <v>40</v>
      </c>
      <c r="C1563" s="1" t="s">
        <v>40</v>
      </c>
    </row>
    <row r="1564" spans="1:3" x14ac:dyDescent="0.4">
      <c r="A1564">
        <v>1006006</v>
      </c>
      <c r="B1564" s="1" t="s">
        <v>40</v>
      </c>
      <c r="C1564" s="1" t="s">
        <v>40</v>
      </c>
    </row>
    <row r="1565" spans="1:3" x14ac:dyDescent="0.4">
      <c r="A1565">
        <v>1006007</v>
      </c>
      <c r="B1565" s="1" t="s">
        <v>40</v>
      </c>
      <c r="C1565" s="1" t="s">
        <v>40</v>
      </c>
    </row>
    <row r="1566" spans="1:3" x14ac:dyDescent="0.4">
      <c r="A1566">
        <v>1006008</v>
      </c>
      <c r="B1566" s="1" t="s">
        <v>40</v>
      </c>
      <c r="C1566" s="1" t="s">
        <v>40</v>
      </c>
    </row>
    <row r="1567" spans="1:3" x14ac:dyDescent="0.4">
      <c r="A1567">
        <v>1006009</v>
      </c>
      <c r="B1567" s="1" t="s">
        <v>40</v>
      </c>
      <c r="C1567" s="1" t="s">
        <v>40</v>
      </c>
    </row>
    <row r="1568" spans="1:3" x14ac:dyDescent="0.4">
      <c r="A1568">
        <v>1006010</v>
      </c>
      <c r="B1568" s="1" t="s">
        <v>1028</v>
      </c>
      <c r="C1568" s="1" t="s">
        <v>46</v>
      </c>
    </row>
    <row r="1569" spans="1:3" x14ac:dyDescent="0.4">
      <c r="A1569">
        <v>1006011</v>
      </c>
      <c r="B1569" s="1" t="s">
        <v>1029</v>
      </c>
      <c r="C1569" s="1" t="s">
        <v>47</v>
      </c>
    </row>
    <row r="1570" spans="1:3" x14ac:dyDescent="0.4">
      <c r="A1570">
        <v>1006012</v>
      </c>
      <c r="B1570" s="1" t="s">
        <v>1030</v>
      </c>
      <c r="C1570" s="1" t="s">
        <v>48</v>
      </c>
    </row>
    <row r="1571" spans="1:3" x14ac:dyDescent="0.4">
      <c r="A1571">
        <v>1006013</v>
      </c>
      <c r="B1571" s="1" t="s">
        <v>40</v>
      </c>
      <c r="C1571" s="1" t="s">
        <v>40</v>
      </c>
    </row>
    <row r="1572" spans="1:3" x14ac:dyDescent="0.4">
      <c r="A1572">
        <v>1006014</v>
      </c>
      <c r="B1572" s="1" t="s">
        <v>40</v>
      </c>
      <c r="C1572" s="1" t="s">
        <v>40</v>
      </c>
    </row>
    <row r="1573" spans="1:3" x14ac:dyDescent="0.4">
      <c r="A1573">
        <v>1006015</v>
      </c>
      <c r="B1573" s="1" t="s">
        <v>40</v>
      </c>
      <c r="C1573" s="1" t="s">
        <v>40</v>
      </c>
    </row>
    <row r="1574" spans="1:3" x14ac:dyDescent="0.4">
      <c r="A1574">
        <v>1006016</v>
      </c>
      <c r="B1574" s="1" t="s">
        <v>40</v>
      </c>
      <c r="C1574" s="1" t="s">
        <v>40</v>
      </c>
    </row>
    <row r="1575" spans="1:3" x14ac:dyDescent="0.4">
      <c r="A1575">
        <v>1006017</v>
      </c>
      <c r="B1575" s="1" t="s">
        <v>40</v>
      </c>
      <c r="C1575" s="1" t="s">
        <v>40</v>
      </c>
    </row>
    <row r="1576" spans="1:3" x14ac:dyDescent="0.4">
      <c r="A1576">
        <v>1006018</v>
      </c>
      <c r="B1576" s="1" t="s">
        <v>40</v>
      </c>
      <c r="C1576" s="1" t="s">
        <v>40</v>
      </c>
    </row>
    <row r="1577" spans="1:3" x14ac:dyDescent="0.4">
      <c r="A1577">
        <v>1006019</v>
      </c>
      <c r="B1577" s="1" t="s">
        <v>40</v>
      </c>
      <c r="C1577" s="1" t="s">
        <v>40</v>
      </c>
    </row>
    <row r="1578" spans="1:3" x14ac:dyDescent="0.4">
      <c r="A1578">
        <v>1006020</v>
      </c>
      <c r="B1578" s="1" t="s">
        <v>1028</v>
      </c>
      <c r="C1578" s="1" t="s">
        <v>46</v>
      </c>
    </row>
    <row r="1579" spans="1:3" x14ac:dyDescent="0.4">
      <c r="A1579">
        <v>1006021</v>
      </c>
      <c r="B1579" s="1" t="s">
        <v>1029</v>
      </c>
      <c r="C1579" s="1" t="s">
        <v>47</v>
      </c>
    </row>
    <row r="1580" spans="1:3" x14ac:dyDescent="0.4">
      <c r="A1580">
        <v>1006022</v>
      </c>
      <c r="B1580" s="1" t="s">
        <v>1030</v>
      </c>
      <c r="C1580" s="1" t="s">
        <v>48</v>
      </c>
    </row>
    <row r="1581" spans="1:3" x14ac:dyDescent="0.4">
      <c r="A1581">
        <v>1006100</v>
      </c>
      <c r="B1581" s="1" t="s">
        <v>1031</v>
      </c>
      <c r="C1581" s="1" t="s">
        <v>49</v>
      </c>
    </row>
    <row r="1582" spans="1:3" x14ac:dyDescent="0.4">
      <c r="A1582">
        <v>1006101</v>
      </c>
      <c r="B1582" s="1" t="s">
        <v>1032</v>
      </c>
      <c r="C1582" s="1" t="s">
        <v>50</v>
      </c>
    </row>
    <row r="1583" spans="1:3" x14ac:dyDescent="0.4">
      <c r="A1583">
        <v>1006102</v>
      </c>
      <c r="B1583" s="1" t="s">
        <v>1033</v>
      </c>
      <c r="C1583" s="1" t="s">
        <v>51</v>
      </c>
    </row>
    <row r="1584" spans="1:3" x14ac:dyDescent="0.4">
      <c r="A1584">
        <v>1006103</v>
      </c>
      <c r="B1584" s="1" t="s">
        <v>40</v>
      </c>
      <c r="C1584" s="1" t="s">
        <v>40</v>
      </c>
    </row>
    <row r="1585" spans="1:3" x14ac:dyDescent="0.4">
      <c r="A1585">
        <v>1006104</v>
      </c>
      <c r="B1585" s="1" t="s">
        <v>40</v>
      </c>
      <c r="C1585" s="1" t="s">
        <v>40</v>
      </c>
    </row>
    <row r="1586" spans="1:3" x14ac:dyDescent="0.4">
      <c r="A1586">
        <v>1006105</v>
      </c>
      <c r="B1586" s="1" t="s">
        <v>40</v>
      </c>
      <c r="C1586" s="1" t="s">
        <v>40</v>
      </c>
    </row>
    <row r="1587" spans="1:3" x14ac:dyDescent="0.4">
      <c r="A1587">
        <v>1006106</v>
      </c>
      <c r="B1587" s="1" t="s">
        <v>40</v>
      </c>
      <c r="C1587" s="1" t="s">
        <v>40</v>
      </c>
    </row>
    <row r="1588" spans="1:3" x14ac:dyDescent="0.4">
      <c r="A1588">
        <v>1006107</v>
      </c>
      <c r="B1588" s="1" t="s">
        <v>40</v>
      </c>
      <c r="C1588" s="1" t="s">
        <v>40</v>
      </c>
    </row>
    <row r="1589" spans="1:3" x14ac:dyDescent="0.4">
      <c r="A1589">
        <v>1006108</v>
      </c>
      <c r="B1589" s="1" t="s">
        <v>40</v>
      </c>
      <c r="C1589" s="1" t="s">
        <v>40</v>
      </c>
    </row>
    <row r="1590" spans="1:3" x14ac:dyDescent="0.4">
      <c r="A1590">
        <v>1006109</v>
      </c>
      <c r="B1590" s="1" t="s">
        <v>40</v>
      </c>
      <c r="C1590" s="1" t="s">
        <v>40</v>
      </c>
    </row>
    <row r="1591" spans="1:3" x14ac:dyDescent="0.4">
      <c r="A1591">
        <v>1006110</v>
      </c>
      <c r="B1591" s="1" t="s">
        <v>1031</v>
      </c>
      <c r="C1591" s="1" t="s">
        <v>49</v>
      </c>
    </row>
    <row r="1592" spans="1:3" x14ac:dyDescent="0.4">
      <c r="A1592">
        <v>1006111</v>
      </c>
      <c r="B1592" s="1" t="s">
        <v>1032</v>
      </c>
      <c r="C1592" s="1" t="s">
        <v>50</v>
      </c>
    </row>
    <row r="1593" spans="1:3" x14ac:dyDescent="0.4">
      <c r="A1593">
        <v>1006112</v>
      </c>
      <c r="B1593" s="1" t="s">
        <v>1033</v>
      </c>
      <c r="C1593" s="1" t="s">
        <v>51</v>
      </c>
    </row>
    <row r="1594" spans="1:3" x14ac:dyDescent="0.4">
      <c r="A1594">
        <v>1006113</v>
      </c>
      <c r="B1594" s="1" t="s">
        <v>40</v>
      </c>
      <c r="C1594" s="1" t="s">
        <v>40</v>
      </c>
    </row>
    <row r="1595" spans="1:3" x14ac:dyDescent="0.4">
      <c r="A1595">
        <v>1006114</v>
      </c>
      <c r="B1595" s="1" t="s">
        <v>40</v>
      </c>
      <c r="C1595" s="1" t="s">
        <v>40</v>
      </c>
    </row>
    <row r="1596" spans="1:3" x14ac:dyDescent="0.4">
      <c r="A1596">
        <v>1006115</v>
      </c>
      <c r="B1596" s="1" t="s">
        <v>40</v>
      </c>
      <c r="C1596" s="1" t="s">
        <v>40</v>
      </c>
    </row>
    <row r="1597" spans="1:3" x14ac:dyDescent="0.4">
      <c r="A1597">
        <v>1006116</v>
      </c>
      <c r="B1597" s="1" t="s">
        <v>40</v>
      </c>
      <c r="C1597" s="1" t="s">
        <v>40</v>
      </c>
    </row>
    <row r="1598" spans="1:3" x14ac:dyDescent="0.4">
      <c r="A1598">
        <v>1006117</v>
      </c>
      <c r="B1598" s="1" t="s">
        <v>40</v>
      </c>
      <c r="C1598" s="1" t="s">
        <v>40</v>
      </c>
    </row>
    <row r="1599" spans="1:3" x14ac:dyDescent="0.4">
      <c r="A1599">
        <v>1006118</v>
      </c>
      <c r="B1599" s="1" t="s">
        <v>40</v>
      </c>
      <c r="C1599" s="1" t="s">
        <v>40</v>
      </c>
    </row>
    <row r="1600" spans="1:3" x14ac:dyDescent="0.4">
      <c r="A1600">
        <v>1006119</v>
      </c>
      <c r="B1600" s="1" t="s">
        <v>40</v>
      </c>
      <c r="C1600" s="1" t="s">
        <v>40</v>
      </c>
    </row>
    <row r="1601" spans="1:3" x14ac:dyDescent="0.4">
      <c r="A1601">
        <v>1006120</v>
      </c>
      <c r="B1601" s="1" t="s">
        <v>1031</v>
      </c>
      <c r="C1601" s="1" t="s">
        <v>49</v>
      </c>
    </row>
    <row r="1602" spans="1:3" x14ac:dyDescent="0.4">
      <c r="A1602">
        <v>1006121</v>
      </c>
      <c r="B1602" s="1" t="s">
        <v>1032</v>
      </c>
      <c r="C1602" s="1" t="s">
        <v>50</v>
      </c>
    </row>
    <row r="1603" spans="1:3" x14ac:dyDescent="0.4">
      <c r="A1603">
        <v>1006122</v>
      </c>
      <c r="B1603" s="1" t="s">
        <v>1033</v>
      </c>
      <c r="C1603" s="1" t="s">
        <v>51</v>
      </c>
    </row>
    <row r="1604" spans="1:3" x14ac:dyDescent="0.4">
      <c r="A1604">
        <v>1006200</v>
      </c>
      <c r="B1604" s="1" t="s">
        <v>1034</v>
      </c>
      <c r="C1604" s="1" t="s">
        <v>52</v>
      </c>
    </row>
    <row r="1605" spans="1:3" x14ac:dyDescent="0.4">
      <c r="A1605">
        <v>1006201</v>
      </c>
      <c r="B1605" s="1" t="s">
        <v>1035</v>
      </c>
      <c r="C1605" s="1" t="s">
        <v>53</v>
      </c>
    </row>
    <row r="1606" spans="1:3" x14ac:dyDescent="0.4">
      <c r="A1606">
        <v>1006202</v>
      </c>
      <c r="B1606" s="1" t="s">
        <v>1036</v>
      </c>
      <c r="C1606" s="1" t="s">
        <v>54</v>
      </c>
    </row>
    <row r="1607" spans="1:3" x14ac:dyDescent="0.4">
      <c r="A1607">
        <v>1006203</v>
      </c>
      <c r="B1607" s="1" t="s">
        <v>40</v>
      </c>
      <c r="C1607" s="1" t="s">
        <v>40</v>
      </c>
    </row>
    <row r="1608" spans="1:3" x14ac:dyDescent="0.4">
      <c r="A1608">
        <v>1006204</v>
      </c>
      <c r="B1608" s="1" t="s">
        <v>40</v>
      </c>
      <c r="C1608" s="1" t="s">
        <v>40</v>
      </c>
    </row>
    <row r="1609" spans="1:3" x14ac:dyDescent="0.4">
      <c r="A1609">
        <v>1006205</v>
      </c>
      <c r="B1609" s="1" t="s">
        <v>40</v>
      </c>
      <c r="C1609" s="1" t="s">
        <v>40</v>
      </c>
    </row>
    <row r="1610" spans="1:3" x14ac:dyDescent="0.4">
      <c r="A1610">
        <v>1006206</v>
      </c>
      <c r="B1610" s="1" t="s">
        <v>40</v>
      </c>
      <c r="C1610" s="1" t="s">
        <v>40</v>
      </c>
    </row>
    <row r="1611" spans="1:3" x14ac:dyDescent="0.4">
      <c r="A1611">
        <v>1006207</v>
      </c>
      <c r="B1611" s="1" t="s">
        <v>40</v>
      </c>
      <c r="C1611" s="1" t="s">
        <v>40</v>
      </c>
    </row>
    <row r="1612" spans="1:3" x14ac:dyDescent="0.4">
      <c r="A1612">
        <v>1006208</v>
      </c>
      <c r="B1612" s="1" t="s">
        <v>40</v>
      </c>
      <c r="C1612" s="1" t="s">
        <v>40</v>
      </c>
    </row>
    <row r="1613" spans="1:3" x14ac:dyDescent="0.4">
      <c r="A1613">
        <v>1006209</v>
      </c>
      <c r="B1613" s="1" t="s">
        <v>40</v>
      </c>
      <c r="C1613" s="1" t="s">
        <v>40</v>
      </c>
    </row>
    <row r="1614" spans="1:3" x14ac:dyDescent="0.4">
      <c r="A1614">
        <v>1006210</v>
      </c>
      <c r="B1614" s="1" t="s">
        <v>1034</v>
      </c>
      <c r="C1614" s="1" t="s">
        <v>52</v>
      </c>
    </row>
    <row r="1615" spans="1:3" x14ac:dyDescent="0.4">
      <c r="A1615">
        <v>1006211</v>
      </c>
      <c r="B1615" s="1" t="s">
        <v>1035</v>
      </c>
      <c r="C1615" s="1" t="s">
        <v>53</v>
      </c>
    </row>
    <row r="1616" spans="1:3" x14ac:dyDescent="0.4">
      <c r="A1616">
        <v>1006212</v>
      </c>
      <c r="B1616" s="1" t="s">
        <v>1036</v>
      </c>
      <c r="C1616" s="1" t="s">
        <v>54</v>
      </c>
    </row>
    <row r="1617" spans="1:3" x14ac:dyDescent="0.4">
      <c r="A1617">
        <v>1006213</v>
      </c>
      <c r="B1617" s="1" t="s">
        <v>40</v>
      </c>
      <c r="C1617" s="1" t="s">
        <v>40</v>
      </c>
    </row>
    <row r="1618" spans="1:3" x14ac:dyDescent="0.4">
      <c r="A1618">
        <v>1006214</v>
      </c>
      <c r="B1618" s="1" t="s">
        <v>40</v>
      </c>
      <c r="C1618" s="1" t="s">
        <v>40</v>
      </c>
    </row>
    <row r="1619" spans="1:3" x14ac:dyDescent="0.4">
      <c r="A1619">
        <v>1006215</v>
      </c>
      <c r="B1619" s="1" t="s">
        <v>40</v>
      </c>
      <c r="C1619" s="1" t="s">
        <v>40</v>
      </c>
    </row>
    <row r="1620" spans="1:3" x14ac:dyDescent="0.4">
      <c r="A1620">
        <v>1006216</v>
      </c>
      <c r="B1620" s="1" t="s">
        <v>40</v>
      </c>
      <c r="C1620" s="1" t="s">
        <v>40</v>
      </c>
    </row>
    <row r="1621" spans="1:3" x14ac:dyDescent="0.4">
      <c r="A1621">
        <v>1006217</v>
      </c>
      <c r="B1621" s="1" t="s">
        <v>40</v>
      </c>
      <c r="C1621" s="1" t="s">
        <v>40</v>
      </c>
    </row>
    <row r="1622" spans="1:3" x14ac:dyDescent="0.4">
      <c r="A1622">
        <v>1006218</v>
      </c>
      <c r="B1622" s="1" t="s">
        <v>40</v>
      </c>
      <c r="C1622" s="1" t="s">
        <v>40</v>
      </c>
    </row>
    <row r="1623" spans="1:3" x14ac:dyDescent="0.4">
      <c r="A1623">
        <v>1006219</v>
      </c>
      <c r="B1623" s="1" t="s">
        <v>40</v>
      </c>
      <c r="C1623" s="1" t="s">
        <v>40</v>
      </c>
    </row>
    <row r="1624" spans="1:3" x14ac:dyDescent="0.4">
      <c r="A1624">
        <v>1006220</v>
      </c>
      <c r="B1624" s="1" t="s">
        <v>1034</v>
      </c>
      <c r="C1624" s="1" t="s">
        <v>52</v>
      </c>
    </row>
    <row r="1625" spans="1:3" x14ac:dyDescent="0.4">
      <c r="A1625">
        <v>1006221</v>
      </c>
      <c r="B1625" s="1" t="s">
        <v>1035</v>
      </c>
      <c r="C1625" s="1" t="s">
        <v>53</v>
      </c>
    </row>
    <row r="1626" spans="1:3" x14ac:dyDescent="0.4">
      <c r="A1626">
        <v>1006222</v>
      </c>
      <c r="B1626" s="1" t="s">
        <v>1036</v>
      </c>
      <c r="C1626" s="1" t="s">
        <v>54</v>
      </c>
    </row>
    <row r="1627" spans="1:3" x14ac:dyDescent="0.4">
      <c r="A1627">
        <v>1006300</v>
      </c>
      <c r="B1627" s="1" t="s">
        <v>1037</v>
      </c>
      <c r="C1627" s="1" t="s">
        <v>55</v>
      </c>
    </row>
    <row r="1628" spans="1:3" x14ac:dyDescent="0.4">
      <c r="A1628">
        <v>1006301</v>
      </c>
      <c r="B1628" s="1" t="s">
        <v>1038</v>
      </c>
      <c r="C1628" s="1" t="s">
        <v>56</v>
      </c>
    </row>
    <row r="1629" spans="1:3" x14ac:dyDescent="0.4">
      <c r="A1629">
        <v>1006302</v>
      </c>
      <c r="B1629" s="1" t="s">
        <v>1039</v>
      </c>
      <c r="C1629" s="1" t="s">
        <v>57</v>
      </c>
    </row>
    <row r="1630" spans="1:3" x14ac:dyDescent="0.4">
      <c r="A1630">
        <v>1006303</v>
      </c>
      <c r="B1630" s="1" t="s">
        <v>40</v>
      </c>
      <c r="C1630" s="1" t="s">
        <v>40</v>
      </c>
    </row>
    <row r="1631" spans="1:3" x14ac:dyDescent="0.4">
      <c r="A1631">
        <v>1006304</v>
      </c>
      <c r="B1631" s="1" t="s">
        <v>40</v>
      </c>
      <c r="C1631" s="1" t="s">
        <v>40</v>
      </c>
    </row>
    <row r="1632" spans="1:3" x14ac:dyDescent="0.4">
      <c r="A1632">
        <v>1006305</v>
      </c>
      <c r="B1632" s="1" t="s">
        <v>40</v>
      </c>
      <c r="C1632" s="1" t="s">
        <v>40</v>
      </c>
    </row>
    <row r="1633" spans="1:3" x14ac:dyDescent="0.4">
      <c r="A1633">
        <v>1006306</v>
      </c>
      <c r="B1633" s="1" t="s">
        <v>40</v>
      </c>
      <c r="C1633" s="1" t="s">
        <v>40</v>
      </c>
    </row>
    <row r="1634" spans="1:3" x14ac:dyDescent="0.4">
      <c r="A1634">
        <v>1006307</v>
      </c>
      <c r="B1634" s="1" t="s">
        <v>40</v>
      </c>
      <c r="C1634" s="1" t="s">
        <v>40</v>
      </c>
    </row>
    <row r="1635" spans="1:3" x14ac:dyDescent="0.4">
      <c r="A1635">
        <v>1006308</v>
      </c>
      <c r="B1635" s="1" t="s">
        <v>40</v>
      </c>
      <c r="C1635" s="1" t="s">
        <v>40</v>
      </c>
    </row>
    <row r="1636" spans="1:3" x14ac:dyDescent="0.4">
      <c r="A1636">
        <v>1006309</v>
      </c>
      <c r="B1636" s="1" t="s">
        <v>40</v>
      </c>
      <c r="C1636" s="1" t="s">
        <v>40</v>
      </c>
    </row>
    <row r="1637" spans="1:3" x14ac:dyDescent="0.4">
      <c r="A1637">
        <v>1006310</v>
      </c>
      <c r="B1637" s="1" t="s">
        <v>1037</v>
      </c>
      <c r="C1637" s="1" t="s">
        <v>55</v>
      </c>
    </row>
    <row r="1638" spans="1:3" x14ac:dyDescent="0.4">
      <c r="A1638">
        <v>1006311</v>
      </c>
      <c r="B1638" s="1" t="s">
        <v>1038</v>
      </c>
      <c r="C1638" s="1" t="s">
        <v>56</v>
      </c>
    </row>
    <row r="1639" spans="1:3" x14ac:dyDescent="0.4">
      <c r="A1639">
        <v>1006312</v>
      </c>
      <c r="B1639" s="1" t="s">
        <v>1039</v>
      </c>
      <c r="C1639" s="1" t="s">
        <v>57</v>
      </c>
    </row>
    <row r="1640" spans="1:3" x14ac:dyDescent="0.4">
      <c r="A1640">
        <v>1006313</v>
      </c>
      <c r="B1640" s="1" t="s">
        <v>40</v>
      </c>
      <c r="C1640" s="1" t="s">
        <v>40</v>
      </c>
    </row>
    <row r="1641" spans="1:3" x14ac:dyDescent="0.4">
      <c r="A1641">
        <v>1006314</v>
      </c>
      <c r="B1641" s="1" t="s">
        <v>40</v>
      </c>
      <c r="C1641" s="1" t="s">
        <v>40</v>
      </c>
    </row>
    <row r="1642" spans="1:3" x14ac:dyDescent="0.4">
      <c r="A1642">
        <v>1006315</v>
      </c>
      <c r="B1642" s="1" t="s">
        <v>40</v>
      </c>
      <c r="C1642" s="1" t="s">
        <v>40</v>
      </c>
    </row>
    <row r="1643" spans="1:3" x14ac:dyDescent="0.4">
      <c r="A1643">
        <v>1006316</v>
      </c>
      <c r="B1643" s="1" t="s">
        <v>40</v>
      </c>
      <c r="C1643" s="1" t="s">
        <v>40</v>
      </c>
    </row>
    <row r="1644" spans="1:3" x14ac:dyDescent="0.4">
      <c r="A1644">
        <v>1006317</v>
      </c>
      <c r="B1644" s="1" t="s">
        <v>40</v>
      </c>
      <c r="C1644" s="1" t="s">
        <v>40</v>
      </c>
    </row>
    <row r="1645" spans="1:3" x14ac:dyDescent="0.4">
      <c r="A1645">
        <v>1006318</v>
      </c>
      <c r="B1645" s="1" t="s">
        <v>40</v>
      </c>
      <c r="C1645" s="1" t="s">
        <v>40</v>
      </c>
    </row>
    <row r="1646" spans="1:3" x14ac:dyDescent="0.4">
      <c r="A1646">
        <v>1006319</v>
      </c>
      <c r="B1646" s="1" t="s">
        <v>40</v>
      </c>
      <c r="C1646" s="1" t="s">
        <v>40</v>
      </c>
    </row>
    <row r="1647" spans="1:3" x14ac:dyDescent="0.4">
      <c r="A1647">
        <v>1006320</v>
      </c>
      <c r="B1647" s="1" t="s">
        <v>1037</v>
      </c>
      <c r="C1647" s="1" t="s">
        <v>55</v>
      </c>
    </row>
    <row r="1648" spans="1:3" x14ac:dyDescent="0.4">
      <c r="A1648">
        <v>1006321</v>
      </c>
      <c r="B1648" s="1" t="s">
        <v>1038</v>
      </c>
      <c r="C1648" s="1" t="s">
        <v>56</v>
      </c>
    </row>
    <row r="1649" spans="1:3" x14ac:dyDescent="0.4">
      <c r="A1649">
        <v>1006322</v>
      </c>
      <c r="B1649" s="1" t="s">
        <v>1039</v>
      </c>
      <c r="C1649" s="1" t="s">
        <v>57</v>
      </c>
    </row>
    <row r="1650" spans="1:3" x14ac:dyDescent="0.4">
      <c r="A1650">
        <v>1007000</v>
      </c>
      <c r="B1650" s="1" t="s">
        <v>1028</v>
      </c>
      <c r="C1650" s="1" t="s">
        <v>46</v>
      </c>
    </row>
    <row r="1651" spans="1:3" x14ac:dyDescent="0.4">
      <c r="A1651">
        <v>1007001</v>
      </c>
      <c r="B1651" s="1" t="s">
        <v>1029</v>
      </c>
      <c r="C1651" s="1" t="s">
        <v>47</v>
      </c>
    </row>
    <row r="1652" spans="1:3" x14ac:dyDescent="0.4">
      <c r="A1652">
        <v>1007002</v>
      </c>
      <c r="B1652" s="1" t="s">
        <v>1030</v>
      </c>
      <c r="C1652" s="1" t="s">
        <v>48</v>
      </c>
    </row>
    <row r="1653" spans="1:3" x14ac:dyDescent="0.4">
      <c r="A1653">
        <v>1007003</v>
      </c>
      <c r="B1653" s="1" t="s">
        <v>40</v>
      </c>
      <c r="C1653" s="1" t="s">
        <v>40</v>
      </c>
    </row>
    <row r="1654" spans="1:3" x14ac:dyDescent="0.4">
      <c r="A1654">
        <v>1007004</v>
      </c>
      <c r="B1654" s="1" t="s">
        <v>40</v>
      </c>
      <c r="C1654" s="1" t="s">
        <v>40</v>
      </c>
    </row>
    <row r="1655" spans="1:3" x14ac:dyDescent="0.4">
      <c r="A1655">
        <v>1007005</v>
      </c>
      <c r="B1655" s="1" t="s">
        <v>40</v>
      </c>
      <c r="C1655" s="1" t="s">
        <v>40</v>
      </c>
    </row>
    <row r="1656" spans="1:3" x14ac:dyDescent="0.4">
      <c r="A1656">
        <v>1007006</v>
      </c>
      <c r="B1656" s="1" t="s">
        <v>40</v>
      </c>
      <c r="C1656" s="1" t="s">
        <v>40</v>
      </c>
    </row>
    <row r="1657" spans="1:3" x14ac:dyDescent="0.4">
      <c r="A1657">
        <v>1007007</v>
      </c>
      <c r="B1657" s="1" t="s">
        <v>40</v>
      </c>
      <c r="C1657" s="1" t="s">
        <v>40</v>
      </c>
    </row>
    <row r="1658" spans="1:3" x14ac:dyDescent="0.4">
      <c r="A1658">
        <v>1007008</v>
      </c>
      <c r="B1658" s="1" t="s">
        <v>40</v>
      </c>
      <c r="C1658" s="1" t="s">
        <v>40</v>
      </c>
    </row>
    <row r="1659" spans="1:3" x14ac:dyDescent="0.4">
      <c r="A1659">
        <v>1007009</v>
      </c>
      <c r="B1659" s="1" t="s">
        <v>40</v>
      </c>
      <c r="C1659" s="1" t="s">
        <v>40</v>
      </c>
    </row>
    <row r="1660" spans="1:3" x14ac:dyDescent="0.4">
      <c r="A1660">
        <v>1007010</v>
      </c>
      <c r="B1660" s="1" t="s">
        <v>1028</v>
      </c>
      <c r="C1660" s="1" t="s">
        <v>46</v>
      </c>
    </row>
    <row r="1661" spans="1:3" x14ac:dyDescent="0.4">
      <c r="A1661">
        <v>1007011</v>
      </c>
      <c r="B1661" s="1" t="s">
        <v>1029</v>
      </c>
      <c r="C1661" s="1" t="s">
        <v>47</v>
      </c>
    </row>
    <row r="1662" spans="1:3" x14ac:dyDescent="0.4">
      <c r="A1662">
        <v>1007012</v>
      </c>
      <c r="B1662" s="1" t="s">
        <v>1030</v>
      </c>
      <c r="C1662" s="1" t="s">
        <v>48</v>
      </c>
    </row>
    <row r="1663" spans="1:3" x14ac:dyDescent="0.4">
      <c r="A1663">
        <v>1007013</v>
      </c>
      <c r="B1663" s="1" t="s">
        <v>40</v>
      </c>
      <c r="C1663" s="1" t="s">
        <v>40</v>
      </c>
    </row>
    <row r="1664" spans="1:3" x14ac:dyDescent="0.4">
      <c r="A1664">
        <v>1007014</v>
      </c>
      <c r="B1664" s="1" t="s">
        <v>40</v>
      </c>
      <c r="C1664" s="1" t="s">
        <v>40</v>
      </c>
    </row>
    <row r="1665" spans="1:3" x14ac:dyDescent="0.4">
      <c r="A1665">
        <v>1007015</v>
      </c>
      <c r="B1665" s="1" t="s">
        <v>40</v>
      </c>
      <c r="C1665" s="1" t="s">
        <v>40</v>
      </c>
    </row>
    <row r="1666" spans="1:3" x14ac:dyDescent="0.4">
      <c r="A1666">
        <v>1007016</v>
      </c>
      <c r="B1666" s="1" t="s">
        <v>40</v>
      </c>
      <c r="C1666" s="1" t="s">
        <v>40</v>
      </c>
    </row>
    <row r="1667" spans="1:3" x14ac:dyDescent="0.4">
      <c r="A1667">
        <v>1007017</v>
      </c>
      <c r="B1667" s="1" t="s">
        <v>40</v>
      </c>
      <c r="C1667" s="1" t="s">
        <v>40</v>
      </c>
    </row>
    <row r="1668" spans="1:3" x14ac:dyDescent="0.4">
      <c r="A1668">
        <v>1007018</v>
      </c>
      <c r="B1668" s="1" t="s">
        <v>40</v>
      </c>
      <c r="C1668" s="1" t="s">
        <v>40</v>
      </c>
    </row>
    <row r="1669" spans="1:3" x14ac:dyDescent="0.4">
      <c r="A1669">
        <v>1007019</v>
      </c>
      <c r="B1669" s="1" t="s">
        <v>40</v>
      </c>
      <c r="C1669" s="1" t="s">
        <v>40</v>
      </c>
    </row>
    <row r="1670" spans="1:3" x14ac:dyDescent="0.4">
      <c r="A1670">
        <v>1007020</v>
      </c>
      <c r="B1670" s="1" t="s">
        <v>1028</v>
      </c>
      <c r="C1670" s="1" t="s">
        <v>46</v>
      </c>
    </row>
    <row r="1671" spans="1:3" x14ac:dyDescent="0.4">
      <c r="A1671">
        <v>1007021</v>
      </c>
      <c r="B1671" s="1" t="s">
        <v>1029</v>
      </c>
      <c r="C1671" s="1" t="s">
        <v>47</v>
      </c>
    </row>
    <row r="1672" spans="1:3" x14ac:dyDescent="0.4">
      <c r="A1672">
        <v>1007022</v>
      </c>
      <c r="B1672" s="1" t="s">
        <v>1030</v>
      </c>
      <c r="C1672" s="1" t="s">
        <v>48</v>
      </c>
    </row>
    <row r="1673" spans="1:3" x14ac:dyDescent="0.4">
      <c r="A1673">
        <v>1007100</v>
      </c>
      <c r="B1673" s="1" t="s">
        <v>1031</v>
      </c>
      <c r="C1673" s="1" t="s">
        <v>49</v>
      </c>
    </row>
    <row r="1674" spans="1:3" x14ac:dyDescent="0.4">
      <c r="A1674">
        <v>1007101</v>
      </c>
      <c r="B1674" s="1" t="s">
        <v>1032</v>
      </c>
      <c r="C1674" s="1" t="s">
        <v>50</v>
      </c>
    </row>
    <row r="1675" spans="1:3" x14ac:dyDescent="0.4">
      <c r="A1675">
        <v>1007102</v>
      </c>
      <c r="B1675" s="1" t="s">
        <v>1033</v>
      </c>
      <c r="C1675" s="1" t="s">
        <v>51</v>
      </c>
    </row>
    <row r="1676" spans="1:3" x14ac:dyDescent="0.4">
      <c r="A1676">
        <v>1007103</v>
      </c>
      <c r="B1676" s="1" t="s">
        <v>40</v>
      </c>
      <c r="C1676" s="1" t="s">
        <v>40</v>
      </c>
    </row>
    <row r="1677" spans="1:3" x14ac:dyDescent="0.4">
      <c r="A1677">
        <v>1007104</v>
      </c>
      <c r="B1677" s="1" t="s">
        <v>40</v>
      </c>
      <c r="C1677" s="1" t="s">
        <v>40</v>
      </c>
    </row>
    <row r="1678" spans="1:3" x14ac:dyDescent="0.4">
      <c r="A1678">
        <v>1007105</v>
      </c>
      <c r="B1678" s="1" t="s">
        <v>40</v>
      </c>
      <c r="C1678" s="1" t="s">
        <v>40</v>
      </c>
    </row>
    <row r="1679" spans="1:3" x14ac:dyDescent="0.4">
      <c r="A1679">
        <v>1007106</v>
      </c>
      <c r="B1679" s="1" t="s">
        <v>40</v>
      </c>
      <c r="C1679" s="1" t="s">
        <v>40</v>
      </c>
    </row>
    <row r="1680" spans="1:3" x14ac:dyDescent="0.4">
      <c r="A1680">
        <v>1007107</v>
      </c>
      <c r="B1680" s="1" t="s">
        <v>40</v>
      </c>
      <c r="C1680" s="1" t="s">
        <v>40</v>
      </c>
    </row>
    <row r="1681" spans="1:3" x14ac:dyDescent="0.4">
      <c r="A1681">
        <v>1007108</v>
      </c>
      <c r="B1681" s="1" t="s">
        <v>40</v>
      </c>
      <c r="C1681" s="1" t="s">
        <v>40</v>
      </c>
    </row>
    <row r="1682" spans="1:3" x14ac:dyDescent="0.4">
      <c r="A1682">
        <v>1007109</v>
      </c>
      <c r="B1682" s="1" t="s">
        <v>40</v>
      </c>
      <c r="C1682" s="1" t="s">
        <v>40</v>
      </c>
    </row>
    <row r="1683" spans="1:3" x14ac:dyDescent="0.4">
      <c r="A1683">
        <v>1007110</v>
      </c>
      <c r="B1683" s="1" t="s">
        <v>1031</v>
      </c>
      <c r="C1683" s="1" t="s">
        <v>49</v>
      </c>
    </row>
    <row r="1684" spans="1:3" x14ac:dyDescent="0.4">
      <c r="A1684">
        <v>1007111</v>
      </c>
      <c r="B1684" s="1" t="s">
        <v>1032</v>
      </c>
      <c r="C1684" s="1" t="s">
        <v>50</v>
      </c>
    </row>
    <row r="1685" spans="1:3" x14ac:dyDescent="0.4">
      <c r="A1685">
        <v>1007112</v>
      </c>
      <c r="B1685" s="1" t="s">
        <v>1033</v>
      </c>
      <c r="C1685" s="1" t="s">
        <v>51</v>
      </c>
    </row>
    <row r="1686" spans="1:3" x14ac:dyDescent="0.4">
      <c r="A1686">
        <v>1007113</v>
      </c>
      <c r="B1686" s="1" t="s">
        <v>40</v>
      </c>
      <c r="C1686" s="1" t="s">
        <v>40</v>
      </c>
    </row>
    <row r="1687" spans="1:3" x14ac:dyDescent="0.4">
      <c r="A1687">
        <v>1007114</v>
      </c>
      <c r="B1687" s="1" t="s">
        <v>40</v>
      </c>
      <c r="C1687" s="1" t="s">
        <v>40</v>
      </c>
    </row>
    <row r="1688" spans="1:3" x14ac:dyDescent="0.4">
      <c r="A1688">
        <v>1007115</v>
      </c>
      <c r="B1688" s="1" t="s">
        <v>40</v>
      </c>
      <c r="C1688" s="1" t="s">
        <v>40</v>
      </c>
    </row>
    <row r="1689" spans="1:3" x14ac:dyDescent="0.4">
      <c r="A1689">
        <v>1007116</v>
      </c>
      <c r="B1689" s="1" t="s">
        <v>40</v>
      </c>
      <c r="C1689" s="1" t="s">
        <v>40</v>
      </c>
    </row>
    <row r="1690" spans="1:3" x14ac:dyDescent="0.4">
      <c r="A1690">
        <v>1007117</v>
      </c>
      <c r="B1690" s="1" t="s">
        <v>40</v>
      </c>
      <c r="C1690" s="1" t="s">
        <v>40</v>
      </c>
    </row>
    <row r="1691" spans="1:3" x14ac:dyDescent="0.4">
      <c r="A1691">
        <v>1007118</v>
      </c>
      <c r="B1691" s="1" t="s">
        <v>40</v>
      </c>
      <c r="C1691" s="1" t="s">
        <v>40</v>
      </c>
    </row>
    <row r="1692" spans="1:3" x14ac:dyDescent="0.4">
      <c r="A1692">
        <v>1007119</v>
      </c>
      <c r="B1692" s="1" t="s">
        <v>40</v>
      </c>
      <c r="C1692" s="1" t="s">
        <v>40</v>
      </c>
    </row>
    <row r="1693" spans="1:3" x14ac:dyDescent="0.4">
      <c r="A1693">
        <v>1007120</v>
      </c>
      <c r="B1693" s="1" t="s">
        <v>1031</v>
      </c>
      <c r="C1693" s="1" t="s">
        <v>49</v>
      </c>
    </row>
    <row r="1694" spans="1:3" x14ac:dyDescent="0.4">
      <c r="A1694">
        <v>1007121</v>
      </c>
      <c r="B1694" s="1" t="s">
        <v>1032</v>
      </c>
      <c r="C1694" s="1" t="s">
        <v>50</v>
      </c>
    </row>
    <row r="1695" spans="1:3" x14ac:dyDescent="0.4">
      <c r="A1695">
        <v>1007122</v>
      </c>
      <c r="B1695" s="1" t="s">
        <v>1033</v>
      </c>
      <c r="C1695" s="1" t="s">
        <v>51</v>
      </c>
    </row>
    <row r="1696" spans="1:3" x14ac:dyDescent="0.4">
      <c r="A1696">
        <v>1007200</v>
      </c>
      <c r="B1696" s="1" t="s">
        <v>1034</v>
      </c>
      <c r="C1696" s="1" t="s">
        <v>52</v>
      </c>
    </row>
    <row r="1697" spans="1:3" x14ac:dyDescent="0.4">
      <c r="A1697">
        <v>1007201</v>
      </c>
      <c r="B1697" s="1" t="s">
        <v>1035</v>
      </c>
      <c r="C1697" s="1" t="s">
        <v>53</v>
      </c>
    </row>
    <row r="1698" spans="1:3" x14ac:dyDescent="0.4">
      <c r="A1698">
        <v>1007202</v>
      </c>
      <c r="B1698" s="1" t="s">
        <v>1036</v>
      </c>
      <c r="C1698" s="1" t="s">
        <v>54</v>
      </c>
    </row>
    <row r="1699" spans="1:3" x14ac:dyDescent="0.4">
      <c r="A1699">
        <v>1007203</v>
      </c>
      <c r="B1699" s="1" t="s">
        <v>40</v>
      </c>
      <c r="C1699" s="1" t="s">
        <v>40</v>
      </c>
    </row>
    <row r="1700" spans="1:3" x14ac:dyDescent="0.4">
      <c r="A1700">
        <v>1007204</v>
      </c>
      <c r="B1700" s="1" t="s">
        <v>40</v>
      </c>
      <c r="C1700" s="1" t="s">
        <v>40</v>
      </c>
    </row>
    <row r="1701" spans="1:3" x14ac:dyDescent="0.4">
      <c r="A1701">
        <v>1007205</v>
      </c>
      <c r="B1701" s="1" t="s">
        <v>40</v>
      </c>
      <c r="C1701" s="1" t="s">
        <v>40</v>
      </c>
    </row>
    <row r="1702" spans="1:3" x14ac:dyDescent="0.4">
      <c r="A1702">
        <v>1007206</v>
      </c>
      <c r="B1702" s="1" t="s">
        <v>40</v>
      </c>
      <c r="C1702" s="1" t="s">
        <v>40</v>
      </c>
    </row>
    <row r="1703" spans="1:3" x14ac:dyDescent="0.4">
      <c r="A1703">
        <v>1007207</v>
      </c>
      <c r="B1703" s="1" t="s">
        <v>40</v>
      </c>
      <c r="C1703" s="1" t="s">
        <v>40</v>
      </c>
    </row>
    <row r="1704" spans="1:3" x14ac:dyDescent="0.4">
      <c r="A1704">
        <v>1007208</v>
      </c>
      <c r="B1704" s="1" t="s">
        <v>40</v>
      </c>
      <c r="C1704" s="1" t="s">
        <v>40</v>
      </c>
    </row>
    <row r="1705" spans="1:3" x14ac:dyDescent="0.4">
      <c r="A1705">
        <v>1007209</v>
      </c>
      <c r="B1705" s="1" t="s">
        <v>40</v>
      </c>
      <c r="C1705" s="1" t="s">
        <v>40</v>
      </c>
    </row>
    <row r="1706" spans="1:3" x14ac:dyDescent="0.4">
      <c r="A1706">
        <v>1007210</v>
      </c>
      <c r="B1706" s="1" t="s">
        <v>1034</v>
      </c>
      <c r="C1706" s="1" t="s">
        <v>52</v>
      </c>
    </row>
    <row r="1707" spans="1:3" x14ac:dyDescent="0.4">
      <c r="A1707">
        <v>1007211</v>
      </c>
      <c r="B1707" s="1" t="s">
        <v>1035</v>
      </c>
      <c r="C1707" s="1" t="s">
        <v>53</v>
      </c>
    </row>
    <row r="1708" spans="1:3" x14ac:dyDescent="0.4">
      <c r="A1708">
        <v>1007212</v>
      </c>
      <c r="B1708" s="1" t="s">
        <v>1036</v>
      </c>
      <c r="C1708" s="1" t="s">
        <v>54</v>
      </c>
    </row>
    <row r="1709" spans="1:3" x14ac:dyDescent="0.4">
      <c r="A1709">
        <v>1007213</v>
      </c>
      <c r="B1709" s="1" t="s">
        <v>40</v>
      </c>
      <c r="C1709" s="1" t="s">
        <v>40</v>
      </c>
    </row>
    <row r="1710" spans="1:3" x14ac:dyDescent="0.4">
      <c r="A1710">
        <v>1007214</v>
      </c>
      <c r="B1710" s="1" t="s">
        <v>40</v>
      </c>
      <c r="C1710" s="1" t="s">
        <v>40</v>
      </c>
    </row>
    <row r="1711" spans="1:3" x14ac:dyDescent="0.4">
      <c r="A1711">
        <v>1007215</v>
      </c>
      <c r="B1711" s="1" t="s">
        <v>40</v>
      </c>
      <c r="C1711" s="1" t="s">
        <v>40</v>
      </c>
    </row>
    <row r="1712" spans="1:3" x14ac:dyDescent="0.4">
      <c r="A1712">
        <v>1007216</v>
      </c>
      <c r="B1712" s="1" t="s">
        <v>40</v>
      </c>
      <c r="C1712" s="1" t="s">
        <v>40</v>
      </c>
    </row>
    <row r="1713" spans="1:3" x14ac:dyDescent="0.4">
      <c r="A1713">
        <v>1007217</v>
      </c>
      <c r="B1713" s="1" t="s">
        <v>40</v>
      </c>
      <c r="C1713" s="1" t="s">
        <v>40</v>
      </c>
    </row>
    <row r="1714" spans="1:3" x14ac:dyDescent="0.4">
      <c r="A1714">
        <v>1007218</v>
      </c>
      <c r="B1714" s="1" t="s">
        <v>40</v>
      </c>
      <c r="C1714" s="1" t="s">
        <v>40</v>
      </c>
    </row>
    <row r="1715" spans="1:3" x14ac:dyDescent="0.4">
      <c r="A1715">
        <v>1007219</v>
      </c>
      <c r="B1715" s="1" t="s">
        <v>40</v>
      </c>
      <c r="C1715" s="1" t="s">
        <v>40</v>
      </c>
    </row>
    <row r="1716" spans="1:3" x14ac:dyDescent="0.4">
      <c r="A1716">
        <v>1007220</v>
      </c>
      <c r="B1716" s="1" t="s">
        <v>1034</v>
      </c>
      <c r="C1716" s="1" t="s">
        <v>52</v>
      </c>
    </row>
    <row r="1717" spans="1:3" x14ac:dyDescent="0.4">
      <c r="A1717">
        <v>1007221</v>
      </c>
      <c r="B1717" s="1" t="s">
        <v>1035</v>
      </c>
      <c r="C1717" s="1" t="s">
        <v>53</v>
      </c>
    </row>
    <row r="1718" spans="1:3" x14ac:dyDescent="0.4">
      <c r="A1718">
        <v>1007222</v>
      </c>
      <c r="B1718" s="1" t="s">
        <v>1036</v>
      </c>
      <c r="C1718" s="1" t="s">
        <v>54</v>
      </c>
    </row>
    <row r="1719" spans="1:3" x14ac:dyDescent="0.4">
      <c r="A1719">
        <v>1007300</v>
      </c>
      <c r="B1719" s="1" t="s">
        <v>1037</v>
      </c>
      <c r="C1719" s="1" t="s">
        <v>55</v>
      </c>
    </row>
    <row r="1720" spans="1:3" x14ac:dyDescent="0.4">
      <c r="A1720">
        <v>1007301</v>
      </c>
      <c r="B1720" s="1" t="s">
        <v>1038</v>
      </c>
      <c r="C1720" s="1" t="s">
        <v>56</v>
      </c>
    </row>
    <row r="1721" spans="1:3" x14ac:dyDescent="0.4">
      <c r="A1721">
        <v>1007302</v>
      </c>
      <c r="B1721" s="1" t="s">
        <v>1039</v>
      </c>
      <c r="C1721" s="1" t="s">
        <v>57</v>
      </c>
    </row>
    <row r="1722" spans="1:3" x14ac:dyDescent="0.4">
      <c r="A1722">
        <v>1007303</v>
      </c>
      <c r="B1722" s="1" t="s">
        <v>40</v>
      </c>
      <c r="C1722" s="1" t="s">
        <v>40</v>
      </c>
    </row>
    <row r="1723" spans="1:3" x14ac:dyDescent="0.4">
      <c r="A1723">
        <v>1007304</v>
      </c>
      <c r="B1723" s="1" t="s">
        <v>40</v>
      </c>
      <c r="C1723" s="1" t="s">
        <v>40</v>
      </c>
    </row>
    <row r="1724" spans="1:3" x14ac:dyDescent="0.4">
      <c r="A1724">
        <v>1007305</v>
      </c>
      <c r="B1724" s="1" t="s">
        <v>40</v>
      </c>
      <c r="C1724" s="1" t="s">
        <v>40</v>
      </c>
    </row>
    <row r="1725" spans="1:3" x14ac:dyDescent="0.4">
      <c r="A1725">
        <v>1007306</v>
      </c>
      <c r="B1725" s="1" t="s">
        <v>40</v>
      </c>
      <c r="C1725" s="1" t="s">
        <v>40</v>
      </c>
    </row>
    <row r="1726" spans="1:3" x14ac:dyDescent="0.4">
      <c r="A1726">
        <v>1007307</v>
      </c>
      <c r="B1726" s="1" t="s">
        <v>40</v>
      </c>
      <c r="C1726" s="1" t="s">
        <v>40</v>
      </c>
    </row>
    <row r="1727" spans="1:3" x14ac:dyDescent="0.4">
      <c r="A1727">
        <v>1007308</v>
      </c>
      <c r="B1727" s="1" t="s">
        <v>40</v>
      </c>
      <c r="C1727" s="1" t="s">
        <v>40</v>
      </c>
    </row>
    <row r="1728" spans="1:3" x14ac:dyDescent="0.4">
      <c r="A1728">
        <v>1007309</v>
      </c>
      <c r="B1728" s="1" t="s">
        <v>40</v>
      </c>
      <c r="C1728" s="1" t="s">
        <v>40</v>
      </c>
    </row>
    <row r="1729" spans="1:3" x14ac:dyDescent="0.4">
      <c r="A1729">
        <v>1007310</v>
      </c>
      <c r="B1729" s="1" t="s">
        <v>1037</v>
      </c>
      <c r="C1729" s="1" t="s">
        <v>55</v>
      </c>
    </row>
    <row r="1730" spans="1:3" x14ac:dyDescent="0.4">
      <c r="A1730">
        <v>1007311</v>
      </c>
      <c r="B1730" s="1" t="s">
        <v>1038</v>
      </c>
      <c r="C1730" s="1" t="s">
        <v>56</v>
      </c>
    </row>
    <row r="1731" spans="1:3" x14ac:dyDescent="0.4">
      <c r="A1731">
        <v>1007312</v>
      </c>
      <c r="B1731" s="1" t="s">
        <v>1039</v>
      </c>
      <c r="C1731" s="1" t="s">
        <v>57</v>
      </c>
    </row>
    <row r="1732" spans="1:3" x14ac:dyDescent="0.4">
      <c r="A1732">
        <v>1007313</v>
      </c>
      <c r="B1732" s="1" t="s">
        <v>40</v>
      </c>
      <c r="C1732" s="1" t="s">
        <v>40</v>
      </c>
    </row>
    <row r="1733" spans="1:3" x14ac:dyDescent="0.4">
      <c r="A1733">
        <v>1007314</v>
      </c>
      <c r="B1733" s="1" t="s">
        <v>40</v>
      </c>
      <c r="C1733" s="1" t="s">
        <v>40</v>
      </c>
    </row>
    <row r="1734" spans="1:3" x14ac:dyDescent="0.4">
      <c r="A1734">
        <v>1007315</v>
      </c>
      <c r="B1734" s="1" t="s">
        <v>40</v>
      </c>
      <c r="C1734" s="1" t="s">
        <v>40</v>
      </c>
    </row>
    <row r="1735" spans="1:3" x14ac:dyDescent="0.4">
      <c r="A1735">
        <v>1007316</v>
      </c>
      <c r="B1735" s="1" t="s">
        <v>40</v>
      </c>
      <c r="C1735" s="1" t="s">
        <v>40</v>
      </c>
    </row>
    <row r="1736" spans="1:3" x14ac:dyDescent="0.4">
      <c r="A1736">
        <v>1007317</v>
      </c>
      <c r="B1736" s="1" t="s">
        <v>40</v>
      </c>
      <c r="C1736" s="1" t="s">
        <v>40</v>
      </c>
    </row>
    <row r="1737" spans="1:3" x14ac:dyDescent="0.4">
      <c r="A1737">
        <v>1007318</v>
      </c>
      <c r="B1737" s="1" t="s">
        <v>40</v>
      </c>
      <c r="C1737" s="1" t="s">
        <v>40</v>
      </c>
    </row>
    <row r="1738" spans="1:3" x14ac:dyDescent="0.4">
      <c r="A1738">
        <v>1007319</v>
      </c>
      <c r="B1738" s="1" t="s">
        <v>40</v>
      </c>
      <c r="C1738" s="1" t="s">
        <v>40</v>
      </c>
    </row>
    <row r="1739" spans="1:3" x14ac:dyDescent="0.4">
      <c r="A1739">
        <v>1007320</v>
      </c>
      <c r="B1739" s="1" t="s">
        <v>1037</v>
      </c>
      <c r="C1739" s="1" t="s">
        <v>55</v>
      </c>
    </row>
    <row r="1740" spans="1:3" x14ac:dyDescent="0.4">
      <c r="A1740">
        <v>1007321</v>
      </c>
      <c r="B1740" s="1" t="s">
        <v>1038</v>
      </c>
      <c r="C1740" s="1" t="s">
        <v>56</v>
      </c>
    </row>
    <row r="1741" spans="1:3" x14ac:dyDescent="0.4">
      <c r="A1741">
        <v>1007322</v>
      </c>
      <c r="B1741" s="1" t="s">
        <v>1039</v>
      </c>
      <c r="C1741" s="1" t="s">
        <v>57</v>
      </c>
    </row>
    <row r="1742" spans="1:3" x14ac:dyDescent="0.4">
      <c r="A1742">
        <v>1008000</v>
      </c>
      <c r="B1742" s="1" t="s">
        <v>1028</v>
      </c>
      <c r="C1742" s="1" t="s">
        <v>46</v>
      </c>
    </row>
    <row r="1743" spans="1:3" x14ac:dyDescent="0.4">
      <c r="A1743">
        <v>1008001</v>
      </c>
      <c r="B1743" s="1" t="s">
        <v>1029</v>
      </c>
      <c r="C1743" s="1" t="s">
        <v>47</v>
      </c>
    </row>
    <row r="1744" spans="1:3" x14ac:dyDescent="0.4">
      <c r="A1744">
        <v>1008002</v>
      </c>
      <c r="B1744" s="1" t="s">
        <v>1030</v>
      </c>
      <c r="C1744" s="1" t="s">
        <v>48</v>
      </c>
    </row>
    <row r="1745" spans="1:3" x14ac:dyDescent="0.4">
      <c r="A1745">
        <v>1008003</v>
      </c>
      <c r="B1745" s="1" t="s">
        <v>40</v>
      </c>
      <c r="C1745" s="1" t="s">
        <v>40</v>
      </c>
    </row>
    <row r="1746" spans="1:3" x14ac:dyDescent="0.4">
      <c r="A1746">
        <v>1008004</v>
      </c>
      <c r="B1746" s="1" t="s">
        <v>40</v>
      </c>
      <c r="C1746" s="1" t="s">
        <v>40</v>
      </c>
    </row>
    <row r="1747" spans="1:3" x14ac:dyDescent="0.4">
      <c r="A1747">
        <v>1008005</v>
      </c>
      <c r="B1747" s="1" t="s">
        <v>40</v>
      </c>
      <c r="C1747" s="1" t="s">
        <v>40</v>
      </c>
    </row>
    <row r="1748" spans="1:3" x14ac:dyDescent="0.4">
      <c r="A1748">
        <v>1008006</v>
      </c>
      <c r="B1748" s="1" t="s">
        <v>40</v>
      </c>
      <c r="C1748" s="1" t="s">
        <v>40</v>
      </c>
    </row>
    <row r="1749" spans="1:3" x14ac:dyDescent="0.4">
      <c r="A1749">
        <v>1008007</v>
      </c>
      <c r="B1749" s="1" t="s">
        <v>40</v>
      </c>
      <c r="C1749" s="1" t="s">
        <v>40</v>
      </c>
    </row>
    <row r="1750" spans="1:3" x14ac:dyDescent="0.4">
      <c r="A1750">
        <v>1008008</v>
      </c>
      <c r="B1750" s="1" t="s">
        <v>40</v>
      </c>
      <c r="C1750" s="1" t="s">
        <v>40</v>
      </c>
    </row>
    <row r="1751" spans="1:3" x14ac:dyDescent="0.4">
      <c r="A1751">
        <v>1008009</v>
      </c>
      <c r="B1751" s="1" t="s">
        <v>40</v>
      </c>
      <c r="C1751" s="1" t="s">
        <v>40</v>
      </c>
    </row>
    <row r="1752" spans="1:3" x14ac:dyDescent="0.4">
      <c r="A1752">
        <v>1008010</v>
      </c>
      <c r="B1752" s="1" t="s">
        <v>1028</v>
      </c>
      <c r="C1752" s="1" t="s">
        <v>46</v>
      </c>
    </row>
    <row r="1753" spans="1:3" x14ac:dyDescent="0.4">
      <c r="A1753">
        <v>1008011</v>
      </c>
      <c r="B1753" s="1" t="s">
        <v>1029</v>
      </c>
      <c r="C1753" s="1" t="s">
        <v>47</v>
      </c>
    </row>
    <row r="1754" spans="1:3" x14ac:dyDescent="0.4">
      <c r="A1754">
        <v>1008012</v>
      </c>
      <c r="B1754" s="1" t="s">
        <v>1030</v>
      </c>
      <c r="C1754" s="1" t="s">
        <v>48</v>
      </c>
    </row>
    <row r="1755" spans="1:3" x14ac:dyDescent="0.4">
      <c r="A1755">
        <v>1008013</v>
      </c>
      <c r="B1755" s="1" t="s">
        <v>40</v>
      </c>
      <c r="C1755" s="1" t="s">
        <v>40</v>
      </c>
    </row>
    <row r="1756" spans="1:3" x14ac:dyDescent="0.4">
      <c r="A1756">
        <v>1008014</v>
      </c>
      <c r="B1756" s="1" t="s">
        <v>40</v>
      </c>
      <c r="C1756" s="1" t="s">
        <v>40</v>
      </c>
    </row>
    <row r="1757" spans="1:3" x14ac:dyDescent="0.4">
      <c r="A1757">
        <v>1008015</v>
      </c>
      <c r="B1757" s="1" t="s">
        <v>40</v>
      </c>
      <c r="C1757" s="1" t="s">
        <v>40</v>
      </c>
    </row>
    <row r="1758" spans="1:3" x14ac:dyDescent="0.4">
      <c r="A1758">
        <v>1008016</v>
      </c>
      <c r="B1758" s="1" t="s">
        <v>40</v>
      </c>
      <c r="C1758" s="1" t="s">
        <v>40</v>
      </c>
    </row>
    <row r="1759" spans="1:3" x14ac:dyDescent="0.4">
      <c r="A1759">
        <v>1008017</v>
      </c>
      <c r="B1759" s="1" t="s">
        <v>40</v>
      </c>
      <c r="C1759" s="1" t="s">
        <v>40</v>
      </c>
    </row>
    <row r="1760" spans="1:3" x14ac:dyDescent="0.4">
      <c r="A1760">
        <v>1008018</v>
      </c>
      <c r="B1760" s="1" t="s">
        <v>40</v>
      </c>
      <c r="C1760" s="1" t="s">
        <v>40</v>
      </c>
    </row>
    <row r="1761" spans="1:3" x14ac:dyDescent="0.4">
      <c r="A1761">
        <v>1008019</v>
      </c>
      <c r="B1761" s="1" t="s">
        <v>40</v>
      </c>
      <c r="C1761" s="1" t="s">
        <v>40</v>
      </c>
    </row>
    <row r="1762" spans="1:3" x14ac:dyDescent="0.4">
      <c r="A1762">
        <v>1008020</v>
      </c>
      <c r="B1762" s="1" t="s">
        <v>1028</v>
      </c>
      <c r="C1762" s="1" t="s">
        <v>46</v>
      </c>
    </row>
    <row r="1763" spans="1:3" x14ac:dyDescent="0.4">
      <c r="A1763">
        <v>1008021</v>
      </c>
      <c r="B1763" s="1" t="s">
        <v>1029</v>
      </c>
      <c r="C1763" s="1" t="s">
        <v>47</v>
      </c>
    </row>
    <row r="1764" spans="1:3" x14ac:dyDescent="0.4">
      <c r="A1764">
        <v>1008022</v>
      </c>
      <c r="B1764" s="1" t="s">
        <v>1030</v>
      </c>
      <c r="C1764" s="1" t="s">
        <v>48</v>
      </c>
    </row>
    <row r="1765" spans="1:3" x14ac:dyDescent="0.4">
      <c r="A1765">
        <v>1008100</v>
      </c>
      <c r="B1765" s="1" t="s">
        <v>1031</v>
      </c>
      <c r="C1765" s="1" t="s">
        <v>49</v>
      </c>
    </row>
    <row r="1766" spans="1:3" x14ac:dyDescent="0.4">
      <c r="A1766">
        <v>1008101</v>
      </c>
      <c r="B1766" s="1" t="s">
        <v>1032</v>
      </c>
      <c r="C1766" s="1" t="s">
        <v>50</v>
      </c>
    </row>
    <row r="1767" spans="1:3" x14ac:dyDescent="0.4">
      <c r="A1767">
        <v>1008102</v>
      </c>
      <c r="B1767" s="1" t="s">
        <v>1033</v>
      </c>
      <c r="C1767" s="1" t="s">
        <v>51</v>
      </c>
    </row>
    <row r="1768" spans="1:3" x14ac:dyDescent="0.4">
      <c r="A1768">
        <v>1008103</v>
      </c>
      <c r="B1768" s="1" t="s">
        <v>40</v>
      </c>
      <c r="C1768" s="1" t="s">
        <v>40</v>
      </c>
    </row>
    <row r="1769" spans="1:3" x14ac:dyDescent="0.4">
      <c r="A1769">
        <v>1008104</v>
      </c>
      <c r="B1769" s="1" t="s">
        <v>40</v>
      </c>
      <c r="C1769" s="1" t="s">
        <v>40</v>
      </c>
    </row>
    <row r="1770" spans="1:3" x14ac:dyDescent="0.4">
      <c r="A1770">
        <v>1008105</v>
      </c>
      <c r="B1770" s="1" t="s">
        <v>40</v>
      </c>
      <c r="C1770" s="1" t="s">
        <v>40</v>
      </c>
    </row>
    <row r="1771" spans="1:3" x14ac:dyDescent="0.4">
      <c r="A1771">
        <v>1008106</v>
      </c>
      <c r="B1771" s="1" t="s">
        <v>40</v>
      </c>
      <c r="C1771" s="1" t="s">
        <v>40</v>
      </c>
    </row>
    <row r="1772" spans="1:3" x14ac:dyDescent="0.4">
      <c r="A1772">
        <v>1008107</v>
      </c>
      <c r="B1772" s="1" t="s">
        <v>40</v>
      </c>
      <c r="C1772" s="1" t="s">
        <v>40</v>
      </c>
    </row>
    <row r="1773" spans="1:3" x14ac:dyDescent="0.4">
      <c r="A1773">
        <v>1008108</v>
      </c>
      <c r="B1773" s="1" t="s">
        <v>40</v>
      </c>
      <c r="C1773" s="1" t="s">
        <v>40</v>
      </c>
    </row>
    <row r="1774" spans="1:3" x14ac:dyDescent="0.4">
      <c r="A1774">
        <v>1008109</v>
      </c>
      <c r="B1774" s="1" t="s">
        <v>40</v>
      </c>
      <c r="C1774" s="1" t="s">
        <v>40</v>
      </c>
    </row>
    <row r="1775" spans="1:3" x14ac:dyDescent="0.4">
      <c r="A1775">
        <v>1008110</v>
      </c>
      <c r="B1775" s="1" t="s">
        <v>1031</v>
      </c>
      <c r="C1775" s="1" t="s">
        <v>49</v>
      </c>
    </row>
    <row r="1776" spans="1:3" x14ac:dyDescent="0.4">
      <c r="A1776">
        <v>1008111</v>
      </c>
      <c r="B1776" s="1" t="s">
        <v>1032</v>
      </c>
      <c r="C1776" s="1" t="s">
        <v>50</v>
      </c>
    </row>
    <row r="1777" spans="1:3" x14ac:dyDescent="0.4">
      <c r="A1777">
        <v>1008112</v>
      </c>
      <c r="B1777" s="1" t="s">
        <v>1033</v>
      </c>
      <c r="C1777" s="1" t="s">
        <v>51</v>
      </c>
    </row>
    <row r="1778" spans="1:3" x14ac:dyDescent="0.4">
      <c r="A1778">
        <v>1008113</v>
      </c>
      <c r="B1778" s="1" t="s">
        <v>40</v>
      </c>
      <c r="C1778" s="1" t="s">
        <v>40</v>
      </c>
    </row>
    <row r="1779" spans="1:3" x14ac:dyDescent="0.4">
      <c r="A1779">
        <v>1008114</v>
      </c>
      <c r="B1779" s="1" t="s">
        <v>40</v>
      </c>
      <c r="C1779" s="1" t="s">
        <v>40</v>
      </c>
    </row>
    <row r="1780" spans="1:3" x14ac:dyDescent="0.4">
      <c r="A1780">
        <v>1008115</v>
      </c>
      <c r="B1780" s="1" t="s">
        <v>40</v>
      </c>
      <c r="C1780" s="1" t="s">
        <v>40</v>
      </c>
    </row>
    <row r="1781" spans="1:3" x14ac:dyDescent="0.4">
      <c r="A1781">
        <v>1008116</v>
      </c>
      <c r="B1781" s="1" t="s">
        <v>40</v>
      </c>
      <c r="C1781" s="1" t="s">
        <v>40</v>
      </c>
    </row>
    <row r="1782" spans="1:3" x14ac:dyDescent="0.4">
      <c r="A1782">
        <v>1008117</v>
      </c>
      <c r="B1782" s="1" t="s">
        <v>40</v>
      </c>
      <c r="C1782" s="1" t="s">
        <v>40</v>
      </c>
    </row>
    <row r="1783" spans="1:3" x14ac:dyDescent="0.4">
      <c r="A1783">
        <v>1008118</v>
      </c>
      <c r="B1783" s="1" t="s">
        <v>40</v>
      </c>
      <c r="C1783" s="1" t="s">
        <v>40</v>
      </c>
    </row>
    <row r="1784" spans="1:3" x14ac:dyDescent="0.4">
      <c r="A1784">
        <v>1008119</v>
      </c>
      <c r="B1784" s="1" t="s">
        <v>40</v>
      </c>
      <c r="C1784" s="1" t="s">
        <v>40</v>
      </c>
    </row>
    <row r="1785" spans="1:3" x14ac:dyDescent="0.4">
      <c r="A1785">
        <v>1008120</v>
      </c>
      <c r="B1785" s="1" t="s">
        <v>1031</v>
      </c>
      <c r="C1785" s="1" t="s">
        <v>49</v>
      </c>
    </row>
    <row r="1786" spans="1:3" x14ac:dyDescent="0.4">
      <c r="A1786">
        <v>1008121</v>
      </c>
      <c r="B1786" s="1" t="s">
        <v>1032</v>
      </c>
      <c r="C1786" s="1" t="s">
        <v>50</v>
      </c>
    </row>
    <row r="1787" spans="1:3" x14ac:dyDescent="0.4">
      <c r="A1787">
        <v>1008122</v>
      </c>
      <c r="B1787" s="1" t="s">
        <v>1033</v>
      </c>
      <c r="C1787" s="1" t="s">
        <v>51</v>
      </c>
    </row>
    <row r="1788" spans="1:3" x14ac:dyDescent="0.4">
      <c r="A1788">
        <v>1008200</v>
      </c>
      <c r="B1788" s="1" t="s">
        <v>1034</v>
      </c>
      <c r="C1788" s="1" t="s">
        <v>52</v>
      </c>
    </row>
    <row r="1789" spans="1:3" x14ac:dyDescent="0.4">
      <c r="A1789">
        <v>1008201</v>
      </c>
      <c r="B1789" s="1" t="s">
        <v>1035</v>
      </c>
      <c r="C1789" s="1" t="s">
        <v>53</v>
      </c>
    </row>
    <row r="1790" spans="1:3" x14ac:dyDescent="0.4">
      <c r="A1790">
        <v>1008202</v>
      </c>
      <c r="B1790" s="1" t="s">
        <v>1036</v>
      </c>
      <c r="C1790" s="1" t="s">
        <v>54</v>
      </c>
    </row>
    <row r="1791" spans="1:3" x14ac:dyDescent="0.4">
      <c r="A1791">
        <v>1008203</v>
      </c>
      <c r="B1791" s="1" t="s">
        <v>40</v>
      </c>
      <c r="C1791" s="1" t="s">
        <v>40</v>
      </c>
    </row>
    <row r="1792" spans="1:3" x14ac:dyDescent="0.4">
      <c r="A1792">
        <v>1008204</v>
      </c>
      <c r="B1792" s="1" t="s">
        <v>40</v>
      </c>
      <c r="C1792" s="1" t="s">
        <v>40</v>
      </c>
    </row>
    <row r="1793" spans="1:3" x14ac:dyDescent="0.4">
      <c r="A1793">
        <v>1008205</v>
      </c>
      <c r="B1793" s="1" t="s">
        <v>40</v>
      </c>
      <c r="C1793" s="1" t="s">
        <v>40</v>
      </c>
    </row>
    <row r="1794" spans="1:3" x14ac:dyDescent="0.4">
      <c r="A1794">
        <v>1008206</v>
      </c>
      <c r="B1794" s="1" t="s">
        <v>40</v>
      </c>
      <c r="C1794" s="1" t="s">
        <v>40</v>
      </c>
    </row>
    <row r="1795" spans="1:3" x14ac:dyDescent="0.4">
      <c r="A1795">
        <v>1008207</v>
      </c>
      <c r="B1795" s="1" t="s">
        <v>40</v>
      </c>
      <c r="C1795" s="1" t="s">
        <v>40</v>
      </c>
    </row>
    <row r="1796" spans="1:3" x14ac:dyDescent="0.4">
      <c r="A1796">
        <v>1008208</v>
      </c>
      <c r="B1796" s="1" t="s">
        <v>40</v>
      </c>
      <c r="C1796" s="1" t="s">
        <v>40</v>
      </c>
    </row>
    <row r="1797" spans="1:3" x14ac:dyDescent="0.4">
      <c r="A1797">
        <v>1008209</v>
      </c>
      <c r="B1797" s="1" t="s">
        <v>40</v>
      </c>
      <c r="C1797" s="1" t="s">
        <v>40</v>
      </c>
    </row>
    <row r="1798" spans="1:3" x14ac:dyDescent="0.4">
      <c r="A1798">
        <v>1008210</v>
      </c>
      <c r="B1798" s="1" t="s">
        <v>1034</v>
      </c>
      <c r="C1798" s="1" t="s">
        <v>52</v>
      </c>
    </row>
    <row r="1799" spans="1:3" x14ac:dyDescent="0.4">
      <c r="A1799">
        <v>1008211</v>
      </c>
      <c r="B1799" s="1" t="s">
        <v>1035</v>
      </c>
      <c r="C1799" s="1" t="s">
        <v>53</v>
      </c>
    </row>
    <row r="1800" spans="1:3" x14ac:dyDescent="0.4">
      <c r="A1800">
        <v>1008212</v>
      </c>
      <c r="B1800" s="1" t="s">
        <v>1036</v>
      </c>
      <c r="C1800" s="1" t="s">
        <v>54</v>
      </c>
    </row>
    <row r="1801" spans="1:3" x14ac:dyDescent="0.4">
      <c r="A1801">
        <v>1008213</v>
      </c>
      <c r="B1801" s="1" t="s">
        <v>40</v>
      </c>
      <c r="C1801" s="1" t="s">
        <v>40</v>
      </c>
    </row>
    <row r="1802" spans="1:3" x14ac:dyDescent="0.4">
      <c r="A1802">
        <v>1008214</v>
      </c>
      <c r="B1802" s="1" t="s">
        <v>40</v>
      </c>
      <c r="C1802" s="1" t="s">
        <v>40</v>
      </c>
    </row>
    <row r="1803" spans="1:3" x14ac:dyDescent="0.4">
      <c r="A1803">
        <v>1008215</v>
      </c>
      <c r="B1803" s="1" t="s">
        <v>40</v>
      </c>
      <c r="C1803" s="1" t="s">
        <v>40</v>
      </c>
    </row>
    <row r="1804" spans="1:3" x14ac:dyDescent="0.4">
      <c r="A1804">
        <v>1008216</v>
      </c>
      <c r="B1804" s="1" t="s">
        <v>40</v>
      </c>
      <c r="C1804" s="1" t="s">
        <v>40</v>
      </c>
    </row>
    <row r="1805" spans="1:3" x14ac:dyDescent="0.4">
      <c r="A1805">
        <v>1008217</v>
      </c>
      <c r="B1805" s="1" t="s">
        <v>40</v>
      </c>
      <c r="C1805" s="1" t="s">
        <v>40</v>
      </c>
    </row>
    <row r="1806" spans="1:3" x14ac:dyDescent="0.4">
      <c r="A1806">
        <v>1008218</v>
      </c>
      <c r="B1806" s="1" t="s">
        <v>40</v>
      </c>
      <c r="C1806" s="1" t="s">
        <v>40</v>
      </c>
    </row>
    <row r="1807" spans="1:3" x14ac:dyDescent="0.4">
      <c r="A1807">
        <v>1008219</v>
      </c>
      <c r="B1807" s="1" t="s">
        <v>40</v>
      </c>
      <c r="C1807" s="1" t="s">
        <v>40</v>
      </c>
    </row>
    <row r="1808" spans="1:3" x14ac:dyDescent="0.4">
      <c r="A1808">
        <v>1008220</v>
      </c>
      <c r="B1808" s="1" t="s">
        <v>1034</v>
      </c>
      <c r="C1808" s="1" t="s">
        <v>52</v>
      </c>
    </row>
    <row r="1809" spans="1:3" x14ac:dyDescent="0.4">
      <c r="A1809">
        <v>1008221</v>
      </c>
      <c r="B1809" s="1" t="s">
        <v>1035</v>
      </c>
      <c r="C1809" s="1" t="s">
        <v>53</v>
      </c>
    </row>
    <row r="1810" spans="1:3" x14ac:dyDescent="0.4">
      <c r="A1810">
        <v>1008222</v>
      </c>
      <c r="B1810" s="1" t="s">
        <v>1036</v>
      </c>
      <c r="C1810" s="1" t="s">
        <v>54</v>
      </c>
    </row>
    <row r="1811" spans="1:3" x14ac:dyDescent="0.4">
      <c r="A1811">
        <v>1008300</v>
      </c>
      <c r="B1811" s="1" t="s">
        <v>1037</v>
      </c>
      <c r="C1811" s="1" t="s">
        <v>55</v>
      </c>
    </row>
    <row r="1812" spans="1:3" x14ac:dyDescent="0.4">
      <c r="A1812">
        <v>1008301</v>
      </c>
      <c r="B1812" s="1" t="s">
        <v>1038</v>
      </c>
      <c r="C1812" s="1" t="s">
        <v>56</v>
      </c>
    </row>
    <row r="1813" spans="1:3" x14ac:dyDescent="0.4">
      <c r="A1813">
        <v>1008302</v>
      </c>
      <c r="B1813" s="1" t="s">
        <v>1039</v>
      </c>
      <c r="C1813" s="1" t="s">
        <v>57</v>
      </c>
    </row>
    <row r="1814" spans="1:3" x14ac:dyDescent="0.4">
      <c r="A1814">
        <v>1008303</v>
      </c>
      <c r="B1814" s="1" t="s">
        <v>40</v>
      </c>
      <c r="C1814" s="1" t="s">
        <v>40</v>
      </c>
    </row>
    <row r="1815" spans="1:3" x14ac:dyDescent="0.4">
      <c r="A1815">
        <v>1008304</v>
      </c>
      <c r="B1815" s="1" t="s">
        <v>40</v>
      </c>
      <c r="C1815" s="1" t="s">
        <v>40</v>
      </c>
    </row>
    <row r="1816" spans="1:3" x14ac:dyDescent="0.4">
      <c r="A1816">
        <v>1008305</v>
      </c>
      <c r="B1816" s="1" t="s">
        <v>40</v>
      </c>
      <c r="C1816" s="1" t="s">
        <v>40</v>
      </c>
    </row>
    <row r="1817" spans="1:3" x14ac:dyDescent="0.4">
      <c r="A1817">
        <v>1008306</v>
      </c>
      <c r="B1817" s="1" t="s">
        <v>40</v>
      </c>
      <c r="C1817" s="1" t="s">
        <v>40</v>
      </c>
    </row>
    <row r="1818" spans="1:3" x14ac:dyDescent="0.4">
      <c r="A1818">
        <v>1008307</v>
      </c>
      <c r="B1818" s="1" t="s">
        <v>40</v>
      </c>
      <c r="C1818" s="1" t="s">
        <v>40</v>
      </c>
    </row>
    <row r="1819" spans="1:3" x14ac:dyDescent="0.4">
      <c r="A1819">
        <v>1008308</v>
      </c>
      <c r="B1819" s="1" t="s">
        <v>40</v>
      </c>
      <c r="C1819" s="1" t="s">
        <v>40</v>
      </c>
    </row>
    <row r="1820" spans="1:3" x14ac:dyDescent="0.4">
      <c r="A1820">
        <v>1008309</v>
      </c>
      <c r="B1820" s="1" t="s">
        <v>40</v>
      </c>
      <c r="C1820" s="1" t="s">
        <v>40</v>
      </c>
    </row>
    <row r="1821" spans="1:3" x14ac:dyDescent="0.4">
      <c r="A1821">
        <v>1008310</v>
      </c>
      <c r="B1821" s="1" t="s">
        <v>1037</v>
      </c>
      <c r="C1821" s="1" t="s">
        <v>55</v>
      </c>
    </row>
    <row r="1822" spans="1:3" x14ac:dyDescent="0.4">
      <c r="A1822">
        <v>1008311</v>
      </c>
      <c r="B1822" s="1" t="s">
        <v>1038</v>
      </c>
      <c r="C1822" s="1" t="s">
        <v>56</v>
      </c>
    </row>
    <row r="1823" spans="1:3" x14ac:dyDescent="0.4">
      <c r="A1823">
        <v>1008312</v>
      </c>
      <c r="B1823" s="1" t="s">
        <v>1039</v>
      </c>
      <c r="C1823" s="1" t="s">
        <v>57</v>
      </c>
    </row>
    <row r="1824" spans="1:3" x14ac:dyDescent="0.4">
      <c r="A1824">
        <v>1008313</v>
      </c>
      <c r="B1824" s="1" t="s">
        <v>40</v>
      </c>
      <c r="C1824" s="1" t="s">
        <v>40</v>
      </c>
    </row>
    <row r="1825" spans="1:3" x14ac:dyDescent="0.4">
      <c r="A1825">
        <v>1008314</v>
      </c>
      <c r="B1825" s="1" t="s">
        <v>40</v>
      </c>
      <c r="C1825" s="1" t="s">
        <v>40</v>
      </c>
    </row>
    <row r="1826" spans="1:3" x14ac:dyDescent="0.4">
      <c r="A1826">
        <v>1008315</v>
      </c>
      <c r="B1826" s="1" t="s">
        <v>40</v>
      </c>
      <c r="C1826" s="1" t="s">
        <v>40</v>
      </c>
    </row>
    <row r="1827" spans="1:3" x14ac:dyDescent="0.4">
      <c r="A1827">
        <v>1008316</v>
      </c>
      <c r="B1827" s="1" t="s">
        <v>40</v>
      </c>
      <c r="C1827" s="1" t="s">
        <v>40</v>
      </c>
    </row>
    <row r="1828" spans="1:3" x14ac:dyDescent="0.4">
      <c r="A1828">
        <v>1008317</v>
      </c>
      <c r="B1828" s="1" t="s">
        <v>40</v>
      </c>
      <c r="C1828" s="1" t="s">
        <v>40</v>
      </c>
    </row>
    <row r="1829" spans="1:3" x14ac:dyDescent="0.4">
      <c r="A1829">
        <v>1008318</v>
      </c>
      <c r="B1829" s="1" t="s">
        <v>40</v>
      </c>
      <c r="C1829" s="1" t="s">
        <v>40</v>
      </c>
    </row>
    <row r="1830" spans="1:3" x14ac:dyDescent="0.4">
      <c r="A1830">
        <v>1008319</v>
      </c>
      <c r="B1830" s="1" t="s">
        <v>40</v>
      </c>
      <c r="C1830" s="1" t="s">
        <v>40</v>
      </c>
    </row>
    <row r="1831" spans="1:3" x14ac:dyDescent="0.4">
      <c r="A1831">
        <v>1008320</v>
      </c>
      <c r="B1831" s="1" t="s">
        <v>1037</v>
      </c>
      <c r="C1831" s="1" t="s">
        <v>55</v>
      </c>
    </row>
    <row r="1832" spans="1:3" x14ac:dyDescent="0.4">
      <c r="A1832">
        <v>1008321</v>
      </c>
      <c r="B1832" s="1" t="s">
        <v>1038</v>
      </c>
      <c r="C1832" s="1" t="s">
        <v>56</v>
      </c>
    </row>
    <row r="1833" spans="1:3" x14ac:dyDescent="0.4">
      <c r="A1833">
        <v>1008322</v>
      </c>
      <c r="B1833" s="1" t="s">
        <v>1039</v>
      </c>
      <c r="C1833" s="1" t="s">
        <v>57</v>
      </c>
    </row>
    <row r="1834" spans="1:3" x14ac:dyDescent="0.4">
      <c r="A1834">
        <v>1009000</v>
      </c>
      <c r="B1834" s="1" t="s">
        <v>1028</v>
      </c>
      <c r="C1834" s="1" t="s">
        <v>46</v>
      </c>
    </row>
    <row r="1835" spans="1:3" x14ac:dyDescent="0.4">
      <c r="A1835">
        <v>1009001</v>
      </c>
      <c r="B1835" s="1" t="s">
        <v>1029</v>
      </c>
      <c r="C1835" s="1" t="s">
        <v>47</v>
      </c>
    </row>
    <row r="1836" spans="1:3" x14ac:dyDescent="0.4">
      <c r="A1836">
        <v>1009002</v>
      </c>
      <c r="B1836" s="1" t="s">
        <v>1030</v>
      </c>
      <c r="C1836" s="1" t="s">
        <v>48</v>
      </c>
    </row>
    <row r="1837" spans="1:3" x14ac:dyDescent="0.4">
      <c r="A1837">
        <v>1009003</v>
      </c>
      <c r="B1837" s="1" t="s">
        <v>40</v>
      </c>
      <c r="C1837" s="1" t="s">
        <v>40</v>
      </c>
    </row>
    <row r="1838" spans="1:3" x14ac:dyDescent="0.4">
      <c r="A1838">
        <v>1009004</v>
      </c>
      <c r="B1838" s="1" t="s">
        <v>40</v>
      </c>
      <c r="C1838" s="1" t="s">
        <v>40</v>
      </c>
    </row>
    <row r="1839" spans="1:3" x14ac:dyDescent="0.4">
      <c r="A1839">
        <v>1009005</v>
      </c>
      <c r="B1839" s="1" t="s">
        <v>40</v>
      </c>
      <c r="C1839" s="1" t="s">
        <v>40</v>
      </c>
    </row>
    <row r="1840" spans="1:3" x14ac:dyDescent="0.4">
      <c r="A1840">
        <v>1009006</v>
      </c>
      <c r="B1840" s="1" t="s">
        <v>40</v>
      </c>
      <c r="C1840" s="1" t="s">
        <v>40</v>
      </c>
    </row>
    <row r="1841" spans="1:3" x14ac:dyDescent="0.4">
      <c r="A1841">
        <v>1009007</v>
      </c>
      <c r="B1841" s="1" t="s">
        <v>40</v>
      </c>
      <c r="C1841" s="1" t="s">
        <v>40</v>
      </c>
    </row>
    <row r="1842" spans="1:3" x14ac:dyDescent="0.4">
      <c r="A1842">
        <v>1009008</v>
      </c>
      <c r="B1842" s="1" t="s">
        <v>40</v>
      </c>
      <c r="C1842" s="1" t="s">
        <v>40</v>
      </c>
    </row>
    <row r="1843" spans="1:3" x14ac:dyDescent="0.4">
      <c r="A1843">
        <v>1009009</v>
      </c>
      <c r="B1843" s="1" t="s">
        <v>40</v>
      </c>
      <c r="C1843" s="1" t="s">
        <v>40</v>
      </c>
    </row>
    <row r="1844" spans="1:3" x14ac:dyDescent="0.4">
      <c r="A1844">
        <v>1009010</v>
      </c>
      <c r="B1844" s="1" t="s">
        <v>1028</v>
      </c>
      <c r="C1844" s="1" t="s">
        <v>46</v>
      </c>
    </row>
    <row r="1845" spans="1:3" x14ac:dyDescent="0.4">
      <c r="A1845">
        <v>1009011</v>
      </c>
      <c r="B1845" s="1" t="s">
        <v>1029</v>
      </c>
      <c r="C1845" s="1" t="s">
        <v>47</v>
      </c>
    </row>
    <row r="1846" spans="1:3" x14ac:dyDescent="0.4">
      <c r="A1846">
        <v>1009012</v>
      </c>
      <c r="B1846" s="1" t="s">
        <v>1030</v>
      </c>
      <c r="C1846" s="1" t="s">
        <v>48</v>
      </c>
    </row>
    <row r="1847" spans="1:3" x14ac:dyDescent="0.4">
      <c r="A1847">
        <v>1009013</v>
      </c>
      <c r="B1847" s="1" t="s">
        <v>40</v>
      </c>
      <c r="C1847" s="1" t="s">
        <v>40</v>
      </c>
    </row>
    <row r="1848" spans="1:3" x14ac:dyDescent="0.4">
      <c r="A1848">
        <v>1009014</v>
      </c>
      <c r="B1848" s="1" t="s">
        <v>40</v>
      </c>
      <c r="C1848" s="1" t="s">
        <v>40</v>
      </c>
    </row>
    <row r="1849" spans="1:3" x14ac:dyDescent="0.4">
      <c r="A1849">
        <v>1009015</v>
      </c>
      <c r="B1849" s="1" t="s">
        <v>40</v>
      </c>
      <c r="C1849" s="1" t="s">
        <v>40</v>
      </c>
    </row>
    <row r="1850" spans="1:3" x14ac:dyDescent="0.4">
      <c r="A1850">
        <v>1009016</v>
      </c>
      <c r="B1850" s="1" t="s">
        <v>40</v>
      </c>
      <c r="C1850" s="1" t="s">
        <v>40</v>
      </c>
    </row>
    <row r="1851" spans="1:3" x14ac:dyDescent="0.4">
      <c r="A1851">
        <v>1009017</v>
      </c>
      <c r="B1851" s="1" t="s">
        <v>40</v>
      </c>
      <c r="C1851" s="1" t="s">
        <v>40</v>
      </c>
    </row>
    <row r="1852" spans="1:3" x14ac:dyDescent="0.4">
      <c r="A1852">
        <v>1009018</v>
      </c>
      <c r="B1852" s="1" t="s">
        <v>40</v>
      </c>
      <c r="C1852" s="1" t="s">
        <v>40</v>
      </c>
    </row>
    <row r="1853" spans="1:3" x14ac:dyDescent="0.4">
      <c r="A1853">
        <v>1009019</v>
      </c>
      <c r="B1853" s="1" t="s">
        <v>40</v>
      </c>
      <c r="C1853" s="1" t="s">
        <v>40</v>
      </c>
    </row>
    <row r="1854" spans="1:3" x14ac:dyDescent="0.4">
      <c r="A1854">
        <v>1009020</v>
      </c>
      <c r="B1854" s="1" t="s">
        <v>1028</v>
      </c>
      <c r="C1854" s="1" t="s">
        <v>46</v>
      </c>
    </row>
    <row r="1855" spans="1:3" x14ac:dyDescent="0.4">
      <c r="A1855">
        <v>1009021</v>
      </c>
      <c r="B1855" s="1" t="s">
        <v>1029</v>
      </c>
      <c r="C1855" s="1" t="s">
        <v>47</v>
      </c>
    </row>
    <row r="1856" spans="1:3" x14ac:dyDescent="0.4">
      <c r="A1856">
        <v>1009022</v>
      </c>
      <c r="B1856" s="1" t="s">
        <v>1030</v>
      </c>
      <c r="C1856" s="1" t="s">
        <v>48</v>
      </c>
    </row>
    <row r="1857" spans="1:3" x14ac:dyDescent="0.4">
      <c r="A1857">
        <v>1009100</v>
      </c>
      <c r="B1857" s="1" t="s">
        <v>1031</v>
      </c>
      <c r="C1857" s="1" t="s">
        <v>49</v>
      </c>
    </row>
    <row r="1858" spans="1:3" x14ac:dyDescent="0.4">
      <c r="A1858">
        <v>1009101</v>
      </c>
      <c r="B1858" s="1" t="s">
        <v>1032</v>
      </c>
      <c r="C1858" s="1" t="s">
        <v>50</v>
      </c>
    </row>
    <row r="1859" spans="1:3" x14ac:dyDescent="0.4">
      <c r="A1859">
        <v>1009102</v>
      </c>
      <c r="B1859" s="1" t="s">
        <v>1033</v>
      </c>
      <c r="C1859" s="1" t="s">
        <v>51</v>
      </c>
    </row>
    <row r="1860" spans="1:3" x14ac:dyDescent="0.4">
      <c r="A1860">
        <v>1009103</v>
      </c>
      <c r="B1860" s="1" t="s">
        <v>40</v>
      </c>
      <c r="C1860" s="1" t="s">
        <v>40</v>
      </c>
    </row>
    <row r="1861" spans="1:3" x14ac:dyDescent="0.4">
      <c r="A1861">
        <v>1009104</v>
      </c>
      <c r="B1861" s="1" t="s">
        <v>40</v>
      </c>
      <c r="C1861" s="1" t="s">
        <v>40</v>
      </c>
    </row>
    <row r="1862" spans="1:3" x14ac:dyDescent="0.4">
      <c r="A1862">
        <v>1009105</v>
      </c>
      <c r="B1862" s="1" t="s">
        <v>40</v>
      </c>
      <c r="C1862" s="1" t="s">
        <v>40</v>
      </c>
    </row>
    <row r="1863" spans="1:3" x14ac:dyDescent="0.4">
      <c r="A1863">
        <v>1009106</v>
      </c>
      <c r="B1863" s="1" t="s">
        <v>40</v>
      </c>
      <c r="C1863" s="1" t="s">
        <v>40</v>
      </c>
    </row>
    <row r="1864" spans="1:3" x14ac:dyDescent="0.4">
      <c r="A1864">
        <v>1009107</v>
      </c>
      <c r="B1864" s="1" t="s">
        <v>40</v>
      </c>
      <c r="C1864" s="1" t="s">
        <v>40</v>
      </c>
    </row>
    <row r="1865" spans="1:3" x14ac:dyDescent="0.4">
      <c r="A1865">
        <v>1009108</v>
      </c>
      <c r="B1865" s="1" t="s">
        <v>40</v>
      </c>
      <c r="C1865" s="1" t="s">
        <v>40</v>
      </c>
    </row>
    <row r="1866" spans="1:3" x14ac:dyDescent="0.4">
      <c r="A1866">
        <v>1009109</v>
      </c>
      <c r="B1866" s="1" t="s">
        <v>40</v>
      </c>
      <c r="C1866" s="1" t="s">
        <v>40</v>
      </c>
    </row>
    <row r="1867" spans="1:3" x14ac:dyDescent="0.4">
      <c r="A1867">
        <v>1009110</v>
      </c>
      <c r="B1867" s="1" t="s">
        <v>1031</v>
      </c>
      <c r="C1867" s="1" t="s">
        <v>49</v>
      </c>
    </row>
    <row r="1868" spans="1:3" x14ac:dyDescent="0.4">
      <c r="A1868">
        <v>1009111</v>
      </c>
      <c r="B1868" s="1" t="s">
        <v>1032</v>
      </c>
      <c r="C1868" s="1" t="s">
        <v>50</v>
      </c>
    </row>
    <row r="1869" spans="1:3" x14ac:dyDescent="0.4">
      <c r="A1869">
        <v>1009112</v>
      </c>
      <c r="B1869" s="1" t="s">
        <v>1033</v>
      </c>
      <c r="C1869" s="1" t="s">
        <v>51</v>
      </c>
    </row>
    <row r="1870" spans="1:3" x14ac:dyDescent="0.4">
      <c r="A1870">
        <v>1009113</v>
      </c>
      <c r="B1870" s="1" t="s">
        <v>40</v>
      </c>
      <c r="C1870" s="1" t="s">
        <v>40</v>
      </c>
    </row>
    <row r="1871" spans="1:3" x14ac:dyDescent="0.4">
      <c r="A1871">
        <v>1009114</v>
      </c>
      <c r="B1871" s="1" t="s">
        <v>40</v>
      </c>
      <c r="C1871" s="1" t="s">
        <v>40</v>
      </c>
    </row>
    <row r="1872" spans="1:3" x14ac:dyDescent="0.4">
      <c r="A1872">
        <v>1009115</v>
      </c>
      <c r="B1872" s="1" t="s">
        <v>40</v>
      </c>
      <c r="C1872" s="1" t="s">
        <v>40</v>
      </c>
    </row>
    <row r="1873" spans="1:3" x14ac:dyDescent="0.4">
      <c r="A1873">
        <v>1009116</v>
      </c>
      <c r="B1873" s="1" t="s">
        <v>40</v>
      </c>
      <c r="C1873" s="1" t="s">
        <v>40</v>
      </c>
    </row>
    <row r="1874" spans="1:3" x14ac:dyDescent="0.4">
      <c r="A1874">
        <v>1009117</v>
      </c>
      <c r="B1874" s="1" t="s">
        <v>40</v>
      </c>
      <c r="C1874" s="1" t="s">
        <v>40</v>
      </c>
    </row>
    <row r="1875" spans="1:3" x14ac:dyDescent="0.4">
      <c r="A1875">
        <v>1009118</v>
      </c>
      <c r="B1875" s="1" t="s">
        <v>40</v>
      </c>
      <c r="C1875" s="1" t="s">
        <v>40</v>
      </c>
    </row>
    <row r="1876" spans="1:3" x14ac:dyDescent="0.4">
      <c r="A1876">
        <v>1009119</v>
      </c>
      <c r="B1876" s="1" t="s">
        <v>40</v>
      </c>
      <c r="C1876" s="1" t="s">
        <v>40</v>
      </c>
    </row>
    <row r="1877" spans="1:3" x14ac:dyDescent="0.4">
      <c r="A1877">
        <v>1009120</v>
      </c>
      <c r="B1877" s="1" t="s">
        <v>1031</v>
      </c>
      <c r="C1877" s="1" t="s">
        <v>49</v>
      </c>
    </row>
    <row r="1878" spans="1:3" x14ac:dyDescent="0.4">
      <c r="A1878">
        <v>1009121</v>
      </c>
      <c r="B1878" s="1" t="s">
        <v>1032</v>
      </c>
      <c r="C1878" s="1" t="s">
        <v>50</v>
      </c>
    </row>
    <row r="1879" spans="1:3" x14ac:dyDescent="0.4">
      <c r="A1879">
        <v>1009122</v>
      </c>
      <c r="B1879" s="1" t="s">
        <v>1033</v>
      </c>
      <c r="C1879" s="1" t="s">
        <v>51</v>
      </c>
    </row>
    <row r="1880" spans="1:3" x14ac:dyDescent="0.4">
      <c r="A1880">
        <v>1009200</v>
      </c>
      <c r="B1880" s="1" t="s">
        <v>1034</v>
      </c>
      <c r="C1880" s="1" t="s">
        <v>52</v>
      </c>
    </row>
    <row r="1881" spans="1:3" x14ac:dyDescent="0.4">
      <c r="A1881">
        <v>1009201</v>
      </c>
      <c r="B1881" s="1" t="s">
        <v>1035</v>
      </c>
      <c r="C1881" s="1" t="s">
        <v>53</v>
      </c>
    </row>
    <row r="1882" spans="1:3" x14ac:dyDescent="0.4">
      <c r="A1882">
        <v>1009202</v>
      </c>
      <c r="B1882" s="1" t="s">
        <v>1036</v>
      </c>
      <c r="C1882" s="1" t="s">
        <v>54</v>
      </c>
    </row>
    <row r="1883" spans="1:3" x14ac:dyDescent="0.4">
      <c r="A1883">
        <v>1009203</v>
      </c>
      <c r="B1883" s="1" t="s">
        <v>40</v>
      </c>
      <c r="C1883" s="1" t="s">
        <v>40</v>
      </c>
    </row>
    <row r="1884" spans="1:3" x14ac:dyDescent="0.4">
      <c r="A1884">
        <v>1009204</v>
      </c>
      <c r="B1884" s="1" t="s">
        <v>40</v>
      </c>
      <c r="C1884" s="1" t="s">
        <v>40</v>
      </c>
    </row>
    <row r="1885" spans="1:3" x14ac:dyDescent="0.4">
      <c r="A1885">
        <v>1009205</v>
      </c>
      <c r="B1885" s="1" t="s">
        <v>40</v>
      </c>
      <c r="C1885" s="1" t="s">
        <v>40</v>
      </c>
    </row>
    <row r="1886" spans="1:3" x14ac:dyDescent="0.4">
      <c r="A1886">
        <v>1009206</v>
      </c>
      <c r="B1886" s="1" t="s">
        <v>40</v>
      </c>
      <c r="C1886" s="1" t="s">
        <v>40</v>
      </c>
    </row>
    <row r="1887" spans="1:3" x14ac:dyDescent="0.4">
      <c r="A1887">
        <v>1009207</v>
      </c>
      <c r="B1887" s="1" t="s">
        <v>40</v>
      </c>
      <c r="C1887" s="1" t="s">
        <v>40</v>
      </c>
    </row>
    <row r="1888" spans="1:3" x14ac:dyDescent="0.4">
      <c r="A1888">
        <v>1009208</v>
      </c>
      <c r="B1888" s="1" t="s">
        <v>40</v>
      </c>
      <c r="C1888" s="1" t="s">
        <v>40</v>
      </c>
    </row>
    <row r="1889" spans="1:3" x14ac:dyDescent="0.4">
      <c r="A1889">
        <v>1009209</v>
      </c>
      <c r="B1889" s="1" t="s">
        <v>40</v>
      </c>
      <c r="C1889" s="1" t="s">
        <v>40</v>
      </c>
    </row>
    <row r="1890" spans="1:3" x14ac:dyDescent="0.4">
      <c r="A1890">
        <v>1009210</v>
      </c>
      <c r="B1890" s="1" t="s">
        <v>1034</v>
      </c>
      <c r="C1890" s="1" t="s">
        <v>52</v>
      </c>
    </row>
    <row r="1891" spans="1:3" x14ac:dyDescent="0.4">
      <c r="A1891">
        <v>1009211</v>
      </c>
      <c r="B1891" s="1" t="s">
        <v>1035</v>
      </c>
      <c r="C1891" s="1" t="s">
        <v>53</v>
      </c>
    </row>
    <row r="1892" spans="1:3" x14ac:dyDescent="0.4">
      <c r="A1892">
        <v>1009212</v>
      </c>
      <c r="B1892" s="1" t="s">
        <v>1036</v>
      </c>
      <c r="C1892" s="1" t="s">
        <v>54</v>
      </c>
    </row>
    <row r="1893" spans="1:3" x14ac:dyDescent="0.4">
      <c r="A1893">
        <v>1009213</v>
      </c>
      <c r="B1893" s="1" t="s">
        <v>40</v>
      </c>
      <c r="C1893" s="1" t="s">
        <v>40</v>
      </c>
    </row>
    <row r="1894" spans="1:3" x14ac:dyDescent="0.4">
      <c r="A1894">
        <v>1009214</v>
      </c>
      <c r="B1894" s="1" t="s">
        <v>40</v>
      </c>
      <c r="C1894" s="1" t="s">
        <v>40</v>
      </c>
    </row>
    <row r="1895" spans="1:3" x14ac:dyDescent="0.4">
      <c r="A1895">
        <v>1009215</v>
      </c>
      <c r="B1895" s="1" t="s">
        <v>40</v>
      </c>
      <c r="C1895" s="1" t="s">
        <v>40</v>
      </c>
    </row>
    <row r="1896" spans="1:3" x14ac:dyDescent="0.4">
      <c r="A1896">
        <v>1009216</v>
      </c>
      <c r="B1896" s="1" t="s">
        <v>40</v>
      </c>
      <c r="C1896" s="1" t="s">
        <v>40</v>
      </c>
    </row>
    <row r="1897" spans="1:3" x14ac:dyDescent="0.4">
      <c r="A1897">
        <v>1009217</v>
      </c>
      <c r="B1897" s="1" t="s">
        <v>40</v>
      </c>
      <c r="C1897" s="1" t="s">
        <v>40</v>
      </c>
    </row>
    <row r="1898" spans="1:3" x14ac:dyDescent="0.4">
      <c r="A1898">
        <v>1009218</v>
      </c>
      <c r="B1898" s="1" t="s">
        <v>40</v>
      </c>
      <c r="C1898" s="1" t="s">
        <v>40</v>
      </c>
    </row>
    <row r="1899" spans="1:3" x14ac:dyDescent="0.4">
      <c r="A1899">
        <v>1009219</v>
      </c>
      <c r="B1899" s="1" t="s">
        <v>40</v>
      </c>
      <c r="C1899" s="1" t="s">
        <v>40</v>
      </c>
    </row>
    <row r="1900" spans="1:3" x14ac:dyDescent="0.4">
      <c r="A1900">
        <v>1009220</v>
      </c>
      <c r="B1900" s="1" t="s">
        <v>1034</v>
      </c>
      <c r="C1900" s="1" t="s">
        <v>52</v>
      </c>
    </row>
    <row r="1901" spans="1:3" x14ac:dyDescent="0.4">
      <c r="A1901">
        <v>1009221</v>
      </c>
      <c r="B1901" s="1" t="s">
        <v>1035</v>
      </c>
      <c r="C1901" s="1" t="s">
        <v>53</v>
      </c>
    </row>
    <row r="1902" spans="1:3" x14ac:dyDescent="0.4">
      <c r="A1902">
        <v>1009222</v>
      </c>
      <c r="B1902" s="1" t="s">
        <v>1036</v>
      </c>
      <c r="C1902" s="1" t="s">
        <v>54</v>
      </c>
    </row>
    <row r="1903" spans="1:3" x14ac:dyDescent="0.4">
      <c r="A1903">
        <v>1009300</v>
      </c>
      <c r="B1903" s="1" t="s">
        <v>1037</v>
      </c>
      <c r="C1903" s="1" t="s">
        <v>55</v>
      </c>
    </row>
    <row r="1904" spans="1:3" x14ac:dyDescent="0.4">
      <c r="A1904">
        <v>1009301</v>
      </c>
      <c r="B1904" s="1" t="s">
        <v>1038</v>
      </c>
      <c r="C1904" s="1" t="s">
        <v>56</v>
      </c>
    </row>
    <row r="1905" spans="1:3" x14ac:dyDescent="0.4">
      <c r="A1905">
        <v>1009302</v>
      </c>
      <c r="B1905" s="1" t="s">
        <v>1039</v>
      </c>
      <c r="C1905" s="1" t="s">
        <v>57</v>
      </c>
    </row>
    <row r="1906" spans="1:3" x14ac:dyDescent="0.4">
      <c r="A1906">
        <v>1009303</v>
      </c>
      <c r="B1906" s="1" t="s">
        <v>40</v>
      </c>
      <c r="C1906" s="1" t="s">
        <v>40</v>
      </c>
    </row>
    <row r="1907" spans="1:3" x14ac:dyDescent="0.4">
      <c r="A1907">
        <v>1009304</v>
      </c>
      <c r="B1907" s="1" t="s">
        <v>40</v>
      </c>
      <c r="C1907" s="1" t="s">
        <v>40</v>
      </c>
    </row>
    <row r="1908" spans="1:3" x14ac:dyDescent="0.4">
      <c r="A1908">
        <v>1009305</v>
      </c>
      <c r="B1908" s="1" t="s">
        <v>40</v>
      </c>
      <c r="C1908" s="1" t="s">
        <v>40</v>
      </c>
    </row>
    <row r="1909" spans="1:3" x14ac:dyDescent="0.4">
      <c r="A1909">
        <v>1009306</v>
      </c>
      <c r="B1909" s="1" t="s">
        <v>40</v>
      </c>
      <c r="C1909" s="1" t="s">
        <v>40</v>
      </c>
    </row>
    <row r="1910" spans="1:3" x14ac:dyDescent="0.4">
      <c r="A1910">
        <v>1009307</v>
      </c>
      <c r="B1910" s="1" t="s">
        <v>40</v>
      </c>
      <c r="C1910" s="1" t="s">
        <v>40</v>
      </c>
    </row>
    <row r="1911" spans="1:3" x14ac:dyDescent="0.4">
      <c r="A1911">
        <v>1009308</v>
      </c>
      <c r="B1911" s="1" t="s">
        <v>40</v>
      </c>
      <c r="C1911" s="1" t="s">
        <v>40</v>
      </c>
    </row>
    <row r="1912" spans="1:3" x14ac:dyDescent="0.4">
      <c r="A1912">
        <v>1009309</v>
      </c>
      <c r="B1912" s="1" t="s">
        <v>40</v>
      </c>
      <c r="C1912" s="1" t="s">
        <v>40</v>
      </c>
    </row>
    <row r="1913" spans="1:3" x14ac:dyDescent="0.4">
      <c r="A1913">
        <v>1009310</v>
      </c>
      <c r="B1913" s="1" t="s">
        <v>1037</v>
      </c>
      <c r="C1913" s="1" t="s">
        <v>55</v>
      </c>
    </row>
    <row r="1914" spans="1:3" x14ac:dyDescent="0.4">
      <c r="A1914">
        <v>1009311</v>
      </c>
      <c r="B1914" s="1" t="s">
        <v>1038</v>
      </c>
      <c r="C1914" s="1" t="s">
        <v>56</v>
      </c>
    </row>
    <row r="1915" spans="1:3" x14ac:dyDescent="0.4">
      <c r="A1915">
        <v>1009312</v>
      </c>
      <c r="B1915" s="1" t="s">
        <v>1039</v>
      </c>
      <c r="C1915" s="1" t="s">
        <v>57</v>
      </c>
    </row>
    <row r="1916" spans="1:3" x14ac:dyDescent="0.4">
      <c r="A1916">
        <v>1009313</v>
      </c>
      <c r="B1916" s="1" t="s">
        <v>40</v>
      </c>
      <c r="C1916" s="1" t="s">
        <v>40</v>
      </c>
    </row>
    <row r="1917" spans="1:3" x14ac:dyDescent="0.4">
      <c r="A1917">
        <v>1009314</v>
      </c>
      <c r="B1917" s="1" t="s">
        <v>40</v>
      </c>
      <c r="C1917" s="1" t="s">
        <v>40</v>
      </c>
    </row>
    <row r="1918" spans="1:3" x14ac:dyDescent="0.4">
      <c r="A1918">
        <v>1009315</v>
      </c>
      <c r="B1918" s="1" t="s">
        <v>40</v>
      </c>
      <c r="C1918" s="1" t="s">
        <v>40</v>
      </c>
    </row>
    <row r="1919" spans="1:3" x14ac:dyDescent="0.4">
      <c r="A1919">
        <v>1009316</v>
      </c>
      <c r="B1919" s="1" t="s">
        <v>40</v>
      </c>
      <c r="C1919" s="1" t="s">
        <v>40</v>
      </c>
    </row>
    <row r="1920" spans="1:3" x14ac:dyDescent="0.4">
      <c r="A1920">
        <v>1009317</v>
      </c>
      <c r="B1920" s="1" t="s">
        <v>40</v>
      </c>
      <c r="C1920" s="1" t="s">
        <v>40</v>
      </c>
    </row>
    <row r="1921" spans="1:3" x14ac:dyDescent="0.4">
      <c r="A1921">
        <v>1009318</v>
      </c>
      <c r="B1921" s="1" t="s">
        <v>40</v>
      </c>
      <c r="C1921" s="1" t="s">
        <v>40</v>
      </c>
    </row>
    <row r="1922" spans="1:3" x14ac:dyDescent="0.4">
      <c r="A1922">
        <v>1009319</v>
      </c>
      <c r="B1922" s="1" t="s">
        <v>40</v>
      </c>
      <c r="C1922" s="1" t="s">
        <v>40</v>
      </c>
    </row>
    <row r="1923" spans="1:3" x14ac:dyDescent="0.4">
      <c r="A1923">
        <v>1009320</v>
      </c>
      <c r="B1923" s="1" t="s">
        <v>1037</v>
      </c>
      <c r="C1923" s="1" t="s">
        <v>55</v>
      </c>
    </row>
    <row r="1924" spans="1:3" x14ac:dyDescent="0.4">
      <c r="A1924">
        <v>1009321</v>
      </c>
      <c r="B1924" s="1" t="s">
        <v>1038</v>
      </c>
      <c r="C1924" s="1" t="s">
        <v>56</v>
      </c>
    </row>
    <row r="1925" spans="1:3" x14ac:dyDescent="0.4">
      <c r="A1925">
        <v>1009322</v>
      </c>
      <c r="B1925" s="1" t="s">
        <v>1039</v>
      </c>
      <c r="C1925" s="1" t="s">
        <v>57</v>
      </c>
    </row>
    <row r="1926" spans="1:3" x14ac:dyDescent="0.4">
      <c r="A1926">
        <v>2000000</v>
      </c>
      <c r="B1926" s="1" t="s">
        <v>1089</v>
      </c>
      <c r="C1926" s="1" t="s">
        <v>100</v>
      </c>
    </row>
    <row r="1927" spans="1:3" x14ac:dyDescent="0.4">
      <c r="A1927">
        <v>2000001</v>
      </c>
      <c r="B1927" s="1" t="s">
        <v>1090</v>
      </c>
      <c r="C1927" s="1" t="s">
        <v>101</v>
      </c>
    </row>
    <row r="1928" spans="1:3" x14ac:dyDescent="0.4">
      <c r="A1928">
        <v>2000002</v>
      </c>
      <c r="B1928" s="1" t="s">
        <v>1091</v>
      </c>
      <c r="C1928" s="1" t="s">
        <v>102</v>
      </c>
    </row>
    <row r="1929" spans="1:3" x14ac:dyDescent="0.4">
      <c r="A1929">
        <v>2000003</v>
      </c>
      <c r="B1929" s="1" t="s">
        <v>40</v>
      </c>
      <c r="C1929" s="1" t="s">
        <v>40</v>
      </c>
    </row>
    <row r="1930" spans="1:3" x14ac:dyDescent="0.4">
      <c r="A1930">
        <v>2000004</v>
      </c>
      <c r="B1930" s="1" t="s">
        <v>40</v>
      </c>
      <c r="C1930" s="1" t="s">
        <v>40</v>
      </c>
    </row>
    <row r="1931" spans="1:3" x14ac:dyDescent="0.4">
      <c r="A1931">
        <v>2000005</v>
      </c>
      <c r="B1931" s="1" t="s">
        <v>40</v>
      </c>
      <c r="C1931" s="1" t="s">
        <v>40</v>
      </c>
    </row>
    <row r="1932" spans="1:3" x14ac:dyDescent="0.4">
      <c r="A1932">
        <v>2000006</v>
      </c>
      <c r="B1932" s="1" t="s">
        <v>40</v>
      </c>
      <c r="C1932" s="1" t="s">
        <v>40</v>
      </c>
    </row>
    <row r="1933" spans="1:3" x14ac:dyDescent="0.4">
      <c r="A1933">
        <v>2000007</v>
      </c>
      <c r="B1933" s="1" t="s">
        <v>40</v>
      </c>
      <c r="C1933" s="1" t="s">
        <v>40</v>
      </c>
    </row>
    <row r="1934" spans="1:3" x14ac:dyDescent="0.4">
      <c r="A1934">
        <v>2000008</v>
      </c>
      <c r="B1934" s="1" t="s">
        <v>40</v>
      </c>
      <c r="C1934" s="1" t="s">
        <v>40</v>
      </c>
    </row>
    <row r="1935" spans="1:3" x14ac:dyDescent="0.4">
      <c r="A1935">
        <v>2000009</v>
      </c>
      <c r="B1935" s="1" t="s">
        <v>40</v>
      </c>
      <c r="C1935" s="1" t="s">
        <v>40</v>
      </c>
    </row>
    <row r="1936" spans="1:3" x14ac:dyDescent="0.4">
      <c r="A1936">
        <v>2000010</v>
      </c>
      <c r="B1936" s="1" t="s">
        <v>1101</v>
      </c>
      <c r="C1936" s="1" t="s">
        <v>100</v>
      </c>
    </row>
    <row r="1937" spans="1:3" x14ac:dyDescent="0.4">
      <c r="A1937">
        <v>2000011</v>
      </c>
      <c r="B1937" s="1" t="s">
        <v>1090</v>
      </c>
      <c r="C1937" s="1" t="s">
        <v>101</v>
      </c>
    </row>
    <row r="1938" spans="1:3" x14ac:dyDescent="0.4">
      <c r="A1938">
        <v>2000012</v>
      </c>
      <c r="B1938" s="1" t="s">
        <v>1091</v>
      </c>
      <c r="C1938" s="1" t="s">
        <v>102</v>
      </c>
    </row>
    <row r="1939" spans="1:3" x14ac:dyDescent="0.4">
      <c r="A1939">
        <v>2000013</v>
      </c>
      <c r="B1939" s="1" t="s">
        <v>40</v>
      </c>
      <c r="C1939" s="1" t="s">
        <v>40</v>
      </c>
    </row>
    <row r="1940" spans="1:3" x14ac:dyDescent="0.4">
      <c r="A1940">
        <v>2000014</v>
      </c>
      <c r="B1940" s="1" t="s">
        <v>40</v>
      </c>
      <c r="C1940" s="1" t="s">
        <v>40</v>
      </c>
    </row>
    <row r="1941" spans="1:3" x14ac:dyDescent="0.4">
      <c r="A1941">
        <v>2000015</v>
      </c>
      <c r="B1941" s="1" t="s">
        <v>40</v>
      </c>
      <c r="C1941" s="1" t="s">
        <v>40</v>
      </c>
    </row>
    <row r="1942" spans="1:3" x14ac:dyDescent="0.4">
      <c r="A1942">
        <v>2000016</v>
      </c>
      <c r="B1942" s="1" t="s">
        <v>40</v>
      </c>
      <c r="C1942" s="1" t="s">
        <v>40</v>
      </c>
    </row>
    <row r="1943" spans="1:3" x14ac:dyDescent="0.4">
      <c r="A1943">
        <v>2000017</v>
      </c>
      <c r="B1943" s="1" t="s">
        <v>40</v>
      </c>
      <c r="C1943" s="1" t="s">
        <v>40</v>
      </c>
    </row>
    <row r="1944" spans="1:3" x14ac:dyDescent="0.4">
      <c r="A1944">
        <v>2000018</v>
      </c>
      <c r="B1944" s="1" t="s">
        <v>40</v>
      </c>
      <c r="C1944" s="1" t="s">
        <v>40</v>
      </c>
    </row>
    <row r="1945" spans="1:3" x14ac:dyDescent="0.4">
      <c r="A1945">
        <v>2000019</v>
      </c>
      <c r="B1945" s="1" t="s">
        <v>40</v>
      </c>
      <c r="C1945" s="1" t="s">
        <v>40</v>
      </c>
    </row>
    <row r="1946" spans="1:3" x14ac:dyDescent="0.4">
      <c r="A1946">
        <v>2000020</v>
      </c>
      <c r="B1946" s="1" t="s">
        <v>1101</v>
      </c>
      <c r="C1946" s="1" t="s">
        <v>100</v>
      </c>
    </row>
    <row r="1947" spans="1:3" x14ac:dyDescent="0.4">
      <c r="A1947">
        <v>2000021</v>
      </c>
      <c r="B1947" s="1" t="s">
        <v>1090</v>
      </c>
      <c r="C1947" s="1" t="s">
        <v>101</v>
      </c>
    </row>
    <row r="1948" spans="1:3" x14ac:dyDescent="0.4">
      <c r="A1948">
        <v>2000022</v>
      </c>
      <c r="B1948" s="1" t="s">
        <v>1091</v>
      </c>
      <c r="C1948" s="1" t="s">
        <v>102</v>
      </c>
    </row>
    <row r="1949" spans="1:3" x14ac:dyDescent="0.4">
      <c r="A1949">
        <v>2000100</v>
      </c>
      <c r="B1949" s="1" t="s">
        <v>1092</v>
      </c>
      <c r="C1949" s="1" t="s">
        <v>103</v>
      </c>
    </row>
    <row r="1950" spans="1:3" x14ac:dyDescent="0.4">
      <c r="A1950">
        <v>2000101</v>
      </c>
      <c r="B1950" s="1" t="s">
        <v>1093</v>
      </c>
      <c r="C1950" s="1" t="s">
        <v>104</v>
      </c>
    </row>
    <row r="1951" spans="1:3" x14ac:dyDescent="0.4">
      <c r="A1951">
        <v>2000102</v>
      </c>
      <c r="B1951" s="1" t="s">
        <v>1094</v>
      </c>
      <c r="C1951" s="1" t="s">
        <v>105</v>
      </c>
    </row>
    <row r="1952" spans="1:3" x14ac:dyDescent="0.4">
      <c r="A1952">
        <v>2000103</v>
      </c>
      <c r="B1952" s="1" t="s">
        <v>40</v>
      </c>
      <c r="C1952" s="1" t="s">
        <v>40</v>
      </c>
    </row>
    <row r="1953" spans="1:3" x14ac:dyDescent="0.4">
      <c r="A1953">
        <v>2000104</v>
      </c>
      <c r="B1953" s="1" t="s">
        <v>40</v>
      </c>
      <c r="C1953" s="1" t="s">
        <v>40</v>
      </c>
    </row>
    <row r="1954" spans="1:3" x14ac:dyDescent="0.4">
      <c r="A1954">
        <v>2000105</v>
      </c>
      <c r="B1954" s="1" t="s">
        <v>40</v>
      </c>
      <c r="C1954" s="1" t="s">
        <v>40</v>
      </c>
    </row>
    <row r="1955" spans="1:3" x14ac:dyDescent="0.4">
      <c r="A1955">
        <v>2000106</v>
      </c>
      <c r="B1955" s="1" t="s">
        <v>40</v>
      </c>
      <c r="C1955" s="1" t="s">
        <v>40</v>
      </c>
    </row>
    <row r="1956" spans="1:3" x14ac:dyDescent="0.4">
      <c r="A1956">
        <v>2000107</v>
      </c>
      <c r="B1956" s="1" t="s">
        <v>40</v>
      </c>
      <c r="C1956" s="1" t="s">
        <v>40</v>
      </c>
    </row>
    <row r="1957" spans="1:3" x14ac:dyDescent="0.4">
      <c r="A1957">
        <v>2000108</v>
      </c>
      <c r="B1957" s="1" t="s">
        <v>40</v>
      </c>
      <c r="C1957" s="1" t="s">
        <v>40</v>
      </c>
    </row>
    <row r="1958" spans="1:3" x14ac:dyDescent="0.4">
      <c r="A1958">
        <v>2000109</v>
      </c>
      <c r="B1958" s="1" t="s">
        <v>40</v>
      </c>
      <c r="C1958" s="1" t="s">
        <v>40</v>
      </c>
    </row>
    <row r="1959" spans="1:3" x14ac:dyDescent="0.4">
      <c r="A1959">
        <v>2000110</v>
      </c>
      <c r="B1959" s="1" t="s">
        <v>1092</v>
      </c>
      <c r="C1959" s="1" t="s">
        <v>103</v>
      </c>
    </row>
    <row r="1960" spans="1:3" x14ac:dyDescent="0.4">
      <c r="A1960">
        <v>2000111</v>
      </c>
      <c r="B1960" s="1" t="s">
        <v>1093</v>
      </c>
      <c r="C1960" s="1" t="s">
        <v>104</v>
      </c>
    </row>
    <row r="1961" spans="1:3" x14ac:dyDescent="0.4">
      <c r="A1961">
        <v>2000112</v>
      </c>
      <c r="B1961" s="1" t="s">
        <v>1094</v>
      </c>
      <c r="C1961" s="1" t="s">
        <v>105</v>
      </c>
    </row>
    <row r="1962" spans="1:3" x14ac:dyDescent="0.4">
      <c r="A1962">
        <v>2000113</v>
      </c>
      <c r="B1962" s="1" t="s">
        <v>40</v>
      </c>
      <c r="C1962" s="1" t="s">
        <v>40</v>
      </c>
    </row>
    <row r="1963" spans="1:3" x14ac:dyDescent="0.4">
      <c r="A1963">
        <v>2000114</v>
      </c>
      <c r="B1963" s="1" t="s">
        <v>40</v>
      </c>
      <c r="C1963" s="1" t="s">
        <v>40</v>
      </c>
    </row>
    <row r="1964" spans="1:3" x14ac:dyDescent="0.4">
      <c r="A1964">
        <v>2000115</v>
      </c>
      <c r="B1964" s="1" t="s">
        <v>40</v>
      </c>
      <c r="C1964" s="1" t="s">
        <v>40</v>
      </c>
    </row>
    <row r="1965" spans="1:3" x14ac:dyDescent="0.4">
      <c r="A1965">
        <v>2000116</v>
      </c>
      <c r="B1965" s="1" t="s">
        <v>40</v>
      </c>
      <c r="C1965" s="1" t="s">
        <v>40</v>
      </c>
    </row>
    <row r="1966" spans="1:3" x14ac:dyDescent="0.4">
      <c r="A1966">
        <v>2000117</v>
      </c>
      <c r="B1966" s="1" t="s">
        <v>40</v>
      </c>
      <c r="C1966" s="1" t="s">
        <v>40</v>
      </c>
    </row>
    <row r="1967" spans="1:3" x14ac:dyDescent="0.4">
      <c r="A1967">
        <v>2000118</v>
      </c>
      <c r="B1967" s="1" t="s">
        <v>40</v>
      </c>
      <c r="C1967" s="1" t="s">
        <v>40</v>
      </c>
    </row>
    <row r="1968" spans="1:3" x14ac:dyDescent="0.4">
      <c r="A1968">
        <v>2000119</v>
      </c>
      <c r="B1968" s="1" t="s">
        <v>40</v>
      </c>
      <c r="C1968" s="1" t="s">
        <v>40</v>
      </c>
    </row>
    <row r="1969" spans="1:3" x14ac:dyDescent="0.4">
      <c r="A1969">
        <v>2000120</v>
      </c>
      <c r="B1969" s="1" t="s">
        <v>1092</v>
      </c>
      <c r="C1969" s="1" t="s">
        <v>103</v>
      </c>
    </row>
    <row r="1970" spans="1:3" x14ac:dyDescent="0.4">
      <c r="A1970">
        <v>2000121</v>
      </c>
      <c r="B1970" s="1" t="s">
        <v>1093</v>
      </c>
      <c r="C1970" s="1" t="s">
        <v>104</v>
      </c>
    </row>
    <row r="1971" spans="1:3" x14ac:dyDescent="0.4">
      <c r="A1971">
        <v>2000122</v>
      </c>
      <c r="B1971" s="1" t="s">
        <v>1094</v>
      </c>
      <c r="C1971" s="1" t="s">
        <v>105</v>
      </c>
    </row>
    <row r="1972" spans="1:3" x14ac:dyDescent="0.4">
      <c r="A1972">
        <v>2000200</v>
      </c>
      <c r="B1972" s="1" t="s">
        <v>1095</v>
      </c>
      <c r="C1972" s="1" t="s">
        <v>106</v>
      </c>
    </row>
    <row r="1973" spans="1:3" x14ac:dyDescent="0.4">
      <c r="A1973">
        <v>2000201</v>
      </c>
      <c r="B1973" s="1" t="s">
        <v>1096</v>
      </c>
      <c r="C1973" s="1" t="s">
        <v>107</v>
      </c>
    </row>
    <row r="1974" spans="1:3" x14ac:dyDescent="0.4">
      <c r="A1974">
        <v>2000202</v>
      </c>
      <c r="B1974" s="1" t="s">
        <v>1097</v>
      </c>
      <c r="C1974" s="1" t="s">
        <v>108</v>
      </c>
    </row>
    <row r="1975" spans="1:3" x14ac:dyDescent="0.4">
      <c r="A1975">
        <v>2000203</v>
      </c>
      <c r="B1975" s="1" t="s">
        <v>40</v>
      </c>
      <c r="C1975" s="1" t="s">
        <v>40</v>
      </c>
    </row>
    <row r="1976" spans="1:3" x14ac:dyDescent="0.4">
      <c r="A1976">
        <v>2000204</v>
      </c>
      <c r="B1976" s="1" t="s">
        <v>40</v>
      </c>
      <c r="C1976" s="1" t="s">
        <v>40</v>
      </c>
    </row>
    <row r="1977" spans="1:3" x14ac:dyDescent="0.4">
      <c r="A1977">
        <v>2000205</v>
      </c>
      <c r="B1977" s="1" t="s">
        <v>40</v>
      </c>
      <c r="C1977" s="1" t="s">
        <v>40</v>
      </c>
    </row>
    <row r="1978" spans="1:3" x14ac:dyDescent="0.4">
      <c r="A1978">
        <v>2000206</v>
      </c>
      <c r="B1978" s="1" t="s">
        <v>40</v>
      </c>
      <c r="C1978" s="1" t="s">
        <v>40</v>
      </c>
    </row>
    <row r="1979" spans="1:3" x14ac:dyDescent="0.4">
      <c r="A1979">
        <v>2000207</v>
      </c>
      <c r="B1979" s="1" t="s">
        <v>40</v>
      </c>
      <c r="C1979" s="1" t="s">
        <v>40</v>
      </c>
    </row>
    <row r="1980" spans="1:3" x14ac:dyDescent="0.4">
      <c r="A1980">
        <v>2000208</v>
      </c>
      <c r="B1980" s="1" t="s">
        <v>40</v>
      </c>
      <c r="C1980" s="1" t="s">
        <v>40</v>
      </c>
    </row>
    <row r="1981" spans="1:3" x14ac:dyDescent="0.4">
      <c r="A1981">
        <v>2000209</v>
      </c>
      <c r="B1981" s="1" t="s">
        <v>40</v>
      </c>
      <c r="C1981" s="1" t="s">
        <v>40</v>
      </c>
    </row>
    <row r="1982" spans="1:3" x14ac:dyDescent="0.4">
      <c r="A1982">
        <v>2000210</v>
      </c>
      <c r="B1982" s="1" t="s">
        <v>1102</v>
      </c>
      <c r="C1982" s="1" t="s">
        <v>106</v>
      </c>
    </row>
    <row r="1983" spans="1:3" x14ac:dyDescent="0.4">
      <c r="A1983">
        <v>2000211</v>
      </c>
      <c r="B1983" s="1" t="s">
        <v>1096</v>
      </c>
      <c r="C1983" s="1" t="s">
        <v>107</v>
      </c>
    </row>
    <row r="1984" spans="1:3" x14ac:dyDescent="0.4">
      <c r="A1984">
        <v>2000212</v>
      </c>
      <c r="B1984" s="1" t="s">
        <v>1097</v>
      </c>
      <c r="C1984" s="1" t="s">
        <v>108</v>
      </c>
    </row>
    <row r="1985" spans="1:3" x14ac:dyDescent="0.4">
      <c r="A1985">
        <v>2000213</v>
      </c>
      <c r="B1985" s="1" t="s">
        <v>40</v>
      </c>
      <c r="C1985" s="1" t="s">
        <v>40</v>
      </c>
    </row>
    <row r="1986" spans="1:3" x14ac:dyDescent="0.4">
      <c r="A1986">
        <v>2000214</v>
      </c>
      <c r="B1986" s="1" t="s">
        <v>40</v>
      </c>
      <c r="C1986" s="1" t="s">
        <v>40</v>
      </c>
    </row>
    <row r="1987" spans="1:3" x14ac:dyDescent="0.4">
      <c r="A1987">
        <v>2000215</v>
      </c>
      <c r="B1987" s="1" t="s">
        <v>40</v>
      </c>
      <c r="C1987" s="1" t="s">
        <v>40</v>
      </c>
    </row>
    <row r="1988" spans="1:3" x14ac:dyDescent="0.4">
      <c r="A1988">
        <v>2000216</v>
      </c>
      <c r="B1988" s="1" t="s">
        <v>40</v>
      </c>
      <c r="C1988" s="1" t="s">
        <v>40</v>
      </c>
    </row>
    <row r="1989" spans="1:3" x14ac:dyDescent="0.4">
      <c r="A1989">
        <v>2000217</v>
      </c>
      <c r="B1989" s="1" t="s">
        <v>40</v>
      </c>
      <c r="C1989" s="1" t="s">
        <v>40</v>
      </c>
    </row>
    <row r="1990" spans="1:3" x14ac:dyDescent="0.4">
      <c r="A1990">
        <v>2000218</v>
      </c>
      <c r="B1990" s="1" t="s">
        <v>40</v>
      </c>
      <c r="C1990" s="1" t="s">
        <v>40</v>
      </c>
    </row>
    <row r="1991" spans="1:3" x14ac:dyDescent="0.4">
      <c r="A1991">
        <v>2000219</v>
      </c>
      <c r="B1991" s="1" t="s">
        <v>40</v>
      </c>
      <c r="C1991" s="1" t="s">
        <v>40</v>
      </c>
    </row>
    <row r="1992" spans="1:3" x14ac:dyDescent="0.4">
      <c r="A1992">
        <v>2000220</v>
      </c>
      <c r="B1992" s="1" t="s">
        <v>1102</v>
      </c>
      <c r="C1992" s="1" t="s">
        <v>106</v>
      </c>
    </row>
    <row r="1993" spans="1:3" x14ac:dyDescent="0.4">
      <c r="A1993">
        <v>2000221</v>
      </c>
      <c r="B1993" s="1" t="s">
        <v>1103</v>
      </c>
      <c r="C1993" s="1" t="s">
        <v>107</v>
      </c>
    </row>
    <row r="1994" spans="1:3" x14ac:dyDescent="0.4">
      <c r="A1994">
        <v>2000222</v>
      </c>
      <c r="B1994" s="1" t="s">
        <v>1104</v>
      </c>
      <c r="C1994" s="1" t="s">
        <v>108</v>
      </c>
    </row>
    <row r="1995" spans="1:3" x14ac:dyDescent="0.4">
      <c r="A1995">
        <v>2000300</v>
      </c>
      <c r="B1995" s="1" t="s">
        <v>1098</v>
      </c>
      <c r="C1995" s="1" t="s">
        <v>109</v>
      </c>
    </row>
    <row r="1996" spans="1:3" x14ac:dyDescent="0.4">
      <c r="A1996">
        <v>2000301</v>
      </c>
      <c r="B1996" s="1" t="s">
        <v>1099</v>
      </c>
      <c r="C1996" s="1" t="s">
        <v>110</v>
      </c>
    </row>
    <row r="1997" spans="1:3" x14ac:dyDescent="0.4">
      <c r="A1997">
        <v>2000302</v>
      </c>
      <c r="B1997" s="1" t="s">
        <v>1100</v>
      </c>
      <c r="C1997" s="1" t="s">
        <v>111</v>
      </c>
    </row>
    <row r="1998" spans="1:3" x14ac:dyDescent="0.4">
      <c r="A1998">
        <v>2000303</v>
      </c>
      <c r="B1998" s="1" t="s">
        <v>40</v>
      </c>
      <c r="C1998" s="1" t="s">
        <v>40</v>
      </c>
    </row>
    <row r="1999" spans="1:3" x14ac:dyDescent="0.4">
      <c r="A1999">
        <v>2000304</v>
      </c>
      <c r="B1999" s="1" t="s">
        <v>40</v>
      </c>
      <c r="C1999" s="1" t="s">
        <v>40</v>
      </c>
    </row>
    <row r="2000" spans="1:3" x14ac:dyDescent="0.4">
      <c r="A2000">
        <v>2000305</v>
      </c>
      <c r="B2000" s="1" t="s">
        <v>40</v>
      </c>
      <c r="C2000" s="1" t="s">
        <v>40</v>
      </c>
    </row>
    <row r="2001" spans="1:3" x14ac:dyDescent="0.4">
      <c r="A2001">
        <v>2000306</v>
      </c>
      <c r="B2001" s="1" t="s">
        <v>40</v>
      </c>
      <c r="C2001" s="1" t="s">
        <v>40</v>
      </c>
    </row>
    <row r="2002" spans="1:3" x14ac:dyDescent="0.4">
      <c r="A2002">
        <v>2000307</v>
      </c>
      <c r="B2002" s="1" t="s">
        <v>40</v>
      </c>
      <c r="C2002" s="1" t="s">
        <v>40</v>
      </c>
    </row>
    <row r="2003" spans="1:3" x14ac:dyDescent="0.4">
      <c r="A2003">
        <v>2000308</v>
      </c>
      <c r="B2003" s="1" t="s">
        <v>40</v>
      </c>
      <c r="C2003" s="1" t="s">
        <v>40</v>
      </c>
    </row>
    <row r="2004" spans="1:3" x14ac:dyDescent="0.4">
      <c r="A2004">
        <v>2000309</v>
      </c>
      <c r="B2004" s="1" t="s">
        <v>40</v>
      </c>
      <c r="C2004" s="1" t="s">
        <v>40</v>
      </c>
    </row>
    <row r="2005" spans="1:3" x14ac:dyDescent="0.4">
      <c r="A2005">
        <v>2000310</v>
      </c>
      <c r="B2005" s="1" t="s">
        <v>1098</v>
      </c>
      <c r="C2005" s="1" t="s">
        <v>109</v>
      </c>
    </row>
    <row r="2006" spans="1:3" x14ac:dyDescent="0.4">
      <c r="A2006">
        <v>2000311</v>
      </c>
      <c r="B2006" s="1" t="s">
        <v>1099</v>
      </c>
      <c r="C2006" s="1" t="s">
        <v>110</v>
      </c>
    </row>
    <row r="2007" spans="1:3" x14ac:dyDescent="0.4">
      <c r="A2007">
        <v>2000312</v>
      </c>
      <c r="B2007" s="1" t="s">
        <v>1100</v>
      </c>
      <c r="C2007" s="1" t="s">
        <v>111</v>
      </c>
    </row>
    <row r="2008" spans="1:3" x14ac:dyDescent="0.4">
      <c r="A2008">
        <v>2000313</v>
      </c>
      <c r="B2008" s="1" t="s">
        <v>40</v>
      </c>
      <c r="C2008" s="1" t="s">
        <v>40</v>
      </c>
    </row>
    <row r="2009" spans="1:3" x14ac:dyDescent="0.4">
      <c r="A2009">
        <v>2000314</v>
      </c>
      <c r="B2009" s="1" t="s">
        <v>40</v>
      </c>
      <c r="C2009" s="1" t="s">
        <v>40</v>
      </c>
    </row>
    <row r="2010" spans="1:3" x14ac:dyDescent="0.4">
      <c r="A2010">
        <v>2000315</v>
      </c>
      <c r="B2010" s="1" t="s">
        <v>40</v>
      </c>
      <c r="C2010" s="1" t="s">
        <v>40</v>
      </c>
    </row>
    <row r="2011" spans="1:3" x14ac:dyDescent="0.4">
      <c r="A2011">
        <v>2000316</v>
      </c>
      <c r="B2011" s="1" t="s">
        <v>40</v>
      </c>
      <c r="C2011" s="1" t="s">
        <v>40</v>
      </c>
    </row>
    <row r="2012" spans="1:3" x14ac:dyDescent="0.4">
      <c r="A2012">
        <v>2000317</v>
      </c>
      <c r="B2012" s="1" t="s">
        <v>40</v>
      </c>
      <c r="C2012" s="1" t="s">
        <v>40</v>
      </c>
    </row>
    <row r="2013" spans="1:3" x14ac:dyDescent="0.4">
      <c r="A2013">
        <v>2000318</v>
      </c>
      <c r="B2013" s="1" t="s">
        <v>40</v>
      </c>
      <c r="C2013" s="1" t="s">
        <v>40</v>
      </c>
    </row>
    <row r="2014" spans="1:3" x14ac:dyDescent="0.4">
      <c r="A2014">
        <v>2000319</v>
      </c>
      <c r="B2014" s="1" t="s">
        <v>40</v>
      </c>
      <c r="C2014" s="1" t="s">
        <v>40</v>
      </c>
    </row>
    <row r="2015" spans="1:3" x14ac:dyDescent="0.4">
      <c r="A2015">
        <v>2000320</v>
      </c>
      <c r="B2015" s="1" t="s">
        <v>1098</v>
      </c>
      <c r="C2015" s="1" t="s">
        <v>109</v>
      </c>
    </row>
    <row r="2016" spans="1:3" x14ac:dyDescent="0.4">
      <c r="A2016">
        <v>2000321</v>
      </c>
      <c r="B2016" s="1" t="s">
        <v>1099</v>
      </c>
      <c r="C2016" s="1" t="s">
        <v>110</v>
      </c>
    </row>
    <row r="2017" spans="1:3" x14ac:dyDescent="0.4">
      <c r="A2017">
        <v>2000322</v>
      </c>
      <c r="B2017" s="1" t="s">
        <v>1100</v>
      </c>
      <c r="C2017" s="1" t="s">
        <v>111</v>
      </c>
    </row>
    <row r="2018" spans="1:3" x14ac:dyDescent="0.4">
      <c r="A2018">
        <v>2001001</v>
      </c>
      <c r="B2018" s="1" t="s">
        <v>1090</v>
      </c>
      <c r="C2018" s="1" t="s">
        <v>101</v>
      </c>
    </row>
    <row r="2019" spans="1:3" x14ac:dyDescent="0.4">
      <c r="A2019">
        <v>2001002</v>
      </c>
      <c r="B2019" s="1" t="s">
        <v>1091</v>
      </c>
      <c r="C2019" s="1" t="s">
        <v>102</v>
      </c>
    </row>
    <row r="2020" spans="1:3" x14ac:dyDescent="0.4">
      <c r="A2020">
        <v>2001003</v>
      </c>
      <c r="B2020" s="1" t="s">
        <v>40</v>
      </c>
      <c r="C2020" s="1" t="s">
        <v>40</v>
      </c>
    </row>
    <row r="2021" spans="1:3" x14ac:dyDescent="0.4">
      <c r="A2021">
        <v>2001004</v>
      </c>
      <c r="B2021" s="1" t="s">
        <v>40</v>
      </c>
      <c r="C2021" s="1" t="s">
        <v>40</v>
      </c>
    </row>
    <row r="2022" spans="1:3" x14ac:dyDescent="0.4">
      <c r="A2022">
        <v>2001005</v>
      </c>
      <c r="B2022" s="1" t="s">
        <v>40</v>
      </c>
      <c r="C2022" s="1" t="s">
        <v>40</v>
      </c>
    </row>
    <row r="2023" spans="1:3" x14ac:dyDescent="0.4">
      <c r="A2023">
        <v>2001006</v>
      </c>
      <c r="B2023" s="1" t="s">
        <v>40</v>
      </c>
      <c r="C2023" s="1" t="s">
        <v>40</v>
      </c>
    </row>
    <row r="2024" spans="1:3" x14ac:dyDescent="0.4">
      <c r="A2024">
        <v>2001007</v>
      </c>
      <c r="B2024" s="1" t="s">
        <v>40</v>
      </c>
      <c r="C2024" s="1" t="s">
        <v>40</v>
      </c>
    </row>
    <row r="2025" spans="1:3" x14ac:dyDescent="0.4">
      <c r="A2025">
        <v>2001008</v>
      </c>
      <c r="B2025" s="1" t="s">
        <v>40</v>
      </c>
      <c r="C2025" s="1" t="s">
        <v>40</v>
      </c>
    </row>
    <row r="2026" spans="1:3" x14ac:dyDescent="0.4">
      <c r="A2026">
        <v>2001009</v>
      </c>
      <c r="B2026" s="1" t="s">
        <v>40</v>
      </c>
      <c r="C2026" s="1" t="s">
        <v>40</v>
      </c>
    </row>
    <row r="2027" spans="1:3" x14ac:dyDescent="0.4">
      <c r="A2027">
        <v>2001010</v>
      </c>
      <c r="B2027" s="1" t="s">
        <v>40</v>
      </c>
      <c r="C2027" s="1" t="s">
        <v>40</v>
      </c>
    </row>
    <row r="2028" spans="1:3" x14ac:dyDescent="0.4">
      <c r="A2028">
        <v>2001011</v>
      </c>
      <c r="B2028" s="1" t="s">
        <v>1090</v>
      </c>
      <c r="C2028" s="1" t="s">
        <v>101</v>
      </c>
    </row>
    <row r="2029" spans="1:3" x14ac:dyDescent="0.4">
      <c r="A2029">
        <v>2001012</v>
      </c>
      <c r="B2029" s="1" t="s">
        <v>1091</v>
      </c>
      <c r="C2029" s="1" t="s">
        <v>102</v>
      </c>
    </row>
    <row r="2030" spans="1:3" x14ac:dyDescent="0.4">
      <c r="A2030">
        <v>2001013</v>
      </c>
      <c r="B2030" s="1" t="s">
        <v>40</v>
      </c>
      <c r="C2030" s="1" t="s">
        <v>40</v>
      </c>
    </row>
    <row r="2031" spans="1:3" x14ac:dyDescent="0.4">
      <c r="A2031">
        <v>2001014</v>
      </c>
      <c r="B2031" s="1" t="s">
        <v>40</v>
      </c>
      <c r="C2031" s="1" t="s">
        <v>40</v>
      </c>
    </row>
    <row r="2032" spans="1:3" x14ac:dyDescent="0.4">
      <c r="A2032">
        <v>2001015</v>
      </c>
      <c r="B2032" s="1" t="s">
        <v>40</v>
      </c>
      <c r="C2032" s="1" t="s">
        <v>40</v>
      </c>
    </row>
    <row r="2033" spans="1:3" x14ac:dyDescent="0.4">
      <c r="A2033">
        <v>2001016</v>
      </c>
      <c r="B2033" s="1" t="s">
        <v>40</v>
      </c>
      <c r="C2033" s="1" t="s">
        <v>40</v>
      </c>
    </row>
    <row r="2034" spans="1:3" x14ac:dyDescent="0.4">
      <c r="A2034">
        <v>2001017</v>
      </c>
      <c r="B2034" s="1" t="s">
        <v>40</v>
      </c>
      <c r="C2034" s="1" t="s">
        <v>40</v>
      </c>
    </row>
    <row r="2035" spans="1:3" x14ac:dyDescent="0.4">
      <c r="A2035">
        <v>2001018</v>
      </c>
      <c r="B2035" s="1" t="s">
        <v>40</v>
      </c>
      <c r="C2035" s="1" t="s">
        <v>40</v>
      </c>
    </row>
    <row r="2036" spans="1:3" x14ac:dyDescent="0.4">
      <c r="A2036">
        <v>2001019</v>
      </c>
      <c r="B2036" s="1" t="s">
        <v>40</v>
      </c>
      <c r="C2036" s="1" t="s">
        <v>40</v>
      </c>
    </row>
    <row r="2037" spans="1:3" x14ac:dyDescent="0.4">
      <c r="A2037">
        <v>2001020</v>
      </c>
      <c r="B2037" s="1" t="s">
        <v>40</v>
      </c>
      <c r="C2037" s="1" t="s">
        <v>40</v>
      </c>
    </row>
    <row r="2038" spans="1:3" x14ac:dyDescent="0.4">
      <c r="A2038">
        <v>2001021</v>
      </c>
      <c r="B2038" s="1" t="s">
        <v>1090</v>
      </c>
      <c r="C2038" s="1" t="s">
        <v>101</v>
      </c>
    </row>
    <row r="2039" spans="1:3" x14ac:dyDescent="0.4">
      <c r="A2039">
        <v>2001022</v>
      </c>
      <c r="B2039" s="1" t="s">
        <v>1091</v>
      </c>
      <c r="C2039" s="1" t="s">
        <v>102</v>
      </c>
    </row>
    <row r="2040" spans="1:3" x14ac:dyDescent="0.4">
      <c r="A2040">
        <v>2001101</v>
      </c>
      <c r="B2040" s="1" t="s">
        <v>1093</v>
      </c>
      <c r="C2040" s="1" t="s">
        <v>104</v>
      </c>
    </row>
    <row r="2041" spans="1:3" x14ac:dyDescent="0.4">
      <c r="A2041">
        <v>2001102</v>
      </c>
      <c r="B2041" s="1" t="s">
        <v>1094</v>
      </c>
      <c r="C2041" s="1" t="s">
        <v>105</v>
      </c>
    </row>
    <row r="2042" spans="1:3" x14ac:dyDescent="0.4">
      <c r="A2042">
        <v>2001103</v>
      </c>
      <c r="B2042" s="1" t="s">
        <v>40</v>
      </c>
      <c r="C2042" s="1" t="s">
        <v>40</v>
      </c>
    </row>
    <row r="2043" spans="1:3" x14ac:dyDescent="0.4">
      <c r="A2043">
        <v>2001104</v>
      </c>
      <c r="B2043" s="1" t="s">
        <v>40</v>
      </c>
      <c r="C2043" s="1" t="s">
        <v>40</v>
      </c>
    </row>
    <row r="2044" spans="1:3" x14ac:dyDescent="0.4">
      <c r="A2044">
        <v>2001105</v>
      </c>
      <c r="B2044" s="1" t="s">
        <v>40</v>
      </c>
      <c r="C2044" s="1" t="s">
        <v>40</v>
      </c>
    </row>
    <row r="2045" spans="1:3" x14ac:dyDescent="0.4">
      <c r="A2045">
        <v>2001106</v>
      </c>
      <c r="B2045" s="1" t="s">
        <v>40</v>
      </c>
      <c r="C2045" s="1" t="s">
        <v>40</v>
      </c>
    </row>
    <row r="2046" spans="1:3" x14ac:dyDescent="0.4">
      <c r="A2046">
        <v>2001107</v>
      </c>
      <c r="B2046" s="1" t="s">
        <v>40</v>
      </c>
      <c r="C2046" s="1" t="s">
        <v>40</v>
      </c>
    </row>
    <row r="2047" spans="1:3" x14ac:dyDescent="0.4">
      <c r="A2047">
        <v>2001108</v>
      </c>
      <c r="B2047" s="1" t="s">
        <v>40</v>
      </c>
      <c r="C2047" s="1" t="s">
        <v>40</v>
      </c>
    </row>
    <row r="2048" spans="1:3" x14ac:dyDescent="0.4">
      <c r="A2048">
        <v>2001109</v>
      </c>
      <c r="B2048" s="1" t="s">
        <v>40</v>
      </c>
      <c r="C2048" s="1" t="s">
        <v>40</v>
      </c>
    </row>
    <row r="2049" spans="1:3" x14ac:dyDescent="0.4">
      <c r="A2049">
        <v>2001110</v>
      </c>
      <c r="B2049" s="1" t="s">
        <v>40</v>
      </c>
      <c r="C2049" s="1" t="s">
        <v>40</v>
      </c>
    </row>
    <row r="2050" spans="1:3" x14ac:dyDescent="0.4">
      <c r="A2050">
        <v>2001111</v>
      </c>
      <c r="B2050" s="1" t="s">
        <v>1093</v>
      </c>
      <c r="C2050" s="1" t="s">
        <v>104</v>
      </c>
    </row>
    <row r="2051" spans="1:3" x14ac:dyDescent="0.4">
      <c r="A2051">
        <v>2001112</v>
      </c>
      <c r="B2051" s="1" t="s">
        <v>1094</v>
      </c>
      <c r="C2051" s="1" t="s">
        <v>105</v>
      </c>
    </row>
    <row r="2052" spans="1:3" x14ac:dyDescent="0.4">
      <c r="A2052">
        <v>2001113</v>
      </c>
      <c r="B2052" s="1" t="s">
        <v>40</v>
      </c>
      <c r="C2052" s="1" t="s">
        <v>40</v>
      </c>
    </row>
    <row r="2053" spans="1:3" x14ac:dyDescent="0.4">
      <c r="A2053">
        <v>2001114</v>
      </c>
      <c r="B2053" s="1" t="s">
        <v>40</v>
      </c>
      <c r="C2053" s="1" t="s">
        <v>40</v>
      </c>
    </row>
    <row r="2054" spans="1:3" x14ac:dyDescent="0.4">
      <c r="A2054">
        <v>2001115</v>
      </c>
      <c r="B2054" s="1" t="s">
        <v>40</v>
      </c>
      <c r="C2054" s="1" t="s">
        <v>40</v>
      </c>
    </row>
    <row r="2055" spans="1:3" x14ac:dyDescent="0.4">
      <c r="A2055">
        <v>2001116</v>
      </c>
      <c r="B2055" s="1" t="s">
        <v>40</v>
      </c>
      <c r="C2055" s="1" t="s">
        <v>40</v>
      </c>
    </row>
    <row r="2056" spans="1:3" x14ac:dyDescent="0.4">
      <c r="A2056">
        <v>2001117</v>
      </c>
      <c r="B2056" s="1" t="s">
        <v>40</v>
      </c>
      <c r="C2056" s="1" t="s">
        <v>40</v>
      </c>
    </row>
    <row r="2057" spans="1:3" x14ac:dyDescent="0.4">
      <c r="A2057">
        <v>2001118</v>
      </c>
      <c r="B2057" s="1" t="s">
        <v>40</v>
      </c>
      <c r="C2057" s="1" t="s">
        <v>40</v>
      </c>
    </row>
    <row r="2058" spans="1:3" x14ac:dyDescent="0.4">
      <c r="A2058">
        <v>2001119</v>
      </c>
      <c r="B2058" s="1" t="s">
        <v>40</v>
      </c>
      <c r="C2058" s="1" t="s">
        <v>40</v>
      </c>
    </row>
    <row r="2059" spans="1:3" x14ac:dyDescent="0.4">
      <c r="A2059">
        <v>2001120</v>
      </c>
      <c r="B2059" s="1" t="s">
        <v>40</v>
      </c>
      <c r="C2059" s="1" t="s">
        <v>40</v>
      </c>
    </row>
    <row r="2060" spans="1:3" x14ac:dyDescent="0.4">
      <c r="A2060">
        <v>2001121</v>
      </c>
      <c r="B2060" s="1" t="s">
        <v>1093</v>
      </c>
      <c r="C2060" s="1" t="s">
        <v>104</v>
      </c>
    </row>
    <row r="2061" spans="1:3" x14ac:dyDescent="0.4">
      <c r="A2061">
        <v>2001122</v>
      </c>
      <c r="B2061" s="1" t="s">
        <v>1094</v>
      </c>
      <c r="C2061" s="1" t="s">
        <v>105</v>
      </c>
    </row>
    <row r="2062" spans="1:3" x14ac:dyDescent="0.4">
      <c r="A2062">
        <v>2001201</v>
      </c>
      <c r="B2062" s="1" t="s">
        <v>1096</v>
      </c>
      <c r="C2062" s="1" t="s">
        <v>107</v>
      </c>
    </row>
    <row r="2063" spans="1:3" x14ac:dyDescent="0.4">
      <c r="A2063">
        <v>2001202</v>
      </c>
      <c r="B2063" s="1" t="s">
        <v>1097</v>
      </c>
      <c r="C2063" s="1" t="s">
        <v>108</v>
      </c>
    </row>
    <row r="2064" spans="1:3" x14ac:dyDescent="0.4">
      <c r="A2064">
        <v>2001203</v>
      </c>
      <c r="B2064" s="1" t="s">
        <v>40</v>
      </c>
      <c r="C2064" s="1" t="s">
        <v>40</v>
      </c>
    </row>
    <row r="2065" spans="1:3" x14ac:dyDescent="0.4">
      <c r="A2065">
        <v>2001204</v>
      </c>
      <c r="B2065" s="1" t="s">
        <v>40</v>
      </c>
      <c r="C2065" s="1" t="s">
        <v>40</v>
      </c>
    </row>
    <row r="2066" spans="1:3" x14ac:dyDescent="0.4">
      <c r="A2066">
        <v>2001205</v>
      </c>
      <c r="B2066" s="1" t="s">
        <v>40</v>
      </c>
      <c r="C2066" s="1" t="s">
        <v>40</v>
      </c>
    </row>
    <row r="2067" spans="1:3" x14ac:dyDescent="0.4">
      <c r="A2067">
        <v>2001206</v>
      </c>
      <c r="B2067" s="1" t="s">
        <v>40</v>
      </c>
      <c r="C2067" s="1" t="s">
        <v>40</v>
      </c>
    </row>
    <row r="2068" spans="1:3" x14ac:dyDescent="0.4">
      <c r="A2068">
        <v>2001207</v>
      </c>
      <c r="B2068" s="1" t="s">
        <v>40</v>
      </c>
      <c r="C2068" s="1" t="s">
        <v>40</v>
      </c>
    </row>
    <row r="2069" spans="1:3" x14ac:dyDescent="0.4">
      <c r="A2069">
        <v>2001208</v>
      </c>
      <c r="B2069" s="1" t="s">
        <v>40</v>
      </c>
      <c r="C2069" s="1" t="s">
        <v>40</v>
      </c>
    </row>
    <row r="2070" spans="1:3" x14ac:dyDescent="0.4">
      <c r="A2070">
        <v>2001209</v>
      </c>
      <c r="B2070" s="1" t="s">
        <v>40</v>
      </c>
      <c r="C2070" s="1" t="s">
        <v>40</v>
      </c>
    </row>
    <row r="2071" spans="1:3" x14ac:dyDescent="0.4">
      <c r="A2071">
        <v>2001210</v>
      </c>
      <c r="B2071" s="1" t="s">
        <v>40</v>
      </c>
      <c r="C2071" s="1" t="s">
        <v>40</v>
      </c>
    </row>
    <row r="2072" spans="1:3" x14ac:dyDescent="0.4">
      <c r="A2072">
        <v>2001211</v>
      </c>
      <c r="B2072" s="1" t="s">
        <v>1096</v>
      </c>
      <c r="C2072" s="1" t="s">
        <v>107</v>
      </c>
    </row>
    <row r="2073" spans="1:3" x14ac:dyDescent="0.4">
      <c r="A2073">
        <v>2001212</v>
      </c>
      <c r="B2073" s="1" t="s">
        <v>1097</v>
      </c>
      <c r="C2073" s="1" t="s">
        <v>108</v>
      </c>
    </row>
    <row r="2074" spans="1:3" x14ac:dyDescent="0.4">
      <c r="A2074">
        <v>2001213</v>
      </c>
      <c r="B2074" s="1" t="s">
        <v>40</v>
      </c>
      <c r="C2074" s="1" t="s">
        <v>40</v>
      </c>
    </row>
    <row r="2075" spans="1:3" x14ac:dyDescent="0.4">
      <c r="A2075">
        <v>2001214</v>
      </c>
      <c r="B2075" s="1" t="s">
        <v>40</v>
      </c>
      <c r="C2075" s="1" t="s">
        <v>40</v>
      </c>
    </row>
    <row r="2076" spans="1:3" x14ac:dyDescent="0.4">
      <c r="A2076">
        <v>2001215</v>
      </c>
      <c r="B2076" s="1" t="s">
        <v>40</v>
      </c>
      <c r="C2076" s="1" t="s">
        <v>40</v>
      </c>
    </row>
    <row r="2077" spans="1:3" x14ac:dyDescent="0.4">
      <c r="A2077">
        <v>2001216</v>
      </c>
      <c r="B2077" s="1" t="s">
        <v>40</v>
      </c>
      <c r="C2077" s="1" t="s">
        <v>40</v>
      </c>
    </row>
    <row r="2078" spans="1:3" x14ac:dyDescent="0.4">
      <c r="A2078">
        <v>2001217</v>
      </c>
      <c r="B2078" s="1" t="s">
        <v>40</v>
      </c>
      <c r="C2078" s="1" t="s">
        <v>40</v>
      </c>
    </row>
    <row r="2079" spans="1:3" x14ac:dyDescent="0.4">
      <c r="A2079">
        <v>2001218</v>
      </c>
      <c r="B2079" s="1" t="s">
        <v>40</v>
      </c>
      <c r="C2079" s="1" t="s">
        <v>40</v>
      </c>
    </row>
    <row r="2080" spans="1:3" x14ac:dyDescent="0.4">
      <c r="A2080">
        <v>2001219</v>
      </c>
      <c r="B2080" s="1" t="s">
        <v>40</v>
      </c>
      <c r="C2080" s="1" t="s">
        <v>40</v>
      </c>
    </row>
    <row r="2081" spans="1:3" x14ac:dyDescent="0.4">
      <c r="A2081">
        <v>2001220</v>
      </c>
      <c r="B2081" s="1" t="s">
        <v>40</v>
      </c>
      <c r="C2081" s="1" t="s">
        <v>40</v>
      </c>
    </row>
    <row r="2082" spans="1:3" x14ac:dyDescent="0.4">
      <c r="A2082">
        <v>2001221</v>
      </c>
      <c r="B2082" s="1" t="s">
        <v>1096</v>
      </c>
      <c r="C2082" s="1" t="s">
        <v>107</v>
      </c>
    </row>
    <row r="2083" spans="1:3" x14ac:dyDescent="0.4">
      <c r="A2083">
        <v>2001222</v>
      </c>
      <c r="B2083" s="1" t="s">
        <v>1097</v>
      </c>
      <c r="C2083" s="1" t="s">
        <v>108</v>
      </c>
    </row>
    <row r="2084" spans="1:3" x14ac:dyDescent="0.4">
      <c r="A2084">
        <v>2001301</v>
      </c>
      <c r="B2084" s="1" t="s">
        <v>1099</v>
      </c>
      <c r="C2084" s="1" t="s">
        <v>110</v>
      </c>
    </row>
    <row r="2085" spans="1:3" x14ac:dyDescent="0.4">
      <c r="A2085">
        <v>2001302</v>
      </c>
      <c r="B2085" s="1" t="s">
        <v>1100</v>
      </c>
      <c r="C2085" s="1" t="s">
        <v>111</v>
      </c>
    </row>
    <row r="2086" spans="1:3" x14ac:dyDescent="0.4">
      <c r="A2086">
        <v>2001303</v>
      </c>
      <c r="B2086" s="1" t="s">
        <v>40</v>
      </c>
      <c r="C2086" s="1" t="s">
        <v>40</v>
      </c>
    </row>
    <row r="2087" spans="1:3" x14ac:dyDescent="0.4">
      <c r="A2087">
        <v>2001304</v>
      </c>
      <c r="B2087" s="1" t="s">
        <v>40</v>
      </c>
      <c r="C2087" s="1" t="s">
        <v>40</v>
      </c>
    </row>
    <row r="2088" spans="1:3" x14ac:dyDescent="0.4">
      <c r="A2088">
        <v>2001305</v>
      </c>
      <c r="B2088" s="1" t="s">
        <v>40</v>
      </c>
      <c r="C2088" s="1" t="s">
        <v>40</v>
      </c>
    </row>
    <row r="2089" spans="1:3" x14ac:dyDescent="0.4">
      <c r="A2089">
        <v>2001306</v>
      </c>
      <c r="B2089" s="1" t="s">
        <v>40</v>
      </c>
      <c r="C2089" s="1" t="s">
        <v>40</v>
      </c>
    </row>
    <row r="2090" spans="1:3" x14ac:dyDescent="0.4">
      <c r="A2090">
        <v>2001307</v>
      </c>
      <c r="B2090" s="1" t="s">
        <v>40</v>
      </c>
      <c r="C2090" s="1" t="s">
        <v>40</v>
      </c>
    </row>
    <row r="2091" spans="1:3" x14ac:dyDescent="0.4">
      <c r="A2091">
        <v>2001308</v>
      </c>
      <c r="B2091" s="1" t="s">
        <v>40</v>
      </c>
      <c r="C2091" s="1" t="s">
        <v>40</v>
      </c>
    </row>
    <row r="2092" spans="1:3" x14ac:dyDescent="0.4">
      <c r="A2092">
        <v>2001309</v>
      </c>
      <c r="B2092" s="1" t="s">
        <v>40</v>
      </c>
      <c r="C2092" s="1" t="s">
        <v>40</v>
      </c>
    </row>
    <row r="2093" spans="1:3" x14ac:dyDescent="0.4">
      <c r="A2093">
        <v>2001310</v>
      </c>
      <c r="B2093" s="1" t="s">
        <v>40</v>
      </c>
      <c r="C2093" s="1" t="s">
        <v>40</v>
      </c>
    </row>
    <row r="2094" spans="1:3" x14ac:dyDescent="0.4">
      <c r="A2094">
        <v>2001311</v>
      </c>
      <c r="B2094" s="1" t="s">
        <v>1099</v>
      </c>
      <c r="C2094" s="1" t="s">
        <v>110</v>
      </c>
    </row>
    <row r="2095" spans="1:3" x14ac:dyDescent="0.4">
      <c r="A2095">
        <v>2001312</v>
      </c>
      <c r="B2095" s="1" t="s">
        <v>1100</v>
      </c>
      <c r="C2095" s="1" t="s">
        <v>111</v>
      </c>
    </row>
    <row r="2096" spans="1:3" x14ac:dyDescent="0.4">
      <c r="A2096">
        <v>2001313</v>
      </c>
      <c r="B2096" s="1" t="s">
        <v>40</v>
      </c>
      <c r="C2096" s="1" t="s">
        <v>40</v>
      </c>
    </row>
    <row r="2097" spans="1:3" x14ac:dyDescent="0.4">
      <c r="A2097">
        <v>2001314</v>
      </c>
      <c r="B2097" s="1" t="s">
        <v>40</v>
      </c>
      <c r="C2097" s="1" t="s">
        <v>40</v>
      </c>
    </row>
    <row r="2098" spans="1:3" x14ac:dyDescent="0.4">
      <c r="A2098">
        <v>2001315</v>
      </c>
      <c r="B2098" s="1" t="s">
        <v>40</v>
      </c>
      <c r="C2098" s="1" t="s">
        <v>40</v>
      </c>
    </row>
    <row r="2099" spans="1:3" x14ac:dyDescent="0.4">
      <c r="A2099">
        <v>2001316</v>
      </c>
      <c r="B2099" s="1" t="s">
        <v>40</v>
      </c>
      <c r="C2099" s="1" t="s">
        <v>40</v>
      </c>
    </row>
    <row r="2100" spans="1:3" x14ac:dyDescent="0.4">
      <c r="A2100">
        <v>2001317</v>
      </c>
      <c r="B2100" s="1" t="s">
        <v>40</v>
      </c>
      <c r="C2100" s="1" t="s">
        <v>40</v>
      </c>
    </row>
    <row r="2101" spans="1:3" x14ac:dyDescent="0.4">
      <c r="A2101">
        <v>2001318</v>
      </c>
      <c r="B2101" s="1" t="s">
        <v>40</v>
      </c>
      <c r="C2101" s="1" t="s">
        <v>40</v>
      </c>
    </row>
    <row r="2102" spans="1:3" x14ac:dyDescent="0.4">
      <c r="A2102">
        <v>2001319</v>
      </c>
      <c r="B2102" s="1" t="s">
        <v>40</v>
      </c>
      <c r="C2102" s="1" t="s">
        <v>40</v>
      </c>
    </row>
    <row r="2103" spans="1:3" x14ac:dyDescent="0.4">
      <c r="A2103">
        <v>2001320</v>
      </c>
      <c r="B2103" s="1" t="s">
        <v>40</v>
      </c>
      <c r="C2103" s="1" t="s">
        <v>40</v>
      </c>
    </row>
    <row r="2104" spans="1:3" x14ac:dyDescent="0.4">
      <c r="A2104">
        <v>2001321</v>
      </c>
      <c r="B2104" s="1" t="s">
        <v>1099</v>
      </c>
      <c r="C2104" s="1" t="s">
        <v>110</v>
      </c>
    </row>
    <row r="2105" spans="1:3" x14ac:dyDescent="0.4">
      <c r="A2105">
        <v>2001322</v>
      </c>
      <c r="B2105" s="1" t="s">
        <v>1100</v>
      </c>
      <c r="C2105" s="1" t="s">
        <v>111</v>
      </c>
    </row>
    <row r="2106" spans="1:3" x14ac:dyDescent="0.4">
      <c r="A2106">
        <v>2002002</v>
      </c>
      <c r="B2106" s="1" t="s">
        <v>1091</v>
      </c>
      <c r="C2106" s="1" t="s">
        <v>102</v>
      </c>
    </row>
    <row r="2107" spans="1:3" x14ac:dyDescent="0.4">
      <c r="A2107">
        <v>2002003</v>
      </c>
      <c r="B2107" s="1" t="s">
        <v>40</v>
      </c>
      <c r="C2107" s="1" t="s">
        <v>40</v>
      </c>
    </row>
    <row r="2108" spans="1:3" x14ac:dyDescent="0.4">
      <c r="A2108">
        <v>2002004</v>
      </c>
      <c r="B2108" s="1" t="s">
        <v>40</v>
      </c>
      <c r="C2108" s="1" t="s">
        <v>40</v>
      </c>
    </row>
    <row r="2109" spans="1:3" x14ac:dyDescent="0.4">
      <c r="A2109">
        <v>2002005</v>
      </c>
      <c r="B2109" s="1" t="s">
        <v>40</v>
      </c>
      <c r="C2109" s="1" t="s">
        <v>40</v>
      </c>
    </row>
    <row r="2110" spans="1:3" x14ac:dyDescent="0.4">
      <c r="A2110">
        <v>2002006</v>
      </c>
      <c r="B2110" s="1" t="s">
        <v>40</v>
      </c>
      <c r="C2110" s="1" t="s">
        <v>40</v>
      </c>
    </row>
    <row r="2111" spans="1:3" x14ac:dyDescent="0.4">
      <c r="A2111">
        <v>2002007</v>
      </c>
      <c r="B2111" s="1" t="s">
        <v>40</v>
      </c>
      <c r="C2111" s="1" t="s">
        <v>40</v>
      </c>
    </row>
    <row r="2112" spans="1:3" x14ac:dyDescent="0.4">
      <c r="A2112">
        <v>2002008</v>
      </c>
      <c r="B2112" s="1" t="s">
        <v>40</v>
      </c>
      <c r="C2112" s="1" t="s">
        <v>40</v>
      </c>
    </row>
    <row r="2113" spans="1:3" x14ac:dyDescent="0.4">
      <c r="A2113">
        <v>2002009</v>
      </c>
      <c r="B2113" s="1" t="s">
        <v>40</v>
      </c>
      <c r="C2113" s="1" t="s">
        <v>40</v>
      </c>
    </row>
    <row r="2114" spans="1:3" x14ac:dyDescent="0.4">
      <c r="A2114">
        <v>2002010</v>
      </c>
      <c r="B2114" s="1" t="s">
        <v>40</v>
      </c>
      <c r="C2114" s="1" t="s">
        <v>40</v>
      </c>
    </row>
    <row r="2115" spans="1:3" x14ac:dyDescent="0.4">
      <c r="A2115">
        <v>2002011</v>
      </c>
      <c r="B2115" s="1" t="s">
        <v>40</v>
      </c>
      <c r="C2115" s="1" t="s">
        <v>40</v>
      </c>
    </row>
    <row r="2116" spans="1:3" x14ac:dyDescent="0.4">
      <c r="A2116">
        <v>2002012</v>
      </c>
      <c r="B2116" s="1" t="s">
        <v>1091</v>
      </c>
      <c r="C2116" s="1" t="s">
        <v>102</v>
      </c>
    </row>
    <row r="2117" spans="1:3" x14ac:dyDescent="0.4">
      <c r="A2117">
        <v>2002013</v>
      </c>
      <c r="B2117" s="1" t="s">
        <v>40</v>
      </c>
      <c r="C2117" s="1" t="s">
        <v>40</v>
      </c>
    </row>
    <row r="2118" spans="1:3" x14ac:dyDescent="0.4">
      <c r="A2118">
        <v>2002014</v>
      </c>
      <c r="B2118" s="1" t="s">
        <v>40</v>
      </c>
      <c r="C2118" s="1" t="s">
        <v>40</v>
      </c>
    </row>
    <row r="2119" spans="1:3" x14ac:dyDescent="0.4">
      <c r="A2119">
        <v>2002015</v>
      </c>
      <c r="B2119" s="1" t="s">
        <v>40</v>
      </c>
      <c r="C2119" s="1" t="s">
        <v>40</v>
      </c>
    </row>
    <row r="2120" spans="1:3" x14ac:dyDescent="0.4">
      <c r="A2120">
        <v>2002016</v>
      </c>
      <c r="B2120" s="1" t="s">
        <v>40</v>
      </c>
      <c r="C2120" s="1" t="s">
        <v>40</v>
      </c>
    </row>
    <row r="2121" spans="1:3" x14ac:dyDescent="0.4">
      <c r="A2121">
        <v>2002017</v>
      </c>
      <c r="B2121" s="1" t="s">
        <v>40</v>
      </c>
      <c r="C2121" s="1" t="s">
        <v>40</v>
      </c>
    </row>
    <row r="2122" spans="1:3" x14ac:dyDescent="0.4">
      <c r="A2122">
        <v>2002018</v>
      </c>
      <c r="B2122" s="1" t="s">
        <v>40</v>
      </c>
      <c r="C2122" s="1" t="s">
        <v>40</v>
      </c>
    </row>
    <row r="2123" spans="1:3" x14ac:dyDescent="0.4">
      <c r="A2123">
        <v>2002019</v>
      </c>
      <c r="B2123" s="1" t="s">
        <v>40</v>
      </c>
      <c r="C2123" s="1" t="s">
        <v>40</v>
      </c>
    </row>
    <row r="2124" spans="1:3" x14ac:dyDescent="0.4">
      <c r="A2124">
        <v>2002020</v>
      </c>
      <c r="B2124" s="1" t="s">
        <v>40</v>
      </c>
      <c r="C2124" s="1" t="s">
        <v>40</v>
      </c>
    </row>
    <row r="2125" spans="1:3" x14ac:dyDescent="0.4">
      <c r="A2125">
        <v>2002021</v>
      </c>
      <c r="B2125" s="1" t="s">
        <v>40</v>
      </c>
      <c r="C2125" s="1" t="s">
        <v>40</v>
      </c>
    </row>
    <row r="2126" spans="1:3" x14ac:dyDescent="0.4">
      <c r="A2126">
        <v>2002022</v>
      </c>
      <c r="B2126" s="1" t="s">
        <v>1091</v>
      </c>
      <c r="C2126" s="1" t="s">
        <v>102</v>
      </c>
    </row>
    <row r="2127" spans="1:3" x14ac:dyDescent="0.4">
      <c r="A2127">
        <v>2002102</v>
      </c>
      <c r="B2127" s="1" t="s">
        <v>1094</v>
      </c>
      <c r="C2127" s="1" t="s">
        <v>105</v>
      </c>
    </row>
    <row r="2128" spans="1:3" x14ac:dyDescent="0.4">
      <c r="A2128">
        <v>2002103</v>
      </c>
      <c r="B2128" s="1" t="s">
        <v>40</v>
      </c>
      <c r="C2128" s="1" t="s">
        <v>40</v>
      </c>
    </row>
    <row r="2129" spans="1:3" x14ac:dyDescent="0.4">
      <c r="A2129">
        <v>2002104</v>
      </c>
      <c r="B2129" s="1" t="s">
        <v>40</v>
      </c>
      <c r="C2129" s="1" t="s">
        <v>40</v>
      </c>
    </row>
    <row r="2130" spans="1:3" x14ac:dyDescent="0.4">
      <c r="A2130">
        <v>2002105</v>
      </c>
      <c r="B2130" s="1" t="s">
        <v>40</v>
      </c>
      <c r="C2130" s="1" t="s">
        <v>40</v>
      </c>
    </row>
    <row r="2131" spans="1:3" x14ac:dyDescent="0.4">
      <c r="A2131">
        <v>2002106</v>
      </c>
      <c r="B2131" s="1" t="s">
        <v>40</v>
      </c>
      <c r="C2131" s="1" t="s">
        <v>40</v>
      </c>
    </row>
    <row r="2132" spans="1:3" x14ac:dyDescent="0.4">
      <c r="A2132">
        <v>2002107</v>
      </c>
      <c r="B2132" s="1" t="s">
        <v>40</v>
      </c>
      <c r="C2132" s="1" t="s">
        <v>40</v>
      </c>
    </row>
    <row r="2133" spans="1:3" x14ac:dyDescent="0.4">
      <c r="A2133">
        <v>2002108</v>
      </c>
      <c r="B2133" s="1" t="s">
        <v>40</v>
      </c>
      <c r="C2133" s="1" t="s">
        <v>40</v>
      </c>
    </row>
    <row r="2134" spans="1:3" x14ac:dyDescent="0.4">
      <c r="A2134">
        <v>2002109</v>
      </c>
      <c r="B2134" s="1" t="s">
        <v>40</v>
      </c>
      <c r="C2134" s="1" t="s">
        <v>40</v>
      </c>
    </row>
    <row r="2135" spans="1:3" x14ac:dyDescent="0.4">
      <c r="A2135">
        <v>2002110</v>
      </c>
      <c r="B2135" s="1" t="s">
        <v>40</v>
      </c>
      <c r="C2135" s="1" t="s">
        <v>40</v>
      </c>
    </row>
    <row r="2136" spans="1:3" x14ac:dyDescent="0.4">
      <c r="A2136">
        <v>2002111</v>
      </c>
      <c r="B2136" s="1" t="s">
        <v>40</v>
      </c>
      <c r="C2136" s="1" t="s">
        <v>40</v>
      </c>
    </row>
    <row r="2137" spans="1:3" x14ac:dyDescent="0.4">
      <c r="A2137">
        <v>2002112</v>
      </c>
      <c r="B2137" s="1" t="s">
        <v>1094</v>
      </c>
      <c r="C2137" s="1" t="s">
        <v>105</v>
      </c>
    </row>
    <row r="2138" spans="1:3" x14ac:dyDescent="0.4">
      <c r="A2138">
        <v>2002113</v>
      </c>
      <c r="B2138" s="1" t="s">
        <v>40</v>
      </c>
      <c r="C2138" s="1" t="s">
        <v>40</v>
      </c>
    </row>
    <row r="2139" spans="1:3" x14ac:dyDescent="0.4">
      <c r="A2139">
        <v>2002114</v>
      </c>
      <c r="B2139" s="1" t="s">
        <v>40</v>
      </c>
      <c r="C2139" s="1" t="s">
        <v>40</v>
      </c>
    </row>
    <row r="2140" spans="1:3" x14ac:dyDescent="0.4">
      <c r="A2140">
        <v>2002115</v>
      </c>
      <c r="B2140" s="1" t="s">
        <v>40</v>
      </c>
      <c r="C2140" s="1" t="s">
        <v>40</v>
      </c>
    </row>
    <row r="2141" spans="1:3" x14ac:dyDescent="0.4">
      <c r="A2141">
        <v>2002116</v>
      </c>
      <c r="B2141" s="1" t="s">
        <v>40</v>
      </c>
      <c r="C2141" s="1" t="s">
        <v>40</v>
      </c>
    </row>
    <row r="2142" spans="1:3" x14ac:dyDescent="0.4">
      <c r="A2142">
        <v>2002117</v>
      </c>
      <c r="B2142" s="1" t="s">
        <v>40</v>
      </c>
      <c r="C2142" s="1" t="s">
        <v>40</v>
      </c>
    </row>
    <row r="2143" spans="1:3" x14ac:dyDescent="0.4">
      <c r="A2143">
        <v>2002118</v>
      </c>
      <c r="B2143" s="1" t="s">
        <v>40</v>
      </c>
      <c r="C2143" s="1" t="s">
        <v>40</v>
      </c>
    </row>
    <row r="2144" spans="1:3" x14ac:dyDescent="0.4">
      <c r="A2144">
        <v>2002119</v>
      </c>
      <c r="B2144" s="1" t="s">
        <v>40</v>
      </c>
      <c r="C2144" s="1" t="s">
        <v>40</v>
      </c>
    </row>
    <row r="2145" spans="1:3" x14ac:dyDescent="0.4">
      <c r="A2145">
        <v>2002120</v>
      </c>
      <c r="B2145" s="1" t="s">
        <v>40</v>
      </c>
      <c r="C2145" s="1" t="s">
        <v>40</v>
      </c>
    </row>
    <row r="2146" spans="1:3" x14ac:dyDescent="0.4">
      <c r="A2146">
        <v>2002121</v>
      </c>
      <c r="B2146" s="1" t="s">
        <v>40</v>
      </c>
      <c r="C2146" s="1" t="s">
        <v>40</v>
      </c>
    </row>
    <row r="2147" spans="1:3" x14ac:dyDescent="0.4">
      <c r="A2147">
        <v>2002122</v>
      </c>
      <c r="B2147" s="1" t="s">
        <v>1094</v>
      </c>
      <c r="C2147" s="1" t="s">
        <v>105</v>
      </c>
    </row>
    <row r="2148" spans="1:3" x14ac:dyDescent="0.4">
      <c r="A2148">
        <v>2002202</v>
      </c>
      <c r="B2148" s="1" t="s">
        <v>1097</v>
      </c>
      <c r="C2148" s="1" t="s">
        <v>108</v>
      </c>
    </row>
    <row r="2149" spans="1:3" x14ac:dyDescent="0.4">
      <c r="A2149">
        <v>2002203</v>
      </c>
      <c r="B2149" s="1" t="s">
        <v>40</v>
      </c>
      <c r="C2149" s="1" t="s">
        <v>40</v>
      </c>
    </row>
    <row r="2150" spans="1:3" x14ac:dyDescent="0.4">
      <c r="A2150">
        <v>2002204</v>
      </c>
      <c r="B2150" s="1" t="s">
        <v>40</v>
      </c>
      <c r="C2150" s="1" t="s">
        <v>40</v>
      </c>
    </row>
    <row r="2151" spans="1:3" x14ac:dyDescent="0.4">
      <c r="A2151">
        <v>2002205</v>
      </c>
      <c r="B2151" s="1" t="s">
        <v>40</v>
      </c>
      <c r="C2151" s="1" t="s">
        <v>40</v>
      </c>
    </row>
    <row r="2152" spans="1:3" x14ac:dyDescent="0.4">
      <c r="A2152">
        <v>2002206</v>
      </c>
      <c r="B2152" s="1" t="s">
        <v>40</v>
      </c>
      <c r="C2152" s="1" t="s">
        <v>40</v>
      </c>
    </row>
    <row r="2153" spans="1:3" x14ac:dyDescent="0.4">
      <c r="A2153">
        <v>2002207</v>
      </c>
      <c r="B2153" s="1" t="s">
        <v>40</v>
      </c>
      <c r="C2153" s="1" t="s">
        <v>40</v>
      </c>
    </row>
    <row r="2154" spans="1:3" x14ac:dyDescent="0.4">
      <c r="A2154">
        <v>2002208</v>
      </c>
      <c r="B2154" s="1" t="s">
        <v>40</v>
      </c>
      <c r="C2154" s="1" t="s">
        <v>40</v>
      </c>
    </row>
    <row r="2155" spans="1:3" x14ac:dyDescent="0.4">
      <c r="A2155">
        <v>2002209</v>
      </c>
      <c r="B2155" s="1" t="s">
        <v>40</v>
      </c>
      <c r="C2155" s="1" t="s">
        <v>40</v>
      </c>
    </row>
    <row r="2156" spans="1:3" x14ac:dyDescent="0.4">
      <c r="A2156">
        <v>2002210</v>
      </c>
      <c r="B2156" s="1" t="s">
        <v>40</v>
      </c>
      <c r="C2156" s="1" t="s">
        <v>40</v>
      </c>
    </row>
    <row r="2157" spans="1:3" x14ac:dyDescent="0.4">
      <c r="A2157">
        <v>2002211</v>
      </c>
      <c r="B2157" s="1" t="s">
        <v>40</v>
      </c>
      <c r="C2157" s="1" t="s">
        <v>40</v>
      </c>
    </row>
    <row r="2158" spans="1:3" x14ac:dyDescent="0.4">
      <c r="A2158">
        <v>2002212</v>
      </c>
      <c r="B2158" s="1" t="s">
        <v>1097</v>
      </c>
      <c r="C2158" s="1" t="s">
        <v>108</v>
      </c>
    </row>
    <row r="2159" spans="1:3" x14ac:dyDescent="0.4">
      <c r="A2159">
        <v>2002213</v>
      </c>
      <c r="B2159" s="1" t="s">
        <v>40</v>
      </c>
      <c r="C2159" s="1" t="s">
        <v>40</v>
      </c>
    </row>
    <row r="2160" spans="1:3" x14ac:dyDescent="0.4">
      <c r="A2160">
        <v>2002214</v>
      </c>
      <c r="B2160" s="1" t="s">
        <v>40</v>
      </c>
      <c r="C2160" s="1" t="s">
        <v>40</v>
      </c>
    </row>
    <row r="2161" spans="1:3" x14ac:dyDescent="0.4">
      <c r="A2161">
        <v>2002215</v>
      </c>
      <c r="B2161" s="1" t="s">
        <v>40</v>
      </c>
      <c r="C2161" s="1" t="s">
        <v>40</v>
      </c>
    </row>
    <row r="2162" spans="1:3" x14ac:dyDescent="0.4">
      <c r="A2162">
        <v>2002216</v>
      </c>
      <c r="B2162" s="1" t="s">
        <v>40</v>
      </c>
      <c r="C2162" s="1" t="s">
        <v>40</v>
      </c>
    </row>
    <row r="2163" spans="1:3" x14ac:dyDescent="0.4">
      <c r="A2163">
        <v>2002217</v>
      </c>
      <c r="B2163" s="1" t="s">
        <v>40</v>
      </c>
      <c r="C2163" s="1" t="s">
        <v>40</v>
      </c>
    </row>
    <row r="2164" spans="1:3" x14ac:dyDescent="0.4">
      <c r="A2164">
        <v>2002218</v>
      </c>
      <c r="B2164" s="1" t="s">
        <v>40</v>
      </c>
      <c r="C2164" s="1" t="s">
        <v>40</v>
      </c>
    </row>
    <row r="2165" spans="1:3" x14ac:dyDescent="0.4">
      <c r="A2165">
        <v>2002219</v>
      </c>
      <c r="B2165" s="1" t="s">
        <v>40</v>
      </c>
      <c r="C2165" s="1" t="s">
        <v>40</v>
      </c>
    </row>
    <row r="2166" spans="1:3" x14ac:dyDescent="0.4">
      <c r="A2166">
        <v>2002220</v>
      </c>
      <c r="B2166" s="1" t="s">
        <v>40</v>
      </c>
      <c r="C2166" s="1" t="s">
        <v>40</v>
      </c>
    </row>
    <row r="2167" spans="1:3" x14ac:dyDescent="0.4">
      <c r="A2167">
        <v>2002221</v>
      </c>
      <c r="B2167" s="1" t="s">
        <v>40</v>
      </c>
      <c r="C2167" s="1" t="s">
        <v>40</v>
      </c>
    </row>
    <row r="2168" spans="1:3" x14ac:dyDescent="0.4">
      <c r="A2168">
        <v>2002222</v>
      </c>
      <c r="B2168" s="1" t="s">
        <v>1097</v>
      </c>
      <c r="C2168" s="1" t="s">
        <v>108</v>
      </c>
    </row>
    <row r="2169" spans="1:3" x14ac:dyDescent="0.4">
      <c r="A2169">
        <v>2002302</v>
      </c>
      <c r="B2169" s="1" t="s">
        <v>1100</v>
      </c>
      <c r="C2169" s="1" t="s">
        <v>111</v>
      </c>
    </row>
    <row r="2170" spans="1:3" x14ac:dyDescent="0.4">
      <c r="A2170">
        <v>2002303</v>
      </c>
      <c r="B2170" s="1" t="s">
        <v>40</v>
      </c>
      <c r="C2170" s="1" t="s">
        <v>40</v>
      </c>
    </row>
    <row r="2171" spans="1:3" x14ac:dyDescent="0.4">
      <c r="A2171">
        <v>2002304</v>
      </c>
      <c r="B2171" s="1" t="s">
        <v>40</v>
      </c>
      <c r="C2171" s="1" t="s">
        <v>40</v>
      </c>
    </row>
    <row r="2172" spans="1:3" x14ac:dyDescent="0.4">
      <c r="A2172">
        <v>2002305</v>
      </c>
      <c r="B2172" s="1" t="s">
        <v>40</v>
      </c>
      <c r="C2172" s="1" t="s">
        <v>40</v>
      </c>
    </row>
    <row r="2173" spans="1:3" x14ac:dyDescent="0.4">
      <c r="A2173">
        <v>2002306</v>
      </c>
      <c r="B2173" s="1" t="s">
        <v>40</v>
      </c>
      <c r="C2173" s="1" t="s">
        <v>40</v>
      </c>
    </row>
    <row r="2174" spans="1:3" x14ac:dyDescent="0.4">
      <c r="A2174">
        <v>2002307</v>
      </c>
      <c r="B2174" s="1" t="s">
        <v>40</v>
      </c>
      <c r="C2174" s="1" t="s">
        <v>40</v>
      </c>
    </row>
    <row r="2175" spans="1:3" x14ac:dyDescent="0.4">
      <c r="A2175">
        <v>2002308</v>
      </c>
      <c r="B2175" s="1" t="s">
        <v>40</v>
      </c>
      <c r="C2175" s="1" t="s">
        <v>40</v>
      </c>
    </row>
    <row r="2176" spans="1:3" x14ac:dyDescent="0.4">
      <c r="A2176">
        <v>2002309</v>
      </c>
      <c r="B2176" s="1" t="s">
        <v>40</v>
      </c>
      <c r="C2176" s="1" t="s">
        <v>40</v>
      </c>
    </row>
    <row r="2177" spans="1:3" x14ac:dyDescent="0.4">
      <c r="A2177">
        <v>2002310</v>
      </c>
      <c r="B2177" s="1" t="s">
        <v>40</v>
      </c>
      <c r="C2177" s="1" t="s">
        <v>40</v>
      </c>
    </row>
    <row r="2178" spans="1:3" x14ac:dyDescent="0.4">
      <c r="A2178">
        <v>2002311</v>
      </c>
      <c r="B2178" s="1" t="s">
        <v>40</v>
      </c>
      <c r="C2178" s="1" t="s">
        <v>40</v>
      </c>
    </row>
    <row r="2179" spans="1:3" x14ac:dyDescent="0.4">
      <c r="A2179">
        <v>2002312</v>
      </c>
      <c r="B2179" s="1" t="s">
        <v>1100</v>
      </c>
      <c r="C2179" s="1" t="s">
        <v>111</v>
      </c>
    </row>
    <row r="2180" spans="1:3" x14ac:dyDescent="0.4">
      <c r="A2180">
        <v>2002313</v>
      </c>
      <c r="B2180" s="1" t="s">
        <v>40</v>
      </c>
      <c r="C2180" s="1" t="s">
        <v>40</v>
      </c>
    </row>
    <row r="2181" spans="1:3" x14ac:dyDescent="0.4">
      <c r="A2181">
        <v>2002314</v>
      </c>
      <c r="B2181" s="1" t="s">
        <v>40</v>
      </c>
      <c r="C2181" s="1" t="s">
        <v>40</v>
      </c>
    </row>
    <row r="2182" spans="1:3" x14ac:dyDescent="0.4">
      <c r="A2182">
        <v>2002315</v>
      </c>
      <c r="B2182" s="1" t="s">
        <v>40</v>
      </c>
      <c r="C2182" s="1" t="s">
        <v>40</v>
      </c>
    </row>
    <row r="2183" spans="1:3" x14ac:dyDescent="0.4">
      <c r="A2183">
        <v>2002316</v>
      </c>
      <c r="B2183" s="1" t="s">
        <v>40</v>
      </c>
      <c r="C2183" s="1" t="s">
        <v>40</v>
      </c>
    </row>
    <row r="2184" spans="1:3" x14ac:dyDescent="0.4">
      <c r="A2184">
        <v>2002317</v>
      </c>
      <c r="B2184" s="1" t="s">
        <v>40</v>
      </c>
      <c r="C2184" s="1" t="s">
        <v>40</v>
      </c>
    </row>
    <row r="2185" spans="1:3" x14ac:dyDescent="0.4">
      <c r="A2185">
        <v>2002318</v>
      </c>
      <c r="B2185" s="1" t="s">
        <v>40</v>
      </c>
      <c r="C2185" s="1" t="s">
        <v>40</v>
      </c>
    </row>
    <row r="2186" spans="1:3" x14ac:dyDescent="0.4">
      <c r="A2186">
        <v>2002319</v>
      </c>
      <c r="B2186" s="1" t="s">
        <v>40</v>
      </c>
      <c r="C2186" s="1" t="s">
        <v>40</v>
      </c>
    </row>
    <row r="2187" spans="1:3" x14ac:dyDescent="0.4">
      <c r="A2187">
        <v>2002320</v>
      </c>
      <c r="B2187" s="1" t="s">
        <v>40</v>
      </c>
      <c r="C2187" s="1" t="s">
        <v>40</v>
      </c>
    </row>
    <row r="2188" spans="1:3" x14ac:dyDescent="0.4">
      <c r="A2188">
        <v>2002321</v>
      </c>
      <c r="B2188" s="1" t="s">
        <v>40</v>
      </c>
      <c r="C2188" s="1" t="s">
        <v>40</v>
      </c>
    </row>
    <row r="2189" spans="1:3" x14ac:dyDescent="0.4">
      <c r="A2189">
        <v>2002322</v>
      </c>
      <c r="B2189" s="1" t="s">
        <v>1100</v>
      </c>
      <c r="C2189" s="1" t="s">
        <v>111</v>
      </c>
    </row>
    <row r="2190" spans="1:3" x14ac:dyDescent="0.4">
      <c r="A2190">
        <v>2003000</v>
      </c>
      <c r="B2190" s="1" t="s">
        <v>1089</v>
      </c>
      <c r="C2190" s="1" t="s">
        <v>100</v>
      </c>
    </row>
    <row r="2191" spans="1:3" x14ac:dyDescent="0.4">
      <c r="A2191">
        <v>2003001</v>
      </c>
      <c r="B2191" s="1" t="s">
        <v>1090</v>
      </c>
      <c r="C2191" s="1" t="s">
        <v>101</v>
      </c>
    </row>
    <row r="2192" spans="1:3" x14ac:dyDescent="0.4">
      <c r="A2192">
        <v>2003002</v>
      </c>
      <c r="B2192" s="1" t="s">
        <v>1091</v>
      </c>
      <c r="C2192" s="1" t="s">
        <v>102</v>
      </c>
    </row>
    <row r="2193" spans="1:3" x14ac:dyDescent="0.4">
      <c r="A2193">
        <v>2003003</v>
      </c>
      <c r="B2193" s="1" t="s">
        <v>40</v>
      </c>
      <c r="C2193" s="1" t="s">
        <v>40</v>
      </c>
    </row>
    <row r="2194" spans="1:3" x14ac:dyDescent="0.4">
      <c r="A2194">
        <v>2003004</v>
      </c>
      <c r="B2194" s="1" t="s">
        <v>40</v>
      </c>
      <c r="C2194" s="1" t="s">
        <v>40</v>
      </c>
    </row>
    <row r="2195" spans="1:3" x14ac:dyDescent="0.4">
      <c r="A2195">
        <v>2003005</v>
      </c>
      <c r="B2195" s="1" t="s">
        <v>40</v>
      </c>
      <c r="C2195" s="1" t="s">
        <v>40</v>
      </c>
    </row>
    <row r="2196" spans="1:3" x14ac:dyDescent="0.4">
      <c r="A2196">
        <v>2003006</v>
      </c>
      <c r="B2196" s="1" t="s">
        <v>40</v>
      </c>
      <c r="C2196" s="1" t="s">
        <v>40</v>
      </c>
    </row>
    <row r="2197" spans="1:3" x14ac:dyDescent="0.4">
      <c r="A2197">
        <v>2003007</v>
      </c>
      <c r="B2197" s="1" t="s">
        <v>40</v>
      </c>
      <c r="C2197" s="1" t="s">
        <v>40</v>
      </c>
    </row>
    <row r="2198" spans="1:3" x14ac:dyDescent="0.4">
      <c r="A2198">
        <v>2003008</v>
      </c>
      <c r="B2198" s="1" t="s">
        <v>40</v>
      </c>
      <c r="C2198" s="1" t="s">
        <v>40</v>
      </c>
    </row>
    <row r="2199" spans="1:3" x14ac:dyDescent="0.4">
      <c r="A2199">
        <v>2003009</v>
      </c>
      <c r="B2199" s="1" t="s">
        <v>40</v>
      </c>
      <c r="C2199" s="1" t="s">
        <v>40</v>
      </c>
    </row>
    <row r="2200" spans="1:3" x14ac:dyDescent="0.4">
      <c r="A2200">
        <v>2003010</v>
      </c>
      <c r="B2200" s="1" t="s">
        <v>1089</v>
      </c>
      <c r="C2200" s="1" t="s">
        <v>100</v>
      </c>
    </row>
    <row r="2201" spans="1:3" x14ac:dyDescent="0.4">
      <c r="A2201">
        <v>2003011</v>
      </c>
      <c r="B2201" s="1" t="s">
        <v>1090</v>
      </c>
      <c r="C2201" s="1" t="s">
        <v>101</v>
      </c>
    </row>
    <row r="2202" spans="1:3" x14ac:dyDescent="0.4">
      <c r="A2202">
        <v>2003012</v>
      </c>
      <c r="B2202" s="1" t="s">
        <v>1091</v>
      </c>
      <c r="C2202" s="1" t="s">
        <v>102</v>
      </c>
    </row>
    <row r="2203" spans="1:3" x14ac:dyDescent="0.4">
      <c r="A2203">
        <v>2003013</v>
      </c>
      <c r="B2203" s="1" t="s">
        <v>40</v>
      </c>
      <c r="C2203" s="1" t="s">
        <v>40</v>
      </c>
    </row>
    <row r="2204" spans="1:3" x14ac:dyDescent="0.4">
      <c r="A2204">
        <v>2003014</v>
      </c>
      <c r="B2204" s="1" t="s">
        <v>40</v>
      </c>
      <c r="C2204" s="1" t="s">
        <v>40</v>
      </c>
    </row>
    <row r="2205" spans="1:3" x14ac:dyDescent="0.4">
      <c r="A2205">
        <v>2003015</v>
      </c>
      <c r="B2205" s="1" t="s">
        <v>40</v>
      </c>
      <c r="C2205" s="1" t="s">
        <v>40</v>
      </c>
    </row>
    <row r="2206" spans="1:3" x14ac:dyDescent="0.4">
      <c r="A2206">
        <v>2003016</v>
      </c>
      <c r="B2206" s="1" t="s">
        <v>40</v>
      </c>
      <c r="C2206" s="1" t="s">
        <v>40</v>
      </c>
    </row>
    <row r="2207" spans="1:3" x14ac:dyDescent="0.4">
      <c r="A2207">
        <v>2003017</v>
      </c>
      <c r="B2207" s="1" t="s">
        <v>40</v>
      </c>
      <c r="C2207" s="1" t="s">
        <v>40</v>
      </c>
    </row>
    <row r="2208" spans="1:3" x14ac:dyDescent="0.4">
      <c r="A2208">
        <v>2003018</v>
      </c>
      <c r="B2208" s="1" t="s">
        <v>40</v>
      </c>
      <c r="C2208" s="1" t="s">
        <v>40</v>
      </c>
    </row>
    <row r="2209" spans="1:3" x14ac:dyDescent="0.4">
      <c r="A2209">
        <v>2003019</v>
      </c>
      <c r="B2209" s="1" t="s">
        <v>40</v>
      </c>
      <c r="C2209" s="1" t="s">
        <v>40</v>
      </c>
    </row>
    <row r="2210" spans="1:3" x14ac:dyDescent="0.4">
      <c r="A2210">
        <v>2003020</v>
      </c>
      <c r="B2210" s="1" t="s">
        <v>1089</v>
      </c>
      <c r="C2210" s="1" t="s">
        <v>100</v>
      </c>
    </row>
    <row r="2211" spans="1:3" x14ac:dyDescent="0.4">
      <c r="A2211">
        <v>2003021</v>
      </c>
      <c r="B2211" s="1" t="s">
        <v>1090</v>
      </c>
      <c r="C2211" s="1" t="s">
        <v>101</v>
      </c>
    </row>
    <row r="2212" spans="1:3" x14ac:dyDescent="0.4">
      <c r="A2212">
        <v>2003022</v>
      </c>
      <c r="B2212" s="1" t="s">
        <v>1091</v>
      </c>
      <c r="C2212" s="1" t="s">
        <v>102</v>
      </c>
    </row>
    <row r="2213" spans="1:3" x14ac:dyDescent="0.4">
      <c r="A2213">
        <v>2003100</v>
      </c>
      <c r="B2213" s="1" t="s">
        <v>1092</v>
      </c>
      <c r="C2213" s="1" t="s">
        <v>103</v>
      </c>
    </row>
    <row r="2214" spans="1:3" x14ac:dyDescent="0.4">
      <c r="A2214">
        <v>2003101</v>
      </c>
      <c r="B2214" s="1" t="s">
        <v>1093</v>
      </c>
      <c r="C2214" s="1" t="s">
        <v>104</v>
      </c>
    </row>
    <row r="2215" spans="1:3" x14ac:dyDescent="0.4">
      <c r="A2215">
        <v>2003102</v>
      </c>
      <c r="B2215" s="1" t="s">
        <v>1094</v>
      </c>
      <c r="C2215" s="1" t="s">
        <v>105</v>
      </c>
    </row>
    <row r="2216" spans="1:3" x14ac:dyDescent="0.4">
      <c r="A2216">
        <v>2003103</v>
      </c>
      <c r="B2216" s="1" t="s">
        <v>40</v>
      </c>
      <c r="C2216" s="1" t="s">
        <v>40</v>
      </c>
    </row>
    <row r="2217" spans="1:3" x14ac:dyDescent="0.4">
      <c r="A2217">
        <v>2003104</v>
      </c>
      <c r="B2217" s="1" t="s">
        <v>40</v>
      </c>
      <c r="C2217" s="1" t="s">
        <v>40</v>
      </c>
    </row>
    <row r="2218" spans="1:3" x14ac:dyDescent="0.4">
      <c r="A2218">
        <v>2003105</v>
      </c>
      <c r="B2218" s="1" t="s">
        <v>40</v>
      </c>
      <c r="C2218" s="1" t="s">
        <v>40</v>
      </c>
    </row>
    <row r="2219" spans="1:3" x14ac:dyDescent="0.4">
      <c r="A2219">
        <v>2003106</v>
      </c>
      <c r="B2219" s="1" t="s">
        <v>40</v>
      </c>
      <c r="C2219" s="1" t="s">
        <v>40</v>
      </c>
    </row>
    <row r="2220" spans="1:3" x14ac:dyDescent="0.4">
      <c r="A2220">
        <v>2003107</v>
      </c>
      <c r="B2220" s="1" t="s">
        <v>40</v>
      </c>
      <c r="C2220" s="1" t="s">
        <v>40</v>
      </c>
    </row>
    <row r="2221" spans="1:3" x14ac:dyDescent="0.4">
      <c r="A2221">
        <v>2003108</v>
      </c>
      <c r="B2221" s="1" t="s">
        <v>40</v>
      </c>
      <c r="C2221" s="1" t="s">
        <v>40</v>
      </c>
    </row>
    <row r="2222" spans="1:3" x14ac:dyDescent="0.4">
      <c r="A2222">
        <v>2003109</v>
      </c>
      <c r="B2222" s="1" t="s">
        <v>40</v>
      </c>
      <c r="C2222" s="1" t="s">
        <v>40</v>
      </c>
    </row>
    <row r="2223" spans="1:3" x14ac:dyDescent="0.4">
      <c r="A2223">
        <v>2003110</v>
      </c>
      <c r="B2223" s="1" t="s">
        <v>1092</v>
      </c>
      <c r="C2223" s="1" t="s">
        <v>103</v>
      </c>
    </row>
    <row r="2224" spans="1:3" x14ac:dyDescent="0.4">
      <c r="A2224">
        <v>2003111</v>
      </c>
      <c r="B2224" s="1" t="s">
        <v>1093</v>
      </c>
      <c r="C2224" s="1" t="s">
        <v>104</v>
      </c>
    </row>
    <row r="2225" spans="1:3" x14ac:dyDescent="0.4">
      <c r="A2225">
        <v>2003112</v>
      </c>
      <c r="B2225" s="1" t="s">
        <v>1094</v>
      </c>
      <c r="C2225" s="1" t="s">
        <v>105</v>
      </c>
    </row>
    <row r="2226" spans="1:3" x14ac:dyDescent="0.4">
      <c r="A2226">
        <v>2003113</v>
      </c>
      <c r="B2226" s="1" t="s">
        <v>40</v>
      </c>
      <c r="C2226" s="1" t="s">
        <v>40</v>
      </c>
    </row>
    <row r="2227" spans="1:3" x14ac:dyDescent="0.4">
      <c r="A2227">
        <v>2003114</v>
      </c>
      <c r="B2227" s="1" t="s">
        <v>40</v>
      </c>
      <c r="C2227" s="1" t="s">
        <v>40</v>
      </c>
    </row>
    <row r="2228" spans="1:3" x14ac:dyDescent="0.4">
      <c r="A2228">
        <v>2003115</v>
      </c>
      <c r="B2228" s="1" t="s">
        <v>40</v>
      </c>
      <c r="C2228" s="1" t="s">
        <v>40</v>
      </c>
    </row>
    <row r="2229" spans="1:3" x14ac:dyDescent="0.4">
      <c r="A2229">
        <v>2003116</v>
      </c>
      <c r="B2229" s="1" t="s">
        <v>40</v>
      </c>
      <c r="C2229" s="1" t="s">
        <v>40</v>
      </c>
    </row>
    <row r="2230" spans="1:3" x14ac:dyDescent="0.4">
      <c r="A2230">
        <v>2003117</v>
      </c>
      <c r="B2230" s="1" t="s">
        <v>40</v>
      </c>
      <c r="C2230" s="1" t="s">
        <v>40</v>
      </c>
    </row>
    <row r="2231" spans="1:3" x14ac:dyDescent="0.4">
      <c r="A2231">
        <v>2003118</v>
      </c>
      <c r="B2231" s="1" t="s">
        <v>40</v>
      </c>
      <c r="C2231" s="1" t="s">
        <v>40</v>
      </c>
    </row>
    <row r="2232" spans="1:3" x14ac:dyDescent="0.4">
      <c r="A2232">
        <v>2003119</v>
      </c>
      <c r="B2232" s="1" t="s">
        <v>40</v>
      </c>
      <c r="C2232" s="1" t="s">
        <v>40</v>
      </c>
    </row>
    <row r="2233" spans="1:3" x14ac:dyDescent="0.4">
      <c r="A2233">
        <v>2003120</v>
      </c>
      <c r="B2233" s="1" t="s">
        <v>1092</v>
      </c>
      <c r="C2233" s="1" t="s">
        <v>103</v>
      </c>
    </row>
    <row r="2234" spans="1:3" x14ac:dyDescent="0.4">
      <c r="A2234">
        <v>2003121</v>
      </c>
      <c r="B2234" s="1" t="s">
        <v>1093</v>
      </c>
      <c r="C2234" s="1" t="s">
        <v>104</v>
      </c>
    </row>
    <row r="2235" spans="1:3" x14ac:dyDescent="0.4">
      <c r="A2235">
        <v>2003122</v>
      </c>
      <c r="B2235" s="1" t="s">
        <v>1094</v>
      </c>
      <c r="C2235" s="1" t="s">
        <v>105</v>
      </c>
    </row>
    <row r="2236" spans="1:3" x14ac:dyDescent="0.4">
      <c r="A2236">
        <v>2003200</v>
      </c>
      <c r="B2236" s="1" t="s">
        <v>1095</v>
      </c>
      <c r="C2236" s="1" t="s">
        <v>106</v>
      </c>
    </row>
    <row r="2237" spans="1:3" x14ac:dyDescent="0.4">
      <c r="A2237">
        <v>2003201</v>
      </c>
      <c r="B2237" s="1" t="s">
        <v>1096</v>
      </c>
      <c r="C2237" s="1" t="s">
        <v>107</v>
      </c>
    </row>
    <row r="2238" spans="1:3" x14ac:dyDescent="0.4">
      <c r="A2238">
        <v>2003202</v>
      </c>
      <c r="B2238" s="1" t="s">
        <v>1097</v>
      </c>
      <c r="C2238" s="1" t="s">
        <v>108</v>
      </c>
    </row>
    <row r="2239" spans="1:3" x14ac:dyDescent="0.4">
      <c r="A2239">
        <v>2003203</v>
      </c>
      <c r="B2239" s="1" t="s">
        <v>40</v>
      </c>
      <c r="C2239" s="1" t="s">
        <v>40</v>
      </c>
    </row>
    <row r="2240" spans="1:3" x14ac:dyDescent="0.4">
      <c r="A2240">
        <v>2003204</v>
      </c>
      <c r="B2240" s="1" t="s">
        <v>40</v>
      </c>
      <c r="C2240" s="1" t="s">
        <v>40</v>
      </c>
    </row>
    <row r="2241" spans="1:3" x14ac:dyDescent="0.4">
      <c r="A2241">
        <v>2003205</v>
      </c>
      <c r="B2241" s="1" t="s">
        <v>40</v>
      </c>
      <c r="C2241" s="1" t="s">
        <v>40</v>
      </c>
    </row>
    <row r="2242" spans="1:3" x14ac:dyDescent="0.4">
      <c r="A2242">
        <v>2003206</v>
      </c>
      <c r="B2242" s="1" t="s">
        <v>40</v>
      </c>
      <c r="C2242" s="1" t="s">
        <v>40</v>
      </c>
    </row>
    <row r="2243" spans="1:3" x14ac:dyDescent="0.4">
      <c r="A2243">
        <v>2003207</v>
      </c>
      <c r="B2243" s="1" t="s">
        <v>40</v>
      </c>
      <c r="C2243" s="1" t="s">
        <v>40</v>
      </c>
    </row>
    <row r="2244" spans="1:3" x14ac:dyDescent="0.4">
      <c r="A2244">
        <v>2003208</v>
      </c>
      <c r="B2244" s="1" t="s">
        <v>40</v>
      </c>
      <c r="C2244" s="1" t="s">
        <v>40</v>
      </c>
    </row>
    <row r="2245" spans="1:3" x14ac:dyDescent="0.4">
      <c r="A2245">
        <v>2003209</v>
      </c>
      <c r="B2245" s="1" t="s">
        <v>40</v>
      </c>
      <c r="C2245" s="1" t="s">
        <v>40</v>
      </c>
    </row>
    <row r="2246" spans="1:3" x14ac:dyDescent="0.4">
      <c r="A2246">
        <v>2003210</v>
      </c>
      <c r="B2246" s="1" t="s">
        <v>1095</v>
      </c>
      <c r="C2246" s="1" t="s">
        <v>106</v>
      </c>
    </row>
    <row r="2247" spans="1:3" x14ac:dyDescent="0.4">
      <c r="A2247">
        <v>2003211</v>
      </c>
      <c r="B2247" s="1" t="s">
        <v>1096</v>
      </c>
      <c r="C2247" s="1" t="s">
        <v>107</v>
      </c>
    </row>
    <row r="2248" spans="1:3" x14ac:dyDescent="0.4">
      <c r="A2248">
        <v>2003212</v>
      </c>
      <c r="B2248" s="1" t="s">
        <v>1097</v>
      </c>
      <c r="C2248" s="1" t="s">
        <v>108</v>
      </c>
    </row>
    <row r="2249" spans="1:3" x14ac:dyDescent="0.4">
      <c r="A2249">
        <v>2003213</v>
      </c>
      <c r="B2249" s="1" t="s">
        <v>40</v>
      </c>
      <c r="C2249" s="1" t="s">
        <v>40</v>
      </c>
    </row>
    <row r="2250" spans="1:3" x14ac:dyDescent="0.4">
      <c r="A2250">
        <v>2003214</v>
      </c>
      <c r="B2250" s="1" t="s">
        <v>40</v>
      </c>
      <c r="C2250" s="1" t="s">
        <v>40</v>
      </c>
    </row>
    <row r="2251" spans="1:3" x14ac:dyDescent="0.4">
      <c r="A2251">
        <v>2003215</v>
      </c>
      <c r="B2251" s="1" t="s">
        <v>40</v>
      </c>
      <c r="C2251" s="1" t="s">
        <v>40</v>
      </c>
    </row>
    <row r="2252" spans="1:3" x14ac:dyDescent="0.4">
      <c r="A2252">
        <v>2003216</v>
      </c>
      <c r="B2252" s="1" t="s">
        <v>40</v>
      </c>
      <c r="C2252" s="1" t="s">
        <v>40</v>
      </c>
    </row>
    <row r="2253" spans="1:3" x14ac:dyDescent="0.4">
      <c r="A2253">
        <v>2003217</v>
      </c>
      <c r="B2253" s="1" t="s">
        <v>40</v>
      </c>
      <c r="C2253" s="1" t="s">
        <v>40</v>
      </c>
    </row>
    <row r="2254" spans="1:3" x14ac:dyDescent="0.4">
      <c r="A2254">
        <v>2003218</v>
      </c>
      <c r="B2254" s="1" t="s">
        <v>40</v>
      </c>
      <c r="C2254" s="1" t="s">
        <v>40</v>
      </c>
    </row>
    <row r="2255" spans="1:3" x14ac:dyDescent="0.4">
      <c r="A2255">
        <v>2003219</v>
      </c>
      <c r="B2255" s="1" t="s">
        <v>40</v>
      </c>
      <c r="C2255" s="1" t="s">
        <v>40</v>
      </c>
    </row>
    <row r="2256" spans="1:3" x14ac:dyDescent="0.4">
      <c r="A2256">
        <v>2003220</v>
      </c>
      <c r="B2256" s="1" t="s">
        <v>1095</v>
      </c>
      <c r="C2256" s="1" t="s">
        <v>106</v>
      </c>
    </row>
    <row r="2257" spans="1:3" x14ac:dyDescent="0.4">
      <c r="A2257">
        <v>2003221</v>
      </c>
      <c r="B2257" s="1" t="s">
        <v>1096</v>
      </c>
      <c r="C2257" s="1" t="s">
        <v>107</v>
      </c>
    </row>
    <row r="2258" spans="1:3" x14ac:dyDescent="0.4">
      <c r="A2258">
        <v>2003222</v>
      </c>
      <c r="B2258" s="1" t="s">
        <v>1097</v>
      </c>
      <c r="C2258" s="1" t="s">
        <v>108</v>
      </c>
    </row>
    <row r="2259" spans="1:3" x14ac:dyDescent="0.4">
      <c r="A2259">
        <v>2003300</v>
      </c>
      <c r="B2259" s="1" t="s">
        <v>1098</v>
      </c>
      <c r="C2259" s="1" t="s">
        <v>109</v>
      </c>
    </row>
    <row r="2260" spans="1:3" x14ac:dyDescent="0.4">
      <c r="A2260">
        <v>2003301</v>
      </c>
      <c r="B2260" s="1" t="s">
        <v>1099</v>
      </c>
      <c r="C2260" s="1" t="s">
        <v>110</v>
      </c>
    </row>
    <row r="2261" spans="1:3" x14ac:dyDescent="0.4">
      <c r="A2261">
        <v>2003302</v>
      </c>
      <c r="B2261" s="1" t="s">
        <v>1100</v>
      </c>
      <c r="C2261" s="1" t="s">
        <v>111</v>
      </c>
    </row>
    <row r="2262" spans="1:3" x14ac:dyDescent="0.4">
      <c r="A2262">
        <v>2003303</v>
      </c>
      <c r="B2262" s="1" t="s">
        <v>40</v>
      </c>
      <c r="C2262" s="1" t="s">
        <v>40</v>
      </c>
    </row>
    <row r="2263" spans="1:3" x14ac:dyDescent="0.4">
      <c r="A2263">
        <v>2003304</v>
      </c>
      <c r="B2263" s="1" t="s">
        <v>40</v>
      </c>
      <c r="C2263" s="1" t="s">
        <v>40</v>
      </c>
    </row>
    <row r="2264" spans="1:3" x14ac:dyDescent="0.4">
      <c r="A2264">
        <v>2003305</v>
      </c>
      <c r="B2264" s="1" t="s">
        <v>40</v>
      </c>
      <c r="C2264" s="1" t="s">
        <v>40</v>
      </c>
    </row>
    <row r="2265" spans="1:3" x14ac:dyDescent="0.4">
      <c r="A2265">
        <v>2003306</v>
      </c>
      <c r="B2265" s="1" t="s">
        <v>40</v>
      </c>
      <c r="C2265" s="1" t="s">
        <v>40</v>
      </c>
    </row>
    <row r="2266" spans="1:3" x14ac:dyDescent="0.4">
      <c r="A2266">
        <v>2003307</v>
      </c>
      <c r="B2266" s="1" t="s">
        <v>40</v>
      </c>
      <c r="C2266" s="1" t="s">
        <v>40</v>
      </c>
    </row>
    <row r="2267" spans="1:3" x14ac:dyDescent="0.4">
      <c r="A2267">
        <v>2003308</v>
      </c>
      <c r="B2267" s="1" t="s">
        <v>40</v>
      </c>
      <c r="C2267" s="1" t="s">
        <v>40</v>
      </c>
    </row>
    <row r="2268" spans="1:3" x14ac:dyDescent="0.4">
      <c r="A2268">
        <v>2003309</v>
      </c>
      <c r="B2268" s="1" t="s">
        <v>40</v>
      </c>
      <c r="C2268" s="1" t="s">
        <v>40</v>
      </c>
    </row>
    <row r="2269" spans="1:3" x14ac:dyDescent="0.4">
      <c r="A2269">
        <v>2003310</v>
      </c>
      <c r="B2269" s="1" t="s">
        <v>1098</v>
      </c>
      <c r="C2269" s="1" t="s">
        <v>109</v>
      </c>
    </row>
    <row r="2270" spans="1:3" x14ac:dyDescent="0.4">
      <c r="A2270">
        <v>2003311</v>
      </c>
      <c r="B2270" s="1" t="s">
        <v>1099</v>
      </c>
      <c r="C2270" s="1" t="s">
        <v>110</v>
      </c>
    </row>
    <row r="2271" spans="1:3" x14ac:dyDescent="0.4">
      <c r="A2271">
        <v>2003312</v>
      </c>
      <c r="B2271" s="1" t="s">
        <v>1100</v>
      </c>
      <c r="C2271" s="1" t="s">
        <v>111</v>
      </c>
    </row>
    <row r="2272" spans="1:3" x14ac:dyDescent="0.4">
      <c r="A2272">
        <v>2003313</v>
      </c>
      <c r="B2272" s="1" t="s">
        <v>40</v>
      </c>
      <c r="C2272" s="1" t="s">
        <v>40</v>
      </c>
    </row>
    <row r="2273" spans="1:3" x14ac:dyDescent="0.4">
      <c r="A2273">
        <v>2003314</v>
      </c>
      <c r="B2273" s="1" t="s">
        <v>40</v>
      </c>
      <c r="C2273" s="1" t="s">
        <v>40</v>
      </c>
    </row>
    <row r="2274" spans="1:3" x14ac:dyDescent="0.4">
      <c r="A2274">
        <v>2003315</v>
      </c>
      <c r="B2274" s="1" t="s">
        <v>40</v>
      </c>
      <c r="C2274" s="1" t="s">
        <v>40</v>
      </c>
    </row>
    <row r="2275" spans="1:3" x14ac:dyDescent="0.4">
      <c r="A2275">
        <v>2003316</v>
      </c>
      <c r="B2275" s="1" t="s">
        <v>40</v>
      </c>
      <c r="C2275" s="1" t="s">
        <v>40</v>
      </c>
    </row>
    <row r="2276" spans="1:3" x14ac:dyDescent="0.4">
      <c r="A2276">
        <v>2003317</v>
      </c>
      <c r="B2276" s="1" t="s">
        <v>40</v>
      </c>
      <c r="C2276" s="1" t="s">
        <v>40</v>
      </c>
    </row>
    <row r="2277" spans="1:3" x14ac:dyDescent="0.4">
      <c r="A2277">
        <v>2003318</v>
      </c>
      <c r="B2277" s="1" t="s">
        <v>40</v>
      </c>
      <c r="C2277" s="1" t="s">
        <v>40</v>
      </c>
    </row>
    <row r="2278" spans="1:3" x14ac:dyDescent="0.4">
      <c r="A2278">
        <v>2003319</v>
      </c>
      <c r="B2278" s="1" t="s">
        <v>40</v>
      </c>
      <c r="C2278" s="1" t="s">
        <v>40</v>
      </c>
    </row>
    <row r="2279" spans="1:3" x14ac:dyDescent="0.4">
      <c r="A2279">
        <v>2003320</v>
      </c>
      <c r="B2279" s="1" t="s">
        <v>1098</v>
      </c>
      <c r="C2279" s="1" t="s">
        <v>109</v>
      </c>
    </row>
    <row r="2280" spans="1:3" x14ac:dyDescent="0.4">
      <c r="A2280">
        <v>2003321</v>
      </c>
      <c r="B2280" s="1" t="s">
        <v>1099</v>
      </c>
      <c r="C2280" s="1" t="s">
        <v>110</v>
      </c>
    </row>
    <row r="2281" spans="1:3" x14ac:dyDescent="0.4">
      <c r="A2281">
        <v>2003322</v>
      </c>
      <c r="B2281" s="1" t="s">
        <v>1100</v>
      </c>
      <c r="C2281" s="1" t="s">
        <v>111</v>
      </c>
    </row>
    <row r="2282" spans="1:3" x14ac:dyDescent="0.4">
      <c r="A2282">
        <v>2010000</v>
      </c>
      <c r="B2282" s="1" t="s">
        <v>1089</v>
      </c>
      <c r="C2282" s="1" t="s">
        <v>100</v>
      </c>
    </row>
    <row r="2283" spans="1:3" x14ac:dyDescent="0.4">
      <c r="A2283">
        <v>2010001</v>
      </c>
      <c r="B2283" s="1" t="s">
        <v>1090</v>
      </c>
      <c r="C2283" s="1" t="s">
        <v>101</v>
      </c>
    </row>
    <row r="2284" spans="1:3" x14ac:dyDescent="0.4">
      <c r="A2284">
        <v>2010002</v>
      </c>
      <c r="B2284" s="1" t="s">
        <v>1091</v>
      </c>
      <c r="C2284" s="1" t="s">
        <v>102</v>
      </c>
    </row>
    <row r="2285" spans="1:3" x14ac:dyDescent="0.4">
      <c r="A2285">
        <v>2010003</v>
      </c>
      <c r="B2285" s="1" t="s">
        <v>40</v>
      </c>
      <c r="C2285" s="1" t="s">
        <v>40</v>
      </c>
    </row>
    <row r="2286" spans="1:3" x14ac:dyDescent="0.4">
      <c r="A2286">
        <v>2010004</v>
      </c>
      <c r="B2286" s="1" t="s">
        <v>40</v>
      </c>
      <c r="C2286" s="1" t="s">
        <v>40</v>
      </c>
    </row>
    <row r="2287" spans="1:3" x14ac:dyDescent="0.4">
      <c r="A2287">
        <v>2010005</v>
      </c>
      <c r="B2287" s="1" t="s">
        <v>40</v>
      </c>
      <c r="C2287" s="1" t="s">
        <v>40</v>
      </c>
    </row>
    <row r="2288" spans="1:3" x14ac:dyDescent="0.4">
      <c r="A2288">
        <v>2010006</v>
      </c>
      <c r="B2288" s="1" t="s">
        <v>40</v>
      </c>
      <c r="C2288" s="1" t="s">
        <v>40</v>
      </c>
    </row>
    <row r="2289" spans="1:3" x14ac:dyDescent="0.4">
      <c r="A2289">
        <v>2010007</v>
      </c>
      <c r="B2289" s="1" t="s">
        <v>40</v>
      </c>
      <c r="C2289" s="1" t="s">
        <v>40</v>
      </c>
    </row>
    <row r="2290" spans="1:3" x14ac:dyDescent="0.4">
      <c r="A2290">
        <v>2010008</v>
      </c>
      <c r="B2290" s="1" t="s">
        <v>40</v>
      </c>
      <c r="C2290" s="1" t="s">
        <v>40</v>
      </c>
    </row>
    <row r="2291" spans="1:3" x14ac:dyDescent="0.4">
      <c r="A2291">
        <v>2010009</v>
      </c>
      <c r="B2291" s="1" t="s">
        <v>40</v>
      </c>
      <c r="C2291" s="1" t="s">
        <v>40</v>
      </c>
    </row>
    <row r="2292" spans="1:3" x14ac:dyDescent="0.4">
      <c r="A2292">
        <v>2010010</v>
      </c>
      <c r="B2292" s="1" t="s">
        <v>1089</v>
      </c>
      <c r="C2292" s="1" t="s">
        <v>100</v>
      </c>
    </row>
    <row r="2293" spans="1:3" x14ac:dyDescent="0.4">
      <c r="A2293">
        <v>2010011</v>
      </c>
      <c r="B2293" s="1" t="s">
        <v>1090</v>
      </c>
      <c r="C2293" s="1" t="s">
        <v>101</v>
      </c>
    </row>
    <row r="2294" spans="1:3" x14ac:dyDescent="0.4">
      <c r="A2294">
        <v>2010012</v>
      </c>
      <c r="B2294" s="1" t="s">
        <v>1091</v>
      </c>
      <c r="C2294" s="1" t="s">
        <v>102</v>
      </c>
    </row>
    <row r="2295" spans="1:3" x14ac:dyDescent="0.4">
      <c r="A2295">
        <v>2010013</v>
      </c>
      <c r="B2295" s="1" t="s">
        <v>40</v>
      </c>
      <c r="C2295" s="1" t="s">
        <v>40</v>
      </c>
    </row>
    <row r="2296" spans="1:3" x14ac:dyDescent="0.4">
      <c r="A2296">
        <v>2010014</v>
      </c>
      <c r="B2296" s="1" t="s">
        <v>40</v>
      </c>
      <c r="C2296" s="1" t="s">
        <v>40</v>
      </c>
    </row>
    <row r="2297" spans="1:3" x14ac:dyDescent="0.4">
      <c r="A2297">
        <v>2010015</v>
      </c>
      <c r="B2297" s="1" t="s">
        <v>40</v>
      </c>
      <c r="C2297" s="1" t="s">
        <v>40</v>
      </c>
    </row>
    <row r="2298" spans="1:3" x14ac:dyDescent="0.4">
      <c r="A2298">
        <v>2010016</v>
      </c>
      <c r="B2298" s="1" t="s">
        <v>40</v>
      </c>
      <c r="C2298" s="1" t="s">
        <v>40</v>
      </c>
    </row>
    <row r="2299" spans="1:3" x14ac:dyDescent="0.4">
      <c r="A2299">
        <v>2010017</v>
      </c>
      <c r="B2299" s="1" t="s">
        <v>40</v>
      </c>
      <c r="C2299" s="1" t="s">
        <v>40</v>
      </c>
    </row>
    <row r="2300" spans="1:3" x14ac:dyDescent="0.4">
      <c r="A2300">
        <v>2010018</v>
      </c>
      <c r="B2300" s="1" t="s">
        <v>40</v>
      </c>
      <c r="C2300" s="1" t="s">
        <v>40</v>
      </c>
    </row>
    <row r="2301" spans="1:3" x14ac:dyDescent="0.4">
      <c r="A2301">
        <v>2010019</v>
      </c>
      <c r="B2301" s="1" t="s">
        <v>40</v>
      </c>
      <c r="C2301" s="1" t="s">
        <v>40</v>
      </c>
    </row>
    <row r="2302" spans="1:3" x14ac:dyDescent="0.4">
      <c r="A2302">
        <v>2010020</v>
      </c>
      <c r="B2302" s="1" t="s">
        <v>1089</v>
      </c>
      <c r="C2302" s="1" t="s">
        <v>100</v>
      </c>
    </row>
    <row r="2303" spans="1:3" x14ac:dyDescent="0.4">
      <c r="A2303">
        <v>2010021</v>
      </c>
      <c r="B2303" s="1" t="s">
        <v>1090</v>
      </c>
      <c r="C2303" s="1" t="s">
        <v>101</v>
      </c>
    </row>
    <row r="2304" spans="1:3" x14ac:dyDescent="0.4">
      <c r="A2304">
        <v>2010022</v>
      </c>
      <c r="B2304" s="1" t="s">
        <v>1091</v>
      </c>
      <c r="C2304" s="1" t="s">
        <v>102</v>
      </c>
    </row>
    <row r="2305" spans="1:3" x14ac:dyDescent="0.4">
      <c r="A2305">
        <v>2010100</v>
      </c>
      <c r="B2305" s="1" t="s">
        <v>1092</v>
      </c>
      <c r="C2305" s="1" t="s">
        <v>103</v>
      </c>
    </row>
    <row r="2306" spans="1:3" x14ac:dyDescent="0.4">
      <c r="A2306">
        <v>2010101</v>
      </c>
      <c r="B2306" s="1" t="s">
        <v>1093</v>
      </c>
      <c r="C2306" s="1" t="s">
        <v>104</v>
      </c>
    </row>
    <row r="2307" spans="1:3" x14ac:dyDescent="0.4">
      <c r="A2307">
        <v>2010102</v>
      </c>
      <c r="B2307" s="1" t="s">
        <v>1094</v>
      </c>
      <c r="C2307" s="1" t="s">
        <v>105</v>
      </c>
    </row>
    <row r="2308" spans="1:3" x14ac:dyDescent="0.4">
      <c r="A2308">
        <v>2010103</v>
      </c>
      <c r="B2308" s="1" t="s">
        <v>40</v>
      </c>
      <c r="C2308" s="1" t="s">
        <v>40</v>
      </c>
    </row>
    <row r="2309" spans="1:3" x14ac:dyDescent="0.4">
      <c r="A2309">
        <v>2010104</v>
      </c>
      <c r="B2309" s="1" t="s">
        <v>40</v>
      </c>
      <c r="C2309" s="1" t="s">
        <v>40</v>
      </c>
    </row>
    <row r="2310" spans="1:3" x14ac:dyDescent="0.4">
      <c r="A2310">
        <v>2010105</v>
      </c>
      <c r="B2310" s="1" t="s">
        <v>40</v>
      </c>
      <c r="C2310" s="1" t="s">
        <v>40</v>
      </c>
    </row>
    <row r="2311" spans="1:3" x14ac:dyDescent="0.4">
      <c r="A2311">
        <v>2010106</v>
      </c>
      <c r="B2311" s="1" t="s">
        <v>40</v>
      </c>
      <c r="C2311" s="1" t="s">
        <v>40</v>
      </c>
    </row>
    <row r="2312" spans="1:3" x14ac:dyDescent="0.4">
      <c r="A2312">
        <v>2010107</v>
      </c>
      <c r="B2312" s="1" t="s">
        <v>40</v>
      </c>
      <c r="C2312" s="1" t="s">
        <v>40</v>
      </c>
    </row>
    <row r="2313" spans="1:3" x14ac:dyDescent="0.4">
      <c r="A2313">
        <v>2010108</v>
      </c>
      <c r="B2313" s="1" t="s">
        <v>40</v>
      </c>
      <c r="C2313" s="1" t="s">
        <v>40</v>
      </c>
    </row>
    <row r="2314" spans="1:3" x14ac:dyDescent="0.4">
      <c r="A2314">
        <v>2010109</v>
      </c>
      <c r="B2314" s="1" t="s">
        <v>40</v>
      </c>
      <c r="C2314" s="1" t="s">
        <v>40</v>
      </c>
    </row>
    <row r="2315" spans="1:3" x14ac:dyDescent="0.4">
      <c r="A2315">
        <v>2010110</v>
      </c>
      <c r="B2315" s="1" t="s">
        <v>1092</v>
      </c>
      <c r="C2315" s="1" t="s">
        <v>103</v>
      </c>
    </row>
    <row r="2316" spans="1:3" x14ac:dyDescent="0.4">
      <c r="A2316">
        <v>2010111</v>
      </c>
      <c r="B2316" s="1" t="s">
        <v>1093</v>
      </c>
      <c r="C2316" s="1" t="s">
        <v>104</v>
      </c>
    </row>
    <row r="2317" spans="1:3" x14ac:dyDescent="0.4">
      <c r="A2317">
        <v>2010112</v>
      </c>
      <c r="B2317" s="1" t="s">
        <v>1094</v>
      </c>
      <c r="C2317" s="1" t="s">
        <v>105</v>
      </c>
    </row>
    <row r="2318" spans="1:3" x14ac:dyDescent="0.4">
      <c r="A2318">
        <v>2010113</v>
      </c>
      <c r="B2318" s="1" t="s">
        <v>40</v>
      </c>
      <c r="C2318" s="1" t="s">
        <v>40</v>
      </c>
    </row>
    <row r="2319" spans="1:3" x14ac:dyDescent="0.4">
      <c r="A2319">
        <v>2010114</v>
      </c>
      <c r="B2319" s="1" t="s">
        <v>40</v>
      </c>
      <c r="C2319" s="1" t="s">
        <v>40</v>
      </c>
    </row>
    <row r="2320" spans="1:3" x14ac:dyDescent="0.4">
      <c r="A2320">
        <v>2010115</v>
      </c>
      <c r="B2320" s="1" t="s">
        <v>40</v>
      </c>
      <c r="C2320" s="1" t="s">
        <v>40</v>
      </c>
    </row>
    <row r="2321" spans="1:3" x14ac:dyDescent="0.4">
      <c r="A2321">
        <v>2010116</v>
      </c>
      <c r="B2321" s="1" t="s">
        <v>40</v>
      </c>
      <c r="C2321" s="1" t="s">
        <v>40</v>
      </c>
    </row>
    <row r="2322" spans="1:3" x14ac:dyDescent="0.4">
      <c r="A2322">
        <v>2010117</v>
      </c>
      <c r="B2322" s="1" t="s">
        <v>40</v>
      </c>
      <c r="C2322" s="1" t="s">
        <v>40</v>
      </c>
    </row>
    <row r="2323" spans="1:3" x14ac:dyDescent="0.4">
      <c r="A2323">
        <v>2010118</v>
      </c>
      <c r="B2323" s="1" t="s">
        <v>40</v>
      </c>
      <c r="C2323" s="1" t="s">
        <v>40</v>
      </c>
    </row>
    <row r="2324" spans="1:3" x14ac:dyDescent="0.4">
      <c r="A2324">
        <v>2010119</v>
      </c>
      <c r="B2324" s="1" t="s">
        <v>40</v>
      </c>
      <c r="C2324" s="1" t="s">
        <v>40</v>
      </c>
    </row>
    <row r="2325" spans="1:3" x14ac:dyDescent="0.4">
      <c r="A2325">
        <v>2010120</v>
      </c>
      <c r="B2325" s="1" t="s">
        <v>1092</v>
      </c>
      <c r="C2325" s="1" t="s">
        <v>103</v>
      </c>
    </row>
    <row r="2326" spans="1:3" x14ac:dyDescent="0.4">
      <c r="A2326">
        <v>2010121</v>
      </c>
      <c r="B2326" s="1" t="s">
        <v>1093</v>
      </c>
      <c r="C2326" s="1" t="s">
        <v>104</v>
      </c>
    </row>
    <row r="2327" spans="1:3" x14ac:dyDescent="0.4">
      <c r="A2327">
        <v>2010122</v>
      </c>
      <c r="B2327" s="1" t="s">
        <v>1094</v>
      </c>
      <c r="C2327" s="1" t="s">
        <v>105</v>
      </c>
    </row>
    <row r="2328" spans="1:3" x14ac:dyDescent="0.4">
      <c r="A2328">
        <v>2010200</v>
      </c>
      <c r="B2328" s="1" t="s">
        <v>1095</v>
      </c>
      <c r="C2328" s="1" t="s">
        <v>106</v>
      </c>
    </row>
    <row r="2329" spans="1:3" x14ac:dyDescent="0.4">
      <c r="A2329">
        <v>2010201</v>
      </c>
      <c r="B2329" s="1" t="s">
        <v>1096</v>
      </c>
      <c r="C2329" s="1" t="s">
        <v>107</v>
      </c>
    </row>
    <row r="2330" spans="1:3" x14ac:dyDescent="0.4">
      <c r="A2330">
        <v>2010202</v>
      </c>
      <c r="B2330" s="1" t="s">
        <v>1097</v>
      </c>
      <c r="C2330" s="1" t="s">
        <v>108</v>
      </c>
    </row>
    <row r="2331" spans="1:3" x14ac:dyDescent="0.4">
      <c r="A2331">
        <v>2010203</v>
      </c>
      <c r="B2331" s="1" t="s">
        <v>40</v>
      </c>
      <c r="C2331" s="1" t="s">
        <v>40</v>
      </c>
    </row>
    <row r="2332" spans="1:3" x14ac:dyDescent="0.4">
      <c r="A2332">
        <v>2010204</v>
      </c>
      <c r="B2332" s="1" t="s">
        <v>40</v>
      </c>
      <c r="C2332" s="1" t="s">
        <v>40</v>
      </c>
    </row>
    <row r="2333" spans="1:3" x14ac:dyDescent="0.4">
      <c r="A2333">
        <v>2010205</v>
      </c>
      <c r="B2333" s="1" t="s">
        <v>40</v>
      </c>
      <c r="C2333" s="1" t="s">
        <v>40</v>
      </c>
    </row>
    <row r="2334" spans="1:3" x14ac:dyDescent="0.4">
      <c r="A2334">
        <v>2010206</v>
      </c>
      <c r="B2334" s="1" t="s">
        <v>40</v>
      </c>
      <c r="C2334" s="1" t="s">
        <v>40</v>
      </c>
    </row>
    <row r="2335" spans="1:3" x14ac:dyDescent="0.4">
      <c r="A2335">
        <v>2010207</v>
      </c>
      <c r="B2335" s="1" t="s">
        <v>40</v>
      </c>
      <c r="C2335" s="1" t="s">
        <v>40</v>
      </c>
    </row>
    <row r="2336" spans="1:3" x14ac:dyDescent="0.4">
      <c r="A2336">
        <v>2010208</v>
      </c>
      <c r="B2336" s="1" t="s">
        <v>40</v>
      </c>
      <c r="C2336" s="1" t="s">
        <v>40</v>
      </c>
    </row>
    <row r="2337" spans="1:3" x14ac:dyDescent="0.4">
      <c r="A2337">
        <v>2010209</v>
      </c>
      <c r="B2337" s="1" t="s">
        <v>40</v>
      </c>
      <c r="C2337" s="1" t="s">
        <v>40</v>
      </c>
    </row>
    <row r="2338" spans="1:3" x14ac:dyDescent="0.4">
      <c r="A2338">
        <v>2010210</v>
      </c>
      <c r="B2338" s="1" t="s">
        <v>1095</v>
      </c>
      <c r="C2338" s="1" t="s">
        <v>106</v>
      </c>
    </row>
    <row r="2339" spans="1:3" x14ac:dyDescent="0.4">
      <c r="A2339">
        <v>2010211</v>
      </c>
      <c r="B2339" s="1" t="s">
        <v>1096</v>
      </c>
      <c r="C2339" s="1" t="s">
        <v>107</v>
      </c>
    </row>
    <row r="2340" spans="1:3" x14ac:dyDescent="0.4">
      <c r="A2340">
        <v>2010212</v>
      </c>
      <c r="B2340" s="1" t="s">
        <v>1097</v>
      </c>
      <c r="C2340" s="1" t="s">
        <v>108</v>
      </c>
    </row>
    <row r="2341" spans="1:3" x14ac:dyDescent="0.4">
      <c r="A2341">
        <v>2010213</v>
      </c>
      <c r="B2341" s="1" t="s">
        <v>40</v>
      </c>
      <c r="C2341" s="1" t="s">
        <v>40</v>
      </c>
    </row>
    <row r="2342" spans="1:3" x14ac:dyDescent="0.4">
      <c r="A2342">
        <v>2010214</v>
      </c>
      <c r="B2342" s="1" t="s">
        <v>40</v>
      </c>
      <c r="C2342" s="1" t="s">
        <v>40</v>
      </c>
    </row>
    <row r="2343" spans="1:3" x14ac:dyDescent="0.4">
      <c r="A2343">
        <v>2010215</v>
      </c>
      <c r="B2343" s="1" t="s">
        <v>40</v>
      </c>
      <c r="C2343" s="1" t="s">
        <v>40</v>
      </c>
    </row>
    <row r="2344" spans="1:3" x14ac:dyDescent="0.4">
      <c r="A2344">
        <v>2010216</v>
      </c>
      <c r="B2344" s="1" t="s">
        <v>40</v>
      </c>
      <c r="C2344" s="1" t="s">
        <v>40</v>
      </c>
    </row>
    <row r="2345" spans="1:3" x14ac:dyDescent="0.4">
      <c r="A2345">
        <v>2010217</v>
      </c>
      <c r="B2345" s="1" t="s">
        <v>40</v>
      </c>
      <c r="C2345" s="1" t="s">
        <v>40</v>
      </c>
    </row>
    <row r="2346" spans="1:3" x14ac:dyDescent="0.4">
      <c r="A2346">
        <v>2010218</v>
      </c>
      <c r="B2346" s="1" t="s">
        <v>40</v>
      </c>
      <c r="C2346" s="1" t="s">
        <v>40</v>
      </c>
    </row>
    <row r="2347" spans="1:3" x14ac:dyDescent="0.4">
      <c r="A2347">
        <v>2010219</v>
      </c>
      <c r="B2347" s="1" t="s">
        <v>40</v>
      </c>
      <c r="C2347" s="1" t="s">
        <v>40</v>
      </c>
    </row>
    <row r="2348" spans="1:3" x14ac:dyDescent="0.4">
      <c r="A2348">
        <v>2010220</v>
      </c>
      <c r="B2348" s="1" t="s">
        <v>1095</v>
      </c>
      <c r="C2348" s="1" t="s">
        <v>106</v>
      </c>
    </row>
    <row r="2349" spans="1:3" x14ac:dyDescent="0.4">
      <c r="A2349">
        <v>2010221</v>
      </c>
      <c r="B2349" s="1" t="s">
        <v>1096</v>
      </c>
      <c r="C2349" s="1" t="s">
        <v>107</v>
      </c>
    </row>
    <row r="2350" spans="1:3" x14ac:dyDescent="0.4">
      <c r="A2350">
        <v>2010222</v>
      </c>
      <c r="B2350" s="1" t="s">
        <v>1097</v>
      </c>
      <c r="C2350" s="1" t="s">
        <v>108</v>
      </c>
    </row>
    <row r="2351" spans="1:3" x14ac:dyDescent="0.4">
      <c r="A2351">
        <v>2010300</v>
      </c>
      <c r="B2351" s="1" t="s">
        <v>1098</v>
      </c>
      <c r="C2351" s="1" t="s">
        <v>109</v>
      </c>
    </row>
    <row r="2352" spans="1:3" x14ac:dyDescent="0.4">
      <c r="A2352">
        <v>2010301</v>
      </c>
      <c r="B2352" s="1" t="s">
        <v>1099</v>
      </c>
      <c r="C2352" s="1" t="s">
        <v>110</v>
      </c>
    </row>
    <row r="2353" spans="1:3" x14ac:dyDescent="0.4">
      <c r="A2353">
        <v>2010302</v>
      </c>
      <c r="B2353" s="1" t="s">
        <v>1100</v>
      </c>
      <c r="C2353" s="1" t="s">
        <v>111</v>
      </c>
    </row>
    <row r="2354" spans="1:3" x14ac:dyDescent="0.4">
      <c r="A2354">
        <v>2010303</v>
      </c>
      <c r="B2354" s="1" t="s">
        <v>40</v>
      </c>
      <c r="C2354" s="1" t="s">
        <v>40</v>
      </c>
    </row>
    <row r="2355" spans="1:3" x14ac:dyDescent="0.4">
      <c r="A2355">
        <v>2010304</v>
      </c>
      <c r="B2355" s="1" t="s">
        <v>40</v>
      </c>
      <c r="C2355" s="1" t="s">
        <v>40</v>
      </c>
    </row>
    <row r="2356" spans="1:3" x14ac:dyDescent="0.4">
      <c r="A2356">
        <v>2010305</v>
      </c>
      <c r="B2356" s="1" t="s">
        <v>40</v>
      </c>
      <c r="C2356" s="1" t="s">
        <v>40</v>
      </c>
    </row>
    <row r="2357" spans="1:3" x14ac:dyDescent="0.4">
      <c r="A2357">
        <v>2010306</v>
      </c>
      <c r="B2357" s="1" t="s">
        <v>40</v>
      </c>
      <c r="C2357" s="1" t="s">
        <v>40</v>
      </c>
    </row>
    <row r="2358" spans="1:3" x14ac:dyDescent="0.4">
      <c r="A2358">
        <v>2010307</v>
      </c>
      <c r="B2358" s="1" t="s">
        <v>40</v>
      </c>
      <c r="C2358" s="1" t="s">
        <v>40</v>
      </c>
    </row>
    <row r="2359" spans="1:3" x14ac:dyDescent="0.4">
      <c r="A2359">
        <v>2010308</v>
      </c>
      <c r="B2359" s="1" t="s">
        <v>40</v>
      </c>
      <c r="C2359" s="1" t="s">
        <v>40</v>
      </c>
    </row>
    <row r="2360" spans="1:3" x14ac:dyDescent="0.4">
      <c r="A2360">
        <v>2010309</v>
      </c>
      <c r="B2360" s="1" t="s">
        <v>40</v>
      </c>
      <c r="C2360" s="1" t="s">
        <v>40</v>
      </c>
    </row>
    <row r="2361" spans="1:3" x14ac:dyDescent="0.4">
      <c r="A2361">
        <v>2010310</v>
      </c>
      <c r="B2361" s="1" t="s">
        <v>1098</v>
      </c>
      <c r="C2361" s="1" t="s">
        <v>109</v>
      </c>
    </row>
    <row r="2362" spans="1:3" x14ac:dyDescent="0.4">
      <c r="A2362">
        <v>2010311</v>
      </c>
      <c r="B2362" s="1" t="s">
        <v>1099</v>
      </c>
      <c r="C2362" s="1" t="s">
        <v>110</v>
      </c>
    </row>
    <row r="2363" spans="1:3" x14ac:dyDescent="0.4">
      <c r="A2363">
        <v>2010312</v>
      </c>
      <c r="B2363" s="1" t="s">
        <v>1100</v>
      </c>
      <c r="C2363" s="1" t="s">
        <v>111</v>
      </c>
    </row>
    <row r="2364" spans="1:3" x14ac:dyDescent="0.4">
      <c r="A2364">
        <v>2010313</v>
      </c>
      <c r="B2364" s="1" t="s">
        <v>40</v>
      </c>
      <c r="C2364" s="1" t="s">
        <v>40</v>
      </c>
    </row>
    <row r="2365" spans="1:3" x14ac:dyDescent="0.4">
      <c r="A2365">
        <v>2010314</v>
      </c>
      <c r="B2365" s="1" t="s">
        <v>40</v>
      </c>
      <c r="C2365" s="1" t="s">
        <v>40</v>
      </c>
    </row>
    <row r="2366" spans="1:3" x14ac:dyDescent="0.4">
      <c r="A2366">
        <v>2010315</v>
      </c>
      <c r="B2366" s="1" t="s">
        <v>40</v>
      </c>
      <c r="C2366" s="1" t="s">
        <v>40</v>
      </c>
    </row>
    <row r="2367" spans="1:3" x14ac:dyDescent="0.4">
      <c r="A2367">
        <v>2010316</v>
      </c>
      <c r="B2367" s="1" t="s">
        <v>40</v>
      </c>
      <c r="C2367" s="1" t="s">
        <v>40</v>
      </c>
    </row>
    <row r="2368" spans="1:3" x14ac:dyDescent="0.4">
      <c r="A2368">
        <v>2010317</v>
      </c>
      <c r="B2368" s="1" t="s">
        <v>40</v>
      </c>
      <c r="C2368" s="1" t="s">
        <v>40</v>
      </c>
    </row>
    <row r="2369" spans="1:3" x14ac:dyDescent="0.4">
      <c r="A2369">
        <v>2010318</v>
      </c>
      <c r="B2369" s="1" t="s">
        <v>40</v>
      </c>
      <c r="C2369" s="1" t="s">
        <v>40</v>
      </c>
    </row>
    <row r="2370" spans="1:3" x14ac:dyDescent="0.4">
      <c r="A2370">
        <v>2010319</v>
      </c>
      <c r="B2370" s="1" t="s">
        <v>40</v>
      </c>
      <c r="C2370" s="1" t="s">
        <v>40</v>
      </c>
    </row>
    <row r="2371" spans="1:3" x14ac:dyDescent="0.4">
      <c r="A2371">
        <v>2010320</v>
      </c>
      <c r="B2371" s="1" t="s">
        <v>1098</v>
      </c>
      <c r="C2371" s="1" t="s">
        <v>109</v>
      </c>
    </row>
    <row r="2372" spans="1:3" x14ac:dyDescent="0.4">
      <c r="A2372">
        <v>2010321</v>
      </c>
      <c r="B2372" s="1" t="s">
        <v>1099</v>
      </c>
      <c r="C2372" s="1" t="s">
        <v>110</v>
      </c>
    </row>
    <row r="2373" spans="1:3" x14ac:dyDescent="0.4">
      <c r="A2373">
        <v>2010322</v>
      </c>
      <c r="B2373" s="1" t="s">
        <v>1100</v>
      </c>
      <c r="C2373" s="1" t="s">
        <v>111</v>
      </c>
    </row>
    <row r="2374" spans="1:3" x14ac:dyDescent="0.4">
      <c r="A2374">
        <v>2011001</v>
      </c>
      <c r="B2374" s="1" t="s">
        <v>1090</v>
      </c>
      <c r="C2374" s="1" t="s">
        <v>101</v>
      </c>
    </row>
    <row r="2375" spans="1:3" x14ac:dyDescent="0.4">
      <c r="A2375">
        <v>2011002</v>
      </c>
      <c r="B2375" s="1" t="s">
        <v>1091</v>
      </c>
      <c r="C2375" s="1" t="s">
        <v>102</v>
      </c>
    </row>
    <row r="2376" spans="1:3" x14ac:dyDescent="0.4">
      <c r="A2376">
        <v>2011003</v>
      </c>
      <c r="B2376" s="1" t="s">
        <v>40</v>
      </c>
      <c r="C2376" s="1" t="s">
        <v>40</v>
      </c>
    </row>
    <row r="2377" spans="1:3" x14ac:dyDescent="0.4">
      <c r="A2377">
        <v>2011004</v>
      </c>
      <c r="B2377" s="1" t="s">
        <v>40</v>
      </c>
      <c r="C2377" s="1" t="s">
        <v>40</v>
      </c>
    </row>
    <row r="2378" spans="1:3" x14ac:dyDescent="0.4">
      <c r="A2378">
        <v>2011005</v>
      </c>
      <c r="B2378" s="1" t="s">
        <v>40</v>
      </c>
      <c r="C2378" s="1" t="s">
        <v>40</v>
      </c>
    </row>
    <row r="2379" spans="1:3" x14ac:dyDescent="0.4">
      <c r="A2379">
        <v>2011006</v>
      </c>
      <c r="B2379" s="1" t="s">
        <v>40</v>
      </c>
      <c r="C2379" s="1" t="s">
        <v>40</v>
      </c>
    </row>
    <row r="2380" spans="1:3" x14ac:dyDescent="0.4">
      <c r="A2380">
        <v>2011007</v>
      </c>
      <c r="B2380" s="1" t="s">
        <v>40</v>
      </c>
      <c r="C2380" s="1" t="s">
        <v>40</v>
      </c>
    </row>
    <row r="2381" spans="1:3" x14ac:dyDescent="0.4">
      <c r="A2381">
        <v>2011008</v>
      </c>
      <c r="B2381" s="1" t="s">
        <v>40</v>
      </c>
      <c r="C2381" s="1" t="s">
        <v>40</v>
      </c>
    </row>
    <row r="2382" spans="1:3" x14ac:dyDescent="0.4">
      <c r="A2382">
        <v>2011009</v>
      </c>
      <c r="B2382" s="1" t="s">
        <v>40</v>
      </c>
      <c r="C2382" s="1" t="s">
        <v>40</v>
      </c>
    </row>
    <row r="2383" spans="1:3" x14ac:dyDescent="0.4">
      <c r="A2383">
        <v>2011010</v>
      </c>
      <c r="B2383" s="1" t="s">
        <v>40</v>
      </c>
      <c r="C2383" s="1" t="s">
        <v>40</v>
      </c>
    </row>
    <row r="2384" spans="1:3" x14ac:dyDescent="0.4">
      <c r="A2384">
        <v>2011011</v>
      </c>
      <c r="B2384" s="1" t="s">
        <v>1090</v>
      </c>
      <c r="C2384" s="1" t="s">
        <v>101</v>
      </c>
    </row>
    <row r="2385" spans="1:3" x14ac:dyDescent="0.4">
      <c r="A2385">
        <v>2011012</v>
      </c>
      <c r="B2385" s="1" t="s">
        <v>1091</v>
      </c>
      <c r="C2385" s="1" t="s">
        <v>102</v>
      </c>
    </row>
    <row r="2386" spans="1:3" x14ac:dyDescent="0.4">
      <c r="A2386">
        <v>2011013</v>
      </c>
      <c r="B2386" s="1" t="s">
        <v>40</v>
      </c>
      <c r="C2386" s="1" t="s">
        <v>40</v>
      </c>
    </row>
    <row r="2387" spans="1:3" x14ac:dyDescent="0.4">
      <c r="A2387">
        <v>2011014</v>
      </c>
      <c r="B2387" s="1" t="s">
        <v>40</v>
      </c>
      <c r="C2387" s="1" t="s">
        <v>40</v>
      </c>
    </row>
    <row r="2388" spans="1:3" x14ac:dyDescent="0.4">
      <c r="A2388">
        <v>2011015</v>
      </c>
      <c r="B2388" s="1" t="s">
        <v>40</v>
      </c>
      <c r="C2388" s="1" t="s">
        <v>40</v>
      </c>
    </row>
    <row r="2389" spans="1:3" x14ac:dyDescent="0.4">
      <c r="A2389">
        <v>2011016</v>
      </c>
      <c r="B2389" s="1" t="s">
        <v>40</v>
      </c>
      <c r="C2389" s="1" t="s">
        <v>40</v>
      </c>
    </row>
    <row r="2390" spans="1:3" x14ac:dyDescent="0.4">
      <c r="A2390">
        <v>2011017</v>
      </c>
      <c r="B2390" s="1" t="s">
        <v>40</v>
      </c>
      <c r="C2390" s="1" t="s">
        <v>40</v>
      </c>
    </row>
    <row r="2391" spans="1:3" x14ac:dyDescent="0.4">
      <c r="A2391">
        <v>2011018</v>
      </c>
      <c r="B2391" s="1" t="s">
        <v>40</v>
      </c>
      <c r="C2391" s="1" t="s">
        <v>40</v>
      </c>
    </row>
    <row r="2392" spans="1:3" x14ac:dyDescent="0.4">
      <c r="A2392">
        <v>2011019</v>
      </c>
      <c r="B2392" s="1" t="s">
        <v>40</v>
      </c>
      <c r="C2392" s="1" t="s">
        <v>40</v>
      </c>
    </row>
    <row r="2393" spans="1:3" x14ac:dyDescent="0.4">
      <c r="A2393">
        <v>2011020</v>
      </c>
      <c r="B2393" s="1" t="s">
        <v>40</v>
      </c>
      <c r="C2393" s="1" t="s">
        <v>40</v>
      </c>
    </row>
    <row r="2394" spans="1:3" x14ac:dyDescent="0.4">
      <c r="A2394">
        <v>2011021</v>
      </c>
      <c r="B2394" s="1" t="s">
        <v>1090</v>
      </c>
      <c r="C2394" s="1" t="s">
        <v>101</v>
      </c>
    </row>
    <row r="2395" spans="1:3" x14ac:dyDescent="0.4">
      <c r="A2395">
        <v>2011022</v>
      </c>
      <c r="B2395" s="1" t="s">
        <v>1091</v>
      </c>
      <c r="C2395" s="1" t="s">
        <v>102</v>
      </c>
    </row>
    <row r="2396" spans="1:3" x14ac:dyDescent="0.4">
      <c r="A2396">
        <v>2011101</v>
      </c>
      <c r="B2396" s="1" t="s">
        <v>1093</v>
      </c>
      <c r="C2396" s="1" t="s">
        <v>104</v>
      </c>
    </row>
    <row r="2397" spans="1:3" x14ac:dyDescent="0.4">
      <c r="A2397">
        <v>2011102</v>
      </c>
      <c r="B2397" s="1" t="s">
        <v>1094</v>
      </c>
      <c r="C2397" s="1" t="s">
        <v>105</v>
      </c>
    </row>
    <row r="2398" spans="1:3" x14ac:dyDescent="0.4">
      <c r="A2398">
        <v>2011103</v>
      </c>
      <c r="B2398" s="1" t="s">
        <v>40</v>
      </c>
      <c r="C2398" s="1" t="s">
        <v>40</v>
      </c>
    </row>
    <row r="2399" spans="1:3" x14ac:dyDescent="0.4">
      <c r="A2399">
        <v>2011104</v>
      </c>
      <c r="B2399" s="1" t="s">
        <v>40</v>
      </c>
      <c r="C2399" s="1" t="s">
        <v>40</v>
      </c>
    </row>
    <row r="2400" spans="1:3" x14ac:dyDescent="0.4">
      <c r="A2400">
        <v>2011105</v>
      </c>
      <c r="B2400" s="1" t="s">
        <v>40</v>
      </c>
      <c r="C2400" s="1" t="s">
        <v>40</v>
      </c>
    </row>
    <row r="2401" spans="1:3" x14ac:dyDescent="0.4">
      <c r="A2401">
        <v>2011106</v>
      </c>
      <c r="B2401" s="1" t="s">
        <v>40</v>
      </c>
      <c r="C2401" s="1" t="s">
        <v>40</v>
      </c>
    </row>
    <row r="2402" spans="1:3" x14ac:dyDescent="0.4">
      <c r="A2402">
        <v>2011107</v>
      </c>
      <c r="B2402" s="1" t="s">
        <v>40</v>
      </c>
      <c r="C2402" s="1" t="s">
        <v>40</v>
      </c>
    </row>
    <row r="2403" spans="1:3" x14ac:dyDescent="0.4">
      <c r="A2403">
        <v>2011108</v>
      </c>
      <c r="B2403" s="1" t="s">
        <v>40</v>
      </c>
      <c r="C2403" s="1" t="s">
        <v>40</v>
      </c>
    </row>
    <row r="2404" spans="1:3" x14ac:dyDescent="0.4">
      <c r="A2404">
        <v>2011109</v>
      </c>
      <c r="B2404" s="1" t="s">
        <v>40</v>
      </c>
      <c r="C2404" s="1" t="s">
        <v>40</v>
      </c>
    </row>
    <row r="2405" spans="1:3" x14ac:dyDescent="0.4">
      <c r="A2405">
        <v>2011110</v>
      </c>
      <c r="B2405" s="1" t="s">
        <v>40</v>
      </c>
      <c r="C2405" s="1" t="s">
        <v>40</v>
      </c>
    </row>
    <row r="2406" spans="1:3" x14ac:dyDescent="0.4">
      <c r="A2406">
        <v>2011111</v>
      </c>
      <c r="B2406" s="1" t="s">
        <v>1093</v>
      </c>
      <c r="C2406" s="1" t="s">
        <v>104</v>
      </c>
    </row>
    <row r="2407" spans="1:3" x14ac:dyDescent="0.4">
      <c r="A2407">
        <v>2011112</v>
      </c>
      <c r="B2407" s="1" t="s">
        <v>1094</v>
      </c>
      <c r="C2407" s="1" t="s">
        <v>105</v>
      </c>
    </row>
    <row r="2408" spans="1:3" x14ac:dyDescent="0.4">
      <c r="A2408">
        <v>2011113</v>
      </c>
      <c r="B2408" s="1" t="s">
        <v>40</v>
      </c>
      <c r="C2408" s="1" t="s">
        <v>40</v>
      </c>
    </row>
    <row r="2409" spans="1:3" x14ac:dyDescent="0.4">
      <c r="A2409">
        <v>2011114</v>
      </c>
      <c r="B2409" s="1" t="s">
        <v>40</v>
      </c>
      <c r="C2409" s="1" t="s">
        <v>40</v>
      </c>
    </row>
    <row r="2410" spans="1:3" x14ac:dyDescent="0.4">
      <c r="A2410">
        <v>2011115</v>
      </c>
      <c r="B2410" s="1" t="s">
        <v>40</v>
      </c>
      <c r="C2410" s="1" t="s">
        <v>40</v>
      </c>
    </row>
    <row r="2411" spans="1:3" x14ac:dyDescent="0.4">
      <c r="A2411">
        <v>2011116</v>
      </c>
      <c r="B2411" s="1" t="s">
        <v>40</v>
      </c>
      <c r="C2411" s="1" t="s">
        <v>40</v>
      </c>
    </row>
    <row r="2412" spans="1:3" x14ac:dyDescent="0.4">
      <c r="A2412">
        <v>2011117</v>
      </c>
      <c r="B2412" s="1" t="s">
        <v>40</v>
      </c>
      <c r="C2412" s="1" t="s">
        <v>40</v>
      </c>
    </row>
    <row r="2413" spans="1:3" x14ac:dyDescent="0.4">
      <c r="A2413">
        <v>2011118</v>
      </c>
      <c r="B2413" s="1" t="s">
        <v>40</v>
      </c>
      <c r="C2413" s="1" t="s">
        <v>40</v>
      </c>
    </row>
    <row r="2414" spans="1:3" x14ac:dyDescent="0.4">
      <c r="A2414">
        <v>2011119</v>
      </c>
      <c r="B2414" s="1" t="s">
        <v>40</v>
      </c>
      <c r="C2414" s="1" t="s">
        <v>40</v>
      </c>
    </row>
    <row r="2415" spans="1:3" x14ac:dyDescent="0.4">
      <c r="A2415">
        <v>2011120</v>
      </c>
      <c r="B2415" s="1" t="s">
        <v>40</v>
      </c>
      <c r="C2415" s="1" t="s">
        <v>40</v>
      </c>
    </row>
    <row r="2416" spans="1:3" x14ac:dyDescent="0.4">
      <c r="A2416">
        <v>2011121</v>
      </c>
      <c r="B2416" s="1" t="s">
        <v>1093</v>
      </c>
      <c r="C2416" s="1" t="s">
        <v>104</v>
      </c>
    </row>
    <row r="2417" spans="1:3" x14ac:dyDescent="0.4">
      <c r="A2417">
        <v>2011122</v>
      </c>
      <c r="B2417" s="1" t="s">
        <v>1094</v>
      </c>
      <c r="C2417" s="1" t="s">
        <v>105</v>
      </c>
    </row>
    <row r="2418" spans="1:3" x14ac:dyDescent="0.4">
      <c r="A2418">
        <v>2011201</v>
      </c>
      <c r="B2418" s="1" t="s">
        <v>1096</v>
      </c>
      <c r="C2418" s="1" t="s">
        <v>107</v>
      </c>
    </row>
    <row r="2419" spans="1:3" x14ac:dyDescent="0.4">
      <c r="A2419">
        <v>2011202</v>
      </c>
      <c r="B2419" s="1" t="s">
        <v>1097</v>
      </c>
      <c r="C2419" s="1" t="s">
        <v>108</v>
      </c>
    </row>
    <row r="2420" spans="1:3" x14ac:dyDescent="0.4">
      <c r="A2420">
        <v>2011203</v>
      </c>
      <c r="B2420" s="1" t="s">
        <v>40</v>
      </c>
      <c r="C2420" s="1" t="s">
        <v>40</v>
      </c>
    </row>
    <row r="2421" spans="1:3" x14ac:dyDescent="0.4">
      <c r="A2421">
        <v>2011204</v>
      </c>
      <c r="B2421" s="1" t="s">
        <v>40</v>
      </c>
      <c r="C2421" s="1" t="s">
        <v>40</v>
      </c>
    </row>
    <row r="2422" spans="1:3" x14ac:dyDescent="0.4">
      <c r="A2422">
        <v>2011205</v>
      </c>
      <c r="B2422" s="1" t="s">
        <v>40</v>
      </c>
      <c r="C2422" s="1" t="s">
        <v>40</v>
      </c>
    </row>
    <row r="2423" spans="1:3" x14ac:dyDescent="0.4">
      <c r="A2423">
        <v>2011206</v>
      </c>
      <c r="B2423" s="1" t="s">
        <v>40</v>
      </c>
      <c r="C2423" s="1" t="s">
        <v>40</v>
      </c>
    </row>
    <row r="2424" spans="1:3" x14ac:dyDescent="0.4">
      <c r="A2424">
        <v>2011207</v>
      </c>
      <c r="B2424" s="1" t="s">
        <v>40</v>
      </c>
      <c r="C2424" s="1" t="s">
        <v>40</v>
      </c>
    </row>
    <row r="2425" spans="1:3" x14ac:dyDescent="0.4">
      <c r="A2425">
        <v>2011208</v>
      </c>
      <c r="B2425" s="1" t="s">
        <v>40</v>
      </c>
      <c r="C2425" s="1" t="s">
        <v>40</v>
      </c>
    </row>
    <row r="2426" spans="1:3" x14ac:dyDescent="0.4">
      <c r="A2426">
        <v>2011209</v>
      </c>
      <c r="B2426" s="1" t="s">
        <v>40</v>
      </c>
      <c r="C2426" s="1" t="s">
        <v>40</v>
      </c>
    </row>
    <row r="2427" spans="1:3" x14ac:dyDescent="0.4">
      <c r="A2427">
        <v>2011210</v>
      </c>
      <c r="B2427" s="1" t="s">
        <v>40</v>
      </c>
      <c r="C2427" s="1" t="s">
        <v>40</v>
      </c>
    </row>
    <row r="2428" spans="1:3" x14ac:dyDescent="0.4">
      <c r="A2428">
        <v>2011211</v>
      </c>
      <c r="B2428" s="1" t="s">
        <v>1096</v>
      </c>
      <c r="C2428" s="1" t="s">
        <v>107</v>
      </c>
    </row>
    <row r="2429" spans="1:3" x14ac:dyDescent="0.4">
      <c r="A2429">
        <v>2011212</v>
      </c>
      <c r="B2429" s="1" t="s">
        <v>1097</v>
      </c>
      <c r="C2429" s="1" t="s">
        <v>108</v>
      </c>
    </row>
    <row r="2430" spans="1:3" x14ac:dyDescent="0.4">
      <c r="A2430">
        <v>2011213</v>
      </c>
      <c r="B2430" s="1" t="s">
        <v>40</v>
      </c>
      <c r="C2430" s="1" t="s">
        <v>40</v>
      </c>
    </row>
    <row r="2431" spans="1:3" x14ac:dyDescent="0.4">
      <c r="A2431">
        <v>2011214</v>
      </c>
      <c r="B2431" s="1" t="s">
        <v>40</v>
      </c>
      <c r="C2431" s="1" t="s">
        <v>40</v>
      </c>
    </row>
    <row r="2432" spans="1:3" x14ac:dyDescent="0.4">
      <c r="A2432">
        <v>2011215</v>
      </c>
      <c r="B2432" s="1" t="s">
        <v>40</v>
      </c>
      <c r="C2432" s="1" t="s">
        <v>40</v>
      </c>
    </row>
    <row r="2433" spans="1:3" x14ac:dyDescent="0.4">
      <c r="A2433">
        <v>2011216</v>
      </c>
      <c r="B2433" s="1" t="s">
        <v>40</v>
      </c>
      <c r="C2433" s="1" t="s">
        <v>40</v>
      </c>
    </row>
    <row r="2434" spans="1:3" x14ac:dyDescent="0.4">
      <c r="A2434">
        <v>2011217</v>
      </c>
      <c r="B2434" s="1" t="s">
        <v>40</v>
      </c>
      <c r="C2434" s="1" t="s">
        <v>40</v>
      </c>
    </row>
    <row r="2435" spans="1:3" x14ac:dyDescent="0.4">
      <c r="A2435">
        <v>2011218</v>
      </c>
      <c r="B2435" s="1" t="s">
        <v>40</v>
      </c>
      <c r="C2435" s="1" t="s">
        <v>40</v>
      </c>
    </row>
    <row r="2436" spans="1:3" x14ac:dyDescent="0.4">
      <c r="A2436">
        <v>2011219</v>
      </c>
      <c r="B2436" s="1" t="s">
        <v>40</v>
      </c>
      <c r="C2436" s="1" t="s">
        <v>40</v>
      </c>
    </row>
    <row r="2437" spans="1:3" x14ac:dyDescent="0.4">
      <c r="A2437">
        <v>2011220</v>
      </c>
      <c r="B2437" s="1" t="s">
        <v>40</v>
      </c>
      <c r="C2437" s="1" t="s">
        <v>40</v>
      </c>
    </row>
    <row r="2438" spans="1:3" x14ac:dyDescent="0.4">
      <c r="A2438">
        <v>2011221</v>
      </c>
      <c r="B2438" s="1" t="s">
        <v>1096</v>
      </c>
      <c r="C2438" s="1" t="s">
        <v>107</v>
      </c>
    </row>
    <row r="2439" spans="1:3" x14ac:dyDescent="0.4">
      <c r="A2439">
        <v>2011222</v>
      </c>
      <c r="B2439" s="1" t="s">
        <v>1097</v>
      </c>
      <c r="C2439" s="1" t="s">
        <v>108</v>
      </c>
    </row>
    <row r="2440" spans="1:3" x14ac:dyDescent="0.4">
      <c r="A2440">
        <v>2011301</v>
      </c>
      <c r="B2440" s="1" t="s">
        <v>1099</v>
      </c>
      <c r="C2440" s="1" t="s">
        <v>110</v>
      </c>
    </row>
    <row r="2441" spans="1:3" x14ac:dyDescent="0.4">
      <c r="A2441">
        <v>2011302</v>
      </c>
      <c r="B2441" s="1" t="s">
        <v>1100</v>
      </c>
      <c r="C2441" s="1" t="s">
        <v>111</v>
      </c>
    </row>
    <row r="2442" spans="1:3" x14ac:dyDescent="0.4">
      <c r="A2442">
        <v>2011303</v>
      </c>
      <c r="B2442" s="1" t="s">
        <v>40</v>
      </c>
      <c r="C2442" s="1" t="s">
        <v>40</v>
      </c>
    </row>
    <row r="2443" spans="1:3" x14ac:dyDescent="0.4">
      <c r="A2443">
        <v>2011304</v>
      </c>
      <c r="B2443" s="1" t="s">
        <v>40</v>
      </c>
      <c r="C2443" s="1" t="s">
        <v>40</v>
      </c>
    </row>
    <row r="2444" spans="1:3" x14ac:dyDescent="0.4">
      <c r="A2444">
        <v>2011305</v>
      </c>
      <c r="B2444" s="1" t="s">
        <v>40</v>
      </c>
      <c r="C2444" s="1" t="s">
        <v>40</v>
      </c>
    </row>
    <row r="2445" spans="1:3" x14ac:dyDescent="0.4">
      <c r="A2445">
        <v>2011306</v>
      </c>
      <c r="B2445" s="1" t="s">
        <v>40</v>
      </c>
      <c r="C2445" s="1" t="s">
        <v>40</v>
      </c>
    </row>
    <row r="2446" spans="1:3" x14ac:dyDescent="0.4">
      <c r="A2446">
        <v>2011307</v>
      </c>
      <c r="B2446" s="1" t="s">
        <v>40</v>
      </c>
      <c r="C2446" s="1" t="s">
        <v>40</v>
      </c>
    </row>
    <row r="2447" spans="1:3" x14ac:dyDescent="0.4">
      <c r="A2447">
        <v>2011308</v>
      </c>
      <c r="B2447" s="1" t="s">
        <v>40</v>
      </c>
      <c r="C2447" s="1" t="s">
        <v>40</v>
      </c>
    </row>
    <row r="2448" spans="1:3" x14ac:dyDescent="0.4">
      <c r="A2448">
        <v>2011309</v>
      </c>
      <c r="B2448" s="1" t="s">
        <v>40</v>
      </c>
      <c r="C2448" s="1" t="s">
        <v>40</v>
      </c>
    </row>
    <row r="2449" spans="1:3" x14ac:dyDescent="0.4">
      <c r="A2449">
        <v>2011310</v>
      </c>
      <c r="B2449" s="1" t="s">
        <v>40</v>
      </c>
      <c r="C2449" s="1" t="s">
        <v>40</v>
      </c>
    </row>
    <row r="2450" spans="1:3" x14ac:dyDescent="0.4">
      <c r="A2450">
        <v>2011311</v>
      </c>
      <c r="B2450" s="1" t="s">
        <v>1099</v>
      </c>
      <c r="C2450" s="1" t="s">
        <v>110</v>
      </c>
    </row>
    <row r="2451" spans="1:3" x14ac:dyDescent="0.4">
      <c r="A2451">
        <v>2011312</v>
      </c>
      <c r="B2451" s="1" t="s">
        <v>1100</v>
      </c>
      <c r="C2451" s="1" t="s">
        <v>111</v>
      </c>
    </row>
    <row r="2452" spans="1:3" x14ac:dyDescent="0.4">
      <c r="A2452">
        <v>2011313</v>
      </c>
      <c r="B2452" s="1" t="s">
        <v>40</v>
      </c>
      <c r="C2452" s="1" t="s">
        <v>40</v>
      </c>
    </row>
    <row r="2453" spans="1:3" x14ac:dyDescent="0.4">
      <c r="A2453">
        <v>2011314</v>
      </c>
      <c r="B2453" s="1" t="s">
        <v>40</v>
      </c>
      <c r="C2453" s="1" t="s">
        <v>40</v>
      </c>
    </row>
    <row r="2454" spans="1:3" x14ac:dyDescent="0.4">
      <c r="A2454">
        <v>2011315</v>
      </c>
      <c r="B2454" s="1" t="s">
        <v>40</v>
      </c>
      <c r="C2454" s="1" t="s">
        <v>40</v>
      </c>
    </row>
    <row r="2455" spans="1:3" x14ac:dyDescent="0.4">
      <c r="A2455">
        <v>2011316</v>
      </c>
      <c r="B2455" s="1" t="s">
        <v>40</v>
      </c>
      <c r="C2455" s="1" t="s">
        <v>40</v>
      </c>
    </row>
    <row r="2456" spans="1:3" x14ac:dyDescent="0.4">
      <c r="A2456">
        <v>2011317</v>
      </c>
      <c r="B2456" s="1" t="s">
        <v>40</v>
      </c>
      <c r="C2456" s="1" t="s">
        <v>40</v>
      </c>
    </row>
    <row r="2457" spans="1:3" x14ac:dyDescent="0.4">
      <c r="A2457">
        <v>2011318</v>
      </c>
      <c r="B2457" s="1" t="s">
        <v>40</v>
      </c>
      <c r="C2457" s="1" t="s">
        <v>40</v>
      </c>
    </row>
    <row r="2458" spans="1:3" x14ac:dyDescent="0.4">
      <c r="A2458">
        <v>2011319</v>
      </c>
      <c r="B2458" s="1" t="s">
        <v>40</v>
      </c>
      <c r="C2458" s="1" t="s">
        <v>40</v>
      </c>
    </row>
    <row r="2459" spans="1:3" x14ac:dyDescent="0.4">
      <c r="A2459">
        <v>2011320</v>
      </c>
      <c r="B2459" s="1" t="s">
        <v>40</v>
      </c>
      <c r="C2459" s="1" t="s">
        <v>40</v>
      </c>
    </row>
    <row r="2460" spans="1:3" x14ac:dyDescent="0.4">
      <c r="A2460">
        <v>2011321</v>
      </c>
      <c r="B2460" s="1" t="s">
        <v>1099</v>
      </c>
      <c r="C2460" s="1" t="s">
        <v>110</v>
      </c>
    </row>
    <row r="2461" spans="1:3" x14ac:dyDescent="0.4">
      <c r="A2461">
        <v>2011322</v>
      </c>
      <c r="B2461" s="1" t="s">
        <v>1100</v>
      </c>
      <c r="C2461" s="1" t="s">
        <v>111</v>
      </c>
    </row>
    <row r="2462" spans="1:3" x14ac:dyDescent="0.4">
      <c r="A2462">
        <v>2012002</v>
      </c>
      <c r="B2462" s="1" t="s">
        <v>1091</v>
      </c>
      <c r="C2462" s="1" t="s">
        <v>102</v>
      </c>
    </row>
    <row r="2463" spans="1:3" x14ac:dyDescent="0.4">
      <c r="A2463">
        <v>2012003</v>
      </c>
      <c r="B2463" s="1" t="s">
        <v>40</v>
      </c>
      <c r="C2463" s="1" t="s">
        <v>40</v>
      </c>
    </row>
    <row r="2464" spans="1:3" x14ac:dyDescent="0.4">
      <c r="A2464">
        <v>2012004</v>
      </c>
      <c r="B2464" s="1" t="s">
        <v>40</v>
      </c>
      <c r="C2464" s="1" t="s">
        <v>40</v>
      </c>
    </row>
    <row r="2465" spans="1:3" x14ac:dyDescent="0.4">
      <c r="A2465">
        <v>2012005</v>
      </c>
      <c r="B2465" s="1" t="s">
        <v>40</v>
      </c>
      <c r="C2465" s="1" t="s">
        <v>40</v>
      </c>
    </row>
    <row r="2466" spans="1:3" x14ac:dyDescent="0.4">
      <c r="A2466">
        <v>2012006</v>
      </c>
      <c r="B2466" s="1" t="s">
        <v>40</v>
      </c>
      <c r="C2466" s="1" t="s">
        <v>40</v>
      </c>
    </row>
    <row r="2467" spans="1:3" x14ac:dyDescent="0.4">
      <c r="A2467">
        <v>2012007</v>
      </c>
      <c r="B2467" s="1" t="s">
        <v>40</v>
      </c>
      <c r="C2467" s="1" t="s">
        <v>40</v>
      </c>
    </row>
    <row r="2468" spans="1:3" x14ac:dyDescent="0.4">
      <c r="A2468">
        <v>2012008</v>
      </c>
      <c r="B2468" s="1" t="s">
        <v>40</v>
      </c>
      <c r="C2468" s="1" t="s">
        <v>40</v>
      </c>
    </row>
    <row r="2469" spans="1:3" x14ac:dyDescent="0.4">
      <c r="A2469">
        <v>2012009</v>
      </c>
      <c r="B2469" s="1" t="s">
        <v>40</v>
      </c>
      <c r="C2469" s="1" t="s">
        <v>40</v>
      </c>
    </row>
    <row r="2470" spans="1:3" x14ac:dyDescent="0.4">
      <c r="A2470">
        <v>2012010</v>
      </c>
      <c r="B2470" s="1" t="s">
        <v>40</v>
      </c>
      <c r="C2470" s="1" t="s">
        <v>40</v>
      </c>
    </row>
    <row r="2471" spans="1:3" x14ac:dyDescent="0.4">
      <c r="A2471">
        <v>2012011</v>
      </c>
      <c r="B2471" s="1" t="s">
        <v>40</v>
      </c>
      <c r="C2471" s="1" t="s">
        <v>40</v>
      </c>
    </row>
    <row r="2472" spans="1:3" x14ac:dyDescent="0.4">
      <c r="A2472">
        <v>2012012</v>
      </c>
      <c r="B2472" s="1" t="s">
        <v>1091</v>
      </c>
      <c r="C2472" s="1" t="s">
        <v>102</v>
      </c>
    </row>
    <row r="2473" spans="1:3" x14ac:dyDescent="0.4">
      <c r="A2473">
        <v>2012013</v>
      </c>
      <c r="B2473" s="1" t="s">
        <v>40</v>
      </c>
      <c r="C2473" s="1" t="s">
        <v>40</v>
      </c>
    </row>
    <row r="2474" spans="1:3" x14ac:dyDescent="0.4">
      <c r="A2474">
        <v>2012014</v>
      </c>
      <c r="B2474" s="1" t="s">
        <v>40</v>
      </c>
      <c r="C2474" s="1" t="s">
        <v>40</v>
      </c>
    </row>
    <row r="2475" spans="1:3" x14ac:dyDescent="0.4">
      <c r="A2475">
        <v>2012015</v>
      </c>
      <c r="B2475" s="1" t="s">
        <v>40</v>
      </c>
      <c r="C2475" s="1" t="s">
        <v>40</v>
      </c>
    </row>
    <row r="2476" spans="1:3" x14ac:dyDescent="0.4">
      <c r="A2476">
        <v>2012016</v>
      </c>
      <c r="B2476" s="1" t="s">
        <v>40</v>
      </c>
      <c r="C2476" s="1" t="s">
        <v>40</v>
      </c>
    </row>
    <row r="2477" spans="1:3" x14ac:dyDescent="0.4">
      <c r="A2477">
        <v>2012017</v>
      </c>
      <c r="B2477" s="1" t="s">
        <v>40</v>
      </c>
      <c r="C2477" s="1" t="s">
        <v>40</v>
      </c>
    </row>
    <row r="2478" spans="1:3" x14ac:dyDescent="0.4">
      <c r="A2478">
        <v>2012018</v>
      </c>
      <c r="B2478" s="1" t="s">
        <v>40</v>
      </c>
      <c r="C2478" s="1" t="s">
        <v>40</v>
      </c>
    </row>
    <row r="2479" spans="1:3" x14ac:dyDescent="0.4">
      <c r="A2479">
        <v>2012019</v>
      </c>
      <c r="B2479" s="1" t="s">
        <v>40</v>
      </c>
      <c r="C2479" s="1" t="s">
        <v>40</v>
      </c>
    </row>
    <row r="2480" spans="1:3" x14ac:dyDescent="0.4">
      <c r="A2480">
        <v>2012020</v>
      </c>
      <c r="B2480" s="1" t="s">
        <v>40</v>
      </c>
      <c r="C2480" s="1" t="s">
        <v>40</v>
      </c>
    </row>
    <row r="2481" spans="1:3" x14ac:dyDescent="0.4">
      <c r="A2481">
        <v>2012021</v>
      </c>
      <c r="B2481" s="1" t="s">
        <v>40</v>
      </c>
      <c r="C2481" s="1" t="s">
        <v>40</v>
      </c>
    </row>
    <row r="2482" spans="1:3" x14ac:dyDescent="0.4">
      <c r="A2482">
        <v>2012022</v>
      </c>
      <c r="B2482" s="1" t="s">
        <v>1091</v>
      </c>
      <c r="C2482" s="1" t="s">
        <v>102</v>
      </c>
    </row>
    <row r="2483" spans="1:3" x14ac:dyDescent="0.4">
      <c r="A2483">
        <v>2012102</v>
      </c>
      <c r="B2483" s="1" t="s">
        <v>1094</v>
      </c>
      <c r="C2483" s="1" t="s">
        <v>105</v>
      </c>
    </row>
    <row r="2484" spans="1:3" x14ac:dyDescent="0.4">
      <c r="A2484">
        <v>2012103</v>
      </c>
      <c r="B2484" s="1" t="s">
        <v>40</v>
      </c>
      <c r="C2484" s="1" t="s">
        <v>40</v>
      </c>
    </row>
    <row r="2485" spans="1:3" x14ac:dyDescent="0.4">
      <c r="A2485">
        <v>2012104</v>
      </c>
      <c r="B2485" s="1" t="s">
        <v>40</v>
      </c>
      <c r="C2485" s="1" t="s">
        <v>40</v>
      </c>
    </row>
    <row r="2486" spans="1:3" x14ac:dyDescent="0.4">
      <c r="A2486">
        <v>2012105</v>
      </c>
      <c r="B2486" s="1" t="s">
        <v>40</v>
      </c>
      <c r="C2486" s="1" t="s">
        <v>40</v>
      </c>
    </row>
    <row r="2487" spans="1:3" x14ac:dyDescent="0.4">
      <c r="A2487">
        <v>2012106</v>
      </c>
      <c r="B2487" s="1" t="s">
        <v>40</v>
      </c>
      <c r="C2487" s="1" t="s">
        <v>40</v>
      </c>
    </row>
    <row r="2488" spans="1:3" x14ac:dyDescent="0.4">
      <c r="A2488">
        <v>2012107</v>
      </c>
      <c r="B2488" s="1" t="s">
        <v>40</v>
      </c>
      <c r="C2488" s="1" t="s">
        <v>40</v>
      </c>
    </row>
    <row r="2489" spans="1:3" x14ac:dyDescent="0.4">
      <c r="A2489">
        <v>2012108</v>
      </c>
      <c r="B2489" s="1" t="s">
        <v>40</v>
      </c>
      <c r="C2489" s="1" t="s">
        <v>40</v>
      </c>
    </row>
    <row r="2490" spans="1:3" x14ac:dyDescent="0.4">
      <c r="A2490">
        <v>2012109</v>
      </c>
      <c r="B2490" s="1" t="s">
        <v>40</v>
      </c>
      <c r="C2490" s="1" t="s">
        <v>40</v>
      </c>
    </row>
    <row r="2491" spans="1:3" x14ac:dyDescent="0.4">
      <c r="A2491">
        <v>2012110</v>
      </c>
      <c r="B2491" s="1" t="s">
        <v>40</v>
      </c>
      <c r="C2491" s="1" t="s">
        <v>40</v>
      </c>
    </row>
    <row r="2492" spans="1:3" x14ac:dyDescent="0.4">
      <c r="A2492">
        <v>2012111</v>
      </c>
      <c r="B2492" s="1" t="s">
        <v>40</v>
      </c>
      <c r="C2492" s="1" t="s">
        <v>40</v>
      </c>
    </row>
    <row r="2493" spans="1:3" x14ac:dyDescent="0.4">
      <c r="A2493">
        <v>2012112</v>
      </c>
      <c r="B2493" s="1" t="s">
        <v>1094</v>
      </c>
      <c r="C2493" s="1" t="s">
        <v>105</v>
      </c>
    </row>
    <row r="2494" spans="1:3" x14ac:dyDescent="0.4">
      <c r="A2494">
        <v>2012113</v>
      </c>
      <c r="B2494" s="1" t="s">
        <v>40</v>
      </c>
      <c r="C2494" s="1" t="s">
        <v>40</v>
      </c>
    </row>
    <row r="2495" spans="1:3" x14ac:dyDescent="0.4">
      <c r="A2495">
        <v>2012114</v>
      </c>
      <c r="B2495" s="1" t="s">
        <v>40</v>
      </c>
      <c r="C2495" s="1" t="s">
        <v>40</v>
      </c>
    </row>
    <row r="2496" spans="1:3" x14ac:dyDescent="0.4">
      <c r="A2496">
        <v>2012115</v>
      </c>
      <c r="B2496" s="1" t="s">
        <v>40</v>
      </c>
      <c r="C2496" s="1" t="s">
        <v>40</v>
      </c>
    </row>
    <row r="2497" spans="1:3" x14ac:dyDescent="0.4">
      <c r="A2497">
        <v>2012116</v>
      </c>
      <c r="B2497" s="1" t="s">
        <v>40</v>
      </c>
      <c r="C2497" s="1" t="s">
        <v>40</v>
      </c>
    </row>
    <row r="2498" spans="1:3" x14ac:dyDescent="0.4">
      <c r="A2498">
        <v>2012117</v>
      </c>
      <c r="B2498" s="1" t="s">
        <v>40</v>
      </c>
      <c r="C2498" s="1" t="s">
        <v>40</v>
      </c>
    </row>
    <row r="2499" spans="1:3" x14ac:dyDescent="0.4">
      <c r="A2499">
        <v>2012118</v>
      </c>
      <c r="B2499" s="1" t="s">
        <v>40</v>
      </c>
      <c r="C2499" s="1" t="s">
        <v>40</v>
      </c>
    </row>
    <row r="2500" spans="1:3" x14ac:dyDescent="0.4">
      <c r="A2500">
        <v>2012119</v>
      </c>
      <c r="B2500" s="1" t="s">
        <v>40</v>
      </c>
      <c r="C2500" s="1" t="s">
        <v>40</v>
      </c>
    </row>
    <row r="2501" spans="1:3" x14ac:dyDescent="0.4">
      <c r="A2501">
        <v>2012120</v>
      </c>
      <c r="B2501" s="1" t="s">
        <v>40</v>
      </c>
      <c r="C2501" s="1" t="s">
        <v>40</v>
      </c>
    </row>
    <row r="2502" spans="1:3" x14ac:dyDescent="0.4">
      <c r="A2502">
        <v>2012121</v>
      </c>
      <c r="B2502" s="1" t="s">
        <v>40</v>
      </c>
      <c r="C2502" s="1" t="s">
        <v>40</v>
      </c>
    </row>
    <row r="2503" spans="1:3" x14ac:dyDescent="0.4">
      <c r="A2503">
        <v>2012122</v>
      </c>
      <c r="B2503" s="1" t="s">
        <v>1094</v>
      </c>
      <c r="C2503" s="1" t="s">
        <v>105</v>
      </c>
    </row>
    <row r="2504" spans="1:3" x14ac:dyDescent="0.4">
      <c r="A2504">
        <v>2012202</v>
      </c>
      <c r="B2504" s="1" t="s">
        <v>1097</v>
      </c>
      <c r="C2504" s="1" t="s">
        <v>108</v>
      </c>
    </row>
    <row r="2505" spans="1:3" x14ac:dyDescent="0.4">
      <c r="A2505">
        <v>2012203</v>
      </c>
      <c r="B2505" s="1" t="s">
        <v>40</v>
      </c>
      <c r="C2505" s="1" t="s">
        <v>40</v>
      </c>
    </row>
    <row r="2506" spans="1:3" x14ac:dyDescent="0.4">
      <c r="A2506">
        <v>2012204</v>
      </c>
      <c r="B2506" s="1" t="s">
        <v>40</v>
      </c>
      <c r="C2506" s="1" t="s">
        <v>40</v>
      </c>
    </row>
    <row r="2507" spans="1:3" x14ac:dyDescent="0.4">
      <c r="A2507">
        <v>2012205</v>
      </c>
      <c r="B2507" s="1" t="s">
        <v>40</v>
      </c>
      <c r="C2507" s="1" t="s">
        <v>40</v>
      </c>
    </row>
    <row r="2508" spans="1:3" x14ac:dyDescent="0.4">
      <c r="A2508">
        <v>2012206</v>
      </c>
      <c r="B2508" s="1" t="s">
        <v>40</v>
      </c>
      <c r="C2508" s="1" t="s">
        <v>40</v>
      </c>
    </row>
    <row r="2509" spans="1:3" x14ac:dyDescent="0.4">
      <c r="A2509">
        <v>2012207</v>
      </c>
      <c r="B2509" s="1" t="s">
        <v>40</v>
      </c>
      <c r="C2509" s="1" t="s">
        <v>40</v>
      </c>
    </row>
    <row r="2510" spans="1:3" x14ac:dyDescent="0.4">
      <c r="A2510">
        <v>2012208</v>
      </c>
      <c r="B2510" s="1" t="s">
        <v>40</v>
      </c>
      <c r="C2510" s="1" t="s">
        <v>40</v>
      </c>
    </row>
    <row r="2511" spans="1:3" x14ac:dyDescent="0.4">
      <c r="A2511">
        <v>2012209</v>
      </c>
      <c r="B2511" s="1" t="s">
        <v>40</v>
      </c>
      <c r="C2511" s="1" t="s">
        <v>40</v>
      </c>
    </row>
    <row r="2512" spans="1:3" x14ac:dyDescent="0.4">
      <c r="A2512">
        <v>2012210</v>
      </c>
      <c r="B2512" s="1" t="s">
        <v>40</v>
      </c>
      <c r="C2512" s="1" t="s">
        <v>40</v>
      </c>
    </row>
    <row r="2513" spans="1:3" x14ac:dyDescent="0.4">
      <c r="A2513">
        <v>2012211</v>
      </c>
      <c r="B2513" s="1" t="s">
        <v>40</v>
      </c>
      <c r="C2513" s="1" t="s">
        <v>40</v>
      </c>
    </row>
    <row r="2514" spans="1:3" x14ac:dyDescent="0.4">
      <c r="A2514">
        <v>2012212</v>
      </c>
      <c r="B2514" s="1" t="s">
        <v>1097</v>
      </c>
      <c r="C2514" s="1" t="s">
        <v>108</v>
      </c>
    </row>
    <row r="2515" spans="1:3" x14ac:dyDescent="0.4">
      <c r="A2515">
        <v>2012213</v>
      </c>
      <c r="B2515" s="1" t="s">
        <v>40</v>
      </c>
      <c r="C2515" s="1" t="s">
        <v>40</v>
      </c>
    </row>
    <row r="2516" spans="1:3" x14ac:dyDescent="0.4">
      <c r="A2516">
        <v>2012214</v>
      </c>
      <c r="B2516" s="1" t="s">
        <v>40</v>
      </c>
      <c r="C2516" s="1" t="s">
        <v>40</v>
      </c>
    </row>
    <row r="2517" spans="1:3" x14ac:dyDescent="0.4">
      <c r="A2517">
        <v>2012215</v>
      </c>
      <c r="B2517" s="1" t="s">
        <v>40</v>
      </c>
      <c r="C2517" s="1" t="s">
        <v>40</v>
      </c>
    </row>
    <row r="2518" spans="1:3" x14ac:dyDescent="0.4">
      <c r="A2518">
        <v>2012216</v>
      </c>
      <c r="B2518" s="1" t="s">
        <v>40</v>
      </c>
      <c r="C2518" s="1" t="s">
        <v>40</v>
      </c>
    </row>
    <row r="2519" spans="1:3" x14ac:dyDescent="0.4">
      <c r="A2519">
        <v>2012217</v>
      </c>
      <c r="B2519" s="1" t="s">
        <v>40</v>
      </c>
      <c r="C2519" s="1" t="s">
        <v>40</v>
      </c>
    </row>
    <row r="2520" spans="1:3" x14ac:dyDescent="0.4">
      <c r="A2520">
        <v>2012218</v>
      </c>
      <c r="B2520" s="1" t="s">
        <v>40</v>
      </c>
      <c r="C2520" s="1" t="s">
        <v>40</v>
      </c>
    </row>
    <row r="2521" spans="1:3" x14ac:dyDescent="0.4">
      <c r="A2521">
        <v>2012219</v>
      </c>
      <c r="B2521" s="1" t="s">
        <v>40</v>
      </c>
      <c r="C2521" s="1" t="s">
        <v>40</v>
      </c>
    </row>
    <row r="2522" spans="1:3" x14ac:dyDescent="0.4">
      <c r="A2522">
        <v>2012220</v>
      </c>
      <c r="B2522" s="1" t="s">
        <v>40</v>
      </c>
      <c r="C2522" s="1" t="s">
        <v>40</v>
      </c>
    </row>
    <row r="2523" spans="1:3" x14ac:dyDescent="0.4">
      <c r="A2523">
        <v>2012221</v>
      </c>
      <c r="B2523" s="1" t="s">
        <v>40</v>
      </c>
      <c r="C2523" s="1" t="s">
        <v>40</v>
      </c>
    </row>
    <row r="2524" spans="1:3" x14ac:dyDescent="0.4">
      <c r="A2524">
        <v>2012222</v>
      </c>
      <c r="B2524" s="1" t="s">
        <v>1097</v>
      </c>
      <c r="C2524" s="1" t="s">
        <v>108</v>
      </c>
    </row>
    <row r="2525" spans="1:3" x14ac:dyDescent="0.4">
      <c r="A2525">
        <v>2012302</v>
      </c>
      <c r="B2525" s="1" t="s">
        <v>1100</v>
      </c>
      <c r="C2525" s="1" t="s">
        <v>111</v>
      </c>
    </row>
    <row r="2526" spans="1:3" x14ac:dyDescent="0.4">
      <c r="A2526">
        <v>2012303</v>
      </c>
      <c r="B2526" s="1" t="s">
        <v>40</v>
      </c>
      <c r="C2526" s="1" t="s">
        <v>40</v>
      </c>
    </row>
    <row r="2527" spans="1:3" x14ac:dyDescent="0.4">
      <c r="A2527">
        <v>2012304</v>
      </c>
      <c r="B2527" s="1" t="s">
        <v>40</v>
      </c>
      <c r="C2527" s="1" t="s">
        <v>40</v>
      </c>
    </row>
    <row r="2528" spans="1:3" x14ac:dyDescent="0.4">
      <c r="A2528">
        <v>2012305</v>
      </c>
      <c r="B2528" s="1" t="s">
        <v>40</v>
      </c>
      <c r="C2528" s="1" t="s">
        <v>40</v>
      </c>
    </row>
    <row r="2529" spans="1:3" x14ac:dyDescent="0.4">
      <c r="A2529">
        <v>2012306</v>
      </c>
      <c r="B2529" s="1" t="s">
        <v>40</v>
      </c>
      <c r="C2529" s="1" t="s">
        <v>40</v>
      </c>
    </row>
    <row r="2530" spans="1:3" x14ac:dyDescent="0.4">
      <c r="A2530">
        <v>2012307</v>
      </c>
      <c r="B2530" s="1" t="s">
        <v>40</v>
      </c>
      <c r="C2530" s="1" t="s">
        <v>40</v>
      </c>
    </row>
    <row r="2531" spans="1:3" x14ac:dyDescent="0.4">
      <c r="A2531">
        <v>2012308</v>
      </c>
      <c r="B2531" s="1" t="s">
        <v>40</v>
      </c>
      <c r="C2531" s="1" t="s">
        <v>40</v>
      </c>
    </row>
    <row r="2532" spans="1:3" x14ac:dyDescent="0.4">
      <c r="A2532">
        <v>2012309</v>
      </c>
      <c r="B2532" s="1" t="s">
        <v>40</v>
      </c>
      <c r="C2532" s="1" t="s">
        <v>40</v>
      </c>
    </row>
    <row r="2533" spans="1:3" x14ac:dyDescent="0.4">
      <c r="A2533">
        <v>2012310</v>
      </c>
      <c r="B2533" s="1" t="s">
        <v>40</v>
      </c>
      <c r="C2533" s="1" t="s">
        <v>40</v>
      </c>
    </row>
    <row r="2534" spans="1:3" x14ac:dyDescent="0.4">
      <c r="A2534">
        <v>2012311</v>
      </c>
      <c r="B2534" s="1" t="s">
        <v>40</v>
      </c>
      <c r="C2534" s="1" t="s">
        <v>40</v>
      </c>
    </row>
    <row r="2535" spans="1:3" x14ac:dyDescent="0.4">
      <c r="A2535">
        <v>2012312</v>
      </c>
      <c r="B2535" s="1" t="s">
        <v>1100</v>
      </c>
      <c r="C2535" s="1" t="s">
        <v>111</v>
      </c>
    </row>
    <row r="2536" spans="1:3" x14ac:dyDescent="0.4">
      <c r="A2536">
        <v>2012313</v>
      </c>
      <c r="B2536" s="1" t="s">
        <v>40</v>
      </c>
      <c r="C2536" s="1" t="s">
        <v>40</v>
      </c>
    </row>
    <row r="2537" spans="1:3" x14ac:dyDescent="0.4">
      <c r="A2537">
        <v>2012314</v>
      </c>
      <c r="B2537" s="1" t="s">
        <v>40</v>
      </c>
      <c r="C2537" s="1" t="s">
        <v>40</v>
      </c>
    </row>
    <row r="2538" spans="1:3" x14ac:dyDescent="0.4">
      <c r="A2538">
        <v>2012315</v>
      </c>
      <c r="B2538" s="1" t="s">
        <v>40</v>
      </c>
      <c r="C2538" s="1" t="s">
        <v>40</v>
      </c>
    </row>
    <row r="2539" spans="1:3" x14ac:dyDescent="0.4">
      <c r="A2539">
        <v>2012316</v>
      </c>
      <c r="B2539" s="1" t="s">
        <v>40</v>
      </c>
      <c r="C2539" s="1" t="s">
        <v>40</v>
      </c>
    </row>
    <row r="2540" spans="1:3" x14ac:dyDescent="0.4">
      <c r="A2540">
        <v>2012317</v>
      </c>
      <c r="B2540" s="1" t="s">
        <v>40</v>
      </c>
      <c r="C2540" s="1" t="s">
        <v>40</v>
      </c>
    </row>
    <row r="2541" spans="1:3" x14ac:dyDescent="0.4">
      <c r="A2541">
        <v>2012318</v>
      </c>
      <c r="B2541" s="1" t="s">
        <v>40</v>
      </c>
      <c r="C2541" s="1" t="s">
        <v>40</v>
      </c>
    </row>
    <row r="2542" spans="1:3" x14ac:dyDescent="0.4">
      <c r="A2542">
        <v>2012319</v>
      </c>
      <c r="B2542" s="1" t="s">
        <v>40</v>
      </c>
      <c r="C2542" s="1" t="s">
        <v>40</v>
      </c>
    </row>
    <row r="2543" spans="1:3" x14ac:dyDescent="0.4">
      <c r="A2543">
        <v>2012320</v>
      </c>
      <c r="B2543" s="1" t="s">
        <v>40</v>
      </c>
      <c r="C2543" s="1" t="s">
        <v>40</v>
      </c>
    </row>
    <row r="2544" spans="1:3" x14ac:dyDescent="0.4">
      <c r="A2544">
        <v>2012321</v>
      </c>
      <c r="B2544" s="1" t="s">
        <v>40</v>
      </c>
      <c r="C2544" s="1" t="s">
        <v>40</v>
      </c>
    </row>
    <row r="2545" spans="1:3" x14ac:dyDescent="0.4">
      <c r="A2545">
        <v>2012322</v>
      </c>
      <c r="B2545" s="1" t="s">
        <v>1100</v>
      </c>
      <c r="C2545" s="1" t="s">
        <v>111</v>
      </c>
    </row>
    <row r="2546" spans="1:3" x14ac:dyDescent="0.4">
      <c r="A2546">
        <v>2013000</v>
      </c>
      <c r="B2546" s="1" t="s">
        <v>1089</v>
      </c>
      <c r="C2546" s="1" t="s">
        <v>100</v>
      </c>
    </row>
    <row r="2547" spans="1:3" x14ac:dyDescent="0.4">
      <c r="A2547">
        <v>2013001</v>
      </c>
      <c r="B2547" s="1" t="s">
        <v>1090</v>
      </c>
      <c r="C2547" s="1" t="s">
        <v>101</v>
      </c>
    </row>
    <row r="2548" spans="1:3" x14ac:dyDescent="0.4">
      <c r="A2548">
        <v>2013002</v>
      </c>
      <c r="B2548" s="1" t="s">
        <v>1091</v>
      </c>
      <c r="C2548" s="1" t="s">
        <v>102</v>
      </c>
    </row>
    <row r="2549" spans="1:3" x14ac:dyDescent="0.4">
      <c r="A2549">
        <v>2013003</v>
      </c>
      <c r="B2549" s="1" t="s">
        <v>40</v>
      </c>
      <c r="C2549" s="1" t="s">
        <v>40</v>
      </c>
    </row>
    <row r="2550" spans="1:3" x14ac:dyDescent="0.4">
      <c r="A2550">
        <v>2013004</v>
      </c>
      <c r="B2550" s="1" t="s">
        <v>40</v>
      </c>
      <c r="C2550" s="1" t="s">
        <v>40</v>
      </c>
    </row>
    <row r="2551" spans="1:3" x14ac:dyDescent="0.4">
      <c r="A2551">
        <v>2013005</v>
      </c>
      <c r="B2551" s="1" t="s">
        <v>40</v>
      </c>
      <c r="C2551" s="1" t="s">
        <v>40</v>
      </c>
    </row>
    <row r="2552" spans="1:3" x14ac:dyDescent="0.4">
      <c r="A2552">
        <v>2013006</v>
      </c>
      <c r="B2552" s="1" t="s">
        <v>40</v>
      </c>
      <c r="C2552" s="1" t="s">
        <v>40</v>
      </c>
    </row>
    <row r="2553" spans="1:3" x14ac:dyDescent="0.4">
      <c r="A2553">
        <v>2013007</v>
      </c>
      <c r="B2553" s="1" t="s">
        <v>40</v>
      </c>
      <c r="C2553" s="1" t="s">
        <v>40</v>
      </c>
    </row>
    <row r="2554" spans="1:3" x14ac:dyDescent="0.4">
      <c r="A2554">
        <v>2013008</v>
      </c>
      <c r="B2554" s="1" t="s">
        <v>40</v>
      </c>
      <c r="C2554" s="1" t="s">
        <v>40</v>
      </c>
    </row>
    <row r="2555" spans="1:3" x14ac:dyDescent="0.4">
      <c r="A2555">
        <v>2013009</v>
      </c>
      <c r="B2555" s="1" t="s">
        <v>40</v>
      </c>
      <c r="C2555" s="1" t="s">
        <v>40</v>
      </c>
    </row>
    <row r="2556" spans="1:3" x14ac:dyDescent="0.4">
      <c r="A2556">
        <v>2013010</v>
      </c>
      <c r="B2556" s="1" t="s">
        <v>1089</v>
      </c>
      <c r="C2556" s="1" t="s">
        <v>100</v>
      </c>
    </row>
    <row r="2557" spans="1:3" x14ac:dyDescent="0.4">
      <c r="A2557">
        <v>2013011</v>
      </c>
      <c r="B2557" s="1" t="s">
        <v>1090</v>
      </c>
      <c r="C2557" s="1" t="s">
        <v>101</v>
      </c>
    </row>
    <row r="2558" spans="1:3" x14ac:dyDescent="0.4">
      <c r="A2558">
        <v>2013012</v>
      </c>
      <c r="B2558" s="1" t="s">
        <v>1091</v>
      </c>
      <c r="C2558" s="1" t="s">
        <v>102</v>
      </c>
    </row>
    <row r="2559" spans="1:3" x14ac:dyDescent="0.4">
      <c r="A2559">
        <v>2013013</v>
      </c>
      <c r="B2559" s="1" t="s">
        <v>40</v>
      </c>
      <c r="C2559" s="1" t="s">
        <v>40</v>
      </c>
    </row>
    <row r="2560" spans="1:3" x14ac:dyDescent="0.4">
      <c r="A2560">
        <v>2013014</v>
      </c>
      <c r="B2560" s="1" t="s">
        <v>40</v>
      </c>
      <c r="C2560" s="1" t="s">
        <v>40</v>
      </c>
    </row>
    <row r="2561" spans="1:3" x14ac:dyDescent="0.4">
      <c r="A2561">
        <v>2013015</v>
      </c>
      <c r="B2561" s="1" t="s">
        <v>40</v>
      </c>
      <c r="C2561" s="1" t="s">
        <v>40</v>
      </c>
    </row>
    <row r="2562" spans="1:3" x14ac:dyDescent="0.4">
      <c r="A2562">
        <v>2013016</v>
      </c>
      <c r="B2562" s="1" t="s">
        <v>40</v>
      </c>
      <c r="C2562" s="1" t="s">
        <v>40</v>
      </c>
    </row>
    <row r="2563" spans="1:3" x14ac:dyDescent="0.4">
      <c r="A2563">
        <v>2013017</v>
      </c>
      <c r="B2563" s="1" t="s">
        <v>40</v>
      </c>
      <c r="C2563" s="1" t="s">
        <v>40</v>
      </c>
    </row>
    <row r="2564" spans="1:3" x14ac:dyDescent="0.4">
      <c r="A2564">
        <v>2013018</v>
      </c>
      <c r="B2564" s="1" t="s">
        <v>40</v>
      </c>
      <c r="C2564" s="1" t="s">
        <v>40</v>
      </c>
    </row>
    <row r="2565" spans="1:3" x14ac:dyDescent="0.4">
      <c r="A2565">
        <v>2013019</v>
      </c>
      <c r="B2565" s="1" t="s">
        <v>40</v>
      </c>
      <c r="C2565" s="1" t="s">
        <v>40</v>
      </c>
    </row>
    <row r="2566" spans="1:3" x14ac:dyDescent="0.4">
      <c r="A2566">
        <v>2013020</v>
      </c>
      <c r="B2566" s="1" t="s">
        <v>1089</v>
      </c>
      <c r="C2566" s="1" t="s">
        <v>100</v>
      </c>
    </row>
    <row r="2567" spans="1:3" x14ac:dyDescent="0.4">
      <c r="A2567">
        <v>2013021</v>
      </c>
      <c r="B2567" s="1" t="s">
        <v>1090</v>
      </c>
      <c r="C2567" s="1" t="s">
        <v>101</v>
      </c>
    </row>
    <row r="2568" spans="1:3" x14ac:dyDescent="0.4">
      <c r="A2568">
        <v>2013022</v>
      </c>
      <c r="B2568" s="1" t="s">
        <v>1091</v>
      </c>
      <c r="C2568" s="1" t="s">
        <v>102</v>
      </c>
    </row>
    <row r="2569" spans="1:3" x14ac:dyDescent="0.4">
      <c r="A2569">
        <v>2013100</v>
      </c>
      <c r="B2569" s="1" t="s">
        <v>1092</v>
      </c>
      <c r="C2569" s="1" t="s">
        <v>103</v>
      </c>
    </row>
    <row r="2570" spans="1:3" x14ac:dyDescent="0.4">
      <c r="A2570">
        <v>2013101</v>
      </c>
      <c r="B2570" s="1" t="s">
        <v>1093</v>
      </c>
      <c r="C2570" s="1" t="s">
        <v>104</v>
      </c>
    </row>
    <row r="2571" spans="1:3" x14ac:dyDescent="0.4">
      <c r="A2571">
        <v>2013102</v>
      </c>
      <c r="B2571" s="1" t="s">
        <v>1094</v>
      </c>
      <c r="C2571" s="1" t="s">
        <v>105</v>
      </c>
    </row>
    <row r="2572" spans="1:3" x14ac:dyDescent="0.4">
      <c r="A2572">
        <v>2013103</v>
      </c>
      <c r="B2572" s="1" t="s">
        <v>40</v>
      </c>
      <c r="C2572" s="1" t="s">
        <v>40</v>
      </c>
    </row>
    <row r="2573" spans="1:3" x14ac:dyDescent="0.4">
      <c r="A2573">
        <v>2013104</v>
      </c>
      <c r="B2573" s="1" t="s">
        <v>40</v>
      </c>
      <c r="C2573" s="1" t="s">
        <v>40</v>
      </c>
    </row>
    <row r="2574" spans="1:3" x14ac:dyDescent="0.4">
      <c r="A2574">
        <v>2013105</v>
      </c>
      <c r="B2574" s="1" t="s">
        <v>40</v>
      </c>
      <c r="C2574" s="1" t="s">
        <v>40</v>
      </c>
    </row>
    <row r="2575" spans="1:3" x14ac:dyDescent="0.4">
      <c r="A2575">
        <v>2013106</v>
      </c>
      <c r="B2575" s="1" t="s">
        <v>40</v>
      </c>
      <c r="C2575" s="1" t="s">
        <v>40</v>
      </c>
    </row>
    <row r="2576" spans="1:3" x14ac:dyDescent="0.4">
      <c r="A2576">
        <v>2013107</v>
      </c>
      <c r="B2576" s="1" t="s">
        <v>40</v>
      </c>
      <c r="C2576" s="1" t="s">
        <v>40</v>
      </c>
    </row>
    <row r="2577" spans="1:3" x14ac:dyDescent="0.4">
      <c r="A2577">
        <v>2013108</v>
      </c>
      <c r="B2577" s="1" t="s">
        <v>40</v>
      </c>
      <c r="C2577" s="1" t="s">
        <v>40</v>
      </c>
    </row>
    <row r="2578" spans="1:3" x14ac:dyDescent="0.4">
      <c r="A2578">
        <v>2013109</v>
      </c>
      <c r="B2578" s="1" t="s">
        <v>40</v>
      </c>
      <c r="C2578" s="1" t="s">
        <v>40</v>
      </c>
    </row>
    <row r="2579" spans="1:3" x14ac:dyDescent="0.4">
      <c r="A2579">
        <v>2013110</v>
      </c>
      <c r="B2579" s="1" t="s">
        <v>1092</v>
      </c>
      <c r="C2579" s="1" t="s">
        <v>103</v>
      </c>
    </row>
    <row r="2580" spans="1:3" x14ac:dyDescent="0.4">
      <c r="A2580">
        <v>2013111</v>
      </c>
      <c r="B2580" s="1" t="s">
        <v>1093</v>
      </c>
      <c r="C2580" s="1" t="s">
        <v>104</v>
      </c>
    </row>
    <row r="2581" spans="1:3" x14ac:dyDescent="0.4">
      <c r="A2581">
        <v>2013112</v>
      </c>
      <c r="B2581" s="1" t="s">
        <v>1094</v>
      </c>
      <c r="C2581" s="1" t="s">
        <v>105</v>
      </c>
    </row>
    <row r="2582" spans="1:3" x14ac:dyDescent="0.4">
      <c r="A2582">
        <v>2013113</v>
      </c>
      <c r="B2582" s="1" t="s">
        <v>40</v>
      </c>
      <c r="C2582" s="1" t="s">
        <v>40</v>
      </c>
    </row>
    <row r="2583" spans="1:3" x14ac:dyDescent="0.4">
      <c r="A2583">
        <v>2013114</v>
      </c>
      <c r="B2583" s="1" t="s">
        <v>40</v>
      </c>
      <c r="C2583" s="1" t="s">
        <v>40</v>
      </c>
    </row>
    <row r="2584" spans="1:3" x14ac:dyDescent="0.4">
      <c r="A2584">
        <v>2013115</v>
      </c>
      <c r="B2584" s="1" t="s">
        <v>40</v>
      </c>
      <c r="C2584" s="1" t="s">
        <v>40</v>
      </c>
    </row>
    <row r="2585" spans="1:3" x14ac:dyDescent="0.4">
      <c r="A2585">
        <v>2013116</v>
      </c>
      <c r="B2585" s="1" t="s">
        <v>40</v>
      </c>
      <c r="C2585" s="1" t="s">
        <v>40</v>
      </c>
    </row>
    <row r="2586" spans="1:3" x14ac:dyDescent="0.4">
      <c r="A2586">
        <v>2013117</v>
      </c>
      <c r="B2586" s="1" t="s">
        <v>40</v>
      </c>
      <c r="C2586" s="1" t="s">
        <v>40</v>
      </c>
    </row>
    <row r="2587" spans="1:3" x14ac:dyDescent="0.4">
      <c r="A2587">
        <v>2013118</v>
      </c>
      <c r="B2587" s="1" t="s">
        <v>40</v>
      </c>
      <c r="C2587" s="1" t="s">
        <v>40</v>
      </c>
    </row>
    <row r="2588" spans="1:3" x14ac:dyDescent="0.4">
      <c r="A2588">
        <v>2013119</v>
      </c>
      <c r="B2588" s="1" t="s">
        <v>40</v>
      </c>
      <c r="C2588" s="1" t="s">
        <v>40</v>
      </c>
    </row>
    <row r="2589" spans="1:3" x14ac:dyDescent="0.4">
      <c r="A2589">
        <v>2013120</v>
      </c>
      <c r="B2589" s="1" t="s">
        <v>1092</v>
      </c>
      <c r="C2589" s="1" t="s">
        <v>103</v>
      </c>
    </row>
    <row r="2590" spans="1:3" x14ac:dyDescent="0.4">
      <c r="A2590">
        <v>2013121</v>
      </c>
      <c r="B2590" s="1" t="s">
        <v>1093</v>
      </c>
      <c r="C2590" s="1" t="s">
        <v>104</v>
      </c>
    </row>
    <row r="2591" spans="1:3" x14ac:dyDescent="0.4">
      <c r="A2591">
        <v>2013122</v>
      </c>
      <c r="B2591" s="1" t="s">
        <v>1094</v>
      </c>
      <c r="C2591" s="1" t="s">
        <v>105</v>
      </c>
    </row>
    <row r="2592" spans="1:3" x14ac:dyDescent="0.4">
      <c r="A2592">
        <v>2013200</v>
      </c>
      <c r="B2592" s="1" t="s">
        <v>1095</v>
      </c>
      <c r="C2592" s="1" t="s">
        <v>106</v>
      </c>
    </row>
    <row r="2593" spans="1:3" x14ac:dyDescent="0.4">
      <c r="A2593">
        <v>2013201</v>
      </c>
      <c r="B2593" s="1" t="s">
        <v>1096</v>
      </c>
      <c r="C2593" s="1" t="s">
        <v>107</v>
      </c>
    </row>
    <row r="2594" spans="1:3" x14ac:dyDescent="0.4">
      <c r="A2594">
        <v>2013202</v>
      </c>
      <c r="B2594" s="1" t="s">
        <v>1097</v>
      </c>
      <c r="C2594" s="1" t="s">
        <v>108</v>
      </c>
    </row>
    <row r="2595" spans="1:3" x14ac:dyDescent="0.4">
      <c r="A2595">
        <v>2013203</v>
      </c>
      <c r="B2595" s="1" t="s">
        <v>40</v>
      </c>
      <c r="C2595" s="1" t="s">
        <v>40</v>
      </c>
    </row>
    <row r="2596" spans="1:3" x14ac:dyDescent="0.4">
      <c r="A2596">
        <v>2013204</v>
      </c>
      <c r="B2596" s="1" t="s">
        <v>40</v>
      </c>
      <c r="C2596" s="1" t="s">
        <v>40</v>
      </c>
    </row>
    <row r="2597" spans="1:3" x14ac:dyDescent="0.4">
      <c r="A2597">
        <v>2013205</v>
      </c>
      <c r="B2597" s="1" t="s">
        <v>40</v>
      </c>
      <c r="C2597" s="1" t="s">
        <v>40</v>
      </c>
    </row>
    <row r="2598" spans="1:3" x14ac:dyDescent="0.4">
      <c r="A2598">
        <v>2013206</v>
      </c>
      <c r="B2598" s="1" t="s">
        <v>40</v>
      </c>
      <c r="C2598" s="1" t="s">
        <v>40</v>
      </c>
    </row>
    <row r="2599" spans="1:3" x14ac:dyDescent="0.4">
      <c r="A2599">
        <v>2013207</v>
      </c>
      <c r="B2599" s="1" t="s">
        <v>40</v>
      </c>
      <c r="C2599" s="1" t="s">
        <v>40</v>
      </c>
    </row>
    <row r="2600" spans="1:3" x14ac:dyDescent="0.4">
      <c r="A2600">
        <v>2013208</v>
      </c>
      <c r="B2600" s="1" t="s">
        <v>40</v>
      </c>
      <c r="C2600" s="1" t="s">
        <v>40</v>
      </c>
    </row>
    <row r="2601" spans="1:3" x14ac:dyDescent="0.4">
      <c r="A2601">
        <v>2013209</v>
      </c>
      <c r="B2601" s="1" t="s">
        <v>40</v>
      </c>
      <c r="C2601" s="1" t="s">
        <v>40</v>
      </c>
    </row>
    <row r="2602" spans="1:3" x14ac:dyDescent="0.4">
      <c r="A2602">
        <v>2013210</v>
      </c>
      <c r="B2602" s="1" t="s">
        <v>1095</v>
      </c>
      <c r="C2602" s="1" t="s">
        <v>106</v>
      </c>
    </row>
    <row r="2603" spans="1:3" x14ac:dyDescent="0.4">
      <c r="A2603">
        <v>2013211</v>
      </c>
      <c r="B2603" s="1" t="s">
        <v>1096</v>
      </c>
      <c r="C2603" s="1" t="s">
        <v>107</v>
      </c>
    </row>
    <row r="2604" spans="1:3" x14ac:dyDescent="0.4">
      <c r="A2604">
        <v>2013212</v>
      </c>
      <c r="B2604" s="1" t="s">
        <v>1097</v>
      </c>
      <c r="C2604" s="1" t="s">
        <v>108</v>
      </c>
    </row>
    <row r="2605" spans="1:3" x14ac:dyDescent="0.4">
      <c r="A2605">
        <v>2013213</v>
      </c>
      <c r="B2605" s="1" t="s">
        <v>40</v>
      </c>
      <c r="C2605" s="1" t="s">
        <v>40</v>
      </c>
    </row>
    <row r="2606" spans="1:3" x14ac:dyDescent="0.4">
      <c r="A2606">
        <v>2013214</v>
      </c>
      <c r="B2606" s="1" t="s">
        <v>40</v>
      </c>
      <c r="C2606" s="1" t="s">
        <v>40</v>
      </c>
    </row>
    <row r="2607" spans="1:3" x14ac:dyDescent="0.4">
      <c r="A2607">
        <v>2013215</v>
      </c>
      <c r="B2607" s="1" t="s">
        <v>40</v>
      </c>
      <c r="C2607" s="1" t="s">
        <v>40</v>
      </c>
    </row>
    <row r="2608" spans="1:3" x14ac:dyDescent="0.4">
      <c r="A2608">
        <v>2013216</v>
      </c>
      <c r="B2608" s="1" t="s">
        <v>40</v>
      </c>
      <c r="C2608" s="1" t="s">
        <v>40</v>
      </c>
    </row>
    <row r="2609" spans="1:3" x14ac:dyDescent="0.4">
      <c r="A2609">
        <v>2013217</v>
      </c>
      <c r="B2609" s="1" t="s">
        <v>40</v>
      </c>
      <c r="C2609" s="1" t="s">
        <v>40</v>
      </c>
    </row>
    <row r="2610" spans="1:3" x14ac:dyDescent="0.4">
      <c r="A2610">
        <v>2013218</v>
      </c>
      <c r="B2610" s="1" t="s">
        <v>40</v>
      </c>
      <c r="C2610" s="1" t="s">
        <v>40</v>
      </c>
    </row>
    <row r="2611" spans="1:3" x14ac:dyDescent="0.4">
      <c r="A2611">
        <v>2013219</v>
      </c>
      <c r="B2611" s="1" t="s">
        <v>40</v>
      </c>
      <c r="C2611" s="1" t="s">
        <v>40</v>
      </c>
    </row>
    <row r="2612" spans="1:3" x14ac:dyDescent="0.4">
      <c r="A2612">
        <v>2013220</v>
      </c>
      <c r="B2612" s="1" t="s">
        <v>1095</v>
      </c>
      <c r="C2612" s="1" t="s">
        <v>106</v>
      </c>
    </row>
    <row r="2613" spans="1:3" x14ac:dyDescent="0.4">
      <c r="A2613">
        <v>2013221</v>
      </c>
      <c r="B2613" s="1" t="s">
        <v>1096</v>
      </c>
      <c r="C2613" s="1" t="s">
        <v>107</v>
      </c>
    </row>
    <row r="2614" spans="1:3" x14ac:dyDescent="0.4">
      <c r="A2614">
        <v>2013222</v>
      </c>
      <c r="B2614" s="1" t="s">
        <v>1097</v>
      </c>
      <c r="C2614" s="1" t="s">
        <v>108</v>
      </c>
    </row>
    <row r="2615" spans="1:3" x14ac:dyDescent="0.4">
      <c r="A2615">
        <v>2013300</v>
      </c>
      <c r="B2615" s="1" t="s">
        <v>1098</v>
      </c>
      <c r="C2615" s="1" t="s">
        <v>109</v>
      </c>
    </row>
    <row r="2616" spans="1:3" x14ac:dyDescent="0.4">
      <c r="A2616">
        <v>2013301</v>
      </c>
      <c r="B2616" s="1" t="s">
        <v>1099</v>
      </c>
      <c r="C2616" s="1" t="s">
        <v>110</v>
      </c>
    </row>
    <row r="2617" spans="1:3" x14ac:dyDescent="0.4">
      <c r="A2617">
        <v>2013302</v>
      </c>
      <c r="B2617" s="1" t="s">
        <v>1100</v>
      </c>
      <c r="C2617" s="1" t="s">
        <v>111</v>
      </c>
    </row>
    <row r="2618" spans="1:3" x14ac:dyDescent="0.4">
      <c r="A2618">
        <v>2013303</v>
      </c>
      <c r="B2618" s="1" t="s">
        <v>40</v>
      </c>
      <c r="C2618" s="1" t="s">
        <v>40</v>
      </c>
    </row>
    <row r="2619" spans="1:3" x14ac:dyDescent="0.4">
      <c r="A2619">
        <v>2013304</v>
      </c>
      <c r="B2619" s="1" t="s">
        <v>40</v>
      </c>
      <c r="C2619" s="1" t="s">
        <v>40</v>
      </c>
    </row>
    <row r="2620" spans="1:3" x14ac:dyDescent="0.4">
      <c r="A2620">
        <v>2013305</v>
      </c>
      <c r="B2620" s="1" t="s">
        <v>40</v>
      </c>
      <c r="C2620" s="1" t="s">
        <v>40</v>
      </c>
    </row>
    <row r="2621" spans="1:3" x14ac:dyDescent="0.4">
      <c r="A2621">
        <v>2013306</v>
      </c>
      <c r="B2621" s="1" t="s">
        <v>40</v>
      </c>
      <c r="C2621" s="1" t="s">
        <v>40</v>
      </c>
    </row>
    <row r="2622" spans="1:3" x14ac:dyDescent="0.4">
      <c r="A2622">
        <v>2013307</v>
      </c>
      <c r="B2622" s="1" t="s">
        <v>40</v>
      </c>
      <c r="C2622" s="1" t="s">
        <v>40</v>
      </c>
    </row>
    <row r="2623" spans="1:3" x14ac:dyDescent="0.4">
      <c r="A2623">
        <v>2013308</v>
      </c>
      <c r="B2623" s="1" t="s">
        <v>40</v>
      </c>
      <c r="C2623" s="1" t="s">
        <v>40</v>
      </c>
    </row>
    <row r="2624" spans="1:3" x14ac:dyDescent="0.4">
      <c r="A2624">
        <v>2013309</v>
      </c>
      <c r="B2624" s="1" t="s">
        <v>40</v>
      </c>
      <c r="C2624" s="1" t="s">
        <v>40</v>
      </c>
    </row>
    <row r="2625" spans="1:3" x14ac:dyDescent="0.4">
      <c r="A2625">
        <v>2013310</v>
      </c>
      <c r="B2625" s="1" t="s">
        <v>1098</v>
      </c>
      <c r="C2625" s="1" t="s">
        <v>109</v>
      </c>
    </row>
    <row r="2626" spans="1:3" x14ac:dyDescent="0.4">
      <c r="A2626">
        <v>2013311</v>
      </c>
      <c r="B2626" s="1" t="s">
        <v>1099</v>
      </c>
      <c r="C2626" s="1" t="s">
        <v>110</v>
      </c>
    </row>
    <row r="2627" spans="1:3" x14ac:dyDescent="0.4">
      <c r="A2627">
        <v>2013312</v>
      </c>
      <c r="B2627" s="1" t="s">
        <v>1100</v>
      </c>
      <c r="C2627" s="1" t="s">
        <v>111</v>
      </c>
    </row>
    <row r="2628" spans="1:3" x14ac:dyDescent="0.4">
      <c r="A2628">
        <v>2013313</v>
      </c>
      <c r="B2628" s="1" t="s">
        <v>40</v>
      </c>
      <c r="C2628" s="1" t="s">
        <v>40</v>
      </c>
    </row>
    <row r="2629" spans="1:3" x14ac:dyDescent="0.4">
      <c r="A2629">
        <v>2013314</v>
      </c>
      <c r="B2629" s="1" t="s">
        <v>40</v>
      </c>
      <c r="C2629" s="1" t="s">
        <v>40</v>
      </c>
    </row>
    <row r="2630" spans="1:3" x14ac:dyDescent="0.4">
      <c r="A2630">
        <v>2013315</v>
      </c>
      <c r="B2630" s="1" t="s">
        <v>40</v>
      </c>
      <c r="C2630" s="1" t="s">
        <v>40</v>
      </c>
    </row>
    <row r="2631" spans="1:3" x14ac:dyDescent="0.4">
      <c r="A2631">
        <v>2013316</v>
      </c>
      <c r="B2631" s="1" t="s">
        <v>40</v>
      </c>
      <c r="C2631" s="1" t="s">
        <v>40</v>
      </c>
    </row>
    <row r="2632" spans="1:3" x14ac:dyDescent="0.4">
      <c r="A2632">
        <v>2013317</v>
      </c>
      <c r="B2632" s="1" t="s">
        <v>40</v>
      </c>
      <c r="C2632" s="1" t="s">
        <v>40</v>
      </c>
    </row>
    <row r="2633" spans="1:3" x14ac:dyDescent="0.4">
      <c r="A2633">
        <v>2013318</v>
      </c>
      <c r="B2633" s="1" t="s">
        <v>40</v>
      </c>
      <c r="C2633" s="1" t="s">
        <v>40</v>
      </c>
    </row>
    <row r="2634" spans="1:3" x14ac:dyDescent="0.4">
      <c r="A2634">
        <v>2013319</v>
      </c>
      <c r="B2634" s="1" t="s">
        <v>40</v>
      </c>
      <c r="C2634" s="1" t="s">
        <v>40</v>
      </c>
    </row>
    <row r="2635" spans="1:3" x14ac:dyDescent="0.4">
      <c r="A2635">
        <v>2013320</v>
      </c>
      <c r="B2635" s="1" t="s">
        <v>1098</v>
      </c>
      <c r="C2635" s="1" t="s">
        <v>109</v>
      </c>
    </row>
    <row r="2636" spans="1:3" x14ac:dyDescent="0.4">
      <c r="A2636">
        <v>2013321</v>
      </c>
      <c r="B2636" s="1" t="s">
        <v>1099</v>
      </c>
      <c r="C2636" s="1" t="s">
        <v>110</v>
      </c>
    </row>
    <row r="2637" spans="1:3" x14ac:dyDescent="0.4">
      <c r="A2637">
        <v>2013322</v>
      </c>
      <c r="B2637" s="1" t="s">
        <v>1100</v>
      </c>
      <c r="C2637" s="1" t="s">
        <v>111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22A3-F2E6-4DA5-9864-B8433ADB5030}">
  <dimension ref="A1:H5"/>
  <sheetViews>
    <sheetView workbookViewId="0">
      <selection activeCell="H2" sqref="H2"/>
    </sheetView>
  </sheetViews>
  <sheetFormatPr defaultRowHeight="17" x14ac:dyDescent="0.4"/>
  <cols>
    <col min="1" max="1" width="41.1796875" bestFit="1" customWidth="1"/>
    <col min="4" max="4" width="9.81640625" customWidth="1"/>
    <col min="5" max="6" width="12.1796875" customWidth="1"/>
    <col min="8" max="8" width="12.26953125" customWidth="1"/>
  </cols>
  <sheetData>
    <row r="1" spans="1:8" x14ac:dyDescent="0.4">
      <c r="A1" t="s">
        <v>1019</v>
      </c>
      <c r="C1" t="s">
        <v>1998</v>
      </c>
      <c r="D1" t="s">
        <v>1999</v>
      </c>
      <c r="E1" t="s">
        <v>2000</v>
      </c>
      <c r="F1" t="s">
        <v>2009</v>
      </c>
      <c r="H1" t="s">
        <v>2016</v>
      </c>
    </row>
    <row r="2" spans="1:8" x14ac:dyDescent="0.4">
      <c r="A2" t="str" cm="1">
        <f t="array" aca="1" ref="A2" ca="1">LEFT(CELL("filename",A2), FIND("[",CELL("filename",A2))-1)</f>
        <v>C:\Users\ShockDaWae\AppData\Roaming\Microsoft\Excel\</v>
      </c>
      <c r="C2" s="1">
        <v>0</v>
      </c>
      <c r="D2" t="s">
        <v>2001</v>
      </c>
      <c r="E2" t="s">
        <v>2005</v>
      </c>
      <c r="F2" t="s">
        <v>2010</v>
      </c>
      <c r="H2">
        <v>4294967295</v>
      </c>
    </row>
    <row r="3" spans="1:8" x14ac:dyDescent="0.4">
      <c r="C3" s="1">
        <v>1</v>
      </c>
      <c r="D3" t="s">
        <v>2002</v>
      </c>
      <c r="E3" t="s">
        <v>2006</v>
      </c>
      <c r="F3" t="s">
        <v>2011</v>
      </c>
    </row>
    <row r="4" spans="1:8" x14ac:dyDescent="0.4">
      <c r="C4" s="1">
        <v>2</v>
      </c>
      <c r="D4" t="s">
        <v>2003</v>
      </c>
      <c r="E4" t="s">
        <v>2007</v>
      </c>
      <c r="F4" t="s">
        <v>2012</v>
      </c>
    </row>
    <row r="5" spans="1:8" x14ac:dyDescent="0.4">
      <c r="C5" s="1">
        <v>3</v>
      </c>
      <c r="D5" t="s">
        <v>2004</v>
      </c>
      <c r="E5" t="s">
        <v>2008</v>
      </c>
      <c r="F5" t="s">
        <v>2013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C94101-0B56-46F7-A2EB-F2C85DC65C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8</vt:i4>
      </vt:variant>
    </vt:vector>
  </HeadingPairs>
  <TitlesOfParts>
    <vt:vector size="18" baseType="lpstr">
      <vt:lpstr>UI</vt:lpstr>
      <vt:lpstr>UI Language</vt:lpstr>
      <vt:lpstr>Relic Cacul Temp</vt:lpstr>
      <vt:lpstr>Tbl_Equip</vt:lpstr>
      <vt:lpstr>Tbl_Pool</vt:lpstr>
      <vt:lpstr>Tbl_Effect</vt:lpstr>
      <vt:lpstr>AttachEffectName_dlc01 fmg</vt:lpstr>
      <vt:lpstr>Effects</vt:lpstr>
      <vt:lpstr>Items</vt:lpstr>
      <vt:lpstr>Variable</vt:lpstr>
      <vt:lpstr>CursePool1</vt:lpstr>
      <vt:lpstr>CursePool2</vt:lpstr>
      <vt:lpstr>CursePool3</vt:lpstr>
      <vt:lpstr>EffectPool1</vt:lpstr>
      <vt:lpstr>EffectPool2</vt:lpstr>
      <vt:lpstr>EffectPool3</vt:lpstr>
      <vt:lpstr>EmptyID</vt:lpstr>
      <vt:lpstr>LanguageList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中華 職訓</dc:creator>
  <cp:lastModifiedBy>晁銓 張</cp:lastModifiedBy>
  <dcterms:created xsi:type="dcterms:W3CDTF">2025-12-19T05:42:13Z</dcterms:created>
  <dcterms:modified xsi:type="dcterms:W3CDTF">2025-12-21T01:50:37Z</dcterms:modified>
</cp:coreProperties>
</file>